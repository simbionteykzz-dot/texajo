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5"/>
    <sheet state="visible" name="MOVIMIENTOS_COMPLEMENTOS" sheetId="2" r:id="rId6"/>
    <sheet state="visible" name="INVENTARIO_GENERAL" sheetId="3" r:id="rId7"/>
    <sheet state="visible" name="VISTA_TOP" sheetId="4" r:id="rId8"/>
    <sheet state="visible" name="HISTORICO_MENSUAL" sheetId="5" r:id="rId9"/>
    <sheet state="visible" name="CRITICOS_DETALLE" sheetId="6" r:id="rId10"/>
    <sheet state="visible" name="DESCONTINUADOS" sheetId="7" r:id="rId11"/>
    <sheet state="visible" name="INSTRUCCIONES" sheetId="8" r:id="rId12"/>
    <sheet state="visible" name="AGREGAR_NUEVO" sheetId="9" r:id="rId13"/>
    <sheet state="visible" name="CONFIG" sheetId="10" r:id="rId14"/>
    <sheet state="visible" name="CLIENTES" sheetId="11" r:id="rId15"/>
    <sheet state="visible" name="PROVEEDORES" sheetId="12" r:id="rId16"/>
    <sheet state="visible" name="TELAS" sheetId="13" r:id="rId17"/>
    <sheet state="visible" name="COLORES" sheetId="14" r:id="rId18"/>
    <sheet state="visible" name="PRECIOS" sheetId="15" r:id="rId19"/>
    <sheet state="visible" name="PRECIOS_COMPLEMENTOS" sheetId="16" r:id="rId20"/>
    <sheet state="visible" name="PRODUCTOS" sheetId="17" r:id="rId21"/>
    <sheet state="visible" name="INVENTARIO" sheetId="18" r:id="rId22"/>
    <sheet state="visible" name="INVENTARIO_COMPLEMENTOS" sheetId="19" r:id="rId23"/>
    <sheet state="visible" name="DASHBOARD" sheetId="20" r:id="rId24"/>
  </sheets>
  <definedNames>
    <definedName name="LISTA_PROVEEDORES">PROVEEDORES!$A$4:$A$52</definedName>
    <definedName name="LISTA_PRODUCTOS">PRODUCTOS!$A$4:$A$52</definedName>
    <definedName name="LISTA_CLIENTES">CLIENTES!$A$4:$A$9</definedName>
    <definedName name="LISTA_DESTINOS">PRODUCTOS!$N$4:$N$52</definedName>
    <definedName name="LISTA_CLIENTES_FILTRO">CLIENTES!$G$4:$G$10</definedName>
    <definedName name="LISTA_COLORES">COLORES!$A$4:$A$102</definedName>
    <definedName name="LISTA_TELAS">TELAS!$A$4:$A$32</definedName>
    <definedName hidden="1" localSheetId="0" name="_xlnm._FilterDatabase">MOVIMIENTOS!$A$3:$Q$1000</definedName>
    <definedName hidden="1" localSheetId="1" name="_xlnm._FilterDatabase">MOVIMIENTOS_COMPLEMENTOS!$A$3:$Q$803</definedName>
    <definedName hidden="1" localSheetId="5" name="_xlnm._FilterDatabase">CRITICOS_DETALLE!$A$3:$G$103</definedName>
    <definedName hidden="1" localSheetId="6" name="_xlnm._FilterDatabase">DESCONTINUADOS!$A$3:$F$103</definedName>
    <definedName hidden="1" localSheetId="17" name="_xlnm._FilterDatabase">INVENTARIO!$A$3:$I$843</definedName>
    <definedName hidden="1" localSheetId="18" name="_xlnm._FilterDatabase">INVENTARIO_COMPLEMENTOS!$A$3:$K$3243</definedName>
  </definedNames>
  <calcPr/>
</workbook>
</file>

<file path=xl/sharedStrings.xml><?xml version="1.0" encoding="utf-8"?>
<sst xmlns="http://schemas.openxmlformats.org/spreadsheetml/2006/main" count="14611" uniqueCount="426">
  <si>
    <t>MOVIMIENTOS DIARIOS — Llenar SOLO esta hoja (cardista)</t>
  </si>
  <si>
    <t>Fecha · Tipo · Cliente · Tela · Color · Rollos. Para INGRESO también: Proveedor · N° Factura · Costo Real. El sistema calcula Kg, Precio y Total automáticamente.</t>
  </si>
  <si>
    <t>FECHA</t>
  </si>
  <si>
    <t>TIPO</t>
  </si>
  <si>
    <t>CLIENTE</t>
  </si>
  <si>
    <t>TELA</t>
  </si>
  <si>
    <t>COLOR</t>
  </si>
  <si>
    <t>ROLLOS</t>
  </si>
  <si>
    <t>KG TOTAL</t>
  </si>
  <si>
    <t>CATEG. COLOR</t>
  </si>
  <si>
    <t>PRECIO/KG</t>
  </si>
  <si>
    <t>TOTAL S/.</t>
  </si>
  <si>
    <t>STOCK ANTES (rollos)</t>
  </si>
  <si>
    <t>STOCK DESPUÉS (rollos)</t>
  </si>
  <si>
    <t>RESPONSABLE</t>
  </si>
  <si>
    <t>NOTAS</t>
  </si>
  <si>
    <t>PROVEEDOR</t>
  </si>
  <si>
    <t>N° FACTURA</t>
  </si>
  <si>
    <t>COSTO REAL FACT. S/.</t>
  </si>
  <si>
    <t>DIFERENCIA %
(real vs teórico)</t>
  </si>
  <si>
    <t>INGRESO</t>
  </si>
  <si>
    <t>OverShark</t>
  </si>
  <si>
    <t>jersey 30/1</t>
  </si>
  <si>
    <t>Negro</t>
  </si>
  <si>
    <t>tomas</t>
  </si>
  <si>
    <t>progreso</t>
  </si>
  <si>
    <t>Perla</t>
  </si>
  <si>
    <t>Azul</t>
  </si>
  <si>
    <t>Botella</t>
  </si>
  <si>
    <t>Pacay</t>
  </si>
  <si>
    <t>Cemento</t>
  </si>
  <si>
    <t>P. Rosa</t>
  </si>
  <si>
    <t>Beige</t>
  </si>
  <si>
    <t>Vino</t>
  </si>
  <si>
    <t>Denim</t>
  </si>
  <si>
    <t>Plomo</t>
  </si>
  <si>
    <t>Bravos</t>
  </si>
  <si>
    <t>french terry 24/1</t>
  </si>
  <si>
    <t>pique 30/1</t>
  </si>
  <si>
    <t>Topo</t>
  </si>
  <si>
    <t>Melange</t>
  </si>
  <si>
    <t>wafle 30/1</t>
  </si>
  <si>
    <t>A CORTE</t>
  </si>
  <si>
    <t>Manga Larga</t>
  </si>
  <si>
    <t>Polera Neru</t>
  </si>
  <si>
    <t>Clasico</t>
  </si>
  <si>
    <t>Camisero</t>
  </si>
  <si>
    <t>jersey full lycra 30/1</t>
  </si>
  <si>
    <t>PROGRESO</t>
  </si>
  <si>
    <t>rib 1x1</t>
  </si>
  <si>
    <t>rib 2x1 lycrado</t>
  </si>
  <si>
    <t>F001-9346</t>
  </si>
  <si>
    <t>F001-9347</t>
  </si>
  <si>
    <t>F001-9348</t>
  </si>
  <si>
    <t>80.00 kg</t>
  </si>
  <si>
    <t>CLARO</t>
  </si>
  <si>
    <t>S/.22.50</t>
  </si>
  <si>
    <t>S/.1,800.00</t>
  </si>
  <si>
    <t>120.00 kg</t>
  </si>
  <si>
    <t>OSCURO</t>
  </si>
  <si>
    <t>S/.26.00</t>
  </si>
  <si>
    <t>S/.3,120.00</t>
  </si>
  <si>
    <t>60.00 kg</t>
  </si>
  <si>
    <t>S/.1,560.00</t>
  </si>
  <si>
    <t>100.00 kg</t>
  </si>
  <si>
    <t>S/.24.00</t>
  </si>
  <si>
    <t>S/.2,400.00</t>
  </si>
  <si>
    <t>Cuello chino</t>
  </si>
  <si>
    <t>40.00 kg</t>
  </si>
  <si>
    <t>PPT</t>
  </si>
  <si>
    <t>S/.18.00</t>
  </si>
  <si>
    <t>S/.720.00</t>
  </si>
  <si>
    <t>S/.960.00</t>
  </si>
  <si>
    <t>S/.21.00</t>
  </si>
  <si>
    <t>S/.840.00</t>
  </si>
  <si>
    <t>S/.2,600.00</t>
  </si>
  <si>
    <t>S/.2,250.00</t>
  </si>
  <si>
    <t>S/.19.00</t>
  </si>
  <si>
    <t>S/.1,900.00</t>
  </si>
  <si>
    <t>S/.2,080.00</t>
  </si>
  <si>
    <t>S/.900.00</t>
  </si>
  <si>
    <t>S/.0.00</t>
  </si>
  <si>
    <t>Top M.L y M.C N°37</t>
  </si>
  <si>
    <t>20.00 kg</t>
  </si>
  <si>
    <t>10.00 kg</t>
  </si>
  <si>
    <t>Clasico N°38</t>
  </si>
  <si>
    <t>Camisero  N°39</t>
  </si>
  <si>
    <t>Clasico N°40</t>
  </si>
  <si>
    <t>S/.1,350.00</t>
  </si>
  <si>
    <t>S/.1,520.00</t>
  </si>
  <si>
    <t>396.00 kg</t>
  </si>
  <si>
    <t>S/.9,504.00</t>
  </si>
  <si>
    <t>Polera Neru N°41</t>
  </si>
  <si>
    <t>Pretina y Puño N°42</t>
  </si>
  <si>
    <t>A4</t>
  </si>
  <si>
    <t>MOVIMIENTOS COMPLEMENTOS — Cuellos / Puños / Pretinas</t>
  </si>
  <si>
    <t>Solo 3 tipos: INGRESO (compra externa, req. proveedor/factura), DE CORTE (cortado de rib internamente), SALIDA (al taller, muestra, etc).</t>
  </si>
  <si>
    <t>TIPO MOV</t>
  </si>
  <si>
    <t>TIPO PIEZA</t>
  </si>
  <si>
    <t>ORIGEN</t>
  </si>
  <si>
    <t>PRODUCTO DESTINO</t>
  </si>
  <si>
    <t>TALLA</t>
  </si>
  <si>
    <t>CANTIDAD</t>
  </si>
  <si>
    <t>PRECIO UNIT</t>
  </si>
  <si>
    <t>STOCK ANTES</t>
  </si>
  <si>
    <t>STOCK DESPUÉS</t>
  </si>
  <si>
    <t>COSTO REAL FACT.</t>
  </si>
  <si>
    <t>INVENTARIO GENERAL — Vista para imprimir (dinámico)</t>
  </si>
  <si>
    <t>Filtro:</t>
  </si>
  <si>
    <t>Cliente:</t>
  </si>
  <si>
    <t>TODOS</t>
  </si>
  <si>
    <t>Fecha:</t>
  </si>
  <si>
    <t>INVENTARIO DE TELAS (rollos) — Auto desde TELAS y COLORES</t>
  </si>
  <si>
    <t>TOTAL</t>
  </si>
  <si>
    <t>INVERSIÓN</t>
  </si>
  <si>
    <t>TOTAL ⇒</t>
  </si>
  <si>
    <t>INVENTARIO DE COMPLEMENTOS (piezas) — Dinámico desde PRECIOS_COMPLEMENTOS</t>
  </si>
  <si>
    <t>VISTA TOP — Lo importante en 1 minuto</t>
  </si>
  <si>
    <t>TOP 5 COLORES POR INVERSIÓN</t>
  </si>
  <si>
    <t>#</t>
  </si>
  <si>
    <t>INVERSIÓN S/.</t>
  </si>
  <si>
    <t>TOP 5 ALERTAS CRÍTICAS</t>
  </si>
  <si>
    <t>STOCK</t>
  </si>
  <si>
    <t>INV S/.</t>
  </si>
  <si>
    <t>TOP 5 TELAS POR ROTACIÓN (más se usan)</t>
  </si>
  <si>
    <t>KG CORTADOS
(período)</t>
  </si>
  <si>
    <t>KG EN STOCK</t>
  </si>
  <si>
    <t>ROTACIÓN %</t>
  </si>
  <si>
    <t>HISTÓRICO MENSUAL — Tendencia de movimientos por mes</t>
  </si>
  <si>
    <t>MES</t>
  </si>
  <si>
    <t>INGRESOS
(kg)</t>
  </si>
  <si>
    <t>A CORTE
(kg)</t>
  </si>
  <si>
    <t>A REPROCESO
(kg)</t>
  </si>
  <si>
    <t>MUESTRA
(kg)</t>
  </si>
  <si>
    <t>TOTAL SALIDA
(kg)</t>
  </si>
  <si>
    <t>NETO
(kg)</t>
  </si>
  <si>
    <t>INVERSIÓN
INGRESOS S/.</t>
  </si>
  <si>
    <t>CRÍTICOS — Detalle de combinaciones con stock &lt; umbral crítico</t>
  </si>
  <si>
    <t>Lista de combinaciones cliente+tela+color con stock CRÍTICO o BAJO. Usa el autofiltro para revisar.</t>
  </si>
  <si>
    <t>CATEG.</t>
  </si>
  <si>
    <t>STOCK (rollos)</t>
  </si>
  <si>
    <t>ESTADO</t>
  </si>
  <si>
    <t>DESCONTINUADOS — Stock sin movimiento en los últimos 90 días</t>
  </si>
  <si>
    <t>Combinaciones con stock&gt;0 pero sin INGRESO ni A CORTE recientes. Útil para liquidar.</t>
  </si>
  <si>
    <t>ÚLTIMO MOV.</t>
  </si>
  <si>
    <t>SISTEMA INVENTARIO TEXTIL — OVERSHARK</t>
  </si>
  <si>
    <t>FLUJO DIARIO (CARDISTA):</t>
  </si>
  <si>
    <t>1. Vas a la hoja MOVIMIENTOS.</t>
  </si>
  <si>
    <t>2. Llenas una fila por cada movimiento del día:</t>
  </si>
  <si>
    <t xml:space="preserve">   • Fecha — fecha del movimiento</t>
  </si>
  <si>
    <t xml:space="preserve">   • Tipo — INGRESO, A CORTE, A REPROCESO, DE REPROCESO, MUESTRA, AJUSTE+, AJUSTE-</t>
  </si>
  <si>
    <t xml:space="preserve">   • Cliente — OverShark o Bravos (dropdown)</t>
  </si>
  <si>
    <t xml:space="preserve">   • Tela — jersey, pique, wafle, french terry, etc. (dropdown desde TELAS)</t>
  </si>
  <si>
    <t xml:space="preserve">   • Color — negro, perla, azul, etc. (dropdown desde COLORES)</t>
  </si>
  <si>
    <t xml:space="preserve">   • Rollos — cantidad de rollos (entero)</t>
  </si>
  <si>
    <t>3. Sistema calcula automáticamente: Kg, Precio/Kg, Total invertido.</t>
  </si>
  <si>
    <t>4. Si la cantidad excede el stock disponible, se pinta en ROJO (alerta).</t>
  </si>
  <si>
    <t>CONFIGURACIÓN (ADMIN, una sola vez o cuando agregas algo):</t>
  </si>
  <si>
    <t>• TELAS — agregas tipos de tela nuevos con su composición y kg/rollo</t>
  </si>
  <si>
    <t>• COLORES — agregas colores nuevos con su categoría (OSCURO/CLARO/MELANGE/PPT) y prioridad</t>
  </si>
  <si>
    <t>• PRECIOS — defines precio por kg para cada combinación tela + categoría</t>
  </si>
  <si>
    <t>• PRODUCTOS — productos finales con rendimiento prendas/kg</t>
  </si>
  <si>
    <t>• CONFIG — ajustas umbrales de alerta y kg promedio por rollo</t>
  </si>
  <si>
    <t>LECTURA AUTOMÁTICA:</t>
  </si>
  <si>
    <t>• INVENTARIO — stock actual por cliente+tela+color, dinero invertido, alertas</t>
  </si>
  <si>
    <t>• DASHBOARD — KPIs, proyección de prendas, gráficos</t>
  </si>
  <si>
    <t>REGLAS DE COLORES:</t>
  </si>
  <si>
    <t>• AMARILLO = celda editable (tú la llenas)</t>
  </si>
  <si>
    <t>• AZUL = valores que ingresas</t>
  </si>
  <si>
    <t>• VERDE = totales calculados automáticamente</t>
  </si>
  <si>
    <t>• ROJO = alerta (stock crítico o cantidad inválida)</t>
  </si>
  <si>
    <t>TIPS:</t>
  </si>
  <si>
    <t>• Cuando agregues un color nuevo en COLORES, automáticamente aparece en MOVIMIENTOS.</t>
  </si>
  <si>
    <t>• El precio se busca por: tela del movimiento + categoría del color → en hoja PRECIOS.</t>
  </si>
  <si>
    <t>• Los movimientos NO se borran. Si te equivocas, registra un AJUSTE-.</t>
  </si>
  <si>
    <t>• Para reportes mensuales: filtra por fecha y exporta a PDF/Excel.</t>
  </si>
  <si>
    <t>COMPLEMENTOS — Cuellos / Puños / Pretinas:</t>
  </si>
  <si>
    <t>• 3 ORÍGENES posibles: RECTILÍNEO (compra externa), RIB 1x1 (cortado de rollo), RIB 2x1 (cortado de rollo).</t>
  </si>
  <si>
    <t>• MAPEO: Polos jersey usan cuellos RIB 1x1. Camiseros pique/wafle usan cuellos+puños RECTILÍNEOS.</t>
  </si>
  <si>
    <t>• Top y Polera redondo usan cuellos RIB 2x1. Poleras (neru, redondo) usan puños y pretinas RIB 2x1.</t>
  </si>
  <si>
    <t>• Tallas: RECTILÍNEO usa M y L. Cortados de RIB usan S, M, L, XL.</t>
  </si>
  <si>
    <t>• Hoja MOVIMIENTOS_COMPLEMENTOS: tipos de movimiento son INGRESO (compra externa, requiere proveedor+factura),</t>
  </si>
  <si>
    <t xml:space="preserve">  DE CORTE (entra desde cortar un rollo de rib internamente), A CORTE (sale al taller a coser), MUESTRA, AJUSTE+/-.</t>
  </si>
  <si>
    <t>• Para PRETINAS, debes elegir PRODUCTO DESTINO (Polera neru ≠ Polera cuello redondo) porque las medidas difieren.</t>
  </si>
  <si>
    <t>• PUÑOS y CUELLOS son genéricos por origen+talla+color (reusables entre productos compatibles).</t>
  </si>
  <si>
    <t>PROVEEDORES Y FACTURAS:</t>
  </si>
  <si>
    <t>• En INGRESO debes elegir PROVEEDOR (dropdown desde hoja PROVEEDORES) y escribir N° FACTURA.</t>
  </si>
  <si>
    <t>• También puedes anotar COSTO REAL FACTURA para conciliar contra el cálculo teórico (kg × precio/kg).</t>
  </si>
  <si>
    <t>• Si llenas INGRESO sin proveedor o factura, el sistema te lo marca en amarillo como recordatorio.</t>
  </si>
  <si>
    <t>• En la hoja PROVEEDORES agrega proveedores nuevos en filas vacías y aparecerán en los dropdowns.</t>
  </si>
  <si>
    <t>FLUJO DE CORTE DE RIB → COMPLEMENTOS:</t>
  </si>
  <si>
    <t>1. Llega rollo de rib 1x1 o 2x1 → en MOVIMIENTOS pones INGRESO con proveedor/factura.</t>
  </si>
  <si>
    <t>2. Manuel corta el rollo → en MOVIMIENTOS pones A CORTE (sale del inventario de tela).</t>
  </si>
  <si>
    <t>3. Después del corte registras los complementos cortados → en MOVIMIENTOS_COMPLEMENTOS pones</t>
  </si>
  <si>
    <t xml:space="preserve">   un DE CORTE por cada combinación (ej: 1000 cuellos negro talla M de origen RIB 1x1).</t>
  </si>
  <si>
    <t>4. Cuando van al taller a coser → MOVIMIENTOS_COMPLEMENTOS A CORTE (resta del inventario).</t>
  </si>
  <si>
    <t>DASHBOARD — Cuello de botella:</t>
  </si>
  <si>
    <t>• Por cada producto se calcula PRENDAS x TELA, x CUELLOS, x PUÑOS, x PRETINAS según lo que use.</t>
  </si>
  <si>
    <t>• Las PRENDAS REALES = MIN de los anteriores. La columna CUELLO DE BOTELLA te dice qué limita.</t>
  </si>
  <si>
    <t>• Ej: Polera redondo con 200 kg de french terry, 800 cuellos rib 2x1, 1500 puños rib 2x1, 600 pretinas:</t>
  </si>
  <si>
    <t xml:space="preserve">  prendas x tela=900, x cuellos=800, x puños=750, x pretinas=600 → reales=600, BOTELLA=PRETINAS.</t>
  </si>
  <si>
    <t>GUÍA — Cómo agregar TELAS, COLORES y PRODUCTOS NUEVOS</t>
  </si>
  <si>
    <t>AGREGAR UNA TELA NUEVA:</t>
  </si>
  <si>
    <t>1. Ve a la hoja TELAS</t>
  </si>
  <si>
    <t>2. En la primera fila vacía, llena:</t>
  </si>
  <si>
    <t xml:space="preserve">   • TELA: nombre exacto (ej: "rib 1x1", "interlock 50/1")</t>
  </si>
  <si>
    <t xml:space="preserve">   • COMPOSICIÓN: ej: "100% algodón pima"</t>
  </si>
  <si>
    <t xml:space="preserve">   • KG/ROLLO PROMEDIO: ej: 20</t>
  </si>
  <si>
    <t>3. Ve a la hoja PRECIOS y agrega una fila con el nombre EXACTO de la tela</t>
  </si>
  <si>
    <t xml:space="preserve">   • Llena los 4 precios: OSCURO, CLARO, MELANGE, PPT (por kg)</t>
  </si>
  <si>
    <t>4. Listo. La tela aparece automáticamente en el dropdown de MOVIMIENTOS.</t>
  </si>
  <si>
    <t>AGREGAR UN COLOR NUEVO:</t>
  </si>
  <si>
    <t>1. Ve a la hoja COLORES</t>
  </si>
  <si>
    <t>2. En la primera fila vacía:</t>
  </si>
  <si>
    <t xml:space="preserve">   • COLOR: nombre (ej: "Verde menta")</t>
  </si>
  <si>
    <t xml:space="preserve">   • CATEGORÍA: OSCURO / CLARO / MELANGE / PPT</t>
  </si>
  <si>
    <t xml:space="preserve">   • PRIORIDAD: número 1-99 (1=más importante)</t>
  </si>
  <si>
    <t>3. Listo. Aparece en dropdown de MOVIMIENTOS y se calculan stocks/precios solos.</t>
  </si>
  <si>
    <t>AGREGAR UN PRODUCTO NUEVO (polo, polera, etc.):</t>
  </si>
  <si>
    <t>1. Ve a la hoja PRODUCTOS</t>
  </si>
  <si>
    <t>2. En la primera fila vacía (después del último producto), llena:</t>
  </si>
  <si>
    <t xml:space="preserve">   • PRODUCTO: nombre (ej: "Buzo deportivo")</t>
  </si>
  <si>
    <t xml:space="preserve">   • TELA BASE: nombre EXACTO de una tela ya en TELAS</t>
  </si>
  <si>
    <t xml:space="preserve">   • REND. (prendas/kg): cuántas prendas salen de 1 kg de esa tela</t>
  </si>
  <si>
    <t xml:space="preserve">   • CUELLO ORIGEN: NINGUNO / RECTILÍNEO / RIB 1x1 / RIB 2x1</t>
  </si>
  <si>
    <t xml:space="preserve">   • CUELLOS x PRENDA: cantidad (normalmente 1 o 0)</t>
  </si>
  <si>
    <t xml:space="preserve">   • PUÑO ORIGEN: NINGUNO / RECTILÍNEO / RIB 1x1 / RIB 2x1</t>
  </si>
  <si>
    <t xml:space="preserve">   • PUÑOS x PRENDA: ej: 2 para mangas largas, 0 para mangas cortas</t>
  </si>
  <si>
    <t xml:space="preserve">   • PRETINA ORIGEN: NINGUNO / RIB 2x1</t>
  </si>
  <si>
    <t xml:space="preserve">   • PRETINAS x PRENDA: 0 o 1</t>
  </si>
  <si>
    <t xml:space="preserve">   • CIERRE ORIGEN: NINGUNO / NORMAL</t>
  </si>
  <si>
    <t xml:space="preserve">   • CIERRES x PRENDA: 0 o 1</t>
  </si>
  <si>
    <t xml:space="preserve">   • NOTAS: opcional</t>
  </si>
  <si>
    <t>3. NO toques la columna N (LISTA DESTINOS) — se completa sola con fórmula</t>
  </si>
  <si>
    <t>4. Listo. Aparece en DASHBOARD de proyección de prendas.</t>
  </si>
  <si>
    <t>IMPORTANTE — NO HACER:</t>
  </si>
  <si>
    <t>• NO borres movimientos antiguos (rompe el cálculo de stock). Usa AJUSTE- en su lugar.</t>
  </si>
  <si>
    <t>• NO renombres una tela/color existente. Crea uno nuevo si necesitas otro nombre.</t>
  </si>
  <si>
    <t>• NO modifiques las columnas con fórmula (verde claro). Solo las amarillas (input).</t>
  </si>
  <si>
    <t>CAPITAL INVERTIDO — DÓNDE LO VES:</t>
  </si>
  <si>
    <t>• DASHBOARD: "INVERSIÓN TOTAL" arriba — suma todo lo gastado en stock disponible.</t>
  </si>
  <si>
    <t>• INVENTARIO: columna INVERSIÓN S/. por cada combinación cliente+tela+color.</t>
  </si>
  <si>
    <t>• INVENTARIO_GENERAL: columna INVERSIÓN por color, total por color.</t>
  </si>
  <si>
    <t>Esto se calcula solo: STOCK actual (kg) × PRECIO/KG (de la tela según categoría del color).</t>
  </si>
  <si>
    <t>CONFIGURACIÓN GENERAL</t>
  </si>
  <si>
    <t>Parámetro</t>
  </si>
  <si>
    <t>Valor</t>
  </si>
  <si>
    <t>Descripción</t>
  </si>
  <si>
    <t>KG promedio por rollo (default)</t>
  </si>
  <si>
    <t>Si una tela no tiene su propio kg, usa este</t>
  </si>
  <si>
    <t>Umbral CRÍTICO (rollos)</t>
  </si>
  <si>
    <t>Stock por debajo de esto = rojo</t>
  </si>
  <si>
    <t>Umbral BAJO (rollos)</t>
  </si>
  <si>
    <t>Stock por debajo de esto = amarillo</t>
  </si>
  <si>
    <t>Cliente principal 1</t>
  </si>
  <si>
    <t>Cliente principal 2</t>
  </si>
  <si>
    <t>Margen merma estándar</t>
  </si>
  <si>
    <t>15% merma esperada en cortes</t>
  </si>
  <si>
    <t>CATÁLOGO DE CLIENTES — Editable (hasta 6 slots)</t>
  </si>
  <si>
    <t>Lista de clientes. Aparecen como dropdown en MOVIMIENTOS y filtran el DASHBOARD. Si dejas un slot vacío, no afecta el sistema.</t>
  </si>
  <si>
    <t>CONTACTO</t>
  </si>
  <si>
    <t>TELÉFONO/EMAIL</t>
  </si>
  <si>
    <t>PRIORIDAD</t>
  </si>
  <si>
    <t>FILTRO DASHBOARD</t>
  </si>
  <si>
    <t>Cliente principal</t>
  </si>
  <si>
    <t>(slot disponible)</t>
  </si>
  <si>
    <t>CATÁLOGO DE PROVEEDORES — Editable</t>
  </si>
  <si>
    <t>Lista de proveedores de telas y rectilíneos. Aparecen como dropdown en MOVIMIENTOS al registrar INGRESO.</t>
  </si>
  <si>
    <t>RUC</t>
  </si>
  <si>
    <t>20123456789</t>
  </si>
  <si>
    <t>Juan Pérez</t>
  </si>
  <si>
    <t>987654321</t>
  </si>
  <si>
    <t>Telas jersey/wafle</t>
  </si>
  <si>
    <t>NORTH TEXTIL</t>
  </si>
  <si>
    <t>20987654321</t>
  </si>
  <si>
    <t>María Soto</t>
  </si>
  <si>
    <t>ventas@hilima.pe</t>
  </si>
  <si>
    <t>Pique y french terry</t>
  </si>
  <si>
    <t>YADAH</t>
  </si>
  <si>
    <t>20111222333</t>
  </si>
  <si>
    <t>Carlos Rojas</t>
  </si>
  <si>
    <t>999888777</t>
  </si>
  <si>
    <t>Cuellos y puños camiseros</t>
  </si>
  <si>
    <t>TECNOLOGIA Y TINTURA</t>
  </si>
  <si>
    <t>20444555666</t>
  </si>
  <si>
    <t>Rib 1x1 y 2x1</t>
  </si>
  <si>
    <t>CATÁLOGO DE TELAS — Editable</t>
  </si>
  <si>
    <t>Aquí defines las telas. Cada tela tiene composición y kg promedio por rollo.</t>
  </si>
  <si>
    <t>COMPOSICIÓN</t>
  </si>
  <si>
    <t>KG/ROLLO PROMEDIO</t>
  </si>
  <si>
    <t>Policotton (60% algodón 40% poly)</t>
  </si>
  <si>
    <t>Policotton</t>
  </si>
  <si>
    <t>Para poleras</t>
  </si>
  <si>
    <t>Algodón sin lycra</t>
  </si>
  <si>
    <t>Para cuello redondo</t>
  </si>
  <si>
    <t>Con lycra</t>
  </si>
  <si>
    <t>Para tops mujer</t>
  </si>
  <si>
    <t>65%poliester31%cotton4%spandex</t>
  </si>
  <si>
    <t>polos lycrdos mujer</t>
  </si>
  <si>
    <t>CATÁLOGO DE COLORES — Editable</t>
  </si>
  <si>
    <t>Categorías: OSCURO (negro,azul,vino,marron) | CLARO (beige,topo,denim) | MELANGE (todos los melanges) | PPT (perla, blanco)</t>
  </si>
  <si>
    <t>CATEGORÍA</t>
  </si>
  <si>
    <t>Estratégico</t>
  </si>
  <si>
    <t>Blanco</t>
  </si>
  <si>
    <t>Permanente</t>
  </si>
  <si>
    <t>MELANGE</t>
  </si>
  <si>
    <t>Camote</t>
  </si>
  <si>
    <t>PRECIOS POR TELA + CATEGORÍA DE COLOR (S/. por Kg)</t>
  </si>
  <si>
    <t>Define precio por kg según tela y categoría de color. Sirve para todos los movimientos automáticamente.</t>
  </si>
  <si>
    <t>OSCURO (S/./Kg)</t>
  </si>
  <si>
    <t>CLARO (S/./Kg)</t>
  </si>
  <si>
    <t>MELANGE (S/./Kg)</t>
  </si>
  <si>
    <t>PPT (S/./Kg)</t>
  </si>
  <si>
    <t>interlock 50/1 pima</t>
  </si>
  <si>
    <t>PRECIOS COMPLEMENTOS — Cuellos / Puños / Pretinas (S/. por unidad)</t>
  </si>
  <si>
    <t>Combinación TIPO + ORIGEN. Rectilíneos solo M/L. Rib cortado: S/M/L/XL. Para pretinas el costo refleja el rib consumido + corte.</t>
  </si>
  <si>
    <t>PRECIO S (S/.)</t>
  </si>
  <si>
    <t>PRECIO M (S/.)</t>
  </si>
  <si>
    <t>PRECIO L (S/.)</t>
  </si>
  <si>
    <t>PRECIO XL (S/.)</t>
  </si>
  <si>
    <t>CLAVE</t>
  </si>
  <si>
    <t>CUELLO</t>
  </si>
  <si>
    <t>RECTILÍNEO</t>
  </si>
  <si>
    <t>Solo M y L. Para camiseros</t>
  </si>
  <si>
    <t>PUÑO</t>
  </si>
  <si>
    <t>Solo M y L. Cada camisero lleva 2</t>
  </si>
  <si>
    <t>RIB 1x1</t>
  </si>
  <si>
    <t>Cortado de rib 1x1. Para polos jersey</t>
  </si>
  <si>
    <t>RIB 2x1</t>
  </si>
  <si>
    <t>Cortado de rib 2x1. Para polera redondo / top</t>
  </si>
  <si>
    <t>Cortado de rib 2x1. Para poleras (genérico)</t>
  </si>
  <si>
    <t>PRETINA</t>
  </si>
  <si>
    <t>Específica por producto destino</t>
  </si>
  <si>
    <t>CIERRE</t>
  </si>
  <si>
    <t>DIRECTO</t>
  </si>
  <si>
    <t>Tamaños: col S=20cm, M=25cm, L=30cm, XL=35cm</t>
  </si>
  <si>
    <t>PRODUCTOS FINALES — Tela base + rendimiento + complementos por prenda</t>
  </si>
  <si>
    <t>Por cada producto define qué cuello/puño/pretina/cierre lleva y de qué origen (RECTILÍNEO/RIB 1x1/RIB 2x1/DIRECTO/NINGUNO).</t>
  </si>
  <si>
    <t>PRODUCTO</t>
  </si>
  <si>
    <t>TELA BASE</t>
  </si>
  <si>
    <t>REND. (prendas/kg)</t>
  </si>
  <si>
    <t>CUELLO ORIGEN</t>
  </si>
  <si>
    <t>CUELLOS x PRENDA</t>
  </si>
  <si>
    <t>PUÑO ORIGEN</t>
  </si>
  <si>
    <t>PUÑOS x PRENDA</t>
  </si>
  <si>
    <t>PRETINA ORIGEN</t>
  </si>
  <si>
    <t>PRETINAS x PRENDA</t>
  </si>
  <si>
    <t>CIERRE ORIGEN</t>
  </si>
  <si>
    <t>CIERRES x PRENDA</t>
  </si>
  <si>
    <t>LISTA DESTINOS</t>
  </si>
  <si>
    <t>Polo clásico jersey</t>
  </si>
  <si>
    <t>NINGUNO</t>
  </si>
  <si>
    <t>Cuello rib 1x1 cortado</t>
  </si>
  <si>
    <t>GENÉRICO</t>
  </si>
  <si>
    <t>Polo clásico wafle</t>
  </si>
  <si>
    <t>Polo manga larga jersey</t>
  </si>
  <si>
    <t>Polo manga larga wafle</t>
  </si>
  <si>
    <t>Camisero pique</t>
  </si>
  <si>
    <t>1 cuello + 2 puños rectilíneos</t>
  </si>
  <si>
    <t>Camisero wafle</t>
  </si>
  <si>
    <t>Camisa wafle</t>
  </si>
  <si>
    <t>Top cero rib mujer</t>
  </si>
  <si>
    <t>Cuello rib 2x1</t>
  </si>
  <si>
    <t>Baby ty mc</t>
  </si>
  <si>
    <t>Polera neru</t>
  </si>
  <si>
    <t>2 puños + 1 pretina rib 2x1 + 1 cierre 20cm</t>
  </si>
  <si>
    <t>Polera cuello redondo</t>
  </si>
  <si>
    <t>1 cuello + 2 puños + 1 pretina rib 2x1</t>
  </si>
  <si>
    <t>Pique cuello chino</t>
  </si>
  <si>
    <t>Cuello rib 1x1</t>
  </si>
  <si>
    <t>INVENTARIO ACTUAL — Stock por cliente + tela + color</t>
  </si>
  <si>
    <t>Calculado automáticamente desde MOVIMIENTOS. NO editar.</t>
  </si>
  <si>
    <t>STOCK (kg)</t>
  </si>
  <si>
    <t>TOTAL →</t>
  </si>
  <si>
    <t>INVENTARIO COMPLEMENTOS — Cuellos / Puños / Pretinas (todos los orígenes)</t>
  </si>
  <si>
    <t>Auto-calculado desde MOVIMIENTOS_COMPLEMENTOS. Filtra por TIPO/ORIGEN/PRODUCTO/COLOR/TALLA. NO editar.</t>
  </si>
  <si>
    <t>M</t>
  </si>
  <si>
    <t>L</t>
  </si>
  <si>
    <t>S</t>
  </si>
  <si>
    <t>XL</t>
  </si>
  <si>
    <t>20cm</t>
  </si>
  <si>
    <t>25cm</t>
  </si>
  <si>
    <t>30cm</t>
  </si>
  <si>
    <t>DASHBOARD GERENCIAL — Inventario Textil</t>
  </si>
  <si>
    <t>Cliente</t>
  </si>
  <si>
    <t>TOTAL ROLLOS</t>
  </si>
  <si>
    <t>TOTAL KG</t>
  </si>
  <si>
    <t>INVERSIÓN TOTAL</t>
  </si>
  <si>
    <t>COLORES CON STOCK</t>
  </si>
  <si>
    <t>INVERSIÓN POR CLIENTE</t>
  </si>
  <si>
    <t>INVERSIÓN POR TELA</t>
  </si>
  <si>
    <t>ALERTAS CRÍTICAS — Stock &lt; umbral</t>
  </si>
  <si>
    <t># COMBINACIONES EN CRÍTICO:</t>
  </si>
  <si>
    <t># COMBINACIONES BAJAS:</t>
  </si>
  <si>
    <t># CON STOCK OK:</t>
  </si>
  <si>
    <t>PROYECCIÓN DE PRENDAS — Cuántas prendas puedes producir con tu stock</t>
  </si>
  <si>
    <t>KG DISPONIBLES</t>
  </si>
  <si>
    <t>REND.</t>
  </si>
  <si>
    <t>PRENDAS PROYECTADAS</t>
  </si>
  <si>
    <t>COMPLEMENTOS — Stock total y proyección con cuello de botella</t>
  </si>
  <si>
    <t>TOTAL CUELLOS</t>
  </si>
  <si>
    <t>TOTAL PUÑOS</t>
  </si>
  <si>
    <t>TOTAL PRETINAS</t>
  </si>
  <si>
    <t>INVERSIÓN COMPL.</t>
  </si>
  <si>
    <t>STOCK COMPLEMENTOS POR TIPO+ORIGEN — Dinámico</t>
  </si>
  <si>
    <t>TOTAL PIEZAS</t>
  </si>
  <si>
    <t>PRENDAS REALES</t>
  </si>
  <si>
    <t>TOTAL TEÓRICO ⇒</t>
  </si>
  <si>
    <t>ACTIVIDAD DEL PERÍODO — Total acumulado de movimientos</t>
  </si>
  <si>
    <t>TIPO MOVIMIENTO</t>
  </si>
  <si>
    <t>UNIDAD</t>
  </si>
  <si>
    <t>TELAS</t>
  </si>
  <si>
    <t>kg</t>
  </si>
  <si>
    <t>A CORTE (cortado)</t>
  </si>
  <si>
    <t>A REPROCESO</t>
  </si>
  <si>
    <t>MUESTRA</t>
  </si>
  <si>
    <t>COMPLEMENTOS</t>
  </si>
  <si>
    <t>INGRESO (compra)</t>
  </si>
  <si>
    <t>piezas</t>
  </si>
  <si>
    <t>DE CORTE (cortados de rib)</t>
  </si>
  <si>
    <t>SALIDA (al taller)</t>
  </si>
  <si>
    <t>DÍAS DE COBERTURA — Cuánto dura tu stock al ritmo de los últimos 90 días</t>
  </si>
  <si>
    <t>KG ACTUAL</t>
  </si>
  <si>
    <t>KG/MES PROMEDIO</t>
  </si>
  <si>
    <t>MESES RESTANTES</t>
  </si>
  <si>
    <t>ALERTA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</si>
</sst>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d/mm/yyyy"/>
    <numFmt numFmtId="165" formatCode="#,##0.00&quot; kg&quot;"/>
    <numFmt numFmtId="166" formatCode="&quot;S/.&quot;#,##0.00"/>
    <numFmt numFmtId="167" formatCode="0.0%;\-0.0%;&quot;&quot;"/>
    <numFmt numFmtId="168" formatCode="dd\-mmm\-yyyy"/>
    <numFmt numFmtId="169" formatCode="#,##0;;&quot;&quot;"/>
    <numFmt numFmtId="170" formatCode="&quot;S/.&quot;#,##0;;&quot;&quot;"/>
    <numFmt numFmtId="171" formatCode="&quot;S/.&quot;#,##0"/>
    <numFmt numFmtId="172" formatCode="&quot;S/.&quot;#,##0.00;;&quot;&quot;"/>
    <numFmt numFmtId="173" formatCode="#,##0.00&quot; kg&quot;;;&quot;&quot;"/>
    <numFmt numFmtId="174" formatCode="0.0%"/>
    <numFmt numFmtId="175" formatCode="mmm\ yyyy"/>
    <numFmt numFmtId="176" formatCode="#,##0.00;;&quot;&quot;"/>
    <numFmt numFmtId="177" formatCode="yyyy\-mm\-dd;;&quot;&quot;"/>
    <numFmt numFmtId="178" formatCode="0.0"/>
    <numFmt numFmtId="179" formatCode="0.0;;&quot;&quot;"/>
    <numFmt numFmtId="180" formatCode="0.0&quot; meses&quot;;;&quot;&quot;"/>
  </numFmts>
  <fonts count="2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95959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sz val="10.0"/>
      <color rgb="FF0000FF"/>
      <name val="Arial"/>
    </font>
    <font>
      <sz val="10.0"/>
      <color theme="1"/>
      <name val="Arial"/>
    </font>
    <font>
      <b/>
      <sz val="10.0"/>
      <color rgb="FF0000FF"/>
      <name val="Arial"/>
    </font>
    <font>
      <color rgb="FF0000FF"/>
      <name val="Arial"/>
    </font>
    <font>
      <b/>
      <color rgb="FF9C5700"/>
      <name val="Calibri"/>
    </font>
    <font>
      <color theme="1"/>
      <name val="Arial"/>
    </font>
    <font>
      <sz val="11.0"/>
      <color rgb="FF0000FF"/>
      <name val="Arial"/>
    </font>
    <font>
      <b/>
      <color rgb="FF9C5700"/>
      <name val="Arial"/>
    </font>
    <font>
      <color theme="1"/>
      <name val="Calibri"/>
      <scheme val="minor"/>
    </font>
    <font>
      <b/>
      <sz val="10.0"/>
      <color theme="1"/>
      <name val="Arial"/>
    </font>
    <font>
      <b/>
      <sz val="11.0"/>
      <color rgb="FF0000FF"/>
      <name val="Arial"/>
    </font>
    <font>
      <b/>
      <sz val="12.0"/>
      <color rgb="FFFFFFFF"/>
      <name val="Arial"/>
    </font>
    <font>
      <b/>
      <sz val="10.0"/>
      <color rgb="FF9C5700"/>
      <name val="Arial"/>
    </font>
    <font>
      <b/>
      <sz val="12.0"/>
      <color rgb="FF9C5700"/>
      <name val="Arial"/>
    </font>
    <font>
      <b/>
      <sz val="11.0"/>
      <color theme="1"/>
      <name val="Arial"/>
    </font>
    <font>
      <b/>
      <sz val="10.0"/>
      <color rgb="FF9C0006"/>
      <name val="Arial"/>
    </font>
    <font>
      <b/>
      <sz val="10.0"/>
      <color rgb="FF006100"/>
      <name val="Arial"/>
    </font>
    <font>
      <sz val="11.0"/>
      <color theme="1"/>
      <name val="Calibri"/>
    </font>
    <font>
      <b/>
      <sz val="12.0"/>
      <color rgb="FF1F3864"/>
      <name val="Arial"/>
    </font>
    <font>
      <b/>
      <sz val="16.0"/>
      <color rgb="FF1F3864"/>
      <name val="Arial"/>
    </font>
    <font>
      <b/>
      <sz val="12.0"/>
      <color rgb="FF9C0006"/>
      <name val="Arial"/>
    </font>
    <font>
      <b/>
      <sz val="12.0"/>
      <color rgb="FF0061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C65911"/>
        <bgColor rgb="FFC65911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FFEB9C"/>
      </patternFill>
    </fill>
    <fill>
      <patternFill patternType="solid">
        <fgColor rgb="FF0F6E6E"/>
        <bgColor rgb="FF0F6E6E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FFE699"/>
        <bgColor rgb="FFFFE699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FFC7CE"/>
        <bgColor rgb="FFFFC7CE"/>
      </patternFill>
    </fill>
    <fill>
      <patternFill patternType="solid">
        <fgColor rgb="FF548235"/>
        <bgColor rgb="FF548235"/>
      </patternFill>
    </fill>
    <fill>
      <patternFill patternType="solid">
        <fgColor rgb="FF595959"/>
        <bgColor rgb="FF595959"/>
      </patternFill>
    </fill>
    <fill>
      <patternFill patternType="solid">
        <fgColor rgb="FFDEEBF7"/>
        <bgColor rgb="FFDEEBF7"/>
      </patternFill>
    </fill>
    <fill>
      <patternFill patternType="solid">
        <fgColor rgb="FFF2F2F2"/>
        <bgColor rgb="FFF2F2F2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/>
      <right/>
      <top/>
      <bottom/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4" fillId="2" fontId="5" numFmtId="0" xfId="0" applyAlignment="1" applyBorder="1" applyFont="1">
      <alignment horizontal="center" shrinkToFit="0" vertical="center" wrapText="1"/>
    </xf>
    <xf borderId="4" fillId="0" fontId="6" numFmtId="164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3" xfId="0" applyAlignment="1" applyBorder="1" applyFont="1" applyNumberFormat="1">
      <alignment horizontal="center" vertical="center"/>
    </xf>
    <xf borderId="4" fillId="4" fontId="7" numFmtId="165" xfId="0" applyAlignment="1" applyBorder="1" applyFill="1" applyFont="1" applyNumberForma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4" fontId="7" numFmtId="166" xfId="0" applyAlignment="1" applyBorder="1" applyFont="1" applyNumberFormat="1">
      <alignment horizontal="center" vertical="center"/>
    </xf>
    <xf borderId="4" fillId="4" fontId="7" numFmtId="3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left" vertical="center"/>
    </xf>
    <xf borderId="4" fillId="0" fontId="6" numFmtId="166" xfId="0" applyAlignment="1" applyBorder="1" applyFont="1" applyNumberFormat="1">
      <alignment horizontal="center" vertical="center"/>
    </xf>
    <xf borderId="4" fillId="0" fontId="7" numFmtId="167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6" numFmtId="3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9" numFmtId="164" xfId="0" applyAlignment="1" applyBorder="1" applyFont="1" applyNumberFormat="1">
      <alignment horizontal="center" readingOrder="0" shrinkToFit="0" wrapText="0"/>
    </xf>
    <xf borderId="4" fillId="5" fontId="10" numFmtId="0" xfId="0" applyAlignment="1" applyBorder="1" applyFill="1" applyFont="1">
      <alignment horizontal="center" readingOrder="0" shrinkToFit="0" wrapText="0"/>
    </xf>
    <xf borderId="4" fillId="0" fontId="9" numFmtId="0" xfId="0" applyAlignment="1" applyBorder="1" applyFont="1">
      <alignment horizontal="center" readingOrder="0" shrinkToFit="0" wrapText="0"/>
    </xf>
    <xf borderId="4" fillId="0" fontId="9" numFmtId="3" xfId="0" applyAlignment="1" applyBorder="1" applyFont="1" applyNumberFormat="1">
      <alignment horizontal="center" readingOrder="0" shrinkToFit="0" wrapText="0"/>
    </xf>
    <xf borderId="4" fillId="4" fontId="11" numFmtId="165" xfId="0" applyAlignment="1" applyBorder="1" applyFont="1" applyNumberFormat="1">
      <alignment horizontal="center" readingOrder="0" shrinkToFit="0" wrapText="0"/>
    </xf>
    <xf borderId="4" fillId="4" fontId="11" numFmtId="0" xfId="0" applyAlignment="1" applyBorder="1" applyFont="1">
      <alignment horizontal="center" readingOrder="0" shrinkToFit="0" wrapText="0"/>
    </xf>
    <xf borderId="4" fillId="4" fontId="11" numFmtId="166" xfId="0" applyAlignment="1" applyBorder="1" applyFont="1" applyNumberFormat="1">
      <alignment horizontal="center" readingOrder="0" shrinkToFit="0" wrapText="0"/>
    </xf>
    <xf borderId="4" fillId="4" fontId="11" numFmtId="3" xfId="0" applyAlignment="1" applyBorder="1" applyFont="1" applyNumberFormat="1">
      <alignment horizontal="center" readingOrder="0" shrinkToFit="0" wrapText="0"/>
    </xf>
    <xf borderId="4" fillId="0" fontId="9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horizontal="left" readingOrder="0" shrinkToFit="0" wrapText="0"/>
    </xf>
    <xf borderId="4" fillId="0" fontId="6" numFmtId="0" xfId="0" applyAlignment="1" applyBorder="1" applyFont="1">
      <alignment horizontal="left" readingOrder="0" vertical="center"/>
    </xf>
    <xf borderId="5" fillId="0" fontId="12" numFmtId="164" xfId="0" applyAlignment="1" applyBorder="1" applyFont="1" applyNumberFormat="1">
      <alignment horizontal="center" readingOrder="0" vertical="bottom"/>
    </xf>
    <xf borderId="6" fillId="5" fontId="13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4" fillId="4" fontId="7" numFmtId="3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readingOrder="0"/>
    </xf>
    <xf borderId="1" fillId="6" fontId="1" numFmtId="0" xfId="0" applyAlignment="1" applyBorder="1" applyFill="1" applyFont="1">
      <alignment horizontal="center" vertical="center"/>
    </xf>
    <xf borderId="0" fillId="0" fontId="15" numFmtId="0" xfId="0" applyAlignment="1" applyFont="1">
      <alignment horizontal="right" vertical="center"/>
    </xf>
    <xf borderId="4" fillId="7" fontId="16" numFmtId="0" xfId="0" applyAlignment="1" applyBorder="1" applyFill="1" applyFont="1">
      <alignment horizontal="center" vertical="center"/>
    </xf>
    <xf borderId="0" fillId="0" fontId="15" numFmtId="168" xfId="0" applyAlignment="1" applyFont="1" applyNumberFormat="1">
      <alignment horizontal="center" vertical="center"/>
    </xf>
    <xf borderId="1" fillId="2" fontId="17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8" fontId="4" numFmtId="0" xfId="0" applyAlignment="1" applyBorder="1" applyFill="1" applyFont="1">
      <alignment horizontal="center" vertical="center"/>
    </xf>
    <xf borderId="4" fillId="0" fontId="15" numFmtId="0" xfId="0" applyAlignment="1" applyBorder="1" applyFont="1">
      <alignment horizontal="left" vertical="center"/>
    </xf>
    <xf borderId="4" fillId="0" fontId="7" numFmtId="169" xfId="0" applyAlignment="1" applyBorder="1" applyFont="1" applyNumberFormat="1">
      <alignment horizontal="center" vertical="center"/>
    </xf>
    <xf borderId="4" fillId="8" fontId="5" numFmtId="169" xfId="0" applyAlignment="1" applyBorder="1" applyFont="1" applyNumberFormat="1">
      <alignment horizontal="center" vertical="center"/>
    </xf>
    <xf borderId="4" fillId="7" fontId="18" numFmtId="170" xfId="0" applyAlignment="1" applyBorder="1" applyFont="1" applyNumberFormat="1">
      <alignment horizontal="center" vertical="center"/>
    </xf>
    <xf borderId="4" fillId="8" fontId="4" numFmtId="169" xfId="0" applyAlignment="1" applyBorder="1" applyFont="1" applyNumberFormat="1">
      <alignment horizontal="center" vertical="center"/>
    </xf>
    <xf borderId="4" fillId="8" fontId="4" numFmtId="3" xfId="0" applyAlignment="1" applyBorder="1" applyFont="1" applyNumberFormat="1">
      <alignment horizontal="center" vertical="center"/>
    </xf>
    <xf borderId="4" fillId="9" fontId="19" numFmtId="171" xfId="0" applyAlignment="1" applyBorder="1" applyFill="1" applyFont="1" applyNumberFormat="1">
      <alignment horizontal="center" vertical="center"/>
    </xf>
    <xf borderId="1" fillId="10" fontId="17" numFmtId="0" xfId="0" applyAlignment="1" applyBorder="1" applyFill="1" applyFont="1">
      <alignment horizontal="center" vertical="center"/>
    </xf>
    <xf borderId="4" fillId="10" fontId="4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0" fontId="20" numFmtId="0" xfId="0" applyAlignment="1" applyBorder="1" applyFont="1">
      <alignment horizontal="center" vertical="center"/>
    </xf>
    <xf borderId="4" fillId="9" fontId="18" numFmtId="172" xfId="0" applyAlignment="1" applyBorder="1" applyFont="1" applyNumberForma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4" fillId="11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12" fontId="21" numFmtId="169" xfId="0" applyAlignment="1" applyBorder="1" applyFill="1" applyFont="1" applyNumberFormat="1">
      <alignment horizontal="center" vertical="center"/>
    </xf>
    <xf borderId="4" fillId="0" fontId="7" numFmtId="170" xfId="0" applyAlignment="1" applyBorder="1" applyFont="1" applyNumberFormat="1">
      <alignment horizontal="center" vertical="center"/>
    </xf>
    <xf borderId="1" fillId="13" fontId="4" numFmtId="0" xfId="0" applyAlignment="1" applyBorder="1" applyFill="1" applyFont="1">
      <alignment horizontal="center" vertical="center"/>
    </xf>
    <xf borderId="4" fillId="13" fontId="5" numFmtId="0" xfId="0" applyAlignment="1" applyBorder="1" applyFont="1">
      <alignment horizontal="center" vertical="center"/>
    </xf>
    <xf borderId="4" fillId="0" fontId="7" numFmtId="173" xfId="0" applyAlignment="1" applyBorder="1" applyFont="1" applyNumberFormat="1">
      <alignment horizontal="center" vertical="center"/>
    </xf>
    <xf borderId="4" fillId="4" fontId="22" numFmtId="174" xfId="0" applyAlignment="1" applyBorder="1" applyFont="1" applyNumberFormat="1">
      <alignment horizontal="center" vertical="center"/>
    </xf>
    <xf borderId="0" fillId="0" fontId="14" numFmtId="0" xfId="0" applyFont="1"/>
    <xf borderId="0" fillId="0" fontId="14" numFmtId="169" xfId="0" applyFont="1" applyNumberFormat="1"/>
    <xf borderId="0" fillId="0" fontId="14" numFmtId="172" xfId="0" applyFont="1" applyNumberFormat="1"/>
    <xf borderId="0" fillId="0" fontId="23" numFmtId="169" xfId="0" applyFont="1" applyNumberFormat="1"/>
    <xf borderId="0" fillId="0" fontId="23" numFmtId="172" xfId="0" applyFont="1" applyNumberFormat="1"/>
    <xf borderId="1" fillId="3" fontId="1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4" fillId="0" fontId="15" numFmtId="175" xfId="0" applyAlignment="1" applyBorder="1" applyFont="1" applyNumberFormat="1">
      <alignment horizontal="center" vertical="center"/>
    </xf>
    <xf borderId="4" fillId="0" fontId="7" numFmtId="176" xfId="0" applyAlignment="1" applyBorder="1" applyFont="1" applyNumberFormat="1">
      <alignment horizontal="center" vertical="center"/>
    </xf>
    <xf borderId="4" fillId="0" fontId="15" numFmtId="176" xfId="0" applyAlignment="1" applyBorder="1" applyFont="1" applyNumberFormat="1">
      <alignment horizontal="center" vertical="center"/>
    </xf>
    <xf borderId="7" fillId="9" fontId="18" numFmtId="170" xfId="0" applyBorder="1" applyFont="1" applyNumberFormat="1"/>
    <xf borderId="1" fillId="11" fontId="1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0" fontId="15" numFmtId="0" xfId="0" applyAlignment="1" applyBorder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4" fillId="14" fontId="5" numFmtId="0" xfId="0" applyAlignment="1" applyBorder="1" applyFont="1">
      <alignment horizontal="center" vertical="center"/>
    </xf>
    <xf borderId="4" fillId="0" fontId="7" numFmtId="177" xfId="0" applyAlignment="1" applyBorder="1" applyFont="1" applyNumberFormat="1">
      <alignment horizontal="center" vertical="center"/>
    </xf>
    <xf borderId="7" fillId="8" fontId="1" numFmtId="0" xfId="0" applyAlignment="1" applyBorder="1" applyFont="1">
      <alignment horizontal="center" vertical="center"/>
    </xf>
    <xf borderId="7" fillId="15" fontId="24" numFmtId="0" xfId="0" applyBorder="1" applyFill="1" applyFont="1"/>
    <xf borderId="0" fillId="0" fontId="7" numFmtId="0" xfId="0" applyFont="1"/>
    <xf borderId="4" fillId="7" fontId="6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23" numFmtId="0" xfId="0" applyAlignment="1" applyFont="1">
      <alignment horizontal="center" vertical="center"/>
    </xf>
    <xf borderId="4" fillId="7" fontId="6" numFmtId="0" xfId="0" applyAlignment="1" applyBorder="1" applyFont="1">
      <alignment horizontal="center" readingOrder="0" vertical="center"/>
    </xf>
    <xf borderId="4" fillId="7" fontId="6" numFmtId="166" xfId="0" applyAlignment="1" applyBorder="1" applyFont="1" applyNumberFormat="1">
      <alignment horizontal="center" vertical="center"/>
    </xf>
    <xf borderId="4" fillId="7" fontId="6" numFmtId="0" xfId="0" applyAlignment="1" applyBorder="1" applyFont="1">
      <alignment horizontal="left" readingOrder="0" vertical="center"/>
    </xf>
    <xf borderId="7" fillId="16" fontId="15" numFmtId="0" xfId="0" applyBorder="1" applyFill="1" applyFont="1"/>
    <xf borderId="4" fillId="7" fontId="6" numFmtId="178" xfId="0" applyAlignment="1" applyBorder="1" applyFont="1" applyNumberFormat="1">
      <alignment horizontal="center" vertical="center"/>
    </xf>
    <xf borderId="4" fillId="7" fontId="6" numFmtId="1" xfId="0" applyAlignment="1" applyBorder="1" applyFont="1" applyNumberFormat="1">
      <alignment horizontal="center" vertical="center"/>
    </xf>
    <xf borderId="0" fillId="0" fontId="15" numFmtId="0" xfId="0" applyFont="1"/>
    <xf borderId="1" fillId="13" fontId="1" numFmtId="0" xfId="0" applyAlignment="1" applyBorder="1" applyFont="1">
      <alignment horizontal="center" vertical="center"/>
    </xf>
    <xf borderId="4" fillId="4" fontId="7" numFmtId="169" xfId="0" applyAlignment="1" applyBorder="1" applyFont="1" applyNumberFormat="1">
      <alignment horizontal="center" vertical="center"/>
    </xf>
    <xf borderId="4" fillId="4" fontId="7" numFmtId="176" xfId="0" applyAlignment="1" applyBorder="1" applyFont="1" applyNumberFormat="1">
      <alignment horizontal="center" vertical="center"/>
    </xf>
    <xf borderId="4" fillId="4" fontId="7" numFmtId="172" xfId="0" applyAlignment="1" applyBorder="1" applyFont="1" applyNumberFormat="1">
      <alignment horizontal="center" vertical="center"/>
    </xf>
    <xf borderId="4" fillId="9" fontId="15" numFmtId="172" xfId="0" applyAlignment="1" applyBorder="1" applyFont="1" applyNumberFormat="1">
      <alignment horizontal="center" vertical="center"/>
    </xf>
    <xf borderId="4" fillId="4" fontId="15" numFmtId="0" xfId="0" applyAlignment="1" applyBorder="1" applyFont="1">
      <alignment horizontal="center" vertical="center"/>
    </xf>
    <xf borderId="1" fillId="8" fontId="17" numFmtId="0" xfId="0" applyAlignment="1" applyBorder="1" applyFont="1">
      <alignment horizontal="right" vertical="center"/>
    </xf>
    <xf borderId="4" fillId="8" fontId="17" numFmtId="3" xfId="0" applyAlignment="1" applyBorder="1" applyFont="1" applyNumberFormat="1">
      <alignment horizontal="center" vertical="center"/>
    </xf>
    <xf borderId="4" fillId="8" fontId="17" numFmtId="165" xfId="0" applyAlignment="1" applyBorder="1" applyFont="1" applyNumberFormat="1">
      <alignment horizontal="center" vertical="center"/>
    </xf>
    <xf borderId="4" fillId="8" fontId="17" numFmtId="166" xfId="0" applyAlignment="1" applyBorder="1" applyFont="1" applyNumberFormat="1">
      <alignment horizontal="center" vertical="center"/>
    </xf>
    <xf borderId="0" fillId="0" fontId="23" numFmtId="0" xfId="0" applyAlignment="1" applyFont="1">
      <alignment horizontal="left" vertical="center"/>
    </xf>
    <xf borderId="1" fillId="3" fontId="5" numFmtId="0" xfId="0" applyAlignment="1" applyBorder="1" applyFont="1">
      <alignment horizontal="center" vertical="center"/>
    </xf>
    <xf borderId="1" fillId="13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center" vertical="center"/>
    </xf>
    <xf borderId="1" fillId="15" fontId="25" numFmtId="3" xfId="0" applyAlignment="1" applyBorder="1" applyFont="1" applyNumberFormat="1">
      <alignment horizontal="center" vertical="center"/>
    </xf>
    <xf borderId="1" fillId="15" fontId="25" numFmtId="4" xfId="0" applyAlignment="1" applyBorder="1" applyFont="1" applyNumberFormat="1">
      <alignment horizontal="center" vertical="center"/>
    </xf>
    <xf borderId="1" fillId="15" fontId="25" numFmtId="171" xfId="0" applyAlignment="1" applyBorder="1" applyFont="1" applyNumberFormat="1">
      <alignment horizontal="center" vertical="center"/>
    </xf>
    <xf borderId="1" fillId="8" fontId="17" numFmtId="0" xfId="0" applyAlignment="1" applyBorder="1" applyFont="1">
      <alignment horizontal="center" vertical="center"/>
    </xf>
    <xf borderId="4" fillId="8" fontId="5" numFmtId="0" xfId="0" applyAlignment="1" applyBorder="1" applyFont="1">
      <alignment horizontal="center" vertical="center"/>
    </xf>
    <xf borderId="4" fillId="0" fontId="23" numFmtId="169" xfId="0" applyAlignment="1" applyBorder="1" applyFont="1" applyNumberFormat="1">
      <alignment horizontal="center" vertical="center"/>
    </xf>
    <xf borderId="4" fillId="0" fontId="22" numFmtId="172" xfId="0" applyAlignment="1" applyBorder="1" applyFont="1" applyNumberFormat="1">
      <alignment horizontal="center" vertical="center"/>
    </xf>
    <xf borderId="1" fillId="11" fontId="17" numFmtId="0" xfId="0" applyAlignment="1" applyBorder="1" applyFont="1">
      <alignment horizontal="center" vertical="center"/>
    </xf>
    <xf borderId="4" fillId="12" fontId="26" numFmtId="0" xfId="0" applyAlignment="1" applyBorder="1" applyFont="1">
      <alignment horizontal="center" vertical="center"/>
    </xf>
    <xf borderId="4" fillId="5" fontId="19" numFmtId="0" xfId="0" applyAlignment="1" applyBorder="1" applyFont="1">
      <alignment horizontal="center" vertical="center"/>
    </xf>
    <xf borderId="4" fillId="4" fontId="27" numFmtId="0" xfId="0" applyAlignment="1" applyBorder="1" applyFont="1">
      <alignment horizontal="center" vertical="center"/>
    </xf>
    <xf borderId="1" fillId="13" fontId="17" numFmtId="0" xfId="0" applyAlignment="1" applyBorder="1" applyFont="1">
      <alignment horizontal="center" vertical="center"/>
    </xf>
    <xf borderId="4" fillId="0" fontId="23" numFmtId="0" xfId="0" applyAlignment="1" applyBorder="1" applyFont="1">
      <alignment horizontal="left" vertical="center"/>
    </xf>
    <xf borderId="4" fillId="0" fontId="23" numFmtId="176" xfId="0" applyAlignment="1" applyBorder="1" applyFont="1" applyNumberFormat="1">
      <alignment horizontal="center" vertical="center"/>
    </xf>
    <xf borderId="4" fillId="0" fontId="23" numFmtId="179" xfId="0" applyAlignment="1" applyBorder="1" applyFont="1" applyNumberFormat="1">
      <alignment horizontal="center" vertical="center"/>
    </xf>
    <xf borderId="4" fillId="4" fontId="22" numFmtId="169" xfId="0" applyAlignment="1" applyBorder="1" applyFont="1" applyNumberForma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10" fontId="4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 vertical="center"/>
    </xf>
    <xf borderId="4" fillId="13" fontId="15" numFmtId="0" xfId="0" applyAlignment="1" applyBorder="1" applyFont="1">
      <alignment horizontal="left" vertical="center"/>
    </xf>
    <xf borderId="4" fillId="13" fontId="7" numFmtId="0" xfId="0" applyAlignment="1" applyBorder="1" applyFont="1">
      <alignment horizontal="left" vertical="center"/>
    </xf>
    <xf borderId="4" fillId="13" fontId="5" numFmtId="169" xfId="0" applyAlignment="1" applyBorder="1" applyFont="1" applyNumberFormat="1">
      <alignment horizontal="center" vertical="center"/>
    </xf>
    <xf borderId="8" fillId="8" fontId="4" numFmtId="0" xfId="0" applyAlignment="1" applyBorder="1" applyFont="1">
      <alignment horizontal="right" vertical="center"/>
    </xf>
    <xf borderId="9" fillId="0" fontId="2" numFmtId="0" xfId="0" applyBorder="1" applyFont="1"/>
    <xf borderId="10" fillId="0" fontId="2" numFmtId="0" xfId="0" applyBorder="1" applyFont="1"/>
    <xf borderId="4" fillId="4" fontId="27" numFmtId="3" xfId="0" applyAlignment="1" applyBorder="1" applyFont="1" applyNumberFormat="1">
      <alignment horizontal="center" vertical="center"/>
    </xf>
    <xf borderId="1" fillId="3" fontId="17" numFmtId="0" xfId="0" applyAlignment="1" applyBorder="1" applyFont="1">
      <alignment horizontal="center" vertical="center"/>
    </xf>
    <xf borderId="4" fillId="0" fontId="23" numFmtId="0" xfId="0" applyAlignment="1" applyBorder="1" applyFont="1">
      <alignment horizontal="center" vertical="center"/>
    </xf>
    <xf borderId="4" fillId="0" fontId="23" numFmtId="172" xfId="0" applyAlignment="1" applyBorder="1" applyFont="1" applyNumberFormat="1">
      <alignment horizontal="center" vertical="center"/>
    </xf>
    <xf borderId="1" fillId="6" fontId="4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vertical="center"/>
    </xf>
    <xf borderId="4" fillId="0" fontId="15" numFmtId="180" xfId="0" applyAlignment="1" applyBorder="1" applyFont="1" applyNumberFormat="1">
      <alignment horizontal="center" vertical="center"/>
    </xf>
  </cellXfs>
  <cellStyles count="1">
    <cellStyle xfId="0" name="Normal" builtinId="0"/>
  </cellStyles>
  <dxfs count="9"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9C57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10.0"/>
        <color rgb="FFA0522D"/>
        <name val="Arial"/>
      </font>
      <fill>
        <patternFill patternType="solid">
          <fgColor rgb="FFFCD5B4"/>
          <bgColor rgb="FFFCD5B4"/>
        </patternFill>
      </fill>
      <border/>
    </dxf>
    <dxf>
      <font>
        <b/>
        <sz val="10.0"/>
        <color rgb="FF1F4E78"/>
        <name val="Arial"/>
      </font>
      <fill>
        <patternFill patternType="solid">
          <fgColor rgb="FFDEEBF7"/>
          <bgColor rgb="FFDEEBF7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E2EFDA"/>
          <bgColor rgb="FFE2EFDA"/>
        </patternFill>
      </fill>
      <border/>
    </dxf>
    <dxf>
      <font>
        <b/>
        <sz val="10.0"/>
        <color rgb="FF595959"/>
        <name val="Arial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3.14"/>
    <col customWidth="1" min="4" max="4" width="18.0"/>
    <col customWidth="1" min="5" max="5" width="14.0"/>
    <col customWidth="1" min="6" max="6" width="14.29"/>
    <col customWidth="1" min="7" max="9" width="11.0"/>
    <col customWidth="1" min="10" max="10" width="12.0"/>
    <col customWidth="1" min="11" max="12" width="11.0"/>
    <col customWidth="1" min="13" max="13" width="20.0"/>
    <col customWidth="1" min="14" max="14" width="25.0"/>
    <col customWidth="1" min="15" max="15" width="22.0"/>
    <col customWidth="1" min="16" max="16" width="17.0"/>
    <col customWidth="1" min="17" max="17" width="27.14"/>
    <col customWidth="1" min="18" max="18" width="14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4.0" customHeight="1">
      <c r="A2" s="4" t="s">
        <v>1</v>
      </c>
    </row>
    <row r="3" ht="31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6" t="s">
        <v>19</v>
      </c>
    </row>
    <row r="4" ht="15.0" customHeight="1">
      <c r="A4" s="7">
        <v>46146.0</v>
      </c>
      <c r="B4" s="8" t="s">
        <v>20</v>
      </c>
      <c r="C4" s="8" t="s">
        <v>21</v>
      </c>
      <c r="D4" s="8" t="s">
        <v>22</v>
      </c>
      <c r="E4" s="8" t="s">
        <v>23</v>
      </c>
      <c r="F4" s="9">
        <v>29.0</v>
      </c>
      <c r="G4" s="10">
        <f>IFERROR(F4*VLOOKUP(D4,TELAS!$A$4:$C$32,3,FALSE()),0)</f>
        <v>580</v>
      </c>
      <c r="H4" s="11" t="str">
        <f>IFERROR(VLOOKUP(E4,COLORES!$A$4:$B$102,2,FALSE()),"")</f>
        <v>OSCURO</v>
      </c>
      <c r="I4" s="12">
        <f>IFERROR(IF(H4="OSCURO",VLOOKUP(D4,PRECIOS!$A$4:$F$32,2,FALSE()),IF(H4="CLARO",VLOOKUP(D4,PRECIOS!$A$4:$F$32,3,FALSE()),IF(H4="MELANGE",VLOOKUP(D4,PRECIOS!$A$4:$F$32,4,FALSE()),IF(H4="PPT",VLOOKUP(D4,PRECIOS!$A$4:$F$32,5,FALSE()),0)))),0)</f>
        <v>24</v>
      </c>
      <c r="J4" s="12">
        <f t="shared" ref="J4:J108" si="1">IFERROR(G4*I4,0)</f>
        <v>13920</v>
      </c>
      <c r="K4" s="13">
        <f>0</f>
        <v>0</v>
      </c>
      <c r="L4" s="13">
        <f t="shared" ref="L4:L108" si="2">IF(C4="",0,K4+IF(OR(B4="INGRESO",B4="DE REPROCESO",B4="AJUSTE+"),F4,IF(OR(B4="A CORTE",B4="A REPROCESO",B4="MUESTRA",B4="AJUSTE-"),-F4,0)))</f>
        <v>29</v>
      </c>
      <c r="M4" s="8" t="s">
        <v>24</v>
      </c>
      <c r="N4" s="14"/>
      <c r="O4" s="14" t="s">
        <v>25</v>
      </c>
      <c r="P4" s="14"/>
      <c r="Q4" s="15"/>
      <c r="R4" s="16" t="str">
        <f t="shared" ref="R4:R136" si="3">IF(OR(Q4="",Q4=0,J4=0),"",(Q4-J4)/J4)</f>
        <v/>
      </c>
    </row>
    <row r="5" ht="15.0" customHeight="1">
      <c r="A5" s="7">
        <v>46146.0</v>
      </c>
      <c r="B5" s="8" t="s">
        <v>20</v>
      </c>
      <c r="C5" s="8" t="s">
        <v>21</v>
      </c>
      <c r="D5" s="8" t="s">
        <v>22</v>
      </c>
      <c r="E5" s="8" t="s">
        <v>26</v>
      </c>
      <c r="F5" s="9">
        <v>48.0</v>
      </c>
      <c r="G5" s="10">
        <f>IFERROR(F5*VLOOKUP(D5,TELAS!$A$4:$C$32,3,FALSE()),0)</f>
        <v>960</v>
      </c>
      <c r="H5" s="11" t="str">
        <f>IFERROR(VLOOKUP(E5,COLORES!$A$4:$B$102,2,FALSE()),"")</f>
        <v>PPT</v>
      </c>
      <c r="I5" s="12">
        <f>IFERROR(IF(H5="OSCURO",VLOOKUP(D5,PRECIOS!$A$4:$F$32,2,FALSE()),IF(H5="CLARO",VLOOKUP(D5,PRECIOS!$A$4:$F$32,3,FALSE()),IF(H5="MELANGE",VLOOKUP(D5,PRECIOS!$A$4:$F$32,4,FALSE()),IF(H5="PPT",VLOOKUP(D5,PRECIOS!$A$4:$F$32,5,FALSE()),0)))),0)</f>
        <v>18</v>
      </c>
      <c r="J5" s="12">
        <f t="shared" si="1"/>
        <v>17280</v>
      </c>
      <c r="K5" s="13">
        <f>IFERROR(IF(C5="",0,SUMIFS($F$4,$C$4,C5,$D$4,D5,$E$4,E5,$B$4,"INGRESO")+SUMIFS($F$4,$C$4,C5,$D$4,D5,$E$4,E5,$B$4,"DE REPROCESO")+SUMIFS($F$4,$C$4,C5,$D$4,D5,$E$4,E5,$B$4,"AJUSTE+")-SUMIFS($F$4,$C$4,C5,$D$4,D5,$E$4,E5,$B$4,"A CORTE")-SUMIFS($F$4,$C$4,C5,$D$4,D5,$E$4,E5,$B$4,"A REPROCESO")-SUMIFS($F$4,$C$4,C5,$D$4,D5,$E$4,E5,$B$4,"MUESTRA")-SUMIFS($F$4,$C$4,C5,$D$4,D5,$E$4,E5,$B$4,"AJUSTE-")),0)</f>
        <v>0</v>
      </c>
      <c r="L5" s="13">
        <f t="shared" si="2"/>
        <v>48</v>
      </c>
      <c r="M5" s="8" t="s">
        <v>24</v>
      </c>
      <c r="N5" s="14"/>
      <c r="O5" s="14" t="s">
        <v>25</v>
      </c>
      <c r="P5" s="14"/>
      <c r="Q5" s="15"/>
      <c r="R5" s="16" t="str">
        <f t="shared" si="3"/>
        <v/>
      </c>
    </row>
    <row r="6" ht="15.0" customHeight="1">
      <c r="A6" s="7">
        <v>46146.0</v>
      </c>
      <c r="B6" s="8" t="s">
        <v>20</v>
      </c>
      <c r="C6" s="8" t="s">
        <v>21</v>
      </c>
      <c r="D6" s="8" t="s">
        <v>22</v>
      </c>
      <c r="E6" s="8" t="s">
        <v>27</v>
      </c>
      <c r="F6" s="9">
        <v>10.0</v>
      </c>
      <c r="G6" s="10">
        <f>IFERROR(F6*VLOOKUP(D6,TELAS!$A$4:$C$32,3,FALSE()),0)</f>
        <v>200</v>
      </c>
      <c r="H6" s="11" t="str">
        <f>IFERROR(VLOOKUP(E6,COLORES!$A$4:$B$102,2,FALSE()),"")</f>
        <v>OSCURO</v>
      </c>
      <c r="I6" s="12">
        <f>IFERROR(IF(H6="OSCURO",VLOOKUP(D6,PRECIOS!$A$4:$F$32,2,FALSE()),IF(H6="CLARO",VLOOKUP(D6,PRECIOS!$A$4:$F$32,3,FALSE()),IF(H6="MELANGE",VLOOKUP(D6,PRECIOS!$A$4:$F$32,4,FALSE()),IF(H6="PPT",VLOOKUP(D6,PRECIOS!$A$4:$F$32,5,FALSE()),0)))),0)</f>
        <v>24</v>
      </c>
      <c r="J6" s="12">
        <f t="shared" si="1"/>
        <v>4800</v>
      </c>
      <c r="K6" s="13">
        <f>IFERROR(IF(C6="",0,SUMIFS($F$4:$F$5,$C$4:$C$5,C6,$D$4:$D$5,D6,$E$4:$E$5,E6,$B$4:$B$5,"INGRESO")+SUMIFS($F$4:$F$5,$C$4:$C$5,C6,$D$4:$D$5,D6,$E$4:$E$5,E6,$B$4:$B$5,"DE REPROCESO")+SUMIFS($F$4:$F$5,$C$4:$C$5,C6,$D$4:$D$5,D6,$E$4:$E$5,E6,$B$4:$B$5,"AJUSTE+")-SUMIFS($F$4:$F$5,$C$4:$C$5,C6,$D$4:$D$5,D6,$E$4:$E$5,E6,$B$4:$B$5,"A CORTE")-SUMIFS($F$4:$F$5,$C$4:$C$5,C6,$D$4:$D$5,D6,$E$4:$E$5,E6,$B$4:$B$5,"A REPROCESO")-SUMIFS($F$4:$F$5,$C$4:$C$5,C6,$D$4:$D$5,D6,$E$4:$E$5,E6,$B$4:$B$5,"MUESTRA")-SUMIFS($F$4:$F$5,$C$4:$C$5,C6,$D$4:$D$5,D6,$E$4:$E$5,E6,$B$4:$B$5,"AJUSTE-")),0)</f>
        <v>0</v>
      </c>
      <c r="L6" s="13">
        <f t="shared" si="2"/>
        <v>10</v>
      </c>
      <c r="M6" s="8" t="s">
        <v>24</v>
      </c>
      <c r="N6" s="14"/>
      <c r="O6" s="14" t="s">
        <v>25</v>
      </c>
      <c r="P6" s="14"/>
      <c r="Q6" s="15"/>
      <c r="R6" s="16" t="str">
        <f t="shared" si="3"/>
        <v/>
      </c>
    </row>
    <row r="7" ht="15.0" customHeight="1">
      <c r="A7" s="7">
        <v>46146.0</v>
      </c>
      <c r="B7" s="8" t="s">
        <v>20</v>
      </c>
      <c r="C7" s="8" t="s">
        <v>21</v>
      </c>
      <c r="D7" s="8" t="s">
        <v>22</v>
      </c>
      <c r="E7" s="8" t="s">
        <v>28</v>
      </c>
      <c r="F7" s="9">
        <v>15.0</v>
      </c>
      <c r="G7" s="10">
        <f>IFERROR(F7*VLOOKUP(D7,TELAS!$A$4:$C$32,3,FALSE()),0)</f>
        <v>300</v>
      </c>
      <c r="H7" s="11" t="str">
        <f>IFERROR(VLOOKUP(E7,COLORES!$A$4:$B$102,2,FALSE()),"")</f>
        <v>OSCURO</v>
      </c>
      <c r="I7" s="12">
        <f>IFERROR(IF(H7="OSCURO",VLOOKUP(D7,PRECIOS!$A$4:$F$32,2,FALSE()),IF(H7="CLARO",VLOOKUP(D7,PRECIOS!$A$4:$F$32,3,FALSE()),IF(H7="MELANGE",VLOOKUP(D7,PRECIOS!$A$4:$F$32,4,FALSE()),IF(H7="PPT",VLOOKUP(D7,PRECIOS!$A$4:$F$32,5,FALSE()),0)))),0)</f>
        <v>24</v>
      </c>
      <c r="J7" s="12">
        <f t="shared" si="1"/>
        <v>7200</v>
      </c>
      <c r="K7" s="13">
        <f>IFERROR(IF(C7="",0,SUMIFS($F$4:$F$6,$C$4:$C$6,C7,$D$4:$D$6,D7,$E$4:$E$6,E7,$B$4:$B$6,"INGRESO")+SUMIFS($F$4:$F$6,$C$4:$C$6,C7,$D$4:$D$6,D7,$E$4:$E$6,E7,$B$4:$B$6,"DE REPROCESO")+SUMIFS($F$4:$F$6,$C$4:$C$6,C7,$D$4:$D$6,D7,$E$4:$E$6,E7,$B$4:$B$6,"AJUSTE+")-SUMIFS($F$4:$F$6,$C$4:$C$6,C7,$D$4:$D$6,D7,$E$4:$E$6,E7,$B$4:$B$6,"A CORTE")-SUMIFS($F$4:$F$6,$C$4:$C$6,C7,$D$4:$D$6,D7,$E$4:$E$6,E7,$B$4:$B$6,"A REPROCESO")-SUMIFS($F$4:$F$6,$C$4:$C$6,C7,$D$4:$D$6,D7,$E$4:$E$6,E7,$B$4:$B$6,"MUESTRA")-SUMIFS($F$4:$F$6,$C$4:$C$6,C7,$D$4:$D$6,D7,$E$4:$E$6,E7,$B$4:$B$6,"AJUSTE-")),0)</f>
        <v>0</v>
      </c>
      <c r="L7" s="13">
        <f t="shared" si="2"/>
        <v>15</v>
      </c>
      <c r="M7" s="8" t="s">
        <v>24</v>
      </c>
      <c r="N7" s="14"/>
      <c r="O7" s="14" t="s">
        <v>25</v>
      </c>
      <c r="P7" s="14"/>
      <c r="Q7" s="15"/>
      <c r="R7" s="16" t="str">
        <f t="shared" si="3"/>
        <v/>
      </c>
    </row>
    <row r="8" ht="15.0" customHeight="1">
      <c r="A8" s="7">
        <v>46146.0</v>
      </c>
      <c r="B8" s="8" t="s">
        <v>20</v>
      </c>
      <c r="C8" s="8" t="s">
        <v>21</v>
      </c>
      <c r="D8" s="8" t="s">
        <v>22</v>
      </c>
      <c r="E8" s="8" t="s">
        <v>29</v>
      </c>
      <c r="F8" s="9">
        <v>10.0</v>
      </c>
      <c r="G8" s="10">
        <f>IFERROR(F8*VLOOKUP(D8,TELAS!$A$4:$C$32,3,FALSE()),0)</f>
        <v>200</v>
      </c>
      <c r="H8" s="11" t="str">
        <f>IFERROR(VLOOKUP(E8,COLORES!$A$4:$B$102,2,FALSE()),"")</f>
        <v>CLARO</v>
      </c>
      <c r="I8" s="12">
        <f>IFERROR(IF(H8="OSCURO",VLOOKUP(D8,PRECIOS!$A$4:$F$32,2,FALSE()),IF(H8="CLARO",VLOOKUP(D8,PRECIOS!$A$4:$F$32,3,FALSE()),IF(H8="MELANGE",VLOOKUP(D8,PRECIOS!$A$4:$F$32,4,FALSE()),IF(H8="PPT",VLOOKUP(D8,PRECIOS!$A$4:$F$32,5,FALSE()),0)))),0)</f>
        <v>21</v>
      </c>
      <c r="J8" s="12">
        <f t="shared" si="1"/>
        <v>4200</v>
      </c>
      <c r="K8" s="13">
        <f>IFERROR(IF(C8="",0,SUMIFS($F$4:$F$7,$C$4:$C$7,C8,$D$4:$D$7,D8,$E$4:$E$7,E8,$B$4:$B$7,"INGRESO")+SUMIFS($F$4:$F$7,$C$4:$C$7,C8,$D$4:$D$7,D8,$E$4:$E$7,E8,$B$4:$B$7,"DE REPROCESO")+SUMIFS($F$4:$F$7,$C$4:$C$7,C8,$D$4:$D$7,D8,$E$4:$E$7,E8,$B$4:$B$7,"AJUSTE+")-SUMIFS($F$4:$F$7,$C$4:$C$7,C8,$D$4:$D$7,D8,$E$4:$E$7,E8,$B$4:$B$7,"A CORTE")-SUMIFS($F$4:$F$7,$C$4:$C$7,C8,$D$4:$D$7,D8,$E$4:$E$7,E8,$B$4:$B$7,"A REPROCESO")-SUMIFS($F$4:$F$7,$C$4:$C$7,C8,$D$4:$D$7,D8,$E$4:$E$7,E8,$B$4:$B$7,"MUESTRA")-SUMIFS($F$4:$F$7,$C$4:$C$7,C8,$D$4:$D$7,D8,$E$4:$E$7,E8,$B$4:$B$7,"AJUSTE-")),0)</f>
        <v>0</v>
      </c>
      <c r="L8" s="13">
        <f t="shared" si="2"/>
        <v>10</v>
      </c>
      <c r="M8" s="8" t="s">
        <v>24</v>
      </c>
      <c r="N8" s="14"/>
      <c r="O8" s="14" t="s">
        <v>25</v>
      </c>
      <c r="P8" s="14"/>
      <c r="Q8" s="15"/>
      <c r="R8" s="16" t="str">
        <f t="shared" si="3"/>
        <v/>
      </c>
    </row>
    <row r="9" ht="15.0" customHeight="1">
      <c r="A9" s="7">
        <v>46146.0</v>
      </c>
      <c r="B9" s="8" t="s">
        <v>20</v>
      </c>
      <c r="C9" s="8" t="s">
        <v>21</v>
      </c>
      <c r="D9" s="8" t="s">
        <v>22</v>
      </c>
      <c r="E9" s="8" t="s">
        <v>30</v>
      </c>
      <c r="F9" s="9">
        <v>23.0</v>
      </c>
      <c r="G9" s="10">
        <f>IFERROR(F9*VLOOKUP(D9,TELAS!$A$4:$C$32,3,FALSE()),0)</f>
        <v>460</v>
      </c>
      <c r="H9" s="11" t="str">
        <f>IFERROR(VLOOKUP(E9,COLORES!$A$4:$B$102,2,FALSE()),"")</f>
        <v>CLARO</v>
      </c>
      <c r="I9" s="12">
        <f>IFERROR(IF(H9="OSCURO",VLOOKUP(D9,PRECIOS!$A$4:$F$32,2,FALSE()),IF(H9="CLARO",VLOOKUP(D9,PRECIOS!$A$4:$F$32,3,FALSE()),IF(H9="MELANGE",VLOOKUP(D9,PRECIOS!$A$4:$F$32,4,FALSE()),IF(H9="PPT",VLOOKUP(D9,PRECIOS!$A$4:$F$32,5,FALSE()),0)))),0)</f>
        <v>21</v>
      </c>
      <c r="J9" s="12">
        <f t="shared" si="1"/>
        <v>9660</v>
      </c>
      <c r="K9" s="13">
        <f>IFERROR(IF(C9="",0,SUMIFS($F$4:$F$8,$C$4:$C$8,C9,$D$4:$D$8,D9,$E$4:$E$8,E9,$B$4:$B$8,"INGRESO")+SUMIFS($F$4:$F$8,$C$4:$C$8,C9,$D$4:$D$8,D9,$E$4:$E$8,E9,$B$4:$B$8,"DE REPROCESO")+SUMIFS($F$4:$F$8,$C$4:$C$8,C9,$D$4:$D$8,D9,$E$4:$E$8,E9,$B$4:$B$8,"AJUSTE+")-SUMIFS($F$4:$F$8,$C$4:$C$8,C9,$D$4:$D$8,D9,$E$4:$E$8,E9,$B$4:$B$8,"A CORTE")-SUMIFS($F$4:$F$8,$C$4:$C$8,C9,$D$4:$D$8,D9,$E$4:$E$8,E9,$B$4:$B$8,"A REPROCESO")-SUMIFS($F$4:$F$8,$C$4:$C$8,C9,$D$4:$D$8,D9,$E$4:$E$8,E9,$B$4:$B$8,"MUESTRA")-SUMIFS($F$4:$F$8,$C$4:$C$8,C9,$D$4:$D$8,D9,$E$4:$E$8,E9,$B$4:$B$8,"AJUSTE-")),0)</f>
        <v>0</v>
      </c>
      <c r="L9" s="13">
        <f t="shared" si="2"/>
        <v>23</v>
      </c>
      <c r="M9" s="8" t="s">
        <v>24</v>
      </c>
      <c r="N9" s="14"/>
      <c r="O9" s="14" t="s">
        <v>25</v>
      </c>
      <c r="P9" s="14"/>
      <c r="Q9" s="15"/>
      <c r="R9" s="16" t="str">
        <f t="shared" si="3"/>
        <v/>
      </c>
    </row>
    <row r="10" ht="15.0" customHeight="1">
      <c r="A10" s="7">
        <v>46146.0</v>
      </c>
      <c r="B10" s="8" t="s">
        <v>20</v>
      </c>
      <c r="C10" s="8" t="s">
        <v>21</v>
      </c>
      <c r="D10" s="8" t="s">
        <v>22</v>
      </c>
      <c r="E10" s="8" t="s">
        <v>31</v>
      </c>
      <c r="F10" s="9">
        <v>24.0</v>
      </c>
      <c r="G10" s="10">
        <f>IFERROR(F10*VLOOKUP(D10,TELAS!$A$4:$C$32,3,FALSE()),0)</f>
        <v>480</v>
      </c>
      <c r="H10" s="11" t="str">
        <f>IFERROR(VLOOKUP(E10,COLORES!$A$4:$B$102,2,FALSE()),"")</f>
        <v>CLARO</v>
      </c>
      <c r="I10" s="12">
        <f>IFERROR(IF(H10="OSCURO",VLOOKUP(D10,PRECIOS!$A$4:$F$32,2,FALSE()),IF(H10="CLARO",VLOOKUP(D10,PRECIOS!$A$4:$F$32,3,FALSE()),IF(H10="MELANGE",VLOOKUP(D10,PRECIOS!$A$4:$F$32,4,FALSE()),IF(H10="PPT",VLOOKUP(D10,PRECIOS!$A$4:$F$32,5,FALSE()),0)))),0)</f>
        <v>21</v>
      </c>
      <c r="J10" s="12">
        <f t="shared" si="1"/>
        <v>10080</v>
      </c>
      <c r="K10" s="13">
        <f>IFERROR(IF(C10="",0,SUMIFS($F$4:$F$9,$C$4:$C$9,C10,$D$4:$D$9,D10,$E$4:$E$9,E10,$B$4:$B$9,"INGRESO")+SUMIFS($F$4:$F$9,$C$4:$C$9,C10,$D$4:$D$9,D10,$E$4:$E$9,E10,$B$4:$B$9,"DE REPROCESO")+SUMIFS($F$4:$F$9,$C$4:$C$9,C10,$D$4:$D$9,D10,$E$4:$E$9,E10,$B$4:$B$9,"AJUSTE+")-SUMIFS($F$4:$F$9,$C$4:$C$9,C10,$D$4:$D$9,D10,$E$4:$E$9,E10,$B$4:$B$9,"A CORTE")-SUMIFS($F$4:$F$9,$C$4:$C$9,C10,$D$4:$D$9,D10,$E$4:$E$9,E10,$B$4:$B$9,"A REPROCESO")-SUMIFS($F$4:$F$9,$C$4:$C$9,C10,$D$4:$D$9,D10,$E$4:$E$9,E10,$B$4:$B$9,"MUESTRA")-SUMIFS($F$4:$F$9,$C$4:$C$9,C10,$D$4:$D$9,D10,$E$4:$E$9,E10,$B$4:$B$9,"AJUSTE-")),0)</f>
        <v>0</v>
      </c>
      <c r="L10" s="13">
        <f t="shared" si="2"/>
        <v>24</v>
      </c>
      <c r="M10" s="8" t="s">
        <v>24</v>
      </c>
      <c r="N10" s="14"/>
      <c r="O10" s="14" t="s">
        <v>25</v>
      </c>
      <c r="P10" s="14"/>
      <c r="Q10" s="15"/>
      <c r="R10" s="16" t="str">
        <f t="shared" si="3"/>
        <v/>
      </c>
    </row>
    <row r="11" ht="15.0" customHeight="1">
      <c r="A11" s="7">
        <v>46146.0</v>
      </c>
      <c r="B11" s="8" t="s">
        <v>20</v>
      </c>
      <c r="C11" s="8" t="s">
        <v>21</v>
      </c>
      <c r="D11" s="8" t="s">
        <v>22</v>
      </c>
      <c r="E11" s="8" t="s">
        <v>32</v>
      </c>
      <c r="F11" s="9">
        <v>14.0</v>
      </c>
      <c r="G11" s="10">
        <f>IFERROR(F11*VLOOKUP(D11,TELAS!$A$4:$C$32,3,FALSE()),0)</f>
        <v>280</v>
      </c>
      <c r="H11" s="11" t="str">
        <f>IFERROR(VLOOKUP(E11,COLORES!$A$4:$B$102,2,FALSE()),"")</f>
        <v>CLARO</v>
      </c>
      <c r="I11" s="12">
        <f>IFERROR(IF(H11="OSCURO",VLOOKUP(D11,PRECIOS!$A$4:$F$32,2,FALSE()),IF(H11="CLARO",VLOOKUP(D11,PRECIOS!$A$4:$F$32,3,FALSE()),IF(H11="MELANGE",VLOOKUP(D11,PRECIOS!$A$4:$F$32,4,FALSE()),IF(H11="PPT",VLOOKUP(D11,PRECIOS!$A$4:$F$32,5,FALSE()),0)))),0)</f>
        <v>21</v>
      </c>
      <c r="J11" s="12">
        <f t="shared" si="1"/>
        <v>5880</v>
      </c>
      <c r="K11" s="13">
        <f>IFERROR(IF(C11="",0,SUMIFS($F$4:$F$10,$C$4:$C$10,C11,$D$4:$D$10,D11,$E$4:$E$10,E11,$B$4:$B$10,"INGRESO")+SUMIFS($F$4:$F$10,$C$4:$C$10,C11,$D$4:$D$10,D11,$E$4:$E$10,E11,$B$4:$B$10,"DE REPROCESO")+SUMIFS($F$4:$F$10,$C$4:$C$10,C11,$D$4:$D$10,D11,$E$4:$E$10,E11,$B$4:$B$10,"AJUSTE+")-SUMIFS($F$4:$F$10,$C$4:$C$10,C11,$D$4:$D$10,D11,$E$4:$E$10,E11,$B$4:$B$10,"A CORTE")-SUMIFS($F$4:$F$10,$C$4:$C$10,C11,$D$4:$D$10,D11,$E$4:$E$10,E11,$B$4:$B$10,"A REPROCESO")-SUMIFS($F$4:$F$10,$C$4:$C$10,C11,$D$4:$D$10,D11,$E$4:$E$10,E11,$B$4:$B$10,"MUESTRA")-SUMIFS($F$4:$F$10,$C$4:$C$10,C11,$D$4:$D$10,D11,$E$4:$E$10,E11,$B$4:$B$10,"AJUSTE-")),0)</f>
        <v>0</v>
      </c>
      <c r="L11" s="13">
        <f t="shared" si="2"/>
        <v>14</v>
      </c>
      <c r="M11" s="8" t="s">
        <v>24</v>
      </c>
      <c r="N11" s="14"/>
      <c r="O11" s="14" t="s">
        <v>25</v>
      </c>
      <c r="P11" s="14"/>
      <c r="Q11" s="15"/>
      <c r="R11" s="16" t="str">
        <f t="shared" si="3"/>
        <v/>
      </c>
    </row>
    <row r="12" ht="15.0" customHeight="1">
      <c r="A12" s="7">
        <v>46146.0</v>
      </c>
      <c r="B12" s="8" t="s">
        <v>20</v>
      </c>
      <c r="C12" s="8" t="s">
        <v>21</v>
      </c>
      <c r="D12" s="8" t="s">
        <v>22</v>
      </c>
      <c r="E12" s="17" t="s">
        <v>33</v>
      </c>
      <c r="F12" s="9">
        <v>18.0</v>
      </c>
      <c r="G12" s="10">
        <f>IFERROR(F12*VLOOKUP(D12,TELAS!$A$4:$C$32,3,FALSE()),0)</f>
        <v>360</v>
      </c>
      <c r="H12" s="11" t="str">
        <f>IFERROR(VLOOKUP(E12,COLORES!$A$4:$B$102,2,FALSE()),"")</f>
        <v>OSCURO</v>
      </c>
      <c r="I12" s="12">
        <f>IFERROR(IF(H12="OSCURO",VLOOKUP(D12,PRECIOS!$A$4:$F$32,2,FALSE()),IF(H12="CLARO",VLOOKUP(D12,PRECIOS!$A$4:$F$32,3,FALSE()),IF(H12="MELANGE",VLOOKUP(D12,PRECIOS!$A$4:$F$32,4,FALSE()),IF(H12="PPT",VLOOKUP(D12,PRECIOS!$A$4:$F$32,5,FALSE()),0)))),0)</f>
        <v>24</v>
      </c>
      <c r="J12" s="12">
        <f t="shared" si="1"/>
        <v>8640</v>
      </c>
      <c r="K12" s="13">
        <f>IFERROR(IF(C12="",0,SUMIFS($F$4:$F$11,$C$4:$C$11,C12,$D$4:$D$11,D12,$E$4:$E$11,E12,$B$4:$B$11,"INGRESO")+SUMIFS($F$4:$F$11,$C$4:$C$11,C12,$D$4:$D$11,D12,$E$4:$E$11,E12,$B$4:$B$11,"DE REPROCESO")+SUMIFS($F$4:$F$11,$C$4:$C$11,C12,$D$4:$D$11,D12,$E$4:$E$11,E12,$B$4:$B$11,"AJUSTE+")-SUMIFS($F$4:$F$11,$C$4:$C$11,C12,$D$4:$D$11,D12,$E$4:$E$11,E12,$B$4:$B$11,"A CORTE")-SUMIFS($F$4:$F$11,$C$4:$C$11,C12,$D$4:$D$11,D12,$E$4:$E$11,E12,$B$4:$B$11,"A REPROCESO")-SUMIFS($F$4:$F$11,$C$4:$C$11,C12,$D$4:$D$11,D12,$E$4:$E$11,E12,$B$4:$B$11,"MUESTRA")-SUMIFS($F$4:$F$11,$C$4:$C$11,C12,$D$4:$D$11,D12,$E$4:$E$11,E12,$B$4:$B$11,"AJUSTE-")),0)</f>
        <v>0</v>
      </c>
      <c r="L12" s="13">
        <f t="shared" si="2"/>
        <v>18</v>
      </c>
      <c r="M12" s="8" t="s">
        <v>24</v>
      </c>
      <c r="N12" s="14"/>
      <c r="O12" s="14" t="s">
        <v>25</v>
      </c>
      <c r="P12" s="14"/>
      <c r="Q12" s="15"/>
      <c r="R12" s="16" t="str">
        <f t="shared" si="3"/>
        <v/>
      </c>
    </row>
    <row r="13" ht="15.0" customHeight="1">
      <c r="A13" s="7">
        <v>46146.0</v>
      </c>
      <c r="B13" s="8" t="s">
        <v>20</v>
      </c>
      <c r="C13" s="8" t="s">
        <v>21</v>
      </c>
      <c r="D13" s="8" t="s">
        <v>22</v>
      </c>
      <c r="E13" s="8" t="s">
        <v>34</v>
      </c>
      <c r="F13" s="9">
        <v>18.0</v>
      </c>
      <c r="G13" s="10">
        <f>IFERROR(F13*VLOOKUP(D13,TELAS!$A$4:$C$32,3,FALSE()),0)</f>
        <v>360</v>
      </c>
      <c r="H13" s="11" t="str">
        <f>IFERROR(VLOOKUP(E13,COLORES!$A$4:$B$102,2,FALSE()),"")</f>
        <v>CLARO</v>
      </c>
      <c r="I13" s="12">
        <f>IFERROR(IF(H13="OSCURO",VLOOKUP(D13,PRECIOS!$A$4:$F$32,2,FALSE()),IF(H13="CLARO",VLOOKUP(D13,PRECIOS!$A$4:$F$32,3,FALSE()),IF(H13="MELANGE",VLOOKUP(D13,PRECIOS!$A$4:$F$32,4,FALSE()),IF(H13="PPT",VLOOKUP(D13,PRECIOS!$A$4:$F$32,5,FALSE()),0)))),0)</f>
        <v>21</v>
      </c>
      <c r="J13" s="12">
        <f t="shared" si="1"/>
        <v>7560</v>
      </c>
      <c r="K13" s="13">
        <f>IFERROR(IF(C13="",0,SUMIFS($F$4:$F$12,$C$4:$C$12,C13,$D$4:$D$12,D13,$E$4:$E$12,E13,$B$4:$B$12,"INGRESO")+SUMIFS($F$4:$F$12,$C$4:$C$12,C13,$D$4:$D$12,D13,$E$4:$E$12,E13,$B$4:$B$12,"DE REPROCESO")+SUMIFS($F$4:$F$12,$C$4:$C$12,C13,$D$4:$D$12,D13,$E$4:$E$12,E13,$B$4:$B$12,"AJUSTE+")-SUMIFS($F$4:$F$12,$C$4:$C$12,C13,$D$4:$D$12,D13,$E$4:$E$12,E13,$B$4:$B$12,"A CORTE")-SUMIFS($F$4:$F$12,$C$4:$C$12,C13,$D$4:$D$12,D13,$E$4:$E$12,E13,$B$4:$B$12,"A REPROCESO")-SUMIFS($F$4:$F$12,$C$4:$C$12,C13,$D$4:$D$12,D13,$E$4:$E$12,E13,$B$4:$B$12,"MUESTRA")-SUMIFS($F$4:$F$12,$C$4:$C$12,C13,$D$4:$D$12,D13,$E$4:$E$12,E13,$B$4:$B$12,"AJUSTE-")),0)</f>
        <v>0</v>
      </c>
      <c r="L13" s="13">
        <f t="shared" si="2"/>
        <v>18</v>
      </c>
      <c r="M13" s="8" t="s">
        <v>24</v>
      </c>
      <c r="N13" s="14"/>
      <c r="O13" s="14" t="s">
        <v>25</v>
      </c>
      <c r="P13" s="14"/>
      <c r="Q13" s="15"/>
      <c r="R13" s="16" t="str">
        <f t="shared" si="3"/>
        <v/>
      </c>
    </row>
    <row r="14" ht="15.0" customHeight="1">
      <c r="A14" s="7">
        <v>46146.0</v>
      </c>
      <c r="B14" s="8" t="s">
        <v>20</v>
      </c>
      <c r="C14" s="8" t="s">
        <v>21</v>
      </c>
      <c r="D14" s="8" t="s">
        <v>22</v>
      </c>
      <c r="E14" s="8" t="s">
        <v>35</v>
      </c>
      <c r="F14" s="9">
        <v>15.0</v>
      </c>
      <c r="G14" s="10">
        <f>IFERROR(F14*VLOOKUP(D14,TELAS!$A$4:$C$32,3,FALSE()),0)</f>
        <v>300</v>
      </c>
      <c r="H14" s="11" t="str">
        <f>IFERROR(VLOOKUP(E14,COLORES!$A$4:$B$102,2,FALSE()),"")</f>
        <v>OSCURO</v>
      </c>
      <c r="I14" s="12">
        <f>IFERROR(IF(H14="OSCURO",VLOOKUP(D14,PRECIOS!$A$4:$F$32,2,FALSE()),IF(H14="CLARO",VLOOKUP(D14,PRECIOS!$A$4:$F$32,3,FALSE()),IF(H14="MELANGE",VLOOKUP(D14,PRECIOS!$A$4:$F$32,4,FALSE()),IF(H14="PPT",VLOOKUP(D14,PRECIOS!$A$4:$F$32,5,FALSE()),0)))),0)</f>
        <v>24</v>
      </c>
      <c r="J14" s="12">
        <f t="shared" si="1"/>
        <v>7200</v>
      </c>
      <c r="K14" s="13">
        <f>IFERROR(IF(C14="",0,SUMIFS($F$4:$F$13,$C$4:$C$13,C14,$D$4:$D$13,D14,$E$4:$E$13,E14,$B$4:$B$13,"INGRESO")+SUMIFS($F$4:$F$13,$C$4:$C$13,C14,$D$4:$D$13,D14,$E$4:$E$13,E14,$B$4:$B$13,"DE REPROCESO")+SUMIFS($F$4:$F$13,$C$4:$C$13,C14,$D$4:$D$13,D14,$E$4:$E$13,E14,$B$4:$B$13,"AJUSTE+")-SUMIFS($F$4:$F$13,$C$4:$C$13,C14,$D$4:$D$13,D14,$E$4:$E$13,E14,$B$4:$B$13,"A CORTE")-SUMIFS($F$4:$F$13,$C$4:$C$13,C14,$D$4:$D$13,D14,$E$4:$E$13,E14,$B$4:$B$13,"A REPROCESO")-SUMIFS($F$4:$F$13,$C$4:$C$13,C14,$D$4:$D$13,D14,$E$4:$E$13,E14,$B$4:$B$13,"MUESTRA")-SUMIFS($F$4:$F$13,$C$4:$C$13,C14,$D$4:$D$13,D14,$E$4:$E$13,E14,$B$4:$B$13,"AJUSTE-")),0)</f>
        <v>0</v>
      </c>
      <c r="L14" s="13">
        <f t="shared" si="2"/>
        <v>15</v>
      </c>
      <c r="M14" s="8" t="s">
        <v>24</v>
      </c>
      <c r="N14" s="14"/>
      <c r="O14" s="14" t="s">
        <v>25</v>
      </c>
      <c r="P14" s="14"/>
      <c r="Q14" s="15"/>
      <c r="R14" s="16" t="str">
        <f t="shared" si="3"/>
        <v/>
      </c>
    </row>
    <row r="15" ht="15.0" customHeight="1">
      <c r="A15" s="7">
        <v>46141.0</v>
      </c>
      <c r="B15" s="8" t="s">
        <v>20</v>
      </c>
      <c r="C15" s="8" t="s">
        <v>36</v>
      </c>
      <c r="D15" s="8" t="s">
        <v>37</v>
      </c>
      <c r="E15" s="8" t="s">
        <v>23</v>
      </c>
      <c r="F15" s="9">
        <v>37.0</v>
      </c>
      <c r="G15" s="10">
        <f>IFERROR(F15*VLOOKUP(D15,TELAS!$A$4:$C$32,3,FALSE()),0)</f>
        <v>740</v>
      </c>
      <c r="H15" s="11" t="str">
        <f>IFERROR(VLOOKUP(E15,COLORES!$A$4:$B$102,2,FALSE()),"")</f>
        <v>OSCURO</v>
      </c>
      <c r="I15" s="12">
        <f>IFERROR(IF(H15="OSCURO",VLOOKUP(D15,PRECIOS!$A$4:$F$32,2,FALSE()),IF(H15="CLARO",VLOOKUP(D15,PRECIOS!$A$4:$F$32,3,FALSE()),IF(H15="MELANGE",VLOOKUP(D15,PRECIOS!$A$4:$F$32,4,FALSE()),IF(H15="PPT",VLOOKUP(D15,PRECIOS!$A$4:$F$32,5,FALSE()),0)))),0)</f>
        <v>24</v>
      </c>
      <c r="J15" s="12">
        <f t="shared" si="1"/>
        <v>17760</v>
      </c>
      <c r="K15" s="13">
        <f>IFERROR(IF(C15="",0,SUMIFS($F$4:$F$14,$C$4:$C$14,C15,$D$4:$D$14,D15,$E$4:$E$14,E15,$B$4:$B$14,"INGRESO")+SUMIFS($F$4:$F$14,$C$4:$C$14,C15,$D$4:$D$14,D15,$E$4:$E$14,E15,$B$4:$B$14,"DE REPROCESO")+SUMIFS($F$4:$F$14,$C$4:$C$14,C15,$D$4:$D$14,D15,$E$4:$E$14,E15,$B$4:$B$14,"AJUSTE+")-SUMIFS($F$4:$F$14,$C$4:$C$14,C15,$D$4:$D$14,D15,$E$4:$E$14,E15,$B$4:$B$14,"A CORTE")-SUMIFS($F$4:$F$14,$C$4:$C$14,C15,$D$4:$D$14,D15,$E$4:$E$14,E15,$B$4:$B$14,"A REPROCESO")-SUMIFS($F$4:$F$14,$C$4:$C$14,C15,$D$4:$D$14,D15,$E$4:$E$14,E15,$B$4:$B$14,"MUESTRA")-SUMIFS($F$4:$F$14,$C$4:$C$14,C15,$D$4:$D$14,D15,$E$4:$E$14,E15,$B$4:$B$14,"AJUSTE-")),0)</f>
        <v>0</v>
      </c>
      <c r="L15" s="13">
        <f t="shared" si="2"/>
        <v>37</v>
      </c>
      <c r="M15" s="8" t="s">
        <v>24</v>
      </c>
      <c r="N15" s="14"/>
      <c r="O15" s="14" t="s">
        <v>25</v>
      </c>
      <c r="P15" s="14"/>
      <c r="Q15" s="15"/>
      <c r="R15" s="16" t="str">
        <f t="shared" si="3"/>
        <v/>
      </c>
    </row>
    <row r="16" ht="15.0" customHeight="1">
      <c r="A16" s="7">
        <v>46141.0</v>
      </c>
      <c r="B16" s="8" t="s">
        <v>20</v>
      </c>
      <c r="C16" s="8" t="s">
        <v>36</v>
      </c>
      <c r="D16" s="8" t="s">
        <v>37</v>
      </c>
      <c r="E16" s="8" t="s">
        <v>26</v>
      </c>
      <c r="F16" s="9">
        <v>28.0</v>
      </c>
      <c r="G16" s="10">
        <f>IFERROR(F16*VLOOKUP(D16,TELAS!$A$4:$C$32,3,FALSE()),0)</f>
        <v>560</v>
      </c>
      <c r="H16" s="11" t="str">
        <f>IFERROR(VLOOKUP(E16,COLORES!$A$4:$B$102,2,FALSE()),"")</f>
        <v>PPT</v>
      </c>
      <c r="I16" s="12">
        <f>IFERROR(IF(H16="OSCURO",VLOOKUP(D16,PRECIOS!$A$4:$F$32,2,FALSE()),IF(H16="CLARO",VLOOKUP(D16,PRECIOS!$A$4:$F$32,3,FALSE()),IF(H16="MELANGE",VLOOKUP(D16,PRECIOS!$A$4:$F$32,4,FALSE()),IF(H16="PPT",VLOOKUP(D16,PRECIOS!$A$4:$F$32,5,FALSE()),0)))),0)</f>
        <v>18</v>
      </c>
      <c r="J16" s="12">
        <f t="shared" si="1"/>
        <v>10080</v>
      </c>
      <c r="K16" s="13">
        <f>IFERROR(IF(C16="",0,SUMIFS($F$4:$F$15,$C$4:$C$15,C16,$D$4:$D$15,D16,$E$4:$E$15,E16,$B$4:$B$15,"INGRESO")+SUMIFS($F$4:$F$15,$C$4:$C$15,C16,$D$4:$D$15,D16,$E$4:$E$15,E16,$B$4:$B$15,"DE REPROCESO")+SUMIFS($F$4:$F$15,$C$4:$C$15,C16,$D$4:$D$15,D16,$E$4:$E$15,E16,$B$4:$B$15,"AJUSTE+")-SUMIFS($F$4:$F$15,$C$4:$C$15,C16,$D$4:$D$15,D16,$E$4:$E$15,E16,$B$4:$B$15,"A CORTE")-SUMIFS($F$4:$F$15,$C$4:$C$15,C16,$D$4:$D$15,D16,$E$4:$E$15,E16,$B$4:$B$15,"A REPROCESO")-SUMIFS($F$4:$F$15,$C$4:$C$15,C16,$D$4:$D$15,D16,$E$4:$E$15,E16,$B$4:$B$15,"MUESTRA")-SUMIFS($F$4:$F$15,$C$4:$C$15,C16,$D$4:$D$15,D16,$E$4:$E$15,E16,$B$4:$B$15,"AJUSTE-")),0)</f>
        <v>0</v>
      </c>
      <c r="L16" s="13">
        <f t="shared" si="2"/>
        <v>28</v>
      </c>
      <c r="M16" s="8" t="s">
        <v>24</v>
      </c>
      <c r="N16" s="14"/>
      <c r="O16" s="14" t="s">
        <v>25</v>
      </c>
      <c r="P16" s="14"/>
      <c r="Q16" s="15"/>
      <c r="R16" s="16" t="str">
        <f t="shared" si="3"/>
        <v/>
      </c>
    </row>
    <row r="17" ht="15.0" customHeight="1">
      <c r="A17" s="7">
        <v>46141.0</v>
      </c>
      <c r="B17" s="8" t="s">
        <v>20</v>
      </c>
      <c r="C17" s="8" t="s">
        <v>36</v>
      </c>
      <c r="D17" s="8" t="s">
        <v>37</v>
      </c>
      <c r="E17" s="8" t="s">
        <v>27</v>
      </c>
      <c r="F17" s="9">
        <v>7.0</v>
      </c>
      <c r="G17" s="10">
        <f>IFERROR(F17*VLOOKUP(D17,TELAS!$A$4:$C$32,3,FALSE()),0)</f>
        <v>140</v>
      </c>
      <c r="H17" s="11" t="str">
        <f>IFERROR(VLOOKUP(E17,COLORES!$A$4:$B$102,2,FALSE()),"")</f>
        <v>OSCURO</v>
      </c>
      <c r="I17" s="12">
        <f>IFERROR(IF(H17="OSCURO",VLOOKUP(D17,PRECIOS!$A$4:$F$32,2,FALSE()),IF(H17="CLARO",VLOOKUP(D17,PRECIOS!$A$4:$F$32,3,FALSE()),IF(H17="MELANGE",VLOOKUP(D17,PRECIOS!$A$4:$F$32,4,FALSE()),IF(H17="PPT",VLOOKUP(D17,PRECIOS!$A$4:$F$32,5,FALSE()),0)))),0)</f>
        <v>24</v>
      </c>
      <c r="J17" s="12">
        <f t="shared" si="1"/>
        <v>3360</v>
      </c>
      <c r="K17" s="13">
        <f>IFERROR(IF(C17="",0,SUMIFS($F$4:$F$16,$C$4:$C$16,C17,$D$4:$D$16,D17,$E$4:$E$16,E17,$B$4:$B$16,"INGRESO")+SUMIFS($F$4:$F$16,$C$4:$C$16,C17,$D$4:$D$16,D17,$E$4:$E$16,E17,$B$4:$B$16,"DE REPROCESO")+SUMIFS($F$4:$F$16,$C$4:$C$16,C17,$D$4:$D$16,D17,$E$4:$E$16,E17,$B$4:$B$16,"AJUSTE+")-SUMIFS($F$4:$F$16,$C$4:$C$16,C17,$D$4:$D$16,D17,$E$4:$E$16,E17,$B$4:$B$16,"A CORTE")-SUMIFS($F$4:$F$16,$C$4:$C$16,C17,$D$4:$D$16,D17,$E$4:$E$16,E17,$B$4:$B$16,"A REPROCESO")-SUMIFS($F$4:$F$16,$C$4:$C$16,C17,$D$4:$D$16,D17,$E$4:$E$16,E17,$B$4:$B$16,"MUESTRA")-SUMIFS($F$4:$F$16,$C$4:$C$16,C17,$D$4:$D$16,D17,$E$4:$E$16,E17,$B$4:$B$16,"AJUSTE-")),0)</f>
        <v>0</v>
      </c>
      <c r="L17" s="13">
        <f t="shared" si="2"/>
        <v>7</v>
      </c>
      <c r="M17" s="8" t="s">
        <v>24</v>
      </c>
      <c r="N17" s="14"/>
      <c r="O17" s="14" t="s">
        <v>25</v>
      </c>
      <c r="P17" s="14"/>
      <c r="Q17" s="15"/>
      <c r="R17" s="16" t="str">
        <f t="shared" si="3"/>
        <v/>
      </c>
    </row>
    <row r="18" ht="15.0" customHeight="1">
      <c r="A18" s="7">
        <v>46141.0</v>
      </c>
      <c r="B18" s="8" t="s">
        <v>20</v>
      </c>
      <c r="C18" s="8" t="s">
        <v>36</v>
      </c>
      <c r="D18" s="8" t="s">
        <v>37</v>
      </c>
      <c r="E18" s="8" t="s">
        <v>28</v>
      </c>
      <c r="F18" s="9">
        <v>5.0</v>
      </c>
      <c r="G18" s="10">
        <f>IFERROR(F18*VLOOKUP(D18,TELAS!$A$4:$C$32,3,FALSE()),0)</f>
        <v>100</v>
      </c>
      <c r="H18" s="11" t="str">
        <f>IFERROR(VLOOKUP(E18,COLORES!$A$4:$B$102,2,FALSE()),"")</f>
        <v>OSCURO</v>
      </c>
      <c r="I18" s="12">
        <f>IFERROR(IF(H18="OSCURO",VLOOKUP(D18,PRECIOS!$A$4:$F$32,2,FALSE()),IF(H18="CLARO",VLOOKUP(D18,PRECIOS!$A$4:$F$32,3,FALSE()),IF(H18="MELANGE",VLOOKUP(D18,PRECIOS!$A$4:$F$32,4,FALSE()),IF(H18="PPT",VLOOKUP(D18,PRECIOS!$A$4:$F$32,5,FALSE()),0)))),0)</f>
        <v>24</v>
      </c>
      <c r="J18" s="12">
        <f t="shared" si="1"/>
        <v>2400</v>
      </c>
      <c r="K18" s="13">
        <f>IFERROR(IF(C18="",0,SUMIFS($F$4:$F$17,$C$4:$C$17,C18,$D$4:$D$17,D18,$E$4:$E$17,E18,$B$4:$B$17,"INGRESO")+SUMIFS($F$4:$F$17,$C$4:$C$17,C18,$D$4:$D$17,D18,$E$4:$E$17,E18,$B$4:$B$17,"DE REPROCESO")+SUMIFS($F$4:$F$17,$C$4:$C$17,C18,$D$4:$D$17,D18,$E$4:$E$17,E18,$B$4:$B$17,"AJUSTE+")-SUMIFS($F$4:$F$17,$C$4:$C$17,C18,$D$4:$D$17,D18,$E$4:$E$17,E18,$B$4:$B$17,"A CORTE")-SUMIFS($F$4:$F$17,$C$4:$C$17,C18,$D$4:$D$17,D18,$E$4:$E$17,E18,$B$4:$B$17,"A REPROCESO")-SUMIFS($F$4:$F$17,$C$4:$C$17,C18,$D$4:$D$17,D18,$E$4:$E$17,E18,$B$4:$B$17,"MUESTRA")-SUMIFS($F$4:$F$17,$C$4:$C$17,C18,$D$4:$D$17,D18,$E$4:$E$17,E18,$B$4:$B$17,"AJUSTE-")),0)</f>
        <v>0</v>
      </c>
      <c r="L18" s="13">
        <f t="shared" si="2"/>
        <v>5</v>
      </c>
      <c r="M18" s="8" t="s">
        <v>24</v>
      </c>
      <c r="N18" s="14"/>
      <c r="O18" s="14" t="s">
        <v>25</v>
      </c>
      <c r="P18" s="14"/>
      <c r="Q18" s="15"/>
      <c r="R18" s="16" t="str">
        <f t="shared" si="3"/>
        <v/>
      </c>
    </row>
    <row r="19" ht="15.0" customHeight="1">
      <c r="A19" s="7">
        <v>46141.0</v>
      </c>
      <c r="B19" s="8" t="s">
        <v>20</v>
      </c>
      <c r="C19" s="8" t="s">
        <v>36</v>
      </c>
      <c r="D19" s="8" t="s">
        <v>37</v>
      </c>
      <c r="E19" s="8" t="s">
        <v>29</v>
      </c>
      <c r="F19" s="9">
        <v>1.0</v>
      </c>
      <c r="G19" s="10">
        <f>IFERROR(F19*VLOOKUP(D19,TELAS!$A$4:$C$32,3,FALSE()),0)</f>
        <v>20</v>
      </c>
      <c r="H19" s="11" t="str">
        <f>IFERROR(VLOOKUP(E19,COLORES!$A$4:$B$102,2,FALSE()),"")</f>
        <v>CLARO</v>
      </c>
      <c r="I19" s="12">
        <f>IFERROR(IF(H19="OSCURO",VLOOKUP(D19,PRECIOS!$A$4:$F$32,2,FALSE()),IF(H19="CLARO",VLOOKUP(D19,PRECIOS!$A$4:$F$32,3,FALSE()),IF(H19="MELANGE",VLOOKUP(D19,PRECIOS!$A$4:$F$32,4,FALSE()),IF(H19="PPT",VLOOKUP(D19,PRECIOS!$A$4:$F$32,5,FALSE()),0)))),0)</f>
        <v>21</v>
      </c>
      <c r="J19" s="12">
        <f t="shared" si="1"/>
        <v>420</v>
      </c>
      <c r="K19" s="13">
        <f>IFERROR(IF(C19="",0,SUMIFS($F$4:$F$18,$C$4:$C$18,C19,$D$4:$D$18,D19,$E$4:$E$18,E19,$B$4:$B$18,"INGRESO")+SUMIFS($F$4:$F$18,$C$4:$C$18,C19,$D$4:$D$18,D19,$E$4:$E$18,E19,$B$4:$B$18,"DE REPROCESO")+SUMIFS($F$4:$F$18,$C$4:$C$18,C19,$D$4:$D$18,D19,$E$4:$E$18,E19,$B$4:$B$18,"AJUSTE+")-SUMIFS($F$4:$F$18,$C$4:$C$18,C19,$D$4:$D$18,D19,$E$4:$E$18,E19,$B$4:$B$18,"A CORTE")-SUMIFS($F$4:$F$18,$C$4:$C$18,C19,$D$4:$D$18,D19,$E$4:$E$18,E19,$B$4:$B$18,"A REPROCESO")-SUMIFS($F$4:$F$18,$C$4:$C$18,C19,$D$4:$D$18,D19,$E$4:$E$18,E19,$B$4:$B$18,"MUESTRA")-SUMIFS($F$4:$F$18,$C$4:$C$18,C19,$D$4:$D$18,D19,$E$4:$E$18,E19,$B$4:$B$18,"AJUSTE-")),0)</f>
        <v>0</v>
      </c>
      <c r="L19" s="13">
        <f t="shared" si="2"/>
        <v>1</v>
      </c>
      <c r="M19" s="8" t="s">
        <v>24</v>
      </c>
      <c r="N19" s="14"/>
      <c r="O19" s="14" t="s">
        <v>25</v>
      </c>
      <c r="P19" s="14"/>
      <c r="Q19" s="15"/>
      <c r="R19" s="16" t="str">
        <f t="shared" si="3"/>
        <v/>
      </c>
    </row>
    <row r="20" ht="15.0" customHeight="1">
      <c r="A20" s="7">
        <v>46141.0</v>
      </c>
      <c r="B20" s="8" t="s">
        <v>20</v>
      </c>
      <c r="C20" s="8" t="s">
        <v>36</v>
      </c>
      <c r="D20" s="8" t="s">
        <v>37</v>
      </c>
      <c r="E20" s="8" t="s">
        <v>31</v>
      </c>
      <c r="F20" s="9">
        <v>2.0</v>
      </c>
      <c r="G20" s="10">
        <f>IFERROR(F20*VLOOKUP(D20,TELAS!$A$4:$C$32,3,FALSE()),0)</f>
        <v>40</v>
      </c>
      <c r="H20" s="11" t="str">
        <f>IFERROR(VLOOKUP(E20,COLORES!$A$4:$B$102,2,FALSE()),"")</f>
        <v>CLARO</v>
      </c>
      <c r="I20" s="12">
        <f>IFERROR(IF(H20="OSCURO",VLOOKUP(D20,PRECIOS!$A$4:$F$32,2,FALSE()),IF(H20="CLARO",VLOOKUP(D20,PRECIOS!$A$4:$F$32,3,FALSE()),IF(H20="MELANGE",VLOOKUP(D20,PRECIOS!$A$4:$F$32,4,FALSE()),IF(H20="PPT",VLOOKUP(D20,PRECIOS!$A$4:$F$32,5,FALSE()),0)))),0)</f>
        <v>21</v>
      </c>
      <c r="J20" s="12">
        <f t="shared" si="1"/>
        <v>840</v>
      </c>
      <c r="K20" s="13">
        <f>IFERROR(IF(C20="",0,SUMIFS($F$4:$F$19,$C$4:$C$19,C20,$D$4:$D$19,D20,$E$4:$E$19,E20,$B$4:$B$19,"INGRESO")+SUMIFS($F$4:$F$19,$C$4:$C$19,C20,$D$4:$D$19,D20,$E$4:$E$19,E20,$B$4:$B$19,"DE REPROCESO")+SUMIFS($F$4:$F$19,$C$4:$C$19,C20,$D$4:$D$19,D20,$E$4:$E$19,E20,$B$4:$B$19,"AJUSTE+")-SUMIFS($F$4:$F$19,$C$4:$C$19,C20,$D$4:$D$19,D20,$E$4:$E$19,E20,$B$4:$B$19,"A CORTE")-SUMIFS($F$4:$F$19,$C$4:$C$19,C20,$D$4:$D$19,D20,$E$4:$E$19,E20,$B$4:$B$19,"A REPROCESO")-SUMIFS($F$4:$F$19,$C$4:$C$19,C20,$D$4:$D$19,D20,$E$4:$E$19,E20,$B$4:$B$19,"MUESTRA")-SUMIFS($F$4:$F$19,$C$4:$C$19,C20,$D$4:$D$19,D20,$E$4:$E$19,E20,$B$4:$B$19,"AJUSTE-")),0)</f>
        <v>0</v>
      </c>
      <c r="L20" s="13">
        <f t="shared" si="2"/>
        <v>2</v>
      </c>
      <c r="M20" s="8" t="s">
        <v>24</v>
      </c>
      <c r="N20" s="14"/>
      <c r="O20" s="14" t="s">
        <v>25</v>
      </c>
      <c r="P20" s="14"/>
      <c r="Q20" s="15"/>
      <c r="R20" s="16" t="str">
        <f t="shared" si="3"/>
        <v/>
      </c>
    </row>
    <row r="21" ht="15.75" customHeight="1">
      <c r="A21" s="7">
        <v>46141.0</v>
      </c>
      <c r="B21" s="8" t="s">
        <v>20</v>
      </c>
      <c r="C21" s="8" t="s">
        <v>36</v>
      </c>
      <c r="D21" s="8" t="s">
        <v>37</v>
      </c>
      <c r="E21" s="8" t="s">
        <v>32</v>
      </c>
      <c r="F21" s="9">
        <v>2.0</v>
      </c>
      <c r="G21" s="10">
        <f>IFERROR(F21*VLOOKUP(D21,TELAS!$A$4:$C$32,3,FALSE()),0)</f>
        <v>40</v>
      </c>
      <c r="H21" s="11" t="str">
        <f>IFERROR(VLOOKUP(E21,COLORES!$A$4:$B$102,2,FALSE()),"")</f>
        <v>CLARO</v>
      </c>
      <c r="I21" s="12">
        <f>IFERROR(IF(H21="OSCURO",VLOOKUP(D21,PRECIOS!$A$4:$F$32,2,FALSE()),IF(H21="CLARO",VLOOKUP(D21,PRECIOS!$A$4:$F$32,3,FALSE()),IF(H21="MELANGE",VLOOKUP(D21,PRECIOS!$A$4:$F$32,4,FALSE()),IF(H21="PPT",VLOOKUP(D21,PRECIOS!$A$4:$F$32,5,FALSE()),0)))),0)</f>
        <v>21</v>
      </c>
      <c r="J21" s="12">
        <f t="shared" si="1"/>
        <v>840</v>
      </c>
      <c r="K21" s="13">
        <f>IFERROR(IF(C21="",0,SUMIFS($F$4:$F$20,$C$4:$C$20,C21,$D$4:$D$20,D21,$E$4:$E$20,E21,$B$4:$B$20,"INGRESO")+SUMIFS($F$4:$F$20,$C$4:$C$20,C21,$D$4:$D$20,D21,$E$4:$E$20,E21,$B$4:$B$20,"DE REPROCESO")+SUMIFS($F$4:$F$20,$C$4:$C$20,C21,$D$4:$D$20,D21,$E$4:$E$20,E21,$B$4:$B$20,"AJUSTE+")-SUMIFS($F$4:$F$20,$C$4:$C$20,C21,$D$4:$D$20,D21,$E$4:$E$20,E21,$B$4:$B$20,"A CORTE")-SUMIFS($F$4:$F$20,$C$4:$C$20,C21,$D$4:$D$20,D21,$E$4:$E$20,E21,$B$4:$B$20,"A REPROCESO")-SUMIFS($F$4:$F$20,$C$4:$C$20,C21,$D$4:$D$20,D21,$E$4:$E$20,E21,$B$4:$B$20,"MUESTRA")-SUMIFS($F$4:$F$20,$C$4:$C$20,C21,$D$4:$D$20,D21,$E$4:$E$20,E21,$B$4:$B$20,"AJUSTE-")),0)</f>
        <v>0</v>
      </c>
      <c r="L21" s="13">
        <f t="shared" si="2"/>
        <v>2</v>
      </c>
      <c r="M21" s="8" t="s">
        <v>24</v>
      </c>
      <c r="N21" s="14"/>
      <c r="O21" s="14" t="s">
        <v>25</v>
      </c>
      <c r="P21" s="14"/>
      <c r="Q21" s="15"/>
      <c r="R21" s="16" t="str">
        <f t="shared" si="3"/>
        <v/>
      </c>
    </row>
    <row r="22" ht="15.75" customHeight="1">
      <c r="A22" s="7">
        <v>46141.0</v>
      </c>
      <c r="B22" s="8" t="s">
        <v>20</v>
      </c>
      <c r="C22" s="8" t="s">
        <v>36</v>
      </c>
      <c r="D22" s="8" t="s">
        <v>37</v>
      </c>
      <c r="E22" s="8" t="s">
        <v>34</v>
      </c>
      <c r="F22" s="9">
        <v>1.0</v>
      </c>
      <c r="G22" s="10">
        <f>IFERROR(F22*VLOOKUP(D22,TELAS!$A$4:$C$32,3,FALSE()),0)</f>
        <v>20</v>
      </c>
      <c r="H22" s="11" t="str">
        <f>IFERROR(VLOOKUP(E22,COLORES!$A$4:$B$102,2,FALSE()),"")</f>
        <v>CLARO</v>
      </c>
      <c r="I22" s="12">
        <f>IFERROR(IF(H22="OSCURO",VLOOKUP(D22,PRECIOS!$A$4:$F$32,2,FALSE()),IF(H22="CLARO",VLOOKUP(D22,PRECIOS!$A$4:$F$32,3,FALSE()),IF(H22="MELANGE",VLOOKUP(D22,PRECIOS!$A$4:$F$32,4,FALSE()),IF(H22="PPT",VLOOKUP(D22,PRECIOS!$A$4:$F$32,5,FALSE()),0)))),0)</f>
        <v>21</v>
      </c>
      <c r="J22" s="12">
        <f t="shared" si="1"/>
        <v>420</v>
      </c>
      <c r="K22" s="13">
        <f>IFERROR(IF(C22="",0,SUMIFS($F$4:$F$21,$C$4:$C$21,C22,$D$4:$D$21,D22,$E$4:$E$21,E22,$B$4:$B$21,"INGRESO")+SUMIFS($F$4:$F$21,$C$4:$C$21,C22,$D$4:$D$21,D22,$E$4:$E$21,E22,$B$4:$B$21,"DE REPROCESO")+SUMIFS($F$4:$F$21,$C$4:$C$21,C22,$D$4:$D$21,D22,$E$4:$E$21,E22,$B$4:$B$21,"AJUSTE+")-SUMIFS($F$4:$F$21,$C$4:$C$21,C22,$D$4:$D$21,D22,$E$4:$E$21,E22,$B$4:$B$21,"A CORTE")-SUMIFS($F$4:$F$21,$C$4:$C$21,C22,$D$4:$D$21,D22,$E$4:$E$21,E22,$B$4:$B$21,"A REPROCESO")-SUMIFS($F$4:$F$21,$C$4:$C$21,C22,$D$4:$D$21,D22,$E$4:$E$21,E22,$B$4:$B$21,"MUESTRA")-SUMIFS($F$4:$F$21,$C$4:$C$21,C22,$D$4:$D$21,D22,$E$4:$E$21,E22,$B$4:$B$21,"AJUSTE-")),0)</f>
        <v>0</v>
      </c>
      <c r="L22" s="13">
        <f t="shared" si="2"/>
        <v>1</v>
      </c>
      <c r="M22" s="8" t="s">
        <v>24</v>
      </c>
      <c r="N22" s="14"/>
      <c r="O22" s="14" t="s">
        <v>25</v>
      </c>
      <c r="P22" s="14"/>
      <c r="Q22" s="15"/>
      <c r="R22" s="16" t="str">
        <f t="shared" si="3"/>
        <v/>
      </c>
    </row>
    <row r="23" ht="15.75" customHeight="1">
      <c r="A23" s="7">
        <v>46141.0</v>
      </c>
      <c r="B23" s="8" t="s">
        <v>20</v>
      </c>
      <c r="C23" s="8" t="s">
        <v>36</v>
      </c>
      <c r="D23" s="8" t="s">
        <v>37</v>
      </c>
      <c r="E23" s="8" t="s">
        <v>35</v>
      </c>
      <c r="F23" s="9">
        <v>4.0</v>
      </c>
      <c r="G23" s="10">
        <f>IFERROR(F23*VLOOKUP(D23,TELAS!$A$4:$C$32,3,FALSE()),0)</f>
        <v>80</v>
      </c>
      <c r="H23" s="11" t="str">
        <f>IFERROR(VLOOKUP(E23,COLORES!$A$4:$B$102,2,FALSE()),"")</f>
        <v>OSCURO</v>
      </c>
      <c r="I23" s="12">
        <f>IFERROR(IF(H23="OSCURO",VLOOKUP(D23,PRECIOS!$A$4:$F$32,2,FALSE()),IF(H23="CLARO",VLOOKUP(D23,PRECIOS!$A$4:$F$32,3,FALSE()),IF(H23="MELANGE",VLOOKUP(D23,PRECIOS!$A$4:$F$32,4,FALSE()),IF(H23="PPT",VLOOKUP(D23,PRECIOS!$A$4:$F$32,5,FALSE()),0)))),0)</f>
        <v>24</v>
      </c>
      <c r="J23" s="12">
        <f t="shared" si="1"/>
        <v>1920</v>
      </c>
      <c r="K23" s="13">
        <f>IFERROR(IF(C23="",0,SUMIFS($F$4:$F$22,$C$4:$C$22,C23,$D$4:$D$22,D23,$E$4:$E$22,E23,$B$4:$B$22,"INGRESO")+SUMIFS($F$4:$F$22,$C$4:$C$22,C23,$D$4:$D$22,D23,$E$4:$E$22,E23,$B$4:$B$22,"DE REPROCESO")+SUMIFS($F$4:$F$22,$C$4:$C$22,C23,$D$4:$D$22,D23,$E$4:$E$22,E23,$B$4:$B$22,"AJUSTE+")-SUMIFS($F$4:$F$22,$C$4:$C$22,C23,$D$4:$D$22,D23,$E$4:$E$22,E23,$B$4:$B$22,"A CORTE")-SUMIFS($F$4:$F$22,$C$4:$C$22,C23,$D$4:$D$22,D23,$E$4:$E$22,E23,$B$4:$B$22,"A REPROCESO")-SUMIFS($F$4:$F$22,$C$4:$C$22,C23,$D$4:$D$22,D23,$E$4:$E$22,E23,$B$4:$B$22,"MUESTRA")-SUMIFS($F$4:$F$22,$C$4:$C$22,C23,$D$4:$D$22,D23,$E$4:$E$22,E23,$B$4:$B$22,"AJUSTE-")),0)</f>
        <v>0</v>
      </c>
      <c r="L23" s="13">
        <f t="shared" si="2"/>
        <v>4</v>
      </c>
      <c r="M23" s="8" t="s">
        <v>24</v>
      </c>
      <c r="N23" s="14"/>
      <c r="O23" s="14" t="s">
        <v>25</v>
      </c>
      <c r="P23" s="14"/>
      <c r="Q23" s="15"/>
      <c r="R23" s="16" t="str">
        <f t="shared" si="3"/>
        <v/>
      </c>
    </row>
    <row r="24" ht="15.75" customHeight="1">
      <c r="A24" s="7">
        <v>46142.0</v>
      </c>
      <c r="B24" s="8" t="s">
        <v>20</v>
      </c>
      <c r="C24" s="8" t="s">
        <v>21</v>
      </c>
      <c r="D24" s="8" t="s">
        <v>38</v>
      </c>
      <c r="E24" s="8" t="s">
        <v>26</v>
      </c>
      <c r="F24" s="9">
        <v>10.0</v>
      </c>
      <c r="G24" s="10">
        <f>IFERROR(F24*VLOOKUP(D24,TELAS!$A$4:$C$32,3,FALSE()),0)</f>
        <v>200</v>
      </c>
      <c r="H24" s="11" t="str">
        <f>IFERROR(VLOOKUP(E24,COLORES!$A$4:$B$102,2,FALSE()),"")</f>
        <v>PPT</v>
      </c>
      <c r="I24" s="12">
        <f>IFERROR(IF(H24="OSCURO",VLOOKUP(D24,PRECIOS!$A$4:$F$32,2,FALSE()),IF(H24="CLARO",VLOOKUP(D24,PRECIOS!$A$4:$F$32,3,FALSE()),IF(H24="MELANGE",VLOOKUP(D24,PRECIOS!$A$4:$F$32,4,FALSE()),IF(H24="PPT",VLOOKUP(D24,PRECIOS!$A$4:$F$32,5,FALSE()),0)))),0)</f>
        <v>18</v>
      </c>
      <c r="J24" s="12">
        <f t="shared" si="1"/>
        <v>3600</v>
      </c>
      <c r="K24" s="13">
        <f>IFERROR(IF(C24="",0,SUMIFS($F$4:$F$23,$C$4:$C$23,C24,$D$4:$D$23,D24,$E$4:$E$23,E24,$B$4:$B$23,"INGRESO")+SUMIFS($F$4:$F$23,$C$4:$C$23,C24,$D$4:$D$23,D24,$E$4:$E$23,E24,$B$4:$B$23,"DE REPROCESO")+SUMIFS($F$4:$F$23,$C$4:$C$23,C24,$D$4:$D$23,D24,$E$4:$E$23,E24,$B$4:$B$23,"AJUSTE+")-SUMIFS($F$4:$F$23,$C$4:$C$23,C24,$D$4:$D$23,D24,$E$4:$E$23,E24,$B$4:$B$23,"A CORTE")-SUMIFS($F$4:$F$23,$C$4:$C$23,C24,$D$4:$D$23,D24,$E$4:$E$23,E24,$B$4:$B$23,"A REPROCESO")-SUMIFS($F$4:$F$23,$C$4:$C$23,C24,$D$4:$D$23,D24,$E$4:$E$23,E24,$B$4:$B$23,"MUESTRA")-SUMIFS($F$4:$F$23,$C$4:$C$23,C24,$D$4:$D$23,D24,$E$4:$E$23,E24,$B$4:$B$23,"AJUSTE-")),0)</f>
        <v>0</v>
      </c>
      <c r="L24" s="13">
        <f t="shared" si="2"/>
        <v>10</v>
      </c>
      <c r="M24" s="8" t="s">
        <v>24</v>
      </c>
      <c r="N24" s="14"/>
      <c r="O24" s="14" t="s">
        <v>25</v>
      </c>
      <c r="P24" s="14"/>
      <c r="Q24" s="15"/>
      <c r="R24" s="16" t="str">
        <f t="shared" si="3"/>
        <v/>
      </c>
    </row>
    <row r="25" ht="15.75" customHeight="1">
      <c r="A25" s="7">
        <v>46142.0</v>
      </c>
      <c r="B25" s="8" t="s">
        <v>20</v>
      </c>
      <c r="C25" s="8" t="s">
        <v>21</v>
      </c>
      <c r="D25" s="8" t="s">
        <v>38</v>
      </c>
      <c r="E25" s="8" t="s">
        <v>27</v>
      </c>
      <c r="F25" s="9">
        <v>6.0</v>
      </c>
      <c r="G25" s="10">
        <f>IFERROR(F25*VLOOKUP(D25,TELAS!$A$4:$C$32,3,FALSE()),0)</f>
        <v>120</v>
      </c>
      <c r="H25" s="11" t="str">
        <f>IFERROR(VLOOKUP(E25,COLORES!$A$4:$B$102,2,FALSE()),"")</f>
        <v>OSCURO</v>
      </c>
      <c r="I25" s="12">
        <f>IFERROR(IF(H25="OSCURO",VLOOKUP(D25,PRECIOS!$A$4:$F$32,2,FALSE()),IF(H25="CLARO",VLOOKUP(D25,PRECIOS!$A$4:$F$32,3,FALSE()),IF(H25="MELANGE",VLOOKUP(D25,PRECIOS!$A$4:$F$32,4,FALSE()),IF(H25="PPT",VLOOKUP(D25,PRECIOS!$A$4:$F$32,5,FALSE()),0)))),0)</f>
        <v>24</v>
      </c>
      <c r="J25" s="12">
        <f t="shared" si="1"/>
        <v>2880</v>
      </c>
      <c r="K25" s="13">
        <f>IFERROR(IF(C25="",0,SUMIFS($F$4:$F$24,$C$4:$C$24,C25,$D$4:$D$24,D25,$E$4:$E$24,E25,$B$4:$B$24,"INGRESO")+SUMIFS($F$4:$F$24,$C$4:$C$24,C25,$D$4:$D$24,D25,$E$4:$E$24,E25,$B$4:$B$24,"DE REPROCESO")+SUMIFS($F$4:$F$24,$C$4:$C$24,C25,$D$4:$D$24,D25,$E$4:$E$24,E25,$B$4:$B$24,"AJUSTE+")-SUMIFS($F$4:$F$24,$C$4:$C$24,C25,$D$4:$D$24,D25,$E$4:$E$24,E25,$B$4:$B$24,"A CORTE")-SUMIFS($F$4:$F$24,$C$4:$C$24,C25,$D$4:$D$24,D25,$E$4:$E$24,E25,$B$4:$B$24,"A REPROCESO")-SUMIFS($F$4:$F$24,$C$4:$C$24,C25,$D$4:$D$24,D25,$E$4:$E$24,E25,$B$4:$B$24,"MUESTRA")-SUMIFS($F$4:$F$24,$C$4:$C$24,C25,$D$4:$D$24,D25,$E$4:$E$24,E25,$B$4:$B$24,"AJUSTE-")),0)</f>
        <v>0</v>
      </c>
      <c r="L25" s="13">
        <f t="shared" si="2"/>
        <v>6</v>
      </c>
      <c r="M25" s="8" t="s">
        <v>24</v>
      </c>
      <c r="N25" s="14"/>
      <c r="O25" s="14" t="s">
        <v>25</v>
      </c>
      <c r="P25" s="14"/>
      <c r="Q25" s="15"/>
      <c r="R25" s="16" t="str">
        <f t="shared" si="3"/>
        <v/>
      </c>
    </row>
    <row r="26" ht="15.75" customHeight="1">
      <c r="A26" s="7">
        <v>46142.0</v>
      </c>
      <c r="B26" s="8" t="s">
        <v>20</v>
      </c>
      <c r="C26" s="8" t="s">
        <v>21</v>
      </c>
      <c r="D26" s="8" t="s">
        <v>38</v>
      </c>
      <c r="E26" s="8" t="s">
        <v>28</v>
      </c>
      <c r="F26" s="18">
        <v>6.0</v>
      </c>
      <c r="G26" s="10">
        <f>IFERROR(F26*VLOOKUP(D26,TELAS!$A$4:$C$32,3,FALSE()),0)</f>
        <v>120</v>
      </c>
      <c r="H26" s="11" t="str">
        <f>IFERROR(VLOOKUP(E26,COLORES!$A$4:$B$102,2,FALSE()),"")</f>
        <v>OSCURO</v>
      </c>
      <c r="I26" s="12">
        <f>IFERROR(IF(H26="OSCURO",VLOOKUP(D26,PRECIOS!$A$4:$F$32,2,FALSE()),IF(H26="CLARO",VLOOKUP(D26,PRECIOS!$A$4:$F$32,3,FALSE()),IF(H26="MELANGE",VLOOKUP(D26,PRECIOS!$A$4:$F$32,4,FALSE()),IF(H26="PPT",VLOOKUP(D26,PRECIOS!$A$4:$F$32,5,FALSE()),0)))),0)</f>
        <v>24</v>
      </c>
      <c r="J26" s="12">
        <f t="shared" si="1"/>
        <v>2880</v>
      </c>
      <c r="K26" s="13">
        <f>IFERROR(IF(C26="",0,SUMIFS($F$4:$F$25,$C$4:$C$25,C26,$D$4:$D$25,D26,$E$4:$E$25,E26,$B$4:$B$25,"INGRESO")+SUMIFS($F$4:$F$25,$C$4:$C$25,C26,$D$4:$D$25,D26,$E$4:$E$25,E26,$B$4:$B$25,"DE REPROCESO")+SUMIFS($F$4:$F$25,$C$4:$C$25,C26,$D$4:$D$25,D26,$E$4:$E$25,E26,$B$4:$B$25,"AJUSTE+")-SUMIFS($F$4:$F$25,$C$4:$C$25,C26,$D$4:$D$25,D26,$E$4:$E$25,E26,$B$4:$B$25,"A CORTE")-SUMIFS($F$4:$F$25,$C$4:$C$25,C26,$D$4:$D$25,D26,$E$4:$E$25,E26,$B$4:$B$25,"A REPROCESO")-SUMIFS($F$4:$F$25,$C$4:$C$25,C26,$D$4:$D$25,D26,$E$4:$E$25,E26,$B$4:$B$25,"MUESTRA")-SUMIFS($F$4:$F$25,$C$4:$C$25,C26,$D$4:$D$25,D26,$E$4:$E$25,E26,$B$4:$B$25,"AJUSTE-")),0)</f>
        <v>0</v>
      </c>
      <c r="L26" s="13">
        <f t="shared" si="2"/>
        <v>6</v>
      </c>
      <c r="M26" s="8" t="s">
        <v>24</v>
      </c>
      <c r="N26" s="14"/>
      <c r="O26" s="14" t="s">
        <v>25</v>
      </c>
      <c r="P26" s="14"/>
      <c r="Q26" s="15"/>
      <c r="R26" s="16" t="str">
        <f t="shared" si="3"/>
        <v/>
      </c>
    </row>
    <row r="27" ht="15.75" customHeight="1">
      <c r="A27" s="7">
        <v>46142.0</v>
      </c>
      <c r="B27" s="8" t="s">
        <v>20</v>
      </c>
      <c r="C27" s="8" t="s">
        <v>21</v>
      </c>
      <c r="D27" s="8" t="s">
        <v>38</v>
      </c>
      <c r="E27" s="8" t="s">
        <v>29</v>
      </c>
      <c r="F27" s="9">
        <v>13.0</v>
      </c>
      <c r="G27" s="10">
        <f>IFERROR(F27*VLOOKUP(D27,TELAS!$A$4:$C$32,3,FALSE()),0)</f>
        <v>260</v>
      </c>
      <c r="H27" s="11" t="str">
        <f>IFERROR(VLOOKUP(E27,COLORES!$A$4:$B$102,2,FALSE()),"")</f>
        <v>CLARO</v>
      </c>
      <c r="I27" s="12">
        <f>IFERROR(IF(H27="OSCURO",VLOOKUP(D27,PRECIOS!$A$4:$F$32,2,FALSE()),IF(H27="CLARO",VLOOKUP(D27,PRECIOS!$A$4:$F$32,3,FALSE()),IF(H27="MELANGE",VLOOKUP(D27,PRECIOS!$A$4:$F$32,4,FALSE()),IF(H27="PPT",VLOOKUP(D27,PRECIOS!$A$4:$F$32,5,FALSE()),0)))),0)</f>
        <v>21</v>
      </c>
      <c r="J27" s="12">
        <f t="shared" si="1"/>
        <v>5460</v>
      </c>
      <c r="K27" s="13">
        <f>IFERROR(IF(C27="",0,SUMIFS($F$4:$F$26,$C$4:$C$26,C27,$D$4:$D$26,D27,$E$4:$E$26,E27,$B$4:$B$26,"INGRESO")+SUMIFS($F$4:$F$26,$C$4:$C$26,C27,$D$4:$D$26,D27,$E$4:$E$26,E27,$B$4:$B$26,"DE REPROCESO")+SUMIFS($F$4:$F$26,$C$4:$C$26,C27,$D$4:$D$26,D27,$E$4:$E$26,E27,$B$4:$B$26,"AJUSTE+")-SUMIFS($F$4:$F$26,$C$4:$C$26,C27,$D$4:$D$26,D27,$E$4:$E$26,E27,$B$4:$B$26,"A CORTE")-SUMIFS($F$4:$F$26,$C$4:$C$26,C27,$D$4:$D$26,D27,$E$4:$E$26,E27,$B$4:$B$26,"A REPROCESO")-SUMIFS($F$4:$F$26,$C$4:$C$26,C27,$D$4:$D$26,D27,$E$4:$E$26,E27,$B$4:$B$26,"MUESTRA")-SUMIFS($F$4:$F$26,$C$4:$C$26,C27,$D$4:$D$26,D27,$E$4:$E$26,E27,$B$4:$B$26,"AJUSTE-")),0)</f>
        <v>0</v>
      </c>
      <c r="L27" s="13">
        <f t="shared" si="2"/>
        <v>13</v>
      </c>
      <c r="M27" s="8" t="s">
        <v>24</v>
      </c>
      <c r="N27" s="14"/>
      <c r="O27" s="14" t="s">
        <v>25</v>
      </c>
      <c r="P27" s="14"/>
      <c r="Q27" s="15"/>
      <c r="R27" s="16" t="str">
        <f t="shared" si="3"/>
        <v/>
      </c>
    </row>
    <row r="28" ht="15.75" customHeight="1">
      <c r="A28" s="7">
        <v>46142.0</v>
      </c>
      <c r="B28" s="8" t="s">
        <v>20</v>
      </c>
      <c r="C28" s="8" t="s">
        <v>21</v>
      </c>
      <c r="D28" s="8" t="s">
        <v>38</v>
      </c>
      <c r="E28" s="8" t="s">
        <v>30</v>
      </c>
      <c r="F28" s="9">
        <v>9.0</v>
      </c>
      <c r="G28" s="10">
        <f>IFERROR(F28*VLOOKUP(D28,TELAS!$A$4:$C$32,3,FALSE()),0)</f>
        <v>180</v>
      </c>
      <c r="H28" s="11" t="str">
        <f>IFERROR(VLOOKUP(E28,COLORES!$A$4:$B$102,2,FALSE()),"")</f>
        <v>CLARO</v>
      </c>
      <c r="I28" s="12">
        <f>IFERROR(IF(H28="OSCURO",VLOOKUP(D28,PRECIOS!$A$4:$F$32,2,FALSE()),IF(H28="CLARO",VLOOKUP(D28,PRECIOS!$A$4:$F$32,3,FALSE()),IF(H28="MELANGE",VLOOKUP(D28,PRECIOS!$A$4:$F$32,4,FALSE()),IF(H28="PPT",VLOOKUP(D28,PRECIOS!$A$4:$F$32,5,FALSE()),0)))),0)</f>
        <v>21</v>
      </c>
      <c r="J28" s="12">
        <f t="shared" si="1"/>
        <v>3780</v>
      </c>
      <c r="K28" s="13">
        <f>IFERROR(IF(C28="",0,SUMIFS($F$4:$F$27,$C$4:$C$27,C28,$D$4:$D$27,D28,$E$4:$E$27,E28,$B$4:$B$27,"INGRESO")+SUMIFS($F$4:$F$27,$C$4:$C$27,C28,$D$4:$D$27,D28,$E$4:$E$27,E28,$B$4:$B$27,"DE REPROCESO")+SUMIFS($F$4:$F$27,$C$4:$C$27,C28,$D$4:$D$27,D28,$E$4:$E$27,E28,$B$4:$B$27,"AJUSTE+")-SUMIFS($F$4:$F$27,$C$4:$C$27,C28,$D$4:$D$27,D28,$E$4:$E$27,E28,$B$4:$B$27,"A CORTE")-SUMIFS($F$4:$F$27,$C$4:$C$27,C28,$D$4:$D$27,D28,$E$4:$E$27,E28,$B$4:$B$27,"A REPROCESO")-SUMIFS($F$4:$F$27,$C$4:$C$27,C28,$D$4:$D$27,D28,$E$4:$E$27,E28,$B$4:$B$27,"MUESTRA")-SUMIFS($F$4:$F$27,$C$4:$C$27,C28,$D$4:$D$27,D28,$E$4:$E$27,E28,$B$4:$B$27,"AJUSTE-")),0)</f>
        <v>0</v>
      </c>
      <c r="L28" s="13">
        <f t="shared" si="2"/>
        <v>9</v>
      </c>
      <c r="M28" s="8" t="s">
        <v>24</v>
      </c>
      <c r="N28" s="14"/>
      <c r="O28" s="14" t="s">
        <v>25</v>
      </c>
      <c r="P28" s="14"/>
      <c r="Q28" s="15"/>
      <c r="R28" s="16" t="str">
        <f t="shared" si="3"/>
        <v/>
      </c>
    </row>
    <row r="29" ht="15.75" customHeight="1">
      <c r="A29" s="7">
        <v>46142.0</v>
      </c>
      <c r="B29" s="8" t="s">
        <v>20</v>
      </c>
      <c r="C29" s="8" t="s">
        <v>21</v>
      </c>
      <c r="D29" s="8" t="s">
        <v>38</v>
      </c>
      <c r="E29" s="8" t="s">
        <v>31</v>
      </c>
      <c r="F29" s="9">
        <v>9.0</v>
      </c>
      <c r="G29" s="10">
        <f>IFERROR(F29*VLOOKUP(D29,TELAS!$A$4:$C$32,3,FALSE()),0)</f>
        <v>180</v>
      </c>
      <c r="H29" s="11" t="str">
        <f>IFERROR(VLOOKUP(E29,COLORES!$A$4:$B$102,2,FALSE()),"")</f>
        <v>CLARO</v>
      </c>
      <c r="I29" s="12">
        <f>IFERROR(IF(H29="OSCURO",VLOOKUP(D29,PRECIOS!$A$4:$F$32,2,FALSE()),IF(H29="CLARO",VLOOKUP(D29,PRECIOS!$A$4:$F$32,3,FALSE()),IF(H29="MELANGE",VLOOKUP(D29,PRECIOS!$A$4:$F$32,4,FALSE()),IF(H29="PPT",VLOOKUP(D29,PRECIOS!$A$4:$F$32,5,FALSE()),0)))),0)</f>
        <v>21</v>
      </c>
      <c r="J29" s="12">
        <f t="shared" si="1"/>
        <v>3780</v>
      </c>
      <c r="K29" s="13">
        <f>IFERROR(IF(C29="",0,SUMIFS($F$4:$F$28,$C$4:$C$28,C29,$D$4:$D$28,D29,$E$4:$E$28,E29,$B$4:$B$28,"INGRESO")+SUMIFS($F$4:$F$28,$C$4:$C$28,C29,$D$4:$D$28,D29,$E$4:$E$28,E29,$B$4:$B$28,"DE REPROCESO")+SUMIFS($F$4:$F$28,$C$4:$C$28,C29,$D$4:$D$28,D29,$E$4:$E$28,E29,$B$4:$B$28,"AJUSTE+")-SUMIFS($F$4:$F$28,$C$4:$C$28,C29,$D$4:$D$28,D29,$E$4:$E$28,E29,$B$4:$B$28,"A CORTE")-SUMIFS($F$4:$F$28,$C$4:$C$28,C29,$D$4:$D$28,D29,$E$4:$E$28,E29,$B$4:$B$28,"A REPROCESO")-SUMIFS($F$4:$F$28,$C$4:$C$28,C29,$D$4:$D$28,D29,$E$4:$E$28,E29,$B$4:$B$28,"MUESTRA")-SUMIFS($F$4:$F$28,$C$4:$C$28,C29,$D$4:$D$28,D29,$E$4:$E$28,E29,$B$4:$B$28,"AJUSTE-")),0)</f>
        <v>0</v>
      </c>
      <c r="L29" s="13">
        <f t="shared" si="2"/>
        <v>9</v>
      </c>
      <c r="M29" s="8" t="s">
        <v>24</v>
      </c>
      <c r="N29" s="14"/>
      <c r="O29" s="14" t="s">
        <v>25</v>
      </c>
      <c r="P29" s="14"/>
      <c r="Q29" s="15"/>
      <c r="R29" s="16" t="str">
        <f t="shared" si="3"/>
        <v/>
      </c>
    </row>
    <row r="30" ht="15.75" customHeight="1">
      <c r="A30" s="7">
        <v>46142.0</v>
      </c>
      <c r="B30" s="8" t="s">
        <v>20</v>
      </c>
      <c r="C30" s="8" t="s">
        <v>21</v>
      </c>
      <c r="D30" s="8" t="s">
        <v>38</v>
      </c>
      <c r="E30" s="8" t="s">
        <v>39</v>
      </c>
      <c r="F30" s="9">
        <v>3.0</v>
      </c>
      <c r="G30" s="10">
        <f>IFERROR(F30*VLOOKUP(D30,TELAS!$A$4:$C$32,3,FALSE()),0)</f>
        <v>60</v>
      </c>
      <c r="H30" s="11" t="str">
        <f>IFERROR(VLOOKUP(E30,COLORES!$A$4:$B$102,2,FALSE()),"")</f>
        <v>CLARO</v>
      </c>
      <c r="I30" s="12">
        <f>IFERROR(IF(H30="OSCURO",VLOOKUP(D30,PRECIOS!$A$4:$F$32,2,FALSE()),IF(H30="CLARO",VLOOKUP(D30,PRECIOS!$A$4:$F$32,3,FALSE()),IF(H30="MELANGE",VLOOKUP(D30,PRECIOS!$A$4:$F$32,4,FALSE()),IF(H30="PPT",VLOOKUP(D30,PRECIOS!$A$4:$F$32,5,FALSE()),0)))),0)</f>
        <v>21</v>
      </c>
      <c r="J30" s="12">
        <f t="shared" si="1"/>
        <v>1260</v>
      </c>
      <c r="K30" s="13">
        <f>IFERROR(IF(C30="",0,SUMIFS($F$4:$F$29,$C$4:$C$29,C30,$D$4:$D$29,D30,$E$4:$E$29,E30,$B$4:$B$29,"INGRESO")+SUMIFS($F$4:$F$29,$C$4:$C$29,C30,$D$4:$D$29,D30,$E$4:$E$29,E30,$B$4:$B$29,"DE REPROCESO")+SUMIFS($F$4:$F$29,$C$4:$C$29,C30,$D$4:$D$29,D30,$E$4:$E$29,E30,$B$4:$B$29,"AJUSTE+")-SUMIFS($F$4:$F$29,$C$4:$C$29,C30,$D$4:$D$29,D30,$E$4:$E$29,E30,$B$4:$B$29,"A CORTE")-SUMIFS($F$4:$F$29,$C$4:$C$29,C30,$D$4:$D$29,D30,$E$4:$E$29,E30,$B$4:$B$29,"A REPROCESO")-SUMIFS($F$4:$F$29,$C$4:$C$29,C30,$D$4:$D$29,D30,$E$4:$E$29,E30,$B$4:$B$29,"MUESTRA")-SUMIFS($F$4:$F$29,$C$4:$C$29,C30,$D$4:$D$29,D30,$E$4:$E$29,E30,$B$4:$B$29,"AJUSTE-")),0)</f>
        <v>0</v>
      </c>
      <c r="L30" s="13">
        <f t="shared" si="2"/>
        <v>3</v>
      </c>
      <c r="M30" s="8" t="s">
        <v>24</v>
      </c>
      <c r="N30" s="14"/>
      <c r="O30" s="14" t="s">
        <v>25</v>
      </c>
      <c r="P30" s="14"/>
      <c r="Q30" s="15"/>
      <c r="R30" s="16" t="str">
        <f t="shared" si="3"/>
        <v/>
      </c>
    </row>
    <row r="31" ht="15.75" customHeight="1">
      <c r="A31" s="7">
        <v>46142.0</v>
      </c>
      <c r="B31" s="8" t="s">
        <v>20</v>
      </c>
      <c r="C31" s="8" t="s">
        <v>21</v>
      </c>
      <c r="D31" s="8" t="s">
        <v>38</v>
      </c>
      <c r="E31" s="8" t="s">
        <v>33</v>
      </c>
      <c r="F31" s="9">
        <v>2.0</v>
      </c>
      <c r="G31" s="10">
        <f>IFERROR(F31*VLOOKUP(D31,TELAS!$A$4:$C$32,3,FALSE()),0)</f>
        <v>40</v>
      </c>
      <c r="H31" s="11" t="str">
        <f>IFERROR(VLOOKUP(E31,COLORES!$A$4:$B$102,2,FALSE()),"")</f>
        <v>OSCURO</v>
      </c>
      <c r="I31" s="12">
        <f>IFERROR(IF(H31="OSCURO",VLOOKUP(D31,PRECIOS!$A$4:$F$32,2,FALSE()),IF(H31="CLARO",VLOOKUP(D31,PRECIOS!$A$4:$F$32,3,FALSE()),IF(H31="MELANGE",VLOOKUP(D31,PRECIOS!$A$4:$F$32,4,FALSE()),IF(H31="PPT",VLOOKUP(D31,PRECIOS!$A$4:$F$32,5,FALSE()),0)))),0)</f>
        <v>24</v>
      </c>
      <c r="J31" s="12">
        <f t="shared" si="1"/>
        <v>960</v>
      </c>
      <c r="K31" s="13">
        <f>IFERROR(IF(C31="",0,SUMIFS($F$4:$F$30,$C$4:$C$30,C31,$D$4:$D$30,D31,$E$4:$E$30,E31,$B$4:$B$30,"INGRESO")+SUMIFS($F$4:$F$30,$C$4:$C$30,C31,$D$4:$D$30,D31,$E$4:$E$30,E31,$B$4:$B$30,"DE REPROCESO")+SUMIFS($F$4:$F$30,$C$4:$C$30,C31,$D$4:$D$30,D31,$E$4:$E$30,E31,$B$4:$B$30,"AJUSTE+")-SUMIFS($F$4:$F$30,$C$4:$C$30,C31,$D$4:$D$30,D31,$E$4:$E$30,E31,$B$4:$B$30,"A CORTE")-SUMIFS($F$4:$F$30,$C$4:$C$30,C31,$D$4:$D$30,D31,$E$4:$E$30,E31,$B$4:$B$30,"A REPROCESO")-SUMIFS($F$4:$F$30,$C$4:$C$30,C31,$D$4:$D$30,D31,$E$4:$E$30,E31,$B$4:$B$30,"MUESTRA")-SUMIFS($F$4:$F$30,$C$4:$C$30,C31,$D$4:$D$30,D31,$E$4:$E$30,E31,$B$4:$B$30,"AJUSTE-")),0)</f>
        <v>0</v>
      </c>
      <c r="L31" s="13">
        <f t="shared" si="2"/>
        <v>2</v>
      </c>
      <c r="M31" s="8" t="s">
        <v>24</v>
      </c>
      <c r="N31" s="14"/>
      <c r="O31" s="14" t="s">
        <v>25</v>
      </c>
      <c r="P31" s="14"/>
      <c r="Q31" s="15"/>
      <c r="R31" s="16" t="str">
        <f t="shared" si="3"/>
        <v/>
      </c>
    </row>
    <row r="32" ht="15.75" customHeight="1">
      <c r="A32" s="7">
        <v>46142.0</v>
      </c>
      <c r="B32" s="8" t="s">
        <v>20</v>
      </c>
      <c r="C32" s="8" t="s">
        <v>21</v>
      </c>
      <c r="D32" s="8" t="s">
        <v>38</v>
      </c>
      <c r="E32" s="8" t="s">
        <v>34</v>
      </c>
      <c r="F32" s="9">
        <v>13.0</v>
      </c>
      <c r="G32" s="10">
        <f>IFERROR(F32*VLOOKUP(D32,TELAS!$A$4:$C$32,3,FALSE()),0)</f>
        <v>260</v>
      </c>
      <c r="H32" s="11" t="str">
        <f>IFERROR(VLOOKUP(E32,COLORES!$A$4:$B$102,2,FALSE()),"")</f>
        <v>CLARO</v>
      </c>
      <c r="I32" s="12">
        <f>IFERROR(IF(H32="OSCURO",VLOOKUP(D32,PRECIOS!$A$4:$F$32,2,FALSE()),IF(H32="CLARO",VLOOKUP(D32,PRECIOS!$A$4:$F$32,3,FALSE()),IF(H32="MELANGE",VLOOKUP(D32,PRECIOS!$A$4:$F$32,4,FALSE()),IF(H32="PPT",VLOOKUP(D32,PRECIOS!$A$4:$F$32,5,FALSE()),0)))),0)</f>
        <v>21</v>
      </c>
      <c r="J32" s="12">
        <f t="shared" si="1"/>
        <v>5460</v>
      </c>
      <c r="K32" s="13">
        <f>IFERROR(IF(C32="",0,SUMIFS($F$4:$F$31,$C$4:$C$31,C32,$D$4:$D$31,D32,$E$4:$E$31,E32,$B$4:$B$31,"INGRESO")+SUMIFS($F$4:$F$31,$C$4:$C$31,C32,$D$4:$D$31,D32,$E$4:$E$31,E32,$B$4:$B$31,"DE REPROCESO")+SUMIFS($F$4:$F$31,$C$4:$C$31,C32,$D$4:$D$31,D32,$E$4:$E$31,E32,$B$4:$B$31,"AJUSTE+")-SUMIFS($F$4:$F$31,$C$4:$C$31,C32,$D$4:$D$31,D32,$E$4:$E$31,E32,$B$4:$B$31,"A CORTE")-SUMIFS($F$4:$F$31,$C$4:$C$31,C32,$D$4:$D$31,D32,$E$4:$E$31,E32,$B$4:$B$31,"A REPROCESO")-SUMIFS($F$4:$F$31,$C$4:$C$31,C32,$D$4:$D$31,D32,$E$4:$E$31,E32,$B$4:$B$31,"MUESTRA")-SUMIFS($F$4:$F$31,$C$4:$C$31,C32,$D$4:$D$31,D32,$E$4:$E$31,E32,$B$4:$B$31,"AJUSTE-")),0)</f>
        <v>0</v>
      </c>
      <c r="L32" s="13">
        <f t="shared" si="2"/>
        <v>13</v>
      </c>
      <c r="M32" s="8" t="s">
        <v>24</v>
      </c>
      <c r="N32" s="14"/>
      <c r="O32" s="14" t="s">
        <v>25</v>
      </c>
      <c r="P32" s="14"/>
      <c r="Q32" s="15"/>
      <c r="R32" s="16" t="str">
        <f t="shared" si="3"/>
        <v/>
      </c>
    </row>
    <row r="33" ht="15.75" customHeight="1">
      <c r="A33" s="7">
        <v>46142.0</v>
      </c>
      <c r="B33" s="8" t="s">
        <v>20</v>
      </c>
      <c r="C33" s="8" t="s">
        <v>21</v>
      </c>
      <c r="D33" s="8" t="s">
        <v>38</v>
      </c>
      <c r="E33" s="8" t="s">
        <v>35</v>
      </c>
      <c r="F33" s="9">
        <v>6.0</v>
      </c>
      <c r="G33" s="10">
        <f>IFERROR(F33*VLOOKUP(D33,TELAS!$A$4:$C$32,3,FALSE()),0)</f>
        <v>120</v>
      </c>
      <c r="H33" s="11" t="str">
        <f>IFERROR(VLOOKUP(E33,COLORES!$A$4:$B$102,2,FALSE()),"")</f>
        <v>OSCURO</v>
      </c>
      <c r="I33" s="12">
        <f>IFERROR(IF(H33="OSCURO",VLOOKUP(D33,PRECIOS!$A$4:$F$32,2,FALSE()),IF(H33="CLARO",VLOOKUP(D33,PRECIOS!$A$4:$F$32,3,FALSE()),IF(H33="MELANGE",VLOOKUP(D33,PRECIOS!$A$4:$F$32,4,FALSE()),IF(H33="PPT",VLOOKUP(D33,PRECIOS!$A$4:$F$32,5,FALSE()),0)))),0)</f>
        <v>24</v>
      </c>
      <c r="J33" s="12">
        <f t="shared" si="1"/>
        <v>2880</v>
      </c>
      <c r="K33" s="13">
        <f>IFERROR(IF(C33="",0,SUMIFS($F$4:$F$32,$C$4:$C$32,C33,$D$4:$D$32,D33,$E$4:$E$32,E33,$B$4:$B$32,"INGRESO")+SUMIFS($F$4:$F$32,$C$4:$C$32,C33,$D$4:$D$32,D33,$E$4:$E$32,E33,$B$4:$B$32,"DE REPROCESO")+SUMIFS($F$4:$F$32,$C$4:$C$32,C33,$D$4:$D$32,D33,$E$4:$E$32,E33,$B$4:$B$32,"AJUSTE+")-SUMIFS($F$4:$F$32,$C$4:$C$32,C33,$D$4:$D$32,D33,$E$4:$E$32,E33,$B$4:$B$32,"A CORTE")-SUMIFS($F$4:$F$32,$C$4:$C$32,C33,$D$4:$D$32,D33,$E$4:$E$32,E33,$B$4:$B$32,"A REPROCESO")-SUMIFS($F$4:$F$32,$C$4:$C$32,C33,$D$4:$D$32,D33,$E$4:$E$32,E33,$B$4:$B$32,"MUESTRA")-SUMIFS($F$4:$F$32,$C$4:$C$32,C33,$D$4:$D$32,D33,$E$4:$E$32,E33,$B$4:$B$32,"AJUSTE-")),0)</f>
        <v>0</v>
      </c>
      <c r="L33" s="13">
        <f t="shared" si="2"/>
        <v>6</v>
      </c>
      <c r="M33" s="8" t="s">
        <v>24</v>
      </c>
      <c r="N33" s="14"/>
      <c r="O33" s="14" t="s">
        <v>25</v>
      </c>
      <c r="P33" s="14"/>
      <c r="Q33" s="15"/>
      <c r="R33" s="16" t="str">
        <f t="shared" si="3"/>
        <v/>
      </c>
    </row>
    <row r="34" ht="15.75" customHeight="1">
      <c r="A34" s="7">
        <v>46142.0</v>
      </c>
      <c r="B34" s="8" t="s">
        <v>20</v>
      </c>
      <c r="C34" s="8" t="s">
        <v>21</v>
      </c>
      <c r="D34" s="8" t="s">
        <v>38</v>
      </c>
      <c r="E34" s="8" t="s">
        <v>40</v>
      </c>
      <c r="F34" s="8">
        <v>9.0</v>
      </c>
      <c r="G34" s="10">
        <f>IFERROR(F34*VLOOKUP(D34,TELAS!$A$4:$C$32,3,FALSE()),0)</f>
        <v>180</v>
      </c>
      <c r="H34" s="11" t="str">
        <f>IFERROR(VLOOKUP(E34,COLORES!$A$4:$B$102,2,FALSE()),"")</f>
        <v>MELANGE</v>
      </c>
      <c r="I34" s="12">
        <f>IFERROR(IF(H34="OSCURO",VLOOKUP(D34,PRECIOS!$A$4:$F$32,2,FALSE()),IF(H34="CLARO",VLOOKUP(D34,PRECIOS!$A$4:$F$32,3,FALSE()),IF(H34="MELANGE",VLOOKUP(D34,PRECIOS!$A$4:$F$32,4,FALSE()),IF(H34="PPT",VLOOKUP(D34,PRECIOS!$A$4:$F$32,5,FALSE()),0)))),0)</f>
        <v>18</v>
      </c>
      <c r="J34" s="12">
        <f t="shared" si="1"/>
        <v>3240</v>
      </c>
      <c r="K34" s="13">
        <f>IFERROR(IF(C34="",0,SUMIFS($F$4:$F$33,$C$4:$C$33,C34,$D$4:$D$33,D34,$E$4:$E$33,E34,$B$4:$B$33,"INGRESO")+SUMIFS($F$4:$F$33,$C$4:$C$33,C34,$D$4:$D$33,D34,$E$4:$E$33,E34,$B$4:$B$33,"DE REPROCESO")+SUMIFS($F$4:$F$33,$C$4:$C$33,C34,$D$4:$D$33,D34,$E$4:$E$33,E34,$B$4:$B$33,"AJUSTE+")-SUMIFS($F$4:$F$33,$C$4:$C$33,C34,$D$4:$D$33,D34,$E$4:$E$33,E34,$B$4:$B$33,"A CORTE")-SUMIFS($F$4:$F$33,$C$4:$C$33,C34,$D$4:$D$33,D34,$E$4:$E$33,E34,$B$4:$B$33,"A REPROCESO")-SUMIFS($F$4:$F$33,$C$4:$C$33,C34,$D$4:$D$33,D34,$E$4:$E$33,E34,$B$4:$B$33,"MUESTRA")-SUMIFS($F$4:$F$33,$C$4:$C$33,C34,$D$4:$D$33,D34,$E$4:$E$33,E34,$B$4:$B$33,"AJUSTE-")),0)</f>
        <v>0</v>
      </c>
      <c r="L34" s="13">
        <f t="shared" si="2"/>
        <v>9</v>
      </c>
      <c r="M34" s="8" t="s">
        <v>24</v>
      </c>
      <c r="N34" s="14"/>
      <c r="O34" s="14" t="s">
        <v>25</v>
      </c>
      <c r="P34" s="14"/>
      <c r="Q34" s="15"/>
      <c r="R34" s="16" t="str">
        <f t="shared" si="3"/>
        <v/>
      </c>
    </row>
    <row r="35" ht="15.75" customHeight="1">
      <c r="A35" s="7">
        <v>46147.0</v>
      </c>
      <c r="B35" s="8" t="s">
        <v>20</v>
      </c>
      <c r="C35" s="8" t="s">
        <v>21</v>
      </c>
      <c r="D35" s="8" t="s">
        <v>41</v>
      </c>
      <c r="E35" s="8" t="s">
        <v>23</v>
      </c>
      <c r="F35" s="9">
        <v>33.0</v>
      </c>
      <c r="G35" s="10">
        <f>IFERROR(F35*VLOOKUP(D35,TELAS!$A$4:$C$32,3,FALSE()),0)</f>
        <v>660</v>
      </c>
      <c r="H35" s="11" t="str">
        <f>IFERROR(VLOOKUP(E35,COLORES!$A$4:$B$102,2,FALSE()),"")</f>
        <v>OSCURO</v>
      </c>
      <c r="I35" s="12">
        <f>IFERROR(IF(H35="OSCURO",VLOOKUP(D35,PRECIOS!$A$4:$F$32,2,FALSE()),IF(H35="CLARO",VLOOKUP(D35,PRECIOS!$A$4:$F$32,3,FALSE()),IF(H35="MELANGE",VLOOKUP(D35,PRECIOS!$A$4:$F$32,4,FALSE()),IF(H35="PPT",VLOOKUP(D35,PRECIOS!$A$4:$F$32,5,FALSE()),0)))),0)</f>
        <v>26</v>
      </c>
      <c r="J35" s="12">
        <f t="shared" si="1"/>
        <v>17160</v>
      </c>
      <c r="K35" s="13">
        <f>IFERROR(IF(C35="",0,SUMIFS($F$4:$F$34,$C$4:$C$34,C35,$D$4:$D$34,D35,$E$4:$E$34,E35,$B$4:$B$34,"INGRESO")+SUMIFS($F$4:$F$34,$C$4:$C$34,C35,$D$4:$D$34,D35,$E$4:$E$34,E35,$B$4:$B$34,"DE REPROCESO")+SUMIFS($F$4:$F$34,$C$4:$C$34,C35,$D$4:$D$34,D35,$E$4:$E$34,E35,$B$4:$B$34,"AJUSTE+")-SUMIFS($F$4:$F$34,$C$4:$C$34,C35,$D$4:$D$34,D35,$E$4:$E$34,E35,$B$4:$B$34,"A CORTE")-SUMIFS($F$4:$F$34,$C$4:$C$34,C35,$D$4:$D$34,D35,$E$4:$E$34,E35,$B$4:$B$34,"A REPROCESO")-SUMIFS($F$4:$F$34,$C$4:$C$34,C35,$D$4:$D$34,D35,$E$4:$E$34,E35,$B$4:$B$34,"MUESTRA")-SUMIFS($F$4:$F$34,$C$4:$C$34,C35,$D$4:$D$34,D35,$E$4:$E$34,E35,$B$4:$B$34,"AJUSTE-")),0)</f>
        <v>0</v>
      </c>
      <c r="L35" s="13">
        <f t="shared" si="2"/>
        <v>33</v>
      </c>
      <c r="M35" s="8" t="s">
        <v>24</v>
      </c>
      <c r="N35" s="14"/>
      <c r="O35" s="14" t="s">
        <v>25</v>
      </c>
      <c r="P35" s="14"/>
      <c r="Q35" s="15"/>
      <c r="R35" s="16" t="str">
        <f t="shared" si="3"/>
        <v/>
      </c>
    </row>
    <row r="36" ht="15.75" customHeight="1">
      <c r="A36" s="7">
        <v>46147.0</v>
      </c>
      <c r="B36" s="8" t="s">
        <v>20</v>
      </c>
      <c r="C36" s="8" t="s">
        <v>21</v>
      </c>
      <c r="D36" s="8" t="s">
        <v>41</v>
      </c>
      <c r="E36" s="8" t="s">
        <v>26</v>
      </c>
      <c r="F36" s="9">
        <v>36.0</v>
      </c>
      <c r="G36" s="10">
        <f>IFERROR(F36*VLOOKUP(D36,TELAS!$A$4:$C$32,3,FALSE()),0)</f>
        <v>720</v>
      </c>
      <c r="H36" s="11" t="str">
        <f>IFERROR(VLOOKUP(E36,COLORES!$A$4:$B$102,2,FALSE()),"")</f>
        <v>PPT</v>
      </c>
      <c r="I36" s="12">
        <f>IFERROR(IF(H36="OSCURO",VLOOKUP(D36,PRECIOS!$A$4:$F$32,2,FALSE()),IF(H36="CLARO",VLOOKUP(D36,PRECIOS!$A$4:$F$32,3,FALSE()),IF(H36="MELANGE",VLOOKUP(D36,PRECIOS!$A$4:$F$32,4,FALSE()),IF(H36="PPT",VLOOKUP(D36,PRECIOS!$A$4:$F$32,5,FALSE()),0)))),0)</f>
        <v>19</v>
      </c>
      <c r="J36" s="12">
        <f t="shared" si="1"/>
        <v>13680</v>
      </c>
      <c r="K36" s="13">
        <f>IFERROR(IF(C36="",0,SUMIFS($F$4:$F$35,$C$4:$C$35,C36,$D$4:$D$35,D36,$E$4:$E$35,E36,$B$4:$B$35,"INGRESO")+SUMIFS($F$4:$F$35,$C$4:$C$35,C36,$D$4:$D$35,D36,$E$4:$E$35,E36,$B$4:$B$35,"DE REPROCESO")+SUMIFS($F$4:$F$35,$C$4:$C$35,C36,$D$4:$D$35,D36,$E$4:$E$35,E36,$B$4:$B$35,"AJUSTE+")-SUMIFS($F$4:$F$35,$C$4:$C$35,C36,$D$4:$D$35,D36,$E$4:$E$35,E36,$B$4:$B$35,"A CORTE")-SUMIFS($F$4:$F$35,$C$4:$C$35,C36,$D$4:$D$35,D36,$E$4:$E$35,E36,$B$4:$B$35,"A REPROCESO")-SUMIFS($F$4:$F$35,$C$4:$C$35,C36,$D$4:$D$35,D36,$E$4:$E$35,E36,$B$4:$B$35,"MUESTRA")-SUMIFS($F$4:$F$35,$C$4:$C$35,C36,$D$4:$D$35,D36,$E$4:$E$35,E36,$B$4:$B$35,"AJUSTE-")),0)</f>
        <v>0</v>
      </c>
      <c r="L36" s="13">
        <f t="shared" si="2"/>
        <v>36</v>
      </c>
      <c r="M36" s="8" t="s">
        <v>24</v>
      </c>
      <c r="N36" s="14"/>
      <c r="O36" s="14" t="s">
        <v>25</v>
      </c>
      <c r="P36" s="14"/>
      <c r="Q36" s="15"/>
      <c r="R36" s="16" t="str">
        <f t="shared" si="3"/>
        <v/>
      </c>
    </row>
    <row r="37" ht="15.75" customHeight="1">
      <c r="A37" s="7">
        <v>46147.0</v>
      </c>
      <c r="B37" s="8" t="s">
        <v>20</v>
      </c>
      <c r="C37" s="8" t="s">
        <v>21</v>
      </c>
      <c r="D37" s="8" t="s">
        <v>41</v>
      </c>
      <c r="E37" s="8" t="s">
        <v>27</v>
      </c>
      <c r="F37" s="9">
        <v>35.0</v>
      </c>
      <c r="G37" s="10">
        <f>IFERROR(F37*VLOOKUP(D37,TELAS!$A$4:$C$32,3,FALSE()),0)</f>
        <v>700</v>
      </c>
      <c r="H37" s="11" t="str">
        <f>IFERROR(VLOOKUP(E37,COLORES!$A$4:$B$102,2,FALSE()),"")</f>
        <v>OSCURO</v>
      </c>
      <c r="I37" s="12">
        <f>IFERROR(IF(H37="OSCURO",VLOOKUP(D37,PRECIOS!$A$4:$F$32,2,FALSE()),IF(H37="CLARO",VLOOKUP(D37,PRECIOS!$A$4:$F$32,3,FALSE()),IF(H37="MELANGE",VLOOKUP(D37,PRECIOS!$A$4:$F$32,4,FALSE()),IF(H37="PPT",VLOOKUP(D37,PRECIOS!$A$4:$F$32,5,FALSE()),0)))),0)</f>
        <v>26</v>
      </c>
      <c r="J37" s="12">
        <f t="shared" si="1"/>
        <v>18200</v>
      </c>
      <c r="K37" s="13">
        <f>IFERROR(IF(C37="",0,SUMIFS($F$4:$F$36,$C$4:$C$36,C37,$D$4:$D$36,D37,$E$4:$E$36,E37,$B$4:$B$36,"INGRESO")+SUMIFS($F$4:$F$36,$C$4:$C$36,C37,$D$4:$D$36,D37,$E$4:$E$36,E37,$B$4:$B$36,"DE REPROCESO")+SUMIFS($F$4:$F$36,$C$4:$C$36,C37,$D$4:$D$36,D37,$E$4:$E$36,E37,$B$4:$B$36,"AJUSTE+")-SUMIFS($F$4:$F$36,$C$4:$C$36,C37,$D$4:$D$36,D37,$E$4:$E$36,E37,$B$4:$B$36,"A CORTE")-SUMIFS($F$4:$F$36,$C$4:$C$36,C37,$D$4:$D$36,D37,$E$4:$E$36,E37,$B$4:$B$36,"A REPROCESO")-SUMIFS($F$4:$F$36,$C$4:$C$36,C37,$D$4:$D$36,D37,$E$4:$E$36,E37,$B$4:$B$36,"MUESTRA")-SUMIFS($F$4:$F$36,$C$4:$C$36,C37,$D$4:$D$36,D37,$E$4:$E$36,E37,$B$4:$B$36,"AJUSTE-")),0)</f>
        <v>0</v>
      </c>
      <c r="L37" s="13">
        <f t="shared" si="2"/>
        <v>35</v>
      </c>
      <c r="M37" s="8" t="s">
        <v>24</v>
      </c>
      <c r="N37" s="14"/>
      <c r="O37" s="14" t="s">
        <v>25</v>
      </c>
      <c r="P37" s="14"/>
      <c r="Q37" s="15"/>
      <c r="R37" s="16" t="str">
        <f t="shared" si="3"/>
        <v/>
      </c>
    </row>
    <row r="38" ht="15.75" customHeight="1">
      <c r="A38" s="7">
        <v>46147.0</v>
      </c>
      <c r="B38" s="8" t="s">
        <v>20</v>
      </c>
      <c r="C38" s="8" t="s">
        <v>21</v>
      </c>
      <c r="D38" s="8" t="s">
        <v>41</v>
      </c>
      <c r="E38" s="8" t="s">
        <v>28</v>
      </c>
      <c r="F38" s="9">
        <v>20.0</v>
      </c>
      <c r="G38" s="10">
        <f>IFERROR(F38*VLOOKUP(D38,TELAS!$A$4:$C$32,3,FALSE()),0)</f>
        <v>400</v>
      </c>
      <c r="H38" s="11" t="str">
        <f>IFERROR(VLOOKUP(E38,COLORES!$A$4:$B$102,2,FALSE()),"")</f>
        <v>OSCURO</v>
      </c>
      <c r="I38" s="12">
        <f>IFERROR(IF(H38="OSCURO",VLOOKUP(D38,PRECIOS!$A$4:$F$32,2,FALSE()),IF(H38="CLARO",VLOOKUP(D38,PRECIOS!$A$4:$F$32,3,FALSE()),IF(H38="MELANGE",VLOOKUP(D38,PRECIOS!$A$4:$F$32,4,FALSE()),IF(H38="PPT",VLOOKUP(D38,PRECIOS!$A$4:$F$32,5,FALSE()),0)))),0)</f>
        <v>26</v>
      </c>
      <c r="J38" s="12">
        <f t="shared" si="1"/>
        <v>10400</v>
      </c>
      <c r="K38" s="13">
        <f>IFERROR(IF(C38="",0,SUMIFS($F$4:$F$37,$C$4:$C$37,C38,$D$4:$D$37,D38,$E$4:$E$37,E38,$B$4:$B$37,"INGRESO")+SUMIFS($F$4:$F$37,$C$4:$C$37,C38,$D$4:$D$37,D38,$E$4:$E$37,E38,$B$4:$B$37,"DE REPROCESO")+SUMIFS($F$4:$F$37,$C$4:$C$37,C38,$D$4:$D$37,D38,$E$4:$E$37,E38,$B$4:$B$37,"AJUSTE+")-SUMIFS($F$4:$F$37,$C$4:$C$37,C38,$D$4:$D$37,D38,$E$4:$E$37,E38,$B$4:$B$37,"A CORTE")-SUMIFS($F$4:$F$37,$C$4:$C$37,C38,$D$4:$D$37,D38,$E$4:$E$37,E38,$B$4:$B$37,"A REPROCESO")-SUMIFS($F$4:$F$37,$C$4:$C$37,C38,$D$4:$D$37,D38,$E$4:$E$37,E38,$B$4:$B$37,"MUESTRA")-SUMIFS($F$4:$F$37,$C$4:$C$37,C38,$D$4:$D$37,D38,$E$4:$E$37,E38,$B$4:$B$37,"AJUSTE-")),0)</f>
        <v>0</v>
      </c>
      <c r="L38" s="13">
        <f t="shared" si="2"/>
        <v>20</v>
      </c>
      <c r="M38" s="8" t="s">
        <v>24</v>
      </c>
      <c r="N38" s="14"/>
      <c r="O38" s="14" t="s">
        <v>25</v>
      </c>
      <c r="P38" s="14"/>
      <c r="Q38" s="15"/>
      <c r="R38" s="16" t="str">
        <f t="shared" si="3"/>
        <v/>
      </c>
    </row>
    <row r="39" ht="15.75" customHeight="1">
      <c r="A39" s="7">
        <v>46147.0</v>
      </c>
      <c r="B39" s="8" t="s">
        <v>20</v>
      </c>
      <c r="C39" s="8" t="s">
        <v>21</v>
      </c>
      <c r="D39" s="8" t="s">
        <v>41</v>
      </c>
      <c r="E39" s="8" t="s">
        <v>29</v>
      </c>
      <c r="F39" s="9">
        <v>15.0</v>
      </c>
      <c r="G39" s="10">
        <f>IFERROR(F39*VLOOKUP(D39,TELAS!$A$4:$C$32,3,FALSE()),0)</f>
        <v>300</v>
      </c>
      <c r="H39" s="11" t="str">
        <f>IFERROR(VLOOKUP(E39,COLORES!$A$4:$B$102,2,FALSE()),"")</f>
        <v>CLARO</v>
      </c>
      <c r="I39" s="12">
        <f>IFERROR(IF(H39="OSCURO",VLOOKUP(D39,PRECIOS!$A$4:$F$32,2,FALSE()),IF(H39="CLARO",VLOOKUP(D39,PRECIOS!$A$4:$F$32,3,FALSE()),IF(H39="MELANGE",VLOOKUP(D39,PRECIOS!$A$4:$F$32,4,FALSE()),IF(H39="PPT",VLOOKUP(D39,PRECIOS!$A$4:$F$32,5,FALSE()),0)))),0)</f>
        <v>22.5</v>
      </c>
      <c r="J39" s="12">
        <f t="shared" si="1"/>
        <v>6750</v>
      </c>
      <c r="K39" s="13">
        <f>IFERROR(IF(C39="",0,SUMIFS($F$4:$F$38,$C$4:$C$38,C39,$D$4:$D$38,D39,$E$4:$E$38,E39,$B$4:$B$38,"INGRESO")+SUMIFS($F$4:$F$38,$C$4:$C$38,C39,$D$4:$D$38,D39,$E$4:$E$38,E39,$B$4:$B$38,"DE REPROCESO")+SUMIFS($F$4:$F$38,$C$4:$C$38,C39,$D$4:$D$38,D39,$E$4:$E$38,E39,$B$4:$B$38,"AJUSTE+")-SUMIFS($F$4:$F$38,$C$4:$C$38,C39,$D$4:$D$38,D39,$E$4:$E$38,E39,$B$4:$B$38,"A CORTE")-SUMIFS($F$4:$F$38,$C$4:$C$38,C39,$D$4:$D$38,D39,$E$4:$E$38,E39,$B$4:$B$38,"A REPROCESO")-SUMIFS($F$4:$F$38,$C$4:$C$38,C39,$D$4:$D$38,D39,$E$4:$E$38,E39,$B$4:$B$38,"MUESTRA")-SUMIFS($F$4:$F$38,$C$4:$C$38,C39,$D$4:$D$38,D39,$E$4:$E$38,E39,$B$4:$B$38,"AJUSTE-")),0)</f>
        <v>0</v>
      </c>
      <c r="L39" s="13">
        <f t="shared" si="2"/>
        <v>15</v>
      </c>
      <c r="M39" s="8" t="s">
        <v>24</v>
      </c>
      <c r="N39" s="14"/>
      <c r="O39" s="14" t="s">
        <v>25</v>
      </c>
      <c r="P39" s="14"/>
      <c r="Q39" s="15"/>
      <c r="R39" s="16" t="str">
        <f t="shared" si="3"/>
        <v/>
      </c>
    </row>
    <row r="40" ht="15.75" customHeight="1">
      <c r="A40" s="7">
        <v>46147.0</v>
      </c>
      <c r="B40" s="8" t="s">
        <v>20</v>
      </c>
      <c r="C40" s="8" t="s">
        <v>21</v>
      </c>
      <c r="D40" s="8" t="s">
        <v>41</v>
      </c>
      <c r="E40" s="8" t="s">
        <v>30</v>
      </c>
      <c r="F40" s="9">
        <v>14.0</v>
      </c>
      <c r="G40" s="10">
        <f>IFERROR(F40*VLOOKUP(D40,TELAS!$A$4:$C$32,3,FALSE()),0)</f>
        <v>280</v>
      </c>
      <c r="H40" s="11" t="str">
        <f>IFERROR(VLOOKUP(E40,COLORES!$A$4:$B$102,2,FALSE()),"")</f>
        <v>CLARO</v>
      </c>
      <c r="I40" s="12">
        <f>IFERROR(IF(H40="OSCURO",VLOOKUP(D40,PRECIOS!$A$4:$F$32,2,FALSE()),IF(H40="CLARO",VLOOKUP(D40,PRECIOS!$A$4:$F$32,3,FALSE()),IF(H40="MELANGE",VLOOKUP(D40,PRECIOS!$A$4:$F$32,4,FALSE()),IF(H40="PPT",VLOOKUP(D40,PRECIOS!$A$4:$F$32,5,FALSE()),0)))),0)</f>
        <v>22.5</v>
      </c>
      <c r="J40" s="12">
        <f t="shared" si="1"/>
        <v>6300</v>
      </c>
      <c r="K40" s="13">
        <f>IFERROR(IF(C40="",0,SUMIFS($F$4:$F$39,$C$4:$C$39,C40,$D$4:$D$39,D40,$E$4:$E$39,E40,$B$4:$B$39,"INGRESO")+SUMIFS($F$4:$F$39,$C$4:$C$39,C40,$D$4:$D$39,D40,$E$4:$E$39,E40,$B$4:$B$39,"DE REPROCESO")+SUMIFS($F$4:$F$39,$C$4:$C$39,C40,$D$4:$D$39,D40,$E$4:$E$39,E40,$B$4:$B$39,"AJUSTE+")-SUMIFS($F$4:$F$39,$C$4:$C$39,C40,$D$4:$D$39,D40,$E$4:$E$39,E40,$B$4:$B$39,"A CORTE")-SUMIFS($F$4:$F$39,$C$4:$C$39,C40,$D$4:$D$39,D40,$E$4:$E$39,E40,$B$4:$B$39,"A REPROCESO")-SUMIFS($F$4:$F$39,$C$4:$C$39,C40,$D$4:$D$39,D40,$E$4:$E$39,E40,$B$4:$B$39,"MUESTRA")-SUMIFS($F$4:$F$39,$C$4:$C$39,C40,$D$4:$D$39,D40,$E$4:$E$39,E40,$B$4:$B$39,"AJUSTE-")),0)</f>
        <v>0</v>
      </c>
      <c r="L40" s="13">
        <f t="shared" si="2"/>
        <v>14</v>
      </c>
      <c r="M40" s="8" t="s">
        <v>24</v>
      </c>
      <c r="N40" s="14"/>
      <c r="O40" s="14" t="s">
        <v>25</v>
      </c>
      <c r="P40" s="14"/>
      <c r="Q40" s="15"/>
      <c r="R40" s="16" t="str">
        <f t="shared" si="3"/>
        <v/>
      </c>
    </row>
    <row r="41" ht="15.75" customHeight="1">
      <c r="A41" s="7">
        <v>46147.0</v>
      </c>
      <c r="B41" s="8" t="s">
        <v>20</v>
      </c>
      <c r="C41" s="8" t="s">
        <v>21</v>
      </c>
      <c r="D41" s="8" t="s">
        <v>41</v>
      </c>
      <c r="E41" s="8" t="s">
        <v>31</v>
      </c>
      <c r="F41" s="9">
        <v>17.0</v>
      </c>
      <c r="G41" s="10">
        <f>IFERROR(F41*VLOOKUP(D41,TELAS!$A$4:$C$32,3,FALSE()),0)</f>
        <v>340</v>
      </c>
      <c r="H41" s="11" t="str">
        <f>IFERROR(VLOOKUP(E41,COLORES!$A$4:$B$102,2,FALSE()),"")</f>
        <v>CLARO</v>
      </c>
      <c r="I41" s="12">
        <f>IFERROR(IF(H41="OSCURO",VLOOKUP(D41,PRECIOS!$A$4:$F$32,2,FALSE()),IF(H41="CLARO",VLOOKUP(D41,PRECIOS!$A$4:$F$32,3,FALSE()),IF(H41="MELANGE",VLOOKUP(D41,PRECIOS!$A$4:$F$32,4,FALSE()),IF(H41="PPT",VLOOKUP(D41,PRECIOS!$A$4:$F$32,5,FALSE()),0)))),0)</f>
        <v>22.5</v>
      </c>
      <c r="J41" s="12">
        <f t="shared" si="1"/>
        <v>7650</v>
      </c>
      <c r="K41" s="13">
        <f>IFERROR(IF(C41="",0,SUMIFS($F$4:$F$40,$C$4:$C$40,C41,$D$4:$D$40,D41,$E$4:$E$40,E41,$B$4:$B$40,"INGRESO")+SUMIFS($F$4:$F$40,$C$4:$C$40,C41,$D$4:$D$40,D41,$E$4:$E$40,E41,$B$4:$B$40,"DE REPROCESO")+SUMIFS($F$4:$F$40,$C$4:$C$40,C41,$D$4:$D$40,D41,$E$4:$E$40,E41,$B$4:$B$40,"AJUSTE+")-SUMIFS($F$4:$F$40,$C$4:$C$40,C41,$D$4:$D$40,D41,$E$4:$E$40,E41,$B$4:$B$40,"A CORTE")-SUMIFS($F$4:$F$40,$C$4:$C$40,C41,$D$4:$D$40,D41,$E$4:$E$40,E41,$B$4:$B$40,"A REPROCESO")-SUMIFS($F$4:$F$40,$C$4:$C$40,C41,$D$4:$D$40,D41,$E$4:$E$40,E41,$B$4:$B$40,"MUESTRA")-SUMIFS($F$4:$F$40,$C$4:$C$40,C41,$D$4:$D$40,D41,$E$4:$E$40,E41,$B$4:$B$40,"AJUSTE-")),0)</f>
        <v>0</v>
      </c>
      <c r="L41" s="13">
        <f t="shared" si="2"/>
        <v>17</v>
      </c>
      <c r="M41" s="8" t="s">
        <v>24</v>
      </c>
      <c r="N41" s="14"/>
      <c r="O41" s="14" t="s">
        <v>25</v>
      </c>
      <c r="P41" s="14"/>
      <c r="Q41" s="15"/>
      <c r="R41" s="16" t="str">
        <f t="shared" si="3"/>
        <v/>
      </c>
    </row>
    <row r="42" ht="15.75" customHeight="1">
      <c r="A42" s="7">
        <v>46147.0</v>
      </c>
      <c r="B42" s="8" t="s">
        <v>20</v>
      </c>
      <c r="C42" s="8" t="s">
        <v>21</v>
      </c>
      <c r="D42" s="8" t="s">
        <v>41</v>
      </c>
      <c r="E42" s="8" t="s">
        <v>39</v>
      </c>
      <c r="F42" s="9">
        <v>11.0</v>
      </c>
      <c r="G42" s="10">
        <f>IFERROR(F42*VLOOKUP(D42,TELAS!$A$4:$C$32,3,FALSE()),0)</f>
        <v>220</v>
      </c>
      <c r="H42" s="11" t="str">
        <f>IFERROR(VLOOKUP(E42,COLORES!$A$4:$B$102,2,FALSE()),"")</f>
        <v>CLARO</v>
      </c>
      <c r="I42" s="12">
        <f>IFERROR(IF(H42="OSCURO",VLOOKUP(D42,PRECIOS!$A$4:$F$32,2,FALSE()),IF(H42="CLARO",VLOOKUP(D42,PRECIOS!$A$4:$F$32,3,FALSE()),IF(H42="MELANGE",VLOOKUP(D42,PRECIOS!$A$4:$F$32,4,FALSE()),IF(H42="PPT",VLOOKUP(D42,PRECIOS!$A$4:$F$32,5,FALSE()),0)))),0)</f>
        <v>22.5</v>
      </c>
      <c r="J42" s="12">
        <f t="shared" si="1"/>
        <v>4950</v>
      </c>
      <c r="K42" s="13">
        <f>IFERROR(IF(C42="",0,SUMIFS($F$4:$F$41,$C$4:$C$41,C42,$D$4:$D$41,D42,$E$4:$E$41,E42,$B$4:$B$41,"INGRESO")+SUMIFS($F$4:$F$41,$C$4:$C$41,C42,$D$4:$D$41,D42,$E$4:$E$41,E42,$B$4:$B$41,"DE REPROCESO")+SUMIFS($F$4:$F$41,$C$4:$C$41,C42,$D$4:$D$41,D42,$E$4:$E$41,E42,$B$4:$B$41,"AJUSTE+")-SUMIFS($F$4:$F$41,$C$4:$C$41,C42,$D$4:$D$41,D42,$E$4:$E$41,E42,$B$4:$B$41,"A CORTE")-SUMIFS($F$4:$F$41,$C$4:$C$41,C42,$D$4:$D$41,D42,$E$4:$E$41,E42,$B$4:$B$41,"A REPROCESO")-SUMIFS($F$4:$F$41,$C$4:$C$41,C42,$D$4:$D$41,D42,$E$4:$E$41,E42,$B$4:$B$41,"MUESTRA")-SUMIFS($F$4:$F$41,$C$4:$C$41,C42,$D$4:$D$41,D42,$E$4:$E$41,E42,$B$4:$B$41,"AJUSTE-")),0)</f>
        <v>0</v>
      </c>
      <c r="L42" s="13">
        <f t="shared" si="2"/>
        <v>11</v>
      </c>
      <c r="M42" s="8" t="s">
        <v>24</v>
      </c>
      <c r="N42" s="14"/>
      <c r="O42" s="14" t="s">
        <v>25</v>
      </c>
      <c r="P42" s="14"/>
      <c r="Q42" s="15"/>
      <c r="R42" s="16" t="str">
        <f t="shared" si="3"/>
        <v/>
      </c>
    </row>
    <row r="43" ht="15.75" customHeight="1">
      <c r="A43" s="7">
        <v>46147.0</v>
      </c>
      <c r="B43" s="8" t="s">
        <v>20</v>
      </c>
      <c r="C43" s="8" t="s">
        <v>21</v>
      </c>
      <c r="D43" s="8" t="s">
        <v>41</v>
      </c>
      <c r="E43" s="8" t="s">
        <v>32</v>
      </c>
      <c r="F43" s="9">
        <v>7.0</v>
      </c>
      <c r="G43" s="10">
        <f>IFERROR(F43*VLOOKUP(D43,TELAS!$A$4:$C$32,3,FALSE()),0)</f>
        <v>140</v>
      </c>
      <c r="H43" s="11" t="str">
        <f>IFERROR(VLOOKUP(E43,COLORES!$A$4:$B$102,2,FALSE()),"")</f>
        <v>CLARO</v>
      </c>
      <c r="I43" s="12">
        <f>IFERROR(IF(H43="OSCURO",VLOOKUP(D43,PRECIOS!$A$4:$F$32,2,FALSE()),IF(H43="CLARO",VLOOKUP(D43,PRECIOS!$A$4:$F$32,3,FALSE()),IF(H43="MELANGE",VLOOKUP(D43,PRECIOS!$A$4:$F$32,4,FALSE()),IF(H43="PPT",VLOOKUP(D43,PRECIOS!$A$4:$F$32,5,FALSE()),0)))),0)</f>
        <v>22.5</v>
      </c>
      <c r="J43" s="12">
        <f t="shared" si="1"/>
        <v>3150</v>
      </c>
      <c r="K43" s="13">
        <f>IFERROR(IF(C43="",0,SUMIFS($F$4:$F$42,$C$4:$C$42,C43,$D$4:$D$42,D43,$E$4:$E$42,E43,$B$4:$B$42,"INGRESO")+SUMIFS($F$4:$F$42,$C$4:$C$42,C43,$D$4:$D$42,D43,$E$4:$E$42,E43,$B$4:$B$42,"DE REPROCESO")+SUMIFS($F$4:$F$42,$C$4:$C$42,C43,$D$4:$D$42,D43,$E$4:$E$42,E43,$B$4:$B$42,"AJUSTE+")-SUMIFS($F$4:$F$42,$C$4:$C$42,C43,$D$4:$D$42,D43,$E$4:$E$42,E43,$B$4:$B$42,"A CORTE")-SUMIFS($F$4:$F$42,$C$4:$C$42,C43,$D$4:$D$42,D43,$E$4:$E$42,E43,$B$4:$B$42,"A REPROCESO")-SUMIFS($F$4:$F$42,$C$4:$C$42,C43,$D$4:$D$42,D43,$E$4:$E$42,E43,$B$4:$B$42,"MUESTRA")-SUMIFS($F$4:$F$42,$C$4:$C$42,C43,$D$4:$D$42,D43,$E$4:$E$42,E43,$B$4:$B$42,"AJUSTE-")),0)</f>
        <v>0</v>
      </c>
      <c r="L43" s="13">
        <f t="shared" si="2"/>
        <v>7</v>
      </c>
      <c r="M43" s="8" t="s">
        <v>24</v>
      </c>
      <c r="N43" s="14"/>
      <c r="O43" s="14" t="s">
        <v>25</v>
      </c>
      <c r="P43" s="14"/>
      <c r="Q43" s="15"/>
      <c r="R43" s="16" t="str">
        <f t="shared" si="3"/>
        <v/>
      </c>
    </row>
    <row r="44" ht="15.75" customHeight="1">
      <c r="A44" s="7">
        <v>46147.0</v>
      </c>
      <c r="B44" s="8" t="s">
        <v>20</v>
      </c>
      <c r="C44" s="8" t="s">
        <v>21</v>
      </c>
      <c r="D44" s="8" t="s">
        <v>41</v>
      </c>
      <c r="E44" s="8" t="s">
        <v>33</v>
      </c>
      <c r="F44" s="9">
        <v>7.0</v>
      </c>
      <c r="G44" s="10">
        <f>IFERROR(F44*VLOOKUP(D44,TELAS!$A$4:$C$32,3,FALSE()),0)</f>
        <v>140</v>
      </c>
      <c r="H44" s="11" t="str">
        <f>IFERROR(VLOOKUP(E44,COLORES!$A$4:$B$102,2,FALSE()),"")</f>
        <v>OSCURO</v>
      </c>
      <c r="I44" s="12">
        <f>IFERROR(IF(H44="OSCURO",VLOOKUP(D44,PRECIOS!$A$4:$F$32,2,FALSE()),IF(H44="CLARO",VLOOKUP(D44,PRECIOS!$A$4:$F$32,3,FALSE()),IF(H44="MELANGE",VLOOKUP(D44,PRECIOS!$A$4:$F$32,4,FALSE()),IF(H44="PPT",VLOOKUP(D44,PRECIOS!$A$4:$F$32,5,FALSE()),0)))),0)</f>
        <v>26</v>
      </c>
      <c r="J44" s="12">
        <f t="shared" si="1"/>
        <v>3640</v>
      </c>
      <c r="K44" s="13">
        <f>IFERROR(IF(C44="",0,SUMIFS($F$4:$F$43,$C$4:$C$43,C44,$D$4:$D$43,D44,$E$4:$E$43,E44,$B$4:$B$43,"INGRESO")+SUMIFS($F$4:$F$43,$C$4:$C$43,C44,$D$4:$D$43,D44,$E$4:$E$43,E44,$B$4:$B$43,"DE REPROCESO")+SUMIFS($F$4:$F$43,$C$4:$C$43,C44,$D$4:$D$43,D44,$E$4:$E$43,E44,$B$4:$B$43,"AJUSTE+")-SUMIFS($F$4:$F$43,$C$4:$C$43,C44,$D$4:$D$43,D44,$E$4:$E$43,E44,$B$4:$B$43,"A CORTE")-SUMIFS($F$4:$F$43,$C$4:$C$43,C44,$D$4:$D$43,D44,$E$4:$E$43,E44,$B$4:$B$43,"A REPROCESO")-SUMIFS($F$4:$F$43,$C$4:$C$43,C44,$D$4:$D$43,D44,$E$4:$E$43,E44,$B$4:$B$43,"MUESTRA")-SUMIFS($F$4:$F$43,$C$4:$C$43,C44,$D$4:$D$43,D44,$E$4:$E$43,E44,$B$4:$B$43,"AJUSTE-")),0)</f>
        <v>0</v>
      </c>
      <c r="L44" s="13">
        <f t="shared" si="2"/>
        <v>7</v>
      </c>
      <c r="M44" s="8" t="s">
        <v>24</v>
      </c>
      <c r="N44" s="14"/>
      <c r="O44" s="14" t="s">
        <v>25</v>
      </c>
      <c r="P44" s="14"/>
      <c r="Q44" s="15"/>
      <c r="R44" s="16" t="str">
        <f t="shared" si="3"/>
        <v/>
      </c>
    </row>
    <row r="45" ht="15.75" customHeight="1">
      <c r="A45" s="7">
        <v>46147.0</v>
      </c>
      <c r="B45" s="8" t="s">
        <v>20</v>
      </c>
      <c r="C45" s="8" t="s">
        <v>21</v>
      </c>
      <c r="D45" s="8" t="s">
        <v>41</v>
      </c>
      <c r="E45" s="8" t="s">
        <v>34</v>
      </c>
      <c r="F45" s="9">
        <v>14.0</v>
      </c>
      <c r="G45" s="10">
        <f>IFERROR(F45*VLOOKUP(D45,TELAS!$A$4:$C$32,3,FALSE()),0)</f>
        <v>280</v>
      </c>
      <c r="H45" s="11" t="str">
        <f>IFERROR(VLOOKUP(E45,COLORES!$A$4:$B$102,2,FALSE()),"")</f>
        <v>CLARO</v>
      </c>
      <c r="I45" s="12">
        <f>IFERROR(IF(H45="OSCURO",VLOOKUP(D45,PRECIOS!$A$4:$F$32,2,FALSE()),IF(H45="CLARO",VLOOKUP(D45,PRECIOS!$A$4:$F$32,3,FALSE()),IF(H45="MELANGE",VLOOKUP(D45,PRECIOS!$A$4:$F$32,4,FALSE()),IF(H45="PPT",VLOOKUP(D45,PRECIOS!$A$4:$F$32,5,FALSE()),0)))),0)</f>
        <v>22.5</v>
      </c>
      <c r="J45" s="12">
        <f t="shared" si="1"/>
        <v>6300</v>
      </c>
      <c r="K45" s="13">
        <f>IFERROR(IF(C45="",0,SUMIFS($F$4:$F$44,$C$4:$C$44,C45,$D$4:$D$44,D45,$E$4:$E$44,E45,$B$4:$B$44,"INGRESO")+SUMIFS($F$4:$F$44,$C$4:$C$44,C45,$D$4:$D$44,D45,$E$4:$E$44,E45,$B$4:$B$44,"DE REPROCESO")+SUMIFS($F$4:$F$44,$C$4:$C$44,C45,$D$4:$D$44,D45,$E$4:$E$44,E45,$B$4:$B$44,"AJUSTE+")-SUMIFS($F$4:$F$44,$C$4:$C$44,C45,$D$4:$D$44,D45,$E$4:$E$44,E45,$B$4:$B$44,"A CORTE")-SUMIFS($F$4:$F$44,$C$4:$C$44,C45,$D$4:$D$44,D45,$E$4:$E$44,E45,$B$4:$B$44,"A REPROCESO")-SUMIFS($F$4:$F$44,$C$4:$C$44,C45,$D$4:$D$44,D45,$E$4:$E$44,E45,$B$4:$B$44,"MUESTRA")-SUMIFS($F$4:$F$44,$C$4:$C$44,C45,$D$4:$D$44,D45,$E$4:$E$44,E45,$B$4:$B$44,"AJUSTE-")),0)</f>
        <v>0</v>
      </c>
      <c r="L45" s="13">
        <f t="shared" si="2"/>
        <v>14</v>
      </c>
      <c r="M45" s="8" t="s">
        <v>24</v>
      </c>
      <c r="N45" s="14"/>
      <c r="O45" s="14" t="s">
        <v>25</v>
      </c>
      <c r="P45" s="14"/>
      <c r="Q45" s="15"/>
      <c r="R45" s="16" t="str">
        <f t="shared" si="3"/>
        <v/>
      </c>
    </row>
    <row r="46" ht="15.75" customHeight="1">
      <c r="A46" s="7">
        <v>46147.0</v>
      </c>
      <c r="B46" s="8" t="s">
        <v>20</v>
      </c>
      <c r="C46" s="8" t="s">
        <v>21</v>
      </c>
      <c r="D46" s="8" t="s">
        <v>41</v>
      </c>
      <c r="E46" s="8" t="s">
        <v>35</v>
      </c>
      <c r="F46" s="9">
        <v>28.0</v>
      </c>
      <c r="G46" s="10">
        <f>IFERROR(F46*VLOOKUP(D46,TELAS!$A$4:$C$32,3,FALSE()),0)</f>
        <v>560</v>
      </c>
      <c r="H46" s="11" t="str">
        <f>IFERROR(VLOOKUP(E46,COLORES!$A$4:$B$102,2,FALSE()),"")</f>
        <v>OSCURO</v>
      </c>
      <c r="I46" s="12">
        <f>IFERROR(IF(H46="OSCURO",VLOOKUP(D46,PRECIOS!$A$4:$F$32,2,FALSE()),IF(H46="CLARO",VLOOKUP(D46,PRECIOS!$A$4:$F$32,3,FALSE()),IF(H46="MELANGE",VLOOKUP(D46,PRECIOS!$A$4:$F$32,4,FALSE()),IF(H46="PPT",VLOOKUP(D46,PRECIOS!$A$4:$F$32,5,FALSE()),0)))),0)</f>
        <v>26</v>
      </c>
      <c r="J46" s="12">
        <f t="shared" si="1"/>
        <v>14560</v>
      </c>
      <c r="K46" s="13">
        <f>IFERROR(IF(C46="",0,SUMIFS($F$4:$F$45,$C$4:$C$45,C46,$D$4:$D$45,D46,$E$4:$E$45,E46,$B$4:$B$45,"INGRESO")+SUMIFS($F$4:$F$45,$C$4:$C$45,C46,$D$4:$D$45,D46,$E$4:$E$45,E46,$B$4:$B$45,"DE REPROCESO")+SUMIFS($F$4:$F$45,$C$4:$C$45,C46,$D$4:$D$45,D46,$E$4:$E$45,E46,$B$4:$B$45,"AJUSTE+")-SUMIFS($F$4:$F$45,$C$4:$C$45,C46,$D$4:$D$45,D46,$E$4:$E$45,E46,$B$4:$B$45,"A CORTE")-SUMIFS($F$4:$F$45,$C$4:$C$45,C46,$D$4:$D$45,D46,$E$4:$E$45,E46,$B$4:$B$45,"A REPROCESO")-SUMIFS($F$4:$F$45,$C$4:$C$45,C46,$D$4:$D$45,D46,$E$4:$E$45,E46,$B$4:$B$45,"MUESTRA")-SUMIFS($F$4:$F$45,$C$4:$C$45,C46,$D$4:$D$45,D46,$E$4:$E$45,E46,$B$4:$B$45,"AJUSTE-")),0)</f>
        <v>0</v>
      </c>
      <c r="L46" s="13">
        <f t="shared" si="2"/>
        <v>28</v>
      </c>
      <c r="M46" s="8" t="s">
        <v>24</v>
      </c>
      <c r="N46" s="14"/>
      <c r="O46" s="14" t="s">
        <v>25</v>
      </c>
      <c r="P46" s="14"/>
      <c r="Q46" s="15"/>
      <c r="R46" s="16" t="str">
        <f t="shared" si="3"/>
        <v/>
      </c>
    </row>
    <row r="47" ht="15.75" customHeight="1">
      <c r="A47" s="7">
        <v>46147.0</v>
      </c>
      <c r="B47" s="8" t="s">
        <v>20</v>
      </c>
      <c r="C47" s="8" t="s">
        <v>21</v>
      </c>
      <c r="D47" s="8" t="s">
        <v>41</v>
      </c>
      <c r="E47" s="8" t="s">
        <v>40</v>
      </c>
      <c r="F47" s="9">
        <v>21.0</v>
      </c>
      <c r="G47" s="10">
        <f>IFERROR(F47*VLOOKUP(D47,TELAS!$A$4:$C$32,3,FALSE()),0)</f>
        <v>420</v>
      </c>
      <c r="H47" s="11" t="str">
        <f>IFERROR(VLOOKUP(E47,COLORES!$A$4:$B$102,2,FALSE()),"")</f>
        <v>MELANGE</v>
      </c>
      <c r="I47" s="12">
        <f>IFERROR(IF(H47="OSCURO",VLOOKUP(D47,PRECIOS!$A$4:$F$32,2,FALSE()),IF(H47="CLARO",VLOOKUP(D47,PRECIOS!$A$4:$F$32,3,FALSE()),IF(H47="MELANGE",VLOOKUP(D47,PRECIOS!$A$4:$F$32,4,FALSE()),IF(H47="PPT",VLOOKUP(D47,PRECIOS!$A$4:$F$32,5,FALSE()),0)))),0)</f>
        <v>19</v>
      </c>
      <c r="J47" s="12">
        <f t="shared" si="1"/>
        <v>7980</v>
      </c>
      <c r="K47" s="13">
        <f>IFERROR(IF(C47="",0,SUMIFS($F$4:$F$46,$C$4:$C$46,C47,$D$4:$D$46,D47,$E$4:$E$46,E47,$B$4:$B$46,"INGRESO")+SUMIFS($F$4:$F$46,$C$4:$C$46,C47,$D$4:$D$46,D47,$E$4:$E$46,E47,$B$4:$B$46,"DE REPROCESO")+SUMIFS($F$4:$F$46,$C$4:$C$46,C47,$D$4:$D$46,D47,$E$4:$E$46,E47,$B$4:$B$46,"AJUSTE+")-SUMIFS($F$4:$F$46,$C$4:$C$46,C47,$D$4:$D$46,D47,$E$4:$E$46,E47,$B$4:$B$46,"A CORTE")-SUMIFS($F$4:$F$46,$C$4:$C$46,C47,$D$4:$D$46,D47,$E$4:$E$46,E47,$B$4:$B$46,"A REPROCESO")-SUMIFS($F$4:$F$46,$C$4:$C$46,C47,$D$4:$D$46,D47,$E$4:$E$46,E47,$B$4:$B$46,"MUESTRA")-SUMIFS($F$4:$F$46,$C$4:$C$46,C47,$D$4:$D$46,D47,$E$4:$E$46,E47,$B$4:$B$46,"AJUSTE-")),0)</f>
        <v>0</v>
      </c>
      <c r="L47" s="13">
        <f t="shared" si="2"/>
        <v>21</v>
      </c>
      <c r="M47" s="8" t="s">
        <v>24</v>
      </c>
      <c r="N47" s="14"/>
      <c r="O47" s="14" t="s">
        <v>25</v>
      </c>
      <c r="P47" s="14"/>
      <c r="Q47" s="15"/>
      <c r="R47" s="16" t="str">
        <f t="shared" si="3"/>
        <v/>
      </c>
    </row>
    <row r="48" ht="15.75" customHeight="1">
      <c r="A48" s="7">
        <v>46141.0</v>
      </c>
      <c r="B48" s="8" t="s">
        <v>42</v>
      </c>
      <c r="C48" s="8" t="s">
        <v>21</v>
      </c>
      <c r="D48" s="8" t="s">
        <v>22</v>
      </c>
      <c r="E48" s="8" t="s">
        <v>23</v>
      </c>
      <c r="F48" s="9">
        <v>4.0</v>
      </c>
      <c r="G48" s="10">
        <f>IFERROR(F48*VLOOKUP(D48,TELAS!$A$4:$C$32,3,FALSE()),0)</f>
        <v>80</v>
      </c>
      <c r="H48" s="11" t="str">
        <f>IFERROR(VLOOKUP(E48,COLORES!$A$4:$B$102,2,FALSE()),"")</f>
        <v>OSCURO</v>
      </c>
      <c r="I48" s="12">
        <f>IFERROR(IF(H48="OSCURO",VLOOKUP(D48,PRECIOS!$A$4:$F$32,2,FALSE()),IF(H48="CLARO",VLOOKUP(D48,PRECIOS!$A$4:$F$32,3,FALSE()),IF(H48="MELANGE",VLOOKUP(D48,PRECIOS!$A$4:$F$32,4,FALSE()),IF(H48="PPT",VLOOKUP(D48,PRECIOS!$A$4:$F$32,5,FALSE()),0)))),0)</f>
        <v>24</v>
      </c>
      <c r="J48" s="12">
        <f t="shared" si="1"/>
        <v>1920</v>
      </c>
      <c r="K48" s="13">
        <f>IFERROR(IF(C48="",0,SUMIFS($F$4:$F$47,$C$4:$C$47,C48,$D$4:$D$47,D48,$E$4:$E$47,E48,$B$4:$B$47,"INGRESO")+SUMIFS($F$4:$F$47,$C$4:$C$47,C48,$D$4:$D$47,D48,$E$4:$E$47,E48,$B$4:$B$47,"DE REPROCESO")+SUMIFS($F$4:$F$47,$C$4:$C$47,C48,$D$4:$D$47,D48,$E$4:$E$47,E48,$B$4:$B$47,"AJUSTE+")-SUMIFS($F$4:$F$47,$C$4:$C$47,C48,$D$4:$D$47,D48,$E$4:$E$47,E48,$B$4:$B$47,"A CORTE")-SUMIFS($F$4:$F$47,$C$4:$C$47,C48,$D$4:$D$47,D48,$E$4:$E$47,E48,$B$4:$B$47,"A REPROCESO")-SUMIFS($F$4:$F$47,$C$4:$C$47,C48,$D$4:$D$47,D48,$E$4:$E$47,E48,$B$4:$B$47,"MUESTRA")-SUMIFS($F$4:$F$47,$C$4:$C$47,C48,$D$4:$D$47,D48,$E$4:$E$47,E48,$B$4:$B$47,"AJUSTE-")),0)</f>
        <v>29</v>
      </c>
      <c r="L48" s="13">
        <f t="shared" si="2"/>
        <v>25</v>
      </c>
      <c r="M48" s="8" t="s">
        <v>24</v>
      </c>
      <c r="N48" s="14" t="s">
        <v>43</v>
      </c>
      <c r="O48" s="14"/>
      <c r="P48" s="14"/>
      <c r="Q48" s="15"/>
      <c r="R48" s="16" t="str">
        <f t="shared" si="3"/>
        <v/>
      </c>
    </row>
    <row r="49" ht="15.75" customHeight="1">
      <c r="A49" s="7">
        <v>46141.0</v>
      </c>
      <c r="B49" s="8" t="s">
        <v>42</v>
      </c>
      <c r="C49" s="8" t="s">
        <v>21</v>
      </c>
      <c r="D49" s="8" t="s">
        <v>22</v>
      </c>
      <c r="E49" s="8" t="s">
        <v>30</v>
      </c>
      <c r="F49" s="9">
        <v>5.0</v>
      </c>
      <c r="G49" s="10">
        <f>IFERROR(F49*VLOOKUP(D49,TELAS!$A$4:$C$32,3,FALSE()),0)</f>
        <v>100</v>
      </c>
      <c r="H49" s="11" t="str">
        <f>IFERROR(VLOOKUP(E49,COLORES!$A$4:$B$102,2,FALSE()),"")</f>
        <v>CLARO</v>
      </c>
      <c r="I49" s="12">
        <f>IFERROR(IF(H49="OSCURO",VLOOKUP(D49,PRECIOS!$A$4:$F$32,2,FALSE()),IF(H49="CLARO",VLOOKUP(D49,PRECIOS!$A$4:$F$32,3,FALSE()),IF(H49="MELANGE",VLOOKUP(D49,PRECIOS!$A$4:$F$32,4,FALSE()),IF(H49="PPT",VLOOKUP(D49,PRECIOS!$A$4:$F$32,5,FALSE()),0)))),0)</f>
        <v>21</v>
      </c>
      <c r="J49" s="12">
        <f t="shared" si="1"/>
        <v>2100</v>
      </c>
      <c r="K49" s="13">
        <f>IFERROR(IF(C49="",0,SUMIFS($F$4:$F$48,$C$4:$C$48,C49,$D$4:$D$48,D49,$E$4:$E$48,E49,$B$4:$B$48,"INGRESO")+SUMIFS($F$4:$F$48,$C$4:$C$48,C49,$D$4:$D$48,D49,$E$4:$E$48,E49,$B$4:$B$48,"DE REPROCESO")+SUMIFS($F$4:$F$48,$C$4:$C$48,C49,$D$4:$D$48,D49,$E$4:$E$48,E49,$B$4:$B$48,"AJUSTE+")-SUMIFS($F$4:$F$48,$C$4:$C$48,C49,$D$4:$D$48,D49,$E$4:$E$48,E49,$B$4:$B$48,"A CORTE")-SUMIFS($F$4:$F$48,$C$4:$C$48,C49,$D$4:$D$48,D49,$E$4:$E$48,E49,$B$4:$B$48,"A REPROCESO")-SUMIFS($F$4:$F$48,$C$4:$C$48,C49,$D$4:$D$48,D49,$E$4:$E$48,E49,$B$4:$B$48,"MUESTRA")-SUMIFS($F$4:$F$48,$C$4:$C$48,C49,$D$4:$D$48,D49,$E$4:$E$48,E49,$B$4:$B$48,"AJUSTE-")),0)</f>
        <v>23</v>
      </c>
      <c r="L49" s="13">
        <f t="shared" si="2"/>
        <v>18</v>
      </c>
      <c r="M49" s="8" t="s">
        <v>24</v>
      </c>
      <c r="N49" s="14" t="s">
        <v>43</v>
      </c>
      <c r="O49" s="14"/>
      <c r="P49" s="14"/>
      <c r="Q49" s="15"/>
      <c r="R49" s="16" t="str">
        <f t="shared" si="3"/>
        <v/>
      </c>
    </row>
    <row r="50" ht="15.75" customHeight="1">
      <c r="A50" s="7">
        <v>46141.0</v>
      </c>
      <c r="B50" s="8" t="s">
        <v>42</v>
      </c>
      <c r="C50" s="8" t="s">
        <v>21</v>
      </c>
      <c r="D50" s="8" t="s">
        <v>22</v>
      </c>
      <c r="E50" s="8" t="s">
        <v>31</v>
      </c>
      <c r="F50" s="9">
        <v>5.0</v>
      </c>
      <c r="G50" s="10">
        <f>IFERROR(F50*VLOOKUP(D50,TELAS!$A$4:$C$32,3,FALSE()),0)</f>
        <v>100</v>
      </c>
      <c r="H50" s="11" t="str">
        <f>IFERROR(VLOOKUP(E50,COLORES!$A$4:$B$102,2,FALSE()),"")</f>
        <v>CLARO</v>
      </c>
      <c r="I50" s="12">
        <f>IFERROR(IF(H50="OSCURO",VLOOKUP(D50,PRECIOS!$A$4:$F$32,2,FALSE()),IF(H50="CLARO",VLOOKUP(D50,PRECIOS!$A$4:$F$32,3,FALSE()),IF(H50="MELANGE",VLOOKUP(D50,PRECIOS!$A$4:$F$32,4,FALSE()),IF(H50="PPT",VLOOKUP(D50,PRECIOS!$A$4:$F$32,5,FALSE()),0)))),0)</f>
        <v>21</v>
      </c>
      <c r="J50" s="12">
        <f t="shared" si="1"/>
        <v>2100</v>
      </c>
      <c r="K50" s="13">
        <f>IFERROR(IF(C50="",0,SUMIFS($F$4:$F$49,$C$4:$C$49,C50,$D$4:$D$49,D50,$E$4:$E$49,E50,$B$4:$B$49,"INGRESO")+SUMIFS($F$4:$F$49,$C$4:$C$49,C50,$D$4:$D$49,D50,$E$4:$E$49,E50,$B$4:$B$49,"DE REPROCESO")+SUMIFS($F$4:$F$49,$C$4:$C$49,C50,$D$4:$D$49,D50,$E$4:$E$49,E50,$B$4:$B$49,"AJUSTE+")-SUMIFS($F$4:$F$49,$C$4:$C$49,C50,$D$4:$D$49,D50,$E$4:$E$49,E50,$B$4:$B$49,"A CORTE")-SUMIFS($F$4:$F$49,$C$4:$C$49,C50,$D$4:$D$49,D50,$E$4:$E$49,E50,$B$4:$B$49,"A REPROCESO")-SUMIFS($F$4:$F$49,$C$4:$C$49,C50,$D$4:$D$49,D50,$E$4:$E$49,E50,$B$4:$B$49,"MUESTRA")-SUMIFS($F$4:$F$49,$C$4:$C$49,C50,$D$4:$D$49,D50,$E$4:$E$49,E50,$B$4:$B$49,"AJUSTE-")),0)</f>
        <v>24</v>
      </c>
      <c r="L50" s="13">
        <f t="shared" si="2"/>
        <v>19</v>
      </c>
      <c r="M50" s="8" t="s">
        <v>24</v>
      </c>
      <c r="N50" s="14" t="s">
        <v>43</v>
      </c>
      <c r="O50" s="14"/>
      <c r="P50" s="14"/>
      <c r="Q50" s="15"/>
      <c r="R50" s="16" t="str">
        <f t="shared" si="3"/>
        <v/>
      </c>
    </row>
    <row r="51" ht="15.75" customHeight="1">
      <c r="A51" s="7">
        <v>46141.0</v>
      </c>
      <c r="B51" s="8" t="s">
        <v>42</v>
      </c>
      <c r="C51" s="8" t="s">
        <v>21</v>
      </c>
      <c r="D51" s="8" t="s">
        <v>22</v>
      </c>
      <c r="E51" s="8" t="s">
        <v>33</v>
      </c>
      <c r="F51" s="9">
        <v>4.0</v>
      </c>
      <c r="G51" s="10">
        <f>IFERROR(F51*VLOOKUP(D51,TELAS!$A$4:$C$32,3,FALSE()),0)</f>
        <v>80</v>
      </c>
      <c r="H51" s="11" t="str">
        <f>IFERROR(VLOOKUP(E51,COLORES!$A$4:$B$102,2,FALSE()),"")</f>
        <v>OSCURO</v>
      </c>
      <c r="I51" s="12">
        <f>IFERROR(IF(H51="OSCURO",VLOOKUP(D51,PRECIOS!$A$4:$F$32,2,FALSE()),IF(H51="CLARO",VLOOKUP(D51,PRECIOS!$A$4:$F$32,3,FALSE()),IF(H51="MELANGE",VLOOKUP(D51,PRECIOS!$A$4:$F$32,4,FALSE()),IF(H51="PPT",VLOOKUP(D51,PRECIOS!$A$4:$F$32,5,FALSE()),0)))),0)</f>
        <v>24</v>
      </c>
      <c r="J51" s="12">
        <f t="shared" si="1"/>
        <v>1920</v>
      </c>
      <c r="K51" s="13">
        <f>IFERROR(IF(C51="",0,SUMIFS($F$4:$F$50,$C$4:$C$50,C51,$D$4:$D$50,D51,$E$4:$E$50,E51,$B$4:$B$50,"INGRESO")+SUMIFS($F$4:$F$50,$C$4:$C$50,C51,$D$4:$D$50,D51,$E$4:$E$50,E51,$B$4:$B$50,"DE REPROCESO")+SUMIFS($F$4:$F$50,$C$4:$C$50,C51,$D$4:$D$50,D51,$E$4:$E$50,E51,$B$4:$B$50,"AJUSTE+")-SUMIFS($F$4:$F$50,$C$4:$C$50,C51,$D$4:$D$50,D51,$E$4:$E$50,E51,$B$4:$B$50,"A CORTE")-SUMIFS($F$4:$F$50,$C$4:$C$50,C51,$D$4:$D$50,D51,$E$4:$E$50,E51,$B$4:$B$50,"A REPROCESO")-SUMIFS($F$4:$F$50,$C$4:$C$50,C51,$D$4:$D$50,D51,$E$4:$E$50,E51,$B$4:$B$50,"MUESTRA")-SUMIFS($F$4:$F$50,$C$4:$C$50,C51,$D$4:$D$50,D51,$E$4:$E$50,E51,$B$4:$B$50,"AJUSTE-")),0)</f>
        <v>18</v>
      </c>
      <c r="L51" s="13">
        <f t="shared" si="2"/>
        <v>14</v>
      </c>
      <c r="M51" s="8" t="s">
        <v>24</v>
      </c>
      <c r="N51" s="14" t="s">
        <v>43</v>
      </c>
      <c r="O51" s="14"/>
      <c r="P51" s="14"/>
      <c r="Q51" s="15"/>
      <c r="R51" s="16" t="str">
        <f t="shared" si="3"/>
        <v/>
      </c>
    </row>
    <row r="52" ht="15.75" customHeight="1">
      <c r="A52" s="7">
        <v>46141.0</v>
      </c>
      <c r="B52" s="8" t="s">
        <v>42</v>
      </c>
      <c r="C52" s="8" t="s">
        <v>21</v>
      </c>
      <c r="D52" s="8" t="s">
        <v>22</v>
      </c>
      <c r="E52" s="8" t="s">
        <v>34</v>
      </c>
      <c r="F52" s="9">
        <v>3.0</v>
      </c>
      <c r="G52" s="10">
        <f>IFERROR(F52*VLOOKUP(D52,TELAS!$A$4:$C$32,3,FALSE()),0)</f>
        <v>60</v>
      </c>
      <c r="H52" s="11" t="str">
        <f>IFERROR(VLOOKUP(E52,COLORES!$A$4:$B$102,2,FALSE()),"")</f>
        <v>CLARO</v>
      </c>
      <c r="I52" s="12">
        <f>IFERROR(IF(H52="OSCURO",VLOOKUP(D52,PRECIOS!$A$4:$F$32,2,FALSE()),IF(H52="CLARO",VLOOKUP(D52,PRECIOS!$A$4:$F$32,3,FALSE()),IF(H52="MELANGE",VLOOKUP(D52,PRECIOS!$A$4:$F$32,4,FALSE()),IF(H52="PPT",VLOOKUP(D52,PRECIOS!$A$4:$F$32,5,FALSE()),0)))),0)</f>
        <v>21</v>
      </c>
      <c r="J52" s="12">
        <f t="shared" si="1"/>
        <v>1260</v>
      </c>
      <c r="K52" s="13">
        <f>IFERROR(IF(C52="",0,SUMIFS($F$4:$F$51,$C$4:$C$51,C52,$D$4:$D$51,D52,$E$4:$E$51,E52,$B$4:$B$51,"INGRESO")+SUMIFS($F$4:$F$51,$C$4:$C$51,C52,$D$4:$D$51,D52,$E$4:$E$51,E52,$B$4:$B$51,"DE REPROCESO")+SUMIFS($F$4:$F$51,$C$4:$C$51,C52,$D$4:$D$51,D52,$E$4:$E$51,E52,$B$4:$B$51,"AJUSTE+")-SUMIFS($F$4:$F$51,$C$4:$C$51,C52,$D$4:$D$51,D52,$E$4:$E$51,E52,$B$4:$B$51,"A CORTE")-SUMIFS($F$4:$F$51,$C$4:$C$51,C52,$D$4:$D$51,D52,$E$4:$E$51,E52,$B$4:$B$51,"A REPROCESO")-SUMIFS($F$4:$F$51,$C$4:$C$51,C52,$D$4:$D$51,D52,$E$4:$E$51,E52,$B$4:$B$51,"MUESTRA")-SUMIFS($F$4:$F$51,$C$4:$C$51,C52,$D$4:$D$51,D52,$E$4:$E$51,E52,$B$4:$B$51,"AJUSTE-")),0)</f>
        <v>18</v>
      </c>
      <c r="L52" s="13">
        <f t="shared" si="2"/>
        <v>15</v>
      </c>
      <c r="M52" s="8" t="s">
        <v>24</v>
      </c>
      <c r="N52" s="14" t="s">
        <v>43</v>
      </c>
      <c r="O52" s="14"/>
      <c r="P52" s="14"/>
      <c r="Q52" s="15"/>
      <c r="R52" s="16" t="str">
        <f t="shared" si="3"/>
        <v/>
      </c>
    </row>
    <row r="53" ht="15.75" customHeight="1">
      <c r="A53" s="7">
        <v>46141.0</v>
      </c>
      <c r="B53" s="8" t="s">
        <v>42</v>
      </c>
      <c r="C53" s="8" t="s">
        <v>21</v>
      </c>
      <c r="D53" s="8" t="s">
        <v>22</v>
      </c>
      <c r="E53" s="8" t="s">
        <v>26</v>
      </c>
      <c r="F53" s="9">
        <v>2.0</v>
      </c>
      <c r="G53" s="10">
        <f>IFERROR(F53*VLOOKUP(D53,TELAS!$A$4:$C$32,3,FALSE()),0)</f>
        <v>40</v>
      </c>
      <c r="H53" s="11" t="str">
        <f>IFERROR(VLOOKUP(E53,COLORES!$A$4:$B$102,2,FALSE()),"")</f>
        <v>PPT</v>
      </c>
      <c r="I53" s="12">
        <f>IFERROR(IF(H53="OSCURO",VLOOKUP(D53,PRECIOS!$A$4:$F$32,2,FALSE()),IF(H53="CLARO",VLOOKUP(D53,PRECIOS!$A$4:$F$32,3,FALSE()),IF(H53="MELANGE",VLOOKUP(D53,PRECIOS!$A$4:$F$32,4,FALSE()),IF(H53="PPT",VLOOKUP(D53,PRECIOS!$A$4:$F$32,5,FALSE()),0)))),0)</f>
        <v>18</v>
      </c>
      <c r="J53" s="12">
        <f t="shared" si="1"/>
        <v>720</v>
      </c>
      <c r="K53" s="13">
        <f>IFERROR(IF(C53="",0,SUMIFS($F$4:$F$52,$C$4:$C$52,C53,$D$4:$D$52,D53,$E$4:$E$52,E53,$B$4:$B$52,"INGRESO")+SUMIFS($F$4:$F$52,$C$4:$C$52,C53,$D$4:$D$52,D53,$E$4:$E$52,E53,$B$4:$B$52,"DE REPROCESO")+SUMIFS($F$4:$F$52,$C$4:$C$52,C53,$D$4:$D$52,D53,$E$4:$E$52,E53,$B$4:$B$52,"AJUSTE+")-SUMIFS($F$4:$F$52,$C$4:$C$52,C53,$D$4:$D$52,D53,$E$4:$E$52,E53,$B$4:$B$52,"A CORTE")-SUMIFS($F$4:$F$52,$C$4:$C$52,C53,$D$4:$D$52,D53,$E$4:$E$52,E53,$B$4:$B$52,"A REPROCESO")-SUMIFS($F$4:$F$52,$C$4:$C$52,C53,$D$4:$D$52,D53,$E$4:$E$52,E53,$B$4:$B$52,"MUESTRA")-SUMIFS($F$4:$F$52,$C$4:$C$52,C53,$D$4:$D$52,D53,$E$4:$E$52,E53,$B$4:$B$52,"AJUSTE-")),0)</f>
        <v>48</v>
      </c>
      <c r="L53" s="13">
        <f t="shared" si="2"/>
        <v>46</v>
      </c>
      <c r="M53" s="8" t="s">
        <v>24</v>
      </c>
      <c r="N53" s="14" t="s">
        <v>43</v>
      </c>
      <c r="O53" s="14"/>
      <c r="P53" s="14"/>
      <c r="Q53" s="15"/>
      <c r="R53" s="16" t="str">
        <f t="shared" si="3"/>
        <v/>
      </c>
    </row>
    <row r="54" ht="15.75" customHeight="1">
      <c r="A54" s="7">
        <v>46149.0</v>
      </c>
      <c r="B54" s="8" t="s">
        <v>42</v>
      </c>
      <c r="C54" s="8" t="s">
        <v>36</v>
      </c>
      <c r="D54" s="8" t="s">
        <v>37</v>
      </c>
      <c r="E54" s="8" t="s">
        <v>23</v>
      </c>
      <c r="F54" s="9">
        <v>4.0</v>
      </c>
      <c r="G54" s="10">
        <f>IFERROR(F54*VLOOKUP(D54,TELAS!$A$4:$C$32,3,FALSE()),0)</f>
        <v>80</v>
      </c>
      <c r="H54" s="11" t="str">
        <f>IFERROR(VLOOKUP(E54,COLORES!$A$4:$B$102,2,FALSE()),"")</f>
        <v>OSCURO</v>
      </c>
      <c r="I54" s="12">
        <f>IFERROR(IF(H54="OSCURO",VLOOKUP(D54,PRECIOS!$A$4:$F$32,2,FALSE()),IF(H54="CLARO",VLOOKUP(D54,PRECIOS!$A$4:$F$32,3,FALSE()),IF(H54="MELANGE",VLOOKUP(D54,PRECIOS!$A$4:$F$32,4,FALSE()),IF(H54="PPT",VLOOKUP(D54,PRECIOS!$A$4:$F$32,5,FALSE()),0)))),0)</f>
        <v>24</v>
      </c>
      <c r="J54" s="12">
        <f t="shared" si="1"/>
        <v>1920</v>
      </c>
      <c r="K54" s="13">
        <f>IFERROR(IF(C54="",0,SUMIFS($F$4:$F$53,$C$4:$C$53,C54,$D$4:$D$53,D54,$E$4:$E$53,E54,$B$4:$B$53,"INGRESO")+SUMIFS($F$4:$F$53,$C$4:$C$53,C54,$D$4:$D$53,D54,$E$4:$E$53,E54,$B$4:$B$53,"DE REPROCESO")+SUMIFS($F$4:$F$53,$C$4:$C$53,C54,$D$4:$D$53,D54,$E$4:$E$53,E54,$B$4:$B$53,"AJUSTE+")-SUMIFS($F$4:$F$53,$C$4:$C$53,C54,$D$4:$D$53,D54,$E$4:$E$53,E54,$B$4:$B$53,"A CORTE")-SUMIFS($F$4:$F$53,$C$4:$C$53,C54,$D$4:$D$53,D54,$E$4:$E$53,E54,$B$4:$B$53,"A REPROCESO")-SUMIFS($F$4:$F$53,$C$4:$C$53,C54,$D$4:$D$53,D54,$E$4:$E$53,E54,$B$4:$B$53,"MUESTRA")-SUMIFS($F$4:$F$53,$C$4:$C$53,C54,$D$4:$D$53,D54,$E$4:$E$53,E54,$B$4:$B$53,"AJUSTE-")),0)</f>
        <v>37</v>
      </c>
      <c r="L54" s="13">
        <f t="shared" si="2"/>
        <v>33</v>
      </c>
      <c r="M54" s="8" t="s">
        <v>24</v>
      </c>
      <c r="N54" s="14" t="s">
        <v>44</v>
      </c>
      <c r="O54" s="14"/>
      <c r="P54" s="14"/>
      <c r="Q54" s="15"/>
      <c r="R54" s="16" t="str">
        <f t="shared" si="3"/>
        <v/>
      </c>
    </row>
    <row r="55" ht="15.75" customHeight="1">
      <c r="A55" s="7">
        <v>46149.0</v>
      </c>
      <c r="B55" s="8" t="s">
        <v>42</v>
      </c>
      <c r="C55" s="8" t="s">
        <v>36</v>
      </c>
      <c r="D55" s="8" t="s">
        <v>37</v>
      </c>
      <c r="E55" s="8" t="s">
        <v>27</v>
      </c>
      <c r="F55" s="9">
        <v>5.0</v>
      </c>
      <c r="G55" s="10">
        <f>IFERROR(F55*VLOOKUP(D55,TELAS!$A$4:$C$32,3,FALSE()),0)</f>
        <v>100</v>
      </c>
      <c r="H55" s="11" t="str">
        <f>IFERROR(VLOOKUP(E55,COLORES!$A$4:$B$102,2,FALSE()),"")</f>
        <v>OSCURO</v>
      </c>
      <c r="I55" s="12">
        <f>IFERROR(IF(H55="OSCURO",VLOOKUP(D55,PRECIOS!$A$4:$F$32,2,FALSE()),IF(H55="CLARO",VLOOKUP(D55,PRECIOS!$A$4:$F$32,3,FALSE()),IF(H55="MELANGE",VLOOKUP(D55,PRECIOS!$A$4:$F$32,4,FALSE()),IF(H55="PPT",VLOOKUP(D55,PRECIOS!$A$4:$F$32,5,FALSE()),0)))),0)</f>
        <v>24</v>
      </c>
      <c r="J55" s="12">
        <f t="shared" si="1"/>
        <v>2400</v>
      </c>
      <c r="K55" s="13">
        <f>IFERROR(IF(C55="",0,SUMIFS($F$4:$F$54,$C$4:$C$54,C55,$D$4:$D$54,D55,$E$4:$E$54,E55,$B$4:$B$54,"INGRESO")+SUMIFS($F$4:$F$54,$C$4:$C$54,C55,$D$4:$D$54,D55,$E$4:$E$54,E55,$B$4:$B$54,"DE REPROCESO")+SUMIFS($F$4:$F$54,$C$4:$C$54,C55,$D$4:$D$54,D55,$E$4:$E$54,E55,$B$4:$B$54,"AJUSTE+")-SUMIFS($F$4:$F$54,$C$4:$C$54,C55,$D$4:$D$54,D55,$E$4:$E$54,E55,$B$4:$B$54,"A CORTE")-SUMIFS($F$4:$F$54,$C$4:$C$54,C55,$D$4:$D$54,D55,$E$4:$E$54,E55,$B$4:$B$54,"A REPROCESO")-SUMIFS($F$4:$F$54,$C$4:$C$54,C55,$D$4:$D$54,D55,$E$4:$E$54,E55,$B$4:$B$54,"MUESTRA")-SUMIFS($F$4:$F$54,$C$4:$C$54,C55,$D$4:$D$54,D55,$E$4:$E$54,E55,$B$4:$B$54,"AJUSTE-")),0)</f>
        <v>7</v>
      </c>
      <c r="L55" s="13">
        <f t="shared" si="2"/>
        <v>2</v>
      </c>
      <c r="M55" s="8" t="s">
        <v>24</v>
      </c>
      <c r="N55" s="14" t="s">
        <v>44</v>
      </c>
      <c r="O55" s="14"/>
      <c r="P55" s="14"/>
      <c r="Q55" s="15"/>
      <c r="R55" s="16" t="str">
        <f t="shared" si="3"/>
        <v/>
      </c>
    </row>
    <row r="56" ht="15.75" customHeight="1">
      <c r="A56" s="7">
        <v>46149.0</v>
      </c>
      <c r="B56" s="8" t="s">
        <v>42</v>
      </c>
      <c r="C56" s="8" t="s">
        <v>36</v>
      </c>
      <c r="D56" s="8" t="s">
        <v>37</v>
      </c>
      <c r="E56" s="8" t="s">
        <v>28</v>
      </c>
      <c r="F56" s="9">
        <v>5.0</v>
      </c>
      <c r="G56" s="10">
        <f>IFERROR(F56*VLOOKUP(D56,TELAS!$A$4:$C$32,3,FALSE()),0)</f>
        <v>100</v>
      </c>
      <c r="H56" s="11" t="str">
        <f>IFERROR(VLOOKUP(E56,COLORES!$A$4:$B$102,2,FALSE()),"")</f>
        <v>OSCURO</v>
      </c>
      <c r="I56" s="12">
        <f>IFERROR(IF(H56="OSCURO",VLOOKUP(D56,PRECIOS!$A$4:$F$32,2,FALSE()),IF(H56="CLARO",VLOOKUP(D56,PRECIOS!$A$4:$F$32,3,FALSE()),IF(H56="MELANGE",VLOOKUP(D56,PRECIOS!$A$4:$F$32,4,FALSE()),IF(H56="PPT",VLOOKUP(D56,PRECIOS!$A$4:$F$32,5,FALSE()),0)))),0)</f>
        <v>24</v>
      </c>
      <c r="J56" s="12">
        <f t="shared" si="1"/>
        <v>2400</v>
      </c>
      <c r="K56" s="13">
        <f>IFERROR(IF(C56="",0,SUMIFS($F$4:$F$55,$C$4:$C$55,C56,$D$4:$D$55,D56,$E$4:$E$55,E56,$B$4:$B$55,"INGRESO")+SUMIFS($F$4:$F$55,$C$4:$C$55,C56,$D$4:$D$55,D56,$E$4:$E$55,E56,$B$4:$B$55,"DE REPROCESO")+SUMIFS($F$4:$F$55,$C$4:$C$55,C56,$D$4:$D$55,D56,$E$4:$E$55,E56,$B$4:$B$55,"AJUSTE+")-SUMIFS($F$4:$F$55,$C$4:$C$55,C56,$D$4:$D$55,D56,$E$4:$E$55,E56,$B$4:$B$55,"A CORTE")-SUMIFS($F$4:$F$55,$C$4:$C$55,C56,$D$4:$D$55,D56,$E$4:$E$55,E56,$B$4:$B$55,"A REPROCESO")-SUMIFS($F$4:$F$55,$C$4:$C$55,C56,$D$4:$D$55,D56,$E$4:$E$55,E56,$B$4:$B$55,"MUESTRA")-SUMIFS($F$4:$F$55,$C$4:$C$55,C56,$D$4:$D$55,D56,$E$4:$E$55,E56,$B$4:$B$55,"AJUSTE-")),0)</f>
        <v>5</v>
      </c>
      <c r="L56" s="13">
        <f t="shared" si="2"/>
        <v>0</v>
      </c>
      <c r="M56" s="8" t="s">
        <v>24</v>
      </c>
      <c r="N56" s="14" t="s">
        <v>44</v>
      </c>
      <c r="O56" s="14"/>
      <c r="P56" s="14"/>
      <c r="Q56" s="15"/>
      <c r="R56" s="16" t="str">
        <f t="shared" si="3"/>
        <v/>
      </c>
    </row>
    <row r="57" ht="15.75" customHeight="1">
      <c r="A57" s="7">
        <v>46149.0</v>
      </c>
      <c r="B57" s="8" t="s">
        <v>42</v>
      </c>
      <c r="C57" s="8" t="s">
        <v>36</v>
      </c>
      <c r="D57" s="8" t="s">
        <v>37</v>
      </c>
      <c r="E57" s="8" t="s">
        <v>29</v>
      </c>
      <c r="F57" s="9">
        <v>1.0</v>
      </c>
      <c r="G57" s="10">
        <f>IFERROR(F57*VLOOKUP(D57,TELAS!$A$4:$C$32,3,FALSE()),0)</f>
        <v>20</v>
      </c>
      <c r="H57" s="11" t="str">
        <f>IFERROR(VLOOKUP(E57,COLORES!$A$4:$B$102,2,FALSE()),"")</f>
        <v>CLARO</v>
      </c>
      <c r="I57" s="12">
        <f>IFERROR(IF(H57="OSCURO",VLOOKUP(D57,PRECIOS!$A$4:$F$32,2,FALSE()),IF(H57="CLARO",VLOOKUP(D57,PRECIOS!$A$4:$F$32,3,FALSE()),IF(H57="MELANGE",VLOOKUP(D57,PRECIOS!$A$4:$F$32,4,FALSE()),IF(H57="PPT",VLOOKUP(D57,PRECIOS!$A$4:$F$32,5,FALSE()),0)))),0)</f>
        <v>21</v>
      </c>
      <c r="J57" s="12">
        <f t="shared" si="1"/>
        <v>420</v>
      </c>
      <c r="K57" s="13">
        <f>IFERROR(IF(C57="",0,SUMIFS($F$4:$F$56,$C$4:$C$56,C57,$D$4:$D$56,D57,$E$4:$E$56,E57,$B$4:$B$56,"INGRESO")+SUMIFS($F$4:$F$56,$C$4:$C$56,C57,$D$4:$D$56,D57,$E$4:$E$56,E57,$B$4:$B$56,"DE REPROCESO")+SUMIFS($F$4:$F$56,$C$4:$C$56,C57,$D$4:$D$56,D57,$E$4:$E$56,E57,$B$4:$B$56,"AJUSTE+")-SUMIFS($F$4:$F$56,$C$4:$C$56,C57,$D$4:$D$56,D57,$E$4:$E$56,E57,$B$4:$B$56,"A CORTE")-SUMIFS($F$4:$F$56,$C$4:$C$56,C57,$D$4:$D$56,D57,$E$4:$E$56,E57,$B$4:$B$56,"A REPROCESO")-SUMIFS($F$4:$F$56,$C$4:$C$56,C57,$D$4:$D$56,D57,$E$4:$E$56,E57,$B$4:$B$56,"MUESTRA")-SUMIFS($F$4:$F$56,$C$4:$C$56,C57,$D$4:$D$56,D57,$E$4:$E$56,E57,$B$4:$B$56,"AJUSTE-")),0)</f>
        <v>1</v>
      </c>
      <c r="L57" s="13">
        <f t="shared" si="2"/>
        <v>0</v>
      </c>
      <c r="M57" s="8" t="s">
        <v>24</v>
      </c>
      <c r="N57" s="14" t="s">
        <v>44</v>
      </c>
      <c r="O57" s="14"/>
      <c r="P57" s="14"/>
      <c r="Q57" s="15"/>
      <c r="R57" s="16" t="str">
        <f t="shared" si="3"/>
        <v/>
      </c>
    </row>
    <row r="58" ht="15.75" customHeight="1">
      <c r="A58" s="7">
        <v>46149.0</v>
      </c>
      <c r="B58" s="8" t="s">
        <v>42</v>
      </c>
      <c r="C58" s="8" t="s">
        <v>36</v>
      </c>
      <c r="D58" s="8" t="s">
        <v>37</v>
      </c>
      <c r="E58" s="8" t="s">
        <v>31</v>
      </c>
      <c r="F58" s="9">
        <v>2.0</v>
      </c>
      <c r="G58" s="10">
        <f>IFERROR(F58*VLOOKUP(D58,TELAS!$A$4:$C$32,3,FALSE()),0)</f>
        <v>40</v>
      </c>
      <c r="H58" s="11" t="str">
        <f>IFERROR(VLOOKUP(E58,COLORES!$A$4:$B$102,2,FALSE()),"")</f>
        <v>CLARO</v>
      </c>
      <c r="I58" s="12">
        <f>IFERROR(IF(H58="OSCURO",VLOOKUP(D58,PRECIOS!$A$4:$F$32,2,FALSE()),IF(H58="CLARO",VLOOKUP(D58,PRECIOS!$A$4:$F$32,3,FALSE()),IF(H58="MELANGE",VLOOKUP(D58,PRECIOS!$A$4:$F$32,4,FALSE()),IF(H58="PPT",VLOOKUP(D58,PRECIOS!$A$4:$F$32,5,FALSE()),0)))),0)</f>
        <v>21</v>
      </c>
      <c r="J58" s="12">
        <f t="shared" si="1"/>
        <v>840</v>
      </c>
      <c r="K58" s="13">
        <f>IFERROR(IF(C58="",0,SUMIFS($F$4:$F$57,$C$4:$C$57,C58,$D$4:$D$57,D58,$E$4:$E$57,E58,$B$4:$B$57,"INGRESO")+SUMIFS($F$4:$F$57,$C$4:$C$57,C58,$D$4:$D$57,D58,$E$4:$E$57,E58,$B$4:$B$57,"DE REPROCESO")+SUMIFS($F$4:$F$57,$C$4:$C$57,C58,$D$4:$D$57,D58,$E$4:$E$57,E58,$B$4:$B$57,"AJUSTE+")-SUMIFS($F$4:$F$57,$C$4:$C$57,C58,$D$4:$D$57,D58,$E$4:$E$57,E58,$B$4:$B$57,"A CORTE")-SUMIFS($F$4:$F$57,$C$4:$C$57,C58,$D$4:$D$57,D58,$E$4:$E$57,E58,$B$4:$B$57,"A REPROCESO")-SUMIFS($F$4:$F$57,$C$4:$C$57,C58,$D$4:$D$57,D58,$E$4:$E$57,E58,$B$4:$B$57,"MUESTRA")-SUMIFS($F$4:$F$57,$C$4:$C$57,C58,$D$4:$D$57,D58,$E$4:$E$57,E58,$B$4:$B$57,"AJUSTE-")),0)</f>
        <v>2</v>
      </c>
      <c r="L58" s="13">
        <f t="shared" si="2"/>
        <v>0</v>
      </c>
      <c r="M58" s="8" t="s">
        <v>24</v>
      </c>
      <c r="N58" s="14" t="s">
        <v>44</v>
      </c>
      <c r="O58" s="14"/>
      <c r="P58" s="14"/>
      <c r="Q58" s="15"/>
      <c r="R58" s="16" t="str">
        <f t="shared" si="3"/>
        <v/>
      </c>
    </row>
    <row r="59" ht="15.75" customHeight="1">
      <c r="A59" s="7">
        <v>46149.0</v>
      </c>
      <c r="B59" s="8" t="s">
        <v>42</v>
      </c>
      <c r="C59" s="8" t="s">
        <v>36</v>
      </c>
      <c r="D59" s="8" t="s">
        <v>37</v>
      </c>
      <c r="E59" s="8" t="s">
        <v>32</v>
      </c>
      <c r="F59" s="9">
        <v>2.0</v>
      </c>
      <c r="G59" s="10">
        <f>IFERROR(F59*VLOOKUP(D59,TELAS!$A$4:$C$32,3,FALSE()),0)</f>
        <v>40</v>
      </c>
      <c r="H59" s="11" t="str">
        <f>IFERROR(VLOOKUP(E59,COLORES!$A$4:$B$102,2,FALSE()),"")</f>
        <v>CLARO</v>
      </c>
      <c r="I59" s="12">
        <f>IFERROR(IF(H59="OSCURO",VLOOKUP(D59,PRECIOS!$A$4:$F$32,2,FALSE()),IF(H59="CLARO",VLOOKUP(D59,PRECIOS!$A$4:$F$32,3,FALSE()),IF(H59="MELANGE",VLOOKUP(D59,PRECIOS!$A$4:$F$32,4,FALSE()),IF(H59="PPT",VLOOKUP(D59,PRECIOS!$A$4:$F$32,5,FALSE()),0)))),0)</f>
        <v>21</v>
      </c>
      <c r="J59" s="12">
        <f t="shared" si="1"/>
        <v>840</v>
      </c>
      <c r="K59" s="13">
        <f>IFERROR(IF(C59="",0,SUMIFS($F$4:$F$58,$C$4:$C$58,C59,$D$4:$D$58,D59,$E$4:$E$58,E59,$B$4:$B$58,"INGRESO")+SUMIFS($F$4:$F$58,$C$4:$C$58,C59,$D$4:$D$58,D59,$E$4:$E$58,E59,$B$4:$B$58,"DE REPROCESO")+SUMIFS($F$4:$F$58,$C$4:$C$58,C59,$D$4:$D$58,D59,$E$4:$E$58,E59,$B$4:$B$58,"AJUSTE+")-SUMIFS($F$4:$F$58,$C$4:$C$58,C59,$D$4:$D$58,D59,$E$4:$E$58,E59,$B$4:$B$58,"A CORTE")-SUMIFS($F$4:$F$58,$C$4:$C$58,C59,$D$4:$D$58,D59,$E$4:$E$58,E59,$B$4:$B$58,"A REPROCESO")-SUMIFS($F$4:$F$58,$C$4:$C$58,C59,$D$4:$D$58,D59,$E$4:$E$58,E59,$B$4:$B$58,"MUESTRA")-SUMIFS($F$4:$F$58,$C$4:$C$58,C59,$D$4:$D$58,D59,$E$4:$E$58,E59,$B$4:$B$58,"AJUSTE-")),0)</f>
        <v>2</v>
      </c>
      <c r="L59" s="13">
        <f t="shared" si="2"/>
        <v>0</v>
      </c>
      <c r="M59" s="8" t="s">
        <v>24</v>
      </c>
      <c r="N59" s="14" t="s">
        <v>44</v>
      </c>
      <c r="O59" s="14"/>
      <c r="P59" s="14"/>
      <c r="Q59" s="15"/>
      <c r="R59" s="16" t="str">
        <f t="shared" si="3"/>
        <v/>
      </c>
    </row>
    <row r="60" ht="15.75" customHeight="1">
      <c r="A60" s="7">
        <v>46149.0</v>
      </c>
      <c r="B60" s="8" t="s">
        <v>42</v>
      </c>
      <c r="C60" s="8" t="s">
        <v>36</v>
      </c>
      <c r="D60" s="8" t="s">
        <v>37</v>
      </c>
      <c r="E60" s="8" t="s">
        <v>34</v>
      </c>
      <c r="F60" s="9">
        <v>1.0</v>
      </c>
      <c r="G60" s="10">
        <f>IFERROR(F60*VLOOKUP(D60,TELAS!$A$4:$C$32,3,FALSE()),0)</f>
        <v>20</v>
      </c>
      <c r="H60" s="11" t="str">
        <f>IFERROR(VLOOKUP(E60,COLORES!$A$4:$B$102,2,FALSE()),"")</f>
        <v>CLARO</v>
      </c>
      <c r="I60" s="12">
        <f>IFERROR(IF(H60="OSCURO",VLOOKUP(D60,PRECIOS!$A$4:$F$32,2,FALSE()),IF(H60="CLARO",VLOOKUP(D60,PRECIOS!$A$4:$F$32,3,FALSE()),IF(H60="MELANGE",VLOOKUP(D60,PRECIOS!$A$4:$F$32,4,FALSE()),IF(H60="PPT",VLOOKUP(D60,PRECIOS!$A$4:$F$32,5,FALSE()),0)))),0)</f>
        <v>21</v>
      </c>
      <c r="J60" s="12">
        <f t="shared" si="1"/>
        <v>420</v>
      </c>
      <c r="K60" s="13">
        <f>IFERROR(IF(C60="",0,SUMIFS($F$4:$F$59,$C$4:$C$59,C60,$D$4:$D$59,D60,$E$4:$E$59,E60,$B$4:$B$59,"INGRESO")+SUMIFS($F$4:$F$59,$C$4:$C$59,C60,$D$4:$D$59,D60,$E$4:$E$59,E60,$B$4:$B$59,"DE REPROCESO")+SUMIFS($F$4:$F$59,$C$4:$C$59,C60,$D$4:$D$59,D60,$E$4:$E$59,E60,$B$4:$B$59,"AJUSTE+")-SUMIFS($F$4:$F$59,$C$4:$C$59,C60,$D$4:$D$59,D60,$E$4:$E$59,E60,$B$4:$B$59,"A CORTE")-SUMIFS($F$4:$F$59,$C$4:$C$59,C60,$D$4:$D$59,D60,$E$4:$E$59,E60,$B$4:$B$59,"A REPROCESO")-SUMIFS($F$4:$F$59,$C$4:$C$59,C60,$D$4:$D$59,D60,$E$4:$E$59,E60,$B$4:$B$59,"MUESTRA")-SUMIFS($F$4:$F$59,$C$4:$C$59,C60,$D$4:$D$59,D60,$E$4:$E$59,E60,$B$4:$B$59,"AJUSTE-")),0)</f>
        <v>1</v>
      </c>
      <c r="L60" s="13">
        <f t="shared" si="2"/>
        <v>0</v>
      </c>
      <c r="M60" s="8" t="s">
        <v>24</v>
      </c>
      <c r="N60" s="14" t="s">
        <v>44</v>
      </c>
      <c r="O60" s="14"/>
      <c r="P60" s="14"/>
      <c r="Q60" s="15"/>
      <c r="R60" s="16" t="str">
        <f t="shared" si="3"/>
        <v/>
      </c>
    </row>
    <row r="61" ht="15.75" customHeight="1">
      <c r="A61" s="7">
        <v>46149.0</v>
      </c>
      <c r="B61" s="8" t="s">
        <v>42</v>
      </c>
      <c r="C61" s="8" t="s">
        <v>36</v>
      </c>
      <c r="D61" s="8" t="s">
        <v>37</v>
      </c>
      <c r="E61" s="8" t="s">
        <v>35</v>
      </c>
      <c r="F61" s="9">
        <v>4.0</v>
      </c>
      <c r="G61" s="10">
        <f>IFERROR(F61*VLOOKUP(D61,TELAS!$A$4:$C$32,3,FALSE()),0)</f>
        <v>80</v>
      </c>
      <c r="H61" s="11" t="str">
        <f>IFERROR(VLOOKUP(E61,COLORES!$A$4:$B$102,2,FALSE()),"")</f>
        <v>OSCURO</v>
      </c>
      <c r="I61" s="12">
        <f>IFERROR(IF(H61="OSCURO",VLOOKUP(D61,PRECIOS!$A$4:$F$32,2,FALSE()),IF(H61="CLARO",VLOOKUP(D61,PRECIOS!$A$4:$F$32,3,FALSE()),IF(H61="MELANGE",VLOOKUP(D61,PRECIOS!$A$4:$F$32,4,FALSE()),IF(H61="PPT",VLOOKUP(D61,PRECIOS!$A$4:$F$32,5,FALSE()),0)))),0)</f>
        <v>24</v>
      </c>
      <c r="J61" s="12">
        <f t="shared" si="1"/>
        <v>1920</v>
      </c>
      <c r="K61" s="13">
        <f>IFERROR(IF(C61="",0,SUMIFS($F$4:$F$60,$C$4:$C$60,C61,$D$4:$D$60,D61,$E$4:$E$60,E61,$B$4:$B$60,"INGRESO")+SUMIFS($F$4:$F$60,$C$4:$C$60,C61,$D$4:$D$60,D61,$E$4:$E$60,E61,$B$4:$B$60,"DE REPROCESO")+SUMIFS($F$4:$F$60,$C$4:$C$60,C61,$D$4:$D$60,D61,$E$4:$E$60,E61,$B$4:$B$60,"AJUSTE+")-SUMIFS($F$4:$F$60,$C$4:$C$60,C61,$D$4:$D$60,D61,$E$4:$E$60,E61,$B$4:$B$60,"A CORTE")-SUMIFS($F$4:$F$60,$C$4:$C$60,C61,$D$4:$D$60,D61,$E$4:$E$60,E61,$B$4:$B$60,"A REPROCESO")-SUMIFS($F$4:$F$60,$C$4:$C$60,C61,$D$4:$D$60,D61,$E$4:$E$60,E61,$B$4:$B$60,"MUESTRA")-SUMIFS($F$4:$F$60,$C$4:$C$60,C61,$D$4:$D$60,D61,$E$4:$E$60,E61,$B$4:$B$60,"AJUSTE-")),0)</f>
        <v>4</v>
      </c>
      <c r="L61" s="13">
        <f t="shared" si="2"/>
        <v>0</v>
      </c>
      <c r="M61" s="8" t="s">
        <v>24</v>
      </c>
      <c r="N61" s="14" t="s">
        <v>44</v>
      </c>
      <c r="O61" s="14"/>
      <c r="P61" s="14"/>
      <c r="Q61" s="15"/>
      <c r="R61" s="16" t="str">
        <f t="shared" si="3"/>
        <v/>
      </c>
    </row>
    <row r="62" ht="15.75" customHeight="1">
      <c r="A62" s="7">
        <v>46147.0</v>
      </c>
      <c r="B62" s="8" t="s">
        <v>42</v>
      </c>
      <c r="C62" s="8" t="s">
        <v>21</v>
      </c>
      <c r="D62" s="8" t="s">
        <v>22</v>
      </c>
      <c r="E62" s="8" t="s">
        <v>23</v>
      </c>
      <c r="F62" s="9">
        <v>6.0</v>
      </c>
      <c r="G62" s="10">
        <f>IFERROR(F62*VLOOKUP(D62,TELAS!$A$4:$C$32,3,FALSE()),0)</f>
        <v>120</v>
      </c>
      <c r="H62" s="11" t="str">
        <f>IFERROR(VLOOKUP(E62,COLORES!$A$4:$B$102,2,FALSE()),"")</f>
        <v>OSCURO</v>
      </c>
      <c r="I62" s="12">
        <f>IFERROR(IF(H62="OSCURO",VLOOKUP(D62,PRECIOS!$A$4:$F$32,2,FALSE()),IF(H62="CLARO",VLOOKUP(D62,PRECIOS!$A$4:$F$32,3,FALSE()),IF(H62="MELANGE",VLOOKUP(D62,PRECIOS!$A$4:$F$32,4,FALSE()),IF(H62="PPT",VLOOKUP(D62,PRECIOS!$A$4:$F$32,5,FALSE()),0)))),0)</f>
        <v>24</v>
      </c>
      <c r="J62" s="12">
        <f t="shared" si="1"/>
        <v>2880</v>
      </c>
      <c r="K62" s="13">
        <f>IFERROR(IF(C62="",0,SUMIFS($F$4:$F$61,$C$4:$C$61,C62,$D$4:$D$61,D62,$E$4:$E$61,E62,$B$4:$B$61,"INGRESO")+SUMIFS($F$4:$F$61,$C$4:$C$61,C62,$D$4:$D$61,D62,$E$4:$E$61,E62,$B$4:$B$61,"DE REPROCESO")+SUMIFS($F$4:$F$61,$C$4:$C$61,C62,$D$4:$D$61,D62,$E$4:$E$61,E62,$B$4:$B$61,"AJUSTE+")-SUMIFS($F$4:$F$61,$C$4:$C$61,C62,$D$4:$D$61,D62,$E$4:$E$61,E62,$B$4:$B$61,"A CORTE")-SUMIFS($F$4:$F$61,$C$4:$C$61,C62,$D$4:$D$61,D62,$E$4:$E$61,E62,$B$4:$B$61,"A REPROCESO")-SUMIFS($F$4:$F$61,$C$4:$C$61,C62,$D$4:$D$61,D62,$E$4:$E$61,E62,$B$4:$B$61,"MUESTRA")-SUMIFS($F$4:$F$61,$C$4:$C$61,C62,$D$4:$D$61,D62,$E$4:$E$61,E62,$B$4:$B$61,"AJUSTE-")),0)</f>
        <v>25</v>
      </c>
      <c r="L62" s="13">
        <f t="shared" si="2"/>
        <v>19</v>
      </c>
      <c r="M62" s="8" t="s">
        <v>24</v>
      </c>
      <c r="N62" s="14" t="s">
        <v>45</v>
      </c>
      <c r="O62" s="14"/>
      <c r="P62" s="14"/>
      <c r="Q62" s="15"/>
      <c r="R62" s="16" t="str">
        <f t="shared" si="3"/>
        <v/>
      </c>
    </row>
    <row r="63" ht="15.75" customHeight="1">
      <c r="A63" s="7">
        <v>46147.0</v>
      </c>
      <c r="B63" s="8" t="s">
        <v>42</v>
      </c>
      <c r="C63" s="8" t="s">
        <v>21</v>
      </c>
      <c r="D63" s="8" t="s">
        <v>22</v>
      </c>
      <c r="E63" s="8" t="s">
        <v>28</v>
      </c>
      <c r="F63" s="9">
        <v>4.0</v>
      </c>
      <c r="G63" s="10">
        <f>IFERROR(F63*VLOOKUP(D63,TELAS!$A$4:$C$32,3,FALSE()),0)</f>
        <v>80</v>
      </c>
      <c r="H63" s="11" t="str">
        <f>IFERROR(VLOOKUP(E63,COLORES!$A$4:$B$102,2,FALSE()),"")</f>
        <v>OSCURO</v>
      </c>
      <c r="I63" s="12">
        <f>IFERROR(IF(H63="OSCURO",VLOOKUP(D63,PRECIOS!$A$4:$F$32,2,FALSE()),IF(H63="CLARO",VLOOKUP(D63,PRECIOS!$A$4:$F$32,3,FALSE()),IF(H63="MELANGE",VLOOKUP(D63,PRECIOS!$A$4:$F$32,4,FALSE()),IF(H63="PPT",VLOOKUP(D63,PRECIOS!$A$4:$F$32,5,FALSE()),0)))),0)</f>
        <v>24</v>
      </c>
      <c r="J63" s="12">
        <f t="shared" si="1"/>
        <v>1920</v>
      </c>
      <c r="K63" s="13">
        <f>IFERROR(IF(C63="",0,SUMIFS($F$4:$F$62,$C$4:$C$62,C63,$D$4:$D$62,D63,$E$4:$E$62,E63,$B$4:$B$62,"INGRESO")+SUMIFS($F$4:$F$62,$C$4:$C$62,C63,$D$4:$D$62,D63,$E$4:$E$62,E63,$B$4:$B$62,"DE REPROCESO")+SUMIFS($F$4:$F$62,$C$4:$C$62,C63,$D$4:$D$62,D63,$E$4:$E$62,E63,$B$4:$B$62,"AJUSTE+")-SUMIFS($F$4:$F$62,$C$4:$C$62,C63,$D$4:$D$62,D63,$E$4:$E$62,E63,$B$4:$B$62,"A CORTE")-SUMIFS($F$4:$F$62,$C$4:$C$62,C63,$D$4:$D$62,D63,$E$4:$E$62,E63,$B$4:$B$62,"A REPROCESO")-SUMIFS($F$4:$F$62,$C$4:$C$62,C63,$D$4:$D$62,D63,$E$4:$E$62,E63,$B$4:$B$62,"MUESTRA")-SUMIFS($F$4:$F$62,$C$4:$C$62,C63,$D$4:$D$62,D63,$E$4:$E$62,E63,$B$4:$B$62,"AJUSTE-")),0)</f>
        <v>15</v>
      </c>
      <c r="L63" s="13">
        <f t="shared" si="2"/>
        <v>11</v>
      </c>
      <c r="M63" s="8" t="s">
        <v>24</v>
      </c>
      <c r="N63" s="14" t="s">
        <v>45</v>
      </c>
      <c r="O63" s="14"/>
      <c r="P63" s="14"/>
      <c r="Q63" s="15"/>
      <c r="R63" s="16" t="str">
        <f t="shared" si="3"/>
        <v/>
      </c>
    </row>
    <row r="64" ht="15.75" customHeight="1">
      <c r="A64" s="7">
        <v>46147.0</v>
      </c>
      <c r="B64" s="8" t="s">
        <v>42</v>
      </c>
      <c r="C64" s="8" t="s">
        <v>21</v>
      </c>
      <c r="D64" s="8" t="s">
        <v>22</v>
      </c>
      <c r="E64" s="8" t="s">
        <v>32</v>
      </c>
      <c r="F64" s="9">
        <v>3.0</v>
      </c>
      <c r="G64" s="10">
        <f>IFERROR(F64*VLOOKUP(D64,TELAS!$A$4:$C$32,3,FALSE()),0)</f>
        <v>60</v>
      </c>
      <c r="H64" s="11" t="str">
        <f>IFERROR(VLOOKUP(E64,COLORES!$A$4:$B$102,2,FALSE()),"")</f>
        <v>CLARO</v>
      </c>
      <c r="I64" s="12">
        <f>IFERROR(IF(H64="OSCURO",VLOOKUP(D64,PRECIOS!$A$4:$F$32,2,FALSE()),IF(H64="CLARO",VLOOKUP(D64,PRECIOS!$A$4:$F$32,3,FALSE()),IF(H64="MELANGE",VLOOKUP(D64,PRECIOS!$A$4:$F$32,4,FALSE()),IF(H64="PPT",VLOOKUP(D64,PRECIOS!$A$4:$F$32,5,FALSE()),0)))),0)</f>
        <v>21</v>
      </c>
      <c r="J64" s="12">
        <f t="shared" si="1"/>
        <v>1260</v>
      </c>
      <c r="K64" s="13">
        <f>IFERROR(IF(C64="",0,SUMIFS($F$4:$F$63,$C$4:$C$63,C64,$D$4:$D$63,D64,$E$4:$E$63,E64,$B$4:$B$63,"INGRESO")+SUMIFS($F$4:$F$63,$C$4:$C$63,C64,$D$4:$D$63,D64,$E$4:$E$63,E64,$B$4:$B$63,"DE REPROCESO")+SUMIFS($F$4:$F$63,$C$4:$C$63,C64,$D$4:$D$63,D64,$E$4:$E$63,E64,$B$4:$B$63,"AJUSTE+")-SUMIFS($F$4:$F$63,$C$4:$C$63,C64,$D$4:$D$63,D64,$E$4:$E$63,E64,$B$4:$B$63,"A CORTE")-SUMIFS($F$4:$F$63,$C$4:$C$63,C64,$D$4:$D$63,D64,$E$4:$E$63,E64,$B$4:$B$63,"A REPROCESO")-SUMIFS($F$4:$F$63,$C$4:$C$63,C64,$D$4:$D$63,D64,$E$4:$E$63,E64,$B$4:$B$63,"MUESTRA")-SUMIFS($F$4:$F$63,$C$4:$C$63,C64,$D$4:$D$63,D64,$E$4:$E$63,E64,$B$4:$B$63,"AJUSTE-")),0)</f>
        <v>14</v>
      </c>
      <c r="L64" s="13">
        <f t="shared" si="2"/>
        <v>11</v>
      </c>
      <c r="M64" s="8" t="s">
        <v>24</v>
      </c>
      <c r="N64" s="14" t="s">
        <v>45</v>
      </c>
      <c r="O64" s="14"/>
      <c r="P64" s="14"/>
      <c r="Q64" s="15"/>
      <c r="R64" s="16" t="str">
        <f t="shared" si="3"/>
        <v/>
      </c>
    </row>
    <row r="65" ht="15.75" customHeight="1">
      <c r="A65" s="7">
        <v>46147.0</v>
      </c>
      <c r="B65" s="8" t="s">
        <v>42</v>
      </c>
      <c r="C65" s="8" t="s">
        <v>21</v>
      </c>
      <c r="D65" s="8" t="s">
        <v>22</v>
      </c>
      <c r="E65" s="8" t="s">
        <v>33</v>
      </c>
      <c r="F65" s="9">
        <v>6.0</v>
      </c>
      <c r="G65" s="10">
        <f>IFERROR(F65*VLOOKUP(D65,TELAS!$A$4:$C$32,3,FALSE()),0)</f>
        <v>120</v>
      </c>
      <c r="H65" s="11" t="str">
        <f>IFERROR(VLOOKUP(E65,COLORES!$A$4:$B$102,2,FALSE()),"")</f>
        <v>OSCURO</v>
      </c>
      <c r="I65" s="12">
        <f>IFERROR(IF(H65="OSCURO",VLOOKUP(D65,PRECIOS!$A$4:$F$32,2,FALSE()),IF(H65="CLARO",VLOOKUP(D65,PRECIOS!$A$4:$F$32,3,FALSE()),IF(H65="MELANGE",VLOOKUP(D65,PRECIOS!$A$4:$F$32,4,FALSE()),IF(H65="PPT",VLOOKUP(D65,PRECIOS!$A$4:$F$32,5,FALSE()),0)))),0)</f>
        <v>24</v>
      </c>
      <c r="J65" s="12">
        <f t="shared" si="1"/>
        <v>2880</v>
      </c>
      <c r="K65" s="13">
        <f>IFERROR(IF(C65="",0,SUMIFS($F$4:$F$64,$C$4:$C$64,C65,$D$4:$D$64,D65,$E$4:$E$64,E65,$B$4:$B$64,"INGRESO")+SUMIFS($F$4:$F$64,$C$4:$C$64,C65,$D$4:$D$64,D65,$E$4:$E$64,E65,$B$4:$B$64,"DE REPROCESO")+SUMIFS($F$4:$F$64,$C$4:$C$64,C65,$D$4:$D$64,D65,$E$4:$E$64,E65,$B$4:$B$64,"AJUSTE+")-SUMIFS($F$4:$F$64,$C$4:$C$64,C65,$D$4:$D$64,D65,$E$4:$E$64,E65,$B$4:$B$64,"A CORTE")-SUMIFS($F$4:$F$64,$C$4:$C$64,C65,$D$4:$D$64,D65,$E$4:$E$64,E65,$B$4:$B$64,"A REPROCESO")-SUMIFS($F$4:$F$64,$C$4:$C$64,C65,$D$4:$D$64,D65,$E$4:$E$64,E65,$B$4:$B$64,"MUESTRA")-SUMIFS($F$4:$F$64,$C$4:$C$64,C65,$D$4:$D$64,D65,$E$4:$E$64,E65,$B$4:$B$64,"AJUSTE-")),0)</f>
        <v>14</v>
      </c>
      <c r="L65" s="13">
        <f t="shared" si="2"/>
        <v>8</v>
      </c>
      <c r="M65" s="8" t="s">
        <v>24</v>
      </c>
      <c r="N65" s="14" t="s">
        <v>45</v>
      </c>
      <c r="O65" s="14"/>
      <c r="P65" s="14"/>
      <c r="Q65" s="15"/>
      <c r="R65" s="16" t="str">
        <f t="shared" si="3"/>
        <v/>
      </c>
    </row>
    <row r="66" ht="15.75" customHeight="1">
      <c r="A66" s="7">
        <v>46147.0</v>
      </c>
      <c r="B66" s="8" t="s">
        <v>42</v>
      </c>
      <c r="C66" s="8" t="s">
        <v>21</v>
      </c>
      <c r="D66" s="8" t="s">
        <v>22</v>
      </c>
      <c r="E66" s="8" t="s">
        <v>34</v>
      </c>
      <c r="F66" s="9">
        <v>5.0</v>
      </c>
      <c r="G66" s="10">
        <f>IFERROR(F66*VLOOKUP(D66,TELAS!$A$4:$C$32,3,FALSE()),0)</f>
        <v>100</v>
      </c>
      <c r="H66" s="11" t="str">
        <f>IFERROR(VLOOKUP(E66,COLORES!$A$4:$B$102,2,FALSE()),"")</f>
        <v>CLARO</v>
      </c>
      <c r="I66" s="12">
        <f>IFERROR(IF(H66="OSCURO",VLOOKUP(D66,PRECIOS!$A$4:$F$32,2,FALSE()),IF(H66="CLARO",VLOOKUP(D66,PRECIOS!$A$4:$F$32,3,FALSE()),IF(H66="MELANGE",VLOOKUP(D66,PRECIOS!$A$4:$F$32,4,FALSE()),IF(H66="PPT",VLOOKUP(D66,PRECIOS!$A$4:$F$32,5,FALSE()),0)))),0)</f>
        <v>21</v>
      </c>
      <c r="J66" s="12">
        <f t="shared" si="1"/>
        <v>2100</v>
      </c>
      <c r="K66" s="13">
        <f>IFERROR(IF(C66="",0,SUMIFS($F$4:$F$65,$C$4:$C$65,C66,$D$4:$D$65,D66,$E$4:$E$65,E66,$B$4:$B$65,"INGRESO")+SUMIFS($F$4:$F$65,$C$4:$C$65,C66,$D$4:$D$65,D66,$E$4:$E$65,E66,$B$4:$B$65,"DE REPROCESO")+SUMIFS($F$4:$F$65,$C$4:$C$65,C66,$D$4:$D$65,D66,$E$4:$E$65,E66,$B$4:$B$65,"AJUSTE+")-SUMIFS($F$4:$F$65,$C$4:$C$65,C66,$D$4:$D$65,D66,$E$4:$E$65,E66,$B$4:$B$65,"A CORTE")-SUMIFS($F$4:$F$65,$C$4:$C$65,C66,$D$4:$D$65,D66,$E$4:$E$65,E66,$B$4:$B$65,"A REPROCESO")-SUMIFS($F$4:$F$65,$C$4:$C$65,C66,$D$4:$D$65,D66,$E$4:$E$65,E66,$B$4:$B$65,"MUESTRA")-SUMIFS($F$4:$F$65,$C$4:$C$65,C66,$D$4:$D$65,D66,$E$4:$E$65,E66,$B$4:$B$65,"AJUSTE-")),0)</f>
        <v>15</v>
      </c>
      <c r="L66" s="13">
        <f t="shared" si="2"/>
        <v>10</v>
      </c>
      <c r="M66" s="8" t="s">
        <v>24</v>
      </c>
      <c r="N66" s="14" t="s">
        <v>45</v>
      </c>
      <c r="O66" s="14"/>
      <c r="P66" s="14"/>
      <c r="Q66" s="15"/>
      <c r="R66" s="16" t="str">
        <f t="shared" si="3"/>
        <v/>
      </c>
    </row>
    <row r="67" ht="15.75" customHeight="1">
      <c r="A67" s="7">
        <v>46147.0</v>
      </c>
      <c r="B67" s="8" t="s">
        <v>42</v>
      </c>
      <c r="C67" s="8" t="s">
        <v>21</v>
      </c>
      <c r="D67" s="8" t="s">
        <v>22</v>
      </c>
      <c r="E67" s="8" t="s">
        <v>35</v>
      </c>
      <c r="F67" s="9">
        <v>8.0</v>
      </c>
      <c r="G67" s="10">
        <f>IFERROR(F67*VLOOKUP(D67,TELAS!$A$4:$C$32,3,FALSE()),0)</f>
        <v>160</v>
      </c>
      <c r="H67" s="11" t="str">
        <f>IFERROR(VLOOKUP(E67,COLORES!$A$4:$B$102,2,FALSE()),"")</f>
        <v>OSCURO</v>
      </c>
      <c r="I67" s="12">
        <f>IFERROR(IF(H67="OSCURO",VLOOKUP(D67,PRECIOS!$A$4:$F$32,2,FALSE()),IF(H67="CLARO",VLOOKUP(D67,PRECIOS!$A$4:$F$32,3,FALSE()),IF(H67="MELANGE",VLOOKUP(D67,PRECIOS!$A$4:$F$32,4,FALSE()),IF(H67="PPT",VLOOKUP(D67,PRECIOS!$A$4:$F$32,5,FALSE()),0)))),0)</f>
        <v>24</v>
      </c>
      <c r="J67" s="12">
        <f t="shared" si="1"/>
        <v>3840</v>
      </c>
      <c r="K67" s="13">
        <f>IFERROR(IF(C67="",0,SUMIFS($F$4:$F$66,$C$4:$C$66,C67,$D$4:$D$66,D67,$E$4:$E$66,E67,$B$4:$B$66,"INGRESO")+SUMIFS($F$4:$F$66,$C$4:$C$66,C67,$D$4:$D$66,D67,$E$4:$E$66,E67,$B$4:$B$66,"DE REPROCESO")+SUMIFS($F$4:$F$66,$C$4:$C$66,C67,$D$4:$D$66,D67,$E$4:$E$66,E67,$B$4:$B$66,"AJUSTE+")-SUMIFS($F$4:$F$66,$C$4:$C$66,C67,$D$4:$D$66,D67,$E$4:$E$66,E67,$B$4:$B$66,"A CORTE")-SUMIFS($F$4:$F$66,$C$4:$C$66,C67,$D$4:$D$66,D67,$E$4:$E$66,E67,$B$4:$B$66,"A REPROCESO")-SUMIFS($F$4:$F$66,$C$4:$C$66,C67,$D$4:$D$66,D67,$E$4:$E$66,E67,$B$4:$B$66,"MUESTRA")-SUMIFS($F$4:$F$66,$C$4:$C$66,C67,$D$4:$D$66,D67,$E$4:$E$66,E67,$B$4:$B$66,"AJUSTE-")),0)</f>
        <v>15</v>
      </c>
      <c r="L67" s="13">
        <f t="shared" si="2"/>
        <v>7</v>
      </c>
      <c r="M67" s="8" t="s">
        <v>24</v>
      </c>
      <c r="N67" s="14" t="s">
        <v>45</v>
      </c>
      <c r="O67" s="14"/>
      <c r="P67" s="14"/>
      <c r="Q67" s="15"/>
      <c r="R67" s="16" t="str">
        <f t="shared" si="3"/>
        <v/>
      </c>
    </row>
    <row r="68" ht="15.75" customHeight="1">
      <c r="A68" s="7">
        <v>46147.0</v>
      </c>
      <c r="B68" s="8" t="s">
        <v>42</v>
      </c>
      <c r="C68" s="8" t="s">
        <v>21</v>
      </c>
      <c r="D68" s="8" t="s">
        <v>38</v>
      </c>
      <c r="E68" s="8" t="s">
        <v>28</v>
      </c>
      <c r="F68" s="9">
        <v>3.0</v>
      </c>
      <c r="G68" s="10">
        <f>IFERROR(F68*VLOOKUP(D68,TELAS!$A$4:$C$32,3,FALSE()),0)</f>
        <v>60</v>
      </c>
      <c r="H68" s="11" t="str">
        <f>IFERROR(VLOOKUP(E68,COLORES!$A$4:$B$102,2,FALSE()),"")</f>
        <v>OSCURO</v>
      </c>
      <c r="I68" s="12">
        <f>IFERROR(IF(H68="OSCURO",VLOOKUP(D68,PRECIOS!$A$4:$F$32,2,FALSE()),IF(H68="CLARO",VLOOKUP(D68,PRECIOS!$A$4:$F$32,3,FALSE()),IF(H68="MELANGE",VLOOKUP(D68,PRECIOS!$A$4:$F$32,4,FALSE()),IF(H68="PPT",VLOOKUP(D68,PRECIOS!$A$4:$F$32,5,FALSE()),0)))),0)</f>
        <v>24</v>
      </c>
      <c r="J68" s="12">
        <f t="shared" si="1"/>
        <v>1440</v>
      </c>
      <c r="K68" s="13">
        <f>IFERROR(IF(C68="",0,SUMIFS($F$4:$F$67,$C$4:$C$67,C68,$D$4:$D$67,D68,$E$4:$E$67,E68,$B$4:$B$67,"INGRESO")+SUMIFS($F$4:$F$67,$C$4:$C$67,C68,$D$4:$D$67,D68,$E$4:$E$67,E68,$B$4:$B$67,"DE REPROCESO")+SUMIFS($F$4:$F$67,$C$4:$C$67,C68,$D$4:$D$67,D68,$E$4:$E$67,E68,$B$4:$B$67,"AJUSTE+")-SUMIFS($F$4:$F$67,$C$4:$C$67,C68,$D$4:$D$67,D68,$E$4:$E$67,E68,$B$4:$B$67,"A CORTE")-SUMIFS($F$4:$F$67,$C$4:$C$67,C68,$D$4:$D$67,D68,$E$4:$E$67,E68,$B$4:$B$67,"A REPROCESO")-SUMIFS($F$4:$F$67,$C$4:$C$67,C68,$D$4:$D$67,D68,$E$4:$E$67,E68,$B$4:$B$67,"MUESTRA")-SUMIFS($F$4:$F$67,$C$4:$C$67,C68,$D$4:$D$67,D68,$E$4:$E$67,E68,$B$4:$B$67,"AJUSTE-")),0)</f>
        <v>6</v>
      </c>
      <c r="L68" s="13">
        <f t="shared" si="2"/>
        <v>3</v>
      </c>
      <c r="M68" s="8" t="s">
        <v>24</v>
      </c>
      <c r="N68" s="14" t="s">
        <v>46</v>
      </c>
      <c r="O68" s="14"/>
      <c r="P68" s="14"/>
      <c r="Q68" s="15"/>
      <c r="R68" s="16" t="str">
        <f t="shared" si="3"/>
        <v/>
      </c>
    </row>
    <row r="69" ht="15.75" customHeight="1">
      <c r="A69" s="7">
        <v>46148.0</v>
      </c>
      <c r="B69" s="8" t="s">
        <v>42</v>
      </c>
      <c r="C69" s="8" t="s">
        <v>21</v>
      </c>
      <c r="D69" s="8" t="s">
        <v>38</v>
      </c>
      <c r="E69" s="8" t="s">
        <v>29</v>
      </c>
      <c r="F69" s="9">
        <v>2.0</v>
      </c>
      <c r="G69" s="10">
        <f>IFERROR(F69*VLOOKUP(D69,TELAS!$A$4:$C$32,3,FALSE()),0)</f>
        <v>40</v>
      </c>
      <c r="H69" s="11" t="str">
        <f>IFERROR(VLOOKUP(E69,COLORES!$A$4:$B$102,2,FALSE()),"")</f>
        <v>CLARO</v>
      </c>
      <c r="I69" s="12">
        <f>IFERROR(IF(H69="OSCURO",VLOOKUP(D69,PRECIOS!$A$4:$F$32,2,FALSE()),IF(H69="CLARO",VLOOKUP(D69,PRECIOS!$A$4:$F$32,3,FALSE()),IF(H69="MELANGE",VLOOKUP(D69,PRECIOS!$A$4:$F$32,4,FALSE()),IF(H69="PPT",VLOOKUP(D69,PRECIOS!$A$4:$F$32,5,FALSE()),0)))),0)</f>
        <v>21</v>
      </c>
      <c r="J69" s="12">
        <f t="shared" si="1"/>
        <v>840</v>
      </c>
      <c r="K69" s="13">
        <f>IFERROR(IF(C69="",0,SUMIFS($F$4:$F$68,$C$4:$C$68,C69,$D$4:$D$68,D69,$E$4:$E$68,E69,$B$4:$B$68,"INGRESO")+SUMIFS($F$4:$F$68,$C$4:$C$68,C69,$D$4:$D$68,D69,$E$4:$E$68,E69,$B$4:$B$68,"DE REPROCESO")+SUMIFS($F$4:$F$68,$C$4:$C$68,C69,$D$4:$D$68,D69,$E$4:$E$68,E69,$B$4:$B$68,"AJUSTE+")-SUMIFS($F$4:$F$68,$C$4:$C$68,C69,$D$4:$D$68,D69,$E$4:$E$68,E69,$B$4:$B$68,"A CORTE")-SUMIFS($F$4:$F$68,$C$4:$C$68,C69,$D$4:$D$68,D69,$E$4:$E$68,E69,$B$4:$B$68,"A REPROCESO")-SUMIFS($F$4:$F$68,$C$4:$C$68,C69,$D$4:$D$68,D69,$E$4:$E$68,E69,$B$4:$B$68,"MUESTRA")-SUMIFS($F$4:$F$68,$C$4:$C$68,C69,$D$4:$D$68,D69,$E$4:$E$68,E69,$B$4:$B$68,"AJUSTE-")),0)</f>
        <v>13</v>
      </c>
      <c r="L69" s="13">
        <f t="shared" si="2"/>
        <v>11</v>
      </c>
      <c r="M69" s="8" t="s">
        <v>24</v>
      </c>
      <c r="N69" s="14" t="s">
        <v>46</v>
      </c>
      <c r="O69" s="14"/>
      <c r="P69" s="14"/>
      <c r="Q69" s="15"/>
      <c r="R69" s="16" t="str">
        <f t="shared" si="3"/>
        <v/>
      </c>
    </row>
    <row r="70" ht="15.75" customHeight="1">
      <c r="A70" s="7">
        <v>46149.0</v>
      </c>
      <c r="B70" s="8" t="s">
        <v>42</v>
      </c>
      <c r="C70" s="8" t="s">
        <v>21</v>
      </c>
      <c r="D70" s="8" t="s">
        <v>38</v>
      </c>
      <c r="E70" s="8" t="s">
        <v>30</v>
      </c>
      <c r="F70" s="9">
        <v>2.0</v>
      </c>
      <c r="G70" s="10">
        <f>IFERROR(F70*VLOOKUP(D70,TELAS!$A$4:$C$32,3,FALSE()),0)</f>
        <v>40</v>
      </c>
      <c r="H70" s="11" t="str">
        <f>IFERROR(VLOOKUP(E70,COLORES!$A$4:$B$102,2,FALSE()),"")</f>
        <v>CLARO</v>
      </c>
      <c r="I70" s="12">
        <f>IFERROR(IF(H70="OSCURO",VLOOKUP(D70,PRECIOS!$A$4:$F$32,2,FALSE()),IF(H70="CLARO",VLOOKUP(D70,PRECIOS!$A$4:$F$32,3,FALSE()),IF(H70="MELANGE",VLOOKUP(D70,PRECIOS!$A$4:$F$32,4,FALSE()),IF(H70="PPT",VLOOKUP(D70,PRECIOS!$A$4:$F$32,5,FALSE()),0)))),0)</f>
        <v>21</v>
      </c>
      <c r="J70" s="12">
        <f t="shared" si="1"/>
        <v>840</v>
      </c>
      <c r="K70" s="13">
        <f>IFERROR(IF(C70="",0,SUMIFS($F$4:$F$69,$C$4:$C$69,C70,$D$4:$D$69,D70,$E$4:$E$69,E70,$B$4:$B$69,"INGRESO")+SUMIFS($F$4:$F$69,$C$4:$C$69,C70,$D$4:$D$69,D70,$E$4:$E$69,E70,$B$4:$B$69,"DE REPROCESO")+SUMIFS($F$4:$F$69,$C$4:$C$69,C70,$D$4:$D$69,D70,$E$4:$E$69,E70,$B$4:$B$69,"AJUSTE+")-SUMIFS($F$4:$F$69,$C$4:$C$69,C70,$D$4:$D$69,D70,$E$4:$E$69,E70,$B$4:$B$69,"A CORTE")-SUMIFS($F$4:$F$69,$C$4:$C$69,C70,$D$4:$D$69,D70,$E$4:$E$69,E70,$B$4:$B$69,"A REPROCESO")-SUMIFS($F$4:$F$69,$C$4:$C$69,C70,$D$4:$D$69,D70,$E$4:$E$69,E70,$B$4:$B$69,"MUESTRA")-SUMIFS($F$4:$F$69,$C$4:$C$69,C70,$D$4:$D$69,D70,$E$4:$E$69,E70,$B$4:$B$69,"AJUSTE-")),0)</f>
        <v>9</v>
      </c>
      <c r="L70" s="13">
        <f t="shared" si="2"/>
        <v>7</v>
      </c>
      <c r="M70" s="8" t="s">
        <v>24</v>
      </c>
      <c r="N70" s="14" t="s">
        <v>46</v>
      </c>
      <c r="O70" s="14"/>
      <c r="P70" s="14"/>
      <c r="Q70" s="15"/>
      <c r="R70" s="16" t="str">
        <f t="shared" si="3"/>
        <v/>
      </c>
    </row>
    <row r="71" ht="15.75" customHeight="1">
      <c r="A71" s="7">
        <v>46150.0</v>
      </c>
      <c r="B71" s="8" t="s">
        <v>42</v>
      </c>
      <c r="C71" s="8" t="s">
        <v>21</v>
      </c>
      <c r="D71" s="8" t="s">
        <v>38</v>
      </c>
      <c r="E71" s="8" t="s">
        <v>31</v>
      </c>
      <c r="F71" s="9">
        <v>2.0</v>
      </c>
      <c r="G71" s="10">
        <f>IFERROR(F71*VLOOKUP(D71,TELAS!$A$4:$C$32,3,FALSE()),0)</f>
        <v>40</v>
      </c>
      <c r="H71" s="11" t="str">
        <f>IFERROR(VLOOKUP(E71,COLORES!$A$4:$B$102,2,FALSE()),"")</f>
        <v>CLARO</v>
      </c>
      <c r="I71" s="12">
        <f>IFERROR(IF(H71="OSCURO",VLOOKUP(D71,PRECIOS!$A$4:$F$32,2,FALSE()),IF(H71="CLARO",VLOOKUP(D71,PRECIOS!$A$4:$F$32,3,FALSE()),IF(H71="MELANGE",VLOOKUP(D71,PRECIOS!$A$4:$F$32,4,FALSE()),IF(H71="PPT",VLOOKUP(D71,PRECIOS!$A$4:$F$32,5,FALSE()),0)))),0)</f>
        <v>21</v>
      </c>
      <c r="J71" s="12">
        <f t="shared" si="1"/>
        <v>840</v>
      </c>
      <c r="K71" s="13">
        <f>IFERROR(IF(C71="",0,SUMIFS($F$4:$F$70,$C$4:$C$70,C71,$D$4:$D$70,D71,$E$4:$E$70,E71,$B$4:$B$70,"INGRESO")+SUMIFS($F$4:$F$70,$C$4:$C$70,C71,$D$4:$D$70,D71,$E$4:$E$70,E71,$B$4:$B$70,"DE REPROCESO")+SUMIFS($F$4:$F$70,$C$4:$C$70,C71,$D$4:$D$70,D71,$E$4:$E$70,E71,$B$4:$B$70,"AJUSTE+")-SUMIFS($F$4:$F$70,$C$4:$C$70,C71,$D$4:$D$70,D71,$E$4:$E$70,E71,$B$4:$B$70,"A CORTE")-SUMIFS($F$4:$F$70,$C$4:$C$70,C71,$D$4:$D$70,D71,$E$4:$E$70,E71,$B$4:$B$70,"A REPROCESO")-SUMIFS($F$4:$F$70,$C$4:$C$70,C71,$D$4:$D$70,D71,$E$4:$E$70,E71,$B$4:$B$70,"MUESTRA")-SUMIFS($F$4:$F$70,$C$4:$C$70,C71,$D$4:$D$70,D71,$E$4:$E$70,E71,$B$4:$B$70,"AJUSTE-")),0)</f>
        <v>9</v>
      </c>
      <c r="L71" s="13">
        <f t="shared" si="2"/>
        <v>7</v>
      </c>
      <c r="M71" s="8" t="s">
        <v>24</v>
      </c>
      <c r="N71" s="14" t="s">
        <v>46</v>
      </c>
      <c r="O71" s="14"/>
      <c r="P71" s="14"/>
      <c r="Q71" s="15"/>
      <c r="R71" s="16" t="str">
        <f t="shared" si="3"/>
        <v/>
      </c>
    </row>
    <row r="72" ht="15.75" customHeight="1">
      <c r="A72" s="7">
        <v>46151.0</v>
      </c>
      <c r="B72" s="8" t="s">
        <v>42</v>
      </c>
      <c r="C72" s="8" t="s">
        <v>21</v>
      </c>
      <c r="D72" s="8" t="s">
        <v>38</v>
      </c>
      <c r="E72" s="8" t="s">
        <v>39</v>
      </c>
      <c r="F72" s="9">
        <v>2.0</v>
      </c>
      <c r="G72" s="10">
        <f>IFERROR(F72*VLOOKUP(D72,TELAS!$A$4:$C$32,3,FALSE()),0)</f>
        <v>40</v>
      </c>
      <c r="H72" s="11" t="str">
        <f>IFERROR(VLOOKUP(E72,COLORES!$A$4:$B$102,2,FALSE()),"")</f>
        <v>CLARO</v>
      </c>
      <c r="I72" s="12">
        <f>IFERROR(IF(H72="OSCURO",VLOOKUP(D72,PRECIOS!$A$4:$F$32,2,FALSE()),IF(H72="CLARO",VLOOKUP(D72,PRECIOS!$A$4:$F$32,3,FALSE()),IF(H72="MELANGE",VLOOKUP(D72,PRECIOS!$A$4:$F$32,4,FALSE()),IF(H72="PPT",VLOOKUP(D72,PRECIOS!$A$4:$F$32,5,FALSE()),0)))),0)</f>
        <v>21</v>
      </c>
      <c r="J72" s="12">
        <f t="shared" si="1"/>
        <v>840</v>
      </c>
      <c r="K72" s="13">
        <f>IFERROR(IF(C72="",0,SUMIFS($F$4:$F$71,$C$4:$C$71,C72,$D$4:$D$71,D72,$E$4:$E$71,E72,$B$4:$B$71,"INGRESO")+SUMIFS($F$4:$F$71,$C$4:$C$71,C72,$D$4:$D$71,D72,$E$4:$E$71,E72,$B$4:$B$71,"DE REPROCESO")+SUMIFS($F$4:$F$71,$C$4:$C$71,C72,$D$4:$D$71,D72,$E$4:$E$71,E72,$B$4:$B$71,"AJUSTE+")-SUMIFS($F$4:$F$71,$C$4:$C$71,C72,$D$4:$D$71,D72,$E$4:$E$71,E72,$B$4:$B$71,"A CORTE")-SUMIFS($F$4:$F$71,$C$4:$C$71,C72,$D$4:$D$71,D72,$E$4:$E$71,E72,$B$4:$B$71,"A REPROCESO")-SUMIFS($F$4:$F$71,$C$4:$C$71,C72,$D$4:$D$71,D72,$E$4:$E$71,E72,$B$4:$B$71,"MUESTRA")-SUMIFS($F$4:$F$71,$C$4:$C$71,C72,$D$4:$D$71,D72,$E$4:$E$71,E72,$B$4:$B$71,"AJUSTE-")),0)</f>
        <v>3</v>
      </c>
      <c r="L72" s="13">
        <f t="shared" si="2"/>
        <v>1</v>
      </c>
      <c r="M72" s="8" t="s">
        <v>24</v>
      </c>
      <c r="N72" s="14" t="s">
        <v>46</v>
      </c>
      <c r="O72" s="14"/>
      <c r="P72" s="14"/>
      <c r="Q72" s="15"/>
      <c r="R72" s="16" t="str">
        <f t="shared" si="3"/>
        <v/>
      </c>
    </row>
    <row r="73" ht="15.75" customHeight="1">
      <c r="A73" s="7">
        <v>46152.0</v>
      </c>
      <c r="B73" s="8" t="s">
        <v>42</v>
      </c>
      <c r="C73" s="8" t="s">
        <v>21</v>
      </c>
      <c r="D73" s="8" t="s">
        <v>38</v>
      </c>
      <c r="E73" s="8" t="s">
        <v>33</v>
      </c>
      <c r="F73" s="9">
        <v>1.0</v>
      </c>
      <c r="G73" s="10">
        <f>IFERROR(F73*VLOOKUP(D73,TELAS!$A$4:$C$32,3,FALSE()),0)</f>
        <v>20</v>
      </c>
      <c r="H73" s="11" t="str">
        <f>IFERROR(VLOOKUP(E73,COLORES!$A$4:$B$102,2,FALSE()),"")</f>
        <v>OSCURO</v>
      </c>
      <c r="I73" s="12">
        <f>IFERROR(IF(H73="OSCURO",VLOOKUP(D73,PRECIOS!$A$4:$F$32,2,FALSE()),IF(H73="CLARO",VLOOKUP(D73,PRECIOS!$A$4:$F$32,3,FALSE()),IF(H73="MELANGE",VLOOKUP(D73,PRECIOS!$A$4:$F$32,4,FALSE()),IF(H73="PPT",VLOOKUP(D73,PRECIOS!$A$4:$F$32,5,FALSE()),0)))),0)</f>
        <v>24</v>
      </c>
      <c r="J73" s="12">
        <f t="shared" si="1"/>
        <v>480</v>
      </c>
      <c r="K73" s="13">
        <f>IFERROR(IF(C73="",0,SUMIFS($F$4:$F$72,$C$4:$C$72,C73,$D$4:$D$72,D73,$E$4:$E$72,E73,$B$4:$B$72,"INGRESO")+SUMIFS($F$4:$F$72,$C$4:$C$72,C73,$D$4:$D$72,D73,$E$4:$E$72,E73,$B$4:$B$72,"DE REPROCESO")+SUMIFS($F$4:$F$72,$C$4:$C$72,C73,$D$4:$D$72,D73,$E$4:$E$72,E73,$B$4:$B$72,"AJUSTE+")-SUMIFS($F$4:$F$72,$C$4:$C$72,C73,$D$4:$D$72,D73,$E$4:$E$72,E73,$B$4:$B$72,"A CORTE")-SUMIFS($F$4:$F$72,$C$4:$C$72,C73,$D$4:$D$72,D73,$E$4:$E$72,E73,$B$4:$B$72,"A REPROCESO")-SUMIFS($F$4:$F$72,$C$4:$C$72,C73,$D$4:$D$72,D73,$E$4:$E$72,E73,$B$4:$B$72,"MUESTRA")-SUMIFS($F$4:$F$72,$C$4:$C$72,C73,$D$4:$D$72,D73,$E$4:$E$72,E73,$B$4:$B$72,"AJUSTE-")),0)</f>
        <v>2</v>
      </c>
      <c r="L73" s="13">
        <f t="shared" si="2"/>
        <v>1</v>
      </c>
      <c r="M73" s="8" t="s">
        <v>24</v>
      </c>
      <c r="N73" s="14" t="s">
        <v>46</v>
      </c>
      <c r="O73" s="14"/>
      <c r="P73" s="14"/>
      <c r="Q73" s="15"/>
      <c r="R73" s="16" t="str">
        <f t="shared" si="3"/>
        <v/>
      </c>
    </row>
    <row r="74" ht="15.75" customHeight="1">
      <c r="A74" s="7">
        <v>46153.0</v>
      </c>
      <c r="B74" s="8" t="s">
        <v>42</v>
      </c>
      <c r="C74" s="8" t="s">
        <v>21</v>
      </c>
      <c r="D74" s="8" t="s">
        <v>38</v>
      </c>
      <c r="E74" s="8" t="s">
        <v>34</v>
      </c>
      <c r="F74" s="9">
        <v>3.0</v>
      </c>
      <c r="G74" s="10">
        <f>IFERROR(F74*VLOOKUP(D74,TELAS!$A$4:$C$32,3,FALSE()),0)</f>
        <v>60</v>
      </c>
      <c r="H74" s="11" t="str">
        <f>IFERROR(VLOOKUP(E74,COLORES!$A$4:$B$102,2,FALSE()),"")</f>
        <v>CLARO</v>
      </c>
      <c r="I74" s="12">
        <f>IFERROR(IF(H74="OSCURO",VLOOKUP(D74,PRECIOS!$A$4:$F$32,2,FALSE()),IF(H74="CLARO",VLOOKUP(D74,PRECIOS!$A$4:$F$32,3,FALSE()),IF(H74="MELANGE",VLOOKUP(D74,PRECIOS!$A$4:$F$32,4,FALSE()),IF(H74="PPT",VLOOKUP(D74,PRECIOS!$A$4:$F$32,5,FALSE()),0)))),0)</f>
        <v>21</v>
      </c>
      <c r="J74" s="12">
        <f t="shared" si="1"/>
        <v>1260</v>
      </c>
      <c r="K74" s="13">
        <f>IFERROR(IF(C74="",0,SUMIFS($F$4:$F$73,$C$4:$C$73,C74,$D$4:$D$73,D74,$E$4:$E$73,E74,$B$4:$B$73,"INGRESO")+SUMIFS($F$4:$F$73,$C$4:$C$73,C74,$D$4:$D$73,D74,$E$4:$E$73,E74,$B$4:$B$73,"DE REPROCESO")+SUMIFS($F$4:$F$73,$C$4:$C$73,C74,$D$4:$D$73,D74,$E$4:$E$73,E74,$B$4:$B$73,"AJUSTE+")-SUMIFS($F$4:$F$73,$C$4:$C$73,C74,$D$4:$D$73,D74,$E$4:$E$73,E74,$B$4:$B$73,"A CORTE")-SUMIFS($F$4:$F$73,$C$4:$C$73,C74,$D$4:$D$73,D74,$E$4:$E$73,E74,$B$4:$B$73,"A REPROCESO")-SUMIFS($F$4:$F$73,$C$4:$C$73,C74,$D$4:$D$73,D74,$E$4:$E$73,E74,$B$4:$B$73,"MUESTRA")-SUMIFS($F$4:$F$73,$C$4:$C$73,C74,$D$4:$D$73,D74,$E$4:$E$73,E74,$B$4:$B$73,"AJUSTE-")),0)</f>
        <v>13</v>
      </c>
      <c r="L74" s="13">
        <f t="shared" si="2"/>
        <v>10</v>
      </c>
      <c r="M74" s="8" t="s">
        <v>24</v>
      </c>
      <c r="N74" s="14" t="s">
        <v>46</v>
      </c>
      <c r="O74" s="14"/>
      <c r="P74" s="14"/>
      <c r="Q74" s="15"/>
      <c r="R74" s="16" t="str">
        <f t="shared" si="3"/>
        <v/>
      </c>
    </row>
    <row r="75" ht="15.75" customHeight="1">
      <c r="A75" s="7">
        <v>46154.0</v>
      </c>
      <c r="B75" s="8" t="s">
        <v>42</v>
      </c>
      <c r="C75" s="8" t="s">
        <v>21</v>
      </c>
      <c r="D75" s="8" t="s">
        <v>38</v>
      </c>
      <c r="E75" s="8" t="s">
        <v>40</v>
      </c>
      <c r="F75" s="9">
        <v>3.0</v>
      </c>
      <c r="G75" s="10">
        <f>IFERROR(F75*VLOOKUP(D75,TELAS!$A$4:$C$32,3,FALSE()),0)</f>
        <v>60</v>
      </c>
      <c r="H75" s="11" t="str">
        <f>IFERROR(VLOOKUP(E75,COLORES!$A$4:$B$102,2,FALSE()),"")</f>
        <v>MELANGE</v>
      </c>
      <c r="I75" s="12">
        <f>IFERROR(IF(H75="OSCURO",VLOOKUP(D75,PRECIOS!$A$4:$F$32,2,FALSE()),IF(H75="CLARO",VLOOKUP(D75,PRECIOS!$A$4:$F$32,3,FALSE()),IF(H75="MELANGE",VLOOKUP(D75,PRECIOS!$A$4:$F$32,4,FALSE()),IF(H75="PPT",VLOOKUP(D75,PRECIOS!$A$4:$F$32,5,FALSE()),0)))),0)</f>
        <v>18</v>
      </c>
      <c r="J75" s="12">
        <f t="shared" si="1"/>
        <v>1080</v>
      </c>
      <c r="K75" s="13">
        <f>IFERROR(IF(C75="",0,SUMIFS($F$4:$F$74,$C$4:$C$74,C75,$D$4:$D$74,D75,$E$4:$E$74,E75,$B$4:$B$74,"INGRESO")+SUMIFS($F$4:$F$74,$C$4:$C$74,C75,$D$4:$D$74,D75,$E$4:$E$74,E75,$B$4:$B$74,"DE REPROCESO")+SUMIFS($F$4:$F$74,$C$4:$C$74,C75,$D$4:$D$74,D75,$E$4:$E$74,E75,$B$4:$B$74,"AJUSTE+")-SUMIFS($F$4:$F$74,$C$4:$C$74,C75,$D$4:$D$74,D75,$E$4:$E$74,E75,$B$4:$B$74,"A CORTE")-SUMIFS($F$4:$F$74,$C$4:$C$74,C75,$D$4:$D$74,D75,$E$4:$E$74,E75,$B$4:$B$74,"A REPROCESO")-SUMIFS($F$4:$F$74,$C$4:$C$74,C75,$D$4:$D$74,D75,$E$4:$E$74,E75,$B$4:$B$74,"MUESTRA")-SUMIFS($F$4:$F$74,$C$4:$C$74,C75,$D$4:$D$74,D75,$E$4:$E$74,E75,$B$4:$B$74,"AJUSTE-")),0)</f>
        <v>9</v>
      </c>
      <c r="L75" s="13">
        <f t="shared" si="2"/>
        <v>6</v>
      </c>
      <c r="M75" s="8" t="s">
        <v>24</v>
      </c>
      <c r="N75" s="14" t="s">
        <v>46</v>
      </c>
      <c r="O75" s="14"/>
      <c r="P75" s="14"/>
      <c r="Q75" s="15"/>
      <c r="R75" s="16" t="str">
        <f t="shared" si="3"/>
        <v/>
      </c>
    </row>
    <row r="76" ht="15.75" customHeight="1">
      <c r="A76" s="7">
        <v>46146.0</v>
      </c>
      <c r="B76" s="8" t="s">
        <v>20</v>
      </c>
      <c r="C76" s="8" t="s">
        <v>21</v>
      </c>
      <c r="D76" s="19" t="s">
        <v>47</v>
      </c>
      <c r="E76" s="8" t="s">
        <v>23</v>
      </c>
      <c r="F76" s="9">
        <v>36.0</v>
      </c>
      <c r="G76" s="10">
        <f>IFERROR(F76*VLOOKUP(D76,TELAS!$A$4:$C$32,3,FALSE()),0)</f>
        <v>720</v>
      </c>
      <c r="H76" s="11" t="str">
        <f>IFERROR(VLOOKUP(E76,COLORES!$A$4:$B$102,2,FALSE()),"")</f>
        <v>OSCURO</v>
      </c>
      <c r="I76" s="12">
        <f>IFERROR(IF(H76="OSCURO",VLOOKUP(D76,PRECIOS!$A$4:$F$32,2,FALSE()),IF(H76="CLARO",VLOOKUP(D76,PRECIOS!$A$4:$F$32,3,FALSE()),IF(H76="MELANGE",VLOOKUP(D76,PRECIOS!$A$4:$F$32,4,FALSE()),IF(H76="PPT",VLOOKUP(D76,PRECIOS!$A$4:$F$32,5,FALSE()),0)))),0)</f>
        <v>26</v>
      </c>
      <c r="J76" s="12">
        <f t="shared" si="1"/>
        <v>18720</v>
      </c>
      <c r="K76" s="13">
        <f>IFERROR(IF(C76="",0,SUMIFS($F$4:$F$75,$C$4:$C$75,C76,$D$4:$D$75,D76,$E$4:$E$75,E76,$B$4:$B$75,"INGRESO")+SUMIFS($F$4:$F$75,$C$4:$C$75,C76,$D$4:$D$75,D76,$E$4:$E$75,E76,$B$4:$B$75,"DE REPROCESO")+SUMIFS($F$4:$F$75,$C$4:$C$75,C76,$D$4:$D$75,D76,$E$4:$E$75,E76,$B$4:$B$75,"AJUSTE+")-SUMIFS($F$4:$F$75,$C$4:$C$75,C76,$D$4:$D$75,D76,$E$4:$E$75,E76,$B$4:$B$75,"A CORTE")-SUMIFS($F$4:$F$75,$C$4:$C$75,C76,$D$4:$D$75,D76,$E$4:$E$75,E76,$B$4:$B$75,"A REPROCESO")-SUMIFS($F$4:$F$75,$C$4:$C$75,C76,$D$4:$D$75,D76,$E$4:$E$75,E76,$B$4:$B$75,"MUESTRA")-SUMIFS($F$4:$F$75,$C$4:$C$75,C76,$D$4:$D$75,D76,$E$4:$E$75,E76,$B$4:$B$75,"AJUSTE-")),0)</f>
        <v>0</v>
      </c>
      <c r="L76" s="13">
        <f t="shared" si="2"/>
        <v>36</v>
      </c>
      <c r="M76" s="8" t="s">
        <v>24</v>
      </c>
      <c r="N76" s="14"/>
      <c r="O76" s="14" t="s">
        <v>48</v>
      </c>
      <c r="P76" s="14"/>
      <c r="Q76" s="15"/>
      <c r="R76" s="16" t="str">
        <f t="shared" si="3"/>
        <v/>
      </c>
    </row>
    <row r="77" ht="15.75" customHeight="1">
      <c r="A77" s="7">
        <v>46147.0</v>
      </c>
      <c r="B77" s="8" t="s">
        <v>20</v>
      </c>
      <c r="C77" s="8" t="s">
        <v>21</v>
      </c>
      <c r="D77" s="8" t="s">
        <v>47</v>
      </c>
      <c r="E77" s="8" t="s">
        <v>26</v>
      </c>
      <c r="F77" s="9">
        <v>12.0</v>
      </c>
      <c r="G77" s="10">
        <f>IFERROR(F77*VLOOKUP(D77,TELAS!$A$4:$C$32,3,FALSE()),0)</f>
        <v>240</v>
      </c>
      <c r="H77" s="11" t="str">
        <f>IFERROR(VLOOKUP(E77,COLORES!$A$4:$B$102,2,FALSE()),"")</f>
        <v>PPT</v>
      </c>
      <c r="I77" s="12">
        <f>IFERROR(IF(H77="OSCURO",VLOOKUP(D77,PRECIOS!$A$4:$F$32,2,FALSE()),IF(H77="CLARO",VLOOKUP(D77,PRECIOS!$A$4:$F$32,3,FALSE()),IF(H77="MELANGE",VLOOKUP(D77,PRECIOS!$A$4:$F$32,4,FALSE()),IF(H77="PPT",VLOOKUP(D77,PRECIOS!$A$4:$F$32,5,FALSE()),0)))),0)</f>
        <v>19</v>
      </c>
      <c r="J77" s="12">
        <f t="shared" si="1"/>
        <v>4560</v>
      </c>
      <c r="K77" s="13">
        <f>IFERROR(IF(C77="",0,SUMIFS($F$4:$F$76,$C$4:$C$76,C77,$D$4:$D$76,D77,$E$4:$E$76,E77,$B$4:$B$76,"INGRESO")+SUMIFS($F$4:$F$76,$C$4:$C$76,C77,$D$4:$D$76,D77,$E$4:$E$76,E77,$B$4:$B$76,"DE REPROCESO")+SUMIFS($F$4:$F$76,$C$4:$C$76,C77,$D$4:$D$76,D77,$E$4:$E$76,E77,$B$4:$B$76,"AJUSTE+")-SUMIFS($F$4:$F$76,$C$4:$C$76,C77,$D$4:$D$76,D77,$E$4:$E$76,E77,$B$4:$B$76,"A CORTE")-SUMIFS($F$4:$F$76,$C$4:$C$76,C77,$D$4:$D$76,D77,$E$4:$E$76,E77,$B$4:$B$76,"A REPROCESO")-SUMIFS($F$4:$F$76,$C$4:$C$76,C77,$D$4:$D$76,D77,$E$4:$E$76,E77,$B$4:$B$76,"MUESTRA")-SUMIFS($F$4:$F$76,$C$4:$C$76,C77,$D$4:$D$76,D77,$E$4:$E$76,E77,$B$4:$B$76,"AJUSTE-")),0)</f>
        <v>0</v>
      </c>
      <c r="L77" s="13">
        <f t="shared" si="2"/>
        <v>12</v>
      </c>
      <c r="M77" s="8" t="s">
        <v>24</v>
      </c>
      <c r="N77" s="14"/>
      <c r="O77" s="14" t="s">
        <v>48</v>
      </c>
      <c r="P77" s="14"/>
      <c r="Q77" s="15"/>
      <c r="R77" s="16" t="str">
        <f t="shared" si="3"/>
        <v/>
      </c>
    </row>
    <row r="78" ht="15.75" customHeight="1">
      <c r="A78" s="7">
        <v>46148.0</v>
      </c>
      <c r="B78" s="8" t="s">
        <v>20</v>
      </c>
      <c r="C78" s="8" t="s">
        <v>21</v>
      </c>
      <c r="D78" s="8" t="s">
        <v>47</v>
      </c>
      <c r="E78" s="8" t="s">
        <v>27</v>
      </c>
      <c r="F78" s="9">
        <v>19.0</v>
      </c>
      <c r="G78" s="10">
        <f>IFERROR(F78*VLOOKUP(D78,TELAS!$A$4:$C$32,3,FALSE()),0)</f>
        <v>380</v>
      </c>
      <c r="H78" s="11" t="str">
        <f>IFERROR(VLOOKUP(E78,COLORES!$A$4:$B$102,2,FALSE()),"")</f>
        <v>OSCURO</v>
      </c>
      <c r="I78" s="12">
        <f>IFERROR(IF(H78="OSCURO",VLOOKUP(D78,PRECIOS!$A$4:$F$32,2,FALSE()),IF(H78="CLARO",VLOOKUP(D78,PRECIOS!$A$4:$F$32,3,FALSE()),IF(H78="MELANGE",VLOOKUP(D78,PRECIOS!$A$4:$F$32,4,FALSE()),IF(H78="PPT",VLOOKUP(D78,PRECIOS!$A$4:$F$32,5,FALSE()),0)))),0)</f>
        <v>26</v>
      </c>
      <c r="J78" s="12">
        <f t="shared" si="1"/>
        <v>9880</v>
      </c>
      <c r="K78" s="13">
        <f>IFERROR(IF(C78="",0,SUMIFS($F$4:$F$77,$C$4:$C$77,C78,$D$4:$D$77,D78,$E$4:$E$77,E78,$B$4:$B$77,"INGRESO")+SUMIFS($F$4:$F$77,$C$4:$C$77,C78,$D$4:$D$77,D78,$E$4:$E$77,E78,$B$4:$B$77,"DE REPROCESO")+SUMIFS($F$4:$F$77,$C$4:$C$77,C78,$D$4:$D$77,D78,$E$4:$E$77,E78,$B$4:$B$77,"AJUSTE+")-SUMIFS($F$4:$F$77,$C$4:$C$77,C78,$D$4:$D$77,D78,$E$4:$E$77,E78,$B$4:$B$77,"A CORTE")-SUMIFS($F$4:$F$77,$C$4:$C$77,C78,$D$4:$D$77,D78,$E$4:$E$77,E78,$B$4:$B$77,"A REPROCESO")-SUMIFS($F$4:$F$77,$C$4:$C$77,C78,$D$4:$D$77,D78,$E$4:$E$77,E78,$B$4:$B$77,"MUESTRA")-SUMIFS($F$4:$F$77,$C$4:$C$77,C78,$D$4:$D$77,D78,$E$4:$E$77,E78,$B$4:$B$77,"AJUSTE-")),0)</f>
        <v>0</v>
      </c>
      <c r="L78" s="13">
        <f t="shared" si="2"/>
        <v>19</v>
      </c>
      <c r="M78" s="8" t="s">
        <v>24</v>
      </c>
      <c r="N78" s="14"/>
      <c r="O78" s="14" t="s">
        <v>48</v>
      </c>
      <c r="P78" s="14"/>
      <c r="Q78" s="15"/>
      <c r="R78" s="16" t="str">
        <f t="shared" si="3"/>
        <v/>
      </c>
    </row>
    <row r="79" ht="15.75" customHeight="1">
      <c r="A79" s="7">
        <v>46149.0</v>
      </c>
      <c r="B79" s="8" t="s">
        <v>20</v>
      </c>
      <c r="C79" s="8" t="s">
        <v>21</v>
      </c>
      <c r="D79" s="8" t="s">
        <v>47</v>
      </c>
      <c r="E79" s="8" t="s">
        <v>28</v>
      </c>
      <c r="F79" s="9">
        <v>10.0</v>
      </c>
      <c r="G79" s="10">
        <f>IFERROR(F79*VLOOKUP(D79,TELAS!$A$4:$C$32,3,FALSE()),0)</f>
        <v>200</v>
      </c>
      <c r="H79" s="11" t="str">
        <f>IFERROR(VLOOKUP(E79,COLORES!$A$4:$B$102,2,FALSE()),"")</f>
        <v>OSCURO</v>
      </c>
      <c r="I79" s="12">
        <f>IFERROR(IF(H79="OSCURO",VLOOKUP(D79,PRECIOS!$A$4:$F$32,2,FALSE()),IF(H79="CLARO",VLOOKUP(D79,PRECIOS!$A$4:$F$32,3,FALSE()),IF(H79="MELANGE",VLOOKUP(D79,PRECIOS!$A$4:$F$32,4,FALSE()),IF(H79="PPT",VLOOKUP(D79,PRECIOS!$A$4:$F$32,5,FALSE()),0)))),0)</f>
        <v>26</v>
      </c>
      <c r="J79" s="12">
        <f t="shared" si="1"/>
        <v>5200</v>
      </c>
      <c r="K79" s="13">
        <f>IFERROR(IF(C79="",0,SUMIFS($F$4:$F$78,$C$4:$C$78,C79,$D$4:$D$78,D79,$E$4:$E$78,E79,$B$4:$B$78,"INGRESO")+SUMIFS($F$4:$F$78,$C$4:$C$78,C79,$D$4:$D$78,D79,$E$4:$E$78,E79,$B$4:$B$78,"DE REPROCESO")+SUMIFS($F$4:$F$78,$C$4:$C$78,C79,$D$4:$D$78,D79,$E$4:$E$78,E79,$B$4:$B$78,"AJUSTE+")-SUMIFS($F$4:$F$78,$C$4:$C$78,C79,$D$4:$D$78,D79,$E$4:$E$78,E79,$B$4:$B$78,"A CORTE")-SUMIFS($F$4:$F$78,$C$4:$C$78,C79,$D$4:$D$78,D79,$E$4:$E$78,E79,$B$4:$B$78,"A REPROCESO")-SUMIFS($F$4:$F$78,$C$4:$C$78,C79,$D$4:$D$78,D79,$E$4:$E$78,E79,$B$4:$B$78,"MUESTRA")-SUMIFS($F$4:$F$78,$C$4:$C$78,C79,$D$4:$D$78,D79,$E$4:$E$78,E79,$B$4:$B$78,"AJUSTE-")),0)</f>
        <v>0</v>
      </c>
      <c r="L79" s="13">
        <f t="shared" si="2"/>
        <v>10</v>
      </c>
      <c r="M79" s="8" t="s">
        <v>24</v>
      </c>
      <c r="N79" s="14"/>
      <c r="O79" s="14" t="s">
        <v>48</v>
      </c>
      <c r="P79" s="14"/>
      <c r="Q79" s="15"/>
      <c r="R79" s="16" t="str">
        <f t="shared" si="3"/>
        <v/>
      </c>
    </row>
    <row r="80" ht="15.75" customHeight="1">
      <c r="A80" s="7">
        <v>46150.0</v>
      </c>
      <c r="B80" s="8" t="s">
        <v>20</v>
      </c>
      <c r="C80" s="8" t="s">
        <v>21</v>
      </c>
      <c r="D80" s="8" t="s">
        <v>47</v>
      </c>
      <c r="E80" s="8" t="s">
        <v>29</v>
      </c>
      <c r="F80" s="9">
        <v>5.0</v>
      </c>
      <c r="G80" s="10">
        <f>IFERROR(F80*VLOOKUP(D80,TELAS!$A$4:$C$32,3,FALSE()),0)</f>
        <v>100</v>
      </c>
      <c r="H80" s="11" t="str">
        <f>IFERROR(VLOOKUP(E80,COLORES!$A$4:$B$102,2,FALSE()),"")</f>
        <v>CLARO</v>
      </c>
      <c r="I80" s="12">
        <f>IFERROR(IF(H80="OSCURO",VLOOKUP(D80,PRECIOS!$A$4:$F$32,2,FALSE()),IF(H80="CLARO",VLOOKUP(D80,PRECIOS!$A$4:$F$32,3,FALSE()),IF(H80="MELANGE",VLOOKUP(D80,PRECIOS!$A$4:$F$32,4,FALSE()),IF(H80="PPT",VLOOKUP(D80,PRECIOS!$A$4:$F$32,5,FALSE()),0)))),0)</f>
        <v>22.5</v>
      </c>
      <c r="J80" s="12">
        <f t="shared" si="1"/>
        <v>2250</v>
      </c>
      <c r="K80" s="13">
        <f>IFERROR(IF(C80="",0,SUMIFS($F$4:$F$79,$C$4:$C$79,C80,$D$4:$D$79,D80,$E$4:$E$79,E80,$B$4:$B$79,"INGRESO")+SUMIFS($F$4:$F$79,$C$4:$C$79,C80,$D$4:$D$79,D80,$E$4:$E$79,E80,$B$4:$B$79,"DE REPROCESO")+SUMIFS($F$4:$F$79,$C$4:$C$79,C80,$D$4:$D$79,D80,$E$4:$E$79,E80,$B$4:$B$79,"AJUSTE+")-SUMIFS($F$4:$F$79,$C$4:$C$79,C80,$D$4:$D$79,D80,$E$4:$E$79,E80,$B$4:$B$79,"A CORTE")-SUMIFS($F$4:$F$79,$C$4:$C$79,C80,$D$4:$D$79,D80,$E$4:$E$79,E80,$B$4:$B$79,"A REPROCESO")-SUMIFS($F$4:$F$79,$C$4:$C$79,C80,$D$4:$D$79,D80,$E$4:$E$79,E80,$B$4:$B$79,"MUESTRA")-SUMIFS($F$4:$F$79,$C$4:$C$79,C80,$D$4:$D$79,D80,$E$4:$E$79,E80,$B$4:$B$79,"AJUSTE-")),0)</f>
        <v>0</v>
      </c>
      <c r="L80" s="13">
        <f t="shared" si="2"/>
        <v>5</v>
      </c>
      <c r="M80" s="8" t="s">
        <v>24</v>
      </c>
      <c r="N80" s="14"/>
      <c r="O80" s="14" t="s">
        <v>48</v>
      </c>
      <c r="P80" s="14"/>
      <c r="Q80" s="15"/>
      <c r="R80" s="16" t="str">
        <f t="shared" si="3"/>
        <v/>
      </c>
    </row>
    <row r="81" ht="15.75" customHeight="1">
      <c r="A81" s="7">
        <v>46151.0</v>
      </c>
      <c r="B81" s="8" t="s">
        <v>20</v>
      </c>
      <c r="C81" s="8" t="s">
        <v>21</v>
      </c>
      <c r="D81" s="8" t="s">
        <v>47</v>
      </c>
      <c r="E81" s="8" t="s">
        <v>30</v>
      </c>
      <c r="F81" s="9">
        <v>6.0</v>
      </c>
      <c r="G81" s="10">
        <f>IFERROR(F81*VLOOKUP(D81,TELAS!$A$4:$C$32,3,FALSE()),0)</f>
        <v>120</v>
      </c>
      <c r="H81" s="11" t="str">
        <f>IFERROR(VLOOKUP(E81,COLORES!$A$4:$B$102,2,FALSE()),"")</f>
        <v>CLARO</v>
      </c>
      <c r="I81" s="12">
        <f>IFERROR(IF(H81="OSCURO",VLOOKUP(D81,PRECIOS!$A$4:$F$32,2,FALSE()),IF(H81="CLARO",VLOOKUP(D81,PRECIOS!$A$4:$F$32,3,FALSE()),IF(H81="MELANGE",VLOOKUP(D81,PRECIOS!$A$4:$F$32,4,FALSE()),IF(H81="PPT",VLOOKUP(D81,PRECIOS!$A$4:$F$32,5,FALSE()),0)))),0)</f>
        <v>22.5</v>
      </c>
      <c r="J81" s="12">
        <f t="shared" si="1"/>
        <v>2700</v>
      </c>
      <c r="K81" s="13">
        <f>IFERROR(IF(C81="",0,SUMIFS($F$4:$F$80,$C$4:$C$80,C81,$D$4:$D$80,D81,$E$4:$E$80,E81,$B$4:$B$80,"INGRESO")+SUMIFS($F$4:$F$80,$C$4:$C$80,C81,$D$4:$D$80,D81,$E$4:$E$80,E81,$B$4:$B$80,"DE REPROCESO")+SUMIFS($F$4:$F$80,$C$4:$C$80,C81,$D$4:$D$80,D81,$E$4:$E$80,E81,$B$4:$B$80,"AJUSTE+")-SUMIFS($F$4:$F$80,$C$4:$C$80,C81,$D$4:$D$80,D81,$E$4:$E$80,E81,$B$4:$B$80,"A CORTE")-SUMIFS($F$4:$F$80,$C$4:$C$80,C81,$D$4:$D$80,D81,$E$4:$E$80,E81,$B$4:$B$80,"A REPROCESO")-SUMIFS($F$4:$F$80,$C$4:$C$80,C81,$D$4:$D$80,D81,$E$4:$E$80,E81,$B$4:$B$80,"MUESTRA")-SUMIFS($F$4:$F$80,$C$4:$C$80,C81,$D$4:$D$80,D81,$E$4:$E$80,E81,$B$4:$B$80,"AJUSTE-")),0)</f>
        <v>0</v>
      </c>
      <c r="L81" s="13">
        <f t="shared" si="2"/>
        <v>6</v>
      </c>
      <c r="M81" s="8" t="s">
        <v>24</v>
      </c>
      <c r="N81" s="14"/>
      <c r="O81" s="14" t="s">
        <v>48</v>
      </c>
      <c r="P81" s="14"/>
      <c r="Q81" s="15"/>
      <c r="R81" s="16" t="str">
        <f t="shared" si="3"/>
        <v/>
      </c>
    </row>
    <row r="82" ht="15.75" customHeight="1">
      <c r="A82" s="7">
        <v>46152.0</v>
      </c>
      <c r="B82" s="8" t="s">
        <v>20</v>
      </c>
      <c r="C82" s="8" t="s">
        <v>21</v>
      </c>
      <c r="D82" s="8" t="s">
        <v>47</v>
      </c>
      <c r="E82" s="8" t="s">
        <v>31</v>
      </c>
      <c r="F82" s="9">
        <v>6.0</v>
      </c>
      <c r="G82" s="10">
        <f>IFERROR(F82*VLOOKUP(D82,TELAS!$A$4:$C$32,3,FALSE()),0)</f>
        <v>120</v>
      </c>
      <c r="H82" s="11" t="str">
        <f>IFERROR(VLOOKUP(E82,COLORES!$A$4:$B$102,2,FALSE()),"")</f>
        <v>CLARO</v>
      </c>
      <c r="I82" s="12">
        <f>IFERROR(IF(H82="OSCURO",VLOOKUP(D82,PRECIOS!$A$4:$F$32,2,FALSE()),IF(H82="CLARO",VLOOKUP(D82,PRECIOS!$A$4:$F$32,3,FALSE()),IF(H82="MELANGE",VLOOKUP(D82,PRECIOS!$A$4:$F$32,4,FALSE()),IF(H82="PPT",VLOOKUP(D82,PRECIOS!$A$4:$F$32,5,FALSE()),0)))),0)</f>
        <v>22.5</v>
      </c>
      <c r="J82" s="12">
        <f t="shared" si="1"/>
        <v>2700</v>
      </c>
      <c r="K82" s="13">
        <f>IFERROR(IF(C82="",0,SUMIFS($F$4:$F$81,$C$4:$C$81,C82,$D$4:$D$81,D82,$E$4:$E$81,E82,$B$4:$B$81,"INGRESO")+SUMIFS($F$4:$F$81,$C$4:$C$81,C82,$D$4:$D$81,D82,$E$4:$E$81,E82,$B$4:$B$81,"DE REPROCESO")+SUMIFS($F$4:$F$81,$C$4:$C$81,C82,$D$4:$D$81,D82,$E$4:$E$81,E82,$B$4:$B$81,"AJUSTE+")-SUMIFS($F$4:$F$81,$C$4:$C$81,C82,$D$4:$D$81,D82,$E$4:$E$81,E82,$B$4:$B$81,"A CORTE")-SUMIFS($F$4:$F$81,$C$4:$C$81,C82,$D$4:$D$81,D82,$E$4:$E$81,E82,$B$4:$B$81,"A REPROCESO")-SUMIFS($F$4:$F$81,$C$4:$C$81,C82,$D$4:$D$81,D82,$E$4:$E$81,E82,$B$4:$B$81,"MUESTRA")-SUMIFS($F$4:$F$81,$C$4:$C$81,C82,$D$4:$D$81,D82,$E$4:$E$81,E82,$B$4:$B$81,"AJUSTE-")),0)</f>
        <v>0</v>
      </c>
      <c r="L82" s="13">
        <f t="shared" si="2"/>
        <v>6</v>
      </c>
      <c r="M82" s="8" t="s">
        <v>24</v>
      </c>
      <c r="N82" s="14"/>
      <c r="O82" s="14" t="s">
        <v>48</v>
      </c>
      <c r="P82" s="14"/>
      <c r="Q82" s="15"/>
      <c r="R82" s="16" t="str">
        <f t="shared" si="3"/>
        <v/>
      </c>
    </row>
    <row r="83" ht="15.75" customHeight="1">
      <c r="A83" s="7">
        <v>46153.0</v>
      </c>
      <c r="B83" s="8" t="s">
        <v>20</v>
      </c>
      <c r="C83" s="8" t="s">
        <v>21</v>
      </c>
      <c r="D83" s="8" t="s">
        <v>47</v>
      </c>
      <c r="E83" s="8" t="s">
        <v>32</v>
      </c>
      <c r="F83" s="9">
        <v>6.0</v>
      </c>
      <c r="G83" s="10">
        <f>IFERROR(F83*VLOOKUP(D83,TELAS!$A$4:$C$32,3,FALSE()),0)</f>
        <v>120</v>
      </c>
      <c r="H83" s="11" t="str">
        <f>IFERROR(VLOOKUP(E83,COLORES!$A$4:$B$102,2,FALSE()),"")</f>
        <v>CLARO</v>
      </c>
      <c r="I83" s="12">
        <f>IFERROR(IF(H83="OSCURO",VLOOKUP(D83,PRECIOS!$A$4:$F$32,2,FALSE()),IF(H83="CLARO",VLOOKUP(D83,PRECIOS!$A$4:$F$32,3,FALSE()),IF(H83="MELANGE",VLOOKUP(D83,PRECIOS!$A$4:$F$32,4,FALSE()),IF(H83="PPT",VLOOKUP(D83,PRECIOS!$A$4:$F$32,5,FALSE()),0)))),0)</f>
        <v>22.5</v>
      </c>
      <c r="J83" s="12">
        <f t="shared" si="1"/>
        <v>2700</v>
      </c>
      <c r="K83" s="13">
        <f>IFERROR(IF(C83="",0,SUMIFS($F$4:$F$82,$C$4:$C$82,C83,$D$4:$D$82,D83,$E$4:$E$82,E83,$B$4:$B$82,"INGRESO")+SUMIFS($F$4:$F$82,$C$4:$C$82,C83,$D$4:$D$82,D83,$E$4:$E$82,E83,$B$4:$B$82,"DE REPROCESO")+SUMIFS($F$4:$F$82,$C$4:$C$82,C83,$D$4:$D$82,D83,$E$4:$E$82,E83,$B$4:$B$82,"AJUSTE+")-SUMIFS($F$4:$F$82,$C$4:$C$82,C83,$D$4:$D$82,D83,$E$4:$E$82,E83,$B$4:$B$82,"A CORTE")-SUMIFS($F$4:$F$82,$C$4:$C$82,C83,$D$4:$D$82,D83,$E$4:$E$82,E83,$B$4:$B$82,"A REPROCESO")-SUMIFS($F$4:$F$82,$C$4:$C$82,C83,$D$4:$D$82,D83,$E$4:$E$82,E83,$B$4:$B$82,"MUESTRA")-SUMIFS($F$4:$F$82,$C$4:$C$82,C83,$D$4:$D$82,D83,$E$4:$E$82,E83,$B$4:$B$82,"AJUSTE-")),0)</f>
        <v>0</v>
      </c>
      <c r="L83" s="13">
        <f t="shared" si="2"/>
        <v>6</v>
      </c>
      <c r="M83" s="8" t="s">
        <v>24</v>
      </c>
      <c r="N83" s="14"/>
      <c r="O83" s="14" t="s">
        <v>48</v>
      </c>
      <c r="P83" s="14"/>
      <c r="Q83" s="15"/>
      <c r="R83" s="16" t="str">
        <f t="shared" si="3"/>
        <v/>
      </c>
    </row>
    <row r="84" ht="15.75" customHeight="1">
      <c r="A84" s="7">
        <v>46154.0</v>
      </c>
      <c r="B84" s="8" t="s">
        <v>20</v>
      </c>
      <c r="C84" s="8" t="s">
        <v>21</v>
      </c>
      <c r="D84" s="8" t="s">
        <v>47</v>
      </c>
      <c r="E84" s="8" t="s">
        <v>33</v>
      </c>
      <c r="F84" s="9">
        <v>5.0</v>
      </c>
      <c r="G84" s="10">
        <f>IFERROR(F84*VLOOKUP(D84,TELAS!$A$4:$C$32,3,FALSE()),0)</f>
        <v>100</v>
      </c>
      <c r="H84" s="11" t="str">
        <f>IFERROR(VLOOKUP(E84,COLORES!$A$4:$B$102,2,FALSE()),"")</f>
        <v>OSCURO</v>
      </c>
      <c r="I84" s="12">
        <f>IFERROR(IF(H84="OSCURO",VLOOKUP(D84,PRECIOS!$A$4:$F$32,2,FALSE()),IF(H84="CLARO",VLOOKUP(D84,PRECIOS!$A$4:$F$32,3,FALSE()),IF(H84="MELANGE",VLOOKUP(D84,PRECIOS!$A$4:$F$32,4,FALSE()),IF(H84="PPT",VLOOKUP(D84,PRECIOS!$A$4:$F$32,5,FALSE()),0)))),0)</f>
        <v>26</v>
      </c>
      <c r="J84" s="12">
        <f t="shared" si="1"/>
        <v>2600</v>
      </c>
      <c r="K84" s="13">
        <f>IFERROR(IF(C84="",0,SUMIFS($F$4:$F$83,$C$4:$C$83,C84,$D$4:$D$83,D84,$E$4:$E$83,E84,$B$4:$B$83,"INGRESO")+SUMIFS($F$4:$F$83,$C$4:$C$83,C84,$D$4:$D$83,D84,$E$4:$E$83,E84,$B$4:$B$83,"DE REPROCESO")+SUMIFS($F$4:$F$83,$C$4:$C$83,C84,$D$4:$D$83,D84,$E$4:$E$83,E84,$B$4:$B$83,"AJUSTE+")-SUMIFS($F$4:$F$83,$C$4:$C$83,C84,$D$4:$D$83,D84,$E$4:$E$83,E84,$B$4:$B$83,"A CORTE")-SUMIFS($F$4:$F$83,$C$4:$C$83,C84,$D$4:$D$83,D84,$E$4:$E$83,E84,$B$4:$B$83,"A REPROCESO")-SUMIFS($F$4:$F$83,$C$4:$C$83,C84,$D$4:$D$83,D84,$E$4:$E$83,E84,$B$4:$B$83,"MUESTRA")-SUMIFS($F$4:$F$83,$C$4:$C$83,C84,$D$4:$D$83,D84,$E$4:$E$83,E84,$B$4:$B$83,"AJUSTE-")),0)</f>
        <v>0</v>
      </c>
      <c r="L84" s="13">
        <f t="shared" si="2"/>
        <v>5</v>
      </c>
      <c r="M84" s="8" t="s">
        <v>24</v>
      </c>
      <c r="N84" s="14"/>
      <c r="O84" s="14" t="s">
        <v>48</v>
      </c>
      <c r="P84" s="14"/>
      <c r="Q84" s="15"/>
      <c r="R84" s="16" t="str">
        <f t="shared" si="3"/>
        <v/>
      </c>
    </row>
    <row r="85" ht="15.75" customHeight="1">
      <c r="A85" s="7">
        <v>46155.0</v>
      </c>
      <c r="B85" s="8" t="s">
        <v>20</v>
      </c>
      <c r="C85" s="8" t="s">
        <v>21</v>
      </c>
      <c r="D85" s="8" t="s">
        <v>47</v>
      </c>
      <c r="E85" s="8" t="s">
        <v>34</v>
      </c>
      <c r="F85" s="9">
        <v>6.0</v>
      </c>
      <c r="G85" s="10">
        <f>IFERROR(F85*VLOOKUP(D85,TELAS!$A$4:$C$32,3,FALSE()),0)</f>
        <v>120</v>
      </c>
      <c r="H85" s="11" t="str">
        <f>IFERROR(VLOOKUP(E85,COLORES!$A$4:$B$102,2,FALSE()),"")</f>
        <v>CLARO</v>
      </c>
      <c r="I85" s="12">
        <f>IFERROR(IF(H85="OSCURO",VLOOKUP(D85,PRECIOS!$A$4:$F$32,2,FALSE()),IF(H85="CLARO",VLOOKUP(D85,PRECIOS!$A$4:$F$32,3,FALSE()),IF(H85="MELANGE",VLOOKUP(D85,PRECIOS!$A$4:$F$32,4,FALSE()),IF(H85="PPT",VLOOKUP(D85,PRECIOS!$A$4:$F$32,5,FALSE()),0)))),0)</f>
        <v>22.5</v>
      </c>
      <c r="J85" s="12">
        <f t="shared" si="1"/>
        <v>2700</v>
      </c>
      <c r="K85" s="13">
        <f>IFERROR(IF(C85="",0,SUMIFS($F$4:$F$84,$C$4:$C$84,C85,$D$4:$D$84,D85,$E$4:$E$84,E85,$B$4:$B$84,"INGRESO")+SUMIFS($F$4:$F$84,$C$4:$C$84,C85,$D$4:$D$84,D85,$E$4:$E$84,E85,$B$4:$B$84,"DE REPROCESO")+SUMIFS($F$4:$F$84,$C$4:$C$84,C85,$D$4:$D$84,D85,$E$4:$E$84,E85,$B$4:$B$84,"AJUSTE+")-SUMIFS($F$4:$F$84,$C$4:$C$84,C85,$D$4:$D$84,D85,$E$4:$E$84,E85,$B$4:$B$84,"A CORTE")-SUMIFS($F$4:$F$84,$C$4:$C$84,C85,$D$4:$D$84,D85,$E$4:$E$84,E85,$B$4:$B$84,"A REPROCESO")-SUMIFS($F$4:$F$84,$C$4:$C$84,C85,$D$4:$D$84,D85,$E$4:$E$84,E85,$B$4:$B$84,"MUESTRA")-SUMIFS($F$4:$F$84,$C$4:$C$84,C85,$D$4:$D$84,D85,$E$4:$E$84,E85,$B$4:$B$84,"AJUSTE-")),0)</f>
        <v>0</v>
      </c>
      <c r="L85" s="13">
        <f t="shared" si="2"/>
        <v>6</v>
      </c>
      <c r="M85" s="8" t="s">
        <v>24</v>
      </c>
      <c r="N85" s="14"/>
      <c r="O85" s="14" t="s">
        <v>48</v>
      </c>
      <c r="P85" s="14"/>
      <c r="Q85" s="15"/>
      <c r="R85" s="16" t="str">
        <f t="shared" si="3"/>
        <v/>
      </c>
    </row>
    <row r="86" ht="15.75" customHeight="1">
      <c r="A86" s="7">
        <v>46156.0</v>
      </c>
      <c r="B86" s="8" t="s">
        <v>20</v>
      </c>
      <c r="C86" s="8" t="s">
        <v>21</v>
      </c>
      <c r="D86" s="8" t="s">
        <v>47</v>
      </c>
      <c r="E86" s="8" t="s">
        <v>35</v>
      </c>
      <c r="F86" s="9">
        <v>5.0</v>
      </c>
      <c r="G86" s="10">
        <f>IFERROR(F86*VLOOKUP(D86,TELAS!$A$4:$C$32,3,FALSE()),0)</f>
        <v>100</v>
      </c>
      <c r="H86" s="11" t="str">
        <f>IFERROR(VLOOKUP(E86,COLORES!$A$4:$B$102,2,FALSE()),"")</f>
        <v>OSCURO</v>
      </c>
      <c r="I86" s="12">
        <f>IFERROR(IF(H86="OSCURO",VLOOKUP(D86,PRECIOS!$A$4:$F$32,2,FALSE()),IF(H86="CLARO",VLOOKUP(D86,PRECIOS!$A$4:$F$32,3,FALSE()),IF(H86="MELANGE",VLOOKUP(D86,PRECIOS!$A$4:$F$32,4,FALSE()),IF(H86="PPT",VLOOKUP(D86,PRECIOS!$A$4:$F$32,5,FALSE()),0)))),0)</f>
        <v>26</v>
      </c>
      <c r="J86" s="12">
        <f t="shared" si="1"/>
        <v>2600</v>
      </c>
      <c r="K86" s="13">
        <f>IFERROR(IF(C86="",0,SUMIFS($F$4:$F$85,$C$4:$C$85,C86,$D$4:$D$85,D86,$E$4:$E$85,E86,$B$4:$B$85,"INGRESO")+SUMIFS($F$4:$F$85,$C$4:$C$85,C86,$D$4:$D$85,D86,$E$4:$E$85,E86,$B$4:$B$85,"DE REPROCESO")+SUMIFS($F$4:$F$85,$C$4:$C$85,C86,$D$4:$D$85,D86,$E$4:$E$85,E86,$B$4:$B$85,"AJUSTE+")-SUMIFS($F$4:$F$85,$C$4:$C$85,C86,$D$4:$D$85,D86,$E$4:$E$85,E86,$B$4:$B$85,"A CORTE")-SUMIFS($F$4:$F$85,$C$4:$C$85,C86,$D$4:$D$85,D86,$E$4:$E$85,E86,$B$4:$B$85,"A REPROCESO")-SUMIFS($F$4:$F$85,$C$4:$C$85,C86,$D$4:$D$85,D86,$E$4:$E$85,E86,$B$4:$B$85,"MUESTRA")-SUMIFS($F$4:$F$85,$C$4:$C$85,C86,$D$4:$D$85,D86,$E$4:$E$85,E86,$B$4:$B$85,"AJUSTE-")),0)</f>
        <v>0</v>
      </c>
      <c r="L86" s="13">
        <f t="shared" si="2"/>
        <v>5</v>
      </c>
      <c r="M86" s="8" t="s">
        <v>24</v>
      </c>
      <c r="N86" s="14"/>
      <c r="O86" s="14" t="s">
        <v>48</v>
      </c>
      <c r="P86" s="14"/>
      <c r="Q86" s="15"/>
      <c r="R86" s="16" t="str">
        <f t="shared" si="3"/>
        <v/>
      </c>
    </row>
    <row r="87" ht="15.75" customHeight="1">
      <c r="A87" s="7">
        <v>46146.0</v>
      </c>
      <c r="B87" s="8" t="s">
        <v>20</v>
      </c>
      <c r="C87" s="8" t="s">
        <v>21</v>
      </c>
      <c r="D87" s="8" t="s">
        <v>49</v>
      </c>
      <c r="E87" s="8" t="s">
        <v>23</v>
      </c>
      <c r="F87" s="9">
        <v>3.0</v>
      </c>
      <c r="G87" s="10">
        <f>IFERROR(F87*VLOOKUP(D87,TELAS!$A$4:$C$32,3,FALSE()),0)</f>
        <v>60</v>
      </c>
      <c r="H87" s="11" t="str">
        <f>IFERROR(VLOOKUP(E87,COLORES!$A$4:$B$102,2,FALSE()),"")</f>
        <v>OSCURO</v>
      </c>
      <c r="I87" s="12">
        <f>IFERROR(IF(H87="OSCURO",VLOOKUP(D87,PRECIOS!$A$4:$F$32,2,FALSE()),IF(H87="CLARO",VLOOKUP(D87,PRECIOS!$A$4:$F$32,3,FALSE()),IF(H87="MELANGE",VLOOKUP(D87,PRECIOS!$A$4:$F$32,4,FALSE()),IF(H87="PPT",VLOOKUP(D87,PRECIOS!$A$4:$F$32,5,FALSE()),0)))),0)</f>
        <v>24</v>
      </c>
      <c r="J87" s="12">
        <f t="shared" si="1"/>
        <v>1440</v>
      </c>
      <c r="K87" s="13">
        <f>IFERROR(IF(C87="",0,SUMIFS($F$4:$F$86,$C$4:$C$86,C87,$D$4:$D$86,D87,$E$4:$E$86,E87,$B$4:$B$86,"INGRESO")+SUMIFS($F$4:$F$86,$C$4:$C$86,C87,$D$4:$D$86,D87,$E$4:$E$86,E87,$B$4:$B$86,"DE REPROCESO")+SUMIFS($F$4:$F$86,$C$4:$C$86,C87,$D$4:$D$86,D87,$E$4:$E$86,E87,$B$4:$B$86,"AJUSTE+")-SUMIFS($F$4:$F$86,$C$4:$C$86,C87,$D$4:$D$86,D87,$E$4:$E$86,E87,$B$4:$B$86,"A CORTE")-SUMIFS($F$4:$F$86,$C$4:$C$86,C87,$D$4:$D$86,D87,$E$4:$E$86,E87,$B$4:$B$86,"A REPROCESO")-SUMIFS($F$4:$F$86,$C$4:$C$86,C87,$D$4:$D$86,D87,$E$4:$E$86,E87,$B$4:$B$86,"MUESTRA")-SUMIFS($F$4:$F$86,$C$4:$C$86,C87,$D$4:$D$86,D87,$E$4:$E$86,E87,$B$4:$B$86,"AJUSTE-")),0)</f>
        <v>0</v>
      </c>
      <c r="L87" s="13">
        <f t="shared" si="2"/>
        <v>3</v>
      </c>
      <c r="M87" s="8" t="s">
        <v>24</v>
      </c>
      <c r="N87" s="14"/>
      <c r="O87" s="14" t="s">
        <v>48</v>
      </c>
      <c r="P87" s="14"/>
      <c r="Q87" s="15"/>
      <c r="R87" s="16" t="str">
        <f t="shared" si="3"/>
        <v/>
      </c>
    </row>
    <row r="88" ht="15.75" customHeight="1">
      <c r="A88" s="7">
        <v>46146.0</v>
      </c>
      <c r="B88" s="8" t="s">
        <v>20</v>
      </c>
      <c r="C88" s="8" t="s">
        <v>21</v>
      </c>
      <c r="D88" s="8" t="s">
        <v>49</v>
      </c>
      <c r="E88" s="8" t="s">
        <v>26</v>
      </c>
      <c r="F88" s="9">
        <v>1.0</v>
      </c>
      <c r="G88" s="10">
        <f>IFERROR(F88*VLOOKUP(D88,TELAS!$A$4:$C$32,3,FALSE()),0)</f>
        <v>20</v>
      </c>
      <c r="H88" s="11" t="str">
        <f>IFERROR(VLOOKUP(E88,COLORES!$A$4:$B$102,2,FALSE()),"")</f>
        <v>PPT</v>
      </c>
      <c r="I88" s="12">
        <f>IFERROR(IF(H88="OSCURO",VLOOKUP(D88,PRECIOS!$A$4:$F$32,2,FALSE()),IF(H88="CLARO",VLOOKUP(D88,PRECIOS!$A$4:$F$32,3,FALSE()),IF(H88="MELANGE",VLOOKUP(D88,PRECIOS!$A$4:$F$32,4,FALSE()),IF(H88="PPT",VLOOKUP(D88,PRECIOS!$A$4:$F$32,5,FALSE()),0)))),0)</f>
        <v>18</v>
      </c>
      <c r="J88" s="12">
        <f t="shared" si="1"/>
        <v>360</v>
      </c>
      <c r="K88" s="13">
        <f>IFERROR(IF(C88="",0,SUMIFS($F$4:$F$87,$C$4:$C$87,C88,$D$4:$D$87,D88,$E$4:$E$87,E88,$B$4:$B$87,"INGRESO")+SUMIFS($F$4:$F$87,$C$4:$C$87,C88,$D$4:$D$87,D88,$E$4:$E$87,E88,$B$4:$B$87,"DE REPROCESO")+SUMIFS($F$4:$F$87,$C$4:$C$87,C88,$D$4:$D$87,D88,$E$4:$E$87,E88,$B$4:$B$87,"AJUSTE+")-SUMIFS($F$4:$F$87,$C$4:$C$87,C88,$D$4:$D$87,D88,$E$4:$E$87,E88,$B$4:$B$87,"A CORTE")-SUMIFS($F$4:$F$87,$C$4:$C$87,C88,$D$4:$D$87,D88,$E$4:$E$87,E88,$B$4:$B$87,"A REPROCESO")-SUMIFS($F$4:$F$87,$C$4:$C$87,C88,$D$4:$D$87,D88,$E$4:$E$87,E88,$B$4:$B$87,"MUESTRA")-SUMIFS($F$4:$F$87,$C$4:$C$87,C88,$D$4:$D$87,D88,$E$4:$E$87,E88,$B$4:$B$87,"AJUSTE-")),0)</f>
        <v>0</v>
      </c>
      <c r="L88" s="13">
        <f t="shared" si="2"/>
        <v>1</v>
      </c>
      <c r="M88" s="8" t="s">
        <v>24</v>
      </c>
      <c r="N88" s="14"/>
      <c r="O88" s="14" t="s">
        <v>48</v>
      </c>
      <c r="P88" s="14"/>
      <c r="Q88" s="15"/>
      <c r="R88" s="16" t="str">
        <f t="shared" si="3"/>
        <v/>
      </c>
    </row>
    <row r="89" ht="15.75" customHeight="1">
      <c r="A89" s="7">
        <v>46146.0</v>
      </c>
      <c r="B89" s="8" t="s">
        <v>20</v>
      </c>
      <c r="C89" s="8" t="s">
        <v>21</v>
      </c>
      <c r="D89" s="8" t="s">
        <v>49</v>
      </c>
      <c r="E89" s="8" t="s">
        <v>27</v>
      </c>
      <c r="F89" s="9">
        <v>1.0</v>
      </c>
      <c r="G89" s="10">
        <f>IFERROR(F89*VLOOKUP(D89,TELAS!$A$4:$C$32,3,FALSE()),0)</f>
        <v>20</v>
      </c>
      <c r="H89" s="11" t="str">
        <f>IFERROR(VLOOKUP(E89,COLORES!$A$4:$B$102,2,FALSE()),"")</f>
        <v>OSCURO</v>
      </c>
      <c r="I89" s="12">
        <f>IFERROR(IF(H89="OSCURO",VLOOKUP(D89,PRECIOS!$A$4:$F$32,2,FALSE()),IF(H89="CLARO",VLOOKUP(D89,PRECIOS!$A$4:$F$32,3,FALSE()),IF(H89="MELANGE",VLOOKUP(D89,PRECIOS!$A$4:$F$32,4,FALSE()),IF(H89="PPT",VLOOKUP(D89,PRECIOS!$A$4:$F$32,5,FALSE()),0)))),0)</f>
        <v>24</v>
      </c>
      <c r="J89" s="12">
        <f t="shared" si="1"/>
        <v>480</v>
      </c>
      <c r="K89" s="13">
        <f>IFERROR(IF(C89="",0,SUMIFS($F$4:$F$88,$C$4:$C$88,C89,$D$4:$D$88,D89,$E$4:$E$88,E89,$B$4:$B$88,"INGRESO")+SUMIFS($F$4:$F$88,$C$4:$C$88,C89,$D$4:$D$88,D89,$E$4:$E$88,E89,$B$4:$B$88,"DE REPROCESO")+SUMIFS($F$4:$F$88,$C$4:$C$88,C89,$D$4:$D$88,D89,$E$4:$E$88,E89,$B$4:$B$88,"AJUSTE+")-SUMIFS($F$4:$F$88,$C$4:$C$88,C89,$D$4:$D$88,D89,$E$4:$E$88,E89,$B$4:$B$88,"A CORTE")-SUMIFS($F$4:$F$88,$C$4:$C$88,C89,$D$4:$D$88,D89,$E$4:$E$88,E89,$B$4:$B$88,"A REPROCESO")-SUMIFS($F$4:$F$88,$C$4:$C$88,C89,$D$4:$D$88,D89,$E$4:$E$88,E89,$B$4:$B$88,"MUESTRA")-SUMIFS($F$4:$F$88,$C$4:$C$88,C89,$D$4:$D$88,D89,$E$4:$E$88,E89,$B$4:$B$88,"AJUSTE-")),0)</f>
        <v>0</v>
      </c>
      <c r="L89" s="13">
        <f t="shared" si="2"/>
        <v>1</v>
      </c>
      <c r="M89" s="8" t="s">
        <v>24</v>
      </c>
      <c r="N89" s="14"/>
      <c r="O89" s="14" t="s">
        <v>48</v>
      </c>
      <c r="P89" s="14"/>
      <c r="Q89" s="15"/>
      <c r="R89" s="16" t="str">
        <f t="shared" si="3"/>
        <v/>
      </c>
    </row>
    <row r="90" ht="15.75" customHeight="1">
      <c r="A90" s="7">
        <v>46146.0</v>
      </c>
      <c r="B90" s="8" t="s">
        <v>20</v>
      </c>
      <c r="C90" s="8" t="s">
        <v>21</v>
      </c>
      <c r="D90" s="8" t="s">
        <v>49</v>
      </c>
      <c r="E90" s="8" t="s">
        <v>28</v>
      </c>
      <c r="F90" s="9">
        <v>1.0</v>
      </c>
      <c r="G90" s="10">
        <f>IFERROR(F90*VLOOKUP(D90,TELAS!$A$4:$C$32,3,FALSE()),0)</f>
        <v>20</v>
      </c>
      <c r="H90" s="11" t="str">
        <f>IFERROR(VLOOKUP(E90,COLORES!$A$4:$B$102,2,FALSE()),"")</f>
        <v>OSCURO</v>
      </c>
      <c r="I90" s="12">
        <f>IFERROR(IF(H90="OSCURO",VLOOKUP(D90,PRECIOS!$A$4:$F$32,2,FALSE()),IF(H90="CLARO",VLOOKUP(D90,PRECIOS!$A$4:$F$32,3,FALSE()),IF(H90="MELANGE",VLOOKUP(D90,PRECIOS!$A$4:$F$32,4,FALSE()),IF(H90="PPT",VLOOKUP(D90,PRECIOS!$A$4:$F$32,5,FALSE()),0)))),0)</f>
        <v>24</v>
      </c>
      <c r="J90" s="12">
        <f t="shared" si="1"/>
        <v>480</v>
      </c>
      <c r="K90" s="13">
        <f>IFERROR(IF(C90="",0,SUMIFS($F$4:$F$89,$C$4:$C$89,C90,$D$4:$D$89,D90,$E$4:$E$89,E90,$B$4:$B$89,"INGRESO")+SUMIFS($F$4:$F$89,$C$4:$C$89,C90,$D$4:$D$89,D90,$E$4:$E$89,E90,$B$4:$B$89,"DE REPROCESO")+SUMIFS($F$4:$F$89,$C$4:$C$89,C90,$D$4:$D$89,D90,$E$4:$E$89,E90,$B$4:$B$89,"AJUSTE+")-SUMIFS($F$4:$F$89,$C$4:$C$89,C90,$D$4:$D$89,D90,$E$4:$E$89,E90,$B$4:$B$89,"A CORTE")-SUMIFS($F$4:$F$89,$C$4:$C$89,C90,$D$4:$D$89,D90,$E$4:$E$89,E90,$B$4:$B$89,"A REPROCESO")-SUMIFS($F$4:$F$89,$C$4:$C$89,C90,$D$4:$D$89,D90,$E$4:$E$89,E90,$B$4:$B$89,"MUESTRA")-SUMIFS($F$4:$F$89,$C$4:$C$89,C90,$D$4:$D$89,D90,$E$4:$E$89,E90,$B$4:$B$89,"AJUSTE-")),0)</f>
        <v>0</v>
      </c>
      <c r="L90" s="13">
        <f t="shared" si="2"/>
        <v>1</v>
      </c>
      <c r="M90" s="8" t="s">
        <v>24</v>
      </c>
      <c r="N90" s="14"/>
      <c r="O90" s="14" t="s">
        <v>48</v>
      </c>
      <c r="P90" s="14"/>
      <c r="Q90" s="15"/>
      <c r="R90" s="16" t="str">
        <f t="shared" si="3"/>
        <v/>
      </c>
    </row>
    <row r="91" ht="15.75" customHeight="1">
      <c r="A91" s="7">
        <v>46146.0</v>
      </c>
      <c r="B91" s="8" t="s">
        <v>20</v>
      </c>
      <c r="C91" s="8" t="s">
        <v>21</v>
      </c>
      <c r="D91" s="8" t="s">
        <v>49</v>
      </c>
      <c r="E91" s="8" t="s">
        <v>35</v>
      </c>
      <c r="F91" s="9">
        <v>1.0</v>
      </c>
      <c r="G91" s="10">
        <f>IFERROR(F91*VLOOKUP(D91,TELAS!$A$4:$C$32,3,FALSE()),0)</f>
        <v>20</v>
      </c>
      <c r="H91" s="11" t="str">
        <f>IFERROR(VLOOKUP(E91,COLORES!$A$4:$B$102,2,FALSE()),"")</f>
        <v>OSCURO</v>
      </c>
      <c r="I91" s="12">
        <f>IFERROR(IF(H91="OSCURO",VLOOKUP(D91,PRECIOS!$A$4:$F$32,2,FALSE()),IF(H91="CLARO",VLOOKUP(D91,PRECIOS!$A$4:$F$32,3,FALSE()),IF(H91="MELANGE",VLOOKUP(D91,PRECIOS!$A$4:$F$32,4,FALSE()),IF(H91="PPT",VLOOKUP(D91,PRECIOS!$A$4:$F$32,5,FALSE()),0)))),0)</f>
        <v>24</v>
      </c>
      <c r="J91" s="12">
        <f t="shared" si="1"/>
        <v>480</v>
      </c>
      <c r="K91" s="13">
        <f>IFERROR(IF(C91="",0,SUMIFS($F$4:$F$90,$C$4:$C$90,C91,$D$4:$D$90,D91,$E$4:$E$90,E91,$B$4:$B$90,"INGRESO")+SUMIFS($F$4:$F$90,$C$4:$C$90,C91,$D$4:$D$90,D91,$E$4:$E$90,E91,$B$4:$B$90,"DE REPROCESO")+SUMIFS($F$4:$F$90,$C$4:$C$90,C91,$D$4:$D$90,D91,$E$4:$E$90,E91,$B$4:$B$90,"AJUSTE+")-SUMIFS($F$4:$F$90,$C$4:$C$90,C91,$D$4:$D$90,D91,$E$4:$E$90,E91,$B$4:$B$90,"A CORTE")-SUMIFS($F$4:$F$90,$C$4:$C$90,C91,$D$4:$D$90,D91,$E$4:$E$90,E91,$B$4:$B$90,"A REPROCESO")-SUMIFS($F$4:$F$90,$C$4:$C$90,C91,$D$4:$D$90,D91,$E$4:$E$90,E91,$B$4:$B$90,"MUESTRA")-SUMIFS($F$4:$F$90,$C$4:$C$90,C91,$D$4:$D$90,D91,$E$4:$E$90,E91,$B$4:$B$90,"AJUSTE-")),0)</f>
        <v>0</v>
      </c>
      <c r="L91" s="13">
        <f t="shared" si="2"/>
        <v>1</v>
      </c>
      <c r="M91" s="8" t="s">
        <v>24</v>
      </c>
      <c r="N91" s="14"/>
      <c r="O91" s="14" t="s">
        <v>48</v>
      </c>
      <c r="P91" s="14"/>
      <c r="Q91" s="15"/>
      <c r="R91" s="16" t="str">
        <f t="shared" si="3"/>
        <v/>
      </c>
    </row>
    <row r="92" ht="15.75" customHeight="1">
      <c r="A92" s="7">
        <v>46150.0</v>
      </c>
      <c r="B92" s="8" t="s">
        <v>20</v>
      </c>
      <c r="C92" s="8" t="s">
        <v>21</v>
      </c>
      <c r="D92" s="8" t="s">
        <v>50</v>
      </c>
      <c r="E92" s="8" t="s">
        <v>23</v>
      </c>
      <c r="F92" s="9">
        <v>14.0</v>
      </c>
      <c r="G92" s="10">
        <f>IFERROR(F92*VLOOKUP(D92,TELAS!$A$4:$C$32,3,FALSE()),0)</f>
        <v>280</v>
      </c>
      <c r="H92" s="11" t="str">
        <f>IFERROR(VLOOKUP(E92,COLORES!$A$4:$B$102,2,FALSE()),"")</f>
        <v>OSCURO</v>
      </c>
      <c r="I92" s="12">
        <f>IFERROR(IF(H92="OSCURO",VLOOKUP(D92,PRECIOS!$A$4:$F$32,2,FALSE()),IF(H92="CLARO",VLOOKUP(D92,PRECIOS!$A$4:$F$32,3,FALSE()),IF(H92="MELANGE",VLOOKUP(D92,PRECIOS!$A$4:$F$32,4,FALSE()),IF(H92="PPT",VLOOKUP(D92,PRECIOS!$A$4:$F$32,5,FALSE()),0)))),0)</f>
        <v>24</v>
      </c>
      <c r="J92" s="12">
        <f t="shared" si="1"/>
        <v>6720</v>
      </c>
      <c r="K92" s="13">
        <f>IFERROR(IF(C92="",0,SUMIFS($F$4:$F$91,$C$4:$C$91,C92,$D$4:$D$91,D92,$E$4:$E$91,E92,$B$4:$B$91,"INGRESO")+SUMIFS($F$4:$F$91,$C$4:$C$91,C92,$D$4:$D$91,D92,$E$4:$E$91,E92,$B$4:$B$91,"DE REPROCESO")+SUMIFS($F$4:$F$91,$C$4:$C$91,C92,$D$4:$D$91,D92,$E$4:$E$91,E92,$B$4:$B$91,"AJUSTE+")-SUMIFS($F$4:$F$91,$C$4:$C$91,C92,$D$4:$D$91,D92,$E$4:$E$91,E92,$B$4:$B$91,"A CORTE")-SUMIFS($F$4:$F$91,$C$4:$C$91,C92,$D$4:$D$91,D92,$E$4:$E$91,E92,$B$4:$B$91,"A REPROCESO")-SUMIFS($F$4:$F$91,$C$4:$C$91,C92,$D$4:$D$91,D92,$E$4:$E$91,E92,$B$4:$B$91,"MUESTRA")-SUMIFS($F$4:$F$91,$C$4:$C$91,C92,$D$4:$D$91,D92,$E$4:$E$91,E92,$B$4:$B$91,"AJUSTE-")),0)</f>
        <v>0</v>
      </c>
      <c r="L92" s="13">
        <f t="shared" si="2"/>
        <v>14</v>
      </c>
      <c r="M92" s="8" t="s">
        <v>24</v>
      </c>
      <c r="N92" s="14"/>
      <c r="O92" s="14" t="s">
        <v>48</v>
      </c>
      <c r="P92" s="14"/>
      <c r="Q92" s="15"/>
      <c r="R92" s="16" t="str">
        <f t="shared" si="3"/>
        <v/>
      </c>
    </row>
    <row r="93" ht="15.75" customHeight="1">
      <c r="A93" s="7">
        <v>46150.0</v>
      </c>
      <c r="B93" s="8" t="s">
        <v>20</v>
      </c>
      <c r="C93" s="8" t="s">
        <v>21</v>
      </c>
      <c r="D93" s="8" t="s">
        <v>50</v>
      </c>
      <c r="E93" s="8" t="s">
        <v>26</v>
      </c>
      <c r="F93" s="9">
        <v>12.0</v>
      </c>
      <c r="G93" s="10">
        <f>IFERROR(F93*VLOOKUP(D93,TELAS!$A$4:$C$32,3,FALSE()),0)</f>
        <v>240</v>
      </c>
      <c r="H93" s="11" t="str">
        <f>IFERROR(VLOOKUP(E93,COLORES!$A$4:$B$102,2,FALSE()),"")</f>
        <v>PPT</v>
      </c>
      <c r="I93" s="12">
        <f>IFERROR(IF(H93="OSCURO",VLOOKUP(D93,PRECIOS!$A$4:$F$32,2,FALSE()),IF(H93="CLARO",VLOOKUP(D93,PRECIOS!$A$4:$F$32,3,FALSE()),IF(H93="MELANGE",VLOOKUP(D93,PRECIOS!$A$4:$F$32,4,FALSE()),IF(H93="PPT",VLOOKUP(D93,PRECIOS!$A$4:$F$32,5,FALSE()),0)))),0)</f>
        <v>18</v>
      </c>
      <c r="J93" s="12">
        <f t="shared" si="1"/>
        <v>4320</v>
      </c>
      <c r="K93" s="13">
        <f>IFERROR(IF(C93="",0,SUMIFS($F$4:$F$92,$C$4:$C$92,C93,$D$4:$D$92,D93,$E$4:$E$92,E93,$B$4:$B$92,"INGRESO")+SUMIFS($F$4:$F$92,$C$4:$C$92,C93,$D$4:$D$92,D93,$E$4:$E$92,E93,$B$4:$B$92,"DE REPROCESO")+SUMIFS($F$4:$F$92,$C$4:$C$92,C93,$D$4:$D$92,D93,$E$4:$E$92,E93,$B$4:$B$92,"AJUSTE+")-SUMIFS($F$4:$F$92,$C$4:$C$92,C93,$D$4:$D$92,D93,$E$4:$E$92,E93,$B$4:$B$92,"A CORTE")-SUMIFS($F$4:$F$92,$C$4:$C$92,C93,$D$4:$D$92,D93,$E$4:$E$92,E93,$B$4:$B$92,"A REPROCESO")-SUMIFS($F$4:$F$92,$C$4:$C$92,C93,$D$4:$D$92,D93,$E$4:$E$92,E93,$B$4:$B$92,"MUESTRA")-SUMIFS($F$4:$F$92,$C$4:$C$92,C93,$D$4:$D$92,D93,$E$4:$E$92,E93,$B$4:$B$92,"AJUSTE-")),0)</f>
        <v>0</v>
      </c>
      <c r="L93" s="13">
        <f t="shared" si="2"/>
        <v>12</v>
      </c>
      <c r="M93" s="8" t="s">
        <v>24</v>
      </c>
      <c r="N93" s="14"/>
      <c r="O93" s="14" t="s">
        <v>48</v>
      </c>
      <c r="P93" s="14"/>
      <c r="Q93" s="15"/>
      <c r="R93" s="16" t="str">
        <f t="shared" si="3"/>
        <v/>
      </c>
    </row>
    <row r="94" ht="15.75" customHeight="1">
      <c r="A94" s="7">
        <v>46150.0</v>
      </c>
      <c r="B94" s="8" t="s">
        <v>20</v>
      </c>
      <c r="C94" s="8" t="s">
        <v>21</v>
      </c>
      <c r="D94" s="8" t="s">
        <v>50</v>
      </c>
      <c r="E94" s="8" t="s">
        <v>27</v>
      </c>
      <c r="F94" s="9">
        <v>10.0</v>
      </c>
      <c r="G94" s="10">
        <f>IFERROR(F94*VLOOKUP(D94,TELAS!$A$4:$C$32,3,FALSE()),0)</f>
        <v>200</v>
      </c>
      <c r="H94" s="11" t="str">
        <f>IFERROR(VLOOKUP(E94,COLORES!$A$4:$B$102,2,FALSE()),"")</f>
        <v>OSCURO</v>
      </c>
      <c r="I94" s="12">
        <f>IFERROR(IF(H94="OSCURO",VLOOKUP(D94,PRECIOS!$A$4:$F$32,2,FALSE()),IF(H94="CLARO",VLOOKUP(D94,PRECIOS!$A$4:$F$32,3,FALSE()),IF(H94="MELANGE",VLOOKUP(D94,PRECIOS!$A$4:$F$32,4,FALSE()),IF(H94="PPT",VLOOKUP(D94,PRECIOS!$A$4:$F$32,5,FALSE()),0)))),0)</f>
        <v>24</v>
      </c>
      <c r="J94" s="12">
        <f t="shared" si="1"/>
        <v>4800</v>
      </c>
      <c r="K94" s="13">
        <f>IFERROR(IF(C94="",0,SUMIFS($F$4:$F$93,$C$4:$C$93,C94,$D$4:$D$93,D94,$E$4:$E$93,E94,$B$4:$B$93,"INGRESO")+SUMIFS($F$4:$F$93,$C$4:$C$93,C94,$D$4:$D$93,D94,$E$4:$E$93,E94,$B$4:$B$93,"DE REPROCESO")+SUMIFS($F$4:$F$93,$C$4:$C$93,C94,$D$4:$D$93,D94,$E$4:$E$93,E94,$B$4:$B$93,"AJUSTE+")-SUMIFS($F$4:$F$93,$C$4:$C$93,C94,$D$4:$D$93,D94,$E$4:$E$93,E94,$B$4:$B$93,"A CORTE")-SUMIFS($F$4:$F$93,$C$4:$C$93,C94,$D$4:$D$93,D94,$E$4:$E$93,E94,$B$4:$B$93,"A REPROCESO")-SUMIFS($F$4:$F$93,$C$4:$C$93,C94,$D$4:$D$93,D94,$E$4:$E$93,E94,$B$4:$B$93,"MUESTRA")-SUMIFS($F$4:$F$93,$C$4:$C$93,C94,$D$4:$D$93,D94,$E$4:$E$93,E94,$B$4:$B$93,"AJUSTE-")),0)</f>
        <v>0</v>
      </c>
      <c r="L94" s="13">
        <f t="shared" si="2"/>
        <v>10</v>
      </c>
      <c r="M94" s="8" t="s">
        <v>24</v>
      </c>
      <c r="N94" s="14"/>
      <c r="O94" s="14" t="s">
        <v>48</v>
      </c>
      <c r="P94" s="14"/>
      <c r="Q94" s="15"/>
      <c r="R94" s="16" t="str">
        <f t="shared" si="3"/>
        <v/>
      </c>
    </row>
    <row r="95" ht="15.75" customHeight="1">
      <c r="A95" s="7">
        <v>46150.0</v>
      </c>
      <c r="B95" s="8" t="s">
        <v>20</v>
      </c>
      <c r="C95" s="8" t="s">
        <v>21</v>
      </c>
      <c r="D95" s="8" t="s">
        <v>50</v>
      </c>
      <c r="E95" s="8" t="s">
        <v>28</v>
      </c>
      <c r="F95" s="9">
        <v>8.0</v>
      </c>
      <c r="G95" s="10">
        <f>IFERROR(F95*VLOOKUP(D95,TELAS!$A$4:$C$32,3,FALSE()),0)</f>
        <v>160</v>
      </c>
      <c r="H95" s="11" t="str">
        <f>IFERROR(VLOOKUP(E95,COLORES!$A$4:$B$102,2,FALSE()),"")</f>
        <v>OSCURO</v>
      </c>
      <c r="I95" s="12">
        <f>IFERROR(IF(H95="OSCURO",VLOOKUP(D95,PRECIOS!$A$4:$F$32,2,FALSE()),IF(H95="CLARO",VLOOKUP(D95,PRECIOS!$A$4:$F$32,3,FALSE()),IF(H95="MELANGE",VLOOKUP(D95,PRECIOS!$A$4:$F$32,4,FALSE()),IF(H95="PPT",VLOOKUP(D95,PRECIOS!$A$4:$F$32,5,FALSE()),0)))),0)</f>
        <v>24</v>
      </c>
      <c r="J95" s="12">
        <f t="shared" si="1"/>
        <v>3840</v>
      </c>
      <c r="K95" s="13">
        <f>IFERROR(IF(C95="",0,SUMIFS($F$4:$F$94,$C$4:$C$94,C95,$D$4:$D$94,D95,$E$4:$E$94,E95,$B$4:$B$94,"INGRESO")+SUMIFS($F$4:$F$94,$C$4:$C$94,C95,$D$4:$D$94,D95,$E$4:$E$94,E95,$B$4:$B$94,"DE REPROCESO")+SUMIFS($F$4:$F$94,$C$4:$C$94,C95,$D$4:$D$94,D95,$E$4:$E$94,E95,$B$4:$B$94,"AJUSTE+")-SUMIFS($F$4:$F$94,$C$4:$C$94,C95,$D$4:$D$94,D95,$E$4:$E$94,E95,$B$4:$B$94,"A CORTE")-SUMIFS($F$4:$F$94,$C$4:$C$94,C95,$D$4:$D$94,D95,$E$4:$E$94,E95,$B$4:$B$94,"A REPROCESO")-SUMIFS($F$4:$F$94,$C$4:$C$94,C95,$D$4:$D$94,D95,$E$4:$E$94,E95,$B$4:$B$94,"MUESTRA")-SUMIFS($F$4:$F$94,$C$4:$C$94,C95,$D$4:$D$94,D95,$E$4:$E$94,E95,$B$4:$B$94,"AJUSTE-")),0)</f>
        <v>0</v>
      </c>
      <c r="L95" s="13">
        <f t="shared" si="2"/>
        <v>8</v>
      </c>
      <c r="M95" s="8" t="s">
        <v>24</v>
      </c>
      <c r="N95" s="14"/>
      <c r="O95" s="14" t="s">
        <v>48</v>
      </c>
      <c r="P95" s="14"/>
      <c r="Q95" s="15"/>
      <c r="R95" s="16" t="str">
        <f t="shared" si="3"/>
        <v/>
      </c>
    </row>
    <row r="96" ht="15.75" customHeight="1">
      <c r="A96" s="7">
        <v>46150.0</v>
      </c>
      <c r="B96" s="8" t="s">
        <v>20</v>
      </c>
      <c r="C96" s="8" t="s">
        <v>21</v>
      </c>
      <c r="D96" s="8" t="s">
        <v>50</v>
      </c>
      <c r="E96" s="8" t="s">
        <v>29</v>
      </c>
      <c r="F96" s="9">
        <v>4.0</v>
      </c>
      <c r="G96" s="10">
        <f>IFERROR(F96*VLOOKUP(D96,TELAS!$A$4:$C$32,3,FALSE()),0)</f>
        <v>80</v>
      </c>
      <c r="H96" s="11" t="str">
        <f>IFERROR(VLOOKUP(E96,COLORES!$A$4:$B$102,2,FALSE()),"")</f>
        <v>CLARO</v>
      </c>
      <c r="I96" s="12">
        <f>IFERROR(IF(H96="OSCURO",VLOOKUP(D96,PRECIOS!$A$4:$F$32,2,FALSE()),IF(H96="CLARO",VLOOKUP(D96,PRECIOS!$A$4:$F$32,3,FALSE()),IF(H96="MELANGE",VLOOKUP(D96,PRECIOS!$A$4:$F$32,4,FALSE()),IF(H96="PPT",VLOOKUP(D96,PRECIOS!$A$4:$F$32,5,FALSE()),0)))),0)</f>
        <v>21</v>
      </c>
      <c r="J96" s="12">
        <f t="shared" si="1"/>
        <v>1680</v>
      </c>
      <c r="K96" s="13">
        <f>IFERROR(IF(C96="",0,SUMIFS($F$4:$F$95,$C$4:$C$95,C96,$D$4:$D$95,D96,$E$4:$E$95,E96,$B$4:$B$95,"INGRESO")+SUMIFS($F$4:$F$95,$C$4:$C$95,C96,$D$4:$D$95,D96,$E$4:$E$95,E96,$B$4:$B$95,"DE REPROCESO")+SUMIFS($F$4:$F$95,$C$4:$C$95,C96,$D$4:$D$95,D96,$E$4:$E$95,E96,$B$4:$B$95,"AJUSTE+")-SUMIFS($F$4:$F$95,$C$4:$C$95,C96,$D$4:$D$95,D96,$E$4:$E$95,E96,$B$4:$B$95,"A CORTE")-SUMIFS($F$4:$F$95,$C$4:$C$95,C96,$D$4:$D$95,D96,$E$4:$E$95,E96,$B$4:$B$95,"A REPROCESO")-SUMIFS($F$4:$F$95,$C$4:$C$95,C96,$D$4:$D$95,D96,$E$4:$E$95,E96,$B$4:$B$95,"MUESTRA")-SUMIFS($F$4:$F$95,$C$4:$C$95,C96,$D$4:$D$95,D96,$E$4:$E$95,E96,$B$4:$B$95,"AJUSTE-")),0)</f>
        <v>0</v>
      </c>
      <c r="L96" s="13">
        <f t="shared" si="2"/>
        <v>4</v>
      </c>
      <c r="M96" s="8" t="s">
        <v>24</v>
      </c>
      <c r="N96" s="14"/>
      <c r="O96" s="14" t="s">
        <v>48</v>
      </c>
      <c r="P96" s="14"/>
      <c r="Q96" s="15"/>
      <c r="R96" s="16" t="str">
        <f t="shared" si="3"/>
        <v/>
      </c>
    </row>
    <row r="97" ht="15.75" customHeight="1">
      <c r="A97" s="7">
        <v>46150.0</v>
      </c>
      <c r="B97" s="8" t="s">
        <v>20</v>
      </c>
      <c r="C97" s="8" t="s">
        <v>21</v>
      </c>
      <c r="D97" s="8" t="s">
        <v>50</v>
      </c>
      <c r="E97" s="8" t="s">
        <v>30</v>
      </c>
      <c r="F97" s="9">
        <v>6.0</v>
      </c>
      <c r="G97" s="10">
        <f>IFERROR(F97*VLOOKUP(D97,TELAS!$A$4:$C$32,3,FALSE()),0)</f>
        <v>120</v>
      </c>
      <c r="H97" s="11" t="str">
        <f>IFERROR(VLOOKUP(E97,COLORES!$A$4:$B$102,2,FALSE()),"")</f>
        <v>CLARO</v>
      </c>
      <c r="I97" s="12">
        <f>IFERROR(IF(H97="OSCURO",VLOOKUP(D97,PRECIOS!$A$4:$F$32,2,FALSE()),IF(H97="CLARO",VLOOKUP(D97,PRECIOS!$A$4:$F$32,3,FALSE()),IF(H97="MELANGE",VLOOKUP(D97,PRECIOS!$A$4:$F$32,4,FALSE()),IF(H97="PPT",VLOOKUP(D97,PRECIOS!$A$4:$F$32,5,FALSE()),0)))),0)</f>
        <v>21</v>
      </c>
      <c r="J97" s="12">
        <f t="shared" si="1"/>
        <v>2520</v>
      </c>
      <c r="K97" s="13">
        <f>IFERROR(IF(C97="",0,SUMIFS($F$4:$F$96,$C$4:$C$96,C97,$D$4:$D$96,D97,$E$4:$E$96,E97,$B$4:$B$96,"INGRESO")+SUMIFS($F$4:$F$96,$C$4:$C$96,C97,$D$4:$D$96,D97,$E$4:$E$96,E97,$B$4:$B$96,"DE REPROCESO")+SUMIFS($F$4:$F$96,$C$4:$C$96,C97,$D$4:$D$96,D97,$E$4:$E$96,E97,$B$4:$B$96,"AJUSTE+")-SUMIFS($F$4:$F$96,$C$4:$C$96,C97,$D$4:$D$96,D97,$E$4:$E$96,E97,$B$4:$B$96,"A CORTE")-SUMIFS($F$4:$F$96,$C$4:$C$96,C97,$D$4:$D$96,D97,$E$4:$E$96,E97,$B$4:$B$96,"A REPROCESO")-SUMIFS($F$4:$F$96,$C$4:$C$96,C97,$D$4:$D$96,D97,$E$4:$E$96,E97,$B$4:$B$96,"MUESTRA")-SUMIFS($F$4:$F$96,$C$4:$C$96,C97,$D$4:$D$96,D97,$E$4:$E$96,E97,$B$4:$B$96,"AJUSTE-")),0)</f>
        <v>0</v>
      </c>
      <c r="L97" s="13">
        <f t="shared" si="2"/>
        <v>6</v>
      </c>
      <c r="M97" s="8" t="s">
        <v>24</v>
      </c>
      <c r="N97" s="14"/>
      <c r="O97" s="14" t="s">
        <v>48</v>
      </c>
      <c r="P97" s="14"/>
      <c r="Q97" s="15"/>
      <c r="R97" s="16" t="str">
        <f t="shared" si="3"/>
        <v/>
      </c>
    </row>
    <row r="98" ht="15.75" customHeight="1">
      <c r="A98" s="7">
        <v>46150.0</v>
      </c>
      <c r="B98" s="8" t="s">
        <v>20</v>
      </c>
      <c r="C98" s="8" t="s">
        <v>21</v>
      </c>
      <c r="D98" s="8" t="s">
        <v>50</v>
      </c>
      <c r="E98" s="8" t="s">
        <v>31</v>
      </c>
      <c r="F98" s="9">
        <v>5.0</v>
      </c>
      <c r="G98" s="10">
        <f>IFERROR(F98*VLOOKUP(D98,TELAS!$A$4:$C$32,3,FALSE()),0)</f>
        <v>100</v>
      </c>
      <c r="H98" s="11" t="str">
        <f>IFERROR(VLOOKUP(E98,COLORES!$A$4:$B$102,2,FALSE()),"")</f>
        <v>CLARO</v>
      </c>
      <c r="I98" s="12">
        <f>IFERROR(IF(H98="OSCURO",VLOOKUP(D98,PRECIOS!$A$4:$F$32,2,FALSE()),IF(H98="CLARO",VLOOKUP(D98,PRECIOS!$A$4:$F$32,3,FALSE()),IF(H98="MELANGE",VLOOKUP(D98,PRECIOS!$A$4:$F$32,4,FALSE()),IF(H98="PPT",VLOOKUP(D98,PRECIOS!$A$4:$F$32,5,FALSE()),0)))),0)</f>
        <v>21</v>
      </c>
      <c r="J98" s="12">
        <f t="shared" si="1"/>
        <v>2100</v>
      </c>
      <c r="K98" s="13">
        <f>IFERROR(IF(C98="",0,SUMIFS($F$4:$F$97,$C$4:$C$97,C98,$D$4:$D$97,D98,$E$4:$E$97,E98,$B$4:$B$97,"INGRESO")+SUMIFS($F$4:$F$97,$C$4:$C$97,C98,$D$4:$D$97,D98,$E$4:$E$97,E98,$B$4:$B$97,"DE REPROCESO")+SUMIFS($F$4:$F$97,$C$4:$C$97,C98,$D$4:$D$97,D98,$E$4:$E$97,E98,$B$4:$B$97,"AJUSTE+")-SUMIFS($F$4:$F$97,$C$4:$C$97,C98,$D$4:$D$97,D98,$E$4:$E$97,E98,$B$4:$B$97,"A CORTE")-SUMIFS($F$4:$F$97,$C$4:$C$97,C98,$D$4:$D$97,D98,$E$4:$E$97,E98,$B$4:$B$97,"A REPROCESO")-SUMIFS($F$4:$F$97,$C$4:$C$97,C98,$D$4:$D$97,D98,$E$4:$E$97,E98,$B$4:$B$97,"MUESTRA")-SUMIFS($F$4:$F$97,$C$4:$C$97,C98,$D$4:$D$97,D98,$E$4:$E$97,E98,$B$4:$B$97,"AJUSTE-")),0)</f>
        <v>0</v>
      </c>
      <c r="L98" s="13">
        <f t="shared" si="2"/>
        <v>5</v>
      </c>
      <c r="M98" s="8" t="s">
        <v>24</v>
      </c>
      <c r="N98" s="14"/>
      <c r="O98" s="14" t="s">
        <v>48</v>
      </c>
      <c r="P98" s="14"/>
      <c r="Q98" s="15"/>
      <c r="R98" s="16" t="str">
        <f t="shared" si="3"/>
        <v/>
      </c>
    </row>
    <row r="99" ht="15.75" customHeight="1">
      <c r="A99" s="7">
        <v>46150.0</v>
      </c>
      <c r="B99" s="8" t="s">
        <v>20</v>
      </c>
      <c r="C99" s="8" t="s">
        <v>21</v>
      </c>
      <c r="D99" s="8" t="s">
        <v>50</v>
      </c>
      <c r="E99" s="8" t="s">
        <v>32</v>
      </c>
      <c r="F99" s="9">
        <v>4.0</v>
      </c>
      <c r="G99" s="10">
        <f>IFERROR(F99*VLOOKUP(D99,TELAS!$A$4:$C$32,3,FALSE()),0)</f>
        <v>80</v>
      </c>
      <c r="H99" s="11" t="str">
        <f>IFERROR(VLOOKUP(E99,COLORES!$A$4:$B$102,2,FALSE()),"")</f>
        <v>CLARO</v>
      </c>
      <c r="I99" s="12">
        <f>IFERROR(IF(H99="OSCURO",VLOOKUP(D99,PRECIOS!$A$4:$F$32,2,FALSE()),IF(H99="CLARO",VLOOKUP(D99,PRECIOS!$A$4:$F$32,3,FALSE()),IF(H99="MELANGE",VLOOKUP(D99,PRECIOS!$A$4:$F$32,4,FALSE()),IF(H99="PPT",VLOOKUP(D99,PRECIOS!$A$4:$F$32,5,FALSE()),0)))),0)</f>
        <v>21</v>
      </c>
      <c r="J99" s="12">
        <f t="shared" si="1"/>
        <v>1680</v>
      </c>
      <c r="K99" s="13">
        <f>IFERROR(IF(C99="",0,SUMIFS($F$4:$F$98,$C$4:$C$98,C99,$D$4:$D$98,D99,$E$4:$E$98,E99,$B$4:$B$98,"INGRESO")+SUMIFS($F$4:$F$98,$C$4:$C$98,C99,$D$4:$D$98,D99,$E$4:$E$98,E99,$B$4:$B$98,"DE REPROCESO")+SUMIFS($F$4:$F$98,$C$4:$C$98,C99,$D$4:$D$98,D99,$E$4:$E$98,E99,$B$4:$B$98,"AJUSTE+")-SUMIFS($F$4:$F$98,$C$4:$C$98,C99,$D$4:$D$98,D99,$E$4:$E$98,E99,$B$4:$B$98,"A CORTE")-SUMIFS($F$4:$F$98,$C$4:$C$98,C99,$D$4:$D$98,D99,$E$4:$E$98,E99,$B$4:$B$98,"A REPROCESO")-SUMIFS($F$4:$F$98,$C$4:$C$98,C99,$D$4:$D$98,D99,$E$4:$E$98,E99,$B$4:$B$98,"MUESTRA")-SUMIFS($F$4:$F$98,$C$4:$C$98,C99,$D$4:$D$98,D99,$E$4:$E$98,E99,$B$4:$B$98,"AJUSTE-")),0)</f>
        <v>0</v>
      </c>
      <c r="L99" s="13">
        <f t="shared" si="2"/>
        <v>4</v>
      </c>
      <c r="M99" s="8" t="s">
        <v>24</v>
      </c>
      <c r="N99" s="14"/>
      <c r="O99" s="14" t="s">
        <v>48</v>
      </c>
      <c r="P99" s="14"/>
      <c r="Q99" s="15"/>
      <c r="R99" s="16" t="str">
        <f t="shared" si="3"/>
        <v/>
      </c>
    </row>
    <row r="100" ht="15.75" customHeight="1">
      <c r="A100" s="7">
        <v>46150.0</v>
      </c>
      <c r="B100" s="8" t="s">
        <v>20</v>
      </c>
      <c r="C100" s="8" t="s">
        <v>21</v>
      </c>
      <c r="D100" s="8" t="s">
        <v>50</v>
      </c>
      <c r="E100" s="8" t="s">
        <v>33</v>
      </c>
      <c r="F100" s="9">
        <v>7.0</v>
      </c>
      <c r="G100" s="10">
        <f>IFERROR(F100*VLOOKUP(D100,TELAS!$A$4:$C$32,3,FALSE()),0)</f>
        <v>140</v>
      </c>
      <c r="H100" s="11" t="str">
        <f>IFERROR(VLOOKUP(E100,COLORES!$A$4:$B$102,2,FALSE()),"")</f>
        <v>OSCURO</v>
      </c>
      <c r="I100" s="12">
        <f>IFERROR(IF(H100="OSCURO",VLOOKUP(D100,PRECIOS!$A$4:$F$32,2,FALSE()),IF(H100="CLARO",VLOOKUP(D100,PRECIOS!$A$4:$F$32,3,FALSE()),IF(H100="MELANGE",VLOOKUP(D100,PRECIOS!$A$4:$F$32,4,FALSE()),IF(H100="PPT",VLOOKUP(D100,PRECIOS!$A$4:$F$32,5,FALSE()),0)))),0)</f>
        <v>24</v>
      </c>
      <c r="J100" s="12">
        <f t="shared" si="1"/>
        <v>3360</v>
      </c>
      <c r="K100" s="13">
        <f>IFERROR(IF(C100="",0,SUMIFS($F$4:$F$99,$C$4:$C$99,C100,$D$4:$D$99,D100,$E$4:$E$99,E100,$B$4:$B$99,"INGRESO")+SUMIFS($F$4:$F$99,$C$4:$C$99,C100,$D$4:$D$99,D100,$E$4:$E$99,E100,$B$4:$B$99,"DE REPROCESO")+SUMIFS($F$4:$F$99,$C$4:$C$99,C100,$D$4:$D$99,D100,$E$4:$E$99,E100,$B$4:$B$99,"AJUSTE+")-SUMIFS($F$4:$F$99,$C$4:$C$99,C100,$D$4:$D$99,D100,$E$4:$E$99,E100,$B$4:$B$99,"A CORTE")-SUMIFS($F$4:$F$99,$C$4:$C$99,C100,$D$4:$D$99,D100,$E$4:$E$99,E100,$B$4:$B$99,"A REPROCESO")-SUMIFS($F$4:$F$99,$C$4:$C$99,C100,$D$4:$D$99,D100,$E$4:$E$99,E100,$B$4:$B$99,"MUESTRA")-SUMIFS($F$4:$F$99,$C$4:$C$99,C100,$D$4:$D$99,D100,$E$4:$E$99,E100,$B$4:$B$99,"AJUSTE-")),0)</f>
        <v>0</v>
      </c>
      <c r="L100" s="13">
        <f t="shared" si="2"/>
        <v>7</v>
      </c>
      <c r="M100" s="8" t="s">
        <v>24</v>
      </c>
      <c r="N100" s="14"/>
      <c r="O100" s="14" t="s">
        <v>48</v>
      </c>
      <c r="P100" s="14"/>
      <c r="Q100" s="15"/>
      <c r="R100" s="16" t="str">
        <f t="shared" si="3"/>
        <v/>
      </c>
    </row>
    <row r="101" ht="15.75" customHeight="1">
      <c r="A101" s="7">
        <v>46150.0</v>
      </c>
      <c r="B101" s="8" t="s">
        <v>20</v>
      </c>
      <c r="C101" s="8" t="s">
        <v>21</v>
      </c>
      <c r="D101" s="8" t="s">
        <v>50</v>
      </c>
      <c r="E101" s="8" t="s">
        <v>34</v>
      </c>
      <c r="F101" s="9">
        <v>7.0</v>
      </c>
      <c r="G101" s="10">
        <f>IFERROR(F101*VLOOKUP(D101,TELAS!$A$4:$C$32,3,FALSE()),0)</f>
        <v>140</v>
      </c>
      <c r="H101" s="11" t="str">
        <f>IFERROR(VLOOKUP(E101,COLORES!$A$4:$B$102,2,FALSE()),"")</f>
        <v>CLARO</v>
      </c>
      <c r="I101" s="12">
        <f>IFERROR(IF(H101="OSCURO",VLOOKUP(D101,PRECIOS!$A$4:$F$32,2,FALSE()),IF(H101="CLARO",VLOOKUP(D101,PRECIOS!$A$4:$F$32,3,FALSE()),IF(H101="MELANGE",VLOOKUP(D101,PRECIOS!$A$4:$F$32,4,FALSE()),IF(H101="PPT",VLOOKUP(D101,PRECIOS!$A$4:$F$32,5,FALSE()),0)))),0)</f>
        <v>21</v>
      </c>
      <c r="J101" s="12">
        <f t="shared" si="1"/>
        <v>2940</v>
      </c>
      <c r="K101" s="13">
        <f>IFERROR(IF(C101="",0,SUMIFS($F$4:$F$100,$C$4:$C$100,C101,$D$4:$D$100,D101,$E$4:$E$100,E101,$B$4:$B$100,"INGRESO")+SUMIFS($F$4:$F$100,$C$4:$C$100,C101,$D$4:$D$100,D101,$E$4:$E$100,E101,$B$4:$B$100,"DE REPROCESO")+SUMIFS($F$4:$F$100,$C$4:$C$100,C101,$D$4:$D$100,D101,$E$4:$E$100,E101,$B$4:$B$100,"AJUSTE+")-SUMIFS($F$4:$F$100,$C$4:$C$100,C101,$D$4:$D$100,D101,$E$4:$E$100,E101,$B$4:$B$100,"A CORTE")-SUMIFS($F$4:$F$100,$C$4:$C$100,C101,$D$4:$D$100,D101,$E$4:$E$100,E101,$B$4:$B$100,"A REPROCESO")-SUMIFS($F$4:$F$100,$C$4:$C$100,C101,$D$4:$D$100,D101,$E$4:$E$100,E101,$B$4:$B$100,"MUESTRA")-SUMIFS($F$4:$F$100,$C$4:$C$100,C101,$D$4:$D$100,D101,$E$4:$E$100,E101,$B$4:$B$100,"AJUSTE-")),0)</f>
        <v>0</v>
      </c>
      <c r="L101" s="13">
        <f t="shared" si="2"/>
        <v>7</v>
      </c>
      <c r="M101" s="8" t="s">
        <v>24</v>
      </c>
      <c r="N101" s="14"/>
      <c r="O101" s="14" t="s">
        <v>48</v>
      </c>
      <c r="P101" s="14"/>
      <c r="Q101" s="15"/>
      <c r="R101" s="16" t="str">
        <f t="shared" si="3"/>
        <v/>
      </c>
    </row>
    <row r="102" ht="15.75" customHeight="1">
      <c r="A102" s="7">
        <v>46150.0</v>
      </c>
      <c r="B102" s="8" t="s">
        <v>20</v>
      </c>
      <c r="C102" s="8" t="s">
        <v>21</v>
      </c>
      <c r="D102" s="8" t="s">
        <v>50</v>
      </c>
      <c r="E102" s="8" t="s">
        <v>35</v>
      </c>
      <c r="F102" s="9">
        <v>8.0</v>
      </c>
      <c r="G102" s="10">
        <f>IFERROR(F102*VLOOKUP(D102,TELAS!$A$4:$C$32,3,FALSE()),0)</f>
        <v>160</v>
      </c>
      <c r="H102" s="11" t="str">
        <f>IFERROR(VLOOKUP(E102,COLORES!$A$4:$B$102,2,FALSE()),"")</f>
        <v>OSCURO</v>
      </c>
      <c r="I102" s="12">
        <f>IFERROR(IF(H102="OSCURO",VLOOKUP(D102,PRECIOS!$A$4:$F$32,2,FALSE()),IF(H102="CLARO",VLOOKUP(D102,PRECIOS!$A$4:$F$32,3,FALSE()),IF(H102="MELANGE",VLOOKUP(D102,PRECIOS!$A$4:$F$32,4,FALSE()),IF(H102="PPT",VLOOKUP(D102,PRECIOS!$A$4:$F$32,5,FALSE()),0)))),0)</f>
        <v>24</v>
      </c>
      <c r="J102" s="12">
        <f t="shared" si="1"/>
        <v>3840</v>
      </c>
      <c r="K102" s="13">
        <f>IFERROR(IF(C102="",0,SUMIFS($F$4:$F$101,$C$4:$C$101,C102,$D$4:$D$101,D102,$E$4:$E$101,E102,$B$4:$B$101,"INGRESO")+SUMIFS($F$4:$F$101,$C$4:$C$101,C102,$D$4:$D$101,D102,$E$4:$E$101,E102,$B$4:$B$101,"DE REPROCESO")+SUMIFS($F$4:$F$101,$C$4:$C$101,C102,$D$4:$D$101,D102,$E$4:$E$101,E102,$B$4:$B$101,"AJUSTE+")-SUMIFS($F$4:$F$101,$C$4:$C$101,C102,$D$4:$D$101,D102,$E$4:$E$101,E102,$B$4:$B$101,"A CORTE")-SUMIFS($F$4:$F$101,$C$4:$C$101,C102,$D$4:$D$101,D102,$E$4:$E$101,E102,$B$4:$B$101,"A REPROCESO")-SUMIFS($F$4:$F$101,$C$4:$C$101,C102,$D$4:$D$101,D102,$E$4:$E$101,E102,$B$4:$B$101,"MUESTRA")-SUMIFS($F$4:$F$101,$C$4:$C$101,C102,$D$4:$D$101,D102,$E$4:$E$101,E102,$B$4:$B$101,"AJUSTE-")),0)</f>
        <v>0</v>
      </c>
      <c r="L102" s="13">
        <f t="shared" si="2"/>
        <v>8</v>
      </c>
      <c r="M102" s="8" t="s">
        <v>24</v>
      </c>
      <c r="N102" s="14"/>
      <c r="O102" s="14" t="s">
        <v>48</v>
      </c>
      <c r="P102" s="14"/>
      <c r="Q102" s="15"/>
      <c r="R102" s="16" t="str">
        <f t="shared" si="3"/>
        <v/>
      </c>
    </row>
    <row r="103" ht="15.75" customHeight="1">
      <c r="A103" s="7">
        <v>46149.0</v>
      </c>
      <c r="B103" s="8" t="s">
        <v>42</v>
      </c>
      <c r="C103" s="8" t="s">
        <v>36</v>
      </c>
      <c r="D103" s="8" t="s">
        <v>37</v>
      </c>
      <c r="E103" s="8" t="s">
        <v>23</v>
      </c>
      <c r="F103" s="9">
        <v>8.0</v>
      </c>
      <c r="G103" s="10">
        <f>IFERROR(F103*VLOOKUP(D103,TELAS!$A$4:$C$32,3,FALSE()),0)</f>
        <v>160</v>
      </c>
      <c r="H103" s="11" t="str">
        <f>IFERROR(VLOOKUP(E103,COLORES!$A$4:$B$102,2,FALSE()),"")</f>
        <v>OSCURO</v>
      </c>
      <c r="I103" s="12">
        <f>IFERROR(IF(H103="OSCURO",VLOOKUP(D103,PRECIOS!$A$4:$F$32,2,FALSE()),IF(H103="CLARO",VLOOKUP(D103,PRECIOS!$A$4:$F$32,3,FALSE()),IF(H103="MELANGE",VLOOKUP(D103,PRECIOS!$A$4:$F$32,4,FALSE()),IF(H103="PPT",VLOOKUP(D103,PRECIOS!$A$4:$F$32,5,FALSE()),0)))),0)</f>
        <v>24</v>
      </c>
      <c r="J103" s="12">
        <f t="shared" si="1"/>
        <v>3840</v>
      </c>
      <c r="K103" s="13">
        <f>IFERROR(IF(C103="",0,SUMIFS($F$4:$F$102,$C$4:$C$102,C103,$D$4:$D$102,D103,$E$4:$E$102,E103,$B$4:$B$102,"INGRESO")+SUMIFS($F$4:$F$102,$C$4:$C$102,C103,$D$4:$D$102,D103,$E$4:$E$102,E103,$B$4:$B$102,"DE REPROCESO")+SUMIFS($F$4:$F$102,$C$4:$C$102,C103,$D$4:$D$102,D103,$E$4:$E$102,E103,$B$4:$B$102,"AJUSTE+")-SUMIFS($F$4:$F$102,$C$4:$C$102,C103,$D$4:$D$102,D103,$E$4:$E$102,E103,$B$4:$B$102,"A CORTE")-SUMIFS($F$4:$F$102,$C$4:$C$102,C103,$D$4:$D$102,D103,$E$4:$E$102,E103,$B$4:$B$102,"A REPROCESO")-SUMIFS($F$4:$F$102,$C$4:$C$102,C103,$D$4:$D$102,D103,$E$4:$E$102,E103,$B$4:$B$102,"MUESTRA")-SUMIFS($F$4:$F$102,$C$4:$C$102,C103,$D$4:$D$102,D103,$E$4:$E$102,E103,$B$4:$B$102,"AJUSTE-")),0)</f>
        <v>33</v>
      </c>
      <c r="L103" s="13">
        <f t="shared" si="2"/>
        <v>25</v>
      </c>
      <c r="M103" s="8" t="s">
        <v>24</v>
      </c>
      <c r="N103" s="14" t="s">
        <v>44</v>
      </c>
      <c r="O103" s="14"/>
      <c r="P103" s="14"/>
      <c r="Q103" s="15"/>
      <c r="R103" s="16" t="str">
        <f t="shared" si="3"/>
        <v/>
      </c>
    </row>
    <row r="104" ht="15.75" customHeight="1">
      <c r="A104" s="7">
        <v>46149.0</v>
      </c>
      <c r="B104" s="8" t="s">
        <v>42</v>
      </c>
      <c r="C104" s="8" t="s">
        <v>36</v>
      </c>
      <c r="D104" s="8" t="s">
        <v>37</v>
      </c>
      <c r="E104" s="8" t="s">
        <v>26</v>
      </c>
      <c r="F104" s="9">
        <v>4.0</v>
      </c>
      <c r="G104" s="10">
        <f>IFERROR(F104*VLOOKUP(D104,TELAS!$A$4:$C$32,3,FALSE()),0)</f>
        <v>80</v>
      </c>
      <c r="H104" s="11" t="str">
        <f>IFERROR(VLOOKUP(E104,COLORES!$A$4:$B$102,2,FALSE()),"")</f>
        <v>PPT</v>
      </c>
      <c r="I104" s="12">
        <f>IFERROR(IF(H104="OSCURO",VLOOKUP(D104,PRECIOS!$A$4:$F$32,2,FALSE()),IF(H104="CLARO",VLOOKUP(D104,PRECIOS!$A$4:$F$32,3,FALSE()),IF(H104="MELANGE",VLOOKUP(D104,PRECIOS!$A$4:$F$32,4,FALSE()),IF(H104="PPT",VLOOKUP(D104,PRECIOS!$A$4:$F$32,5,FALSE()),0)))),0)</f>
        <v>18</v>
      </c>
      <c r="J104" s="12">
        <f t="shared" si="1"/>
        <v>1440</v>
      </c>
      <c r="K104" s="13">
        <f>IFERROR(IF(C104="",0,SUMIFS($F$4:$F$103,$C$4:$C$103,C104,$D$4:$D$103,D104,$E$4:$E$103,E104,$B$4:$B$103,"INGRESO")+SUMIFS($F$4:$F$103,$C$4:$C$103,C104,$D$4:$D$103,D104,$E$4:$E$103,E104,$B$4:$B$103,"DE REPROCESO")+SUMIFS($F$4:$F$103,$C$4:$C$103,C104,$D$4:$D$103,D104,$E$4:$E$103,E104,$B$4:$B$103,"AJUSTE+")-SUMIFS($F$4:$F$103,$C$4:$C$103,C104,$D$4:$D$103,D104,$E$4:$E$103,E104,$B$4:$B$103,"A CORTE")-SUMIFS($F$4:$F$103,$C$4:$C$103,C104,$D$4:$D$103,D104,$E$4:$E$103,E104,$B$4:$B$103,"A REPROCESO")-SUMIFS($F$4:$F$103,$C$4:$C$103,C104,$D$4:$D$103,D104,$E$4:$E$103,E104,$B$4:$B$103,"MUESTRA")-SUMIFS($F$4:$F$103,$C$4:$C$103,C104,$D$4:$D$103,D104,$E$4:$E$103,E104,$B$4:$B$103,"AJUSTE-")),0)</f>
        <v>28</v>
      </c>
      <c r="L104" s="13">
        <f t="shared" si="2"/>
        <v>24</v>
      </c>
      <c r="M104" s="8" t="s">
        <v>24</v>
      </c>
      <c r="N104" s="14" t="s">
        <v>44</v>
      </c>
      <c r="O104" s="14"/>
      <c r="P104" s="14"/>
      <c r="Q104" s="15"/>
      <c r="R104" s="16" t="str">
        <f t="shared" si="3"/>
        <v/>
      </c>
    </row>
    <row r="105" ht="15.75" customHeight="1">
      <c r="A105" s="7">
        <v>46149.0</v>
      </c>
      <c r="B105" s="8" t="s">
        <v>42</v>
      </c>
      <c r="C105" s="8" t="s">
        <v>36</v>
      </c>
      <c r="D105" s="8" t="s">
        <v>37</v>
      </c>
      <c r="E105" s="8" t="s">
        <v>27</v>
      </c>
      <c r="F105" s="9">
        <v>2.0</v>
      </c>
      <c r="G105" s="10">
        <f>IFERROR(F105*VLOOKUP(D105,TELAS!$A$4:$C$32,3,FALSE()),0)</f>
        <v>40</v>
      </c>
      <c r="H105" s="11" t="str">
        <f>IFERROR(VLOOKUP(E105,COLORES!$A$4:$B$102,2,FALSE()),"")</f>
        <v>OSCURO</v>
      </c>
      <c r="I105" s="12">
        <f>IFERROR(IF(H105="OSCURO",VLOOKUP(D105,PRECIOS!$A$4:$F$32,2,FALSE()),IF(H105="CLARO",VLOOKUP(D105,PRECIOS!$A$4:$F$32,3,FALSE()),IF(H105="MELANGE",VLOOKUP(D105,PRECIOS!$A$4:$F$32,4,FALSE()),IF(H105="PPT",VLOOKUP(D105,PRECIOS!$A$4:$F$32,5,FALSE()),0)))),0)</f>
        <v>24</v>
      </c>
      <c r="J105" s="12">
        <f t="shared" si="1"/>
        <v>960</v>
      </c>
      <c r="K105" s="13">
        <f>IFERROR(IF(C105="",0,SUMIFS($F$4:$F$104,$C$4:$C$104,C105,$D$4:$D$104,D105,$E$4:$E$104,E105,$B$4:$B$104,"INGRESO")+SUMIFS($F$4:$F$104,$C$4:$C$104,C105,$D$4:$D$104,D105,$E$4:$E$104,E105,$B$4:$B$104,"DE REPROCESO")+SUMIFS($F$4:$F$104,$C$4:$C$104,C105,$D$4:$D$104,D105,$E$4:$E$104,E105,$B$4:$B$104,"AJUSTE+")-SUMIFS($F$4:$F$104,$C$4:$C$104,C105,$D$4:$D$104,D105,$E$4:$E$104,E105,$B$4:$B$104,"A CORTE")-SUMIFS($F$4:$F$104,$C$4:$C$104,C105,$D$4:$D$104,D105,$E$4:$E$104,E105,$B$4:$B$104,"A REPROCESO")-SUMIFS($F$4:$F$104,$C$4:$C$104,C105,$D$4:$D$104,D105,$E$4:$E$104,E105,$B$4:$B$104,"MUESTRA")-SUMIFS($F$4:$F$104,$C$4:$C$104,C105,$D$4:$D$104,D105,$E$4:$E$104,E105,$B$4:$B$104,"AJUSTE-")),0)</f>
        <v>2</v>
      </c>
      <c r="L105" s="13">
        <f t="shared" si="2"/>
        <v>0</v>
      </c>
      <c r="M105" s="8" t="s">
        <v>24</v>
      </c>
      <c r="N105" s="14" t="s">
        <v>44</v>
      </c>
      <c r="O105" s="14"/>
      <c r="P105" s="14"/>
      <c r="Q105" s="15"/>
      <c r="R105" s="16" t="str">
        <f t="shared" si="3"/>
        <v/>
      </c>
    </row>
    <row r="106" ht="15.75" customHeight="1">
      <c r="A106" s="7">
        <v>46151.0</v>
      </c>
      <c r="B106" s="8" t="s">
        <v>20</v>
      </c>
      <c r="C106" s="8" t="s">
        <v>21</v>
      </c>
      <c r="D106" s="8" t="s">
        <v>38</v>
      </c>
      <c r="E106" s="8" t="s">
        <v>23</v>
      </c>
      <c r="F106" s="9">
        <v>35.0</v>
      </c>
      <c r="G106" s="10">
        <f>IFERROR(F106*VLOOKUP(D106,TELAS!$A$4:$C$32,3,FALSE()),0)</f>
        <v>700</v>
      </c>
      <c r="H106" s="11" t="str">
        <f>IFERROR(VLOOKUP(E106,COLORES!$A$4:$B$102,2,FALSE()),"")</f>
        <v>OSCURO</v>
      </c>
      <c r="I106" s="12">
        <f>IFERROR(IF(H106="OSCURO",VLOOKUP(D106,PRECIOS!$A$4:$F$32,2,FALSE()),IF(H106="CLARO",VLOOKUP(D106,PRECIOS!$A$4:$F$32,3,FALSE()),IF(H106="MELANGE",VLOOKUP(D106,PRECIOS!$A$4:$F$32,4,FALSE()),IF(H106="PPT",VLOOKUP(D106,PRECIOS!$A$4:$F$32,5,FALSE()),0)))),0)</f>
        <v>24</v>
      </c>
      <c r="J106" s="12">
        <f t="shared" si="1"/>
        <v>16800</v>
      </c>
      <c r="K106" s="13">
        <f>IFERROR(IF(C106="",0,SUMIFS($F$4:$F$105,$C$4:$C$105,C106,$D$4:$D$105,D106,$E$4:$E$105,E106,$B$4:$B$105,"INGRESO")+SUMIFS($F$4:$F$105,$C$4:$C$105,C106,$D$4:$D$105,D106,$E$4:$E$105,E106,$B$4:$B$105,"DE REPROCESO")+SUMIFS($F$4:$F$105,$C$4:$C$105,C106,$D$4:$D$105,D106,$E$4:$E$105,E106,$B$4:$B$105,"AJUSTE+")-SUMIFS($F$4:$F$105,$C$4:$C$105,C106,$D$4:$D$105,D106,$E$4:$E$105,E106,$B$4:$B$105,"A CORTE")-SUMIFS($F$4:$F$105,$C$4:$C$105,C106,$D$4:$D$105,D106,$E$4:$E$105,E106,$B$4:$B$105,"A REPROCESO")-SUMIFS($F$4:$F$105,$C$4:$C$105,C106,$D$4:$D$105,D106,$E$4:$E$105,E106,$B$4:$B$105,"MUESTRA")-SUMIFS($F$4:$F$105,$C$4:$C$105,C106,$D$4:$D$105,D106,$E$4:$E$105,E106,$B$4:$B$105,"AJUSTE-")),0)</f>
        <v>0</v>
      </c>
      <c r="L106" s="13">
        <f t="shared" si="2"/>
        <v>35</v>
      </c>
      <c r="M106" s="8"/>
      <c r="N106" s="14"/>
      <c r="O106" s="14" t="s">
        <v>48</v>
      </c>
      <c r="P106" s="14" t="s">
        <v>51</v>
      </c>
      <c r="Q106" s="15"/>
      <c r="R106" s="16" t="str">
        <f t="shared" si="3"/>
        <v/>
      </c>
    </row>
    <row r="107" ht="15.75" customHeight="1">
      <c r="A107" s="7">
        <v>46151.0</v>
      </c>
      <c r="B107" s="8" t="s">
        <v>20</v>
      </c>
      <c r="C107" s="8" t="s">
        <v>21</v>
      </c>
      <c r="D107" s="8" t="s">
        <v>38</v>
      </c>
      <c r="E107" s="8" t="s">
        <v>26</v>
      </c>
      <c r="F107" s="9">
        <v>20.0</v>
      </c>
      <c r="G107" s="10">
        <f>IFERROR(F107*VLOOKUP(D107,TELAS!$A$4:$C$32,3,FALSE()),0)</f>
        <v>400</v>
      </c>
      <c r="H107" s="11" t="str">
        <f>IFERROR(VLOOKUP(E107,COLORES!$A$4:$B$102,2,FALSE()),"")</f>
        <v>PPT</v>
      </c>
      <c r="I107" s="12">
        <f>IFERROR(IF(H107="OSCURO",VLOOKUP(D107,PRECIOS!$A$4:$F$32,2,FALSE()),IF(H107="CLARO",VLOOKUP(D107,PRECIOS!$A$4:$F$32,3,FALSE()),IF(H107="MELANGE",VLOOKUP(D107,PRECIOS!$A$4:$F$32,4,FALSE()),IF(H107="PPT",VLOOKUP(D107,PRECIOS!$A$4:$F$32,5,FALSE()),0)))),0)</f>
        <v>18</v>
      </c>
      <c r="J107" s="12">
        <f t="shared" si="1"/>
        <v>7200</v>
      </c>
      <c r="K107" s="13">
        <f>IFERROR(IF(C107="",0,SUMIFS($F$4:$F$106,$C$4:$C$106,C107,$D$4:$D$106,D107,$E$4:$E$106,E107,$B$4:$B$106,"INGRESO")+SUMIFS($F$4:$F$106,$C$4:$C$106,C107,$D$4:$D$106,D107,$E$4:$E$106,E107,$B$4:$B$106,"DE REPROCESO")+SUMIFS($F$4:$F$106,$C$4:$C$106,C107,$D$4:$D$106,D107,$E$4:$E$106,E107,$B$4:$B$106,"AJUSTE+")-SUMIFS($F$4:$F$106,$C$4:$C$106,C107,$D$4:$D$106,D107,$E$4:$E$106,E107,$B$4:$B$106,"A CORTE")-SUMIFS($F$4:$F$106,$C$4:$C$106,C107,$D$4:$D$106,D107,$E$4:$E$106,E107,$B$4:$B$106,"A REPROCESO")-SUMIFS($F$4:$F$106,$C$4:$C$106,C107,$D$4:$D$106,D107,$E$4:$E$106,E107,$B$4:$B$106,"MUESTRA")-SUMIFS($F$4:$F$106,$C$4:$C$106,C107,$D$4:$D$106,D107,$E$4:$E$106,E107,$B$4:$B$106,"AJUSTE-")),0)</f>
        <v>10</v>
      </c>
      <c r="L107" s="13">
        <f t="shared" si="2"/>
        <v>30</v>
      </c>
      <c r="M107" s="8"/>
      <c r="N107" s="14"/>
      <c r="O107" s="14" t="s">
        <v>48</v>
      </c>
      <c r="P107" s="14" t="s">
        <v>52</v>
      </c>
      <c r="Q107" s="15"/>
      <c r="R107" s="16" t="str">
        <f t="shared" si="3"/>
        <v/>
      </c>
    </row>
    <row r="108" ht="15.75" customHeight="1">
      <c r="A108" s="7">
        <v>46151.0</v>
      </c>
      <c r="B108" s="8" t="s">
        <v>20</v>
      </c>
      <c r="C108" s="8" t="s">
        <v>21</v>
      </c>
      <c r="D108" s="8" t="s">
        <v>38</v>
      </c>
      <c r="E108" s="8" t="s">
        <v>27</v>
      </c>
      <c r="F108" s="9">
        <v>9.0</v>
      </c>
      <c r="G108" s="10">
        <f>IFERROR(F108*VLOOKUP(D108,TELAS!$A$4:$C$32,3,FALSE()),0)</f>
        <v>180</v>
      </c>
      <c r="H108" s="11" t="str">
        <f>IFERROR(VLOOKUP(E108,COLORES!$A$4:$B$102,2,FALSE()),"")</f>
        <v>OSCURO</v>
      </c>
      <c r="I108" s="12">
        <f>IFERROR(IF(H108="OSCURO",VLOOKUP(D108,PRECIOS!$A$4:$F$32,2,FALSE()),IF(H108="CLARO",VLOOKUP(D108,PRECIOS!$A$4:$F$32,3,FALSE()),IF(H108="MELANGE",VLOOKUP(D108,PRECIOS!$A$4:$F$32,4,FALSE()),IF(H108="PPT",VLOOKUP(D108,PRECIOS!$A$4:$F$32,5,FALSE()),0)))),0)</f>
        <v>24</v>
      </c>
      <c r="J108" s="12">
        <f t="shared" si="1"/>
        <v>4320</v>
      </c>
      <c r="K108" s="13">
        <f>IFERROR(IF(C108="",0,SUMIFS($F$4:$F$107,$C$4:$C$107,C108,$D$4:$D$107,D108,$E$4:$E$107,E108,$B$4:$B$107,"INGRESO")+SUMIFS($F$4:$F$107,$C$4:$C$107,C108,$D$4:$D$107,D108,$E$4:$E$107,E108,$B$4:$B$107,"DE REPROCESO")+SUMIFS($F$4:$F$107,$C$4:$C$107,C108,$D$4:$D$107,D108,$E$4:$E$107,E108,$B$4:$B$107,"AJUSTE+")-SUMIFS($F$4:$F$107,$C$4:$C$107,C108,$D$4:$D$107,D108,$E$4:$E$107,E108,$B$4:$B$107,"A CORTE")-SUMIFS($F$4:$F$107,$C$4:$C$107,C108,$D$4:$D$107,D108,$E$4:$E$107,E108,$B$4:$B$107,"A REPROCESO")-SUMIFS($F$4:$F$107,$C$4:$C$107,C108,$D$4:$D$107,D108,$E$4:$E$107,E108,$B$4:$B$107,"MUESTRA")-SUMIFS($F$4:$F$107,$C$4:$C$107,C108,$D$4:$D$107,D108,$E$4:$E$107,E108,$B$4:$B$107,"AJUSTE-")),0)</f>
        <v>6</v>
      </c>
      <c r="L108" s="13">
        <f t="shared" si="2"/>
        <v>15</v>
      </c>
      <c r="M108" s="8"/>
      <c r="N108" s="14"/>
      <c r="O108" s="14" t="s">
        <v>48</v>
      </c>
      <c r="P108" s="14" t="s">
        <v>53</v>
      </c>
      <c r="Q108" s="15"/>
      <c r="R108" s="16" t="str">
        <f t="shared" si="3"/>
        <v/>
      </c>
    </row>
    <row r="109" ht="15.75" customHeight="1">
      <c r="A109" s="20">
        <v>46151.0</v>
      </c>
      <c r="B109" s="21" t="s">
        <v>42</v>
      </c>
      <c r="C109" s="22" t="s">
        <v>21</v>
      </c>
      <c r="D109" s="22" t="s">
        <v>41</v>
      </c>
      <c r="E109" s="22" t="s">
        <v>32</v>
      </c>
      <c r="F109" s="23">
        <v>4.0</v>
      </c>
      <c r="G109" s="24" t="s">
        <v>54</v>
      </c>
      <c r="H109" s="25" t="s">
        <v>55</v>
      </c>
      <c r="I109" s="26" t="s">
        <v>56</v>
      </c>
      <c r="J109" s="26" t="s">
        <v>57</v>
      </c>
      <c r="K109" s="27">
        <v>7.0</v>
      </c>
      <c r="L109" s="27">
        <v>3.0</v>
      </c>
      <c r="M109" s="28"/>
      <c r="N109" s="29" t="s">
        <v>43</v>
      </c>
      <c r="O109" s="14"/>
      <c r="P109" s="14"/>
      <c r="Q109" s="15"/>
      <c r="R109" s="16" t="str">
        <f t="shared" si="3"/>
        <v/>
      </c>
    </row>
    <row r="110" ht="15.75" customHeight="1">
      <c r="A110" s="20">
        <v>46151.0</v>
      </c>
      <c r="B110" s="21" t="s">
        <v>42</v>
      </c>
      <c r="C110" s="22" t="s">
        <v>21</v>
      </c>
      <c r="D110" s="22" t="s">
        <v>41</v>
      </c>
      <c r="E110" s="22" t="s">
        <v>35</v>
      </c>
      <c r="F110" s="23">
        <v>6.0</v>
      </c>
      <c r="G110" s="24" t="s">
        <v>58</v>
      </c>
      <c r="H110" s="25" t="s">
        <v>59</v>
      </c>
      <c r="I110" s="26" t="s">
        <v>60</v>
      </c>
      <c r="J110" s="26" t="s">
        <v>61</v>
      </c>
      <c r="K110" s="27">
        <v>28.0</v>
      </c>
      <c r="L110" s="27">
        <v>22.0</v>
      </c>
      <c r="M110" s="28"/>
      <c r="N110" s="29" t="s">
        <v>43</v>
      </c>
      <c r="O110" s="14"/>
      <c r="P110" s="14"/>
      <c r="Q110" s="15"/>
      <c r="R110" s="16" t="str">
        <f t="shared" si="3"/>
        <v/>
      </c>
    </row>
    <row r="111" ht="15.75" customHeight="1">
      <c r="A111" s="20">
        <v>46151.0</v>
      </c>
      <c r="B111" s="21" t="s">
        <v>42</v>
      </c>
      <c r="C111" s="22" t="s">
        <v>21</v>
      </c>
      <c r="D111" s="22" t="s">
        <v>41</v>
      </c>
      <c r="E111" s="22" t="s">
        <v>33</v>
      </c>
      <c r="F111" s="23">
        <v>3.0</v>
      </c>
      <c r="G111" s="24" t="s">
        <v>62</v>
      </c>
      <c r="H111" s="25" t="s">
        <v>59</v>
      </c>
      <c r="I111" s="26" t="s">
        <v>60</v>
      </c>
      <c r="J111" s="26" t="s">
        <v>63</v>
      </c>
      <c r="K111" s="27">
        <v>7.0</v>
      </c>
      <c r="L111" s="27">
        <v>4.0</v>
      </c>
      <c r="M111" s="28"/>
      <c r="N111" s="29" t="s">
        <v>43</v>
      </c>
      <c r="O111" s="14"/>
      <c r="P111" s="14"/>
      <c r="Q111" s="15"/>
      <c r="R111" s="16" t="str">
        <f t="shared" si="3"/>
        <v/>
      </c>
    </row>
    <row r="112" ht="15.75" customHeight="1">
      <c r="A112" s="20">
        <v>46151.0</v>
      </c>
      <c r="B112" s="21" t="s">
        <v>42</v>
      </c>
      <c r="C112" s="22" t="s">
        <v>21</v>
      </c>
      <c r="D112" s="22" t="s">
        <v>41</v>
      </c>
      <c r="E112" s="22" t="s">
        <v>28</v>
      </c>
      <c r="F112" s="23">
        <v>3.0</v>
      </c>
      <c r="G112" s="24" t="s">
        <v>62</v>
      </c>
      <c r="H112" s="25" t="s">
        <v>59</v>
      </c>
      <c r="I112" s="26" t="s">
        <v>60</v>
      </c>
      <c r="J112" s="26" t="s">
        <v>63</v>
      </c>
      <c r="K112" s="27">
        <v>20.0</v>
      </c>
      <c r="L112" s="27">
        <v>17.0</v>
      </c>
      <c r="M112" s="28"/>
      <c r="N112" s="29" t="s">
        <v>43</v>
      </c>
      <c r="O112" s="14"/>
      <c r="P112" s="14"/>
      <c r="Q112" s="15"/>
      <c r="R112" s="16" t="str">
        <f t="shared" si="3"/>
        <v/>
      </c>
    </row>
    <row r="113" ht="15.75" customHeight="1">
      <c r="A113" s="20">
        <v>46151.0</v>
      </c>
      <c r="B113" s="21" t="s">
        <v>42</v>
      </c>
      <c r="C113" s="22" t="s">
        <v>21</v>
      </c>
      <c r="D113" s="22" t="s">
        <v>41</v>
      </c>
      <c r="E113" s="22" t="s">
        <v>27</v>
      </c>
      <c r="F113" s="23">
        <v>3.0</v>
      </c>
      <c r="G113" s="24" t="s">
        <v>62</v>
      </c>
      <c r="H113" s="25" t="s">
        <v>59</v>
      </c>
      <c r="I113" s="26" t="s">
        <v>60</v>
      </c>
      <c r="J113" s="26" t="s">
        <v>63</v>
      </c>
      <c r="K113" s="27">
        <v>35.0</v>
      </c>
      <c r="L113" s="27">
        <v>32.0</v>
      </c>
      <c r="M113" s="28"/>
      <c r="N113" s="29" t="s">
        <v>43</v>
      </c>
      <c r="O113" s="14"/>
      <c r="P113" s="14"/>
      <c r="Q113" s="15"/>
      <c r="R113" s="16" t="str">
        <f t="shared" si="3"/>
        <v/>
      </c>
    </row>
    <row r="114" ht="15.75" customHeight="1">
      <c r="A114" s="20">
        <v>46153.0</v>
      </c>
      <c r="B114" s="21" t="s">
        <v>42</v>
      </c>
      <c r="C114" s="22" t="s">
        <v>21</v>
      </c>
      <c r="D114" s="22" t="s">
        <v>38</v>
      </c>
      <c r="E114" s="22" t="s">
        <v>23</v>
      </c>
      <c r="F114" s="23">
        <v>5.0</v>
      </c>
      <c r="G114" s="24" t="s">
        <v>64</v>
      </c>
      <c r="H114" s="25" t="s">
        <v>59</v>
      </c>
      <c r="I114" s="26" t="s">
        <v>65</v>
      </c>
      <c r="J114" s="26" t="s">
        <v>66</v>
      </c>
      <c r="K114" s="27">
        <v>35.0</v>
      </c>
      <c r="L114" s="27">
        <v>30.0</v>
      </c>
      <c r="M114" s="28"/>
      <c r="N114" s="29" t="s">
        <v>67</v>
      </c>
      <c r="O114" s="14"/>
      <c r="P114" s="14"/>
      <c r="Q114" s="15"/>
      <c r="R114" s="16" t="str">
        <f t="shared" si="3"/>
        <v/>
      </c>
    </row>
    <row r="115" ht="15.75" customHeight="1">
      <c r="A115" s="20">
        <v>46153.0</v>
      </c>
      <c r="B115" s="21" t="s">
        <v>42</v>
      </c>
      <c r="C115" s="22" t="s">
        <v>21</v>
      </c>
      <c r="D115" s="22" t="s">
        <v>38</v>
      </c>
      <c r="E115" s="22" t="s">
        <v>26</v>
      </c>
      <c r="F115" s="23">
        <v>2.0</v>
      </c>
      <c r="G115" s="24" t="s">
        <v>68</v>
      </c>
      <c r="H115" s="25" t="s">
        <v>69</v>
      </c>
      <c r="I115" s="26" t="s">
        <v>70</v>
      </c>
      <c r="J115" s="26" t="s">
        <v>71</v>
      </c>
      <c r="K115" s="27">
        <v>30.0</v>
      </c>
      <c r="L115" s="27">
        <v>28.0</v>
      </c>
      <c r="M115" s="28"/>
      <c r="N115" s="29" t="s">
        <v>67</v>
      </c>
      <c r="O115" s="14"/>
      <c r="P115" s="14"/>
      <c r="Q115" s="15"/>
      <c r="R115" s="16" t="str">
        <f t="shared" si="3"/>
        <v/>
      </c>
    </row>
    <row r="116" ht="15.75" customHeight="1">
      <c r="A116" s="20">
        <v>46153.0</v>
      </c>
      <c r="B116" s="21" t="s">
        <v>42</v>
      </c>
      <c r="C116" s="22" t="s">
        <v>21</v>
      </c>
      <c r="D116" s="22" t="s">
        <v>38</v>
      </c>
      <c r="E116" s="22" t="s">
        <v>27</v>
      </c>
      <c r="F116" s="23">
        <v>2.0</v>
      </c>
      <c r="G116" s="24" t="s">
        <v>68</v>
      </c>
      <c r="H116" s="25" t="s">
        <v>59</v>
      </c>
      <c r="I116" s="26" t="s">
        <v>65</v>
      </c>
      <c r="J116" s="26" t="s">
        <v>72</v>
      </c>
      <c r="K116" s="27">
        <v>15.0</v>
      </c>
      <c r="L116" s="27">
        <v>13.0</v>
      </c>
      <c r="M116" s="28"/>
      <c r="N116" s="29" t="s">
        <v>67</v>
      </c>
      <c r="O116" s="14"/>
      <c r="P116" s="14"/>
      <c r="Q116" s="15"/>
      <c r="R116" s="16" t="str">
        <f t="shared" si="3"/>
        <v/>
      </c>
    </row>
    <row r="117" ht="15.75" customHeight="1">
      <c r="A117" s="20">
        <v>46153.0</v>
      </c>
      <c r="B117" s="21" t="s">
        <v>42</v>
      </c>
      <c r="C117" s="22" t="s">
        <v>21</v>
      </c>
      <c r="D117" s="22" t="s">
        <v>38</v>
      </c>
      <c r="E117" s="22" t="s">
        <v>28</v>
      </c>
      <c r="F117" s="23">
        <v>2.0</v>
      </c>
      <c r="G117" s="24" t="s">
        <v>68</v>
      </c>
      <c r="H117" s="25" t="s">
        <v>59</v>
      </c>
      <c r="I117" s="26" t="s">
        <v>65</v>
      </c>
      <c r="J117" s="26" t="s">
        <v>72</v>
      </c>
      <c r="K117" s="27">
        <v>3.0</v>
      </c>
      <c r="L117" s="27">
        <v>1.0</v>
      </c>
      <c r="M117" s="28"/>
      <c r="N117" s="29" t="s">
        <v>67</v>
      </c>
      <c r="O117" s="14"/>
      <c r="P117" s="14"/>
      <c r="Q117" s="15"/>
      <c r="R117" s="16" t="str">
        <f t="shared" si="3"/>
        <v/>
      </c>
    </row>
    <row r="118" ht="15.75" customHeight="1">
      <c r="A118" s="20">
        <v>46153.0</v>
      </c>
      <c r="B118" s="21" t="s">
        <v>42</v>
      </c>
      <c r="C118" s="22" t="s">
        <v>21</v>
      </c>
      <c r="D118" s="22" t="s">
        <v>38</v>
      </c>
      <c r="E118" s="22" t="s">
        <v>29</v>
      </c>
      <c r="F118" s="23">
        <v>2.0</v>
      </c>
      <c r="G118" s="24" t="s">
        <v>68</v>
      </c>
      <c r="H118" s="25" t="s">
        <v>55</v>
      </c>
      <c r="I118" s="26" t="s">
        <v>73</v>
      </c>
      <c r="J118" s="26" t="s">
        <v>74</v>
      </c>
      <c r="K118" s="27">
        <v>11.0</v>
      </c>
      <c r="L118" s="27">
        <v>9.0</v>
      </c>
      <c r="M118" s="28"/>
      <c r="N118" s="29" t="s">
        <v>67</v>
      </c>
      <c r="O118" s="14"/>
      <c r="P118" s="14"/>
      <c r="Q118" s="15"/>
      <c r="R118" s="16" t="str">
        <f t="shared" si="3"/>
        <v/>
      </c>
    </row>
    <row r="119" ht="15.75" customHeight="1">
      <c r="A119" s="20">
        <v>46153.0</v>
      </c>
      <c r="B119" s="21" t="s">
        <v>42</v>
      </c>
      <c r="C119" s="22" t="s">
        <v>21</v>
      </c>
      <c r="D119" s="22" t="s">
        <v>38</v>
      </c>
      <c r="E119" s="22" t="s">
        <v>30</v>
      </c>
      <c r="F119" s="23">
        <v>2.0</v>
      </c>
      <c r="G119" s="24" t="s">
        <v>68</v>
      </c>
      <c r="H119" s="25" t="s">
        <v>55</v>
      </c>
      <c r="I119" s="26" t="s">
        <v>73</v>
      </c>
      <c r="J119" s="26" t="s">
        <v>74</v>
      </c>
      <c r="K119" s="27">
        <v>7.0</v>
      </c>
      <c r="L119" s="27">
        <v>5.0</v>
      </c>
      <c r="M119" s="28"/>
      <c r="N119" s="29" t="s">
        <v>67</v>
      </c>
      <c r="O119" s="14"/>
      <c r="P119" s="14"/>
      <c r="Q119" s="15"/>
      <c r="R119" s="16" t="str">
        <f t="shared" si="3"/>
        <v/>
      </c>
    </row>
    <row r="120" ht="15.75" customHeight="1">
      <c r="A120" s="20">
        <v>46153.0</v>
      </c>
      <c r="B120" s="21" t="s">
        <v>42</v>
      </c>
      <c r="C120" s="22" t="s">
        <v>21</v>
      </c>
      <c r="D120" s="22" t="s">
        <v>38</v>
      </c>
      <c r="E120" s="22" t="s">
        <v>31</v>
      </c>
      <c r="F120" s="23">
        <v>2.0</v>
      </c>
      <c r="G120" s="24" t="s">
        <v>68</v>
      </c>
      <c r="H120" s="25" t="s">
        <v>55</v>
      </c>
      <c r="I120" s="26" t="s">
        <v>73</v>
      </c>
      <c r="J120" s="26" t="s">
        <v>74</v>
      </c>
      <c r="K120" s="27">
        <v>7.0</v>
      </c>
      <c r="L120" s="27">
        <v>5.0</v>
      </c>
      <c r="M120" s="28"/>
      <c r="N120" s="29" t="s">
        <v>67</v>
      </c>
      <c r="O120" s="14"/>
      <c r="P120" s="14"/>
      <c r="Q120" s="15"/>
      <c r="R120" s="16" t="str">
        <f t="shared" si="3"/>
        <v/>
      </c>
    </row>
    <row r="121" ht="15.75" customHeight="1">
      <c r="A121" s="20">
        <v>46153.0</v>
      </c>
      <c r="B121" s="21" t="s">
        <v>42</v>
      </c>
      <c r="C121" s="22" t="s">
        <v>21</v>
      </c>
      <c r="D121" s="22" t="s">
        <v>38</v>
      </c>
      <c r="E121" s="22" t="s">
        <v>34</v>
      </c>
      <c r="F121" s="23">
        <v>2.0</v>
      </c>
      <c r="G121" s="24" t="s">
        <v>68</v>
      </c>
      <c r="H121" s="25" t="s">
        <v>55</v>
      </c>
      <c r="I121" s="26" t="s">
        <v>73</v>
      </c>
      <c r="J121" s="26" t="s">
        <v>74</v>
      </c>
      <c r="K121" s="27">
        <v>10.0</v>
      </c>
      <c r="L121" s="27">
        <v>8.0</v>
      </c>
      <c r="M121" s="28"/>
      <c r="N121" s="29" t="s">
        <v>67</v>
      </c>
      <c r="O121" s="14"/>
      <c r="P121" s="14"/>
      <c r="Q121" s="15"/>
      <c r="R121" s="16" t="str">
        <f t="shared" si="3"/>
        <v/>
      </c>
    </row>
    <row r="122" ht="15.75" customHeight="1">
      <c r="A122" s="20">
        <v>46154.0</v>
      </c>
      <c r="B122" s="21" t="s">
        <v>42</v>
      </c>
      <c r="C122" s="22" t="s">
        <v>21</v>
      </c>
      <c r="D122" s="22" t="s">
        <v>41</v>
      </c>
      <c r="E122" s="22" t="s">
        <v>27</v>
      </c>
      <c r="F122" s="23">
        <v>5.0</v>
      </c>
      <c r="G122" s="24" t="s">
        <v>64</v>
      </c>
      <c r="H122" s="25" t="s">
        <v>59</v>
      </c>
      <c r="I122" s="26" t="s">
        <v>60</v>
      </c>
      <c r="J122" s="26" t="s">
        <v>75</v>
      </c>
      <c r="K122" s="27">
        <v>32.0</v>
      </c>
      <c r="L122" s="27">
        <v>27.0</v>
      </c>
      <c r="M122" s="28"/>
      <c r="N122" s="29" t="s">
        <v>45</v>
      </c>
      <c r="O122" s="14"/>
      <c r="P122" s="14"/>
      <c r="Q122" s="15"/>
      <c r="R122" s="16" t="str">
        <f t="shared" si="3"/>
        <v/>
      </c>
    </row>
    <row r="123" ht="15.75" customHeight="1">
      <c r="A123" s="20">
        <v>46154.0</v>
      </c>
      <c r="B123" s="21" t="s">
        <v>42</v>
      </c>
      <c r="C123" s="22" t="s">
        <v>21</v>
      </c>
      <c r="D123" s="22" t="s">
        <v>41</v>
      </c>
      <c r="E123" s="22" t="s">
        <v>39</v>
      </c>
      <c r="F123" s="23">
        <v>5.0</v>
      </c>
      <c r="G123" s="24" t="s">
        <v>64</v>
      </c>
      <c r="H123" s="25" t="s">
        <v>55</v>
      </c>
      <c r="I123" s="26" t="s">
        <v>56</v>
      </c>
      <c r="J123" s="26" t="s">
        <v>76</v>
      </c>
      <c r="K123" s="27">
        <v>11.0</v>
      </c>
      <c r="L123" s="27">
        <v>6.0</v>
      </c>
      <c r="M123" s="28"/>
      <c r="N123" s="29" t="s">
        <v>45</v>
      </c>
      <c r="O123" s="14"/>
      <c r="P123" s="14"/>
      <c r="Q123" s="15"/>
      <c r="R123" s="16" t="str">
        <f t="shared" si="3"/>
        <v/>
      </c>
    </row>
    <row r="124" ht="15.75" customHeight="1">
      <c r="A124" s="20">
        <v>46154.0</v>
      </c>
      <c r="B124" s="21" t="s">
        <v>42</v>
      </c>
      <c r="C124" s="22" t="s">
        <v>21</v>
      </c>
      <c r="D124" s="22" t="s">
        <v>41</v>
      </c>
      <c r="E124" s="22" t="s">
        <v>23</v>
      </c>
      <c r="F124" s="23">
        <v>5.0</v>
      </c>
      <c r="G124" s="24" t="s">
        <v>64</v>
      </c>
      <c r="H124" s="25" t="s">
        <v>59</v>
      </c>
      <c r="I124" s="26" t="s">
        <v>60</v>
      </c>
      <c r="J124" s="26" t="s">
        <v>75</v>
      </c>
      <c r="K124" s="27">
        <v>33.0</v>
      </c>
      <c r="L124" s="27">
        <v>28.0</v>
      </c>
      <c r="M124" s="28"/>
      <c r="N124" s="29" t="s">
        <v>45</v>
      </c>
      <c r="O124" s="14"/>
      <c r="P124" s="14"/>
      <c r="Q124" s="15"/>
      <c r="R124" s="16" t="str">
        <f t="shared" si="3"/>
        <v/>
      </c>
    </row>
    <row r="125" ht="15.75" customHeight="1">
      <c r="A125" s="20">
        <v>46154.0</v>
      </c>
      <c r="B125" s="21" t="s">
        <v>42</v>
      </c>
      <c r="C125" s="22" t="s">
        <v>21</v>
      </c>
      <c r="D125" s="22" t="s">
        <v>41</v>
      </c>
      <c r="E125" s="22" t="s">
        <v>26</v>
      </c>
      <c r="F125" s="23">
        <v>5.0</v>
      </c>
      <c r="G125" s="24" t="s">
        <v>64</v>
      </c>
      <c r="H125" s="25" t="s">
        <v>69</v>
      </c>
      <c r="I125" s="26" t="s">
        <v>77</v>
      </c>
      <c r="J125" s="26" t="s">
        <v>78</v>
      </c>
      <c r="K125" s="27">
        <v>36.0</v>
      </c>
      <c r="L125" s="27">
        <v>31.0</v>
      </c>
      <c r="M125" s="28"/>
      <c r="N125" s="29" t="s">
        <v>45</v>
      </c>
      <c r="O125" s="14"/>
      <c r="P125" s="14"/>
      <c r="Q125" s="15"/>
      <c r="R125" s="16" t="str">
        <f t="shared" si="3"/>
        <v/>
      </c>
    </row>
    <row r="126" ht="15.75" customHeight="1">
      <c r="A126" s="20">
        <v>46154.0</v>
      </c>
      <c r="B126" s="21" t="s">
        <v>42</v>
      </c>
      <c r="C126" s="22" t="s">
        <v>21</v>
      </c>
      <c r="D126" s="22" t="s">
        <v>41</v>
      </c>
      <c r="E126" s="22" t="s">
        <v>33</v>
      </c>
      <c r="F126" s="23">
        <v>4.0</v>
      </c>
      <c r="G126" s="24" t="s">
        <v>54</v>
      </c>
      <c r="H126" s="25" t="s">
        <v>59</v>
      </c>
      <c r="I126" s="26" t="s">
        <v>60</v>
      </c>
      <c r="J126" s="26" t="s">
        <v>79</v>
      </c>
      <c r="K126" s="27">
        <v>4.0</v>
      </c>
      <c r="L126" s="27">
        <v>0.0</v>
      </c>
      <c r="M126" s="28"/>
      <c r="N126" s="29" t="s">
        <v>45</v>
      </c>
      <c r="O126" s="14"/>
      <c r="P126" s="14"/>
      <c r="Q126" s="15"/>
      <c r="R126" s="16" t="str">
        <f t="shared" si="3"/>
        <v/>
      </c>
    </row>
    <row r="127" ht="15.75" customHeight="1">
      <c r="A127" s="20">
        <v>46154.0</v>
      </c>
      <c r="B127" s="21" t="s">
        <v>42</v>
      </c>
      <c r="C127" s="22" t="s">
        <v>21</v>
      </c>
      <c r="D127" s="22" t="s">
        <v>41</v>
      </c>
      <c r="E127" s="22" t="s">
        <v>31</v>
      </c>
      <c r="F127" s="23">
        <v>2.0</v>
      </c>
      <c r="G127" s="24" t="s">
        <v>68</v>
      </c>
      <c r="H127" s="25" t="s">
        <v>55</v>
      </c>
      <c r="I127" s="26" t="s">
        <v>56</v>
      </c>
      <c r="J127" s="26" t="s">
        <v>80</v>
      </c>
      <c r="K127" s="27">
        <v>17.0</v>
      </c>
      <c r="L127" s="27">
        <v>15.0</v>
      </c>
      <c r="M127" s="28"/>
      <c r="N127" s="29" t="s">
        <v>45</v>
      </c>
      <c r="O127" s="14"/>
      <c r="P127" s="14"/>
      <c r="Q127" s="15"/>
      <c r="R127" s="16" t="str">
        <f t="shared" si="3"/>
        <v/>
      </c>
    </row>
    <row r="128" ht="15.75" customHeight="1">
      <c r="A128" s="20">
        <v>46155.0</v>
      </c>
      <c r="B128" s="21" t="s">
        <v>42</v>
      </c>
      <c r="C128" s="22" t="s">
        <v>21</v>
      </c>
      <c r="D128" s="22" t="s">
        <v>47</v>
      </c>
      <c r="E128" s="22" t="s">
        <v>23</v>
      </c>
      <c r="F128" s="23">
        <v>4.0</v>
      </c>
      <c r="G128" s="24" t="s">
        <v>68</v>
      </c>
      <c r="H128" s="25" t="s">
        <v>59</v>
      </c>
      <c r="I128" s="26" t="s">
        <v>81</v>
      </c>
      <c r="J128" s="26" t="s">
        <v>81</v>
      </c>
      <c r="K128" s="27">
        <v>36.0</v>
      </c>
      <c r="L128" s="27">
        <v>32.0</v>
      </c>
      <c r="M128" s="28"/>
      <c r="N128" s="29" t="s">
        <v>82</v>
      </c>
      <c r="O128" s="14"/>
      <c r="P128" s="14"/>
      <c r="Q128" s="15"/>
      <c r="R128" s="16" t="str">
        <f t="shared" si="3"/>
        <v/>
      </c>
    </row>
    <row r="129" ht="15.75" customHeight="1">
      <c r="A129" s="20">
        <v>46155.0</v>
      </c>
      <c r="B129" s="21" t="s">
        <v>42</v>
      </c>
      <c r="C129" s="22" t="s">
        <v>21</v>
      </c>
      <c r="D129" s="22" t="s">
        <v>47</v>
      </c>
      <c r="E129" s="22" t="s">
        <v>26</v>
      </c>
      <c r="F129" s="23">
        <v>4.0</v>
      </c>
      <c r="G129" s="24" t="s">
        <v>68</v>
      </c>
      <c r="H129" s="25" t="s">
        <v>69</v>
      </c>
      <c r="I129" s="26" t="s">
        <v>81</v>
      </c>
      <c r="J129" s="26" t="s">
        <v>81</v>
      </c>
      <c r="K129" s="27">
        <v>12.0</v>
      </c>
      <c r="L129" s="27">
        <v>8.0</v>
      </c>
      <c r="M129" s="28"/>
      <c r="N129" s="29" t="s">
        <v>82</v>
      </c>
      <c r="O129" s="14"/>
      <c r="P129" s="14"/>
      <c r="Q129" s="15"/>
      <c r="R129" s="16" t="str">
        <f t="shared" si="3"/>
        <v/>
      </c>
    </row>
    <row r="130" ht="15.75" customHeight="1">
      <c r="A130" s="20">
        <v>46155.0</v>
      </c>
      <c r="B130" s="21" t="s">
        <v>42</v>
      </c>
      <c r="C130" s="22" t="s">
        <v>21</v>
      </c>
      <c r="D130" s="22" t="s">
        <v>47</v>
      </c>
      <c r="E130" s="22" t="s">
        <v>27</v>
      </c>
      <c r="F130" s="23">
        <v>2.0</v>
      </c>
      <c r="G130" s="24" t="s">
        <v>83</v>
      </c>
      <c r="H130" s="25" t="s">
        <v>59</v>
      </c>
      <c r="I130" s="26" t="s">
        <v>81</v>
      </c>
      <c r="J130" s="26" t="s">
        <v>81</v>
      </c>
      <c r="K130" s="27">
        <v>19.0</v>
      </c>
      <c r="L130" s="27">
        <v>17.0</v>
      </c>
      <c r="M130" s="28"/>
      <c r="N130" s="29" t="s">
        <v>82</v>
      </c>
      <c r="O130" s="14"/>
      <c r="P130" s="14"/>
      <c r="Q130" s="15"/>
      <c r="R130" s="16" t="str">
        <f t="shared" si="3"/>
        <v/>
      </c>
    </row>
    <row r="131" ht="15.75" customHeight="1">
      <c r="A131" s="20">
        <v>46155.0</v>
      </c>
      <c r="B131" s="21" t="s">
        <v>42</v>
      </c>
      <c r="C131" s="22" t="s">
        <v>21</v>
      </c>
      <c r="D131" s="22" t="s">
        <v>47</v>
      </c>
      <c r="E131" s="22" t="s">
        <v>29</v>
      </c>
      <c r="F131" s="23">
        <v>2.0</v>
      </c>
      <c r="G131" s="24" t="s">
        <v>83</v>
      </c>
      <c r="H131" s="25" t="s">
        <v>55</v>
      </c>
      <c r="I131" s="26" t="s">
        <v>81</v>
      </c>
      <c r="J131" s="26" t="s">
        <v>81</v>
      </c>
      <c r="K131" s="27">
        <v>5.0</v>
      </c>
      <c r="L131" s="27">
        <v>3.0</v>
      </c>
      <c r="M131" s="28"/>
      <c r="N131" s="29" t="s">
        <v>82</v>
      </c>
      <c r="O131" s="14"/>
      <c r="P131" s="14"/>
      <c r="Q131" s="15"/>
      <c r="R131" s="16" t="str">
        <f t="shared" si="3"/>
        <v/>
      </c>
    </row>
    <row r="132" ht="15.75" customHeight="1">
      <c r="A132" s="20">
        <v>46155.0</v>
      </c>
      <c r="B132" s="21" t="s">
        <v>42</v>
      </c>
      <c r="C132" s="22" t="s">
        <v>21</v>
      </c>
      <c r="D132" s="22" t="s">
        <v>47</v>
      </c>
      <c r="E132" s="22" t="s">
        <v>33</v>
      </c>
      <c r="F132" s="23">
        <v>2.0</v>
      </c>
      <c r="G132" s="24" t="s">
        <v>83</v>
      </c>
      <c r="H132" s="25" t="s">
        <v>59</v>
      </c>
      <c r="I132" s="26" t="s">
        <v>81</v>
      </c>
      <c r="J132" s="26" t="s">
        <v>81</v>
      </c>
      <c r="K132" s="27">
        <v>5.0</v>
      </c>
      <c r="L132" s="27">
        <v>3.0</v>
      </c>
      <c r="M132" s="28"/>
      <c r="N132" s="29" t="s">
        <v>82</v>
      </c>
      <c r="O132" s="14"/>
      <c r="P132" s="14"/>
      <c r="Q132" s="15"/>
      <c r="R132" s="16" t="str">
        <f t="shared" si="3"/>
        <v/>
      </c>
    </row>
    <row r="133" ht="15.75" customHeight="1">
      <c r="A133" s="20">
        <v>46155.0</v>
      </c>
      <c r="B133" s="21" t="s">
        <v>42</v>
      </c>
      <c r="C133" s="22" t="s">
        <v>21</v>
      </c>
      <c r="D133" s="22" t="s">
        <v>47</v>
      </c>
      <c r="E133" s="22" t="s">
        <v>35</v>
      </c>
      <c r="F133" s="23">
        <v>2.0</v>
      </c>
      <c r="G133" s="24" t="s">
        <v>83</v>
      </c>
      <c r="H133" s="25" t="s">
        <v>59</v>
      </c>
      <c r="I133" s="26" t="s">
        <v>81</v>
      </c>
      <c r="J133" s="26" t="s">
        <v>81</v>
      </c>
      <c r="K133" s="27">
        <v>5.0</v>
      </c>
      <c r="L133" s="27">
        <v>3.0</v>
      </c>
      <c r="M133" s="28"/>
      <c r="N133" s="29" t="s">
        <v>82</v>
      </c>
      <c r="O133" s="14"/>
      <c r="P133" s="14"/>
      <c r="Q133" s="15"/>
      <c r="R133" s="16" t="str">
        <f t="shared" si="3"/>
        <v/>
      </c>
    </row>
    <row r="134" ht="15.75" customHeight="1">
      <c r="A134" s="20">
        <v>46155.0</v>
      </c>
      <c r="B134" s="21" t="s">
        <v>42</v>
      </c>
      <c r="C134" s="22" t="s">
        <v>21</v>
      </c>
      <c r="D134" s="22" t="s">
        <v>47</v>
      </c>
      <c r="E134" s="22" t="s">
        <v>34</v>
      </c>
      <c r="F134" s="23">
        <v>1.0</v>
      </c>
      <c r="G134" s="24" t="s">
        <v>84</v>
      </c>
      <c r="H134" s="25" t="s">
        <v>55</v>
      </c>
      <c r="I134" s="26" t="s">
        <v>81</v>
      </c>
      <c r="J134" s="26" t="s">
        <v>81</v>
      </c>
      <c r="K134" s="27">
        <v>6.0</v>
      </c>
      <c r="L134" s="27">
        <v>5.0</v>
      </c>
      <c r="M134" s="28"/>
      <c r="N134" s="29" t="s">
        <v>82</v>
      </c>
      <c r="O134" s="14"/>
      <c r="P134" s="14"/>
      <c r="Q134" s="15"/>
      <c r="R134" s="16" t="str">
        <f t="shared" si="3"/>
        <v/>
      </c>
    </row>
    <row r="135" ht="15.75" customHeight="1">
      <c r="A135" s="20">
        <v>46155.0</v>
      </c>
      <c r="B135" s="21" t="s">
        <v>42</v>
      </c>
      <c r="C135" s="22" t="s">
        <v>21</v>
      </c>
      <c r="D135" s="22" t="s">
        <v>47</v>
      </c>
      <c r="E135" s="22" t="s">
        <v>32</v>
      </c>
      <c r="F135" s="23">
        <v>2.0</v>
      </c>
      <c r="G135" s="24" t="s">
        <v>83</v>
      </c>
      <c r="H135" s="25" t="s">
        <v>55</v>
      </c>
      <c r="I135" s="26" t="s">
        <v>81</v>
      </c>
      <c r="J135" s="26" t="s">
        <v>81</v>
      </c>
      <c r="K135" s="27">
        <v>6.0</v>
      </c>
      <c r="L135" s="27">
        <v>4.0</v>
      </c>
      <c r="M135" s="28"/>
      <c r="N135" s="29" t="s">
        <v>82</v>
      </c>
      <c r="O135" s="14"/>
      <c r="P135" s="14"/>
      <c r="Q135" s="15"/>
      <c r="R135" s="16" t="str">
        <f t="shared" si="3"/>
        <v/>
      </c>
    </row>
    <row r="136" ht="15.75" customHeight="1">
      <c r="A136" s="20">
        <v>46155.0</v>
      </c>
      <c r="B136" s="21" t="s">
        <v>42</v>
      </c>
      <c r="C136" s="22" t="s">
        <v>21</v>
      </c>
      <c r="D136" s="22" t="s">
        <v>47</v>
      </c>
      <c r="E136" s="22" t="s">
        <v>30</v>
      </c>
      <c r="F136" s="23">
        <v>2.0</v>
      </c>
      <c r="G136" s="24" t="s">
        <v>83</v>
      </c>
      <c r="H136" s="25" t="s">
        <v>55</v>
      </c>
      <c r="I136" s="26" t="s">
        <v>81</v>
      </c>
      <c r="J136" s="26" t="s">
        <v>81</v>
      </c>
      <c r="K136" s="27">
        <v>6.0</v>
      </c>
      <c r="L136" s="27">
        <v>4.0</v>
      </c>
      <c r="M136" s="28"/>
      <c r="N136" s="29" t="s">
        <v>82</v>
      </c>
      <c r="O136" s="14"/>
      <c r="P136" s="14"/>
      <c r="Q136" s="15"/>
      <c r="R136" s="16" t="str">
        <f t="shared" si="3"/>
        <v/>
      </c>
    </row>
    <row r="137" ht="15.75" customHeight="1">
      <c r="A137" s="20">
        <v>46155.0</v>
      </c>
      <c r="B137" s="21" t="s">
        <v>42</v>
      </c>
      <c r="C137" s="22" t="s">
        <v>21</v>
      </c>
      <c r="D137" s="22" t="s">
        <v>22</v>
      </c>
      <c r="E137" s="22" t="s">
        <v>26</v>
      </c>
      <c r="F137" s="23">
        <v>3.0</v>
      </c>
      <c r="G137" s="10">
        <f>IFERROR(F137*VLOOKUP(D137,TELAS!$A$4:$C$32,3,FALSE()),0)</f>
        <v>60</v>
      </c>
      <c r="H137" s="11" t="str">
        <f>IFERROR(VLOOKUP(E137,COLORES!$A$4:$B$102,2,FALSE()),"")</f>
        <v>PPT</v>
      </c>
      <c r="I137" s="12">
        <f>IFERROR(IF(H137="OSCURO",VLOOKUP(D137,PRECIOS!$A$4:$F$32,2,FALSE()),IF(H137="CLARO",VLOOKUP(D137,PRECIOS!$A$4:$F$32,3,FALSE()),IF(H137="MELANGE",VLOOKUP(D137,PRECIOS!$A$4:$F$32,4,FALSE()),IF(H137="PPT",VLOOKUP(D137,PRECIOS!$A$4:$F$32,5,FALSE()),0)))),0)</f>
        <v>18</v>
      </c>
      <c r="J137" s="12">
        <f t="shared" ref="J137:J156" si="4">IFERROR(G137*I137,0)</f>
        <v>1080</v>
      </c>
      <c r="K137" s="13">
        <f>IFERROR(IF(C137="",0,SUMIFS($F$4:$F$160,$C$4:$C$160,C137,$D$4:$D$160,D137,$E$4:$E$160,E137,$B$4:$B$160,"INGRESO")+SUMIFS($F$4:$F$160,$C$4:$C$160,C137,$D$4:$D$160,D137,$E$4:$E$160,E137,$B$4:$B$160,"DE REPROCESO")+SUMIFS($F$4:$F$160,$C$4:$C$160,C137,$D$4:$D$160,D137,$E$4:$E$160,E137,$B$4:$B$160,"AJUSTE+")-SUMIFS($F$4:$F$160,$C$4:$C$160,C137,$D$4:$D$160,D137,$E$4:$E$160,E137,$B$4:$B$160,"A CORTE")-SUMIFS($F$4:$F$160,$C$4:$C$160,C137,$D$4:$D$160,D137,$E$4:$E$160,E137,$B$4:$B$160,"A REPROCESO")-SUMIFS($F$4:$F$160,$C$4:$C$160,C137,$D$4:$D$160,D137,$E$4:$E$160,E137,$B$4:$B$160,"MUESTRA")-SUMIFS($F$4:$F$160,$C$4:$C$160,C137,$D$4:$D$160,D137,$E$4:$E$160,E137,$B$4:$B$160,"AJUSTE-")),0)</f>
        <v>43</v>
      </c>
      <c r="L137" s="13">
        <f t="shared" ref="L137:L152" si="5">IF(C137="",0,K137+IF(OR(B137="INGRESO",B137="DE REPROCESO",B137="AJUSTE+"),F137,IF(OR(B137="A CORTE",B137="A REPROCESO",B137="MUESTRA",B137="AJUSTE-"),-F137,0)))</f>
        <v>40</v>
      </c>
      <c r="M137" s="28"/>
      <c r="N137" s="29" t="s">
        <v>85</v>
      </c>
      <c r="O137" s="14"/>
      <c r="P137" s="14"/>
      <c r="Q137" s="15"/>
      <c r="R137" s="16"/>
    </row>
    <row r="138" ht="15.75" customHeight="1">
      <c r="A138" s="20">
        <v>46155.0</v>
      </c>
      <c r="B138" s="21" t="s">
        <v>42</v>
      </c>
      <c r="C138" s="22" t="s">
        <v>21</v>
      </c>
      <c r="D138" s="22" t="s">
        <v>22</v>
      </c>
      <c r="E138" s="22" t="s">
        <v>27</v>
      </c>
      <c r="F138" s="23">
        <v>4.0</v>
      </c>
      <c r="G138" s="10">
        <f>IFERROR(F138*VLOOKUP(D138,TELAS!$A$4:$C$32,3,FALSE()),0)</f>
        <v>80</v>
      </c>
      <c r="H138" s="11" t="str">
        <f>IFERROR(VLOOKUP(E138,COLORES!$A$4:$B$102,2,FALSE()),"")</f>
        <v>OSCURO</v>
      </c>
      <c r="I138" s="12">
        <f>IFERROR(IF(H138="OSCURO",VLOOKUP(D138,PRECIOS!$A$4:$F$32,2,FALSE()),IF(H138="CLARO",VLOOKUP(D138,PRECIOS!$A$4:$F$32,3,FALSE()),IF(H138="MELANGE",VLOOKUP(D138,PRECIOS!$A$4:$F$32,4,FALSE()),IF(H138="PPT",VLOOKUP(D138,PRECIOS!$A$4:$F$32,5,FALSE()),0)))),0)</f>
        <v>24</v>
      </c>
      <c r="J138" s="12">
        <f t="shared" si="4"/>
        <v>1920</v>
      </c>
      <c r="K138" s="13">
        <f>IFERROR(IF(C138="",0,SUMIFS($F$4:$F$161,$C$4:$C$161,C138,$D$4:$D$161,D138,$E$4:$E$161,E138,$B$4:$B$161,"INGRESO")+SUMIFS($F$4:$F$161,$C$4:$C$161,C138,$D$4:$D$161,D138,$E$4:$E$161,E138,$B$4:$B$161,"DE REPROCESO")+SUMIFS($F$4:$F$161,$C$4:$C$161,C138,$D$4:$D$161,D138,$E$4:$E$161,E138,$B$4:$B$161,"AJUSTE+")-SUMIFS($F$4:$F$161,$C$4:$C$161,C138,$D$4:$D$161,D138,$E$4:$E$161,E138,$B$4:$B$161,"A CORTE")-SUMIFS($F$4:$F$161,$C$4:$C$161,C138,$D$4:$D$161,D138,$E$4:$E$161,E138,$B$4:$B$161,"A REPROCESO")-SUMIFS($F$4:$F$161,$C$4:$C$161,C138,$D$4:$D$161,D138,$E$4:$E$161,E138,$B$4:$B$161,"MUESTRA")-SUMIFS($F$4:$F$161,$C$4:$C$161,C138,$D$4:$D$161,D138,$E$4:$E$161,E138,$B$4:$B$161,"AJUSTE-")),0)</f>
        <v>6</v>
      </c>
      <c r="L138" s="13">
        <f t="shared" si="5"/>
        <v>2</v>
      </c>
      <c r="M138" s="28"/>
      <c r="N138" s="29" t="s">
        <v>85</v>
      </c>
      <c r="O138" s="14"/>
      <c r="P138" s="14"/>
      <c r="Q138" s="15"/>
      <c r="R138" s="16"/>
    </row>
    <row r="139" ht="15.75" customHeight="1">
      <c r="A139" s="20">
        <v>46155.0</v>
      </c>
      <c r="B139" s="21" t="s">
        <v>42</v>
      </c>
      <c r="C139" s="22" t="s">
        <v>21</v>
      </c>
      <c r="D139" s="22" t="s">
        <v>22</v>
      </c>
      <c r="E139" s="22" t="s">
        <v>32</v>
      </c>
      <c r="F139" s="23">
        <v>3.0</v>
      </c>
      <c r="G139" s="10">
        <f>IFERROR(F139*VLOOKUP(D139,TELAS!$A$4:$C$32,3,FALSE()),0)</f>
        <v>60</v>
      </c>
      <c r="H139" s="11" t="str">
        <f>IFERROR(VLOOKUP(E139,COLORES!$A$4:$B$102,2,FALSE()),"")</f>
        <v>CLARO</v>
      </c>
      <c r="I139" s="12">
        <f>IFERROR(IF(H139="OSCURO",VLOOKUP(D139,PRECIOS!$A$4:$F$32,2,FALSE()),IF(H139="CLARO",VLOOKUP(D139,PRECIOS!$A$4:$F$32,3,FALSE()),IF(H139="MELANGE",VLOOKUP(D139,PRECIOS!$A$4:$F$32,4,FALSE()),IF(H139="PPT",VLOOKUP(D139,PRECIOS!$A$4:$F$32,5,FALSE()),0)))),0)</f>
        <v>21</v>
      </c>
      <c r="J139" s="12">
        <f t="shared" si="4"/>
        <v>1260</v>
      </c>
      <c r="K139" s="13">
        <f>IFERROR(IF(C139="",0,SUMIFS($F$4:$F$162,$C$4:$C$162,C139,$D$4:$D$162,D139,$E$4:$E$162,E139,$B$4:$B$162,"INGRESO")+SUMIFS($F$4:$F$162,$C$4:$C$162,C139,$D$4:$D$162,D139,$E$4:$E$162,E139,$B$4:$B$162,"DE REPROCESO")+SUMIFS($F$4:$F$162,$C$4:$C$162,C139,$D$4:$D$162,D139,$E$4:$E$162,E139,$B$4:$B$162,"AJUSTE+")-SUMIFS($F$4:$F$162,$C$4:$C$162,C139,$D$4:$D$162,D139,$E$4:$E$162,E139,$B$4:$B$162,"A CORTE")-SUMIFS($F$4:$F$162,$C$4:$C$162,C139,$D$4:$D$162,D139,$E$4:$E$162,E139,$B$4:$B$162,"A REPROCESO")-SUMIFS($F$4:$F$162,$C$4:$C$162,C139,$D$4:$D$162,D139,$E$4:$E$162,E139,$B$4:$B$162,"MUESTRA")-SUMIFS($F$4:$F$162,$C$4:$C$162,C139,$D$4:$D$162,D139,$E$4:$E$162,E139,$B$4:$B$162,"AJUSTE-")),0)</f>
        <v>8</v>
      </c>
      <c r="L139" s="13">
        <f t="shared" si="5"/>
        <v>5</v>
      </c>
      <c r="M139" s="28"/>
      <c r="N139" s="29" t="s">
        <v>85</v>
      </c>
      <c r="O139" s="14"/>
      <c r="P139" s="14"/>
      <c r="Q139" s="15"/>
      <c r="R139" s="16"/>
    </row>
    <row r="140" ht="15.75" customHeight="1">
      <c r="A140" s="20">
        <v>46155.0</v>
      </c>
      <c r="B140" s="21" t="s">
        <v>42</v>
      </c>
      <c r="C140" s="22" t="s">
        <v>21</v>
      </c>
      <c r="D140" s="22" t="s">
        <v>22</v>
      </c>
      <c r="E140" s="22" t="s">
        <v>33</v>
      </c>
      <c r="F140" s="23">
        <v>3.0</v>
      </c>
      <c r="G140" s="10">
        <f>IFERROR(F140*VLOOKUP(D140,TELAS!$A$4:$C$32,3,FALSE()),0)</f>
        <v>60</v>
      </c>
      <c r="H140" s="11" t="str">
        <f>IFERROR(VLOOKUP(E140,COLORES!$A$4:$B$102,2,FALSE()),"")</f>
        <v>OSCURO</v>
      </c>
      <c r="I140" s="12">
        <f>IFERROR(IF(H140="OSCURO",VLOOKUP(D140,PRECIOS!$A$4:$F$32,2,FALSE()),IF(H140="CLARO",VLOOKUP(D140,PRECIOS!$A$4:$F$32,3,FALSE()),IF(H140="MELANGE",VLOOKUP(D140,PRECIOS!$A$4:$F$32,4,FALSE()),IF(H140="PPT",VLOOKUP(D140,PRECIOS!$A$4:$F$32,5,FALSE()),0)))),0)</f>
        <v>24</v>
      </c>
      <c r="J140" s="12">
        <f t="shared" si="4"/>
        <v>1440</v>
      </c>
      <c r="K140" s="13">
        <f>IFERROR(IF(C140="",0,SUMIFS($F$4:$F$163,$C$4:$C$163,C140,$D$4:$D$163,D140,$E$4:$E$163,E140,$B$4:$B$163,"INGRESO")+SUMIFS($F$4:$F$163,$C$4:$C$163,C140,$D$4:$D$163,D140,$E$4:$E$163,E140,$B$4:$B$163,"DE REPROCESO")+SUMIFS($F$4:$F$163,$C$4:$C$163,C140,$D$4:$D$163,D140,$E$4:$E$163,E140,$B$4:$B$163,"AJUSTE+")-SUMIFS($F$4:$F$163,$C$4:$C$163,C140,$D$4:$D$163,D140,$E$4:$E$163,E140,$B$4:$B$163,"A CORTE")-SUMIFS($F$4:$F$163,$C$4:$C$163,C140,$D$4:$D$163,D140,$E$4:$E$163,E140,$B$4:$B$163,"A REPROCESO")-SUMIFS($F$4:$F$163,$C$4:$C$163,C140,$D$4:$D$163,D140,$E$4:$E$163,E140,$B$4:$B$163,"MUESTRA")-SUMIFS($F$4:$F$163,$C$4:$C$163,C140,$D$4:$D$163,D140,$E$4:$E$163,E140,$B$4:$B$163,"AJUSTE-")),0)</f>
        <v>5</v>
      </c>
      <c r="L140" s="13">
        <f t="shared" si="5"/>
        <v>2</v>
      </c>
      <c r="M140" s="28"/>
      <c r="N140" s="29" t="s">
        <v>85</v>
      </c>
      <c r="O140" s="14"/>
      <c r="P140" s="14"/>
      <c r="Q140" s="15"/>
      <c r="R140" s="16"/>
    </row>
    <row r="141" ht="15.75" customHeight="1">
      <c r="A141" s="20">
        <v>46155.0</v>
      </c>
      <c r="B141" s="21" t="s">
        <v>42</v>
      </c>
      <c r="C141" s="22" t="s">
        <v>21</v>
      </c>
      <c r="D141" s="22" t="s">
        <v>22</v>
      </c>
      <c r="E141" s="22" t="s">
        <v>34</v>
      </c>
      <c r="F141" s="23">
        <v>3.0</v>
      </c>
      <c r="G141" s="10">
        <f>IFERROR(F141*VLOOKUP(D141,TELAS!$A$4:$C$32,3,FALSE()),0)</f>
        <v>60</v>
      </c>
      <c r="H141" s="11" t="str">
        <f>IFERROR(VLOOKUP(E141,COLORES!$A$4:$B$102,2,FALSE()),"")</f>
        <v>CLARO</v>
      </c>
      <c r="I141" s="12">
        <f>IFERROR(IF(H141="OSCURO",VLOOKUP(D141,PRECIOS!$A$4:$F$32,2,FALSE()),IF(H141="CLARO",VLOOKUP(D141,PRECIOS!$A$4:$F$32,3,FALSE()),IF(H141="MELANGE",VLOOKUP(D141,PRECIOS!$A$4:$F$32,4,FALSE()),IF(H141="PPT",VLOOKUP(D141,PRECIOS!$A$4:$F$32,5,FALSE()),0)))),0)</f>
        <v>21</v>
      </c>
      <c r="J141" s="12">
        <f t="shared" si="4"/>
        <v>1260</v>
      </c>
      <c r="K141" s="13">
        <f>IFERROR(IF(C141="",0,SUMIFS($F$4:$F$164,$C$4:$C$164,C141,$D$4:$D$164,D141,$E$4:$E$164,E141,$B$4:$B$164,"INGRESO")+SUMIFS($F$4:$F$164,$C$4:$C$164,C141,$D$4:$D$164,D141,$E$4:$E$164,E141,$B$4:$B$164,"DE REPROCESO")+SUMIFS($F$4:$F$164,$C$4:$C$164,C141,$D$4:$D$164,D141,$E$4:$E$164,E141,$B$4:$B$164,"AJUSTE+")-SUMIFS($F$4:$F$164,$C$4:$C$164,C141,$D$4:$D$164,D141,$E$4:$E$164,E141,$B$4:$B$164,"A CORTE")-SUMIFS($F$4:$F$164,$C$4:$C$164,C141,$D$4:$D$164,D141,$E$4:$E$164,E141,$B$4:$B$164,"A REPROCESO")-SUMIFS($F$4:$F$164,$C$4:$C$164,C141,$D$4:$D$164,D141,$E$4:$E$164,E141,$B$4:$B$164,"MUESTRA")-SUMIFS($F$4:$F$164,$C$4:$C$164,C141,$D$4:$D$164,D141,$E$4:$E$164,E141,$B$4:$B$164,"AJUSTE-")),0)</f>
        <v>7</v>
      </c>
      <c r="L141" s="13">
        <f t="shared" si="5"/>
        <v>4</v>
      </c>
      <c r="M141" s="28"/>
      <c r="N141" s="29" t="s">
        <v>85</v>
      </c>
      <c r="O141" s="14"/>
      <c r="P141" s="14"/>
      <c r="Q141" s="15"/>
      <c r="R141" s="16"/>
    </row>
    <row r="142" ht="15.75" customHeight="1">
      <c r="A142" s="20">
        <v>46155.0</v>
      </c>
      <c r="B142" s="21" t="s">
        <v>42</v>
      </c>
      <c r="C142" s="22" t="s">
        <v>21</v>
      </c>
      <c r="D142" s="22" t="s">
        <v>22</v>
      </c>
      <c r="E142" s="22" t="s">
        <v>35</v>
      </c>
      <c r="F142" s="23">
        <v>3.0</v>
      </c>
      <c r="G142" s="10">
        <f>IFERROR(F142*VLOOKUP(D142,TELAS!$A$4:$C$32,3,FALSE()),0)</f>
        <v>60</v>
      </c>
      <c r="H142" s="11" t="str">
        <f>IFERROR(VLOOKUP(E142,COLORES!$A$4:$B$102,2,FALSE()),"")</f>
        <v>OSCURO</v>
      </c>
      <c r="I142" s="12">
        <f>IFERROR(IF(H142="OSCURO",VLOOKUP(D142,PRECIOS!$A$4:$F$32,2,FALSE()),IF(H142="CLARO",VLOOKUP(D142,PRECIOS!$A$4:$F$32,3,FALSE()),IF(H142="MELANGE",VLOOKUP(D142,PRECIOS!$A$4:$F$32,4,FALSE()),IF(H142="PPT",VLOOKUP(D142,PRECIOS!$A$4:$F$32,5,FALSE()),0)))),0)</f>
        <v>24</v>
      </c>
      <c r="J142" s="12">
        <f t="shared" si="4"/>
        <v>1440</v>
      </c>
      <c r="K142" s="13">
        <f>IFERROR(IF(C142="",0,SUMIFS($F$4:$F$165,$C$4:$C$165,C142,$D$4:$D$165,D142,$E$4:$E$165,E142,$B$4:$B$165,"INGRESO")+SUMIFS($F$4:$F$165,$C$4:$C$165,C142,$D$4:$D$165,D142,$E$4:$E$165,E142,$B$4:$B$165,"DE REPROCESO")+SUMIFS($F$4:$F$165,$C$4:$C$165,C142,$D$4:$D$165,D142,$E$4:$E$165,E142,$B$4:$B$165,"AJUSTE+")-SUMIFS($F$4:$F$165,$C$4:$C$165,C142,$D$4:$D$165,D142,$E$4:$E$165,E142,$B$4:$B$165,"A CORTE")-SUMIFS($F$4:$F$165,$C$4:$C$165,C142,$D$4:$D$165,D142,$E$4:$E$165,E142,$B$4:$B$165,"A REPROCESO")-SUMIFS($F$4:$F$165,$C$4:$C$165,C142,$D$4:$D$165,D142,$E$4:$E$165,E142,$B$4:$B$165,"MUESTRA")-SUMIFS($F$4:$F$165,$C$4:$C$165,C142,$D$4:$D$165,D142,$E$4:$E$165,E142,$B$4:$B$165,"AJUSTE-")),0)</f>
        <v>4</v>
      </c>
      <c r="L142" s="13">
        <f t="shared" si="5"/>
        <v>1</v>
      </c>
      <c r="M142" s="28"/>
      <c r="N142" s="29" t="s">
        <v>85</v>
      </c>
      <c r="O142" s="14"/>
      <c r="P142" s="14"/>
      <c r="Q142" s="15"/>
      <c r="R142" s="16"/>
    </row>
    <row r="143" ht="15.75" customHeight="1">
      <c r="A143" s="20">
        <v>46155.0</v>
      </c>
      <c r="B143" s="21" t="s">
        <v>42</v>
      </c>
      <c r="C143" s="22" t="s">
        <v>21</v>
      </c>
      <c r="D143" s="22" t="s">
        <v>22</v>
      </c>
      <c r="E143" s="22" t="s">
        <v>23</v>
      </c>
      <c r="F143" s="23">
        <v>5.0</v>
      </c>
      <c r="G143" s="10">
        <f>IFERROR(F143*VLOOKUP(D143,TELAS!$A$4:$C$32,3,FALSE()),0)</f>
        <v>100</v>
      </c>
      <c r="H143" s="11" t="str">
        <f>IFERROR(VLOOKUP(E143,COLORES!$A$4:$B$102,2,FALSE()),"")</f>
        <v>OSCURO</v>
      </c>
      <c r="I143" s="12">
        <f>IFERROR(IF(H143="OSCURO",VLOOKUP(D143,PRECIOS!$A$4:$F$32,2,FALSE()),IF(H143="CLARO",VLOOKUP(D143,PRECIOS!$A$4:$F$32,3,FALSE()),IF(H143="MELANGE",VLOOKUP(D143,PRECIOS!$A$4:$F$32,4,FALSE()),IF(H143="PPT",VLOOKUP(D143,PRECIOS!$A$4:$F$32,5,FALSE()),0)))),0)</f>
        <v>24</v>
      </c>
      <c r="J143" s="12">
        <f t="shared" si="4"/>
        <v>2400</v>
      </c>
      <c r="K143" s="13">
        <f>IFERROR(IF(C143="",0,SUMIFS($F$4:$F$166,$C$4:$C$166,C143,$D$4:$D$166,D143,$E$4:$E$166,E143,$B$4:$B$166,"INGRESO")+SUMIFS($F$4:$F$166,$C$4:$C$166,C143,$D$4:$D$166,D143,$E$4:$E$166,E143,$B$4:$B$166,"DE REPROCESO")+SUMIFS($F$4:$F$166,$C$4:$C$166,C143,$D$4:$D$166,D143,$E$4:$E$166,E143,$B$4:$B$166,"AJUSTE+")-SUMIFS($F$4:$F$166,$C$4:$C$166,C143,$D$4:$D$166,D143,$E$4:$E$166,E143,$B$4:$B$166,"A CORTE")-SUMIFS($F$4:$F$166,$C$4:$C$166,C143,$D$4:$D$166,D143,$E$4:$E$166,E143,$B$4:$B$166,"A REPROCESO")-SUMIFS($F$4:$F$166,$C$4:$C$166,C143,$D$4:$D$166,D143,$E$4:$E$166,E143,$B$4:$B$166,"MUESTRA")-SUMIFS($F$4:$F$166,$C$4:$C$166,C143,$D$4:$D$166,D143,$E$4:$E$166,E143,$B$4:$B$166,"AJUSTE-")),0)</f>
        <v>14</v>
      </c>
      <c r="L143" s="13">
        <f t="shared" si="5"/>
        <v>9</v>
      </c>
      <c r="M143" s="28"/>
      <c r="N143" s="29" t="s">
        <v>85</v>
      </c>
      <c r="O143" s="14"/>
      <c r="P143" s="14"/>
      <c r="Q143" s="15"/>
      <c r="R143" s="16"/>
    </row>
    <row r="144" ht="15.75" customHeight="1">
      <c r="A144" s="20">
        <v>46155.0</v>
      </c>
      <c r="B144" s="21" t="s">
        <v>42</v>
      </c>
      <c r="C144" s="22" t="s">
        <v>21</v>
      </c>
      <c r="D144" s="22" t="s">
        <v>22</v>
      </c>
      <c r="E144" s="22" t="s">
        <v>28</v>
      </c>
      <c r="F144" s="23">
        <v>2.0</v>
      </c>
      <c r="G144" s="10">
        <f>IFERROR(F144*VLOOKUP(D144,TELAS!$A$4:$C$32,3,FALSE()),0)</f>
        <v>40</v>
      </c>
      <c r="H144" s="11" t="str">
        <f>IFERROR(VLOOKUP(E144,COLORES!$A$4:$B$102,2,FALSE()),"")</f>
        <v>OSCURO</v>
      </c>
      <c r="I144" s="12">
        <f>IFERROR(IF(H144="OSCURO",VLOOKUP(D144,PRECIOS!$A$4:$F$32,2,FALSE()),IF(H144="CLARO",VLOOKUP(D144,PRECIOS!$A$4:$F$32,3,FALSE()),IF(H144="MELANGE",VLOOKUP(D144,PRECIOS!$A$4:$F$32,4,FALSE()),IF(H144="PPT",VLOOKUP(D144,PRECIOS!$A$4:$F$32,5,FALSE()),0)))),0)</f>
        <v>24</v>
      </c>
      <c r="J144" s="12">
        <f t="shared" si="4"/>
        <v>960</v>
      </c>
      <c r="K144" s="13">
        <f>IFERROR(IF(C144="",0,SUMIFS($F$4:$F$167,$C$4:$C$167,C144,$D$4:$D$167,D144,$E$4:$E$167,E144,$B$4:$B$167,"INGRESO")+SUMIFS($F$4:$F$167,$C$4:$C$167,C144,$D$4:$D$167,D144,$E$4:$E$167,E144,$B$4:$B$167,"DE REPROCESO")+SUMIFS($F$4:$F$167,$C$4:$C$167,C144,$D$4:$D$167,D144,$E$4:$E$167,E144,$B$4:$B$167,"AJUSTE+")-SUMIFS($F$4:$F$167,$C$4:$C$167,C144,$D$4:$D$167,D144,$E$4:$E$167,E144,$B$4:$B$167,"A CORTE")-SUMIFS($F$4:$F$167,$C$4:$C$167,C144,$D$4:$D$167,D144,$E$4:$E$167,E144,$B$4:$B$167,"A REPROCESO")-SUMIFS($F$4:$F$167,$C$4:$C$167,C144,$D$4:$D$167,D144,$E$4:$E$167,E144,$B$4:$B$167,"MUESTRA")-SUMIFS($F$4:$F$167,$C$4:$C$167,C144,$D$4:$D$167,D144,$E$4:$E$167,E144,$B$4:$B$167,"AJUSTE-")),0)</f>
        <v>9</v>
      </c>
      <c r="L144" s="13">
        <f t="shared" si="5"/>
        <v>7</v>
      </c>
      <c r="M144" s="28"/>
      <c r="N144" s="29" t="s">
        <v>85</v>
      </c>
      <c r="O144" s="14"/>
      <c r="P144" s="14"/>
      <c r="Q144" s="15"/>
      <c r="R144" s="16"/>
    </row>
    <row r="145" ht="15.75" customHeight="1">
      <c r="A145" s="20">
        <v>46155.0</v>
      </c>
      <c r="B145" s="21" t="s">
        <v>42</v>
      </c>
      <c r="C145" s="22" t="s">
        <v>21</v>
      </c>
      <c r="D145" s="22" t="s">
        <v>22</v>
      </c>
      <c r="E145" s="22" t="s">
        <v>31</v>
      </c>
      <c r="F145" s="23">
        <v>3.0</v>
      </c>
      <c r="G145" s="10">
        <f>IFERROR(F145*VLOOKUP(D145,TELAS!$A$4:$C$32,3,FALSE()),0)</f>
        <v>60</v>
      </c>
      <c r="H145" s="11" t="str">
        <f>IFERROR(VLOOKUP(E145,COLORES!$A$4:$B$102,2,FALSE()),"")</f>
        <v>CLARO</v>
      </c>
      <c r="I145" s="12">
        <f>IFERROR(IF(H145="OSCURO",VLOOKUP(D145,PRECIOS!$A$4:$F$32,2,FALSE()),IF(H145="CLARO",VLOOKUP(D145,PRECIOS!$A$4:$F$32,3,FALSE()),IF(H145="MELANGE",VLOOKUP(D145,PRECIOS!$A$4:$F$32,4,FALSE()),IF(H145="PPT",VLOOKUP(D145,PRECIOS!$A$4:$F$32,5,FALSE()),0)))),0)</f>
        <v>21</v>
      </c>
      <c r="J145" s="12">
        <f t="shared" si="4"/>
        <v>1260</v>
      </c>
      <c r="K145" s="13">
        <f>IFERROR(IF(C145="",0,SUMIFS($F$4:$F$168,$C$4:$C$168,C145,$D$4:$D$168,D145,$E$4:$E$168,E145,$B$4:$B$168,"INGRESO")+SUMIFS($F$4:$F$168,$C$4:$C$168,C145,$D$4:$D$168,D145,$E$4:$E$168,E145,$B$4:$B$168,"DE REPROCESO")+SUMIFS($F$4:$F$168,$C$4:$C$168,C145,$D$4:$D$168,D145,$E$4:$E$168,E145,$B$4:$B$168,"AJUSTE+")-SUMIFS($F$4:$F$168,$C$4:$C$168,C145,$D$4:$D$168,D145,$E$4:$E$168,E145,$B$4:$B$168,"A CORTE")-SUMIFS($F$4:$F$168,$C$4:$C$168,C145,$D$4:$D$168,D145,$E$4:$E$168,E145,$B$4:$B$168,"A REPROCESO")-SUMIFS($F$4:$F$168,$C$4:$C$168,C145,$D$4:$D$168,D145,$E$4:$E$168,E145,$B$4:$B$168,"MUESTRA")-SUMIFS($F$4:$F$168,$C$4:$C$168,C145,$D$4:$D$168,D145,$E$4:$E$168,E145,$B$4:$B$168,"AJUSTE-")),0)</f>
        <v>16</v>
      </c>
      <c r="L145" s="13">
        <f t="shared" si="5"/>
        <v>13</v>
      </c>
      <c r="M145" s="28"/>
      <c r="N145" s="29" t="s">
        <v>85</v>
      </c>
      <c r="O145" s="14"/>
      <c r="P145" s="14"/>
      <c r="Q145" s="15"/>
      <c r="R145" s="16"/>
    </row>
    <row r="146" ht="15.75" customHeight="1">
      <c r="A146" s="20">
        <v>46155.0</v>
      </c>
      <c r="B146" s="21" t="s">
        <v>42</v>
      </c>
      <c r="C146" s="22" t="s">
        <v>21</v>
      </c>
      <c r="D146" s="22" t="s">
        <v>22</v>
      </c>
      <c r="E146" s="22" t="s">
        <v>29</v>
      </c>
      <c r="F146" s="23">
        <v>2.0</v>
      </c>
      <c r="G146" s="10">
        <f>IFERROR(F146*VLOOKUP(D146,TELAS!$A$4:$C$32,3,FALSE()),0)</f>
        <v>40</v>
      </c>
      <c r="H146" s="11" t="str">
        <f>IFERROR(VLOOKUP(E146,COLORES!$A$4:$B$102,2,FALSE()),"")</f>
        <v>CLARO</v>
      </c>
      <c r="I146" s="12">
        <f>IFERROR(IF(H146="OSCURO",VLOOKUP(D146,PRECIOS!$A$4:$F$32,2,FALSE()),IF(H146="CLARO",VLOOKUP(D146,PRECIOS!$A$4:$F$32,3,FALSE()),IF(H146="MELANGE",VLOOKUP(D146,PRECIOS!$A$4:$F$32,4,FALSE()),IF(H146="PPT",VLOOKUP(D146,PRECIOS!$A$4:$F$32,5,FALSE()),0)))),0)</f>
        <v>21</v>
      </c>
      <c r="J146" s="12">
        <f t="shared" si="4"/>
        <v>840</v>
      </c>
      <c r="K146" s="13">
        <f>IFERROR(IF(C146="",0,SUMIFS($F$4:$F$169,$C$4:$C$169,C146,$D$4:$D$169,D146,$E$4:$E$169,E146,$B$4:$B$169,"INGRESO")+SUMIFS($F$4:$F$169,$C$4:$C$169,C146,$D$4:$D$169,D146,$E$4:$E$169,E146,$B$4:$B$169,"DE REPROCESO")+SUMIFS($F$4:$F$169,$C$4:$C$169,C146,$D$4:$D$169,D146,$E$4:$E$169,E146,$B$4:$B$169,"AJUSTE+")-SUMIFS($F$4:$F$169,$C$4:$C$169,C146,$D$4:$D$169,D146,$E$4:$E$169,E146,$B$4:$B$169,"A CORTE")-SUMIFS($F$4:$F$169,$C$4:$C$169,C146,$D$4:$D$169,D146,$E$4:$E$169,E146,$B$4:$B$169,"A REPROCESO")-SUMIFS($F$4:$F$169,$C$4:$C$169,C146,$D$4:$D$169,D146,$E$4:$E$169,E146,$B$4:$B$169,"MUESTRA")-SUMIFS($F$4:$F$169,$C$4:$C$169,C146,$D$4:$D$169,D146,$E$4:$E$169,E146,$B$4:$B$169,"AJUSTE-")),0)</f>
        <v>8</v>
      </c>
      <c r="L146" s="13">
        <f t="shared" si="5"/>
        <v>6</v>
      </c>
      <c r="M146" s="28"/>
      <c r="N146" s="29" t="s">
        <v>85</v>
      </c>
      <c r="O146" s="14"/>
      <c r="P146" s="14"/>
      <c r="Q146" s="15"/>
      <c r="R146" s="16"/>
    </row>
    <row r="147" ht="15.75" customHeight="1">
      <c r="A147" s="20">
        <v>46155.0</v>
      </c>
      <c r="B147" s="21" t="s">
        <v>42</v>
      </c>
      <c r="C147" s="22" t="s">
        <v>21</v>
      </c>
      <c r="D147" s="22" t="s">
        <v>22</v>
      </c>
      <c r="E147" s="22" t="s">
        <v>30</v>
      </c>
      <c r="F147" s="23">
        <v>2.0</v>
      </c>
      <c r="G147" s="10">
        <f>IFERROR(F147*VLOOKUP(D147,TELAS!$A$4:$C$32,3,FALSE()),0)</f>
        <v>40</v>
      </c>
      <c r="H147" s="11" t="str">
        <f>IFERROR(VLOOKUP(E147,COLORES!$A$4:$B$102,2,FALSE()),"")</f>
        <v>CLARO</v>
      </c>
      <c r="I147" s="12">
        <f>IFERROR(IF(H147="OSCURO",VLOOKUP(D147,PRECIOS!$A$4:$F$32,2,FALSE()),IF(H147="CLARO",VLOOKUP(D147,PRECIOS!$A$4:$F$32,3,FALSE()),IF(H147="MELANGE",VLOOKUP(D147,PRECIOS!$A$4:$F$32,4,FALSE()),IF(H147="PPT",VLOOKUP(D147,PRECIOS!$A$4:$F$32,5,FALSE()),0)))),0)</f>
        <v>21</v>
      </c>
      <c r="J147" s="12">
        <f t="shared" si="4"/>
        <v>840</v>
      </c>
      <c r="K147" s="13">
        <f>IFERROR(IF(C147="",0,SUMIFS($F$4:$F$170,$C$4:$C$170,C147,$D$4:$D$170,D147,$E$4:$E$170,E147,$B$4:$B$170,"INGRESO")+SUMIFS($F$4:$F$170,$C$4:$C$170,C147,$D$4:$D$170,D147,$E$4:$E$170,E147,$B$4:$B$170,"DE REPROCESO")+SUMIFS($F$4:$F$170,$C$4:$C$170,C147,$D$4:$D$170,D147,$E$4:$E$170,E147,$B$4:$B$170,"AJUSTE+")-SUMIFS($F$4:$F$170,$C$4:$C$170,C147,$D$4:$D$170,D147,$E$4:$E$170,E147,$B$4:$B$170,"A CORTE")-SUMIFS($F$4:$F$170,$C$4:$C$170,C147,$D$4:$D$170,D147,$E$4:$E$170,E147,$B$4:$B$170,"A REPROCESO")-SUMIFS($F$4:$F$170,$C$4:$C$170,C147,$D$4:$D$170,D147,$E$4:$E$170,E147,$B$4:$B$170,"MUESTRA")-SUMIFS($F$4:$F$170,$C$4:$C$170,C147,$D$4:$D$170,D147,$E$4:$E$170,E147,$B$4:$B$170,"AJUSTE-")),0)</f>
        <v>16</v>
      </c>
      <c r="L147" s="13">
        <f t="shared" si="5"/>
        <v>14</v>
      </c>
      <c r="M147" s="28"/>
      <c r="N147" s="29" t="s">
        <v>85</v>
      </c>
      <c r="O147" s="14"/>
      <c r="P147" s="14"/>
      <c r="Q147" s="15"/>
      <c r="R147" s="16"/>
    </row>
    <row r="148" ht="15.75" customHeight="1">
      <c r="A148" s="20">
        <v>46156.0</v>
      </c>
      <c r="B148" s="21" t="s">
        <v>42</v>
      </c>
      <c r="C148" s="22" t="s">
        <v>21</v>
      </c>
      <c r="D148" s="22" t="s">
        <v>38</v>
      </c>
      <c r="E148" s="22" t="s">
        <v>26</v>
      </c>
      <c r="F148" s="23">
        <v>5.0</v>
      </c>
      <c r="G148" s="10">
        <f>IFERROR(F148*VLOOKUP(D148,TELAS!$A$4:$C$32,3,FALSE()),0)</f>
        <v>100</v>
      </c>
      <c r="H148" s="11" t="str">
        <f>IFERROR(VLOOKUP(E148,COLORES!$A$4:$B$102,2,FALSE()),"")</f>
        <v>PPT</v>
      </c>
      <c r="I148" s="12">
        <f>IFERROR(IF(H148="OSCURO",VLOOKUP(D148,PRECIOS!$A$4:$F$32,2,FALSE()),IF(H148="CLARO",VLOOKUP(D148,PRECIOS!$A$4:$F$32,3,FALSE()),IF(H148="MELANGE",VLOOKUP(D148,PRECIOS!$A$4:$F$32,4,FALSE()),IF(H148="PPT",VLOOKUP(D148,PRECIOS!$A$4:$F$32,5,FALSE()),0)))),0)</f>
        <v>18</v>
      </c>
      <c r="J148" s="12">
        <f t="shared" si="4"/>
        <v>1800</v>
      </c>
      <c r="K148" s="13">
        <f>IFERROR(IF(C148="",0,SUMIFS($F$4:$F$155,$C$4:$C$155,C148,$D$4:$D$155,D148,$E$4:$E$155,E148,$B$4:$B$155,"INGRESO")+SUMIFS($F$4:$F$155,$C$4:$C$155,C148,$D$4:$D$155,D148,$E$4:$E$155,E148,$B$4:$B$155,"DE REPROCESO")+SUMIFS($F$4:$F$155,$C$4:$C$155,C148,$D$4:$D$155,D148,$E$4:$E$155,E148,$B$4:$B$155,"AJUSTE+")-SUMIFS($F$4:$F$155,$C$4:$C$155,C148,$D$4:$D$155,D148,$E$4:$E$155,E148,$B$4:$B$155,"A CORTE")-SUMIFS($F$4:$F$155,$C$4:$C$155,C148,$D$4:$D$155,D148,$E$4:$E$155,E148,$B$4:$B$155,"A REPROCESO")-SUMIFS($F$4:$F$155,$C$4:$C$155,C148,$D$4:$D$155,D148,$E$4:$E$155,E148,$B$4:$B$155,"MUESTRA")-SUMIFS($F$4:$F$155,$C$4:$C$155,C148,$D$4:$D$155,D148,$E$4:$E$155,E148,$B$4:$B$155,"AJUSTE-")),0)</f>
        <v>23</v>
      </c>
      <c r="L148" s="13">
        <f t="shared" si="5"/>
        <v>18</v>
      </c>
      <c r="M148" s="28"/>
      <c r="N148" s="29" t="s">
        <v>86</v>
      </c>
      <c r="O148" s="14"/>
      <c r="P148" s="14"/>
      <c r="Q148" s="15"/>
      <c r="R148" s="16" t="str">
        <f t="shared" ref="R148:R153" si="6">IF(OR(Q148="",Q148=0,#REF!=0),"",(Q148-#REF!)/#REF!)</f>
        <v>#REF!</v>
      </c>
    </row>
    <row r="149" ht="15.75" customHeight="1">
      <c r="A149" s="20">
        <v>46156.0</v>
      </c>
      <c r="B149" s="21" t="s">
        <v>42</v>
      </c>
      <c r="C149" s="22" t="s">
        <v>21</v>
      </c>
      <c r="D149" s="22" t="s">
        <v>38</v>
      </c>
      <c r="E149" s="22" t="s">
        <v>40</v>
      </c>
      <c r="F149" s="23">
        <v>3.0</v>
      </c>
      <c r="G149" s="10">
        <f>IFERROR(F149*VLOOKUP(D149,TELAS!$A$4:$C$32,3,FALSE()),0)</f>
        <v>60</v>
      </c>
      <c r="H149" s="11" t="str">
        <f>IFERROR(VLOOKUP(E149,COLORES!$A$4:$B$102,2,FALSE()),"")</f>
        <v>MELANGE</v>
      </c>
      <c r="I149" s="12">
        <f>IFERROR(IF(H149="OSCURO",VLOOKUP(D149,PRECIOS!$A$4:$F$32,2,FALSE()),IF(H149="CLARO",VLOOKUP(D149,PRECIOS!$A$4:$F$32,3,FALSE()),IF(H149="MELANGE",VLOOKUP(D149,PRECIOS!$A$4:$F$32,4,FALSE()),IF(H149="PPT",VLOOKUP(D149,PRECIOS!$A$4:$F$32,5,FALSE()),0)))),0)</f>
        <v>18</v>
      </c>
      <c r="J149" s="12">
        <f t="shared" si="4"/>
        <v>1080</v>
      </c>
      <c r="K149" s="13">
        <f>IFERROR(IF(C149="",0,SUMIFS($F$4:$F$156,$C$4:$C$156,C149,$D$4:$D$156,D149,$E$4:$E$156,E149,$B$4:$B$156,"INGRESO")+SUMIFS($F$4:$F$156,$C$4:$C$156,C149,$D$4:$D$156,D149,$E$4:$E$156,E149,$B$4:$B$156,"DE REPROCESO")+SUMIFS($F$4:$F$156,$C$4:$C$156,C149,$D$4:$D$156,D149,$E$4:$E$156,E149,$B$4:$B$156,"AJUSTE+")-SUMIFS($F$4:$F$156,$C$4:$C$156,C149,$D$4:$D$156,D149,$E$4:$E$156,E149,$B$4:$B$156,"A CORTE")-SUMIFS($F$4:$F$156,$C$4:$C$156,C149,$D$4:$D$156,D149,$E$4:$E$156,E149,$B$4:$B$156,"A REPROCESO")-SUMIFS($F$4:$F$156,$C$4:$C$156,C149,$D$4:$D$156,D149,$E$4:$E$156,E149,$B$4:$B$156,"MUESTRA")-SUMIFS($F$4:$F$156,$C$4:$C$156,C149,$D$4:$D$156,D149,$E$4:$E$156,E149,$B$4:$B$156,"AJUSTE-")),0)</f>
        <v>3</v>
      </c>
      <c r="L149" s="13">
        <f t="shared" si="5"/>
        <v>0</v>
      </c>
      <c r="M149" s="28"/>
      <c r="N149" s="29" t="s">
        <v>86</v>
      </c>
      <c r="O149" s="14"/>
      <c r="P149" s="14"/>
      <c r="Q149" s="15"/>
      <c r="R149" s="16" t="str">
        <f t="shared" si="6"/>
        <v>#REF!</v>
      </c>
    </row>
    <row r="150" ht="15.75" customHeight="1">
      <c r="A150" s="20">
        <v>46156.0</v>
      </c>
      <c r="B150" s="21" t="s">
        <v>42</v>
      </c>
      <c r="C150" s="22" t="s">
        <v>21</v>
      </c>
      <c r="D150" s="22" t="s">
        <v>38</v>
      </c>
      <c r="E150" s="22" t="s">
        <v>34</v>
      </c>
      <c r="F150" s="23">
        <v>3.0</v>
      </c>
      <c r="G150" s="10">
        <f>IFERROR(F150*VLOOKUP(D150,TELAS!$A$4:$C$32,3,FALSE()),0)</f>
        <v>60</v>
      </c>
      <c r="H150" s="11" t="str">
        <f>IFERROR(VLOOKUP(E150,COLORES!$A$4:$B$102,2,FALSE()),"")</f>
        <v>CLARO</v>
      </c>
      <c r="I150" s="12">
        <f>IFERROR(IF(H150="OSCURO",VLOOKUP(D150,PRECIOS!$A$4:$F$32,2,FALSE()),IF(H150="CLARO",VLOOKUP(D150,PRECIOS!$A$4:$F$32,3,FALSE()),IF(H150="MELANGE",VLOOKUP(D150,PRECIOS!$A$4:$F$32,4,FALSE()),IF(H150="PPT",VLOOKUP(D150,PRECIOS!$A$4:$F$32,5,FALSE()),0)))),0)</f>
        <v>21</v>
      </c>
      <c r="J150" s="12">
        <f t="shared" si="4"/>
        <v>1260</v>
      </c>
      <c r="K150" s="13">
        <f>IFERROR(IF(C150="",0,SUMIFS($F$4:$F$157,$C$4:$C$157,C150,$D$4:$D$157,D150,$E$4:$E$157,E150,$B$4:$B$157,"INGRESO")+SUMIFS($F$4:$F$157,$C$4:$C$157,C150,$D$4:$D$157,D150,$E$4:$E$157,E150,$B$4:$B$157,"DE REPROCESO")+SUMIFS($F$4:$F$157,$C$4:$C$157,C150,$D$4:$D$157,D150,$E$4:$E$157,E150,$B$4:$B$157,"AJUSTE+")-SUMIFS($F$4:$F$157,$C$4:$C$157,C150,$D$4:$D$157,D150,$E$4:$E$157,E150,$B$4:$B$157,"A CORTE")-SUMIFS($F$4:$F$157,$C$4:$C$157,C150,$D$4:$D$157,D150,$E$4:$E$157,E150,$B$4:$B$157,"A REPROCESO")-SUMIFS($F$4:$F$157,$C$4:$C$157,C150,$D$4:$D$157,D150,$E$4:$E$157,E150,$B$4:$B$157,"MUESTRA")-SUMIFS($F$4:$F$157,$C$4:$C$157,C150,$D$4:$D$157,D150,$E$4:$E$157,E150,$B$4:$B$157,"AJUSTE-")),0)</f>
        <v>5</v>
      </c>
      <c r="L150" s="13">
        <f t="shared" si="5"/>
        <v>2</v>
      </c>
      <c r="M150" s="28"/>
      <c r="N150" s="29" t="s">
        <v>86</v>
      </c>
      <c r="O150" s="14"/>
      <c r="P150" s="14"/>
      <c r="Q150" s="15"/>
      <c r="R150" s="16" t="str">
        <f t="shared" si="6"/>
        <v>#REF!</v>
      </c>
    </row>
    <row r="151" ht="15.75" customHeight="1">
      <c r="A151" s="20">
        <v>46156.0</v>
      </c>
      <c r="B151" s="21" t="s">
        <v>42</v>
      </c>
      <c r="C151" s="22" t="s">
        <v>21</v>
      </c>
      <c r="D151" s="22" t="s">
        <v>38</v>
      </c>
      <c r="E151" s="22" t="s">
        <v>23</v>
      </c>
      <c r="F151" s="23">
        <v>2.0</v>
      </c>
      <c r="G151" s="10">
        <f>IFERROR(F151*VLOOKUP(D151,TELAS!$A$4:$C$32,3,FALSE()),0)</f>
        <v>40</v>
      </c>
      <c r="H151" s="11" t="str">
        <f>IFERROR(VLOOKUP(E151,COLORES!$A$4:$B$102,2,FALSE()),"")</f>
        <v>OSCURO</v>
      </c>
      <c r="I151" s="12">
        <f>IFERROR(IF(H151="OSCURO",VLOOKUP(D151,PRECIOS!$A$4:$F$32,2,FALSE()),IF(H151="CLARO",VLOOKUP(D151,PRECIOS!$A$4:$F$32,3,FALSE()),IF(H151="MELANGE",VLOOKUP(D151,PRECIOS!$A$4:$F$32,4,FALSE()),IF(H151="PPT",VLOOKUP(D151,PRECIOS!$A$4:$F$32,5,FALSE()),0)))),0)</f>
        <v>24</v>
      </c>
      <c r="J151" s="12">
        <f t="shared" si="4"/>
        <v>960</v>
      </c>
      <c r="K151" s="13">
        <f>IFERROR(IF(C151="",0,SUMIFS($F$4:$F$159,$C$4:$C$159,C151,$D$4:$D$159,D151,$E$4:$E$159,E151,$B$4:$B$159,"INGRESO")+SUMIFS($F$4:$F$159,$C$4:$C$159,C151,$D$4:$D$159,D151,$E$4:$E$159,E151,$B$4:$B$159,"DE REPROCESO")+SUMIFS($F$4:$F$159,$C$4:$C$159,C151,$D$4:$D$159,D151,$E$4:$E$159,E151,$B$4:$B$159,"AJUSTE+")-SUMIFS($F$4:$F$159,$C$4:$C$159,C151,$D$4:$D$159,D151,$E$4:$E$159,E151,$B$4:$B$159,"A CORTE")-SUMIFS($F$4:$F$159,$C$4:$C$159,C151,$D$4:$D$159,D151,$E$4:$E$159,E151,$B$4:$B$159,"A REPROCESO")-SUMIFS($F$4:$F$159,$C$4:$C$159,C151,$D$4:$D$159,D151,$E$4:$E$159,E151,$B$4:$B$159,"MUESTRA")-SUMIFS($F$4:$F$159,$C$4:$C$159,C151,$D$4:$D$159,D151,$E$4:$E$159,E151,$B$4:$B$159,"AJUSTE-")),0)</f>
        <v>28</v>
      </c>
      <c r="L151" s="13">
        <f t="shared" si="5"/>
        <v>26</v>
      </c>
      <c r="M151" s="28"/>
      <c r="N151" s="29" t="s">
        <v>86</v>
      </c>
      <c r="O151" s="14"/>
      <c r="P151" s="14"/>
      <c r="Q151" s="15"/>
      <c r="R151" s="16" t="str">
        <f t="shared" si="6"/>
        <v>#REF!</v>
      </c>
    </row>
    <row r="152" ht="15.75" customHeight="1">
      <c r="A152" s="20">
        <v>46156.0</v>
      </c>
      <c r="B152" s="21" t="s">
        <v>42</v>
      </c>
      <c r="C152" s="22" t="s">
        <v>21</v>
      </c>
      <c r="D152" s="22" t="s">
        <v>38</v>
      </c>
      <c r="E152" s="22" t="s">
        <v>30</v>
      </c>
      <c r="F152" s="23">
        <v>2.0</v>
      </c>
      <c r="G152" s="10">
        <f>IFERROR(F152*VLOOKUP(D152,TELAS!$A$4:$C$32,3,FALSE()),0)</f>
        <v>40</v>
      </c>
      <c r="H152" s="11" t="str">
        <f>IFERROR(VLOOKUP(E152,COLORES!$A$4:$B$102,2,FALSE()),"")</f>
        <v>CLARO</v>
      </c>
      <c r="I152" s="12">
        <f>IFERROR(IF(H152="OSCURO",VLOOKUP(D152,PRECIOS!$A$4:$F$32,2,FALSE()),IF(H152="CLARO",VLOOKUP(D152,PRECIOS!$A$4:$F$32,3,FALSE()),IF(H152="MELANGE",VLOOKUP(D152,PRECIOS!$A$4:$F$32,4,FALSE()),IF(H152="PPT",VLOOKUP(D152,PRECIOS!$A$4:$F$32,5,FALSE()),0)))),0)</f>
        <v>21</v>
      </c>
      <c r="J152" s="12">
        <f t="shared" si="4"/>
        <v>840</v>
      </c>
      <c r="K152" s="13">
        <f>IFERROR(IF(C152="",0,SUMIFS($F$4:$F$160,$C$4:$C$160,C152,$D$4:$D$160,D152,$E$4:$E$160,E152,$B$4:$B$160,"INGRESO")+SUMIFS($F$4:$F$160,$C$4:$C$160,C152,$D$4:$D$160,D152,$E$4:$E$160,E152,$B$4:$B$160,"DE REPROCESO")+SUMIFS($F$4:$F$160,$C$4:$C$160,C152,$D$4:$D$160,D152,$E$4:$E$160,E152,$B$4:$B$160,"AJUSTE+")-SUMIFS($F$4:$F$160,$C$4:$C$160,C152,$D$4:$D$160,D152,$E$4:$E$160,E152,$B$4:$B$160,"A CORTE")-SUMIFS($F$4:$F$160,$C$4:$C$160,C152,$D$4:$D$160,D152,$E$4:$E$160,E152,$B$4:$B$160,"A REPROCESO")-SUMIFS($F$4:$F$160,$C$4:$C$160,C152,$D$4:$D$160,D152,$E$4:$E$160,E152,$B$4:$B$160,"MUESTRA")-SUMIFS($F$4:$F$160,$C$4:$C$160,C152,$D$4:$D$160,D152,$E$4:$E$160,E152,$B$4:$B$160,"AJUSTE-")),0)</f>
        <v>3</v>
      </c>
      <c r="L152" s="13">
        <f t="shared" si="5"/>
        <v>1</v>
      </c>
      <c r="M152" s="28"/>
      <c r="N152" s="29" t="s">
        <v>86</v>
      </c>
      <c r="O152" s="14"/>
      <c r="P152" s="14"/>
      <c r="Q152" s="15"/>
      <c r="R152" s="16" t="str">
        <f t="shared" si="6"/>
        <v>#REF!</v>
      </c>
    </row>
    <row r="153" ht="15.75" customHeight="1">
      <c r="A153" s="20">
        <v>46156.0</v>
      </c>
      <c r="B153" s="21" t="s">
        <v>42</v>
      </c>
      <c r="C153" s="22" t="s">
        <v>21</v>
      </c>
      <c r="D153" s="22" t="s">
        <v>38</v>
      </c>
      <c r="E153" s="22" t="s">
        <v>33</v>
      </c>
      <c r="F153" s="23">
        <v>1.0</v>
      </c>
      <c r="G153" s="10">
        <f>IFERROR(F153*VLOOKUP(D153,TELAS!$A$4:$C$32,3,FALSE()),0)</f>
        <v>20</v>
      </c>
      <c r="H153" s="11" t="str">
        <f>IFERROR(VLOOKUP(E153,COLORES!$A$4:$B$102,2,FALSE()),"")</f>
        <v>OSCURO</v>
      </c>
      <c r="I153" s="12">
        <f>IFERROR(IF(H153="OSCURO",VLOOKUP(D153,PRECIOS!$A$4:$F$32,2,FALSE()),IF(H153="CLARO",VLOOKUP(D153,PRECIOS!$A$4:$F$32,3,FALSE()),IF(H153="MELANGE",VLOOKUP(D153,PRECIOS!$A$4:$F$32,4,FALSE()),IF(H153="PPT",VLOOKUP(D153,PRECIOS!$A$4:$F$32,5,FALSE()),0)))),0)</f>
        <v>24</v>
      </c>
      <c r="J153" s="12">
        <f t="shared" si="4"/>
        <v>480</v>
      </c>
      <c r="K153" s="13">
        <f>IFERROR(IF(C153="",0,SUMIFS($F$4:$F$174,$C$4:$C$174,C153,$D$4:$D$174,D153,$E$4:$E$174,E153,$B$4:$B$174,"INGRESO")+SUMIFS($F$4:$F$174,$C$4:$C$174,C153,$D$4:$D$174,D153,$E$4:$E$174,E153,$B$4:$B$174,"DE REPROCESO")+SUMIFS($F$4:$F$174,$C$4:$C$174,C153,$D$4:$D$174,D153,$E$4:$E$174,E153,$B$4:$B$174,"AJUSTE+")-SUMIFS($F$4:$F$174,$C$4:$C$174,C153,$D$4:$D$174,D153,$E$4:$E$174,E153,$B$4:$B$174,"A CORTE")-SUMIFS($F$4:$F$174,$C$4:$C$174,C153,$D$4:$D$174,D153,$E$4:$E$174,E153,$B$4:$B$174,"A REPROCESO")-SUMIFS($F$4:$F$174,$C$4:$C$174,C153,$D$4:$D$174,D153,$E$4:$E$174,E153,$B$4:$B$174,"MUESTRA")-SUMIFS($F$4:$F$174,$C$4:$C$174,C153,$D$4:$D$174,D153,$E$4:$E$174,E153,$B$4:$B$174,"AJUSTE-")),0)</f>
        <v>0</v>
      </c>
      <c r="L153" s="27"/>
      <c r="M153" s="28"/>
      <c r="N153" s="29" t="s">
        <v>86</v>
      </c>
      <c r="O153" s="14"/>
      <c r="P153" s="14"/>
      <c r="Q153" s="15"/>
      <c r="R153" s="16" t="str">
        <f t="shared" si="6"/>
        <v>#REF!</v>
      </c>
    </row>
    <row r="154" ht="15.75" customHeight="1">
      <c r="A154" s="20">
        <v>46156.0</v>
      </c>
      <c r="B154" s="19" t="s">
        <v>42</v>
      </c>
      <c r="C154" s="19" t="s">
        <v>21</v>
      </c>
      <c r="D154" s="19" t="s">
        <v>38</v>
      </c>
      <c r="E154" s="19" t="s">
        <v>39</v>
      </c>
      <c r="F154" s="18">
        <v>1.0</v>
      </c>
      <c r="G154" s="10">
        <f>IFERROR(F154*VLOOKUP(D154,TELAS!$A$4:$C$32,3,FALSE()),0)</f>
        <v>20</v>
      </c>
      <c r="H154" s="11" t="str">
        <f>IFERROR(VLOOKUP(E154,COLORES!$A$4:$B$102,2,FALSE()),"")</f>
        <v>CLARO</v>
      </c>
      <c r="I154" s="12">
        <f>IFERROR(IF(H154="OSCURO",VLOOKUP(D154,PRECIOS!$A$4:$F$32,2,FALSE()),IF(H154="CLARO",VLOOKUP(D154,PRECIOS!$A$4:$F$32,3,FALSE()),IF(H154="MELANGE",VLOOKUP(D154,PRECIOS!$A$4:$F$32,4,FALSE()),IF(H154="PPT",VLOOKUP(D154,PRECIOS!$A$4:$F$32,5,FALSE()),0)))),0)</f>
        <v>21</v>
      </c>
      <c r="J154" s="12">
        <f t="shared" si="4"/>
        <v>420</v>
      </c>
      <c r="K154" s="13">
        <f>IFERROR(IF(C154="",0,SUMIFS($F$4:$F$175,$C$4:$C$175,C154,$D$4:$D$175,D154,$E$4:$E$175,E154,$B$4:$B$175,"INGRESO")+SUMIFS($F$4:$F$175,$C$4:$C$175,C154,$D$4:$D$175,D154,$E$4:$E$175,E154,$B$4:$B$175,"DE REPROCESO")+SUMIFS($F$4:$F$175,$C$4:$C$175,C154,$D$4:$D$175,D154,$E$4:$E$175,E154,$B$4:$B$175,"AJUSTE+")-SUMIFS($F$4:$F$175,$C$4:$C$175,C154,$D$4:$D$175,D154,$E$4:$E$175,E154,$B$4:$B$175,"A CORTE")-SUMIFS($F$4:$F$175,$C$4:$C$175,C154,$D$4:$D$175,D154,$E$4:$E$175,E154,$B$4:$B$175,"A REPROCESO")-SUMIFS($F$4:$F$175,$C$4:$C$175,C154,$D$4:$D$175,D154,$E$4:$E$175,E154,$B$4:$B$175,"MUESTRA")-SUMIFS($F$4:$F$175,$C$4:$C$175,C154,$D$4:$D$175,D154,$E$4:$E$175,E154,$B$4:$B$175,"AJUSTE-")),0)</f>
        <v>0</v>
      </c>
      <c r="L154" s="13"/>
      <c r="M154" s="8"/>
      <c r="N154" s="29" t="s">
        <v>86</v>
      </c>
      <c r="O154" s="14"/>
      <c r="P154" s="14"/>
      <c r="Q154" s="15"/>
      <c r="R154" s="16" t="str">
        <f t="shared" ref="R154:R163" si="7">IF(OR(Q154="",Q154=0,J154=0),"",(Q154-J154)/J154)</f>
        <v/>
      </c>
    </row>
    <row r="155" ht="15.75" customHeight="1">
      <c r="A155" s="20">
        <v>46156.0</v>
      </c>
      <c r="B155" s="19" t="s">
        <v>42</v>
      </c>
      <c r="C155" s="19" t="s">
        <v>21</v>
      </c>
      <c r="D155" s="19" t="s">
        <v>38</v>
      </c>
      <c r="E155" s="22" t="s">
        <v>29</v>
      </c>
      <c r="F155" s="23">
        <v>2.0</v>
      </c>
      <c r="G155" s="10">
        <f>IFERROR(F155*VLOOKUP(D155,TELAS!$A$4:$C$32,3,FALSE()),0)</f>
        <v>40</v>
      </c>
      <c r="H155" s="11" t="str">
        <f>IFERROR(VLOOKUP(E155,COLORES!$A$4:$B$102,2,FALSE()),"")</f>
        <v>CLARO</v>
      </c>
      <c r="I155" s="12">
        <f>IFERROR(IF(H155="OSCURO",VLOOKUP(D155,PRECIOS!$A$4:$F$32,2,FALSE()),IF(H155="CLARO",VLOOKUP(D155,PRECIOS!$A$4:$F$32,3,FALSE()),IF(H155="MELANGE",VLOOKUP(D155,PRECIOS!$A$4:$F$32,4,FALSE()),IF(H155="PPT",VLOOKUP(D155,PRECIOS!$A$4:$F$32,5,FALSE()),0)))),0)</f>
        <v>21</v>
      </c>
      <c r="J155" s="12">
        <f t="shared" si="4"/>
        <v>840</v>
      </c>
      <c r="K155" s="13">
        <f>IFERROR(IF(C155="",0,SUMIFS($F$4:$F$176,$C$4:$C$176,C155,$D$4:$D$176,D155,$E$4:$E$176,E155,$B$4:$B$176,"INGRESO")+SUMIFS($F$4:$F$176,$C$4:$C$176,C155,$D$4:$D$176,D155,$E$4:$E$176,E155,$B$4:$B$176,"DE REPROCESO")+SUMIFS($F$4:$F$176,$C$4:$C$176,C155,$D$4:$D$176,D155,$E$4:$E$176,E155,$B$4:$B$176,"AJUSTE+")-SUMIFS($F$4:$F$176,$C$4:$C$176,C155,$D$4:$D$176,D155,$E$4:$E$176,E155,$B$4:$B$176,"A CORTE")-SUMIFS($F$4:$F$176,$C$4:$C$176,C155,$D$4:$D$176,D155,$E$4:$E$176,E155,$B$4:$B$176,"A REPROCESO")-SUMIFS($F$4:$F$176,$C$4:$C$176,C155,$D$4:$D$176,D155,$E$4:$E$176,E155,$B$4:$B$176,"MUESTRA")-SUMIFS($F$4:$F$176,$C$4:$C$176,C155,$D$4:$D$176,D155,$E$4:$E$176,E155,$B$4:$B$176,"AJUSTE-")),0)</f>
        <v>7</v>
      </c>
      <c r="L155" s="13"/>
      <c r="M155" s="8"/>
      <c r="N155" s="29" t="s">
        <v>86</v>
      </c>
      <c r="O155" s="14"/>
      <c r="P155" s="14"/>
      <c r="Q155" s="15"/>
      <c r="R155" s="16" t="str">
        <f t="shared" si="7"/>
        <v/>
      </c>
    </row>
    <row r="156" ht="15.75" customHeight="1">
      <c r="A156" s="20">
        <v>46156.0</v>
      </c>
      <c r="B156" s="19" t="s">
        <v>42</v>
      </c>
      <c r="C156" s="19" t="s">
        <v>21</v>
      </c>
      <c r="D156" s="19" t="s">
        <v>38</v>
      </c>
      <c r="E156" s="22" t="s">
        <v>28</v>
      </c>
      <c r="F156" s="23">
        <v>1.0</v>
      </c>
      <c r="G156" s="10">
        <f>IFERROR(F156*VLOOKUP(D156,TELAS!$A$4:$C$32,3,FALSE()),0)</f>
        <v>20</v>
      </c>
      <c r="H156" s="11" t="str">
        <f>IFERROR(VLOOKUP(E156,COLORES!$A$4:$B$102,2,FALSE()),"")</f>
        <v>OSCURO</v>
      </c>
      <c r="I156" s="12">
        <f>IFERROR(IF(H156="OSCURO",VLOOKUP(D156,PRECIOS!$A$4:$F$32,2,FALSE()),IF(H156="CLARO",VLOOKUP(D156,PRECIOS!$A$4:$F$32,3,FALSE()),IF(H156="MELANGE",VLOOKUP(D156,PRECIOS!$A$4:$F$32,4,FALSE()),IF(H156="PPT",VLOOKUP(D156,PRECIOS!$A$4:$F$32,5,FALSE()),0)))),0)</f>
        <v>24</v>
      </c>
      <c r="J156" s="12">
        <f t="shared" si="4"/>
        <v>480</v>
      </c>
      <c r="K156" s="13">
        <f>IFERROR(IF(C156="",0,SUMIFS($F$4:$F$177,$C$4:$C$177,C156,$D$4:$D$177,D156,$E$4:$E$177,E156,$B$4:$B$177,"INGRESO")+SUMIFS($F$4:$F$177,$C$4:$C$177,C156,$D$4:$D$177,D156,$E$4:$E$177,E156,$B$4:$B$177,"DE REPROCESO")+SUMIFS($F$4:$F$177,$C$4:$C$177,C156,$D$4:$D$177,D156,$E$4:$E$177,E156,$B$4:$B$177,"AJUSTE+")-SUMIFS($F$4:$F$177,$C$4:$C$177,C156,$D$4:$D$177,D156,$E$4:$E$177,E156,$B$4:$B$177,"A CORTE")-SUMIFS($F$4:$F$177,$C$4:$C$177,C156,$D$4:$D$177,D156,$E$4:$E$177,E156,$B$4:$B$177,"A REPROCESO")-SUMIFS($F$4:$F$177,$C$4:$C$177,C156,$D$4:$D$177,D156,$E$4:$E$177,E156,$B$4:$B$177,"MUESTRA")-SUMIFS($F$4:$F$177,$C$4:$C$177,C156,$D$4:$D$177,D156,$E$4:$E$177,E156,$B$4:$B$177,"AJUSTE-")),0)</f>
        <v>0</v>
      </c>
      <c r="L156" s="13"/>
      <c r="M156" s="8"/>
      <c r="N156" s="29" t="s">
        <v>86</v>
      </c>
      <c r="O156" s="14"/>
      <c r="P156" s="14"/>
      <c r="Q156" s="15"/>
      <c r="R156" s="16" t="str">
        <f t="shared" si="7"/>
        <v/>
      </c>
    </row>
    <row r="157" ht="15.75" customHeight="1">
      <c r="A157" s="20">
        <v>46157.0</v>
      </c>
      <c r="B157" s="21" t="s">
        <v>42</v>
      </c>
      <c r="C157" s="22" t="s">
        <v>21</v>
      </c>
      <c r="D157" s="22" t="s">
        <v>41</v>
      </c>
      <c r="E157" s="22" t="s">
        <v>23</v>
      </c>
      <c r="F157" s="23">
        <v>4.0</v>
      </c>
      <c r="G157" s="24" t="s">
        <v>54</v>
      </c>
      <c r="H157" s="25" t="s">
        <v>59</v>
      </c>
      <c r="I157" s="26" t="s">
        <v>60</v>
      </c>
      <c r="J157" s="26" t="s">
        <v>79</v>
      </c>
      <c r="K157" s="27">
        <v>28.0</v>
      </c>
      <c r="L157" s="27">
        <v>24.0</v>
      </c>
      <c r="M157" s="28"/>
      <c r="N157" s="29" t="s">
        <v>87</v>
      </c>
      <c r="O157" s="14"/>
      <c r="P157" s="14"/>
      <c r="Q157" s="15"/>
      <c r="R157" s="16" t="str">
        <f t="shared" si="7"/>
        <v/>
      </c>
    </row>
    <row r="158" ht="15.75" customHeight="1">
      <c r="A158" s="20">
        <v>46157.0</v>
      </c>
      <c r="B158" s="21" t="s">
        <v>42</v>
      </c>
      <c r="C158" s="22" t="s">
        <v>21</v>
      </c>
      <c r="D158" s="22" t="s">
        <v>41</v>
      </c>
      <c r="E158" s="22" t="s">
        <v>27</v>
      </c>
      <c r="F158" s="23">
        <v>4.0</v>
      </c>
      <c r="G158" s="24" t="s">
        <v>54</v>
      </c>
      <c r="H158" s="25" t="s">
        <v>59</v>
      </c>
      <c r="I158" s="26" t="s">
        <v>60</v>
      </c>
      <c r="J158" s="26" t="s">
        <v>79</v>
      </c>
      <c r="K158" s="27">
        <v>27.0</v>
      </c>
      <c r="L158" s="27">
        <v>23.0</v>
      </c>
      <c r="M158" s="28"/>
      <c r="N158" s="29" t="s">
        <v>87</v>
      </c>
      <c r="O158" s="14"/>
      <c r="P158" s="14"/>
      <c r="Q158" s="15"/>
      <c r="R158" s="16" t="str">
        <f t="shared" si="7"/>
        <v/>
      </c>
    </row>
    <row r="159" ht="15.75" customHeight="1">
      <c r="A159" s="20">
        <v>46157.0</v>
      </c>
      <c r="B159" s="21" t="s">
        <v>42</v>
      </c>
      <c r="C159" s="22" t="s">
        <v>21</v>
      </c>
      <c r="D159" s="22" t="s">
        <v>41</v>
      </c>
      <c r="E159" s="22" t="s">
        <v>29</v>
      </c>
      <c r="F159" s="23">
        <v>4.0</v>
      </c>
      <c r="G159" s="24" t="s">
        <v>54</v>
      </c>
      <c r="H159" s="25" t="s">
        <v>55</v>
      </c>
      <c r="I159" s="26" t="s">
        <v>56</v>
      </c>
      <c r="J159" s="26" t="s">
        <v>57</v>
      </c>
      <c r="K159" s="27">
        <v>15.0</v>
      </c>
      <c r="L159" s="27">
        <v>11.0</v>
      </c>
      <c r="M159" s="28"/>
      <c r="N159" s="29" t="s">
        <v>87</v>
      </c>
      <c r="O159" s="14"/>
      <c r="P159" s="14"/>
      <c r="Q159" s="15"/>
      <c r="R159" s="16" t="str">
        <f t="shared" si="7"/>
        <v/>
      </c>
    </row>
    <row r="160" ht="15.75" customHeight="1">
      <c r="A160" s="20">
        <v>46157.0</v>
      </c>
      <c r="B160" s="21" t="s">
        <v>42</v>
      </c>
      <c r="C160" s="22" t="s">
        <v>21</v>
      </c>
      <c r="D160" s="22" t="s">
        <v>41</v>
      </c>
      <c r="E160" s="22" t="s">
        <v>30</v>
      </c>
      <c r="F160" s="23">
        <v>3.0</v>
      </c>
      <c r="G160" s="24" t="s">
        <v>62</v>
      </c>
      <c r="H160" s="25" t="s">
        <v>55</v>
      </c>
      <c r="I160" s="26" t="s">
        <v>56</v>
      </c>
      <c r="J160" s="26" t="s">
        <v>88</v>
      </c>
      <c r="K160" s="27">
        <v>14.0</v>
      </c>
      <c r="L160" s="27">
        <v>11.0</v>
      </c>
      <c r="M160" s="28"/>
      <c r="N160" s="29" t="s">
        <v>87</v>
      </c>
      <c r="O160" s="14"/>
      <c r="P160" s="14"/>
      <c r="Q160" s="15"/>
      <c r="R160" s="16" t="str">
        <f t="shared" si="7"/>
        <v/>
      </c>
    </row>
    <row r="161" ht="15.75" customHeight="1">
      <c r="A161" s="20">
        <v>46157.0</v>
      </c>
      <c r="B161" s="21" t="s">
        <v>42</v>
      </c>
      <c r="C161" s="22" t="s">
        <v>21</v>
      </c>
      <c r="D161" s="22" t="s">
        <v>41</v>
      </c>
      <c r="E161" s="22" t="s">
        <v>34</v>
      </c>
      <c r="F161" s="23">
        <v>3.0</v>
      </c>
      <c r="G161" s="24" t="s">
        <v>62</v>
      </c>
      <c r="H161" s="25" t="s">
        <v>55</v>
      </c>
      <c r="I161" s="26" t="s">
        <v>56</v>
      </c>
      <c r="J161" s="26" t="s">
        <v>88</v>
      </c>
      <c r="K161" s="27">
        <v>14.0</v>
      </c>
      <c r="L161" s="27">
        <v>11.0</v>
      </c>
      <c r="M161" s="28"/>
      <c r="N161" s="29" t="s">
        <v>87</v>
      </c>
      <c r="O161" s="14"/>
      <c r="P161" s="14"/>
      <c r="Q161" s="15"/>
      <c r="R161" s="16" t="str">
        <f t="shared" si="7"/>
        <v/>
      </c>
    </row>
    <row r="162" ht="15.75" customHeight="1">
      <c r="A162" s="20">
        <v>46157.0</v>
      </c>
      <c r="B162" s="21" t="s">
        <v>42</v>
      </c>
      <c r="C162" s="22" t="s">
        <v>21</v>
      </c>
      <c r="D162" s="22" t="s">
        <v>41</v>
      </c>
      <c r="E162" s="22" t="s">
        <v>35</v>
      </c>
      <c r="F162" s="23">
        <v>3.0</v>
      </c>
      <c r="G162" s="24" t="s">
        <v>62</v>
      </c>
      <c r="H162" s="25" t="s">
        <v>59</v>
      </c>
      <c r="I162" s="26" t="s">
        <v>60</v>
      </c>
      <c r="J162" s="26" t="s">
        <v>63</v>
      </c>
      <c r="K162" s="27">
        <v>22.0</v>
      </c>
      <c r="L162" s="27">
        <v>19.0</v>
      </c>
      <c r="M162" s="28"/>
      <c r="N162" s="29" t="s">
        <v>87</v>
      </c>
      <c r="O162" s="14"/>
      <c r="P162" s="14"/>
      <c r="Q162" s="15"/>
      <c r="R162" s="16" t="str">
        <f t="shared" si="7"/>
        <v/>
      </c>
    </row>
    <row r="163" ht="15.75" customHeight="1">
      <c r="A163" s="20">
        <v>46157.0</v>
      </c>
      <c r="B163" s="21" t="s">
        <v>42</v>
      </c>
      <c r="C163" s="22" t="s">
        <v>21</v>
      </c>
      <c r="D163" s="22" t="s">
        <v>41</v>
      </c>
      <c r="E163" s="22" t="s">
        <v>26</v>
      </c>
      <c r="F163" s="23">
        <v>4.0</v>
      </c>
      <c r="G163" s="24" t="s">
        <v>54</v>
      </c>
      <c r="H163" s="25" t="s">
        <v>69</v>
      </c>
      <c r="I163" s="26" t="s">
        <v>77</v>
      </c>
      <c r="J163" s="26" t="s">
        <v>89</v>
      </c>
      <c r="K163" s="27">
        <v>31.0</v>
      </c>
      <c r="L163" s="27">
        <v>27.0</v>
      </c>
      <c r="M163" s="28"/>
      <c r="N163" s="29" t="s">
        <v>87</v>
      </c>
      <c r="O163" s="30"/>
      <c r="P163" s="14"/>
      <c r="Q163" s="15"/>
      <c r="R163" s="16" t="str">
        <f t="shared" si="7"/>
        <v/>
      </c>
    </row>
    <row r="164" ht="15.75" customHeight="1">
      <c r="A164" s="31">
        <v>46158.0</v>
      </c>
      <c r="B164" s="32" t="s">
        <v>42</v>
      </c>
      <c r="C164" s="33" t="s">
        <v>36</v>
      </c>
      <c r="D164" s="22" t="s">
        <v>37</v>
      </c>
      <c r="E164" s="22" t="s">
        <v>23</v>
      </c>
      <c r="F164" s="23">
        <v>18.0</v>
      </c>
      <c r="G164" s="24" t="s">
        <v>90</v>
      </c>
      <c r="H164" s="25" t="s">
        <v>59</v>
      </c>
      <c r="I164" s="26" t="s">
        <v>65</v>
      </c>
      <c r="J164" s="26" t="s">
        <v>91</v>
      </c>
      <c r="K164" s="27">
        <v>25.0</v>
      </c>
      <c r="L164" s="27">
        <v>7.0</v>
      </c>
      <c r="M164" s="8"/>
      <c r="N164" s="30" t="s">
        <v>92</v>
      </c>
      <c r="P164" s="14"/>
      <c r="Q164" s="15"/>
      <c r="R164" s="16" t="str">
        <f>IF(OR(Q164="",Q164=0,#REF!=0),"",(Q164-#REF!)/#REF!)</f>
        <v>#REF!</v>
      </c>
    </row>
    <row r="165" ht="15.75" customHeight="1">
      <c r="A165" s="20">
        <v>46161.0</v>
      </c>
      <c r="B165" s="19" t="s">
        <v>42</v>
      </c>
      <c r="C165" s="33" t="s">
        <v>36</v>
      </c>
      <c r="D165" s="22" t="s">
        <v>50</v>
      </c>
      <c r="E165" s="22" t="s">
        <v>26</v>
      </c>
      <c r="F165" s="23">
        <v>2.0</v>
      </c>
      <c r="G165" s="10">
        <f>IFERROR(F165*VLOOKUP(D165,TELAS!$A$4:$C$32,3,FALSE()),0)</f>
        <v>40</v>
      </c>
      <c r="H165" s="11"/>
      <c r="I165" s="12">
        <f>IFERROR(IF(H165="OSCURO",VLOOKUP(D165,PRECIOS!$A$4:$F$32,2,FALSE()),IF(H165="CLARO",VLOOKUP(D165,PRECIOS!$A$4:$F$32,3,FALSE()),IF(H165="MELANGE",VLOOKUP(D165,PRECIOS!$A$4:$F$32,4,FALSE()),IF(H165="PPT",VLOOKUP(D165,PRECIOS!$A$4:$F$32,5,FALSE()),0)))),0)</f>
        <v>0</v>
      </c>
      <c r="J165" s="12">
        <f t="shared" ref="J165:J287" si="8">IFERROR(G165*I165,0)</f>
        <v>0</v>
      </c>
      <c r="K165" s="34">
        <v>12.0</v>
      </c>
      <c r="L165" s="13">
        <f t="shared" ref="L165:L287" si="9">IF(C165="",0,K165+IF(OR(B165="INGRESO",B165="DE REPROCESO",B165="AJUSTE+"),F165,IF(OR(B165="A CORTE",B165="A REPROCESO",B165="MUESTRA",B165="AJUSTE-"),-F165,0)))</f>
        <v>10</v>
      </c>
      <c r="M165" s="8"/>
      <c r="N165" s="30" t="s">
        <v>93</v>
      </c>
      <c r="O165" s="14"/>
      <c r="P165" s="14"/>
      <c r="Q165" s="15"/>
      <c r="R165" s="16" t="str">
        <f t="shared" ref="R165:R287" si="10">IF(OR(Q165="",Q165=0,J165=0),"",(Q165-J165)/J165)</f>
        <v/>
      </c>
    </row>
    <row r="166" ht="15.75" customHeight="1">
      <c r="A166" s="20">
        <v>46161.0</v>
      </c>
      <c r="B166" s="19" t="s">
        <v>42</v>
      </c>
      <c r="C166" s="33" t="s">
        <v>36</v>
      </c>
      <c r="D166" s="22" t="s">
        <v>50</v>
      </c>
      <c r="E166" s="22" t="s">
        <v>28</v>
      </c>
      <c r="F166" s="23">
        <v>2.0</v>
      </c>
      <c r="G166" s="10">
        <f>IFERROR(F166*VLOOKUP(D166,TELAS!$A$4:$C$32,3,FALSE()),0)</f>
        <v>40</v>
      </c>
      <c r="H166" s="11"/>
      <c r="I166" s="12">
        <f>IFERROR(IF(H166="OSCURO",VLOOKUP(D166,PRECIOS!$A$4:$F$32,2,FALSE()),IF(H166="CLARO",VLOOKUP(D166,PRECIOS!$A$4:$F$32,3,FALSE()),IF(H166="MELANGE",VLOOKUP(D166,PRECIOS!$A$4:$F$32,4,FALSE()),IF(H166="PPT",VLOOKUP(D166,PRECIOS!$A$4:$F$32,5,FALSE()),0)))),0)</f>
        <v>0</v>
      </c>
      <c r="J166" s="12">
        <f t="shared" si="8"/>
        <v>0</v>
      </c>
      <c r="K166" s="34">
        <v>8.0</v>
      </c>
      <c r="L166" s="13">
        <f t="shared" si="9"/>
        <v>6</v>
      </c>
      <c r="M166" s="8"/>
      <c r="N166" s="30" t="s">
        <v>93</v>
      </c>
      <c r="O166" s="14"/>
      <c r="P166" s="14"/>
      <c r="Q166" s="15"/>
      <c r="R166" s="16" t="str">
        <f t="shared" si="10"/>
        <v/>
      </c>
    </row>
    <row r="167" ht="15.75" customHeight="1">
      <c r="A167" s="20">
        <v>46161.0</v>
      </c>
      <c r="B167" s="19" t="s">
        <v>42</v>
      </c>
      <c r="C167" s="33" t="s">
        <v>36</v>
      </c>
      <c r="D167" s="22" t="s">
        <v>50</v>
      </c>
      <c r="E167" s="22" t="s">
        <v>30</v>
      </c>
      <c r="F167" s="23">
        <v>2.0</v>
      </c>
      <c r="G167" s="10">
        <f>IFERROR(F167*VLOOKUP(D167,TELAS!$A$4:$C$32,3,FALSE()),0)</f>
        <v>40</v>
      </c>
      <c r="H167" s="11"/>
      <c r="I167" s="12">
        <f>IFERROR(IF(H167="OSCURO",VLOOKUP(D167,PRECIOS!$A$4:$F$32,2,FALSE()),IF(H167="CLARO",VLOOKUP(D167,PRECIOS!$A$4:$F$32,3,FALSE()),IF(H167="MELANGE",VLOOKUP(D167,PRECIOS!$A$4:$F$32,4,FALSE()),IF(H167="PPT",VLOOKUP(D167,PRECIOS!$A$4:$F$32,5,FALSE()),0)))),0)</f>
        <v>0</v>
      </c>
      <c r="J167" s="12">
        <f t="shared" si="8"/>
        <v>0</v>
      </c>
      <c r="K167" s="34">
        <v>6.0</v>
      </c>
      <c r="L167" s="13">
        <f t="shared" si="9"/>
        <v>4</v>
      </c>
      <c r="M167" s="8"/>
      <c r="N167" s="30" t="s">
        <v>93</v>
      </c>
      <c r="O167" s="14"/>
      <c r="P167" s="14"/>
      <c r="Q167" s="15"/>
      <c r="R167" s="16" t="str">
        <f t="shared" si="10"/>
        <v/>
      </c>
    </row>
    <row r="168" ht="15.75" customHeight="1">
      <c r="A168" s="20">
        <v>46161.0</v>
      </c>
      <c r="B168" s="19" t="s">
        <v>42</v>
      </c>
      <c r="C168" s="33" t="s">
        <v>36</v>
      </c>
      <c r="D168" s="22" t="s">
        <v>50</v>
      </c>
      <c r="E168" s="22" t="s">
        <v>23</v>
      </c>
      <c r="F168" s="23">
        <v>5.0</v>
      </c>
      <c r="G168" s="10">
        <f>IFERROR(F168*VLOOKUP(D168,TELAS!$A$4:$C$32,3,FALSE()),0)</f>
        <v>100</v>
      </c>
      <c r="H168" s="25"/>
      <c r="I168" s="12">
        <f>IFERROR(IF(H168="OSCURO",VLOOKUP(D168,PRECIOS!$A$4:$F$32,2,FALSE()),IF(H168="CLARO",VLOOKUP(D168,PRECIOS!$A$4:$F$32,3,FALSE()),IF(H168="MELANGE",VLOOKUP(D168,PRECIOS!$A$4:$F$32,4,FALSE()),IF(H168="PPT",VLOOKUP(D168,PRECIOS!$A$4:$F$32,5,FALSE()),0)))),0)</f>
        <v>0</v>
      </c>
      <c r="J168" s="12">
        <f t="shared" si="8"/>
        <v>0</v>
      </c>
      <c r="K168" s="34">
        <v>14.0</v>
      </c>
      <c r="L168" s="13">
        <f t="shared" si="9"/>
        <v>9</v>
      </c>
      <c r="M168" s="28"/>
      <c r="N168" s="30" t="s">
        <v>93</v>
      </c>
      <c r="O168" s="14"/>
      <c r="P168" s="14"/>
      <c r="Q168" s="15"/>
      <c r="R168" s="16" t="str">
        <f t="shared" si="10"/>
        <v/>
      </c>
    </row>
    <row r="169" ht="15.75" customHeight="1">
      <c r="A169" s="20">
        <v>46161.0</v>
      </c>
      <c r="B169" s="19" t="s">
        <v>42</v>
      </c>
      <c r="C169" s="33" t="s">
        <v>36</v>
      </c>
      <c r="D169" s="22" t="s">
        <v>50</v>
      </c>
      <c r="E169" s="22" t="s">
        <v>35</v>
      </c>
      <c r="F169" s="23">
        <v>2.0</v>
      </c>
      <c r="G169" s="10">
        <f>IFERROR(F169*VLOOKUP(D169,TELAS!$A$4:$C$32,3,FALSE()),0)</f>
        <v>40</v>
      </c>
      <c r="H169" s="25"/>
      <c r="I169" s="12">
        <f>IFERROR(IF(H169="OSCURO",VLOOKUP(D169,PRECIOS!$A$4:$F$32,2,FALSE()),IF(H169="CLARO",VLOOKUP(D169,PRECIOS!$A$4:$F$32,3,FALSE()),IF(H169="MELANGE",VLOOKUP(D169,PRECIOS!$A$4:$F$32,4,FALSE()),IF(H169="PPT",VLOOKUP(D169,PRECIOS!$A$4:$F$32,5,FALSE()),0)))),0)</f>
        <v>0</v>
      </c>
      <c r="J169" s="12">
        <f t="shared" si="8"/>
        <v>0</v>
      </c>
      <c r="K169" s="34">
        <v>8.0</v>
      </c>
      <c r="L169" s="13">
        <f t="shared" si="9"/>
        <v>6</v>
      </c>
      <c r="M169" s="28"/>
      <c r="N169" s="30" t="s">
        <v>93</v>
      </c>
      <c r="O169" s="14"/>
      <c r="P169" s="14"/>
      <c r="Q169" s="15"/>
      <c r="R169" s="16" t="str">
        <f t="shared" si="10"/>
        <v/>
      </c>
    </row>
    <row r="170" ht="15.75" customHeight="1">
      <c r="A170" s="20">
        <v>46161.0</v>
      </c>
      <c r="B170" s="19" t="s">
        <v>42</v>
      </c>
      <c r="C170" s="33" t="s">
        <v>36</v>
      </c>
      <c r="D170" s="22" t="s">
        <v>50</v>
      </c>
      <c r="E170" s="22" t="s">
        <v>32</v>
      </c>
      <c r="F170" s="23">
        <v>1.0</v>
      </c>
      <c r="G170" s="10">
        <f>IFERROR(F170*VLOOKUP(D170,TELAS!$A$4:$C$32,3,FALSE()),0)</f>
        <v>20</v>
      </c>
      <c r="H170" s="25"/>
      <c r="I170" s="12">
        <f>IFERROR(IF(H170="OSCURO",VLOOKUP(D170,PRECIOS!$A$4:$F$32,2,FALSE()),IF(H170="CLARO",VLOOKUP(D170,PRECIOS!$A$4:$F$32,3,FALSE()),IF(H170="MELANGE",VLOOKUP(D170,PRECIOS!$A$4:$F$32,4,FALSE()),IF(H170="PPT",VLOOKUP(D170,PRECIOS!$A$4:$F$32,5,FALSE()),0)))),0)</f>
        <v>0</v>
      </c>
      <c r="J170" s="12">
        <f t="shared" si="8"/>
        <v>0</v>
      </c>
      <c r="K170" s="34">
        <v>4.0</v>
      </c>
      <c r="L170" s="13">
        <f t="shared" si="9"/>
        <v>3</v>
      </c>
      <c r="M170" s="28"/>
      <c r="N170" s="30" t="s">
        <v>93</v>
      </c>
      <c r="O170" s="14"/>
      <c r="P170" s="14"/>
      <c r="Q170" s="15"/>
      <c r="R170" s="16" t="str">
        <f t="shared" si="10"/>
        <v/>
      </c>
    </row>
    <row r="171" ht="15.75" customHeight="1">
      <c r="A171" s="20">
        <v>46161.0</v>
      </c>
      <c r="B171" s="19" t="s">
        <v>42</v>
      </c>
      <c r="C171" s="33" t="s">
        <v>36</v>
      </c>
      <c r="D171" s="22" t="s">
        <v>50</v>
      </c>
      <c r="E171" s="22" t="s">
        <v>33</v>
      </c>
      <c r="F171" s="23">
        <v>1.0</v>
      </c>
      <c r="G171" s="10">
        <f>IFERROR(F171*VLOOKUP(D171,TELAS!$A$4:$C$32,3,FALSE()),0)</f>
        <v>20</v>
      </c>
      <c r="H171" s="25"/>
      <c r="I171" s="12">
        <f>IFERROR(IF(H171="OSCURO",VLOOKUP(D171,PRECIOS!$A$4:$F$32,2,FALSE()),IF(H171="CLARO",VLOOKUP(D171,PRECIOS!$A$4:$F$32,3,FALSE()),IF(H171="MELANGE",VLOOKUP(D171,PRECIOS!$A$4:$F$32,4,FALSE()),IF(H171="PPT",VLOOKUP(D171,PRECIOS!$A$4:$F$32,5,FALSE()),0)))),0)</f>
        <v>0</v>
      </c>
      <c r="J171" s="12">
        <f t="shared" si="8"/>
        <v>0</v>
      </c>
      <c r="K171" s="34">
        <v>7.0</v>
      </c>
      <c r="L171" s="13">
        <f t="shared" si="9"/>
        <v>6</v>
      </c>
      <c r="M171" s="28"/>
      <c r="N171" s="30" t="s">
        <v>93</v>
      </c>
      <c r="O171" s="14"/>
      <c r="P171" s="14"/>
      <c r="Q171" s="15"/>
      <c r="R171" s="16" t="str">
        <f t="shared" si="10"/>
        <v/>
      </c>
    </row>
    <row r="172" ht="15.75" customHeight="1">
      <c r="A172" s="20"/>
      <c r="B172" s="8"/>
      <c r="C172" s="22"/>
      <c r="D172" s="22"/>
      <c r="E172" s="22"/>
      <c r="F172" s="23"/>
      <c r="G172" s="10">
        <f>IFERROR(F172*VLOOKUP(D172,TELAS!$A$4:$C$32,3,FALSE()),0)</f>
        <v>0</v>
      </c>
      <c r="H172" s="25"/>
      <c r="I172" s="12">
        <f>IFERROR(IF(H172="OSCURO",VLOOKUP(D172,PRECIOS!$A$4:$F$32,2,FALSE()),IF(H172="CLARO",VLOOKUP(D172,PRECIOS!$A$4:$F$32,3,FALSE()),IF(H172="MELANGE",VLOOKUP(D172,PRECIOS!$A$4:$F$32,4,FALSE()),IF(H172="PPT",VLOOKUP(D172,PRECIOS!$A$4:$F$32,5,FALSE()),0)))),0)</f>
        <v>0</v>
      </c>
      <c r="J172" s="12">
        <f t="shared" si="8"/>
        <v>0</v>
      </c>
      <c r="K172" s="13">
        <f t="shared" ref="K172:K179" si="11">IFERROR(IF(C172="",0,SUMIFS($F$4:$F$178,$C$4:$C$178,C172,$D$4:$D$178,D172,$E$4:$E$178,E172,$B$4:$B$178,"INGRESO")+SUMIFS($F$4:$F$178,$C$4:$C$178,C172,$D$4:$D$178,D172,$E$4:$E$178,E172,$B$4:$B$178,"DE REPROCESO")+SUMIFS($F$4:$F$178,$C$4:$C$178,C172,$D$4:$D$178,D172,$E$4:$E$178,E172,$B$4:$B$178,"AJUSTE+")-SUMIFS($F$4:$F$178,$C$4:$C$178,C172,$D$4:$D$178,D172,$E$4:$E$178,E172,$B$4:$B$178,"A CORTE")-SUMIFS($F$4:$F$178,$C$4:$C$178,C172,$D$4:$D$178,D172,$E$4:$E$178,E172,$B$4:$B$178,"A REPROCESO")-SUMIFS($F$4:$F$178,$C$4:$C$178,C172,$D$4:$D$178,D172,$E$4:$E$178,E172,$B$4:$B$178,"MUESTRA")-SUMIFS($F$4:$F$178,$C$4:$C$178,C172,$D$4:$D$178,D172,$E$4:$E$178,E172,$B$4:$B$178,"AJUSTE-")),0)</f>
        <v>0</v>
      </c>
      <c r="L172" s="13">
        <f t="shared" si="9"/>
        <v>0</v>
      </c>
      <c r="M172" s="28"/>
      <c r="N172" s="29"/>
      <c r="O172" s="14"/>
      <c r="P172" s="14"/>
      <c r="Q172" s="15"/>
      <c r="R172" s="16" t="str">
        <f t="shared" si="10"/>
        <v/>
      </c>
    </row>
    <row r="173" ht="15.75" customHeight="1">
      <c r="A173" s="20"/>
      <c r="B173" s="8"/>
      <c r="C173" s="22"/>
      <c r="D173" s="22"/>
      <c r="E173" s="22"/>
      <c r="F173" s="23"/>
      <c r="G173" s="10">
        <f>IFERROR(F173*VLOOKUP(D173,TELAS!$A$4:$C$32,3,FALSE()),0)</f>
        <v>0</v>
      </c>
      <c r="H173" s="25"/>
      <c r="I173" s="12">
        <f>IFERROR(IF(H173="OSCURO",VLOOKUP(D173,PRECIOS!$A$4:$F$32,2,FALSE()),IF(H173="CLARO",VLOOKUP(D173,PRECIOS!$A$4:$F$32,3,FALSE()),IF(H173="MELANGE",VLOOKUP(D173,PRECIOS!$A$4:$F$32,4,FALSE()),IF(H173="PPT",VLOOKUP(D173,PRECIOS!$A$4:$F$32,5,FALSE()),0)))),0)</f>
        <v>0</v>
      </c>
      <c r="J173" s="12">
        <f t="shared" si="8"/>
        <v>0</v>
      </c>
      <c r="K173" s="13">
        <f t="shared" si="11"/>
        <v>0</v>
      </c>
      <c r="L173" s="13">
        <f t="shared" si="9"/>
        <v>0</v>
      </c>
      <c r="M173" s="28"/>
      <c r="N173" s="29"/>
      <c r="O173" s="14"/>
      <c r="P173" s="14"/>
      <c r="Q173" s="15"/>
      <c r="R173" s="16" t="str">
        <f t="shared" si="10"/>
        <v/>
      </c>
    </row>
    <row r="174" ht="15.75" customHeight="1">
      <c r="A174" s="20"/>
      <c r="B174" s="8"/>
      <c r="C174" s="22"/>
      <c r="D174" s="22"/>
      <c r="E174" s="22"/>
      <c r="F174" s="23"/>
      <c r="G174" s="10">
        <f>IFERROR(F174*VLOOKUP(D174,TELAS!$A$4:$C$32,3,FALSE()),0)</f>
        <v>0</v>
      </c>
      <c r="H174" s="25"/>
      <c r="I174" s="12">
        <f>IFERROR(IF(H174="OSCURO",VLOOKUP(D174,PRECIOS!$A$4:$F$32,2,FALSE()),IF(H174="CLARO",VLOOKUP(D174,PRECIOS!$A$4:$F$32,3,FALSE()),IF(H174="MELANGE",VLOOKUP(D174,PRECIOS!$A$4:$F$32,4,FALSE()),IF(H174="PPT",VLOOKUP(D174,PRECIOS!$A$4:$F$32,5,FALSE()),0)))),0)</f>
        <v>0</v>
      </c>
      <c r="J174" s="12">
        <f t="shared" si="8"/>
        <v>0</v>
      </c>
      <c r="K174" s="13">
        <f t="shared" si="11"/>
        <v>0</v>
      </c>
      <c r="L174" s="13">
        <f t="shared" si="9"/>
        <v>0</v>
      </c>
      <c r="M174" s="28"/>
      <c r="N174" s="29"/>
      <c r="O174" s="14"/>
      <c r="P174" s="14"/>
      <c r="Q174" s="15"/>
      <c r="R174" s="16" t="str">
        <f t="shared" si="10"/>
        <v/>
      </c>
    </row>
    <row r="175" ht="15.75" customHeight="1">
      <c r="A175" s="20"/>
      <c r="B175" s="19"/>
      <c r="C175" s="19"/>
      <c r="D175" s="19"/>
      <c r="E175" s="22"/>
      <c r="F175" s="23"/>
      <c r="G175" s="10">
        <f>IFERROR(F175*VLOOKUP(D175,TELAS!$A$4:$C$32,3,FALSE()),0)</f>
        <v>0</v>
      </c>
      <c r="H175" s="11"/>
      <c r="I175" s="12">
        <f>IFERROR(IF(H175="OSCURO",VLOOKUP(D175,PRECIOS!$A$4:$F$32,2,FALSE()),IF(H175="CLARO",VLOOKUP(D175,PRECIOS!$A$4:$F$32,3,FALSE()),IF(H175="MELANGE",VLOOKUP(D175,PRECIOS!$A$4:$F$32,4,FALSE()),IF(H175="PPT",VLOOKUP(D175,PRECIOS!$A$4:$F$32,5,FALSE()),0)))),0)</f>
        <v>0</v>
      </c>
      <c r="J175" s="12">
        <f t="shared" si="8"/>
        <v>0</v>
      </c>
      <c r="K175" s="13">
        <f t="shared" si="11"/>
        <v>0</v>
      </c>
      <c r="L175" s="13">
        <f t="shared" si="9"/>
        <v>0</v>
      </c>
      <c r="M175" s="8"/>
      <c r="N175" s="14"/>
      <c r="O175" s="14"/>
      <c r="P175" s="14"/>
      <c r="Q175" s="15"/>
      <c r="R175" s="16" t="str">
        <f t="shared" si="10"/>
        <v/>
      </c>
    </row>
    <row r="176" ht="15.75" customHeight="1">
      <c r="A176" s="20"/>
      <c r="B176" s="19"/>
      <c r="C176" s="19"/>
      <c r="D176" s="19"/>
      <c r="E176" s="19"/>
      <c r="F176" s="18"/>
      <c r="G176" s="10">
        <f>IFERROR(F176*VLOOKUP(D176,TELAS!$A$4:$C$32,3,FALSE()),0)</f>
        <v>0</v>
      </c>
      <c r="H176" s="11"/>
      <c r="I176" s="12">
        <f>IFERROR(IF(H176="OSCURO",VLOOKUP(D176,PRECIOS!$A$4:$F$32,2,FALSE()),IF(H176="CLARO",VLOOKUP(D176,PRECIOS!$A$4:$F$32,3,FALSE()),IF(H176="MELANGE",VLOOKUP(D176,PRECIOS!$A$4:$F$32,4,FALSE()),IF(H176="PPT",VLOOKUP(D176,PRECIOS!$A$4:$F$32,5,FALSE()),0)))),0)</f>
        <v>0</v>
      </c>
      <c r="J176" s="12">
        <f t="shared" si="8"/>
        <v>0</v>
      </c>
      <c r="K176" s="13">
        <f t="shared" si="11"/>
        <v>0</v>
      </c>
      <c r="L176" s="13">
        <f t="shared" si="9"/>
        <v>0</v>
      </c>
      <c r="M176" s="8"/>
      <c r="N176" s="14"/>
      <c r="O176" s="14"/>
      <c r="P176" s="14"/>
      <c r="Q176" s="15"/>
      <c r="R176" s="16" t="str">
        <f t="shared" si="10"/>
        <v/>
      </c>
    </row>
    <row r="177" ht="15.75" customHeight="1">
      <c r="A177" s="20"/>
      <c r="B177" s="19"/>
      <c r="C177" s="19"/>
      <c r="D177" s="19"/>
      <c r="E177" s="22"/>
      <c r="F177" s="23"/>
      <c r="G177" s="10">
        <f>IFERROR(F177*VLOOKUP(D177,TELAS!$A$4:$C$32,3,FALSE()),0)</f>
        <v>0</v>
      </c>
      <c r="H177" s="11"/>
      <c r="I177" s="12">
        <f>IFERROR(IF(H177="OSCURO",VLOOKUP(D177,PRECIOS!$A$4:$F$32,2,FALSE()),IF(H177="CLARO",VLOOKUP(D177,PRECIOS!$A$4:$F$32,3,FALSE()),IF(H177="MELANGE",VLOOKUP(D177,PRECIOS!$A$4:$F$32,4,FALSE()),IF(H177="PPT",VLOOKUP(D177,PRECIOS!$A$4:$F$32,5,FALSE()),0)))),0)</f>
        <v>0</v>
      </c>
      <c r="J177" s="12">
        <f t="shared" si="8"/>
        <v>0</v>
      </c>
      <c r="K177" s="13">
        <f t="shared" si="11"/>
        <v>0</v>
      </c>
      <c r="L177" s="13">
        <f t="shared" si="9"/>
        <v>0</v>
      </c>
      <c r="M177" s="8"/>
      <c r="N177" s="14"/>
      <c r="O177" s="14"/>
      <c r="P177" s="14"/>
      <c r="Q177" s="15"/>
      <c r="R177" s="16" t="str">
        <f t="shared" si="10"/>
        <v/>
      </c>
    </row>
    <row r="178" ht="15.75" customHeight="1">
      <c r="A178" s="20"/>
      <c r="B178" s="19"/>
      <c r="C178" s="19"/>
      <c r="D178" s="19"/>
      <c r="E178" s="22"/>
      <c r="F178" s="23"/>
      <c r="G178" s="10">
        <f>IFERROR(F178*VLOOKUP(D178,TELAS!$A$4:$C$32,3,FALSE()),0)</f>
        <v>0</v>
      </c>
      <c r="H178" s="11"/>
      <c r="I178" s="12">
        <f>IFERROR(IF(H178="OSCURO",VLOOKUP(D178,PRECIOS!$A$4:$F$32,2,FALSE()),IF(H178="CLARO",VLOOKUP(D178,PRECIOS!$A$4:$F$32,3,FALSE()),IF(H178="MELANGE",VLOOKUP(D178,PRECIOS!$A$4:$F$32,4,FALSE()),IF(H178="PPT",VLOOKUP(D178,PRECIOS!$A$4:$F$32,5,FALSE()),0)))),0)</f>
        <v>0</v>
      </c>
      <c r="J178" s="12">
        <f t="shared" si="8"/>
        <v>0</v>
      </c>
      <c r="K178" s="13">
        <f t="shared" si="11"/>
        <v>0</v>
      </c>
      <c r="L178" s="13">
        <f t="shared" si="9"/>
        <v>0</v>
      </c>
      <c r="M178" s="8"/>
      <c r="N178" s="14"/>
      <c r="O178" s="14"/>
      <c r="P178" s="14"/>
      <c r="Q178" s="15"/>
      <c r="R178" s="16" t="str">
        <f t="shared" si="10"/>
        <v/>
      </c>
    </row>
    <row r="179" ht="15.75" customHeight="1">
      <c r="A179" s="7"/>
      <c r="B179" s="8"/>
      <c r="C179" s="8"/>
      <c r="D179" s="8"/>
      <c r="E179" s="8"/>
      <c r="F179" s="9"/>
      <c r="G179" s="10">
        <f>IFERROR(F179*VLOOKUP(D179,TELAS!$A$4:$C$32,3,FALSE()),0)</f>
        <v>0</v>
      </c>
      <c r="H179" s="11" t="str">
        <f>IFERROR(VLOOKUP(E179,COLORES!$A$4:$B$102,2,FALSE()),"")</f>
        <v/>
      </c>
      <c r="I179" s="12">
        <f>IFERROR(IF(H179="OSCURO",VLOOKUP(D179,PRECIOS!$A$4:$F$32,2,FALSE()),IF(H179="CLARO",VLOOKUP(D179,PRECIOS!$A$4:$F$32,3,FALSE()),IF(H179="MELANGE",VLOOKUP(D179,PRECIOS!$A$4:$F$32,4,FALSE()),IF(H179="PPT",VLOOKUP(D179,PRECIOS!$A$4:$F$32,5,FALSE()),0)))),0)</f>
        <v>0</v>
      </c>
      <c r="J179" s="12">
        <f t="shared" si="8"/>
        <v>0</v>
      </c>
      <c r="K179" s="13">
        <f t="shared" si="11"/>
        <v>0</v>
      </c>
      <c r="L179" s="13">
        <f t="shared" si="9"/>
        <v>0</v>
      </c>
      <c r="M179" s="8"/>
      <c r="N179" s="14"/>
      <c r="O179" s="14"/>
      <c r="P179" s="14"/>
      <c r="Q179" s="15"/>
      <c r="R179" s="16" t="str">
        <f t="shared" si="10"/>
        <v/>
      </c>
    </row>
    <row r="180" ht="15.75" customHeight="1">
      <c r="A180" s="7"/>
      <c r="B180" s="8"/>
      <c r="C180" s="8"/>
      <c r="D180" s="8"/>
      <c r="E180" s="8"/>
      <c r="F180" s="9"/>
      <c r="G180" s="10">
        <f>IFERROR(F180*VLOOKUP(D180,TELAS!$A$4:$C$32,3,FALSE()),0)</f>
        <v>0</v>
      </c>
      <c r="H180" s="11" t="str">
        <f>IFERROR(VLOOKUP(E180,COLORES!$A$4:$B$102,2,FALSE()),"")</f>
        <v/>
      </c>
      <c r="I180" s="12">
        <f>IFERROR(IF(H180="OSCURO",VLOOKUP(D180,PRECIOS!$A$4:$F$32,2,FALSE()),IF(H180="CLARO",VLOOKUP(D180,PRECIOS!$A$4:$F$32,3,FALSE()),IF(H180="MELANGE",VLOOKUP(D180,PRECIOS!$A$4:$F$32,4,FALSE()),IF(H180="PPT",VLOOKUP(D180,PRECIOS!$A$4:$F$32,5,FALSE()),0)))),0)</f>
        <v>0</v>
      </c>
      <c r="J180" s="12">
        <f t="shared" si="8"/>
        <v>0</v>
      </c>
      <c r="K180" s="13">
        <f>IFERROR(IF(C180="",0,SUMIFS($F$4:$F$179,$C$4:$C$179,C180,$D$4:$D$179,D180,$E$4:$E$179,E180,$B$4:$B$179,"INGRESO")+SUMIFS($F$4:$F$179,$C$4:$C$179,C180,$D$4:$D$179,D180,$E$4:$E$179,E180,$B$4:$B$179,"DE REPROCESO")+SUMIFS($F$4:$F$179,$C$4:$C$179,C180,$D$4:$D$179,D180,$E$4:$E$179,E180,$B$4:$B$179,"AJUSTE+")-SUMIFS($F$4:$F$179,$C$4:$C$179,C180,$D$4:$D$179,D180,$E$4:$E$179,E180,$B$4:$B$179,"A CORTE")-SUMIFS($F$4:$F$179,$C$4:$C$179,C180,$D$4:$D$179,D180,$E$4:$E$179,E180,$B$4:$B$179,"A REPROCESO")-SUMIFS($F$4:$F$179,$C$4:$C$179,C180,$D$4:$D$179,D180,$E$4:$E$179,E180,$B$4:$B$179,"MUESTRA")-SUMIFS($F$4:$F$179,$C$4:$C$179,C180,$D$4:$D$179,D180,$E$4:$E$179,E180,$B$4:$B$179,"AJUSTE-")),0)</f>
        <v>0</v>
      </c>
      <c r="L180" s="13">
        <f t="shared" si="9"/>
        <v>0</v>
      </c>
      <c r="M180" s="8"/>
      <c r="N180" s="14"/>
      <c r="O180" s="14"/>
      <c r="P180" s="14"/>
      <c r="Q180" s="15"/>
      <c r="R180" s="16" t="str">
        <f t="shared" si="10"/>
        <v/>
      </c>
    </row>
    <row r="181" ht="15.75" customHeight="1">
      <c r="A181" s="7"/>
      <c r="B181" s="8"/>
      <c r="C181" s="8"/>
      <c r="D181" s="8"/>
      <c r="E181" s="8"/>
      <c r="F181" s="9"/>
      <c r="G181" s="10">
        <f>IFERROR(F181*VLOOKUP(D181,TELAS!$A$4:$C$32,3,FALSE()),0)</f>
        <v>0</v>
      </c>
      <c r="H181" s="11" t="str">
        <f>IFERROR(VLOOKUP(E181,COLORES!$A$4:$B$102,2,FALSE()),"")</f>
        <v/>
      </c>
      <c r="I181" s="12">
        <f>IFERROR(IF(H181="OSCURO",VLOOKUP(D181,PRECIOS!$A$4:$F$32,2,FALSE()),IF(H181="CLARO",VLOOKUP(D181,PRECIOS!$A$4:$F$32,3,FALSE()),IF(H181="MELANGE",VLOOKUP(D181,PRECIOS!$A$4:$F$32,4,FALSE()),IF(H181="PPT",VLOOKUP(D181,PRECIOS!$A$4:$F$32,5,FALSE()),0)))),0)</f>
        <v>0</v>
      </c>
      <c r="J181" s="12">
        <f t="shared" si="8"/>
        <v>0</v>
      </c>
      <c r="K181" s="13">
        <f>IFERROR(IF(C181="",0,SUMIFS($F$4:$F$180,$C$4:$C$180,C181,$D$4:$D$180,D181,$E$4:$E$180,E181,$B$4:$B$180,"INGRESO")+SUMIFS($F$4:$F$180,$C$4:$C$180,C181,$D$4:$D$180,D181,$E$4:$E$180,E181,$B$4:$B$180,"DE REPROCESO")+SUMIFS($F$4:$F$180,$C$4:$C$180,C181,$D$4:$D$180,D181,$E$4:$E$180,E181,$B$4:$B$180,"AJUSTE+")-SUMIFS($F$4:$F$180,$C$4:$C$180,C181,$D$4:$D$180,D181,$E$4:$E$180,E181,$B$4:$B$180,"A CORTE")-SUMIFS($F$4:$F$180,$C$4:$C$180,C181,$D$4:$D$180,D181,$E$4:$E$180,E181,$B$4:$B$180,"A REPROCESO")-SUMIFS($F$4:$F$180,$C$4:$C$180,C181,$D$4:$D$180,D181,$E$4:$E$180,E181,$B$4:$B$180,"MUESTRA")-SUMIFS($F$4:$F$180,$C$4:$C$180,C181,$D$4:$D$180,D181,$E$4:$E$180,E181,$B$4:$B$180,"AJUSTE-")),0)</f>
        <v>0</v>
      </c>
      <c r="L181" s="13">
        <f t="shared" si="9"/>
        <v>0</v>
      </c>
      <c r="M181" s="8"/>
      <c r="N181" s="14"/>
      <c r="O181" s="14"/>
      <c r="P181" s="14"/>
      <c r="Q181" s="15"/>
      <c r="R181" s="16" t="str">
        <f t="shared" si="10"/>
        <v/>
      </c>
    </row>
    <row r="182" ht="15.75" customHeight="1">
      <c r="A182" s="7"/>
      <c r="B182" s="8"/>
      <c r="C182" s="8"/>
      <c r="D182" s="8"/>
      <c r="E182" s="8"/>
      <c r="F182" s="9"/>
      <c r="G182" s="10">
        <f>IFERROR(F182*VLOOKUP(D182,TELAS!$A$4:$C$32,3,FALSE()),0)</f>
        <v>0</v>
      </c>
      <c r="H182" s="11" t="str">
        <f>IFERROR(VLOOKUP(E182,COLORES!$A$4:$B$102,2,FALSE()),"")</f>
        <v/>
      </c>
      <c r="I182" s="12">
        <f>IFERROR(IF(H182="OSCURO",VLOOKUP(D182,PRECIOS!$A$4:$F$32,2,FALSE()),IF(H182="CLARO",VLOOKUP(D182,PRECIOS!$A$4:$F$32,3,FALSE()),IF(H182="MELANGE",VLOOKUP(D182,PRECIOS!$A$4:$F$32,4,FALSE()),IF(H182="PPT",VLOOKUP(D182,PRECIOS!$A$4:$F$32,5,FALSE()),0)))),0)</f>
        <v>0</v>
      </c>
      <c r="J182" s="12">
        <f t="shared" si="8"/>
        <v>0</v>
      </c>
      <c r="K182" s="13">
        <f>IFERROR(IF(C182="",0,SUMIFS($F$4:$F$181,$C$4:$C$181,C182,$D$4:$D$181,D182,$E$4:$E$181,E182,$B$4:$B$181,"INGRESO")+SUMIFS($F$4:$F$181,$C$4:$C$181,C182,$D$4:$D$181,D182,$E$4:$E$181,E182,$B$4:$B$181,"DE REPROCESO")+SUMIFS($F$4:$F$181,$C$4:$C$181,C182,$D$4:$D$181,D182,$E$4:$E$181,E182,$B$4:$B$181,"AJUSTE+")-SUMIFS($F$4:$F$181,$C$4:$C$181,C182,$D$4:$D$181,D182,$E$4:$E$181,E182,$B$4:$B$181,"A CORTE")-SUMIFS($F$4:$F$181,$C$4:$C$181,C182,$D$4:$D$181,D182,$E$4:$E$181,E182,$B$4:$B$181,"A REPROCESO")-SUMIFS($F$4:$F$181,$C$4:$C$181,C182,$D$4:$D$181,D182,$E$4:$E$181,E182,$B$4:$B$181,"MUESTRA")-SUMIFS($F$4:$F$181,$C$4:$C$181,C182,$D$4:$D$181,D182,$E$4:$E$181,E182,$B$4:$B$181,"AJUSTE-")),0)</f>
        <v>0</v>
      </c>
      <c r="L182" s="13">
        <f t="shared" si="9"/>
        <v>0</v>
      </c>
      <c r="M182" s="8"/>
      <c r="N182" s="14"/>
      <c r="O182" s="14"/>
      <c r="P182" s="14"/>
      <c r="Q182" s="15"/>
      <c r="R182" s="16" t="str">
        <f t="shared" si="10"/>
        <v/>
      </c>
    </row>
    <row r="183" ht="15.75" customHeight="1">
      <c r="A183" s="7"/>
      <c r="B183" s="8"/>
      <c r="C183" s="8"/>
      <c r="D183" s="8"/>
      <c r="E183" s="8"/>
      <c r="F183" s="9"/>
      <c r="G183" s="10">
        <f>IFERROR(F183*VLOOKUP(D183,TELAS!$A$4:$C$32,3,FALSE()),0)</f>
        <v>0</v>
      </c>
      <c r="H183" s="11" t="str">
        <f>IFERROR(VLOOKUP(E183,COLORES!$A$4:$B$102,2,FALSE()),"")</f>
        <v/>
      </c>
      <c r="I183" s="12">
        <f>IFERROR(IF(H183="OSCURO",VLOOKUP(D183,PRECIOS!$A$4:$F$32,2,FALSE()),IF(H183="CLARO",VLOOKUP(D183,PRECIOS!$A$4:$F$32,3,FALSE()),IF(H183="MELANGE",VLOOKUP(D183,PRECIOS!$A$4:$F$32,4,FALSE()),IF(H183="PPT",VLOOKUP(D183,PRECIOS!$A$4:$F$32,5,FALSE()),0)))),0)</f>
        <v>0</v>
      </c>
      <c r="J183" s="12">
        <f t="shared" si="8"/>
        <v>0</v>
      </c>
      <c r="K183" s="13">
        <f>IFERROR(IF(C183="",0,SUMIFS($F$4:$F$182,$C$4:$C$182,C183,$D$4:$D$182,D183,$E$4:$E$182,E183,$B$4:$B$182,"INGRESO")+SUMIFS($F$4:$F$182,$C$4:$C$182,C183,$D$4:$D$182,D183,$E$4:$E$182,E183,$B$4:$B$182,"DE REPROCESO")+SUMIFS($F$4:$F$182,$C$4:$C$182,C183,$D$4:$D$182,D183,$E$4:$E$182,E183,$B$4:$B$182,"AJUSTE+")-SUMIFS($F$4:$F$182,$C$4:$C$182,C183,$D$4:$D$182,D183,$E$4:$E$182,E183,$B$4:$B$182,"A CORTE")-SUMIFS($F$4:$F$182,$C$4:$C$182,C183,$D$4:$D$182,D183,$E$4:$E$182,E183,$B$4:$B$182,"A REPROCESO")-SUMIFS($F$4:$F$182,$C$4:$C$182,C183,$D$4:$D$182,D183,$E$4:$E$182,E183,$B$4:$B$182,"MUESTRA")-SUMIFS($F$4:$F$182,$C$4:$C$182,C183,$D$4:$D$182,D183,$E$4:$E$182,E183,$B$4:$B$182,"AJUSTE-")),0)</f>
        <v>0</v>
      </c>
      <c r="L183" s="13">
        <f t="shared" si="9"/>
        <v>0</v>
      </c>
      <c r="M183" s="8"/>
      <c r="N183" s="14"/>
      <c r="O183" s="14"/>
      <c r="P183" s="14"/>
      <c r="Q183" s="15"/>
      <c r="R183" s="16" t="str">
        <f t="shared" si="10"/>
        <v/>
      </c>
    </row>
    <row r="184" ht="15.75" customHeight="1">
      <c r="A184" s="7"/>
      <c r="B184" s="8"/>
      <c r="C184" s="8"/>
      <c r="D184" s="8"/>
      <c r="E184" s="8"/>
      <c r="F184" s="9"/>
      <c r="G184" s="10">
        <f>IFERROR(F184*VLOOKUP(D184,TELAS!$A$4:$C$32,3,FALSE()),0)</f>
        <v>0</v>
      </c>
      <c r="H184" s="11" t="str">
        <f>IFERROR(VLOOKUP(E184,COLORES!$A$4:$B$102,2,FALSE()),"")</f>
        <v/>
      </c>
      <c r="I184" s="12">
        <f>IFERROR(IF(H184="OSCURO",VLOOKUP(D184,PRECIOS!$A$4:$F$32,2,FALSE()),IF(H184="CLARO",VLOOKUP(D184,PRECIOS!$A$4:$F$32,3,FALSE()),IF(H184="MELANGE",VLOOKUP(D184,PRECIOS!$A$4:$F$32,4,FALSE()),IF(H184="PPT",VLOOKUP(D184,PRECIOS!$A$4:$F$32,5,FALSE()),0)))),0)</f>
        <v>0</v>
      </c>
      <c r="J184" s="12">
        <f t="shared" si="8"/>
        <v>0</v>
      </c>
      <c r="K184" s="13">
        <f>IFERROR(IF(C184="",0,SUMIFS($F$4:$F$183,$C$4:$C$183,C184,$D$4:$D$183,D184,$E$4:$E$183,E184,$B$4:$B$183,"INGRESO")+SUMIFS($F$4:$F$183,$C$4:$C$183,C184,$D$4:$D$183,D184,$E$4:$E$183,E184,$B$4:$B$183,"DE REPROCESO")+SUMIFS($F$4:$F$183,$C$4:$C$183,C184,$D$4:$D$183,D184,$E$4:$E$183,E184,$B$4:$B$183,"AJUSTE+")-SUMIFS($F$4:$F$183,$C$4:$C$183,C184,$D$4:$D$183,D184,$E$4:$E$183,E184,$B$4:$B$183,"A CORTE")-SUMIFS($F$4:$F$183,$C$4:$C$183,C184,$D$4:$D$183,D184,$E$4:$E$183,E184,$B$4:$B$183,"A REPROCESO")-SUMIFS($F$4:$F$183,$C$4:$C$183,C184,$D$4:$D$183,D184,$E$4:$E$183,E184,$B$4:$B$183,"MUESTRA")-SUMIFS($F$4:$F$183,$C$4:$C$183,C184,$D$4:$D$183,D184,$E$4:$E$183,E184,$B$4:$B$183,"AJUSTE-")),0)</f>
        <v>0</v>
      </c>
      <c r="L184" s="13">
        <f t="shared" si="9"/>
        <v>0</v>
      </c>
      <c r="M184" s="8"/>
      <c r="N184" s="14"/>
      <c r="O184" s="14"/>
      <c r="P184" s="14"/>
      <c r="Q184" s="15"/>
      <c r="R184" s="16" t="str">
        <f t="shared" si="10"/>
        <v/>
      </c>
    </row>
    <row r="185" ht="15.75" customHeight="1">
      <c r="A185" s="7"/>
      <c r="B185" s="8"/>
      <c r="C185" s="8"/>
      <c r="D185" s="8"/>
      <c r="E185" s="8"/>
      <c r="F185" s="9"/>
      <c r="G185" s="10">
        <f>IFERROR(F185*VLOOKUP(D185,TELAS!$A$4:$C$32,3,FALSE()),0)</f>
        <v>0</v>
      </c>
      <c r="H185" s="11" t="str">
        <f>IFERROR(VLOOKUP(E185,COLORES!$A$4:$B$102,2,FALSE()),"")</f>
        <v/>
      </c>
      <c r="I185" s="12">
        <f>IFERROR(IF(H185="OSCURO",VLOOKUP(D185,PRECIOS!$A$4:$F$32,2,FALSE()),IF(H185="CLARO",VLOOKUP(D185,PRECIOS!$A$4:$F$32,3,FALSE()),IF(H185="MELANGE",VLOOKUP(D185,PRECIOS!$A$4:$F$32,4,FALSE()),IF(H185="PPT",VLOOKUP(D185,PRECIOS!$A$4:$F$32,5,FALSE()),0)))),0)</f>
        <v>0</v>
      </c>
      <c r="J185" s="12">
        <f t="shared" si="8"/>
        <v>0</v>
      </c>
      <c r="K185" s="13">
        <f>IFERROR(IF(C185="",0,SUMIFS($F$4:$F$184,$C$4:$C$184,C185,$D$4:$D$184,D185,$E$4:$E$184,E185,$B$4:$B$184,"INGRESO")+SUMIFS($F$4:$F$184,$C$4:$C$184,C185,$D$4:$D$184,D185,$E$4:$E$184,E185,$B$4:$B$184,"DE REPROCESO")+SUMIFS($F$4:$F$184,$C$4:$C$184,C185,$D$4:$D$184,D185,$E$4:$E$184,E185,$B$4:$B$184,"AJUSTE+")-SUMIFS($F$4:$F$184,$C$4:$C$184,C185,$D$4:$D$184,D185,$E$4:$E$184,E185,$B$4:$B$184,"A CORTE")-SUMIFS($F$4:$F$184,$C$4:$C$184,C185,$D$4:$D$184,D185,$E$4:$E$184,E185,$B$4:$B$184,"A REPROCESO")-SUMIFS($F$4:$F$184,$C$4:$C$184,C185,$D$4:$D$184,D185,$E$4:$E$184,E185,$B$4:$B$184,"MUESTRA")-SUMIFS($F$4:$F$184,$C$4:$C$184,C185,$D$4:$D$184,D185,$E$4:$E$184,E185,$B$4:$B$184,"AJUSTE-")),0)</f>
        <v>0</v>
      </c>
      <c r="L185" s="13">
        <f t="shared" si="9"/>
        <v>0</v>
      </c>
      <c r="M185" s="8"/>
      <c r="N185" s="14"/>
      <c r="O185" s="14"/>
      <c r="P185" s="14"/>
      <c r="Q185" s="15"/>
      <c r="R185" s="16" t="str">
        <f t="shared" si="10"/>
        <v/>
      </c>
    </row>
    <row r="186" ht="15.75" customHeight="1">
      <c r="A186" s="7"/>
      <c r="B186" s="8"/>
      <c r="C186" s="8"/>
      <c r="D186" s="8"/>
      <c r="E186" s="8"/>
      <c r="F186" s="9"/>
      <c r="G186" s="10">
        <f>IFERROR(F186*VLOOKUP(D186,TELAS!$A$4:$C$32,3,FALSE()),0)</f>
        <v>0</v>
      </c>
      <c r="H186" s="11" t="str">
        <f>IFERROR(VLOOKUP(E186,COLORES!$A$4:$B$102,2,FALSE()),"")</f>
        <v/>
      </c>
      <c r="I186" s="12">
        <f>IFERROR(IF(H186="OSCURO",VLOOKUP(D186,PRECIOS!$A$4:$F$32,2,FALSE()),IF(H186="CLARO",VLOOKUP(D186,PRECIOS!$A$4:$F$32,3,FALSE()),IF(H186="MELANGE",VLOOKUP(D186,PRECIOS!$A$4:$F$32,4,FALSE()),IF(H186="PPT",VLOOKUP(D186,PRECIOS!$A$4:$F$32,5,FALSE()),0)))),0)</f>
        <v>0</v>
      </c>
      <c r="J186" s="12">
        <f t="shared" si="8"/>
        <v>0</v>
      </c>
      <c r="K186" s="13">
        <f>IFERROR(IF(C186="",0,SUMIFS($F$4:$F$185,$C$4:$C$185,C186,$D$4:$D$185,D186,$E$4:$E$185,E186,$B$4:$B$185,"INGRESO")+SUMIFS($F$4:$F$185,$C$4:$C$185,C186,$D$4:$D$185,D186,$E$4:$E$185,E186,$B$4:$B$185,"DE REPROCESO")+SUMIFS($F$4:$F$185,$C$4:$C$185,C186,$D$4:$D$185,D186,$E$4:$E$185,E186,$B$4:$B$185,"AJUSTE+")-SUMIFS($F$4:$F$185,$C$4:$C$185,C186,$D$4:$D$185,D186,$E$4:$E$185,E186,$B$4:$B$185,"A CORTE")-SUMIFS($F$4:$F$185,$C$4:$C$185,C186,$D$4:$D$185,D186,$E$4:$E$185,E186,$B$4:$B$185,"A REPROCESO")-SUMIFS($F$4:$F$185,$C$4:$C$185,C186,$D$4:$D$185,D186,$E$4:$E$185,E186,$B$4:$B$185,"MUESTRA")-SUMIFS($F$4:$F$185,$C$4:$C$185,C186,$D$4:$D$185,D186,$E$4:$E$185,E186,$B$4:$B$185,"AJUSTE-")),0)</f>
        <v>0</v>
      </c>
      <c r="L186" s="13">
        <f t="shared" si="9"/>
        <v>0</v>
      </c>
      <c r="M186" s="8"/>
      <c r="N186" s="14"/>
      <c r="O186" s="14"/>
      <c r="P186" s="14"/>
      <c r="Q186" s="15"/>
      <c r="R186" s="16" t="str">
        <f t="shared" si="10"/>
        <v/>
      </c>
    </row>
    <row r="187" ht="15.75" customHeight="1">
      <c r="A187" s="7"/>
      <c r="B187" s="8"/>
      <c r="C187" s="8"/>
      <c r="D187" s="8"/>
      <c r="E187" s="8"/>
      <c r="F187" s="9"/>
      <c r="G187" s="10">
        <f>IFERROR(F187*VLOOKUP(D187,TELAS!$A$4:$C$32,3,FALSE()),0)</f>
        <v>0</v>
      </c>
      <c r="H187" s="11" t="str">
        <f>IFERROR(VLOOKUP(E187,COLORES!$A$4:$B$102,2,FALSE()),"")</f>
        <v/>
      </c>
      <c r="I187" s="12">
        <f>IFERROR(IF(H187="OSCURO",VLOOKUP(D187,PRECIOS!$A$4:$F$32,2,FALSE()),IF(H187="CLARO",VLOOKUP(D187,PRECIOS!$A$4:$F$32,3,FALSE()),IF(H187="MELANGE",VLOOKUP(D187,PRECIOS!$A$4:$F$32,4,FALSE()),IF(H187="PPT",VLOOKUP(D187,PRECIOS!$A$4:$F$32,5,FALSE()),0)))),0)</f>
        <v>0</v>
      </c>
      <c r="J187" s="12">
        <f t="shared" si="8"/>
        <v>0</v>
      </c>
      <c r="K187" s="13">
        <f>IFERROR(IF(C187="",0,SUMIFS($F$4:$F$186,$C$4:$C$186,C187,$D$4:$D$186,D187,$E$4:$E$186,E187,$B$4:$B$186,"INGRESO")+SUMIFS($F$4:$F$186,$C$4:$C$186,C187,$D$4:$D$186,D187,$E$4:$E$186,E187,$B$4:$B$186,"DE REPROCESO")+SUMIFS($F$4:$F$186,$C$4:$C$186,C187,$D$4:$D$186,D187,$E$4:$E$186,E187,$B$4:$B$186,"AJUSTE+")-SUMIFS($F$4:$F$186,$C$4:$C$186,C187,$D$4:$D$186,D187,$E$4:$E$186,E187,$B$4:$B$186,"A CORTE")-SUMIFS($F$4:$F$186,$C$4:$C$186,C187,$D$4:$D$186,D187,$E$4:$E$186,E187,$B$4:$B$186,"A REPROCESO")-SUMIFS($F$4:$F$186,$C$4:$C$186,C187,$D$4:$D$186,D187,$E$4:$E$186,E187,$B$4:$B$186,"MUESTRA")-SUMIFS($F$4:$F$186,$C$4:$C$186,C187,$D$4:$D$186,D187,$E$4:$E$186,E187,$B$4:$B$186,"AJUSTE-")),0)</f>
        <v>0</v>
      </c>
      <c r="L187" s="13">
        <f t="shared" si="9"/>
        <v>0</v>
      </c>
      <c r="M187" s="8"/>
      <c r="N187" s="14"/>
      <c r="O187" s="14"/>
      <c r="P187" s="14"/>
      <c r="Q187" s="15"/>
      <c r="R187" s="16" t="str">
        <f t="shared" si="10"/>
        <v/>
      </c>
    </row>
    <row r="188" ht="15.75" customHeight="1">
      <c r="A188" s="7"/>
      <c r="B188" s="8"/>
      <c r="C188" s="8"/>
      <c r="D188" s="8"/>
      <c r="E188" s="8"/>
      <c r="F188" s="9"/>
      <c r="G188" s="10">
        <f>IFERROR(F188*VLOOKUP(D188,TELAS!$A$4:$C$32,3,FALSE()),0)</f>
        <v>0</v>
      </c>
      <c r="H188" s="11" t="str">
        <f>IFERROR(VLOOKUP(E188,COLORES!$A$4:$B$102,2,FALSE()),"")</f>
        <v/>
      </c>
      <c r="I188" s="12">
        <f>IFERROR(IF(H188="OSCURO",VLOOKUP(D188,PRECIOS!$A$4:$F$32,2,FALSE()),IF(H188="CLARO",VLOOKUP(D188,PRECIOS!$A$4:$F$32,3,FALSE()),IF(H188="MELANGE",VLOOKUP(D188,PRECIOS!$A$4:$F$32,4,FALSE()),IF(H188="PPT",VLOOKUP(D188,PRECIOS!$A$4:$F$32,5,FALSE()),0)))),0)</f>
        <v>0</v>
      </c>
      <c r="J188" s="12">
        <f t="shared" si="8"/>
        <v>0</v>
      </c>
      <c r="K188" s="13">
        <f>IFERROR(IF(C188="",0,SUMIFS($F$4:$F$187,$C$4:$C$187,C188,$D$4:$D$187,D188,$E$4:$E$187,E188,$B$4:$B$187,"INGRESO")+SUMIFS($F$4:$F$187,$C$4:$C$187,C188,$D$4:$D$187,D188,$E$4:$E$187,E188,$B$4:$B$187,"DE REPROCESO")+SUMIFS($F$4:$F$187,$C$4:$C$187,C188,$D$4:$D$187,D188,$E$4:$E$187,E188,$B$4:$B$187,"AJUSTE+")-SUMIFS($F$4:$F$187,$C$4:$C$187,C188,$D$4:$D$187,D188,$E$4:$E$187,E188,$B$4:$B$187,"A CORTE")-SUMIFS($F$4:$F$187,$C$4:$C$187,C188,$D$4:$D$187,D188,$E$4:$E$187,E188,$B$4:$B$187,"A REPROCESO")-SUMIFS($F$4:$F$187,$C$4:$C$187,C188,$D$4:$D$187,D188,$E$4:$E$187,E188,$B$4:$B$187,"MUESTRA")-SUMIFS($F$4:$F$187,$C$4:$C$187,C188,$D$4:$D$187,D188,$E$4:$E$187,E188,$B$4:$B$187,"AJUSTE-")),0)</f>
        <v>0</v>
      </c>
      <c r="L188" s="13">
        <f t="shared" si="9"/>
        <v>0</v>
      </c>
      <c r="M188" s="8"/>
      <c r="N188" s="14"/>
      <c r="O188" s="14"/>
      <c r="P188" s="14"/>
      <c r="Q188" s="15"/>
      <c r="R188" s="16" t="str">
        <f t="shared" si="10"/>
        <v/>
      </c>
    </row>
    <row r="189" ht="15.75" customHeight="1">
      <c r="A189" s="7"/>
      <c r="B189" s="8"/>
      <c r="C189" s="8"/>
      <c r="D189" s="8"/>
      <c r="E189" s="8"/>
      <c r="F189" s="9"/>
      <c r="G189" s="10">
        <f>IFERROR(F189*VLOOKUP(D189,TELAS!$A$4:$C$32,3,FALSE()),0)</f>
        <v>0</v>
      </c>
      <c r="H189" s="11" t="str">
        <f>IFERROR(VLOOKUP(E189,COLORES!$A$4:$B$102,2,FALSE()),"")</f>
        <v/>
      </c>
      <c r="I189" s="12">
        <f>IFERROR(IF(H189="OSCURO",VLOOKUP(D189,PRECIOS!$A$4:$F$32,2,FALSE()),IF(H189="CLARO",VLOOKUP(D189,PRECIOS!$A$4:$F$32,3,FALSE()),IF(H189="MELANGE",VLOOKUP(D189,PRECIOS!$A$4:$F$32,4,FALSE()),IF(H189="PPT",VLOOKUP(D189,PRECIOS!$A$4:$F$32,5,FALSE()),0)))),0)</f>
        <v>0</v>
      </c>
      <c r="J189" s="12">
        <f t="shared" si="8"/>
        <v>0</v>
      </c>
      <c r="K189" s="13">
        <f>IFERROR(IF(C189="",0,SUMIFS($F$4:$F$188,$C$4:$C$188,C189,$D$4:$D$188,D189,$E$4:$E$188,E189,$B$4:$B$188,"INGRESO")+SUMIFS($F$4:$F$188,$C$4:$C$188,C189,$D$4:$D$188,D189,$E$4:$E$188,E189,$B$4:$B$188,"DE REPROCESO")+SUMIFS($F$4:$F$188,$C$4:$C$188,C189,$D$4:$D$188,D189,$E$4:$E$188,E189,$B$4:$B$188,"AJUSTE+")-SUMIFS($F$4:$F$188,$C$4:$C$188,C189,$D$4:$D$188,D189,$E$4:$E$188,E189,$B$4:$B$188,"A CORTE")-SUMIFS($F$4:$F$188,$C$4:$C$188,C189,$D$4:$D$188,D189,$E$4:$E$188,E189,$B$4:$B$188,"A REPROCESO")-SUMIFS($F$4:$F$188,$C$4:$C$188,C189,$D$4:$D$188,D189,$E$4:$E$188,E189,$B$4:$B$188,"MUESTRA")-SUMIFS($F$4:$F$188,$C$4:$C$188,C189,$D$4:$D$188,D189,$E$4:$E$188,E189,$B$4:$B$188,"AJUSTE-")),0)</f>
        <v>0</v>
      </c>
      <c r="L189" s="13">
        <f t="shared" si="9"/>
        <v>0</v>
      </c>
      <c r="M189" s="8"/>
      <c r="N189" s="14"/>
      <c r="O189" s="14"/>
      <c r="P189" s="14"/>
      <c r="Q189" s="15"/>
      <c r="R189" s="16" t="str">
        <f t="shared" si="10"/>
        <v/>
      </c>
    </row>
    <row r="190" ht="15.75" customHeight="1">
      <c r="A190" s="7"/>
      <c r="B190" s="8"/>
      <c r="C190" s="8"/>
      <c r="D190" s="8"/>
      <c r="E190" s="8"/>
      <c r="F190" s="9"/>
      <c r="G190" s="10">
        <f>IFERROR(F190*VLOOKUP(D190,TELAS!$A$4:$C$32,3,FALSE()),0)</f>
        <v>0</v>
      </c>
      <c r="H190" s="11" t="str">
        <f>IFERROR(VLOOKUP(E190,COLORES!$A$4:$B$102,2,FALSE()),"")</f>
        <v/>
      </c>
      <c r="I190" s="12">
        <f>IFERROR(IF(H190="OSCURO",VLOOKUP(D190,PRECIOS!$A$4:$F$32,2,FALSE()),IF(H190="CLARO",VLOOKUP(D190,PRECIOS!$A$4:$F$32,3,FALSE()),IF(H190="MELANGE",VLOOKUP(D190,PRECIOS!$A$4:$F$32,4,FALSE()),IF(H190="PPT",VLOOKUP(D190,PRECIOS!$A$4:$F$32,5,FALSE()),0)))),0)</f>
        <v>0</v>
      </c>
      <c r="J190" s="12">
        <f t="shared" si="8"/>
        <v>0</v>
      </c>
      <c r="K190" s="13">
        <f>IFERROR(IF(C190="",0,SUMIFS($F$4:$F$189,$C$4:$C$189,C190,$D$4:$D$189,D190,$E$4:$E$189,E190,$B$4:$B$189,"INGRESO")+SUMIFS($F$4:$F$189,$C$4:$C$189,C190,$D$4:$D$189,D190,$E$4:$E$189,E190,$B$4:$B$189,"DE REPROCESO")+SUMIFS($F$4:$F$189,$C$4:$C$189,C190,$D$4:$D$189,D190,$E$4:$E$189,E190,$B$4:$B$189,"AJUSTE+")-SUMIFS($F$4:$F$189,$C$4:$C$189,C190,$D$4:$D$189,D190,$E$4:$E$189,E190,$B$4:$B$189,"A CORTE")-SUMIFS($F$4:$F$189,$C$4:$C$189,C190,$D$4:$D$189,D190,$E$4:$E$189,E190,$B$4:$B$189,"A REPROCESO")-SUMIFS($F$4:$F$189,$C$4:$C$189,C190,$D$4:$D$189,D190,$E$4:$E$189,E190,$B$4:$B$189,"MUESTRA")-SUMIFS($F$4:$F$189,$C$4:$C$189,C190,$D$4:$D$189,D190,$E$4:$E$189,E190,$B$4:$B$189,"AJUSTE-")),0)</f>
        <v>0</v>
      </c>
      <c r="L190" s="13">
        <f t="shared" si="9"/>
        <v>0</v>
      </c>
      <c r="M190" s="8"/>
      <c r="N190" s="14"/>
      <c r="O190" s="14"/>
      <c r="P190" s="14"/>
      <c r="Q190" s="15"/>
      <c r="R190" s="16" t="str">
        <f t="shared" si="10"/>
        <v/>
      </c>
    </row>
    <row r="191" ht="15.75" customHeight="1">
      <c r="A191" s="7"/>
      <c r="B191" s="8"/>
      <c r="C191" s="8"/>
      <c r="D191" s="8"/>
      <c r="E191" s="8"/>
      <c r="F191" s="9"/>
      <c r="G191" s="10">
        <f>IFERROR(F191*VLOOKUP(D191,TELAS!$A$4:$C$32,3,FALSE()),0)</f>
        <v>0</v>
      </c>
      <c r="H191" s="11" t="str">
        <f>IFERROR(VLOOKUP(E191,COLORES!$A$4:$B$102,2,FALSE()),"")</f>
        <v/>
      </c>
      <c r="I191" s="12">
        <f>IFERROR(IF(H191="OSCURO",VLOOKUP(D191,PRECIOS!$A$4:$F$32,2,FALSE()),IF(H191="CLARO",VLOOKUP(D191,PRECIOS!$A$4:$F$32,3,FALSE()),IF(H191="MELANGE",VLOOKUP(D191,PRECIOS!$A$4:$F$32,4,FALSE()),IF(H191="PPT",VLOOKUP(D191,PRECIOS!$A$4:$F$32,5,FALSE()),0)))),0)</f>
        <v>0</v>
      </c>
      <c r="J191" s="12">
        <f t="shared" si="8"/>
        <v>0</v>
      </c>
      <c r="K191" s="13">
        <f>IFERROR(IF(C191="",0,SUMIFS($F$4:$F$190,$C$4:$C$190,C191,$D$4:$D$190,D191,$E$4:$E$190,E191,$B$4:$B$190,"INGRESO")+SUMIFS($F$4:$F$190,$C$4:$C$190,C191,$D$4:$D$190,D191,$E$4:$E$190,E191,$B$4:$B$190,"DE REPROCESO")+SUMIFS($F$4:$F$190,$C$4:$C$190,C191,$D$4:$D$190,D191,$E$4:$E$190,E191,$B$4:$B$190,"AJUSTE+")-SUMIFS($F$4:$F$190,$C$4:$C$190,C191,$D$4:$D$190,D191,$E$4:$E$190,E191,$B$4:$B$190,"A CORTE")-SUMIFS($F$4:$F$190,$C$4:$C$190,C191,$D$4:$D$190,D191,$E$4:$E$190,E191,$B$4:$B$190,"A REPROCESO")-SUMIFS($F$4:$F$190,$C$4:$C$190,C191,$D$4:$D$190,D191,$E$4:$E$190,E191,$B$4:$B$190,"MUESTRA")-SUMIFS($F$4:$F$190,$C$4:$C$190,C191,$D$4:$D$190,D191,$E$4:$E$190,E191,$B$4:$B$190,"AJUSTE-")),0)</f>
        <v>0</v>
      </c>
      <c r="L191" s="13">
        <f t="shared" si="9"/>
        <v>0</v>
      </c>
      <c r="M191" s="8"/>
      <c r="N191" s="14"/>
      <c r="O191" s="14"/>
      <c r="P191" s="14"/>
      <c r="Q191" s="15"/>
      <c r="R191" s="16" t="str">
        <f t="shared" si="10"/>
        <v/>
      </c>
    </row>
    <row r="192" ht="15.75" customHeight="1">
      <c r="A192" s="7"/>
      <c r="B192" s="8"/>
      <c r="C192" s="8"/>
      <c r="D192" s="8"/>
      <c r="E192" s="8"/>
      <c r="F192" s="9"/>
      <c r="G192" s="10">
        <f>IFERROR(F192*VLOOKUP(D192,TELAS!$A$4:$C$32,3,FALSE()),0)</f>
        <v>0</v>
      </c>
      <c r="H192" s="11" t="str">
        <f>IFERROR(VLOOKUP(E192,COLORES!$A$4:$B$102,2,FALSE()),"")</f>
        <v/>
      </c>
      <c r="I192" s="12">
        <f>IFERROR(IF(H192="OSCURO",VLOOKUP(D192,PRECIOS!$A$4:$F$32,2,FALSE()),IF(H192="CLARO",VLOOKUP(D192,PRECIOS!$A$4:$F$32,3,FALSE()),IF(H192="MELANGE",VLOOKUP(D192,PRECIOS!$A$4:$F$32,4,FALSE()),IF(H192="PPT",VLOOKUP(D192,PRECIOS!$A$4:$F$32,5,FALSE()),0)))),0)</f>
        <v>0</v>
      </c>
      <c r="J192" s="12">
        <f t="shared" si="8"/>
        <v>0</v>
      </c>
      <c r="K192" s="13">
        <f>IFERROR(IF(C192="",0,SUMIFS($F$4:$F$191,$C$4:$C$191,C192,$D$4:$D$191,D192,$E$4:$E$191,E192,$B$4:$B$191,"INGRESO")+SUMIFS($F$4:$F$191,$C$4:$C$191,C192,$D$4:$D$191,D192,$E$4:$E$191,E192,$B$4:$B$191,"DE REPROCESO")+SUMIFS($F$4:$F$191,$C$4:$C$191,C192,$D$4:$D$191,D192,$E$4:$E$191,E192,$B$4:$B$191,"AJUSTE+")-SUMIFS($F$4:$F$191,$C$4:$C$191,C192,$D$4:$D$191,D192,$E$4:$E$191,E192,$B$4:$B$191,"A CORTE")-SUMIFS($F$4:$F$191,$C$4:$C$191,C192,$D$4:$D$191,D192,$E$4:$E$191,E192,$B$4:$B$191,"A REPROCESO")-SUMIFS($F$4:$F$191,$C$4:$C$191,C192,$D$4:$D$191,D192,$E$4:$E$191,E192,$B$4:$B$191,"MUESTRA")-SUMIFS($F$4:$F$191,$C$4:$C$191,C192,$D$4:$D$191,D192,$E$4:$E$191,E192,$B$4:$B$191,"AJUSTE-")),0)</f>
        <v>0</v>
      </c>
      <c r="L192" s="13">
        <f t="shared" si="9"/>
        <v>0</v>
      </c>
      <c r="M192" s="8"/>
      <c r="N192" s="14"/>
      <c r="O192" s="14"/>
      <c r="P192" s="14"/>
      <c r="Q192" s="15"/>
      <c r="R192" s="16" t="str">
        <f t="shared" si="10"/>
        <v/>
      </c>
    </row>
    <row r="193" ht="15.75" customHeight="1">
      <c r="A193" s="7"/>
      <c r="B193" s="8"/>
      <c r="C193" s="8"/>
      <c r="D193" s="8"/>
      <c r="E193" s="8"/>
      <c r="F193" s="9"/>
      <c r="G193" s="10">
        <f>IFERROR(F193*VLOOKUP(D193,TELAS!$A$4:$C$32,3,FALSE()),0)</f>
        <v>0</v>
      </c>
      <c r="H193" s="11" t="str">
        <f>IFERROR(VLOOKUP(E193,COLORES!$A$4:$B$102,2,FALSE()),"")</f>
        <v/>
      </c>
      <c r="I193" s="12">
        <f>IFERROR(IF(H193="OSCURO",VLOOKUP(D193,PRECIOS!$A$4:$F$32,2,FALSE()),IF(H193="CLARO",VLOOKUP(D193,PRECIOS!$A$4:$F$32,3,FALSE()),IF(H193="MELANGE",VLOOKUP(D193,PRECIOS!$A$4:$F$32,4,FALSE()),IF(H193="PPT",VLOOKUP(D193,PRECIOS!$A$4:$F$32,5,FALSE()),0)))),0)</f>
        <v>0</v>
      </c>
      <c r="J193" s="12">
        <f t="shared" si="8"/>
        <v>0</v>
      </c>
      <c r="K193" s="13">
        <f>IFERROR(IF(C193="",0,SUMIFS($F$4:$F$192,$C$4:$C$192,C193,$D$4:$D$192,D193,$E$4:$E$192,E193,$B$4:$B$192,"INGRESO")+SUMIFS($F$4:$F$192,$C$4:$C$192,C193,$D$4:$D$192,D193,$E$4:$E$192,E193,$B$4:$B$192,"DE REPROCESO")+SUMIFS($F$4:$F$192,$C$4:$C$192,C193,$D$4:$D$192,D193,$E$4:$E$192,E193,$B$4:$B$192,"AJUSTE+")-SUMIFS($F$4:$F$192,$C$4:$C$192,C193,$D$4:$D$192,D193,$E$4:$E$192,E193,$B$4:$B$192,"A CORTE")-SUMIFS($F$4:$F$192,$C$4:$C$192,C193,$D$4:$D$192,D193,$E$4:$E$192,E193,$B$4:$B$192,"A REPROCESO")-SUMIFS($F$4:$F$192,$C$4:$C$192,C193,$D$4:$D$192,D193,$E$4:$E$192,E193,$B$4:$B$192,"MUESTRA")-SUMIFS($F$4:$F$192,$C$4:$C$192,C193,$D$4:$D$192,D193,$E$4:$E$192,E193,$B$4:$B$192,"AJUSTE-")),0)</f>
        <v>0</v>
      </c>
      <c r="L193" s="13">
        <f t="shared" si="9"/>
        <v>0</v>
      </c>
      <c r="M193" s="8"/>
      <c r="N193" s="14"/>
      <c r="O193" s="14"/>
      <c r="P193" s="14"/>
      <c r="Q193" s="15"/>
      <c r="R193" s="16" t="str">
        <f t="shared" si="10"/>
        <v/>
      </c>
    </row>
    <row r="194" ht="15.75" customHeight="1">
      <c r="A194" s="7"/>
      <c r="B194" s="8"/>
      <c r="C194" s="8"/>
      <c r="D194" s="8"/>
      <c r="E194" s="8"/>
      <c r="F194" s="9"/>
      <c r="G194" s="10">
        <f>IFERROR(F194*VLOOKUP(D194,TELAS!$A$4:$C$32,3,FALSE()),0)</f>
        <v>0</v>
      </c>
      <c r="H194" s="11" t="str">
        <f>IFERROR(VLOOKUP(E194,COLORES!$A$4:$B$102,2,FALSE()),"")</f>
        <v/>
      </c>
      <c r="I194" s="12">
        <f>IFERROR(IF(H194="OSCURO",VLOOKUP(D194,PRECIOS!$A$4:$F$32,2,FALSE()),IF(H194="CLARO",VLOOKUP(D194,PRECIOS!$A$4:$F$32,3,FALSE()),IF(H194="MELANGE",VLOOKUP(D194,PRECIOS!$A$4:$F$32,4,FALSE()),IF(H194="PPT",VLOOKUP(D194,PRECIOS!$A$4:$F$32,5,FALSE()),0)))),0)</f>
        <v>0</v>
      </c>
      <c r="J194" s="12">
        <f t="shared" si="8"/>
        <v>0</v>
      </c>
      <c r="K194" s="13">
        <f>IFERROR(IF(C194="",0,SUMIFS($F$4:$F$193,$C$4:$C$193,C194,$D$4:$D$193,D194,$E$4:$E$193,E194,$B$4:$B$193,"INGRESO")+SUMIFS($F$4:$F$193,$C$4:$C$193,C194,$D$4:$D$193,D194,$E$4:$E$193,E194,$B$4:$B$193,"DE REPROCESO")+SUMIFS($F$4:$F$193,$C$4:$C$193,C194,$D$4:$D$193,D194,$E$4:$E$193,E194,$B$4:$B$193,"AJUSTE+")-SUMIFS($F$4:$F$193,$C$4:$C$193,C194,$D$4:$D$193,D194,$E$4:$E$193,E194,$B$4:$B$193,"A CORTE")-SUMIFS($F$4:$F$193,$C$4:$C$193,C194,$D$4:$D$193,D194,$E$4:$E$193,E194,$B$4:$B$193,"A REPROCESO")-SUMIFS($F$4:$F$193,$C$4:$C$193,C194,$D$4:$D$193,D194,$E$4:$E$193,E194,$B$4:$B$193,"MUESTRA")-SUMIFS($F$4:$F$193,$C$4:$C$193,C194,$D$4:$D$193,D194,$E$4:$E$193,E194,$B$4:$B$193,"AJUSTE-")),0)</f>
        <v>0</v>
      </c>
      <c r="L194" s="13">
        <f t="shared" si="9"/>
        <v>0</v>
      </c>
      <c r="M194" s="8"/>
      <c r="N194" s="14"/>
      <c r="O194" s="14"/>
      <c r="P194" s="14"/>
      <c r="Q194" s="15"/>
      <c r="R194" s="16" t="str">
        <f t="shared" si="10"/>
        <v/>
      </c>
    </row>
    <row r="195" ht="15.75" customHeight="1">
      <c r="A195" s="7"/>
      <c r="B195" s="8"/>
      <c r="C195" s="8"/>
      <c r="D195" s="8"/>
      <c r="E195" s="8"/>
      <c r="F195" s="9"/>
      <c r="G195" s="10">
        <f>IFERROR(F195*VLOOKUP(D195,TELAS!$A$4:$C$32,3,FALSE()),0)</f>
        <v>0</v>
      </c>
      <c r="H195" s="11" t="str">
        <f>IFERROR(VLOOKUP(E195,COLORES!$A$4:$B$102,2,FALSE()),"")</f>
        <v/>
      </c>
      <c r="I195" s="12">
        <f>IFERROR(IF(H195="OSCURO",VLOOKUP(D195,PRECIOS!$A$4:$F$32,2,FALSE()),IF(H195="CLARO",VLOOKUP(D195,PRECIOS!$A$4:$F$32,3,FALSE()),IF(H195="MELANGE",VLOOKUP(D195,PRECIOS!$A$4:$F$32,4,FALSE()),IF(H195="PPT",VLOOKUP(D195,PRECIOS!$A$4:$F$32,5,FALSE()),0)))),0)</f>
        <v>0</v>
      </c>
      <c r="J195" s="12">
        <f t="shared" si="8"/>
        <v>0</v>
      </c>
      <c r="K195" s="13">
        <f>IFERROR(IF(C195="",0,SUMIFS($F$4:$F$194,$C$4:$C$194,C195,$D$4:$D$194,D195,$E$4:$E$194,E195,$B$4:$B$194,"INGRESO")+SUMIFS($F$4:$F$194,$C$4:$C$194,C195,$D$4:$D$194,D195,$E$4:$E$194,E195,$B$4:$B$194,"DE REPROCESO")+SUMIFS($F$4:$F$194,$C$4:$C$194,C195,$D$4:$D$194,D195,$E$4:$E$194,E195,$B$4:$B$194,"AJUSTE+")-SUMIFS($F$4:$F$194,$C$4:$C$194,C195,$D$4:$D$194,D195,$E$4:$E$194,E195,$B$4:$B$194,"A CORTE")-SUMIFS($F$4:$F$194,$C$4:$C$194,C195,$D$4:$D$194,D195,$E$4:$E$194,E195,$B$4:$B$194,"A REPROCESO")-SUMIFS($F$4:$F$194,$C$4:$C$194,C195,$D$4:$D$194,D195,$E$4:$E$194,E195,$B$4:$B$194,"MUESTRA")-SUMIFS($F$4:$F$194,$C$4:$C$194,C195,$D$4:$D$194,D195,$E$4:$E$194,E195,$B$4:$B$194,"AJUSTE-")),0)</f>
        <v>0</v>
      </c>
      <c r="L195" s="13">
        <f t="shared" si="9"/>
        <v>0</v>
      </c>
      <c r="M195" s="8"/>
      <c r="N195" s="14"/>
      <c r="O195" s="14"/>
      <c r="P195" s="14"/>
      <c r="Q195" s="15"/>
      <c r="R195" s="16" t="str">
        <f t="shared" si="10"/>
        <v/>
      </c>
    </row>
    <row r="196" ht="15.75" customHeight="1">
      <c r="A196" s="7"/>
      <c r="B196" s="8"/>
      <c r="C196" s="8"/>
      <c r="D196" s="8"/>
      <c r="E196" s="8"/>
      <c r="F196" s="9"/>
      <c r="G196" s="10">
        <f>IFERROR(F196*VLOOKUP(D196,TELAS!$A$4:$C$32,3,FALSE()),0)</f>
        <v>0</v>
      </c>
      <c r="H196" s="11" t="str">
        <f>IFERROR(VLOOKUP(E196,COLORES!$A$4:$B$102,2,FALSE()),"")</f>
        <v/>
      </c>
      <c r="I196" s="12">
        <f>IFERROR(IF(H196="OSCURO",VLOOKUP(D196,PRECIOS!$A$4:$F$32,2,FALSE()),IF(H196="CLARO",VLOOKUP(D196,PRECIOS!$A$4:$F$32,3,FALSE()),IF(H196="MELANGE",VLOOKUP(D196,PRECIOS!$A$4:$F$32,4,FALSE()),IF(H196="PPT",VLOOKUP(D196,PRECIOS!$A$4:$F$32,5,FALSE()),0)))),0)</f>
        <v>0</v>
      </c>
      <c r="J196" s="12">
        <f t="shared" si="8"/>
        <v>0</v>
      </c>
      <c r="K196" s="13">
        <f>IFERROR(IF(C196="",0,SUMIFS($F$4:$F$195,$C$4:$C$195,C196,$D$4:$D$195,D196,$E$4:$E$195,E196,$B$4:$B$195,"INGRESO")+SUMIFS($F$4:$F$195,$C$4:$C$195,C196,$D$4:$D$195,D196,$E$4:$E$195,E196,$B$4:$B$195,"DE REPROCESO")+SUMIFS($F$4:$F$195,$C$4:$C$195,C196,$D$4:$D$195,D196,$E$4:$E$195,E196,$B$4:$B$195,"AJUSTE+")-SUMIFS($F$4:$F$195,$C$4:$C$195,C196,$D$4:$D$195,D196,$E$4:$E$195,E196,$B$4:$B$195,"A CORTE")-SUMIFS($F$4:$F$195,$C$4:$C$195,C196,$D$4:$D$195,D196,$E$4:$E$195,E196,$B$4:$B$195,"A REPROCESO")-SUMIFS($F$4:$F$195,$C$4:$C$195,C196,$D$4:$D$195,D196,$E$4:$E$195,E196,$B$4:$B$195,"MUESTRA")-SUMIFS($F$4:$F$195,$C$4:$C$195,C196,$D$4:$D$195,D196,$E$4:$E$195,E196,$B$4:$B$195,"AJUSTE-")),0)</f>
        <v>0</v>
      </c>
      <c r="L196" s="13">
        <f t="shared" si="9"/>
        <v>0</v>
      </c>
      <c r="M196" s="8"/>
      <c r="N196" s="14"/>
      <c r="O196" s="14"/>
      <c r="P196" s="14"/>
      <c r="Q196" s="15"/>
      <c r="R196" s="16" t="str">
        <f t="shared" si="10"/>
        <v/>
      </c>
    </row>
    <row r="197" ht="15.75" customHeight="1">
      <c r="A197" s="7"/>
      <c r="B197" s="8"/>
      <c r="C197" s="8"/>
      <c r="D197" s="8"/>
      <c r="E197" s="8"/>
      <c r="F197" s="9"/>
      <c r="G197" s="10">
        <f>IFERROR(F197*VLOOKUP(D197,TELAS!$A$4:$C$32,3,FALSE()),0)</f>
        <v>0</v>
      </c>
      <c r="H197" s="11" t="str">
        <f>IFERROR(VLOOKUP(E197,COLORES!$A$4:$B$102,2,FALSE()),"")</f>
        <v/>
      </c>
      <c r="I197" s="12">
        <f>IFERROR(IF(H197="OSCURO",VLOOKUP(D197,PRECIOS!$A$4:$F$32,2,FALSE()),IF(H197="CLARO",VLOOKUP(D197,PRECIOS!$A$4:$F$32,3,FALSE()),IF(H197="MELANGE",VLOOKUP(D197,PRECIOS!$A$4:$F$32,4,FALSE()),IF(H197="PPT",VLOOKUP(D197,PRECIOS!$A$4:$F$32,5,FALSE()),0)))),0)</f>
        <v>0</v>
      </c>
      <c r="J197" s="12">
        <f t="shared" si="8"/>
        <v>0</v>
      </c>
      <c r="K197" s="13">
        <f>IFERROR(IF(C197="",0,SUMIFS($F$4:$F$196,$C$4:$C$196,C197,$D$4:$D$196,D197,$E$4:$E$196,E197,$B$4:$B$196,"INGRESO")+SUMIFS($F$4:$F$196,$C$4:$C$196,C197,$D$4:$D$196,D197,$E$4:$E$196,E197,$B$4:$B$196,"DE REPROCESO")+SUMIFS($F$4:$F$196,$C$4:$C$196,C197,$D$4:$D$196,D197,$E$4:$E$196,E197,$B$4:$B$196,"AJUSTE+")-SUMIFS($F$4:$F$196,$C$4:$C$196,C197,$D$4:$D$196,D197,$E$4:$E$196,E197,$B$4:$B$196,"A CORTE")-SUMIFS($F$4:$F$196,$C$4:$C$196,C197,$D$4:$D$196,D197,$E$4:$E$196,E197,$B$4:$B$196,"A REPROCESO")-SUMIFS($F$4:$F$196,$C$4:$C$196,C197,$D$4:$D$196,D197,$E$4:$E$196,E197,$B$4:$B$196,"MUESTRA")-SUMIFS($F$4:$F$196,$C$4:$C$196,C197,$D$4:$D$196,D197,$E$4:$E$196,E197,$B$4:$B$196,"AJUSTE-")),0)</f>
        <v>0</v>
      </c>
      <c r="L197" s="13">
        <f t="shared" si="9"/>
        <v>0</v>
      </c>
      <c r="M197" s="8"/>
      <c r="N197" s="14"/>
      <c r="O197" s="14"/>
      <c r="P197" s="14"/>
      <c r="Q197" s="15"/>
      <c r="R197" s="16" t="str">
        <f t="shared" si="10"/>
        <v/>
      </c>
    </row>
    <row r="198" ht="15.75" customHeight="1">
      <c r="A198" s="7"/>
      <c r="B198" s="8"/>
      <c r="C198" s="8"/>
      <c r="D198" s="8"/>
      <c r="E198" s="8"/>
      <c r="F198" s="9"/>
      <c r="G198" s="10">
        <f>IFERROR(F198*VLOOKUP(D198,TELAS!$A$4:$C$32,3,FALSE()),0)</f>
        <v>0</v>
      </c>
      <c r="H198" s="11" t="str">
        <f>IFERROR(VLOOKUP(E198,COLORES!$A$4:$B$102,2,FALSE()),"")</f>
        <v/>
      </c>
      <c r="I198" s="12">
        <f>IFERROR(IF(H198="OSCURO",VLOOKUP(D198,PRECIOS!$A$4:$F$32,2,FALSE()),IF(H198="CLARO",VLOOKUP(D198,PRECIOS!$A$4:$F$32,3,FALSE()),IF(H198="MELANGE",VLOOKUP(D198,PRECIOS!$A$4:$F$32,4,FALSE()),IF(H198="PPT",VLOOKUP(D198,PRECIOS!$A$4:$F$32,5,FALSE()),0)))),0)</f>
        <v>0</v>
      </c>
      <c r="J198" s="12">
        <f t="shared" si="8"/>
        <v>0</v>
      </c>
      <c r="K198" s="13">
        <f>IFERROR(IF(C198="",0,SUMIFS($F$4:$F$197,$C$4:$C$197,C198,$D$4:$D$197,D198,$E$4:$E$197,E198,$B$4:$B$197,"INGRESO")+SUMIFS($F$4:$F$197,$C$4:$C$197,C198,$D$4:$D$197,D198,$E$4:$E$197,E198,$B$4:$B$197,"DE REPROCESO")+SUMIFS($F$4:$F$197,$C$4:$C$197,C198,$D$4:$D$197,D198,$E$4:$E$197,E198,$B$4:$B$197,"AJUSTE+")-SUMIFS($F$4:$F$197,$C$4:$C$197,C198,$D$4:$D$197,D198,$E$4:$E$197,E198,$B$4:$B$197,"A CORTE")-SUMIFS($F$4:$F$197,$C$4:$C$197,C198,$D$4:$D$197,D198,$E$4:$E$197,E198,$B$4:$B$197,"A REPROCESO")-SUMIFS($F$4:$F$197,$C$4:$C$197,C198,$D$4:$D$197,D198,$E$4:$E$197,E198,$B$4:$B$197,"MUESTRA")-SUMIFS($F$4:$F$197,$C$4:$C$197,C198,$D$4:$D$197,D198,$E$4:$E$197,E198,$B$4:$B$197,"AJUSTE-")),0)</f>
        <v>0</v>
      </c>
      <c r="L198" s="13">
        <f t="shared" si="9"/>
        <v>0</v>
      </c>
      <c r="M198" s="8"/>
      <c r="N198" s="14"/>
      <c r="O198" s="14"/>
      <c r="P198" s="14"/>
      <c r="Q198" s="15"/>
      <c r="R198" s="16" t="str">
        <f t="shared" si="10"/>
        <v/>
      </c>
    </row>
    <row r="199" ht="15.75" customHeight="1">
      <c r="A199" s="7"/>
      <c r="B199" s="8"/>
      <c r="C199" s="8"/>
      <c r="D199" s="8"/>
      <c r="E199" s="8"/>
      <c r="F199" s="9"/>
      <c r="G199" s="10">
        <f>IFERROR(F199*VLOOKUP(D199,TELAS!$A$4:$C$32,3,FALSE()),0)</f>
        <v>0</v>
      </c>
      <c r="H199" s="11" t="str">
        <f>IFERROR(VLOOKUP(E199,COLORES!$A$4:$B$102,2,FALSE()),"")</f>
        <v/>
      </c>
      <c r="I199" s="12">
        <f>IFERROR(IF(H199="OSCURO",VLOOKUP(D199,PRECIOS!$A$4:$F$32,2,FALSE()),IF(H199="CLARO",VLOOKUP(D199,PRECIOS!$A$4:$F$32,3,FALSE()),IF(H199="MELANGE",VLOOKUP(D199,PRECIOS!$A$4:$F$32,4,FALSE()),IF(H199="PPT",VLOOKUP(D199,PRECIOS!$A$4:$F$32,5,FALSE()),0)))),0)</f>
        <v>0</v>
      </c>
      <c r="J199" s="12">
        <f t="shared" si="8"/>
        <v>0</v>
      </c>
      <c r="K199" s="13">
        <f>IFERROR(IF(C199="",0,SUMIFS($F$4:$F$198,$C$4:$C$198,C199,$D$4:$D$198,D199,$E$4:$E$198,E199,$B$4:$B$198,"INGRESO")+SUMIFS($F$4:$F$198,$C$4:$C$198,C199,$D$4:$D$198,D199,$E$4:$E$198,E199,$B$4:$B$198,"DE REPROCESO")+SUMIFS($F$4:$F$198,$C$4:$C$198,C199,$D$4:$D$198,D199,$E$4:$E$198,E199,$B$4:$B$198,"AJUSTE+")-SUMIFS($F$4:$F$198,$C$4:$C$198,C199,$D$4:$D$198,D199,$E$4:$E$198,E199,$B$4:$B$198,"A CORTE")-SUMIFS($F$4:$F$198,$C$4:$C$198,C199,$D$4:$D$198,D199,$E$4:$E$198,E199,$B$4:$B$198,"A REPROCESO")-SUMIFS($F$4:$F$198,$C$4:$C$198,C199,$D$4:$D$198,D199,$E$4:$E$198,E199,$B$4:$B$198,"MUESTRA")-SUMIFS($F$4:$F$198,$C$4:$C$198,C199,$D$4:$D$198,D199,$E$4:$E$198,E199,$B$4:$B$198,"AJUSTE-")),0)</f>
        <v>0</v>
      </c>
      <c r="L199" s="13">
        <f t="shared" si="9"/>
        <v>0</v>
      </c>
      <c r="M199" s="8"/>
      <c r="N199" s="14"/>
      <c r="O199" s="14"/>
      <c r="P199" s="14"/>
      <c r="Q199" s="15"/>
      <c r="R199" s="16" t="str">
        <f t="shared" si="10"/>
        <v/>
      </c>
    </row>
    <row r="200" ht="15.75" customHeight="1">
      <c r="A200" s="7"/>
      <c r="B200" s="8"/>
      <c r="C200" s="8"/>
      <c r="D200" s="8"/>
      <c r="E200" s="8"/>
      <c r="F200" s="9"/>
      <c r="G200" s="10">
        <f>IFERROR(F200*VLOOKUP(D200,TELAS!$A$4:$C$32,3,FALSE()),0)</f>
        <v>0</v>
      </c>
      <c r="H200" s="11" t="str">
        <f>IFERROR(VLOOKUP(E200,COLORES!$A$4:$B$102,2,FALSE()),"")</f>
        <v/>
      </c>
      <c r="I200" s="12">
        <f>IFERROR(IF(H200="OSCURO",VLOOKUP(D200,PRECIOS!$A$4:$F$32,2,FALSE()),IF(H200="CLARO",VLOOKUP(D200,PRECIOS!$A$4:$F$32,3,FALSE()),IF(H200="MELANGE",VLOOKUP(D200,PRECIOS!$A$4:$F$32,4,FALSE()),IF(H200="PPT",VLOOKUP(D200,PRECIOS!$A$4:$F$32,5,FALSE()),0)))),0)</f>
        <v>0</v>
      </c>
      <c r="J200" s="12">
        <f t="shared" si="8"/>
        <v>0</v>
      </c>
      <c r="K200" s="13">
        <f>IFERROR(IF(C200="",0,SUMIFS($F$4:$F$199,$C$4:$C$199,C200,$D$4:$D$199,D200,$E$4:$E$199,E200,$B$4:$B$199,"INGRESO")+SUMIFS($F$4:$F$199,$C$4:$C$199,C200,$D$4:$D$199,D200,$E$4:$E$199,E200,$B$4:$B$199,"DE REPROCESO")+SUMIFS($F$4:$F$199,$C$4:$C$199,C200,$D$4:$D$199,D200,$E$4:$E$199,E200,$B$4:$B$199,"AJUSTE+")-SUMIFS($F$4:$F$199,$C$4:$C$199,C200,$D$4:$D$199,D200,$E$4:$E$199,E200,$B$4:$B$199,"A CORTE")-SUMIFS($F$4:$F$199,$C$4:$C$199,C200,$D$4:$D$199,D200,$E$4:$E$199,E200,$B$4:$B$199,"A REPROCESO")-SUMIFS($F$4:$F$199,$C$4:$C$199,C200,$D$4:$D$199,D200,$E$4:$E$199,E200,$B$4:$B$199,"MUESTRA")-SUMIFS($F$4:$F$199,$C$4:$C$199,C200,$D$4:$D$199,D200,$E$4:$E$199,E200,$B$4:$B$199,"AJUSTE-")),0)</f>
        <v>0</v>
      </c>
      <c r="L200" s="13">
        <f t="shared" si="9"/>
        <v>0</v>
      </c>
      <c r="M200" s="8"/>
      <c r="N200" s="14"/>
      <c r="O200" s="14"/>
      <c r="P200" s="14"/>
      <c r="Q200" s="15"/>
      <c r="R200" s="16" t="str">
        <f t="shared" si="10"/>
        <v/>
      </c>
    </row>
    <row r="201" ht="15.75" customHeight="1">
      <c r="A201" s="7"/>
      <c r="B201" s="8"/>
      <c r="C201" s="8"/>
      <c r="D201" s="8"/>
      <c r="E201" s="8"/>
      <c r="F201" s="9"/>
      <c r="G201" s="10">
        <f>IFERROR(F201*VLOOKUP(D201,TELAS!$A$4:$C$32,3,FALSE()),0)</f>
        <v>0</v>
      </c>
      <c r="H201" s="11" t="str">
        <f>IFERROR(VLOOKUP(E201,COLORES!$A$4:$B$102,2,FALSE()),"")</f>
        <v/>
      </c>
      <c r="I201" s="12">
        <f>IFERROR(IF(H201="OSCURO",VLOOKUP(D201,PRECIOS!$A$4:$F$32,2,FALSE()),IF(H201="CLARO",VLOOKUP(D201,PRECIOS!$A$4:$F$32,3,FALSE()),IF(H201="MELANGE",VLOOKUP(D201,PRECIOS!$A$4:$F$32,4,FALSE()),IF(H201="PPT",VLOOKUP(D201,PRECIOS!$A$4:$F$32,5,FALSE()),0)))),0)</f>
        <v>0</v>
      </c>
      <c r="J201" s="12">
        <f t="shared" si="8"/>
        <v>0</v>
      </c>
      <c r="K201" s="13">
        <f>IFERROR(IF(C201="",0,SUMIFS($F$4:$F$200,$C$4:$C$200,C201,$D$4:$D$200,D201,$E$4:$E$200,E201,$B$4:$B$200,"INGRESO")+SUMIFS($F$4:$F$200,$C$4:$C$200,C201,$D$4:$D$200,D201,$E$4:$E$200,E201,$B$4:$B$200,"DE REPROCESO")+SUMIFS($F$4:$F$200,$C$4:$C$200,C201,$D$4:$D$200,D201,$E$4:$E$200,E201,$B$4:$B$200,"AJUSTE+")-SUMIFS($F$4:$F$200,$C$4:$C$200,C201,$D$4:$D$200,D201,$E$4:$E$200,E201,$B$4:$B$200,"A CORTE")-SUMIFS($F$4:$F$200,$C$4:$C$200,C201,$D$4:$D$200,D201,$E$4:$E$200,E201,$B$4:$B$200,"A REPROCESO")-SUMIFS($F$4:$F$200,$C$4:$C$200,C201,$D$4:$D$200,D201,$E$4:$E$200,E201,$B$4:$B$200,"MUESTRA")-SUMIFS($F$4:$F$200,$C$4:$C$200,C201,$D$4:$D$200,D201,$E$4:$E$200,E201,$B$4:$B$200,"AJUSTE-")),0)</f>
        <v>0</v>
      </c>
      <c r="L201" s="13">
        <f t="shared" si="9"/>
        <v>0</v>
      </c>
      <c r="M201" s="8"/>
      <c r="N201" s="14"/>
      <c r="O201" s="14"/>
      <c r="P201" s="14"/>
      <c r="Q201" s="15"/>
      <c r="R201" s="16" t="str">
        <f t="shared" si="10"/>
        <v/>
      </c>
    </row>
    <row r="202" ht="15.75" customHeight="1">
      <c r="A202" s="7"/>
      <c r="B202" s="8"/>
      <c r="C202" s="8"/>
      <c r="D202" s="8"/>
      <c r="E202" s="8"/>
      <c r="F202" s="9"/>
      <c r="G202" s="10">
        <f>IFERROR(F202*VLOOKUP(D202,TELAS!$A$4:$C$32,3,FALSE()),0)</f>
        <v>0</v>
      </c>
      <c r="H202" s="11" t="str">
        <f>IFERROR(VLOOKUP(E202,COLORES!$A$4:$B$102,2,FALSE()),"")</f>
        <v/>
      </c>
      <c r="I202" s="12">
        <f>IFERROR(IF(H202="OSCURO",VLOOKUP(D202,PRECIOS!$A$4:$F$32,2,FALSE()),IF(H202="CLARO",VLOOKUP(D202,PRECIOS!$A$4:$F$32,3,FALSE()),IF(H202="MELANGE",VLOOKUP(D202,PRECIOS!$A$4:$F$32,4,FALSE()),IF(H202="PPT",VLOOKUP(D202,PRECIOS!$A$4:$F$32,5,FALSE()),0)))),0)</f>
        <v>0</v>
      </c>
      <c r="J202" s="12">
        <f t="shared" si="8"/>
        <v>0</v>
      </c>
      <c r="K202" s="13">
        <f>IFERROR(IF(C202="",0,SUMIFS($F$4:$F$201,$C$4:$C$201,C202,$D$4:$D$201,D202,$E$4:$E$201,E202,$B$4:$B$201,"INGRESO")+SUMIFS($F$4:$F$201,$C$4:$C$201,C202,$D$4:$D$201,D202,$E$4:$E$201,E202,$B$4:$B$201,"DE REPROCESO")+SUMIFS($F$4:$F$201,$C$4:$C$201,C202,$D$4:$D$201,D202,$E$4:$E$201,E202,$B$4:$B$201,"AJUSTE+")-SUMIFS($F$4:$F$201,$C$4:$C$201,C202,$D$4:$D$201,D202,$E$4:$E$201,E202,$B$4:$B$201,"A CORTE")-SUMIFS($F$4:$F$201,$C$4:$C$201,C202,$D$4:$D$201,D202,$E$4:$E$201,E202,$B$4:$B$201,"A REPROCESO")-SUMIFS($F$4:$F$201,$C$4:$C$201,C202,$D$4:$D$201,D202,$E$4:$E$201,E202,$B$4:$B$201,"MUESTRA")-SUMIFS($F$4:$F$201,$C$4:$C$201,C202,$D$4:$D$201,D202,$E$4:$E$201,E202,$B$4:$B$201,"AJUSTE-")),0)</f>
        <v>0</v>
      </c>
      <c r="L202" s="13">
        <f t="shared" si="9"/>
        <v>0</v>
      </c>
      <c r="M202" s="8"/>
      <c r="N202" s="14"/>
      <c r="O202" s="14"/>
      <c r="P202" s="14"/>
      <c r="Q202" s="15"/>
      <c r="R202" s="16" t="str">
        <f t="shared" si="10"/>
        <v/>
      </c>
    </row>
    <row r="203" ht="15.75" customHeight="1">
      <c r="A203" s="7"/>
      <c r="B203" s="8"/>
      <c r="C203" s="8"/>
      <c r="D203" s="8"/>
      <c r="E203" s="8"/>
      <c r="F203" s="9"/>
      <c r="G203" s="10">
        <f>IFERROR(F203*VLOOKUP(D203,TELAS!$A$4:$C$32,3,FALSE()),0)</f>
        <v>0</v>
      </c>
      <c r="H203" s="11" t="str">
        <f>IFERROR(VLOOKUP(E203,COLORES!$A$4:$B$102,2,FALSE()),"")</f>
        <v/>
      </c>
      <c r="I203" s="12">
        <f>IFERROR(IF(H203="OSCURO",VLOOKUP(D203,PRECIOS!$A$4:$F$32,2,FALSE()),IF(H203="CLARO",VLOOKUP(D203,PRECIOS!$A$4:$F$32,3,FALSE()),IF(H203="MELANGE",VLOOKUP(D203,PRECIOS!$A$4:$F$32,4,FALSE()),IF(H203="PPT",VLOOKUP(D203,PRECIOS!$A$4:$F$32,5,FALSE()),0)))),0)</f>
        <v>0</v>
      </c>
      <c r="J203" s="12">
        <f t="shared" si="8"/>
        <v>0</v>
      </c>
      <c r="K203" s="13">
        <f>IFERROR(IF(C203="",0,SUMIFS($F$4:$F$202,$C$4:$C$202,C203,$D$4:$D$202,D203,$E$4:$E$202,E203,$B$4:$B$202,"INGRESO")+SUMIFS($F$4:$F$202,$C$4:$C$202,C203,$D$4:$D$202,D203,$E$4:$E$202,E203,$B$4:$B$202,"DE REPROCESO")+SUMIFS($F$4:$F$202,$C$4:$C$202,C203,$D$4:$D$202,D203,$E$4:$E$202,E203,$B$4:$B$202,"AJUSTE+")-SUMIFS($F$4:$F$202,$C$4:$C$202,C203,$D$4:$D$202,D203,$E$4:$E$202,E203,$B$4:$B$202,"A CORTE")-SUMIFS($F$4:$F$202,$C$4:$C$202,C203,$D$4:$D$202,D203,$E$4:$E$202,E203,$B$4:$B$202,"A REPROCESO")-SUMIFS($F$4:$F$202,$C$4:$C$202,C203,$D$4:$D$202,D203,$E$4:$E$202,E203,$B$4:$B$202,"MUESTRA")-SUMIFS($F$4:$F$202,$C$4:$C$202,C203,$D$4:$D$202,D203,$E$4:$E$202,E203,$B$4:$B$202,"AJUSTE-")),0)</f>
        <v>0</v>
      </c>
      <c r="L203" s="13">
        <f t="shared" si="9"/>
        <v>0</v>
      </c>
      <c r="M203" s="8"/>
      <c r="N203" s="14"/>
      <c r="O203" s="14"/>
      <c r="P203" s="14"/>
      <c r="Q203" s="15"/>
      <c r="R203" s="16" t="str">
        <f t="shared" si="10"/>
        <v/>
      </c>
    </row>
    <row r="204" ht="15.75" customHeight="1">
      <c r="A204" s="7"/>
      <c r="B204" s="8"/>
      <c r="C204" s="8"/>
      <c r="D204" s="8"/>
      <c r="E204" s="8"/>
      <c r="F204" s="9"/>
      <c r="G204" s="10">
        <f>IFERROR(F204*VLOOKUP(D204,TELAS!$A$4:$C$32,3,FALSE()),0)</f>
        <v>0</v>
      </c>
      <c r="H204" s="11" t="str">
        <f>IFERROR(VLOOKUP(E204,COLORES!$A$4:$B$102,2,FALSE()),"")</f>
        <v/>
      </c>
      <c r="I204" s="12">
        <f>IFERROR(IF(H204="OSCURO",VLOOKUP(D204,PRECIOS!$A$4:$F$32,2,FALSE()),IF(H204="CLARO",VLOOKUP(D204,PRECIOS!$A$4:$F$32,3,FALSE()),IF(H204="MELANGE",VLOOKUP(D204,PRECIOS!$A$4:$F$32,4,FALSE()),IF(H204="PPT",VLOOKUP(D204,PRECIOS!$A$4:$F$32,5,FALSE()),0)))),0)</f>
        <v>0</v>
      </c>
      <c r="J204" s="12">
        <f t="shared" si="8"/>
        <v>0</v>
      </c>
      <c r="K204" s="13">
        <f>IFERROR(IF(C204="",0,SUMIFS($F$4:$F$203,$C$4:$C$203,C204,$D$4:$D$203,D204,$E$4:$E$203,E204,$B$4:$B$203,"INGRESO")+SUMIFS($F$4:$F$203,$C$4:$C$203,C204,$D$4:$D$203,D204,$E$4:$E$203,E204,$B$4:$B$203,"DE REPROCESO")+SUMIFS($F$4:$F$203,$C$4:$C$203,C204,$D$4:$D$203,D204,$E$4:$E$203,E204,$B$4:$B$203,"AJUSTE+")-SUMIFS($F$4:$F$203,$C$4:$C$203,C204,$D$4:$D$203,D204,$E$4:$E$203,E204,$B$4:$B$203,"A CORTE")-SUMIFS($F$4:$F$203,$C$4:$C$203,C204,$D$4:$D$203,D204,$E$4:$E$203,E204,$B$4:$B$203,"A REPROCESO")-SUMIFS($F$4:$F$203,$C$4:$C$203,C204,$D$4:$D$203,D204,$E$4:$E$203,E204,$B$4:$B$203,"MUESTRA")-SUMIFS($F$4:$F$203,$C$4:$C$203,C204,$D$4:$D$203,D204,$E$4:$E$203,E204,$B$4:$B$203,"AJUSTE-")),0)</f>
        <v>0</v>
      </c>
      <c r="L204" s="13">
        <f t="shared" si="9"/>
        <v>0</v>
      </c>
      <c r="M204" s="8"/>
      <c r="N204" s="14"/>
      <c r="O204" s="14"/>
      <c r="P204" s="14"/>
      <c r="Q204" s="15"/>
      <c r="R204" s="16" t="str">
        <f t="shared" si="10"/>
        <v/>
      </c>
    </row>
    <row r="205" ht="15.75" customHeight="1">
      <c r="A205" s="7"/>
      <c r="B205" s="8"/>
      <c r="C205" s="8"/>
      <c r="D205" s="8"/>
      <c r="E205" s="8"/>
      <c r="F205" s="9"/>
      <c r="G205" s="10">
        <f>IFERROR(F205*VLOOKUP(D205,TELAS!$A$4:$C$32,3,FALSE()),0)</f>
        <v>0</v>
      </c>
      <c r="H205" s="11" t="str">
        <f>IFERROR(VLOOKUP(E205,COLORES!$A$4:$B$102,2,FALSE()),"")</f>
        <v/>
      </c>
      <c r="I205" s="12">
        <f>IFERROR(IF(H205="OSCURO",VLOOKUP(D205,PRECIOS!$A$4:$F$32,2,FALSE()),IF(H205="CLARO",VLOOKUP(D205,PRECIOS!$A$4:$F$32,3,FALSE()),IF(H205="MELANGE",VLOOKUP(D205,PRECIOS!$A$4:$F$32,4,FALSE()),IF(H205="PPT",VLOOKUP(D205,PRECIOS!$A$4:$F$32,5,FALSE()),0)))),0)</f>
        <v>0</v>
      </c>
      <c r="J205" s="12">
        <f t="shared" si="8"/>
        <v>0</v>
      </c>
      <c r="K205" s="13">
        <f>IFERROR(IF(C205="",0,SUMIFS($F$4:$F$204,$C$4:$C$204,C205,$D$4:$D$204,D205,$E$4:$E$204,E205,$B$4:$B$204,"INGRESO")+SUMIFS($F$4:$F$204,$C$4:$C$204,C205,$D$4:$D$204,D205,$E$4:$E$204,E205,$B$4:$B$204,"DE REPROCESO")+SUMIFS($F$4:$F$204,$C$4:$C$204,C205,$D$4:$D$204,D205,$E$4:$E$204,E205,$B$4:$B$204,"AJUSTE+")-SUMIFS($F$4:$F$204,$C$4:$C$204,C205,$D$4:$D$204,D205,$E$4:$E$204,E205,$B$4:$B$204,"A CORTE")-SUMIFS($F$4:$F$204,$C$4:$C$204,C205,$D$4:$D$204,D205,$E$4:$E$204,E205,$B$4:$B$204,"A REPROCESO")-SUMIFS($F$4:$F$204,$C$4:$C$204,C205,$D$4:$D$204,D205,$E$4:$E$204,E205,$B$4:$B$204,"MUESTRA")-SUMIFS($F$4:$F$204,$C$4:$C$204,C205,$D$4:$D$204,D205,$E$4:$E$204,E205,$B$4:$B$204,"AJUSTE-")),0)</f>
        <v>0</v>
      </c>
      <c r="L205" s="13">
        <f t="shared" si="9"/>
        <v>0</v>
      </c>
      <c r="M205" s="8"/>
      <c r="N205" s="14"/>
      <c r="O205" s="14"/>
      <c r="P205" s="14"/>
      <c r="Q205" s="15"/>
      <c r="R205" s="16" t="str">
        <f t="shared" si="10"/>
        <v/>
      </c>
    </row>
    <row r="206" ht="15.75" customHeight="1">
      <c r="A206" s="7"/>
      <c r="B206" s="8"/>
      <c r="C206" s="8"/>
      <c r="D206" s="8"/>
      <c r="E206" s="8"/>
      <c r="F206" s="9"/>
      <c r="G206" s="10">
        <f>IFERROR(F206*VLOOKUP(D206,TELAS!$A$4:$C$32,3,FALSE()),0)</f>
        <v>0</v>
      </c>
      <c r="H206" s="11" t="str">
        <f>IFERROR(VLOOKUP(E206,COLORES!$A$4:$B$102,2,FALSE()),"")</f>
        <v/>
      </c>
      <c r="I206" s="12">
        <f>IFERROR(IF(H206="OSCURO",VLOOKUP(D206,PRECIOS!$A$4:$F$32,2,FALSE()),IF(H206="CLARO",VLOOKUP(D206,PRECIOS!$A$4:$F$32,3,FALSE()),IF(H206="MELANGE",VLOOKUP(D206,PRECIOS!$A$4:$F$32,4,FALSE()),IF(H206="PPT",VLOOKUP(D206,PRECIOS!$A$4:$F$32,5,FALSE()),0)))),0)</f>
        <v>0</v>
      </c>
      <c r="J206" s="12">
        <f t="shared" si="8"/>
        <v>0</v>
      </c>
      <c r="K206" s="13">
        <f>IFERROR(IF(C206="",0,SUMIFS($F$4:$F$205,$C$4:$C$205,C206,$D$4:$D$205,D206,$E$4:$E$205,E206,$B$4:$B$205,"INGRESO")+SUMIFS($F$4:$F$205,$C$4:$C$205,C206,$D$4:$D$205,D206,$E$4:$E$205,E206,$B$4:$B$205,"DE REPROCESO")+SUMIFS($F$4:$F$205,$C$4:$C$205,C206,$D$4:$D$205,D206,$E$4:$E$205,E206,$B$4:$B$205,"AJUSTE+")-SUMIFS($F$4:$F$205,$C$4:$C$205,C206,$D$4:$D$205,D206,$E$4:$E$205,E206,$B$4:$B$205,"A CORTE")-SUMIFS($F$4:$F$205,$C$4:$C$205,C206,$D$4:$D$205,D206,$E$4:$E$205,E206,$B$4:$B$205,"A REPROCESO")-SUMIFS($F$4:$F$205,$C$4:$C$205,C206,$D$4:$D$205,D206,$E$4:$E$205,E206,$B$4:$B$205,"MUESTRA")-SUMIFS($F$4:$F$205,$C$4:$C$205,C206,$D$4:$D$205,D206,$E$4:$E$205,E206,$B$4:$B$205,"AJUSTE-")),0)</f>
        <v>0</v>
      </c>
      <c r="L206" s="13">
        <f t="shared" si="9"/>
        <v>0</v>
      </c>
      <c r="M206" s="8"/>
      <c r="N206" s="14"/>
      <c r="O206" s="14"/>
      <c r="P206" s="14"/>
      <c r="Q206" s="15"/>
      <c r="R206" s="16" t="str">
        <f t="shared" si="10"/>
        <v/>
      </c>
    </row>
    <row r="207" ht="15.75" customHeight="1">
      <c r="A207" s="7"/>
      <c r="B207" s="8"/>
      <c r="C207" s="8"/>
      <c r="D207" s="8"/>
      <c r="E207" s="8"/>
      <c r="F207" s="9"/>
      <c r="G207" s="10">
        <f>IFERROR(F207*VLOOKUP(D207,TELAS!$A$4:$C$32,3,FALSE()),0)</f>
        <v>0</v>
      </c>
      <c r="H207" s="11" t="str">
        <f>IFERROR(VLOOKUP(E207,COLORES!$A$4:$B$102,2,FALSE()),"")</f>
        <v/>
      </c>
      <c r="I207" s="12">
        <f>IFERROR(IF(H207="OSCURO",VLOOKUP(D207,PRECIOS!$A$4:$F$32,2,FALSE()),IF(H207="CLARO",VLOOKUP(D207,PRECIOS!$A$4:$F$32,3,FALSE()),IF(H207="MELANGE",VLOOKUP(D207,PRECIOS!$A$4:$F$32,4,FALSE()),IF(H207="PPT",VLOOKUP(D207,PRECIOS!$A$4:$F$32,5,FALSE()),0)))),0)</f>
        <v>0</v>
      </c>
      <c r="J207" s="12">
        <f t="shared" si="8"/>
        <v>0</v>
      </c>
      <c r="K207" s="13">
        <f>IFERROR(IF(C207="",0,SUMIFS($F$4:$F$206,$C$4:$C$206,C207,$D$4:$D$206,D207,$E$4:$E$206,E207,$B$4:$B$206,"INGRESO")+SUMIFS($F$4:$F$206,$C$4:$C$206,C207,$D$4:$D$206,D207,$E$4:$E$206,E207,$B$4:$B$206,"DE REPROCESO")+SUMIFS($F$4:$F$206,$C$4:$C$206,C207,$D$4:$D$206,D207,$E$4:$E$206,E207,$B$4:$B$206,"AJUSTE+")-SUMIFS($F$4:$F$206,$C$4:$C$206,C207,$D$4:$D$206,D207,$E$4:$E$206,E207,$B$4:$B$206,"A CORTE")-SUMIFS($F$4:$F$206,$C$4:$C$206,C207,$D$4:$D$206,D207,$E$4:$E$206,E207,$B$4:$B$206,"A REPROCESO")-SUMIFS($F$4:$F$206,$C$4:$C$206,C207,$D$4:$D$206,D207,$E$4:$E$206,E207,$B$4:$B$206,"MUESTRA")-SUMIFS($F$4:$F$206,$C$4:$C$206,C207,$D$4:$D$206,D207,$E$4:$E$206,E207,$B$4:$B$206,"AJUSTE-")),0)</f>
        <v>0</v>
      </c>
      <c r="L207" s="13">
        <f t="shared" si="9"/>
        <v>0</v>
      </c>
      <c r="M207" s="8"/>
      <c r="N207" s="14"/>
      <c r="O207" s="14"/>
      <c r="P207" s="14"/>
      <c r="Q207" s="15"/>
      <c r="R207" s="16" t="str">
        <f t="shared" si="10"/>
        <v/>
      </c>
    </row>
    <row r="208" ht="15.75" customHeight="1">
      <c r="A208" s="7"/>
      <c r="B208" s="8"/>
      <c r="C208" s="8"/>
      <c r="D208" s="8"/>
      <c r="E208" s="8"/>
      <c r="F208" s="9"/>
      <c r="G208" s="10">
        <f>IFERROR(F208*VLOOKUP(D208,TELAS!$A$4:$C$32,3,FALSE()),0)</f>
        <v>0</v>
      </c>
      <c r="H208" s="11" t="str">
        <f>IFERROR(VLOOKUP(E208,COLORES!$A$4:$B$102,2,FALSE()),"")</f>
        <v/>
      </c>
      <c r="I208" s="12">
        <f>IFERROR(IF(H208="OSCURO",VLOOKUP(D208,PRECIOS!$A$4:$F$32,2,FALSE()),IF(H208="CLARO",VLOOKUP(D208,PRECIOS!$A$4:$F$32,3,FALSE()),IF(H208="MELANGE",VLOOKUP(D208,PRECIOS!$A$4:$F$32,4,FALSE()),IF(H208="PPT",VLOOKUP(D208,PRECIOS!$A$4:$F$32,5,FALSE()),0)))),0)</f>
        <v>0</v>
      </c>
      <c r="J208" s="12">
        <f t="shared" si="8"/>
        <v>0</v>
      </c>
      <c r="K208" s="13">
        <f>IFERROR(IF(C208="",0,SUMIFS($F$4:$F$207,$C$4:$C$207,C208,$D$4:$D$207,D208,$E$4:$E$207,E208,$B$4:$B$207,"INGRESO")+SUMIFS($F$4:$F$207,$C$4:$C$207,C208,$D$4:$D$207,D208,$E$4:$E$207,E208,$B$4:$B$207,"DE REPROCESO")+SUMIFS($F$4:$F$207,$C$4:$C$207,C208,$D$4:$D$207,D208,$E$4:$E$207,E208,$B$4:$B$207,"AJUSTE+")-SUMIFS($F$4:$F$207,$C$4:$C$207,C208,$D$4:$D$207,D208,$E$4:$E$207,E208,$B$4:$B$207,"A CORTE")-SUMIFS($F$4:$F$207,$C$4:$C$207,C208,$D$4:$D$207,D208,$E$4:$E$207,E208,$B$4:$B$207,"A REPROCESO")-SUMIFS($F$4:$F$207,$C$4:$C$207,C208,$D$4:$D$207,D208,$E$4:$E$207,E208,$B$4:$B$207,"MUESTRA")-SUMIFS($F$4:$F$207,$C$4:$C$207,C208,$D$4:$D$207,D208,$E$4:$E$207,E208,$B$4:$B$207,"AJUSTE-")),0)</f>
        <v>0</v>
      </c>
      <c r="L208" s="13">
        <f t="shared" si="9"/>
        <v>0</v>
      </c>
      <c r="M208" s="8"/>
      <c r="N208" s="14"/>
      <c r="O208" s="14"/>
      <c r="P208" s="14"/>
      <c r="Q208" s="15"/>
      <c r="R208" s="16" t="str">
        <f t="shared" si="10"/>
        <v/>
      </c>
    </row>
    <row r="209" ht="15.75" customHeight="1">
      <c r="A209" s="7"/>
      <c r="B209" s="8"/>
      <c r="C209" s="8"/>
      <c r="D209" s="8"/>
      <c r="E209" s="8"/>
      <c r="F209" s="9"/>
      <c r="G209" s="10">
        <f>IFERROR(F209*VLOOKUP(D209,TELAS!$A$4:$C$32,3,FALSE()),0)</f>
        <v>0</v>
      </c>
      <c r="H209" s="11" t="str">
        <f>IFERROR(VLOOKUP(E209,COLORES!$A$4:$B$102,2,FALSE()),"")</f>
        <v/>
      </c>
      <c r="I209" s="12">
        <f>IFERROR(IF(H209="OSCURO",VLOOKUP(D209,PRECIOS!$A$4:$F$32,2,FALSE()),IF(H209="CLARO",VLOOKUP(D209,PRECIOS!$A$4:$F$32,3,FALSE()),IF(H209="MELANGE",VLOOKUP(D209,PRECIOS!$A$4:$F$32,4,FALSE()),IF(H209="PPT",VLOOKUP(D209,PRECIOS!$A$4:$F$32,5,FALSE()),0)))),0)</f>
        <v>0</v>
      </c>
      <c r="J209" s="12">
        <f t="shared" si="8"/>
        <v>0</v>
      </c>
      <c r="K209" s="13">
        <f>IFERROR(IF(C209="",0,SUMIFS($F$4:$F$208,$C$4:$C$208,C209,$D$4:$D$208,D209,$E$4:$E$208,E209,$B$4:$B$208,"INGRESO")+SUMIFS($F$4:$F$208,$C$4:$C$208,C209,$D$4:$D$208,D209,$E$4:$E$208,E209,$B$4:$B$208,"DE REPROCESO")+SUMIFS($F$4:$F$208,$C$4:$C$208,C209,$D$4:$D$208,D209,$E$4:$E$208,E209,$B$4:$B$208,"AJUSTE+")-SUMIFS($F$4:$F$208,$C$4:$C$208,C209,$D$4:$D$208,D209,$E$4:$E$208,E209,$B$4:$B$208,"A CORTE")-SUMIFS($F$4:$F$208,$C$4:$C$208,C209,$D$4:$D$208,D209,$E$4:$E$208,E209,$B$4:$B$208,"A REPROCESO")-SUMIFS($F$4:$F$208,$C$4:$C$208,C209,$D$4:$D$208,D209,$E$4:$E$208,E209,$B$4:$B$208,"MUESTRA")-SUMIFS($F$4:$F$208,$C$4:$C$208,C209,$D$4:$D$208,D209,$E$4:$E$208,E209,$B$4:$B$208,"AJUSTE-")),0)</f>
        <v>0</v>
      </c>
      <c r="L209" s="13">
        <f t="shared" si="9"/>
        <v>0</v>
      </c>
      <c r="M209" s="8"/>
      <c r="N209" s="14"/>
      <c r="O209" s="14"/>
      <c r="P209" s="14"/>
      <c r="Q209" s="15"/>
      <c r="R209" s="16" t="str">
        <f t="shared" si="10"/>
        <v/>
      </c>
    </row>
    <row r="210" ht="15.75" customHeight="1">
      <c r="A210" s="7"/>
      <c r="B210" s="8"/>
      <c r="C210" s="8"/>
      <c r="D210" s="8"/>
      <c r="E210" s="8"/>
      <c r="F210" s="9"/>
      <c r="G210" s="10">
        <f>IFERROR(F210*VLOOKUP(D210,TELAS!$A$4:$C$32,3,FALSE()),0)</f>
        <v>0</v>
      </c>
      <c r="H210" s="11" t="str">
        <f>IFERROR(VLOOKUP(E210,COLORES!$A$4:$B$102,2,FALSE()),"")</f>
        <v/>
      </c>
      <c r="I210" s="12">
        <f>IFERROR(IF(H210="OSCURO",VLOOKUP(D210,PRECIOS!$A$4:$F$32,2,FALSE()),IF(H210="CLARO",VLOOKUP(D210,PRECIOS!$A$4:$F$32,3,FALSE()),IF(H210="MELANGE",VLOOKUP(D210,PRECIOS!$A$4:$F$32,4,FALSE()),IF(H210="PPT",VLOOKUP(D210,PRECIOS!$A$4:$F$32,5,FALSE()),0)))),0)</f>
        <v>0</v>
      </c>
      <c r="J210" s="12">
        <f t="shared" si="8"/>
        <v>0</v>
      </c>
      <c r="K210" s="13">
        <f>IFERROR(IF(C210="",0,SUMIFS($F$4:$F$209,$C$4:$C$209,C210,$D$4:$D$209,D210,$E$4:$E$209,E210,$B$4:$B$209,"INGRESO")+SUMIFS($F$4:$F$209,$C$4:$C$209,C210,$D$4:$D$209,D210,$E$4:$E$209,E210,$B$4:$B$209,"DE REPROCESO")+SUMIFS($F$4:$F$209,$C$4:$C$209,C210,$D$4:$D$209,D210,$E$4:$E$209,E210,$B$4:$B$209,"AJUSTE+")-SUMIFS($F$4:$F$209,$C$4:$C$209,C210,$D$4:$D$209,D210,$E$4:$E$209,E210,$B$4:$B$209,"A CORTE")-SUMIFS($F$4:$F$209,$C$4:$C$209,C210,$D$4:$D$209,D210,$E$4:$E$209,E210,$B$4:$B$209,"A REPROCESO")-SUMIFS($F$4:$F$209,$C$4:$C$209,C210,$D$4:$D$209,D210,$E$4:$E$209,E210,$B$4:$B$209,"MUESTRA")-SUMIFS($F$4:$F$209,$C$4:$C$209,C210,$D$4:$D$209,D210,$E$4:$E$209,E210,$B$4:$B$209,"AJUSTE-")),0)</f>
        <v>0</v>
      </c>
      <c r="L210" s="13">
        <f t="shared" si="9"/>
        <v>0</v>
      </c>
      <c r="M210" s="8"/>
      <c r="N210" s="14"/>
      <c r="O210" s="14"/>
      <c r="P210" s="14"/>
      <c r="Q210" s="15"/>
      <c r="R210" s="16" t="str">
        <f t="shared" si="10"/>
        <v/>
      </c>
    </row>
    <row r="211" ht="15.75" customHeight="1">
      <c r="A211" s="7"/>
      <c r="B211" s="8"/>
      <c r="C211" s="8"/>
      <c r="D211" s="8"/>
      <c r="E211" s="8"/>
      <c r="F211" s="9"/>
      <c r="G211" s="10">
        <f>IFERROR(F211*VLOOKUP(D211,TELAS!$A$4:$C$32,3,FALSE()),0)</f>
        <v>0</v>
      </c>
      <c r="H211" s="11" t="str">
        <f>IFERROR(VLOOKUP(E211,COLORES!$A$4:$B$102,2,FALSE()),"")</f>
        <v/>
      </c>
      <c r="I211" s="12">
        <f>IFERROR(IF(H211="OSCURO",VLOOKUP(D211,PRECIOS!$A$4:$F$32,2,FALSE()),IF(H211="CLARO",VLOOKUP(D211,PRECIOS!$A$4:$F$32,3,FALSE()),IF(H211="MELANGE",VLOOKUP(D211,PRECIOS!$A$4:$F$32,4,FALSE()),IF(H211="PPT",VLOOKUP(D211,PRECIOS!$A$4:$F$32,5,FALSE()),0)))),0)</f>
        <v>0</v>
      </c>
      <c r="J211" s="12">
        <f t="shared" si="8"/>
        <v>0</v>
      </c>
      <c r="K211" s="13">
        <f>IFERROR(IF(C211="",0,SUMIFS($F$4:$F$210,$C$4:$C$210,C211,$D$4:$D$210,D211,$E$4:$E$210,E211,$B$4:$B$210,"INGRESO")+SUMIFS($F$4:$F$210,$C$4:$C$210,C211,$D$4:$D$210,D211,$E$4:$E$210,E211,$B$4:$B$210,"DE REPROCESO")+SUMIFS($F$4:$F$210,$C$4:$C$210,C211,$D$4:$D$210,D211,$E$4:$E$210,E211,$B$4:$B$210,"AJUSTE+")-SUMIFS($F$4:$F$210,$C$4:$C$210,C211,$D$4:$D$210,D211,$E$4:$E$210,E211,$B$4:$B$210,"A CORTE")-SUMIFS($F$4:$F$210,$C$4:$C$210,C211,$D$4:$D$210,D211,$E$4:$E$210,E211,$B$4:$B$210,"A REPROCESO")-SUMIFS($F$4:$F$210,$C$4:$C$210,C211,$D$4:$D$210,D211,$E$4:$E$210,E211,$B$4:$B$210,"MUESTRA")-SUMIFS($F$4:$F$210,$C$4:$C$210,C211,$D$4:$D$210,D211,$E$4:$E$210,E211,$B$4:$B$210,"AJUSTE-")),0)</f>
        <v>0</v>
      </c>
      <c r="L211" s="13">
        <f t="shared" si="9"/>
        <v>0</v>
      </c>
      <c r="M211" s="8"/>
      <c r="N211" s="14"/>
      <c r="O211" s="14"/>
      <c r="P211" s="14"/>
      <c r="Q211" s="15"/>
      <c r="R211" s="16" t="str">
        <f t="shared" si="10"/>
        <v/>
      </c>
    </row>
    <row r="212" ht="15.75" customHeight="1">
      <c r="A212" s="7"/>
      <c r="B212" s="8"/>
      <c r="C212" s="8"/>
      <c r="D212" s="8"/>
      <c r="E212" s="8"/>
      <c r="F212" s="9"/>
      <c r="G212" s="10">
        <f>IFERROR(F212*VLOOKUP(D212,TELAS!$A$4:$C$32,3,FALSE()),0)</f>
        <v>0</v>
      </c>
      <c r="H212" s="11" t="str">
        <f>IFERROR(VLOOKUP(E212,COLORES!$A$4:$B$102,2,FALSE()),"")</f>
        <v/>
      </c>
      <c r="I212" s="12">
        <f>IFERROR(IF(H212="OSCURO",VLOOKUP(D212,PRECIOS!$A$4:$F$32,2,FALSE()),IF(H212="CLARO",VLOOKUP(D212,PRECIOS!$A$4:$F$32,3,FALSE()),IF(H212="MELANGE",VLOOKUP(D212,PRECIOS!$A$4:$F$32,4,FALSE()),IF(H212="PPT",VLOOKUP(D212,PRECIOS!$A$4:$F$32,5,FALSE()),0)))),0)</f>
        <v>0</v>
      </c>
      <c r="J212" s="12">
        <f t="shared" si="8"/>
        <v>0</v>
      </c>
      <c r="K212" s="13">
        <f>IFERROR(IF(C212="",0,SUMIFS($F$4:$F$211,$C$4:$C$211,C212,$D$4:$D$211,D212,$E$4:$E$211,E212,$B$4:$B$211,"INGRESO")+SUMIFS($F$4:$F$211,$C$4:$C$211,C212,$D$4:$D$211,D212,$E$4:$E$211,E212,$B$4:$B$211,"DE REPROCESO")+SUMIFS($F$4:$F$211,$C$4:$C$211,C212,$D$4:$D$211,D212,$E$4:$E$211,E212,$B$4:$B$211,"AJUSTE+")-SUMIFS($F$4:$F$211,$C$4:$C$211,C212,$D$4:$D$211,D212,$E$4:$E$211,E212,$B$4:$B$211,"A CORTE")-SUMIFS($F$4:$F$211,$C$4:$C$211,C212,$D$4:$D$211,D212,$E$4:$E$211,E212,$B$4:$B$211,"A REPROCESO")-SUMIFS($F$4:$F$211,$C$4:$C$211,C212,$D$4:$D$211,D212,$E$4:$E$211,E212,$B$4:$B$211,"MUESTRA")-SUMIFS($F$4:$F$211,$C$4:$C$211,C212,$D$4:$D$211,D212,$E$4:$E$211,E212,$B$4:$B$211,"AJUSTE-")),0)</f>
        <v>0</v>
      </c>
      <c r="L212" s="13">
        <f t="shared" si="9"/>
        <v>0</v>
      </c>
      <c r="M212" s="8"/>
      <c r="N212" s="14"/>
      <c r="O212" s="14"/>
      <c r="P212" s="14"/>
      <c r="Q212" s="15"/>
      <c r="R212" s="16" t="str">
        <f t="shared" si="10"/>
        <v/>
      </c>
    </row>
    <row r="213" ht="15.75" customHeight="1">
      <c r="A213" s="7"/>
      <c r="B213" s="8"/>
      <c r="C213" s="8"/>
      <c r="D213" s="8"/>
      <c r="E213" s="8"/>
      <c r="F213" s="9"/>
      <c r="G213" s="10">
        <f>IFERROR(F213*VLOOKUP(D213,TELAS!$A$4:$C$32,3,FALSE()),0)</f>
        <v>0</v>
      </c>
      <c r="H213" s="11" t="str">
        <f>IFERROR(VLOOKUP(E213,COLORES!$A$4:$B$102,2,FALSE()),"")</f>
        <v/>
      </c>
      <c r="I213" s="12">
        <f>IFERROR(IF(H213="OSCURO",VLOOKUP(D213,PRECIOS!$A$4:$F$32,2,FALSE()),IF(H213="CLARO",VLOOKUP(D213,PRECIOS!$A$4:$F$32,3,FALSE()),IF(H213="MELANGE",VLOOKUP(D213,PRECIOS!$A$4:$F$32,4,FALSE()),IF(H213="PPT",VLOOKUP(D213,PRECIOS!$A$4:$F$32,5,FALSE()),0)))),0)</f>
        <v>0</v>
      </c>
      <c r="J213" s="12">
        <f t="shared" si="8"/>
        <v>0</v>
      </c>
      <c r="K213" s="13">
        <f>IFERROR(IF(C213="",0,SUMIFS($F$4:$F$212,$C$4:$C$212,C213,$D$4:$D$212,D213,$E$4:$E$212,E213,$B$4:$B$212,"INGRESO")+SUMIFS($F$4:$F$212,$C$4:$C$212,C213,$D$4:$D$212,D213,$E$4:$E$212,E213,$B$4:$B$212,"DE REPROCESO")+SUMIFS($F$4:$F$212,$C$4:$C$212,C213,$D$4:$D$212,D213,$E$4:$E$212,E213,$B$4:$B$212,"AJUSTE+")-SUMIFS($F$4:$F$212,$C$4:$C$212,C213,$D$4:$D$212,D213,$E$4:$E$212,E213,$B$4:$B$212,"A CORTE")-SUMIFS($F$4:$F$212,$C$4:$C$212,C213,$D$4:$D$212,D213,$E$4:$E$212,E213,$B$4:$B$212,"A REPROCESO")-SUMIFS($F$4:$F$212,$C$4:$C$212,C213,$D$4:$D$212,D213,$E$4:$E$212,E213,$B$4:$B$212,"MUESTRA")-SUMIFS($F$4:$F$212,$C$4:$C$212,C213,$D$4:$D$212,D213,$E$4:$E$212,E213,$B$4:$B$212,"AJUSTE-")),0)</f>
        <v>0</v>
      </c>
      <c r="L213" s="13">
        <f t="shared" si="9"/>
        <v>0</v>
      </c>
      <c r="M213" s="8"/>
      <c r="N213" s="14"/>
      <c r="O213" s="14"/>
      <c r="P213" s="14"/>
      <c r="Q213" s="15"/>
      <c r="R213" s="16" t="str">
        <f t="shared" si="10"/>
        <v/>
      </c>
    </row>
    <row r="214" ht="15.75" customHeight="1">
      <c r="A214" s="7"/>
      <c r="B214" s="8"/>
      <c r="C214" s="8"/>
      <c r="D214" s="8"/>
      <c r="E214" s="8"/>
      <c r="F214" s="9"/>
      <c r="G214" s="10">
        <f>IFERROR(F214*VLOOKUP(D214,TELAS!$A$4:$C$32,3,FALSE()),0)</f>
        <v>0</v>
      </c>
      <c r="H214" s="11" t="str">
        <f>IFERROR(VLOOKUP(E214,COLORES!$A$4:$B$102,2,FALSE()),"")</f>
        <v/>
      </c>
      <c r="I214" s="12">
        <f>IFERROR(IF(H214="OSCURO",VLOOKUP(D214,PRECIOS!$A$4:$F$32,2,FALSE()),IF(H214="CLARO",VLOOKUP(D214,PRECIOS!$A$4:$F$32,3,FALSE()),IF(H214="MELANGE",VLOOKUP(D214,PRECIOS!$A$4:$F$32,4,FALSE()),IF(H214="PPT",VLOOKUP(D214,PRECIOS!$A$4:$F$32,5,FALSE()),0)))),0)</f>
        <v>0</v>
      </c>
      <c r="J214" s="12">
        <f t="shared" si="8"/>
        <v>0</v>
      </c>
      <c r="K214" s="13">
        <f>IFERROR(IF(C214="",0,SUMIFS($F$4:$F$213,$C$4:$C$213,C214,$D$4:$D$213,D214,$E$4:$E$213,E214,$B$4:$B$213,"INGRESO")+SUMIFS($F$4:$F$213,$C$4:$C$213,C214,$D$4:$D$213,D214,$E$4:$E$213,E214,$B$4:$B$213,"DE REPROCESO")+SUMIFS($F$4:$F$213,$C$4:$C$213,C214,$D$4:$D$213,D214,$E$4:$E$213,E214,$B$4:$B$213,"AJUSTE+")-SUMIFS($F$4:$F$213,$C$4:$C$213,C214,$D$4:$D$213,D214,$E$4:$E$213,E214,$B$4:$B$213,"A CORTE")-SUMIFS($F$4:$F$213,$C$4:$C$213,C214,$D$4:$D$213,D214,$E$4:$E$213,E214,$B$4:$B$213,"A REPROCESO")-SUMIFS($F$4:$F$213,$C$4:$C$213,C214,$D$4:$D$213,D214,$E$4:$E$213,E214,$B$4:$B$213,"MUESTRA")-SUMIFS($F$4:$F$213,$C$4:$C$213,C214,$D$4:$D$213,D214,$E$4:$E$213,E214,$B$4:$B$213,"AJUSTE-")),0)</f>
        <v>0</v>
      </c>
      <c r="L214" s="13">
        <f t="shared" si="9"/>
        <v>0</v>
      </c>
      <c r="M214" s="8"/>
      <c r="N214" s="14"/>
      <c r="O214" s="14"/>
      <c r="P214" s="14"/>
      <c r="Q214" s="15"/>
      <c r="R214" s="16" t="str">
        <f t="shared" si="10"/>
        <v/>
      </c>
    </row>
    <row r="215" ht="15.75" customHeight="1">
      <c r="A215" s="7"/>
      <c r="B215" s="8"/>
      <c r="C215" s="8"/>
      <c r="D215" s="8"/>
      <c r="E215" s="8"/>
      <c r="F215" s="9"/>
      <c r="G215" s="10">
        <f>IFERROR(F215*VLOOKUP(D215,TELAS!$A$4:$C$32,3,FALSE()),0)</f>
        <v>0</v>
      </c>
      <c r="H215" s="11" t="str">
        <f>IFERROR(VLOOKUP(E215,COLORES!$A$4:$B$102,2,FALSE()),"")</f>
        <v/>
      </c>
      <c r="I215" s="12">
        <f>IFERROR(IF(H215="OSCURO",VLOOKUP(D215,PRECIOS!$A$4:$F$32,2,FALSE()),IF(H215="CLARO",VLOOKUP(D215,PRECIOS!$A$4:$F$32,3,FALSE()),IF(H215="MELANGE",VLOOKUP(D215,PRECIOS!$A$4:$F$32,4,FALSE()),IF(H215="PPT",VLOOKUP(D215,PRECIOS!$A$4:$F$32,5,FALSE()),0)))),0)</f>
        <v>0</v>
      </c>
      <c r="J215" s="12">
        <f t="shared" si="8"/>
        <v>0</v>
      </c>
      <c r="K215" s="13">
        <f>IFERROR(IF(C215="",0,SUMIFS($F$4:$F$214,$C$4:$C$214,C215,$D$4:$D$214,D215,$E$4:$E$214,E215,$B$4:$B$214,"INGRESO")+SUMIFS($F$4:$F$214,$C$4:$C$214,C215,$D$4:$D$214,D215,$E$4:$E$214,E215,$B$4:$B$214,"DE REPROCESO")+SUMIFS($F$4:$F$214,$C$4:$C$214,C215,$D$4:$D$214,D215,$E$4:$E$214,E215,$B$4:$B$214,"AJUSTE+")-SUMIFS($F$4:$F$214,$C$4:$C$214,C215,$D$4:$D$214,D215,$E$4:$E$214,E215,$B$4:$B$214,"A CORTE")-SUMIFS($F$4:$F$214,$C$4:$C$214,C215,$D$4:$D$214,D215,$E$4:$E$214,E215,$B$4:$B$214,"A REPROCESO")-SUMIFS($F$4:$F$214,$C$4:$C$214,C215,$D$4:$D$214,D215,$E$4:$E$214,E215,$B$4:$B$214,"MUESTRA")-SUMIFS($F$4:$F$214,$C$4:$C$214,C215,$D$4:$D$214,D215,$E$4:$E$214,E215,$B$4:$B$214,"AJUSTE-")),0)</f>
        <v>0</v>
      </c>
      <c r="L215" s="13">
        <f t="shared" si="9"/>
        <v>0</v>
      </c>
      <c r="M215" s="8"/>
      <c r="N215" s="14"/>
      <c r="O215" s="14"/>
      <c r="P215" s="14"/>
      <c r="Q215" s="15"/>
      <c r="R215" s="16" t="str">
        <f t="shared" si="10"/>
        <v/>
      </c>
    </row>
    <row r="216" ht="15.75" customHeight="1">
      <c r="A216" s="7"/>
      <c r="B216" s="8"/>
      <c r="C216" s="8"/>
      <c r="D216" s="8"/>
      <c r="E216" s="8"/>
      <c r="F216" s="9"/>
      <c r="G216" s="10">
        <f>IFERROR(F216*VLOOKUP(D216,TELAS!$A$4:$C$32,3,FALSE()),0)</f>
        <v>0</v>
      </c>
      <c r="H216" s="11" t="str">
        <f>IFERROR(VLOOKUP(E216,COLORES!$A$4:$B$102,2,FALSE()),"")</f>
        <v/>
      </c>
      <c r="I216" s="12">
        <f>IFERROR(IF(H216="OSCURO",VLOOKUP(D216,PRECIOS!$A$4:$F$32,2,FALSE()),IF(H216="CLARO",VLOOKUP(D216,PRECIOS!$A$4:$F$32,3,FALSE()),IF(H216="MELANGE",VLOOKUP(D216,PRECIOS!$A$4:$F$32,4,FALSE()),IF(H216="PPT",VLOOKUP(D216,PRECIOS!$A$4:$F$32,5,FALSE()),0)))),0)</f>
        <v>0</v>
      </c>
      <c r="J216" s="12">
        <f t="shared" si="8"/>
        <v>0</v>
      </c>
      <c r="K216" s="13">
        <f>IFERROR(IF(C216="",0,SUMIFS($F$4:$F$215,$C$4:$C$215,C216,$D$4:$D$215,D216,$E$4:$E$215,E216,$B$4:$B$215,"INGRESO")+SUMIFS($F$4:$F$215,$C$4:$C$215,C216,$D$4:$D$215,D216,$E$4:$E$215,E216,$B$4:$B$215,"DE REPROCESO")+SUMIFS($F$4:$F$215,$C$4:$C$215,C216,$D$4:$D$215,D216,$E$4:$E$215,E216,$B$4:$B$215,"AJUSTE+")-SUMIFS($F$4:$F$215,$C$4:$C$215,C216,$D$4:$D$215,D216,$E$4:$E$215,E216,$B$4:$B$215,"A CORTE")-SUMIFS($F$4:$F$215,$C$4:$C$215,C216,$D$4:$D$215,D216,$E$4:$E$215,E216,$B$4:$B$215,"A REPROCESO")-SUMIFS($F$4:$F$215,$C$4:$C$215,C216,$D$4:$D$215,D216,$E$4:$E$215,E216,$B$4:$B$215,"MUESTRA")-SUMIFS($F$4:$F$215,$C$4:$C$215,C216,$D$4:$D$215,D216,$E$4:$E$215,E216,$B$4:$B$215,"AJUSTE-")),0)</f>
        <v>0</v>
      </c>
      <c r="L216" s="13">
        <f t="shared" si="9"/>
        <v>0</v>
      </c>
      <c r="M216" s="8"/>
      <c r="N216" s="14"/>
      <c r="O216" s="14"/>
      <c r="P216" s="14"/>
      <c r="Q216" s="15"/>
      <c r="R216" s="16" t="str">
        <f t="shared" si="10"/>
        <v/>
      </c>
    </row>
    <row r="217" ht="15.75" customHeight="1">
      <c r="A217" s="7"/>
      <c r="B217" s="8"/>
      <c r="C217" s="8"/>
      <c r="D217" s="8"/>
      <c r="E217" s="8"/>
      <c r="F217" s="9"/>
      <c r="G217" s="10">
        <f>IFERROR(F217*VLOOKUP(D217,TELAS!$A$4:$C$32,3,FALSE()),0)</f>
        <v>0</v>
      </c>
      <c r="H217" s="11" t="str">
        <f>IFERROR(VLOOKUP(E217,COLORES!$A$4:$B$102,2,FALSE()),"")</f>
        <v/>
      </c>
      <c r="I217" s="12">
        <f>IFERROR(IF(H217="OSCURO",VLOOKUP(D217,PRECIOS!$A$4:$F$32,2,FALSE()),IF(H217="CLARO",VLOOKUP(D217,PRECIOS!$A$4:$F$32,3,FALSE()),IF(H217="MELANGE",VLOOKUP(D217,PRECIOS!$A$4:$F$32,4,FALSE()),IF(H217="PPT",VLOOKUP(D217,PRECIOS!$A$4:$F$32,5,FALSE()),0)))),0)</f>
        <v>0</v>
      </c>
      <c r="J217" s="12">
        <f t="shared" si="8"/>
        <v>0</v>
      </c>
      <c r="K217" s="13">
        <f>IFERROR(IF(C217="",0,SUMIFS($F$4:$F$216,$C$4:$C$216,C217,$D$4:$D$216,D217,$E$4:$E$216,E217,$B$4:$B$216,"INGRESO")+SUMIFS($F$4:$F$216,$C$4:$C$216,C217,$D$4:$D$216,D217,$E$4:$E$216,E217,$B$4:$B$216,"DE REPROCESO")+SUMIFS($F$4:$F$216,$C$4:$C$216,C217,$D$4:$D$216,D217,$E$4:$E$216,E217,$B$4:$B$216,"AJUSTE+")-SUMIFS($F$4:$F$216,$C$4:$C$216,C217,$D$4:$D$216,D217,$E$4:$E$216,E217,$B$4:$B$216,"A CORTE")-SUMIFS($F$4:$F$216,$C$4:$C$216,C217,$D$4:$D$216,D217,$E$4:$E$216,E217,$B$4:$B$216,"A REPROCESO")-SUMIFS($F$4:$F$216,$C$4:$C$216,C217,$D$4:$D$216,D217,$E$4:$E$216,E217,$B$4:$B$216,"MUESTRA")-SUMIFS($F$4:$F$216,$C$4:$C$216,C217,$D$4:$D$216,D217,$E$4:$E$216,E217,$B$4:$B$216,"AJUSTE-")),0)</f>
        <v>0</v>
      </c>
      <c r="L217" s="13">
        <f t="shared" si="9"/>
        <v>0</v>
      </c>
      <c r="M217" s="8"/>
      <c r="N217" s="14"/>
      <c r="O217" s="14"/>
      <c r="P217" s="14"/>
      <c r="Q217" s="15"/>
      <c r="R217" s="16" t="str">
        <f t="shared" si="10"/>
        <v/>
      </c>
    </row>
    <row r="218" ht="15.75" customHeight="1">
      <c r="A218" s="7"/>
      <c r="B218" s="8"/>
      <c r="C218" s="8"/>
      <c r="D218" s="8"/>
      <c r="E218" s="8"/>
      <c r="F218" s="9"/>
      <c r="G218" s="10">
        <f>IFERROR(F218*VLOOKUP(D218,TELAS!$A$4:$C$32,3,FALSE()),0)</f>
        <v>0</v>
      </c>
      <c r="H218" s="11" t="str">
        <f>IFERROR(VLOOKUP(E218,COLORES!$A$4:$B$102,2,FALSE()),"")</f>
        <v/>
      </c>
      <c r="I218" s="12">
        <f>IFERROR(IF(H218="OSCURO",VLOOKUP(D218,PRECIOS!$A$4:$F$32,2,FALSE()),IF(H218="CLARO",VLOOKUP(D218,PRECIOS!$A$4:$F$32,3,FALSE()),IF(H218="MELANGE",VLOOKUP(D218,PRECIOS!$A$4:$F$32,4,FALSE()),IF(H218="PPT",VLOOKUP(D218,PRECIOS!$A$4:$F$32,5,FALSE()),0)))),0)</f>
        <v>0</v>
      </c>
      <c r="J218" s="12">
        <f t="shared" si="8"/>
        <v>0</v>
      </c>
      <c r="K218" s="13">
        <f>IFERROR(IF(C218="",0,SUMIFS($F$4:$F$217,$C$4:$C$217,C218,$D$4:$D$217,D218,$E$4:$E$217,E218,$B$4:$B$217,"INGRESO")+SUMIFS($F$4:$F$217,$C$4:$C$217,C218,$D$4:$D$217,D218,$E$4:$E$217,E218,$B$4:$B$217,"DE REPROCESO")+SUMIFS($F$4:$F$217,$C$4:$C$217,C218,$D$4:$D$217,D218,$E$4:$E$217,E218,$B$4:$B$217,"AJUSTE+")-SUMIFS($F$4:$F$217,$C$4:$C$217,C218,$D$4:$D$217,D218,$E$4:$E$217,E218,$B$4:$B$217,"A CORTE")-SUMIFS($F$4:$F$217,$C$4:$C$217,C218,$D$4:$D$217,D218,$E$4:$E$217,E218,$B$4:$B$217,"A REPROCESO")-SUMIFS($F$4:$F$217,$C$4:$C$217,C218,$D$4:$D$217,D218,$E$4:$E$217,E218,$B$4:$B$217,"MUESTRA")-SUMIFS($F$4:$F$217,$C$4:$C$217,C218,$D$4:$D$217,D218,$E$4:$E$217,E218,$B$4:$B$217,"AJUSTE-")),0)</f>
        <v>0</v>
      </c>
      <c r="L218" s="13">
        <f t="shared" si="9"/>
        <v>0</v>
      </c>
      <c r="M218" s="8"/>
      <c r="N218" s="14"/>
      <c r="O218" s="14"/>
      <c r="P218" s="14"/>
      <c r="Q218" s="15"/>
      <c r="R218" s="16" t="str">
        <f t="shared" si="10"/>
        <v/>
      </c>
    </row>
    <row r="219" ht="15.75" customHeight="1">
      <c r="A219" s="7"/>
      <c r="B219" s="8"/>
      <c r="C219" s="8"/>
      <c r="D219" s="8"/>
      <c r="E219" s="8"/>
      <c r="F219" s="9"/>
      <c r="G219" s="10">
        <f>IFERROR(F219*VLOOKUP(D219,TELAS!$A$4:$C$32,3,FALSE()),0)</f>
        <v>0</v>
      </c>
      <c r="H219" s="11" t="str">
        <f>IFERROR(VLOOKUP(E219,COLORES!$A$4:$B$102,2,FALSE()),"")</f>
        <v/>
      </c>
      <c r="I219" s="12">
        <f>IFERROR(IF(H219="OSCURO",VLOOKUP(D219,PRECIOS!$A$4:$F$32,2,FALSE()),IF(H219="CLARO",VLOOKUP(D219,PRECIOS!$A$4:$F$32,3,FALSE()),IF(H219="MELANGE",VLOOKUP(D219,PRECIOS!$A$4:$F$32,4,FALSE()),IF(H219="PPT",VLOOKUP(D219,PRECIOS!$A$4:$F$32,5,FALSE()),0)))),0)</f>
        <v>0</v>
      </c>
      <c r="J219" s="12">
        <f t="shared" si="8"/>
        <v>0</v>
      </c>
      <c r="K219" s="13">
        <f>IFERROR(IF(C219="",0,SUMIFS($F$4:$F$218,$C$4:$C$218,C219,$D$4:$D$218,D219,$E$4:$E$218,E219,$B$4:$B$218,"INGRESO")+SUMIFS($F$4:$F$218,$C$4:$C$218,C219,$D$4:$D$218,D219,$E$4:$E$218,E219,$B$4:$B$218,"DE REPROCESO")+SUMIFS($F$4:$F$218,$C$4:$C$218,C219,$D$4:$D$218,D219,$E$4:$E$218,E219,$B$4:$B$218,"AJUSTE+")-SUMIFS($F$4:$F$218,$C$4:$C$218,C219,$D$4:$D$218,D219,$E$4:$E$218,E219,$B$4:$B$218,"A CORTE")-SUMIFS($F$4:$F$218,$C$4:$C$218,C219,$D$4:$D$218,D219,$E$4:$E$218,E219,$B$4:$B$218,"A REPROCESO")-SUMIFS($F$4:$F$218,$C$4:$C$218,C219,$D$4:$D$218,D219,$E$4:$E$218,E219,$B$4:$B$218,"MUESTRA")-SUMIFS($F$4:$F$218,$C$4:$C$218,C219,$D$4:$D$218,D219,$E$4:$E$218,E219,$B$4:$B$218,"AJUSTE-")),0)</f>
        <v>0</v>
      </c>
      <c r="L219" s="13">
        <f t="shared" si="9"/>
        <v>0</v>
      </c>
      <c r="M219" s="8"/>
      <c r="N219" s="14"/>
      <c r="O219" s="14"/>
      <c r="P219" s="14"/>
      <c r="Q219" s="15"/>
      <c r="R219" s="16" t="str">
        <f t="shared" si="10"/>
        <v/>
      </c>
    </row>
    <row r="220" ht="15.75" customHeight="1">
      <c r="A220" s="7"/>
      <c r="B220" s="8"/>
      <c r="C220" s="8"/>
      <c r="D220" s="8"/>
      <c r="E220" s="8"/>
      <c r="F220" s="9"/>
      <c r="G220" s="10">
        <f>IFERROR(F220*VLOOKUP(D220,TELAS!$A$4:$C$32,3,FALSE()),0)</f>
        <v>0</v>
      </c>
      <c r="H220" s="11" t="str">
        <f>IFERROR(VLOOKUP(E220,COLORES!$A$4:$B$102,2,FALSE()),"")</f>
        <v/>
      </c>
      <c r="I220" s="12">
        <f>IFERROR(IF(H220="OSCURO",VLOOKUP(D220,PRECIOS!$A$4:$F$32,2,FALSE()),IF(H220="CLARO",VLOOKUP(D220,PRECIOS!$A$4:$F$32,3,FALSE()),IF(H220="MELANGE",VLOOKUP(D220,PRECIOS!$A$4:$F$32,4,FALSE()),IF(H220="PPT",VLOOKUP(D220,PRECIOS!$A$4:$F$32,5,FALSE()),0)))),0)</f>
        <v>0</v>
      </c>
      <c r="J220" s="12">
        <f t="shared" si="8"/>
        <v>0</v>
      </c>
      <c r="K220" s="13">
        <f>IFERROR(IF(C220="",0,SUMIFS($F$4:$F$219,$C$4:$C$219,C220,$D$4:$D$219,D220,$E$4:$E$219,E220,$B$4:$B$219,"INGRESO")+SUMIFS($F$4:$F$219,$C$4:$C$219,C220,$D$4:$D$219,D220,$E$4:$E$219,E220,$B$4:$B$219,"DE REPROCESO")+SUMIFS($F$4:$F$219,$C$4:$C$219,C220,$D$4:$D$219,D220,$E$4:$E$219,E220,$B$4:$B$219,"AJUSTE+")-SUMIFS($F$4:$F$219,$C$4:$C$219,C220,$D$4:$D$219,D220,$E$4:$E$219,E220,$B$4:$B$219,"A CORTE")-SUMIFS($F$4:$F$219,$C$4:$C$219,C220,$D$4:$D$219,D220,$E$4:$E$219,E220,$B$4:$B$219,"A REPROCESO")-SUMIFS($F$4:$F$219,$C$4:$C$219,C220,$D$4:$D$219,D220,$E$4:$E$219,E220,$B$4:$B$219,"MUESTRA")-SUMIFS($F$4:$F$219,$C$4:$C$219,C220,$D$4:$D$219,D220,$E$4:$E$219,E220,$B$4:$B$219,"AJUSTE-")),0)</f>
        <v>0</v>
      </c>
      <c r="L220" s="13">
        <f t="shared" si="9"/>
        <v>0</v>
      </c>
      <c r="M220" s="8"/>
      <c r="N220" s="14"/>
      <c r="O220" s="14"/>
      <c r="P220" s="14"/>
      <c r="Q220" s="15"/>
      <c r="R220" s="16" t="str">
        <f t="shared" si="10"/>
        <v/>
      </c>
    </row>
    <row r="221" ht="15.75" customHeight="1">
      <c r="A221" s="7"/>
      <c r="B221" s="8"/>
      <c r="C221" s="8"/>
      <c r="D221" s="8"/>
      <c r="E221" s="8"/>
      <c r="F221" s="9"/>
      <c r="G221" s="10">
        <f>IFERROR(F221*VLOOKUP(D221,TELAS!$A$4:$C$32,3,FALSE()),0)</f>
        <v>0</v>
      </c>
      <c r="H221" s="11" t="str">
        <f>IFERROR(VLOOKUP(E221,COLORES!$A$4:$B$102,2,FALSE()),"")</f>
        <v/>
      </c>
      <c r="I221" s="12">
        <f>IFERROR(IF(H221="OSCURO",VLOOKUP(D221,PRECIOS!$A$4:$F$32,2,FALSE()),IF(H221="CLARO",VLOOKUP(D221,PRECIOS!$A$4:$F$32,3,FALSE()),IF(H221="MELANGE",VLOOKUP(D221,PRECIOS!$A$4:$F$32,4,FALSE()),IF(H221="PPT",VLOOKUP(D221,PRECIOS!$A$4:$F$32,5,FALSE()),0)))),0)</f>
        <v>0</v>
      </c>
      <c r="J221" s="12">
        <f t="shared" si="8"/>
        <v>0</v>
      </c>
      <c r="K221" s="13">
        <f>IFERROR(IF(C221="",0,SUMIFS($F$4:$F$220,$C$4:$C$220,C221,$D$4:$D$220,D221,$E$4:$E$220,E221,$B$4:$B$220,"INGRESO")+SUMIFS($F$4:$F$220,$C$4:$C$220,C221,$D$4:$D$220,D221,$E$4:$E$220,E221,$B$4:$B$220,"DE REPROCESO")+SUMIFS($F$4:$F$220,$C$4:$C$220,C221,$D$4:$D$220,D221,$E$4:$E$220,E221,$B$4:$B$220,"AJUSTE+")-SUMIFS($F$4:$F$220,$C$4:$C$220,C221,$D$4:$D$220,D221,$E$4:$E$220,E221,$B$4:$B$220,"A CORTE")-SUMIFS($F$4:$F$220,$C$4:$C$220,C221,$D$4:$D$220,D221,$E$4:$E$220,E221,$B$4:$B$220,"A REPROCESO")-SUMIFS($F$4:$F$220,$C$4:$C$220,C221,$D$4:$D$220,D221,$E$4:$E$220,E221,$B$4:$B$220,"MUESTRA")-SUMIFS($F$4:$F$220,$C$4:$C$220,C221,$D$4:$D$220,D221,$E$4:$E$220,E221,$B$4:$B$220,"AJUSTE-")),0)</f>
        <v>0</v>
      </c>
      <c r="L221" s="13">
        <f t="shared" si="9"/>
        <v>0</v>
      </c>
      <c r="M221" s="8"/>
      <c r="N221" s="14"/>
      <c r="O221" s="14"/>
      <c r="P221" s="14"/>
      <c r="Q221" s="15"/>
      <c r="R221" s="16" t="str">
        <f t="shared" si="10"/>
        <v/>
      </c>
    </row>
    <row r="222" ht="15.75" customHeight="1">
      <c r="A222" s="7"/>
      <c r="B222" s="8"/>
      <c r="C222" s="8"/>
      <c r="D222" s="8"/>
      <c r="E222" s="8"/>
      <c r="F222" s="9"/>
      <c r="G222" s="10">
        <f>IFERROR(F222*VLOOKUP(D222,TELAS!$A$4:$C$32,3,FALSE()),0)</f>
        <v>0</v>
      </c>
      <c r="H222" s="11" t="str">
        <f>IFERROR(VLOOKUP(E222,COLORES!$A$4:$B$102,2,FALSE()),"")</f>
        <v/>
      </c>
      <c r="I222" s="12">
        <f>IFERROR(IF(H222="OSCURO",VLOOKUP(D222,PRECIOS!$A$4:$F$32,2,FALSE()),IF(H222="CLARO",VLOOKUP(D222,PRECIOS!$A$4:$F$32,3,FALSE()),IF(H222="MELANGE",VLOOKUP(D222,PRECIOS!$A$4:$F$32,4,FALSE()),IF(H222="PPT",VLOOKUP(D222,PRECIOS!$A$4:$F$32,5,FALSE()),0)))),0)</f>
        <v>0</v>
      </c>
      <c r="J222" s="12">
        <f t="shared" si="8"/>
        <v>0</v>
      </c>
      <c r="K222" s="13">
        <f>IFERROR(IF(C222="",0,SUMIFS($F$4:$F$221,$C$4:$C$221,C222,$D$4:$D$221,D222,$E$4:$E$221,E222,$B$4:$B$221,"INGRESO")+SUMIFS($F$4:$F$221,$C$4:$C$221,C222,$D$4:$D$221,D222,$E$4:$E$221,E222,$B$4:$B$221,"DE REPROCESO")+SUMIFS($F$4:$F$221,$C$4:$C$221,C222,$D$4:$D$221,D222,$E$4:$E$221,E222,$B$4:$B$221,"AJUSTE+")-SUMIFS($F$4:$F$221,$C$4:$C$221,C222,$D$4:$D$221,D222,$E$4:$E$221,E222,$B$4:$B$221,"A CORTE")-SUMIFS($F$4:$F$221,$C$4:$C$221,C222,$D$4:$D$221,D222,$E$4:$E$221,E222,$B$4:$B$221,"A REPROCESO")-SUMIFS($F$4:$F$221,$C$4:$C$221,C222,$D$4:$D$221,D222,$E$4:$E$221,E222,$B$4:$B$221,"MUESTRA")-SUMIFS($F$4:$F$221,$C$4:$C$221,C222,$D$4:$D$221,D222,$E$4:$E$221,E222,$B$4:$B$221,"AJUSTE-")),0)</f>
        <v>0</v>
      </c>
      <c r="L222" s="13">
        <f t="shared" si="9"/>
        <v>0</v>
      </c>
      <c r="M222" s="8"/>
      <c r="N222" s="14"/>
      <c r="O222" s="14"/>
      <c r="P222" s="14"/>
      <c r="Q222" s="15"/>
      <c r="R222" s="16" t="str">
        <f t="shared" si="10"/>
        <v/>
      </c>
    </row>
    <row r="223" ht="15.75" customHeight="1">
      <c r="A223" s="7"/>
      <c r="B223" s="8"/>
      <c r="C223" s="8"/>
      <c r="D223" s="8"/>
      <c r="E223" s="8"/>
      <c r="F223" s="9"/>
      <c r="G223" s="10">
        <f>IFERROR(F223*VLOOKUP(D223,TELAS!$A$4:$C$32,3,FALSE()),0)</f>
        <v>0</v>
      </c>
      <c r="H223" s="11" t="str">
        <f>IFERROR(VLOOKUP(E223,COLORES!$A$4:$B$102,2,FALSE()),"")</f>
        <v/>
      </c>
      <c r="I223" s="12">
        <f>IFERROR(IF(H223="OSCURO",VLOOKUP(D223,PRECIOS!$A$4:$F$32,2,FALSE()),IF(H223="CLARO",VLOOKUP(D223,PRECIOS!$A$4:$F$32,3,FALSE()),IF(H223="MELANGE",VLOOKUP(D223,PRECIOS!$A$4:$F$32,4,FALSE()),IF(H223="PPT",VLOOKUP(D223,PRECIOS!$A$4:$F$32,5,FALSE()),0)))),0)</f>
        <v>0</v>
      </c>
      <c r="J223" s="12">
        <f t="shared" si="8"/>
        <v>0</v>
      </c>
      <c r="K223" s="13">
        <f>IFERROR(IF(C223="",0,SUMIFS($F$4:$F$222,$C$4:$C$222,C223,$D$4:$D$222,D223,$E$4:$E$222,E223,$B$4:$B$222,"INGRESO")+SUMIFS($F$4:$F$222,$C$4:$C$222,C223,$D$4:$D$222,D223,$E$4:$E$222,E223,$B$4:$B$222,"DE REPROCESO")+SUMIFS($F$4:$F$222,$C$4:$C$222,C223,$D$4:$D$222,D223,$E$4:$E$222,E223,$B$4:$B$222,"AJUSTE+")-SUMIFS($F$4:$F$222,$C$4:$C$222,C223,$D$4:$D$222,D223,$E$4:$E$222,E223,$B$4:$B$222,"A CORTE")-SUMIFS($F$4:$F$222,$C$4:$C$222,C223,$D$4:$D$222,D223,$E$4:$E$222,E223,$B$4:$B$222,"A REPROCESO")-SUMIFS($F$4:$F$222,$C$4:$C$222,C223,$D$4:$D$222,D223,$E$4:$E$222,E223,$B$4:$B$222,"MUESTRA")-SUMIFS($F$4:$F$222,$C$4:$C$222,C223,$D$4:$D$222,D223,$E$4:$E$222,E223,$B$4:$B$222,"AJUSTE-")),0)</f>
        <v>0</v>
      </c>
      <c r="L223" s="13">
        <f t="shared" si="9"/>
        <v>0</v>
      </c>
      <c r="M223" s="8"/>
      <c r="N223" s="14"/>
      <c r="O223" s="14"/>
      <c r="P223" s="14"/>
      <c r="Q223" s="15"/>
      <c r="R223" s="16" t="str">
        <f t="shared" si="10"/>
        <v/>
      </c>
    </row>
    <row r="224" ht="15.75" customHeight="1">
      <c r="A224" s="7"/>
      <c r="B224" s="8"/>
      <c r="C224" s="8"/>
      <c r="D224" s="8"/>
      <c r="E224" s="8"/>
      <c r="F224" s="9"/>
      <c r="G224" s="10">
        <f>IFERROR(F224*VLOOKUP(D224,TELAS!$A$4:$C$32,3,FALSE()),0)</f>
        <v>0</v>
      </c>
      <c r="H224" s="11" t="str">
        <f>IFERROR(VLOOKUP(E224,COLORES!$A$4:$B$102,2,FALSE()),"")</f>
        <v/>
      </c>
      <c r="I224" s="12">
        <f>IFERROR(IF(H224="OSCURO",VLOOKUP(D224,PRECIOS!$A$4:$F$32,2,FALSE()),IF(H224="CLARO",VLOOKUP(D224,PRECIOS!$A$4:$F$32,3,FALSE()),IF(H224="MELANGE",VLOOKUP(D224,PRECIOS!$A$4:$F$32,4,FALSE()),IF(H224="PPT",VLOOKUP(D224,PRECIOS!$A$4:$F$32,5,FALSE()),0)))),0)</f>
        <v>0</v>
      </c>
      <c r="J224" s="12">
        <f t="shared" si="8"/>
        <v>0</v>
      </c>
      <c r="K224" s="13">
        <f>IFERROR(IF(C224="",0,SUMIFS($F$4:$F$223,$C$4:$C$223,C224,$D$4:$D$223,D224,$E$4:$E$223,E224,$B$4:$B$223,"INGRESO")+SUMIFS($F$4:$F$223,$C$4:$C$223,C224,$D$4:$D$223,D224,$E$4:$E$223,E224,$B$4:$B$223,"DE REPROCESO")+SUMIFS($F$4:$F$223,$C$4:$C$223,C224,$D$4:$D$223,D224,$E$4:$E$223,E224,$B$4:$B$223,"AJUSTE+")-SUMIFS($F$4:$F$223,$C$4:$C$223,C224,$D$4:$D$223,D224,$E$4:$E$223,E224,$B$4:$B$223,"A CORTE")-SUMIFS($F$4:$F$223,$C$4:$C$223,C224,$D$4:$D$223,D224,$E$4:$E$223,E224,$B$4:$B$223,"A REPROCESO")-SUMIFS($F$4:$F$223,$C$4:$C$223,C224,$D$4:$D$223,D224,$E$4:$E$223,E224,$B$4:$B$223,"MUESTRA")-SUMIFS($F$4:$F$223,$C$4:$C$223,C224,$D$4:$D$223,D224,$E$4:$E$223,E224,$B$4:$B$223,"AJUSTE-")),0)</f>
        <v>0</v>
      </c>
      <c r="L224" s="13">
        <f t="shared" si="9"/>
        <v>0</v>
      </c>
      <c r="M224" s="8"/>
      <c r="N224" s="14"/>
      <c r="O224" s="14"/>
      <c r="P224" s="14"/>
      <c r="Q224" s="15"/>
      <c r="R224" s="16" t="str">
        <f t="shared" si="10"/>
        <v/>
      </c>
    </row>
    <row r="225" ht="15.75" customHeight="1">
      <c r="A225" s="7"/>
      <c r="B225" s="8"/>
      <c r="C225" s="8"/>
      <c r="D225" s="8"/>
      <c r="E225" s="8"/>
      <c r="F225" s="9"/>
      <c r="G225" s="10">
        <f>IFERROR(F225*VLOOKUP(D225,TELAS!$A$4:$C$32,3,FALSE()),0)</f>
        <v>0</v>
      </c>
      <c r="H225" s="11" t="str">
        <f>IFERROR(VLOOKUP(E225,COLORES!$A$4:$B$102,2,FALSE()),"")</f>
        <v/>
      </c>
      <c r="I225" s="12">
        <f>IFERROR(IF(H225="OSCURO",VLOOKUP(D225,PRECIOS!$A$4:$F$32,2,FALSE()),IF(H225="CLARO",VLOOKUP(D225,PRECIOS!$A$4:$F$32,3,FALSE()),IF(H225="MELANGE",VLOOKUP(D225,PRECIOS!$A$4:$F$32,4,FALSE()),IF(H225="PPT",VLOOKUP(D225,PRECIOS!$A$4:$F$32,5,FALSE()),0)))),0)</f>
        <v>0</v>
      </c>
      <c r="J225" s="12">
        <f t="shared" si="8"/>
        <v>0</v>
      </c>
      <c r="K225" s="13">
        <f>IFERROR(IF(C225="",0,SUMIFS($F$4:$F$224,$C$4:$C$224,C225,$D$4:$D$224,D225,$E$4:$E$224,E225,$B$4:$B$224,"INGRESO")+SUMIFS($F$4:$F$224,$C$4:$C$224,C225,$D$4:$D$224,D225,$E$4:$E$224,E225,$B$4:$B$224,"DE REPROCESO")+SUMIFS($F$4:$F$224,$C$4:$C$224,C225,$D$4:$D$224,D225,$E$4:$E$224,E225,$B$4:$B$224,"AJUSTE+")-SUMIFS($F$4:$F$224,$C$4:$C$224,C225,$D$4:$D$224,D225,$E$4:$E$224,E225,$B$4:$B$224,"A CORTE")-SUMIFS($F$4:$F$224,$C$4:$C$224,C225,$D$4:$D$224,D225,$E$4:$E$224,E225,$B$4:$B$224,"A REPROCESO")-SUMIFS($F$4:$F$224,$C$4:$C$224,C225,$D$4:$D$224,D225,$E$4:$E$224,E225,$B$4:$B$224,"MUESTRA")-SUMIFS($F$4:$F$224,$C$4:$C$224,C225,$D$4:$D$224,D225,$E$4:$E$224,E225,$B$4:$B$224,"AJUSTE-")),0)</f>
        <v>0</v>
      </c>
      <c r="L225" s="13">
        <f t="shared" si="9"/>
        <v>0</v>
      </c>
      <c r="M225" s="8"/>
      <c r="N225" s="14"/>
      <c r="O225" s="14"/>
      <c r="P225" s="14"/>
      <c r="Q225" s="15"/>
      <c r="R225" s="16" t="str">
        <f t="shared" si="10"/>
        <v/>
      </c>
    </row>
    <row r="226" ht="15.75" customHeight="1">
      <c r="A226" s="7"/>
      <c r="B226" s="8"/>
      <c r="C226" s="8"/>
      <c r="D226" s="8"/>
      <c r="E226" s="8"/>
      <c r="F226" s="9"/>
      <c r="G226" s="10">
        <f>IFERROR(F226*VLOOKUP(D226,TELAS!$A$4:$C$32,3,FALSE()),0)</f>
        <v>0</v>
      </c>
      <c r="H226" s="11" t="str">
        <f>IFERROR(VLOOKUP(E226,COLORES!$A$4:$B$102,2,FALSE()),"")</f>
        <v/>
      </c>
      <c r="I226" s="12">
        <f>IFERROR(IF(H226="OSCURO",VLOOKUP(D226,PRECIOS!$A$4:$F$32,2,FALSE()),IF(H226="CLARO",VLOOKUP(D226,PRECIOS!$A$4:$F$32,3,FALSE()),IF(H226="MELANGE",VLOOKUP(D226,PRECIOS!$A$4:$F$32,4,FALSE()),IF(H226="PPT",VLOOKUP(D226,PRECIOS!$A$4:$F$32,5,FALSE()),0)))),0)</f>
        <v>0</v>
      </c>
      <c r="J226" s="12">
        <f t="shared" si="8"/>
        <v>0</v>
      </c>
      <c r="K226" s="13">
        <f>IFERROR(IF(C226="",0,SUMIFS($F$4:$F$225,$C$4:$C$225,C226,$D$4:$D$225,D226,$E$4:$E$225,E226,$B$4:$B$225,"INGRESO")+SUMIFS($F$4:$F$225,$C$4:$C$225,C226,$D$4:$D$225,D226,$E$4:$E$225,E226,$B$4:$B$225,"DE REPROCESO")+SUMIFS($F$4:$F$225,$C$4:$C$225,C226,$D$4:$D$225,D226,$E$4:$E$225,E226,$B$4:$B$225,"AJUSTE+")-SUMIFS($F$4:$F$225,$C$4:$C$225,C226,$D$4:$D$225,D226,$E$4:$E$225,E226,$B$4:$B$225,"A CORTE")-SUMIFS($F$4:$F$225,$C$4:$C$225,C226,$D$4:$D$225,D226,$E$4:$E$225,E226,$B$4:$B$225,"A REPROCESO")-SUMIFS($F$4:$F$225,$C$4:$C$225,C226,$D$4:$D$225,D226,$E$4:$E$225,E226,$B$4:$B$225,"MUESTRA")-SUMIFS($F$4:$F$225,$C$4:$C$225,C226,$D$4:$D$225,D226,$E$4:$E$225,E226,$B$4:$B$225,"AJUSTE-")),0)</f>
        <v>0</v>
      </c>
      <c r="L226" s="13">
        <f t="shared" si="9"/>
        <v>0</v>
      </c>
      <c r="M226" s="8"/>
      <c r="N226" s="14"/>
      <c r="O226" s="14"/>
      <c r="P226" s="14"/>
      <c r="Q226" s="15"/>
      <c r="R226" s="16" t="str">
        <f t="shared" si="10"/>
        <v/>
      </c>
    </row>
    <row r="227" ht="15.75" customHeight="1">
      <c r="A227" s="7"/>
      <c r="B227" s="8"/>
      <c r="C227" s="8"/>
      <c r="D227" s="8"/>
      <c r="E227" s="8"/>
      <c r="F227" s="9"/>
      <c r="G227" s="10">
        <f>IFERROR(F227*VLOOKUP(D227,TELAS!$A$4:$C$32,3,FALSE()),0)</f>
        <v>0</v>
      </c>
      <c r="H227" s="11" t="str">
        <f>IFERROR(VLOOKUP(E227,COLORES!$A$4:$B$102,2,FALSE()),"")</f>
        <v/>
      </c>
      <c r="I227" s="12">
        <f>IFERROR(IF(H227="OSCURO",VLOOKUP(D227,PRECIOS!$A$4:$F$32,2,FALSE()),IF(H227="CLARO",VLOOKUP(D227,PRECIOS!$A$4:$F$32,3,FALSE()),IF(H227="MELANGE",VLOOKUP(D227,PRECIOS!$A$4:$F$32,4,FALSE()),IF(H227="PPT",VLOOKUP(D227,PRECIOS!$A$4:$F$32,5,FALSE()),0)))),0)</f>
        <v>0</v>
      </c>
      <c r="J227" s="12">
        <f t="shared" si="8"/>
        <v>0</v>
      </c>
      <c r="K227" s="13">
        <f>IFERROR(IF(C227="",0,SUMIFS($F$4:$F$226,$C$4:$C$226,C227,$D$4:$D$226,D227,$E$4:$E$226,E227,$B$4:$B$226,"INGRESO")+SUMIFS($F$4:$F$226,$C$4:$C$226,C227,$D$4:$D$226,D227,$E$4:$E$226,E227,$B$4:$B$226,"DE REPROCESO")+SUMIFS($F$4:$F$226,$C$4:$C$226,C227,$D$4:$D$226,D227,$E$4:$E$226,E227,$B$4:$B$226,"AJUSTE+")-SUMIFS($F$4:$F$226,$C$4:$C$226,C227,$D$4:$D$226,D227,$E$4:$E$226,E227,$B$4:$B$226,"A CORTE")-SUMIFS($F$4:$F$226,$C$4:$C$226,C227,$D$4:$D$226,D227,$E$4:$E$226,E227,$B$4:$B$226,"A REPROCESO")-SUMIFS($F$4:$F$226,$C$4:$C$226,C227,$D$4:$D$226,D227,$E$4:$E$226,E227,$B$4:$B$226,"MUESTRA")-SUMIFS($F$4:$F$226,$C$4:$C$226,C227,$D$4:$D$226,D227,$E$4:$E$226,E227,$B$4:$B$226,"AJUSTE-")),0)</f>
        <v>0</v>
      </c>
      <c r="L227" s="13">
        <f t="shared" si="9"/>
        <v>0</v>
      </c>
      <c r="M227" s="8"/>
      <c r="N227" s="14"/>
      <c r="O227" s="14"/>
      <c r="P227" s="14"/>
      <c r="Q227" s="15"/>
      <c r="R227" s="16" t="str">
        <f t="shared" si="10"/>
        <v/>
      </c>
    </row>
    <row r="228" ht="15.75" customHeight="1">
      <c r="A228" s="7"/>
      <c r="B228" s="8"/>
      <c r="C228" s="8"/>
      <c r="D228" s="8"/>
      <c r="E228" s="8"/>
      <c r="F228" s="9"/>
      <c r="G228" s="10">
        <f>IFERROR(F228*VLOOKUP(D228,TELAS!$A$4:$C$32,3,FALSE()),0)</f>
        <v>0</v>
      </c>
      <c r="H228" s="11" t="str">
        <f>IFERROR(VLOOKUP(E228,COLORES!$A$4:$B$102,2,FALSE()),"")</f>
        <v/>
      </c>
      <c r="I228" s="12">
        <f>IFERROR(IF(H228="OSCURO",VLOOKUP(D228,PRECIOS!$A$4:$F$32,2,FALSE()),IF(H228="CLARO",VLOOKUP(D228,PRECIOS!$A$4:$F$32,3,FALSE()),IF(H228="MELANGE",VLOOKUP(D228,PRECIOS!$A$4:$F$32,4,FALSE()),IF(H228="PPT",VLOOKUP(D228,PRECIOS!$A$4:$F$32,5,FALSE()),0)))),0)</f>
        <v>0</v>
      </c>
      <c r="J228" s="12">
        <f t="shared" si="8"/>
        <v>0</v>
      </c>
      <c r="K228" s="13">
        <f>IFERROR(IF(C228="",0,SUMIFS($F$4:$F$227,$C$4:$C$227,C228,$D$4:$D$227,D228,$E$4:$E$227,E228,$B$4:$B$227,"INGRESO")+SUMIFS($F$4:$F$227,$C$4:$C$227,C228,$D$4:$D$227,D228,$E$4:$E$227,E228,$B$4:$B$227,"DE REPROCESO")+SUMIFS($F$4:$F$227,$C$4:$C$227,C228,$D$4:$D$227,D228,$E$4:$E$227,E228,$B$4:$B$227,"AJUSTE+")-SUMIFS($F$4:$F$227,$C$4:$C$227,C228,$D$4:$D$227,D228,$E$4:$E$227,E228,$B$4:$B$227,"A CORTE")-SUMIFS($F$4:$F$227,$C$4:$C$227,C228,$D$4:$D$227,D228,$E$4:$E$227,E228,$B$4:$B$227,"A REPROCESO")-SUMIFS($F$4:$F$227,$C$4:$C$227,C228,$D$4:$D$227,D228,$E$4:$E$227,E228,$B$4:$B$227,"MUESTRA")-SUMIFS($F$4:$F$227,$C$4:$C$227,C228,$D$4:$D$227,D228,$E$4:$E$227,E228,$B$4:$B$227,"AJUSTE-")),0)</f>
        <v>0</v>
      </c>
      <c r="L228" s="13">
        <f t="shared" si="9"/>
        <v>0</v>
      </c>
      <c r="M228" s="8"/>
      <c r="N228" s="14"/>
      <c r="O228" s="14"/>
      <c r="P228" s="14"/>
      <c r="Q228" s="15"/>
      <c r="R228" s="16" t="str">
        <f t="shared" si="10"/>
        <v/>
      </c>
    </row>
    <row r="229" ht="15.75" customHeight="1">
      <c r="A229" s="7"/>
      <c r="B229" s="8"/>
      <c r="C229" s="8"/>
      <c r="D229" s="8"/>
      <c r="E229" s="8"/>
      <c r="F229" s="9"/>
      <c r="G229" s="10">
        <f>IFERROR(F229*VLOOKUP(D229,TELAS!$A$4:$C$32,3,FALSE()),0)</f>
        <v>0</v>
      </c>
      <c r="H229" s="11" t="str">
        <f>IFERROR(VLOOKUP(E229,COLORES!$A$4:$B$102,2,FALSE()),"")</f>
        <v/>
      </c>
      <c r="I229" s="12">
        <f>IFERROR(IF(H229="OSCURO",VLOOKUP(D229,PRECIOS!$A$4:$F$32,2,FALSE()),IF(H229="CLARO",VLOOKUP(D229,PRECIOS!$A$4:$F$32,3,FALSE()),IF(H229="MELANGE",VLOOKUP(D229,PRECIOS!$A$4:$F$32,4,FALSE()),IF(H229="PPT",VLOOKUP(D229,PRECIOS!$A$4:$F$32,5,FALSE()),0)))),0)</f>
        <v>0</v>
      </c>
      <c r="J229" s="12">
        <f t="shared" si="8"/>
        <v>0</v>
      </c>
      <c r="K229" s="13">
        <f>IFERROR(IF(C229="",0,SUMIFS($F$4:$F$228,$C$4:$C$228,C229,$D$4:$D$228,D229,$E$4:$E$228,E229,$B$4:$B$228,"INGRESO")+SUMIFS($F$4:$F$228,$C$4:$C$228,C229,$D$4:$D$228,D229,$E$4:$E$228,E229,$B$4:$B$228,"DE REPROCESO")+SUMIFS($F$4:$F$228,$C$4:$C$228,C229,$D$4:$D$228,D229,$E$4:$E$228,E229,$B$4:$B$228,"AJUSTE+")-SUMIFS($F$4:$F$228,$C$4:$C$228,C229,$D$4:$D$228,D229,$E$4:$E$228,E229,$B$4:$B$228,"A CORTE")-SUMIFS($F$4:$F$228,$C$4:$C$228,C229,$D$4:$D$228,D229,$E$4:$E$228,E229,$B$4:$B$228,"A REPROCESO")-SUMIFS($F$4:$F$228,$C$4:$C$228,C229,$D$4:$D$228,D229,$E$4:$E$228,E229,$B$4:$B$228,"MUESTRA")-SUMIFS($F$4:$F$228,$C$4:$C$228,C229,$D$4:$D$228,D229,$E$4:$E$228,E229,$B$4:$B$228,"AJUSTE-")),0)</f>
        <v>0</v>
      </c>
      <c r="L229" s="13">
        <f t="shared" si="9"/>
        <v>0</v>
      </c>
      <c r="M229" s="8"/>
      <c r="N229" s="14"/>
      <c r="O229" s="14"/>
      <c r="P229" s="14"/>
      <c r="Q229" s="15"/>
      <c r="R229" s="16" t="str">
        <f t="shared" si="10"/>
        <v/>
      </c>
    </row>
    <row r="230" ht="15.75" customHeight="1">
      <c r="A230" s="7"/>
      <c r="B230" s="8"/>
      <c r="C230" s="8"/>
      <c r="D230" s="8"/>
      <c r="E230" s="8"/>
      <c r="F230" s="9"/>
      <c r="G230" s="10">
        <f>IFERROR(F230*VLOOKUP(D230,TELAS!$A$4:$C$32,3,FALSE()),0)</f>
        <v>0</v>
      </c>
      <c r="H230" s="11" t="str">
        <f>IFERROR(VLOOKUP(E230,COLORES!$A$4:$B$102,2,FALSE()),"")</f>
        <v/>
      </c>
      <c r="I230" s="12">
        <f>IFERROR(IF(H230="OSCURO",VLOOKUP(D230,PRECIOS!$A$4:$F$32,2,FALSE()),IF(H230="CLARO",VLOOKUP(D230,PRECIOS!$A$4:$F$32,3,FALSE()),IF(H230="MELANGE",VLOOKUP(D230,PRECIOS!$A$4:$F$32,4,FALSE()),IF(H230="PPT",VLOOKUP(D230,PRECIOS!$A$4:$F$32,5,FALSE()),0)))),0)</f>
        <v>0</v>
      </c>
      <c r="J230" s="12">
        <f t="shared" si="8"/>
        <v>0</v>
      </c>
      <c r="K230" s="13">
        <f>IFERROR(IF(C230="",0,SUMIFS($F$4:$F$229,$C$4:$C$229,C230,$D$4:$D$229,D230,$E$4:$E$229,E230,$B$4:$B$229,"INGRESO")+SUMIFS($F$4:$F$229,$C$4:$C$229,C230,$D$4:$D$229,D230,$E$4:$E$229,E230,$B$4:$B$229,"DE REPROCESO")+SUMIFS($F$4:$F$229,$C$4:$C$229,C230,$D$4:$D$229,D230,$E$4:$E$229,E230,$B$4:$B$229,"AJUSTE+")-SUMIFS($F$4:$F$229,$C$4:$C$229,C230,$D$4:$D$229,D230,$E$4:$E$229,E230,$B$4:$B$229,"A CORTE")-SUMIFS($F$4:$F$229,$C$4:$C$229,C230,$D$4:$D$229,D230,$E$4:$E$229,E230,$B$4:$B$229,"A REPROCESO")-SUMIFS($F$4:$F$229,$C$4:$C$229,C230,$D$4:$D$229,D230,$E$4:$E$229,E230,$B$4:$B$229,"MUESTRA")-SUMIFS($F$4:$F$229,$C$4:$C$229,C230,$D$4:$D$229,D230,$E$4:$E$229,E230,$B$4:$B$229,"AJUSTE-")),0)</f>
        <v>0</v>
      </c>
      <c r="L230" s="13">
        <f t="shared" si="9"/>
        <v>0</v>
      </c>
      <c r="M230" s="8"/>
      <c r="N230" s="14"/>
      <c r="O230" s="14"/>
      <c r="P230" s="14"/>
      <c r="Q230" s="15"/>
      <c r="R230" s="16" t="str">
        <f t="shared" si="10"/>
        <v/>
      </c>
    </row>
    <row r="231" ht="15.75" customHeight="1">
      <c r="A231" s="7"/>
      <c r="B231" s="8"/>
      <c r="C231" s="8"/>
      <c r="D231" s="8"/>
      <c r="E231" s="8"/>
      <c r="F231" s="9"/>
      <c r="G231" s="10">
        <f>IFERROR(F231*VLOOKUP(D231,TELAS!$A$4:$C$32,3,FALSE()),0)</f>
        <v>0</v>
      </c>
      <c r="H231" s="11" t="str">
        <f>IFERROR(VLOOKUP(E231,COLORES!$A$4:$B$102,2,FALSE()),"")</f>
        <v/>
      </c>
      <c r="I231" s="12">
        <f>IFERROR(IF(H231="OSCURO",VLOOKUP(D231,PRECIOS!$A$4:$F$32,2,FALSE()),IF(H231="CLARO",VLOOKUP(D231,PRECIOS!$A$4:$F$32,3,FALSE()),IF(H231="MELANGE",VLOOKUP(D231,PRECIOS!$A$4:$F$32,4,FALSE()),IF(H231="PPT",VLOOKUP(D231,PRECIOS!$A$4:$F$32,5,FALSE()),0)))),0)</f>
        <v>0</v>
      </c>
      <c r="J231" s="12">
        <f t="shared" si="8"/>
        <v>0</v>
      </c>
      <c r="K231" s="13">
        <f>IFERROR(IF(C231="",0,SUMIFS($F$4:$F$230,$C$4:$C$230,C231,$D$4:$D$230,D231,$E$4:$E$230,E231,$B$4:$B$230,"INGRESO")+SUMIFS($F$4:$F$230,$C$4:$C$230,C231,$D$4:$D$230,D231,$E$4:$E$230,E231,$B$4:$B$230,"DE REPROCESO")+SUMIFS($F$4:$F$230,$C$4:$C$230,C231,$D$4:$D$230,D231,$E$4:$E$230,E231,$B$4:$B$230,"AJUSTE+")-SUMIFS($F$4:$F$230,$C$4:$C$230,C231,$D$4:$D$230,D231,$E$4:$E$230,E231,$B$4:$B$230,"A CORTE")-SUMIFS($F$4:$F$230,$C$4:$C$230,C231,$D$4:$D$230,D231,$E$4:$E$230,E231,$B$4:$B$230,"A REPROCESO")-SUMIFS($F$4:$F$230,$C$4:$C$230,C231,$D$4:$D$230,D231,$E$4:$E$230,E231,$B$4:$B$230,"MUESTRA")-SUMIFS($F$4:$F$230,$C$4:$C$230,C231,$D$4:$D$230,D231,$E$4:$E$230,E231,$B$4:$B$230,"AJUSTE-")),0)</f>
        <v>0</v>
      </c>
      <c r="L231" s="13">
        <f t="shared" si="9"/>
        <v>0</v>
      </c>
      <c r="M231" s="8"/>
      <c r="N231" s="14"/>
      <c r="O231" s="14"/>
      <c r="P231" s="14"/>
      <c r="Q231" s="15"/>
      <c r="R231" s="16" t="str">
        <f t="shared" si="10"/>
        <v/>
      </c>
    </row>
    <row r="232" ht="15.75" customHeight="1">
      <c r="A232" s="7"/>
      <c r="B232" s="8"/>
      <c r="C232" s="8"/>
      <c r="D232" s="8"/>
      <c r="E232" s="8"/>
      <c r="F232" s="9"/>
      <c r="G232" s="10">
        <f>IFERROR(F232*VLOOKUP(D232,TELAS!$A$4:$C$32,3,FALSE()),0)</f>
        <v>0</v>
      </c>
      <c r="H232" s="11" t="str">
        <f>IFERROR(VLOOKUP(E232,COLORES!$A$4:$B$102,2,FALSE()),"")</f>
        <v/>
      </c>
      <c r="I232" s="12">
        <f>IFERROR(IF(H232="OSCURO",VLOOKUP(D232,PRECIOS!$A$4:$F$32,2,FALSE()),IF(H232="CLARO",VLOOKUP(D232,PRECIOS!$A$4:$F$32,3,FALSE()),IF(H232="MELANGE",VLOOKUP(D232,PRECIOS!$A$4:$F$32,4,FALSE()),IF(H232="PPT",VLOOKUP(D232,PRECIOS!$A$4:$F$32,5,FALSE()),0)))),0)</f>
        <v>0</v>
      </c>
      <c r="J232" s="12">
        <f t="shared" si="8"/>
        <v>0</v>
      </c>
      <c r="K232" s="13">
        <f>IFERROR(IF(C232="",0,SUMIFS($F$4:$F$231,$C$4:$C$231,C232,$D$4:$D$231,D232,$E$4:$E$231,E232,$B$4:$B$231,"INGRESO")+SUMIFS($F$4:$F$231,$C$4:$C$231,C232,$D$4:$D$231,D232,$E$4:$E$231,E232,$B$4:$B$231,"DE REPROCESO")+SUMIFS($F$4:$F$231,$C$4:$C$231,C232,$D$4:$D$231,D232,$E$4:$E$231,E232,$B$4:$B$231,"AJUSTE+")-SUMIFS($F$4:$F$231,$C$4:$C$231,C232,$D$4:$D$231,D232,$E$4:$E$231,E232,$B$4:$B$231,"A CORTE")-SUMIFS($F$4:$F$231,$C$4:$C$231,C232,$D$4:$D$231,D232,$E$4:$E$231,E232,$B$4:$B$231,"A REPROCESO")-SUMIFS($F$4:$F$231,$C$4:$C$231,C232,$D$4:$D$231,D232,$E$4:$E$231,E232,$B$4:$B$231,"MUESTRA")-SUMIFS($F$4:$F$231,$C$4:$C$231,C232,$D$4:$D$231,D232,$E$4:$E$231,E232,$B$4:$B$231,"AJUSTE-")),0)</f>
        <v>0</v>
      </c>
      <c r="L232" s="13">
        <f t="shared" si="9"/>
        <v>0</v>
      </c>
      <c r="M232" s="8"/>
      <c r="N232" s="14"/>
      <c r="O232" s="14"/>
      <c r="P232" s="14"/>
      <c r="Q232" s="15"/>
      <c r="R232" s="16" t="str">
        <f t="shared" si="10"/>
        <v/>
      </c>
    </row>
    <row r="233" ht="15.75" customHeight="1">
      <c r="A233" s="7"/>
      <c r="B233" s="8"/>
      <c r="C233" s="8"/>
      <c r="D233" s="8"/>
      <c r="E233" s="8"/>
      <c r="F233" s="9"/>
      <c r="G233" s="10">
        <f>IFERROR(F233*VLOOKUP(D233,TELAS!$A$4:$C$32,3,FALSE()),0)</f>
        <v>0</v>
      </c>
      <c r="H233" s="11" t="str">
        <f>IFERROR(VLOOKUP(E233,COLORES!$A$4:$B$102,2,FALSE()),"")</f>
        <v/>
      </c>
      <c r="I233" s="12">
        <f>IFERROR(IF(H233="OSCURO",VLOOKUP(D233,PRECIOS!$A$4:$F$32,2,FALSE()),IF(H233="CLARO",VLOOKUP(D233,PRECIOS!$A$4:$F$32,3,FALSE()),IF(H233="MELANGE",VLOOKUP(D233,PRECIOS!$A$4:$F$32,4,FALSE()),IF(H233="PPT",VLOOKUP(D233,PRECIOS!$A$4:$F$32,5,FALSE()),0)))),0)</f>
        <v>0</v>
      </c>
      <c r="J233" s="12">
        <f t="shared" si="8"/>
        <v>0</v>
      </c>
      <c r="K233" s="13">
        <f>IFERROR(IF(C233="",0,SUMIFS($F$4:$F$232,$C$4:$C$232,C233,$D$4:$D$232,D233,$E$4:$E$232,E233,$B$4:$B$232,"INGRESO")+SUMIFS($F$4:$F$232,$C$4:$C$232,C233,$D$4:$D$232,D233,$E$4:$E$232,E233,$B$4:$B$232,"DE REPROCESO")+SUMIFS($F$4:$F$232,$C$4:$C$232,C233,$D$4:$D$232,D233,$E$4:$E$232,E233,$B$4:$B$232,"AJUSTE+")-SUMIFS($F$4:$F$232,$C$4:$C$232,C233,$D$4:$D$232,D233,$E$4:$E$232,E233,$B$4:$B$232,"A CORTE")-SUMIFS($F$4:$F$232,$C$4:$C$232,C233,$D$4:$D$232,D233,$E$4:$E$232,E233,$B$4:$B$232,"A REPROCESO")-SUMIFS($F$4:$F$232,$C$4:$C$232,C233,$D$4:$D$232,D233,$E$4:$E$232,E233,$B$4:$B$232,"MUESTRA")-SUMIFS($F$4:$F$232,$C$4:$C$232,C233,$D$4:$D$232,D233,$E$4:$E$232,E233,$B$4:$B$232,"AJUSTE-")),0)</f>
        <v>0</v>
      </c>
      <c r="L233" s="13">
        <f t="shared" si="9"/>
        <v>0</v>
      </c>
      <c r="M233" s="8"/>
      <c r="N233" s="14"/>
      <c r="O233" s="14"/>
      <c r="P233" s="14"/>
      <c r="Q233" s="15"/>
      <c r="R233" s="16" t="str">
        <f t="shared" si="10"/>
        <v/>
      </c>
    </row>
    <row r="234" ht="15.75" customHeight="1">
      <c r="A234" s="7"/>
      <c r="B234" s="8"/>
      <c r="C234" s="8"/>
      <c r="D234" s="8"/>
      <c r="E234" s="8"/>
      <c r="F234" s="9"/>
      <c r="G234" s="10">
        <f>IFERROR(F234*VLOOKUP(D234,TELAS!$A$4:$C$32,3,FALSE()),0)</f>
        <v>0</v>
      </c>
      <c r="H234" s="11" t="str">
        <f>IFERROR(VLOOKUP(E234,COLORES!$A$4:$B$102,2,FALSE()),"")</f>
        <v/>
      </c>
      <c r="I234" s="12">
        <f>IFERROR(IF(H234="OSCURO",VLOOKUP(D234,PRECIOS!$A$4:$F$32,2,FALSE()),IF(H234="CLARO",VLOOKUP(D234,PRECIOS!$A$4:$F$32,3,FALSE()),IF(H234="MELANGE",VLOOKUP(D234,PRECIOS!$A$4:$F$32,4,FALSE()),IF(H234="PPT",VLOOKUP(D234,PRECIOS!$A$4:$F$32,5,FALSE()),0)))),0)</f>
        <v>0</v>
      </c>
      <c r="J234" s="12">
        <f t="shared" si="8"/>
        <v>0</v>
      </c>
      <c r="K234" s="13">
        <f>IFERROR(IF(C234="",0,SUMIFS($F$4:$F$233,$C$4:$C$233,C234,$D$4:$D$233,D234,$E$4:$E$233,E234,$B$4:$B$233,"INGRESO")+SUMIFS($F$4:$F$233,$C$4:$C$233,C234,$D$4:$D$233,D234,$E$4:$E$233,E234,$B$4:$B$233,"DE REPROCESO")+SUMIFS($F$4:$F$233,$C$4:$C$233,C234,$D$4:$D$233,D234,$E$4:$E$233,E234,$B$4:$B$233,"AJUSTE+")-SUMIFS($F$4:$F$233,$C$4:$C$233,C234,$D$4:$D$233,D234,$E$4:$E$233,E234,$B$4:$B$233,"A CORTE")-SUMIFS($F$4:$F$233,$C$4:$C$233,C234,$D$4:$D$233,D234,$E$4:$E$233,E234,$B$4:$B$233,"A REPROCESO")-SUMIFS($F$4:$F$233,$C$4:$C$233,C234,$D$4:$D$233,D234,$E$4:$E$233,E234,$B$4:$B$233,"MUESTRA")-SUMIFS($F$4:$F$233,$C$4:$C$233,C234,$D$4:$D$233,D234,$E$4:$E$233,E234,$B$4:$B$233,"AJUSTE-")),0)</f>
        <v>0</v>
      </c>
      <c r="L234" s="13">
        <f t="shared" si="9"/>
        <v>0</v>
      </c>
      <c r="M234" s="8"/>
      <c r="N234" s="14"/>
      <c r="O234" s="14"/>
      <c r="P234" s="14"/>
      <c r="Q234" s="15"/>
      <c r="R234" s="16" t="str">
        <f t="shared" si="10"/>
        <v/>
      </c>
    </row>
    <row r="235" ht="15.75" customHeight="1">
      <c r="A235" s="7"/>
      <c r="B235" s="8"/>
      <c r="C235" s="8"/>
      <c r="D235" s="8"/>
      <c r="E235" s="8"/>
      <c r="F235" s="9"/>
      <c r="G235" s="10">
        <f>IFERROR(F235*VLOOKUP(D235,TELAS!$A$4:$C$32,3,FALSE()),0)</f>
        <v>0</v>
      </c>
      <c r="H235" s="11" t="str">
        <f>IFERROR(VLOOKUP(E235,COLORES!$A$4:$B$102,2,FALSE()),"")</f>
        <v/>
      </c>
      <c r="I235" s="12">
        <f>IFERROR(IF(H235="OSCURO",VLOOKUP(D235,PRECIOS!$A$4:$F$32,2,FALSE()),IF(H235="CLARO",VLOOKUP(D235,PRECIOS!$A$4:$F$32,3,FALSE()),IF(H235="MELANGE",VLOOKUP(D235,PRECIOS!$A$4:$F$32,4,FALSE()),IF(H235="PPT",VLOOKUP(D235,PRECIOS!$A$4:$F$32,5,FALSE()),0)))),0)</f>
        <v>0</v>
      </c>
      <c r="J235" s="12">
        <f t="shared" si="8"/>
        <v>0</v>
      </c>
      <c r="K235" s="13">
        <f>IFERROR(IF(C235="",0,SUMIFS($F$4:$F$234,$C$4:$C$234,C235,$D$4:$D$234,D235,$E$4:$E$234,E235,$B$4:$B$234,"INGRESO")+SUMIFS($F$4:$F$234,$C$4:$C$234,C235,$D$4:$D$234,D235,$E$4:$E$234,E235,$B$4:$B$234,"DE REPROCESO")+SUMIFS($F$4:$F$234,$C$4:$C$234,C235,$D$4:$D$234,D235,$E$4:$E$234,E235,$B$4:$B$234,"AJUSTE+")-SUMIFS($F$4:$F$234,$C$4:$C$234,C235,$D$4:$D$234,D235,$E$4:$E$234,E235,$B$4:$B$234,"A CORTE")-SUMIFS($F$4:$F$234,$C$4:$C$234,C235,$D$4:$D$234,D235,$E$4:$E$234,E235,$B$4:$B$234,"A REPROCESO")-SUMIFS($F$4:$F$234,$C$4:$C$234,C235,$D$4:$D$234,D235,$E$4:$E$234,E235,$B$4:$B$234,"MUESTRA")-SUMIFS($F$4:$F$234,$C$4:$C$234,C235,$D$4:$D$234,D235,$E$4:$E$234,E235,$B$4:$B$234,"AJUSTE-")),0)</f>
        <v>0</v>
      </c>
      <c r="L235" s="13">
        <f t="shared" si="9"/>
        <v>0</v>
      </c>
      <c r="M235" s="8"/>
      <c r="N235" s="14"/>
      <c r="O235" s="14"/>
      <c r="P235" s="14"/>
      <c r="Q235" s="15"/>
      <c r="R235" s="16" t="str">
        <f t="shared" si="10"/>
        <v/>
      </c>
    </row>
    <row r="236" ht="15.75" customHeight="1">
      <c r="A236" s="7"/>
      <c r="B236" s="8"/>
      <c r="C236" s="8"/>
      <c r="D236" s="8"/>
      <c r="E236" s="8"/>
      <c r="F236" s="9"/>
      <c r="G236" s="10">
        <f>IFERROR(F236*VLOOKUP(D236,TELAS!$A$4:$C$32,3,FALSE()),0)</f>
        <v>0</v>
      </c>
      <c r="H236" s="11" t="str">
        <f>IFERROR(VLOOKUP(E236,COLORES!$A$4:$B$102,2,FALSE()),"")</f>
        <v/>
      </c>
      <c r="I236" s="12">
        <f>IFERROR(IF(H236="OSCURO",VLOOKUP(D236,PRECIOS!$A$4:$F$32,2,FALSE()),IF(H236="CLARO",VLOOKUP(D236,PRECIOS!$A$4:$F$32,3,FALSE()),IF(H236="MELANGE",VLOOKUP(D236,PRECIOS!$A$4:$F$32,4,FALSE()),IF(H236="PPT",VLOOKUP(D236,PRECIOS!$A$4:$F$32,5,FALSE()),0)))),0)</f>
        <v>0</v>
      </c>
      <c r="J236" s="12">
        <f t="shared" si="8"/>
        <v>0</v>
      </c>
      <c r="K236" s="13">
        <f>IFERROR(IF(C236="",0,SUMIFS($F$4:$F$235,$C$4:$C$235,C236,$D$4:$D$235,D236,$E$4:$E$235,E236,$B$4:$B$235,"INGRESO")+SUMIFS($F$4:$F$235,$C$4:$C$235,C236,$D$4:$D$235,D236,$E$4:$E$235,E236,$B$4:$B$235,"DE REPROCESO")+SUMIFS($F$4:$F$235,$C$4:$C$235,C236,$D$4:$D$235,D236,$E$4:$E$235,E236,$B$4:$B$235,"AJUSTE+")-SUMIFS($F$4:$F$235,$C$4:$C$235,C236,$D$4:$D$235,D236,$E$4:$E$235,E236,$B$4:$B$235,"A CORTE")-SUMIFS($F$4:$F$235,$C$4:$C$235,C236,$D$4:$D$235,D236,$E$4:$E$235,E236,$B$4:$B$235,"A REPROCESO")-SUMIFS($F$4:$F$235,$C$4:$C$235,C236,$D$4:$D$235,D236,$E$4:$E$235,E236,$B$4:$B$235,"MUESTRA")-SUMIFS($F$4:$F$235,$C$4:$C$235,C236,$D$4:$D$235,D236,$E$4:$E$235,E236,$B$4:$B$235,"AJUSTE-")),0)</f>
        <v>0</v>
      </c>
      <c r="L236" s="13">
        <f t="shared" si="9"/>
        <v>0</v>
      </c>
      <c r="M236" s="8"/>
      <c r="N236" s="14"/>
      <c r="O236" s="14"/>
      <c r="P236" s="14"/>
      <c r="Q236" s="15"/>
      <c r="R236" s="16" t="str">
        <f t="shared" si="10"/>
        <v/>
      </c>
    </row>
    <row r="237" ht="15.75" customHeight="1">
      <c r="A237" s="7"/>
      <c r="B237" s="8"/>
      <c r="C237" s="8"/>
      <c r="D237" s="8"/>
      <c r="E237" s="8"/>
      <c r="F237" s="9"/>
      <c r="G237" s="10">
        <f>IFERROR(F237*VLOOKUP(D237,TELAS!$A$4:$C$32,3,FALSE()),0)</f>
        <v>0</v>
      </c>
      <c r="H237" s="11" t="str">
        <f>IFERROR(VLOOKUP(E237,COLORES!$A$4:$B$102,2,FALSE()),"")</f>
        <v/>
      </c>
      <c r="I237" s="12">
        <f>IFERROR(IF(H237="OSCURO",VLOOKUP(D237,PRECIOS!$A$4:$F$32,2,FALSE()),IF(H237="CLARO",VLOOKUP(D237,PRECIOS!$A$4:$F$32,3,FALSE()),IF(H237="MELANGE",VLOOKUP(D237,PRECIOS!$A$4:$F$32,4,FALSE()),IF(H237="PPT",VLOOKUP(D237,PRECIOS!$A$4:$F$32,5,FALSE()),0)))),0)</f>
        <v>0</v>
      </c>
      <c r="J237" s="12">
        <f t="shared" si="8"/>
        <v>0</v>
      </c>
      <c r="K237" s="13">
        <f>IFERROR(IF(C237="",0,SUMIFS($F$4:$F$236,$C$4:$C$236,C237,$D$4:$D$236,D237,$E$4:$E$236,E237,$B$4:$B$236,"INGRESO")+SUMIFS($F$4:$F$236,$C$4:$C$236,C237,$D$4:$D$236,D237,$E$4:$E$236,E237,$B$4:$B$236,"DE REPROCESO")+SUMIFS($F$4:$F$236,$C$4:$C$236,C237,$D$4:$D$236,D237,$E$4:$E$236,E237,$B$4:$B$236,"AJUSTE+")-SUMIFS($F$4:$F$236,$C$4:$C$236,C237,$D$4:$D$236,D237,$E$4:$E$236,E237,$B$4:$B$236,"A CORTE")-SUMIFS($F$4:$F$236,$C$4:$C$236,C237,$D$4:$D$236,D237,$E$4:$E$236,E237,$B$4:$B$236,"A REPROCESO")-SUMIFS($F$4:$F$236,$C$4:$C$236,C237,$D$4:$D$236,D237,$E$4:$E$236,E237,$B$4:$B$236,"MUESTRA")-SUMIFS($F$4:$F$236,$C$4:$C$236,C237,$D$4:$D$236,D237,$E$4:$E$236,E237,$B$4:$B$236,"AJUSTE-")),0)</f>
        <v>0</v>
      </c>
      <c r="L237" s="13">
        <f t="shared" si="9"/>
        <v>0</v>
      </c>
      <c r="M237" s="8"/>
      <c r="N237" s="14"/>
      <c r="O237" s="14"/>
      <c r="P237" s="14"/>
      <c r="Q237" s="15"/>
      <c r="R237" s="16" t="str">
        <f t="shared" si="10"/>
        <v/>
      </c>
    </row>
    <row r="238" ht="15.75" customHeight="1">
      <c r="A238" s="7"/>
      <c r="B238" s="8"/>
      <c r="C238" s="8"/>
      <c r="D238" s="8"/>
      <c r="E238" s="8"/>
      <c r="F238" s="9"/>
      <c r="G238" s="10">
        <f>IFERROR(F238*VLOOKUP(D238,TELAS!$A$4:$C$32,3,FALSE()),0)</f>
        <v>0</v>
      </c>
      <c r="H238" s="11" t="str">
        <f>IFERROR(VLOOKUP(E238,COLORES!$A$4:$B$102,2,FALSE()),"")</f>
        <v/>
      </c>
      <c r="I238" s="12">
        <f>IFERROR(IF(H238="OSCURO",VLOOKUP(D238,PRECIOS!$A$4:$F$32,2,FALSE()),IF(H238="CLARO",VLOOKUP(D238,PRECIOS!$A$4:$F$32,3,FALSE()),IF(H238="MELANGE",VLOOKUP(D238,PRECIOS!$A$4:$F$32,4,FALSE()),IF(H238="PPT",VLOOKUP(D238,PRECIOS!$A$4:$F$32,5,FALSE()),0)))),0)</f>
        <v>0</v>
      </c>
      <c r="J238" s="12">
        <f t="shared" si="8"/>
        <v>0</v>
      </c>
      <c r="K238" s="13">
        <f>IFERROR(IF(C238="",0,SUMIFS($F$4:$F$237,$C$4:$C$237,C238,$D$4:$D$237,D238,$E$4:$E$237,E238,$B$4:$B$237,"INGRESO")+SUMIFS($F$4:$F$237,$C$4:$C$237,C238,$D$4:$D$237,D238,$E$4:$E$237,E238,$B$4:$B$237,"DE REPROCESO")+SUMIFS($F$4:$F$237,$C$4:$C$237,C238,$D$4:$D$237,D238,$E$4:$E$237,E238,$B$4:$B$237,"AJUSTE+")-SUMIFS($F$4:$F$237,$C$4:$C$237,C238,$D$4:$D$237,D238,$E$4:$E$237,E238,$B$4:$B$237,"A CORTE")-SUMIFS($F$4:$F$237,$C$4:$C$237,C238,$D$4:$D$237,D238,$E$4:$E$237,E238,$B$4:$B$237,"A REPROCESO")-SUMIFS($F$4:$F$237,$C$4:$C$237,C238,$D$4:$D$237,D238,$E$4:$E$237,E238,$B$4:$B$237,"MUESTRA")-SUMIFS($F$4:$F$237,$C$4:$C$237,C238,$D$4:$D$237,D238,$E$4:$E$237,E238,$B$4:$B$237,"AJUSTE-")),0)</f>
        <v>0</v>
      </c>
      <c r="L238" s="13">
        <f t="shared" si="9"/>
        <v>0</v>
      </c>
      <c r="M238" s="8"/>
      <c r="N238" s="14"/>
      <c r="O238" s="14"/>
      <c r="P238" s="14"/>
      <c r="Q238" s="15"/>
      <c r="R238" s="16" t="str">
        <f t="shared" si="10"/>
        <v/>
      </c>
    </row>
    <row r="239" ht="15.75" customHeight="1">
      <c r="A239" s="7"/>
      <c r="B239" s="8"/>
      <c r="C239" s="8"/>
      <c r="D239" s="8"/>
      <c r="E239" s="8"/>
      <c r="F239" s="9"/>
      <c r="G239" s="10">
        <f>IFERROR(F239*VLOOKUP(D239,TELAS!$A$4:$C$32,3,FALSE()),0)</f>
        <v>0</v>
      </c>
      <c r="H239" s="11" t="str">
        <f>IFERROR(VLOOKUP(E239,COLORES!$A$4:$B$102,2,FALSE()),"")</f>
        <v/>
      </c>
      <c r="I239" s="12">
        <f>IFERROR(IF(H239="OSCURO",VLOOKUP(D239,PRECIOS!$A$4:$F$32,2,FALSE()),IF(H239="CLARO",VLOOKUP(D239,PRECIOS!$A$4:$F$32,3,FALSE()),IF(H239="MELANGE",VLOOKUP(D239,PRECIOS!$A$4:$F$32,4,FALSE()),IF(H239="PPT",VLOOKUP(D239,PRECIOS!$A$4:$F$32,5,FALSE()),0)))),0)</f>
        <v>0</v>
      </c>
      <c r="J239" s="12">
        <f t="shared" si="8"/>
        <v>0</v>
      </c>
      <c r="K239" s="13">
        <f>IFERROR(IF(C239="",0,SUMIFS($F$4:$F$238,$C$4:$C$238,C239,$D$4:$D$238,D239,$E$4:$E$238,E239,$B$4:$B$238,"INGRESO")+SUMIFS($F$4:$F$238,$C$4:$C$238,C239,$D$4:$D$238,D239,$E$4:$E$238,E239,$B$4:$B$238,"DE REPROCESO")+SUMIFS($F$4:$F$238,$C$4:$C$238,C239,$D$4:$D$238,D239,$E$4:$E$238,E239,$B$4:$B$238,"AJUSTE+")-SUMIFS($F$4:$F$238,$C$4:$C$238,C239,$D$4:$D$238,D239,$E$4:$E$238,E239,$B$4:$B$238,"A CORTE")-SUMIFS($F$4:$F$238,$C$4:$C$238,C239,$D$4:$D$238,D239,$E$4:$E$238,E239,$B$4:$B$238,"A REPROCESO")-SUMIFS($F$4:$F$238,$C$4:$C$238,C239,$D$4:$D$238,D239,$E$4:$E$238,E239,$B$4:$B$238,"MUESTRA")-SUMIFS($F$4:$F$238,$C$4:$C$238,C239,$D$4:$D$238,D239,$E$4:$E$238,E239,$B$4:$B$238,"AJUSTE-")),0)</f>
        <v>0</v>
      </c>
      <c r="L239" s="13">
        <f t="shared" si="9"/>
        <v>0</v>
      </c>
      <c r="M239" s="8"/>
      <c r="N239" s="14"/>
      <c r="O239" s="14"/>
      <c r="P239" s="14"/>
      <c r="Q239" s="15"/>
      <c r="R239" s="16" t="str">
        <f t="shared" si="10"/>
        <v/>
      </c>
    </row>
    <row r="240" ht="15.75" customHeight="1">
      <c r="A240" s="7"/>
      <c r="B240" s="8"/>
      <c r="C240" s="8"/>
      <c r="D240" s="8"/>
      <c r="E240" s="8"/>
      <c r="F240" s="9"/>
      <c r="G240" s="10">
        <f>IFERROR(F240*VLOOKUP(D240,TELAS!$A$4:$C$32,3,FALSE()),0)</f>
        <v>0</v>
      </c>
      <c r="H240" s="11" t="str">
        <f>IFERROR(VLOOKUP(E240,COLORES!$A$4:$B$102,2,FALSE()),"")</f>
        <v/>
      </c>
      <c r="I240" s="12">
        <f>IFERROR(IF(H240="OSCURO",VLOOKUP(D240,PRECIOS!$A$4:$F$32,2,FALSE()),IF(H240="CLARO",VLOOKUP(D240,PRECIOS!$A$4:$F$32,3,FALSE()),IF(H240="MELANGE",VLOOKUP(D240,PRECIOS!$A$4:$F$32,4,FALSE()),IF(H240="PPT",VLOOKUP(D240,PRECIOS!$A$4:$F$32,5,FALSE()),0)))),0)</f>
        <v>0</v>
      </c>
      <c r="J240" s="12">
        <f t="shared" si="8"/>
        <v>0</v>
      </c>
      <c r="K240" s="13">
        <f>IFERROR(IF(C240="",0,SUMIFS($F$4:$F$239,$C$4:$C$239,C240,$D$4:$D$239,D240,$E$4:$E$239,E240,$B$4:$B$239,"INGRESO")+SUMIFS($F$4:$F$239,$C$4:$C$239,C240,$D$4:$D$239,D240,$E$4:$E$239,E240,$B$4:$B$239,"DE REPROCESO")+SUMIFS($F$4:$F$239,$C$4:$C$239,C240,$D$4:$D$239,D240,$E$4:$E$239,E240,$B$4:$B$239,"AJUSTE+")-SUMIFS($F$4:$F$239,$C$4:$C$239,C240,$D$4:$D$239,D240,$E$4:$E$239,E240,$B$4:$B$239,"A CORTE")-SUMIFS($F$4:$F$239,$C$4:$C$239,C240,$D$4:$D$239,D240,$E$4:$E$239,E240,$B$4:$B$239,"A REPROCESO")-SUMIFS($F$4:$F$239,$C$4:$C$239,C240,$D$4:$D$239,D240,$E$4:$E$239,E240,$B$4:$B$239,"MUESTRA")-SUMIFS($F$4:$F$239,$C$4:$C$239,C240,$D$4:$D$239,D240,$E$4:$E$239,E240,$B$4:$B$239,"AJUSTE-")),0)</f>
        <v>0</v>
      </c>
      <c r="L240" s="13">
        <f t="shared" si="9"/>
        <v>0</v>
      </c>
      <c r="M240" s="8"/>
      <c r="N240" s="14"/>
      <c r="O240" s="14"/>
      <c r="P240" s="14"/>
      <c r="Q240" s="15"/>
      <c r="R240" s="16" t="str">
        <f t="shared" si="10"/>
        <v/>
      </c>
    </row>
    <row r="241" ht="15.75" customHeight="1">
      <c r="A241" s="7"/>
      <c r="B241" s="8"/>
      <c r="C241" s="8"/>
      <c r="D241" s="8"/>
      <c r="E241" s="8"/>
      <c r="F241" s="9"/>
      <c r="G241" s="10">
        <f>IFERROR(F241*VLOOKUP(D241,TELAS!$A$4:$C$32,3,FALSE()),0)</f>
        <v>0</v>
      </c>
      <c r="H241" s="11" t="str">
        <f>IFERROR(VLOOKUP(E241,COLORES!$A$4:$B$102,2,FALSE()),"")</f>
        <v/>
      </c>
      <c r="I241" s="12">
        <f>IFERROR(IF(H241="OSCURO",VLOOKUP(D241,PRECIOS!$A$4:$F$32,2,FALSE()),IF(H241="CLARO",VLOOKUP(D241,PRECIOS!$A$4:$F$32,3,FALSE()),IF(H241="MELANGE",VLOOKUP(D241,PRECIOS!$A$4:$F$32,4,FALSE()),IF(H241="PPT",VLOOKUP(D241,PRECIOS!$A$4:$F$32,5,FALSE()),0)))),0)</f>
        <v>0</v>
      </c>
      <c r="J241" s="12">
        <f t="shared" si="8"/>
        <v>0</v>
      </c>
      <c r="K241" s="13">
        <f>IFERROR(IF(C241="",0,SUMIFS($F$4:$F$240,$C$4:$C$240,C241,$D$4:$D$240,D241,$E$4:$E$240,E241,$B$4:$B$240,"INGRESO")+SUMIFS($F$4:$F$240,$C$4:$C$240,C241,$D$4:$D$240,D241,$E$4:$E$240,E241,$B$4:$B$240,"DE REPROCESO")+SUMIFS($F$4:$F$240,$C$4:$C$240,C241,$D$4:$D$240,D241,$E$4:$E$240,E241,$B$4:$B$240,"AJUSTE+")-SUMIFS($F$4:$F$240,$C$4:$C$240,C241,$D$4:$D$240,D241,$E$4:$E$240,E241,$B$4:$B$240,"A CORTE")-SUMIFS($F$4:$F$240,$C$4:$C$240,C241,$D$4:$D$240,D241,$E$4:$E$240,E241,$B$4:$B$240,"A REPROCESO")-SUMIFS($F$4:$F$240,$C$4:$C$240,C241,$D$4:$D$240,D241,$E$4:$E$240,E241,$B$4:$B$240,"MUESTRA")-SUMIFS($F$4:$F$240,$C$4:$C$240,C241,$D$4:$D$240,D241,$E$4:$E$240,E241,$B$4:$B$240,"AJUSTE-")),0)</f>
        <v>0</v>
      </c>
      <c r="L241" s="13">
        <f t="shared" si="9"/>
        <v>0</v>
      </c>
      <c r="M241" s="8"/>
      <c r="N241" s="14"/>
      <c r="O241" s="14"/>
      <c r="P241" s="14"/>
      <c r="Q241" s="15"/>
      <c r="R241" s="16" t="str">
        <f t="shared" si="10"/>
        <v/>
      </c>
    </row>
    <row r="242" ht="15.75" customHeight="1">
      <c r="A242" s="7"/>
      <c r="B242" s="8"/>
      <c r="C242" s="8"/>
      <c r="D242" s="8"/>
      <c r="E242" s="8"/>
      <c r="F242" s="9"/>
      <c r="G242" s="10">
        <f>IFERROR(F242*VLOOKUP(D242,TELAS!$A$4:$C$32,3,FALSE()),0)</f>
        <v>0</v>
      </c>
      <c r="H242" s="11" t="str">
        <f>IFERROR(VLOOKUP(E242,COLORES!$A$4:$B$102,2,FALSE()),"")</f>
        <v/>
      </c>
      <c r="I242" s="12">
        <f>IFERROR(IF(H242="OSCURO",VLOOKUP(D242,PRECIOS!$A$4:$F$32,2,FALSE()),IF(H242="CLARO",VLOOKUP(D242,PRECIOS!$A$4:$F$32,3,FALSE()),IF(H242="MELANGE",VLOOKUP(D242,PRECIOS!$A$4:$F$32,4,FALSE()),IF(H242="PPT",VLOOKUP(D242,PRECIOS!$A$4:$F$32,5,FALSE()),0)))),0)</f>
        <v>0</v>
      </c>
      <c r="J242" s="12">
        <f t="shared" si="8"/>
        <v>0</v>
      </c>
      <c r="K242" s="13">
        <f>IFERROR(IF(C242="",0,SUMIFS($F$4:$F$241,$C$4:$C$241,C242,$D$4:$D$241,D242,$E$4:$E$241,E242,$B$4:$B$241,"INGRESO")+SUMIFS($F$4:$F$241,$C$4:$C$241,C242,$D$4:$D$241,D242,$E$4:$E$241,E242,$B$4:$B$241,"DE REPROCESO")+SUMIFS($F$4:$F$241,$C$4:$C$241,C242,$D$4:$D$241,D242,$E$4:$E$241,E242,$B$4:$B$241,"AJUSTE+")-SUMIFS($F$4:$F$241,$C$4:$C$241,C242,$D$4:$D$241,D242,$E$4:$E$241,E242,$B$4:$B$241,"A CORTE")-SUMIFS($F$4:$F$241,$C$4:$C$241,C242,$D$4:$D$241,D242,$E$4:$E$241,E242,$B$4:$B$241,"A REPROCESO")-SUMIFS($F$4:$F$241,$C$4:$C$241,C242,$D$4:$D$241,D242,$E$4:$E$241,E242,$B$4:$B$241,"MUESTRA")-SUMIFS($F$4:$F$241,$C$4:$C$241,C242,$D$4:$D$241,D242,$E$4:$E$241,E242,$B$4:$B$241,"AJUSTE-")),0)</f>
        <v>0</v>
      </c>
      <c r="L242" s="13">
        <f t="shared" si="9"/>
        <v>0</v>
      </c>
      <c r="M242" s="8"/>
      <c r="N242" s="14"/>
      <c r="O242" s="14"/>
      <c r="P242" s="14"/>
      <c r="Q242" s="15"/>
      <c r="R242" s="16" t="str">
        <f t="shared" si="10"/>
        <v/>
      </c>
    </row>
    <row r="243" ht="15.75" customHeight="1">
      <c r="A243" s="7"/>
      <c r="B243" s="8"/>
      <c r="C243" s="8"/>
      <c r="D243" s="8"/>
      <c r="E243" s="8"/>
      <c r="F243" s="9"/>
      <c r="G243" s="10">
        <f>IFERROR(F243*VLOOKUP(D243,TELAS!$A$4:$C$32,3,FALSE()),0)</f>
        <v>0</v>
      </c>
      <c r="H243" s="11" t="str">
        <f>IFERROR(VLOOKUP(E243,COLORES!$A$4:$B$102,2,FALSE()),"")</f>
        <v/>
      </c>
      <c r="I243" s="12">
        <f>IFERROR(IF(H243="OSCURO",VLOOKUP(D243,PRECIOS!$A$4:$F$32,2,FALSE()),IF(H243="CLARO",VLOOKUP(D243,PRECIOS!$A$4:$F$32,3,FALSE()),IF(H243="MELANGE",VLOOKUP(D243,PRECIOS!$A$4:$F$32,4,FALSE()),IF(H243="PPT",VLOOKUP(D243,PRECIOS!$A$4:$F$32,5,FALSE()),0)))),0)</f>
        <v>0</v>
      </c>
      <c r="J243" s="12">
        <f t="shared" si="8"/>
        <v>0</v>
      </c>
      <c r="K243" s="13">
        <f>IFERROR(IF(C243="",0,SUMIFS($F$4:$F$242,$C$4:$C$242,C243,$D$4:$D$242,D243,$E$4:$E$242,E243,$B$4:$B$242,"INGRESO")+SUMIFS($F$4:$F$242,$C$4:$C$242,C243,$D$4:$D$242,D243,$E$4:$E$242,E243,$B$4:$B$242,"DE REPROCESO")+SUMIFS($F$4:$F$242,$C$4:$C$242,C243,$D$4:$D$242,D243,$E$4:$E$242,E243,$B$4:$B$242,"AJUSTE+")-SUMIFS($F$4:$F$242,$C$4:$C$242,C243,$D$4:$D$242,D243,$E$4:$E$242,E243,$B$4:$B$242,"A CORTE")-SUMIFS($F$4:$F$242,$C$4:$C$242,C243,$D$4:$D$242,D243,$E$4:$E$242,E243,$B$4:$B$242,"A REPROCESO")-SUMIFS($F$4:$F$242,$C$4:$C$242,C243,$D$4:$D$242,D243,$E$4:$E$242,E243,$B$4:$B$242,"MUESTRA")-SUMIFS($F$4:$F$242,$C$4:$C$242,C243,$D$4:$D$242,D243,$E$4:$E$242,E243,$B$4:$B$242,"AJUSTE-")),0)</f>
        <v>0</v>
      </c>
      <c r="L243" s="13">
        <f t="shared" si="9"/>
        <v>0</v>
      </c>
      <c r="M243" s="8"/>
      <c r="N243" s="14"/>
      <c r="O243" s="14"/>
      <c r="P243" s="14"/>
      <c r="Q243" s="15"/>
      <c r="R243" s="16" t="str">
        <f t="shared" si="10"/>
        <v/>
      </c>
    </row>
    <row r="244" ht="15.75" customHeight="1">
      <c r="A244" s="7"/>
      <c r="B244" s="8"/>
      <c r="C244" s="8"/>
      <c r="D244" s="8"/>
      <c r="E244" s="8"/>
      <c r="F244" s="9"/>
      <c r="G244" s="10">
        <f>IFERROR(F244*VLOOKUP(D244,TELAS!$A$4:$C$32,3,FALSE()),0)</f>
        <v>0</v>
      </c>
      <c r="H244" s="11" t="str">
        <f>IFERROR(VLOOKUP(E244,COLORES!$A$4:$B$102,2,FALSE()),"")</f>
        <v/>
      </c>
      <c r="I244" s="12">
        <f>IFERROR(IF(H244="OSCURO",VLOOKUP(D244,PRECIOS!$A$4:$F$32,2,FALSE()),IF(H244="CLARO",VLOOKUP(D244,PRECIOS!$A$4:$F$32,3,FALSE()),IF(H244="MELANGE",VLOOKUP(D244,PRECIOS!$A$4:$F$32,4,FALSE()),IF(H244="PPT",VLOOKUP(D244,PRECIOS!$A$4:$F$32,5,FALSE()),0)))),0)</f>
        <v>0</v>
      </c>
      <c r="J244" s="12">
        <f t="shared" si="8"/>
        <v>0</v>
      </c>
      <c r="K244" s="13">
        <f>IFERROR(IF(C244="",0,SUMIFS($F$4:$F$243,$C$4:$C$243,C244,$D$4:$D$243,D244,$E$4:$E$243,E244,$B$4:$B$243,"INGRESO")+SUMIFS($F$4:$F$243,$C$4:$C$243,C244,$D$4:$D$243,D244,$E$4:$E$243,E244,$B$4:$B$243,"DE REPROCESO")+SUMIFS($F$4:$F$243,$C$4:$C$243,C244,$D$4:$D$243,D244,$E$4:$E$243,E244,$B$4:$B$243,"AJUSTE+")-SUMIFS($F$4:$F$243,$C$4:$C$243,C244,$D$4:$D$243,D244,$E$4:$E$243,E244,$B$4:$B$243,"A CORTE")-SUMIFS($F$4:$F$243,$C$4:$C$243,C244,$D$4:$D$243,D244,$E$4:$E$243,E244,$B$4:$B$243,"A REPROCESO")-SUMIFS($F$4:$F$243,$C$4:$C$243,C244,$D$4:$D$243,D244,$E$4:$E$243,E244,$B$4:$B$243,"MUESTRA")-SUMIFS($F$4:$F$243,$C$4:$C$243,C244,$D$4:$D$243,D244,$E$4:$E$243,E244,$B$4:$B$243,"AJUSTE-")),0)</f>
        <v>0</v>
      </c>
      <c r="L244" s="13">
        <f t="shared" si="9"/>
        <v>0</v>
      </c>
      <c r="M244" s="8"/>
      <c r="N244" s="14"/>
      <c r="O244" s="14"/>
      <c r="P244" s="14"/>
      <c r="Q244" s="15"/>
      <c r="R244" s="16" t="str">
        <f t="shared" si="10"/>
        <v/>
      </c>
    </row>
    <row r="245" ht="15.75" customHeight="1">
      <c r="A245" s="7"/>
      <c r="B245" s="8"/>
      <c r="C245" s="8"/>
      <c r="D245" s="8"/>
      <c r="E245" s="8"/>
      <c r="F245" s="9"/>
      <c r="G245" s="10">
        <f>IFERROR(F245*VLOOKUP(D245,TELAS!$A$4:$C$32,3,FALSE()),0)</f>
        <v>0</v>
      </c>
      <c r="H245" s="11" t="str">
        <f>IFERROR(VLOOKUP(E245,COLORES!$A$4:$B$102,2,FALSE()),"")</f>
        <v/>
      </c>
      <c r="I245" s="12">
        <f>IFERROR(IF(H245="OSCURO",VLOOKUP(D245,PRECIOS!$A$4:$F$32,2,FALSE()),IF(H245="CLARO",VLOOKUP(D245,PRECIOS!$A$4:$F$32,3,FALSE()),IF(H245="MELANGE",VLOOKUP(D245,PRECIOS!$A$4:$F$32,4,FALSE()),IF(H245="PPT",VLOOKUP(D245,PRECIOS!$A$4:$F$32,5,FALSE()),0)))),0)</f>
        <v>0</v>
      </c>
      <c r="J245" s="12">
        <f t="shared" si="8"/>
        <v>0</v>
      </c>
      <c r="K245" s="13">
        <f>IFERROR(IF(C245="",0,SUMIFS($F$4:$F$244,$C$4:$C$244,C245,$D$4:$D$244,D245,$E$4:$E$244,E245,$B$4:$B$244,"INGRESO")+SUMIFS($F$4:$F$244,$C$4:$C$244,C245,$D$4:$D$244,D245,$E$4:$E$244,E245,$B$4:$B$244,"DE REPROCESO")+SUMIFS($F$4:$F$244,$C$4:$C$244,C245,$D$4:$D$244,D245,$E$4:$E$244,E245,$B$4:$B$244,"AJUSTE+")-SUMIFS($F$4:$F$244,$C$4:$C$244,C245,$D$4:$D$244,D245,$E$4:$E$244,E245,$B$4:$B$244,"A CORTE")-SUMIFS($F$4:$F$244,$C$4:$C$244,C245,$D$4:$D$244,D245,$E$4:$E$244,E245,$B$4:$B$244,"A REPROCESO")-SUMIFS($F$4:$F$244,$C$4:$C$244,C245,$D$4:$D$244,D245,$E$4:$E$244,E245,$B$4:$B$244,"MUESTRA")-SUMIFS($F$4:$F$244,$C$4:$C$244,C245,$D$4:$D$244,D245,$E$4:$E$244,E245,$B$4:$B$244,"AJUSTE-")),0)</f>
        <v>0</v>
      </c>
      <c r="L245" s="13">
        <f t="shared" si="9"/>
        <v>0</v>
      </c>
      <c r="M245" s="8"/>
      <c r="N245" s="14"/>
      <c r="O245" s="14"/>
      <c r="P245" s="14"/>
      <c r="Q245" s="15"/>
      <c r="R245" s="16" t="str">
        <f t="shared" si="10"/>
        <v/>
      </c>
    </row>
    <row r="246" ht="15.75" customHeight="1">
      <c r="A246" s="7"/>
      <c r="B246" s="8"/>
      <c r="C246" s="8"/>
      <c r="D246" s="8"/>
      <c r="E246" s="8"/>
      <c r="F246" s="9"/>
      <c r="G246" s="10">
        <f>IFERROR(F246*VLOOKUP(D246,TELAS!$A$4:$C$32,3,FALSE()),0)</f>
        <v>0</v>
      </c>
      <c r="H246" s="11" t="str">
        <f>IFERROR(VLOOKUP(E246,COLORES!$A$4:$B$102,2,FALSE()),"")</f>
        <v/>
      </c>
      <c r="I246" s="12">
        <f>IFERROR(IF(H246="OSCURO",VLOOKUP(D246,PRECIOS!$A$4:$F$32,2,FALSE()),IF(H246="CLARO",VLOOKUP(D246,PRECIOS!$A$4:$F$32,3,FALSE()),IF(H246="MELANGE",VLOOKUP(D246,PRECIOS!$A$4:$F$32,4,FALSE()),IF(H246="PPT",VLOOKUP(D246,PRECIOS!$A$4:$F$32,5,FALSE()),0)))),0)</f>
        <v>0</v>
      </c>
      <c r="J246" s="12">
        <f t="shared" si="8"/>
        <v>0</v>
      </c>
      <c r="K246" s="13">
        <f>IFERROR(IF(C246="",0,SUMIFS($F$4:$F$245,$C$4:$C$245,C246,$D$4:$D$245,D246,$E$4:$E$245,E246,$B$4:$B$245,"INGRESO")+SUMIFS($F$4:$F$245,$C$4:$C$245,C246,$D$4:$D$245,D246,$E$4:$E$245,E246,$B$4:$B$245,"DE REPROCESO")+SUMIFS($F$4:$F$245,$C$4:$C$245,C246,$D$4:$D$245,D246,$E$4:$E$245,E246,$B$4:$B$245,"AJUSTE+")-SUMIFS($F$4:$F$245,$C$4:$C$245,C246,$D$4:$D$245,D246,$E$4:$E$245,E246,$B$4:$B$245,"A CORTE")-SUMIFS($F$4:$F$245,$C$4:$C$245,C246,$D$4:$D$245,D246,$E$4:$E$245,E246,$B$4:$B$245,"A REPROCESO")-SUMIFS($F$4:$F$245,$C$4:$C$245,C246,$D$4:$D$245,D246,$E$4:$E$245,E246,$B$4:$B$245,"MUESTRA")-SUMIFS($F$4:$F$245,$C$4:$C$245,C246,$D$4:$D$245,D246,$E$4:$E$245,E246,$B$4:$B$245,"AJUSTE-")),0)</f>
        <v>0</v>
      </c>
      <c r="L246" s="13">
        <f t="shared" si="9"/>
        <v>0</v>
      </c>
      <c r="M246" s="8"/>
      <c r="N246" s="14"/>
      <c r="O246" s="14"/>
      <c r="P246" s="14"/>
      <c r="Q246" s="15"/>
      <c r="R246" s="16" t="str">
        <f t="shared" si="10"/>
        <v/>
      </c>
    </row>
    <row r="247" ht="15.75" customHeight="1">
      <c r="A247" s="7"/>
      <c r="B247" s="8"/>
      <c r="C247" s="8"/>
      <c r="D247" s="8"/>
      <c r="E247" s="8"/>
      <c r="F247" s="9"/>
      <c r="G247" s="10">
        <f>IFERROR(F247*VLOOKUP(D247,TELAS!$A$4:$C$32,3,FALSE()),0)</f>
        <v>0</v>
      </c>
      <c r="H247" s="11" t="str">
        <f>IFERROR(VLOOKUP(E247,COLORES!$A$4:$B$102,2,FALSE()),"")</f>
        <v/>
      </c>
      <c r="I247" s="12">
        <f>IFERROR(IF(H247="OSCURO",VLOOKUP(D247,PRECIOS!$A$4:$F$32,2,FALSE()),IF(H247="CLARO",VLOOKUP(D247,PRECIOS!$A$4:$F$32,3,FALSE()),IF(H247="MELANGE",VLOOKUP(D247,PRECIOS!$A$4:$F$32,4,FALSE()),IF(H247="PPT",VLOOKUP(D247,PRECIOS!$A$4:$F$32,5,FALSE()),0)))),0)</f>
        <v>0</v>
      </c>
      <c r="J247" s="12">
        <f t="shared" si="8"/>
        <v>0</v>
      </c>
      <c r="K247" s="13">
        <f>IFERROR(IF(C247="",0,SUMIFS($F$4:$F$246,$C$4:$C$246,C247,$D$4:$D$246,D247,$E$4:$E$246,E247,$B$4:$B$246,"INGRESO")+SUMIFS($F$4:$F$246,$C$4:$C$246,C247,$D$4:$D$246,D247,$E$4:$E$246,E247,$B$4:$B$246,"DE REPROCESO")+SUMIFS($F$4:$F$246,$C$4:$C$246,C247,$D$4:$D$246,D247,$E$4:$E$246,E247,$B$4:$B$246,"AJUSTE+")-SUMIFS($F$4:$F$246,$C$4:$C$246,C247,$D$4:$D$246,D247,$E$4:$E$246,E247,$B$4:$B$246,"A CORTE")-SUMIFS($F$4:$F$246,$C$4:$C$246,C247,$D$4:$D$246,D247,$E$4:$E$246,E247,$B$4:$B$246,"A REPROCESO")-SUMIFS($F$4:$F$246,$C$4:$C$246,C247,$D$4:$D$246,D247,$E$4:$E$246,E247,$B$4:$B$246,"MUESTRA")-SUMIFS($F$4:$F$246,$C$4:$C$246,C247,$D$4:$D$246,D247,$E$4:$E$246,E247,$B$4:$B$246,"AJUSTE-")),0)</f>
        <v>0</v>
      </c>
      <c r="L247" s="13">
        <f t="shared" si="9"/>
        <v>0</v>
      </c>
      <c r="M247" s="8"/>
      <c r="N247" s="14"/>
      <c r="O247" s="14"/>
      <c r="P247" s="14"/>
      <c r="Q247" s="15"/>
      <c r="R247" s="16" t="str">
        <f t="shared" si="10"/>
        <v/>
      </c>
    </row>
    <row r="248" ht="15.75" customHeight="1">
      <c r="A248" s="7"/>
      <c r="B248" s="8"/>
      <c r="C248" s="8"/>
      <c r="D248" s="8"/>
      <c r="E248" s="8"/>
      <c r="F248" s="9"/>
      <c r="G248" s="10">
        <f>IFERROR(F248*VLOOKUP(D248,TELAS!$A$4:$C$32,3,FALSE()),0)</f>
        <v>0</v>
      </c>
      <c r="H248" s="11" t="str">
        <f>IFERROR(VLOOKUP(E248,COLORES!$A$4:$B$102,2,FALSE()),"")</f>
        <v/>
      </c>
      <c r="I248" s="12">
        <f>IFERROR(IF(H248="OSCURO",VLOOKUP(D248,PRECIOS!$A$4:$F$32,2,FALSE()),IF(H248="CLARO",VLOOKUP(D248,PRECIOS!$A$4:$F$32,3,FALSE()),IF(H248="MELANGE",VLOOKUP(D248,PRECIOS!$A$4:$F$32,4,FALSE()),IF(H248="PPT",VLOOKUP(D248,PRECIOS!$A$4:$F$32,5,FALSE()),0)))),0)</f>
        <v>0</v>
      </c>
      <c r="J248" s="12">
        <f t="shared" si="8"/>
        <v>0</v>
      </c>
      <c r="K248" s="13">
        <f>IFERROR(IF(C248="",0,SUMIFS($F$4:$F$247,$C$4:$C$247,C248,$D$4:$D$247,D248,$E$4:$E$247,E248,$B$4:$B$247,"INGRESO")+SUMIFS($F$4:$F$247,$C$4:$C$247,C248,$D$4:$D$247,D248,$E$4:$E$247,E248,$B$4:$B$247,"DE REPROCESO")+SUMIFS($F$4:$F$247,$C$4:$C$247,C248,$D$4:$D$247,D248,$E$4:$E$247,E248,$B$4:$B$247,"AJUSTE+")-SUMIFS($F$4:$F$247,$C$4:$C$247,C248,$D$4:$D$247,D248,$E$4:$E$247,E248,$B$4:$B$247,"A CORTE")-SUMIFS($F$4:$F$247,$C$4:$C$247,C248,$D$4:$D$247,D248,$E$4:$E$247,E248,$B$4:$B$247,"A REPROCESO")-SUMIFS($F$4:$F$247,$C$4:$C$247,C248,$D$4:$D$247,D248,$E$4:$E$247,E248,$B$4:$B$247,"MUESTRA")-SUMIFS($F$4:$F$247,$C$4:$C$247,C248,$D$4:$D$247,D248,$E$4:$E$247,E248,$B$4:$B$247,"AJUSTE-")),0)</f>
        <v>0</v>
      </c>
      <c r="L248" s="13">
        <f t="shared" si="9"/>
        <v>0</v>
      </c>
      <c r="M248" s="8"/>
      <c r="N248" s="14"/>
      <c r="O248" s="14"/>
      <c r="P248" s="14"/>
      <c r="Q248" s="15"/>
      <c r="R248" s="16" t="str">
        <f t="shared" si="10"/>
        <v/>
      </c>
    </row>
    <row r="249" ht="15.75" customHeight="1">
      <c r="A249" s="7"/>
      <c r="B249" s="8"/>
      <c r="C249" s="8"/>
      <c r="D249" s="8"/>
      <c r="E249" s="8"/>
      <c r="F249" s="9"/>
      <c r="G249" s="10">
        <f>IFERROR(F249*VLOOKUP(D249,TELAS!$A$4:$C$32,3,FALSE()),0)</f>
        <v>0</v>
      </c>
      <c r="H249" s="11" t="str">
        <f>IFERROR(VLOOKUP(E249,COLORES!$A$4:$B$102,2,FALSE()),"")</f>
        <v/>
      </c>
      <c r="I249" s="12">
        <f>IFERROR(IF(H249="OSCURO",VLOOKUP(D249,PRECIOS!$A$4:$F$32,2,FALSE()),IF(H249="CLARO",VLOOKUP(D249,PRECIOS!$A$4:$F$32,3,FALSE()),IF(H249="MELANGE",VLOOKUP(D249,PRECIOS!$A$4:$F$32,4,FALSE()),IF(H249="PPT",VLOOKUP(D249,PRECIOS!$A$4:$F$32,5,FALSE()),0)))),0)</f>
        <v>0</v>
      </c>
      <c r="J249" s="12">
        <f t="shared" si="8"/>
        <v>0</v>
      </c>
      <c r="K249" s="13">
        <f>IFERROR(IF(C249="",0,SUMIFS($F$4:$F$248,$C$4:$C$248,C249,$D$4:$D$248,D249,$E$4:$E$248,E249,$B$4:$B$248,"INGRESO")+SUMIFS($F$4:$F$248,$C$4:$C$248,C249,$D$4:$D$248,D249,$E$4:$E$248,E249,$B$4:$B$248,"DE REPROCESO")+SUMIFS($F$4:$F$248,$C$4:$C$248,C249,$D$4:$D$248,D249,$E$4:$E$248,E249,$B$4:$B$248,"AJUSTE+")-SUMIFS($F$4:$F$248,$C$4:$C$248,C249,$D$4:$D$248,D249,$E$4:$E$248,E249,$B$4:$B$248,"A CORTE")-SUMIFS($F$4:$F$248,$C$4:$C$248,C249,$D$4:$D$248,D249,$E$4:$E$248,E249,$B$4:$B$248,"A REPROCESO")-SUMIFS($F$4:$F$248,$C$4:$C$248,C249,$D$4:$D$248,D249,$E$4:$E$248,E249,$B$4:$B$248,"MUESTRA")-SUMIFS($F$4:$F$248,$C$4:$C$248,C249,$D$4:$D$248,D249,$E$4:$E$248,E249,$B$4:$B$248,"AJUSTE-")),0)</f>
        <v>0</v>
      </c>
      <c r="L249" s="13">
        <f t="shared" si="9"/>
        <v>0</v>
      </c>
      <c r="M249" s="8"/>
      <c r="N249" s="14"/>
      <c r="O249" s="14"/>
      <c r="P249" s="14"/>
      <c r="Q249" s="15"/>
      <c r="R249" s="16" t="str">
        <f t="shared" si="10"/>
        <v/>
      </c>
    </row>
    <row r="250" ht="15.75" customHeight="1">
      <c r="A250" s="7"/>
      <c r="B250" s="8"/>
      <c r="C250" s="8"/>
      <c r="D250" s="8"/>
      <c r="E250" s="8"/>
      <c r="F250" s="9"/>
      <c r="G250" s="10">
        <f>IFERROR(F250*VLOOKUP(D250,TELAS!$A$4:$C$32,3,FALSE()),0)</f>
        <v>0</v>
      </c>
      <c r="H250" s="11" t="str">
        <f>IFERROR(VLOOKUP(E250,COLORES!$A$4:$B$102,2,FALSE()),"")</f>
        <v/>
      </c>
      <c r="I250" s="12">
        <f>IFERROR(IF(H250="OSCURO",VLOOKUP(D250,PRECIOS!$A$4:$F$32,2,FALSE()),IF(H250="CLARO",VLOOKUP(D250,PRECIOS!$A$4:$F$32,3,FALSE()),IF(H250="MELANGE",VLOOKUP(D250,PRECIOS!$A$4:$F$32,4,FALSE()),IF(H250="PPT",VLOOKUP(D250,PRECIOS!$A$4:$F$32,5,FALSE()),0)))),0)</f>
        <v>0</v>
      </c>
      <c r="J250" s="12">
        <f t="shared" si="8"/>
        <v>0</v>
      </c>
      <c r="K250" s="13">
        <f>IFERROR(IF(C250="",0,SUMIFS($F$4:$F$249,$C$4:$C$249,C250,$D$4:$D$249,D250,$E$4:$E$249,E250,$B$4:$B$249,"INGRESO")+SUMIFS($F$4:$F$249,$C$4:$C$249,C250,$D$4:$D$249,D250,$E$4:$E$249,E250,$B$4:$B$249,"DE REPROCESO")+SUMIFS($F$4:$F$249,$C$4:$C$249,C250,$D$4:$D$249,D250,$E$4:$E$249,E250,$B$4:$B$249,"AJUSTE+")-SUMIFS($F$4:$F$249,$C$4:$C$249,C250,$D$4:$D$249,D250,$E$4:$E$249,E250,$B$4:$B$249,"A CORTE")-SUMIFS($F$4:$F$249,$C$4:$C$249,C250,$D$4:$D$249,D250,$E$4:$E$249,E250,$B$4:$B$249,"A REPROCESO")-SUMIFS($F$4:$F$249,$C$4:$C$249,C250,$D$4:$D$249,D250,$E$4:$E$249,E250,$B$4:$B$249,"MUESTRA")-SUMIFS($F$4:$F$249,$C$4:$C$249,C250,$D$4:$D$249,D250,$E$4:$E$249,E250,$B$4:$B$249,"AJUSTE-")),0)</f>
        <v>0</v>
      </c>
      <c r="L250" s="13">
        <f t="shared" si="9"/>
        <v>0</v>
      </c>
      <c r="M250" s="8"/>
      <c r="N250" s="14"/>
      <c r="O250" s="14"/>
      <c r="P250" s="14"/>
      <c r="Q250" s="15"/>
      <c r="R250" s="16" t="str">
        <f t="shared" si="10"/>
        <v/>
      </c>
    </row>
    <row r="251" ht="15.75" customHeight="1">
      <c r="A251" s="7"/>
      <c r="B251" s="8"/>
      <c r="C251" s="8"/>
      <c r="D251" s="8"/>
      <c r="E251" s="8"/>
      <c r="F251" s="9"/>
      <c r="G251" s="10">
        <f>IFERROR(F251*VLOOKUP(D251,TELAS!$A$4:$C$32,3,FALSE()),0)</f>
        <v>0</v>
      </c>
      <c r="H251" s="11" t="str">
        <f>IFERROR(VLOOKUP(E251,COLORES!$A$4:$B$102,2,FALSE()),"")</f>
        <v/>
      </c>
      <c r="I251" s="12">
        <f>IFERROR(IF(H251="OSCURO",VLOOKUP(D251,PRECIOS!$A$4:$F$32,2,FALSE()),IF(H251="CLARO",VLOOKUP(D251,PRECIOS!$A$4:$F$32,3,FALSE()),IF(H251="MELANGE",VLOOKUP(D251,PRECIOS!$A$4:$F$32,4,FALSE()),IF(H251="PPT",VLOOKUP(D251,PRECIOS!$A$4:$F$32,5,FALSE()),0)))),0)</f>
        <v>0</v>
      </c>
      <c r="J251" s="12">
        <f t="shared" si="8"/>
        <v>0</v>
      </c>
      <c r="K251" s="13">
        <f>IFERROR(IF(C251="",0,SUMIFS($F$4:$F$250,$C$4:$C$250,C251,$D$4:$D$250,D251,$E$4:$E$250,E251,$B$4:$B$250,"INGRESO")+SUMIFS($F$4:$F$250,$C$4:$C$250,C251,$D$4:$D$250,D251,$E$4:$E$250,E251,$B$4:$B$250,"DE REPROCESO")+SUMIFS($F$4:$F$250,$C$4:$C$250,C251,$D$4:$D$250,D251,$E$4:$E$250,E251,$B$4:$B$250,"AJUSTE+")-SUMIFS($F$4:$F$250,$C$4:$C$250,C251,$D$4:$D$250,D251,$E$4:$E$250,E251,$B$4:$B$250,"A CORTE")-SUMIFS($F$4:$F$250,$C$4:$C$250,C251,$D$4:$D$250,D251,$E$4:$E$250,E251,$B$4:$B$250,"A REPROCESO")-SUMIFS($F$4:$F$250,$C$4:$C$250,C251,$D$4:$D$250,D251,$E$4:$E$250,E251,$B$4:$B$250,"MUESTRA")-SUMIFS($F$4:$F$250,$C$4:$C$250,C251,$D$4:$D$250,D251,$E$4:$E$250,E251,$B$4:$B$250,"AJUSTE-")),0)</f>
        <v>0</v>
      </c>
      <c r="L251" s="13">
        <f t="shared" si="9"/>
        <v>0</v>
      </c>
      <c r="M251" s="8"/>
      <c r="N251" s="14"/>
      <c r="O251" s="14"/>
      <c r="P251" s="14"/>
      <c r="Q251" s="15"/>
      <c r="R251" s="16" t="str">
        <f t="shared" si="10"/>
        <v/>
      </c>
    </row>
    <row r="252" ht="15.75" customHeight="1">
      <c r="A252" s="7"/>
      <c r="B252" s="8"/>
      <c r="C252" s="8"/>
      <c r="D252" s="8"/>
      <c r="E252" s="8"/>
      <c r="F252" s="9"/>
      <c r="G252" s="10">
        <f>IFERROR(F252*VLOOKUP(D252,TELAS!$A$4:$C$32,3,FALSE()),0)</f>
        <v>0</v>
      </c>
      <c r="H252" s="11" t="str">
        <f>IFERROR(VLOOKUP(E252,COLORES!$A$4:$B$102,2,FALSE()),"")</f>
        <v/>
      </c>
      <c r="I252" s="12">
        <f>IFERROR(IF(H252="OSCURO",VLOOKUP(D252,PRECIOS!$A$4:$F$32,2,FALSE()),IF(H252="CLARO",VLOOKUP(D252,PRECIOS!$A$4:$F$32,3,FALSE()),IF(H252="MELANGE",VLOOKUP(D252,PRECIOS!$A$4:$F$32,4,FALSE()),IF(H252="PPT",VLOOKUP(D252,PRECIOS!$A$4:$F$32,5,FALSE()),0)))),0)</f>
        <v>0</v>
      </c>
      <c r="J252" s="12">
        <f t="shared" si="8"/>
        <v>0</v>
      </c>
      <c r="K252" s="13">
        <f>IFERROR(IF(C252="",0,SUMIFS($F$4:$F$251,$C$4:$C$251,C252,$D$4:$D$251,D252,$E$4:$E$251,E252,$B$4:$B$251,"INGRESO")+SUMIFS($F$4:$F$251,$C$4:$C$251,C252,$D$4:$D$251,D252,$E$4:$E$251,E252,$B$4:$B$251,"DE REPROCESO")+SUMIFS($F$4:$F$251,$C$4:$C$251,C252,$D$4:$D$251,D252,$E$4:$E$251,E252,$B$4:$B$251,"AJUSTE+")-SUMIFS($F$4:$F$251,$C$4:$C$251,C252,$D$4:$D$251,D252,$E$4:$E$251,E252,$B$4:$B$251,"A CORTE")-SUMIFS($F$4:$F$251,$C$4:$C$251,C252,$D$4:$D$251,D252,$E$4:$E$251,E252,$B$4:$B$251,"A REPROCESO")-SUMIFS($F$4:$F$251,$C$4:$C$251,C252,$D$4:$D$251,D252,$E$4:$E$251,E252,$B$4:$B$251,"MUESTRA")-SUMIFS($F$4:$F$251,$C$4:$C$251,C252,$D$4:$D$251,D252,$E$4:$E$251,E252,$B$4:$B$251,"AJUSTE-")),0)</f>
        <v>0</v>
      </c>
      <c r="L252" s="13">
        <f t="shared" si="9"/>
        <v>0</v>
      </c>
      <c r="M252" s="8"/>
      <c r="N252" s="14"/>
      <c r="O252" s="14"/>
      <c r="P252" s="14"/>
      <c r="Q252" s="15"/>
      <c r="R252" s="16" t="str">
        <f t="shared" si="10"/>
        <v/>
      </c>
    </row>
    <row r="253" ht="15.75" customHeight="1">
      <c r="A253" s="7"/>
      <c r="B253" s="8"/>
      <c r="C253" s="8"/>
      <c r="D253" s="8"/>
      <c r="E253" s="8"/>
      <c r="F253" s="9"/>
      <c r="G253" s="10">
        <f>IFERROR(F253*VLOOKUP(D253,TELAS!$A$4:$C$32,3,FALSE()),0)</f>
        <v>0</v>
      </c>
      <c r="H253" s="11" t="str">
        <f>IFERROR(VLOOKUP(E253,COLORES!$A$4:$B$102,2,FALSE()),"")</f>
        <v/>
      </c>
      <c r="I253" s="12">
        <f>IFERROR(IF(H253="OSCURO",VLOOKUP(D253,PRECIOS!$A$4:$F$32,2,FALSE()),IF(H253="CLARO",VLOOKUP(D253,PRECIOS!$A$4:$F$32,3,FALSE()),IF(H253="MELANGE",VLOOKUP(D253,PRECIOS!$A$4:$F$32,4,FALSE()),IF(H253="PPT",VLOOKUP(D253,PRECIOS!$A$4:$F$32,5,FALSE()),0)))),0)</f>
        <v>0</v>
      </c>
      <c r="J253" s="12">
        <f t="shared" si="8"/>
        <v>0</v>
      </c>
      <c r="K253" s="13">
        <f>IFERROR(IF(C253="",0,SUMIFS($F$4:$F$252,$C$4:$C$252,C253,$D$4:$D$252,D253,$E$4:$E$252,E253,$B$4:$B$252,"INGRESO")+SUMIFS($F$4:$F$252,$C$4:$C$252,C253,$D$4:$D$252,D253,$E$4:$E$252,E253,$B$4:$B$252,"DE REPROCESO")+SUMIFS($F$4:$F$252,$C$4:$C$252,C253,$D$4:$D$252,D253,$E$4:$E$252,E253,$B$4:$B$252,"AJUSTE+")-SUMIFS($F$4:$F$252,$C$4:$C$252,C253,$D$4:$D$252,D253,$E$4:$E$252,E253,$B$4:$B$252,"A CORTE")-SUMIFS($F$4:$F$252,$C$4:$C$252,C253,$D$4:$D$252,D253,$E$4:$E$252,E253,$B$4:$B$252,"A REPROCESO")-SUMIFS($F$4:$F$252,$C$4:$C$252,C253,$D$4:$D$252,D253,$E$4:$E$252,E253,$B$4:$B$252,"MUESTRA")-SUMIFS($F$4:$F$252,$C$4:$C$252,C253,$D$4:$D$252,D253,$E$4:$E$252,E253,$B$4:$B$252,"AJUSTE-")),0)</f>
        <v>0</v>
      </c>
      <c r="L253" s="13">
        <f t="shared" si="9"/>
        <v>0</v>
      </c>
      <c r="M253" s="8"/>
      <c r="N253" s="14"/>
      <c r="O253" s="14"/>
      <c r="P253" s="14"/>
      <c r="Q253" s="15"/>
      <c r="R253" s="16" t="str">
        <f t="shared" si="10"/>
        <v/>
      </c>
    </row>
    <row r="254" ht="15.75" customHeight="1">
      <c r="A254" s="7"/>
      <c r="B254" s="8"/>
      <c r="C254" s="8"/>
      <c r="D254" s="8"/>
      <c r="E254" s="8"/>
      <c r="F254" s="9"/>
      <c r="G254" s="10">
        <f>IFERROR(F254*VLOOKUP(D254,TELAS!$A$4:$C$32,3,FALSE()),0)</f>
        <v>0</v>
      </c>
      <c r="H254" s="11" t="str">
        <f>IFERROR(VLOOKUP(E254,COLORES!$A$4:$B$102,2,FALSE()),"")</f>
        <v/>
      </c>
      <c r="I254" s="12">
        <f>IFERROR(IF(H254="OSCURO",VLOOKUP(D254,PRECIOS!$A$4:$F$32,2,FALSE()),IF(H254="CLARO",VLOOKUP(D254,PRECIOS!$A$4:$F$32,3,FALSE()),IF(H254="MELANGE",VLOOKUP(D254,PRECIOS!$A$4:$F$32,4,FALSE()),IF(H254="PPT",VLOOKUP(D254,PRECIOS!$A$4:$F$32,5,FALSE()),0)))),0)</f>
        <v>0</v>
      </c>
      <c r="J254" s="12">
        <f t="shared" si="8"/>
        <v>0</v>
      </c>
      <c r="K254" s="13">
        <f>IFERROR(IF(C254="",0,SUMIFS($F$4:$F$253,$C$4:$C$253,C254,$D$4:$D$253,D254,$E$4:$E$253,E254,$B$4:$B$253,"INGRESO")+SUMIFS($F$4:$F$253,$C$4:$C$253,C254,$D$4:$D$253,D254,$E$4:$E$253,E254,$B$4:$B$253,"DE REPROCESO")+SUMIFS($F$4:$F$253,$C$4:$C$253,C254,$D$4:$D$253,D254,$E$4:$E$253,E254,$B$4:$B$253,"AJUSTE+")-SUMIFS($F$4:$F$253,$C$4:$C$253,C254,$D$4:$D$253,D254,$E$4:$E$253,E254,$B$4:$B$253,"A CORTE")-SUMIFS($F$4:$F$253,$C$4:$C$253,C254,$D$4:$D$253,D254,$E$4:$E$253,E254,$B$4:$B$253,"A REPROCESO")-SUMIFS($F$4:$F$253,$C$4:$C$253,C254,$D$4:$D$253,D254,$E$4:$E$253,E254,$B$4:$B$253,"MUESTRA")-SUMIFS($F$4:$F$253,$C$4:$C$253,C254,$D$4:$D$253,D254,$E$4:$E$253,E254,$B$4:$B$253,"AJUSTE-")),0)</f>
        <v>0</v>
      </c>
      <c r="L254" s="13">
        <f t="shared" si="9"/>
        <v>0</v>
      </c>
      <c r="M254" s="8"/>
      <c r="N254" s="14"/>
      <c r="O254" s="14"/>
      <c r="P254" s="14"/>
      <c r="Q254" s="15"/>
      <c r="R254" s="16" t="str">
        <f t="shared" si="10"/>
        <v/>
      </c>
    </row>
    <row r="255" ht="15.75" customHeight="1">
      <c r="A255" s="7"/>
      <c r="B255" s="8"/>
      <c r="C255" s="8"/>
      <c r="D255" s="8"/>
      <c r="E255" s="8"/>
      <c r="F255" s="9"/>
      <c r="G255" s="10">
        <f>IFERROR(F255*VLOOKUP(D255,TELAS!$A$4:$C$32,3,FALSE()),0)</f>
        <v>0</v>
      </c>
      <c r="H255" s="11" t="str">
        <f>IFERROR(VLOOKUP(E255,COLORES!$A$4:$B$102,2,FALSE()),"")</f>
        <v/>
      </c>
      <c r="I255" s="12">
        <f>IFERROR(IF(H255="OSCURO",VLOOKUP(D255,PRECIOS!$A$4:$F$32,2,FALSE()),IF(H255="CLARO",VLOOKUP(D255,PRECIOS!$A$4:$F$32,3,FALSE()),IF(H255="MELANGE",VLOOKUP(D255,PRECIOS!$A$4:$F$32,4,FALSE()),IF(H255="PPT",VLOOKUP(D255,PRECIOS!$A$4:$F$32,5,FALSE()),0)))),0)</f>
        <v>0</v>
      </c>
      <c r="J255" s="12">
        <f t="shared" si="8"/>
        <v>0</v>
      </c>
      <c r="K255" s="13">
        <f>IFERROR(IF(C255="",0,SUMIFS($F$4:$F$254,$C$4:$C$254,C255,$D$4:$D$254,D255,$E$4:$E$254,E255,$B$4:$B$254,"INGRESO")+SUMIFS($F$4:$F$254,$C$4:$C$254,C255,$D$4:$D$254,D255,$E$4:$E$254,E255,$B$4:$B$254,"DE REPROCESO")+SUMIFS($F$4:$F$254,$C$4:$C$254,C255,$D$4:$D$254,D255,$E$4:$E$254,E255,$B$4:$B$254,"AJUSTE+")-SUMIFS($F$4:$F$254,$C$4:$C$254,C255,$D$4:$D$254,D255,$E$4:$E$254,E255,$B$4:$B$254,"A CORTE")-SUMIFS($F$4:$F$254,$C$4:$C$254,C255,$D$4:$D$254,D255,$E$4:$E$254,E255,$B$4:$B$254,"A REPROCESO")-SUMIFS($F$4:$F$254,$C$4:$C$254,C255,$D$4:$D$254,D255,$E$4:$E$254,E255,$B$4:$B$254,"MUESTRA")-SUMIFS($F$4:$F$254,$C$4:$C$254,C255,$D$4:$D$254,D255,$E$4:$E$254,E255,$B$4:$B$254,"AJUSTE-")),0)</f>
        <v>0</v>
      </c>
      <c r="L255" s="13">
        <f t="shared" si="9"/>
        <v>0</v>
      </c>
      <c r="M255" s="8"/>
      <c r="N255" s="14"/>
      <c r="O255" s="14"/>
      <c r="P255" s="14"/>
      <c r="Q255" s="15"/>
      <c r="R255" s="16" t="str">
        <f t="shared" si="10"/>
        <v/>
      </c>
    </row>
    <row r="256" ht="15.75" customHeight="1">
      <c r="A256" s="7"/>
      <c r="B256" s="8"/>
      <c r="C256" s="8"/>
      <c r="D256" s="8"/>
      <c r="E256" s="8"/>
      <c r="F256" s="9"/>
      <c r="G256" s="10">
        <f>IFERROR(F256*VLOOKUP(D256,TELAS!$A$4:$C$32,3,FALSE()),0)</f>
        <v>0</v>
      </c>
      <c r="H256" s="11" t="str">
        <f>IFERROR(VLOOKUP(E256,COLORES!$A$4:$B$102,2,FALSE()),"")</f>
        <v/>
      </c>
      <c r="I256" s="12">
        <f>IFERROR(IF(H256="OSCURO",VLOOKUP(D256,PRECIOS!$A$4:$F$32,2,FALSE()),IF(H256="CLARO",VLOOKUP(D256,PRECIOS!$A$4:$F$32,3,FALSE()),IF(H256="MELANGE",VLOOKUP(D256,PRECIOS!$A$4:$F$32,4,FALSE()),IF(H256="PPT",VLOOKUP(D256,PRECIOS!$A$4:$F$32,5,FALSE()),0)))),0)</f>
        <v>0</v>
      </c>
      <c r="J256" s="12">
        <f t="shared" si="8"/>
        <v>0</v>
      </c>
      <c r="K256" s="13">
        <f>IFERROR(IF(C256="",0,SUMIFS($F$4:$F$255,$C$4:$C$255,C256,$D$4:$D$255,D256,$E$4:$E$255,E256,$B$4:$B$255,"INGRESO")+SUMIFS($F$4:$F$255,$C$4:$C$255,C256,$D$4:$D$255,D256,$E$4:$E$255,E256,$B$4:$B$255,"DE REPROCESO")+SUMIFS($F$4:$F$255,$C$4:$C$255,C256,$D$4:$D$255,D256,$E$4:$E$255,E256,$B$4:$B$255,"AJUSTE+")-SUMIFS($F$4:$F$255,$C$4:$C$255,C256,$D$4:$D$255,D256,$E$4:$E$255,E256,$B$4:$B$255,"A CORTE")-SUMIFS($F$4:$F$255,$C$4:$C$255,C256,$D$4:$D$255,D256,$E$4:$E$255,E256,$B$4:$B$255,"A REPROCESO")-SUMIFS($F$4:$F$255,$C$4:$C$255,C256,$D$4:$D$255,D256,$E$4:$E$255,E256,$B$4:$B$255,"MUESTRA")-SUMIFS($F$4:$F$255,$C$4:$C$255,C256,$D$4:$D$255,D256,$E$4:$E$255,E256,$B$4:$B$255,"AJUSTE-")),0)</f>
        <v>0</v>
      </c>
      <c r="L256" s="13">
        <f t="shared" si="9"/>
        <v>0</v>
      </c>
      <c r="M256" s="8"/>
      <c r="N256" s="14"/>
      <c r="O256" s="14"/>
      <c r="P256" s="14"/>
      <c r="Q256" s="15"/>
      <c r="R256" s="16" t="str">
        <f t="shared" si="10"/>
        <v/>
      </c>
    </row>
    <row r="257" ht="15.75" customHeight="1">
      <c r="A257" s="7"/>
      <c r="B257" s="8"/>
      <c r="C257" s="8"/>
      <c r="D257" s="8"/>
      <c r="E257" s="8"/>
      <c r="F257" s="9"/>
      <c r="G257" s="10">
        <f>IFERROR(F257*VLOOKUP(D257,TELAS!$A$4:$C$32,3,FALSE()),0)</f>
        <v>0</v>
      </c>
      <c r="H257" s="11" t="str">
        <f>IFERROR(VLOOKUP(E257,COLORES!$A$4:$B$102,2,FALSE()),"")</f>
        <v/>
      </c>
      <c r="I257" s="12">
        <f>IFERROR(IF(H257="OSCURO",VLOOKUP(D257,PRECIOS!$A$4:$F$32,2,FALSE()),IF(H257="CLARO",VLOOKUP(D257,PRECIOS!$A$4:$F$32,3,FALSE()),IF(H257="MELANGE",VLOOKUP(D257,PRECIOS!$A$4:$F$32,4,FALSE()),IF(H257="PPT",VLOOKUP(D257,PRECIOS!$A$4:$F$32,5,FALSE()),0)))),0)</f>
        <v>0</v>
      </c>
      <c r="J257" s="12">
        <f t="shared" si="8"/>
        <v>0</v>
      </c>
      <c r="K257" s="13">
        <f>IFERROR(IF(C257="",0,SUMIFS($F$4:$F$256,$C$4:$C$256,C257,$D$4:$D$256,D257,$E$4:$E$256,E257,$B$4:$B$256,"INGRESO")+SUMIFS($F$4:$F$256,$C$4:$C$256,C257,$D$4:$D$256,D257,$E$4:$E$256,E257,$B$4:$B$256,"DE REPROCESO")+SUMIFS($F$4:$F$256,$C$4:$C$256,C257,$D$4:$D$256,D257,$E$4:$E$256,E257,$B$4:$B$256,"AJUSTE+")-SUMIFS($F$4:$F$256,$C$4:$C$256,C257,$D$4:$D$256,D257,$E$4:$E$256,E257,$B$4:$B$256,"A CORTE")-SUMIFS($F$4:$F$256,$C$4:$C$256,C257,$D$4:$D$256,D257,$E$4:$E$256,E257,$B$4:$B$256,"A REPROCESO")-SUMIFS($F$4:$F$256,$C$4:$C$256,C257,$D$4:$D$256,D257,$E$4:$E$256,E257,$B$4:$B$256,"MUESTRA")-SUMIFS($F$4:$F$256,$C$4:$C$256,C257,$D$4:$D$256,D257,$E$4:$E$256,E257,$B$4:$B$256,"AJUSTE-")),0)</f>
        <v>0</v>
      </c>
      <c r="L257" s="13">
        <f t="shared" si="9"/>
        <v>0</v>
      </c>
      <c r="M257" s="8"/>
      <c r="N257" s="14"/>
      <c r="O257" s="14"/>
      <c r="P257" s="14"/>
      <c r="Q257" s="15"/>
      <c r="R257" s="16" t="str">
        <f t="shared" si="10"/>
        <v/>
      </c>
    </row>
    <row r="258" ht="15.75" customHeight="1">
      <c r="A258" s="7"/>
      <c r="B258" s="8"/>
      <c r="C258" s="8"/>
      <c r="D258" s="8"/>
      <c r="E258" s="8"/>
      <c r="F258" s="9"/>
      <c r="G258" s="10">
        <f>IFERROR(F258*VLOOKUP(D258,TELAS!$A$4:$C$32,3,FALSE()),0)</f>
        <v>0</v>
      </c>
      <c r="H258" s="11" t="str">
        <f>IFERROR(VLOOKUP(E258,COLORES!$A$4:$B$102,2,FALSE()),"")</f>
        <v/>
      </c>
      <c r="I258" s="12">
        <f>IFERROR(IF(H258="OSCURO",VLOOKUP(D258,PRECIOS!$A$4:$F$32,2,FALSE()),IF(H258="CLARO",VLOOKUP(D258,PRECIOS!$A$4:$F$32,3,FALSE()),IF(H258="MELANGE",VLOOKUP(D258,PRECIOS!$A$4:$F$32,4,FALSE()),IF(H258="PPT",VLOOKUP(D258,PRECIOS!$A$4:$F$32,5,FALSE()),0)))),0)</f>
        <v>0</v>
      </c>
      <c r="J258" s="12">
        <f t="shared" si="8"/>
        <v>0</v>
      </c>
      <c r="K258" s="13">
        <f>IFERROR(IF(C258="",0,SUMIFS($F$4:$F$257,$C$4:$C$257,C258,$D$4:$D$257,D258,$E$4:$E$257,E258,$B$4:$B$257,"INGRESO")+SUMIFS($F$4:$F$257,$C$4:$C$257,C258,$D$4:$D$257,D258,$E$4:$E$257,E258,$B$4:$B$257,"DE REPROCESO")+SUMIFS($F$4:$F$257,$C$4:$C$257,C258,$D$4:$D$257,D258,$E$4:$E$257,E258,$B$4:$B$257,"AJUSTE+")-SUMIFS($F$4:$F$257,$C$4:$C$257,C258,$D$4:$D$257,D258,$E$4:$E$257,E258,$B$4:$B$257,"A CORTE")-SUMIFS($F$4:$F$257,$C$4:$C$257,C258,$D$4:$D$257,D258,$E$4:$E$257,E258,$B$4:$B$257,"A REPROCESO")-SUMIFS($F$4:$F$257,$C$4:$C$257,C258,$D$4:$D$257,D258,$E$4:$E$257,E258,$B$4:$B$257,"MUESTRA")-SUMIFS($F$4:$F$257,$C$4:$C$257,C258,$D$4:$D$257,D258,$E$4:$E$257,E258,$B$4:$B$257,"AJUSTE-")),0)</f>
        <v>0</v>
      </c>
      <c r="L258" s="13">
        <f t="shared" si="9"/>
        <v>0</v>
      </c>
      <c r="M258" s="8"/>
      <c r="N258" s="14"/>
      <c r="O258" s="14"/>
      <c r="P258" s="14"/>
      <c r="Q258" s="15"/>
      <c r="R258" s="16" t="str">
        <f t="shared" si="10"/>
        <v/>
      </c>
    </row>
    <row r="259" ht="15.75" customHeight="1">
      <c r="A259" s="7"/>
      <c r="B259" s="8"/>
      <c r="C259" s="8"/>
      <c r="D259" s="8"/>
      <c r="E259" s="8"/>
      <c r="F259" s="9"/>
      <c r="G259" s="10">
        <f>IFERROR(F259*VLOOKUP(D259,TELAS!$A$4:$C$32,3,FALSE()),0)</f>
        <v>0</v>
      </c>
      <c r="H259" s="11" t="str">
        <f>IFERROR(VLOOKUP(E259,COLORES!$A$4:$B$102,2,FALSE()),"")</f>
        <v/>
      </c>
      <c r="I259" s="12">
        <f>IFERROR(IF(H259="OSCURO",VLOOKUP(D259,PRECIOS!$A$4:$F$32,2,FALSE()),IF(H259="CLARO",VLOOKUP(D259,PRECIOS!$A$4:$F$32,3,FALSE()),IF(H259="MELANGE",VLOOKUP(D259,PRECIOS!$A$4:$F$32,4,FALSE()),IF(H259="PPT",VLOOKUP(D259,PRECIOS!$A$4:$F$32,5,FALSE()),0)))),0)</f>
        <v>0</v>
      </c>
      <c r="J259" s="12">
        <f t="shared" si="8"/>
        <v>0</v>
      </c>
      <c r="K259" s="13">
        <f>IFERROR(IF(C259="",0,SUMIFS($F$4:$F$258,$C$4:$C$258,C259,$D$4:$D$258,D259,$E$4:$E$258,E259,$B$4:$B$258,"INGRESO")+SUMIFS($F$4:$F$258,$C$4:$C$258,C259,$D$4:$D$258,D259,$E$4:$E$258,E259,$B$4:$B$258,"DE REPROCESO")+SUMIFS($F$4:$F$258,$C$4:$C$258,C259,$D$4:$D$258,D259,$E$4:$E$258,E259,$B$4:$B$258,"AJUSTE+")-SUMIFS($F$4:$F$258,$C$4:$C$258,C259,$D$4:$D$258,D259,$E$4:$E$258,E259,$B$4:$B$258,"A CORTE")-SUMIFS($F$4:$F$258,$C$4:$C$258,C259,$D$4:$D$258,D259,$E$4:$E$258,E259,$B$4:$B$258,"A REPROCESO")-SUMIFS($F$4:$F$258,$C$4:$C$258,C259,$D$4:$D$258,D259,$E$4:$E$258,E259,$B$4:$B$258,"MUESTRA")-SUMIFS($F$4:$F$258,$C$4:$C$258,C259,$D$4:$D$258,D259,$E$4:$E$258,E259,$B$4:$B$258,"AJUSTE-")),0)</f>
        <v>0</v>
      </c>
      <c r="L259" s="13">
        <f t="shared" si="9"/>
        <v>0</v>
      </c>
      <c r="M259" s="8"/>
      <c r="N259" s="14"/>
      <c r="O259" s="14"/>
      <c r="P259" s="14"/>
      <c r="Q259" s="15"/>
      <c r="R259" s="16" t="str">
        <f t="shared" si="10"/>
        <v/>
      </c>
    </row>
    <row r="260" ht="15.75" customHeight="1">
      <c r="A260" s="7"/>
      <c r="B260" s="8"/>
      <c r="C260" s="8"/>
      <c r="D260" s="8"/>
      <c r="E260" s="8"/>
      <c r="F260" s="9"/>
      <c r="G260" s="10">
        <f>IFERROR(F260*VLOOKUP(D260,TELAS!$A$4:$C$32,3,FALSE()),0)</f>
        <v>0</v>
      </c>
      <c r="H260" s="11" t="str">
        <f>IFERROR(VLOOKUP(E260,COLORES!$A$4:$B$102,2,FALSE()),"")</f>
        <v/>
      </c>
      <c r="I260" s="12">
        <f>IFERROR(IF(H260="OSCURO",VLOOKUP(D260,PRECIOS!$A$4:$F$32,2,FALSE()),IF(H260="CLARO",VLOOKUP(D260,PRECIOS!$A$4:$F$32,3,FALSE()),IF(H260="MELANGE",VLOOKUP(D260,PRECIOS!$A$4:$F$32,4,FALSE()),IF(H260="PPT",VLOOKUP(D260,PRECIOS!$A$4:$F$32,5,FALSE()),0)))),0)</f>
        <v>0</v>
      </c>
      <c r="J260" s="12">
        <f t="shared" si="8"/>
        <v>0</v>
      </c>
      <c r="K260" s="13">
        <f>IFERROR(IF(C260="",0,SUMIFS($F$4:$F$259,$C$4:$C$259,C260,$D$4:$D$259,D260,$E$4:$E$259,E260,$B$4:$B$259,"INGRESO")+SUMIFS($F$4:$F$259,$C$4:$C$259,C260,$D$4:$D$259,D260,$E$4:$E$259,E260,$B$4:$B$259,"DE REPROCESO")+SUMIFS($F$4:$F$259,$C$4:$C$259,C260,$D$4:$D$259,D260,$E$4:$E$259,E260,$B$4:$B$259,"AJUSTE+")-SUMIFS($F$4:$F$259,$C$4:$C$259,C260,$D$4:$D$259,D260,$E$4:$E$259,E260,$B$4:$B$259,"A CORTE")-SUMIFS($F$4:$F$259,$C$4:$C$259,C260,$D$4:$D$259,D260,$E$4:$E$259,E260,$B$4:$B$259,"A REPROCESO")-SUMIFS($F$4:$F$259,$C$4:$C$259,C260,$D$4:$D$259,D260,$E$4:$E$259,E260,$B$4:$B$259,"MUESTRA")-SUMIFS($F$4:$F$259,$C$4:$C$259,C260,$D$4:$D$259,D260,$E$4:$E$259,E260,$B$4:$B$259,"AJUSTE-")),0)</f>
        <v>0</v>
      </c>
      <c r="L260" s="13">
        <f t="shared" si="9"/>
        <v>0</v>
      </c>
      <c r="M260" s="8"/>
      <c r="N260" s="14"/>
      <c r="O260" s="14"/>
      <c r="P260" s="14"/>
      <c r="Q260" s="15"/>
      <c r="R260" s="16" t="str">
        <f t="shared" si="10"/>
        <v/>
      </c>
    </row>
    <row r="261" ht="15.75" customHeight="1">
      <c r="A261" s="7"/>
      <c r="B261" s="8"/>
      <c r="C261" s="8"/>
      <c r="D261" s="8"/>
      <c r="E261" s="8"/>
      <c r="F261" s="9"/>
      <c r="G261" s="10">
        <f>IFERROR(F261*VLOOKUP(D261,TELAS!$A$4:$C$32,3,FALSE()),0)</f>
        <v>0</v>
      </c>
      <c r="H261" s="11" t="str">
        <f>IFERROR(VLOOKUP(E261,COLORES!$A$4:$B$102,2,FALSE()),"")</f>
        <v/>
      </c>
      <c r="I261" s="12">
        <f>IFERROR(IF(H261="OSCURO",VLOOKUP(D261,PRECIOS!$A$4:$F$32,2,FALSE()),IF(H261="CLARO",VLOOKUP(D261,PRECIOS!$A$4:$F$32,3,FALSE()),IF(H261="MELANGE",VLOOKUP(D261,PRECIOS!$A$4:$F$32,4,FALSE()),IF(H261="PPT",VLOOKUP(D261,PRECIOS!$A$4:$F$32,5,FALSE()),0)))),0)</f>
        <v>0</v>
      </c>
      <c r="J261" s="12">
        <f t="shared" si="8"/>
        <v>0</v>
      </c>
      <c r="K261" s="13">
        <f>IFERROR(IF(C261="",0,SUMIFS($F$4:$F$260,$C$4:$C$260,C261,$D$4:$D$260,D261,$E$4:$E$260,E261,$B$4:$B$260,"INGRESO")+SUMIFS($F$4:$F$260,$C$4:$C$260,C261,$D$4:$D$260,D261,$E$4:$E$260,E261,$B$4:$B$260,"DE REPROCESO")+SUMIFS($F$4:$F$260,$C$4:$C$260,C261,$D$4:$D$260,D261,$E$4:$E$260,E261,$B$4:$B$260,"AJUSTE+")-SUMIFS($F$4:$F$260,$C$4:$C$260,C261,$D$4:$D$260,D261,$E$4:$E$260,E261,$B$4:$B$260,"A CORTE")-SUMIFS($F$4:$F$260,$C$4:$C$260,C261,$D$4:$D$260,D261,$E$4:$E$260,E261,$B$4:$B$260,"A REPROCESO")-SUMIFS($F$4:$F$260,$C$4:$C$260,C261,$D$4:$D$260,D261,$E$4:$E$260,E261,$B$4:$B$260,"MUESTRA")-SUMIFS($F$4:$F$260,$C$4:$C$260,C261,$D$4:$D$260,D261,$E$4:$E$260,E261,$B$4:$B$260,"AJUSTE-")),0)</f>
        <v>0</v>
      </c>
      <c r="L261" s="13">
        <f t="shared" si="9"/>
        <v>0</v>
      </c>
      <c r="M261" s="8"/>
      <c r="N261" s="14"/>
      <c r="O261" s="14"/>
      <c r="P261" s="14"/>
      <c r="Q261" s="15"/>
      <c r="R261" s="16" t="str">
        <f t="shared" si="10"/>
        <v/>
      </c>
    </row>
    <row r="262" ht="15.75" customHeight="1">
      <c r="A262" s="7"/>
      <c r="B262" s="8"/>
      <c r="C262" s="8"/>
      <c r="D262" s="8"/>
      <c r="E262" s="8"/>
      <c r="F262" s="9"/>
      <c r="G262" s="10">
        <f>IFERROR(F262*VLOOKUP(D262,TELAS!$A$4:$C$32,3,FALSE()),0)</f>
        <v>0</v>
      </c>
      <c r="H262" s="11" t="str">
        <f>IFERROR(VLOOKUP(E262,COLORES!$A$4:$B$102,2,FALSE()),"")</f>
        <v/>
      </c>
      <c r="I262" s="12">
        <f>IFERROR(IF(H262="OSCURO",VLOOKUP(D262,PRECIOS!$A$4:$F$32,2,FALSE()),IF(H262="CLARO",VLOOKUP(D262,PRECIOS!$A$4:$F$32,3,FALSE()),IF(H262="MELANGE",VLOOKUP(D262,PRECIOS!$A$4:$F$32,4,FALSE()),IF(H262="PPT",VLOOKUP(D262,PRECIOS!$A$4:$F$32,5,FALSE()),0)))),0)</f>
        <v>0</v>
      </c>
      <c r="J262" s="12">
        <f t="shared" si="8"/>
        <v>0</v>
      </c>
      <c r="K262" s="13">
        <f>IFERROR(IF(C262="",0,SUMIFS($F$4:$F$261,$C$4:$C$261,C262,$D$4:$D$261,D262,$E$4:$E$261,E262,$B$4:$B$261,"INGRESO")+SUMIFS($F$4:$F$261,$C$4:$C$261,C262,$D$4:$D$261,D262,$E$4:$E$261,E262,$B$4:$B$261,"DE REPROCESO")+SUMIFS($F$4:$F$261,$C$4:$C$261,C262,$D$4:$D$261,D262,$E$4:$E$261,E262,$B$4:$B$261,"AJUSTE+")-SUMIFS($F$4:$F$261,$C$4:$C$261,C262,$D$4:$D$261,D262,$E$4:$E$261,E262,$B$4:$B$261,"A CORTE")-SUMIFS($F$4:$F$261,$C$4:$C$261,C262,$D$4:$D$261,D262,$E$4:$E$261,E262,$B$4:$B$261,"A REPROCESO")-SUMIFS($F$4:$F$261,$C$4:$C$261,C262,$D$4:$D$261,D262,$E$4:$E$261,E262,$B$4:$B$261,"MUESTRA")-SUMIFS($F$4:$F$261,$C$4:$C$261,C262,$D$4:$D$261,D262,$E$4:$E$261,E262,$B$4:$B$261,"AJUSTE-")),0)</f>
        <v>0</v>
      </c>
      <c r="L262" s="13">
        <f t="shared" si="9"/>
        <v>0</v>
      </c>
      <c r="M262" s="8"/>
      <c r="N262" s="14"/>
      <c r="O262" s="14"/>
      <c r="P262" s="14"/>
      <c r="Q262" s="15"/>
      <c r="R262" s="16" t="str">
        <f t="shared" si="10"/>
        <v/>
      </c>
    </row>
    <row r="263" ht="15.75" customHeight="1">
      <c r="A263" s="7"/>
      <c r="B263" s="8"/>
      <c r="C263" s="8"/>
      <c r="D263" s="8"/>
      <c r="E263" s="8"/>
      <c r="F263" s="9"/>
      <c r="G263" s="10">
        <f>IFERROR(F263*VLOOKUP(D263,TELAS!$A$4:$C$32,3,FALSE()),0)</f>
        <v>0</v>
      </c>
      <c r="H263" s="11" t="str">
        <f>IFERROR(VLOOKUP(E263,COLORES!$A$4:$B$102,2,FALSE()),"")</f>
        <v/>
      </c>
      <c r="I263" s="12">
        <f>IFERROR(IF(H263="OSCURO",VLOOKUP(D263,PRECIOS!$A$4:$F$32,2,FALSE()),IF(H263="CLARO",VLOOKUP(D263,PRECIOS!$A$4:$F$32,3,FALSE()),IF(H263="MELANGE",VLOOKUP(D263,PRECIOS!$A$4:$F$32,4,FALSE()),IF(H263="PPT",VLOOKUP(D263,PRECIOS!$A$4:$F$32,5,FALSE()),0)))),0)</f>
        <v>0</v>
      </c>
      <c r="J263" s="12">
        <f t="shared" si="8"/>
        <v>0</v>
      </c>
      <c r="K263" s="13">
        <f>IFERROR(IF(C263="",0,SUMIFS($F$4:$F$262,$C$4:$C$262,C263,$D$4:$D$262,D263,$E$4:$E$262,E263,$B$4:$B$262,"INGRESO")+SUMIFS($F$4:$F$262,$C$4:$C$262,C263,$D$4:$D$262,D263,$E$4:$E$262,E263,$B$4:$B$262,"DE REPROCESO")+SUMIFS($F$4:$F$262,$C$4:$C$262,C263,$D$4:$D$262,D263,$E$4:$E$262,E263,$B$4:$B$262,"AJUSTE+")-SUMIFS($F$4:$F$262,$C$4:$C$262,C263,$D$4:$D$262,D263,$E$4:$E$262,E263,$B$4:$B$262,"A CORTE")-SUMIFS($F$4:$F$262,$C$4:$C$262,C263,$D$4:$D$262,D263,$E$4:$E$262,E263,$B$4:$B$262,"A REPROCESO")-SUMIFS($F$4:$F$262,$C$4:$C$262,C263,$D$4:$D$262,D263,$E$4:$E$262,E263,$B$4:$B$262,"MUESTRA")-SUMIFS($F$4:$F$262,$C$4:$C$262,C263,$D$4:$D$262,D263,$E$4:$E$262,E263,$B$4:$B$262,"AJUSTE-")),0)</f>
        <v>0</v>
      </c>
      <c r="L263" s="13">
        <f t="shared" si="9"/>
        <v>0</v>
      </c>
      <c r="M263" s="8"/>
      <c r="N263" s="14"/>
      <c r="O263" s="14"/>
      <c r="P263" s="14"/>
      <c r="Q263" s="15"/>
      <c r="R263" s="16" t="str">
        <f t="shared" si="10"/>
        <v/>
      </c>
    </row>
    <row r="264" ht="15.75" customHeight="1">
      <c r="A264" s="7"/>
      <c r="B264" s="8"/>
      <c r="C264" s="8"/>
      <c r="D264" s="8"/>
      <c r="E264" s="8"/>
      <c r="F264" s="9"/>
      <c r="G264" s="10">
        <f>IFERROR(F264*VLOOKUP(D264,TELAS!$A$4:$C$32,3,FALSE()),0)</f>
        <v>0</v>
      </c>
      <c r="H264" s="11" t="str">
        <f>IFERROR(VLOOKUP(E264,COLORES!$A$4:$B$102,2,FALSE()),"")</f>
        <v/>
      </c>
      <c r="I264" s="12">
        <f>IFERROR(IF(H264="OSCURO",VLOOKUP(D264,PRECIOS!$A$4:$F$32,2,FALSE()),IF(H264="CLARO",VLOOKUP(D264,PRECIOS!$A$4:$F$32,3,FALSE()),IF(H264="MELANGE",VLOOKUP(D264,PRECIOS!$A$4:$F$32,4,FALSE()),IF(H264="PPT",VLOOKUP(D264,PRECIOS!$A$4:$F$32,5,FALSE()),0)))),0)</f>
        <v>0</v>
      </c>
      <c r="J264" s="12">
        <f t="shared" si="8"/>
        <v>0</v>
      </c>
      <c r="K264" s="13">
        <f>IFERROR(IF(C264="",0,SUMIFS($F$4:$F$263,$C$4:$C$263,C264,$D$4:$D$263,D264,$E$4:$E$263,E264,$B$4:$B$263,"INGRESO")+SUMIFS($F$4:$F$263,$C$4:$C$263,C264,$D$4:$D$263,D264,$E$4:$E$263,E264,$B$4:$B$263,"DE REPROCESO")+SUMIFS($F$4:$F$263,$C$4:$C$263,C264,$D$4:$D$263,D264,$E$4:$E$263,E264,$B$4:$B$263,"AJUSTE+")-SUMIFS($F$4:$F$263,$C$4:$C$263,C264,$D$4:$D$263,D264,$E$4:$E$263,E264,$B$4:$B$263,"A CORTE")-SUMIFS($F$4:$F$263,$C$4:$C$263,C264,$D$4:$D$263,D264,$E$4:$E$263,E264,$B$4:$B$263,"A REPROCESO")-SUMIFS($F$4:$F$263,$C$4:$C$263,C264,$D$4:$D$263,D264,$E$4:$E$263,E264,$B$4:$B$263,"MUESTRA")-SUMIFS($F$4:$F$263,$C$4:$C$263,C264,$D$4:$D$263,D264,$E$4:$E$263,E264,$B$4:$B$263,"AJUSTE-")),0)</f>
        <v>0</v>
      </c>
      <c r="L264" s="13">
        <f t="shared" si="9"/>
        <v>0</v>
      </c>
      <c r="M264" s="8"/>
      <c r="N264" s="14"/>
      <c r="O264" s="14"/>
      <c r="P264" s="14"/>
      <c r="Q264" s="15"/>
      <c r="R264" s="16" t="str">
        <f t="shared" si="10"/>
        <v/>
      </c>
    </row>
    <row r="265" ht="15.75" customHeight="1">
      <c r="A265" s="7"/>
      <c r="B265" s="8"/>
      <c r="C265" s="8"/>
      <c r="D265" s="8"/>
      <c r="E265" s="8"/>
      <c r="F265" s="9"/>
      <c r="G265" s="10">
        <f>IFERROR(F265*VLOOKUP(D265,TELAS!$A$4:$C$32,3,FALSE()),0)</f>
        <v>0</v>
      </c>
      <c r="H265" s="11" t="str">
        <f>IFERROR(VLOOKUP(E265,COLORES!$A$4:$B$102,2,FALSE()),"")</f>
        <v/>
      </c>
      <c r="I265" s="12">
        <f>IFERROR(IF(H265="OSCURO",VLOOKUP(D265,PRECIOS!$A$4:$F$32,2,FALSE()),IF(H265="CLARO",VLOOKUP(D265,PRECIOS!$A$4:$F$32,3,FALSE()),IF(H265="MELANGE",VLOOKUP(D265,PRECIOS!$A$4:$F$32,4,FALSE()),IF(H265="PPT",VLOOKUP(D265,PRECIOS!$A$4:$F$32,5,FALSE()),0)))),0)</f>
        <v>0</v>
      </c>
      <c r="J265" s="12">
        <f t="shared" si="8"/>
        <v>0</v>
      </c>
      <c r="K265" s="13">
        <f>IFERROR(IF(C265="",0,SUMIFS($F$4:$F$264,$C$4:$C$264,C265,$D$4:$D$264,D265,$E$4:$E$264,E265,$B$4:$B$264,"INGRESO")+SUMIFS($F$4:$F$264,$C$4:$C$264,C265,$D$4:$D$264,D265,$E$4:$E$264,E265,$B$4:$B$264,"DE REPROCESO")+SUMIFS($F$4:$F$264,$C$4:$C$264,C265,$D$4:$D$264,D265,$E$4:$E$264,E265,$B$4:$B$264,"AJUSTE+")-SUMIFS($F$4:$F$264,$C$4:$C$264,C265,$D$4:$D$264,D265,$E$4:$E$264,E265,$B$4:$B$264,"A CORTE")-SUMIFS($F$4:$F$264,$C$4:$C$264,C265,$D$4:$D$264,D265,$E$4:$E$264,E265,$B$4:$B$264,"A REPROCESO")-SUMIFS($F$4:$F$264,$C$4:$C$264,C265,$D$4:$D$264,D265,$E$4:$E$264,E265,$B$4:$B$264,"MUESTRA")-SUMIFS($F$4:$F$264,$C$4:$C$264,C265,$D$4:$D$264,D265,$E$4:$E$264,E265,$B$4:$B$264,"AJUSTE-")),0)</f>
        <v>0</v>
      </c>
      <c r="L265" s="13">
        <f t="shared" si="9"/>
        <v>0</v>
      </c>
      <c r="M265" s="8"/>
      <c r="N265" s="14"/>
      <c r="O265" s="14"/>
      <c r="P265" s="14"/>
      <c r="Q265" s="15"/>
      <c r="R265" s="16" t="str">
        <f t="shared" si="10"/>
        <v/>
      </c>
    </row>
    <row r="266" ht="15.75" customHeight="1">
      <c r="A266" s="7"/>
      <c r="B266" s="8"/>
      <c r="C266" s="8"/>
      <c r="D266" s="8"/>
      <c r="E266" s="8"/>
      <c r="F266" s="9"/>
      <c r="G266" s="10">
        <f>IFERROR(F266*VLOOKUP(D266,TELAS!$A$4:$C$32,3,FALSE()),0)</f>
        <v>0</v>
      </c>
      <c r="H266" s="11" t="str">
        <f>IFERROR(VLOOKUP(E266,COLORES!$A$4:$B$102,2,FALSE()),"")</f>
        <v/>
      </c>
      <c r="I266" s="12">
        <f>IFERROR(IF(H266="OSCURO",VLOOKUP(D266,PRECIOS!$A$4:$F$32,2,FALSE()),IF(H266="CLARO",VLOOKUP(D266,PRECIOS!$A$4:$F$32,3,FALSE()),IF(H266="MELANGE",VLOOKUP(D266,PRECIOS!$A$4:$F$32,4,FALSE()),IF(H266="PPT",VLOOKUP(D266,PRECIOS!$A$4:$F$32,5,FALSE()),0)))),0)</f>
        <v>0</v>
      </c>
      <c r="J266" s="12">
        <f t="shared" si="8"/>
        <v>0</v>
      </c>
      <c r="K266" s="13">
        <f>IFERROR(IF(C266="",0,SUMIFS($F$4:$F$265,$C$4:$C$265,C266,$D$4:$D$265,D266,$E$4:$E$265,E266,$B$4:$B$265,"INGRESO")+SUMIFS($F$4:$F$265,$C$4:$C$265,C266,$D$4:$D$265,D266,$E$4:$E$265,E266,$B$4:$B$265,"DE REPROCESO")+SUMIFS($F$4:$F$265,$C$4:$C$265,C266,$D$4:$D$265,D266,$E$4:$E$265,E266,$B$4:$B$265,"AJUSTE+")-SUMIFS($F$4:$F$265,$C$4:$C$265,C266,$D$4:$D$265,D266,$E$4:$E$265,E266,$B$4:$B$265,"A CORTE")-SUMIFS($F$4:$F$265,$C$4:$C$265,C266,$D$4:$D$265,D266,$E$4:$E$265,E266,$B$4:$B$265,"A REPROCESO")-SUMIFS($F$4:$F$265,$C$4:$C$265,C266,$D$4:$D$265,D266,$E$4:$E$265,E266,$B$4:$B$265,"MUESTRA")-SUMIFS($F$4:$F$265,$C$4:$C$265,C266,$D$4:$D$265,D266,$E$4:$E$265,E266,$B$4:$B$265,"AJUSTE-")),0)</f>
        <v>0</v>
      </c>
      <c r="L266" s="13">
        <f t="shared" si="9"/>
        <v>0</v>
      </c>
      <c r="M266" s="8"/>
      <c r="N266" s="14"/>
      <c r="O266" s="14"/>
      <c r="P266" s="14"/>
      <c r="Q266" s="15"/>
      <c r="R266" s="16" t="str">
        <f t="shared" si="10"/>
        <v/>
      </c>
    </row>
    <row r="267" ht="15.75" customHeight="1">
      <c r="A267" s="7"/>
      <c r="B267" s="8"/>
      <c r="C267" s="8"/>
      <c r="D267" s="8"/>
      <c r="E267" s="8"/>
      <c r="F267" s="9"/>
      <c r="G267" s="10">
        <f>IFERROR(F267*VLOOKUP(D267,TELAS!$A$4:$C$32,3,FALSE()),0)</f>
        <v>0</v>
      </c>
      <c r="H267" s="11" t="str">
        <f>IFERROR(VLOOKUP(E267,COLORES!$A$4:$B$102,2,FALSE()),"")</f>
        <v/>
      </c>
      <c r="I267" s="12">
        <f>IFERROR(IF(H267="OSCURO",VLOOKUP(D267,PRECIOS!$A$4:$F$32,2,FALSE()),IF(H267="CLARO",VLOOKUP(D267,PRECIOS!$A$4:$F$32,3,FALSE()),IF(H267="MELANGE",VLOOKUP(D267,PRECIOS!$A$4:$F$32,4,FALSE()),IF(H267="PPT",VLOOKUP(D267,PRECIOS!$A$4:$F$32,5,FALSE()),0)))),0)</f>
        <v>0</v>
      </c>
      <c r="J267" s="12">
        <f t="shared" si="8"/>
        <v>0</v>
      </c>
      <c r="K267" s="13">
        <f>IFERROR(IF(C267="",0,SUMIFS($F$4:$F$266,$C$4:$C$266,C267,$D$4:$D$266,D267,$E$4:$E$266,E267,$B$4:$B$266,"INGRESO")+SUMIFS($F$4:$F$266,$C$4:$C$266,C267,$D$4:$D$266,D267,$E$4:$E$266,E267,$B$4:$B$266,"DE REPROCESO")+SUMIFS($F$4:$F$266,$C$4:$C$266,C267,$D$4:$D$266,D267,$E$4:$E$266,E267,$B$4:$B$266,"AJUSTE+")-SUMIFS($F$4:$F$266,$C$4:$C$266,C267,$D$4:$D$266,D267,$E$4:$E$266,E267,$B$4:$B$266,"A CORTE")-SUMIFS($F$4:$F$266,$C$4:$C$266,C267,$D$4:$D$266,D267,$E$4:$E$266,E267,$B$4:$B$266,"A REPROCESO")-SUMIFS($F$4:$F$266,$C$4:$C$266,C267,$D$4:$D$266,D267,$E$4:$E$266,E267,$B$4:$B$266,"MUESTRA")-SUMIFS($F$4:$F$266,$C$4:$C$266,C267,$D$4:$D$266,D267,$E$4:$E$266,E267,$B$4:$B$266,"AJUSTE-")),0)</f>
        <v>0</v>
      </c>
      <c r="L267" s="13">
        <f t="shared" si="9"/>
        <v>0</v>
      </c>
      <c r="M267" s="8"/>
      <c r="N267" s="14"/>
      <c r="O267" s="14"/>
      <c r="P267" s="14"/>
      <c r="Q267" s="15"/>
      <c r="R267" s="16" t="str">
        <f t="shared" si="10"/>
        <v/>
      </c>
    </row>
    <row r="268" ht="15.75" customHeight="1">
      <c r="A268" s="7"/>
      <c r="B268" s="8"/>
      <c r="C268" s="8"/>
      <c r="D268" s="8"/>
      <c r="E268" s="8"/>
      <c r="F268" s="9"/>
      <c r="G268" s="10">
        <f>IFERROR(F268*VLOOKUP(D268,TELAS!$A$4:$C$32,3,FALSE()),0)</f>
        <v>0</v>
      </c>
      <c r="H268" s="11" t="str">
        <f>IFERROR(VLOOKUP(E268,COLORES!$A$4:$B$102,2,FALSE()),"")</f>
        <v/>
      </c>
      <c r="I268" s="12">
        <f>IFERROR(IF(H268="OSCURO",VLOOKUP(D268,PRECIOS!$A$4:$F$32,2,FALSE()),IF(H268="CLARO",VLOOKUP(D268,PRECIOS!$A$4:$F$32,3,FALSE()),IF(H268="MELANGE",VLOOKUP(D268,PRECIOS!$A$4:$F$32,4,FALSE()),IF(H268="PPT",VLOOKUP(D268,PRECIOS!$A$4:$F$32,5,FALSE()),0)))),0)</f>
        <v>0</v>
      </c>
      <c r="J268" s="12">
        <f t="shared" si="8"/>
        <v>0</v>
      </c>
      <c r="K268" s="13">
        <f>IFERROR(IF(C268="",0,SUMIFS($F$4:$F$267,$C$4:$C$267,C268,$D$4:$D$267,D268,$E$4:$E$267,E268,$B$4:$B$267,"INGRESO")+SUMIFS($F$4:$F$267,$C$4:$C$267,C268,$D$4:$D$267,D268,$E$4:$E$267,E268,$B$4:$B$267,"DE REPROCESO")+SUMIFS($F$4:$F$267,$C$4:$C$267,C268,$D$4:$D$267,D268,$E$4:$E$267,E268,$B$4:$B$267,"AJUSTE+")-SUMIFS($F$4:$F$267,$C$4:$C$267,C268,$D$4:$D$267,D268,$E$4:$E$267,E268,$B$4:$B$267,"A CORTE")-SUMIFS($F$4:$F$267,$C$4:$C$267,C268,$D$4:$D$267,D268,$E$4:$E$267,E268,$B$4:$B$267,"A REPROCESO")-SUMIFS($F$4:$F$267,$C$4:$C$267,C268,$D$4:$D$267,D268,$E$4:$E$267,E268,$B$4:$B$267,"MUESTRA")-SUMIFS($F$4:$F$267,$C$4:$C$267,C268,$D$4:$D$267,D268,$E$4:$E$267,E268,$B$4:$B$267,"AJUSTE-")),0)</f>
        <v>0</v>
      </c>
      <c r="L268" s="13">
        <f t="shared" si="9"/>
        <v>0</v>
      </c>
      <c r="M268" s="8"/>
      <c r="N268" s="14"/>
      <c r="O268" s="14"/>
      <c r="P268" s="14"/>
      <c r="Q268" s="15"/>
      <c r="R268" s="16" t="str">
        <f t="shared" si="10"/>
        <v/>
      </c>
    </row>
    <row r="269" ht="15.75" customHeight="1">
      <c r="A269" s="7"/>
      <c r="B269" s="8"/>
      <c r="C269" s="8"/>
      <c r="D269" s="8"/>
      <c r="E269" s="8"/>
      <c r="F269" s="9"/>
      <c r="G269" s="10">
        <f>IFERROR(F269*VLOOKUP(D269,TELAS!$A$4:$C$32,3,FALSE()),0)</f>
        <v>0</v>
      </c>
      <c r="H269" s="11" t="str">
        <f>IFERROR(VLOOKUP(E269,COLORES!$A$4:$B$102,2,FALSE()),"")</f>
        <v/>
      </c>
      <c r="I269" s="12">
        <f>IFERROR(IF(H269="OSCURO",VLOOKUP(D269,PRECIOS!$A$4:$F$32,2,FALSE()),IF(H269="CLARO",VLOOKUP(D269,PRECIOS!$A$4:$F$32,3,FALSE()),IF(H269="MELANGE",VLOOKUP(D269,PRECIOS!$A$4:$F$32,4,FALSE()),IF(H269="PPT",VLOOKUP(D269,PRECIOS!$A$4:$F$32,5,FALSE()),0)))),0)</f>
        <v>0</v>
      </c>
      <c r="J269" s="12">
        <f t="shared" si="8"/>
        <v>0</v>
      </c>
      <c r="K269" s="13">
        <f>IFERROR(IF(C269="",0,SUMIFS($F$4:$F$268,$C$4:$C$268,C269,$D$4:$D$268,D269,$E$4:$E$268,E269,$B$4:$B$268,"INGRESO")+SUMIFS($F$4:$F$268,$C$4:$C$268,C269,$D$4:$D$268,D269,$E$4:$E$268,E269,$B$4:$B$268,"DE REPROCESO")+SUMIFS($F$4:$F$268,$C$4:$C$268,C269,$D$4:$D$268,D269,$E$4:$E$268,E269,$B$4:$B$268,"AJUSTE+")-SUMIFS($F$4:$F$268,$C$4:$C$268,C269,$D$4:$D$268,D269,$E$4:$E$268,E269,$B$4:$B$268,"A CORTE")-SUMIFS($F$4:$F$268,$C$4:$C$268,C269,$D$4:$D$268,D269,$E$4:$E$268,E269,$B$4:$B$268,"A REPROCESO")-SUMIFS($F$4:$F$268,$C$4:$C$268,C269,$D$4:$D$268,D269,$E$4:$E$268,E269,$B$4:$B$268,"MUESTRA")-SUMIFS($F$4:$F$268,$C$4:$C$268,C269,$D$4:$D$268,D269,$E$4:$E$268,E269,$B$4:$B$268,"AJUSTE-")),0)</f>
        <v>0</v>
      </c>
      <c r="L269" s="13">
        <f t="shared" si="9"/>
        <v>0</v>
      </c>
      <c r="M269" s="8"/>
      <c r="N269" s="14"/>
      <c r="O269" s="14"/>
      <c r="P269" s="14"/>
      <c r="Q269" s="15"/>
      <c r="R269" s="16" t="str">
        <f t="shared" si="10"/>
        <v/>
      </c>
    </row>
    <row r="270" ht="15.75" customHeight="1">
      <c r="A270" s="7"/>
      <c r="B270" s="8"/>
      <c r="C270" s="8"/>
      <c r="D270" s="8"/>
      <c r="E270" s="8"/>
      <c r="F270" s="9"/>
      <c r="G270" s="10">
        <f>IFERROR(F270*VLOOKUP(D270,TELAS!$A$4:$C$32,3,FALSE()),0)</f>
        <v>0</v>
      </c>
      <c r="H270" s="11" t="str">
        <f>IFERROR(VLOOKUP(E270,COLORES!$A$4:$B$102,2,FALSE()),"")</f>
        <v/>
      </c>
      <c r="I270" s="12">
        <f>IFERROR(IF(H270="OSCURO",VLOOKUP(D270,PRECIOS!$A$4:$F$32,2,FALSE()),IF(H270="CLARO",VLOOKUP(D270,PRECIOS!$A$4:$F$32,3,FALSE()),IF(H270="MELANGE",VLOOKUP(D270,PRECIOS!$A$4:$F$32,4,FALSE()),IF(H270="PPT",VLOOKUP(D270,PRECIOS!$A$4:$F$32,5,FALSE()),0)))),0)</f>
        <v>0</v>
      </c>
      <c r="J270" s="12">
        <f t="shared" si="8"/>
        <v>0</v>
      </c>
      <c r="K270" s="13">
        <f>IFERROR(IF(C270="",0,SUMIFS($F$4:$F$269,$C$4:$C$269,C270,$D$4:$D$269,D270,$E$4:$E$269,E270,$B$4:$B$269,"INGRESO")+SUMIFS($F$4:$F$269,$C$4:$C$269,C270,$D$4:$D$269,D270,$E$4:$E$269,E270,$B$4:$B$269,"DE REPROCESO")+SUMIFS($F$4:$F$269,$C$4:$C$269,C270,$D$4:$D$269,D270,$E$4:$E$269,E270,$B$4:$B$269,"AJUSTE+")-SUMIFS($F$4:$F$269,$C$4:$C$269,C270,$D$4:$D$269,D270,$E$4:$E$269,E270,$B$4:$B$269,"A CORTE")-SUMIFS($F$4:$F$269,$C$4:$C$269,C270,$D$4:$D$269,D270,$E$4:$E$269,E270,$B$4:$B$269,"A REPROCESO")-SUMIFS($F$4:$F$269,$C$4:$C$269,C270,$D$4:$D$269,D270,$E$4:$E$269,E270,$B$4:$B$269,"MUESTRA")-SUMIFS($F$4:$F$269,$C$4:$C$269,C270,$D$4:$D$269,D270,$E$4:$E$269,E270,$B$4:$B$269,"AJUSTE-")),0)</f>
        <v>0</v>
      </c>
      <c r="L270" s="13">
        <f t="shared" si="9"/>
        <v>0</v>
      </c>
      <c r="M270" s="8"/>
      <c r="N270" s="14"/>
      <c r="O270" s="14"/>
      <c r="P270" s="14"/>
      <c r="Q270" s="15"/>
      <c r="R270" s="16" t="str">
        <f t="shared" si="10"/>
        <v/>
      </c>
    </row>
    <row r="271" ht="15.75" customHeight="1">
      <c r="A271" s="7"/>
      <c r="B271" s="8"/>
      <c r="C271" s="8"/>
      <c r="D271" s="8"/>
      <c r="E271" s="8"/>
      <c r="F271" s="9"/>
      <c r="G271" s="10">
        <f>IFERROR(F271*VLOOKUP(D271,TELAS!$A$4:$C$32,3,FALSE()),0)</f>
        <v>0</v>
      </c>
      <c r="H271" s="11" t="str">
        <f>IFERROR(VLOOKUP(E271,COLORES!$A$4:$B$102,2,FALSE()),"")</f>
        <v/>
      </c>
      <c r="I271" s="12">
        <f>IFERROR(IF(H271="OSCURO",VLOOKUP(D271,PRECIOS!$A$4:$F$32,2,FALSE()),IF(H271="CLARO",VLOOKUP(D271,PRECIOS!$A$4:$F$32,3,FALSE()),IF(H271="MELANGE",VLOOKUP(D271,PRECIOS!$A$4:$F$32,4,FALSE()),IF(H271="PPT",VLOOKUP(D271,PRECIOS!$A$4:$F$32,5,FALSE()),0)))),0)</f>
        <v>0</v>
      </c>
      <c r="J271" s="12">
        <f t="shared" si="8"/>
        <v>0</v>
      </c>
      <c r="K271" s="13">
        <f>IFERROR(IF(C271="",0,SUMIFS($F$4:$F$270,$C$4:$C$270,C271,$D$4:$D$270,D271,$E$4:$E$270,E271,$B$4:$B$270,"INGRESO")+SUMIFS($F$4:$F$270,$C$4:$C$270,C271,$D$4:$D$270,D271,$E$4:$E$270,E271,$B$4:$B$270,"DE REPROCESO")+SUMIFS($F$4:$F$270,$C$4:$C$270,C271,$D$4:$D$270,D271,$E$4:$E$270,E271,$B$4:$B$270,"AJUSTE+")-SUMIFS($F$4:$F$270,$C$4:$C$270,C271,$D$4:$D$270,D271,$E$4:$E$270,E271,$B$4:$B$270,"A CORTE")-SUMIFS($F$4:$F$270,$C$4:$C$270,C271,$D$4:$D$270,D271,$E$4:$E$270,E271,$B$4:$B$270,"A REPROCESO")-SUMIFS($F$4:$F$270,$C$4:$C$270,C271,$D$4:$D$270,D271,$E$4:$E$270,E271,$B$4:$B$270,"MUESTRA")-SUMIFS($F$4:$F$270,$C$4:$C$270,C271,$D$4:$D$270,D271,$E$4:$E$270,E271,$B$4:$B$270,"AJUSTE-")),0)</f>
        <v>0</v>
      </c>
      <c r="L271" s="13">
        <f t="shared" si="9"/>
        <v>0</v>
      </c>
      <c r="M271" s="8"/>
      <c r="N271" s="14"/>
      <c r="O271" s="14"/>
      <c r="P271" s="14"/>
      <c r="Q271" s="15"/>
      <c r="R271" s="16" t="str">
        <f t="shared" si="10"/>
        <v/>
      </c>
    </row>
    <row r="272" ht="15.75" customHeight="1">
      <c r="A272" s="7"/>
      <c r="B272" s="8"/>
      <c r="C272" s="8"/>
      <c r="D272" s="8"/>
      <c r="E272" s="8"/>
      <c r="F272" s="9"/>
      <c r="G272" s="10">
        <f>IFERROR(F272*VLOOKUP(D272,TELAS!$A$4:$C$32,3,FALSE()),0)</f>
        <v>0</v>
      </c>
      <c r="H272" s="11" t="str">
        <f>IFERROR(VLOOKUP(E272,COLORES!$A$4:$B$102,2,FALSE()),"")</f>
        <v/>
      </c>
      <c r="I272" s="12">
        <f>IFERROR(IF(H272="OSCURO",VLOOKUP(D272,PRECIOS!$A$4:$F$32,2,FALSE()),IF(H272="CLARO",VLOOKUP(D272,PRECIOS!$A$4:$F$32,3,FALSE()),IF(H272="MELANGE",VLOOKUP(D272,PRECIOS!$A$4:$F$32,4,FALSE()),IF(H272="PPT",VLOOKUP(D272,PRECIOS!$A$4:$F$32,5,FALSE()),0)))),0)</f>
        <v>0</v>
      </c>
      <c r="J272" s="12">
        <f t="shared" si="8"/>
        <v>0</v>
      </c>
      <c r="K272" s="13">
        <f>IFERROR(IF(C272="",0,SUMIFS($F$4:$F$271,$C$4:$C$271,C272,$D$4:$D$271,D272,$E$4:$E$271,E272,$B$4:$B$271,"INGRESO")+SUMIFS($F$4:$F$271,$C$4:$C$271,C272,$D$4:$D$271,D272,$E$4:$E$271,E272,$B$4:$B$271,"DE REPROCESO")+SUMIFS($F$4:$F$271,$C$4:$C$271,C272,$D$4:$D$271,D272,$E$4:$E$271,E272,$B$4:$B$271,"AJUSTE+")-SUMIFS($F$4:$F$271,$C$4:$C$271,C272,$D$4:$D$271,D272,$E$4:$E$271,E272,$B$4:$B$271,"A CORTE")-SUMIFS($F$4:$F$271,$C$4:$C$271,C272,$D$4:$D$271,D272,$E$4:$E$271,E272,$B$4:$B$271,"A REPROCESO")-SUMIFS($F$4:$F$271,$C$4:$C$271,C272,$D$4:$D$271,D272,$E$4:$E$271,E272,$B$4:$B$271,"MUESTRA")-SUMIFS($F$4:$F$271,$C$4:$C$271,C272,$D$4:$D$271,D272,$E$4:$E$271,E272,$B$4:$B$271,"AJUSTE-")),0)</f>
        <v>0</v>
      </c>
      <c r="L272" s="13">
        <f t="shared" si="9"/>
        <v>0</v>
      </c>
      <c r="M272" s="8"/>
      <c r="N272" s="14"/>
      <c r="O272" s="14"/>
      <c r="P272" s="14"/>
      <c r="Q272" s="15"/>
      <c r="R272" s="16" t="str">
        <f t="shared" si="10"/>
        <v/>
      </c>
    </row>
    <row r="273" ht="15.75" customHeight="1">
      <c r="A273" s="7"/>
      <c r="B273" s="8"/>
      <c r="C273" s="8"/>
      <c r="D273" s="8"/>
      <c r="E273" s="8"/>
      <c r="F273" s="9"/>
      <c r="G273" s="10">
        <f>IFERROR(F273*VLOOKUP(D273,TELAS!$A$4:$C$32,3,FALSE()),0)</f>
        <v>0</v>
      </c>
      <c r="H273" s="11" t="str">
        <f>IFERROR(VLOOKUP(E273,COLORES!$A$4:$B$102,2,FALSE()),"")</f>
        <v/>
      </c>
      <c r="I273" s="12">
        <f>IFERROR(IF(H273="OSCURO",VLOOKUP(D273,PRECIOS!$A$4:$F$32,2,FALSE()),IF(H273="CLARO",VLOOKUP(D273,PRECIOS!$A$4:$F$32,3,FALSE()),IF(H273="MELANGE",VLOOKUP(D273,PRECIOS!$A$4:$F$32,4,FALSE()),IF(H273="PPT",VLOOKUP(D273,PRECIOS!$A$4:$F$32,5,FALSE()),0)))),0)</f>
        <v>0</v>
      </c>
      <c r="J273" s="12">
        <f t="shared" si="8"/>
        <v>0</v>
      </c>
      <c r="K273" s="13">
        <f>IFERROR(IF(C273="",0,SUMIFS($F$4:$F$272,$C$4:$C$272,C273,$D$4:$D$272,D273,$E$4:$E$272,E273,$B$4:$B$272,"INGRESO")+SUMIFS($F$4:$F$272,$C$4:$C$272,C273,$D$4:$D$272,D273,$E$4:$E$272,E273,$B$4:$B$272,"DE REPROCESO")+SUMIFS($F$4:$F$272,$C$4:$C$272,C273,$D$4:$D$272,D273,$E$4:$E$272,E273,$B$4:$B$272,"AJUSTE+")-SUMIFS($F$4:$F$272,$C$4:$C$272,C273,$D$4:$D$272,D273,$E$4:$E$272,E273,$B$4:$B$272,"A CORTE")-SUMIFS($F$4:$F$272,$C$4:$C$272,C273,$D$4:$D$272,D273,$E$4:$E$272,E273,$B$4:$B$272,"A REPROCESO")-SUMIFS($F$4:$F$272,$C$4:$C$272,C273,$D$4:$D$272,D273,$E$4:$E$272,E273,$B$4:$B$272,"MUESTRA")-SUMIFS($F$4:$F$272,$C$4:$C$272,C273,$D$4:$D$272,D273,$E$4:$E$272,E273,$B$4:$B$272,"AJUSTE-")),0)</f>
        <v>0</v>
      </c>
      <c r="L273" s="13">
        <f t="shared" si="9"/>
        <v>0</v>
      </c>
      <c r="M273" s="8"/>
      <c r="N273" s="14"/>
      <c r="O273" s="14"/>
      <c r="P273" s="14"/>
      <c r="Q273" s="15"/>
      <c r="R273" s="16" t="str">
        <f t="shared" si="10"/>
        <v/>
      </c>
    </row>
    <row r="274" ht="15.75" customHeight="1">
      <c r="A274" s="7"/>
      <c r="B274" s="8"/>
      <c r="C274" s="8"/>
      <c r="D274" s="8"/>
      <c r="E274" s="8"/>
      <c r="F274" s="9"/>
      <c r="G274" s="10">
        <f>IFERROR(F274*VLOOKUP(D274,TELAS!$A$4:$C$32,3,FALSE()),0)</f>
        <v>0</v>
      </c>
      <c r="H274" s="11" t="str">
        <f>IFERROR(VLOOKUP(E274,COLORES!$A$4:$B$102,2,FALSE()),"")</f>
        <v/>
      </c>
      <c r="I274" s="12">
        <f>IFERROR(IF(H274="OSCURO",VLOOKUP(D274,PRECIOS!$A$4:$F$32,2,FALSE()),IF(H274="CLARO",VLOOKUP(D274,PRECIOS!$A$4:$F$32,3,FALSE()),IF(H274="MELANGE",VLOOKUP(D274,PRECIOS!$A$4:$F$32,4,FALSE()),IF(H274="PPT",VLOOKUP(D274,PRECIOS!$A$4:$F$32,5,FALSE()),0)))),0)</f>
        <v>0</v>
      </c>
      <c r="J274" s="12">
        <f t="shared" si="8"/>
        <v>0</v>
      </c>
      <c r="K274" s="13">
        <f>IFERROR(IF(C274="",0,SUMIFS($F$4:$F$273,$C$4:$C$273,C274,$D$4:$D$273,D274,$E$4:$E$273,E274,$B$4:$B$273,"INGRESO")+SUMIFS($F$4:$F$273,$C$4:$C$273,C274,$D$4:$D$273,D274,$E$4:$E$273,E274,$B$4:$B$273,"DE REPROCESO")+SUMIFS($F$4:$F$273,$C$4:$C$273,C274,$D$4:$D$273,D274,$E$4:$E$273,E274,$B$4:$B$273,"AJUSTE+")-SUMIFS($F$4:$F$273,$C$4:$C$273,C274,$D$4:$D$273,D274,$E$4:$E$273,E274,$B$4:$B$273,"A CORTE")-SUMIFS($F$4:$F$273,$C$4:$C$273,C274,$D$4:$D$273,D274,$E$4:$E$273,E274,$B$4:$B$273,"A REPROCESO")-SUMIFS($F$4:$F$273,$C$4:$C$273,C274,$D$4:$D$273,D274,$E$4:$E$273,E274,$B$4:$B$273,"MUESTRA")-SUMIFS($F$4:$F$273,$C$4:$C$273,C274,$D$4:$D$273,D274,$E$4:$E$273,E274,$B$4:$B$273,"AJUSTE-")),0)</f>
        <v>0</v>
      </c>
      <c r="L274" s="13">
        <f t="shared" si="9"/>
        <v>0</v>
      </c>
      <c r="M274" s="8"/>
      <c r="N274" s="14"/>
      <c r="O274" s="14"/>
      <c r="P274" s="14"/>
      <c r="Q274" s="15"/>
      <c r="R274" s="16" t="str">
        <f t="shared" si="10"/>
        <v/>
      </c>
    </row>
    <row r="275" ht="15.75" customHeight="1">
      <c r="A275" s="7"/>
      <c r="B275" s="8"/>
      <c r="C275" s="8"/>
      <c r="D275" s="8"/>
      <c r="E275" s="8"/>
      <c r="F275" s="9"/>
      <c r="G275" s="10">
        <f>IFERROR(F275*VLOOKUP(D275,TELAS!$A$4:$C$32,3,FALSE()),0)</f>
        <v>0</v>
      </c>
      <c r="H275" s="11" t="str">
        <f>IFERROR(VLOOKUP(E275,COLORES!$A$4:$B$102,2,FALSE()),"")</f>
        <v/>
      </c>
      <c r="I275" s="12">
        <f>IFERROR(IF(H275="OSCURO",VLOOKUP(D275,PRECIOS!$A$4:$F$32,2,FALSE()),IF(H275="CLARO",VLOOKUP(D275,PRECIOS!$A$4:$F$32,3,FALSE()),IF(H275="MELANGE",VLOOKUP(D275,PRECIOS!$A$4:$F$32,4,FALSE()),IF(H275="PPT",VLOOKUP(D275,PRECIOS!$A$4:$F$32,5,FALSE()),0)))),0)</f>
        <v>0</v>
      </c>
      <c r="J275" s="12">
        <f t="shared" si="8"/>
        <v>0</v>
      </c>
      <c r="K275" s="13">
        <f>IFERROR(IF(C275="",0,SUMIFS($F$4:$F$274,$C$4:$C$274,C275,$D$4:$D$274,D275,$E$4:$E$274,E275,$B$4:$B$274,"INGRESO")+SUMIFS($F$4:$F$274,$C$4:$C$274,C275,$D$4:$D$274,D275,$E$4:$E$274,E275,$B$4:$B$274,"DE REPROCESO")+SUMIFS($F$4:$F$274,$C$4:$C$274,C275,$D$4:$D$274,D275,$E$4:$E$274,E275,$B$4:$B$274,"AJUSTE+")-SUMIFS($F$4:$F$274,$C$4:$C$274,C275,$D$4:$D$274,D275,$E$4:$E$274,E275,$B$4:$B$274,"A CORTE")-SUMIFS($F$4:$F$274,$C$4:$C$274,C275,$D$4:$D$274,D275,$E$4:$E$274,E275,$B$4:$B$274,"A REPROCESO")-SUMIFS($F$4:$F$274,$C$4:$C$274,C275,$D$4:$D$274,D275,$E$4:$E$274,E275,$B$4:$B$274,"MUESTRA")-SUMIFS($F$4:$F$274,$C$4:$C$274,C275,$D$4:$D$274,D275,$E$4:$E$274,E275,$B$4:$B$274,"AJUSTE-")),0)</f>
        <v>0</v>
      </c>
      <c r="L275" s="13">
        <f t="shared" si="9"/>
        <v>0</v>
      </c>
      <c r="M275" s="8"/>
      <c r="N275" s="14"/>
      <c r="O275" s="14"/>
      <c r="P275" s="14"/>
      <c r="Q275" s="15"/>
      <c r="R275" s="16" t="str">
        <f t="shared" si="10"/>
        <v/>
      </c>
    </row>
    <row r="276" ht="15.75" customHeight="1">
      <c r="A276" s="7"/>
      <c r="B276" s="8"/>
      <c r="C276" s="8"/>
      <c r="D276" s="8"/>
      <c r="E276" s="8"/>
      <c r="F276" s="9"/>
      <c r="G276" s="10">
        <f>IFERROR(F276*VLOOKUP(D276,TELAS!$A$4:$C$32,3,FALSE()),0)</f>
        <v>0</v>
      </c>
      <c r="H276" s="11" t="str">
        <f>IFERROR(VLOOKUP(E276,COLORES!$A$4:$B$102,2,FALSE()),"")</f>
        <v/>
      </c>
      <c r="I276" s="12">
        <f>IFERROR(IF(H276="OSCURO",VLOOKUP(D276,PRECIOS!$A$4:$F$32,2,FALSE()),IF(H276="CLARO",VLOOKUP(D276,PRECIOS!$A$4:$F$32,3,FALSE()),IF(H276="MELANGE",VLOOKUP(D276,PRECIOS!$A$4:$F$32,4,FALSE()),IF(H276="PPT",VLOOKUP(D276,PRECIOS!$A$4:$F$32,5,FALSE()),0)))),0)</f>
        <v>0</v>
      </c>
      <c r="J276" s="12">
        <f t="shared" si="8"/>
        <v>0</v>
      </c>
      <c r="K276" s="13">
        <f>IFERROR(IF(C276="",0,SUMIFS($F$4:$F$275,$C$4:$C$275,C276,$D$4:$D$275,D276,$E$4:$E$275,E276,$B$4:$B$275,"INGRESO")+SUMIFS($F$4:$F$275,$C$4:$C$275,C276,$D$4:$D$275,D276,$E$4:$E$275,E276,$B$4:$B$275,"DE REPROCESO")+SUMIFS($F$4:$F$275,$C$4:$C$275,C276,$D$4:$D$275,D276,$E$4:$E$275,E276,$B$4:$B$275,"AJUSTE+")-SUMIFS($F$4:$F$275,$C$4:$C$275,C276,$D$4:$D$275,D276,$E$4:$E$275,E276,$B$4:$B$275,"A CORTE")-SUMIFS($F$4:$F$275,$C$4:$C$275,C276,$D$4:$D$275,D276,$E$4:$E$275,E276,$B$4:$B$275,"A REPROCESO")-SUMIFS($F$4:$F$275,$C$4:$C$275,C276,$D$4:$D$275,D276,$E$4:$E$275,E276,$B$4:$B$275,"MUESTRA")-SUMIFS($F$4:$F$275,$C$4:$C$275,C276,$D$4:$D$275,D276,$E$4:$E$275,E276,$B$4:$B$275,"AJUSTE-")),0)</f>
        <v>0</v>
      </c>
      <c r="L276" s="13">
        <f t="shared" si="9"/>
        <v>0</v>
      </c>
      <c r="M276" s="8"/>
      <c r="N276" s="14"/>
      <c r="O276" s="14"/>
      <c r="P276" s="14"/>
      <c r="Q276" s="15"/>
      <c r="R276" s="16" t="str">
        <f t="shared" si="10"/>
        <v/>
      </c>
    </row>
    <row r="277" ht="15.75" customHeight="1">
      <c r="A277" s="7"/>
      <c r="B277" s="8"/>
      <c r="C277" s="8"/>
      <c r="D277" s="8"/>
      <c r="E277" s="8"/>
      <c r="F277" s="9"/>
      <c r="G277" s="10">
        <f>IFERROR(F277*VLOOKUP(D277,TELAS!$A$4:$C$32,3,FALSE()),0)</f>
        <v>0</v>
      </c>
      <c r="H277" s="11" t="str">
        <f>IFERROR(VLOOKUP(E277,COLORES!$A$4:$B$102,2,FALSE()),"")</f>
        <v/>
      </c>
      <c r="I277" s="12">
        <f>IFERROR(IF(H277="OSCURO",VLOOKUP(D277,PRECIOS!$A$4:$F$32,2,FALSE()),IF(H277="CLARO",VLOOKUP(D277,PRECIOS!$A$4:$F$32,3,FALSE()),IF(H277="MELANGE",VLOOKUP(D277,PRECIOS!$A$4:$F$32,4,FALSE()),IF(H277="PPT",VLOOKUP(D277,PRECIOS!$A$4:$F$32,5,FALSE()),0)))),0)</f>
        <v>0</v>
      </c>
      <c r="J277" s="12">
        <f t="shared" si="8"/>
        <v>0</v>
      </c>
      <c r="K277" s="13">
        <f>IFERROR(IF(C277="",0,SUMIFS($F$4:$F$276,$C$4:$C$276,C277,$D$4:$D$276,D277,$E$4:$E$276,E277,$B$4:$B$276,"INGRESO")+SUMIFS($F$4:$F$276,$C$4:$C$276,C277,$D$4:$D$276,D277,$E$4:$E$276,E277,$B$4:$B$276,"DE REPROCESO")+SUMIFS($F$4:$F$276,$C$4:$C$276,C277,$D$4:$D$276,D277,$E$4:$E$276,E277,$B$4:$B$276,"AJUSTE+")-SUMIFS($F$4:$F$276,$C$4:$C$276,C277,$D$4:$D$276,D277,$E$4:$E$276,E277,$B$4:$B$276,"A CORTE")-SUMIFS($F$4:$F$276,$C$4:$C$276,C277,$D$4:$D$276,D277,$E$4:$E$276,E277,$B$4:$B$276,"A REPROCESO")-SUMIFS($F$4:$F$276,$C$4:$C$276,C277,$D$4:$D$276,D277,$E$4:$E$276,E277,$B$4:$B$276,"MUESTRA")-SUMIFS($F$4:$F$276,$C$4:$C$276,C277,$D$4:$D$276,D277,$E$4:$E$276,E277,$B$4:$B$276,"AJUSTE-")),0)</f>
        <v>0</v>
      </c>
      <c r="L277" s="13">
        <f t="shared" si="9"/>
        <v>0</v>
      </c>
      <c r="M277" s="8"/>
      <c r="N277" s="14"/>
      <c r="O277" s="14"/>
      <c r="P277" s="14"/>
      <c r="Q277" s="15"/>
      <c r="R277" s="16" t="str">
        <f t="shared" si="10"/>
        <v/>
      </c>
    </row>
    <row r="278" ht="15.75" customHeight="1">
      <c r="A278" s="7"/>
      <c r="B278" s="8"/>
      <c r="C278" s="8"/>
      <c r="D278" s="8"/>
      <c r="E278" s="8"/>
      <c r="F278" s="9"/>
      <c r="G278" s="10">
        <f>IFERROR(F278*VLOOKUP(D278,TELAS!$A$4:$C$32,3,FALSE()),0)</f>
        <v>0</v>
      </c>
      <c r="H278" s="11" t="str">
        <f>IFERROR(VLOOKUP(E278,COLORES!$A$4:$B$102,2,FALSE()),"")</f>
        <v/>
      </c>
      <c r="I278" s="12">
        <f>IFERROR(IF(H278="OSCURO",VLOOKUP(D278,PRECIOS!$A$4:$F$32,2,FALSE()),IF(H278="CLARO",VLOOKUP(D278,PRECIOS!$A$4:$F$32,3,FALSE()),IF(H278="MELANGE",VLOOKUP(D278,PRECIOS!$A$4:$F$32,4,FALSE()),IF(H278="PPT",VLOOKUP(D278,PRECIOS!$A$4:$F$32,5,FALSE()),0)))),0)</f>
        <v>0</v>
      </c>
      <c r="J278" s="12">
        <f t="shared" si="8"/>
        <v>0</v>
      </c>
      <c r="K278" s="13">
        <f>IFERROR(IF(C278="",0,SUMIFS($F$4:$F$277,$C$4:$C$277,C278,$D$4:$D$277,D278,$E$4:$E$277,E278,$B$4:$B$277,"INGRESO")+SUMIFS($F$4:$F$277,$C$4:$C$277,C278,$D$4:$D$277,D278,$E$4:$E$277,E278,$B$4:$B$277,"DE REPROCESO")+SUMIFS($F$4:$F$277,$C$4:$C$277,C278,$D$4:$D$277,D278,$E$4:$E$277,E278,$B$4:$B$277,"AJUSTE+")-SUMIFS($F$4:$F$277,$C$4:$C$277,C278,$D$4:$D$277,D278,$E$4:$E$277,E278,$B$4:$B$277,"A CORTE")-SUMIFS($F$4:$F$277,$C$4:$C$277,C278,$D$4:$D$277,D278,$E$4:$E$277,E278,$B$4:$B$277,"A REPROCESO")-SUMIFS($F$4:$F$277,$C$4:$C$277,C278,$D$4:$D$277,D278,$E$4:$E$277,E278,$B$4:$B$277,"MUESTRA")-SUMIFS($F$4:$F$277,$C$4:$C$277,C278,$D$4:$D$277,D278,$E$4:$E$277,E278,$B$4:$B$277,"AJUSTE-")),0)</f>
        <v>0</v>
      </c>
      <c r="L278" s="13">
        <f t="shared" si="9"/>
        <v>0</v>
      </c>
      <c r="M278" s="8"/>
      <c r="N278" s="14"/>
      <c r="O278" s="14"/>
      <c r="P278" s="14"/>
      <c r="Q278" s="15"/>
      <c r="R278" s="16" t="str">
        <f t="shared" si="10"/>
        <v/>
      </c>
    </row>
    <row r="279" ht="15.75" customHeight="1">
      <c r="A279" s="7"/>
      <c r="B279" s="8"/>
      <c r="C279" s="8"/>
      <c r="D279" s="8"/>
      <c r="E279" s="8"/>
      <c r="F279" s="9"/>
      <c r="G279" s="10">
        <f>IFERROR(F279*VLOOKUP(D279,TELAS!$A$4:$C$32,3,FALSE()),0)</f>
        <v>0</v>
      </c>
      <c r="H279" s="11" t="str">
        <f>IFERROR(VLOOKUP(E279,COLORES!$A$4:$B$102,2,FALSE()),"")</f>
        <v/>
      </c>
      <c r="I279" s="12">
        <f>IFERROR(IF(H279="OSCURO",VLOOKUP(D279,PRECIOS!$A$4:$F$32,2,FALSE()),IF(H279="CLARO",VLOOKUP(D279,PRECIOS!$A$4:$F$32,3,FALSE()),IF(H279="MELANGE",VLOOKUP(D279,PRECIOS!$A$4:$F$32,4,FALSE()),IF(H279="PPT",VLOOKUP(D279,PRECIOS!$A$4:$F$32,5,FALSE()),0)))),0)</f>
        <v>0</v>
      </c>
      <c r="J279" s="12">
        <f t="shared" si="8"/>
        <v>0</v>
      </c>
      <c r="K279" s="13">
        <f>IFERROR(IF(C279="",0,SUMIFS($F$4:$F$278,$C$4:$C$278,C279,$D$4:$D$278,D279,$E$4:$E$278,E279,$B$4:$B$278,"INGRESO")+SUMIFS($F$4:$F$278,$C$4:$C$278,C279,$D$4:$D$278,D279,$E$4:$E$278,E279,$B$4:$B$278,"DE REPROCESO")+SUMIFS($F$4:$F$278,$C$4:$C$278,C279,$D$4:$D$278,D279,$E$4:$E$278,E279,$B$4:$B$278,"AJUSTE+")-SUMIFS($F$4:$F$278,$C$4:$C$278,C279,$D$4:$D$278,D279,$E$4:$E$278,E279,$B$4:$B$278,"A CORTE")-SUMIFS($F$4:$F$278,$C$4:$C$278,C279,$D$4:$D$278,D279,$E$4:$E$278,E279,$B$4:$B$278,"A REPROCESO")-SUMIFS($F$4:$F$278,$C$4:$C$278,C279,$D$4:$D$278,D279,$E$4:$E$278,E279,$B$4:$B$278,"MUESTRA")-SUMIFS($F$4:$F$278,$C$4:$C$278,C279,$D$4:$D$278,D279,$E$4:$E$278,E279,$B$4:$B$278,"AJUSTE-")),0)</f>
        <v>0</v>
      </c>
      <c r="L279" s="13">
        <f t="shared" si="9"/>
        <v>0</v>
      </c>
      <c r="M279" s="8"/>
      <c r="N279" s="14"/>
      <c r="O279" s="14"/>
      <c r="P279" s="14"/>
      <c r="Q279" s="15"/>
      <c r="R279" s="16" t="str">
        <f t="shared" si="10"/>
        <v/>
      </c>
    </row>
    <row r="280" ht="15.75" customHeight="1">
      <c r="A280" s="7"/>
      <c r="B280" s="8"/>
      <c r="C280" s="8"/>
      <c r="D280" s="8"/>
      <c r="E280" s="8"/>
      <c r="F280" s="9"/>
      <c r="G280" s="10">
        <f>IFERROR(F280*VLOOKUP(D280,TELAS!$A$4:$C$32,3,FALSE()),0)</f>
        <v>0</v>
      </c>
      <c r="H280" s="11" t="str">
        <f>IFERROR(VLOOKUP(E280,COLORES!$A$4:$B$102,2,FALSE()),"")</f>
        <v/>
      </c>
      <c r="I280" s="12">
        <f>IFERROR(IF(H280="OSCURO",VLOOKUP(D280,PRECIOS!$A$4:$F$32,2,FALSE()),IF(H280="CLARO",VLOOKUP(D280,PRECIOS!$A$4:$F$32,3,FALSE()),IF(H280="MELANGE",VLOOKUP(D280,PRECIOS!$A$4:$F$32,4,FALSE()),IF(H280="PPT",VLOOKUP(D280,PRECIOS!$A$4:$F$32,5,FALSE()),0)))),0)</f>
        <v>0</v>
      </c>
      <c r="J280" s="12">
        <f t="shared" si="8"/>
        <v>0</v>
      </c>
      <c r="K280" s="13">
        <f>IFERROR(IF(C280="",0,SUMIFS($F$4:$F$279,$C$4:$C$279,C280,$D$4:$D$279,D280,$E$4:$E$279,E280,$B$4:$B$279,"INGRESO")+SUMIFS($F$4:$F$279,$C$4:$C$279,C280,$D$4:$D$279,D280,$E$4:$E$279,E280,$B$4:$B$279,"DE REPROCESO")+SUMIFS($F$4:$F$279,$C$4:$C$279,C280,$D$4:$D$279,D280,$E$4:$E$279,E280,$B$4:$B$279,"AJUSTE+")-SUMIFS($F$4:$F$279,$C$4:$C$279,C280,$D$4:$D$279,D280,$E$4:$E$279,E280,$B$4:$B$279,"A CORTE")-SUMIFS($F$4:$F$279,$C$4:$C$279,C280,$D$4:$D$279,D280,$E$4:$E$279,E280,$B$4:$B$279,"A REPROCESO")-SUMIFS($F$4:$F$279,$C$4:$C$279,C280,$D$4:$D$279,D280,$E$4:$E$279,E280,$B$4:$B$279,"MUESTRA")-SUMIFS($F$4:$F$279,$C$4:$C$279,C280,$D$4:$D$279,D280,$E$4:$E$279,E280,$B$4:$B$279,"AJUSTE-")),0)</f>
        <v>0</v>
      </c>
      <c r="L280" s="13">
        <f t="shared" si="9"/>
        <v>0</v>
      </c>
      <c r="M280" s="8"/>
      <c r="N280" s="14"/>
      <c r="O280" s="14"/>
      <c r="P280" s="14"/>
      <c r="Q280" s="15"/>
      <c r="R280" s="16" t="str">
        <f t="shared" si="10"/>
        <v/>
      </c>
    </row>
    <row r="281" ht="15.75" customHeight="1">
      <c r="A281" s="7"/>
      <c r="B281" s="8"/>
      <c r="C281" s="8"/>
      <c r="D281" s="8"/>
      <c r="E281" s="8"/>
      <c r="F281" s="9"/>
      <c r="G281" s="10">
        <f>IFERROR(F281*VLOOKUP(D281,TELAS!$A$4:$C$32,3,FALSE()),0)</f>
        <v>0</v>
      </c>
      <c r="H281" s="11" t="str">
        <f>IFERROR(VLOOKUP(E281,COLORES!$A$4:$B$102,2,FALSE()),"")</f>
        <v/>
      </c>
      <c r="I281" s="12">
        <f>IFERROR(IF(H281="OSCURO",VLOOKUP(D281,PRECIOS!$A$4:$F$32,2,FALSE()),IF(H281="CLARO",VLOOKUP(D281,PRECIOS!$A$4:$F$32,3,FALSE()),IF(H281="MELANGE",VLOOKUP(D281,PRECIOS!$A$4:$F$32,4,FALSE()),IF(H281="PPT",VLOOKUP(D281,PRECIOS!$A$4:$F$32,5,FALSE()),0)))),0)</f>
        <v>0</v>
      </c>
      <c r="J281" s="12">
        <f t="shared" si="8"/>
        <v>0</v>
      </c>
      <c r="K281" s="13">
        <f>IFERROR(IF(C281="",0,SUMIFS($F$4:$F$280,$C$4:$C$280,C281,$D$4:$D$280,D281,$E$4:$E$280,E281,$B$4:$B$280,"INGRESO")+SUMIFS($F$4:$F$280,$C$4:$C$280,C281,$D$4:$D$280,D281,$E$4:$E$280,E281,$B$4:$B$280,"DE REPROCESO")+SUMIFS($F$4:$F$280,$C$4:$C$280,C281,$D$4:$D$280,D281,$E$4:$E$280,E281,$B$4:$B$280,"AJUSTE+")-SUMIFS($F$4:$F$280,$C$4:$C$280,C281,$D$4:$D$280,D281,$E$4:$E$280,E281,$B$4:$B$280,"A CORTE")-SUMIFS($F$4:$F$280,$C$4:$C$280,C281,$D$4:$D$280,D281,$E$4:$E$280,E281,$B$4:$B$280,"A REPROCESO")-SUMIFS($F$4:$F$280,$C$4:$C$280,C281,$D$4:$D$280,D281,$E$4:$E$280,E281,$B$4:$B$280,"MUESTRA")-SUMIFS($F$4:$F$280,$C$4:$C$280,C281,$D$4:$D$280,D281,$E$4:$E$280,E281,$B$4:$B$280,"AJUSTE-")),0)</f>
        <v>0</v>
      </c>
      <c r="L281" s="13">
        <f t="shared" si="9"/>
        <v>0</v>
      </c>
      <c r="M281" s="8"/>
      <c r="N281" s="14"/>
      <c r="O281" s="14"/>
      <c r="P281" s="14"/>
      <c r="Q281" s="15"/>
      <c r="R281" s="16" t="str">
        <f t="shared" si="10"/>
        <v/>
      </c>
    </row>
    <row r="282" ht="15.75" customHeight="1">
      <c r="A282" s="7"/>
      <c r="B282" s="8"/>
      <c r="C282" s="8"/>
      <c r="D282" s="8"/>
      <c r="E282" s="8"/>
      <c r="F282" s="9"/>
      <c r="G282" s="10">
        <f>IFERROR(F282*VLOOKUP(D282,TELAS!$A$4:$C$32,3,FALSE()),0)</f>
        <v>0</v>
      </c>
      <c r="H282" s="11" t="str">
        <f>IFERROR(VLOOKUP(E282,COLORES!$A$4:$B$102,2,FALSE()),"")</f>
        <v/>
      </c>
      <c r="I282" s="12">
        <f>IFERROR(IF(H282="OSCURO",VLOOKUP(D282,PRECIOS!$A$4:$F$32,2,FALSE()),IF(H282="CLARO",VLOOKUP(D282,PRECIOS!$A$4:$F$32,3,FALSE()),IF(H282="MELANGE",VLOOKUP(D282,PRECIOS!$A$4:$F$32,4,FALSE()),IF(H282="PPT",VLOOKUP(D282,PRECIOS!$A$4:$F$32,5,FALSE()),0)))),0)</f>
        <v>0</v>
      </c>
      <c r="J282" s="12">
        <f t="shared" si="8"/>
        <v>0</v>
      </c>
      <c r="K282" s="13">
        <f>IFERROR(IF(C282="",0,SUMIFS($F$4:$F$281,$C$4:$C$281,C282,$D$4:$D$281,D282,$E$4:$E$281,E282,$B$4:$B$281,"INGRESO")+SUMIFS($F$4:$F$281,$C$4:$C$281,C282,$D$4:$D$281,D282,$E$4:$E$281,E282,$B$4:$B$281,"DE REPROCESO")+SUMIFS($F$4:$F$281,$C$4:$C$281,C282,$D$4:$D$281,D282,$E$4:$E$281,E282,$B$4:$B$281,"AJUSTE+")-SUMIFS($F$4:$F$281,$C$4:$C$281,C282,$D$4:$D$281,D282,$E$4:$E$281,E282,$B$4:$B$281,"A CORTE")-SUMIFS($F$4:$F$281,$C$4:$C$281,C282,$D$4:$D$281,D282,$E$4:$E$281,E282,$B$4:$B$281,"A REPROCESO")-SUMIFS($F$4:$F$281,$C$4:$C$281,C282,$D$4:$D$281,D282,$E$4:$E$281,E282,$B$4:$B$281,"MUESTRA")-SUMIFS($F$4:$F$281,$C$4:$C$281,C282,$D$4:$D$281,D282,$E$4:$E$281,E282,$B$4:$B$281,"AJUSTE-")),0)</f>
        <v>0</v>
      </c>
      <c r="L282" s="13">
        <f t="shared" si="9"/>
        <v>0</v>
      </c>
      <c r="M282" s="8"/>
      <c r="N282" s="14"/>
      <c r="O282" s="14"/>
      <c r="P282" s="14"/>
      <c r="Q282" s="15"/>
      <c r="R282" s="16" t="str">
        <f t="shared" si="10"/>
        <v/>
      </c>
    </row>
    <row r="283" ht="15.75" customHeight="1">
      <c r="A283" s="7"/>
      <c r="B283" s="8"/>
      <c r="C283" s="8"/>
      <c r="D283" s="8"/>
      <c r="E283" s="8"/>
      <c r="F283" s="9"/>
      <c r="G283" s="10">
        <f>IFERROR(F283*VLOOKUP(D283,TELAS!$A$4:$C$32,3,FALSE()),0)</f>
        <v>0</v>
      </c>
      <c r="H283" s="11" t="str">
        <f>IFERROR(VLOOKUP(E283,COLORES!$A$4:$B$102,2,FALSE()),"")</f>
        <v/>
      </c>
      <c r="I283" s="12">
        <f>IFERROR(IF(H283="OSCURO",VLOOKUP(D283,PRECIOS!$A$4:$F$32,2,FALSE()),IF(H283="CLARO",VLOOKUP(D283,PRECIOS!$A$4:$F$32,3,FALSE()),IF(H283="MELANGE",VLOOKUP(D283,PRECIOS!$A$4:$F$32,4,FALSE()),IF(H283="PPT",VLOOKUP(D283,PRECIOS!$A$4:$F$32,5,FALSE()),0)))),0)</f>
        <v>0</v>
      </c>
      <c r="J283" s="12">
        <f t="shared" si="8"/>
        <v>0</v>
      </c>
      <c r="K283" s="13">
        <f>IFERROR(IF(C283="",0,SUMIFS($F$4:$F$282,$C$4:$C$282,C283,$D$4:$D$282,D283,$E$4:$E$282,E283,$B$4:$B$282,"INGRESO")+SUMIFS($F$4:$F$282,$C$4:$C$282,C283,$D$4:$D$282,D283,$E$4:$E$282,E283,$B$4:$B$282,"DE REPROCESO")+SUMIFS($F$4:$F$282,$C$4:$C$282,C283,$D$4:$D$282,D283,$E$4:$E$282,E283,$B$4:$B$282,"AJUSTE+")-SUMIFS($F$4:$F$282,$C$4:$C$282,C283,$D$4:$D$282,D283,$E$4:$E$282,E283,$B$4:$B$282,"A CORTE")-SUMIFS($F$4:$F$282,$C$4:$C$282,C283,$D$4:$D$282,D283,$E$4:$E$282,E283,$B$4:$B$282,"A REPROCESO")-SUMIFS($F$4:$F$282,$C$4:$C$282,C283,$D$4:$D$282,D283,$E$4:$E$282,E283,$B$4:$B$282,"MUESTRA")-SUMIFS($F$4:$F$282,$C$4:$C$282,C283,$D$4:$D$282,D283,$E$4:$E$282,E283,$B$4:$B$282,"AJUSTE-")),0)</f>
        <v>0</v>
      </c>
      <c r="L283" s="13">
        <f t="shared" si="9"/>
        <v>0</v>
      </c>
      <c r="M283" s="8"/>
      <c r="N283" s="14"/>
      <c r="O283" s="14"/>
      <c r="P283" s="14"/>
      <c r="Q283" s="15"/>
      <c r="R283" s="16" t="str">
        <f t="shared" si="10"/>
        <v/>
      </c>
    </row>
    <row r="284" ht="15.75" customHeight="1">
      <c r="A284" s="7"/>
      <c r="B284" s="8"/>
      <c r="C284" s="8"/>
      <c r="D284" s="8"/>
      <c r="E284" s="8"/>
      <c r="F284" s="9"/>
      <c r="G284" s="10">
        <f>IFERROR(F284*VLOOKUP(D284,TELAS!$A$4:$C$32,3,FALSE()),0)</f>
        <v>0</v>
      </c>
      <c r="H284" s="11" t="str">
        <f>IFERROR(VLOOKUP(E284,COLORES!$A$4:$B$102,2,FALSE()),"")</f>
        <v/>
      </c>
      <c r="I284" s="12">
        <f>IFERROR(IF(H284="OSCURO",VLOOKUP(D284,PRECIOS!$A$4:$F$32,2,FALSE()),IF(H284="CLARO",VLOOKUP(D284,PRECIOS!$A$4:$F$32,3,FALSE()),IF(H284="MELANGE",VLOOKUP(D284,PRECIOS!$A$4:$F$32,4,FALSE()),IF(H284="PPT",VLOOKUP(D284,PRECIOS!$A$4:$F$32,5,FALSE()),0)))),0)</f>
        <v>0</v>
      </c>
      <c r="J284" s="12">
        <f t="shared" si="8"/>
        <v>0</v>
      </c>
      <c r="K284" s="13">
        <f>IFERROR(IF(C284="",0,SUMIFS($F$4:$F$283,$C$4:$C$283,C284,$D$4:$D$283,D284,$E$4:$E$283,E284,$B$4:$B$283,"INGRESO")+SUMIFS($F$4:$F$283,$C$4:$C$283,C284,$D$4:$D$283,D284,$E$4:$E$283,E284,$B$4:$B$283,"DE REPROCESO")+SUMIFS($F$4:$F$283,$C$4:$C$283,C284,$D$4:$D$283,D284,$E$4:$E$283,E284,$B$4:$B$283,"AJUSTE+")-SUMIFS($F$4:$F$283,$C$4:$C$283,C284,$D$4:$D$283,D284,$E$4:$E$283,E284,$B$4:$B$283,"A CORTE")-SUMIFS($F$4:$F$283,$C$4:$C$283,C284,$D$4:$D$283,D284,$E$4:$E$283,E284,$B$4:$B$283,"A REPROCESO")-SUMIFS($F$4:$F$283,$C$4:$C$283,C284,$D$4:$D$283,D284,$E$4:$E$283,E284,$B$4:$B$283,"MUESTRA")-SUMIFS($F$4:$F$283,$C$4:$C$283,C284,$D$4:$D$283,D284,$E$4:$E$283,E284,$B$4:$B$283,"AJUSTE-")),0)</f>
        <v>0</v>
      </c>
      <c r="L284" s="13">
        <f t="shared" si="9"/>
        <v>0</v>
      </c>
      <c r="M284" s="8"/>
      <c r="N284" s="14"/>
      <c r="O284" s="14"/>
      <c r="P284" s="14"/>
      <c r="Q284" s="15"/>
      <c r="R284" s="16" t="str">
        <f t="shared" si="10"/>
        <v/>
      </c>
    </row>
    <row r="285" ht="15.75" customHeight="1">
      <c r="A285" s="7"/>
      <c r="B285" s="8"/>
      <c r="C285" s="8"/>
      <c r="D285" s="8"/>
      <c r="E285" s="8"/>
      <c r="F285" s="9"/>
      <c r="G285" s="10">
        <f>IFERROR(F285*VLOOKUP(D285,TELAS!$A$4:$C$32,3,FALSE()),0)</f>
        <v>0</v>
      </c>
      <c r="H285" s="11" t="str">
        <f>IFERROR(VLOOKUP(E285,COLORES!$A$4:$B$102,2,FALSE()),"")</f>
        <v/>
      </c>
      <c r="I285" s="12">
        <f>IFERROR(IF(H285="OSCURO",VLOOKUP(D285,PRECIOS!$A$4:$F$32,2,FALSE()),IF(H285="CLARO",VLOOKUP(D285,PRECIOS!$A$4:$F$32,3,FALSE()),IF(H285="MELANGE",VLOOKUP(D285,PRECIOS!$A$4:$F$32,4,FALSE()),IF(H285="PPT",VLOOKUP(D285,PRECIOS!$A$4:$F$32,5,FALSE()),0)))),0)</f>
        <v>0</v>
      </c>
      <c r="J285" s="12">
        <f t="shared" si="8"/>
        <v>0</v>
      </c>
      <c r="K285" s="13">
        <f>IFERROR(IF(C285="",0,SUMIFS($F$4:$F$284,$C$4:$C$284,C285,$D$4:$D$284,D285,$E$4:$E$284,E285,$B$4:$B$284,"INGRESO")+SUMIFS($F$4:$F$284,$C$4:$C$284,C285,$D$4:$D$284,D285,$E$4:$E$284,E285,$B$4:$B$284,"DE REPROCESO")+SUMIFS($F$4:$F$284,$C$4:$C$284,C285,$D$4:$D$284,D285,$E$4:$E$284,E285,$B$4:$B$284,"AJUSTE+")-SUMIFS($F$4:$F$284,$C$4:$C$284,C285,$D$4:$D$284,D285,$E$4:$E$284,E285,$B$4:$B$284,"A CORTE")-SUMIFS($F$4:$F$284,$C$4:$C$284,C285,$D$4:$D$284,D285,$E$4:$E$284,E285,$B$4:$B$284,"A REPROCESO")-SUMIFS($F$4:$F$284,$C$4:$C$284,C285,$D$4:$D$284,D285,$E$4:$E$284,E285,$B$4:$B$284,"MUESTRA")-SUMIFS($F$4:$F$284,$C$4:$C$284,C285,$D$4:$D$284,D285,$E$4:$E$284,E285,$B$4:$B$284,"AJUSTE-")),0)</f>
        <v>0</v>
      </c>
      <c r="L285" s="13">
        <f t="shared" si="9"/>
        <v>0</v>
      </c>
      <c r="M285" s="8"/>
      <c r="N285" s="14"/>
      <c r="O285" s="14"/>
      <c r="P285" s="14"/>
      <c r="Q285" s="15"/>
      <c r="R285" s="16" t="str">
        <f t="shared" si="10"/>
        <v/>
      </c>
    </row>
    <row r="286" ht="15.75" customHeight="1">
      <c r="A286" s="7"/>
      <c r="B286" s="8"/>
      <c r="C286" s="8"/>
      <c r="D286" s="8"/>
      <c r="E286" s="8"/>
      <c r="F286" s="9"/>
      <c r="G286" s="10">
        <f>IFERROR(F286*VLOOKUP(D286,TELAS!$A$4:$C$32,3,FALSE()),0)</f>
        <v>0</v>
      </c>
      <c r="H286" s="11" t="str">
        <f>IFERROR(VLOOKUP(E286,COLORES!$A$4:$B$102,2,FALSE()),"")</f>
        <v/>
      </c>
      <c r="I286" s="12">
        <f>IFERROR(IF(H286="OSCURO",VLOOKUP(D286,PRECIOS!$A$4:$F$32,2,FALSE()),IF(H286="CLARO",VLOOKUP(D286,PRECIOS!$A$4:$F$32,3,FALSE()),IF(H286="MELANGE",VLOOKUP(D286,PRECIOS!$A$4:$F$32,4,FALSE()),IF(H286="PPT",VLOOKUP(D286,PRECIOS!$A$4:$F$32,5,FALSE()),0)))),0)</f>
        <v>0</v>
      </c>
      <c r="J286" s="12">
        <f t="shared" si="8"/>
        <v>0</v>
      </c>
      <c r="K286" s="13">
        <f>IFERROR(IF(C286="",0,SUMIFS($F$4:$F$285,$C$4:$C$285,C286,$D$4:$D$285,D286,$E$4:$E$285,E286,$B$4:$B$285,"INGRESO")+SUMIFS($F$4:$F$285,$C$4:$C$285,C286,$D$4:$D$285,D286,$E$4:$E$285,E286,$B$4:$B$285,"DE REPROCESO")+SUMIFS($F$4:$F$285,$C$4:$C$285,C286,$D$4:$D$285,D286,$E$4:$E$285,E286,$B$4:$B$285,"AJUSTE+")-SUMIFS($F$4:$F$285,$C$4:$C$285,C286,$D$4:$D$285,D286,$E$4:$E$285,E286,$B$4:$B$285,"A CORTE")-SUMIFS($F$4:$F$285,$C$4:$C$285,C286,$D$4:$D$285,D286,$E$4:$E$285,E286,$B$4:$B$285,"A REPROCESO")-SUMIFS($F$4:$F$285,$C$4:$C$285,C286,$D$4:$D$285,D286,$E$4:$E$285,E286,$B$4:$B$285,"MUESTRA")-SUMIFS($F$4:$F$285,$C$4:$C$285,C286,$D$4:$D$285,D286,$E$4:$E$285,E286,$B$4:$B$285,"AJUSTE-")),0)</f>
        <v>0</v>
      </c>
      <c r="L286" s="13">
        <f t="shared" si="9"/>
        <v>0</v>
      </c>
      <c r="M286" s="8"/>
      <c r="N286" s="14"/>
      <c r="O286" s="14"/>
      <c r="P286" s="14"/>
      <c r="Q286" s="15"/>
      <c r="R286" s="16" t="str">
        <f t="shared" si="10"/>
        <v/>
      </c>
    </row>
    <row r="287" ht="15.75" customHeight="1">
      <c r="A287" s="7"/>
      <c r="B287" s="8"/>
      <c r="C287" s="8"/>
      <c r="D287" s="8"/>
      <c r="E287" s="8"/>
      <c r="F287" s="9"/>
      <c r="G287" s="10">
        <f>IFERROR(F287*VLOOKUP(D287,TELAS!$A$4:$C$32,3,FALSE()),0)</f>
        <v>0</v>
      </c>
      <c r="H287" s="11" t="str">
        <f>IFERROR(VLOOKUP(E287,COLORES!$A$4:$B$102,2,FALSE()),"")</f>
        <v/>
      </c>
      <c r="I287" s="12">
        <f>IFERROR(IF(H287="OSCURO",VLOOKUP(D287,PRECIOS!$A$4:$F$32,2,FALSE()),IF(H287="CLARO",VLOOKUP(D287,PRECIOS!$A$4:$F$32,3,FALSE()),IF(H287="MELANGE",VLOOKUP(D287,PRECIOS!$A$4:$F$32,4,FALSE()),IF(H287="PPT",VLOOKUP(D287,PRECIOS!$A$4:$F$32,5,FALSE()),0)))),0)</f>
        <v>0</v>
      </c>
      <c r="J287" s="12">
        <f t="shared" si="8"/>
        <v>0</v>
      </c>
      <c r="K287" s="13">
        <f>IFERROR(IF(C287="",0,SUMIFS($F$4:$F$286,$C$4:$C$286,C287,$D$4:$D$286,D287,$E$4:$E$286,E287,$B$4:$B$286,"INGRESO")+SUMIFS($F$4:$F$286,$C$4:$C$286,C287,$D$4:$D$286,D287,$E$4:$E$286,E287,$B$4:$B$286,"DE REPROCESO")+SUMIFS($F$4:$F$286,$C$4:$C$286,C287,$D$4:$D$286,D287,$E$4:$E$286,E287,$B$4:$B$286,"AJUSTE+")-SUMIFS($F$4:$F$286,$C$4:$C$286,C287,$D$4:$D$286,D287,$E$4:$E$286,E287,$B$4:$B$286,"A CORTE")-SUMIFS($F$4:$F$286,$C$4:$C$286,C287,$D$4:$D$286,D287,$E$4:$E$286,E287,$B$4:$B$286,"A REPROCESO")-SUMIFS($F$4:$F$286,$C$4:$C$286,C287,$D$4:$D$286,D287,$E$4:$E$286,E287,$B$4:$B$286,"MUESTRA")-SUMIFS($F$4:$F$286,$C$4:$C$286,C287,$D$4:$D$286,D287,$E$4:$E$286,E287,$B$4:$B$286,"AJUSTE-")),0)</f>
        <v>0</v>
      </c>
      <c r="L287" s="13">
        <f t="shared" si="9"/>
        <v>0</v>
      </c>
      <c r="M287" s="8"/>
      <c r="N287" s="14"/>
      <c r="O287" s="14"/>
      <c r="P287" s="14"/>
      <c r="Q287" s="15"/>
      <c r="R287" s="16" t="str">
        <f t="shared" si="10"/>
        <v/>
      </c>
    </row>
    <row r="288" ht="15.75" customHeight="1">
      <c r="A288" s="7"/>
      <c r="B288" s="8"/>
      <c r="M288" s="8"/>
      <c r="N288" s="14"/>
      <c r="O288" s="14"/>
      <c r="P288" s="14"/>
      <c r="Q288" s="15"/>
      <c r="R288" s="16" t="str">
        <f>IF(OR(Q288="",Q288=0,J164=0),"",(Q288-J164)/J164)</f>
        <v/>
      </c>
    </row>
    <row r="289" ht="15.75" customHeight="1">
      <c r="A289" s="7"/>
      <c r="B289" s="8"/>
      <c r="C289" s="8"/>
      <c r="D289" s="8"/>
      <c r="E289" s="8"/>
      <c r="F289" s="9"/>
      <c r="G289" s="10">
        <f>IFERROR(F289*VLOOKUP(D289,TELAS!$A$4:$C$32,3,FALSE()),0)</f>
        <v>0</v>
      </c>
      <c r="H289" s="11" t="str">
        <f>IFERROR(VLOOKUP(E289,COLORES!$A$4:$B$102,2,FALSE()),"")</f>
        <v/>
      </c>
      <c r="I289" s="12">
        <f>IFERROR(IF(H289="OSCURO",VLOOKUP(D289,PRECIOS!$A$4:$F$32,2,FALSE()),IF(H289="CLARO",VLOOKUP(D289,PRECIOS!$A$4:$F$32,3,FALSE()),IF(H289="MELANGE",VLOOKUP(D289,PRECIOS!$A$4:$F$32,4,FALSE()),IF(H289="PPT",VLOOKUP(D289,PRECIOS!$A$4:$F$32,5,FALSE()),0)))),0)</f>
        <v>0</v>
      </c>
      <c r="J289" s="12">
        <f t="shared" ref="J289:J1000" si="12">IFERROR(G289*I289,0)</f>
        <v>0</v>
      </c>
      <c r="K289" s="13">
        <f>IFERROR(IF(C289="",0,SUMIFS($F$4:$F$287,$C$4:$C$287,C289,$D$4:$D$287,D289,$E$4:$E$287,E289,$B$4:$B$287,"INGRESO")+SUMIFS($F$4:$F$287,$C$4:$C$287,C289,$D$4:$D$287,D289,$E$4:$E$287,E289,$B$4:$B$287,"DE REPROCESO")+SUMIFS($F$4:$F$287,$C$4:$C$287,C289,$D$4:$D$287,D289,$E$4:$E$287,E289,$B$4:$B$287,"AJUSTE+")-SUMIFS($F$4:$F$287,$C$4:$C$287,C289,$D$4:$D$287,D289,$E$4:$E$287,E289,$B$4:$B$287,"A CORTE")-SUMIFS($F$4:$F$287,$C$4:$C$287,C289,$D$4:$D$287,D289,$E$4:$E$287,E289,$B$4:$B$287,"A REPROCESO")-SUMIFS($F$4:$F$287,$C$4:$C$287,C289,$D$4:$D$287,D289,$E$4:$E$287,E289,$B$4:$B$287,"MUESTRA")-SUMIFS($F$4:$F$287,$C$4:$C$287,C289,$D$4:$D$287,D289,$E$4:$E$287,E289,$B$4:$B$287,"AJUSTE-")),0)</f>
        <v>0</v>
      </c>
      <c r="L289" s="13">
        <f t="shared" ref="L289:L1000" si="13">IF(C289="",0,K289+IF(OR(B289="INGRESO",B289="DE REPROCESO",B289="AJUSTE+"),F289,IF(OR(B289="A CORTE",B289="A REPROCESO",B289="MUESTRA",B289="AJUSTE-"),-F289,0)))</f>
        <v>0</v>
      </c>
      <c r="M289" s="8"/>
      <c r="N289" s="14"/>
      <c r="O289" s="14"/>
      <c r="P289" s="14"/>
      <c r="Q289" s="15"/>
      <c r="R289" s="16" t="str">
        <f t="shared" ref="R289:R1000" si="14">IF(OR(Q289="",Q289=0,J289=0),"",(Q289-J289)/J289)</f>
        <v/>
      </c>
    </row>
    <row r="290" ht="15.75" customHeight="1">
      <c r="A290" s="7"/>
      <c r="B290" s="8"/>
      <c r="C290" s="8"/>
      <c r="D290" s="8"/>
      <c r="E290" s="8"/>
      <c r="F290" s="9"/>
      <c r="G290" s="10">
        <f>IFERROR(F290*VLOOKUP(D290,TELAS!$A$4:$C$32,3,FALSE()),0)</f>
        <v>0</v>
      </c>
      <c r="H290" s="11" t="str">
        <f>IFERROR(VLOOKUP(E290,COLORES!$A$4:$B$102,2,FALSE()),"")</f>
        <v/>
      </c>
      <c r="I290" s="12">
        <f>IFERROR(IF(H290="OSCURO",VLOOKUP(D290,PRECIOS!$A$4:$F$32,2,FALSE()),IF(H290="CLARO",VLOOKUP(D290,PRECIOS!$A$4:$F$32,3,FALSE()),IF(H290="MELANGE",VLOOKUP(D290,PRECIOS!$A$4:$F$32,4,FALSE()),IF(H290="PPT",VLOOKUP(D290,PRECIOS!$A$4:$F$32,5,FALSE()),0)))),0)</f>
        <v>0</v>
      </c>
      <c r="J290" s="12">
        <f t="shared" si="12"/>
        <v>0</v>
      </c>
      <c r="K290" s="13">
        <f>IFERROR(IF(C290="",0,SUMIFS($F$4:$F$289,$C$4:$C$289,C290,$D$4:$D$289,D290,$E$4:$E$289,E290,$B$4:$B$289,"INGRESO")+SUMIFS($F$4:$F$289,$C$4:$C$289,C290,$D$4:$D$289,D290,$E$4:$E$289,E290,$B$4:$B$289,"DE REPROCESO")+SUMIFS($F$4:$F$289,$C$4:$C$289,C290,$D$4:$D$289,D290,$E$4:$E$289,E290,$B$4:$B$289,"AJUSTE+")-SUMIFS($F$4:$F$289,$C$4:$C$289,C290,$D$4:$D$289,D290,$E$4:$E$289,E290,$B$4:$B$289,"A CORTE")-SUMIFS($F$4:$F$289,$C$4:$C$289,C290,$D$4:$D$289,D290,$E$4:$E$289,E290,$B$4:$B$289,"A REPROCESO")-SUMIFS($F$4:$F$289,$C$4:$C$289,C290,$D$4:$D$289,D290,$E$4:$E$289,E290,$B$4:$B$289,"MUESTRA")-SUMIFS($F$4:$F$289,$C$4:$C$289,C290,$D$4:$D$289,D290,$E$4:$E$289,E290,$B$4:$B$289,"AJUSTE-")),0)</f>
        <v>0</v>
      </c>
      <c r="L290" s="13">
        <f t="shared" si="13"/>
        <v>0</v>
      </c>
      <c r="M290" s="8"/>
      <c r="N290" s="14"/>
      <c r="O290" s="14"/>
      <c r="P290" s="14"/>
      <c r="Q290" s="15"/>
      <c r="R290" s="16" t="str">
        <f t="shared" si="14"/>
        <v/>
      </c>
    </row>
    <row r="291" ht="15.75" customHeight="1">
      <c r="A291" s="7"/>
      <c r="B291" s="8"/>
      <c r="C291" s="8"/>
      <c r="D291" s="8"/>
      <c r="E291" s="8"/>
      <c r="F291" s="9"/>
      <c r="G291" s="10">
        <f>IFERROR(F291*VLOOKUP(D291,TELAS!$A$4:$C$32,3,FALSE()),0)</f>
        <v>0</v>
      </c>
      <c r="H291" s="11" t="str">
        <f>IFERROR(VLOOKUP(E291,COLORES!$A$4:$B$102,2,FALSE()),"")</f>
        <v/>
      </c>
      <c r="I291" s="12">
        <f>IFERROR(IF(H291="OSCURO",VLOOKUP(D291,PRECIOS!$A$4:$F$32,2,FALSE()),IF(H291="CLARO",VLOOKUP(D291,PRECIOS!$A$4:$F$32,3,FALSE()),IF(H291="MELANGE",VLOOKUP(D291,PRECIOS!$A$4:$F$32,4,FALSE()),IF(H291="PPT",VLOOKUP(D291,PRECIOS!$A$4:$F$32,5,FALSE()),0)))),0)</f>
        <v>0</v>
      </c>
      <c r="J291" s="12">
        <f t="shared" si="12"/>
        <v>0</v>
      </c>
      <c r="K291" s="13">
        <f>IFERROR(IF(C291="",0,SUMIFS($F$4:$F$290,$C$4:$C$290,C291,$D$4:$D$290,D291,$E$4:$E$290,E291,$B$4:$B$290,"INGRESO")+SUMIFS($F$4:$F$290,$C$4:$C$290,C291,$D$4:$D$290,D291,$E$4:$E$290,E291,$B$4:$B$290,"DE REPROCESO")+SUMIFS($F$4:$F$290,$C$4:$C$290,C291,$D$4:$D$290,D291,$E$4:$E$290,E291,$B$4:$B$290,"AJUSTE+")-SUMIFS($F$4:$F$290,$C$4:$C$290,C291,$D$4:$D$290,D291,$E$4:$E$290,E291,$B$4:$B$290,"A CORTE")-SUMIFS($F$4:$F$290,$C$4:$C$290,C291,$D$4:$D$290,D291,$E$4:$E$290,E291,$B$4:$B$290,"A REPROCESO")-SUMIFS($F$4:$F$290,$C$4:$C$290,C291,$D$4:$D$290,D291,$E$4:$E$290,E291,$B$4:$B$290,"MUESTRA")-SUMIFS($F$4:$F$290,$C$4:$C$290,C291,$D$4:$D$290,D291,$E$4:$E$290,E291,$B$4:$B$290,"AJUSTE-")),0)</f>
        <v>0</v>
      </c>
      <c r="L291" s="13">
        <f t="shared" si="13"/>
        <v>0</v>
      </c>
      <c r="M291" s="8"/>
      <c r="N291" s="14"/>
      <c r="O291" s="14"/>
      <c r="P291" s="14"/>
      <c r="Q291" s="15"/>
      <c r="R291" s="16" t="str">
        <f t="shared" si="14"/>
        <v/>
      </c>
    </row>
    <row r="292" ht="15.75" customHeight="1">
      <c r="A292" s="7"/>
      <c r="B292" s="8"/>
      <c r="C292" s="8"/>
      <c r="D292" s="8"/>
      <c r="E292" s="8"/>
      <c r="F292" s="9"/>
      <c r="G292" s="10">
        <f>IFERROR(F292*VLOOKUP(D292,TELAS!$A$4:$C$32,3,FALSE()),0)</f>
        <v>0</v>
      </c>
      <c r="H292" s="11" t="str">
        <f>IFERROR(VLOOKUP(E292,COLORES!$A$4:$B$102,2,FALSE()),"")</f>
        <v/>
      </c>
      <c r="I292" s="12">
        <f>IFERROR(IF(H292="OSCURO",VLOOKUP(D292,PRECIOS!$A$4:$F$32,2,FALSE()),IF(H292="CLARO",VLOOKUP(D292,PRECIOS!$A$4:$F$32,3,FALSE()),IF(H292="MELANGE",VLOOKUP(D292,PRECIOS!$A$4:$F$32,4,FALSE()),IF(H292="PPT",VLOOKUP(D292,PRECIOS!$A$4:$F$32,5,FALSE()),0)))),0)</f>
        <v>0</v>
      </c>
      <c r="J292" s="12">
        <f t="shared" si="12"/>
        <v>0</v>
      </c>
      <c r="K292" s="13">
        <f>IFERROR(IF(C292="",0,SUMIFS($F$4:$F$291,$C$4:$C$291,C292,$D$4:$D$291,D292,$E$4:$E$291,E292,$B$4:$B$291,"INGRESO")+SUMIFS($F$4:$F$291,$C$4:$C$291,C292,$D$4:$D$291,D292,$E$4:$E$291,E292,$B$4:$B$291,"DE REPROCESO")+SUMIFS($F$4:$F$291,$C$4:$C$291,C292,$D$4:$D$291,D292,$E$4:$E$291,E292,$B$4:$B$291,"AJUSTE+")-SUMIFS($F$4:$F$291,$C$4:$C$291,C292,$D$4:$D$291,D292,$E$4:$E$291,E292,$B$4:$B$291,"A CORTE")-SUMIFS($F$4:$F$291,$C$4:$C$291,C292,$D$4:$D$291,D292,$E$4:$E$291,E292,$B$4:$B$291,"A REPROCESO")-SUMIFS($F$4:$F$291,$C$4:$C$291,C292,$D$4:$D$291,D292,$E$4:$E$291,E292,$B$4:$B$291,"MUESTRA")-SUMIFS($F$4:$F$291,$C$4:$C$291,C292,$D$4:$D$291,D292,$E$4:$E$291,E292,$B$4:$B$291,"AJUSTE-")),0)</f>
        <v>0</v>
      </c>
      <c r="L292" s="13">
        <f t="shared" si="13"/>
        <v>0</v>
      </c>
      <c r="M292" s="8"/>
      <c r="N292" s="14"/>
      <c r="O292" s="14"/>
      <c r="P292" s="14"/>
      <c r="Q292" s="15"/>
      <c r="R292" s="16" t="str">
        <f t="shared" si="14"/>
        <v/>
      </c>
    </row>
    <row r="293" ht="15.75" customHeight="1">
      <c r="A293" s="7"/>
      <c r="B293" s="8"/>
      <c r="C293" s="8"/>
      <c r="D293" s="8"/>
      <c r="E293" s="8"/>
      <c r="F293" s="9"/>
      <c r="G293" s="10">
        <f>IFERROR(F293*VLOOKUP(D293,TELAS!$A$4:$C$32,3,FALSE()),0)</f>
        <v>0</v>
      </c>
      <c r="H293" s="11" t="str">
        <f>IFERROR(VLOOKUP(E293,COLORES!$A$4:$B$102,2,FALSE()),"")</f>
        <v/>
      </c>
      <c r="I293" s="12">
        <f>IFERROR(IF(H293="OSCURO",VLOOKUP(D293,PRECIOS!$A$4:$F$32,2,FALSE()),IF(H293="CLARO",VLOOKUP(D293,PRECIOS!$A$4:$F$32,3,FALSE()),IF(H293="MELANGE",VLOOKUP(D293,PRECIOS!$A$4:$F$32,4,FALSE()),IF(H293="PPT",VLOOKUP(D293,PRECIOS!$A$4:$F$32,5,FALSE()),0)))),0)</f>
        <v>0</v>
      </c>
      <c r="J293" s="12">
        <f t="shared" si="12"/>
        <v>0</v>
      </c>
      <c r="K293" s="13">
        <f>IFERROR(IF(C293="",0,SUMIFS($F$4:$F$292,$C$4:$C$292,C293,$D$4:$D$292,D293,$E$4:$E$292,E293,$B$4:$B$292,"INGRESO")+SUMIFS($F$4:$F$292,$C$4:$C$292,C293,$D$4:$D$292,D293,$E$4:$E$292,E293,$B$4:$B$292,"DE REPROCESO")+SUMIFS($F$4:$F$292,$C$4:$C$292,C293,$D$4:$D$292,D293,$E$4:$E$292,E293,$B$4:$B$292,"AJUSTE+")-SUMIFS($F$4:$F$292,$C$4:$C$292,C293,$D$4:$D$292,D293,$E$4:$E$292,E293,$B$4:$B$292,"A CORTE")-SUMIFS($F$4:$F$292,$C$4:$C$292,C293,$D$4:$D$292,D293,$E$4:$E$292,E293,$B$4:$B$292,"A REPROCESO")-SUMIFS($F$4:$F$292,$C$4:$C$292,C293,$D$4:$D$292,D293,$E$4:$E$292,E293,$B$4:$B$292,"MUESTRA")-SUMIFS($F$4:$F$292,$C$4:$C$292,C293,$D$4:$D$292,D293,$E$4:$E$292,E293,$B$4:$B$292,"AJUSTE-")),0)</f>
        <v>0</v>
      </c>
      <c r="L293" s="13">
        <f t="shared" si="13"/>
        <v>0</v>
      </c>
      <c r="M293" s="8"/>
      <c r="N293" s="14"/>
      <c r="O293" s="14"/>
      <c r="P293" s="14"/>
      <c r="Q293" s="15"/>
      <c r="R293" s="16" t="str">
        <f t="shared" si="14"/>
        <v/>
      </c>
    </row>
    <row r="294" ht="15.75" customHeight="1">
      <c r="A294" s="7"/>
      <c r="B294" s="8"/>
      <c r="C294" s="8"/>
      <c r="D294" s="8"/>
      <c r="E294" s="8"/>
      <c r="F294" s="9"/>
      <c r="G294" s="10">
        <f>IFERROR(F294*VLOOKUP(D294,TELAS!$A$4:$C$32,3,FALSE()),0)</f>
        <v>0</v>
      </c>
      <c r="H294" s="11" t="str">
        <f>IFERROR(VLOOKUP(E294,COLORES!$A$4:$B$102,2,FALSE()),"")</f>
        <v/>
      </c>
      <c r="I294" s="12">
        <f>IFERROR(IF(H294="OSCURO",VLOOKUP(D294,PRECIOS!$A$4:$F$32,2,FALSE()),IF(H294="CLARO",VLOOKUP(D294,PRECIOS!$A$4:$F$32,3,FALSE()),IF(H294="MELANGE",VLOOKUP(D294,PRECIOS!$A$4:$F$32,4,FALSE()),IF(H294="PPT",VLOOKUP(D294,PRECIOS!$A$4:$F$32,5,FALSE()),0)))),0)</f>
        <v>0</v>
      </c>
      <c r="J294" s="12">
        <f t="shared" si="12"/>
        <v>0</v>
      </c>
      <c r="K294" s="13">
        <f>IFERROR(IF(C294="",0,SUMIFS($F$4:$F$293,$C$4:$C$293,C294,$D$4:$D$293,D294,$E$4:$E$293,E294,$B$4:$B$293,"INGRESO")+SUMIFS($F$4:$F$293,$C$4:$C$293,C294,$D$4:$D$293,D294,$E$4:$E$293,E294,$B$4:$B$293,"DE REPROCESO")+SUMIFS($F$4:$F$293,$C$4:$C$293,C294,$D$4:$D$293,D294,$E$4:$E$293,E294,$B$4:$B$293,"AJUSTE+")-SUMIFS($F$4:$F$293,$C$4:$C$293,C294,$D$4:$D$293,D294,$E$4:$E$293,E294,$B$4:$B$293,"A CORTE")-SUMIFS($F$4:$F$293,$C$4:$C$293,C294,$D$4:$D$293,D294,$E$4:$E$293,E294,$B$4:$B$293,"A REPROCESO")-SUMIFS($F$4:$F$293,$C$4:$C$293,C294,$D$4:$D$293,D294,$E$4:$E$293,E294,$B$4:$B$293,"MUESTRA")-SUMIFS($F$4:$F$293,$C$4:$C$293,C294,$D$4:$D$293,D294,$E$4:$E$293,E294,$B$4:$B$293,"AJUSTE-")),0)</f>
        <v>0</v>
      </c>
      <c r="L294" s="13">
        <f t="shared" si="13"/>
        <v>0</v>
      </c>
      <c r="M294" s="8"/>
      <c r="N294" s="14"/>
      <c r="O294" s="14"/>
      <c r="P294" s="14"/>
      <c r="Q294" s="15"/>
      <c r="R294" s="16" t="str">
        <f t="shared" si="14"/>
        <v/>
      </c>
    </row>
    <row r="295" ht="15.75" customHeight="1">
      <c r="A295" s="7"/>
      <c r="B295" s="8"/>
      <c r="C295" s="8"/>
      <c r="D295" s="8"/>
      <c r="E295" s="8"/>
      <c r="F295" s="9"/>
      <c r="G295" s="10">
        <f>IFERROR(F295*VLOOKUP(D295,TELAS!$A$4:$C$32,3,FALSE()),0)</f>
        <v>0</v>
      </c>
      <c r="H295" s="11" t="str">
        <f>IFERROR(VLOOKUP(E295,COLORES!$A$4:$B$102,2,FALSE()),"")</f>
        <v/>
      </c>
      <c r="I295" s="12">
        <f>IFERROR(IF(H295="OSCURO",VLOOKUP(D295,PRECIOS!$A$4:$F$32,2,FALSE()),IF(H295="CLARO",VLOOKUP(D295,PRECIOS!$A$4:$F$32,3,FALSE()),IF(H295="MELANGE",VLOOKUP(D295,PRECIOS!$A$4:$F$32,4,FALSE()),IF(H295="PPT",VLOOKUP(D295,PRECIOS!$A$4:$F$32,5,FALSE()),0)))),0)</f>
        <v>0</v>
      </c>
      <c r="J295" s="12">
        <f t="shared" si="12"/>
        <v>0</v>
      </c>
      <c r="K295" s="13">
        <f>IFERROR(IF(C295="",0,SUMIFS($F$4:$F$294,$C$4:$C$294,C295,$D$4:$D$294,D295,$E$4:$E$294,E295,$B$4:$B$294,"INGRESO")+SUMIFS($F$4:$F$294,$C$4:$C$294,C295,$D$4:$D$294,D295,$E$4:$E$294,E295,$B$4:$B$294,"DE REPROCESO")+SUMIFS($F$4:$F$294,$C$4:$C$294,C295,$D$4:$D$294,D295,$E$4:$E$294,E295,$B$4:$B$294,"AJUSTE+")-SUMIFS($F$4:$F$294,$C$4:$C$294,C295,$D$4:$D$294,D295,$E$4:$E$294,E295,$B$4:$B$294,"A CORTE")-SUMIFS($F$4:$F$294,$C$4:$C$294,C295,$D$4:$D$294,D295,$E$4:$E$294,E295,$B$4:$B$294,"A REPROCESO")-SUMIFS($F$4:$F$294,$C$4:$C$294,C295,$D$4:$D$294,D295,$E$4:$E$294,E295,$B$4:$B$294,"MUESTRA")-SUMIFS($F$4:$F$294,$C$4:$C$294,C295,$D$4:$D$294,D295,$E$4:$E$294,E295,$B$4:$B$294,"AJUSTE-")),0)</f>
        <v>0</v>
      </c>
      <c r="L295" s="13">
        <f t="shared" si="13"/>
        <v>0</v>
      </c>
      <c r="M295" s="8"/>
      <c r="N295" s="14"/>
      <c r="O295" s="14"/>
      <c r="P295" s="14"/>
      <c r="Q295" s="15"/>
      <c r="R295" s="16" t="str">
        <f t="shared" si="14"/>
        <v/>
      </c>
    </row>
    <row r="296" ht="15.75" customHeight="1">
      <c r="A296" s="7"/>
      <c r="B296" s="8"/>
      <c r="C296" s="8"/>
      <c r="D296" s="8"/>
      <c r="E296" s="8"/>
      <c r="F296" s="9"/>
      <c r="G296" s="10">
        <f>IFERROR(F296*VLOOKUP(D296,TELAS!$A$4:$C$32,3,FALSE()),0)</f>
        <v>0</v>
      </c>
      <c r="H296" s="11" t="str">
        <f>IFERROR(VLOOKUP(E296,COLORES!$A$4:$B$102,2,FALSE()),"")</f>
        <v/>
      </c>
      <c r="I296" s="12">
        <f>IFERROR(IF(H296="OSCURO",VLOOKUP(D296,PRECIOS!$A$4:$F$32,2,FALSE()),IF(H296="CLARO",VLOOKUP(D296,PRECIOS!$A$4:$F$32,3,FALSE()),IF(H296="MELANGE",VLOOKUP(D296,PRECIOS!$A$4:$F$32,4,FALSE()),IF(H296="PPT",VLOOKUP(D296,PRECIOS!$A$4:$F$32,5,FALSE()),0)))),0)</f>
        <v>0</v>
      </c>
      <c r="J296" s="12">
        <f t="shared" si="12"/>
        <v>0</v>
      </c>
      <c r="K296" s="13">
        <f>IFERROR(IF(C296="",0,SUMIFS($F$4:$F$295,$C$4:$C$295,C296,$D$4:$D$295,D296,$E$4:$E$295,E296,$B$4:$B$295,"INGRESO")+SUMIFS($F$4:$F$295,$C$4:$C$295,C296,$D$4:$D$295,D296,$E$4:$E$295,E296,$B$4:$B$295,"DE REPROCESO")+SUMIFS($F$4:$F$295,$C$4:$C$295,C296,$D$4:$D$295,D296,$E$4:$E$295,E296,$B$4:$B$295,"AJUSTE+")-SUMIFS($F$4:$F$295,$C$4:$C$295,C296,$D$4:$D$295,D296,$E$4:$E$295,E296,$B$4:$B$295,"A CORTE")-SUMIFS($F$4:$F$295,$C$4:$C$295,C296,$D$4:$D$295,D296,$E$4:$E$295,E296,$B$4:$B$295,"A REPROCESO")-SUMIFS($F$4:$F$295,$C$4:$C$295,C296,$D$4:$D$295,D296,$E$4:$E$295,E296,$B$4:$B$295,"MUESTRA")-SUMIFS($F$4:$F$295,$C$4:$C$295,C296,$D$4:$D$295,D296,$E$4:$E$295,E296,$B$4:$B$295,"AJUSTE-")),0)</f>
        <v>0</v>
      </c>
      <c r="L296" s="13">
        <f t="shared" si="13"/>
        <v>0</v>
      </c>
      <c r="M296" s="8"/>
      <c r="N296" s="14"/>
      <c r="O296" s="14"/>
      <c r="P296" s="14"/>
      <c r="Q296" s="15"/>
      <c r="R296" s="16" t="str">
        <f t="shared" si="14"/>
        <v/>
      </c>
    </row>
    <row r="297" ht="15.75" customHeight="1">
      <c r="A297" s="7"/>
      <c r="B297" s="8"/>
      <c r="C297" s="8"/>
      <c r="D297" s="8"/>
      <c r="E297" s="8"/>
      <c r="F297" s="9"/>
      <c r="G297" s="10">
        <f>IFERROR(F297*VLOOKUP(D297,TELAS!$A$4:$C$32,3,FALSE()),0)</f>
        <v>0</v>
      </c>
      <c r="H297" s="11" t="str">
        <f>IFERROR(VLOOKUP(E297,COLORES!$A$4:$B$102,2,FALSE()),"")</f>
        <v/>
      </c>
      <c r="I297" s="12">
        <f>IFERROR(IF(H297="OSCURO",VLOOKUP(D297,PRECIOS!$A$4:$F$32,2,FALSE()),IF(H297="CLARO",VLOOKUP(D297,PRECIOS!$A$4:$F$32,3,FALSE()),IF(H297="MELANGE",VLOOKUP(D297,PRECIOS!$A$4:$F$32,4,FALSE()),IF(H297="PPT",VLOOKUP(D297,PRECIOS!$A$4:$F$32,5,FALSE()),0)))),0)</f>
        <v>0</v>
      </c>
      <c r="J297" s="12">
        <f t="shared" si="12"/>
        <v>0</v>
      </c>
      <c r="K297" s="13">
        <f>IFERROR(IF(C297="",0,SUMIFS($F$4:$F$296,$C$4:$C$296,C297,$D$4:$D$296,D297,$E$4:$E$296,E297,$B$4:$B$296,"INGRESO")+SUMIFS($F$4:$F$296,$C$4:$C$296,C297,$D$4:$D$296,D297,$E$4:$E$296,E297,$B$4:$B$296,"DE REPROCESO")+SUMIFS($F$4:$F$296,$C$4:$C$296,C297,$D$4:$D$296,D297,$E$4:$E$296,E297,$B$4:$B$296,"AJUSTE+")-SUMIFS($F$4:$F$296,$C$4:$C$296,C297,$D$4:$D$296,D297,$E$4:$E$296,E297,$B$4:$B$296,"A CORTE")-SUMIFS($F$4:$F$296,$C$4:$C$296,C297,$D$4:$D$296,D297,$E$4:$E$296,E297,$B$4:$B$296,"A REPROCESO")-SUMIFS($F$4:$F$296,$C$4:$C$296,C297,$D$4:$D$296,D297,$E$4:$E$296,E297,$B$4:$B$296,"MUESTRA")-SUMIFS($F$4:$F$296,$C$4:$C$296,C297,$D$4:$D$296,D297,$E$4:$E$296,E297,$B$4:$B$296,"AJUSTE-")),0)</f>
        <v>0</v>
      </c>
      <c r="L297" s="13">
        <f t="shared" si="13"/>
        <v>0</v>
      </c>
      <c r="M297" s="8"/>
      <c r="N297" s="14"/>
      <c r="O297" s="14"/>
      <c r="P297" s="14"/>
      <c r="Q297" s="15"/>
      <c r="R297" s="16" t="str">
        <f t="shared" si="14"/>
        <v/>
      </c>
    </row>
    <row r="298" ht="15.75" customHeight="1">
      <c r="A298" s="7"/>
      <c r="B298" s="8"/>
      <c r="C298" s="8"/>
      <c r="D298" s="8"/>
      <c r="E298" s="8"/>
      <c r="F298" s="9"/>
      <c r="G298" s="10">
        <f>IFERROR(F298*VLOOKUP(D298,TELAS!$A$4:$C$32,3,FALSE()),0)</f>
        <v>0</v>
      </c>
      <c r="H298" s="11" t="str">
        <f>IFERROR(VLOOKUP(E298,COLORES!$A$4:$B$102,2,FALSE()),"")</f>
        <v/>
      </c>
      <c r="I298" s="12">
        <f>IFERROR(IF(H298="OSCURO",VLOOKUP(D298,PRECIOS!$A$4:$F$32,2,FALSE()),IF(H298="CLARO",VLOOKUP(D298,PRECIOS!$A$4:$F$32,3,FALSE()),IF(H298="MELANGE",VLOOKUP(D298,PRECIOS!$A$4:$F$32,4,FALSE()),IF(H298="PPT",VLOOKUP(D298,PRECIOS!$A$4:$F$32,5,FALSE()),0)))),0)</f>
        <v>0</v>
      </c>
      <c r="J298" s="12">
        <f t="shared" si="12"/>
        <v>0</v>
      </c>
      <c r="K298" s="13">
        <f>IFERROR(IF(C298="",0,SUMIFS($F$4:$F$297,$C$4:$C$297,C298,$D$4:$D$297,D298,$E$4:$E$297,E298,$B$4:$B$297,"INGRESO")+SUMIFS($F$4:$F$297,$C$4:$C$297,C298,$D$4:$D$297,D298,$E$4:$E$297,E298,$B$4:$B$297,"DE REPROCESO")+SUMIFS($F$4:$F$297,$C$4:$C$297,C298,$D$4:$D$297,D298,$E$4:$E$297,E298,$B$4:$B$297,"AJUSTE+")-SUMIFS($F$4:$F$297,$C$4:$C$297,C298,$D$4:$D$297,D298,$E$4:$E$297,E298,$B$4:$B$297,"A CORTE")-SUMIFS($F$4:$F$297,$C$4:$C$297,C298,$D$4:$D$297,D298,$E$4:$E$297,E298,$B$4:$B$297,"A REPROCESO")-SUMIFS($F$4:$F$297,$C$4:$C$297,C298,$D$4:$D$297,D298,$E$4:$E$297,E298,$B$4:$B$297,"MUESTRA")-SUMIFS($F$4:$F$297,$C$4:$C$297,C298,$D$4:$D$297,D298,$E$4:$E$297,E298,$B$4:$B$297,"AJUSTE-")),0)</f>
        <v>0</v>
      </c>
      <c r="L298" s="13">
        <f t="shared" si="13"/>
        <v>0</v>
      </c>
      <c r="M298" s="8"/>
      <c r="N298" s="14"/>
      <c r="O298" s="14"/>
      <c r="P298" s="14"/>
      <c r="Q298" s="15"/>
      <c r="R298" s="16" t="str">
        <f t="shared" si="14"/>
        <v/>
      </c>
    </row>
    <row r="299" ht="15.75" customHeight="1">
      <c r="A299" s="7"/>
      <c r="B299" s="8"/>
      <c r="C299" s="8"/>
      <c r="D299" s="8"/>
      <c r="E299" s="8"/>
      <c r="F299" s="9"/>
      <c r="G299" s="10">
        <f>IFERROR(F299*VLOOKUP(D299,TELAS!$A$4:$C$32,3,FALSE()),0)</f>
        <v>0</v>
      </c>
      <c r="H299" s="11" t="str">
        <f>IFERROR(VLOOKUP(E299,COLORES!$A$4:$B$102,2,FALSE()),"")</f>
        <v/>
      </c>
      <c r="I299" s="12">
        <f>IFERROR(IF(H299="OSCURO",VLOOKUP(D299,PRECIOS!$A$4:$F$32,2,FALSE()),IF(H299="CLARO",VLOOKUP(D299,PRECIOS!$A$4:$F$32,3,FALSE()),IF(H299="MELANGE",VLOOKUP(D299,PRECIOS!$A$4:$F$32,4,FALSE()),IF(H299="PPT",VLOOKUP(D299,PRECIOS!$A$4:$F$32,5,FALSE()),0)))),0)</f>
        <v>0</v>
      </c>
      <c r="J299" s="12">
        <f t="shared" si="12"/>
        <v>0</v>
      </c>
      <c r="K299" s="13">
        <f>IFERROR(IF(C299="",0,SUMIFS($F$4:$F$298,$C$4:$C$298,C299,$D$4:$D$298,D299,$E$4:$E$298,E299,$B$4:$B$298,"INGRESO")+SUMIFS($F$4:$F$298,$C$4:$C$298,C299,$D$4:$D$298,D299,$E$4:$E$298,E299,$B$4:$B$298,"DE REPROCESO")+SUMIFS($F$4:$F$298,$C$4:$C$298,C299,$D$4:$D$298,D299,$E$4:$E$298,E299,$B$4:$B$298,"AJUSTE+")-SUMIFS($F$4:$F$298,$C$4:$C$298,C299,$D$4:$D$298,D299,$E$4:$E$298,E299,$B$4:$B$298,"A CORTE")-SUMIFS($F$4:$F$298,$C$4:$C$298,C299,$D$4:$D$298,D299,$E$4:$E$298,E299,$B$4:$B$298,"A REPROCESO")-SUMIFS($F$4:$F$298,$C$4:$C$298,C299,$D$4:$D$298,D299,$E$4:$E$298,E299,$B$4:$B$298,"MUESTRA")-SUMIFS($F$4:$F$298,$C$4:$C$298,C299,$D$4:$D$298,D299,$E$4:$E$298,E299,$B$4:$B$298,"AJUSTE-")),0)</f>
        <v>0</v>
      </c>
      <c r="L299" s="13">
        <f t="shared" si="13"/>
        <v>0</v>
      </c>
      <c r="M299" s="8"/>
      <c r="N299" s="14"/>
      <c r="O299" s="14"/>
      <c r="P299" s="14"/>
      <c r="Q299" s="15"/>
      <c r="R299" s="16" t="str">
        <f t="shared" si="14"/>
        <v/>
      </c>
    </row>
    <row r="300" ht="15.75" customHeight="1">
      <c r="A300" s="7"/>
      <c r="B300" s="8"/>
      <c r="C300" s="8"/>
      <c r="D300" s="8"/>
      <c r="E300" s="8"/>
      <c r="F300" s="9"/>
      <c r="G300" s="10">
        <f>IFERROR(F300*VLOOKUP(D300,TELAS!$A$4:$C$32,3,FALSE()),0)</f>
        <v>0</v>
      </c>
      <c r="H300" s="11" t="str">
        <f>IFERROR(VLOOKUP(E300,COLORES!$A$4:$B$102,2,FALSE()),"")</f>
        <v/>
      </c>
      <c r="I300" s="12">
        <f>IFERROR(IF(H300="OSCURO",VLOOKUP(D300,PRECIOS!$A$4:$F$32,2,FALSE()),IF(H300="CLARO",VLOOKUP(D300,PRECIOS!$A$4:$F$32,3,FALSE()),IF(H300="MELANGE",VLOOKUP(D300,PRECIOS!$A$4:$F$32,4,FALSE()),IF(H300="PPT",VLOOKUP(D300,PRECIOS!$A$4:$F$32,5,FALSE()),0)))),0)</f>
        <v>0</v>
      </c>
      <c r="J300" s="12">
        <f t="shared" si="12"/>
        <v>0</v>
      </c>
      <c r="K300" s="13">
        <f>IFERROR(IF(C300="",0,SUMIFS($F$4:$F$299,$C$4:$C$299,C300,$D$4:$D$299,D300,$E$4:$E$299,E300,$B$4:$B$299,"INGRESO")+SUMIFS($F$4:$F$299,$C$4:$C$299,C300,$D$4:$D$299,D300,$E$4:$E$299,E300,$B$4:$B$299,"DE REPROCESO")+SUMIFS($F$4:$F$299,$C$4:$C$299,C300,$D$4:$D$299,D300,$E$4:$E$299,E300,$B$4:$B$299,"AJUSTE+")-SUMIFS($F$4:$F$299,$C$4:$C$299,C300,$D$4:$D$299,D300,$E$4:$E$299,E300,$B$4:$B$299,"A CORTE")-SUMIFS($F$4:$F$299,$C$4:$C$299,C300,$D$4:$D$299,D300,$E$4:$E$299,E300,$B$4:$B$299,"A REPROCESO")-SUMIFS($F$4:$F$299,$C$4:$C$299,C300,$D$4:$D$299,D300,$E$4:$E$299,E300,$B$4:$B$299,"MUESTRA")-SUMIFS($F$4:$F$299,$C$4:$C$299,C300,$D$4:$D$299,D300,$E$4:$E$299,E300,$B$4:$B$299,"AJUSTE-")),0)</f>
        <v>0</v>
      </c>
      <c r="L300" s="13">
        <f t="shared" si="13"/>
        <v>0</v>
      </c>
      <c r="M300" s="8"/>
      <c r="N300" s="14"/>
      <c r="O300" s="14"/>
      <c r="P300" s="14"/>
      <c r="Q300" s="15"/>
      <c r="R300" s="16" t="str">
        <f t="shared" si="14"/>
        <v/>
      </c>
    </row>
    <row r="301" ht="15.75" customHeight="1">
      <c r="A301" s="7"/>
      <c r="B301" s="8"/>
      <c r="C301" s="8"/>
      <c r="D301" s="8"/>
      <c r="E301" s="8"/>
      <c r="F301" s="9"/>
      <c r="G301" s="10">
        <f>IFERROR(F301*VLOOKUP(D301,TELAS!$A$4:$C$32,3,FALSE()),0)</f>
        <v>0</v>
      </c>
      <c r="H301" s="11" t="str">
        <f>IFERROR(VLOOKUP(E301,COLORES!$A$4:$B$102,2,FALSE()),"")</f>
        <v/>
      </c>
      <c r="I301" s="12">
        <f>IFERROR(IF(H301="OSCURO",VLOOKUP(D301,PRECIOS!$A$4:$F$32,2,FALSE()),IF(H301="CLARO",VLOOKUP(D301,PRECIOS!$A$4:$F$32,3,FALSE()),IF(H301="MELANGE",VLOOKUP(D301,PRECIOS!$A$4:$F$32,4,FALSE()),IF(H301="PPT",VLOOKUP(D301,PRECIOS!$A$4:$F$32,5,FALSE()),0)))),0)</f>
        <v>0</v>
      </c>
      <c r="J301" s="12">
        <f t="shared" si="12"/>
        <v>0</v>
      </c>
      <c r="K301" s="13">
        <f>IFERROR(IF(C301="",0,SUMIFS($F$4:$F$300,$C$4:$C$300,C301,$D$4:$D$300,D301,$E$4:$E$300,E301,$B$4:$B$300,"INGRESO")+SUMIFS($F$4:$F$300,$C$4:$C$300,C301,$D$4:$D$300,D301,$E$4:$E$300,E301,$B$4:$B$300,"DE REPROCESO")+SUMIFS($F$4:$F$300,$C$4:$C$300,C301,$D$4:$D$300,D301,$E$4:$E$300,E301,$B$4:$B$300,"AJUSTE+")-SUMIFS($F$4:$F$300,$C$4:$C$300,C301,$D$4:$D$300,D301,$E$4:$E$300,E301,$B$4:$B$300,"A CORTE")-SUMIFS($F$4:$F$300,$C$4:$C$300,C301,$D$4:$D$300,D301,$E$4:$E$300,E301,$B$4:$B$300,"A REPROCESO")-SUMIFS($F$4:$F$300,$C$4:$C$300,C301,$D$4:$D$300,D301,$E$4:$E$300,E301,$B$4:$B$300,"MUESTRA")-SUMIFS($F$4:$F$300,$C$4:$C$300,C301,$D$4:$D$300,D301,$E$4:$E$300,E301,$B$4:$B$300,"AJUSTE-")),0)</f>
        <v>0</v>
      </c>
      <c r="L301" s="13">
        <f t="shared" si="13"/>
        <v>0</v>
      </c>
      <c r="M301" s="8"/>
      <c r="N301" s="14"/>
      <c r="O301" s="14"/>
      <c r="P301" s="14"/>
      <c r="Q301" s="15"/>
      <c r="R301" s="16" t="str">
        <f t="shared" si="14"/>
        <v/>
      </c>
    </row>
    <row r="302" ht="15.75" customHeight="1">
      <c r="A302" s="7"/>
      <c r="B302" s="8"/>
      <c r="C302" s="8"/>
      <c r="D302" s="8"/>
      <c r="E302" s="8"/>
      <c r="F302" s="9"/>
      <c r="G302" s="10">
        <f>IFERROR(F302*VLOOKUP(D302,TELAS!$A$4:$C$32,3,FALSE()),0)</f>
        <v>0</v>
      </c>
      <c r="H302" s="11" t="str">
        <f>IFERROR(VLOOKUP(E302,COLORES!$A$4:$B$102,2,FALSE()),"")</f>
        <v/>
      </c>
      <c r="I302" s="12">
        <f>IFERROR(IF(H302="OSCURO",VLOOKUP(D302,PRECIOS!$A$4:$F$32,2,FALSE()),IF(H302="CLARO",VLOOKUP(D302,PRECIOS!$A$4:$F$32,3,FALSE()),IF(H302="MELANGE",VLOOKUP(D302,PRECIOS!$A$4:$F$32,4,FALSE()),IF(H302="PPT",VLOOKUP(D302,PRECIOS!$A$4:$F$32,5,FALSE()),0)))),0)</f>
        <v>0</v>
      </c>
      <c r="J302" s="12">
        <f t="shared" si="12"/>
        <v>0</v>
      </c>
      <c r="K302" s="13">
        <f>IFERROR(IF(C302="",0,SUMIFS($F$4:$F$301,$C$4:$C$301,C302,$D$4:$D$301,D302,$E$4:$E$301,E302,$B$4:$B$301,"INGRESO")+SUMIFS($F$4:$F$301,$C$4:$C$301,C302,$D$4:$D$301,D302,$E$4:$E$301,E302,$B$4:$B$301,"DE REPROCESO")+SUMIFS($F$4:$F$301,$C$4:$C$301,C302,$D$4:$D$301,D302,$E$4:$E$301,E302,$B$4:$B$301,"AJUSTE+")-SUMIFS($F$4:$F$301,$C$4:$C$301,C302,$D$4:$D$301,D302,$E$4:$E$301,E302,$B$4:$B$301,"A CORTE")-SUMIFS($F$4:$F$301,$C$4:$C$301,C302,$D$4:$D$301,D302,$E$4:$E$301,E302,$B$4:$B$301,"A REPROCESO")-SUMIFS($F$4:$F$301,$C$4:$C$301,C302,$D$4:$D$301,D302,$E$4:$E$301,E302,$B$4:$B$301,"MUESTRA")-SUMIFS($F$4:$F$301,$C$4:$C$301,C302,$D$4:$D$301,D302,$E$4:$E$301,E302,$B$4:$B$301,"AJUSTE-")),0)</f>
        <v>0</v>
      </c>
      <c r="L302" s="13">
        <f t="shared" si="13"/>
        <v>0</v>
      </c>
      <c r="M302" s="8"/>
      <c r="N302" s="14"/>
      <c r="O302" s="14"/>
      <c r="P302" s="14"/>
      <c r="Q302" s="15"/>
      <c r="R302" s="16" t="str">
        <f t="shared" si="14"/>
        <v/>
      </c>
    </row>
    <row r="303" ht="15.75" customHeight="1">
      <c r="A303" s="7"/>
      <c r="B303" s="8"/>
      <c r="C303" s="8"/>
      <c r="D303" s="8"/>
      <c r="E303" s="8"/>
      <c r="F303" s="9"/>
      <c r="G303" s="10">
        <f>IFERROR(F303*VLOOKUP(D303,TELAS!$A$4:$C$32,3,FALSE()),0)</f>
        <v>0</v>
      </c>
      <c r="H303" s="11" t="str">
        <f>IFERROR(VLOOKUP(E303,COLORES!$A$4:$B$102,2,FALSE()),"")</f>
        <v/>
      </c>
      <c r="I303" s="12">
        <f>IFERROR(IF(H303="OSCURO",VLOOKUP(D303,PRECIOS!$A$4:$F$32,2,FALSE()),IF(H303="CLARO",VLOOKUP(D303,PRECIOS!$A$4:$F$32,3,FALSE()),IF(H303="MELANGE",VLOOKUP(D303,PRECIOS!$A$4:$F$32,4,FALSE()),IF(H303="PPT",VLOOKUP(D303,PRECIOS!$A$4:$F$32,5,FALSE()),0)))),0)</f>
        <v>0</v>
      </c>
      <c r="J303" s="12">
        <f t="shared" si="12"/>
        <v>0</v>
      </c>
      <c r="K303" s="13">
        <f>IFERROR(IF(C303="",0,SUMIFS($F$4:$F$302,$C$4:$C$302,C303,$D$4:$D$302,D303,$E$4:$E$302,E303,$B$4:$B$302,"INGRESO")+SUMIFS($F$4:$F$302,$C$4:$C$302,C303,$D$4:$D$302,D303,$E$4:$E$302,E303,$B$4:$B$302,"DE REPROCESO")+SUMIFS($F$4:$F$302,$C$4:$C$302,C303,$D$4:$D$302,D303,$E$4:$E$302,E303,$B$4:$B$302,"AJUSTE+")-SUMIFS($F$4:$F$302,$C$4:$C$302,C303,$D$4:$D$302,D303,$E$4:$E$302,E303,$B$4:$B$302,"A CORTE")-SUMIFS($F$4:$F$302,$C$4:$C$302,C303,$D$4:$D$302,D303,$E$4:$E$302,E303,$B$4:$B$302,"A REPROCESO")-SUMIFS($F$4:$F$302,$C$4:$C$302,C303,$D$4:$D$302,D303,$E$4:$E$302,E303,$B$4:$B$302,"MUESTRA")-SUMIFS($F$4:$F$302,$C$4:$C$302,C303,$D$4:$D$302,D303,$E$4:$E$302,E303,$B$4:$B$302,"AJUSTE-")),0)</f>
        <v>0</v>
      </c>
      <c r="L303" s="13">
        <f t="shared" si="13"/>
        <v>0</v>
      </c>
      <c r="M303" s="8"/>
      <c r="N303" s="14"/>
      <c r="O303" s="14"/>
      <c r="P303" s="14"/>
      <c r="Q303" s="15"/>
      <c r="R303" s="16" t="str">
        <f t="shared" si="14"/>
        <v/>
      </c>
    </row>
    <row r="304" ht="15.75" customHeight="1">
      <c r="A304" s="7"/>
      <c r="B304" s="8"/>
      <c r="C304" s="8"/>
      <c r="D304" s="8"/>
      <c r="E304" s="8"/>
      <c r="F304" s="9"/>
      <c r="G304" s="10">
        <f>IFERROR(F304*VLOOKUP(D304,TELAS!$A$4:$C$32,3,FALSE()),0)</f>
        <v>0</v>
      </c>
      <c r="H304" s="11" t="str">
        <f>IFERROR(VLOOKUP(E304,COLORES!$A$4:$B$102,2,FALSE()),"")</f>
        <v/>
      </c>
      <c r="I304" s="12">
        <f>IFERROR(IF(H304="OSCURO",VLOOKUP(D304,PRECIOS!$A$4:$F$32,2,FALSE()),IF(H304="CLARO",VLOOKUP(D304,PRECIOS!$A$4:$F$32,3,FALSE()),IF(H304="MELANGE",VLOOKUP(D304,PRECIOS!$A$4:$F$32,4,FALSE()),IF(H304="PPT",VLOOKUP(D304,PRECIOS!$A$4:$F$32,5,FALSE()),0)))),0)</f>
        <v>0</v>
      </c>
      <c r="J304" s="12">
        <f t="shared" si="12"/>
        <v>0</v>
      </c>
      <c r="K304" s="13">
        <f>IFERROR(IF(C304="",0,SUMIFS($F$4:$F$303,$C$4:$C$303,C304,$D$4:$D$303,D304,$E$4:$E$303,E304,$B$4:$B$303,"INGRESO")+SUMIFS($F$4:$F$303,$C$4:$C$303,C304,$D$4:$D$303,D304,$E$4:$E$303,E304,$B$4:$B$303,"DE REPROCESO")+SUMIFS($F$4:$F$303,$C$4:$C$303,C304,$D$4:$D$303,D304,$E$4:$E$303,E304,$B$4:$B$303,"AJUSTE+")-SUMIFS($F$4:$F$303,$C$4:$C$303,C304,$D$4:$D$303,D304,$E$4:$E$303,E304,$B$4:$B$303,"A CORTE")-SUMIFS($F$4:$F$303,$C$4:$C$303,C304,$D$4:$D$303,D304,$E$4:$E$303,E304,$B$4:$B$303,"A REPROCESO")-SUMIFS($F$4:$F$303,$C$4:$C$303,C304,$D$4:$D$303,D304,$E$4:$E$303,E304,$B$4:$B$303,"MUESTRA")-SUMIFS($F$4:$F$303,$C$4:$C$303,C304,$D$4:$D$303,D304,$E$4:$E$303,E304,$B$4:$B$303,"AJUSTE-")),0)</f>
        <v>0</v>
      </c>
      <c r="L304" s="13">
        <f t="shared" si="13"/>
        <v>0</v>
      </c>
      <c r="M304" s="8"/>
      <c r="N304" s="14"/>
      <c r="O304" s="14"/>
      <c r="P304" s="14"/>
      <c r="Q304" s="15"/>
      <c r="R304" s="16" t="str">
        <f t="shared" si="14"/>
        <v/>
      </c>
    </row>
    <row r="305" ht="15.75" customHeight="1">
      <c r="A305" s="7"/>
      <c r="B305" s="8"/>
      <c r="C305" s="8"/>
      <c r="D305" s="8"/>
      <c r="E305" s="8"/>
      <c r="F305" s="9"/>
      <c r="G305" s="10">
        <f>IFERROR(F305*VLOOKUP(D305,TELAS!$A$4:$C$32,3,FALSE()),0)</f>
        <v>0</v>
      </c>
      <c r="H305" s="11" t="str">
        <f>IFERROR(VLOOKUP(E305,COLORES!$A$4:$B$102,2,FALSE()),"")</f>
        <v/>
      </c>
      <c r="I305" s="12">
        <f>IFERROR(IF(H305="OSCURO",VLOOKUP(D305,PRECIOS!$A$4:$F$32,2,FALSE()),IF(H305="CLARO",VLOOKUP(D305,PRECIOS!$A$4:$F$32,3,FALSE()),IF(H305="MELANGE",VLOOKUP(D305,PRECIOS!$A$4:$F$32,4,FALSE()),IF(H305="PPT",VLOOKUP(D305,PRECIOS!$A$4:$F$32,5,FALSE()),0)))),0)</f>
        <v>0</v>
      </c>
      <c r="J305" s="12">
        <f t="shared" si="12"/>
        <v>0</v>
      </c>
      <c r="K305" s="13">
        <f>IFERROR(IF(C305="",0,SUMIFS($F$4:$F$304,$C$4:$C$304,C305,$D$4:$D$304,D305,$E$4:$E$304,E305,$B$4:$B$304,"INGRESO")+SUMIFS($F$4:$F$304,$C$4:$C$304,C305,$D$4:$D$304,D305,$E$4:$E$304,E305,$B$4:$B$304,"DE REPROCESO")+SUMIFS($F$4:$F$304,$C$4:$C$304,C305,$D$4:$D$304,D305,$E$4:$E$304,E305,$B$4:$B$304,"AJUSTE+")-SUMIFS($F$4:$F$304,$C$4:$C$304,C305,$D$4:$D$304,D305,$E$4:$E$304,E305,$B$4:$B$304,"A CORTE")-SUMIFS($F$4:$F$304,$C$4:$C$304,C305,$D$4:$D$304,D305,$E$4:$E$304,E305,$B$4:$B$304,"A REPROCESO")-SUMIFS($F$4:$F$304,$C$4:$C$304,C305,$D$4:$D$304,D305,$E$4:$E$304,E305,$B$4:$B$304,"MUESTRA")-SUMIFS($F$4:$F$304,$C$4:$C$304,C305,$D$4:$D$304,D305,$E$4:$E$304,E305,$B$4:$B$304,"AJUSTE-")),0)</f>
        <v>0</v>
      </c>
      <c r="L305" s="13">
        <f t="shared" si="13"/>
        <v>0</v>
      </c>
      <c r="M305" s="8"/>
      <c r="N305" s="14"/>
      <c r="O305" s="14"/>
      <c r="P305" s="14"/>
      <c r="Q305" s="15"/>
      <c r="R305" s="16" t="str">
        <f t="shared" si="14"/>
        <v/>
      </c>
    </row>
    <row r="306" ht="15.75" customHeight="1">
      <c r="A306" s="7"/>
      <c r="B306" s="8"/>
      <c r="C306" s="8"/>
      <c r="D306" s="8"/>
      <c r="E306" s="8"/>
      <c r="F306" s="9"/>
      <c r="G306" s="10">
        <f>IFERROR(F306*VLOOKUP(D306,TELAS!$A$4:$C$32,3,FALSE()),0)</f>
        <v>0</v>
      </c>
      <c r="H306" s="11" t="str">
        <f>IFERROR(VLOOKUP(E306,COLORES!$A$4:$B$102,2,FALSE()),"")</f>
        <v/>
      </c>
      <c r="I306" s="12">
        <f>IFERROR(IF(H306="OSCURO",VLOOKUP(D306,PRECIOS!$A$4:$F$32,2,FALSE()),IF(H306="CLARO",VLOOKUP(D306,PRECIOS!$A$4:$F$32,3,FALSE()),IF(H306="MELANGE",VLOOKUP(D306,PRECIOS!$A$4:$F$32,4,FALSE()),IF(H306="PPT",VLOOKUP(D306,PRECIOS!$A$4:$F$32,5,FALSE()),0)))),0)</f>
        <v>0</v>
      </c>
      <c r="J306" s="12">
        <f t="shared" si="12"/>
        <v>0</v>
      </c>
      <c r="K306" s="13">
        <f>IFERROR(IF(C306="",0,SUMIFS($F$4:$F$305,$C$4:$C$305,C306,$D$4:$D$305,D306,$E$4:$E$305,E306,$B$4:$B$305,"INGRESO")+SUMIFS($F$4:$F$305,$C$4:$C$305,C306,$D$4:$D$305,D306,$E$4:$E$305,E306,$B$4:$B$305,"DE REPROCESO")+SUMIFS($F$4:$F$305,$C$4:$C$305,C306,$D$4:$D$305,D306,$E$4:$E$305,E306,$B$4:$B$305,"AJUSTE+")-SUMIFS($F$4:$F$305,$C$4:$C$305,C306,$D$4:$D$305,D306,$E$4:$E$305,E306,$B$4:$B$305,"A CORTE")-SUMIFS($F$4:$F$305,$C$4:$C$305,C306,$D$4:$D$305,D306,$E$4:$E$305,E306,$B$4:$B$305,"A REPROCESO")-SUMIFS($F$4:$F$305,$C$4:$C$305,C306,$D$4:$D$305,D306,$E$4:$E$305,E306,$B$4:$B$305,"MUESTRA")-SUMIFS($F$4:$F$305,$C$4:$C$305,C306,$D$4:$D$305,D306,$E$4:$E$305,E306,$B$4:$B$305,"AJUSTE-")),0)</f>
        <v>0</v>
      </c>
      <c r="L306" s="13">
        <f t="shared" si="13"/>
        <v>0</v>
      </c>
      <c r="M306" s="8"/>
      <c r="N306" s="14"/>
      <c r="O306" s="14"/>
      <c r="P306" s="14"/>
      <c r="Q306" s="15"/>
      <c r="R306" s="16" t="str">
        <f t="shared" si="14"/>
        <v/>
      </c>
    </row>
    <row r="307" ht="15.75" customHeight="1">
      <c r="A307" s="7"/>
      <c r="B307" s="8"/>
      <c r="C307" s="8"/>
      <c r="D307" s="8"/>
      <c r="E307" s="8"/>
      <c r="F307" s="9"/>
      <c r="G307" s="10">
        <f>IFERROR(F307*VLOOKUP(D307,TELAS!$A$4:$C$32,3,FALSE()),0)</f>
        <v>0</v>
      </c>
      <c r="H307" s="11" t="str">
        <f>IFERROR(VLOOKUP(E307,COLORES!$A$4:$B$102,2,FALSE()),"")</f>
        <v/>
      </c>
      <c r="I307" s="12">
        <f>IFERROR(IF(H307="OSCURO",VLOOKUP(D307,PRECIOS!$A$4:$F$32,2,FALSE()),IF(H307="CLARO",VLOOKUP(D307,PRECIOS!$A$4:$F$32,3,FALSE()),IF(H307="MELANGE",VLOOKUP(D307,PRECIOS!$A$4:$F$32,4,FALSE()),IF(H307="PPT",VLOOKUP(D307,PRECIOS!$A$4:$F$32,5,FALSE()),0)))),0)</f>
        <v>0</v>
      </c>
      <c r="J307" s="12">
        <f t="shared" si="12"/>
        <v>0</v>
      </c>
      <c r="K307" s="13">
        <f>IFERROR(IF(C307="",0,SUMIFS($F$4:$F$306,$C$4:$C$306,C307,$D$4:$D$306,D307,$E$4:$E$306,E307,$B$4:$B$306,"INGRESO")+SUMIFS($F$4:$F$306,$C$4:$C$306,C307,$D$4:$D$306,D307,$E$4:$E$306,E307,$B$4:$B$306,"DE REPROCESO")+SUMIFS($F$4:$F$306,$C$4:$C$306,C307,$D$4:$D$306,D307,$E$4:$E$306,E307,$B$4:$B$306,"AJUSTE+")-SUMIFS($F$4:$F$306,$C$4:$C$306,C307,$D$4:$D$306,D307,$E$4:$E$306,E307,$B$4:$B$306,"A CORTE")-SUMIFS($F$4:$F$306,$C$4:$C$306,C307,$D$4:$D$306,D307,$E$4:$E$306,E307,$B$4:$B$306,"A REPROCESO")-SUMIFS($F$4:$F$306,$C$4:$C$306,C307,$D$4:$D$306,D307,$E$4:$E$306,E307,$B$4:$B$306,"MUESTRA")-SUMIFS($F$4:$F$306,$C$4:$C$306,C307,$D$4:$D$306,D307,$E$4:$E$306,E307,$B$4:$B$306,"AJUSTE-")),0)</f>
        <v>0</v>
      </c>
      <c r="L307" s="13">
        <f t="shared" si="13"/>
        <v>0</v>
      </c>
      <c r="M307" s="8"/>
      <c r="N307" s="14"/>
      <c r="O307" s="14"/>
      <c r="P307" s="14"/>
      <c r="Q307" s="15"/>
      <c r="R307" s="16" t="str">
        <f t="shared" si="14"/>
        <v/>
      </c>
    </row>
    <row r="308" ht="15.75" customHeight="1">
      <c r="A308" s="7"/>
      <c r="B308" s="8"/>
      <c r="C308" s="8"/>
      <c r="D308" s="8"/>
      <c r="E308" s="8"/>
      <c r="F308" s="9"/>
      <c r="G308" s="10">
        <f>IFERROR(F308*VLOOKUP(D308,TELAS!$A$4:$C$32,3,FALSE()),0)</f>
        <v>0</v>
      </c>
      <c r="H308" s="11" t="str">
        <f>IFERROR(VLOOKUP(E308,COLORES!$A$4:$B$102,2,FALSE()),"")</f>
        <v/>
      </c>
      <c r="I308" s="12">
        <f>IFERROR(IF(H308="OSCURO",VLOOKUP(D308,PRECIOS!$A$4:$F$32,2,FALSE()),IF(H308="CLARO",VLOOKUP(D308,PRECIOS!$A$4:$F$32,3,FALSE()),IF(H308="MELANGE",VLOOKUP(D308,PRECIOS!$A$4:$F$32,4,FALSE()),IF(H308="PPT",VLOOKUP(D308,PRECIOS!$A$4:$F$32,5,FALSE()),0)))),0)</f>
        <v>0</v>
      </c>
      <c r="J308" s="12">
        <f t="shared" si="12"/>
        <v>0</v>
      </c>
      <c r="K308" s="13">
        <f>IFERROR(IF(C308="",0,SUMIFS($F$4:$F$307,$C$4:$C$307,C308,$D$4:$D$307,D308,$E$4:$E$307,E308,$B$4:$B$307,"INGRESO")+SUMIFS($F$4:$F$307,$C$4:$C$307,C308,$D$4:$D$307,D308,$E$4:$E$307,E308,$B$4:$B$307,"DE REPROCESO")+SUMIFS($F$4:$F$307,$C$4:$C$307,C308,$D$4:$D$307,D308,$E$4:$E$307,E308,$B$4:$B$307,"AJUSTE+")-SUMIFS($F$4:$F$307,$C$4:$C$307,C308,$D$4:$D$307,D308,$E$4:$E$307,E308,$B$4:$B$307,"A CORTE")-SUMIFS($F$4:$F$307,$C$4:$C$307,C308,$D$4:$D$307,D308,$E$4:$E$307,E308,$B$4:$B$307,"A REPROCESO")-SUMIFS($F$4:$F$307,$C$4:$C$307,C308,$D$4:$D$307,D308,$E$4:$E$307,E308,$B$4:$B$307,"MUESTRA")-SUMIFS($F$4:$F$307,$C$4:$C$307,C308,$D$4:$D$307,D308,$E$4:$E$307,E308,$B$4:$B$307,"AJUSTE-")),0)</f>
        <v>0</v>
      </c>
      <c r="L308" s="13">
        <f t="shared" si="13"/>
        <v>0</v>
      </c>
      <c r="M308" s="8"/>
      <c r="N308" s="14"/>
      <c r="O308" s="14"/>
      <c r="P308" s="14"/>
      <c r="Q308" s="15"/>
      <c r="R308" s="16" t="str">
        <f t="shared" si="14"/>
        <v/>
      </c>
    </row>
    <row r="309" ht="15.75" customHeight="1">
      <c r="A309" s="7"/>
      <c r="B309" s="8"/>
      <c r="C309" s="8"/>
      <c r="D309" s="8"/>
      <c r="E309" s="8"/>
      <c r="F309" s="9"/>
      <c r="G309" s="10">
        <f>IFERROR(F309*VLOOKUP(D309,TELAS!$A$4:$C$32,3,FALSE()),0)</f>
        <v>0</v>
      </c>
      <c r="H309" s="11" t="str">
        <f>IFERROR(VLOOKUP(E309,COLORES!$A$4:$B$102,2,FALSE()),"")</f>
        <v/>
      </c>
      <c r="I309" s="12">
        <f>IFERROR(IF(H309="OSCURO",VLOOKUP(D309,PRECIOS!$A$4:$F$32,2,FALSE()),IF(H309="CLARO",VLOOKUP(D309,PRECIOS!$A$4:$F$32,3,FALSE()),IF(H309="MELANGE",VLOOKUP(D309,PRECIOS!$A$4:$F$32,4,FALSE()),IF(H309="PPT",VLOOKUP(D309,PRECIOS!$A$4:$F$32,5,FALSE()),0)))),0)</f>
        <v>0</v>
      </c>
      <c r="J309" s="12">
        <f t="shared" si="12"/>
        <v>0</v>
      </c>
      <c r="K309" s="13">
        <f>IFERROR(IF(C309="",0,SUMIFS($F$4:$F$308,$C$4:$C$308,C309,$D$4:$D$308,D309,$E$4:$E$308,E309,$B$4:$B$308,"INGRESO")+SUMIFS($F$4:$F$308,$C$4:$C$308,C309,$D$4:$D$308,D309,$E$4:$E$308,E309,$B$4:$B$308,"DE REPROCESO")+SUMIFS($F$4:$F$308,$C$4:$C$308,C309,$D$4:$D$308,D309,$E$4:$E$308,E309,$B$4:$B$308,"AJUSTE+")-SUMIFS($F$4:$F$308,$C$4:$C$308,C309,$D$4:$D$308,D309,$E$4:$E$308,E309,$B$4:$B$308,"A CORTE")-SUMIFS($F$4:$F$308,$C$4:$C$308,C309,$D$4:$D$308,D309,$E$4:$E$308,E309,$B$4:$B$308,"A REPROCESO")-SUMIFS($F$4:$F$308,$C$4:$C$308,C309,$D$4:$D$308,D309,$E$4:$E$308,E309,$B$4:$B$308,"MUESTRA")-SUMIFS($F$4:$F$308,$C$4:$C$308,C309,$D$4:$D$308,D309,$E$4:$E$308,E309,$B$4:$B$308,"AJUSTE-")),0)</f>
        <v>0</v>
      </c>
      <c r="L309" s="13">
        <f t="shared" si="13"/>
        <v>0</v>
      </c>
      <c r="M309" s="8"/>
      <c r="N309" s="14"/>
      <c r="O309" s="14"/>
      <c r="P309" s="14"/>
      <c r="Q309" s="15"/>
      <c r="R309" s="16" t="str">
        <f t="shared" si="14"/>
        <v/>
      </c>
    </row>
    <row r="310" ht="15.75" customHeight="1">
      <c r="A310" s="7"/>
      <c r="B310" s="8"/>
      <c r="C310" s="8"/>
      <c r="D310" s="8"/>
      <c r="E310" s="8"/>
      <c r="F310" s="9"/>
      <c r="G310" s="10">
        <f>IFERROR(F310*VLOOKUP(D310,TELAS!$A$4:$C$32,3,FALSE()),0)</f>
        <v>0</v>
      </c>
      <c r="H310" s="11" t="str">
        <f>IFERROR(VLOOKUP(E310,COLORES!$A$4:$B$102,2,FALSE()),"")</f>
        <v/>
      </c>
      <c r="I310" s="12">
        <f>IFERROR(IF(H310="OSCURO",VLOOKUP(D310,PRECIOS!$A$4:$F$32,2,FALSE()),IF(H310="CLARO",VLOOKUP(D310,PRECIOS!$A$4:$F$32,3,FALSE()),IF(H310="MELANGE",VLOOKUP(D310,PRECIOS!$A$4:$F$32,4,FALSE()),IF(H310="PPT",VLOOKUP(D310,PRECIOS!$A$4:$F$32,5,FALSE()),0)))),0)</f>
        <v>0</v>
      </c>
      <c r="J310" s="12">
        <f t="shared" si="12"/>
        <v>0</v>
      </c>
      <c r="K310" s="13">
        <f>IFERROR(IF(C310="",0,SUMIFS($F$4:$F$309,$C$4:$C$309,C310,$D$4:$D$309,D310,$E$4:$E$309,E310,$B$4:$B$309,"INGRESO")+SUMIFS($F$4:$F$309,$C$4:$C$309,C310,$D$4:$D$309,D310,$E$4:$E$309,E310,$B$4:$B$309,"DE REPROCESO")+SUMIFS($F$4:$F$309,$C$4:$C$309,C310,$D$4:$D$309,D310,$E$4:$E$309,E310,$B$4:$B$309,"AJUSTE+")-SUMIFS($F$4:$F$309,$C$4:$C$309,C310,$D$4:$D$309,D310,$E$4:$E$309,E310,$B$4:$B$309,"A CORTE")-SUMIFS($F$4:$F$309,$C$4:$C$309,C310,$D$4:$D$309,D310,$E$4:$E$309,E310,$B$4:$B$309,"A REPROCESO")-SUMIFS($F$4:$F$309,$C$4:$C$309,C310,$D$4:$D$309,D310,$E$4:$E$309,E310,$B$4:$B$309,"MUESTRA")-SUMIFS($F$4:$F$309,$C$4:$C$309,C310,$D$4:$D$309,D310,$E$4:$E$309,E310,$B$4:$B$309,"AJUSTE-")),0)</f>
        <v>0</v>
      </c>
      <c r="L310" s="13">
        <f t="shared" si="13"/>
        <v>0</v>
      </c>
      <c r="M310" s="8"/>
      <c r="N310" s="14"/>
      <c r="O310" s="14"/>
      <c r="P310" s="14"/>
      <c r="Q310" s="15"/>
      <c r="R310" s="16" t="str">
        <f t="shared" si="14"/>
        <v/>
      </c>
    </row>
    <row r="311" ht="15.75" customHeight="1">
      <c r="A311" s="7"/>
      <c r="B311" s="8"/>
      <c r="C311" s="8"/>
      <c r="D311" s="8"/>
      <c r="E311" s="8"/>
      <c r="F311" s="9"/>
      <c r="G311" s="10">
        <f>IFERROR(F311*VLOOKUP(D311,TELAS!$A$4:$C$32,3,FALSE()),0)</f>
        <v>0</v>
      </c>
      <c r="H311" s="11" t="str">
        <f>IFERROR(VLOOKUP(E311,COLORES!$A$4:$B$102,2,FALSE()),"")</f>
        <v/>
      </c>
      <c r="I311" s="12">
        <f>IFERROR(IF(H311="OSCURO",VLOOKUP(D311,PRECIOS!$A$4:$F$32,2,FALSE()),IF(H311="CLARO",VLOOKUP(D311,PRECIOS!$A$4:$F$32,3,FALSE()),IF(H311="MELANGE",VLOOKUP(D311,PRECIOS!$A$4:$F$32,4,FALSE()),IF(H311="PPT",VLOOKUP(D311,PRECIOS!$A$4:$F$32,5,FALSE()),0)))),0)</f>
        <v>0</v>
      </c>
      <c r="J311" s="12">
        <f t="shared" si="12"/>
        <v>0</v>
      </c>
      <c r="K311" s="13">
        <f>IFERROR(IF(C311="",0,SUMIFS($F$4:$F$310,$C$4:$C$310,C311,$D$4:$D$310,D311,$E$4:$E$310,E311,$B$4:$B$310,"INGRESO")+SUMIFS($F$4:$F$310,$C$4:$C$310,C311,$D$4:$D$310,D311,$E$4:$E$310,E311,$B$4:$B$310,"DE REPROCESO")+SUMIFS($F$4:$F$310,$C$4:$C$310,C311,$D$4:$D$310,D311,$E$4:$E$310,E311,$B$4:$B$310,"AJUSTE+")-SUMIFS($F$4:$F$310,$C$4:$C$310,C311,$D$4:$D$310,D311,$E$4:$E$310,E311,$B$4:$B$310,"A CORTE")-SUMIFS($F$4:$F$310,$C$4:$C$310,C311,$D$4:$D$310,D311,$E$4:$E$310,E311,$B$4:$B$310,"A REPROCESO")-SUMIFS($F$4:$F$310,$C$4:$C$310,C311,$D$4:$D$310,D311,$E$4:$E$310,E311,$B$4:$B$310,"MUESTRA")-SUMIFS($F$4:$F$310,$C$4:$C$310,C311,$D$4:$D$310,D311,$E$4:$E$310,E311,$B$4:$B$310,"AJUSTE-")),0)</f>
        <v>0</v>
      </c>
      <c r="L311" s="13">
        <f t="shared" si="13"/>
        <v>0</v>
      </c>
      <c r="M311" s="8"/>
      <c r="N311" s="14"/>
      <c r="O311" s="14"/>
      <c r="P311" s="14"/>
      <c r="Q311" s="15"/>
      <c r="R311" s="16" t="str">
        <f t="shared" si="14"/>
        <v/>
      </c>
    </row>
    <row r="312" ht="15.75" customHeight="1">
      <c r="A312" s="7"/>
      <c r="B312" s="8"/>
      <c r="C312" s="8"/>
      <c r="D312" s="8"/>
      <c r="E312" s="8"/>
      <c r="F312" s="9"/>
      <c r="G312" s="10">
        <f>IFERROR(F312*VLOOKUP(D312,TELAS!$A$4:$C$32,3,FALSE()),0)</f>
        <v>0</v>
      </c>
      <c r="H312" s="11" t="str">
        <f>IFERROR(VLOOKUP(E312,COLORES!$A$4:$B$102,2,FALSE()),"")</f>
        <v/>
      </c>
      <c r="I312" s="12">
        <f>IFERROR(IF(H312="OSCURO",VLOOKUP(D312,PRECIOS!$A$4:$F$32,2,FALSE()),IF(H312="CLARO",VLOOKUP(D312,PRECIOS!$A$4:$F$32,3,FALSE()),IF(H312="MELANGE",VLOOKUP(D312,PRECIOS!$A$4:$F$32,4,FALSE()),IF(H312="PPT",VLOOKUP(D312,PRECIOS!$A$4:$F$32,5,FALSE()),0)))),0)</f>
        <v>0</v>
      </c>
      <c r="J312" s="12">
        <f t="shared" si="12"/>
        <v>0</v>
      </c>
      <c r="K312" s="13">
        <f>IFERROR(IF(C312="",0,SUMIFS($F$4:$F$311,$C$4:$C$311,C312,$D$4:$D$311,D312,$E$4:$E$311,E312,$B$4:$B$311,"INGRESO")+SUMIFS($F$4:$F$311,$C$4:$C$311,C312,$D$4:$D$311,D312,$E$4:$E$311,E312,$B$4:$B$311,"DE REPROCESO")+SUMIFS($F$4:$F$311,$C$4:$C$311,C312,$D$4:$D$311,D312,$E$4:$E$311,E312,$B$4:$B$311,"AJUSTE+")-SUMIFS($F$4:$F$311,$C$4:$C$311,C312,$D$4:$D$311,D312,$E$4:$E$311,E312,$B$4:$B$311,"A CORTE")-SUMIFS($F$4:$F$311,$C$4:$C$311,C312,$D$4:$D$311,D312,$E$4:$E$311,E312,$B$4:$B$311,"A REPROCESO")-SUMIFS($F$4:$F$311,$C$4:$C$311,C312,$D$4:$D$311,D312,$E$4:$E$311,E312,$B$4:$B$311,"MUESTRA")-SUMIFS($F$4:$F$311,$C$4:$C$311,C312,$D$4:$D$311,D312,$E$4:$E$311,E312,$B$4:$B$311,"AJUSTE-")),0)</f>
        <v>0</v>
      </c>
      <c r="L312" s="13">
        <f t="shared" si="13"/>
        <v>0</v>
      </c>
      <c r="M312" s="8"/>
      <c r="N312" s="14"/>
      <c r="O312" s="14"/>
      <c r="P312" s="14"/>
      <c r="Q312" s="15"/>
      <c r="R312" s="16" t="str">
        <f t="shared" si="14"/>
        <v/>
      </c>
    </row>
    <row r="313" ht="15.75" customHeight="1">
      <c r="A313" s="7"/>
      <c r="B313" s="8"/>
      <c r="C313" s="8"/>
      <c r="D313" s="8"/>
      <c r="E313" s="8"/>
      <c r="F313" s="9"/>
      <c r="G313" s="10">
        <f>IFERROR(F313*VLOOKUP(D313,TELAS!$A$4:$C$32,3,FALSE()),0)</f>
        <v>0</v>
      </c>
      <c r="H313" s="11" t="str">
        <f>IFERROR(VLOOKUP(E313,COLORES!$A$4:$B$102,2,FALSE()),"")</f>
        <v/>
      </c>
      <c r="I313" s="12">
        <f>IFERROR(IF(H313="OSCURO",VLOOKUP(D313,PRECIOS!$A$4:$F$32,2,FALSE()),IF(H313="CLARO",VLOOKUP(D313,PRECIOS!$A$4:$F$32,3,FALSE()),IF(H313="MELANGE",VLOOKUP(D313,PRECIOS!$A$4:$F$32,4,FALSE()),IF(H313="PPT",VLOOKUP(D313,PRECIOS!$A$4:$F$32,5,FALSE()),0)))),0)</f>
        <v>0</v>
      </c>
      <c r="J313" s="12">
        <f t="shared" si="12"/>
        <v>0</v>
      </c>
      <c r="K313" s="13">
        <f>IFERROR(IF(C313="",0,SUMIFS($F$4:$F$312,$C$4:$C$312,C313,$D$4:$D$312,D313,$E$4:$E$312,E313,$B$4:$B$312,"INGRESO")+SUMIFS($F$4:$F$312,$C$4:$C$312,C313,$D$4:$D$312,D313,$E$4:$E$312,E313,$B$4:$B$312,"DE REPROCESO")+SUMIFS($F$4:$F$312,$C$4:$C$312,C313,$D$4:$D$312,D313,$E$4:$E$312,E313,$B$4:$B$312,"AJUSTE+")-SUMIFS($F$4:$F$312,$C$4:$C$312,C313,$D$4:$D$312,D313,$E$4:$E$312,E313,$B$4:$B$312,"A CORTE")-SUMIFS($F$4:$F$312,$C$4:$C$312,C313,$D$4:$D$312,D313,$E$4:$E$312,E313,$B$4:$B$312,"A REPROCESO")-SUMIFS($F$4:$F$312,$C$4:$C$312,C313,$D$4:$D$312,D313,$E$4:$E$312,E313,$B$4:$B$312,"MUESTRA")-SUMIFS($F$4:$F$312,$C$4:$C$312,C313,$D$4:$D$312,D313,$E$4:$E$312,E313,$B$4:$B$312,"AJUSTE-")),0)</f>
        <v>0</v>
      </c>
      <c r="L313" s="13">
        <f t="shared" si="13"/>
        <v>0</v>
      </c>
      <c r="M313" s="8"/>
      <c r="N313" s="14"/>
      <c r="O313" s="14"/>
      <c r="P313" s="14"/>
      <c r="Q313" s="15"/>
      <c r="R313" s="16" t="str">
        <f t="shared" si="14"/>
        <v/>
      </c>
    </row>
    <row r="314" ht="15.75" customHeight="1">
      <c r="A314" s="7"/>
      <c r="B314" s="8"/>
      <c r="C314" s="8"/>
      <c r="D314" s="8"/>
      <c r="E314" s="8"/>
      <c r="F314" s="9"/>
      <c r="G314" s="10">
        <f>IFERROR(F314*VLOOKUP(D314,TELAS!$A$4:$C$32,3,FALSE()),0)</f>
        <v>0</v>
      </c>
      <c r="H314" s="11" t="str">
        <f>IFERROR(VLOOKUP(E314,COLORES!$A$4:$B$102,2,FALSE()),"")</f>
        <v/>
      </c>
      <c r="I314" s="12">
        <f>IFERROR(IF(H314="OSCURO",VLOOKUP(D314,PRECIOS!$A$4:$F$32,2,FALSE()),IF(H314="CLARO",VLOOKUP(D314,PRECIOS!$A$4:$F$32,3,FALSE()),IF(H314="MELANGE",VLOOKUP(D314,PRECIOS!$A$4:$F$32,4,FALSE()),IF(H314="PPT",VLOOKUP(D314,PRECIOS!$A$4:$F$32,5,FALSE()),0)))),0)</f>
        <v>0</v>
      </c>
      <c r="J314" s="12">
        <f t="shared" si="12"/>
        <v>0</v>
      </c>
      <c r="K314" s="13">
        <f>IFERROR(IF(C314="",0,SUMIFS($F$4:$F$313,$C$4:$C$313,C314,$D$4:$D$313,D314,$E$4:$E$313,E314,$B$4:$B$313,"INGRESO")+SUMIFS($F$4:$F$313,$C$4:$C$313,C314,$D$4:$D$313,D314,$E$4:$E$313,E314,$B$4:$B$313,"DE REPROCESO")+SUMIFS($F$4:$F$313,$C$4:$C$313,C314,$D$4:$D$313,D314,$E$4:$E$313,E314,$B$4:$B$313,"AJUSTE+")-SUMIFS($F$4:$F$313,$C$4:$C$313,C314,$D$4:$D$313,D314,$E$4:$E$313,E314,$B$4:$B$313,"A CORTE")-SUMIFS($F$4:$F$313,$C$4:$C$313,C314,$D$4:$D$313,D314,$E$4:$E$313,E314,$B$4:$B$313,"A REPROCESO")-SUMIFS($F$4:$F$313,$C$4:$C$313,C314,$D$4:$D$313,D314,$E$4:$E$313,E314,$B$4:$B$313,"MUESTRA")-SUMIFS($F$4:$F$313,$C$4:$C$313,C314,$D$4:$D$313,D314,$E$4:$E$313,E314,$B$4:$B$313,"AJUSTE-")),0)</f>
        <v>0</v>
      </c>
      <c r="L314" s="13">
        <f t="shared" si="13"/>
        <v>0</v>
      </c>
      <c r="M314" s="8"/>
      <c r="N314" s="14"/>
      <c r="O314" s="14"/>
      <c r="P314" s="14"/>
      <c r="Q314" s="15"/>
      <c r="R314" s="16" t="str">
        <f t="shared" si="14"/>
        <v/>
      </c>
    </row>
    <row r="315" ht="15.75" customHeight="1">
      <c r="A315" s="7"/>
      <c r="B315" s="8"/>
      <c r="C315" s="8"/>
      <c r="D315" s="8"/>
      <c r="E315" s="8"/>
      <c r="F315" s="9"/>
      <c r="G315" s="10">
        <f>IFERROR(F315*VLOOKUP(D315,TELAS!$A$4:$C$32,3,FALSE()),0)</f>
        <v>0</v>
      </c>
      <c r="H315" s="11" t="str">
        <f>IFERROR(VLOOKUP(E315,COLORES!$A$4:$B$102,2,FALSE()),"")</f>
        <v/>
      </c>
      <c r="I315" s="12">
        <f>IFERROR(IF(H315="OSCURO",VLOOKUP(D315,PRECIOS!$A$4:$F$32,2,FALSE()),IF(H315="CLARO",VLOOKUP(D315,PRECIOS!$A$4:$F$32,3,FALSE()),IF(H315="MELANGE",VLOOKUP(D315,PRECIOS!$A$4:$F$32,4,FALSE()),IF(H315="PPT",VLOOKUP(D315,PRECIOS!$A$4:$F$32,5,FALSE()),0)))),0)</f>
        <v>0</v>
      </c>
      <c r="J315" s="12">
        <f t="shared" si="12"/>
        <v>0</v>
      </c>
      <c r="K315" s="13">
        <f>IFERROR(IF(C315="",0,SUMIFS($F$4:$F$314,$C$4:$C$314,C315,$D$4:$D$314,D315,$E$4:$E$314,E315,$B$4:$B$314,"INGRESO")+SUMIFS($F$4:$F$314,$C$4:$C$314,C315,$D$4:$D$314,D315,$E$4:$E$314,E315,$B$4:$B$314,"DE REPROCESO")+SUMIFS($F$4:$F$314,$C$4:$C$314,C315,$D$4:$D$314,D315,$E$4:$E$314,E315,$B$4:$B$314,"AJUSTE+")-SUMIFS($F$4:$F$314,$C$4:$C$314,C315,$D$4:$D$314,D315,$E$4:$E$314,E315,$B$4:$B$314,"A CORTE")-SUMIFS($F$4:$F$314,$C$4:$C$314,C315,$D$4:$D$314,D315,$E$4:$E$314,E315,$B$4:$B$314,"A REPROCESO")-SUMIFS($F$4:$F$314,$C$4:$C$314,C315,$D$4:$D$314,D315,$E$4:$E$314,E315,$B$4:$B$314,"MUESTRA")-SUMIFS($F$4:$F$314,$C$4:$C$314,C315,$D$4:$D$314,D315,$E$4:$E$314,E315,$B$4:$B$314,"AJUSTE-")),0)</f>
        <v>0</v>
      </c>
      <c r="L315" s="13">
        <f t="shared" si="13"/>
        <v>0</v>
      </c>
      <c r="M315" s="8"/>
      <c r="N315" s="14"/>
      <c r="O315" s="14"/>
      <c r="P315" s="14"/>
      <c r="Q315" s="15"/>
      <c r="R315" s="16" t="str">
        <f t="shared" si="14"/>
        <v/>
      </c>
    </row>
    <row r="316" ht="15.75" customHeight="1">
      <c r="A316" s="7"/>
      <c r="B316" s="8"/>
      <c r="C316" s="8"/>
      <c r="D316" s="8"/>
      <c r="E316" s="8"/>
      <c r="F316" s="9"/>
      <c r="G316" s="10">
        <f>IFERROR(F316*VLOOKUP(D316,TELAS!$A$4:$C$32,3,FALSE()),0)</f>
        <v>0</v>
      </c>
      <c r="H316" s="11" t="str">
        <f>IFERROR(VLOOKUP(E316,COLORES!$A$4:$B$102,2,FALSE()),"")</f>
        <v/>
      </c>
      <c r="I316" s="12">
        <f>IFERROR(IF(H316="OSCURO",VLOOKUP(D316,PRECIOS!$A$4:$F$32,2,FALSE()),IF(H316="CLARO",VLOOKUP(D316,PRECIOS!$A$4:$F$32,3,FALSE()),IF(H316="MELANGE",VLOOKUP(D316,PRECIOS!$A$4:$F$32,4,FALSE()),IF(H316="PPT",VLOOKUP(D316,PRECIOS!$A$4:$F$32,5,FALSE()),0)))),0)</f>
        <v>0</v>
      </c>
      <c r="J316" s="12">
        <f t="shared" si="12"/>
        <v>0</v>
      </c>
      <c r="K316" s="13">
        <f>IFERROR(IF(C316="",0,SUMIFS($F$4:$F$315,$C$4:$C$315,C316,$D$4:$D$315,D316,$E$4:$E$315,E316,$B$4:$B$315,"INGRESO")+SUMIFS($F$4:$F$315,$C$4:$C$315,C316,$D$4:$D$315,D316,$E$4:$E$315,E316,$B$4:$B$315,"DE REPROCESO")+SUMIFS($F$4:$F$315,$C$4:$C$315,C316,$D$4:$D$315,D316,$E$4:$E$315,E316,$B$4:$B$315,"AJUSTE+")-SUMIFS($F$4:$F$315,$C$4:$C$315,C316,$D$4:$D$315,D316,$E$4:$E$315,E316,$B$4:$B$315,"A CORTE")-SUMIFS($F$4:$F$315,$C$4:$C$315,C316,$D$4:$D$315,D316,$E$4:$E$315,E316,$B$4:$B$315,"A REPROCESO")-SUMIFS($F$4:$F$315,$C$4:$C$315,C316,$D$4:$D$315,D316,$E$4:$E$315,E316,$B$4:$B$315,"MUESTRA")-SUMIFS($F$4:$F$315,$C$4:$C$315,C316,$D$4:$D$315,D316,$E$4:$E$315,E316,$B$4:$B$315,"AJUSTE-")),0)</f>
        <v>0</v>
      </c>
      <c r="L316" s="13">
        <f t="shared" si="13"/>
        <v>0</v>
      </c>
      <c r="M316" s="8"/>
      <c r="N316" s="14"/>
      <c r="O316" s="14"/>
      <c r="P316" s="14"/>
      <c r="Q316" s="15"/>
      <c r="R316" s="16" t="str">
        <f t="shared" si="14"/>
        <v/>
      </c>
    </row>
    <row r="317" ht="15.75" customHeight="1">
      <c r="A317" s="7"/>
      <c r="B317" s="8"/>
      <c r="C317" s="8"/>
      <c r="D317" s="8"/>
      <c r="E317" s="8"/>
      <c r="F317" s="9"/>
      <c r="G317" s="10">
        <f>IFERROR(F317*VLOOKUP(D317,TELAS!$A$4:$C$32,3,FALSE()),0)</f>
        <v>0</v>
      </c>
      <c r="H317" s="11" t="str">
        <f>IFERROR(VLOOKUP(E317,COLORES!$A$4:$B$102,2,FALSE()),"")</f>
        <v/>
      </c>
      <c r="I317" s="12">
        <f>IFERROR(IF(H317="OSCURO",VLOOKUP(D317,PRECIOS!$A$4:$F$32,2,FALSE()),IF(H317="CLARO",VLOOKUP(D317,PRECIOS!$A$4:$F$32,3,FALSE()),IF(H317="MELANGE",VLOOKUP(D317,PRECIOS!$A$4:$F$32,4,FALSE()),IF(H317="PPT",VLOOKUP(D317,PRECIOS!$A$4:$F$32,5,FALSE()),0)))),0)</f>
        <v>0</v>
      </c>
      <c r="J317" s="12">
        <f t="shared" si="12"/>
        <v>0</v>
      </c>
      <c r="K317" s="13">
        <f>IFERROR(IF(C317="",0,SUMIFS($F$4:$F$316,$C$4:$C$316,C317,$D$4:$D$316,D317,$E$4:$E$316,E317,$B$4:$B$316,"INGRESO")+SUMIFS($F$4:$F$316,$C$4:$C$316,C317,$D$4:$D$316,D317,$E$4:$E$316,E317,$B$4:$B$316,"DE REPROCESO")+SUMIFS($F$4:$F$316,$C$4:$C$316,C317,$D$4:$D$316,D317,$E$4:$E$316,E317,$B$4:$B$316,"AJUSTE+")-SUMIFS($F$4:$F$316,$C$4:$C$316,C317,$D$4:$D$316,D317,$E$4:$E$316,E317,$B$4:$B$316,"A CORTE")-SUMIFS($F$4:$F$316,$C$4:$C$316,C317,$D$4:$D$316,D317,$E$4:$E$316,E317,$B$4:$B$316,"A REPROCESO")-SUMIFS($F$4:$F$316,$C$4:$C$316,C317,$D$4:$D$316,D317,$E$4:$E$316,E317,$B$4:$B$316,"MUESTRA")-SUMIFS($F$4:$F$316,$C$4:$C$316,C317,$D$4:$D$316,D317,$E$4:$E$316,E317,$B$4:$B$316,"AJUSTE-")),0)</f>
        <v>0</v>
      </c>
      <c r="L317" s="13">
        <f t="shared" si="13"/>
        <v>0</v>
      </c>
      <c r="M317" s="8"/>
      <c r="N317" s="14"/>
      <c r="O317" s="14"/>
      <c r="P317" s="14"/>
      <c r="Q317" s="15"/>
      <c r="R317" s="16" t="str">
        <f t="shared" si="14"/>
        <v/>
      </c>
    </row>
    <row r="318" ht="15.75" customHeight="1">
      <c r="A318" s="7"/>
      <c r="B318" s="8"/>
      <c r="C318" s="8"/>
      <c r="D318" s="8"/>
      <c r="E318" s="8"/>
      <c r="F318" s="9"/>
      <c r="G318" s="10">
        <f>IFERROR(F318*VLOOKUP(D318,TELAS!$A$4:$C$32,3,FALSE()),0)</f>
        <v>0</v>
      </c>
      <c r="H318" s="11" t="str">
        <f>IFERROR(VLOOKUP(E318,COLORES!$A$4:$B$102,2,FALSE()),"")</f>
        <v/>
      </c>
      <c r="I318" s="12">
        <f>IFERROR(IF(H318="OSCURO",VLOOKUP(D318,PRECIOS!$A$4:$F$32,2,FALSE()),IF(H318="CLARO",VLOOKUP(D318,PRECIOS!$A$4:$F$32,3,FALSE()),IF(H318="MELANGE",VLOOKUP(D318,PRECIOS!$A$4:$F$32,4,FALSE()),IF(H318="PPT",VLOOKUP(D318,PRECIOS!$A$4:$F$32,5,FALSE()),0)))),0)</f>
        <v>0</v>
      </c>
      <c r="J318" s="12">
        <f t="shared" si="12"/>
        <v>0</v>
      </c>
      <c r="K318" s="13">
        <f>IFERROR(IF(C318="",0,SUMIFS($F$4:$F$317,$C$4:$C$317,C318,$D$4:$D$317,D318,$E$4:$E$317,E318,$B$4:$B$317,"INGRESO")+SUMIFS($F$4:$F$317,$C$4:$C$317,C318,$D$4:$D$317,D318,$E$4:$E$317,E318,$B$4:$B$317,"DE REPROCESO")+SUMIFS($F$4:$F$317,$C$4:$C$317,C318,$D$4:$D$317,D318,$E$4:$E$317,E318,$B$4:$B$317,"AJUSTE+")-SUMIFS($F$4:$F$317,$C$4:$C$317,C318,$D$4:$D$317,D318,$E$4:$E$317,E318,$B$4:$B$317,"A CORTE")-SUMIFS($F$4:$F$317,$C$4:$C$317,C318,$D$4:$D$317,D318,$E$4:$E$317,E318,$B$4:$B$317,"A REPROCESO")-SUMIFS($F$4:$F$317,$C$4:$C$317,C318,$D$4:$D$317,D318,$E$4:$E$317,E318,$B$4:$B$317,"MUESTRA")-SUMIFS($F$4:$F$317,$C$4:$C$317,C318,$D$4:$D$317,D318,$E$4:$E$317,E318,$B$4:$B$317,"AJUSTE-")),0)</f>
        <v>0</v>
      </c>
      <c r="L318" s="13">
        <f t="shared" si="13"/>
        <v>0</v>
      </c>
      <c r="M318" s="8"/>
      <c r="N318" s="14"/>
      <c r="O318" s="14"/>
      <c r="P318" s="14"/>
      <c r="Q318" s="15"/>
      <c r="R318" s="16" t="str">
        <f t="shared" si="14"/>
        <v/>
      </c>
    </row>
    <row r="319" ht="15.75" customHeight="1">
      <c r="A319" s="7"/>
      <c r="B319" s="8"/>
      <c r="C319" s="8"/>
      <c r="D319" s="8"/>
      <c r="E319" s="8"/>
      <c r="F319" s="9"/>
      <c r="G319" s="10">
        <f>IFERROR(F319*VLOOKUP(D319,TELAS!$A$4:$C$32,3,FALSE()),0)</f>
        <v>0</v>
      </c>
      <c r="H319" s="11" t="str">
        <f>IFERROR(VLOOKUP(E319,COLORES!$A$4:$B$102,2,FALSE()),"")</f>
        <v/>
      </c>
      <c r="I319" s="12">
        <f>IFERROR(IF(H319="OSCURO",VLOOKUP(D319,PRECIOS!$A$4:$F$32,2,FALSE()),IF(H319="CLARO",VLOOKUP(D319,PRECIOS!$A$4:$F$32,3,FALSE()),IF(H319="MELANGE",VLOOKUP(D319,PRECIOS!$A$4:$F$32,4,FALSE()),IF(H319="PPT",VLOOKUP(D319,PRECIOS!$A$4:$F$32,5,FALSE()),0)))),0)</f>
        <v>0</v>
      </c>
      <c r="J319" s="12">
        <f t="shared" si="12"/>
        <v>0</v>
      </c>
      <c r="K319" s="13">
        <f>IFERROR(IF(C319="",0,SUMIFS($F$4:$F$318,$C$4:$C$318,C319,$D$4:$D$318,D319,$E$4:$E$318,E319,$B$4:$B$318,"INGRESO")+SUMIFS($F$4:$F$318,$C$4:$C$318,C319,$D$4:$D$318,D319,$E$4:$E$318,E319,$B$4:$B$318,"DE REPROCESO")+SUMIFS($F$4:$F$318,$C$4:$C$318,C319,$D$4:$D$318,D319,$E$4:$E$318,E319,$B$4:$B$318,"AJUSTE+")-SUMIFS($F$4:$F$318,$C$4:$C$318,C319,$D$4:$D$318,D319,$E$4:$E$318,E319,$B$4:$B$318,"A CORTE")-SUMIFS($F$4:$F$318,$C$4:$C$318,C319,$D$4:$D$318,D319,$E$4:$E$318,E319,$B$4:$B$318,"A REPROCESO")-SUMIFS($F$4:$F$318,$C$4:$C$318,C319,$D$4:$D$318,D319,$E$4:$E$318,E319,$B$4:$B$318,"MUESTRA")-SUMIFS($F$4:$F$318,$C$4:$C$318,C319,$D$4:$D$318,D319,$E$4:$E$318,E319,$B$4:$B$318,"AJUSTE-")),0)</f>
        <v>0</v>
      </c>
      <c r="L319" s="13">
        <f t="shared" si="13"/>
        <v>0</v>
      </c>
      <c r="M319" s="8"/>
      <c r="N319" s="14"/>
      <c r="O319" s="14"/>
      <c r="P319" s="14"/>
      <c r="Q319" s="15"/>
      <c r="R319" s="16" t="str">
        <f t="shared" si="14"/>
        <v/>
      </c>
    </row>
    <row r="320" ht="15.75" customHeight="1">
      <c r="A320" s="7"/>
      <c r="B320" s="8"/>
      <c r="C320" s="8"/>
      <c r="D320" s="8"/>
      <c r="E320" s="8"/>
      <c r="F320" s="9"/>
      <c r="G320" s="10">
        <f>IFERROR(F320*VLOOKUP(D320,TELAS!$A$4:$C$32,3,FALSE()),0)</f>
        <v>0</v>
      </c>
      <c r="H320" s="11" t="str">
        <f>IFERROR(VLOOKUP(E320,COLORES!$A$4:$B$102,2,FALSE()),"")</f>
        <v/>
      </c>
      <c r="I320" s="12">
        <f>IFERROR(IF(H320="OSCURO",VLOOKUP(D320,PRECIOS!$A$4:$F$32,2,FALSE()),IF(H320="CLARO",VLOOKUP(D320,PRECIOS!$A$4:$F$32,3,FALSE()),IF(H320="MELANGE",VLOOKUP(D320,PRECIOS!$A$4:$F$32,4,FALSE()),IF(H320="PPT",VLOOKUP(D320,PRECIOS!$A$4:$F$32,5,FALSE()),0)))),0)</f>
        <v>0</v>
      </c>
      <c r="J320" s="12">
        <f t="shared" si="12"/>
        <v>0</v>
      </c>
      <c r="K320" s="13">
        <f>IFERROR(IF(C320="",0,SUMIFS($F$4:$F$319,$C$4:$C$319,C320,$D$4:$D$319,D320,$E$4:$E$319,E320,$B$4:$B$319,"INGRESO")+SUMIFS($F$4:$F$319,$C$4:$C$319,C320,$D$4:$D$319,D320,$E$4:$E$319,E320,$B$4:$B$319,"DE REPROCESO")+SUMIFS($F$4:$F$319,$C$4:$C$319,C320,$D$4:$D$319,D320,$E$4:$E$319,E320,$B$4:$B$319,"AJUSTE+")-SUMIFS($F$4:$F$319,$C$4:$C$319,C320,$D$4:$D$319,D320,$E$4:$E$319,E320,$B$4:$B$319,"A CORTE")-SUMIFS($F$4:$F$319,$C$4:$C$319,C320,$D$4:$D$319,D320,$E$4:$E$319,E320,$B$4:$B$319,"A REPROCESO")-SUMIFS($F$4:$F$319,$C$4:$C$319,C320,$D$4:$D$319,D320,$E$4:$E$319,E320,$B$4:$B$319,"MUESTRA")-SUMIFS($F$4:$F$319,$C$4:$C$319,C320,$D$4:$D$319,D320,$E$4:$E$319,E320,$B$4:$B$319,"AJUSTE-")),0)</f>
        <v>0</v>
      </c>
      <c r="L320" s="13">
        <f t="shared" si="13"/>
        <v>0</v>
      </c>
      <c r="M320" s="8"/>
      <c r="N320" s="14"/>
      <c r="O320" s="14"/>
      <c r="P320" s="14"/>
      <c r="Q320" s="15"/>
      <c r="R320" s="16" t="str">
        <f t="shared" si="14"/>
        <v/>
      </c>
    </row>
    <row r="321" ht="15.75" customHeight="1">
      <c r="A321" s="7"/>
      <c r="B321" s="8"/>
      <c r="C321" s="8"/>
      <c r="D321" s="8"/>
      <c r="E321" s="8"/>
      <c r="F321" s="9"/>
      <c r="G321" s="10">
        <f>IFERROR(F321*VLOOKUP(D321,TELAS!$A$4:$C$32,3,FALSE()),0)</f>
        <v>0</v>
      </c>
      <c r="H321" s="11" t="str">
        <f>IFERROR(VLOOKUP(E321,COLORES!$A$4:$B$102,2,FALSE()),"")</f>
        <v/>
      </c>
      <c r="I321" s="12">
        <f>IFERROR(IF(H321="OSCURO",VLOOKUP(D321,PRECIOS!$A$4:$F$32,2,FALSE()),IF(H321="CLARO",VLOOKUP(D321,PRECIOS!$A$4:$F$32,3,FALSE()),IF(H321="MELANGE",VLOOKUP(D321,PRECIOS!$A$4:$F$32,4,FALSE()),IF(H321="PPT",VLOOKUP(D321,PRECIOS!$A$4:$F$32,5,FALSE()),0)))),0)</f>
        <v>0</v>
      </c>
      <c r="J321" s="12">
        <f t="shared" si="12"/>
        <v>0</v>
      </c>
      <c r="K321" s="13">
        <f>IFERROR(IF(C321="",0,SUMIFS($F$4:$F$320,$C$4:$C$320,C321,$D$4:$D$320,D321,$E$4:$E$320,E321,$B$4:$B$320,"INGRESO")+SUMIFS($F$4:$F$320,$C$4:$C$320,C321,$D$4:$D$320,D321,$E$4:$E$320,E321,$B$4:$B$320,"DE REPROCESO")+SUMIFS($F$4:$F$320,$C$4:$C$320,C321,$D$4:$D$320,D321,$E$4:$E$320,E321,$B$4:$B$320,"AJUSTE+")-SUMIFS($F$4:$F$320,$C$4:$C$320,C321,$D$4:$D$320,D321,$E$4:$E$320,E321,$B$4:$B$320,"A CORTE")-SUMIFS($F$4:$F$320,$C$4:$C$320,C321,$D$4:$D$320,D321,$E$4:$E$320,E321,$B$4:$B$320,"A REPROCESO")-SUMIFS($F$4:$F$320,$C$4:$C$320,C321,$D$4:$D$320,D321,$E$4:$E$320,E321,$B$4:$B$320,"MUESTRA")-SUMIFS($F$4:$F$320,$C$4:$C$320,C321,$D$4:$D$320,D321,$E$4:$E$320,E321,$B$4:$B$320,"AJUSTE-")),0)</f>
        <v>0</v>
      </c>
      <c r="L321" s="13">
        <f t="shared" si="13"/>
        <v>0</v>
      </c>
      <c r="M321" s="8"/>
      <c r="N321" s="14"/>
      <c r="O321" s="14"/>
      <c r="P321" s="14"/>
      <c r="Q321" s="15"/>
      <c r="R321" s="16" t="str">
        <f t="shared" si="14"/>
        <v/>
      </c>
    </row>
    <row r="322" ht="15.75" customHeight="1">
      <c r="A322" s="7"/>
      <c r="B322" s="8"/>
      <c r="C322" s="8"/>
      <c r="D322" s="8"/>
      <c r="E322" s="8"/>
      <c r="F322" s="9"/>
      <c r="G322" s="10">
        <f>IFERROR(F322*VLOOKUP(D322,TELAS!$A$4:$C$32,3,FALSE()),0)</f>
        <v>0</v>
      </c>
      <c r="H322" s="11" t="str">
        <f>IFERROR(VLOOKUP(E322,COLORES!$A$4:$B$102,2,FALSE()),"")</f>
        <v/>
      </c>
      <c r="I322" s="12">
        <f>IFERROR(IF(H322="OSCURO",VLOOKUP(D322,PRECIOS!$A$4:$F$32,2,FALSE()),IF(H322="CLARO",VLOOKUP(D322,PRECIOS!$A$4:$F$32,3,FALSE()),IF(H322="MELANGE",VLOOKUP(D322,PRECIOS!$A$4:$F$32,4,FALSE()),IF(H322="PPT",VLOOKUP(D322,PRECIOS!$A$4:$F$32,5,FALSE()),0)))),0)</f>
        <v>0</v>
      </c>
      <c r="J322" s="12">
        <f t="shared" si="12"/>
        <v>0</v>
      </c>
      <c r="K322" s="13">
        <f>IFERROR(IF(C322="",0,SUMIFS($F$4:$F$321,$C$4:$C$321,C322,$D$4:$D$321,D322,$E$4:$E$321,E322,$B$4:$B$321,"INGRESO")+SUMIFS($F$4:$F$321,$C$4:$C$321,C322,$D$4:$D$321,D322,$E$4:$E$321,E322,$B$4:$B$321,"DE REPROCESO")+SUMIFS($F$4:$F$321,$C$4:$C$321,C322,$D$4:$D$321,D322,$E$4:$E$321,E322,$B$4:$B$321,"AJUSTE+")-SUMIFS($F$4:$F$321,$C$4:$C$321,C322,$D$4:$D$321,D322,$E$4:$E$321,E322,$B$4:$B$321,"A CORTE")-SUMIFS($F$4:$F$321,$C$4:$C$321,C322,$D$4:$D$321,D322,$E$4:$E$321,E322,$B$4:$B$321,"A REPROCESO")-SUMIFS($F$4:$F$321,$C$4:$C$321,C322,$D$4:$D$321,D322,$E$4:$E$321,E322,$B$4:$B$321,"MUESTRA")-SUMIFS($F$4:$F$321,$C$4:$C$321,C322,$D$4:$D$321,D322,$E$4:$E$321,E322,$B$4:$B$321,"AJUSTE-")),0)</f>
        <v>0</v>
      </c>
      <c r="L322" s="13">
        <f t="shared" si="13"/>
        <v>0</v>
      </c>
      <c r="M322" s="8"/>
      <c r="N322" s="14"/>
      <c r="O322" s="14"/>
      <c r="P322" s="14"/>
      <c r="Q322" s="15"/>
      <c r="R322" s="16" t="str">
        <f t="shared" si="14"/>
        <v/>
      </c>
    </row>
    <row r="323" ht="15.75" customHeight="1">
      <c r="A323" s="7"/>
      <c r="B323" s="8"/>
      <c r="C323" s="8"/>
      <c r="D323" s="8"/>
      <c r="E323" s="8"/>
      <c r="F323" s="9"/>
      <c r="G323" s="10">
        <f>IFERROR(F323*VLOOKUP(D323,TELAS!$A$4:$C$32,3,FALSE()),0)</f>
        <v>0</v>
      </c>
      <c r="H323" s="11" t="str">
        <f>IFERROR(VLOOKUP(E323,COLORES!$A$4:$B$102,2,FALSE()),"")</f>
        <v/>
      </c>
      <c r="I323" s="12">
        <f>IFERROR(IF(H323="OSCURO",VLOOKUP(D323,PRECIOS!$A$4:$F$32,2,FALSE()),IF(H323="CLARO",VLOOKUP(D323,PRECIOS!$A$4:$F$32,3,FALSE()),IF(H323="MELANGE",VLOOKUP(D323,PRECIOS!$A$4:$F$32,4,FALSE()),IF(H323="PPT",VLOOKUP(D323,PRECIOS!$A$4:$F$32,5,FALSE()),0)))),0)</f>
        <v>0</v>
      </c>
      <c r="J323" s="12">
        <f t="shared" si="12"/>
        <v>0</v>
      </c>
      <c r="K323" s="13">
        <f>IFERROR(IF(C323="",0,SUMIFS($F$4:$F$322,$C$4:$C$322,C323,$D$4:$D$322,D323,$E$4:$E$322,E323,$B$4:$B$322,"INGRESO")+SUMIFS($F$4:$F$322,$C$4:$C$322,C323,$D$4:$D$322,D323,$E$4:$E$322,E323,$B$4:$B$322,"DE REPROCESO")+SUMIFS($F$4:$F$322,$C$4:$C$322,C323,$D$4:$D$322,D323,$E$4:$E$322,E323,$B$4:$B$322,"AJUSTE+")-SUMIFS($F$4:$F$322,$C$4:$C$322,C323,$D$4:$D$322,D323,$E$4:$E$322,E323,$B$4:$B$322,"A CORTE")-SUMIFS($F$4:$F$322,$C$4:$C$322,C323,$D$4:$D$322,D323,$E$4:$E$322,E323,$B$4:$B$322,"A REPROCESO")-SUMIFS($F$4:$F$322,$C$4:$C$322,C323,$D$4:$D$322,D323,$E$4:$E$322,E323,$B$4:$B$322,"MUESTRA")-SUMIFS($F$4:$F$322,$C$4:$C$322,C323,$D$4:$D$322,D323,$E$4:$E$322,E323,$B$4:$B$322,"AJUSTE-")),0)</f>
        <v>0</v>
      </c>
      <c r="L323" s="13">
        <f t="shared" si="13"/>
        <v>0</v>
      </c>
      <c r="M323" s="8"/>
      <c r="N323" s="14"/>
      <c r="O323" s="14"/>
      <c r="P323" s="14"/>
      <c r="Q323" s="15"/>
      <c r="R323" s="16" t="str">
        <f t="shared" si="14"/>
        <v/>
      </c>
    </row>
    <row r="324" ht="15.75" customHeight="1">
      <c r="A324" s="7"/>
      <c r="B324" s="8"/>
      <c r="C324" s="8"/>
      <c r="D324" s="8"/>
      <c r="E324" s="8"/>
      <c r="F324" s="9"/>
      <c r="G324" s="10">
        <f>IFERROR(F324*VLOOKUP(D324,TELAS!$A$4:$C$32,3,FALSE()),0)</f>
        <v>0</v>
      </c>
      <c r="H324" s="11" t="str">
        <f>IFERROR(VLOOKUP(E324,COLORES!$A$4:$B$102,2,FALSE()),"")</f>
        <v/>
      </c>
      <c r="I324" s="12">
        <f>IFERROR(IF(H324="OSCURO",VLOOKUP(D324,PRECIOS!$A$4:$F$32,2,FALSE()),IF(H324="CLARO",VLOOKUP(D324,PRECIOS!$A$4:$F$32,3,FALSE()),IF(H324="MELANGE",VLOOKUP(D324,PRECIOS!$A$4:$F$32,4,FALSE()),IF(H324="PPT",VLOOKUP(D324,PRECIOS!$A$4:$F$32,5,FALSE()),0)))),0)</f>
        <v>0</v>
      </c>
      <c r="J324" s="12">
        <f t="shared" si="12"/>
        <v>0</v>
      </c>
      <c r="K324" s="13">
        <f>IFERROR(IF(C324="",0,SUMIFS($F$4:$F$323,$C$4:$C$323,C324,$D$4:$D$323,D324,$E$4:$E$323,E324,$B$4:$B$323,"INGRESO")+SUMIFS($F$4:$F$323,$C$4:$C$323,C324,$D$4:$D$323,D324,$E$4:$E$323,E324,$B$4:$B$323,"DE REPROCESO")+SUMIFS($F$4:$F$323,$C$4:$C$323,C324,$D$4:$D$323,D324,$E$4:$E$323,E324,$B$4:$B$323,"AJUSTE+")-SUMIFS($F$4:$F$323,$C$4:$C$323,C324,$D$4:$D$323,D324,$E$4:$E$323,E324,$B$4:$B$323,"A CORTE")-SUMIFS($F$4:$F$323,$C$4:$C$323,C324,$D$4:$D$323,D324,$E$4:$E$323,E324,$B$4:$B$323,"A REPROCESO")-SUMIFS($F$4:$F$323,$C$4:$C$323,C324,$D$4:$D$323,D324,$E$4:$E$323,E324,$B$4:$B$323,"MUESTRA")-SUMIFS($F$4:$F$323,$C$4:$C$323,C324,$D$4:$D$323,D324,$E$4:$E$323,E324,$B$4:$B$323,"AJUSTE-")),0)</f>
        <v>0</v>
      </c>
      <c r="L324" s="13">
        <f t="shared" si="13"/>
        <v>0</v>
      </c>
      <c r="M324" s="8"/>
      <c r="N324" s="14"/>
      <c r="O324" s="14"/>
      <c r="P324" s="14"/>
      <c r="Q324" s="15"/>
      <c r="R324" s="16" t="str">
        <f t="shared" si="14"/>
        <v/>
      </c>
    </row>
    <row r="325" ht="15.75" customHeight="1">
      <c r="A325" s="7"/>
      <c r="B325" s="8"/>
      <c r="C325" s="8"/>
      <c r="D325" s="8"/>
      <c r="E325" s="8"/>
      <c r="F325" s="9"/>
      <c r="G325" s="10">
        <f>IFERROR(F325*VLOOKUP(D325,TELAS!$A$4:$C$32,3,FALSE()),0)</f>
        <v>0</v>
      </c>
      <c r="H325" s="11" t="str">
        <f>IFERROR(VLOOKUP(E325,COLORES!$A$4:$B$102,2,FALSE()),"")</f>
        <v/>
      </c>
      <c r="I325" s="12">
        <f>IFERROR(IF(H325="OSCURO",VLOOKUP(D325,PRECIOS!$A$4:$F$32,2,FALSE()),IF(H325="CLARO",VLOOKUP(D325,PRECIOS!$A$4:$F$32,3,FALSE()),IF(H325="MELANGE",VLOOKUP(D325,PRECIOS!$A$4:$F$32,4,FALSE()),IF(H325="PPT",VLOOKUP(D325,PRECIOS!$A$4:$F$32,5,FALSE()),0)))),0)</f>
        <v>0</v>
      </c>
      <c r="J325" s="12">
        <f t="shared" si="12"/>
        <v>0</v>
      </c>
      <c r="K325" s="13">
        <f>IFERROR(IF(C325="",0,SUMIFS($F$4:$F$324,$C$4:$C$324,C325,$D$4:$D$324,D325,$E$4:$E$324,E325,$B$4:$B$324,"INGRESO")+SUMIFS($F$4:$F$324,$C$4:$C$324,C325,$D$4:$D$324,D325,$E$4:$E$324,E325,$B$4:$B$324,"DE REPROCESO")+SUMIFS($F$4:$F$324,$C$4:$C$324,C325,$D$4:$D$324,D325,$E$4:$E$324,E325,$B$4:$B$324,"AJUSTE+")-SUMIFS($F$4:$F$324,$C$4:$C$324,C325,$D$4:$D$324,D325,$E$4:$E$324,E325,$B$4:$B$324,"A CORTE")-SUMIFS($F$4:$F$324,$C$4:$C$324,C325,$D$4:$D$324,D325,$E$4:$E$324,E325,$B$4:$B$324,"A REPROCESO")-SUMIFS($F$4:$F$324,$C$4:$C$324,C325,$D$4:$D$324,D325,$E$4:$E$324,E325,$B$4:$B$324,"MUESTRA")-SUMIFS($F$4:$F$324,$C$4:$C$324,C325,$D$4:$D$324,D325,$E$4:$E$324,E325,$B$4:$B$324,"AJUSTE-")),0)</f>
        <v>0</v>
      </c>
      <c r="L325" s="13">
        <f t="shared" si="13"/>
        <v>0</v>
      </c>
      <c r="M325" s="8"/>
      <c r="N325" s="14"/>
      <c r="O325" s="14"/>
      <c r="P325" s="14"/>
      <c r="Q325" s="15"/>
      <c r="R325" s="16" t="str">
        <f t="shared" si="14"/>
        <v/>
      </c>
    </row>
    <row r="326" ht="15.75" customHeight="1">
      <c r="A326" s="7"/>
      <c r="B326" s="8"/>
      <c r="C326" s="8"/>
      <c r="D326" s="8"/>
      <c r="E326" s="8"/>
      <c r="F326" s="9"/>
      <c r="G326" s="10">
        <f>IFERROR(F326*VLOOKUP(D326,TELAS!$A$4:$C$32,3,FALSE()),0)</f>
        <v>0</v>
      </c>
      <c r="H326" s="11" t="str">
        <f>IFERROR(VLOOKUP(E326,COLORES!$A$4:$B$102,2,FALSE()),"")</f>
        <v/>
      </c>
      <c r="I326" s="12">
        <f>IFERROR(IF(H326="OSCURO",VLOOKUP(D326,PRECIOS!$A$4:$F$32,2,FALSE()),IF(H326="CLARO",VLOOKUP(D326,PRECIOS!$A$4:$F$32,3,FALSE()),IF(H326="MELANGE",VLOOKUP(D326,PRECIOS!$A$4:$F$32,4,FALSE()),IF(H326="PPT",VLOOKUP(D326,PRECIOS!$A$4:$F$32,5,FALSE()),0)))),0)</f>
        <v>0</v>
      </c>
      <c r="J326" s="12">
        <f t="shared" si="12"/>
        <v>0</v>
      </c>
      <c r="K326" s="13">
        <f>IFERROR(IF(C326="",0,SUMIFS($F$4:$F$325,$C$4:$C$325,C326,$D$4:$D$325,D326,$E$4:$E$325,E326,$B$4:$B$325,"INGRESO")+SUMIFS($F$4:$F$325,$C$4:$C$325,C326,$D$4:$D$325,D326,$E$4:$E$325,E326,$B$4:$B$325,"DE REPROCESO")+SUMIFS($F$4:$F$325,$C$4:$C$325,C326,$D$4:$D$325,D326,$E$4:$E$325,E326,$B$4:$B$325,"AJUSTE+")-SUMIFS($F$4:$F$325,$C$4:$C$325,C326,$D$4:$D$325,D326,$E$4:$E$325,E326,$B$4:$B$325,"A CORTE")-SUMIFS($F$4:$F$325,$C$4:$C$325,C326,$D$4:$D$325,D326,$E$4:$E$325,E326,$B$4:$B$325,"A REPROCESO")-SUMIFS($F$4:$F$325,$C$4:$C$325,C326,$D$4:$D$325,D326,$E$4:$E$325,E326,$B$4:$B$325,"MUESTRA")-SUMIFS($F$4:$F$325,$C$4:$C$325,C326,$D$4:$D$325,D326,$E$4:$E$325,E326,$B$4:$B$325,"AJUSTE-")),0)</f>
        <v>0</v>
      </c>
      <c r="L326" s="13">
        <f t="shared" si="13"/>
        <v>0</v>
      </c>
      <c r="M326" s="8"/>
      <c r="N326" s="14"/>
      <c r="O326" s="14"/>
      <c r="P326" s="14"/>
      <c r="Q326" s="15"/>
      <c r="R326" s="16" t="str">
        <f t="shared" si="14"/>
        <v/>
      </c>
    </row>
    <row r="327" ht="15.75" customHeight="1">
      <c r="A327" s="7"/>
      <c r="B327" s="8"/>
      <c r="C327" s="8"/>
      <c r="D327" s="8"/>
      <c r="E327" s="8"/>
      <c r="F327" s="9"/>
      <c r="G327" s="10">
        <f>IFERROR(F327*VLOOKUP(D327,TELAS!$A$4:$C$32,3,FALSE()),0)</f>
        <v>0</v>
      </c>
      <c r="H327" s="11" t="str">
        <f>IFERROR(VLOOKUP(E327,COLORES!$A$4:$B$102,2,FALSE()),"")</f>
        <v/>
      </c>
      <c r="I327" s="12">
        <f>IFERROR(IF(H327="OSCURO",VLOOKUP(D327,PRECIOS!$A$4:$F$32,2,FALSE()),IF(H327="CLARO",VLOOKUP(D327,PRECIOS!$A$4:$F$32,3,FALSE()),IF(H327="MELANGE",VLOOKUP(D327,PRECIOS!$A$4:$F$32,4,FALSE()),IF(H327="PPT",VLOOKUP(D327,PRECIOS!$A$4:$F$32,5,FALSE()),0)))),0)</f>
        <v>0</v>
      </c>
      <c r="J327" s="12">
        <f t="shared" si="12"/>
        <v>0</v>
      </c>
      <c r="K327" s="13">
        <f>IFERROR(IF(C327="",0,SUMIFS($F$4:$F$326,$C$4:$C$326,C327,$D$4:$D$326,D327,$E$4:$E$326,E327,$B$4:$B$326,"INGRESO")+SUMIFS($F$4:$F$326,$C$4:$C$326,C327,$D$4:$D$326,D327,$E$4:$E$326,E327,$B$4:$B$326,"DE REPROCESO")+SUMIFS($F$4:$F$326,$C$4:$C$326,C327,$D$4:$D$326,D327,$E$4:$E$326,E327,$B$4:$B$326,"AJUSTE+")-SUMIFS($F$4:$F$326,$C$4:$C$326,C327,$D$4:$D$326,D327,$E$4:$E$326,E327,$B$4:$B$326,"A CORTE")-SUMIFS($F$4:$F$326,$C$4:$C$326,C327,$D$4:$D$326,D327,$E$4:$E$326,E327,$B$4:$B$326,"A REPROCESO")-SUMIFS($F$4:$F$326,$C$4:$C$326,C327,$D$4:$D$326,D327,$E$4:$E$326,E327,$B$4:$B$326,"MUESTRA")-SUMIFS($F$4:$F$326,$C$4:$C$326,C327,$D$4:$D$326,D327,$E$4:$E$326,E327,$B$4:$B$326,"AJUSTE-")),0)</f>
        <v>0</v>
      </c>
      <c r="L327" s="13">
        <f t="shared" si="13"/>
        <v>0</v>
      </c>
      <c r="M327" s="8"/>
      <c r="N327" s="14"/>
      <c r="O327" s="14"/>
      <c r="P327" s="14"/>
      <c r="Q327" s="15"/>
      <c r="R327" s="16" t="str">
        <f t="shared" si="14"/>
        <v/>
      </c>
    </row>
    <row r="328" ht="15.75" customHeight="1">
      <c r="A328" s="7"/>
      <c r="B328" s="8"/>
      <c r="C328" s="8"/>
      <c r="D328" s="8"/>
      <c r="E328" s="8"/>
      <c r="F328" s="9"/>
      <c r="G328" s="10">
        <f>IFERROR(F328*VLOOKUP(D328,TELAS!$A$4:$C$32,3,FALSE()),0)</f>
        <v>0</v>
      </c>
      <c r="H328" s="11" t="str">
        <f>IFERROR(VLOOKUP(E328,COLORES!$A$4:$B$102,2,FALSE()),"")</f>
        <v/>
      </c>
      <c r="I328" s="12">
        <f>IFERROR(IF(H328="OSCURO",VLOOKUP(D328,PRECIOS!$A$4:$F$32,2,FALSE()),IF(H328="CLARO",VLOOKUP(D328,PRECIOS!$A$4:$F$32,3,FALSE()),IF(H328="MELANGE",VLOOKUP(D328,PRECIOS!$A$4:$F$32,4,FALSE()),IF(H328="PPT",VLOOKUP(D328,PRECIOS!$A$4:$F$32,5,FALSE()),0)))),0)</f>
        <v>0</v>
      </c>
      <c r="J328" s="12">
        <f t="shared" si="12"/>
        <v>0</v>
      </c>
      <c r="K328" s="13">
        <f>IFERROR(IF(C328="",0,SUMIFS($F$4:$F$327,$C$4:$C$327,C328,$D$4:$D$327,D328,$E$4:$E$327,E328,$B$4:$B$327,"INGRESO")+SUMIFS($F$4:$F$327,$C$4:$C$327,C328,$D$4:$D$327,D328,$E$4:$E$327,E328,$B$4:$B$327,"DE REPROCESO")+SUMIFS($F$4:$F$327,$C$4:$C$327,C328,$D$4:$D$327,D328,$E$4:$E$327,E328,$B$4:$B$327,"AJUSTE+")-SUMIFS($F$4:$F$327,$C$4:$C$327,C328,$D$4:$D$327,D328,$E$4:$E$327,E328,$B$4:$B$327,"A CORTE")-SUMIFS($F$4:$F$327,$C$4:$C$327,C328,$D$4:$D$327,D328,$E$4:$E$327,E328,$B$4:$B$327,"A REPROCESO")-SUMIFS($F$4:$F$327,$C$4:$C$327,C328,$D$4:$D$327,D328,$E$4:$E$327,E328,$B$4:$B$327,"MUESTRA")-SUMIFS($F$4:$F$327,$C$4:$C$327,C328,$D$4:$D$327,D328,$E$4:$E$327,E328,$B$4:$B$327,"AJUSTE-")),0)</f>
        <v>0</v>
      </c>
      <c r="L328" s="13">
        <f t="shared" si="13"/>
        <v>0</v>
      </c>
      <c r="M328" s="8"/>
      <c r="N328" s="14"/>
      <c r="O328" s="14"/>
      <c r="P328" s="14"/>
      <c r="Q328" s="15"/>
      <c r="R328" s="16" t="str">
        <f t="shared" si="14"/>
        <v/>
      </c>
    </row>
    <row r="329" ht="15.75" customHeight="1">
      <c r="A329" s="7"/>
      <c r="B329" s="8"/>
      <c r="C329" s="8"/>
      <c r="D329" s="8"/>
      <c r="E329" s="8"/>
      <c r="F329" s="9"/>
      <c r="G329" s="10">
        <f>IFERROR(F329*VLOOKUP(D329,TELAS!$A$4:$C$32,3,FALSE()),0)</f>
        <v>0</v>
      </c>
      <c r="H329" s="11" t="str">
        <f>IFERROR(VLOOKUP(E329,COLORES!$A$4:$B$102,2,FALSE()),"")</f>
        <v/>
      </c>
      <c r="I329" s="12">
        <f>IFERROR(IF(H329="OSCURO",VLOOKUP(D329,PRECIOS!$A$4:$F$32,2,FALSE()),IF(H329="CLARO",VLOOKUP(D329,PRECIOS!$A$4:$F$32,3,FALSE()),IF(H329="MELANGE",VLOOKUP(D329,PRECIOS!$A$4:$F$32,4,FALSE()),IF(H329="PPT",VLOOKUP(D329,PRECIOS!$A$4:$F$32,5,FALSE()),0)))),0)</f>
        <v>0</v>
      </c>
      <c r="J329" s="12">
        <f t="shared" si="12"/>
        <v>0</v>
      </c>
      <c r="K329" s="13">
        <f>IFERROR(IF(C329="",0,SUMIFS($F$4:$F$328,$C$4:$C$328,C329,$D$4:$D$328,D329,$E$4:$E$328,E329,$B$4:$B$328,"INGRESO")+SUMIFS($F$4:$F$328,$C$4:$C$328,C329,$D$4:$D$328,D329,$E$4:$E$328,E329,$B$4:$B$328,"DE REPROCESO")+SUMIFS($F$4:$F$328,$C$4:$C$328,C329,$D$4:$D$328,D329,$E$4:$E$328,E329,$B$4:$B$328,"AJUSTE+")-SUMIFS($F$4:$F$328,$C$4:$C$328,C329,$D$4:$D$328,D329,$E$4:$E$328,E329,$B$4:$B$328,"A CORTE")-SUMIFS($F$4:$F$328,$C$4:$C$328,C329,$D$4:$D$328,D329,$E$4:$E$328,E329,$B$4:$B$328,"A REPROCESO")-SUMIFS($F$4:$F$328,$C$4:$C$328,C329,$D$4:$D$328,D329,$E$4:$E$328,E329,$B$4:$B$328,"MUESTRA")-SUMIFS($F$4:$F$328,$C$4:$C$328,C329,$D$4:$D$328,D329,$E$4:$E$328,E329,$B$4:$B$328,"AJUSTE-")),0)</f>
        <v>0</v>
      </c>
      <c r="L329" s="13">
        <f t="shared" si="13"/>
        <v>0</v>
      </c>
      <c r="M329" s="8"/>
      <c r="N329" s="14"/>
      <c r="O329" s="14"/>
      <c r="P329" s="14"/>
      <c r="Q329" s="15"/>
      <c r="R329" s="16" t="str">
        <f t="shared" si="14"/>
        <v/>
      </c>
    </row>
    <row r="330" ht="15.75" customHeight="1">
      <c r="A330" s="7"/>
      <c r="B330" s="8"/>
      <c r="C330" s="8"/>
      <c r="D330" s="8"/>
      <c r="E330" s="8"/>
      <c r="F330" s="9"/>
      <c r="G330" s="10">
        <f>IFERROR(F330*VLOOKUP(D330,TELAS!$A$4:$C$32,3,FALSE()),0)</f>
        <v>0</v>
      </c>
      <c r="H330" s="11" t="str">
        <f>IFERROR(VLOOKUP(E330,COLORES!$A$4:$B$102,2,FALSE()),"")</f>
        <v/>
      </c>
      <c r="I330" s="12">
        <f>IFERROR(IF(H330="OSCURO",VLOOKUP(D330,PRECIOS!$A$4:$F$32,2,FALSE()),IF(H330="CLARO",VLOOKUP(D330,PRECIOS!$A$4:$F$32,3,FALSE()),IF(H330="MELANGE",VLOOKUP(D330,PRECIOS!$A$4:$F$32,4,FALSE()),IF(H330="PPT",VLOOKUP(D330,PRECIOS!$A$4:$F$32,5,FALSE()),0)))),0)</f>
        <v>0</v>
      </c>
      <c r="J330" s="12">
        <f t="shared" si="12"/>
        <v>0</v>
      </c>
      <c r="K330" s="13">
        <f>IFERROR(IF(C330="",0,SUMIFS($F$4:$F$329,$C$4:$C$329,C330,$D$4:$D$329,D330,$E$4:$E$329,E330,$B$4:$B$329,"INGRESO")+SUMIFS($F$4:$F$329,$C$4:$C$329,C330,$D$4:$D$329,D330,$E$4:$E$329,E330,$B$4:$B$329,"DE REPROCESO")+SUMIFS($F$4:$F$329,$C$4:$C$329,C330,$D$4:$D$329,D330,$E$4:$E$329,E330,$B$4:$B$329,"AJUSTE+")-SUMIFS($F$4:$F$329,$C$4:$C$329,C330,$D$4:$D$329,D330,$E$4:$E$329,E330,$B$4:$B$329,"A CORTE")-SUMIFS($F$4:$F$329,$C$4:$C$329,C330,$D$4:$D$329,D330,$E$4:$E$329,E330,$B$4:$B$329,"A REPROCESO")-SUMIFS($F$4:$F$329,$C$4:$C$329,C330,$D$4:$D$329,D330,$E$4:$E$329,E330,$B$4:$B$329,"MUESTRA")-SUMIFS($F$4:$F$329,$C$4:$C$329,C330,$D$4:$D$329,D330,$E$4:$E$329,E330,$B$4:$B$329,"AJUSTE-")),0)</f>
        <v>0</v>
      </c>
      <c r="L330" s="13">
        <f t="shared" si="13"/>
        <v>0</v>
      </c>
      <c r="M330" s="8"/>
      <c r="N330" s="14"/>
      <c r="O330" s="14"/>
      <c r="P330" s="14"/>
      <c r="Q330" s="15"/>
      <c r="R330" s="16" t="str">
        <f t="shared" si="14"/>
        <v/>
      </c>
    </row>
    <row r="331" ht="15.75" customHeight="1">
      <c r="A331" s="7"/>
      <c r="B331" s="8"/>
      <c r="C331" s="8"/>
      <c r="D331" s="8"/>
      <c r="E331" s="8"/>
      <c r="F331" s="9"/>
      <c r="G331" s="10">
        <f>IFERROR(F331*VLOOKUP(D331,TELAS!$A$4:$C$32,3,FALSE()),0)</f>
        <v>0</v>
      </c>
      <c r="H331" s="11" t="str">
        <f>IFERROR(VLOOKUP(E331,COLORES!$A$4:$B$102,2,FALSE()),"")</f>
        <v/>
      </c>
      <c r="I331" s="12">
        <f>IFERROR(IF(H331="OSCURO",VLOOKUP(D331,PRECIOS!$A$4:$F$32,2,FALSE()),IF(H331="CLARO",VLOOKUP(D331,PRECIOS!$A$4:$F$32,3,FALSE()),IF(H331="MELANGE",VLOOKUP(D331,PRECIOS!$A$4:$F$32,4,FALSE()),IF(H331="PPT",VLOOKUP(D331,PRECIOS!$A$4:$F$32,5,FALSE()),0)))),0)</f>
        <v>0</v>
      </c>
      <c r="J331" s="12">
        <f t="shared" si="12"/>
        <v>0</v>
      </c>
      <c r="K331" s="13">
        <f>IFERROR(IF(C331="",0,SUMIFS($F$4:$F$330,$C$4:$C$330,C331,$D$4:$D$330,D331,$E$4:$E$330,E331,$B$4:$B$330,"INGRESO")+SUMIFS($F$4:$F$330,$C$4:$C$330,C331,$D$4:$D$330,D331,$E$4:$E$330,E331,$B$4:$B$330,"DE REPROCESO")+SUMIFS($F$4:$F$330,$C$4:$C$330,C331,$D$4:$D$330,D331,$E$4:$E$330,E331,$B$4:$B$330,"AJUSTE+")-SUMIFS($F$4:$F$330,$C$4:$C$330,C331,$D$4:$D$330,D331,$E$4:$E$330,E331,$B$4:$B$330,"A CORTE")-SUMIFS($F$4:$F$330,$C$4:$C$330,C331,$D$4:$D$330,D331,$E$4:$E$330,E331,$B$4:$B$330,"A REPROCESO")-SUMIFS($F$4:$F$330,$C$4:$C$330,C331,$D$4:$D$330,D331,$E$4:$E$330,E331,$B$4:$B$330,"MUESTRA")-SUMIFS($F$4:$F$330,$C$4:$C$330,C331,$D$4:$D$330,D331,$E$4:$E$330,E331,$B$4:$B$330,"AJUSTE-")),0)</f>
        <v>0</v>
      </c>
      <c r="L331" s="13">
        <f t="shared" si="13"/>
        <v>0</v>
      </c>
      <c r="M331" s="8"/>
      <c r="N331" s="14"/>
      <c r="O331" s="14"/>
      <c r="P331" s="14"/>
      <c r="Q331" s="15"/>
      <c r="R331" s="16" t="str">
        <f t="shared" si="14"/>
        <v/>
      </c>
    </row>
    <row r="332" ht="15.75" customHeight="1">
      <c r="A332" s="7"/>
      <c r="B332" s="8"/>
      <c r="C332" s="8"/>
      <c r="D332" s="8"/>
      <c r="E332" s="8"/>
      <c r="F332" s="9"/>
      <c r="G332" s="10">
        <f>IFERROR(F332*VLOOKUP(D332,TELAS!$A$4:$C$32,3,FALSE()),0)</f>
        <v>0</v>
      </c>
      <c r="H332" s="11" t="str">
        <f>IFERROR(VLOOKUP(E332,COLORES!$A$4:$B$102,2,FALSE()),"")</f>
        <v/>
      </c>
      <c r="I332" s="12">
        <f>IFERROR(IF(H332="OSCURO",VLOOKUP(D332,PRECIOS!$A$4:$F$32,2,FALSE()),IF(H332="CLARO",VLOOKUP(D332,PRECIOS!$A$4:$F$32,3,FALSE()),IF(H332="MELANGE",VLOOKUP(D332,PRECIOS!$A$4:$F$32,4,FALSE()),IF(H332="PPT",VLOOKUP(D332,PRECIOS!$A$4:$F$32,5,FALSE()),0)))),0)</f>
        <v>0</v>
      </c>
      <c r="J332" s="12">
        <f t="shared" si="12"/>
        <v>0</v>
      </c>
      <c r="K332" s="13">
        <f>IFERROR(IF(C332="",0,SUMIFS($F$4:$F$331,$C$4:$C$331,C332,$D$4:$D$331,D332,$E$4:$E$331,E332,$B$4:$B$331,"INGRESO")+SUMIFS($F$4:$F$331,$C$4:$C$331,C332,$D$4:$D$331,D332,$E$4:$E$331,E332,$B$4:$B$331,"DE REPROCESO")+SUMIFS($F$4:$F$331,$C$4:$C$331,C332,$D$4:$D$331,D332,$E$4:$E$331,E332,$B$4:$B$331,"AJUSTE+")-SUMIFS($F$4:$F$331,$C$4:$C$331,C332,$D$4:$D$331,D332,$E$4:$E$331,E332,$B$4:$B$331,"A CORTE")-SUMIFS($F$4:$F$331,$C$4:$C$331,C332,$D$4:$D$331,D332,$E$4:$E$331,E332,$B$4:$B$331,"A REPROCESO")-SUMIFS($F$4:$F$331,$C$4:$C$331,C332,$D$4:$D$331,D332,$E$4:$E$331,E332,$B$4:$B$331,"MUESTRA")-SUMIFS($F$4:$F$331,$C$4:$C$331,C332,$D$4:$D$331,D332,$E$4:$E$331,E332,$B$4:$B$331,"AJUSTE-")),0)</f>
        <v>0</v>
      </c>
      <c r="L332" s="13">
        <f t="shared" si="13"/>
        <v>0</v>
      </c>
      <c r="M332" s="8"/>
      <c r="N332" s="14"/>
      <c r="O332" s="14"/>
      <c r="P332" s="14"/>
      <c r="Q332" s="15"/>
      <c r="R332" s="16" t="str">
        <f t="shared" si="14"/>
        <v/>
      </c>
    </row>
    <row r="333" ht="15.75" customHeight="1">
      <c r="A333" s="7"/>
      <c r="B333" s="8"/>
      <c r="C333" s="8"/>
      <c r="D333" s="8"/>
      <c r="E333" s="8"/>
      <c r="F333" s="9"/>
      <c r="G333" s="10">
        <f>IFERROR(F333*VLOOKUP(D333,TELAS!$A$4:$C$32,3,FALSE()),0)</f>
        <v>0</v>
      </c>
      <c r="H333" s="11" t="str">
        <f>IFERROR(VLOOKUP(E333,COLORES!$A$4:$B$102,2,FALSE()),"")</f>
        <v/>
      </c>
      <c r="I333" s="12">
        <f>IFERROR(IF(H333="OSCURO",VLOOKUP(D333,PRECIOS!$A$4:$F$32,2,FALSE()),IF(H333="CLARO",VLOOKUP(D333,PRECIOS!$A$4:$F$32,3,FALSE()),IF(H333="MELANGE",VLOOKUP(D333,PRECIOS!$A$4:$F$32,4,FALSE()),IF(H333="PPT",VLOOKUP(D333,PRECIOS!$A$4:$F$32,5,FALSE()),0)))),0)</f>
        <v>0</v>
      </c>
      <c r="J333" s="12">
        <f t="shared" si="12"/>
        <v>0</v>
      </c>
      <c r="K333" s="13">
        <f>IFERROR(IF(C333="",0,SUMIFS($F$4:$F$332,$C$4:$C$332,C333,$D$4:$D$332,D333,$E$4:$E$332,E333,$B$4:$B$332,"INGRESO")+SUMIFS($F$4:$F$332,$C$4:$C$332,C333,$D$4:$D$332,D333,$E$4:$E$332,E333,$B$4:$B$332,"DE REPROCESO")+SUMIFS($F$4:$F$332,$C$4:$C$332,C333,$D$4:$D$332,D333,$E$4:$E$332,E333,$B$4:$B$332,"AJUSTE+")-SUMIFS($F$4:$F$332,$C$4:$C$332,C333,$D$4:$D$332,D333,$E$4:$E$332,E333,$B$4:$B$332,"A CORTE")-SUMIFS($F$4:$F$332,$C$4:$C$332,C333,$D$4:$D$332,D333,$E$4:$E$332,E333,$B$4:$B$332,"A REPROCESO")-SUMIFS($F$4:$F$332,$C$4:$C$332,C333,$D$4:$D$332,D333,$E$4:$E$332,E333,$B$4:$B$332,"MUESTRA")-SUMIFS($F$4:$F$332,$C$4:$C$332,C333,$D$4:$D$332,D333,$E$4:$E$332,E333,$B$4:$B$332,"AJUSTE-")),0)</f>
        <v>0</v>
      </c>
      <c r="L333" s="13">
        <f t="shared" si="13"/>
        <v>0</v>
      </c>
      <c r="M333" s="8"/>
      <c r="N333" s="14"/>
      <c r="O333" s="14"/>
      <c r="P333" s="14"/>
      <c r="Q333" s="15"/>
      <c r="R333" s="16" t="str">
        <f t="shared" si="14"/>
        <v/>
      </c>
    </row>
    <row r="334" ht="15.75" customHeight="1">
      <c r="A334" s="7"/>
      <c r="B334" s="8"/>
      <c r="C334" s="8"/>
      <c r="D334" s="8"/>
      <c r="E334" s="8"/>
      <c r="F334" s="9"/>
      <c r="G334" s="10">
        <f>IFERROR(F334*VLOOKUP(D334,TELAS!$A$4:$C$32,3,FALSE()),0)</f>
        <v>0</v>
      </c>
      <c r="H334" s="11" t="str">
        <f>IFERROR(VLOOKUP(E334,COLORES!$A$4:$B$102,2,FALSE()),"")</f>
        <v/>
      </c>
      <c r="I334" s="12">
        <f>IFERROR(IF(H334="OSCURO",VLOOKUP(D334,PRECIOS!$A$4:$F$32,2,FALSE()),IF(H334="CLARO",VLOOKUP(D334,PRECIOS!$A$4:$F$32,3,FALSE()),IF(H334="MELANGE",VLOOKUP(D334,PRECIOS!$A$4:$F$32,4,FALSE()),IF(H334="PPT",VLOOKUP(D334,PRECIOS!$A$4:$F$32,5,FALSE()),0)))),0)</f>
        <v>0</v>
      </c>
      <c r="J334" s="12">
        <f t="shared" si="12"/>
        <v>0</v>
      </c>
      <c r="K334" s="13">
        <f>IFERROR(IF(C334="",0,SUMIFS($F$4:$F$333,$C$4:$C$333,C334,$D$4:$D$333,D334,$E$4:$E$333,E334,$B$4:$B$333,"INGRESO")+SUMIFS($F$4:$F$333,$C$4:$C$333,C334,$D$4:$D$333,D334,$E$4:$E$333,E334,$B$4:$B$333,"DE REPROCESO")+SUMIFS($F$4:$F$333,$C$4:$C$333,C334,$D$4:$D$333,D334,$E$4:$E$333,E334,$B$4:$B$333,"AJUSTE+")-SUMIFS($F$4:$F$333,$C$4:$C$333,C334,$D$4:$D$333,D334,$E$4:$E$333,E334,$B$4:$B$333,"A CORTE")-SUMIFS($F$4:$F$333,$C$4:$C$333,C334,$D$4:$D$333,D334,$E$4:$E$333,E334,$B$4:$B$333,"A REPROCESO")-SUMIFS($F$4:$F$333,$C$4:$C$333,C334,$D$4:$D$333,D334,$E$4:$E$333,E334,$B$4:$B$333,"MUESTRA")-SUMIFS($F$4:$F$333,$C$4:$C$333,C334,$D$4:$D$333,D334,$E$4:$E$333,E334,$B$4:$B$333,"AJUSTE-")),0)</f>
        <v>0</v>
      </c>
      <c r="L334" s="13">
        <f t="shared" si="13"/>
        <v>0</v>
      </c>
      <c r="M334" s="8"/>
      <c r="N334" s="14"/>
      <c r="O334" s="14"/>
      <c r="P334" s="14"/>
      <c r="Q334" s="15"/>
      <c r="R334" s="16" t="str">
        <f t="shared" si="14"/>
        <v/>
      </c>
    </row>
    <row r="335" ht="15.75" customHeight="1">
      <c r="A335" s="7"/>
      <c r="B335" s="8"/>
      <c r="C335" s="8"/>
      <c r="D335" s="8"/>
      <c r="E335" s="8"/>
      <c r="F335" s="9"/>
      <c r="G335" s="10">
        <f>IFERROR(F335*VLOOKUP(D335,TELAS!$A$4:$C$32,3,FALSE()),0)</f>
        <v>0</v>
      </c>
      <c r="H335" s="11" t="str">
        <f>IFERROR(VLOOKUP(E335,COLORES!$A$4:$B$102,2,FALSE()),"")</f>
        <v/>
      </c>
      <c r="I335" s="12">
        <f>IFERROR(IF(H335="OSCURO",VLOOKUP(D335,PRECIOS!$A$4:$F$32,2,FALSE()),IF(H335="CLARO",VLOOKUP(D335,PRECIOS!$A$4:$F$32,3,FALSE()),IF(H335="MELANGE",VLOOKUP(D335,PRECIOS!$A$4:$F$32,4,FALSE()),IF(H335="PPT",VLOOKUP(D335,PRECIOS!$A$4:$F$32,5,FALSE()),0)))),0)</f>
        <v>0</v>
      </c>
      <c r="J335" s="12">
        <f t="shared" si="12"/>
        <v>0</v>
      </c>
      <c r="K335" s="13">
        <f>IFERROR(IF(C335="",0,SUMIFS($F$4:$F$334,$C$4:$C$334,C335,$D$4:$D$334,D335,$E$4:$E$334,E335,$B$4:$B$334,"INGRESO")+SUMIFS($F$4:$F$334,$C$4:$C$334,C335,$D$4:$D$334,D335,$E$4:$E$334,E335,$B$4:$B$334,"DE REPROCESO")+SUMIFS($F$4:$F$334,$C$4:$C$334,C335,$D$4:$D$334,D335,$E$4:$E$334,E335,$B$4:$B$334,"AJUSTE+")-SUMIFS($F$4:$F$334,$C$4:$C$334,C335,$D$4:$D$334,D335,$E$4:$E$334,E335,$B$4:$B$334,"A CORTE")-SUMIFS($F$4:$F$334,$C$4:$C$334,C335,$D$4:$D$334,D335,$E$4:$E$334,E335,$B$4:$B$334,"A REPROCESO")-SUMIFS($F$4:$F$334,$C$4:$C$334,C335,$D$4:$D$334,D335,$E$4:$E$334,E335,$B$4:$B$334,"MUESTRA")-SUMIFS($F$4:$F$334,$C$4:$C$334,C335,$D$4:$D$334,D335,$E$4:$E$334,E335,$B$4:$B$334,"AJUSTE-")),0)</f>
        <v>0</v>
      </c>
      <c r="L335" s="13">
        <f t="shared" si="13"/>
        <v>0</v>
      </c>
      <c r="M335" s="8"/>
      <c r="N335" s="14"/>
      <c r="O335" s="14"/>
      <c r="P335" s="14"/>
      <c r="Q335" s="15"/>
      <c r="R335" s="16" t="str">
        <f t="shared" si="14"/>
        <v/>
      </c>
    </row>
    <row r="336" ht="15.75" customHeight="1">
      <c r="A336" s="7"/>
      <c r="B336" s="8"/>
      <c r="C336" s="8"/>
      <c r="D336" s="8"/>
      <c r="E336" s="8"/>
      <c r="F336" s="9"/>
      <c r="G336" s="10">
        <f>IFERROR(F336*VLOOKUP(D336,TELAS!$A$4:$C$32,3,FALSE()),0)</f>
        <v>0</v>
      </c>
      <c r="H336" s="11" t="str">
        <f>IFERROR(VLOOKUP(E336,COLORES!$A$4:$B$102,2,FALSE()),"")</f>
        <v/>
      </c>
      <c r="I336" s="12">
        <f>IFERROR(IF(H336="OSCURO",VLOOKUP(D336,PRECIOS!$A$4:$F$32,2,FALSE()),IF(H336="CLARO",VLOOKUP(D336,PRECIOS!$A$4:$F$32,3,FALSE()),IF(H336="MELANGE",VLOOKUP(D336,PRECIOS!$A$4:$F$32,4,FALSE()),IF(H336="PPT",VLOOKUP(D336,PRECIOS!$A$4:$F$32,5,FALSE()),0)))),0)</f>
        <v>0</v>
      </c>
      <c r="J336" s="12">
        <f t="shared" si="12"/>
        <v>0</v>
      </c>
      <c r="K336" s="13">
        <f>IFERROR(IF(C336="",0,SUMIFS($F$4:$F$335,$C$4:$C$335,C336,$D$4:$D$335,D336,$E$4:$E$335,E336,$B$4:$B$335,"INGRESO")+SUMIFS($F$4:$F$335,$C$4:$C$335,C336,$D$4:$D$335,D336,$E$4:$E$335,E336,$B$4:$B$335,"DE REPROCESO")+SUMIFS($F$4:$F$335,$C$4:$C$335,C336,$D$4:$D$335,D336,$E$4:$E$335,E336,$B$4:$B$335,"AJUSTE+")-SUMIFS($F$4:$F$335,$C$4:$C$335,C336,$D$4:$D$335,D336,$E$4:$E$335,E336,$B$4:$B$335,"A CORTE")-SUMIFS($F$4:$F$335,$C$4:$C$335,C336,$D$4:$D$335,D336,$E$4:$E$335,E336,$B$4:$B$335,"A REPROCESO")-SUMIFS($F$4:$F$335,$C$4:$C$335,C336,$D$4:$D$335,D336,$E$4:$E$335,E336,$B$4:$B$335,"MUESTRA")-SUMIFS($F$4:$F$335,$C$4:$C$335,C336,$D$4:$D$335,D336,$E$4:$E$335,E336,$B$4:$B$335,"AJUSTE-")),0)</f>
        <v>0</v>
      </c>
      <c r="L336" s="13">
        <f t="shared" si="13"/>
        <v>0</v>
      </c>
      <c r="M336" s="8"/>
      <c r="N336" s="14"/>
      <c r="O336" s="14"/>
      <c r="P336" s="14"/>
      <c r="Q336" s="15"/>
      <c r="R336" s="16" t="str">
        <f t="shared" si="14"/>
        <v/>
      </c>
    </row>
    <row r="337" ht="15.75" customHeight="1">
      <c r="A337" s="7"/>
      <c r="B337" s="8"/>
      <c r="C337" s="8"/>
      <c r="D337" s="8"/>
      <c r="E337" s="8"/>
      <c r="F337" s="9"/>
      <c r="G337" s="10">
        <f>IFERROR(F337*VLOOKUP(D337,TELAS!$A$4:$C$32,3,FALSE()),0)</f>
        <v>0</v>
      </c>
      <c r="H337" s="11" t="str">
        <f>IFERROR(VLOOKUP(E337,COLORES!$A$4:$B$102,2,FALSE()),"")</f>
        <v/>
      </c>
      <c r="I337" s="12">
        <f>IFERROR(IF(H337="OSCURO",VLOOKUP(D337,PRECIOS!$A$4:$F$32,2,FALSE()),IF(H337="CLARO",VLOOKUP(D337,PRECIOS!$A$4:$F$32,3,FALSE()),IF(H337="MELANGE",VLOOKUP(D337,PRECIOS!$A$4:$F$32,4,FALSE()),IF(H337="PPT",VLOOKUP(D337,PRECIOS!$A$4:$F$32,5,FALSE()),0)))),0)</f>
        <v>0</v>
      </c>
      <c r="J337" s="12">
        <f t="shared" si="12"/>
        <v>0</v>
      </c>
      <c r="K337" s="13">
        <f>IFERROR(IF(C337="",0,SUMIFS($F$4:$F$336,$C$4:$C$336,C337,$D$4:$D$336,D337,$E$4:$E$336,E337,$B$4:$B$336,"INGRESO")+SUMIFS($F$4:$F$336,$C$4:$C$336,C337,$D$4:$D$336,D337,$E$4:$E$336,E337,$B$4:$B$336,"DE REPROCESO")+SUMIFS($F$4:$F$336,$C$4:$C$336,C337,$D$4:$D$336,D337,$E$4:$E$336,E337,$B$4:$B$336,"AJUSTE+")-SUMIFS($F$4:$F$336,$C$4:$C$336,C337,$D$4:$D$336,D337,$E$4:$E$336,E337,$B$4:$B$336,"A CORTE")-SUMIFS($F$4:$F$336,$C$4:$C$336,C337,$D$4:$D$336,D337,$E$4:$E$336,E337,$B$4:$B$336,"A REPROCESO")-SUMIFS($F$4:$F$336,$C$4:$C$336,C337,$D$4:$D$336,D337,$E$4:$E$336,E337,$B$4:$B$336,"MUESTRA")-SUMIFS($F$4:$F$336,$C$4:$C$336,C337,$D$4:$D$336,D337,$E$4:$E$336,E337,$B$4:$B$336,"AJUSTE-")),0)</f>
        <v>0</v>
      </c>
      <c r="L337" s="13">
        <f t="shared" si="13"/>
        <v>0</v>
      </c>
      <c r="M337" s="8"/>
      <c r="N337" s="14"/>
      <c r="O337" s="14"/>
      <c r="P337" s="14"/>
      <c r="Q337" s="15"/>
      <c r="R337" s="16" t="str">
        <f t="shared" si="14"/>
        <v/>
      </c>
    </row>
    <row r="338" ht="15.75" customHeight="1">
      <c r="A338" s="7"/>
      <c r="B338" s="8"/>
      <c r="C338" s="8"/>
      <c r="D338" s="8"/>
      <c r="E338" s="8"/>
      <c r="F338" s="9"/>
      <c r="G338" s="10">
        <f>IFERROR(F338*VLOOKUP(D338,TELAS!$A$4:$C$32,3,FALSE()),0)</f>
        <v>0</v>
      </c>
      <c r="H338" s="11" t="str">
        <f>IFERROR(VLOOKUP(E338,COLORES!$A$4:$B$102,2,FALSE()),"")</f>
        <v/>
      </c>
      <c r="I338" s="12">
        <f>IFERROR(IF(H338="OSCURO",VLOOKUP(D338,PRECIOS!$A$4:$F$32,2,FALSE()),IF(H338="CLARO",VLOOKUP(D338,PRECIOS!$A$4:$F$32,3,FALSE()),IF(H338="MELANGE",VLOOKUP(D338,PRECIOS!$A$4:$F$32,4,FALSE()),IF(H338="PPT",VLOOKUP(D338,PRECIOS!$A$4:$F$32,5,FALSE()),0)))),0)</f>
        <v>0</v>
      </c>
      <c r="J338" s="12">
        <f t="shared" si="12"/>
        <v>0</v>
      </c>
      <c r="K338" s="13">
        <f>IFERROR(IF(C338="",0,SUMIFS($F$4:$F$337,$C$4:$C$337,C338,$D$4:$D$337,D338,$E$4:$E$337,E338,$B$4:$B$337,"INGRESO")+SUMIFS($F$4:$F$337,$C$4:$C$337,C338,$D$4:$D$337,D338,$E$4:$E$337,E338,$B$4:$B$337,"DE REPROCESO")+SUMIFS($F$4:$F$337,$C$4:$C$337,C338,$D$4:$D$337,D338,$E$4:$E$337,E338,$B$4:$B$337,"AJUSTE+")-SUMIFS($F$4:$F$337,$C$4:$C$337,C338,$D$4:$D$337,D338,$E$4:$E$337,E338,$B$4:$B$337,"A CORTE")-SUMIFS($F$4:$F$337,$C$4:$C$337,C338,$D$4:$D$337,D338,$E$4:$E$337,E338,$B$4:$B$337,"A REPROCESO")-SUMIFS($F$4:$F$337,$C$4:$C$337,C338,$D$4:$D$337,D338,$E$4:$E$337,E338,$B$4:$B$337,"MUESTRA")-SUMIFS($F$4:$F$337,$C$4:$C$337,C338,$D$4:$D$337,D338,$E$4:$E$337,E338,$B$4:$B$337,"AJUSTE-")),0)</f>
        <v>0</v>
      </c>
      <c r="L338" s="13">
        <f t="shared" si="13"/>
        <v>0</v>
      </c>
      <c r="M338" s="8"/>
      <c r="N338" s="14"/>
      <c r="O338" s="14"/>
      <c r="P338" s="14"/>
      <c r="Q338" s="15"/>
      <c r="R338" s="16" t="str">
        <f t="shared" si="14"/>
        <v/>
      </c>
    </row>
    <row r="339" ht="15.75" customHeight="1">
      <c r="A339" s="7"/>
      <c r="B339" s="8"/>
      <c r="C339" s="8"/>
      <c r="D339" s="8"/>
      <c r="E339" s="8"/>
      <c r="F339" s="9"/>
      <c r="G339" s="10">
        <f>IFERROR(F339*VLOOKUP(D339,TELAS!$A$4:$C$32,3,FALSE()),0)</f>
        <v>0</v>
      </c>
      <c r="H339" s="11" t="str">
        <f>IFERROR(VLOOKUP(E339,COLORES!$A$4:$B$102,2,FALSE()),"")</f>
        <v/>
      </c>
      <c r="I339" s="12">
        <f>IFERROR(IF(H339="OSCURO",VLOOKUP(D339,PRECIOS!$A$4:$F$32,2,FALSE()),IF(H339="CLARO",VLOOKUP(D339,PRECIOS!$A$4:$F$32,3,FALSE()),IF(H339="MELANGE",VLOOKUP(D339,PRECIOS!$A$4:$F$32,4,FALSE()),IF(H339="PPT",VLOOKUP(D339,PRECIOS!$A$4:$F$32,5,FALSE()),0)))),0)</f>
        <v>0</v>
      </c>
      <c r="J339" s="12">
        <f t="shared" si="12"/>
        <v>0</v>
      </c>
      <c r="K339" s="13">
        <f>IFERROR(IF(C339="",0,SUMIFS($F$4:$F$338,$C$4:$C$338,C339,$D$4:$D$338,D339,$E$4:$E$338,E339,$B$4:$B$338,"INGRESO")+SUMIFS($F$4:$F$338,$C$4:$C$338,C339,$D$4:$D$338,D339,$E$4:$E$338,E339,$B$4:$B$338,"DE REPROCESO")+SUMIFS($F$4:$F$338,$C$4:$C$338,C339,$D$4:$D$338,D339,$E$4:$E$338,E339,$B$4:$B$338,"AJUSTE+")-SUMIFS($F$4:$F$338,$C$4:$C$338,C339,$D$4:$D$338,D339,$E$4:$E$338,E339,$B$4:$B$338,"A CORTE")-SUMIFS($F$4:$F$338,$C$4:$C$338,C339,$D$4:$D$338,D339,$E$4:$E$338,E339,$B$4:$B$338,"A REPROCESO")-SUMIFS($F$4:$F$338,$C$4:$C$338,C339,$D$4:$D$338,D339,$E$4:$E$338,E339,$B$4:$B$338,"MUESTRA")-SUMIFS($F$4:$F$338,$C$4:$C$338,C339,$D$4:$D$338,D339,$E$4:$E$338,E339,$B$4:$B$338,"AJUSTE-")),0)</f>
        <v>0</v>
      </c>
      <c r="L339" s="13">
        <f t="shared" si="13"/>
        <v>0</v>
      </c>
      <c r="M339" s="8"/>
      <c r="N339" s="14"/>
      <c r="O339" s="14"/>
      <c r="P339" s="14"/>
      <c r="Q339" s="15"/>
      <c r="R339" s="16" t="str">
        <f t="shared" si="14"/>
        <v/>
      </c>
    </row>
    <row r="340" ht="15.75" customHeight="1">
      <c r="A340" s="7"/>
      <c r="B340" s="8"/>
      <c r="C340" s="8"/>
      <c r="D340" s="8"/>
      <c r="E340" s="8"/>
      <c r="F340" s="9"/>
      <c r="G340" s="10">
        <f>IFERROR(F340*VLOOKUP(D340,TELAS!$A$4:$C$32,3,FALSE()),0)</f>
        <v>0</v>
      </c>
      <c r="H340" s="11" t="str">
        <f>IFERROR(VLOOKUP(E340,COLORES!$A$4:$B$102,2,FALSE()),"")</f>
        <v/>
      </c>
      <c r="I340" s="12">
        <f>IFERROR(IF(H340="OSCURO",VLOOKUP(D340,PRECIOS!$A$4:$F$32,2,FALSE()),IF(H340="CLARO",VLOOKUP(D340,PRECIOS!$A$4:$F$32,3,FALSE()),IF(H340="MELANGE",VLOOKUP(D340,PRECIOS!$A$4:$F$32,4,FALSE()),IF(H340="PPT",VLOOKUP(D340,PRECIOS!$A$4:$F$32,5,FALSE()),0)))),0)</f>
        <v>0</v>
      </c>
      <c r="J340" s="12">
        <f t="shared" si="12"/>
        <v>0</v>
      </c>
      <c r="K340" s="13">
        <f>IFERROR(IF(C340="",0,SUMIFS($F$4:$F$339,$C$4:$C$339,C340,$D$4:$D$339,D340,$E$4:$E$339,E340,$B$4:$B$339,"INGRESO")+SUMIFS($F$4:$F$339,$C$4:$C$339,C340,$D$4:$D$339,D340,$E$4:$E$339,E340,$B$4:$B$339,"DE REPROCESO")+SUMIFS($F$4:$F$339,$C$4:$C$339,C340,$D$4:$D$339,D340,$E$4:$E$339,E340,$B$4:$B$339,"AJUSTE+")-SUMIFS($F$4:$F$339,$C$4:$C$339,C340,$D$4:$D$339,D340,$E$4:$E$339,E340,$B$4:$B$339,"A CORTE")-SUMIFS($F$4:$F$339,$C$4:$C$339,C340,$D$4:$D$339,D340,$E$4:$E$339,E340,$B$4:$B$339,"A REPROCESO")-SUMIFS($F$4:$F$339,$C$4:$C$339,C340,$D$4:$D$339,D340,$E$4:$E$339,E340,$B$4:$B$339,"MUESTRA")-SUMIFS($F$4:$F$339,$C$4:$C$339,C340,$D$4:$D$339,D340,$E$4:$E$339,E340,$B$4:$B$339,"AJUSTE-")),0)</f>
        <v>0</v>
      </c>
      <c r="L340" s="13">
        <f t="shared" si="13"/>
        <v>0</v>
      </c>
      <c r="M340" s="8"/>
      <c r="N340" s="14"/>
      <c r="O340" s="14"/>
      <c r="P340" s="14"/>
      <c r="Q340" s="15"/>
      <c r="R340" s="16" t="str">
        <f t="shared" si="14"/>
        <v/>
      </c>
    </row>
    <row r="341" ht="15.75" customHeight="1">
      <c r="A341" s="7"/>
      <c r="B341" s="8"/>
      <c r="C341" s="8"/>
      <c r="D341" s="8"/>
      <c r="E341" s="8"/>
      <c r="F341" s="9"/>
      <c r="G341" s="10">
        <f>IFERROR(F341*VLOOKUP(D341,TELAS!$A$4:$C$32,3,FALSE()),0)</f>
        <v>0</v>
      </c>
      <c r="H341" s="11" t="str">
        <f>IFERROR(VLOOKUP(E341,COLORES!$A$4:$B$102,2,FALSE()),"")</f>
        <v/>
      </c>
      <c r="I341" s="12">
        <f>IFERROR(IF(H341="OSCURO",VLOOKUP(D341,PRECIOS!$A$4:$F$32,2,FALSE()),IF(H341="CLARO",VLOOKUP(D341,PRECIOS!$A$4:$F$32,3,FALSE()),IF(H341="MELANGE",VLOOKUP(D341,PRECIOS!$A$4:$F$32,4,FALSE()),IF(H341="PPT",VLOOKUP(D341,PRECIOS!$A$4:$F$32,5,FALSE()),0)))),0)</f>
        <v>0</v>
      </c>
      <c r="J341" s="12">
        <f t="shared" si="12"/>
        <v>0</v>
      </c>
      <c r="K341" s="13">
        <f>IFERROR(IF(C341="",0,SUMIFS($F$4:$F$340,$C$4:$C$340,C341,$D$4:$D$340,D341,$E$4:$E$340,E341,$B$4:$B$340,"INGRESO")+SUMIFS($F$4:$F$340,$C$4:$C$340,C341,$D$4:$D$340,D341,$E$4:$E$340,E341,$B$4:$B$340,"DE REPROCESO")+SUMIFS($F$4:$F$340,$C$4:$C$340,C341,$D$4:$D$340,D341,$E$4:$E$340,E341,$B$4:$B$340,"AJUSTE+")-SUMIFS($F$4:$F$340,$C$4:$C$340,C341,$D$4:$D$340,D341,$E$4:$E$340,E341,$B$4:$B$340,"A CORTE")-SUMIFS($F$4:$F$340,$C$4:$C$340,C341,$D$4:$D$340,D341,$E$4:$E$340,E341,$B$4:$B$340,"A REPROCESO")-SUMIFS($F$4:$F$340,$C$4:$C$340,C341,$D$4:$D$340,D341,$E$4:$E$340,E341,$B$4:$B$340,"MUESTRA")-SUMIFS($F$4:$F$340,$C$4:$C$340,C341,$D$4:$D$340,D341,$E$4:$E$340,E341,$B$4:$B$340,"AJUSTE-")),0)</f>
        <v>0</v>
      </c>
      <c r="L341" s="13">
        <f t="shared" si="13"/>
        <v>0</v>
      </c>
      <c r="M341" s="8"/>
      <c r="N341" s="14"/>
      <c r="O341" s="14"/>
      <c r="P341" s="14"/>
      <c r="Q341" s="15"/>
      <c r="R341" s="16" t="str">
        <f t="shared" si="14"/>
        <v/>
      </c>
    </row>
    <row r="342" ht="15.75" customHeight="1">
      <c r="A342" s="7"/>
      <c r="B342" s="8"/>
      <c r="C342" s="8"/>
      <c r="D342" s="8"/>
      <c r="E342" s="8"/>
      <c r="F342" s="9"/>
      <c r="G342" s="10">
        <f>IFERROR(F342*VLOOKUP(D342,TELAS!$A$4:$C$32,3,FALSE()),0)</f>
        <v>0</v>
      </c>
      <c r="H342" s="11" t="str">
        <f>IFERROR(VLOOKUP(E342,COLORES!$A$4:$B$102,2,FALSE()),"")</f>
        <v/>
      </c>
      <c r="I342" s="12">
        <f>IFERROR(IF(H342="OSCURO",VLOOKUP(D342,PRECIOS!$A$4:$F$32,2,FALSE()),IF(H342="CLARO",VLOOKUP(D342,PRECIOS!$A$4:$F$32,3,FALSE()),IF(H342="MELANGE",VLOOKUP(D342,PRECIOS!$A$4:$F$32,4,FALSE()),IF(H342="PPT",VLOOKUP(D342,PRECIOS!$A$4:$F$32,5,FALSE()),0)))),0)</f>
        <v>0</v>
      </c>
      <c r="J342" s="12">
        <f t="shared" si="12"/>
        <v>0</v>
      </c>
      <c r="K342" s="13">
        <f>IFERROR(IF(C342="",0,SUMIFS($F$4:$F$341,$C$4:$C$341,C342,$D$4:$D$341,D342,$E$4:$E$341,E342,$B$4:$B$341,"INGRESO")+SUMIFS($F$4:$F$341,$C$4:$C$341,C342,$D$4:$D$341,D342,$E$4:$E$341,E342,$B$4:$B$341,"DE REPROCESO")+SUMIFS($F$4:$F$341,$C$4:$C$341,C342,$D$4:$D$341,D342,$E$4:$E$341,E342,$B$4:$B$341,"AJUSTE+")-SUMIFS($F$4:$F$341,$C$4:$C$341,C342,$D$4:$D$341,D342,$E$4:$E$341,E342,$B$4:$B$341,"A CORTE")-SUMIFS($F$4:$F$341,$C$4:$C$341,C342,$D$4:$D$341,D342,$E$4:$E$341,E342,$B$4:$B$341,"A REPROCESO")-SUMIFS($F$4:$F$341,$C$4:$C$341,C342,$D$4:$D$341,D342,$E$4:$E$341,E342,$B$4:$B$341,"MUESTRA")-SUMIFS($F$4:$F$341,$C$4:$C$341,C342,$D$4:$D$341,D342,$E$4:$E$341,E342,$B$4:$B$341,"AJUSTE-")),0)</f>
        <v>0</v>
      </c>
      <c r="L342" s="13">
        <f t="shared" si="13"/>
        <v>0</v>
      </c>
      <c r="M342" s="8"/>
      <c r="N342" s="14"/>
      <c r="O342" s="14"/>
      <c r="P342" s="14"/>
      <c r="Q342" s="15"/>
      <c r="R342" s="16" t="str">
        <f t="shared" si="14"/>
        <v/>
      </c>
    </row>
    <row r="343" ht="15.75" customHeight="1">
      <c r="A343" s="7"/>
      <c r="B343" s="8"/>
      <c r="C343" s="8"/>
      <c r="D343" s="8"/>
      <c r="E343" s="8"/>
      <c r="F343" s="9"/>
      <c r="G343" s="10">
        <f>IFERROR(F343*VLOOKUP(D343,TELAS!$A$4:$C$32,3,FALSE()),0)</f>
        <v>0</v>
      </c>
      <c r="H343" s="11" t="str">
        <f>IFERROR(VLOOKUP(E343,COLORES!$A$4:$B$102,2,FALSE()),"")</f>
        <v/>
      </c>
      <c r="I343" s="12">
        <f>IFERROR(IF(H343="OSCURO",VLOOKUP(D343,PRECIOS!$A$4:$F$32,2,FALSE()),IF(H343="CLARO",VLOOKUP(D343,PRECIOS!$A$4:$F$32,3,FALSE()),IF(H343="MELANGE",VLOOKUP(D343,PRECIOS!$A$4:$F$32,4,FALSE()),IF(H343="PPT",VLOOKUP(D343,PRECIOS!$A$4:$F$32,5,FALSE()),0)))),0)</f>
        <v>0</v>
      </c>
      <c r="J343" s="12">
        <f t="shared" si="12"/>
        <v>0</v>
      </c>
      <c r="K343" s="13">
        <f>IFERROR(IF(C343="",0,SUMIFS($F$4:$F$342,$C$4:$C$342,C343,$D$4:$D$342,D343,$E$4:$E$342,E343,$B$4:$B$342,"INGRESO")+SUMIFS($F$4:$F$342,$C$4:$C$342,C343,$D$4:$D$342,D343,$E$4:$E$342,E343,$B$4:$B$342,"DE REPROCESO")+SUMIFS($F$4:$F$342,$C$4:$C$342,C343,$D$4:$D$342,D343,$E$4:$E$342,E343,$B$4:$B$342,"AJUSTE+")-SUMIFS($F$4:$F$342,$C$4:$C$342,C343,$D$4:$D$342,D343,$E$4:$E$342,E343,$B$4:$B$342,"A CORTE")-SUMIFS($F$4:$F$342,$C$4:$C$342,C343,$D$4:$D$342,D343,$E$4:$E$342,E343,$B$4:$B$342,"A REPROCESO")-SUMIFS($F$4:$F$342,$C$4:$C$342,C343,$D$4:$D$342,D343,$E$4:$E$342,E343,$B$4:$B$342,"MUESTRA")-SUMIFS($F$4:$F$342,$C$4:$C$342,C343,$D$4:$D$342,D343,$E$4:$E$342,E343,$B$4:$B$342,"AJUSTE-")),0)</f>
        <v>0</v>
      </c>
      <c r="L343" s="13">
        <f t="shared" si="13"/>
        <v>0</v>
      </c>
      <c r="M343" s="8"/>
      <c r="N343" s="14"/>
      <c r="O343" s="14"/>
      <c r="P343" s="14"/>
      <c r="Q343" s="15"/>
      <c r="R343" s="16" t="str">
        <f t="shared" si="14"/>
        <v/>
      </c>
    </row>
    <row r="344" ht="15.75" customHeight="1">
      <c r="A344" s="7"/>
      <c r="B344" s="8"/>
      <c r="C344" s="8"/>
      <c r="D344" s="8"/>
      <c r="E344" s="8"/>
      <c r="F344" s="9"/>
      <c r="G344" s="10">
        <f>IFERROR(F344*VLOOKUP(D344,TELAS!$A$4:$C$32,3,FALSE()),0)</f>
        <v>0</v>
      </c>
      <c r="H344" s="11" t="str">
        <f>IFERROR(VLOOKUP(E344,COLORES!$A$4:$B$102,2,FALSE()),"")</f>
        <v/>
      </c>
      <c r="I344" s="12">
        <f>IFERROR(IF(H344="OSCURO",VLOOKUP(D344,PRECIOS!$A$4:$F$32,2,FALSE()),IF(H344="CLARO",VLOOKUP(D344,PRECIOS!$A$4:$F$32,3,FALSE()),IF(H344="MELANGE",VLOOKUP(D344,PRECIOS!$A$4:$F$32,4,FALSE()),IF(H344="PPT",VLOOKUP(D344,PRECIOS!$A$4:$F$32,5,FALSE()),0)))),0)</f>
        <v>0</v>
      </c>
      <c r="J344" s="12">
        <f t="shared" si="12"/>
        <v>0</v>
      </c>
      <c r="K344" s="13">
        <f>IFERROR(IF(C344="",0,SUMIFS($F$4:$F$343,$C$4:$C$343,C344,$D$4:$D$343,D344,$E$4:$E$343,E344,$B$4:$B$343,"INGRESO")+SUMIFS($F$4:$F$343,$C$4:$C$343,C344,$D$4:$D$343,D344,$E$4:$E$343,E344,$B$4:$B$343,"DE REPROCESO")+SUMIFS($F$4:$F$343,$C$4:$C$343,C344,$D$4:$D$343,D344,$E$4:$E$343,E344,$B$4:$B$343,"AJUSTE+")-SUMIFS($F$4:$F$343,$C$4:$C$343,C344,$D$4:$D$343,D344,$E$4:$E$343,E344,$B$4:$B$343,"A CORTE")-SUMIFS($F$4:$F$343,$C$4:$C$343,C344,$D$4:$D$343,D344,$E$4:$E$343,E344,$B$4:$B$343,"A REPROCESO")-SUMIFS($F$4:$F$343,$C$4:$C$343,C344,$D$4:$D$343,D344,$E$4:$E$343,E344,$B$4:$B$343,"MUESTRA")-SUMIFS($F$4:$F$343,$C$4:$C$343,C344,$D$4:$D$343,D344,$E$4:$E$343,E344,$B$4:$B$343,"AJUSTE-")),0)</f>
        <v>0</v>
      </c>
      <c r="L344" s="13">
        <f t="shared" si="13"/>
        <v>0</v>
      </c>
      <c r="M344" s="8"/>
      <c r="N344" s="14"/>
      <c r="O344" s="14"/>
      <c r="P344" s="14"/>
      <c r="Q344" s="15"/>
      <c r="R344" s="16" t="str">
        <f t="shared" si="14"/>
        <v/>
      </c>
    </row>
    <row r="345" ht="15.75" customHeight="1">
      <c r="A345" s="7"/>
      <c r="B345" s="8"/>
      <c r="C345" s="8"/>
      <c r="D345" s="8"/>
      <c r="E345" s="8"/>
      <c r="F345" s="9"/>
      <c r="G345" s="10">
        <f>IFERROR(F345*VLOOKUP(D345,TELAS!$A$4:$C$32,3,FALSE()),0)</f>
        <v>0</v>
      </c>
      <c r="H345" s="11" t="str">
        <f>IFERROR(VLOOKUP(E345,COLORES!$A$4:$B$102,2,FALSE()),"")</f>
        <v/>
      </c>
      <c r="I345" s="12">
        <f>IFERROR(IF(H345="OSCURO",VLOOKUP(D345,PRECIOS!$A$4:$F$32,2,FALSE()),IF(H345="CLARO",VLOOKUP(D345,PRECIOS!$A$4:$F$32,3,FALSE()),IF(H345="MELANGE",VLOOKUP(D345,PRECIOS!$A$4:$F$32,4,FALSE()),IF(H345="PPT",VLOOKUP(D345,PRECIOS!$A$4:$F$32,5,FALSE()),0)))),0)</f>
        <v>0</v>
      </c>
      <c r="J345" s="12">
        <f t="shared" si="12"/>
        <v>0</v>
      </c>
      <c r="K345" s="13">
        <f>IFERROR(IF(C345="",0,SUMIFS($F$4:$F$344,$C$4:$C$344,C345,$D$4:$D$344,D345,$E$4:$E$344,E345,$B$4:$B$344,"INGRESO")+SUMIFS($F$4:$F$344,$C$4:$C$344,C345,$D$4:$D$344,D345,$E$4:$E$344,E345,$B$4:$B$344,"DE REPROCESO")+SUMIFS($F$4:$F$344,$C$4:$C$344,C345,$D$4:$D$344,D345,$E$4:$E$344,E345,$B$4:$B$344,"AJUSTE+")-SUMIFS($F$4:$F$344,$C$4:$C$344,C345,$D$4:$D$344,D345,$E$4:$E$344,E345,$B$4:$B$344,"A CORTE")-SUMIFS($F$4:$F$344,$C$4:$C$344,C345,$D$4:$D$344,D345,$E$4:$E$344,E345,$B$4:$B$344,"A REPROCESO")-SUMIFS($F$4:$F$344,$C$4:$C$344,C345,$D$4:$D$344,D345,$E$4:$E$344,E345,$B$4:$B$344,"MUESTRA")-SUMIFS($F$4:$F$344,$C$4:$C$344,C345,$D$4:$D$344,D345,$E$4:$E$344,E345,$B$4:$B$344,"AJUSTE-")),0)</f>
        <v>0</v>
      </c>
      <c r="L345" s="13">
        <f t="shared" si="13"/>
        <v>0</v>
      </c>
      <c r="M345" s="8"/>
      <c r="N345" s="14"/>
      <c r="O345" s="14"/>
      <c r="P345" s="14"/>
      <c r="Q345" s="15"/>
      <c r="R345" s="16" t="str">
        <f t="shared" si="14"/>
        <v/>
      </c>
    </row>
    <row r="346" ht="15.75" customHeight="1">
      <c r="A346" s="7"/>
      <c r="B346" s="8"/>
      <c r="C346" s="8"/>
      <c r="D346" s="8"/>
      <c r="E346" s="8"/>
      <c r="F346" s="9"/>
      <c r="G346" s="10">
        <f>IFERROR(F346*VLOOKUP(D346,TELAS!$A$4:$C$32,3,FALSE()),0)</f>
        <v>0</v>
      </c>
      <c r="H346" s="11" t="str">
        <f>IFERROR(VLOOKUP(E346,COLORES!$A$4:$B$102,2,FALSE()),"")</f>
        <v/>
      </c>
      <c r="I346" s="12">
        <f>IFERROR(IF(H346="OSCURO",VLOOKUP(D346,PRECIOS!$A$4:$F$32,2,FALSE()),IF(H346="CLARO",VLOOKUP(D346,PRECIOS!$A$4:$F$32,3,FALSE()),IF(H346="MELANGE",VLOOKUP(D346,PRECIOS!$A$4:$F$32,4,FALSE()),IF(H346="PPT",VLOOKUP(D346,PRECIOS!$A$4:$F$32,5,FALSE()),0)))),0)</f>
        <v>0</v>
      </c>
      <c r="J346" s="12">
        <f t="shared" si="12"/>
        <v>0</v>
      </c>
      <c r="K346" s="13">
        <f>IFERROR(IF(C346="",0,SUMIFS($F$4:$F$345,$C$4:$C$345,C346,$D$4:$D$345,D346,$E$4:$E$345,E346,$B$4:$B$345,"INGRESO")+SUMIFS($F$4:$F$345,$C$4:$C$345,C346,$D$4:$D$345,D346,$E$4:$E$345,E346,$B$4:$B$345,"DE REPROCESO")+SUMIFS($F$4:$F$345,$C$4:$C$345,C346,$D$4:$D$345,D346,$E$4:$E$345,E346,$B$4:$B$345,"AJUSTE+")-SUMIFS($F$4:$F$345,$C$4:$C$345,C346,$D$4:$D$345,D346,$E$4:$E$345,E346,$B$4:$B$345,"A CORTE")-SUMIFS($F$4:$F$345,$C$4:$C$345,C346,$D$4:$D$345,D346,$E$4:$E$345,E346,$B$4:$B$345,"A REPROCESO")-SUMIFS($F$4:$F$345,$C$4:$C$345,C346,$D$4:$D$345,D346,$E$4:$E$345,E346,$B$4:$B$345,"MUESTRA")-SUMIFS($F$4:$F$345,$C$4:$C$345,C346,$D$4:$D$345,D346,$E$4:$E$345,E346,$B$4:$B$345,"AJUSTE-")),0)</f>
        <v>0</v>
      </c>
      <c r="L346" s="13">
        <f t="shared" si="13"/>
        <v>0</v>
      </c>
      <c r="M346" s="8"/>
      <c r="N346" s="14"/>
      <c r="O346" s="14"/>
      <c r="P346" s="14"/>
      <c r="Q346" s="15"/>
      <c r="R346" s="16" t="str">
        <f t="shared" si="14"/>
        <v/>
      </c>
    </row>
    <row r="347" ht="15.75" customHeight="1">
      <c r="A347" s="7"/>
      <c r="B347" s="8"/>
      <c r="C347" s="8"/>
      <c r="D347" s="8"/>
      <c r="E347" s="8"/>
      <c r="F347" s="9"/>
      <c r="G347" s="10">
        <f>IFERROR(F347*VLOOKUP(D347,TELAS!$A$4:$C$32,3,FALSE()),0)</f>
        <v>0</v>
      </c>
      <c r="H347" s="11" t="str">
        <f>IFERROR(VLOOKUP(E347,COLORES!$A$4:$B$102,2,FALSE()),"")</f>
        <v/>
      </c>
      <c r="I347" s="12">
        <f>IFERROR(IF(H347="OSCURO",VLOOKUP(D347,PRECIOS!$A$4:$F$32,2,FALSE()),IF(H347="CLARO",VLOOKUP(D347,PRECIOS!$A$4:$F$32,3,FALSE()),IF(H347="MELANGE",VLOOKUP(D347,PRECIOS!$A$4:$F$32,4,FALSE()),IF(H347="PPT",VLOOKUP(D347,PRECIOS!$A$4:$F$32,5,FALSE()),0)))),0)</f>
        <v>0</v>
      </c>
      <c r="J347" s="12">
        <f t="shared" si="12"/>
        <v>0</v>
      </c>
      <c r="K347" s="13">
        <f>IFERROR(IF(C347="",0,SUMIFS($F$4:$F$346,$C$4:$C$346,C347,$D$4:$D$346,D347,$E$4:$E$346,E347,$B$4:$B$346,"INGRESO")+SUMIFS($F$4:$F$346,$C$4:$C$346,C347,$D$4:$D$346,D347,$E$4:$E$346,E347,$B$4:$B$346,"DE REPROCESO")+SUMIFS($F$4:$F$346,$C$4:$C$346,C347,$D$4:$D$346,D347,$E$4:$E$346,E347,$B$4:$B$346,"AJUSTE+")-SUMIFS($F$4:$F$346,$C$4:$C$346,C347,$D$4:$D$346,D347,$E$4:$E$346,E347,$B$4:$B$346,"A CORTE")-SUMIFS($F$4:$F$346,$C$4:$C$346,C347,$D$4:$D$346,D347,$E$4:$E$346,E347,$B$4:$B$346,"A REPROCESO")-SUMIFS($F$4:$F$346,$C$4:$C$346,C347,$D$4:$D$346,D347,$E$4:$E$346,E347,$B$4:$B$346,"MUESTRA")-SUMIFS($F$4:$F$346,$C$4:$C$346,C347,$D$4:$D$346,D347,$E$4:$E$346,E347,$B$4:$B$346,"AJUSTE-")),0)</f>
        <v>0</v>
      </c>
      <c r="L347" s="13">
        <f t="shared" si="13"/>
        <v>0</v>
      </c>
      <c r="M347" s="8"/>
      <c r="N347" s="14"/>
      <c r="O347" s="14"/>
      <c r="P347" s="14"/>
      <c r="Q347" s="15"/>
      <c r="R347" s="16" t="str">
        <f t="shared" si="14"/>
        <v/>
      </c>
    </row>
    <row r="348" ht="15.75" customHeight="1">
      <c r="A348" s="7"/>
      <c r="B348" s="8"/>
      <c r="C348" s="8"/>
      <c r="D348" s="8"/>
      <c r="E348" s="8"/>
      <c r="F348" s="9"/>
      <c r="G348" s="10">
        <f>IFERROR(F348*VLOOKUP(D348,TELAS!$A$4:$C$32,3,FALSE()),0)</f>
        <v>0</v>
      </c>
      <c r="H348" s="11" t="str">
        <f>IFERROR(VLOOKUP(E348,COLORES!$A$4:$B$102,2,FALSE()),"")</f>
        <v/>
      </c>
      <c r="I348" s="12">
        <f>IFERROR(IF(H348="OSCURO",VLOOKUP(D348,PRECIOS!$A$4:$F$32,2,FALSE()),IF(H348="CLARO",VLOOKUP(D348,PRECIOS!$A$4:$F$32,3,FALSE()),IF(H348="MELANGE",VLOOKUP(D348,PRECIOS!$A$4:$F$32,4,FALSE()),IF(H348="PPT",VLOOKUP(D348,PRECIOS!$A$4:$F$32,5,FALSE()),0)))),0)</f>
        <v>0</v>
      </c>
      <c r="J348" s="12">
        <f t="shared" si="12"/>
        <v>0</v>
      </c>
      <c r="K348" s="13">
        <f>IFERROR(IF(C348="",0,SUMIFS($F$4:$F$347,$C$4:$C$347,C348,$D$4:$D$347,D348,$E$4:$E$347,E348,$B$4:$B$347,"INGRESO")+SUMIFS($F$4:$F$347,$C$4:$C$347,C348,$D$4:$D$347,D348,$E$4:$E$347,E348,$B$4:$B$347,"DE REPROCESO")+SUMIFS($F$4:$F$347,$C$4:$C$347,C348,$D$4:$D$347,D348,$E$4:$E$347,E348,$B$4:$B$347,"AJUSTE+")-SUMIFS($F$4:$F$347,$C$4:$C$347,C348,$D$4:$D$347,D348,$E$4:$E$347,E348,$B$4:$B$347,"A CORTE")-SUMIFS($F$4:$F$347,$C$4:$C$347,C348,$D$4:$D$347,D348,$E$4:$E$347,E348,$B$4:$B$347,"A REPROCESO")-SUMIFS($F$4:$F$347,$C$4:$C$347,C348,$D$4:$D$347,D348,$E$4:$E$347,E348,$B$4:$B$347,"MUESTRA")-SUMIFS($F$4:$F$347,$C$4:$C$347,C348,$D$4:$D$347,D348,$E$4:$E$347,E348,$B$4:$B$347,"AJUSTE-")),0)</f>
        <v>0</v>
      </c>
      <c r="L348" s="13">
        <f t="shared" si="13"/>
        <v>0</v>
      </c>
      <c r="M348" s="8"/>
      <c r="N348" s="14"/>
      <c r="O348" s="14"/>
      <c r="P348" s="14"/>
      <c r="Q348" s="15"/>
      <c r="R348" s="16" t="str">
        <f t="shared" si="14"/>
        <v/>
      </c>
    </row>
    <row r="349" ht="15.75" customHeight="1">
      <c r="A349" s="7"/>
      <c r="B349" s="8"/>
      <c r="C349" s="8"/>
      <c r="D349" s="8"/>
      <c r="E349" s="8"/>
      <c r="F349" s="9"/>
      <c r="G349" s="10">
        <f>IFERROR(F349*VLOOKUP(D349,TELAS!$A$4:$C$32,3,FALSE()),0)</f>
        <v>0</v>
      </c>
      <c r="H349" s="11" t="str">
        <f>IFERROR(VLOOKUP(E349,COLORES!$A$4:$B$102,2,FALSE()),"")</f>
        <v/>
      </c>
      <c r="I349" s="12">
        <f>IFERROR(IF(H349="OSCURO",VLOOKUP(D349,PRECIOS!$A$4:$F$32,2,FALSE()),IF(H349="CLARO",VLOOKUP(D349,PRECIOS!$A$4:$F$32,3,FALSE()),IF(H349="MELANGE",VLOOKUP(D349,PRECIOS!$A$4:$F$32,4,FALSE()),IF(H349="PPT",VLOOKUP(D349,PRECIOS!$A$4:$F$32,5,FALSE()),0)))),0)</f>
        <v>0</v>
      </c>
      <c r="J349" s="12">
        <f t="shared" si="12"/>
        <v>0</v>
      </c>
      <c r="K349" s="13">
        <f>IFERROR(IF(C349="",0,SUMIFS($F$4:$F$348,$C$4:$C$348,C349,$D$4:$D$348,D349,$E$4:$E$348,E349,$B$4:$B$348,"INGRESO")+SUMIFS($F$4:$F$348,$C$4:$C$348,C349,$D$4:$D$348,D349,$E$4:$E$348,E349,$B$4:$B$348,"DE REPROCESO")+SUMIFS($F$4:$F$348,$C$4:$C$348,C349,$D$4:$D$348,D349,$E$4:$E$348,E349,$B$4:$B$348,"AJUSTE+")-SUMIFS($F$4:$F$348,$C$4:$C$348,C349,$D$4:$D$348,D349,$E$4:$E$348,E349,$B$4:$B$348,"A CORTE")-SUMIFS($F$4:$F$348,$C$4:$C$348,C349,$D$4:$D$348,D349,$E$4:$E$348,E349,$B$4:$B$348,"A REPROCESO")-SUMIFS($F$4:$F$348,$C$4:$C$348,C349,$D$4:$D$348,D349,$E$4:$E$348,E349,$B$4:$B$348,"MUESTRA")-SUMIFS($F$4:$F$348,$C$4:$C$348,C349,$D$4:$D$348,D349,$E$4:$E$348,E349,$B$4:$B$348,"AJUSTE-")),0)</f>
        <v>0</v>
      </c>
      <c r="L349" s="13">
        <f t="shared" si="13"/>
        <v>0</v>
      </c>
      <c r="M349" s="8"/>
      <c r="N349" s="14"/>
      <c r="O349" s="14"/>
      <c r="P349" s="14"/>
      <c r="Q349" s="15"/>
      <c r="R349" s="16" t="str">
        <f t="shared" si="14"/>
        <v/>
      </c>
    </row>
    <row r="350" ht="15.75" customHeight="1">
      <c r="A350" s="7"/>
      <c r="B350" s="8"/>
      <c r="C350" s="8"/>
      <c r="D350" s="8"/>
      <c r="E350" s="8"/>
      <c r="F350" s="9"/>
      <c r="G350" s="10">
        <f>IFERROR(F350*VLOOKUP(D350,TELAS!$A$4:$C$32,3,FALSE()),0)</f>
        <v>0</v>
      </c>
      <c r="H350" s="11" t="str">
        <f>IFERROR(VLOOKUP(E350,COLORES!$A$4:$B$102,2,FALSE()),"")</f>
        <v/>
      </c>
      <c r="I350" s="12">
        <f>IFERROR(IF(H350="OSCURO",VLOOKUP(D350,PRECIOS!$A$4:$F$32,2,FALSE()),IF(H350="CLARO",VLOOKUP(D350,PRECIOS!$A$4:$F$32,3,FALSE()),IF(H350="MELANGE",VLOOKUP(D350,PRECIOS!$A$4:$F$32,4,FALSE()),IF(H350="PPT",VLOOKUP(D350,PRECIOS!$A$4:$F$32,5,FALSE()),0)))),0)</f>
        <v>0</v>
      </c>
      <c r="J350" s="12">
        <f t="shared" si="12"/>
        <v>0</v>
      </c>
      <c r="K350" s="13">
        <f>IFERROR(IF(C350="",0,SUMIFS($F$4:$F$349,$C$4:$C$349,C350,$D$4:$D$349,D350,$E$4:$E$349,E350,$B$4:$B$349,"INGRESO")+SUMIFS($F$4:$F$349,$C$4:$C$349,C350,$D$4:$D$349,D350,$E$4:$E$349,E350,$B$4:$B$349,"DE REPROCESO")+SUMIFS($F$4:$F$349,$C$4:$C$349,C350,$D$4:$D$349,D350,$E$4:$E$349,E350,$B$4:$B$349,"AJUSTE+")-SUMIFS($F$4:$F$349,$C$4:$C$349,C350,$D$4:$D$349,D350,$E$4:$E$349,E350,$B$4:$B$349,"A CORTE")-SUMIFS($F$4:$F$349,$C$4:$C$349,C350,$D$4:$D$349,D350,$E$4:$E$349,E350,$B$4:$B$349,"A REPROCESO")-SUMIFS($F$4:$F$349,$C$4:$C$349,C350,$D$4:$D$349,D350,$E$4:$E$349,E350,$B$4:$B$349,"MUESTRA")-SUMIFS($F$4:$F$349,$C$4:$C$349,C350,$D$4:$D$349,D350,$E$4:$E$349,E350,$B$4:$B$349,"AJUSTE-")),0)</f>
        <v>0</v>
      </c>
      <c r="L350" s="13">
        <f t="shared" si="13"/>
        <v>0</v>
      </c>
      <c r="M350" s="8"/>
      <c r="N350" s="14"/>
      <c r="O350" s="14"/>
      <c r="P350" s="14"/>
      <c r="Q350" s="15"/>
      <c r="R350" s="16" t="str">
        <f t="shared" si="14"/>
        <v/>
      </c>
    </row>
    <row r="351" ht="15.75" customHeight="1">
      <c r="A351" s="7"/>
      <c r="B351" s="8"/>
      <c r="C351" s="8"/>
      <c r="D351" s="8"/>
      <c r="E351" s="8"/>
      <c r="F351" s="9"/>
      <c r="G351" s="10">
        <f>IFERROR(F351*VLOOKUP(D351,TELAS!$A$4:$C$32,3,FALSE()),0)</f>
        <v>0</v>
      </c>
      <c r="H351" s="11" t="str">
        <f>IFERROR(VLOOKUP(E351,COLORES!$A$4:$B$102,2,FALSE()),"")</f>
        <v/>
      </c>
      <c r="I351" s="12">
        <f>IFERROR(IF(H351="OSCURO",VLOOKUP(D351,PRECIOS!$A$4:$F$32,2,FALSE()),IF(H351="CLARO",VLOOKUP(D351,PRECIOS!$A$4:$F$32,3,FALSE()),IF(H351="MELANGE",VLOOKUP(D351,PRECIOS!$A$4:$F$32,4,FALSE()),IF(H351="PPT",VLOOKUP(D351,PRECIOS!$A$4:$F$32,5,FALSE()),0)))),0)</f>
        <v>0</v>
      </c>
      <c r="J351" s="12">
        <f t="shared" si="12"/>
        <v>0</v>
      </c>
      <c r="K351" s="13">
        <f>IFERROR(IF(C351="",0,SUMIFS($F$4:$F$350,$C$4:$C$350,C351,$D$4:$D$350,D351,$E$4:$E$350,E351,$B$4:$B$350,"INGRESO")+SUMIFS($F$4:$F$350,$C$4:$C$350,C351,$D$4:$D$350,D351,$E$4:$E$350,E351,$B$4:$B$350,"DE REPROCESO")+SUMIFS($F$4:$F$350,$C$4:$C$350,C351,$D$4:$D$350,D351,$E$4:$E$350,E351,$B$4:$B$350,"AJUSTE+")-SUMIFS($F$4:$F$350,$C$4:$C$350,C351,$D$4:$D$350,D351,$E$4:$E$350,E351,$B$4:$B$350,"A CORTE")-SUMIFS($F$4:$F$350,$C$4:$C$350,C351,$D$4:$D$350,D351,$E$4:$E$350,E351,$B$4:$B$350,"A REPROCESO")-SUMIFS($F$4:$F$350,$C$4:$C$350,C351,$D$4:$D$350,D351,$E$4:$E$350,E351,$B$4:$B$350,"MUESTRA")-SUMIFS($F$4:$F$350,$C$4:$C$350,C351,$D$4:$D$350,D351,$E$4:$E$350,E351,$B$4:$B$350,"AJUSTE-")),0)</f>
        <v>0</v>
      </c>
      <c r="L351" s="13">
        <f t="shared" si="13"/>
        <v>0</v>
      </c>
      <c r="M351" s="8"/>
      <c r="N351" s="14"/>
      <c r="O351" s="14"/>
      <c r="P351" s="14"/>
      <c r="Q351" s="15"/>
      <c r="R351" s="16" t="str">
        <f t="shared" si="14"/>
        <v/>
      </c>
    </row>
    <row r="352" ht="15.75" customHeight="1">
      <c r="A352" s="7"/>
      <c r="B352" s="8"/>
      <c r="C352" s="8"/>
      <c r="D352" s="8"/>
      <c r="E352" s="8"/>
      <c r="F352" s="9"/>
      <c r="G352" s="10">
        <f>IFERROR(F352*VLOOKUP(D352,TELAS!$A$4:$C$32,3,FALSE()),0)</f>
        <v>0</v>
      </c>
      <c r="H352" s="11" t="str">
        <f>IFERROR(VLOOKUP(E352,COLORES!$A$4:$B$102,2,FALSE()),"")</f>
        <v/>
      </c>
      <c r="I352" s="12">
        <f>IFERROR(IF(H352="OSCURO",VLOOKUP(D352,PRECIOS!$A$4:$F$32,2,FALSE()),IF(H352="CLARO",VLOOKUP(D352,PRECIOS!$A$4:$F$32,3,FALSE()),IF(H352="MELANGE",VLOOKUP(D352,PRECIOS!$A$4:$F$32,4,FALSE()),IF(H352="PPT",VLOOKUP(D352,PRECIOS!$A$4:$F$32,5,FALSE()),0)))),0)</f>
        <v>0</v>
      </c>
      <c r="J352" s="12">
        <f t="shared" si="12"/>
        <v>0</v>
      </c>
      <c r="K352" s="13">
        <f>IFERROR(IF(C352="",0,SUMIFS($F$4:$F$351,$C$4:$C$351,C352,$D$4:$D$351,D352,$E$4:$E$351,E352,$B$4:$B$351,"INGRESO")+SUMIFS($F$4:$F$351,$C$4:$C$351,C352,$D$4:$D$351,D352,$E$4:$E$351,E352,$B$4:$B$351,"DE REPROCESO")+SUMIFS($F$4:$F$351,$C$4:$C$351,C352,$D$4:$D$351,D352,$E$4:$E$351,E352,$B$4:$B$351,"AJUSTE+")-SUMIFS($F$4:$F$351,$C$4:$C$351,C352,$D$4:$D$351,D352,$E$4:$E$351,E352,$B$4:$B$351,"A CORTE")-SUMIFS($F$4:$F$351,$C$4:$C$351,C352,$D$4:$D$351,D352,$E$4:$E$351,E352,$B$4:$B$351,"A REPROCESO")-SUMIFS($F$4:$F$351,$C$4:$C$351,C352,$D$4:$D$351,D352,$E$4:$E$351,E352,$B$4:$B$351,"MUESTRA")-SUMIFS($F$4:$F$351,$C$4:$C$351,C352,$D$4:$D$351,D352,$E$4:$E$351,E352,$B$4:$B$351,"AJUSTE-")),0)</f>
        <v>0</v>
      </c>
      <c r="L352" s="13">
        <f t="shared" si="13"/>
        <v>0</v>
      </c>
      <c r="M352" s="8"/>
      <c r="N352" s="14"/>
      <c r="O352" s="14"/>
      <c r="P352" s="14"/>
      <c r="Q352" s="15"/>
      <c r="R352" s="16" t="str">
        <f t="shared" si="14"/>
        <v/>
      </c>
    </row>
    <row r="353" ht="15.75" customHeight="1">
      <c r="A353" s="7"/>
      <c r="B353" s="8"/>
      <c r="C353" s="8"/>
      <c r="D353" s="8"/>
      <c r="E353" s="8"/>
      <c r="F353" s="9"/>
      <c r="G353" s="10">
        <f>IFERROR(F353*VLOOKUP(D353,TELAS!$A$4:$C$32,3,FALSE()),0)</f>
        <v>0</v>
      </c>
      <c r="H353" s="11" t="str">
        <f>IFERROR(VLOOKUP(E353,COLORES!$A$4:$B$102,2,FALSE()),"")</f>
        <v/>
      </c>
      <c r="I353" s="12">
        <f>IFERROR(IF(H353="OSCURO",VLOOKUP(D353,PRECIOS!$A$4:$F$32,2,FALSE()),IF(H353="CLARO",VLOOKUP(D353,PRECIOS!$A$4:$F$32,3,FALSE()),IF(H353="MELANGE",VLOOKUP(D353,PRECIOS!$A$4:$F$32,4,FALSE()),IF(H353="PPT",VLOOKUP(D353,PRECIOS!$A$4:$F$32,5,FALSE()),0)))),0)</f>
        <v>0</v>
      </c>
      <c r="J353" s="12">
        <f t="shared" si="12"/>
        <v>0</v>
      </c>
      <c r="K353" s="13">
        <f>IFERROR(IF(C353="",0,SUMIFS($F$4:$F$352,$C$4:$C$352,C353,$D$4:$D$352,D353,$E$4:$E$352,E353,$B$4:$B$352,"INGRESO")+SUMIFS($F$4:$F$352,$C$4:$C$352,C353,$D$4:$D$352,D353,$E$4:$E$352,E353,$B$4:$B$352,"DE REPROCESO")+SUMIFS($F$4:$F$352,$C$4:$C$352,C353,$D$4:$D$352,D353,$E$4:$E$352,E353,$B$4:$B$352,"AJUSTE+")-SUMIFS($F$4:$F$352,$C$4:$C$352,C353,$D$4:$D$352,D353,$E$4:$E$352,E353,$B$4:$B$352,"A CORTE")-SUMIFS($F$4:$F$352,$C$4:$C$352,C353,$D$4:$D$352,D353,$E$4:$E$352,E353,$B$4:$B$352,"A REPROCESO")-SUMIFS($F$4:$F$352,$C$4:$C$352,C353,$D$4:$D$352,D353,$E$4:$E$352,E353,$B$4:$B$352,"MUESTRA")-SUMIFS($F$4:$F$352,$C$4:$C$352,C353,$D$4:$D$352,D353,$E$4:$E$352,E353,$B$4:$B$352,"AJUSTE-")),0)</f>
        <v>0</v>
      </c>
      <c r="L353" s="13">
        <f t="shared" si="13"/>
        <v>0</v>
      </c>
      <c r="M353" s="8"/>
      <c r="N353" s="14"/>
      <c r="O353" s="14"/>
      <c r="P353" s="14"/>
      <c r="Q353" s="15"/>
      <c r="R353" s="16" t="str">
        <f t="shared" si="14"/>
        <v/>
      </c>
    </row>
    <row r="354" ht="15.75" customHeight="1">
      <c r="A354" s="7"/>
      <c r="B354" s="8"/>
      <c r="C354" s="8"/>
      <c r="D354" s="8"/>
      <c r="E354" s="8"/>
      <c r="F354" s="9"/>
      <c r="G354" s="10">
        <f>IFERROR(F354*VLOOKUP(D354,TELAS!$A$4:$C$32,3,FALSE()),0)</f>
        <v>0</v>
      </c>
      <c r="H354" s="11" t="str">
        <f>IFERROR(VLOOKUP(E354,COLORES!$A$4:$B$102,2,FALSE()),"")</f>
        <v/>
      </c>
      <c r="I354" s="12">
        <f>IFERROR(IF(H354="OSCURO",VLOOKUP(D354,PRECIOS!$A$4:$F$32,2,FALSE()),IF(H354="CLARO",VLOOKUP(D354,PRECIOS!$A$4:$F$32,3,FALSE()),IF(H354="MELANGE",VLOOKUP(D354,PRECIOS!$A$4:$F$32,4,FALSE()),IF(H354="PPT",VLOOKUP(D354,PRECIOS!$A$4:$F$32,5,FALSE()),0)))),0)</f>
        <v>0</v>
      </c>
      <c r="J354" s="12">
        <f t="shared" si="12"/>
        <v>0</v>
      </c>
      <c r="K354" s="13">
        <f>IFERROR(IF(C354="",0,SUMIFS($F$4:$F$353,$C$4:$C$353,C354,$D$4:$D$353,D354,$E$4:$E$353,E354,$B$4:$B$353,"INGRESO")+SUMIFS($F$4:$F$353,$C$4:$C$353,C354,$D$4:$D$353,D354,$E$4:$E$353,E354,$B$4:$B$353,"DE REPROCESO")+SUMIFS($F$4:$F$353,$C$4:$C$353,C354,$D$4:$D$353,D354,$E$4:$E$353,E354,$B$4:$B$353,"AJUSTE+")-SUMIFS($F$4:$F$353,$C$4:$C$353,C354,$D$4:$D$353,D354,$E$4:$E$353,E354,$B$4:$B$353,"A CORTE")-SUMIFS($F$4:$F$353,$C$4:$C$353,C354,$D$4:$D$353,D354,$E$4:$E$353,E354,$B$4:$B$353,"A REPROCESO")-SUMIFS($F$4:$F$353,$C$4:$C$353,C354,$D$4:$D$353,D354,$E$4:$E$353,E354,$B$4:$B$353,"MUESTRA")-SUMIFS($F$4:$F$353,$C$4:$C$353,C354,$D$4:$D$353,D354,$E$4:$E$353,E354,$B$4:$B$353,"AJUSTE-")),0)</f>
        <v>0</v>
      </c>
      <c r="L354" s="13">
        <f t="shared" si="13"/>
        <v>0</v>
      </c>
      <c r="M354" s="8"/>
      <c r="N354" s="14"/>
      <c r="O354" s="14"/>
      <c r="P354" s="14"/>
      <c r="Q354" s="15"/>
      <c r="R354" s="16" t="str">
        <f t="shared" si="14"/>
        <v/>
      </c>
    </row>
    <row r="355" ht="15.75" customHeight="1">
      <c r="A355" s="7"/>
      <c r="B355" s="8"/>
      <c r="C355" s="8"/>
      <c r="D355" s="8"/>
      <c r="E355" s="8"/>
      <c r="F355" s="9"/>
      <c r="G355" s="10">
        <f>IFERROR(F355*VLOOKUP(D355,TELAS!$A$4:$C$32,3,FALSE()),0)</f>
        <v>0</v>
      </c>
      <c r="H355" s="11" t="str">
        <f>IFERROR(VLOOKUP(E355,COLORES!$A$4:$B$102,2,FALSE()),"")</f>
        <v/>
      </c>
      <c r="I355" s="12">
        <f>IFERROR(IF(H355="OSCURO",VLOOKUP(D355,PRECIOS!$A$4:$F$32,2,FALSE()),IF(H355="CLARO",VLOOKUP(D355,PRECIOS!$A$4:$F$32,3,FALSE()),IF(H355="MELANGE",VLOOKUP(D355,PRECIOS!$A$4:$F$32,4,FALSE()),IF(H355="PPT",VLOOKUP(D355,PRECIOS!$A$4:$F$32,5,FALSE()),0)))),0)</f>
        <v>0</v>
      </c>
      <c r="J355" s="12">
        <f t="shared" si="12"/>
        <v>0</v>
      </c>
      <c r="K355" s="13">
        <f>IFERROR(IF(C355="",0,SUMIFS($F$4:$F$354,$C$4:$C$354,C355,$D$4:$D$354,D355,$E$4:$E$354,E355,$B$4:$B$354,"INGRESO")+SUMIFS($F$4:$F$354,$C$4:$C$354,C355,$D$4:$D$354,D355,$E$4:$E$354,E355,$B$4:$B$354,"DE REPROCESO")+SUMIFS($F$4:$F$354,$C$4:$C$354,C355,$D$4:$D$354,D355,$E$4:$E$354,E355,$B$4:$B$354,"AJUSTE+")-SUMIFS($F$4:$F$354,$C$4:$C$354,C355,$D$4:$D$354,D355,$E$4:$E$354,E355,$B$4:$B$354,"A CORTE")-SUMIFS($F$4:$F$354,$C$4:$C$354,C355,$D$4:$D$354,D355,$E$4:$E$354,E355,$B$4:$B$354,"A REPROCESO")-SUMIFS($F$4:$F$354,$C$4:$C$354,C355,$D$4:$D$354,D355,$E$4:$E$354,E355,$B$4:$B$354,"MUESTRA")-SUMIFS($F$4:$F$354,$C$4:$C$354,C355,$D$4:$D$354,D355,$E$4:$E$354,E355,$B$4:$B$354,"AJUSTE-")),0)</f>
        <v>0</v>
      </c>
      <c r="L355" s="13">
        <f t="shared" si="13"/>
        <v>0</v>
      </c>
      <c r="M355" s="8"/>
      <c r="N355" s="14"/>
      <c r="O355" s="14"/>
      <c r="P355" s="14"/>
      <c r="Q355" s="15"/>
      <c r="R355" s="16" t="str">
        <f t="shared" si="14"/>
        <v/>
      </c>
    </row>
    <row r="356" ht="15.75" customHeight="1">
      <c r="A356" s="7"/>
      <c r="B356" s="8"/>
      <c r="C356" s="8"/>
      <c r="D356" s="8"/>
      <c r="E356" s="8"/>
      <c r="F356" s="9"/>
      <c r="G356" s="10">
        <f>IFERROR(F356*VLOOKUP(D356,TELAS!$A$4:$C$32,3,FALSE()),0)</f>
        <v>0</v>
      </c>
      <c r="H356" s="11" t="str">
        <f>IFERROR(VLOOKUP(E356,COLORES!$A$4:$B$102,2,FALSE()),"")</f>
        <v/>
      </c>
      <c r="I356" s="12">
        <f>IFERROR(IF(H356="OSCURO",VLOOKUP(D356,PRECIOS!$A$4:$F$32,2,FALSE()),IF(H356="CLARO",VLOOKUP(D356,PRECIOS!$A$4:$F$32,3,FALSE()),IF(H356="MELANGE",VLOOKUP(D356,PRECIOS!$A$4:$F$32,4,FALSE()),IF(H356="PPT",VLOOKUP(D356,PRECIOS!$A$4:$F$32,5,FALSE()),0)))),0)</f>
        <v>0</v>
      </c>
      <c r="J356" s="12">
        <f t="shared" si="12"/>
        <v>0</v>
      </c>
      <c r="K356" s="13">
        <f>IFERROR(IF(C356="",0,SUMIFS($F$4:$F$355,$C$4:$C$355,C356,$D$4:$D$355,D356,$E$4:$E$355,E356,$B$4:$B$355,"INGRESO")+SUMIFS($F$4:$F$355,$C$4:$C$355,C356,$D$4:$D$355,D356,$E$4:$E$355,E356,$B$4:$B$355,"DE REPROCESO")+SUMIFS($F$4:$F$355,$C$4:$C$355,C356,$D$4:$D$355,D356,$E$4:$E$355,E356,$B$4:$B$355,"AJUSTE+")-SUMIFS($F$4:$F$355,$C$4:$C$355,C356,$D$4:$D$355,D356,$E$4:$E$355,E356,$B$4:$B$355,"A CORTE")-SUMIFS($F$4:$F$355,$C$4:$C$355,C356,$D$4:$D$355,D356,$E$4:$E$355,E356,$B$4:$B$355,"A REPROCESO")-SUMIFS($F$4:$F$355,$C$4:$C$355,C356,$D$4:$D$355,D356,$E$4:$E$355,E356,$B$4:$B$355,"MUESTRA")-SUMIFS($F$4:$F$355,$C$4:$C$355,C356,$D$4:$D$355,D356,$E$4:$E$355,E356,$B$4:$B$355,"AJUSTE-")),0)</f>
        <v>0</v>
      </c>
      <c r="L356" s="13">
        <f t="shared" si="13"/>
        <v>0</v>
      </c>
      <c r="M356" s="8"/>
      <c r="N356" s="14"/>
      <c r="O356" s="14"/>
      <c r="P356" s="14"/>
      <c r="Q356" s="15"/>
      <c r="R356" s="16" t="str">
        <f t="shared" si="14"/>
        <v/>
      </c>
    </row>
    <row r="357" ht="15.75" customHeight="1">
      <c r="A357" s="7"/>
      <c r="B357" s="8"/>
      <c r="C357" s="8"/>
      <c r="D357" s="8"/>
      <c r="E357" s="8"/>
      <c r="F357" s="9"/>
      <c r="G357" s="10">
        <f>IFERROR(F357*VLOOKUP(D357,TELAS!$A$4:$C$32,3,FALSE()),0)</f>
        <v>0</v>
      </c>
      <c r="H357" s="11" t="str">
        <f>IFERROR(VLOOKUP(E357,COLORES!$A$4:$B$102,2,FALSE()),"")</f>
        <v/>
      </c>
      <c r="I357" s="12">
        <f>IFERROR(IF(H357="OSCURO",VLOOKUP(D357,PRECIOS!$A$4:$F$32,2,FALSE()),IF(H357="CLARO",VLOOKUP(D357,PRECIOS!$A$4:$F$32,3,FALSE()),IF(H357="MELANGE",VLOOKUP(D357,PRECIOS!$A$4:$F$32,4,FALSE()),IF(H357="PPT",VLOOKUP(D357,PRECIOS!$A$4:$F$32,5,FALSE()),0)))),0)</f>
        <v>0</v>
      </c>
      <c r="J357" s="12">
        <f t="shared" si="12"/>
        <v>0</v>
      </c>
      <c r="K357" s="13">
        <f>IFERROR(IF(C357="",0,SUMIFS($F$4:$F$356,$C$4:$C$356,C357,$D$4:$D$356,D357,$E$4:$E$356,E357,$B$4:$B$356,"INGRESO")+SUMIFS($F$4:$F$356,$C$4:$C$356,C357,$D$4:$D$356,D357,$E$4:$E$356,E357,$B$4:$B$356,"DE REPROCESO")+SUMIFS($F$4:$F$356,$C$4:$C$356,C357,$D$4:$D$356,D357,$E$4:$E$356,E357,$B$4:$B$356,"AJUSTE+")-SUMIFS($F$4:$F$356,$C$4:$C$356,C357,$D$4:$D$356,D357,$E$4:$E$356,E357,$B$4:$B$356,"A CORTE")-SUMIFS($F$4:$F$356,$C$4:$C$356,C357,$D$4:$D$356,D357,$E$4:$E$356,E357,$B$4:$B$356,"A REPROCESO")-SUMIFS($F$4:$F$356,$C$4:$C$356,C357,$D$4:$D$356,D357,$E$4:$E$356,E357,$B$4:$B$356,"MUESTRA")-SUMIFS($F$4:$F$356,$C$4:$C$356,C357,$D$4:$D$356,D357,$E$4:$E$356,E357,$B$4:$B$356,"AJUSTE-")),0)</f>
        <v>0</v>
      </c>
      <c r="L357" s="13">
        <f t="shared" si="13"/>
        <v>0</v>
      </c>
      <c r="M357" s="8"/>
      <c r="N357" s="14"/>
      <c r="O357" s="14"/>
      <c r="P357" s="14"/>
      <c r="Q357" s="15"/>
      <c r="R357" s="16" t="str">
        <f t="shared" si="14"/>
        <v/>
      </c>
    </row>
    <row r="358" ht="15.75" customHeight="1">
      <c r="A358" s="7"/>
      <c r="B358" s="8"/>
      <c r="C358" s="8"/>
      <c r="D358" s="8"/>
      <c r="E358" s="8"/>
      <c r="F358" s="9"/>
      <c r="G358" s="10">
        <f>IFERROR(F358*VLOOKUP(D358,TELAS!$A$4:$C$32,3,FALSE()),0)</f>
        <v>0</v>
      </c>
      <c r="H358" s="11" t="str">
        <f>IFERROR(VLOOKUP(E358,COLORES!$A$4:$B$102,2,FALSE()),"")</f>
        <v/>
      </c>
      <c r="I358" s="12">
        <f>IFERROR(IF(H358="OSCURO",VLOOKUP(D358,PRECIOS!$A$4:$F$32,2,FALSE()),IF(H358="CLARO",VLOOKUP(D358,PRECIOS!$A$4:$F$32,3,FALSE()),IF(H358="MELANGE",VLOOKUP(D358,PRECIOS!$A$4:$F$32,4,FALSE()),IF(H358="PPT",VLOOKUP(D358,PRECIOS!$A$4:$F$32,5,FALSE()),0)))),0)</f>
        <v>0</v>
      </c>
      <c r="J358" s="12">
        <f t="shared" si="12"/>
        <v>0</v>
      </c>
      <c r="K358" s="13">
        <f>IFERROR(IF(C358="",0,SUMIFS($F$4:$F$357,$C$4:$C$357,C358,$D$4:$D$357,D358,$E$4:$E$357,E358,$B$4:$B$357,"INGRESO")+SUMIFS($F$4:$F$357,$C$4:$C$357,C358,$D$4:$D$357,D358,$E$4:$E$357,E358,$B$4:$B$357,"DE REPROCESO")+SUMIFS($F$4:$F$357,$C$4:$C$357,C358,$D$4:$D$357,D358,$E$4:$E$357,E358,$B$4:$B$357,"AJUSTE+")-SUMIFS($F$4:$F$357,$C$4:$C$357,C358,$D$4:$D$357,D358,$E$4:$E$357,E358,$B$4:$B$357,"A CORTE")-SUMIFS($F$4:$F$357,$C$4:$C$357,C358,$D$4:$D$357,D358,$E$4:$E$357,E358,$B$4:$B$357,"A REPROCESO")-SUMIFS($F$4:$F$357,$C$4:$C$357,C358,$D$4:$D$357,D358,$E$4:$E$357,E358,$B$4:$B$357,"MUESTRA")-SUMIFS($F$4:$F$357,$C$4:$C$357,C358,$D$4:$D$357,D358,$E$4:$E$357,E358,$B$4:$B$357,"AJUSTE-")),0)</f>
        <v>0</v>
      </c>
      <c r="L358" s="13">
        <f t="shared" si="13"/>
        <v>0</v>
      </c>
      <c r="M358" s="8"/>
      <c r="N358" s="14"/>
      <c r="O358" s="14"/>
      <c r="P358" s="14"/>
      <c r="Q358" s="15"/>
      <c r="R358" s="16" t="str">
        <f t="shared" si="14"/>
        <v/>
      </c>
    </row>
    <row r="359" ht="15.75" customHeight="1">
      <c r="A359" s="7"/>
      <c r="B359" s="8"/>
      <c r="C359" s="8"/>
      <c r="D359" s="8"/>
      <c r="E359" s="8"/>
      <c r="F359" s="9"/>
      <c r="G359" s="10">
        <f>IFERROR(F359*VLOOKUP(D359,TELAS!$A$4:$C$32,3,FALSE()),0)</f>
        <v>0</v>
      </c>
      <c r="H359" s="11" t="str">
        <f>IFERROR(VLOOKUP(E359,COLORES!$A$4:$B$102,2,FALSE()),"")</f>
        <v/>
      </c>
      <c r="I359" s="12">
        <f>IFERROR(IF(H359="OSCURO",VLOOKUP(D359,PRECIOS!$A$4:$F$32,2,FALSE()),IF(H359="CLARO",VLOOKUP(D359,PRECIOS!$A$4:$F$32,3,FALSE()),IF(H359="MELANGE",VLOOKUP(D359,PRECIOS!$A$4:$F$32,4,FALSE()),IF(H359="PPT",VLOOKUP(D359,PRECIOS!$A$4:$F$32,5,FALSE()),0)))),0)</f>
        <v>0</v>
      </c>
      <c r="J359" s="12">
        <f t="shared" si="12"/>
        <v>0</v>
      </c>
      <c r="K359" s="13">
        <f>IFERROR(IF(C359="",0,SUMIFS($F$4:$F$358,$C$4:$C$358,C359,$D$4:$D$358,D359,$E$4:$E$358,E359,$B$4:$B$358,"INGRESO")+SUMIFS($F$4:$F$358,$C$4:$C$358,C359,$D$4:$D$358,D359,$E$4:$E$358,E359,$B$4:$B$358,"DE REPROCESO")+SUMIFS($F$4:$F$358,$C$4:$C$358,C359,$D$4:$D$358,D359,$E$4:$E$358,E359,$B$4:$B$358,"AJUSTE+")-SUMIFS($F$4:$F$358,$C$4:$C$358,C359,$D$4:$D$358,D359,$E$4:$E$358,E359,$B$4:$B$358,"A CORTE")-SUMIFS($F$4:$F$358,$C$4:$C$358,C359,$D$4:$D$358,D359,$E$4:$E$358,E359,$B$4:$B$358,"A REPROCESO")-SUMIFS($F$4:$F$358,$C$4:$C$358,C359,$D$4:$D$358,D359,$E$4:$E$358,E359,$B$4:$B$358,"MUESTRA")-SUMIFS($F$4:$F$358,$C$4:$C$358,C359,$D$4:$D$358,D359,$E$4:$E$358,E359,$B$4:$B$358,"AJUSTE-")),0)</f>
        <v>0</v>
      </c>
      <c r="L359" s="13">
        <f t="shared" si="13"/>
        <v>0</v>
      </c>
      <c r="M359" s="8"/>
      <c r="N359" s="14"/>
      <c r="O359" s="14"/>
      <c r="P359" s="14"/>
      <c r="Q359" s="15"/>
      <c r="R359" s="16" t="str">
        <f t="shared" si="14"/>
        <v/>
      </c>
    </row>
    <row r="360" ht="15.75" customHeight="1">
      <c r="A360" s="7"/>
      <c r="B360" s="8"/>
      <c r="C360" s="8"/>
      <c r="D360" s="8"/>
      <c r="E360" s="8"/>
      <c r="F360" s="9"/>
      <c r="G360" s="10">
        <f>IFERROR(F360*VLOOKUP(D360,TELAS!$A$4:$C$32,3,FALSE()),0)</f>
        <v>0</v>
      </c>
      <c r="H360" s="11" t="str">
        <f>IFERROR(VLOOKUP(E360,COLORES!$A$4:$B$102,2,FALSE()),"")</f>
        <v/>
      </c>
      <c r="I360" s="12">
        <f>IFERROR(IF(H360="OSCURO",VLOOKUP(D360,PRECIOS!$A$4:$F$32,2,FALSE()),IF(H360="CLARO",VLOOKUP(D360,PRECIOS!$A$4:$F$32,3,FALSE()),IF(H360="MELANGE",VLOOKUP(D360,PRECIOS!$A$4:$F$32,4,FALSE()),IF(H360="PPT",VLOOKUP(D360,PRECIOS!$A$4:$F$32,5,FALSE()),0)))),0)</f>
        <v>0</v>
      </c>
      <c r="J360" s="12">
        <f t="shared" si="12"/>
        <v>0</v>
      </c>
      <c r="K360" s="13">
        <f>IFERROR(IF(C360="",0,SUMIFS($F$4:$F$359,$C$4:$C$359,C360,$D$4:$D$359,D360,$E$4:$E$359,E360,$B$4:$B$359,"INGRESO")+SUMIFS($F$4:$F$359,$C$4:$C$359,C360,$D$4:$D$359,D360,$E$4:$E$359,E360,$B$4:$B$359,"DE REPROCESO")+SUMIFS($F$4:$F$359,$C$4:$C$359,C360,$D$4:$D$359,D360,$E$4:$E$359,E360,$B$4:$B$359,"AJUSTE+")-SUMIFS($F$4:$F$359,$C$4:$C$359,C360,$D$4:$D$359,D360,$E$4:$E$359,E360,$B$4:$B$359,"A CORTE")-SUMIFS($F$4:$F$359,$C$4:$C$359,C360,$D$4:$D$359,D360,$E$4:$E$359,E360,$B$4:$B$359,"A REPROCESO")-SUMIFS($F$4:$F$359,$C$4:$C$359,C360,$D$4:$D$359,D360,$E$4:$E$359,E360,$B$4:$B$359,"MUESTRA")-SUMIFS($F$4:$F$359,$C$4:$C$359,C360,$D$4:$D$359,D360,$E$4:$E$359,E360,$B$4:$B$359,"AJUSTE-")),0)</f>
        <v>0</v>
      </c>
      <c r="L360" s="13">
        <f t="shared" si="13"/>
        <v>0</v>
      </c>
      <c r="M360" s="8"/>
      <c r="N360" s="14"/>
      <c r="O360" s="14"/>
      <c r="P360" s="14"/>
      <c r="Q360" s="15"/>
      <c r="R360" s="16" t="str">
        <f t="shared" si="14"/>
        <v/>
      </c>
    </row>
    <row r="361" ht="15.75" customHeight="1">
      <c r="A361" s="7"/>
      <c r="B361" s="8"/>
      <c r="C361" s="8"/>
      <c r="D361" s="8"/>
      <c r="E361" s="8"/>
      <c r="F361" s="9"/>
      <c r="G361" s="10">
        <f>IFERROR(F361*VLOOKUP(D361,TELAS!$A$4:$C$32,3,FALSE()),0)</f>
        <v>0</v>
      </c>
      <c r="H361" s="11" t="str">
        <f>IFERROR(VLOOKUP(E361,COLORES!$A$4:$B$102,2,FALSE()),"")</f>
        <v/>
      </c>
      <c r="I361" s="12">
        <f>IFERROR(IF(H361="OSCURO",VLOOKUP(D361,PRECIOS!$A$4:$F$32,2,FALSE()),IF(H361="CLARO",VLOOKUP(D361,PRECIOS!$A$4:$F$32,3,FALSE()),IF(H361="MELANGE",VLOOKUP(D361,PRECIOS!$A$4:$F$32,4,FALSE()),IF(H361="PPT",VLOOKUP(D361,PRECIOS!$A$4:$F$32,5,FALSE()),0)))),0)</f>
        <v>0</v>
      </c>
      <c r="J361" s="12">
        <f t="shared" si="12"/>
        <v>0</v>
      </c>
      <c r="K361" s="13">
        <f>IFERROR(IF(C361="",0,SUMIFS($F$4:$F$360,$C$4:$C$360,C361,$D$4:$D$360,D361,$E$4:$E$360,E361,$B$4:$B$360,"INGRESO")+SUMIFS($F$4:$F$360,$C$4:$C$360,C361,$D$4:$D$360,D361,$E$4:$E$360,E361,$B$4:$B$360,"DE REPROCESO")+SUMIFS($F$4:$F$360,$C$4:$C$360,C361,$D$4:$D$360,D361,$E$4:$E$360,E361,$B$4:$B$360,"AJUSTE+")-SUMIFS($F$4:$F$360,$C$4:$C$360,C361,$D$4:$D$360,D361,$E$4:$E$360,E361,$B$4:$B$360,"A CORTE")-SUMIFS($F$4:$F$360,$C$4:$C$360,C361,$D$4:$D$360,D361,$E$4:$E$360,E361,$B$4:$B$360,"A REPROCESO")-SUMIFS($F$4:$F$360,$C$4:$C$360,C361,$D$4:$D$360,D361,$E$4:$E$360,E361,$B$4:$B$360,"MUESTRA")-SUMIFS($F$4:$F$360,$C$4:$C$360,C361,$D$4:$D$360,D361,$E$4:$E$360,E361,$B$4:$B$360,"AJUSTE-")),0)</f>
        <v>0</v>
      </c>
      <c r="L361" s="13">
        <f t="shared" si="13"/>
        <v>0</v>
      </c>
      <c r="M361" s="8"/>
      <c r="N361" s="14"/>
      <c r="O361" s="14"/>
      <c r="P361" s="14"/>
      <c r="Q361" s="15"/>
      <c r="R361" s="16" t="str">
        <f t="shared" si="14"/>
        <v/>
      </c>
    </row>
    <row r="362" ht="15.75" customHeight="1">
      <c r="A362" s="7"/>
      <c r="B362" s="8"/>
      <c r="C362" s="8"/>
      <c r="D362" s="8"/>
      <c r="E362" s="8"/>
      <c r="F362" s="9"/>
      <c r="G362" s="10">
        <f>IFERROR(F362*VLOOKUP(D362,TELAS!$A$4:$C$32,3,FALSE()),0)</f>
        <v>0</v>
      </c>
      <c r="H362" s="11" t="str">
        <f>IFERROR(VLOOKUP(E362,COLORES!$A$4:$B$102,2,FALSE()),"")</f>
        <v/>
      </c>
      <c r="I362" s="12">
        <f>IFERROR(IF(H362="OSCURO",VLOOKUP(D362,PRECIOS!$A$4:$F$32,2,FALSE()),IF(H362="CLARO",VLOOKUP(D362,PRECIOS!$A$4:$F$32,3,FALSE()),IF(H362="MELANGE",VLOOKUP(D362,PRECIOS!$A$4:$F$32,4,FALSE()),IF(H362="PPT",VLOOKUP(D362,PRECIOS!$A$4:$F$32,5,FALSE()),0)))),0)</f>
        <v>0</v>
      </c>
      <c r="J362" s="12">
        <f t="shared" si="12"/>
        <v>0</v>
      </c>
      <c r="K362" s="13">
        <f>IFERROR(IF(C362="",0,SUMIFS($F$4:$F$361,$C$4:$C$361,C362,$D$4:$D$361,D362,$E$4:$E$361,E362,$B$4:$B$361,"INGRESO")+SUMIFS($F$4:$F$361,$C$4:$C$361,C362,$D$4:$D$361,D362,$E$4:$E$361,E362,$B$4:$B$361,"DE REPROCESO")+SUMIFS($F$4:$F$361,$C$4:$C$361,C362,$D$4:$D$361,D362,$E$4:$E$361,E362,$B$4:$B$361,"AJUSTE+")-SUMIFS($F$4:$F$361,$C$4:$C$361,C362,$D$4:$D$361,D362,$E$4:$E$361,E362,$B$4:$B$361,"A CORTE")-SUMIFS($F$4:$F$361,$C$4:$C$361,C362,$D$4:$D$361,D362,$E$4:$E$361,E362,$B$4:$B$361,"A REPROCESO")-SUMIFS($F$4:$F$361,$C$4:$C$361,C362,$D$4:$D$361,D362,$E$4:$E$361,E362,$B$4:$B$361,"MUESTRA")-SUMIFS($F$4:$F$361,$C$4:$C$361,C362,$D$4:$D$361,D362,$E$4:$E$361,E362,$B$4:$B$361,"AJUSTE-")),0)</f>
        <v>0</v>
      </c>
      <c r="L362" s="13">
        <f t="shared" si="13"/>
        <v>0</v>
      </c>
      <c r="M362" s="8"/>
      <c r="N362" s="14"/>
      <c r="O362" s="14"/>
      <c r="P362" s="14"/>
      <c r="Q362" s="15"/>
      <c r="R362" s="16" t="str">
        <f t="shared" si="14"/>
        <v/>
      </c>
    </row>
    <row r="363" ht="15.75" customHeight="1">
      <c r="A363" s="7"/>
      <c r="B363" s="8"/>
      <c r="C363" s="8"/>
      <c r="D363" s="8"/>
      <c r="E363" s="8"/>
      <c r="F363" s="9"/>
      <c r="G363" s="10">
        <f>IFERROR(F363*VLOOKUP(D363,TELAS!$A$4:$C$32,3,FALSE()),0)</f>
        <v>0</v>
      </c>
      <c r="H363" s="11" t="str">
        <f>IFERROR(VLOOKUP(E363,COLORES!$A$4:$B$102,2,FALSE()),"")</f>
        <v/>
      </c>
      <c r="I363" s="12">
        <f>IFERROR(IF(H363="OSCURO",VLOOKUP(D363,PRECIOS!$A$4:$F$32,2,FALSE()),IF(H363="CLARO",VLOOKUP(D363,PRECIOS!$A$4:$F$32,3,FALSE()),IF(H363="MELANGE",VLOOKUP(D363,PRECIOS!$A$4:$F$32,4,FALSE()),IF(H363="PPT",VLOOKUP(D363,PRECIOS!$A$4:$F$32,5,FALSE()),0)))),0)</f>
        <v>0</v>
      </c>
      <c r="J363" s="12">
        <f t="shared" si="12"/>
        <v>0</v>
      </c>
      <c r="K363" s="13">
        <f>IFERROR(IF(C363="",0,SUMIFS($F$4:$F$362,$C$4:$C$362,C363,$D$4:$D$362,D363,$E$4:$E$362,E363,$B$4:$B$362,"INGRESO")+SUMIFS($F$4:$F$362,$C$4:$C$362,C363,$D$4:$D$362,D363,$E$4:$E$362,E363,$B$4:$B$362,"DE REPROCESO")+SUMIFS($F$4:$F$362,$C$4:$C$362,C363,$D$4:$D$362,D363,$E$4:$E$362,E363,$B$4:$B$362,"AJUSTE+")-SUMIFS($F$4:$F$362,$C$4:$C$362,C363,$D$4:$D$362,D363,$E$4:$E$362,E363,$B$4:$B$362,"A CORTE")-SUMIFS($F$4:$F$362,$C$4:$C$362,C363,$D$4:$D$362,D363,$E$4:$E$362,E363,$B$4:$B$362,"A REPROCESO")-SUMIFS($F$4:$F$362,$C$4:$C$362,C363,$D$4:$D$362,D363,$E$4:$E$362,E363,$B$4:$B$362,"MUESTRA")-SUMIFS($F$4:$F$362,$C$4:$C$362,C363,$D$4:$D$362,D363,$E$4:$E$362,E363,$B$4:$B$362,"AJUSTE-")),0)</f>
        <v>0</v>
      </c>
      <c r="L363" s="13">
        <f t="shared" si="13"/>
        <v>0</v>
      </c>
      <c r="M363" s="8"/>
      <c r="N363" s="14"/>
      <c r="O363" s="14"/>
      <c r="P363" s="14"/>
      <c r="Q363" s="15"/>
      <c r="R363" s="16" t="str">
        <f t="shared" si="14"/>
        <v/>
      </c>
    </row>
    <row r="364" ht="15.75" customHeight="1">
      <c r="A364" s="7"/>
      <c r="B364" s="8"/>
      <c r="C364" s="8"/>
      <c r="D364" s="8"/>
      <c r="E364" s="8"/>
      <c r="F364" s="9"/>
      <c r="G364" s="10">
        <f>IFERROR(F364*VLOOKUP(D364,TELAS!$A$4:$C$32,3,FALSE()),0)</f>
        <v>0</v>
      </c>
      <c r="H364" s="11" t="str">
        <f>IFERROR(VLOOKUP(E364,COLORES!$A$4:$B$102,2,FALSE()),"")</f>
        <v/>
      </c>
      <c r="I364" s="12">
        <f>IFERROR(IF(H364="OSCURO",VLOOKUP(D364,PRECIOS!$A$4:$F$32,2,FALSE()),IF(H364="CLARO",VLOOKUP(D364,PRECIOS!$A$4:$F$32,3,FALSE()),IF(H364="MELANGE",VLOOKUP(D364,PRECIOS!$A$4:$F$32,4,FALSE()),IF(H364="PPT",VLOOKUP(D364,PRECIOS!$A$4:$F$32,5,FALSE()),0)))),0)</f>
        <v>0</v>
      </c>
      <c r="J364" s="12">
        <f t="shared" si="12"/>
        <v>0</v>
      </c>
      <c r="K364" s="13">
        <f>IFERROR(IF(C364="",0,SUMIFS($F$4:$F$363,$C$4:$C$363,C364,$D$4:$D$363,D364,$E$4:$E$363,E364,$B$4:$B$363,"INGRESO")+SUMIFS($F$4:$F$363,$C$4:$C$363,C364,$D$4:$D$363,D364,$E$4:$E$363,E364,$B$4:$B$363,"DE REPROCESO")+SUMIFS($F$4:$F$363,$C$4:$C$363,C364,$D$4:$D$363,D364,$E$4:$E$363,E364,$B$4:$B$363,"AJUSTE+")-SUMIFS($F$4:$F$363,$C$4:$C$363,C364,$D$4:$D$363,D364,$E$4:$E$363,E364,$B$4:$B$363,"A CORTE")-SUMIFS($F$4:$F$363,$C$4:$C$363,C364,$D$4:$D$363,D364,$E$4:$E$363,E364,$B$4:$B$363,"A REPROCESO")-SUMIFS($F$4:$F$363,$C$4:$C$363,C364,$D$4:$D$363,D364,$E$4:$E$363,E364,$B$4:$B$363,"MUESTRA")-SUMIFS($F$4:$F$363,$C$4:$C$363,C364,$D$4:$D$363,D364,$E$4:$E$363,E364,$B$4:$B$363,"AJUSTE-")),0)</f>
        <v>0</v>
      </c>
      <c r="L364" s="13">
        <f t="shared" si="13"/>
        <v>0</v>
      </c>
      <c r="M364" s="8"/>
      <c r="N364" s="14"/>
      <c r="O364" s="14"/>
      <c r="P364" s="14"/>
      <c r="Q364" s="15"/>
      <c r="R364" s="16" t="str">
        <f t="shared" si="14"/>
        <v/>
      </c>
    </row>
    <row r="365" ht="15.75" customHeight="1">
      <c r="A365" s="7"/>
      <c r="B365" s="8"/>
      <c r="C365" s="8"/>
      <c r="D365" s="8"/>
      <c r="E365" s="8"/>
      <c r="F365" s="9"/>
      <c r="G365" s="10">
        <f>IFERROR(F365*VLOOKUP(D365,TELAS!$A$4:$C$32,3,FALSE()),0)</f>
        <v>0</v>
      </c>
      <c r="H365" s="11" t="str">
        <f>IFERROR(VLOOKUP(E365,COLORES!$A$4:$B$102,2,FALSE()),"")</f>
        <v/>
      </c>
      <c r="I365" s="12">
        <f>IFERROR(IF(H365="OSCURO",VLOOKUP(D365,PRECIOS!$A$4:$F$32,2,FALSE()),IF(H365="CLARO",VLOOKUP(D365,PRECIOS!$A$4:$F$32,3,FALSE()),IF(H365="MELANGE",VLOOKUP(D365,PRECIOS!$A$4:$F$32,4,FALSE()),IF(H365="PPT",VLOOKUP(D365,PRECIOS!$A$4:$F$32,5,FALSE()),0)))),0)</f>
        <v>0</v>
      </c>
      <c r="J365" s="12">
        <f t="shared" si="12"/>
        <v>0</v>
      </c>
      <c r="K365" s="13">
        <f>IFERROR(IF(C365="",0,SUMIFS($F$4:$F$364,$C$4:$C$364,C365,$D$4:$D$364,D365,$E$4:$E$364,E365,$B$4:$B$364,"INGRESO")+SUMIFS($F$4:$F$364,$C$4:$C$364,C365,$D$4:$D$364,D365,$E$4:$E$364,E365,$B$4:$B$364,"DE REPROCESO")+SUMIFS($F$4:$F$364,$C$4:$C$364,C365,$D$4:$D$364,D365,$E$4:$E$364,E365,$B$4:$B$364,"AJUSTE+")-SUMIFS($F$4:$F$364,$C$4:$C$364,C365,$D$4:$D$364,D365,$E$4:$E$364,E365,$B$4:$B$364,"A CORTE")-SUMIFS($F$4:$F$364,$C$4:$C$364,C365,$D$4:$D$364,D365,$E$4:$E$364,E365,$B$4:$B$364,"A REPROCESO")-SUMIFS($F$4:$F$364,$C$4:$C$364,C365,$D$4:$D$364,D365,$E$4:$E$364,E365,$B$4:$B$364,"MUESTRA")-SUMIFS($F$4:$F$364,$C$4:$C$364,C365,$D$4:$D$364,D365,$E$4:$E$364,E365,$B$4:$B$364,"AJUSTE-")),0)</f>
        <v>0</v>
      </c>
      <c r="L365" s="13">
        <f t="shared" si="13"/>
        <v>0</v>
      </c>
      <c r="M365" s="8"/>
      <c r="N365" s="14"/>
      <c r="O365" s="14"/>
      <c r="P365" s="14"/>
      <c r="Q365" s="15"/>
      <c r="R365" s="16" t="str">
        <f t="shared" si="14"/>
        <v/>
      </c>
    </row>
    <row r="366" ht="15.75" customHeight="1">
      <c r="A366" s="7"/>
      <c r="B366" s="8"/>
      <c r="C366" s="8"/>
      <c r="D366" s="8"/>
      <c r="E366" s="8"/>
      <c r="F366" s="9"/>
      <c r="G366" s="10">
        <f>IFERROR(F366*VLOOKUP(D366,TELAS!$A$4:$C$32,3,FALSE()),0)</f>
        <v>0</v>
      </c>
      <c r="H366" s="11" t="str">
        <f>IFERROR(VLOOKUP(E366,COLORES!$A$4:$B$102,2,FALSE()),"")</f>
        <v/>
      </c>
      <c r="I366" s="12">
        <f>IFERROR(IF(H366="OSCURO",VLOOKUP(D366,PRECIOS!$A$4:$F$32,2,FALSE()),IF(H366="CLARO",VLOOKUP(D366,PRECIOS!$A$4:$F$32,3,FALSE()),IF(H366="MELANGE",VLOOKUP(D366,PRECIOS!$A$4:$F$32,4,FALSE()),IF(H366="PPT",VLOOKUP(D366,PRECIOS!$A$4:$F$32,5,FALSE()),0)))),0)</f>
        <v>0</v>
      </c>
      <c r="J366" s="12">
        <f t="shared" si="12"/>
        <v>0</v>
      </c>
      <c r="K366" s="13">
        <f>IFERROR(IF(C366="",0,SUMIFS($F$4:$F$365,$C$4:$C$365,C366,$D$4:$D$365,D366,$E$4:$E$365,E366,$B$4:$B$365,"INGRESO")+SUMIFS($F$4:$F$365,$C$4:$C$365,C366,$D$4:$D$365,D366,$E$4:$E$365,E366,$B$4:$B$365,"DE REPROCESO")+SUMIFS($F$4:$F$365,$C$4:$C$365,C366,$D$4:$D$365,D366,$E$4:$E$365,E366,$B$4:$B$365,"AJUSTE+")-SUMIFS($F$4:$F$365,$C$4:$C$365,C366,$D$4:$D$365,D366,$E$4:$E$365,E366,$B$4:$B$365,"A CORTE")-SUMIFS($F$4:$F$365,$C$4:$C$365,C366,$D$4:$D$365,D366,$E$4:$E$365,E366,$B$4:$B$365,"A REPROCESO")-SUMIFS($F$4:$F$365,$C$4:$C$365,C366,$D$4:$D$365,D366,$E$4:$E$365,E366,$B$4:$B$365,"MUESTRA")-SUMIFS($F$4:$F$365,$C$4:$C$365,C366,$D$4:$D$365,D366,$E$4:$E$365,E366,$B$4:$B$365,"AJUSTE-")),0)</f>
        <v>0</v>
      </c>
      <c r="L366" s="13">
        <f t="shared" si="13"/>
        <v>0</v>
      </c>
      <c r="M366" s="8"/>
      <c r="N366" s="14"/>
      <c r="O366" s="14"/>
      <c r="P366" s="14"/>
      <c r="Q366" s="15"/>
      <c r="R366" s="16" t="str">
        <f t="shared" si="14"/>
        <v/>
      </c>
    </row>
    <row r="367" ht="15.75" customHeight="1">
      <c r="A367" s="7"/>
      <c r="B367" s="8"/>
      <c r="C367" s="8"/>
      <c r="D367" s="8"/>
      <c r="E367" s="8"/>
      <c r="F367" s="9"/>
      <c r="G367" s="10">
        <f>IFERROR(F367*VLOOKUP(D367,TELAS!$A$4:$C$32,3,FALSE()),0)</f>
        <v>0</v>
      </c>
      <c r="H367" s="11" t="str">
        <f>IFERROR(VLOOKUP(E367,COLORES!$A$4:$B$102,2,FALSE()),"")</f>
        <v/>
      </c>
      <c r="I367" s="12">
        <f>IFERROR(IF(H367="OSCURO",VLOOKUP(D367,PRECIOS!$A$4:$F$32,2,FALSE()),IF(H367="CLARO",VLOOKUP(D367,PRECIOS!$A$4:$F$32,3,FALSE()),IF(H367="MELANGE",VLOOKUP(D367,PRECIOS!$A$4:$F$32,4,FALSE()),IF(H367="PPT",VLOOKUP(D367,PRECIOS!$A$4:$F$32,5,FALSE()),0)))),0)</f>
        <v>0</v>
      </c>
      <c r="J367" s="12">
        <f t="shared" si="12"/>
        <v>0</v>
      </c>
      <c r="K367" s="13">
        <f>IFERROR(IF(C367="",0,SUMIFS($F$4:$F$366,$C$4:$C$366,C367,$D$4:$D$366,D367,$E$4:$E$366,E367,$B$4:$B$366,"INGRESO")+SUMIFS($F$4:$F$366,$C$4:$C$366,C367,$D$4:$D$366,D367,$E$4:$E$366,E367,$B$4:$B$366,"DE REPROCESO")+SUMIFS($F$4:$F$366,$C$4:$C$366,C367,$D$4:$D$366,D367,$E$4:$E$366,E367,$B$4:$B$366,"AJUSTE+")-SUMIFS($F$4:$F$366,$C$4:$C$366,C367,$D$4:$D$366,D367,$E$4:$E$366,E367,$B$4:$B$366,"A CORTE")-SUMIFS($F$4:$F$366,$C$4:$C$366,C367,$D$4:$D$366,D367,$E$4:$E$366,E367,$B$4:$B$366,"A REPROCESO")-SUMIFS($F$4:$F$366,$C$4:$C$366,C367,$D$4:$D$366,D367,$E$4:$E$366,E367,$B$4:$B$366,"MUESTRA")-SUMIFS($F$4:$F$366,$C$4:$C$366,C367,$D$4:$D$366,D367,$E$4:$E$366,E367,$B$4:$B$366,"AJUSTE-")),0)</f>
        <v>0</v>
      </c>
      <c r="L367" s="13">
        <f t="shared" si="13"/>
        <v>0</v>
      </c>
      <c r="M367" s="8"/>
      <c r="N367" s="14"/>
      <c r="O367" s="14"/>
      <c r="P367" s="14"/>
      <c r="Q367" s="15"/>
      <c r="R367" s="16" t="str">
        <f t="shared" si="14"/>
        <v/>
      </c>
    </row>
    <row r="368" ht="15.75" customHeight="1">
      <c r="A368" s="7"/>
      <c r="B368" s="8"/>
      <c r="C368" s="8"/>
      <c r="D368" s="8"/>
      <c r="E368" s="8"/>
      <c r="F368" s="9"/>
      <c r="G368" s="10">
        <f>IFERROR(F368*VLOOKUP(D368,TELAS!$A$4:$C$32,3,FALSE()),0)</f>
        <v>0</v>
      </c>
      <c r="H368" s="11" t="str">
        <f>IFERROR(VLOOKUP(E368,COLORES!$A$4:$B$102,2,FALSE()),"")</f>
        <v/>
      </c>
      <c r="I368" s="12">
        <f>IFERROR(IF(H368="OSCURO",VLOOKUP(D368,PRECIOS!$A$4:$F$32,2,FALSE()),IF(H368="CLARO",VLOOKUP(D368,PRECIOS!$A$4:$F$32,3,FALSE()),IF(H368="MELANGE",VLOOKUP(D368,PRECIOS!$A$4:$F$32,4,FALSE()),IF(H368="PPT",VLOOKUP(D368,PRECIOS!$A$4:$F$32,5,FALSE()),0)))),0)</f>
        <v>0</v>
      </c>
      <c r="J368" s="12">
        <f t="shared" si="12"/>
        <v>0</v>
      </c>
      <c r="K368" s="13">
        <f>IFERROR(IF(C368="",0,SUMIFS($F$4:$F$367,$C$4:$C$367,C368,$D$4:$D$367,D368,$E$4:$E$367,E368,$B$4:$B$367,"INGRESO")+SUMIFS($F$4:$F$367,$C$4:$C$367,C368,$D$4:$D$367,D368,$E$4:$E$367,E368,$B$4:$B$367,"DE REPROCESO")+SUMIFS($F$4:$F$367,$C$4:$C$367,C368,$D$4:$D$367,D368,$E$4:$E$367,E368,$B$4:$B$367,"AJUSTE+")-SUMIFS($F$4:$F$367,$C$4:$C$367,C368,$D$4:$D$367,D368,$E$4:$E$367,E368,$B$4:$B$367,"A CORTE")-SUMIFS($F$4:$F$367,$C$4:$C$367,C368,$D$4:$D$367,D368,$E$4:$E$367,E368,$B$4:$B$367,"A REPROCESO")-SUMIFS($F$4:$F$367,$C$4:$C$367,C368,$D$4:$D$367,D368,$E$4:$E$367,E368,$B$4:$B$367,"MUESTRA")-SUMIFS($F$4:$F$367,$C$4:$C$367,C368,$D$4:$D$367,D368,$E$4:$E$367,E368,$B$4:$B$367,"AJUSTE-")),0)</f>
        <v>0</v>
      </c>
      <c r="L368" s="13">
        <f t="shared" si="13"/>
        <v>0</v>
      </c>
      <c r="M368" s="8"/>
      <c r="N368" s="14"/>
      <c r="O368" s="14"/>
      <c r="P368" s="14"/>
      <c r="Q368" s="15"/>
      <c r="R368" s="16" t="str">
        <f t="shared" si="14"/>
        <v/>
      </c>
    </row>
    <row r="369" ht="15.75" customHeight="1">
      <c r="A369" s="7"/>
      <c r="B369" s="8"/>
      <c r="C369" s="8"/>
      <c r="D369" s="8"/>
      <c r="E369" s="8"/>
      <c r="F369" s="9"/>
      <c r="G369" s="10">
        <f>IFERROR(F369*VLOOKUP(D369,TELAS!$A$4:$C$32,3,FALSE()),0)</f>
        <v>0</v>
      </c>
      <c r="H369" s="11" t="str">
        <f>IFERROR(VLOOKUP(E369,COLORES!$A$4:$B$102,2,FALSE()),"")</f>
        <v/>
      </c>
      <c r="I369" s="12">
        <f>IFERROR(IF(H369="OSCURO",VLOOKUP(D369,PRECIOS!$A$4:$F$32,2,FALSE()),IF(H369="CLARO",VLOOKUP(D369,PRECIOS!$A$4:$F$32,3,FALSE()),IF(H369="MELANGE",VLOOKUP(D369,PRECIOS!$A$4:$F$32,4,FALSE()),IF(H369="PPT",VLOOKUP(D369,PRECIOS!$A$4:$F$32,5,FALSE()),0)))),0)</f>
        <v>0</v>
      </c>
      <c r="J369" s="12">
        <f t="shared" si="12"/>
        <v>0</v>
      </c>
      <c r="K369" s="13">
        <f>IFERROR(IF(C369="",0,SUMIFS($F$4:$F$368,$C$4:$C$368,C369,$D$4:$D$368,D369,$E$4:$E$368,E369,$B$4:$B$368,"INGRESO")+SUMIFS($F$4:$F$368,$C$4:$C$368,C369,$D$4:$D$368,D369,$E$4:$E$368,E369,$B$4:$B$368,"DE REPROCESO")+SUMIFS($F$4:$F$368,$C$4:$C$368,C369,$D$4:$D$368,D369,$E$4:$E$368,E369,$B$4:$B$368,"AJUSTE+")-SUMIFS($F$4:$F$368,$C$4:$C$368,C369,$D$4:$D$368,D369,$E$4:$E$368,E369,$B$4:$B$368,"A CORTE")-SUMIFS($F$4:$F$368,$C$4:$C$368,C369,$D$4:$D$368,D369,$E$4:$E$368,E369,$B$4:$B$368,"A REPROCESO")-SUMIFS($F$4:$F$368,$C$4:$C$368,C369,$D$4:$D$368,D369,$E$4:$E$368,E369,$B$4:$B$368,"MUESTRA")-SUMIFS($F$4:$F$368,$C$4:$C$368,C369,$D$4:$D$368,D369,$E$4:$E$368,E369,$B$4:$B$368,"AJUSTE-")),0)</f>
        <v>0</v>
      </c>
      <c r="L369" s="13">
        <f t="shared" si="13"/>
        <v>0</v>
      </c>
      <c r="M369" s="8"/>
      <c r="N369" s="14"/>
      <c r="O369" s="14"/>
      <c r="P369" s="14"/>
      <c r="Q369" s="15"/>
      <c r="R369" s="16" t="str">
        <f t="shared" si="14"/>
        <v/>
      </c>
    </row>
    <row r="370" ht="15.75" customHeight="1">
      <c r="A370" s="7"/>
      <c r="B370" s="8"/>
      <c r="C370" s="8"/>
      <c r="D370" s="8"/>
      <c r="E370" s="8"/>
      <c r="F370" s="9"/>
      <c r="G370" s="10">
        <f>IFERROR(F370*VLOOKUP(D370,TELAS!$A$4:$C$32,3,FALSE()),0)</f>
        <v>0</v>
      </c>
      <c r="H370" s="11" t="str">
        <f>IFERROR(VLOOKUP(E370,COLORES!$A$4:$B$102,2,FALSE()),"")</f>
        <v/>
      </c>
      <c r="I370" s="12">
        <f>IFERROR(IF(H370="OSCURO",VLOOKUP(D370,PRECIOS!$A$4:$F$32,2,FALSE()),IF(H370="CLARO",VLOOKUP(D370,PRECIOS!$A$4:$F$32,3,FALSE()),IF(H370="MELANGE",VLOOKUP(D370,PRECIOS!$A$4:$F$32,4,FALSE()),IF(H370="PPT",VLOOKUP(D370,PRECIOS!$A$4:$F$32,5,FALSE()),0)))),0)</f>
        <v>0</v>
      </c>
      <c r="J370" s="12">
        <f t="shared" si="12"/>
        <v>0</v>
      </c>
      <c r="K370" s="13">
        <f>IFERROR(IF(C370="",0,SUMIFS($F$4:$F$369,$C$4:$C$369,C370,$D$4:$D$369,D370,$E$4:$E$369,E370,$B$4:$B$369,"INGRESO")+SUMIFS($F$4:$F$369,$C$4:$C$369,C370,$D$4:$D$369,D370,$E$4:$E$369,E370,$B$4:$B$369,"DE REPROCESO")+SUMIFS($F$4:$F$369,$C$4:$C$369,C370,$D$4:$D$369,D370,$E$4:$E$369,E370,$B$4:$B$369,"AJUSTE+")-SUMIFS($F$4:$F$369,$C$4:$C$369,C370,$D$4:$D$369,D370,$E$4:$E$369,E370,$B$4:$B$369,"A CORTE")-SUMIFS($F$4:$F$369,$C$4:$C$369,C370,$D$4:$D$369,D370,$E$4:$E$369,E370,$B$4:$B$369,"A REPROCESO")-SUMIFS($F$4:$F$369,$C$4:$C$369,C370,$D$4:$D$369,D370,$E$4:$E$369,E370,$B$4:$B$369,"MUESTRA")-SUMIFS($F$4:$F$369,$C$4:$C$369,C370,$D$4:$D$369,D370,$E$4:$E$369,E370,$B$4:$B$369,"AJUSTE-")),0)</f>
        <v>0</v>
      </c>
      <c r="L370" s="13">
        <f t="shared" si="13"/>
        <v>0</v>
      </c>
      <c r="M370" s="8"/>
      <c r="N370" s="14"/>
      <c r="O370" s="14"/>
      <c r="P370" s="14"/>
      <c r="Q370" s="15"/>
      <c r="R370" s="16" t="str">
        <f t="shared" si="14"/>
        <v/>
      </c>
    </row>
    <row r="371" ht="15.75" customHeight="1">
      <c r="A371" s="7"/>
      <c r="B371" s="8"/>
      <c r="C371" s="8"/>
      <c r="D371" s="8"/>
      <c r="E371" s="8"/>
      <c r="F371" s="9"/>
      <c r="G371" s="10">
        <f>IFERROR(F371*VLOOKUP(D371,TELAS!$A$4:$C$32,3,FALSE()),0)</f>
        <v>0</v>
      </c>
      <c r="H371" s="11" t="str">
        <f>IFERROR(VLOOKUP(E371,COLORES!$A$4:$B$102,2,FALSE()),"")</f>
        <v/>
      </c>
      <c r="I371" s="12">
        <f>IFERROR(IF(H371="OSCURO",VLOOKUP(D371,PRECIOS!$A$4:$F$32,2,FALSE()),IF(H371="CLARO",VLOOKUP(D371,PRECIOS!$A$4:$F$32,3,FALSE()),IF(H371="MELANGE",VLOOKUP(D371,PRECIOS!$A$4:$F$32,4,FALSE()),IF(H371="PPT",VLOOKUP(D371,PRECIOS!$A$4:$F$32,5,FALSE()),0)))),0)</f>
        <v>0</v>
      </c>
      <c r="J371" s="12">
        <f t="shared" si="12"/>
        <v>0</v>
      </c>
      <c r="K371" s="13">
        <f>IFERROR(IF(C371="",0,SUMIFS($F$4:$F$370,$C$4:$C$370,C371,$D$4:$D$370,D371,$E$4:$E$370,E371,$B$4:$B$370,"INGRESO")+SUMIFS($F$4:$F$370,$C$4:$C$370,C371,$D$4:$D$370,D371,$E$4:$E$370,E371,$B$4:$B$370,"DE REPROCESO")+SUMIFS($F$4:$F$370,$C$4:$C$370,C371,$D$4:$D$370,D371,$E$4:$E$370,E371,$B$4:$B$370,"AJUSTE+")-SUMIFS($F$4:$F$370,$C$4:$C$370,C371,$D$4:$D$370,D371,$E$4:$E$370,E371,$B$4:$B$370,"A CORTE")-SUMIFS($F$4:$F$370,$C$4:$C$370,C371,$D$4:$D$370,D371,$E$4:$E$370,E371,$B$4:$B$370,"A REPROCESO")-SUMIFS($F$4:$F$370,$C$4:$C$370,C371,$D$4:$D$370,D371,$E$4:$E$370,E371,$B$4:$B$370,"MUESTRA")-SUMIFS($F$4:$F$370,$C$4:$C$370,C371,$D$4:$D$370,D371,$E$4:$E$370,E371,$B$4:$B$370,"AJUSTE-")),0)</f>
        <v>0</v>
      </c>
      <c r="L371" s="13">
        <f t="shared" si="13"/>
        <v>0</v>
      </c>
      <c r="M371" s="8"/>
      <c r="N371" s="14"/>
      <c r="O371" s="14"/>
      <c r="P371" s="14"/>
      <c r="Q371" s="15"/>
      <c r="R371" s="16" t="str">
        <f t="shared" si="14"/>
        <v/>
      </c>
    </row>
    <row r="372" ht="15.75" customHeight="1">
      <c r="A372" s="7"/>
      <c r="B372" s="8"/>
      <c r="C372" s="8"/>
      <c r="D372" s="8"/>
      <c r="E372" s="8"/>
      <c r="F372" s="9"/>
      <c r="G372" s="10">
        <f>IFERROR(F372*VLOOKUP(D372,TELAS!$A$4:$C$32,3,FALSE()),0)</f>
        <v>0</v>
      </c>
      <c r="H372" s="11" t="str">
        <f>IFERROR(VLOOKUP(E372,COLORES!$A$4:$B$102,2,FALSE()),"")</f>
        <v/>
      </c>
      <c r="I372" s="12">
        <f>IFERROR(IF(H372="OSCURO",VLOOKUP(D372,PRECIOS!$A$4:$F$32,2,FALSE()),IF(H372="CLARO",VLOOKUP(D372,PRECIOS!$A$4:$F$32,3,FALSE()),IF(H372="MELANGE",VLOOKUP(D372,PRECIOS!$A$4:$F$32,4,FALSE()),IF(H372="PPT",VLOOKUP(D372,PRECIOS!$A$4:$F$32,5,FALSE()),0)))),0)</f>
        <v>0</v>
      </c>
      <c r="J372" s="12">
        <f t="shared" si="12"/>
        <v>0</v>
      </c>
      <c r="K372" s="13">
        <f>IFERROR(IF(C372="",0,SUMIFS($F$4:$F$371,$C$4:$C$371,C372,$D$4:$D$371,D372,$E$4:$E$371,E372,$B$4:$B$371,"INGRESO")+SUMIFS($F$4:$F$371,$C$4:$C$371,C372,$D$4:$D$371,D372,$E$4:$E$371,E372,$B$4:$B$371,"DE REPROCESO")+SUMIFS($F$4:$F$371,$C$4:$C$371,C372,$D$4:$D$371,D372,$E$4:$E$371,E372,$B$4:$B$371,"AJUSTE+")-SUMIFS($F$4:$F$371,$C$4:$C$371,C372,$D$4:$D$371,D372,$E$4:$E$371,E372,$B$4:$B$371,"A CORTE")-SUMIFS($F$4:$F$371,$C$4:$C$371,C372,$D$4:$D$371,D372,$E$4:$E$371,E372,$B$4:$B$371,"A REPROCESO")-SUMIFS($F$4:$F$371,$C$4:$C$371,C372,$D$4:$D$371,D372,$E$4:$E$371,E372,$B$4:$B$371,"MUESTRA")-SUMIFS($F$4:$F$371,$C$4:$C$371,C372,$D$4:$D$371,D372,$E$4:$E$371,E372,$B$4:$B$371,"AJUSTE-")),0)</f>
        <v>0</v>
      </c>
      <c r="L372" s="13">
        <f t="shared" si="13"/>
        <v>0</v>
      </c>
      <c r="M372" s="8"/>
      <c r="N372" s="14"/>
      <c r="O372" s="14"/>
      <c r="P372" s="14"/>
      <c r="Q372" s="15"/>
      <c r="R372" s="16" t="str">
        <f t="shared" si="14"/>
        <v/>
      </c>
    </row>
    <row r="373" ht="15.75" customHeight="1">
      <c r="A373" s="7"/>
      <c r="B373" s="8"/>
      <c r="C373" s="8"/>
      <c r="D373" s="8"/>
      <c r="E373" s="8"/>
      <c r="F373" s="9"/>
      <c r="G373" s="10">
        <f>IFERROR(F373*VLOOKUP(D373,TELAS!$A$4:$C$32,3,FALSE()),0)</f>
        <v>0</v>
      </c>
      <c r="H373" s="11" t="str">
        <f>IFERROR(VLOOKUP(E373,COLORES!$A$4:$B$102,2,FALSE()),"")</f>
        <v/>
      </c>
      <c r="I373" s="12">
        <f>IFERROR(IF(H373="OSCURO",VLOOKUP(D373,PRECIOS!$A$4:$F$32,2,FALSE()),IF(H373="CLARO",VLOOKUP(D373,PRECIOS!$A$4:$F$32,3,FALSE()),IF(H373="MELANGE",VLOOKUP(D373,PRECIOS!$A$4:$F$32,4,FALSE()),IF(H373="PPT",VLOOKUP(D373,PRECIOS!$A$4:$F$32,5,FALSE()),0)))),0)</f>
        <v>0</v>
      </c>
      <c r="J373" s="12">
        <f t="shared" si="12"/>
        <v>0</v>
      </c>
      <c r="K373" s="13">
        <f>IFERROR(IF(C373="",0,SUMIFS($F$4:$F$372,$C$4:$C$372,C373,$D$4:$D$372,D373,$E$4:$E$372,E373,$B$4:$B$372,"INGRESO")+SUMIFS($F$4:$F$372,$C$4:$C$372,C373,$D$4:$D$372,D373,$E$4:$E$372,E373,$B$4:$B$372,"DE REPROCESO")+SUMIFS($F$4:$F$372,$C$4:$C$372,C373,$D$4:$D$372,D373,$E$4:$E$372,E373,$B$4:$B$372,"AJUSTE+")-SUMIFS($F$4:$F$372,$C$4:$C$372,C373,$D$4:$D$372,D373,$E$4:$E$372,E373,$B$4:$B$372,"A CORTE")-SUMIFS($F$4:$F$372,$C$4:$C$372,C373,$D$4:$D$372,D373,$E$4:$E$372,E373,$B$4:$B$372,"A REPROCESO")-SUMIFS($F$4:$F$372,$C$4:$C$372,C373,$D$4:$D$372,D373,$E$4:$E$372,E373,$B$4:$B$372,"MUESTRA")-SUMIFS($F$4:$F$372,$C$4:$C$372,C373,$D$4:$D$372,D373,$E$4:$E$372,E373,$B$4:$B$372,"AJUSTE-")),0)</f>
        <v>0</v>
      </c>
      <c r="L373" s="13">
        <f t="shared" si="13"/>
        <v>0</v>
      </c>
      <c r="M373" s="8"/>
      <c r="N373" s="14"/>
      <c r="O373" s="14"/>
      <c r="P373" s="14"/>
      <c r="Q373" s="15"/>
      <c r="R373" s="16" t="str">
        <f t="shared" si="14"/>
        <v/>
      </c>
    </row>
    <row r="374" ht="15.75" customHeight="1">
      <c r="A374" s="7"/>
      <c r="B374" s="8"/>
      <c r="C374" s="8"/>
      <c r="D374" s="8"/>
      <c r="E374" s="8"/>
      <c r="F374" s="9"/>
      <c r="G374" s="10">
        <f>IFERROR(F374*VLOOKUP(D374,TELAS!$A$4:$C$32,3,FALSE()),0)</f>
        <v>0</v>
      </c>
      <c r="H374" s="11" t="str">
        <f>IFERROR(VLOOKUP(E374,COLORES!$A$4:$B$102,2,FALSE()),"")</f>
        <v/>
      </c>
      <c r="I374" s="12">
        <f>IFERROR(IF(H374="OSCURO",VLOOKUP(D374,PRECIOS!$A$4:$F$32,2,FALSE()),IF(H374="CLARO",VLOOKUP(D374,PRECIOS!$A$4:$F$32,3,FALSE()),IF(H374="MELANGE",VLOOKUP(D374,PRECIOS!$A$4:$F$32,4,FALSE()),IF(H374="PPT",VLOOKUP(D374,PRECIOS!$A$4:$F$32,5,FALSE()),0)))),0)</f>
        <v>0</v>
      </c>
      <c r="J374" s="12">
        <f t="shared" si="12"/>
        <v>0</v>
      </c>
      <c r="K374" s="13">
        <f>IFERROR(IF(C374="",0,SUMIFS($F$4:$F$373,$C$4:$C$373,C374,$D$4:$D$373,D374,$E$4:$E$373,E374,$B$4:$B$373,"INGRESO")+SUMIFS($F$4:$F$373,$C$4:$C$373,C374,$D$4:$D$373,D374,$E$4:$E$373,E374,$B$4:$B$373,"DE REPROCESO")+SUMIFS($F$4:$F$373,$C$4:$C$373,C374,$D$4:$D$373,D374,$E$4:$E$373,E374,$B$4:$B$373,"AJUSTE+")-SUMIFS($F$4:$F$373,$C$4:$C$373,C374,$D$4:$D$373,D374,$E$4:$E$373,E374,$B$4:$B$373,"A CORTE")-SUMIFS($F$4:$F$373,$C$4:$C$373,C374,$D$4:$D$373,D374,$E$4:$E$373,E374,$B$4:$B$373,"A REPROCESO")-SUMIFS($F$4:$F$373,$C$4:$C$373,C374,$D$4:$D$373,D374,$E$4:$E$373,E374,$B$4:$B$373,"MUESTRA")-SUMIFS($F$4:$F$373,$C$4:$C$373,C374,$D$4:$D$373,D374,$E$4:$E$373,E374,$B$4:$B$373,"AJUSTE-")),0)</f>
        <v>0</v>
      </c>
      <c r="L374" s="13">
        <f t="shared" si="13"/>
        <v>0</v>
      </c>
      <c r="M374" s="8"/>
      <c r="N374" s="14"/>
      <c r="O374" s="14"/>
      <c r="P374" s="14"/>
      <c r="Q374" s="15"/>
      <c r="R374" s="16" t="str">
        <f t="shared" si="14"/>
        <v/>
      </c>
    </row>
    <row r="375" ht="15.75" customHeight="1">
      <c r="A375" s="7"/>
      <c r="B375" s="8"/>
      <c r="C375" s="8"/>
      <c r="D375" s="8"/>
      <c r="E375" s="8"/>
      <c r="F375" s="9"/>
      <c r="G375" s="10">
        <f>IFERROR(F375*VLOOKUP(D375,TELAS!$A$4:$C$32,3,FALSE()),0)</f>
        <v>0</v>
      </c>
      <c r="H375" s="11" t="str">
        <f>IFERROR(VLOOKUP(E375,COLORES!$A$4:$B$102,2,FALSE()),"")</f>
        <v/>
      </c>
      <c r="I375" s="12">
        <f>IFERROR(IF(H375="OSCURO",VLOOKUP(D375,PRECIOS!$A$4:$F$32,2,FALSE()),IF(H375="CLARO",VLOOKUP(D375,PRECIOS!$A$4:$F$32,3,FALSE()),IF(H375="MELANGE",VLOOKUP(D375,PRECIOS!$A$4:$F$32,4,FALSE()),IF(H375="PPT",VLOOKUP(D375,PRECIOS!$A$4:$F$32,5,FALSE()),0)))),0)</f>
        <v>0</v>
      </c>
      <c r="J375" s="12">
        <f t="shared" si="12"/>
        <v>0</v>
      </c>
      <c r="K375" s="13">
        <f>IFERROR(IF(C375="",0,SUMIFS($F$4:$F$374,$C$4:$C$374,C375,$D$4:$D$374,D375,$E$4:$E$374,E375,$B$4:$B$374,"INGRESO")+SUMIFS($F$4:$F$374,$C$4:$C$374,C375,$D$4:$D$374,D375,$E$4:$E$374,E375,$B$4:$B$374,"DE REPROCESO")+SUMIFS($F$4:$F$374,$C$4:$C$374,C375,$D$4:$D$374,D375,$E$4:$E$374,E375,$B$4:$B$374,"AJUSTE+")-SUMIFS($F$4:$F$374,$C$4:$C$374,C375,$D$4:$D$374,D375,$E$4:$E$374,E375,$B$4:$B$374,"A CORTE")-SUMIFS($F$4:$F$374,$C$4:$C$374,C375,$D$4:$D$374,D375,$E$4:$E$374,E375,$B$4:$B$374,"A REPROCESO")-SUMIFS($F$4:$F$374,$C$4:$C$374,C375,$D$4:$D$374,D375,$E$4:$E$374,E375,$B$4:$B$374,"MUESTRA")-SUMIFS($F$4:$F$374,$C$4:$C$374,C375,$D$4:$D$374,D375,$E$4:$E$374,E375,$B$4:$B$374,"AJUSTE-")),0)</f>
        <v>0</v>
      </c>
      <c r="L375" s="13">
        <f t="shared" si="13"/>
        <v>0</v>
      </c>
      <c r="M375" s="8"/>
      <c r="N375" s="14"/>
      <c r="O375" s="14"/>
      <c r="P375" s="14"/>
      <c r="Q375" s="15"/>
      <c r="R375" s="16" t="str">
        <f t="shared" si="14"/>
        <v/>
      </c>
    </row>
    <row r="376" ht="15.75" customHeight="1">
      <c r="A376" s="7"/>
      <c r="B376" s="8"/>
      <c r="C376" s="8"/>
      <c r="D376" s="8"/>
      <c r="E376" s="8"/>
      <c r="F376" s="9"/>
      <c r="G376" s="10">
        <f>IFERROR(F376*VLOOKUP(D376,TELAS!$A$4:$C$32,3,FALSE()),0)</f>
        <v>0</v>
      </c>
      <c r="H376" s="11" t="str">
        <f>IFERROR(VLOOKUP(E376,COLORES!$A$4:$B$102,2,FALSE()),"")</f>
        <v/>
      </c>
      <c r="I376" s="12">
        <f>IFERROR(IF(H376="OSCURO",VLOOKUP(D376,PRECIOS!$A$4:$F$32,2,FALSE()),IF(H376="CLARO",VLOOKUP(D376,PRECIOS!$A$4:$F$32,3,FALSE()),IF(H376="MELANGE",VLOOKUP(D376,PRECIOS!$A$4:$F$32,4,FALSE()),IF(H376="PPT",VLOOKUP(D376,PRECIOS!$A$4:$F$32,5,FALSE()),0)))),0)</f>
        <v>0</v>
      </c>
      <c r="J376" s="12">
        <f t="shared" si="12"/>
        <v>0</v>
      </c>
      <c r="K376" s="13">
        <f>IFERROR(IF(C376="",0,SUMIFS($F$4:$F$375,$C$4:$C$375,C376,$D$4:$D$375,D376,$E$4:$E$375,E376,$B$4:$B$375,"INGRESO")+SUMIFS($F$4:$F$375,$C$4:$C$375,C376,$D$4:$D$375,D376,$E$4:$E$375,E376,$B$4:$B$375,"DE REPROCESO")+SUMIFS($F$4:$F$375,$C$4:$C$375,C376,$D$4:$D$375,D376,$E$4:$E$375,E376,$B$4:$B$375,"AJUSTE+")-SUMIFS($F$4:$F$375,$C$4:$C$375,C376,$D$4:$D$375,D376,$E$4:$E$375,E376,$B$4:$B$375,"A CORTE")-SUMIFS($F$4:$F$375,$C$4:$C$375,C376,$D$4:$D$375,D376,$E$4:$E$375,E376,$B$4:$B$375,"A REPROCESO")-SUMIFS($F$4:$F$375,$C$4:$C$375,C376,$D$4:$D$375,D376,$E$4:$E$375,E376,$B$4:$B$375,"MUESTRA")-SUMIFS($F$4:$F$375,$C$4:$C$375,C376,$D$4:$D$375,D376,$E$4:$E$375,E376,$B$4:$B$375,"AJUSTE-")),0)</f>
        <v>0</v>
      </c>
      <c r="L376" s="13">
        <f t="shared" si="13"/>
        <v>0</v>
      </c>
      <c r="M376" s="8"/>
      <c r="N376" s="14"/>
      <c r="O376" s="14"/>
      <c r="P376" s="14"/>
      <c r="Q376" s="15"/>
      <c r="R376" s="16" t="str">
        <f t="shared" si="14"/>
        <v/>
      </c>
    </row>
    <row r="377" ht="15.75" customHeight="1">
      <c r="A377" s="7"/>
      <c r="B377" s="8"/>
      <c r="C377" s="8"/>
      <c r="D377" s="8"/>
      <c r="E377" s="8"/>
      <c r="F377" s="9"/>
      <c r="G377" s="10">
        <f>IFERROR(F377*VLOOKUP(D377,TELAS!$A$4:$C$32,3,FALSE()),0)</f>
        <v>0</v>
      </c>
      <c r="H377" s="11" t="str">
        <f>IFERROR(VLOOKUP(E377,COLORES!$A$4:$B$102,2,FALSE()),"")</f>
        <v/>
      </c>
      <c r="I377" s="12">
        <f>IFERROR(IF(H377="OSCURO",VLOOKUP(D377,PRECIOS!$A$4:$F$32,2,FALSE()),IF(H377="CLARO",VLOOKUP(D377,PRECIOS!$A$4:$F$32,3,FALSE()),IF(H377="MELANGE",VLOOKUP(D377,PRECIOS!$A$4:$F$32,4,FALSE()),IF(H377="PPT",VLOOKUP(D377,PRECIOS!$A$4:$F$32,5,FALSE()),0)))),0)</f>
        <v>0</v>
      </c>
      <c r="J377" s="12">
        <f t="shared" si="12"/>
        <v>0</v>
      </c>
      <c r="K377" s="13">
        <f>IFERROR(IF(C377="",0,SUMIFS($F$4:$F$376,$C$4:$C$376,C377,$D$4:$D$376,D377,$E$4:$E$376,E377,$B$4:$B$376,"INGRESO")+SUMIFS($F$4:$F$376,$C$4:$C$376,C377,$D$4:$D$376,D377,$E$4:$E$376,E377,$B$4:$B$376,"DE REPROCESO")+SUMIFS($F$4:$F$376,$C$4:$C$376,C377,$D$4:$D$376,D377,$E$4:$E$376,E377,$B$4:$B$376,"AJUSTE+")-SUMIFS($F$4:$F$376,$C$4:$C$376,C377,$D$4:$D$376,D377,$E$4:$E$376,E377,$B$4:$B$376,"A CORTE")-SUMIFS($F$4:$F$376,$C$4:$C$376,C377,$D$4:$D$376,D377,$E$4:$E$376,E377,$B$4:$B$376,"A REPROCESO")-SUMIFS($F$4:$F$376,$C$4:$C$376,C377,$D$4:$D$376,D377,$E$4:$E$376,E377,$B$4:$B$376,"MUESTRA")-SUMIFS($F$4:$F$376,$C$4:$C$376,C377,$D$4:$D$376,D377,$E$4:$E$376,E377,$B$4:$B$376,"AJUSTE-")),0)</f>
        <v>0</v>
      </c>
      <c r="L377" s="13">
        <f t="shared" si="13"/>
        <v>0</v>
      </c>
      <c r="M377" s="8"/>
      <c r="N377" s="14"/>
      <c r="O377" s="14"/>
      <c r="P377" s="14"/>
      <c r="Q377" s="15"/>
      <c r="R377" s="16" t="str">
        <f t="shared" si="14"/>
        <v/>
      </c>
    </row>
    <row r="378" ht="15.75" customHeight="1">
      <c r="A378" s="7"/>
      <c r="B378" s="8"/>
      <c r="C378" s="8"/>
      <c r="D378" s="8"/>
      <c r="E378" s="8"/>
      <c r="F378" s="9"/>
      <c r="G378" s="10">
        <f>IFERROR(F378*VLOOKUP(D378,TELAS!$A$4:$C$32,3,FALSE()),0)</f>
        <v>0</v>
      </c>
      <c r="H378" s="11" t="str">
        <f>IFERROR(VLOOKUP(E378,COLORES!$A$4:$B$102,2,FALSE()),"")</f>
        <v/>
      </c>
      <c r="I378" s="12">
        <f>IFERROR(IF(H378="OSCURO",VLOOKUP(D378,PRECIOS!$A$4:$F$32,2,FALSE()),IF(H378="CLARO",VLOOKUP(D378,PRECIOS!$A$4:$F$32,3,FALSE()),IF(H378="MELANGE",VLOOKUP(D378,PRECIOS!$A$4:$F$32,4,FALSE()),IF(H378="PPT",VLOOKUP(D378,PRECIOS!$A$4:$F$32,5,FALSE()),0)))),0)</f>
        <v>0</v>
      </c>
      <c r="J378" s="12">
        <f t="shared" si="12"/>
        <v>0</v>
      </c>
      <c r="K378" s="13">
        <f>IFERROR(IF(C378="",0,SUMIFS($F$4:$F$377,$C$4:$C$377,C378,$D$4:$D$377,D378,$E$4:$E$377,E378,$B$4:$B$377,"INGRESO")+SUMIFS($F$4:$F$377,$C$4:$C$377,C378,$D$4:$D$377,D378,$E$4:$E$377,E378,$B$4:$B$377,"DE REPROCESO")+SUMIFS($F$4:$F$377,$C$4:$C$377,C378,$D$4:$D$377,D378,$E$4:$E$377,E378,$B$4:$B$377,"AJUSTE+")-SUMIFS($F$4:$F$377,$C$4:$C$377,C378,$D$4:$D$377,D378,$E$4:$E$377,E378,$B$4:$B$377,"A CORTE")-SUMIFS($F$4:$F$377,$C$4:$C$377,C378,$D$4:$D$377,D378,$E$4:$E$377,E378,$B$4:$B$377,"A REPROCESO")-SUMIFS($F$4:$F$377,$C$4:$C$377,C378,$D$4:$D$377,D378,$E$4:$E$377,E378,$B$4:$B$377,"MUESTRA")-SUMIFS($F$4:$F$377,$C$4:$C$377,C378,$D$4:$D$377,D378,$E$4:$E$377,E378,$B$4:$B$377,"AJUSTE-")),0)</f>
        <v>0</v>
      </c>
      <c r="L378" s="13">
        <f t="shared" si="13"/>
        <v>0</v>
      </c>
      <c r="M378" s="8"/>
      <c r="N378" s="14"/>
      <c r="O378" s="14"/>
      <c r="P378" s="14"/>
      <c r="Q378" s="15"/>
      <c r="R378" s="16" t="str">
        <f t="shared" si="14"/>
        <v/>
      </c>
    </row>
    <row r="379" ht="15.75" customHeight="1">
      <c r="A379" s="7"/>
      <c r="B379" s="8"/>
      <c r="C379" s="8"/>
      <c r="D379" s="8"/>
      <c r="E379" s="8"/>
      <c r="F379" s="9"/>
      <c r="G379" s="10">
        <f>IFERROR(F379*VLOOKUP(D379,TELAS!$A$4:$C$32,3,FALSE()),0)</f>
        <v>0</v>
      </c>
      <c r="H379" s="11" t="str">
        <f>IFERROR(VLOOKUP(E379,COLORES!$A$4:$B$102,2,FALSE()),"")</f>
        <v/>
      </c>
      <c r="I379" s="12">
        <f>IFERROR(IF(H379="OSCURO",VLOOKUP(D379,PRECIOS!$A$4:$F$32,2,FALSE()),IF(H379="CLARO",VLOOKUP(D379,PRECIOS!$A$4:$F$32,3,FALSE()),IF(H379="MELANGE",VLOOKUP(D379,PRECIOS!$A$4:$F$32,4,FALSE()),IF(H379="PPT",VLOOKUP(D379,PRECIOS!$A$4:$F$32,5,FALSE()),0)))),0)</f>
        <v>0</v>
      </c>
      <c r="J379" s="12">
        <f t="shared" si="12"/>
        <v>0</v>
      </c>
      <c r="K379" s="13">
        <f>IFERROR(IF(C379="",0,SUMIFS($F$4:$F$378,$C$4:$C$378,C379,$D$4:$D$378,D379,$E$4:$E$378,E379,$B$4:$B$378,"INGRESO")+SUMIFS($F$4:$F$378,$C$4:$C$378,C379,$D$4:$D$378,D379,$E$4:$E$378,E379,$B$4:$B$378,"DE REPROCESO")+SUMIFS($F$4:$F$378,$C$4:$C$378,C379,$D$4:$D$378,D379,$E$4:$E$378,E379,$B$4:$B$378,"AJUSTE+")-SUMIFS($F$4:$F$378,$C$4:$C$378,C379,$D$4:$D$378,D379,$E$4:$E$378,E379,$B$4:$B$378,"A CORTE")-SUMIFS($F$4:$F$378,$C$4:$C$378,C379,$D$4:$D$378,D379,$E$4:$E$378,E379,$B$4:$B$378,"A REPROCESO")-SUMIFS($F$4:$F$378,$C$4:$C$378,C379,$D$4:$D$378,D379,$E$4:$E$378,E379,$B$4:$B$378,"MUESTRA")-SUMIFS($F$4:$F$378,$C$4:$C$378,C379,$D$4:$D$378,D379,$E$4:$E$378,E379,$B$4:$B$378,"AJUSTE-")),0)</f>
        <v>0</v>
      </c>
      <c r="L379" s="13">
        <f t="shared" si="13"/>
        <v>0</v>
      </c>
      <c r="M379" s="8"/>
      <c r="N379" s="14"/>
      <c r="O379" s="14"/>
      <c r="P379" s="14"/>
      <c r="Q379" s="15"/>
      <c r="R379" s="16" t="str">
        <f t="shared" si="14"/>
        <v/>
      </c>
    </row>
    <row r="380" ht="15.75" customHeight="1">
      <c r="A380" s="7"/>
      <c r="B380" s="8"/>
      <c r="C380" s="8"/>
      <c r="D380" s="8"/>
      <c r="E380" s="8"/>
      <c r="F380" s="9"/>
      <c r="G380" s="10">
        <f>IFERROR(F380*VLOOKUP(D380,TELAS!$A$4:$C$32,3,FALSE()),0)</f>
        <v>0</v>
      </c>
      <c r="H380" s="11" t="str">
        <f>IFERROR(VLOOKUP(E380,COLORES!$A$4:$B$102,2,FALSE()),"")</f>
        <v/>
      </c>
      <c r="I380" s="12">
        <f>IFERROR(IF(H380="OSCURO",VLOOKUP(D380,PRECIOS!$A$4:$F$32,2,FALSE()),IF(H380="CLARO",VLOOKUP(D380,PRECIOS!$A$4:$F$32,3,FALSE()),IF(H380="MELANGE",VLOOKUP(D380,PRECIOS!$A$4:$F$32,4,FALSE()),IF(H380="PPT",VLOOKUP(D380,PRECIOS!$A$4:$F$32,5,FALSE()),0)))),0)</f>
        <v>0</v>
      </c>
      <c r="J380" s="12">
        <f t="shared" si="12"/>
        <v>0</v>
      </c>
      <c r="K380" s="13">
        <f>IFERROR(IF(C380="",0,SUMIFS($F$4:$F$379,$C$4:$C$379,C380,$D$4:$D$379,D380,$E$4:$E$379,E380,$B$4:$B$379,"INGRESO")+SUMIFS($F$4:$F$379,$C$4:$C$379,C380,$D$4:$D$379,D380,$E$4:$E$379,E380,$B$4:$B$379,"DE REPROCESO")+SUMIFS($F$4:$F$379,$C$4:$C$379,C380,$D$4:$D$379,D380,$E$4:$E$379,E380,$B$4:$B$379,"AJUSTE+")-SUMIFS($F$4:$F$379,$C$4:$C$379,C380,$D$4:$D$379,D380,$E$4:$E$379,E380,$B$4:$B$379,"A CORTE")-SUMIFS($F$4:$F$379,$C$4:$C$379,C380,$D$4:$D$379,D380,$E$4:$E$379,E380,$B$4:$B$379,"A REPROCESO")-SUMIFS($F$4:$F$379,$C$4:$C$379,C380,$D$4:$D$379,D380,$E$4:$E$379,E380,$B$4:$B$379,"MUESTRA")-SUMIFS($F$4:$F$379,$C$4:$C$379,C380,$D$4:$D$379,D380,$E$4:$E$379,E380,$B$4:$B$379,"AJUSTE-")),0)</f>
        <v>0</v>
      </c>
      <c r="L380" s="13">
        <f t="shared" si="13"/>
        <v>0</v>
      </c>
      <c r="M380" s="8"/>
      <c r="N380" s="14"/>
      <c r="O380" s="14"/>
      <c r="P380" s="14"/>
      <c r="Q380" s="15"/>
      <c r="R380" s="16" t="str">
        <f t="shared" si="14"/>
        <v/>
      </c>
    </row>
    <row r="381" ht="15.75" customHeight="1">
      <c r="A381" s="7"/>
      <c r="B381" s="8"/>
      <c r="C381" s="8"/>
      <c r="D381" s="8"/>
      <c r="E381" s="8"/>
      <c r="F381" s="9"/>
      <c r="G381" s="10">
        <f>IFERROR(F381*VLOOKUP(D381,TELAS!$A$4:$C$32,3,FALSE()),0)</f>
        <v>0</v>
      </c>
      <c r="H381" s="11" t="str">
        <f>IFERROR(VLOOKUP(E381,COLORES!$A$4:$B$102,2,FALSE()),"")</f>
        <v/>
      </c>
      <c r="I381" s="12">
        <f>IFERROR(IF(H381="OSCURO",VLOOKUP(D381,PRECIOS!$A$4:$F$32,2,FALSE()),IF(H381="CLARO",VLOOKUP(D381,PRECIOS!$A$4:$F$32,3,FALSE()),IF(H381="MELANGE",VLOOKUP(D381,PRECIOS!$A$4:$F$32,4,FALSE()),IF(H381="PPT",VLOOKUP(D381,PRECIOS!$A$4:$F$32,5,FALSE()),0)))),0)</f>
        <v>0</v>
      </c>
      <c r="J381" s="12">
        <f t="shared" si="12"/>
        <v>0</v>
      </c>
      <c r="K381" s="13">
        <f>IFERROR(IF(C381="",0,SUMIFS($F$4:$F$380,$C$4:$C$380,C381,$D$4:$D$380,D381,$E$4:$E$380,E381,$B$4:$B$380,"INGRESO")+SUMIFS($F$4:$F$380,$C$4:$C$380,C381,$D$4:$D$380,D381,$E$4:$E$380,E381,$B$4:$B$380,"DE REPROCESO")+SUMIFS($F$4:$F$380,$C$4:$C$380,C381,$D$4:$D$380,D381,$E$4:$E$380,E381,$B$4:$B$380,"AJUSTE+")-SUMIFS($F$4:$F$380,$C$4:$C$380,C381,$D$4:$D$380,D381,$E$4:$E$380,E381,$B$4:$B$380,"A CORTE")-SUMIFS($F$4:$F$380,$C$4:$C$380,C381,$D$4:$D$380,D381,$E$4:$E$380,E381,$B$4:$B$380,"A REPROCESO")-SUMIFS($F$4:$F$380,$C$4:$C$380,C381,$D$4:$D$380,D381,$E$4:$E$380,E381,$B$4:$B$380,"MUESTRA")-SUMIFS($F$4:$F$380,$C$4:$C$380,C381,$D$4:$D$380,D381,$E$4:$E$380,E381,$B$4:$B$380,"AJUSTE-")),0)</f>
        <v>0</v>
      </c>
      <c r="L381" s="13">
        <f t="shared" si="13"/>
        <v>0</v>
      </c>
      <c r="M381" s="8"/>
      <c r="N381" s="14"/>
      <c r="O381" s="14"/>
      <c r="P381" s="14"/>
      <c r="Q381" s="15"/>
      <c r="R381" s="16" t="str">
        <f t="shared" si="14"/>
        <v/>
      </c>
    </row>
    <row r="382" ht="15.75" customHeight="1">
      <c r="A382" s="7"/>
      <c r="B382" s="8"/>
      <c r="C382" s="8"/>
      <c r="D382" s="8"/>
      <c r="E382" s="8"/>
      <c r="F382" s="9"/>
      <c r="G382" s="10">
        <f>IFERROR(F382*VLOOKUP(D382,TELAS!$A$4:$C$32,3,FALSE()),0)</f>
        <v>0</v>
      </c>
      <c r="H382" s="11" t="str">
        <f>IFERROR(VLOOKUP(E382,COLORES!$A$4:$B$102,2,FALSE()),"")</f>
        <v/>
      </c>
      <c r="I382" s="12">
        <f>IFERROR(IF(H382="OSCURO",VLOOKUP(D382,PRECIOS!$A$4:$F$32,2,FALSE()),IF(H382="CLARO",VLOOKUP(D382,PRECIOS!$A$4:$F$32,3,FALSE()),IF(H382="MELANGE",VLOOKUP(D382,PRECIOS!$A$4:$F$32,4,FALSE()),IF(H382="PPT",VLOOKUP(D382,PRECIOS!$A$4:$F$32,5,FALSE()),0)))),0)</f>
        <v>0</v>
      </c>
      <c r="J382" s="12">
        <f t="shared" si="12"/>
        <v>0</v>
      </c>
      <c r="K382" s="13">
        <f>IFERROR(IF(C382="",0,SUMIFS($F$4:$F$381,$C$4:$C$381,C382,$D$4:$D$381,D382,$E$4:$E$381,E382,$B$4:$B$381,"INGRESO")+SUMIFS($F$4:$F$381,$C$4:$C$381,C382,$D$4:$D$381,D382,$E$4:$E$381,E382,$B$4:$B$381,"DE REPROCESO")+SUMIFS($F$4:$F$381,$C$4:$C$381,C382,$D$4:$D$381,D382,$E$4:$E$381,E382,$B$4:$B$381,"AJUSTE+")-SUMIFS($F$4:$F$381,$C$4:$C$381,C382,$D$4:$D$381,D382,$E$4:$E$381,E382,$B$4:$B$381,"A CORTE")-SUMIFS($F$4:$F$381,$C$4:$C$381,C382,$D$4:$D$381,D382,$E$4:$E$381,E382,$B$4:$B$381,"A REPROCESO")-SUMIFS($F$4:$F$381,$C$4:$C$381,C382,$D$4:$D$381,D382,$E$4:$E$381,E382,$B$4:$B$381,"MUESTRA")-SUMIFS($F$4:$F$381,$C$4:$C$381,C382,$D$4:$D$381,D382,$E$4:$E$381,E382,$B$4:$B$381,"AJUSTE-")),0)</f>
        <v>0</v>
      </c>
      <c r="L382" s="13">
        <f t="shared" si="13"/>
        <v>0</v>
      </c>
      <c r="M382" s="8"/>
      <c r="N382" s="14"/>
      <c r="O382" s="14"/>
      <c r="P382" s="14"/>
      <c r="Q382" s="15"/>
      <c r="R382" s="16" t="str">
        <f t="shared" si="14"/>
        <v/>
      </c>
    </row>
    <row r="383" ht="15.75" customHeight="1">
      <c r="A383" s="7"/>
      <c r="B383" s="8"/>
      <c r="C383" s="8"/>
      <c r="D383" s="8"/>
      <c r="E383" s="8"/>
      <c r="F383" s="9"/>
      <c r="G383" s="10">
        <f>IFERROR(F383*VLOOKUP(D383,TELAS!$A$4:$C$32,3,FALSE()),0)</f>
        <v>0</v>
      </c>
      <c r="H383" s="11" t="str">
        <f>IFERROR(VLOOKUP(E383,COLORES!$A$4:$B$102,2,FALSE()),"")</f>
        <v/>
      </c>
      <c r="I383" s="12">
        <f>IFERROR(IF(H383="OSCURO",VLOOKUP(D383,PRECIOS!$A$4:$F$32,2,FALSE()),IF(H383="CLARO",VLOOKUP(D383,PRECIOS!$A$4:$F$32,3,FALSE()),IF(H383="MELANGE",VLOOKUP(D383,PRECIOS!$A$4:$F$32,4,FALSE()),IF(H383="PPT",VLOOKUP(D383,PRECIOS!$A$4:$F$32,5,FALSE()),0)))),0)</f>
        <v>0</v>
      </c>
      <c r="J383" s="12">
        <f t="shared" si="12"/>
        <v>0</v>
      </c>
      <c r="K383" s="13">
        <f>IFERROR(IF(C383="",0,SUMIFS($F$4:$F$382,$C$4:$C$382,C383,$D$4:$D$382,D383,$E$4:$E$382,E383,$B$4:$B$382,"INGRESO")+SUMIFS($F$4:$F$382,$C$4:$C$382,C383,$D$4:$D$382,D383,$E$4:$E$382,E383,$B$4:$B$382,"DE REPROCESO")+SUMIFS($F$4:$F$382,$C$4:$C$382,C383,$D$4:$D$382,D383,$E$4:$E$382,E383,$B$4:$B$382,"AJUSTE+")-SUMIFS($F$4:$F$382,$C$4:$C$382,C383,$D$4:$D$382,D383,$E$4:$E$382,E383,$B$4:$B$382,"A CORTE")-SUMIFS($F$4:$F$382,$C$4:$C$382,C383,$D$4:$D$382,D383,$E$4:$E$382,E383,$B$4:$B$382,"A REPROCESO")-SUMIFS($F$4:$F$382,$C$4:$C$382,C383,$D$4:$D$382,D383,$E$4:$E$382,E383,$B$4:$B$382,"MUESTRA")-SUMIFS($F$4:$F$382,$C$4:$C$382,C383,$D$4:$D$382,D383,$E$4:$E$382,E383,$B$4:$B$382,"AJUSTE-")),0)</f>
        <v>0</v>
      </c>
      <c r="L383" s="13">
        <f t="shared" si="13"/>
        <v>0</v>
      </c>
      <c r="M383" s="8"/>
      <c r="N383" s="14"/>
      <c r="O383" s="14"/>
      <c r="P383" s="14"/>
      <c r="Q383" s="15"/>
      <c r="R383" s="16" t="str">
        <f t="shared" si="14"/>
        <v/>
      </c>
    </row>
    <row r="384" ht="15.75" customHeight="1">
      <c r="A384" s="7"/>
      <c r="B384" s="8"/>
      <c r="C384" s="8"/>
      <c r="D384" s="8"/>
      <c r="E384" s="8"/>
      <c r="F384" s="9"/>
      <c r="G384" s="10">
        <f>IFERROR(F384*VLOOKUP(D384,TELAS!$A$4:$C$32,3,FALSE()),0)</f>
        <v>0</v>
      </c>
      <c r="H384" s="11" t="str">
        <f>IFERROR(VLOOKUP(E384,COLORES!$A$4:$B$102,2,FALSE()),"")</f>
        <v/>
      </c>
      <c r="I384" s="12">
        <f>IFERROR(IF(H384="OSCURO",VLOOKUP(D384,PRECIOS!$A$4:$F$32,2,FALSE()),IF(H384="CLARO",VLOOKUP(D384,PRECIOS!$A$4:$F$32,3,FALSE()),IF(H384="MELANGE",VLOOKUP(D384,PRECIOS!$A$4:$F$32,4,FALSE()),IF(H384="PPT",VLOOKUP(D384,PRECIOS!$A$4:$F$32,5,FALSE()),0)))),0)</f>
        <v>0</v>
      </c>
      <c r="J384" s="12">
        <f t="shared" si="12"/>
        <v>0</v>
      </c>
      <c r="K384" s="13">
        <f>IFERROR(IF(C384="",0,SUMIFS($F$4:$F$383,$C$4:$C$383,C384,$D$4:$D$383,D384,$E$4:$E$383,E384,$B$4:$B$383,"INGRESO")+SUMIFS($F$4:$F$383,$C$4:$C$383,C384,$D$4:$D$383,D384,$E$4:$E$383,E384,$B$4:$B$383,"DE REPROCESO")+SUMIFS($F$4:$F$383,$C$4:$C$383,C384,$D$4:$D$383,D384,$E$4:$E$383,E384,$B$4:$B$383,"AJUSTE+")-SUMIFS($F$4:$F$383,$C$4:$C$383,C384,$D$4:$D$383,D384,$E$4:$E$383,E384,$B$4:$B$383,"A CORTE")-SUMIFS($F$4:$F$383,$C$4:$C$383,C384,$D$4:$D$383,D384,$E$4:$E$383,E384,$B$4:$B$383,"A REPROCESO")-SUMIFS($F$4:$F$383,$C$4:$C$383,C384,$D$4:$D$383,D384,$E$4:$E$383,E384,$B$4:$B$383,"MUESTRA")-SUMIFS($F$4:$F$383,$C$4:$C$383,C384,$D$4:$D$383,D384,$E$4:$E$383,E384,$B$4:$B$383,"AJUSTE-")),0)</f>
        <v>0</v>
      </c>
      <c r="L384" s="13">
        <f t="shared" si="13"/>
        <v>0</v>
      </c>
      <c r="M384" s="8"/>
      <c r="N384" s="14"/>
      <c r="O384" s="14"/>
      <c r="P384" s="14"/>
      <c r="Q384" s="15"/>
      <c r="R384" s="16" t="str">
        <f t="shared" si="14"/>
        <v/>
      </c>
    </row>
    <row r="385" ht="15.75" customHeight="1">
      <c r="A385" s="7"/>
      <c r="B385" s="8"/>
      <c r="C385" s="8"/>
      <c r="D385" s="8"/>
      <c r="E385" s="8"/>
      <c r="F385" s="9"/>
      <c r="G385" s="10">
        <f>IFERROR(F385*VLOOKUP(D385,TELAS!$A$4:$C$32,3,FALSE()),0)</f>
        <v>0</v>
      </c>
      <c r="H385" s="11" t="str">
        <f>IFERROR(VLOOKUP(E385,COLORES!$A$4:$B$102,2,FALSE()),"")</f>
        <v/>
      </c>
      <c r="I385" s="12">
        <f>IFERROR(IF(H385="OSCURO",VLOOKUP(D385,PRECIOS!$A$4:$F$32,2,FALSE()),IF(H385="CLARO",VLOOKUP(D385,PRECIOS!$A$4:$F$32,3,FALSE()),IF(H385="MELANGE",VLOOKUP(D385,PRECIOS!$A$4:$F$32,4,FALSE()),IF(H385="PPT",VLOOKUP(D385,PRECIOS!$A$4:$F$32,5,FALSE()),0)))),0)</f>
        <v>0</v>
      </c>
      <c r="J385" s="12">
        <f t="shared" si="12"/>
        <v>0</v>
      </c>
      <c r="K385" s="13">
        <f>IFERROR(IF(C385="",0,SUMIFS($F$4:$F$384,$C$4:$C$384,C385,$D$4:$D$384,D385,$E$4:$E$384,E385,$B$4:$B$384,"INGRESO")+SUMIFS($F$4:$F$384,$C$4:$C$384,C385,$D$4:$D$384,D385,$E$4:$E$384,E385,$B$4:$B$384,"DE REPROCESO")+SUMIFS($F$4:$F$384,$C$4:$C$384,C385,$D$4:$D$384,D385,$E$4:$E$384,E385,$B$4:$B$384,"AJUSTE+")-SUMIFS($F$4:$F$384,$C$4:$C$384,C385,$D$4:$D$384,D385,$E$4:$E$384,E385,$B$4:$B$384,"A CORTE")-SUMIFS($F$4:$F$384,$C$4:$C$384,C385,$D$4:$D$384,D385,$E$4:$E$384,E385,$B$4:$B$384,"A REPROCESO")-SUMIFS($F$4:$F$384,$C$4:$C$384,C385,$D$4:$D$384,D385,$E$4:$E$384,E385,$B$4:$B$384,"MUESTRA")-SUMIFS($F$4:$F$384,$C$4:$C$384,C385,$D$4:$D$384,D385,$E$4:$E$384,E385,$B$4:$B$384,"AJUSTE-")),0)</f>
        <v>0</v>
      </c>
      <c r="L385" s="13">
        <f t="shared" si="13"/>
        <v>0</v>
      </c>
      <c r="M385" s="8"/>
      <c r="N385" s="14"/>
      <c r="O385" s="14"/>
      <c r="P385" s="14"/>
      <c r="Q385" s="15"/>
      <c r="R385" s="16" t="str">
        <f t="shared" si="14"/>
        <v/>
      </c>
    </row>
    <row r="386" ht="15.75" customHeight="1">
      <c r="A386" s="7"/>
      <c r="B386" s="8"/>
      <c r="C386" s="8"/>
      <c r="D386" s="8"/>
      <c r="E386" s="8"/>
      <c r="F386" s="9"/>
      <c r="G386" s="10">
        <f>IFERROR(F386*VLOOKUP(D386,TELAS!$A$4:$C$32,3,FALSE()),0)</f>
        <v>0</v>
      </c>
      <c r="H386" s="11" t="str">
        <f>IFERROR(VLOOKUP(E386,COLORES!$A$4:$B$102,2,FALSE()),"")</f>
        <v/>
      </c>
      <c r="I386" s="12">
        <f>IFERROR(IF(H386="OSCURO",VLOOKUP(D386,PRECIOS!$A$4:$F$32,2,FALSE()),IF(H386="CLARO",VLOOKUP(D386,PRECIOS!$A$4:$F$32,3,FALSE()),IF(H386="MELANGE",VLOOKUP(D386,PRECIOS!$A$4:$F$32,4,FALSE()),IF(H386="PPT",VLOOKUP(D386,PRECIOS!$A$4:$F$32,5,FALSE()),0)))),0)</f>
        <v>0</v>
      </c>
      <c r="J386" s="12">
        <f t="shared" si="12"/>
        <v>0</v>
      </c>
      <c r="K386" s="13">
        <f>IFERROR(IF(C386="",0,SUMIFS($F$4:$F$385,$C$4:$C$385,C386,$D$4:$D$385,D386,$E$4:$E$385,E386,$B$4:$B$385,"INGRESO")+SUMIFS($F$4:$F$385,$C$4:$C$385,C386,$D$4:$D$385,D386,$E$4:$E$385,E386,$B$4:$B$385,"DE REPROCESO")+SUMIFS($F$4:$F$385,$C$4:$C$385,C386,$D$4:$D$385,D386,$E$4:$E$385,E386,$B$4:$B$385,"AJUSTE+")-SUMIFS($F$4:$F$385,$C$4:$C$385,C386,$D$4:$D$385,D386,$E$4:$E$385,E386,$B$4:$B$385,"A CORTE")-SUMIFS($F$4:$F$385,$C$4:$C$385,C386,$D$4:$D$385,D386,$E$4:$E$385,E386,$B$4:$B$385,"A REPROCESO")-SUMIFS($F$4:$F$385,$C$4:$C$385,C386,$D$4:$D$385,D386,$E$4:$E$385,E386,$B$4:$B$385,"MUESTRA")-SUMIFS($F$4:$F$385,$C$4:$C$385,C386,$D$4:$D$385,D386,$E$4:$E$385,E386,$B$4:$B$385,"AJUSTE-")),0)</f>
        <v>0</v>
      </c>
      <c r="L386" s="13">
        <f t="shared" si="13"/>
        <v>0</v>
      </c>
      <c r="M386" s="8"/>
      <c r="N386" s="14"/>
      <c r="O386" s="14"/>
      <c r="P386" s="14"/>
      <c r="Q386" s="15"/>
      <c r="R386" s="16" t="str">
        <f t="shared" si="14"/>
        <v/>
      </c>
    </row>
    <row r="387" ht="15.75" customHeight="1">
      <c r="A387" s="7"/>
      <c r="B387" s="8"/>
      <c r="C387" s="8"/>
      <c r="D387" s="8"/>
      <c r="E387" s="8"/>
      <c r="F387" s="9"/>
      <c r="G387" s="10">
        <f>IFERROR(F387*VLOOKUP(D387,TELAS!$A$4:$C$32,3,FALSE()),0)</f>
        <v>0</v>
      </c>
      <c r="H387" s="11" t="str">
        <f>IFERROR(VLOOKUP(E387,COLORES!$A$4:$B$102,2,FALSE()),"")</f>
        <v/>
      </c>
      <c r="I387" s="12">
        <f>IFERROR(IF(H387="OSCURO",VLOOKUP(D387,PRECIOS!$A$4:$F$32,2,FALSE()),IF(H387="CLARO",VLOOKUP(D387,PRECIOS!$A$4:$F$32,3,FALSE()),IF(H387="MELANGE",VLOOKUP(D387,PRECIOS!$A$4:$F$32,4,FALSE()),IF(H387="PPT",VLOOKUP(D387,PRECIOS!$A$4:$F$32,5,FALSE()),0)))),0)</f>
        <v>0</v>
      </c>
      <c r="J387" s="12">
        <f t="shared" si="12"/>
        <v>0</v>
      </c>
      <c r="K387" s="13">
        <f>IFERROR(IF(C387="",0,SUMIFS($F$4:$F$386,$C$4:$C$386,C387,$D$4:$D$386,D387,$E$4:$E$386,E387,$B$4:$B$386,"INGRESO")+SUMIFS($F$4:$F$386,$C$4:$C$386,C387,$D$4:$D$386,D387,$E$4:$E$386,E387,$B$4:$B$386,"DE REPROCESO")+SUMIFS($F$4:$F$386,$C$4:$C$386,C387,$D$4:$D$386,D387,$E$4:$E$386,E387,$B$4:$B$386,"AJUSTE+")-SUMIFS($F$4:$F$386,$C$4:$C$386,C387,$D$4:$D$386,D387,$E$4:$E$386,E387,$B$4:$B$386,"A CORTE")-SUMIFS($F$4:$F$386,$C$4:$C$386,C387,$D$4:$D$386,D387,$E$4:$E$386,E387,$B$4:$B$386,"A REPROCESO")-SUMIFS($F$4:$F$386,$C$4:$C$386,C387,$D$4:$D$386,D387,$E$4:$E$386,E387,$B$4:$B$386,"MUESTRA")-SUMIFS($F$4:$F$386,$C$4:$C$386,C387,$D$4:$D$386,D387,$E$4:$E$386,E387,$B$4:$B$386,"AJUSTE-")),0)</f>
        <v>0</v>
      </c>
      <c r="L387" s="13">
        <f t="shared" si="13"/>
        <v>0</v>
      </c>
      <c r="M387" s="8"/>
      <c r="N387" s="14"/>
      <c r="O387" s="14"/>
      <c r="P387" s="14"/>
      <c r="Q387" s="15"/>
      <c r="R387" s="16" t="str">
        <f t="shared" si="14"/>
        <v/>
      </c>
    </row>
    <row r="388" ht="15.75" customHeight="1">
      <c r="A388" s="7"/>
      <c r="B388" s="8"/>
      <c r="C388" s="8"/>
      <c r="D388" s="8"/>
      <c r="E388" s="8"/>
      <c r="F388" s="9"/>
      <c r="G388" s="10">
        <f>IFERROR(F388*VLOOKUP(D388,TELAS!$A$4:$C$32,3,FALSE()),0)</f>
        <v>0</v>
      </c>
      <c r="H388" s="11" t="str">
        <f>IFERROR(VLOOKUP(E388,COLORES!$A$4:$B$102,2,FALSE()),"")</f>
        <v/>
      </c>
      <c r="I388" s="12">
        <f>IFERROR(IF(H388="OSCURO",VLOOKUP(D388,PRECIOS!$A$4:$F$32,2,FALSE()),IF(H388="CLARO",VLOOKUP(D388,PRECIOS!$A$4:$F$32,3,FALSE()),IF(H388="MELANGE",VLOOKUP(D388,PRECIOS!$A$4:$F$32,4,FALSE()),IF(H388="PPT",VLOOKUP(D388,PRECIOS!$A$4:$F$32,5,FALSE()),0)))),0)</f>
        <v>0</v>
      </c>
      <c r="J388" s="12">
        <f t="shared" si="12"/>
        <v>0</v>
      </c>
      <c r="K388" s="13">
        <f>IFERROR(IF(C388="",0,SUMIFS($F$4:$F$387,$C$4:$C$387,C388,$D$4:$D$387,D388,$E$4:$E$387,E388,$B$4:$B$387,"INGRESO")+SUMIFS($F$4:$F$387,$C$4:$C$387,C388,$D$4:$D$387,D388,$E$4:$E$387,E388,$B$4:$B$387,"DE REPROCESO")+SUMIFS($F$4:$F$387,$C$4:$C$387,C388,$D$4:$D$387,D388,$E$4:$E$387,E388,$B$4:$B$387,"AJUSTE+")-SUMIFS($F$4:$F$387,$C$4:$C$387,C388,$D$4:$D$387,D388,$E$4:$E$387,E388,$B$4:$B$387,"A CORTE")-SUMIFS($F$4:$F$387,$C$4:$C$387,C388,$D$4:$D$387,D388,$E$4:$E$387,E388,$B$4:$B$387,"A REPROCESO")-SUMIFS($F$4:$F$387,$C$4:$C$387,C388,$D$4:$D$387,D388,$E$4:$E$387,E388,$B$4:$B$387,"MUESTRA")-SUMIFS($F$4:$F$387,$C$4:$C$387,C388,$D$4:$D$387,D388,$E$4:$E$387,E388,$B$4:$B$387,"AJUSTE-")),0)</f>
        <v>0</v>
      </c>
      <c r="L388" s="13">
        <f t="shared" si="13"/>
        <v>0</v>
      </c>
      <c r="M388" s="8"/>
      <c r="N388" s="14"/>
      <c r="O388" s="14"/>
      <c r="P388" s="14"/>
      <c r="Q388" s="15"/>
      <c r="R388" s="16" t="str">
        <f t="shared" si="14"/>
        <v/>
      </c>
    </row>
    <row r="389" ht="15.75" customHeight="1">
      <c r="A389" s="7"/>
      <c r="B389" s="8"/>
      <c r="C389" s="8"/>
      <c r="D389" s="8"/>
      <c r="E389" s="8"/>
      <c r="F389" s="9"/>
      <c r="G389" s="10">
        <f>IFERROR(F389*VLOOKUP(D389,TELAS!$A$4:$C$32,3,FALSE()),0)</f>
        <v>0</v>
      </c>
      <c r="H389" s="11" t="str">
        <f>IFERROR(VLOOKUP(E389,COLORES!$A$4:$B$102,2,FALSE()),"")</f>
        <v/>
      </c>
      <c r="I389" s="12">
        <f>IFERROR(IF(H389="OSCURO",VLOOKUP(D389,PRECIOS!$A$4:$F$32,2,FALSE()),IF(H389="CLARO",VLOOKUP(D389,PRECIOS!$A$4:$F$32,3,FALSE()),IF(H389="MELANGE",VLOOKUP(D389,PRECIOS!$A$4:$F$32,4,FALSE()),IF(H389="PPT",VLOOKUP(D389,PRECIOS!$A$4:$F$32,5,FALSE()),0)))),0)</f>
        <v>0</v>
      </c>
      <c r="J389" s="12">
        <f t="shared" si="12"/>
        <v>0</v>
      </c>
      <c r="K389" s="13">
        <f>IFERROR(IF(C389="",0,SUMIFS($F$4:$F$388,$C$4:$C$388,C389,$D$4:$D$388,D389,$E$4:$E$388,E389,$B$4:$B$388,"INGRESO")+SUMIFS($F$4:$F$388,$C$4:$C$388,C389,$D$4:$D$388,D389,$E$4:$E$388,E389,$B$4:$B$388,"DE REPROCESO")+SUMIFS($F$4:$F$388,$C$4:$C$388,C389,$D$4:$D$388,D389,$E$4:$E$388,E389,$B$4:$B$388,"AJUSTE+")-SUMIFS($F$4:$F$388,$C$4:$C$388,C389,$D$4:$D$388,D389,$E$4:$E$388,E389,$B$4:$B$388,"A CORTE")-SUMIFS($F$4:$F$388,$C$4:$C$388,C389,$D$4:$D$388,D389,$E$4:$E$388,E389,$B$4:$B$388,"A REPROCESO")-SUMIFS($F$4:$F$388,$C$4:$C$388,C389,$D$4:$D$388,D389,$E$4:$E$388,E389,$B$4:$B$388,"MUESTRA")-SUMIFS($F$4:$F$388,$C$4:$C$388,C389,$D$4:$D$388,D389,$E$4:$E$388,E389,$B$4:$B$388,"AJUSTE-")),0)</f>
        <v>0</v>
      </c>
      <c r="L389" s="13">
        <f t="shared" si="13"/>
        <v>0</v>
      </c>
      <c r="M389" s="8"/>
      <c r="N389" s="14"/>
      <c r="O389" s="14"/>
      <c r="P389" s="14"/>
      <c r="Q389" s="15"/>
      <c r="R389" s="16" t="str">
        <f t="shared" si="14"/>
        <v/>
      </c>
    </row>
    <row r="390" ht="15.75" customHeight="1">
      <c r="A390" s="7"/>
      <c r="B390" s="8"/>
      <c r="C390" s="8"/>
      <c r="D390" s="8"/>
      <c r="E390" s="8"/>
      <c r="F390" s="9"/>
      <c r="G390" s="10">
        <f>IFERROR(F390*VLOOKUP(D390,TELAS!$A$4:$C$32,3,FALSE()),0)</f>
        <v>0</v>
      </c>
      <c r="H390" s="11" t="str">
        <f>IFERROR(VLOOKUP(E390,COLORES!$A$4:$B$102,2,FALSE()),"")</f>
        <v/>
      </c>
      <c r="I390" s="12">
        <f>IFERROR(IF(H390="OSCURO",VLOOKUP(D390,PRECIOS!$A$4:$F$32,2,FALSE()),IF(H390="CLARO",VLOOKUP(D390,PRECIOS!$A$4:$F$32,3,FALSE()),IF(H390="MELANGE",VLOOKUP(D390,PRECIOS!$A$4:$F$32,4,FALSE()),IF(H390="PPT",VLOOKUP(D390,PRECIOS!$A$4:$F$32,5,FALSE()),0)))),0)</f>
        <v>0</v>
      </c>
      <c r="J390" s="12">
        <f t="shared" si="12"/>
        <v>0</v>
      </c>
      <c r="K390" s="13">
        <f>IFERROR(IF(C390="",0,SUMIFS($F$4:$F$389,$C$4:$C$389,C390,$D$4:$D$389,D390,$E$4:$E$389,E390,$B$4:$B$389,"INGRESO")+SUMIFS($F$4:$F$389,$C$4:$C$389,C390,$D$4:$D$389,D390,$E$4:$E$389,E390,$B$4:$B$389,"DE REPROCESO")+SUMIFS($F$4:$F$389,$C$4:$C$389,C390,$D$4:$D$389,D390,$E$4:$E$389,E390,$B$4:$B$389,"AJUSTE+")-SUMIFS($F$4:$F$389,$C$4:$C$389,C390,$D$4:$D$389,D390,$E$4:$E$389,E390,$B$4:$B$389,"A CORTE")-SUMIFS($F$4:$F$389,$C$4:$C$389,C390,$D$4:$D$389,D390,$E$4:$E$389,E390,$B$4:$B$389,"A REPROCESO")-SUMIFS($F$4:$F$389,$C$4:$C$389,C390,$D$4:$D$389,D390,$E$4:$E$389,E390,$B$4:$B$389,"MUESTRA")-SUMIFS($F$4:$F$389,$C$4:$C$389,C390,$D$4:$D$389,D390,$E$4:$E$389,E390,$B$4:$B$389,"AJUSTE-")),0)</f>
        <v>0</v>
      </c>
      <c r="L390" s="13">
        <f t="shared" si="13"/>
        <v>0</v>
      </c>
      <c r="M390" s="8"/>
      <c r="N390" s="14"/>
      <c r="O390" s="14"/>
      <c r="P390" s="14"/>
      <c r="Q390" s="15"/>
      <c r="R390" s="16" t="str">
        <f t="shared" si="14"/>
        <v/>
      </c>
    </row>
    <row r="391" ht="15.75" customHeight="1">
      <c r="A391" s="7"/>
      <c r="B391" s="8"/>
      <c r="C391" s="8"/>
      <c r="D391" s="8"/>
      <c r="E391" s="8"/>
      <c r="F391" s="9"/>
      <c r="G391" s="10">
        <f>IFERROR(F391*VLOOKUP(D391,TELAS!$A$4:$C$32,3,FALSE()),0)</f>
        <v>0</v>
      </c>
      <c r="H391" s="11" t="str">
        <f>IFERROR(VLOOKUP(E391,COLORES!$A$4:$B$102,2,FALSE()),"")</f>
        <v/>
      </c>
      <c r="I391" s="12">
        <f>IFERROR(IF(H391="OSCURO",VLOOKUP(D391,PRECIOS!$A$4:$F$32,2,FALSE()),IF(H391="CLARO",VLOOKUP(D391,PRECIOS!$A$4:$F$32,3,FALSE()),IF(H391="MELANGE",VLOOKUP(D391,PRECIOS!$A$4:$F$32,4,FALSE()),IF(H391="PPT",VLOOKUP(D391,PRECIOS!$A$4:$F$32,5,FALSE()),0)))),0)</f>
        <v>0</v>
      </c>
      <c r="J391" s="12">
        <f t="shared" si="12"/>
        <v>0</v>
      </c>
      <c r="K391" s="13">
        <f>IFERROR(IF(C391="",0,SUMIFS($F$4:$F$390,$C$4:$C$390,C391,$D$4:$D$390,D391,$E$4:$E$390,E391,$B$4:$B$390,"INGRESO")+SUMIFS($F$4:$F$390,$C$4:$C$390,C391,$D$4:$D$390,D391,$E$4:$E$390,E391,$B$4:$B$390,"DE REPROCESO")+SUMIFS($F$4:$F$390,$C$4:$C$390,C391,$D$4:$D$390,D391,$E$4:$E$390,E391,$B$4:$B$390,"AJUSTE+")-SUMIFS($F$4:$F$390,$C$4:$C$390,C391,$D$4:$D$390,D391,$E$4:$E$390,E391,$B$4:$B$390,"A CORTE")-SUMIFS($F$4:$F$390,$C$4:$C$390,C391,$D$4:$D$390,D391,$E$4:$E$390,E391,$B$4:$B$390,"A REPROCESO")-SUMIFS($F$4:$F$390,$C$4:$C$390,C391,$D$4:$D$390,D391,$E$4:$E$390,E391,$B$4:$B$390,"MUESTRA")-SUMIFS($F$4:$F$390,$C$4:$C$390,C391,$D$4:$D$390,D391,$E$4:$E$390,E391,$B$4:$B$390,"AJUSTE-")),0)</f>
        <v>0</v>
      </c>
      <c r="L391" s="13">
        <f t="shared" si="13"/>
        <v>0</v>
      </c>
      <c r="M391" s="8"/>
      <c r="N391" s="14"/>
      <c r="O391" s="14"/>
      <c r="P391" s="14"/>
      <c r="Q391" s="15"/>
      <c r="R391" s="16" t="str">
        <f t="shared" si="14"/>
        <v/>
      </c>
    </row>
    <row r="392" ht="15.75" customHeight="1">
      <c r="A392" s="7"/>
      <c r="B392" s="8"/>
      <c r="C392" s="8"/>
      <c r="D392" s="8"/>
      <c r="E392" s="8"/>
      <c r="F392" s="9"/>
      <c r="G392" s="10">
        <f>IFERROR(F392*VLOOKUP(D392,TELAS!$A$4:$C$32,3,FALSE()),0)</f>
        <v>0</v>
      </c>
      <c r="H392" s="11" t="str">
        <f>IFERROR(VLOOKUP(E392,COLORES!$A$4:$B$102,2,FALSE()),"")</f>
        <v/>
      </c>
      <c r="I392" s="12">
        <f>IFERROR(IF(H392="OSCURO",VLOOKUP(D392,PRECIOS!$A$4:$F$32,2,FALSE()),IF(H392="CLARO",VLOOKUP(D392,PRECIOS!$A$4:$F$32,3,FALSE()),IF(H392="MELANGE",VLOOKUP(D392,PRECIOS!$A$4:$F$32,4,FALSE()),IF(H392="PPT",VLOOKUP(D392,PRECIOS!$A$4:$F$32,5,FALSE()),0)))),0)</f>
        <v>0</v>
      </c>
      <c r="J392" s="12">
        <f t="shared" si="12"/>
        <v>0</v>
      </c>
      <c r="K392" s="13">
        <f>IFERROR(IF(C392="",0,SUMIFS($F$4:$F$391,$C$4:$C$391,C392,$D$4:$D$391,D392,$E$4:$E$391,E392,$B$4:$B$391,"INGRESO")+SUMIFS($F$4:$F$391,$C$4:$C$391,C392,$D$4:$D$391,D392,$E$4:$E$391,E392,$B$4:$B$391,"DE REPROCESO")+SUMIFS($F$4:$F$391,$C$4:$C$391,C392,$D$4:$D$391,D392,$E$4:$E$391,E392,$B$4:$B$391,"AJUSTE+")-SUMIFS($F$4:$F$391,$C$4:$C$391,C392,$D$4:$D$391,D392,$E$4:$E$391,E392,$B$4:$B$391,"A CORTE")-SUMIFS($F$4:$F$391,$C$4:$C$391,C392,$D$4:$D$391,D392,$E$4:$E$391,E392,$B$4:$B$391,"A REPROCESO")-SUMIFS($F$4:$F$391,$C$4:$C$391,C392,$D$4:$D$391,D392,$E$4:$E$391,E392,$B$4:$B$391,"MUESTRA")-SUMIFS($F$4:$F$391,$C$4:$C$391,C392,$D$4:$D$391,D392,$E$4:$E$391,E392,$B$4:$B$391,"AJUSTE-")),0)</f>
        <v>0</v>
      </c>
      <c r="L392" s="13">
        <f t="shared" si="13"/>
        <v>0</v>
      </c>
      <c r="M392" s="8"/>
      <c r="N392" s="14"/>
      <c r="O392" s="14"/>
      <c r="P392" s="14"/>
      <c r="Q392" s="15"/>
      <c r="R392" s="16" t="str">
        <f t="shared" si="14"/>
        <v/>
      </c>
    </row>
    <row r="393" ht="15.75" customHeight="1">
      <c r="A393" s="7"/>
      <c r="B393" s="8"/>
      <c r="C393" s="8"/>
      <c r="D393" s="8"/>
      <c r="E393" s="8"/>
      <c r="F393" s="9"/>
      <c r="G393" s="10">
        <f>IFERROR(F393*VLOOKUP(D393,TELAS!$A$4:$C$32,3,FALSE()),0)</f>
        <v>0</v>
      </c>
      <c r="H393" s="11" t="str">
        <f>IFERROR(VLOOKUP(E393,COLORES!$A$4:$B$102,2,FALSE()),"")</f>
        <v/>
      </c>
      <c r="I393" s="12">
        <f>IFERROR(IF(H393="OSCURO",VLOOKUP(D393,PRECIOS!$A$4:$F$32,2,FALSE()),IF(H393="CLARO",VLOOKUP(D393,PRECIOS!$A$4:$F$32,3,FALSE()),IF(H393="MELANGE",VLOOKUP(D393,PRECIOS!$A$4:$F$32,4,FALSE()),IF(H393="PPT",VLOOKUP(D393,PRECIOS!$A$4:$F$32,5,FALSE()),0)))),0)</f>
        <v>0</v>
      </c>
      <c r="J393" s="12">
        <f t="shared" si="12"/>
        <v>0</v>
      </c>
      <c r="K393" s="13">
        <f>IFERROR(IF(C393="",0,SUMIFS($F$4:$F$392,$C$4:$C$392,C393,$D$4:$D$392,D393,$E$4:$E$392,E393,$B$4:$B$392,"INGRESO")+SUMIFS($F$4:$F$392,$C$4:$C$392,C393,$D$4:$D$392,D393,$E$4:$E$392,E393,$B$4:$B$392,"DE REPROCESO")+SUMIFS($F$4:$F$392,$C$4:$C$392,C393,$D$4:$D$392,D393,$E$4:$E$392,E393,$B$4:$B$392,"AJUSTE+")-SUMIFS($F$4:$F$392,$C$4:$C$392,C393,$D$4:$D$392,D393,$E$4:$E$392,E393,$B$4:$B$392,"A CORTE")-SUMIFS($F$4:$F$392,$C$4:$C$392,C393,$D$4:$D$392,D393,$E$4:$E$392,E393,$B$4:$B$392,"A REPROCESO")-SUMIFS($F$4:$F$392,$C$4:$C$392,C393,$D$4:$D$392,D393,$E$4:$E$392,E393,$B$4:$B$392,"MUESTRA")-SUMIFS($F$4:$F$392,$C$4:$C$392,C393,$D$4:$D$392,D393,$E$4:$E$392,E393,$B$4:$B$392,"AJUSTE-")),0)</f>
        <v>0</v>
      </c>
      <c r="L393" s="13">
        <f t="shared" si="13"/>
        <v>0</v>
      </c>
      <c r="M393" s="8"/>
      <c r="N393" s="14"/>
      <c r="O393" s="14"/>
      <c r="P393" s="14"/>
      <c r="Q393" s="15"/>
      <c r="R393" s="16" t="str">
        <f t="shared" si="14"/>
        <v/>
      </c>
    </row>
    <row r="394" ht="15.75" customHeight="1">
      <c r="A394" s="7"/>
      <c r="B394" s="8"/>
      <c r="C394" s="8"/>
      <c r="D394" s="8"/>
      <c r="E394" s="8"/>
      <c r="F394" s="9"/>
      <c r="G394" s="10">
        <f>IFERROR(F394*VLOOKUP(D394,TELAS!$A$4:$C$32,3,FALSE()),0)</f>
        <v>0</v>
      </c>
      <c r="H394" s="11" t="str">
        <f>IFERROR(VLOOKUP(E394,COLORES!$A$4:$B$102,2,FALSE()),"")</f>
        <v/>
      </c>
      <c r="I394" s="12">
        <f>IFERROR(IF(H394="OSCURO",VLOOKUP(D394,PRECIOS!$A$4:$F$32,2,FALSE()),IF(H394="CLARO",VLOOKUP(D394,PRECIOS!$A$4:$F$32,3,FALSE()),IF(H394="MELANGE",VLOOKUP(D394,PRECIOS!$A$4:$F$32,4,FALSE()),IF(H394="PPT",VLOOKUP(D394,PRECIOS!$A$4:$F$32,5,FALSE()),0)))),0)</f>
        <v>0</v>
      </c>
      <c r="J394" s="12">
        <f t="shared" si="12"/>
        <v>0</v>
      </c>
      <c r="K394" s="13">
        <f>IFERROR(IF(C394="",0,SUMIFS($F$4:$F$393,$C$4:$C$393,C394,$D$4:$D$393,D394,$E$4:$E$393,E394,$B$4:$B$393,"INGRESO")+SUMIFS($F$4:$F$393,$C$4:$C$393,C394,$D$4:$D$393,D394,$E$4:$E$393,E394,$B$4:$B$393,"DE REPROCESO")+SUMIFS($F$4:$F$393,$C$4:$C$393,C394,$D$4:$D$393,D394,$E$4:$E$393,E394,$B$4:$B$393,"AJUSTE+")-SUMIFS($F$4:$F$393,$C$4:$C$393,C394,$D$4:$D$393,D394,$E$4:$E$393,E394,$B$4:$B$393,"A CORTE")-SUMIFS($F$4:$F$393,$C$4:$C$393,C394,$D$4:$D$393,D394,$E$4:$E$393,E394,$B$4:$B$393,"A REPROCESO")-SUMIFS($F$4:$F$393,$C$4:$C$393,C394,$D$4:$D$393,D394,$E$4:$E$393,E394,$B$4:$B$393,"MUESTRA")-SUMIFS($F$4:$F$393,$C$4:$C$393,C394,$D$4:$D$393,D394,$E$4:$E$393,E394,$B$4:$B$393,"AJUSTE-")),0)</f>
        <v>0</v>
      </c>
      <c r="L394" s="13">
        <f t="shared" si="13"/>
        <v>0</v>
      </c>
      <c r="M394" s="8"/>
      <c r="N394" s="14"/>
      <c r="O394" s="14"/>
      <c r="P394" s="14"/>
      <c r="Q394" s="15"/>
      <c r="R394" s="16" t="str">
        <f t="shared" si="14"/>
        <v/>
      </c>
    </row>
    <row r="395" ht="15.75" customHeight="1">
      <c r="A395" s="7"/>
      <c r="B395" s="8"/>
      <c r="C395" s="8"/>
      <c r="D395" s="8"/>
      <c r="E395" s="8"/>
      <c r="F395" s="9"/>
      <c r="G395" s="10">
        <f>IFERROR(F395*VLOOKUP(D395,TELAS!$A$4:$C$32,3,FALSE()),0)</f>
        <v>0</v>
      </c>
      <c r="H395" s="11" t="str">
        <f>IFERROR(VLOOKUP(E395,COLORES!$A$4:$B$102,2,FALSE()),"")</f>
        <v/>
      </c>
      <c r="I395" s="12">
        <f>IFERROR(IF(H395="OSCURO",VLOOKUP(D395,PRECIOS!$A$4:$F$32,2,FALSE()),IF(H395="CLARO",VLOOKUP(D395,PRECIOS!$A$4:$F$32,3,FALSE()),IF(H395="MELANGE",VLOOKUP(D395,PRECIOS!$A$4:$F$32,4,FALSE()),IF(H395="PPT",VLOOKUP(D395,PRECIOS!$A$4:$F$32,5,FALSE()),0)))),0)</f>
        <v>0</v>
      </c>
      <c r="J395" s="12">
        <f t="shared" si="12"/>
        <v>0</v>
      </c>
      <c r="K395" s="13">
        <f>IFERROR(IF(C395="",0,SUMIFS($F$4:$F$394,$C$4:$C$394,C395,$D$4:$D$394,D395,$E$4:$E$394,E395,$B$4:$B$394,"INGRESO")+SUMIFS($F$4:$F$394,$C$4:$C$394,C395,$D$4:$D$394,D395,$E$4:$E$394,E395,$B$4:$B$394,"DE REPROCESO")+SUMIFS($F$4:$F$394,$C$4:$C$394,C395,$D$4:$D$394,D395,$E$4:$E$394,E395,$B$4:$B$394,"AJUSTE+")-SUMIFS($F$4:$F$394,$C$4:$C$394,C395,$D$4:$D$394,D395,$E$4:$E$394,E395,$B$4:$B$394,"A CORTE")-SUMIFS($F$4:$F$394,$C$4:$C$394,C395,$D$4:$D$394,D395,$E$4:$E$394,E395,$B$4:$B$394,"A REPROCESO")-SUMIFS($F$4:$F$394,$C$4:$C$394,C395,$D$4:$D$394,D395,$E$4:$E$394,E395,$B$4:$B$394,"MUESTRA")-SUMIFS($F$4:$F$394,$C$4:$C$394,C395,$D$4:$D$394,D395,$E$4:$E$394,E395,$B$4:$B$394,"AJUSTE-")),0)</f>
        <v>0</v>
      </c>
      <c r="L395" s="13">
        <f t="shared" si="13"/>
        <v>0</v>
      </c>
      <c r="M395" s="8"/>
      <c r="N395" s="14"/>
      <c r="O395" s="14"/>
      <c r="P395" s="14"/>
      <c r="Q395" s="15"/>
      <c r="R395" s="16" t="str">
        <f t="shared" si="14"/>
        <v/>
      </c>
    </row>
    <row r="396" ht="15.75" customHeight="1">
      <c r="A396" s="7"/>
      <c r="B396" s="8"/>
      <c r="C396" s="8"/>
      <c r="D396" s="8"/>
      <c r="E396" s="8"/>
      <c r="F396" s="9"/>
      <c r="G396" s="10">
        <f>IFERROR(F396*VLOOKUP(D396,TELAS!$A$4:$C$32,3,FALSE()),0)</f>
        <v>0</v>
      </c>
      <c r="H396" s="11" t="str">
        <f>IFERROR(VLOOKUP(E396,COLORES!$A$4:$B$102,2,FALSE()),"")</f>
        <v/>
      </c>
      <c r="I396" s="12">
        <f>IFERROR(IF(H396="OSCURO",VLOOKUP(D396,PRECIOS!$A$4:$F$32,2,FALSE()),IF(H396="CLARO",VLOOKUP(D396,PRECIOS!$A$4:$F$32,3,FALSE()),IF(H396="MELANGE",VLOOKUP(D396,PRECIOS!$A$4:$F$32,4,FALSE()),IF(H396="PPT",VLOOKUP(D396,PRECIOS!$A$4:$F$32,5,FALSE()),0)))),0)</f>
        <v>0</v>
      </c>
      <c r="J396" s="12">
        <f t="shared" si="12"/>
        <v>0</v>
      </c>
      <c r="K396" s="13">
        <f>IFERROR(IF(C396="",0,SUMIFS($F$4:$F$395,$C$4:$C$395,C396,$D$4:$D$395,D396,$E$4:$E$395,E396,$B$4:$B$395,"INGRESO")+SUMIFS($F$4:$F$395,$C$4:$C$395,C396,$D$4:$D$395,D396,$E$4:$E$395,E396,$B$4:$B$395,"DE REPROCESO")+SUMIFS($F$4:$F$395,$C$4:$C$395,C396,$D$4:$D$395,D396,$E$4:$E$395,E396,$B$4:$B$395,"AJUSTE+")-SUMIFS($F$4:$F$395,$C$4:$C$395,C396,$D$4:$D$395,D396,$E$4:$E$395,E396,$B$4:$B$395,"A CORTE")-SUMIFS($F$4:$F$395,$C$4:$C$395,C396,$D$4:$D$395,D396,$E$4:$E$395,E396,$B$4:$B$395,"A REPROCESO")-SUMIFS($F$4:$F$395,$C$4:$C$395,C396,$D$4:$D$395,D396,$E$4:$E$395,E396,$B$4:$B$395,"MUESTRA")-SUMIFS($F$4:$F$395,$C$4:$C$395,C396,$D$4:$D$395,D396,$E$4:$E$395,E396,$B$4:$B$395,"AJUSTE-")),0)</f>
        <v>0</v>
      </c>
      <c r="L396" s="13">
        <f t="shared" si="13"/>
        <v>0</v>
      </c>
      <c r="M396" s="8"/>
      <c r="N396" s="14"/>
      <c r="O396" s="14"/>
      <c r="P396" s="14"/>
      <c r="Q396" s="15"/>
      <c r="R396" s="16" t="str">
        <f t="shared" si="14"/>
        <v/>
      </c>
    </row>
    <row r="397" ht="15.75" customHeight="1">
      <c r="A397" s="7"/>
      <c r="B397" s="8"/>
      <c r="C397" s="8"/>
      <c r="D397" s="8"/>
      <c r="E397" s="8"/>
      <c r="F397" s="9"/>
      <c r="G397" s="10">
        <f>IFERROR(F397*VLOOKUP(D397,TELAS!$A$4:$C$32,3,FALSE()),0)</f>
        <v>0</v>
      </c>
      <c r="H397" s="11" t="str">
        <f>IFERROR(VLOOKUP(E397,COLORES!$A$4:$B$102,2,FALSE()),"")</f>
        <v/>
      </c>
      <c r="I397" s="12">
        <f>IFERROR(IF(H397="OSCURO",VLOOKUP(D397,PRECIOS!$A$4:$F$32,2,FALSE()),IF(H397="CLARO",VLOOKUP(D397,PRECIOS!$A$4:$F$32,3,FALSE()),IF(H397="MELANGE",VLOOKUP(D397,PRECIOS!$A$4:$F$32,4,FALSE()),IF(H397="PPT",VLOOKUP(D397,PRECIOS!$A$4:$F$32,5,FALSE()),0)))),0)</f>
        <v>0</v>
      </c>
      <c r="J397" s="12">
        <f t="shared" si="12"/>
        <v>0</v>
      </c>
      <c r="K397" s="13">
        <f>IFERROR(IF(C397="",0,SUMIFS($F$4:$F$396,$C$4:$C$396,C397,$D$4:$D$396,D397,$E$4:$E$396,E397,$B$4:$B$396,"INGRESO")+SUMIFS($F$4:$F$396,$C$4:$C$396,C397,$D$4:$D$396,D397,$E$4:$E$396,E397,$B$4:$B$396,"DE REPROCESO")+SUMIFS($F$4:$F$396,$C$4:$C$396,C397,$D$4:$D$396,D397,$E$4:$E$396,E397,$B$4:$B$396,"AJUSTE+")-SUMIFS($F$4:$F$396,$C$4:$C$396,C397,$D$4:$D$396,D397,$E$4:$E$396,E397,$B$4:$B$396,"A CORTE")-SUMIFS($F$4:$F$396,$C$4:$C$396,C397,$D$4:$D$396,D397,$E$4:$E$396,E397,$B$4:$B$396,"A REPROCESO")-SUMIFS($F$4:$F$396,$C$4:$C$396,C397,$D$4:$D$396,D397,$E$4:$E$396,E397,$B$4:$B$396,"MUESTRA")-SUMIFS($F$4:$F$396,$C$4:$C$396,C397,$D$4:$D$396,D397,$E$4:$E$396,E397,$B$4:$B$396,"AJUSTE-")),0)</f>
        <v>0</v>
      </c>
      <c r="L397" s="13">
        <f t="shared" si="13"/>
        <v>0</v>
      </c>
      <c r="M397" s="8"/>
      <c r="N397" s="14"/>
      <c r="O397" s="14"/>
      <c r="P397" s="14"/>
      <c r="Q397" s="15"/>
      <c r="R397" s="16" t="str">
        <f t="shared" si="14"/>
        <v/>
      </c>
    </row>
    <row r="398" ht="15.75" customHeight="1">
      <c r="A398" s="7"/>
      <c r="B398" s="8"/>
      <c r="C398" s="8"/>
      <c r="D398" s="8"/>
      <c r="E398" s="8"/>
      <c r="F398" s="9"/>
      <c r="G398" s="10">
        <f>IFERROR(F398*VLOOKUP(D398,TELAS!$A$4:$C$32,3,FALSE()),0)</f>
        <v>0</v>
      </c>
      <c r="H398" s="11" t="str">
        <f>IFERROR(VLOOKUP(E398,COLORES!$A$4:$B$102,2,FALSE()),"")</f>
        <v/>
      </c>
      <c r="I398" s="12">
        <f>IFERROR(IF(H398="OSCURO",VLOOKUP(D398,PRECIOS!$A$4:$F$32,2,FALSE()),IF(H398="CLARO",VLOOKUP(D398,PRECIOS!$A$4:$F$32,3,FALSE()),IF(H398="MELANGE",VLOOKUP(D398,PRECIOS!$A$4:$F$32,4,FALSE()),IF(H398="PPT",VLOOKUP(D398,PRECIOS!$A$4:$F$32,5,FALSE()),0)))),0)</f>
        <v>0</v>
      </c>
      <c r="J398" s="12">
        <f t="shared" si="12"/>
        <v>0</v>
      </c>
      <c r="K398" s="13">
        <f>IFERROR(IF(C398="",0,SUMIFS($F$4:$F$397,$C$4:$C$397,C398,$D$4:$D$397,D398,$E$4:$E$397,E398,$B$4:$B$397,"INGRESO")+SUMIFS($F$4:$F$397,$C$4:$C$397,C398,$D$4:$D$397,D398,$E$4:$E$397,E398,$B$4:$B$397,"DE REPROCESO")+SUMIFS($F$4:$F$397,$C$4:$C$397,C398,$D$4:$D$397,D398,$E$4:$E$397,E398,$B$4:$B$397,"AJUSTE+")-SUMIFS($F$4:$F$397,$C$4:$C$397,C398,$D$4:$D$397,D398,$E$4:$E$397,E398,$B$4:$B$397,"A CORTE")-SUMIFS($F$4:$F$397,$C$4:$C$397,C398,$D$4:$D$397,D398,$E$4:$E$397,E398,$B$4:$B$397,"A REPROCESO")-SUMIFS($F$4:$F$397,$C$4:$C$397,C398,$D$4:$D$397,D398,$E$4:$E$397,E398,$B$4:$B$397,"MUESTRA")-SUMIFS($F$4:$F$397,$C$4:$C$397,C398,$D$4:$D$397,D398,$E$4:$E$397,E398,$B$4:$B$397,"AJUSTE-")),0)</f>
        <v>0</v>
      </c>
      <c r="L398" s="13">
        <f t="shared" si="13"/>
        <v>0</v>
      </c>
      <c r="M398" s="8"/>
      <c r="N398" s="14"/>
      <c r="O398" s="14"/>
      <c r="P398" s="14"/>
      <c r="Q398" s="15"/>
      <c r="R398" s="16" t="str">
        <f t="shared" si="14"/>
        <v/>
      </c>
    </row>
    <row r="399" ht="15.75" customHeight="1">
      <c r="A399" s="7"/>
      <c r="B399" s="8"/>
      <c r="C399" s="8"/>
      <c r="D399" s="8"/>
      <c r="E399" s="8"/>
      <c r="F399" s="9"/>
      <c r="G399" s="10">
        <f>IFERROR(F399*VLOOKUP(D399,TELAS!$A$4:$C$32,3,FALSE()),0)</f>
        <v>0</v>
      </c>
      <c r="H399" s="11" t="str">
        <f>IFERROR(VLOOKUP(E399,COLORES!$A$4:$B$102,2,FALSE()),"")</f>
        <v/>
      </c>
      <c r="I399" s="12">
        <f>IFERROR(IF(H399="OSCURO",VLOOKUP(D399,PRECIOS!$A$4:$F$32,2,FALSE()),IF(H399="CLARO",VLOOKUP(D399,PRECIOS!$A$4:$F$32,3,FALSE()),IF(H399="MELANGE",VLOOKUP(D399,PRECIOS!$A$4:$F$32,4,FALSE()),IF(H399="PPT",VLOOKUP(D399,PRECIOS!$A$4:$F$32,5,FALSE()),0)))),0)</f>
        <v>0</v>
      </c>
      <c r="J399" s="12">
        <f t="shared" si="12"/>
        <v>0</v>
      </c>
      <c r="K399" s="13">
        <f>IFERROR(IF(C399="",0,SUMIFS($F$4:$F$398,$C$4:$C$398,C399,$D$4:$D$398,D399,$E$4:$E$398,E399,$B$4:$B$398,"INGRESO")+SUMIFS($F$4:$F$398,$C$4:$C$398,C399,$D$4:$D$398,D399,$E$4:$E$398,E399,$B$4:$B$398,"DE REPROCESO")+SUMIFS($F$4:$F$398,$C$4:$C$398,C399,$D$4:$D$398,D399,$E$4:$E$398,E399,$B$4:$B$398,"AJUSTE+")-SUMIFS($F$4:$F$398,$C$4:$C$398,C399,$D$4:$D$398,D399,$E$4:$E$398,E399,$B$4:$B$398,"A CORTE")-SUMIFS($F$4:$F$398,$C$4:$C$398,C399,$D$4:$D$398,D399,$E$4:$E$398,E399,$B$4:$B$398,"A REPROCESO")-SUMIFS($F$4:$F$398,$C$4:$C$398,C399,$D$4:$D$398,D399,$E$4:$E$398,E399,$B$4:$B$398,"MUESTRA")-SUMIFS($F$4:$F$398,$C$4:$C$398,C399,$D$4:$D$398,D399,$E$4:$E$398,E399,$B$4:$B$398,"AJUSTE-")),0)</f>
        <v>0</v>
      </c>
      <c r="L399" s="13">
        <f t="shared" si="13"/>
        <v>0</v>
      </c>
      <c r="M399" s="8"/>
      <c r="N399" s="14"/>
      <c r="O399" s="14"/>
      <c r="P399" s="14"/>
      <c r="Q399" s="15"/>
      <c r="R399" s="16" t="str">
        <f t="shared" si="14"/>
        <v/>
      </c>
    </row>
    <row r="400" ht="15.75" customHeight="1">
      <c r="A400" s="7"/>
      <c r="B400" s="8"/>
      <c r="C400" s="8"/>
      <c r="D400" s="8"/>
      <c r="E400" s="8"/>
      <c r="F400" s="9"/>
      <c r="G400" s="10">
        <f>IFERROR(F400*VLOOKUP(D400,TELAS!$A$4:$C$32,3,FALSE()),0)</f>
        <v>0</v>
      </c>
      <c r="H400" s="11" t="str">
        <f>IFERROR(VLOOKUP(E400,COLORES!$A$4:$B$102,2,FALSE()),"")</f>
        <v/>
      </c>
      <c r="I400" s="12">
        <f>IFERROR(IF(H400="OSCURO",VLOOKUP(D400,PRECIOS!$A$4:$F$32,2,FALSE()),IF(H400="CLARO",VLOOKUP(D400,PRECIOS!$A$4:$F$32,3,FALSE()),IF(H400="MELANGE",VLOOKUP(D400,PRECIOS!$A$4:$F$32,4,FALSE()),IF(H400="PPT",VLOOKUP(D400,PRECIOS!$A$4:$F$32,5,FALSE()),0)))),0)</f>
        <v>0</v>
      </c>
      <c r="J400" s="12">
        <f t="shared" si="12"/>
        <v>0</v>
      </c>
      <c r="K400" s="13">
        <f>IFERROR(IF(C400="",0,SUMIFS($F$4:$F$399,$C$4:$C$399,C400,$D$4:$D$399,D400,$E$4:$E$399,E400,$B$4:$B$399,"INGRESO")+SUMIFS($F$4:$F$399,$C$4:$C$399,C400,$D$4:$D$399,D400,$E$4:$E$399,E400,$B$4:$B$399,"DE REPROCESO")+SUMIFS($F$4:$F$399,$C$4:$C$399,C400,$D$4:$D$399,D400,$E$4:$E$399,E400,$B$4:$B$399,"AJUSTE+")-SUMIFS($F$4:$F$399,$C$4:$C$399,C400,$D$4:$D$399,D400,$E$4:$E$399,E400,$B$4:$B$399,"A CORTE")-SUMIFS($F$4:$F$399,$C$4:$C$399,C400,$D$4:$D$399,D400,$E$4:$E$399,E400,$B$4:$B$399,"A REPROCESO")-SUMIFS($F$4:$F$399,$C$4:$C$399,C400,$D$4:$D$399,D400,$E$4:$E$399,E400,$B$4:$B$399,"MUESTRA")-SUMIFS($F$4:$F$399,$C$4:$C$399,C400,$D$4:$D$399,D400,$E$4:$E$399,E400,$B$4:$B$399,"AJUSTE-")),0)</f>
        <v>0</v>
      </c>
      <c r="L400" s="13">
        <f t="shared" si="13"/>
        <v>0</v>
      </c>
      <c r="M400" s="8"/>
      <c r="N400" s="14"/>
      <c r="O400" s="14"/>
      <c r="P400" s="14"/>
      <c r="Q400" s="15"/>
      <c r="R400" s="16" t="str">
        <f t="shared" si="14"/>
        <v/>
      </c>
    </row>
    <row r="401" ht="15.75" customHeight="1">
      <c r="A401" s="7"/>
      <c r="B401" s="8"/>
      <c r="C401" s="8"/>
      <c r="D401" s="8"/>
      <c r="E401" s="8"/>
      <c r="F401" s="9"/>
      <c r="G401" s="10">
        <f>IFERROR(F401*VLOOKUP(D401,TELAS!$A$4:$C$32,3,FALSE()),0)</f>
        <v>0</v>
      </c>
      <c r="H401" s="11" t="str">
        <f>IFERROR(VLOOKUP(E401,COLORES!$A$4:$B$102,2,FALSE()),"")</f>
        <v/>
      </c>
      <c r="I401" s="12">
        <f>IFERROR(IF(H401="OSCURO",VLOOKUP(D401,PRECIOS!$A$4:$F$32,2,FALSE()),IF(H401="CLARO",VLOOKUP(D401,PRECIOS!$A$4:$F$32,3,FALSE()),IF(H401="MELANGE",VLOOKUP(D401,PRECIOS!$A$4:$F$32,4,FALSE()),IF(H401="PPT",VLOOKUP(D401,PRECIOS!$A$4:$F$32,5,FALSE()),0)))),0)</f>
        <v>0</v>
      </c>
      <c r="J401" s="12">
        <f t="shared" si="12"/>
        <v>0</v>
      </c>
      <c r="K401" s="13">
        <f>IFERROR(IF(C401="",0,SUMIFS($F$4:$F$400,$C$4:$C$400,C401,$D$4:$D$400,D401,$E$4:$E$400,E401,$B$4:$B$400,"INGRESO")+SUMIFS($F$4:$F$400,$C$4:$C$400,C401,$D$4:$D$400,D401,$E$4:$E$400,E401,$B$4:$B$400,"DE REPROCESO")+SUMIFS($F$4:$F$400,$C$4:$C$400,C401,$D$4:$D$400,D401,$E$4:$E$400,E401,$B$4:$B$400,"AJUSTE+")-SUMIFS($F$4:$F$400,$C$4:$C$400,C401,$D$4:$D$400,D401,$E$4:$E$400,E401,$B$4:$B$400,"A CORTE")-SUMIFS($F$4:$F$400,$C$4:$C$400,C401,$D$4:$D$400,D401,$E$4:$E$400,E401,$B$4:$B$400,"A REPROCESO")-SUMIFS($F$4:$F$400,$C$4:$C$400,C401,$D$4:$D$400,D401,$E$4:$E$400,E401,$B$4:$B$400,"MUESTRA")-SUMIFS($F$4:$F$400,$C$4:$C$400,C401,$D$4:$D$400,D401,$E$4:$E$400,E401,$B$4:$B$400,"AJUSTE-")),0)</f>
        <v>0</v>
      </c>
      <c r="L401" s="13">
        <f t="shared" si="13"/>
        <v>0</v>
      </c>
      <c r="M401" s="8"/>
      <c r="N401" s="14"/>
      <c r="O401" s="14"/>
      <c r="P401" s="14"/>
      <c r="Q401" s="15"/>
      <c r="R401" s="16" t="str">
        <f t="shared" si="14"/>
        <v/>
      </c>
    </row>
    <row r="402" ht="15.75" customHeight="1">
      <c r="A402" s="7"/>
      <c r="B402" s="8"/>
      <c r="C402" s="8"/>
      <c r="D402" s="8"/>
      <c r="E402" s="8"/>
      <c r="F402" s="9"/>
      <c r="G402" s="10">
        <f>IFERROR(F402*VLOOKUP(D402,TELAS!$A$4:$C$32,3,FALSE()),0)</f>
        <v>0</v>
      </c>
      <c r="H402" s="11" t="str">
        <f>IFERROR(VLOOKUP(E402,COLORES!$A$4:$B$102,2,FALSE()),"")</f>
        <v/>
      </c>
      <c r="I402" s="12">
        <f>IFERROR(IF(H402="OSCURO",VLOOKUP(D402,PRECIOS!$A$4:$F$32,2,FALSE()),IF(H402="CLARO",VLOOKUP(D402,PRECIOS!$A$4:$F$32,3,FALSE()),IF(H402="MELANGE",VLOOKUP(D402,PRECIOS!$A$4:$F$32,4,FALSE()),IF(H402="PPT",VLOOKUP(D402,PRECIOS!$A$4:$F$32,5,FALSE()),0)))),0)</f>
        <v>0</v>
      </c>
      <c r="J402" s="12">
        <f t="shared" si="12"/>
        <v>0</v>
      </c>
      <c r="K402" s="13">
        <f>IFERROR(IF(C402="",0,SUMIFS($F$4:$F$401,$C$4:$C$401,C402,$D$4:$D$401,D402,$E$4:$E$401,E402,$B$4:$B$401,"INGRESO")+SUMIFS($F$4:$F$401,$C$4:$C$401,C402,$D$4:$D$401,D402,$E$4:$E$401,E402,$B$4:$B$401,"DE REPROCESO")+SUMIFS($F$4:$F$401,$C$4:$C$401,C402,$D$4:$D$401,D402,$E$4:$E$401,E402,$B$4:$B$401,"AJUSTE+")-SUMIFS($F$4:$F$401,$C$4:$C$401,C402,$D$4:$D$401,D402,$E$4:$E$401,E402,$B$4:$B$401,"A CORTE")-SUMIFS($F$4:$F$401,$C$4:$C$401,C402,$D$4:$D$401,D402,$E$4:$E$401,E402,$B$4:$B$401,"A REPROCESO")-SUMIFS($F$4:$F$401,$C$4:$C$401,C402,$D$4:$D$401,D402,$E$4:$E$401,E402,$B$4:$B$401,"MUESTRA")-SUMIFS($F$4:$F$401,$C$4:$C$401,C402,$D$4:$D$401,D402,$E$4:$E$401,E402,$B$4:$B$401,"AJUSTE-")),0)</f>
        <v>0</v>
      </c>
      <c r="L402" s="13">
        <f t="shared" si="13"/>
        <v>0</v>
      </c>
      <c r="M402" s="8"/>
      <c r="N402" s="14"/>
      <c r="O402" s="14"/>
      <c r="P402" s="14"/>
      <c r="Q402" s="15"/>
      <c r="R402" s="16" t="str">
        <f t="shared" si="14"/>
        <v/>
      </c>
    </row>
    <row r="403" ht="15.75" customHeight="1">
      <c r="A403" s="7"/>
      <c r="B403" s="8"/>
      <c r="C403" s="8"/>
      <c r="D403" s="8"/>
      <c r="E403" s="8"/>
      <c r="F403" s="9"/>
      <c r="G403" s="10">
        <f>IFERROR(F403*VLOOKUP(D403,TELAS!$A$4:$C$32,3,FALSE()),0)</f>
        <v>0</v>
      </c>
      <c r="H403" s="11" t="str">
        <f>IFERROR(VLOOKUP(E403,COLORES!$A$4:$B$102,2,FALSE()),"")</f>
        <v/>
      </c>
      <c r="I403" s="12">
        <f>IFERROR(IF(H403="OSCURO",VLOOKUP(D403,PRECIOS!$A$4:$F$32,2,FALSE()),IF(H403="CLARO",VLOOKUP(D403,PRECIOS!$A$4:$F$32,3,FALSE()),IF(H403="MELANGE",VLOOKUP(D403,PRECIOS!$A$4:$F$32,4,FALSE()),IF(H403="PPT",VLOOKUP(D403,PRECIOS!$A$4:$F$32,5,FALSE()),0)))),0)</f>
        <v>0</v>
      </c>
      <c r="J403" s="12">
        <f t="shared" si="12"/>
        <v>0</v>
      </c>
      <c r="K403" s="13">
        <f>IFERROR(IF(C403="",0,SUMIFS($F$4:$F$402,$C$4:$C$402,C403,$D$4:$D$402,D403,$E$4:$E$402,E403,$B$4:$B$402,"INGRESO")+SUMIFS($F$4:$F$402,$C$4:$C$402,C403,$D$4:$D$402,D403,$E$4:$E$402,E403,$B$4:$B$402,"DE REPROCESO")+SUMIFS($F$4:$F$402,$C$4:$C$402,C403,$D$4:$D$402,D403,$E$4:$E$402,E403,$B$4:$B$402,"AJUSTE+")-SUMIFS($F$4:$F$402,$C$4:$C$402,C403,$D$4:$D$402,D403,$E$4:$E$402,E403,$B$4:$B$402,"A CORTE")-SUMIFS($F$4:$F$402,$C$4:$C$402,C403,$D$4:$D$402,D403,$E$4:$E$402,E403,$B$4:$B$402,"A REPROCESO")-SUMIFS($F$4:$F$402,$C$4:$C$402,C403,$D$4:$D$402,D403,$E$4:$E$402,E403,$B$4:$B$402,"MUESTRA")-SUMIFS($F$4:$F$402,$C$4:$C$402,C403,$D$4:$D$402,D403,$E$4:$E$402,E403,$B$4:$B$402,"AJUSTE-")),0)</f>
        <v>0</v>
      </c>
      <c r="L403" s="13">
        <f t="shared" si="13"/>
        <v>0</v>
      </c>
      <c r="M403" s="8"/>
      <c r="N403" s="14"/>
      <c r="O403" s="14"/>
      <c r="P403" s="14"/>
      <c r="Q403" s="15"/>
      <c r="R403" s="16" t="str">
        <f t="shared" si="14"/>
        <v/>
      </c>
    </row>
    <row r="404" ht="15.75" customHeight="1">
      <c r="A404" s="7"/>
      <c r="B404" s="8"/>
      <c r="C404" s="8"/>
      <c r="D404" s="8"/>
      <c r="E404" s="8"/>
      <c r="F404" s="9"/>
      <c r="G404" s="10">
        <f>IFERROR(F404*VLOOKUP(D404,TELAS!$A$4:$C$32,3,FALSE()),0)</f>
        <v>0</v>
      </c>
      <c r="H404" s="11" t="str">
        <f>IFERROR(VLOOKUP(E404,COLORES!$A$4:$B$102,2,FALSE()),"")</f>
        <v/>
      </c>
      <c r="I404" s="12">
        <f>IFERROR(IF(H404="OSCURO",VLOOKUP(D404,PRECIOS!$A$4:$F$32,2,FALSE()),IF(H404="CLARO",VLOOKUP(D404,PRECIOS!$A$4:$F$32,3,FALSE()),IF(H404="MELANGE",VLOOKUP(D404,PRECIOS!$A$4:$F$32,4,FALSE()),IF(H404="PPT",VLOOKUP(D404,PRECIOS!$A$4:$F$32,5,FALSE()),0)))),0)</f>
        <v>0</v>
      </c>
      <c r="J404" s="12">
        <f t="shared" si="12"/>
        <v>0</v>
      </c>
      <c r="K404" s="13">
        <f>IFERROR(IF(C404="",0,SUMIFS($F$4:$F$403,$C$4:$C$403,C404,$D$4:$D$403,D404,$E$4:$E$403,E404,$B$4:$B$403,"INGRESO")+SUMIFS($F$4:$F$403,$C$4:$C$403,C404,$D$4:$D$403,D404,$E$4:$E$403,E404,$B$4:$B$403,"DE REPROCESO")+SUMIFS($F$4:$F$403,$C$4:$C$403,C404,$D$4:$D$403,D404,$E$4:$E$403,E404,$B$4:$B$403,"AJUSTE+")-SUMIFS($F$4:$F$403,$C$4:$C$403,C404,$D$4:$D$403,D404,$E$4:$E$403,E404,$B$4:$B$403,"A CORTE")-SUMIFS($F$4:$F$403,$C$4:$C$403,C404,$D$4:$D$403,D404,$E$4:$E$403,E404,$B$4:$B$403,"A REPROCESO")-SUMIFS($F$4:$F$403,$C$4:$C$403,C404,$D$4:$D$403,D404,$E$4:$E$403,E404,$B$4:$B$403,"MUESTRA")-SUMIFS($F$4:$F$403,$C$4:$C$403,C404,$D$4:$D$403,D404,$E$4:$E$403,E404,$B$4:$B$403,"AJUSTE-")),0)</f>
        <v>0</v>
      </c>
      <c r="L404" s="13">
        <f t="shared" si="13"/>
        <v>0</v>
      </c>
      <c r="M404" s="8"/>
      <c r="N404" s="14"/>
      <c r="O404" s="14"/>
      <c r="P404" s="14"/>
      <c r="Q404" s="15"/>
      <c r="R404" s="16" t="str">
        <f t="shared" si="14"/>
        <v/>
      </c>
    </row>
    <row r="405" ht="15.75" customHeight="1">
      <c r="A405" s="7"/>
      <c r="B405" s="8"/>
      <c r="C405" s="8"/>
      <c r="D405" s="8"/>
      <c r="E405" s="8"/>
      <c r="F405" s="9"/>
      <c r="G405" s="10">
        <f>IFERROR(F405*VLOOKUP(D405,TELAS!$A$4:$C$32,3,FALSE()),0)</f>
        <v>0</v>
      </c>
      <c r="H405" s="11" t="str">
        <f>IFERROR(VLOOKUP(E405,COLORES!$A$4:$B$102,2,FALSE()),"")</f>
        <v/>
      </c>
      <c r="I405" s="12">
        <f>IFERROR(IF(H405="OSCURO",VLOOKUP(D405,PRECIOS!$A$4:$F$32,2,FALSE()),IF(H405="CLARO",VLOOKUP(D405,PRECIOS!$A$4:$F$32,3,FALSE()),IF(H405="MELANGE",VLOOKUP(D405,PRECIOS!$A$4:$F$32,4,FALSE()),IF(H405="PPT",VLOOKUP(D405,PRECIOS!$A$4:$F$32,5,FALSE()),0)))),0)</f>
        <v>0</v>
      </c>
      <c r="J405" s="12">
        <f t="shared" si="12"/>
        <v>0</v>
      </c>
      <c r="K405" s="13">
        <f>IFERROR(IF(C405="",0,SUMIFS($F$4:$F$404,$C$4:$C$404,C405,$D$4:$D$404,D405,$E$4:$E$404,E405,$B$4:$B$404,"INGRESO")+SUMIFS($F$4:$F$404,$C$4:$C$404,C405,$D$4:$D$404,D405,$E$4:$E$404,E405,$B$4:$B$404,"DE REPROCESO")+SUMIFS($F$4:$F$404,$C$4:$C$404,C405,$D$4:$D$404,D405,$E$4:$E$404,E405,$B$4:$B$404,"AJUSTE+")-SUMIFS($F$4:$F$404,$C$4:$C$404,C405,$D$4:$D$404,D405,$E$4:$E$404,E405,$B$4:$B$404,"A CORTE")-SUMIFS($F$4:$F$404,$C$4:$C$404,C405,$D$4:$D$404,D405,$E$4:$E$404,E405,$B$4:$B$404,"A REPROCESO")-SUMIFS($F$4:$F$404,$C$4:$C$404,C405,$D$4:$D$404,D405,$E$4:$E$404,E405,$B$4:$B$404,"MUESTRA")-SUMIFS($F$4:$F$404,$C$4:$C$404,C405,$D$4:$D$404,D405,$E$4:$E$404,E405,$B$4:$B$404,"AJUSTE-")),0)</f>
        <v>0</v>
      </c>
      <c r="L405" s="13">
        <f t="shared" si="13"/>
        <v>0</v>
      </c>
      <c r="M405" s="8"/>
      <c r="N405" s="14"/>
      <c r="O405" s="14"/>
      <c r="P405" s="14"/>
      <c r="Q405" s="15"/>
      <c r="R405" s="16" t="str">
        <f t="shared" si="14"/>
        <v/>
      </c>
    </row>
    <row r="406" ht="15.75" customHeight="1">
      <c r="A406" s="7"/>
      <c r="B406" s="8"/>
      <c r="C406" s="8"/>
      <c r="D406" s="8"/>
      <c r="E406" s="8"/>
      <c r="F406" s="9"/>
      <c r="G406" s="10">
        <f>IFERROR(F406*VLOOKUP(D406,TELAS!$A$4:$C$32,3,FALSE()),0)</f>
        <v>0</v>
      </c>
      <c r="H406" s="11" t="str">
        <f>IFERROR(VLOOKUP(E406,COLORES!$A$4:$B$102,2,FALSE()),"")</f>
        <v/>
      </c>
      <c r="I406" s="12">
        <f>IFERROR(IF(H406="OSCURO",VLOOKUP(D406,PRECIOS!$A$4:$F$32,2,FALSE()),IF(H406="CLARO",VLOOKUP(D406,PRECIOS!$A$4:$F$32,3,FALSE()),IF(H406="MELANGE",VLOOKUP(D406,PRECIOS!$A$4:$F$32,4,FALSE()),IF(H406="PPT",VLOOKUP(D406,PRECIOS!$A$4:$F$32,5,FALSE()),0)))),0)</f>
        <v>0</v>
      </c>
      <c r="J406" s="12">
        <f t="shared" si="12"/>
        <v>0</v>
      </c>
      <c r="K406" s="13">
        <f>IFERROR(IF(C406="",0,SUMIFS($F$4:$F$405,$C$4:$C$405,C406,$D$4:$D$405,D406,$E$4:$E$405,E406,$B$4:$B$405,"INGRESO")+SUMIFS($F$4:$F$405,$C$4:$C$405,C406,$D$4:$D$405,D406,$E$4:$E$405,E406,$B$4:$B$405,"DE REPROCESO")+SUMIFS($F$4:$F$405,$C$4:$C$405,C406,$D$4:$D$405,D406,$E$4:$E$405,E406,$B$4:$B$405,"AJUSTE+")-SUMIFS($F$4:$F$405,$C$4:$C$405,C406,$D$4:$D$405,D406,$E$4:$E$405,E406,$B$4:$B$405,"A CORTE")-SUMIFS($F$4:$F$405,$C$4:$C$405,C406,$D$4:$D$405,D406,$E$4:$E$405,E406,$B$4:$B$405,"A REPROCESO")-SUMIFS($F$4:$F$405,$C$4:$C$405,C406,$D$4:$D$405,D406,$E$4:$E$405,E406,$B$4:$B$405,"MUESTRA")-SUMIFS($F$4:$F$405,$C$4:$C$405,C406,$D$4:$D$405,D406,$E$4:$E$405,E406,$B$4:$B$405,"AJUSTE-")),0)</f>
        <v>0</v>
      </c>
      <c r="L406" s="13">
        <f t="shared" si="13"/>
        <v>0</v>
      </c>
      <c r="M406" s="8"/>
      <c r="N406" s="14"/>
      <c r="O406" s="14"/>
      <c r="P406" s="14"/>
      <c r="Q406" s="15"/>
      <c r="R406" s="16" t="str">
        <f t="shared" si="14"/>
        <v/>
      </c>
    </row>
    <row r="407" ht="15.75" customHeight="1">
      <c r="A407" s="7"/>
      <c r="B407" s="8"/>
      <c r="C407" s="8"/>
      <c r="D407" s="8"/>
      <c r="E407" s="8"/>
      <c r="F407" s="9"/>
      <c r="G407" s="10">
        <f>IFERROR(F407*VLOOKUP(D407,TELAS!$A$4:$C$32,3,FALSE()),0)</f>
        <v>0</v>
      </c>
      <c r="H407" s="11" t="str">
        <f>IFERROR(VLOOKUP(E407,COLORES!$A$4:$B$102,2,FALSE()),"")</f>
        <v/>
      </c>
      <c r="I407" s="12">
        <f>IFERROR(IF(H407="OSCURO",VLOOKUP(D407,PRECIOS!$A$4:$F$32,2,FALSE()),IF(H407="CLARO",VLOOKUP(D407,PRECIOS!$A$4:$F$32,3,FALSE()),IF(H407="MELANGE",VLOOKUP(D407,PRECIOS!$A$4:$F$32,4,FALSE()),IF(H407="PPT",VLOOKUP(D407,PRECIOS!$A$4:$F$32,5,FALSE()),0)))),0)</f>
        <v>0</v>
      </c>
      <c r="J407" s="12">
        <f t="shared" si="12"/>
        <v>0</v>
      </c>
      <c r="K407" s="13">
        <f>IFERROR(IF(C407="",0,SUMIFS($F$4:$F$406,$C$4:$C$406,C407,$D$4:$D$406,D407,$E$4:$E$406,E407,$B$4:$B$406,"INGRESO")+SUMIFS($F$4:$F$406,$C$4:$C$406,C407,$D$4:$D$406,D407,$E$4:$E$406,E407,$B$4:$B$406,"DE REPROCESO")+SUMIFS($F$4:$F$406,$C$4:$C$406,C407,$D$4:$D$406,D407,$E$4:$E$406,E407,$B$4:$B$406,"AJUSTE+")-SUMIFS($F$4:$F$406,$C$4:$C$406,C407,$D$4:$D$406,D407,$E$4:$E$406,E407,$B$4:$B$406,"A CORTE")-SUMIFS($F$4:$F$406,$C$4:$C$406,C407,$D$4:$D$406,D407,$E$4:$E$406,E407,$B$4:$B$406,"A REPROCESO")-SUMIFS($F$4:$F$406,$C$4:$C$406,C407,$D$4:$D$406,D407,$E$4:$E$406,E407,$B$4:$B$406,"MUESTRA")-SUMIFS($F$4:$F$406,$C$4:$C$406,C407,$D$4:$D$406,D407,$E$4:$E$406,E407,$B$4:$B$406,"AJUSTE-")),0)</f>
        <v>0</v>
      </c>
      <c r="L407" s="13">
        <f t="shared" si="13"/>
        <v>0</v>
      </c>
      <c r="M407" s="8"/>
      <c r="N407" s="14"/>
      <c r="O407" s="14"/>
      <c r="P407" s="14"/>
      <c r="Q407" s="15"/>
      <c r="R407" s="16" t="str">
        <f t="shared" si="14"/>
        <v/>
      </c>
    </row>
    <row r="408" ht="15.75" customHeight="1">
      <c r="A408" s="7"/>
      <c r="B408" s="8"/>
      <c r="C408" s="8"/>
      <c r="D408" s="8"/>
      <c r="E408" s="8"/>
      <c r="F408" s="9"/>
      <c r="G408" s="10">
        <f>IFERROR(F408*VLOOKUP(D408,TELAS!$A$4:$C$32,3,FALSE()),0)</f>
        <v>0</v>
      </c>
      <c r="H408" s="11" t="str">
        <f>IFERROR(VLOOKUP(E408,COLORES!$A$4:$B$102,2,FALSE()),"")</f>
        <v/>
      </c>
      <c r="I408" s="12">
        <f>IFERROR(IF(H408="OSCURO",VLOOKUP(D408,PRECIOS!$A$4:$F$32,2,FALSE()),IF(H408="CLARO",VLOOKUP(D408,PRECIOS!$A$4:$F$32,3,FALSE()),IF(H408="MELANGE",VLOOKUP(D408,PRECIOS!$A$4:$F$32,4,FALSE()),IF(H408="PPT",VLOOKUP(D408,PRECIOS!$A$4:$F$32,5,FALSE()),0)))),0)</f>
        <v>0</v>
      </c>
      <c r="J408" s="12">
        <f t="shared" si="12"/>
        <v>0</v>
      </c>
      <c r="K408" s="13">
        <f>IFERROR(IF(C408="",0,SUMIFS($F$4:$F$407,$C$4:$C$407,C408,$D$4:$D$407,D408,$E$4:$E$407,E408,$B$4:$B$407,"INGRESO")+SUMIFS($F$4:$F$407,$C$4:$C$407,C408,$D$4:$D$407,D408,$E$4:$E$407,E408,$B$4:$B$407,"DE REPROCESO")+SUMIFS($F$4:$F$407,$C$4:$C$407,C408,$D$4:$D$407,D408,$E$4:$E$407,E408,$B$4:$B$407,"AJUSTE+")-SUMIFS($F$4:$F$407,$C$4:$C$407,C408,$D$4:$D$407,D408,$E$4:$E$407,E408,$B$4:$B$407,"A CORTE")-SUMIFS($F$4:$F$407,$C$4:$C$407,C408,$D$4:$D$407,D408,$E$4:$E$407,E408,$B$4:$B$407,"A REPROCESO")-SUMIFS($F$4:$F$407,$C$4:$C$407,C408,$D$4:$D$407,D408,$E$4:$E$407,E408,$B$4:$B$407,"MUESTRA")-SUMIFS($F$4:$F$407,$C$4:$C$407,C408,$D$4:$D$407,D408,$E$4:$E$407,E408,$B$4:$B$407,"AJUSTE-")),0)</f>
        <v>0</v>
      </c>
      <c r="L408" s="13">
        <f t="shared" si="13"/>
        <v>0</v>
      </c>
      <c r="M408" s="8"/>
      <c r="N408" s="14"/>
      <c r="O408" s="14"/>
      <c r="P408" s="14"/>
      <c r="Q408" s="15"/>
      <c r="R408" s="16" t="str">
        <f t="shared" si="14"/>
        <v/>
      </c>
    </row>
    <row r="409" ht="15.75" customHeight="1">
      <c r="A409" s="7"/>
      <c r="B409" s="8"/>
      <c r="C409" s="8"/>
      <c r="D409" s="8"/>
      <c r="E409" s="8"/>
      <c r="F409" s="9"/>
      <c r="G409" s="10">
        <f>IFERROR(F409*VLOOKUP(D409,TELAS!$A$4:$C$32,3,FALSE()),0)</f>
        <v>0</v>
      </c>
      <c r="H409" s="11" t="str">
        <f>IFERROR(VLOOKUP(E409,COLORES!$A$4:$B$102,2,FALSE()),"")</f>
        <v/>
      </c>
      <c r="I409" s="12">
        <f>IFERROR(IF(H409="OSCURO",VLOOKUP(D409,PRECIOS!$A$4:$F$32,2,FALSE()),IF(H409="CLARO",VLOOKUP(D409,PRECIOS!$A$4:$F$32,3,FALSE()),IF(H409="MELANGE",VLOOKUP(D409,PRECIOS!$A$4:$F$32,4,FALSE()),IF(H409="PPT",VLOOKUP(D409,PRECIOS!$A$4:$F$32,5,FALSE()),0)))),0)</f>
        <v>0</v>
      </c>
      <c r="J409" s="12">
        <f t="shared" si="12"/>
        <v>0</v>
      </c>
      <c r="K409" s="13">
        <f>IFERROR(IF(C409="",0,SUMIFS($F$4:$F$408,$C$4:$C$408,C409,$D$4:$D$408,D409,$E$4:$E$408,E409,$B$4:$B$408,"INGRESO")+SUMIFS($F$4:$F$408,$C$4:$C$408,C409,$D$4:$D$408,D409,$E$4:$E$408,E409,$B$4:$B$408,"DE REPROCESO")+SUMIFS($F$4:$F$408,$C$4:$C$408,C409,$D$4:$D$408,D409,$E$4:$E$408,E409,$B$4:$B$408,"AJUSTE+")-SUMIFS($F$4:$F$408,$C$4:$C$408,C409,$D$4:$D$408,D409,$E$4:$E$408,E409,$B$4:$B$408,"A CORTE")-SUMIFS($F$4:$F$408,$C$4:$C$408,C409,$D$4:$D$408,D409,$E$4:$E$408,E409,$B$4:$B$408,"A REPROCESO")-SUMIFS($F$4:$F$408,$C$4:$C$408,C409,$D$4:$D$408,D409,$E$4:$E$408,E409,$B$4:$B$408,"MUESTRA")-SUMIFS($F$4:$F$408,$C$4:$C$408,C409,$D$4:$D$408,D409,$E$4:$E$408,E409,$B$4:$B$408,"AJUSTE-")),0)</f>
        <v>0</v>
      </c>
      <c r="L409" s="13">
        <f t="shared" si="13"/>
        <v>0</v>
      </c>
      <c r="M409" s="8"/>
      <c r="N409" s="14"/>
      <c r="O409" s="14"/>
      <c r="P409" s="14"/>
      <c r="Q409" s="15"/>
      <c r="R409" s="16" t="str">
        <f t="shared" si="14"/>
        <v/>
      </c>
    </row>
    <row r="410" ht="15.75" customHeight="1">
      <c r="A410" s="7"/>
      <c r="B410" s="8"/>
      <c r="C410" s="8"/>
      <c r="D410" s="8"/>
      <c r="E410" s="8"/>
      <c r="F410" s="9"/>
      <c r="G410" s="10">
        <f>IFERROR(F410*VLOOKUP(D410,TELAS!$A$4:$C$32,3,FALSE()),0)</f>
        <v>0</v>
      </c>
      <c r="H410" s="11" t="str">
        <f>IFERROR(VLOOKUP(E410,COLORES!$A$4:$B$102,2,FALSE()),"")</f>
        <v/>
      </c>
      <c r="I410" s="12">
        <f>IFERROR(IF(H410="OSCURO",VLOOKUP(D410,PRECIOS!$A$4:$F$32,2,FALSE()),IF(H410="CLARO",VLOOKUP(D410,PRECIOS!$A$4:$F$32,3,FALSE()),IF(H410="MELANGE",VLOOKUP(D410,PRECIOS!$A$4:$F$32,4,FALSE()),IF(H410="PPT",VLOOKUP(D410,PRECIOS!$A$4:$F$32,5,FALSE()),0)))),0)</f>
        <v>0</v>
      </c>
      <c r="J410" s="12">
        <f t="shared" si="12"/>
        <v>0</v>
      </c>
      <c r="K410" s="13">
        <f>IFERROR(IF(C410="",0,SUMIFS($F$4:$F$409,$C$4:$C$409,C410,$D$4:$D$409,D410,$E$4:$E$409,E410,$B$4:$B$409,"INGRESO")+SUMIFS($F$4:$F$409,$C$4:$C$409,C410,$D$4:$D$409,D410,$E$4:$E$409,E410,$B$4:$B$409,"DE REPROCESO")+SUMIFS($F$4:$F$409,$C$4:$C$409,C410,$D$4:$D$409,D410,$E$4:$E$409,E410,$B$4:$B$409,"AJUSTE+")-SUMIFS($F$4:$F$409,$C$4:$C$409,C410,$D$4:$D$409,D410,$E$4:$E$409,E410,$B$4:$B$409,"A CORTE")-SUMIFS($F$4:$F$409,$C$4:$C$409,C410,$D$4:$D$409,D410,$E$4:$E$409,E410,$B$4:$B$409,"A REPROCESO")-SUMIFS($F$4:$F$409,$C$4:$C$409,C410,$D$4:$D$409,D410,$E$4:$E$409,E410,$B$4:$B$409,"MUESTRA")-SUMIFS($F$4:$F$409,$C$4:$C$409,C410,$D$4:$D$409,D410,$E$4:$E$409,E410,$B$4:$B$409,"AJUSTE-")),0)</f>
        <v>0</v>
      </c>
      <c r="L410" s="13">
        <f t="shared" si="13"/>
        <v>0</v>
      </c>
      <c r="M410" s="8"/>
      <c r="N410" s="14"/>
      <c r="O410" s="14"/>
      <c r="P410" s="14"/>
      <c r="Q410" s="15"/>
      <c r="R410" s="16" t="str">
        <f t="shared" si="14"/>
        <v/>
      </c>
    </row>
    <row r="411" ht="15.75" customHeight="1">
      <c r="A411" s="7"/>
      <c r="B411" s="8"/>
      <c r="C411" s="8"/>
      <c r="D411" s="8"/>
      <c r="E411" s="8"/>
      <c r="F411" s="9"/>
      <c r="G411" s="10">
        <f>IFERROR(F411*VLOOKUP(D411,TELAS!$A$4:$C$32,3,FALSE()),0)</f>
        <v>0</v>
      </c>
      <c r="H411" s="11" t="str">
        <f>IFERROR(VLOOKUP(E411,COLORES!$A$4:$B$102,2,FALSE()),"")</f>
        <v/>
      </c>
      <c r="I411" s="12">
        <f>IFERROR(IF(H411="OSCURO",VLOOKUP(D411,PRECIOS!$A$4:$F$32,2,FALSE()),IF(H411="CLARO",VLOOKUP(D411,PRECIOS!$A$4:$F$32,3,FALSE()),IF(H411="MELANGE",VLOOKUP(D411,PRECIOS!$A$4:$F$32,4,FALSE()),IF(H411="PPT",VLOOKUP(D411,PRECIOS!$A$4:$F$32,5,FALSE()),0)))),0)</f>
        <v>0</v>
      </c>
      <c r="J411" s="12">
        <f t="shared" si="12"/>
        <v>0</v>
      </c>
      <c r="K411" s="13">
        <f>IFERROR(IF(C411="",0,SUMIFS($F$4:$F$410,$C$4:$C$410,C411,$D$4:$D$410,D411,$E$4:$E$410,E411,$B$4:$B$410,"INGRESO")+SUMIFS($F$4:$F$410,$C$4:$C$410,C411,$D$4:$D$410,D411,$E$4:$E$410,E411,$B$4:$B$410,"DE REPROCESO")+SUMIFS($F$4:$F$410,$C$4:$C$410,C411,$D$4:$D$410,D411,$E$4:$E$410,E411,$B$4:$B$410,"AJUSTE+")-SUMIFS($F$4:$F$410,$C$4:$C$410,C411,$D$4:$D$410,D411,$E$4:$E$410,E411,$B$4:$B$410,"A CORTE")-SUMIFS($F$4:$F$410,$C$4:$C$410,C411,$D$4:$D$410,D411,$E$4:$E$410,E411,$B$4:$B$410,"A REPROCESO")-SUMIFS($F$4:$F$410,$C$4:$C$410,C411,$D$4:$D$410,D411,$E$4:$E$410,E411,$B$4:$B$410,"MUESTRA")-SUMIFS($F$4:$F$410,$C$4:$C$410,C411,$D$4:$D$410,D411,$E$4:$E$410,E411,$B$4:$B$410,"AJUSTE-")),0)</f>
        <v>0</v>
      </c>
      <c r="L411" s="13">
        <f t="shared" si="13"/>
        <v>0</v>
      </c>
      <c r="M411" s="8"/>
      <c r="N411" s="14"/>
      <c r="O411" s="14"/>
      <c r="P411" s="14"/>
      <c r="Q411" s="15"/>
      <c r="R411" s="16" t="str">
        <f t="shared" si="14"/>
        <v/>
      </c>
    </row>
    <row r="412" ht="15.75" customHeight="1">
      <c r="A412" s="7"/>
      <c r="B412" s="8"/>
      <c r="C412" s="8"/>
      <c r="D412" s="8"/>
      <c r="E412" s="8"/>
      <c r="F412" s="9"/>
      <c r="G412" s="10">
        <f>IFERROR(F412*VLOOKUP(D412,TELAS!$A$4:$C$32,3,FALSE()),0)</f>
        <v>0</v>
      </c>
      <c r="H412" s="11" t="str">
        <f>IFERROR(VLOOKUP(E412,COLORES!$A$4:$B$102,2,FALSE()),"")</f>
        <v/>
      </c>
      <c r="I412" s="12">
        <f>IFERROR(IF(H412="OSCURO",VLOOKUP(D412,PRECIOS!$A$4:$F$32,2,FALSE()),IF(H412="CLARO",VLOOKUP(D412,PRECIOS!$A$4:$F$32,3,FALSE()),IF(H412="MELANGE",VLOOKUP(D412,PRECIOS!$A$4:$F$32,4,FALSE()),IF(H412="PPT",VLOOKUP(D412,PRECIOS!$A$4:$F$32,5,FALSE()),0)))),0)</f>
        <v>0</v>
      </c>
      <c r="J412" s="12">
        <f t="shared" si="12"/>
        <v>0</v>
      </c>
      <c r="K412" s="13">
        <f>IFERROR(IF(C412="",0,SUMIFS($F$4:$F$411,$C$4:$C$411,C412,$D$4:$D$411,D412,$E$4:$E$411,E412,$B$4:$B$411,"INGRESO")+SUMIFS($F$4:$F$411,$C$4:$C$411,C412,$D$4:$D$411,D412,$E$4:$E$411,E412,$B$4:$B$411,"DE REPROCESO")+SUMIFS($F$4:$F$411,$C$4:$C$411,C412,$D$4:$D$411,D412,$E$4:$E$411,E412,$B$4:$B$411,"AJUSTE+")-SUMIFS($F$4:$F$411,$C$4:$C$411,C412,$D$4:$D$411,D412,$E$4:$E$411,E412,$B$4:$B$411,"A CORTE")-SUMIFS($F$4:$F$411,$C$4:$C$411,C412,$D$4:$D$411,D412,$E$4:$E$411,E412,$B$4:$B$411,"A REPROCESO")-SUMIFS($F$4:$F$411,$C$4:$C$411,C412,$D$4:$D$411,D412,$E$4:$E$411,E412,$B$4:$B$411,"MUESTRA")-SUMIFS($F$4:$F$411,$C$4:$C$411,C412,$D$4:$D$411,D412,$E$4:$E$411,E412,$B$4:$B$411,"AJUSTE-")),0)</f>
        <v>0</v>
      </c>
      <c r="L412" s="13">
        <f t="shared" si="13"/>
        <v>0</v>
      </c>
      <c r="M412" s="8"/>
      <c r="N412" s="14"/>
      <c r="O412" s="14"/>
      <c r="P412" s="14"/>
      <c r="Q412" s="15"/>
      <c r="R412" s="16" t="str">
        <f t="shared" si="14"/>
        <v/>
      </c>
    </row>
    <row r="413" ht="15.75" customHeight="1">
      <c r="A413" s="7"/>
      <c r="B413" s="8"/>
      <c r="C413" s="8"/>
      <c r="D413" s="8"/>
      <c r="E413" s="8"/>
      <c r="F413" s="9"/>
      <c r="G413" s="10">
        <f>IFERROR(F413*VLOOKUP(D413,TELAS!$A$4:$C$32,3,FALSE()),0)</f>
        <v>0</v>
      </c>
      <c r="H413" s="11" t="str">
        <f>IFERROR(VLOOKUP(E413,COLORES!$A$4:$B$102,2,FALSE()),"")</f>
        <v/>
      </c>
      <c r="I413" s="12">
        <f>IFERROR(IF(H413="OSCURO",VLOOKUP(D413,PRECIOS!$A$4:$F$32,2,FALSE()),IF(H413="CLARO",VLOOKUP(D413,PRECIOS!$A$4:$F$32,3,FALSE()),IF(H413="MELANGE",VLOOKUP(D413,PRECIOS!$A$4:$F$32,4,FALSE()),IF(H413="PPT",VLOOKUP(D413,PRECIOS!$A$4:$F$32,5,FALSE()),0)))),0)</f>
        <v>0</v>
      </c>
      <c r="J413" s="12">
        <f t="shared" si="12"/>
        <v>0</v>
      </c>
      <c r="K413" s="13">
        <f>IFERROR(IF(C413="",0,SUMIFS($F$4:$F$412,$C$4:$C$412,C413,$D$4:$D$412,D413,$E$4:$E$412,E413,$B$4:$B$412,"INGRESO")+SUMIFS($F$4:$F$412,$C$4:$C$412,C413,$D$4:$D$412,D413,$E$4:$E$412,E413,$B$4:$B$412,"DE REPROCESO")+SUMIFS($F$4:$F$412,$C$4:$C$412,C413,$D$4:$D$412,D413,$E$4:$E$412,E413,$B$4:$B$412,"AJUSTE+")-SUMIFS($F$4:$F$412,$C$4:$C$412,C413,$D$4:$D$412,D413,$E$4:$E$412,E413,$B$4:$B$412,"A CORTE")-SUMIFS($F$4:$F$412,$C$4:$C$412,C413,$D$4:$D$412,D413,$E$4:$E$412,E413,$B$4:$B$412,"A REPROCESO")-SUMIFS($F$4:$F$412,$C$4:$C$412,C413,$D$4:$D$412,D413,$E$4:$E$412,E413,$B$4:$B$412,"MUESTRA")-SUMIFS($F$4:$F$412,$C$4:$C$412,C413,$D$4:$D$412,D413,$E$4:$E$412,E413,$B$4:$B$412,"AJUSTE-")),0)</f>
        <v>0</v>
      </c>
      <c r="L413" s="13">
        <f t="shared" si="13"/>
        <v>0</v>
      </c>
      <c r="M413" s="8"/>
      <c r="N413" s="14"/>
      <c r="O413" s="14"/>
      <c r="P413" s="14"/>
      <c r="Q413" s="15"/>
      <c r="R413" s="16" t="str">
        <f t="shared" si="14"/>
        <v/>
      </c>
    </row>
    <row r="414" ht="15.75" customHeight="1">
      <c r="A414" s="7"/>
      <c r="B414" s="8"/>
      <c r="C414" s="8"/>
      <c r="D414" s="8"/>
      <c r="E414" s="8"/>
      <c r="F414" s="9"/>
      <c r="G414" s="10">
        <f>IFERROR(F414*VLOOKUP(D414,TELAS!$A$4:$C$32,3,FALSE()),0)</f>
        <v>0</v>
      </c>
      <c r="H414" s="11" t="str">
        <f>IFERROR(VLOOKUP(E414,COLORES!$A$4:$B$102,2,FALSE()),"")</f>
        <v/>
      </c>
      <c r="I414" s="12">
        <f>IFERROR(IF(H414="OSCURO",VLOOKUP(D414,PRECIOS!$A$4:$F$32,2,FALSE()),IF(H414="CLARO",VLOOKUP(D414,PRECIOS!$A$4:$F$32,3,FALSE()),IF(H414="MELANGE",VLOOKUP(D414,PRECIOS!$A$4:$F$32,4,FALSE()),IF(H414="PPT",VLOOKUP(D414,PRECIOS!$A$4:$F$32,5,FALSE()),0)))),0)</f>
        <v>0</v>
      </c>
      <c r="J414" s="12">
        <f t="shared" si="12"/>
        <v>0</v>
      </c>
      <c r="K414" s="13">
        <f>IFERROR(IF(C414="",0,SUMIFS($F$4:$F$413,$C$4:$C$413,C414,$D$4:$D$413,D414,$E$4:$E$413,E414,$B$4:$B$413,"INGRESO")+SUMIFS($F$4:$F$413,$C$4:$C$413,C414,$D$4:$D$413,D414,$E$4:$E$413,E414,$B$4:$B$413,"DE REPROCESO")+SUMIFS($F$4:$F$413,$C$4:$C$413,C414,$D$4:$D$413,D414,$E$4:$E$413,E414,$B$4:$B$413,"AJUSTE+")-SUMIFS($F$4:$F$413,$C$4:$C$413,C414,$D$4:$D$413,D414,$E$4:$E$413,E414,$B$4:$B$413,"A CORTE")-SUMIFS($F$4:$F$413,$C$4:$C$413,C414,$D$4:$D$413,D414,$E$4:$E$413,E414,$B$4:$B$413,"A REPROCESO")-SUMIFS($F$4:$F$413,$C$4:$C$413,C414,$D$4:$D$413,D414,$E$4:$E$413,E414,$B$4:$B$413,"MUESTRA")-SUMIFS($F$4:$F$413,$C$4:$C$413,C414,$D$4:$D$413,D414,$E$4:$E$413,E414,$B$4:$B$413,"AJUSTE-")),0)</f>
        <v>0</v>
      </c>
      <c r="L414" s="13">
        <f t="shared" si="13"/>
        <v>0</v>
      </c>
      <c r="M414" s="8"/>
      <c r="N414" s="14"/>
      <c r="O414" s="14"/>
      <c r="P414" s="14"/>
      <c r="Q414" s="15"/>
      <c r="R414" s="16" t="str">
        <f t="shared" si="14"/>
        <v/>
      </c>
    </row>
    <row r="415" ht="15.75" customHeight="1">
      <c r="A415" s="7"/>
      <c r="B415" s="8"/>
      <c r="C415" s="8"/>
      <c r="D415" s="8"/>
      <c r="E415" s="8"/>
      <c r="F415" s="9"/>
      <c r="G415" s="10">
        <f>IFERROR(F415*VLOOKUP(D415,TELAS!$A$4:$C$32,3,FALSE()),0)</f>
        <v>0</v>
      </c>
      <c r="H415" s="11" t="str">
        <f>IFERROR(VLOOKUP(E415,COLORES!$A$4:$B$102,2,FALSE()),"")</f>
        <v/>
      </c>
      <c r="I415" s="12">
        <f>IFERROR(IF(H415="OSCURO",VLOOKUP(D415,PRECIOS!$A$4:$F$32,2,FALSE()),IF(H415="CLARO",VLOOKUP(D415,PRECIOS!$A$4:$F$32,3,FALSE()),IF(H415="MELANGE",VLOOKUP(D415,PRECIOS!$A$4:$F$32,4,FALSE()),IF(H415="PPT",VLOOKUP(D415,PRECIOS!$A$4:$F$32,5,FALSE()),0)))),0)</f>
        <v>0</v>
      </c>
      <c r="J415" s="12">
        <f t="shared" si="12"/>
        <v>0</v>
      </c>
      <c r="K415" s="13">
        <f>IFERROR(IF(C415="",0,SUMIFS($F$4:$F$414,$C$4:$C$414,C415,$D$4:$D$414,D415,$E$4:$E$414,E415,$B$4:$B$414,"INGRESO")+SUMIFS($F$4:$F$414,$C$4:$C$414,C415,$D$4:$D$414,D415,$E$4:$E$414,E415,$B$4:$B$414,"DE REPROCESO")+SUMIFS($F$4:$F$414,$C$4:$C$414,C415,$D$4:$D$414,D415,$E$4:$E$414,E415,$B$4:$B$414,"AJUSTE+")-SUMIFS($F$4:$F$414,$C$4:$C$414,C415,$D$4:$D$414,D415,$E$4:$E$414,E415,$B$4:$B$414,"A CORTE")-SUMIFS($F$4:$F$414,$C$4:$C$414,C415,$D$4:$D$414,D415,$E$4:$E$414,E415,$B$4:$B$414,"A REPROCESO")-SUMIFS($F$4:$F$414,$C$4:$C$414,C415,$D$4:$D$414,D415,$E$4:$E$414,E415,$B$4:$B$414,"MUESTRA")-SUMIFS($F$4:$F$414,$C$4:$C$414,C415,$D$4:$D$414,D415,$E$4:$E$414,E415,$B$4:$B$414,"AJUSTE-")),0)</f>
        <v>0</v>
      </c>
      <c r="L415" s="13">
        <f t="shared" si="13"/>
        <v>0</v>
      </c>
      <c r="M415" s="8"/>
      <c r="N415" s="14"/>
      <c r="O415" s="14"/>
      <c r="P415" s="14"/>
      <c r="Q415" s="15"/>
      <c r="R415" s="16" t="str">
        <f t="shared" si="14"/>
        <v/>
      </c>
    </row>
    <row r="416" ht="15.75" customHeight="1">
      <c r="A416" s="7"/>
      <c r="B416" s="8"/>
      <c r="C416" s="8"/>
      <c r="D416" s="8"/>
      <c r="E416" s="8"/>
      <c r="F416" s="9"/>
      <c r="G416" s="10">
        <f>IFERROR(F416*VLOOKUP(D416,TELAS!$A$4:$C$32,3,FALSE()),0)</f>
        <v>0</v>
      </c>
      <c r="H416" s="11" t="str">
        <f>IFERROR(VLOOKUP(E416,COLORES!$A$4:$B$102,2,FALSE()),"")</f>
        <v/>
      </c>
      <c r="I416" s="12">
        <f>IFERROR(IF(H416="OSCURO",VLOOKUP(D416,PRECIOS!$A$4:$F$32,2,FALSE()),IF(H416="CLARO",VLOOKUP(D416,PRECIOS!$A$4:$F$32,3,FALSE()),IF(H416="MELANGE",VLOOKUP(D416,PRECIOS!$A$4:$F$32,4,FALSE()),IF(H416="PPT",VLOOKUP(D416,PRECIOS!$A$4:$F$32,5,FALSE()),0)))),0)</f>
        <v>0</v>
      </c>
      <c r="J416" s="12">
        <f t="shared" si="12"/>
        <v>0</v>
      </c>
      <c r="K416" s="13">
        <f>IFERROR(IF(C416="",0,SUMIFS($F$4:$F$415,$C$4:$C$415,C416,$D$4:$D$415,D416,$E$4:$E$415,E416,$B$4:$B$415,"INGRESO")+SUMIFS($F$4:$F$415,$C$4:$C$415,C416,$D$4:$D$415,D416,$E$4:$E$415,E416,$B$4:$B$415,"DE REPROCESO")+SUMIFS($F$4:$F$415,$C$4:$C$415,C416,$D$4:$D$415,D416,$E$4:$E$415,E416,$B$4:$B$415,"AJUSTE+")-SUMIFS($F$4:$F$415,$C$4:$C$415,C416,$D$4:$D$415,D416,$E$4:$E$415,E416,$B$4:$B$415,"A CORTE")-SUMIFS($F$4:$F$415,$C$4:$C$415,C416,$D$4:$D$415,D416,$E$4:$E$415,E416,$B$4:$B$415,"A REPROCESO")-SUMIFS($F$4:$F$415,$C$4:$C$415,C416,$D$4:$D$415,D416,$E$4:$E$415,E416,$B$4:$B$415,"MUESTRA")-SUMIFS($F$4:$F$415,$C$4:$C$415,C416,$D$4:$D$415,D416,$E$4:$E$415,E416,$B$4:$B$415,"AJUSTE-")),0)</f>
        <v>0</v>
      </c>
      <c r="L416" s="13">
        <f t="shared" si="13"/>
        <v>0</v>
      </c>
      <c r="M416" s="8"/>
      <c r="N416" s="14"/>
      <c r="O416" s="14"/>
      <c r="P416" s="14"/>
      <c r="Q416" s="15"/>
      <c r="R416" s="16" t="str">
        <f t="shared" si="14"/>
        <v/>
      </c>
    </row>
    <row r="417" ht="15.75" customHeight="1">
      <c r="A417" s="7"/>
      <c r="B417" s="8"/>
      <c r="C417" s="8"/>
      <c r="D417" s="8"/>
      <c r="E417" s="8"/>
      <c r="F417" s="9"/>
      <c r="G417" s="10">
        <f>IFERROR(F417*VLOOKUP(D417,TELAS!$A$4:$C$32,3,FALSE()),0)</f>
        <v>0</v>
      </c>
      <c r="H417" s="11" t="str">
        <f>IFERROR(VLOOKUP(E417,COLORES!$A$4:$B$102,2,FALSE()),"")</f>
        <v/>
      </c>
      <c r="I417" s="12">
        <f>IFERROR(IF(H417="OSCURO",VLOOKUP(D417,PRECIOS!$A$4:$F$32,2,FALSE()),IF(H417="CLARO",VLOOKUP(D417,PRECIOS!$A$4:$F$32,3,FALSE()),IF(H417="MELANGE",VLOOKUP(D417,PRECIOS!$A$4:$F$32,4,FALSE()),IF(H417="PPT",VLOOKUP(D417,PRECIOS!$A$4:$F$32,5,FALSE()),0)))),0)</f>
        <v>0</v>
      </c>
      <c r="J417" s="12">
        <f t="shared" si="12"/>
        <v>0</v>
      </c>
      <c r="K417" s="13">
        <f>IFERROR(IF(C417="",0,SUMIFS($F$4:$F$416,$C$4:$C$416,C417,$D$4:$D$416,D417,$E$4:$E$416,E417,$B$4:$B$416,"INGRESO")+SUMIFS($F$4:$F$416,$C$4:$C$416,C417,$D$4:$D$416,D417,$E$4:$E$416,E417,$B$4:$B$416,"DE REPROCESO")+SUMIFS($F$4:$F$416,$C$4:$C$416,C417,$D$4:$D$416,D417,$E$4:$E$416,E417,$B$4:$B$416,"AJUSTE+")-SUMIFS($F$4:$F$416,$C$4:$C$416,C417,$D$4:$D$416,D417,$E$4:$E$416,E417,$B$4:$B$416,"A CORTE")-SUMIFS($F$4:$F$416,$C$4:$C$416,C417,$D$4:$D$416,D417,$E$4:$E$416,E417,$B$4:$B$416,"A REPROCESO")-SUMIFS($F$4:$F$416,$C$4:$C$416,C417,$D$4:$D$416,D417,$E$4:$E$416,E417,$B$4:$B$416,"MUESTRA")-SUMIFS($F$4:$F$416,$C$4:$C$416,C417,$D$4:$D$416,D417,$E$4:$E$416,E417,$B$4:$B$416,"AJUSTE-")),0)</f>
        <v>0</v>
      </c>
      <c r="L417" s="13">
        <f t="shared" si="13"/>
        <v>0</v>
      </c>
      <c r="M417" s="8"/>
      <c r="N417" s="14"/>
      <c r="O417" s="14"/>
      <c r="P417" s="14"/>
      <c r="Q417" s="15"/>
      <c r="R417" s="16" t="str">
        <f t="shared" si="14"/>
        <v/>
      </c>
    </row>
    <row r="418" ht="15.75" customHeight="1">
      <c r="A418" s="7"/>
      <c r="B418" s="8"/>
      <c r="C418" s="8"/>
      <c r="D418" s="8"/>
      <c r="E418" s="8"/>
      <c r="F418" s="9"/>
      <c r="G418" s="10">
        <f>IFERROR(F418*VLOOKUP(D418,TELAS!$A$4:$C$32,3,FALSE()),0)</f>
        <v>0</v>
      </c>
      <c r="H418" s="11" t="str">
        <f>IFERROR(VLOOKUP(E418,COLORES!$A$4:$B$102,2,FALSE()),"")</f>
        <v/>
      </c>
      <c r="I418" s="12">
        <f>IFERROR(IF(H418="OSCURO",VLOOKUP(D418,PRECIOS!$A$4:$F$32,2,FALSE()),IF(H418="CLARO",VLOOKUP(D418,PRECIOS!$A$4:$F$32,3,FALSE()),IF(H418="MELANGE",VLOOKUP(D418,PRECIOS!$A$4:$F$32,4,FALSE()),IF(H418="PPT",VLOOKUP(D418,PRECIOS!$A$4:$F$32,5,FALSE()),0)))),0)</f>
        <v>0</v>
      </c>
      <c r="J418" s="12">
        <f t="shared" si="12"/>
        <v>0</v>
      </c>
      <c r="K418" s="13">
        <f>IFERROR(IF(C418="",0,SUMIFS($F$4:$F$417,$C$4:$C$417,C418,$D$4:$D$417,D418,$E$4:$E$417,E418,$B$4:$B$417,"INGRESO")+SUMIFS($F$4:$F$417,$C$4:$C$417,C418,$D$4:$D$417,D418,$E$4:$E$417,E418,$B$4:$B$417,"DE REPROCESO")+SUMIFS($F$4:$F$417,$C$4:$C$417,C418,$D$4:$D$417,D418,$E$4:$E$417,E418,$B$4:$B$417,"AJUSTE+")-SUMIFS($F$4:$F$417,$C$4:$C$417,C418,$D$4:$D$417,D418,$E$4:$E$417,E418,$B$4:$B$417,"A CORTE")-SUMIFS($F$4:$F$417,$C$4:$C$417,C418,$D$4:$D$417,D418,$E$4:$E$417,E418,$B$4:$B$417,"A REPROCESO")-SUMIFS($F$4:$F$417,$C$4:$C$417,C418,$D$4:$D$417,D418,$E$4:$E$417,E418,$B$4:$B$417,"MUESTRA")-SUMIFS($F$4:$F$417,$C$4:$C$417,C418,$D$4:$D$417,D418,$E$4:$E$417,E418,$B$4:$B$417,"AJUSTE-")),0)</f>
        <v>0</v>
      </c>
      <c r="L418" s="13">
        <f t="shared" si="13"/>
        <v>0</v>
      </c>
      <c r="M418" s="8"/>
      <c r="N418" s="14"/>
      <c r="O418" s="14"/>
      <c r="P418" s="14"/>
      <c r="Q418" s="15"/>
      <c r="R418" s="16" t="str">
        <f t="shared" si="14"/>
        <v/>
      </c>
    </row>
    <row r="419" ht="15.75" customHeight="1">
      <c r="A419" s="7"/>
      <c r="B419" s="8"/>
      <c r="C419" s="8"/>
      <c r="D419" s="8"/>
      <c r="E419" s="8"/>
      <c r="F419" s="9"/>
      <c r="G419" s="10">
        <f>IFERROR(F419*VLOOKUP(D419,TELAS!$A$4:$C$32,3,FALSE()),0)</f>
        <v>0</v>
      </c>
      <c r="H419" s="11" t="str">
        <f>IFERROR(VLOOKUP(E419,COLORES!$A$4:$B$102,2,FALSE()),"")</f>
        <v/>
      </c>
      <c r="I419" s="12">
        <f>IFERROR(IF(H419="OSCURO",VLOOKUP(D419,PRECIOS!$A$4:$F$32,2,FALSE()),IF(H419="CLARO",VLOOKUP(D419,PRECIOS!$A$4:$F$32,3,FALSE()),IF(H419="MELANGE",VLOOKUP(D419,PRECIOS!$A$4:$F$32,4,FALSE()),IF(H419="PPT",VLOOKUP(D419,PRECIOS!$A$4:$F$32,5,FALSE()),0)))),0)</f>
        <v>0</v>
      </c>
      <c r="J419" s="12">
        <f t="shared" si="12"/>
        <v>0</v>
      </c>
      <c r="K419" s="13">
        <f>IFERROR(IF(C419="",0,SUMIFS($F$4:$F$418,$C$4:$C$418,C419,$D$4:$D$418,D419,$E$4:$E$418,E419,$B$4:$B$418,"INGRESO")+SUMIFS($F$4:$F$418,$C$4:$C$418,C419,$D$4:$D$418,D419,$E$4:$E$418,E419,$B$4:$B$418,"DE REPROCESO")+SUMIFS($F$4:$F$418,$C$4:$C$418,C419,$D$4:$D$418,D419,$E$4:$E$418,E419,$B$4:$B$418,"AJUSTE+")-SUMIFS($F$4:$F$418,$C$4:$C$418,C419,$D$4:$D$418,D419,$E$4:$E$418,E419,$B$4:$B$418,"A CORTE")-SUMIFS($F$4:$F$418,$C$4:$C$418,C419,$D$4:$D$418,D419,$E$4:$E$418,E419,$B$4:$B$418,"A REPROCESO")-SUMIFS($F$4:$F$418,$C$4:$C$418,C419,$D$4:$D$418,D419,$E$4:$E$418,E419,$B$4:$B$418,"MUESTRA")-SUMIFS($F$4:$F$418,$C$4:$C$418,C419,$D$4:$D$418,D419,$E$4:$E$418,E419,$B$4:$B$418,"AJUSTE-")),0)</f>
        <v>0</v>
      </c>
      <c r="L419" s="13">
        <f t="shared" si="13"/>
        <v>0</v>
      </c>
      <c r="M419" s="8"/>
      <c r="N419" s="14"/>
      <c r="O419" s="14"/>
      <c r="P419" s="14"/>
      <c r="Q419" s="15"/>
      <c r="R419" s="16" t="str">
        <f t="shared" si="14"/>
        <v/>
      </c>
    </row>
    <row r="420" ht="15.75" customHeight="1">
      <c r="A420" s="7"/>
      <c r="B420" s="8"/>
      <c r="C420" s="8"/>
      <c r="D420" s="8"/>
      <c r="E420" s="8"/>
      <c r="F420" s="9"/>
      <c r="G420" s="10">
        <f>IFERROR(F420*VLOOKUP(D420,TELAS!$A$4:$C$32,3,FALSE()),0)</f>
        <v>0</v>
      </c>
      <c r="H420" s="11" t="str">
        <f>IFERROR(VLOOKUP(E420,COLORES!$A$4:$B$102,2,FALSE()),"")</f>
        <v/>
      </c>
      <c r="I420" s="12">
        <f>IFERROR(IF(H420="OSCURO",VLOOKUP(D420,PRECIOS!$A$4:$F$32,2,FALSE()),IF(H420="CLARO",VLOOKUP(D420,PRECIOS!$A$4:$F$32,3,FALSE()),IF(H420="MELANGE",VLOOKUP(D420,PRECIOS!$A$4:$F$32,4,FALSE()),IF(H420="PPT",VLOOKUP(D420,PRECIOS!$A$4:$F$32,5,FALSE()),0)))),0)</f>
        <v>0</v>
      </c>
      <c r="J420" s="12">
        <f t="shared" si="12"/>
        <v>0</v>
      </c>
      <c r="K420" s="13">
        <f>IFERROR(IF(C420="",0,SUMIFS($F$4:$F$419,$C$4:$C$419,C420,$D$4:$D$419,D420,$E$4:$E$419,E420,$B$4:$B$419,"INGRESO")+SUMIFS($F$4:$F$419,$C$4:$C$419,C420,$D$4:$D$419,D420,$E$4:$E$419,E420,$B$4:$B$419,"DE REPROCESO")+SUMIFS($F$4:$F$419,$C$4:$C$419,C420,$D$4:$D$419,D420,$E$4:$E$419,E420,$B$4:$B$419,"AJUSTE+")-SUMIFS($F$4:$F$419,$C$4:$C$419,C420,$D$4:$D$419,D420,$E$4:$E$419,E420,$B$4:$B$419,"A CORTE")-SUMIFS($F$4:$F$419,$C$4:$C$419,C420,$D$4:$D$419,D420,$E$4:$E$419,E420,$B$4:$B$419,"A REPROCESO")-SUMIFS($F$4:$F$419,$C$4:$C$419,C420,$D$4:$D$419,D420,$E$4:$E$419,E420,$B$4:$B$419,"MUESTRA")-SUMIFS($F$4:$F$419,$C$4:$C$419,C420,$D$4:$D$419,D420,$E$4:$E$419,E420,$B$4:$B$419,"AJUSTE-")),0)</f>
        <v>0</v>
      </c>
      <c r="L420" s="13">
        <f t="shared" si="13"/>
        <v>0</v>
      </c>
      <c r="M420" s="8"/>
      <c r="N420" s="14"/>
      <c r="O420" s="14"/>
      <c r="P420" s="14"/>
      <c r="Q420" s="15"/>
      <c r="R420" s="16" t="str">
        <f t="shared" si="14"/>
        <v/>
      </c>
    </row>
    <row r="421" ht="15.75" customHeight="1">
      <c r="A421" s="7"/>
      <c r="B421" s="8"/>
      <c r="C421" s="8"/>
      <c r="D421" s="8"/>
      <c r="E421" s="8"/>
      <c r="F421" s="9"/>
      <c r="G421" s="10">
        <f>IFERROR(F421*VLOOKUP(D421,TELAS!$A$4:$C$32,3,FALSE()),0)</f>
        <v>0</v>
      </c>
      <c r="H421" s="11" t="str">
        <f>IFERROR(VLOOKUP(E421,COLORES!$A$4:$B$102,2,FALSE()),"")</f>
        <v/>
      </c>
      <c r="I421" s="12">
        <f>IFERROR(IF(H421="OSCURO",VLOOKUP(D421,PRECIOS!$A$4:$F$32,2,FALSE()),IF(H421="CLARO",VLOOKUP(D421,PRECIOS!$A$4:$F$32,3,FALSE()),IF(H421="MELANGE",VLOOKUP(D421,PRECIOS!$A$4:$F$32,4,FALSE()),IF(H421="PPT",VLOOKUP(D421,PRECIOS!$A$4:$F$32,5,FALSE()),0)))),0)</f>
        <v>0</v>
      </c>
      <c r="J421" s="12">
        <f t="shared" si="12"/>
        <v>0</v>
      </c>
      <c r="K421" s="13">
        <f>IFERROR(IF(C421="",0,SUMIFS($F$4:$F$420,$C$4:$C$420,C421,$D$4:$D$420,D421,$E$4:$E$420,E421,$B$4:$B$420,"INGRESO")+SUMIFS($F$4:$F$420,$C$4:$C$420,C421,$D$4:$D$420,D421,$E$4:$E$420,E421,$B$4:$B$420,"DE REPROCESO")+SUMIFS($F$4:$F$420,$C$4:$C$420,C421,$D$4:$D$420,D421,$E$4:$E$420,E421,$B$4:$B$420,"AJUSTE+")-SUMIFS($F$4:$F$420,$C$4:$C$420,C421,$D$4:$D$420,D421,$E$4:$E$420,E421,$B$4:$B$420,"A CORTE")-SUMIFS($F$4:$F$420,$C$4:$C$420,C421,$D$4:$D$420,D421,$E$4:$E$420,E421,$B$4:$B$420,"A REPROCESO")-SUMIFS($F$4:$F$420,$C$4:$C$420,C421,$D$4:$D$420,D421,$E$4:$E$420,E421,$B$4:$B$420,"MUESTRA")-SUMIFS($F$4:$F$420,$C$4:$C$420,C421,$D$4:$D$420,D421,$E$4:$E$420,E421,$B$4:$B$420,"AJUSTE-")),0)</f>
        <v>0</v>
      </c>
      <c r="L421" s="13">
        <f t="shared" si="13"/>
        <v>0</v>
      </c>
      <c r="M421" s="8"/>
      <c r="N421" s="14"/>
      <c r="O421" s="14"/>
      <c r="P421" s="14"/>
      <c r="Q421" s="15"/>
      <c r="R421" s="16" t="str">
        <f t="shared" si="14"/>
        <v/>
      </c>
    </row>
    <row r="422" ht="15.75" customHeight="1">
      <c r="A422" s="7"/>
      <c r="B422" s="8"/>
      <c r="C422" s="8"/>
      <c r="D422" s="8"/>
      <c r="E422" s="8"/>
      <c r="F422" s="9"/>
      <c r="G422" s="10">
        <f>IFERROR(F422*VLOOKUP(D422,TELAS!$A$4:$C$32,3,FALSE()),0)</f>
        <v>0</v>
      </c>
      <c r="H422" s="11" t="str">
        <f>IFERROR(VLOOKUP(E422,COLORES!$A$4:$B$102,2,FALSE()),"")</f>
        <v/>
      </c>
      <c r="I422" s="12">
        <f>IFERROR(IF(H422="OSCURO",VLOOKUP(D422,PRECIOS!$A$4:$F$32,2,FALSE()),IF(H422="CLARO",VLOOKUP(D422,PRECIOS!$A$4:$F$32,3,FALSE()),IF(H422="MELANGE",VLOOKUP(D422,PRECIOS!$A$4:$F$32,4,FALSE()),IF(H422="PPT",VLOOKUP(D422,PRECIOS!$A$4:$F$32,5,FALSE()),0)))),0)</f>
        <v>0</v>
      </c>
      <c r="J422" s="12">
        <f t="shared" si="12"/>
        <v>0</v>
      </c>
      <c r="K422" s="13">
        <f>IFERROR(IF(C422="",0,SUMIFS($F$4:$F$421,$C$4:$C$421,C422,$D$4:$D$421,D422,$E$4:$E$421,E422,$B$4:$B$421,"INGRESO")+SUMIFS($F$4:$F$421,$C$4:$C$421,C422,$D$4:$D$421,D422,$E$4:$E$421,E422,$B$4:$B$421,"DE REPROCESO")+SUMIFS($F$4:$F$421,$C$4:$C$421,C422,$D$4:$D$421,D422,$E$4:$E$421,E422,$B$4:$B$421,"AJUSTE+")-SUMIFS($F$4:$F$421,$C$4:$C$421,C422,$D$4:$D$421,D422,$E$4:$E$421,E422,$B$4:$B$421,"A CORTE")-SUMIFS($F$4:$F$421,$C$4:$C$421,C422,$D$4:$D$421,D422,$E$4:$E$421,E422,$B$4:$B$421,"A REPROCESO")-SUMIFS($F$4:$F$421,$C$4:$C$421,C422,$D$4:$D$421,D422,$E$4:$E$421,E422,$B$4:$B$421,"MUESTRA")-SUMIFS($F$4:$F$421,$C$4:$C$421,C422,$D$4:$D$421,D422,$E$4:$E$421,E422,$B$4:$B$421,"AJUSTE-")),0)</f>
        <v>0</v>
      </c>
      <c r="L422" s="13">
        <f t="shared" si="13"/>
        <v>0</v>
      </c>
      <c r="M422" s="8"/>
      <c r="N422" s="14"/>
      <c r="O422" s="14"/>
      <c r="P422" s="14"/>
      <c r="Q422" s="15"/>
      <c r="R422" s="16" t="str">
        <f t="shared" si="14"/>
        <v/>
      </c>
    </row>
    <row r="423" ht="15.75" customHeight="1">
      <c r="A423" s="7"/>
      <c r="B423" s="8"/>
      <c r="C423" s="8"/>
      <c r="D423" s="8"/>
      <c r="E423" s="8"/>
      <c r="F423" s="9"/>
      <c r="G423" s="10">
        <f>IFERROR(F423*VLOOKUP(D423,TELAS!$A$4:$C$32,3,FALSE()),0)</f>
        <v>0</v>
      </c>
      <c r="H423" s="11" t="str">
        <f>IFERROR(VLOOKUP(E423,COLORES!$A$4:$B$102,2,FALSE()),"")</f>
        <v/>
      </c>
      <c r="I423" s="12">
        <f>IFERROR(IF(H423="OSCURO",VLOOKUP(D423,PRECIOS!$A$4:$F$32,2,FALSE()),IF(H423="CLARO",VLOOKUP(D423,PRECIOS!$A$4:$F$32,3,FALSE()),IF(H423="MELANGE",VLOOKUP(D423,PRECIOS!$A$4:$F$32,4,FALSE()),IF(H423="PPT",VLOOKUP(D423,PRECIOS!$A$4:$F$32,5,FALSE()),0)))),0)</f>
        <v>0</v>
      </c>
      <c r="J423" s="12">
        <f t="shared" si="12"/>
        <v>0</v>
      </c>
      <c r="K423" s="13">
        <f>IFERROR(IF(C423="",0,SUMIFS($F$4:$F$422,$C$4:$C$422,C423,$D$4:$D$422,D423,$E$4:$E$422,E423,$B$4:$B$422,"INGRESO")+SUMIFS($F$4:$F$422,$C$4:$C$422,C423,$D$4:$D$422,D423,$E$4:$E$422,E423,$B$4:$B$422,"DE REPROCESO")+SUMIFS($F$4:$F$422,$C$4:$C$422,C423,$D$4:$D$422,D423,$E$4:$E$422,E423,$B$4:$B$422,"AJUSTE+")-SUMIFS($F$4:$F$422,$C$4:$C$422,C423,$D$4:$D$422,D423,$E$4:$E$422,E423,$B$4:$B$422,"A CORTE")-SUMIFS($F$4:$F$422,$C$4:$C$422,C423,$D$4:$D$422,D423,$E$4:$E$422,E423,$B$4:$B$422,"A REPROCESO")-SUMIFS($F$4:$F$422,$C$4:$C$422,C423,$D$4:$D$422,D423,$E$4:$E$422,E423,$B$4:$B$422,"MUESTRA")-SUMIFS($F$4:$F$422,$C$4:$C$422,C423,$D$4:$D$422,D423,$E$4:$E$422,E423,$B$4:$B$422,"AJUSTE-")),0)</f>
        <v>0</v>
      </c>
      <c r="L423" s="13">
        <f t="shared" si="13"/>
        <v>0</v>
      </c>
      <c r="M423" s="8"/>
      <c r="N423" s="14"/>
      <c r="O423" s="14"/>
      <c r="P423" s="14"/>
      <c r="Q423" s="15"/>
      <c r="R423" s="16" t="str">
        <f t="shared" si="14"/>
        <v/>
      </c>
    </row>
    <row r="424" ht="15.75" customHeight="1">
      <c r="A424" s="7"/>
      <c r="B424" s="8"/>
      <c r="C424" s="8"/>
      <c r="D424" s="8"/>
      <c r="E424" s="8"/>
      <c r="F424" s="9"/>
      <c r="G424" s="10">
        <f>IFERROR(F424*VLOOKUP(D424,TELAS!$A$4:$C$32,3,FALSE()),0)</f>
        <v>0</v>
      </c>
      <c r="H424" s="11" t="str">
        <f>IFERROR(VLOOKUP(E424,COLORES!$A$4:$B$102,2,FALSE()),"")</f>
        <v/>
      </c>
      <c r="I424" s="12">
        <f>IFERROR(IF(H424="OSCURO",VLOOKUP(D424,PRECIOS!$A$4:$F$32,2,FALSE()),IF(H424="CLARO",VLOOKUP(D424,PRECIOS!$A$4:$F$32,3,FALSE()),IF(H424="MELANGE",VLOOKUP(D424,PRECIOS!$A$4:$F$32,4,FALSE()),IF(H424="PPT",VLOOKUP(D424,PRECIOS!$A$4:$F$32,5,FALSE()),0)))),0)</f>
        <v>0</v>
      </c>
      <c r="J424" s="12">
        <f t="shared" si="12"/>
        <v>0</v>
      </c>
      <c r="K424" s="13">
        <f>IFERROR(IF(C424="",0,SUMIFS($F$4:$F$423,$C$4:$C$423,C424,$D$4:$D$423,D424,$E$4:$E$423,E424,$B$4:$B$423,"INGRESO")+SUMIFS($F$4:$F$423,$C$4:$C$423,C424,$D$4:$D$423,D424,$E$4:$E$423,E424,$B$4:$B$423,"DE REPROCESO")+SUMIFS($F$4:$F$423,$C$4:$C$423,C424,$D$4:$D$423,D424,$E$4:$E$423,E424,$B$4:$B$423,"AJUSTE+")-SUMIFS($F$4:$F$423,$C$4:$C$423,C424,$D$4:$D$423,D424,$E$4:$E$423,E424,$B$4:$B$423,"A CORTE")-SUMIFS($F$4:$F$423,$C$4:$C$423,C424,$D$4:$D$423,D424,$E$4:$E$423,E424,$B$4:$B$423,"A REPROCESO")-SUMIFS($F$4:$F$423,$C$4:$C$423,C424,$D$4:$D$423,D424,$E$4:$E$423,E424,$B$4:$B$423,"MUESTRA")-SUMIFS($F$4:$F$423,$C$4:$C$423,C424,$D$4:$D$423,D424,$E$4:$E$423,E424,$B$4:$B$423,"AJUSTE-")),0)</f>
        <v>0</v>
      </c>
      <c r="L424" s="13">
        <f t="shared" si="13"/>
        <v>0</v>
      </c>
      <c r="M424" s="8"/>
      <c r="N424" s="14"/>
      <c r="O424" s="14"/>
      <c r="P424" s="14"/>
      <c r="Q424" s="15"/>
      <c r="R424" s="16" t="str">
        <f t="shared" si="14"/>
        <v/>
      </c>
    </row>
    <row r="425" ht="15.75" customHeight="1">
      <c r="A425" s="7"/>
      <c r="B425" s="8"/>
      <c r="C425" s="8"/>
      <c r="D425" s="8"/>
      <c r="E425" s="8"/>
      <c r="F425" s="9"/>
      <c r="G425" s="10">
        <f>IFERROR(F425*VLOOKUP(D425,TELAS!$A$4:$C$32,3,FALSE()),0)</f>
        <v>0</v>
      </c>
      <c r="H425" s="11" t="str">
        <f>IFERROR(VLOOKUP(E425,COLORES!$A$4:$B$102,2,FALSE()),"")</f>
        <v/>
      </c>
      <c r="I425" s="12">
        <f>IFERROR(IF(H425="OSCURO",VLOOKUP(D425,PRECIOS!$A$4:$F$32,2,FALSE()),IF(H425="CLARO",VLOOKUP(D425,PRECIOS!$A$4:$F$32,3,FALSE()),IF(H425="MELANGE",VLOOKUP(D425,PRECIOS!$A$4:$F$32,4,FALSE()),IF(H425="PPT",VLOOKUP(D425,PRECIOS!$A$4:$F$32,5,FALSE()),0)))),0)</f>
        <v>0</v>
      </c>
      <c r="J425" s="12">
        <f t="shared" si="12"/>
        <v>0</v>
      </c>
      <c r="K425" s="13">
        <f>IFERROR(IF(C425="",0,SUMIFS($F$4:$F$424,$C$4:$C$424,C425,$D$4:$D$424,D425,$E$4:$E$424,E425,$B$4:$B$424,"INGRESO")+SUMIFS($F$4:$F$424,$C$4:$C$424,C425,$D$4:$D$424,D425,$E$4:$E$424,E425,$B$4:$B$424,"DE REPROCESO")+SUMIFS($F$4:$F$424,$C$4:$C$424,C425,$D$4:$D$424,D425,$E$4:$E$424,E425,$B$4:$B$424,"AJUSTE+")-SUMIFS($F$4:$F$424,$C$4:$C$424,C425,$D$4:$D$424,D425,$E$4:$E$424,E425,$B$4:$B$424,"A CORTE")-SUMIFS($F$4:$F$424,$C$4:$C$424,C425,$D$4:$D$424,D425,$E$4:$E$424,E425,$B$4:$B$424,"A REPROCESO")-SUMIFS($F$4:$F$424,$C$4:$C$424,C425,$D$4:$D$424,D425,$E$4:$E$424,E425,$B$4:$B$424,"MUESTRA")-SUMIFS($F$4:$F$424,$C$4:$C$424,C425,$D$4:$D$424,D425,$E$4:$E$424,E425,$B$4:$B$424,"AJUSTE-")),0)</f>
        <v>0</v>
      </c>
      <c r="L425" s="13">
        <f t="shared" si="13"/>
        <v>0</v>
      </c>
      <c r="M425" s="8"/>
      <c r="N425" s="14"/>
      <c r="O425" s="14"/>
      <c r="P425" s="14"/>
      <c r="Q425" s="15"/>
      <c r="R425" s="16" t="str">
        <f t="shared" si="14"/>
        <v/>
      </c>
    </row>
    <row r="426" ht="15.75" customHeight="1">
      <c r="A426" s="7"/>
      <c r="B426" s="8"/>
      <c r="C426" s="8"/>
      <c r="D426" s="8"/>
      <c r="E426" s="8"/>
      <c r="F426" s="9"/>
      <c r="G426" s="10">
        <f>IFERROR(F426*VLOOKUP(D426,TELAS!$A$4:$C$32,3,FALSE()),0)</f>
        <v>0</v>
      </c>
      <c r="H426" s="11" t="str">
        <f>IFERROR(VLOOKUP(E426,COLORES!$A$4:$B$102,2,FALSE()),"")</f>
        <v/>
      </c>
      <c r="I426" s="12">
        <f>IFERROR(IF(H426="OSCURO",VLOOKUP(D426,PRECIOS!$A$4:$F$32,2,FALSE()),IF(H426="CLARO",VLOOKUP(D426,PRECIOS!$A$4:$F$32,3,FALSE()),IF(H426="MELANGE",VLOOKUP(D426,PRECIOS!$A$4:$F$32,4,FALSE()),IF(H426="PPT",VLOOKUP(D426,PRECIOS!$A$4:$F$32,5,FALSE()),0)))),0)</f>
        <v>0</v>
      </c>
      <c r="J426" s="12">
        <f t="shared" si="12"/>
        <v>0</v>
      </c>
      <c r="K426" s="13">
        <f>IFERROR(IF(C426="",0,SUMIFS($F$4:$F$425,$C$4:$C$425,C426,$D$4:$D$425,D426,$E$4:$E$425,E426,$B$4:$B$425,"INGRESO")+SUMIFS($F$4:$F$425,$C$4:$C$425,C426,$D$4:$D$425,D426,$E$4:$E$425,E426,$B$4:$B$425,"DE REPROCESO")+SUMIFS($F$4:$F$425,$C$4:$C$425,C426,$D$4:$D$425,D426,$E$4:$E$425,E426,$B$4:$B$425,"AJUSTE+")-SUMIFS($F$4:$F$425,$C$4:$C$425,C426,$D$4:$D$425,D426,$E$4:$E$425,E426,$B$4:$B$425,"A CORTE")-SUMIFS($F$4:$F$425,$C$4:$C$425,C426,$D$4:$D$425,D426,$E$4:$E$425,E426,$B$4:$B$425,"A REPROCESO")-SUMIFS($F$4:$F$425,$C$4:$C$425,C426,$D$4:$D$425,D426,$E$4:$E$425,E426,$B$4:$B$425,"MUESTRA")-SUMIFS($F$4:$F$425,$C$4:$C$425,C426,$D$4:$D$425,D426,$E$4:$E$425,E426,$B$4:$B$425,"AJUSTE-")),0)</f>
        <v>0</v>
      </c>
      <c r="L426" s="13">
        <f t="shared" si="13"/>
        <v>0</v>
      </c>
      <c r="M426" s="8"/>
      <c r="N426" s="14"/>
      <c r="O426" s="14"/>
      <c r="P426" s="14"/>
      <c r="Q426" s="15"/>
      <c r="R426" s="16" t="str">
        <f t="shared" si="14"/>
        <v/>
      </c>
    </row>
    <row r="427" ht="15.75" customHeight="1">
      <c r="A427" s="7"/>
      <c r="B427" s="8"/>
      <c r="C427" s="8"/>
      <c r="D427" s="8"/>
      <c r="E427" s="8"/>
      <c r="F427" s="9"/>
      <c r="G427" s="10">
        <f>IFERROR(F427*VLOOKUP(D427,TELAS!$A$4:$C$32,3,FALSE()),0)</f>
        <v>0</v>
      </c>
      <c r="H427" s="11" t="str">
        <f>IFERROR(VLOOKUP(E427,COLORES!$A$4:$B$102,2,FALSE()),"")</f>
        <v/>
      </c>
      <c r="I427" s="12">
        <f>IFERROR(IF(H427="OSCURO",VLOOKUP(D427,PRECIOS!$A$4:$F$32,2,FALSE()),IF(H427="CLARO",VLOOKUP(D427,PRECIOS!$A$4:$F$32,3,FALSE()),IF(H427="MELANGE",VLOOKUP(D427,PRECIOS!$A$4:$F$32,4,FALSE()),IF(H427="PPT",VLOOKUP(D427,PRECIOS!$A$4:$F$32,5,FALSE()),0)))),0)</f>
        <v>0</v>
      </c>
      <c r="J427" s="12">
        <f t="shared" si="12"/>
        <v>0</v>
      </c>
      <c r="K427" s="13">
        <f>IFERROR(IF(C427="",0,SUMIFS($F$4:$F$426,$C$4:$C$426,C427,$D$4:$D$426,D427,$E$4:$E$426,E427,$B$4:$B$426,"INGRESO")+SUMIFS($F$4:$F$426,$C$4:$C$426,C427,$D$4:$D$426,D427,$E$4:$E$426,E427,$B$4:$B$426,"DE REPROCESO")+SUMIFS($F$4:$F$426,$C$4:$C$426,C427,$D$4:$D$426,D427,$E$4:$E$426,E427,$B$4:$B$426,"AJUSTE+")-SUMIFS($F$4:$F$426,$C$4:$C$426,C427,$D$4:$D$426,D427,$E$4:$E$426,E427,$B$4:$B$426,"A CORTE")-SUMIFS($F$4:$F$426,$C$4:$C$426,C427,$D$4:$D$426,D427,$E$4:$E$426,E427,$B$4:$B$426,"A REPROCESO")-SUMIFS($F$4:$F$426,$C$4:$C$426,C427,$D$4:$D$426,D427,$E$4:$E$426,E427,$B$4:$B$426,"MUESTRA")-SUMIFS($F$4:$F$426,$C$4:$C$426,C427,$D$4:$D$426,D427,$E$4:$E$426,E427,$B$4:$B$426,"AJUSTE-")),0)</f>
        <v>0</v>
      </c>
      <c r="L427" s="13">
        <f t="shared" si="13"/>
        <v>0</v>
      </c>
      <c r="M427" s="8"/>
      <c r="N427" s="14"/>
      <c r="O427" s="14"/>
      <c r="P427" s="14"/>
      <c r="Q427" s="15"/>
      <c r="R427" s="16" t="str">
        <f t="shared" si="14"/>
        <v/>
      </c>
    </row>
    <row r="428" ht="15.75" customHeight="1">
      <c r="A428" s="7"/>
      <c r="B428" s="8"/>
      <c r="C428" s="8"/>
      <c r="D428" s="8"/>
      <c r="E428" s="8"/>
      <c r="F428" s="9"/>
      <c r="G428" s="10">
        <f>IFERROR(F428*VLOOKUP(D428,TELAS!$A$4:$C$32,3,FALSE()),0)</f>
        <v>0</v>
      </c>
      <c r="H428" s="11" t="str">
        <f>IFERROR(VLOOKUP(E428,COLORES!$A$4:$B$102,2,FALSE()),"")</f>
        <v/>
      </c>
      <c r="I428" s="12">
        <f>IFERROR(IF(H428="OSCURO",VLOOKUP(D428,PRECIOS!$A$4:$F$32,2,FALSE()),IF(H428="CLARO",VLOOKUP(D428,PRECIOS!$A$4:$F$32,3,FALSE()),IF(H428="MELANGE",VLOOKUP(D428,PRECIOS!$A$4:$F$32,4,FALSE()),IF(H428="PPT",VLOOKUP(D428,PRECIOS!$A$4:$F$32,5,FALSE()),0)))),0)</f>
        <v>0</v>
      </c>
      <c r="J428" s="12">
        <f t="shared" si="12"/>
        <v>0</v>
      </c>
      <c r="K428" s="13">
        <f>IFERROR(IF(C428="",0,SUMIFS($F$4:$F$427,$C$4:$C$427,C428,$D$4:$D$427,D428,$E$4:$E$427,E428,$B$4:$B$427,"INGRESO")+SUMIFS($F$4:$F$427,$C$4:$C$427,C428,$D$4:$D$427,D428,$E$4:$E$427,E428,$B$4:$B$427,"DE REPROCESO")+SUMIFS($F$4:$F$427,$C$4:$C$427,C428,$D$4:$D$427,D428,$E$4:$E$427,E428,$B$4:$B$427,"AJUSTE+")-SUMIFS($F$4:$F$427,$C$4:$C$427,C428,$D$4:$D$427,D428,$E$4:$E$427,E428,$B$4:$B$427,"A CORTE")-SUMIFS($F$4:$F$427,$C$4:$C$427,C428,$D$4:$D$427,D428,$E$4:$E$427,E428,$B$4:$B$427,"A REPROCESO")-SUMIFS($F$4:$F$427,$C$4:$C$427,C428,$D$4:$D$427,D428,$E$4:$E$427,E428,$B$4:$B$427,"MUESTRA")-SUMIFS($F$4:$F$427,$C$4:$C$427,C428,$D$4:$D$427,D428,$E$4:$E$427,E428,$B$4:$B$427,"AJUSTE-")),0)</f>
        <v>0</v>
      </c>
      <c r="L428" s="13">
        <f t="shared" si="13"/>
        <v>0</v>
      </c>
      <c r="M428" s="8"/>
      <c r="N428" s="14"/>
      <c r="O428" s="14"/>
      <c r="P428" s="14"/>
      <c r="Q428" s="15"/>
      <c r="R428" s="16" t="str">
        <f t="shared" si="14"/>
        <v/>
      </c>
    </row>
    <row r="429" ht="15.75" customHeight="1">
      <c r="A429" s="7"/>
      <c r="B429" s="8"/>
      <c r="C429" s="8"/>
      <c r="D429" s="8"/>
      <c r="E429" s="8"/>
      <c r="F429" s="9"/>
      <c r="G429" s="10">
        <f>IFERROR(F429*VLOOKUP(D429,TELAS!$A$4:$C$32,3,FALSE()),0)</f>
        <v>0</v>
      </c>
      <c r="H429" s="11" t="str">
        <f>IFERROR(VLOOKUP(E429,COLORES!$A$4:$B$102,2,FALSE()),"")</f>
        <v/>
      </c>
      <c r="I429" s="12">
        <f>IFERROR(IF(H429="OSCURO",VLOOKUP(D429,PRECIOS!$A$4:$F$32,2,FALSE()),IF(H429="CLARO",VLOOKUP(D429,PRECIOS!$A$4:$F$32,3,FALSE()),IF(H429="MELANGE",VLOOKUP(D429,PRECIOS!$A$4:$F$32,4,FALSE()),IF(H429="PPT",VLOOKUP(D429,PRECIOS!$A$4:$F$32,5,FALSE()),0)))),0)</f>
        <v>0</v>
      </c>
      <c r="J429" s="12">
        <f t="shared" si="12"/>
        <v>0</v>
      </c>
      <c r="K429" s="13">
        <f>IFERROR(IF(C429="",0,SUMIFS($F$4:$F$428,$C$4:$C$428,C429,$D$4:$D$428,D429,$E$4:$E$428,E429,$B$4:$B$428,"INGRESO")+SUMIFS($F$4:$F$428,$C$4:$C$428,C429,$D$4:$D$428,D429,$E$4:$E$428,E429,$B$4:$B$428,"DE REPROCESO")+SUMIFS($F$4:$F$428,$C$4:$C$428,C429,$D$4:$D$428,D429,$E$4:$E$428,E429,$B$4:$B$428,"AJUSTE+")-SUMIFS($F$4:$F$428,$C$4:$C$428,C429,$D$4:$D$428,D429,$E$4:$E$428,E429,$B$4:$B$428,"A CORTE")-SUMIFS($F$4:$F$428,$C$4:$C$428,C429,$D$4:$D$428,D429,$E$4:$E$428,E429,$B$4:$B$428,"A REPROCESO")-SUMIFS($F$4:$F$428,$C$4:$C$428,C429,$D$4:$D$428,D429,$E$4:$E$428,E429,$B$4:$B$428,"MUESTRA")-SUMIFS($F$4:$F$428,$C$4:$C$428,C429,$D$4:$D$428,D429,$E$4:$E$428,E429,$B$4:$B$428,"AJUSTE-")),0)</f>
        <v>0</v>
      </c>
      <c r="L429" s="13">
        <f t="shared" si="13"/>
        <v>0</v>
      </c>
      <c r="M429" s="8"/>
      <c r="N429" s="14"/>
      <c r="O429" s="14"/>
      <c r="P429" s="14"/>
      <c r="Q429" s="15"/>
      <c r="R429" s="16" t="str">
        <f t="shared" si="14"/>
        <v/>
      </c>
    </row>
    <row r="430" ht="15.75" customHeight="1">
      <c r="A430" s="7"/>
      <c r="B430" s="8"/>
      <c r="C430" s="8"/>
      <c r="D430" s="8"/>
      <c r="E430" s="8"/>
      <c r="F430" s="9"/>
      <c r="G430" s="10">
        <f>IFERROR(F430*VLOOKUP(D430,TELAS!$A$4:$C$32,3,FALSE()),0)</f>
        <v>0</v>
      </c>
      <c r="H430" s="11" t="str">
        <f>IFERROR(VLOOKUP(E430,COLORES!$A$4:$B$102,2,FALSE()),"")</f>
        <v/>
      </c>
      <c r="I430" s="12">
        <f>IFERROR(IF(H430="OSCURO",VLOOKUP(D430,PRECIOS!$A$4:$F$32,2,FALSE()),IF(H430="CLARO",VLOOKUP(D430,PRECIOS!$A$4:$F$32,3,FALSE()),IF(H430="MELANGE",VLOOKUP(D430,PRECIOS!$A$4:$F$32,4,FALSE()),IF(H430="PPT",VLOOKUP(D430,PRECIOS!$A$4:$F$32,5,FALSE()),0)))),0)</f>
        <v>0</v>
      </c>
      <c r="J430" s="12">
        <f t="shared" si="12"/>
        <v>0</v>
      </c>
      <c r="K430" s="13">
        <f>IFERROR(IF(C430="",0,SUMIFS($F$4:$F$429,$C$4:$C$429,C430,$D$4:$D$429,D430,$E$4:$E$429,E430,$B$4:$B$429,"INGRESO")+SUMIFS($F$4:$F$429,$C$4:$C$429,C430,$D$4:$D$429,D430,$E$4:$E$429,E430,$B$4:$B$429,"DE REPROCESO")+SUMIFS($F$4:$F$429,$C$4:$C$429,C430,$D$4:$D$429,D430,$E$4:$E$429,E430,$B$4:$B$429,"AJUSTE+")-SUMIFS($F$4:$F$429,$C$4:$C$429,C430,$D$4:$D$429,D430,$E$4:$E$429,E430,$B$4:$B$429,"A CORTE")-SUMIFS($F$4:$F$429,$C$4:$C$429,C430,$D$4:$D$429,D430,$E$4:$E$429,E430,$B$4:$B$429,"A REPROCESO")-SUMIFS($F$4:$F$429,$C$4:$C$429,C430,$D$4:$D$429,D430,$E$4:$E$429,E430,$B$4:$B$429,"MUESTRA")-SUMIFS($F$4:$F$429,$C$4:$C$429,C430,$D$4:$D$429,D430,$E$4:$E$429,E430,$B$4:$B$429,"AJUSTE-")),0)</f>
        <v>0</v>
      </c>
      <c r="L430" s="13">
        <f t="shared" si="13"/>
        <v>0</v>
      </c>
      <c r="M430" s="8"/>
      <c r="N430" s="14"/>
      <c r="O430" s="14"/>
      <c r="P430" s="14"/>
      <c r="Q430" s="15"/>
      <c r="R430" s="16" t="str">
        <f t="shared" si="14"/>
        <v/>
      </c>
    </row>
    <row r="431" ht="15.75" customHeight="1">
      <c r="A431" s="7"/>
      <c r="B431" s="8"/>
      <c r="C431" s="8"/>
      <c r="D431" s="8"/>
      <c r="E431" s="8"/>
      <c r="F431" s="9"/>
      <c r="G431" s="10">
        <f>IFERROR(F431*VLOOKUP(D431,TELAS!$A$4:$C$32,3,FALSE()),0)</f>
        <v>0</v>
      </c>
      <c r="H431" s="11" t="str">
        <f>IFERROR(VLOOKUP(E431,COLORES!$A$4:$B$102,2,FALSE()),"")</f>
        <v/>
      </c>
      <c r="I431" s="12">
        <f>IFERROR(IF(H431="OSCURO",VLOOKUP(D431,PRECIOS!$A$4:$F$32,2,FALSE()),IF(H431="CLARO",VLOOKUP(D431,PRECIOS!$A$4:$F$32,3,FALSE()),IF(H431="MELANGE",VLOOKUP(D431,PRECIOS!$A$4:$F$32,4,FALSE()),IF(H431="PPT",VLOOKUP(D431,PRECIOS!$A$4:$F$32,5,FALSE()),0)))),0)</f>
        <v>0</v>
      </c>
      <c r="J431" s="12">
        <f t="shared" si="12"/>
        <v>0</v>
      </c>
      <c r="K431" s="13">
        <f>IFERROR(IF(C431="",0,SUMIFS($F$4:$F$430,$C$4:$C$430,C431,$D$4:$D$430,D431,$E$4:$E$430,E431,$B$4:$B$430,"INGRESO")+SUMIFS($F$4:$F$430,$C$4:$C$430,C431,$D$4:$D$430,D431,$E$4:$E$430,E431,$B$4:$B$430,"DE REPROCESO")+SUMIFS($F$4:$F$430,$C$4:$C$430,C431,$D$4:$D$430,D431,$E$4:$E$430,E431,$B$4:$B$430,"AJUSTE+")-SUMIFS($F$4:$F$430,$C$4:$C$430,C431,$D$4:$D$430,D431,$E$4:$E$430,E431,$B$4:$B$430,"A CORTE")-SUMIFS($F$4:$F$430,$C$4:$C$430,C431,$D$4:$D$430,D431,$E$4:$E$430,E431,$B$4:$B$430,"A REPROCESO")-SUMIFS($F$4:$F$430,$C$4:$C$430,C431,$D$4:$D$430,D431,$E$4:$E$430,E431,$B$4:$B$430,"MUESTRA")-SUMIFS($F$4:$F$430,$C$4:$C$430,C431,$D$4:$D$430,D431,$E$4:$E$430,E431,$B$4:$B$430,"AJUSTE-")),0)</f>
        <v>0</v>
      </c>
      <c r="L431" s="13">
        <f t="shared" si="13"/>
        <v>0</v>
      </c>
      <c r="M431" s="8"/>
      <c r="N431" s="14"/>
      <c r="O431" s="14"/>
      <c r="P431" s="14"/>
      <c r="Q431" s="15"/>
      <c r="R431" s="16" t="str">
        <f t="shared" si="14"/>
        <v/>
      </c>
    </row>
    <row r="432" ht="15.75" customHeight="1">
      <c r="A432" s="7"/>
      <c r="B432" s="8"/>
      <c r="C432" s="8"/>
      <c r="D432" s="8"/>
      <c r="E432" s="8"/>
      <c r="F432" s="9"/>
      <c r="G432" s="10">
        <f>IFERROR(F432*VLOOKUP(D432,TELAS!$A$4:$C$32,3,FALSE()),0)</f>
        <v>0</v>
      </c>
      <c r="H432" s="11" t="str">
        <f>IFERROR(VLOOKUP(E432,COLORES!$A$4:$B$102,2,FALSE()),"")</f>
        <v/>
      </c>
      <c r="I432" s="12">
        <f>IFERROR(IF(H432="OSCURO",VLOOKUP(D432,PRECIOS!$A$4:$F$32,2,FALSE()),IF(H432="CLARO",VLOOKUP(D432,PRECIOS!$A$4:$F$32,3,FALSE()),IF(H432="MELANGE",VLOOKUP(D432,PRECIOS!$A$4:$F$32,4,FALSE()),IF(H432="PPT",VLOOKUP(D432,PRECIOS!$A$4:$F$32,5,FALSE()),0)))),0)</f>
        <v>0</v>
      </c>
      <c r="J432" s="12">
        <f t="shared" si="12"/>
        <v>0</v>
      </c>
      <c r="K432" s="13">
        <f>IFERROR(IF(C432="",0,SUMIFS($F$4:$F$431,$C$4:$C$431,C432,$D$4:$D$431,D432,$E$4:$E$431,E432,$B$4:$B$431,"INGRESO")+SUMIFS($F$4:$F$431,$C$4:$C$431,C432,$D$4:$D$431,D432,$E$4:$E$431,E432,$B$4:$B$431,"DE REPROCESO")+SUMIFS($F$4:$F$431,$C$4:$C$431,C432,$D$4:$D$431,D432,$E$4:$E$431,E432,$B$4:$B$431,"AJUSTE+")-SUMIFS($F$4:$F$431,$C$4:$C$431,C432,$D$4:$D$431,D432,$E$4:$E$431,E432,$B$4:$B$431,"A CORTE")-SUMIFS($F$4:$F$431,$C$4:$C$431,C432,$D$4:$D$431,D432,$E$4:$E$431,E432,$B$4:$B$431,"A REPROCESO")-SUMIFS($F$4:$F$431,$C$4:$C$431,C432,$D$4:$D$431,D432,$E$4:$E$431,E432,$B$4:$B$431,"MUESTRA")-SUMIFS($F$4:$F$431,$C$4:$C$431,C432,$D$4:$D$431,D432,$E$4:$E$431,E432,$B$4:$B$431,"AJUSTE-")),0)</f>
        <v>0</v>
      </c>
      <c r="L432" s="13">
        <f t="shared" si="13"/>
        <v>0</v>
      </c>
      <c r="M432" s="8"/>
      <c r="N432" s="14"/>
      <c r="O432" s="14"/>
      <c r="P432" s="14"/>
      <c r="Q432" s="15"/>
      <c r="R432" s="16" t="str">
        <f t="shared" si="14"/>
        <v/>
      </c>
    </row>
    <row r="433" ht="15.75" customHeight="1">
      <c r="A433" s="7"/>
      <c r="B433" s="8"/>
      <c r="C433" s="8"/>
      <c r="D433" s="8"/>
      <c r="E433" s="8"/>
      <c r="F433" s="9"/>
      <c r="G433" s="10">
        <f>IFERROR(F433*VLOOKUP(D433,TELAS!$A$4:$C$32,3,FALSE()),0)</f>
        <v>0</v>
      </c>
      <c r="H433" s="11" t="str">
        <f>IFERROR(VLOOKUP(E433,COLORES!$A$4:$B$102,2,FALSE()),"")</f>
        <v/>
      </c>
      <c r="I433" s="12">
        <f>IFERROR(IF(H433="OSCURO",VLOOKUP(D433,PRECIOS!$A$4:$F$32,2,FALSE()),IF(H433="CLARO",VLOOKUP(D433,PRECIOS!$A$4:$F$32,3,FALSE()),IF(H433="MELANGE",VLOOKUP(D433,PRECIOS!$A$4:$F$32,4,FALSE()),IF(H433="PPT",VLOOKUP(D433,PRECIOS!$A$4:$F$32,5,FALSE()),0)))),0)</f>
        <v>0</v>
      </c>
      <c r="J433" s="12">
        <f t="shared" si="12"/>
        <v>0</v>
      </c>
      <c r="K433" s="13">
        <f>IFERROR(IF(C433="",0,SUMIFS($F$4:$F$432,$C$4:$C$432,C433,$D$4:$D$432,D433,$E$4:$E$432,E433,$B$4:$B$432,"INGRESO")+SUMIFS($F$4:$F$432,$C$4:$C$432,C433,$D$4:$D$432,D433,$E$4:$E$432,E433,$B$4:$B$432,"DE REPROCESO")+SUMIFS($F$4:$F$432,$C$4:$C$432,C433,$D$4:$D$432,D433,$E$4:$E$432,E433,$B$4:$B$432,"AJUSTE+")-SUMIFS($F$4:$F$432,$C$4:$C$432,C433,$D$4:$D$432,D433,$E$4:$E$432,E433,$B$4:$B$432,"A CORTE")-SUMIFS($F$4:$F$432,$C$4:$C$432,C433,$D$4:$D$432,D433,$E$4:$E$432,E433,$B$4:$B$432,"A REPROCESO")-SUMIFS($F$4:$F$432,$C$4:$C$432,C433,$D$4:$D$432,D433,$E$4:$E$432,E433,$B$4:$B$432,"MUESTRA")-SUMIFS($F$4:$F$432,$C$4:$C$432,C433,$D$4:$D$432,D433,$E$4:$E$432,E433,$B$4:$B$432,"AJUSTE-")),0)</f>
        <v>0</v>
      </c>
      <c r="L433" s="13">
        <f t="shared" si="13"/>
        <v>0</v>
      </c>
      <c r="M433" s="8"/>
      <c r="N433" s="14"/>
      <c r="O433" s="14"/>
      <c r="P433" s="14"/>
      <c r="Q433" s="15"/>
      <c r="R433" s="16" t="str">
        <f t="shared" si="14"/>
        <v/>
      </c>
    </row>
    <row r="434" ht="15.75" customHeight="1">
      <c r="A434" s="7"/>
      <c r="B434" s="8"/>
      <c r="C434" s="8"/>
      <c r="D434" s="8"/>
      <c r="E434" s="8"/>
      <c r="F434" s="9"/>
      <c r="G434" s="10">
        <f>IFERROR(F434*VLOOKUP(D434,TELAS!$A$4:$C$32,3,FALSE()),0)</f>
        <v>0</v>
      </c>
      <c r="H434" s="11" t="str">
        <f>IFERROR(VLOOKUP(E434,COLORES!$A$4:$B$102,2,FALSE()),"")</f>
        <v/>
      </c>
      <c r="I434" s="12">
        <f>IFERROR(IF(H434="OSCURO",VLOOKUP(D434,PRECIOS!$A$4:$F$32,2,FALSE()),IF(H434="CLARO",VLOOKUP(D434,PRECIOS!$A$4:$F$32,3,FALSE()),IF(H434="MELANGE",VLOOKUP(D434,PRECIOS!$A$4:$F$32,4,FALSE()),IF(H434="PPT",VLOOKUP(D434,PRECIOS!$A$4:$F$32,5,FALSE()),0)))),0)</f>
        <v>0</v>
      </c>
      <c r="J434" s="12">
        <f t="shared" si="12"/>
        <v>0</v>
      </c>
      <c r="K434" s="13">
        <f>IFERROR(IF(C434="",0,SUMIFS($F$4:$F$433,$C$4:$C$433,C434,$D$4:$D$433,D434,$E$4:$E$433,E434,$B$4:$B$433,"INGRESO")+SUMIFS($F$4:$F$433,$C$4:$C$433,C434,$D$4:$D$433,D434,$E$4:$E$433,E434,$B$4:$B$433,"DE REPROCESO")+SUMIFS($F$4:$F$433,$C$4:$C$433,C434,$D$4:$D$433,D434,$E$4:$E$433,E434,$B$4:$B$433,"AJUSTE+")-SUMIFS($F$4:$F$433,$C$4:$C$433,C434,$D$4:$D$433,D434,$E$4:$E$433,E434,$B$4:$B$433,"A CORTE")-SUMIFS($F$4:$F$433,$C$4:$C$433,C434,$D$4:$D$433,D434,$E$4:$E$433,E434,$B$4:$B$433,"A REPROCESO")-SUMIFS($F$4:$F$433,$C$4:$C$433,C434,$D$4:$D$433,D434,$E$4:$E$433,E434,$B$4:$B$433,"MUESTRA")-SUMIFS($F$4:$F$433,$C$4:$C$433,C434,$D$4:$D$433,D434,$E$4:$E$433,E434,$B$4:$B$433,"AJUSTE-")),0)</f>
        <v>0</v>
      </c>
      <c r="L434" s="13">
        <f t="shared" si="13"/>
        <v>0</v>
      </c>
      <c r="M434" s="8"/>
      <c r="N434" s="14"/>
      <c r="O434" s="14"/>
      <c r="P434" s="14"/>
      <c r="Q434" s="15"/>
      <c r="R434" s="16" t="str">
        <f t="shared" si="14"/>
        <v/>
      </c>
    </row>
    <row r="435" ht="15.75" customHeight="1">
      <c r="A435" s="7"/>
      <c r="B435" s="8"/>
      <c r="C435" s="8"/>
      <c r="D435" s="8"/>
      <c r="E435" s="8"/>
      <c r="F435" s="9"/>
      <c r="G435" s="10">
        <f>IFERROR(F435*VLOOKUP(D435,TELAS!$A$4:$C$32,3,FALSE()),0)</f>
        <v>0</v>
      </c>
      <c r="H435" s="11" t="str">
        <f>IFERROR(VLOOKUP(E435,COLORES!$A$4:$B$102,2,FALSE()),"")</f>
        <v/>
      </c>
      <c r="I435" s="12">
        <f>IFERROR(IF(H435="OSCURO",VLOOKUP(D435,PRECIOS!$A$4:$F$32,2,FALSE()),IF(H435="CLARO",VLOOKUP(D435,PRECIOS!$A$4:$F$32,3,FALSE()),IF(H435="MELANGE",VLOOKUP(D435,PRECIOS!$A$4:$F$32,4,FALSE()),IF(H435="PPT",VLOOKUP(D435,PRECIOS!$A$4:$F$32,5,FALSE()),0)))),0)</f>
        <v>0</v>
      </c>
      <c r="J435" s="12">
        <f t="shared" si="12"/>
        <v>0</v>
      </c>
      <c r="K435" s="13">
        <f>IFERROR(IF(C435="",0,SUMIFS($F$4:$F$434,$C$4:$C$434,C435,$D$4:$D$434,D435,$E$4:$E$434,E435,$B$4:$B$434,"INGRESO")+SUMIFS($F$4:$F$434,$C$4:$C$434,C435,$D$4:$D$434,D435,$E$4:$E$434,E435,$B$4:$B$434,"DE REPROCESO")+SUMIFS($F$4:$F$434,$C$4:$C$434,C435,$D$4:$D$434,D435,$E$4:$E$434,E435,$B$4:$B$434,"AJUSTE+")-SUMIFS($F$4:$F$434,$C$4:$C$434,C435,$D$4:$D$434,D435,$E$4:$E$434,E435,$B$4:$B$434,"A CORTE")-SUMIFS($F$4:$F$434,$C$4:$C$434,C435,$D$4:$D$434,D435,$E$4:$E$434,E435,$B$4:$B$434,"A REPROCESO")-SUMIFS($F$4:$F$434,$C$4:$C$434,C435,$D$4:$D$434,D435,$E$4:$E$434,E435,$B$4:$B$434,"MUESTRA")-SUMIFS($F$4:$F$434,$C$4:$C$434,C435,$D$4:$D$434,D435,$E$4:$E$434,E435,$B$4:$B$434,"AJUSTE-")),0)</f>
        <v>0</v>
      </c>
      <c r="L435" s="13">
        <f t="shared" si="13"/>
        <v>0</v>
      </c>
      <c r="M435" s="8"/>
      <c r="N435" s="14"/>
      <c r="O435" s="14"/>
      <c r="P435" s="14"/>
      <c r="Q435" s="15"/>
      <c r="R435" s="16" t="str">
        <f t="shared" si="14"/>
        <v/>
      </c>
    </row>
    <row r="436" ht="15.75" customHeight="1">
      <c r="A436" s="7"/>
      <c r="B436" s="8"/>
      <c r="C436" s="8"/>
      <c r="D436" s="8"/>
      <c r="E436" s="8"/>
      <c r="F436" s="9"/>
      <c r="G436" s="10">
        <f>IFERROR(F436*VLOOKUP(D436,TELAS!$A$4:$C$32,3,FALSE()),0)</f>
        <v>0</v>
      </c>
      <c r="H436" s="11" t="str">
        <f>IFERROR(VLOOKUP(E436,COLORES!$A$4:$B$102,2,FALSE()),"")</f>
        <v/>
      </c>
      <c r="I436" s="12">
        <f>IFERROR(IF(H436="OSCURO",VLOOKUP(D436,PRECIOS!$A$4:$F$32,2,FALSE()),IF(H436="CLARO",VLOOKUP(D436,PRECIOS!$A$4:$F$32,3,FALSE()),IF(H436="MELANGE",VLOOKUP(D436,PRECIOS!$A$4:$F$32,4,FALSE()),IF(H436="PPT",VLOOKUP(D436,PRECIOS!$A$4:$F$32,5,FALSE()),0)))),0)</f>
        <v>0</v>
      </c>
      <c r="J436" s="12">
        <f t="shared" si="12"/>
        <v>0</v>
      </c>
      <c r="K436" s="13">
        <f>IFERROR(IF(C436="",0,SUMIFS($F$4:$F$435,$C$4:$C$435,C436,$D$4:$D$435,D436,$E$4:$E$435,E436,$B$4:$B$435,"INGRESO")+SUMIFS($F$4:$F$435,$C$4:$C$435,C436,$D$4:$D$435,D436,$E$4:$E$435,E436,$B$4:$B$435,"DE REPROCESO")+SUMIFS($F$4:$F$435,$C$4:$C$435,C436,$D$4:$D$435,D436,$E$4:$E$435,E436,$B$4:$B$435,"AJUSTE+")-SUMIFS($F$4:$F$435,$C$4:$C$435,C436,$D$4:$D$435,D436,$E$4:$E$435,E436,$B$4:$B$435,"A CORTE")-SUMIFS($F$4:$F$435,$C$4:$C$435,C436,$D$4:$D$435,D436,$E$4:$E$435,E436,$B$4:$B$435,"A REPROCESO")-SUMIFS($F$4:$F$435,$C$4:$C$435,C436,$D$4:$D$435,D436,$E$4:$E$435,E436,$B$4:$B$435,"MUESTRA")-SUMIFS($F$4:$F$435,$C$4:$C$435,C436,$D$4:$D$435,D436,$E$4:$E$435,E436,$B$4:$B$435,"AJUSTE-")),0)</f>
        <v>0</v>
      </c>
      <c r="L436" s="13">
        <f t="shared" si="13"/>
        <v>0</v>
      </c>
      <c r="M436" s="8"/>
      <c r="N436" s="14"/>
      <c r="O436" s="14"/>
      <c r="P436" s="14"/>
      <c r="Q436" s="15"/>
      <c r="R436" s="16" t="str">
        <f t="shared" si="14"/>
        <v/>
      </c>
    </row>
    <row r="437" ht="15.75" customHeight="1">
      <c r="A437" s="7"/>
      <c r="B437" s="8"/>
      <c r="C437" s="8"/>
      <c r="D437" s="8"/>
      <c r="E437" s="8"/>
      <c r="F437" s="9"/>
      <c r="G437" s="10">
        <f>IFERROR(F437*VLOOKUP(D437,TELAS!$A$4:$C$32,3,FALSE()),0)</f>
        <v>0</v>
      </c>
      <c r="H437" s="11" t="str">
        <f>IFERROR(VLOOKUP(E437,COLORES!$A$4:$B$102,2,FALSE()),"")</f>
        <v/>
      </c>
      <c r="I437" s="12">
        <f>IFERROR(IF(H437="OSCURO",VLOOKUP(D437,PRECIOS!$A$4:$F$32,2,FALSE()),IF(H437="CLARO",VLOOKUP(D437,PRECIOS!$A$4:$F$32,3,FALSE()),IF(H437="MELANGE",VLOOKUP(D437,PRECIOS!$A$4:$F$32,4,FALSE()),IF(H437="PPT",VLOOKUP(D437,PRECIOS!$A$4:$F$32,5,FALSE()),0)))),0)</f>
        <v>0</v>
      </c>
      <c r="J437" s="12">
        <f t="shared" si="12"/>
        <v>0</v>
      </c>
      <c r="K437" s="13">
        <f>IFERROR(IF(C437="",0,SUMIFS($F$4:$F$436,$C$4:$C$436,C437,$D$4:$D$436,D437,$E$4:$E$436,E437,$B$4:$B$436,"INGRESO")+SUMIFS($F$4:$F$436,$C$4:$C$436,C437,$D$4:$D$436,D437,$E$4:$E$436,E437,$B$4:$B$436,"DE REPROCESO")+SUMIFS($F$4:$F$436,$C$4:$C$436,C437,$D$4:$D$436,D437,$E$4:$E$436,E437,$B$4:$B$436,"AJUSTE+")-SUMIFS($F$4:$F$436,$C$4:$C$436,C437,$D$4:$D$436,D437,$E$4:$E$436,E437,$B$4:$B$436,"A CORTE")-SUMIFS($F$4:$F$436,$C$4:$C$436,C437,$D$4:$D$436,D437,$E$4:$E$436,E437,$B$4:$B$436,"A REPROCESO")-SUMIFS($F$4:$F$436,$C$4:$C$436,C437,$D$4:$D$436,D437,$E$4:$E$436,E437,$B$4:$B$436,"MUESTRA")-SUMIFS($F$4:$F$436,$C$4:$C$436,C437,$D$4:$D$436,D437,$E$4:$E$436,E437,$B$4:$B$436,"AJUSTE-")),0)</f>
        <v>0</v>
      </c>
      <c r="L437" s="13">
        <f t="shared" si="13"/>
        <v>0</v>
      </c>
      <c r="M437" s="8"/>
      <c r="N437" s="14"/>
      <c r="O437" s="14"/>
      <c r="P437" s="14"/>
      <c r="Q437" s="15"/>
      <c r="R437" s="16" t="str">
        <f t="shared" si="14"/>
        <v/>
      </c>
    </row>
    <row r="438" ht="15.75" customHeight="1">
      <c r="A438" s="7"/>
      <c r="B438" s="8"/>
      <c r="C438" s="8"/>
      <c r="D438" s="8"/>
      <c r="E438" s="8"/>
      <c r="F438" s="9"/>
      <c r="G438" s="10">
        <f>IFERROR(F438*VLOOKUP(D438,TELAS!$A$4:$C$32,3,FALSE()),0)</f>
        <v>0</v>
      </c>
      <c r="H438" s="11" t="str">
        <f>IFERROR(VLOOKUP(E438,COLORES!$A$4:$B$102,2,FALSE()),"")</f>
        <v/>
      </c>
      <c r="I438" s="12">
        <f>IFERROR(IF(H438="OSCURO",VLOOKUP(D438,PRECIOS!$A$4:$F$32,2,FALSE()),IF(H438="CLARO",VLOOKUP(D438,PRECIOS!$A$4:$F$32,3,FALSE()),IF(H438="MELANGE",VLOOKUP(D438,PRECIOS!$A$4:$F$32,4,FALSE()),IF(H438="PPT",VLOOKUP(D438,PRECIOS!$A$4:$F$32,5,FALSE()),0)))),0)</f>
        <v>0</v>
      </c>
      <c r="J438" s="12">
        <f t="shared" si="12"/>
        <v>0</v>
      </c>
      <c r="K438" s="13">
        <f>IFERROR(IF(C438="",0,SUMIFS($F$4:$F$437,$C$4:$C$437,C438,$D$4:$D$437,D438,$E$4:$E$437,E438,$B$4:$B$437,"INGRESO")+SUMIFS($F$4:$F$437,$C$4:$C$437,C438,$D$4:$D$437,D438,$E$4:$E$437,E438,$B$4:$B$437,"DE REPROCESO")+SUMIFS($F$4:$F$437,$C$4:$C$437,C438,$D$4:$D$437,D438,$E$4:$E$437,E438,$B$4:$B$437,"AJUSTE+")-SUMIFS($F$4:$F$437,$C$4:$C$437,C438,$D$4:$D$437,D438,$E$4:$E$437,E438,$B$4:$B$437,"A CORTE")-SUMIFS($F$4:$F$437,$C$4:$C$437,C438,$D$4:$D$437,D438,$E$4:$E$437,E438,$B$4:$B$437,"A REPROCESO")-SUMIFS($F$4:$F$437,$C$4:$C$437,C438,$D$4:$D$437,D438,$E$4:$E$437,E438,$B$4:$B$437,"MUESTRA")-SUMIFS($F$4:$F$437,$C$4:$C$437,C438,$D$4:$D$437,D438,$E$4:$E$437,E438,$B$4:$B$437,"AJUSTE-")),0)</f>
        <v>0</v>
      </c>
      <c r="L438" s="13">
        <f t="shared" si="13"/>
        <v>0</v>
      </c>
      <c r="M438" s="8"/>
      <c r="N438" s="14"/>
      <c r="O438" s="14"/>
      <c r="P438" s="14"/>
      <c r="Q438" s="15"/>
      <c r="R438" s="16" t="str">
        <f t="shared" si="14"/>
        <v/>
      </c>
    </row>
    <row r="439" ht="15.75" customHeight="1">
      <c r="A439" s="7"/>
      <c r="B439" s="8"/>
      <c r="C439" s="8"/>
      <c r="D439" s="8"/>
      <c r="E439" s="8"/>
      <c r="F439" s="9"/>
      <c r="G439" s="10">
        <f>IFERROR(F439*VLOOKUP(D439,TELAS!$A$4:$C$32,3,FALSE()),0)</f>
        <v>0</v>
      </c>
      <c r="H439" s="11" t="str">
        <f>IFERROR(VLOOKUP(E439,COLORES!$A$4:$B$102,2,FALSE()),"")</f>
        <v/>
      </c>
      <c r="I439" s="12">
        <f>IFERROR(IF(H439="OSCURO",VLOOKUP(D439,PRECIOS!$A$4:$F$32,2,FALSE()),IF(H439="CLARO",VLOOKUP(D439,PRECIOS!$A$4:$F$32,3,FALSE()),IF(H439="MELANGE",VLOOKUP(D439,PRECIOS!$A$4:$F$32,4,FALSE()),IF(H439="PPT",VLOOKUP(D439,PRECIOS!$A$4:$F$32,5,FALSE()),0)))),0)</f>
        <v>0</v>
      </c>
      <c r="J439" s="12">
        <f t="shared" si="12"/>
        <v>0</v>
      </c>
      <c r="K439" s="13">
        <f>IFERROR(IF(C439="",0,SUMIFS($F$4:$F$438,$C$4:$C$438,C439,$D$4:$D$438,D439,$E$4:$E$438,E439,$B$4:$B$438,"INGRESO")+SUMIFS($F$4:$F$438,$C$4:$C$438,C439,$D$4:$D$438,D439,$E$4:$E$438,E439,$B$4:$B$438,"DE REPROCESO")+SUMIFS($F$4:$F$438,$C$4:$C$438,C439,$D$4:$D$438,D439,$E$4:$E$438,E439,$B$4:$B$438,"AJUSTE+")-SUMIFS($F$4:$F$438,$C$4:$C$438,C439,$D$4:$D$438,D439,$E$4:$E$438,E439,$B$4:$B$438,"A CORTE")-SUMIFS($F$4:$F$438,$C$4:$C$438,C439,$D$4:$D$438,D439,$E$4:$E$438,E439,$B$4:$B$438,"A REPROCESO")-SUMIFS($F$4:$F$438,$C$4:$C$438,C439,$D$4:$D$438,D439,$E$4:$E$438,E439,$B$4:$B$438,"MUESTRA")-SUMIFS($F$4:$F$438,$C$4:$C$438,C439,$D$4:$D$438,D439,$E$4:$E$438,E439,$B$4:$B$438,"AJUSTE-")),0)</f>
        <v>0</v>
      </c>
      <c r="L439" s="13">
        <f t="shared" si="13"/>
        <v>0</v>
      </c>
      <c r="M439" s="8"/>
      <c r="N439" s="14"/>
      <c r="O439" s="14"/>
      <c r="P439" s="14"/>
      <c r="Q439" s="15"/>
      <c r="R439" s="16" t="str">
        <f t="shared" si="14"/>
        <v/>
      </c>
    </row>
    <row r="440" ht="15.75" customHeight="1">
      <c r="A440" s="7"/>
      <c r="B440" s="8"/>
      <c r="C440" s="8"/>
      <c r="D440" s="8"/>
      <c r="E440" s="8"/>
      <c r="F440" s="9"/>
      <c r="G440" s="10">
        <f>IFERROR(F440*VLOOKUP(D440,TELAS!$A$4:$C$32,3,FALSE()),0)</f>
        <v>0</v>
      </c>
      <c r="H440" s="11" t="str">
        <f>IFERROR(VLOOKUP(E440,COLORES!$A$4:$B$102,2,FALSE()),"")</f>
        <v/>
      </c>
      <c r="I440" s="12">
        <f>IFERROR(IF(H440="OSCURO",VLOOKUP(D440,PRECIOS!$A$4:$F$32,2,FALSE()),IF(H440="CLARO",VLOOKUP(D440,PRECIOS!$A$4:$F$32,3,FALSE()),IF(H440="MELANGE",VLOOKUP(D440,PRECIOS!$A$4:$F$32,4,FALSE()),IF(H440="PPT",VLOOKUP(D440,PRECIOS!$A$4:$F$32,5,FALSE()),0)))),0)</f>
        <v>0</v>
      </c>
      <c r="J440" s="12">
        <f t="shared" si="12"/>
        <v>0</v>
      </c>
      <c r="K440" s="13">
        <f>IFERROR(IF(C440="",0,SUMIFS($F$4:$F$439,$C$4:$C$439,C440,$D$4:$D$439,D440,$E$4:$E$439,E440,$B$4:$B$439,"INGRESO")+SUMIFS($F$4:$F$439,$C$4:$C$439,C440,$D$4:$D$439,D440,$E$4:$E$439,E440,$B$4:$B$439,"DE REPROCESO")+SUMIFS($F$4:$F$439,$C$4:$C$439,C440,$D$4:$D$439,D440,$E$4:$E$439,E440,$B$4:$B$439,"AJUSTE+")-SUMIFS($F$4:$F$439,$C$4:$C$439,C440,$D$4:$D$439,D440,$E$4:$E$439,E440,$B$4:$B$439,"A CORTE")-SUMIFS($F$4:$F$439,$C$4:$C$439,C440,$D$4:$D$439,D440,$E$4:$E$439,E440,$B$4:$B$439,"A REPROCESO")-SUMIFS($F$4:$F$439,$C$4:$C$439,C440,$D$4:$D$439,D440,$E$4:$E$439,E440,$B$4:$B$439,"MUESTRA")-SUMIFS($F$4:$F$439,$C$4:$C$439,C440,$D$4:$D$439,D440,$E$4:$E$439,E440,$B$4:$B$439,"AJUSTE-")),0)</f>
        <v>0</v>
      </c>
      <c r="L440" s="13">
        <f t="shared" si="13"/>
        <v>0</v>
      </c>
      <c r="M440" s="8"/>
      <c r="N440" s="14"/>
      <c r="O440" s="14"/>
      <c r="P440" s="14"/>
      <c r="Q440" s="15"/>
      <c r="R440" s="16" t="str">
        <f t="shared" si="14"/>
        <v/>
      </c>
    </row>
    <row r="441" ht="15.75" customHeight="1">
      <c r="A441" s="7"/>
      <c r="B441" s="8"/>
      <c r="C441" s="8"/>
      <c r="D441" s="8"/>
      <c r="E441" s="8"/>
      <c r="F441" s="9"/>
      <c r="G441" s="10">
        <f>IFERROR(F441*VLOOKUP(D441,TELAS!$A$4:$C$32,3,FALSE()),0)</f>
        <v>0</v>
      </c>
      <c r="H441" s="11" t="str">
        <f>IFERROR(VLOOKUP(E441,COLORES!$A$4:$B$102,2,FALSE()),"")</f>
        <v/>
      </c>
      <c r="I441" s="12">
        <f>IFERROR(IF(H441="OSCURO",VLOOKUP(D441,PRECIOS!$A$4:$F$32,2,FALSE()),IF(H441="CLARO",VLOOKUP(D441,PRECIOS!$A$4:$F$32,3,FALSE()),IF(H441="MELANGE",VLOOKUP(D441,PRECIOS!$A$4:$F$32,4,FALSE()),IF(H441="PPT",VLOOKUP(D441,PRECIOS!$A$4:$F$32,5,FALSE()),0)))),0)</f>
        <v>0</v>
      </c>
      <c r="J441" s="12">
        <f t="shared" si="12"/>
        <v>0</v>
      </c>
      <c r="K441" s="13">
        <f>IFERROR(IF(C441="",0,SUMIFS($F$4:$F$440,$C$4:$C$440,C441,$D$4:$D$440,D441,$E$4:$E$440,E441,$B$4:$B$440,"INGRESO")+SUMIFS($F$4:$F$440,$C$4:$C$440,C441,$D$4:$D$440,D441,$E$4:$E$440,E441,$B$4:$B$440,"DE REPROCESO")+SUMIFS($F$4:$F$440,$C$4:$C$440,C441,$D$4:$D$440,D441,$E$4:$E$440,E441,$B$4:$B$440,"AJUSTE+")-SUMIFS($F$4:$F$440,$C$4:$C$440,C441,$D$4:$D$440,D441,$E$4:$E$440,E441,$B$4:$B$440,"A CORTE")-SUMIFS($F$4:$F$440,$C$4:$C$440,C441,$D$4:$D$440,D441,$E$4:$E$440,E441,$B$4:$B$440,"A REPROCESO")-SUMIFS($F$4:$F$440,$C$4:$C$440,C441,$D$4:$D$440,D441,$E$4:$E$440,E441,$B$4:$B$440,"MUESTRA")-SUMIFS($F$4:$F$440,$C$4:$C$440,C441,$D$4:$D$440,D441,$E$4:$E$440,E441,$B$4:$B$440,"AJUSTE-")),0)</f>
        <v>0</v>
      </c>
      <c r="L441" s="13">
        <f t="shared" si="13"/>
        <v>0</v>
      </c>
      <c r="M441" s="8"/>
      <c r="N441" s="14"/>
      <c r="O441" s="14"/>
      <c r="P441" s="14"/>
      <c r="Q441" s="15"/>
      <c r="R441" s="16" t="str">
        <f t="shared" si="14"/>
        <v/>
      </c>
    </row>
    <row r="442" ht="15.75" customHeight="1">
      <c r="A442" s="7"/>
      <c r="B442" s="8"/>
      <c r="C442" s="8"/>
      <c r="D442" s="8"/>
      <c r="E442" s="8"/>
      <c r="F442" s="9"/>
      <c r="G442" s="10">
        <f>IFERROR(F442*VLOOKUP(D442,TELAS!$A$4:$C$32,3,FALSE()),0)</f>
        <v>0</v>
      </c>
      <c r="H442" s="11" t="str">
        <f>IFERROR(VLOOKUP(E442,COLORES!$A$4:$B$102,2,FALSE()),"")</f>
        <v/>
      </c>
      <c r="I442" s="12">
        <f>IFERROR(IF(H442="OSCURO",VLOOKUP(D442,PRECIOS!$A$4:$F$32,2,FALSE()),IF(H442="CLARO",VLOOKUP(D442,PRECIOS!$A$4:$F$32,3,FALSE()),IF(H442="MELANGE",VLOOKUP(D442,PRECIOS!$A$4:$F$32,4,FALSE()),IF(H442="PPT",VLOOKUP(D442,PRECIOS!$A$4:$F$32,5,FALSE()),0)))),0)</f>
        <v>0</v>
      </c>
      <c r="J442" s="12">
        <f t="shared" si="12"/>
        <v>0</v>
      </c>
      <c r="K442" s="13">
        <f>IFERROR(IF(C442="",0,SUMIFS($F$4:$F$441,$C$4:$C$441,C442,$D$4:$D$441,D442,$E$4:$E$441,E442,$B$4:$B$441,"INGRESO")+SUMIFS($F$4:$F$441,$C$4:$C$441,C442,$D$4:$D$441,D442,$E$4:$E$441,E442,$B$4:$B$441,"DE REPROCESO")+SUMIFS($F$4:$F$441,$C$4:$C$441,C442,$D$4:$D$441,D442,$E$4:$E$441,E442,$B$4:$B$441,"AJUSTE+")-SUMIFS($F$4:$F$441,$C$4:$C$441,C442,$D$4:$D$441,D442,$E$4:$E$441,E442,$B$4:$B$441,"A CORTE")-SUMIFS($F$4:$F$441,$C$4:$C$441,C442,$D$4:$D$441,D442,$E$4:$E$441,E442,$B$4:$B$441,"A REPROCESO")-SUMIFS($F$4:$F$441,$C$4:$C$441,C442,$D$4:$D$441,D442,$E$4:$E$441,E442,$B$4:$B$441,"MUESTRA")-SUMIFS($F$4:$F$441,$C$4:$C$441,C442,$D$4:$D$441,D442,$E$4:$E$441,E442,$B$4:$B$441,"AJUSTE-")),0)</f>
        <v>0</v>
      </c>
      <c r="L442" s="13">
        <f t="shared" si="13"/>
        <v>0</v>
      </c>
      <c r="M442" s="8"/>
      <c r="N442" s="14"/>
      <c r="O442" s="14"/>
      <c r="P442" s="14"/>
      <c r="Q442" s="15"/>
      <c r="R442" s="16" t="str">
        <f t="shared" si="14"/>
        <v/>
      </c>
    </row>
    <row r="443" ht="15.75" customHeight="1">
      <c r="A443" s="7"/>
      <c r="B443" s="8"/>
      <c r="C443" s="8"/>
      <c r="D443" s="8"/>
      <c r="E443" s="8"/>
      <c r="F443" s="9"/>
      <c r="G443" s="10">
        <f>IFERROR(F443*VLOOKUP(D443,TELAS!$A$4:$C$32,3,FALSE()),0)</f>
        <v>0</v>
      </c>
      <c r="H443" s="11" t="str">
        <f>IFERROR(VLOOKUP(E443,COLORES!$A$4:$B$102,2,FALSE()),"")</f>
        <v/>
      </c>
      <c r="I443" s="12">
        <f>IFERROR(IF(H443="OSCURO",VLOOKUP(D443,PRECIOS!$A$4:$F$32,2,FALSE()),IF(H443="CLARO",VLOOKUP(D443,PRECIOS!$A$4:$F$32,3,FALSE()),IF(H443="MELANGE",VLOOKUP(D443,PRECIOS!$A$4:$F$32,4,FALSE()),IF(H443="PPT",VLOOKUP(D443,PRECIOS!$A$4:$F$32,5,FALSE()),0)))),0)</f>
        <v>0</v>
      </c>
      <c r="J443" s="12">
        <f t="shared" si="12"/>
        <v>0</v>
      </c>
      <c r="K443" s="13">
        <f>IFERROR(IF(C443="",0,SUMIFS($F$4:$F$442,$C$4:$C$442,C443,$D$4:$D$442,D443,$E$4:$E$442,E443,$B$4:$B$442,"INGRESO")+SUMIFS($F$4:$F$442,$C$4:$C$442,C443,$D$4:$D$442,D443,$E$4:$E$442,E443,$B$4:$B$442,"DE REPROCESO")+SUMIFS($F$4:$F$442,$C$4:$C$442,C443,$D$4:$D$442,D443,$E$4:$E$442,E443,$B$4:$B$442,"AJUSTE+")-SUMIFS($F$4:$F$442,$C$4:$C$442,C443,$D$4:$D$442,D443,$E$4:$E$442,E443,$B$4:$B$442,"A CORTE")-SUMIFS($F$4:$F$442,$C$4:$C$442,C443,$D$4:$D$442,D443,$E$4:$E$442,E443,$B$4:$B$442,"A REPROCESO")-SUMIFS($F$4:$F$442,$C$4:$C$442,C443,$D$4:$D$442,D443,$E$4:$E$442,E443,$B$4:$B$442,"MUESTRA")-SUMIFS($F$4:$F$442,$C$4:$C$442,C443,$D$4:$D$442,D443,$E$4:$E$442,E443,$B$4:$B$442,"AJUSTE-")),0)</f>
        <v>0</v>
      </c>
      <c r="L443" s="13">
        <f t="shared" si="13"/>
        <v>0</v>
      </c>
      <c r="M443" s="8"/>
      <c r="N443" s="14"/>
      <c r="O443" s="14"/>
      <c r="P443" s="14"/>
      <c r="Q443" s="15"/>
      <c r="R443" s="16" t="str">
        <f t="shared" si="14"/>
        <v/>
      </c>
    </row>
    <row r="444" ht="15.75" customHeight="1">
      <c r="A444" s="7"/>
      <c r="B444" s="8"/>
      <c r="C444" s="8"/>
      <c r="D444" s="8"/>
      <c r="E444" s="8"/>
      <c r="F444" s="9"/>
      <c r="G444" s="10">
        <f>IFERROR(F444*VLOOKUP(D444,TELAS!$A$4:$C$32,3,FALSE()),0)</f>
        <v>0</v>
      </c>
      <c r="H444" s="11" t="str">
        <f>IFERROR(VLOOKUP(E444,COLORES!$A$4:$B$102,2,FALSE()),"")</f>
        <v/>
      </c>
      <c r="I444" s="12">
        <f>IFERROR(IF(H444="OSCURO",VLOOKUP(D444,PRECIOS!$A$4:$F$32,2,FALSE()),IF(H444="CLARO",VLOOKUP(D444,PRECIOS!$A$4:$F$32,3,FALSE()),IF(H444="MELANGE",VLOOKUP(D444,PRECIOS!$A$4:$F$32,4,FALSE()),IF(H444="PPT",VLOOKUP(D444,PRECIOS!$A$4:$F$32,5,FALSE()),0)))),0)</f>
        <v>0</v>
      </c>
      <c r="J444" s="12">
        <f t="shared" si="12"/>
        <v>0</v>
      </c>
      <c r="K444" s="13">
        <f>IFERROR(IF(C444="",0,SUMIFS($F$4:$F$443,$C$4:$C$443,C444,$D$4:$D$443,D444,$E$4:$E$443,E444,$B$4:$B$443,"INGRESO")+SUMIFS($F$4:$F$443,$C$4:$C$443,C444,$D$4:$D$443,D444,$E$4:$E$443,E444,$B$4:$B$443,"DE REPROCESO")+SUMIFS($F$4:$F$443,$C$4:$C$443,C444,$D$4:$D$443,D444,$E$4:$E$443,E444,$B$4:$B$443,"AJUSTE+")-SUMIFS($F$4:$F$443,$C$4:$C$443,C444,$D$4:$D$443,D444,$E$4:$E$443,E444,$B$4:$B$443,"A CORTE")-SUMIFS($F$4:$F$443,$C$4:$C$443,C444,$D$4:$D$443,D444,$E$4:$E$443,E444,$B$4:$B$443,"A REPROCESO")-SUMIFS($F$4:$F$443,$C$4:$C$443,C444,$D$4:$D$443,D444,$E$4:$E$443,E444,$B$4:$B$443,"MUESTRA")-SUMIFS($F$4:$F$443,$C$4:$C$443,C444,$D$4:$D$443,D444,$E$4:$E$443,E444,$B$4:$B$443,"AJUSTE-")),0)</f>
        <v>0</v>
      </c>
      <c r="L444" s="13">
        <f t="shared" si="13"/>
        <v>0</v>
      </c>
      <c r="M444" s="8"/>
      <c r="N444" s="14"/>
      <c r="O444" s="14"/>
      <c r="P444" s="14"/>
      <c r="Q444" s="15"/>
      <c r="R444" s="16" t="str">
        <f t="shared" si="14"/>
        <v/>
      </c>
    </row>
    <row r="445" ht="15.75" customHeight="1">
      <c r="A445" s="7"/>
      <c r="B445" s="8"/>
      <c r="C445" s="8"/>
      <c r="D445" s="8"/>
      <c r="E445" s="8"/>
      <c r="F445" s="9"/>
      <c r="G445" s="10">
        <f>IFERROR(F445*VLOOKUP(D445,TELAS!$A$4:$C$32,3,FALSE()),0)</f>
        <v>0</v>
      </c>
      <c r="H445" s="11" t="str">
        <f>IFERROR(VLOOKUP(E445,COLORES!$A$4:$B$102,2,FALSE()),"")</f>
        <v/>
      </c>
      <c r="I445" s="12">
        <f>IFERROR(IF(H445="OSCURO",VLOOKUP(D445,PRECIOS!$A$4:$F$32,2,FALSE()),IF(H445="CLARO",VLOOKUP(D445,PRECIOS!$A$4:$F$32,3,FALSE()),IF(H445="MELANGE",VLOOKUP(D445,PRECIOS!$A$4:$F$32,4,FALSE()),IF(H445="PPT",VLOOKUP(D445,PRECIOS!$A$4:$F$32,5,FALSE()),0)))),0)</f>
        <v>0</v>
      </c>
      <c r="J445" s="12">
        <f t="shared" si="12"/>
        <v>0</v>
      </c>
      <c r="K445" s="13">
        <f>IFERROR(IF(C445="",0,SUMIFS($F$4:$F$444,$C$4:$C$444,C445,$D$4:$D$444,D445,$E$4:$E$444,E445,$B$4:$B$444,"INGRESO")+SUMIFS($F$4:$F$444,$C$4:$C$444,C445,$D$4:$D$444,D445,$E$4:$E$444,E445,$B$4:$B$444,"DE REPROCESO")+SUMIFS($F$4:$F$444,$C$4:$C$444,C445,$D$4:$D$444,D445,$E$4:$E$444,E445,$B$4:$B$444,"AJUSTE+")-SUMIFS($F$4:$F$444,$C$4:$C$444,C445,$D$4:$D$444,D445,$E$4:$E$444,E445,$B$4:$B$444,"A CORTE")-SUMIFS($F$4:$F$444,$C$4:$C$444,C445,$D$4:$D$444,D445,$E$4:$E$444,E445,$B$4:$B$444,"A REPROCESO")-SUMIFS($F$4:$F$444,$C$4:$C$444,C445,$D$4:$D$444,D445,$E$4:$E$444,E445,$B$4:$B$444,"MUESTRA")-SUMIFS($F$4:$F$444,$C$4:$C$444,C445,$D$4:$D$444,D445,$E$4:$E$444,E445,$B$4:$B$444,"AJUSTE-")),0)</f>
        <v>0</v>
      </c>
      <c r="L445" s="13">
        <f t="shared" si="13"/>
        <v>0</v>
      </c>
      <c r="M445" s="8"/>
      <c r="N445" s="14"/>
      <c r="O445" s="14"/>
      <c r="P445" s="14"/>
      <c r="Q445" s="15"/>
      <c r="R445" s="16" t="str">
        <f t="shared" si="14"/>
        <v/>
      </c>
    </row>
    <row r="446" ht="15.75" customHeight="1">
      <c r="A446" s="7"/>
      <c r="B446" s="8"/>
      <c r="C446" s="8"/>
      <c r="D446" s="8"/>
      <c r="E446" s="8"/>
      <c r="F446" s="9"/>
      <c r="G446" s="10">
        <f>IFERROR(F446*VLOOKUP(D446,TELAS!$A$4:$C$32,3,FALSE()),0)</f>
        <v>0</v>
      </c>
      <c r="H446" s="11" t="str">
        <f>IFERROR(VLOOKUP(E446,COLORES!$A$4:$B$102,2,FALSE()),"")</f>
        <v/>
      </c>
      <c r="I446" s="12">
        <f>IFERROR(IF(H446="OSCURO",VLOOKUP(D446,PRECIOS!$A$4:$F$32,2,FALSE()),IF(H446="CLARO",VLOOKUP(D446,PRECIOS!$A$4:$F$32,3,FALSE()),IF(H446="MELANGE",VLOOKUP(D446,PRECIOS!$A$4:$F$32,4,FALSE()),IF(H446="PPT",VLOOKUP(D446,PRECIOS!$A$4:$F$32,5,FALSE()),0)))),0)</f>
        <v>0</v>
      </c>
      <c r="J446" s="12">
        <f t="shared" si="12"/>
        <v>0</v>
      </c>
      <c r="K446" s="13">
        <f>IFERROR(IF(C446="",0,SUMIFS($F$4:$F$445,$C$4:$C$445,C446,$D$4:$D$445,D446,$E$4:$E$445,E446,$B$4:$B$445,"INGRESO")+SUMIFS($F$4:$F$445,$C$4:$C$445,C446,$D$4:$D$445,D446,$E$4:$E$445,E446,$B$4:$B$445,"DE REPROCESO")+SUMIFS($F$4:$F$445,$C$4:$C$445,C446,$D$4:$D$445,D446,$E$4:$E$445,E446,$B$4:$B$445,"AJUSTE+")-SUMIFS($F$4:$F$445,$C$4:$C$445,C446,$D$4:$D$445,D446,$E$4:$E$445,E446,$B$4:$B$445,"A CORTE")-SUMIFS($F$4:$F$445,$C$4:$C$445,C446,$D$4:$D$445,D446,$E$4:$E$445,E446,$B$4:$B$445,"A REPROCESO")-SUMIFS($F$4:$F$445,$C$4:$C$445,C446,$D$4:$D$445,D446,$E$4:$E$445,E446,$B$4:$B$445,"MUESTRA")-SUMIFS($F$4:$F$445,$C$4:$C$445,C446,$D$4:$D$445,D446,$E$4:$E$445,E446,$B$4:$B$445,"AJUSTE-")),0)</f>
        <v>0</v>
      </c>
      <c r="L446" s="13">
        <f t="shared" si="13"/>
        <v>0</v>
      </c>
      <c r="M446" s="8"/>
      <c r="N446" s="14"/>
      <c r="O446" s="14"/>
      <c r="P446" s="14"/>
      <c r="Q446" s="15"/>
      <c r="R446" s="16" t="str">
        <f t="shared" si="14"/>
        <v/>
      </c>
    </row>
    <row r="447" ht="15.75" customHeight="1">
      <c r="A447" s="7"/>
      <c r="B447" s="8"/>
      <c r="C447" s="8"/>
      <c r="D447" s="8"/>
      <c r="E447" s="8"/>
      <c r="F447" s="9"/>
      <c r="G447" s="10">
        <f>IFERROR(F447*VLOOKUP(D447,TELAS!$A$4:$C$32,3,FALSE()),0)</f>
        <v>0</v>
      </c>
      <c r="H447" s="11" t="str">
        <f>IFERROR(VLOOKUP(E447,COLORES!$A$4:$B$102,2,FALSE()),"")</f>
        <v/>
      </c>
      <c r="I447" s="12">
        <f>IFERROR(IF(H447="OSCURO",VLOOKUP(D447,PRECIOS!$A$4:$F$32,2,FALSE()),IF(H447="CLARO",VLOOKUP(D447,PRECIOS!$A$4:$F$32,3,FALSE()),IF(H447="MELANGE",VLOOKUP(D447,PRECIOS!$A$4:$F$32,4,FALSE()),IF(H447="PPT",VLOOKUP(D447,PRECIOS!$A$4:$F$32,5,FALSE()),0)))),0)</f>
        <v>0</v>
      </c>
      <c r="J447" s="12">
        <f t="shared" si="12"/>
        <v>0</v>
      </c>
      <c r="K447" s="13">
        <f>IFERROR(IF(C447="",0,SUMIFS($F$4:$F$446,$C$4:$C$446,C447,$D$4:$D$446,D447,$E$4:$E$446,E447,$B$4:$B$446,"INGRESO")+SUMIFS($F$4:$F$446,$C$4:$C$446,C447,$D$4:$D$446,D447,$E$4:$E$446,E447,$B$4:$B$446,"DE REPROCESO")+SUMIFS($F$4:$F$446,$C$4:$C$446,C447,$D$4:$D$446,D447,$E$4:$E$446,E447,$B$4:$B$446,"AJUSTE+")-SUMIFS($F$4:$F$446,$C$4:$C$446,C447,$D$4:$D$446,D447,$E$4:$E$446,E447,$B$4:$B$446,"A CORTE")-SUMIFS($F$4:$F$446,$C$4:$C$446,C447,$D$4:$D$446,D447,$E$4:$E$446,E447,$B$4:$B$446,"A REPROCESO")-SUMIFS($F$4:$F$446,$C$4:$C$446,C447,$D$4:$D$446,D447,$E$4:$E$446,E447,$B$4:$B$446,"MUESTRA")-SUMIFS($F$4:$F$446,$C$4:$C$446,C447,$D$4:$D$446,D447,$E$4:$E$446,E447,$B$4:$B$446,"AJUSTE-")),0)</f>
        <v>0</v>
      </c>
      <c r="L447" s="13">
        <f t="shared" si="13"/>
        <v>0</v>
      </c>
      <c r="M447" s="8"/>
      <c r="N447" s="14"/>
      <c r="O447" s="14"/>
      <c r="P447" s="14"/>
      <c r="Q447" s="15"/>
      <c r="R447" s="16" t="str">
        <f t="shared" si="14"/>
        <v/>
      </c>
    </row>
    <row r="448" ht="15.75" customHeight="1">
      <c r="A448" s="7"/>
      <c r="B448" s="8"/>
      <c r="C448" s="8"/>
      <c r="D448" s="8"/>
      <c r="E448" s="8"/>
      <c r="F448" s="9"/>
      <c r="G448" s="10">
        <f>IFERROR(F448*VLOOKUP(D448,TELAS!$A$4:$C$32,3,FALSE()),0)</f>
        <v>0</v>
      </c>
      <c r="H448" s="11" t="str">
        <f>IFERROR(VLOOKUP(E448,COLORES!$A$4:$B$102,2,FALSE()),"")</f>
        <v/>
      </c>
      <c r="I448" s="12">
        <f>IFERROR(IF(H448="OSCURO",VLOOKUP(D448,PRECIOS!$A$4:$F$32,2,FALSE()),IF(H448="CLARO",VLOOKUP(D448,PRECIOS!$A$4:$F$32,3,FALSE()),IF(H448="MELANGE",VLOOKUP(D448,PRECIOS!$A$4:$F$32,4,FALSE()),IF(H448="PPT",VLOOKUP(D448,PRECIOS!$A$4:$F$32,5,FALSE()),0)))),0)</f>
        <v>0</v>
      </c>
      <c r="J448" s="12">
        <f t="shared" si="12"/>
        <v>0</v>
      </c>
      <c r="K448" s="13">
        <f>IFERROR(IF(C448="",0,SUMIFS($F$4:$F$447,$C$4:$C$447,C448,$D$4:$D$447,D448,$E$4:$E$447,E448,$B$4:$B$447,"INGRESO")+SUMIFS($F$4:$F$447,$C$4:$C$447,C448,$D$4:$D$447,D448,$E$4:$E$447,E448,$B$4:$B$447,"DE REPROCESO")+SUMIFS($F$4:$F$447,$C$4:$C$447,C448,$D$4:$D$447,D448,$E$4:$E$447,E448,$B$4:$B$447,"AJUSTE+")-SUMIFS($F$4:$F$447,$C$4:$C$447,C448,$D$4:$D$447,D448,$E$4:$E$447,E448,$B$4:$B$447,"A CORTE")-SUMIFS($F$4:$F$447,$C$4:$C$447,C448,$D$4:$D$447,D448,$E$4:$E$447,E448,$B$4:$B$447,"A REPROCESO")-SUMIFS($F$4:$F$447,$C$4:$C$447,C448,$D$4:$D$447,D448,$E$4:$E$447,E448,$B$4:$B$447,"MUESTRA")-SUMIFS($F$4:$F$447,$C$4:$C$447,C448,$D$4:$D$447,D448,$E$4:$E$447,E448,$B$4:$B$447,"AJUSTE-")),0)</f>
        <v>0</v>
      </c>
      <c r="L448" s="13">
        <f t="shared" si="13"/>
        <v>0</v>
      </c>
      <c r="M448" s="8"/>
      <c r="N448" s="14"/>
      <c r="O448" s="14"/>
      <c r="P448" s="14"/>
      <c r="Q448" s="15"/>
      <c r="R448" s="16" t="str">
        <f t="shared" si="14"/>
        <v/>
      </c>
    </row>
    <row r="449" ht="15.75" customHeight="1">
      <c r="A449" s="7"/>
      <c r="B449" s="8"/>
      <c r="C449" s="8"/>
      <c r="D449" s="8"/>
      <c r="E449" s="8"/>
      <c r="F449" s="9"/>
      <c r="G449" s="10">
        <f>IFERROR(F449*VLOOKUP(D449,TELAS!$A$4:$C$32,3,FALSE()),0)</f>
        <v>0</v>
      </c>
      <c r="H449" s="11" t="str">
        <f>IFERROR(VLOOKUP(E449,COLORES!$A$4:$B$102,2,FALSE()),"")</f>
        <v/>
      </c>
      <c r="I449" s="12">
        <f>IFERROR(IF(H449="OSCURO",VLOOKUP(D449,PRECIOS!$A$4:$F$32,2,FALSE()),IF(H449="CLARO",VLOOKUP(D449,PRECIOS!$A$4:$F$32,3,FALSE()),IF(H449="MELANGE",VLOOKUP(D449,PRECIOS!$A$4:$F$32,4,FALSE()),IF(H449="PPT",VLOOKUP(D449,PRECIOS!$A$4:$F$32,5,FALSE()),0)))),0)</f>
        <v>0</v>
      </c>
      <c r="J449" s="12">
        <f t="shared" si="12"/>
        <v>0</v>
      </c>
      <c r="K449" s="13">
        <f>IFERROR(IF(C449="",0,SUMIFS($F$4:$F$448,$C$4:$C$448,C449,$D$4:$D$448,D449,$E$4:$E$448,E449,$B$4:$B$448,"INGRESO")+SUMIFS($F$4:$F$448,$C$4:$C$448,C449,$D$4:$D$448,D449,$E$4:$E$448,E449,$B$4:$B$448,"DE REPROCESO")+SUMIFS($F$4:$F$448,$C$4:$C$448,C449,$D$4:$D$448,D449,$E$4:$E$448,E449,$B$4:$B$448,"AJUSTE+")-SUMIFS($F$4:$F$448,$C$4:$C$448,C449,$D$4:$D$448,D449,$E$4:$E$448,E449,$B$4:$B$448,"A CORTE")-SUMIFS($F$4:$F$448,$C$4:$C$448,C449,$D$4:$D$448,D449,$E$4:$E$448,E449,$B$4:$B$448,"A REPROCESO")-SUMIFS($F$4:$F$448,$C$4:$C$448,C449,$D$4:$D$448,D449,$E$4:$E$448,E449,$B$4:$B$448,"MUESTRA")-SUMIFS($F$4:$F$448,$C$4:$C$448,C449,$D$4:$D$448,D449,$E$4:$E$448,E449,$B$4:$B$448,"AJUSTE-")),0)</f>
        <v>0</v>
      </c>
      <c r="L449" s="13">
        <f t="shared" si="13"/>
        <v>0</v>
      </c>
      <c r="M449" s="8"/>
      <c r="N449" s="14"/>
      <c r="O449" s="14"/>
      <c r="P449" s="14"/>
      <c r="Q449" s="15"/>
      <c r="R449" s="16" t="str">
        <f t="shared" si="14"/>
        <v/>
      </c>
    </row>
    <row r="450" ht="15.75" customHeight="1">
      <c r="A450" s="7"/>
      <c r="B450" s="8"/>
      <c r="C450" s="8"/>
      <c r="D450" s="8"/>
      <c r="E450" s="8"/>
      <c r="F450" s="9"/>
      <c r="G450" s="10">
        <f>IFERROR(F450*VLOOKUP(D450,TELAS!$A$4:$C$32,3,FALSE()),0)</f>
        <v>0</v>
      </c>
      <c r="H450" s="11" t="str">
        <f>IFERROR(VLOOKUP(E450,COLORES!$A$4:$B$102,2,FALSE()),"")</f>
        <v/>
      </c>
      <c r="I450" s="12">
        <f>IFERROR(IF(H450="OSCURO",VLOOKUP(D450,PRECIOS!$A$4:$F$32,2,FALSE()),IF(H450="CLARO",VLOOKUP(D450,PRECIOS!$A$4:$F$32,3,FALSE()),IF(H450="MELANGE",VLOOKUP(D450,PRECIOS!$A$4:$F$32,4,FALSE()),IF(H450="PPT",VLOOKUP(D450,PRECIOS!$A$4:$F$32,5,FALSE()),0)))),0)</f>
        <v>0</v>
      </c>
      <c r="J450" s="12">
        <f t="shared" si="12"/>
        <v>0</v>
      </c>
      <c r="K450" s="13">
        <f>IFERROR(IF(C450="",0,SUMIFS($F$4:$F$449,$C$4:$C$449,C450,$D$4:$D$449,D450,$E$4:$E$449,E450,$B$4:$B$449,"INGRESO")+SUMIFS($F$4:$F$449,$C$4:$C$449,C450,$D$4:$D$449,D450,$E$4:$E$449,E450,$B$4:$B$449,"DE REPROCESO")+SUMIFS($F$4:$F$449,$C$4:$C$449,C450,$D$4:$D$449,D450,$E$4:$E$449,E450,$B$4:$B$449,"AJUSTE+")-SUMIFS($F$4:$F$449,$C$4:$C$449,C450,$D$4:$D$449,D450,$E$4:$E$449,E450,$B$4:$B$449,"A CORTE")-SUMIFS($F$4:$F$449,$C$4:$C$449,C450,$D$4:$D$449,D450,$E$4:$E$449,E450,$B$4:$B$449,"A REPROCESO")-SUMIFS($F$4:$F$449,$C$4:$C$449,C450,$D$4:$D$449,D450,$E$4:$E$449,E450,$B$4:$B$449,"MUESTRA")-SUMIFS($F$4:$F$449,$C$4:$C$449,C450,$D$4:$D$449,D450,$E$4:$E$449,E450,$B$4:$B$449,"AJUSTE-")),0)</f>
        <v>0</v>
      </c>
      <c r="L450" s="13">
        <f t="shared" si="13"/>
        <v>0</v>
      </c>
      <c r="M450" s="8"/>
      <c r="N450" s="14"/>
      <c r="O450" s="14"/>
      <c r="P450" s="14"/>
      <c r="Q450" s="15"/>
      <c r="R450" s="16" t="str">
        <f t="shared" si="14"/>
        <v/>
      </c>
    </row>
    <row r="451" ht="15.75" customHeight="1">
      <c r="A451" s="7"/>
      <c r="B451" s="8"/>
      <c r="C451" s="8"/>
      <c r="D451" s="8"/>
      <c r="E451" s="8"/>
      <c r="F451" s="9"/>
      <c r="G451" s="10">
        <f>IFERROR(F451*VLOOKUP(D451,TELAS!$A$4:$C$32,3,FALSE()),0)</f>
        <v>0</v>
      </c>
      <c r="H451" s="11" t="str">
        <f>IFERROR(VLOOKUP(E451,COLORES!$A$4:$B$102,2,FALSE()),"")</f>
        <v/>
      </c>
      <c r="I451" s="12">
        <f>IFERROR(IF(H451="OSCURO",VLOOKUP(D451,PRECIOS!$A$4:$F$32,2,FALSE()),IF(H451="CLARO",VLOOKUP(D451,PRECIOS!$A$4:$F$32,3,FALSE()),IF(H451="MELANGE",VLOOKUP(D451,PRECIOS!$A$4:$F$32,4,FALSE()),IF(H451="PPT",VLOOKUP(D451,PRECIOS!$A$4:$F$32,5,FALSE()),0)))),0)</f>
        <v>0</v>
      </c>
      <c r="J451" s="12">
        <f t="shared" si="12"/>
        <v>0</v>
      </c>
      <c r="K451" s="13">
        <f>IFERROR(IF(C451="",0,SUMIFS($F$4:$F$450,$C$4:$C$450,C451,$D$4:$D$450,D451,$E$4:$E$450,E451,$B$4:$B$450,"INGRESO")+SUMIFS($F$4:$F$450,$C$4:$C$450,C451,$D$4:$D$450,D451,$E$4:$E$450,E451,$B$4:$B$450,"DE REPROCESO")+SUMIFS($F$4:$F$450,$C$4:$C$450,C451,$D$4:$D$450,D451,$E$4:$E$450,E451,$B$4:$B$450,"AJUSTE+")-SUMIFS($F$4:$F$450,$C$4:$C$450,C451,$D$4:$D$450,D451,$E$4:$E$450,E451,$B$4:$B$450,"A CORTE")-SUMIFS($F$4:$F$450,$C$4:$C$450,C451,$D$4:$D$450,D451,$E$4:$E$450,E451,$B$4:$B$450,"A REPROCESO")-SUMIFS($F$4:$F$450,$C$4:$C$450,C451,$D$4:$D$450,D451,$E$4:$E$450,E451,$B$4:$B$450,"MUESTRA")-SUMIFS($F$4:$F$450,$C$4:$C$450,C451,$D$4:$D$450,D451,$E$4:$E$450,E451,$B$4:$B$450,"AJUSTE-")),0)</f>
        <v>0</v>
      </c>
      <c r="L451" s="13">
        <f t="shared" si="13"/>
        <v>0</v>
      </c>
      <c r="M451" s="8"/>
      <c r="N451" s="14"/>
      <c r="O451" s="14"/>
      <c r="P451" s="14"/>
      <c r="Q451" s="15"/>
      <c r="R451" s="16" t="str">
        <f t="shared" si="14"/>
        <v/>
      </c>
    </row>
    <row r="452" ht="15.75" customHeight="1">
      <c r="A452" s="7"/>
      <c r="B452" s="8"/>
      <c r="C452" s="8"/>
      <c r="D452" s="8"/>
      <c r="E452" s="8"/>
      <c r="F452" s="9"/>
      <c r="G452" s="10">
        <f>IFERROR(F452*VLOOKUP(D452,TELAS!$A$4:$C$32,3,FALSE()),0)</f>
        <v>0</v>
      </c>
      <c r="H452" s="11" t="str">
        <f>IFERROR(VLOOKUP(E452,COLORES!$A$4:$B$102,2,FALSE()),"")</f>
        <v/>
      </c>
      <c r="I452" s="12">
        <f>IFERROR(IF(H452="OSCURO",VLOOKUP(D452,PRECIOS!$A$4:$F$32,2,FALSE()),IF(H452="CLARO",VLOOKUP(D452,PRECIOS!$A$4:$F$32,3,FALSE()),IF(H452="MELANGE",VLOOKUP(D452,PRECIOS!$A$4:$F$32,4,FALSE()),IF(H452="PPT",VLOOKUP(D452,PRECIOS!$A$4:$F$32,5,FALSE()),0)))),0)</f>
        <v>0</v>
      </c>
      <c r="J452" s="12">
        <f t="shared" si="12"/>
        <v>0</v>
      </c>
      <c r="K452" s="13">
        <f>IFERROR(IF(C452="",0,SUMIFS($F$4:$F$451,$C$4:$C$451,C452,$D$4:$D$451,D452,$E$4:$E$451,E452,$B$4:$B$451,"INGRESO")+SUMIFS($F$4:$F$451,$C$4:$C$451,C452,$D$4:$D$451,D452,$E$4:$E$451,E452,$B$4:$B$451,"DE REPROCESO")+SUMIFS($F$4:$F$451,$C$4:$C$451,C452,$D$4:$D$451,D452,$E$4:$E$451,E452,$B$4:$B$451,"AJUSTE+")-SUMIFS($F$4:$F$451,$C$4:$C$451,C452,$D$4:$D$451,D452,$E$4:$E$451,E452,$B$4:$B$451,"A CORTE")-SUMIFS($F$4:$F$451,$C$4:$C$451,C452,$D$4:$D$451,D452,$E$4:$E$451,E452,$B$4:$B$451,"A REPROCESO")-SUMIFS($F$4:$F$451,$C$4:$C$451,C452,$D$4:$D$451,D452,$E$4:$E$451,E452,$B$4:$B$451,"MUESTRA")-SUMIFS($F$4:$F$451,$C$4:$C$451,C452,$D$4:$D$451,D452,$E$4:$E$451,E452,$B$4:$B$451,"AJUSTE-")),0)</f>
        <v>0</v>
      </c>
      <c r="L452" s="13">
        <f t="shared" si="13"/>
        <v>0</v>
      </c>
      <c r="M452" s="8"/>
      <c r="N452" s="14"/>
      <c r="O452" s="14"/>
      <c r="P452" s="14"/>
      <c r="Q452" s="15"/>
      <c r="R452" s="16" t="str">
        <f t="shared" si="14"/>
        <v/>
      </c>
    </row>
    <row r="453" ht="15.75" customHeight="1">
      <c r="A453" s="7"/>
      <c r="B453" s="8"/>
      <c r="C453" s="8"/>
      <c r="D453" s="8"/>
      <c r="E453" s="8"/>
      <c r="F453" s="9"/>
      <c r="G453" s="10">
        <f>IFERROR(F453*VLOOKUP(D453,TELAS!$A$4:$C$32,3,FALSE()),0)</f>
        <v>0</v>
      </c>
      <c r="H453" s="11" t="str">
        <f>IFERROR(VLOOKUP(E453,COLORES!$A$4:$B$102,2,FALSE()),"")</f>
        <v/>
      </c>
      <c r="I453" s="12">
        <f>IFERROR(IF(H453="OSCURO",VLOOKUP(D453,PRECIOS!$A$4:$F$32,2,FALSE()),IF(H453="CLARO",VLOOKUP(D453,PRECIOS!$A$4:$F$32,3,FALSE()),IF(H453="MELANGE",VLOOKUP(D453,PRECIOS!$A$4:$F$32,4,FALSE()),IF(H453="PPT",VLOOKUP(D453,PRECIOS!$A$4:$F$32,5,FALSE()),0)))),0)</f>
        <v>0</v>
      </c>
      <c r="J453" s="12">
        <f t="shared" si="12"/>
        <v>0</v>
      </c>
      <c r="K453" s="13">
        <f>IFERROR(IF(C453="",0,SUMIFS($F$4:$F$452,$C$4:$C$452,C453,$D$4:$D$452,D453,$E$4:$E$452,E453,$B$4:$B$452,"INGRESO")+SUMIFS($F$4:$F$452,$C$4:$C$452,C453,$D$4:$D$452,D453,$E$4:$E$452,E453,$B$4:$B$452,"DE REPROCESO")+SUMIFS($F$4:$F$452,$C$4:$C$452,C453,$D$4:$D$452,D453,$E$4:$E$452,E453,$B$4:$B$452,"AJUSTE+")-SUMIFS($F$4:$F$452,$C$4:$C$452,C453,$D$4:$D$452,D453,$E$4:$E$452,E453,$B$4:$B$452,"A CORTE")-SUMIFS($F$4:$F$452,$C$4:$C$452,C453,$D$4:$D$452,D453,$E$4:$E$452,E453,$B$4:$B$452,"A REPROCESO")-SUMIFS($F$4:$F$452,$C$4:$C$452,C453,$D$4:$D$452,D453,$E$4:$E$452,E453,$B$4:$B$452,"MUESTRA")-SUMIFS($F$4:$F$452,$C$4:$C$452,C453,$D$4:$D$452,D453,$E$4:$E$452,E453,$B$4:$B$452,"AJUSTE-")),0)</f>
        <v>0</v>
      </c>
      <c r="L453" s="13">
        <f t="shared" si="13"/>
        <v>0</v>
      </c>
      <c r="M453" s="8"/>
      <c r="N453" s="14"/>
      <c r="O453" s="14"/>
      <c r="P453" s="14"/>
      <c r="Q453" s="15"/>
      <c r="R453" s="16" t="str">
        <f t="shared" si="14"/>
        <v/>
      </c>
    </row>
    <row r="454" ht="15.75" customHeight="1">
      <c r="A454" s="7"/>
      <c r="B454" s="8"/>
      <c r="C454" s="8"/>
      <c r="D454" s="8"/>
      <c r="E454" s="8"/>
      <c r="F454" s="9"/>
      <c r="G454" s="10">
        <f>IFERROR(F454*VLOOKUP(D454,TELAS!$A$4:$C$32,3,FALSE()),0)</f>
        <v>0</v>
      </c>
      <c r="H454" s="11" t="str">
        <f>IFERROR(VLOOKUP(E454,COLORES!$A$4:$B$102,2,FALSE()),"")</f>
        <v/>
      </c>
      <c r="I454" s="12">
        <f>IFERROR(IF(H454="OSCURO",VLOOKUP(D454,PRECIOS!$A$4:$F$32,2,FALSE()),IF(H454="CLARO",VLOOKUP(D454,PRECIOS!$A$4:$F$32,3,FALSE()),IF(H454="MELANGE",VLOOKUP(D454,PRECIOS!$A$4:$F$32,4,FALSE()),IF(H454="PPT",VLOOKUP(D454,PRECIOS!$A$4:$F$32,5,FALSE()),0)))),0)</f>
        <v>0</v>
      </c>
      <c r="J454" s="12">
        <f t="shared" si="12"/>
        <v>0</v>
      </c>
      <c r="K454" s="13">
        <f>IFERROR(IF(C454="",0,SUMIFS($F$4:$F$453,$C$4:$C$453,C454,$D$4:$D$453,D454,$E$4:$E$453,E454,$B$4:$B$453,"INGRESO")+SUMIFS($F$4:$F$453,$C$4:$C$453,C454,$D$4:$D$453,D454,$E$4:$E$453,E454,$B$4:$B$453,"DE REPROCESO")+SUMIFS($F$4:$F$453,$C$4:$C$453,C454,$D$4:$D$453,D454,$E$4:$E$453,E454,$B$4:$B$453,"AJUSTE+")-SUMIFS($F$4:$F$453,$C$4:$C$453,C454,$D$4:$D$453,D454,$E$4:$E$453,E454,$B$4:$B$453,"A CORTE")-SUMIFS($F$4:$F$453,$C$4:$C$453,C454,$D$4:$D$453,D454,$E$4:$E$453,E454,$B$4:$B$453,"A REPROCESO")-SUMIFS($F$4:$F$453,$C$4:$C$453,C454,$D$4:$D$453,D454,$E$4:$E$453,E454,$B$4:$B$453,"MUESTRA")-SUMIFS($F$4:$F$453,$C$4:$C$453,C454,$D$4:$D$453,D454,$E$4:$E$453,E454,$B$4:$B$453,"AJUSTE-")),0)</f>
        <v>0</v>
      </c>
      <c r="L454" s="13">
        <f t="shared" si="13"/>
        <v>0</v>
      </c>
      <c r="M454" s="8"/>
      <c r="N454" s="14"/>
      <c r="O454" s="14"/>
      <c r="P454" s="14"/>
      <c r="Q454" s="15"/>
      <c r="R454" s="16" t="str">
        <f t="shared" si="14"/>
        <v/>
      </c>
    </row>
    <row r="455" ht="15.75" customHeight="1">
      <c r="A455" s="7"/>
      <c r="B455" s="8"/>
      <c r="C455" s="8"/>
      <c r="D455" s="8"/>
      <c r="E455" s="8"/>
      <c r="F455" s="9"/>
      <c r="G455" s="10">
        <f>IFERROR(F455*VLOOKUP(D455,TELAS!$A$4:$C$32,3,FALSE()),0)</f>
        <v>0</v>
      </c>
      <c r="H455" s="11" t="str">
        <f>IFERROR(VLOOKUP(E455,COLORES!$A$4:$B$102,2,FALSE()),"")</f>
        <v/>
      </c>
      <c r="I455" s="12">
        <f>IFERROR(IF(H455="OSCURO",VLOOKUP(D455,PRECIOS!$A$4:$F$32,2,FALSE()),IF(H455="CLARO",VLOOKUP(D455,PRECIOS!$A$4:$F$32,3,FALSE()),IF(H455="MELANGE",VLOOKUP(D455,PRECIOS!$A$4:$F$32,4,FALSE()),IF(H455="PPT",VLOOKUP(D455,PRECIOS!$A$4:$F$32,5,FALSE()),0)))),0)</f>
        <v>0</v>
      </c>
      <c r="J455" s="12">
        <f t="shared" si="12"/>
        <v>0</v>
      </c>
      <c r="K455" s="13">
        <f>IFERROR(IF(C455="",0,SUMIFS($F$4:$F$454,$C$4:$C$454,C455,$D$4:$D$454,D455,$E$4:$E$454,E455,$B$4:$B$454,"INGRESO")+SUMIFS($F$4:$F$454,$C$4:$C$454,C455,$D$4:$D$454,D455,$E$4:$E$454,E455,$B$4:$B$454,"DE REPROCESO")+SUMIFS($F$4:$F$454,$C$4:$C$454,C455,$D$4:$D$454,D455,$E$4:$E$454,E455,$B$4:$B$454,"AJUSTE+")-SUMIFS($F$4:$F$454,$C$4:$C$454,C455,$D$4:$D$454,D455,$E$4:$E$454,E455,$B$4:$B$454,"A CORTE")-SUMIFS($F$4:$F$454,$C$4:$C$454,C455,$D$4:$D$454,D455,$E$4:$E$454,E455,$B$4:$B$454,"A REPROCESO")-SUMIFS($F$4:$F$454,$C$4:$C$454,C455,$D$4:$D$454,D455,$E$4:$E$454,E455,$B$4:$B$454,"MUESTRA")-SUMIFS($F$4:$F$454,$C$4:$C$454,C455,$D$4:$D$454,D455,$E$4:$E$454,E455,$B$4:$B$454,"AJUSTE-")),0)</f>
        <v>0</v>
      </c>
      <c r="L455" s="13">
        <f t="shared" si="13"/>
        <v>0</v>
      </c>
      <c r="M455" s="8"/>
      <c r="N455" s="14"/>
      <c r="O455" s="14"/>
      <c r="P455" s="14"/>
      <c r="Q455" s="15"/>
      <c r="R455" s="16" t="str">
        <f t="shared" si="14"/>
        <v/>
      </c>
    </row>
    <row r="456" ht="15.75" customHeight="1">
      <c r="A456" s="7"/>
      <c r="B456" s="8"/>
      <c r="C456" s="8"/>
      <c r="D456" s="8"/>
      <c r="E456" s="8"/>
      <c r="F456" s="9"/>
      <c r="G456" s="10">
        <f>IFERROR(F456*VLOOKUP(D456,TELAS!$A$4:$C$32,3,FALSE()),0)</f>
        <v>0</v>
      </c>
      <c r="H456" s="11" t="str">
        <f>IFERROR(VLOOKUP(E456,COLORES!$A$4:$B$102,2,FALSE()),"")</f>
        <v/>
      </c>
      <c r="I456" s="12">
        <f>IFERROR(IF(H456="OSCURO",VLOOKUP(D456,PRECIOS!$A$4:$F$32,2,FALSE()),IF(H456="CLARO",VLOOKUP(D456,PRECIOS!$A$4:$F$32,3,FALSE()),IF(H456="MELANGE",VLOOKUP(D456,PRECIOS!$A$4:$F$32,4,FALSE()),IF(H456="PPT",VLOOKUP(D456,PRECIOS!$A$4:$F$32,5,FALSE()),0)))),0)</f>
        <v>0</v>
      </c>
      <c r="J456" s="12">
        <f t="shared" si="12"/>
        <v>0</v>
      </c>
      <c r="K456" s="13">
        <f>IFERROR(IF(C456="",0,SUMIFS($F$4:$F$455,$C$4:$C$455,C456,$D$4:$D$455,D456,$E$4:$E$455,E456,$B$4:$B$455,"INGRESO")+SUMIFS($F$4:$F$455,$C$4:$C$455,C456,$D$4:$D$455,D456,$E$4:$E$455,E456,$B$4:$B$455,"DE REPROCESO")+SUMIFS($F$4:$F$455,$C$4:$C$455,C456,$D$4:$D$455,D456,$E$4:$E$455,E456,$B$4:$B$455,"AJUSTE+")-SUMIFS($F$4:$F$455,$C$4:$C$455,C456,$D$4:$D$455,D456,$E$4:$E$455,E456,$B$4:$B$455,"A CORTE")-SUMIFS($F$4:$F$455,$C$4:$C$455,C456,$D$4:$D$455,D456,$E$4:$E$455,E456,$B$4:$B$455,"A REPROCESO")-SUMIFS($F$4:$F$455,$C$4:$C$455,C456,$D$4:$D$455,D456,$E$4:$E$455,E456,$B$4:$B$455,"MUESTRA")-SUMIFS($F$4:$F$455,$C$4:$C$455,C456,$D$4:$D$455,D456,$E$4:$E$455,E456,$B$4:$B$455,"AJUSTE-")),0)</f>
        <v>0</v>
      </c>
      <c r="L456" s="13">
        <f t="shared" si="13"/>
        <v>0</v>
      </c>
      <c r="M456" s="8"/>
      <c r="N456" s="14"/>
      <c r="O456" s="14"/>
      <c r="P456" s="14"/>
      <c r="Q456" s="15"/>
      <c r="R456" s="16" t="str">
        <f t="shared" si="14"/>
        <v/>
      </c>
    </row>
    <row r="457" ht="15.75" customHeight="1">
      <c r="A457" s="7"/>
      <c r="B457" s="8"/>
      <c r="C457" s="8"/>
      <c r="D457" s="8"/>
      <c r="E457" s="8"/>
      <c r="F457" s="9"/>
      <c r="G457" s="10">
        <f>IFERROR(F457*VLOOKUP(D457,TELAS!$A$4:$C$32,3,FALSE()),0)</f>
        <v>0</v>
      </c>
      <c r="H457" s="11" t="str">
        <f>IFERROR(VLOOKUP(E457,COLORES!$A$4:$B$102,2,FALSE()),"")</f>
        <v/>
      </c>
      <c r="I457" s="12">
        <f>IFERROR(IF(H457="OSCURO",VLOOKUP(D457,PRECIOS!$A$4:$F$32,2,FALSE()),IF(H457="CLARO",VLOOKUP(D457,PRECIOS!$A$4:$F$32,3,FALSE()),IF(H457="MELANGE",VLOOKUP(D457,PRECIOS!$A$4:$F$32,4,FALSE()),IF(H457="PPT",VLOOKUP(D457,PRECIOS!$A$4:$F$32,5,FALSE()),0)))),0)</f>
        <v>0</v>
      </c>
      <c r="J457" s="12">
        <f t="shared" si="12"/>
        <v>0</v>
      </c>
      <c r="K457" s="13">
        <f>IFERROR(IF(C457="",0,SUMIFS($F$4:$F$456,$C$4:$C$456,C457,$D$4:$D$456,D457,$E$4:$E$456,E457,$B$4:$B$456,"INGRESO")+SUMIFS($F$4:$F$456,$C$4:$C$456,C457,$D$4:$D$456,D457,$E$4:$E$456,E457,$B$4:$B$456,"DE REPROCESO")+SUMIFS($F$4:$F$456,$C$4:$C$456,C457,$D$4:$D$456,D457,$E$4:$E$456,E457,$B$4:$B$456,"AJUSTE+")-SUMIFS($F$4:$F$456,$C$4:$C$456,C457,$D$4:$D$456,D457,$E$4:$E$456,E457,$B$4:$B$456,"A CORTE")-SUMIFS($F$4:$F$456,$C$4:$C$456,C457,$D$4:$D$456,D457,$E$4:$E$456,E457,$B$4:$B$456,"A REPROCESO")-SUMIFS($F$4:$F$456,$C$4:$C$456,C457,$D$4:$D$456,D457,$E$4:$E$456,E457,$B$4:$B$456,"MUESTRA")-SUMIFS($F$4:$F$456,$C$4:$C$456,C457,$D$4:$D$456,D457,$E$4:$E$456,E457,$B$4:$B$456,"AJUSTE-")),0)</f>
        <v>0</v>
      </c>
      <c r="L457" s="13">
        <f t="shared" si="13"/>
        <v>0</v>
      </c>
      <c r="M457" s="8"/>
      <c r="N457" s="14"/>
      <c r="O457" s="14"/>
      <c r="P457" s="14"/>
      <c r="Q457" s="15"/>
      <c r="R457" s="16" t="str">
        <f t="shared" si="14"/>
        <v/>
      </c>
    </row>
    <row r="458" ht="15.75" customHeight="1">
      <c r="A458" s="7"/>
      <c r="B458" s="8"/>
      <c r="C458" s="8"/>
      <c r="D458" s="8"/>
      <c r="E458" s="8"/>
      <c r="F458" s="9"/>
      <c r="G458" s="10">
        <f>IFERROR(F458*VLOOKUP(D458,TELAS!$A$4:$C$32,3,FALSE()),0)</f>
        <v>0</v>
      </c>
      <c r="H458" s="11" t="str">
        <f>IFERROR(VLOOKUP(E458,COLORES!$A$4:$B$102,2,FALSE()),"")</f>
        <v/>
      </c>
      <c r="I458" s="12">
        <f>IFERROR(IF(H458="OSCURO",VLOOKUP(D458,PRECIOS!$A$4:$F$32,2,FALSE()),IF(H458="CLARO",VLOOKUP(D458,PRECIOS!$A$4:$F$32,3,FALSE()),IF(H458="MELANGE",VLOOKUP(D458,PRECIOS!$A$4:$F$32,4,FALSE()),IF(H458="PPT",VLOOKUP(D458,PRECIOS!$A$4:$F$32,5,FALSE()),0)))),0)</f>
        <v>0</v>
      </c>
      <c r="J458" s="12">
        <f t="shared" si="12"/>
        <v>0</v>
      </c>
      <c r="K458" s="13">
        <f>IFERROR(IF(C458="",0,SUMIFS($F$4:$F$457,$C$4:$C$457,C458,$D$4:$D$457,D458,$E$4:$E$457,E458,$B$4:$B$457,"INGRESO")+SUMIFS($F$4:$F$457,$C$4:$C$457,C458,$D$4:$D$457,D458,$E$4:$E$457,E458,$B$4:$B$457,"DE REPROCESO")+SUMIFS($F$4:$F$457,$C$4:$C$457,C458,$D$4:$D$457,D458,$E$4:$E$457,E458,$B$4:$B$457,"AJUSTE+")-SUMIFS($F$4:$F$457,$C$4:$C$457,C458,$D$4:$D$457,D458,$E$4:$E$457,E458,$B$4:$B$457,"A CORTE")-SUMIFS($F$4:$F$457,$C$4:$C$457,C458,$D$4:$D$457,D458,$E$4:$E$457,E458,$B$4:$B$457,"A REPROCESO")-SUMIFS($F$4:$F$457,$C$4:$C$457,C458,$D$4:$D$457,D458,$E$4:$E$457,E458,$B$4:$B$457,"MUESTRA")-SUMIFS($F$4:$F$457,$C$4:$C$457,C458,$D$4:$D$457,D458,$E$4:$E$457,E458,$B$4:$B$457,"AJUSTE-")),0)</f>
        <v>0</v>
      </c>
      <c r="L458" s="13">
        <f t="shared" si="13"/>
        <v>0</v>
      </c>
      <c r="M458" s="8"/>
      <c r="N458" s="14"/>
      <c r="O458" s="14"/>
      <c r="P458" s="14"/>
      <c r="Q458" s="15"/>
      <c r="R458" s="16" t="str">
        <f t="shared" si="14"/>
        <v/>
      </c>
    </row>
    <row r="459" ht="15.75" customHeight="1">
      <c r="A459" s="7"/>
      <c r="B459" s="8"/>
      <c r="C459" s="8"/>
      <c r="D459" s="8"/>
      <c r="E459" s="8"/>
      <c r="F459" s="9"/>
      <c r="G459" s="10">
        <f>IFERROR(F459*VLOOKUP(D459,TELAS!$A$4:$C$32,3,FALSE()),0)</f>
        <v>0</v>
      </c>
      <c r="H459" s="11" t="str">
        <f>IFERROR(VLOOKUP(E459,COLORES!$A$4:$B$102,2,FALSE()),"")</f>
        <v/>
      </c>
      <c r="I459" s="12">
        <f>IFERROR(IF(H459="OSCURO",VLOOKUP(D459,PRECIOS!$A$4:$F$32,2,FALSE()),IF(H459="CLARO",VLOOKUP(D459,PRECIOS!$A$4:$F$32,3,FALSE()),IF(H459="MELANGE",VLOOKUP(D459,PRECIOS!$A$4:$F$32,4,FALSE()),IF(H459="PPT",VLOOKUP(D459,PRECIOS!$A$4:$F$32,5,FALSE()),0)))),0)</f>
        <v>0</v>
      </c>
      <c r="J459" s="12">
        <f t="shared" si="12"/>
        <v>0</v>
      </c>
      <c r="K459" s="13">
        <f>IFERROR(IF(C459="",0,SUMIFS($F$4:$F$458,$C$4:$C$458,C459,$D$4:$D$458,D459,$E$4:$E$458,E459,$B$4:$B$458,"INGRESO")+SUMIFS($F$4:$F$458,$C$4:$C$458,C459,$D$4:$D$458,D459,$E$4:$E$458,E459,$B$4:$B$458,"DE REPROCESO")+SUMIFS($F$4:$F$458,$C$4:$C$458,C459,$D$4:$D$458,D459,$E$4:$E$458,E459,$B$4:$B$458,"AJUSTE+")-SUMIFS($F$4:$F$458,$C$4:$C$458,C459,$D$4:$D$458,D459,$E$4:$E$458,E459,$B$4:$B$458,"A CORTE")-SUMIFS($F$4:$F$458,$C$4:$C$458,C459,$D$4:$D$458,D459,$E$4:$E$458,E459,$B$4:$B$458,"A REPROCESO")-SUMIFS($F$4:$F$458,$C$4:$C$458,C459,$D$4:$D$458,D459,$E$4:$E$458,E459,$B$4:$B$458,"MUESTRA")-SUMIFS($F$4:$F$458,$C$4:$C$458,C459,$D$4:$D$458,D459,$E$4:$E$458,E459,$B$4:$B$458,"AJUSTE-")),0)</f>
        <v>0</v>
      </c>
      <c r="L459" s="13">
        <f t="shared" si="13"/>
        <v>0</v>
      </c>
      <c r="M459" s="8"/>
      <c r="N459" s="14"/>
      <c r="O459" s="14"/>
      <c r="P459" s="14"/>
      <c r="Q459" s="15"/>
      <c r="R459" s="16" t="str">
        <f t="shared" si="14"/>
        <v/>
      </c>
    </row>
    <row r="460" ht="15.75" customHeight="1">
      <c r="A460" s="7"/>
      <c r="B460" s="8"/>
      <c r="C460" s="8"/>
      <c r="D460" s="8"/>
      <c r="E460" s="8"/>
      <c r="F460" s="9"/>
      <c r="G460" s="10">
        <f>IFERROR(F460*VLOOKUP(D460,TELAS!$A$4:$C$32,3,FALSE()),0)</f>
        <v>0</v>
      </c>
      <c r="H460" s="11" t="str">
        <f>IFERROR(VLOOKUP(E460,COLORES!$A$4:$B$102,2,FALSE()),"")</f>
        <v/>
      </c>
      <c r="I460" s="12">
        <f>IFERROR(IF(H460="OSCURO",VLOOKUP(D460,PRECIOS!$A$4:$F$32,2,FALSE()),IF(H460="CLARO",VLOOKUP(D460,PRECIOS!$A$4:$F$32,3,FALSE()),IF(H460="MELANGE",VLOOKUP(D460,PRECIOS!$A$4:$F$32,4,FALSE()),IF(H460="PPT",VLOOKUP(D460,PRECIOS!$A$4:$F$32,5,FALSE()),0)))),0)</f>
        <v>0</v>
      </c>
      <c r="J460" s="12">
        <f t="shared" si="12"/>
        <v>0</v>
      </c>
      <c r="K460" s="13">
        <f>IFERROR(IF(C460="",0,SUMIFS($F$4:$F$459,$C$4:$C$459,C460,$D$4:$D$459,D460,$E$4:$E$459,E460,$B$4:$B$459,"INGRESO")+SUMIFS($F$4:$F$459,$C$4:$C$459,C460,$D$4:$D$459,D460,$E$4:$E$459,E460,$B$4:$B$459,"DE REPROCESO")+SUMIFS($F$4:$F$459,$C$4:$C$459,C460,$D$4:$D$459,D460,$E$4:$E$459,E460,$B$4:$B$459,"AJUSTE+")-SUMIFS($F$4:$F$459,$C$4:$C$459,C460,$D$4:$D$459,D460,$E$4:$E$459,E460,$B$4:$B$459,"A CORTE")-SUMIFS($F$4:$F$459,$C$4:$C$459,C460,$D$4:$D$459,D460,$E$4:$E$459,E460,$B$4:$B$459,"A REPROCESO")-SUMIFS($F$4:$F$459,$C$4:$C$459,C460,$D$4:$D$459,D460,$E$4:$E$459,E460,$B$4:$B$459,"MUESTRA")-SUMIFS($F$4:$F$459,$C$4:$C$459,C460,$D$4:$D$459,D460,$E$4:$E$459,E460,$B$4:$B$459,"AJUSTE-")),0)</f>
        <v>0</v>
      </c>
      <c r="L460" s="13">
        <f t="shared" si="13"/>
        <v>0</v>
      </c>
      <c r="M460" s="8"/>
      <c r="N460" s="14"/>
      <c r="O460" s="14"/>
      <c r="P460" s="14"/>
      <c r="Q460" s="15"/>
      <c r="R460" s="16" t="str">
        <f t="shared" si="14"/>
        <v/>
      </c>
    </row>
    <row r="461" ht="15.75" customHeight="1">
      <c r="A461" s="7"/>
      <c r="B461" s="8"/>
      <c r="C461" s="8"/>
      <c r="D461" s="8"/>
      <c r="E461" s="8"/>
      <c r="F461" s="9"/>
      <c r="G461" s="10">
        <f>IFERROR(F461*VLOOKUP(D461,TELAS!$A$4:$C$32,3,FALSE()),0)</f>
        <v>0</v>
      </c>
      <c r="H461" s="11" t="str">
        <f>IFERROR(VLOOKUP(E461,COLORES!$A$4:$B$102,2,FALSE()),"")</f>
        <v/>
      </c>
      <c r="I461" s="12">
        <f>IFERROR(IF(H461="OSCURO",VLOOKUP(D461,PRECIOS!$A$4:$F$32,2,FALSE()),IF(H461="CLARO",VLOOKUP(D461,PRECIOS!$A$4:$F$32,3,FALSE()),IF(H461="MELANGE",VLOOKUP(D461,PRECIOS!$A$4:$F$32,4,FALSE()),IF(H461="PPT",VLOOKUP(D461,PRECIOS!$A$4:$F$32,5,FALSE()),0)))),0)</f>
        <v>0</v>
      </c>
      <c r="J461" s="12">
        <f t="shared" si="12"/>
        <v>0</v>
      </c>
      <c r="K461" s="13">
        <f>IFERROR(IF(C461="",0,SUMIFS($F$4:$F$460,$C$4:$C$460,C461,$D$4:$D$460,D461,$E$4:$E$460,E461,$B$4:$B$460,"INGRESO")+SUMIFS($F$4:$F$460,$C$4:$C$460,C461,$D$4:$D$460,D461,$E$4:$E$460,E461,$B$4:$B$460,"DE REPROCESO")+SUMIFS($F$4:$F$460,$C$4:$C$460,C461,$D$4:$D$460,D461,$E$4:$E$460,E461,$B$4:$B$460,"AJUSTE+")-SUMIFS($F$4:$F$460,$C$4:$C$460,C461,$D$4:$D$460,D461,$E$4:$E$460,E461,$B$4:$B$460,"A CORTE")-SUMIFS($F$4:$F$460,$C$4:$C$460,C461,$D$4:$D$460,D461,$E$4:$E$460,E461,$B$4:$B$460,"A REPROCESO")-SUMIFS($F$4:$F$460,$C$4:$C$460,C461,$D$4:$D$460,D461,$E$4:$E$460,E461,$B$4:$B$460,"MUESTRA")-SUMIFS($F$4:$F$460,$C$4:$C$460,C461,$D$4:$D$460,D461,$E$4:$E$460,E461,$B$4:$B$460,"AJUSTE-")),0)</f>
        <v>0</v>
      </c>
      <c r="L461" s="13">
        <f t="shared" si="13"/>
        <v>0</v>
      </c>
      <c r="M461" s="8"/>
      <c r="N461" s="14"/>
      <c r="O461" s="14"/>
      <c r="P461" s="14"/>
      <c r="Q461" s="15"/>
      <c r="R461" s="16" t="str">
        <f t="shared" si="14"/>
        <v/>
      </c>
    </row>
    <row r="462" ht="15.75" customHeight="1">
      <c r="A462" s="7"/>
      <c r="B462" s="8"/>
      <c r="C462" s="8"/>
      <c r="D462" s="8"/>
      <c r="E462" s="8"/>
      <c r="F462" s="9"/>
      <c r="G462" s="10">
        <f>IFERROR(F462*VLOOKUP(D462,TELAS!$A$4:$C$32,3,FALSE()),0)</f>
        <v>0</v>
      </c>
      <c r="H462" s="11" t="str">
        <f>IFERROR(VLOOKUP(E462,COLORES!$A$4:$B$102,2,FALSE()),"")</f>
        <v/>
      </c>
      <c r="I462" s="12">
        <f>IFERROR(IF(H462="OSCURO",VLOOKUP(D462,PRECIOS!$A$4:$F$32,2,FALSE()),IF(H462="CLARO",VLOOKUP(D462,PRECIOS!$A$4:$F$32,3,FALSE()),IF(H462="MELANGE",VLOOKUP(D462,PRECIOS!$A$4:$F$32,4,FALSE()),IF(H462="PPT",VLOOKUP(D462,PRECIOS!$A$4:$F$32,5,FALSE()),0)))),0)</f>
        <v>0</v>
      </c>
      <c r="J462" s="12">
        <f t="shared" si="12"/>
        <v>0</v>
      </c>
      <c r="K462" s="13">
        <f>IFERROR(IF(C462="",0,SUMIFS($F$4:$F$461,$C$4:$C$461,C462,$D$4:$D$461,D462,$E$4:$E$461,E462,$B$4:$B$461,"INGRESO")+SUMIFS($F$4:$F$461,$C$4:$C$461,C462,$D$4:$D$461,D462,$E$4:$E$461,E462,$B$4:$B$461,"DE REPROCESO")+SUMIFS($F$4:$F$461,$C$4:$C$461,C462,$D$4:$D$461,D462,$E$4:$E$461,E462,$B$4:$B$461,"AJUSTE+")-SUMIFS($F$4:$F$461,$C$4:$C$461,C462,$D$4:$D$461,D462,$E$4:$E$461,E462,$B$4:$B$461,"A CORTE")-SUMIFS($F$4:$F$461,$C$4:$C$461,C462,$D$4:$D$461,D462,$E$4:$E$461,E462,$B$4:$B$461,"A REPROCESO")-SUMIFS($F$4:$F$461,$C$4:$C$461,C462,$D$4:$D$461,D462,$E$4:$E$461,E462,$B$4:$B$461,"MUESTRA")-SUMIFS($F$4:$F$461,$C$4:$C$461,C462,$D$4:$D$461,D462,$E$4:$E$461,E462,$B$4:$B$461,"AJUSTE-")),0)</f>
        <v>0</v>
      </c>
      <c r="L462" s="13">
        <f t="shared" si="13"/>
        <v>0</v>
      </c>
      <c r="M462" s="8"/>
      <c r="N462" s="14"/>
      <c r="O462" s="14"/>
      <c r="P462" s="14"/>
      <c r="Q462" s="15"/>
      <c r="R462" s="16" t="str">
        <f t="shared" si="14"/>
        <v/>
      </c>
    </row>
    <row r="463" ht="15.75" customHeight="1">
      <c r="A463" s="7"/>
      <c r="B463" s="8"/>
      <c r="C463" s="8"/>
      <c r="D463" s="8"/>
      <c r="E463" s="8"/>
      <c r="F463" s="9"/>
      <c r="G463" s="10">
        <f>IFERROR(F463*VLOOKUP(D463,TELAS!$A$4:$C$32,3,FALSE()),0)</f>
        <v>0</v>
      </c>
      <c r="H463" s="11" t="str">
        <f>IFERROR(VLOOKUP(E463,COLORES!$A$4:$B$102,2,FALSE()),"")</f>
        <v/>
      </c>
      <c r="I463" s="12">
        <f>IFERROR(IF(H463="OSCURO",VLOOKUP(D463,PRECIOS!$A$4:$F$32,2,FALSE()),IF(H463="CLARO",VLOOKUP(D463,PRECIOS!$A$4:$F$32,3,FALSE()),IF(H463="MELANGE",VLOOKUP(D463,PRECIOS!$A$4:$F$32,4,FALSE()),IF(H463="PPT",VLOOKUP(D463,PRECIOS!$A$4:$F$32,5,FALSE()),0)))),0)</f>
        <v>0</v>
      </c>
      <c r="J463" s="12">
        <f t="shared" si="12"/>
        <v>0</v>
      </c>
      <c r="K463" s="13">
        <f>IFERROR(IF(C463="",0,SUMIFS($F$4:$F$462,$C$4:$C$462,C463,$D$4:$D$462,D463,$E$4:$E$462,E463,$B$4:$B$462,"INGRESO")+SUMIFS($F$4:$F$462,$C$4:$C$462,C463,$D$4:$D$462,D463,$E$4:$E$462,E463,$B$4:$B$462,"DE REPROCESO")+SUMIFS($F$4:$F$462,$C$4:$C$462,C463,$D$4:$D$462,D463,$E$4:$E$462,E463,$B$4:$B$462,"AJUSTE+")-SUMIFS($F$4:$F$462,$C$4:$C$462,C463,$D$4:$D$462,D463,$E$4:$E$462,E463,$B$4:$B$462,"A CORTE")-SUMIFS($F$4:$F$462,$C$4:$C$462,C463,$D$4:$D$462,D463,$E$4:$E$462,E463,$B$4:$B$462,"A REPROCESO")-SUMIFS($F$4:$F$462,$C$4:$C$462,C463,$D$4:$D$462,D463,$E$4:$E$462,E463,$B$4:$B$462,"MUESTRA")-SUMIFS($F$4:$F$462,$C$4:$C$462,C463,$D$4:$D$462,D463,$E$4:$E$462,E463,$B$4:$B$462,"AJUSTE-")),0)</f>
        <v>0</v>
      </c>
      <c r="L463" s="13">
        <f t="shared" si="13"/>
        <v>0</v>
      </c>
      <c r="M463" s="8"/>
      <c r="N463" s="14"/>
      <c r="O463" s="14"/>
      <c r="P463" s="14"/>
      <c r="Q463" s="15"/>
      <c r="R463" s="16" t="str">
        <f t="shared" si="14"/>
        <v/>
      </c>
    </row>
    <row r="464" ht="15.75" customHeight="1">
      <c r="A464" s="7"/>
      <c r="B464" s="8"/>
      <c r="C464" s="8"/>
      <c r="D464" s="8"/>
      <c r="E464" s="8"/>
      <c r="F464" s="9"/>
      <c r="G464" s="10">
        <f>IFERROR(F464*VLOOKUP(D464,TELAS!$A$4:$C$32,3,FALSE()),0)</f>
        <v>0</v>
      </c>
      <c r="H464" s="11" t="str">
        <f>IFERROR(VLOOKUP(E464,COLORES!$A$4:$B$102,2,FALSE()),"")</f>
        <v/>
      </c>
      <c r="I464" s="12">
        <f>IFERROR(IF(H464="OSCURO",VLOOKUP(D464,PRECIOS!$A$4:$F$32,2,FALSE()),IF(H464="CLARO",VLOOKUP(D464,PRECIOS!$A$4:$F$32,3,FALSE()),IF(H464="MELANGE",VLOOKUP(D464,PRECIOS!$A$4:$F$32,4,FALSE()),IF(H464="PPT",VLOOKUP(D464,PRECIOS!$A$4:$F$32,5,FALSE()),0)))),0)</f>
        <v>0</v>
      </c>
      <c r="J464" s="12">
        <f t="shared" si="12"/>
        <v>0</v>
      </c>
      <c r="K464" s="13">
        <f>IFERROR(IF(C464="",0,SUMIFS($F$4:$F$463,$C$4:$C$463,C464,$D$4:$D$463,D464,$E$4:$E$463,E464,$B$4:$B$463,"INGRESO")+SUMIFS($F$4:$F$463,$C$4:$C$463,C464,$D$4:$D$463,D464,$E$4:$E$463,E464,$B$4:$B$463,"DE REPROCESO")+SUMIFS($F$4:$F$463,$C$4:$C$463,C464,$D$4:$D$463,D464,$E$4:$E$463,E464,$B$4:$B$463,"AJUSTE+")-SUMIFS($F$4:$F$463,$C$4:$C$463,C464,$D$4:$D$463,D464,$E$4:$E$463,E464,$B$4:$B$463,"A CORTE")-SUMIFS($F$4:$F$463,$C$4:$C$463,C464,$D$4:$D$463,D464,$E$4:$E$463,E464,$B$4:$B$463,"A REPROCESO")-SUMIFS($F$4:$F$463,$C$4:$C$463,C464,$D$4:$D$463,D464,$E$4:$E$463,E464,$B$4:$B$463,"MUESTRA")-SUMIFS($F$4:$F$463,$C$4:$C$463,C464,$D$4:$D$463,D464,$E$4:$E$463,E464,$B$4:$B$463,"AJUSTE-")),0)</f>
        <v>0</v>
      </c>
      <c r="L464" s="13">
        <f t="shared" si="13"/>
        <v>0</v>
      </c>
      <c r="M464" s="8"/>
      <c r="N464" s="14"/>
      <c r="O464" s="14"/>
      <c r="P464" s="14"/>
      <c r="Q464" s="15"/>
      <c r="R464" s="16" t="str">
        <f t="shared" si="14"/>
        <v/>
      </c>
    </row>
    <row r="465" ht="15.75" customHeight="1">
      <c r="A465" s="7"/>
      <c r="B465" s="8"/>
      <c r="C465" s="8"/>
      <c r="D465" s="8"/>
      <c r="E465" s="8"/>
      <c r="F465" s="9"/>
      <c r="G465" s="10">
        <f>IFERROR(F465*VLOOKUP(D465,TELAS!$A$4:$C$32,3,FALSE()),0)</f>
        <v>0</v>
      </c>
      <c r="H465" s="11" t="str">
        <f>IFERROR(VLOOKUP(E465,COLORES!$A$4:$B$102,2,FALSE()),"")</f>
        <v/>
      </c>
      <c r="I465" s="12">
        <f>IFERROR(IF(H465="OSCURO",VLOOKUP(D465,PRECIOS!$A$4:$F$32,2,FALSE()),IF(H465="CLARO",VLOOKUP(D465,PRECIOS!$A$4:$F$32,3,FALSE()),IF(H465="MELANGE",VLOOKUP(D465,PRECIOS!$A$4:$F$32,4,FALSE()),IF(H465="PPT",VLOOKUP(D465,PRECIOS!$A$4:$F$32,5,FALSE()),0)))),0)</f>
        <v>0</v>
      </c>
      <c r="J465" s="12">
        <f t="shared" si="12"/>
        <v>0</v>
      </c>
      <c r="K465" s="13">
        <f>IFERROR(IF(C465="",0,SUMIFS($F$4:$F$464,$C$4:$C$464,C465,$D$4:$D$464,D465,$E$4:$E$464,E465,$B$4:$B$464,"INGRESO")+SUMIFS($F$4:$F$464,$C$4:$C$464,C465,$D$4:$D$464,D465,$E$4:$E$464,E465,$B$4:$B$464,"DE REPROCESO")+SUMIFS($F$4:$F$464,$C$4:$C$464,C465,$D$4:$D$464,D465,$E$4:$E$464,E465,$B$4:$B$464,"AJUSTE+")-SUMIFS($F$4:$F$464,$C$4:$C$464,C465,$D$4:$D$464,D465,$E$4:$E$464,E465,$B$4:$B$464,"A CORTE")-SUMIFS($F$4:$F$464,$C$4:$C$464,C465,$D$4:$D$464,D465,$E$4:$E$464,E465,$B$4:$B$464,"A REPROCESO")-SUMIFS($F$4:$F$464,$C$4:$C$464,C465,$D$4:$D$464,D465,$E$4:$E$464,E465,$B$4:$B$464,"MUESTRA")-SUMIFS($F$4:$F$464,$C$4:$C$464,C465,$D$4:$D$464,D465,$E$4:$E$464,E465,$B$4:$B$464,"AJUSTE-")),0)</f>
        <v>0</v>
      </c>
      <c r="L465" s="13">
        <f t="shared" si="13"/>
        <v>0</v>
      </c>
      <c r="M465" s="8"/>
      <c r="N465" s="14"/>
      <c r="O465" s="14"/>
      <c r="P465" s="14"/>
      <c r="Q465" s="15"/>
      <c r="R465" s="16" t="str">
        <f t="shared" si="14"/>
        <v/>
      </c>
    </row>
    <row r="466" ht="15.75" customHeight="1">
      <c r="A466" s="7"/>
      <c r="B466" s="8"/>
      <c r="C466" s="8"/>
      <c r="D466" s="8"/>
      <c r="E466" s="8"/>
      <c r="F466" s="9"/>
      <c r="G466" s="10">
        <f>IFERROR(F466*VLOOKUP(D466,TELAS!$A$4:$C$32,3,FALSE()),0)</f>
        <v>0</v>
      </c>
      <c r="H466" s="11" t="str">
        <f>IFERROR(VLOOKUP(E466,COLORES!$A$4:$B$102,2,FALSE()),"")</f>
        <v/>
      </c>
      <c r="I466" s="12">
        <f>IFERROR(IF(H466="OSCURO",VLOOKUP(D466,PRECIOS!$A$4:$F$32,2,FALSE()),IF(H466="CLARO",VLOOKUP(D466,PRECIOS!$A$4:$F$32,3,FALSE()),IF(H466="MELANGE",VLOOKUP(D466,PRECIOS!$A$4:$F$32,4,FALSE()),IF(H466="PPT",VLOOKUP(D466,PRECIOS!$A$4:$F$32,5,FALSE()),0)))),0)</f>
        <v>0</v>
      </c>
      <c r="J466" s="12">
        <f t="shared" si="12"/>
        <v>0</v>
      </c>
      <c r="K466" s="13">
        <f>IFERROR(IF(C466="",0,SUMIFS($F$4:$F$465,$C$4:$C$465,C466,$D$4:$D$465,D466,$E$4:$E$465,E466,$B$4:$B$465,"INGRESO")+SUMIFS($F$4:$F$465,$C$4:$C$465,C466,$D$4:$D$465,D466,$E$4:$E$465,E466,$B$4:$B$465,"DE REPROCESO")+SUMIFS($F$4:$F$465,$C$4:$C$465,C466,$D$4:$D$465,D466,$E$4:$E$465,E466,$B$4:$B$465,"AJUSTE+")-SUMIFS($F$4:$F$465,$C$4:$C$465,C466,$D$4:$D$465,D466,$E$4:$E$465,E466,$B$4:$B$465,"A CORTE")-SUMIFS($F$4:$F$465,$C$4:$C$465,C466,$D$4:$D$465,D466,$E$4:$E$465,E466,$B$4:$B$465,"A REPROCESO")-SUMIFS($F$4:$F$465,$C$4:$C$465,C466,$D$4:$D$465,D466,$E$4:$E$465,E466,$B$4:$B$465,"MUESTRA")-SUMIFS($F$4:$F$465,$C$4:$C$465,C466,$D$4:$D$465,D466,$E$4:$E$465,E466,$B$4:$B$465,"AJUSTE-")),0)</f>
        <v>0</v>
      </c>
      <c r="L466" s="13">
        <f t="shared" si="13"/>
        <v>0</v>
      </c>
      <c r="M466" s="8"/>
      <c r="N466" s="14"/>
      <c r="O466" s="14"/>
      <c r="P466" s="14"/>
      <c r="Q466" s="15"/>
      <c r="R466" s="16" t="str">
        <f t="shared" si="14"/>
        <v/>
      </c>
    </row>
    <row r="467" ht="15.75" customHeight="1">
      <c r="A467" s="7"/>
      <c r="B467" s="8"/>
      <c r="C467" s="8"/>
      <c r="D467" s="8"/>
      <c r="E467" s="8"/>
      <c r="F467" s="9"/>
      <c r="G467" s="10">
        <f>IFERROR(F467*VLOOKUP(D467,TELAS!$A$4:$C$32,3,FALSE()),0)</f>
        <v>0</v>
      </c>
      <c r="H467" s="11" t="str">
        <f>IFERROR(VLOOKUP(E467,COLORES!$A$4:$B$102,2,FALSE()),"")</f>
        <v/>
      </c>
      <c r="I467" s="12">
        <f>IFERROR(IF(H467="OSCURO",VLOOKUP(D467,PRECIOS!$A$4:$F$32,2,FALSE()),IF(H467="CLARO",VLOOKUP(D467,PRECIOS!$A$4:$F$32,3,FALSE()),IF(H467="MELANGE",VLOOKUP(D467,PRECIOS!$A$4:$F$32,4,FALSE()),IF(H467="PPT",VLOOKUP(D467,PRECIOS!$A$4:$F$32,5,FALSE()),0)))),0)</f>
        <v>0</v>
      </c>
      <c r="J467" s="12">
        <f t="shared" si="12"/>
        <v>0</v>
      </c>
      <c r="K467" s="13">
        <f>IFERROR(IF(C467="",0,SUMIFS($F$4:$F$466,$C$4:$C$466,C467,$D$4:$D$466,D467,$E$4:$E$466,E467,$B$4:$B$466,"INGRESO")+SUMIFS($F$4:$F$466,$C$4:$C$466,C467,$D$4:$D$466,D467,$E$4:$E$466,E467,$B$4:$B$466,"DE REPROCESO")+SUMIFS($F$4:$F$466,$C$4:$C$466,C467,$D$4:$D$466,D467,$E$4:$E$466,E467,$B$4:$B$466,"AJUSTE+")-SUMIFS($F$4:$F$466,$C$4:$C$466,C467,$D$4:$D$466,D467,$E$4:$E$466,E467,$B$4:$B$466,"A CORTE")-SUMIFS($F$4:$F$466,$C$4:$C$466,C467,$D$4:$D$466,D467,$E$4:$E$466,E467,$B$4:$B$466,"A REPROCESO")-SUMIFS($F$4:$F$466,$C$4:$C$466,C467,$D$4:$D$466,D467,$E$4:$E$466,E467,$B$4:$B$466,"MUESTRA")-SUMIFS($F$4:$F$466,$C$4:$C$466,C467,$D$4:$D$466,D467,$E$4:$E$466,E467,$B$4:$B$466,"AJUSTE-")),0)</f>
        <v>0</v>
      </c>
      <c r="L467" s="13">
        <f t="shared" si="13"/>
        <v>0</v>
      </c>
      <c r="M467" s="8"/>
      <c r="N467" s="14"/>
      <c r="O467" s="14"/>
      <c r="P467" s="14"/>
      <c r="Q467" s="15"/>
      <c r="R467" s="16" t="str">
        <f t="shared" si="14"/>
        <v/>
      </c>
    </row>
    <row r="468" ht="15.75" customHeight="1">
      <c r="A468" s="7"/>
      <c r="B468" s="8"/>
      <c r="C468" s="8"/>
      <c r="D468" s="8"/>
      <c r="E468" s="8"/>
      <c r="F468" s="9"/>
      <c r="G468" s="10">
        <f>IFERROR(F468*VLOOKUP(D468,TELAS!$A$4:$C$32,3,FALSE()),0)</f>
        <v>0</v>
      </c>
      <c r="H468" s="11" t="str">
        <f>IFERROR(VLOOKUP(E468,COLORES!$A$4:$B$102,2,FALSE()),"")</f>
        <v/>
      </c>
      <c r="I468" s="12">
        <f>IFERROR(IF(H468="OSCURO",VLOOKUP(D468,PRECIOS!$A$4:$F$32,2,FALSE()),IF(H468="CLARO",VLOOKUP(D468,PRECIOS!$A$4:$F$32,3,FALSE()),IF(H468="MELANGE",VLOOKUP(D468,PRECIOS!$A$4:$F$32,4,FALSE()),IF(H468="PPT",VLOOKUP(D468,PRECIOS!$A$4:$F$32,5,FALSE()),0)))),0)</f>
        <v>0</v>
      </c>
      <c r="J468" s="12">
        <f t="shared" si="12"/>
        <v>0</v>
      </c>
      <c r="K468" s="13">
        <f>IFERROR(IF(C468="",0,SUMIFS($F$4:$F$467,$C$4:$C$467,C468,$D$4:$D$467,D468,$E$4:$E$467,E468,$B$4:$B$467,"INGRESO")+SUMIFS($F$4:$F$467,$C$4:$C$467,C468,$D$4:$D$467,D468,$E$4:$E$467,E468,$B$4:$B$467,"DE REPROCESO")+SUMIFS($F$4:$F$467,$C$4:$C$467,C468,$D$4:$D$467,D468,$E$4:$E$467,E468,$B$4:$B$467,"AJUSTE+")-SUMIFS($F$4:$F$467,$C$4:$C$467,C468,$D$4:$D$467,D468,$E$4:$E$467,E468,$B$4:$B$467,"A CORTE")-SUMIFS($F$4:$F$467,$C$4:$C$467,C468,$D$4:$D$467,D468,$E$4:$E$467,E468,$B$4:$B$467,"A REPROCESO")-SUMIFS($F$4:$F$467,$C$4:$C$467,C468,$D$4:$D$467,D468,$E$4:$E$467,E468,$B$4:$B$467,"MUESTRA")-SUMIFS($F$4:$F$467,$C$4:$C$467,C468,$D$4:$D$467,D468,$E$4:$E$467,E468,$B$4:$B$467,"AJUSTE-")),0)</f>
        <v>0</v>
      </c>
      <c r="L468" s="13">
        <f t="shared" si="13"/>
        <v>0</v>
      </c>
      <c r="M468" s="8"/>
      <c r="N468" s="14"/>
      <c r="O468" s="14"/>
      <c r="P468" s="14"/>
      <c r="Q468" s="15"/>
      <c r="R468" s="16" t="str">
        <f t="shared" si="14"/>
        <v/>
      </c>
    </row>
    <row r="469" ht="15.75" customHeight="1">
      <c r="A469" s="7"/>
      <c r="B469" s="8"/>
      <c r="C469" s="8"/>
      <c r="D469" s="8"/>
      <c r="E469" s="8"/>
      <c r="F469" s="9"/>
      <c r="G469" s="10">
        <f>IFERROR(F469*VLOOKUP(D469,TELAS!$A$4:$C$32,3,FALSE()),0)</f>
        <v>0</v>
      </c>
      <c r="H469" s="11" t="str">
        <f>IFERROR(VLOOKUP(E469,COLORES!$A$4:$B$102,2,FALSE()),"")</f>
        <v/>
      </c>
      <c r="I469" s="12">
        <f>IFERROR(IF(H469="OSCURO",VLOOKUP(D469,PRECIOS!$A$4:$F$32,2,FALSE()),IF(H469="CLARO",VLOOKUP(D469,PRECIOS!$A$4:$F$32,3,FALSE()),IF(H469="MELANGE",VLOOKUP(D469,PRECIOS!$A$4:$F$32,4,FALSE()),IF(H469="PPT",VLOOKUP(D469,PRECIOS!$A$4:$F$32,5,FALSE()),0)))),0)</f>
        <v>0</v>
      </c>
      <c r="J469" s="12">
        <f t="shared" si="12"/>
        <v>0</v>
      </c>
      <c r="K469" s="13">
        <f>IFERROR(IF(C469="",0,SUMIFS($F$4:$F$468,$C$4:$C$468,C469,$D$4:$D$468,D469,$E$4:$E$468,E469,$B$4:$B$468,"INGRESO")+SUMIFS($F$4:$F$468,$C$4:$C$468,C469,$D$4:$D$468,D469,$E$4:$E$468,E469,$B$4:$B$468,"DE REPROCESO")+SUMIFS($F$4:$F$468,$C$4:$C$468,C469,$D$4:$D$468,D469,$E$4:$E$468,E469,$B$4:$B$468,"AJUSTE+")-SUMIFS($F$4:$F$468,$C$4:$C$468,C469,$D$4:$D$468,D469,$E$4:$E$468,E469,$B$4:$B$468,"A CORTE")-SUMIFS($F$4:$F$468,$C$4:$C$468,C469,$D$4:$D$468,D469,$E$4:$E$468,E469,$B$4:$B$468,"A REPROCESO")-SUMIFS($F$4:$F$468,$C$4:$C$468,C469,$D$4:$D$468,D469,$E$4:$E$468,E469,$B$4:$B$468,"MUESTRA")-SUMIFS($F$4:$F$468,$C$4:$C$468,C469,$D$4:$D$468,D469,$E$4:$E$468,E469,$B$4:$B$468,"AJUSTE-")),0)</f>
        <v>0</v>
      </c>
      <c r="L469" s="13">
        <f t="shared" si="13"/>
        <v>0</v>
      </c>
      <c r="M469" s="8"/>
      <c r="N469" s="14"/>
      <c r="O469" s="14"/>
      <c r="P469" s="14"/>
      <c r="Q469" s="15"/>
      <c r="R469" s="16" t="str">
        <f t="shared" si="14"/>
        <v/>
      </c>
    </row>
    <row r="470" ht="15.75" customHeight="1">
      <c r="A470" s="7"/>
      <c r="B470" s="8"/>
      <c r="C470" s="8"/>
      <c r="D470" s="8"/>
      <c r="E470" s="8"/>
      <c r="F470" s="9"/>
      <c r="G470" s="10">
        <f>IFERROR(F470*VLOOKUP(D470,TELAS!$A$4:$C$32,3,FALSE()),0)</f>
        <v>0</v>
      </c>
      <c r="H470" s="11" t="str">
        <f>IFERROR(VLOOKUP(E470,COLORES!$A$4:$B$102,2,FALSE()),"")</f>
        <v/>
      </c>
      <c r="I470" s="12">
        <f>IFERROR(IF(H470="OSCURO",VLOOKUP(D470,PRECIOS!$A$4:$F$32,2,FALSE()),IF(H470="CLARO",VLOOKUP(D470,PRECIOS!$A$4:$F$32,3,FALSE()),IF(H470="MELANGE",VLOOKUP(D470,PRECIOS!$A$4:$F$32,4,FALSE()),IF(H470="PPT",VLOOKUP(D470,PRECIOS!$A$4:$F$32,5,FALSE()),0)))),0)</f>
        <v>0</v>
      </c>
      <c r="J470" s="12">
        <f t="shared" si="12"/>
        <v>0</v>
      </c>
      <c r="K470" s="13">
        <f>IFERROR(IF(C470="",0,SUMIFS($F$4:$F$469,$C$4:$C$469,C470,$D$4:$D$469,D470,$E$4:$E$469,E470,$B$4:$B$469,"INGRESO")+SUMIFS($F$4:$F$469,$C$4:$C$469,C470,$D$4:$D$469,D470,$E$4:$E$469,E470,$B$4:$B$469,"DE REPROCESO")+SUMIFS($F$4:$F$469,$C$4:$C$469,C470,$D$4:$D$469,D470,$E$4:$E$469,E470,$B$4:$B$469,"AJUSTE+")-SUMIFS($F$4:$F$469,$C$4:$C$469,C470,$D$4:$D$469,D470,$E$4:$E$469,E470,$B$4:$B$469,"A CORTE")-SUMIFS($F$4:$F$469,$C$4:$C$469,C470,$D$4:$D$469,D470,$E$4:$E$469,E470,$B$4:$B$469,"A REPROCESO")-SUMIFS($F$4:$F$469,$C$4:$C$469,C470,$D$4:$D$469,D470,$E$4:$E$469,E470,$B$4:$B$469,"MUESTRA")-SUMIFS($F$4:$F$469,$C$4:$C$469,C470,$D$4:$D$469,D470,$E$4:$E$469,E470,$B$4:$B$469,"AJUSTE-")),0)</f>
        <v>0</v>
      </c>
      <c r="L470" s="13">
        <f t="shared" si="13"/>
        <v>0</v>
      </c>
      <c r="M470" s="8"/>
      <c r="N470" s="14"/>
      <c r="O470" s="14"/>
      <c r="P470" s="14"/>
      <c r="Q470" s="15"/>
      <c r="R470" s="16" t="str">
        <f t="shared" si="14"/>
        <v/>
      </c>
    </row>
    <row r="471" ht="15.75" customHeight="1">
      <c r="A471" s="7"/>
      <c r="B471" s="8"/>
      <c r="C471" s="8"/>
      <c r="D471" s="8"/>
      <c r="E471" s="8"/>
      <c r="F471" s="9"/>
      <c r="G471" s="10">
        <f>IFERROR(F471*VLOOKUP(D471,TELAS!$A$4:$C$32,3,FALSE()),0)</f>
        <v>0</v>
      </c>
      <c r="H471" s="11" t="str">
        <f>IFERROR(VLOOKUP(E471,COLORES!$A$4:$B$102,2,FALSE()),"")</f>
        <v/>
      </c>
      <c r="I471" s="12">
        <f>IFERROR(IF(H471="OSCURO",VLOOKUP(D471,PRECIOS!$A$4:$F$32,2,FALSE()),IF(H471="CLARO",VLOOKUP(D471,PRECIOS!$A$4:$F$32,3,FALSE()),IF(H471="MELANGE",VLOOKUP(D471,PRECIOS!$A$4:$F$32,4,FALSE()),IF(H471="PPT",VLOOKUP(D471,PRECIOS!$A$4:$F$32,5,FALSE()),0)))),0)</f>
        <v>0</v>
      </c>
      <c r="J471" s="12">
        <f t="shared" si="12"/>
        <v>0</v>
      </c>
      <c r="K471" s="13">
        <f>IFERROR(IF(C471="",0,SUMIFS($F$4:$F$470,$C$4:$C$470,C471,$D$4:$D$470,D471,$E$4:$E$470,E471,$B$4:$B$470,"INGRESO")+SUMIFS($F$4:$F$470,$C$4:$C$470,C471,$D$4:$D$470,D471,$E$4:$E$470,E471,$B$4:$B$470,"DE REPROCESO")+SUMIFS($F$4:$F$470,$C$4:$C$470,C471,$D$4:$D$470,D471,$E$4:$E$470,E471,$B$4:$B$470,"AJUSTE+")-SUMIFS($F$4:$F$470,$C$4:$C$470,C471,$D$4:$D$470,D471,$E$4:$E$470,E471,$B$4:$B$470,"A CORTE")-SUMIFS($F$4:$F$470,$C$4:$C$470,C471,$D$4:$D$470,D471,$E$4:$E$470,E471,$B$4:$B$470,"A REPROCESO")-SUMIFS($F$4:$F$470,$C$4:$C$470,C471,$D$4:$D$470,D471,$E$4:$E$470,E471,$B$4:$B$470,"MUESTRA")-SUMIFS($F$4:$F$470,$C$4:$C$470,C471,$D$4:$D$470,D471,$E$4:$E$470,E471,$B$4:$B$470,"AJUSTE-")),0)</f>
        <v>0</v>
      </c>
      <c r="L471" s="13">
        <f t="shared" si="13"/>
        <v>0</v>
      </c>
      <c r="M471" s="8"/>
      <c r="N471" s="14"/>
      <c r="O471" s="14"/>
      <c r="P471" s="14"/>
      <c r="Q471" s="15"/>
      <c r="R471" s="16" t="str">
        <f t="shared" si="14"/>
        <v/>
      </c>
    </row>
    <row r="472" ht="15.75" customHeight="1">
      <c r="A472" s="7"/>
      <c r="B472" s="8"/>
      <c r="C472" s="8"/>
      <c r="D472" s="8"/>
      <c r="E472" s="8"/>
      <c r="F472" s="9"/>
      <c r="G472" s="10">
        <f>IFERROR(F472*VLOOKUP(D472,TELAS!$A$4:$C$32,3,FALSE()),0)</f>
        <v>0</v>
      </c>
      <c r="H472" s="11" t="str">
        <f>IFERROR(VLOOKUP(E472,COLORES!$A$4:$B$102,2,FALSE()),"")</f>
        <v/>
      </c>
      <c r="I472" s="12">
        <f>IFERROR(IF(H472="OSCURO",VLOOKUP(D472,PRECIOS!$A$4:$F$32,2,FALSE()),IF(H472="CLARO",VLOOKUP(D472,PRECIOS!$A$4:$F$32,3,FALSE()),IF(H472="MELANGE",VLOOKUP(D472,PRECIOS!$A$4:$F$32,4,FALSE()),IF(H472="PPT",VLOOKUP(D472,PRECIOS!$A$4:$F$32,5,FALSE()),0)))),0)</f>
        <v>0</v>
      </c>
      <c r="J472" s="12">
        <f t="shared" si="12"/>
        <v>0</v>
      </c>
      <c r="K472" s="13">
        <f>IFERROR(IF(C472="",0,SUMIFS($F$4:$F$471,$C$4:$C$471,C472,$D$4:$D$471,D472,$E$4:$E$471,E472,$B$4:$B$471,"INGRESO")+SUMIFS($F$4:$F$471,$C$4:$C$471,C472,$D$4:$D$471,D472,$E$4:$E$471,E472,$B$4:$B$471,"DE REPROCESO")+SUMIFS($F$4:$F$471,$C$4:$C$471,C472,$D$4:$D$471,D472,$E$4:$E$471,E472,$B$4:$B$471,"AJUSTE+")-SUMIFS($F$4:$F$471,$C$4:$C$471,C472,$D$4:$D$471,D472,$E$4:$E$471,E472,$B$4:$B$471,"A CORTE")-SUMIFS($F$4:$F$471,$C$4:$C$471,C472,$D$4:$D$471,D472,$E$4:$E$471,E472,$B$4:$B$471,"A REPROCESO")-SUMIFS($F$4:$F$471,$C$4:$C$471,C472,$D$4:$D$471,D472,$E$4:$E$471,E472,$B$4:$B$471,"MUESTRA")-SUMIFS($F$4:$F$471,$C$4:$C$471,C472,$D$4:$D$471,D472,$E$4:$E$471,E472,$B$4:$B$471,"AJUSTE-")),0)</f>
        <v>0</v>
      </c>
      <c r="L472" s="13">
        <f t="shared" si="13"/>
        <v>0</v>
      </c>
      <c r="M472" s="8"/>
      <c r="N472" s="14"/>
      <c r="O472" s="14"/>
      <c r="P472" s="14"/>
      <c r="Q472" s="15"/>
      <c r="R472" s="16" t="str">
        <f t="shared" si="14"/>
        <v/>
      </c>
    </row>
    <row r="473" ht="15.75" customHeight="1">
      <c r="A473" s="7"/>
      <c r="B473" s="8"/>
      <c r="C473" s="8"/>
      <c r="D473" s="8"/>
      <c r="E473" s="8"/>
      <c r="F473" s="9"/>
      <c r="G473" s="10">
        <f>IFERROR(F473*VLOOKUP(D473,TELAS!$A$4:$C$32,3,FALSE()),0)</f>
        <v>0</v>
      </c>
      <c r="H473" s="11" t="str">
        <f>IFERROR(VLOOKUP(E473,COLORES!$A$4:$B$102,2,FALSE()),"")</f>
        <v/>
      </c>
      <c r="I473" s="12">
        <f>IFERROR(IF(H473="OSCURO",VLOOKUP(D473,PRECIOS!$A$4:$F$32,2,FALSE()),IF(H473="CLARO",VLOOKUP(D473,PRECIOS!$A$4:$F$32,3,FALSE()),IF(H473="MELANGE",VLOOKUP(D473,PRECIOS!$A$4:$F$32,4,FALSE()),IF(H473="PPT",VLOOKUP(D473,PRECIOS!$A$4:$F$32,5,FALSE()),0)))),0)</f>
        <v>0</v>
      </c>
      <c r="J473" s="12">
        <f t="shared" si="12"/>
        <v>0</v>
      </c>
      <c r="K473" s="13">
        <f>IFERROR(IF(C473="",0,SUMIFS($F$4:$F$472,$C$4:$C$472,C473,$D$4:$D$472,D473,$E$4:$E$472,E473,$B$4:$B$472,"INGRESO")+SUMIFS($F$4:$F$472,$C$4:$C$472,C473,$D$4:$D$472,D473,$E$4:$E$472,E473,$B$4:$B$472,"DE REPROCESO")+SUMIFS($F$4:$F$472,$C$4:$C$472,C473,$D$4:$D$472,D473,$E$4:$E$472,E473,$B$4:$B$472,"AJUSTE+")-SUMIFS($F$4:$F$472,$C$4:$C$472,C473,$D$4:$D$472,D473,$E$4:$E$472,E473,$B$4:$B$472,"A CORTE")-SUMIFS($F$4:$F$472,$C$4:$C$472,C473,$D$4:$D$472,D473,$E$4:$E$472,E473,$B$4:$B$472,"A REPROCESO")-SUMIFS($F$4:$F$472,$C$4:$C$472,C473,$D$4:$D$472,D473,$E$4:$E$472,E473,$B$4:$B$472,"MUESTRA")-SUMIFS($F$4:$F$472,$C$4:$C$472,C473,$D$4:$D$472,D473,$E$4:$E$472,E473,$B$4:$B$472,"AJUSTE-")),0)</f>
        <v>0</v>
      </c>
      <c r="L473" s="13">
        <f t="shared" si="13"/>
        <v>0</v>
      </c>
      <c r="M473" s="8"/>
      <c r="N473" s="14"/>
      <c r="O473" s="14"/>
      <c r="P473" s="14"/>
      <c r="Q473" s="15"/>
      <c r="R473" s="16" t="str">
        <f t="shared" si="14"/>
        <v/>
      </c>
    </row>
    <row r="474" ht="15.75" customHeight="1">
      <c r="A474" s="7"/>
      <c r="B474" s="8"/>
      <c r="C474" s="8"/>
      <c r="D474" s="8"/>
      <c r="E474" s="8"/>
      <c r="F474" s="9"/>
      <c r="G474" s="10">
        <f>IFERROR(F474*VLOOKUP(D474,TELAS!$A$4:$C$32,3,FALSE()),0)</f>
        <v>0</v>
      </c>
      <c r="H474" s="11" t="str">
        <f>IFERROR(VLOOKUP(E474,COLORES!$A$4:$B$102,2,FALSE()),"")</f>
        <v/>
      </c>
      <c r="I474" s="12">
        <f>IFERROR(IF(H474="OSCURO",VLOOKUP(D474,PRECIOS!$A$4:$F$32,2,FALSE()),IF(H474="CLARO",VLOOKUP(D474,PRECIOS!$A$4:$F$32,3,FALSE()),IF(H474="MELANGE",VLOOKUP(D474,PRECIOS!$A$4:$F$32,4,FALSE()),IF(H474="PPT",VLOOKUP(D474,PRECIOS!$A$4:$F$32,5,FALSE()),0)))),0)</f>
        <v>0</v>
      </c>
      <c r="J474" s="12">
        <f t="shared" si="12"/>
        <v>0</v>
      </c>
      <c r="K474" s="13">
        <f>IFERROR(IF(C474="",0,SUMIFS($F$4:$F$473,$C$4:$C$473,C474,$D$4:$D$473,D474,$E$4:$E$473,E474,$B$4:$B$473,"INGRESO")+SUMIFS($F$4:$F$473,$C$4:$C$473,C474,$D$4:$D$473,D474,$E$4:$E$473,E474,$B$4:$B$473,"DE REPROCESO")+SUMIFS($F$4:$F$473,$C$4:$C$473,C474,$D$4:$D$473,D474,$E$4:$E$473,E474,$B$4:$B$473,"AJUSTE+")-SUMIFS($F$4:$F$473,$C$4:$C$473,C474,$D$4:$D$473,D474,$E$4:$E$473,E474,$B$4:$B$473,"A CORTE")-SUMIFS($F$4:$F$473,$C$4:$C$473,C474,$D$4:$D$473,D474,$E$4:$E$473,E474,$B$4:$B$473,"A REPROCESO")-SUMIFS($F$4:$F$473,$C$4:$C$473,C474,$D$4:$D$473,D474,$E$4:$E$473,E474,$B$4:$B$473,"MUESTRA")-SUMIFS($F$4:$F$473,$C$4:$C$473,C474,$D$4:$D$473,D474,$E$4:$E$473,E474,$B$4:$B$473,"AJUSTE-")),0)</f>
        <v>0</v>
      </c>
      <c r="L474" s="13">
        <f t="shared" si="13"/>
        <v>0</v>
      </c>
      <c r="M474" s="8"/>
      <c r="N474" s="14"/>
      <c r="O474" s="14"/>
      <c r="P474" s="14"/>
      <c r="Q474" s="15"/>
      <c r="R474" s="16" t="str">
        <f t="shared" si="14"/>
        <v/>
      </c>
    </row>
    <row r="475" ht="15.75" customHeight="1">
      <c r="A475" s="7"/>
      <c r="B475" s="8"/>
      <c r="C475" s="8"/>
      <c r="D475" s="8"/>
      <c r="E475" s="8"/>
      <c r="F475" s="9"/>
      <c r="G475" s="10">
        <f>IFERROR(F475*VLOOKUP(D475,TELAS!$A$4:$C$32,3,FALSE()),0)</f>
        <v>0</v>
      </c>
      <c r="H475" s="11" t="str">
        <f>IFERROR(VLOOKUP(E475,COLORES!$A$4:$B$102,2,FALSE()),"")</f>
        <v/>
      </c>
      <c r="I475" s="12">
        <f>IFERROR(IF(H475="OSCURO",VLOOKUP(D475,PRECIOS!$A$4:$F$32,2,FALSE()),IF(H475="CLARO",VLOOKUP(D475,PRECIOS!$A$4:$F$32,3,FALSE()),IF(H475="MELANGE",VLOOKUP(D475,PRECIOS!$A$4:$F$32,4,FALSE()),IF(H475="PPT",VLOOKUP(D475,PRECIOS!$A$4:$F$32,5,FALSE()),0)))),0)</f>
        <v>0</v>
      </c>
      <c r="J475" s="12">
        <f t="shared" si="12"/>
        <v>0</v>
      </c>
      <c r="K475" s="13">
        <f>IFERROR(IF(C475="",0,SUMIFS($F$4:$F$474,$C$4:$C$474,C475,$D$4:$D$474,D475,$E$4:$E$474,E475,$B$4:$B$474,"INGRESO")+SUMIFS($F$4:$F$474,$C$4:$C$474,C475,$D$4:$D$474,D475,$E$4:$E$474,E475,$B$4:$B$474,"DE REPROCESO")+SUMIFS($F$4:$F$474,$C$4:$C$474,C475,$D$4:$D$474,D475,$E$4:$E$474,E475,$B$4:$B$474,"AJUSTE+")-SUMIFS($F$4:$F$474,$C$4:$C$474,C475,$D$4:$D$474,D475,$E$4:$E$474,E475,$B$4:$B$474,"A CORTE")-SUMIFS($F$4:$F$474,$C$4:$C$474,C475,$D$4:$D$474,D475,$E$4:$E$474,E475,$B$4:$B$474,"A REPROCESO")-SUMIFS($F$4:$F$474,$C$4:$C$474,C475,$D$4:$D$474,D475,$E$4:$E$474,E475,$B$4:$B$474,"MUESTRA")-SUMIFS($F$4:$F$474,$C$4:$C$474,C475,$D$4:$D$474,D475,$E$4:$E$474,E475,$B$4:$B$474,"AJUSTE-")),0)</f>
        <v>0</v>
      </c>
      <c r="L475" s="13">
        <f t="shared" si="13"/>
        <v>0</v>
      </c>
      <c r="M475" s="8"/>
      <c r="N475" s="14"/>
      <c r="O475" s="14"/>
      <c r="P475" s="14"/>
      <c r="Q475" s="15"/>
      <c r="R475" s="16" t="str">
        <f t="shared" si="14"/>
        <v/>
      </c>
    </row>
    <row r="476" ht="15.75" customHeight="1">
      <c r="A476" s="7"/>
      <c r="B476" s="8"/>
      <c r="C476" s="8"/>
      <c r="D476" s="8"/>
      <c r="E476" s="8"/>
      <c r="F476" s="9"/>
      <c r="G476" s="10">
        <f>IFERROR(F476*VLOOKUP(D476,TELAS!$A$4:$C$32,3,FALSE()),0)</f>
        <v>0</v>
      </c>
      <c r="H476" s="11" t="str">
        <f>IFERROR(VLOOKUP(E476,COLORES!$A$4:$B$102,2,FALSE()),"")</f>
        <v/>
      </c>
      <c r="I476" s="12">
        <f>IFERROR(IF(H476="OSCURO",VLOOKUP(D476,PRECIOS!$A$4:$F$32,2,FALSE()),IF(H476="CLARO",VLOOKUP(D476,PRECIOS!$A$4:$F$32,3,FALSE()),IF(H476="MELANGE",VLOOKUP(D476,PRECIOS!$A$4:$F$32,4,FALSE()),IF(H476="PPT",VLOOKUP(D476,PRECIOS!$A$4:$F$32,5,FALSE()),0)))),0)</f>
        <v>0</v>
      </c>
      <c r="J476" s="12">
        <f t="shared" si="12"/>
        <v>0</v>
      </c>
      <c r="K476" s="13">
        <f>IFERROR(IF(C476="",0,SUMIFS($F$4:$F$475,$C$4:$C$475,C476,$D$4:$D$475,D476,$E$4:$E$475,E476,$B$4:$B$475,"INGRESO")+SUMIFS($F$4:$F$475,$C$4:$C$475,C476,$D$4:$D$475,D476,$E$4:$E$475,E476,$B$4:$B$475,"DE REPROCESO")+SUMIFS($F$4:$F$475,$C$4:$C$475,C476,$D$4:$D$475,D476,$E$4:$E$475,E476,$B$4:$B$475,"AJUSTE+")-SUMIFS($F$4:$F$475,$C$4:$C$475,C476,$D$4:$D$475,D476,$E$4:$E$475,E476,$B$4:$B$475,"A CORTE")-SUMIFS($F$4:$F$475,$C$4:$C$475,C476,$D$4:$D$475,D476,$E$4:$E$475,E476,$B$4:$B$475,"A REPROCESO")-SUMIFS($F$4:$F$475,$C$4:$C$475,C476,$D$4:$D$475,D476,$E$4:$E$475,E476,$B$4:$B$475,"MUESTRA")-SUMIFS($F$4:$F$475,$C$4:$C$475,C476,$D$4:$D$475,D476,$E$4:$E$475,E476,$B$4:$B$475,"AJUSTE-")),0)</f>
        <v>0</v>
      </c>
      <c r="L476" s="13">
        <f t="shared" si="13"/>
        <v>0</v>
      </c>
      <c r="M476" s="8"/>
      <c r="N476" s="14"/>
      <c r="O476" s="14"/>
      <c r="P476" s="14"/>
      <c r="Q476" s="15"/>
      <c r="R476" s="16" t="str">
        <f t="shared" si="14"/>
        <v/>
      </c>
    </row>
    <row r="477" ht="15.75" customHeight="1">
      <c r="A477" s="7"/>
      <c r="B477" s="8"/>
      <c r="C477" s="8"/>
      <c r="D477" s="8"/>
      <c r="E477" s="8"/>
      <c r="F477" s="9"/>
      <c r="G477" s="10">
        <f>IFERROR(F477*VLOOKUP(D477,TELAS!$A$4:$C$32,3,FALSE()),0)</f>
        <v>0</v>
      </c>
      <c r="H477" s="11" t="str">
        <f>IFERROR(VLOOKUP(E477,COLORES!$A$4:$B$102,2,FALSE()),"")</f>
        <v/>
      </c>
      <c r="I477" s="12">
        <f>IFERROR(IF(H477="OSCURO",VLOOKUP(D477,PRECIOS!$A$4:$F$32,2,FALSE()),IF(H477="CLARO",VLOOKUP(D477,PRECIOS!$A$4:$F$32,3,FALSE()),IF(H477="MELANGE",VLOOKUP(D477,PRECIOS!$A$4:$F$32,4,FALSE()),IF(H477="PPT",VLOOKUP(D477,PRECIOS!$A$4:$F$32,5,FALSE()),0)))),0)</f>
        <v>0</v>
      </c>
      <c r="J477" s="12">
        <f t="shared" si="12"/>
        <v>0</v>
      </c>
      <c r="K477" s="13">
        <f>IFERROR(IF(C477="",0,SUMIFS($F$4:$F$476,$C$4:$C$476,C477,$D$4:$D$476,D477,$E$4:$E$476,E477,$B$4:$B$476,"INGRESO")+SUMIFS($F$4:$F$476,$C$4:$C$476,C477,$D$4:$D$476,D477,$E$4:$E$476,E477,$B$4:$B$476,"DE REPROCESO")+SUMIFS($F$4:$F$476,$C$4:$C$476,C477,$D$4:$D$476,D477,$E$4:$E$476,E477,$B$4:$B$476,"AJUSTE+")-SUMIFS($F$4:$F$476,$C$4:$C$476,C477,$D$4:$D$476,D477,$E$4:$E$476,E477,$B$4:$B$476,"A CORTE")-SUMIFS($F$4:$F$476,$C$4:$C$476,C477,$D$4:$D$476,D477,$E$4:$E$476,E477,$B$4:$B$476,"A REPROCESO")-SUMIFS($F$4:$F$476,$C$4:$C$476,C477,$D$4:$D$476,D477,$E$4:$E$476,E477,$B$4:$B$476,"MUESTRA")-SUMIFS($F$4:$F$476,$C$4:$C$476,C477,$D$4:$D$476,D477,$E$4:$E$476,E477,$B$4:$B$476,"AJUSTE-")),0)</f>
        <v>0</v>
      </c>
      <c r="L477" s="13">
        <f t="shared" si="13"/>
        <v>0</v>
      </c>
      <c r="M477" s="8"/>
      <c r="N477" s="14"/>
      <c r="O477" s="14"/>
      <c r="P477" s="14"/>
      <c r="Q477" s="15"/>
      <c r="R477" s="16" t="str">
        <f t="shared" si="14"/>
        <v/>
      </c>
    </row>
    <row r="478" ht="15.75" customHeight="1">
      <c r="A478" s="7"/>
      <c r="B478" s="8"/>
      <c r="C478" s="8"/>
      <c r="D478" s="8"/>
      <c r="E478" s="8"/>
      <c r="F478" s="9"/>
      <c r="G478" s="10">
        <f>IFERROR(F478*VLOOKUP(D478,TELAS!$A$4:$C$32,3,FALSE()),0)</f>
        <v>0</v>
      </c>
      <c r="H478" s="11" t="str">
        <f>IFERROR(VLOOKUP(E478,COLORES!$A$4:$B$102,2,FALSE()),"")</f>
        <v/>
      </c>
      <c r="I478" s="12">
        <f>IFERROR(IF(H478="OSCURO",VLOOKUP(D478,PRECIOS!$A$4:$F$32,2,FALSE()),IF(H478="CLARO",VLOOKUP(D478,PRECIOS!$A$4:$F$32,3,FALSE()),IF(H478="MELANGE",VLOOKUP(D478,PRECIOS!$A$4:$F$32,4,FALSE()),IF(H478="PPT",VLOOKUP(D478,PRECIOS!$A$4:$F$32,5,FALSE()),0)))),0)</f>
        <v>0</v>
      </c>
      <c r="J478" s="12">
        <f t="shared" si="12"/>
        <v>0</v>
      </c>
      <c r="K478" s="13">
        <f>IFERROR(IF(C478="",0,SUMIFS($F$4:$F$477,$C$4:$C$477,C478,$D$4:$D$477,D478,$E$4:$E$477,E478,$B$4:$B$477,"INGRESO")+SUMIFS($F$4:$F$477,$C$4:$C$477,C478,$D$4:$D$477,D478,$E$4:$E$477,E478,$B$4:$B$477,"DE REPROCESO")+SUMIFS($F$4:$F$477,$C$4:$C$477,C478,$D$4:$D$477,D478,$E$4:$E$477,E478,$B$4:$B$477,"AJUSTE+")-SUMIFS($F$4:$F$477,$C$4:$C$477,C478,$D$4:$D$477,D478,$E$4:$E$477,E478,$B$4:$B$477,"A CORTE")-SUMIFS($F$4:$F$477,$C$4:$C$477,C478,$D$4:$D$477,D478,$E$4:$E$477,E478,$B$4:$B$477,"A REPROCESO")-SUMIFS($F$4:$F$477,$C$4:$C$477,C478,$D$4:$D$477,D478,$E$4:$E$477,E478,$B$4:$B$477,"MUESTRA")-SUMIFS($F$4:$F$477,$C$4:$C$477,C478,$D$4:$D$477,D478,$E$4:$E$477,E478,$B$4:$B$477,"AJUSTE-")),0)</f>
        <v>0</v>
      </c>
      <c r="L478" s="13">
        <f t="shared" si="13"/>
        <v>0</v>
      </c>
      <c r="M478" s="8"/>
      <c r="N478" s="14"/>
      <c r="O478" s="14"/>
      <c r="P478" s="14"/>
      <c r="Q478" s="15"/>
      <c r="R478" s="16" t="str">
        <f t="shared" si="14"/>
        <v/>
      </c>
    </row>
    <row r="479" ht="15.75" customHeight="1">
      <c r="A479" s="7"/>
      <c r="B479" s="8"/>
      <c r="C479" s="8"/>
      <c r="D479" s="8"/>
      <c r="E479" s="8"/>
      <c r="F479" s="9"/>
      <c r="G479" s="10">
        <f>IFERROR(F479*VLOOKUP(D479,TELAS!$A$4:$C$32,3,FALSE()),0)</f>
        <v>0</v>
      </c>
      <c r="H479" s="11" t="str">
        <f>IFERROR(VLOOKUP(E479,COLORES!$A$4:$B$102,2,FALSE()),"")</f>
        <v/>
      </c>
      <c r="I479" s="12">
        <f>IFERROR(IF(H479="OSCURO",VLOOKUP(D479,PRECIOS!$A$4:$F$32,2,FALSE()),IF(H479="CLARO",VLOOKUP(D479,PRECIOS!$A$4:$F$32,3,FALSE()),IF(H479="MELANGE",VLOOKUP(D479,PRECIOS!$A$4:$F$32,4,FALSE()),IF(H479="PPT",VLOOKUP(D479,PRECIOS!$A$4:$F$32,5,FALSE()),0)))),0)</f>
        <v>0</v>
      </c>
      <c r="J479" s="12">
        <f t="shared" si="12"/>
        <v>0</v>
      </c>
      <c r="K479" s="13">
        <f>IFERROR(IF(C479="",0,SUMIFS($F$4:$F$478,$C$4:$C$478,C479,$D$4:$D$478,D479,$E$4:$E$478,E479,$B$4:$B$478,"INGRESO")+SUMIFS($F$4:$F$478,$C$4:$C$478,C479,$D$4:$D$478,D479,$E$4:$E$478,E479,$B$4:$B$478,"DE REPROCESO")+SUMIFS($F$4:$F$478,$C$4:$C$478,C479,$D$4:$D$478,D479,$E$4:$E$478,E479,$B$4:$B$478,"AJUSTE+")-SUMIFS($F$4:$F$478,$C$4:$C$478,C479,$D$4:$D$478,D479,$E$4:$E$478,E479,$B$4:$B$478,"A CORTE")-SUMIFS($F$4:$F$478,$C$4:$C$478,C479,$D$4:$D$478,D479,$E$4:$E$478,E479,$B$4:$B$478,"A REPROCESO")-SUMIFS($F$4:$F$478,$C$4:$C$478,C479,$D$4:$D$478,D479,$E$4:$E$478,E479,$B$4:$B$478,"MUESTRA")-SUMIFS($F$4:$F$478,$C$4:$C$478,C479,$D$4:$D$478,D479,$E$4:$E$478,E479,$B$4:$B$478,"AJUSTE-")),0)</f>
        <v>0</v>
      </c>
      <c r="L479" s="13">
        <f t="shared" si="13"/>
        <v>0</v>
      </c>
      <c r="M479" s="8"/>
      <c r="N479" s="14"/>
      <c r="O479" s="14"/>
      <c r="P479" s="14"/>
      <c r="Q479" s="15"/>
      <c r="R479" s="16" t="str">
        <f t="shared" si="14"/>
        <v/>
      </c>
    </row>
    <row r="480" ht="15.75" customHeight="1">
      <c r="A480" s="7"/>
      <c r="B480" s="8"/>
      <c r="C480" s="8"/>
      <c r="D480" s="8"/>
      <c r="E480" s="8"/>
      <c r="F480" s="9"/>
      <c r="G480" s="10">
        <f>IFERROR(F480*VLOOKUP(D480,TELAS!$A$4:$C$32,3,FALSE()),0)</f>
        <v>0</v>
      </c>
      <c r="H480" s="11" t="str">
        <f>IFERROR(VLOOKUP(E480,COLORES!$A$4:$B$102,2,FALSE()),"")</f>
        <v/>
      </c>
      <c r="I480" s="12">
        <f>IFERROR(IF(H480="OSCURO",VLOOKUP(D480,PRECIOS!$A$4:$F$32,2,FALSE()),IF(H480="CLARO",VLOOKUP(D480,PRECIOS!$A$4:$F$32,3,FALSE()),IF(H480="MELANGE",VLOOKUP(D480,PRECIOS!$A$4:$F$32,4,FALSE()),IF(H480="PPT",VLOOKUP(D480,PRECIOS!$A$4:$F$32,5,FALSE()),0)))),0)</f>
        <v>0</v>
      </c>
      <c r="J480" s="12">
        <f t="shared" si="12"/>
        <v>0</v>
      </c>
      <c r="K480" s="13">
        <f>IFERROR(IF(C480="",0,SUMIFS($F$4:$F$479,$C$4:$C$479,C480,$D$4:$D$479,D480,$E$4:$E$479,E480,$B$4:$B$479,"INGRESO")+SUMIFS($F$4:$F$479,$C$4:$C$479,C480,$D$4:$D$479,D480,$E$4:$E$479,E480,$B$4:$B$479,"DE REPROCESO")+SUMIFS($F$4:$F$479,$C$4:$C$479,C480,$D$4:$D$479,D480,$E$4:$E$479,E480,$B$4:$B$479,"AJUSTE+")-SUMIFS($F$4:$F$479,$C$4:$C$479,C480,$D$4:$D$479,D480,$E$4:$E$479,E480,$B$4:$B$479,"A CORTE")-SUMIFS($F$4:$F$479,$C$4:$C$479,C480,$D$4:$D$479,D480,$E$4:$E$479,E480,$B$4:$B$479,"A REPROCESO")-SUMIFS($F$4:$F$479,$C$4:$C$479,C480,$D$4:$D$479,D480,$E$4:$E$479,E480,$B$4:$B$479,"MUESTRA")-SUMIFS($F$4:$F$479,$C$4:$C$479,C480,$D$4:$D$479,D480,$E$4:$E$479,E480,$B$4:$B$479,"AJUSTE-")),0)</f>
        <v>0</v>
      </c>
      <c r="L480" s="13">
        <f t="shared" si="13"/>
        <v>0</v>
      </c>
      <c r="M480" s="8"/>
      <c r="N480" s="14"/>
      <c r="O480" s="14"/>
      <c r="P480" s="14"/>
      <c r="Q480" s="15"/>
      <c r="R480" s="16" t="str">
        <f t="shared" si="14"/>
        <v/>
      </c>
    </row>
    <row r="481" ht="15.75" customHeight="1">
      <c r="A481" s="7"/>
      <c r="B481" s="8"/>
      <c r="C481" s="8"/>
      <c r="D481" s="8"/>
      <c r="E481" s="8"/>
      <c r="F481" s="9"/>
      <c r="G481" s="10">
        <f>IFERROR(F481*VLOOKUP(D481,TELAS!$A$4:$C$32,3,FALSE()),0)</f>
        <v>0</v>
      </c>
      <c r="H481" s="11" t="str">
        <f>IFERROR(VLOOKUP(E481,COLORES!$A$4:$B$102,2,FALSE()),"")</f>
        <v/>
      </c>
      <c r="I481" s="12">
        <f>IFERROR(IF(H481="OSCURO",VLOOKUP(D481,PRECIOS!$A$4:$F$32,2,FALSE()),IF(H481="CLARO",VLOOKUP(D481,PRECIOS!$A$4:$F$32,3,FALSE()),IF(H481="MELANGE",VLOOKUP(D481,PRECIOS!$A$4:$F$32,4,FALSE()),IF(H481="PPT",VLOOKUP(D481,PRECIOS!$A$4:$F$32,5,FALSE()),0)))),0)</f>
        <v>0</v>
      </c>
      <c r="J481" s="12">
        <f t="shared" si="12"/>
        <v>0</v>
      </c>
      <c r="K481" s="13">
        <f>IFERROR(IF(C481="",0,SUMIFS($F$4:$F$480,$C$4:$C$480,C481,$D$4:$D$480,D481,$E$4:$E$480,E481,$B$4:$B$480,"INGRESO")+SUMIFS($F$4:$F$480,$C$4:$C$480,C481,$D$4:$D$480,D481,$E$4:$E$480,E481,$B$4:$B$480,"DE REPROCESO")+SUMIFS($F$4:$F$480,$C$4:$C$480,C481,$D$4:$D$480,D481,$E$4:$E$480,E481,$B$4:$B$480,"AJUSTE+")-SUMIFS($F$4:$F$480,$C$4:$C$480,C481,$D$4:$D$480,D481,$E$4:$E$480,E481,$B$4:$B$480,"A CORTE")-SUMIFS($F$4:$F$480,$C$4:$C$480,C481,$D$4:$D$480,D481,$E$4:$E$480,E481,$B$4:$B$480,"A REPROCESO")-SUMIFS($F$4:$F$480,$C$4:$C$480,C481,$D$4:$D$480,D481,$E$4:$E$480,E481,$B$4:$B$480,"MUESTRA")-SUMIFS($F$4:$F$480,$C$4:$C$480,C481,$D$4:$D$480,D481,$E$4:$E$480,E481,$B$4:$B$480,"AJUSTE-")),0)</f>
        <v>0</v>
      </c>
      <c r="L481" s="13">
        <f t="shared" si="13"/>
        <v>0</v>
      </c>
      <c r="M481" s="8"/>
      <c r="N481" s="14"/>
      <c r="O481" s="14"/>
      <c r="P481" s="14"/>
      <c r="Q481" s="15"/>
      <c r="R481" s="16" t="str">
        <f t="shared" si="14"/>
        <v/>
      </c>
    </row>
    <row r="482" ht="15.75" customHeight="1">
      <c r="A482" s="7"/>
      <c r="B482" s="8"/>
      <c r="C482" s="8"/>
      <c r="D482" s="8"/>
      <c r="E482" s="8"/>
      <c r="F482" s="9"/>
      <c r="G482" s="10">
        <f>IFERROR(F482*VLOOKUP(D482,TELAS!$A$4:$C$32,3,FALSE()),0)</f>
        <v>0</v>
      </c>
      <c r="H482" s="11" t="str">
        <f>IFERROR(VLOOKUP(E482,COLORES!$A$4:$B$102,2,FALSE()),"")</f>
        <v/>
      </c>
      <c r="I482" s="12">
        <f>IFERROR(IF(H482="OSCURO",VLOOKUP(D482,PRECIOS!$A$4:$F$32,2,FALSE()),IF(H482="CLARO",VLOOKUP(D482,PRECIOS!$A$4:$F$32,3,FALSE()),IF(H482="MELANGE",VLOOKUP(D482,PRECIOS!$A$4:$F$32,4,FALSE()),IF(H482="PPT",VLOOKUP(D482,PRECIOS!$A$4:$F$32,5,FALSE()),0)))),0)</f>
        <v>0</v>
      </c>
      <c r="J482" s="12">
        <f t="shared" si="12"/>
        <v>0</v>
      </c>
      <c r="K482" s="13">
        <f>IFERROR(IF(C482="",0,SUMIFS($F$4:$F$481,$C$4:$C$481,C482,$D$4:$D$481,D482,$E$4:$E$481,E482,$B$4:$B$481,"INGRESO")+SUMIFS($F$4:$F$481,$C$4:$C$481,C482,$D$4:$D$481,D482,$E$4:$E$481,E482,$B$4:$B$481,"DE REPROCESO")+SUMIFS($F$4:$F$481,$C$4:$C$481,C482,$D$4:$D$481,D482,$E$4:$E$481,E482,$B$4:$B$481,"AJUSTE+")-SUMIFS($F$4:$F$481,$C$4:$C$481,C482,$D$4:$D$481,D482,$E$4:$E$481,E482,$B$4:$B$481,"A CORTE")-SUMIFS($F$4:$F$481,$C$4:$C$481,C482,$D$4:$D$481,D482,$E$4:$E$481,E482,$B$4:$B$481,"A REPROCESO")-SUMIFS($F$4:$F$481,$C$4:$C$481,C482,$D$4:$D$481,D482,$E$4:$E$481,E482,$B$4:$B$481,"MUESTRA")-SUMIFS($F$4:$F$481,$C$4:$C$481,C482,$D$4:$D$481,D482,$E$4:$E$481,E482,$B$4:$B$481,"AJUSTE-")),0)</f>
        <v>0</v>
      </c>
      <c r="L482" s="13">
        <f t="shared" si="13"/>
        <v>0</v>
      </c>
      <c r="M482" s="8"/>
      <c r="N482" s="14"/>
      <c r="O482" s="14"/>
      <c r="P482" s="14"/>
      <c r="Q482" s="15"/>
      <c r="R482" s="16" t="str">
        <f t="shared" si="14"/>
        <v/>
      </c>
    </row>
    <row r="483" ht="15.75" customHeight="1">
      <c r="A483" s="7"/>
      <c r="B483" s="8"/>
      <c r="C483" s="8"/>
      <c r="D483" s="8"/>
      <c r="E483" s="8"/>
      <c r="F483" s="9"/>
      <c r="G483" s="10">
        <f>IFERROR(F483*VLOOKUP(D483,TELAS!$A$4:$C$32,3,FALSE()),0)</f>
        <v>0</v>
      </c>
      <c r="H483" s="11" t="str">
        <f>IFERROR(VLOOKUP(E483,COLORES!$A$4:$B$102,2,FALSE()),"")</f>
        <v/>
      </c>
      <c r="I483" s="12">
        <f>IFERROR(IF(H483="OSCURO",VLOOKUP(D483,PRECIOS!$A$4:$F$32,2,FALSE()),IF(H483="CLARO",VLOOKUP(D483,PRECIOS!$A$4:$F$32,3,FALSE()),IF(H483="MELANGE",VLOOKUP(D483,PRECIOS!$A$4:$F$32,4,FALSE()),IF(H483="PPT",VLOOKUP(D483,PRECIOS!$A$4:$F$32,5,FALSE()),0)))),0)</f>
        <v>0</v>
      </c>
      <c r="J483" s="12">
        <f t="shared" si="12"/>
        <v>0</v>
      </c>
      <c r="K483" s="13">
        <f>IFERROR(IF(C483="",0,SUMIFS($F$4:$F$482,$C$4:$C$482,C483,$D$4:$D$482,D483,$E$4:$E$482,E483,$B$4:$B$482,"INGRESO")+SUMIFS($F$4:$F$482,$C$4:$C$482,C483,$D$4:$D$482,D483,$E$4:$E$482,E483,$B$4:$B$482,"DE REPROCESO")+SUMIFS($F$4:$F$482,$C$4:$C$482,C483,$D$4:$D$482,D483,$E$4:$E$482,E483,$B$4:$B$482,"AJUSTE+")-SUMIFS($F$4:$F$482,$C$4:$C$482,C483,$D$4:$D$482,D483,$E$4:$E$482,E483,$B$4:$B$482,"A CORTE")-SUMIFS($F$4:$F$482,$C$4:$C$482,C483,$D$4:$D$482,D483,$E$4:$E$482,E483,$B$4:$B$482,"A REPROCESO")-SUMIFS($F$4:$F$482,$C$4:$C$482,C483,$D$4:$D$482,D483,$E$4:$E$482,E483,$B$4:$B$482,"MUESTRA")-SUMIFS($F$4:$F$482,$C$4:$C$482,C483,$D$4:$D$482,D483,$E$4:$E$482,E483,$B$4:$B$482,"AJUSTE-")),0)</f>
        <v>0</v>
      </c>
      <c r="L483" s="13">
        <f t="shared" si="13"/>
        <v>0</v>
      </c>
      <c r="M483" s="8"/>
      <c r="N483" s="14"/>
      <c r="O483" s="14"/>
      <c r="P483" s="14"/>
      <c r="Q483" s="15"/>
      <c r="R483" s="16" t="str">
        <f t="shared" si="14"/>
        <v/>
      </c>
    </row>
    <row r="484" ht="15.75" customHeight="1">
      <c r="A484" s="7"/>
      <c r="B484" s="8"/>
      <c r="C484" s="8"/>
      <c r="D484" s="8"/>
      <c r="E484" s="8"/>
      <c r="F484" s="9"/>
      <c r="G484" s="10">
        <f>IFERROR(F484*VLOOKUP(D484,TELAS!$A$4:$C$32,3,FALSE()),0)</f>
        <v>0</v>
      </c>
      <c r="H484" s="11" t="str">
        <f>IFERROR(VLOOKUP(E484,COLORES!$A$4:$B$102,2,FALSE()),"")</f>
        <v/>
      </c>
      <c r="I484" s="12">
        <f>IFERROR(IF(H484="OSCURO",VLOOKUP(D484,PRECIOS!$A$4:$F$32,2,FALSE()),IF(H484="CLARO",VLOOKUP(D484,PRECIOS!$A$4:$F$32,3,FALSE()),IF(H484="MELANGE",VLOOKUP(D484,PRECIOS!$A$4:$F$32,4,FALSE()),IF(H484="PPT",VLOOKUP(D484,PRECIOS!$A$4:$F$32,5,FALSE()),0)))),0)</f>
        <v>0</v>
      </c>
      <c r="J484" s="12">
        <f t="shared" si="12"/>
        <v>0</v>
      </c>
      <c r="K484" s="13">
        <f>IFERROR(IF(C484="",0,SUMIFS($F$4:$F$483,$C$4:$C$483,C484,$D$4:$D$483,D484,$E$4:$E$483,E484,$B$4:$B$483,"INGRESO")+SUMIFS($F$4:$F$483,$C$4:$C$483,C484,$D$4:$D$483,D484,$E$4:$E$483,E484,$B$4:$B$483,"DE REPROCESO")+SUMIFS($F$4:$F$483,$C$4:$C$483,C484,$D$4:$D$483,D484,$E$4:$E$483,E484,$B$4:$B$483,"AJUSTE+")-SUMIFS($F$4:$F$483,$C$4:$C$483,C484,$D$4:$D$483,D484,$E$4:$E$483,E484,$B$4:$B$483,"A CORTE")-SUMIFS($F$4:$F$483,$C$4:$C$483,C484,$D$4:$D$483,D484,$E$4:$E$483,E484,$B$4:$B$483,"A REPROCESO")-SUMIFS($F$4:$F$483,$C$4:$C$483,C484,$D$4:$D$483,D484,$E$4:$E$483,E484,$B$4:$B$483,"MUESTRA")-SUMIFS($F$4:$F$483,$C$4:$C$483,C484,$D$4:$D$483,D484,$E$4:$E$483,E484,$B$4:$B$483,"AJUSTE-")),0)</f>
        <v>0</v>
      </c>
      <c r="L484" s="13">
        <f t="shared" si="13"/>
        <v>0</v>
      </c>
      <c r="M484" s="8"/>
      <c r="N484" s="14"/>
      <c r="O484" s="14"/>
      <c r="P484" s="14"/>
      <c r="Q484" s="15"/>
      <c r="R484" s="16" t="str">
        <f t="shared" si="14"/>
        <v/>
      </c>
    </row>
    <row r="485" ht="15.75" customHeight="1">
      <c r="A485" s="7"/>
      <c r="B485" s="8"/>
      <c r="C485" s="8"/>
      <c r="D485" s="8"/>
      <c r="E485" s="8"/>
      <c r="F485" s="9"/>
      <c r="G485" s="10">
        <f>IFERROR(F485*VLOOKUP(D485,TELAS!$A$4:$C$32,3,FALSE()),0)</f>
        <v>0</v>
      </c>
      <c r="H485" s="11" t="str">
        <f>IFERROR(VLOOKUP(E485,COLORES!$A$4:$B$102,2,FALSE()),"")</f>
        <v/>
      </c>
      <c r="I485" s="12">
        <f>IFERROR(IF(H485="OSCURO",VLOOKUP(D485,PRECIOS!$A$4:$F$32,2,FALSE()),IF(H485="CLARO",VLOOKUP(D485,PRECIOS!$A$4:$F$32,3,FALSE()),IF(H485="MELANGE",VLOOKUP(D485,PRECIOS!$A$4:$F$32,4,FALSE()),IF(H485="PPT",VLOOKUP(D485,PRECIOS!$A$4:$F$32,5,FALSE()),0)))),0)</f>
        <v>0</v>
      </c>
      <c r="J485" s="12">
        <f t="shared" si="12"/>
        <v>0</v>
      </c>
      <c r="K485" s="13">
        <f>IFERROR(IF(C485="",0,SUMIFS($F$4:$F$484,$C$4:$C$484,C485,$D$4:$D$484,D485,$E$4:$E$484,E485,$B$4:$B$484,"INGRESO")+SUMIFS($F$4:$F$484,$C$4:$C$484,C485,$D$4:$D$484,D485,$E$4:$E$484,E485,$B$4:$B$484,"DE REPROCESO")+SUMIFS($F$4:$F$484,$C$4:$C$484,C485,$D$4:$D$484,D485,$E$4:$E$484,E485,$B$4:$B$484,"AJUSTE+")-SUMIFS($F$4:$F$484,$C$4:$C$484,C485,$D$4:$D$484,D485,$E$4:$E$484,E485,$B$4:$B$484,"A CORTE")-SUMIFS($F$4:$F$484,$C$4:$C$484,C485,$D$4:$D$484,D485,$E$4:$E$484,E485,$B$4:$B$484,"A REPROCESO")-SUMIFS($F$4:$F$484,$C$4:$C$484,C485,$D$4:$D$484,D485,$E$4:$E$484,E485,$B$4:$B$484,"MUESTRA")-SUMIFS($F$4:$F$484,$C$4:$C$484,C485,$D$4:$D$484,D485,$E$4:$E$484,E485,$B$4:$B$484,"AJUSTE-")),0)</f>
        <v>0</v>
      </c>
      <c r="L485" s="13">
        <f t="shared" si="13"/>
        <v>0</v>
      </c>
      <c r="M485" s="8"/>
      <c r="N485" s="14"/>
      <c r="O485" s="14"/>
      <c r="P485" s="14"/>
      <c r="Q485" s="15"/>
      <c r="R485" s="16" t="str">
        <f t="shared" si="14"/>
        <v/>
      </c>
    </row>
    <row r="486" ht="15.75" customHeight="1">
      <c r="A486" s="7"/>
      <c r="B486" s="8"/>
      <c r="C486" s="8"/>
      <c r="D486" s="8"/>
      <c r="E486" s="8"/>
      <c r="F486" s="9"/>
      <c r="G486" s="10">
        <f>IFERROR(F486*VLOOKUP(D486,TELAS!$A$4:$C$32,3,FALSE()),0)</f>
        <v>0</v>
      </c>
      <c r="H486" s="11" t="str">
        <f>IFERROR(VLOOKUP(E486,COLORES!$A$4:$B$102,2,FALSE()),"")</f>
        <v/>
      </c>
      <c r="I486" s="12">
        <f>IFERROR(IF(H486="OSCURO",VLOOKUP(D486,PRECIOS!$A$4:$F$32,2,FALSE()),IF(H486="CLARO",VLOOKUP(D486,PRECIOS!$A$4:$F$32,3,FALSE()),IF(H486="MELANGE",VLOOKUP(D486,PRECIOS!$A$4:$F$32,4,FALSE()),IF(H486="PPT",VLOOKUP(D486,PRECIOS!$A$4:$F$32,5,FALSE()),0)))),0)</f>
        <v>0</v>
      </c>
      <c r="J486" s="12">
        <f t="shared" si="12"/>
        <v>0</v>
      </c>
      <c r="K486" s="13">
        <f>IFERROR(IF(C486="",0,SUMIFS($F$4:$F$485,$C$4:$C$485,C486,$D$4:$D$485,D486,$E$4:$E$485,E486,$B$4:$B$485,"INGRESO")+SUMIFS($F$4:$F$485,$C$4:$C$485,C486,$D$4:$D$485,D486,$E$4:$E$485,E486,$B$4:$B$485,"DE REPROCESO")+SUMIFS($F$4:$F$485,$C$4:$C$485,C486,$D$4:$D$485,D486,$E$4:$E$485,E486,$B$4:$B$485,"AJUSTE+")-SUMIFS($F$4:$F$485,$C$4:$C$485,C486,$D$4:$D$485,D486,$E$4:$E$485,E486,$B$4:$B$485,"A CORTE")-SUMIFS($F$4:$F$485,$C$4:$C$485,C486,$D$4:$D$485,D486,$E$4:$E$485,E486,$B$4:$B$485,"A REPROCESO")-SUMIFS($F$4:$F$485,$C$4:$C$485,C486,$D$4:$D$485,D486,$E$4:$E$485,E486,$B$4:$B$485,"MUESTRA")-SUMIFS($F$4:$F$485,$C$4:$C$485,C486,$D$4:$D$485,D486,$E$4:$E$485,E486,$B$4:$B$485,"AJUSTE-")),0)</f>
        <v>0</v>
      </c>
      <c r="L486" s="13">
        <f t="shared" si="13"/>
        <v>0</v>
      </c>
      <c r="M486" s="8"/>
      <c r="N486" s="14"/>
      <c r="O486" s="14"/>
      <c r="P486" s="14"/>
      <c r="Q486" s="15"/>
      <c r="R486" s="16" t="str">
        <f t="shared" si="14"/>
        <v/>
      </c>
    </row>
    <row r="487" ht="15.75" customHeight="1">
      <c r="A487" s="7"/>
      <c r="B487" s="8"/>
      <c r="C487" s="8"/>
      <c r="D487" s="8"/>
      <c r="E487" s="8"/>
      <c r="F487" s="9"/>
      <c r="G487" s="10">
        <f>IFERROR(F487*VLOOKUP(D487,TELAS!$A$4:$C$32,3,FALSE()),0)</f>
        <v>0</v>
      </c>
      <c r="H487" s="11" t="str">
        <f>IFERROR(VLOOKUP(E487,COLORES!$A$4:$B$102,2,FALSE()),"")</f>
        <v/>
      </c>
      <c r="I487" s="12">
        <f>IFERROR(IF(H487="OSCURO",VLOOKUP(D487,PRECIOS!$A$4:$F$32,2,FALSE()),IF(H487="CLARO",VLOOKUP(D487,PRECIOS!$A$4:$F$32,3,FALSE()),IF(H487="MELANGE",VLOOKUP(D487,PRECIOS!$A$4:$F$32,4,FALSE()),IF(H487="PPT",VLOOKUP(D487,PRECIOS!$A$4:$F$32,5,FALSE()),0)))),0)</f>
        <v>0</v>
      </c>
      <c r="J487" s="12">
        <f t="shared" si="12"/>
        <v>0</v>
      </c>
      <c r="K487" s="13">
        <f>IFERROR(IF(C487="",0,SUMIFS($F$4:$F$486,$C$4:$C$486,C487,$D$4:$D$486,D487,$E$4:$E$486,E487,$B$4:$B$486,"INGRESO")+SUMIFS($F$4:$F$486,$C$4:$C$486,C487,$D$4:$D$486,D487,$E$4:$E$486,E487,$B$4:$B$486,"DE REPROCESO")+SUMIFS($F$4:$F$486,$C$4:$C$486,C487,$D$4:$D$486,D487,$E$4:$E$486,E487,$B$4:$B$486,"AJUSTE+")-SUMIFS($F$4:$F$486,$C$4:$C$486,C487,$D$4:$D$486,D487,$E$4:$E$486,E487,$B$4:$B$486,"A CORTE")-SUMIFS($F$4:$F$486,$C$4:$C$486,C487,$D$4:$D$486,D487,$E$4:$E$486,E487,$B$4:$B$486,"A REPROCESO")-SUMIFS($F$4:$F$486,$C$4:$C$486,C487,$D$4:$D$486,D487,$E$4:$E$486,E487,$B$4:$B$486,"MUESTRA")-SUMIFS($F$4:$F$486,$C$4:$C$486,C487,$D$4:$D$486,D487,$E$4:$E$486,E487,$B$4:$B$486,"AJUSTE-")),0)</f>
        <v>0</v>
      </c>
      <c r="L487" s="13">
        <f t="shared" si="13"/>
        <v>0</v>
      </c>
      <c r="M487" s="8"/>
      <c r="N487" s="14"/>
      <c r="O487" s="14"/>
      <c r="P487" s="14"/>
      <c r="Q487" s="15"/>
      <c r="R487" s="16" t="str">
        <f t="shared" si="14"/>
        <v/>
      </c>
    </row>
    <row r="488" ht="15.75" customHeight="1">
      <c r="A488" s="7"/>
      <c r="B488" s="8"/>
      <c r="C488" s="8"/>
      <c r="D488" s="8"/>
      <c r="E488" s="8"/>
      <c r="F488" s="9"/>
      <c r="G488" s="10">
        <f>IFERROR(F488*VLOOKUP(D488,TELAS!$A$4:$C$32,3,FALSE()),0)</f>
        <v>0</v>
      </c>
      <c r="H488" s="11" t="str">
        <f>IFERROR(VLOOKUP(E488,COLORES!$A$4:$B$102,2,FALSE()),"")</f>
        <v/>
      </c>
      <c r="I488" s="12">
        <f>IFERROR(IF(H488="OSCURO",VLOOKUP(D488,PRECIOS!$A$4:$F$32,2,FALSE()),IF(H488="CLARO",VLOOKUP(D488,PRECIOS!$A$4:$F$32,3,FALSE()),IF(H488="MELANGE",VLOOKUP(D488,PRECIOS!$A$4:$F$32,4,FALSE()),IF(H488="PPT",VLOOKUP(D488,PRECIOS!$A$4:$F$32,5,FALSE()),0)))),0)</f>
        <v>0</v>
      </c>
      <c r="J488" s="12">
        <f t="shared" si="12"/>
        <v>0</v>
      </c>
      <c r="K488" s="13">
        <f>IFERROR(IF(C488="",0,SUMIFS($F$4:$F$487,$C$4:$C$487,C488,$D$4:$D$487,D488,$E$4:$E$487,E488,$B$4:$B$487,"INGRESO")+SUMIFS($F$4:$F$487,$C$4:$C$487,C488,$D$4:$D$487,D488,$E$4:$E$487,E488,$B$4:$B$487,"DE REPROCESO")+SUMIFS($F$4:$F$487,$C$4:$C$487,C488,$D$4:$D$487,D488,$E$4:$E$487,E488,$B$4:$B$487,"AJUSTE+")-SUMIFS($F$4:$F$487,$C$4:$C$487,C488,$D$4:$D$487,D488,$E$4:$E$487,E488,$B$4:$B$487,"A CORTE")-SUMIFS($F$4:$F$487,$C$4:$C$487,C488,$D$4:$D$487,D488,$E$4:$E$487,E488,$B$4:$B$487,"A REPROCESO")-SUMIFS($F$4:$F$487,$C$4:$C$487,C488,$D$4:$D$487,D488,$E$4:$E$487,E488,$B$4:$B$487,"MUESTRA")-SUMIFS($F$4:$F$487,$C$4:$C$487,C488,$D$4:$D$487,D488,$E$4:$E$487,E488,$B$4:$B$487,"AJUSTE-")),0)</f>
        <v>0</v>
      </c>
      <c r="L488" s="13">
        <f t="shared" si="13"/>
        <v>0</v>
      </c>
      <c r="M488" s="8"/>
      <c r="N488" s="14"/>
      <c r="O488" s="14"/>
      <c r="P488" s="14"/>
      <c r="Q488" s="15"/>
      <c r="R488" s="16" t="str">
        <f t="shared" si="14"/>
        <v/>
      </c>
    </row>
    <row r="489" ht="15.75" customHeight="1">
      <c r="A489" s="7"/>
      <c r="B489" s="8"/>
      <c r="C489" s="8"/>
      <c r="D489" s="8"/>
      <c r="E489" s="8"/>
      <c r="F489" s="9"/>
      <c r="G489" s="10">
        <f>IFERROR(F489*VLOOKUP(D489,TELAS!$A$4:$C$32,3,FALSE()),0)</f>
        <v>0</v>
      </c>
      <c r="H489" s="11" t="str">
        <f>IFERROR(VLOOKUP(E489,COLORES!$A$4:$B$102,2,FALSE()),"")</f>
        <v/>
      </c>
      <c r="I489" s="12">
        <f>IFERROR(IF(H489="OSCURO",VLOOKUP(D489,PRECIOS!$A$4:$F$32,2,FALSE()),IF(H489="CLARO",VLOOKUP(D489,PRECIOS!$A$4:$F$32,3,FALSE()),IF(H489="MELANGE",VLOOKUP(D489,PRECIOS!$A$4:$F$32,4,FALSE()),IF(H489="PPT",VLOOKUP(D489,PRECIOS!$A$4:$F$32,5,FALSE()),0)))),0)</f>
        <v>0</v>
      </c>
      <c r="J489" s="12">
        <f t="shared" si="12"/>
        <v>0</v>
      </c>
      <c r="K489" s="13">
        <f>IFERROR(IF(C489="",0,SUMIFS($F$4:$F$488,$C$4:$C$488,C489,$D$4:$D$488,D489,$E$4:$E$488,E489,$B$4:$B$488,"INGRESO")+SUMIFS($F$4:$F$488,$C$4:$C$488,C489,$D$4:$D$488,D489,$E$4:$E$488,E489,$B$4:$B$488,"DE REPROCESO")+SUMIFS($F$4:$F$488,$C$4:$C$488,C489,$D$4:$D$488,D489,$E$4:$E$488,E489,$B$4:$B$488,"AJUSTE+")-SUMIFS($F$4:$F$488,$C$4:$C$488,C489,$D$4:$D$488,D489,$E$4:$E$488,E489,$B$4:$B$488,"A CORTE")-SUMIFS($F$4:$F$488,$C$4:$C$488,C489,$D$4:$D$488,D489,$E$4:$E$488,E489,$B$4:$B$488,"A REPROCESO")-SUMIFS($F$4:$F$488,$C$4:$C$488,C489,$D$4:$D$488,D489,$E$4:$E$488,E489,$B$4:$B$488,"MUESTRA")-SUMIFS($F$4:$F$488,$C$4:$C$488,C489,$D$4:$D$488,D489,$E$4:$E$488,E489,$B$4:$B$488,"AJUSTE-")),0)</f>
        <v>0</v>
      </c>
      <c r="L489" s="13">
        <f t="shared" si="13"/>
        <v>0</v>
      </c>
      <c r="M489" s="8"/>
      <c r="N489" s="14"/>
      <c r="O489" s="14"/>
      <c r="P489" s="14"/>
      <c r="Q489" s="15"/>
      <c r="R489" s="16" t="str">
        <f t="shared" si="14"/>
        <v/>
      </c>
    </row>
    <row r="490" ht="15.75" customHeight="1">
      <c r="A490" s="7"/>
      <c r="B490" s="8"/>
      <c r="C490" s="8"/>
      <c r="D490" s="8"/>
      <c r="E490" s="8"/>
      <c r="F490" s="9"/>
      <c r="G490" s="10">
        <f>IFERROR(F490*VLOOKUP(D490,TELAS!$A$4:$C$32,3,FALSE()),0)</f>
        <v>0</v>
      </c>
      <c r="H490" s="11" t="str">
        <f>IFERROR(VLOOKUP(E490,COLORES!$A$4:$B$102,2,FALSE()),"")</f>
        <v/>
      </c>
      <c r="I490" s="12">
        <f>IFERROR(IF(H490="OSCURO",VLOOKUP(D490,PRECIOS!$A$4:$F$32,2,FALSE()),IF(H490="CLARO",VLOOKUP(D490,PRECIOS!$A$4:$F$32,3,FALSE()),IF(H490="MELANGE",VLOOKUP(D490,PRECIOS!$A$4:$F$32,4,FALSE()),IF(H490="PPT",VLOOKUP(D490,PRECIOS!$A$4:$F$32,5,FALSE()),0)))),0)</f>
        <v>0</v>
      </c>
      <c r="J490" s="12">
        <f t="shared" si="12"/>
        <v>0</v>
      </c>
      <c r="K490" s="13">
        <f>IFERROR(IF(C490="",0,SUMIFS($F$4:$F$489,$C$4:$C$489,C490,$D$4:$D$489,D490,$E$4:$E$489,E490,$B$4:$B$489,"INGRESO")+SUMIFS($F$4:$F$489,$C$4:$C$489,C490,$D$4:$D$489,D490,$E$4:$E$489,E490,$B$4:$B$489,"DE REPROCESO")+SUMIFS($F$4:$F$489,$C$4:$C$489,C490,$D$4:$D$489,D490,$E$4:$E$489,E490,$B$4:$B$489,"AJUSTE+")-SUMIFS($F$4:$F$489,$C$4:$C$489,C490,$D$4:$D$489,D490,$E$4:$E$489,E490,$B$4:$B$489,"A CORTE")-SUMIFS($F$4:$F$489,$C$4:$C$489,C490,$D$4:$D$489,D490,$E$4:$E$489,E490,$B$4:$B$489,"A REPROCESO")-SUMIFS($F$4:$F$489,$C$4:$C$489,C490,$D$4:$D$489,D490,$E$4:$E$489,E490,$B$4:$B$489,"MUESTRA")-SUMIFS($F$4:$F$489,$C$4:$C$489,C490,$D$4:$D$489,D490,$E$4:$E$489,E490,$B$4:$B$489,"AJUSTE-")),0)</f>
        <v>0</v>
      </c>
      <c r="L490" s="13">
        <f t="shared" si="13"/>
        <v>0</v>
      </c>
      <c r="M490" s="8"/>
      <c r="N490" s="14"/>
      <c r="O490" s="14"/>
      <c r="P490" s="14"/>
      <c r="Q490" s="15"/>
      <c r="R490" s="16" t="str">
        <f t="shared" si="14"/>
        <v/>
      </c>
    </row>
    <row r="491" ht="15.75" customHeight="1">
      <c r="A491" s="7"/>
      <c r="B491" s="8"/>
      <c r="C491" s="8"/>
      <c r="D491" s="8"/>
      <c r="E491" s="8"/>
      <c r="F491" s="9"/>
      <c r="G491" s="10">
        <f>IFERROR(F491*VLOOKUP(D491,TELAS!$A$4:$C$32,3,FALSE()),0)</f>
        <v>0</v>
      </c>
      <c r="H491" s="11" t="str">
        <f>IFERROR(VLOOKUP(E491,COLORES!$A$4:$B$102,2,FALSE()),"")</f>
        <v/>
      </c>
      <c r="I491" s="12">
        <f>IFERROR(IF(H491="OSCURO",VLOOKUP(D491,PRECIOS!$A$4:$F$32,2,FALSE()),IF(H491="CLARO",VLOOKUP(D491,PRECIOS!$A$4:$F$32,3,FALSE()),IF(H491="MELANGE",VLOOKUP(D491,PRECIOS!$A$4:$F$32,4,FALSE()),IF(H491="PPT",VLOOKUP(D491,PRECIOS!$A$4:$F$32,5,FALSE()),0)))),0)</f>
        <v>0</v>
      </c>
      <c r="J491" s="12">
        <f t="shared" si="12"/>
        <v>0</v>
      </c>
      <c r="K491" s="13">
        <f>IFERROR(IF(C491="",0,SUMIFS($F$4:$F$490,$C$4:$C$490,C491,$D$4:$D$490,D491,$E$4:$E$490,E491,$B$4:$B$490,"INGRESO")+SUMIFS($F$4:$F$490,$C$4:$C$490,C491,$D$4:$D$490,D491,$E$4:$E$490,E491,$B$4:$B$490,"DE REPROCESO")+SUMIFS($F$4:$F$490,$C$4:$C$490,C491,$D$4:$D$490,D491,$E$4:$E$490,E491,$B$4:$B$490,"AJUSTE+")-SUMIFS($F$4:$F$490,$C$4:$C$490,C491,$D$4:$D$490,D491,$E$4:$E$490,E491,$B$4:$B$490,"A CORTE")-SUMIFS($F$4:$F$490,$C$4:$C$490,C491,$D$4:$D$490,D491,$E$4:$E$490,E491,$B$4:$B$490,"A REPROCESO")-SUMIFS($F$4:$F$490,$C$4:$C$490,C491,$D$4:$D$490,D491,$E$4:$E$490,E491,$B$4:$B$490,"MUESTRA")-SUMIFS($F$4:$F$490,$C$4:$C$490,C491,$D$4:$D$490,D491,$E$4:$E$490,E491,$B$4:$B$490,"AJUSTE-")),0)</f>
        <v>0</v>
      </c>
      <c r="L491" s="13">
        <f t="shared" si="13"/>
        <v>0</v>
      </c>
      <c r="M491" s="8"/>
      <c r="N491" s="14"/>
      <c r="O491" s="14"/>
      <c r="P491" s="14"/>
      <c r="Q491" s="15"/>
      <c r="R491" s="16" t="str">
        <f t="shared" si="14"/>
        <v/>
      </c>
    </row>
    <row r="492" ht="15.75" customHeight="1">
      <c r="A492" s="7"/>
      <c r="B492" s="8"/>
      <c r="C492" s="8"/>
      <c r="D492" s="8"/>
      <c r="E492" s="8"/>
      <c r="F492" s="9"/>
      <c r="G492" s="10">
        <f>IFERROR(F492*VLOOKUP(D492,TELAS!$A$4:$C$32,3,FALSE()),0)</f>
        <v>0</v>
      </c>
      <c r="H492" s="11" t="str">
        <f>IFERROR(VLOOKUP(E492,COLORES!$A$4:$B$102,2,FALSE()),"")</f>
        <v/>
      </c>
      <c r="I492" s="12">
        <f>IFERROR(IF(H492="OSCURO",VLOOKUP(D492,PRECIOS!$A$4:$F$32,2,FALSE()),IF(H492="CLARO",VLOOKUP(D492,PRECIOS!$A$4:$F$32,3,FALSE()),IF(H492="MELANGE",VLOOKUP(D492,PRECIOS!$A$4:$F$32,4,FALSE()),IF(H492="PPT",VLOOKUP(D492,PRECIOS!$A$4:$F$32,5,FALSE()),0)))),0)</f>
        <v>0</v>
      </c>
      <c r="J492" s="12">
        <f t="shared" si="12"/>
        <v>0</v>
      </c>
      <c r="K492" s="13">
        <f>IFERROR(IF(C492="",0,SUMIFS($F$4:$F$491,$C$4:$C$491,C492,$D$4:$D$491,D492,$E$4:$E$491,E492,$B$4:$B$491,"INGRESO")+SUMIFS($F$4:$F$491,$C$4:$C$491,C492,$D$4:$D$491,D492,$E$4:$E$491,E492,$B$4:$B$491,"DE REPROCESO")+SUMIFS($F$4:$F$491,$C$4:$C$491,C492,$D$4:$D$491,D492,$E$4:$E$491,E492,$B$4:$B$491,"AJUSTE+")-SUMIFS($F$4:$F$491,$C$4:$C$491,C492,$D$4:$D$491,D492,$E$4:$E$491,E492,$B$4:$B$491,"A CORTE")-SUMIFS($F$4:$F$491,$C$4:$C$491,C492,$D$4:$D$491,D492,$E$4:$E$491,E492,$B$4:$B$491,"A REPROCESO")-SUMIFS($F$4:$F$491,$C$4:$C$491,C492,$D$4:$D$491,D492,$E$4:$E$491,E492,$B$4:$B$491,"MUESTRA")-SUMIFS($F$4:$F$491,$C$4:$C$491,C492,$D$4:$D$491,D492,$E$4:$E$491,E492,$B$4:$B$491,"AJUSTE-")),0)</f>
        <v>0</v>
      </c>
      <c r="L492" s="13">
        <f t="shared" si="13"/>
        <v>0</v>
      </c>
      <c r="M492" s="8"/>
      <c r="N492" s="14"/>
      <c r="O492" s="14"/>
      <c r="P492" s="14"/>
      <c r="Q492" s="15"/>
      <c r="R492" s="16" t="str">
        <f t="shared" si="14"/>
        <v/>
      </c>
    </row>
    <row r="493" ht="15.75" customHeight="1">
      <c r="A493" s="7"/>
      <c r="B493" s="8"/>
      <c r="C493" s="8"/>
      <c r="D493" s="8"/>
      <c r="E493" s="8"/>
      <c r="F493" s="9"/>
      <c r="G493" s="10">
        <f>IFERROR(F493*VLOOKUP(D493,TELAS!$A$4:$C$32,3,FALSE()),0)</f>
        <v>0</v>
      </c>
      <c r="H493" s="11" t="str">
        <f>IFERROR(VLOOKUP(E493,COLORES!$A$4:$B$102,2,FALSE()),"")</f>
        <v/>
      </c>
      <c r="I493" s="12">
        <f>IFERROR(IF(H493="OSCURO",VLOOKUP(D493,PRECIOS!$A$4:$F$32,2,FALSE()),IF(H493="CLARO",VLOOKUP(D493,PRECIOS!$A$4:$F$32,3,FALSE()),IF(H493="MELANGE",VLOOKUP(D493,PRECIOS!$A$4:$F$32,4,FALSE()),IF(H493="PPT",VLOOKUP(D493,PRECIOS!$A$4:$F$32,5,FALSE()),0)))),0)</f>
        <v>0</v>
      </c>
      <c r="J493" s="12">
        <f t="shared" si="12"/>
        <v>0</v>
      </c>
      <c r="K493" s="13">
        <f>IFERROR(IF(C493="",0,SUMIFS($F$4:$F$492,$C$4:$C$492,C493,$D$4:$D$492,D493,$E$4:$E$492,E493,$B$4:$B$492,"INGRESO")+SUMIFS($F$4:$F$492,$C$4:$C$492,C493,$D$4:$D$492,D493,$E$4:$E$492,E493,$B$4:$B$492,"DE REPROCESO")+SUMIFS($F$4:$F$492,$C$4:$C$492,C493,$D$4:$D$492,D493,$E$4:$E$492,E493,$B$4:$B$492,"AJUSTE+")-SUMIFS($F$4:$F$492,$C$4:$C$492,C493,$D$4:$D$492,D493,$E$4:$E$492,E493,$B$4:$B$492,"A CORTE")-SUMIFS($F$4:$F$492,$C$4:$C$492,C493,$D$4:$D$492,D493,$E$4:$E$492,E493,$B$4:$B$492,"A REPROCESO")-SUMIFS($F$4:$F$492,$C$4:$C$492,C493,$D$4:$D$492,D493,$E$4:$E$492,E493,$B$4:$B$492,"MUESTRA")-SUMIFS($F$4:$F$492,$C$4:$C$492,C493,$D$4:$D$492,D493,$E$4:$E$492,E493,$B$4:$B$492,"AJUSTE-")),0)</f>
        <v>0</v>
      </c>
      <c r="L493" s="13">
        <f t="shared" si="13"/>
        <v>0</v>
      </c>
      <c r="M493" s="8"/>
      <c r="N493" s="14"/>
      <c r="O493" s="14"/>
      <c r="P493" s="14"/>
      <c r="Q493" s="15"/>
      <c r="R493" s="16" t="str">
        <f t="shared" si="14"/>
        <v/>
      </c>
    </row>
    <row r="494" ht="15.75" customHeight="1">
      <c r="A494" s="7"/>
      <c r="B494" s="8"/>
      <c r="C494" s="8"/>
      <c r="D494" s="8"/>
      <c r="E494" s="8"/>
      <c r="F494" s="9"/>
      <c r="G494" s="10">
        <f>IFERROR(F494*VLOOKUP(D494,TELAS!$A$4:$C$32,3,FALSE()),0)</f>
        <v>0</v>
      </c>
      <c r="H494" s="11" t="str">
        <f>IFERROR(VLOOKUP(E494,COLORES!$A$4:$B$102,2,FALSE()),"")</f>
        <v/>
      </c>
      <c r="I494" s="12">
        <f>IFERROR(IF(H494="OSCURO",VLOOKUP(D494,PRECIOS!$A$4:$F$32,2,FALSE()),IF(H494="CLARO",VLOOKUP(D494,PRECIOS!$A$4:$F$32,3,FALSE()),IF(H494="MELANGE",VLOOKUP(D494,PRECIOS!$A$4:$F$32,4,FALSE()),IF(H494="PPT",VLOOKUP(D494,PRECIOS!$A$4:$F$32,5,FALSE()),0)))),0)</f>
        <v>0</v>
      </c>
      <c r="J494" s="12">
        <f t="shared" si="12"/>
        <v>0</v>
      </c>
      <c r="K494" s="13">
        <f>IFERROR(IF(C494="",0,SUMIFS($F$4:$F$493,$C$4:$C$493,C494,$D$4:$D$493,D494,$E$4:$E$493,E494,$B$4:$B$493,"INGRESO")+SUMIFS($F$4:$F$493,$C$4:$C$493,C494,$D$4:$D$493,D494,$E$4:$E$493,E494,$B$4:$B$493,"DE REPROCESO")+SUMIFS($F$4:$F$493,$C$4:$C$493,C494,$D$4:$D$493,D494,$E$4:$E$493,E494,$B$4:$B$493,"AJUSTE+")-SUMIFS($F$4:$F$493,$C$4:$C$493,C494,$D$4:$D$493,D494,$E$4:$E$493,E494,$B$4:$B$493,"A CORTE")-SUMIFS($F$4:$F$493,$C$4:$C$493,C494,$D$4:$D$493,D494,$E$4:$E$493,E494,$B$4:$B$493,"A REPROCESO")-SUMIFS($F$4:$F$493,$C$4:$C$493,C494,$D$4:$D$493,D494,$E$4:$E$493,E494,$B$4:$B$493,"MUESTRA")-SUMIFS($F$4:$F$493,$C$4:$C$493,C494,$D$4:$D$493,D494,$E$4:$E$493,E494,$B$4:$B$493,"AJUSTE-")),0)</f>
        <v>0</v>
      </c>
      <c r="L494" s="13">
        <f t="shared" si="13"/>
        <v>0</v>
      </c>
      <c r="M494" s="8"/>
      <c r="N494" s="14"/>
      <c r="O494" s="14"/>
      <c r="P494" s="14"/>
      <c r="Q494" s="15"/>
      <c r="R494" s="16" t="str">
        <f t="shared" si="14"/>
        <v/>
      </c>
    </row>
    <row r="495" ht="15.75" customHeight="1">
      <c r="A495" s="7"/>
      <c r="B495" s="8"/>
      <c r="C495" s="8"/>
      <c r="D495" s="8"/>
      <c r="E495" s="8"/>
      <c r="F495" s="9"/>
      <c r="G495" s="10">
        <f>IFERROR(F495*VLOOKUP(D495,TELAS!$A$4:$C$32,3,FALSE()),0)</f>
        <v>0</v>
      </c>
      <c r="H495" s="11" t="str">
        <f>IFERROR(VLOOKUP(E495,COLORES!$A$4:$B$102,2,FALSE()),"")</f>
        <v/>
      </c>
      <c r="I495" s="12">
        <f>IFERROR(IF(H495="OSCURO",VLOOKUP(D495,PRECIOS!$A$4:$F$32,2,FALSE()),IF(H495="CLARO",VLOOKUP(D495,PRECIOS!$A$4:$F$32,3,FALSE()),IF(H495="MELANGE",VLOOKUP(D495,PRECIOS!$A$4:$F$32,4,FALSE()),IF(H495="PPT",VLOOKUP(D495,PRECIOS!$A$4:$F$32,5,FALSE()),0)))),0)</f>
        <v>0</v>
      </c>
      <c r="J495" s="12">
        <f t="shared" si="12"/>
        <v>0</v>
      </c>
      <c r="K495" s="13">
        <f>IFERROR(IF(C495="",0,SUMIFS($F$4:$F$494,$C$4:$C$494,C495,$D$4:$D$494,D495,$E$4:$E$494,E495,$B$4:$B$494,"INGRESO")+SUMIFS($F$4:$F$494,$C$4:$C$494,C495,$D$4:$D$494,D495,$E$4:$E$494,E495,$B$4:$B$494,"DE REPROCESO")+SUMIFS($F$4:$F$494,$C$4:$C$494,C495,$D$4:$D$494,D495,$E$4:$E$494,E495,$B$4:$B$494,"AJUSTE+")-SUMIFS($F$4:$F$494,$C$4:$C$494,C495,$D$4:$D$494,D495,$E$4:$E$494,E495,$B$4:$B$494,"A CORTE")-SUMIFS($F$4:$F$494,$C$4:$C$494,C495,$D$4:$D$494,D495,$E$4:$E$494,E495,$B$4:$B$494,"A REPROCESO")-SUMIFS($F$4:$F$494,$C$4:$C$494,C495,$D$4:$D$494,D495,$E$4:$E$494,E495,$B$4:$B$494,"MUESTRA")-SUMIFS($F$4:$F$494,$C$4:$C$494,C495,$D$4:$D$494,D495,$E$4:$E$494,E495,$B$4:$B$494,"AJUSTE-")),0)</f>
        <v>0</v>
      </c>
      <c r="L495" s="13">
        <f t="shared" si="13"/>
        <v>0</v>
      </c>
      <c r="M495" s="8"/>
      <c r="N495" s="14"/>
      <c r="O495" s="14"/>
      <c r="P495" s="14"/>
      <c r="Q495" s="15"/>
      <c r="R495" s="16" t="str">
        <f t="shared" si="14"/>
        <v/>
      </c>
    </row>
    <row r="496" ht="15.75" customHeight="1">
      <c r="A496" s="7"/>
      <c r="B496" s="8"/>
      <c r="C496" s="8"/>
      <c r="D496" s="8"/>
      <c r="E496" s="8"/>
      <c r="F496" s="9"/>
      <c r="G496" s="10">
        <f>IFERROR(F496*VLOOKUP(D496,TELAS!$A$4:$C$32,3,FALSE()),0)</f>
        <v>0</v>
      </c>
      <c r="H496" s="11" t="str">
        <f>IFERROR(VLOOKUP(E496,COLORES!$A$4:$B$102,2,FALSE()),"")</f>
        <v/>
      </c>
      <c r="I496" s="12">
        <f>IFERROR(IF(H496="OSCURO",VLOOKUP(D496,PRECIOS!$A$4:$F$32,2,FALSE()),IF(H496="CLARO",VLOOKUP(D496,PRECIOS!$A$4:$F$32,3,FALSE()),IF(H496="MELANGE",VLOOKUP(D496,PRECIOS!$A$4:$F$32,4,FALSE()),IF(H496="PPT",VLOOKUP(D496,PRECIOS!$A$4:$F$32,5,FALSE()),0)))),0)</f>
        <v>0</v>
      </c>
      <c r="J496" s="12">
        <f t="shared" si="12"/>
        <v>0</v>
      </c>
      <c r="K496" s="13">
        <f>IFERROR(IF(C496="",0,SUMIFS($F$4:$F$495,$C$4:$C$495,C496,$D$4:$D$495,D496,$E$4:$E$495,E496,$B$4:$B$495,"INGRESO")+SUMIFS($F$4:$F$495,$C$4:$C$495,C496,$D$4:$D$495,D496,$E$4:$E$495,E496,$B$4:$B$495,"DE REPROCESO")+SUMIFS($F$4:$F$495,$C$4:$C$495,C496,$D$4:$D$495,D496,$E$4:$E$495,E496,$B$4:$B$495,"AJUSTE+")-SUMIFS($F$4:$F$495,$C$4:$C$495,C496,$D$4:$D$495,D496,$E$4:$E$495,E496,$B$4:$B$495,"A CORTE")-SUMIFS($F$4:$F$495,$C$4:$C$495,C496,$D$4:$D$495,D496,$E$4:$E$495,E496,$B$4:$B$495,"A REPROCESO")-SUMIFS($F$4:$F$495,$C$4:$C$495,C496,$D$4:$D$495,D496,$E$4:$E$495,E496,$B$4:$B$495,"MUESTRA")-SUMIFS($F$4:$F$495,$C$4:$C$495,C496,$D$4:$D$495,D496,$E$4:$E$495,E496,$B$4:$B$495,"AJUSTE-")),0)</f>
        <v>0</v>
      </c>
      <c r="L496" s="13">
        <f t="shared" si="13"/>
        <v>0</v>
      </c>
      <c r="M496" s="8"/>
      <c r="N496" s="14"/>
      <c r="O496" s="14"/>
      <c r="P496" s="14"/>
      <c r="Q496" s="15"/>
      <c r="R496" s="16" t="str">
        <f t="shared" si="14"/>
        <v/>
      </c>
    </row>
    <row r="497" ht="15.75" customHeight="1">
      <c r="A497" s="7"/>
      <c r="B497" s="8"/>
      <c r="C497" s="8"/>
      <c r="D497" s="8"/>
      <c r="E497" s="8"/>
      <c r="F497" s="9"/>
      <c r="G497" s="10">
        <f>IFERROR(F497*VLOOKUP(D497,TELAS!$A$4:$C$32,3,FALSE()),0)</f>
        <v>0</v>
      </c>
      <c r="H497" s="11" t="str">
        <f>IFERROR(VLOOKUP(E497,COLORES!$A$4:$B$102,2,FALSE()),"")</f>
        <v/>
      </c>
      <c r="I497" s="12">
        <f>IFERROR(IF(H497="OSCURO",VLOOKUP(D497,PRECIOS!$A$4:$F$32,2,FALSE()),IF(H497="CLARO",VLOOKUP(D497,PRECIOS!$A$4:$F$32,3,FALSE()),IF(H497="MELANGE",VLOOKUP(D497,PRECIOS!$A$4:$F$32,4,FALSE()),IF(H497="PPT",VLOOKUP(D497,PRECIOS!$A$4:$F$32,5,FALSE()),0)))),0)</f>
        <v>0</v>
      </c>
      <c r="J497" s="12">
        <f t="shared" si="12"/>
        <v>0</v>
      </c>
      <c r="K497" s="13">
        <f>IFERROR(IF(C497="",0,SUMIFS($F$4:$F$496,$C$4:$C$496,C497,$D$4:$D$496,D497,$E$4:$E$496,E497,$B$4:$B$496,"INGRESO")+SUMIFS($F$4:$F$496,$C$4:$C$496,C497,$D$4:$D$496,D497,$E$4:$E$496,E497,$B$4:$B$496,"DE REPROCESO")+SUMIFS($F$4:$F$496,$C$4:$C$496,C497,$D$4:$D$496,D497,$E$4:$E$496,E497,$B$4:$B$496,"AJUSTE+")-SUMIFS($F$4:$F$496,$C$4:$C$496,C497,$D$4:$D$496,D497,$E$4:$E$496,E497,$B$4:$B$496,"A CORTE")-SUMIFS($F$4:$F$496,$C$4:$C$496,C497,$D$4:$D$496,D497,$E$4:$E$496,E497,$B$4:$B$496,"A REPROCESO")-SUMIFS($F$4:$F$496,$C$4:$C$496,C497,$D$4:$D$496,D497,$E$4:$E$496,E497,$B$4:$B$496,"MUESTRA")-SUMIFS($F$4:$F$496,$C$4:$C$496,C497,$D$4:$D$496,D497,$E$4:$E$496,E497,$B$4:$B$496,"AJUSTE-")),0)</f>
        <v>0</v>
      </c>
      <c r="L497" s="13">
        <f t="shared" si="13"/>
        <v>0</v>
      </c>
      <c r="M497" s="8"/>
      <c r="N497" s="14"/>
      <c r="O497" s="14"/>
      <c r="P497" s="14"/>
      <c r="Q497" s="15"/>
      <c r="R497" s="16" t="str">
        <f t="shared" si="14"/>
        <v/>
      </c>
    </row>
    <row r="498" ht="15.75" customHeight="1">
      <c r="A498" s="7"/>
      <c r="B498" s="8"/>
      <c r="C498" s="8"/>
      <c r="D498" s="8"/>
      <c r="E498" s="8"/>
      <c r="F498" s="9"/>
      <c r="G498" s="10">
        <f>IFERROR(F498*VLOOKUP(D498,TELAS!$A$4:$C$32,3,FALSE()),0)</f>
        <v>0</v>
      </c>
      <c r="H498" s="11" t="str">
        <f>IFERROR(VLOOKUP(E498,COLORES!$A$4:$B$102,2,FALSE()),"")</f>
        <v/>
      </c>
      <c r="I498" s="12">
        <f>IFERROR(IF(H498="OSCURO",VLOOKUP(D498,PRECIOS!$A$4:$F$32,2,FALSE()),IF(H498="CLARO",VLOOKUP(D498,PRECIOS!$A$4:$F$32,3,FALSE()),IF(H498="MELANGE",VLOOKUP(D498,PRECIOS!$A$4:$F$32,4,FALSE()),IF(H498="PPT",VLOOKUP(D498,PRECIOS!$A$4:$F$32,5,FALSE()),0)))),0)</f>
        <v>0</v>
      </c>
      <c r="J498" s="12">
        <f t="shared" si="12"/>
        <v>0</v>
      </c>
      <c r="K498" s="13">
        <f>IFERROR(IF(C498="",0,SUMIFS($F$4:$F$497,$C$4:$C$497,C498,$D$4:$D$497,D498,$E$4:$E$497,E498,$B$4:$B$497,"INGRESO")+SUMIFS($F$4:$F$497,$C$4:$C$497,C498,$D$4:$D$497,D498,$E$4:$E$497,E498,$B$4:$B$497,"DE REPROCESO")+SUMIFS($F$4:$F$497,$C$4:$C$497,C498,$D$4:$D$497,D498,$E$4:$E$497,E498,$B$4:$B$497,"AJUSTE+")-SUMIFS($F$4:$F$497,$C$4:$C$497,C498,$D$4:$D$497,D498,$E$4:$E$497,E498,$B$4:$B$497,"A CORTE")-SUMIFS($F$4:$F$497,$C$4:$C$497,C498,$D$4:$D$497,D498,$E$4:$E$497,E498,$B$4:$B$497,"A REPROCESO")-SUMIFS($F$4:$F$497,$C$4:$C$497,C498,$D$4:$D$497,D498,$E$4:$E$497,E498,$B$4:$B$497,"MUESTRA")-SUMIFS($F$4:$F$497,$C$4:$C$497,C498,$D$4:$D$497,D498,$E$4:$E$497,E498,$B$4:$B$497,"AJUSTE-")),0)</f>
        <v>0</v>
      </c>
      <c r="L498" s="13">
        <f t="shared" si="13"/>
        <v>0</v>
      </c>
      <c r="M498" s="8"/>
      <c r="N498" s="14"/>
      <c r="O498" s="14"/>
      <c r="P498" s="14"/>
      <c r="Q498" s="15"/>
      <c r="R498" s="16" t="str">
        <f t="shared" si="14"/>
        <v/>
      </c>
    </row>
    <row r="499" ht="15.75" customHeight="1">
      <c r="A499" s="7"/>
      <c r="B499" s="8"/>
      <c r="C499" s="8"/>
      <c r="D499" s="8"/>
      <c r="E499" s="8"/>
      <c r="F499" s="9"/>
      <c r="G499" s="10">
        <f>IFERROR(F499*VLOOKUP(D499,TELAS!$A$4:$C$32,3,FALSE()),0)</f>
        <v>0</v>
      </c>
      <c r="H499" s="11" t="str">
        <f>IFERROR(VLOOKUP(E499,COLORES!$A$4:$B$102,2,FALSE()),"")</f>
        <v/>
      </c>
      <c r="I499" s="12">
        <f>IFERROR(IF(H499="OSCURO",VLOOKUP(D499,PRECIOS!$A$4:$F$32,2,FALSE()),IF(H499="CLARO",VLOOKUP(D499,PRECIOS!$A$4:$F$32,3,FALSE()),IF(H499="MELANGE",VLOOKUP(D499,PRECIOS!$A$4:$F$32,4,FALSE()),IF(H499="PPT",VLOOKUP(D499,PRECIOS!$A$4:$F$32,5,FALSE()),0)))),0)</f>
        <v>0</v>
      </c>
      <c r="J499" s="12">
        <f t="shared" si="12"/>
        <v>0</v>
      </c>
      <c r="K499" s="13">
        <f>IFERROR(IF(C499="",0,SUMIFS($F$4:$F$498,$C$4:$C$498,C499,$D$4:$D$498,D499,$E$4:$E$498,E499,$B$4:$B$498,"INGRESO")+SUMIFS($F$4:$F$498,$C$4:$C$498,C499,$D$4:$D$498,D499,$E$4:$E$498,E499,$B$4:$B$498,"DE REPROCESO")+SUMIFS($F$4:$F$498,$C$4:$C$498,C499,$D$4:$D$498,D499,$E$4:$E$498,E499,$B$4:$B$498,"AJUSTE+")-SUMIFS($F$4:$F$498,$C$4:$C$498,C499,$D$4:$D$498,D499,$E$4:$E$498,E499,$B$4:$B$498,"A CORTE")-SUMIFS($F$4:$F$498,$C$4:$C$498,C499,$D$4:$D$498,D499,$E$4:$E$498,E499,$B$4:$B$498,"A REPROCESO")-SUMIFS($F$4:$F$498,$C$4:$C$498,C499,$D$4:$D$498,D499,$E$4:$E$498,E499,$B$4:$B$498,"MUESTRA")-SUMIFS($F$4:$F$498,$C$4:$C$498,C499,$D$4:$D$498,D499,$E$4:$E$498,E499,$B$4:$B$498,"AJUSTE-")),0)</f>
        <v>0</v>
      </c>
      <c r="L499" s="13">
        <f t="shared" si="13"/>
        <v>0</v>
      </c>
      <c r="M499" s="8"/>
      <c r="N499" s="14"/>
      <c r="O499" s="14"/>
      <c r="P499" s="14"/>
      <c r="Q499" s="15"/>
      <c r="R499" s="16" t="str">
        <f t="shared" si="14"/>
        <v/>
      </c>
    </row>
    <row r="500" ht="15.75" customHeight="1">
      <c r="A500" s="7"/>
      <c r="B500" s="8"/>
      <c r="C500" s="8"/>
      <c r="D500" s="8"/>
      <c r="E500" s="8"/>
      <c r="F500" s="9"/>
      <c r="G500" s="10">
        <f>IFERROR(F500*VLOOKUP(D500,TELAS!$A$4:$C$32,3,FALSE()),0)</f>
        <v>0</v>
      </c>
      <c r="H500" s="11" t="str">
        <f>IFERROR(VLOOKUP(E500,COLORES!$A$4:$B$102,2,FALSE()),"")</f>
        <v/>
      </c>
      <c r="I500" s="12">
        <f>IFERROR(IF(H500="OSCURO",VLOOKUP(D500,PRECIOS!$A$4:$F$32,2,FALSE()),IF(H500="CLARO",VLOOKUP(D500,PRECIOS!$A$4:$F$32,3,FALSE()),IF(H500="MELANGE",VLOOKUP(D500,PRECIOS!$A$4:$F$32,4,FALSE()),IF(H500="PPT",VLOOKUP(D500,PRECIOS!$A$4:$F$32,5,FALSE()),0)))),0)</f>
        <v>0</v>
      </c>
      <c r="J500" s="12">
        <f t="shared" si="12"/>
        <v>0</v>
      </c>
      <c r="K500" s="13">
        <f>IFERROR(IF(C500="",0,SUMIFS($F$4:$F$499,$C$4:$C$499,C500,$D$4:$D$499,D500,$E$4:$E$499,E500,$B$4:$B$499,"INGRESO")+SUMIFS($F$4:$F$499,$C$4:$C$499,C500,$D$4:$D$499,D500,$E$4:$E$499,E500,$B$4:$B$499,"DE REPROCESO")+SUMIFS($F$4:$F$499,$C$4:$C$499,C500,$D$4:$D$499,D500,$E$4:$E$499,E500,$B$4:$B$499,"AJUSTE+")-SUMIFS($F$4:$F$499,$C$4:$C$499,C500,$D$4:$D$499,D500,$E$4:$E$499,E500,$B$4:$B$499,"A CORTE")-SUMIFS($F$4:$F$499,$C$4:$C$499,C500,$D$4:$D$499,D500,$E$4:$E$499,E500,$B$4:$B$499,"A REPROCESO")-SUMIFS($F$4:$F$499,$C$4:$C$499,C500,$D$4:$D$499,D500,$E$4:$E$499,E500,$B$4:$B$499,"MUESTRA")-SUMIFS($F$4:$F$499,$C$4:$C$499,C500,$D$4:$D$499,D500,$E$4:$E$499,E500,$B$4:$B$499,"AJUSTE-")),0)</f>
        <v>0</v>
      </c>
      <c r="L500" s="13">
        <f t="shared" si="13"/>
        <v>0</v>
      </c>
      <c r="M500" s="8"/>
      <c r="N500" s="14"/>
      <c r="O500" s="14"/>
      <c r="P500" s="14"/>
      <c r="Q500" s="15"/>
      <c r="R500" s="16" t="str">
        <f t="shared" si="14"/>
        <v/>
      </c>
    </row>
    <row r="501" ht="15.75" customHeight="1">
      <c r="A501" s="7"/>
      <c r="B501" s="8"/>
      <c r="C501" s="8"/>
      <c r="D501" s="8"/>
      <c r="E501" s="8"/>
      <c r="F501" s="9"/>
      <c r="G501" s="10">
        <f>IFERROR(F501*VLOOKUP(D501,TELAS!$A$4:$C$32,3,FALSE()),0)</f>
        <v>0</v>
      </c>
      <c r="H501" s="11" t="str">
        <f>IFERROR(VLOOKUP(E501,COLORES!$A$4:$B$102,2,FALSE()),"")</f>
        <v/>
      </c>
      <c r="I501" s="12">
        <f>IFERROR(IF(H501="OSCURO",VLOOKUP(D501,PRECIOS!$A$4:$F$32,2,FALSE()),IF(H501="CLARO",VLOOKUP(D501,PRECIOS!$A$4:$F$32,3,FALSE()),IF(H501="MELANGE",VLOOKUP(D501,PRECIOS!$A$4:$F$32,4,FALSE()),IF(H501="PPT",VLOOKUP(D501,PRECIOS!$A$4:$F$32,5,FALSE()),0)))),0)</f>
        <v>0</v>
      </c>
      <c r="J501" s="12">
        <f t="shared" si="12"/>
        <v>0</v>
      </c>
      <c r="K501" s="13">
        <f>IFERROR(IF(C501="",0,SUMIFS($F$4:$F$500,$C$4:$C$500,C501,$D$4:$D$500,D501,$E$4:$E$500,E501,$B$4:$B$500,"INGRESO")+SUMIFS($F$4:$F$500,$C$4:$C$500,C501,$D$4:$D$500,D501,$E$4:$E$500,E501,$B$4:$B$500,"DE REPROCESO")+SUMIFS($F$4:$F$500,$C$4:$C$500,C501,$D$4:$D$500,D501,$E$4:$E$500,E501,$B$4:$B$500,"AJUSTE+")-SUMIFS($F$4:$F$500,$C$4:$C$500,C501,$D$4:$D$500,D501,$E$4:$E$500,E501,$B$4:$B$500,"A CORTE")-SUMIFS($F$4:$F$500,$C$4:$C$500,C501,$D$4:$D$500,D501,$E$4:$E$500,E501,$B$4:$B$500,"A REPROCESO")-SUMIFS($F$4:$F$500,$C$4:$C$500,C501,$D$4:$D$500,D501,$E$4:$E$500,E501,$B$4:$B$500,"MUESTRA")-SUMIFS($F$4:$F$500,$C$4:$C$500,C501,$D$4:$D$500,D501,$E$4:$E$500,E501,$B$4:$B$500,"AJUSTE-")),0)</f>
        <v>0</v>
      </c>
      <c r="L501" s="13">
        <f t="shared" si="13"/>
        <v>0</v>
      </c>
      <c r="M501" s="8"/>
      <c r="N501" s="14"/>
      <c r="O501" s="14"/>
      <c r="P501" s="14"/>
      <c r="Q501" s="15"/>
      <c r="R501" s="16" t="str">
        <f t="shared" si="14"/>
        <v/>
      </c>
    </row>
    <row r="502" ht="15.75" customHeight="1">
      <c r="A502" s="7"/>
      <c r="B502" s="8"/>
      <c r="C502" s="8"/>
      <c r="D502" s="8"/>
      <c r="E502" s="8"/>
      <c r="F502" s="9"/>
      <c r="G502" s="10">
        <f>IFERROR(F502*VLOOKUP(D502,TELAS!$A$4:$C$32,3,FALSE()),0)</f>
        <v>0</v>
      </c>
      <c r="H502" s="11" t="str">
        <f>IFERROR(VLOOKUP(E502,COLORES!$A$4:$B$102,2,FALSE()),"")</f>
        <v/>
      </c>
      <c r="I502" s="12">
        <f>IFERROR(IF(H502="OSCURO",VLOOKUP(D502,PRECIOS!$A$4:$F$32,2,FALSE()),IF(H502="CLARO",VLOOKUP(D502,PRECIOS!$A$4:$F$32,3,FALSE()),IF(H502="MELANGE",VLOOKUP(D502,PRECIOS!$A$4:$F$32,4,FALSE()),IF(H502="PPT",VLOOKUP(D502,PRECIOS!$A$4:$F$32,5,FALSE()),0)))),0)</f>
        <v>0</v>
      </c>
      <c r="J502" s="12">
        <f t="shared" si="12"/>
        <v>0</v>
      </c>
      <c r="K502" s="13">
        <f>IFERROR(IF(C502="",0,SUMIFS($F$4:$F$501,$C$4:$C$501,C502,$D$4:$D$501,D502,$E$4:$E$501,E502,$B$4:$B$501,"INGRESO")+SUMIFS($F$4:$F$501,$C$4:$C$501,C502,$D$4:$D$501,D502,$E$4:$E$501,E502,$B$4:$B$501,"DE REPROCESO")+SUMIFS($F$4:$F$501,$C$4:$C$501,C502,$D$4:$D$501,D502,$E$4:$E$501,E502,$B$4:$B$501,"AJUSTE+")-SUMIFS($F$4:$F$501,$C$4:$C$501,C502,$D$4:$D$501,D502,$E$4:$E$501,E502,$B$4:$B$501,"A CORTE")-SUMIFS($F$4:$F$501,$C$4:$C$501,C502,$D$4:$D$501,D502,$E$4:$E$501,E502,$B$4:$B$501,"A REPROCESO")-SUMIFS($F$4:$F$501,$C$4:$C$501,C502,$D$4:$D$501,D502,$E$4:$E$501,E502,$B$4:$B$501,"MUESTRA")-SUMIFS($F$4:$F$501,$C$4:$C$501,C502,$D$4:$D$501,D502,$E$4:$E$501,E502,$B$4:$B$501,"AJUSTE-")),0)</f>
        <v>0</v>
      </c>
      <c r="L502" s="13">
        <f t="shared" si="13"/>
        <v>0</v>
      </c>
      <c r="M502" s="8"/>
      <c r="N502" s="14"/>
      <c r="O502" s="14"/>
      <c r="P502" s="14"/>
      <c r="Q502" s="15"/>
      <c r="R502" s="16" t="str">
        <f t="shared" si="14"/>
        <v/>
      </c>
    </row>
    <row r="503" ht="15.75" customHeight="1">
      <c r="A503" s="7"/>
      <c r="B503" s="8"/>
      <c r="C503" s="8"/>
      <c r="D503" s="8"/>
      <c r="E503" s="8"/>
      <c r="F503" s="9"/>
      <c r="G503" s="10">
        <f>IFERROR(F503*VLOOKUP(D503,TELAS!$A$4:$C$32,3,FALSE()),0)</f>
        <v>0</v>
      </c>
      <c r="H503" s="11" t="str">
        <f>IFERROR(VLOOKUP(E503,COLORES!$A$4:$B$102,2,FALSE()),"")</f>
        <v/>
      </c>
      <c r="I503" s="12">
        <f>IFERROR(IF(H503="OSCURO",VLOOKUP(D503,PRECIOS!$A$4:$F$32,2,FALSE()),IF(H503="CLARO",VLOOKUP(D503,PRECIOS!$A$4:$F$32,3,FALSE()),IF(H503="MELANGE",VLOOKUP(D503,PRECIOS!$A$4:$F$32,4,FALSE()),IF(H503="PPT",VLOOKUP(D503,PRECIOS!$A$4:$F$32,5,FALSE()),0)))),0)</f>
        <v>0</v>
      </c>
      <c r="J503" s="12">
        <f t="shared" si="12"/>
        <v>0</v>
      </c>
      <c r="K503" s="13">
        <f>IFERROR(IF(C503="",0,SUMIFS($F$4:$F$502,$C$4:$C$502,C503,$D$4:$D$502,D503,$E$4:$E$502,E503,$B$4:$B$502,"INGRESO")+SUMIFS($F$4:$F$502,$C$4:$C$502,C503,$D$4:$D$502,D503,$E$4:$E$502,E503,$B$4:$B$502,"DE REPROCESO")+SUMIFS($F$4:$F$502,$C$4:$C$502,C503,$D$4:$D$502,D503,$E$4:$E$502,E503,$B$4:$B$502,"AJUSTE+")-SUMIFS($F$4:$F$502,$C$4:$C$502,C503,$D$4:$D$502,D503,$E$4:$E$502,E503,$B$4:$B$502,"A CORTE")-SUMIFS($F$4:$F$502,$C$4:$C$502,C503,$D$4:$D$502,D503,$E$4:$E$502,E503,$B$4:$B$502,"A REPROCESO")-SUMIFS($F$4:$F$502,$C$4:$C$502,C503,$D$4:$D$502,D503,$E$4:$E$502,E503,$B$4:$B$502,"MUESTRA")-SUMIFS($F$4:$F$502,$C$4:$C$502,C503,$D$4:$D$502,D503,$E$4:$E$502,E503,$B$4:$B$502,"AJUSTE-")),0)</f>
        <v>0</v>
      </c>
      <c r="L503" s="13">
        <f t="shared" si="13"/>
        <v>0</v>
      </c>
      <c r="M503" s="8"/>
      <c r="N503" s="14"/>
      <c r="O503" s="14"/>
      <c r="P503" s="14"/>
      <c r="Q503" s="15"/>
      <c r="R503" s="16" t="str">
        <f t="shared" si="14"/>
        <v/>
      </c>
    </row>
    <row r="504" ht="15.75" customHeight="1">
      <c r="A504" s="7"/>
      <c r="B504" s="8"/>
      <c r="C504" s="8"/>
      <c r="D504" s="8"/>
      <c r="E504" s="8"/>
      <c r="F504" s="9"/>
      <c r="G504" s="10">
        <f>IFERROR(F504*VLOOKUP(D504,TELAS!$A$4:$C$32,3,FALSE()),0)</f>
        <v>0</v>
      </c>
      <c r="H504" s="11" t="str">
        <f>IFERROR(VLOOKUP(E504,COLORES!$A$4:$B$102,2,FALSE()),"")</f>
        <v/>
      </c>
      <c r="I504" s="12">
        <f>IFERROR(IF(H504="OSCURO",VLOOKUP(D504,PRECIOS!$A$4:$F$32,2,FALSE()),IF(H504="CLARO",VLOOKUP(D504,PRECIOS!$A$4:$F$32,3,FALSE()),IF(H504="MELANGE",VLOOKUP(D504,PRECIOS!$A$4:$F$32,4,FALSE()),IF(H504="PPT",VLOOKUP(D504,PRECIOS!$A$4:$F$32,5,FALSE()),0)))),0)</f>
        <v>0</v>
      </c>
      <c r="J504" s="12">
        <f t="shared" si="12"/>
        <v>0</v>
      </c>
      <c r="K504" s="13">
        <f>IFERROR(IF(C504="",0,SUMIFS($F$4:$F$503,$C$4:$C$503,C504,$D$4:$D$503,D504,$E$4:$E$503,E504,$B$4:$B$503,"INGRESO")+SUMIFS($F$4:$F$503,$C$4:$C$503,C504,$D$4:$D$503,D504,$E$4:$E$503,E504,$B$4:$B$503,"DE REPROCESO")+SUMIFS($F$4:$F$503,$C$4:$C$503,C504,$D$4:$D$503,D504,$E$4:$E$503,E504,$B$4:$B$503,"AJUSTE+")-SUMIFS($F$4:$F$503,$C$4:$C$503,C504,$D$4:$D$503,D504,$E$4:$E$503,E504,$B$4:$B$503,"A CORTE")-SUMIFS($F$4:$F$503,$C$4:$C$503,C504,$D$4:$D$503,D504,$E$4:$E$503,E504,$B$4:$B$503,"A REPROCESO")-SUMIFS($F$4:$F$503,$C$4:$C$503,C504,$D$4:$D$503,D504,$E$4:$E$503,E504,$B$4:$B$503,"MUESTRA")-SUMIFS($F$4:$F$503,$C$4:$C$503,C504,$D$4:$D$503,D504,$E$4:$E$503,E504,$B$4:$B$503,"AJUSTE-")),0)</f>
        <v>0</v>
      </c>
      <c r="L504" s="13">
        <f t="shared" si="13"/>
        <v>0</v>
      </c>
      <c r="M504" s="8"/>
      <c r="N504" s="14"/>
      <c r="O504" s="14"/>
      <c r="P504" s="14"/>
      <c r="Q504" s="15"/>
      <c r="R504" s="16" t="str">
        <f t="shared" si="14"/>
        <v/>
      </c>
    </row>
    <row r="505" ht="15.75" customHeight="1">
      <c r="A505" s="7"/>
      <c r="B505" s="8"/>
      <c r="C505" s="8"/>
      <c r="D505" s="8"/>
      <c r="E505" s="8"/>
      <c r="F505" s="9"/>
      <c r="G505" s="10">
        <f>IFERROR(F505*VLOOKUP(D505,TELAS!$A$4:$C$32,3,FALSE()),0)</f>
        <v>0</v>
      </c>
      <c r="H505" s="11" t="str">
        <f>IFERROR(VLOOKUP(E505,COLORES!$A$4:$B$102,2,FALSE()),"")</f>
        <v/>
      </c>
      <c r="I505" s="12">
        <f>IFERROR(IF(H505="OSCURO",VLOOKUP(D505,PRECIOS!$A$4:$F$32,2,FALSE()),IF(H505="CLARO",VLOOKUP(D505,PRECIOS!$A$4:$F$32,3,FALSE()),IF(H505="MELANGE",VLOOKUP(D505,PRECIOS!$A$4:$F$32,4,FALSE()),IF(H505="PPT",VLOOKUP(D505,PRECIOS!$A$4:$F$32,5,FALSE()),0)))),0)</f>
        <v>0</v>
      </c>
      <c r="J505" s="12">
        <f t="shared" si="12"/>
        <v>0</v>
      </c>
      <c r="K505" s="13">
        <f>IFERROR(IF(C505="",0,SUMIFS($F$4:$F$504,$C$4:$C$504,C505,$D$4:$D$504,D505,$E$4:$E$504,E505,$B$4:$B$504,"INGRESO")+SUMIFS($F$4:$F$504,$C$4:$C$504,C505,$D$4:$D$504,D505,$E$4:$E$504,E505,$B$4:$B$504,"DE REPROCESO")+SUMIFS($F$4:$F$504,$C$4:$C$504,C505,$D$4:$D$504,D505,$E$4:$E$504,E505,$B$4:$B$504,"AJUSTE+")-SUMIFS($F$4:$F$504,$C$4:$C$504,C505,$D$4:$D$504,D505,$E$4:$E$504,E505,$B$4:$B$504,"A CORTE")-SUMIFS($F$4:$F$504,$C$4:$C$504,C505,$D$4:$D$504,D505,$E$4:$E$504,E505,$B$4:$B$504,"A REPROCESO")-SUMIFS($F$4:$F$504,$C$4:$C$504,C505,$D$4:$D$504,D505,$E$4:$E$504,E505,$B$4:$B$504,"MUESTRA")-SUMIFS($F$4:$F$504,$C$4:$C$504,C505,$D$4:$D$504,D505,$E$4:$E$504,E505,$B$4:$B$504,"AJUSTE-")),0)</f>
        <v>0</v>
      </c>
      <c r="L505" s="13">
        <f t="shared" si="13"/>
        <v>0</v>
      </c>
      <c r="M505" s="8"/>
      <c r="N505" s="14"/>
      <c r="O505" s="14"/>
      <c r="P505" s="14"/>
      <c r="Q505" s="15"/>
      <c r="R505" s="16" t="str">
        <f t="shared" si="14"/>
        <v/>
      </c>
    </row>
    <row r="506" ht="15.75" customHeight="1">
      <c r="A506" s="7"/>
      <c r="B506" s="8"/>
      <c r="C506" s="8"/>
      <c r="D506" s="8"/>
      <c r="E506" s="8"/>
      <c r="F506" s="9"/>
      <c r="G506" s="10">
        <f>IFERROR(F506*VLOOKUP(D506,TELAS!$A$4:$C$32,3,FALSE()),0)</f>
        <v>0</v>
      </c>
      <c r="H506" s="11" t="str">
        <f>IFERROR(VLOOKUP(E506,COLORES!$A$4:$B$102,2,FALSE()),"")</f>
        <v/>
      </c>
      <c r="I506" s="12">
        <f>IFERROR(IF(H506="OSCURO",VLOOKUP(D506,PRECIOS!$A$4:$F$32,2,FALSE()),IF(H506="CLARO",VLOOKUP(D506,PRECIOS!$A$4:$F$32,3,FALSE()),IF(H506="MELANGE",VLOOKUP(D506,PRECIOS!$A$4:$F$32,4,FALSE()),IF(H506="PPT",VLOOKUP(D506,PRECIOS!$A$4:$F$32,5,FALSE()),0)))),0)</f>
        <v>0</v>
      </c>
      <c r="J506" s="12">
        <f t="shared" si="12"/>
        <v>0</v>
      </c>
      <c r="K506" s="13">
        <f>IFERROR(IF(C506="",0,SUMIFS($F$4:$F$505,$C$4:$C$505,C506,$D$4:$D$505,D506,$E$4:$E$505,E506,$B$4:$B$505,"INGRESO")+SUMIFS($F$4:$F$505,$C$4:$C$505,C506,$D$4:$D$505,D506,$E$4:$E$505,E506,$B$4:$B$505,"DE REPROCESO")+SUMIFS($F$4:$F$505,$C$4:$C$505,C506,$D$4:$D$505,D506,$E$4:$E$505,E506,$B$4:$B$505,"AJUSTE+")-SUMIFS($F$4:$F$505,$C$4:$C$505,C506,$D$4:$D$505,D506,$E$4:$E$505,E506,$B$4:$B$505,"A CORTE")-SUMIFS($F$4:$F$505,$C$4:$C$505,C506,$D$4:$D$505,D506,$E$4:$E$505,E506,$B$4:$B$505,"A REPROCESO")-SUMIFS($F$4:$F$505,$C$4:$C$505,C506,$D$4:$D$505,D506,$E$4:$E$505,E506,$B$4:$B$505,"MUESTRA")-SUMIFS($F$4:$F$505,$C$4:$C$505,C506,$D$4:$D$505,D506,$E$4:$E$505,E506,$B$4:$B$505,"AJUSTE-")),0)</f>
        <v>0</v>
      </c>
      <c r="L506" s="13">
        <f t="shared" si="13"/>
        <v>0</v>
      </c>
      <c r="M506" s="8"/>
      <c r="N506" s="14"/>
      <c r="O506" s="14"/>
      <c r="P506" s="14"/>
      <c r="Q506" s="15"/>
      <c r="R506" s="16" t="str">
        <f t="shared" si="14"/>
        <v/>
      </c>
    </row>
    <row r="507" ht="15.75" customHeight="1">
      <c r="A507" s="7"/>
      <c r="B507" s="8"/>
      <c r="C507" s="8"/>
      <c r="D507" s="8"/>
      <c r="E507" s="8"/>
      <c r="F507" s="9"/>
      <c r="G507" s="10">
        <f>IFERROR(F507*VLOOKUP(D507,TELAS!$A$4:$C$32,3,FALSE()),0)</f>
        <v>0</v>
      </c>
      <c r="H507" s="11" t="str">
        <f>IFERROR(VLOOKUP(E507,COLORES!$A$4:$B$102,2,FALSE()),"")</f>
        <v/>
      </c>
      <c r="I507" s="12">
        <f>IFERROR(IF(H507="OSCURO",VLOOKUP(D507,PRECIOS!$A$4:$F$32,2,FALSE()),IF(H507="CLARO",VLOOKUP(D507,PRECIOS!$A$4:$F$32,3,FALSE()),IF(H507="MELANGE",VLOOKUP(D507,PRECIOS!$A$4:$F$32,4,FALSE()),IF(H507="PPT",VLOOKUP(D507,PRECIOS!$A$4:$F$32,5,FALSE()),0)))),0)</f>
        <v>0</v>
      </c>
      <c r="J507" s="12">
        <f t="shared" si="12"/>
        <v>0</v>
      </c>
      <c r="K507" s="13">
        <f>IFERROR(IF(C507="",0,SUMIFS($F$4:$F$506,$C$4:$C$506,C507,$D$4:$D$506,D507,$E$4:$E$506,E507,$B$4:$B$506,"INGRESO")+SUMIFS($F$4:$F$506,$C$4:$C$506,C507,$D$4:$D$506,D507,$E$4:$E$506,E507,$B$4:$B$506,"DE REPROCESO")+SUMIFS($F$4:$F$506,$C$4:$C$506,C507,$D$4:$D$506,D507,$E$4:$E$506,E507,$B$4:$B$506,"AJUSTE+")-SUMIFS($F$4:$F$506,$C$4:$C$506,C507,$D$4:$D$506,D507,$E$4:$E$506,E507,$B$4:$B$506,"A CORTE")-SUMIFS($F$4:$F$506,$C$4:$C$506,C507,$D$4:$D$506,D507,$E$4:$E$506,E507,$B$4:$B$506,"A REPROCESO")-SUMIFS($F$4:$F$506,$C$4:$C$506,C507,$D$4:$D$506,D507,$E$4:$E$506,E507,$B$4:$B$506,"MUESTRA")-SUMIFS($F$4:$F$506,$C$4:$C$506,C507,$D$4:$D$506,D507,$E$4:$E$506,E507,$B$4:$B$506,"AJUSTE-")),0)</f>
        <v>0</v>
      </c>
      <c r="L507" s="13">
        <f t="shared" si="13"/>
        <v>0</v>
      </c>
      <c r="M507" s="8"/>
      <c r="N507" s="14"/>
      <c r="O507" s="14"/>
      <c r="P507" s="14"/>
      <c r="Q507" s="15"/>
      <c r="R507" s="16" t="str">
        <f t="shared" si="14"/>
        <v/>
      </c>
    </row>
    <row r="508" ht="15.75" customHeight="1">
      <c r="A508" s="7"/>
      <c r="B508" s="8"/>
      <c r="C508" s="8"/>
      <c r="D508" s="8"/>
      <c r="E508" s="8"/>
      <c r="F508" s="9"/>
      <c r="G508" s="10">
        <f>IFERROR(F508*VLOOKUP(D508,TELAS!$A$4:$C$32,3,FALSE()),0)</f>
        <v>0</v>
      </c>
      <c r="H508" s="11" t="str">
        <f>IFERROR(VLOOKUP(E508,COLORES!$A$4:$B$102,2,FALSE()),"")</f>
        <v/>
      </c>
      <c r="I508" s="12">
        <f>IFERROR(IF(H508="OSCURO",VLOOKUP(D508,PRECIOS!$A$4:$F$32,2,FALSE()),IF(H508="CLARO",VLOOKUP(D508,PRECIOS!$A$4:$F$32,3,FALSE()),IF(H508="MELANGE",VLOOKUP(D508,PRECIOS!$A$4:$F$32,4,FALSE()),IF(H508="PPT",VLOOKUP(D508,PRECIOS!$A$4:$F$32,5,FALSE()),0)))),0)</f>
        <v>0</v>
      </c>
      <c r="J508" s="12">
        <f t="shared" si="12"/>
        <v>0</v>
      </c>
      <c r="K508" s="13">
        <f>IFERROR(IF(C508="",0,SUMIFS($F$4:$F$507,$C$4:$C$507,C508,$D$4:$D$507,D508,$E$4:$E$507,E508,$B$4:$B$507,"INGRESO")+SUMIFS($F$4:$F$507,$C$4:$C$507,C508,$D$4:$D$507,D508,$E$4:$E$507,E508,$B$4:$B$507,"DE REPROCESO")+SUMIFS($F$4:$F$507,$C$4:$C$507,C508,$D$4:$D$507,D508,$E$4:$E$507,E508,$B$4:$B$507,"AJUSTE+")-SUMIFS($F$4:$F$507,$C$4:$C$507,C508,$D$4:$D$507,D508,$E$4:$E$507,E508,$B$4:$B$507,"A CORTE")-SUMIFS($F$4:$F$507,$C$4:$C$507,C508,$D$4:$D$507,D508,$E$4:$E$507,E508,$B$4:$B$507,"A REPROCESO")-SUMIFS($F$4:$F$507,$C$4:$C$507,C508,$D$4:$D$507,D508,$E$4:$E$507,E508,$B$4:$B$507,"MUESTRA")-SUMIFS($F$4:$F$507,$C$4:$C$507,C508,$D$4:$D$507,D508,$E$4:$E$507,E508,$B$4:$B$507,"AJUSTE-")),0)</f>
        <v>0</v>
      </c>
      <c r="L508" s="13">
        <f t="shared" si="13"/>
        <v>0</v>
      </c>
      <c r="M508" s="8"/>
      <c r="N508" s="14"/>
      <c r="O508" s="14"/>
      <c r="P508" s="14"/>
      <c r="Q508" s="15"/>
      <c r="R508" s="16" t="str">
        <f t="shared" si="14"/>
        <v/>
      </c>
    </row>
    <row r="509" ht="15.75" customHeight="1">
      <c r="A509" s="7"/>
      <c r="B509" s="8"/>
      <c r="C509" s="8"/>
      <c r="D509" s="8"/>
      <c r="E509" s="8"/>
      <c r="F509" s="9"/>
      <c r="G509" s="10">
        <f>IFERROR(F509*VLOOKUP(D509,TELAS!$A$4:$C$32,3,FALSE()),0)</f>
        <v>0</v>
      </c>
      <c r="H509" s="11" t="str">
        <f>IFERROR(VLOOKUP(E509,COLORES!$A$4:$B$102,2,FALSE()),"")</f>
        <v/>
      </c>
      <c r="I509" s="12">
        <f>IFERROR(IF(H509="OSCURO",VLOOKUP(D509,PRECIOS!$A$4:$F$32,2,FALSE()),IF(H509="CLARO",VLOOKUP(D509,PRECIOS!$A$4:$F$32,3,FALSE()),IF(H509="MELANGE",VLOOKUP(D509,PRECIOS!$A$4:$F$32,4,FALSE()),IF(H509="PPT",VLOOKUP(D509,PRECIOS!$A$4:$F$32,5,FALSE()),0)))),0)</f>
        <v>0</v>
      </c>
      <c r="J509" s="12">
        <f t="shared" si="12"/>
        <v>0</v>
      </c>
      <c r="K509" s="13">
        <f>IFERROR(IF(C509="",0,SUMIFS($F$4:$F$508,$C$4:$C$508,C509,$D$4:$D$508,D509,$E$4:$E$508,E509,$B$4:$B$508,"INGRESO")+SUMIFS($F$4:$F$508,$C$4:$C$508,C509,$D$4:$D$508,D509,$E$4:$E$508,E509,$B$4:$B$508,"DE REPROCESO")+SUMIFS($F$4:$F$508,$C$4:$C$508,C509,$D$4:$D$508,D509,$E$4:$E$508,E509,$B$4:$B$508,"AJUSTE+")-SUMIFS($F$4:$F$508,$C$4:$C$508,C509,$D$4:$D$508,D509,$E$4:$E$508,E509,$B$4:$B$508,"A CORTE")-SUMIFS($F$4:$F$508,$C$4:$C$508,C509,$D$4:$D$508,D509,$E$4:$E$508,E509,$B$4:$B$508,"A REPROCESO")-SUMIFS($F$4:$F$508,$C$4:$C$508,C509,$D$4:$D$508,D509,$E$4:$E$508,E509,$B$4:$B$508,"MUESTRA")-SUMIFS($F$4:$F$508,$C$4:$C$508,C509,$D$4:$D$508,D509,$E$4:$E$508,E509,$B$4:$B$508,"AJUSTE-")),0)</f>
        <v>0</v>
      </c>
      <c r="L509" s="13">
        <f t="shared" si="13"/>
        <v>0</v>
      </c>
      <c r="M509" s="8"/>
      <c r="N509" s="14"/>
      <c r="O509" s="14"/>
      <c r="P509" s="14"/>
      <c r="Q509" s="15"/>
      <c r="R509" s="16" t="str">
        <f t="shared" si="14"/>
        <v/>
      </c>
    </row>
    <row r="510" ht="15.75" customHeight="1">
      <c r="A510" s="7"/>
      <c r="B510" s="8"/>
      <c r="C510" s="8"/>
      <c r="D510" s="8"/>
      <c r="E510" s="8"/>
      <c r="F510" s="9"/>
      <c r="G510" s="10">
        <f>IFERROR(F510*VLOOKUP(D510,TELAS!$A$4:$C$32,3,FALSE()),0)</f>
        <v>0</v>
      </c>
      <c r="H510" s="11" t="str">
        <f>IFERROR(VLOOKUP(E510,COLORES!$A$4:$B$102,2,FALSE()),"")</f>
        <v/>
      </c>
      <c r="I510" s="12">
        <f>IFERROR(IF(H510="OSCURO",VLOOKUP(D510,PRECIOS!$A$4:$F$32,2,FALSE()),IF(H510="CLARO",VLOOKUP(D510,PRECIOS!$A$4:$F$32,3,FALSE()),IF(H510="MELANGE",VLOOKUP(D510,PRECIOS!$A$4:$F$32,4,FALSE()),IF(H510="PPT",VLOOKUP(D510,PRECIOS!$A$4:$F$32,5,FALSE()),0)))),0)</f>
        <v>0</v>
      </c>
      <c r="J510" s="12">
        <f t="shared" si="12"/>
        <v>0</v>
      </c>
      <c r="K510" s="13">
        <f>IFERROR(IF(C510="",0,SUMIFS($F$4:$F$509,$C$4:$C$509,C510,$D$4:$D$509,D510,$E$4:$E$509,E510,$B$4:$B$509,"INGRESO")+SUMIFS($F$4:$F$509,$C$4:$C$509,C510,$D$4:$D$509,D510,$E$4:$E$509,E510,$B$4:$B$509,"DE REPROCESO")+SUMIFS($F$4:$F$509,$C$4:$C$509,C510,$D$4:$D$509,D510,$E$4:$E$509,E510,$B$4:$B$509,"AJUSTE+")-SUMIFS($F$4:$F$509,$C$4:$C$509,C510,$D$4:$D$509,D510,$E$4:$E$509,E510,$B$4:$B$509,"A CORTE")-SUMIFS($F$4:$F$509,$C$4:$C$509,C510,$D$4:$D$509,D510,$E$4:$E$509,E510,$B$4:$B$509,"A REPROCESO")-SUMIFS($F$4:$F$509,$C$4:$C$509,C510,$D$4:$D$509,D510,$E$4:$E$509,E510,$B$4:$B$509,"MUESTRA")-SUMIFS($F$4:$F$509,$C$4:$C$509,C510,$D$4:$D$509,D510,$E$4:$E$509,E510,$B$4:$B$509,"AJUSTE-")),0)</f>
        <v>0</v>
      </c>
      <c r="L510" s="13">
        <f t="shared" si="13"/>
        <v>0</v>
      </c>
      <c r="M510" s="8"/>
      <c r="N510" s="14"/>
      <c r="O510" s="14"/>
      <c r="P510" s="14"/>
      <c r="Q510" s="15"/>
      <c r="R510" s="16" t="str">
        <f t="shared" si="14"/>
        <v/>
      </c>
    </row>
    <row r="511" ht="15.75" customHeight="1">
      <c r="A511" s="7"/>
      <c r="B511" s="8"/>
      <c r="C511" s="8"/>
      <c r="D511" s="8"/>
      <c r="E511" s="8"/>
      <c r="F511" s="9"/>
      <c r="G511" s="10">
        <f>IFERROR(F511*VLOOKUP(D511,TELAS!$A$4:$C$32,3,FALSE()),0)</f>
        <v>0</v>
      </c>
      <c r="H511" s="11" t="str">
        <f>IFERROR(VLOOKUP(E511,COLORES!$A$4:$B$102,2,FALSE()),"")</f>
        <v/>
      </c>
      <c r="I511" s="12">
        <f>IFERROR(IF(H511="OSCURO",VLOOKUP(D511,PRECIOS!$A$4:$F$32,2,FALSE()),IF(H511="CLARO",VLOOKUP(D511,PRECIOS!$A$4:$F$32,3,FALSE()),IF(H511="MELANGE",VLOOKUP(D511,PRECIOS!$A$4:$F$32,4,FALSE()),IF(H511="PPT",VLOOKUP(D511,PRECIOS!$A$4:$F$32,5,FALSE()),0)))),0)</f>
        <v>0</v>
      </c>
      <c r="J511" s="12">
        <f t="shared" si="12"/>
        <v>0</v>
      </c>
      <c r="K511" s="13">
        <f>IFERROR(IF(C511="",0,SUMIFS($F$4:$F$510,$C$4:$C$510,C511,$D$4:$D$510,D511,$E$4:$E$510,E511,$B$4:$B$510,"INGRESO")+SUMIFS($F$4:$F$510,$C$4:$C$510,C511,$D$4:$D$510,D511,$E$4:$E$510,E511,$B$4:$B$510,"DE REPROCESO")+SUMIFS($F$4:$F$510,$C$4:$C$510,C511,$D$4:$D$510,D511,$E$4:$E$510,E511,$B$4:$B$510,"AJUSTE+")-SUMIFS($F$4:$F$510,$C$4:$C$510,C511,$D$4:$D$510,D511,$E$4:$E$510,E511,$B$4:$B$510,"A CORTE")-SUMIFS($F$4:$F$510,$C$4:$C$510,C511,$D$4:$D$510,D511,$E$4:$E$510,E511,$B$4:$B$510,"A REPROCESO")-SUMIFS($F$4:$F$510,$C$4:$C$510,C511,$D$4:$D$510,D511,$E$4:$E$510,E511,$B$4:$B$510,"MUESTRA")-SUMIFS($F$4:$F$510,$C$4:$C$510,C511,$D$4:$D$510,D511,$E$4:$E$510,E511,$B$4:$B$510,"AJUSTE-")),0)</f>
        <v>0</v>
      </c>
      <c r="L511" s="13">
        <f t="shared" si="13"/>
        <v>0</v>
      </c>
      <c r="M511" s="8"/>
      <c r="N511" s="14"/>
      <c r="O511" s="14"/>
      <c r="P511" s="14"/>
      <c r="Q511" s="15"/>
      <c r="R511" s="16" t="str">
        <f t="shared" si="14"/>
        <v/>
      </c>
    </row>
    <row r="512" ht="15.75" customHeight="1">
      <c r="A512" s="7"/>
      <c r="B512" s="8"/>
      <c r="C512" s="8"/>
      <c r="D512" s="8"/>
      <c r="E512" s="8"/>
      <c r="F512" s="9"/>
      <c r="G512" s="10">
        <f>IFERROR(F512*VLOOKUP(D512,TELAS!$A$4:$C$32,3,FALSE()),0)</f>
        <v>0</v>
      </c>
      <c r="H512" s="11" t="str">
        <f>IFERROR(VLOOKUP(E512,COLORES!$A$4:$B$102,2,FALSE()),"")</f>
        <v/>
      </c>
      <c r="I512" s="12">
        <f>IFERROR(IF(H512="OSCURO",VLOOKUP(D512,PRECIOS!$A$4:$F$32,2,FALSE()),IF(H512="CLARO",VLOOKUP(D512,PRECIOS!$A$4:$F$32,3,FALSE()),IF(H512="MELANGE",VLOOKUP(D512,PRECIOS!$A$4:$F$32,4,FALSE()),IF(H512="PPT",VLOOKUP(D512,PRECIOS!$A$4:$F$32,5,FALSE()),0)))),0)</f>
        <v>0</v>
      </c>
      <c r="J512" s="12">
        <f t="shared" si="12"/>
        <v>0</v>
      </c>
      <c r="K512" s="13">
        <f>IFERROR(IF(C512="",0,SUMIFS($F$4:$F$511,$C$4:$C$511,C512,$D$4:$D$511,D512,$E$4:$E$511,E512,$B$4:$B$511,"INGRESO")+SUMIFS($F$4:$F$511,$C$4:$C$511,C512,$D$4:$D$511,D512,$E$4:$E$511,E512,$B$4:$B$511,"DE REPROCESO")+SUMIFS($F$4:$F$511,$C$4:$C$511,C512,$D$4:$D$511,D512,$E$4:$E$511,E512,$B$4:$B$511,"AJUSTE+")-SUMIFS($F$4:$F$511,$C$4:$C$511,C512,$D$4:$D$511,D512,$E$4:$E$511,E512,$B$4:$B$511,"A CORTE")-SUMIFS($F$4:$F$511,$C$4:$C$511,C512,$D$4:$D$511,D512,$E$4:$E$511,E512,$B$4:$B$511,"A REPROCESO")-SUMIFS($F$4:$F$511,$C$4:$C$511,C512,$D$4:$D$511,D512,$E$4:$E$511,E512,$B$4:$B$511,"MUESTRA")-SUMIFS($F$4:$F$511,$C$4:$C$511,C512,$D$4:$D$511,D512,$E$4:$E$511,E512,$B$4:$B$511,"AJUSTE-")),0)</f>
        <v>0</v>
      </c>
      <c r="L512" s="13">
        <f t="shared" si="13"/>
        <v>0</v>
      </c>
      <c r="M512" s="8"/>
      <c r="N512" s="14"/>
      <c r="O512" s="14"/>
      <c r="P512" s="14"/>
      <c r="Q512" s="15"/>
      <c r="R512" s="16" t="str">
        <f t="shared" si="14"/>
        <v/>
      </c>
    </row>
    <row r="513" ht="15.75" customHeight="1">
      <c r="A513" s="7"/>
      <c r="B513" s="8"/>
      <c r="C513" s="8"/>
      <c r="D513" s="8"/>
      <c r="E513" s="8"/>
      <c r="F513" s="9"/>
      <c r="G513" s="10">
        <f>IFERROR(F513*VLOOKUP(D513,TELAS!$A$4:$C$32,3,FALSE()),0)</f>
        <v>0</v>
      </c>
      <c r="H513" s="11" t="str">
        <f>IFERROR(VLOOKUP(E513,COLORES!$A$4:$B$102,2,FALSE()),"")</f>
        <v/>
      </c>
      <c r="I513" s="12">
        <f>IFERROR(IF(H513="OSCURO",VLOOKUP(D513,PRECIOS!$A$4:$F$32,2,FALSE()),IF(H513="CLARO",VLOOKUP(D513,PRECIOS!$A$4:$F$32,3,FALSE()),IF(H513="MELANGE",VLOOKUP(D513,PRECIOS!$A$4:$F$32,4,FALSE()),IF(H513="PPT",VLOOKUP(D513,PRECIOS!$A$4:$F$32,5,FALSE()),0)))),0)</f>
        <v>0</v>
      </c>
      <c r="J513" s="12">
        <f t="shared" si="12"/>
        <v>0</v>
      </c>
      <c r="K513" s="13">
        <f>IFERROR(IF(C513="",0,SUMIFS($F$4:$F$512,$C$4:$C$512,C513,$D$4:$D$512,D513,$E$4:$E$512,E513,$B$4:$B$512,"INGRESO")+SUMIFS($F$4:$F$512,$C$4:$C$512,C513,$D$4:$D$512,D513,$E$4:$E$512,E513,$B$4:$B$512,"DE REPROCESO")+SUMIFS($F$4:$F$512,$C$4:$C$512,C513,$D$4:$D$512,D513,$E$4:$E$512,E513,$B$4:$B$512,"AJUSTE+")-SUMIFS($F$4:$F$512,$C$4:$C$512,C513,$D$4:$D$512,D513,$E$4:$E$512,E513,$B$4:$B$512,"A CORTE")-SUMIFS($F$4:$F$512,$C$4:$C$512,C513,$D$4:$D$512,D513,$E$4:$E$512,E513,$B$4:$B$512,"A REPROCESO")-SUMIFS($F$4:$F$512,$C$4:$C$512,C513,$D$4:$D$512,D513,$E$4:$E$512,E513,$B$4:$B$512,"MUESTRA")-SUMIFS($F$4:$F$512,$C$4:$C$512,C513,$D$4:$D$512,D513,$E$4:$E$512,E513,$B$4:$B$512,"AJUSTE-")),0)</f>
        <v>0</v>
      </c>
      <c r="L513" s="13">
        <f t="shared" si="13"/>
        <v>0</v>
      </c>
      <c r="M513" s="8"/>
      <c r="N513" s="14"/>
      <c r="O513" s="14"/>
      <c r="P513" s="14"/>
      <c r="Q513" s="15"/>
      <c r="R513" s="16" t="str">
        <f t="shared" si="14"/>
        <v/>
      </c>
    </row>
    <row r="514" ht="15.75" customHeight="1">
      <c r="A514" s="7"/>
      <c r="B514" s="8"/>
      <c r="C514" s="8"/>
      <c r="D514" s="8"/>
      <c r="E514" s="8"/>
      <c r="F514" s="9"/>
      <c r="G514" s="10">
        <f>IFERROR(F514*VLOOKUP(D514,TELAS!$A$4:$C$32,3,FALSE()),0)</f>
        <v>0</v>
      </c>
      <c r="H514" s="11" t="str">
        <f>IFERROR(VLOOKUP(E514,COLORES!$A$4:$B$102,2,FALSE()),"")</f>
        <v/>
      </c>
      <c r="I514" s="12">
        <f>IFERROR(IF(H514="OSCURO",VLOOKUP(D514,PRECIOS!$A$4:$F$32,2,FALSE()),IF(H514="CLARO",VLOOKUP(D514,PRECIOS!$A$4:$F$32,3,FALSE()),IF(H514="MELANGE",VLOOKUP(D514,PRECIOS!$A$4:$F$32,4,FALSE()),IF(H514="PPT",VLOOKUP(D514,PRECIOS!$A$4:$F$32,5,FALSE()),0)))),0)</f>
        <v>0</v>
      </c>
      <c r="J514" s="12">
        <f t="shared" si="12"/>
        <v>0</v>
      </c>
      <c r="K514" s="13">
        <f>IFERROR(IF(C514="",0,SUMIFS($F$4:$F$513,$C$4:$C$513,C514,$D$4:$D$513,D514,$E$4:$E$513,E514,$B$4:$B$513,"INGRESO")+SUMIFS($F$4:$F$513,$C$4:$C$513,C514,$D$4:$D$513,D514,$E$4:$E$513,E514,$B$4:$B$513,"DE REPROCESO")+SUMIFS($F$4:$F$513,$C$4:$C$513,C514,$D$4:$D$513,D514,$E$4:$E$513,E514,$B$4:$B$513,"AJUSTE+")-SUMIFS($F$4:$F$513,$C$4:$C$513,C514,$D$4:$D$513,D514,$E$4:$E$513,E514,$B$4:$B$513,"A CORTE")-SUMIFS($F$4:$F$513,$C$4:$C$513,C514,$D$4:$D$513,D514,$E$4:$E$513,E514,$B$4:$B$513,"A REPROCESO")-SUMIFS($F$4:$F$513,$C$4:$C$513,C514,$D$4:$D$513,D514,$E$4:$E$513,E514,$B$4:$B$513,"MUESTRA")-SUMIFS($F$4:$F$513,$C$4:$C$513,C514,$D$4:$D$513,D514,$E$4:$E$513,E514,$B$4:$B$513,"AJUSTE-")),0)</f>
        <v>0</v>
      </c>
      <c r="L514" s="13">
        <f t="shared" si="13"/>
        <v>0</v>
      </c>
      <c r="M514" s="8"/>
      <c r="N514" s="14"/>
      <c r="O514" s="14"/>
      <c r="P514" s="14"/>
      <c r="Q514" s="15"/>
      <c r="R514" s="16" t="str">
        <f t="shared" si="14"/>
        <v/>
      </c>
    </row>
    <row r="515" ht="15.75" customHeight="1">
      <c r="A515" s="7"/>
      <c r="B515" s="8"/>
      <c r="C515" s="8"/>
      <c r="D515" s="8"/>
      <c r="E515" s="8"/>
      <c r="F515" s="9"/>
      <c r="G515" s="10">
        <f>IFERROR(F515*VLOOKUP(D515,TELAS!$A$4:$C$32,3,FALSE()),0)</f>
        <v>0</v>
      </c>
      <c r="H515" s="11" t="str">
        <f>IFERROR(VLOOKUP(E515,COLORES!$A$4:$B$102,2,FALSE()),"")</f>
        <v/>
      </c>
      <c r="I515" s="12">
        <f>IFERROR(IF(H515="OSCURO",VLOOKUP(D515,PRECIOS!$A$4:$F$32,2,FALSE()),IF(H515="CLARO",VLOOKUP(D515,PRECIOS!$A$4:$F$32,3,FALSE()),IF(H515="MELANGE",VLOOKUP(D515,PRECIOS!$A$4:$F$32,4,FALSE()),IF(H515="PPT",VLOOKUP(D515,PRECIOS!$A$4:$F$32,5,FALSE()),0)))),0)</f>
        <v>0</v>
      </c>
      <c r="J515" s="12">
        <f t="shared" si="12"/>
        <v>0</v>
      </c>
      <c r="K515" s="13">
        <f>IFERROR(IF(C515="",0,SUMIFS($F$4:$F$514,$C$4:$C$514,C515,$D$4:$D$514,D515,$E$4:$E$514,E515,$B$4:$B$514,"INGRESO")+SUMIFS($F$4:$F$514,$C$4:$C$514,C515,$D$4:$D$514,D515,$E$4:$E$514,E515,$B$4:$B$514,"DE REPROCESO")+SUMIFS($F$4:$F$514,$C$4:$C$514,C515,$D$4:$D$514,D515,$E$4:$E$514,E515,$B$4:$B$514,"AJUSTE+")-SUMIFS($F$4:$F$514,$C$4:$C$514,C515,$D$4:$D$514,D515,$E$4:$E$514,E515,$B$4:$B$514,"A CORTE")-SUMIFS($F$4:$F$514,$C$4:$C$514,C515,$D$4:$D$514,D515,$E$4:$E$514,E515,$B$4:$B$514,"A REPROCESO")-SUMIFS($F$4:$F$514,$C$4:$C$514,C515,$D$4:$D$514,D515,$E$4:$E$514,E515,$B$4:$B$514,"MUESTRA")-SUMIFS($F$4:$F$514,$C$4:$C$514,C515,$D$4:$D$514,D515,$E$4:$E$514,E515,$B$4:$B$514,"AJUSTE-")),0)</f>
        <v>0</v>
      </c>
      <c r="L515" s="13">
        <f t="shared" si="13"/>
        <v>0</v>
      </c>
      <c r="M515" s="8"/>
      <c r="N515" s="14"/>
      <c r="O515" s="14"/>
      <c r="P515" s="14"/>
      <c r="Q515" s="15"/>
      <c r="R515" s="16" t="str">
        <f t="shared" si="14"/>
        <v/>
      </c>
    </row>
    <row r="516" ht="15.75" customHeight="1">
      <c r="A516" s="7"/>
      <c r="B516" s="8"/>
      <c r="C516" s="8"/>
      <c r="D516" s="8"/>
      <c r="E516" s="8"/>
      <c r="F516" s="9"/>
      <c r="G516" s="10">
        <f>IFERROR(F516*VLOOKUP(D516,TELAS!$A$4:$C$32,3,FALSE()),0)</f>
        <v>0</v>
      </c>
      <c r="H516" s="11" t="str">
        <f>IFERROR(VLOOKUP(E516,COLORES!$A$4:$B$102,2,FALSE()),"")</f>
        <v/>
      </c>
      <c r="I516" s="12">
        <f>IFERROR(IF(H516="OSCURO",VLOOKUP(D516,PRECIOS!$A$4:$F$32,2,FALSE()),IF(H516="CLARO",VLOOKUP(D516,PRECIOS!$A$4:$F$32,3,FALSE()),IF(H516="MELANGE",VLOOKUP(D516,PRECIOS!$A$4:$F$32,4,FALSE()),IF(H516="PPT",VLOOKUP(D516,PRECIOS!$A$4:$F$32,5,FALSE()),0)))),0)</f>
        <v>0</v>
      </c>
      <c r="J516" s="12">
        <f t="shared" si="12"/>
        <v>0</v>
      </c>
      <c r="K516" s="13">
        <f>IFERROR(IF(C516="",0,SUMIFS($F$4:$F$515,$C$4:$C$515,C516,$D$4:$D$515,D516,$E$4:$E$515,E516,$B$4:$B$515,"INGRESO")+SUMIFS($F$4:$F$515,$C$4:$C$515,C516,$D$4:$D$515,D516,$E$4:$E$515,E516,$B$4:$B$515,"DE REPROCESO")+SUMIFS($F$4:$F$515,$C$4:$C$515,C516,$D$4:$D$515,D516,$E$4:$E$515,E516,$B$4:$B$515,"AJUSTE+")-SUMIFS($F$4:$F$515,$C$4:$C$515,C516,$D$4:$D$515,D516,$E$4:$E$515,E516,$B$4:$B$515,"A CORTE")-SUMIFS($F$4:$F$515,$C$4:$C$515,C516,$D$4:$D$515,D516,$E$4:$E$515,E516,$B$4:$B$515,"A REPROCESO")-SUMIFS($F$4:$F$515,$C$4:$C$515,C516,$D$4:$D$515,D516,$E$4:$E$515,E516,$B$4:$B$515,"MUESTRA")-SUMIFS($F$4:$F$515,$C$4:$C$515,C516,$D$4:$D$515,D516,$E$4:$E$515,E516,$B$4:$B$515,"AJUSTE-")),0)</f>
        <v>0</v>
      </c>
      <c r="L516" s="13">
        <f t="shared" si="13"/>
        <v>0</v>
      </c>
      <c r="M516" s="8"/>
      <c r="N516" s="14"/>
      <c r="O516" s="14"/>
      <c r="P516" s="14"/>
      <c r="Q516" s="15"/>
      <c r="R516" s="16" t="str">
        <f t="shared" si="14"/>
        <v/>
      </c>
    </row>
    <row r="517" ht="15.75" customHeight="1">
      <c r="A517" s="7"/>
      <c r="B517" s="8"/>
      <c r="C517" s="8"/>
      <c r="D517" s="8"/>
      <c r="E517" s="8"/>
      <c r="F517" s="9"/>
      <c r="G517" s="10">
        <f>IFERROR(F517*VLOOKUP(D517,TELAS!$A$4:$C$32,3,FALSE()),0)</f>
        <v>0</v>
      </c>
      <c r="H517" s="11" t="str">
        <f>IFERROR(VLOOKUP(E517,COLORES!$A$4:$B$102,2,FALSE()),"")</f>
        <v/>
      </c>
      <c r="I517" s="12">
        <f>IFERROR(IF(H517="OSCURO",VLOOKUP(D517,PRECIOS!$A$4:$F$32,2,FALSE()),IF(H517="CLARO",VLOOKUP(D517,PRECIOS!$A$4:$F$32,3,FALSE()),IF(H517="MELANGE",VLOOKUP(D517,PRECIOS!$A$4:$F$32,4,FALSE()),IF(H517="PPT",VLOOKUP(D517,PRECIOS!$A$4:$F$32,5,FALSE()),0)))),0)</f>
        <v>0</v>
      </c>
      <c r="J517" s="12">
        <f t="shared" si="12"/>
        <v>0</v>
      </c>
      <c r="K517" s="13">
        <f>IFERROR(IF(C517="",0,SUMIFS($F$4:$F$516,$C$4:$C$516,C517,$D$4:$D$516,D517,$E$4:$E$516,E517,$B$4:$B$516,"INGRESO")+SUMIFS($F$4:$F$516,$C$4:$C$516,C517,$D$4:$D$516,D517,$E$4:$E$516,E517,$B$4:$B$516,"DE REPROCESO")+SUMIFS($F$4:$F$516,$C$4:$C$516,C517,$D$4:$D$516,D517,$E$4:$E$516,E517,$B$4:$B$516,"AJUSTE+")-SUMIFS($F$4:$F$516,$C$4:$C$516,C517,$D$4:$D$516,D517,$E$4:$E$516,E517,$B$4:$B$516,"A CORTE")-SUMIFS($F$4:$F$516,$C$4:$C$516,C517,$D$4:$D$516,D517,$E$4:$E$516,E517,$B$4:$B$516,"A REPROCESO")-SUMIFS($F$4:$F$516,$C$4:$C$516,C517,$D$4:$D$516,D517,$E$4:$E$516,E517,$B$4:$B$516,"MUESTRA")-SUMIFS($F$4:$F$516,$C$4:$C$516,C517,$D$4:$D$516,D517,$E$4:$E$516,E517,$B$4:$B$516,"AJUSTE-")),0)</f>
        <v>0</v>
      </c>
      <c r="L517" s="13">
        <f t="shared" si="13"/>
        <v>0</v>
      </c>
      <c r="M517" s="8"/>
      <c r="N517" s="14"/>
      <c r="O517" s="14"/>
      <c r="P517" s="14"/>
      <c r="Q517" s="15"/>
      <c r="R517" s="16" t="str">
        <f t="shared" si="14"/>
        <v/>
      </c>
    </row>
    <row r="518" ht="15.75" customHeight="1">
      <c r="A518" s="7"/>
      <c r="B518" s="8"/>
      <c r="C518" s="8"/>
      <c r="D518" s="8"/>
      <c r="E518" s="8"/>
      <c r="F518" s="9"/>
      <c r="G518" s="10">
        <f>IFERROR(F518*VLOOKUP(D518,TELAS!$A$4:$C$32,3,FALSE()),0)</f>
        <v>0</v>
      </c>
      <c r="H518" s="11" t="str">
        <f>IFERROR(VLOOKUP(E518,COLORES!$A$4:$B$102,2,FALSE()),"")</f>
        <v/>
      </c>
      <c r="I518" s="12">
        <f>IFERROR(IF(H518="OSCURO",VLOOKUP(D518,PRECIOS!$A$4:$F$32,2,FALSE()),IF(H518="CLARO",VLOOKUP(D518,PRECIOS!$A$4:$F$32,3,FALSE()),IF(H518="MELANGE",VLOOKUP(D518,PRECIOS!$A$4:$F$32,4,FALSE()),IF(H518="PPT",VLOOKUP(D518,PRECIOS!$A$4:$F$32,5,FALSE()),0)))),0)</f>
        <v>0</v>
      </c>
      <c r="J518" s="12">
        <f t="shared" si="12"/>
        <v>0</v>
      </c>
      <c r="K518" s="13">
        <f>IFERROR(IF(C518="",0,SUMIFS($F$4:$F$517,$C$4:$C$517,C518,$D$4:$D$517,D518,$E$4:$E$517,E518,$B$4:$B$517,"INGRESO")+SUMIFS($F$4:$F$517,$C$4:$C$517,C518,$D$4:$D$517,D518,$E$4:$E$517,E518,$B$4:$B$517,"DE REPROCESO")+SUMIFS($F$4:$F$517,$C$4:$C$517,C518,$D$4:$D$517,D518,$E$4:$E$517,E518,$B$4:$B$517,"AJUSTE+")-SUMIFS($F$4:$F$517,$C$4:$C$517,C518,$D$4:$D$517,D518,$E$4:$E$517,E518,$B$4:$B$517,"A CORTE")-SUMIFS($F$4:$F$517,$C$4:$C$517,C518,$D$4:$D$517,D518,$E$4:$E$517,E518,$B$4:$B$517,"A REPROCESO")-SUMIFS($F$4:$F$517,$C$4:$C$517,C518,$D$4:$D$517,D518,$E$4:$E$517,E518,$B$4:$B$517,"MUESTRA")-SUMIFS($F$4:$F$517,$C$4:$C$517,C518,$D$4:$D$517,D518,$E$4:$E$517,E518,$B$4:$B$517,"AJUSTE-")),0)</f>
        <v>0</v>
      </c>
      <c r="L518" s="13">
        <f t="shared" si="13"/>
        <v>0</v>
      </c>
      <c r="M518" s="8"/>
      <c r="N518" s="14"/>
      <c r="O518" s="14"/>
      <c r="P518" s="14"/>
      <c r="Q518" s="15"/>
      <c r="R518" s="16" t="str">
        <f t="shared" si="14"/>
        <v/>
      </c>
    </row>
    <row r="519" ht="15.75" customHeight="1">
      <c r="A519" s="7"/>
      <c r="B519" s="8"/>
      <c r="C519" s="8"/>
      <c r="D519" s="8"/>
      <c r="E519" s="8"/>
      <c r="F519" s="9"/>
      <c r="G519" s="10">
        <f>IFERROR(F519*VLOOKUP(D519,TELAS!$A$4:$C$32,3,FALSE()),0)</f>
        <v>0</v>
      </c>
      <c r="H519" s="11" t="str">
        <f>IFERROR(VLOOKUP(E519,COLORES!$A$4:$B$102,2,FALSE()),"")</f>
        <v/>
      </c>
      <c r="I519" s="12">
        <f>IFERROR(IF(H519="OSCURO",VLOOKUP(D519,PRECIOS!$A$4:$F$32,2,FALSE()),IF(H519="CLARO",VLOOKUP(D519,PRECIOS!$A$4:$F$32,3,FALSE()),IF(H519="MELANGE",VLOOKUP(D519,PRECIOS!$A$4:$F$32,4,FALSE()),IF(H519="PPT",VLOOKUP(D519,PRECIOS!$A$4:$F$32,5,FALSE()),0)))),0)</f>
        <v>0</v>
      </c>
      <c r="J519" s="12">
        <f t="shared" si="12"/>
        <v>0</v>
      </c>
      <c r="K519" s="13">
        <f>IFERROR(IF(C519="",0,SUMIFS($F$4:$F$518,$C$4:$C$518,C519,$D$4:$D$518,D519,$E$4:$E$518,E519,$B$4:$B$518,"INGRESO")+SUMIFS($F$4:$F$518,$C$4:$C$518,C519,$D$4:$D$518,D519,$E$4:$E$518,E519,$B$4:$B$518,"DE REPROCESO")+SUMIFS($F$4:$F$518,$C$4:$C$518,C519,$D$4:$D$518,D519,$E$4:$E$518,E519,$B$4:$B$518,"AJUSTE+")-SUMIFS($F$4:$F$518,$C$4:$C$518,C519,$D$4:$D$518,D519,$E$4:$E$518,E519,$B$4:$B$518,"A CORTE")-SUMIFS($F$4:$F$518,$C$4:$C$518,C519,$D$4:$D$518,D519,$E$4:$E$518,E519,$B$4:$B$518,"A REPROCESO")-SUMIFS($F$4:$F$518,$C$4:$C$518,C519,$D$4:$D$518,D519,$E$4:$E$518,E519,$B$4:$B$518,"MUESTRA")-SUMIFS($F$4:$F$518,$C$4:$C$518,C519,$D$4:$D$518,D519,$E$4:$E$518,E519,$B$4:$B$518,"AJUSTE-")),0)</f>
        <v>0</v>
      </c>
      <c r="L519" s="13">
        <f t="shared" si="13"/>
        <v>0</v>
      </c>
      <c r="M519" s="8"/>
      <c r="N519" s="14"/>
      <c r="O519" s="14"/>
      <c r="P519" s="14"/>
      <c r="Q519" s="15"/>
      <c r="R519" s="16" t="str">
        <f t="shared" si="14"/>
        <v/>
      </c>
    </row>
    <row r="520" ht="15.75" customHeight="1">
      <c r="A520" s="7"/>
      <c r="B520" s="8"/>
      <c r="C520" s="8"/>
      <c r="D520" s="8"/>
      <c r="E520" s="8"/>
      <c r="F520" s="9"/>
      <c r="G520" s="10">
        <f>IFERROR(F520*VLOOKUP(D520,TELAS!$A$4:$C$32,3,FALSE()),0)</f>
        <v>0</v>
      </c>
      <c r="H520" s="11" t="str">
        <f>IFERROR(VLOOKUP(E520,COLORES!$A$4:$B$102,2,FALSE()),"")</f>
        <v/>
      </c>
      <c r="I520" s="12">
        <f>IFERROR(IF(H520="OSCURO",VLOOKUP(D520,PRECIOS!$A$4:$F$32,2,FALSE()),IF(H520="CLARO",VLOOKUP(D520,PRECIOS!$A$4:$F$32,3,FALSE()),IF(H520="MELANGE",VLOOKUP(D520,PRECIOS!$A$4:$F$32,4,FALSE()),IF(H520="PPT",VLOOKUP(D520,PRECIOS!$A$4:$F$32,5,FALSE()),0)))),0)</f>
        <v>0</v>
      </c>
      <c r="J520" s="12">
        <f t="shared" si="12"/>
        <v>0</v>
      </c>
      <c r="K520" s="13">
        <f>IFERROR(IF(C520="",0,SUMIFS($F$4:$F$519,$C$4:$C$519,C520,$D$4:$D$519,D520,$E$4:$E$519,E520,$B$4:$B$519,"INGRESO")+SUMIFS($F$4:$F$519,$C$4:$C$519,C520,$D$4:$D$519,D520,$E$4:$E$519,E520,$B$4:$B$519,"DE REPROCESO")+SUMIFS($F$4:$F$519,$C$4:$C$519,C520,$D$4:$D$519,D520,$E$4:$E$519,E520,$B$4:$B$519,"AJUSTE+")-SUMIFS($F$4:$F$519,$C$4:$C$519,C520,$D$4:$D$519,D520,$E$4:$E$519,E520,$B$4:$B$519,"A CORTE")-SUMIFS($F$4:$F$519,$C$4:$C$519,C520,$D$4:$D$519,D520,$E$4:$E$519,E520,$B$4:$B$519,"A REPROCESO")-SUMIFS($F$4:$F$519,$C$4:$C$519,C520,$D$4:$D$519,D520,$E$4:$E$519,E520,$B$4:$B$519,"MUESTRA")-SUMIFS($F$4:$F$519,$C$4:$C$519,C520,$D$4:$D$519,D520,$E$4:$E$519,E520,$B$4:$B$519,"AJUSTE-")),0)</f>
        <v>0</v>
      </c>
      <c r="L520" s="13">
        <f t="shared" si="13"/>
        <v>0</v>
      </c>
      <c r="M520" s="8"/>
      <c r="N520" s="14"/>
      <c r="O520" s="14"/>
      <c r="P520" s="14"/>
      <c r="Q520" s="15"/>
      <c r="R520" s="16" t="str">
        <f t="shared" si="14"/>
        <v/>
      </c>
    </row>
    <row r="521" ht="15.75" customHeight="1">
      <c r="A521" s="7"/>
      <c r="B521" s="8"/>
      <c r="C521" s="8"/>
      <c r="D521" s="8"/>
      <c r="E521" s="8"/>
      <c r="F521" s="9"/>
      <c r="G521" s="10">
        <f>IFERROR(F521*VLOOKUP(D521,TELAS!$A$4:$C$32,3,FALSE()),0)</f>
        <v>0</v>
      </c>
      <c r="H521" s="11" t="str">
        <f>IFERROR(VLOOKUP(E521,COLORES!$A$4:$B$102,2,FALSE()),"")</f>
        <v/>
      </c>
      <c r="I521" s="12">
        <f>IFERROR(IF(H521="OSCURO",VLOOKUP(D521,PRECIOS!$A$4:$F$32,2,FALSE()),IF(H521="CLARO",VLOOKUP(D521,PRECIOS!$A$4:$F$32,3,FALSE()),IF(H521="MELANGE",VLOOKUP(D521,PRECIOS!$A$4:$F$32,4,FALSE()),IF(H521="PPT",VLOOKUP(D521,PRECIOS!$A$4:$F$32,5,FALSE()),0)))),0)</f>
        <v>0</v>
      </c>
      <c r="J521" s="12">
        <f t="shared" si="12"/>
        <v>0</v>
      </c>
      <c r="K521" s="13">
        <f>IFERROR(IF(C521="",0,SUMIFS($F$4:$F$520,$C$4:$C$520,C521,$D$4:$D$520,D521,$E$4:$E$520,E521,$B$4:$B$520,"INGRESO")+SUMIFS($F$4:$F$520,$C$4:$C$520,C521,$D$4:$D$520,D521,$E$4:$E$520,E521,$B$4:$B$520,"DE REPROCESO")+SUMIFS($F$4:$F$520,$C$4:$C$520,C521,$D$4:$D$520,D521,$E$4:$E$520,E521,$B$4:$B$520,"AJUSTE+")-SUMIFS($F$4:$F$520,$C$4:$C$520,C521,$D$4:$D$520,D521,$E$4:$E$520,E521,$B$4:$B$520,"A CORTE")-SUMIFS($F$4:$F$520,$C$4:$C$520,C521,$D$4:$D$520,D521,$E$4:$E$520,E521,$B$4:$B$520,"A REPROCESO")-SUMIFS($F$4:$F$520,$C$4:$C$520,C521,$D$4:$D$520,D521,$E$4:$E$520,E521,$B$4:$B$520,"MUESTRA")-SUMIFS($F$4:$F$520,$C$4:$C$520,C521,$D$4:$D$520,D521,$E$4:$E$520,E521,$B$4:$B$520,"AJUSTE-")),0)</f>
        <v>0</v>
      </c>
      <c r="L521" s="13">
        <f t="shared" si="13"/>
        <v>0</v>
      </c>
      <c r="M521" s="8"/>
      <c r="N521" s="14"/>
      <c r="O521" s="14"/>
      <c r="P521" s="14"/>
      <c r="Q521" s="15"/>
      <c r="R521" s="16" t="str">
        <f t="shared" si="14"/>
        <v/>
      </c>
    </row>
    <row r="522" ht="15.75" customHeight="1">
      <c r="A522" s="7"/>
      <c r="B522" s="8"/>
      <c r="C522" s="8"/>
      <c r="D522" s="8"/>
      <c r="E522" s="8"/>
      <c r="F522" s="9"/>
      <c r="G522" s="10">
        <f>IFERROR(F522*VLOOKUP(D522,TELAS!$A$4:$C$32,3,FALSE()),0)</f>
        <v>0</v>
      </c>
      <c r="H522" s="11" t="str">
        <f>IFERROR(VLOOKUP(E522,COLORES!$A$4:$B$102,2,FALSE()),"")</f>
        <v/>
      </c>
      <c r="I522" s="12">
        <f>IFERROR(IF(H522="OSCURO",VLOOKUP(D522,PRECIOS!$A$4:$F$32,2,FALSE()),IF(H522="CLARO",VLOOKUP(D522,PRECIOS!$A$4:$F$32,3,FALSE()),IF(H522="MELANGE",VLOOKUP(D522,PRECIOS!$A$4:$F$32,4,FALSE()),IF(H522="PPT",VLOOKUP(D522,PRECIOS!$A$4:$F$32,5,FALSE()),0)))),0)</f>
        <v>0</v>
      </c>
      <c r="J522" s="12">
        <f t="shared" si="12"/>
        <v>0</v>
      </c>
      <c r="K522" s="13">
        <f>IFERROR(IF(C522="",0,SUMIFS($F$4:$F$521,$C$4:$C$521,C522,$D$4:$D$521,D522,$E$4:$E$521,E522,$B$4:$B$521,"INGRESO")+SUMIFS($F$4:$F$521,$C$4:$C$521,C522,$D$4:$D$521,D522,$E$4:$E$521,E522,$B$4:$B$521,"DE REPROCESO")+SUMIFS($F$4:$F$521,$C$4:$C$521,C522,$D$4:$D$521,D522,$E$4:$E$521,E522,$B$4:$B$521,"AJUSTE+")-SUMIFS($F$4:$F$521,$C$4:$C$521,C522,$D$4:$D$521,D522,$E$4:$E$521,E522,$B$4:$B$521,"A CORTE")-SUMIFS($F$4:$F$521,$C$4:$C$521,C522,$D$4:$D$521,D522,$E$4:$E$521,E522,$B$4:$B$521,"A REPROCESO")-SUMIFS($F$4:$F$521,$C$4:$C$521,C522,$D$4:$D$521,D522,$E$4:$E$521,E522,$B$4:$B$521,"MUESTRA")-SUMIFS($F$4:$F$521,$C$4:$C$521,C522,$D$4:$D$521,D522,$E$4:$E$521,E522,$B$4:$B$521,"AJUSTE-")),0)</f>
        <v>0</v>
      </c>
      <c r="L522" s="13">
        <f t="shared" si="13"/>
        <v>0</v>
      </c>
      <c r="M522" s="8"/>
      <c r="N522" s="14"/>
      <c r="O522" s="14"/>
      <c r="P522" s="14"/>
      <c r="Q522" s="15"/>
      <c r="R522" s="16" t="str">
        <f t="shared" si="14"/>
        <v/>
      </c>
    </row>
    <row r="523" ht="15.75" customHeight="1">
      <c r="A523" s="7"/>
      <c r="B523" s="8"/>
      <c r="C523" s="8"/>
      <c r="D523" s="8"/>
      <c r="E523" s="8"/>
      <c r="F523" s="9"/>
      <c r="G523" s="10">
        <f>IFERROR(F523*VLOOKUP(D523,TELAS!$A$4:$C$32,3,FALSE()),0)</f>
        <v>0</v>
      </c>
      <c r="H523" s="11" t="str">
        <f>IFERROR(VLOOKUP(E523,COLORES!$A$4:$B$102,2,FALSE()),"")</f>
        <v/>
      </c>
      <c r="I523" s="12">
        <f>IFERROR(IF(H523="OSCURO",VLOOKUP(D523,PRECIOS!$A$4:$F$32,2,FALSE()),IF(H523="CLARO",VLOOKUP(D523,PRECIOS!$A$4:$F$32,3,FALSE()),IF(H523="MELANGE",VLOOKUP(D523,PRECIOS!$A$4:$F$32,4,FALSE()),IF(H523="PPT",VLOOKUP(D523,PRECIOS!$A$4:$F$32,5,FALSE()),0)))),0)</f>
        <v>0</v>
      </c>
      <c r="J523" s="12">
        <f t="shared" si="12"/>
        <v>0</v>
      </c>
      <c r="K523" s="13">
        <f>IFERROR(IF(C523="",0,SUMIFS($F$4:$F$522,$C$4:$C$522,C523,$D$4:$D$522,D523,$E$4:$E$522,E523,$B$4:$B$522,"INGRESO")+SUMIFS($F$4:$F$522,$C$4:$C$522,C523,$D$4:$D$522,D523,$E$4:$E$522,E523,$B$4:$B$522,"DE REPROCESO")+SUMIFS($F$4:$F$522,$C$4:$C$522,C523,$D$4:$D$522,D523,$E$4:$E$522,E523,$B$4:$B$522,"AJUSTE+")-SUMIFS($F$4:$F$522,$C$4:$C$522,C523,$D$4:$D$522,D523,$E$4:$E$522,E523,$B$4:$B$522,"A CORTE")-SUMIFS($F$4:$F$522,$C$4:$C$522,C523,$D$4:$D$522,D523,$E$4:$E$522,E523,$B$4:$B$522,"A REPROCESO")-SUMIFS($F$4:$F$522,$C$4:$C$522,C523,$D$4:$D$522,D523,$E$4:$E$522,E523,$B$4:$B$522,"MUESTRA")-SUMIFS($F$4:$F$522,$C$4:$C$522,C523,$D$4:$D$522,D523,$E$4:$E$522,E523,$B$4:$B$522,"AJUSTE-")),0)</f>
        <v>0</v>
      </c>
      <c r="L523" s="13">
        <f t="shared" si="13"/>
        <v>0</v>
      </c>
      <c r="M523" s="8"/>
      <c r="N523" s="14"/>
      <c r="O523" s="14"/>
      <c r="P523" s="14"/>
      <c r="Q523" s="15"/>
      <c r="R523" s="16" t="str">
        <f t="shared" si="14"/>
        <v/>
      </c>
    </row>
    <row r="524" ht="15.75" customHeight="1">
      <c r="A524" s="7"/>
      <c r="B524" s="8"/>
      <c r="C524" s="8"/>
      <c r="D524" s="8"/>
      <c r="E524" s="8"/>
      <c r="F524" s="9"/>
      <c r="G524" s="10">
        <f>IFERROR(F524*VLOOKUP(D524,TELAS!$A$4:$C$32,3,FALSE()),0)</f>
        <v>0</v>
      </c>
      <c r="H524" s="11" t="str">
        <f>IFERROR(VLOOKUP(E524,COLORES!$A$4:$B$102,2,FALSE()),"")</f>
        <v/>
      </c>
      <c r="I524" s="12">
        <f>IFERROR(IF(H524="OSCURO",VLOOKUP(D524,PRECIOS!$A$4:$F$32,2,FALSE()),IF(H524="CLARO",VLOOKUP(D524,PRECIOS!$A$4:$F$32,3,FALSE()),IF(H524="MELANGE",VLOOKUP(D524,PRECIOS!$A$4:$F$32,4,FALSE()),IF(H524="PPT",VLOOKUP(D524,PRECIOS!$A$4:$F$32,5,FALSE()),0)))),0)</f>
        <v>0</v>
      </c>
      <c r="J524" s="12">
        <f t="shared" si="12"/>
        <v>0</v>
      </c>
      <c r="K524" s="13">
        <f>IFERROR(IF(C524="",0,SUMIFS($F$4:$F$523,$C$4:$C$523,C524,$D$4:$D$523,D524,$E$4:$E$523,E524,$B$4:$B$523,"INGRESO")+SUMIFS($F$4:$F$523,$C$4:$C$523,C524,$D$4:$D$523,D524,$E$4:$E$523,E524,$B$4:$B$523,"DE REPROCESO")+SUMIFS($F$4:$F$523,$C$4:$C$523,C524,$D$4:$D$523,D524,$E$4:$E$523,E524,$B$4:$B$523,"AJUSTE+")-SUMIFS($F$4:$F$523,$C$4:$C$523,C524,$D$4:$D$523,D524,$E$4:$E$523,E524,$B$4:$B$523,"A CORTE")-SUMIFS($F$4:$F$523,$C$4:$C$523,C524,$D$4:$D$523,D524,$E$4:$E$523,E524,$B$4:$B$523,"A REPROCESO")-SUMIFS($F$4:$F$523,$C$4:$C$523,C524,$D$4:$D$523,D524,$E$4:$E$523,E524,$B$4:$B$523,"MUESTRA")-SUMIFS($F$4:$F$523,$C$4:$C$523,C524,$D$4:$D$523,D524,$E$4:$E$523,E524,$B$4:$B$523,"AJUSTE-")),0)</f>
        <v>0</v>
      </c>
      <c r="L524" s="13">
        <f t="shared" si="13"/>
        <v>0</v>
      </c>
      <c r="M524" s="8"/>
      <c r="N524" s="14"/>
      <c r="O524" s="14"/>
      <c r="P524" s="14"/>
      <c r="Q524" s="15"/>
      <c r="R524" s="16" t="str">
        <f t="shared" si="14"/>
        <v/>
      </c>
    </row>
    <row r="525" ht="15.75" customHeight="1">
      <c r="A525" s="7"/>
      <c r="B525" s="8"/>
      <c r="C525" s="8"/>
      <c r="D525" s="8"/>
      <c r="E525" s="8"/>
      <c r="F525" s="9"/>
      <c r="G525" s="10">
        <f>IFERROR(F525*VLOOKUP(D525,TELAS!$A$4:$C$32,3,FALSE()),0)</f>
        <v>0</v>
      </c>
      <c r="H525" s="11" t="str">
        <f>IFERROR(VLOOKUP(E525,COLORES!$A$4:$B$102,2,FALSE()),"")</f>
        <v/>
      </c>
      <c r="I525" s="12">
        <f>IFERROR(IF(H525="OSCURO",VLOOKUP(D525,PRECIOS!$A$4:$F$32,2,FALSE()),IF(H525="CLARO",VLOOKUP(D525,PRECIOS!$A$4:$F$32,3,FALSE()),IF(H525="MELANGE",VLOOKUP(D525,PRECIOS!$A$4:$F$32,4,FALSE()),IF(H525="PPT",VLOOKUP(D525,PRECIOS!$A$4:$F$32,5,FALSE()),0)))),0)</f>
        <v>0</v>
      </c>
      <c r="J525" s="12">
        <f t="shared" si="12"/>
        <v>0</v>
      </c>
      <c r="K525" s="13">
        <f>IFERROR(IF(C525="",0,SUMIFS($F$4:$F$524,$C$4:$C$524,C525,$D$4:$D$524,D525,$E$4:$E$524,E525,$B$4:$B$524,"INGRESO")+SUMIFS($F$4:$F$524,$C$4:$C$524,C525,$D$4:$D$524,D525,$E$4:$E$524,E525,$B$4:$B$524,"DE REPROCESO")+SUMIFS($F$4:$F$524,$C$4:$C$524,C525,$D$4:$D$524,D525,$E$4:$E$524,E525,$B$4:$B$524,"AJUSTE+")-SUMIFS($F$4:$F$524,$C$4:$C$524,C525,$D$4:$D$524,D525,$E$4:$E$524,E525,$B$4:$B$524,"A CORTE")-SUMIFS($F$4:$F$524,$C$4:$C$524,C525,$D$4:$D$524,D525,$E$4:$E$524,E525,$B$4:$B$524,"A REPROCESO")-SUMIFS($F$4:$F$524,$C$4:$C$524,C525,$D$4:$D$524,D525,$E$4:$E$524,E525,$B$4:$B$524,"MUESTRA")-SUMIFS($F$4:$F$524,$C$4:$C$524,C525,$D$4:$D$524,D525,$E$4:$E$524,E525,$B$4:$B$524,"AJUSTE-")),0)</f>
        <v>0</v>
      </c>
      <c r="L525" s="13">
        <f t="shared" si="13"/>
        <v>0</v>
      </c>
      <c r="M525" s="8"/>
      <c r="N525" s="14"/>
      <c r="O525" s="14"/>
      <c r="P525" s="14"/>
      <c r="Q525" s="15"/>
      <c r="R525" s="16" t="str">
        <f t="shared" si="14"/>
        <v/>
      </c>
    </row>
    <row r="526" ht="15.75" customHeight="1">
      <c r="A526" s="7"/>
      <c r="B526" s="8"/>
      <c r="C526" s="8"/>
      <c r="D526" s="8"/>
      <c r="E526" s="8"/>
      <c r="F526" s="9"/>
      <c r="G526" s="10">
        <f>IFERROR(F526*VLOOKUP(D526,TELAS!$A$4:$C$32,3,FALSE()),0)</f>
        <v>0</v>
      </c>
      <c r="H526" s="11" t="str">
        <f>IFERROR(VLOOKUP(E526,COLORES!$A$4:$B$102,2,FALSE()),"")</f>
        <v/>
      </c>
      <c r="I526" s="12">
        <f>IFERROR(IF(H526="OSCURO",VLOOKUP(D526,PRECIOS!$A$4:$F$32,2,FALSE()),IF(H526="CLARO",VLOOKUP(D526,PRECIOS!$A$4:$F$32,3,FALSE()),IF(H526="MELANGE",VLOOKUP(D526,PRECIOS!$A$4:$F$32,4,FALSE()),IF(H526="PPT",VLOOKUP(D526,PRECIOS!$A$4:$F$32,5,FALSE()),0)))),0)</f>
        <v>0</v>
      </c>
      <c r="J526" s="12">
        <f t="shared" si="12"/>
        <v>0</v>
      </c>
      <c r="K526" s="13">
        <f>IFERROR(IF(C526="",0,SUMIFS($F$4:$F$525,$C$4:$C$525,C526,$D$4:$D$525,D526,$E$4:$E$525,E526,$B$4:$B$525,"INGRESO")+SUMIFS($F$4:$F$525,$C$4:$C$525,C526,$D$4:$D$525,D526,$E$4:$E$525,E526,$B$4:$B$525,"DE REPROCESO")+SUMIFS($F$4:$F$525,$C$4:$C$525,C526,$D$4:$D$525,D526,$E$4:$E$525,E526,$B$4:$B$525,"AJUSTE+")-SUMIFS($F$4:$F$525,$C$4:$C$525,C526,$D$4:$D$525,D526,$E$4:$E$525,E526,$B$4:$B$525,"A CORTE")-SUMIFS($F$4:$F$525,$C$4:$C$525,C526,$D$4:$D$525,D526,$E$4:$E$525,E526,$B$4:$B$525,"A REPROCESO")-SUMIFS($F$4:$F$525,$C$4:$C$525,C526,$D$4:$D$525,D526,$E$4:$E$525,E526,$B$4:$B$525,"MUESTRA")-SUMIFS($F$4:$F$525,$C$4:$C$525,C526,$D$4:$D$525,D526,$E$4:$E$525,E526,$B$4:$B$525,"AJUSTE-")),0)</f>
        <v>0</v>
      </c>
      <c r="L526" s="13">
        <f t="shared" si="13"/>
        <v>0</v>
      </c>
      <c r="M526" s="8"/>
      <c r="N526" s="14"/>
      <c r="O526" s="14"/>
      <c r="P526" s="14"/>
      <c r="Q526" s="15"/>
      <c r="R526" s="16" t="str">
        <f t="shared" si="14"/>
        <v/>
      </c>
    </row>
    <row r="527" ht="15.75" customHeight="1">
      <c r="A527" s="7"/>
      <c r="B527" s="8"/>
      <c r="C527" s="8"/>
      <c r="D527" s="8"/>
      <c r="E527" s="8"/>
      <c r="F527" s="9"/>
      <c r="G527" s="10">
        <f>IFERROR(F527*VLOOKUP(D527,TELAS!$A$4:$C$32,3,FALSE()),0)</f>
        <v>0</v>
      </c>
      <c r="H527" s="11" t="str">
        <f>IFERROR(VLOOKUP(E527,COLORES!$A$4:$B$102,2,FALSE()),"")</f>
        <v/>
      </c>
      <c r="I527" s="12">
        <f>IFERROR(IF(H527="OSCURO",VLOOKUP(D527,PRECIOS!$A$4:$F$32,2,FALSE()),IF(H527="CLARO",VLOOKUP(D527,PRECIOS!$A$4:$F$32,3,FALSE()),IF(H527="MELANGE",VLOOKUP(D527,PRECIOS!$A$4:$F$32,4,FALSE()),IF(H527="PPT",VLOOKUP(D527,PRECIOS!$A$4:$F$32,5,FALSE()),0)))),0)</f>
        <v>0</v>
      </c>
      <c r="J527" s="12">
        <f t="shared" si="12"/>
        <v>0</v>
      </c>
      <c r="K527" s="13">
        <f>IFERROR(IF(C527="",0,SUMIFS($F$4:$F$526,$C$4:$C$526,C527,$D$4:$D$526,D527,$E$4:$E$526,E527,$B$4:$B$526,"INGRESO")+SUMIFS($F$4:$F$526,$C$4:$C$526,C527,$D$4:$D$526,D527,$E$4:$E$526,E527,$B$4:$B$526,"DE REPROCESO")+SUMIFS($F$4:$F$526,$C$4:$C$526,C527,$D$4:$D$526,D527,$E$4:$E$526,E527,$B$4:$B$526,"AJUSTE+")-SUMIFS($F$4:$F$526,$C$4:$C$526,C527,$D$4:$D$526,D527,$E$4:$E$526,E527,$B$4:$B$526,"A CORTE")-SUMIFS($F$4:$F$526,$C$4:$C$526,C527,$D$4:$D$526,D527,$E$4:$E$526,E527,$B$4:$B$526,"A REPROCESO")-SUMIFS($F$4:$F$526,$C$4:$C$526,C527,$D$4:$D$526,D527,$E$4:$E$526,E527,$B$4:$B$526,"MUESTRA")-SUMIFS($F$4:$F$526,$C$4:$C$526,C527,$D$4:$D$526,D527,$E$4:$E$526,E527,$B$4:$B$526,"AJUSTE-")),0)</f>
        <v>0</v>
      </c>
      <c r="L527" s="13">
        <f t="shared" si="13"/>
        <v>0</v>
      </c>
      <c r="M527" s="8"/>
      <c r="N527" s="14"/>
      <c r="O527" s="14"/>
      <c r="P527" s="14"/>
      <c r="Q527" s="15"/>
      <c r="R527" s="16" t="str">
        <f t="shared" si="14"/>
        <v/>
      </c>
    </row>
    <row r="528" ht="15.75" customHeight="1">
      <c r="A528" s="7"/>
      <c r="B528" s="8"/>
      <c r="C528" s="8"/>
      <c r="D528" s="8"/>
      <c r="E528" s="8"/>
      <c r="F528" s="9"/>
      <c r="G528" s="10">
        <f>IFERROR(F528*VLOOKUP(D528,TELAS!$A$4:$C$32,3,FALSE()),0)</f>
        <v>0</v>
      </c>
      <c r="H528" s="11" t="str">
        <f>IFERROR(VLOOKUP(E528,COLORES!$A$4:$B$102,2,FALSE()),"")</f>
        <v/>
      </c>
      <c r="I528" s="12">
        <f>IFERROR(IF(H528="OSCURO",VLOOKUP(D528,PRECIOS!$A$4:$F$32,2,FALSE()),IF(H528="CLARO",VLOOKUP(D528,PRECIOS!$A$4:$F$32,3,FALSE()),IF(H528="MELANGE",VLOOKUP(D528,PRECIOS!$A$4:$F$32,4,FALSE()),IF(H528="PPT",VLOOKUP(D528,PRECIOS!$A$4:$F$32,5,FALSE()),0)))),0)</f>
        <v>0</v>
      </c>
      <c r="J528" s="12">
        <f t="shared" si="12"/>
        <v>0</v>
      </c>
      <c r="K528" s="13">
        <f>IFERROR(IF(C528="",0,SUMIFS($F$4:$F$527,$C$4:$C$527,C528,$D$4:$D$527,D528,$E$4:$E$527,E528,$B$4:$B$527,"INGRESO")+SUMIFS($F$4:$F$527,$C$4:$C$527,C528,$D$4:$D$527,D528,$E$4:$E$527,E528,$B$4:$B$527,"DE REPROCESO")+SUMIFS($F$4:$F$527,$C$4:$C$527,C528,$D$4:$D$527,D528,$E$4:$E$527,E528,$B$4:$B$527,"AJUSTE+")-SUMIFS($F$4:$F$527,$C$4:$C$527,C528,$D$4:$D$527,D528,$E$4:$E$527,E528,$B$4:$B$527,"A CORTE")-SUMIFS($F$4:$F$527,$C$4:$C$527,C528,$D$4:$D$527,D528,$E$4:$E$527,E528,$B$4:$B$527,"A REPROCESO")-SUMIFS($F$4:$F$527,$C$4:$C$527,C528,$D$4:$D$527,D528,$E$4:$E$527,E528,$B$4:$B$527,"MUESTRA")-SUMIFS($F$4:$F$527,$C$4:$C$527,C528,$D$4:$D$527,D528,$E$4:$E$527,E528,$B$4:$B$527,"AJUSTE-")),0)</f>
        <v>0</v>
      </c>
      <c r="L528" s="13">
        <f t="shared" si="13"/>
        <v>0</v>
      </c>
      <c r="M528" s="8"/>
      <c r="N528" s="14"/>
      <c r="O528" s="14"/>
      <c r="P528" s="14"/>
      <c r="Q528" s="15"/>
      <c r="R528" s="16" t="str">
        <f t="shared" si="14"/>
        <v/>
      </c>
    </row>
    <row r="529" ht="15.75" customHeight="1">
      <c r="A529" s="7"/>
      <c r="B529" s="8"/>
      <c r="C529" s="8"/>
      <c r="D529" s="8"/>
      <c r="E529" s="8"/>
      <c r="F529" s="9"/>
      <c r="G529" s="10">
        <f>IFERROR(F529*VLOOKUP(D529,TELAS!$A$4:$C$32,3,FALSE()),0)</f>
        <v>0</v>
      </c>
      <c r="H529" s="11" t="str">
        <f>IFERROR(VLOOKUP(E529,COLORES!$A$4:$B$102,2,FALSE()),"")</f>
        <v/>
      </c>
      <c r="I529" s="12">
        <f>IFERROR(IF(H529="OSCURO",VLOOKUP(D529,PRECIOS!$A$4:$F$32,2,FALSE()),IF(H529="CLARO",VLOOKUP(D529,PRECIOS!$A$4:$F$32,3,FALSE()),IF(H529="MELANGE",VLOOKUP(D529,PRECIOS!$A$4:$F$32,4,FALSE()),IF(H529="PPT",VLOOKUP(D529,PRECIOS!$A$4:$F$32,5,FALSE()),0)))),0)</f>
        <v>0</v>
      </c>
      <c r="J529" s="12">
        <f t="shared" si="12"/>
        <v>0</v>
      </c>
      <c r="K529" s="13">
        <f>IFERROR(IF(C529="",0,SUMIFS($F$4:$F$528,$C$4:$C$528,C529,$D$4:$D$528,D529,$E$4:$E$528,E529,$B$4:$B$528,"INGRESO")+SUMIFS($F$4:$F$528,$C$4:$C$528,C529,$D$4:$D$528,D529,$E$4:$E$528,E529,$B$4:$B$528,"DE REPROCESO")+SUMIFS($F$4:$F$528,$C$4:$C$528,C529,$D$4:$D$528,D529,$E$4:$E$528,E529,$B$4:$B$528,"AJUSTE+")-SUMIFS($F$4:$F$528,$C$4:$C$528,C529,$D$4:$D$528,D529,$E$4:$E$528,E529,$B$4:$B$528,"A CORTE")-SUMIFS($F$4:$F$528,$C$4:$C$528,C529,$D$4:$D$528,D529,$E$4:$E$528,E529,$B$4:$B$528,"A REPROCESO")-SUMIFS($F$4:$F$528,$C$4:$C$528,C529,$D$4:$D$528,D529,$E$4:$E$528,E529,$B$4:$B$528,"MUESTRA")-SUMIFS($F$4:$F$528,$C$4:$C$528,C529,$D$4:$D$528,D529,$E$4:$E$528,E529,$B$4:$B$528,"AJUSTE-")),0)</f>
        <v>0</v>
      </c>
      <c r="L529" s="13">
        <f t="shared" si="13"/>
        <v>0</v>
      </c>
      <c r="M529" s="8"/>
      <c r="N529" s="14"/>
      <c r="O529" s="14"/>
      <c r="P529" s="14"/>
      <c r="Q529" s="15"/>
      <c r="R529" s="16" t="str">
        <f t="shared" si="14"/>
        <v/>
      </c>
    </row>
    <row r="530" ht="15.75" customHeight="1">
      <c r="A530" s="7"/>
      <c r="B530" s="8"/>
      <c r="C530" s="8"/>
      <c r="D530" s="8"/>
      <c r="E530" s="8"/>
      <c r="F530" s="9"/>
      <c r="G530" s="10">
        <f>IFERROR(F530*VLOOKUP(D530,TELAS!$A$4:$C$32,3,FALSE()),0)</f>
        <v>0</v>
      </c>
      <c r="H530" s="11" t="str">
        <f>IFERROR(VLOOKUP(E530,COLORES!$A$4:$B$102,2,FALSE()),"")</f>
        <v/>
      </c>
      <c r="I530" s="12">
        <f>IFERROR(IF(H530="OSCURO",VLOOKUP(D530,PRECIOS!$A$4:$F$32,2,FALSE()),IF(H530="CLARO",VLOOKUP(D530,PRECIOS!$A$4:$F$32,3,FALSE()),IF(H530="MELANGE",VLOOKUP(D530,PRECIOS!$A$4:$F$32,4,FALSE()),IF(H530="PPT",VLOOKUP(D530,PRECIOS!$A$4:$F$32,5,FALSE()),0)))),0)</f>
        <v>0</v>
      </c>
      <c r="J530" s="12">
        <f t="shared" si="12"/>
        <v>0</v>
      </c>
      <c r="K530" s="13">
        <f>IFERROR(IF(C530="",0,SUMIFS($F$4:$F$529,$C$4:$C$529,C530,$D$4:$D$529,D530,$E$4:$E$529,E530,$B$4:$B$529,"INGRESO")+SUMIFS($F$4:$F$529,$C$4:$C$529,C530,$D$4:$D$529,D530,$E$4:$E$529,E530,$B$4:$B$529,"DE REPROCESO")+SUMIFS($F$4:$F$529,$C$4:$C$529,C530,$D$4:$D$529,D530,$E$4:$E$529,E530,$B$4:$B$529,"AJUSTE+")-SUMIFS($F$4:$F$529,$C$4:$C$529,C530,$D$4:$D$529,D530,$E$4:$E$529,E530,$B$4:$B$529,"A CORTE")-SUMIFS($F$4:$F$529,$C$4:$C$529,C530,$D$4:$D$529,D530,$E$4:$E$529,E530,$B$4:$B$529,"A REPROCESO")-SUMIFS($F$4:$F$529,$C$4:$C$529,C530,$D$4:$D$529,D530,$E$4:$E$529,E530,$B$4:$B$529,"MUESTRA")-SUMIFS($F$4:$F$529,$C$4:$C$529,C530,$D$4:$D$529,D530,$E$4:$E$529,E530,$B$4:$B$529,"AJUSTE-")),0)</f>
        <v>0</v>
      </c>
      <c r="L530" s="13">
        <f t="shared" si="13"/>
        <v>0</v>
      </c>
      <c r="M530" s="8"/>
      <c r="N530" s="14"/>
      <c r="O530" s="14"/>
      <c r="P530" s="14"/>
      <c r="Q530" s="15"/>
      <c r="R530" s="16" t="str">
        <f t="shared" si="14"/>
        <v/>
      </c>
    </row>
    <row r="531" ht="15.75" customHeight="1">
      <c r="A531" s="7"/>
      <c r="B531" s="8"/>
      <c r="C531" s="8"/>
      <c r="D531" s="8"/>
      <c r="E531" s="8"/>
      <c r="F531" s="9"/>
      <c r="G531" s="10">
        <f>IFERROR(F531*VLOOKUP(D531,TELAS!$A$4:$C$32,3,FALSE()),0)</f>
        <v>0</v>
      </c>
      <c r="H531" s="11" t="str">
        <f>IFERROR(VLOOKUP(E531,COLORES!$A$4:$B$102,2,FALSE()),"")</f>
        <v/>
      </c>
      <c r="I531" s="12">
        <f>IFERROR(IF(H531="OSCURO",VLOOKUP(D531,PRECIOS!$A$4:$F$32,2,FALSE()),IF(H531="CLARO",VLOOKUP(D531,PRECIOS!$A$4:$F$32,3,FALSE()),IF(H531="MELANGE",VLOOKUP(D531,PRECIOS!$A$4:$F$32,4,FALSE()),IF(H531="PPT",VLOOKUP(D531,PRECIOS!$A$4:$F$32,5,FALSE()),0)))),0)</f>
        <v>0</v>
      </c>
      <c r="J531" s="12">
        <f t="shared" si="12"/>
        <v>0</v>
      </c>
      <c r="K531" s="13">
        <f>IFERROR(IF(C531="",0,SUMIFS($F$4:$F$530,$C$4:$C$530,C531,$D$4:$D$530,D531,$E$4:$E$530,E531,$B$4:$B$530,"INGRESO")+SUMIFS($F$4:$F$530,$C$4:$C$530,C531,$D$4:$D$530,D531,$E$4:$E$530,E531,$B$4:$B$530,"DE REPROCESO")+SUMIFS($F$4:$F$530,$C$4:$C$530,C531,$D$4:$D$530,D531,$E$4:$E$530,E531,$B$4:$B$530,"AJUSTE+")-SUMIFS($F$4:$F$530,$C$4:$C$530,C531,$D$4:$D$530,D531,$E$4:$E$530,E531,$B$4:$B$530,"A CORTE")-SUMIFS($F$4:$F$530,$C$4:$C$530,C531,$D$4:$D$530,D531,$E$4:$E$530,E531,$B$4:$B$530,"A REPROCESO")-SUMIFS($F$4:$F$530,$C$4:$C$530,C531,$D$4:$D$530,D531,$E$4:$E$530,E531,$B$4:$B$530,"MUESTRA")-SUMIFS($F$4:$F$530,$C$4:$C$530,C531,$D$4:$D$530,D531,$E$4:$E$530,E531,$B$4:$B$530,"AJUSTE-")),0)</f>
        <v>0</v>
      </c>
      <c r="L531" s="13">
        <f t="shared" si="13"/>
        <v>0</v>
      </c>
      <c r="M531" s="8"/>
      <c r="N531" s="14"/>
      <c r="O531" s="14"/>
      <c r="P531" s="14"/>
      <c r="Q531" s="15"/>
      <c r="R531" s="16" t="str">
        <f t="shared" si="14"/>
        <v/>
      </c>
    </row>
    <row r="532" ht="15.75" customHeight="1">
      <c r="A532" s="7"/>
      <c r="B532" s="8"/>
      <c r="C532" s="8"/>
      <c r="D532" s="8"/>
      <c r="E532" s="8"/>
      <c r="F532" s="9"/>
      <c r="G532" s="10">
        <f>IFERROR(F532*VLOOKUP(D532,TELAS!$A$4:$C$32,3,FALSE()),0)</f>
        <v>0</v>
      </c>
      <c r="H532" s="11" t="str">
        <f>IFERROR(VLOOKUP(E532,COLORES!$A$4:$B$102,2,FALSE()),"")</f>
        <v/>
      </c>
      <c r="I532" s="12">
        <f>IFERROR(IF(H532="OSCURO",VLOOKUP(D532,PRECIOS!$A$4:$F$32,2,FALSE()),IF(H532="CLARO",VLOOKUP(D532,PRECIOS!$A$4:$F$32,3,FALSE()),IF(H532="MELANGE",VLOOKUP(D532,PRECIOS!$A$4:$F$32,4,FALSE()),IF(H532="PPT",VLOOKUP(D532,PRECIOS!$A$4:$F$32,5,FALSE()),0)))),0)</f>
        <v>0</v>
      </c>
      <c r="J532" s="12">
        <f t="shared" si="12"/>
        <v>0</v>
      </c>
      <c r="K532" s="13">
        <f>IFERROR(IF(C532="",0,SUMIFS($F$4:$F$531,$C$4:$C$531,C532,$D$4:$D$531,D532,$E$4:$E$531,E532,$B$4:$B$531,"INGRESO")+SUMIFS($F$4:$F$531,$C$4:$C$531,C532,$D$4:$D$531,D532,$E$4:$E$531,E532,$B$4:$B$531,"DE REPROCESO")+SUMIFS($F$4:$F$531,$C$4:$C$531,C532,$D$4:$D$531,D532,$E$4:$E$531,E532,$B$4:$B$531,"AJUSTE+")-SUMIFS($F$4:$F$531,$C$4:$C$531,C532,$D$4:$D$531,D532,$E$4:$E$531,E532,$B$4:$B$531,"A CORTE")-SUMIFS($F$4:$F$531,$C$4:$C$531,C532,$D$4:$D$531,D532,$E$4:$E$531,E532,$B$4:$B$531,"A REPROCESO")-SUMIFS($F$4:$F$531,$C$4:$C$531,C532,$D$4:$D$531,D532,$E$4:$E$531,E532,$B$4:$B$531,"MUESTRA")-SUMIFS($F$4:$F$531,$C$4:$C$531,C532,$D$4:$D$531,D532,$E$4:$E$531,E532,$B$4:$B$531,"AJUSTE-")),0)</f>
        <v>0</v>
      </c>
      <c r="L532" s="13">
        <f t="shared" si="13"/>
        <v>0</v>
      </c>
      <c r="M532" s="8"/>
      <c r="N532" s="14"/>
      <c r="O532" s="14"/>
      <c r="P532" s="14"/>
      <c r="Q532" s="15"/>
      <c r="R532" s="16" t="str">
        <f t="shared" si="14"/>
        <v/>
      </c>
    </row>
    <row r="533" ht="15.75" customHeight="1">
      <c r="A533" s="7"/>
      <c r="B533" s="8"/>
      <c r="C533" s="8"/>
      <c r="D533" s="8"/>
      <c r="E533" s="8"/>
      <c r="F533" s="9"/>
      <c r="G533" s="10">
        <f>IFERROR(F533*VLOOKUP(D533,TELAS!$A$4:$C$32,3,FALSE()),0)</f>
        <v>0</v>
      </c>
      <c r="H533" s="11" t="str">
        <f>IFERROR(VLOOKUP(E533,COLORES!$A$4:$B$102,2,FALSE()),"")</f>
        <v/>
      </c>
      <c r="I533" s="12">
        <f>IFERROR(IF(H533="OSCURO",VLOOKUP(D533,PRECIOS!$A$4:$F$32,2,FALSE()),IF(H533="CLARO",VLOOKUP(D533,PRECIOS!$A$4:$F$32,3,FALSE()),IF(H533="MELANGE",VLOOKUP(D533,PRECIOS!$A$4:$F$32,4,FALSE()),IF(H533="PPT",VLOOKUP(D533,PRECIOS!$A$4:$F$32,5,FALSE()),0)))),0)</f>
        <v>0</v>
      </c>
      <c r="J533" s="12">
        <f t="shared" si="12"/>
        <v>0</v>
      </c>
      <c r="K533" s="13">
        <f>IFERROR(IF(C533="",0,SUMIFS($F$4:$F$532,$C$4:$C$532,C533,$D$4:$D$532,D533,$E$4:$E$532,E533,$B$4:$B$532,"INGRESO")+SUMIFS($F$4:$F$532,$C$4:$C$532,C533,$D$4:$D$532,D533,$E$4:$E$532,E533,$B$4:$B$532,"DE REPROCESO")+SUMIFS($F$4:$F$532,$C$4:$C$532,C533,$D$4:$D$532,D533,$E$4:$E$532,E533,$B$4:$B$532,"AJUSTE+")-SUMIFS($F$4:$F$532,$C$4:$C$532,C533,$D$4:$D$532,D533,$E$4:$E$532,E533,$B$4:$B$532,"A CORTE")-SUMIFS($F$4:$F$532,$C$4:$C$532,C533,$D$4:$D$532,D533,$E$4:$E$532,E533,$B$4:$B$532,"A REPROCESO")-SUMIFS($F$4:$F$532,$C$4:$C$532,C533,$D$4:$D$532,D533,$E$4:$E$532,E533,$B$4:$B$532,"MUESTRA")-SUMIFS($F$4:$F$532,$C$4:$C$532,C533,$D$4:$D$532,D533,$E$4:$E$532,E533,$B$4:$B$532,"AJUSTE-")),0)</f>
        <v>0</v>
      </c>
      <c r="L533" s="13">
        <f t="shared" si="13"/>
        <v>0</v>
      </c>
      <c r="M533" s="8"/>
      <c r="N533" s="14"/>
      <c r="O533" s="14"/>
      <c r="P533" s="14"/>
      <c r="Q533" s="15"/>
      <c r="R533" s="16" t="str">
        <f t="shared" si="14"/>
        <v/>
      </c>
    </row>
    <row r="534" ht="15.75" customHeight="1">
      <c r="A534" s="7"/>
      <c r="B534" s="8"/>
      <c r="C534" s="8"/>
      <c r="D534" s="8"/>
      <c r="E534" s="8"/>
      <c r="F534" s="9"/>
      <c r="G534" s="10">
        <f>IFERROR(F534*VLOOKUP(D534,TELAS!$A$4:$C$32,3,FALSE()),0)</f>
        <v>0</v>
      </c>
      <c r="H534" s="11" t="str">
        <f>IFERROR(VLOOKUP(E534,COLORES!$A$4:$B$102,2,FALSE()),"")</f>
        <v/>
      </c>
      <c r="I534" s="12">
        <f>IFERROR(IF(H534="OSCURO",VLOOKUP(D534,PRECIOS!$A$4:$F$32,2,FALSE()),IF(H534="CLARO",VLOOKUP(D534,PRECIOS!$A$4:$F$32,3,FALSE()),IF(H534="MELANGE",VLOOKUP(D534,PRECIOS!$A$4:$F$32,4,FALSE()),IF(H534="PPT",VLOOKUP(D534,PRECIOS!$A$4:$F$32,5,FALSE()),0)))),0)</f>
        <v>0</v>
      </c>
      <c r="J534" s="12">
        <f t="shared" si="12"/>
        <v>0</v>
      </c>
      <c r="K534" s="13">
        <f>IFERROR(IF(C534="",0,SUMIFS($F$4:$F$533,$C$4:$C$533,C534,$D$4:$D$533,D534,$E$4:$E$533,E534,$B$4:$B$533,"INGRESO")+SUMIFS($F$4:$F$533,$C$4:$C$533,C534,$D$4:$D$533,D534,$E$4:$E$533,E534,$B$4:$B$533,"DE REPROCESO")+SUMIFS($F$4:$F$533,$C$4:$C$533,C534,$D$4:$D$533,D534,$E$4:$E$533,E534,$B$4:$B$533,"AJUSTE+")-SUMIFS($F$4:$F$533,$C$4:$C$533,C534,$D$4:$D$533,D534,$E$4:$E$533,E534,$B$4:$B$533,"A CORTE")-SUMIFS($F$4:$F$533,$C$4:$C$533,C534,$D$4:$D$533,D534,$E$4:$E$533,E534,$B$4:$B$533,"A REPROCESO")-SUMIFS($F$4:$F$533,$C$4:$C$533,C534,$D$4:$D$533,D534,$E$4:$E$533,E534,$B$4:$B$533,"MUESTRA")-SUMIFS($F$4:$F$533,$C$4:$C$533,C534,$D$4:$D$533,D534,$E$4:$E$533,E534,$B$4:$B$533,"AJUSTE-")),0)</f>
        <v>0</v>
      </c>
      <c r="L534" s="13">
        <f t="shared" si="13"/>
        <v>0</v>
      </c>
      <c r="M534" s="8"/>
      <c r="N534" s="14"/>
      <c r="O534" s="14"/>
      <c r="P534" s="14"/>
      <c r="Q534" s="15"/>
      <c r="R534" s="16" t="str">
        <f t="shared" si="14"/>
        <v/>
      </c>
    </row>
    <row r="535" ht="15.75" customHeight="1">
      <c r="A535" s="7"/>
      <c r="B535" s="8"/>
      <c r="C535" s="8"/>
      <c r="D535" s="8"/>
      <c r="E535" s="8"/>
      <c r="F535" s="9"/>
      <c r="G535" s="10">
        <f>IFERROR(F535*VLOOKUP(D535,TELAS!$A$4:$C$32,3,FALSE()),0)</f>
        <v>0</v>
      </c>
      <c r="H535" s="11" t="str">
        <f>IFERROR(VLOOKUP(E535,COLORES!$A$4:$B$102,2,FALSE()),"")</f>
        <v/>
      </c>
      <c r="I535" s="12">
        <f>IFERROR(IF(H535="OSCURO",VLOOKUP(D535,PRECIOS!$A$4:$F$32,2,FALSE()),IF(H535="CLARO",VLOOKUP(D535,PRECIOS!$A$4:$F$32,3,FALSE()),IF(H535="MELANGE",VLOOKUP(D535,PRECIOS!$A$4:$F$32,4,FALSE()),IF(H535="PPT",VLOOKUP(D535,PRECIOS!$A$4:$F$32,5,FALSE()),0)))),0)</f>
        <v>0</v>
      </c>
      <c r="J535" s="12">
        <f t="shared" si="12"/>
        <v>0</v>
      </c>
      <c r="K535" s="13">
        <f>IFERROR(IF(C535="",0,SUMIFS($F$4:$F$534,$C$4:$C$534,C535,$D$4:$D$534,D535,$E$4:$E$534,E535,$B$4:$B$534,"INGRESO")+SUMIFS($F$4:$F$534,$C$4:$C$534,C535,$D$4:$D$534,D535,$E$4:$E$534,E535,$B$4:$B$534,"DE REPROCESO")+SUMIFS($F$4:$F$534,$C$4:$C$534,C535,$D$4:$D$534,D535,$E$4:$E$534,E535,$B$4:$B$534,"AJUSTE+")-SUMIFS($F$4:$F$534,$C$4:$C$534,C535,$D$4:$D$534,D535,$E$4:$E$534,E535,$B$4:$B$534,"A CORTE")-SUMIFS($F$4:$F$534,$C$4:$C$534,C535,$D$4:$D$534,D535,$E$4:$E$534,E535,$B$4:$B$534,"A REPROCESO")-SUMIFS($F$4:$F$534,$C$4:$C$534,C535,$D$4:$D$534,D535,$E$4:$E$534,E535,$B$4:$B$534,"MUESTRA")-SUMIFS($F$4:$F$534,$C$4:$C$534,C535,$D$4:$D$534,D535,$E$4:$E$534,E535,$B$4:$B$534,"AJUSTE-")),0)</f>
        <v>0</v>
      </c>
      <c r="L535" s="13">
        <f t="shared" si="13"/>
        <v>0</v>
      </c>
      <c r="M535" s="8"/>
      <c r="N535" s="14"/>
      <c r="O535" s="14"/>
      <c r="P535" s="14"/>
      <c r="Q535" s="15"/>
      <c r="R535" s="16" t="str">
        <f t="shared" si="14"/>
        <v/>
      </c>
    </row>
    <row r="536" ht="15.75" customHeight="1">
      <c r="A536" s="7"/>
      <c r="B536" s="8"/>
      <c r="C536" s="8"/>
      <c r="D536" s="8"/>
      <c r="E536" s="8"/>
      <c r="F536" s="9"/>
      <c r="G536" s="10">
        <f>IFERROR(F536*VLOOKUP(D536,TELAS!$A$4:$C$32,3,FALSE()),0)</f>
        <v>0</v>
      </c>
      <c r="H536" s="11" t="str">
        <f>IFERROR(VLOOKUP(E536,COLORES!$A$4:$B$102,2,FALSE()),"")</f>
        <v/>
      </c>
      <c r="I536" s="12">
        <f>IFERROR(IF(H536="OSCURO",VLOOKUP(D536,PRECIOS!$A$4:$F$32,2,FALSE()),IF(H536="CLARO",VLOOKUP(D536,PRECIOS!$A$4:$F$32,3,FALSE()),IF(H536="MELANGE",VLOOKUP(D536,PRECIOS!$A$4:$F$32,4,FALSE()),IF(H536="PPT",VLOOKUP(D536,PRECIOS!$A$4:$F$32,5,FALSE()),0)))),0)</f>
        <v>0</v>
      </c>
      <c r="J536" s="12">
        <f t="shared" si="12"/>
        <v>0</v>
      </c>
      <c r="K536" s="13">
        <f>IFERROR(IF(C536="",0,SUMIFS($F$4:$F$535,$C$4:$C$535,C536,$D$4:$D$535,D536,$E$4:$E$535,E536,$B$4:$B$535,"INGRESO")+SUMIFS($F$4:$F$535,$C$4:$C$535,C536,$D$4:$D$535,D536,$E$4:$E$535,E536,$B$4:$B$535,"DE REPROCESO")+SUMIFS($F$4:$F$535,$C$4:$C$535,C536,$D$4:$D$535,D536,$E$4:$E$535,E536,$B$4:$B$535,"AJUSTE+")-SUMIFS($F$4:$F$535,$C$4:$C$535,C536,$D$4:$D$535,D536,$E$4:$E$535,E536,$B$4:$B$535,"A CORTE")-SUMIFS($F$4:$F$535,$C$4:$C$535,C536,$D$4:$D$535,D536,$E$4:$E$535,E536,$B$4:$B$535,"A REPROCESO")-SUMIFS($F$4:$F$535,$C$4:$C$535,C536,$D$4:$D$535,D536,$E$4:$E$535,E536,$B$4:$B$535,"MUESTRA")-SUMIFS($F$4:$F$535,$C$4:$C$535,C536,$D$4:$D$535,D536,$E$4:$E$535,E536,$B$4:$B$535,"AJUSTE-")),0)</f>
        <v>0</v>
      </c>
      <c r="L536" s="13">
        <f t="shared" si="13"/>
        <v>0</v>
      </c>
      <c r="M536" s="8"/>
      <c r="N536" s="14"/>
      <c r="O536" s="14"/>
      <c r="P536" s="14"/>
      <c r="Q536" s="15"/>
      <c r="R536" s="16" t="str">
        <f t="shared" si="14"/>
        <v/>
      </c>
    </row>
    <row r="537" ht="15.75" customHeight="1">
      <c r="A537" s="7"/>
      <c r="B537" s="8"/>
      <c r="C537" s="8"/>
      <c r="D537" s="8"/>
      <c r="E537" s="8"/>
      <c r="F537" s="9"/>
      <c r="G537" s="10">
        <f>IFERROR(F537*VLOOKUP(D537,TELAS!$A$4:$C$32,3,FALSE()),0)</f>
        <v>0</v>
      </c>
      <c r="H537" s="11" t="str">
        <f>IFERROR(VLOOKUP(E537,COLORES!$A$4:$B$102,2,FALSE()),"")</f>
        <v/>
      </c>
      <c r="I537" s="12">
        <f>IFERROR(IF(H537="OSCURO",VLOOKUP(D537,PRECIOS!$A$4:$F$32,2,FALSE()),IF(H537="CLARO",VLOOKUP(D537,PRECIOS!$A$4:$F$32,3,FALSE()),IF(H537="MELANGE",VLOOKUP(D537,PRECIOS!$A$4:$F$32,4,FALSE()),IF(H537="PPT",VLOOKUP(D537,PRECIOS!$A$4:$F$32,5,FALSE()),0)))),0)</f>
        <v>0</v>
      </c>
      <c r="J537" s="12">
        <f t="shared" si="12"/>
        <v>0</v>
      </c>
      <c r="K537" s="13">
        <f>IFERROR(IF(C537="",0,SUMIFS($F$4:$F$536,$C$4:$C$536,C537,$D$4:$D$536,D537,$E$4:$E$536,E537,$B$4:$B$536,"INGRESO")+SUMIFS($F$4:$F$536,$C$4:$C$536,C537,$D$4:$D$536,D537,$E$4:$E$536,E537,$B$4:$B$536,"DE REPROCESO")+SUMIFS($F$4:$F$536,$C$4:$C$536,C537,$D$4:$D$536,D537,$E$4:$E$536,E537,$B$4:$B$536,"AJUSTE+")-SUMIFS($F$4:$F$536,$C$4:$C$536,C537,$D$4:$D$536,D537,$E$4:$E$536,E537,$B$4:$B$536,"A CORTE")-SUMIFS($F$4:$F$536,$C$4:$C$536,C537,$D$4:$D$536,D537,$E$4:$E$536,E537,$B$4:$B$536,"A REPROCESO")-SUMIFS($F$4:$F$536,$C$4:$C$536,C537,$D$4:$D$536,D537,$E$4:$E$536,E537,$B$4:$B$536,"MUESTRA")-SUMIFS($F$4:$F$536,$C$4:$C$536,C537,$D$4:$D$536,D537,$E$4:$E$536,E537,$B$4:$B$536,"AJUSTE-")),0)</f>
        <v>0</v>
      </c>
      <c r="L537" s="13">
        <f t="shared" si="13"/>
        <v>0</v>
      </c>
      <c r="M537" s="8"/>
      <c r="N537" s="14"/>
      <c r="O537" s="14"/>
      <c r="P537" s="14"/>
      <c r="Q537" s="15"/>
      <c r="R537" s="16" t="str">
        <f t="shared" si="14"/>
        <v/>
      </c>
    </row>
    <row r="538" ht="15.75" customHeight="1">
      <c r="A538" s="7"/>
      <c r="B538" s="8"/>
      <c r="C538" s="8"/>
      <c r="D538" s="8"/>
      <c r="E538" s="8"/>
      <c r="F538" s="9"/>
      <c r="G538" s="10">
        <f>IFERROR(F538*VLOOKUP(D538,TELAS!$A$4:$C$32,3,FALSE()),0)</f>
        <v>0</v>
      </c>
      <c r="H538" s="11" t="str">
        <f>IFERROR(VLOOKUP(E538,COLORES!$A$4:$B$102,2,FALSE()),"")</f>
        <v/>
      </c>
      <c r="I538" s="12">
        <f>IFERROR(IF(H538="OSCURO",VLOOKUP(D538,PRECIOS!$A$4:$F$32,2,FALSE()),IF(H538="CLARO",VLOOKUP(D538,PRECIOS!$A$4:$F$32,3,FALSE()),IF(H538="MELANGE",VLOOKUP(D538,PRECIOS!$A$4:$F$32,4,FALSE()),IF(H538="PPT",VLOOKUP(D538,PRECIOS!$A$4:$F$32,5,FALSE()),0)))),0)</f>
        <v>0</v>
      </c>
      <c r="J538" s="12">
        <f t="shared" si="12"/>
        <v>0</v>
      </c>
      <c r="K538" s="13">
        <f>IFERROR(IF(C538="",0,SUMIFS($F$4:$F$537,$C$4:$C$537,C538,$D$4:$D$537,D538,$E$4:$E$537,E538,$B$4:$B$537,"INGRESO")+SUMIFS($F$4:$F$537,$C$4:$C$537,C538,$D$4:$D$537,D538,$E$4:$E$537,E538,$B$4:$B$537,"DE REPROCESO")+SUMIFS($F$4:$F$537,$C$4:$C$537,C538,$D$4:$D$537,D538,$E$4:$E$537,E538,$B$4:$B$537,"AJUSTE+")-SUMIFS($F$4:$F$537,$C$4:$C$537,C538,$D$4:$D$537,D538,$E$4:$E$537,E538,$B$4:$B$537,"A CORTE")-SUMIFS($F$4:$F$537,$C$4:$C$537,C538,$D$4:$D$537,D538,$E$4:$E$537,E538,$B$4:$B$537,"A REPROCESO")-SUMIFS($F$4:$F$537,$C$4:$C$537,C538,$D$4:$D$537,D538,$E$4:$E$537,E538,$B$4:$B$537,"MUESTRA")-SUMIFS($F$4:$F$537,$C$4:$C$537,C538,$D$4:$D$537,D538,$E$4:$E$537,E538,$B$4:$B$537,"AJUSTE-")),0)</f>
        <v>0</v>
      </c>
      <c r="L538" s="13">
        <f t="shared" si="13"/>
        <v>0</v>
      </c>
      <c r="M538" s="8"/>
      <c r="N538" s="14"/>
      <c r="O538" s="14"/>
      <c r="P538" s="14"/>
      <c r="Q538" s="15"/>
      <c r="R538" s="16" t="str">
        <f t="shared" si="14"/>
        <v/>
      </c>
    </row>
    <row r="539" ht="15.75" customHeight="1">
      <c r="A539" s="7"/>
      <c r="B539" s="8"/>
      <c r="C539" s="8"/>
      <c r="D539" s="8"/>
      <c r="E539" s="8"/>
      <c r="F539" s="9"/>
      <c r="G539" s="10">
        <f>IFERROR(F539*VLOOKUP(D539,TELAS!$A$4:$C$32,3,FALSE()),0)</f>
        <v>0</v>
      </c>
      <c r="H539" s="11" t="str">
        <f>IFERROR(VLOOKUP(E539,COLORES!$A$4:$B$102,2,FALSE()),"")</f>
        <v/>
      </c>
      <c r="I539" s="12">
        <f>IFERROR(IF(H539="OSCURO",VLOOKUP(D539,PRECIOS!$A$4:$F$32,2,FALSE()),IF(H539="CLARO",VLOOKUP(D539,PRECIOS!$A$4:$F$32,3,FALSE()),IF(H539="MELANGE",VLOOKUP(D539,PRECIOS!$A$4:$F$32,4,FALSE()),IF(H539="PPT",VLOOKUP(D539,PRECIOS!$A$4:$F$32,5,FALSE()),0)))),0)</f>
        <v>0</v>
      </c>
      <c r="J539" s="12">
        <f t="shared" si="12"/>
        <v>0</v>
      </c>
      <c r="K539" s="13">
        <f>IFERROR(IF(C539="",0,SUMIFS($F$4:$F$538,$C$4:$C$538,C539,$D$4:$D$538,D539,$E$4:$E$538,E539,$B$4:$B$538,"INGRESO")+SUMIFS($F$4:$F$538,$C$4:$C$538,C539,$D$4:$D$538,D539,$E$4:$E$538,E539,$B$4:$B$538,"DE REPROCESO")+SUMIFS($F$4:$F$538,$C$4:$C$538,C539,$D$4:$D$538,D539,$E$4:$E$538,E539,$B$4:$B$538,"AJUSTE+")-SUMIFS($F$4:$F$538,$C$4:$C$538,C539,$D$4:$D$538,D539,$E$4:$E$538,E539,$B$4:$B$538,"A CORTE")-SUMIFS($F$4:$F$538,$C$4:$C$538,C539,$D$4:$D$538,D539,$E$4:$E$538,E539,$B$4:$B$538,"A REPROCESO")-SUMIFS($F$4:$F$538,$C$4:$C$538,C539,$D$4:$D$538,D539,$E$4:$E$538,E539,$B$4:$B$538,"MUESTRA")-SUMIFS($F$4:$F$538,$C$4:$C$538,C539,$D$4:$D$538,D539,$E$4:$E$538,E539,$B$4:$B$538,"AJUSTE-")),0)</f>
        <v>0</v>
      </c>
      <c r="L539" s="13">
        <f t="shared" si="13"/>
        <v>0</v>
      </c>
      <c r="M539" s="8"/>
      <c r="N539" s="14"/>
      <c r="O539" s="14"/>
      <c r="P539" s="14"/>
      <c r="Q539" s="15"/>
      <c r="R539" s="16" t="str">
        <f t="shared" si="14"/>
        <v/>
      </c>
    </row>
    <row r="540" ht="15.75" customHeight="1">
      <c r="A540" s="7"/>
      <c r="B540" s="8"/>
      <c r="C540" s="8"/>
      <c r="D540" s="8"/>
      <c r="E540" s="8"/>
      <c r="F540" s="9"/>
      <c r="G540" s="10">
        <f>IFERROR(F540*VLOOKUP(D540,TELAS!$A$4:$C$32,3,FALSE()),0)</f>
        <v>0</v>
      </c>
      <c r="H540" s="11" t="str">
        <f>IFERROR(VLOOKUP(E540,COLORES!$A$4:$B$102,2,FALSE()),"")</f>
        <v/>
      </c>
      <c r="I540" s="12">
        <f>IFERROR(IF(H540="OSCURO",VLOOKUP(D540,PRECIOS!$A$4:$F$32,2,FALSE()),IF(H540="CLARO",VLOOKUP(D540,PRECIOS!$A$4:$F$32,3,FALSE()),IF(H540="MELANGE",VLOOKUP(D540,PRECIOS!$A$4:$F$32,4,FALSE()),IF(H540="PPT",VLOOKUP(D540,PRECIOS!$A$4:$F$32,5,FALSE()),0)))),0)</f>
        <v>0</v>
      </c>
      <c r="J540" s="12">
        <f t="shared" si="12"/>
        <v>0</v>
      </c>
      <c r="K540" s="13">
        <f>IFERROR(IF(C540="",0,SUMIFS($F$4:$F$539,$C$4:$C$539,C540,$D$4:$D$539,D540,$E$4:$E$539,E540,$B$4:$B$539,"INGRESO")+SUMIFS($F$4:$F$539,$C$4:$C$539,C540,$D$4:$D$539,D540,$E$4:$E$539,E540,$B$4:$B$539,"DE REPROCESO")+SUMIFS($F$4:$F$539,$C$4:$C$539,C540,$D$4:$D$539,D540,$E$4:$E$539,E540,$B$4:$B$539,"AJUSTE+")-SUMIFS($F$4:$F$539,$C$4:$C$539,C540,$D$4:$D$539,D540,$E$4:$E$539,E540,$B$4:$B$539,"A CORTE")-SUMIFS($F$4:$F$539,$C$4:$C$539,C540,$D$4:$D$539,D540,$E$4:$E$539,E540,$B$4:$B$539,"A REPROCESO")-SUMIFS($F$4:$F$539,$C$4:$C$539,C540,$D$4:$D$539,D540,$E$4:$E$539,E540,$B$4:$B$539,"MUESTRA")-SUMIFS($F$4:$F$539,$C$4:$C$539,C540,$D$4:$D$539,D540,$E$4:$E$539,E540,$B$4:$B$539,"AJUSTE-")),0)</f>
        <v>0</v>
      </c>
      <c r="L540" s="13">
        <f t="shared" si="13"/>
        <v>0</v>
      </c>
      <c r="M540" s="8"/>
      <c r="N540" s="14"/>
      <c r="O540" s="14"/>
      <c r="P540" s="14"/>
      <c r="Q540" s="15"/>
      <c r="R540" s="16" t="str">
        <f t="shared" si="14"/>
        <v/>
      </c>
    </row>
    <row r="541" ht="15.75" customHeight="1">
      <c r="A541" s="7"/>
      <c r="B541" s="8"/>
      <c r="C541" s="8"/>
      <c r="D541" s="8"/>
      <c r="E541" s="8"/>
      <c r="F541" s="9"/>
      <c r="G541" s="10">
        <f>IFERROR(F541*VLOOKUP(D541,TELAS!$A$4:$C$32,3,FALSE()),0)</f>
        <v>0</v>
      </c>
      <c r="H541" s="11" t="str">
        <f>IFERROR(VLOOKUP(E541,COLORES!$A$4:$B$102,2,FALSE()),"")</f>
        <v/>
      </c>
      <c r="I541" s="12">
        <f>IFERROR(IF(H541="OSCURO",VLOOKUP(D541,PRECIOS!$A$4:$F$32,2,FALSE()),IF(H541="CLARO",VLOOKUP(D541,PRECIOS!$A$4:$F$32,3,FALSE()),IF(H541="MELANGE",VLOOKUP(D541,PRECIOS!$A$4:$F$32,4,FALSE()),IF(H541="PPT",VLOOKUP(D541,PRECIOS!$A$4:$F$32,5,FALSE()),0)))),0)</f>
        <v>0</v>
      </c>
      <c r="J541" s="12">
        <f t="shared" si="12"/>
        <v>0</v>
      </c>
      <c r="K541" s="13">
        <f>IFERROR(IF(C541="",0,SUMIFS($F$4:$F$540,$C$4:$C$540,C541,$D$4:$D$540,D541,$E$4:$E$540,E541,$B$4:$B$540,"INGRESO")+SUMIFS($F$4:$F$540,$C$4:$C$540,C541,$D$4:$D$540,D541,$E$4:$E$540,E541,$B$4:$B$540,"DE REPROCESO")+SUMIFS($F$4:$F$540,$C$4:$C$540,C541,$D$4:$D$540,D541,$E$4:$E$540,E541,$B$4:$B$540,"AJUSTE+")-SUMIFS($F$4:$F$540,$C$4:$C$540,C541,$D$4:$D$540,D541,$E$4:$E$540,E541,$B$4:$B$540,"A CORTE")-SUMIFS($F$4:$F$540,$C$4:$C$540,C541,$D$4:$D$540,D541,$E$4:$E$540,E541,$B$4:$B$540,"A REPROCESO")-SUMIFS($F$4:$F$540,$C$4:$C$540,C541,$D$4:$D$540,D541,$E$4:$E$540,E541,$B$4:$B$540,"MUESTRA")-SUMIFS($F$4:$F$540,$C$4:$C$540,C541,$D$4:$D$540,D541,$E$4:$E$540,E541,$B$4:$B$540,"AJUSTE-")),0)</f>
        <v>0</v>
      </c>
      <c r="L541" s="13">
        <f t="shared" si="13"/>
        <v>0</v>
      </c>
      <c r="M541" s="8"/>
      <c r="N541" s="14"/>
      <c r="O541" s="14"/>
      <c r="P541" s="14"/>
      <c r="Q541" s="15"/>
      <c r="R541" s="16" t="str">
        <f t="shared" si="14"/>
        <v/>
      </c>
    </row>
    <row r="542" ht="15.75" customHeight="1">
      <c r="A542" s="7"/>
      <c r="B542" s="8"/>
      <c r="C542" s="8"/>
      <c r="D542" s="8"/>
      <c r="E542" s="8"/>
      <c r="F542" s="9"/>
      <c r="G542" s="10">
        <f>IFERROR(F542*VLOOKUP(D542,TELAS!$A$4:$C$32,3,FALSE()),0)</f>
        <v>0</v>
      </c>
      <c r="H542" s="11" t="str">
        <f>IFERROR(VLOOKUP(E542,COLORES!$A$4:$B$102,2,FALSE()),"")</f>
        <v/>
      </c>
      <c r="I542" s="12">
        <f>IFERROR(IF(H542="OSCURO",VLOOKUP(D542,PRECIOS!$A$4:$F$32,2,FALSE()),IF(H542="CLARO",VLOOKUP(D542,PRECIOS!$A$4:$F$32,3,FALSE()),IF(H542="MELANGE",VLOOKUP(D542,PRECIOS!$A$4:$F$32,4,FALSE()),IF(H542="PPT",VLOOKUP(D542,PRECIOS!$A$4:$F$32,5,FALSE()),0)))),0)</f>
        <v>0</v>
      </c>
      <c r="J542" s="12">
        <f t="shared" si="12"/>
        <v>0</v>
      </c>
      <c r="K542" s="13">
        <f>IFERROR(IF(C542="",0,SUMIFS($F$4:$F$541,$C$4:$C$541,C542,$D$4:$D$541,D542,$E$4:$E$541,E542,$B$4:$B$541,"INGRESO")+SUMIFS($F$4:$F$541,$C$4:$C$541,C542,$D$4:$D$541,D542,$E$4:$E$541,E542,$B$4:$B$541,"DE REPROCESO")+SUMIFS($F$4:$F$541,$C$4:$C$541,C542,$D$4:$D$541,D542,$E$4:$E$541,E542,$B$4:$B$541,"AJUSTE+")-SUMIFS($F$4:$F$541,$C$4:$C$541,C542,$D$4:$D$541,D542,$E$4:$E$541,E542,$B$4:$B$541,"A CORTE")-SUMIFS($F$4:$F$541,$C$4:$C$541,C542,$D$4:$D$541,D542,$E$4:$E$541,E542,$B$4:$B$541,"A REPROCESO")-SUMIFS($F$4:$F$541,$C$4:$C$541,C542,$D$4:$D$541,D542,$E$4:$E$541,E542,$B$4:$B$541,"MUESTRA")-SUMIFS($F$4:$F$541,$C$4:$C$541,C542,$D$4:$D$541,D542,$E$4:$E$541,E542,$B$4:$B$541,"AJUSTE-")),0)</f>
        <v>0</v>
      </c>
      <c r="L542" s="13">
        <f t="shared" si="13"/>
        <v>0</v>
      </c>
      <c r="M542" s="8"/>
      <c r="N542" s="14"/>
      <c r="O542" s="14"/>
      <c r="P542" s="14"/>
      <c r="Q542" s="15"/>
      <c r="R542" s="16" t="str">
        <f t="shared" si="14"/>
        <v/>
      </c>
    </row>
    <row r="543" ht="15.75" customHeight="1">
      <c r="A543" s="7"/>
      <c r="B543" s="8"/>
      <c r="C543" s="8"/>
      <c r="D543" s="8"/>
      <c r="E543" s="8"/>
      <c r="F543" s="9"/>
      <c r="G543" s="10">
        <f>IFERROR(F543*VLOOKUP(D543,TELAS!$A$4:$C$32,3,FALSE()),0)</f>
        <v>0</v>
      </c>
      <c r="H543" s="11" t="str">
        <f>IFERROR(VLOOKUP(E543,COLORES!$A$4:$B$102,2,FALSE()),"")</f>
        <v/>
      </c>
      <c r="I543" s="12">
        <f>IFERROR(IF(H543="OSCURO",VLOOKUP(D543,PRECIOS!$A$4:$F$32,2,FALSE()),IF(H543="CLARO",VLOOKUP(D543,PRECIOS!$A$4:$F$32,3,FALSE()),IF(H543="MELANGE",VLOOKUP(D543,PRECIOS!$A$4:$F$32,4,FALSE()),IF(H543="PPT",VLOOKUP(D543,PRECIOS!$A$4:$F$32,5,FALSE()),0)))),0)</f>
        <v>0</v>
      </c>
      <c r="J543" s="12">
        <f t="shared" si="12"/>
        <v>0</v>
      </c>
      <c r="K543" s="13">
        <f>IFERROR(IF(C543="",0,SUMIFS($F$4:$F$542,$C$4:$C$542,C543,$D$4:$D$542,D543,$E$4:$E$542,E543,$B$4:$B$542,"INGRESO")+SUMIFS($F$4:$F$542,$C$4:$C$542,C543,$D$4:$D$542,D543,$E$4:$E$542,E543,$B$4:$B$542,"DE REPROCESO")+SUMIFS($F$4:$F$542,$C$4:$C$542,C543,$D$4:$D$542,D543,$E$4:$E$542,E543,$B$4:$B$542,"AJUSTE+")-SUMIFS($F$4:$F$542,$C$4:$C$542,C543,$D$4:$D$542,D543,$E$4:$E$542,E543,$B$4:$B$542,"A CORTE")-SUMIFS($F$4:$F$542,$C$4:$C$542,C543,$D$4:$D$542,D543,$E$4:$E$542,E543,$B$4:$B$542,"A REPROCESO")-SUMIFS($F$4:$F$542,$C$4:$C$542,C543,$D$4:$D$542,D543,$E$4:$E$542,E543,$B$4:$B$542,"MUESTRA")-SUMIFS($F$4:$F$542,$C$4:$C$542,C543,$D$4:$D$542,D543,$E$4:$E$542,E543,$B$4:$B$542,"AJUSTE-")),0)</f>
        <v>0</v>
      </c>
      <c r="L543" s="13">
        <f t="shared" si="13"/>
        <v>0</v>
      </c>
      <c r="M543" s="8"/>
      <c r="N543" s="14"/>
      <c r="O543" s="14"/>
      <c r="P543" s="14"/>
      <c r="Q543" s="15"/>
      <c r="R543" s="16" t="str">
        <f t="shared" si="14"/>
        <v/>
      </c>
    </row>
    <row r="544" ht="15.75" customHeight="1">
      <c r="A544" s="7"/>
      <c r="B544" s="8"/>
      <c r="C544" s="8"/>
      <c r="D544" s="8"/>
      <c r="E544" s="8"/>
      <c r="F544" s="9"/>
      <c r="G544" s="10">
        <f>IFERROR(F544*VLOOKUP(D544,TELAS!$A$4:$C$32,3,FALSE()),0)</f>
        <v>0</v>
      </c>
      <c r="H544" s="11" t="str">
        <f>IFERROR(VLOOKUP(E544,COLORES!$A$4:$B$102,2,FALSE()),"")</f>
        <v/>
      </c>
      <c r="I544" s="12">
        <f>IFERROR(IF(H544="OSCURO",VLOOKUP(D544,PRECIOS!$A$4:$F$32,2,FALSE()),IF(H544="CLARO",VLOOKUP(D544,PRECIOS!$A$4:$F$32,3,FALSE()),IF(H544="MELANGE",VLOOKUP(D544,PRECIOS!$A$4:$F$32,4,FALSE()),IF(H544="PPT",VLOOKUP(D544,PRECIOS!$A$4:$F$32,5,FALSE()),0)))),0)</f>
        <v>0</v>
      </c>
      <c r="J544" s="12">
        <f t="shared" si="12"/>
        <v>0</v>
      </c>
      <c r="K544" s="13">
        <f>IFERROR(IF(C544="",0,SUMIFS($F$4:$F$543,$C$4:$C$543,C544,$D$4:$D$543,D544,$E$4:$E$543,E544,$B$4:$B$543,"INGRESO")+SUMIFS($F$4:$F$543,$C$4:$C$543,C544,$D$4:$D$543,D544,$E$4:$E$543,E544,$B$4:$B$543,"DE REPROCESO")+SUMIFS($F$4:$F$543,$C$4:$C$543,C544,$D$4:$D$543,D544,$E$4:$E$543,E544,$B$4:$B$543,"AJUSTE+")-SUMIFS($F$4:$F$543,$C$4:$C$543,C544,$D$4:$D$543,D544,$E$4:$E$543,E544,$B$4:$B$543,"A CORTE")-SUMIFS($F$4:$F$543,$C$4:$C$543,C544,$D$4:$D$543,D544,$E$4:$E$543,E544,$B$4:$B$543,"A REPROCESO")-SUMIFS($F$4:$F$543,$C$4:$C$543,C544,$D$4:$D$543,D544,$E$4:$E$543,E544,$B$4:$B$543,"MUESTRA")-SUMIFS($F$4:$F$543,$C$4:$C$543,C544,$D$4:$D$543,D544,$E$4:$E$543,E544,$B$4:$B$543,"AJUSTE-")),0)</f>
        <v>0</v>
      </c>
      <c r="L544" s="13">
        <f t="shared" si="13"/>
        <v>0</v>
      </c>
      <c r="M544" s="8"/>
      <c r="N544" s="14"/>
      <c r="O544" s="14"/>
      <c r="P544" s="14"/>
      <c r="Q544" s="15"/>
      <c r="R544" s="16" t="str">
        <f t="shared" si="14"/>
        <v/>
      </c>
    </row>
    <row r="545" ht="15.75" customHeight="1">
      <c r="A545" s="7"/>
      <c r="B545" s="8"/>
      <c r="C545" s="8"/>
      <c r="D545" s="8"/>
      <c r="E545" s="8"/>
      <c r="F545" s="9"/>
      <c r="G545" s="10">
        <f>IFERROR(F545*VLOOKUP(D545,TELAS!$A$4:$C$32,3,FALSE()),0)</f>
        <v>0</v>
      </c>
      <c r="H545" s="11" t="str">
        <f>IFERROR(VLOOKUP(E545,COLORES!$A$4:$B$102,2,FALSE()),"")</f>
        <v/>
      </c>
      <c r="I545" s="12">
        <f>IFERROR(IF(H545="OSCURO",VLOOKUP(D545,PRECIOS!$A$4:$F$32,2,FALSE()),IF(H545="CLARO",VLOOKUP(D545,PRECIOS!$A$4:$F$32,3,FALSE()),IF(H545="MELANGE",VLOOKUP(D545,PRECIOS!$A$4:$F$32,4,FALSE()),IF(H545="PPT",VLOOKUP(D545,PRECIOS!$A$4:$F$32,5,FALSE()),0)))),0)</f>
        <v>0</v>
      </c>
      <c r="J545" s="12">
        <f t="shared" si="12"/>
        <v>0</v>
      </c>
      <c r="K545" s="13">
        <f>IFERROR(IF(C545="",0,SUMIFS($F$4:$F$544,$C$4:$C$544,C545,$D$4:$D$544,D545,$E$4:$E$544,E545,$B$4:$B$544,"INGRESO")+SUMIFS($F$4:$F$544,$C$4:$C$544,C545,$D$4:$D$544,D545,$E$4:$E$544,E545,$B$4:$B$544,"DE REPROCESO")+SUMIFS($F$4:$F$544,$C$4:$C$544,C545,$D$4:$D$544,D545,$E$4:$E$544,E545,$B$4:$B$544,"AJUSTE+")-SUMIFS($F$4:$F$544,$C$4:$C$544,C545,$D$4:$D$544,D545,$E$4:$E$544,E545,$B$4:$B$544,"A CORTE")-SUMIFS($F$4:$F$544,$C$4:$C$544,C545,$D$4:$D$544,D545,$E$4:$E$544,E545,$B$4:$B$544,"A REPROCESO")-SUMIFS($F$4:$F$544,$C$4:$C$544,C545,$D$4:$D$544,D545,$E$4:$E$544,E545,$B$4:$B$544,"MUESTRA")-SUMIFS($F$4:$F$544,$C$4:$C$544,C545,$D$4:$D$544,D545,$E$4:$E$544,E545,$B$4:$B$544,"AJUSTE-")),0)</f>
        <v>0</v>
      </c>
      <c r="L545" s="13">
        <f t="shared" si="13"/>
        <v>0</v>
      </c>
      <c r="M545" s="8"/>
      <c r="N545" s="14"/>
      <c r="O545" s="14"/>
      <c r="P545" s="14"/>
      <c r="Q545" s="15"/>
      <c r="R545" s="16" t="str">
        <f t="shared" si="14"/>
        <v/>
      </c>
    </row>
    <row r="546" ht="15.75" customHeight="1">
      <c r="A546" s="7"/>
      <c r="B546" s="8"/>
      <c r="C546" s="8"/>
      <c r="D546" s="8"/>
      <c r="E546" s="8"/>
      <c r="F546" s="9"/>
      <c r="G546" s="10">
        <f>IFERROR(F546*VLOOKUP(D546,TELAS!$A$4:$C$32,3,FALSE()),0)</f>
        <v>0</v>
      </c>
      <c r="H546" s="11" t="str">
        <f>IFERROR(VLOOKUP(E546,COLORES!$A$4:$B$102,2,FALSE()),"")</f>
        <v/>
      </c>
      <c r="I546" s="12">
        <f>IFERROR(IF(H546="OSCURO",VLOOKUP(D546,PRECIOS!$A$4:$F$32,2,FALSE()),IF(H546="CLARO",VLOOKUP(D546,PRECIOS!$A$4:$F$32,3,FALSE()),IF(H546="MELANGE",VLOOKUP(D546,PRECIOS!$A$4:$F$32,4,FALSE()),IF(H546="PPT",VLOOKUP(D546,PRECIOS!$A$4:$F$32,5,FALSE()),0)))),0)</f>
        <v>0</v>
      </c>
      <c r="J546" s="12">
        <f t="shared" si="12"/>
        <v>0</v>
      </c>
      <c r="K546" s="13">
        <f>IFERROR(IF(C546="",0,SUMIFS($F$4:$F$545,$C$4:$C$545,C546,$D$4:$D$545,D546,$E$4:$E$545,E546,$B$4:$B$545,"INGRESO")+SUMIFS($F$4:$F$545,$C$4:$C$545,C546,$D$4:$D$545,D546,$E$4:$E$545,E546,$B$4:$B$545,"DE REPROCESO")+SUMIFS($F$4:$F$545,$C$4:$C$545,C546,$D$4:$D$545,D546,$E$4:$E$545,E546,$B$4:$B$545,"AJUSTE+")-SUMIFS($F$4:$F$545,$C$4:$C$545,C546,$D$4:$D$545,D546,$E$4:$E$545,E546,$B$4:$B$545,"A CORTE")-SUMIFS($F$4:$F$545,$C$4:$C$545,C546,$D$4:$D$545,D546,$E$4:$E$545,E546,$B$4:$B$545,"A REPROCESO")-SUMIFS($F$4:$F$545,$C$4:$C$545,C546,$D$4:$D$545,D546,$E$4:$E$545,E546,$B$4:$B$545,"MUESTRA")-SUMIFS($F$4:$F$545,$C$4:$C$545,C546,$D$4:$D$545,D546,$E$4:$E$545,E546,$B$4:$B$545,"AJUSTE-")),0)</f>
        <v>0</v>
      </c>
      <c r="L546" s="13">
        <f t="shared" si="13"/>
        <v>0</v>
      </c>
      <c r="M546" s="8"/>
      <c r="N546" s="14"/>
      <c r="O546" s="14"/>
      <c r="P546" s="14"/>
      <c r="Q546" s="15"/>
      <c r="R546" s="16" t="str">
        <f t="shared" si="14"/>
        <v/>
      </c>
    </row>
    <row r="547" ht="15.75" customHeight="1">
      <c r="A547" s="7"/>
      <c r="B547" s="8"/>
      <c r="C547" s="8"/>
      <c r="D547" s="8"/>
      <c r="E547" s="8"/>
      <c r="F547" s="9"/>
      <c r="G547" s="10">
        <f>IFERROR(F547*VLOOKUP(D547,TELAS!$A$4:$C$32,3,FALSE()),0)</f>
        <v>0</v>
      </c>
      <c r="H547" s="11" t="str">
        <f>IFERROR(VLOOKUP(E547,COLORES!$A$4:$B$102,2,FALSE()),"")</f>
        <v/>
      </c>
      <c r="I547" s="12">
        <f>IFERROR(IF(H547="OSCURO",VLOOKUP(D547,PRECIOS!$A$4:$F$32,2,FALSE()),IF(H547="CLARO",VLOOKUP(D547,PRECIOS!$A$4:$F$32,3,FALSE()),IF(H547="MELANGE",VLOOKUP(D547,PRECIOS!$A$4:$F$32,4,FALSE()),IF(H547="PPT",VLOOKUP(D547,PRECIOS!$A$4:$F$32,5,FALSE()),0)))),0)</f>
        <v>0</v>
      </c>
      <c r="J547" s="12">
        <f t="shared" si="12"/>
        <v>0</v>
      </c>
      <c r="K547" s="13">
        <f>IFERROR(IF(C547="",0,SUMIFS($F$4:$F$546,$C$4:$C$546,C547,$D$4:$D$546,D547,$E$4:$E$546,E547,$B$4:$B$546,"INGRESO")+SUMIFS($F$4:$F$546,$C$4:$C$546,C547,$D$4:$D$546,D547,$E$4:$E$546,E547,$B$4:$B$546,"DE REPROCESO")+SUMIFS($F$4:$F$546,$C$4:$C$546,C547,$D$4:$D$546,D547,$E$4:$E$546,E547,$B$4:$B$546,"AJUSTE+")-SUMIFS($F$4:$F$546,$C$4:$C$546,C547,$D$4:$D$546,D547,$E$4:$E$546,E547,$B$4:$B$546,"A CORTE")-SUMIFS($F$4:$F$546,$C$4:$C$546,C547,$D$4:$D$546,D547,$E$4:$E$546,E547,$B$4:$B$546,"A REPROCESO")-SUMIFS($F$4:$F$546,$C$4:$C$546,C547,$D$4:$D$546,D547,$E$4:$E$546,E547,$B$4:$B$546,"MUESTRA")-SUMIFS($F$4:$F$546,$C$4:$C$546,C547,$D$4:$D$546,D547,$E$4:$E$546,E547,$B$4:$B$546,"AJUSTE-")),0)</f>
        <v>0</v>
      </c>
      <c r="L547" s="13">
        <f t="shared" si="13"/>
        <v>0</v>
      </c>
      <c r="M547" s="8"/>
      <c r="N547" s="14"/>
      <c r="O547" s="14"/>
      <c r="P547" s="14"/>
      <c r="Q547" s="15"/>
      <c r="R547" s="16" t="str">
        <f t="shared" si="14"/>
        <v/>
      </c>
    </row>
    <row r="548" ht="15.75" customHeight="1">
      <c r="A548" s="7"/>
      <c r="B548" s="8"/>
      <c r="C548" s="8"/>
      <c r="D548" s="8"/>
      <c r="E548" s="8"/>
      <c r="F548" s="9"/>
      <c r="G548" s="10">
        <f>IFERROR(F548*VLOOKUP(D548,TELAS!$A$4:$C$32,3,FALSE()),0)</f>
        <v>0</v>
      </c>
      <c r="H548" s="11" t="str">
        <f>IFERROR(VLOOKUP(E548,COLORES!$A$4:$B$102,2,FALSE()),"")</f>
        <v/>
      </c>
      <c r="I548" s="12">
        <f>IFERROR(IF(H548="OSCURO",VLOOKUP(D548,PRECIOS!$A$4:$F$32,2,FALSE()),IF(H548="CLARO",VLOOKUP(D548,PRECIOS!$A$4:$F$32,3,FALSE()),IF(H548="MELANGE",VLOOKUP(D548,PRECIOS!$A$4:$F$32,4,FALSE()),IF(H548="PPT",VLOOKUP(D548,PRECIOS!$A$4:$F$32,5,FALSE()),0)))),0)</f>
        <v>0</v>
      </c>
      <c r="J548" s="12">
        <f t="shared" si="12"/>
        <v>0</v>
      </c>
      <c r="K548" s="13">
        <f>IFERROR(IF(C548="",0,SUMIFS($F$4:$F$547,$C$4:$C$547,C548,$D$4:$D$547,D548,$E$4:$E$547,E548,$B$4:$B$547,"INGRESO")+SUMIFS($F$4:$F$547,$C$4:$C$547,C548,$D$4:$D$547,D548,$E$4:$E$547,E548,$B$4:$B$547,"DE REPROCESO")+SUMIFS($F$4:$F$547,$C$4:$C$547,C548,$D$4:$D$547,D548,$E$4:$E$547,E548,$B$4:$B$547,"AJUSTE+")-SUMIFS($F$4:$F$547,$C$4:$C$547,C548,$D$4:$D$547,D548,$E$4:$E$547,E548,$B$4:$B$547,"A CORTE")-SUMIFS($F$4:$F$547,$C$4:$C$547,C548,$D$4:$D$547,D548,$E$4:$E$547,E548,$B$4:$B$547,"A REPROCESO")-SUMIFS($F$4:$F$547,$C$4:$C$547,C548,$D$4:$D$547,D548,$E$4:$E$547,E548,$B$4:$B$547,"MUESTRA")-SUMIFS($F$4:$F$547,$C$4:$C$547,C548,$D$4:$D$547,D548,$E$4:$E$547,E548,$B$4:$B$547,"AJUSTE-")),0)</f>
        <v>0</v>
      </c>
      <c r="L548" s="13">
        <f t="shared" si="13"/>
        <v>0</v>
      </c>
      <c r="M548" s="8"/>
      <c r="N548" s="14"/>
      <c r="O548" s="14"/>
      <c r="P548" s="14"/>
      <c r="Q548" s="15"/>
      <c r="R548" s="16" t="str">
        <f t="shared" si="14"/>
        <v/>
      </c>
    </row>
    <row r="549" ht="15.75" customHeight="1">
      <c r="A549" s="7"/>
      <c r="B549" s="8"/>
      <c r="C549" s="8"/>
      <c r="D549" s="8"/>
      <c r="E549" s="8"/>
      <c r="F549" s="9"/>
      <c r="G549" s="10">
        <f>IFERROR(F549*VLOOKUP(D549,TELAS!$A$4:$C$32,3,FALSE()),0)</f>
        <v>0</v>
      </c>
      <c r="H549" s="11" t="str">
        <f>IFERROR(VLOOKUP(E549,COLORES!$A$4:$B$102,2,FALSE()),"")</f>
        <v/>
      </c>
      <c r="I549" s="12">
        <f>IFERROR(IF(H549="OSCURO",VLOOKUP(D549,PRECIOS!$A$4:$F$32,2,FALSE()),IF(H549="CLARO",VLOOKUP(D549,PRECIOS!$A$4:$F$32,3,FALSE()),IF(H549="MELANGE",VLOOKUP(D549,PRECIOS!$A$4:$F$32,4,FALSE()),IF(H549="PPT",VLOOKUP(D549,PRECIOS!$A$4:$F$32,5,FALSE()),0)))),0)</f>
        <v>0</v>
      </c>
      <c r="J549" s="12">
        <f t="shared" si="12"/>
        <v>0</v>
      </c>
      <c r="K549" s="13">
        <f>IFERROR(IF(C549="",0,SUMIFS($F$4:$F$548,$C$4:$C$548,C549,$D$4:$D$548,D549,$E$4:$E$548,E549,$B$4:$B$548,"INGRESO")+SUMIFS($F$4:$F$548,$C$4:$C$548,C549,$D$4:$D$548,D549,$E$4:$E$548,E549,$B$4:$B$548,"DE REPROCESO")+SUMIFS($F$4:$F$548,$C$4:$C$548,C549,$D$4:$D$548,D549,$E$4:$E$548,E549,$B$4:$B$548,"AJUSTE+")-SUMIFS($F$4:$F$548,$C$4:$C$548,C549,$D$4:$D$548,D549,$E$4:$E$548,E549,$B$4:$B$548,"A CORTE")-SUMIFS($F$4:$F$548,$C$4:$C$548,C549,$D$4:$D$548,D549,$E$4:$E$548,E549,$B$4:$B$548,"A REPROCESO")-SUMIFS($F$4:$F$548,$C$4:$C$548,C549,$D$4:$D$548,D549,$E$4:$E$548,E549,$B$4:$B$548,"MUESTRA")-SUMIFS($F$4:$F$548,$C$4:$C$548,C549,$D$4:$D$548,D549,$E$4:$E$548,E549,$B$4:$B$548,"AJUSTE-")),0)</f>
        <v>0</v>
      </c>
      <c r="L549" s="13">
        <f t="shared" si="13"/>
        <v>0</v>
      </c>
      <c r="M549" s="8"/>
      <c r="N549" s="14"/>
      <c r="O549" s="14"/>
      <c r="P549" s="14"/>
      <c r="Q549" s="15"/>
      <c r="R549" s="16" t="str">
        <f t="shared" si="14"/>
        <v/>
      </c>
    </row>
    <row r="550" ht="15.75" customHeight="1">
      <c r="A550" s="7"/>
      <c r="B550" s="8"/>
      <c r="C550" s="8"/>
      <c r="D550" s="8"/>
      <c r="E550" s="8"/>
      <c r="F550" s="9"/>
      <c r="G550" s="10">
        <f>IFERROR(F550*VLOOKUP(D550,TELAS!$A$4:$C$32,3,FALSE()),0)</f>
        <v>0</v>
      </c>
      <c r="H550" s="11" t="str">
        <f>IFERROR(VLOOKUP(E550,COLORES!$A$4:$B$102,2,FALSE()),"")</f>
        <v/>
      </c>
      <c r="I550" s="12">
        <f>IFERROR(IF(H550="OSCURO",VLOOKUP(D550,PRECIOS!$A$4:$F$32,2,FALSE()),IF(H550="CLARO",VLOOKUP(D550,PRECIOS!$A$4:$F$32,3,FALSE()),IF(H550="MELANGE",VLOOKUP(D550,PRECIOS!$A$4:$F$32,4,FALSE()),IF(H550="PPT",VLOOKUP(D550,PRECIOS!$A$4:$F$32,5,FALSE()),0)))),0)</f>
        <v>0</v>
      </c>
      <c r="J550" s="12">
        <f t="shared" si="12"/>
        <v>0</v>
      </c>
      <c r="K550" s="13">
        <f>IFERROR(IF(C550="",0,SUMIFS($F$4:$F$549,$C$4:$C$549,C550,$D$4:$D$549,D550,$E$4:$E$549,E550,$B$4:$B$549,"INGRESO")+SUMIFS($F$4:$F$549,$C$4:$C$549,C550,$D$4:$D$549,D550,$E$4:$E$549,E550,$B$4:$B$549,"DE REPROCESO")+SUMIFS($F$4:$F$549,$C$4:$C$549,C550,$D$4:$D$549,D550,$E$4:$E$549,E550,$B$4:$B$549,"AJUSTE+")-SUMIFS($F$4:$F$549,$C$4:$C$549,C550,$D$4:$D$549,D550,$E$4:$E$549,E550,$B$4:$B$549,"A CORTE")-SUMIFS($F$4:$F$549,$C$4:$C$549,C550,$D$4:$D$549,D550,$E$4:$E$549,E550,$B$4:$B$549,"A REPROCESO")-SUMIFS($F$4:$F$549,$C$4:$C$549,C550,$D$4:$D$549,D550,$E$4:$E$549,E550,$B$4:$B$549,"MUESTRA")-SUMIFS($F$4:$F$549,$C$4:$C$549,C550,$D$4:$D$549,D550,$E$4:$E$549,E550,$B$4:$B$549,"AJUSTE-")),0)</f>
        <v>0</v>
      </c>
      <c r="L550" s="13">
        <f t="shared" si="13"/>
        <v>0</v>
      </c>
      <c r="M550" s="8"/>
      <c r="N550" s="14"/>
      <c r="O550" s="14"/>
      <c r="P550" s="14"/>
      <c r="Q550" s="15"/>
      <c r="R550" s="16" t="str">
        <f t="shared" si="14"/>
        <v/>
      </c>
    </row>
    <row r="551" ht="15.75" customHeight="1">
      <c r="A551" s="7"/>
      <c r="B551" s="8"/>
      <c r="C551" s="8"/>
      <c r="D551" s="8"/>
      <c r="E551" s="8"/>
      <c r="F551" s="9"/>
      <c r="G551" s="10">
        <f>IFERROR(F551*VLOOKUP(D551,TELAS!$A$4:$C$32,3,FALSE()),0)</f>
        <v>0</v>
      </c>
      <c r="H551" s="11" t="str">
        <f>IFERROR(VLOOKUP(E551,COLORES!$A$4:$B$102,2,FALSE()),"")</f>
        <v/>
      </c>
      <c r="I551" s="12">
        <f>IFERROR(IF(H551="OSCURO",VLOOKUP(D551,PRECIOS!$A$4:$F$32,2,FALSE()),IF(H551="CLARO",VLOOKUP(D551,PRECIOS!$A$4:$F$32,3,FALSE()),IF(H551="MELANGE",VLOOKUP(D551,PRECIOS!$A$4:$F$32,4,FALSE()),IF(H551="PPT",VLOOKUP(D551,PRECIOS!$A$4:$F$32,5,FALSE()),0)))),0)</f>
        <v>0</v>
      </c>
      <c r="J551" s="12">
        <f t="shared" si="12"/>
        <v>0</v>
      </c>
      <c r="K551" s="13">
        <f>IFERROR(IF(C551="",0,SUMIFS($F$4:$F$550,$C$4:$C$550,C551,$D$4:$D$550,D551,$E$4:$E$550,E551,$B$4:$B$550,"INGRESO")+SUMIFS($F$4:$F$550,$C$4:$C$550,C551,$D$4:$D$550,D551,$E$4:$E$550,E551,$B$4:$B$550,"DE REPROCESO")+SUMIFS($F$4:$F$550,$C$4:$C$550,C551,$D$4:$D$550,D551,$E$4:$E$550,E551,$B$4:$B$550,"AJUSTE+")-SUMIFS($F$4:$F$550,$C$4:$C$550,C551,$D$4:$D$550,D551,$E$4:$E$550,E551,$B$4:$B$550,"A CORTE")-SUMIFS($F$4:$F$550,$C$4:$C$550,C551,$D$4:$D$550,D551,$E$4:$E$550,E551,$B$4:$B$550,"A REPROCESO")-SUMIFS($F$4:$F$550,$C$4:$C$550,C551,$D$4:$D$550,D551,$E$4:$E$550,E551,$B$4:$B$550,"MUESTRA")-SUMIFS($F$4:$F$550,$C$4:$C$550,C551,$D$4:$D$550,D551,$E$4:$E$550,E551,$B$4:$B$550,"AJUSTE-")),0)</f>
        <v>0</v>
      </c>
      <c r="L551" s="13">
        <f t="shared" si="13"/>
        <v>0</v>
      </c>
      <c r="M551" s="8"/>
      <c r="N551" s="14"/>
      <c r="O551" s="14"/>
      <c r="P551" s="14"/>
      <c r="Q551" s="15"/>
      <c r="R551" s="16" t="str">
        <f t="shared" si="14"/>
        <v/>
      </c>
    </row>
    <row r="552" ht="15.75" customHeight="1">
      <c r="A552" s="7"/>
      <c r="B552" s="8"/>
      <c r="C552" s="8"/>
      <c r="D552" s="8"/>
      <c r="E552" s="8"/>
      <c r="F552" s="9"/>
      <c r="G552" s="10">
        <f>IFERROR(F552*VLOOKUP(D552,TELAS!$A$4:$C$32,3,FALSE()),0)</f>
        <v>0</v>
      </c>
      <c r="H552" s="11" t="str">
        <f>IFERROR(VLOOKUP(E552,COLORES!$A$4:$B$102,2,FALSE()),"")</f>
        <v/>
      </c>
      <c r="I552" s="12">
        <f>IFERROR(IF(H552="OSCURO",VLOOKUP(D552,PRECIOS!$A$4:$F$32,2,FALSE()),IF(H552="CLARO",VLOOKUP(D552,PRECIOS!$A$4:$F$32,3,FALSE()),IF(H552="MELANGE",VLOOKUP(D552,PRECIOS!$A$4:$F$32,4,FALSE()),IF(H552="PPT",VLOOKUP(D552,PRECIOS!$A$4:$F$32,5,FALSE()),0)))),0)</f>
        <v>0</v>
      </c>
      <c r="J552" s="12">
        <f t="shared" si="12"/>
        <v>0</v>
      </c>
      <c r="K552" s="13">
        <f>IFERROR(IF(C552="",0,SUMIFS($F$4:$F$551,$C$4:$C$551,C552,$D$4:$D$551,D552,$E$4:$E$551,E552,$B$4:$B$551,"INGRESO")+SUMIFS($F$4:$F$551,$C$4:$C$551,C552,$D$4:$D$551,D552,$E$4:$E$551,E552,$B$4:$B$551,"DE REPROCESO")+SUMIFS($F$4:$F$551,$C$4:$C$551,C552,$D$4:$D$551,D552,$E$4:$E$551,E552,$B$4:$B$551,"AJUSTE+")-SUMIFS($F$4:$F$551,$C$4:$C$551,C552,$D$4:$D$551,D552,$E$4:$E$551,E552,$B$4:$B$551,"A CORTE")-SUMIFS($F$4:$F$551,$C$4:$C$551,C552,$D$4:$D$551,D552,$E$4:$E$551,E552,$B$4:$B$551,"A REPROCESO")-SUMIFS($F$4:$F$551,$C$4:$C$551,C552,$D$4:$D$551,D552,$E$4:$E$551,E552,$B$4:$B$551,"MUESTRA")-SUMIFS($F$4:$F$551,$C$4:$C$551,C552,$D$4:$D$551,D552,$E$4:$E$551,E552,$B$4:$B$551,"AJUSTE-")),0)</f>
        <v>0</v>
      </c>
      <c r="L552" s="13">
        <f t="shared" si="13"/>
        <v>0</v>
      </c>
      <c r="M552" s="8"/>
      <c r="N552" s="14"/>
      <c r="O552" s="14"/>
      <c r="P552" s="14"/>
      <c r="Q552" s="15"/>
      <c r="R552" s="16" t="str">
        <f t="shared" si="14"/>
        <v/>
      </c>
    </row>
    <row r="553" ht="15.75" customHeight="1">
      <c r="A553" s="7"/>
      <c r="B553" s="8"/>
      <c r="C553" s="8"/>
      <c r="D553" s="8"/>
      <c r="E553" s="8"/>
      <c r="F553" s="9"/>
      <c r="G553" s="10">
        <f>IFERROR(F553*VLOOKUP(D553,TELAS!$A$4:$C$32,3,FALSE()),0)</f>
        <v>0</v>
      </c>
      <c r="H553" s="11" t="str">
        <f>IFERROR(VLOOKUP(E553,COLORES!$A$4:$B$102,2,FALSE()),"")</f>
        <v/>
      </c>
      <c r="I553" s="12">
        <f>IFERROR(IF(H553="OSCURO",VLOOKUP(D553,PRECIOS!$A$4:$F$32,2,FALSE()),IF(H553="CLARO",VLOOKUP(D553,PRECIOS!$A$4:$F$32,3,FALSE()),IF(H553="MELANGE",VLOOKUP(D553,PRECIOS!$A$4:$F$32,4,FALSE()),IF(H553="PPT",VLOOKUP(D553,PRECIOS!$A$4:$F$32,5,FALSE()),0)))),0)</f>
        <v>0</v>
      </c>
      <c r="J553" s="12">
        <f t="shared" si="12"/>
        <v>0</v>
      </c>
      <c r="K553" s="13">
        <f>IFERROR(IF(C553="",0,SUMIFS($F$4:$F$552,$C$4:$C$552,C553,$D$4:$D$552,D553,$E$4:$E$552,E553,$B$4:$B$552,"INGRESO")+SUMIFS($F$4:$F$552,$C$4:$C$552,C553,$D$4:$D$552,D553,$E$4:$E$552,E553,$B$4:$B$552,"DE REPROCESO")+SUMIFS($F$4:$F$552,$C$4:$C$552,C553,$D$4:$D$552,D553,$E$4:$E$552,E553,$B$4:$B$552,"AJUSTE+")-SUMIFS($F$4:$F$552,$C$4:$C$552,C553,$D$4:$D$552,D553,$E$4:$E$552,E553,$B$4:$B$552,"A CORTE")-SUMIFS($F$4:$F$552,$C$4:$C$552,C553,$D$4:$D$552,D553,$E$4:$E$552,E553,$B$4:$B$552,"A REPROCESO")-SUMIFS($F$4:$F$552,$C$4:$C$552,C553,$D$4:$D$552,D553,$E$4:$E$552,E553,$B$4:$B$552,"MUESTRA")-SUMIFS($F$4:$F$552,$C$4:$C$552,C553,$D$4:$D$552,D553,$E$4:$E$552,E553,$B$4:$B$552,"AJUSTE-")),0)</f>
        <v>0</v>
      </c>
      <c r="L553" s="13">
        <f t="shared" si="13"/>
        <v>0</v>
      </c>
      <c r="M553" s="8"/>
      <c r="N553" s="14"/>
      <c r="O553" s="14"/>
      <c r="P553" s="14"/>
      <c r="Q553" s="15"/>
      <c r="R553" s="16" t="str">
        <f t="shared" si="14"/>
        <v/>
      </c>
    </row>
    <row r="554" ht="15.75" customHeight="1">
      <c r="A554" s="7"/>
      <c r="B554" s="8"/>
      <c r="C554" s="8"/>
      <c r="D554" s="8"/>
      <c r="E554" s="8"/>
      <c r="F554" s="9"/>
      <c r="G554" s="10">
        <f>IFERROR(F554*VLOOKUP(D554,TELAS!$A$4:$C$32,3,FALSE()),0)</f>
        <v>0</v>
      </c>
      <c r="H554" s="11" t="str">
        <f>IFERROR(VLOOKUP(E554,COLORES!$A$4:$B$102,2,FALSE()),"")</f>
        <v/>
      </c>
      <c r="I554" s="12">
        <f>IFERROR(IF(H554="OSCURO",VLOOKUP(D554,PRECIOS!$A$4:$F$32,2,FALSE()),IF(H554="CLARO",VLOOKUP(D554,PRECIOS!$A$4:$F$32,3,FALSE()),IF(H554="MELANGE",VLOOKUP(D554,PRECIOS!$A$4:$F$32,4,FALSE()),IF(H554="PPT",VLOOKUP(D554,PRECIOS!$A$4:$F$32,5,FALSE()),0)))),0)</f>
        <v>0</v>
      </c>
      <c r="J554" s="12">
        <f t="shared" si="12"/>
        <v>0</v>
      </c>
      <c r="K554" s="13">
        <f>IFERROR(IF(C554="",0,SUMIFS($F$4:$F$553,$C$4:$C$553,C554,$D$4:$D$553,D554,$E$4:$E$553,E554,$B$4:$B$553,"INGRESO")+SUMIFS($F$4:$F$553,$C$4:$C$553,C554,$D$4:$D$553,D554,$E$4:$E$553,E554,$B$4:$B$553,"DE REPROCESO")+SUMIFS($F$4:$F$553,$C$4:$C$553,C554,$D$4:$D$553,D554,$E$4:$E$553,E554,$B$4:$B$553,"AJUSTE+")-SUMIFS($F$4:$F$553,$C$4:$C$553,C554,$D$4:$D$553,D554,$E$4:$E$553,E554,$B$4:$B$553,"A CORTE")-SUMIFS($F$4:$F$553,$C$4:$C$553,C554,$D$4:$D$553,D554,$E$4:$E$553,E554,$B$4:$B$553,"A REPROCESO")-SUMIFS($F$4:$F$553,$C$4:$C$553,C554,$D$4:$D$553,D554,$E$4:$E$553,E554,$B$4:$B$553,"MUESTRA")-SUMIFS($F$4:$F$553,$C$4:$C$553,C554,$D$4:$D$553,D554,$E$4:$E$553,E554,$B$4:$B$553,"AJUSTE-")),0)</f>
        <v>0</v>
      </c>
      <c r="L554" s="13">
        <f t="shared" si="13"/>
        <v>0</v>
      </c>
      <c r="M554" s="8"/>
      <c r="N554" s="14"/>
      <c r="O554" s="14"/>
      <c r="P554" s="14"/>
      <c r="Q554" s="15"/>
      <c r="R554" s="16" t="str">
        <f t="shared" si="14"/>
        <v/>
      </c>
    </row>
    <row r="555" ht="15.75" customHeight="1">
      <c r="A555" s="7"/>
      <c r="B555" s="8"/>
      <c r="C555" s="8"/>
      <c r="D555" s="8"/>
      <c r="E555" s="8"/>
      <c r="F555" s="9"/>
      <c r="G555" s="10">
        <f>IFERROR(F555*VLOOKUP(D555,TELAS!$A$4:$C$32,3,FALSE()),0)</f>
        <v>0</v>
      </c>
      <c r="H555" s="11" t="str">
        <f>IFERROR(VLOOKUP(E555,COLORES!$A$4:$B$102,2,FALSE()),"")</f>
        <v/>
      </c>
      <c r="I555" s="12">
        <f>IFERROR(IF(H555="OSCURO",VLOOKUP(D555,PRECIOS!$A$4:$F$32,2,FALSE()),IF(H555="CLARO",VLOOKUP(D555,PRECIOS!$A$4:$F$32,3,FALSE()),IF(H555="MELANGE",VLOOKUP(D555,PRECIOS!$A$4:$F$32,4,FALSE()),IF(H555="PPT",VLOOKUP(D555,PRECIOS!$A$4:$F$32,5,FALSE()),0)))),0)</f>
        <v>0</v>
      </c>
      <c r="J555" s="12">
        <f t="shared" si="12"/>
        <v>0</v>
      </c>
      <c r="K555" s="13">
        <f>IFERROR(IF(C555="",0,SUMIFS($F$4:$F$554,$C$4:$C$554,C555,$D$4:$D$554,D555,$E$4:$E$554,E555,$B$4:$B$554,"INGRESO")+SUMIFS($F$4:$F$554,$C$4:$C$554,C555,$D$4:$D$554,D555,$E$4:$E$554,E555,$B$4:$B$554,"DE REPROCESO")+SUMIFS($F$4:$F$554,$C$4:$C$554,C555,$D$4:$D$554,D555,$E$4:$E$554,E555,$B$4:$B$554,"AJUSTE+")-SUMIFS($F$4:$F$554,$C$4:$C$554,C555,$D$4:$D$554,D555,$E$4:$E$554,E555,$B$4:$B$554,"A CORTE")-SUMIFS($F$4:$F$554,$C$4:$C$554,C555,$D$4:$D$554,D555,$E$4:$E$554,E555,$B$4:$B$554,"A REPROCESO")-SUMIFS($F$4:$F$554,$C$4:$C$554,C555,$D$4:$D$554,D555,$E$4:$E$554,E555,$B$4:$B$554,"MUESTRA")-SUMIFS($F$4:$F$554,$C$4:$C$554,C555,$D$4:$D$554,D555,$E$4:$E$554,E555,$B$4:$B$554,"AJUSTE-")),0)</f>
        <v>0</v>
      </c>
      <c r="L555" s="13">
        <f t="shared" si="13"/>
        <v>0</v>
      </c>
      <c r="M555" s="8"/>
      <c r="N555" s="14"/>
      <c r="O555" s="14"/>
      <c r="P555" s="14"/>
      <c r="Q555" s="15"/>
      <c r="R555" s="16" t="str">
        <f t="shared" si="14"/>
        <v/>
      </c>
    </row>
    <row r="556" ht="15.75" customHeight="1">
      <c r="A556" s="7"/>
      <c r="B556" s="8"/>
      <c r="C556" s="8"/>
      <c r="D556" s="8"/>
      <c r="E556" s="8"/>
      <c r="F556" s="9"/>
      <c r="G556" s="10">
        <f>IFERROR(F556*VLOOKUP(D556,TELAS!$A$4:$C$32,3,FALSE()),0)</f>
        <v>0</v>
      </c>
      <c r="H556" s="11" t="str">
        <f>IFERROR(VLOOKUP(E556,COLORES!$A$4:$B$102,2,FALSE()),"")</f>
        <v/>
      </c>
      <c r="I556" s="12">
        <f>IFERROR(IF(H556="OSCURO",VLOOKUP(D556,PRECIOS!$A$4:$F$32,2,FALSE()),IF(H556="CLARO",VLOOKUP(D556,PRECIOS!$A$4:$F$32,3,FALSE()),IF(H556="MELANGE",VLOOKUP(D556,PRECIOS!$A$4:$F$32,4,FALSE()),IF(H556="PPT",VLOOKUP(D556,PRECIOS!$A$4:$F$32,5,FALSE()),0)))),0)</f>
        <v>0</v>
      </c>
      <c r="J556" s="12">
        <f t="shared" si="12"/>
        <v>0</v>
      </c>
      <c r="K556" s="13">
        <f>IFERROR(IF(C556="",0,SUMIFS($F$4:$F$555,$C$4:$C$555,C556,$D$4:$D$555,D556,$E$4:$E$555,E556,$B$4:$B$555,"INGRESO")+SUMIFS($F$4:$F$555,$C$4:$C$555,C556,$D$4:$D$555,D556,$E$4:$E$555,E556,$B$4:$B$555,"DE REPROCESO")+SUMIFS($F$4:$F$555,$C$4:$C$555,C556,$D$4:$D$555,D556,$E$4:$E$555,E556,$B$4:$B$555,"AJUSTE+")-SUMIFS($F$4:$F$555,$C$4:$C$555,C556,$D$4:$D$555,D556,$E$4:$E$555,E556,$B$4:$B$555,"A CORTE")-SUMIFS($F$4:$F$555,$C$4:$C$555,C556,$D$4:$D$555,D556,$E$4:$E$555,E556,$B$4:$B$555,"A REPROCESO")-SUMIFS($F$4:$F$555,$C$4:$C$555,C556,$D$4:$D$555,D556,$E$4:$E$555,E556,$B$4:$B$555,"MUESTRA")-SUMIFS($F$4:$F$555,$C$4:$C$555,C556,$D$4:$D$555,D556,$E$4:$E$555,E556,$B$4:$B$555,"AJUSTE-")),0)</f>
        <v>0</v>
      </c>
      <c r="L556" s="13">
        <f t="shared" si="13"/>
        <v>0</v>
      </c>
      <c r="M556" s="8"/>
      <c r="N556" s="14"/>
      <c r="O556" s="14"/>
      <c r="P556" s="14"/>
      <c r="Q556" s="15"/>
      <c r="R556" s="16" t="str">
        <f t="shared" si="14"/>
        <v/>
      </c>
    </row>
    <row r="557" ht="15.75" customHeight="1">
      <c r="A557" s="7"/>
      <c r="B557" s="8"/>
      <c r="C557" s="8"/>
      <c r="D557" s="8"/>
      <c r="E557" s="8"/>
      <c r="F557" s="9"/>
      <c r="G557" s="10">
        <f>IFERROR(F557*VLOOKUP(D557,TELAS!$A$4:$C$32,3,FALSE()),0)</f>
        <v>0</v>
      </c>
      <c r="H557" s="11" t="str">
        <f>IFERROR(VLOOKUP(E557,COLORES!$A$4:$B$102,2,FALSE()),"")</f>
        <v/>
      </c>
      <c r="I557" s="12">
        <f>IFERROR(IF(H557="OSCURO",VLOOKUP(D557,PRECIOS!$A$4:$F$32,2,FALSE()),IF(H557="CLARO",VLOOKUP(D557,PRECIOS!$A$4:$F$32,3,FALSE()),IF(H557="MELANGE",VLOOKUP(D557,PRECIOS!$A$4:$F$32,4,FALSE()),IF(H557="PPT",VLOOKUP(D557,PRECIOS!$A$4:$F$32,5,FALSE()),0)))),0)</f>
        <v>0</v>
      </c>
      <c r="J557" s="12">
        <f t="shared" si="12"/>
        <v>0</v>
      </c>
      <c r="K557" s="13">
        <f>IFERROR(IF(C557="",0,SUMIFS($F$4:$F$556,$C$4:$C$556,C557,$D$4:$D$556,D557,$E$4:$E$556,E557,$B$4:$B$556,"INGRESO")+SUMIFS($F$4:$F$556,$C$4:$C$556,C557,$D$4:$D$556,D557,$E$4:$E$556,E557,$B$4:$B$556,"DE REPROCESO")+SUMIFS($F$4:$F$556,$C$4:$C$556,C557,$D$4:$D$556,D557,$E$4:$E$556,E557,$B$4:$B$556,"AJUSTE+")-SUMIFS($F$4:$F$556,$C$4:$C$556,C557,$D$4:$D$556,D557,$E$4:$E$556,E557,$B$4:$B$556,"A CORTE")-SUMIFS($F$4:$F$556,$C$4:$C$556,C557,$D$4:$D$556,D557,$E$4:$E$556,E557,$B$4:$B$556,"A REPROCESO")-SUMIFS($F$4:$F$556,$C$4:$C$556,C557,$D$4:$D$556,D557,$E$4:$E$556,E557,$B$4:$B$556,"MUESTRA")-SUMIFS($F$4:$F$556,$C$4:$C$556,C557,$D$4:$D$556,D557,$E$4:$E$556,E557,$B$4:$B$556,"AJUSTE-")),0)</f>
        <v>0</v>
      </c>
      <c r="L557" s="13">
        <f t="shared" si="13"/>
        <v>0</v>
      </c>
      <c r="M557" s="8"/>
      <c r="N557" s="14"/>
      <c r="O557" s="14"/>
      <c r="P557" s="14"/>
      <c r="Q557" s="15"/>
      <c r="R557" s="16" t="str">
        <f t="shared" si="14"/>
        <v/>
      </c>
    </row>
    <row r="558" ht="15.75" customHeight="1">
      <c r="A558" s="7"/>
      <c r="B558" s="8"/>
      <c r="C558" s="8"/>
      <c r="D558" s="8"/>
      <c r="E558" s="8"/>
      <c r="F558" s="9"/>
      <c r="G558" s="10">
        <f>IFERROR(F558*VLOOKUP(D558,TELAS!$A$4:$C$32,3,FALSE()),0)</f>
        <v>0</v>
      </c>
      <c r="H558" s="11" t="str">
        <f>IFERROR(VLOOKUP(E558,COLORES!$A$4:$B$102,2,FALSE()),"")</f>
        <v/>
      </c>
      <c r="I558" s="12">
        <f>IFERROR(IF(H558="OSCURO",VLOOKUP(D558,PRECIOS!$A$4:$F$32,2,FALSE()),IF(H558="CLARO",VLOOKUP(D558,PRECIOS!$A$4:$F$32,3,FALSE()),IF(H558="MELANGE",VLOOKUP(D558,PRECIOS!$A$4:$F$32,4,FALSE()),IF(H558="PPT",VLOOKUP(D558,PRECIOS!$A$4:$F$32,5,FALSE()),0)))),0)</f>
        <v>0</v>
      </c>
      <c r="J558" s="12">
        <f t="shared" si="12"/>
        <v>0</v>
      </c>
      <c r="K558" s="13">
        <f>IFERROR(IF(C558="",0,SUMIFS($F$4:$F$557,$C$4:$C$557,C558,$D$4:$D$557,D558,$E$4:$E$557,E558,$B$4:$B$557,"INGRESO")+SUMIFS($F$4:$F$557,$C$4:$C$557,C558,$D$4:$D$557,D558,$E$4:$E$557,E558,$B$4:$B$557,"DE REPROCESO")+SUMIFS($F$4:$F$557,$C$4:$C$557,C558,$D$4:$D$557,D558,$E$4:$E$557,E558,$B$4:$B$557,"AJUSTE+")-SUMIFS($F$4:$F$557,$C$4:$C$557,C558,$D$4:$D$557,D558,$E$4:$E$557,E558,$B$4:$B$557,"A CORTE")-SUMIFS($F$4:$F$557,$C$4:$C$557,C558,$D$4:$D$557,D558,$E$4:$E$557,E558,$B$4:$B$557,"A REPROCESO")-SUMIFS($F$4:$F$557,$C$4:$C$557,C558,$D$4:$D$557,D558,$E$4:$E$557,E558,$B$4:$B$557,"MUESTRA")-SUMIFS($F$4:$F$557,$C$4:$C$557,C558,$D$4:$D$557,D558,$E$4:$E$557,E558,$B$4:$B$557,"AJUSTE-")),0)</f>
        <v>0</v>
      </c>
      <c r="L558" s="13">
        <f t="shared" si="13"/>
        <v>0</v>
      </c>
      <c r="M558" s="8"/>
      <c r="N558" s="14"/>
      <c r="O558" s="14"/>
      <c r="P558" s="14"/>
      <c r="Q558" s="15"/>
      <c r="R558" s="16" t="str">
        <f t="shared" si="14"/>
        <v/>
      </c>
    </row>
    <row r="559" ht="15.75" customHeight="1">
      <c r="A559" s="7"/>
      <c r="B559" s="8"/>
      <c r="C559" s="8"/>
      <c r="D559" s="8"/>
      <c r="E559" s="8"/>
      <c r="F559" s="9"/>
      <c r="G559" s="10">
        <f>IFERROR(F559*VLOOKUP(D559,TELAS!$A$4:$C$32,3,FALSE()),0)</f>
        <v>0</v>
      </c>
      <c r="H559" s="11" t="str">
        <f>IFERROR(VLOOKUP(E559,COLORES!$A$4:$B$102,2,FALSE()),"")</f>
        <v/>
      </c>
      <c r="I559" s="12">
        <f>IFERROR(IF(H559="OSCURO",VLOOKUP(D559,PRECIOS!$A$4:$F$32,2,FALSE()),IF(H559="CLARO",VLOOKUP(D559,PRECIOS!$A$4:$F$32,3,FALSE()),IF(H559="MELANGE",VLOOKUP(D559,PRECIOS!$A$4:$F$32,4,FALSE()),IF(H559="PPT",VLOOKUP(D559,PRECIOS!$A$4:$F$32,5,FALSE()),0)))),0)</f>
        <v>0</v>
      </c>
      <c r="J559" s="12">
        <f t="shared" si="12"/>
        <v>0</v>
      </c>
      <c r="K559" s="13">
        <f>IFERROR(IF(C559="",0,SUMIFS($F$4:$F$558,$C$4:$C$558,C559,$D$4:$D$558,D559,$E$4:$E$558,E559,$B$4:$B$558,"INGRESO")+SUMIFS($F$4:$F$558,$C$4:$C$558,C559,$D$4:$D$558,D559,$E$4:$E$558,E559,$B$4:$B$558,"DE REPROCESO")+SUMIFS($F$4:$F$558,$C$4:$C$558,C559,$D$4:$D$558,D559,$E$4:$E$558,E559,$B$4:$B$558,"AJUSTE+")-SUMIFS($F$4:$F$558,$C$4:$C$558,C559,$D$4:$D$558,D559,$E$4:$E$558,E559,$B$4:$B$558,"A CORTE")-SUMIFS($F$4:$F$558,$C$4:$C$558,C559,$D$4:$D$558,D559,$E$4:$E$558,E559,$B$4:$B$558,"A REPROCESO")-SUMIFS($F$4:$F$558,$C$4:$C$558,C559,$D$4:$D$558,D559,$E$4:$E$558,E559,$B$4:$B$558,"MUESTRA")-SUMIFS($F$4:$F$558,$C$4:$C$558,C559,$D$4:$D$558,D559,$E$4:$E$558,E559,$B$4:$B$558,"AJUSTE-")),0)</f>
        <v>0</v>
      </c>
      <c r="L559" s="13">
        <f t="shared" si="13"/>
        <v>0</v>
      </c>
      <c r="M559" s="8"/>
      <c r="N559" s="14"/>
      <c r="O559" s="14"/>
      <c r="P559" s="14"/>
      <c r="Q559" s="15"/>
      <c r="R559" s="16" t="str">
        <f t="shared" si="14"/>
        <v/>
      </c>
    </row>
    <row r="560" ht="15.75" customHeight="1">
      <c r="A560" s="7"/>
      <c r="B560" s="8"/>
      <c r="C560" s="8"/>
      <c r="D560" s="8"/>
      <c r="E560" s="8"/>
      <c r="F560" s="9"/>
      <c r="G560" s="10">
        <f>IFERROR(F560*VLOOKUP(D560,TELAS!$A$4:$C$32,3,FALSE()),0)</f>
        <v>0</v>
      </c>
      <c r="H560" s="11" t="str">
        <f>IFERROR(VLOOKUP(E560,COLORES!$A$4:$B$102,2,FALSE()),"")</f>
        <v/>
      </c>
      <c r="I560" s="12">
        <f>IFERROR(IF(H560="OSCURO",VLOOKUP(D560,PRECIOS!$A$4:$F$32,2,FALSE()),IF(H560="CLARO",VLOOKUP(D560,PRECIOS!$A$4:$F$32,3,FALSE()),IF(H560="MELANGE",VLOOKUP(D560,PRECIOS!$A$4:$F$32,4,FALSE()),IF(H560="PPT",VLOOKUP(D560,PRECIOS!$A$4:$F$32,5,FALSE()),0)))),0)</f>
        <v>0</v>
      </c>
      <c r="J560" s="12">
        <f t="shared" si="12"/>
        <v>0</v>
      </c>
      <c r="K560" s="13">
        <f>IFERROR(IF(C560="",0,SUMIFS($F$4:$F$559,$C$4:$C$559,C560,$D$4:$D$559,D560,$E$4:$E$559,E560,$B$4:$B$559,"INGRESO")+SUMIFS($F$4:$F$559,$C$4:$C$559,C560,$D$4:$D$559,D560,$E$4:$E$559,E560,$B$4:$B$559,"DE REPROCESO")+SUMIFS($F$4:$F$559,$C$4:$C$559,C560,$D$4:$D$559,D560,$E$4:$E$559,E560,$B$4:$B$559,"AJUSTE+")-SUMIFS($F$4:$F$559,$C$4:$C$559,C560,$D$4:$D$559,D560,$E$4:$E$559,E560,$B$4:$B$559,"A CORTE")-SUMIFS($F$4:$F$559,$C$4:$C$559,C560,$D$4:$D$559,D560,$E$4:$E$559,E560,$B$4:$B$559,"A REPROCESO")-SUMIFS($F$4:$F$559,$C$4:$C$559,C560,$D$4:$D$559,D560,$E$4:$E$559,E560,$B$4:$B$559,"MUESTRA")-SUMIFS($F$4:$F$559,$C$4:$C$559,C560,$D$4:$D$559,D560,$E$4:$E$559,E560,$B$4:$B$559,"AJUSTE-")),0)</f>
        <v>0</v>
      </c>
      <c r="L560" s="13">
        <f t="shared" si="13"/>
        <v>0</v>
      </c>
      <c r="M560" s="8"/>
      <c r="N560" s="14"/>
      <c r="O560" s="14"/>
      <c r="P560" s="14"/>
      <c r="Q560" s="15"/>
      <c r="R560" s="16" t="str">
        <f t="shared" si="14"/>
        <v/>
      </c>
    </row>
    <row r="561" ht="15.75" customHeight="1">
      <c r="A561" s="7"/>
      <c r="B561" s="8"/>
      <c r="C561" s="8"/>
      <c r="D561" s="8"/>
      <c r="E561" s="8"/>
      <c r="F561" s="9"/>
      <c r="G561" s="10">
        <f>IFERROR(F561*VLOOKUP(D561,TELAS!$A$4:$C$32,3,FALSE()),0)</f>
        <v>0</v>
      </c>
      <c r="H561" s="11" t="str">
        <f>IFERROR(VLOOKUP(E561,COLORES!$A$4:$B$102,2,FALSE()),"")</f>
        <v/>
      </c>
      <c r="I561" s="12">
        <f>IFERROR(IF(H561="OSCURO",VLOOKUP(D561,PRECIOS!$A$4:$F$32,2,FALSE()),IF(H561="CLARO",VLOOKUP(D561,PRECIOS!$A$4:$F$32,3,FALSE()),IF(H561="MELANGE",VLOOKUP(D561,PRECIOS!$A$4:$F$32,4,FALSE()),IF(H561="PPT",VLOOKUP(D561,PRECIOS!$A$4:$F$32,5,FALSE()),0)))),0)</f>
        <v>0</v>
      </c>
      <c r="J561" s="12">
        <f t="shared" si="12"/>
        <v>0</v>
      </c>
      <c r="K561" s="13">
        <f>IFERROR(IF(C561="",0,SUMIFS($F$4:$F$560,$C$4:$C$560,C561,$D$4:$D$560,D561,$E$4:$E$560,E561,$B$4:$B$560,"INGRESO")+SUMIFS($F$4:$F$560,$C$4:$C$560,C561,$D$4:$D$560,D561,$E$4:$E$560,E561,$B$4:$B$560,"DE REPROCESO")+SUMIFS($F$4:$F$560,$C$4:$C$560,C561,$D$4:$D$560,D561,$E$4:$E$560,E561,$B$4:$B$560,"AJUSTE+")-SUMIFS($F$4:$F$560,$C$4:$C$560,C561,$D$4:$D$560,D561,$E$4:$E$560,E561,$B$4:$B$560,"A CORTE")-SUMIFS($F$4:$F$560,$C$4:$C$560,C561,$D$4:$D$560,D561,$E$4:$E$560,E561,$B$4:$B$560,"A REPROCESO")-SUMIFS($F$4:$F$560,$C$4:$C$560,C561,$D$4:$D$560,D561,$E$4:$E$560,E561,$B$4:$B$560,"MUESTRA")-SUMIFS($F$4:$F$560,$C$4:$C$560,C561,$D$4:$D$560,D561,$E$4:$E$560,E561,$B$4:$B$560,"AJUSTE-")),0)</f>
        <v>0</v>
      </c>
      <c r="L561" s="13">
        <f t="shared" si="13"/>
        <v>0</v>
      </c>
      <c r="M561" s="8"/>
      <c r="N561" s="14"/>
      <c r="O561" s="14"/>
      <c r="P561" s="14"/>
      <c r="Q561" s="15"/>
      <c r="R561" s="16" t="str">
        <f t="shared" si="14"/>
        <v/>
      </c>
    </row>
    <row r="562" ht="15.75" customHeight="1">
      <c r="A562" s="7"/>
      <c r="B562" s="8"/>
      <c r="C562" s="8"/>
      <c r="D562" s="8"/>
      <c r="E562" s="8"/>
      <c r="F562" s="9"/>
      <c r="G562" s="10">
        <f>IFERROR(F562*VLOOKUP(D562,TELAS!$A$4:$C$32,3,FALSE()),0)</f>
        <v>0</v>
      </c>
      <c r="H562" s="11" t="str">
        <f>IFERROR(VLOOKUP(E562,COLORES!$A$4:$B$102,2,FALSE()),"")</f>
        <v/>
      </c>
      <c r="I562" s="12">
        <f>IFERROR(IF(H562="OSCURO",VLOOKUP(D562,PRECIOS!$A$4:$F$32,2,FALSE()),IF(H562="CLARO",VLOOKUP(D562,PRECIOS!$A$4:$F$32,3,FALSE()),IF(H562="MELANGE",VLOOKUP(D562,PRECIOS!$A$4:$F$32,4,FALSE()),IF(H562="PPT",VLOOKUP(D562,PRECIOS!$A$4:$F$32,5,FALSE()),0)))),0)</f>
        <v>0</v>
      </c>
      <c r="J562" s="12">
        <f t="shared" si="12"/>
        <v>0</v>
      </c>
      <c r="K562" s="13">
        <f>IFERROR(IF(C562="",0,SUMIFS($F$4:$F$561,$C$4:$C$561,C562,$D$4:$D$561,D562,$E$4:$E$561,E562,$B$4:$B$561,"INGRESO")+SUMIFS($F$4:$F$561,$C$4:$C$561,C562,$D$4:$D$561,D562,$E$4:$E$561,E562,$B$4:$B$561,"DE REPROCESO")+SUMIFS($F$4:$F$561,$C$4:$C$561,C562,$D$4:$D$561,D562,$E$4:$E$561,E562,$B$4:$B$561,"AJUSTE+")-SUMIFS($F$4:$F$561,$C$4:$C$561,C562,$D$4:$D$561,D562,$E$4:$E$561,E562,$B$4:$B$561,"A CORTE")-SUMIFS($F$4:$F$561,$C$4:$C$561,C562,$D$4:$D$561,D562,$E$4:$E$561,E562,$B$4:$B$561,"A REPROCESO")-SUMIFS($F$4:$F$561,$C$4:$C$561,C562,$D$4:$D$561,D562,$E$4:$E$561,E562,$B$4:$B$561,"MUESTRA")-SUMIFS($F$4:$F$561,$C$4:$C$561,C562,$D$4:$D$561,D562,$E$4:$E$561,E562,$B$4:$B$561,"AJUSTE-")),0)</f>
        <v>0</v>
      </c>
      <c r="L562" s="13">
        <f t="shared" si="13"/>
        <v>0</v>
      </c>
      <c r="M562" s="8"/>
      <c r="N562" s="14"/>
      <c r="O562" s="14"/>
      <c r="P562" s="14"/>
      <c r="Q562" s="15"/>
      <c r="R562" s="16" t="str">
        <f t="shared" si="14"/>
        <v/>
      </c>
    </row>
    <row r="563" ht="15.75" customHeight="1">
      <c r="A563" s="7"/>
      <c r="B563" s="8"/>
      <c r="C563" s="8"/>
      <c r="D563" s="8"/>
      <c r="E563" s="8"/>
      <c r="F563" s="9"/>
      <c r="G563" s="10">
        <f>IFERROR(F563*VLOOKUP(D563,TELAS!$A$4:$C$32,3,FALSE()),0)</f>
        <v>0</v>
      </c>
      <c r="H563" s="11" t="str">
        <f>IFERROR(VLOOKUP(E563,COLORES!$A$4:$B$102,2,FALSE()),"")</f>
        <v/>
      </c>
      <c r="I563" s="12">
        <f>IFERROR(IF(H563="OSCURO",VLOOKUP(D563,PRECIOS!$A$4:$F$32,2,FALSE()),IF(H563="CLARO",VLOOKUP(D563,PRECIOS!$A$4:$F$32,3,FALSE()),IF(H563="MELANGE",VLOOKUP(D563,PRECIOS!$A$4:$F$32,4,FALSE()),IF(H563="PPT",VLOOKUP(D563,PRECIOS!$A$4:$F$32,5,FALSE()),0)))),0)</f>
        <v>0</v>
      </c>
      <c r="J563" s="12">
        <f t="shared" si="12"/>
        <v>0</v>
      </c>
      <c r="K563" s="13">
        <f>IFERROR(IF(C563="",0,SUMIFS($F$4:$F$562,$C$4:$C$562,C563,$D$4:$D$562,D563,$E$4:$E$562,E563,$B$4:$B$562,"INGRESO")+SUMIFS($F$4:$F$562,$C$4:$C$562,C563,$D$4:$D$562,D563,$E$4:$E$562,E563,$B$4:$B$562,"DE REPROCESO")+SUMIFS($F$4:$F$562,$C$4:$C$562,C563,$D$4:$D$562,D563,$E$4:$E$562,E563,$B$4:$B$562,"AJUSTE+")-SUMIFS($F$4:$F$562,$C$4:$C$562,C563,$D$4:$D$562,D563,$E$4:$E$562,E563,$B$4:$B$562,"A CORTE")-SUMIFS($F$4:$F$562,$C$4:$C$562,C563,$D$4:$D$562,D563,$E$4:$E$562,E563,$B$4:$B$562,"A REPROCESO")-SUMIFS($F$4:$F$562,$C$4:$C$562,C563,$D$4:$D$562,D563,$E$4:$E$562,E563,$B$4:$B$562,"MUESTRA")-SUMIFS($F$4:$F$562,$C$4:$C$562,C563,$D$4:$D$562,D563,$E$4:$E$562,E563,$B$4:$B$562,"AJUSTE-")),0)</f>
        <v>0</v>
      </c>
      <c r="L563" s="13">
        <f t="shared" si="13"/>
        <v>0</v>
      </c>
      <c r="M563" s="8"/>
      <c r="N563" s="14"/>
      <c r="O563" s="14"/>
      <c r="P563" s="14"/>
      <c r="Q563" s="15"/>
      <c r="R563" s="16" t="str">
        <f t="shared" si="14"/>
        <v/>
      </c>
    </row>
    <row r="564" ht="15.75" customHeight="1">
      <c r="A564" s="7"/>
      <c r="B564" s="8"/>
      <c r="C564" s="8"/>
      <c r="D564" s="8"/>
      <c r="E564" s="8"/>
      <c r="F564" s="9"/>
      <c r="G564" s="10">
        <f>IFERROR(F564*VLOOKUP(D564,TELAS!$A$4:$C$32,3,FALSE()),0)</f>
        <v>0</v>
      </c>
      <c r="H564" s="11" t="str">
        <f>IFERROR(VLOOKUP(E564,COLORES!$A$4:$B$102,2,FALSE()),"")</f>
        <v/>
      </c>
      <c r="I564" s="12">
        <f>IFERROR(IF(H564="OSCURO",VLOOKUP(D564,PRECIOS!$A$4:$F$32,2,FALSE()),IF(H564="CLARO",VLOOKUP(D564,PRECIOS!$A$4:$F$32,3,FALSE()),IF(H564="MELANGE",VLOOKUP(D564,PRECIOS!$A$4:$F$32,4,FALSE()),IF(H564="PPT",VLOOKUP(D564,PRECIOS!$A$4:$F$32,5,FALSE()),0)))),0)</f>
        <v>0</v>
      </c>
      <c r="J564" s="12">
        <f t="shared" si="12"/>
        <v>0</v>
      </c>
      <c r="K564" s="13">
        <f>IFERROR(IF(C564="",0,SUMIFS($F$4:$F$563,$C$4:$C$563,C564,$D$4:$D$563,D564,$E$4:$E$563,E564,$B$4:$B$563,"INGRESO")+SUMIFS($F$4:$F$563,$C$4:$C$563,C564,$D$4:$D$563,D564,$E$4:$E$563,E564,$B$4:$B$563,"DE REPROCESO")+SUMIFS($F$4:$F$563,$C$4:$C$563,C564,$D$4:$D$563,D564,$E$4:$E$563,E564,$B$4:$B$563,"AJUSTE+")-SUMIFS($F$4:$F$563,$C$4:$C$563,C564,$D$4:$D$563,D564,$E$4:$E$563,E564,$B$4:$B$563,"A CORTE")-SUMIFS($F$4:$F$563,$C$4:$C$563,C564,$D$4:$D$563,D564,$E$4:$E$563,E564,$B$4:$B$563,"A REPROCESO")-SUMIFS($F$4:$F$563,$C$4:$C$563,C564,$D$4:$D$563,D564,$E$4:$E$563,E564,$B$4:$B$563,"MUESTRA")-SUMIFS($F$4:$F$563,$C$4:$C$563,C564,$D$4:$D$563,D564,$E$4:$E$563,E564,$B$4:$B$563,"AJUSTE-")),0)</f>
        <v>0</v>
      </c>
      <c r="L564" s="13">
        <f t="shared" si="13"/>
        <v>0</v>
      </c>
      <c r="M564" s="8"/>
      <c r="N564" s="14"/>
      <c r="O564" s="14"/>
      <c r="P564" s="14"/>
      <c r="Q564" s="15"/>
      <c r="R564" s="16" t="str">
        <f t="shared" si="14"/>
        <v/>
      </c>
    </row>
    <row r="565" ht="15.75" customHeight="1">
      <c r="A565" s="7"/>
      <c r="B565" s="8"/>
      <c r="C565" s="8"/>
      <c r="D565" s="8"/>
      <c r="E565" s="8"/>
      <c r="F565" s="9"/>
      <c r="G565" s="10">
        <f>IFERROR(F565*VLOOKUP(D565,TELAS!$A$4:$C$32,3,FALSE()),0)</f>
        <v>0</v>
      </c>
      <c r="H565" s="11" t="str">
        <f>IFERROR(VLOOKUP(E565,COLORES!$A$4:$B$102,2,FALSE()),"")</f>
        <v/>
      </c>
      <c r="I565" s="12">
        <f>IFERROR(IF(H565="OSCURO",VLOOKUP(D565,PRECIOS!$A$4:$F$32,2,FALSE()),IF(H565="CLARO",VLOOKUP(D565,PRECIOS!$A$4:$F$32,3,FALSE()),IF(H565="MELANGE",VLOOKUP(D565,PRECIOS!$A$4:$F$32,4,FALSE()),IF(H565="PPT",VLOOKUP(D565,PRECIOS!$A$4:$F$32,5,FALSE()),0)))),0)</f>
        <v>0</v>
      </c>
      <c r="J565" s="12">
        <f t="shared" si="12"/>
        <v>0</v>
      </c>
      <c r="K565" s="13">
        <f>IFERROR(IF(C565="",0,SUMIFS($F$4:$F$564,$C$4:$C$564,C565,$D$4:$D$564,D565,$E$4:$E$564,E565,$B$4:$B$564,"INGRESO")+SUMIFS($F$4:$F$564,$C$4:$C$564,C565,$D$4:$D$564,D565,$E$4:$E$564,E565,$B$4:$B$564,"DE REPROCESO")+SUMIFS($F$4:$F$564,$C$4:$C$564,C565,$D$4:$D$564,D565,$E$4:$E$564,E565,$B$4:$B$564,"AJUSTE+")-SUMIFS($F$4:$F$564,$C$4:$C$564,C565,$D$4:$D$564,D565,$E$4:$E$564,E565,$B$4:$B$564,"A CORTE")-SUMIFS($F$4:$F$564,$C$4:$C$564,C565,$D$4:$D$564,D565,$E$4:$E$564,E565,$B$4:$B$564,"A REPROCESO")-SUMIFS($F$4:$F$564,$C$4:$C$564,C565,$D$4:$D$564,D565,$E$4:$E$564,E565,$B$4:$B$564,"MUESTRA")-SUMIFS($F$4:$F$564,$C$4:$C$564,C565,$D$4:$D$564,D565,$E$4:$E$564,E565,$B$4:$B$564,"AJUSTE-")),0)</f>
        <v>0</v>
      </c>
      <c r="L565" s="13">
        <f t="shared" si="13"/>
        <v>0</v>
      </c>
      <c r="M565" s="8"/>
      <c r="N565" s="14"/>
      <c r="O565" s="14"/>
      <c r="P565" s="14"/>
      <c r="Q565" s="15"/>
      <c r="R565" s="16" t="str">
        <f t="shared" si="14"/>
        <v/>
      </c>
    </row>
    <row r="566" ht="15.75" customHeight="1">
      <c r="A566" s="7"/>
      <c r="B566" s="8"/>
      <c r="C566" s="8"/>
      <c r="D566" s="8"/>
      <c r="E566" s="8"/>
      <c r="F566" s="9"/>
      <c r="G566" s="10">
        <f>IFERROR(F566*VLOOKUP(D566,TELAS!$A$4:$C$32,3,FALSE()),0)</f>
        <v>0</v>
      </c>
      <c r="H566" s="11" t="str">
        <f>IFERROR(VLOOKUP(E566,COLORES!$A$4:$B$102,2,FALSE()),"")</f>
        <v/>
      </c>
      <c r="I566" s="12">
        <f>IFERROR(IF(H566="OSCURO",VLOOKUP(D566,PRECIOS!$A$4:$F$32,2,FALSE()),IF(H566="CLARO",VLOOKUP(D566,PRECIOS!$A$4:$F$32,3,FALSE()),IF(H566="MELANGE",VLOOKUP(D566,PRECIOS!$A$4:$F$32,4,FALSE()),IF(H566="PPT",VLOOKUP(D566,PRECIOS!$A$4:$F$32,5,FALSE()),0)))),0)</f>
        <v>0</v>
      </c>
      <c r="J566" s="12">
        <f t="shared" si="12"/>
        <v>0</v>
      </c>
      <c r="K566" s="13">
        <f>IFERROR(IF(C566="",0,SUMIFS($F$4:$F$565,$C$4:$C$565,C566,$D$4:$D$565,D566,$E$4:$E$565,E566,$B$4:$B$565,"INGRESO")+SUMIFS($F$4:$F$565,$C$4:$C$565,C566,$D$4:$D$565,D566,$E$4:$E$565,E566,$B$4:$B$565,"DE REPROCESO")+SUMIFS($F$4:$F$565,$C$4:$C$565,C566,$D$4:$D$565,D566,$E$4:$E$565,E566,$B$4:$B$565,"AJUSTE+")-SUMIFS($F$4:$F$565,$C$4:$C$565,C566,$D$4:$D$565,D566,$E$4:$E$565,E566,$B$4:$B$565,"A CORTE")-SUMIFS($F$4:$F$565,$C$4:$C$565,C566,$D$4:$D$565,D566,$E$4:$E$565,E566,$B$4:$B$565,"A REPROCESO")-SUMIFS($F$4:$F$565,$C$4:$C$565,C566,$D$4:$D$565,D566,$E$4:$E$565,E566,$B$4:$B$565,"MUESTRA")-SUMIFS($F$4:$F$565,$C$4:$C$565,C566,$D$4:$D$565,D566,$E$4:$E$565,E566,$B$4:$B$565,"AJUSTE-")),0)</f>
        <v>0</v>
      </c>
      <c r="L566" s="13">
        <f t="shared" si="13"/>
        <v>0</v>
      </c>
      <c r="M566" s="8"/>
      <c r="N566" s="14"/>
      <c r="O566" s="14"/>
      <c r="P566" s="14"/>
      <c r="Q566" s="15"/>
      <c r="R566" s="16" t="str">
        <f t="shared" si="14"/>
        <v/>
      </c>
    </row>
    <row r="567" ht="15.75" customHeight="1">
      <c r="A567" s="7"/>
      <c r="B567" s="8"/>
      <c r="C567" s="8"/>
      <c r="D567" s="8"/>
      <c r="E567" s="8"/>
      <c r="F567" s="9"/>
      <c r="G567" s="10">
        <f>IFERROR(F567*VLOOKUP(D567,TELAS!$A$4:$C$32,3,FALSE()),0)</f>
        <v>0</v>
      </c>
      <c r="H567" s="11" t="str">
        <f>IFERROR(VLOOKUP(E567,COLORES!$A$4:$B$102,2,FALSE()),"")</f>
        <v/>
      </c>
      <c r="I567" s="12">
        <f>IFERROR(IF(H567="OSCURO",VLOOKUP(D567,PRECIOS!$A$4:$F$32,2,FALSE()),IF(H567="CLARO",VLOOKUP(D567,PRECIOS!$A$4:$F$32,3,FALSE()),IF(H567="MELANGE",VLOOKUP(D567,PRECIOS!$A$4:$F$32,4,FALSE()),IF(H567="PPT",VLOOKUP(D567,PRECIOS!$A$4:$F$32,5,FALSE()),0)))),0)</f>
        <v>0</v>
      </c>
      <c r="J567" s="12">
        <f t="shared" si="12"/>
        <v>0</v>
      </c>
      <c r="K567" s="13">
        <f>IFERROR(IF(C567="",0,SUMIFS($F$4:$F$566,$C$4:$C$566,C567,$D$4:$D$566,D567,$E$4:$E$566,E567,$B$4:$B$566,"INGRESO")+SUMIFS($F$4:$F$566,$C$4:$C$566,C567,$D$4:$D$566,D567,$E$4:$E$566,E567,$B$4:$B$566,"DE REPROCESO")+SUMIFS($F$4:$F$566,$C$4:$C$566,C567,$D$4:$D$566,D567,$E$4:$E$566,E567,$B$4:$B$566,"AJUSTE+")-SUMIFS($F$4:$F$566,$C$4:$C$566,C567,$D$4:$D$566,D567,$E$4:$E$566,E567,$B$4:$B$566,"A CORTE")-SUMIFS($F$4:$F$566,$C$4:$C$566,C567,$D$4:$D$566,D567,$E$4:$E$566,E567,$B$4:$B$566,"A REPROCESO")-SUMIFS($F$4:$F$566,$C$4:$C$566,C567,$D$4:$D$566,D567,$E$4:$E$566,E567,$B$4:$B$566,"MUESTRA")-SUMIFS($F$4:$F$566,$C$4:$C$566,C567,$D$4:$D$566,D567,$E$4:$E$566,E567,$B$4:$B$566,"AJUSTE-")),0)</f>
        <v>0</v>
      </c>
      <c r="L567" s="13">
        <f t="shared" si="13"/>
        <v>0</v>
      </c>
      <c r="M567" s="8"/>
      <c r="N567" s="14"/>
      <c r="O567" s="14"/>
      <c r="P567" s="14"/>
      <c r="Q567" s="15"/>
      <c r="R567" s="16" t="str">
        <f t="shared" si="14"/>
        <v/>
      </c>
    </row>
    <row r="568" ht="15.75" customHeight="1">
      <c r="A568" s="7"/>
      <c r="B568" s="8"/>
      <c r="C568" s="8"/>
      <c r="D568" s="8"/>
      <c r="E568" s="8"/>
      <c r="F568" s="9"/>
      <c r="G568" s="10">
        <f>IFERROR(F568*VLOOKUP(D568,TELAS!$A$4:$C$32,3,FALSE()),0)</f>
        <v>0</v>
      </c>
      <c r="H568" s="11" t="str">
        <f>IFERROR(VLOOKUP(E568,COLORES!$A$4:$B$102,2,FALSE()),"")</f>
        <v/>
      </c>
      <c r="I568" s="12">
        <f>IFERROR(IF(H568="OSCURO",VLOOKUP(D568,PRECIOS!$A$4:$F$32,2,FALSE()),IF(H568="CLARO",VLOOKUP(D568,PRECIOS!$A$4:$F$32,3,FALSE()),IF(H568="MELANGE",VLOOKUP(D568,PRECIOS!$A$4:$F$32,4,FALSE()),IF(H568="PPT",VLOOKUP(D568,PRECIOS!$A$4:$F$32,5,FALSE()),0)))),0)</f>
        <v>0</v>
      </c>
      <c r="J568" s="12">
        <f t="shared" si="12"/>
        <v>0</v>
      </c>
      <c r="K568" s="13">
        <f>IFERROR(IF(C568="",0,SUMIFS($F$4:$F$567,$C$4:$C$567,C568,$D$4:$D$567,D568,$E$4:$E$567,E568,$B$4:$B$567,"INGRESO")+SUMIFS($F$4:$F$567,$C$4:$C$567,C568,$D$4:$D$567,D568,$E$4:$E$567,E568,$B$4:$B$567,"DE REPROCESO")+SUMIFS($F$4:$F$567,$C$4:$C$567,C568,$D$4:$D$567,D568,$E$4:$E$567,E568,$B$4:$B$567,"AJUSTE+")-SUMIFS($F$4:$F$567,$C$4:$C$567,C568,$D$4:$D$567,D568,$E$4:$E$567,E568,$B$4:$B$567,"A CORTE")-SUMIFS($F$4:$F$567,$C$4:$C$567,C568,$D$4:$D$567,D568,$E$4:$E$567,E568,$B$4:$B$567,"A REPROCESO")-SUMIFS($F$4:$F$567,$C$4:$C$567,C568,$D$4:$D$567,D568,$E$4:$E$567,E568,$B$4:$B$567,"MUESTRA")-SUMIFS($F$4:$F$567,$C$4:$C$567,C568,$D$4:$D$567,D568,$E$4:$E$567,E568,$B$4:$B$567,"AJUSTE-")),0)</f>
        <v>0</v>
      </c>
      <c r="L568" s="13">
        <f t="shared" si="13"/>
        <v>0</v>
      </c>
      <c r="M568" s="8"/>
      <c r="N568" s="14"/>
      <c r="O568" s="14"/>
      <c r="P568" s="14"/>
      <c r="Q568" s="15"/>
      <c r="R568" s="16" t="str">
        <f t="shared" si="14"/>
        <v/>
      </c>
    </row>
    <row r="569" ht="15.75" customHeight="1">
      <c r="A569" s="7"/>
      <c r="B569" s="8"/>
      <c r="C569" s="8"/>
      <c r="D569" s="8"/>
      <c r="E569" s="8"/>
      <c r="F569" s="9"/>
      <c r="G569" s="10">
        <f>IFERROR(F569*VLOOKUP(D569,TELAS!$A$4:$C$32,3,FALSE()),0)</f>
        <v>0</v>
      </c>
      <c r="H569" s="11" t="str">
        <f>IFERROR(VLOOKUP(E569,COLORES!$A$4:$B$102,2,FALSE()),"")</f>
        <v/>
      </c>
      <c r="I569" s="12">
        <f>IFERROR(IF(H569="OSCURO",VLOOKUP(D569,PRECIOS!$A$4:$F$32,2,FALSE()),IF(H569="CLARO",VLOOKUP(D569,PRECIOS!$A$4:$F$32,3,FALSE()),IF(H569="MELANGE",VLOOKUP(D569,PRECIOS!$A$4:$F$32,4,FALSE()),IF(H569="PPT",VLOOKUP(D569,PRECIOS!$A$4:$F$32,5,FALSE()),0)))),0)</f>
        <v>0</v>
      </c>
      <c r="J569" s="12">
        <f t="shared" si="12"/>
        <v>0</v>
      </c>
      <c r="K569" s="13">
        <f>IFERROR(IF(C569="",0,SUMIFS($F$4:$F$568,$C$4:$C$568,C569,$D$4:$D$568,D569,$E$4:$E$568,E569,$B$4:$B$568,"INGRESO")+SUMIFS($F$4:$F$568,$C$4:$C$568,C569,$D$4:$D$568,D569,$E$4:$E$568,E569,$B$4:$B$568,"DE REPROCESO")+SUMIFS($F$4:$F$568,$C$4:$C$568,C569,$D$4:$D$568,D569,$E$4:$E$568,E569,$B$4:$B$568,"AJUSTE+")-SUMIFS($F$4:$F$568,$C$4:$C$568,C569,$D$4:$D$568,D569,$E$4:$E$568,E569,$B$4:$B$568,"A CORTE")-SUMIFS($F$4:$F$568,$C$4:$C$568,C569,$D$4:$D$568,D569,$E$4:$E$568,E569,$B$4:$B$568,"A REPROCESO")-SUMIFS($F$4:$F$568,$C$4:$C$568,C569,$D$4:$D$568,D569,$E$4:$E$568,E569,$B$4:$B$568,"MUESTRA")-SUMIFS($F$4:$F$568,$C$4:$C$568,C569,$D$4:$D$568,D569,$E$4:$E$568,E569,$B$4:$B$568,"AJUSTE-")),0)</f>
        <v>0</v>
      </c>
      <c r="L569" s="13">
        <f t="shared" si="13"/>
        <v>0</v>
      </c>
      <c r="M569" s="8"/>
      <c r="N569" s="14"/>
      <c r="O569" s="14"/>
      <c r="P569" s="14"/>
      <c r="Q569" s="15"/>
      <c r="R569" s="16" t="str">
        <f t="shared" si="14"/>
        <v/>
      </c>
    </row>
    <row r="570" ht="15.75" customHeight="1">
      <c r="A570" s="7"/>
      <c r="B570" s="8"/>
      <c r="C570" s="8"/>
      <c r="D570" s="8"/>
      <c r="E570" s="8"/>
      <c r="F570" s="9"/>
      <c r="G570" s="10">
        <f>IFERROR(F570*VLOOKUP(D570,TELAS!$A$4:$C$32,3,FALSE()),0)</f>
        <v>0</v>
      </c>
      <c r="H570" s="11" t="str">
        <f>IFERROR(VLOOKUP(E570,COLORES!$A$4:$B$102,2,FALSE()),"")</f>
        <v/>
      </c>
      <c r="I570" s="12">
        <f>IFERROR(IF(H570="OSCURO",VLOOKUP(D570,PRECIOS!$A$4:$F$32,2,FALSE()),IF(H570="CLARO",VLOOKUP(D570,PRECIOS!$A$4:$F$32,3,FALSE()),IF(H570="MELANGE",VLOOKUP(D570,PRECIOS!$A$4:$F$32,4,FALSE()),IF(H570="PPT",VLOOKUP(D570,PRECIOS!$A$4:$F$32,5,FALSE()),0)))),0)</f>
        <v>0</v>
      </c>
      <c r="J570" s="12">
        <f t="shared" si="12"/>
        <v>0</v>
      </c>
      <c r="K570" s="13">
        <f>IFERROR(IF(C570="",0,SUMIFS($F$4:$F$569,$C$4:$C$569,C570,$D$4:$D$569,D570,$E$4:$E$569,E570,$B$4:$B$569,"INGRESO")+SUMIFS($F$4:$F$569,$C$4:$C$569,C570,$D$4:$D$569,D570,$E$4:$E$569,E570,$B$4:$B$569,"DE REPROCESO")+SUMIFS($F$4:$F$569,$C$4:$C$569,C570,$D$4:$D$569,D570,$E$4:$E$569,E570,$B$4:$B$569,"AJUSTE+")-SUMIFS($F$4:$F$569,$C$4:$C$569,C570,$D$4:$D$569,D570,$E$4:$E$569,E570,$B$4:$B$569,"A CORTE")-SUMIFS($F$4:$F$569,$C$4:$C$569,C570,$D$4:$D$569,D570,$E$4:$E$569,E570,$B$4:$B$569,"A REPROCESO")-SUMIFS($F$4:$F$569,$C$4:$C$569,C570,$D$4:$D$569,D570,$E$4:$E$569,E570,$B$4:$B$569,"MUESTRA")-SUMIFS($F$4:$F$569,$C$4:$C$569,C570,$D$4:$D$569,D570,$E$4:$E$569,E570,$B$4:$B$569,"AJUSTE-")),0)</f>
        <v>0</v>
      </c>
      <c r="L570" s="13">
        <f t="shared" si="13"/>
        <v>0</v>
      </c>
      <c r="M570" s="8"/>
      <c r="N570" s="14"/>
      <c r="O570" s="14"/>
      <c r="P570" s="14"/>
      <c r="Q570" s="15"/>
      <c r="R570" s="16" t="str">
        <f t="shared" si="14"/>
        <v/>
      </c>
    </row>
    <row r="571" ht="15.75" customHeight="1">
      <c r="A571" s="7"/>
      <c r="B571" s="8"/>
      <c r="C571" s="8"/>
      <c r="D571" s="8"/>
      <c r="E571" s="8"/>
      <c r="F571" s="9"/>
      <c r="G571" s="10">
        <f>IFERROR(F571*VLOOKUP(D571,TELAS!$A$4:$C$32,3,FALSE()),0)</f>
        <v>0</v>
      </c>
      <c r="H571" s="11" t="str">
        <f>IFERROR(VLOOKUP(E571,COLORES!$A$4:$B$102,2,FALSE()),"")</f>
        <v/>
      </c>
      <c r="I571" s="12">
        <f>IFERROR(IF(H571="OSCURO",VLOOKUP(D571,PRECIOS!$A$4:$F$32,2,FALSE()),IF(H571="CLARO",VLOOKUP(D571,PRECIOS!$A$4:$F$32,3,FALSE()),IF(H571="MELANGE",VLOOKUP(D571,PRECIOS!$A$4:$F$32,4,FALSE()),IF(H571="PPT",VLOOKUP(D571,PRECIOS!$A$4:$F$32,5,FALSE()),0)))),0)</f>
        <v>0</v>
      </c>
      <c r="J571" s="12">
        <f t="shared" si="12"/>
        <v>0</v>
      </c>
      <c r="K571" s="13">
        <f>IFERROR(IF(C571="",0,SUMIFS($F$4:$F$570,$C$4:$C$570,C571,$D$4:$D$570,D571,$E$4:$E$570,E571,$B$4:$B$570,"INGRESO")+SUMIFS($F$4:$F$570,$C$4:$C$570,C571,$D$4:$D$570,D571,$E$4:$E$570,E571,$B$4:$B$570,"DE REPROCESO")+SUMIFS($F$4:$F$570,$C$4:$C$570,C571,$D$4:$D$570,D571,$E$4:$E$570,E571,$B$4:$B$570,"AJUSTE+")-SUMIFS($F$4:$F$570,$C$4:$C$570,C571,$D$4:$D$570,D571,$E$4:$E$570,E571,$B$4:$B$570,"A CORTE")-SUMIFS($F$4:$F$570,$C$4:$C$570,C571,$D$4:$D$570,D571,$E$4:$E$570,E571,$B$4:$B$570,"A REPROCESO")-SUMIFS($F$4:$F$570,$C$4:$C$570,C571,$D$4:$D$570,D571,$E$4:$E$570,E571,$B$4:$B$570,"MUESTRA")-SUMIFS($F$4:$F$570,$C$4:$C$570,C571,$D$4:$D$570,D571,$E$4:$E$570,E571,$B$4:$B$570,"AJUSTE-")),0)</f>
        <v>0</v>
      </c>
      <c r="L571" s="13">
        <f t="shared" si="13"/>
        <v>0</v>
      </c>
      <c r="M571" s="8"/>
      <c r="N571" s="14"/>
      <c r="O571" s="14"/>
      <c r="P571" s="14"/>
      <c r="Q571" s="15"/>
      <c r="R571" s="16" t="str">
        <f t="shared" si="14"/>
        <v/>
      </c>
    </row>
    <row r="572" ht="15.75" customHeight="1">
      <c r="A572" s="7"/>
      <c r="B572" s="8"/>
      <c r="C572" s="8"/>
      <c r="D572" s="8"/>
      <c r="E572" s="8"/>
      <c r="F572" s="9"/>
      <c r="G572" s="10">
        <f>IFERROR(F572*VLOOKUP(D572,TELAS!$A$4:$C$32,3,FALSE()),0)</f>
        <v>0</v>
      </c>
      <c r="H572" s="11" t="str">
        <f>IFERROR(VLOOKUP(E572,COLORES!$A$4:$B$102,2,FALSE()),"")</f>
        <v/>
      </c>
      <c r="I572" s="12">
        <f>IFERROR(IF(H572="OSCURO",VLOOKUP(D572,PRECIOS!$A$4:$F$32,2,FALSE()),IF(H572="CLARO",VLOOKUP(D572,PRECIOS!$A$4:$F$32,3,FALSE()),IF(H572="MELANGE",VLOOKUP(D572,PRECIOS!$A$4:$F$32,4,FALSE()),IF(H572="PPT",VLOOKUP(D572,PRECIOS!$A$4:$F$32,5,FALSE()),0)))),0)</f>
        <v>0</v>
      </c>
      <c r="J572" s="12">
        <f t="shared" si="12"/>
        <v>0</v>
      </c>
      <c r="K572" s="13">
        <f>IFERROR(IF(C572="",0,SUMIFS($F$4:$F$571,$C$4:$C$571,C572,$D$4:$D$571,D572,$E$4:$E$571,E572,$B$4:$B$571,"INGRESO")+SUMIFS($F$4:$F$571,$C$4:$C$571,C572,$D$4:$D$571,D572,$E$4:$E$571,E572,$B$4:$B$571,"DE REPROCESO")+SUMIFS($F$4:$F$571,$C$4:$C$571,C572,$D$4:$D$571,D572,$E$4:$E$571,E572,$B$4:$B$571,"AJUSTE+")-SUMIFS($F$4:$F$571,$C$4:$C$571,C572,$D$4:$D$571,D572,$E$4:$E$571,E572,$B$4:$B$571,"A CORTE")-SUMIFS($F$4:$F$571,$C$4:$C$571,C572,$D$4:$D$571,D572,$E$4:$E$571,E572,$B$4:$B$571,"A REPROCESO")-SUMIFS($F$4:$F$571,$C$4:$C$571,C572,$D$4:$D$571,D572,$E$4:$E$571,E572,$B$4:$B$571,"MUESTRA")-SUMIFS($F$4:$F$571,$C$4:$C$571,C572,$D$4:$D$571,D572,$E$4:$E$571,E572,$B$4:$B$571,"AJUSTE-")),0)</f>
        <v>0</v>
      </c>
      <c r="L572" s="13">
        <f t="shared" si="13"/>
        <v>0</v>
      </c>
      <c r="M572" s="8"/>
      <c r="N572" s="14"/>
      <c r="O572" s="14"/>
      <c r="P572" s="14"/>
      <c r="Q572" s="15"/>
      <c r="R572" s="16" t="str">
        <f t="shared" si="14"/>
        <v/>
      </c>
    </row>
    <row r="573" ht="15.75" customHeight="1">
      <c r="A573" s="7"/>
      <c r="B573" s="8"/>
      <c r="C573" s="8"/>
      <c r="D573" s="8"/>
      <c r="E573" s="8"/>
      <c r="F573" s="9"/>
      <c r="G573" s="10">
        <f>IFERROR(F573*VLOOKUP(D573,TELAS!$A$4:$C$32,3,FALSE()),0)</f>
        <v>0</v>
      </c>
      <c r="H573" s="11" t="str">
        <f>IFERROR(VLOOKUP(E573,COLORES!$A$4:$B$102,2,FALSE()),"")</f>
        <v/>
      </c>
      <c r="I573" s="12">
        <f>IFERROR(IF(H573="OSCURO",VLOOKUP(D573,PRECIOS!$A$4:$F$32,2,FALSE()),IF(H573="CLARO",VLOOKUP(D573,PRECIOS!$A$4:$F$32,3,FALSE()),IF(H573="MELANGE",VLOOKUP(D573,PRECIOS!$A$4:$F$32,4,FALSE()),IF(H573="PPT",VLOOKUP(D573,PRECIOS!$A$4:$F$32,5,FALSE()),0)))),0)</f>
        <v>0</v>
      </c>
      <c r="J573" s="12">
        <f t="shared" si="12"/>
        <v>0</v>
      </c>
      <c r="K573" s="13">
        <f>IFERROR(IF(C573="",0,SUMIFS($F$4:$F$572,$C$4:$C$572,C573,$D$4:$D$572,D573,$E$4:$E$572,E573,$B$4:$B$572,"INGRESO")+SUMIFS($F$4:$F$572,$C$4:$C$572,C573,$D$4:$D$572,D573,$E$4:$E$572,E573,$B$4:$B$572,"DE REPROCESO")+SUMIFS($F$4:$F$572,$C$4:$C$572,C573,$D$4:$D$572,D573,$E$4:$E$572,E573,$B$4:$B$572,"AJUSTE+")-SUMIFS($F$4:$F$572,$C$4:$C$572,C573,$D$4:$D$572,D573,$E$4:$E$572,E573,$B$4:$B$572,"A CORTE")-SUMIFS($F$4:$F$572,$C$4:$C$572,C573,$D$4:$D$572,D573,$E$4:$E$572,E573,$B$4:$B$572,"A REPROCESO")-SUMIFS($F$4:$F$572,$C$4:$C$572,C573,$D$4:$D$572,D573,$E$4:$E$572,E573,$B$4:$B$572,"MUESTRA")-SUMIFS($F$4:$F$572,$C$4:$C$572,C573,$D$4:$D$572,D573,$E$4:$E$572,E573,$B$4:$B$572,"AJUSTE-")),0)</f>
        <v>0</v>
      </c>
      <c r="L573" s="13">
        <f t="shared" si="13"/>
        <v>0</v>
      </c>
      <c r="M573" s="8"/>
      <c r="N573" s="14"/>
      <c r="O573" s="14"/>
      <c r="P573" s="14"/>
      <c r="Q573" s="15"/>
      <c r="R573" s="16" t="str">
        <f t="shared" si="14"/>
        <v/>
      </c>
    </row>
    <row r="574" ht="15.75" customHeight="1">
      <c r="A574" s="7"/>
      <c r="B574" s="8"/>
      <c r="C574" s="8"/>
      <c r="D574" s="8"/>
      <c r="E574" s="8"/>
      <c r="F574" s="9"/>
      <c r="G574" s="10">
        <f>IFERROR(F574*VLOOKUP(D574,TELAS!$A$4:$C$32,3,FALSE()),0)</f>
        <v>0</v>
      </c>
      <c r="H574" s="11" t="str">
        <f>IFERROR(VLOOKUP(E574,COLORES!$A$4:$B$102,2,FALSE()),"")</f>
        <v/>
      </c>
      <c r="I574" s="12">
        <f>IFERROR(IF(H574="OSCURO",VLOOKUP(D574,PRECIOS!$A$4:$F$32,2,FALSE()),IF(H574="CLARO",VLOOKUP(D574,PRECIOS!$A$4:$F$32,3,FALSE()),IF(H574="MELANGE",VLOOKUP(D574,PRECIOS!$A$4:$F$32,4,FALSE()),IF(H574="PPT",VLOOKUP(D574,PRECIOS!$A$4:$F$32,5,FALSE()),0)))),0)</f>
        <v>0</v>
      </c>
      <c r="J574" s="12">
        <f t="shared" si="12"/>
        <v>0</v>
      </c>
      <c r="K574" s="13">
        <f>IFERROR(IF(C574="",0,SUMIFS($F$4:$F$573,$C$4:$C$573,C574,$D$4:$D$573,D574,$E$4:$E$573,E574,$B$4:$B$573,"INGRESO")+SUMIFS($F$4:$F$573,$C$4:$C$573,C574,$D$4:$D$573,D574,$E$4:$E$573,E574,$B$4:$B$573,"DE REPROCESO")+SUMIFS($F$4:$F$573,$C$4:$C$573,C574,$D$4:$D$573,D574,$E$4:$E$573,E574,$B$4:$B$573,"AJUSTE+")-SUMIFS($F$4:$F$573,$C$4:$C$573,C574,$D$4:$D$573,D574,$E$4:$E$573,E574,$B$4:$B$573,"A CORTE")-SUMIFS($F$4:$F$573,$C$4:$C$573,C574,$D$4:$D$573,D574,$E$4:$E$573,E574,$B$4:$B$573,"A REPROCESO")-SUMIFS($F$4:$F$573,$C$4:$C$573,C574,$D$4:$D$573,D574,$E$4:$E$573,E574,$B$4:$B$573,"MUESTRA")-SUMIFS($F$4:$F$573,$C$4:$C$573,C574,$D$4:$D$573,D574,$E$4:$E$573,E574,$B$4:$B$573,"AJUSTE-")),0)</f>
        <v>0</v>
      </c>
      <c r="L574" s="13">
        <f t="shared" si="13"/>
        <v>0</v>
      </c>
      <c r="M574" s="8"/>
      <c r="N574" s="14"/>
      <c r="O574" s="14"/>
      <c r="P574" s="14"/>
      <c r="Q574" s="15"/>
      <c r="R574" s="16" t="str">
        <f t="shared" si="14"/>
        <v/>
      </c>
    </row>
    <row r="575" ht="15.75" customHeight="1">
      <c r="A575" s="7"/>
      <c r="B575" s="8"/>
      <c r="C575" s="8"/>
      <c r="D575" s="8"/>
      <c r="E575" s="8"/>
      <c r="F575" s="9"/>
      <c r="G575" s="10">
        <f>IFERROR(F575*VLOOKUP(D575,TELAS!$A$4:$C$32,3,FALSE()),0)</f>
        <v>0</v>
      </c>
      <c r="H575" s="11" t="str">
        <f>IFERROR(VLOOKUP(E575,COLORES!$A$4:$B$102,2,FALSE()),"")</f>
        <v/>
      </c>
      <c r="I575" s="12">
        <f>IFERROR(IF(H575="OSCURO",VLOOKUP(D575,PRECIOS!$A$4:$F$32,2,FALSE()),IF(H575="CLARO",VLOOKUP(D575,PRECIOS!$A$4:$F$32,3,FALSE()),IF(H575="MELANGE",VLOOKUP(D575,PRECIOS!$A$4:$F$32,4,FALSE()),IF(H575="PPT",VLOOKUP(D575,PRECIOS!$A$4:$F$32,5,FALSE()),0)))),0)</f>
        <v>0</v>
      </c>
      <c r="J575" s="12">
        <f t="shared" si="12"/>
        <v>0</v>
      </c>
      <c r="K575" s="13">
        <f>IFERROR(IF(C575="",0,SUMIFS($F$4:$F$574,$C$4:$C$574,C575,$D$4:$D$574,D575,$E$4:$E$574,E575,$B$4:$B$574,"INGRESO")+SUMIFS($F$4:$F$574,$C$4:$C$574,C575,$D$4:$D$574,D575,$E$4:$E$574,E575,$B$4:$B$574,"DE REPROCESO")+SUMIFS($F$4:$F$574,$C$4:$C$574,C575,$D$4:$D$574,D575,$E$4:$E$574,E575,$B$4:$B$574,"AJUSTE+")-SUMIFS($F$4:$F$574,$C$4:$C$574,C575,$D$4:$D$574,D575,$E$4:$E$574,E575,$B$4:$B$574,"A CORTE")-SUMIFS($F$4:$F$574,$C$4:$C$574,C575,$D$4:$D$574,D575,$E$4:$E$574,E575,$B$4:$B$574,"A REPROCESO")-SUMIFS($F$4:$F$574,$C$4:$C$574,C575,$D$4:$D$574,D575,$E$4:$E$574,E575,$B$4:$B$574,"MUESTRA")-SUMIFS($F$4:$F$574,$C$4:$C$574,C575,$D$4:$D$574,D575,$E$4:$E$574,E575,$B$4:$B$574,"AJUSTE-")),0)</f>
        <v>0</v>
      </c>
      <c r="L575" s="13">
        <f t="shared" si="13"/>
        <v>0</v>
      </c>
      <c r="M575" s="8"/>
      <c r="N575" s="14"/>
      <c r="O575" s="14"/>
      <c r="P575" s="14"/>
      <c r="Q575" s="15"/>
      <c r="R575" s="16" t="str">
        <f t="shared" si="14"/>
        <v/>
      </c>
    </row>
    <row r="576" ht="15.75" customHeight="1">
      <c r="A576" s="7"/>
      <c r="B576" s="8"/>
      <c r="C576" s="8"/>
      <c r="D576" s="8"/>
      <c r="E576" s="8"/>
      <c r="F576" s="9"/>
      <c r="G576" s="10">
        <f>IFERROR(F576*VLOOKUP(D576,TELAS!$A$4:$C$32,3,FALSE()),0)</f>
        <v>0</v>
      </c>
      <c r="H576" s="11" t="str">
        <f>IFERROR(VLOOKUP(E576,COLORES!$A$4:$B$102,2,FALSE()),"")</f>
        <v/>
      </c>
      <c r="I576" s="12">
        <f>IFERROR(IF(H576="OSCURO",VLOOKUP(D576,PRECIOS!$A$4:$F$32,2,FALSE()),IF(H576="CLARO",VLOOKUP(D576,PRECIOS!$A$4:$F$32,3,FALSE()),IF(H576="MELANGE",VLOOKUP(D576,PRECIOS!$A$4:$F$32,4,FALSE()),IF(H576="PPT",VLOOKUP(D576,PRECIOS!$A$4:$F$32,5,FALSE()),0)))),0)</f>
        <v>0</v>
      </c>
      <c r="J576" s="12">
        <f t="shared" si="12"/>
        <v>0</v>
      </c>
      <c r="K576" s="13">
        <f>IFERROR(IF(C576="",0,SUMIFS($F$4:$F$575,$C$4:$C$575,C576,$D$4:$D$575,D576,$E$4:$E$575,E576,$B$4:$B$575,"INGRESO")+SUMIFS($F$4:$F$575,$C$4:$C$575,C576,$D$4:$D$575,D576,$E$4:$E$575,E576,$B$4:$B$575,"DE REPROCESO")+SUMIFS($F$4:$F$575,$C$4:$C$575,C576,$D$4:$D$575,D576,$E$4:$E$575,E576,$B$4:$B$575,"AJUSTE+")-SUMIFS($F$4:$F$575,$C$4:$C$575,C576,$D$4:$D$575,D576,$E$4:$E$575,E576,$B$4:$B$575,"A CORTE")-SUMIFS($F$4:$F$575,$C$4:$C$575,C576,$D$4:$D$575,D576,$E$4:$E$575,E576,$B$4:$B$575,"A REPROCESO")-SUMIFS($F$4:$F$575,$C$4:$C$575,C576,$D$4:$D$575,D576,$E$4:$E$575,E576,$B$4:$B$575,"MUESTRA")-SUMIFS($F$4:$F$575,$C$4:$C$575,C576,$D$4:$D$575,D576,$E$4:$E$575,E576,$B$4:$B$575,"AJUSTE-")),0)</f>
        <v>0</v>
      </c>
      <c r="L576" s="13">
        <f t="shared" si="13"/>
        <v>0</v>
      </c>
      <c r="M576" s="8"/>
      <c r="N576" s="14"/>
      <c r="O576" s="14"/>
      <c r="P576" s="14"/>
      <c r="Q576" s="15"/>
      <c r="R576" s="16" t="str">
        <f t="shared" si="14"/>
        <v/>
      </c>
    </row>
    <row r="577" ht="15.75" customHeight="1">
      <c r="A577" s="7"/>
      <c r="B577" s="8"/>
      <c r="C577" s="8"/>
      <c r="D577" s="8"/>
      <c r="E577" s="8"/>
      <c r="F577" s="9"/>
      <c r="G577" s="10">
        <f>IFERROR(F577*VLOOKUP(D577,TELAS!$A$4:$C$32,3,FALSE()),0)</f>
        <v>0</v>
      </c>
      <c r="H577" s="11" t="str">
        <f>IFERROR(VLOOKUP(E577,COLORES!$A$4:$B$102,2,FALSE()),"")</f>
        <v/>
      </c>
      <c r="I577" s="12">
        <f>IFERROR(IF(H577="OSCURO",VLOOKUP(D577,PRECIOS!$A$4:$F$32,2,FALSE()),IF(H577="CLARO",VLOOKUP(D577,PRECIOS!$A$4:$F$32,3,FALSE()),IF(H577="MELANGE",VLOOKUP(D577,PRECIOS!$A$4:$F$32,4,FALSE()),IF(H577="PPT",VLOOKUP(D577,PRECIOS!$A$4:$F$32,5,FALSE()),0)))),0)</f>
        <v>0</v>
      </c>
      <c r="J577" s="12">
        <f t="shared" si="12"/>
        <v>0</v>
      </c>
      <c r="K577" s="13">
        <f>IFERROR(IF(C577="",0,SUMIFS($F$4:$F$576,$C$4:$C$576,C577,$D$4:$D$576,D577,$E$4:$E$576,E577,$B$4:$B$576,"INGRESO")+SUMIFS($F$4:$F$576,$C$4:$C$576,C577,$D$4:$D$576,D577,$E$4:$E$576,E577,$B$4:$B$576,"DE REPROCESO")+SUMIFS($F$4:$F$576,$C$4:$C$576,C577,$D$4:$D$576,D577,$E$4:$E$576,E577,$B$4:$B$576,"AJUSTE+")-SUMIFS($F$4:$F$576,$C$4:$C$576,C577,$D$4:$D$576,D577,$E$4:$E$576,E577,$B$4:$B$576,"A CORTE")-SUMIFS($F$4:$F$576,$C$4:$C$576,C577,$D$4:$D$576,D577,$E$4:$E$576,E577,$B$4:$B$576,"A REPROCESO")-SUMIFS($F$4:$F$576,$C$4:$C$576,C577,$D$4:$D$576,D577,$E$4:$E$576,E577,$B$4:$B$576,"MUESTRA")-SUMIFS($F$4:$F$576,$C$4:$C$576,C577,$D$4:$D$576,D577,$E$4:$E$576,E577,$B$4:$B$576,"AJUSTE-")),0)</f>
        <v>0</v>
      </c>
      <c r="L577" s="13">
        <f t="shared" si="13"/>
        <v>0</v>
      </c>
      <c r="M577" s="8"/>
      <c r="N577" s="14"/>
      <c r="O577" s="14"/>
      <c r="P577" s="14"/>
      <c r="Q577" s="15"/>
      <c r="R577" s="16" t="str">
        <f t="shared" si="14"/>
        <v/>
      </c>
    </row>
    <row r="578" ht="15.75" customHeight="1">
      <c r="A578" s="7"/>
      <c r="B578" s="8"/>
      <c r="C578" s="8"/>
      <c r="D578" s="8"/>
      <c r="E578" s="8"/>
      <c r="F578" s="9"/>
      <c r="G578" s="10">
        <f>IFERROR(F578*VLOOKUP(D578,TELAS!$A$4:$C$32,3,FALSE()),0)</f>
        <v>0</v>
      </c>
      <c r="H578" s="11" t="str">
        <f>IFERROR(VLOOKUP(E578,COLORES!$A$4:$B$102,2,FALSE()),"")</f>
        <v/>
      </c>
      <c r="I578" s="12">
        <f>IFERROR(IF(H578="OSCURO",VLOOKUP(D578,PRECIOS!$A$4:$F$32,2,FALSE()),IF(H578="CLARO",VLOOKUP(D578,PRECIOS!$A$4:$F$32,3,FALSE()),IF(H578="MELANGE",VLOOKUP(D578,PRECIOS!$A$4:$F$32,4,FALSE()),IF(H578="PPT",VLOOKUP(D578,PRECIOS!$A$4:$F$32,5,FALSE()),0)))),0)</f>
        <v>0</v>
      </c>
      <c r="J578" s="12">
        <f t="shared" si="12"/>
        <v>0</v>
      </c>
      <c r="K578" s="13">
        <f>IFERROR(IF(C578="",0,SUMIFS($F$4:$F$577,$C$4:$C$577,C578,$D$4:$D$577,D578,$E$4:$E$577,E578,$B$4:$B$577,"INGRESO")+SUMIFS($F$4:$F$577,$C$4:$C$577,C578,$D$4:$D$577,D578,$E$4:$E$577,E578,$B$4:$B$577,"DE REPROCESO")+SUMIFS($F$4:$F$577,$C$4:$C$577,C578,$D$4:$D$577,D578,$E$4:$E$577,E578,$B$4:$B$577,"AJUSTE+")-SUMIFS($F$4:$F$577,$C$4:$C$577,C578,$D$4:$D$577,D578,$E$4:$E$577,E578,$B$4:$B$577,"A CORTE")-SUMIFS($F$4:$F$577,$C$4:$C$577,C578,$D$4:$D$577,D578,$E$4:$E$577,E578,$B$4:$B$577,"A REPROCESO")-SUMIFS($F$4:$F$577,$C$4:$C$577,C578,$D$4:$D$577,D578,$E$4:$E$577,E578,$B$4:$B$577,"MUESTRA")-SUMIFS($F$4:$F$577,$C$4:$C$577,C578,$D$4:$D$577,D578,$E$4:$E$577,E578,$B$4:$B$577,"AJUSTE-")),0)</f>
        <v>0</v>
      </c>
      <c r="L578" s="13">
        <f t="shared" si="13"/>
        <v>0</v>
      </c>
      <c r="M578" s="8"/>
      <c r="N578" s="14"/>
      <c r="O578" s="14"/>
      <c r="P578" s="14"/>
      <c r="Q578" s="15"/>
      <c r="R578" s="16" t="str">
        <f t="shared" si="14"/>
        <v/>
      </c>
    </row>
    <row r="579" ht="15.75" customHeight="1">
      <c r="A579" s="7"/>
      <c r="B579" s="8"/>
      <c r="C579" s="8"/>
      <c r="D579" s="8"/>
      <c r="E579" s="8"/>
      <c r="F579" s="9"/>
      <c r="G579" s="10">
        <f>IFERROR(F579*VLOOKUP(D579,TELAS!$A$4:$C$32,3,FALSE()),0)</f>
        <v>0</v>
      </c>
      <c r="H579" s="11" t="str">
        <f>IFERROR(VLOOKUP(E579,COLORES!$A$4:$B$102,2,FALSE()),"")</f>
        <v/>
      </c>
      <c r="I579" s="12">
        <f>IFERROR(IF(H579="OSCURO",VLOOKUP(D579,PRECIOS!$A$4:$F$32,2,FALSE()),IF(H579="CLARO",VLOOKUP(D579,PRECIOS!$A$4:$F$32,3,FALSE()),IF(H579="MELANGE",VLOOKUP(D579,PRECIOS!$A$4:$F$32,4,FALSE()),IF(H579="PPT",VLOOKUP(D579,PRECIOS!$A$4:$F$32,5,FALSE()),0)))),0)</f>
        <v>0</v>
      </c>
      <c r="J579" s="12">
        <f t="shared" si="12"/>
        <v>0</v>
      </c>
      <c r="K579" s="13">
        <f>IFERROR(IF(C579="",0,SUMIFS($F$4:$F$578,$C$4:$C$578,C579,$D$4:$D$578,D579,$E$4:$E$578,E579,$B$4:$B$578,"INGRESO")+SUMIFS($F$4:$F$578,$C$4:$C$578,C579,$D$4:$D$578,D579,$E$4:$E$578,E579,$B$4:$B$578,"DE REPROCESO")+SUMIFS($F$4:$F$578,$C$4:$C$578,C579,$D$4:$D$578,D579,$E$4:$E$578,E579,$B$4:$B$578,"AJUSTE+")-SUMIFS($F$4:$F$578,$C$4:$C$578,C579,$D$4:$D$578,D579,$E$4:$E$578,E579,$B$4:$B$578,"A CORTE")-SUMIFS($F$4:$F$578,$C$4:$C$578,C579,$D$4:$D$578,D579,$E$4:$E$578,E579,$B$4:$B$578,"A REPROCESO")-SUMIFS($F$4:$F$578,$C$4:$C$578,C579,$D$4:$D$578,D579,$E$4:$E$578,E579,$B$4:$B$578,"MUESTRA")-SUMIFS($F$4:$F$578,$C$4:$C$578,C579,$D$4:$D$578,D579,$E$4:$E$578,E579,$B$4:$B$578,"AJUSTE-")),0)</f>
        <v>0</v>
      </c>
      <c r="L579" s="13">
        <f t="shared" si="13"/>
        <v>0</v>
      </c>
      <c r="M579" s="8"/>
      <c r="N579" s="14"/>
      <c r="O579" s="14"/>
      <c r="P579" s="14"/>
      <c r="Q579" s="15"/>
      <c r="R579" s="16" t="str">
        <f t="shared" si="14"/>
        <v/>
      </c>
    </row>
    <row r="580" ht="15.75" customHeight="1">
      <c r="A580" s="7"/>
      <c r="B580" s="8"/>
      <c r="C580" s="8"/>
      <c r="D580" s="8"/>
      <c r="E580" s="8"/>
      <c r="F580" s="9"/>
      <c r="G580" s="10">
        <f>IFERROR(F580*VLOOKUP(D580,TELAS!$A$4:$C$32,3,FALSE()),0)</f>
        <v>0</v>
      </c>
      <c r="H580" s="11" t="str">
        <f>IFERROR(VLOOKUP(E580,COLORES!$A$4:$B$102,2,FALSE()),"")</f>
        <v/>
      </c>
      <c r="I580" s="12">
        <f>IFERROR(IF(H580="OSCURO",VLOOKUP(D580,PRECIOS!$A$4:$F$32,2,FALSE()),IF(H580="CLARO",VLOOKUP(D580,PRECIOS!$A$4:$F$32,3,FALSE()),IF(H580="MELANGE",VLOOKUP(D580,PRECIOS!$A$4:$F$32,4,FALSE()),IF(H580="PPT",VLOOKUP(D580,PRECIOS!$A$4:$F$32,5,FALSE()),0)))),0)</f>
        <v>0</v>
      </c>
      <c r="J580" s="12">
        <f t="shared" si="12"/>
        <v>0</v>
      </c>
      <c r="K580" s="13">
        <f>IFERROR(IF(C580="",0,SUMIFS($F$4:$F$579,$C$4:$C$579,C580,$D$4:$D$579,D580,$E$4:$E$579,E580,$B$4:$B$579,"INGRESO")+SUMIFS($F$4:$F$579,$C$4:$C$579,C580,$D$4:$D$579,D580,$E$4:$E$579,E580,$B$4:$B$579,"DE REPROCESO")+SUMIFS($F$4:$F$579,$C$4:$C$579,C580,$D$4:$D$579,D580,$E$4:$E$579,E580,$B$4:$B$579,"AJUSTE+")-SUMIFS($F$4:$F$579,$C$4:$C$579,C580,$D$4:$D$579,D580,$E$4:$E$579,E580,$B$4:$B$579,"A CORTE")-SUMIFS($F$4:$F$579,$C$4:$C$579,C580,$D$4:$D$579,D580,$E$4:$E$579,E580,$B$4:$B$579,"A REPROCESO")-SUMIFS($F$4:$F$579,$C$4:$C$579,C580,$D$4:$D$579,D580,$E$4:$E$579,E580,$B$4:$B$579,"MUESTRA")-SUMIFS($F$4:$F$579,$C$4:$C$579,C580,$D$4:$D$579,D580,$E$4:$E$579,E580,$B$4:$B$579,"AJUSTE-")),0)</f>
        <v>0</v>
      </c>
      <c r="L580" s="13">
        <f t="shared" si="13"/>
        <v>0</v>
      </c>
      <c r="M580" s="8"/>
      <c r="N580" s="14"/>
      <c r="O580" s="14"/>
      <c r="P580" s="14"/>
      <c r="Q580" s="15"/>
      <c r="R580" s="16" t="str">
        <f t="shared" si="14"/>
        <v/>
      </c>
    </row>
    <row r="581" ht="15.75" customHeight="1">
      <c r="A581" s="7"/>
      <c r="B581" s="8"/>
      <c r="C581" s="8"/>
      <c r="D581" s="8"/>
      <c r="E581" s="8"/>
      <c r="F581" s="9"/>
      <c r="G581" s="10">
        <f>IFERROR(F581*VLOOKUP(D581,TELAS!$A$4:$C$32,3,FALSE()),0)</f>
        <v>0</v>
      </c>
      <c r="H581" s="11" t="str">
        <f>IFERROR(VLOOKUP(E581,COLORES!$A$4:$B$102,2,FALSE()),"")</f>
        <v/>
      </c>
      <c r="I581" s="12">
        <f>IFERROR(IF(H581="OSCURO",VLOOKUP(D581,PRECIOS!$A$4:$F$32,2,FALSE()),IF(H581="CLARO",VLOOKUP(D581,PRECIOS!$A$4:$F$32,3,FALSE()),IF(H581="MELANGE",VLOOKUP(D581,PRECIOS!$A$4:$F$32,4,FALSE()),IF(H581="PPT",VLOOKUP(D581,PRECIOS!$A$4:$F$32,5,FALSE()),0)))),0)</f>
        <v>0</v>
      </c>
      <c r="J581" s="12">
        <f t="shared" si="12"/>
        <v>0</v>
      </c>
      <c r="K581" s="13">
        <f>IFERROR(IF(C581="",0,SUMIFS($F$4:$F$580,$C$4:$C$580,C581,$D$4:$D$580,D581,$E$4:$E$580,E581,$B$4:$B$580,"INGRESO")+SUMIFS($F$4:$F$580,$C$4:$C$580,C581,$D$4:$D$580,D581,$E$4:$E$580,E581,$B$4:$B$580,"DE REPROCESO")+SUMIFS($F$4:$F$580,$C$4:$C$580,C581,$D$4:$D$580,D581,$E$4:$E$580,E581,$B$4:$B$580,"AJUSTE+")-SUMIFS($F$4:$F$580,$C$4:$C$580,C581,$D$4:$D$580,D581,$E$4:$E$580,E581,$B$4:$B$580,"A CORTE")-SUMIFS($F$4:$F$580,$C$4:$C$580,C581,$D$4:$D$580,D581,$E$4:$E$580,E581,$B$4:$B$580,"A REPROCESO")-SUMIFS($F$4:$F$580,$C$4:$C$580,C581,$D$4:$D$580,D581,$E$4:$E$580,E581,$B$4:$B$580,"MUESTRA")-SUMIFS($F$4:$F$580,$C$4:$C$580,C581,$D$4:$D$580,D581,$E$4:$E$580,E581,$B$4:$B$580,"AJUSTE-")),0)</f>
        <v>0</v>
      </c>
      <c r="L581" s="13">
        <f t="shared" si="13"/>
        <v>0</v>
      </c>
      <c r="M581" s="8"/>
      <c r="N581" s="14"/>
      <c r="O581" s="14"/>
      <c r="P581" s="14"/>
      <c r="Q581" s="15"/>
      <c r="R581" s="16" t="str">
        <f t="shared" si="14"/>
        <v/>
      </c>
    </row>
    <row r="582" ht="15.75" customHeight="1">
      <c r="A582" s="7"/>
      <c r="B582" s="8"/>
      <c r="C582" s="8"/>
      <c r="D582" s="8"/>
      <c r="E582" s="8"/>
      <c r="F582" s="9"/>
      <c r="G582" s="10">
        <f>IFERROR(F582*VLOOKUP(D582,TELAS!$A$4:$C$32,3,FALSE()),0)</f>
        <v>0</v>
      </c>
      <c r="H582" s="11" t="str">
        <f>IFERROR(VLOOKUP(E582,COLORES!$A$4:$B$102,2,FALSE()),"")</f>
        <v/>
      </c>
      <c r="I582" s="12">
        <f>IFERROR(IF(H582="OSCURO",VLOOKUP(D582,PRECIOS!$A$4:$F$32,2,FALSE()),IF(H582="CLARO",VLOOKUP(D582,PRECIOS!$A$4:$F$32,3,FALSE()),IF(H582="MELANGE",VLOOKUP(D582,PRECIOS!$A$4:$F$32,4,FALSE()),IF(H582="PPT",VLOOKUP(D582,PRECIOS!$A$4:$F$32,5,FALSE()),0)))),0)</f>
        <v>0</v>
      </c>
      <c r="J582" s="12">
        <f t="shared" si="12"/>
        <v>0</v>
      </c>
      <c r="K582" s="13">
        <f>IFERROR(IF(C582="",0,SUMIFS($F$4:$F$581,$C$4:$C$581,C582,$D$4:$D$581,D582,$E$4:$E$581,E582,$B$4:$B$581,"INGRESO")+SUMIFS($F$4:$F$581,$C$4:$C$581,C582,$D$4:$D$581,D582,$E$4:$E$581,E582,$B$4:$B$581,"DE REPROCESO")+SUMIFS($F$4:$F$581,$C$4:$C$581,C582,$D$4:$D$581,D582,$E$4:$E$581,E582,$B$4:$B$581,"AJUSTE+")-SUMIFS($F$4:$F$581,$C$4:$C$581,C582,$D$4:$D$581,D582,$E$4:$E$581,E582,$B$4:$B$581,"A CORTE")-SUMIFS($F$4:$F$581,$C$4:$C$581,C582,$D$4:$D$581,D582,$E$4:$E$581,E582,$B$4:$B$581,"A REPROCESO")-SUMIFS($F$4:$F$581,$C$4:$C$581,C582,$D$4:$D$581,D582,$E$4:$E$581,E582,$B$4:$B$581,"MUESTRA")-SUMIFS($F$4:$F$581,$C$4:$C$581,C582,$D$4:$D$581,D582,$E$4:$E$581,E582,$B$4:$B$581,"AJUSTE-")),0)</f>
        <v>0</v>
      </c>
      <c r="L582" s="13">
        <f t="shared" si="13"/>
        <v>0</v>
      </c>
      <c r="M582" s="8"/>
      <c r="N582" s="14"/>
      <c r="O582" s="14"/>
      <c r="P582" s="14"/>
      <c r="Q582" s="15"/>
      <c r="R582" s="16" t="str">
        <f t="shared" si="14"/>
        <v/>
      </c>
    </row>
    <row r="583" ht="15.75" customHeight="1">
      <c r="A583" s="7"/>
      <c r="B583" s="8"/>
      <c r="C583" s="8"/>
      <c r="D583" s="8"/>
      <c r="E583" s="8"/>
      <c r="F583" s="9"/>
      <c r="G583" s="10">
        <f>IFERROR(F583*VLOOKUP(D583,TELAS!$A$4:$C$32,3,FALSE()),0)</f>
        <v>0</v>
      </c>
      <c r="H583" s="11" t="str">
        <f>IFERROR(VLOOKUP(E583,COLORES!$A$4:$B$102,2,FALSE()),"")</f>
        <v/>
      </c>
      <c r="I583" s="12">
        <f>IFERROR(IF(H583="OSCURO",VLOOKUP(D583,PRECIOS!$A$4:$F$32,2,FALSE()),IF(H583="CLARO",VLOOKUP(D583,PRECIOS!$A$4:$F$32,3,FALSE()),IF(H583="MELANGE",VLOOKUP(D583,PRECIOS!$A$4:$F$32,4,FALSE()),IF(H583="PPT",VLOOKUP(D583,PRECIOS!$A$4:$F$32,5,FALSE()),0)))),0)</f>
        <v>0</v>
      </c>
      <c r="J583" s="12">
        <f t="shared" si="12"/>
        <v>0</v>
      </c>
      <c r="K583" s="13">
        <f>IFERROR(IF(C583="",0,SUMIFS($F$4:$F$582,$C$4:$C$582,C583,$D$4:$D$582,D583,$E$4:$E$582,E583,$B$4:$B$582,"INGRESO")+SUMIFS($F$4:$F$582,$C$4:$C$582,C583,$D$4:$D$582,D583,$E$4:$E$582,E583,$B$4:$B$582,"DE REPROCESO")+SUMIFS($F$4:$F$582,$C$4:$C$582,C583,$D$4:$D$582,D583,$E$4:$E$582,E583,$B$4:$B$582,"AJUSTE+")-SUMIFS($F$4:$F$582,$C$4:$C$582,C583,$D$4:$D$582,D583,$E$4:$E$582,E583,$B$4:$B$582,"A CORTE")-SUMIFS($F$4:$F$582,$C$4:$C$582,C583,$D$4:$D$582,D583,$E$4:$E$582,E583,$B$4:$B$582,"A REPROCESO")-SUMIFS($F$4:$F$582,$C$4:$C$582,C583,$D$4:$D$582,D583,$E$4:$E$582,E583,$B$4:$B$582,"MUESTRA")-SUMIFS($F$4:$F$582,$C$4:$C$582,C583,$D$4:$D$582,D583,$E$4:$E$582,E583,$B$4:$B$582,"AJUSTE-")),0)</f>
        <v>0</v>
      </c>
      <c r="L583" s="13">
        <f t="shared" si="13"/>
        <v>0</v>
      </c>
      <c r="M583" s="8"/>
      <c r="N583" s="14"/>
      <c r="O583" s="14"/>
      <c r="P583" s="14"/>
      <c r="Q583" s="15"/>
      <c r="R583" s="16" t="str">
        <f t="shared" si="14"/>
        <v/>
      </c>
    </row>
    <row r="584" ht="15.75" customHeight="1">
      <c r="A584" s="7"/>
      <c r="B584" s="8"/>
      <c r="C584" s="8"/>
      <c r="D584" s="8"/>
      <c r="E584" s="8"/>
      <c r="F584" s="9"/>
      <c r="G584" s="10">
        <f>IFERROR(F584*VLOOKUP(D584,TELAS!$A$4:$C$32,3,FALSE()),0)</f>
        <v>0</v>
      </c>
      <c r="H584" s="11" t="str">
        <f>IFERROR(VLOOKUP(E584,COLORES!$A$4:$B$102,2,FALSE()),"")</f>
        <v/>
      </c>
      <c r="I584" s="12">
        <f>IFERROR(IF(H584="OSCURO",VLOOKUP(D584,PRECIOS!$A$4:$F$32,2,FALSE()),IF(H584="CLARO",VLOOKUP(D584,PRECIOS!$A$4:$F$32,3,FALSE()),IF(H584="MELANGE",VLOOKUP(D584,PRECIOS!$A$4:$F$32,4,FALSE()),IF(H584="PPT",VLOOKUP(D584,PRECIOS!$A$4:$F$32,5,FALSE()),0)))),0)</f>
        <v>0</v>
      </c>
      <c r="J584" s="12">
        <f t="shared" si="12"/>
        <v>0</v>
      </c>
      <c r="K584" s="13">
        <f>IFERROR(IF(C584="",0,SUMIFS($F$4:$F$583,$C$4:$C$583,C584,$D$4:$D$583,D584,$E$4:$E$583,E584,$B$4:$B$583,"INGRESO")+SUMIFS($F$4:$F$583,$C$4:$C$583,C584,$D$4:$D$583,D584,$E$4:$E$583,E584,$B$4:$B$583,"DE REPROCESO")+SUMIFS($F$4:$F$583,$C$4:$C$583,C584,$D$4:$D$583,D584,$E$4:$E$583,E584,$B$4:$B$583,"AJUSTE+")-SUMIFS($F$4:$F$583,$C$4:$C$583,C584,$D$4:$D$583,D584,$E$4:$E$583,E584,$B$4:$B$583,"A CORTE")-SUMIFS($F$4:$F$583,$C$4:$C$583,C584,$D$4:$D$583,D584,$E$4:$E$583,E584,$B$4:$B$583,"A REPROCESO")-SUMIFS($F$4:$F$583,$C$4:$C$583,C584,$D$4:$D$583,D584,$E$4:$E$583,E584,$B$4:$B$583,"MUESTRA")-SUMIFS($F$4:$F$583,$C$4:$C$583,C584,$D$4:$D$583,D584,$E$4:$E$583,E584,$B$4:$B$583,"AJUSTE-")),0)</f>
        <v>0</v>
      </c>
      <c r="L584" s="13">
        <f t="shared" si="13"/>
        <v>0</v>
      </c>
      <c r="M584" s="8"/>
      <c r="N584" s="14"/>
      <c r="O584" s="14"/>
      <c r="P584" s="14"/>
      <c r="Q584" s="15"/>
      <c r="R584" s="16" t="str">
        <f t="shared" si="14"/>
        <v/>
      </c>
    </row>
    <row r="585" ht="15.75" customHeight="1">
      <c r="A585" s="7"/>
      <c r="B585" s="8"/>
      <c r="C585" s="8"/>
      <c r="D585" s="8"/>
      <c r="E585" s="8"/>
      <c r="F585" s="9"/>
      <c r="G585" s="10">
        <f>IFERROR(F585*VLOOKUP(D585,TELAS!$A$4:$C$32,3,FALSE()),0)</f>
        <v>0</v>
      </c>
      <c r="H585" s="11" t="str">
        <f>IFERROR(VLOOKUP(E585,COLORES!$A$4:$B$102,2,FALSE()),"")</f>
        <v/>
      </c>
      <c r="I585" s="12">
        <f>IFERROR(IF(H585="OSCURO",VLOOKUP(D585,PRECIOS!$A$4:$F$32,2,FALSE()),IF(H585="CLARO",VLOOKUP(D585,PRECIOS!$A$4:$F$32,3,FALSE()),IF(H585="MELANGE",VLOOKUP(D585,PRECIOS!$A$4:$F$32,4,FALSE()),IF(H585="PPT",VLOOKUP(D585,PRECIOS!$A$4:$F$32,5,FALSE()),0)))),0)</f>
        <v>0</v>
      </c>
      <c r="J585" s="12">
        <f t="shared" si="12"/>
        <v>0</v>
      </c>
      <c r="K585" s="13">
        <f>IFERROR(IF(C585="",0,SUMIFS($F$4:$F$584,$C$4:$C$584,C585,$D$4:$D$584,D585,$E$4:$E$584,E585,$B$4:$B$584,"INGRESO")+SUMIFS($F$4:$F$584,$C$4:$C$584,C585,$D$4:$D$584,D585,$E$4:$E$584,E585,$B$4:$B$584,"DE REPROCESO")+SUMIFS($F$4:$F$584,$C$4:$C$584,C585,$D$4:$D$584,D585,$E$4:$E$584,E585,$B$4:$B$584,"AJUSTE+")-SUMIFS($F$4:$F$584,$C$4:$C$584,C585,$D$4:$D$584,D585,$E$4:$E$584,E585,$B$4:$B$584,"A CORTE")-SUMIFS($F$4:$F$584,$C$4:$C$584,C585,$D$4:$D$584,D585,$E$4:$E$584,E585,$B$4:$B$584,"A REPROCESO")-SUMIFS($F$4:$F$584,$C$4:$C$584,C585,$D$4:$D$584,D585,$E$4:$E$584,E585,$B$4:$B$584,"MUESTRA")-SUMIFS($F$4:$F$584,$C$4:$C$584,C585,$D$4:$D$584,D585,$E$4:$E$584,E585,$B$4:$B$584,"AJUSTE-")),0)</f>
        <v>0</v>
      </c>
      <c r="L585" s="13">
        <f t="shared" si="13"/>
        <v>0</v>
      </c>
      <c r="M585" s="8"/>
      <c r="N585" s="14"/>
      <c r="O585" s="14"/>
      <c r="P585" s="14"/>
      <c r="Q585" s="15"/>
      <c r="R585" s="16" t="str">
        <f t="shared" si="14"/>
        <v/>
      </c>
    </row>
    <row r="586" ht="15.75" customHeight="1">
      <c r="A586" s="7"/>
      <c r="B586" s="8"/>
      <c r="C586" s="8"/>
      <c r="D586" s="8"/>
      <c r="E586" s="8"/>
      <c r="F586" s="9"/>
      <c r="G586" s="10">
        <f>IFERROR(F586*VLOOKUP(D586,TELAS!$A$4:$C$32,3,FALSE()),0)</f>
        <v>0</v>
      </c>
      <c r="H586" s="11" t="str">
        <f>IFERROR(VLOOKUP(E586,COLORES!$A$4:$B$102,2,FALSE()),"")</f>
        <v/>
      </c>
      <c r="I586" s="12">
        <f>IFERROR(IF(H586="OSCURO",VLOOKUP(D586,PRECIOS!$A$4:$F$32,2,FALSE()),IF(H586="CLARO",VLOOKUP(D586,PRECIOS!$A$4:$F$32,3,FALSE()),IF(H586="MELANGE",VLOOKUP(D586,PRECIOS!$A$4:$F$32,4,FALSE()),IF(H586="PPT",VLOOKUP(D586,PRECIOS!$A$4:$F$32,5,FALSE()),0)))),0)</f>
        <v>0</v>
      </c>
      <c r="J586" s="12">
        <f t="shared" si="12"/>
        <v>0</v>
      </c>
      <c r="K586" s="13">
        <f>IFERROR(IF(C586="",0,SUMIFS($F$4:$F$585,$C$4:$C$585,C586,$D$4:$D$585,D586,$E$4:$E$585,E586,$B$4:$B$585,"INGRESO")+SUMIFS($F$4:$F$585,$C$4:$C$585,C586,$D$4:$D$585,D586,$E$4:$E$585,E586,$B$4:$B$585,"DE REPROCESO")+SUMIFS($F$4:$F$585,$C$4:$C$585,C586,$D$4:$D$585,D586,$E$4:$E$585,E586,$B$4:$B$585,"AJUSTE+")-SUMIFS($F$4:$F$585,$C$4:$C$585,C586,$D$4:$D$585,D586,$E$4:$E$585,E586,$B$4:$B$585,"A CORTE")-SUMIFS($F$4:$F$585,$C$4:$C$585,C586,$D$4:$D$585,D586,$E$4:$E$585,E586,$B$4:$B$585,"A REPROCESO")-SUMIFS($F$4:$F$585,$C$4:$C$585,C586,$D$4:$D$585,D586,$E$4:$E$585,E586,$B$4:$B$585,"MUESTRA")-SUMIFS($F$4:$F$585,$C$4:$C$585,C586,$D$4:$D$585,D586,$E$4:$E$585,E586,$B$4:$B$585,"AJUSTE-")),0)</f>
        <v>0</v>
      </c>
      <c r="L586" s="13">
        <f t="shared" si="13"/>
        <v>0</v>
      </c>
      <c r="M586" s="8"/>
      <c r="N586" s="14"/>
      <c r="O586" s="14"/>
      <c r="P586" s="14"/>
      <c r="Q586" s="15"/>
      <c r="R586" s="16" t="str">
        <f t="shared" si="14"/>
        <v/>
      </c>
    </row>
    <row r="587" ht="15.75" customHeight="1">
      <c r="A587" s="7"/>
      <c r="B587" s="8"/>
      <c r="C587" s="8"/>
      <c r="D587" s="8"/>
      <c r="E587" s="8"/>
      <c r="F587" s="9"/>
      <c r="G587" s="10">
        <f>IFERROR(F587*VLOOKUP(D587,TELAS!$A$4:$C$32,3,FALSE()),0)</f>
        <v>0</v>
      </c>
      <c r="H587" s="11" t="str">
        <f>IFERROR(VLOOKUP(E587,COLORES!$A$4:$B$102,2,FALSE()),"")</f>
        <v/>
      </c>
      <c r="I587" s="12">
        <f>IFERROR(IF(H587="OSCURO",VLOOKUP(D587,PRECIOS!$A$4:$F$32,2,FALSE()),IF(H587="CLARO",VLOOKUP(D587,PRECIOS!$A$4:$F$32,3,FALSE()),IF(H587="MELANGE",VLOOKUP(D587,PRECIOS!$A$4:$F$32,4,FALSE()),IF(H587="PPT",VLOOKUP(D587,PRECIOS!$A$4:$F$32,5,FALSE()),0)))),0)</f>
        <v>0</v>
      </c>
      <c r="J587" s="12">
        <f t="shared" si="12"/>
        <v>0</v>
      </c>
      <c r="K587" s="13">
        <f>IFERROR(IF(C587="",0,SUMIFS($F$4:$F$586,$C$4:$C$586,C587,$D$4:$D$586,D587,$E$4:$E$586,E587,$B$4:$B$586,"INGRESO")+SUMIFS($F$4:$F$586,$C$4:$C$586,C587,$D$4:$D$586,D587,$E$4:$E$586,E587,$B$4:$B$586,"DE REPROCESO")+SUMIFS($F$4:$F$586,$C$4:$C$586,C587,$D$4:$D$586,D587,$E$4:$E$586,E587,$B$4:$B$586,"AJUSTE+")-SUMIFS($F$4:$F$586,$C$4:$C$586,C587,$D$4:$D$586,D587,$E$4:$E$586,E587,$B$4:$B$586,"A CORTE")-SUMIFS($F$4:$F$586,$C$4:$C$586,C587,$D$4:$D$586,D587,$E$4:$E$586,E587,$B$4:$B$586,"A REPROCESO")-SUMIFS($F$4:$F$586,$C$4:$C$586,C587,$D$4:$D$586,D587,$E$4:$E$586,E587,$B$4:$B$586,"MUESTRA")-SUMIFS($F$4:$F$586,$C$4:$C$586,C587,$D$4:$D$586,D587,$E$4:$E$586,E587,$B$4:$B$586,"AJUSTE-")),0)</f>
        <v>0</v>
      </c>
      <c r="L587" s="13">
        <f t="shared" si="13"/>
        <v>0</v>
      </c>
      <c r="M587" s="8"/>
      <c r="N587" s="14"/>
      <c r="O587" s="14"/>
      <c r="P587" s="14"/>
      <c r="Q587" s="15"/>
      <c r="R587" s="16" t="str">
        <f t="shared" si="14"/>
        <v/>
      </c>
    </row>
    <row r="588" ht="15.75" customHeight="1">
      <c r="A588" s="7"/>
      <c r="B588" s="8"/>
      <c r="C588" s="8"/>
      <c r="D588" s="8"/>
      <c r="E588" s="8"/>
      <c r="F588" s="9"/>
      <c r="G588" s="10">
        <f>IFERROR(F588*VLOOKUP(D588,TELAS!$A$4:$C$32,3,FALSE()),0)</f>
        <v>0</v>
      </c>
      <c r="H588" s="11" t="str">
        <f>IFERROR(VLOOKUP(E588,COLORES!$A$4:$B$102,2,FALSE()),"")</f>
        <v/>
      </c>
      <c r="I588" s="12">
        <f>IFERROR(IF(H588="OSCURO",VLOOKUP(D588,PRECIOS!$A$4:$F$32,2,FALSE()),IF(H588="CLARO",VLOOKUP(D588,PRECIOS!$A$4:$F$32,3,FALSE()),IF(H588="MELANGE",VLOOKUP(D588,PRECIOS!$A$4:$F$32,4,FALSE()),IF(H588="PPT",VLOOKUP(D588,PRECIOS!$A$4:$F$32,5,FALSE()),0)))),0)</f>
        <v>0</v>
      </c>
      <c r="J588" s="12">
        <f t="shared" si="12"/>
        <v>0</v>
      </c>
      <c r="K588" s="13">
        <f>IFERROR(IF(C588="",0,SUMIFS($F$4:$F$587,$C$4:$C$587,C588,$D$4:$D$587,D588,$E$4:$E$587,E588,$B$4:$B$587,"INGRESO")+SUMIFS($F$4:$F$587,$C$4:$C$587,C588,$D$4:$D$587,D588,$E$4:$E$587,E588,$B$4:$B$587,"DE REPROCESO")+SUMIFS($F$4:$F$587,$C$4:$C$587,C588,$D$4:$D$587,D588,$E$4:$E$587,E588,$B$4:$B$587,"AJUSTE+")-SUMIFS($F$4:$F$587,$C$4:$C$587,C588,$D$4:$D$587,D588,$E$4:$E$587,E588,$B$4:$B$587,"A CORTE")-SUMIFS($F$4:$F$587,$C$4:$C$587,C588,$D$4:$D$587,D588,$E$4:$E$587,E588,$B$4:$B$587,"A REPROCESO")-SUMIFS($F$4:$F$587,$C$4:$C$587,C588,$D$4:$D$587,D588,$E$4:$E$587,E588,$B$4:$B$587,"MUESTRA")-SUMIFS($F$4:$F$587,$C$4:$C$587,C588,$D$4:$D$587,D588,$E$4:$E$587,E588,$B$4:$B$587,"AJUSTE-")),0)</f>
        <v>0</v>
      </c>
      <c r="L588" s="13">
        <f t="shared" si="13"/>
        <v>0</v>
      </c>
      <c r="M588" s="8"/>
      <c r="N588" s="14"/>
      <c r="O588" s="14"/>
      <c r="P588" s="14"/>
      <c r="Q588" s="15"/>
      <c r="R588" s="16" t="str">
        <f t="shared" si="14"/>
        <v/>
      </c>
    </row>
    <row r="589" ht="15.75" customHeight="1">
      <c r="A589" s="7"/>
      <c r="B589" s="8"/>
      <c r="C589" s="8"/>
      <c r="D589" s="8"/>
      <c r="E589" s="8"/>
      <c r="F589" s="9"/>
      <c r="G589" s="10">
        <f>IFERROR(F589*VLOOKUP(D589,TELAS!$A$4:$C$32,3,FALSE()),0)</f>
        <v>0</v>
      </c>
      <c r="H589" s="11" t="str">
        <f>IFERROR(VLOOKUP(E589,COLORES!$A$4:$B$102,2,FALSE()),"")</f>
        <v/>
      </c>
      <c r="I589" s="12">
        <f>IFERROR(IF(H589="OSCURO",VLOOKUP(D589,PRECIOS!$A$4:$F$32,2,FALSE()),IF(H589="CLARO",VLOOKUP(D589,PRECIOS!$A$4:$F$32,3,FALSE()),IF(H589="MELANGE",VLOOKUP(D589,PRECIOS!$A$4:$F$32,4,FALSE()),IF(H589="PPT",VLOOKUP(D589,PRECIOS!$A$4:$F$32,5,FALSE()),0)))),0)</f>
        <v>0</v>
      </c>
      <c r="J589" s="12">
        <f t="shared" si="12"/>
        <v>0</v>
      </c>
      <c r="K589" s="13">
        <f>IFERROR(IF(C589="",0,SUMIFS($F$4:$F$588,$C$4:$C$588,C589,$D$4:$D$588,D589,$E$4:$E$588,E589,$B$4:$B$588,"INGRESO")+SUMIFS($F$4:$F$588,$C$4:$C$588,C589,$D$4:$D$588,D589,$E$4:$E$588,E589,$B$4:$B$588,"DE REPROCESO")+SUMIFS($F$4:$F$588,$C$4:$C$588,C589,$D$4:$D$588,D589,$E$4:$E$588,E589,$B$4:$B$588,"AJUSTE+")-SUMIFS($F$4:$F$588,$C$4:$C$588,C589,$D$4:$D$588,D589,$E$4:$E$588,E589,$B$4:$B$588,"A CORTE")-SUMIFS($F$4:$F$588,$C$4:$C$588,C589,$D$4:$D$588,D589,$E$4:$E$588,E589,$B$4:$B$588,"A REPROCESO")-SUMIFS($F$4:$F$588,$C$4:$C$588,C589,$D$4:$D$588,D589,$E$4:$E$588,E589,$B$4:$B$588,"MUESTRA")-SUMIFS($F$4:$F$588,$C$4:$C$588,C589,$D$4:$D$588,D589,$E$4:$E$588,E589,$B$4:$B$588,"AJUSTE-")),0)</f>
        <v>0</v>
      </c>
      <c r="L589" s="13">
        <f t="shared" si="13"/>
        <v>0</v>
      </c>
      <c r="M589" s="8"/>
      <c r="N589" s="14"/>
      <c r="O589" s="14"/>
      <c r="P589" s="14"/>
      <c r="Q589" s="15"/>
      <c r="R589" s="16" t="str">
        <f t="shared" si="14"/>
        <v/>
      </c>
    </row>
    <row r="590" ht="15.75" customHeight="1">
      <c r="A590" s="7"/>
      <c r="B590" s="8"/>
      <c r="C590" s="8"/>
      <c r="D590" s="8"/>
      <c r="E590" s="8"/>
      <c r="F590" s="9"/>
      <c r="G590" s="10">
        <f>IFERROR(F590*VLOOKUP(D590,TELAS!$A$4:$C$32,3,FALSE()),0)</f>
        <v>0</v>
      </c>
      <c r="H590" s="11" t="str">
        <f>IFERROR(VLOOKUP(E590,COLORES!$A$4:$B$102,2,FALSE()),"")</f>
        <v/>
      </c>
      <c r="I590" s="12">
        <f>IFERROR(IF(H590="OSCURO",VLOOKUP(D590,PRECIOS!$A$4:$F$32,2,FALSE()),IF(H590="CLARO",VLOOKUP(D590,PRECIOS!$A$4:$F$32,3,FALSE()),IF(H590="MELANGE",VLOOKUP(D590,PRECIOS!$A$4:$F$32,4,FALSE()),IF(H590="PPT",VLOOKUP(D590,PRECIOS!$A$4:$F$32,5,FALSE()),0)))),0)</f>
        <v>0</v>
      </c>
      <c r="J590" s="12">
        <f t="shared" si="12"/>
        <v>0</v>
      </c>
      <c r="K590" s="13">
        <f>IFERROR(IF(C590="",0,SUMIFS($F$4:$F$589,$C$4:$C$589,C590,$D$4:$D$589,D590,$E$4:$E$589,E590,$B$4:$B$589,"INGRESO")+SUMIFS($F$4:$F$589,$C$4:$C$589,C590,$D$4:$D$589,D590,$E$4:$E$589,E590,$B$4:$B$589,"DE REPROCESO")+SUMIFS($F$4:$F$589,$C$4:$C$589,C590,$D$4:$D$589,D590,$E$4:$E$589,E590,$B$4:$B$589,"AJUSTE+")-SUMIFS($F$4:$F$589,$C$4:$C$589,C590,$D$4:$D$589,D590,$E$4:$E$589,E590,$B$4:$B$589,"A CORTE")-SUMIFS($F$4:$F$589,$C$4:$C$589,C590,$D$4:$D$589,D590,$E$4:$E$589,E590,$B$4:$B$589,"A REPROCESO")-SUMIFS($F$4:$F$589,$C$4:$C$589,C590,$D$4:$D$589,D590,$E$4:$E$589,E590,$B$4:$B$589,"MUESTRA")-SUMIFS($F$4:$F$589,$C$4:$C$589,C590,$D$4:$D$589,D590,$E$4:$E$589,E590,$B$4:$B$589,"AJUSTE-")),0)</f>
        <v>0</v>
      </c>
      <c r="L590" s="13">
        <f t="shared" si="13"/>
        <v>0</v>
      </c>
      <c r="M590" s="8"/>
      <c r="N590" s="14"/>
      <c r="O590" s="14"/>
      <c r="P590" s="14"/>
      <c r="Q590" s="15"/>
      <c r="R590" s="16" t="str">
        <f t="shared" si="14"/>
        <v/>
      </c>
    </row>
    <row r="591" ht="15.75" customHeight="1">
      <c r="A591" s="7"/>
      <c r="B591" s="8"/>
      <c r="C591" s="8"/>
      <c r="D591" s="8"/>
      <c r="E591" s="8"/>
      <c r="F591" s="9"/>
      <c r="G591" s="10">
        <f>IFERROR(F591*VLOOKUP(D591,TELAS!$A$4:$C$32,3,FALSE()),0)</f>
        <v>0</v>
      </c>
      <c r="H591" s="11" t="str">
        <f>IFERROR(VLOOKUP(E591,COLORES!$A$4:$B$102,2,FALSE()),"")</f>
        <v/>
      </c>
      <c r="I591" s="12">
        <f>IFERROR(IF(H591="OSCURO",VLOOKUP(D591,PRECIOS!$A$4:$F$32,2,FALSE()),IF(H591="CLARO",VLOOKUP(D591,PRECIOS!$A$4:$F$32,3,FALSE()),IF(H591="MELANGE",VLOOKUP(D591,PRECIOS!$A$4:$F$32,4,FALSE()),IF(H591="PPT",VLOOKUP(D591,PRECIOS!$A$4:$F$32,5,FALSE()),0)))),0)</f>
        <v>0</v>
      </c>
      <c r="J591" s="12">
        <f t="shared" si="12"/>
        <v>0</v>
      </c>
      <c r="K591" s="13">
        <f>IFERROR(IF(C591="",0,SUMIFS($F$4:$F$590,$C$4:$C$590,C591,$D$4:$D$590,D591,$E$4:$E$590,E591,$B$4:$B$590,"INGRESO")+SUMIFS($F$4:$F$590,$C$4:$C$590,C591,$D$4:$D$590,D591,$E$4:$E$590,E591,$B$4:$B$590,"DE REPROCESO")+SUMIFS($F$4:$F$590,$C$4:$C$590,C591,$D$4:$D$590,D591,$E$4:$E$590,E591,$B$4:$B$590,"AJUSTE+")-SUMIFS($F$4:$F$590,$C$4:$C$590,C591,$D$4:$D$590,D591,$E$4:$E$590,E591,$B$4:$B$590,"A CORTE")-SUMIFS($F$4:$F$590,$C$4:$C$590,C591,$D$4:$D$590,D591,$E$4:$E$590,E591,$B$4:$B$590,"A REPROCESO")-SUMIFS($F$4:$F$590,$C$4:$C$590,C591,$D$4:$D$590,D591,$E$4:$E$590,E591,$B$4:$B$590,"MUESTRA")-SUMIFS($F$4:$F$590,$C$4:$C$590,C591,$D$4:$D$590,D591,$E$4:$E$590,E591,$B$4:$B$590,"AJUSTE-")),0)</f>
        <v>0</v>
      </c>
      <c r="L591" s="13">
        <f t="shared" si="13"/>
        <v>0</v>
      </c>
      <c r="M591" s="8"/>
      <c r="N591" s="14"/>
      <c r="O591" s="14"/>
      <c r="P591" s="14"/>
      <c r="Q591" s="15"/>
      <c r="R591" s="16" t="str">
        <f t="shared" si="14"/>
        <v/>
      </c>
    </row>
    <row r="592" ht="15.75" customHeight="1">
      <c r="A592" s="7"/>
      <c r="B592" s="8"/>
      <c r="C592" s="8"/>
      <c r="D592" s="8"/>
      <c r="E592" s="8"/>
      <c r="F592" s="9"/>
      <c r="G592" s="10">
        <f>IFERROR(F592*VLOOKUP(D592,TELAS!$A$4:$C$32,3,FALSE()),0)</f>
        <v>0</v>
      </c>
      <c r="H592" s="11" t="str">
        <f>IFERROR(VLOOKUP(E592,COLORES!$A$4:$B$102,2,FALSE()),"")</f>
        <v/>
      </c>
      <c r="I592" s="12">
        <f>IFERROR(IF(H592="OSCURO",VLOOKUP(D592,PRECIOS!$A$4:$F$32,2,FALSE()),IF(H592="CLARO",VLOOKUP(D592,PRECIOS!$A$4:$F$32,3,FALSE()),IF(H592="MELANGE",VLOOKUP(D592,PRECIOS!$A$4:$F$32,4,FALSE()),IF(H592="PPT",VLOOKUP(D592,PRECIOS!$A$4:$F$32,5,FALSE()),0)))),0)</f>
        <v>0</v>
      </c>
      <c r="J592" s="12">
        <f t="shared" si="12"/>
        <v>0</v>
      </c>
      <c r="K592" s="13">
        <f>IFERROR(IF(C592="",0,SUMIFS($F$4:$F$591,$C$4:$C$591,C592,$D$4:$D$591,D592,$E$4:$E$591,E592,$B$4:$B$591,"INGRESO")+SUMIFS($F$4:$F$591,$C$4:$C$591,C592,$D$4:$D$591,D592,$E$4:$E$591,E592,$B$4:$B$591,"DE REPROCESO")+SUMIFS($F$4:$F$591,$C$4:$C$591,C592,$D$4:$D$591,D592,$E$4:$E$591,E592,$B$4:$B$591,"AJUSTE+")-SUMIFS($F$4:$F$591,$C$4:$C$591,C592,$D$4:$D$591,D592,$E$4:$E$591,E592,$B$4:$B$591,"A CORTE")-SUMIFS($F$4:$F$591,$C$4:$C$591,C592,$D$4:$D$591,D592,$E$4:$E$591,E592,$B$4:$B$591,"A REPROCESO")-SUMIFS($F$4:$F$591,$C$4:$C$591,C592,$D$4:$D$591,D592,$E$4:$E$591,E592,$B$4:$B$591,"MUESTRA")-SUMIFS($F$4:$F$591,$C$4:$C$591,C592,$D$4:$D$591,D592,$E$4:$E$591,E592,$B$4:$B$591,"AJUSTE-")),0)</f>
        <v>0</v>
      </c>
      <c r="L592" s="13">
        <f t="shared" si="13"/>
        <v>0</v>
      </c>
      <c r="M592" s="8"/>
      <c r="N592" s="14"/>
      <c r="O592" s="14"/>
      <c r="P592" s="14"/>
      <c r="Q592" s="15"/>
      <c r="R592" s="16" t="str">
        <f t="shared" si="14"/>
        <v/>
      </c>
    </row>
    <row r="593" ht="15.75" customHeight="1">
      <c r="A593" s="7"/>
      <c r="B593" s="8"/>
      <c r="C593" s="8"/>
      <c r="D593" s="8"/>
      <c r="E593" s="8"/>
      <c r="F593" s="9"/>
      <c r="G593" s="10">
        <f>IFERROR(F593*VLOOKUP(D593,TELAS!$A$4:$C$32,3,FALSE()),0)</f>
        <v>0</v>
      </c>
      <c r="H593" s="11" t="str">
        <f>IFERROR(VLOOKUP(E593,COLORES!$A$4:$B$102,2,FALSE()),"")</f>
        <v/>
      </c>
      <c r="I593" s="12">
        <f>IFERROR(IF(H593="OSCURO",VLOOKUP(D593,PRECIOS!$A$4:$F$32,2,FALSE()),IF(H593="CLARO",VLOOKUP(D593,PRECIOS!$A$4:$F$32,3,FALSE()),IF(H593="MELANGE",VLOOKUP(D593,PRECIOS!$A$4:$F$32,4,FALSE()),IF(H593="PPT",VLOOKUP(D593,PRECIOS!$A$4:$F$32,5,FALSE()),0)))),0)</f>
        <v>0</v>
      </c>
      <c r="J593" s="12">
        <f t="shared" si="12"/>
        <v>0</v>
      </c>
      <c r="K593" s="13">
        <f>IFERROR(IF(C593="",0,SUMIFS($F$4:$F$592,$C$4:$C$592,C593,$D$4:$D$592,D593,$E$4:$E$592,E593,$B$4:$B$592,"INGRESO")+SUMIFS($F$4:$F$592,$C$4:$C$592,C593,$D$4:$D$592,D593,$E$4:$E$592,E593,$B$4:$B$592,"DE REPROCESO")+SUMIFS($F$4:$F$592,$C$4:$C$592,C593,$D$4:$D$592,D593,$E$4:$E$592,E593,$B$4:$B$592,"AJUSTE+")-SUMIFS($F$4:$F$592,$C$4:$C$592,C593,$D$4:$D$592,D593,$E$4:$E$592,E593,$B$4:$B$592,"A CORTE")-SUMIFS($F$4:$F$592,$C$4:$C$592,C593,$D$4:$D$592,D593,$E$4:$E$592,E593,$B$4:$B$592,"A REPROCESO")-SUMIFS($F$4:$F$592,$C$4:$C$592,C593,$D$4:$D$592,D593,$E$4:$E$592,E593,$B$4:$B$592,"MUESTRA")-SUMIFS($F$4:$F$592,$C$4:$C$592,C593,$D$4:$D$592,D593,$E$4:$E$592,E593,$B$4:$B$592,"AJUSTE-")),0)</f>
        <v>0</v>
      </c>
      <c r="L593" s="13">
        <f t="shared" si="13"/>
        <v>0</v>
      </c>
      <c r="M593" s="8"/>
      <c r="N593" s="14"/>
      <c r="O593" s="14"/>
      <c r="P593" s="14"/>
      <c r="Q593" s="15"/>
      <c r="R593" s="16" t="str">
        <f t="shared" si="14"/>
        <v/>
      </c>
    </row>
    <row r="594" ht="15.75" customHeight="1">
      <c r="A594" s="7"/>
      <c r="B594" s="8"/>
      <c r="C594" s="8"/>
      <c r="D594" s="8"/>
      <c r="E594" s="8"/>
      <c r="F594" s="9"/>
      <c r="G594" s="10">
        <f>IFERROR(F594*VLOOKUP(D594,TELAS!$A$4:$C$32,3,FALSE()),0)</f>
        <v>0</v>
      </c>
      <c r="H594" s="11" t="str">
        <f>IFERROR(VLOOKUP(E594,COLORES!$A$4:$B$102,2,FALSE()),"")</f>
        <v/>
      </c>
      <c r="I594" s="12">
        <f>IFERROR(IF(H594="OSCURO",VLOOKUP(D594,PRECIOS!$A$4:$F$32,2,FALSE()),IF(H594="CLARO",VLOOKUP(D594,PRECIOS!$A$4:$F$32,3,FALSE()),IF(H594="MELANGE",VLOOKUP(D594,PRECIOS!$A$4:$F$32,4,FALSE()),IF(H594="PPT",VLOOKUP(D594,PRECIOS!$A$4:$F$32,5,FALSE()),0)))),0)</f>
        <v>0</v>
      </c>
      <c r="J594" s="12">
        <f t="shared" si="12"/>
        <v>0</v>
      </c>
      <c r="K594" s="13">
        <f>IFERROR(IF(C594="",0,SUMIFS($F$4:$F$593,$C$4:$C$593,C594,$D$4:$D$593,D594,$E$4:$E$593,E594,$B$4:$B$593,"INGRESO")+SUMIFS($F$4:$F$593,$C$4:$C$593,C594,$D$4:$D$593,D594,$E$4:$E$593,E594,$B$4:$B$593,"DE REPROCESO")+SUMIFS($F$4:$F$593,$C$4:$C$593,C594,$D$4:$D$593,D594,$E$4:$E$593,E594,$B$4:$B$593,"AJUSTE+")-SUMIFS($F$4:$F$593,$C$4:$C$593,C594,$D$4:$D$593,D594,$E$4:$E$593,E594,$B$4:$B$593,"A CORTE")-SUMIFS($F$4:$F$593,$C$4:$C$593,C594,$D$4:$D$593,D594,$E$4:$E$593,E594,$B$4:$B$593,"A REPROCESO")-SUMIFS($F$4:$F$593,$C$4:$C$593,C594,$D$4:$D$593,D594,$E$4:$E$593,E594,$B$4:$B$593,"MUESTRA")-SUMIFS($F$4:$F$593,$C$4:$C$593,C594,$D$4:$D$593,D594,$E$4:$E$593,E594,$B$4:$B$593,"AJUSTE-")),0)</f>
        <v>0</v>
      </c>
      <c r="L594" s="13">
        <f t="shared" si="13"/>
        <v>0</v>
      </c>
      <c r="M594" s="8"/>
      <c r="N594" s="14"/>
      <c r="O594" s="14"/>
      <c r="P594" s="14"/>
      <c r="Q594" s="15"/>
      <c r="R594" s="16" t="str">
        <f t="shared" si="14"/>
        <v/>
      </c>
    </row>
    <row r="595" ht="15.75" customHeight="1">
      <c r="A595" s="7"/>
      <c r="B595" s="8"/>
      <c r="C595" s="8"/>
      <c r="D595" s="8"/>
      <c r="E595" s="8"/>
      <c r="F595" s="9"/>
      <c r="G595" s="10">
        <f>IFERROR(F595*VLOOKUP(D595,TELAS!$A$4:$C$32,3,FALSE()),0)</f>
        <v>0</v>
      </c>
      <c r="H595" s="11" t="str">
        <f>IFERROR(VLOOKUP(E595,COLORES!$A$4:$B$102,2,FALSE()),"")</f>
        <v/>
      </c>
      <c r="I595" s="12">
        <f>IFERROR(IF(H595="OSCURO",VLOOKUP(D595,PRECIOS!$A$4:$F$32,2,FALSE()),IF(H595="CLARO",VLOOKUP(D595,PRECIOS!$A$4:$F$32,3,FALSE()),IF(H595="MELANGE",VLOOKUP(D595,PRECIOS!$A$4:$F$32,4,FALSE()),IF(H595="PPT",VLOOKUP(D595,PRECIOS!$A$4:$F$32,5,FALSE()),0)))),0)</f>
        <v>0</v>
      </c>
      <c r="J595" s="12">
        <f t="shared" si="12"/>
        <v>0</v>
      </c>
      <c r="K595" s="13">
        <f>IFERROR(IF(C595="",0,SUMIFS($F$4:$F$594,$C$4:$C$594,C595,$D$4:$D$594,D595,$E$4:$E$594,E595,$B$4:$B$594,"INGRESO")+SUMIFS($F$4:$F$594,$C$4:$C$594,C595,$D$4:$D$594,D595,$E$4:$E$594,E595,$B$4:$B$594,"DE REPROCESO")+SUMIFS($F$4:$F$594,$C$4:$C$594,C595,$D$4:$D$594,D595,$E$4:$E$594,E595,$B$4:$B$594,"AJUSTE+")-SUMIFS($F$4:$F$594,$C$4:$C$594,C595,$D$4:$D$594,D595,$E$4:$E$594,E595,$B$4:$B$594,"A CORTE")-SUMIFS($F$4:$F$594,$C$4:$C$594,C595,$D$4:$D$594,D595,$E$4:$E$594,E595,$B$4:$B$594,"A REPROCESO")-SUMIFS($F$4:$F$594,$C$4:$C$594,C595,$D$4:$D$594,D595,$E$4:$E$594,E595,$B$4:$B$594,"MUESTRA")-SUMIFS($F$4:$F$594,$C$4:$C$594,C595,$D$4:$D$594,D595,$E$4:$E$594,E595,$B$4:$B$594,"AJUSTE-")),0)</f>
        <v>0</v>
      </c>
      <c r="L595" s="13">
        <f t="shared" si="13"/>
        <v>0</v>
      </c>
      <c r="M595" s="8"/>
      <c r="N595" s="14"/>
      <c r="O595" s="14"/>
      <c r="P595" s="14"/>
      <c r="Q595" s="15"/>
      <c r="R595" s="16" t="str">
        <f t="shared" si="14"/>
        <v/>
      </c>
    </row>
    <row r="596" ht="15.75" customHeight="1">
      <c r="A596" s="7"/>
      <c r="B596" s="8"/>
      <c r="C596" s="8"/>
      <c r="D596" s="8"/>
      <c r="E596" s="8"/>
      <c r="F596" s="9"/>
      <c r="G596" s="10">
        <f>IFERROR(F596*VLOOKUP(D596,TELAS!$A$4:$C$32,3,FALSE()),0)</f>
        <v>0</v>
      </c>
      <c r="H596" s="11" t="str">
        <f>IFERROR(VLOOKUP(E596,COLORES!$A$4:$B$102,2,FALSE()),"")</f>
        <v/>
      </c>
      <c r="I596" s="12">
        <f>IFERROR(IF(H596="OSCURO",VLOOKUP(D596,PRECIOS!$A$4:$F$32,2,FALSE()),IF(H596="CLARO",VLOOKUP(D596,PRECIOS!$A$4:$F$32,3,FALSE()),IF(H596="MELANGE",VLOOKUP(D596,PRECIOS!$A$4:$F$32,4,FALSE()),IF(H596="PPT",VLOOKUP(D596,PRECIOS!$A$4:$F$32,5,FALSE()),0)))),0)</f>
        <v>0</v>
      </c>
      <c r="J596" s="12">
        <f t="shared" si="12"/>
        <v>0</v>
      </c>
      <c r="K596" s="13">
        <f>IFERROR(IF(C596="",0,SUMIFS($F$4:$F$595,$C$4:$C$595,C596,$D$4:$D$595,D596,$E$4:$E$595,E596,$B$4:$B$595,"INGRESO")+SUMIFS($F$4:$F$595,$C$4:$C$595,C596,$D$4:$D$595,D596,$E$4:$E$595,E596,$B$4:$B$595,"DE REPROCESO")+SUMIFS($F$4:$F$595,$C$4:$C$595,C596,$D$4:$D$595,D596,$E$4:$E$595,E596,$B$4:$B$595,"AJUSTE+")-SUMIFS($F$4:$F$595,$C$4:$C$595,C596,$D$4:$D$595,D596,$E$4:$E$595,E596,$B$4:$B$595,"A CORTE")-SUMIFS($F$4:$F$595,$C$4:$C$595,C596,$D$4:$D$595,D596,$E$4:$E$595,E596,$B$4:$B$595,"A REPROCESO")-SUMIFS($F$4:$F$595,$C$4:$C$595,C596,$D$4:$D$595,D596,$E$4:$E$595,E596,$B$4:$B$595,"MUESTRA")-SUMIFS($F$4:$F$595,$C$4:$C$595,C596,$D$4:$D$595,D596,$E$4:$E$595,E596,$B$4:$B$595,"AJUSTE-")),0)</f>
        <v>0</v>
      </c>
      <c r="L596" s="13">
        <f t="shared" si="13"/>
        <v>0</v>
      </c>
      <c r="M596" s="8"/>
      <c r="N596" s="14"/>
      <c r="O596" s="14"/>
      <c r="P596" s="14"/>
      <c r="Q596" s="15"/>
      <c r="R596" s="16" t="str">
        <f t="shared" si="14"/>
        <v/>
      </c>
    </row>
    <row r="597" ht="15.75" customHeight="1">
      <c r="A597" s="7"/>
      <c r="B597" s="8"/>
      <c r="C597" s="8"/>
      <c r="D597" s="8"/>
      <c r="E597" s="8"/>
      <c r="F597" s="9"/>
      <c r="G597" s="10">
        <f>IFERROR(F597*VLOOKUP(D597,TELAS!$A$4:$C$32,3,FALSE()),0)</f>
        <v>0</v>
      </c>
      <c r="H597" s="11" t="str">
        <f>IFERROR(VLOOKUP(E597,COLORES!$A$4:$B$102,2,FALSE()),"")</f>
        <v/>
      </c>
      <c r="I597" s="12">
        <f>IFERROR(IF(H597="OSCURO",VLOOKUP(D597,PRECIOS!$A$4:$F$32,2,FALSE()),IF(H597="CLARO",VLOOKUP(D597,PRECIOS!$A$4:$F$32,3,FALSE()),IF(H597="MELANGE",VLOOKUP(D597,PRECIOS!$A$4:$F$32,4,FALSE()),IF(H597="PPT",VLOOKUP(D597,PRECIOS!$A$4:$F$32,5,FALSE()),0)))),0)</f>
        <v>0</v>
      </c>
      <c r="J597" s="12">
        <f t="shared" si="12"/>
        <v>0</v>
      </c>
      <c r="K597" s="13">
        <f>IFERROR(IF(C597="",0,SUMIFS($F$4:$F$596,$C$4:$C$596,C597,$D$4:$D$596,D597,$E$4:$E$596,E597,$B$4:$B$596,"INGRESO")+SUMIFS($F$4:$F$596,$C$4:$C$596,C597,$D$4:$D$596,D597,$E$4:$E$596,E597,$B$4:$B$596,"DE REPROCESO")+SUMIFS($F$4:$F$596,$C$4:$C$596,C597,$D$4:$D$596,D597,$E$4:$E$596,E597,$B$4:$B$596,"AJUSTE+")-SUMIFS($F$4:$F$596,$C$4:$C$596,C597,$D$4:$D$596,D597,$E$4:$E$596,E597,$B$4:$B$596,"A CORTE")-SUMIFS($F$4:$F$596,$C$4:$C$596,C597,$D$4:$D$596,D597,$E$4:$E$596,E597,$B$4:$B$596,"A REPROCESO")-SUMIFS($F$4:$F$596,$C$4:$C$596,C597,$D$4:$D$596,D597,$E$4:$E$596,E597,$B$4:$B$596,"MUESTRA")-SUMIFS($F$4:$F$596,$C$4:$C$596,C597,$D$4:$D$596,D597,$E$4:$E$596,E597,$B$4:$B$596,"AJUSTE-")),0)</f>
        <v>0</v>
      </c>
      <c r="L597" s="13">
        <f t="shared" si="13"/>
        <v>0</v>
      </c>
      <c r="M597" s="8"/>
      <c r="N597" s="14"/>
      <c r="O597" s="14"/>
      <c r="P597" s="14"/>
      <c r="Q597" s="15"/>
      <c r="R597" s="16" t="str">
        <f t="shared" si="14"/>
        <v/>
      </c>
    </row>
    <row r="598" ht="15.75" customHeight="1">
      <c r="A598" s="7"/>
      <c r="B598" s="8"/>
      <c r="C598" s="8"/>
      <c r="D598" s="8"/>
      <c r="E598" s="8"/>
      <c r="F598" s="9"/>
      <c r="G598" s="10">
        <f>IFERROR(F598*VLOOKUP(D598,TELAS!$A$4:$C$32,3,FALSE()),0)</f>
        <v>0</v>
      </c>
      <c r="H598" s="11" t="str">
        <f>IFERROR(VLOOKUP(E598,COLORES!$A$4:$B$102,2,FALSE()),"")</f>
        <v/>
      </c>
      <c r="I598" s="12">
        <f>IFERROR(IF(H598="OSCURO",VLOOKUP(D598,PRECIOS!$A$4:$F$32,2,FALSE()),IF(H598="CLARO",VLOOKUP(D598,PRECIOS!$A$4:$F$32,3,FALSE()),IF(H598="MELANGE",VLOOKUP(D598,PRECIOS!$A$4:$F$32,4,FALSE()),IF(H598="PPT",VLOOKUP(D598,PRECIOS!$A$4:$F$32,5,FALSE()),0)))),0)</f>
        <v>0</v>
      </c>
      <c r="J598" s="12">
        <f t="shared" si="12"/>
        <v>0</v>
      </c>
      <c r="K598" s="13">
        <f>IFERROR(IF(C598="",0,SUMIFS($F$4:$F$597,$C$4:$C$597,C598,$D$4:$D$597,D598,$E$4:$E$597,E598,$B$4:$B$597,"INGRESO")+SUMIFS($F$4:$F$597,$C$4:$C$597,C598,$D$4:$D$597,D598,$E$4:$E$597,E598,$B$4:$B$597,"DE REPROCESO")+SUMIFS($F$4:$F$597,$C$4:$C$597,C598,$D$4:$D$597,D598,$E$4:$E$597,E598,$B$4:$B$597,"AJUSTE+")-SUMIFS($F$4:$F$597,$C$4:$C$597,C598,$D$4:$D$597,D598,$E$4:$E$597,E598,$B$4:$B$597,"A CORTE")-SUMIFS($F$4:$F$597,$C$4:$C$597,C598,$D$4:$D$597,D598,$E$4:$E$597,E598,$B$4:$B$597,"A REPROCESO")-SUMIFS($F$4:$F$597,$C$4:$C$597,C598,$D$4:$D$597,D598,$E$4:$E$597,E598,$B$4:$B$597,"MUESTRA")-SUMIFS($F$4:$F$597,$C$4:$C$597,C598,$D$4:$D$597,D598,$E$4:$E$597,E598,$B$4:$B$597,"AJUSTE-")),0)</f>
        <v>0</v>
      </c>
      <c r="L598" s="13">
        <f t="shared" si="13"/>
        <v>0</v>
      </c>
      <c r="M598" s="8"/>
      <c r="N598" s="14"/>
      <c r="O598" s="14"/>
      <c r="P598" s="14"/>
      <c r="Q598" s="15"/>
      <c r="R598" s="16" t="str">
        <f t="shared" si="14"/>
        <v/>
      </c>
    </row>
    <row r="599" ht="15.75" customHeight="1">
      <c r="A599" s="7"/>
      <c r="B599" s="8"/>
      <c r="C599" s="8"/>
      <c r="D599" s="8"/>
      <c r="E599" s="8"/>
      <c r="F599" s="9"/>
      <c r="G599" s="10">
        <f>IFERROR(F599*VLOOKUP(D599,TELAS!$A$4:$C$32,3,FALSE()),0)</f>
        <v>0</v>
      </c>
      <c r="H599" s="11" t="str">
        <f>IFERROR(VLOOKUP(E599,COLORES!$A$4:$B$102,2,FALSE()),"")</f>
        <v/>
      </c>
      <c r="I599" s="12">
        <f>IFERROR(IF(H599="OSCURO",VLOOKUP(D599,PRECIOS!$A$4:$F$32,2,FALSE()),IF(H599="CLARO",VLOOKUP(D599,PRECIOS!$A$4:$F$32,3,FALSE()),IF(H599="MELANGE",VLOOKUP(D599,PRECIOS!$A$4:$F$32,4,FALSE()),IF(H599="PPT",VLOOKUP(D599,PRECIOS!$A$4:$F$32,5,FALSE()),0)))),0)</f>
        <v>0</v>
      </c>
      <c r="J599" s="12">
        <f t="shared" si="12"/>
        <v>0</v>
      </c>
      <c r="K599" s="13">
        <f>IFERROR(IF(C599="",0,SUMIFS($F$4:$F$598,$C$4:$C$598,C599,$D$4:$D$598,D599,$E$4:$E$598,E599,$B$4:$B$598,"INGRESO")+SUMIFS($F$4:$F$598,$C$4:$C$598,C599,$D$4:$D$598,D599,$E$4:$E$598,E599,$B$4:$B$598,"DE REPROCESO")+SUMIFS($F$4:$F$598,$C$4:$C$598,C599,$D$4:$D$598,D599,$E$4:$E$598,E599,$B$4:$B$598,"AJUSTE+")-SUMIFS($F$4:$F$598,$C$4:$C$598,C599,$D$4:$D$598,D599,$E$4:$E$598,E599,$B$4:$B$598,"A CORTE")-SUMIFS($F$4:$F$598,$C$4:$C$598,C599,$D$4:$D$598,D599,$E$4:$E$598,E599,$B$4:$B$598,"A REPROCESO")-SUMIFS($F$4:$F$598,$C$4:$C$598,C599,$D$4:$D$598,D599,$E$4:$E$598,E599,$B$4:$B$598,"MUESTRA")-SUMIFS($F$4:$F$598,$C$4:$C$598,C599,$D$4:$D$598,D599,$E$4:$E$598,E599,$B$4:$B$598,"AJUSTE-")),0)</f>
        <v>0</v>
      </c>
      <c r="L599" s="13">
        <f t="shared" si="13"/>
        <v>0</v>
      </c>
      <c r="M599" s="8"/>
      <c r="N599" s="14"/>
      <c r="O599" s="14"/>
      <c r="P599" s="14"/>
      <c r="Q599" s="15"/>
      <c r="R599" s="16" t="str">
        <f t="shared" si="14"/>
        <v/>
      </c>
    </row>
    <row r="600" ht="15.75" customHeight="1">
      <c r="A600" s="7"/>
      <c r="B600" s="8"/>
      <c r="C600" s="8"/>
      <c r="D600" s="8"/>
      <c r="E600" s="8"/>
      <c r="F600" s="9"/>
      <c r="G600" s="10">
        <f>IFERROR(F600*VLOOKUP(D600,TELAS!$A$4:$C$32,3,FALSE()),0)</f>
        <v>0</v>
      </c>
      <c r="H600" s="11" t="str">
        <f>IFERROR(VLOOKUP(E600,COLORES!$A$4:$B$102,2,FALSE()),"")</f>
        <v/>
      </c>
      <c r="I600" s="12">
        <f>IFERROR(IF(H600="OSCURO",VLOOKUP(D600,PRECIOS!$A$4:$F$32,2,FALSE()),IF(H600="CLARO",VLOOKUP(D600,PRECIOS!$A$4:$F$32,3,FALSE()),IF(H600="MELANGE",VLOOKUP(D600,PRECIOS!$A$4:$F$32,4,FALSE()),IF(H600="PPT",VLOOKUP(D600,PRECIOS!$A$4:$F$32,5,FALSE()),0)))),0)</f>
        <v>0</v>
      </c>
      <c r="J600" s="12">
        <f t="shared" si="12"/>
        <v>0</v>
      </c>
      <c r="K600" s="13">
        <f>IFERROR(IF(C600="",0,SUMIFS($F$4:$F$599,$C$4:$C$599,C600,$D$4:$D$599,D600,$E$4:$E$599,E600,$B$4:$B$599,"INGRESO")+SUMIFS($F$4:$F$599,$C$4:$C$599,C600,$D$4:$D$599,D600,$E$4:$E$599,E600,$B$4:$B$599,"DE REPROCESO")+SUMIFS($F$4:$F$599,$C$4:$C$599,C600,$D$4:$D$599,D600,$E$4:$E$599,E600,$B$4:$B$599,"AJUSTE+")-SUMIFS($F$4:$F$599,$C$4:$C$599,C600,$D$4:$D$599,D600,$E$4:$E$599,E600,$B$4:$B$599,"A CORTE")-SUMIFS($F$4:$F$599,$C$4:$C$599,C600,$D$4:$D$599,D600,$E$4:$E$599,E600,$B$4:$B$599,"A REPROCESO")-SUMIFS($F$4:$F$599,$C$4:$C$599,C600,$D$4:$D$599,D600,$E$4:$E$599,E600,$B$4:$B$599,"MUESTRA")-SUMIFS($F$4:$F$599,$C$4:$C$599,C600,$D$4:$D$599,D600,$E$4:$E$599,E600,$B$4:$B$599,"AJUSTE-")),0)</f>
        <v>0</v>
      </c>
      <c r="L600" s="13">
        <f t="shared" si="13"/>
        <v>0</v>
      </c>
      <c r="M600" s="8"/>
      <c r="N600" s="14"/>
      <c r="O600" s="14"/>
      <c r="P600" s="14"/>
      <c r="Q600" s="15"/>
      <c r="R600" s="16" t="str">
        <f t="shared" si="14"/>
        <v/>
      </c>
    </row>
    <row r="601" ht="15.75" customHeight="1">
      <c r="A601" s="7"/>
      <c r="B601" s="8"/>
      <c r="C601" s="8"/>
      <c r="D601" s="8"/>
      <c r="E601" s="8"/>
      <c r="F601" s="9"/>
      <c r="G601" s="10">
        <f>IFERROR(F601*VLOOKUP(D601,TELAS!$A$4:$C$32,3,FALSE()),0)</f>
        <v>0</v>
      </c>
      <c r="H601" s="11" t="str">
        <f>IFERROR(VLOOKUP(E601,COLORES!$A$4:$B$102,2,FALSE()),"")</f>
        <v/>
      </c>
      <c r="I601" s="12">
        <f>IFERROR(IF(H601="OSCURO",VLOOKUP(D601,PRECIOS!$A$4:$F$32,2,FALSE()),IF(H601="CLARO",VLOOKUP(D601,PRECIOS!$A$4:$F$32,3,FALSE()),IF(H601="MELANGE",VLOOKUP(D601,PRECIOS!$A$4:$F$32,4,FALSE()),IF(H601="PPT",VLOOKUP(D601,PRECIOS!$A$4:$F$32,5,FALSE()),0)))),0)</f>
        <v>0</v>
      </c>
      <c r="J601" s="12">
        <f t="shared" si="12"/>
        <v>0</v>
      </c>
      <c r="K601" s="13">
        <f>IFERROR(IF(C601="",0,SUMIFS($F$4:$F$600,$C$4:$C$600,C601,$D$4:$D$600,D601,$E$4:$E$600,E601,$B$4:$B$600,"INGRESO")+SUMIFS($F$4:$F$600,$C$4:$C$600,C601,$D$4:$D$600,D601,$E$4:$E$600,E601,$B$4:$B$600,"DE REPROCESO")+SUMIFS($F$4:$F$600,$C$4:$C$600,C601,$D$4:$D$600,D601,$E$4:$E$600,E601,$B$4:$B$600,"AJUSTE+")-SUMIFS($F$4:$F$600,$C$4:$C$600,C601,$D$4:$D$600,D601,$E$4:$E$600,E601,$B$4:$B$600,"A CORTE")-SUMIFS($F$4:$F$600,$C$4:$C$600,C601,$D$4:$D$600,D601,$E$4:$E$600,E601,$B$4:$B$600,"A REPROCESO")-SUMIFS($F$4:$F$600,$C$4:$C$600,C601,$D$4:$D$600,D601,$E$4:$E$600,E601,$B$4:$B$600,"MUESTRA")-SUMIFS($F$4:$F$600,$C$4:$C$600,C601,$D$4:$D$600,D601,$E$4:$E$600,E601,$B$4:$B$600,"AJUSTE-")),0)</f>
        <v>0</v>
      </c>
      <c r="L601" s="13">
        <f t="shared" si="13"/>
        <v>0</v>
      </c>
      <c r="M601" s="8"/>
      <c r="N601" s="14"/>
      <c r="O601" s="14"/>
      <c r="P601" s="14"/>
      <c r="Q601" s="15"/>
      <c r="R601" s="16" t="str">
        <f t="shared" si="14"/>
        <v/>
      </c>
    </row>
    <row r="602" ht="15.75" customHeight="1">
      <c r="A602" s="7"/>
      <c r="B602" s="8"/>
      <c r="C602" s="8"/>
      <c r="D602" s="8"/>
      <c r="E602" s="8"/>
      <c r="F602" s="9"/>
      <c r="G602" s="10">
        <f>IFERROR(F602*VLOOKUP(D602,TELAS!$A$4:$C$32,3,FALSE()),0)</f>
        <v>0</v>
      </c>
      <c r="H602" s="11" t="str">
        <f>IFERROR(VLOOKUP(E602,COLORES!$A$4:$B$102,2,FALSE()),"")</f>
        <v/>
      </c>
      <c r="I602" s="12">
        <f>IFERROR(IF(H602="OSCURO",VLOOKUP(D602,PRECIOS!$A$4:$F$32,2,FALSE()),IF(H602="CLARO",VLOOKUP(D602,PRECIOS!$A$4:$F$32,3,FALSE()),IF(H602="MELANGE",VLOOKUP(D602,PRECIOS!$A$4:$F$32,4,FALSE()),IF(H602="PPT",VLOOKUP(D602,PRECIOS!$A$4:$F$32,5,FALSE()),0)))),0)</f>
        <v>0</v>
      </c>
      <c r="J602" s="12">
        <f t="shared" si="12"/>
        <v>0</v>
      </c>
      <c r="K602" s="13">
        <f>IFERROR(IF(C602="",0,SUMIFS($F$4:$F$601,$C$4:$C$601,C602,$D$4:$D$601,D602,$E$4:$E$601,E602,$B$4:$B$601,"INGRESO")+SUMIFS($F$4:$F$601,$C$4:$C$601,C602,$D$4:$D$601,D602,$E$4:$E$601,E602,$B$4:$B$601,"DE REPROCESO")+SUMIFS($F$4:$F$601,$C$4:$C$601,C602,$D$4:$D$601,D602,$E$4:$E$601,E602,$B$4:$B$601,"AJUSTE+")-SUMIFS($F$4:$F$601,$C$4:$C$601,C602,$D$4:$D$601,D602,$E$4:$E$601,E602,$B$4:$B$601,"A CORTE")-SUMIFS($F$4:$F$601,$C$4:$C$601,C602,$D$4:$D$601,D602,$E$4:$E$601,E602,$B$4:$B$601,"A REPROCESO")-SUMIFS($F$4:$F$601,$C$4:$C$601,C602,$D$4:$D$601,D602,$E$4:$E$601,E602,$B$4:$B$601,"MUESTRA")-SUMIFS($F$4:$F$601,$C$4:$C$601,C602,$D$4:$D$601,D602,$E$4:$E$601,E602,$B$4:$B$601,"AJUSTE-")),0)</f>
        <v>0</v>
      </c>
      <c r="L602" s="13">
        <f t="shared" si="13"/>
        <v>0</v>
      </c>
      <c r="M602" s="8"/>
      <c r="N602" s="14"/>
      <c r="O602" s="14"/>
      <c r="P602" s="14"/>
      <c r="Q602" s="15"/>
      <c r="R602" s="16" t="str">
        <f t="shared" si="14"/>
        <v/>
      </c>
    </row>
    <row r="603" ht="15.75" customHeight="1">
      <c r="A603" s="7"/>
      <c r="B603" s="8"/>
      <c r="C603" s="8"/>
      <c r="D603" s="8"/>
      <c r="E603" s="8"/>
      <c r="F603" s="9"/>
      <c r="G603" s="10">
        <f>IFERROR(F603*VLOOKUP(D603,TELAS!$A$4:$C$32,3,FALSE()),0)</f>
        <v>0</v>
      </c>
      <c r="H603" s="11" t="str">
        <f>IFERROR(VLOOKUP(E603,COLORES!$A$4:$B$102,2,FALSE()),"")</f>
        <v/>
      </c>
      <c r="I603" s="12">
        <f>IFERROR(IF(H603="OSCURO",VLOOKUP(D603,PRECIOS!$A$4:$F$32,2,FALSE()),IF(H603="CLARO",VLOOKUP(D603,PRECIOS!$A$4:$F$32,3,FALSE()),IF(H603="MELANGE",VLOOKUP(D603,PRECIOS!$A$4:$F$32,4,FALSE()),IF(H603="PPT",VLOOKUP(D603,PRECIOS!$A$4:$F$32,5,FALSE()),0)))),0)</f>
        <v>0</v>
      </c>
      <c r="J603" s="12">
        <f t="shared" si="12"/>
        <v>0</v>
      </c>
      <c r="K603" s="13">
        <f>IFERROR(IF(C603="",0,SUMIFS($F$4:$F$602,$C$4:$C$602,C603,$D$4:$D$602,D603,$E$4:$E$602,E603,$B$4:$B$602,"INGRESO")+SUMIFS($F$4:$F$602,$C$4:$C$602,C603,$D$4:$D$602,D603,$E$4:$E$602,E603,$B$4:$B$602,"DE REPROCESO")+SUMIFS($F$4:$F$602,$C$4:$C$602,C603,$D$4:$D$602,D603,$E$4:$E$602,E603,$B$4:$B$602,"AJUSTE+")-SUMIFS($F$4:$F$602,$C$4:$C$602,C603,$D$4:$D$602,D603,$E$4:$E$602,E603,$B$4:$B$602,"A CORTE")-SUMIFS($F$4:$F$602,$C$4:$C$602,C603,$D$4:$D$602,D603,$E$4:$E$602,E603,$B$4:$B$602,"A REPROCESO")-SUMIFS($F$4:$F$602,$C$4:$C$602,C603,$D$4:$D$602,D603,$E$4:$E$602,E603,$B$4:$B$602,"MUESTRA")-SUMIFS($F$4:$F$602,$C$4:$C$602,C603,$D$4:$D$602,D603,$E$4:$E$602,E603,$B$4:$B$602,"AJUSTE-")),0)</f>
        <v>0</v>
      </c>
      <c r="L603" s="13">
        <f t="shared" si="13"/>
        <v>0</v>
      </c>
      <c r="M603" s="8"/>
      <c r="N603" s="14"/>
      <c r="O603" s="14"/>
      <c r="P603" s="14"/>
      <c r="Q603" s="15"/>
      <c r="R603" s="16" t="str">
        <f t="shared" si="14"/>
        <v/>
      </c>
    </row>
    <row r="604" ht="15.75" customHeight="1">
      <c r="A604" s="7"/>
      <c r="B604" s="8"/>
      <c r="C604" s="8"/>
      <c r="D604" s="8"/>
      <c r="E604" s="8"/>
      <c r="F604" s="9"/>
      <c r="G604" s="10">
        <f>IFERROR(F604*VLOOKUP(D604,TELAS!$A$4:$C$32,3,FALSE()),0)</f>
        <v>0</v>
      </c>
      <c r="H604" s="11" t="str">
        <f>IFERROR(VLOOKUP(E604,COLORES!$A$4:$B$102,2,FALSE()),"")</f>
        <v/>
      </c>
      <c r="I604" s="12">
        <f>IFERROR(IF(H604="OSCURO",VLOOKUP(D604,PRECIOS!$A$4:$F$32,2,FALSE()),IF(H604="CLARO",VLOOKUP(D604,PRECIOS!$A$4:$F$32,3,FALSE()),IF(H604="MELANGE",VLOOKUP(D604,PRECIOS!$A$4:$F$32,4,FALSE()),IF(H604="PPT",VLOOKUP(D604,PRECIOS!$A$4:$F$32,5,FALSE()),0)))),0)</f>
        <v>0</v>
      </c>
      <c r="J604" s="12">
        <f t="shared" si="12"/>
        <v>0</v>
      </c>
      <c r="K604" s="13">
        <f>IFERROR(IF(C604="",0,SUMIFS($F$4:$F$603,$C$4:$C$603,C604,$D$4:$D$603,D604,$E$4:$E$603,E604,$B$4:$B$603,"INGRESO")+SUMIFS($F$4:$F$603,$C$4:$C$603,C604,$D$4:$D$603,D604,$E$4:$E$603,E604,$B$4:$B$603,"DE REPROCESO")+SUMIFS($F$4:$F$603,$C$4:$C$603,C604,$D$4:$D$603,D604,$E$4:$E$603,E604,$B$4:$B$603,"AJUSTE+")-SUMIFS($F$4:$F$603,$C$4:$C$603,C604,$D$4:$D$603,D604,$E$4:$E$603,E604,$B$4:$B$603,"A CORTE")-SUMIFS($F$4:$F$603,$C$4:$C$603,C604,$D$4:$D$603,D604,$E$4:$E$603,E604,$B$4:$B$603,"A REPROCESO")-SUMIFS($F$4:$F$603,$C$4:$C$603,C604,$D$4:$D$603,D604,$E$4:$E$603,E604,$B$4:$B$603,"MUESTRA")-SUMIFS($F$4:$F$603,$C$4:$C$603,C604,$D$4:$D$603,D604,$E$4:$E$603,E604,$B$4:$B$603,"AJUSTE-")),0)</f>
        <v>0</v>
      </c>
      <c r="L604" s="13">
        <f t="shared" si="13"/>
        <v>0</v>
      </c>
      <c r="M604" s="8"/>
      <c r="N604" s="14"/>
      <c r="O604" s="14"/>
      <c r="P604" s="14"/>
      <c r="Q604" s="15"/>
      <c r="R604" s="16" t="str">
        <f t="shared" si="14"/>
        <v/>
      </c>
    </row>
    <row r="605" ht="15.75" customHeight="1">
      <c r="A605" s="7"/>
      <c r="B605" s="8"/>
      <c r="C605" s="8"/>
      <c r="D605" s="8"/>
      <c r="E605" s="8"/>
      <c r="F605" s="9"/>
      <c r="G605" s="10">
        <f>IFERROR(F605*VLOOKUP(D605,TELAS!$A$4:$C$32,3,FALSE()),0)</f>
        <v>0</v>
      </c>
      <c r="H605" s="11" t="str">
        <f>IFERROR(VLOOKUP(E605,COLORES!$A$4:$B$102,2,FALSE()),"")</f>
        <v/>
      </c>
      <c r="I605" s="12">
        <f>IFERROR(IF(H605="OSCURO",VLOOKUP(D605,PRECIOS!$A$4:$F$32,2,FALSE()),IF(H605="CLARO",VLOOKUP(D605,PRECIOS!$A$4:$F$32,3,FALSE()),IF(H605="MELANGE",VLOOKUP(D605,PRECIOS!$A$4:$F$32,4,FALSE()),IF(H605="PPT",VLOOKUP(D605,PRECIOS!$A$4:$F$32,5,FALSE()),0)))),0)</f>
        <v>0</v>
      </c>
      <c r="J605" s="12">
        <f t="shared" si="12"/>
        <v>0</v>
      </c>
      <c r="K605" s="13">
        <f>IFERROR(IF(C605="",0,SUMIFS($F$4:$F$604,$C$4:$C$604,C605,$D$4:$D$604,D605,$E$4:$E$604,E605,$B$4:$B$604,"INGRESO")+SUMIFS($F$4:$F$604,$C$4:$C$604,C605,$D$4:$D$604,D605,$E$4:$E$604,E605,$B$4:$B$604,"DE REPROCESO")+SUMIFS($F$4:$F$604,$C$4:$C$604,C605,$D$4:$D$604,D605,$E$4:$E$604,E605,$B$4:$B$604,"AJUSTE+")-SUMIFS($F$4:$F$604,$C$4:$C$604,C605,$D$4:$D$604,D605,$E$4:$E$604,E605,$B$4:$B$604,"A CORTE")-SUMIFS($F$4:$F$604,$C$4:$C$604,C605,$D$4:$D$604,D605,$E$4:$E$604,E605,$B$4:$B$604,"A REPROCESO")-SUMIFS($F$4:$F$604,$C$4:$C$604,C605,$D$4:$D$604,D605,$E$4:$E$604,E605,$B$4:$B$604,"MUESTRA")-SUMIFS($F$4:$F$604,$C$4:$C$604,C605,$D$4:$D$604,D605,$E$4:$E$604,E605,$B$4:$B$604,"AJUSTE-")),0)</f>
        <v>0</v>
      </c>
      <c r="L605" s="13">
        <f t="shared" si="13"/>
        <v>0</v>
      </c>
      <c r="M605" s="8"/>
      <c r="N605" s="14"/>
      <c r="O605" s="14"/>
      <c r="P605" s="14"/>
      <c r="Q605" s="15"/>
      <c r="R605" s="16" t="str">
        <f t="shared" si="14"/>
        <v/>
      </c>
    </row>
    <row r="606" ht="15.75" customHeight="1">
      <c r="A606" s="7"/>
      <c r="B606" s="8"/>
      <c r="C606" s="8"/>
      <c r="D606" s="8"/>
      <c r="E606" s="8"/>
      <c r="F606" s="9"/>
      <c r="G606" s="10">
        <f>IFERROR(F606*VLOOKUP(D606,TELAS!$A$4:$C$32,3,FALSE()),0)</f>
        <v>0</v>
      </c>
      <c r="H606" s="11" t="str">
        <f>IFERROR(VLOOKUP(E606,COLORES!$A$4:$B$102,2,FALSE()),"")</f>
        <v/>
      </c>
      <c r="I606" s="12">
        <f>IFERROR(IF(H606="OSCURO",VLOOKUP(D606,PRECIOS!$A$4:$F$32,2,FALSE()),IF(H606="CLARO",VLOOKUP(D606,PRECIOS!$A$4:$F$32,3,FALSE()),IF(H606="MELANGE",VLOOKUP(D606,PRECIOS!$A$4:$F$32,4,FALSE()),IF(H606="PPT",VLOOKUP(D606,PRECIOS!$A$4:$F$32,5,FALSE()),0)))),0)</f>
        <v>0</v>
      </c>
      <c r="J606" s="12">
        <f t="shared" si="12"/>
        <v>0</v>
      </c>
      <c r="K606" s="13">
        <f>IFERROR(IF(C606="",0,SUMIFS($F$4:$F$605,$C$4:$C$605,C606,$D$4:$D$605,D606,$E$4:$E$605,E606,$B$4:$B$605,"INGRESO")+SUMIFS($F$4:$F$605,$C$4:$C$605,C606,$D$4:$D$605,D606,$E$4:$E$605,E606,$B$4:$B$605,"DE REPROCESO")+SUMIFS($F$4:$F$605,$C$4:$C$605,C606,$D$4:$D$605,D606,$E$4:$E$605,E606,$B$4:$B$605,"AJUSTE+")-SUMIFS($F$4:$F$605,$C$4:$C$605,C606,$D$4:$D$605,D606,$E$4:$E$605,E606,$B$4:$B$605,"A CORTE")-SUMIFS($F$4:$F$605,$C$4:$C$605,C606,$D$4:$D$605,D606,$E$4:$E$605,E606,$B$4:$B$605,"A REPROCESO")-SUMIFS($F$4:$F$605,$C$4:$C$605,C606,$D$4:$D$605,D606,$E$4:$E$605,E606,$B$4:$B$605,"MUESTRA")-SUMIFS($F$4:$F$605,$C$4:$C$605,C606,$D$4:$D$605,D606,$E$4:$E$605,E606,$B$4:$B$605,"AJUSTE-")),0)</f>
        <v>0</v>
      </c>
      <c r="L606" s="13">
        <f t="shared" si="13"/>
        <v>0</v>
      </c>
      <c r="M606" s="8"/>
      <c r="N606" s="14"/>
      <c r="O606" s="14"/>
      <c r="P606" s="14"/>
      <c r="Q606" s="15"/>
      <c r="R606" s="16" t="str">
        <f t="shared" si="14"/>
        <v/>
      </c>
    </row>
    <row r="607" ht="15.75" customHeight="1">
      <c r="A607" s="7"/>
      <c r="B607" s="8"/>
      <c r="C607" s="8"/>
      <c r="D607" s="8"/>
      <c r="E607" s="8"/>
      <c r="F607" s="9"/>
      <c r="G607" s="10">
        <f>IFERROR(F607*VLOOKUP(D607,TELAS!$A$4:$C$32,3,FALSE()),0)</f>
        <v>0</v>
      </c>
      <c r="H607" s="11" t="str">
        <f>IFERROR(VLOOKUP(E607,COLORES!$A$4:$B$102,2,FALSE()),"")</f>
        <v/>
      </c>
      <c r="I607" s="12">
        <f>IFERROR(IF(H607="OSCURO",VLOOKUP(D607,PRECIOS!$A$4:$F$32,2,FALSE()),IF(H607="CLARO",VLOOKUP(D607,PRECIOS!$A$4:$F$32,3,FALSE()),IF(H607="MELANGE",VLOOKUP(D607,PRECIOS!$A$4:$F$32,4,FALSE()),IF(H607="PPT",VLOOKUP(D607,PRECIOS!$A$4:$F$32,5,FALSE()),0)))),0)</f>
        <v>0</v>
      </c>
      <c r="J607" s="12">
        <f t="shared" si="12"/>
        <v>0</v>
      </c>
      <c r="K607" s="13">
        <f>IFERROR(IF(C607="",0,SUMIFS($F$4:$F$606,$C$4:$C$606,C607,$D$4:$D$606,D607,$E$4:$E$606,E607,$B$4:$B$606,"INGRESO")+SUMIFS($F$4:$F$606,$C$4:$C$606,C607,$D$4:$D$606,D607,$E$4:$E$606,E607,$B$4:$B$606,"DE REPROCESO")+SUMIFS($F$4:$F$606,$C$4:$C$606,C607,$D$4:$D$606,D607,$E$4:$E$606,E607,$B$4:$B$606,"AJUSTE+")-SUMIFS($F$4:$F$606,$C$4:$C$606,C607,$D$4:$D$606,D607,$E$4:$E$606,E607,$B$4:$B$606,"A CORTE")-SUMIFS($F$4:$F$606,$C$4:$C$606,C607,$D$4:$D$606,D607,$E$4:$E$606,E607,$B$4:$B$606,"A REPROCESO")-SUMIFS($F$4:$F$606,$C$4:$C$606,C607,$D$4:$D$606,D607,$E$4:$E$606,E607,$B$4:$B$606,"MUESTRA")-SUMIFS($F$4:$F$606,$C$4:$C$606,C607,$D$4:$D$606,D607,$E$4:$E$606,E607,$B$4:$B$606,"AJUSTE-")),0)</f>
        <v>0</v>
      </c>
      <c r="L607" s="13">
        <f t="shared" si="13"/>
        <v>0</v>
      </c>
      <c r="M607" s="8"/>
      <c r="N607" s="14"/>
      <c r="O607" s="14"/>
      <c r="P607" s="14"/>
      <c r="Q607" s="15"/>
      <c r="R607" s="16" t="str">
        <f t="shared" si="14"/>
        <v/>
      </c>
    </row>
    <row r="608" ht="15.75" customHeight="1">
      <c r="A608" s="7"/>
      <c r="B608" s="8"/>
      <c r="C608" s="8"/>
      <c r="D608" s="8"/>
      <c r="E608" s="8"/>
      <c r="F608" s="9"/>
      <c r="G608" s="10">
        <f>IFERROR(F608*VLOOKUP(D608,TELAS!$A$4:$C$32,3,FALSE()),0)</f>
        <v>0</v>
      </c>
      <c r="H608" s="11" t="str">
        <f>IFERROR(VLOOKUP(E608,COLORES!$A$4:$B$102,2,FALSE()),"")</f>
        <v/>
      </c>
      <c r="I608" s="12">
        <f>IFERROR(IF(H608="OSCURO",VLOOKUP(D608,PRECIOS!$A$4:$F$32,2,FALSE()),IF(H608="CLARO",VLOOKUP(D608,PRECIOS!$A$4:$F$32,3,FALSE()),IF(H608="MELANGE",VLOOKUP(D608,PRECIOS!$A$4:$F$32,4,FALSE()),IF(H608="PPT",VLOOKUP(D608,PRECIOS!$A$4:$F$32,5,FALSE()),0)))),0)</f>
        <v>0</v>
      </c>
      <c r="J608" s="12">
        <f t="shared" si="12"/>
        <v>0</v>
      </c>
      <c r="K608" s="13">
        <f>IFERROR(IF(C608="",0,SUMIFS($F$4:$F$607,$C$4:$C$607,C608,$D$4:$D$607,D608,$E$4:$E$607,E608,$B$4:$B$607,"INGRESO")+SUMIFS($F$4:$F$607,$C$4:$C$607,C608,$D$4:$D$607,D608,$E$4:$E$607,E608,$B$4:$B$607,"DE REPROCESO")+SUMIFS($F$4:$F$607,$C$4:$C$607,C608,$D$4:$D$607,D608,$E$4:$E$607,E608,$B$4:$B$607,"AJUSTE+")-SUMIFS($F$4:$F$607,$C$4:$C$607,C608,$D$4:$D$607,D608,$E$4:$E$607,E608,$B$4:$B$607,"A CORTE")-SUMIFS($F$4:$F$607,$C$4:$C$607,C608,$D$4:$D$607,D608,$E$4:$E$607,E608,$B$4:$B$607,"A REPROCESO")-SUMIFS($F$4:$F$607,$C$4:$C$607,C608,$D$4:$D$607,D608,$E$4:$E$607,E608,$B$4:$B$607,"MUESTRA")-SUMIFS($F$4:$F$607,$C$4:$C$607,C608,$D$4:$D$607,D608,$E$4:$E$607,E608,$B$4:$B$607,"AJUSTE-")),0)</f>
        <v>0</v>
      </c>
      <c r="L608" s="13">
        <f t="shared" si="13"/>
        <v>0</v>
      </c>
      <c r="M608" s="8"/>
      <c r="N608" s="14"/>
      <c r="O608" s="14"/>
      <c r="P608" s="14"/>
      <c r="Q608" s="15"/>
      <c r="R608" s="16" t="str">
        <f t="shared" si="14"/>
        <v/>
      </c>
    </row>
    <row r="609" ht="15.75" customHeight="1">
      <c r="A609" s="7"/>
      <c r="B609" s="8"/>
      <c r="C609" s="8"/>
      <c r="D609" s="8"/>
      <c r="E609" s="8"/>
      <c r="F609" s="9"/>
      <c r="G609" s="10">
        <f>IFERROR(F609*VLOOKUP(D609,TELAS!$A$4:$C$32,3,FALSE()),0)</f>
        <v>0</v>
      </c>
      <c r="H609" s="11" t="str">
        <f>IFERROR(VLOOKUP(E609,COLORES!$A$4:$B$102,2,FALSE()),"")</f>
        <v/>
      </c>
      <c r="I609" s="12">
        <f>IFERROR(IF(H609="OSCURO",VLOOKUP(D609,PRECIOS!$A$4:$F$32,2,FALSE()),IF(H609="CLARO",VLOOKUP(D609,PRECIOS!$A$4:$F$32,3,FALSE()),IF(H609="MELANGE",VLOOKUP(D609,PRECIOS!$A$4:$F$32,4,FALSE()),IF(H609="PPT",VLOOKUP(D609,PRECIOS!$A$4:$F$32,5,FALSE()),0)))),0)</f>
        <v>0</v>
      </c>
      <c r="J609" s="12">
        <f t="shared" si="12"/>
        <v>0</v>
      </c>
      <c r="K609" s="13">
        <f>IFERROR(IF(C609="",0,SUMIFS($F$4:$F$608,$C$4:$C$608,C609,$D$4:$D$608,D609,$E$4:$E$608,E609,$B$4:$B$608,"INGRESO")+SUMIFS($F$4:$F$608,$C$4:$C$608,C609,$D$4:$D$608,D609,$E$4:$E$608,E609,$B$4:$B$608,"DE REPROCESO")+SUMIFS($F$4:$F$608,$C$4:$C$608,C609,$D$4:$D$608,D609,$E$4:$E$608,E609,$B$4:$B$608,"AJUSTE+")-SUMIFS($F$4:$F$608,$C$4:$C$608,C609,$D$4:$D$608,D609,$E$4:$E$608,E609,$B$4:$B$608,"A CORTE")-SUMIFS($F$4:$F$608,$C$4:$C$608,C609,$D$4:$D$608,D609,$E$4:$E$608,E609,$B$4:$B$608,"A REPROCESO")-SUMIFS($F$4:$F$608,$C$4:$C$608,C609,$D$4:$D$608,D609,$E$4:$E$608,E609,$B$4:$B$608,"MUESTRA")-SUMIFS($F$4:$F$608,$C$4:$C$608,C609,$D$4:$D$608,D609,$E$4:$E$608,E609,$B$4:$B$608,"AJUSTE-")),0)</f>
        <v>0</v>
      </c>
      <c r="L609" s="13">
        <f t="shared" si="13"/>
        <v>0</v>
      </c>
      <c r="M609" s="8"/>
      <c r="N609" s="14"/>
      <c r="O609" s="14"/>
      <c r="P609" s="14"/>
      <c r="Q609" s="15"/>
      <c r="R609" s="16" t="str">
        <f t="shared" si="14"/>
        <v/>
      </c>
    </row>
    <row r="610" ht="15.75" customHeight="1">
      <c r="A610" s="7"/>
      <c r="B610" s="8"/>
      <c r="C610" s="8"/>
      <c r="D610" s="8"/>
      <c r="E610" s="8"/>
      <c r="F610" s="9"/>
      <c r="G610" s="10">
        <f>IFERROR(F610*VLOOKUP(D610,TELAS!$A$4:$C$32,3,FALSE()),0)</f>
        <v>0</v>
      </c>
      <c r="H610" s="11" t="str">
        <f>IFERROR(VLOOKUP(E610,COLORES!$A$4:$B$102,2,FALSE()),"")</f>
        <v/>
      </c>
      <c r="I610" s="12">
        <f>IFERROR(IF(H610="OSCURO",VLOOKUP(D610,PRECIOS!$A$4:$F$32,2,FALSE()),IF(H610="CLARO",VLOOKUP(D610,PRECIOS!$A$4:$F$32,3,FALSE()),IF(H610="MELANGE",VLOOKUP(D610,PRECIOS!$A$4:$F$32,4,FALSE()),IF(H610="PPT",VLOOKUP(D610,PRECIOS!$A$4:$F$32,5,FALSE()),0)))),0)</f>
        <v>0</v>
      </c>
      <c r="J610" s="12">
        <f t="shared" si="12"/>
        <v>0</v>
      </c>
      <c r="K610" s="13">
        <f>IFERROR(IF(C610="",0,SUMIFS($F$4:$F$609,$C$4:$C$609,C610,$D$4:$D$609,D610,$E$4:$E$609,E610,$B$4:$B$609,"INGRESO")+SUMIFS($F$4:$F$609,$C$4:$C$609,C610,$D$4:$D$609,D610,$E$4:$E$609,E610,$B$4:$B$609,"DE REPROCESO")+SUMIFS($F$4:$F$609,$C$4:$C$609,C610,$D$4:$D$609,D610,$E$4:$E$609,E610,$B$4:$B$609,"AJUSTE+")-SUMIFS($F$4:$F$609,$C$4:$C$609,C610,$D$4:$D$609,D610,$E$4:$E$609,E610,$B$4:$B$609,"A CORTE")-SUMIFS($F$4:$F$609,$C$4:$C$609,C610,$D$4:$D$609,D610,$E$4:$E$609,E610,$B$4:$B$609,"A REPROCESO")-SUMIFS($F$4:$F$609,$C$4:$C$609,C610,$D$4:$D$609,D610,$E$4:$E$609,E610,$B$4:$B$609,"MUESTRA")-SUMIFS($F$4:$F$609,$C$4:$C$609,C610,$D$4:$D$609,D610,$E$4:$E$609,E610,$B$4:$B$609,"AJUSTE-")),0)</f>
        <v>0</v>
      </c>
      <c r="L610" s="13">
        <f t="shared" si="13"/>
        <v>0</v>
      </c>
      <c r="M610" s="8"/>
      <c r="N610" s="14"/>
      <c r="O610" s="14"/>
      <c r="P610" s="14"/>
      <c r="Q610" s="15"/>
      <c r="R610" s="16" t="str">
        <f t="shared" si="14"/>
        <v/>
      </c>
    </row>
    <row r="611" ht="15.75" customHeight="1">
      <c r="A611" s="7"/>
      <c r="B611" s="8"/>
      <c r="C611" s="8"/>
      <c r="D611" s="8"/>
      <c r="E611" s="8"/>
      <c r="F611" s="9"/>
      <c r="G611" s="10">
        <f>IFERROR(F611*VLOOKUP(D611,TELAS!$A$4:$C$32,3,FALSE()),0)</f>
        <v>0</v>
      </c>
      <c r="H611" s="11" t="str">
        <f>IFERROR(VLOOKUP(E611,COLORES!$A$4:$B$102,2,FALSE()),"")</f>
        <v/>
      </c>
      <c r="I611" s="12">
        <f>IFERROR(IF(H611="OSCURO",VLOOKUP(D611,PRECIOS!$A$4:$F$32,2,FALSE()),IF(H611="CLARO",VLOOKUP(D611,PRECIOS!$A$4:$F$32,3,FALSE()),IF(H611="MELANGE",VLOOKUP(D611,PRECIOS!$A$4:$F$32,4,FALSE()),IF(H611="PPT",VLOOKUP(D611,PRECIOS!$A$4:$F$32,5,FALSE()),0)))),0)</f>
        <v>0</v>
      </c>
      <c r="J611" s="12">
        <f t="shared" si="12"/>
        <v>0</v>
      </c>
      <c r="K611" s="13">
        <f>IFERROR(IF(C611="",0,SUMIFS($F$4:$F$610,$C$4:$C$610,C611,$D$4:$D$610,D611,$E$4:$E$610,E611,$B$4:$B$610,"INGRESO")+SUMIFS($F$4:$F$610,$C$4:$C$610,C611,$D$4:$D$610,D611,$E$4:$E$610,E611,$B$4:$B$610,"DE REPROCESO")+SUMIFS($F$4:$F$610,$C$4:$C$610,C611,$D$4:$D$610,D611,$E$4:$E$610,E611,$B$4:$B$610,"AJUSTE+")-SUMIFS($F$4:$F$610,$C$4:$C$610,C611,$D$4:$D$610,D611,$E$4:$E$610,E611,$B$4:$B$610,"A CORTE")-SUMIFS($F$4:$F$610,$C$4:$C$610,C611,$D$4:$D$610,D611,$E$4:$E$610,E611,$B$4:$B$610,"A REPROCESO")-SUMIFS($F$4:$F$610,$C$4:$C$610,C611,$D$4:$D$610,D611,$E$4:$E$610,E611,$B$4:$B$610,"MUESTRA")-SUMIFS($F$4:$F$610,$C$4:$C$610,C611,$D$4:$D$610,D611,$E$4:$E$610,E611,$B$4:$B$610,"AJUSTE-")),0)</f>
        <v>0</v>
      </c>
      <c r="L611" s="13">
        <f t="shared" si="13"/>
        <v>0</v>
      </c>
      <c r="M611" s="8"/>
      <c r="N611" s="14"/>
      <c r="O611" s="14"/>
      <c r="P611" s="14"/>
      <c r="Q611" s="15"/>
      <c r="R611" s="16" t="str">
        <f t="shared" si="14"/>
        <v/>
      </c>
    </row>
    <row r="612" ht="15.75" customHeight="1">
      <c r="A612" s="7"/>
      <c r="B612" s="8"/>
      <c r="C612" s="8"/>
      <c r="D612" s="8"/>
      <c r="E612" s="8"/>
      <c r="F612" s="9"/>
      <c r="G612" s="10">
        <f>IFERROR(F612*VLOOKUP(D612,TELAS!$A$4:$C$32,3,FALSE()),0)</f>
        <v>0</v>
      </c>
      <c r="H612" s="11" t="str">
        <f>IFERROR(VLOOKUP(E612,COLORES!$A$4:$B$102,2,FALSE()),"")</f>
        <v/>
      </c>
      <c r="I612" s="12">
        <f>IFERROR(IF(H612="OSCURO",VLOOKUP(D612,PRECIOS!$A$4:$F$32,2,FALSE()),IF(H612="CLARO",VLOOKUP(D612,PRECIOS!$A$4:$F$32,3,FALSE()),IF(H612="MELANGE",VLOOKUP(D612,PRECIOS!$A$4:$F$32,4,FALSE()),IF(H612="PPT",VLOOKUP(D612,PRECIOS!$A$4:$F$32,5,FALSE()),0)))),0)</f>
        <v>0</v>
      </c>
      <c r="J612" s="12">
        <f t="shared" si="12"/>
        <v>0</v>
      </c>
      <c r="K612" s="13">
        <f>IFERROR(IF(C612="",0,SUMIFS($F$4:$F$611,$C$4:$C$611,C612,$D$4:$D$611,D612,$E$4:$E$611,E612,$B$4:$B$611,"INGRESO")+SUMIFS($F$4:$F$611,$C$4:$C$611,C612,$D$4:$D$611,D612,$E$4:$E$611,E612,$B$4:$B$611,"DE REPROCESO")+SUMIFS($F$4:$F$611,$C$4:$C$611,C612,$D$4:$D$611,D612,$E$4:$E$611,E612,$B$4:$B$611,"AJUSTE+")-SUMIFS($F$4:$F$611,$C$4:$C$611,C612,$D$4:$D$611,D612,$E$4:$E$611,E612,$B$4:$B$611,"A CORTE")-SUMIFS($F$4:$F$611,$C$4:$C$611,C612,$D$4:$D$611,D612,$E$4:$E$611,E612,$B$4:$B$611,"A REPROCESO")-SUMIFS($F$4:$F$611,$C$4:$C$611,C612,$D$4:$D$611,D612,$E$4:$E$611,E612,$B$4:$B$611,"MUESTRA")-SUMIFS($F$4:$F$611,$C$4:$C$611,C612,$D$4:$D$611,D612,$E$4:$E$611,E612,$B$4:$B$611,"AJUSTE-")),0)</f>
        <v>0</v>
      </c>
      <c r="L612" s="13">
        <f t="shared" si="13"/>
        <v>0</v>
      </c>
      <c r="M612" s="8"/>
      <c r="N612" s="14"/>
      <c r="O612" s="14"/>
      <c r="P612" s="14"/>
      <c r="Q612" s="15"/>
      <c r="R612" s="16" t="str">
        <f t="shared" si="14"/>
        <v/>
      </c>
    </row>
    <row r="613" ht="15.75" customHeight="1">
      <c r="A613" s="7"/>
      <c r="B613" s="8"/>
      <c r="C613" s="8"/>
      <c r="D613" s="8"/>
      <c r="E613" s="8"/>
      <c r="F613" s="9"/>
      <c r="G613" s="10">
        <f>IFERROR(F613*VLOOKUP(D613,TELAS!$A$4:$C$32,3,FALSE()),0)</f>
        <v>0</v>
      </c>
      <c r="H613" s="11" t="str">
        <f>IFERROR(VLOOKUP(E613,COLORES!$A$4:$B$102,2,FALSE()),"")</f>
        <v/>
      </c>
      <c r="I613" s="12">
        <f>IFERROR(IF(H613="OSCURO",VLOOKUP(D613,PRECIOS!$A$4:$F$32,2,FALSE()),IF(H613="CLARO",VLOOKUP(D613,PRECIOS!$A$4:$F$32,3,FALSE()),IF(H613="MELANGE",VLOOKUP(D613,PRECIOS!$A$4:$F$32,4,FALSE()),IF(H613="PPT",VLOOKUP(D613,PRECIOS!$A$4:$F$32,5,FALSE()),0)))),0)</f>
        <v>0</v>
      </c>
      <c r="J613" s="12">
        <f t="shared" si="12"/>
        <v>0</v>
      </c>
      <c r="K613" s="13">
        <f>IFERROR(IF(C613="",0,SUMIFS($F$4:$F$612,$C$4:$C$612,C613,$D$4:$D$612,D613,$E$4:$E$612,E613,$B$4:$B$612,"INGRESO")+SUMIFS($F$4:$F$612,$C$4:$C$612,C613,$D$4:$D$612,D613,$E$4:$E$612,E613,$B$4:$B$612,"DE REPROCESO")+SUMIFS($F$4:$F$612,$C$4:$C$612,C613,$D$4:$D$612,D613,$E$4:$E$612,E613,$B$4:$B$612,"AJUSTE+")-SUMIFS($F$4:$F$612,$C$4:$C$612,C613,$D$4:$D$612,D613,$E$4:$E$612,E613,$B$4:$B$612,"A CORTE")-SUMIFS($F$4:$F$612,$C$4:$C$612,C613,$D$4:$D$612,D613,$E$4:$E$612,E613,$B$4:$B$612,"A REPROCESO")-SUMIFS($F$4:$F$612,$C$4:$C$612,C613,$D$4:$D$612,D613,$E$4:$E$612,E613,$B$4:$B$612,"MUESTRA")-SUMIFS($F$4:$F$612,$C$4:$C$612,C613,$D$4:$D$612,D613,$E$4:$E$612,E613,$B$4:$B$612,"AJUSTE-")),0)</f>
        <v>0</v>
      </c>
      <c r="L613" s="13">
        <f t="shared" si="13"/>
        <v>0</v>
      </c>
      <c r="M613" s="8"/>
      <c r="N613" s="14"/>
      <c r="O613" s="14"/>
      <c r="P613" s="14"/>
      <c r="Q613" s="15"/>
      <c r="R613" s="16" t="str">
        <f t="shared" si="14"/>
        <v/>
      </c>
    </row>
    <row r="614" ht="15.75" customHeight="1">
      <c r="A614" s="7"/>
      <c r="B614" s="8"/>
      <c r="C614" s="8"/>
      <c r="D614" s="8"/>
      <c r="E614" s="8"/>
      <c r="F614" s="9"/>
      <c r="G614" s="10">
        <f>IFERROR(F614*VLOOKUP(D614,TELAS!$A$4:$C$32,3,FALSE()),0)</f>
        <v>0</v>
      </c>
      <c r="H614" s="11" t="str">
        <f>IFERROR(VLOOKUP(E614,COLORES!$A$4:$B$102,2,FALSE()),"")</f>
        <v/>
      </c>
      <c r="I614" s="12">
        <f>IFERROR(IF(H614="OSCURO",VLOOKUP(D614,PRECIOS!$A$4:$F$32,2,FALSE()),IF(H614="CLARO",VLOOKUP(D614,PRECIOS!$A$4:$F$32,3,FALSE()),IF(H614="MELANGE",VLOOKUP(D614,PRECIOS!$A$4:$F$32,4,FALSE()),IF(H614="PPT",VLOOKUP(D614,PRECIOS!$A$4:$F$32,5,FALSE()),0)))),0)</f>
        <v>0</v>
      </c>
      <c r="J614" s="12">
        <f t="shared" si="12"/>
        <v>0</v>
      </c>
      <c r="K614" s="13">
        <f>IFERROR(IF(C614="",0,SUMIFS($F$4:$F$613,$C$4:$C$613,C614,$D$4:$D$613,D614,$E$4:$E$613,E614,$B$4:$B$613,"INGRESO")+SUMIFS($F$4:$F$613,$C$4:$C$613,C614,$D$4:$D$613,D614,$E$4:$E$613,E614,$B$4:$B$613,"DE REPROCESO")+SUMIFS($F$4:$F$613,$C$4:$C$613,C614,$D$4:$D$613,D614,$E$4:$E$613,E614,$B$4:$B$613,"AJUSTE+")-SUMIFS($F$4:$F$613,$C$4:$C$613,C614,$D$4:$D$613,D614,$E$4:$E$613,E614,$B$4:$B$613,"A CORTE")-SUMIFS($F$4:$F$613,$C$4:$C$613,C614,$D$4:$D$613,D614,$E$4:$E$613,E614,$B$4:$B$613,"A REPROCESO")-SUMIFS($F$4:$F$613,$C$4:$C$613,C614,$D$4:$D$613,D614,$E$4:$E$613,E614,$B$4:$B$613,"MUESTRA")-SUMIFS($F$4:$F$613,$C$4:$C$613,C614,$D$4:$D$613,D614,$E$4:$E$613,E614,$B$4:$B$613,"AJUSTE-")),0)</f>
        <v>0</v>
      </c>
      <c r="L614" s="13">
        <f t="shared" si="13"/>
        <v>0</v>
      </c>
      <c r="M614" s="8"/>
      <c r="N614" s="14"/>
      <c r="O614" s="14"/>
      <c r="P614" s="14"/>
      <c r="Q614" s="15"/>
      <c r="R614" s="16" t="str">
        <f t="shared" si="14"/>
        <v/>
      </c>
    </row>
    <row r="615" ht="15.75" customHeight="1">
      <c r="A615" s="7"/>
      <c r="B615" s="8"/>
      <c r="C615" s="8"/>
      <c r="D615" s="8"/>
      <c r="E615" s="8"/>
      <c r="F615" s="9"/>
      <c r="G615" s="10">
        <f>IFERROR(F615*VLOOKUP(D615,TELAS!$A$4:$C$32,3,FALSE()),0)</f>
        <v>0</v>
      </c>
      <c r="H615" s="11" t="str">
        <f>IFERROR(VLOOKUP(E615,COLORES!$A$4:$B$102,2,FALSE()),"")</f>
        <v/>
      </c>
      <c r="I615" s="12">
        <f>IFERROR(IF(H615="OSCURO",VLOOKUP(D615,PRECIOS!$A$4:$F$32,2,FALSE()),IF(H615="CLARO",VLOOKUP(D615,PRECIOS!$A$4:$F$32,3,FALSE()),IF(H615="MELANGE",VLOOKUP(D615,PRECIOS!$A$4:$F$32,4,FALSE()),IF(H615="PPT",VLOOKUP(D615,PRECIOS!$A$4:$F$32,5,FALSE()),0)))),0)</f>
        <v>0</v>
      </c>
      <c r="J615" s="12">
        <f t="shared" si="12"/>
        <v>0</v>
      </c>
      <c r="K615" s="13">
        <f>IFERROR(IF(C615="",0,SUMIFS($F$4:$F$614,$C$4:$C$614,C615,$D$4:$D$614,D615,$E$4:$E$614,E615,$B$4:$B$614,"INGRESO")+SUMIFS($F$4:$F$614,$C$4:$C$614,C615,$D$4:$D$614,D615,$E$4:$E$614,E615,$B$4:$B$614,"DE REPROCESO")+SUMIFS($F$4:$F$614,$C$4:$C$614,C615,$D$4:$D$614,D615,$E$4:$E$614,E615,$B$4:$B$614,"AJUSTE+")-SUMIFS($F$4:$F$614,$C$4:$C$614,C615,$D$4:$D$614,D615,$E$4:$E$614,E615,$B$4:$B$614,"A CORTE")-SUMIFS($F$4:$F$614,$C$4:$C$614,C615,$D$4:$D$614,D615,$E$4:$E$614,E615,$B$4:$B$614,"A REPROCESO")-SUMIFS($F$4:$F$614,$C$4:$C$614,C615,$D$4:$D$614,D615,$E$4:$E$614,E615,$B$4:$B$614,"MUESTRA")-SUMIFS($F$4:$F$614,$C$4:$C$614,C615,$D$4:$D$614,D615,$E$4:$E$614,E615,$B$4:$B$614,"AJUSTE-")),0)</f>
        <v>0</v>
      </c>
      <c r="L615" s="13">
        <f t="shared" si="13"/>
        <v>0</v>
      </c>
      <c r="M615" s="8"/>
      <c r="N615" s="14"/>
      <c r="O615" s="14"/>
      <c r="P615" s="14"/>
      <c r="Q615" s="15"/>
      <c r="R615" s="16" t="str">
        <f t="shared" si="14"/>
        <v/>
      </c>
    </row>
    <row r="616" ht="15.75" customHeight="1">
      <c r="A616" s="7"/>
      <c r="B616" s="8"/>
      <c r="C616" s="8"/>
      <c r="D616" s="8"/>
      <c r="E616" s="8"/>
      <c r="F616" s="9"/>
      <c r="G616" s="10">
        <f>IFERROR(F616*VLOOKUP(D616,TELAS!$A$4:$C$32,3,FALSE()),0)</f>
        <v>0</v>
      </c>
      <c r="H616" s="11" t="str">
        <f>IFERROR(VLOOKUP(E616,COLORES!$A$4:$B$102,2,FALSE()),"")</f>
        <v/>
      </c>
      <c r="I616" s="12">
        <f>IFERROR(IF(H616="OSCURO",VLOOKUP(D616,PRECIOS!$A$4:$F$32,2,FALSE()),IF(H616="CLARO",VLOOKUP(D616,PRECIOS!$A$4:$F$32,3,FALSE()),IF(H616="MELANGE",VLOOKUP(D616,PRECIOS!$A$4:$F$32,4,FALSE()),IF(H616="PPT",VLOOKUP(D616,PRECIOS!$A$4:$F$32,5,FALSE()),0)))),0)</f>
        <v>0</v>
      </c>
      <c r="J616" s="12">
        <f t="shared" si="12"/>
        <v>0</v>
      </c>
      <c r="K616" s="13">
        <f>IFERROR(IF(C616="",0,SUMIFS($F$4:$F$615,$C$4:$C$615,C616,$D$4:$D$615,D616,$E$4:$E$615,E616,$B$4:$B$615,"INGRESO")+SUMIFS($F$4:$F$615,$C$4:$C$615,C616,$D$4:$D$615,D616,$E$4:$E$615,E616,$B$4:$B$615,"DE REPROCESO")+SUMIFS($F$4:$F$615,$C$4:$C$615,C616,$D$4:$D$615,D616,$E$4:$E$615,E616,$B$4:$B$615,"AJUSTE+")-SUMIFS($F$4:$F$615,$C$4:$C$615,C616,$D$4:$D$615,D616,$E$4:$E$615,E616,$B$4:$B$615,"A CORTE")-SUMIFS($F$4:$F$615,$C$4:$C$615,C616,$D$4:$D$615,D616,$E$4:$E$615,E616,$B$4:$B$615,"A REPROCESO")-SUMIFS($F$4:$F$615,$C$4:$C$615,C616,$D$4:$D$615,D616,$E$4:$E$615,E616,$B$4:$B$615,"MUESTRA")-SUMIFS($F$4:$F$615,$C$4:$C$615,C616,$D$4:$D$615,D616,$E$4:$E$615,E616,$B$4:$B$615,"AJUSTE-")),0)</f>
        <v>0</v>
      </c>
      <c r="L616" s="13">
        <f t="shared" si="13"/>
        <v>0</v>
      </c>
      <c r="M616" s="8"/>
      <c r="N616" s="14"/>
      <c r="O616" s="14"/>
      <c r="P616" s="14"/>
      <c r="Q616" s="15"/>
      <c r="R616" s="16" t="str">
        <f t="shared" si="14"/>
        <v/>
      </c>
    </row>
    <row r="617" ht="15.75" customHeight="1">
      <c r="A617" s="7"/>
      <c r="B617" s="8"/>
      <c r="C617" s="8"/>
      <c r="D617" s="8"/>
      <c r="E617" s="8"/>
      <c r="F617" s="9"/>
      <c r="G617" s="10">
        <f>IFERROR(F617*VLOOKUP(D617,TELAS!$A$4:$C$32,3,FALSE()),0)</f>
        <v>0</v>
      </c>
      <c r="H617" s="11" t="str">
        <f>IFERROR(VLOOKUP(E617,COLORES!$A$4:$B$102,2,FALSE()),"")</f>
        <v/>
      </c>
      <c r="I617" s="12">
        <f>IFERROR(IF(H617="OSCURO",VLOOKUP(D617,PRECIOS!$A$4:$F$32,2,FALSE()),IF(H617="CLARO",VLOOKUP(D617,PRECIOS!$A$4:$F$32,3,FALSE()),IF(H617="MELANGE",VLOOKUP(D617,PRECIOS!$A$4:$F$32,4,FALSE()),IF(H617="PPT",VLOOKUP(D617,PRECIOS!$A$4:$F$32,5,FALSE()),0)))),0)</f>
        <v>0</v>
      </c>
      <c r="J617" s="12">
        <f t="shared" si="12"/>
        <v>0</v>
      </c>
      <c r="K617" s="13">
        <f>IFERROR(IF(C617="",0,SUMIFS($F$4:$F$616,$C$4:$C$616,C617,$D$4:$D$616,D617,$E$4:$E$616,E617,$B$4:$B$616,"INGRESO")+SUMIFS($F$4:$F$616,$C$4:$C$616,C617,$D$4:$D$616,D617,$E$4:$E$616,E617,$B$4:$B$616,"DE REPROCESO")+SUMIFS($F$4:$F$616,$C$4:$C$616,C617,$D$4:$D$616,D617,$E$4:$E$616,E617,$B$4:$B$616,"AJUSTE+")-SUMIFS($F$4:$F$616,$C$4:$C$616,C617,$D$4:$D$616,D617,$E$4:$E$616,E617,$B$4:$B$616,"A CORTE")-SUMIFS($F$4:$F$616,$C$4:$C$616,C617,$D$4:$D$616,D617,$E$4:$E$616,E617,$B$4:$B$616,"A REPROCESO")-SUMIFS($F$4:$F$616,$C$4:$C$616,C617,$D$4:$D$616,D617,$E$4:$E$616,E617,$B$4:$B$616,"MUESTRA")-SUMIFS($F$4:$F$616,$C$4:$C$616,C617,$D$4:$D$616,D617,$E$4:$E$616,E617,$B$4:$B$616,"AJUSTE-")),0)</f>
        <v>0</v>
      </c>
      <c r="L617" s="13">
        <f t="shared" si="13"/>
        <v>0</v>
      </c>
      <c r="M617" s="8"/>
      <c r="N617" s="14"/>
      <c r="O617" s="14"/>
      <c r="P617" s="14"/>
      <c r="Q617" s="15"/>
      <c r="R617" s="16" t="str">
        <f t="shared" si="14"/>
        <v/>
      </c>
    </row>
    <row r="618" ht="15.75" customHeight="1">
      <c r="A618" s="7"/>
      <c r="B618" s="8"/>
      <c r="C618" s="8"/>
      <c r="D618" s="8"/>
      <c r="E618" s="8"/>
      <c r="F618" s="9"/>
      <c r="G618" s="10">
        <f>IFERROR(F618*VLOOKUP(D618,TELAS!$A$4:$C$32,3,FALSE()),0)</f>
        <v>0</v>
      </c>
      <c r="H618" s="11" t="str">
        <f>IFERROR(VLOOKUP(E618,COLORES!$A$4:$B$102,2,FALSE()),"")</f>
        <v/>
      </c>
      <c r="I618" s="12">
        <f>IFERROR(IF(H618="OSCURO",VLOOKUP(D618,PRECIOS!$A$4:$F$32,2,FALSE()),IF(H618="CLARO",VLOOKUP(D618,PRECIOS!$A$4:$F$32,3,FALSE()),IF(H618="MELANGE",VLOOKUP(D618,PRECIOS!$A$4:$F$32,4,FALSE()),IF(H618="PPT",VLOOKUP(D618,PRECIOS!$A$4:$F$32,5,FALSE()),0)))),0)</f>
        <v>0</v>
      </c>
      <c r="J618" s="12">
        <f t="shared" si="12"/>
        <v>0</v>
      </c>
      <c r="K618" s="13">
        <f>IFERROR(IF(C618="",0,SUMIFS($F$4:$F$617,$C$4:$C$617,C618,$D$4:$D$617,D618,$E$4:$E$617,E618,$B$4:$B$617,"INGRESO")+SUMIFS($F$4:$F$617,$C$4:$C$617,C618,$D$4:$D$617,D618,$E$4:$E$617,E618,$B$4:$B$617,"DE REPROCESO")+SUMIFS($F$4:$F$617,$C$4:$C$617,C618,$D$4:$D$617,D618,$E$4:$E$617,E618,$B$4:$B$617,"AJUSTE+")-SUMIFS($F$4:$F$617,$C$4:$C$617,C618,$D$4:$D$617,D618,$E$4:$E$617,E618,$B$4:$B$617,"A CORTE")-SUMIFS($F$4:$F$617,$C$4:$C$617,C618,$D$4:$D$617,D618,$E$4:$E$617,E618,$B$4:$B$617,"A REPROCESO")-SUMIFS($F$4:$F$617,$C$4:$C$617,C618,$D$4:$D$617,D618,$E$4:$E$617,E618,$B$4:$B$617,"MUESTRA")-SUMIFS($F$4:$F$617,$C$4:$C$617,C618,$D$4:$D$617,D618,$E$4:$E$617,E618,$B$4:$B$617,"AJUSTE-")),0)</f>
        <v>0</v>
      </c>
      <c r="L618" s="13">
        <f t="shared" si="13"/>
        <v>0</v>
      </c>
      <c r="M618" s="8"/>
      <c r="N618" s="14"/>
      <c r="O618" s="14"/>
      <c r="P618" s="14"/>
      <c r="Q618" s="15"/>
      <c r="R618" s="16" t="str">
        <f t="shared" si="14"/>
        <v/>
      </c>
    </row>
    <row r="619" ht="15.75" customHeight="1">
      <c r="A619" s="7"/>
      <c r="B619" s="8"/>
      <c r="C619" s="8"/>
      <c r="D619" s="8"/>
      <c r="E619" s="8"/>
      <c r="F619" s="9"/>
      <c r="G619" s="10">
        <f>IFERROR(F619*VLOOKUP(D619,TELAS!$A$4:$C$32,3,FALSE()),0)</f>
        <v>0</v>
      </c>
      <c r="H619" s="11" t="str">
        <f>IFERROR(VLOOKUP(E619,COLORES!$A$4:$B$102,2,FALSE()),"")</f>
        <v/>
      </c>
      <c r="I619" s="12">
        <f>IFERROR(IF(H619="OSCURO",VLOOKUP(D619,PRECIOS!$A$4:$F$32,2,FALSE()),IF(H619="CLARO",VLOOKUP(D619,PRECIOS!$A$4:$F$32,3,FALSE()),IF(H619="MELANGE",VLOOKUP(D619,PRECIOS!$A$4:$F$32,4,FALSE()),IF(H619="PPT",VLOOKUP(D619,PRECIOS!$A$4:$F$32,5,FALSE()),0)))),0)</f>
        <v>0</v>
      </c>
      <c r="J619" s="12">
        <f t="shared" si="12"/>
        <v>0</v>
      </c>
      <c r="K619" s="13">
        <f>IFERROR(IF(C619="",0,SUMIFS($F$4:$F$618,$C$4:$C$618,C619,$D$4:$D$618,D619,$E$4:$E$618,E619,$B$4:$B$618,"INGRESO")+SUMIFS($F$4:$F$618,$C$4:$C$618,C619,$D$4:$D$618,D619,$E$4:$E$618,E619,$B$4:$B$618,"DE REPROCESO")+SUMIFS($F$4:$F$618,$C$4:$C$618,C619,$D$4:$D$618,D619,$E$4:$E$618,E619,$B$4:$B$618,"AJUSTE+")-SUMIFS($F$4:$F$618,$C$4:$C$618,C619,$D$4:$D$618,D619,$E$4:$E$618,E619,$B$4:$B$618,"A CORTE")-SUMIFS($F$4:$F$618,$C$4:$C$618,C619,$D$4:$D$618,D619,$E$4:$E$618,E619,$B$4:$B$618,"A REPROCESO")-SUMIFS($F$4:$F$618,$C$4:$C$618,C619,$D$4:$D$618,D619,$E$4:$E$618,E619,$B$4:$B$618,"MUESTRA")-SUMIFS($F$4:$F$618,$C$4:$C$618,C619,$D$4:$D$618,D619,$E$4:$E$618,E619,$B$4:$B$618,"AJUSTE-")),0)</f>
        <v>0</v>
      </c>
      <c r="L619" s="13">
        <f t="shared" si="13"/>
        <v>0</v>
      </c>
      <c r="M619" s="8"/>
      <c r="N619" s="14"/>
      <c r="O619" s="14"/>
      <c r="P619" s="14"/>
      <c r="Q619" s="15"/>
      <c r="R619" s="16" t="str">
        <f t="shared" si="14"/>
        <v/>
      </c>
    </row>
    <row r="620" ht="15.75" customHeight="1">
      <c r="A620" s="7"/>
      <c r="B620" s="8"/>
      <c r="C620" s="8"/>
      <c r="D620" s="8"/>
      <c r="E620" s="8"/>
      <c r="F620" s="9"/>
      <c r="G620" s="10">
        <f>IFERROR(F620*VLOOKUP(D620,TELAS!$A$4:$C$32,3,FALSE()),0)</f>
        <v>0</v>
      </c>
      <c r="H620" s="11" t="str">
        <f>IFERROR(VLOOKUP(E620,COLORES!$A$4:$B$102,2,FALSE()),"")</f>
        <v/>
      </c>
      <c r="I620" s="12">
        <f>IFERROR(IF(H620="OSCURO",VLOOKUP(D620,PRECIOS!$A$4:$F$32,2,FALSE()),IF(H620="CLARO",VLOOKUP(D620,PRECIOS!$A$4:$F$32,3,FALSE()),IF(H620="MELANGE",VLOOKUP(D620,PRECIOS!$A$4:$F$32,4,FALSE()),IF(H620="PPT",VLOOKUP(D620,PRECIOS!$A$4:$F$32,5,FALSE()),0)))),0)</f>
        <v>0</v>
      </c>
      <c r="J620" s="12">
        <f t="shared" si="12"/>
        <v>0</v>
      </c>
      <c r="K620" s="13">
        <f>IFERROR(IF(C620="",0,SUMIFS($F$4:$F$619,$C$4:$C$619,C620,$D$4:$D$619,D620,$E$4:$E$619,E620,$B$4:$B$619,"INGRESO")+SUMIFS($F$4:$F$619,$C$4:$C$619,C620,$D$4:$D$619,D620,$E$4:$E$619,E620,$B$4:$B$619,"DE REPROCESO")+SUMIFS($F$4:$F$619,$C$4:$C$619,C620,$D$4:$D$619,D620,$E$4:$E$619,E620,$B$4:$B$619,"AJUSTE+")-SUMIFS($F$4:$F$619,$C$4:$C$619,C620,$D$4:$D$619,D620,$E$4:$E$619,E620,$B$4:$B$619,"A CORTE")-SUMIFS($F$4:$F$619,$C$4:$C$619,C620,$D$4:$D$619,D620,$E$4:$E$619,E620,$B$4:$B$619,"A REPROCESO")-SUMIFS($F$4:$F$619,$C$4:$C$619,C620,$D$4:$D$619,D620,$E$4:$E$619,E620,$B$4:$B$619,"MUESTRA")-SUMIFS($F$4:$F$619,$C$4:$C$619,C620,$D$4:$D$619,D620,$E$4:$E$619,E620,$B$4:$B$619,"AJUSTE-")),0)</f>
        <v>0</v>
      </c>
      <c r="L620" s="13">
        <f t="shared" si="13"/>
        <v>0</v>
      </c>
      <c r="M620" s="8"/>
      <c r="N620" s="14"/>
      <c r="O620" s="14"/>
      <c r="P620" s="14"/>
      <c r="Q620" s="15"/>
      <c r="R620" s="16" t="str">
        <f t="shared" si="14"/>
        <v/>
      </c>
    </row>
    <row r="621" ht="15.75" customHeight="1">
      <c r="A621" s="7"/>
      <c r="B621" s="8"/>
      <c r="C621" s="8"/>
      <c r="D621" s="8"/>
      <c r="E621" s="8"/>
      <c r="F621" s="9"/>
      <c r="G621" s="10">
        <f>IFERROR(F621*VLOOKUP(D621,TELAS!$A$4:$C$32,3,FALSE()),0)</f>
        <v>0</v>
      </c>
      <c r="H621" s="11" t="str">
        <f>IFERROR(VLOOKUP(E621,COLORES!$A$4:$B$102,2,FALSE()),"")</f>
        <v/>
      </c>
      <c r="I621" s="12">
        <f>IFERROR(IF(H621="OSCURO",VLOOKUP(D621,PRECIOS!$A$4:$F$32,2,FALSE()),IF(H621="CLARO",VLOOKUP(D621,PRECIOS!$A$4:$F$32,3,FALSE()),IF(H621="MELANGE",VLOOKUP(D621,PRECIOS!$A$4:$F$32,4,FALSE()),IF(H621="PPT",VLOOKUP(D621,PRECIOS!$A$4:$F$32,5,FALSE()),0)))),0)</f>
        <v>0</v>
      </c>
      <c r="J621" s="12">
        <f t="shared" si="12"/>
        <v>0</v>
      </c>
      <c r="K621" s="13">
        <f>IFERROR(IF(C621="",0,SUMIFS($F$4:$F$620,$C$4:$C$620,C621,$D$4:$D$620,D621,$E$4:$E$620,E621,$B$4:$B$620,"INGRESO")+SUMIFS($F$4:$F$620,$C$4:$C$620,C621,$D$4:$D$620,D621,$E$4:$E$620,E621,$B$4:$B$620,"DE REPROCESO")+SUMIFS($F$4:$F$620,$C$4:$C$620,C621,$D$4:$D$620,D621,$E$4:$E$620,E621,$B$4:$B$620,"AJUSTE+")-SUMIFS($F$4:$F$620,$C$4:$C$620,C621,$D$4:$D$620,D621,$E$4:$E$620,E621,$B$4:$B$620,"A CORTE")-SUMIFS($F$4:$F$620,$C$4:$C$620,C621,$D$4:$D$620,D621,$E$4:$E$620,E621,$B$4:$B$620,"A REPROCESO")-SUMIFS($F$4:$F$620,$C$4:$C$620,C621,$D$4:$D$620,D621,$E$4:$E$620,E621,$B$4:$B$620,"MUESTRA")-SUMIFS($F$4:$F$620,$C$4:$C$620,C621,$D$4:$D$620,D621,$E$4:$E$620,E621,$B$4:$B$620,"AJUSTE-")),0)</f>
        <v>0</v>
      </c>
      <c r="L621" s="13">
        <f t="shared" si="13"/>
        <v>0</v>
      </c>
      <c r="M621" s="8"/>
      <c r="N621" s="14"/>
      <c r="O621" s="14"/>
      <c r="P621" s="14"/>
      <c r="Q621" s="15"/>
      <c r="R621" s="16" t="str">
        <f t="shared" si="14"/>
        <v/>
      </c>
    </row>
    <row r="622" ht="15.75" customHeight="1">
      <c r="A622" s="7"/>
      <c r="B622" s="8"/>
      <c r="C622" s="8"/>
      <c r="D622" s="8"/>
      <c r="E622" s="8"/>
      <c r="F622" s="9"/>
      <c r="G622" s="10">
        <f>IFERROR(F622*VLOOKUP(D622,TELAS!$A$4:$C$32,3,FALSE()),0)</f>
        <v>0</v>
      </c>
      <c r="H622" s="11" t="str">
        <f>IFERROR(VLOOKUP(E622,COLORES!$A$4:$B$102,2,FALSE()),"")</f>
        <v/>
      </c>
      <c r="I622" s="12">
        <f>IFERROR(IF(H622="OSCURO",VLOOKUP(D622,PRECIOS!$A$4:$F$32,2,FALSE()),IF(H622="CLARO",VLOOKUP(D622,PRECIOS!$A$4:$F$32,3,FALSE()),IF(H622="MELANGE",VLOOKUP(D622,PRECIOS!$A$4:$F$32,4,FALSE()),IF(H622="PPT",VLOOKUP(D622,PRECIOS!$A$4:$F$32,5,FALSE()),0)))),0)</f>
        <v>0</v>
      </c>
      <c r="J622" s="12">
        <f t="shared" si="12"/>
        <v>0</v>
      </c>
      <c r="K622" s="13">
        <f>IFERROR(IF(C622="",0,SUMIFS($F$4:$F$621,$C$4:$C$621,C622,$D$4:$D$621,D622,$E$4:$E$621,E622,$B$4:$B$621,"INGRESO")+SUMIFS($F$4:$F$621,$C$4:$C$621,C622,$D$4:$D$621,D622,$E$4:$E$621,E622,$B$4:$B$621,"DE REPROCESO")+SUMIFS($F$4:$F$621,$C$4:$C$621,C622,$D$4:$D$621,D622,$E$4:$E$621,E622,$B$4:$B$621,"AJUSTE+")-SUMIFS($F$4:$F$621,$C$4:$C$621,C622,$D$4:$D$621,D622,$E$4:$E$621,E622,$B$4:$B$621,"A CORTE")-SUMIFS($F$4:$F$621,$C$4:$C$621,C622,$D$4:$D$621,D622,$E$4:$E$621,E622,$B$4:$B$621,"A REPROCESO")-SUMIFS($F$4:$F$621,$C$4:$C$621,C622,$D$4:$D$621,D622,$E$4:$E$621,E622,$B$4:$B$621,"MUESTRA")-SUMIFS($F$4:$F$621,$C$4:$C$621,C622,$D$4:$D$621,D622,$E$4:$E$621,E622,$B$4:$B$621,"AJUSTE-")),0)</f>
        <v>0</v>
      </c>
      <c r="L622" s="13">
        <f t="shared" si="13"/>
        <v>0</v>
      </c>
      <c r="M622" s="8"/>
      <c r="N622" s="14"/>
      <c r="O622" s="14"/>
      <c r="P622" s="14"/>
      <c r="Q622" s="15"/>
      <c r="R622" s="16" t="str">
        <f t="shared" si="14"/>
        <v/>
      </c>
    </row>
    <row r="623" ht="15.75" customHeight="1">
      <c r="A623" s="7"/>
      <c r="B623" s="8"/>
      <c r="C623" s="8"/>
      <c r="D623" s="8"/>
      <c r="E623" s="8"/>
      <c r="F623" s="9"/>
      <c r="G623" s="10">
        <f>IFERROR(F623*VLOOKUP(D623,TELAS!$A$4:$C$32,3,FALSE()),0)</f>
        <v>0</v>
      </c>
      <c r="H623" s="11" t="str">
        <f>IFERROR(VLOOKUP(E623,COLORES!$A$4:$B$102,2,FALSE()),"")</f>
        <v/>
      </c>
      <c r="I623" s="12">
        <f>IFERROR(IF(H623="OSCURO",VLOOKUP(D623,PRECIOS!$A$4:$F$32,2,FALSE()),IF(H623="CLARO",VLOOKUP(D623,PRECIOS!$A$4:$F$32,3,FALSE()),IF(H623="MELANGE",VLOOKUP(D623,PRECIOS!$A$4:$F$32,4,FALSE()),IF(H623="PPT",VLOOKUP(D623,PRECIOS!$A$4:$F$32,5,FALSE()),0)))),0)</f>
        <v>0</v>
      </c>
      <c r="J623" s="12">
        <f t="shared" si="12"/>
        <v>0</v>
      </c>
      <c r="K623" s="13">
        <f>IFERROR(IF(C623="",0,SUMIFS($F$4:$F$622,$C$4:$C$622,C623,$D$4:$D$622,D623,$E$4:$E$622,E623,$B$4:$B$622,"INGRESO")+SUMIFS($F$4:$F$622,$C$4:$C$622,C623,$D$4:$D$622,D623,$E$4:$E$622,E623,$B$4:$B$622,"DE REPROCESO")+SUMIFS($F$4:$F$622,$C$4:$C$622,C623,$D$4:$D$622,D623,$E$4:$E$622,E623,$B$4:$B$622,"AJUSTE+")-SUMIFS($F$4:$F$622,$C$4:$C$622,C623,$D$4:$D$622,D623,$E$4:$E$622,E623,$B$4:$B$622,"A CORTE")-SUMIFS($F$4:$F$622,$C$4:$C$622,C623,$D$4:$D$622,D623,$E$4:$E$622,E623,$B$4:$B$622,"A REPROCESO")-SUMIFS($F$4:$F$622,$C$4:$C$622,C623,$D$4:$D$622,D623,$E$4:$E$622,E623,$B$4:$B$622,"MUESTRA")-SUMIFS($F$4:$F$622,$C$4:$C$622,C623,$D$4:$D$622,D623,$E$4:$E$622,E623,$B$4:$B$622,"AJUSTE-")),0)</f>
        <v>0</v>
      </c>
      <c r="L623" s="13">
        <f t="shared" si="13"/>
        <v>0</v>
      </c>
      <c r="M623" s="8"/>
      <c r="N623" s="14"/>
      <c r="O623" s="14"/>
      <c r="P623" s="14"/>
      <c r="Q623" s="15"/>
      <c r="R623" s="16" t="str">
        <f t="shared" si="14"/>
        <v/>
      </c>
    </row>
    <row r="624" ht="15.75" customHeight="1">
      <c r="A624" s="7"/>
      <c r="B624" s="8"/>
      <c r="C624" s="8"/>
      <c r="D624" s="8"/>
      <c r="E624" s="8"/>
      <c r="F624" s="9"/>
      <c r="G624" s="10">
        <f>IFERROR(F624*VLOOKUP(D624,TELAS!$A$4:$C$32,3,FALSE()),0)</f>
        <v>0</v>
      </c>
      <c r="H624" s="11" t="str">
        <f>IFERROR(VLOOKUP(E624,COLORES!$A$4:$B$102,2,FALSE()),"")</f>
        <v/>
      </c>
      <c r="I624" s="12">
        <f>IFERROR(IF(H624="OSCURO",VLOOKUP(D624,PRECIOS!$A$4:$F$32,2,FALSE()),IF(H624="CLARO",VLOOKUP(D624,PRECIOS!$A$4:$F$32,3,FALSE()),IF(H624="MELANGE",VLOOKUP(D624,PRECIOS!$A$4:$F$32,4,FALSE()),IF(H624="PPT",VLOOKUP(D624,PRECIOS!$A$4:$F$32,5,FALSE()),0)))),0)</f>
        <v>0</v>
      </c>
      <c r="J624" s="12">
        <f t="shared" si="12"/>
        <v>0</v>
      </c>
      <c r="K624" s="13">
        <f>IFERROR(IF(C624="",0,SUMIFS($F$4:$F$623,$C$4:$C$623,C624,$D$4:$D$623,D624,$E$4:$E$623,E624,$B$4:$B$623,"INGRESO")+SUMIFS($F$4:$F$623,$C$4:$C$623,C624,$D$4:$D$623,D624,$E$4:$E$623,E624,$B$4:$B$623,"DE REPROCESO")+SUMIFS($F$4:$F$623,$C$4:$C$623,C624,$D$4:$D$623,D624,$E$4:$E$623,E624,$B$4:$B$623,"AJUSTE+")-SUMIFS($F$4:$F$623,$C$4:$C$623,C624,$D$4:$D$623,D624,$E$4:$E$623,E624,$B$4:$B$623,"A CORTE")-SUMIFS($F$4:$F$623,$C$4:$C$623,C624,$D$4:$D$623,D624,$E$4:$E$623,E624,$B$4:$B$623,"A REPROCESO")-SUMIFS($F$4:$F$623,$C$4:$C$623,C624,$D$4:$D$623,D624,$E$4:$E$623,E624,$B$4:$B$623,"MUESTRA")-SUMIFS($F$4:$F$623,$C$4:$C$623,C624,$D$4:$D$623,D624,$E$4:$E$623,E624,$B$4:$B$623,"AJUSTE-")),0)</f>
        <v>0</v>
      </c>
      <c r="L624" s="13">
        <f t="shared" si="13"/>
        <v>0</v>
      </c>
      <c r="M624" s="8"/>
      <c r="N624" s="14"/>
      <c r="O624" s="14"/>
      <c r="P624" s="14"/>
      <c r="Q624" s="15"/>
      <c r="R624" s="16" t="str">
        <f t="shared" si="14"/>
        <v/>
      </c>
    </row>
    <row r="625" ht="15.75" customHeight="1">
      <c r="A625" s="7"/>
      <c r="B625" s="8"/>
      <c r="C625" s="8"/>
      <c r="D625" s="8"/>
      <c r="E625" s="8"/>
      <c r="F625" s="9"/>
      <c r="G625" s="10">
        <f>IFERROR(F625*VLOOKUP(D625,TELAS!$A$4:$C$32,3,FALSE()),0)</f>
        <v>0</v>
      </c>
      <c r="H625" s="11" t="str">
        <f>IFERROR(VLOOKUP(E625,COLORES!$A$4:$B$102,2,FALSE()),"")</f>
        <v/>
      </c>
      <c r="I625" s="12">
        <f>IFERROR(IF(H625="OSCURO",VLOOKUP(D625,PRECIOS!$A$4:$F$32,2,FALSE()),IF(H625="CLARO",VLOOKUP(D625,PRECIOS!$A$4:$F$32,3,FALSE()),IF(H625="MELANGE",VLOOKUP(D625,PRECIOS!$A$4:$F$32,4,FALSE()),IF(H625="PPT",VLOOKUP(D625,PRECIOS!$A$4:$F$32,5,FALSE()),0)))),0)</f>
        <v>0</v>
      </c>
      <c r="J625" s="12">
        <f t="shared" si="12"/>
        <v>0</v>
      </c>
      <c r="K625" s="13">
        <f>IFERROR(IF(C625="",0,SUMIFS($F$4:$F$624,$C$4:$C$624,C625,$D$4:$D$624,D625,$E$4:$E$624,E625,$B$4:$B$624,"INGRESO")+SUMIFS($F$4:$F$624,$C$4:$C$624,C625,$D$4:$D$624,D625,$E$4:$E$624,E625,$B$4:$B$624,"DE REPROCESO")+SUMIFS($F$4:$F$624,$C$4:$C$624,C625,$D$4:$D$624,D625,$E$4:$E$624,E625,$B$4:$B$624,"AJUSTE+")-SUMIFS($F$4:$F$624,$C$4:$C$624,C625,$D$4:$D$624,D625,$E$4:$E$624,E625,$B$4:$B$624,"A CORTE")-SUMIFS($F$4:$F$624,$C$4:$C$624,C625,$D$4:$D$624,D625,$E$4:$E$624,E625,$B$4:$B$624,"A REPROCESO")-SUMIFS($F$4:$F$624,$C$4:$C$624,C625,$D$4:$D$624,D625,$E$4:$E$624,E625,$B$4:$B$624,"MUESTRA")-SUMIFS($F$4:$F$624,$C$4:$C$624,C625,$D$4:$D$624,D625,$E$4:$E$624,E625,$B$4:$B$624,"AJUSTE-")),0)</f>
        <v>0</v>
      </c>
      <c r="L625" s="13">
        <f t="shared" si="13"/>
        <v>0</v>
      </c>
      <c r="M625" s="8"/>
      <c r="N625" s="14"/>
      <c r="O625" s="14"/>
      <c r="P625" s="14"/>
      <c r="Q625" s="15"/>
      <c r="R625" s="16" t="str">
        <f t="shared" si="14"/>
        <v/>
      </c>
    </row>
    <row r="626" ht="15.75" customHeight="1">
      <c r="A626" s="7"/>
      <c r="B626" s="8"/>
      <c r="C626" s="8"/>
      <c r="D626" s="8"/>
      <c r="E626" s="8"/>
      <c r="F626" s="9"/>
      <c r="G626" s="10">
        <f>IFERROR(F626*VLOOKUP(D626,TELAS!$A$4:$C$32,3,FALSE()),0)</f>
        <v>0</v>
      </c>
      <c r="H626" s="11" t="str">
        <f>IFERROR(VLOOKUP(E626,COLORES!$A$4:$B$102,2,FALSE()),"")</f>
        <v/>
      </c>
      <c r="I626" s="12">
        <f>IFERROR(IF(H626="OSCURO",VLOOKUP(D626,PRECIOS!$A$4:$F$32,2,FALSE()),IF(H626="CLARO",VLOOKUP(D626,PRECIOS!$A$4:$F$32,3,FALSE()),IF(H626="MELANGE",VLOOKUP(D626,PRECIOS!$A$4:$F$32,4,FALSE()),IF(H626="PPT",VLOOKUP(D626,PRECIOS!$A$4:$F$32,5,FALSE()),0)))),0)</f>
        <v>0</v>
      </c>
      <c r="J626" s="12">
        <f t="shared" si="12"/>
        <v>0</v>
      </c>
      <c r="K626" s="13">
        <f>IFERROR(IF(C626="",0,SUMIFS($F$4:$F$625,$C$4:$C$625,C626,$D$4:$D$625,D626,$E$4:$E$625,E626,$B$4:$B$625,"INGRESO")+SUMIFS($F$4:$F$625,$C$4:$C$625,C626,$D$4:$D$625,D626,$E$4:$E$625,E626,$B$4:$B$625,"DE REPROCESO")+SUMIFS($F$4:$F$625,$C$4:$C$625,C626,$D$4:$D$625,D626,$E$4:$E$625,E626,$B$4:$B$625,"AJUSTE+")-SUMIFS($F$4:$F$625,$C$4:$C$625,C626,$D$4:$D$625,D626,$E$4:$E$625,E626,$B$4:$B$625,"A CORTE")-SUMIFS($F$4:$F$625,$C$4:$C$625,C626,$D$4:$D$625,D626,$E$4:$E$625,E626,$B$4:$B$625,"A REPROCESO")-SUMIFS($F$4:$F$625,$C$4:$C$625,C626,$D$4:$D$625,D626,$E$4:$E$625,E626,$B$4:$B$625,"MUESTRA")-SUMIFS($F$4:$F$625,$C$4:$C$625,C626,$D$4:$D$625,D626,$E$4:$E$625,E626,$B$4:$B$625,"AJUSTE-")),0)</f>
        <v>0</v>
      </c>
      <c r="L626" s="13">
        <f t="shared" si="13"/>
        <v>0</v>
      </c>
      <c r="M626" s="8"/>
      <c r="N626" s="14"/>
      <c r="O626" s="14"/>
      <c r="P626" s="14"/>
      <c r="Q626" s="15"/>
      <c r="R626" s="16" t="str">
        <f t="shared" si="14"/>
        <v/>
      </c>
    </row>
    <row r="627" ht="15.75" customHeight="1">
      <c r="A627" s="7"/>
      <c r="B627" s="8"/>
      <c r="C627" s="8"/>
      <c r="D627" s="8"/>
      <c r="E627" s="8"/>
      <c r="F627" s="9"/>
      <c r="G627" s="10">
        <f>IFERROR(F627*VLOOKUP(D627,TELAS!$A$4:$C$32,3,FALSE()),0)</f>
        <v>0</v>
      </c>
      <c r="H627" s="11" t="str">
        <f>IFERROR(VLOOKUP(E627,COLORES!$A$4:$B$102,2,FALSE()),"")</f>
        <v/>
      </c>
      <c r="I627" s="12">
        <f>IFERROR(IF(H627="OSCURO",VLOOKUP(D627,PRECIOS!$A$4:$F$32,2,FALSE()),IF(H627="CLARO",VLOOKUP(D627,PRECIOS!$A$4:$F$32,3,FALSE()),IF(H627="MELANGE",VLOOKUP(D627,PRECIOS!$A$4:$F$32,4,FALSE()),IF(H627="PPT",VLOOKUP(D627,PRECIOS!$A$4:$F$32,5,FALSE()),0)))),0)</f>
        <v>0</v>
      </c>
      <c r="J627" s="12">
        <f t="shared" si="12"/>
        <v>0</v>
      </c>
      <c r="K627" s="13">
        <f>IFERROR(IF(C627="",0,SUMIFS($F$4:$F$626,$C$4:$C$626,C627,$D$4:$D$626,D627,$E$4:$E$626,E627,$B$4:$B$626,"INGRESO")+SUMIFS($F$4:$F$626,$C$4:$C$626,C627,$D$4:$D$626,D627,$E$4:$E$626,E627,$B$4:$B$626,"DE REPROCESO")+SUMIFS($F$4:$F$626,$C$4:$C$626,C627,$D$4:$D$626,D627,$E$4:$E$626,E627,$B$4:$B$626,"AJUSTE+")-SUMIFS($F$4:$F$626,$C$4:$C$626,C627,$D$4:$D$626,D627,$E$4:$E$626,E627,$B$4:$B$626,"A CORTE")-SUMIFS($F$4:$F$626,$C$4:$C$626,C627,$D$4:$D$626,D627,$E$4:$E$626,E627,$B$4:$B$626,"A REPROCESO")-SUMIFS($F$4:$F$626,$C$4:$C$626,C627,$D$4:$D$626,D627,$E$4:$E$626,E627,$B$4:$B$626,"MUESTRA")-SUMIFS($F$4:$F$626,$C$4:$C$626,C627,$D$4:$D$626,D627,$E$4:$E$626,E627,$B$4:$B$626,"AJUSTE-")),0)</f>
        <v>0</v>
      </c>
      <c r="L627" s="13">
        <f t="shared" si="13"/>
        <v>0</v>
      </c>
      <c r="M627" s="8"/>
      <c r="N627" s="14"/>
      <c r="O627" s="14"/>
      <c r="P627" s="14"/>
      <c r="Q627" s="15"/>
      <c r="R627" s="16" t="str">
        <f t="shared" si="14"/>
        <v/>
      </c>
    </row>
    <row r="628" ht="15.75" customHeight="1">
      <c r="A628" s="7"/>
      <c r="B628" s="8"/>
      <c r="C628" s="8"/>
      <c r="D628" s="8"/>
      <c r="E628" s="8"/>
      <c r="F628" s="9"/>
      <c r="G628" s="10">
        <f>IFERROR(F628*VLOOKUP(D628,TELAS!$A$4:$C$32,3,FALSE()),0)</f>
        <v>0</v>
      </c>
      <c r="H628" s="11" t="str">
        <f>IFERROR(VLOOKUP(E628,COLORES!$A$4:$B$102,2,FALSE()),"")</f>
        <v/>
      </c>
      <c r="I628" s="12">
        <f>IFERROR(IF(H628="OSCURO",VLOOKUP(D628,PRECIOS!$A$4:$F$32,2,FALSE()),IF(H628="CLARO",VLOOKUP(D628,PRECIOS!$A$4:$F$32,3,FALSE()),IF(H628="MELANGE",VLOOKUP(D628,PRECIOS!$A$4:$F$32,4,FALSE()),IF(H628="PPT",VLOOKUP(D628,PRECIOS!$A$4:$F$32,5,FALSE()),0)))),0)</f>
        <v>0</v>
      </c>
      <c r="J628" s="12">
        <f t="shared" si="12"/>
        <v>0</v>
      </c>
      <c r="K628" s="13">
        <f>IFERROR(IF(C628="",0,SUMIFS($F$4:$F$627,$C$4:$C$627,C628,$D$4:$D$627,D628,$E$4:$E$627,E628,$B$4:$B$627,"INGRESO")+SUMIFS($F$4:$F$627,$C$4:$C$627,C628,$D$4:$D$627,D628,$E$4:$E$627,E628,$B$4:$B$627,"DE REPROCESO")+SUMIFS($F$4:$F$627,$C$4:$C$627,C628,$D$4:$D$627,D628,$E$4:$E$627,E628,$B$4:$B$627,"AJUSTE+")-SUMIFS($F$4:$F$627,$C$4:$C$627,C628,$D$4:$D$627,D628,$E$4:$E$627,E628,$B$4:$B$627,"A CORTE")-SUMIFS($F$4:$F$627,$C$4:$C$627,C628,$D$4:$D$627,D628,$E$4:$E$627,E628,$B$4:$B$627,"A REPROCESO")-SUMIFS($F$4:$F$627,$C$4:$C$627,C628,$D$4:$D$627,D628,$E$4:$E$627,E628,$B$4:$B$627,"MUESTRA")-SUMIFS($F$4:$F$627,$C$4:$C$627,C628,$D$4:$D$627,D628,$E$4:$E$627,E628,$B$4:$B$627,"AJUSTE-")),0)</f>
        <v>0</v>
      </c>
      <c r="L628" s="13">
        <f t="shared" si="13"/>
        <v>0</v>
      </c>
      <c r="M628" s="8"/>
      <c r="N628" s="14"/>
      <c r="O628" s="14"/>
      <c r="P628" s="14"/>
      <c r="Q628" s="15"/>
      <c r="R628" s="16" t="str">
        <f t="shared" si="14"/>
        <v/>
      </c>
    </row>
    <row r="629" ht="15.75" customHeight="1">
      <c r="A629" s="7"/>
      <c r="B629" s="8"/>
      <c r="C629" s="8"/>
      <c r="D629" s="8"/>
      <c r="E629" s="8"/>
      <c r="F629" s="9"/>
      <c r="G629" s="10">
        <f>IFERROR(F629*VLOOKUP(D629,TELAS!$A$4:$C$32,3,FALSE()),0)</f>
        <v>0</v>
      </c>
      <c r="H629" s="11" t="str">
        <f>IFERROR(VLOOKUP(E629,COLORES!$A$4:$B$102,2,FALSE()),"")</f>
        <v/>
      </c>
      <c r="I629" s="12">
        <f>IFERROR(IF(H629="OSCURO",VLOOKUP(D629,PRECIOS!$A$4:$F$32,2,FALSE()),IF(H629="CLARO",VLOOKUP(D629,PRECIOS!$A$4:$F$32,3,FALSE()),IF(H629="MELANGE",VLOOKUP(D629,PRECIOS!$A$4:$F$32,4,FALSE()),IF(H629="PPT",VLOOKUP(D629,PRECIOS!$A$4:$F$32,5,FALSE()),0)))),0)</f>
        <v>0</v>
      </c>
      <c r="J629" s="12">
        <f t="shared" si="12"/>
        <v>0</v>
      </c>
      <c r="K629" s="13">
        <f>IFERROR(IF(C629="",0,SUMIFS($F$4:$F$628,$C$4:$C$628,C629,$D$4:$D$628,D629,$E$4:$E$628,E629,$B$4:$B$628,"INGRESO")+SUMIFS($F$4:$F$628,$C$4:$C$628,C629,$D$4:$D$628,D629,$E$4:$E$628,E629,$B$4:$B$628,"DE REPROCESO")+SUMIFS($F$4:$F$628,$C$4:$C$628,C629,$D$4:$D$628,D629,$E$4:$E$628,E629,$B$4:$B$628,"AJUSTE+")-SUMIFS($F$4:$F$628,$C$4:$C$628,C629,$D$4:$D$628,D629,$E$4:$E$628,E629,$B$4:$B$628,"A CORTE")-SUMIFS($F$4:$F$628,$C$4:$C$628,C629,$D$4:$D$628,D629,$E$4:$E$628,E629,$B$4:$B$628,"A REPROCESO")-SUMIFS($F$4:$F$628,$C$4:$C$628,C629,$D$4:$D$628,D629,$E$4:$E$628,E629,$B$4:$B$628,"MUESTRA")-SUMIFS($F$4:$F$628,$C$4:$C$628,C629,$D$4:$D$628,D629,$E$4:$E$628,E629,$B$4:$B$628,"AJUSTE-")),0)</f>
        <v>0</v>
      </c>
      <c r="L629" s="13">
        <f t="shared" si="13"/>
        <v>0</v>
      </c>
      <c r="M629" s="8"/>
      <c r="N629" s="14"/>
      <c r="O629" s="14"/>
      <c r="P629" s="14"/>
      <c r="Q629" s="15"/>
      <c r="R629" s="16" t="str">
        <f t="shared" si="14"/>
        <v/>
      </c>
    </row>
    <row r="630" ht="15.75" customHeight="1">
      <c r="A630" s="7"/>
      <c r="B630" s="8"/>
      <c r="C630" s="8"/>
      <c r="D630" s="8"/>
      <c r="E630" s="8"/>
      <c r="F630" s="9"/>
      <c r="G630" s="10">
        <f>IFERROR(F630*VLOOKUP(D630,TELAS!$A$4:$C$32,3,FALSE()),0)</f>
        <v>0</v>
      </c>
      <c r="H630" s="11" t="str">
        <f>IFERROR(VLOOKUP(E630,COLORES!$A$4:$B$102,2,FALSE()),"")</f>
        <v/>
      </c>
      <c r="I630" s="12">
        <f>IFERROR(IF(H630="OSCURO",VLOOKUP(D630,PRECIOS!$A$4:$F$32,2,FALSE()),IF(H630="CLARO",VLOOKUP(D630,PRECIOS!$A$4:$F$32,3,FALSE()),IF(H630="MELANGE",VLOOKUP(D630,PRECIOS!$A$4:$F$32,4,FALSE()),IF(H630="PPT",VLOOKUP(D630,PRECIOS!$A$4:$F$32,5,FALSE()),0)))),0)</f>
        <v>0</v>
      </c>
      <c r="J630" s="12">
        <f t="shared" si="12"/>
        <v>0</v>
      </c>
      <c r="K630" s="13">
        <f>IFERROR(IF(C630="",0,SUMIFS($F$4:$F$629,$C$4:$C$629,C630,$D$4:$D$629,D630,$E$4:$E$629,E630,$B$4:$B$629,"INGRESO")+SUMIFS($F$4:$F$629,$C$4:$C$629,C630,$D$4:$D$629,D630,$E$4:$E$629,E630,$B$4:$B$629,"DE REPROCESO")+SUMIFS($F$4:$F$629,$C$4:$C$629,C630,$D$4:$D$629,D630,$E$4:$E$629,E630,$B$4:$B$629,"AJUSTE+")-SUMIFS($F$4:$F$629,$C$4:$C$629,C630,$D$4:$D$629,D630,$E$4:$E$629,E630,$B$4:$B$629,"A CORTE")-SUMIFS($F$4:$F$629,$C$4:$C$629,C630,$D$4:$D$629,D630,$E$4:$E$629,E630,$B$4:$B$629,"A REPROCESO")-SUMIFS($F$4:$F$629,$C$4:$C$629,C630,$D$4:$D$629,D630,$E$4:$E$629,E630,$B$4:$B$629,"MUESTRA")-SUMIFS($F$4:$F$629,$C$4:$C$629,C630,$D$4:$D$629,D630,$E$4:$E$629,E630,$B$4:$B$629,"AJUSTE-")),0)</f>
        <v>0</v>
      </c>
      <c r="L630" s="13">
        <f t="shared" si="13"/>
        <v>0</v>
      </c>
      <c r="M630" s="8"/>
      <c r="N630" s="14"/>
      <c r="O630" s="14"/>
      <c r="P630" s="14"/>
      <c r="Q630" s="15"/>
      <c r="R630" s="16" t="str">
        <f t="shared" si="14"/>
        <v/>
      </c>
    </row>
    <row r="631" ht="15.75" customHeight="1">
      <c r="A631" s="7"/>
      <c r="B631" s="8"/>
      <c r="C631" s="8"/>
      <c r="D631" s="8"/>
      <c r="E631" s="8"/>
      <c r="F631" s="9"/>
      <c r="G631" s="10">
        <f>IFERROR(F631*VLOOKUP(D631,TELAS!$A$4:$C$32,3,FALSE()),0)</f>
        <v>0</v>
      </c>
      <c r="H631" s="11" t="str">
        <f>IFERROR(VLOOKUP(E631,COLORES!$A$4:$B$102,2,FALSE()),"")</f>
        <v/>
      </c>
      <c r="I631" s="12">
        <f>IFERROR(IF(H631="OSCURO",VLOOKUP(D631,PRECIOS!$A$4:$F$32,2,FALSE()),IF(H631="CLARO",VLOOKUP(D631,PRECIOS!$A$4:$F$32,3,FALSE()),IF(H631="MELANGE",VLOOKUP(D631,PRECIOS!$A$4:$F$32,4,FALSE()),IF(H631="PPT",VLOOKUP(D631,PRECIOS!$A$4:$F$32,5,FALSE()),0)))),0)</f>
        <v>0</v>
      </c>
      <c r="J631" s="12">
        <f t="shared" si="12"/>
        <v>0</v>
      </c>
      <c r="K631" s="13">
        <f>IFERROR(IF(C631="",0,SUMIFS($F$4:$F$630,$C$4:$C$630,C631,$D$4:$D$630,D631,$E$4:$E$630,E631,$B$4:$B$630,"INGRESO")+SUMIFS($F$4:$F$630,$C$4:$C$630,C631,$D$4:$D$630,D631,$E$4:$E$630,E631,$B$4:$B$630,"DE REPROCESO")+SUMIFS($F$4:$F$630,$C$4:$C$630,C631,$D$4:$D$630,D631,$E$4:$E$630,E631,$B$4:$B$630,"AJUSTE+")-SUMIFS($F$4:$F$630,$C$4:$C$630,C631,$D$4:$D$630,D631,$E$4:$E$630,E631,$B$4:$B$630,"A CORTE")-SUMIFS($F$4:$F$630,$C$4:$C$630,C631,$D$4:$D$630,D631,$E$4:$E$630,E631,$B$4:$B$630,"A REPROCESO")-SUMIFS($F$4:$F$630,$C$4:$C$630,C631,$D$4:$D$630,D631,$E$4:$E$630,E631,$B$4:$B$630,"MUESTRA")-SUMIFS($F$4:$F$630,$C$4:$C$630,C631,$D$4:$D$630,D631,$E$4:$E$630,E631,$B$4:$B$630,"AJUSTE-")),0)</f>
        <v>0</v>
      </c>
      <c r="L631" s="13">
        <f t="shared" si="13"/>
        <v>0</v>
      </c>
      <c r="M631" s="8"/>
      <c r="N631" s="14"/>
      <c r="O631" s="14"/>
      <c r="P631" s="14"/>
      <c r="Q631" s="15"/>
      <c r="R631" s="16" t="str">
        <f t="shared" si="14"/>
        <v/>
      </c>
    </row>
    <row r="632" ht="15.75" customHeight="1">
      <c r="A632" s="7"/>
      <c r="B632" s="8"/>
      <c r="C632" s="8"/>
      <c r="D632" s="8"/>
      <c r="E632" s="8"/>
      <c r="F632" s="9"/>
      <c r="G632" s="10">
        <f>IFERROR(F632*VLOOKUP(D632,TELAS!$A$4:$C$32,3,FALSE()),0)</f>
        <v>0</v>
      </c>
      <c r="H632" s="11" t="str">
        <f>IFERROR(VLOOKUP(E632,COLORES!$A$4:$B$102,2,FALSE()),"")</f>
        <v/>
      </c>
      <c r="I632" s="12">
        <f>IFERROR(IF(H632="OSCURO",VLOOKUP(D632,PRECIOS!$A$4:$F$32,2,FALSE()),IF(H632="CLARO",VLOOKUP(D632,PRECIOS!$A$4:$F$32,3,FALSE()),IF(H632="MELANGE",VLOOKUP(D632,PRECIOS!$A$4:$F$32,4,FALSE()),IF(H632="PPT",VLOOKUP(D632,PRECIOS!$A$4:$F$32,5,FALSE()),0)))),0)</f>
        <v>0</v>
      </c>
      <c r="J632" s="12">
        <f t="shared" si="12"/>
        <v>0</v>
      </c>
      <c r="K632" s="13">
        <f>IFERROR(IF(C632="",0,SUMIFS($F$4:$F$631,$C$4:$C$631,C632,$D$4:$D$631,D632,$E$4:$E$631,E632,$B$4:$B$631,"INGRESO")+SUMIFS($F$4:$F$631,$C$4:$C$631,C632,$D$4:$D$631,D632,$E$4:$E$631,E632,$B$4:$B$631,"DE REPROCESO")+SUMIFS($F$4:$F$631,$C$4:$C$631,C632,$D$4:$D$631,D632,$E$4:$E$631,E632,$B$4:$B$631,"AJUSTE+")-SUMIFS($F$4:$F$631,$C$4:$C$631,C632,$D$4:$D$631,D632,$E$4:$E$631,E632,$B$4:$B$631,"A CORTE")-SUMIFS($F$4:$F$631,$C$4:$C$631,C632,$D$4:$D$631,D632,$E$4:$E$631,E632,$B$4:$B$631,"A REPROCESO")-SUMIFS($F$4:$F$631,$C$4:$C$631,C632,$D$4:$D$631,D632,$E$4:$E$631,E632,$B$4:$B$631,"MUESTRA")-SUMIFS($F$4:$F$631,$C$4:$C$631,C632,$D$4:$D$631,D632,$E$4:$E$631,E632,$B$4:$B$631,"AJUSTE-")),0)</f>
        <v>0</v>
      </c>
      <c r="L632" s="13">
        <f t="shared" si="13"/>
        <v>0</v>
      </c>
      <c r="M632" s="8"/>
      <c r="N632" s="14"/>
      <c r="O632" s="14"/>
      <c r="P632" s="14"/>
      <c r="Q632" s="15"/>
      <c r="R632" s="16" t="str">
        <f t="shared" si="14"/>
        <v/>
      </c>
    </row>
    <row r="633" ht="15.75" customHeight="1">
      <c r="A633" s="7"/>
      <c r="B633" s="8"/>
      <c r="C633" s="8"/>
      <c r="D633" s="8"/>
      <c r="E633" s="8"/>
      <c r="F633" s="9"/>
      <c r="G633" s="10">
        <f>IFERROR(F633*VLOOKUP(D633,TELAS!$A$4:$C$32,3,FALSE()),0)</f>
        <v>0</v>
      </c>
      <c r="H633" s="11" t="str">
        <f>IFERROR(VLOOKUP(E633,COLORES!$A$4:$B$102,2,FALSE()),"")</f>
        <v/>
      </c>
      <c r="I633" s="12">
        <f>IFERROR(IF(H633="OSCURO",VLOOKUP(D633,PRECIOS!$A$4:$F$32,2,FALSE()),IF(H633="CLARO",VLOOKUP(D633,PRECIOS!$A$4:$F$32,3,FALSE()),IF(H633="MELANGE",VLOOKUP(D633,PRECIOS!$A$4:$F$32,4,FALSE()),IF(H633="PPT",VLOOKUP(D633,PRECIOS!$A$4:$F$32,5,FALSE()),0)))),0)</f>
        <v>0</v>
      </c>
      <c r="J633" s="12">
        <f t="shared" si="12"/>
        <v>0</v>
      </c>
      <c r="K633" s="13">
        <f>IFERROR(IF(C633="",0,SUMIFS($F$4:$F$632,$C$4:$C$632,C633,$D$4:$D$632,D633,$E$4:$E$632,E633,$B$4:$B$632,"INGRESO")+SUMIFS($F$4:$F$632,$C$4:$C$632,C633,$D$4:$D$632,D633,$E$4:$E$632,E633,$B$4:$B$632,"DE REPROCESO")+SUMIFS($F$4:$F$632,$C$4:$C$632,C633,$D$4:$D$632,D633,$E$4:$E$632,E633,$B$4:$B$632,"AJUSTE+")-SUMIFS($F$4:$F$632,$C$4:$C$632,C633,$D$4:$D$632,D633,$E$4:$E$632,E633,$B$4:$B$632,"A CORTE")-SUMIFS($F$4:$F$632,$C$4:$C$632,C633,$D$4:$D$632,D633,$E$4:$E$632,E633,$B$4:$B$632,"A REPROCESO")-SUMIFS($F$4:$F$632,$C$4:$C$632,C633,$D$4:$D$632,D633,$E$4:$E$632,E633,$B$4:$B$632,"MUESTRA")-SUMIFS($F$4:$F$632,$C$4:$C$632,C633,$D$4:$D$632,D633,$E$4:$E$632,E633,$B$4:$B$632,"AJUSTE-")),0)</f>
        <v>0</v>
      </c>
      <c r="L633" s="13">
        <f t="shared" si="13"/>
        <v>0</v>
      </c>
      <c r="M633" s="8"/>
      <c r="N633" s="14"/>
      <c r="O633" s="14"/>
      <c r="P633" s="14"/>
      <c r="Q633" s="15"/>
      <c r="R633" s="16" t="str">
        <f t="shared" si="14"/>
        <v/>
      </c>
    </row>
    <row r="634" ht="15.75" customHeight="1">
      <c r="A634" s="7"/>
      <c r="B634" s="8"/>
      <c r="C634" s="8"/>
      <c r="D634" s="8"/>
      <c r="E634" s="8"/>
      <c r="F634" s="9"/>
      <c r="G634" s="10">
        <f>IFERROR(F634*VLOOKUP(D634,TELAS!$A$4:$C$32,3,FALSE()),0)</f>
        <v>0</v>
      </c>
      <c r="H634" s="11" t="str">
        <f>IFERROR(VLOOKUP(E634,COLORES!$A$4:$B$102,2,FALSE()),"")</f>
        <v/>
      </c>
      <c r="I634" s="12">
        <f>IFERROR(IF(H634="OSCURO",VLOOKUP(D634,PRECIOS!$A$4:$F$32,2,FALSE()),IF(H634="CLARO",VLOOKUP(D634,PRECIOS!$A$4:$F$32,3,FALSE()),IF(H634="MELANGE",VLOOKUP(D634,PRECIOS!$A$4:$F$32,4,FALSE()),IF(H634="PPT",VLOOKUP(D634,PRECIOS!$A$4:$F$32,5,FALSE()),0)))),0)</f>
        <v>0</v>
      </c>
      <c r="J634" s="12">
        <f t="shared" si="12"/>
        <v>0</v>
      </c>
      <c r="K634" s="13">
        <f>IFERROR(IF(C634="",0,SUMIFS($F$4:$F$633,$C$4:$C$633,C634,$D$4:$D$633,D634,$E$4:$E$633,E634,$B$4:$B$633,"INGRESO")+SUMIFS($F$4:$F$633,$C$4:$C$633,C634,$D$4:$D$633,D634,$E$4:$E$633,E634,$B$4:$B$633,"DE REPROCESO")+SUMIFS($F$4:$F$633,$C$4:$C$633,C634,$D$4:$D$633,D634,$E$4:$E$633,E634,$B$4:$B$633,"AJUSTE+")-SUMIFS($F$4:$F$633,$C$4:$C$633,C634,$D$4:$D$633,D634,$E$4:$E$633,E634,$B$4:$B$633,"A CORTE")-SUMIFS($F$4:$F$633,$C$4:$C$633,C634,$D$4:$D$633,D634,$E$4:$E$633,E634,$B$4:$B$633,"A REPROCESO")-SUMIFS($F$4:$F$633,$C$4:$C$633,C634,$D$4:$D$633,D634,$E$4:$E$633,E634,$B$4:$B$633,"MUESTRA")-SUMIFS($F$4:$F$633,$C$4:$C$633,C634,$D$4:$D$633,D634,$E$4:$E$633,E634,$B$4:$B$633,"AJUSTE-")),0)</f>
        <v>0</v>
      </c>
      <c r="L634" s="13">
        <f t="shared" si="13"/>
        <v>0</v>
      </c>
      <c r="M634" s="8"/>
      <c r="N634" s="14"/>
      <c r="O634" s="14"/>
      <c r="P634" s="14"/>
      <c r="Q634" s="15"/>
      <c r="R634" s="16" t="str">
        <f t="shared" si="14"/>
        <v/>
      </c>
    </row>
    <row r="635" ht="15.75" customHeight="1">
      <c r="A635" s="7"/>
      <c r="B635" s="8"/>
      <c r="C635" s="8"/>
      <c r="D635" s="8"/>
      <c r="E635" s="8"/>
      <c r="F635" s="9"/>
      <c r="G635" s="10">
        <f>IFERROR(F635*VLOOKUP(D635,TELAS!$A$4:$C$32,3,FALSE()),0)</f>
        <v>0</v>
      </c>
      <c r="H635" s="11" t="str">
        <f>IFERROR(VLOOKUP(E635,COLORES!$A$4:$B$102,2,FALSE()),"")</f>
        <v/>
      </c>
      <c r="I635" s="12">
        <f>IFERROR(IF(H635="OSCURO",VLOOKUP(D635,PRECIOS!$A$4:$F$32,2,FALSE()),IF(H635="CLARO",VLOOKUP(D635,PRECIOS!$A$4:$F$32,3,FALSE()),IF(H635="MELANGE",VLOOKUP(D635,PRECIOS!$A$4:$F$32,4,FALSE()),IF(H635="PPT",VLOOKUP(D635,PRECIOS!$A$4:$F$32,5,FALSE()),0)))),0)</f>
        <v>0</v>
      </c>
      <c r="J635" s="12">
        <f t="shared" si="12"/>
        <v>0</v>
      </c>
      <c r="K635" s="13">
        <f>IFERROR(IF(C635="",0,SUMIFS($F$4:$F$634,$C$4:$C$634,C635,$D$4:$D$634,D635,$E$4:$E$634,E635,$B$4:$B$634,"INGRESO")+SUMIFS($F$4:$F$634,$C$4:$C$634,C635,$D$4:$D$634,D635,$E$4:$E$634,E635,$B$4:$B$634,"DE REPROCESO")+SUMIFS($F$4:$F$634,$C$4:$C$634,C635,$D$4:$D$634,D635,$E$4:$E$634,E635,$B$4:$B$634,"AJUSTE+")-SUMIFS($F$4:$F$634,$C$4:$C$634,C635,$D$4:$D$634,D635,$E$4:$E$634,E635,$B$4:$B$634,"A CORTE")-SUMIFS($F$4:$F$634,$C$4:$C$634,C635,$D$4:$D$634,D635,$E$4:$E$634,E635,$B$4:$B$634,"A REPROCESO")-SUMIFS($F$4:$F$634,$C$4:$C$634,C635,$D$4:$D$634,D635,$E$4:$E$634,E635,$B$4:$B$634,"MUESTRA")-SUMIFS($F$4:$F$634,$C$4:$C$634,C635,$D$4:$D$634,D635,$E$4:$E$634,E635,$B$4:$B$634,"AJUSTE-")),0)</f>
        <v>0</v>
      </c>
      <c r="L635" s="13">
        <f t="shared" si="13"/>
        <v>0</v>
      </c>
      <c r="M635" s="8"/>
      <c r="N635" s="14"/>
      <c r="O635" s="14"/>
      <c r="P635" s="14"/>
      <c r="Q635" s="15"/>
      <c r="R635" s="16" t="str">
        <f t="shared" si="14"/>
        <v/>
      </c>
    </row>
    <row r="636" ht="15.75" customHeight="1">
      <c r="A636" s="7"/>
      <c r="B636" s="8"/>
      <c r="C636" s="8"/>
      <c r="D636" s="8"/>
      <c r="E636" s="8"/>
      <c r="F636" s="9"/>
      <c r="G636" s="10">
        <f>IFERROR(F636*VLOOKUP(D636,TELAS!$A$4:$C$32,3,FALSE()),0)</f>
        <v>0</v>
      </c>
      <c r="H636" s="11" t="str">
        <f>IFERROR(VLOOKUP(E636,COLORES!$A$4:$B$102,2,FALSE()),"")</f>
        <v/>
      </c>
      <c r="I636" s="12">
        <f>IFERROR(IF(H636="OSCURO",VLOOKUP(D636,PRECIOS!$A$4:$F$32,2,FALSE()),IF(H636="CLARO",VLOOKUP(D636,PRECIOS!$A$4:$F$32,3,FALSE()),IF(H636="MELANGE",VLOOKUP(D636,PRECIOS!$A$4:$F$32,4,FALSE()),IF(H636="PPT",VLOOKUP(D636,PRECIOS!$A$4:$F$32,5,FALSE()),0)))),0)</f>
        <v>0</v>
      </c>
      <c r="J636" s="12">
        <f t="shared" si="12"/>
        <v>0</v>
      </c>
      <c r="K636" s="13">
        <f>IFERROR(IF(C636="",0,SUMIFS($F$4:$F$635,$C$4:$C$635,C636,$D$4:$D$635,D636,$E$4:$E$635,E636,$B$4:$B$635,"INGRESO")+SUMIFS($F$4:$F$635,$C$4:$C$635,C636,$D$4:$D$635,D636,$E$4:$E$635,E636,$B$4:$B$635,"DE REPROCESO")+SUMIFS($F$4:$F$635,$C$4:$C$635,C636,$D$4:$D$635,D636,$E$4:$E$635,E636,$B$4:$B$635,"AJUSTE+")-SUMIFS($F$4:$F$635,$C$4:$C$635,C636,$D$4:$D$635,D636,$E$4:$E$635,E636,$B$4:$B$635,"A CORTE")-SUMIFS($F$4:$F$635,$C$4:$C$635,C636,$D$4:$D$635,D636,$E$4:$E$635,E636,$B$4:$B$635,"A REPROCESO")-SUMIFS($F$4:$F$635,$C$4:$C$635,C636,$D$4:$D$635,D636,$E$4:$E$635,E636,$B$4:$B$635,"MUESTRA")-SUMIFS($F$4:$F$635,$C$4:$C$635,C636,$D$4:$D$635,D636,$E$4:$E$635,E636,$B$4:$B$635,"AJUSTE-")),0)</f>
        <v>0</v>
      </c>
      <c r="L636" s="13">
        <f t="shared" si="13"/>
        <v>0</v>
      </c>
      <c r="M636" s="8"/>
      <c r="N636" s="14"/>
      <c r="O636" s="14"/>
      <c r="P636" s="14"/>
      <c r="Q636" s="15"/>
      <c r="R636" s="16" t="str">
        <f t="shared" si="14"/>
        <v/>
      </c>
    </row>
    <row r="637" ht="15.75" customHeight="1">
      <c r="A637" s="7"/>
      <c r="B637" s="8"/>
      <c r="C637" s="8"/>
      <c r="D637" s="8"/>
      <c r="E637" s="8"/>
      <c r="F637" s="9"/>
      <c r="G637" s="10">
        <f>IFERROR(F637*VLOOKUP(D637,TELAS!$A$4:$C$32,3,FALSE()),0)</f>
        <v>0</v>
      </c>
      <c r="H637" s="11" t="str">
        <f>IFERROR(VLOOKUP(E637,COLORES!$A$4:$B$102,2,FALSE()),"")</f>
        <v/>
      </c>
      <c r="I637" s="12">
        <f>IFERROR(IF(H637="OSCURO",VLOOKUP(D637,PRECIOS!$A$4:$F$32,2,FALSE()),IF(H637="CLARO",VLOOKUP(D637,PRECIOS!$A$4:$F$32,3,FALSE()),IF(H637="MELANGE",VLOOKUP(D637,PRECIOS!$A$4:$F$32,4,FALSE()),IF(H637="PPT",VLOOKUP(D637,PRECIOS!$A$4:$F$32,5,FALSE()),0)))),0)</f>
        <v>0</v>
      </c>
      <c r="J637" s="12">
        <f t="shared" si="12"/>
        <v>0</v>
      </c>
      <c r="K637" s="13">
        <f>IFERROR(IF(C637="",0,SUMIFS($F$4:$F$636,$C$4:$C$636,C637,$D$4:$D$636,D637,$E$4:$E$636,E637,$B$4:$B$636,"INGRESO")+SUMIFS($F$4:$F$636,$C$4:$C$636,C637,$D$4:$D$636,D637,$E$4:$E$636,E637,$B$4:$B$636,"DE REPROCESO")+SUMIFS($F$4:$F$636,$C$4:$C$636,C637,$D$4:$D$636,D637,$E$4:$E$636,E637,$B$4:$B$636,"AJUSTE+")-SUMIFS($F$4:$F$636,$C$4:$C$636,C637,$D$4:$D$636,D637,$E$4:$E$636,E637,$B$4:$B$636,"A CORTE")-SUMIFS($F$4:$F$636,$C$4:$C$636,C637,$D$4:$D$636,D637,$E$4:$E$636,E637,$B$4:$B$636,"A REPROCESO")-SUMIFS($F$4:$F$636,$C$4:$C$636,C637,$D$4:$D$636,D637,$E$4:$E$636,E637,$B$4:$B$636,"MUESTRA")-SUMIFS($F$4:$F$636,$C$4:$C$636,C637,$D$4:$D$636,D637,$E$4:$E$636,E637,$B$4:$B$636,"AJUSTE-")),0)</f>
        <v>0</v>
      </c>
      <c r="L637" s="13">
        <f t="shared" si="13"/>
        <v>0</v>
      </c>
      <c r="M637" s="8"/>
      <c r="N637" s="14"/>
      <c r="O637" s="14"/>
      <c r="P637" s="14"/>
      <c r="Q637" s="15"/>
      <c r="R637" s="16" t="str">
        <f t="shared" si="14"/>
        <v/>
      </c>
    </row>
    <row r="638" ht="15.75" customHeight="1">
      <c r="A638" s="7"/>
      <c r="B638" s="8"/>
      <c r="C638" s="8"/>
      <c r="D638" s="8"/>
      <c r="E638" s="8"/>
      <c r="F638" s="9"/>
      <c r="G638" s="10">
        <f>IFERROR(F638*VLOOKUP(D638,TELAS!$A$4:$C$32,3,FALSE()),0)</f>
        <v>0</v>
      </c>
      <c r="H638" s="11" t="str">
        <f>IFERROR(VLOOKUP(E638,COLORES!$A$4:$B$102,2,FALSE()),"")</f>
        <v/>
      </c>
      <c r="I638" s="12">
        <f>IFERROR(IF(H638="OSCURO",VLOOKUP(D638,PRECIOS!$A$4:$F$32,2,FALSE()),IF(H638="CLARO",VLOOKUP(D638,PRECIOS!$A$4:$F$32,3,FALSE()),IF(H638="MELANGE",VLOOKUP(D638,PRECIOS!$A$4:$F$32,4,FALSE()),IF(H638="PPT",VLOOKUP(D638,PRECIOS!$A$4:$F$32,5,FALSE()),0)))),0)</f>
        <v>0</v>
      </c>
      <c r="J638" s="12">
        <f t="shared" si="12"/>
        <v>0</v>
      </c>
      <c r="K638" s="13">
        <f>IFERROR(IF(C638="",0,SUMIFS($F$4:$F$637,$C$4:$C$637,C638,$D$4:$D$637,D638,$E$4:$E$637,E638,$B$4:$B$637,"INGRESO")+SUMIFS($F$4:$F$637,$C$4:$C$637,C638,$D$4:$D$637,D638,$E$4:$E$637,E638,$B$4:$B$637,"DE REPROCESO")+SUMIFS($F$4:$F$637,$C$4:$C$637,C638,$D$4:$D$637,D638,$E$4:$E$637,E638,$B$4:$B$637,"AJUSTE+")-SUMIFS($F$4:$F$637,$C$4:$C$637,C638,$D$4:$D$637,D638,$E$4:$E$637,E638,$B$4:$B$637,"A CORTE")-SUMIFS($F$4:$F$637,$C$4:$C$637,C638,$D$4:$D$637,D638,$E$4:$E$637,E638,$B$4:$B$637,"A REPROCESO")-SUMIFS($F$4:$F$637,$C$4:$C$637,C638,$D$4:$D$637,D638,$E$4:$E$637,E638,$B$4:$B$637,"MUESTRA")-SUMIFS($F$4:$F$637,$C$4:$C$637,C638,$D$4:$D$637,D638,$E$4:$E$637,E638,$B$4:$B$637,"AJUSTE-")),0)</f>
        <v>0</v>
      </c>
      <c r="L638" s="13">
        <f t="shared" si="13"/>
        <v>0</v>
      </c>
      <c r="M638" s="8"/>
      <c r="N638" s="14"/>
      <c r="O638" s="14"/>
      <c r="P638" s="14"/>
      <c r="Q638" s="15"/>
      <c r="R638" s="16" t="str">
        <f t="shared" si="14"/>
        <v/>
      </c>
    </row>
    <row r="639" ht="15.75" customHeight="1">
      <c r="A639" s="7"/>
      <c r="B639" s="8"/>
      <c r="C639" s="8"/>
      <c r="D639" s="8"/>
      <c r="E639" s="8"/>
      <c r="F639" s="9"/>
      <c r="G639" s="10">
        <f>IFERROR(F639*VLOOKUP(D639,TELAS!$A$4:$C$32,3,FALSE()),0)</f>
        <v>0</v>
      </c>
      <c r="H639" s="11" t="str">
        <f>IFERROR(VLOOKUP(E639,COLORES!$A$4:$B$102,2,FALSE()),"")</f>
        <v/>
      </c>
      <c r="I639" s="12">
        <f>IFERROR(IF(H639="OSCURO",VLOOKUP(D639,PRECIOS!$A$4:$F$32,2,FALSE()),IF(H639="CLARO",VLOOKUP(D639,PRECIOS!$A$4:$F$32,3,FALSE()),IF(H639="MELANGE",VLOOKUP(D639,PRECIOS!$A$4:$F$32,4,FALSE()),IF(H639="PPT",VLOOKUP(D639,PRECIOS!$A$4:$F$32,5,FALSE()),0)))),0)</f>
        <v>0</v>
      </c>
      <c r="J639" s="12">
        <f t="shared" si="12"/>
        <v>0</v>
      </c>
      <c r="K639" s="13">
        <f>IFERROR(IF(C639="",0,SUMIFS($F$4:$F$638,$C$4:$C$638,C639,$D$4:$D$638,D639,$E$4:$E$638,E639,$B$4:$B$638,"INGRESO")+SUMIFS($F$4:$F$638,$C$4:$C$638,C639,$D$4:$D$638,D639,$E$4:$E$638,E639,$B$4:$B$638,"DE REPROCESO")+SUMIFS($F$4:$F$638,$C$4:$C$638,C639,$D$4:$D$638,D639,$E$4:$E$638,E639,$B$4:$B$638,"AJUSTE+")-SUMIFS($F$4:$F$638,$C$4:$C$638,C639,$D$4:$D$638,D639,$E$4:$E$638,E639,$B$4:$B$638,"A CORTE")-SUMIFS($F$4:$F$638,$C$4:$C$638,C639,$D$4:$D$638,D639,$E$4:$E$638,E639,$B$4:$B$638,"A REPROCESO")-SUMIFS($F$4:$F$638,$C$4:$C$638,C639,$D$4:$D$638,D639,$E$4:$E$638,E639,$B$4:$B$638,"MUESTRA")-SUMIFS($F$4:$F$638,$C$4:$C$638,C639,$D$4:$D$638,D639,$E$4:$E$638,E639,$B$4:$B$638,"AJUSTE-")),0)</f>
        <v>0</v>
      </c>
      <c r="L639" s="13">
        <f t="shared" si="13"/>
        <v>0</v>
      </c>
      <c r="M639" s="8"/>
      <c r="N639" s="14"/>
      <c r="O639" s="14"/>
      <c r="P639" s="14"/>
      <c r="Q639" s="15"/>
      <c r="R639" s="16" t="str">
        <f t="shared" si="14"/>
        <v/>
      </c>
    </row>
    <row r="640" ht="15.75" customHeight="1">
      <c r="A640" s="7"/>
      <c r="B640" s="8"/>
      <c r="C640" s="8"/>
      <c r="D640" s="8"/>
      <c r="E640" s="8"/>
      <c r="F640" s="9"/>
      <c r="G640" s="10">
        <f>IFERROR(F640*VLOOKUP(D640,TELAS!$A$4:$C$32,3,FALSE()),0)</f>
        <v>0</v>
      </c>
      <c r="H640" s="11" t="str">
        <f>IFERROR(VLOOKUP(E640,COLORES!$A$4:$B$102,2,FALSE()),"")</f>
        <v/>
      </c>
      <c r="I640" s="12">
        <f>IFERROR(IF(H640="OSCURO",VLOOKUP(D640,PRECIOS!$A$4:$F$32,2,FALSE()),IF(H640="CLARO",VLOOKUP(D640,PRECIOS!$A$4:$F$32,3,FALSE()),IF(H640="MELANGE",VLOOKUP(D640,PRECIOS!$A$4:$F$32,4,FALSE()),IF(H640="PPT",VLOOKUP(D640,PRECIOS!$A$4:$F$32,5,FALSE()),0)))),0)</f>
        <v>0</v>
      </c>
      <c r="J640" s="12">
        <f t="shared" si="12"/>
        <v>0</v>
      </c>
      <c r="K640" s="13">
        <f>IFERROR(IF(C640="",0,SUMIFS($F$4:$F$639,$C$4:$C$639,C640,$D$4:$D$639,D640,$E$4:$E$639,E640,$B$4:$B$639,"INGRESO")+SUMIFS($F$4:$F$639,$C$4:$C$639,C640,$D$4:$D$639,D640,$E$4:$E$639,E640,$B$4:$B$639,"DE REPROCESO")+SUMIFS($F$4:$F$639,$C$4:$C$639,C640,$D$4:$D$639,D640,$E$4:$E$639,E640,$B$4:$B$639,"AJUSTE+")-SUMIFS($F$4:$F$639,$C$4:$C$639,C640,$D$4:$D$639,D640,$E$4:$E$639,E640,$B$4:$B$639,"A CORTE")-SUMIFS($F$4:$F$639,$C$4:$C$639,C640,$D$4:$D$639,D640,$E$4:$E$639,E640,$B$4:$B$639,"A REPROCESO")-SUMIFS($F$4:$F$639,$C$4:$C$639,C640,$D$4:$D$639,D640,$E$4:$E$639,E640,$B$4:$B$639,"MUESTRA")-SUMIFS($F$4:$F$639,$C$4:$C$639,C640,$D$4:$D$639,D640,$E$4:$E$639,E640,$B$4:$B$639,"AJUSTE-")),0)</f>
        <v>0</v>
      </c>
      <c r="L640" s="13">
        <f t="shared" si="13"/>
        <v>0</v>
      </c>
      <c r="M640" s="8"/>
      <c r="N640" s="14"/>
      <c r="O640" s="14"/>
      <c r="P640" s="14"/>
      <c r="Q640" s="15"/>
      <c r="R640" s="16" t="str">
        <f t="shared" si="14"/>
        <v/>
      </c>
    </row>
    <row r="641" ht="15.75" customHeight="1">
      <c r="A641" s="7"/>
      <c r="B641" s="8"/>
      <c r="C641" s="8"/>
      <c r="D641" s="8"/>
      <c r="E641" s="8"/>
      <c r="F641" s="9"/>
      <c r="G641" s="10">
        <f>IFERROR(F641*VLOOKUP(D641,TELAS!$A$4:$C$32,3,FALSE()),0)</f>
        <v>0</v>
      </c>
      <c r="H641" s="11" t="str">
        <f>IFERROR(VLOOKUP(E641,COLORES!$A$4:$B$102,2,FALSE()),"")</f>
        <v/>
      </c>
      <c r="I641" s="12">
        <f>IFERROR(IF(H641="OSCURO",VLOOKUP(D641,PRECIOS!$A$4:$F$32,2,FALSE()),IF(H641="CLARO",VLOOKUP(D641,PRECIOS!$A$4:$F$32,3,FALSE()),IF(H641="MELANGE",VLOOKUP(D641,PRECIOS!$A$4:$F$32,4,FALSE()),IF(H641="PPT",VLOOKUP(D641,PRECIOS!$A$4:$F$32,5,FALSE()),0)))),0)</f>
        <v>0</v>
      </c>
      <c r="J641" s="12">
        <f t="shared" si="12"/>
        <v>0</v>
      </c>
      <c r="K641" s="13">
        <f>IFERROR(IF(C641="",0,SUMIFS($F$4:$F$640,$C$4:$C$640,C641,$D$4:$D$640,D641,$E$4:$E$640,E641,$B$4:$B$640,"INGRESO")+SUMIFS($F$4:$F$640,$C$4:$C$640,C641,$D$4:$D$640,D641,$E$4:$E$640,E641,$B$4:$B$640,"DE REPROCESO")+SUMIFS($F$4:$F$640,$C$4:$C$640,C641,$D$4:$D$640,D641,$E$4:$E$640,E641,$B$4:$B$640,"AJUSTE+")-SUMIFS($F$4:$F$640,$C$4:$C$640,C641,$D$4:$D$640,D641,$E$4:$E$640,E641,$B$4:$B$640,"A CORTE")-SUMIFS($F$4:$F$640,$C$4:$C$640,C641,$D$4:$D$640,D641,$E$4:$E$640,E641,$B$4:$B$640,"A REPROCESO")-SUMIFS($F$4:$F$640,$C$4:$C$640,C641,$D$4:$D$640,D641,$E$4:$E$640,E641,$B$4:$B$640,"MUESTRA")-SUMIFS($F$4:$F$640,$C$4:$C$640,C641,$D$4:$D$640,D641,$E$4:$E$640,E641,$B$4:$B$640,"AJUSTE-")),0)</f>
        <v>0</v>
      </c>
      <c r="L641" s="13">
        <f t="shared" si="13"/>
        <v>0</v>
      </c>
      <c r="M641" s="8"/>
      <c r="N641" s="14"/>
      <c r="O641" s="14"/>
      <c r="P641" s="14"/>
      <c r="Q641" s="15"/>
      <c r="R641" s="16" t="str">
        <f t="shared" si="14"/>
        <v/>
      </c>
    </row>
    <row r="642" ht="15.75" customHeight="1">
      <c r="A642" s="7"/>
      <c r="B642" s="8"/>
      <c r="C642" s="8"/>
      <c r="D642" s="8"/>
      <c r="E642" s="8"/>
      <c r="F642" s="9"/>
      <c r="G642" s="10">
        <f>IFERROR(F642*VLOOKUP(D642,TELAS!$A$4:$C$32,3,FALSE()),0)</f>
        <v>0</v>
      </c>
      <c r="H642" s="11" t="str">
        <f>IFERROR(VLOOKUP(E642,COLORES!$A$4:$B$102,2,FALSE()),"")</f>
        <v/>
      </c>
      <c r="I642" s="12">
        <f>IFERROR(IF(H642="OSCURO",VLOOKUP(D642,PRECIOS!$A$4:$F$32,2,FALSE()),IF(H642="CLARO",VLOOKUP(D642,PRECIOS!$A$4:$F$32,3,FALSE()),IF(H642="MELANGE",VLOOKUP(D642,PRECIOS!$A$4:$F$32,4,FALSE()),IF(H642="PPT",VLOOKUP(D642,PRECIOS!$A$4:$F$32,5,FALSE()),0)))),0)</f>
        <v>0</v>
      </c>
      <c r="J642" s="12">
        <f t="shared" si="12"/>
        <v>0</v>
      </c>
      <c r="K642" s="13">
        <f>IFERROR(IF(C642="",0,SUMIFS($F$4:$F$641,$C$4:$C$641,C642,$D$4:$D$641,D642,$E$4:$E$641,E642,$B$4:$B$641,"INGRESO")+SUMIFS($F$4:$F$641,$C$4:$C$641,C642,$D$4:$D$641,D642,$E$4:$E$641,E642,$B$4:$B$641,"DE REPROCESO")+SUMIFS($F$4:$F$641,$C$4:$C$641,C642,$D$4:$D$641,D642,$E$4:$E$641,E642,$B$4:$B$641,"AJUSTE+")-SUMIFS($F$4:$F$641,$C$4:$C$641,C642,$D$4:$D$641,D642,$E$4:$E$641,E642,$B$4:$B$641,"A CORTE")-SUMIFS($F$4:$F$641,$C$4:$C$641,C642,$D$4:$D$641,D642,$E$4:$E$641,E642,$B$4:$B$641,"A REPROCESO")-SUMIFS($F$4:$F$641,$C$4:$C$641,C642,$D$4:$D$641,D642,$E$4:$E$641,E642,$B$4:$B$641,"MUESTRA")-SUMIFS($F$4:$F$641,$C$4:$C$641,C642,$D$4:$D$641,D642,$E$4:$E$641,E642,$B$4:$B$641,"AJUSTE-")),0)</f>
        <v>0</v>
      </c>
      <c r="L642" s="13">
        <f t="shared" si="13"/>
        <v>0</v>
      </c>
      <c r="M642" s="8"/>
      <c r="N642" s="14"/>
      <c r="O642" s="14"/>
      <c r="P642" s="14"/>
      <c r="Q642" s="15"/>
      <c r="R642" s="16" t="str">
        <f t="shared" si="14"/>
        <v/>
      </c>
    </row>
    <row r="643" ht="15.75" customHeight="1">
      <c r="A643" s="7"/>
      <c r="B643" s="8"/>
      <c r="C643" s="8"/>
      <c r="D643" s="8"/>
      <c r="E643" s="8"/>
      <c r="F643" s="9"/>
      <c r="G643" s="10">
        <f>IFERROR(F643*VLOOKUP(D643,TELAS!$A$4:$C$32,3,FALSE()),0)</f>
        <v>0</v>
      </c>
      <c r="H643" s="11" t="str">
        <f>IFERROR(VLOOKUP(E643,COLORES!$A$4:$B$102,2,FALSE()),"")</f>
        <v/>
      </c>
      <c r="I643" s="12">
        <f>IFERROR(IF(H643="OSCURO",VLOOKUP(D643,PRECIOS!$A$4:$F$32,2,FALSE()),IF(H643="CLARO",VLOOKUP(D643,PRECIOS!$A$4:$F$32,3,FALSE()),IF(H643="MELANGE",VLOOKUP(D643,PRECIOS!$A$4:$F$32,4,FALSE()),IF(H643="PPT",VLOOKUP(D643,PRECIOS!$A$4:$F$32,5,FALSE()),0)))),0)</f>
        <v>0</v>
      </c>
      <c r="J643" s="12">
        <f t="shared" si="12"/>
        <v>0</v>
      </c>
      <c r="K643" s="13">
        <f>IFERROR(IF(C643="",0,SUMIFS($F$4:$F$642,$C$4:$C$642,C643,$D$4:$D$642,D643,$E$4:$E$642,E643,$B$4:$B$642,"INGRESO")+SUMIFS($F$4:$F$642,$C$4:$C$642,C643,$D$4:$D$642,D643,$E$4:$E$642,E643,$B$4:$B$642,"DE REPROCESO")+SUMIFS($F$4:$F$642,$C$4:$C$642,C643,$D$4:$D$642,D643,$E$4:$E$642,E643,$B$4:$B$642,"AJUSTE+")-SUMIFS($F$4:$F$642,$C$4:$C$642,C643,$D$4:$D$642,D643,$E$4:$E$642,E643,$B$4:$B$642,"A CORTE")-SUMIFS($F$4:$F$642,$C$4:$C$642,C643,$D$4:$D$642,D643,$E$4:$E$642,E643,$B$4:$B$642,"A REPROCESO")-SUMIFS($F$4:$F$642,$C$4:$C$642,C643,$D$4:$D$642,D643,$E$4:$E$642,E643,$B$4:$B$642,"MUESTRA")-SUMIFS($F$4:$F$642,$C$4:$C$642,C643,$D$4:$D$642,D643,$E$4:$E$642,E643,$B$4:$B$642,"AJUSTE-")),0)</f>
        <v>0</v>
      </c>
      <c r="L643" s="13">
        <f t="shared" si="13"/>
        <v>0</v>
      </c>
      <c r="M643" s="8"/>
      <c r="N643" s="14"/>
      <c r="O643" s="14"/>
      <c r="P643" s="14"/>
      <c r="Q643" s="15"/>
      <c r="R643" s="16" t="str">
        <f t="shared" si="14"/>
        <v/>
      </c>
    </row>
    <row r="644" ht="15.75" customHeight="1">
      <c r="A644" s="7"/>
      <c r="B644" s="8"/>
      <c r="C644" s="8"/>
      <c r="D644" s="8"/>
      <c r="E644" s="8"/>
      <c r="F644" s="9"/>
      <c r="G644" s="10">
        <f>IFERROR(F644*VLOOKUP(D644,TELAS!$A$4:$C$32,3,FALSE()),0)</f>
        <v>0</v>
      </c>
      <c r="H644" s="11" t="str">
        <f>IFERROR(VLOOKUP(E644,COLORES!$A$4:$B$102,2,FALSE()),"")</f>
        <v/>
      </c>
      <c r="I644" s="12">
        <f>IFERROR(IF(H644="OSCURO",VLOOKUP(D644,PRECIOS!$A$4:$F$32,2,FALSE()),IF(H644="CLARO",VLOOKUP(D644,PRECIOS!$A$4:$F$32,3,FALSE()),IF(H644="MELANGE",VLOOKUP(D644,PRECIOS!$A$4:$F$32,4,FALSE()),IF(H644="PPT",VLOOKUP(D644,PRECIOS!$A$4:$F$32,5,FALSE()),0)))),0)</f>
        <v>0</v>
      </c>
      <c r="J644" s="12">
        <f t="shared" si="12"/>
        <v>0</v>
      </c>
      <c r="K644" s="13">
        <f>IFERROR(IF(C644="",0,SUMIFS($F$4:$F$643,$C$4:$C$643,C644,$D$4:$D$643,D644,$E$4:$E$643,E644,$B$4:$B$643,"INGRESO")+SUMIFS($F$4:$F$643,$C$4:$C$643,C644,$D$4:$D$643,D644,$E$4:$E$643,E644,$B$4:$B$643,"DE REPROCESO")+SUMIFS($F$4:$F$643,$C$4:$C$643,C644,$D$4:$D$643,D644,$E$4:$E$643,E644,$B$4:$B$643,"AJUSTE+")-SUMIFS($F$4:$F$643,$C$4:$C$643,C644,$D$4:$D$643,D644,$E$4:$E$643,E644,$B$4:$B$643,"A CORTE")-SUMIFS($F$4:$F$643,$C$4:$C$643,C644,$D$4:$D$643,D644,$E$4:$E$643,E644,$B$4:$B$643,"A REPROCESO")-SUMIFS($F$4:$F$643,$C$4:$C$643,C644,$D$4:$D$643,D644,$E$4:$E$643,E644,$B$4:$B$643,"MUESTRA")-SUMIFS($F$4:$F$643,$C$4:$C$643,C644,$D$4:$D$643,D644,$E$4:$E$643,E644,$B$4:$B$643,"AJUSTE-")),0)</f>
        <v>0</v>
      </c>
      <c r="L644" s="13">
        <f t="shared" si="13"/>
        <v>0</v>
      </c>
      <c r="M644" s="8"/>
      <c r="N644" s="14"/>
      <c r="O644" s="14"/>
      <c r="P644" s="14"/>
      <c r="Q644" s="15"/>
      <c r="R644" s="16" t="str">
        <f t="shared" si="14"/>
        <v/>
      </c>
    </row>
    <row r="645" ht="15.75" customHeight="1">
      <c r="A645" s="7"/>
      <c r="B645" s="8"/>
      <c r="C645" s="8"/>
      <c r="D645" s="8"/>
      <c r="E645" s="8"/>
      <c r="F645" s="9"/>
      <c r="G645" s="10">
        <f>IFERROR(F645*VLOOKUP(D645,TELAS!$A$4:$C$32,3,FALSE()),0)</f>
        <v>0</v>
      </c>
      <c r="H645" s="11" t="str">
        <f>IFERROR(VLOOKUP(E645,COLORES!$A$4:$B$102,2,FALSE()),"")</f>
        <v/>
      </c>
      <c r="I645" s="12">
        <f>IFERROR(IF(H645="OSCURO",VLOOKUP(D645,PRECIOS!$A$4:$F$32,2,FALSE()),IF(H645="CLARO",VLOOKUP(D645,PRECIOS!$A$4:$F$32,3,FALSE()),IF(H645="MELANGE",VLOOKUP(D645,PRECIOS!$A$4:$F$32,4,FALSE()),IF(H645="PPT",VLOOKUP(D645,PRECIOS!$A$4:$F$32,5,FALSE()),0)))),0)</f>
        <v>0</v>
      </c>
      <c r="J645" s="12">
        <f t="shared" si="12"/>
        <v>0</v>
      </c>
      <c r="K645" s="13">
        <f>IFERROR(IF(C645="",0,SUMIFS($F$4:$F$644,$C$4:$C$644,C645,$D$4:$D$644,D645,$E$4:$E$644,E645,$B$4:$B$644,"INGRESO")+SUMIFS($F$4:$F$644,$C$4:$C$644,C645,$D$4:$D$644,D645,$E$4:$E$644,E645,$B$4:$B$644,"DE REPROCESO")+SUMIFS($F$4:$F$644,$C$4:$C$644,C645,$D$4:$D$644,D645,$E$4:$E$644,E645,$B$4:$B$644,"AJUSTE+")-SUMIFS($F$4:$F$644,$C$4:$C$644,C645,$D$4:$D$644,D645,$E$4:$E$644,E645,$B$4:$B$644,"A CORTE")-SUMIFS($F$4:$F$644,$C$4:$C$644,C645,$D$4:$D$644,D645,$E$4:$E$644,E645,$B$4:$B$644,"A REPROCESO")-SUMIFS($F$4:$F$644,$C$4:$C$644,C645,$D$4:$D$644,D645,$E$4:$E$644,E645,$B$4:$B$644,"MUESTRA")-SUMIFS($F$4:$F$644,$C$4:$C$644,C645,$D$4:$D$644,D645,$E$4:$E$644,E645,$B$4:$B$644,"AJUSTE-")),0)</f>
        <v>0</v>
      </c>
      <c r="L645" s="13">
        <f t="shared" si="13"/>
        <v>0</v>
      </c>
      <c r="M645" s="8"/>
      <c r="N645" s="14"/>
      <c r="O645" s="14"/>
      <c r="P645" s="14"/>
      <c r="Q645" s="15"/>
      <c r="R645" s="16" t="str">
        <f t="shared" si="14"/>
        <v/>
      </c>
    </row>
    <row r="646" ht="15.75" customHeight="1">
      <c r="A646" s="7"/>
      <c r="B646" s="8"/>
      <c r="C646" s="8"/>
      <c r="D646" s="8"/>
      <c r="E646" s="8"/>
      <c r="F646" s="9"/>
      <c r="G646" s="10">
        <f>IFERROR(F646*VLOOKUP(D646,TELAS!$A$4:$C$32,3,FALSE()),0)</f>
        <v>0</v>
      </c>
      <c r="H646" s="11" t="str">
        <f>IFERROR(VLOOKUP(E646,COLORES!$A$4:$B$102,2,FALSE()),"")</f>
        <v/>
      </c>
      <c r="I646" s="12">
        <f>IFERROR(IF(H646="OSCURO",VLOOKUP(D646,PRECIOS!$A$4:$F$32,2,FALSE()),IF(H646="CLARO",VLOOKUP(D646,PRECIOS!$A$4:$F$32,3,FALSE()),IF(H646="MELANGE",VLOOKUP(D646,PRECIOS!$A$4:$F$32,4,FALSE()),IF(H646="PPT",VLOOKUP(D646,PRECIOS!$A$4:$F$32,5,FALSE()),0)))),0)</f>
        <v>0</v>
      </c>
      <c r="J646" s="12">
        <f t="shared" si="12"/>
        <v>0</v>
      </c>
      <c r="K646" s="13">
        <f>IFERROR(IF(C646="",0,SUMIFS($F$4:$F$645,$C$4:$C$645,C646,$D$4:$D$645,D646,$E$4:$E$645,E646,$B$4:$B$645,"INGRESO")+SUMIFS($F$4:$F$645,$C$4:$C$645,C646,$D$4:$D$645,D646,$E$4:$E$645,E646,$B$4:$B$645,"DE REPROCESO")+SUMIFS($F$4:$F$645,$C$4:$C$645,C646,$D$4:$D$645,D646,$E$4:$E$645,E646,$B$4:$B$645,"AJUSTE+")-SUMIFS($F$4:$F$645,$C$4:$C$645,C646,$D$4:$D$645,D646,$E$4:$E$645,E646,$B$4:$B$645,"A CORTE")-SUMIFS($F$4:$F$645,$C$4:$C$645,C646,$D$4:$D$645,D646,$E$4:$E$645,E646,$B$4:$B$645,"A REPROCESO")-SUMIFS($F$4:$F$645,$C$4:$C$645,C646,$D$4:$D$645,D646,$E$4:$E$645,E646,$B$4:$B$645,"MUESTRA")-SUMIFS($F$4:$F$645,$C$4:$C$645,C646,$D$4:$D$645,D646,$E$4:$E$645,E646,$B$4:$B$645,"AJUSTE-")),0)</f>
        <v>0</v>
      </c>
      <c r="L646" s="13">
        <f t="shared" si="13"/>
        <v>0</v>
      </c>
      <c r="M646" s="8"/>
      <c r="N646" s="14"/>
      <c r="O646" s="14"/>
      <c r="P646" s="14"/>
      <c r="Q646" s="15"/>
      <c r="R646" s="16" t="str">
        <f t="shared" si="14"/>
        <v/>
      </c>
    </row>
    <row r="647" ht="15.75" customHeight="1">
      <c r="A647" s="7"/>
      <c r="B647" s="8"/>
      <c r="C647" s="8"/>
      <c r="D647" s="8"/>
      <c r="E647" s="8"/>
      <c r="F647" s="9"/>
      <c r="G647" s="10">
        <f>IFERROR(F647*VLOOKUP(D647,TELAS!$A$4:$C$32,3,FALSE()),0)</f>
        <v>0</v>
      </c>
      <c r="H647" s="11" t="str">
        <f>IFERROR(VLOOKUP(E647,COLORES!$A$4:$B$102,2,FALSE()),"")</f>
        <v/>
      </c>
      <c r="I647" s="12">
        <f>IFERROR(IF(H647="OSCURO",VLOOKUP(D647,PRECIOS!$A$4:$F$32,2,FALSE()),IF(H647="CLARO",VLOOKUP(D647,PRECIOS!$A$4:$F$32,3,FALSE()),IF(H647="MELANGE",VLOOKUP(D647,PRECIOS!$A$4:$F$32,4,FALSE()),IF(H647="PPT",VLOOKUP(D647,PRECIOS!$A$4:$F$32,5,FALSE()),0)))),0)</f>
        <v>0</v>
      </c>
      <c r="J647" s="12">
        <f t="shared" si="12"/>
        <v>0</v>
      </c>
      <c r="K647" s="13">
        <f>IFERROR(IF(C647="",0,SUMIFS($F$4:$F$646,$C$4:$C$646,C647,$D$4:$D$646,D647,$E$4:$E$646,E647,$B$4:$B$646,"INGRESO")+SUMIFS($F$4:$F$646,$C$4:$C$646,C647,$D$4:$D$646,D647,$E$4:$E$646,E647,$B$4:$B$646,"DE REPROCESO")+SUMIFS($F$4:$F$646,$C$4:$C$646,C647,$D$4:$D$646,D647,$E$4:$E$646,E647,$B$4:$B$646,"AJUSTE+")-SUMIFS($F$4:$F$646,$C$4:$C$646,C647,$D$4:$D$646,D647,$E$4:$E$646,E647,$B$4:$B$646,"A CORTE")-SUMIFS($F$4:$F$646,$C$4:$C$646,C647,$D$4:$D$646,D647,$E$4:$E$646,E647,$B$4:$B$646,"A REPROCESO")-SUMIFS($F$4:$F$646,$C$4:$C$646,C647,$D$4:$D$646,D647,$E$4:$E$646,E647,$B$4:$B$646,"MUESTRA")-SUMIFS($F$4:$F$646,$C$4:$C$646,C647,$D$4:$D$646,D647,$E$4:$E$646,E647,$B$4:$B$646,"AJUSTE-")),0)</f>
        <v>0</v>
      </c>
      <c r="L647" s="13">
        <f t="shared" si="13"/>
        <v>0</v>
      </c>
      <c r="M647" s="8"/>
      <c r="N647" s="14"/>
      <c r="O647" s="14"/>
      <c r="P647" s="14"/>
      <c r="Q647" s="15"/>
      <c r="R647" s="16" t="str">
        <f t="shared" si="14"/>
        <v/>
      </c>
    </row>
    <row r="648" ht="15.75" customHeight="1">
      <c r="A648" s="7"/>
      <c r="B648" s="8"/>
      <c r="C648" s="8"/>
      <c r="D648" s="8"/>
      <c r="E648" s="8"/>
      <c r="F648" s="9"/>
      <c r="G648" s="10">
        <f>IFERROR(F648*VLOOKUP(D648,TELAS!$A$4:$C$32,3,FALSE()),0)</f>
        <v>0</v>
      </c>
      <c r="H648" s="11" t="str">
        <f>IFERROR(VLOOKUP(E648,COLORES!$A$4:$B$102,2,FALSE()),"")</f>
        <v/>
      </c>
      <c r="I648" s="12">
        <f>IFERROR(IF(H648="OSCURO",VLOOKUP(D648,PRECIOS!$A$4:$F$32,2,FALSE()),IF(H648="CLARO",VLOOKUP(D648,PRECIOS!$A$4:$F$32,3,FALSE()),IF(H648="MELANGE",VLOOKUP(D648,PRECIOS!$A$4:$F$32,4,FALSE()),IF(H648="PPT",VLOOKUP(D648,PRECIOS!$A$4:$F$32,5,FALSE()),0)))),0)</f>
        <v>0</v>
      </c>
      <c r="J648" s="12">
        <f t="shared" si="12"/>
        <v>0</v>
      </c>
      <c r="K648" s="13">
        <f>IFERROR(IF(C648="",0,SUMIFS($F$4:$F$647,$C$4:$C$647,C648,$D$4:$D$647,D648,$E$4:$E$647,E648,$B$4:$B$647,"INGRESO")+SUMIFS($F$4:$F$647,$C$4:$C$647,C648,$D$4:$D$647,D648,$E$4:$E$647,E648,$B$4:$B$647,"DE REPROCESO")+SUMIFS($F$4:$F$647,$C$4:$C$647,C648,$D$4:$D$647,D648,$E$4:$E$647,E648,$B$4:$B$647,"AJUSTE+")-SUMIFS($F$4:$F$647,$C$4:$C$647,C648,$D$4:$D$647,D648,$E$4:$E$647,E648,$B$4:$B$647,"A CORTE")-SUMIFS($F$4:$F$647,$C$4:$C$647,C648,$D$4:$D$647,D648,$E$4:$E$647,E648,$B$4:$B$647,"A REPROCESO")-SUMIFS($F$4:$F$647,$C$4:$C$647,C648,$D$4:$D$647,D648,$E$4:$E$647,E648,$B$4:$B$647,"MUESTRA")-SUMIFS($F$4:$F$647,$C$4:$C$647,C648,$D$4:$D$647,D648,$E$4:$E$647,E648,$B$4:$B$647,"AJUSTE-")),0)</f>
        <v>0</v>
      </c>
      <c r="L648" s="13">
        <f t="shared" si="13"/>
        <v>0</v>
      </c>
      <c r="M648" s="8"/>
      <c r="N648" s="14"/>
      <c r="O648" s="14"/>
      <c r="P648" s="14"/>
      <c r="Q648" s="15"/>
      <c r="R648" s="16" t="str">
        <f t="shared" si="14"/>
        <v/>
      </c>
    </row>
    <row r="649" ht="15.75" customHeight="1">
      <c r="A649" s="7"/>
      <c r="B649" s="8"/>
      <c r="C649" s="8"/>
      <c r="D649" s="8"/>
      <c r="E649" s="8"/>
      <c r="F649" s="9"/>
      <c r="G649" s="10">
        <f>IFERROR(F649*VLOOKUP(D649,TELAS!$A$4:$C$32,3,FALSE()),0)</f>
        <v>0</v>
      </c>
      <c r="H649" s="11" t="str">
        <f>IFERROR(VLOOKUP(E649,COLORES!$A$4:$B$102,2,FALSE()),"")</f>
        <v/>
      </c>
      <c r="I649" s="12">
        <f>IFERROR(IF(H649="OSCURO",VLOOKUP(D649,PRECIOS!$A$4:$F$32,2,FALSE()),IF(H649="CLARO",VLOOKUP(D649,PRECIOS!$A$4:$F$32,3,FALSE()),IF(H649="MELANGE",VLOOKUP(D649,PRECIOS!$A$4:$F$32,4,FALSE()),IF(H649="PPT",VLOOKUP(D649,PRECIOS!$A$4:$F$32,5,FALSE()),0)))),0)</f>
        <v>0</v>
      </c>
      <c r="J649" s="12">
        <f t="shared" si="12"/>
        <v>0</v>
      </c>
      <c r="K649" s="13">
        <f>IFERROR(IF(C649="",0,SUMIFS($F$4:$F$648,$C$4:$C$648,C649,$D$4:$D$648,D649,$E$4:$E$648,E649,$B$4:$B$648,"INGRESO")+SUMIFS($F$4:$F$648,$C$4:$C$648,C649,$D$4:$D$648,D649,$E$4:$E$648,E649,$B$4:$B$648,"DE REPROCESO")+SUMIFS($F$4:$F$648,$C$4:$C$648,C649,$D$4:$D$648,D649,$E$4:$E$648,E649,$B$4:$B$648,"AJUSTE+")-SUMIFS($F$4:$F$648,$C$4:$C$648,C649,$D$4:$D$648,D649,$E$4:$E$648,E649,$B$4:$B$648,"A CORTE")-SUMIFS($F$4:$F$648,$C$4:$C$648,C649,$D$4:$D$648,D649,$E$4:$E$648,E649,$B$4:$B$648,"A REPROCESO")-SUMIFS($F$4:$F$648,$C$4:$C$648,C649,$D$4:$D$648,D649,$E$4:$E$648,E649,$B$4:$B$648,"MUESTRA")-SUMIFS($F$4:$F$648,$C$4:$C$648,C649,$D$4:$D$648,D649,$E$4:$E$648,E649,$B$4:$B$648,"AJUSTE-")),0)</f>
        <v>0</v>
      </c>
      <c r="L649" s="13">
        <f t="shared" si="13"/>
        <v>0</v>
      </c>
      <c r="M649" s="8"/>
      <c r="N649" s="14"/>
      <c r="O649" s="14"/>
      <c r="P649" s="14"/>
      <c r="Q649" s="15"/>
      <c r="R649" s="16" t="str">
        <f t="shared" si="14"/>
        <v/>
      </c>
    </row>
    <row r="650" ht="15.75" customHeight="1">
      <c r="A650" s="7"/>
      <c r="B650" s="8"/>
      <c r="C650" s="8"/>
      <c r="D650" s="8"/>
      <c r="E650" s="8"/>
      <c r="F650" s="9"/>
      <c r="G650" s="10">
        <f>IFERROR(F650*VLOOKUP(D650,TELAS!$A$4:$C$32,3,FALSE()),0)</f>
        <v>0</v>
      </c>
      <c r="H650" s="11" t="str">
        <f>IFERROR(VLOOKUP(E650,COLORES!$A$4:$B$102,2,FALSE()),"")</f>
        <v/>
      </c>
      <c r="I650" s="12">
        <f>IFERROR(IF(H650="OSCURO",VLOOKUP(D650,PRECIOS!$A$4:$F$32,2,FALSE()),IF(H650="CLARO",VLOOKUP(D650,PRECIOS!$A$4:$F$32,3,FALSE()),IF(H650="MELANGE",VLOOKUP(D650,PRECIOS!$A$4:$F$32,4,FALSE()),IF(H650="PPT",VLOOKUP(D650,PRECIOS!$A$4:$F$32,5,FALSE()),0)))),0)</f>
        <v>0</v>
      </c>
      <c r="J650" s="12">
        <f t="shared" si="12"/>
        <v>0</v>
      </c>
      <c r="K650" s="13">
        <f>IFERROR(IF(C650="",0,SUMIFS($F$4:$F$649,$C$4:$C$649,C650,$D$4:$D$649,D650,$E$4:$E$649,E650,$B$4:$B$649,"INGRESO")+SUMIFS($F$4:$F$649,$C$4:$C$649,C650,$D$4:$D$649,D650,$E$4:$E$649,E650,$B$4:$B$649,"DE REPROCESO")+SUMIFS($F$4:$F$649,$C$4:$C$649,C650,$D$4:$D$649,D650,$E$4:$E$649,E650,$B$4:$B$649,"AJUSTE+")-SUMIFS($F$4:$F$649,$C$4:$C$649,C650,$D$4:$D$649,D650,$E$4:$E$649,E650,$B$4:$B$649,"A CORTE")-SUMIFS($F$4:$F$649,$C$4:$C$649,C650,$D$4:$D$649,D650,$E$4:$E$649,E650,$B$4:$B$649,"A REPROCESO")-SUMIFS($F$4:$F$649,$C$4:$C$649,C650,$D$4:$D$649,D650,$E$4:$E$649,E650,$B$4:$B$649,"MUESTRA")-SUMIFS($F$4:$F$649,$C$4:$C$649,C650,$D$4:$D$649,D650,$E$4:$E$649,E650,$B$4:$B$649,"AJUSTE-")),0)</f>
        <v>0</v>
      </c>
      <c r="L650" s="13">
        <f t="shared" si="13"/>
        <v>0</v>
      </c>
      <c r="M650" s="8"/>
      <c r="N650" s="14"/>
      <c r="O650" s="14"/>
      <c r="P650" s="14"/>
      <c r="Q650" s="15"/>
      <c r="R650" s="16" t="str">
        <f t="shared" si="14"/>
        <v/>
      </c>
    </row>
    <row r="651" ht="15.75" customHeight="1">
      <c r="A651" s="7"/>
      <c r="B651" s="8"/>
      <c r="C651" s="8"/>
      <c r="D651" s="8"/>
      <c r="E651" s="8"/>
      <c r="F651" s="9"/>
      <c r="G651" s="10">
        <f>IFERROR(F651*VLOOKUP(D651,TELAS!$A$4:$C$32,3,FALSE()),0)</f>
        <v>0</v>
      </c>
      <c r="H651" s="11" t="str">
        <f>IFERROR(VLOOKUP(E651,COLORES!$A$4:$B$102,2,FALSE()),"")</f>
        <v/>
      </c>
      <c r="I651" s="12">
        <f>IFERROR(IF(H651="OSCURO",VLOOKUP(D651,PRECIOS!$A$4:$F$32,2,FALSE()),IF(H651="CLARO",VLOOKUP(D651,PRECIOS!$A$4:$F$32,3,FALSE()),IF(H651="MELANGE",VLOOKUP(D651,PRECIOS!$A$4:$F$32,4,FALSE()),IF(H651="PPT",VLOOKUP(D651,PRECIOS!$A$4:$F$32,5,FALSE()),0)))),0)</f>
        <v>0</v>
      </c>
      <c r="J651" s="12">
        <f t="shared" si="12"/>
        <v>0</v>
      </c>
      <c r="K651" s="13">
        <f>IFERROR(IF(C651="",0,SUMIFS($F$4:$F$650,$C$4:$C$650,C651,$D$4:$D$650,D651,$E$4:$E$650,E651,$B$4:$B$650,"INGRESO")+SUMIFS($F$4:$F$650,$C$4:$C$650,C651,$D$4:$D$650,D651,$E$4:$E$650,E651,$B$4:$B$650,"DE REPROCESO")+SUMIFS($F$4:$F$650,$C$4:$C$650,C651,$D$4:$D$650,D651,$E$4:$E$650,E651,$B$4:$B$650,"AJUSTE+")-SUMIFS($F$4:$F$650,$C$4:$C$650,C651,$D$4:$D$650,D651,$E$4:$E$650,E651,$B$4:$B$650,"A CORTE")-SUMIFS($F$4:$F$650,$C$4:$C$650,C651,$D$4:$D$650,D651,$E$4:$E$650,E651,$B$4:$B$650,"A REPROCESO")-SUMIFS($F$4:$F$650,$C$4:$C$650,C651,$D$4:$D$650,D651,$E$4:$E$650,E651,$B$4:$B$650,"MUESTRA")-SUMIFS($F$4:$F$650,$C$4:$C$650,C651,$D$4:$D$650,D651,$E$4:$E$650,E651,$B$4:$B$650,"AJUSTE-")),0)</f>
        <v>0</v>
      </c>
      <c r="L651" s="13">
        <f t="shared" si="13"/>
        <v>0</v>
      </c>
      <c r="M651" s="8"/>
      <c r="N651" s="14"/>
      <c r="O651" s="14"/>
      <c r="P651" s="14"/>
      <c r="Q651" s="15"/>
      <c r="R651" s="16" t="str">
        <f t="shared" si="14"/>
        <v/>
      </c>
    </row>
    <row r="652" ht="15.75" customHeight="1">
      <c r="A652" s="7"/>
      <c r="B652" s="8"/>
      <c r="C652" s="8"/>
      <c r="D652" s="8"/>
      <c r="E652" s="8"/>
      <c r="F652" s="9"/>
      <c r="G652" s="10">
        <f>IFERROR(F652*VLOOKUP(D652,TELAS!$A$4:$C$32,3,FALSE()),0)</f>
        <v>0</v>
      </c>
      <c r="H652" s="11" t="str">
        <f>IFERROR(VLOOKUP(E652,COLORES!$A$4:$B$102,2,FALSE()),"")</f>
        <v/>
      </c>
      <c r="I652" s="12">
        <f>IFERROR(IF(H652="OSCURO",VLOOKUP(D652,PRECIOS!$A$4:$F$32,2,FALSE()),IF(H652="CLARO",VLOOKUP(D652,PRECIOS!$A$4:$F$32,3,FALSE()),IF(H652="MELANGE",VLOOKUP(D652,PRECIOS!$A$4:$F$32,4,FALSE()),IF(H652="PPT",VLOOKUP(D652,PRECIOS!$A$4:$F$32,5,FALSE()),0)))),0)</f>
        <v>0</v>
      </c>
      <c r="J652" s="12">
        <f t="shared" si="12"/>
        <v>0</v>
      </c>
      <c r="K652" s="13">
        <f>IFERROR(IF(C652="",0,SUMIFS($F$4:$F$651,$C$4:$C$651,C652,$D$4:$D$651,D652,$E$4:$E$651,E652,$B$4:$B$651,"INGRESO")+SUMIFS($F$4:$F$651,$C$4:$C$651,C652,$D$4:$D$651,D652,$E$4:$E$651,E652,$B$4:$B$651,"DE REPROCESO")+SUMIFS($F$4:$F$651,$C$4:$C$651,C652,$D$4:$D$651,D652,$E$4:$E$651,E652,$B$4:$B$651,"AJUSTE+")-SUMIFS($F$4:$F$651,$C$4:$C$651,C652,$D$4:$D$651,D652,$E$4:$E$651,E652,$B$4:$B$651,"A CORTE")-SUMIFS($F$4:$F$651,$C$4:$C$651,C652,$D$4:$D$651,D652,$E$4:$E$651,E652,$B$4:$B$651,"A REPROCESO")-SUMIFS($F$4:$F$651,$C$4:$C$651,C652,$D$4:$D$651,D652,$E$4:$E$651,E652,$B$4:$B$651,"MUESTRA")-SUMIFS($F$4:$F$651,$C$4:$C$651,C652,$D$4:$D$651,D652,$E$4:$E$651,E652,$B$4:$B$651,"AJUSTE-")),0)</f>
        <v>0</v>
      </c>
      <c r="L652" s="13">
        <f t="shared" si="13"/>
        <v>0</v>
      </c>
      <c r="M652" s="8"/>
      <c r="N652" s="14"/>
      <c r="O652" s="14"/>
      <c r="P652" s="14"/>
      <c r="Q652" s="15"/>
      <c r="R652" s="16" t="str">
        <f t="shared" si="14"/>
        <v/>
      </c>
    </row>
    <row r="653" ht="15.75" customHeight="1">
      <c r="A653" s="7"/>
      <c r="B653" s="8"/>
      <c r="C653" s="8"/>
      <c r="D653" s="8"/>
      <c r="E653" s="8"/>
      <c r="F653" s="9"/>
      <c r="G653" s="10">
        <f>IFERROR(F653*VLOOKUP(D653,TELAS!$A$4:$C$32,3,FALSE()),0)</f>
        <v>0</v>
      </c>
      <c r="H653" s="11" t="str">
        <f>IFERROR(VLOOKUP(E653,COLORES!$A$4:$B$102,2,FALSE()),"")</f>
        <v/>
      </c>
      <c r="I653" s="12">
        <f>IFERROR(IF(H653="OSCURO",VLOOKUP(D653,PRECIOS!$A$4:$F$32,2,FALSE()),IF(H653="CLARO",VLOOKUP(D653,PRECIOS!$A$4:$F$32,3,FALSE()),IF(H653="MELANGE",VLOOKUP(D653,PRECIOS!$A$4:$F$32,4,FALSE()),IF(H653="PPT",VLOOKUP(D653,PRECIOS!$A$4:$F$32,5,FALSE()),0)))),0)</f>
        <v>0</v>
      </c>
      <c r="J653" s="12">
        <f t="shared" si="12"/>
        <v>0</v>
      </c>
      <c r="K653" s="13">
        <f>IFERROR(IF(C653="",0,SUMIFS($F$4:$F$652,$C$4:$C$652,C653,$D$4:$D$652,D653,$E$4:$E$652,E653,$B$4:$B$652,"INGRESO")+SUMIFS($F$4:$F$652,$C$4:$C$652,C653,$D$4:$D$652,D653,$E$4:$E$652,E653,$B$4:$B$652,"DE REPROCESO")+SUMIFS($F$4:$F$652,$C$4:$C$652,C653,$D$4:$D$652,D653,$E$4:$E$652,E653,$B$4:$B$652,"AJUSTE+")-SUMIFS($F$4:$F$652,$C$4:$C$652,C653,$D$4:$D$652,D653,$E$4:$E$652,E653,$B$4:$B$652,"A CORTE")-SUMIFS($F$4:$F$652,$C$4:$C$652,C653,$D$4:$D$652,D653,$E$4:$E$652,E653,$B$4:$B$652,"A REPROCESO")-SUMIFS($F$4:$F$652,$C$4:$C$652,C653,$D$4:$D$652,D653,$E$4:$E$652,E653,$B$4:$B$652,"MUESTRA")-SUMIFS($F$4:$F$652,$C$4:$C$652,C653,$D$4:$D$652,D653,$E$4:$E$652,E653,$B$4:$B$652,"AJUSTE-")),0)</f>
        <v>0</v>
      </c>
      <c r="L653" s="13">
        <f t="shared" si="13"/>
        <v>0</v>
      </c>
      <c r="M653" s="8"/>
      <c r="N653" s="14"/>
      <c r="O653" s="14"/>
      <c r="P653" s="14"/>
      <c r="Q653" s="15"/>
      <c r="R653" s="16" t="str">
        <f t="shared" si="14"/>
        <v/>
      </c>
    </row>
    <row r="654" ht="15.75" customHeight="1">
      <c r="A654" s="7"/>
      <c r="B654" s="8"/>
      <c r="C654" s="8"/>
      <c r="D654" s="8"/>
      <c r="E654" s="8"/>
      <c r="F654" s="9"/>
      <c r="G654" s="10">
        <f>IFERROR(F654*VLOOKUP(D654,TELAS!$A$4:$C$32,3,FALSE()),0)</f>
        <v>0</v>
      </c>
      <c r="H654" s="11" t="str">
        <f>IFERROR(VLOOKUP(E654,COLORES!$A$4:$B$102,2,FALSE()),"")</f>
        <v/>
      </c>
      <c r="I654" s="12">
        <f>IFERROR(IF(H654="OSCURO",VLOOKUP(D654,PRECIOS!$A$4:$F$32,2,FALSE()),IF(H654="CLARO",VLOOKUP(D654,PRECIOS!$A$4:$F$32,3,FALSE()),IF(H654="MELANGE",VLOOKUP(D654,PRECIOS!$A$4:$F$32,4,FALSE()),IF(H654="PPT",VLOOKUP(D654,PRECIOS!$A$4:$F$32,5,FALSE()),0)))),0)</f>
        <v>0</v>
      </c>
      <c r="J654" s="12">
        <f t="shared" si="12"/>
        <v>0</v>
      </c>
      <c r="K654" s="13">
        <f>IFERROR(IF(C654="",0,SUMIFS($F$4:$F$653,$C$4:$C$653,C654,$D$4:$D$653,D654,$E$4:$E$653,E654,$B$4:$B$653,"INGRESO")+SUMIFS($F$4:$F$653,$C$4:$C$653,C654,$D$4:$D$653,D654,$E$4:$E$653,E654,$B$4:$B$653,"DE REPROCESO")+SUMIFS($F$4:$F$653,$C$4:$C$653,C654,$D$4:$D$653,D654,$E$4:$E$653,E654,$B$4:$B$653,"AJUSTE+")-SUMIFS($F$4:$F$653,$C$4:$C$653,C654,$D$4:$D$653,D654,$E$4:$E$653,E654,$B$4:$B$653,"A CORTE")-SUMIFS($F$4:$F$653,$C$4:$C$653,C654,$D$4:$D$653,D654,$E$4:$E$653,E654,$B$4:$B$653,"A REPROCESO")-SUMIFS($F$4:$F$653,$C$4:$C$653,C654,$D$4:$D$653,D654,$E$4:$E$653,E654,$B$4:$B$653,"MUESTRA")-SUMIFS($F$4:$F$653,$C$4:$C$653,C654,$D$4:$D$653,D654,$E$4:$E$653,E654,$B$4:$B$653,"AJUSTE-")),0)</f>
        <v>0</v>
      </c>
      <c r="L654" s="13">
        <f t="shared" si="13"/>
        <v>0</v>
      </c>
      <c r="M654" s="8"/>
      <c r="N654" s="14"/>
      <c r="O654" s="14"/>
      <c r="P654" s="14"/>
      <c r="Q654" s="15"/>
      <c r="R654" s="16" t="str">
        <f t="shared" si="14"/>
        <v/>
      </c>
    </row>
    <row r="655" ht="15.75" customHeight="1">
      <c r="A655" s="7"/>
      <c r="B655" s="8"/>
      <c r="C655" s="8"/>
      <c r="D655" s="8"/>
      <c r="E655" s="8"/>
      <c r="F655" s="9"/>
      <c r="G655" s="10">
        <f>IFERROR(F655*VLOOKUP(D655,TELAS!$A$4:$C$32,3,FALSE()),0)</f>
        <v>0</v>
      </c>
      <c r="H655" s="11" t="str">
        <f>IFERROR(VLOOKUP(E655,COLORES!$A$4:$B$102,2,FALSE()),"")</f>
        <v/>
      </c>
      <c r="I655" s="12">
        <f>IFERROR(IF(H655="OSCURO",VLOOKUP(D655,PRECIOS!$A$4:$F$32,2,FALSE()),IF(H655="CLARO",VLOOKUP(D655,PRECIOS!$A$4:$F$32,3,FALSE()),IF(H655="MELANGE",VLOOKUP(D655,PRECIOS!$A$4:$F$32,4,FALSE()),IF(H655="PPT",VLOOKUP(D655,PRECIOS!$A$4:$F$32,5,FALSE()),0)))),0)</f>
        <v>0</v>
      </c>
      <c r="J655" s="12">
        <f t="shared" si="12"/>
        <v>0</v>
      </c>
      <c r="K655" s="13">
        <f>IFERROR(IF(C655="",0,SUMIFS($F$4:$F$654,$C$4:$C$654,C655,$D$4:$D$654,D655,$E$4:$E$654,E655,$B$4:$B$654,"INGRESO")+SUMIFS($F$4:$F$654,$C$4:$C$654,C655,$D$4:$D$654,D655,$E$4:$E$654,E655,$B$4:$B$654,"DE REPROCESO")+SUMIFS($F$4:$F$654,$C$4:$C$654,C655,$D$4:$D$654,D655,$E$4:$E$654,E655,$B$4:$B$654,"AJUSTE+")-SUMIFS($F$4:$F$654,$C$4:$C$654,C655,$D$4:$D$654,D655,$E$4:$E$654,E655,$B$4:$B$654,"A CORTE")-SUMIFS($F$4:$F$654,$C$4:$C$654,C655,$D$4:$D$654,D655,$E$4:$E$654,E655,$B$4:$B$654,"A REPROCESO")-SUMIFS($F$4:$F$654,$C$4:$C$654,C655,$D$4:$D$654,D655,$E$4:$E$654,E655,$B$4:$B$654,"MUESTRA")-SUMIFS($F$4:$F$654,$C$4:$C$654,C655,$D$4:$D$654,D655,$E$4:$E$654,E655,$B$4:$B$654,"AJUSTE-")),0)</f>
        <v>0</v>
      </c>
      <c r="L655" s="13">
        <f t="shared" si="13"/>
        <v>0</v>
      </c>
      <c r="M655" s="8"/>
      <c r="N655" s="14"/>
      <c r="O655" s="14"/>
      <c r="P655" s="14"/>
      <c r="Q655" s="15"/>
      <c r="R655" s="16" t="str">
        <f t="shared" si="14"/>
        <v/>
      </c>
    </row>
    <row r="656" ht="15.75" customHeight="1">
      <c r="A656" s="7"/>
      <c r="B656" s="8"/>
      <c r="C656" s="8"/>
      <c r="D656" s="8"/>
      <c r="E656" s="8"/>
      <c r="F656" s="9"/>
      <c r="G656" s="10">
        <f>IFERROR(F656*VLOOKUP(D656,TELAS!$A$4:$C$32,3,FALSE()),0)</f>
        <v>0</v>
      </c>
      <c r="H656" s="11" t="str">
        <f>IFERROR(VLOOKUP(E656,COLORES!$A$4:$B$102,2,FALSE()),"")</f>
        <v/>
      </c>
      <c r="I656" s="12">
        <f>IFERROR(IF(H656="OSCURO",VLOOKUP(D656,PRECIOS!$A$4:$F$32,2,FALSE()),IF(H656="CLARO",VLOOKUP(D656,PRECIOS!$A$4:$F$32,3,FALSE()),IF(H656="MELANGE",VLOOKUP(D656,PRECIOS!$A$4:$F$32,4,FALSE()),IF(H656="PPT",VLOOKUP(D656,PRECIOS!$A$4:$F$32,5,FALSE()),0)))),0)</f>
        <v>0</v>
      </c>
      <c r="J656" s="12">
        <f t="shared" si="12"/>
        <v>0</v>
      </c>
      <c r="K656" s="13">
        <f>IFERROR(IF(C656="",0,SUMIFS($F$4:$F$655,$C$4:$C$655,C656,$D$4:$D$655,D656,$E$4:$E$655,E656,$B$4:$B$655,"INGRESO")+SUMIFS($F$4:$F$655,$C$4:$C$655,C656,$D$4:$D$655,D656,$E$4:$E$655,E656,$B$4:$B$655,"DE REPROCESO")+SUMIFS($F$4:$F$655,$C$4:$C$655,C656,$D$4:$D$655,D656,$E$4:$E$655,E656,$B$4:$B$655,"AJUSTE+")-SUMIFS($F$4:$F$655,$C$4:$C$655,C656,$D$4:$D$655,D656,$E$4:$E$655,E656,$B$4:$B$655,"A CORTE")-SUMIFS($F$4:$F$655,$C$4:$C$655,C656,$D$4:$D$655,D656,$E$4:$E$655,E656,$B$4:$B$655,"A REPROCESO")-SUMIFS($F$4:$F$655,$C$4:$C$655,C656,$D$4:$D$655,D656,$E$4:$E$655,E656,$B$4:$B$655,"MUESTRA")-SUMIFS($F$4:$F$655,$C$4:$C$655,C656,$D$4:$D$655,D656,$E$4:$E$655,E656,$B$4:$B$655,"AJUSTE-")),0)</f>
        <v>0</v>
      </c>
      <c r="L656" s="13">
        <f t="shared" si="13"/>
        <v>0</v>
      </c>
      <c r="M656" s="8"/>
      <c r="N656" s="14"/>
      <c r="O656" s="14"/>
      <c r="P656" s="14"/>
      <c r="Q656" s="15"/>
      <c r="R656" s="16" t="str">
        <f t="shared" si="14"/>
        <v/>
      </c>
    </row>
    <row r="657" ht="15.75" customHeight="1">
      <c r="A657" s="7"/>
      <c r="B657" s="8"/>
      <c r="C657" s="8"/>
      <c r="D657" s="8"/>
      <c r="E657" s="8"/>
      <c r="F657" s="9"/>
      <c r="G657" s="10">
        <f>IFERROR(F657*VLOOKUP(D657,TELAS!$A$4:$C$32,3,FALSE()),0)</f>
        <v>0</v>
      </c>
      <c r="H657" s="11" t="str">
        <f>IFERROR(VLOOKUP(E657,COLORES!$A$4:$B$102,2,FALSE()),"")</f>
        <v/>
      </c>
      <c r="I657" s="12">
        <f>IFERROR(IF(H657="OSCURO",VLOOKUP(D657,PRECIOS!$A$4:$F$32,2,FALSE()),IF(H657="CLARO",VLOOKUP(D657,PRECIOS!$A$4:$F$32,3,FALSE()),IF(H657="MELANGE",VLOOKUP(D657,PRECIOS!$A$4:$F$32,4,FALSE()),IF(H657="PPT",VLOOKUP(D657,PRECIOS!$A$4:$F$32,5,FALSE()),0)))),0)</f>
        <v>0</v>
      </c>
      <c r="J657" s="12">
        <f t="shared" si="12"/>
        <v>0</v>
      </c>
      <c r="K657" s="13">
        <f>IFERROR(IF(C657="",0,SUMIFS($F$4:$F$656,$C$4:$C$656,C657,$D$4:$D$656,D657,$E$4:$E$656,E657,$B$4:$B$656,"INGRESO")+SUMIFS($F$4:$F$656,$C$4:$C$656,C657,$D$4:$D$656,D657,$E$4:$E$656,E657,$B$4:$B$656,"DE REPROCESO")+SUMIFS($F$4:$F$656,$C$4:$C$656,C657,$D$4:$D$656,D657,$E$4:$E$656,E657,$B$4:$B$656,"AJUSTE+")-SUMIFS($F$4:$F$656,$C$4:$C$656,C657,$D$4:$D$656,D657,$E$4:$E$656,E657,$B$4:$B$656,"A CORTE")-SUMIFS($F$4:$F$656,$C$4:$C$656,C657,$D$4:$D$656,D657,$E$4:$E$656,E657,$B$4:$B$656,"A REPROCESO")-SUMIFS($F$4:$F$656,$C$4:$C$656,C657,$D$4:$D$656,D657,$E$4:$E$656,E657,$B$4:$B$656,"MUESTRA")-SUMIFS($F$4:$F$656,$C$4:$C$656,C657,$D$4:$D$656,D657,$E$4:$E$656,E657,$B$4:$B$656,"AJUSTE-")),0)</f>
        <v>0</v>
      </c>
      <c r="L657" s="13">
        <f t="shared" si="13"/>
        <v>0</v>
      </c>
      <c r="M657" s="8"/>
      <c r="N657" s="14"/>
      <c r="O657" s="14"/>
      <c r="P657" s="14"/>
      <c r="Q657" s="15"/>
      <c r="R657" s="16" t="str">
        <f t="shared" si="14"/>
        <v/>
      </c>
    </row>
    <row r="658" ht="15.75" customHeight="1">
      <c r="A658" s="7"/>
      <c r="B658" s="8"/>
      <c r="C658" s="8"/>
      <c r="D658" s="8"/>
      <c r="E658" s="8"/>
      <c r="F658" s="9"/>
      <c r="G658" s="10">
        <f>IFERROR(F658*VLOOKUP(D658,TELAS!$A$4:$C$32,3,FALSE()),0)</f>
        <v>0</v>
      </c>
      <c r="H658" s="11" t="str">
        <f>IFERROR(VLOOKUP(E658,COLORES!$A$4:$B$102,2,FALSE()),"")</f>
        <v/>
      </c>
      <c r="I658" s="12">
        <f>IFERROR(IF(H658="OSCURO",VLOOKUP(D658,PRECIOS!$A$4:$F$32,2,FALSE()),IF(H658="CLARO",VLOOKUP(D658,PRECIOS!$A$4:$F$32,3,FALSE()),IF(H658="MELANGE",VLOOKUP(D658,PRECIOS!$A$4:$F$32,4,FALSE()),IF(H658="PPT",VLOOKUP(D658,PRECIOS!$A$4:$F$32,5,FALSE()),0)))),0)</f>
        <v>0</v>
      </c>
      <c r="J658" s="12">
        <f t="shared" si="12"/>
        <v>0</v>
      </c>
      <c r="K658" s="13">
        <f>IFERROR(IF(C658="",0,SUMIFS($F$4:$F$657,$C$4:$C$657,C658,$D$4:$D$657,D658,$E$4:$E$657,E658,$B$4:$B$657,"INGRESO")+SUMIFS($F$4:$F$657,$C$4:$C$657,C658,$D$4:$D$657,D658,$E$4:$E$657,E658,$B$4:$B$657,"DE REPROCESO")+SUMIFS($F$4:$F$657,$C$4:$C$657,C658,$D$4:$D$657,D658,$E$4:$E$657,E658,$B$4:$B$657,"AJUSTE+")-SUMIFS($F$4:$F$657,$C$4:$C$657,C658,$D$4:$D$657,D658,$E$4:$E$657,E658,$B$4:$B$657,"A CORTE")-SUMIFS($F$4:$F$657,$C$4:$C$657,C658,$D$4:$D$657,D658,$E$4:$E$657,E658,$B$4:$B$657,"A REPROCESO")-SUMIFS($F$4:$F$657,$C$4:$C$657,C658,$D$4:$D$657,D658,$E$4:$E$657,E658,$B$4:$B$657,"MUESTRA")-SUMIFS($F$4:$F$657,$C$4:$C$657,C658,$D$4:$D$657,D658,$E$4:$E$657,E658,$B$4:$B$657,"AJUSTE-")),0)</f>
        <v>0</v>
      </c>
      <c r="L658" s="13">
        <f t="shared" si="13"/>
        <v>0</v>
      </c>
      <c r="M658" s="8"/>
      <c r="N658" s="14"/>
      <c r="O658" s="14"/>
      <c r="P658" s="14"/>
      <c r="Q658" s="15"/>
      <c r="R658" s="16" t="str">
        <f t="shared" si="14"/>
        <v/>
      </c>
    </row>
    <row r="659" ht="15.75" customHeight="1">
      <c r="A659" s="7"/>
      <c r="B659" s="8"/>
      <c r="C659" s="8"/>
      <c r="D659" s="8"/>
      <c r="E659" s="8"/>
      <c r="F659" s="9"/>
      <c r="G659" s="10">
        <f>IFERROR(F659*VLOOKUP(D659,TELAS!$A$4:$C$32,3,FALSE()),0)</f>
        <v>0</v>
      </c>
      <c r="H659" s="11" t="str">
        <f>IFERROR(VLOOKUP(E659,COLORES!$A$4:$B$102,2,FALSE()),"")</f>
        <v/>
      </c>
      <c r="I659" s="12">
        <f>IFERROR(IF(H659="OSCURO",VLOOKUP(D659,PRECIOS!$A$4:$F$32,2,FALSE()),IF(H659="CLARO",VLOOKUP(D659,PRECIOS!$A$4:$F$32,3,FALSE()),IF(H659="MELANGE",VLOOKUP(D659,PRECIOS!$A$4:$F$32,4,FALSE()),IF(H659="PPT",VLOOKUP(D659,PRECIOS!$A$4:$F$32,5,FALSE()),0)))),0)</f>
        <v>0</v>
      </c>
      <c r="J659" s="12">
        <f t="shared" si="12"/>
        <v>0</v>
      </c>
      <c r="K659" s="13">
        <f>IFERROR(IF(C659="",0,SUMIFS($F$4:$F$658,$C$4:$C$658,C659,$D$4:$D$658,D659,$E$4:$E$658,E659,$B$4:$B$658,"INGRESO")+SUMIFS($F$4:$F$658,$C$4:$C$658,C659,$D$4:$D$658,D659,$E$4:$E$658,E659,$B$4:$B$658,"DE REPROCESO")+SUMIFS($F$4:$F$658,$C$4:$C$658,C659,$D$4:$D$658,D659,$E$4:$E$658,E659,$B$4:$B$658,"AJUSTE+")-SUMIFS($F$4:$F$658,$C$4:$C$658,C659,$D$4:$D$658,D659,$E$4:$E$658,E659,$B$4:$B$658,"A CORTE")-SUMIFS($F$4:$F$658,$C$4:$C$658,C659,$D$4:$D$658,D659,$E$4:$E$658,E659,$B$4:$B$658,"A REPROCESO")-SUMIFS($F$4:$F$658,$C$4:$C$658,C659,$D$4:$D$658,D659,$E$4:$E$658,E659,$B$4:$B$658,"MUESTRA")-SUMIFS($F$4:$F$658,$C$4:$C$658,C659,$D$4:$D$658,D659,$E$4:$E$658,E659,$B$4:$B$658,"AJUSTE-")),0)</f>
        <v>0</v>
      </c>
      <c r="L659" s="13">
        <f t="shared" si="13"/>
        <v>0</v>
      </c>
      <c r="M659" s="8"/>
      <c r="N659" s="14"/>
      <c r="O659" s="14"/>
      <c r="P659" s="14"/>
      <c r="Q659" s="15"/>
      <c r="R659" s="16" t="str">
        <f t="shared" si="14"/>
        <v/>
      </c>
    </row>
    <row r="660" ht="15.75" customHeight="1">
      <c r="A660" s="7"/>
      <c r="B660" s="8"/>
      <c r="C660" s="8"/>
      <c r="D660" s="8"/>
      <c r="E660" s="8"/>
      <c r="F660" s="9"/>
      <c r="G660" s="10">
        <f>IFERROR(F660*VLOOKUP(D660,TELAS!$A$4:$C$32,3,FALSE()),0)</f>
        <v>0</v>
      </c>
      <c r="H660" s="11" t="str">
        <f>IFERROR(VLOOKUP(E660,COLORES!$A$4:$B$102,2,FALSE()),"")</f>
        <v/>
      </c>
      <c r="I660" s="12">
        <f>IFERROR(IF(H660="OSCURO",VLOOKUP(D660,PRECIOS!$A$4:$F$32,2,FALSE()),IF(H660="CLARO",VLOOKUP(D660,PRECIOS!$A$4:$F$32,3,FALSE()),IF(H660="MELANGE",VLOOKUP(D660,PRECIOS!$A$4:$F$32,4,FALSE()),IF(H660="PPT",VLOOKUP(D660,PRECIOS!$A$4:$F$32,5,FALSE()),0)))),0)</f>
        <v>0</v>
      </c>
      <c r="J660" s="12">
        <f t="shared" si="12"/>
        <v>0</v>
      </c>
      <c r="K660" s="13">
        <f>IFERROR(IF(C660="",0,SUMIFS($F$4:$F$659,$C$4:$C$659,C660,$D$4:$D$659,D660,$E$4:$E$659,E660,$B$4:$B$659,"INGRESO")+SUMIFS($F$4:$F$659,$C$4:$C$659,C660,$D$4:$D$659,D660,$E$4:$E$659,E660,$B$4:$B$659,"DE REPROCESO")+SUMIFS($F$4:$F$659,$C$4:$C$659,C660,$D$4:$D$659,D660,$E$4:$E$659,E660,$B$4:$B$659,"AJUSTE+")-SUMIFS($F$4:$F$659,$C$4:$C$659,C660,$D$4:$D$659,D660,$E$4:$E$659,E660,$B$4:$B$659,"A CORTE")-SUMIFS($F$4:$F$659,$C$4:$C$659,C660,$D$4:$D$659,D660,$E$4:$E$659,E660,$B$4:$B$659,"A REPROCESO")-SUMIFS($F$4:$F$659,$C$4:$C$659,C660,$D$4:$D$659,D660,$E$4:$E$659,E660,$B$4:$B$659,"MUESTRA")-SUMIFS($F$4:$F$659,$C$4:$C$659,C660,$D$4:$D$659,D660,$E$4:$E$659,E660,$B$4:$B$659,"AJUSTE-")),0)</f>
        <v>0</v>
      </c>
      <c r="L660" s="13">
        <f t="shared" si="13"/>
        <v>0</v>
      </c>
      <c r="M660" s="8"/>
      <c r="N660" s="14"/>
      <c r="O660" s="14"/>
      <c r="P660" s="14"/>
      <c r="Q660" s="15"/>
      <c r="R660" s="16" t="str">
        <f t="shared" si="14"/>
        <v/>
      </c>
    </row>
    <row r="661" ht="15.75" customHeight="1">
      <c r="A661" s="7"/>
      <c r="B661" s="8"/>
      <c r="C661" s="8"/>
      <c r="D661" s="8"/>
      <c r="E661" s="8"/>
      <c r="F661" s="9"/>
      <c r="G661" s="10">
        <f>IFERROR(F661*VLOOKUP(D661,TELAS!$A$4:$C$32,3,FALSE()),0)</f>
        <v>0</v>
      </c>
      <c r="H661" s="11" t="str">
        <f>IFERROR(VLOOKUP(E661,COLORES!$A$4:$B$102,2,FALSE()),"")</f>
        <v/>
      </c>
      <c r="I661" s="12">
        <f>IFERROR(IF(H661="OSCURO",VLOOKUP(D661,PRECIOS!$A$4:$F$32,2,FALSE()),IF(H661="CLARO",VLOOKUP(D661,PRECIOS!$A$4:$F$32,3,FALSE()),IF(H661="MELANGE",VLOOKUP(D661,PRECIOS!$A$4:$F$32,4,FALSE()),IF(H661="PPT",VLOOKUP(D661,PRECIOS!$A$4:$F$32,5,FALSE()),0)))),0)</f>
        <v>0</v>
      </c>
      <c r="J661" s="12">
        <f t="shared" si="12"/>
        <v>0</v>
      </c>
      <c r="K661" s="13">
        <f>IFERROR(IF(C661="",0,SUMIFS($F$4:$F$660,$C$4:$C$660,C661,$D$4:$D$660,D661,$E$4:$E$660,E661,$B$4:$B$660,"INGRESO")+SUMIFS($F$4:$F$660,$C$4:$C$660,C661,$D$4:$D$660,D661,$E$4:$E$660,E661,$B$4:$B$660,"DE REPROCESO")+SUMIFS($F$4:$F$660,$C$4:$C$660,C661,$D$4:$D$660,D661,$E$4:$E$660,E661,$B$4:$B$660,"AJUSTE+")-SUMIFS($F$4:$F$660,$C$4:$C$660,C661,$D$4:$D$660,D661,$E$4:$E$660,E661,$B$4:$B$660,"A CORTE")-SUMIFS($F$4:$F$660,$C$4:$C$660,C661,$D$4:$D$660,D661,$E$4:$E$660,E661,$B$4:$B$660,"A REPROCESO")-SUMIFS($F$4:$F$660,$C$4:$C$660,C661,$D$4:$D$660,D661,$E$4:$E$660,E661,$B$4:$B$660,"MUESTRA")-SUMIFS($F$4:$F$660,$C$4:$C$660,C661,$D$4:$D$660,D661,$E$4:$E$660,E661,$B$4:$B$660,"AJUSTE-")),0)</f>
        <v>0</v>
      </c>
      <c r="L661" s="13">
        <f t="shared" si="13"/>
        <v>0</v>
      </c>
      <c r="M661" s="8"/>
      <c r="N661" s="14"/>
      <c r="O661" s="14"/>
      <c r="P661" s="14"/>
      <c r="Q661" s="15"/>
      <c r="R661" s="16" t="str">
        <f t="shared" si="14"/>
        <v/>
      </c>
    </row>
    <row r="662" ht="15.75" customHeight="1">
      <c r="A662" s="7"/>
      <c r="B662" s="8"/>
      <c r="C662" s="8"/>
      <c r="D662" s="8"/>
      <c r="E662" s="8"/>
      <c r="F662" s="9"/>
      <c r="G662" s="10">
        <f>IFERROR(F662*VLOOKUP(D662,TELAS!$A$4:$C$32,3,FALSE()),0)</f>
        <v>0</v>
      </c>
      <c r="H662" s="11" t="str">
        <f>IFERROR(VLOOKUP(E662,COLORES!$A$4:$B$102,2,FALSE()),"")</f>
        <v/>
      </c>
      <c r="I662" s="12">
        <f>IFERROR(IF(H662="OSCURO",VLOOKUP(D662,PRECIOS!$A$4:$F$32,2,FALSE()),IF(H662="CLARO",VLOOKUP(D662,PRECIOS!$A$4:$F$32,3,FALSE()),IF(H662="MELANGE",VLOOKUP(D662,PRECIOS!$A$4:$F$32,4,FALSE()),IF(H662="PPT",VLOOKUP(D662,PRECIOS!$A$4:$F$32,5,FALSE()),0)))),0)</f>
        <v>0</v>
      </c>
      <c r="J662" s="12">
        <f t="shared" si="12"/>
        <v>0</v>
      </c>
      <c r="K662" s="13">
        <f>IFERROR(IF(C662="",0,SUMIFS($F$4:$F$661,$C$4:$C$661,C662,$D$4:$D$661,D662,$E$4:$E$661,E662,$B$4:$B$661,"INGRESO")+SUMIFS($F$4:$F$661,$C$4:$C$661,C662,$D$4:$D$661,D662,$E$4:$E$661,E662,$B$4:$B$661,"DE REPROCESO")+SUMIFS($F$4:$F$661,$C$4:$C$661,C662,$D$4:$D$661,D662,$E$4:$E$661,E662,$B$4:$B$661,"AJUSTE+")-SUMIFS($F$4:$F$661,$C$4:$C$661,C662,$D$4:$D$661,D662,$E$4:$E$661,E662,$B$4:$B$661,"A CORTE")-SUMIFS($F$4:$F$661,$C$4:$C$661,C662,$D$4:$D$661,D662,$E$4:$E$661,E662,$B$4:$B$661,"A REPROCESO")-SUMIFS($F$4:$F$661,$C$4:$C$661,C662,$D$4:$D$661,D662,$E$4:$E$661,E662,$B$4:$B$661,"MUESTRA")-SUMIFS($F$4:$F$661,$C$4:$C$661,C662,$D$4:$D$661,D662,$E$4:$E$661,E662,$B$4:$B$661,"AJUSTE-")),0)</f>
        <v>0</v>
      </c>
      <c r="L662" s="13">
        <f t="shared" si="13"/>
        <v>0</v>
      </c>
      <c r="M662" s="8"/>
      <c r="N662" s="14"/>
      <c r="O662" s="14"/>
      <c r="P662" s="14"/>
      <c r="Q662" s="15"/>
      <c r="R662" s="16" t="str">
        <f t="shared" si="14"/>
        <v/>
      </c>
    </row>
    <row r="663" ht="15.75" customHeight="1">
      <c r="A663" s="7"/>
      <c r="B663" s="8"/>
      <c r="C663" s="8"/>
      <c r="D663" s="8"/>
      <c r="E663" s="8"/>
      <c r="F663" s="9"/>
      <c r="G663" s="10">
        <f>IFERROR(F663*VLOOKUP(D663,TELAS!$A$4:$C$32,3,FALSE()),0)</f>
        <v>0</v>
      </c>
      <c r="H663" s="11" t="str">
        <f>IFERROR(VLOOKUP(E663,COLORES!$A$4:$B$102,2,FALSE()),"")</f>
        <v/>
      </c>
      <c r="I663" s="12">
        <f>IFERROR(IF(H663="OSCURO",VLOOKUP(D663,PRECIOS!$A$4:$F$32,2,FALSE()),IF(H663="CLARO",VLOOKUP(D663,PRECIOS!$A$4:$F$32,3,FALSE()),IF(H663="MELANGE",VLOOKUP(D663,PRECIOS!$A$4:$F$32,4,FALSE()),IF(H663="PPT",VLOOKUP(D663,PRECIOS!$A$4:$F$32,5,FALSE()),0)))),0)</f>
        <v>0</v>
      </c>
      <c r="J663" s="12">
        <f t="shared" si="12"/>
        <v>0</v>
      </c>
      <c r="K663" s="13">
        <f>IFERROR(IF(C663="",0,SUMIFS($F$4:$F$662,$C$4:$C$662,C663,$D$4:$D$662,D663,$E$4:$E$662,E663,$B$4:$B$662,"INGRESO")+SUMIFS($F$4:$F$662,$C$4:$C$662,C663,$D$4:$D$662,D663,$E$4:$E$662,E663,$B$4:$B$662,"DE REPROCESO")+SUMIFS($F$4:$F$662,$C$4:$C$662,C663,$D$4:$D$662,D663,$E$4:$E$662,E663,$B$4:$B$662,"AJUSTE+")-SUMIFS($F$4:$F$662,$C$4:$C$662,C663,$D$4:$D$662,D663,$E$4:$E$662,E663,$B$4:$B$662,"A CORTE")-SUMIFS($F$4:$F$662,$C$4:$C$662,C663,$D$4:$D$662,D663,$E$4:$E$662,E663,$B$4:$B$662,"A REPROCESO")-SUMIFS($F$4:$F$662,$C$4:$C$662,C663,$D$4:$D$662,D663,$E$4:$E$662,E663,$B$4:$B$662,"MUESTRA")-SUMIFS($F$4:$F$662,$C$4:$C$662,C663,$D$4:$D$662,D663,$E$4:$E$662,E663,$B$4:$B$662,"AJUSTE-")),0)</f>
        <v>0</v>
      </c>
      <c r="L663" s="13">
        <f t="shared" si="13"/>
        <v>0</v>
      </c>
      <c r="M663" s="8"/>
      <c r="N663" s="14"/>
      <c r="O663" s="14"/>
      <c r="P663" s="14"/>
      <c r="Q663" s="15"/>
      <c r="R663" s="16" t="str">
        <f t="shared" si="14"/>
        <v/>
      </c>
    </row>
    <row r="664" ht="15.75" customHeight="1">
      <c r="A664" s="7"/>
      <c r="B664" s="8"/>
      <c r="C664" s="8"/>
      <c r="D664" s="8"/>
      <c r="E664" s="8"/>
      <c r="F664" s="9"/>
      <c r="G664" s="10">
        <f>IFERROR(F664*VLOOKUP(D664,TELAS!$A$4:$C$32,3,FALSE()),0)</f>
        <v>0</v>
      </c>
      <c r="H664" s="11" t="str">
        <f>IFERROR(VLOOKUP(E664,COLORES!$A$4:$B$102,2,FALSE()),"")</f>
        <v/>
      </c>
      <c r="I664" s="12">
        <f>IFERROR(IF(H664="OSCURO",VLOOKUP(D664,PRECIOS!$A$4:$F$32,2,FALSE()),IF(H664="CLARO",VLOOKUP(D664,PRECIOS!$A$4:$F$32,3,FALSE()),IF(H664="MELANGE",VLOOKUP(D664,PRECIOS!$A$4:$F$32,4,FALSE()),IF(H664="PPT",VLOOKUP(D664,PRECIOS!$A$4:$F$32,5,FALSE()),0)))),0)</f>
        <v>0</v>
      </c>
      <c r="J664" s="12">
        <f t="shared" si="12"/>
        <v>0</v>
      </c>
      <c r="K664" s="13">
        <f>IFERROR(IF(C664="",0,SUMIFS($F$4:$F$663,$C$4:$C$663,C664,$D$4:$D$663,D664,$E$4:$E$663,E664,$B$4:$B$663,"INGRESO")+SUMIFS($F$4:$F$663,$C$4:$C$663,C664,$D$4:$D$663,D664,$E$4:$E$663,E664,$B$4:$B$663,"DE REPROCESO")+SUMIFS($F$4:$F$663,$C$4:$C$663,C664,$D$4:$D$663,D664,$E$4:$E$663,E664,$B$4:$B$663,"AJUSTE+")-SUMIFS($F$4:$F$663,$C$4:$C$663,C664,$D$4:$D$663,D664,$E$4:$E$663,E664,$B$4:$B$663,"A CORTE")-SUMIFS($F$4:$F$663,$C$4:$C$663,C664,$D$4:$D$663,D664,$E$4:$E$663,E664,$B$4:$B$663,"A REPROCESO")-SUMIFS($F$4:$F$663,$C$4:$C$663,C664,$D$4:$D$663,D664,$E$4:$E$663,E664,$B$4:$B$663,"MUESTRA")-SUMIFS($F$4:$F$663,$C$4:$C$663,C664,$D$4:$D$663,D664,$E$4:$E$663,E664,$B$4:$B$663,"AJUSTE-")),0)</f>
        <v>0</v>
      </c>
      <c r="L664" s="13">
        <f t="shared" si="13"/>
        <v>0</v>
      </c>
      <c r="M664" s="8"/>
      <c r="N664" s="14"/>
      <c r="O664" s="14"/>
      <c r="P664" s="14"/>
      <c r="Q664" s="15"/>
      <c r="R664" s="16" t="str">
        <f t="shared" si="14"/>
        <v/>
      </c>
    </row>
    <row r="665" ht="15.75" customHeight="1">
      <c r="A665" s="7"/>
      <c r="B665" s="8"/>
      <c r="C665" s="8"/>
      <c r="D665" s="8"/>
      <c r="E665" s="8"/>
      <c r="F665" s="9"/>
      <c r="G665" s="10">
        <f>IFERROR(F665*VLOOKUP(D665,TELAS!$A$4:$C$32,3,FALSE()),0)</f>
        <v>0</v>
      </c>
      <c r="H665" s="11" t="str">
        <f>IFERROR(VLOOKUP(E665,COLORES!$A$4:$B$102,2,FALSE()),"")</f>
        <v/>
      </c>
      <c r="I665" s="12">
        <f>IFERROR(IF(H665="OSCURO",VLOOKUP(D665,PRECIOS!$A$4:$F$32,2,FALSE()),IF(H665="CLARO",VLOOKUP(D665,PRECIOS!$A$4:$F$32,3,FALSE()),IF(H665="MELANGE",VLOOKUP(D665,PRECIOS!$A$4:$F$32,4,FALSE()),IF(H665="PPT",VLOOKUP(D665,PRECIOS!$A$4:$F$32,5,FALSE()),0)))),0)</f>
        <v>0</v>
      </c>
      <c r="J665" s="12">
        <f t="shared" si="12"/>
        <v>0</v>
      </c>
      <c r="K665" s="13">
        <f>IFERROR(IF(C665="",0,SUMIFS($F$4:$F$664,$C$4:$C$664,C665,$D$4:$D$664,D665,$E$4:$E$664,E665,$B$4:$B$664,"INGRESO")+SUMIFS($F$4:$F$664,$C$4:$C$664,C665,$D$4:$D$664,D665,$E$4:$E$664,E665,$B$4:$B$664,"DE REPROCESO")+SUMIFS($F$4:$F$664,$C$4:$C$664,C665,$D$4:$D$664,D665,$E$4:$E$664,E665,$B$4:$B$664,"AJUSTE+")-SUMIFS($F$4:$F$664,$C$4:$C$664,C665,$D$4:$D$664,D665,$E$4:$E$664,E665,$B$4:$B$664,"A CORTE")-SUMIFS($F$4:$F$664,$C$4:$C$664,C665,$D$4:$D$664,D665,$E$4:$E$664,E665,$B$4:$B$664,"A REPROCESO")-SUMIFS($F$4:$F$664,$C$4:$C$664,C665,$D$4:$D$664,D665,$E$4:$E$664,E665,$B$4:$B$664,"MUESTRA")-SUMIFS($F$4:$F$664,$C$4:$C$664,C665,$D$4:$D$664,D665,$E$4:$E$664,E665,$B$4:$B$664,"AJUSTE-")),0)</f>
        <v>0</v>
      </c>
      <c r="L665" s="13">
        <f t="shared" si="13"/>
        <v>0</v>
      </c>
      <c r="M665" s="8"/>
      <c r="N665" s="14"/>
      <c r="O665" s="14"/>
      <c r="P665" s="14"/>
      <c r="Q665" s="15"/>
      <c r="R665" s="16" t="str">
        <f t="shared" si="14"/>
        <v/>
      </c>
    </row>
    <row r="666" ht="15.75" customHeight="1">
      <c r="A666" s="7"/>
      <c r="B666" s="8"/>
      <c r="C666" s="8"/>
      <c r="D666" s="8"/>
      <c r="E666" s="8"/>
      <c r="F666" s="9"/>
      <c r="G666" s="10">
        <f>IFERROR(F666*VLOOKUP(D666,TELAS!$A$4:$C$32,3,FALSE()),0)</f>
        <v>0</v>
      </c>
      <c r="H666" s="11" t="str">
        <f>IFERROR(VLOOKUP(E666,COLORES!$A$4:$B$102,2,FALSE()),"")</f>
        <v/>
      </c>
      <c r="I666" s="12">
        <f>IFERROR(IF(H666="OSCURO",VLOOKUP(D666,PRECIOS!$A$4:$F$32,2,FALSE()),IF(H666="CLARO",VLOOKUP(D666,PRECIOS!$A$4:$F$32,3,FALSE()),IF(H666="MELANGE",VLOOKUP(D666,PRECIOS!$A$4:$F$32,4,FALSE()),IF(H666="PPT",VLOOKUP(D666,PRECIOS!$A$4:$F$32,5,FALSE()),0)))),0)</f>
        <v>0</v>
      </c>
      <c r="J666" s="12">
        <f t="shared" si="12"/>
        <v>0</v>
      </c>
      <c r="K666" s="13">
        <f>IFERROR(IF(C666="",0,SUMIFS($F$4:$F$665,$C$4:$C$665,C666,$D$4:$D$665,D666,$E$4:$E$665,E666,$B$4:$B$665,"INGRESO")+SUMIFS($F$4:$F$665,$C$4:$C$665,C666,$D$4:$D$665,D666,$E$4:$E$665,E666,$B$4:$B$665,"DE REPROCESO")+SUMIFS($F$4:$F$665,$C$4:$C$665,C666,$D$4:$D$665,D666,$E$4:$E$665,E666,$B$4:$B$665,"AJUSTE+")-SUMIFS($F$4:$F$665,$C$4:$C$665,C666,$D$4:$D$665,D666,$E$4:$E$665,E666,$B$4:$B$665,"A CORTE")-SUMIFS($F$4:$F$665,$C$4:$C$665,C666,$D$4:$D$665,D666,$E$4:$E$665,E666,$B$4:$B$665,"A REPROCESO")-SUMIFS($F$4:$F$665,$C$4:$C$665,C666,$D$4:$D$665,D666,$E$4:$E$665,E666,$B$4:$B$665,"MUESTRA")-SUMIFS($F$4:$F$665,$C$4:$C$665,C666,$D$4:$D$665,D666,$E$4:$E$665,E666,$B$4:$B$665,"AJUSTE-")),0)</f>
        <v>0</v>
      </c>
      <c r="L666" s="13">
        <f t="shared" si="13"/>
        <v>0</v>
      </c>
      <c r="M666" s="8"/>
      <c r="N666" s="14"/>
      <c r="O666" s="14"/>
      <c r="P666" s="14"/>
      <c r="Q666" s="15"/>
      <c r="R666" s="16" t="str">
        <f t="shared" si="14"/>
        <v/>
      </c>
    </row>
    <row r="667" ht="15.75" customHeight="1">
      <c r="A667" s="7"/>
      <c r="B667" s="8"/>
      <c r="C667" s="8"/>
      <c r="D667" s="8"/>
      <c r="E667" s="8"/>
      <c r="F667" s="9"/>
      <c r="G667" s="10">
        <f>IFERROR(F667*VLOOKUP(D667,TELAS!$A$4:$C$32,3,FALSE()),0)</f>
        <v>0</v>
      </c>
      <c r="H667" s="11" t="str">
        <f>IFERROR(VLOOKUP(E667,COLORES!$A$4:$B$102,2,FALSE()),"")</f>
        <v/>
      </c>
      <c r="I667" s="12">
        <f>IFERROR(IF(H667="OSCURO",VLOOKUP(D667,PRECIOS!$A$4:$F$32,2,FALSE()),IF(H667="CLARO",VLOOKUP(D667,PRECIOS!$A$4:$F$32,3,FALSE()),IF(H667="MELANGE",VLOOKUP(D667,PRECIOS!$A$4:$F$32,4,FALSE()),IF(H667="PPT",VLOOKUP(D667,PRECIOS!$A$4:$F$32,5,FALSE()),0)))),0)</f>
        <v>0</v>
      </c>
      <c r="J667" s="12">
        <f t="shared" si="12"/>
        <v>0</v>
      </c>
      <c r="K667" s="13">
        <f>IFERROR(IF(C667="",0,SUMIFS($F$4:$F$666,$C$4:$C$666,C667,$D$4:$D$666,D667,$E$4:$E$666,E667,$B$4:$B$666,"INGRESO")+SUMIFS($F$4:$F$666,$C$4:$C$666,C667,$D$4:$D$666,D667,$E$4:$E$666,E667,$B$4:$B$666,"DE REPROCESO")+SUMIFS($F$4:$F$666,$C$4:$C$666,C667,$D$4:$D$666,D667,$E$4:$E$666,E667,$B$4:$B$666,"AJUSTE+")-SUMIFS($F$4:$F$666,$C$4:$C$666,C667,$D$4:$D$666,D667,$E$4:$E$666,E667,$B$4:$B$666,"A CORTE")-SUMIFS($F$4:$F$666,$C$4:$C$666,C667,$D$4:$D$666,D667,$E$4:$E$666,E667,$B$4:$B$666,"A REPROCESO")-SUMIFS($F$4:$F$666,$C$4:$C$666,C667,$D$4:$D$666,D667,$E$4:$E$666,E667,$B$4:$B$666,"MUESTRA")-SUMIFS($F$4:$F$666,$C$4:$C$666,C667,$D$4:$D$666,D667,$E$4:$E$666,E667,$B$4:$B$666,"AJUSTE-")),0)</f>
        <v>0</v>
      </c>
      <c r="L667" s="13">
        <f t="shared" si="13"/>
        <v>0</v>
      </c>
      <c r="M667" s="8"/>
      <c r="N667" s="14"/>
      <c r="O667" s="14"/>
      <c r="P667" s="14"/>
      <c r="Q667" s="15"/>
      <c r="R667" s="16" t="str">
        <f t="shared" si="14"/>
        <v/>
      </c>
    </row>
    <row r="668" ht="15.75" customHeight="1">
      <c r="A668" s="7"/>
      <c r="B668" s="8"/>
      <c r="C668" s="8"/>
      <c r="D668" s="8"/>
      <c r="E668" s="8"/>
      <c r="F668" s="9"/>
      <c r="G668" s="10">
        <f>IFERROR(F668*VLOOKUP(D668,TELAS!$A$4:$C$32,3,FALSE()),0)</f>
        <v>0</v>
      </c>
      <c r="H668" s="11" t="str">
        <f>IFERROR(VLOOKUP(E668,COLORES!$A$4:$B$102,2,FALSE()),"")</f>
        <v/>
      </c>
      <c r="I668" s="12">
        <f>IFERROR(IF(H668="OSCURO",VLOOKUP(D668,PRECIOS!$A$4:$F$32,2,FALSE()),IF(H668="CLARO",VLOOKUP(D668,PRECIOS!$A$4:$F$32,3,FALSE()),IF(H668="MELANGE",VLOOKUP(D668,PRECIOS!$A$4:$F$32,4,FALSE()),IF(H668="PPT",VLOOKUP(D668,PRECIOS!$A$4:$F$32,5,FALSE()),0)))),0)</f>
        <v>0</v>
      </c>
      <c r="J668" s="12">
        <f t="shared" si="12"/>
        <v>0</v>
      </c>
      <c r="K668" s="13">
        <f>IFERROR(IF(C668="",0,SUMIFS($F$4:$F$667,$C$4:$C$667,C668,$D$4:$D$667,D668,$E$4:$E$667,E668,$B$4:$B$667,"INGRESO")+SUMIFS($F$4:$F$667,$C$4:$C$667,C668,$D$4:$D$667,D668,$E$4:$E$667,E668,$B$4:$B$667,"DE REPROCESO")+SUMIFS($F$4:$F$667,$C$4:$C$667,C668,$D$4:$D$667,D668,$E$4:$E$667,E668,$B$4:$B$667,"AJUSTE+")-SUMIFS($F$4:$F$667,$C$4:$C$667,C668,$D$4:$D$667,D668,$E$4:$E$667,E668,$B$4:$B$667,"A CORTE")-SUMIFS($F$4:$F$667,$C$4:$C$667,C668,$D$4:$D$667,D668,$E$4:$E$667,E668,$B$4:$B$667,"A REPROCESO")-SUMIFS($F$4:$F$667,$C$4:$C$667,C668,$D$4:$D$667,D668,$E$4:$E$667,E668,$B$4:$B$667,"MUESTRA")-SUMIFS($F$4:$F$667,$C$4:$C$667,C668,$D$4:$D$667,D668,$E$4:$E$667,E668,$B$4:$B$667,"AJUSTE-")),0)</f>
        <v>0</v>
      </c>
      <c r="L668" s="13">
        <f t="shared" si="13"/>
        <v>0</v>
      </c>
      <c r="M668" s="8"/>
      <c r="N668" s="14"/>
      <c r="O668" s="14"/>
      <c r="P668" s="14"/>
      <c r="Q668" s="15"/>
      <c r="R668" s="16" t="str">
        <f t="shared" si="14"/>
        <v/>
      </c>
    </row>
    <row r="669" ht="15.75" customHeight="1">
      <c r="A669" s="7"/>
      <c r="B669" s="8"/>
      <c r="C669" s="8"/>
      <c r="D669" s="8"/>
      <c r="E669" s="8"/>
      <c r="F669" s="9"/>
      <c r="G669" s="10">
        <f>IFERROR(F669*VLOOKUP(D669,TELAS!$A$4:$C$32,3,FALSE()),0)</f>
        <v>0</v>
      </c>
      <c r="H669" s="11" t="str">
        <f>IFERROR(VLOOKUP(E669,COLORES!$A$4:$B$102,2,FALSE()),"")</f>
        <v/>
      </c>
      <c r="I669" s="12">
        <f>IFERROR(IF(H669="OSCURO",VLOOKUP(D669,PRECIOS!$A$4:$F$32,2,FALSE()),IF(H669="CLARO",VLOOKUP(D669,PRECIOS!$A$4:$F$32,3,FALSE()),IF(H669="MELANGE",VLOOKUP(D669,PRECIOS!$A$4:$F$32,4,FALSE()),IF(H669="PPT",VLOOKUP(D669,PRECIOS!$A$4:$F$32,5,FALSE()),0)))),0)</f>
        <v>0</v>
      </c>
      <c r="J669" s="12">
        <f t="shared" si="12"/>
        <v>0</v>
      </c>
      <c r="K669" s="13">
        <f>IFERROR(IF(C669="",0,SUMIFS($F$4:$F$668,$C$4:$C$668,C669,$D$4:$D$668,D669,$E$4:$E$668,E669,$B$4:$B$668,"INGRESO")+SUMIFS($F$4:$F$668,$C$4:$C$668,C669,$D$4:$D$668,D669,$E$4:$E$668,E669,$B$4:$B$668,"DE REPROCESO")+SUMIFS($F$4:$F$668,$C$4:$C$668,C669,$D$4:$D$668,D669,$E$4:$E$668,E669,$B$4:$B$668,"AJUSTE+")-SUMIFS($F$4:$F$668,$C$4:$C$668,C669,$D$4:$D$668,D669,$E$4:$E$668,E669,$B$4:$B$668,"A CORTE")-SUMIFS($F$4:$F$668,$C$4:$C$668,C669,$D$4:$D$668,D669,$E$4:$E$668,E669,$B$4:$B$668,"A REPROCESO")-SUMIFS($F$4:$F$668,$C$4:$C$668,C669,$D$4:$D$668,D669,$E$4:$E$668,E669,$B$4:$B$668,"MUESTRA")-SUMIFS($F$4:$F$668,$C$4:$C$668,C669,$D$4:$D$668,D669,$E$4:$E$668,E669,$B$4:$B$668,"AJUSTE-")),0)</f>
        <v>0</v>
      </c>
      <c r="L669" s="13">
        <f t="shared" si="13"/>
        <v>0</v>
      </c>
      <c r="M669" s="8"/>
      <c r="N669" s="14"/>
      <c r="O669" s="14"/>
      <c r="P669" s="14"/>
      <c r="Q669" s="15"/>
      <c r="R669" s="16" t="str">
        <f t="shared" si="14"/>
        <v/>
      </c>
    </row>
    <row r="670" ht="15.75" customHeight="1">
      <c r="A670" s="7"/>
      <c r="B670" s="8"/>
      <c r="C670" s="8"/>
      <c r="D670" s="8"/>
      <c r="E670" s="8"/>
      <c r="F670" s="9"/>
      <c r="G670" s="10">
        <f>IFERROR(F670*VLOOKUP(D670,TELAS!$A$4:$C$32,3,FALSE()),0)</f>
        <v>0</v>
      </c>
      <c r="H670" s="11" t="str">
        <f>IFERROR(VLOOKUP(E670,COLORES!$A$4:$B$102,2,FALSE()),"")</f>
        <v/>
      </c>
      <c r="I670" s="12">
        <f>IFERROR(IF(H670="OSCURO",VLOOKUP(D670,PRECIOS!$A$4:$F$32,2,FALSE()),IF(H670="CLARO",VLOOKUP(D670,PRECIOS!$A$4:$F$32,3,FALSE()),IF(H670="MELANGE",VLOOKUP(D670,PRECIOS!$A$4:$F$32,4,FALSE()),IF(H670="PPT",VLOOKUP(D670,PRECIOS!$A$4:$F$32,5,FALSE()),0)))),0)</f>
        <v>0</v>
      </c>
      <c r="J670" s="12">
        <f t="shared" si="12"/>
        <v>0</v>
      </c>
      <c r="K670" s="13">
        <f>IFERROR(IF(C670="",0,SUMIFS($F$4:$F$669,$C$4:$C$669,C670,$D$4:$D$669,D670,$E$4:$E$669,E670,$B$4:$B$669,"INGRESO")+SUMIFS($F$4:$F$669,$C$4:$C$669,C670,$D$4:$D$669,D670,$E$4:$E$669,E670,$B$4:$B$669,"DE REPROCESO")+SUMIFS($F$4:$F$669,$C$4:$C$669,C670,$D$4:$D$669,D670,$E$4:$E$669,E670,$B$4:$B$669,"AJUSTE+")-SUMIFS($F$4:$F$669,$C$4:$C$669,C670,$D$4:$D$669,D670,$E$4:$E$669,E670,$B$4:$B$669,"A CORTE")-SUMIFS($F$4:$F$669,$C$4:$C$669,C670,$D$4:$D$669,D670,$E$4:$E$669,E670,$B$4:$B$669,"A REPROCESO")-SUMIFS($F$4:$F$669,$C$4:$C$669,C670,$D$4:$D$669,D670,$E$4:$E$669,E670,$B$4:$B$669,"MUESTRA")-SUMIFS($F$4:$F$669,$C$4:$C$669,C670,$D$4:$D$669,D670,$E$4:$E$669,E670,$B$4:$B$669,"AJUSTE-")),0)</f>
        <v>0</v>
      </c>
      <c r="L670" s="13">
        <f t="shared" si="13"/>
        <v>0</v>
      </c>
      <c r="M670" s="8"/>
      <c r="N670" s="14"/>
      <c r="O670" s="14"/>
      <c r="P670" s="14"/>
      <c r="Q670" s="15"/>
      <c r="R670" s="16" t="str">
        <f t="shared" si="14"/>
        <v/>
      </c>
    </row>
    <row r="671" ht="15.75" customHeight="1">
      <c r="A671" s="7"/>
      <c r="B671" s="8"/>
      <c r="C671" s="8"/>
      <c r="D671" s="8"/>
      <c r="E671" s="8"/>
      <c r="F671" s="9"/>
      <c r="G671" s="10">
        <f>IFERROR(F671*VLOOKUP(D671,TELAS!$A$4:$C$32,3,FALSE()),0)</f>
        <v>0</v>
      </c>
      <c r="H671" s="11" t="str">
        <f>IFERROR(VLOOKUP(E671,COLORES!$A$4:$B$102,2,FALSE()),"")</f>
        <v/>
      </c>
      <c r="I671" s="12">
        <f>IFERROR(IF(H671="OSCURO",VLOOKUP(D671,PRECIOS!$A$4:$F$32,2,FALSE()),IF(H671="CLARO",VLOOKUP(D671,PRECIOS!$A$4:$F$32,3,FALSE()),IF(H671="MELANGE",VLOOKUP(D671,PRECIOS!$A$4:$F$32,4,FALSE()),IF(H671="PPT",VLOOKUP(D671,PRECIOS!$A$4:$F$32,5,FALSE()),0)))),0)</f>
        <v>0</v>
      </c>
      <c r="J671" s="12">
        <f t="shared" si="12"/>
        <v>0</v>
      </c>
      <c r="K671" s="13">
        <f>IFERROR(IF(C671="",0,SUMIFS($F$4:$F$670,$C$4:$C$670,C671,$D$4:$D$670,D671,$E$4:$E$670,E671,$B$4:$B$670,"INGRESO")+SUMIFS($F$4:$F$670,$C$4:$C$670,C671,$D$4:$D$670,D671,$E$4:$E$670,E671,$B$4:$B$670,"DE REPROCESO")+SUMIFS($F$4:$F$670,$C$4:$C$670,C671,$D$4:$D$670,D671,$E$4:$E$670,E671,$B$4:$B$670,"AJUSTE+")-SUMIFS($F$4:$F$670,$C$4:$C$670,C671,$D$4:$D$670,D671,$E$4:$E$670,E671,$B$4:$B$670,"A CORTE")-SUMIFS($F$4:$F$670,$C$4:$C$670,C671,$D$4:$D$670,D671,$E$4:$E$670,E671,$B$4:$B$670,"A REPROCESO")-SUMIFS($F$4:$F$670,$C$4:$C$670,C671,$D$4:$D$670,D671,$E$4:$E$670,E671,$B$4:$B$670,"MUESTRA")-SUMIFS($F$4:$F$670,$C$4:$C$670,C671,$D$4:$D$670,D671,$E$4:$E$670,E671,$B$4:$B$670,"AJUSTE-")),0)</f>
        <v>0</v>
      </c>
      <c r="L671" s="13">
        <f t="shared" si="13"/>
        <v>0</v>
      </c>
      <c r="M671" s="8"/>
      <c r="N671" s="14"/>
      <c r="O671" s="14"/>
      <c r="P671" s="14"/>
      <c r="Q671" s="15"/>
      <c r="R671" s="16" t="str">
        <f t="shared" si="14"/>
        <v/>
      </c>
    </row>
    <row r="672" ht="15.75" customHeight="1">
      <c r="A672" s="7"/>
      <c r="B672" s="8"/>
      <c r="C672" s="8"/>
      <c r="D672" s="8"/>
      <c r="E672" s="8"/>
      <c r="F672" s="9"/>
      <c r="G672" s="10">
        <f>IFERROR(F672*VLOOKUP(D672,TELAS!$A$4:$C$32,3,FALSE()),0)</f>
        <v>0</v>
      </c>
      <c r="H672" s="11" t="str">
        <f>IFERROR(VLOOKUP(E672,COLORES!$A$4:$B$102,2,FALSE()),"")</f>
        <v/>
      </c>
      <c r="I672" s="12">
        <f>IFERROR(IF(H672="OSCURO",VLOOKUP(D672,PRECIOS!$A$4:$F$32,2,FALSE()),IF(H672="CLARO",VLOOKUP(D672,PRECIOS!$A$4:$F$32,3,FALSE()),IF(H672="MELANGE",VLOOKUP(D672,PRECIOS!$A$4:$F$32,4,FALSE()),IF(H672="PPT",VLOOKUP(D672,PRECIOS!$A$4:$F$32,5,FALSE()),0)))),0)</f>
        <v>0</v>
      </c>
      <c r="J672" s="12">
        <f t="shared" si="12"/>
        <v>0</v>
      </c>
      <c r="K672" s="13">
        <f>IFERROR(IF(C672="",0,SUMIFS($F$4:$F$671,$C$4:$C$671,C672,$D$4:$D$671,D672,$E$4:$E$671,E672,$B$4:$B$671,"INGRESO")+SUMIFS($F$4:$F$671,$C$4:$C$671,C672,$D$4:$D$671,D672,$E$4:$E$671,E672,$B$4:$B$671,"DE REPROCESO")+SUMIFS($F$4:$F$671,$C$4:$C$671,C672,$D$4:$D$671,D672,$E$4:$E$671,E672,$B$4:$B$671,"AJUSTE+")-SUMIFS($F$4:$F$671,$C$4:$C$671,C672,$D$4:$D$671,D672,$E$4:$E$671,E672,$B$4:$B$671,"A CORTE")-SUMIFS($F$4:$F$671,$C$4:$C$671,C672,$D$4:$D$671,D672,$E$4:$E$671,E672,$B$4:$B$671,"A REPROCESO")-SUMIFS($F$4:$F$671,$C$4:$C$671,C672,$D$4:$D$671,D672,$E$4:$E$671,E672,$B$4:$B$671,"MUESTRA")-SUMIFS($F$4:$F$671,$C$4:$C$671,C672,$D$4:$D$671,D672,$E$4:$E$671,E672,$B$4:$B$671,"AJUSTE-")),0)</f>
        <v>0</v>
      </c>
      <c r="L672" s="13">
        <f t="shared" si="13"/>
        <v>0</v>
      </c>
      <c r="M672" s="8"/>
      <c r="N672" s="14"/>
      <c r="O672" s="14"/>
      <c r="P672" s="14"/>
      <c r="Q672" s="15"/>
      <c r="R672" s="16" t="str">
        <f t="shared" si="14"/>
        <v/>
      </c>
    </row>
    <row r="673" ht="15.75" customHeight="1">
      <c r="A673" s="7"/>
      <c r="B673" s="8"/>
      <c r="C673" s="8"/>
      <c r="D673" s="8"/>
      <c r="E673" s="8"/>
      <c r="F673" s="9"/>
      <c r="G673" s="10">
        <f>IFERROR(F673*VLOOKUP(D673,TELAS!$A$4:$C$32,3,FALSE()),0)</f>
        <v>0</v>
      </c>
      <c r="H673" s="11" t="str">
        <f>IFERROR(VLOOKUP(E673,COLORES!$A$4:$B$102,2,FALSE()),"")</f>
        <v/>
      </c>
      <c r="I673" s="12">
        <f>IFERROR(IF(H673="OSCURO",VLOOKUP(D673,PRECIOS!$A$4:$F$32,2,FALSE()),IF(H673="CLARO",VLOOKUP(D673,PRECIOS!$A$4:$F$32,3,FALSE()),IF(H673="MELANGE",VLOOKUP(D673,PRECIOS!$A$4:$F$32,4,FALSE()),IF(H673="PPT",VLOOKUP(D673,PRECIOS!$A$4:$F$32,5,FALSE()),0)))),0)</f>
        <v>0</v>
      </c>
      <c r="J673" s="12">
        <f t="shared" si="12"/>
        <v>0</v>
      </c>
      <c r="K673" s="13">
        <f>IFERROR(IF(C673="",0,SUMIFS($F$4:$F$672,$C$4:$C$672,C673,$D$4:$D$672,D673,$E$4:$E$672,E673,$B$4:$B$672,"INGRESO")+SUMIFS($F$4:$F$672,$C$4:$C$672,C673,$D$4:$D$672,D673,$E$4:$E$672,E673,$B$4:$B$672,"DE REPROCESO")+SUMIFS($F$4:$F$672,$C$4:$C$672,C673,$D$4:$D$672,D673,$E$4:$E$672,E673,$B$4:$B$672,"AJUSTE+")-SUMIFS($F$4:$F$672,$C$4:$C$672,C673,$D$4:$D$672,D673,$E$4:$E$672,E673,$B$4:$B$672,"A CORTE")-SUMIFS($F$4:$F$672,$C$4:$C$672,C673,$D$4:$D$672,D673,$E$4:$E$672,E673,$B$4:$B$672,"A REPROCESO")-SUMIFS($F$4:$F$672,$C$4:$C$672,C673,$D$4:$D$672,D673,$E$4:$E$672,E673,$B$4:$B$672,"MUESTRA")-SUMIFS($F$4:$F$672,$C$4:$C$672,C673,$D$4:$D$672,D673,$E$4:$E$672,E673,$B$4:$B$672,"AJUSTE-")),0)</f>
        <v>0</v>
      </c>
      <c r="L673" s="13">
        <f t="shared" si="13"/>
        <v>0</v>
      </c>
      <c r="M673" s="8"/>
      <c r="N673" s="14"/>
      <c r="O673" s="14"/>
      <c r="P673" s="14"/>
      <c r="Q673" s="15"/>
      <c r="R673" s="16" t="str">
        <f t="shared" si="14"/>
        <v/>
      </c>
    </row>
    <row r="674" ht="15.75" customHeight="1">
      <c r="A674" s="7"/>
      <c r="B674" s="8"/>
      <c r="C674" s="8"/>
      <c r="D674" s="8"/>
      <c r="E674" s="8"/>
      <c r="F674" s="9"/>
      <c r="G674" s="10">
        <f>IFERROR(F674*VLOOKUP(D674,TELAS!$A$4:$C$32,3,FALSE()),0)</f>
        <v>0</v>
      </c>
      <c r="H674" s="11" t="str">
        <f>IFERROR(VLOOKUP(E674,COLORES!$A$4:$B$102,2,FALSE()),"")</f>
        <v/>
      </c>
      <c r="I674" s="12">
        <f>IFERROR(IF(H674="OSCURO",VLOOKUP(D674,PRECIOS!$A$4:$F$32,2,FALSE()),IF(H674="CLARO",VLOOKUP(D674,PRECIOS!$A$4:$F$32,3,FALSE()),IF(H674="MELANGE",VLOOKUP(D674,PRECIOS!$A$4:$F$32,4,FALSE()),IF(H674="PPT",VLOOKUP(D674,PRECIOS!$A$4:$F$32,5,FALSE()),0)))),0)</f>
        <v>0</v>
      </c>
      <c r="J674" s="12">
        <f t="shared" si="12"/>
        <v>0</v>
      </c>
      <c r="K674" s="13">
        <f>IFERROR(IF(C674="",0,SUMIFS($F$4:$F$673,$C$4:$C$673,C674,$D$4:$D$673,D674,$E$4:$E$673,E674,$B$4:$B$673,"INGRESO")+SUMIFS($F$4:$F$673,$C$4:$C$673,C674,$D$4:$D$673,D674,$E$4:$E$673,E674,$B$4:$B$673,"DE REPROCESO")+SUMIFS($F$4:$F$673,$C$4:$C$673,C674,$D$4:$D$673,D674,$E$4:$E$673,E674,$B$4:$B$673,"AJUSTE+")-SUMIFS($F$4:$F$673,$C$4:$C$673,C674,$D$4:$D$673,D674,$E$4:$E$673,E674,$B$4:$B$673,"A CORTE")-SUMIFS($F$4:$F$673,$C$4:$C$673,C674,$D$4:$D$673,D674,$E$4:$E$673,E674,$B$4:$B$673,"A REPROCESO")-SUMIFS($F$4:$F$673,$C$4:$C$673,C674,$D$4:$D$673,D674,$E$4:$E$673,E674,$B$4:$B$673,"MUESTRA")-SUMIFS($F$4:$F$673,$C$4:$C$673,C674,$D$4:$D$673,D674,$E$4:$E$673,E674,$B$4:$B$673,"AJUSTE-")),0)</f>
        <v>0</v>
      </c>
      <c r="L674" s="13">
        <f t="shared" si="13"/>
        <v>0</v>
      </c>
      <c r="M674" s="8"/>
      <c r="N674" s="14"/>
      <c r="O674" s="14"/>
      <c r="P674" s="14"/>
      <c r="Q674" s="15"/>
      <c r="R674" s="16" t="str">
        <f t="shared" si="14"/>
        <v/>
      </c>
    </row>
    <row r="675" ht="15.75" customHeight="1">
      <c r="A675" s="7"/>
      <c r="B675" s="8"/>
      <c r="C675" s="8"/>
      <c r="D675" s="8"/>
      <c r="E675" s="8"/>
      <c r="F675" s="9"/>
      <c r="G675" s="10">
        <f>IFERROR(F675*VLOOKUP(D675,TELAS!$A$4:$C$32,3,FALSE()),0)</f>
        <v>0</v>
      </c>
      <c r="H675" s="11" t="str">
        <f>IFERROR(VLOOKUP(E675,COLORES!$A$4:$B$102,2,FALSE()),"")</f>
        <v/>
      </c>
      <c r="I675" s="12">
        <f>IFERROR(IF(H675="OSCURO",VLOOKUP(D675,PRECIOS!$A$4:$F$32,2,FALSE()),IF(H675="CLARO",VLOOKUP(D675,PRECIOS!$A$4:$F$32,3,FALSE()),IF(H675="MELANGE",VLOOKUP(D675,PRECIOS!$A$4:$F$32,4,FALSE()),IF(H675="PPT",VLOOKUP(D675,PRECIOS!$A$4:$F$32,5,FALSE()),0)))),0)</f>
        <v>0</v>
      </c>
      <c r="J675" s="12">
        <f t="shared" si="12"/>
        <v>0</v>
      </c>
      <c r="K675" s="13">
        <f>IFERROR(IF(C675="",0,SUMIFS($F$4:$F$674,$C$4:$C$674,C675,$D$4:$D$674,D675,$E$4:$E$674,E675,$B$4:$B$674,"INGRESO")+SUMIFS($F$4:$F$674,$C$4:$C$674,C675,$D$4:$D$674,D675,$E$4:$E$674,E675,$B$4:$B$674,"DE REPROCESO")+SUMIFS($F$4:$F$674,$C$4:$C$674,C675,$D$4:$D$674,D675,$E$4:$E$674,E675,$B$4:$B$674,"AJUSTE+")-SUMIFS($F$4:$F$674,$C$4:$C$674,C675,$D$4:$D$674,D675,$E$4:$E$674,E675,$B$4:$B$674,"A CORTE")-SUMIFS($F$4:$F$674,$C$4:$C$674,C675,$D$4:$D$674,D675,$E$4:$E$674,E675,$B$4:$B$674,"A REPROCESO")-SUMIFS($F$4:$F$674,$C$4:$C$674,C675,$D$4:$D$674,D675,$E$4:$E$674,E675,$B$4:$B$674,"MUESTRA")-SUMIFS($F$4:$F$674,$C$4:$C$674,C675,$D$4:$D$674,D675,$E$4:$E$674,E675,$B$4:$B$674,"AJUSTE-")),0)</f>
        <v>0</v>
      </c>
      <c r="L675" s="13">
        <f t="shared" si="13"/>
        <v>0</v>
      </c>
      <c r="M675" s="8"/>
      <c r="N675" s="14"/>
      <c r="O675" s="14"/>
      <c r="P675" s="14"/>
      <c r="Q675" s="15"/>
      <c r="R675" s="16" t="str">
        <f t="shared" si="14"/>
        <v/>
      </c>
    </row>
    <row r="676" ht="15.75" customHeight="1">
      <c r="A676" s="7"/>
      <c r="B676" s="8"/>
      <c r="C676" s="8"/>
      <c r="D676" s="8"/>
      <c r="E676" s="8"/>
      <c r="F676" s="9"/>
      <c r="G676" s="10">
        <f>IFERROR(F676*VLOOKUP(D676,TELAS!$A$4:$C$32,3,FALSE()),0)</f>
        <v>0</v>
      </c>
      <c r="H676" s="11" t="str">
        <f>IFERROR(VLOOKUP(E676,COLORES!$A$4:$B$102,2,FALSE()),"")</f>
        <v/>
      </c>
      <c r="I676" s="12">
        <f>IFERROR(IF(H676="OSCURO",VLOOKUP(D676,PRECIOS!$A$4:$F$32,2,FALSE()),IF(H676="CLARO",VLOOKUP(D676,PRECIOS!$A$4:$F$32,3,FALSE()),IF(H676="MELANGE",VLOOKUP(D676,PRECIOS!$A$4:$F$32,4,FALSE()),IF(H676="PPT",VLOOKUP(D676,PRECIOS!$A$4:$F$32,5,FALSE()),0)))),0)</f>
        <v>0</v>
      </c>
      <c r="J676" s="12">
        <f t="shared" si="12"/>
        <v>0</v>
      </c>
      <c r="K676" s="13">
        <f>IFERROR(IF(C676="",0,SUMIFS($F$4:$F$675,$C$4:$C$675,C676,$D$4:$D$675,D676,$E$4:$E$675,E676,$B$4:$B$675,"INGRESO")+SUMIFS($F$4:$F$675,$C$4:$C$675,C676,$D$4:$D$675,D676,$E$4:$E$675,E676,$B$4:$B$675,"DE REPROCESO")+SUMIFS($F$4:$F$675,$C$4:$C$675,C676,$D$4:$D$675,D676,$E$4:$E$675,E676,$B$4:$B$675,"AJUSTE+")-SUMIFS($F$4:$F$675,$C$4:$C$675,C676,$D$4:$D$675,D676,$E$4:$E$675,E676,$B$4:$B$675,"A CORTE")-SUMIFS($F$4:$F$675,$C$4:$C$675,C676,$D$4:$D$675,D676,$E$4:$E$675,E676,$B$4:$B$675,"A REPROCESO")-SUMIFS($F$4:$F$675,$C$4:$C$675,C676,$D$4:$D$675,D676,$E$4:$E$675,E676,$B$4:$B$675,"MUESTRA")-SUMIFS($F$4:$F$675,$C$4:$C$675,C676,$D$4:$D$675,D676,$E$4:$E$675,E676,$B$4:$B$675,"AJUSTE-")),0)</f>
        <v>0</v>
      </c>
      <c r="L676" s="13">
        <f t="shared" si="13"/>
        <v>0</v>
      </c>
      <c r="M676" s="8"/>
      <c r="N676" s="14"/>
      <c r="O676" s="14"/>
      <c r="P676" s="14"/>
      <c r="Q676" s="15"/>
      <c r="R676" s="16" t="str">
        <f t="shared" si="14"/>
        <v/>
      </c>
    </row>
    <row r="677" ht="15.75" customHeight="1">
      <c r="A677" s="7"/>
      <c r="B677" s="8"/>
      <c r="C677" s="8"/>
      <c r="D677" s="8"/>
      <c r="E677" s="8"/>
      <c r="F677" s="9"/>
      <c r="G677" s="10">
        <f>IFERROR(F677*VLOOKUP(D677,TELAS!$A$4:$C$32,3,FALSE()),0)</f>
        <v>0</v>
      </c>
      <c r="H677" s="11" t="str">
        <f>IFERROR(VLOOKUP(E677,COLORES!$A$4:$B$102,2,FALSE()),"")</f>
        <v/>
      </c>
      <c r="I677" s="12">
        <f>IFERROR(IF(H677="OSCURO",VLOOKUP(D677,PRECIOS!$A$4:$F$32,2,FALSE()),IF(H677="CLARO",VLOOKUP(D677,PRECIOS!$A$4:$F$32,3,FALSE()),IF(H677="MELANGE",VLOOKUP(D677,PRECIOS!$A$4:$F$32,4,FALSE()),IF(H677="PPT",VLOOKUP(D677,PRECIOS!$A$4:$F$32,5,FALSE()),0)))),0)</f>
        <v>0</v>
      </c>
      <c r="J677" s="12">
        <f t="shared" si="12"/>
        <v>0</v>
      </c>
      <c r="K677" s="13">
        <f>IFERROR(IF(C677="",0,SUMIFS($F$4:$F$676,$C$4:$C$676,C677,$D$4:$D$676,D677,$E$4:$E$676,E677,$B$4:$B$676,"INGRESO")+SUMIFS($F$4:$F$676,$C$4:$C$676,C677,$D$4:$D$676,D677,$E$4:$E$676,E677,$B$4:$B$676,"DE REPROCESO")+SUMIFS($F$4:$F$676,$C$4:$C$676,C677,$D$4:$D$676,D677,$E$4:$E$676,E677,$B$4:$B$676,"AJUSTE+")-SUMIFS($F$4:$F$676,$C$4:$C$676,C677,$D$4:$D$676,D677,$E$4:$E$676,E677,$B$4:$B$676,"A CORTE")-SUMIFS($F$4:$F$676,$C$4:$C$676,C677,$D$4:$D$676,D677,$E$4:$E$676,E677,$B$4:$B$676,"A REPROCESO")-SUMIFS($F$4:$F$676,$C$4:$C$676,C677,$D$4:$D$676,D677,$E$4:$E$676,E677,$B$4:$B$676,"MUESTRA")-SUMIFS($F$4:$F$676,$C$4:$C$676,C677,$D$4:$D$676,D677,$E$4:$E$676,E677,$B$4:$B$676,"AJUSTE-")),0)</f>
        <v>0</v>
      </c>
      <c r="L677" s="13">
        <f t="shared" si="13"/>
        <v>0</v>
      </c>
      <c r="M677" s="8"/>
      <c r="N677" s="14"/>
      <c r="O677" s="14"/>
      <c r="P677" s="14"/>
      <c r="Q677" s="15"/>
      <c r="R677" s="16" t="str">
        <f t="shared" si="14"/>
        <v/>
      </c>
    </row>
    <row r="678" ht="15.75" customHeight="1">
      <c r="A678" s="7"/>
      <c r="B678" s="8"/>
      <c r="C678" s="8"/>
      <c r="D678" s="8"/>
      <c r="E678" s="8"/>
      <c r="F678" s="9"/>
      <c r="G678" s="10">
        <f>IFERROR(F678*VLOOKUP(D678,TELAS!$A$4:$C$32,3,FALSE()),0)</f>
        <v>0</v>
      </c>
      <c r="H678" s="11" t="str">
        <f>IFERROR(VLOOKUP(E678,COLORES!$A$4:$B$102,2,FALSE()),"")</f>
        <v/>
      </c>
      <c r="I678" s="12">
        <f>IFERROR(IF(H678="OSCURO",VLOOKUP(D678,PRECIOS!$A$4:$F$32,2,FALSE()),IF(H678="CLARO",VLOOKUP(D678,PRECIOS!$A$4:$F$32,3,FALSE()),IF(H678="MELANGE",VLOOKUP(D678,PRECIOS!$A$4:$F$32,4,FALSE()),IF(H678="PPT",VLOOKUP(D678,PRECIOS!$A$4:$F$32,5,FALSE()),0)))),0)</f>
        <v>0</v>
      </c>
      <c r="J678" s="12">
        <f t="shared" si="12"/>
        <v>0</v>
      </c>
      <c r="K678" s="13">
        <f>IFERROR(IF(C678="",0,SUMIFS($F$4:$F$677,$C$4:$C$677,C678,$D$4:$D$677,D678,$E$4:$E$677,E678,$B$4:$B$677,"INGRESO")+SUMIFS($F$4:$F$677,$C$4:$C$677,C678,$D$4:$D$677,D678,$E$4:$E$677,E678,$B$4:$B$677,"DE REPROCESO")+SUMIFS($F$4:$F$677,$C$4:$C$677,C678,$D$4:$D$677,D678,$E$4:$E$677,E678,$B$4:$B$677,"AJUSTE+")-SUMIFS($F$4:$F$677,$C$4:$C$677,C678,$D$4:$D$677,D678,$E$4:$E$677,E678,$B$4:$B$677,"A CORTE")-SUMIFS($F$4:$F$677,$C$4:$C$677,C678,$D$4:$D$677,D678,$E$4:$E$677,E678,$B$4:$B$677,"A REPROCESO")-SUMIFS($F$4:$F$677,$C$4:$C$677,C678,$D$4:$D$677,D678,$E$4:$E$677,E678,$B$4:$B$677,"MUESTRA")-SUMIFS($F$4:$F$677,$C$4:$C$677,C678,$D$4:$D$677,D678,$E$4:$E$677,E678,$B$4:$B$677,"AJUSTE-")),0)</f>
        <v>0</v>
      </c>
      <c r="L678" s="13">
        <f t="shared" si="13"/>
        <v>0</v>
      </c>
      <c r="M678" s="8"/>
      <c r="N678" s="14"/>
      <c r="O678" s="14"/>
      <c r="P678" s="14"/>
      <c r="Q678" s="15"/>
      <c r="R678" s="16" t="str">
        <f t="shared" si="14"/>
        <v/>
      </c>
    </row>
    <row r="679" ht="15.75" customHeight="1">
      <c r="A679" s="7"/>
      <c r="B679" s="8"/>
      <c r="C679" s="8"/>
      <c r="D679" s="8"/>
      <c r="E679" s="8"/>
      <c r="F679" s="9"/>
      <c r="G679" s="10">
        <f>IFERROR(F679*VLOOKUP(D679,TELAS!$A$4:$C$32,3,FALSE()),0)</f>
        <v>0</v>
      </c>
      <c r="H679" s="11" t="str">
        <f>IFERROR(VLOOKUP(E679,COLORES!$A$4:$B$102,2,FALSE()),"")</f>
        <v/>
      </c>
      <c r="I679" s="12">
        <f>IFERROR(IF(H679="OSCURO",VLOOKUP(D679,PRECIOS!$A$4:$F$32,2,FALSE()),IF(H679="CLARO",VLOOKUP(D679,PRECIOS!$A$4:$F$32,3,FALSE()),IF(H679="MELANGE",VLOOKUP(D679,PRECIOS!$A$4:$F$32,4,FALSE()),IF(H679="PPT",VLOOKUP(D679,PRECIOS!$A$4:$F$32,5,FALSE()),0)))),0)</f>
        <v>0</v>
      </c>
      <c r="J679" s="12">
        <f t="shared" si="12"/>
        <v>0</v>
      </c>
      <c r="K679" s="13">
        <f>IFERROR(IF(C679="",0,SUMIFS($F$4:$F$678,$C$4:$C$678,C679,$D$4:$D$678,D679,$E$4:$E$678,E679,$B$4:$B$678,"INGRESO")+SUMIFS($F$4:$F$678,$C$4:$C$678,C679,$D$4:$D$678,D679,$E$4:$E$678,E679,$B$4:$B$678,"DE REPROCESO")+SUMIFS($F$4:$F$678,$C$4:$C$678,C679,$D$4:$D$678,D679,$E$4:$E$678,E679,$B$4:$B$678,"AJUSTE+")-SUMIFS($F$4:$F$678,$C$4:$C$678,C679,$D$4:$D$678,D679,$E$4:$E$678,E679,$B$4:$B$678,"A CORTE")-SUMIFS($F$4:$F$678,$C$4:$C$678,C679,$D$4:$D$678,D679,$E$4:$E$678,E679,$B$4:$B$678,"A REPROCESO")-SUMIFS($F$4:$F$678,$C$4:$C$678,C679,$D$4:$D$678,D679,$E$4:$E$678,E679,$B$4:$B$678,"MUESTRA")-SUMIFS($F$4:$F$678,$C$4:$C$678,C679,$D$4:$D$678,D679,$E$4:$E$678,E679,$B$4:$B$678,"AJUSTE-")),0)</f>
        <v>0</v>
      </c>
      <c r="L679" s="13">
        <f t="shared" si="13"/>
        <v>0</v>
      </c>
      <c r="M679" s="8"/>
      <c r="N679" s="14"/>
      <c r="O679" s="14"/>
      <c r="P679" s="14"/>
      <c r="Q679" s="15"/>
      <c r="R679" s="16" t="str">
        <f t="shared" si="14"/>
        <v/>
      </c>
    </row>
    <row r="680" ht="15.75" customHeight="1">
      <c r="A680" s="7"/>
      <c r="B680" s="8"/>
      <c r="C680" s="8"/>
      <c r="D680" s="8"/>
      <c r="E680" s="8"/>
      <c r="F680" s="9"/>
      <c r="G680" s="10">
        <f>IFERROR(F680*VLOOKUP(D680,TELAS!$A$4:$C$32,3,FALSE()),0)</f>
        <v>0</v>
      </c>
      <c r="H680" s="11" t="str">
        <f>IFERROR(VLOOKUP(E680,COLORES!$A$4:$B$102,2,FALSE()),"")</f>
        <v/>
      </c>
      <c r="I680" s="12">
        <f>IFERROR(IF(H680="OSCURO",VLOOKUP(D680,PRECIOS!$A$4:$F$32,2,FALSE()),IF(H680="CLARO",VLOOKUP(D680,PRECIOS!$A$4:$F$32,3,FALSE()),IF(H680="MELANGE",VLOOKUP(D680,PRECIOS!$A$4:$F$32,4,FALSE()),IF(H680="PPT",VLOOKUP(D680,PRECIOS!$A$4:$F$32,5,FALSE()),0)))),0)</f>
        <v>0</v>
      </c>
      <c r="J680" s="12">
        <f t="shared" si="12"/>
        <v>0</v>
      </c>
      <c r="K680" s="13">
        <f>IFERROR(IF(C680="",0,SUMIFS($F$4:$F$679,$C$4:$C$679,C680,$D$4:$D$679,D680,$E$4:$E$679,E680,$B$4:$B$679,"INGRESO")+SUMIFS($F$4:$F$679,$C$4:$C$679,C680,$D$4:$D$679,D680,$E$4:$E$679,E680,$B$4:$B$679,"DE REPROCESO")+SUMIFS($F$4:$F$679,$C$4:$C$679,C680,$D$4:$D$679,D680,$E$4:$E$679,E680,$B$4:$B$679,"AJUSTE+")-SUMIFS($F$4:$F$679,$C$4:$C$679,C680,$D$4:$D$679,D680,$E$4:$E$679,E680,$B$4:$B$679,"A CORTE")-SUMIFS($F$4:$F$679,$C$4:$C$679,C680,$D$4:$D$679,D680,$E$4:$E$679,E680,$B$4:$B$679,"A REPROCESO")-SUMIFS($F$4:$F$679,$C$4:$C$679,C680,$D$4:$D$679,D680,$E$4:$E$679,E680,$B$4:$B$679,"MUESTRA")-SUMIFS($F$4:$F$679,$C$4:$C$679,C680,$D$4:$D$679,D680,$E$4:$E$679,E680,$B$4:$B$679,"AJUSTE-")),0)</f>
        <v>0</v>
      </c>
      <c r="L680" s="13">
        <f t="shared" si="13"/>
        <v>0</v>
      </c>
      <c r="M680" s="8"/>
      <c r="N680" s="14"/>
      <c r="O680" s="14"/>
      <c r="P680" s="14"/>
      <c r="Q680" s="15"/>
      <c r="R680" s="16" t="str">
        <f t="shared" si="14"/>
        <v/>
      </c>
    </row>
    <row r="681" ht="15.75" customHeight="1">
      <c r="A681" s="7"/>
      <c r="B681" s="8"/>
      <c r="C681" s="8"/>
      <c r="D681" s="8"/>
      <c r="E681" s="8"/>
      <c r="F681" s="9"/>
      <c r="G681" s="10">
        <f>IFERROR(F681*VLOOKUP(D681,TELAS!$A$4:$C$32,3,FALSE()),0)</f>
        <v>0</v>
      </c>
      <c r="H681" s="11" t="str">
        <f>IFERROR(VLOOKUP(E681,COLORES!$A$4:$B$102,2,FALSE()),"")</f>
        <v/>
      </c>
      <c r="I681" s="12">
        <f>IFERROR(IF(H681="OSCURO",VLOOKUP(D681,PRECIOS!$A$4:$F$32,2,FALSE()),IF(H681="CLARO",VLOOKUP(D681,PRECIOS!$A$4:$F$32,3,FALSE()),IF(H681="MELANGE",VLOOKUP(D681,PRECIOS!$A$4:$F$32,4,FALSE()),IF(H681="PPT",VLOOKUP(D681,PRECIOS!$A$4:$F$32,5,FALSE()),0)))),0)</f>
        <v>0</v>
      </c>
      <c r="J681" s="12">
        <f t="shared" si="12"/>
        <v>0</v>
      </c>
      <c r="K681" s="13">
        <f>IFERROR(IF(C681="",0,SUMIFS($F$4:$F$680,$C$4:$C$680,C681,$D$4:$D$680,D681,$E$4:$E$680,E681,$B$4:$B$680,"INGRESO")+SUMIFS($F$4:$F$680,$C$4:$C$680,C681,$D$4:$D$680,D681,$E$4:$E$680,E681,$B$4:$B$680,"DE REPROCESO")+SUMIFS($F$4:$F$680,$C$4:$C$680,C681,$D$4:$D$680,D681,$E$4:$E$680,E681,$B$4:$B$680,"AJUSTE+")-SUMIFS($F$4:$F$680,$C$4:$C$680,C681,$D$4:$D$680,D681,$E$4:$E$680,E681,$B$4:$B$680,"A CORTE")-SUMIFS($F$4:$F$680,$C$4:$C$680,C681,$D$4:$D$680,D681,$E$4:$E$680,E681,$B$4:$B$680,"A REPROCESO")-SUMIFS($F$4:$F$680,$C$4:$C$680,C681,$D$4:$D$680,D681,$E$4:$E$680,E681,$B$4:$B$680,"MUESTRA")-SUMIFS($F$4:$F$680,$C$4:$C$680,C681,$D$4:$D$680,D681,$E$4:$E$680,E681,$B$4:$B$680,"AJUSTE-")),0)</f>
        <v>0</v>
      </c>
      <c r="L681" s="13">
        <f t="shared" si="13"/>
        <v>0</v>
      </c>
      <c r="M681" s="8"/>
      <c r="N681" s="14"/>
      <c r="O681" s="14"/>
      <c r="P681" s="14"/>
      <c r="Q681" s="15"/>
      <c r="R681" s="16" t="str">
        <f t="shared" si="14"/>
        <v/>
      </c>
    </row>
    <row r="682" ht="15.75" customHeight="1">
      <c r="A682" s="7"/>
      <c r="B682" s="8"/>
      <c r="C682" s="8"/>
      <c r="D682" s="8"/>
      <c r="E682" s="8"/>
      <c r="F682" s="9"/>
      <c r="G682" s="10">
        <f>IFERROR(F682*VLOOKUP(D682,TELAS!$A$4:$C$32,3,FALSE()),0)</f>
        <v>0</v>
      </c>
      <c r="H682" s="11" t="str">
        <f>IFERROR(VLOOKUP(E682,COLORES!$A$4:$B$102,2,FALSE()),"")</f>
        <v/>
      </c>
      <c r="I682" s="12">
        <f>IFERROR(IF(H682="OSCURO",VLOOKUP(D682,PRECIOS!$A$4:$F$32,2,FALSE()),IF(H682="CLARO",VLOOKUP(D682,PRECIOS!$A$4:$F$32,3,FALSE()),IF(H682="MELANGE",VLOOKUP(D682,PRECIOS!$A$4:$F$32,4,FALSE()),IF(H682="PPT",VLOOKUP(D682,PRECIOS!$A$4:$F$32,5,FALSE()),0)))),0)</f>
        <v>0</v>
      </c>
      <c r="J682" s="12">
        <f t="shared" si="12"/>
        <v>0</v>
      </c>
      <c r="K682" s="13">
        <f>IFERROR(IF(C682="",0,SUMIFS($F$4:$F$681,$C$4:$C$681,C682,$D$4:$D$681,D682,$E$4:$E$681,E682,$B$4:$B$681,"INGRESO")+SUMIFS($F$4:$F$681,$C$4:$C$681,C682,$D$4:$D$681,D682,$E$4:$E$681,E682,$B$4:$B$681,"DE REPROCESO")+SUMIFS($F$4:$F$681,$C$4:$C$681,C682,$D$4:$D$681,D682,$E$4:$E$681,E682,$B$4:$B$681,"AJUSTE+")-SUMIFS($F$4:$F$681,$C$4:$C$681,C682,$D$4:$D$681,D682,$E$4:$E$681,E682,$B$4:$B$681,"A CORTE")-SUMIFS($F$4:$F$681,$C$4:$C$681,C682,$D$4:$D$681,D682,$E$4:$E$681,E682,$B$4:$B$681,"A REPROCESO")-SUMIFS($F$4:$F$681,$C$4:$C$681,C682,$D$4:$D$681,D682,$E$4:$E$681,E682,$B$4:$B$681,"MUESTRA")-SUMIFS($F$4:$F$681,$C$4:$C$681,C682,$D$4:$D$681,D682,$E$4:$E$681,E682,$B$4:$B$681,"AJUSTE-")),0)</f>
        <v>0</v>
      </c>
      <c r="L682" s="13">
        <f t="shared" si="13"/>
        <v>0</v>
      </c>
      <c r="M682" s="8"/>
      <c r="N682" s="14"/>
      <c r="O682" s="14"/>
      <c r="P682" s="14"/>
      <c r="Q682" s="15"/>
      <c r="R682" s="16" t="str">
        <f t="shared" si="14"/>
        <v/>
      </c>
    </row>
    <row r="683" ht="15.75" customHeight="1">
      <c r="A683" s="7"/>
      <c r="B683" s="8"/>
      <c r="C683" s="8"/>
      <c r="D683" s="8"/>
      <c r="E683" s="8"/>
      <c r="F683" s="9"/>
      <c r="G683" s="10">
        <f>IFERROR(F683*VLOOKUP(D683,TELAS!$A$4:$C$32,3,FALSE()),0)</f>
        <v>0</v>
      </c>
      <c r="H683" s="11" t="str">
        <f>IFERROR(VLOOKUP(E683,COLORES!$A$4:$B$102,2,FALSE()),"")</f>
        <v/>
      </c>
      <c r="I683" s="12">
        <f>IFERROR(IF(H683="OSCURO",VLOOKUP(D683,PRECIOS!$A$4:$F$32,2,FALSE()),IF(H683="CLARO",VLOOKUP(D683,PRECIOS!$A$4:$F$32,3,FALSE()),IF(H683="MELANGE",VLOOKUP(D683,PRECIOS!$A$4:$F$32,4,FALSE()),IF(H683="PPT",VLOOKUP(D683,PRECIOS!$A$4:$F$32,5,FALSE()),0)))),0)</f>
        <v>0</v>
      </c>
      <c r="J683" s="12">
        <f t="shared" si="12"/>
        <v>0</v>
      </c>
      <c r="K683" s="13">
        <f>IFERROR(IF(C683="",0,SUMIFS($F$4:$F$682,$C$4:$C$682,C683,$D$4:$D$682,D683,$E$4:$E$682,E683,$B$4:$B$682,"INGRESO")+SUMIFS($F$4:$F$682,$C$4:$C$682,C683,$D$4:$D$682,D683,$E$4:$E$682,E683,$B$4:$B$682,"DE REPROCESO")+SUMIFS($F$4:$F$682,$C$4:$C$682,C683,$D$4:$D$682,D683,$E$4:$E$682,E683,$B$4:$B$682,"AJUSTE+")-SUMIFS($F$4:$F$682,$C$4:$C$682,C683,$D$4:$D$682,D683,$E$4:$E$682,E683,$B$4:$B$682,"A CORTE")-SUMIFS($F$4:$F$682,$C$4:$C$682,C683,$D$4:$D$682,D683,$E$4:$E$682,E683,$B$4:$B$682,"A REPROCESO")-SUMIFS($F$4:$F$682,$C$4:$C$682,C683,$D$4:$D$682,D683,$E$4:$E$682,E683,$B$4:$B$682,"MUESTRA")-SUMIFS($F$4:$F$682,$C$4:$C$682,C683,$D$4:$D$682,D683,$E$4:$E$682,E683,$B$4:$B$682,"AJUSTE-")),0)</f>
        <v>0</v>
      </c>
      <c r="L683" s="13">
        <f t="shared" si="13"/>
        <v>0</v>
      </c>
      <c r="M683" s="8"/>
      <c r="N683" s="14"/>
      <c r="O683" s="14"/>
      <c r="P683" s="14"/>
      <c r="Q683" s="15"/>
      <c r="R683" s="16" t="str">
        <f t="shared" si="14"/>
        <v/>
      </c>
    </row>
    <row r="684" ht="15.75" customHeight="1">
      <c r="A684" s="7"/>
      <c r="B684" s="8"/>
      <c r="C684" s="8"/>
      <c r="D684" s="8"/>
      <c r="E684" s="8"/>
      <c r="F684" s="9"/>
      <c r="G684" s="10">
        <f>IFERROR(F684*VLOOKUP(D684,TELAS!$A$4:$C$32,3,FALSE()),0)</f>
        <v>0</v>
      </c>
      <c r="H684" s="11" t="str">
        <f>IFERROR(VLOOKUP(E684,COLORES!$A$4:$B$102,2,FALSE()),"")</f>
        <v/>
      </c>
      <c r="I684" s="12">
        <f>IFERROR(IF(H684="OSCURO",VLOOKUP(D684,PRECIOS!$A$4:$F$32,2,FALSE()),IF(H684="CLARO",VLOOKUP(D684,PRECIOS!$A$4:$F$32,3,FALSE()),IF(H684="MELANGE",VLOOKUP(D684,PRECIOS!$A$4:$F$32,4,FALSE()),IF(H684="PPT",VLOOKUP(D684,PRECIOS!$A$4:$F$32,5,FALSE()),0)))),0)</f>
        <v>0</v>
      </c>
      <c r="J684" s="12">
        <f t="shared" si="12"/>
        <v>0</v>
      </c>
      <c r="K684" s="13">
        <f>IFERROR(IF(C684="",0,SUMIFS($F$4:$F$683,$C$4:$C$683,C684,$D$4:$D$683,D684,$E$4:$E$683,E684,$B$4:$B$683,"INGRESO")+SUMIFS($F$4:$F$683,$C$4:$C$683,C684,$D$4:$D$683,D684,$E$4:$E$683,E684,$B$4:$B$683,"DE REPROCESO")+SUMIFS($F$4:$F$683,$C$4:$C$683,C684,$D$4:$D$683,D684,$E$4:$E$683,E684,$B$4:$B$683,"AJUSTE+")-SUMIFS($F$4:$F$683,$C$4:$C$683,C684,$D$4:$D$683,D684,$E$4:$E$683,E684,$B$4:$B$683,"A CORTE")-SUMIFS($F$4:$F$683,$C$4:$C$683,C684,$D$4:$D$683,D684,$E$4:$E$683,E684,$B$4:$B$683,"A REPROCESO")-SUMIFS($F$4:$F$683,$C$4:$C$683,C684,$D$4:$D$683,D684,$E$4:$E$683,E684,$B$4:$B$683,"MUESTRA")-SUMIFS($F$4:$F$683,$C$4:$C$683,C684,$D$4:$D$683,D684,$E$4:$E$683,E684,$B$4:$B$683,"AJUSTE-")),0)</f>
        <v>0</v>
      </c>
      <c r="L684" s="13">
        <f t="shared" si="13"/>
        <v>0</v>
      </c>
      <c r="M684" s="8"/>
      <c r="N684" s="14"/>
      <c r="O684" s="14"/>
      <c r="P684" s="14"/>
      <c r="Q684" s="15"/>
      <c r="R684" s="16" t="str">
        <f t="shared" si="14"/>
        <v/>
      </c>
    </row>
    <row r="685" ht="15.75" customHeight="1">
      <c r="A685" s="7"/>
      <c r="B685" s="8"/>
      <c r="C685" s="8"/>
      <c r="D685" s="8"/>
      <c r="E685" s="8"/>
      <c r="F685" s="9"/>
      <c r="G685" s="10">
        <f>IFERROR(F685*VLOOKUP(D685,TELAS!$A$4:$C$32,3,FALSE()),0)</f>
        <v>0</v>
      </c>
      <c r="H685" s="11" t="str">
        <f>IFERROR(VLOOKUP(E685,COLORES!$A$4:$B$102,2,FALSE()),"")</f>
        <v/>
      </c>
      <c r="I685" s="12">
        <f>IFERROR(IF(H685="OSCURO",VLOOKUP(D685,PRECIOS!$A$4:$F$32,2,FALSE()),IF(H685="CLARO",VLOOKUP(D685,PRECIOS!$A$4:$F$32,3,FALSE()),IF(H685="MELANGE",VLOOKUP(D685,PRECIOS!$A$4:$F$32,4,FALSE()),IF(H685="PPT",VLOOKUP(D685,PRECIOS!$A$4:$F$32,5,FALSE()),0)))),0)</f>
        <v>0</v>
      </c>
      <c r="J685" s="12">
        <f t="shared" si="12"/>
        <v>0</v>
      </c>
      <c r="K685" s="13">
        <f>IFERROR(IF(C685="",0,SUMIFS($F$4:$F$684,$C$4:$C$684,C685,$D$4:$D$684,D685,$E$4:$E$684,E685,$B$4:$B$684,"INGRESO")+SUMIFS($F$4:$F$684,$C$4:$C$684,C685,$D$4:$D$684,D685,$E$4:$E$684,E685,$B$4:$B$684,"DE REPROCESO")+SUMIFS($F$4:$F$684,$C$4:$C$684,C685,$D$4:$D$684,D685,$E$4:$E$684,E685,$B$4:$B$684,"AJUSTE+")-SUMIFS($F$4:$F$684,$C$4:$C$684,C685,$D$4:$D$684,D685,$E$4:$E$684,E685,$B$4:$B$684,"A CORTE")-SUMIFS($F$4:$F$684,$C$4:$C$684,C685,$D$4:$D$684,D685,$E$4:$E$684,E685,$B$4:$B$684,"A REPROCESO")-SUMIFS($F$4:$F$684,$C$4:$C$684,C685,$D$4:$D$684,D685,$E$4:$E$684,E685,$B$4:$B$684,"MUESTRA")-SUMIFS($F$4:$F$684,$C$4:$C$684,C685,$D$4:$D$684,D685,$E$4:$E$684,E685,$B$4:$B$684,"AJUSTE-")),0)</f>
        <v>0</v>
      </c>
      <c r="L685" s="13">
        <f t="shared" si="13"/>
        <v>0</v>
      </c>
      <c r="M685" s="8"/>
      <c r="N685" s="14"/>
      <c r="O685" s="14"/>
      <c r="P685" s="14"/>
      <c r="Q685" s="15"/>
      <c r="R685" s="16" t="str">
        <f t="shared" si="14"/>
        <v/>
      </c>
    </row>
    <row r="686" ht="15.75" customHeight="1">
      <c r="A686" s="7"/>
      <c r="B686" s="8"/>
      <c r="C686" s="8"/>
      <c r="D686" s="8"/>
      <c r="E686" s="8"/>
      <c r="F686" s="9"/>
      <c r="G686" s="10">
        <f>IFERROR(F686*VLOOKUP(D686,TELAS!$A$4:$C$32,3,FALSE()),0)</f>
        <v>0</v>
      </c>
      <c r="H686" s="11" t="str">
        <f>IFERROR(VLOOKUP(E686,COLORES!$A$4:$B$102,2,FALSE()),"")</f>
        <v/>
      </c>
      <c r="I686" s="12">
        <f>IFERROR(IF(H686="OSCURO",VLOOKUP(D686,PRECIOS!$A$4:$F$32,2,FALSE()),IF(H686="CLARO",VLOOKUP(D686,PRECIOS!$A$4:$F$32,3,FALSE()),IF(H686="MELANGE",VLOOKUP(D686,PRECIOS!$A$4:$F$32,4,FALSE()),IF(H686="PPT",VLOOKUP(D686,PRECIOS!$A$4:$F$32,5,FALSE()),0)))),0)</f>
        <v>0</v>
      </c>
      <c r="J686" s="12">
        <f t="shared" si="12"/>
        <v>0</v>
      </c>
      <c r="K686" s="13">
        <f>IFERROR(IF(C686="",0,SUMIFS($F$4:$F$685,$C$4:$C$685,C686,$D$4:$D$685,D686,$E$4:$E$685,E686,$B$4:$B$685,"INGRESO")+SUMIFS($F$4:$F$685,$C$4:$C$685,C686,$D$4:$D$685,D686,$E$4:$E$685,E686,$B$4:$B$685,"DE REPROCESO")+SUMIFS($F$4:$F$685,$C$4:$C$685,C686,$D$4:$D$685,D686,$E$4:$E$685,E686,$B$4:$B$685,"AJUSTE+")-SUMIFS($F$4:$F$685,$C$4:$C$685,C686,$D$4:$D$685,D686,$E$4:$E$685,E686,$B$4:$B$685,"A CORTE")-SUMIFS($F$4:$F$685,$C$4:$C$685,C686,$D$4:$D$685,D686,$E$4:$E$685,E686,$B$4:$B$685,"A REPROCESO")-SUMIFS($F$4:$F$685,$C$4:$C$685,C686,$D$4:$D$685,D686,$E$4:$E$685,E686,$B$4:$B$685,"MUESTRA")-SUMIFS($F$4:$F$685,$C$4:$C$685,C686,$D$4:$D$685,D686,$E$4:$E$685,E686,$B$4:$B$685,"AJUSTE-")),0)</f>
        <v>0</v>
      </c>
      <c r="L686" s="13">
        <f t="shared" si="13"/>
        <v>0</v>
      </c>
      <c r="M686" s="8"/>
      <c r="N686" s="14"/>
      <c r="O686" s="14"/>
      <c r="P686" s="14"/>
      <c r="Q686" s="15"/>
      <c r="R686" s="16" t="str">
        <f t="shared" si="14"/>
        <v/>
      </c>
    </row>
    <row r="687" ht="15.75" customHeight="1">
      <c r="A687" s="7"/>
      <c r="B687" s="8"/>
      <c r="C687" s="8"/>
      <c r="D687" s="8"/>
      <c r="E687" s="8"/>
      <c r="F687" s="9"/>
      <c r="G687" s="10">
        <f>IFERROR(F687*VLOOKUP(D687,TELAS!$A$4:$C$32,3,FALSE()),0)</f>
        <v>0</v>
      </c>
      <c r="H687" s="11" t="str">
        <f>IFERROR(VLOOKUP(E687,COLORES!$A$4:$B$102,2,FALSE()),"")</f>
        <v/>
      </c>
      <c r="I687" s="12">
        <f>IFERROR(IF(H687="OSCURO",VLOOKUP(D687,PRECIOS!$A$4:$F$32,2,FALSE()),IF(H687="CLARO",VLOOKUP(D687,PRECIOS!$A$4:$F$32,3,FALSE()),IF(H687="MELANGE",VLOOKUP(D687,PRECIOS!$A$4:$F$32,4,FALSE()),IF(H687="PPT",VLOOKUP(D687,PRECIOS!$A$4:$F$32,5,FALSE()),0)))),0)</f>
        <v>0</v>
      </c>
      <c r="J687" s="12">
        <f t="shared" si="12"/>
        <v>0</v>
      </c>
      <c r="K687" s="13">
        <f>IFERROR(IF(C687="",0,SUMIFS($F$4:$F$686,$C$4:$C$686,C687,$D$4:$D$686,D687,$E$4:$E$686,E687,$B$4:$B$686,"INGRESO")+SUMIFS($F$4:$F$686,$C$4:$C$686,C687,$D$4:$D$686,D687,$E$4:$E$686,E687,$B$4:$B$686,"DE REPROCESO")+SUMIFS($F$4:$F$686,$C$4:$C$686,C687,$D$4:$D$686,D687,$E$4:$E$686,E687,$B$4:$B$686,"AJUSTE+")-SUMIFS($F$4:$F$686,$C$4:$C$686,C687,$D$4:$D$686,D687,$E$4:$E$686,E687,$B$4:$B$686,"A CORTE")-SUMIFS($F$4:$F$686,$C$4:$C$686,C687,$D$4:$D$686,D687,$E$4:$E$686,E687,$B$4:$B$686,"A REPROCESO")-SUMIFS($F$4:$F$686,$C$4:$C$686,C687,$D$4:$D$686,D687,$E$4:$E$686,E687,$B$4:$B$686,"MUESTRA")-SUMIFS($F$4:$F$686,$C$4:$C$686,C687,$D$4:$D$686,D687,$E$4:$E$686,E687,$B$4:$B$686,"AJUSTE-")),0)</f>
        <v>0</v>
      </c>
      <c r="L687" s="13">
        <f t="shared" si="13"/>
        <v>0</v>
      </c>
      <c r="M687" s="8"/>
      <c r="N687" s="14"/>
      <c r="O687" s="14"/>
      <c r="P687" s="14"/>
      <c r="Q687" s="15"/>
      <c r="R687" s="16" t="str">
        <f t="shared" si="14"/>
        <v/>
      </c>
    </row>
    <row r="688" ht="15.75" customHeight="1">
      <c r="A688" s="7"/>
      <c r="B688" s="8"/>
      <c r="C688" s="8"/>
      <c r="D688" s="8"/>
      <c r="E688" s="8"/>
      <c r="F688" s="9"/>
      <c r="G688" s="10">
        <f>IFERROR(F688*VLOOKUP(D688,TELAS!$A$4:$C$32,3,FALSE()),0)</f>
        <v>0</v>
      </c>
      <c r="H688" s="11" t="str">
        <f>IFERROR(VLOOKUP(E688,COLORES!$A$4:$B$102,2,FALSE()),"")</f>
        <v/>
      </c>
      <c r="I688" s="12">
        <f>IFERROR(IF(H688="OSCURO",VLOOKUP(D688,PRECIOS!$A$4:$F$32,2,FALSE()),IF(H688="CLARO",VLOOKUP(D688,PRECIOS!$A$4:$F$32,3,FALSE()),IF(H688="MELANGE",VLOOKUP(D688,PRECIOS!$A$4:$F$32,4,FALSE()),IF(H688="PPT",VLOOKUP(D688,PRECIOS!$A$4:$F$32,5,FALSE()),0)))),0)</f>
        <v>0</v>
      </c>
      <c r="J688" s="12">
        <f t="shared" si="12"/>
        <v>0</v>
      </c>
      <c r="K688" s="13">
        <f>IFERROR(IF(C688="",0,SUMIFS($F$4:$F$687,$C$4:$C$687,C688,$D$4:$D$687,D688,$E$4:$E$687,E688,$B$4:$B$687,"INGRESO")+SUMIFS($F$4:$F$687,$C$4:$C$687,C688,$D$4:$D$687,D688,$E$4:$E$687,E688,$B$4:$B$687,"DE REPROCESO")+SUMIFS($F$4:$F$687,$C$4:$C$687,C688,$D$4:$D$687,D688,$E$4:$E$687,E688,$B$4:$B$687,"AJUSTE+")-SUMIFS($F$4:$F$687,$C$4:$C$687,C688,$D$4:$D$687,D688,$E$4:$E$687,E688,$B$4:$B$687,"A CORTE")-SUMIFS($F$4:$F$687,$C$4:$C$687,C688,$D$4:$D$687,D688,$E$4:$E$687,E688,$B$4:$B$687,"A REPROCESO")-SUMIFS($F$4:$F$687,$C$4:$C$687,C688,$D$4:$D$687,D688,$E$4:$E$687,E688,$B$4:$B$687,"MUESTRA")-SUMIFS($F$4:$F$687,$C$4:$C$687,C688,$D$4:$D$687,D688,$E$4:$E$687,E688,$B$4:$B$687,"AJUSTE-")),0)</f>
        <v>0</v>
      </c>
      <c r="L688" s="13">
        <f t="shared" si="13"/>
        <v>0</v>
      </c>
      <c r="M688" s="8"/>
      <c r="N688" s="14"/>
      <c r="O688" s="14"/>
      <c r="P688" s="14"/>
      <c r="Q688" s="15"/>
      <c r="R688" s="16" t="str">
        <f t="shared" si="14"/>
        <v/>
      </c>
    </row>
    <row r="689" ht="15.75" customHeight="1">
      <c r="A689" s="7"/>
      <c r="B689" s="8"/>
      <c r="C689" s="8"/>
      <c r="D689" s="8"/>
      <c r="E689" s="8"/>
      <c r="F689" s="9"/>
      <c r="G689" s="10">
        <f>IFERROR(F689*VLOOKUP(D689,TELAS!$A$4:$C$32,3,FALSE()),0)</f>
        <v>0</v>
      </c>
      <c r="H689" s="11" t="str">
        <f>IFERROR(VLOOKUP(E689,COLORES!$A$4:$B$102,2,FALSE()),"")</f>
        <v/>
      </c>
      <c r="I689" s="12">
        <f>IFERROR(IF(H689="OSCURO",VLOOKUP(D689,PRECIOS!$A$4:$F$32,2,FALSE()),IF(H689="CLARO",VLOOKUP(D689,PRECIOS!$A$4:$F$32,3,FALSE()),IF(H689="MELANGE",VLOOKUP(D689,PRECIOS!$A$4:$F$32,4,FALSE()),IF(H689="PPT",VLOOKUP(D689,PRECIOS!$A$4:$F$32,5,FALSE()),0)))),0)</f>
        <v>0</v>
      </c>
      <c r="J689" s="12">
        <f t="shared" si="12"/>
        <v>0</v>
      </c>
      <c r="K689" s="13">
        <f>IFERROR(IF(C689="",0,SUMIFS($F$4:$F$688,$C$4:$C$688,C689,$D$4:$D$688,D689,$E$4:$E$688,E689,$B$4:$B$688,"INGRESO")+SUMIFS($F$4:$F$688,$C$4:$C$688,C689,$D$4:$D$688,D689,$E$4:$E$688,E689,$B$4:$B$688,"DE REPROCESO")+SUMIFS($F$4:$F$688,$C$4:$C$688,C689,$D$4:$D$688,D689,$E$4:$E$688,E689,$B$4:$B$688,"AJUSTE+")-SUMIFS($F$4:$F$688,$C$4:$C$688,C689,$D$4:$D$688,D689,$E$4:$E$688,E689,$B$4:$B$688,"A CORTE")-SUMIFS($F$4:$F$688,$C$4:$C$688,C689,$D$4:$D$688,D689,$E$4:$E$688,E689,$B$4:$B$688,"A REPROCESO")-SUMIFS($F$4:$F$688,$C$4:$C$688,C689,$D$4:$D$688,D689,$E$4:$E$688,E689,$B$4:$B$688,"MUESTRA")-SUMIFS($F$4:$F$688,$C$4:$C$688,C689,$D$4:$D$688,D689,$E$4:$E$688,E689,$B$4:$B$688,"AJUSTE-")),0)</f>
        <v>0</v>
      </c>
      <c r="L689" s="13">
        <f t="shared" si="13"/>
        <v>0</v>
      </c>
      <c r="M689" s="8"/>
      <c r="N689" s="14"/>
      <c r="O689" s="14"/>
      <c r="P689" s="14"/>
      <c r="Q689" s="15"/>
      <c r="R689" s="16" t="str">
        <f t="shared" si="14"/>
        <v/>
      </c>
    </row>
    <row r="690" ht="15.75" customHeight="1">
      <c r="A690" s="7"/>
      <c r="B690" s="8"/>
      <c r="C690" s="8"/>
      <c r="D690" s="8"/>
      <c r="E690" s="8"/>
      <c r="F690" s="9"/>
      <c r="G690" s="10">
        <f>IFERROR(F690*VLOOKUP(D690,TELAS!$A$4:$C$32,3,FALSE()),0)</f>
        <v>0</v>
      </c>
      <c r="H690" s="11" t="str">
        <f>IFERROR(VLOOKUP(E690,COLORES!$A$4:$B$102,2,FALSE()),"")</f>
        <v/>
      </c>
      <c r="I690" s="12">
        <f>IFERROR(IF(H690="OSCURO",VLOOKUP(D690,PRECIOS!$A$4:$F$32,2,FALSE()),IF(H690="CLARO",VLOOKUP(D690,PRECIOS!$A$4:$F$32,3,FALSE()),IF(H690="MELANGE",VLOOKUP(D690,PRECIOS!$A$4:$F$32,4,FALSE()),IF(H690="PPT",VLOOKUP(D690,PRECIOS!$A$4:$F$32,5,FALSE()),0)))),0)</f>
        <v>0</v>
      </c>
      <c r="J690" s="12">
        <f t="shared" si="12"/>
        <v>0</v>
      </c>
      <c r="K690" s="13">
        <f>IFERROR(IF(C690="",0,SUMIFS($F$4:$F$689,$C$4:$C$689,C690,$D$4:$D$689,D690,$E$4:$E$689,E690,$B$4:$B$689,"INGRESO")+SUMIFS($F$4:$F$689,$C$4:$C$689,C690,$D$4:$D$689,D690,$E$4:$E$689,E690,$B$4:$B$689,"DE REPROCESO")+SUMIFS($F$4:$F$689,$C$4:$C$689,C690,$D$4:$D$689,D690,$E$4:$E$689,E690,$B$4:$B$689,"AJUSTE+")-SUMIFS($F$4:$F$689,$C$4:$C$689,C690,$D$4:$D$689,D690,$E$4:$E$689,E690,$B$4:$B$689,"A CORTE")-SUMIFS($F$4:$F$689,$C$4:$C$689,C690,$D$4:$D$689,D690,$E$4:$E$689,E690,$B$4:$B$689,"A REPROCESO")-SUMIFS($F$4:$F$689,$C$4:$C$689,C690,$D$4:$D$689,D690,$E$4:$E$689,E690,$B$4:$B$689,"MUESTRA")-SUMIFS($F$4:$F$689,$C$4:$C$689,C690,$D$4:$D$689,D690,$E$4:$E$689,E690,$B$4:$B$689,"AJUSTE-")),0)</f>
        <v>0</v>
      </c>
      <c r="L690" s="13">
        <f t="shared" si="13"/>
        <v>0</v>
      </c>
      <c r="M690" s="8"/>
      <c r="N690" s="14"/>
      <c r="O690" s="14"/>
      <c r="P690" s="14"/>
      <c r="Q690" s="15"/>
      <c r="R690" s="16" t="str">
        <f t="shared" si="14"/>
        <v/>
      </c>
    </row>
    <row r="691" ht="15.75" customHeight="1">
      <c r="A691" s="7"/>
      <c r="B691" s="8"/>
      <c r="C691" s="8"/>
      <c r="D691" s="8"/>
      <c r="E691" s="8"/>
      <c r="F691" s="9"/>
      <c r="G691" s="10">
        <f>IFERROR(F691*VLOOKUP(D691,TELAS!$A$4:$C$32,3,FALSE()),0)</f>
        <v>0</v>
      </c>
      <c r="H691" s="11" t="str">
        <f>IFERROR(VLOOKUP(E691,COLORES!$A$4:$B$102,2,FALSE()),"")</f>
        <v/>
      </c>
      <c r="I691" s="12">
        <f>IFERROR(IF(H691="OSCURO",VLOOKUP(D691,PRECIOS!$A$4:$F$32,2,FALSE()),IF(H691="CLARO",VLOOKUP(D691,PRECIOS!$A$4:$F$32,3,FALSE()),IF(H691="MELANGE",VLOOKUP(D691,PRECIOS!$A$4:$F$32,4,FALSE()),IF(H691="PPT",VLOOKUP(D691,PRECIOS!$A$4:$F$32,5,FALSE()),0)))),0)</f>
        <v>0</v>
      </c>
      <c r="J691" s="12">
        <f t="shared" si="12"/>
        <v>0</v>
      </c>
      <c r="K691" s="13">
        <f>IFERROR(IF(C691="",0,SUMIFS($F$4:$F$690,$C$4:$C$690,C691,$D$4:$D$690,D691,$E$4:$E$690,E691,$B$4:$B$690,"INGRESO")+SUMIFS($F$4:$F$690,$C$4:$C$690,C691,$D$4:$D$690,D691,$E$4:$E$690,E691,$B$4:$B$690,"DE REPROCESO")+SUMIFS($F$4:$F$690,$C$4:$C$690,C691,$D$4:$D$690,D691,$E$4:$E$690,E691,$B$4:$B$690,"AJUSTE+")-SUMIFS($F$4:$F$690,$C$4:$C$690,C691,$D$4:$D$690,D691,$E$4:$E$690,E691,$B$4:$B$690,"A CORTE")-SUMIFS($F$4:$F$690,$C$4:$C$690,C691,$D$4:$D$690,D691,$E$4:$E$690,E691,$B$4:$B$690,"A REPROCESO")-SUMIFS($F$4:$F$690,$C$4:$C$690,C691,$D$4:$D$690,D691,$E$4:$E$690,E691,$B$4:$B$690,"MUESTRA")-SUMIFS($F$4:$F$690,$C$4:$C$690,C691,$D$4:$D$690,D691,$E$4:$E$690,E691,$B$4:$B$690,"AJUSTE-")),0)</f>
        <v>0</v>
      </c>
      <c r="L691" s="13">
        <f t="shared" si="13"/>
        <v>0</v>
      </c>
      <c r="M691" s="8"/>
      <c r="N691" s="14"/>
      <c r="O691" s="14"/>
      <c r="P691" s="14"/>
      <c r="Q691" s="15"/>
      <c r="R691" s="16" t="str">
        <f t="shared" si="14"/>
        <v/>
      </c>
    </row>
    <row r="692" ht="15.75" customHeight="1">
      <c r="A692" s="7"/>
      <c r="B692" s="8"/>
      <c r="C692" s="8"/>
      <c r="D692" s="8"/>
      <c r="E692" s="8"/>
      <c r="F692" s="9"/>
      <c r="G692" s="10">
        <f>IFERROR(F692*VLOOKUP(D692,TELAS!$A$4:$C$32,3,FALSE()),0)</f>
        <v>0</v>
      </c>
      <c r="H692" s="11" t="str">
        <f>IFERROR(VLOOKUP(E692,COLORES!$A$4:$B$102,2,FALSE()),"")</f>
        <v/>
      </c>
      <c r="I692" s="12">
        <f>IFERROR(IF(H692="OSCURO",VLOOKUP(D692,PRECIOS!$A$4:$F$32,2,FALSE()),IF(H692="CLARO",VLOOKUP(D692,PRECIOS!$A$4:$F$32,3,FALSE()),IF(H692="MELANGE",VLOOKUP(D692,PRECIOS!$A$4:$F$32,4,FALSE()),IF(H692="PPT",VLOOKUP(D692,PRECIOS!$A$4:$F$32,5,FALSE()),0)))),0)</f>
        <v>0</v>
      </c>
      <c r="J692" s="12">
        <f t="shared" si="12"/>
        <v>0</v>
      </c>
      <c r="K692" s="13">
        <f>IFERROR(IF(C692="",0,SUMIFS($F$4:$F$691,$C$4:$C$691,C692,$D$4:$D$691,D692,$E$4:$E$691,E692,$B$4:$B$691,"INGRESO")+SUMIFS($F$4:$F$691,$C$4:$C$691,C692,$D$4:$D$691,D692,$E$4:$E$691,E692,$B$4:$B$691,"DE REPROCESO")+SUMIFS($F$4:$F$691,$C$4:$C$691,C692,$D$4:$D$691,D692,$E$4:$E$691,E692,$B$4:$B$691,"AJUSTE+")-SUMIFS($F$4:$F$691,$C$4:$C$691,C692,$D$4:$D$691,D692,$E$4:$E$691,E692,$B$4:$B$691,"A CORTE")-SUMIFS($F$4:$F$691,$C$4:$C$691,C692,$D$4:$D$691,D692,$E$4:$E$691,E692,$B$4:$B$691,"A REPROCESO")-SUMIFS($F$4:$F$691,$C$4:$C$691,C692,$D$4:$D$691,D692,$E$4:$E$691,E692,$B$4:$B$691,"MUESTRA")-SUMIFS($F$4:$F$691,$C$4:$C$691,C692,$D$4:$D$691,D692,$E$4:$E$691,E692,$B$4:$B$691,"AJUSTE-")),0)</f>
        <v>0</v>
      </c>
      <c r="L692" s="13">
        <f t="shared" si="13"/>
        <v>0</v>
      </c>
      <c r="M692" s="8"/>
      <c r="N692" s="14"/>
      <c r="O692" s="14"/>
      <c r="P692" s="14"/>
      <c r="Q692" s="15"/>
      <c r="R692" s="16" t="str">
        <f t="shared" si="14"/>
        <v/>
      </c>
    </row>
    <row r="693" ht="15.75" customHeight="1">
      <c r="A693" s="7"/>
      <c r="B693" s="8"/>
      <c r="C693" s="8"/>
      <c r="D693" s="8"/>
      <c r="E693" s="8"/>
      <c r="F693" s="9"/>
      <c r="G693" s="10">
        <f>IFERROR(F693*VLOOKUP(D693,TELAS!$A$4:$C$32,3,FALSE()),0)</f>
        <v>0</v>
      </c>
      <c r="H693" s="11" t="str">
        <f>IFERROR(VLOOKUP(E693,COLORES!$A$4:$B$102,2,FALSE()),"")</f>
        <v/>
      </c>
      <c r="I693" s="12">
        <f>IFERROR(IF(H693="OSCURO",VLOOKUP(D693,PRECIOS!$A$4:$F$32,2,FALSE()),IF(H693="CLARO",VLOOKUP(D693,PRECIOS!$A$4:$F$32,3,FALSE()),IF(H693="MELANGE",VLOOKUP(D693,PRECIOS!$A$4:$F$32,4,FALSE()),IF(H693="PPT",VLOOKUP(D693,PRECIOS!$A$4:$F$32,5,FALSE()),0)))),0)</f>
        <v>0</v>
      </c>
      <c r="J693" s="12">
        <f t="shared" si="12"/>
        <v>0</v>
      </c>
      <c r="K693" s="13">
        <f>IFERROR(IF(C693="",0,SUMIFS($F$4:$F$692,$C$4:$C$692,C693,$D$4:$D$692,D693,$E$4:$E$692,E693,$B$4:$B$692,"INGRESO")+SUMIFS($F$4:$F$692,$C$4:$C$692,C693,$D$4:$D$692,D693,$E$4:$E$692,E693,$B$4:$B$692,"DE REPROCESO")+SUMIFS($F$4:$F$692,$C$4:$C$692,C693,$D$4:$D$692,D693,$E$4:$E$692,E693,$B$4:$B$692,"AJUSTE+")-SUMIFS($F$4:$F$692,$C$4:$C$692,C693,$D$4:$D$692,D693,$E$4:$E$692,E693,$B$4:$B$692,"A CORTE")-SUMIFS($F$4:$F$692,$C$4:$C$692,C693,$D$4:$D$692,D693,$E$4:$E$692,E693,$B$4:$B$692,"A REPROCESO")-SUMIFS($F$4:$F$692,$C$4:$C$692,C693,$D$4:$D$692,D693,$E$4:$E$692,E693,$B$4:$B$692,"MUESTRA")-SUMIFS($F$4:$F$692,$C$4:$C$692,C693,$D$4:$D$692,D693,$E$4:$E$692,E693,$B$4:$B$692,"AJUSTE-")),0)</f>
        <v>0</v>
      </c>
      <c r="L693" s="13">
        <f t="shared" si="13"/>
        <v>0</v>
      </c>
      <c r="M693" s="8"/>
      <c r="N693" s="14"/>
      <c r="O693" s="14"/>
      <c r="P693" s="14"/>
      <c r="Q693" s="15"/>
      <c r="R693" s="16" t="str">
        <f t="shared" si="14"/>
        <v/>
      </c>
    </row>
    <row r="694" ht="15.75" customHeight="1">
      <c r="A694" s="7"/>
      <c r="B694" s="8"/>
      <c r="C694" s="8"/>
      <c r="D694" s="8"/>
      <c r="E694" s="8"/>
      <c r="F694" s="9"/>
      <c r="G694" s="10">
        <f>IFERROR(F694*VLOOKUP(D694,TELAS!$A$4:$C$32,3,FALSE()),0)</f>
        <v>0</v>
      </c>
      <c r="H694" s="11" t="str">
        <f>IFERROR(VLOOKUP(E694,COLORES!$A$4:$B$102,2,FALSE()),"")</f>
        <v/>
      </c>
      <c r="I694" s="12">
        <f>IFERROR(IF(H694="OSCURO",VLOOKUP(D694,PRECIOS!$A$4:$F$32,2,FALSE()),IF(H694="CLARO",VLOOKUP(D694,PRECIOS!$A$4:$F$32,3,FALSE()),IF(H694="MELANGE",VLOOKUP(D694,PRECIOS!$A$4:$F$32,4,FALSE()),IF(H694="PPT",VLOOKUP(D694,PRECIOS!$A$4:$F$32,5,FALSE()),0)))),0)</f>
        <v>0</v>
      </c>
      <c r="J694" s="12">
        <f t="shared" si="12"/>
        <v>0</v>
      </c>
      <c r="K694" s="13">
        <f>IFERROR(IF(C694="",0,SUMIFS($F$4:$F$693,$C$4:$C$693,C694,$D$4:$D$693,D694,$E$4:$E$693,E694,$B$4:$B$693,"INGRESO")+SUMIFS($F$4:$F$693,$C$4:$C$693,C694,$D$4:$D$693,D694,$E$4:$E$693,E694,$B$4:$B$693,"DE REPROCESO")+SUMIFS($F$4:$F$693,$C$4:$C$693,C694,$D$4:$D$693,D694,$E$4:$E$693,E694,$B$4:$B$693,"AJUSTE+")-SUMIFS($F$4:$F$693,$C$4:$C$693,C694,$D$4:$D$693,D694,$E$4:$E$693,E694,$B$4:$B$693,"A CORTE")-SUMIFS($F$4:$F$693,$C$4:$C$693,C694,$D$4:$D$693,D694,$E$4:$E$693,E694,$B$4:$B$693,"A REPROCESO")-SUMIFS($F$4:$F$693,$C$4:$C$693,C694,$D$4:$D$693,D694,$E$4:$E$693,E694,$B$4:$B$693,"MUESTRA")-SUMIFS($F$4:$F$693,$C$4:$C$693,C694,$D$4:$D$693,D694,$E$4:$E$693,E694,$B$4:$B$693,"AJUSTE-")),0)</f>
        <v>0</v>
      </c>
      <c r="L694" s="13">
        <f t="shared" si="13"/>
        <v>0</v>
      </c>
      <c r="M694" s="8"/>
      <c r="N694" s="14"/>
      <c r="O694" s="14"/>
      <c r="P694" s="14"/>
      <c r="Q694" s="15"/>
      <c r="R694" s="16" t="str">
        <f t="shared" si="14"/>
        <v/>
      </c>
    </row>
    <row r="695" ht="15.75" customHeight="1">
      <c r="A695" s="7"/>
      <c r="B695" s="8"/>
      <c r="C695" s="8"/>
      <c r="D695" s="8"/>
      <c r="E695" s="8"/>
      <c r="F695" s="9"/>
      <c r="G695" s="10">
        <f>IFERROR(F695*VLOOKUP(D695,TELAS!$A$4:$C$32,3,FALSE()),0)</f>
        <v>0</v>
      </c>
      <c r="H695" s="11" t="str">
        <f>IFERROR(VLOOKUP(E695,COLORES!$A$4:$B$102,2,FALSE()),"")</f>
        <v/>
      </c>
      <c r="I695" s="12">
        <f>IFERROR(IF(H695="OSCURO",VLOOKUP(D695,PRECIOS!$A$4:$F$32,2,FALSE()),IF(H695="CLARO",VLOOKUP(D695,PRECIOS!$A$4:$F$32,3,FALSE()),IF(H695="MELANGE",VLOOKUP(D695,PRECIOS!$A$4:$F$32,4,FALSE()),IF(H695="PPT",VLOOKUP(D695,PRECIOS!$A$4:$F$32,5,FALSE()),0)))),0)</f>
        <v>0</v>
      </c>
      <c r="J695" s="12">
        <f t="shared" si="12"/>
        <v>0</v>
      </c>
      <c r="K695" s="13">
        <f>IFERROR(IF(C695="",0,SUMIFS($F$4:$F$694,$C$4:$C$694,C695,$D$4:$D$694,D695,$E$4:$E$694,E695,$B$4:$B$694,"INGRESO")+SUMIFS($F$4:$F$694,$C$4:$C$694,C695,$D$4:$D$694,D695,$E$4:$E$694,E695,$B$4:$B$694,"DE REPROCESO")+SUMIFS($F$4:$F$694,$C$4:$C$694,C695,$D$4:$D$694,D695,$E$4:$E$694,E695,$B$4:$B$694,"AJUSTE+")-SUMIFS($F$4:$F$694,$C$4:$C$694,C695,$D$4:$D$694,D695,$E$4:$E$694,E695,$B$4:$B$694,"A CORTE")-SUMIFS($F$4:$F$694,$C$4:$C$694,C695,$D$4:$D$694,D695,$E$4:$E$694,E695,$B$4:$B$694,"A REPROCESO")-SUMIFS($F$4:$F$694,$C$4:$C$694,C695,$D$4:$D$694,D695,$E$4:$E$694,E695,$B$4:$B$694,"MUESTRA")-SUMIFS($F$4:$F$694,$C$4:$C$694,C695,$D$4:$D$694,D695,$E$4:$E$694,E695,$B$4:$B$694,"AJUSTE-")),0)</f>
        <v>0</v>
      </c>
      <c r="L695" s="13">
        <f t="shared" si="13"/>
        <v>0</v>
      </c>
      <c r="M695" s="8"/>
      <c r="N695" s="14"/>
      <c r="O695" s="14"/>
      <c r="P695" s="14"/>
      <c r="Q695" s="15"/>
      <c r="R695" s="16" t="str">
        <f t="shared" si="14"/>
        <v/>
      </c>
    </row>
    <row r="696" ht="15.75" customHeight="1">
      <c r="A696" s="7"/>
      <c r="B696" s="8"/>
      <c r="C696" s="8"/>
      <c r="D696" s="8"/>
      <c r="E696" s="8"/>
      <c r="F696" s="9"/>
      <c r="G696" s="10">
        <f>IFERROR(F696*VLOOKUP(D696,TELAS!$A$4:$C$32,3,FALSE()),0)</f>
        <v>0</v>
      </c>
      <c r="H696" s="11" t="str">
        <f>IFERROR(VLOOKUP(E696,COLORES!$A$4:$B$102,2,FALSE()),"")</f>
        <v/>
      </c>
      <c r="I696" s="12">
        <f>IFERROR(IF(H696="OSCURO",VLOOKUP(D696,PRECIOS!$A$4:$F$32,2,FALSE()),IF(H696="CLARO",VLOOKUP(D696,PRECIOS!$A$4:$F$32,3,FALSE()),IF(H696="MELANGE",VLOOKUP(D696,PRECIOS!$A$4:$F$32,4,FALSE()),IF(H696="PPT",VLOOKUP(D696,PRECIOS!$A$4:$F$32,5,FALSE()),0)))),0)</f>
        <v>0</v>
      </c>
      <c r="J696" s="12">
        <f t="shared" si="12"/>
        <v>0</v>
      </c>
      <c r="K696" s="13">
        <f>IFERROR(IF(C696="",0,SUMIFS($F$4:$F$695,$C$4:$C$695,C696,$D$4:$D$695,D696,$E$4:$E$695,E696,$B$4:$B$695,"INGRESO")+SUMIFS($F$4:$F$695,$C$4:$C$695,C696,$D$4:$D$695,D696,$E$4:$E$695,E696,$B$4:$B$695,"DE REPROCESO")+SUMIFS($F$4:$F$695,$C$4:$C$695,C696,$D$4:$D$695,D696,$E$4:$E$695,E696,$B$4:$B$695,"AJUSTE+")-SUMIFS($F$4:$F$695,$C$4:$C$695,C696,$D$4:$D$695,D696,$E$4:$E$695,E696,$B$4:$B$695,"A CORTE")-SUMIFS($F$4:$F$695,$C$4:$C$695,C696,$D$4:$D$695,D696,$E$4:$E$695,E696,$B$4:$B$695,"A REPROCESO")-SUMIFS($F$4:$F$695,$C$4:$C$695,C696,$D$4:$D$695,D696,$E$4:$E$695,E696,$B$4:$B$695,"MUESTRA")-SUMIFS($F$4:$F$695,$C$4:$C$695,C696,$D$4:$D$695,D696,$E$4:$E$695,E696,$B$4:$B$695,"AJUSTE-")),0)</f>
        <v>0</v>
      </c>
      <c r="L696" s="13">
        <f t="shared" si="13"/>
        <v>0</v>
      </c>
      <c r="M696" s="8"/>
      <c r="N696" s="14"/>
      <c r="O696" s="14"/>
      <c r="P696" s="14"/>
      <c r="Q696" s="15"/>
      <c r="R696" s="16" t="str">
        <f t="shared" si="14"/>
        <v/>
      </c>
    </row>
    <row r="697" ht="15.75" customHeight="1">
      <c r="A697" s="7"/>
      <c r="B697" s="8"/>
      <c r="C697" s="8"/>
      <c r="D697" s="8"/>
      <c r="E697" s="8"/>
      <c r="F697" s="9"/>
      <c r="G697" s="10">
        <f>IFERROR(F697*VLOOKUP(D697,TELAS!$A$4:$C$32,3,FALSE()),0)</f>
        <v>0</v>
      </c>
      <c r="H697" s="11" t="str">
        <f>IFERROR(VLOOKUP(E697,COLORES!$A$4:$B$102,2,FALSE()),"")</f>
        <v/>
      </c>
      <c r="I697" s="12">
        <f>IFERROR(IF(H697="OSCURO",VLOOKUP(D697,PRECIOS!$A$4:$F$32,2,FALSE()),IF(H697="CLARO",VLOOKUP(D697,PRECIOS!$A$4:$F$32,3,FALSE()),IF(H697="MELANGE",VLOOKUP(D697,PRECIOS!$A$4:$F$32,4,FALSE()),IF(H697="PPT",VLOOKUP(D697,PRECIOS!$A$4:$F$32,5,FALSE()),0)))),0)</f>
        <v>0</v>
      </c>
      <c r="J697" s="12">
        <f t="shared" si="12"/>
        <v>0</v>
      </c>
      <c r="K697" s="13">
        <f>IFERROR(IF(C697="",0,SUMIFS($F$4:$F$696,$C$4:$C$696,C697,$D$4:$D$696,D697,$E$4:$E$696,E697,$B$4:$B$696,"INGRESO")+SUMIFS($F$4:$F$696,$C$4:$C$696,C697,$D$4:$D$696,D697,$E$4:$E$696,E697,$B$4:$B$696,"DE REPROCESO")+SUMIFS($F$4:$F$696,$C$4:$C$696,C697,$D$4:$D$696,D697,$E$4:$E$696,E697,$B$4:$B$696,"AJUSTE+")-SUMIFS($F$4:$F$696,$C$4:$C$696,C697,$D$4:$D$696,D697,$E$4:$E$696,E697,$B$4:$B$696,"A CORTE")-SUMIFS($F$4:$F$696,$C$4:$C$696,C697,$D$4:$D$696,D697,$E$4:$E$696,E697,$B$4:$B$696,"A REPROCESO")-SUMIFS($F$4:$F$696,$C$4:$C$696,C697,$D$4:$D$696,D697,$E$4:$E$696,E697,$B$4:$B$696,"MUESTRA")-SUMIFS($F$4:$F$696,$C$4:$C$696,C697,$D$4:$D$696,D697,$E$4:$E$696,E697,$B$4:$B$696,"AJUSTE-")),0)</f>
        <v>0</v>
      </c>
      <c r="L697" s="13">
        <f t="shared" si="13"/>
        <v>0</v>
      </c>
      <c r="M697" s="8"/>
      <c r="N697" s="14"/>
      <c r="O697" s="14"/>
      <c r="P697" s="14"/>
      <c r="Q697" s="15"/>
      <c r="R697" s="16" t="str">
        <f t="shared" si="14"/>
        <v/>
      </c>
    </row>
    <row r="698" ht="15.75" customHeight="1">
      <c r="A698" s="7"/>
      <c r="B698" s="8"/>
      <c r="C698" s="8"/>
      <c r="D698" s="8"/>
      <c r="E698" s="8"/>
      <c r="F698" s="9"/>
      <c r="G698" s="10">
        <f>IFERROR(F698*VLOOKUP(D698,TELAS!$A$4:$C$32,3,FALSE()),0)</f>
        <v>0</v>
      </c>
      <c r="H698" s="11" t="str">
        <f>IFERROR(VLOOKUP(E698,COLORES!$A$4:$B$102,2,FALSE()),"")</f>
        <v/>
      </c>
      <c r="I698" s="12">
        <f>IFERROR(IF(H698="OSCURO",VLOOKUP(D698,PRECIOS!$A$4:$F$32,2,FALSE()),IF(H698="CLARO",VLOOKUP(D698,PRECIOS!$A$4:$F$32,3,FALSE()),IF(H698="MELANGE",VLOOKUP(D698,PRECIOS!$A$4:$F$32,4,FALSE()),IF(H698="PPT",VLOOKUP(D698,PRECIOS!$A$4:$F$32,5,FALSE()),0)))),0)</f>
        <v>0</v>
      </c>
      <c r="J698" s="12">
        <f t="shared" si="12"/>
        <v>0</v>
      </c>
      <c r="K698" s="13">
        <f>IFERROR(IF(C698="",0,SUMIFS($F$4:$F$697,$C$4:$C$697,C698,$D$4:$D$697,D698,$E$4:$E$697,E698,$B$4:$B$697,"INGRESO")+SUMIFS($F$4:$F$697,$C$4:$C$697,C698,$D$4:$D$697,D698,$E$4:$E$697,E698,$B$4:$B$697,"DE REPROCESO")+SUMIFS($F$4:$F$697,$C$4:$C$697,C698,$D$4:$D$697,D698,$E$4:$E$697,E698,$B$4:$B$697,"AJUSTE+")-SUMIFS($F$4:$F$697,$C$4:$C$697,C698,$D$4:$D$697,D698,$E$4:$E$697,E698,$B$4:$B$697,"A CORTE")-SUMIFS($F$4:$F$697,$C$4:$C$697,C698,$D$4:$D$697,D698,$E$4:$E$697,E698,$B$4:$B$697,"A REPROCESO")-SUMIFS($F$4:$F$697,$C$4:$C$697,C698,$D$4:$D$697,D698,$E$4:$E$697,E698,$B$4:$B$697,"MUESTRA")-SUMIFS($F$4:$F$697,$C$4:$C$697,C698,$D$4:$D$697,D698,$E$4:$E$697,E698,$B$4:$B$697,"AJUSTE-")),0)</f>
        <v>0</v>
      </c>
      <c r="L698" s="13">
        <f t="shared" si="13"/>
        <v>0</v>
      </c>
      <c r="M698" s="8"/>
      <c r="N698" s="14"/>
      <c r="O698" s="14"/>
      <c r="P698" s="14"/>
      <c r="Q698" s="15"/>
      <c r="R698" s="16" t="str">
        <f t="shared" si="14"/>
        <v/>
      </c>
    </row>
    <row r="699" ht="15.75" customHeight="1">
      <c r="A699" s="7"/>
      <c r="B699" s="8"/>
      <c r="C699" s="8"/>
      <c r="D699" s="8"/>
      <c r="E699" s="8"/>
      <c r="F699" s="9"/>
      <c r="G699" s="10">
        <f>IFERROR(F699*VLOOKUP(D699,TELAS!$A$4:$C$32,3,FALSE()),0)</f>
        <v>0</v>
      </c>
      <c r="H699" s="11" t="str">
        <f>IFERROR(VLOOKUP(E699,COLORES!$A$4:$B$102,2,FALSE()),"")</f>
        <v/>
      </c>
      <c r="I699" s="12">
        <f>IFERROR(IF(H699="OSCURO",VLOOKUP(D699,PRECIOS!$A$4:$F$32,2,FALSE()),IF(H699="CLARO",VLOOKUP(D699,PRECIOS!$A$4:$F$32,3,FALSE()),IF(H699="MELANGE",VLOOKUP(D699,PRECIOS!$A$4:$F$32,4,FALSE()),IF(H699="PPT",VLOOKUP(D699,PRECIOS!$A$4:$F$32,5,FALSE()),0)))),0)</f>
        <v>0</v>
      </c>
      <c r="J699" s="12">
        <f t="shared" si="12"/>
        <v>0</v>
      </c>
      <c r="K699" s="13">
        <f>IFERROR(IF(C699="",0,SUMIFS($F$4:$F$698,$C$4:$C$698,C699,$D$4:$D$698,D699,$E$4:$E$698,E699,$B$4:$B$698,"INGRESO")+SUMIFS($F$4:$F$698,$C$4:$C$698,C699,$D$4:$D$698,D699,$E$4:$E$698,E699,$B$4:$B$698,"DE REPROCESO")+SUMIFS($F$4:$F$698,$C$4:$C$698,C699,$D$4:$D$698,D699,$E$4:$E$698,E699,$B$4:$B$698,"AJUSTE+")-SUMIFS($F$4:$F$698,$C$4:$C$698,C699,$D$4:$D$698,D699,$E$4:$E$698,E699,$B$4:$B$698,"A CORTE")-SUMIFS($F$4:$F$698,$C$4:$C$698,C699,$D$4:$D$698,D699,$E$4:$E$698,E699,$B$4:$B$698,"A REPROCESO")-SUMIFS($F$4:$F$698,$C$4:$C$698,C699,$D$4:$D$698,D699,$E$4:$E$698,E699,$B$4:$B$698,"MUESTRA")-SUMIFS($F$4:$F$698,$C$4:$C$698,C699,$D$4:$D$698,D699,$E$4:$E$698,E699,$B$4:$B$698,"AJUSTE-")),0)</f>
        <v>0</v>
      </c>
      <c r="L699" s="13">
        <f t="shared" si="13"/>
        <v>0</v>
      </c>
      <c r="M699" s="8"/>
      <c r="N699" s="14"/>
      <c r="O699" s="14"/>
      <c r="P699" s="14"/>
      <c r="Q699" s="15"/>
      <c r="R699" s="16" t="str">
        <f t="shared" si="14"/>
        <v/>
      </c>
    </row>
    <row r="700" ht="15.75" customHeight="1">
      <c r="A700" s="7"/>
      <c r="B700" s="8"/>
      <c r="C700" s="8"/>
      <c r="D700" s="8"/>
      <c r="E700" s="8"/>
      <c r="F700" s="9"/>
      <c r="G700" s="10">
        <f>IFERROR(F700*VLOOKUP(D700,TELAS!$A$4:$C$32,3,FALSE()),0)</f>
        <v>0</v>
      </c>
      <c r="H700" s="11" t="str">
        <f>IFERROR(VLOOKUP(E700,COLORES!$A$4:$B$102,2,FALSE()),"")</f>
        <v/>
      </c>
      <c r="I700" s="12">
        <f>IFERROR(IF(H700="OSCURO",VLOOKUP(D700,PRECIOS!$A$4:$F$32,2,FALSE()),IF(H700="CLARO",VLOOKUP(D700,PRECIOS!$A$4:$F$32,3,FALSE()),IF(H700="MELANGE",VLOOKUP(D700,PRECIOS!$A$4:$F$32,4,FALSE()),IF(H700="PPT",VLOOKUP(D700,PRECIOS!$A$4:$F$32,5,FALSE()),0)))),0)</f>
        <v>0</v>
      </c>
      <c r="J700" s="12">
        <f t="shared" si="12"/>
        <v>0</v>
      </c>
      <c r="K700" s="13">
        <f>IFERROR(IF(C700="",0,SUMIFS($F$4:$F$699,$C$4:$C$699,C700,$D$4:$D$699,D700,$E$4:$E$699,E700,$B$4:$B$699,"INGRESO")+SUMIFS($F$4:$F$699,$C$4:$C$699,C700,$D$4:$D$699,D700,$E$4:$E$699,E700,$B$4:$B$699,"DE REPROCESO")+SUMIFS($F$4:$F$699,$C$4:$C$699,C700,$D$4:$D$699,D700,$E$4:$E$699,E700,$B$4:$B$699,"AJUSTE+")-SUMIFS($F$4:$F$699,$C$4:$C$699,C700,$D$4:$D$699,D700,$E$4:$E$699,E700,$B$4:$B$699,"A CORTE")-SUMIFS($F$4:$F$699,$C$4:$C$699,C700,$D$4:$D$699,D700,$E$4:$E$699,E700,$B$4:$B$699,"A REPROCESO")-SUMIFS($F$4:$F$699,$C$4:$C$699,C700,$D$4:$D$699,D700,$E$4:$E$699,E700,$B$4:$B$699,"MUESTRA")-SUMIFS($F$4:$F$699,$C$4:$C$699,C700,$D$4:$D$699,D700,$E$4:$E$699,E700,$B$4:$B$699,"AJUSTE-")),0)</f>
        <v>0</v>
      </c>
      <c r="L700" s="13">
        <f t="shared" si="13"/>
        <v>0</v>
      </c>
      <c r="M700" s="8"/>
      <c r="N700" s="14"/>
      <c r="O700" s="14"/>
      <c r="P700" s="14"/>
      <c r="Q700" s="15"/>
      <c r="R700" s="16" t="str">
        <f t="shared" si="14"/>
        <v/>
      </c>
    </row>
    <row r="701" ht="15.75" customHeight="1">
      <c r="A701" s="7"/>
      <c r="B701" s="8"/>
      <c r="C701" s="8"/>
      <c r="D701" s="8"/>
      <c r="E701" s="8"/>
      <c r="F701" s="9"/>
      <c r="G701" s="10">
        <f>IFERROR(F701*VLOOKUP(D701,TELAS!$A$4:$C$32,3,FALSE()),0)</f>
        <v>0</v>
      </c>
      <c r="H701" s="11" t="str">
        <f>IFERROR(VLOOKUP(E701,COLORES!$A$4:$B$102,2,FALSE()),"")</f>
        <v/>
      </c>
      <c r="I701" s="12">
        <f>IFERROR(IF(H701="OSCURO",VLOOKUP(D701,PRECIOS!$A$4:$F$32,2,FALSE()),IF(H701="CLARO",VLOOKUP(D701,PRECIOS!$A$4:$F$32,3,FALSE()),IF(H701="MELANGE",VLOOKUP(D701,PRECIOS!$A$4:$F$32,4,FALSE()),IF(H701="PPT",VLOOKUP(D701,PRECIOS!$A$4:$F$32,5,FALSE()),0)))),0)</f>
        <v>0</v>
      </c>
      <c r="J701" s="12">
        <f t="shared" si="12"/>
        <v>0</v>
      </c>
      <c r="K701" s="13">
        <f>IFERROR(IF(C701="",0,SUMIFS($F$4:$F$700,$C$4:$C$700,C701,$D$4:$D$700,D701,$E$4:$E$700,E701,$B$4:$B$700,"INGRESO")+SUMIFS($F$4:$F$700,$C$4:$C$700,C701,$D$4:$D$700,D701,$E$4:$E$700,E701,$B$4:$B$700,"DE REPROCESO")+SUMIFS($F$4:$F$700,$C$4:$C$700,C701,$D$4:$D$700,D701,$E$4:$E$700,E701,$B$4:$B$700,"AJUSTE+")-SUMIFS($F$4:$F$700,$C$4:$C$700,C701,$D$4:$D$700,D701,$E$4:$E$700,E701,$B$4:$B$700,"A CORTE")-SUMIFS($F$4:$F$700,$C$4:$C$700,C701,$D$4:$D$700,D701,$E$4:$E$700,E701,$B$4:$B$700,"A REPROCESO")-SUMIFS($F$4:$F$700,$C$4:$C$700,C701,$D$4:$D$700,D701,$E$4:$E$700,E701,$B$4:$B$700,"MUESTRA")-SUMIFS($F$4:$F$700,$C$4:$C$700,C701,$D$4:$D$700,D701,$E$4:$E$700,E701,$B$4:$B$700,"AJUSTE-")),0)</f>
        <v>0</v>
      </c>
      <c r="L701" s="13">
        <f t="shared" si="13"/>
        <v>0</v>
      </c>
      <c r="M701" s="8"/>
      <c r="N701" s="14"/>
      <c r="O701" s="14"/>
      <c r="P701" s="14"/>
      <c r="Q701" s="15"/>
      <c r="R701" s="16" t="str">
        <f t="shared" si="14"/>
        <v/>
      </c>
    </row>
    <row r="702" ht="15.75" customHeight="1">
      <c r="A702" s="7"/>
      <c r="B702" s="8"/>
      <c r="C702" s="8"/>
      <c r="D702" s="8"/>
      <c r="E702" s="8"/>
      <c r="F702" s="9"/>
      <c r="G702" s="10">
        <f>IFERROR(F702*VLOOKUP(D702,TELAS!$A$4:$C$32,3,FALSE()),0)</f>
        <v>0</v>
      </c>
      <c r="H702" s="11" t="str">
        <f>IFERROR(VLOOKUP(E702,COLORES!$A$4:$B$102,2,FALSE()),"")</f>
        <v/>
      </c>
      <c r="I702" s="12">
        <f>IFERROR(IF(H702="OSCURO",VLOOKUP(D702,PRECIOS!$A$4:$F$32,2,FALSE()),IF(H702="CLARO",VLOOKUP(D702,PRECIOS!$A$4:$F$32,3,FALSE()),IF(H702="MELANGE",VLOOKUP(D702,PRECIOS!$A$4:$F$32,4,FALSE()),IF(H702="PPT",VLOOKUP(D702,PRECIOS!$A$4:$F$32,5,FALSE()),0)))),0)</f>
        <v>0</v>
      </c>
      <c r="J702" s="12">
        <f t="shared" si="12"/>
        <v>0</v>
      </c>
      <c r="K702" s="13">
        <f>IFERROR(IF(C702="",0,SUMIFS($F$4:$F$701,$C$4:$C$701,C702,$D$4:$D$701,D702,$E$4:$E$701,E702,$B$4:$B$701,"INGRESO")+SUMIFS($F$4:$F$701,$C$4:$C$701,C702,$D$4:$D$701,D702,$E$4:$E$701,E702,$B$4:$B$701,"DE REPROCESO")+SUMIFS($F$4:$F$701,$C$4:$C$701,C702,$D$4:$D$701,D702,$E$4:$E$701,E702,$B$4:$B$701,"AJUSTE+")-SUMIFS($F$4:$F$701,$C$4:$C$701,C702,$D$4:$D$701,D702,$E$4:$E$701,E702,$B$4:$B$701,"A CORTE")-SUMIFS($F$4:$F$701,$C$4:$C$701,C702,$D$4:$D$701,D702,$E$4:$E$701,E702,$B$4:$B$701,"A REPROCESO")-SUMIFS($F$4:$F$701,$C$4:$C$701,C702,$D$4:$D$701,D702,$E$4:$E$701,E702,$B$4:$B$701,"MUESTRA")-SUMIFS($F$4:$F$701,$C$4:$C$701,C702,$D$4:$D$701,D702,$E$4:$E$701,E702,$B$4:$B$701,"AJUSTE-")),0)</f>
        <v>0</v>
      </c>
      <c r="L702" s="13">
        <f t="shared" si="13"/>
        <v>0</v>
      </c>
      <c r="M702" s="8"/>
      <c r="N702" s="14"/>
      <c r="O702" s="14"/>
      <c r="P702" s="14"/>
      <c r="Q702" s="15"/>
      <c r="R702" s="16" t="str">
        <f t="shared" si="14"/>
        <v/>
      </c>
    </row>
    <row r="703" ht="15.75" customHeight="1">
      <c r="A703" s="7"/>
      <c r="B703" s="8"/>
      <c r="C703" s="8"/>
      <c r="D703" s="8"/>
      <c r="E703" s="8"/>
      <c r="F703" s="9"/>
      <c r="G703" s="10">
        <f>IFERROR(F703*VLOOKUP(D703,TELAS!$A$4:$C$32,3,FALSE()),0)</f>
        <v>0</v>
      </c>
      <c r="H703" s="11" t="str">
        <f>IFERROR(VLOOKUP(E703,COLORES!$A$4:$B$102,2,FALSE()),"")</f>
        <v/>
      </c>
      <c r="I703" s="12">
        <f>IFERROR(IF(H703="OSCURO",VLOOKUP(D703,PRECIOS!$A$4:$F$32,2,FALSE()),IF(H703="CLARO",VLOOKUP(D703,PRECIOS!$A$4:$F$32,3,FALSE()),IF(H703="MELANGE",VLOOKUP(D703,PRECIOS!$A$4:$F$32,4,FALSE()),IF(H703="PPT",VLOOKUP(D703,PRECIOS!$A$4:$F$32,5,FALSE()),0)))),0)</f>
        <v>0</v>
      </c>
      <c r="J703" s="12">
        <f t="shared" si="12"/>
        <v>0</v>
      </c>
      <c r="K703" s="13">
        <f>IFERROR(IF(C703="",0,SUMIFS($F$4:$F$702,$C$4:$C$702,C703,$D$4:$D$702,D703,$E$4:$E$702,E703,$B$4:$B$702,"INGRESO")+SUMIFS($F$4:$F$702,$C$4:$C$702,C703,$D$4:$D$702,D703,$E$4:$E$702,E703,$B$4:$B$702,"DE REPROCESO")+SUMIFS($F$4:$F$702,$C$4:$C$702,C703,$D$4:$D$702,D703,$E$4:$E$702,E703,$B$4:$B$702,"AJUSTE+")-SUMIFS($F$4:$F$702,$C$4:$C$702,C703,$D$4:$D$702,D703,$E$4:$E$702,E703,$B$4:$B$702,"A CORTE")-SUMIFS($F$4:$F$702,$C$4:$C$702,C703,$D$4:$D$702,D703,$E$4:$E$702,E703,$B$4:$B$702,"A REPROCESO")-SUMIFS($F$4:$F$702,$C$4:$C$702,C703,$D$4:$D$702,D703,$E$4:$E$702,E703,$B$4:$B$702,"MUESTRA")-SUMIFS($F$4:$F$702,$C$4:$C$702,C703,$D$4:$D$702,D703,$E$4:$E$702,E703,$B$4:$B$702,"AJUSTE-")),0)</f>
        <v>0</v>
      </c>
      <c r="L703" s="13">
        <f t="shared" si="13"/>
        <v>0</v>
      </c>
      <c r="M703" s="8"/>
      <c r="N703" s="14"/>
      <c r="O703" s="14"/>
      <c r="P703" s="14"/>
      <c r="Q703" s="15"/>
      <c r="R703" s="16" t="str">
        <f t="shared" si="14"/>
        <v/>
      </c>
    </row>
    <row r="704" ht="15.75" customHeight="1">
      <c r="A704" s="7"/>
      <c r="B704" s="8"/>
      <c r="C704" s="8"/>
      <c r="D704" s="8"/>
      <c r="E704" s="8"/>
      <c r="F704" s="9"/>
      <c r="G704" s="10">
        <f>IFERROR(F704*VLOOKUP(D704,TELAS!$A$4:$C$32,3,FALSE()),0)</f>
        <v>0</v>
      </c>
      <c r="H704" s="11" t="str">
        <f>IFERROR(VLOOKUP(E704,COLORES!$A$4:$B$102,2,FALSE()),"")</f>
        <v/>
      </c>
      <c r="I704" s="12">
        <f>IFERROR(IF(H704="OSCURO",VLOOKUP(D704,PRECIOS!$A$4:$F$32,2,FALSE()),IF(H704="CLARO",VLOOKUP(D704,PRECIOS!$A$4:$F$32,3,FALSE()),IF(H704="MELANGE",VLOOKUP(D704,PRECIOS!$A$4:$F$32,4,FALSE()),IF(H704="PPT",VLOOKUP(D704,PRECIOS!$A$4:$F$32,5,FALSE()),0)))),0)</f>
        <v>0</v>
      </c>
      <c r="J704" s="12">
        <f t="shared" si="12"/>
        <v>0</v>
      </c>
      <c r="K704" s="13">
        <f>IFERROR(IF(C704="",0,SUMIFS($F$4:$F$703,$C$4:$C$703,C704,$D$4:$D$703,D704,$E$4:$E$703,E704,$B$4:$B$703,"INGRESO")+SUMIFS($F$4:$F$703,$C$4:$C$703,C704,$D$4:$D$703,D704,$E$4:$E$703,E704,$B$4:$B$703,"DE REPROCESO")+SUMIFS($F$4:$F$703,$C$4:$C$703,C704,$D$4:$D$703,D704,$E$4:$E$703,E704,$B$4:$B$703,"AJUSTE+")-SUMIFS($F$4:$F$703,$C$4:$C$703,C704,$D$4:$D$703,D704,$E$4:$E$703,E704,$B$4:$B$703,"A CORTE")-SUMIFS($F$4:$F$703,$C$4:$C$703,C704,$D$4:$D$703,D704,$E$4:$E$703,E704,$B$4:$B$703,"A REPROCESO")-SUMIFS($F$4:$F$703,$C$4:$C$703,C704,$D$4:$D$703,D704,$E$4:$E$703,E704,$B$4:$B$703,"MUESTRA")-SUMIFS($F$4:$F$703,$C$4:$C$703,C704,$D$4:$D$703,D704,$E$4:$E$703,E704,$B$4:$B$703,"AJUSTE-")),0)</f>
        <v>0</v>
      </c>
      <c r="L704" s="13">
        <f t="shared" si="13"/>
        <v>0</v>
      </c>
      <c r="M704" s="8"/>
      <c r="N704" s="14"/>
      <c r="O704" s="14"/>
      <c r="P704" s="14"/>
      <c r="Q704" s="15"/>
      <c r="R704" s="16" t="str">
        <f t="shared" si="14"/>
        <v/>
      </c>
    </row>
    <row r="705" ht="15.75" customHeight="1">
      <c r="A705" s="7"/>
      <c r="B705" s="8"/>
      <c r="C705" s="8"/>
      <c r="D705" s="8"/>
      <c r="E705" s="8"/>
      <c r="F705" s="9"/>
      <c r="G705" s="10">
        <f>IFERROR(F705*VLOOKUP(D705,TELAS!$A$4:$C$32,3,FALSE()),0)</f>
        <v>0</v>
      </c>
      <c r="H705" s="11" t="str">
        <f>IFERROR(VLOOKUP(E705,COLORES!$A$4:$B$102,2,FALSE()),"")</f>
        <v/>
      </c>
      <c r="I705" s="12">
        <f>IFERROR(IF(H705="OSCURO",VLOOKUP(D705,PRECIOS!$A$4:$F$32,2,FALSE()),IF(H705="CLARO",VLOOKUP(D705,PRECIOS!$A$4:$F$32,3,FALSE()),IF(H705="MELANGE",VLOOKUP(D705,PRECIOS!$A$4:$F$32,4,FALSE()),IF(H705="PPT",VLOOKUP(D705,PRECIOS!$A$4:$F$32,5,FALSE()),0)))),0)</f>
        <v>0</v>
      </c>
      <c r="J705" s="12">
        <f t="shared" si="12"/>
        <v>0</v>
      </c>
      <c r="K705" s="13">
        <f>IFERROR(IF(C705="",0,SUMIFS($F$4:$F$704,$C$4:$C$704,C705,$D$4:$D$704,D705,$E$4:$E$704,E705,$B$4:$B$704,"INGRESO")+SUMIFS($F$4:$F$704,$C$4:$C$704,C705,$D$4:$D$704,D705,$E$4:$E$704,E705,$B$4:$B$704,"DE REPROCESO")+SUMIFS($F$4:$F$704,$C$4:$C$704,C705,$D$4:$D$704,D705,$E$4:$E$704,E705,$B$4:$B$704,"AJUSTE+")-SUMIFS($F$4:$F$704,$C$4:$C$704,C705,$D$4:$D$704,D705,$E$4:$E$704,E705,$B$4:$B$704,"A CORTE")-SUMIFS($F$4:$F$704,$C$4:$C$704,C705,$D$4:$D$704,D705,$E$4:$E$704,E705,$B$4:$B$704,"A REPROCESO")-SUMIFS($F$4:$F$704,$C$4:$C$704,C705,$D$4:$D$704,D705,$E$4:$E$704,E705,$B$4:$B$704,"MUESTRA")-SUMIFS($F$4:$F$704,$C$4:$C$704,C705,$D$4:$D$704,D705,$E$4:$E$704,E705,$B$4:$B$704,"AJUSTE-")),0)</f>
        <v>0</v>
      </c>
      <c r="L705" s="13">
        <f t="shared" si="13"/>
        <v>0</v>
      </c>
      <c r="M705" s="8"/>
      <c r="N705" s="14"/>
      <c r="O705" s="14"/>
      <c r="P705" s="14"/>
      <c r="Q705" s="15"/>
      <c r="R705" s="16" t="str">
        <f t="shared" si="14"/>
        <v/>
      </c>
    </row>
    <row r="706" ht="15.75" customHeight="1">
      <c r="A706" s="7"/>
      <c r="B706" s="8"/>
      <c r="C706" s="8"/>
      <c r="D706" s="8"/>
      <c r="E706" s="8"/>
      <c r="F706" s="9"/>
      <c r="G706" s="10">
        <f>IFERROR(F706*VLOOKUP(D706,TELAS!$A$4:$C$32,3,FALSE()),0)</f>
        <v>0</v>
      </c>
      <c r="H706" s="11" t="str">
        <f>IFERROR(VLOOKUP(E706,COLORES!$A$4:$B$102,2,FALSE()),"")</f>
        <v/>
      </c>
      <c r="I706" s="12">
        <f>IFERROR(IF(H706="OSCURO",VLOOKUP(D706,PRECIOS!$A$4:$F$32,2,FALSE()),IF(H706="CLARO",VLOOKUP(D706,PRECIOS!$A$4:$F$32,3,FALSE()),IF(H706="MELANGE",VLOOKUP(D706,PRECIOS!$A$4:$F$32,4,FALSE()),IF(H706="PPT",VLOOKUP(D706,PRECIOS!$A$4:$F$32,5,FALSE()),0)))),0)</f>
        <v>0</v>
      </c>
      <c r="J706" s="12">
        <f t="shared" si="12"/>
        <v>0</v>
      </c>
      <c r="K706" s="13">
        <f>IFERROR(IF(C706="",0,SUMIFS($F$4:$F$705,$C$4:$C$705,C706,$D$4:$D$705,D706,$E$4:$E$705,E706,$B$4:$B$705,"INGRESO")+SUMIFS($F$4:$F$705,$C$4:$C$705,C706,$D$4:$D$705,D706,$E$4:$E$705,E706,$B$4:$B$705,"DE REPROCESO")+SUMIFS($F$4:$F$705,$C$4:$C$705,C706,$D$4:$D$705,D706,$E$4:$E$705,E706,$B$4:$B$705,"AJUSTE+")-SUMIFS($F$4:$F$705,$C$4:$C$705,C706,$D$4:$D$705,D706,$E$4:$E$705,E706,$B$4:$B$705,"A CORTE")-SUMIFS($F$4:$F$705,$C$4:$C$705,C706,$D$4:$D$705,D706,$E$4:$E$705,E706,$B$4:$B$705,"A REPROCESO")-SUMIFS($F$4:$F$705,$C$4:$C$705,C706,$D$4:$D$705,D706,$E$4:$E$705,E706,$B$4:$B$705,"MUESTRA")-SUMIFS($F$4:$F$705,$C$4:$C$705,C706,$D$4:$D$705,D706,$E$4:$E$705,E706,$B$4:$B$705,"AJUSTE-")),0)</f>
        <v>0</v>
      </c>
      <c r="L706" s="13">
        <f t="shared" si="13"/>
        <v>0</v>
      </c>
      <c r="M706" s="8"/>
      <c r="N706" s="14"/>
      <c r="O706" s="14"/>
      <c r="P706" s="14"/>
      <c r="Q706" s="15"/>
      <c r="R706" s="16" t="str">
        <f t="shared" si="14"/>
        <v/>
      </c>
    </row>
    <row r="707" ht="15.75" customHeight="1">
      <c r="A707" s="7"/>
      <c r="B707" s="8"/>
      <c r="C707" s="8"/>
      <c r="D707" s="8"/>
      <c r="E707" s="8"/>
      <c r="F707" s="9"/>
      <c r="G707" s="10">
        <f>IFERROR(F707*VLOOKUP(D707,TELAS!$A$4:$C$32,3,FALSE()),0)</f>
        <v>0</v>
      </c>
      <c r="H707" s="11" t="str">
        <f>IFERROR(VLOOKUP(E707,COLORES!$A$4:$B$102,2,FALSE()),"")</f>
        <v/>
      </c>
      <c r="I707" s="12">
        <f>IFERROR(IF(H707="OSCURO",VLOOKUP(D707,PRECIOS!$A$4:$F$32,2,FALSE()),IF(H707="CLARO",VLOOKUP(D707,PRECIOS!$A$4:$F$32,3,FALSE()),IF(H707="MELANGE",VLOOKUP(D707,PRECIOS!$A$4:$F$32,4,FALSE()),IF(H707="PPT",VLOOKUP(D707,PRECIOS!$A$4:$F$32,5,FALSE()),0)))),0)</f>
        <v>0</v>
      </c>
      <c r="J707" s="12">
        <f t="shared" si="12"/>
        <v>0</v>
      </c>
      <c r="K707" s="13">
        <f>IFERROR(IF(C707="",0,SUMIFS($F$4:$F$706,$C$4:$C$706,C707,$D$4:$D$706,D707,$E$4:$E$706,E707,$B$4:$B$706,"INGRESO")+SUMIFS($F$4:$F$706,$C$4:$C$706,C707,$D$4:$D$706,D707,$E$4:$E$706,E707,$B$4:$B$706,"DE REPROCESO")+SUMIFS($F$4:$F$706,$C$4:$C$706,C707,$D$4:$D$706,D707,$E$4:$E$706,E707,$B$4:$B$706,"AJUSTE+")-SUMIFS($F$4:$F$706,$C$4:$C$706,C707,$D$4:$D$706,D707,$E$4:$E$706,E707,$B$4:$B$706,"A CORTE")-SUMIFS($F$4:$F$706,$C$4:$C$706,C707,$D$4:$D$706,D707,$E$4:$E$706,E707,$B$4:$B$706,"A REPROCESO")-SUMIFS($F$4:$F$706,$C$4:$C$706,C707,$D$4:$D$706,D707,$E$4:$E$706,E707,$B$4:$B$706,"MUESTRA")-SUMIFS($F$4:$F$706,$C$4:$C$706,C707,$D$4:$D$706,D707,$E$4:$E$706,E707,$B$4:$B$706,"AJUSTE-")),0)</f>
        <v>0</v>
      </c>
      <c r="L707" s="13">
        <f t="shared" si="13"/>
        <v>0</v>
      </c>
      <c r="M707" s="8"/>
      <c r="N707" s="14"/>
      <c r="O707" s="14"/>
      <c r="P707" s="14"/>
      <c r="Q707" s="15"/>
      <c r="R707" s="16" t="str">
        <f t="shared" si="14"/>
        <v/>
      </c>
    </row>
    <row r="708" ht="15.75" customHeight="1">
      <c r="A708" s="7"/>
      <c r="B708" s="8"/>
      <c r="C708" s="8"/>
      <c r="D708" s="8"/>
      <c r="E708" s="8"/>
      <c r="F708" s="9"/>
      <c r="G708" s="10">
        <f>IFERROR(F708*VLOOKUP(D708,TELAS!$A$4:$C$32,3,FALSE()),0)</f>
        <v>0</v>
      </c>
      <c r="H708" s="11" t="str">
        <f>IFERROR(VLOOKUP(E708,COLORES!$A$4:$B$102,2,FALSE()),"")</f>
        <v/>
      </c>
      <c r="I708" s="12">
        <f>IFERROR(IF(H708="OSCURO",VLOOKUP(D708,PRECIOS!$A$4:$F$32,2,FALSE()),IF(H708="CLARO",VLOOKUP(D708,PRECIOS!$A$4:$F$32,3,FALSE()),IF(H708="MELANGE",VLOOKUP(D708,PRECIOS!$A$4:$F$32,4,FALSE()),IF(H708="PPT",VLOOKUP(D708,PRECIOS!$A$4:$F$32,5,FALSE()),0)))),0)</f>
        <v>0</v>
      </c>
      <c r="J708" s="12">
        <f t="shared" si="12"/>
        <v>0</v>
      </c>
      <c r="K708" s="13">
        <f>IFERROR(IF(C708="",0,SUMIFS($F$4:$F$707,$C$4:$C$707,C708,$D$4:$D$707,D708,$E$4:$E$707,E708,$B$4:$B$707,"INGRESO")+SUMIFS($F$4:$F$707,$C$4:$C$707,C708,$D$4:$D$707,D708,$E$4:$E$707,E708,$B$4:$B$707,"DE REPROCESO")+SUMIFS($F$4:$F$707,$C$4:$C$707,C708,$D$4:$D$707,D708,$E$4:$E$707,E708,$B$4:$B$707,"AJUSTE+")-SUMIFS($F$4:$F$707,$C$4:$C$707,C708,$D$4:$D$707,D708,$E$4:$E$707,E708,$B$4:$B$707,"A CORTE")-SUMIFS($F$4:$F$707,$C$4:$C$707,C708,$D$4:$D$707,D708,$E$4:$E$707,E708,$B$4:$B$707,"A REPROCESO")-SUMIFS($F$4:$F$707,$C$4:$C$707,C708,$D$4:$D$707,D708,$E$4:$E$707,E708,$B$4:$B$707,"MUESTRA")-SUMIFS($F$4:$F$707,$C$4:$C$707,C708,$D$4:$D$707,D708,$E$4:$E$707,E708,$B$4:$B$707,"AJUSTE-")),0)</f>
        <v>0</v>
      </c>
      <c r="L708" s="13">
        <f t="shared" si="13"/>
        <v>0</v>
      </c>
      <c r="M708" s="8"/>
      <c r="N708" s="14"/>
      <c r="O708" s="14"/>
      <c r="P708" s="14"/>
      <c r="Q708" s="15"/>
      <c r="R708" s="16" t="str">
        <f t="shared" si="14"/>
        <v/>
      </c>
    </row>
    <row r="709" ht="15.75" customHeight="1">
      <c r="A709" s="7"/>
      <c r="B709" s="8"/>
      <c r="C709" s="8"/>
      <c r="D709" s="8"/>
      <c r="E709" s="8"/>
      <c r="F709" s="9"/>
      <c r="G709" s="10">
        <f>IFERROR(F709*VLOOKUP(D709,TELAS!$A$4:$C$32,3,FALSE()),0)</f>
        <v>0</v>
      </c>
      <c r="H709" s="11" t="str">
        <f>IFERROR(VLOOKUP(E709,COLORES!$A$4:$B$102,2,FALSE()),"")</f>
        <v/>
      </c>
      <c r="I709" s="12">
        <f>IFERROR(IF(H709="OSCURO",VLOOKUP(D709,PRECIOS!$A$4:$F$32,2,FALSE()),IF(H709="CLARO",VLOOKUP(D709,PRECIOS!$A$4:$F$32,3,FALSE()),IF(H709="MELANGE",VLOOKUP(D709,PRECIOS!$A$4:$F$32,4,FALSE()),IF(H709="PPT",VLOOKUP(D709,PRECIOS!$A$4:$F$32,5,FALSE()),0)))),0)</f>
        <v>0</v>
      </c>
      <c r="J709" s="12">
        <f t="shared" si="12"/>
        <v>0</v>
      </c>
      <c r="K709" s="13">
        <f>IFERROR(IF(C709="",0,SUMIFS($F$4:$F$708,$C$4:$C$708,C709,$D$4:$D$708,D709,$E$4:$E$708,E709,$B$4:$B$708,"INGRESO")+SUMIFS($F$4:$F$708,$C$4:$C$708,C709,$D$4:$D$708,D709,$E$4:$E$708,E709,$B$4:$B$708,"DE REPROCESO")+SUMIFS($F$4:$F$708,$C$4:$C$708,C709,$D$4:$D$708,D709,$E$4:$E$708,E709,$B$4:$B$708,"AJUSTE+")-SUMIFS($F$4:$F$708,$C$4:$C$708,C709,$D$4:$D$708,D709,$E$4:$E$708,E709,$B$4:$B$708,"A CORTE")-SUMIFS($F$4:$F$708,$C$4:$C$708,C709,$D$4:$D$708,D709,$E$4:$E$708,E709,$B$4:$B$708,"A REPROCESO")-SUMIFS($F$4:$F$708,$C$4:$C$708,C709,$D$4:$D$708,D709,$E$4:$E$708,E709,$B$4:$B$708,"MUESTRA")-SUMIFS($F$4:$F$708,$C$4:$C$708,C709,$D$4:$D$708,D709,$E$4:$E$708,E709,$B$4:$B$708,"AJUSTE-")),0)</f>
        <v>0</v>
      </c>
      <c r="L709" s="13">
        <f t="shared" si="13"/>
        <v>0</v>
      </c>
      <c r="M709" s="8"/>
      <c r="N709" s="14"/>
      <c r="O709" s="14"/>
      <c r="P709" s="14"/>
      <c r="Q709" s="15"/>
      <c r="R709" s="16" t="str">
        <f t="shared" si="14"/>
        <v/>
      </c>
    </row>
    <row r="710" ht="15.75" customHeight="1">
      <c r="A710" s="7"/>
      <c r="B710" s="8"/>
      <c r="C710" s="8"/>
      <c r="D710" s="8"/>
      <c r="E710" s="8"/>
      <c r="F710" s="9"/>
      <c r="G710" s="10">
        <f>IFERROR(F710*VLOOKUP(D710,TELAS!$A$4:$C$32,3,FALSE()),0)</f>
        <v>0</v>
      </c>
      <c r="H710" s="11" t="str">
        <f>IFERROR(VLOOKUP(E710,COLORES!$A$4:$B$102,2,FALSE()),"")</f>
        <v/>
      </c>
      <c r="I710" s="12">
        <f>IFERROR(IF(H710="OSCURO",VLOOKUP(D710,PRECIOS!$A$4:$F$32,2,FALSE()),IF(H710="CLARO",VLOOKUP(D710,PRECIOS!$A$4:$F$32,3,FALSE()),IF(H710="MELANGE",VLOOKUP(D710,PRECIOS!$A$4:$F$32,4,FALSE()),IF(H710="PPT",VLOOKUP(D710,PRECIOS!$A$4:$F$32,5,FALSE()),0)))),0)</f>
        <v>0</v>
      </c>
      <c r="J710" s="12">
        <f t="shared" si="12"/>
        <v>0</v>
      </c>
      <c r="K710" s="13">
        <f>IFERROR(IF(C710="",0,SUMIFS($F$4:$F$709,$C$4:$C$709,C710,$D$4:$D$709,D710,$E$4:$E$709,E710,$B$4:$B$709,"INGRESO")+SUMIFS($F$4:$F$709,$C$4:$C$709,C710,$D$4:$D$709,D710,$E$4:$E$709,E710,$B$4:$B$709,"DE REPROCESO")+SUMIFS($F$4:$F$709,$C$4:$C$709,C710,$D$4:$D$709,D710,$E$4:$E$709,E710,$B$4:$B$709,"AJUSTE+")-SUMIFS($F$4:$F$709,$C$4:$C$709,C710,$D$4:$D$709,D710,$E$4:$E$709,E710,$B$4:$B$709,"A CORTE")-SUMIFS($F$4:$F$709,$C$4:$C$709,C710,$D$4:$D$709,D710,$E$4:$E$709,E710,$B$4:$B$709,"A REPROCESO")-SUMIFS($F$4:$F$709,$C$4:$C$709,C710,$D$4:$D$709,D710,$E$4:$E$709,E710,$B$4:$B$709,"MUESTRA")-SUMIFS($F$4:$F$709,$C$4:$C$709,C710,$D$4:$D$709,D710,$E$4:$E$709,E710,$B$4:$B$709,"AJUSTE-")),0)</f>
        <v>0</v>
      </c>
      <c r="L710" s="13">
        <f t="shared" si="13"/>
        <v>0</v>
      </c>
      <c r="M710" s="8"/>
      <c r="N710" s="14"/>
      <c r="O710" s="14"/>
      <c r="P710" s="14"/>
      <c r="Q710" s="15"/>
      <c r="R710" s="16" t="str">
        <f t="shared" si="14"/>
        <v/>
      </c>
    </row>
    <row r="711" ht="15.75" customHeight="1">
      <c r="A711" s="7"/>
      <c r="B711" s="8"/>
      <c r="C711" s="8"/>
      <c r="D711" s="8"/>
      <c r="E711" s="8"/>
      <c r="F711" s="9"/>
      <c r="G711" s="10">
        <f>IFERROR(F711*VLOOKUP(D711,TELAS!$A$4:$C$32,3,FALSE()),0)</f>
        <v>0</v>
      </c>
      <c r="H711" s="11" t="str">
        <f>IFERROR(VLOOKUP(E711,COLORES!$A$4:$B$102,2,FALSE()),"")</f>
        <v/>
      </c>
      <c r="I711" s="12">
        <f>IFERROR(IF(H711="OSCURO",VLOOKUP(D711,PRECIOS!$A$4:$F$32,2,FALSE()),IF(H711="CLARO",VLOOKUP(D711,PRECIOS!$A$4:$F$32,3,FALSE()),IF(H711="MELANGE",VLOOKUP(D711,PRECIOS!$A$4:$F$32,4,FALSE()),IF(H711="PPT",VLOOKUP(D711,PRECIOS!$A$4:$F$32,5,FALSE()),0)))),0)</f>
        <v>0</v>
      </c>
      <c r="J711" s="12">
        <f t="shared" si="12"/>
        <v>0</v>
      </c>
      <c r="K711" s="13">
        <f>IFERROR(IF(C711="",0,SUMIFS($F$4:$F$710,$C$4:$C$710,C711,$D$4:$D$710,D711,$E$4:$E$710,E711,$B$4:$B$710,"INGRESO")+SUMIFS($F$4:$F$710,$C$4:$C$710,C711,$D$4:$D$710,D711,$E$4:$E$710,E711,$B$4:$B$710,"DE REPROCESO")+SUMIFS($F$4:$F$710,$C$4:$C$710,C711,$D$4:$D$710,D711,$E$4:$E$710,E711,$B$4:$B$710,"AJUSTE+")-SUMIFS($F$4:$F$710,$C$4:$C$710,C711,$D$4:$D$710,D711,$E$4:$E$710,E711,$B$4:$B$710,"A CORTE")-SUMIFS($F$4:$F$710,$C$4:$C$710,C711,$D$4:$D$710,D711,$E$4:$E$710,E711,$B$4:$B$710,"A REPROCESO")-SUMIFS($F$4:$F$710,$C$4:$C$710,C711,$D$4:$D$710,D711,$E$4:$E$710,E711,$B$4:$B$710,"MUESTRA")-SUMIFS($F$4:$F$710,$C$4:$C$710,C711,$D$4:$D$710,D711,$E$4:$E$710,E711,$B$4:$B$710,"AJUSTE-")),0)</f>
        <v>0</v>
      </c>
      <c r="L711" s="13">
        <f t="shared" si="13"/>
        <v>0</v>
      </c>
      <c r="M711" s="8"/>
      <c r="N711" s="14"/>
      <c r="O711" s="14"/>
      <c r="P711" s="14"/>
      <c r="Q711" s="15"/>
      <c r="R711" s="16" t="str">
        <f t="shared" si="14"/>
        <v/>
      </c>
    </row>
    <row r="712" ht="15.75" customHeight="1">
      <c r="A712" s="7"/>
      <c r="B712" s="8"/>
      <c r="C712" s="8"/>
      <c r="D712" s="8"/>
      <c r="E712" s="8"/>
      <c r="F712" s="9"/>
      <c r="G712" s="10">
        <f>IFERROR(F712*VLOOKUP(D712,TELAS!$A$4:$C$32,3,FALSE()),0)</f>
        <v>0</v>
      </c>
      <c r="H712" s="11" t="str">
        <f>IFERROR(VLOOKUP(E712,COLORES!$A$4:$B$102,2,FALSE()),"")</f>
        <v/>
      </c>
      <c r="I712" s="12">
        <f>IFERROR(IF(H712="OSCURO",VLOOKUP(D712,PRECIOS!$A$4:$F$32,2,FALSE()),IF(H712="CLARO",VLOOKUP(D712,PRECIOS!$A$4:$F$32,3,FALSE()),IF(H712="MELANGE",VLOOKUP(D712,PRECIOS!$A$4:$F$32,4,FALSE()),IF(H712="PPT",VLOOKUP(D712,PRECIOS!$A$4:$F$32,5,FALSE()),0)))),0)</f>
        <v>0</v>
      </c>
      <c r="J712" s="12">
        <f t="shared" si="12"/>
        <v>0</v>
      </c>
      <c r="K712" s="13">
        <f>IFERROR(IF(C712="",0,SUMIFS($F$4:$F$711,$C$4:$C$711,C712,$D$4:$D$711,D712,$E$4:$E$711,E712,$B$4:$B$711,"INGRESO")+SUMIFS($F$4:$F$711,$C$4:$C$711,C712,$D$4:$D$711,D712,$E$4:$E$711,E712,$B$4:$B$711,"DE REPROCESO")+SUMIFS($F$4:$F$711,$C$4:$C$711,C712,$D$4:$D$711,D712,$E$4:$E$711,E712,$B$4:$B$711,"AJUSTE+")-SUMIFS($F$4:$F$711,$C$4:$C$711,C712,$D$4:$D$711,D712,$E$4:$E$711,E712,$B$4:$B$711,"A CORTE")-SUMIFS($F$4:$F$711,$C$4:$C$711,C712,$D$4:$D$711,D712,$E$4:$E$711,E712,$B$4:$B$711,"A REPROCESO")-SUMIFS($F$4:$F$711,$C$4:$C$711,C712,$D$4:$D$711,D712,$E$4:$E$711,E712,$B$4:$B$711,"MUESTRA")-SUMIFS($F$4:$F$711,$C$4:$C$711,C712,$D$4:$D$711,D712,$E$4:$E$711,E712,$B$4:$B$711,"AJUSTE-")),0)</f>
        <v>0</v>
      </c>
      <c r="L712" s="13">
        <f t="shared" si="13"/>
        <v>0</v>
      </c>
      <c r="M712" s="8"/>
      <c r="N712" s="14"/>
      <c r="O712" s="14"/>
      <c r="P712" s="14"/>
      <c r="Q712" s="15"/>
      <c r="R712" s="16" t="str">
        <f t="shared" si="14"/>
        <v/>
      </c>
    </row>
    <row r="713" ht="15.75" customHeight="1">
      <c r="A713" s="7"/>
      <c r="B713" s="8"/>
      <c r="C713" s="8"/>
      <c r="D713" s="8"/>
      <c r="E713" s="8"/>
      <c r="F713" s="9"/>
      <c r="G713" s="10">
        <f>IFERROR(F713*VLOOKUP(D713,TELAS!$A$4:$C$32,3,FALSE()),0)</f>
        <v>0</v>
      </c>
      <c r="H713" s="11" t="str">
        <f>IFERROR(VLOOKUP(E713,COLORES!$A$4:$B$102,2,FALSE()),"")</f>
        <v/>
      </c>
      <c r="I713" s="12">
        <f>IFERROR(IF(H713="OSCURO",VLOOKUP(D713,PRECIOS!$A$4:$F$32,2,FALSE()),IF(H713="CLARO",VLOOKUP(D713,PRECIOS!$A$4:$F$32,3,FALSE()),IF(H713="MELANGE",VLOOKUP(D713,PRECIOS!$A$4:$F$32,4,FALSE()),IF(H713="PPT",VLOOKUP(D713,PRECIOS!$A$4:$F$32,5,FALSE()),0)))),0)</f>
        <v>0</v>
      </c>
      <c r="J713" s="12">
        <f t="shared" si="12"/>
        <v>0</v>
      </c>
      <c r="K713" s="13">
        <f>IFERROR(IF(C713="",0,SUMIFS($F$4:$F$712,$C$4:$C$712,C713,$D$4:$D$712,D713,$E$4:$E$712,E713,$B$4:$B$712,"INGRESO")+SUMIFS($F$4:$F$712,$C$4:$C$712,C713,$D$4:$D$712,D713,$E$4:$E$712,E713,$B$4:$B$712,"DE REPROCESO")+SUMIFS($F$4:$F$712,$C$4:$C$712,C713,$D$4:$D$712,D713,$E$4:$E$712,E713,$B$4:$B$712,"AJUSTE+")-SUMIFS($F$4:$F$712,$C$4:$C$712,C713,$D$4:$D$712,D713,$E$4:$E$712,E713,$B$4:$B$712,"A CORTE")-SUMIFS($F$4:$F$712,$C$4:$C$712,C713,$D$4:$D$712,D713,$E$4:$E$712,E713,$B$4:$B$712,"A REPROCESO")-SUMIFS($F$4:$F$712,$C$4:$C$712,C713,$D$4:$D$712,D713,$E$4:$E$712,E713,$B$4:$B$712,"MUESTRA")-SUMIFS($F$4:$F$712,$C$4:$C$712,C713,$D$4:$D$712,D713,$E$4:$E$712,E713,$B$4:$B$712,"AJUSTE-")),0)</f>
        <v>0</v>
      </c>
      <c r="L713" s="13">
        <f t="shared" si="13"/>
        <v>0</v>
      </c>
      <c r="M713" s="8"/>
      <c r="N713" s="14"/>
      <c r="O713" s="14"/>
      <c r="P713" s="14"/>
      <c r="Q713" s="15"/>
      <c r="R713" s="16" t="str">
        <f t="shared" si="14"/>
        <v/>
      </c>
    </row>
    <row r="714" ht="15.75" customHeight="1">
      <c r="A714" s="7"/>
      <c r="B714" s="8"/>
      <c r="C714" s="8"/>
      <c r="D714" s="8"/>
      <c r="E714" s="8"/>
      <c r="F714" s="9"/>
      <c r="G714" s="10">
        <f>IFERROR(F714*VLOOKUP(D714,TELAS!$A$4:$C$32,3,FALSE()),0)</f>
        <v>0</v>
      </c>
      <c r="H714" s="11" t="str">
        <f>IFERROR(VLOOKUP(E714,COLORES!$A$4:$B$102,2,FALSE()),"")</f>
        <v/>
      </c>
      <c r="I714" s="12">
        <f>IFERROR(IF(H714="OSCURO",VLOOKUP(D714,PRECIOS!$A$4:$F$32,2,FALSE()),IF(H714="CLARO",VLOOKUP(D714,PRECIOS!$A$4:$F$32,3,FALSE()),IF(H714="MELANGE",VLOOKUP(D714,PRECIOS!$A$4:$F$32,4,FALSE()),IF(H714="PPT",VLOOKUP(D714,PRECIOS!$A$4:$F$32,5,FALSE()),0)))),0)</f>
        <v>0</v>
      </c>
      <c r="J714" s="12">
        <f t="shared" si="12"/>
        <v>0</v>
      </c>
      <c r="K714" s="13">
        <f>IFERROR(IF(C714="",0,SUMIFS($F$4:$F$713,$C$4:$C$713,C714,$D$4:$D$713,D714,$E$4:$E$713,E714,$B$4:$B$713,"INGRESO")+SUMIFS($F$4:$F$713,$C$4:$C$713,C714,$D$4:$D$713,D714,$E$4:$E$713,E714,$B$4:$B$713,"DE REPROCESO")+SUMIFS($F$4:$F$713,$C$4:$C$713,C714,$D$4:$D$713,D714,$E$4:$E$713,E714,$B$4:$B$713,"AJUSTE+")-SUMIFS($F$4:$F$713,$C$4:$C$713,C714,$D$4:$D$713,D714,$E$4:$E$713,E714,$B$4:$B$713,"A CORTE")-SUMIFS($F$4:$F$713,$C$4:$C$713,C714,$D$4:$D$713,D714,$E$4:$E$713,E714,$B$4:$B$713,"A REPROCESO")-SUMIFS($F$4:$F$713,$C$4:$C$713,C714,$D$4:$D$713,D714,$E$4:$E$713,E714,$B$4:$B$713,"MUESTRA")-SUMIFS($F$4:$F$713,$C$4:$C$713,C714,$D$4:$D$713,D714,$E$4:$E$713,E714,$B$4:$B$713,"AJUSTE-")),0)</f>
        <v>0</v>
      </c>
      <c r="L714" s="13">
        <f t="shared" si="13"/>
        <v>0</v>
      </c>
      <c r="M714" s="8"/>
      <c r="N714" s="14"/>
      <c r="O714" s="14"/>
      <c r="P714" s="14"/>
      <c r="Q714" s="15"/>
      <c r="R714" s="16" t="str">
        <f t="shared" si="14"/>
        <v/>
      </c>
    </row>
    <row r="715" ht="15.75" customHeight="1">
      <c r="A715" s="7"/>
      <c r="B715" s="8"/>
      <c r="C715" s="8"/>
      <c r="D715" s="8"/>
      <c r="E715" s="8"/>
      <c r="F715" s="9"/>
      <c r="G715" s="10">
        <f>IFERROR(F715*VLOOKUP(D715,TELAS!$A$4:$C$32,3,FALSE()),0)</f>
        <v>0</v>
      </c>
      <c r="H715" s="11" t="str">
        <f>IFERROR(VLOOKUP(E715,COLORES!$A$4:$B$102,2,FALSE()),"")</f>
        <v/>
      </c>
      <c r="I715" s="12">
        <f>IFERROR(IF(H715="OSCURO",VLOOKUP(D715,PRECIOS!$A$4:$F$32,2,FALSE()),IF(H715="CLARO",VLOOKUP(D715,PRECIOS!$A$4:$F$32,3,FALSE()),IF(H715="MELANGE",VLOOKUP(D715,PRECIOS!$A$4:$F$32,4,FALSE()),IF(H715="PPT",VLOOKUP(D715,PRECIOS!$A$4:$F$32,5,FALSE()),0)))),0)</f>
        <v>0</v>
      </c>
      <c r="J715" s="12">
        <f t="shared" si="12"/>
        <v>0</v>
      </c>
      <c r="K715" s="13">
        <f>IFERROR(IF(C715="",0,SUMIFS($F$4:$F$714,$C$4:$C$714,C715,$D$4:$D$714,D715,$E$4:$E$714,E715,$B$4:$B$714,"INGRESO")+SUMIFS($F$4:$F$714,$C$4:$C$714,C715,$D$4:$D$714,D715,$E$4:$E$714,E715,$B$4:$B$714,"DE REPROCESO")+SUMIFS($F$4:$F$714,$C$4:$C$714,C715,$D$4:$D$714,D715,$E$4:$E$714,E715,$B$4:$B$714,"AJUSTE+")-SUMIFS($F$4:$F$714,$C$4:$C$714,C715,$D$4:$D$714,D715,$E$4:$E$714,E715,$B$4:$B$714,"A CORTE")-SUMIFS($F$4:$F$714,$C$4:$C$714,C715,$D$4:$D$714,D715,$E$4:$E$714,E715,$B$4:$B$714,"A REPROCESO")-SUMIFS($F$4:$F$714,$C$4:$C$714,C715,$D$4:$D$714,D715,$E$4:$E$714,E715,$B$4:$B$714,"MUESTRA")-SUMIFS($F$4:$F$714,$C$4:$C$714,C715,$D$4:$D$714,D715,$E$4:$E$714,E715,$B$4:$B$714,"AJUSTE-")),0)</f>
        <v>0</v>
      </c>
      <c r="L715" s="13">
        <f t="shared" si="13"/>
        <v>0</v>
      </c>
      <c r="M715" s="8"/>
      <c r="N715" s="14"/>
      <c r="O715" s="14"/>
      <c r="P715" s="14"/>
      <c r="Q715" s="15"/>
      <c r="R715" s="16" t="str">
        <f t="shared" si="14"/>
        <v/>
      </c>
    </row>
    <row r="716" ht="15.75" customHeight="1">
      <c r="A716" s="7"/>
      <c r="B716" s="8"/>
      <c r="C716" s="8"/>
      <c r="D716" s="8"/>
      <c r="E716" s="8"/>
      <c r="F716" s="9"/>
      <c r="G716" s="10">
        <f>IFERROR(F716*VLOOKUP(D716,TELAS!$A$4:$C$32,3,FALSE()),0)</f>
        <v>0</v>
      </c>
      <c r="H716" s="11" t="str">
        <f>IFERROR(VLOOKUP(E716,COLORES!$A$4:$B$102,2,FALSE()),"")</f>
        <v/>
      </c>
      <c r="I716" s="12">
        <f>IFERROR(IF(H716="OSCURO",VLOOKUP(D716,PRECIOS!$A$4:$F$32,2,FALSE()),IF(H716="CLARO",VLOOKUP(D716,PRECIOS!$A$4:$F$32,3,FALSE()),IF(H716="MELANGE",VLOOKUP(D716,PRECIOS!$A$4:$F$32,4,FALSE()),IF(H716="PPT",VLOOKUP(D716,PRECIOS!$A$4:$F$32,5,FALSE()),0)))),0)</f>
        <v>0</v>
      </c>
      <c r="J716" s="12">
        <f t="shared" si="12"/>
        <v>0</v>
      </c>
      <c r="K716" s="13">
        <f>IFERROR(IF(C716="",0,SUMIFS($F$4:$F$715,$C$4:$C$715,C716,$D$4:$D$715,D716,$E$4:$E$715,E716,$B$4:$B$715,"INGRESO")+SUMIFS($F$4:$F$715,$C$4:$C$715,C716,$D$4:$D$715,D716,$E$4:$E$715,E716,$B$4:$B$715,"DE REPROCESO")+SUMIFS($F$4:$F$715,$C$4:$C$715,C716,$D$4:$D$715,D716,$E$4:$E$715,E716,$B$4:$B$715,"AJUSTE+")-SUMIFS($F$4:$F$715,$C$4:$C$715,C716,$D$4:$D$715,D716,$E$4:$E$715,E716,$B$4:$B$715,"A CORTE")-SUMIFS($F$4:$F$715,$C$4:$C$715,C716,$D$4:$D$715,D716,$E$4:$E$715,E716,$B$4:$B$715,"A REPROCESO")-SUMIFS($F$4:$F$715,$C$4:$C$715,C716,$D$4:$D$715,D716,$E$4:$E$715,E716,$B$4:$B$715,"MUESTRA")-SUMIFS($F$4:$F$715,$C$4:$C$715,C716,$D$4:$D$715,D716,$E$4:$E$715,E716,$B$4:$B$715,"AJUSTE-")),0)</f>
        <v>0</v>
      </c>
      <c r="L716" s="13">
        <f t="shared" si="13"/>
        <v>0</v>
      </c>
      <c r="M716" s="8"/>
      <c r="N716" s="14"/>
      <c r="O716" s="14"/>
      <c r="P716" s="14"/>
      <c r="Q716" s="15"/>
      <c r="R716" s="16" t="str">
        <f t="shared" si="14"/>
        <v/>
      </c>
    </row>
    <row r="717" ht="15.75" customHeight="1">
      <c r="A717" s="7"/>
      <c r="B717" s="8"/>
      <c r="C717" s="8"/>
      <c r="D717" s="8"/>
      <c r="E717" s="8"/>
      <c r="F717" s="9"/>
      <c r="G717" s="10">
        <f>IFERROR(F717*VLOOKUP(D717,TELAS!$A$4:$C$32,3,FALSE()),0)</f>
        <v>0</v>
      </c>
      <c r="H717" s="11" t="str">
        <f>IFERROR(VLOOKUP(E717,COLORES!$A$4:$B$102,2,FALSE()),"")</f>
        <v/>
      </c>
      <c r="I717" s="12">
        <f>IFERROR(IF(H717="OSCURO",VLOOKUP(D717,PRECIOS!$A$4:$F$32,2,FALSE()),IF(H717="CLARO",VLOOKUP(D717,PRECIOS!$A$4:$F$32,3,FALSE()),IF(H717="MELANGE",VLOOKUP(D717,PRECIOS!$A$4:$F$32,4,FALSE()),IF(H717="PPT",VLOOKUP(D717,PRECIOS!$A$4:$F$32,5,FALSE()),0)))),0)</f>
        <v>0</v>
      </c>
      <c r="J717" s="12">
        <f t="shared" si="12"/>
        <v>0</v>
      </c>
      <c r="K717" s="13">
        <f>IFERROR(IF(C717="",0,SUMIFS($F$4:$F$716,$C$4:$C$716,C717,$D$4:$D$716,D717,$E$4:$E$716,E717,$B$4:$B$716,"INGRESO")+SUMIFS($F$4:$F$716,$C$4:$C$716,C717,$D$4:$D$716,D717,$E$4:$E$716,E717,$B$4:$B$716,"DE REPROCESO")+SUMIFS($F$4:$F$716,$C$4:$C$716,C717,$D$4:$D$716,D717,$E$4:$E$716,E717,$B$4:$B$716,"AJUSTE+")-SUMIFS($F$4:$F$716,$C$4:$C$716,C717,$D$4:$D$716,D717,$E$4:$E$716,E717,$B$4:$B$716,"A CORTE")-SUMIFS($F$4:$F$716,$C$4:$C$716,C717,$D$4:$D$716,D717,$E$4:$E$716,E717,$B$4:$B$716,"A REPROCESO")-SUMIFS($F$4:$F$716,$C$4:$C$716,C717,$D$4:$D$716,D717,$E$4:$E$716,E717,$B$4:$B$716,"MUESTRA")-SUMIFS($F$4:$F$716,$C$4:$C$716,C717,$D$4:$D$716,D717,$E$4:$E$716,E717,$B$4:$B$716,"AJUSTE-")),0)</f>
        <v>0</v>
      </c>
      <c r="L717" s="13">
        <f t="shared" si="13"/>
        <v>0</v>
      </c>
      <c r="M717" s="8"/>
      <c r="N717" s="14"/>
      <c r="O717" s="14"/>
      <c r="P717" s="14"/>
      <c r="Q717" s="15"/>
      <c r="R717" s="16" t="str">
        <f t="shared" si="14"/>
        <v/>
      </c>
    </row>
    <row r="718" ht="15.75" customHeight="1">
      <c r="A718" s="7"/>
      <c r="B718" s="8"/>
      <c r="C718" s="8"/>
      <c r="D718" s="8"/>
      <c r="E718" s="8"/>
      <c r="F718" s="9"/>
      <c r="G718" s="10">
        <f>IFERROR(F718*VLOOKUP(D718,TELAS!$A$4:$C$32,3,FALSE()),0)</f>
        <v>0</v>
      </c>
      <c r="H718" s="11" t="str">
        <f>IFERROR(VLOOKUP(E718,COLORES!$A$4:$B$102,2,FALSE()),"")</f>
        <v/>
      </c>
      <c r="I718" s="12">
        <f>IFERROR(IF(H718="OSCURO",VLOOKUP(D718,PRECIOS!$A$4:$F$32,2,FALSE()),IF(H718="CLARO",VLOOKUP(D718,PRECIOS!$A$4:$F$32,3,FALSE()),IF(H718="MELANGE",VLOOKUP(D718,PRECIOS!$A$4:$F$32,4,FALSE()),IF(H718="PPT",VLOOKUP(D718,PRECIOS!$A$4:$F$32,5,FALSE()),0)))),0)</f>
        <v>0</v>
      </c>
      <c r="J718" s="12">
        <f t="shared" si="12"/>
        <v>0</v>
      </c>
      <c r="K718" s="13">
        <f>IFERROR(IF(C718="",0,SUMIFS($F$4:$F$717,$C$4:$C$717,C718,$D$4:$D$717,D718,$E$4:$E$717,E718,$B$4:$B$717,"INGRESO")+SUMIFS($F$4:$F$717,$C$4:$C$717,C718,$D$4:$D$717,D718,$E$4:$E$717,E718,$B$4:$B$717,"DE REPROCESO")+SUMIFS($F$4:$F$717,$C$4:$C$717,C718,$D$4:$D$717,D718,$E$4:$E$717,E718,$B$4:$B$717,"AJUSTE+")-SUMIFS($F$4:$F$717,$C$4:$C$717,C718,$D$4:$D$717,D718,$E$4:$E$717,E718,$B$4:$B$717,"A CORTE")-SUMIFS($F$4:$F$717,$C$4:$C$717,C718,$D$4:$D$717,D718,$E$4:$E$717,E718,$B$4:$B$717,"A REPROCESO")-SUMIFS($F$4:$F$717,$C$4:$C$717,C718,$D$4:$D$717,D718,$E$4:$E$717,E718,$B$4:$B$717,"MUESTRA")-SUMIFS($F$4:$F$717,$C$4:$C$717,C718,$D$4:$D$717,D718,$E$4:$E$717,E718,$B$4:$B$717,"AJUSTE-")),0)</f>
        <v>0</v>
      </c>
      <c r="L718" s="13">
        <f t="shared" si="13"/>
        <v>0</v>
      </c>
      <c r="M718" s="8"/>
      <c r="N718" s="14"/>
      <c r="O718" s="14"/>
      <c r="P718" s="14"/>
      <c r="Q718" s="15"/>
      <c r="R718" s="16" t="str">
        <f t="shared" si="14"/>
        <v/>
      </c>
    </row>
    <row r="719" ht="15.75" customHeight="1">
      <c r="A719" s="7"/>
      <c r="B719" s="8"/>
      <c r="C719" s="8"/>
      <c r="D719" s="8"/>
      <c r="E719" s="8"/>
      <c r="F719" s="9"/>
      <c r="G719" s="10">
        <f>IFERROR(F719*VLOOKUP(D719,TELAS!$A$4:$C$32,3,FALSE()),0)</f>
        <v>0</v>
      </c>
      <c r="H719" s="11" t="str">
        <f>IFERROR(VLOOKUP(E719,COLORES!$A$4:$B$102,2,FALSE()),"")</f>
        <v/>
      </c>
      <c r="I719" s="12">
        <f>IFERROR(IF(H719="OSCURO",VLOOKUP(D719,PRECIOS!$A$4:$F$32,2,FALSE()),IF(H719="CLARO",VLOOKUP(D719,PRECIOS!$A$4:$F$32,3,FALSE()),IF(H719="MELANGE",VLOOKUP(D719,PRECIOS!$A$4:$F$32,4,FALSE()),IF(H719="PPT",VLOOKUP(D719,PRECIOS!$A$4:$F$32,5,FALSE()),0)))),0)</f>
        <v>0</v>
      </c>
      <c r="J719" s="12">
        <f t="shared" si="12"/>
        <v>0</v>
      </c>
      <c r="K719" s="13">
        <f>IFERROR(IF(C719="",0,SUMIFS($F$4:$F$718,$C$4:$C$718,C719,$D$4:$D$718,D719,$E$4:$E$718,E719,$B$4:$B$718,"INGRESO")+SUMIFS($F$4:$F$718,$C$4:$C$718,C719,$D$4:$D$718,D719,$E$4:$E$718,E719,$B$4:$B$718,"DE REPROCESO")+SUMIFS($F$4:$F$718,$C$4:$C$718,C719,$D$4:$D$718,D719,$E$4:$E$718,E719,$B$4:$B$718,"AJUSTE+")-SUMIFS($F$4:$F$718,$C$4:$C$718,C719,$D$4:$D$718,D719,$E$4:$E$718,E719,$B$4:$B$718,"A CORTE")-SUMIFS($F$4:$F$718,$C$4:$C$718,C719,$D$4:$D$718,D719,$E$4:$E$718,E719,$B$4:$B$718,"A REPROCESO")-SUMIFS($F$4:$F$718,$C$4:$C$718,C719,$D$4:$D$718,D719,$E$4:$E$718,E719,$B$4:$B$718,"MUESTRA")-SUMIFS($F$4:$F$718,$C$4:$C$718,C719,$D$4:$D$718,D719,$E$4:$E$718,E719,$B$4:$B$718,"AJUSTE-")),0)</f>
        <v>0</v>
      </c>
      <c r="L719" s="13">
        <f t="shared" si="13"/>
        <v>0</v>
      </c>
      <c r="M719" s="8"/>
      <c r="N719" s="14"/>
      <c r="O719" s="14"/>
      <c r="P719" s="14"/>
      <c r="Q719" s="15"/>
      <c r="R719" s="16" t="str">
        <f t="shared" si="14"/>
        <v/>
      </c>
    </row>
    <row r="720" ht="15.75" customHeight="1">
      <c r="A720" s="7"/>
      <c r="B720" s="8"/>
      <c r="C720" s="8"/>
      <c r="D720" s="8"/>
      <c r="E720" s="8"/>
      <c r="F720" s="9"/>
      <c r="G720" s="10">
        <f>IFERROR(F720*VLOOKUP(D720,TELAS!$A$4:$C$32,3,FALSE()),0)</f>
        <v>0</v>
      </c>
      <c r="H720" s="11" t="str">
        <f>IFERROR(VLOOKUP(E720,COLORES!$A$4:$B$102,2,FALSE()),"")</f>
        <v/>
      </c>
      <c r="I720" s="12">
        <f>IFERROR(IF(H720="OSCURO",VLOOKUP(D720,PRECIOS!$A$4:$F$32,2,FALSE()),IF(H720="CLARO",VLOOKUP(D720,PRECIOS!$A$4:$F$32,3,FALSE()),IF(H720="MELANGE",VLOOKUP(D720,PRECIOS!$A$4:$F$32,4,FALSE()),IF(H720="PPT",VLOOKUP(D720,PRECIOS!$A$4:$F$32,5,FALSE()),0)))),0)</f>
        <v>0</v>
      </c>
      <c r="J720" s="12">
        <f t="shared" si="12"/>
        <v>0</v>
      </c>
      <c r="K720" s="13">
        <f>IFERROR(IF(C720="",0,SUMIFS($F$4:$F$719,$C$4:$C$719,C720,$D$4:$D$719,D720,$E$4:$E$719,E720,$B$4:$B$719,"INGRESO")+SUMIFS($F$4:$F$719,$C$4:$C$719,C720,$D$4:$D$719,D720,$E$4:$E$719,E720,$B$4:$B$719,"DE REPROCESO")+SUMIFS($F$4:$F$719,$C$4:$C$719,C720,$D$4:$D$719,D720,$E$4:$E$719,E720,$B$4:$B$719,"AJUSTE+")-SUMIFS($F$4:$F$719,$C$4:$C$719,C720,$D$4:$D$719,D720,$E$4:$E$719,E720,$B$4:$B$719,"A CORTE")-SUMIFS($F$4:$F$719,$C$4:$C$719,C720,$D$4:$D$719,D720,$E$4:$E$719,E720,$B$4:$B$719,"A REPROCESO")-SUMIFS($F$4:$F$719,$C$4:$C$719,C720,$D$4:$D$719,D720,$E$4:$E$719,E720,$B$4:$B$719,"MUESTRA")-SUMIFS($F$4:$F$719,$C$4:$C$719,C720,$D$4:$D$719,D720,$E$4:$E$719,E720,$B$4:$B$719,"AJUSTE-")),0)</f>
        <v>0</v>
      </c>
      <c r="L720" s="13">
        <f t="shared" si="13"/>
        <v>0</v>
      </c>
      <c r="M720" s="8"/>
      <c r="N720" s="14"/>
      <c r="O720" s="14"/>
      <c r="P720" s="14"/>
      <c r="Q720" s="15"/>
      <c r="R720" s="16" t="str">
        <f t="shared" si="14"/>
        <v/>
      </c>
    </row>
    <row r="721" ht="15.75" customHeight="1">
      <c r="A721" s="7"/>
      <c r="B721" s="8"/>
      <c r="C721" s="8"/>
      <c r="D721" s="8"/>
      <c r="E721" s="8"/>
      <c r="F721" s="9"/>
      <c r="G721" s="10">
        <f>IFERROR(F721*VLOOKUP(D721,TELAS!$A$4:$C$32,3,FALSE()),0)</f>
        <v>0</v>
      </c>
      <c r="H721" s="11" t="str">
        <f>IFERROR(VLOOKUP(E721,COLORES!$A$4:$B$102,2,FALSE()),"")</f>
        <v/>
      </c>
      <c r="I721" s="12">
        <f>IFERROR(IF(H721="OSCURO",VLOOKUP(D721,PRECIOS!$A$4:$F$32,2,FALSE()),IF(H721="CLARO",VLOOKUP(D721,PRECIOS!$A$4:$F$32,3,FALSE()),IF(H721="MELANGE",VLOOKUP(D721,PRECIOS!$A$4:$F$32,4,FALSE()),IF(H721="PPT",VLOOKUP(D721,PRECIOS!$A$4:$F$32,5,FALSE()),0)))),0)</f>
        <v>0</v>
      </c>
      <c r="J721" s="12">
        <f t="shared" si="12"/>
        <v>0</v>
      </c>
      <c r="K721" s="13">
        <f>IFERROR(IF(C721="",0,SUMIFS($F$4:$F$720,$C$4:$C$720,C721,$D$4:$D$720,D721,$E$4:$E$720,E721,$B$4:$B$720,"INGRESO")+SUMIFS($F$4:$F$720,$C$4:$C$720,C721,$D$4:$D$720,D721,$E$4:$E$720,E721,$B$4:$B$720,"DE REPROCESO")+SUMIFS($F$4:$F$720,$C$4:$C$720,C721,$D$4:$D$720,D721,$E$4:$E$720,E721,$B$4:$B$720,"AJUSTE+")-SUMIFS($F$4:$F$720,$C$4:$C$720,C721,$D$4:$D$720,D721,$E$4:$E$720,E721,$B$4:$B$720,"A CORTE")-SUMIFS($F$4:$F$720,$C$4:$C$720,C721,$D$4:$D$720,D721,$E$4:$E$720,E721,$B$4:$B$720,"A REPROCESO")-SUMIFS($F$4:$F$720,$C$4:$C$720,C721,$D$4:$D$720,D721,$E$4:$E$720,E721,$B$4:$B$720,"MUESTRA")-SUMIFS($F$4:$F$720,$C$4:$C$720,C721,$D$4:$D$720,D721,$E$4:$E$720,E721,$B$4:$B$720,"AJUSTE-")),0)</f>
        <v>0</v>
      </c>
      <c r="L721" s="13">
        <f t="shared" si="13"/>
        <v>0</v>
      </c>
      <c r="M721" s="8"/>
      <c r="N721" s="14"/>
      <c r="O721" s="14"/>
      <c r="P721" s="14"/>
      <c r="Q721" s="15"/>
      <c r="R721" s="16" t="str">
        <f t="shared" si="14"/>
        <v/>
      </c>
    </row>
    <row r="722" ht="15.75" customHeight="1">
      <c r="A722" s="7"/>
      <c r="B722" s="8"/>
      <c r="C722" s="8"/>
      <c r="D722" s="8"/>
      <c r="E722" s="8"/>
      <c r="F722" s="9"/>
      <c r="G722" s="10">
        <f>IFERROR(F722*VLOOKUP(D722,TELAS!$A$4:$C$32,3,FALSE()),0)</f>
        <v>0</v>
      </c>
      <c r="H722" s="11" t="str">
        <f>IFERROR(VLOOKUP(E722,COLORES!$A$4:$B$102,2,FALSE()),"")</f>
        <v/>
      </c>
      <c r="I722" s="12">
        <f>IFERROR(IF(H722="OSCURO",VLOOKUP(D722,PRECIOS!$A$4:$F$32,2,FALSE()),IF(H722="CLARO",VLOOKUP(D722,PRECIOS!$A$4:$F$32,3,FALSE()),IF(H722="MELANGE",VLOOKUP(D722,PRECIOS!$A$4:$F$32,4,FALSE()),IF(H722="PPT",VLOOKUP(D722,PRECIOS!$A$4:$F$32,5,FALSE()),0)))),0)</f>
        <v>0</v>
      </c>
      <c r="J722" s="12">
        <f t="shared" si="12"/>
        <v>0</v>
      </c>
      <c r="K722" s="13">
        <f>IFERROR(IF(C722="",0,SUMIFS($F$4:$F$721,$C$4:$C$721,C722,$D$4:$D$721,D722,$E$4:$E$721,E722,$B$4:$B$721,"INGRESO")+SUMIFS($F$4:$F$721,$C$4:$C$721,C722,$D$4:$D$721,D722,$E$4:$E$721,E722,$B$4:$B$721,"DE REPROCESO")+SUMIFS($F$4:$F$721,$C$4:$C$721,C722,$D$4:$D$721,D722,$E$4:$E$721,E722,$B$4:$B$721,"AJUSTE+")-SUMIFS($F$4:$F$721,$C$4:$C$721,C722,$D$4:$D$721,D722,$E$4:$E$721,E722,$B$4:$B$721,"A CORTE")-SUMIFS($F$4:$F$721,$C$4:$C$721,C722,$D$4:$D$721,D722,$E$4:$E$721,E722,$B$4:$B$721,"A REPROCESO")-SUMIFS($F$4:$F$721,$C$4:$C$721,C722,$D$4:$D$721,D722,$E$4:$E$721,E722,$B$4:$B$721,"MUESTRA")-SUMIFS($F$4:$F$721,$C$4:$C$721,C722,$D$4:$D$721,D722,$E$4:$E$721,E722,$B$4:$B$721,"AJUSTE-")),0)</f>
        <v>0</v>
      </c>
      <c r="L722" s="13">
        <f t="shared" si="13"/>
        <v>0</v>
      </c>
      <c r="M722" s="8"/>
      <c r="N722" s="14"/>
      <c r="O722" s="14"/>
      <c r="P722" s="14"/>
      <c r="Q722" s="15"/>
      <c r="R722" s="16" t="str">
        <f t="shared" si="14"/>
        <v/>
      </c>
    </row>
    <row r="723" ht="15.75" customHeight="1">
      <c r="A723" s="7"/>
      <c r="B723" s="8"/>
      <c r="C723" s="8"/>
      <c r="D723" s="8"/>
      <c r="E723" s="8"/>
      <c r="F723" s="9"/>
      <c r="G723" s="10">
        <f>IFERROR(F723*VLOOKUP(D723,TELAS!$A$4:$C$32,3,FALSE()),0)</f>
        <v>0</v>
      </c>
      <c r="H723" s="11" t="str">
        <f>IFERROR(VLOOKUP(E723,COLORES!$A$4:$B$102,2,FALSE()),"")</f>
        <v/>
      </c>
      <c r="I723" s="12">
        <f>IFERROR(IF(H723="OSCURO",VLOOKUP(D723,PRECIOS!$A$4:$F$32,2,FALSE()),IF(H723="CLARO",VLOOKUP(D723,PRECIOS!$A$4:$F$32,3,FALSE()),IF(H723="MELANGE",VLOOKUP(D723,PRECIOS!$A$4:$F$32,4,FALSE()),IF(H723="PPT",VLOOKUP(D723,PRECIOS!$A$4:$F$32,5,FALSE()),0)))),0)</f>
        <v>0</v>
      </c>
      <c r="J723" s="12">
        <f t="shared" si="12"/>
        <v>0</v>
      </c>
      <c r="K723" s="13">
        <f>IFERROR(IF(C723="",0,SUMIFS($F$4:$F$722,$C$4:$C$722,C723,$D$4:$D$722,D723,$E$4:$E$722,E723,$B$4:$B$722,"INGRESO")+SUMIFS($F$4:$F$722,$C$4:$C$722,C723,$D$4:$D$722,D723,$E$4:$E$722,E723,$B$4:$B$722,"DE REPROCESO")+SUMIFS($F$4:$F$722,$C$4:$C$722,C723,$D$4:$D$722,D723,$E$4:$E$722,E723,$B$4:$B$722,"AJUSTE+")-SUMIFS($F$4:$F$722,$C$4:$C$722,C723,$D$4:$D$722,D723,$E$4:$E$722,E723,$B$4:$B$722,"A CORTE")-SUMIFS($F$4:$F$722,$C$4:$C$722,C723,$D$4:$D$722,D723,$E$4:$E$722,E723,$B$4:$B$722,"A REPROCESO")-SUMIFS($F$4:$F$722,$C$4:$C$722,C723,$D$4:$D$722,D723,$E$4:$E$722,E723,$B$4:$B$722,"MUESTRA")-SUMIFS($F$4:$F$722,$C$4:$C$722,C723,$D$4:$D$722,D723,$E$4:$E$722,E723,$B$4:$B$722,"AJUSTE-")),0)</f>
        <v>0</v>
      </c>
      <c r="L723" s="13">
        <f t="shared" si="13"/>
        <v>0</v>
      </c>
      <c r="M723" s="8"/>
      <c r="N723" s="14"/>
      <c r="O723" s="14"/>
      <c r="P723" s="14"/>
      <c r="Q723" s="15"/>
      <c r="R723" s="16" t="str">
        <f t="shared" si="14"/>
        <v/>
      </c>
    </row>
    <row r="724" ht="15.75" customHeight="1">
      <c r="A724" s="7"/>
      <c r="B724" s="8"/>
      <c r="C724" s="8"/>
      <c r="D724" s="8"/>
      <c r="E724" s="8"/>
      <c r="F724" s="9"/>
      <c r="G724" s="10">
        <f>IFERROR(F724*VLOOKUP(D724,TELAS!$A$4:$C$32,3,FALSE()),0)</f>
        <v>0</v>
      </c>
      <c r="H724" s="11" t="str">
        <f>IFERROR(VLOOKUP(E724,COLORES!$A$4:$B$102,2,FALSE()),"")</f>
        <v/>
      </c>
      <c r="I724" s="12">
        <f>IFERROR(IF(H724="OSCURO",VLOOKUP(D724,PRECIOS!$A$4:$F$32,2,FALSE()),IF(H724="CLARO",VLOOKUP(D724,PRECIOS!$A$4:$F$32,3,FALSE()),IF(H724="MELANGE",VLOOKUP(D724,PRECIOS!$A$4:$F$32,4,FALSE()),IF(H724="PPT",VLOOKUP(D724,PRECIOS!$A$4:$F$32,5,FALSE()),0)))),0)</f>
        <v>0</v>
      </c>
      <c r="J724" s="12">
        <f t="shared" si="12"/>
        <v>0</v>
      </c>
      <c r="K724" s="13">
        <f>IFERROR(IF(C724="",0,SUMIFS($F$4:$F$723,$C$4:$C$723,C724,$D$4:$D$723,D724,$E$4:$E$723,E724,$B$4:$B$723,"INGRESO")+SUMIFS($F$4:$F$723,$C$4:$C$723,C724,$D$4:$D$723,D724,$E$4:$E$723,E724,$B$4:$B$723,"DE REPROCESO")+SUMIFS($F$4:$F$723,$C$4:$C$723,C724,$D$4:$D$723,D724,$E$4:$E$723,E724,$B$4:$B$723,"AJUSTE+")-SUMIFS($F$4:$F$723,$C$4:$C$723,C724,$D$4:$D$723,D724,$E$4:$E$723,E724,$B$4:$B$723,"A CORTE")-SUMIFS($F$4:$F$723,$C$4:$C$723,C724,$D$4:$D$723,D724,$E$4:$E$723,E724,$B$4:$B$723,"A REPROCESO")-SUMIFS($F$4:$F$723,$C$4:$C$723,C724,$D$4:$D$723,D724,$E$4:$E$723,E724,$B$4:$B$723,"MUESTRA")-SUMIFS($F$4:$F$723,$C$4:$C$723,C724,$D$4:$D$723,D724,$E$4:$E$723,E724,$B$4:$B$723,"AJUSTE-")),0)</f>
        <v>0</v>
      </c>
      <c r="L724" s="13">
        <f t="shared" si="13"/>
        <v>0</v>
      </c>
      <c r="M724" s="8"/>
      <c r="N724" s="14"/>
      <c r="O724" s="14"/>
      <c r="P724" s="14"/>
      <c r="Q724" s="15"/>
      <c r="R724" s="16" t="str">
        <f t="shared" si="14"/>
        <v/>
      </c>
    </row>
    <row r="725" ht="15.75" customHeight="1">
      <c r="A725" s="7"/>
      <c r="B725" s="8"/>
      <c r="C725" s="8"/>
      <c r="D725" s="8"/>
      <c r="E725" s="8"/>
      <c r="F725" s="9"/>
      <c r="G725" s="10">
        <f>IFERROR(F725*VLOOKUP(D725,TELAS!$A$4:$C$32,3,FALSE()),0)</f>
        <v>0</v>
      </c>
      <c r="H725" s="11" t="str">
        <f>IFERROR(VLOOKUP(E725,COLORES!$A$4:$B$102,2,FALSE()),"")</f>
        <v/>
      </c>
      <c r="I725" s="12">
        <f>IFERROR(IF(H725="OSCURO",VLOOKUP(D725,PRECIOS!$A$4:$F$32,2,FALSE()),IF(H725="CLARO",VLOOKUP(D725,PRECIOS!$A$4:$F$32,3,FALSE()),IF(H725="MELANGE",VLOOKUP(D725,PRECIOS!$A$4:$F$32,4,FALSE()),IF(H725="PPT",VLOOKUP(D725,PRECIOS!$A$4:$F$32,5,FALSE()),0)))),0)</f>
        <v>0</v>
      </c>
      <c r="J725" s="12">
        <f t="shared" si="12"/>
        <v>0</v>
      </c>
      <c r="K725" s="13">
        <f>IFERROR(IF(C725="",0,SUMIFS($F$4:$F$724,$C$4:$C$724,C725,$D$4:$D$724,D725,$E$4:$E$724,E725,$B$4:$B$724,"INGRESO")+SUMIFS($F$4:$F$724,$C$4:$C$724,C725,$D$4:$D$724,D725,$E$4:$E$724,E725,$B$4:$B$724,"DE REPROCESO")+SUMIFS($F$4:$F$724,$C$4:$C$724,C725,$D$4:$D$724,D725,$E$4:$E$724,E725,$B$4:$B$724,"AJUSTE+")-SUMIFS($F$4:$F$724,$C$4:$C$724,C725,$D$4:$D$724,D725,$E$4:$E$724,E725,$B$4:$B$724,"A CORTE")-SUMIFS($F$4:$F$724,$C$4:$C$724,C725,$D$4:$D$724,D725,$E$4:$E$724,E725,$B$4:$B$724,"A REPROCESO")-SUMIFS($F$4:$F$724,$C$4:$C$724,C725,$D$4:$D$724,D725,$E$4:$E$724,E725,$B$4:$B$724,"MUESTRA")-SUMIFS($F$4:$F$724,$C$4:$C$724,C725,$D$4:$D$724,D725,$E$4:$E$724,E725,$B$4:$B$724,"AJUSTE-")),0)</f>
        <v>0</v>
      </c>
      <c r="L725" s="13">
        <f t="shared" si="13"/>
        <v>0</v>
      </c>
      <c r="M725" s="8"/>
      <c r="N725" s="14"/>
      <c r="O725" s="14"/>
      <c r="P725" s="14"/>
      <c r="Q725" s="15"/>
      <c r="R725" s="16" t="str">
        <f t="shared" si="14"/>
        <v/>
      </c>
    </row>
    <row r="726" ht="15.75" customHeight="1">
      <c r="A726" s="7"/>
      <c r="B726" s="8"/>
      <c r="C726" s="8"/>
      <c r="D726" s="8"/>
      <c r="E726" s="8"/>
      <c r="F726" s="9"/>
      <c r="G726" s="10">
        <f>IFERROR(F726*VLOOKUP(D726,TELAS!$A$4:$C$32,3,FALSE()),0)</f>
        <v>0</v>
      </c>
      <c r="H726" s="11" t="str">
        <f>IFERROR(VLOOKUP(E726,COLORES!$A$4:$B$102,2,FALSE()),"")</f>
        <v/>
      </c>
      <c r="I726" s="12">
        <f>IFERROR(IF(H726="OSCURO",VLOOKUP(D726,PRECIOS!$A$4:$F$32,2,FALSE()),IF(H726="CLARO",VLOOKUP(D726,PRECIOS!$A$4:$F$32,3,FALSE()),IF(H726="MELANGE",VLOOKUP(D726,PRECIOS!$A$4:$F$32,4,FALSE()),IF(H726="PPT",VLOOKUP(D726,PRECIOS!$A$4:$F$32,5,FALSE()),0)))),0)</f>
        <v>0</v>
      </c>
      <c r="J726" s="12">
        <f t="shared" si="12"/>
        <v>0</v>
      </c>
      <c r="K726" s="13">
        <f>IFERROR(IF(C726="",0,SUMIFS($F$4:$F$725,$C$4:$C$725,C726,$D$4:$D$725,D726,$E$4:$E$725,E726,$B$4:$B$725,"INGRESO")+SUMIFS($F$4:$F$725,$C$4:$C$725,C726,$D$4:$D$725,D726,$E$4:$E$725,E726,$B$4:$B$725,"DE REPROCESO")+SUMIFS($F$4:$F$725,$C$4:$C$725,C726,$D$4:$D$725,D726,$E$4:$E$725,E726,$B$4:$B$725,"AJUSTE+")-SUMIFS($F$4:$F$725,$C$4:$C$725,C726,$D$4:$D$725,D726,$E$4:$E$725,E726,$B$4:$B$725,"A CORTE")-SUMIFS($F$4:$F$725,$C$4:$C$725,C726,$D$4:$D$725,D726,$E$4:$E$725,E726,$B$4:$B$725,"A REPROCESO")-SUMIFS($F$4:$F$725,$C$4:$C$725,C726,$D$4:$D$725,D726,$E$4:$E$725,E726,$B$4:$B$725,"MUESTRA")-SUMIFS($F$4:$F$725,$C$4:$C$725,C726,$D$4:$D$725,D726,$E$4:$E$725,E726,$B$4:$B$725,"AJUSTE-")),0)</f>
        <v>0</v>
      </c>
      <c r="L726" s="13">
        <f t="shared" si="13"/>
        <v>0</v>
      </c>
      <c r="M726" s="8"/>
      <c r="N726" s="14"/>
      <c r="O726" s="14"/>
      <c r="P726" s="14"/>
      <c r="Q726" s="15"/>
      <c r="R726" s="16" t="str">
        <f t="shared" si="14"/>
        <v/>
      </c>
    </row>
    <row r="727" ht="15.75" customHeight="1">
      <c r="A727" s="7"/>
      <c r="B727" s="8"/>
      <c r="C727" s="8"/>
      <c r="D727" s="8"/>
      <c r="E727" s="8"/>
      <c r="F727" s="9"/>
      <c r="G727" s="10">
        <f>IFERROR(F727*VLOOKUP(D727,TELAS!$A$4:$C$32,3,FALSE()),0)</f>
        <v>0</v>
      </c>
      <c r="H727" s="11" t="str">
        <f>IFERROR(VLOOKUP(E727,COLORES!$A$4:$B$102,2,FALSE()),"")</f>
        <v/>
      </c>
      <c r="I727" s="12">
        <f>IFERROR(IF(H727="OSCURO",VLOOKUP(D727,PRECIOS!$A$4:$F$32,2,FALSE()),IF(H727="CLARO",VLOOKUP(D727,PRECIOS!$A$4:$F$32,3,FALSE()),IF(H727="MELANGE",VLOOKUP(D727,PRECIOS!$A$4:$F$32,4,FALSE()),IF(H727="PPT",VLOOKUP(D727,PRECIOS!$A$4:$F$32,5,FALSE()),0)))),0)</f>
        <v>0</v>
      </c>
      <c r="J727" s="12">
        <f t="shared" si="12"/>
        <v>0</v>
      </c>
      <c r="K727" s="13">
        <f>IFERROR(IF(C727="",0,SUMIFS($F$4:$F$726,$C$4:$C$726,C727,$D$4:$D$726,D727,$E$4:$E$726,E727,$B$4:$B$726,"INGRESO")+SUMIFS($F$4:$F$726,$C$4:$C$726,C727,$D$4:$D$726,D727,$E$4:$E$726,E727,$B$4:$B$726,"DE REPROCESO")+SUMIFS($F$4:$F$726,$C$4:$C$726,C727,$D$4:$D$726,D727,$E$4:$E$726,E727,$B$4:$B$726,"AJUSTE+")-SUMIFS($F$4:$F$726,$C$4:$C$726,C727,$D$4:$D$726,D727,$E$4:$E$726,E727,$B$4:$B$726,"A CORTE")-SUMIFS($F$4:$F$726,$C$4:$C$726,C727,$D$4:$D$726,D727,$E$4:$E$726,E727,$B$4:$B$726,"A REPROCESO")-SUMIFS($F$4:$F$726,$C$4:$C$726,C727,$D$4:$D$726,D727,$E$4:$E$726,E727,$B$4:$B$726,"MUESTRA")-SUMIFS($F$4:$F$726,$C$4:$C$726,C727,$D$4:$D$726,D727,$E$4:$E$726,E727,$B$4:$B$726,"AJUSTE-")),0)</f>
        <v>0</v>
      </c>
      <c r="L727" s="13">
        <f t="shared" si="13"/>
        <v>0</v>
      </c>
      <c r="M727" s="8"/>
      <c r="N727" s="14"/>
      <c r="O727" s="14"/>
      <c r="P727" s="14"/>
      <c r="Q727" s="15"/>
      <c r="R727" s="16" t="str">
        <f t="shared" si="14"/>
        <v/>
      </c>
    </row>
    <row r="728" ht="15.75" customHeight="1">
      <c r="A728" s="7"/>
      <c r="B728" s="8"/>
      <c r="C728" s="8"/>
      <c r="D728" s="8"/>
      <c r="E728" s="8"/>
      <c r="F728" s="9"/>
      <c r="G728" s="10">
        <f>IFERROR(F728*VLOOKUP(D728,TELAS!$A$4:$C$32,3,FALSE()),0)</f>
        <v>0</v>
      </c>
      <c r="H728" s="11" t="str">
        <f>IFERROR(VLOOKUP(E728,COLORES!$A$4:$B$102,2,FALSE()),"")</f>
        <v/>
      </c>
      <c r="I728" s="12">
        <f>IFERROR(IF(H728="OSCURO",VLOOKUP(D728,PRECIOS!$A$4:$F$32,2,FALSE()),IF(H728="CLARO",VLOOKUP(D728,PRECIOS!$A$4:$F$32,3,FALSE()),IF(H728="MELANGE",VLOOKUP(D728,PRECIOS!$A$4:$F$32,4,FALSE()),IF(H728="PPT",VLOOKUP(D728,PRECIOS!$A$4:$F$32,5,FALSE()),0)))),0)</f>
        <v>0</v>
      </c>
      <c r="J728" s="12">
        <f t="shared" si="12"/>
        <v>0</v>
      </c>
      <c r="K728" s="13">
        <f>IFERROR(IF(C728="",0,SUMIFS($F$4:$F$727,$C$4:$C$727,C728,$D$4:$D$727,D728,$E$4:$E$727,E728,$B$4:$B$727,"INGRESO")+SUMIFS($F$4:$F$727,$C$4:$C$727,C728,$D$4:$D$727,D728,$E$4:$E$727,E728,$B$4:$B$727,"DE REPROCESO")+SUMIFS($F$4:$F$727,$C$4:$C$727,C728,$D$4:$D$727,D728,$E$4:$E$727,E728,$B$4:$B$727,"AJUSTE+")-SUMIFS($F$4:$F$727,$C$4:$C$727,C728,$D$4:$D$727,D728,$E$4:$E$727,E728,$B$4:$B$727,"A CORTE")-SUMIFS($F$4:$F$727,$C$4:$C$727,C728,$D$4:$D$727,D728,$E$4:$E$727,E728,$B$4:$B$727,"A REPROCESO")-SUMIFS($F$4:$F$727,$C$4:$C$727,C728,$D$4:$D$727,D728,$E$4:$E$727,E728,$B$4:$B$727,"MUESTRA")-SUMIFS($F$4:$F$727,$C$4:$C$727,C728,$D$4:$D$727,D728,$E$4:$E$727,E728,$B$4:$B$727,"AJUSTE-")),0)</f>
        <v>0</v>
      </c>
      <c r="L728" s="13">
        <f t="shared" si="13"/>
        <v>0</v>
      </c>
      <c r="M728" s="8"/>
      <c r="N728" s="14"/>
      <c r="O728" s="14"/>
      <c r="P728" s="14"/>
      <c r="Q728" s="15"/>
      <c r="R728" s="16" t="str">
        <f t="shared" si="14"/>
        <v/>
      </c>
    </row>
    <row r="729" ht="15.75" customHeight="1">
      <c r="A729" s="7"/>
      <c r="B729" s="8"/>
      <c r="C729" s="8"/>
      <c r="D729" s="8"/>
      <c r="E729" s="8"/>
      <c r="F729" s="9"/>
      <c r="G729" s="10">
        <f>IFERROR(F729*VLOOKUP(D729,TELAS!$A$4:$C$32,3,FALSE()),0)</f>
        <v>0</v>
      </c>
      <c r="H729" s="11" t="str">
        <f>IFERROR(VLOOKUP(E729,COLORES!$A$4:$B$102,2,FALSE()),"")</f>
        <v/>
      </c>
      <c r="I729" s="12">
        <f>IFERROR(IF(H729="OSCURO",VLOOKUP(D729,PRECIOS!$A$4:$F$32,2,FALSE()),IF(H729="CLARO",VLOOKUP(D729,PRECIOS!$A$4:$F$32,3,FALSE()),IF(H729="MELANGE",VLOOKUP(D729,PRECIOS!$A$4:$F$32,4,FALSE()),IF(H729="PPT",VLOOKUP(D729,PRECIOS!$A$4:$F$32,5,FALSE()),0)))),0)</f>
        <v>0</v>
      </c>
      <c r="J729" s="12">
        <f t="shared" si="12"/>
        <v>0</v>
      </c>
      <c r="K729" s="13">
        <f>IFERROR(IF(C729="",0,SUMIFS($F$4:$F$728,$C$4:$C$728,C729,$D$4:$D$728,D729,$E$4:$E$728,E729,$B$4:$B$728,"INGRESO")+SUMIFS($F$4:$F$728,$C$4:$C$728,C729,$D$4:$D$728,D729,$E$4:$E$728,E729,$B$4:$B$728,"DE REPROCESO")+SUMIFS($F$4:$F$728,$C$4:$C$728,C729,$D$4:$D$728,D729,$E$4:$E$728,E729,$B$4:$B$728,"AJUSTE+")-SUMIFS($F$4:$F$728,$C$4:$C$728,C729,$D$4:$D$728,D729,$E$4:$E$728,E729,$B$4:$B$728,"A CORTE")-SUMIFS($F$4:$F$728,$C$4:$C$728,C729,$D$4:$D$728,D729,$E$4:$E$728,E729,$B$4:$B$728,"A REPROCESO")-SUMIFS($F$4:$F$728,$C$4:$C$728,C729,$D$4:$D$728,D729,$E$4:$E$728,E729,$B$4:$B$728,"MUESTRA")-SUMIFS($F$4:$F$728,$C$4:$C$728,C729,$D$4:$D$728,D729,$E$4:$E$728,E729,$B$4:$B$728,"AJUSTE-")),0)</f>
        <v>0</v>
      </c>
      <c r="L729" s="13">
        <f t="shared" si="13"/>
        <v>0</v>
      </c>
      <c r="M729" s="8"/>
      <c r="N729" s="14"/>
      <c r="O729" s="14"/>
      <c r="P729" s="14"/>
      <c r="Q729" s="15"/>
      <c r="R729" s="16" t="str">
        <f t="shared" si="14"/>
        <v/>
      </c>
    </row>
    <row r="730" ht="15.75" customHeight="1">
      <c r="A730" s="7"/>
      <c r="B730" s="8"/>
      <c r="C730" s="8"/>
      <c r="D730" s="8"/>
      <c r="E730" s="8"/>
      <c r="F730" s="9"/>
      <c r="G730" s="10">
        <f>IFERROR(F730*VLOOKUP(D730,TELAS!$A$4:$C$32,3,FALSE()),0)</f>
        <v>0</v>
      </c>
      <c r="H730" s="11" t="str">
        <f>IFERROR(VLOOKUP(E730,COLORES!$A$4:$B$102,2,FALSE()),"")</f>
        <v/>
      </c>
      <c r="I730" s="12">
        <f>IFERROR(IF(H730="OSCURO",VLOOKUP(D730,PRECIOS!$A$4:$F$32,2,FALSE()),IF(H730="CLARO",VLOOKUP(D730,PRECIOS!$A$4:$F$32,3,FALSE()),IF(H730="MELANGE",VLOOKUP(D730,PRECIOS!$A$4:$F$32,4,FALSE()),IF(H730="PPT",VLOOKUP(D730,PRECIOS!$A$4:$F$32,5,FALSE()),0)))),0)</f>
        <v>0</v>
      </c>
      <c r="J730" s="12">
        <f t="shared" si="12"/>
        <v>0</v>
      </c>
      <c r="K730" s="13">
        <f>IFERROR(IF(C730="",0,SUMIFS($F$4:$F$729,$C$4:$C$729,C730,$D$4:$D$729,D730,$E$4:$E$729,E730,$B$4:$B$729,"INGRESO")+SUMIFS($F$4:$F$729,$C$4:$C$729,C730,$D$4:$D$729,D730,$E$4:$E$729,E730,$B$4:$B$729,"DE REPROCESO")+SUMIFS($F$4:$F$729,$C$4:$C$729,C730,$D$4:$D$729,D730,$E$4:$E$729,E730,$B$4:$B$729,"AJUSTE+")-SUMIFS($F$4:$F$729,$C$4:$C$729,C730,$D$4:$D$729,D730,$E$4:$E$729,E730,$B$4:$B$729,"A CORTE")-SUMIFS($F$4:$F$729,$C$4:$C$729,C730,$D$4:$D$729,D730,$E$4:$E$729,E730,$B$4:$B$729,"A REPROCESO")-SUMIFS($F$4:$F$729,$C$4:$C$729,C730,$D$4:$D$729,D730,$E$4:$E$729,E730,$B$4:$B$729,"MUESTRA")-SUMIFS($F$4:$F$729,$C$4:$C$729,C730,$D$4:$D$729,D730,$E$4:$E$729,E730,$B$4:$B$729,"AJUSTE-")),0)</f>
        <v>0</v>
      </c>
      <c r="L730" s="13">
        <f t="shared" si="13"/>
        <v>0</v>
      </c>
      <c r="M730" s="8"/>
      <c r="N730" s="14"/>
      <c r="O730" s="14"/>
      <c r="P730" s="14"/>
      <c r="Q730" s="15"/>
      <c r="R730" s="16" t="str">
        <f t="shared" si="14"/>
        <v/>
      </c>
    </row>
    <row r="731" ht="15.75" customHeight="1">
      <c r="A731" s="7"/>
      <c r="B731" s="8"/>
      <c r="C731" s="8"/>
      <c r="D731" s="8"/>
      <c r="E731" s="8"/>
      <c r="F731" s="9"/>
      <c r="G731" s="10">
        <f>IFERROR(F731*VLOOKUP(D731,TELAS!$A$4:$C$32,3,FALSE()),0)</f>
        <v>0</v>
      </c>
      <c r="H731" s="11" t="str">
        <f>IFERROR(VLOOKUP(E731,COLORES!$A$4:$B$102,2,FALSE()),"")</f>
        <v/>
      </c>
      <c r="I731" s="12">
        <f>IFERROR(IF(H731="OSCURO",VLOOKUP(D731,PRECIOS!$A$4:$F$32,2,FALSE()),IF(H731="CLARO",VLOOKUP(D731,PRECIOS!$A$4:$F$32,3,FALSE()),IF(H731="MELANGE",VLOOKUP(D731,PRECIOS!$A$4:$F$32,4,FALSE()),IF(H731="PPT",VLOOKUP(D731,PRECIOS!$A$4:$F$32,5,FALSE()),0)))),0)</f>
        <v>0</v>
      </c>
      <c r="J731" s="12">
        <f t="shared" si="12"/>
        <v>0</v>
      </c>
      <c r="K731" s="13">
        <f>IFERROR(IF(C731="",0,SUMIFS($F$4:$F$730,$C$4:$C$730,C731,$D$4:$D$730,D731,$E$4:$E$730,E731,$B$4:$B$730,"INGRESO")+SUMIFS($F$4:$F$730,$C$4:$C$730,C731,$D$4:$D$730,D731,$E$4:$E$730,E731,$B$4:$B$730,"DE REPROCESO")+SUMIFS($F$4:$F$730,$C$4:$C$730,C731,$D$4:$D$730,D731,$E$4:$E$730,E731,$B$4:$B$730,"AJUSTE+")-SUMIFS($F$4:$F$730,$C$4:$C$730,C731,$D$4:$D$730,D731,$E$4:$E$730,E731,$B$4:$B$730,"A CORTE")-SUMIFS($F$4:$F$730,$C$4:$C$730,C731,$D$4:$D$730,D731,$E$4:$E$730,E731,$B$4:$B$730,"A REPROCESO")-SUMIFS($F$4:$F$730,$C$4:$C$730,C731,$D$4:$D$730,D731,$E$4:$E$730,E731,$B$4:$B$730,"MUESTRA")-SUMIFS($F$4:$F$730,$C$4:$C$730,C731,$D$4:$D$730,D731,$E$4:$E$730,E731,$B$4:$B$730,"AJUSTE-")),0)</f>
        <v>0</v>
      </c>
      <c r="L731" s="13">
        <f t="shared" si="13"/>
        <v>0</v>
      </c>
      <c r="M731" s="8"/>
      <c r="N731" s="14"/>
      <c r="O731" s="14"/>
      <c r="P731" s="14"/>
      <c r="Q731" s="15"/>
      <c r="R731" s="16" t="str">
        <f t="shared" si="14"/>
        <v/>
      </c>
    </row>
    <row r="732" ht="15.75" customHeight="1">
      <c r="A732" s="7"/>
      <c r="B732" s="8"/>
      <c r="C732" s="8"/>
      <c r="D732" s="8"/>
      <c r="E732" s="8"/>
      <c r="F732" s="9"/>
      <c r="G732" s="10">
        <f>IFERROR(F732*VLOOKUP(D732,TELAS!$A$4:$C$32,3,FALSE()),0)</f>
        <v>0</v>
      </c>
      <c r="H732" s="11" t="str">
        <f>IFERROR(VLOOKUP(E732,COLORES!$A$4:$B$102,2,FALSE()),"")</f>
        <v/>
      </c>
      <c r="I732" s="12">
        <f>IFERROR(IF(H732="OSCURO",VLOOKUP(D732,PRECIOS!$A$4:$F$32,2,FALSE()),IF(H732="CLARO",VLOOKUP(D732,PRECIOS!$A$4:$F$32,3,FALSE()),IF(H732="MELANGE",VLOOKUP(D732,PRECIOS!$A$4:$F$32,4,FALSE()),IF(H732="PPT",VLOOKUP(D732,PRECIOS!$A$4:$F$32,5,FALSE()),0)))),0)</f>
        <v>0</v>
      </c>
      <c r="J732" s="12">
        <f t="shared" si="12"/>
        <v>0</v>
      </c>
      <c r="K732" s="13">
        <f>IFERROR(IF(C732="",0,SUMIFS($F$4:$F$731,$C$4:$C$731,C732,$D$4:$D$731,D732,$E$4:$E$731,E732,$B$4:$B$731,"INGRESO")+SUMIFS($F$4:$F$731,$C$4:$C$731,C732,$D$4:$D$731,D732,$E$4:$E$731,E732,$B$4:$B$731,"DE REPROCESO")+SUMIFS($F$4:$F$731,$C$4:$C$731,C732,$D$4:$D$731,D732,$E$4:$E$731,E732,$B$4:$B$731,"AJUSTE+")-SUMIFS($F$4:$F$731,$C$4:$C$731,C732,$D$4:$D$731,D732,$E$4:$E$731,E732,$B$4:$B$731,"A CORTE")-SUMIFS($F$4:$F$731,$C$4:$C$731,C732,$D$4:$D$731,D732,$E$4:$E$731,E732,$B$4:$B$731,"A REPROCESO")-SUMIFS($F$4:$F$731,$C$4:$C$731,C732,$D$4:$D$731,D732,$E$4:$E$731,E732,$B$4:$B$731,"MUESTRA")-SUMIFS($F$4:$F$731,$C$4:$C$731,C732,$D$4:$D$731,D732,$E$4:$E$731,E732,$B$4:$B$731,"AJUSTE-")),0)</f>
        <v>0</v>
      </c>
      <c r="L732" s="13">
        <f t="shared" si="13"/>
        <v>0</v>
      </c>
      <c r="M732" s="8"/>
      <c r="N732" s="14"/>
      <c r="O732" s="14"/>
      <c r="P732" s="14"/>
      <c r="Q732" s="15"/>
      <c r="R732" s="16" t="str">
        <f t="shared" si="14"/>
        <v/>
      </c>
    </row>
    <row r="733" ht="15.75" customHeight="1">
      <c r="A733" s="7"/>
      <c r="B733" s="8"/>
      <c r="C733" s="8"/>
      <c r="D733" s="8"/>
      <c r="E733" s="8"/>
      <c r="F733" s="9"/>
      <c r="G733" s="10">
        <f>IFERROR(F733*VLOOKUP(D733,TELAS!$A$4:$C$32,3,FALSE()),0)</f>
        <v>0</v>
      </c>
      <c r="H733" s="11" t="str">
        <f>IFERROR(VLOOKUP(E733,COLORES!$A$4:$B$102,2,FALSE()),"")</f>
        <v/>
      </c>
      <c r="I733" s="12">
        <f>IFERROR(IF(H733="OSCURO",VLOOKUP(D733,PRECIOS!$A$4:$F$32,2,FALSE()),IF(H733="CLARO",VLOOKUP(D733,PRECIOS!$A$4:$F$32,3,FALSE()),IF(H733="MELANGE",VLOOKUP(D733,PRECIOS!$A$4:$F$32,4,FALSE()),IF(H733="PPT",VLOOKUP(D733,PRECIOS!$A$4:$F$32,5,FALSE()),0)))),0)</f>
        <v>0</v>
      </c>
      <c r="J733" s="12">
        <f t="shared" si="12"/>
        <v>0</v>
      </c>
      <c r="K733" s="13">
        <f>IFERROR(IF(C733="",0,SUMIFS($F$4:$F$732,$C$4:$C$732,C733,$D$4:$D$732,D733,$E$4:$E$732,E733,$B$4:$B$732,"INGRESO")+SUMIFS($F$4:$F$732,$C$4:$C$732,C733,$D$4:$D$732,D733,$E$4:$E$732,E733,$B$4:$B$732,"DE REPROCESO")+SUMIFS($F$4:$F$732,$C$4:$C$732,C733,$D$4:$D$732,D733,$E$4:$E$732,E733,$B$4:$B$732,"AJUSTE+")-SUMIFS($F$4:$F$732,$C$4:$C$732,C733,$D$4:$D$732,D733,$E$4:$E$732,E733,$B$4:$B$732,"A CORTE")-SUMIFS($F$4:$F$732,$C$4:$C$732,C733,$D$4:$D$732,D733,$E$4:$E$732,E733,$B$4:$B$732,"A REPROCESO")-SUMIFS($F$4:$F$732,$C$4:$C$732,C733,$D$4:$D$732,D733,$E$4:$E$732,E733,$B$4:$B$732,"MUESTRA")-SUMIFS($F$4:$F$732,$C$4:$C$732,C733,$D$4:$D$732,D733,$E$4:$E$732,E733,$B$4:$B$732,"AJUSTE-")),0)</f>
        <v>0</v>
      </c>
      <c r="L733" s="13">
        <f t="shared" si="13"/>
        <v>0</v>
      </c>
      <c r="M733" s="8"/>
      <c r="N733" s="14"/>
      <c r="O733" s="14"/>
      <c r="P733" s="14"/>
      <c r="Q733" s="15"/>
      <c r="R733" s="16" t="str">
        <f t="shared" si="14"/>
        <v/>
      </c>
    </row>
    <row r="734" ht="15.75" customHeight="1">
      <c r="A734" s="7"/>
      <c r="B734" s="8"/>
      <c r="C734" s="8"/>
      <c r="D734" s="8"/>
      <c r="E734" s="8"/>
      <c r="F734" s="9"/>
      <c r="G734" s="10">
        <f>IFERROR(F734*VLOOKUP(D734,TELAS!$A$4:$C$32,3,FALSE()),0)</f>
        <v>0</v>
      </c>
      <c r="H734" s="11" t="str">
        <f>IFERROR(VLOOKUP(E734,COLORES!$A$4:$B$102,2,FALSE()),"")</f>
        <v/>
      </c>
      <c r="I734" s="12">
        <f>IFERROR(IF(H734="OSCURO",VLOOKUP(D734,PRECIOS!$A$4:$F$32,2,FALSE()),IF(H734="CLARO",VLOOKUP(D734,PRECIOS!$A$4:$F$32,3,FALSE()),IF(H734="MELANGE",VLOOKUP(D734,PRECIOS!$A$4:$F$32,4,FALSE()),IF(H734="PPT",VLOOKUP(D734,PRECIOS!$A$4:$F$32,5,FALSE()),0)))),0)</f>
        <v>0</v>
      </c>
      <c r="J734" s="12">
        <f t="shared" si="12"/>
        <v>0</v>
      </c>
      <c r="K734" s="13">
        <f>IFERROR(IF(C734="",0,SUMIFS($F$4:$F$733,$C$4:$C$733,C734,$D$4:$D$733,D734,$E$4:$E$733,E734,$B$4:$B$733,"INGRESO")+SUMIFS($F$4:$F$733,$C$4:$C$733,C734,$D$4:$D$733,D734,$E$4:$E$733,E734,$B$4:$B$733,"DE REPROCESO")+SUMIFS($F$4:$F$733,$C$4:$C$733,C734,$D$4:$D$733,D734,$E$4:$E$733,E734,$B$4:$B$733,"AJUSTE+")-SUMIFS($F$4:$F$733,$C$4:$C$733,C734,$D$4:$D$733,D734,$E$4:$E$733,E734,$B$4:$B$733,"A CORTE")-SUMIFS($F$4:$F$733,$C$4:$C$733,C734,$D$4:$D$733,D734,$E$4:$E$733,E734,$B$4:$B$733,"A REPROCESO")-SUMIFS($F$4:$F$733,$C$4:$C$733,C734,$D$4:$D$733,D734,$E$4:$E$733,E734,$B$4:$B$733,"MUESTRA")-SUMIFS($F$4:$F$733,$C$4:$C$733,C734,$D$4:$D$733,D734,$E$4:$E$733,E734,$B$4:$B$733,"AJUSTE-")),0)</f>
        <v>0</v>
      </c>
      <c r="L734" s="13">
        <f t="shared" si="13"/>
        <v>0</v>
      </c>
      <c r="M734" s="8"/>
      <c r="N734" s="14"/>
      <c r="O734" s="14"/>
      <c r="P734" s="14"/>
      <c r="Q734" s="15"/>
      <c r="R734" s="16" t="str">
        <f t="shared" si="14"/>
        <v/>
      </c>
    </row>
    <row r="735" ht="15.75" customHeight="1">
      <c r="A735" s="7"/>
      <c r="B735" s="8"/>
      <c r="C735" s="8"/>
      <c r="D735" s="8"/>
      <c r="E735" s="8"/>
      <c r="F735" s="9"/>
      <c r="G735" s="10">
        <f>IFERROR(F735*VLOOKUP(D735,TELAS!$A$4:$C$32,3,FALSE()),0)</f>
        <v>0</v>
      </c>
      <c r="H735" s="11" t="str">
        <f>IFERROR(VLOOKUP(E735,COLORES!$A$4:$B$102,2,FALSE()),"")</f>
        <v/>
      </c>
      <c r="I735" s="12">
        <f>IFERROR(IF(H735="OSCURO",VLOOKUP(D735,PRECIOS!$A$4:$F$32,2,FALSE()),IF(H735="CLARO",VLOOKUP(D735,PRECIOS!$A$4:$F$32,3,FALSE()),IF(H735="MELANGE",VLOOKUP(D735,PRECIOS!$A$4:$F$32,4,FALSE()),IF(H735="PPT",VLOOKUP(D735,PRECIOS!$A$4:$F$32,5,FALSE()),0)))),0)</f>
        <v>0</v>
      </c>
      <c r="J735" s="12">
        <f t="shared" si="12"/>
        <v>0</v>
      </c>
      <c r="K735" s="13">
        <f>IFERROR(IF(C735="",0,SUMIFS($F$4:$F$734,$C$4:$C$734,C735,$D$4:$D$734,D735,$E$4:$E$734,E735,$B$4:$B$734,"INGRESO")+SUMIFS($F$4:$F$734,$C$4:$C$734,C735,$D$4:$D$734,D735,$E$4:$E$734,E735,$B$4:$B$734,"DE REPROCESO")+SUMIFS($F$4:$F$734,$C$4:$C$734,C735,$D$4:$D$734,D735,$E$4:$E$734,E735,$B$4:$B$734,"AJUSTE+")-SUMIFS($F$4:$F$734,$C$4:$C$734,C735,$D$4:$D$734,D735,$E$4:$E$734,E735,$B$4:$B$734,"A CORTE")-SUMIFS($F$4:$F$734,$C$4:$C$734,C735,$D$4:$D$734,D735,$E$4:$E$734,E735,$B$4:$B$734,"A REPROCESO")-SUMIFS($F$4:$F$734,$C$4:$C$734,C735,$D$4:$D$734,D735,$E$4:$E$734,E735,$B$4:$B$734,"MUESTRA")-SUMIFS($F$4:$F$734,$C$4:$C$734,C735,$D$4:$D$734,D735,$E$4:$E$734,E735,$B$4:$B$734,"AJUSTE-")),0)</f>
        <v>0</v>
      </c>
      <c r="L735" s="13">
        <f t="shared" si="13"/>
        <v>0</v>
      </c>
      <c r="M735" s="8"/>
      <c r="N735" s="14"/>
      <c r="O735" s="14"/>
      <c r="P735" s="14"/>
      <c r="Q735" s="15"/>
      <c r="R735" s="16" t="str">
        <f t="shared" si="14"/>
        <v/>
      </c>
    </row>
    <row r="736" ht="15.75" customHeight="1">
      <c r="A736" s="7"/>
      <c r="B736" s="8"/>
      <c r="C736" s="8"/>
      <c r="D736" s="8"/>
      <c r="E736" s="8"/>
      <c r="F736" s="9"/>
      <c r="G736" s="10">
        <f>IFERROR(F736*VLOOKUP(D736,TELAS!$A$4:$C$32,3,FALSE()),0)</f>
        <v>0</v>
      </c>
      <c r="H736" s="11" t="str">
        <f>IFERROR(VLOOKUP(E736,COLORES!$A$4:$B$102,2,FALSE()),"")</f>
        <v/>
      </c>
      <c r="I736" s="12">
        <f>IFERROR(IF(H736="OSCURO",VLOOKUP(D736,PRECIOS!$A$4:$F$32,2,FALSE()),IF(H736="CLARO",VLOOKUP(D736,PRECIOS!$A$4:$F$32,3,FALSE()),IF(H736="MELANGE",VLOOKUP(D736,PRECIOS!$A$4:$F$32,4,FALSE()),IF(H736="PPT",VLOOKUP(D736,PRECIOS!$A$4:$F$32,5,FALSE()),0)))),0)</f>
        <v>0</v>
      </c>
      <c r="J736" s="12">
        <f t="shared" si="12"/>
        <v>0</v>
      </c>
      <c r="K736" s="13">
        <f>IFERROR(IF(C736="",0,SUMIFS($F$4:$F$735,$C$4:$C$735,C736,$D$4:$D$735,D736,$E$4:$E$735,E736,$B$4:$B$735,"INGRESO")+SUMIFS($F$4:$F$735,$C$4:$C$735,C736,$D$4:$D$735,D736,$E$4:$E$735,E736,$B$4:$B$735,"DE REPROCESO")+SUMIFS($F$4:$F$735,$C$4:$C$735,C736,$D$4:$D$735,D736,$E$4:$E$735,E736,$B$4:$B$735,"AJUSTE+")-SUMIFS($F$4:$F$735,$C$4:$C$735,C736,$D$4:$D$735,D736,$E$4:$E$735,E736,$B$4:$B$735,"A CORTE")-SUMIFS($F$4:$F$735,$C$4:$C$735,C736,$D$4:$D$735,D736,$E$4:$E$735,E736,$B$4:$B$735,"A REPROCESO")-SUMIFS($F$4:$F$735,$C$4:$C$735,C736,$D$4:$D$735,D736,$E$4:$E$735,E736,$B$4:$B$735,"MUESTRA")-SUMIFS($F$4:$F$735,$C$4:$C$735,C736,$D$4:$D$735,D736,$E$4:$E$735,E736,$B$4:$B$735,"AJUSTE-")),0)</f>
        <v>0</v>
      </c>
      <c r="L736" s="13">
        <f t="shared" si="13"/>
        <v>0</v>
      </c>
      <c r="M736" s="8"/>
      <c r="N736" s="14"/>
      <c r="O736" s="14"/>
      <c r="P736" s="14"/>
      <c r="Q736" s="15"/>
      <c r="R736" s="16" t="str">
        <f t="shared" si="14"/>
        <v/>
      </c>
    </row>
    <row r="737" ht="15.75" customHeight="1">
      <c r="A737" s="7"/>
      <c r="B737" s="8"/>
      <c r="C737" s="8"/>
      <c r="D737" s="8"/>
      <c r="E737" s="8"/>
      <c r="F737" s="9"/>
      <c r="G737" s="10">
        <f>IFERROR(F737*VLOOKUP(D737,TELAS!$A$4:$C$32,3,FALSE()),0)</f>
        <v>0</v>
      </c>
      <c r="H737" s="11" t="str">
        <f>IFERROR(VLOOKUP(E737,COLORES!$A$4:$B$102,2,FALSE()),"")</f>
        <v/>
      </c>
      <c r="I737" s="12">
        <f>IFERROR(IF(H737="OSCURO",VLOOKUP(D737,PRECIOS!$A$4:$F$32,2,FALSE()),IF(H737="CLARO",VLOOKUP(D737,PRECIOS!$A$4:$F$32,3,FALSE()),IF(H737="MELANGE",VLOOKUP(D737,PRECIOS!$A$4:$F$32,4,FALSE()),IF(H737="PPT",VLOOKUP(D737,PRECIOS!$A$4:$F$32,5,FALSE()),0)))),0)</f>
        <v>0</v>
      </c>
      <c r="J737" s="12">
        <f t="shared" si="12"/>
        <v>0</v>
      </c>
      <c r="K737" s="13">
        <f>IFERROR(IF(C737="",0,SUMIFS($F$4:$F$736,$C$4:$C$736,C737,$D$4:$D$736,D737,$E$4:$E$736,E737,$B$4:$B$736,"INGRESO")+SUMIFS($F$4:$F$736,$C$4:$C$736,C737,$D$4:$D$736,D737,$E$4:$E$736,E737,$B$4:$B$736,"DE REPROCESO")+SUMIFS($F$4:$F$736,$C$4:$C$736,C737,$D$4:$D$736,D737,$E$4:$E$736,E737,$B$4:$B$736,"AJUSTE+")-SUMIFS($F$4:$F$736,$C$4:$C$736,C737,$D$4:$D$736,D737,$E$4:$E$736,E737,$B$4:$B$736,"A CORTE")-SUMIFS($F$4:$F$736,$C$4:$C$736,C737,$D$4:$D$736,D737,$E$4:$E$736,E737,$B$4:$B$736,"A REPROCESO")-SUMIFS($F$4:$F$736,$C$4:$C$736,C737,$D$4:$D$736,D737,$E$4:$E$736,E737,$B$4:$B$736,"MUESTRA")-SUMIFS($F$4:$F$736,$C$4:$C$736,C737,$D$4:$D$736,D737,$E$4:$E$736,E737,$B$4:$B$736,"AJUSTE-")),0)</f>
        <v>0</v>
      </c>
      <c r="L737" s="13">
        <f t="shared" si="13"/>
        <v>0</v>
      </c>
      <c r="M737" s="8"/>
      <c r="N737" s="14"/>
      <c r="O737" s="14"/>
      <c r="P737" s="14"/>
      <c r="Q737" s="15"/>
      <c r="R737" s="16" t="str">
        <f t="shared" si="14"/>
        <v/>
      </c>
    </row>
    <row r="738" ht="15.75" customHeight="1">
      <c r="A738" s="7"/>
      <c r="B738" s="8"/>
      <c r="C738" s="8"/>
      <c r="D738" s="8"/>
      <c r="E738" s="8"/>
      <c r="F738" s="9"/>
      <c r="G738" s="10">
        <f>IFERROR(F738*VLOOKUP(D738,TELAS!$A$4:$C$32,3,FALSE()),0)</f>
        <v>0</v>
      </c>
      <c r="H738" s="11" t="str">
        <f>IFERROR(VLOOKUP(E738,COLORES!$A$4:$B$102,2,FALSE()),"")</f>
        <v/>
      </c>
      <c r="I738" s="12">
        <f>IFERROR(IF(H738="OSCURO",VLOOKUP(D738,PRECIOS!$A$4:$F$32,2,FALSE()),IF(H738="CLARO",VLOOKUP(D738,PRECIOS!$A$4:$F$32,3,FALSE()),IF(H738="MELANGE",VLOOKUP(D738,PRECIOS!$A$4:$F$32,4,FALSE()),IF(H738="PPT",VLOOKUP(D738,PRECIOS!$A$4:$F$32,5,FALSE()),0)))),0)</f>
        <v>0</v>
      </c>
      <c r="J738" s="12">
        <f t="shared" si="12"/>
        <v>0</v>
      </c>
      <c r="K738" s="13">
        <f>IFERROR(IF(C738="",0,SUMIFS($F$4:$F$737,$C$4:$C$737,C738,$D$4:$D$737,D738,$E$4:$E$737,E738,$B$4:$B$737,"INGRESO")+SUMIFS($F$4:$F$737,$C$4:$C$737,C738,$D$4:$D$737,D738,$E$4:$E$737,E738,$B$4:$B$737,"DE REPROCESO")+SUMIFS($F$4:$F$737,$C$4:$C$737,C738,$D$4:$D$737,D738,$E$4:$E$737,E738,$B$4:$B$737,"AJUSTE+")-SUMIFS($F$4:$F$737,$C$4:$C$737,C738,$D$4:$D$737,D738,$E$4:$E$737,E738,$B$4:$B$737,"A CORTE")-SUMIFS($F$4:$F$737,$C$4:$C$737,C738,$D$4:$D$737,D738,$E$4:$E$737,E738,$B$4:$B$737,"A REPROCESO")-SUMIFS($F$4:$F$737,$C$4:$C$737,C738,$D$4:$D$737,D738,$E$4:$E$737,E738,$B$4:$B$737,"MUESTRA")-SUMIFS($F$4:$F$737,$C$4:$C$737,C738,$D$4:$D$737,D738,$E$4:$E$737,E738,$B$4:$B$737,"AJUSTE-")),0)</f>
        <v>0</v>
      </c>
      <c r="L738" s="13">
        <f t="shared" si="13"/>
        <v>0</v>
      </c>
      <c r="M738" s="8"/>
      <c r="N738" s="14"/>
      <c r="O738" s="14"/>
      <c r="P738" s="14"/>
      <c r="Q738" s="15"/>
      <c r="R738" s="16" t="str">
        <f t="shared" si="14"/>
        <v/>
      </c>
    </row>
    <row r="739" ht="15.75" customHeight="1">
      <c r="A739" s="7"/>
      <c r="B739" s="8"/>
      <c r="C739" s="8"/>
      <c r="D739" s="8"/>
      <c r="E739" s="8"/>
      <c r="F739" s="9"/>
      <c r="G739" s="10">
        <f>IFERROR(F739*VLOOKUP(D739,TELAS!$A$4:$C$32,3,FALSE()),0)</f>
        <v>0</v>
      </c>
      <c r="H739" s="11" t="str">
        <f>IFERROR(VLOOKUP(E739,COLORES!$A$4:$B$102,2,FALSE()),"")</f>
        <v/>
      </c>
      <c r="I739" s="12">
        <f>IFERROR(IF(H739="OSCURO",VLOOKUP(D739,PRECIOS!$A$4:$F$32,2,FALSE()),IF(H739="CLARO",VLOOKUP(D739,PRECIOS!$A$4:$F$32,3,FALSE()),IF(H739="MELANGE",VLOOKUP(D739,PRECIOS!$A$4:$F$32,4,FALSE()),IF(H739="PPT",VLOOKUP(D739,PRECIOS!$A$4:$F$32,5,FALSE()),0)))),0)</f>
        <v>0</v>
      </c>
      <c r="J739" s="12">
        <f t="shared" si="12"/>
        <v>0</v>
      </c>
      <c r="K739" s="13">
        <f>IFERROR(IF(C739="",0,SUMIFS($F$4:$F$738,$C$4:$C$738,C739,$D$4:$D$738,D739,$E$4:$E$738,E739,$B$4:$B$738,"INGRESO")+SUMIFS($F$4:$F$738,$C$4:$C$738,C739,$D$4:$D$738,D739,$E$4:$E$738,E739,$B$4:$B$738,"DE REPROCESO")+SUMIFS($F$4:$F$738,$C$4:$C$738,C739,$D$4:$D$738,D739,$E$4:$E$738,E739,$B$4:$B$738,"AJUSTE+")-SUMIFS($F$4:$F$738,$C$4:$C$738,C739,$D$4:$D$738,D739,$E$4:$E$738,E739,$B$4:$B$738,"A CORTE")-SUMIFS($F$4:$F$738,$C$4:$C$738,C739,$D$4:$D$738,D739,$E$4:$E$738,E739,$B$4:$B$738,"A REPROCESO")-SUMIFS($F$4:$F$738,$C$4:$C$738,C739,$D$4:$D$738,D739,$E$4:$E$738,E739,$B$4:$B$738,"MUESTRA")-SUMIFS($F$4:$F$738,$C$4:$C$738,C739,$D$4:$D$738,D739,$E$4:$E$738,E739,$B$4:$B$738,"AJUSTE-")),0)</f>
        <v>0</v>
      </c>
      <c r="L739" s="13">
        <f t="shared" si="13"/>
        <v>0</v>
      </c>
      <c r="M739" s="8"/>
      <c r="N739" s="14"/>
      <c r="O739" s="14"/>
      <c r="P739" s="14"/>
      <c r="Q739" s="15"/>
      <c r="R739" s="16" t="str">
        <f t="shared" si="14"/>
        <v/>
      </c>
    </row>
    <row r="740" ht="15.75" customHeight="1">
      <c r="A740" s="7"/>
      <c r="B740" s="8"/>
      <c r="C740" s="8"/>
      <c r="D740" s="8"/>
      <c r="E740" s="8"/>
      <c r="F740" s="9"/>
      <c r="G740" s="10">
        <f>IFERROR(F740*VLOOKUP(D740,TELAS!$A$4:$C$32,3,FALSE()),0)</f>
        <v>0</v>
      </c>
      <c r="H740" s="11" t="str">
        <f>IFERROR(VLOOKUP(E740,COLORES!$A$4:$B$102,2,FALSE()),"")</f>
        <v/>
      </c>
      <c r="I740" s="12">
        <f>IFERROR(IF(H740="OSCURO",VLOOKUP(D740,PRECIOS!$A$4:$F$32,2,FALSE()),IF(H740="CLARO",VLOOKUP(D740,PRECIOS!$A$4:$F$32,3,FALSE()),IF(H740="MELANGE",VLOOKUP(D740,PRECIOS!$A$4:$F$32,4,FALSE()),IF(H740="PPT",VLOOKUP(D740,PRECIOS!$A$4:$F$32,5,FALSE()),0)))),0)</f>
        <v>0</v>
      </c>
      <c r="J740" s="12">
        <f t="shared" si="12"/>
        <v>0</v>
      </c>
      <c r="K740" s="13">
        <f>IFERROR(IF(C740="",0,SUMIFS($F$4:$F$739,$C$4:$C$739,C740,$D$4:$D$739,D740,$E$4:$E$739,E740,$B$4:$B$739,"INGRESO")+SUMIFS($F$4:$F$739,$C$4:$C$739,C740,$D$4:$D$739,D740,$E$4:$E$739,E740,$B$4:$B$739,"DE REPROCESO")+SUMIFS($F$4:$F$739,$C$4:$C$739,C740,$D$4:$D$739,D740,$E$4:$E$739,E740,$B$4:$B$739,"AJUSTE+")-SUMIFS($F$4:$F$739,$C$4:$C$739,C740,$D$4:$D$739,D740,$E$4:$E$739,E740,$B$4:$B$739,"A CORTE")-SUMIFS($F$4:$F$739,$C$4:$C$739,C740,$D$4:$D$739,D740,$E$4:$E$739,E740,$B$4:$B$739,"A REPROCESO")-SUMIFS($F$4:$F$739,$C$4:$C$739,C740,$D$4:$D$739,D740,$E$4:$E$739,E740,$B$4:$B$739,"MUESTRA")-SUMIFS($F$4:$F$739,$C$4:$C$739,C740,$D$4:$D$739,D740,$E$4:$E$739,E740,$B$4:$B$739,"AJUSTE-")),0)</f>
        <v>0</v>
      </c>
      <c r="L740" s="13">
        <f t="shared" si="13"/>
        <v>0</v>
      </c>
      <c r="M740" s="8"/>
      <c r="N740" s="14"/>
      <c r="O740" s="14"/>
      <c r="P740" s="14"/>
      <c r="Q740" s="15"/>
      <c r="R740" s="16" t="str">
        <f t="shared" si="14"/>
        <v/>
      </c>
    </row>
    <row r="741" ht="15.75" customHeight="1">
      <c r="A741" s="7"/>
      <c r="B741" s="8"/>
      <c r="C741" s="8"/>
      <c r="D741" s="8"/>
      <c r="E741" s="8"/>
      <c r="F741" s="9"/>
      <c r="G741" s="10">
        <f>IFERROR(F741*VLOOKUP(D741,TELAS!$A$4:$C$32,3,FALSE()),0)</f>
        <v>0</v>
      </c>
      <c r="H741" s="11" t="str">
        <f>IFERROR(VLOOKUP(E741,COLORES!$A$4:$B$102,2,FALSE()),"")</f>
        <v/>
      </c>
      <c r="I741" s="12">
        <f>IFERROR(IF(H741="OSCURO",VLOOKUP(D741,PRECIOS!$A$4:$F$32,2,FALSE()),IF(H741="CLARO",VLOOKUP(D741,PRECIOS!$A$4:$F$32,3,FALSE()),IF(H741="MELANGE",VLOOKUP(D741,PRECIOS!$A$4:$F$32,4,FALSE()),IF(H741="PPT",VLOOKUP(D741,PRECIOS!$A$4:$F$32,5,FALSE()),0)))),0)</f>
        <v>0</v>
      </c>
      <c r="J741" s="12">
        <f t="shared" si="12"/>
        <v>0</v>
      </c>
      <c r="K741" s="13">
        <f>IFERROR(IF(C741="",0,SUMIFS($F$4:$F$740,$C$4:$C$740,C741,$D$4:$D$740,D741,$E$4:$E$740,E741,$B$4:$B$740,"INGRESO")+SUMIFS($F$4:$F$740,$C$4:$C$740,C741,$D$4:$D$740,D741,$E$4:$E$740,E741,$B$4:$B$740,"DE REPROCESO")+SUMIFS($F$4:$F$740,$C$4:$C$740,C741,$D$4:$D$740,D741,$E$4:$E$740,E741,$B$4:$B$740,"AJUSTE+")-SUMIFS($F$4:$F$740,$C$4:$C$740,C741,$D$4:$D$740,D741,$E$4:$E$740,E741,$B$4:$B$740,"A CORTE")-SUMIFS($F$4:$F$740,$C$4:$C$740,C741,$D$4:$D$740,D741,$E$4:$E$740,E741,$B$4:$B$740,"A REPROCESO")-SUMIFS($F$4:$F$740,$C$4:$C$740,C741,$D$4:$D$740,D741,$E$4:$E$740,E741,$B$4:$B$740,"MUESTRA")-SUMIFS($F$4:$F$740,$C$4:$C$740,C741,$D$4:$D$740,D741,$E$4:$E$740,E741,$B$4:$B$740,"AJUSTE-")),0)</f>
        <v>0</v>
      </c>
      <c r="L741" s="13">
        <f t="shared" si="13"/>
        <v>0</v>
      </c>
      <c r="M741" s="8"/>
      <c r="N741" s="14"/>
      <c r="O741" s="14"/>
      <c r="P741" s="14"/>
      <c r="Q741" s="15"/>
      <c r="R741" s="16" t="str">
        <f t="shared" si="14"/>
        <v/>
      </c>
    </row>
    <row r="742" ht="15.75" customHeight="1">
      <c r="A742" s="7"/>
      <c r="B742" s="8"/>
      <c r="C742" s="8"/>
      <c r="D742" s="8"/>
      <c r="E742" s="8"/>
      <c r="F742" s="9"/>
      <c r="G742" s="10">
        <f>IFERROR(F742*VLOOKUP(D742,TELAS!$A$4:$C$32,3,FALSE()),0)</f>
        <v>0</v>
      </c>
      <c r="H742" s="11" t="str">
        <f>IFERROR(VLOOKUP(E742,COLORES!$A$4:$B$102,2,FALSE()),"")</f>
        <v/>
      </c>
      <c r="I742" s="12">
        <f>IFERROR(IF(H742="OSCURO",VLOOKUP(D742,PRECIOS!$A$4:$F$32,2,FALSE()),IF(H742="CLARO",VLOOKUP(D742,PRECIOS!$A$4:$F$32,3,FALSE()),IF(H742="MELANGE",VLOOKUP(D742,PRECIOS!$A$4:$F$32,4,FALSE()),IF(H742="PPT",VLOOKUP(D742,PRECIOS!$A$4:$F$32,5,FALSE()),0)))),0)</f>
        <v>0</v>
      </c>
      <c r="J742" s="12">
        <f t="shared" si="12"/>
        <v>0</v>
      </c>
      <c r="K742" s="13">
        <f>IFERROR(IF(C742="",0,SUMIFS($F$4:$F$741,$C$4:$C$741,C742,$D$4:$D$741,D742,$E$4:$E$741,E742,$B$4:$B$741,"INGRESO")+SUMIFS($F$4:$F$741,$C$4:$C$741,C742,$D$4:$D$741,D742,$E$4:$E$741,E742,$B$4:$B$741,"DE REPROCESO")+SUMIFS($F$4:$F$741,$C$4:$C$741,C742,$D$4:$D$741,D742,$E$4:$E$741,E742,$B$4:$B$741,"AJUSTE+")-SUMIFS($F$4:$F$741,$C$4:$C$741,C742,$D$4:$D$741,D742,$E$4:$E$741,E742,$B$4:$B$741,"A CORTE")-SUMIFS($F$4:$F$741,$C$4:$C$741,C742,$D$4:$D$741,D742,$E$4:$E$741,E742,$B$4:$B$741,"A REPROCESO")-SUMIFS($F$4:$F$741,$C$4:$C$741,C742,$D$4:$D$741,D742,$E$4:$E$741,E742,$B$4:$B$741,"MUESTRA")-SUMIFS($F$4:$F$741,$C$4:$C$741,C742,$D$4:$D$741,D742,$E$4:$E$741,E742,$B$4:$B$741,"AJUSTE-")),0)</f>
        <v>0</v>
      </c>
      <c r="L742" s="13">
        <f t="shared" si="13"/>
        <v>0</v>
      </c>
      <c r="M742" s="8"/>
      <c r="N742" s="14"/>
      <c r="O742" s="14"/>
      <c r="P742" s="14"/>
      <c r="Q742" s="15"/>
      <c r="R742" s="16" t="str">
        <f t="shared" si="14"/>
        <v/>
      </c>
    </row>
    <row r="743" ht="15.75" customHeight="1">
      <c r="A743" s="7"/>
      <c r="B743" s="8"/>
      <c r="C743" s="8"/>
      <c r="D743" s="8"/>
      <c r="E743" s="8"/>
      <c r="F743" s="9"/>
      <c r="G743" s="10">
        <f>IFERROR(F743*VLOOKUP(D743,TELAS!$A$4:$C$32,3,FALSE()),0)</f>
        <v>0</v>
      </c>
      <c r="H743" s="11" t="str">
        <f>IFERROR(VLOOKUP(E743,COLORES!$A$4:$B$102,2,FALSE()),"")</f>
        <v/>
      </c>
      <c r="I743" s="12">
        <f>IFERROR(IF(H743="OSCURO",VLOOKUP(D743,PRECIOS!$A$4:$F$32,2,FALSE()),IF(H743="CLARO",VLOOKUP(D743,PRECIOS!$A$4:$F$32,3,FALSE()),IF(H743="MELANGE",VLOOKUP(D743,PRECIOS!$A$4:$F$32,4,FALSE()),IF(H743="PPT",VLOOKUP(D743,PRECIOS!$A$4:$F$32,5,FALSE()),0)))),0)</f>
        <v>0</v>
      </c>
      <c r="J743" s="12">
        <f t="shared" si="12"/>
        <v>0</v>
      </c>
      <c r="K743" s="13">
        <f>IFERROR(IF(C743="",0,SUMIFS($F$4:$F$742,$C$4:$C$742,C743,$D$4:$D$742,D743,$E$4:$E$742,E743,$B$4:$B$742,"INGRESO")+SUMIFS($F$4:$F$742,$C$4:$C$742,C743,$D$4:$D$742,D743,$E$4:$E$742,E743,$B$4:$B$742,"DE REPROCESO")+SUMIFS($F$4:$F$742,$C$4:$C$742,C743,$D$4:$D$742,D743,$E$4:$E$742,E743,$B$4:$B$742,"AJUSTE+")-SUMIFS($F$4:$F$742,$C$4:$C$742,C743,$D$4:$D$742,D743,$E$4:$E$742,E743,$B$4:$B$742,"A CORTE")-SUMIFS($F$4:$F$742,$C$4:$C$742,C743,$D$4:$D$742,D743,$E$4:$E$742,E743,$B$4:$B$742,"A REPROCESO")-SUMIFS($F$4:$F$742,$C$4:$C$742,C743,$D$4:$D$742,D743,$E$4:$E$742,E743,$B$4:$B$742,"MUESTRA")-SUMIFS($F$4:$F$742,$C$4:$C$742,C743,$D$4:$D$742,D743,$E$4:$E$742,E743,$B$4:$B$742,"AJUSTE-")),0)</f>
        <v>0</v>
      </c>
      <c r="L743" s="13">
        <f t="shared" si="13"/>
        <v>0</v>
      </c>
      <c r="M743" s="8"/>
      <c r="N743" s="14"/>
      <c r="O743" s="14"/>
      <c r="P743" s="14"/>
      <c r="Q743" s="15"/>
      <c r="R743" s="16" t="str">
        <f t="shared" si="14"/>
        <v/>
      </c>
    </row>
    <row r="744" ht="15.75" customHeight="1">
      <c r="A744" s="7"/>
      <c r="B744" s="8"/>
      <c r="C744" s="8"/>
      <c r="D744" s="8"/>
      <c r="E744" s="8"/>
      <c r="F744" s="9"/>
      <c r="G744" s="10">
        <f>IFERROR(F744*VLOOKUP(D744,TELAS!$A$4:$C$32,3,FALSE()),0)</f>
        <v>0</v>
      </c>
      <c r="H744" s="11" t="str">
        <f>IFERROR(VLOOKUP(E744,COLORES!$A$4:$B$102,2,FALSE()),"")</f>
        <v/>
      </c>
      <c r="I744" s="12">
        <f>IFERROR(IF(H744="OSCURO",VLOOKUP(D744,PRECIOS!$A$4:$F$32,2,FALSE()),IF(H744="CLARO",VLOOKUP(D744,PRECIOS!$A$4:$F$32,3,FALSE()),IF(H744="MELANGE",VLOOKUP(D744,PRECIOS!$A$4:$F$32,4,FALSE()),IF(H744="PPT",VLOOKUP(D744,PRECIOS!$A$4:$F$32,5,FALSE()),0)))),0)</f>
        <v>0</v>
      </c>
      <c r="J744" s="12">
        <f t="shared" si="12"/>
        <v>0</v>
      </c>
      <c r="K744" s="13">
        <f>IFERROR(IF(C744="",0,SUMIFS($F$4:$F$743,$C$4:$C$743,C744,$D$4:$D$743,D744,$E$4:$E$743,E744,$B$4:$B$743,"INGRESO")+SUMIFS($F$4:$F$743,$C$4:$C$743,C744,$D$4:$D$743,D744,$E$4:$E$743,E744,$B$4:$B$743,"DE REPROCESO")+SUMIFS($F$4:$F$743,$C$4:$C$743,C744,$D$4:$D$743,D744,$E$4:$E$743,E744,$B$4:$B$743,"AJUSTE+")-SUMIFS($F$4:$F$743,$C$4:$C$743,C744,$D$4:$D$743,D744,$E$4:$E$743,E744,$B$4:$B$743,"A CORTE")-SUMIFS($F$4:$F$743,$C$4:$C$743,C744,$D$4:$D$743,D744,$E$4:$E$743,E744,$B$4:$B$743,"A REPROCESO")-SUMIFS($F$4:$F$743,$C$4:$C$743,C744,$D$4:$D$743,D744,$E$4:$E$743,E744,$B$4:$B$743,"MUESTRA")-SUMIFS($F$4:$F$743,$C$4:$C$743,C744,$D$4:$D$743,D744,$E$4:$E$743,E744,$B$4:$B$743,"AJUSTE-")),0)</f>
        <v>0</v>
      </c>
      <c r="L744" s="13">
        <f t="shared" si="13"/>
        <v>0</v>
      </c>
      <c r="M744" s="8"/>
      <c r="N744" s="14"/>
      <c r="O744" s="14"/>
      <c r="P744" s="14"/>
      <c r="Q744" s="15"/>
      <c r="R744" s="16" t="str">
        <f t="shared" si="14"/>
        <v/>
      </c>
    </row>
    <row r="745" ht="15.75" customHeight="1">
      <c r="A745" s="7"/>
      <c r="B745" s="8"/>
      <c r="C745" s="8"/>
      <c r="D745" s="8"/>
      <c r="E745" s="8"/>
      <c r="F745" s="9"/>
      <c r="G745" s="10">
        <f>IFERROR(F745*VLOOKUP(D745,TELAS!$A$4:$C$32,3,FALSE()),0)</f>
        <v>0</v>
      </c>
      <c r="H745" s="11" t="str">
        <f>IFERROR(VLOOKUP(E745,COLORES!$A$4:$B$102,2,FALSE()),"")</f>
        <v/>
      </c>
      <c r="I745" s="12">
        <f>IFERROR(IF(H745="OSCURO",VLOOKUP(D745,PRECIOS!$A$4:$F$32,2,FALSE()),IF(H745="CLARO",VLOOKUP(D745,PRECIOS!$A$4:$F$32,3,FALSE()),IF(H745="MELANGE",VLOOKUP(D745,PRECIOS!$A$4:$F$32,4,FALSE()),IF(H745="PPT",VLOOKUP(D745,PRECIOS!$A$4:$F$32,5,FALSE()),0)))),0)</f>
        <v>0</v>
      </c>
      <c r="J745" s="12">
        <f t="shared" si="12"/>
        <v>0</v>
      </c>
      <c r="K745" s="13">
        <f>IFERROR(IF(C745="",0,SUMIFS($F$4:$F$744,$C$4:$C$744,C745,$D$4:$D$744,D745,$E$4:$E$744,E745,$B$4:$B$744,"INGRESO")+SUMIFS($F$4:$F$744,$C$4:$C$744,C745,$D$4:$D$744,D745,$E$4:$E$744,E745,$B$4:$B$744,"DE REPROCESO")+SUMIFS($F$4:$F$744,$C$4:$C$744,C745,$D$4:$D$744,D745,$E$4:$E$744,E745,$B$4:$B$744,"AJUSTE+")-SUMIFS($F$4:$F$744,$C$4:$C$744,C745,$D$4:$D$744,D745,$E$4:$E$744,E745,$B$4:$B$744,"A CORTE")-SUMIFS($F$4:$F$744,$C$4:$C$744,C745,$D$4:$D$744,D745,$E$4:$E$744,E745,$B$4:$B$744,"A REPROCESO")-SUMIFS($F$4:$F$744,$C$4:$C$744,C745,$D$4:$D$744,D745,$E$4:$E$744,E745,$B$4:$B$744,"MUESTRA")-SUMIFS($F$4:$F$744,$C$4:$C$744,C745,$D$4:$D$744,D745,$E$4:$E$744,E745,$B$4:$B$744,"AJUSTE-")),0)</f>
        <v>0</v>
      </c>
      <c r="L745" s="13">
        <f t="shared" si="13"/>
        <v>0</v>
      </c>
      <c r="M745" s="8"/>
      <c r="N745" s="14"/>
      <c r="O745" s="14"/>
      <c r="P745" s="14"/>
      <c r="Q745" s="15"/>
      <c r="R745" s="16" t="str">
        <f t="shared" si="14"/>
        <v/>
      </c>
    </row>
    <row r="746" ht="15.75" customHeight="1">
      <c r="A746" s="7"/>
      <c r="B746" s="8"/>
      <c r="C746" s="8"/>
      <c r="D746" s="8"/>
      <c r="E746" s="8"/>
      <c r="F746" s="9"/>
      <c r="G746" s="10">
        <f>IFERROR(F746*VLOOKUP(D746,TELAS!$A$4:$C$32,3,FALSE()),0)</f>
        <v>0</v>
      </c>
      <c r="H746" s="11" t="str">
        <f>IFERROR(VLOOKUP(E746,COLORES!$A$4:$B$102,2,FALSE()),"")</f>
        <v/>
      </c>
      <c r="I746" s="12">
        <f>IFERROR(IF(H746="OSCURO",VLOOKUP(D746,PRECIOS!$A$4:$F$32,2,FALSE()),IF(H746="CLARO",VLOOKUP(D746,PRECIOS!$A$4:$F$32,3,FALSE()),IF(H746="MELANGE",VLOOKUP(D746,PRECIOS!$A$4:$F$32,4,FALSE()),IF(H746="PPT",VLOOKUP(D746,PRECIOS!$A$4:$F$32,5,FALSE()),0)))),0)</f>
        <v>0</v>
      </c>
      <c r="J746" s="12">
        <f t="shared" si="12"/>
        <v>0</v>
      </c>
      <c r="K746" s="13">
        <f>IFERROR(IF(C746="",0,SUMIFS($F$4:$F$745,$C$4:$C$745,C746,$D$4:$D$745,D746,$E$4:$E$745,E746,$B$4:$B$745,"INGRESO")+SUMIFS($F$4:$F$745,$C$4:$C$745,C746,$D$4:$D$745,D746,$E$4:$E$745,E746,$B$4:$B$745,"DE REPROCESO")+SUMIFS($F$4:$F$745,$C$4:$C$745,C746,$D$4:$D$745,D746,$E$4:$E$745,E746,$B$4:$B$745,"AJUSTE+")-SUMIFS($F$4:$F$745,$C$4:$C$745,C746,$D$4:$D$745,D746,$E$4:$E$745,E746,$B$4:$B$745,"A CORTE")-SUMIFS($F$4:$F$745,$C$4:$C$745,C746,$D$4:$D$745,D746,$E$4:$E$745,E746,$B$4:$B$745,"A REPROCESO")-SUMIFS($F$4:$F$745,$C$4:$C$745,C746,$D$4:$D$745,D746,$E$4:$E$745,E746,$B$4:$B$745,"MUESTRA")-SUMIFS($F$4:$F$745,$C$4:$C$745,C746,$D$4:$D$745,D746,$E$4:$E$745,E746,$B$4:$B$745,"AJUSTE-")),0)</f>
        <v>0</v>
      </c>
      <c r="L746" s="13">
        <f t="shared" si="13"/>
        <v>0</v>
      </c>
      <c r="M746" s="8"/>
      <c r="N746" s="14"/>
      <c r="O746" s="14"/>
      <c r="P746" s="14"/>
      <c r="Q746" s="15"/>
      <c r="R746" s="16" t="str">
        <f t="shared" si="14"/>
        <v/>
      </c>
    </row>
    <row r="747" ht="15.75" customHeight="1">
      <c r="A747" s="7"/>
      <c r="B747" s="8"/>
      <c r="C747" s="8"/>
      <c r="D747" s="8"/>
      <c r="E747" s="8"/>
      <c r="F747" s="9"/>
      <c r="G747" s="10">
        <f>IFERROR(F747*VLOOKUP(D747,TELAS!$A$4:$C$32,3,FALSE()),0)</f>
        <v>0</v>
      </c>
      <c r="H747" s="11" t="str">
        <f>IFERROR(VLOOKUP(E747,COLORES!$A$4:$B$102,2,FALSE()),"")</f>
        <v/>
      </c>
      <c r="I747" s="12">
        <f>IFERROR(IF(H747="OSCURO",VLOOKUP(D747,PRECIOS!$A$4:$F$32,2,FALSE()),IF(H747="CLARO",VLOOKUP(D747,PRECIOS!$A$4:$F$32,3,FALSE()),IF(H747="MELANGE",VLOOKUP(D747,PRECIOS!$A$4:$F$32,4,FALSE()),IF(H747="PPT",VLOOKUP(D747,PRECIOS!$A$4:$F$32,5,FALSE()),0)))),0)</f>
        <v>0</v>
      </c>
      <c r="J747" s="12">
        <f t="shared" si="12"/>
        <v>0</v>
      </c>
      <c r="K747" s="13">
        <f>IFERROR(IF(C747="",0,SUMIFS($F$4:$F$746,$C$4:$C$746,C747,$D$4:$D$746,D747,$E$4:$E$746,E747,$B$4:$B$746,"INGRESO")+SUMIFS($F$4:$F$746,$C$4:$C$746,C747,$D$4:$D$746,D747,$E$4:$E$746,E747,$B$4:$B$746,"DE REPROCESO")+SUMIFS($F$4:$F$746,$C$4:$C$746,C747,$D$4:$D$746,D747,$E$4:$E$746,E747,$B$4:$B$746,"AJUSTE+")-SUMIFS($F$4:$F$746,$C$4:$C$746,C747,$D$4:$D$746,D747,$E$4:$E$746,E747,$B$4:$B$746,"A CORTE")-SUMIFS($F$4:$F$746,$C$4:$C$746,C747,$D$4:$D$746,D747,$E$4:$E$746,E747,$B$4:$B$746,"A REPROCESO")-SUMIFS($F$4:$F$746,$C$4:$C$746,C747,$D$4:$D$746,D747,$E$4:$E$746,E747,$B$4:$B$746,"MUESTRA")-SUMIFS($F$4:$F$746,$C$4:$C$746,C747,$D$4:$D$746,D747,$E$4:$E$746,E747,$B$4:$B$746,"AJUSTE-")),0)</f>
        <v>0</v>
      </c>
      <c r="L747" s="13">
        <f t="shared" si="13"/>
        <v>0</v>
      </c>
      <c r="M747" s="8"/>
      <c r="N747" s="14"/>
      <c r="O747" s="14"/>
      <c r="P747" s="14"/>
      <c r="Q747" s="15"/>
      <c r="R747" s="16" t="str">
        <f t="shared" si="14"/>
        <v/>
      </c>
    </row>
    <row r="748" ht="15.75" customHeight="1">
      <c r="A748" s="7"/>
      <c r="B748" s="8"/>
      <c r="C748" s="8"/>
      <c r="D748" s="8"/>
      <c r="E748" s="8"/>
      <c r="F748" s="9"/>
      <c r="G748" s="10">
        <f>IFERROR(F748*VLOOKUP(D748,TELAS!$A$4:$C$32,3,FALSE()),0)</f>
        <v>0</v>
      </c>
      <c r="H748" s="11" t="str">
        <f>IFERROR(VLOOKUP(E748,COLORES!$A$4:$B$102,2,FALSE()),"")</f>
        <v/>
      </c>
      <c r="I748" s="12">
        <f>IFERROR(IF(H748="OSCURO",VLOOKUP(D748,PRECIOS!$A$4:$F$32,2,FALSE()),IF(H748="CLARO",VLOOKUP(D748,PRECIOS!$A$4:$F$32,3,FALSE()),IF(H748="MELANGE",VLOOKUP(D748,PRECIOS!$A$4:$F$32,4,FALSE()),IF(H748="PPT",VLOOKUP(D748,PRECIOS!$A$4:$F$32,5,FALSE()),0)))),0)</f>
        <v>0</v>
      </c>
      <c r="J748" s="12">
        <f t="shared" si="12"/>
        <v>0</v>
      </c>
      <c r="K748" s="13">
        <f>IFERROR(IF(C748="",0,SUMIFS($F$4:$F$747,$C$4:$C$747,C748,$D$4:$D$747,D748,$E$4:$E$747,E748,$B$4:$B$747,"INGRESO")+SUMIFS($F$4:$F$747,$C$4:$C$747,C748,$D$4:$D$747,D748,$E$4:$E$747,E748,$B$4:$B$747,"DE REPROCESO")+SUMIFS($F$4:$F$747,$C$4:$C$747,C748,$D$4:$D$747,D748,$E$4:$E$747,E748,$B$4:$B$747,"AJUSTE+")-SUMIFS($F$4:$F$747,$C$4:$C$747,C748,$D$4:$D$747,D748,$E$4:$E$747,E748,$B$4:$B$747,"A CORTE")-SUMIFS($F$4:$F$747,$C$4:$C$747,C748,$D$4:$D$747,D748,$E$4:$E$747,E748,$B$4:$B$747,"A REPROCESO")-SUMIFS($F$4:$F$747,$C$4:$C$747,C748,$D$4:$D$747,D748,$E$4:$E$747,E748,$B$4:$B$747,"MUESTRA")-SUMIFS($F$4:$F$747,$C$4:$C$747,C748,$D$4:$D$747,D748,$E$4:$E$747,E748,$B$4:$B$747,"AJUSTE-")),0)</f>
        <v>0</v>
      </c>
      <c r="L748" s="13">
        <f t="shared" si="13"/>
        <v>0</v>
      </c>
      <c r="M748" s="8"/>
      <c r="N748" s="14"/>
      <c r="O748" s="14"/>
      <c r="P748" s="14"/>
      <c r="Q748" s="15"/>
      <c r="R748" s="16" t="str">
        <f t="shared" si="14"/>
        <v/>
      </c>
    </row>
    <row r="749" ht="15.75" customHeight="1">
      <c r="A749" s="7"/>
      <c r="B749" s="8"/>
      <c r="C749" s="8"/>
      <c r="D749" s="8"/>
      <c r="E749" s="8"/>
      <c r="F749" s="9"/>
      <c r="G749" s="10">
        <f>IFERROR(F749*VLOOKUP(D749,TELAS!$A$4:$C$32,3,FALSE()),0)</f>
        <v>0</v>
      </c>
      <c r="H749" s="11" t="str">
        <f>IFERROR(VLOOKUP(E749,COLORES!$A$4:$B$102,2,FALSE()),"")</f>
        <v/>
      </c>
      <c r="I749" s="12">
        <f>IFERROR(IF(H749="OSCURO",VLOOKUP(D749,PRECIOS!$A$4:$F$32,2,FALSE()),IF(H749="CLARO",VLOOKUP(D749,PRECIOS!$A$4:$F$32,3,FALSE()),IF(H749="MELANGE",VLOOKUP(D749,PRECIOS!$A$4:$F$32,4,FALSE()),IF(H749="PPT",VLOOKUP(D749,PRECIOS!$A$4:$F$32,5,FALSE()),0)))),0)</f>
        <v>0</v>
      </c>
      <c r="J749" s="12">
        <f t="shared" si="12"/>
        <v>0</v>
      </c>
      <c r="K749" s="13">
        <f>IFERROR(IF(C749="",0,SUMIFS($F$4:$F$748,$C$4:$C$748,C749,$D$4:$D$748,D749,$E$4:$E$748,E749,$B$4:$B$748,"INGRESO")+SUMIFS($F$4:$F$748,$C$4:$C$748,C749,$D$4:$D$748,D749,$E$4:$E$748,E749,$B$4:$B$748,"DE REPROCESO")+SUMIFS($F$4:$F$748,$C$4:$C$748,C749,$D$4:$D$748,D749,$E$4:$E$748,E749,$B$4:$B$748,"AJUSTE+")-SUMIFS($F$4:$F$748,$C$4:$C$748,C749,$D$4:$D$748,D749,$E$4:$E$748,E749,$B$4:$B$748,"A CORTE")-SUMIFS($F$4:$F$748,$C$4:$C$748,C749,$D$4:$D$748,D749,$E$4:$E$748,E749,$B$4:$B$748,"A REPROCESO")-SUMIFS($F$4:$F$748,$C$4:$C$748,C749,$D$4:$D$748,D749,$E$4:$E$748,E749,$B$4:$B$748,"MUESTRA")-SUMIFS($F$4:$F$748,$C$4:$C$748,C749,$D$4:$D$748,D749,$E$4:$E$748,E749,$B$4:$B$748,"AJUSTE-")),0)</f>
        <v>0</v>
      </c>
      <c r="L749" s="13">
        <f t="shared" si="13"/>
        <v>0</v>
      </c>
      <c r="M749" s="8"/>
      <c r="N749" s="14"/>
      <c r="O749" s="14"/>
      <c r="P749" s="14"/>
      <c r="Q749" s="15"/>
      <c r="R749" s="16" t="str">
        <f t="shared" si="14"/>
        <v/>
      </c>
    </row>
    <row r="750" ht="15.75" customHeight="1">
      <c r="A750" s="7"/>
      <c r="B750" s="8"/>
      <c r="C750" s="8"/>
      <c r="D750" s="8"/>
      <c r="E750" s="8"/>
      <c r="F750" s="9"/>
      <c r="G750" s="10">
        <f>IFERROR(F750*VLOOKUP(D750,TELAS!$A$4:$C$32,3,FALSE()),0)</f>
        <v>0</v>
      </c>
      <c r="H750" s="11" t="str">
        <f>IFERROR(VLOOKUP(E750,COLORES!$A$4:$B$102,2,FALSE()),"")</f>
        <v/>
      </c>
      <c r="I750" s="12">
        <f>IFERROR(IF(H750="OSCURO",VLOOKUP(D750,PRECIOS!$A$4:$F$32,2,FALSE()),IF(H750="CLARO",VLOOKUP(D750,PRECIOS!$A$4:$F$32,3,FALSE()),IF(H750="MELANGE",VLOOKUP(D750,PRECIOS!$A$4:$F$32,4,FALSE()),IF(H750="PPT",VLOOKUP(D750,PRECIOS!$A$4:$F$32,5,FALSE()),0)))),0)</f>
        <v>0</v>
      </c>
      <c r="J750" s="12">
        <f t="shared" si="12"/>
        <v>0</v>
      </c>
      <c r="K750" s="13">
        <f>IFERROR(IF(C750="",0,SUMIFS($F$4:$F$749,$C$4:$C$749,C750,$D$4:$D$749,D750,$E$4:$E$749,E750,$B$4:$B$749,"INGRESO")+SUMIFS($F$4:$F$749,$C$4:$C$749,C750,$D$4:$D$749,D750,$E$4:$E$749,E750,$B$4:$B$749,"DE REPROCESO")+SUMIFS($F$4:$F$749,$C$4:$C$749,C750,$D$4:$D$749,D750,$E$4:$E$749,E750,$B$4:$B$749,"AJUSTE+")-SUMIFS($F$4:$F$749,$C$4:$C$749,C750,$D$4:$D$749,D750,$E$4:$E$749,E750,$B$4:$B$749,"A CORTE")-SUMIFS($F$4:$F$749,$C$4:$C$749,C750,$D$4:$D$749,D750,$E$4:$E$749,E750,$B$4:$B$749,"A REPROCESO")-SUMIFS($F$4:$F$749,$C$4:$C$749,C750,$D$4:$D$749,D750,$E$4:$E$749,E750,$B$4:$B$749,"MUESTRA")-SUMIFS($F$4:$F$749,$C$4:$C$749,C750,$D$4:$D$749,D750,$E$4:$E$749,E750,$B$4:$B$749,"AJUSTE-")),0)</f>
        <v>0</v>
      </c>
      <c r="L750" s="13">
        <f t="shared" si="13"/>
        <v>0</v>
      </c>
      <c r="M750" s="8"/>
      <c r="N750" s="14"/>
      <c r="O750" s="14"/>
      <c r="P750" s="14"/>
      <c r="Q750" s="15"/>
      <c r="R750" s="16" t="str">
        <f t="shared" si="14"/>
        <v/>
      </c>
    </row>
    <row r="751" ht="15.75" customHeight="1">
      <c r="A751" s="7"/>
      <c r="B751" s="8"/>
      <c r="C751" s="8"/>
      <c r="D751" s="8"/>
      <c r="E751" s="8"/>
      <c r="F751" s="9"/>
      <c r="G751" s="10">
        <f>IFERROR(F751*VLOOKUP(D751,TELAS!$A$4:$C$32,3,FALSE()),0)</f>
        <v>0</v>
      </c>
      <c r="H751" s="11" t="str">
        <f>IFERROR(VLOOKUP(E751,COLORES!$A$4:$B$102,2,FALSE()),"")</f>
        <v/>
      </c>
      <c r="I751" s="12">
        <f>IFERROR(IF(H751="OSCURO",VLOOKUP(D751,PRECIOS!$A$4:$F$32,2,FALSE()),IF(H751="CLARO",VLOOKUP(D751,PRECIOS!$A$4:$F$32,3,FALSE()),IF(H751="MELANGE",VLOOKUP(D751,PRECIOS!$A$4:$F$32,4,FALSE()),IF(H751="PPT",VLOOKUP(D751,PRECIOS!$A$4:$F$32,5,FALSE()),0)))),0)</f>
        <v>0</v>
      </c>
      <c r="J751" s="12">
        <f t="shared" si="12"/>
        <v>0</v>
      </c>
      <c r="K751" s="13">
        <f>IFERROR(IF(C751="",0,SUMIFS($F$4:$F$750,$C$4:$C$750,C751,$D$4:$D$750,D751,$E$4:$E$750,E751,$B$4:$B$750,"INGRESO")+SUMIFS($F$4:$F$750,$C$4:$C$750,C751,$D$4:$D$750,D751,$E$4:$E$750,E751,$B$4:$B$750,"DE REPROCESO")+SUMIFS($F$4:$F$750,$C$4:$C$750,C751,$D$4:$D$750,D751,$E$4:$E$750,E751,$B$4:$B$750,"AJUSTE+")-SUMIFS($F$4:$F$750,$C$4:$C$750,C751,$D$4:$D$750,D751,$E$4:$E$750,E751,$B$4:$B$750,"A CORTE")-SUMIFS($F$4:$F$750,$C$4:$C$750,C751,$D$4:$D$750,D751,$E$4:$E$750,E751,$B$4:$B$750,"A REPROCESO")-SUMIFS($F$4:$F$750,$C$4:$C$750,C751,$D$4:$D$750,D751,$E$4:$E$750,E751,$B$4:$B$750,"MUESTRA")-SUMIFS($F$4:$F$750,$C$4:$C$750,C751,$D$4:$D$750,D751,$E$4:$E$750,E751,$B$4:$B$750,"AJUSTE-")),0)</f>
        <v>0</v>
      </c>
      <c r="L751" s="13">
        <f t="shared" si="13"/>
        <v>0</v>
      </c>
      <c r="M751" s="8"/>
      <c r="N751" s="14"/>
      <c r="O751" s="14"/>
      <c r="P751" s="14"/>
      <c r="Q751" s="15"/>
      <c r="R751" s="16" t="str">
        <f t="shared" si="14"/>
        <v/>
      </c>
    </row>
    <row r="752" ht="15.75" customHeight="1">
      <c r="A752" s="7"/>
      <c r="B752" s="8"/>
      <c r="C752" s="8"/>
      <c r="D752" s="8"/>
      <c r="E752" s="8"/>
      <c r="F752" s="9"/>
      <c r="G752" s="10">
        <f>IFERROR(F752*VLOOKUP(D752,TELAS!$A$4:$C$32,3,FALSE()),0)</f>
        <v>0</v>
      </c>
      <c r="H752" s="11" t="str">
        <f>IFERROR(VLOOKUP(E752,COLORES!$A$4:$B$102,2,FALSE()),"")</f>
        <v/>
      </c>
      <c r="I752" s="12">
        <f>IFERROR(IF(H752="OSCURO",VLOOKUP(D752,PRECIOS!$A$4:$F$32,2,FALSE()),IF(H752="CLARO",VLOOKUP(D752,PRECIOS!$A$4:$F$32,3,FALSE()),IF(H752="MELANGE",VLOOKUP(D752,PRECIOS!$A$4:$F$32,4,FALSE()),IF(H752="PPT",VLOOKUP(D752,PRECIOS!$A$4:$F$32,5,FALSE()),0)))),0)</f>
        <v>0</v>
      </c>
      <c r="J752" s="12">
        <f t="shared" si="12"/>
        <v>0</v>
      </c>
      <c r="K752" s="13">
        <f>IFERROR(IF(C752="",0,SUMIFS($F$4:$F$751,$C$4:$C$751,C752,$D$4:$D$751,D752,$E$4:$E$751,E752,$B$4:$B$751,"INGRESO")+SUMIFS($F$4:$F$751,$C$4:$C$751,C752,$D$4:$D$751,D752,$E$4:$E$751,E752,$B$4:$B$751,"DE REPROCESO")+SUMIFS($F$4:$F$751,$C$4:$C$751,C752,$D$4:$D$751,D752,$E$4:$E$751,E752,$B$4:$B$751,"AJUSTE+")-SUMIFS($F$4:$F$751,$C$4:$C$751,C752,$D$4:$D$751,D752,$E$4:$E$751,E752,$B$4:$B$751,"A CORTE")-SUMIFS($F$4:$F$751,$C$4:$C$751,C752,$D$4:$D$751,D752,$E$4:$E$751,E752,$B$4:$B$751,"A REPROCESO")-SUMIFS($F$4:$F$751,$C$4:$C$751,C752,$D$4:$D$751,D752,$E$4:$E$751,E752,$B$4:$B$751,"MUESTRA")-SUMIFS($F$4:$F$751,$C$4:$C$751,C752,$D$4:$D$751,D752,$E$4:$E$751,E752,$B$4:$B$751,"AJUSTE-")),0)</f>
        <v>0</v>
      </c>
      <c r="L752" s="13">
        <f t="shared" si="13"/>
        <v>0</v>
      </c>
      <c r="M752" s="8"/>
      <c r="N752" s="14"/>
      <c r="O752" s="14"/>
      <c r="P752" s="14"/>
      <c r="Q752" s="15"/>
      <c r="R752" s="16" t="str">
        <f t="shared" si="14"/>
        <v/>
      </c>
    </row>
    <row r="753" ht="15.75" customHeight="1">
      <c r="A753" s="7"/>
      <c r="B753" s="8"/>
      <c r="C753" s="8"/>
      <c r="D753" s="8"/>
      <c r="E753" s="8"/>
      <c r="F753" s="9"/>
      <c r="G753" s="10">
        <f>IFERROR(F753*VLOOKUP(D753,TELAS!$A$4:$C$32,3,FALSE()),0)</f>
        <v>0</v>
      </c>
      <c r="H753" s="11" t="str">
        <f>IFERROR(VLOOKUP(E753,COLORES!$A$4:$B$102,2,FALSE()),"")</f>
        <v/>
      </c>
      <c r="I753" s="12">
        <f>IFERROR(IF(H753="OSCURO",VLOOKUP(D753,PRECIOS!$A$4:$F$32,2,FALSE()),IF(H753="CLARO",VLOOKUP(D753,PRECIOS!$A$4:$F$32,3,FALSE()),IF(H753="MELANGE",VLOOKUP(D753,PRECIOS!$A$4:$F$32,4,FALSE()),IF(H753="PPT",VLOOKUP(D753,PRECIOS!$A$4:$F$32,5,FALSE()),0)))),0)</f>
        <v>0</v>
      </c>
      <c r="J753" s="12">
        <f t="shared" si="12"/>
        <v>0</v>
      </c>
      <c r="K753" s="13">
        <f>IFERROR(IF(C753="",0,SUMIFS($F$4:$F$752,$C$4:$C$752,C753,$D$4:$D$752,D753,$E$4:$E$752,E753,$B$4:$B$752,"INGRESO")+SUMIFS($F$4:$F$752,$C$4:$C$752,C753,$D$4:$D$752,D753,$E$4:$E$752,E753,$B$4:$B$752,"DE REPROCESO")+SUMIFS($F$4:$F$752,$C$4:$C$752,C753,$D$4:$D$752,D753,$E$4:$E$752,E753,$B$4:$B$752,"AJUSTE+")-SUMIFS($F$4:$F$752,$C$4:$C$752,C753,$D$4:$D$752,D753,$E$4:$E$752,E753,$B$4:$B$752,"A CORTE")-SUMIFS($F$4:$F$752,$C$4:$C$752,C753,$D$4:$D$752,D753,$E$4:$E$752,E753,$B$4:$B$752,"A REPROCESO")-SUMIFS($F$4:$F$752,$C$4:$C$752,C753,$D$4:$D$752,D753,$E$4:$E$752,E753,$B$4:$B$752,"MUESTRA")-SUMIFS($F$4:$F$752,$C$4:$C$752,C753,$D$4:$D$752,D753,$E$4:$E$752,E753,$B$4:$B$752,"AJUSTE-")),0)</f>
        <v>0</v>
      </c>
      <c r="L753" s="13">
        <f t="shared" si="13"/>
        <v>0</v>
      </c>
      <c r="M753" s="8"/>
      <c r="N753" s="14"/>
      <c r="O753" s="14"/>
      <c r="P753" s="14"/>
      <c r="Q753" s="15"/>
      <c r="R753" s="16" t="str">
        <f t="shared" si="14"/>
        <v/>
      </c>
    </row>
    <row r="754" ht="15.75" customHeight="1">
      <c r="A754" s="7"/>
      <c r="B754" s="8"/>
      <c r="C754" s="8"/>
      <c r="D754" s="8"/>
      <c r="E754" s="8"/>
      <c r="F754" s="9"/>
      <c r="G754" s="10">
        <f>IFERROR(F754*VLOOKUP(D754,TELAS!$A$4:$C$32,3,FALSE()),0)</f>
        <v>0</v>
      </c>
      <c r="H754" s="11" t="str">
        <f>IFERROR(VLOOKUP(E754,COLORES!$A$4:$B$102,2,FALSE()),"")</f>
        <v/>
      </c>
      <c r="I754" s="12">
        <f>IFERROR(IF(H754="OSCURO",VLOOKUP(D754,PRECIOS!$A$4:$F$32,2,FALSE()),IF(H754="CLARO",VLOOKUP(D754,PRECIOS!$A$4:$F$32,3,FALSE()),IF(H754="MELANGE",VLOOKUP(D754,PRECIOS!$A$4:$F$32,4,FALSE()),IF(H754="PPT",VLOOKUP(D754,PRECIOS!$A$4:$F$32,5,FALSE()),0)))),0)</f>
        <v>0</v>
      </c>
      <c r="J754" s="12">
        <f t="shared" si="12"/>
        <v>0</v>
      </c>
      <c r="K754" s="13">
        <f>IFERROR(IF(C754="",0,SUMIFS($F$4:$F$753,$C$4:$C$753,C754,$D$4:$D$753,D754,$E$4:$E$753,E754,$B$4:$B$753,"INGRESO")+SUMIFS($F$4:$F$753,$C$4:$C$753,C754,$D$4:$D$753,D754,$E$4:$E$753,E754,$B$4:$B$753,"DE REPROCESO")+SUMIFS($F$4:$F$753,$C$4:$C$753,C754,$D$4:$D$753,D754,$E$4:$E$753,E754,$B$4:$B$753,"AJUSTE+")-SUMIFS($F$4:$F$753,$C$4:$C$753,C754,$D$4:$D$753,D754,$E$4:$E$753,E754,$B$4:$B$753,"A CORTE")-SUMIFS($F$4:$F$753,$C$4:$C$753,C754,$D$4:$D$753,D754,$E$4:$E$753,E754,$B$4:$B$753,"A REPROCESO")-SUMIFS($F$4:$F$753,$C$4:$C$753,C754,$D$4:$D$753,D754,$E$4:$E$753,E754,$B$4:$B$753,"MUESTRA")-SUMIFS($F$4:$F$753,$C$4:$C$753,C754,$D$4:$D$753,D754,$E$4:$E$753,E754,$B$4:$B$753,"AJUSTE-")),0)</f>
        <v>0</v>
      </c>
      <c r="L754" s="13">
        <f t="shared" si="13"/>
        <v>0</v>
      </c>
      <c r="M754" s="8"/>
      <c r="N754" s="14"/>
      <c r="O754" s="14"/>
      <c r="P754" s="14"/>
      <c r="Q754" s="15"/>
      <c r="R754" s="16" t="str">
        <f t="shared" si="14"/>
        <v/>
      </c>
    </row>
    <row r="755" ht="15.75" customHeight="1">
      <c r="A755" s="7"/>
      <c r="B755" s="8"/>
      <c r="C755" s="8"/>
      <c r="D755" s="8"/>
      <c r="E755" s="8"/>
      <c r="F755" s="9"/>
      <c r="G755" s="10">
        <f>IFERROR(F755*VLOOKUP(D755,TELAS!$A$4:$C$32,3,FALSE()),0)</f>
        <v>0</v>
      </c>
      <c r="H755" s="11" t="str">
        <f>IFERROR(VLOOKUP(E755,COLORES!$A$4:$B$102,2,FALSE()),"")</f>
        <v/>
      </c>
      <c r="I755" s="12">
        <f>IFERROR(IF(H755="OSCURO",VLOOKUP(D755,PRECIOS!$A$4:$F$32,2,FALSE()),IF(H755="CLARO",VLOOKUP(D755,PRECIOS!$A$4:$F$32,3,FALSE()),IF(H755="MELANGE",VLOOKUP(D755,PRECIOS!$A$4:$F$32,4,FALSE()),IF(H755="PPT",VLOOKUP(D755,PRECIOS!$A$4:$F$32,5,FALSE()),0)))),0)</f>
        <v>0</v>
      </c>
      <c r="J755" s="12">
        <f t="shared" si="12"/>
        <v>0</v>
      </c>
      <c r="K755" s="13">
        <f>IFERROR(IF(C755="",0,SUMIFS($F$4:$F$754,$C$4:$C$754,C755,$D$4:$D$754,D755,$E$4:$E$754,E755,$B$4:$B$754,"INGRESO")+SUMIFS($F$4:$F$754,$C$4:$C$754,C755,$D$4:$D$754,D755,$E$4:$E$754,E755,$B$4:$B$754,"DE REPROCESO")+SUMIFS($F$4:$F$754,$C$4:$C$754,C755,$D$4:$D$754,D755,$E$4:$E$754,E755,$B$4:$B$754,"AJUSTE+")-SUMIFS($F$4:$F$754,$C$4:$C$754,C755,$D$4:$D$754,D755,$E$4:$E$754,E755,$B$4:$B$754,"A CORTE")-SUMIFS($F$4:$F$754,$C$4:$C$754,C755,$D$4:$D$754,D755,$E$4:$E$754,E755,$B$4:$B$754,"A REPROCESO")-SUMIFS($F$4:$F$754,$C$4:$C$754,C755,$D$4:$D$754,D755,$E$4:$E$754,E755,$B$4:$B$754,"MUESTRA")-SUMIFS($F$4:$F$754,$C$4:$C$754,C755,$D$4:$D$754,D755,$E$4:$E$754,E755,$B$4:$B$754,"AJUSTE-")),0)</f>
        <v>0</v>
      </c>
      <c r="L755" s="13">
        <f t="shared" si="13"/>
        <v>0</v>
      </c>
      <c r="M755" s="8"/>
      <c r="N755" s="14"/>
      <c r="O755" s="14"/>
      <c r="P755" s="14"/>
      <c r="Q755" s="15"/>
      <c r="R755" s="16" t="str">
        <f t="shared" si="14"/>
        <v/>
      </c>
    </row>
    <row r="756" ht="15.75" customHeight="1">
      <c r="A756" s="7"/>
      <c r="B756" s="8"/>
      <c r="C756" s="8"/>
      <c r="D756" s="8"/>
      <c r="E756" s="8"/>
      <c r="F756" s="9"/>
      <c r="G756" s="10">
        <f>IFERROR(F756*VLOOKUP(D756,TELAS!$A$4:$C$32,3,FALSE()),0)</f>
        <v>0</v>
      </c>
      <c r="H756" s="11" t="str">
        <f>IFERROR(VLOOKUP(E756,COLORES!$A$4:$B$102,2,FALSE()),"")</f>
        <v/>
      </c>
      <c r="I756" s="12">
        <f>IFERROR(IF(H756="OSCURO",VLOOKUP(D756,PRECIOS!$A$4:$F$32,2,FALSE()),IF(H756="CLARO",VLOOKUP(D756,PRECIOS!$A$4:$F$32,3,FALSE()),IF(H756="MELANGE",VLOOKUP(D756,PRECIOS!$A$4:$F$32,4,FALSE()),IF(H756="PPT",VLOOKUP(D756,PRECIOS!$A$4:$F$32,5,FALSE()),0)))),0)</f>
        <v>0</v>
      </c>
      <c r="J756" s="12">
        <f t="shared" si="12"/>
        <v>0</v>
      </c>
      <c r="K756" s="13">
        <f>IFERROR(IF(C756="",0,SUMIFS($F$4:$F$755,$C$4:$C$755,C756,$D$4:$D$755,D756,$E$4:$E$755,E756,$B$4:$B$755,"INGRESO")+SUMIFS($F$4:$F$755,$C$4:$C$755,C756,$D$4:$D$755,D756,$E$4:$E$755,E756,$B$4:$B$755,"DE REPROCESO")+SUMIFS($F$4:$F$755,$C$4:$C$755,C756,$D$4:$D$755,D756,$E$4:$E$755,E756,$B$4:$B$755,"AJUSTE+")-SUMIFS($F$4:$F$755,$C$4:$C$755,C756,$D$4:$D$755,D756,$E$4:$E$755,E756,$B$4:$B$755,"A CORTE")-SUMIFS($F$4:$F$755,$C$4:$C$755,C756,$D$4:$D$755,D756,$E$4:$E$755,E756,$B$4:$B$755,"A REPROCESO")-SUMIFS($F$4:$F$755,$C$4:$C$755,C756,$D$4:$D$755,D756,$E$4:$E$755,E756,$B$4:$B$755,"MUESTRA")-SUMIFS($F$4:$F$755,$C$4:$C$755,C756,$D$4:$D$755,D756,$E$4:$E$755,E756,$B$4:$B$755,"AJUSTE-")),0)</f>
        <v>0</v>
      </c>
      <c r="L756" s="13">
        <f t="shared" si="13"/>
        <v>0</v>
      </c>
      <c r="M756" s="8"/>
      <c r="N756" s="14"/>
      <c r="O756" s="14"/>
      <c r="P756" s="14"/>
      <c r="Q756" s="15"/>
      <c r="R756" s="16" t="str">
        <f t="shared" si="14"/>
        <v/>
      </c>
    </row>
    <row r="757" ht="15.75" customHeight="1">
      <c r="A757" s="7"/>
      <c r="B757" s="8"/>
      <c r="C757" s="8"/>
      <c r="D757" s="8"/>
      <c r="E757" s="8"/>
      <c r="F757" s="9"/>
      <c r="G757" s="10">
        <f>IFERROR(F757*VLOOKUP(D757,TELAS!$A$4:$C$32,3,FALSE()),0)</f>
        <v>0</v>
      </c>
      <c r="H757" s="11" t="str">
        <f>IFERROR(VLOOKUP(E757,COLORES!$A$4:$B$102,2,FALSE()),"")</f>
        <v/>
      </c>
      <c r="I757" s="12">
        <f>IFERROR(IF(H757="OSCURO",VLOOKUP(D757,PRECIOS!$A$4:$F$32,2,FALSE()),IF(H757="CLARO",VLOOKUP(D757,PRECIOS!$A$4:$F$32,3,FALSE()),IF(H757="MELANGE",VLOOKUP(D757,PRECIOS!$A$4:$F$32,4,FALSE()),IF(H757="PPT",VLOOKUP(D757,PRECIOS!$A$4:$F$32,5,FALSE()),0)))),0)</f>
        <v>0</v>
      </c>
      <c r="J757" s="12">
        <f t="shared" si="12"/>
        <v>0</v>
      </c>
      <c r="K757" s="13">
        <f>IFERROR(IF(C757="",0,SUMIFS($F$4:$F$756,$C$4:$C$756,C757,$D$4:$D$756,D757,$E$4:$E$756,E757,$B$4:$B$756,"INGRESO")+SUMIFS($F$4:$F$756,$C$4:$C$756,C757,$D$4:$D$756,D757,$E$4:$E$756,E757,$B$4:$B$756,"DE REPROCESO")+SUMIFS($F$4:$F$756,$C$4:$C$756,C757,$D$4:$D$756,D757,$E$4:$E$756,E757,$B$4:$B$756,"AJUSTE+")-SUMIFS($F$4:$F$756,$C$4:$C$756,C757,$D$4:$D$756,D757,$E$4:$E$756,E757,$B$4:$B$756,"A CORTE")-SUMIFS($F$4:$F$756,$C$4:$C$756,C757,$D$4:$D$756,D757,$E$4:$E$756,E757,$B$4:$B$756,"A REPROCESO")-SUMIFS($F$4:$F$756,$C$4:$C$756,C757,$D$4:$D$756,D757,$E$4:$E$756,E757,$B$4:$B$756,"MUESTRA")-SUMIFS($F$4:$F$756,$C$4:$C$756,C757,$D$4:$D$756,D757,$E$4:$E$756,E757,$B$4:$B$756,"AJUSTE-")),0)</f>
        <v>0</v>
      </c>
      <c r="L757" s="13">
        <f t="shared" si="13"/>
        <v>0</v>
      </c>
      <c r="M757" s="8"/>
      <c r="N757" s="14"/>
      <c r="O757" s="14"/>
      <c r="P757" s="14"/>
      <c r="Q757" s="15"/>
      <c r="R757" s="16" t="str">
        <f t="shared" si="14"/>
        <v/>
      </c>
    </row>
    <row r="758" ht="15.75" customHeight="1">
      <c r="A758" s="7"/>
      <c r="B758" s="8"/>
      <c r="C758" s="8"/>
      <c r="D758" s="8"/>
      <c r="E758" s="8"/>
      <c r="F758" s="9"/>
      <c r="G758" s="10">
        <f>IFERROR(F758*VLOOKUP(D758,TELAS!$A$4:$C$32,3,FALSE()),0)</f>
        <v>0</v>
      </c>
      <c r="H758" s="11" t="str">
        <f>IFERROR(VLOOKUP(E758,COLORES!$A$4:$B$102,2,FALSE()),"")</f>
        <v/>
      </c>
      <c r="I758" s="12">
        <f>IFERROR(IF(H758="OSCURO",VLOOKUP(D758,PRECIOS!$A$4:$F$32,2,FALSE()),IF(H758="CLARO",VLOOKUP(D758,PRECIOS!$A$4:$F$32,3,FALSE()),IF(H758="MELANGE",VLOOKUP(D758,PRECIOS!$A$4:$F$32,4,FALSE()),IF(H758="PPT",VLOOKUP(D758,PRECIOS!$A$4:$F$32,5,FALSE()),0)))),0)</f>
        <v>0</v>
      </c>
      <c r="J758" s="12">
        <f t="shared" si="12"/>
        <v>0</v>
      </c>
      <c r="K758" s="13">
        <f>IFERROR(IF(C758="",0,SUMIFS($F$4:$F$757,$C$4:$C$757,C758,$D$4:$D$757,D758,$E$4:$E$757,E758,$B$4:$B$757,"INGRESO")+SUMIFS($F$4:$F$757,$C$4:$C$757,C758,$D$4:$D$757,D758,$E$4:$E$757,E758,$B$4:$B$757,"DE REPROCESO")+SUMIFS($F$4:$F$757,$C$4:$C$757,C758,$D$4:$D$757,D758,$E$4:$E$757,E758,$B$4:$B$757,"AJUSTE+")-SUMIFS($F$4:$F$757,$C$4:$C$757,C758,$D$4:$D$757,D758,$E$4:$E$757,E758,$B$4:$B$757,"A CORTE")-SUMIFS($F$4:$F$757,$C$4:$C$757,C758,$D$4:$D$757,D758,$E$4:$E$757,E758,$B$4:$B$757,"A REPROCESO")-SUMIFS($F$4:$F$757,$C$4:$C$757,C758,$D$4:$D$757,D758,$E$4:$E$757,E758,$B$4:$B$757,"MUESTRA")-SUMIFS($F$4:$F$757,$C$4:$C$757,C758,$D$4:$D$757,D758,$E$4:$E$757,E758,$B$4:$B$757,"AJUSTE-")),0)</f>
        <v>0</v>
      </c>
      <c r="L758" s="13">
        <f t="shared" si="13"/>
        <v>0</v>
      </c>
      <c r="M758" s="8"/>
      <c r="N758" s="14"/>
      <c r="O758" s="14"/>
      <c r="P758" s="14"/>
      <c r="Q758" s="15"/>
      <c r="R758" s="16" t="str">
        <f t="shared" si="14"/>
        <v/>
      </c>
    </row>
    <row r="759" ht="15.75" customHeight="1">
      <c r="A759" s="7"/>
      <c r="B759" s="8"/>
      <c r="C759" s="8"/>
      <c r="D759" s="8"/>
      <c r="E759" s="8"/>
      <c r="F759" s="9"/>
      <c r="G759" s="10">
        <f>IFERROR(F759*VLOOKUP(D759,TELAS!$A$4:$C$32,3,FALSE()),0)</f>
        <v>0</v>
      </c>
      <c r="H759" s="11" t="str">
        <f>IFERROR(VLOOKUP(E759,COLORES!$A$4:$B$102,2,FALSE()),"")</f>
        <v/>
      </c>
      <c r="I759" s="12">
        <f>IFERROR(IF(H759="OSCURO",VLOOKUP(D759,PRECIOS!$A$4:$F$32,2,FALSE()),IF(H759="CLARO",VLOOKUP(D759,PRECIOS!$A$4:$F$32,3,FALSE()),IF(H759="MELANGE",VLOOKUP(D759,PRECIOS!$A$4:$F$32,4,FALSE()),IF(H759="PPT",VLOOKUP(D759,PRECIOS!$A$4:$F$32,5,FALSE()),0)))),0)</f>
        <v>0</v>
      </c>
      <c r="J759" s="12">
        <f t="shared" si="12"/>
        <v>0</v>
      </c>
      <c r="K759" s="13">
        <f>IFERROR(IF(C759="",0,SUMIFS($F$4:$F$758,$C$4:$C$758,C759,$D$4:$D$758,D759,$E$4:$E$758,E759,$B$4:$B$758,"INGRESO")+SUMIFS($F$4:$F$758,$C$4:$C$758,C759,$D$4:$D$758,D759,$E$4:$E$758,E759,$B$4:$B$758,"DE REPROCESO")+SUMIFS($F$4:$F$758,$C$4:$C$758,C759,$D$4:$D$758,D759,$E$4:$E$758,E759,$B$4:$B$758,"AJUSTE+")-SUMIFS($F$4:$F$758,$C$4:$C$758,C759,$D$4:$D$758,D759,$E$4:$E$758,E759,$B$4:$B$758,"A CORTE")-SUMIFS($F$4:$F$758,$C$4:$C$758,C759,$D$4:$D$758,D759,$E$4:$E$758,E759,$B$4:$B$758,"A REPROCESO")-SUMIFS($F$4:$F$758,$C$4:$C$758,C759,$D$4:$D$758,D759,$E$4:$E$758,E759,$B$4:$B$758,"MUESTRA")-SUMIFS($F$4:$F$758,$C$4:$C$758,C759,$D$4:$D$758,D759,$E$4:$E$758,E759,$B$4:$B$758,"AJUSTE-")),0)</f>
        <v>0</v>
      </c>
      <c r="L759" s="13">
        <f t="shared" si="13"/>
        <v>0</v>
      </c>
      <c r="M759" s="8"/>
      <c r="N759" s="14"/>
      <c r="O759" s="14"/>
      <c r="P759" s="14"/>
      <c r="Q759" s="15"/>
      <c r="R759" s="16" t="str">
        <f t="shared" si="14"/>
        <v/>
      </c>
    </row>
    <row r="760" ht="15.75" customHeight="1">
      <c r="A760" s="7"/>
      <c r="B760" s="8"/>
      <c r="C760" s="8"/>
      <c r="D760" s="8"/>
      <c r="E760" s="8"/>
      <c r="F760" s="9"/>
      <c r="G760" s="10">
        <f>IFERROR(F760*VLOOKUP(D760,TELAS!$A$4:$C$32,3,FALSE()),0)</f>
        <v>0</v>
      </c>
      <c r="H760" s="11" t="str">
        <f>IFERROR(VLOOKUP(E760,COLORES!$A$4:$B$102,2,FALSE()),"")</f>
        <v/>
      </c>
      <c r="I760" s="12">
        <f>IFERROR(IF(H760="OSCURO",VLOOKUP(D760,PRECIOS!$A$4:$F$32,2,FALSE()),IF(H760="CLARO",VLOOKUP(D760,PRECIOS!$A$4:$F$32,3,FALSE()),IF(H760="MELANGE",VLOOKUP(D760,PRECIOS!$A$4:$F$32,4,FALSE()),IF(H760="PPT",VLOOKUP(D760,PRECIOS!$A$4:$F$32,5,FALSE()),0)))),0)</f>
        <v>0</v>
      </c>
      <c r="J760" s="12">
        <f t="shared" si="12"/>
        <v>0</v>
      </c>
      <c r="K760" s="13">
        <f>IFERROR(IF(C760="",0,SUMIFS($F$4:$F$759,$C$4:$C$759,C760,$D$4:$D$759,D760,$E$4:$E$759,E760,$B$4:$B$759,"INGRESO")+SUMIFS($F$4:$F$759,$C$4:$C$759,C760,$D$4:$D$759,D760,$E$4:$E$759,E760,$B$4:$B$759,"DE REPROCESO")+SUMIFS($F$4:$F$759,$C$4:$C$759,C760,$D$4:$D$759,D760,$E$4:$E$759,E760,$B$4:$B$759,"AJUSTE+")-SUMIFS($F$4:$F$759,$C$4:$C$759,C760,$D$4:$D$759,D760,$E$4:$E$759,E760,$B$4:$B$759,"A CORTE")-SUMIFS($F$4:$F$759,$C$4:$C$759,C760,$D$4:$D$759,D760,$E$4:$E$759,E760,$B$4:$B$759,"A REPROCESO")-SUMIFS($F$4:$F$759,$C$4:$C$759,C760,$D$4:$D$759,D760,$E$4:$E$759,E760,$B$4:$B$759,"MUESTRA")-SUMIFS($F$4:$F$759,$C$4:$C$759,C760,$D$4:$D$759,D760,$E$4:$E$759,E760,$B$4:$B$759,"AJUSTE-")),0)</f>
        <v>0</v>
      </c>
      <c r="L760" s="13">
        <f t="shared" si="13"/>
        <v>0</v>
      </c>
      <c r="M760" s="8"/>
      <c r="N760" s="14"/>
      <c r="O760" s="14"/>
      <c r="P760" s="14"/>
      <c r="Q760" s="15"/>
      <c r="R760" s="16" t="str">
        <f t="shared" si="14"/>
        <v/>
      </c>
    </row>
    <row r="761" ht="15.75" customHeight="1">
      <c r="A761" s="7"/>
      <c r="B761" s="8"/>
      <c r="C761" s="8"/>
      <c r="D761" s="8"/>
      <c r="E761" s="8"/>
      <c r="F761" s="9"/>
      <c r="G761" s="10">
        <f>IFERROR(F761*VLOOKUP(D761,TELAS!$A$4:$C$32,3,FALSE()),0)</f>
        <v>0</v>
      </c>
      <c r="H761" s="11" t="str">
        <f>IFERROR(VLOOKUP(E761,COLORES!$A$4:$B$102,2,FALSE()),"")</f>
        <v/>
      </c>
      <c r="I761" s="12">
        <f>IFERROR(IF(H761="OSCURO",VLOOKUP(D761,PRECIOS!$A$4:$F$32,2,FALSE()),IF(H761="CLARO",VLOOKUP(D761,PRECIOS!$A$4:$F$32,3,FALSE()),IF(H761="MELANGE",VLOOKUP(D761,PRECIOS!$A$4:$F$32,4,FALSE()),IF(H761="PPT",VLOOKUP(D761,PRECIOS!$A$4:$F$32,5,FALSE()),0)))),0)</f>
        <v>0</v>
      </c>
      <c r="J761" s="12">
        <f t="shared" si="12"/>
        <v>0</v>
      </c>
      <c r="K761" s="13">
        <f>IFERROR(IF(C761="",0,SUMIFS($F$4:$F$760,$C$4:$C$760,C761,$D$4:$D$760,D761,$E$4:$E$760,E761,$B$4:$B$760,"INGRESO")+SUMIFS($F$4:$F$760,$C$4:$C$760,C761,$D$4:$D$760,D761,$E$4:$E$760,E761,$B$4:$B$760,"DE REPROCESO")+SUMIFS($F$4:$F$760,$C$4:$C$760,C761,$D$4:$D$760,D761,$E$4:$E$760,E761,$B$4:$B$760,"AJUSTE+")-SUMIFS($F$4:$F$760,$C$4:$C$760,C761,$D$4:$D$760,D761,$E$4:$E$760,E761,$B$4:$B$760,"A CORTE")-SUMIFS($F$4:$F$760,$C$4:$C$760,C761,$D$4:$D$760,D761,$E$4:$E$760,E761,$B$4:$B$760,"A REPROCESO")-SUMIFS($F$4:$F$760,$C$4:$C$760,C761,$D$4:$D$760,D761,$E$4:$E$760,E761,$B$4:$B$760,"MUESTRA")-SUMIFS($F$4:$F$760,$C$4:$C$760,C761,$D$4:$D$760,D761,$E$4:$E$760,E761,$B$4:$B$760,"AJUSTE-")),0)</f>
        <v>0</v>
      </c>
      <c r="L761" s="13">
        <f t="shared" si="13"/>
        <v>0</v>
      </c>
      <c r="M761" s="8"/>
      <c r="N761" s="14"/>
      <c r="O761" s="14"/>
      <c r="P761" s="14"/>
      <c r="Q761" s="15"/>
      <c r="R761" s="16" t="str">
        <f t="shared" si="14"/>
        <v/>
      </c>
    </row>
    <row r="762" ht="15.75" customHeight="1">
      <c r="A762" s="7"/>
      <c r="B762" s="8"/>
      <c r="C762" s="8"/>
      <c r="D762" s="8"/>
      <c r="E762" s="8"/>
      <c r="F762" s="9"/>
      <c r="G762" s="10">
        <f>IFERROR(F762*VLOOKUP(D762,TELAS!$A$4:$C$32,3,FALSE()),0)</f>
        <v>0</v>
      </c>
      <c r="H762" s="11" t="str">
        <f>IFERROR(VLOOKUP(E762,COLORES!$A$4:$B$102,2,FALSE()),"")</f>
        <v/>
      </c>
      <c r="I762" s="12">
        <f>IFERROR(IF(H762="OSCURO",VLOOKUP(D762,PRECIOS!$A$4:$F$32,2,FALSE()),IF(H762="CLARO",VLOOKUP(D762,PRECIOS!$A$4:$F$32,3,FALSE()),IF(H762="MELANGE",VLOOKUP(D762,PRECIOS!$A$4:$F$32,4,FALSE()),IF(H762="PPT",VLOOKUP(D762,PRECIOS!$A$4:$F$32,5,FALSE()),0)))),0)</f>
        <v>0</v>
      </c>
      <c r="J762" s="12">
        <f t="shared" si="12"/>
        <v>0</v>
      </c>
      <c r="K762" s="13">
        <f>IFERROR(IF(C762="",0,SUMIFS($F$4:$F$761,$C$4:$C$761,C762,$D$4:$D$761,D762,$E$4:$E$761,E762,$B$4:$B$761,"INGRESO")+SUMIFS($F$4:$F$761,$C$4:$C$761,C762,$D$4:$D$761,D762,$E$4:$E$761,E762,$B$4:$B$761,"DE REPROCESO")+SUMIFS($F$4:$F$761,$C$4:$C$761,C762,$D$4:$D$761,D762,$E$4:$E$761,E762,$B$4:$B$761,"AJUSTE+")-SUMIFS($F$4:$F$761,$C$4:$C$761,C762,$D$4:$D$761,D762,$E$4:$E$761,E762,$B$4:$B$761,"A CORTE")-SUMIFS($F$4:$F$761,$C$4:$C$761,C762,$D$4:$D$761,D762,$E$4:$E$761,E762,$B$4:$B$761,"A REPROCESO")-SUMIFS($F$4:$F$761,$C$4:$C$761,C762,$D$4:$D$761,D762,$E$4:$E$761,E762,$B$4:$B$761,"MUESTRA")-SUMIFS($F$4:$F$761,$C$4:$C$761,C762,$D$4:$D$761,D762,$E$4:$E$761,E762,$B$4:$B$761,"AJUSTE-")),0)</f>
        <v>0</v>
      </c>
      <c r="L762" s="13">
        <f t="shared" si="13"/>
        <v>0</v>
      </c>
      <c r="M762" s="8"/>
      <c r="N762" s="14"/>
      <c r="O762" s="14"/>
      <c r="P762" s="14"/>
      <c r="Q762" s="15"/>
      <c r="R762" s="16" t="str">
        <f t="shared" si="14"/>
        <v/>
      </c>
    </row>
    <row r="763" ht="15.75" customHeight="1">
      <c r="A763" s="7"/>
      <c r="B763" s="8"/>
      <c r="C763" s="8"/>
      <c r="D763" s="8"/>
      <c r="E763" s="8"/>
      <c r="F763" s="9"/>
      <c r="G763" s="10">
        <f>IFERROR(F763*VLOOKUP(D763,TELAS!$A$4:$C$32,3,FALSE()),0)</f>
        <v>0</v>
      </c>
      <c r="H763" s="11" t="str">
        <f>IFERROR(VLOOKUP(E763,COLORES!$A$4:$B$102,2,FALSE()),"")</f>
        <v/>
      </c>
      <c r="I763" s="12">
        <f>IFERROR(IF(H763="OSCURO",VLOOKUP(D763,PRECIOS!$A$4:$F$32,2,FALSE()),IF(H763="CLARO",VLOOKUP(D763,PRECIOS!$A$4:$F$32,3,FALSE()),IF(H763="MELANGE",VLOOKUP(D763,PRECIOS!$A$4:$F$32,4,FALSE()),IF(H763="PPT",VLOOKUP(D763,PRECIOS!$A$4:$F$32,5,FALSE()),0)))),0)</f>
        <v>0</v>
      </c>
      <c r="J763" s="12">
        <f t="shared" si="12"/>
        <v>0</v>
      </c>
      <c r="K763" s="13">
        <f>IFERROR(IF(C763="",0,SUMIFS($F$4:$F$762,$C$4:$C$762,C763,$D$4:$D$762,D763,$E$4:$E$762,E763,$B$4:$B$762,"INGRESO")+SUMIFS($F$4:$F$762,$C$4:$C$762,C763,$D$4:$D$762,D763,$E$4:$E$762,E763,$B$4:$B$762,"DE REPROCESO")+SUMIFS($F$4:$F$762,$C$4:$C$762,C763,$D$4:$D$762,D763,$E$4:$E$762,E763,$B$4:$B$762,"AJUSTE+")-SUMIFS($F$4:$F$762,$C$4:$C$762,C763,$D$4:$D$762,D763,$E$4:$E$762,E763,$B$4:$B$762,"A CORTE")-SUMIFS($F$4:$F$762,$C$4:$C$762,C763,$D$4:$D$762,D763,$E$4:$E$762,E763,$B$4:$B$762,"A REPROCESO")-SUMIFS($F$4:$F$762,$C$4:$C$762,C763,$D$4:$D$762,D763,$E$4:$E$762,E763,$B$4:$B$762,"MUESTRA")-SUMIFS($F$4:$F$762,$C$4:$C$762,C763,$D$4:$D$762,D763,$E$4:$E$762,E763,$B$4:$B$762,"AJUSTE-")),0)</f>
        <v>0</v>
      </c>
      <c r="L763" s="13">
        <f t="shared" si="13"/>
        <v>0</v>
      </c>
      <c r="M763" s="8"/>
      <c r="N763" s="14"/>
      <c r="O763" s="14"/>
      <c r="P763" s="14"/>
      <c r="Q763" s="15"/>
      <c r="R763" s="16" t="str">
        <f t="shared" si="14"/>
        <v/>
      </c>
    </row>
    <row r="764" ht="15.75" customHeight="1">
      <c r="A764" s="7"/>
      <c r="B764" s="8"/>
      <c r="C764" s="8"/>
      <c r="D764" s="8"/>
      <c r="E764" s="8"/>
      <c r="F764" s="9"/>
      <c r="G764" s="10">
        <f>IFERROR(F764*VLOOKUP(D764,TELAS!$A$4:$C$32,3,FALSE()),0)</f>
        <v>0</v>
      </c>
      <c r="H764" s="11" t="str">
        <f>IFERROR(VLOOKUP(E764,COLORES!$A$4:$B$102,2,FALSE()),"")</f>
        <v/>
      </c>
      <c r="I764" s="12">
        <f>IFERROR(IF(H764="OSCURO",VLOOKUP(D764,PRECIOS!$A$4:$F$32,2,FALSE()),IF(H764="CLARO",VLOOKUP(D764,PRECIOS!$A$4:$F$32,3,FALSE()),IF(H764="MELANGE",VLOOKUP(D764,PRECIOS!$A$4:$F$32,4,FALSE()),IF(H764="PPT",VLOOKUP(D764,PRECIOS!$A$4:$F$32,5,FALSE()),0)))),0)</f>
        <v>0</v>
      </c>
      <c r="J764" s="12">
        <f t="shared" si="12"/>
        <v>0</v>
      </c>
      <c r="K764" s="13">
        <f>IFERROR(IF(C764="",0,SUMIFS($F$4:$F$763,$C$4:$C$763,C764,$D$4:$D$763,D764,$E$4:$E$763,E764,$B$4:$B$763,"INGRESO")+SUMIFS($F$4:$F$763,$C$4:$C$763,C764,$D$4:$D$763,D764,$E$4:$E$763,E764,$B$4:$B$763,"DE REPROCESO")+SUMIFS($F$4:$F$763,$C$4:$C$763,C764,$D$4:$D$763,D764,$E$4:$E$763,E764,$B$4:$B$763,"AJUSTE+")-SUMIFS($F$4:$F$763,$C$4:$C$763,C764,$D$4:$D$763,D764,$E$4:$E$763,E764,$B$4:$B$763,"A CORTE")-SUMIFS($F$4:$F$763,$C$4:$C$763,C764,$D$4:$D$763,D764,$E$4:$E$763,E764,$B$4:$B$763,"A REPROCESO")-SUMIFS($F$4:$F$763,$C$4:$C$763,C764,$D$4:$D$763,D764,$E$4:$E$763,E764,$B$4:$B$763,"MUESTRA")-SUMIFS($F$4:$F$763,$C$4:$C$763,C764,$D$4:$D$763,D764,$E$4:$E$763,E764,$B$4:$B$763,"AJUSTE-")),0)</f>
        <v>0</v>
      </c>
      <c r="L764" s="13">
        <f t="shared" si="13"/>
        <v>0</v>
      </c>
      <c r="M764" s="8"/>
      <c r="N764" s="14"/>
      <c r="O764" s="14"/>
      <c r="P764" s="14"/>
      <c r="Q764" s="15"/>
      <c r="R764" s="16" t="str">
        <f t="shared" si="14"/>
        <v/>
      </c>
    </row>
    <row r="765" ht="15.75" customHeight="1">
      <c r="A765" s="7"/>
      <c r="B765" s="8"/>
      <c r="C765" s="8"/>
      <c r="D765" s="8"/>
      <c r="E765" s="8"/>
      <c r="F765" s="9"/>
      <c r="G765" s="10">
        <f>IFERROR(F765*VLOOKUP(D765,TELAS!$A$4:$C$32,3,FALSE()),0)</f>
        <v>0</v>
      </c>
      <c r="H765" s="11" t="str">
        <f>IFERROR(VLOOKUP(E765,COLORES!$A$4:$B$102,2,FALSE()),"")</f>
        <v/>
      </c>
      <c r="I765" s="12">
        <f>IFERROR(IF(H765="OSCURO",VLOOKUP(D765,PRECIOS!$A$4:$F$32,2,FALSE()),IF(H765="CLARO",VLOOKUP(D765,PRECIOS!$A$4:$F$32,3,FALSE()),IF(H765="MELANGE",VLOOKUP(D765,PRECIOS!$A$4:$F$32,4,FALSE()),IF(H765="PPT",VLOOKUP(D765,PRECIOS!$A$4:$F$32,5,FALSE()),0)))),0)</f>
        <v>0</v>
      </c>
      <c r="J765" s="12">
        <f t="shared" si="12"/>
        <v>0</v>
      </c>
      <c r="K765" s="13">
        <f>IFERROR(IF(C765="",0,SUMIFS($F$4:$F$764,$C$4:$C$764,C765,$D$4:$D$764,D765,$E$4:$E$764,E765,$B$4:$B$764,"INGRESO")+SUMIFS($F$4:$F$764,$C$4:$C$764,C765,$D$4:$D$764,D765,$E$4:$E$764,E765,$B$4:$B$764,"DE REPROCESO")+SUMIFS($F$4:$F$764,$C$4:$C$764,C765,$D$4:$D$764,D765,$E$4:$E$764,E765,$B$4:$B$764,"AJUSTE+")-SUMIFS($F$4:$F$764,$C$4:$C$764,C765,$D$4:$D$764,D765,$E$4:$E$764,E765,$B$4:$B$764,"A CORTE")-SUMIFS($F$4:$F$764,$C$4:$C$764,C765,$D$4:$D$764,D765,$E$4:$E$764,E765,$B$4:$B$764,"A REPROCESO")-SUMIFS($F$4:$F$764,$C$4:$C$764,C765,$D$4:$D$764,D765,$E$4:$E$764,E765,$B$4:$B$764,"MUESTRA")-SUMIFS($F$4:$F$764,$C$4:$C$764,C765,$D$4:$D$764,D765,$E$4:$E$764,E765,$B$4:$B$764,"AJUSTE-")),0)</f>
        <v>0</v>
      </c>
      <c r="L765" s="13">
        <f t="shared" si="13"/>
        <v>0</v>
      </c>
      <c r="M765" s="8"/>
      <c r="N765" s="14"/>
      <c r="O765" s="14"/>
      <c r="P765" s="14"/>
      <c r="Q765" s="15"/>
      <c r="R765" s="16" t="str">
        <f t="shared" si="14"/>
        <v/>
      </c>
    </row>
    <row r="766" ht="15.75" customHeight="1">
      <c r="A766" s="7"/>
      <c r="B766" s="8"/>
      <c r="C766" s="8"/>
      <c r="D766" s="8"/>
      <c r="E766" s="8"/>
      <c r="F766" s="9"/>
      <c r="G766" s="10">
        <f>IFERROR(F766*VLOOKUP(D766,TELAS!$A$4:$C$32,3,FALSE()),0)</f>
        <v>0</v>
      </c>
      <c r="H766" s="11" t="str">
        <f>IFERROR(VLOOKUP(E766,COLORES!$A$4:$B$102,2,FALSE()),"")</f>
        <v/>
      </c>
      <c r="I766" s="12">
        <f>IFERROR(IF(H766="OSCURO",VLOOKUP(D766,PRECIOS!$A$4:$F$32,2,FALSE()),IF(H766="CLARO",VLOOKUP(D766,PRECIOS!$A$4:$F$32,3,FALSE()),IF(H766="MELANGE",VLOOKUP(D766,PRECIOS!$A$4:$F$32,4,FALSE()),IF(H766="PPT",VLOOKUP(D766,PRECIOS!$A$4:$F$32,5,FALSE()),0)))),0)</f>
        <v>0</v>
      </c>
      <c r="J766" s="12">
        <f t="shared" si="12"/>
        <v>0</v>
      </c>
      <c r="K766" s="13">
        <f>IFERROR(IF(C766="",0,SUMIFS($F$4:$F$765,$C$4:$C$765,C766,$D$4:$D$765,D766,$E$4:$E$765,E766,$B$4:$B$765,"INGRESO")+SUMIFS($F$4:$F$765,$C$4:$C$765,C766,$D$4:$D$765,D766,$E$4:$E$765,E766,$B$4:$B$765,"DE REPROCESO")+SUMIFS($F$4:$F$765,$C$4:$C$765,C766,$D$4:$D$765,D766,$E$4:$E$765,E766,$B$4:$B$765,"AJUSTE+")-SUMIFS($F$4:$F$765,$C$4:$C$765,C766,$D$4:$D$765,D766,$E$4:$E$765,E766,$B$4:$B$765,"A CORTE")-SUMIFS($F$4:$F$765,$C$4:$C$765,C766,$D$4:$D$765,D766,$E$4:$E$765,E766,$B$4:$B$765,"A REPROCESO")-SUMIFS($F$4:$F$765,$C$4:$C$765,C766,$D$4:$D$765,D766,$E$4:$E$765,E766,$B$4:$B$765,"MUESTRA")-SUMIFS($F$4:$F$765,$C$4:$C$765,C766,$D$4:$D$765,D766,$E$4:$E$765,E766,$B$4:$B$765,"AJUSTE-")),0)</f>
        <v>0</v>
      </c>
      <c r="L766" s="13">
        <f t="shared" si="13"/>
        <v>0</v>
      </c>
      <c r="M766" s="8"/>
      <c r="N766" s="14"/>
      <c r="O766" s="14"/>
      <c r="P766" s="14"/>
      <c r="Q766" s="15"/>
      <c r="R766" s="16" t="str">
        <f t="shared" si="14"/>
        <v/>
      </c>
    </row>
    <row r="767" ht="15.75" customHeight="1">
      <c r="A767" s="7"/>
      <c r="B767" s="8"/>
      <c r="C767" s="8"/>
      <c r="D767" s="8"/>
      <c r="E767" s="8"/>
      <c r="F767" s="9"/>
      <c r="G767" s="10">
        <f>IFERROR(F767*VLOOKUP(D767,TELAS!$A$4:$C$32,3,FALSE()),0)</f>
        <v>0</v>
      </c>
      <c r="H767" s="11" t="str">
        <f>IFERROR(VLOOKUP(E767,COLORES!$A$4:$B$102,2,FALSE()),"")</f>
        <v/>
      </c>
      <c r="I767" s="12">
        <f>IFERROR(IF(H767="OSCURO",VLOOKUP(D767,PRECIOS!$A$4:$F$32,2,FALSE()),IF(H767="CLARO",VLOOKUP(D767,PRECIOS!$A$4:$F$32,3,FALSE()),IF(H767="MELANGE",VLOOKUP(D767,PRECIOS!$A$4:$F$32,4,FALSE()),IF(H767="PPT",VLOOKUP(D767,PRECIOS!$A$4:$F$32,5,FALSE()),0)))),0)</f>
        <v>0</v>
      </c>
      <c r="J767" s="12">
        <f t="shared" si="12"/>
        <v>0</v>
      </c>
      <c r="K767" s="13">
        <f>IFERROR(IF(C767="",0,SUMIFS($F$4:$F$766,$C$4:$C$766,C767,$D$4:$D$766,D767,$E$4:$E$766,E767,$B$4:$B$766,"INGRESO")+SUMIFS($F$4:$F$766,$C$4:$C$766,C767,$D$4:$D$766,D767,$E$4:$E$766,E767,$B$4:$B$766,"DE REPROCESO")+SUMIFS($F$4:$F$766,$C$4:$C$766,C767,$D$4:$D$766,D767,$E$4:$E$766,E767,$B$4:$B$766,"AJUSTE+")-SUMIFS($F$4:$F$766,$C$4:$C$766,C767,$D$4:$D$766,D767,$E$4:$E$766,E767,$B$4:$B$766,"A CORTE")-SUMIFS($F$4:$F$766,$C$4:$C$766,C767,$D$4:$D$766,D767,$E$4:$E$766,E767,$B$4:$B$766,"A REPROCESO")-SUMIFS($F$4:$F$766,$C$4:$C$766,C767,$D$4:$D$766,D767,$E$4:$E$766,E767,$B$4:$B$766,"MUESTRA")-SUMIFS($F$4:$F$766,$C$4:$C$766,C767,$D$4:$D$766,D767,$E$4:$E$766,E767,$B$4:$B$766,"AJUSTE-")),0)</f>
        <v>0</v>
      </c>
      <c r="L767" s="13">
        <f t="shared" si="13"/>
        <v>0</v>
      </c>
      <c r="M767" s="8"/>
      <c r="N767" s="14"/>
      <c r="O767" s="14"/>
      <c r="P767" s="14"/>
      <c r="Q767" s="15"/>
      <c r="R767" s="16" t="str">
        <f t="shared" si="14"/>
        <v/>
      </c>
    </row>
    <row r="768" ht="15.75" customHeight="1">
      <c r="A768" s="7"/>
      <c r="B768" s="8"/>
      <c r="C768" s="8"/>
      <c r="D768" s="8"/>
      <c r="E768" s="8"/>
      <c r="F768" s="9"/>
      <c r="G768" s="10">
        <f>IFERROR(F768*VLOOKUP(D768,TELAS!$A$4:$C$32,3,FALSE()),0)</f>
        <v>0</v>
      </c>
      <c r="H768" s="11" t="str">
        <f>IFERROR(VLOOKUP(E768,COLORES!$A$4:$B$102,2,FALSE()),"")</f>
        <v/>
      </c>
      <c r="I768" s="12">
        <f>IFERROR(IF(H768="OSCURO",VLOOKUP(D768,PRECIOS!$A$4:$F$32,2,FALSE()),IF(H768="CLARO",VLOOKUP(D768,PRECIOS!$A$4:$F$32,3,FALSE()),IF(H768="MELANGE",VLOOKUP(D768,PRECIOS!$A$4:$F$32,4,FALSE()),IF(H768="PPT",VLOOKUP(D768,PRECIOS!$A$4:$F$32,5,FALSE()),0)))),0)</f>
        <v>0</v>
      </c>
      <c r="J768" s="12">
        <f t="shared" si="12"/>
        <v>0</v>
      </c>
      <c r="K768" s="13">
        <f>IFERROR(IF(C768="",0,SUMIFS($F$4:$F$767,$C$4:$C$767,C768,$D$4:$D$767,D768,$E$4:$E$767,E768,$B$4:$B$767,"INGRESO")+SUMIFS($F$4:$F$767,$C$4:$C$767,C768,$D$4:$D$767,D768,$E$4:$E$767,E768,$B$4:$B$767,"DE REPROCESO")+SUMIFS($F$4:$F$767,$C$4:$C$767,C768,$D$4:$D$767,D768,$E$4:$E$767,E768,$B$4:$B$767,"AJUSTE+")-SUMIFS($F$4:$F$767,$C$4:$C$767,C768,$D$4:$D$767,D768,$E$4:$E$767,E768,$B$4:$B$767,"A CORTE")-SUMIFS($F$4:$F$767,$C$4:$C$767,C768,$D$4:$D$767,D768,$E$4:$E$767,E768,$B$4:$B$767,"A REPROCESO")-SUMIFS($F$4:$F$767,$C$4:$C$767,C768,$D$4:$D$767,D768,$E$4:$E$767,E768,$B$4:$B$767,"MUESTRA")-SUMIFS($F$4:$F$767,$C$4:$C$767,C768,$D$4:$D$767,D768,$E$4:$E$767,E768,$B$4:$B$767,"AJUSTE-")),0)</f>
        <v>0</v>
      </c>
      <c r="L768" s="13">
        <f t="shared" si="13"/>
        <v>0</v>
      </c>
      <c r="M768" s="8"/>
      <c r="N768" s="14"/>
      <c r="O768" s="14"/>
      <c r="P768" s="14"/>
      <c r="Q768" s="15"/>
      <c r="R768" s="16" t="str">
        <f t="shared" si="14"/>
        <v/>
      </c>
    </row>
    <row r="769" ht="15.75" customHeight="1">
      <c r="A769" s="7"/>
      <c r="B769" s="8"/>
      <c r="C769" s="8"/>
      <c r="D769" s="8"/>
      <c r="E769" s="8"/>
      <c r="F769" s="9"/>
      <c r="G769" s="10">
        <f>IFERROR(F769*VLOOKUP(D769,TELAS!$A$4:$C$32,3,FALSE()),0)</f>
        <v>0</v>
      </c>
      <c r="H769" s="11" t="str">
        <f>IFERROR(VLOOKUP(E769,COLORES!$A$4:$B$102,2,FALSE()),"")</f>
        <v/>
      </c>
      <c r="I769" s="12">
        <f>IFERROR(IF(H769="OSCURO",VLOOKUP(D769,PRECIOS!$A$4:$F$32,2,FALSE()),IF(H769="CLARO",VLOOKUP(D769,PRECIOS!$A$4:$F$32,3,FALSE()),IF(H769="MELANGE",VLOOKUP(D769,PRECIOS!$A$4:$F$32,4,FALSE()),IF(H769="PPT",VLOOKUP(D769,PRECIOS!$A$4:$F$32,5,FALSE()),0)))),0)</f>
        <v>0</v>
      </c>
      <c r="J769" s="12">
        <f t="shared" si="12"/>
        <v>0</v>
      </c>
      <c r="K769" s="13">
        <f>IFERROR(IF(C769="",0,SUMIFS($F$4:$F$768,$C$4:$C$768,C769,$D$4:$D$768,D769,$E$4:$E$768,E769,$B$4:$B$768,"INGRESO")+SUMIFS($F$4:$F$768,$C$4:$C$768,C769,$D$4:$D$768,D769,$E$4:$E$768,E769,$B$4:$B$768,"DE REPROCESO")+SUMIFS($F$4:$F$768,$C$4:$C$768,C769,$D$4:$D$768,D769,$E$4:$E$768,E769,$B$4:$B$768,"AJUSTE+")-SUMIFS($F$4:$F$768,$C$4:$C$768,C769,$D$4:$D$768,D769,$E$4:$E$768,E769,$B$4:$B$768,"A CORTE")-SUMIFS($F$4:$F$768,$C$4:$C$768,C769,$D$4:$D$768,D769,$E$4:$E$768,E769,$B$4:$B$768,"A REPROCESO")-SUMIFS($F$4:$F$768,$C$4:$C$768,C769,$D$4:$D$768,D769,$E$4:$E$768,E769,$B$4:$B$768,"MUESTRA")-SUMIFS($F$4:$F$768,$C$4:$C$768,C769,$D$4:$D$768,D769,$E$4:$E$768,E769,$B$4:$B$768,"AJUSTE-")),0)</f>
        <v>0</v>
      </c>
      <c r="L769" s="13">
        <f t="shared" si="13"/>
        <v>0</v>
      </c>
      <c r="M769" s="8"/>
      <c r="N769" s="14"/>
      <c r="O769" s="14"/>
      <c r="P769" s="14"/>
      <c r="Q769" s="15"/>
      <c r="R769" s="16" t="str">
        <f t="shared" si="14"/>
        <v/>
      </c>
    </row>
    <row r="770" ht="15.75" customHeight="1">
      <c r="A770" s="7"/>
      <c r="B770" s="8"/>
      <c r="C770" s="8"/>
      <c r="D770" s="8"/>
      <c r="E770" s="8"/>
      <c r="F770" s="9"/>
      <c r="G770" s="10">
        <f>IFERROR(F770*VLOOKUP(D770,TELAS!$A$4:$C$32,3,FALSE()),0)</f>
        <v>0</v>
      </c>
      <c r="H770" s="11" t="str">
        <f>IFERROR(VLOOKUP(E770,COLORES!$A$4:$B$102,2,FALSE()),"")</f>
        <v/>
      </c>
      <c r="I770" s="12">
        <f>IFERROR(IF(H770="OSCURO",VLOOKUP(D770,PRECIOS!$A$4:$F$32,2,FALSE()),IF(H770="CLARO",VLOOKUP(D770,PRECIOS!$A$4:$F$32,3,FALSE()),IF(H770="MELANGE",VLOOKUP(D770,PRECIOS!$A$4:$F$32,4,FALSE()),IF(H770="PPT",VLOOKUP(D770,PRECIOS!$A$4:$F$32,5,FALSE()),0)))),0)</f>
        <v>0</v>
      </c>
      <c r="J770" s="12">
        <f t="shared" si="12"/>
        <v>0</v>
      </c>
      <c r="K770" s="13">
        <f>IFERROR(IF(C770="",0,SUMIFS($F$4:$F$769,$C$4:$C$769,C770,$D$4:$D$769,D770,$E$4:$E$769,E770,$B$4:$B$769,"INGRESO")+SUMIFS($F$4:$F$769,$C$4:$C$769,C770,$D$4:$D$769,D770,$E$4:$E$769,E770,$B$4:$B$769,"DE REPROCESO")+SUMIFS($F$4:$F$769,$C$4:$C$769,C770,$D$4:$D$769,D770,$E$4:$E$769,E770,$B$4:$B$769,"AJUSTE+")-SUMIFS($F$4:$F$769,$C$4:$C$769,C770,$D$4:$D$769,D770,$E$4:$E$769,E770,$B$4:$B$769,"A CORTE")-SUMIFS($F$4:$F$769,$C$4:$C$769,C770,$D$4:$D$769,D770,$E$4:$E$769,E770,$B$4:$B$769,"A REPROCESO")-SUMIFS($F$4:$F$769,$C$4:$C$769,C770,$D$4:$D$769,D770,$E$4:$E$769,E770,$B$4:$B$769,"MUESTRA")-SUMIFS($F$4:$F$769,$C$4:$C$769,C770,$D$4:$D$769,D770,$E$4:$E$769,E770,$B$4:$B$769,"AJUSTE-")),0)</f>
        <v>0</v>
      </c>
      <c r="L770" s="13">
        <f t="shared" si="13"/>
        <v>0</v>
      </c>
      <c r="M770" s="8"/>
      <c r="N770" s="14"/>
      <c r="O770" s="14"/>
      <c r="P770" s="14"/>
      <c r="Q770" s="15"/>
      <c r="R770" s="16" t="str">
        <f t="shared" si="14"/>
        <v/>
      </c>
    </row>
    <row r="771" ht="15.75" customHeight="1">
      <c r="A771" s="7"/>
      <c r="B771" s="8"/>
      <c r="C771" s="8"/>
      <c r="D771" s="8"/>
      <c r="E771" s="8"/>
      <c r="F771" s="9"/>
      <c r="G771" s="10">
        <f>IFERROR(F771*VLOOKUP(D771,TELAS!$A$4:$C$32,3,FALSE()),0)</f>
        <v>0</v>
      </c>
      <c r="H771" s="11" t="str">
        <f>IFERROR(VLOOKUP(E771,COLORES!$A$4:$B$102,2,FALSE()),"")</f>
        <v/>
      </c>
      <c r="I771" s="12">
        <f>IFERROR(IF(H771="OSCURO",VLOOKUP(D771,PRECIOS!$A$4:$F$32,2,FALSE()),IF(H771="CLARO",VLOOKUP(D771,PRECIOS!$A$4:$F$32,3,FALSE()),IF(H771="MELANGE",VLOOKUP(D771,PRECIOS!$A$4:$F$32,4,FALSE()),IF(H771="PPT",VLOOKUP(D771,PRECIOS!$A$4:$F$32,5,FALSE()),0)))),0)</f>
        <v>0</v>
      </c>
      <c r="J771" s="12">
        <f t="shared" si="12"/>
        <v>0</v>
      </c>
      <c r="K771" s="13">
        <f>IFERROR(IF(C771="",0,SUMIFS($F$4:$F$770,$C$4:$C$770,C771,$D$4:$D$770,D771,$E$4:$E$770,E771,$B$4:$B$770,"INGRESO")+SUMIFS($F$4:$F$770,$C$4:$C$770,C771,$D$4:$D$770,D771,$E$4:$E$770,E771,$B$4:$B$770,"DE REPROCESO")+SUMIFS($F$4:$F$770,$C$4:$C$770,C771,$D$4:$D$770,D771,$E$4:$E$770,E771,$B$4:$B$770,"AJUSTE+")-SUMIFS($F$4:$F$770,$C$4:$C$770,C771,$D$4:$D$770,D771,$E$4:$E$770,E771,$B$4:$B$770,"A CORTE")-SUMIFS($F$4:$F$770,$C$4:$C$770,C771,$D$4:$D$770,D771,$E$4:$E$770,E771,$B$4:$B$770,"A REPROCESO")-SUMIFS($F$4:$F$770,$C$4:$C$770,C771,$D$4:$D$770,D771,$E$4:$E$770,E771,$B$4:$B$770,"MUESTRA")-SUMIFS($F$4:$F$770,$C$4:$C$770,C771,$D$4:$D$770,D771,$E$4:$E$770,E771,$B$4:$B$770,"AJUSTE-")),0)</f>
        <v>0</v>
      </c>
      <c r="L771" s="13">
        <f t="shared" si="13"/>
        <v>0</v>
      </c>
      <c r="M771" s="8"/>
      <c r="N771" s="14"/>
      <c r="O771" s="14"/>
      <c r="P771" s="14"/>
      <c r="Q771" s="15"/>
      <c r="R771" s="16" t="str">
        <f t="shared" si="14"/>
        <v/>
      </c>
    </row>
    <row r="772" ht="15.75" customHeight="1">
      <c r="A772" s="7"/>
      <c r="B772" s="8"/>
      <c r="C772" s="8"/>
      <c r="D772" s="8"/>
      <c r="E772" s="8"/>
      <c r="F772" s="9"/>
      <c r="G772" s="10">
        <f>IFERROR(F772*VLOOKUP(D772,TELAS!$A$4:$C$32,3,FALSE()),0)</f>
        <v>0</v>
      </c>
      <c r="H772" s="11" t="str">
        <f>IFERROR(VLOOKUP(E772,COLORES!$A$4:$B$102,2,FALSE()),"")</f>
        <v/>
      </c>
      <c r="I772" s="12">
        <f>IFERROR(IF(H772="OSCURO",VLOOKUP(D772,PRECIOS!$A$4:$F$32,2,FALSE()),IF(H772="CLARO",VLOOKUP(D772,PRECIOS!$A$4:$F$32,3,FALSE()),IF(H772="MELANGE",VLOOKUP(D772,PRECIOS!$A$4:$F$32,4,FALSE()),IF(H772="PPT",VLOOKUP(D772,PRECIOS!$A$4:$F$32,5,FALSE()),0)))),0)</f>
        <v>0</v>
      </c>
      <c r="J772" s="12">
        <f t="shared" si="12"/>
        <v>0</v>
      </c>
      <c r="K772" s="13">
        <f>IFERROR(IF(C772="",0,SUMIFS($F$4:$F$771,$C$4:$C$771,C772,$D$4:$D$771,D772,$E$4:$E$771,E772,$B$4:$B$771,"INGRESO")+SUMIFS($F$4:$F$771,$C$4:$C$771,C772,$D$4:$D$771,D772,$E$4:$E$771,E772,$B$4:$B$771,"DE REPROCESO")+SUMIFS($F$4:$F$771,$C$4:$C$771,C772,$D$4:$D$771,D772,$E$4:$E$771,E772,$B$4:$B$771,"AJUSTE+")-SUMIFS($F$4:$F$771,$C$4:$C$771,C772,$D$4:$D$771,D772,$E$4:$E$771,E772,$B$4:$B$771,"A CORTE")-SUMIFS($F$4:$F$771,$C$4:$C$771,C772,$D$4:$D$771,D772,$E$4:$E$771,E772,$B$4:$B$771,"A REPROCESO")-SUMIFS($F$4:$F$771,$C$4:$C$771,C772,$D$4:$D$771,D772,$E$4:$E$771,E772,$B$4:$B$771,"MUESTRA")-SUMIFS($F$4:$F$771,$C$4:$C$771,C772,$D$4:$D$771,D772,$E$4:$E$771,E772,$B$4:$B$771,"AJUSTE-")),0)</f>
        <v>0</v>
      </c>
      <c r="L772" s="13">
        <f t="shared" si="13"/>
        <v>0</v>
      </c>
      <c r="M772" s="8"/>
      <c r="N772" s="14"/>
      <c r="O772" s="14"/>
      <c r="P772" s="14"/>
      <c r="Q772" s="15"/>
      <c r="R772" s="16" t="str">
        <f t="shared" si="14"/>
        <v/>
      </c>
    </row>
    <row r="773" ht="15.75" customHeight="1">
      <c r="A773" s="7"/>
      <c r="B773" s="8"/>
      <c r="C773" s="8"/>
      <c r="D773" s="8"/>
      <c r="E773" s="8"/>
      <c r="F773" s="9"/>
      <c r="G773" s="10">
        <f>IFERROR(F773*VLOOKUP(D773,TELAS!$A$4:$C$32,3,FALSE()),0)</f>
        <v>0</v>
      </c>
      <c r="H773" s="11" t="str">
        <f>IFERROR(VLOOKUP(E773,COLORES!$A$4:$B$102,2,FALSE()),"")</f>
        <v/>
      </c>
      <c r="I773" s="12">
        <f>IFERROR(IF(H773="OSCURO",VLOOKUP(D773,PRECIOS!$A$4:$F$32,2,FALSE()),IF(H773="CLARO",VLOOKUP(D773,PRECIOS!$A$4:$F$32,3,FALSE()),IF(H773="MELANGE",VLOOKUP(D773,PRECIOS!$A$4:$F$32,4,FALSE()),IF(H773="PPT",VLOOKUP(D773,PRECIOS!$A$4:$F$32,5,FALSE()),0)))),0)</f>
        <v>0</v>
      </c>
      <c r="J773" s="12">
        <f t="shared" si="12"/>
        <v>0</v>
      </c>
      <c r="K773" s="13">
        <f>IFERROR(IF(C773="",0,SUMIFS($F$4:$F$772,$C$4:$C$772,C773,$D$4:$D$772,D773,$E$4:$E$772,E773,$B$4:$B$772,"INGRESO")+SUMIFS($F$4:$F$772,$C$4:$C$772,C773,$D$4:$D$772,D773,$E$4:$E$772,E773,$B$4:$B$772,"DE REPROCESO")+SUMIFS($F$4:$F$772,$C$4:$C$772,C773,$D$4:$D$772,D773,$E$4:$E$772,E773,$B$4:$B$772,"AJUSTE+")-SUMIFS($F$4:$F$772,$C$4:$C$772,C773,$D$4:$D$772,D773,$E$4:$E$772,E773,$B$4:$B$772,"A CORTE")-SUMIFS($F$4:$F$772,$C$4:$C$772,C773,$D$4:$D$772,D773,$E$4:$E$772,E773,$B$4:$B$772,"A REPROCESO")-SUMIFS($F$4:$F$772,$C$4:$C$772,C773,$D$4:$D$772,D773,$E$4:$E$772,E773,$B$4:$B$772,"MUESTRA")-SUMIFS($F$4:$F$772,$C$4:$C$772,C773,$D$4:$D$772,D773,$E$4:$E$772,E773,$B$4:$B$772,"AJUSTE-")),0)</f>
        <v>0</v>
      </c>
      <c r="L773" s="13">
        <f t="shared" si="13"/>
        <v>0</v>
      </c>
      <c r="M773" s="8"/>
      <c r="N773" s="14"/>
      <c r="O773" s="14"/>
      <c r="P773" s="14"/>
      <c r="Q773" s="15"/>
      <c r="R773" s="16" t="str">
        <f t="shared" si="14"/>
        <v/>
      </c>
    </row>
    <row r="774" ht="15.75" customHeight="1">
      <c r="A774" s="7"/>
      <c r="B774" s="8"/>
      <c r="C774" s="8"/>
      <c r="D774" s="8"/>
      <c r="E774" s="8"/>
      <c r="F774" s="9"/>
      <c r="G774" s="10">
        <f>IFERROR(F774*VLOOKUP(D774,TELAS!$A$4:$C$32,3,FALSE()),0)</f>
        <v>0</v>
      </c>
      <c r="H774" s="11" t="str">
        <f>IFERROR(VLOOKUP(E774,COLORES!$A$4:$B$102,2,FALSE()),"")</f>
        <v/>
      </c>
      <c r="I774" s="12">
        <f>IFERROR(IF(H774="OSCURO",VLOOKUP(D774,PRECIOS!$A$4:$F$32,2,FALSE()),IF(H774="CLARO",VLOOKUP(D774,PRECIOS!$A$4:$F$32,3,FALSE()),IF(H774="MELANGE",VLOOKUP(D774,PRECIOS!$A$4:$F$32,4,FALSE()),IF(H774="PPT",VLOOKUP(D774,PRECIOS!$A$4:$F$32,5,FALSE()),0)))),0)</f>
        <v>0</v>
      </c>
      <c r="J774" s="12">
        <f t="shared" si="12"/>
        <v>0</v>
      </c>
      <c r="K774" s="13">
        <f>IFERROR(IF(C774="",0,SUMIFS($F$4:$F$773,$C$4:$C$773,C774,$D$4:$D$773,D774,$E$4:$E$773,E774,$B$4:$B$773,"INGRESO")+SUMIFS($F$4:$F$773,$C$4:$C$773,C774,$D$4:$D$773,D774,$E$4:$E$773,E774,$B$4:$B$773,"DE REPROCESO")+SUMIFS($F$4:$F$773,$C$4:$C$773,C774,$D$4:$D$773,D774,$E$4:$E$773,E774,$B$4:$B$773,"AJUSTE+")-SUMIFS($F$4:$F$773,$C$4:$C$773,C774,$D$4:$D$773,D774,$E$4:$E$773,E774,$B$4:$B$773,"A CORTE")-SUMIFS($F$4:$F$773,$C$4:$C$773,C774,$D$4:$D$773,D774,$E$4:$E$773,E774,$B$4:$B$773,"A REPROCESO")-SUMIFS($F$4:$F$773,$C$4:$C$773,C774,$D$4:$D$773,D774,$E$4:$E$773,E774,$B$4:$B$773,"MUESTRA")-SUMIFS($F$4:$F$773,$C$4:$C$773,C774,$D$4:$D$773,D774,$E$4:$E$773,E774,$B$4:$B$773,"AJUSTE-")),0)</f>
        <v>0</v>
      </c>
      <c r="L774" s="13">
        <f t="shared" si="13"/>
        <v>0</v>
      </c>
      <c r="M774" s="8"/>
      <c r="N774" s="14"/>
      <c r="O774" s="14"/>
      <c r="P774" s="14"/>
      <c r="Q774" s="15"/>
      <c r="R774" s="16" t="str">
        <f t="shared" si="14"/>
        <v/>
      </c>
    </row>
    <row r="775" ht="15.75" customHeight="1">
      <c r="A775" s="7"/>
      <c r="B775" s="8"/>
      <c r="C775" s="8"/>
      <c r="D775" s="8"/>
      <c r="E775" s="8"/>
      <c r="F775" s="9"/>
      <c r="G775" s="10">
        <f>IFERROR(F775*VLOOKUP(D775,TELAS!$A$4:$C$32,3,FALSE()),0)</f>
        <v>0</v>
      </c>
      <c r="H775" s="11" t="str">
        <f>IFERROR(VLOOKUP(E775,COLORES!$A$4:$B$102,2,FALSE()),"")</f>
        <v/>
      </c>
      <c r="I775" s="12">
        <f>IFERROR(IF(H775="OSCURO",VLOOKUP(D775,PRECIOS!$A$4:$F$32,2,FALSE()),IF(H775="CLARO",VLOOKUP(D775,PRECIOS!$A$4:$F$32,3,FALSE()),IF(H775="MELANGE",VLOOKUP(D775,PRECIOS!$A$4:$F$32,4,FALSE()),IF(H775="PPT",VLOOKUP(D775,PRECIOS!$A$4:$F$32,5,FALSE()),0)))),0)</f>
        <v>0</v>
      </c>
      <c r="J775" s="12">
        <f t="shared" si="12"/>
        <v>0</v>
      </c>
      <c r="K775" s="13">
        <f>IFERROR(IF(C775="",0,SUMIFS($F$4:$F$774,$C$4:$C$774,C775,$D$4:$D$774,D775,$E$4:$E$774,E775,$B$4:$B$774,"INGRESO")+SUMIFS($F$4:$F$774,$C$4:$C$774,C775,$D$4:$D$774,D775,$E$4:$E$774,E775,$B$4:$B$774,"DE REPROCESO")+SUMIFS($F$4:$F$774,$C$4:$C$774,C775,$D$4:$D$774,D775,$E$4:$E$774,E775,$B$4:$B$774,"AJUSTE+")-SUMIFS($F$4:$F$774,$C$4:$C$774,C775,$D$4:$D$774,D775,$E$4:$E$774,E775,$B$4:$B$774,"A CORTE")-SUMIFS($F$4:$F$774,$C$4:$C$774,C775,$D$4:$D$774,D775,$E$4:$E$774,E775,$B$4:$B$774,"A REPROCESO")-SUMIFS($F$4:$F$774,$C$4:$C$774,C775,$D$4:$D$774,D775,$E$4:$E$774,E775,$B$4:$B$774,"MUESTRA")-SUMIFS($F$4:$F$774,$C$4:$C$774,C775,$D$4:$D$774,D775,$E$4:$E$774,E775,$B$4:$B$774,"AJUSTE-")),0)</f>
        <v>0</v>
      </c>
      <c r="L775" s="13">
        <f t="shared" si="13"/>
        <v>0</v>
      </c>
      <c r="M775" s="8"/>
      <c r="N775" s="14"/>
      <c r="O775" s="14"/>
      <c r="P775" s="14"/>
      <c r="Q775" s="15"/>
      <c r="R775" s="16" t="str">
        <f t="shared" si="14"/>
        <v/>
      </c>
    </row>
    <row r="776" ht="15.75" customHeight="1">
      <c r="A776" s="7"/>
      <c r="B776" s="8"/>
      <c r="C776" s="8"/>
      <c r="D776" s="8"/>
      <c r="E776" s="8"/>
      <c r="F776" s="9"/>
      <c r="G776" s="10">
        <f>IFERROR(F776*VLOOKUP(D776,TELAS!$A$4:$C$32,3,FALSE()),0)</f>
        <v>0</v>
      </c>
      <c r="H776" s="11" t="str">
        <f>IFERROR(VLOOKUP(E776,COLORES!$A$4:$B$102,2,FALSE()),"")</f>
        <v/>
      </c>
      <c r="I776" s="12">
        <f>IFERROR(IF(H776="OSCURO",VLOOKUP(D776,PRECIOS!$A$4:$F$32,2,FALSE()),IF(H776="CLARO",VLOOKUP(D776,PRECIOS!$A$4:$F$32,3,FALSE()),IF(H776="MELANGE",VLOOKUP(D776,PRECIOS!$A$4:$F$32,4,FALSE()),IF(H776="PPT",VLOOKUP(D776,PRECIOS!$A$4:$F$32,5,FALSE()),0)))),0)</f>
        <v>0</v>
      </c>
      <c r="J776" s="12">
        <f t="shared" si="12"/>
        <v>0</v>
      </c>
      <c r="K776" s="13">
        <f>IFERROR(IF(C776="",0,SUMIFS($F$4:$F$775,$C$4:$C$775,C776,$D$4:$D$775,D776,$E$4:$E$775,E776,$B$4:$B$775,"INGRESO")+SUMIFS($F$4:$F$775,$C$4:$C$775,C776,$D$4:$D$775,D776,$E$4:$E$775,E776,$B$4:$B$775,"DE REPROCESO")+SUMIFS($F$4:$F$775,$C$4:$C$775,C776,$D$4:$D$775,D776,$E$4:$E$775,E776,$B$4:$B$775,"AJUSTE+")-SUMIFS($F$4:$F$775,$C$4:$C$775,C776,$D$4:$D$775,D776,$E$4:$E$775,E776,$B$4:$B$775,"A CORTE")-SUMIFS($F$4:$F$775,$C$4:$C$775,C776,$D$4:$D$775,D776,$E$4:$E$775,E776,$B$4:$B$775,"A REPROCESO")-SUMIFS($F$4:$F$775,$C$4:$C$775,C776,$D$4:$D$775,D776,$E$4:$E$775,E776,$B$4:$B$775,"MUESTRA")-SUMIFS($F$4:$F$775,$C$4:$C$775,C776,$D$4:$D$775,D776,$E$4:$E$775,E776,$B$4:$B$775,"AJUSTE-")),0)</f>
        <v>0</v>
      </c>
      <c r="L776" s="13">
        <f t="shared" si="13"/>
        <v>0</v>
      </c>
      <c r="M776" s="8"/>
      <c r="N776" s="14"/>
      <c r="O776" s="14"/>
      <c r="P776" s="14"/>
      <c r="Q776" s="15"/>
      <c r="R776" s="16" t="str">
        <f t="shared" si="14"/>
        <v/>
      </c>
    </row>
    <row r="777" ht="15.75" customHeight="1">
      <c r="A777" s="7"/>
      <c r="B777" s="8"/>
      <c r="C777" s="8"/>
      <c r="D777" s="8"/>
      <c r="E777" s="8"/>
      <c r="F777" s="9"/>
      <c r="G777" s="10">
        <f>IFERROR(F777*VLOOKUP(D777,TELAS!$A$4:$C$32,3,FALSE()),0)</f>
        <v>0</v>
      </c>
      <c r="H777" s="11" t="str">
        <f>IFERROR(VLOOKUP(E777,COLORES!$A$4:$B$102,2,FALSE()),"")</f>
        <v/>
      </c>
      <c r="I777" s="12">
        <f>IFERROR(IF(H777="OSCURO",VLOOKUP(D777,PRECIOS!$A$4:$F$32,2,FALSE()),IF(H777="CLARO",VLOOKUP(D777,PRECIOS!$A$4:$F$32,3,FALSE()),IF(H777="MELANGE",VLOOKUP(D777,PRECIOS!$A$4:$F$32,4,FALSE()),IF(H777="PPT",VLOOKUP(D777,PRECIOS!$A$4:$F$32,5,FALSE()),0)))),0)</f>
        <v>0</v>
      </c>
      <c r="J777" s="12">
        <f t="shared" si="12"/>
        <v>0</v>
      </c>
      <c r="K777" s="13">
        <f>IFERROR(IF(C777="",0,SUMIFS($F$4:$F$776,$C$4:$C$776,C777,$D$4:$D$776,D777,$E$4:$E$776,E777,$B$4:$B$776,"INGRESO")+SUMIFS($F$4:$F$776,$C$4:$C$776,C777,$D$4:$D$776,D777,$E$4:$E$776,E777,$B$4:$B$776,"DE REPROCESO")+SUMIFS($F$4:$F$776,$C$4:$C$776,C777,$D$4:$D$776,D777,$E$4:$E$776,E777,$B$4:$B$776,"AJUSTE+")-SUMIFS($F$4:$F$776,$C$4:$C$776,C777,$D$4:$D$776,D777,$E$4:$E$776,E777,$B$4:$B$776,"A CORTE")-SUMIFS($F$4:$F$776,$C$4:$C$776,C777,$D$4:$D$776,D777,$E$4:$E$776,E777,$B$4:$B$776,"A REPROCESO")-SUMIFS($F$4:$F$776,$C$4:$C$776,C777,$D$4:$D$776,D777,$E$4:$E$776,E777,$B$4:$B$776,"MUESTRA")-SUMIFS($F$4:$F$776,$C$4:$C$776,C777,$D$4:$D$776,D777,$E$4:$E$776,E777,$B$4:$B$776,"AJUSTE-")),0)</f>
        <v>0</v>
      </c>
      <c r="L777" s="13">
        <f t="shared" si="13"/>
        <v>0</v>
      </c>
      <c r="M777" s="8"/>
      <c r="N777" s="14"/>
      <c r="O777" s="14"/>
      <c r="P777" s="14"/>
      <c r="Q777" s="15"/>
      <c r="R777" s="16" t="str">
        <f t="shared" si="14"/>
        <v/>
      </c>
    </row>
    <row r="778" ht="15.75" customHeight="1">
      <c r="A778" s="7"/>
      <c r="B778" s="8"/>
      <c r="C778" s="8"/>
      <c r="D778" s="8"/>
      <c r="E778" s="8"/>
      <c r="F778" s="9"/>
      <c r="G778" s="10">
        <f>IFERROR(F778*VLOOKUP(D778,TELAS!$A$4:$C$32,3,FALSE()),0)</f>
        <v>0</v>
      </c>
      <c r="H778" s="11" t="str">
        <f>IFERROR(VLOOKUP(E778,COLORES!$A$4:$B$102,2,FALSE()),"")</f>
        <v/>
      </c>
      <c r="I778" s="12">
        <f>IFERROR(IF(H778="OSCURO",VLOOKUP(D778,PRECIOS!$A$4:$F$32,2,FALSE()),IF(H778="CLARO",VLOOKUP(D778,PRECIOS!$A$4:$F$32,3,FALSE()),IF(H778="MELANGE",VLOOKUP(D778,PRECIOS!$A$4:$F$32,4,FALSE()),IF(H778="PPT",VLOOKUP(D778,PRECIOS!$A$4:$F$32,5,FALSE()),0)))),0)</f>
        <v>0</v>
      </c>
      <c r="J778" s="12">
        <f t="shared" si="12"/>
        <v>0</v>
      </c>
      <c r="K778" s="13">
        <f>IFERROR(IF(C778="",0,SUMIFS($F$4:$F$777,$C$4:$C$777,C778,$D$4:$D$777,D778,$E$4:$E$777,E778,$B$4:$B$777,"INGRESO")+SUMIFS($F$4:$F$777,$C$4:$C$777,C778,$D$4:$D$777,D778,$E$4:$E$777,E778,$B$4:$B$777,"DE REPROCESO")+SUMIFS($F$4:$F$777,$C$4:$C$777,C778,$D$4:$D$777,D778,$E$4:$E$777,E778,$B$4:$B$777,"AJUSTE+")-SUMIFS($F$4:$F$777,$C$4:$C$777,C778,$D$4:$D$777,D778,$E$4:$E$777,E778,$B$4:$B$777,"A CORTE")-SUMIFS($F$4:$F$777,$C$4:$C$777,C778,$D$4:$D$777,D778,$E$4:$E$777,E778,$B$4:$B$777,"A REPROCESO")-SUMIFS($F$4:$F$777,$C$4:$C$777,C778,$D$4:$D$777,D778,$E$4:$E$777,E778,$B$4:$B$777,"MUESTRA")-SUMIFS($F$4:$F$777,$C$4:$C$777,C778,$D$4:$D$777,D778,$E$4:$E$777,E778,$B$4:$B$777,"AJUSTE-")),0)</f>
        <v>0</v>
      </c>
      <c r="L778" s="13">
        <f t="shared" si="13"/>
        <v>0</v>
      </c>
      <c r="M778" s="8"/>
      <c r="N778" s="14"/>
      <c r="O778" s="14"/>
      <c r="P778" s="14"/>
      <c r="Q778" s="15"/>
      <c r="R778" s="16" t="str">
        <f t="shared" si="14"/>
        <v/>
      </c>
    </row>
    <row r="779" ht="15.75" customHeight="1">
      <c r="A779" s="7"/>
      <c r="B779" s="8"/>
      <c r="C779" s="8"/>
      <c r="D779" s="8"/>
      <c r="E779" s="8"/>
      <c r="F779" s="9"/>
      <c r="G779" s="10">
        <f>IFERROR(F779*VLOOKUP(D779,TELAS!$A$4:$C$32,3,FALSE()),0)</f>
        <v>0</v>
      </c>
      <c r="H779" s="11" t="str">
        <f>IFERROR(VLOOKUP(E779,COLORES!$A$4:$B$102,2,FALSE()),"")</f>
        <v/>
      </c>
      <c r="I779" s="12">
        <f>IFERROR(IF(H779="OSCURO",VLOOKUP(D779,PRECIOS!$A$4:$F$32,2,FALSE()),IF(H779="CLARO",VLOOKUP(D779,PRECIOS!$A$4:$F$32,3,FALSE()),IF(H779="MELANGE",VLOOKUP(D779,PRECIOS!$A$4:$F$32,4,FALSE()),IF(H779="PPT",VLOOKUP(D779,PRECIOS!$A$4:$F$32,5,FALSE()),0)))),0)</f>
        <v>0</v>
      </c>
      <c r="J779" s="12">
        <f t="shared" si="12"/>
        <v>0</v>
      </c>
      <c r="K779" s="13">
        <f>IFERROR(IF(C779="",0,SUMIFS($F$4:$F$778,$C$4:$C$778,C779,$D$4:$D$778,D779,$E$4:$E$778,E779,$B$4:$B$778,"INGRESO")+SUMIFS($F$4:$F$778,$C$4:$C$778,C779,$D$4:$D$778,D779,$E$4:$E$778,E779,$B$4:$B$778,"DE REPROCESO")+SUMIFS($F$4:$F$778,$C$4:$C$778,C779,$D$4:$D$778,D779,$E$4:$E$778,E779,$B$4:$B$778,"AJUSTE+")-SUMIFS($F$4:$F$778,$C$4:$C$778,C779,$D$4:$D$778,D779,$E$4:$E$778,E779,$B$4:$B$778,"A CORTE")-SUMIFS($F$4:$F$778,$C$4:$C$778,C779,$D$4:$D$778,D779,$E$4:$E$778,E779,$B$4:$B$778,"A REPROCESO")-SUMIFS($F$4:$F$778,$C$4:$C$778,C779,$D$4:$D$778,D779,$E$4:$E$778,E779,$B$4:$B$778,"MUESTRA")-SUMIFS($F$4:$F$778,$C$4:$C$778,C779,$D$4:$D$778,D779,$E$4:$E$778,E779,$B$4:$B$778,"AJUSTE-")),0)</f>
        <v>0</v>
      </c>
      <c r="L779" s="13">
        <f t="shared" si="13"/>
        <v>0</v>
      </c>
      <c r="M779" s="8"/>
      <c r="N779" s="14"/>
      <c r="O779" s="14"/>
      <c r="P779" s="14"/>
      <c r="Q779" s="15"/>
      <c r="R779" s="16" t="str">
        <f t="shared" si="14"/>
        <v/>
      </c>
    </row>
    <row r="780" ht="15.75" customHeight="1">
      <c r="A780" s="7"/>
      <c r="B780" s="8"/>
      <c r="C780" s="8"/>
      <c r="D780" s="8"/>
      <c r="E780" s="8"/>
      <c r="F780" s="9"/>
      <c r="G780" s="10">
        <f>IFERROR(F780*VLOOKUP(D780,TELAS!$A$4:$C$32,3,FALSE()),0)</f>
        <v>0</v>
      </c>
      <c r="H780" s="11" t="str">
        <f>IFERROR(VLOOKUP(E780,COLORES!$A$4:$B$102,2,FALSE()),"")</f>
        <v/>
      </c>
      <c r="I780" s="12">
        <f>IFERROR(IF(H780="OSCURO",VLOOKUP(D780,PRECIOS!$A$4:$F$32,2,FALSE()),IF(H780="CLARO",VLOOKUP(D780,PRECIOS!$A$4:$F$32,3,FALSE()),IF(H780="MELANGE",VLOOKUP(D780,PRECIOS!$A$4:$F$32,4,FALSE()),IF(H780="PPT",VLOOKUP(D780,PRECIOS!$A$4:$F$32,5,FALSE()),0)))),0)</f>
        <v>0</v>
      </c>
      <c r="J780" s="12">
        <f t="shared" si="12"/>
        <v>0</v>
      </c>
      <c r="K780" s="13">
        <f>IFERROR(IF(C780="",0,SUMIFS($F$4:$F$779,$C$4:$C$779,C780,$D$4:$D$779,D780,$E$4:$E$779,E780,$B$4:$B$779,"INGRESO")+SUMIFS($F$4:$F$779,$C$4:$C$779,C780,$D$4:$D$779,D780,$E$4:$E$779,E780,$B$4:$B$779,"DE REPROCESO")+SUMIFS($F$4:$F$779,$C$4:$C$779,C780,$D$4:$D$779,D780,$E$4:$E$779,E780,$B$4:$B$779,"AJUSTE+")-SUMIFS($F$4:$F$779,$C$4:$C$779,C780,$D$4:$D$779,D780,$E$4:$E$779,E780,$B$4:$B$779,"A CORTE")-SUMIFS($F$4:$F$779,$C$4:$C$779,C780,$D$4:$D$779,D780,$E$4:$E$779,E780,$B$4:$B$779,"A REPROCESO")-SUMIFS($F$4:$F$779,$C$4:$C$779,C780,$D$4:$D$779,D780,$E$4:$E$779,E780,$B$4:$B$779,"MUESTRA")-SUMIFS($F$4:$F$779,$C$4:$C$779,C780,$D$4:$D$779,D780,$E$4:$E$779,E780,$B$4:$B$779,"AJUSTE-")),0)</f>
        <v>0</v>
      </c>
      <c r="L780" s="13">
        <f t="shared" si="13"/>
        <v>0</v>
      </c>
      <c r="M780" s="8"/>
      <c r="N780" s="14"/>
      <c r="O780" s="14"/>
      <c r="P780" s="14"/>
      <c r="Q780" s="15"/>
      <c r="R780" s="16" t="str">
        <f t="shared" si="14"/>
        <v/>
      </c>
    </row>
    <row r="781" ht="15.75" customHeight="1">
      <c r="A781" s="7"/>
      <c r="B781" s="8"/>
      <c r="C781" s="8"/>
      <c r="D781" s="8"/>
      <c r="E781" s="8"/>
      <c r="F781" s="9"/>
      <c r="G781" s="10">
        <f>IFERROR(F781*VLOOKUP(D781,TELAS!$A$4:$C$32,3,FALSE()),0)</f>
        <v>0</v>
      </c>
      <c r="H781" s="11" t="str">
        <f>IFERROR(VLOOKUP(E781,COLORES!$A$4:$B$102,2,FALSE()),"")</f>
        <v/>
      </c>
      <c r="I781" s="12">
        <f>IFERROR(IF(H781="OSCURO",VLOOKUP(D781,PRECIOS!$A$4:$F$32,2,FALSE()),IF(H781="CLARO",VLOOKUP(D781,PRECIOS!$A$4:$F$32,3,FALSE()),IF(H781="MELANGE",VLOOKUP(D781,PRECIOS!$A$4:$F$32,4,FALSE()),IF(H781="PPT",VLOOKUP(D781,PRECIOS!$A$4:$F$32,5,FALSE()),0)))),0)</f>
        <v>0</v>
      </c>
      <c r="J781" s="12">
        <f t="shared" si="12"/>
        <v>0</v>
      </c>
      <c r="K781" s="13">
        <f>IFERROR(IF(C781="",0,SUMIFS($F$4:$F$780,$C$4:$C$780,C781,$D$4:$D$780,D781,$E$4:$E$780,E781,$B$4:$B$780,"INGRESO")+SUMIFS($F$4:$F$780,$C$4:$C$780,C781,$D$4:$D$780,D781,$E$4:$E$780,E781,$B$4:$B$780,"DE REPROCESO")+SUMIFS($F$4:$F$780,$C$4:$C$780,C781,$D$4:$D$780,D781,$E$4:$E$780,E781,$B$4:$B$780,"AJUSTE+")-SUMIFS($F$4:$F$780,$C$4:$C$780,C781,$D$4:$D$780,D781,$E$4:$E$780,E781,$B$4:$B$780,"A CORTE")-SUMIFS($F$4:$F$780,$C$4:$C$780,C781,$D$4:$D$780,D781,$E$4:$E$780,E781,$B$4:$B$780,"A REPROCESO")-SUMIFS($F$4:$F$780,$C$4:$C$780,C781,$D$4:$D$780,D781,$E$4:$E$780,E781,$B$4:$B$780,"MUESTRA")-SUMIFS($F$4:$F$780,$C$4:$C$780,C781,$D$4:$D$780,D781,$E$4:$E$780,E781,$B$4:$B$780,"AJUSTE-")),0)</f>
        <v>0</v>
      </c>
      <c r="L781" s="13">
        <f t="shared" si="13"/>
        <v>0</v>
      </c>
      <c r="M781" s="8"/>
      <c r="N781" s="14"/>
      <c r="O781" s="14"/>
      <c r="P781" s="14"/>
      <c r="Q781" s="15"/>
      <c r="R781" s="16" t="str">
        <f t="shared" si="14"/>
        <v/>
      </c>
    </row>
    <row r="782" ht="15.75" customHeight="1">
      <c r="A782" s="7"/>
      <c r="B782" s="8"/>
      <c r="C782" s="8"/>
      <c r="D782" s="8"/>
      <c r="E782" s="8"/>
      <c r="F782" s="9"/>
      <c r="G782" s="10">
        <f>IFERROR(F782*VLOOKUP(D782,TELAS!$A$4:$C$32,3,FALSE()),0)</f>
        <v>0</v>
      </c>
      <c r="H782" s="11" t="str">
        <f>IFERROR(VLOOKUP(E782,COLORES!$A$4:$B$102,2,FALSE()),"")</f>
        <v/>
      </c>
      <c r="I782" s="12">
        <f>IFERROR(IF(H782="OSCURO",VLOOKUP(D782,PRECIOS!$A$4:$F$32,2,FALSE()),IF(H782="CLARO",VLOOKUP(D782,PRECIOS!$A$4:$F$32,3,FALSE()),IF(H782="MELANGE",VLOOKUP(D782,PRECIOS!$A$4:$F$32,4,FALSE()),IF(H782="PPT",VLOOKUP(D782,PRECIOS!$A$4:$F$32,5,FALSE()),0)))),0)</f>
        <v>0</v>
      </c>
      <c r="J782" s="12">
        <f t="shared" si="12"/>
        <v>0</v>
      </c>
      <c r="K782" s="13">
        <f>IFERROR(IF(C782="",0,SUMIFS($F$4:$F$781,$C$4:$C$781,C782,$D$4:$D$781,D782,$E$4:$E$781,E782,$B$4:$B$781,"INGRESO")+SUMIFS($F$4:$F$781,$C$4:$C$781,C782,$D$4:$D$781,D782,$E$4:$E$781,E782,$B$4:$B$781,"DE REPROCESO")+SUMIFS($F$4:$F$781,$C$4:$C$781,C782,$D$4:$D$781,D782,$E$4:$E$781,E782,$B$4:$B$781,"AJUSTE+")-SUMIFS($F$4:$F$781,$C$4:$C$781,C782,$D$4:$D$781,D782,$E$4:$E$781,E782,$B$4:$B$781,"A CORTE")-SUMIFS($F$4:$F$781,$C$4:$C$781,C782,$D$4:$D$781,D782,$E$4:$E$781,E782,$B$4:$B$781,"A REPROCESO")-SUMIFS($F$4:$F$781,$C$4:$C$781,C782,$D$4:$D$781,D782,$E$4:$E$781,E782,$B$4:$B$781,"MUESTRA")-SUMIFS($F$4:$F$781,$C$4:$C$781,C782,$D$4:$D$781,D782,$E$4:$E$781,E782,$B$4:$B$781,"AJUSTE-")),0)</f>
        <v>0</v>
      </c>
      <c r="L782" s="13">
        <f t="shared" si="13"/>
        <v>0</v>
      </c>
      <c r="M782" s="8"/>
      <c r="N782" s="14"/>
      <c r="O782" s="14"/>
      <c r="P782" s="14"/>
      <c r="Q782" s="15"/>
      <c r="R782" s="16" t="str">
        <f t="shared" si="14"/>
        <v/>
      </c>
    </row>
    <row r="783" ht="15.75" customHeight="1">
      <c r="A783" s="7"/>
      <c r="B783" s="8"/>
      <c r="C783" s="8"/>
      <c r="D783" s="8"/>
      <c r="E783" s="8"/>
      <c r="F783" s="9"/>
      <c r="G783" s="10">
        <f>IFERROR(F783*VLOOKUP(D783,TELAS!$A$4:$C$32,3,FALSE()),0)</f>
        <v>0</v>
      </c>
      <c r="H783" s="11" t="str">
        <f>IFERROR(VLOOKUP(E783,COLORES!$A$4:$B$102,2,FALSE()),"")</f>
        <v/>
      </c>
      <c r="I783" s="12">
        <f>IFERROR(IF(H783="OSCURO",VLOOKUP(D783,PRECIOS!$A$4:$F$32,2,FALSE()),IF(H783="CLARO",VLOOKUP(D783,PRECIOS!$A$4:$F$32,3,FALSE()),IF(H783="MELANGE",VLOOKUP(D783,PRECIOS!$A$4:$F$32,4,FALSE()),IF(H783="PPT",VLOOKUP(D783,PRECIOS!$A$4:$F$32,5,FALSE()),0)))),0)</f>
        <v>0</v>
      </c>
      <c r="J783" s="12">
        <f t="shared" si="12"/>
        <v>0</v>
      </c>
      <c r="K783" s="13">
        <f>IFERROR(IF(C783="",0,SUMIFS($F$4:$F$782,$C$4:$C$782,C783,$D$4:$D$782,D783,$E$4:$E$782,E783,$B$4:$B$782,"INGRESO")+SUMIFS($F$4:$F$782,$C$4:$C$782,C783,$D$4:$D$782,D783,$E$4:$E$782,E783,$B$4:$B$782,"DE REPROCESO")+SUMIFS($F$4:$F$782,$C$4:$C$782,C783,$D$4:$D$782,D783,$E$4:$E$782,E783,$B$4:$B$782,"AJUSTE+")-SUMIFS($F$4:$F$782,$C$4:$C$782,C783,$D$4:$D$782,D783,$E$4:$E$782,E783,$B$4:$B$782,"A CORTE")-SUMIFS($F$4:$F$782,$C$4:$C$782,C783,$D$4:$D$782,D783,$E$4:$E$782,E783,$B$4:$B$782,"A REPROCESO")-SUMIFS($F$4:$F$782,$C$4:$C$782,C783,$D$4:$D$782,D783,$E$4:$E$782,E783,$B$4:$B$782,"MUESTRA")-SUMIFS($F$4:$F$782,$C$4:$C$782,C783,$D$4:$D$782,D783,$E$4:$E$782,E783,$B$4:$B$782,"AJUSTE-")),0)</f>
        <v>0</v>
      </c>
      <c r="L783" s="13">
        <f t="shared" si="13"/>
        <v>0</v>
      </c>
      <c r="M783" s="8"/>
      <c r="N783" s="14"/>
      <c r="O783" s="14"/>
      <c r="P783" s="14"/>
      <c r="Q783" s="15"/>
      <c r="R783" s="16" t="str">
        <f t="shared" si="14"/>
        <v/>
      </c>
    </row>
    <row r="784" ht="15.75" customHeight="1">
      <c r="A784" s="7"/>
      <c r="B784" s="8"/>
      <c r="C784" s="8"/>
      <c r="D784" s="8"/>
      <c r="E784" s="8"/>
      <c r="F784" s="9"/>
      <c r="G784" s="10">
        <f>IFERROR(F784*VLOOKUP(D784,TELAS!$A$4:$C$32,3,FALSE()),0)</f>
        <v>0</v>
      </c>
      <c r="H784" s="11" t="str">
        <f>IFERROR(VLOOKUP(E784,COLORES!$A$4:$B$102,2,FALSE()),"")</f>
        <v/>
      </c>
      <c r="I784" s="12">
        <f>IFERROR(IF(H784="OSCURO",VLOOKUP(D784,PRECIOS!$A$4:$F$32,2,FALSE()),IF(H784="CLARO",VLOOKUP(D784,PRECIOS!$A$4:$F$32,3,FALSE()),IF(H784="MELANGE",VLOOKUP(D784,PRECIOS!$A$4:$F$32,4,FALSE()),IF(H784="PPT",VLOOKUP(D784,PRECIOS!$A$4:$F$32,5,FALSE()),0)))),0)</f>
        <v>0</v>
      </c>
      <c r="J784" s="12">
        <f t="shared" si="12"/>
        <v>0</v>
      </c>
      <c r="K784" s="13">
        <f>IFERROR(IF(C784="",0,SUMIFS($F$4:$F$783,$C$4:$C$783,C784,$D$4:$D$783,D784,$E$4:$E$783,E784,$B$4:$B$783,"INGRESO")+SUMIFS($F$4:$F$783,$C$4:$C$783,C784,$D$4:$D$783,D784,$E$4:$E$783,E784,$B$4:$B$783,"DE REPROCESO")+SUMIFS($F$4:$F$783,$C$4:$C$783,C784,$D$4:$D$783,D784,$E$4:$E$783,E784,$B$4:$B$783,"AJUSTE+")-SUMIFS($F$4:$F$783,$C$4:$C$783,C784,$D$4:$D$783,D784,$E$4:$E$783,E784,$B$4:$B$783,"A CORTE")-SUMIFS($F$4:$F$783,$C$4:$C$783,C784,$D$4:$D$783,D784,$E$4:$E$783,E784,$B$4:$B$783,"A REPROCESO")-SUMIFS($F$4:$F$783,$C$4:$C$783,C784,$D$4:$D$783,D784,$E$4:$E$783,E784,$B$4:$B$783,"MUESTRA")-SUMIFS($F$4:$F$783,$C$4:$C$783,C784,$D$4:$D$783,D784,$E$4:$E$783,E784,$B$4:$B$783,"AJUSTE-")),0)</f>
        <v>0</v>
      </c>
      <c r="L784" s="13">
        <f t="shared" si="13"/>
        <v>0</v>
      </c>
      <c r="M784" s="8"/>
      <c r="N784" s="14"/>
      <c r="O784" s="14"/>
      <c r="P784" s="14"/>
      <c r="Q784" s="15"/>
      <c r="R784" s="16" t="str">
        <f t="shared" si="14"/>
        <v/>
      </c>
    </row>
    <row r="785" ht="15.75" customHeight="1">
      <c r="A785" s="7"/>
      <c r="B785" s="8"/>
      <c r="C785" s="8"/>
      <c r="D785" s="8"/>
      <c r="E785" s="8"/>
      <c r="F785" s="9"/>
      <c r="G785" s="10">
        <f>IFERROR(F785*VLOOKUP(D785,TELAS!$A$4:$C$32,3,FALSE()),0)</f>
        <v>0</v>
      </c>
      <c r="H785" s="11" t="str">
        <f>IFERROR(VLOOKUP(E785,COLORES!$A$4:$B$102,2,FALSE()),"")</f>
        <v/>
      </c>
      <c r="I785" s="12">
        <f>IFERROR(IF(H785="OSCURO",VLOOKUP(D785,PRECIOS!$A$4:$F$32,2,FALSE()),IF(H785="CLARO",VLOOKUP(D785,PRECIOS!$A$4:$F$32,3,FALSE()),IF(H785="MELANGE",VLOOKUP(D785,PRECIOS!$A$4:$F$32,4,FALSE()),IF(H785="PPT",VLOOKUP(D785,PRECIOS!$A$4:$F$32,5,FALSE()),0)))),0)</f>
        <v>0</v>
      </c>
      <c r="J785" s="12">
        <f t="shared" si="12"/>
        <v>0</v>
      </c>
      <c r="K785" s="13">
        <f>IFERROR(IF(C785="",0,SUMIFS($F$4:$F$784,$C$4:$C$784,C785,$D$4:$D$784,D785,$E$4:$E$784,E785,$B$4:$B$784,"INGRESO")+SUMIFS($F$4:$F$784,$C$4:$C$784,C785,$D$4:$D$784,D785,$E$4:$E$784,E785,$B$4:$B$784,"DE REPROCESO")+SUMIFS($F$4:$F$784,$C$4:$C$784,C785,$D$4:$D$784,D785,$E$4:$E$784,E785,$B$4:$B$784,"AJUSTE+")-SUMIFS($F$4:$F$784,$C$4:$C$784,C785,$D$4:$D$784,D785,$E$4:$E$784,E785,$B$4:$B$784,"A CORTE")-SUMIFS($F$4:$F$784,$C$4:$C$784,C785,$D$4:$D$784,D785,$E$4:$E$784,E785,$B$4:$B$784,"A REPROCESO")-SUMIFS($F$4:$F$784,$C$4:$C$784,C785,$D$4:$D$784,D785,$E$4:$E$784,E785,$B$4:$B$784,"MUESTRA")-SUMIFS($F$4:$F$784,$C$4:$C$784,C785,$D$4:$D$784,D785,$E$4:$E$784,E785,$B$4:$B$784,"AJUSTE-")),0)</f>
        <v>0</v>
      </c>
      <c r="L785" s="13">
        <f t="shared" si="13"/>
        <v>0</v>
      </c>
      <c r="M785" s="8"/>
      <c r="N785" s="14"/>
      <c r="O785" s="14"/>
      <c r="P785" s="14"/>
      <c r="Q785" s="15"/>
      <c r="R785" s="16" t="str">
        <f t="shared" si="14"/>
        <v/>
      </c>
    </row>
    <row r="786" ht="15.75" customHeight="1">
      <c r="A786" s="7"/>
      <c r="B786" s="8"/>
      <c r="C786" s="8"/>
      <c r="D786" s="8"/>
      <c r="E786" s="8"/>
      <c r="F786" s="9"/>
      <c r="G786" s="10">
        <f>IFERROR(F786*VLOOKUP(D786,TELAS!$A$4:$C$32,3,FALSE()),0)</f>
        <v>0</v>
      </c>
      <c r="H786" s="11" t="str">
        <f>IFERROR(VLOOKUP(E786,COLORES!$A$4:$B$102,2,FALSE()),"")</f>
        <v/>
      </c>
      <c r="I786" s="12">
        <f>IFERROR(IF(H786="OSCURO",VLOOKUP(D786,PRECIOS!$A$4:$F$32,2,FALSE()),IF(H786="CLARO",VLOOKUP(D786,PRECIOS!$A$4:$F$32,3,FALSE()),IF(H786="MELANGE",VLOOKUP(D786,PRECIOS!$A$4:$F$32,4,FALSE()),IF(H786="PPT",VLOOKUP(D786,PRECIOS!$A$4:$F$32,5,FALSE()),0)))),0)</f>
        <v>0</v>
      </c>
      <c r="J786" s="12">
        <f t="shared" si="12"/>
        <v>0</v>
      </c>
      <c r="K786" s="13">
        <f>IFERROR(IF(C786="",0,SUMIFS($F$4:$F$785,$C$4:$C$785,C786,$D$4:$D$785,D786,$E$4:$E$785,E786,$B$4:$B$785,"INGRESO")+SUMIFS($F$4:$F$785,$C$4:$C$785,C786,$D$4:$D$785,D786,$E$4:$E$785,E786,$B$4:$B$785,"DE REPROCESO")+SUMIFS($F$4:$F$785,$C$4:$C$785,C786,$D$4:$D$785,D786,$E$4:$E$785,E786,$B$4:$B$785,"AJUSTE+")-SUMIFS($F$4:$F$785,$C$4:$C$785,C786,$D$4:$D$785,D786,$E$4:$E$785,E786,$B$4:$B$785,"A CORTE")-SUMIFS($F$4:$F$785,$C$4:$C$785,C786,$D$4:$D$785,D786,$E$4:$E$785,E786,$B$4:$B$785,"A REPROCESO")-SUMIFS($F$4:$F$785,$C$4:$C$785,C786,$D$4:$D$785,D786,$E$4:$E$785,E786,$B$4:$B$785,"MUESTRA")-SUMIFS($F$4:$F$785,$C$4:$C$785,C786,$D$4:$D$785,D786,$E$4:$E$785,E786,$B$4:$B$785,"AJUSTE-")),0)</f>
        <v>0</v>
      </c>
      <c r="L786" s="13">
        <f t="shared" si="13"/>
        <v>0</v>
      </c>
      <c r="M786" s="8"/>
      <c r="N786" s="14"/>
      <c r="O786" s="14"/>
      <c r="P786" s="14"/>
      <c r="Q786" s="15"/>
      <c r="R786" s="16" t="str">
        <f t="shared" si="14"/>
        <v/>
      </c>
    </row>
    <row r="787" ht="15.75" customHeight="1">
      <c r="A787" s="7"/>
      <c r="B787" s="8"/>
      <c r="C787" s="8"/>
      <c r="D787" s="8"/>
      <c r="E787" s="8"/>
      <c r="F787" s="9"/>
      <c r="G787" s="10">
        <f>IFERROR(F787*VLOOKUP(D787,TELAS!$A$4:$C$32,3,FALSE()),0)</f>
        <v>0</v>
      </c>
      <c r="H787" s="11" t="str">
        <f>IFERROR(VLOOKUP(E787,COLORES!$A$4:$B$102,2,FALSE()),"")</f>
        <v/>
      </c>
      <c r="I787" s="12">
        <f>IFERROR(IF(H787="OSCURO",VLOOKUP(D787,PRECIOS!$A$4:$F$32,2,FALSE()),IF(H787="CLARO",VLOOKUP(D787,PRECIOS!$A$4:$F$32,3,FALSE()),IF(H787="MELANGE",VLOOKUP(D787,PRECIOS!$A$4:$F$32,4,FALSE()),IF(H787="PPT",VLOOKUP(D787,PRECIOS!$A$4:$F$32,5,FALSE()),0)))),0)</f>
        <v>0</v>
      </c>
      <c r="J787" s="12">
        <f t="shared" si="12"/>
        <v>0</v>
      </c>
      <c r="K787" s="13">
        <f>IFERROR(IF(C787="",0,SUMIFS($F$4:$F$786,$C$4:$C$786,C787,$D$4:$D$786,D787,$E$4:$E$786,E787,$B$4:$B$786,"INGRESO")+SUMIFS($F$4:$F$786,$C$4:$C$786,C787,$D$4:$D$786,D787,$E$4:$E$786,E787,$B$4:$B$786,"DE REPROCESO")+SUMIFS($F$4:$F$786,$C$4:$C$786,C787,$D$4:$D$786,D787,$E$4:$E$786,E787,$B$4:$B$786,"AJUSTE+")-SUMIFS($F$4:$F$786,$C$4:$C$786,C787,$D$4:$D$786,D787,$E$4:$E$786,E787,$B$4:$B$786,"A CORTE")-SUMIFS($F$4:$F$786,$C$4:$C$786,C787,$D$4:$D$786,D787,$E$4:$E$786,E787,$B$4:$B$786,"A REPROCESO")-SUMIFS($F$4:$F$786,$C$4:$C$786,C787,$D$4:$D$786,D787,$E$4:$E$786,E787,$B$4:$B$786,"MUESTRA")-SUMIFS($F$4:$F$786,$C$4:$C$786,C787,$D$4:$D$786,D787,$E$4:$E$786,E787,$B$4:$B$786,"AJUSTE-")),0)</f>
        <v>0</v>
      </c>
      <c r="L787" s="13">
        <f t="shared" si="13"/>
        <v>0</v>
      </c>
      <c r="M787" s="8"/>
      <c r="N787" s="14"/>
      <c r="O787" s="14"/>
      <c r="P787" s="14"/>
      <c r="Q787" s="15"/>
      <c r="R787" s="16" t="str">
        <f t="shared" si="14"/>
        <v/>
      </c>
    </row>
    <row r="788" ht="15.75" customHeight="1">
      <c r="A788" s="7"/>
      <c r="B788" s="8"/>
      <c r="C788" s="8"/>
      <c r="D788" s="8"/>
      <c r="E788" s="8"/>
      <c r="F788" s="9"/>
      <c r="G788" s="10">
        <f>IFERROR(F788*VLOOKUP(D788,TELAS!$A$4:$C$32,3,FALSE()),0)</f>
        <v>0</v>
      </c>
      <c r="H788" s="11" t="str">
        <f>IFERROR(VLOOKUP(E788,COLORES!$A$4:$B$102,2,FALSE()),"")</f>
        <v/>
      </c>
      <c r="I788" s="12">
        <f>IFERROR(IF(H788="OSCURO",VLOOKUP(D788,PRECIOS!$A$4:$F$32,2,FALSE()),IF(H788="CLARO",VLOOKUP(D788,PRECIOS!$A$4:$F$32,3,FALSE()),IF(H788="MELANGE",VLOOKUP(D788,PRECIOS!$A$4:$F$32,4,FALSE()),IF(H788="PPT",VLOOKUP(D788,PRECIOS!$A$4:$F$32,5,FALSE()),0)))),0)</f>
        <v>0</v>
      </c>
      <c r="J788" s="12">
        <f t="shared" si="12"/>
        <v>0</v>
      </c>
      <c r="K788" s="13">
        <f>IFERROR(IF(C788="",0,SUMIFS($F$4:$F$787,$C$4:$C$787,C788,$D$4:$D$787,D788,$E$4:$E$787,E788,$B$4:$B$787,"INGRESO")+SUMIFS($F$4:$F$787,$C$4:$C$787,C788,$D$4:$D$787,D788,$E$4:$E$787,E788,$B$4:$B$787,"DE REPROCESO")+SUMIFS($F$4:$F$787,$C$4:$C$787,C788,$D$4:$D$787,D788,$E$4:$E$787,E788,$B$4:$B$787,"AJUSTE+")-SUMIFS($F$4:$F$787,$C$4:$C$787,C788,$D$4:$D$787,D788,$E$4:$E$787,E788,$B$4:$B$787,"A CORTE")-SUMIFS($F$4:$F$787,$C$4:$C$787,C788,$D$4:$D$787,D788,$E$4:$E$787,E788,$B$4:$B$787,"A REPROCESO")-SUMIFS($F$4:$F$787,$C$4:$C$787,C788,$D$4:$D$787,D788,$E$4:$E$787,E788,$B$4:$B$787,"MUESTRA")-SUMIFS($F$4:$F$787,$C$4:$C$787,C788,$D$4:$D$787,D788,$E$4:$E$787,E788,$B$4:$B$787,"AJUSTE-")),0)</f>
        <v>0</v>
      </c>
      <c r="L788" s="13">
        <f t="shared" si="13"/>
        <v>0</v>
      </c>
      <c r="M788" s="8"/>
      <c r="N788" s="14"/>
      <c r="O788" s="14"/>
      <c r="P788" s="14"/>
      <c r="Q788" s="15"/>
      <c r="R788" s="16" t="str">
        <f t="shared" si="14"/>
        <v/>
      </c>
    </row>
    <row r="789" ht="15.75" customHeight="1">
      <c r="A789" s="7"/>
      <c r="B789" s="8"/>
      <c r="C789" s="8"/>
      <c r="D789" s="8"/>
      <c r="E789" s="8"/>
      <c r="F789" s="9"/>
      <c r="G789" s="10">
        <f>IFERROR(F789*VLOOKUP(D789,TELAS!$A$4:$C$32,3,FALSE()),0)</f>
        <v>0</v>
      </c>
      <c r="H789" s="11" t="str">
        <f>IFERROR(VLOOKUP(E789,COLORES!$A$4:$B$102,2,FALSE()),"")</f>
        <v/>
      </c>
      <c r="I789" s="12">
        <f>IFERROR(IF(H789="OSCURO",VLOOKUP(D789,PRECIOS!$A$4:$F$32,2,FALSE()),IF(H789="CLARO",VLOOKUP(D789,PRECIOS!$A$4:$F$32,3,FALSE()),IF(H789="MELANGE",VLOOKUP(D789,PRECIOS!$A$4:$F$32,4,FALSE()),IF(H789="PPT",VLOOKUP(D789,PRECIOS!$A$4:$F$32,5,FALSE()),0)))),0)</f>
        <v>0</v>
      </c>
      <c r="J789" s="12">
        <f t="shared" si="12"/>
        <v>0</v>
      </c>
      <c r="K789" s="13">
        <f>IFERROR(IF(C789="",0,SUMIFS($F$4:$F$788,$C$4:$C$788,C789,$D$4:$D$788,D789,$E$4:$E$788,E789,$B$4:$B$788,"INGRESO")+SUMIFS($F$4:$F$788,$C$4:$C$788,C789,$D$4:$D$788,D789,$E$4:$E$788,E789,$B$4:$B$788,"DE REPROCESO")+SUMIFS($F$4:$F$788,$C$4:$C$788,C789,$D$4:$D$788,D789,$E$4:$E$788,E789,$B$4:$B$788,"AJUSTE+")-SUMIFS($F$4:$F$788,$C$4:$C$788,C789,$D$4:$D$788,D789,$E$4:$E$788,E789,$B$4:$B$788,"A CORTE")-SUMIFS($F$4:$F$788,$C$4:$C$788,C789,$D$4:$D$788,D789,$E$4:$E$788,E789,$B$4:$B$788,"A REPROCESO")-SUMIFS($F$4:$F$788,$C$4:$C$788,C789,$D$4:$D$788,D789,$E$4:$E$788,E789,$B$4:$B$788,"MUESTRA")-SUMIFS($F$4:$F$788,$C$4:$C$788,C789,$D$4:$D$788,D789,$E$4:$E$788,E789,$B$4:$B$788,"AJUSTE-")),0)</f>
        <v>0</v>
      </c>
      <c r="L789" s="13">
        <f t="shared" si="13"/>
        <v>0</v>
      </c>
      <c r="M789" s="8"/>
      <c r="N789" s="14"/>
      <c r="O789" s="14"/>
      <c r="P789" s="14"/>
      <c r="Q789" s="15"/>
      <c r="R789" s="16" t="str">
        <f t="shared" si="14"/>
        <v/>
      </c>
    </row>
    <row r="790" ht="15.75" customHeight="1">
      <c r="A790" s="7"/>
      <c r="B790" s="8"/>
      <c r="C790" s="8"/>
      <c r="D790" s="8"/>
      <c r="E790" s="8"/>
      <c r="F790" s="9"/>
      <c r="G790" s="10">
        <f>IFERROR(F790*VLOOKUP(D790,TELAS!$A$4:$C$32,3,FALSE()),0)</f>
        <v>0</v>
      </c>
      <c r="H790" s="11" t="str">
        <f>IFERROR(VLOOKUP(E790,COLORES!$A$4:$B$102,2,FALSE()),"")</f>
        <v/>
      </c>
      <c r="I790" s="12">
        <f>IFERROR(IF(H790="OSCURO",VLOOKUP(D790,PRECIOS!$A$4:$F$32,2,FALSE()),IF(H790="CLARO",VLOOKUP(D790,PRECIOS!$A$4:$F$32,3,FALSE()),IF(H790="MELANGE",VLOOKUP(D790,PRECIOS!$A$4:$F$32,4,FALSE()),IF(H790="PPT",VLOOKUP(D790,PRECIOS!$A$4:$F$32,5,FALSE()),0)))),0)</f>
        <v>0</v>
      </c>
      <c r="J790" s="12">
        <f t="shared" si="12"/>
        <v>0</v>
      </c>
      <c r="K790" s="13">
        <f>IFERROR(IF(C790="",0,SUMIFS($F$4:$F$789,$C$4:$C$789,C790,$D$4:$D$789,D790,$E$4:$E$789,E790,$B$4:$B$789,"INGRESO")+SUMIFS($F$4:$F$789,$C$4:$C$789,C790,$D$4:$D$789,D790,$E$4:$E$789,E790,$B$4:$B$789,"DE REPROCESO")+SUMIFS($F$4:$F$789,$C$4:$C$789,C790,$D$4:$D$789,D790,$E$4:$E$789,E790,$B$4:$B$789,"AJUSTE+")-SUMIFS($F$4:$F$789,$C$4:$C$789,C790,$D$4:$D$789,D790,$E$4:$E$789,E790,$B$4:$B$789,"A CORTE")-SUMIFS($F$4:$F$789,$C$4:$C$789,C790,$D$4:$D$789,D790,$E$4:$E$789,E790,$B$4:$B$789,"A REPROCESO")-SUMIFS($F$4:$F$789,$C$4:$C$789,C790,$D$4:$D$789,D790,$E$4:$E$789,E790,$B$4:$B$789,"MUESTRA")-SUMIFS($F$4:$F$789,$C$4:$C$789,C790,$D$4:$D$789,D790,$E$4:$E$789,E790,$B$4:$B$789,"AJUSTE-")),0)</f>
        <v>0</v>
      </c>
      <c r="L790" s="13">
        <f t="shared" si="13"/>
        <v>0</v>
      </c>
      <c r="M790" s="8"/>
      <c r="N790" s="14"/>
      <c r="O790" s="14"/>
      <c r="P790" s="14"/>
      <c r="Q790" s="15"/>
      <c r="R790" s="16" t="str">
        <f t="shared" si="14"/>
        <v/>
      </c>
    </row>
    <row r="791" ht="15.75" customHeight="1">
      <c r="A791" s="7"/>
      <c r="B791" s="8"/>
      <c r="C791" s="8"/>
      <c r="D791" s="8"/>
      <c r="E791" s="8"/>
      <c r="F791" s="9"/>
      <c r="G791" s="10">
        <f>IFERROR(F791*VLOOKUP(D791,TELAS!$A$4:$C$32,3,FALSE()),0)</f>
        <v>0</v>
      </c>
      <c r="H791" s="11" t="str">
        <f>IFERROR(VLOOKUP(E791,COLORES!$A$4:$B$102,2,FALSE()),"")</f>
        <v/>
      </c>
      <c r="I791" s="12">
        <f>IFERROR(IF(H791="OSCURO",VLOOKUP(D791,PRECIOS!$A$4:$F$32,2,FALSE()),IF(H791="CLARO",VLOOKUP(D791,PRECIOS!$A$4:$F$32,3,FALSE()),IF(H791="MELANGE",VLOOKUP(D791,PRECIOS!$A$4:$F$32,4,FALSE()),IF(H791="PPT",VLOOKUP(D791,PRECIOS!$A$4:$F$32,5,FALSE()),0)))),0)</f>
        <v>0</v>
      </c>
      <c r="J791" s="12">
        <f t="shared" si="12"/>
        <v>0</v>
      </c>
      <c r="K791" s="13">
        <f>IFERROR(IF(C791="",0,SUMIFS($F$4:$F$790,$C$4:$C$790,C791,$D$4:$D$790,D791,$E$4:$E$790,E791,$B$4:$B$790,"INGRESO")+SUMIFS($F$4:$F$790,$C$4:$C$790,C791,$D$4:$D$790,D791,$E$4:$E$790,E791,$B$4:$B$790,"DE REPROCESO")+SUMIFS($F$4:$F$790,$C$4:$C$790,C791,$D$4:$D$790,D791,$E$4:$E$790,E791,$B$4:$B$790,"AJUSTE+")-SUMIFS($F$4:$F$790,$C$4:$C$790,C791,$D$4:$D$790,D791,$E$4:$E$790,E791,$B$4:$B$790,"A CORTE")-SUMIFS($F$4:$F$790,$C$4:$C$790,C791,$D$4:$D$790,D791,$E$4:$E$790,E791,$B$4:$B$790,"A REPROCESO")-SUMIFS($F$4:$F$790,$C$4:$C$790,C791,$D$4:$D$790,D791,$E$4:$E$790,E791,$B$4:$B$790,"MUESTRA")-SUMIFS($F$4:$F$790,$C$4:$C$790,C791,$D$4:$D$790,D791,$E$4:$E$790,E791,$B$4:$B$790,"AJUSTE-")),0)</f>
        <v>0</v>
      </c>
      <c r="L791" s="13">
        <f t="shared" si="13"/>
        <v>0</v>
      </c>
      <c r="M791" s="8"/>
      <c r="N791" s="14"/>
      <c r="O791" s="14"/>
      <c r="P791" s="14"/>
      <c r="Q791" s="15"/>
      <c r="R791" s="16" t="str">
        <f t="shared" si="14"/>
        <v/>
      </c>
    </row>
    <row r="792" ht="15.75" customHeight="1">
      <c r="A792" s="7"/>
      <c r="B792" s="8"/>
      <c r="C792" s="8"/>
      <c r="D792" s="8"/>
      <c r="E792" s="8"/>
      <c r="F792" s="9"/>
      <c r="G792" s="10">
        <f>IFERROR(F792*VLOOKUP(D792,TELAS!$A$4:$C$32,3,FALSE()),0)</f>
        <v>0</v>
      </c>
      <c r="H792" s="11" t="str">
        <f>IFERROR(VLOOKUP(E792,COLORES!$A$4:$B$102,2,FALSE()),"")</f>
        <v/>
      </c>
      <c r="I792" s="12">
        <f>IFERROR(IF(H792="OSCURO",VLOOKUP(D792,PRECIOS!$A$4:$F$32,2,FALSE()),IF(H792="CLARO",VLOOKUP(D792,PRECIOS!$A$4:$F$32,3,FALSE()),IF(H792="MELANGE",VLOOKUP(D792,PRECIOS!$A$4:$F$32,4,FALSE()),IF(H792="PPT",VLOOKUP(D792,PRECIOS!$A$4:$F$32,5,FALSE()),0)))),0)</f>
        <v>0</v>
      </c>
      <c r="J792" s="12">
        <f t="shared" si="12"/>
        <v>0</v>
      </c>
      <c r="K792" s="13">
        <f>IFERROR(IF(C792="",0,SUMIFS($F$4:$F$791,$C$4:$C$791,C792,$D$4:$D$791,D792,$E$4:$E$791,E792,$B$4:$B$791,"INGRESO")+SUMIFS($F$4:$F$791,$C$4:$C$791,C792,$D$4:$D$791,D792,$E$4:$E$791,E792,$B$4:$B$791,"DE REPROCESO")+SUMIFS($F$4:$F$791,$C$4:$C$791,C792,$D$4:$D$791,D792,$E$4:$E$791,E792,$B$4:$B$791,"AJUSTE+")-SUMIFS($F$4:$F$791,$C$4:$C$791,C792,$D$4:$D$791,D792,$E$4:$E$791,E792,$B$4:$B$791,"A CORTE")-SUMIFS($F$4:$F$791,$C$4:$C$791,C792,$D$4:$D$791,D792,$E$4:$E$791,E792,$B$4:$B$791,"A REPROCESO")-SUMIFS($F$4:$F$791,$C$4:$C$791,C792,$D$4:$D$791,D792,$E$4:$E$791,E792,$B$4:$B$791,"MUESTRA")-SUMIFS($F$4:$F$791,$C$4:$C$791,C792,$D$4:$D$791,D792,$E$4:$E$791,E792,$B$4:$B$791,"AJUSTE-")),0)</f>
        <v>0</v>
      </c>
      <c r="L792" s="13">
        <f t="shared" si="13"/>
        <v>0</v>
      </c>
      <c r="M792" s="8"/>
      <c r="N792" s="14"/>
      <c r="O792" s="14"/>
      <c r="P792" s="14"/>
      <c r="Q792" s="15"/>
      <c r="R792" s="16" t="str">
        <f t="shared" si="14"/>
        <v/>
      </c>
    </row>
    <row r="793" ht="15.75" customHeight="1">
      <c r="A793" s="7"/>
      <c r="B793" s="8"/>
      <c r="C793" s="8"/>
      <c r="D793" s="8"/>
      <c r="E793" s="8"/>
      <c r="F793" s="9"/>
      <c r="G793" s="10">
        <f>IFERROR(F793*VLOOKUP(D793,TELAS!$A$4:$C$32,3,FALSE()),0)</f>
        <v>0</v>
      </c>
      <c r="H793" s="11" t="str">
        <f>IFERROR(VLOOKUP(E793,COLORES!$A$4:$B$102,2,FALSE()),"")</f>
        <v/>
      </c>
      <c r="I793" s="12">
        <f>IFERROR(IF(H793="OSCURO",VLOOKUP(D793,PRECIOS!$A$4:$F$32,2,FALSE()),IF(H793="CLARO",VLOOKUP(D793,PRECIOS!$A$4:$F$32,3,FALSE()),IF(H793="MELANGE",VLOOKUP(D793,PRECIOS!$A$4:$F$32,4,FALSE()),IF(H793="PPT",VLOOKUP(D793,PRECIOS!$A$4:$F$32,5,FALSE()),0)))),0)</f>
        <v>0</v>
      </c>
      <c r="J793" s="12">
        <f t="shared" si="12"/>
        <v>0</v>
      </c>
      <c r="K793" s="13">
        <f>IFERROR(IF(C793="",0,SUMIFS($F$4:$F$792,$C$4:$C$792,C793,$D$4:$D$792,D793,$E$4:$E$792,E793,$B$4:$B$792,"INGRESO")+SUMIFS($F$4:$F$792,$C$4:$C$792,C793,$D$4:$D$792,D793,$E$4:$E$792,E793,$B$4:$B$792,"DE REPROCESO")+SUMIFS($F$4:$F$792,$C$4:$C$792,C793,$D$4:$D$792,D793,$E$4:$E$792,E793,$B$4:$B$792,"AJUSTE+")-SUMIFS($F$4:$F$792,$C$4:$C$792,C793,$D$4:$D$792,D793,$E$4:$E$792,E793,$B$4:$B$792,"A CORTE")-SUMIFS($F$4:$F$792,$C$4:$C$792,C793,$D$4:$D$792,D793,$E$4:$E$792,E793,$B$4:$B$792,"A REPROCESO")-SUMIFS($F$4:$F$792,$C$4:$C$792,C793,$D$4:$D$792,D793,$E$4:$E$792,E793,$B$4:$B$792,"MUESTRA")-SUMIFS($F$4:$F$792,$C$4:$C$792,C793,$D$4:$D$792,D793,$E$4:$E$792,E793,$B$4:$B$792,"AJUSTE-")),0)</f>
        <v>0</v>
      </c>
      <c r="L793" s="13">
        <f t="shared" si="13"/>
        <v>0</v>
      </c>
      <c r="M793" s="8"/>
      <c r="N793" s="14"/>
      <c r="O793" s="14"/>
      <c r="P793" s="14"/>
      <c r="Q793" s="15"/>
      <c r="R793" s="16" t="str">
        <f t="shared" si="14"/>
        <v/>
      </c>
    </row>
    <row r="794" ht="15.75" customHeight="1">
      <c r="A794" s="7"/>
      <c r="B794" s="8"/>
      <c r="C794" s="8"/>
      <c r="D794" s="8"/>
      <c r="E794" s="8"/>
      <c r="F794" s="9"/>
      <c r="G794" s="10">
        <f>IFERROR(F794*VLOOKUP(D794,TELAS!$A$4:$C$32,3,FALSE()),0)</f>
        <v>0</v>
      </c>
      <c r="H794" s="11" t="str">
        <f>IFERROR(VLOOKUP(E794,COLORES!$A$4:$B$102,2,FALSE()),"")</f>
        <v/>
      </c>
      <c r="I794" s="12">
        <f>IFERROR(IF(H794="OSCURO",VLOOKUP(D794,PRECIOS!$A$4:$F$32,2,FALSE()),IF(H794="CLARO",VLOOKUP(D794,PRECIOS!$A$4:$F$32,3,FALSE()),IF(H794="MELANGE",VLOOKUP(D794,PRECIOS!$A$4:$F$32,4,FALSE()),IF(H794="PPT",VLOOKUP(D794,PRECIOS!$A$4:$F$32,5,FALSE()),0)))),0)</f>
        <v>0</v>
      </c>
      <c r="J794" s="12">
        <f t="shared" si="12"/>
        <v>0</v>
      </c>
      <c r="K794" s="13">
        <f>IFERROR(IF(C794="",0,SUMIFS($F$4:$F$793,$C$4:$C$793,C794,$D$4:$D$793,D794,$E$4:$E$793,E794,$B$4:$B$793,"INGRESO")+SUMIFS($F$4:$F$793,$C$4:$C$793,C794,$D$4:$D$793,D794,$E$4:$E$793,E794,$B$4:$B$793,"DE REPROCESO")+SUMIFS($F$4:$F$793,$C$4:$C$793,C794,$D$4:$D$793,D794,$E$4:$E$793,E794,$B$4:$B$793,"AJUSTE+")-SUMIFS($F$4:$F$793,$C$4:$C$793,C794,$D$4:$D$793,D794,$E$4:$E$793,E794,$B$4:$B$793,"A CORTE")-SUMIFS($F$4:$F$793,$C$4:$C$793,C794,$D$4:$D$793,D794,$E$4:$E$793,E794,$B$4:$B$793,"A REPROCESO")-SUMIFS($F$4:$F$793,$C$4:$C$793,C794,$D$4:$D$793,D794,$E$4:$E$793,E794,$B$4:$B$793,"MUESTRA")-SUMIFS($F$4:$F$793,$C$4:$C$793,C794,$D$4:$D$793,D794,$E$4:$E$793,E794,$B$4:$B$793,"AJUSTE-")),0)</f>
        <v>0</v>
      </c>
      <c r="L794" s="13">
        <f t="shared" si="13"/>
        <v>0</v>
      </c>
      <c r="M794" s="8"/>
      <c r="N794" s="14"/>
      <c r="O794" s="14"/>
      <c r="P794" s="14"/>
      <c r="Q794" s="15"/>
      <c r="R794" s="16" t="str">
        <f t="shared" si="14"/>
        <v/>
      </c>
    </row>
    <row r="795" ht="15.75" customHeight="1">
      <c r="A795" s="7"/>
      <c r="B795" s="8"/>
      <c r="C795" s="8"/>
      <c r="D795" s="8"/>
      <c r="E795" s="8"/>
      <c r="F795" s="9"/>
      <c r="G795" s="10">
        <f>IFERROR(F795*VLOOKUP(D795,TELAS!$A$4:$C$32,3,FALSE()),0)</f>
        <v>0</v>
      </c>
      <c r="H795" s="11" t="str">
        <f>IFERROR(VLOOKUP(E795,COLORES!$A$4:$B$102,2,FALSE()),"")</f>
        <v/>
      </c>
      <c r="I795" s="12">
        <f>IFERROR(IF(H795="OSCURO",VLOOKUP(D795,PRECIOS!$A$4:$F$32,2,FALSE()),IF(H795="CLARO",VLOOKUP(D795,PRECIOS!$A$4:$F$32,3,FALSE()),IF(H795="MELANGE",VLOOKUP(D795,PRECIOS!$A$4:$F$32,4,FALSE()),IF(H795="PPT",VLOOKUP(D795,PRECIOS!$A$4:$F$32,5,FALSE()),0)))),0)</f>
        <v>0</v>
      </c>
      <c r="J795" s="12">
        <f t="shared" si="12"/>
        <v>0</v>
      </c>
      <c r="K795" s="13">
        <f>IFERROR(IF(C795="",0,SUMIFS($F$4:$F$794,$C$4:$C$794,C795,$D$4:$D$794,D795,$E$4:$E$794,E795,$B$4:$B$794,"INGRESO")+SUMIFS($F$4:$F$794,$C$4:$C$794,C795,$D$4:$D$794,D795,$E$4:$E$794,E795,$B$4:$B$794,"DE REPROCESO")+SUMIFS($F$4:$F$794,$C$4:$C$794,C795,$D$4:$D$794,D795,$E$4:$E$794,E795,$B$4:$B$794,"AJUSTE+")-SUMIFS($F$4:$F$794,$C$4:$C$794,C795,$D$4:$D$794,D795,$E$4:$E$794,E795,$B$4:$B$794,"A CORTE")-SUMIFS($F$4:$F$794,$C$4:$C$794,C795,$D$4:$D$794,D795,$E$4:$E$794,E795,$B$4:$B$794,"A REPROCESO")-SUMIFS($F$4:$F$794,$C$4:$C$794,C795,$D$4:$D$794,D795,$E$4:$E$794,E795,$B$4:$B$794,"MUESTRA")-SUMIFS($F$4:$F$794,$C$4:$C$794,C795,$D$4:$D$794,D795,$E$4:$E$794,E795,$B$4:$B$794,"AJUSTE-")),0)</f>
        <v>0</v>
      </c>
      <c r="L795" s="13">
        <f t="shared" si="13"/>
        <v>0</v>
      </c>
      <c r="M795" s="8"/>
      <c r="N795" s="14"/>
      <c r="O795" s="14"/>
      <c r="P795" s="14"/>
      <c r="Q795" s="15"/>
      <c r="R795" s="16" t="str">
        <f t="shared" si="14"/>
        <v/>
      </c>
    </row>
    <row r="796" ht="15.75" customHeight="1">
      <c r="A796" s="7"/>
      <c r="B796" s="8"/>
      <c r="C796" s="8"/>
      <c r="D796" s="8"/>
      <c r="E796" s="8"/>
      <c r="F796" s="9"/>
      <c r="G796" s="10">
        <f>IFERROR(F796*VLOOKUP(D796,TELAS!$A$4:$C$32,3,FALSE()),0)</f>
        <v>0</v>
      </c>
      <c r="H796" s="11" t="str">
        <f>IFERROR(VLOOKUP(E796,COLORES!$A$4:$B$102,2,FALSE()),"")</f>
        <v/>
      </c>
      <c r="I796" s="12">
        <f>IFERROR(IF(H796="OSCURO",VLOOKUP(D796,PRECIOS!$A$4:$F$32,2,FALSE()),IF(H796="CLARO",VLOOKUP(D796,PRECIOS!$A$4:$F$32,3,FALSE()),IF(H796="MELANGE",VLOOKUP(D796,PRECIOS!$A$4:$F$32,4,FALSE()),IF(H796="PPT",VLOOKUP(D796,PRECIOS!$A$4:$F$32,5,FALSE()),0)))),0)</f>
        <v>0</v>
      </c>
      <c r="J796" s="12">
        <f t="shared" si="12"/>
        <v>0</v>
      </c>
      <c r="K796" s="13">
        <f>IFERROR(IF(C796="",0,SUMIFS($F$4:$F$795,$C$4:$C$795,C796,$D$4:$D$795,D796,$E$4:$E$795,E796,$B$4:$B$795,"INGRESO")+SUMIFS($F$4:$F$795,$C$4:$C$795,C796,$D$4:$D$795,D796,$E$4:$E$795,E796,$B$4:$B$795,"DE REPROCESO")+SUMIFS($F$4:$F$795,$C$4:$C$795,C796,$D$4:$D$795,D796,$E$4:$E$795,E796,$B$4:$B$795,"AJUSTE+")-SUMIFS($F$4:$F$795,$C$4:$C$795,C796,$D$4:$D$795,D796,$E$4:$E$795,E796,$B$4:$B$795,"A CORTE")-SUMIFS($F$4:$F$795,$C$4:$C$795,C796,$D$4:$D$795,D796,$E$4:$E$795,E796,$B$4:$B$795,"A REPROCESO")-SUMIFS($F$4:$F$795,$C$4:$C$795,C796,$D$4:$D$795,D796,$E$4:$E$795,E796,$B$4:$B$795,"MUESTRA")-SUMIFS($F$4:$F$795,$C$4:$C$795,C796,$D$4:$D$795,D796,$E$4:$E$795,E796,$B$4:$B$795,"AJUSTE-")),0)</f>
        <v>0</v>
      </c>
      <c r="L796" s="13">
        <f t="shared" si="13"/>
        <v>0</v>
      </c>
      <c r="M796" s="8"/>
      <c r="N796" s="14"/>
      <c r="O796" s="14"/>
      <c r="P796" s="14"/>
      <c r="Q796" s="15"/>
      <c r="R796" s="16" t="str">
        <f t="shared" si="14"/>
        <v/>
      </c>
    </row>
    <row r="797" ht="15.75" customHeight="1">
      <c r="A797" s="7"/>
      <c r="B797" s="8"/>
      <c r="C797" s="8"/>
      <c r="D797" s="8"/>
      <c r="E797" s="8"/>
      <c r="F797" s="9"/>
      <c r="G797" s="10">
        <f>IFERROR(F797*VLOOKUP(D797,TELAS!$A$4:$C$32,3,FALSE()),0)</f>
        <v>0</v>
      </c>
      <c r="H797" s="11" t="str">
        <f>IFERROR(VLOOKUP(E797,COLORES!$A$4:$B$102,2,FALSE()),"")</f>
        <v/>
      </c>
      <c r="I797" s="12">
        <f>IFERROR(IF(H797="OSCURO",VLOOKUP(D797,PRECIOS!$A$4:$F$32,2,FALSE()),IF(H797="CLARO",VLOOKUP(D797,PRECIOS!$A$4:$F$32,3,FALSE()),IF(H797="MELANGE",VLOOKUP(D797,PRECIOS!$A$4:$F$32,4,FALSE()),IF(H797="PPT",VLOOKUP(D797,PRECIOS!$A$4:$F$32,5,FALSE()),0)))),0)</f>
        <v>0</v>
      </c>
      <c r="J797" s="12">
        <f t="shared" si="12"/>
        <v>0</v>
      </c>
      <c r="K797" s="13">
        <f>IFERROR(IF(C797="",0,SUMIFS($F$4:$F$796,$C$4:$C$796,C797,$D$4:$D$796,D797,$E$4:$E$796,E797,$B$4:$B$796,"INGRESO")+SUMIFS($F$4:$F$796,$C$4:$C$796,C797,$D$4:$D$796,D797,$E$4:$E$796,E797,$B$4:$B$796,"DE REPROCESO")+SUMIFS($F$4:$F$796,$C$4:$C$796,C797,$D$4:$D$796,D797,$E$4:$E$796,E797,$B$4:$B$796,"AJUSTE+")-SUMIFS($F$4:$F$796,$C$4:$C$796,C797,$D$4:$D$796,D797,$E$4:$E$796,E797,$B$4:$B$796,"A CORTE")-SUMIFS($F$4:$F$796,$C$4:$C$796,C797,$D$4:$D$796,D797,$E$4:$E$796,E797,$B$4:$B$796,"A REPROCESO")-SUMIFS($F$4:$F$796,$C$4:$C$796,C797,$D$4:$D$796,D797,$E$4:$E$796,E797,$B$4:$B$796,"MUESTRA")-SUMIFS($F$4:$F$796,$C$4:$C$796,C797,$D$4:$D$796,D797,$E$4:$E$796,E797,$B$4:$B$796,"AJUSTE-")),0)</f>
        <v>0</v>
      </c>
      <c r="L797" s="13">
        <f t="shared" si="13"/>
        <v>0</v>
      </c>
      <c r="M797" s="8"/>
      <c r="N797" s="14"/>
      <c r="O797" s="14"/>
      <c r="P797" s="14"/>
      <c r="Q797" s="15"/>
      <c r="R797" s="16" t="str">
        <f t="shared" si="14"/>
        <v/>
      </c>
    </row>
    <row r="798" ht="15.75" customHeight="1">
      <c r="A798" s="7"/>
      <c r="B798" s="8"/>
      <c r="C798" s="8"/>
      <c r="D798" s="8"/>
      <c r="E798" s="8"/>
      <c r="F798" s="9"/>
      <c r="G798" s="10">
        <f>IFERROR(F798*VLOOKUP(D798,TELAS!$A$4:$C$32,3,FALSE()),0)</f>
        <v>0</v>
      </c>
      <c r="H798" s="11" t="str">
        <f>IFERROR(VLOOKUP(E798,COLORES!$A$4:$B$102,2,FALSE()),"")</f>
        <v/>
      </c>
      <c r="I798" s="12">
        <f>IFERROR(IF(H798="OSCURO",VLOOKUP(D798,PRECIOS!$A$4:$F$32,2,FALSE()),IF(H798="CLARO",VLOOKUP(D798,PRECIOS!$A$4:$F$32,3,FALSE()),IF(H798="MELANGE",VLOOKUP(D798,PRECIOS!$A$4:$F$32,4,FALSE()),IF(H798="PPT",VLOOKUP(D798,PRECIOS!$A$4:$F$32,5,FALSE()),0)))),0)</f>
        <v>0</v>
      </c>
      <c r="J798" s="12">
        <f t="shared" si="12"/>
        <v>0</v>
      </c>
      <c r="K798" s="13">
        <f>IFERROR(IF(C798="",0,SUMIFS($F$4:$F$797,$C$4:$C$797,C798,$D$4:$D$797,D798,$E$4:$E$797,E798,$B$4:$B$797,"INGRESO")+SUMIFS($F$4:$F$797,$C$4:$C$797,C798,$D$4:$D$797,D798,$E$4:$E$797,E798,$B$4:$B$797,"DE REPROCESO")+SUMIFS($F$4:$F$797,$C$4:$C$797,C798,$D$4:$D$797,D798,$E$4:$E$797,E798,$B$4:$B$797,"AJUSTE+")-SUMIFS($F$4:$F$797,$C$4:$C$797,C798,$D$4:$D$797,D798,$E$4:$E$797,E798,$B$4:$B$797,"A CORTE")-SUMIFS($F$4:$F$797,$C$4:$C$797,C798,$D$4:$D$797,D798,$E$4:$E$797,E798,$B$4:$B$797,"A REPROCESO")-SUMIFS($F$4:$F$797,$C$4:$C$797,C798,$D$4:$D$797,D798,$E$4:$E$797,E798,$B$4:$B$797,"MUESTRA")-SUMIFS($F$4:$F$797,$C$4:$C$797,C798,$D$4:$D$797,D798,$E$4:$E$797,E798,$B$4:$B$797,"AJUSTE-")),0)</f>
        <v>0</v>
      </c>
      <c r="L798" s="13">
        <f t="shared" si="13"/>
        <v>0</v>
      </c>
      <c r="M798" s="8"/>
      <c r="N798" s="14"/>
      <c r="O798" s="14"/>
      <c r="P798" s="14"/>
      <c r="Q798" s="15"/>
      <c r="R798" s="16" t="str">
        <f t="shared" si="14"/>
        <v/>
      </c>
    </row>
    <row r="799" ht="15.75" customHeight="1">
      <c r="A799" s="7"/>
      <c r="B799" s="8"/>
      <c r="C799" s="8"/>
      <c r="D799" s="8"/>
      <c r="E799" s="8"/>
      <c r="F799" s="9"/>
      <c r="G799" s="10">
        <f>IFERROR(F799*VLOOKUP(D799,TELAS!$A$4:$C$32,3,FALSE()),0)</f>
        <v>0</v>
      </c>
      <c r="H799" s="11" t="str">
        <f>IFERROR(VLOOKUP(E799,COLORES!$A$4:$B$102,2,FALSE()),"")</f>
        <v/>
      </c>
      <c r="I799" s="12">
        <f>IFERROR(IF(H799="OSCURO",VLOOKUP(D799,PRECIOS!$A$4:$F$32,2,FALSE()),IF(H799="CLARO",VLOOKUP(D799,PRECIOS!$A$4:$F$32,3,FALSE()),IF(H799="MELANGE",VLOOKUP(D799,PRECIOS!$A$4:$F$32,4,FALSE()),IF(H799="PPT",VLOOKUP(D799,PRECIOS!$A$4:$F$32,5,FALSE()),0)))),0)</f>
        <v>0</v>
      </c>
      <c r="J799" s="12">
        <f t="shared" si="12"/>
        <v>0</v>
      </c>
      <c r="K799" s="13">
        <f>IFERROR(IF(C799="",0,SUMIFS($F$4:$F$798,$C$4:$C$798,C799,$D$4:$D$798,D799,$E$4:$E$798,E799,$B$4:$B$798,"INGRESO")+SUMIFS($F$4:$F$798,$C$4:$C$798,C799,$D$4:$D$798,D799,$E$4:$E$798,E799,$B$4:$B$798,"DE REPROCESO")+SUMIFS($F$4:$F$798,$C$4:$C$798,C799,$D$4:$D$798,D799,$E$4:$E$798,E799,$B$4:$B$798,"AJUSTE+")-SUMIFS($F$4:$F$798,$C$4:$C$798,C799,$D$4:$D$798,D799,$E$4:$E$798,E799,$B$4:$B$798,"A CORTE")-SUMIFS($F$4:$F$798,$C$4:$C$798,C799,$D$4:$D$798,D799,$E$4:$E$798,E799,$B$4:$B$798,"A REPROCESO")-SUMIFS($F$4:$F$798,$C$4:$C$798,C799,$D$4:$D$798,D799,$E$4:$E$798,E799,$B$4:$B$798,"MUESTRA")-SUMIFS($F$4:$F$798,$C$4:$C$798,C799,$D$4:$D$798,D799,$E$4:$E$798,E799,$B$4:$B$798,"AJUSTE-")),0)</f>
        <v>0</v>
      </c>
      <c r="L799" s="13">
        <f t="shared" si="13"/>
        <v>0</v>
      </c>
      <c r="M799" s="8"/>
      <c r="N799" s="14"/>
      <c r="O799" s="14"/>
      <c r="P799" s="14"/>
      <c r="Q799" s="15"/>
      <c r="R799" s="16" t="str">
        <f t="shared" si="14"/>
        <v/>
      </c>
    </row>
    <row r="800" ht="15.75" customHeight="1">
      <c r="A800" s="7"/>
      <c r="B800" s="8"/>
      <c r="C800" s="8"/>
      <c r="D800" s="8"/>
      <c r="E800" s="8"/>
      <c r="F800" s="9"/>
      <c r="G800" s="10">
        <f>IFERROR(F800*VLOOKUP(D800,TELAS!$A$4:$C$32,3,FALSE()),0)</f>
        <v>0</v>
      </c>
      <c r="H800" s="11" t="str">
        <f>IFERROR(VLOOKUP(E800,COLORES!$A$4:$B$102,2,FALSE()),"")</f>
        <v/>
      </c>
      <c r="I800" s="12">
        <f>IFERROR(IF(H800="OSCURO",VLOOKUP(D800,PRECIOS!$A$4:$F$32,2,FALSE()),IF(H800="CLARO",VLOOKUP(D800,PRECIOS!$A$4:$F$32,3,FALSE()),IF(H800="MELANGE",VLOOKUP(D800,PRECIOS!$A$4:$F$32,4,FALSE()),IF(H800="PPT",VLOOKUP(D800,PRECIOS!$A$4:$F$32,5,FALSE()),0)))),0)</f>
        <v>0</v>
      </c>
      <c r="J800" s="12">
        <f t="shared" si="12"/>
        <v>0</v>
      </c>
      <c r="K800" s="13">
        <f>IFERROR(IF(C800="",0,SUMIFS($F$4:$F$799,$C$4:$C$799,C800,$D$4:$D$799,D800,$E$4:$E$799,E800,$B$4:$B$799,"INGRESO")+SUMIFS($F$4:$F$799,$C$4:$C$799,C800,$D$4:$D$799,D800,$E$4:$E$799,E800,$B$4:$B$799,"DE REPROCESO")+SUMIFS($F$4:$F$799,$C$4:$C$799,C800,$D$4:$D$799,D800,$E$4:$E$799,E800,$B$4:$B$799,"AJUSTE+")-SUMIFS($F$4:$F$799,$C$4:$C$799,C800,$D$4:$D$799,D800,$E$4:$E$799,E800,$B$4:$B$799,"A CORTE")-SUMIFS($F$4:$F$799,$C$4:$C$799,C800,$D$4:$D$799,D800,$E$4:$E$799,E800,$B$4:$B$799,"A REPROCESO")-SUMIFS($F$4:$F$799,$C$4:$C$799,C800,$D$4:$D$799,D800,$E$4:$E$799,E800,$B$4:$B$799,"MUESTRA")-SUMIFS($F$4:$F$799,$C$4:$C$799,C800,$D$4:$D$799,D800,$E$4:$E$799,E800,$B$4:$B$799,"AJUSTE-")),0)</f>
        <v>0</v>
      </c>
      <c r="L800" s="13">
        <f t="shared" si="13"/>
        <v>0</v>
      </c>
      <c r="M800" s="8"/>
      <c r="N800" s="14"/>
      <c r="O800" s="14"/>
      <c r="P800" s="14"/>
      <c r="Q800" s="15"/>
      <c r="R800" s="16" t="str">
        <f t="shared" si="14"/>
        <v/>
      </c>
    </row>
    <row r="801" ht="15.75" customHeight="1">
      <c r="A801" s="7"/>
      <c r="B801" s="8"/>
      <c r="C801" s="8"/>
      <c r="D801" s="8"/>
      <c r="E801" s="8"/>
      <c r="F801" s="9"/>
      <c r="G801" s="10">
        <f>IFERROR(F801*VLOOKUP(D801,TELAS!$A$4:$C$32,3,FALSE()),0)</f>
        <v>0</v>
      </c>
      <c r="H801" s="11" t="str">
        <f>IFERROR(VLOOKUP(E801,COLORES!$A$4:$B$102,2,FALSE()),"")</f>
        <v/>
      </c>
      <c r="I801" s="12">
        <f>IFERROR(IF(H801="OSCURO",VLOOKUP(D801,PRECIOS!$A$4:$F$32,2,FALSE()),IF(H801="CLARO",VLOOKUP(D801,PRECIOS!$A$4:$F$32,3,FALSE()),IF(H801="MELANGE",VLOOKUP(D801,PRECIOS!$A$4:$F$32,4,FALSE()),IF(H801="PPT",VLOOKUP(D801,PRECIOS!$A$4:$F$32,5,FALSE()),0)))),0)</f>
        <v>0</v>
      </c>
      <c r="J801" s="12">
        <f t="shared" si="12"/>
        <v>0</v>
      </c>
      <c r="K801" s="13">
        <f>IFERROR(IF(C801="",0,SUMIFS($F$4:$F$800,$C$4:$C$800,C801,$D$4:$D$800,D801,$E$4:$E$800,E801,$B$4:$B$800,"INGRESO")+SUMIFS($F$4:$F$800,$C$4:$C$800,C801,$D$4:$D$800,D801,$E$4:$E$800,E801,$B$4:$B$800,"DE REPROCESO")+SUMIFS($F$4:$F$800,$C$4:$C$800,C801,$D$4:$D$800,D801,$E$4:$E$800,E801,$B$4:$B$800,"AJUSTE+")-SUMIFS($F$4:$F$800,$C$4:$C$800,C801,$D$4:$D$800,D801,$E$4:$E$800,E801,$B$4:$B$800,"A CORTE")-SUMIFS($F$4:$F$800,$C$4:$C$800,C801,$D$4:$D$800,D801,$E$4:$E$800,E801,$B$4:$B$800,"A REPROCESO")-SUMIFS($F$4:$F$800,$C$4:$C$800,C801,$D$4:$D$800,D801,$E$4:$E$800,E801,$B$4:$B$800,"MUESTRA")-SUMIFS($F$4:$F$800,$C$4:$C$800,C801,$D$4:$D$800,D801,$E$4:$E$800,E801,$B$4:$B$800,"AJUSTE-")),0)</f>
        <v>0</v>
      </c>
      <c r="L801" s="13">
        <f t="shared" si="13"/>
        <v>0</v>
      </c>
      <c r="M801" s="8"/>
      <c r="N801" s="14"/>
      <c r="O801" s="14"/>
      <c r="P801" s="14"/>
      <c r="Q801" s="15"/>
      <c r="R801" s="16" t="str">
        <f t="shared" si="14"/>
        <v/>
      </c>
    </row>
    <row r="802" ht="15.75" customHeight="1">
      <c r="A802" s="7"/>
      <c r="B802" s="8"/>
      <c r="C802" s="8"/>
      <c r="D802" s="8"/>
      <c r="E802" s="8"/>
      <c r="F802" s="9"/>
      <c r="G802" s="10">
        <f>IFERROR(F802*VLOOKUP(D802,TELAS!$A$4:$C$32,3,FALSE()),0)</f>
        <v>0</v>
      </c>
      <c r="H802" s="11" t="str">
        <f>IFERROR(VLOOKUP(E802,COLORES!$A$4:$B$102,2,FALSE()),"")</f>
        <v/>
      </c>
      <c r="I802" s="12">
        <f>IFERROR(IF(H802="OSCURO",VLOOKUP(D802,PRECIOS!$A$4:$F$32,2,FALSE()),IF(H802="CLARO",VLOOKUP(D802,PRECIOS!$A$4:$F$32,3,FALSE()),IF(H802="MELANGE",VLOOKUP(D802,PRECIOS!$A$4:$F$32,4,FALSE()),IF(H802="PPT",VLOOKUP(D802,PRECIOS!$A$4:$F$32,5,FALSE()),0)))),0)</f>
        <v>0</v>
      </c>
      <c r="J802" s="12">
        <f t="shared" si="12"/>
        <v>0</v>
      </c>
      <c r="K802" s="13">
        <f>IFERROR(IF(C802="",0,SUMIFS($F$4:$F$801,$C$4:$C$801,C802,$D$4:$D$801,D802,$E$4:$E$801,E802,$B$4:$B$801,"INGRESO")+SUMIFS($F$4:$F$801,$C$4:$C$801,C802,$D$4:$D$801,D802,$E$4:$E$801,E802,$B$4:$B$801,"DE REPROCESO")+SUMIFS($F$4:$F$801,$C$4:$C$801,C802,$D$4:$D$801,D802,$E$4:$E$801,E802,$B$4:$B$801,"AJUSTE+")-SUMIFS($F$4:$F$801,$C$4:$C$801,C802,$D$4:$D$801,D802,$E$4:$E$801,E802,$B$4:$B$801,"A CORTE")-SUMIFS($F$4:$F$801,$C$4:$C$801,C802,$D$4:$D$801,D802,$E$4:$E$801,E802,$B$4:$B$801,"A REPROCESO")-SUMIFS($F$4:$F$801,$C$4:$C$801,C802,$D$4:$D$801,D802,$E$4:$E$801,E802,$B$4:$B$801,"MUESTRA")-SUMIFS($F$4:$F$801,$C$4:$C$801,C802,$D$4:$D$801,D802,$E$4:$E$801,E802,$B$4:$B$801,"AJUSTE-")),0)</f>
        <v>0</v>
      </c>
      <c r="L802" s="13">
        <f t="shared" si="13"/>
        <v>0</v>
      </c>
      <c r="M802" s="8"/>
      <c r="N802" s="14"/>
      <c r="O802" s="14"/>
      <c r="P802" s="14"/>
      <c r="Q802" s="15"/>
      <c r="R802" s="16" t="str">
        <f t="shared" si="14"/>
        <v/>
      </c>
    </row>
    <row r="803" ht="15.75" customHeight="1">
      <c r="A803" s="7"/>
      <c r="B803" s="8"/>
      <c r="C803" s="8"/>
      <c r="D803" s="8"/>
      <c r="E803" s="8"/>
      <c r="F803" s="9"/>
      <c r="G803" s="10">
        <f>IFERROR(F803*VLOOKUP(D803,TELAS!$A$4:$C$32,3,FALSE()),0)</f>
        <v>0</v>
      </c>
      <c r="H803" s="11" t="str">
        <f>IFERROR(VLOOKUP(E803,COLORES!$A$4:$B$102,2,FALSE()),"")</f>
        <v/>
      </c>
      <c r="I803" s="12">
        <f>IFERROR(IF(H803="OSCURO",VLOOKUP(D803,PRECIOS!$A$4:$F$32,2,FALSE()),IF(H803="CLARO",VLOOKUP(D803,PRECIOS!$A$4:$F$32,3,FALSE()),IF(H803="MELANGE",VLOOKUP(D803,PRECIOS!$A$4:$F$32,4,FALSE()),IF(H803="PPT",VLOOKUP(D803,PRECIOS!$A$4:$F$32,5,FALSE()),0)))),0)</f>
        <v>0</v>
      </c>
      <c r="J803" s="12">
        <f t="shared" si="12"/>
        <v>0</v>
      </c>
      <c r="K803" s="13">
        <f>IFERROR(IF(C803="",0,SUMIFS($F$4:$F$802,$C$4:$C$802,C803,$D$4:$D$802,D803,$E$4:$E$802,E803,$B$4:$B$802,"INGRESO")+SUMIFS($F$4:$F$802,$C$4:$C$802,C803,$D$4:$D$802,D803,$E$4:$E$802,E803,$B$4:$B$802,"DE REPROCESO")+SUMIFS($F$4:$F$802,$C$4:$C$802,C803,$D$4:$D$802,D803,$E$4:$E$802,E803,$B$4:$B$802,"AJUSTE+")-SUMIFS($F$4:$F$802,$C$4:$C$802,C803,$D$4:$D$802,D803,$E$4:$E$802,E803,$B$4:$B$802,"A CORTE")-SUMIFS($F$4:$F$802,$C$4:$C$802,C803,$D$4:$D$802,D803,$E$4:$E$802,E803,$B$4:$B$802,"A REPROCESO")-SUMIFS($F$4:$F$802,$C$4:$C$802,C803,$D$4:$D$802,D803,$E$4:$E$802,E803,$B$4:$B$802,"MUESTRA")-SUMIFS($F$4:$F$802,$C$4:$C$802,C803,$D$4:$D$802,D803,$E$4:$E$802,E803,$B$4:$B$802,"AJUSTE-")),0)</f>
        <v>0</v>
      </c>
      <c r="L803" s="13">
        <f t="shared" si="13"/>
        <v>0</v>
      </c>
      <c r="M803" s="8"/>
      <c r="N803" s="14"/>
      <c r="O803" s="14"/>
      <c r="P803" s="14"/>
      <c r="Q803" s="15"/>
      <c r="R803" s="16" t="str">
        <f t="shared" si="14"/>
        <v/>
      </c>
    </row>
    <row r="804" ht="15.75" customHeight="1">
      <c r="A804" s="7"/>
      <c r="B804" s="8"/>
      <c r="C804" s="8"/>
      <c r="D804" s="8"/>
      <c r="E804" s="8"/>
      <c r="F804" s="9"/>
      <c r="G804" s="10">
        <f>IFERROR(F804*VLOOKUP(D804,TELAS!$A$4:$C$32,3,FALSE()),0)</f>
        <v>0</v>
      </c>
      <c r="H804" s="11" t="str">
        <f>IFERROR(VLOOKUP(E804,COLORES!$A$4:$B$102,2,FALSE()),"")</f>
        <v/>
      </c>
      <c r="I804" s="12">
        <f>IFERROR(IF(H804="OSCURO",VLOOKUP(D804,PRECIOS!$A$4:$F$32,2,FALSE()),IF(H804="CLARO",VLOOKUP(D804,PRECIOS!$A$4:$F$32,3,FALSE()),IF(H804="MELANGE",VLOOKUP(D804,PRECIOS!$A$4:$F$32,4,FALSE()),IF(H804="PPT",VLOOKUP(D804,PRECIOS!$A$4:$F$32,5,FALSE()),0)))),0)</f>
        <v>0</v>
      </c>
      <c r="J804" s="12">
        <f t="shared" si="12"/>
        <v>0</v>
      </c>
      <c r="K804" s="13">
        <f>IFERROR(IF(C804="",0,SUMIFS($F$4:$F$803,$C$4:$C$803,C804,$D$4:$D$803,D804,$E$4:$E$803,E804,$B$4:$B$803,"INGRESO")+SUMIFS($F$4:$F$803,$C$4:$C$803,C804,$D$4:$D$803,D804,$E$4:$E$803,E804,$B$4:$B$803,"DE REPROCESO")+SUMIFS($F$4:$F$803,$C$4:$C$803,C804,$D$4:$D$803,D804,$E$4:$E$803,E804,$B$4:$B$803,"AJUSTE+")-SUMIFS($F$4:$F$803,$C$4:$C$803,C804,$D$4:$D$803,D804,$E$4:$E$803,E804,$B$4:$B$803,"A CORTE")-SUMIFS($F$4:$F$803,$C$4:$C$803,C804,$D$4:$D$803,D804,$E$4:$E$803,E804,$B$4:$B$803,"A REPROCESO")-SUMIFS($F$4:$F$803,$C$4:$C$803,C804,$D$4:$D$803,D804,$E$4:$E$803,E804,$B$4:$B$803,"MUESTRA")-SUMIFS($F$4:$F$803,$C$4:$C$803,C804,$D$4:$D$803,D804,$E$4:$E$803,E804,$B$4:$B$803,"AJUSTE-")),0)</f>
        <v>0</v>
      </c>
      <c r="L804" s="13">
        <f t="shared" si="13"/>
        <v>0</v>
      </c>
      <c r="M804" s="8"/>
      <c r="N804" s="14"/>
      <c r="O804" s="14"/>
      <c r="P804" s="14"/>
      <c r="Q804" s="15"/>
      <c r="R804" s="16" t="str">
        <f t="shared" si="14"/>
        <v/>
      </c>
    </row>
    <row r="805" ht="15.75" customHeight="1">
      <c r="A805" s="7"/>
      <c r="B805" s="8"/>
      <c r="C805" s="8"/>
      <c r="D805" s="8"/>
      <c r="E805" s="8"/>
      <c r="F805" s="9"/>
      <c r="G805" s="10">
        <f>IFERROR(F805*VLOOKUP(D805,TELAS!$A$4:$C$32,3,FALSE()),0)</f>
        <v>0</v>
      </c>
      <c r="H805" s="11" t="str">
        <f>IFERROR(VLOOKUP(E805,COLORES!$A$4:$B$102,2,FALSE()),"")</f>
        <v/>
      </c>
      <c r="I805" s="12">
        <f>IFERROR(IF(H805="OSCURO",VLOOKUP(D805,PRECIOS!$A$4:$F$32,2,FALSE()),IF(H805="CLARO",VLOOKUP(D805,PRECIOS!$A$4:$F$32,3,FALSE()),IF(H805="MELANGE",VLOOKUP(D805,PRECIOS!$A$4:$F$32,4,FALSE()),IF(H805="PPT",VLOOKUP(D805,PRECIOS!$A$4:$F$32,5,FALSE()),0)))),0)</f>
        <v>0</v>
      </c>
      <c r="J805" s="12">
        <f t="shared" si="12"/>
        <v>0</v>
      </c>
      <c r="K805" s="13">
        <f>IFERROR(IF(C805="",0,SUMIFS($F$4:$F$804,$C$4:$C$804,C805,$D$4:$D$804,D805,$E$4:$E$804,E805,$B$4:$B$804,"INGRESO")+SUMIFS($F$4:$F$804,$C$4:$C$804,C805,$D$4:$D$804,D805,$E$4:$E$804,E805,$B$4:$B$804,"DE REPROCESO")+SUMIFS($F$4:$F$804,$C$4:$C$804,C805,$D$4:$D$804,D805,$E$4:$E$804,E805,$B$4:$B$804,"AJUSTE+")-SUMIFS($F$4:$F$804,$C$4:$C$804,C805,$D$4:$D$804,D805,$E$4:$E$804,E805,$B$4:$B$804,"A CORTE")-SUMIFS($F$4:$F$804,$C$4:$C$804,C805,$D$4:$D$804,D805,$E$4:$E$804,E805,$B$4:$B$804,"A REPROCESO")-SUMIFS($F$4:$F$804,$C$4:$C$804,C805,$D$4:$D$804,D805,$E$4:$E$804,E805,$B$4:$B$804,"MUESTRA")-SUMIFS($F$4:$F$804,$C$4:$C$804,C805,$D$4:$D$804,D805,$E$4:$E$804,E805,$B$4:$B$804,"AJUSTE-")),0)</f>
        <v>0</v>
      </c>
      <c r="L805" s="13">
        <f t="shared" si="13"/>
        <v>0</v>
      </c>
      <c r="M805" s="8"/>
      <c r="N805" s="14"/>
      <c r="O805" s="14"/>
      <c r="P805" s="14"/>
      <c r="Q805" s="15"/>
      <c r="R805" s="16" t="str">
        <f t="shared" si="14"/>
        <v/>
      </c>
    </row>
    <row r="806" ht="15.75" customHeight="1">
      <c r="A806" s="7"/>
      <c r="B806" s="8"/>
      <c r="C806" s="8"/>
      <c r="D806" s="8"/>
      <c r="E806" s="8"/>
      <c r="F806" s="9"/>
      <c r="G806" s="10">
        <f>IFERROR(F806*VLOOKUP(D806,TELAS!$A$4:$C$32,3,FALSE()),0)</f>
        <v>0</v>
      </c>
      <c r="H806" s="11" t="str">
        <f>IFERROR(VLOOKUP(E806,COLORES!$A$4:$B$102,2,FALSE()),"")</f>
        <v/>
      </c>
      <c r="I806" s="12">
        <f>IFERROR(IF(H806="OSCURO",VLOOKUP(D806,PRECIOS!$A$4:$F$32,2,FALSE()),IF(H806="CLARO",VLOOKUP(D806,PRECIOS!$A$4:$F$32,3,FALSE()),IF(H806="MELANGE",VLOOKUP(D806,PRECIOS!$A$4:$F$32,4,FALSE()),IF(H806="PPT",VLOOKUP(D806,PRECIOS!$A$4:$F$32,5,FALSE()),0)))),0)</f>
        <v>0</v>
      </c>
      <c r="J806" s="12">
        <f t="shared" si="12"/>
        <v>0</v>
      </c>
      <c r="K806" s="13">
        <f>IFERROR(IF(C806="",0,SUMIFS($F$4:$F$805,$C$4:$C$805,C806,$D$4:$D$805,D806,$E$4:$E$805,E806,$B$4:$B$805,"INGRESO")+SUMIFS($F$4:$F$805,$C$4:$C$805,C806,$D$4:$D$805,D806,$E$4:$E$805,E806,$B$4:$B$805,"DE REPROCESO")+SUMIFS($F$4:$F$805,$C$4:$C$805,C806,$D$4:$D$805,D806,$E$4:$E$805,E806,$B$4:$B$805,"AJUSTE+")-SUMIFS($F$4:$F$805,$C$4:$C$805,C806,$D$4:$D$805,D806,$E$4:$E$805,E806,$B$4:$B$805,"A CORTE")-SUMIFS($F$4:$F$805,$C$4:$C$805,C806,$D$4:$D$805,D806,$E$4:$E$805,E806,$B$4:$B$805,"A REPROCESO")-SUMIFS($F$4:$F$805,$C$4:$C$805,C806,$D$4:$D$805,D806,$E$4:$E$805,E806,$B$4:$B$805,"MUESTRA")-SUMIFS($F$4:$F$805,$C$4:$C$805,C806,$D$4:$D$805,D806,$E$4:$E$805,E806,$B$4:$B$805,"AJUSTE-")),0)</f>
        <v>0</v>
      </c>
      <c r="L806" s="13">
        <f t="shared" si="13"/>
        <v>0</v>
      </c>
      <c r="M806" s="8"/>
      <c r="N806" s="14"/>
      <c r="O806" s="14"/>
      <c r="P806" s="14"/>
      <c r="Q806" s="15"/>
      <c r="R806" s="16" t="str">
        <f t="shared" si="14"/>
        <v/>
      </c>
    </row>
    <row r="807" ht="15.75" customHeight="1">
      <c r="A807" s="7"/>
      <c r="B807" s="8"/>
      <c r="C807" s="8"/>
      <c r="D807" s="8"/>
      <c r="E807" s="8"/>
      <c r="F807" s="9"/>
      <c r="G807" s="10">
        <f>IFERROR(F807*VLOOKUP(D807,TELAS!$A$4:$C$32,3,FALSE()),0)</f>
        <v>0</v>
      </c>
      <c r="H807" s="11" t="str">
        <f>IFERROR(VLOOKUP(E807,COLORES!$A$4:$B$102,2,FALSE()),"")</f>
        <v/>
      </c>
      <c r="I807" s="12">
        <f>IFERROR(IF(H807="OSCURO",VLOOKUP(D807,PRECIOS!$A$4:$F$32,2,FALSE()),IF(H807="CLARO",VLOOKUP(D807,PRECIOS!$A$4:$F$32,3,FALSE()),IF(H807="MELANGE",VLOOKUP(D807,PRECIOS!$A$4:$F$32,4,FALSE()),IF(H807="PPT",VLOOKUP(D807,PRECIOS!$A$4:$F$32,5,FALSE()),0)))),0)</f>
        <v>0</v>
      </c>
      <c r="J807" s="12">
        <f t="shared" si="12"/>
        <v>0</v>
      </c>
      <c r="K807" s="13">
        <f>IFERROR(IF(C807="",0,SUMIFS($F$4:$F$806,$C$4:$C$806,C807,$D$4:$D$806,D807,$E$4:$E$806,E807,$B$4:$B$806,"INGRESO")+SUMIFS($F$4:$F$806,$C$4:$C$806,C807,$D$4:$D$806,D807,$E$4:$E$806,E807,$B$4:$B$806,"DE REPROCESO")+SUMIFS($F$4:$F$806,$C$4:$C$806,C807,$D$4:$D$806,D807,$E$4:$E$806,E807,$B$4:$B$806,"AJUSTE+")-SUMIFS($F$4:$F$806,$C$4:$C$806,C807,$D$4:$D$806,D807,$E$4:$E$806,E807,$B$4:$B$806,"A CORTE")-SUMIFS($F$4:$F$806,$C$4:$C$806,C807,$D$4:$D$806,D807,$E$4:$E$806,E807,$B$4:$B$806,"A REPROCESO")-SUMIFS($F$4:$F$806,$C$4:$C$806,C807,$D$4:$D$806,D807,$E$4:$E$806,E807,$B$4:$B$806,"MUESTRA")-SUMIFS($F$4:$F$806,$C$4:$C$806,C807,$D$4:$D$806,D807,$E$4:$E$806,E807,$B$4:$B$806,"AJUSTE-")),0)</f>
        <v>0</v>
      </c>
      <c r="L807" s="13">
        <f t="shared" si="13"/>
        <v>0</v>
      </c>
      <c r="M807" s="8"/>
      <c r="N807" s="14"/>
      <c r="O807" s="14"/>
      <c r="P807" s="14"/>
      <c r="Q807" s="15"/>
      <c r="R807" s="16" t="str">
        <f t="shared" si="14"/>
        <v/>
      </c>
    </row>
    <row r="808" ht="15.75" customHeight="1">
      <c r="A808" s="7"/>
      <c r="B808" s="8"/>
      <c r="C808" s="8"/>
      <c r="D808" s="8"/>
      <c r="E808" s="8"/>
      <c r="F808" s="9"/>
      <c r="G808" s="10">
        <f>IFERROR(F808*VLOOKUP(D808,TELAS!$A$4:$C$32,3,FALSE()),0)</f>
        <v>0</v>
      </c>
      <c r="H808" s="11" t="str">
        <f>IFERROR(VLOOKUP(E808,COLORES!$A$4:$B$102,2,FALSE()),"")</f>
        <v/>
      </c>
      <c r="I808" s="12">
        <f>IFERROR(IF(H808="OSCURO",VLOOKUP(D808,PRECIOS!$A$4:$F$32,2,FALSE()),IF(H808="CLARO",VLOOKUP(D808,PRECIOS!$A$4:$F$32,3,FALSE()),IF(H808="MELANGE",VLOOKUP(D808,PRECIOS!$A$4:$F$32,4,FALSE()),IF(H808="PPT",VLOOKUP(D808,PRECIOS!$A$4:$F$32,5,FALSE()),0)))),0)</f>
        <v>0</v>
      </c>
      <c r="J808" s="12">
        <f t="shared" si="12"/>
        <v>0</v>
      </c>
      <c r="K808" s="13">
        <f>IFERROR(IF(C808="",0,SUMIFS($F$4:$F$807,$C$4:$C$807,C808,$D$4:$D$807,D808,$E$4:$E$807,E808,$B$4:$B$807,"INGRESO")+SUMIFS($F$4:$F$807,$C$4:$C$807,C808,$D$4:$D$807,D808,$E$4:$E$807,E808,$B$4:$B$807,"DE REPROCESO")+SUMIFS($F$4:$F$807,$C$4:$C$807,C808,$D$4:$D$807,D808,$E$4:$E$807,E808,$B$4:$B$807,"AJUSTE+")-SUMIFS($F$4:$F$807,$C$4:$C$807,C808,$D$4:$D$807,D808,$E$4:$E$807,E808,$B$4:$B$807,"A CORTE")-SUMIFS($F$4:$F$807,$C$4:$C$807,C808,$D$4:$D$807,D808,$E$4:$E$807,E808,$B$4:$B$807,"A REPROCESO")-SUMIFS($F$4:$F$807,$C$4:$C$807,C808,$D$4:$D$807,D808,$E$4:$E$807,E808,$B$4:$B$807,"MUESTRA")-SUMIFS($F$4:$F$807,$C$4:$C$807,C808,$D$4:$D$807,D808,$E$4:$E$807,E808,$B$4:$B$807,"AJUSTE-")),0)</f>
        <v>0</v>
      </c>
      <c r="L808" s="13">
        <f t="shared" si="13"/>
        <v>0</v>
      </c>
      <c r="M808" s="8"/>
      <c r="N808" s="14"/>
      <c r="O808" s="14"/>
      <c r="P808" s="14"/>
      <c r="Q808" s="15"/>
      <c r="R808" s="16" t="str">
        <f t="shared" si="14"/>
        <v/>
      </c>
    </row>
    <row r="809" ht="15.75" customHeight="1">
      <c r="A809" s="7"/>
      <c r="B809" s="8"/>
      <c r="C809" s="8"/>
      <c r="D809" s="8"/>
      <c r="E809" s="8"/>
      <c r="F809" s="9"/>
      <c r="G809" s="10">
        <f>IFERROR(F809*VLOOKUP(D809,TELAS!$A$4:$C$32,3,FALSE()),0)</f>
        <v>0</v>
      </c>
      <c r="H809" s="11" t="str">
        <f>IFERROR(VLOOKUP(E809,COLORES!$A$4:$B$102,2,FALSE()),"")</f>
        <v/>
      </c>
      <c r="I809" s="12">
        <f>IFERROR(IF(H809="OSCURO",VLOOKUP(D809,PRECIOS!$A$4:$F$32,2,FALSE()),IF(H809="CLARO",VLOOKUP(D809,PRECIOS!$A$4:$F$32,3,FALSE()),IF(H809="MELANGE",VLOOKUP(D809,PRECIOS!$A$4:$F$32,4,FALSE()),IF(H809="PPT",VLOOKUP(D809,PRECIOS!$A$4:$F$32,5,FALSE()),0)))),0)</f>
        <v>0</v>
      </c>
      <c r="J809" s="12">
        <f t="shared" si="12"/>
        <v>0</v>
      </c>
      <c r="K809" s="13">
        <f>IFERROR(IF(C809="",0,SUMIFS($F$4:$F$808,$C$4:$C$808,C809,$D$4:$D$808,D809,$E$4:$E$808,E809,$B$4:$B$808,"INGRESO")+SUMIFS($F$4:$F$808,$C$4:$C$808,C809,$D$4:$D$808,D809,$E$4:$E$808,E809,$B$4:$B$808,"DE REPROCESO")+SUMIFS($F$4:$F$808,$C$4:$C$808,C809,$D$4:$D$808,D809,$E$4:$E$808,E809,$B$4:$B$808,"AJUSTE+")-SUMIFS($F$4:$F$808,$C$4:$C$808,C809,$D$4:$D$808,D809,$E$4:$E$808,E809,$B$4:$B$808,"A CORTE")-SUMIFS($F$4:$F$808,$C$4:$C$808,C809,$D$4:$D$808,D809,$E$4:$E$808,E809,$B$4:$B$808,"A REPROCESO")-SUMIFS($F$4:$F$808,$C$4:$C$808,C809,$D$4:$D$808,D809,$E$4:$E$808,E809,$B$4:$B$808,"MUESTRA")-SUMIFS($F$4:$F$808,$C$4:$C$808,C809,$D$4:$D$808,D809,$E$4:$E$808,E809,$B$4:$B$808,"AJUSTE-")),0)</f>
        <v>0</v>
      </c>
      <c r="L809" s="13">
        <f t="shared" si="13"/>
        <v>0</v>
      </c>
      <c r="M809" s="8"/>
      <c r="N809" s="14"/>
      <c r="O809" s="14"/>
      <c r="P809" s="14"/>
      <c r="Q809" s="15"/>
      <c r="R809" s="16" t="str">
        <f t="shared" si="14"/>
        <v/>
      </c>
    </row>
    <row r="810" ht="15.75" customHeight="1">
      <c r="A810" s="7"/>
      <c r="B810" s="8"/>
      <c r="C810" s="8"/>
      <c r="D810" s="8"/>
      <c r="E810" s="8"/>
      <c r="F810" s="9"/>
      <c r="G810" s="10">
        <f>IFERROR(F810*VLOOKUP(D810,TELAS!$A$4:$C$32,3,FALSE()),0)</f>
        <v>0</v>
      </c>
      <c r="H810" s="11" t="str">
        <f>IFERROR(VLOOKUP(E810,COLORES!$A$4:$B$102,2,FALSE()),"")</f>
        <v/>
      </c>
      <c r="I810" s="12">
        <f>IFERROR(IF(H810="OSCURO",VLOOKUP(D810,PRECIOS!$A$4:$F$32,2,FALSE()),IF(H810="CLARO",VLOOKUP(D810,PRECIOS!$A$4:$F$32,3,FALSE()),IF(H810="MELANGE",VLOOKUP(D810,PRECIOS!$A$4:$F$32,4,FALSE()),IF(H810="PPT",VLOOKUP(D810,PRECIOS!$A$4:$F$32,5,FALSE()),0)))),0)</f>
        <v>0</v>
      </c>
      <c r="J810" s="12">
        <f t="shared" si="12"/>
        <v>0</v>
      </c>
      <c r="K810" s="13">
        <f>IFERROR(IF(C810="",0,SUMIFS($F$4:$F$809,$C$4:$C$809,C810,$D$4:$D$809,D810,$E$4:$E$809,E810,$B$4:$B$809,"INGRESO")+SUMIFS($F$4:$F$809,$C$4:$C$809,C810,$D$4:$D$809,D810,$E$4:$E$809,E810,$B$4:$B$809,"DE REPROCESO")+SUMIFS($F$4:$F$809,$C$4:$C$809,C810,$D$4:$D$809,D810,$E$4:$E$809,E810,$B$4:$B$809,"AJUSTE+")-SUMIFS($F$4:$F$809,$C$4:$C$809,C810,$D$4:$D$809,D810,$E$4:$E$809,E810,$B$4:$B$809,"A CORTE")-SUMIFS($F$4:$F$809,$C$4:$C$809,C810,$D$4:$D$809,D810,$E$4:$E$809,E810,$B$4:$B$809,"A REPROCESO")-SUMIFS($F$4:$F$809,$C$4:$C$809,C810,$D$4:$D$809,D810,$E$4:$E$809,E810,$B$4:$B$809,"MUESTRA")-SUMIFS($F$4:$F$809,$C$4:$C$809,C810,$D$4:$D$809,D810,$E$4:$E$809,E810,$B$4:$B$809,"AJUSTE-")),0)</f>
        <v>0</v>
      </c>
      <c r="L810" s="13">
        <f t="shared" si="13"/>
        <v>0</v>
      </c>
      <c r="M810" s="8"/>
      <c r="N810" s="14"/>
      <c r="O810" s="14"/>
      <c r="P810" s="14"/>
      <c r="Q810" s="15"/>
      <c r="R810" s="16" t="str">
        <f t="shared" si="14"/>
        <v/>
      </c>
    </row>
    <row r="811" ht="15.75" customHeight="1">
      <c r="A811" s="7"/>
      <c r="B811" s="8"/>
      <c r="C811" s="8"/>
      <c r="D811" s="8"/>
      <c r="E811" s="8"/>
      <c r="F811" s="9"/>
      <c r="G811" s="10">
        <f>IFERROR(F811*VLOOKUP(D811,TELAS!$A$4:$C$32,3,FALSE()),0)</f>
        <v>0</v>
      </c>
      <c r="H811" s="11" t="str">
        <f>IFERROR(VLOOKUP(E811,COLORES!$A$4:$B$102,2,FALSE()),"")</f>
        <v/>
      </c>
      <c r="I811" s="12">
        <f>IFERROR(IF(H811="OSCURO",VLOOKUP(D811,PRECIOS!$A$4:$F$32,2,FALSE()),IF(H811="CLARO",VLOOKUP(D811,PRECIOS!$A$4:$F$32,3,FALSE()),IF(H811="MELANGE",VLOOKUP(D811,PRECIOS!$A$4:$F$32,4,FALSE()),IF(H811="PPT",VLOOKUP(D811,PRECIOS!$A$4:$F$32,5,FALSE()),0)))),0)</f>
        <v>0</v>
      </c>
      <c r="J811" s="12">
        <f t="shared" si="12"/>
        <v>0</v>
      </c>
      <c r="K811" s="13">
        <f>IFERROR(IF(C811="",0,SUMIFS($F$4:$F$810,$C$4:$C$810,C811,$D$4:$D$810,D811,$E$4:$E$810,E811,$B$4:$B$810,"INGRESO")+SUMIFS($F$4:$F$810,$C$4:$C$810,C811,$D$4:$D$810,D811,$E$4:$E$810,E811,$B$4:$B$810,"DE REPROCESO")+SUMIFS($F$4:$F$810,$C$4:$C$810,C811,$D$4:$D$810,D811,$E$4:$E$810,E811,$B$4:$B$810,"AJUSTE+")-SUMIFS($F$4:$F$810,$C$4:$C$810,C811,$D$4:$D$810,D811,$E$4:$E$810,E811,$B$4:$B$810,"A CORTE")-SUMIFS($F$4:$F$810,$C$4:$C$810,C811,$D$4:$D$810,D811,$E$4:$E$810,E811,$B$4:$B$810,"A REPROCESO")-SUMIFS($F$4:$F$810,$C$4:$C$810,C811,$D$4:$D$810,D811,$E$4:$E$810,E811,$B$4:$B$810,"MUESTRA")-SUMIFS($F$4:$F$810,$C$4:$C$810,C811,$D$4:$D$810,D811,$E$4:$E$810,E811,$B$4:$B$810,"AJUSTE-")),0)</f>
        <v>0</v>
      </c>
      <c r="L811" s="13">
        <f t="shared" si="13"/>
        <v>0</v>
      </c>
      <c r="M811" s="8"/>
      <c r="N811" s="14"/>
      <c r="O811" s="14"/>
      <c r="P811" s="14"/>
      <c r="Q811" s="15"/>
      <c r="R811" s="16" t="str">
        <f t="shared" si="14"/>
        <v/>
      </c>
    </row>
    <row r="812" ht="15.75" customHeight="1">
      <c r="A812" s="7"/>
      <c r="B812" s="8"/>
      <c r="C812" s="8"/>
      <c r="D812" s="8"/>
      <c r="E812" s="8"/>
      <c r="F812" s="9"/>
      <c r="G812" s="10">
        <f>IFERROR(F812*VLOOKUP(D812,TELAS!$A$4:$C$32,3,FALSE()),0)</f>
        <v>0</v>
      </c>
      <c r="H812" s="11" t="str">
        <f>IFERROR(VLOOKUP(E812,COLORES!$A$4:$B$102,2,FALSE()),"")</f>
        <v/>
      </c>
      <c r="I812" s="12">
        <f>IFERROR(IF(H812="OSCURO",VLOOKUP(D812,PRECIOS!$A$4:$F$32,2,FALSE()),IF(H812="CLARO",VLOOKUP(D812,PRECIOS!$A$4:$F$32,3,FALSE()),IF(H812="MELANGE",VLOOKUP(D812,PRECIOS!$A$4:$F$32,4,FALSE()),IF(H812="PPT",VLOOKUP(D812,PRECIOS!$A$4:$F$32,5,FALSE()),0)))),0)</f>
        <v>0</v>
      </c>
      <c r="J812" s="12">
        <f t="shared" si="12"/>
        <v>0</v>
      </c>
      <c r="K812" s="13">
        <f>IFERROR(IF(C812="",0,SUMIFS($F$4:$F$811,$C$4:$C$811,C812,$D$4:$D$811,D812,$E$4:$E$811,E812,$B$4:$B$811,"INGRESO")+SUMIFS($F$4:$F$811,$C$4:$C$811,C812,$D$4:$D$811,D812,$E$4:$E$811,E812,$B$4:$B$811,"DE REPROCESO")+SUMIFS($F$4:$F$811,$C$4:$C$811,C812,$D$4:$D$811,D812,$E$4:$E$811,E812,$B$4:$B$811,"AJUSTE+")-SUMIFS($F$4:$F$811,$C$4:$C$811,C812,$D$4:$D$811,D812,$E$4:$E$811,E812,$B$4:$B$811,"A CORTE")-SUMIFS($F$4:$F$811,$C$4:$C$811,C812,$D$4:$D$811,D812,$E$4:$E$811,E812,$B$4:$B$811,"A REPROCESO")-SUMIFS($F$4:$F$811,$C$4:$C$811,C812,$D$4:$D$811,D812,$E$4:$E$811,E812,$B$4:$B$811,"MUESTRA")-SUMIFS($F$4:$F$811,$C$4:$C$811,C812,$D$4:$D$811,D812,$E$4:$E$811,E812,$B$4:$B$811,"AJUSTE-")),0)</f>
        <v>0</v>
      </c>
      <c r="L812" s="13">
        <f t="shared" si="13"/>
        <v>0</v>
      </c>
      <c r="M812" s="8"/>
      <c r="N812" s="14"/>
      <c r="O812" s="14"/>
      <c r="P812" s="14"/>
      <c r="Q812" s="15"/>
      <c r="R812" s="16" t="str">
        <f t="shared" si="14"/>
        <v/>
      </c>
    </row>
    <row r="813" ht="15.75" customHeight="1">
      <c r="A813" s="7"/>
      <c r="B813" s="8"/>
      <c r="C813" s="8"/>
      <c r="D813" s="8"/>
      <c r="E813" s="8"/>
      <c r="F813" s="9"/>
      <c r="G813" s="10">
        <f>IFERROR(F813*VLOOKUP(D813,TELAS!$A$4:$C$32,3,FALSE()),0)</f>
        <v>0</v>
      </c>
      <c r="H813" s="11" t="str">
        <f>IFERROR(VLOOKUP(E813,COLORES!$A$4:$B$102,2,FALSE()),"")</f>
        <v/>
      </c>
      <c r="I813" s="12">
        <f>IFERROR(IF(H813="OSCURO",VLOOKUP(D813,PRECIOS!$A$4:$F$32,2,FALSE()),IF(H813="CLARO",VLOOKUP(D813,PRECIOS!$A$4:$F$32,3,FALSE()),IF(H813="MELANGE",VLOOKUP(D813,PRECIOS!$A$4:$F$32,4,FALSE()),IF(H813="PPT",VLOOKUP(D813,PRECIOS!$A$4:$F$32,5,FALSE()),0)))),0)</f>
        <v>0</v>
      </c>
      <c r="J813" s="12">
        <f t="shared" si="12"/>
        <v>0</v>
      </c>
      <c r="K813" s="13">
        <f>IFERROR(IF(C813="",0,SUMIFS($F$4:$F$812,$C$4:$C$812,C813,$D$4:$D$812,D813,$E$4:$E$812,E813,$B$4:$B$812,"INGRESO")+SUMIFS($F$4:$F$812,$C$4:$C$812,C813,$D$4:$D$812,D813,$E$4:$E$812,E813,$B$4:$B$812,"DE REPROCESO")+SUMIFS($F$4:$F$812,$C$4:$C$812,C813,$D$4:$D$812,D813,$E$4:$E$812,E813,$B$4:$B$812,"AJUSTE+")-SUMIFS($F$4:$F$812,$C$4:$C$812,C813,$D$4:$D$812,D813,$E$4:$E$812,E813,$B$4:$B$812,"A CORTE")-SUMIFS($F$4:$F$812,$C$4:$C$812,C813,$D$4:$D$812,D813,$E$4:$E$812,E813,$B$4:$B$812,"A REPROCESO")-SUMIFS($F$4:$F$812,$C$4:$C$812,C813,$D$4:$D$812,D813,$E$4:$E$812,E813,$B$4:$B$812,"MUESTRA")-SUMIFS($F$4:$F$812,$C$4:$C$812,C813,$D$4:$D$812,D813,$E$4:$E$812,E813,$B$4:$B$812,"AJUSTE-")),0)</f>
        <v>0</v>
      </c>
      <c r="L813" s="13">
        <f t="shared" si="13"/>
        <v>0</v>
      </c>
      <c r="M813" s="8"/>
      <c r="N813" s="14"/>
      <c r="O813" s="14"/>
      <c r="P813" s="14"/>
      <c r="Q813" s="15"/>
      <c r="R813" s="16" t="str">
        <f t="shared" si="14"/>
        <v/>
      </c>
    </row>
    <row r="814" ht="15.75" customHeight="1">
      <c r="A814" s="7"/>
      <c r="B814" s="8"/>
      <c r="C814" s="8"/>
      <c r="D814" s="8"/>
      <c r="E814" s="8"/>
      <c r="F814" s="9"/>
      <c r="G814" s="10">
        <f>IFERROR(F814*VLOOKUP(D814,TELAS!$A$4:$C$32,3,FALSE()),0)</f>
        <v>0</v>
      </c>
      <c r="H814" s="11" t="str">
        <f>IFERROR(VLOOKUP(E814,COLORES!$A$4:$B$102,2,FALSE()),"")</f>
        <v/>
      </c>
      <c r="I814" s="12">
        <f>IFERROR(IF(H814="OSCURO",VLOOKUP(D814,PRECIOS!$A$4:$F$32,2,FALSE()),IF(H814="CLARO",VLOOKUP(D814,PRECIOS!$A$4:$F$32,3,FALSE()),IF(H814="MELANGE",VLOOKUP(D814,PRECIOS!$A$4:$F$32,4,FALSE()),IF(H814="PPT",VLOOKUP(D814,PRECIOS!$A$4:$F$32,5,FALSE()),0)))),0)</f>
        <v>0</v>
      </c>
      <c r="J814" s="12">
        <f t="shared" si="12"/>
        <v>0</v>
      </c>
      <c r="K814" s="13">
        <f>IFERROR(IF(C814="",0,SUMIFS($F$4:$F$813,$C$4:$C$813,C814,$D$4:$D$813,D814,$E$4:$E$813,E814,$B$4:$B$813,"INGRESO")+SUMIFS($F$4:$F$813,$C$4:$C$813,C814,$D$4:$D$813,D814,$E$4:$E$813,E814,$B$4:$B$813,"DE REPROCESO")+SUMIFS($F$4:$F$813,$C$4:$C$813,C814,$D$4:$D$813,D814,$E$4:$E$813,E814,$B$4:$B$813,"AJUSTE+")-SUMIFS($F$4:$F$813,$C$4:$C$813,C814,$D$4:$D$813,D814,$E$4:$E$813,E814,$B$4:$B$813,"A CORTE")-SUMIFS($F$4:$F$813,$C$4:$C$813,C814,$D$4:$D$813,D814,$E$4:$E$813,E814,$B$4:$B$813,"A REPROCESO")-SUMIFS($F$4:$F$813,$C$4:$C$813,C814,$D$4:$D$813,D814,$E$4:$E$813,E814,$B$4:$B$813,"MUESTRA")-SUMIFS($F$4:$F$813,$C$4:$C$813,C814,$D$4:$D$813,D814,$E$4:$E$813,E814,$B$4:$B$813,"AJUSTE-")),0)</f>
        <v>0</v>
      </c>
      <c r="L814" s="13">
        <f t="shared" si="13"/>
        <v>0</v>
      </c>
      <c r="M814" s="8"/>
      <c r="N814" s="14"/>
      <c r="O814" s="14"/>
      <c r="P814" s="14"/>
      <c r="Q814" s="15"/>
      <c r="R814" s="16" t="str">
        <f t="shared" si="14"/>
        <v/>
      </c>
    </row>
    <row r="815" ht="15.75" customHeight="1">
      <c r="A815" s="7"/>
      <c r="B815" s="8"/>
      <c r="C815" s="8"/>
      <c r="D815" s="8"/>
      <c r="E815" s="8"/>
      <c r="F815" s="9"/>
      <c r="G815" s="10">
        <f>IFERROR(F815*VLOOKUP(D815,TELAS!$A$4:$C$32,3,FALSE()),0)</f>
        <v>0</v>
      </c>
      <c r="H815" s="11" t="str">
        <f>IFERROR(VLOOKUP(E815,COLORES!$A$4:$B$102,2,FALSE()),"")</f>
        <v/>
      </c>
      <c r="I815" s="12">
        <f>IFERROR(IF(H815="OSCURO",VLOOKUP(D815,PRECIOS!$A$4:$F$32,2,FALSE()),IF(H815="CLARO",VLOOKUP(D815,PRECIOS!$A$4:$F$32,3,FALSE()),IF(H815="MELANGE",VLOOKUP(D815,PRECIOS!$A$4:$F$32,4,FALSE()),IF(H815="PPT",VLOOKUP(D815,PRECIOS!$A$4:$F$32,5,FALSE()),0)))),0)</f>
        <v>0</v>
      </c>
      <c r="J815" s="12">
        <f t="shared" si="12"/>
        <v>0</v>
      </c>
      <c r="K815" s="13">
        <f>IFERROR(IF(C815="",0,SUMIFS($F$4:$F$814,$C$4:$C$814,C815,$D$4:$D$814,D815,$E$4:$E$814,E815,$B$4:$B$814,"INGRESO")+SUMIFS($F$4:$F$814,$C$4:$C$814,C815,$D$4:$D$814,D815,$E$4:$E$814,E815,$B$4:$B$814,"DE REPROCESO")+SUMIFS($F$4:$F$814,$C$4:$C$814,C815,$D$4:$D$814,D815,$E$4:$E$814,E815,$B$4:$B$814,"AJUSTE+")-SUMIFS($F$4:$F$814,$C$4:$C$814,C815,$D$4:$D$814,D815,$E$4:$E$814,E815,$B$4:$B$814,"A CORTE")-SUMIFS($F$4:$F$814,$C$4:$C$814,C815,$D$4:$D$814,D815,$E$4:$E$814,E815,$B$4:$B$814,"A REPROCESO")-SUMIFS($F$4:$F$814,$C$4:$C$814,C815,$D$4:$D$814,D815,$E$4:$E$814,E815,$B$4:$B$814,"MUESTRA")-SUMIFS($F$4:$F$814,$C$4:$C$814,C815,$D$4:$D$814,D815,$E$4:$E$814,E815,$B$4:$B$814,"AJUSTE-")),0)</f>
        <v>0</v>
      </c>
      <c r="L815" s="13">
        <f t="shared" si="13"/>
        <v>0</v>
      </c>
      <c r="M815" s="8"/>
      <c r="N815" s="14"/>
      <c r="O815" s="14"/>
      <c r="P815" s="14"/>
      <c r="Q815" s="15"/>
      <c r="R815" s="16" t="str">
        <f t="shared" si="14"/>
        <v/>
      </c>
    </row>
    <row r="816" ht="15.75" customHeight="1">
      <c r="A816" s="7"/>
      <c r="B816" s="8"/>
      <c r="C816" s="8"/>
      <c r="D816" s="8"/>
      <c r="E816" s="8"/>
      <c r="F816" s="9"/>
      <c r="G816" s="10">
        <f>IFERROR(F816*VLOOKUP(D816,TELAS!$A$4:$C$32,3,FALSE()),0)</f>
        <v>0</v>
      </c>
      <c r="H816" s="11" t="str">
        <f>IFERROR(VLOOKUP(E816,COLORES!$A$4:$B$102,2,FALSE()),"")</f>
        <v/>
      </c>
      <c r="I816" s="12">
        <f>IFERROR(IF(H816="OSCURO",VLOOKUP(D816,PRECIOS!$A$4:$F$32,2,FALSE()),IF(H816="CLARO",VLOOKUP(D816,PRECIOS!$A$4:$F$32,3,FALSE()),IF(H816="MELANGE",VLOOKUP(D816,PRECIOS!$A$4:$F$32,4,FALSE()),IF(H816="PPT",VLOOKUP(D816,PRECIOS!$A$4:$F$32,5,FALSE()),0)))),0)</f>
        <v>0</v>
      </c>
      <c r="J816" s="12">
        <f t="shared" si="12"/>
        <v>0</v>
      </c>
      <c r="K816" s="13">
        <f>IFERROR(IF(C816="",0,SUMIFS($F$4:$F$815,$C$4:$C$815,C816,$D$4:$D$815,D816,$E$4:$E$815,E816,$B$4:$B$815,"INGRESO")+SUMIFS($F$4:$F$815,$C$4:$C$815,C816,$D$4:$D$815,D816,$E$4:$E$815,E816,$B$4:$B$815,"DE REPROCESO")+SUMIFS($F$4:$F$815,$C$4:$C$815,C816,$D$4:$D$815,D816,$E$4:$E$815,E816,$B$4:$B$815,"AJUSTE+")-SUMIFS($F$4:$F$815,$C$4:$C$815,C816,$D$4:$D$815,D816,$E$4:$E$815,E816,$B$4:$B$815,"A CORTE")-SUMIFS($F$4:$F$815,$C$4:$C$815,C816,$D$4:$D$815,D816,$E$4:$E$815,E816,$B$4:$B$815,"A REPROCESO")-SUMIFS($F$4:$F$815,$C$4:$C$815,C816,$D$4:$D$815,D816,$E$4:$E$815,E816,$B$4:$B$815,"MUESTRA")-SUMIFS($F$4:$F$815,$C$4:$C$815,C816,$D$4:$D$815,D816,$E$4:$E$815,E816,$B$4:$B$815,"AJUSTE-")),0)</f>
        <v>0</v>
      </c>
      <c r="L816" s="13">
        <f t="shared" si="13"/>
        <v>0</v>
      </c>
      <c r="M816" s="8"/>
      <c r="N816" s="14"/>
      <c r="O816" s="14"/>
      <c r="P816" s="14"/>
      <c r="Q816" s="15"/>
      <c r="R816" s="16" t="str">
        <f t="shared" si="14"/>
        <v/>
      </c>
    </row>
    <row r="817" ht="15.75" customHeight="1">
      <c r="A817" s="7"/>
      <c r="B817" s="8"/>
      <c r="C817" s="8"/>
      <c r="D817" s="8"/>
      <c r="E817" s="8"/>
      <c r="F817" s="9"/>
      <c r="G817" s="10">
        <f>IFERROR(F817*VLOOKUP(D817,TELAS!$A$4:$C$32,3,FALSE()),0)</f>
        <v>0</v>
      </c>
      <c r="H817" s="11" t="str">
        <f>IFERROR(VLOOKUP(E817,COLORES!$A$4:$B$102,2,FALSE()),"")</f>
        <v/>
      </c>
      <c r="I817" s="12">
        <f>IFERROR(IF(H817="OSCURO",VLOOKUP(D817,PRECIOS!$A$4:$F$32,2,FALSE()),IF(H817="CLARO",VLOOKUP(D817,PRECIOS!$A$4:$F$32,3,FALSE()),IF(H817="MELANGE",VLOOKUP(D817,PRECIOS!$A$4:$F$32,4,FALSE()),IF(H817="PPT",VLOOKUP(D817,PRECIOS!$A$4:$F$32,5,FALSE()),0)))),0)</f>
        <v>0</v>
      </c>
      <c r="J817" s="12">
        <f t="shared" si="12"/>
        <v>0</v>
      </c>
      <c r="K817" s="13">
        <f>IFERROR(IF(C817="",0,SUMIFS($F$4:$F$816,$C$4:$C$816,C817,$D$4:$D$816,D817,$E$4:$E$816,E817,$B$4:$B$816,"INGRESO")+SUMIFS($F$4:$F$816,$C$4:$C$816,C817,$D$4:$D$816,D817,$E$4:$E$816,E817,$B$4:$B$816,"DE REPROCESO")+SUMIFS($F$4:$F$816,$C$4:$C$816,C817,$D$4:$D$816,D817,$E$4:$E$816,E817,$B$4:$B$816,"AJUSTE+")-SUMIFS($F$4:$F$816,$C$4:$C$816,C817,$D$4:$D$816,D817,$E$4:$E$816,E817,$B$4:$B$816,"A CORTE")-SUMIFS($F$4:$F$816,$C$4:$C$816,C817,$D$4:$D$816,D817,$E$4:$E$816,E817,$B$4:$B$816,"A REPROCESO")-SUMIFS($F$4:$F$816,$C$4:$C$816,C817,$D$4:$D$816,D817,$E$4:$E$816,E817,$B$4:$B$816,"MUESTRA")-SUMIFS($F$4:$F$816,$C$4:$C$816,C817,$D$4:$D$816,D817,$E$4:$E$816,E817,$B$4:$B$816,"AJUSTE-")),0)</f>
        <v>0</v>
      </c>
      <c r="L817" s="13">
        <f t="shared" si="13"/>
        <v>0</v>
      </c>
      <c r="M817" s="8"/>
      <c r="N817" s="14"/>
      <c r="O817" s="14"/>
      <c r="P817" s="14"/>
      <c r="Q817" s="15"/>
      <c r="R817" s="16" t="str">
        <f t="shared" si="14"/>
        <v/>
      </c>
    </row>
    <row r="818" ht="15.75" customHeight="1">
      <c r="A818" s="7"/>
      <c r="B818" s="8"/>
      <c r="C818" s="8"/>
      <c r="D818" s="8"/>
      <c r="E818" s="8"/>
      <c r="F818" s="9"/>
      <c r="G818" s="10">
        <f>IFERROR(F818*VLOOKUP(D818,TELAS!$A$4:$C$32,3,FALSE()),0)</f>
        <v>0</v>
      </c>
      <c r="H818" s="11" t="str">
        <f>IFERROR(VLOOKUP(E818,COLORES!$A$4:$B$102,2,FALSE()),"")</f>
        <v/>
      </c>
      <c r="I818" s="12">
        <f>IFERROR(IF(H818="OSCURO",VLOOKUP(D818,PRECIOS!$A$4:$F$32,2,FALSE()),IF(H818="CLARO",VLOOKUP(D818,PRECIOS!$A$4:$F$32,3,FALSE()),IF(H818="MELANGE",VLOOKUP(D818,PRECIOS!$A$4:$F$32,4,FALSE()),IF(H818="PPT",VLOOKUP(D818,PRECIOS!$A$4:$F$32,5,FALSE()),0)))),0)</f>
        <v>0</v>
      </c>
      <c r="J818" s="12">
        <f t="shared" si="12"/>
        <v>0</v>
      </c>
      <c r="K818" s="13">
        <f>IFERROR(IF(C818="",0,SUMIFS($F$4:$F$817,$C$4:$C$817,C818,$D$4:$D$817,D818,$E$4:$E$817,E818,$B$4:$B$817,"INGRESO")+SUMIFS($F$4:$F$817,$C$4:$C$817,C818,$D$4:$D$817,D818,$E$4:$E$817,E818,$B$4:$B$817,"DE REPROCESO")+SUMIFS($F$4:$F$817,$C$4:$C$817,C818,$D$4:$D$817,D818,$E$4:$E$817,E818,$B$4:$B$817,"AJUSTE+")-SUMIFS($F$4:$F$817,$C$4:$C$817,C818,$D$4:$D$817,D818,$E$4:$E$817,E818,$B$4:$B$817,"A CORTE")-SUMIFS($F$4:$F$817,$C$4:$C$817,C818,$D$4:$D$817,D818,$E$4:$E$817,E818,$B$4:$B$817,"A REPROCESO")-SUMIFS($F$4:$F$817,$C$4:$C$817,C818,$D$4:$D$817,D818,$E$4:$E$817,E818,$B$4:$B$817,"MUESTRA")-SUMIFS($F$4:$F$817,$C$4:$C$817,C818,$D$4:$D$817,D818,$E$4:$E$817,E818,$B$4:$B$817,"AJUSTE-")),0)</f>
        <v>0</v>
      </c>
      <c r="L818" s="13">
        <f t="shared" si="13"/>
        <v>0</v>
      </c>
      <c r="M818" s="8"/>
      <c r="N818" s="14"/>
      <c r="O818" s="14"/>
      <c r="P818" s="14"/>
      <c r="Q818" s="15"/>
      <c r="R818" s="16" t="str">
        <f t="shared" si="14"/>
        <v/>
      </c>
    </row>
    <row r="819" ht="15.75" customHeight="1">
      <c r="A819" s="7"/>
      <c r="B819" s="8"/>
      <c r="C819" s="8"/>
      <c r="D819" s="8"/>
      <c r="E819" s="8"/>
      <c r="F819" s="9"/>
      <c r="G819" s="10">
        <f>IFERROR(F819*VLOOKUP(D819,TELAS!$A$4:$C$32,3,FALSE()),0)</f>
        <v>0</v>
      </c>
      <c r="H819" s="11" t="str">
        <f>IFERROR(VLOOKUP(E819,COLORES!$A$4:$B$102,2,FALSE()),"")</f>
        <v/>
      </c>
      <c r="I819" s="12">
        <f>IFERROR(IF(H819="OSCURO",VLOOKUP(D819,PRECIOS!$A$4:$F$32,2,FALSE()),IF(H819="CLARO",VLOOKUP(D819,PRECIOS!$A$4:$F$32,3,FALSE()),IF(H819="MELANGE",VLOOKUP(D819,PRECIOS!$A$4:$F$32,4,FALSE()),IF(H819="PPT",VLOOKUP(D819,PRECIOS!$A$4:$F$32,5,FALSE()),0)))),0)</f>
        <v>0</v>
      </c>
      <c r="J819" s="12">
        <f t="shared" si="12"/>
        <v>0</v>
      </c>
      <c r="K819" s="13">
        <f>IFERROR(IF(C819="",0,SUMIFS($F$4:$F$818,$C$4:$C$818,C819,$D$4:$D$818,D819,$E$4:$E$818,E819,$B$4:$B$818,"INGRESO")+SUMIFS($F$4:$F$818,$C$4:$C$818,C819,$D$4:$D$818,D819,$E$4:$E$818,E819,$B$4:$B$818,"DE REPROCESO")+SUMIFS($F$4:$F$818,$C$4:$C$818,C819,$D$4:$D$818,D819,$E$4:$E$818,E819,$B$4:$B$818,"AJUSTE+")-SUMIFS($F$4:$F$818,$C$4:$C$818,C819,$D$4:$D$818,D819,$E$4:$E$818,E819,$B$4:$B$818,"A CORTE")-SUMIFS($F$4:$F$818,$C$4:$C$818,C819,$D$4:$D$818,D819,$E$4:$E$818,E819,$B$4:$B$818,"A REPROCESO")-SUMIFS($F$4:$F$818,$C$4:$C$818,C819,$D$4:$D$818,D819,$E$4:$E$818,E819,$B$4:$B$818,"MUESTRA")-SUMIFS($F$4:$F$818,$C$4:$C$818,C819,$D$4:$D$818,D819,$E$4:$E$818,E819,$B$4:$B$818,"AJUSTE-")),0)</f>
        <v>0</v>
      </c>
      <c r="L819" s="13">
        <f t="shared" si="13"/>
        <v>0</v>
      </c>
      <c r="M819" s="8"/>
      <c r="N819" s="14"/>
      <c r="O819" s="14"/>
      <c r="P819" s="14"/>
      <c r="Q819" s="15"/>
      <c r="R819" s="16" t="str">
        <f t="shared" si="14"/>
        <v/>
      </c>
    </row>
    <row r="820" ht="15.75" customHeight="1">
      <c r="A820" s="7"/>
      <c r="B820" s="8"/>
      <c r="C820" s="8"/>
      <c r="D820" s="8"/>
      <c r="E820" s="8"/>
      <c r="F820" s="9"/>
      <c r="G820" s="10">
        <f>IFERROR(F820*VLOOKUP(D820,TELAS!$A$4:$C$32,3,FALSE()),0)</f>
        <v>0</v>
      </c>
      <c r="H820" s="11" t="str">
        <f>IFERROR(VLOOKUP(E820,COLORES!$A$4:$B$102,2,FALSE()),"")</f>
        <v/>
      </c>
      <c r="I820" s="12">
        <f>IFERROR(IF(H820="OSCURO",VLOOKUP(D820,PRECIOS!$A$4:$F$32,2,FALSE()),IF(H820="CLARO",VLOOKUP(D820,PRECIOS!$A$4:$F$32,3,FALSE()),IF(H820="MELANGE",VLOOKUP(D820,PRECIOS!$A$4:$F$32,4,FALSE()),IF(H820="PPT",VLOOKUP(D820,PRECIOS!$A$4:$F$32,5,FALSE()),0)))),0)</f>
        <v>0</v>
      </c>
      <c r="J820" s="12">
        <f t="shared" si="12"/>
        <v>0</v>
      </c>
      <c r="K820" s="13">
        <f>IFERROR(IF(C820="",0,SUMIFS($F$4:$F$819,$C$4:$C$819,C820,$D$4:$D$819,D820,$E$4:$E$819,E820,$B$4:$B$819,"INGRESO")+SUMIFS($F$4:$F$819,$C$4:$C$819,C820,$D$4:$D$819,D820,$E$4:$E$819,E820,$B$4:$B$819,"DE REPROCESO")+SUMIFS($F$4:$F$819,$C$4:$C$819,C820,$D$4:$D$819,D820,$E$4:$E$819,E820,$B$4:$B$819,"AJUSTE+")-SUMIFS($F$4:$F$819,$C$4:$C$819,C820,$D$4:$D$819,D820,$E$4:$E$819,E820,$B$4:$B$819,"A CORTE")-SUMIFS($F$4:$F$819,$C$4:$C$819,C820,$D$4:$D$819,D820,$E$4:$E$819,E820,$B$4:$B$819,"A REPROCESO")-SUMIFS($F$4:$F$819,$C$4:$C$819,C820,$D$4:$D$819,D820,$E$4:$E$819,E820,$B$4:$B$819,"MUESTRA")-SUMIFS($F$4:$F$819,$C$4:$C$819,C820,$D$4:$D$819,D820,$E$4:$E$819,E820,$B$4:$B$819,"AJUSTE-")),0)</f>
        <v>0</v>
      </c>
      <c r="L820" s="13">
        <f t="shared" si="13"/>
        <v>0</v>
      </c>
      <c r="M820" s="8"/>
      <c r="N820" s="14"/>
      <c r="O820" s="14"/>
      <c r="P820" s="14"/>
      <c r="Q820" s="15"/>
      <c r="R820" s="16" t="str">
        <f t="shared" si="14"/>
        <v/>
      </c>
    </row>
    <row r="821" ht="15.75" customHeight="1">
      <c r="A821" s="7"/>
      <c r="B821" s="8"/>
      <c r="C821" s="8"/>
      <c r="D821" s="8"/>
      <c r="E821" s="8"/>
      <c r="F821" s="9"/>
      <c r="G821" s="10">
        <f>IFERROR(F821*VLOOKUP(D821,TELAS!$A$4:$C$32,3,FALSE()),0)</f>
        <v>0</v>
      </c>
      <c r="H821" s="11" t="str">
        <f>IFERROR(VLOOKUP(E821,COLORES!$A$4:$B$102,2,FALSE()),"")</f>
        <v/>
      </c>
      <c r="I821" s="12">
        <f>IFERROR(IF(H821="OSCURO",VLOOKUP(D821,PRECIOS!$A$4:$F$32,2,FALSE()),IF(H821="CLARO",VLOOKUP(D821,PRECIOS!$A$4:$F$32,3,FALSE()),IF(H821="MELANGE",VLOOKUP(D821,PRECIOS!$A$4:$F$32,4,FALSE()),IF(H821="PPT",VLOOKUP(D821,PRECIOS!$A$4:$F$32,5,FALSE()),0)))),0)</f>
        <v>0</v>
      </c>
      <c r="J821" s="12">
        <f t="shared" si="12"/>
        <v>0</v>
      </c>
      <c r="K821" s="13">
        <f>IFERROR(IF(C821="",0,SUMIFS($F$4:$F$820,$C$4:$C$820,C821,$D$4:$D$820,D821,$E$4:$E$820,E821,$B$4:$B$820,"INGRESO")+SUMIFS($F$4:$F$820,$C$4:$C$820,C821,$D$4:$D$820,D821,$E$4:$E$820,E821,$B$4:$B$820,"DE REPROCESO")+SUMIFS($F$4:$F$820,$C$4:$C$820,C821,$D$4:$D$820,D821,$E$4:$E$820,E821,$B$4:$B$820,"AJUSTE+")-SUMIFS($F$4:$F$820,$C$4:$C$820,C821,$D$4:$D$820,D821,$E$4:$E$820,E821,$B$4:$B$820,"A CORTE")-SUMIFS($F$4:$F$820,$C$4:$C$820,C821,$D$4:$D$820,D821,$E$4:$E$820,E821,$B$4:$B$820,"A REPROCESO")-SUMIFS($F$4:$F$820,$C$4:$C$820,C821,$D$4:$D$820,D821,$E$4:$E$820,E821,$B$4:$B$820,"MUESTRA")-SUMIFS($F$4:$F$820,$C$4:$C$820,C821,$D$4:$D$820,D821,$E$4:$E$820,E821,$B$4:$B$820,"AJUSTE-")),0)</f>
        <v>0</v>
      </c>
      <c r="L821" s="13">
        <f t="shared" si="13"/>
        <v>0</v>
      </c>
      <c r="M821" s="8"/>
      <c r="N821" s="14"/>
      <c r="O821" s="14"/>
      <c r="P821" s="14"/>
      <c r="Q821" s="15"/>
      <c r="R821" s="16" t="str">
        <f t="shared" si="14"/>
        <v/>
      </c>
    </row>
    <row r="822" ht="15.75" customHeight="1">
      <c r="A822" s="7"/>
      <c r="B822" s="8"/>
      <c r="C822" s="8"/>
      <c r="D822" s="8"/>
      <c r="E822" s="8"/>
      <c r="F822" s="9"/>
      <c r="G822" s="10">
        <f>IFERROR(F822*VLOOKUP(D822,TELAS!$A$4:$C$32,3,FALSE()),0)</f>
        <v>0</v>
      </c>
      <c r="H822" s="11" t="str">
        <f>IFERROR(VLOOKUP(E822,COLORES!$A$4:$B$102,2,FALSE()),"")</f>
        <v/>
      </c>
      <c r="I822" s="12">
        <f>IFERROR(IF(H822="OSCURO",VLOOKUP(D822,PRECIOS!$A$4:$F$32,2,FALSE()),IF(H822="CLARO",VLOOKUP(D822,PRECIOS!$A$4:$F$32,3,FALSE()),IF(H822="MELANGE",VLOOKUP(D822,PRECIOS!$A$4:$F$32,4,FALSE()),IF(H822="PPT",VLOOKUP(D822,PRECIOS!$A$4:$F$32,5,FALSE()),0)))),0)</f>
        <v>0</v>
      </c>
      <c r="J822" s="12">
        <f t="shared" si="12"/>
        <v>0</v>
      </c>
      <c r="K822" s="13">
        <f>IFERROR(IF(C822="",0,SUMIFS($F$4:$F$821,$C$4:$C$821,C822,$D$4:$D$821,D822,$E$4:$E$821,E822,$B$4:$B$821,"INGRESO")+SUMIFS($F$4:$F$821,$C$4:$C$821,C822,$D$4:$D$821,D822,$E$4:$E$821,E822,$B$4:$B$821,"DE REPROCESO")+SUMIFS($F$4:$F$821,$C$4:$C$821,C822,$D$4:$D$821,D822,$E$4:$E$821,E822,$B$4:$B$821,"AJUSTE+")-SUMIFS($F$4:$F$821,$C$4:$C$821,C822,$D$4:$D$821,D822,$E$4:$E$821,E822,$B$4:$B$821,"A CORTE")-SUMIFS($F$4:$F$821,$C$4:$C$821,C822,$D$4:$D$821,D822,$E$4:$E$821,E822,$B$4:$B$821,"A REPROCESO")-SUMIFS($F$4:$F$821,$C$4:$C$821,C822,$D$4:$D$821,D822,$E$4:$E$821,E822,$B$4:$B$821,"MUESTRA")-SUMIFS($F$4:$F$821,$C$4:$C$821,C822,$D$4:$D$821,D822,$E$4:$E$821,E822,$B$4:$B$821,"AJUSTE-")),0)</f>
        <v>0</v>
      </c>
      <c r="L822" s="13">
        <f t="shared" si="13"/>
        <v>0</v>
      </c>
      <c r="M822" s="8"/>
      <c r="N822" s="14"/>
      <c r="O822" s="14"/>
      <c r="P822" s="14"/>
      <c r="Q822" s="15"/>
      <c r="R822" s="16" t="str">
        <f t="shared" si="14"/>
        <v/>
      </c>
    </row>
    <row r="823" ht="15.75" customHeight="1">
      <c r="A823" s="7"/>
      <c r="B823" s="8"/>
      <c r="C823" s="8"/>
      <c r="D823" s="8"/>
      <c r="E823" s="8"/>
      <c r="F823" s="9"/>
      <c r="G823" s="10">
        <f>IFERROR(F823*VLOOKUP(D823,TELAS!$A$4:$C$32,3,FALSE()),0)</f>
        <v>0</v>
      </c>
      <c r="H823" s="11" t="str">
        <f>IFERROR(VLOOKUP(E823,COLORES!$A$4:$B$102,2,FALSE()),"")</f>
        <v/>
      </c>
      <c r="I823" s="12">
        <f>IFERROR(IF(H823="OSCURO",VLOOKUP(D823,PRECIOS!$A$4:$F$32,2,FALSE()),IF(H823="CLARO",VLOOKUP(D823,PRECIOS!$A$4:$F$32,3,FALSE()),IF(H823="MELANGE",VLOOKUP(D823,PRECIOS!$A$4:$F$32,4,FALSE()),IF(H823="PPT",VLOOKUP(D823,PRECIOS!$A$4:$F$32,5,FALSE()),0)))),0)</f>
        <v>0</v>
      </c>
      <c r="J823" s="12">
        <f t="shared" si="12"/>
        <v>0</v>
      </c>
      <c r="K823" s="13">
        <f>IFERROR(IF(C823="",0,SUMIFS($F$4:$F$822,$C$4:$C$822,C823,$D$4:$D$822,D823,$E$4:$E$822,E823,$B$4:$B$822,"INGRESO")+SUMIFS($F$4:$F$822,$C$4:$C$822,C823,$D$4:$D$822,D823,$E$4:$E$822,E823,$B$4:$B$822,"DE REPROCESO")+SUMIFS($F$4:$F$822,$C$4:$C$822,C823,$D$4:$D$822,D823,$E$4:$E$822,E823,$B$4:$B$822,"AJUSTE+")-SUMIFS($F$4:$F$822,$C$4:$C$822,C823,$D$4:$D$822,D823,$E$4:$E$822,E823,$B$4:$B$822,"A CORTE")-SUMIFS($F$4:$F$822,$C$4:$C$822,C823,$D$4:$D$822,D823,$E$4:$E$822,E823,$B$4:$B$822,"A REPROCESO")-SUMIFS($F$4:$F$822,$C$4:$C$822,C823,$D$4:$D$822,D823,$E$4:$E$822,E823,$B$4:$B$822,"MUESTRA")-SUMIFS($F$4:$F$822,$C$4:$C$822,C823,$D$4:$D$822,D823,$E$4:$E$822,E823,$B$4:$B$822,"AJUSTE-")),0)</f>
        <v>0</v>
      </c>
      <c r="L823" s="13">
        <f t="shared" si="13"/>
        <v>0</v>
      </c>
      <c r="M823" s="8"/>
      <c r="N823" s="14"/>
      <c r="O823" s="14"/>
      <c r="P823" s="14"/>
      <c r="Q823" s="15"/>
      <c r="R823" s="16" t="str">
        <f t="shared" si="14"/>
        <v/>
      </c>
    </row>
    <row r="824" ht="15.75" customHeight="1">
      <c r="A824" s="7"/>
      <c r="B824" s="8"/>
      <c r="C824" s="8"/>
      <c r="D824" s="8"/>
      <c r="E824" s="8"/>
      <c r="F824" s="9"/>
      <c r="G824" s="10">
        <f>IFERROR(F824*VLOOKUP(D824,TELAS!$A$4:$C$32,3,FALSE()),0)</f>
        <v>0</v>
      </c>
      <c r="H824" s="11" t="str">
        <f>IFERROR(VLOOKUP(E824,COLORES!$A$4:$B$102,2,FALSE()),"")</f>
        <v/>
      </c>
      <c r="I824" s="12">
        <f>IFERROR(IF(H824="OSCURO",VLOOKUP(D824,PRECIOS!$A$4:$F$32,2,FALSE()),IF(H824="CLARO",VLOOKUP(D824,PRECIOS!$A$4:$F$32,3,FALSE()),IF(H824="MELANGE",VLOOKUP(D824,PRECIOS!$A$4:$F$32,4,FALSE()),IF(H824="PPT",VLOOKUP(D824,PRECIOS!$A$4:$F$32,5,FALSE()),0)))),0)</f>
        <v>0</v>
      </c>
      <c r="J824" s="12">
        <f t="shared" si="12"/>
        <v>0</v>
      </c>
      <c r="K824" s="13">
        <f>IFERROR(IF(C824="",0,SUMIFS($F$4:$F$823,$C$4:$C$823,C824,$D$4:$D$823,D824,$E$4:$E$823,E824,$B$4:$B$823,"INGRESO")+SUMIFS($F$4:$F$823,$C$4:$C$823,C824,$D$4:$D$823,D824,$E$4:$E$823,E824,$B$4:$B$823,"DE REPROCESO")+SUMIFS($F$4:$F$823,$C$4:$C$823,C824,$D$4:$D$823,D824,$E$4:$E$823,E824,$B$4:$B$823,"AJUSTE+")-SUMIFS($F$4:$F$823,$C$4:$C$823,C824,$D$4:$D$823,D824,$E$4:$E$823,E824,$B$4:$B$823,"A CORTE")-SUMIFS($F$4:$F$823,$C$4:$C$823,C824,$D$4:$D$823,D824,$E$4:$E$823,E824,$B$4:$B$823,"A REPROCESO")-SUMIFS($F$4:$F$823,$C$4:$C$823,C824,$D$4:$D$823,D824,$E$4:$E$823,E824,$B$4:$B$823,"MUESTRA")-SUMIFS($F$4:$F$823,$C$4:$C$823,C824,$D$4:$D$823,D824,$E$4:$E$823,E824,$B$4:$B$823,"AJUSTE-")),0)</f>
        <v>0</v>
      </c>
      <c r="L824" s="13">
        <f t="shared" si="13"/>
        <v>0</v>
      </c>
      <c r="M824" s="8"/>
      <c r="N824" s="14"/>
      <c r="O824" s="14"/>
      <c r="P824" s="14"/>
      <c r="Q824" s="15"/>
      <c r="R824" s="16" t="str">
        <f t="shared" si="14"/>
        <v/>
      </c>
    </row>
    <row r="825" ht="15.75" customHeight="1">
      <c r="A825" s="7"/>
      <c r="B825" s="8"/>
      <c r="C825" s="8"/>
      <c r="D825" s="8"/>
      <c r="E825" s="8"/>
      <c r="F825" s="9"/>
      <c r="G825" s="10">
        <f>IFERROR(F825*VLOOKUP(D825,TELAS!$A$4:$C$32,3,FALSE()),0)</f>
        <v>0</v>
      </c>
      <c r="H825" s="11" t="str">
        <f>IFERROR(VLOOKUP(E825,COLORES!$A$4:$B$102,2,FALSE()),"")</f>
        <v/>
      </c>
      <c r="I825" s="12">
        <f>IFERROR(IF(H825="OSCURO",VLOOKUP(D825,PRECIOS!$A$4:$F$32,2,FALSE()),IF(H825="CLARO",VLOOKUP(D825,PRECIOS!$A$4:$F$32,3,FALSE()),IF(H825="MELANGE",VLOOKUP(D825,PRECIOS!$A$4:$F$32,4,FALSE()),IF(H825="PPT",VLOOKUP(D825,PRECIOS!$A$4:$F$32,5,FALSE()),0)))),0)</f>
        <v>0</v>
      </c>
      <c r="J825" s="12">
        <f t="shared" si="12"/>
        <v>0</v>
      </c>
      <c r="K825" s="13">
        <f>IFERROR(IF(C825="",0,SUMIFS($F$4:$F$824,$C$4:$C$824,C825,$D$4:$D$824,D825,$E$4:$E$824,E825,$B$4:$B$824,"INGRESO")+SUMIFS($F$4:$F$824,$C$4:$C$824,C825,$D$4:$D$824,D825,$E$4:$E$824,E825,$B$4:$B$824,"DE REPROCESO")+SUMIFS($F$4:$F$824,$C$4:$C$824,C825,$D$4:$D$824,D825,$E$4:$E$824,E825,$B$4:$B$824,"AJUSTE+")-SUMIFS($F$4:$F$824,$C$4:$C$824,C825,$D$4:$D$824,D825,$E$4:$E$824,E825,$B$4:$B$824,"A CORTE")-SUMIFS($F$4:$F$824,$C$4:$C$824,C825,$D$4:$D$824,D825,$E$4:$E$824,E825,$B$4:$B$824,"A REPROCESO")-SUMIFS($F$4:$F$824,$C$4:$C$824,C825,$D$4:$D$824,D825,$E$4:$E$824,E825,$B$4:$B$824,"MUESTRA")-SUMIFS($F$4:$F$824,$C$4:$C$824,C825,$D$4:$D$824,D825,$E$4:$E$824,E825,$B$4:$B$824,"AJUSTE-")),0)</f>
        <v>0</v>
      </c>
      <c r="L825" s="13">
        <f t="shared" si="13"/>
        <v>0</v>
      </c>
      <c r="M825" s="8"/>
      <c r="N825" s="14"/>
      <c r="O825" s="14"/>
      <c r="P825" s="14"/>
      <c r="Q825" s="15"/>
      <c r="R825" s="16" t="str">
        <f t="shared" si="14"/>
        <v/>
      </c>
    </row>
    <row r="826" ht="15.75" customHeight="1">
      <c r="A826" s="7"/>
      <c r="B826" s="8"/>
      <c r="C826" s="8"/>
      <c r="D826" s="8"/>
      <c r="E826" s="8"/>
      <c r="F826" s="9"/>
      <c r="G826" s="10">
        <f>IFERROR(F826*VLOOKUP(D826,TELAS!$A$4:$C$32,3,FALSE()),0)</f>
        <v>0</v>
      </c>
      <c r="H826" s="11" t="str">
        <f>IFERROR(VLOOKUP(E826,COLORES!$A$4:$B$102,2,FALSE()),"")</f>
        <v/>
      </c>
      <c r="I826" s="12">
        <f>IFERROR(IF(H826="OSCURO",VLOOKUP(D826,PRECIOS!$A$4:$F$32,2,FALSE()),IF(H826="CLARO",VLOOKUP(D826,PRECIOS!$A$4:$F$32,3,FALSE()),IF(H826="MELANGE",VLOOKUP(D826,PRECIOS!$A$4:$F$32,4,FALSE()),IF(H826="PPT",VLOOKUP(D826,PRECIOS!$A$4:$F$32,5,FALSE()),0)))),0)</f>
        <v>0</v>
      </c>
      <c r="J826" s="12">
        <f t="shared" si="12"/>
        <v>0</v>
      </c>
      <c r="K826" s="13">
        <f>IFERROR(IF(C826="",0,SUMIFS($F$4:$F$825,$C$4:$C$825,C826,$D$4:$D$825,D826,$E$4:$E$825,E826,$B$4:$B$825,"INGRESO")+SUMIFS($F$4:$F$825,$C$4:$C$825,C826,$D$4:$D$825,D826,$E$4:$E$825,E826,$B$4:$B$825,"DE REPROCESO")+SUMIFS($F$4:$F$825,$C$4:$C$825,C826,$D$4:$D$825,D826,$E$4:$E$825,E826,$B$4:$B$825,"AJUSTE+")-SUMIFS($F$4:$F$825,$C$4:$C$825,C826,$D$4:$D$825,D826,$E$4:$E$825,E826,$B$4:$B$825,"A CORTE")-SUMIFS($F$4:$F$825,$C$4:$C$825,C826,$D$4:$D$825,D826,$E$4:$E$825,E826,$B$4:$B$825,"A REPROCESO")-SUMIFS($F$4:$F$825,$C$4:$C$825,C826,$D$4:$D$825,D826,$E$4:$E$825,E826,$B$4:$B$825,"MUESTRA")-SUMIFS($F$4:$F$825,$C$4:$C$825,C826,$D$4:$D$825,D826,$E$4:$E$825,E826,$B$4:$B$825,"AJUSTE-")),0)</f>
        <v>0</v>
      </c>
      <c r="L826" s="13">
        <f t="shared" si="13"/>
        <v>0</v>
      </c>
      <c r="M826" s="8"/>
      <c r="N826" s="14"/>
      <c r="O826" s="14"/>
      <c r="P826" s="14"/>
      <c r="Q826" s="15"/>
      <c r="R826" s="16" t="str">
        <f t="shared" si="14"/>
        <v/>
      </c>
    </row>
    <row r="827" ht="15.75" customHeight="1">
      <c r="A827" s="7"/>
      <c r="B827" s="8"/>
      <c r="C827" s="8"/>
      <c r="D827" s="8"/>
      <c r="E827" s="8"/>
      <c r="F827" s="9"/>
      <c r="G827" s="10">
        <f>IFERROR(F827*VLOOKUP(D827,TELAS!$A$4:$C$32,3,FALSE()),0)</f>
        <v>0</v>
      </c>
      <c r="H827" s="11" t="str">
        <f>IFERROR(VLOOKUP(E827,COLORES!$A$4:$B$102,2,FALSE()),"")</f>
        <v/>
      </c>
      <c r="I827" s="12">
        <f>IFERROR(IF(H827="OSCURO",VLOOKUP(D827,PRECIOS!$A$4:$F$32,2,FALSE()),IF(H827="CLARO",VLOOKUP(D827,PRECIOS!$A$4:$F$32,3,FALSE()),IF(H827="MELANGE",VLOOKUP(D827,PRECIOS!$A$4:$F$32,4,FALSE()),IF(H827="PPT",VLOOKUP(D827,PRECIOS!$A$4:$F$32,5,FALSE()),0)))),0)</f>
        <v>0</v>
      </c>
      <c r="J827" s="12">
        <f t="shared" si="12"/>
        <v>0</v>
      </c>
      <c r="K827" s="13">
        <f>IFERROR(IF(C827="",0,SUMIFS($F$4:$F$826,$C$4:$C$826,C827,$D$4:$D$826,D827,$E$4:$E$826,E827,$B$4:$B$826,"INGRESO")+SUMIFS($F$4:$F$826,$C$4:$C$826,C827,$D$4:$D$826,D827,$E$4:$E$826,E827,$B$4:$B$826,"DE REPROCESO")+SUMIFS($F$4:$F$826,$C$4:$C$826,C827,$D$4:$D$826,D827,$E$4:$E$826,E827,$B$4:$B$826,"AJUSTE+")-SUMIFS($F$4:$F$826,$C$4:$C$826,C827,$D$4:$D$826,D827,$E$4:$E$826,E827,$B$4:$B$826,"A CORTE")-SUMIFS($F$4:$F$826,$C$4:$C$826,C827,$D$4:$D$826,D827,$E$4:$E$826,E827,$B$4:$B$826,"A REPROCESO")-SUMIFS($F$4:$F$826,$C$4:$C$826,C827,$D$4:$D$826,D827,$E$4:$E$826,E827,$B$4:$B$826,"MUESTRA")-SUMIFS($F$4:$F$826,$C$4:$C$826,C827,$D$4:$D$826,D827,$E$4:$E$826,E827,$B$4:$B$826,"AJUSTE-")),0)</f>
        <v>0</v>
      </c>
      <c r="L827" s="13">
        <f t="shared" si="13"/>
        <v>0</v>
      </c>
      <c r="M827" s="8"/>
      <c r="N827" s="14"/>
      <c r="O827" s="14"/>
      <c r="P827" s="14"/>
      <c r="Q827" s="15"/>
      <c r="R827" s="16" t="str">
        <f t="shared" si="14"/>
        <v/>
      </c>
    </row>
    <row r="828" ht="15.75" customHeight="1">
      <c r="A828" s="7"/>
      <c r="B828" s="8"/>
      <c r="C828" s="8"/>
      <c r="D828" s="8"/>
      <c r="E828" s="8"/>
      <c r="F828" s="9"/>
      <c r="G828" s="10">
        <f>IFERROR(F828*VLOOKUP(D828,TELAS!$A$4:$C$32,3,FALSE()),0)</f>
        <v>0</v>
      </c>
      <c r="H828" s="11" t="str">
        <f>IFERROR(VLOOKUP(E828,COLORES!$A$4:$B$102,2,FALSE()),"")</f>
        <v/>
      </c>
      <c r="I828" s="12">
        <f>IFERROR(IF(H828="OSCURO",VLOOKUP(D828,PRECIOS!$A$4:$F$32,2,FALSE()),IF(H828="CLARO",VLOOKUP(D828,PRECIOS!$A$4:$F$32,3,FALSE()),IF(H828="MELANGE",VLOOKUP(D828,PRECIOS!$A$4:$F$32,4,FALSE()),IF(H828="PPT",VLOOKUP(D828,PRECIOS!$A$4:$F$32,5,FALSE()),0)))),0)</f>
        <v>0</v>
      </c>
      <c r="J828" s="12">
        <f t="shared" si="12"/>
        <v>0</v>
      </c>
      <c r="K828" s="13">
        <f>IFERROR(IF(C828="",0,SUMIFS($F$4:$F$827,$C$4:$C$827,C828,$D$4:$D$827,D828,$E$4:$E$827,E828,$B$4:$B$827,"INGRESO")+SUMIFS($F$4:$F$827,$C$4:$C$827,C828,$D$4:$D$827,D828,$E$4:$E$827,E828,$B$4:$B$827,"DE REPROCESO")+SUMIFS($F$4:$F$827,$C$4:$C$827,C828,$D$4:$D$827,D828,$E$4:$E$827,E828,$B$4:$B$827,"AJUSTE+")-SUMIFS($F$4:$F$827,$C$4:$C$827,C828,$D$4:$D$827,D828,$E$4:$E$827,E828,$B$4:$B$827,"A CORTE")-SUMIFS($F$4:$F$827,$C$4:$C$827,C828,$D$4:$D$827,D828,$E$4:$E$827,E828,$B$4:$B$827,"A REPROCESO")-SUMIFS($F$4:$F$827,$C$4:$C$827,C828,$D$4:$D$827,D828,$E$4:$E$827,E828,$B$4:$B$827,"MUESTRA")-SUMIFS($F$4:$F$827,$C$4:$C$827,C828,$D$4:$D$827,D828,$E$4:$E$827,E828,$B$4:$B$827,"AJUSTE-")),0)</f>
        <v>0</v>
      </c>
      <c r="L828" s="13">
        <f t="shared" si="13"/>
        <v>0</v>
      </c>
      <c r="M828" s="8"/>
      <c r="N828" s="14"/>
      <c r="O828" s="14"/>
      <c r="P828" s="14"/>
      <c r="Q828" s="15"/>
      <c r="R828" s="16" t="str">
        <f t="shared" si="14"/>
        <v/>
      </c>
    </row>
    <row r="829" ht="15.75" customHeight="1">
      <c r="A829" s="7"/>
      <c r="B829" s="8"/>
      <c r="C829" s="8"/>
      <c r="D829" s="8"/>
      <c r="E829" s="8"/>
      <c r="F829" s="9"/>
      <c r="G829" s="10">
        <f>IFERROR(F829*VLOOKUP(D829,TELAS!$A$4:$C$32,3,FALSE()),0)</f>
        <v>0</v>
      </c>
      <c r="H829" s="11" t="str">
        <f>IFERROR(VLOOKUP(E829,COLORES!$A$4:$B$102,2,FALSE()),"")</f>
        <v/>
      </c>
      <c r="I829" s="12">
        <f>IFERROR(IF(H829="OSCURO",VLOOKUP(D829,PRECIOS!$A$4:$F$32,2,FALSE()),IF(H829="CLARO",VLOOKUP(D829,PRECIOS!$A$4:$F$32,3,FALSE()),IF(H829="MELANGE",VLOOKUP(D829,PRECIOS!$A$4:$F$32,4,FALSE()),IF(H829="PPT",VLOOKUP(D829,PRECIOS!$A$4:$F$32,5,FALSE()),0)))),0)</f>
        <v>0</v>
      </c>
      <c r="J829" s="12">
        <f t="shared" si="12"/>
        <v>0</v>
      </c>
      <c r="K829" s="13">
        <f>IFERROR(IF(C829="",0,SUMIFS($F$4:$F$828,$C$4:$C$828,C829,$D$4:$D$828,D829,$E$4:$E$828,E829,$B$4:$B$828,"INGRESO")+SUMIFS($F$4:$F$828,$C$4:$C$828,C829,$D$4:$D$828,D829,$E$4:$E$828,E829,$B$4:$B$828,"DE REPROCESO")+SUMIFS($F$4:$F$828,$C$4:$C$828,C829,$D$4:$D$828,D829,$E$4:$E$828,E829,$B$4:$B$828,"AJUSTE+")-SUMIFS($F$4:$F$828,$C$4:$C$828,C829,$D$4:$D$828,D829,$E$4:$E$828,E829,$B$4:$B$828,"A CORTE")-SUMIFS($F$4:$F$828,$C$4:$C$828,C829,$D$4:$D$828,D829,$E$4:$E$828,E829,$B$4:$B$828,"A REPROCESO")-SUMIFS($F$4:$F$828,$C$4:$C$828,C829,$D$4:$D$828,D829,$E$4:$E$828,E829,$B$4:$B$828,"MUESTRA")-SUMIFS($F$4:$F$828,$C$4:$C$828,C829,$D$4:$D$828,D829,$E$4:$E$828,E829,$B$4:$B$828,"AJUSTE-")),0)</f>
        <v>0</v>
      </c>
      <c r="L829" s="13">
        <f t="shared" si="13"/>
        <v>0</v>
      </c>
      <c r="M829" s="8"/>
      <c r="N829" s="14"/>
      <c r="O829" s="14"/>
      <c r="P829" s="14"/>
      <c r="Q829" s="15"/>
      <c r="R829" s="16" t="str">
        <f t="shared" si="14"/>
        <v/>
      </c>
    </row>
    <row r="830" ht="15.75" customHeight="1">
      <c r="A830" s="7"/>
      <c r="B830" s="8"/>
      <c r="C830" s="8"/>
      <c r="D830" s="8"/>
      <c r="E830" s="8"/>
      <c r="F830" s="9"/>
      <c r="G830" s="10">
        <f>IFERROR(F830*VLOOKUP(D830,TELAS!$A$4:$C$32,3,FALSE()),0)</f>
        <v>0</v>
      </c>
      <c r="H830" s="11" t="str">
        <f>IFERROR(VLOOKUP(E830,COLORES!$A$4:$B$102,2,FALSE()),"")</f>
        <v/>
      </c>
      <c r="I830" s="12">
        <f>IFERROR(IF(H830="OSCURO",VLOOKUP(D830,PRECIOS!$A$4:$F$32,2,FALSE()),IF(H830="CLARO",VLOOKUP(D830,PRECIOS!$A$4:$F$32,3,FALSE()),IF(H830="MELANGE",VLOOKUP(D830,PRECIOS!$A$4:$F$32,4,FALSE()),IF(H830="PPT",VLOOKUP(D830,PRECIOS!$A$4:$F$32,5,FALSE()),0)))),0)</f>
        <v>0</v>
      </c>
      <c r="J830" s="12">
        <f t="shared" si="12"/>
        <v>0</v>
      </c>
      <c r="K830" s="13">
        <f>IFERROR(IF(C830="",0,SUMIFS($F$4:$F$829,$C$4:$C$829,C830,$D$4:$D$829,D830,$E$4:$E$829,E830,$B$4:$B$829,"INGRESO")+SUMIFS($F$4:$F$829,$C$4:$C$829,C830,$D$4:$D$829,D830,$E$4:$E$829,E830,$B$4:$B$829,"DE REPROCESO")+SUMIFS($F$4:$F$829,$C$4:$C$829,C830,$D$4:$D$829,D830,$E$4:$E$829,E830,$B$4:$B$829,"AJUSTE+")-SUMIFS($F$4:$F$829,$C$4:$C$829,C830,$D$4:$D$829,D830,$E$4:$E$829,E830,$B$4:$B$829,"A CORTE")-SUMIFS($F$4:$F$829,$C$4:$C$829,C830,$D$4:$D$829,D830,$E$4:$E$829,E830,$B$4:$B$829,"A REPROCESO")-SUMIFS($F$4:$F$829,$C$4:$C$829,C830,$D$4:$D$829,D830,$E$4:$E$829,E830,$B$4:$B$829,"MUESTRA")-SUMIFS($F$4:$F$829,$C$4:$C$829,C830,$D$4:$D$829,D830,$E$4:$E$829,E830,$B$4:$B$829,"AJUSTE-")),0)</f>
        <v>0</v>
      </c>
      <c r="L830" s="13">
        <f t="shared" si="13"/>
        <v>0</v>
      </c>
      <c r="M830" s="8"/>
      <c r="N830" s="14"/>
      <c r="O830" s="14"/>
      <c r="P830" s="14"/>
      <c r="Q830" s="15"/>
      <c r="R830" s="16" t="str">
        <f t="shared" si="14"/>
        <v/>
      </c>
    </row>
    <row r="831" ht="15.75" customHeight="1">
      <c r="A831" s="7"/>
      <c r="B831" s="8"/>
      <c r="C831" s="8"/>
      <c r="D831" s="8"/>
      <c r="E831" s="8"/>
      <c r="F831" s="9"/>
      <c r="G831" s="10">
        <f>IFERROR(F831*VLOOKUP(D831,TELAS!$A$4:$C$32,3,FALSE()),0)</f>
        <v>0</v>
      </c>
      <c r="H831" s="11" t="str">
        <f>IFERROR(VLOOKUP(E831,COLORES!$A$4:$B$102,2,FALSE()),"")</f>
        <v/>
      </c>
      <c r="I831" s="12">
        <f>IFERROR(IF(H831="OSCURO",VLOOKUP(D831,PRECIOS!$A$4:$F$32,2,FALSE()),IF(H831="CLARO",VLOOKUP(D831,PRECIOS!$A$4:$F$32,3,FALSE()),IF(H831="MELANGE",VLOOKUP(D831,PRECIOS!$A$4:$F$32,4,FALSE()),IF(H831="PPT",VLOOKUP(D831,PRECIOS!$A$4:$F$32,5,FALSE()),0)))),0)</f>
        <v>0</v>
      </c>
      <c r="J831" s="12">
        <f t="shared" si="12"/>
        <v>0</v>
      </c>
      <c r="K831" s="13">
        <f>IFERROR(IF(C831="",0,SUMIFS($F$4:$F$830,$C$4:$C$830,C831,$D$4:$D$830,D831,$E$4:$E$830,E831,$B$4:$B$830,"INGRESO")+SUMIFS($F$4:$F$830,$C$4:$C$830,C831,$D$4:$D$830,D831,$E$4:$E$830,E831,$B$4:$B$830,"DE REPROCESO")+SUMIFS($F$4:$F$830,$C$4:$C$830,C831,$D$4:$D$830,D831,$E$4:$E$830,E831,$B$4:$B$830,"AJUSTE+")-SUMIFS($F$4:$F$830,$C$4:$C$830,C831,$D$4:$D$830,D831,$E$4:$E$830,E831,$B$4:$B$830,"A CORTE")-SUMIFS($F$4:$F$830,$C$4:$C$830,C831,$D$4:$D$830,D831,$E$4:$E$830,E831,$B$4:$B$830,"A REPROCESO")-SUMIFS($F$4:$F$830,$C$4:$C$830,C831,$D$4:$D$830,D831,$E$4:$E$830,E831,$B$4:$B$830,"MUESTRA")-SUMIFS($F$4:$F$830,$C$4:$C$830,C831,$D$4:$D$830,D831,$E$4:$E$830,E831,$B$4:$B$830,"AJUSTE-")),0)</f>
        <v>0</v>
      </c>
      <c r="L831" s="13">
        <f t="shared" si="13"/>
        <v>0</v>
      </c>
      <c r="M831" s="8"/>
      <c r="N831" s="14"/>
      <c r="O831" s="14"/>
      <c r="P831" s="14"/>
      <c r="Q831" s="15"/>
      <c r="R831" s="16" t="str">
        <f t="shared" si="14"/>
        <v/>
      </c>
    </row>
    <row r="832" ht="15.75" customHeight="1">
      <c r="A832" s="7"/>
      <c r="B832" s="8"/>
      <c r="C832" s="8"/>
      <c r="D832" s="8"/>
      <c r="E832" s="8"/>
      <c r="F832" s="9"/>
      <c r="G832" s="10">
        <f>IFERROR(F832*VLOOKUP(D832,TELAS!$A$4:$C$32,3,FALSE()),0)</f>
        <v>0</v>
      </c>
      <c r="H832" s="11" t="str">
        <f>IFERROR(VLOOKUP(E832,COLORES!$A$4:$B$102,2,FALSE()),"")</f>
        <v/>
      </c>
      <c r="I832" s="12">
        <f>IFERROR(IF(H832="OSCURO",VLOOKUP(D832,PRECIOS!$A$4:$F$32,2,FALSE()),IF(H832="CLARO",VLOOKUP(D832,PRECIOS!$A$4:$F$32,3,FALSE()),IF(H832="MELANGE",VLOOKUP(D832,PRECIOS!$A$4:$F$32,4,FALSE()),IF(H832="PPT",VLOOKUP(D832,PRECIOS!$A$4:$F$32,5,FALSE()),0)))),0)</f>
        <v>0</v>
      </c>
      <c r="J832" s="12">
        <f t="shared" si="12"/>
        <v>0</v>
      </c>
      <c r="K832" s="13">
        <f>IFERROR(IF(C832="",0,SUMIFS($F$4:$F$831,$C$4:$C$831,C832,$D$4:$D$831,D832,$E$4:$E$831,E832,$B$4:$B$831,"INGRESO")+SUMIFS($F$4:$F$831,$C$4:$C$831,C832,$D$4:$D$831,D832,$E$4:$E$831,E832,$B$4:$B$831,"DE REPROCESO")+SUMIFS($F$4:$F$831,$C$4:$C$831,C832,$D$4:$D$831,D832,$E$4:$E$831,E832,$B$4:$B$831,"AJUSTE+")-SUMIFS($F$4:$F$831,$C$4:$C$831,C832,$D$4:$D$831,D832,$E$4:$E$831,E832,$B$4:$B$831,"A CORTE")-SUMIFS($F$4:$F$831,$C$4:$C$831,C832,$D$4:$D$831,D832,$E$4:$E$831,E832,$B$4:$B$831,"A REPROCESO")-SUMIFS($F$4:$F$831,$C$4:$C$831,C832,$D$4:$D$831,D832,$E$4:$E$831,E832,$B$4:$B$831,"MUESTRA")-SUMIFS($F$4:$F$831,$C$4:$C$831,C832,$D$4:$D$831,D832,$E$4:$E$831,E832,$B$4:$B$831,"AJUSTE-")),0)</f>
        <v>0</v>
      </c>
      <c r="L832" s="13">
        <f t="shared" si="13"/>
        <v>0</v>
      </c>
      <c r="M832" s="8"/>
      <c r="N832" s="14"/>
      <c r="O832" s="14"/>
      <c r="P832" s="14"/>
      <c r="Q832" s="15"/>
      <c r="R832" s="16" t="str">
        <f t="shared" si="14"/>
        <v/>
      </c>
    </row>
    <row r="833" ht="15.75" customHeight="1">
      <c r="A833" s="7"/>
      <c r="B833" s="8"/>
      <c r="C833" s="8"/>
      <c r="D833" s="8"/>
      <c r="E833" s="8"/>
      <c r="F833" s="9"/>
      <c r="G833" s="10">
        <f>IFERROR(F833*VLOOKUP(D833,TELAS!$A$4:$C$32,3,FALSE()),0)</f>
        <v>0</v>
      </c>
      <c r="H833" s="11" t="str">
        <f>IFERROR(VLOOKUP(E833,COLORES!$A$4:$B$102,2,FALSE()),"")</f>
        <v/>
      </c>
      <c r="I833" s="12">
        <f>IFERROR(IF(H833="OSCURO",VLOOKUP(D833,PRECIOS!$A$4:$F$32,2,FALSE()),IF(H833="CLARO",VLOOKUP(D833,PRECIOS!$A$4:$F$32,3,FALSE()),IF(H833="MELANGE",VLOOKUP(D833,PRECIOS!$A$4:$F$32,4,FALSE()),IF(H833="PPT",VLOOKUP(D833,PRECIOS!$A$4:$F$32,5,FALSE()),0)))),0)</f>
        <v>0</v>
      </c>
      <c r="J833" s="12">
        <f t="shared" si="12"/>
        <v>0</v>
      </c>
      <c r="K833" s="13">
        <f>IFERROR(IF(C833="",0,SUMIFS($F$4:$F$832,$C$4:$C$832,C833,$D$4:$D$832,D833,$E$4:$E$832,E833,$B$4:$B$832,"INGRESO")+SUMIFS($F$4:$F$832,$C$4:$C$832,C833,$D$4:$D$832,D833,$E$4:$E$832,E833,$B$4:$B$832,"DE REPROCESO")+SUMIFS($F$4:$F$832,$C$4:$C$832,C833,$D$4:$D$832,D833,$E$4:$E$832,E833,$B$4:$B$832,"AJUSTE+")-SUMIFS($F$4:$F$832,$C$4:$C$832,C833,$D$4:$D$832,D833,$E$4:$E$832,E833,$B$4:$B$832,"A CORTE")-SUMIFS($F$4:$F$832,$C$4:$C$832,C833,$D$4:$D$832,D833,$E$4:$E$832,E833,$B$4:$B$832,"A REPROCESO")-SUMIFS($F$4:$F$832,$C$4:$C$832,C833,$D$4:$D$832,D833,$E$4:$E$832,E833,$B$4:$B$832,"MUESTRA")-SUMIFS($F$4:$F$832,$C$4:$C$832,C833,$D$4:$D$832,D833,$E$4:$E$832,E833,$B$4:$B$832,"AJUSTE-")),0)</f>
        <v>0</v>
      </c>
      <c r="L833" s="13">
        <f t="shared" si="13"/>
        <v>0</v>
      </c>
      <c r="M833" s="8"/>
      <c r="N833" s="14"/>
      <c r="O833" s="14"/>
      <c r="P833" s="14"/>
      <c r="Q833" s="15"/>
      <c r="R833" s="16" t="str">
        <f t="shared" si="14"/>
        <v/>
      </c>
    </row>
    <row r="834" ht="15.75" customHeight="1">
      <c r="A834" s="7"/>
      <c r="B834" s="8"/>
      <c r="C834" s="8"/>
      <c r="D834" s="8"/>
      <c r="E834" s="8"/>
      <c r="F834" s="9"/>
      <c r="G834" s="10">
        <f>IFERROR(F834*VLOOKUP(D834,TELAS!$A$4:$C$32,3,FALSE()),0)</f>
        <v>0</v>
      </c>
      <c r="H834" s="11" t="str">
        <f>IFERROR(VLOOKUP(E834,COLORES!$A$4:$B$102,2,FALSE()),"")</f>
        <v/>
      </c>
      <c r="I834" s="12">
        <f>IFERROR(IF(H834="OSCURO",VLOOKUP(D834,PRECIOS!$A$4:$F$32,2,FALSE()),IF(H834="CLARO",VLOOKUP(D834,PRECIOS!$A$4:$F$32,3,FALSE()),IF(H834="MELANGE",VLOOKUP(D834,PRECIOS!$A$4:$F$32,4,FALSE()),IF(H834="PPT",VLOOKUP(D834,PRECIOS!$A$4:$F$32,5,FALSE()),0)))),0)</f>
        <v>0</v>
      </c>
      <c r="J834" s="12">
        <f t="shared" si="12"/>
        <v>0</v>
      </c>
      <c r="K834" s="13">
        <f>IFERROR(IF(C834="",0,SUMIFS($F$4:$F$833,$C$4:$C$833,C834,$D$4:$D$833,D834,$E$4:$E$833,E834,$B$4:$B$833,"INGRESO")+SUMIFS($F$4:$F$833,$C$4:$C$833,C834,$D$4:$D$833,D834,$E$4:$E$833,E834,$B$4:$B$833,"DE REPROCESO")+SUMIFS($F$4:$F$833,$C$4:$C$833,C834,$D$4:$D$833,D834,$E$4:$E$833,E834,$B$4:$B$833,"AJUSTE+")-SUMIFS($F$4:$F$833,$C$4:$C$833,C834,$D$4:$D$833,D834,$E$4:$E$833,E834,$B$4:$B$833,"A CORTE")-SUMIFS($F$4:$F$833,$C$4:$C$833,C834,$D$4:$D$833,D834,$E$4:$E$833,E834,$B$4:$B$833,"A REPROCESO")-SUMIFS($F$4:$F$833,$C$4:$C$833,C834,$D$4:$D$833,D834,$E$4:$E$833,E834,$B$4:$B$833,"MUESTRA")-SUMIFS($F$4:$F$833,$C$4:$C$833,C834,$D$4:$D$833,D834,$E$4:$E$833,E834,$B$4:$B$833,"AJUSTE-")),0)</f>
        <v>0</v>
      </c>
      <c r="L834" s="13">
        <f t="shared" si="13"/>
        <v>0</v>
      </c>
      <c r="M834" s="8"/>
      <c r="N834" s="14"/>
      <c r="O834" s="14"/>
      <c r="P834" s="14"/>
      <c r="Q834" s="15"/>
      <c r="R834" s="16" t="str">
        <f t="shared" si="14"/>
        <v/>
      </c>
    </row>
    <row r="835" ht="15.75" customHeight="1">
      <c r="A835" s="7"/>
      <c r="B835" s="8"/>
      <c r="C835" s="8"/>
      <c r="D835" s="8"/>
      <c r="E835" s="8"/>
      <c r="F835" s="9"/>
      <c r="G835" s="10">
        <f>IFERROR(F835*VLOOKUP(D835,TELAS!$A$4:$C$32,3,FALSE()),0)</f>
        <v>0</v>
      </c>
      <c r="H835" s="11" t="str">
        <f>IFERROR(VLOOKUP(E835,COLORES!$A$4:$B$102,2,FALSE()),"")</f>
        <v/>
      </c>
      <c r="I835" s="12">
        <f>IFERROR(IF(H835="OSCURO",VLOOKUP(D835,PRECIOS!$A$4:$F$32,2,FALSE()),IF(H835="CLARO",VLOOKUP(D835,PRECIOS!$A$4:$F$32,3,FALSE()),IF(H835="MELANGE",VLOOKUP(D835,PRECIOS!$A$4:$F$32,4,FALSE()),IF(H835="PPT",VLOOKUP(D835,PRECIOS!$A$4:$F$32,5,FALSE()),0)))),0)</f>
        <v>0</v>
      </c>
      <c r="J835" s="12">
        <f t="shared" si="12"/>
        <v>0</v>
      </c>
      <c r="K835" s="13">
        <f>IFERROR(IF(C835="",0,SUMIFS($F$4:$F$834,$C$4:$C$834,C835,$D$4:$D$834,D835,$E$4:$E$834,E835,$B$4:$B$834,"INGRESO")+SUMIFS($F$4:$F$834,$C$4:$C$834,C835,$D$4:$D$834,D835,$E$4:$E$834,E835,$B$4:$B$834,"DE REPROCESO")+SUMIFS($F$4:$F$834,$C$4:$C$834,C835,$D$4:$D$834,D835,$E$4:$E$834,E835,$B$4:$B$834,"AJUSTE+")-SUMIFS($F$4:$F$834,$C$4:$C$834,C835,$D$4:$D$834,D835,$E$4:$E$834,E835,$B$4:$B$834,"A CORTE")-SUMIFS($F$4:$F$834,$C$4:$C$834,C835,$D$4:$D$834,D835,$E$4:$E$834,E835,$B$4:$B$834,"A REPROCESO")-SUMIFS($F$4:$F$834,$C$4:$C$834,C835,$D$4:$D$834,D835,$E$4:$E$834,E835,$B$4:$B$834,"MUESTRA")-SUMIFS($F$4:$F$834,$C$4:$C$834,C835,$D$4:$D$834,D835,$E$4:$E$834,E835,$B$4:$B$834,"AJUSTE-")),0)</f>
        <v>0</v>
      </c>
      <c r="L835" s="13">
        <f t="shared" si="13"/>
        <v>0</v>
      </c>
      <c r="M835" s="8"/>
      <c r="N835" s="14"/>
      <c r="O835" s="14"/>
      <c r="P835" s="14"/>
      <c r="Q835" s="15"/>
      <c r="R835" s="16" t="str">
        <f t="shared" si="14"/>
        <v/>
      </c>
    </row>
    <row r="836" ht="15.75" customHeight="1">
      <c r="A836" s="7"/>
      <c r="B836" s="8"/>
      <c r="C836" s="8"/>
      <c r="D836" s="8"/>
      <c r="E836" s="8"/>
      <c r="F836" s="9"/>
      <c r="G836" s="10">
        <f>IFERROR(F836*VLOOKUP(D836,TELAS!$A$4:$C$32,3,FALSE()),0)</f>
        <v>0</v>
      </c>
      <c r="H836" s="11" t="str">
        <f>IFERROR(VLOOKUP(E836,COLORES!$A$4:$B$102,2,FALSE()),"")</f>
        <v/>
      </c>
      <c r="I836" s="12">
        <f>IFERROR(IF(H836="OSCURO",VLOOKUP(D836,PRECIOS!$A$4:$F$32,2,FALSE()),IF(H836="CLARO",VLOOKUP(D836,PRECIOS!$A$4:$F$32,3,FALSE()),IF(H836="MELANGE",VLOOKUP(D836,PRECIOS!$A$4:$F$32,4,FALSE()),IF(H836="PPT",VLOOKUP(D836,PRECIOS!$A$4:$F$32,5,FALSE()),0)))),0)</f>
        <v>0</v>
      </c>
      <c r="J836" s="12">
        <f t="shared" si="12"/>
        <v>0</v>
      </c>
      <c r="K836" s="13">
        <f>IFERROR(IF(C836="",0,SUMIFS($F$4:$F$835,$C$4:$C$835,C836,$D$4:$D$835,D836,$E$4:$E$835,E836,$B$4:$B$835,"INGRESO")+SUMIFS($F$4:$F$835,$C$4:$C$835,C836,$D$4:$D$835,D836,$E$4:$E$835,E836,$B$4:$B$835,"DE REPROCESO")+SUMIFS($F$4:$F$835,$C$4:$C$835,C836,$D$4:$D$835,D836,$E$4:$E$835,E836,$B$4:$B$835,"AJUSTE+")-SUMIFS($F$4:$F$835,$C$4:$C$835,C836,$D$4:$D$835,D836,$E$4:$E$835,E836,$B$4:$B$835,"A CORTE")-SUMIFS($F$4:$F$835,$C$4:$C$835,C836,$D$4:$D$835,D836,$E$4:$E$835,E836,$B$4:$B$835,"A REPROCESO")-SUMIFS($F$4:$F$835,$C$4:$C$835,C836,$D$4:$D$835,D836,$E$4:$E$835,E836,$B$4:$B$835,"MUESTRA")-SUMIFS($F$4:$F$835,$C$4:$C$835,C836,$D$4:$D$835,D836,$E$4:$E$835,E836,$B$4:$B$835,"AJUSTE-")),0)</f>
        <v>0</v>
      </c>
      <c r="L836" s="13">
        <f t="shared" si="13"/>
        <v>0</v>
      </c>
      <c r="M836" s="8"/>
      <c r="N836" s="14"/>
      <c r="O836" s="14"/>
      <c r="P836" s="14"/>
      <c r="Q836" s="15"/>
      <c r="R836" s="16" t="str">
        <f t="shared" si="14"/>
        <v/>
      </c>
    </row>
    <row r="837" ht="15.75" customHeight="1">
      <c r="A837" s="7"/>
      <c r="B837" s="8"/>
      <c r="C837" s="8"/>
      <c r="D837" s="8"/>
      <c r="E837" s="8"/>
      <c r="F837" s="9"/>
      <c r="G837" s="10">
        <f>IFERROR(F837*VLOOKUP(D837,TELAS!$A$4:$C$32,3,FALSE()),0)</f>
        <v>0</v>
      </c>
      <c r="H837" s="11" t="str">
        <f>IFERROR(VLOOKUP(E837,COLORES!$A$4:$B$102,2,FALSE()),"")</f>
        <v/>
      </c>
      <c r="I837" s="12">
        <f>IFERROR(IF(H837="OSCURO",VLOOKUP(D837,PRECIOS!$A$4:$F$32,2,FALSE()),IF(H837="CLARO",VLOOKUP(D837,PRECIOS!$A$4:$F$32,3,FALSE()),IF(H837="MELANGE",VLOOKUP(D837,PRECIOS!$A$4:$F$32,4,FALSE()),IF(H837="PPT",VLOOKUP(D837,PRECIOS!$A$4:$F$32,5,FALSE()),0)))),0)</f>
        <v>0</v>
      </c>
      <c r="J837" s="12">
        <f t="shared" si="12"/>
        <v>0</v>
      </c>
      <c r="K837" s="13">
        <f>IFERROR(IF(C837="",0,SUMIFS($F$4:$F$836,$C$4:$C$836,C837,$D$4:$D$836,D837,$E$4:$E$836,E837,$B$4:$B$836,"INGRESO")+SUMIFS($F$4:$F$836,$C$4:$C$836,C837,$D$4:$D$836,D837,$E$4:$E$836,E837,$B$4:$B$836,"DE REPROCESO")+SUMIFS($F$4:$F$836,$C$4:$C$836,C837,$D$4:$D$836,D837,$E$4:$E$836,E837,$B$4:$B$836,"AJUSTE+")-SUMIFS($F$4:$F$836,$C$4:$C$836,C837,$D$4:$D$836,D837,$E$4:$E$836,E837,$B$4:$B$836,"A CORTE")-SUMIFS($F$4:$F$836,$C$4:$C$836,C837,$D$4:$D$836,D837,$E$4:$E$836,E837,$B$4:$B$836,"A REPROCESO")-SUMIFS($F$4:$F$836,$C$4:$C$836,C837,$D$4:$D$836,D837,$E$4:$E$836,E837,$B$4:$B$836,"MUESTRA")-SUMIFS($F$4:$F$836,$C$4:$C$836,C837,$D$4:$D$836,D837,$E$4:$E$836,E837,$B$4:$B$836,"AJUSTE-")),0)</f>
        <v>0</v>
      </c>
      <c r="L837" s="13">
        <f t="shared" si="13"/>
        <v>0</v>
      </c>
      <c r="M837" s="8"/>
      <c r="N837" s="14"/>
      <c r="O837" s="14"/>
      <c r="P837" s="14"/>
      <c r="Q837" s="15"/>
      <c r="R837" s="16" t="str">
        <f t="shared" si="14"/>
        <v/>
      </c>
    </row>
    <row r="838" ht="15.75" customHeight="1">
      <c r="A838" s="7"/>
      <c r="B838" s="8"/>
      <c r="C838" s="8"/>
      <c r="D838" s="8"/>
      <c r="E838" s="8"/>
      <c r="F838" s="9"/>
      <c r="G838" s="10">
        <f>IFERROR(F838*VLOOKUP(D838,TELAS!$A$4:$C$32,3,FALSE()),0)</f>
        <v>0</v>
      </c>
      <c r="H838" s="11" t="str">
        <f>IFERROR(VLOOKUP(E838,COLORES!$A$4:$B$102,2,FALSE()),"")</f>
        <v/>
      </c>
      <c r="I838" s="12">
        <f>IFERROR(IF(H838="OSCURO",VLOOKUP(D838,PRECIOS!$A$4:$F$32,2,FALSE()),IF(H838="CLARO",VLOOKUP(D838,PRECIOS!$A$4:$F$32,3,FALSE()),IF(H838="MELANGE",VLOOKUP(D838,PRECIOS!$A$4:$F$32,4,FALSE()),IF(H838="PPT",VLOOKUP(D838,PRECIOS!$A$4:$F$32,5,FALSE()),0)))),0)</f>
        <v>0</v>
      </c>
      <c r="J838" s="12">
        <f t="shared" si="12"/>
        <v>0</v>
      </c>
      <c r="K838" s="13">
        <f>IFERROR(IF(C838="",0,SUMIFS($F$4:$F$837,$C$4:$C$837,C838,$D$4:$D$837,D838,$E$4:$E$837,E838,$B$4:$B$837,"INGRESO")+SUMIFS($F$4:$F$837,$C$4:$C$837,C838,$D$4:$D$837,D838,$E$4:$E$837,E838,$B$4:$B$837,"DE REPROCESO")+SUMIFS($F$4:$F$837,$C$4:$C$837,C838,$D$4:$D$837,D838,$E$4:$E$837,E838,$B$4:$B$837,"AJUSTE+")-SUMIFS($F$4:$F$837,$C$4:$C$837,C838,$D$4:$D$837,D838,$E$4:$E$837,E838,$B$4:$B$837,"A CORTE")-SUMIFS($F$4:$F$837,$C$4:$C$837,C838,$D$4:$D$837,D838,$E$4:$E$837,E838,$B$4:$B$837,"A REPROCESO")-SUMIFS($F$4:$F$837,$C$4:$C$837,C838,$D$4:$D$837,D838,$E$4:$E$837,E838,$B$4:$B$837,"MUESTRA")-SUMIFS($F$4:$F$837,$C$4:$C$837,C838,$D$4:$D$837,D838,$E$4:$E$837,E838,$B$4:$B$837,"AJUSTE-")),0)</f>
        <v>0</v>
      </c>
      <c r="L838" s="13">
        <f t="shared" si="13"/>
        <v>0</v>
      </c>
      <c r="M838" s="8"/>
      <c r="N838" s="14"/>
      <c r="O838" s="14"/>
      <c r="P838" s="14"/>
      <c r="Q838" s="15"/>
      <c r="R838" s="16" t="str">
        <f t="shared" si="14"/>
        <v/>
      </c>
    </row>
    <row r="839" ht="15.75" customHeight="1">
      <c r="A839" s="7"/>
      <c r="B839" s="8"/>
      <c r="C839" s="8"/>
      <c r="D839" s="8"/>
      <c r="E839" s="8"/>
      <c r="F839" s="9"/>
      <c r="G839" s="10">
        <f>IFERROR(F839*VLOOKUP(D839,TELAS!$A$4:$C$32,3,FALSE()),0)</f>
        <v>0</v>
      </c>
      <c r="H839" s="11" t="str">
        <f>IFERROR(VLOOKUP(E839,COLORES!$A$4:$B$102,2,FALSE()),"")</f>
        <v/>
      </c>
      <c r="I839" s="12">
        <f>IFERROR(IF(H839="OSCURO",VLOOKUP(D839,PRECIOS!$A$4:$F$32,2,FALSE()),IF(H839="CLARO",VLOOKUP(D839,PRECIOS!$A$4:$F$32,3,FALSE()),IF(H839="MELANGE",VLOOKUP(D839,PRECIOS!$A$4:$F$32,4,FALSE()),IF(H839="PPT",VLOOKUP(D839,PRECIOS!$A$4:$F$32,5,FALSE()),0)))),0)</f>
        <v>0</v>
      </c>
      <c r="J839" s="12">
        <f t="shared" si="12"/>
        <v>0</v>
      </c>
      <c r="K839" s="13">
        <f>IFERROR(IF(C839="",0,SUMIFS($F$4:$F$838,$C$4:$C$838,C839,$D$4:$D$838,D839,$E$4:$E$838,E839,$B$4:$B$838,"INGRESO")+SUMIFS($F$4:$F$838,$C$4:$C$838,C839,$D$4:$D$838,D839,$E$4:$E$838,E839,$B$4:$B$838,"DE REPROCESO")+SUMIFS($F$4:$F$838,$C$4:$C$838,C839,$D$4:$D$838,D839,$E$4:$E$838,E839,$B$4:$B$838,"AJUSTE+")-SUMIFS($F$4:$F$838,$C$4:$C$838,C839,$D$4:$D$838,D839,$E$4:$E$838,E839,$B$4:$B$838,"A CORTE")-SUMIFS($F$4:$F$838,$C$4:$C$838,C839,$D$4:$D$838,D839,$E$4:$E$838,E839,$B$4:$B$838,"A REPROCESO")-SUMIFS($F$4:$F$838,$C$4:$C$838,C839,$D$4:$D$838,D839,$E$4:$E$838,E839,$B$4:$B$838,"MUESTRA")-SUMIFS($F$4:$F$838,$C$4:$C$838,C839,$D$4:$D$838,D839,$E$4:$E$838,E839,$B$4:$B$838,"AJUSTE-")),0)</f>
        <v>0</v>
      </c>
      <c r="L839" s="13">
        <f t="shared" si="13"/>
        <v>0</v>
      </c>
      <c r="M839" s="8"/>
      <c r="N839" s="14"/>
      <c r="O839" s="14"/>
      <c r="P839" s="14"/>
      <c r="Q839" s="15"/>
      <c r="R839" s="16" t="str">
        <f t="shared" si="14"/>
        <v/>
      </c>
    </row>
    <row r="840" ht="15.75" customHeight="1">
      <c r="A840" s="7"/>
      <c r="B840" s="8"/>
      <c r="C840" s="8"/>
      <c r="D840" s="8"/>
      <c r="E840" s="8"/>
      <c r="F840" s="9"/>
      <c r="G840" s="10">
        <f>IFERROR(F840*VLOOKUP(D840,TELAS!$A$4:$C$32,3,FALSE()),0)</f>
        <v>0</v>
      </c>
      <c r="H840" s="11" t="str">
        <f>IFERROR(VLOOKUP(E840,COLORES!$A$4:$B$102,2,FALSE()),"")</f>
        <v/>
      </c>
      <c r="I840" s="12">
        <f>IFERROR(IF(H840="OSCURO",VLOOKUP(D840,PRECIOS!$A$4:$F$32,2,FALSE()),IF(H840="CLARO",VLOOKUP(D840,PRECIOS!$A$4:$F$32,3,FALSE()),IF(H840="MELANGE",VLOOKUP(D840,PRECIOS!$A$4:$F$32,4,FALSE()),IF(H840="PPT",VLOOKUP(D840,PRECIOS!$A$4:$F$32,5,FALSE()),0)))),0)</f>
        <v>0</v>
      </c>
      <c r="J840" s="12">
        <f t="shared" si="12"/>
        <v>0</v>
      </c>
      <c r="K840" s="13">
        <f>IFERROR(IF(C840="",0,SUMIFS($F$4:$F$839,$C$4:$C$839,C840,$D$4:$D$839,D840,$E$4:$E$839,E840,$B$4:$B$839,"INGRESO")+SUMIFS($F$4:$F$839,$C$4:$C$839,C840,$D$4:$D$839,D840,$E$4:$E$839,E840,$B$4:$B$839,"DE REPROCESO")+SUMIFS($F$4:$F$839,$C$4:$C$839,C840,$D$4:$D$839,D840,$E$4:$E$839,E840,$B$4:$B$839,"AJUSTE+")-SUMIFS($F$4:$F$839,$C$4:$C$839,C840,$D$4:$D$839,D840,$E$4:$E$839,E840,$B$4:$B$839,"A CORTE")-SUMIFS($F$4:$F$839,$C$4:$C$839,C840,$D$4:$D$839,D840,$E$4:$E$839,E840,$B$4:$B$839,"A REPROCESO")-SUMIFS($F$4:$F$839,$C$4:$C$839,C840,$D$4:$D$839,D840,$E$4:$E$839,E840,$B$4:$B$839,"MUESTRA")-SUMIFS($F$4:$F$839,$C$4:$C$839,C840,$D$4:$D$839,D840,$E$4:$E$839,E840,$B$4:$B$839,"AJUSTE-")),0)</f>
        <v>0</v>
      </c>
      <c r="L840" s="13">
        <f t="shared" si="13"/>
        <v>0</v>
      </c>
      <c r="M840" s="8"/>
      <c r="N840" s="14"/>
      <c r="O840" s="14"/>
      <c r="P840" s="14"/>
      <c r="Q840" s="15"/>
      <c r="R840" s="16" t="str">
        <f t="shared" si="14"/>
        <v/>
      </c>
    </row>
    <row r="841" ht="15.75" customHeight="1">
      <c r="A841" s="7"/>
      <c r="B841" s="8"/>
      <c r="C841" s="8"/>
      <c r="D841" s="8"/>
      <c r="E841" s="8"/>
      <c r="F841" s="9"/>
      <c r="G841" s="10">
        <f>IFERROR(F841*VLOOKUP(D841,TELAS!$A$4:$C$32,3,FALSE()),0)</f>
        <v>0</v>
      </c>
      <c r="H841" s="11" t="str">
        <f>IFERROR(VLOOKUP(E841,COLORES!$A$4:$B$102,2,FALSE()),"")</f>
        <v/>
      </c>
      <c r="I841" s="12">
        <f>IFERROR(IF(H841="OSCURO",VLOOKUP(D841,PRECIOS!$A$4:$F$32,2,FALSE()),IF(H841="CLARO",VLOOKUP(D841,PRECIOS!$A$4:$F$32,3,FALSE()),IF(H841="MELANGE",VLOOKUP(D841,PRECIOS!$A$4:$F$32,4,FALSE()),IF(H841="PPT",VLOOKUP(D841,PRECIOS!$A$4:$F$32,5,FALSE()),0)))),0)</f>
        <v>0</v>
      </c>
      <c r="J841" s="12">
        <f t="shared" si="12"/>
        <v>0</v>
      </c>
      <c r="K841" s="13">
        <f>IFERROR(IF(C841="",0,SUMIFS($F$4:$F$840,$C$4:$C$840,C841,$D$4:$D$840,D841,$E$4:$E$840,E841,$B$4:$B$840,"INGRESO")+SUMIFS($F$4:$F$840,$C$4:$C$840,C841,$D$4:$D$840,D841,$E$4:$E$840,E841,$B$4:$B$840,"DE REPROCESO")+SUMIFS($F$4:$F$840,$C$4:$C$840,C841,$D$4:$D$840,D841,$E$4:$E$840,E841,$B$4:$B$840,"AJUSTE+")-SUMIFS($F$4:$F$840,$C$4:$C$840,C841,$D$4:$D$840,D841,$E$4:$E$840,E841,$B$4:$B$840,"A CORTE")-SUMIFS($F$4:$F$840,$C$4:$C$840,C841,$D$4:$D$840,D841,$E$4:$E$840,E841,$B$4:$B$840,"A REPROCESO")-SUMIFS($F$4:$F$840,$C$4:$C$840,C841,$D$4:$D$840,D841,$E$4:$E$840,E841,$B$4:$B$840,"MUESTRA")-SUMIFS($F$4:$F$840,$C$4:$C$840,C841,$D$4:$D$840,D841,$E$4:$E$840,E841,$B$4:$B$840,"AJUSTE-")),0)</f>
        <v>0</v>
      </c>
      <c r="L841" s="13">
        <f t="shared" si="13"/>
        <v>0</v>
      </c>
      <c r="M841" s="8"/>
      <c r="N841" s="14"/>
      <c r="O841" s="14"/>
      <c r="P841" s="14"/>
      <c r="Q841" s="15"/>
      <c r="R841" s="16" t="str">
        <f t="shared" si="14"/>
        <v/>
      </c>
    </row>
    <row r="842" ht="15.75" customHeight="1">
      <c r="A842" s="7"/>
      <c r="B842" s="8"/>
      <c r="C842" s="8"/>
      <c r="D842" s="8"/>
      <c r="E842" s="8"/>
      <c r="F842" s="9"/>
      <c r="G842" s="10">
        <f>IFERROR(F842*VLOOKUP(D842,TELAS!$A$4:$C$32,3,FALSE()),0)</f>
        <v>0</v>
      </c>
      <c r="H842" s="11" t="str">
        <f>IFERROR(VLOOKUP(E842,COLORES!$A$4:$B$102,2,FALSE()),"")</f>
        <v/>
      </c>
      <c r="I842" s="12">
        <f>IFERROR(IF(H842="OSCURO",VLOOKUP(D842,PRECIOS!$A$4:$F$32,2,FALSE()),IF(H842="CLARO",VLOOKUP(D842,PRECIOS!$A$4:$F$32,3,FALSE()),IF(H842="MELANGE",VLOOKUP(D842,PRECIOS!$A$4:$F$32,4,FALSE()),IF(H842="PPT",VLOOKUP(D842,PRECIOS!$A$4:$F$32,5,FALSE()),0)))),0)</f>
        <v>0</v>
      </c>
      <c r="J842" s="12">
        <f t="shared" si="12"/>
        <v>0</v>
      </c>
      <c r="K842" s="13">
        <f>IFERROR(IF(C842="",0,SUMIFS($F$4:$F$841,$C$4:$C$841,C842,$D$4:$D$841,D842,$E$4:$E$841,E842,$B$4:$B$841,"INGRESO")+SUMIFS($F$4:$F$841,$C$4:$C$841,C842,$D$4:$D$841,D842,$E$4:$E$841,E842,$B$4:$B$841,"DE REPROCESO")+SUMIFS($F$4:$F$841,$C$4:$C$841,C842,$D$4:$D$841,D842,$E$4:$E$841,E842,$B$4:$B$841,"AJUSTE+")-SUMIFS($F$4:$F$841,$C$4:$C$841,C842,$D$4:$D$841,D842,$E$4:$E$841,E842,$B$4:$B$841,"A CORTE")-SUMIFS($F$4:$F$841,$C$4:$C$841,C842,$D$4:$D$841,D842,$E$4:$E$841,E842,$B$4:$B$841,"A REPROCESO")-SUMIFS($F$4:$F$841,$C$4:$C$841,C842,$D$4:$D$841,D842,$E$4:$E$841,E842,$B$4:$B$841,"MUESTRA")-SUMIFS($F$4:$F$841,$C$4:$C$841,C842,$D$4:$D$841,D842,$E$4:$E$841,E842,$B$4:$B$841,"AJUSTE-")),0)</f>
        <v>0</v>
      </c>
      <c r="L842" s="13">
        <f t="shared" si="13"/>
        <v>0</v>
      </c>
      <c r="M842" s="8"/>
      <c r="N842" s="14"/>
      <c r="O842" s="14"/>
      <c r="P842" s="14"/>
      <c r="Q842" s="15"/>
      <c r="R842" s="16" t="str">
        <f t="shared" si="14"/>
        <v/>
      </c>
    </row>
    <row r="843" ht="15.75" customHeight="1">
      <c r="A843" s="7"/>
      <c r="B843" s="8"/>
      <c r="C843" s="8"/>
      <c r="D843" s="8"/>
      <c r="E843" s="8"/>
      <c r="F843" s="9"/>
      <c r="G843" s="10">
        <f>IFERROR(F843*VLOOKUP(D843,TELAS!$A$4:$C$32,3,FALSE()),0)</f>
        <v>0</v>
      </c>
      <c r="H843" s="11" t="str">
        <f>IFERROR(VLOOKUP(E843,COLORES!$A$4:$B$102,2,FALSE()),"")</f>
        <v/>
      </c>
      <c r="I843" s="12">
        <f>IFERROR(IF(H843="OSCURO",VLOOKUP(D843,PRECIOS!$A$4:$F$32,2,FALSE()),IF(H843="CLARO",VLOOKUP(D843,PRECIOS!$A$4:$F$32,3,FALSE()),IF(H843="MELANGE",VLOOKUP(D843,PRECIOS!$A$4:$F$32,4,FALSE()),IF(H843="PPT",VLOOKUP(D843,PRECIOS!$A$4:$F$32,5,FALSE()),0)))),0)</f>
        <v>0</v>
      </c>
      <c r="J843" s="12">
        <f t="shared" si="12"/>
        <v>0</v>
      </c>
      <c r="K843" s="13">
        <f>IFERROR(IF(C843="",0,SUMIFS($F$4:$F$842,$C$4:$C$842,C843,$D$4:$D$842,D843,$E$4:$E$842,E843,$B$4:$B$842,"INGRESO")+SUMIFS($F$4:$F$842,$C$4:$C$842,C843,$D$4:$D$842,D843,$E$4:$E$842,E843,$B$4:$B$842,"DE REPROCESO")+SUMIFS($F$4:$F$842,$C$4:$C$842,C843,$D$4:$D$842,D843,$E$4:$E$842,E843,$B$4:$B$842,"AJUSTE+")-SUMIFS($F$4:$F$842,$C$4:$C$842,C843,$D$4:$D$842,D843,$E$4:$E$842,E843,$B$4:$B$842,"A CORTE")-SUMIFS($F$4:$F$842,$C$4:$C$842,C843,$D$4:$D$842,D843,$E$4:$E$842,E843,$B$4:$B$842,"A REPROCESO")-SUMIFS($F$4:$F$842,$C$4:$C$842,C843,$D$4:$D$842,D843,$E$4:$E$842,E843,$B$4:$B$842,"MUESTRA")-SUMIFS($F$4:$F$842,$C$4:$C$842,C843,$D$4:$D$842,D843,$E$4:$E$842,E843,$B$4:$B$842,"AJUSTE-")),0)</f>
        <v>0</v>
      </c>
      <c r="L843" s="13">
        <f t="shared" si="13"/>
        <v>0</v>
      </c>
      <c r="M843" s="8"/>
      <c r="N843" s="14"/>
      <c r="O843" s="14"/>
      <c r="P843" s="14"/>
      <c r="Q843" s="15"/>
      <c r="R843" s="16" t="str">
        <f t="shared" si="14"/>
        <v/>
      </c>
    </row>
    <row r="844" ht="15.75" customHeight="1">
      <c r="A844" s="7"/>
      <c r="B844" s="8"/>
      <c r="C844" s="8"/>
      <c r="D844" s="8"/>
      <c r="E844" s="8"/>
      <c r="F844" s="9"/>
      <c r="G844" s="10">
        <f>IFERROR(F844*VLOOKUP(D844,TELAS!$A$4:$C$32,3,FALSE()),0)</f>
        <v>0</v>
      </c>
      <c r="H844" s="11" t="str">
        <f>IFERROR(VLOOKUP(E844,COLORES!$A$4:$B$102,2,FALSE()),"")</f>
        <v/>
      </c>
      <c r="I844" s="12">
        <f>IFERROR(IF(H844="OSCURO",VLOOKUP(D844,PRECIOS!$A$4:$F$32,2,FALSE()),IF(H844="CLARO",VLOOKUP(D844,PRECIOS!$A$4:$F$32,3,FALSE()),IF(H844="MELANGE",VLOOKUP(D844,PRECIOS!$A$4:$F$32,4,FALSE()),IF(H844="PPT",VLOOKUP(D844,PRECIOS!$A$4:$F$32,5,FALSE()),0)))),0)</f>
        <v>0</v>
      </c>
      <c r="J844" s="12">
        <f t="shared" si="12"/>
        <v>0</v>
      </c>
      <c r="K844" s="13">
        <f>IFERROR(IF(C844="",0,SUMIFS($F$4:$F$843,$C$4:$C$843,C844,$D$4:$D$843,D844,$E$4:$E$843,E844,$B$4:$B$843,"INGRESO")+SUMIFS($F$4:$F$843,$C$4:$C$843,C844,$D$4:$D$843,D844,$E$4:$E$843,E844,$B$4:$B$843,"DE REPROCESO")+SUMIFS($F$4:$F$843,$C$4:$C$843,C844,$D$4:$D$843,D844,$E$4:$E$843,E844,$B$4:$B$843,"AJUSTE+")-SUMIFS($F$4:$F$843,$C$4:$C$843,C844,$D$4:$D$843,D844,$E$4:$E$843,E844,$B$4:$B$843,"A CORTE")-SUMIFS($F$4:$F$843,$C$4:$C$843,C844,$D$4:$D$843,D844,$E$4:$E$843,E844,$B$4:$B$843,"A REPROCESO")-SUMIFS($F$4:$F$843,$C$4:$C$843,C844,$D$4:$D$843,D844,$E$4:$E$843,E844,$B$4:$B$843,"MUESTRA")-SUMIFS($F$4:$F$843,$C$4:$C$843,C844,$D$4:$D$843,D844,$E$4:$E$843,E844,$B$4:$B$843,"AJUSTE-")),0)</f>
        <v>0</v>
      </c>
      <c r="L844" s="13">
        <f t="shared" si="13"/>
        <v>0</v>
      </c>
      <c r="M844" s="8"/>
      <c r="N844" s="14"/>
      <c r="O844" s="14"/>
      <c r="P844" s="14"/>
      <c r="Q844" s="15"/>
      <c r="R844" s="16" t="str">
        <f t="shared" si="14"/>
        <v/>
      </c>
    </row>
    <row r="845" ht="15.75" customHeight="1">
      <c r="A845" s="7"/>
      <c r="B845" s="8"/>
      <c r="C845" s="8"/>
      <c r="D845" s="8"/>
      <c r="E845" s="8"/>
      <c r="F845" s="9"/>
      <c r="G845" s="10">
        <f>IFERROR(F845*VLOOKUP(D845,TELAS!$A$4:$C$32,3,FALSE()),0)</f>
        <v>0</v>
      </c>
      <c r="H845" s="11" t="str">
        <f>IFERROR(VLOOKUP(E845,COLORES!$A$4:$B$102,2,FALSE()),"")</f>
        <v/>
      </c>
      <c r="I845" s="12">
        <f>IFERROR(IF(H845="OSCURO",VLOOKUP(D845,PRECIOS!$A$4:$F$32,2,FALSE()),IF(H845="CLARO",VLOOKUP(D845,PRECIOS!$A$4:$F$32,3,FALSE()),IF(H845="MELANGE",VLOOKUP(D845,PRECIOS!$A$4:$F$32,4,FALSE()),IF(H845="PPT",VLOOKUP(D845,PRECIOS!$A$4:$F$32,5,FALSE()),0)))),0)</f>
        <v>0</v>
      </c>
      <c r="J845" s="12">
        <f t="shared" si="12"/>
        <v>0</v>
      </c>
      <c r="K845" s="13">
        <f>IFERROR(IF(C845="",0,SUMIFS($F$4:$F$844,$C$4:$C$844,C845,$D$4:$D$844,D845,$E$4:$E$844,E845,$B$4:$B$844,"INGRESO")+SUMIFS($F$4:$F$844,$C$4:$C$844,C845,$D$4:$D$844,D845,$E$4:$E$844,E845,$B$4:$B$844,"DE REPROCESO")+SUMIFS($F$4:$F$844,$C$4:$C$844,C845,$D$4:$D$844,D845,$E$4:$E$844,E845,$B$4:$B$844,"AJUSTE+")-SUMIFS($F$4:$F$844,$C$4:$C$844,C845,$D$4:$D$844,D845,$E$4:$E$844,E845,$B$4:$B$844,"A CORTE")-SUMIFS($F$4:$F$844,$C$4:$C$844,C845,$D$4:$D$844,D845,$E$4:$E$844,E845,$B$4:$B$844,"A REPROCESO")-SUMIFS($F$4:$F$844,$C$4:$C$844,C845,$D$4:$D$844,D845,$E$4:$E$844,E845,$B$4:$B$844,"MUESTRA")-SUMIFS($F$4:$F$844,$C$4:$C$844,C845,$D$4:$D$844,D845,$E$4:$E$844,E845,$B$4:$B$844,"AJUSTE-")),0)</f>
        <v>0</v>
      </c>
      <c r="L845" s="13">
        <f t="shared" si="13"/>
        <v>0</v>
      </c>
      <c r="M845" s="8"/>
      <c r="N845" s="14"/>
      <c r="O845" s="14"/>
      <c r="P845" s="14"/>
      <c r="Q845" s="15"/>
      <c r="R845" s="16" t="str">
        <f t="shared" si="14"/>
        <v/>
      </c>
    </row>
    <row r="846" ht="15.75" customHeight="1">
      <c r="A846" s="7"/>
      <c r="B846" s="8"/>
      <c r="C846" s="8"/>
      <c r="D846" s="8"/>
      <c r="E846" s="8"/>
      <c r="F846" s="9"/>
      <c r="G846" s="10">
        <f>IFERROR(F846*VLOOKUP(D846,TELAS!$A$4:$C$32,3,FALSE()),0)</f>
        <v>0</v>
      </c>
      <c r="H846" s="11" t="str">
        <f>IFERROR(VLOOKUP(E846,COLORES!$A$4:$B$102,2,FALSE()),"")</f>
        <v/>
      </c>
      <c r="I846" s="12">
        <f>IFERROR(IF(H846="OSCURO",VLOOKUP(D846,PRECIOS!$A$4:$F$32,2,FALSE()),IF(H846="CLARO",VLOOKUP(D846,PRECIOS!$A$4:$F$32,3,FALSE()),IF(H846="MELANGE",VLOOKUP(D846,PRECIOS!$A$4:$F$32,4,FALSE()),IF(H846="PPT",VLOOKUP(D846,PRECIOS!$A$4:$F$32,5,FALSE()),0)))),0)</f>
        <v>0</v>
      </c>
      <c r="J846" s="12">
        <f t="shared" si="12"/>
        <v>0</v>
      </c>
      <c r="K846" s="13">
        <f>IFERROR(IF(C846="",0,SUMIFS($F$4:$F$845,$C$4:$C$845,C846,$D$4:$D$845,D846,$E$4:$E$845,E846,$B$4:$B$845,"INGRESO")+SUMIFS($F$4:$F$845,$C$4:$C$845,C846,$D$4:$D$845,D846,$E$4:$E$845,E846,$B$4:$B$845,"DE REPROCESO")+SUMIFS($F$4:$F$845,$C$4:$C$845,C846,$D$4:$D$845,D846,$E$4:$E$845,E846,$B$4:$B$845,"AJUSTE+")-SUMIFS($F$4:$F$845,$C$4:$C$845,C846,$D$4:$D$845,D846,$E$4:$E$845,E846,$B$4:$B$845,"A CORTE")-SUMIFS($F$4:$F$845,$C$4:$C$845,C846,$D$4:$D$845,D846,$E$4:$E$845,E846,$B$4:$B$845,"A REPROCESO")-SUMIFS($F$4:$F$845,$C$4:$C$845,C846,$D$4:$D$845,D846,$E$4:$E$845,E846,$B$4:$B$845,"MUESTRA")-SUMIFS($F$4:$F$845,$C$4:$C$845,C846,$D$4:$D$845,D846,$E$4:$E$845,E846,$B$4:$B$845,"AJUSTE-")),0)</f>
        <v>0</v>
      </c>
      <c r="L846" s="13">
        <f t="shared" si="13"/>
        <v>0</v>
      </c>
      <c r="M846" s="8"/>
      <c r="N846" s="14"/>
      <c r="O846" s="14"/>
      <c r="P846" s="14"/>
      <c r="Q846" s="15"/>
      <c r="R846" s="16" t="str">
        <f t="shared" si="14"/>
        <v/>
      </c>
    </row>
    <row r="847" ht="15.75" customHeight="1">
      <c r="A847" s="7"/>
      <c r="B847" s="8"/>
      <c r="C847" s="8"/>
      <c r="D847" s="8"/>
      <c r="E847" s="8"/>
      <c r="F847" s="9"/>
      <c r="G847" s="10">
        <f>IFERROR(F847*VLOOKUP(D847,TELAS!$A$4:$C$32,3,FALSE()),0)</f>
        <v>0</v>
      </c>
      <c r="H847" s="11" t="str">
        <f>IFERROR(VLOOKUP(E847,COLORES!$A$4:$B$102,2,FALSE()),"")</f>
        <v/>
      </c>
      <c r="I847" s="12">
        <f>IFERROR(IF(H847="OSCURO",VLOOKUP(D847,PRECIOS!$A$4:$F$32,2,FALSE()),IF(H847="CLARO",VLOOKUP(D847,PRECIOS!$A$4:$F$32,3,FALSE()),IF(H847="MELANGE",VLOOKUP(D847,PRECIOS!$A$4:$F$32,4,FALSE()),IF(H847="PPT",VLOOKUP(D847,PRECIOS!$A$4:$F$32,5,FALSE()),0)))),0)</f>
        <v>0</v>
      </c>
      <c r="J847" s="12">
        <f t="shared" si="12"/>
        <v>0</v>
      </c>
      <c r="K847" s="13">
        <f>IFERROR(IF(C847="",0,SUMIFS($F$4:$F$846,$C$4:$C$846,C847,$D$4:$D$846,D847,$E$4:$E$846,E847,$B$4:$B$846,"INGRESO")+SUMIFS($F$4:$F$846,$C$4:$C$846,C847,$D$4:$D$846,D847,$E$4:$E$846,E847,$B$4:$B$846,"DE REPROCESO")+SUMIFS($F$4:$F$846,$C$4:$C$846,C847,$D$4:$D$846,D847,$E$4:$E$846,E847,$B$4:$B$846,"AJUSTE+")-SUMIFS($F$4:$F$846,$C$4:$C$846,C847,$D$4:$D$846,D847,$E$4:$E$846,E847,$B$4:$B$846,"A CORTE")-SUMIFS($F$4:$F$846,$C$4:$C$846,C847,$D$4:$D$846,D847,$E$4:$E$846,E847,$B$4:$B$846,"A REPROCESO")-SUMIFS($F$4:$F$846,$C$4:$C$846,C847,$D$4:$D$846,D847,$E$4:$E$846,E847,$B$4:$B$846,"MUESTRA")-SUMIFS($F$4:$F$846,$C$4:$C$846,C847,$D$4:$D$846,D847,$E$4:$E$846,E847,$B$4:$B$846,"AJUSTE-")),0)</f>
        <v>0</v>
      </c>
      <c r="L847" s="13">
        <f t="shared" si="13"/>
        <v>0</v>
      </c>
      <c r="M847" s="8"/>
      <c r="N847" s="14"/>
      <c r="O847" s="14"/>
      <c r="P847" s="14"/>
      <c r="Q847" s="15"/>
      <c r="R847" s="16" t="str">
        <f t="shared" si="14"/>
        <v/>
      </c>
    </row>
    <row r="848" ht="15.75" customHeight="1">
      <c r="A848" s="7"/>
      <c r="B848" s="8"/>
      <c r="C848" s="8"/>
      <c r="D848" s="8"/>
      <c r="E848" s="8"/>
      <c r="F848" s="9"/>
      <c r="G848" s="10">
        <f>IFERROR(F848*VLOOKUP(D848,TELAS!$A$4:$C$32,3,FALSE()),0)</f>
        <v>0</v>
      </c>
      <c r="H848" s="11" t="str">
        <f>IFERROR(VLOOKUP(E848,COLORES!$A$4:$B$102,2,FALSE()),"")</f>
        <v/>
      </c>
      <c r="I848" s="12">
        <f>IFERROR(IF(H848="OSCURO",VLOOKUP(D848,PRECIOS!$A$4:$F$32,2,FALSE()),IF(H848="CLARO",VLOOKUP(D848,PRECIOS!$A$4:$F$32,3,FALSE()),IF(H848="MELANGE",VLOOKUP(D848,PRECIOS!$A$4:$F$32,4,FALSE()),IF(H848="PPT",VLOOKUP(D848,PRECIOS!$A$4:$F$32,5,FALSE()),0)))),0)</f>
        <v>0</v>
      </c>
      <c r="J848" s="12">
        <f t="shared" si="12"/>
        <v>0</v>
      </c>
      <c r="K848" s="13">
        <f>IFERROR(IF(C848="",0,SUMIFS($F$4:$F$847,$C$4:$C$847,C848,$D$4:$D$847,D848,$E$4:$E$847,E848,$B$4:$B$847,"INGRESO")+SUMIFS($F$4:$F$847,$C$4:$C$847,C848,$D$4:$D$847,D848,$E$4:$E$847,E848,$B$4:$B$847,"DE REPROCESO")+SUMIFS($F$4:$F$847,$C$4:$C$847,C848,$D$4:$D$847,D848,$E$4:$E$847,E848,$B$4:$B$847,"AJUSTE+")-SUMIFS($F$4:$F$847,$C$4:$C$847,C848,$D$4:$D$847,D848,$E$4:$E$847,E848,$B$4:$B$847,"A CORTE")-SUMIFS($F$4:$F$847,$C$4:$C$847,C848,$D$4:$D$847,D848,$E$4:$E$847,E848,$B$4:$B$847,"A REPROCESO")-SUMIFS($F$4:$F$847,$C$4:$C$847,C848,$D$4:$D$847,D848,$E$4:$E$847,E848,$B$4:$B$847,"MUESTRA")-SUMIFS($F$4:$F$847,$C$4:$C$847,C848,$D$4:$D$847,D848,$E$4:$E$847,E848,$B$4:$B$847,"AJUSTE-")),0)</f>
        <v>0</v>
      </c>
      <c r="L848" s="13">
        <f t="shared" si="13"/>
        <v>0</v>
      </c>
      <c r="M848" s="8"/>
      <c r="N848" s="14"/>
      <c r="O848" s="14"/>
      <c r="P848" s="14"/>
      <c r="Q848" s="15"/>
      <c r="R848" s="16" t="str">
        <f t="shared" si="14"/>
        <v/>
      </c>
    </row>
    <row r="849" ht="15.75" customHeight="1">
      <c r="A849" s="7"/>
      <c r="B849" s="8"/>
      <c r="C849" s="8"/>
      <c r="D849" s="8"/>
      <c r="E849" s="8"/>
      <c r="F849" s="9"/>
      <c r="G849" s="10">
        <f>IFERROR(F849*VLOOKUP(D849,TELAS!$A$4:$C$32,3,FALSE()),0)</f>
        <v>0</v>
      </c>
      <c r="H849" s="11" t="str">
        <f>IFERROR(VLOOKUP(E849,COLORES!$A$4:$B$102,2,FALSE()),"")</f>
        <v/>
      </c>
      <c r="I849" s="12">
        <f>IFERROR(IF(H849="OSCURO",VLOOKUP(D849,PRECIOS!$A$4:$F$32,2,FALSE()),IF(H849="CLARO",VLOOKUP(D849,PRECIOS!$A$4:$F$32,3,FALSE()),IF(H849="MELANGE",VLOOKUP(D849,PRECIOS!$A$4:$F$32,4,FALSE()),IF(H849="PPT",VLOOKUP(D849,PRECIOS!$A$4:$F$32,5,FALSE()),0)))),0)</f>
        <v>0</v>
      </c>
      <c r="J849" s="12">
        <f t="shared" si="12"/>
        <v>0</v>
      </c>
      <c r="K849" s="13">
        <f>IFERROR(IF(C849="",0,SUMIFS($F$4:$F$848,$C$4:$C$848,C849,$D$4:$D$848,D849,$E$4:$E$848,E849,$B$4:$B$848,"INGRESO")+SUMIFS($F$4:$F$848,$C$4:$C$848,C849,$D$4:$D$848,D849,$E$4:$E$848,E849,$B$4:$B$848,"DE REPROCESO")+SUMIFS($F$4:$F$848,$C$4:$C$848,C849,$D$4:$D$848,D849,$E$4:$E$848,E849,$B$4:$B$848,"AJUSTE+")-SUMIFS($F$4:$F$848,$C$4:$C$848,C849,$D$4:$D$848,D849,$E$4:$E$848,E849,$B$4:$B$848,"A CORTE")-SUMIFS($F$4:$F$848,$C$4:$C$848,C849,$D$4:$D$848,D849,$E$4:$E$848,E849,$B$4:$B$848,"A REPROCESO")-SUMIFS($F$4:$F$848,$C$4:$C$848,C849,$D$4:$D$848,D849,$E$4:$E$848,E849,$B$4:$B$848,"MUESTRA")-SUMIFS($F$4:$F$848,$C$4:$C$848,C849,$D$4:$D$848,D849,$E$4:$E$848,E849,$B$4:$B$848,"AJUSTE-")),0)</f>
        <v>0</v>
      </c>
      <c r="L849" s="13">
        <f t="shared" si="13"/>
        <v>0</v>
      </c>
      <c r="M849" s="8"/>
      <c r="N849" s="14"/>
      <c r="O849" s="14"/>
      <c r="P849" s="14"/>
      <c r="Q849" s="15"/>
      <c r="R849" s="16" t="str">
        <f t="shared" si="14"/>
        <v/>
      </c>
    </row>
    <row r="850" ht="15.75" customHeight="1">
      <c r="A850" s="7"/>
      <c r="B850" s="8"/>
      <c r="C850" s="8"/>
      <c r="D850" s="8"/>
      <c r="E850" s="8"/>
      <c r="F850" s="9"/>
      <c r="G850" s="10">
        <f>IFERROR(F850*VLOOKUP(D850,TELAS!$A$4:$C$32,3,FALSE()),0)</f>
        <v>0</v>
      </c>
      <c r="H850" s="11" t="str">
        <f>IFERROR(VLOOKUP(E850,COLORES!$A$4:$B$102,2,FALSE()),"")</f>
        <v/>
      </c>
      <c r="I850" s="12">
        <f>IFERROR(IF(H850="OSCURO",VLOOKUP(D850,PRECIOS!$A$4:$F$32,2,FALSE()),IF(H850="CLARO",VLOOKUP(D850,PRECIOS!$A$4:$F$32,3,FALSE()),IF(H850="MELANGE",VLOOKUP(D850,PRECIOS!$A$4:$F$32,4,FALSE()),IF(H850="PPT",VLOOKUP(D850,PRECIOS!$A$4:$F$32,5,FALSE()),0)))),0)</f>
        <v>0</v>
      </c>
      <c r="J850" s="12">
        <f t="shared" si="12"/>
        <v>0</v>
      </c>
      <c r="K850" s="13">
        <f>IFERROR(IF(C850="",0,SUMIFS($F$4:$F$849,$C$4:$C$849,C850,$D$4:$D$849,D850,$E$4:$E$849,E850,$B$4:$B$849,"INGRESO")+SUMIFS($F$4:$F$849,$C$4:$C$849,C850,$D$4:$D$849,D850,$E$4:$E$849,E850,$B$4:$B$849,"DE REPROCESO")+SUMIFS($F$4:$F$849,$C$4:$C$849,C850,$D$4:$D$849,D850,$E$4:$E$849,E850,$B$4:$B$849,"AJUSTE+")-SUMIFS($F$4:$F$849,$C$4:$C$849,C850,$D$4:$D$849,D850,$E$4:$E$849,E850,$B$4:$B$849,"A CORTE")-SUMIFS($F$4:$F$849,$C$4:$C$849,C850,$D$4:$D$849,D850,$E$4:$E$849,E850,$B$4:$B$849,"A REPROCESO")-SUMIFS($F$4:$F$849,$C$4:$C$849,C850,$D$4:$D$849,D850,$E$4:$E$849,E850,$B$4:$B$849,"MUESTRA")-SUMIFS($F$4:$F$849,$C$4:$C$849,C850,$D$4:$D$849,D850,$E$4:$E$849,E850,$B$4:$B$849,"AJUSTE-")),0)</f>
        <v>0</v>
      </c>
      <c r="L850" s="13">
        <f t="shared" si="13"/>
        <v>0</v>
      </c>
      <c r="M850" s="8"/>
      <c r="N850" s="14"/>
      <c r="O850" s="14"/>
      <c r="P850" s="14"/>
      <c r="Q850" s="15"/>
      <c r="R850" s="16" t="str">
        <f t="shared" si="14"/>
        <v/>
      </c>
    </row>
    <row r="851" ht="15.75" customHeight="1">
      <c r="A851" s="7"/>
      <c r="B851" s="8"/>
      <c r="C851" s="8"/>
      <c r="D851" s="8"/>
      <c r="E851" s="8"/>
      <c r="F851" s="9"/>
      <c r="G851" s="10">
        <f>IFERROR(F851*VLOOKUP(D851,TELAS!$A$4:$C$32,3,FALSE()),0)</f>
        <v>0</v>
      </c>
      <c r="H851" s="11" t="str">
        <f>IFERROR(VLOOKUP(E851,COLORES!$A$4:$B$102,2,FALSE()),"")</f>
        <v/>
      </c>
      <c r="I851" s="12">
        <f>IFERROR(IF(H851="OSCURO",VLOOKUP(D851,PRECIOS!$A$4:$F$32,2,FALSE()),IF(H851="CLARO",VLOOKUP(D851,PRECIOS!$A$4:$F$32,3,FALSE()),IF(H851="MELANGE",VLOOKUP(D851,PRECIOS!$A$4:$F$32,4,FALSE()),IF(H851="PPT",VLOOKUP(D851,PRECIOS!$A$4:$F$32,5,FALSE()),0)))),0)</f>
        <v>0</v>
      </c>
      <c r="J851" s="12">
        <f t="shared" si="12"/>
        <v>0</v>
      </c>
      <c r="K851" s="13">
        <f>IFERROR(IF(C851="",0,SUMIFS($F$4:$F$850,$C$4:$C$850,C851,$D$4:$D$850,D851,$E$4:$E$850,E851,$B$4:$B$850,"INGRESO")+SUMIFS($F$4:$F$850,$C$4:$C$850,C851,$D$4:$D$850,D851,$E$4:$E$850,E851,$B$4:$B$850,"DE REPROCESO")+SUMIFS($F$4:$F$850,$C$4:$C$850,C851,$D$4:$D$850,D851,$E$4:$E$850,E851,$B$4:$B$850,"AJUSTE+")-SUMIFS($F$4:$F$850,$C$4:$C$850,C851,$D$4:$D$850,D851,$E$4:$E$850,E851,$B$4:$B$850,"A CORTE")-SUMIFS($F$4:$F$850,$C$4:$C$850,C851,$D$4:$D$850,D851,$E$4:$E$850,E851,$B$4:$B$850,"A REPROCESO")-SUMIFS($F$4:$F$850,$C$4:$C$850,C851,$D$4:$D$850,D851,$E$4:$E$850,E851,$B$4:$B$850,"MUESTRA")-SUMIFS($F$4:$F$850,$C$4:$C$850,C851,$D$4:$D$850,D851,$E$4:$E$850,E851,$B$4:$B$850,"AJUSTE-")),0)</f>
        <v>0</v>
      </c>
      <c r="L851" s="13">
        <f t="shared" si="13"/>
        <v>0</v>
      </c>
      <c r="M851" s="8"/>
      <c r="N851" s="14"/>
      <c r="O851" s="14"/>
      <c r="P851" s="14"/>
      <c r="Q851" s="15"/>
      <c r="R851" s="16" t="str">
        <f t="shared" si="14"/>
        <v/>
      </c>
    </row>
    <row r="852" ht="15.75" customHeight="1">
      <c r="A852" s="7"/>
      <c r="B852" s="8"/>
      <c r="C852" s="8"/>
      <c r="D852" s="8"/>
      <c r="E852" s="8"/>
      <c r="F852" s="9"/>
      <c r="G852" s="10">
        <f>IFERROR(F852*VLOOKUP(D852,TELAS!$A$4:$C$32,3,FALSE()),0)</f>
        <v>0</v>
      </c>
      <c r="H852" s="11" t="str">
        <f>IFERROR(VLOOKUP(E852,COLORES!$A$4:$B$102,2,FALSE()),"")</f>
        <v/>
      </c>
      <c r="I852" s="12">
        <f>IFERROR(IF(H852="OSCURO",VLOOKUP(D852,PRECIOS!$A$4:$F$32,2,FALSE()),IF(H852="CLARO",VLOOKUP(D852,PRECIOS!$A$4:$F$32,3,FALSE()),IF(H852="MELANGE",VLOOKUP(D852,PRECIOS!$A$4:$F$32,4,FALSE()),IF(H852="PPT",VLOOKUP(D852,PRECIOS!$A$4:$F$32,5,FALSE()),0)))),0)</f>
        <v>0</v>
      </c>
      <c r="J852" s="12">
        <f t="shared" si="12"/>
        <v>0</v>
      </c>
      <c r="K852" s="13">
        <f>IFERROR(IF(C852="",0,SUMIFS($F$4:$F$851,$C$4:$C$851,C852,$D$4:$D$851,D852,$E$4:$E$851,E852,$B$4:$B$851,"INGRESO")+SUMIFS($F$4:$F$851,$C$4:$C$851,C852,$D$4:$D$851,D852,$E$4:$E$851,E852,$B$4:$B$851,"DE REPROCESO")+SUMIFS($F$4:$F$851,$C$4:$C$851,C852,$D$4:$D$851,D852,$E$4:$E$851,E852,$B$4:$B$851,"AJUSTE+")-SUMIFS($F$4:$F$851,$C$4:$C$851,C852,$D$4:$D$851,D852,$E$4:$E$851,E852,$B$4:$B$851,"A CORTE")-SUMIFS($F$4:$F$851,$C$4:$C$851,C852,$D$4:$D$851,D852,$E$4:$E$851,E852,$B$4:$B$851,"A REPROCESO")-SUMIFS($F$4:$F$851,$C$4:$C$851,C852,$D$4:$D$851,D852,$E$4:$E$851,E852,$B$4:$B$851,"MUESTRA")-SUMIFS($F$4:$F$851,$C$4:$C$851,C852,$D$4:$D$851,D852,$E$4:$E$851,E852,$B$4:$B$851,"AJUSTE-")),0)</f>
        <v>0</v>
      </c>
      <c r="L852" s="13">
        <f t="shared" si="13"/>
        <v>0</v>
      </c>
      <c r="M852" s="8"/>
      <c r="N852" s="14"/>
      <c r="O852" s="14"/>
      <c r="P852" s="14"/>
      <c r="Q852" s="15"/>
      <c r="R852" s="16" t="str">
        <f t="shared" si="14"/>
        <v/>
      </c>
    </row>
    <row r="853" ht="15.75" customHeight="1">
      <c r="A853" s="7"/>
      <c r="B853" s="8"/>
      <c r="C853" s="8"/>
      <c r="D853" s="8"/>
      <c r="E853" s="8"/>
      <c r="F853" s="9"/>
      <c r="G853" s="10">
        <f>IFERROR(F853*VLOOKUP(D853,TELAS!$A$4:$C$32,3,FALSE()),0)</f>
        <v>0</v>
      </c>
      <c r="H853" s="11" t="str">
        <f>IFERROR(VLOOKUP(E853,COLORES!$A$4:$B$102,2,FALSE()),"")</f>
        <v/>
      </c>
      <c r="I853" s="12">
        <f>IFERROR(IF(H853="OSCURO",VLOOKUP(D853,PRECIOS!$A$4:$F$32,2,FALSE()),IF(H853="CLARO",VLOOKUP(D853,PRECIOS!$A$4:$F$32,3,FALSE()),IF(H853="MELANGE",VLOOKUP(D853,PRECIOS!$A$4:$F$32,4,FALSE()),IF(H853="PPT",VLOOKUP(D853,PRECIOS!$A$4:$F$32,5,FALSE()),0)))),0)</f>
        <v>0</v>
      </c>
      <c r="J853" s="12">
        <f t="shared" si="12"/>
        <v>0</v>
      </c>
      <c r="K853" s="13">
        <f>IFERROR(IF(C853="",0,SUMIFS($F$4:$F$852,$C$4:$C$852,C853,$D$4:$D$852,D853,$E$4:$E$852,E853,$B$4:$B$852,"INGRESO")+SUMIFS($F$4:$F$852,$C$4:$C$852,C853,$D$4:$D$852,D853,$E$4:$E$852,E853,$B$4:$B$852,"DE REPROCESO")+SUMIFS($F$4:$F$852,$C$4:$C$852,C853,$D$4:$D$852,D853,$E$4:$E$852,E853,$B$4:$B$852,"AJUSTE+")-SUMIFS($F$4:$F$852,$C$4:$C$852,C853,$D$4:$D$852,D853,$E$4:$E$852,E853,$B$4:$B$852,"A CORTE")-SUMIFS($F$4:$F$852,$C$4:$C$852,C853,$D$4:$D$852,D853,$E$4:$E$852,E853,$B$4:$B$852,"A REPROCESO")-SUMIFS($F$4:$F$852,$C$4:$C$852,C853,$D$4:$D$852,D853,$E$4:$E$852,E853,$B$4:$B$852,"MUESTRA")-SUMIFS($F$4:$F$852,$C$4:$C$852,C853,$D$4:$D$852,D853,$E$4:$E$852,E853,$B$4:$B$852,"AJUSTE-")),0)</f>
        <v>0</v>
      </c>
      <c r="L853" s="13">
        <f t="shared" si="13"/>
        <v>0</v>
      </c>
      <c r="M853" s="8"/>
      <c r="N853" s="14"/>
      <c r="O853" s="14"/>
      <c r="P853" s="14"/>
      <c r="Q853" s="15"/>
      <c r="R853" s="16" t="str">
        <f t="shared" si="14"/>
        <v/>
      </c>
    </row>
    <row r="854" ht="15.75" customHeight="1">
      <c r="A854" s="7"/>
      <c r="B854" s="8"/>
      <c r="C854" s="8"/>
      <c r="D854" s="8"/>
      <c r="E854" s="8"/>
      <c r="F854" s="9"/>
      <c r="G854" s="10">
        <f>IFERROR(F854*VLOOKUP(D854,TELAS!$A$4:$C$32,3,FALSE()),0)</f>
        <v>0</v>
      </c>
      <c r="H854" s="11" t="str">
        <f>IFERROR(VLOOKUP(E854,COLORES!$A$4:$B$102,2,FALSE()),"")</f>
        <v/>
      </c>
      <c r="I854" s="12">
        <f>IFERROR(IF(H854="OSCURO",VLOOKUP(D854,PRECIOS!$A$4:$F$32,2,FALSE()),IF(H854="CLARO",VLOOKUP(D854,PRECIOS!$A$4:$F$32,3,FALSE()),IF(H854="MELANGE",VLOOKUP(D854,PRECIOS!$A$4:$F$32,4,FALSE()),IF(H854="PPT",VLOOKUP(D854,PRECIOS!$A$4:$F$32,5,FALSE()),0)))),0)</f>
        <v>0</v>
      </c>
      <c r="J854" s="12">
        <f t="shared" si="12"/>
        <v>0</v>
      </c>
      <c r="K854" s="13">
        <f>IFERROR(IF(C854="",0,SUMIFS($F$4:$F$853,$C$4:$C$853,C854,$D$4:$D$853,D854,$E$4:$E$853,E854,$B$4:$B$853,"INGRESO")+SUMIFS($F$4:$F$853,$C$4:$C$853,C854,$D$4:$D$853,D854,$E$4:$E$853,E854,$B$4:$B$853,"DE REPROCESO")+SUMIFS($F$4:$F$853,$C$4:$C$853,C854,$D$4:$D$853,D854,$E$4:$E$853,E854,$B$4:$B$853,"AJUSTE+")-SUMIFS($F$4:$F$853,$C$4:$C$853,C854,$D$4:$D$853,D854,$E$4:$E$853,E854,$B$4:$B$853,"A CORTE")-SUMIFS($F$4:$F$853,$C$4:$C$853,C854,$D$4:$D$853,D854,$E$4:$E$853,E854,$B$4:$B$853,"A REPROCESO")-SUMIFS($F$4:$F$853,$C$4:$C$853,C854,$D$4:$D$853,D854,$E$4:$E$853,E854,$B$4:$B$853,"MUESTRA")-SUMIFS($F$4:$F$853,$C$4:$C$853,C854,$D$4:$D$853,D854,$E$4:$E$853,E854,$B$4:$B$853,"AJUSTE-")),0)</f>
        <v>0</v>
      </c>
      <c r="L854" s="13">
        <f t="shared" si="13"/>
        <v>0</v>
      </c>
      <c r="M854" s="8"/>
      <c r="N854" s="14"/>
      <c r="O854" s="14"/>
      <c r="P854" s="14"/>
      <c r="Q854" s="15"/>
      <c r="R854" s="16" t="str">
        <f t="shared" si="14"/>
        <v/>
      </c>
    </row>
    <row r="855" ht="15.75" customHeight="1">
      <c r="A855" s="7"/>
      <c r="B855" s="8"/>
      <c r="C855" s="8"/>
      <c r="D855" s="8"/>
      <c r="E855" s="8"/>
      <c r="F855" s="9"/>
      <c r="G855" s="10">
        <f>IFERROR(F855*VLOOKUP(D855,TELAS!$A$4:$C$32,3,FALSE()),0)</f>
        <v>0</v>
      </c>
      <c r="H855" s="11" t="str">
        <f>IFERROR(VLOOKUP(E855,COLORES!$A$4:$B$102,2,FALSE()),"")</f>
        <v/>
      </c>
      <c r="I855" s="12">
        <f>IFERROR(IF(H855="OSCURO",VLOOKUP(D855,PRECIOS!$A$4:$F$32,2,FALSE()),IF(H855="CLARO",VLOOKUP(D855,PRECIOS!$A$4:$F$32,3,FALSE()),IF(H855="MELANGE",VLOOKUP(D855,PRECIOS!$A$4:$F$32,4,FALSE()),IF(H855="PPT",VLOOKUP(D855,PRECIOS!$A$4:$F$32,5,FALSE()),0)))),0)</f>
        <v>0</v>
      </c>
      <c r="J855" s="12">
        <f t="shared" si="12"/>
        <v>0</v>
      </c>
      <c r="K855" s="13">
        <f>IFERROR(IF(C855="",0,SUMIFS($F$4:$F$854,$C$4:$C$854,C855,$D$4:$D$854,D855,$E$4:$E$854,E855,$B$4:$B$854,"INGRESO")+SUMIFS($F$4:$F$854,$C$4:$C$854,C855,$D$4:$D$854,D855,$E$4:$E$854,E855,$B$4:$B$854,"DE REPROCESO")+SUMIFS($F$4:$F$854,$C$4:$C$854,C855,$D$4:$D$854,D855,$E$4:$E$854,E855,$B$4:$B$854,"AJUSTE+")-SUMIFS($F$4:$F$854,$C$4:$C$854,C855,$D$4:$D$854,D855,$E$4:$E$854,E855,$B$4:$B$854,"A CORTE")-SUMIFS($F$4:$F$854,$C$4:$C$854,C855,$D$4:$D$854,D855,$E$4:$E$854,E855,$B$4:$B$854,"A REPROCESO")-SUMIFS($F$4:$F$854,$C$4:$C$854,C855,$D$4:$D$854,D855,$E$4:$E$854,E855,$B$4:$B$854,"MUESTRA")-SUMIFS($F$4:$F$854,$C$4:$C$854,C855,$D$4:$D$854,D855,$E$4:$E$854,E855,$B$4:$B$854,"AJUSTE-")),0)</f>
        <v>0</v>
      </c>
      <c r="L855" s="13">
        <f t="shared" si="13"/>
        <v>0</v>
      </c>
      <c r="M855" s="8"/>
      <c r="N855" s="14"/>
      <c r="O855" s="14"/>
      <c r="P855" s="14"/>
      <c r="Q855" s="15"/>
      <c r="R855" s="16" t="str">
        <f t="shared" si="14"/>
        <v/>
      </c>
    </row>
    <row r="856" ht="15.75" customHeight="1">
      <c r="A856" s="7"/>
      <c r="B856" s="8"/>
      <c r="C856" s="8"/>
      <c r="D856" s="8"/>
      <c r="E856" s="8"/>
      <c r="F856" s="9"/>
      <c r="G856" s="10">
        <f>IFERROR(F856*VLOOKUP(D856,TELAS!$A$4:$C$32,3,FALSE()),0)</f>
        <v>0</v>
      </c>
      <c r="H856" s="11" t="str">
        <f>IFERROR(VLOOKUP(E856,COLORES!$A$4:$B$102,2,FALSE()),"")</f>
        <v/>
      </c>
      <c r="I856" s="12">
        <f>IFERROR(IF(H856="OSCURO",VLOOKUP(D856,PRECIOS!$A$4:$F$32,2,FALSE()),IF(H856="CLARO",VLOOKUP(D856,PRECIOS!$A$4:$F$32,3,FALSE()),IF(H856="MELANGE",VLOOKUP(D856,PRECIOS!$A$4:$F$32,4,FALSE()),IF(H856="PPT",VLOOKUP(D856,PRECIOS!$A$4:$F$32,5,FALSE()),0)))),0)</f>
        <v>0</v>
      </c>
      <c r="J856" s="12">
        <f t="shared" si="12"/>
        <v>0</v>
      </c>
      <c r="K856" s="13">
        <f>IFERROR(IF(C856="",0,SUMIFS($F$4:$F$855,$C$4:$C$855,C856,$D$4:$D$855,D856,$E$4:$E$855,E856,$B$4:$B$855,"INGRESO")+SUMIFS($F$4:$F$855,$C$4:$C$855,C856,$D$4:$D$855,D856,$E$4:$E$855,E856,$B$4:$B$855,"DE REPROCESO")+SUMIFS($F$4:$F$855,$C$4:$C$855,C856,$D$4:$D$855,D856,$E$4:$E$855,E856,$B$4:$B$855,"AJUSTE+")-SUMIFS($F$4:$F$855,$C$4:$C$855,C856,$D$4:$D$855,D856,$E$4:$E$855,E856,$B$4:$B$855,"A CORTE")-SUMIFS($F$4:$F$855,$C$4:$C$855,C856,$D$4:$D$855,D856,$E$4:$E$855,E856,$B$4:$B$855,"A REPROCESO")-SUMIFS($F$4:$F$855,$C$4:$C$855,C856,$D$4:$D$855,D856,$E$4:$E$855,E856,$B$4:$B$855,"MUESTRA")-SUMIFS($F$4:$F$855,$C$4:$C$855,C856,$D$4:$D$855,D856,$E$4:$E$855,E856,$B$4:$B$855,"AJUSTE-")),0)</f>
        <v>0</v>
      </c>
      <c r="L856" s="13">
        <f t="shared" si="13"/>
        <v>0</v>
      </c>
      <c r="M856" s="8"/>
      <c r="N856" s="14"/>
      <c r="O856" s="14"/>
      <c r="P856" s="14"/>
      <c r="Q856" s="15"/>
      <c r="R856" s="16" t="str">
        <f t="shared" si="14"/>
        <v/>
      </c>
    </row>
    <row r="857" ht="15.75" customHeight="1">
      <c r="A857" s="7"/>
      <c r="B857" s="8"/>
      <c r="C857" s="8"/>
      <c r="D857" s="8"/>
      <c r="E857" s="8"/>
      <c r="F857" s="9"/>
      <c r="G857" s="10">
        <f>IFERROR(F857*VLOOKUP(D857,TELAS!$A$4:$C$32,3,FALSE()),0)</f>
        <v>0</v>
      </c>
      <c r="H857" s="11" t="str">
        <f>IFERROR(VLOOKUP(E857,COLORES!$A$4:$B$102,2,FALSE()),"")</f>
        <v/>
      </c>
      <c r="I857" s="12">
        <f>IFERROR(IF(H857="OSCURO",VLOOKUP(D857,PRECIOS!$A$4:$F$32,2,FALSE()),IF(H857="CLARO",VLOOKUP(D857,PRECIOS!$A$4:$F$32,3,FALSE()),IF(H857="MELANGE",VLOOKUP(D857,PRECIOS!$A$4:$F$32,4,FALSE()),IF(H857="PPT",VLOOKUP(D857,PRECIOS!$A$4:$F$32,5,FALSE()),0)))),0)</f>
        <v>0</v>
      </c>
      <c r="J857" s="12">
        <f t="shared" si="12"/>
        <v>0</v>
      </c>
      <c r="K857" s="13">
        <f>IFERROR(IF(C857="",0,SUMIFS($F$4:$F$856,$C$4:$C$856,C857,$D$4:$D$856,D857,$E$4:$E$856,E857,$B$4:$B$856,"INGRESO")+SUMIFS($F$4:$F$856,$C$4:$C$856,C857,$D$4:$D$856,D857,$E$4:$E$856,E857,$B$4:$B$856,"DE REPROCESO")+SUMIFS($F$4:$F$856,$C$4:$C$856,C857,$D$4:$D$856,D857,$E$4:$E$856,E857,$B$4:$B$856,"AJUSTE+")-SUMIFS($F$4:$F$856,$C$4:$C$856,C857,$D$4:$D$856,D857,$E$4:$E$856,E857,$B$4:$B$856,"A CORTE")-SUMIFS($F$4:$F$856,$C$4:$C$856,C857,$D$4:$D$856,D857,$E$4:$E$856,E857,$B$4:$B$856,"A REPROCESO")-SUMIFS($F$4:$F$856,$C$4:$C$856,C857,$D$4:$D$856,D857,$E$4:$E$856,E857,$B$4:$B$856,"MUESTRA")-SUMIFS($F$4:$F$856,$C$4:$C$856,C857,$D$4:$D$856,D857,$E$4:$E$856,E857,$B$4:$B$856,"AJUSTE-")),0)</f>
        <v>0</v>
      </c>
      <c r="L857" s="13">
        <f t="shared" si="13"/>
        <v>0</v>
      </c>
      <c r="M857" s="8"/>
      <c r="N857" s="14"/>
      <c r="O857" s="14"/>
      <c r="P857" s="14"/>
      <c r="Q857" s="15"/>
      <c r="R857" s="16" t="str">
        <f t="shared" si="14"/>
        <v/>
      </c>
    </row>
    <row r="858" ht="15.75" customHeight="1">
      <c r="A858" s="7"/>
      <c r="B858" s="8"/>
      <c r="C858" s="8"/>
      <c r="D858" s="8"/>
      <c r="E858" s="8"/>
      <c r="F858" s="9"/>
      <c r="G858" s="10">
        <f>IFERROR(F858*VLOOKUP(D858,TELAS!$A$4:$C$32,3,FALSE()),0)</f>
        <v>0</v>
      </c>
      <c r="H858" s="11" t="str">
        <f>IFERROR(VLOOKUP(E858,COLORES!$A$4:$B$102,2,FALSE()),"")</f>
        <v/>
      </c>
      <c r="I858" s="12">
        <f>IFERROR(IF(H858="OSCURO",VLOOKUP(D858,PRECIOS!$A$4:$F$32,2,FALSE()),IF(H858="CLARO",VLOOKUP(D858,PRECIOS!$A$4:$F$32,3,FALSE()),IF(H858="MELANGE",VLOOKUP(D858,PRECIOS!$A$4:$F$32,4,FALSE()),IF(H858="PPT",VLOOKUP(D858,PRECIOS!$A$4:$F$32,5,FALSE()),0)))),0)</f>
        <v>0</v>
      </c>
      <c r="J858" s="12">
        <f t="shared" si="12"/>
        <v>0</v>
      </c>
      <c r="K858" s="13">
        <f>IFERROR(IF(C858="",0,SUMIFS($F$4:$F$857,$C$4:$C$857,C858,$D$4:$D$857,D858,$E$4:$E$857,E858,$B$4:$B$857,"INGRESO")+SUMIFS($F$4:$F$857,$C$4:$C$857,C858,$D$4:$D$857,D858,$E$4:$E$857,E858,$B$4:$B$857,"DE REPROCESO")+SUMIFS($F$4:$F$857,$C$4:$C$857,C858,$D$4:$D$857,D858,$E$4:$E$857,E858,$B$4:$B$857,"AJUSTE+")-SUMIFS($F$4:$F$857,$C$4:$C$857,C858,$D$4:$D$857,D858,$E$4:$E$857,E858,$B$4:$B$857,"A CORTE")-SUMIFS($F$4:$F$857,$C$4:$C$857,C858,$D$4:$D$857,D858,$E$4:$E$857,E858,$B$4:$B$857,"A REPROCESO")-SUMIFS($F$4:$F$857,$C$4:$C$857,C858,$D$4:$D$857,D858,$E$4:$E$857,E858,$B$4:$B$857,"MUESTRA")-SUMIFS($F$4:$F$857,$C$4:$C$857,C858,$D$4:$D$857,D858,$E$4:$E$857,E858,$B$4:$B$857,"AJUSTE-")),0)</f>
        <v>0</v>
      </c>
      <c r="L858" s="13">
        <f t="shared" si="13"/>
        <v>0</v>
      </c>
      <c r="M858" s="8"/>
      <c r="N858" s="14"/>
      <c r="O858" s="14"/>
      <c r="P858" s="14"/>
      <c r="Q858" s="15"/>
      <c r="R858" s="16" t="str">
        <f t="shared" si="14"/>
        <v/>
      </c>
    </row>
    <row r="859" ht="15.75" customHeight="1">
      <c r="A859" s="7"/>
      <c r="B859" s="8"/>
      <c r="C859" s="8"/>
      <c r="D859" s="8"/>
      <c r="E859" s="8"/>
      <c r="F859" s="9"/>
      <c r="G859" s="10">
        <f>IFERROR(F859*VLOOKUP(D859,TELAS!$A$4:$C$32,3,FALSE()),0)</f>
        <v>0</v>
      </c>
      <c r="H859" s="11" t="str">
        <f>IFERROR(VLOOKUP(E859,COLORES!$A$4:$B$102,2,FALSE()),"")</f>
        <v/>
      </c>
      <c r="I859" s="12">
        <f>IFERROR(IF(H859="OSCURO",VLOOKUP(D859,PRECIOS!$A$4:$F$32,2,FALSE()),IF(H859="CLARO",VLOOKUP(D859,PRECIOS!$A$4:$F$32,3,FALSE()),IF(H859="MELANGE",VLOOKUP(D859,PRECIOS!$A$4:$F$32,4,FALSE()),IF(H859="PPT",VLOOKUP(D859,PRECIOS!$A$4:$F$32,5,FALSE()),0)))),0)</f>
        <v>0</v>
      </c>
      <c r="J859" s="12">
        <f t="shared" si="12"/>
        <v>0</v>
      </c>
      <c r="K859" s="13">
        <f>IFERROR(IF(C859="",0,SUMIFS($F$4:$F$858,$C$4:$C$858,C859,$D$4:$D$858,D859,$E$4:$E$858,E859,$B$4:$B$858,"INGRESO")+SUMIFS($F$4:$F$858,$C$4:$C$858,C859,$D$4:$D$858,D859,$E$4:$E$858,E859,$B$4:$B$858,"DE REPROCESO")+SUMIFS($F$4:$F$858,$C$4:$C$858,C859,$D$4:$D$858,D859,$E$4:$E$858,E859,$B$4:$B$858,"AJUSTE+")-SUMIFS($F$4:$F$858,$C$4:$C$858,C859,$D$4:$D$858,D859,$E$4:$E$858,E859,$B$4:$B$858,"A CORTE")-SUMIFS($F$4:$F$858,$C$4:$C$858,C859,$D$4:$D$858,D859,$E$4:$E$858,E859,$B$4:$B$858,"A REPROCESO")-SUMIFS($F$4:$F$858,$C$4:$C$858,C859,$D$4:$D$858,D859,$E$4:$E$858,E859,$B$4:$B$858,"MUESTRA")-SUMIFS($F$4:$F$858,$C$4:$C$858,C859,$D$4:$D$858,D859,$E$4:$E$858,E859,$B$4:$B$858,"AJUSTE-")),0)</f>
        <v>0</v>
      </c>
      <c r="L859" s="13">
        <f t="shared" si="13"/>
        <v>0</v>
      </c>
      <c r="M859" s="8"/>
      <c r="N859" s="14"/>
      <c r="O859" s="14"/>
      <c r="P859" s="14"/>
      <c r="Q859" s="15"/>
      <c r="R859" s="16" t="str">
        <f t="shared" si="14"/>
        <v/>
      </c>
    </row>
    <row r="860" ht="15.75" customHeight="1">
      <c r="A860" s="7"/>
      <c r="B860" s="8"/>
      <c r="C860" s="8"/>
      <c r="D860" s="8"/>
      <c r="E860" s="8"/>
      <c r="F860" s="9"/>
      <c r="G860" s="10">
        <f>IFERROR(F860*VLOOKUP(D860,TELAS!$A$4:$C$32,3,FALSE()),0)</f>
        <v>0</v>
      </c>
      <c r="H860" s="11" t="str">
        <f>IFERROR(VLOOKUP(E860,COLORES!$A$4:$B$102,2,FALSE()),"")</f>
        <v/>
      </c>
      <c r="I860" s="12">
        <f>IFERROR(IF(H860="OSCURO",VLOOKUP(D860,PRECIOS!$A$4:$F$32,2,FALSE()),IF(H860="CLARO",VLOOKUP(D860,PRECIOS!$A$4:$F$32,3,FALSE()),IF(H860="MELANGE",VLOOKUP(D860,PRECIOS!$A$4:$F$32,4,FALSE()),IF(H860="PPT",VLOOKUP(D860,PRECIOS!$A$4:$F$32,5,FALSE()),0)))),0)</f>
        <v>0</v>
      </c>
      <c r="J860" s="12">
        <f t="shared" si="12"/>
        <v>0</v>
      </c>
      <c r="K860" s="13">
        <f>IFERROR(IF(C860="",0,SUMIFS($F$4:$F$859,$C$4:$C$859,C860,$D$4:$D$859,D860,$E$4:$E$859,E860,$B$4:$B$859,"INGRESO")+SUMIFS($F$4:$F$859,$C$4:$C$859,C860,$D$4:$D$859,D860,$E$4:$E$859,E860,$B$4:$B$859,"DE REPROCESO")+SUMIFS($F$4:$F$859,$C$4:$C$859,C860,$D$4:$D$859,D860,$E$4:$E$859,E860,$B$4:$B$859,"AJUSTE+")-SUMIFS($F$4:$F$859,$C$4:$C$859,C860,$D$4:$D$859,D860,$E$4:$E$859,E860,$B$4:$B$859,"A CORTE")-SUMIFS($F$4:$F$859,$C$4:$C$859,C860,$D$4:$D$859,D860,$E$4:$E$859,E860,$B$4:$B$859,"A REPROCESO")-SUMIFS($F$4:$F$859,$C$4:$C$859,C860,$D$4:$D$859,D860,$E$4:$E$859,E860,$B$4:$B$859,"MUESTRA")-SUMIFS($F$4:$F$859,$C$4:$C$859,C860,$D$4:$D$859,D860,$E$4:$E$859,E860,$B$4:$B$859,"AJUSTE-")),0)</f>
        <v>0</v>
      </c>
      <c r="L860" s="13">
        <f t="shared" si="13"/>
        <v>0</v>
      </c>
      <c r="M860" s="8"/>
      <c r="N860" s="14"/>
      <c r="O860" s="14"/>
      <c r="P860" s="14"/>
      <c r="Q860" s="15"/>
      <c r="R860" s="16" t="str">
        <f t="shared" si="14"/>
        <v/>
      </c>
    </row>
    <row r="861" ht="15.75" customHeight="1">
      <c r="A861" s="7"/>
      <c r="B861" s="8"/>
      <c r="C861" s="8"/>
      <c r="D861" s="8"/>
      <c r="E861" s="8"/>
      <c r="F861" s="9"/>
      <c r="G861" s="10">
        <f>IFERROR(F861*VLOOKUP(D861,TELAS!$A$4:$C$32,3,FALSE()),0)</f>
        <v>0</v>
      </c>
      <c r="H861" s="11" t="str">
        <f>IFERROR(VLOOKUP(E861,COLORES!$A$4:$B$102,2,FALSE()),"")</f>
        <v/>
      </c>
      <c r="I861" s="12">
        <f>IFERROR(IF(H861="OSCURO",VLOOKUP(D861,PRECIOS!$A$4:$F$32,2,FALSE()),IF(H861="CLARO",VLOOKUP(D861,PRECIOS!$A$4:$F$32,3,FALSE()),IF(H861="MELANGE",VLOOKUP(D861,PRECIOS!$A$4:$F$32,4,FALSE()),IF(H861="PPT",VLOOKUP(D861,PRECIOS!$A$4:$F$32,5,FALSE()),0)))),0)</f>
        <v>0</v>
      </c>
      <c r="J861" s="12">
        <f t="shared" si="12"/>
        <v>0</v>
      </c>
      <c r="K861" s="13">
        <f>IFERROR(IF(C861="",0,SUMIFS($F$4:$F$860,$C$4:$C$860,C861,$D$4:$D$860,D861,$E$4:$E$860,E861,$B$4:$B$860,"INGRESO")+SUMIFS($F$4:$F$860,$C$4:$C$860,C861,$D$4:$D$860,D861,$E$4:$E$860,E861,$B$4:$B$860,"DE REPROCESO")+SUMIFS($F$4:$F$860,$C$4:$C$860,C861,$D$4:$D$860,D861,$E$4:$E$860,E861,$B$4:$B$860,"AJUSTE+")-SUMIFS($F$4:$F$860,$C$4:$C$860,C861,$D$4:$D$860,D861,$E$4:$E$860,E861,$B$4:$B$860,"A CORTE")-SUMIFS($F$4:$F$860,$C$4:$C$860,C861,$D$4:$D$860,D861,$E$4:$E$860,E861,$B$4:$B$860,"A REPROCESO")-SUMIFS($F$4:$F$860,$C$4:$C$860,C861,$D$4:$D$860,D861,$E$4:$E$860,E861,$B$4:$B$860,"MUESTRA")-SUMIFS($F$4:$F$860,$C$4:$C$860,C861,$D$4:$D$860,D861,$E$4:$E$860,E861,$B$4:$B$860,"AJUSTE-")),0)</f>
        <v>0</v>
      </c>
      <c r="L861" s="13">
        <f t="shared" si="13"/>
        <v>0</v>
      </c>
      <c r="M861" s="8"/>
      <c r="N861" s="14"/>
      <c r="O861" s="14"/>
      <c r="P861" s="14"/>
      <c r="Q861" s="15"/>
      <c r="R861" s="16" t="str">
        <f t="shared" si="14"/>
        <v/>
      </c>
    </row>
    <row r="862" ht="15.75" customHeight="1">
      <c r="A862" s="7"/>
      <c r="B862" s="8"/>
      <c r="C862" s="8"/>
      <c r="D862" s="8"/>
      <c r="E862" s="8"/>
      <c r="F862" s="9"/>
      <c r="G862" s="10">
        <f>IFERROR(F862*VLOOKUP(D862,TELAS!$A$4:$C$32,3,FALSE()),0)</f>
        <v>0</v>
      </c>
      <c r="H862" s="11" t="str">
        <f>IFERROR(VLOOKUP(E862,COLORES!$A$4:$B$102,2,FALSE()),"")</f>
        <v/>
      </c>
      <c r="I862" s="12">
        <f>IFERROR(IF(H862="OSCURO",VLOOKUP(D862,PRECIOS!$A$4:$F$32,2,FALSE()),IF(H862="CLARO",VLOOKUP(D862,PRECIOS!$A$4:$F$32,3,FALSE()),IF(H862="MELANGE",VLOOKUP(D862,PRECIOS!$A$4:$F$32,4,FALSE()),IF(H862="PPT",VLOOKUP(D862,PRECIOS!$A$4:$F$32,5,FALSE()),0)))),0)</f>
        <v>0</v>
      </c>
      <c r="J862" s="12">
        <f t="shared" si="12"/>
        <v>0</v>
      </c>
      <c r="K862" s="13">
        <f>IFERROR(IF(C862="",0,SUMIFS($F$4:$F$861,$C$4:$C$861,C862,$D$4:$D$861,D862,$E$4:$E$861,E862,$B$4:$B$861,"INGRESO")+SUMIFS($F$4:$F$861,$C$4:$C$861,C862,$D$4:$D$861,D862,$E$4:$E$861,E862,$B$4:$B$861,"DE REPROCESO")+SUMIFS($F$4:$F$861,$C$4:$C$861,C862,$D$4:$D$861,D862,$E$4:$E$861,E862,$B$4:$B$861,"AJUSTE+")-SUMIFS($F$4:$F$861,$C$4:$C$861,C862,$D$4:$D$861,D862,$E$4:$E$861,E862,$B$4:$B$861,"A CORTE")-SUMIFS($F$4:$F$861,$C$4:$C$861,C862,$D$4:$D$861,D862,$E$4:$E$861,E862,$B$4:$B$861,"A REPROCESO")-SUMIFS($F$4:$F$861,$C$4:$C$861,C862,$D$4:$D$861,D862,$E$4:$E$861,E862,$B$4:$B$861,"MUESTRA")-SUMIFS($F$4:$F$861,$C$4:$C$861,C862,$D$4:$D$861,D862,$E$4:$E$861,E862,$B$4:$B$861,"AJUSTE-")),0)</f>
        <v>0</v>
      </c>
      <c r="L862" s="13">
        <f t="shared" si="13"/>
        <v>0</v>
      </c>
      <c r="M862" s="8"/>
      <c r="N862" s="14"/>
      <c r="O862" s="14"/>
      <c r="P862" s="14"/>
      <c r="Q862" s="15"/>
      <c r="R862" s="16" t="str">
        <f t="shared" si="14"/>
        <v/>
      </c>
    </row>
    <row r="863" ht="15.75" customHeight="1">
      <c r="A863" s="7"/>
      <c r="B863" s="8"/>
      <c r="C863" s="8"/>
      <c r="D863" s="8"/>
      <c r="E863" s="8"/>
      <c r="F863" s="9"/>
      <c r="G863" s="10">
        <f>IFERROR(F863*VLOOKUP(D863,TELAS!$A$4:$C$32,3,FALSE()),0)</f>
        <v>0</v>
      </c>
      <c r="H863" s="11" t="str">
        <f>IFERROR(VLOOKUP(E863,COLORES!$A$4:$B$102,2,FALSE()),"")</f>
        <v/>
      </c>
      <c r="I863" s="12">
        <f>IFERROR(IF(H863="OSCURO",VLOOKUP(D863,PRECIOS!$A$4:$F$32,2,FALSE()),IF(H863="CLARO",VLOOKUP(D863,PRECIOS!$A$4:$F$32,3,FALSE()),IF(H863="MELANGE",VLOOKUP(D863,PRECIOS!$A$4:$F$32,4,FALSE()),IF(H863="PPT",VLOOKUP(D863,PRECIOS!$A$4:$F$32,5,FALSE()),0)))),0)</f>
        <v>0</v>
      </c>
      <c r="J863" s="12">
        <f t="shared" si="12"/>
        <v>0</v>
      </c>
      <c r="K863" s="13">
        <f>IFERROR(IF(C863="",0,SUMIFS($F$4:$F$862,$C$4:$C$862,C863,$D$4:$D$862,D863,$E$4:$E$862,E863,$B$4:$B$862,"INGRESO")+SUMIFS($F$4:$F$862,$C$4:$C$862,C863,$D$4:$D$862,D863,$E$4:$E$862,E863,$B$4:$B$862,"DE REPROCESO")+SUMIFS($F$4:$F$862,$C$4:$C$862,C863,$D$4:$D$862,D863,$E$4:$E$862,E863,$B$4:$B$862,"AJUSTE+")-SUMIFS($F$4:$F$862,$C$4:$C$862,C863,$D$4:$D$862,D863,$E$4:$E$862,E863,$B$4:$B$862,"A CORTE")-SUMIFS($F$4:$F$862,$C$4:$C$862,C863,$D$4:$D$862,D863,$E$4:$E$862,E863,$B$4:$B$862,"A REPROCESO")-SUMIFS($F$4:$F$862,$C$4:$C$862,C863,$D$4:$D$862,D863,$E$4:$E$862,E863,$B$4:$B$862,"MUESTRA")-SUMIFS($F$4:$F$862,$C$4:$C$862,C863,$D$4:$D$862,D863,$E$4:$E$862,E863,$B$4:$B$862,"AJUSTE-")),0)</f>
        <v>0</v>
      </c>
      <c r="L863" s="13">
        <f t="shared" si="13"/>
        <v>0</v>
      </c>
      <c r="M863" s="8"/>
      <c r="N863" s="14"/>
      <c r="O863" s="14"/>
      <c r="P863" s="14"/>
      <c r="Q863" s="15"/>
      <c r="R863" s="16" t="str">
        <f t="shared" si="14"/>
        <v/>
      </c>
    </row>
    <row r="864" ht="15.75" customHeight="1">
      <c r="A864" s="7"/>
      <c r="B864" s="8"/>
      <c r="C864" s="8"/>
      <c r="D864" s="8"/>
      <c r="E864" s="8"/>
      <c r="F864" s="9"/>
      <c r="G864" s="10">
        <f>IFERROR(F864*VLOOKUP(D864,TELAS!$A$4:$C$32,3,FALSE()),0)</f>
        <v>0</v>
      </c>
      <c r="H864" s="11" t="str">
        <f>IFERROR(VLOOKUP(E864,COLORES!$A$4:$B$102,2,FALSE()),"")</f>
        <v/>
      </c>
      <c r="I864" s="12">
        <f>IFERROR(IF(H864="OSCURO",VLOOKUP(D864,PRECIOS!$A$4:$F$32,2,FALSE()),IF(H864="CLARO",VLOOKUP(D864,PRECIOS!$A$4:$F$32,3,FALSE()),IF(H864="MELANGE",VLOOKUP(D864,PRECIOS!$A$4:$F$32,4,FALSE()),IF(H864="PPT",VLOOKUP(D864,PRECIOS!$A$4:$F$32,5,FALSE()),0)))),0)</f>
        <v>0</v>
      </c>
      <c r="J864" s="12">
        <f t="shared" si="12"/>
        <v>0</v>
      </c>
      <c r="K864" s="13">
        <f>IFERROR(IF(C864="",0,SUMIFS($F$4:$F$863,$C$4:$C$863,C864,$D$4:$D$863,D864,$E$4:$E$863,E864,$B$4:$B$863,"INGRESO")+SUMIFS($F$4:$F$863,$C$4:$C$863,C864,$D$4:$D$863,D864,$E$4:$E$863,E864,$B$4:$B$863,"DE REPROCESO")+SUMIFS($F$4:$F$863,$C$4:$C$863,C864,$D$4:$D$863,D864,$E$4:$E$863,E864,$B$4:$B$863,"AJUSTE+")-SUMIFS($F$4:$F$863,$C$4:$C$863,C864,$D$4:$D$863,D864,$E$4:$E$863,E864,$B$4:$B$863,"A CORTE")-SUMIFS($F$4:$F$863,$C$4:$C$863,C864,$D$4:$D$863,D864,$E$4:$E$863,E864,$B$4:$B$863,"A REPROCESO")-SUMIFS($F$4:$F$863,$C$4:$C$863,C864,$D$4:$D$863,D864,$E$4:$E$863,E864,$B$4:$B$863,"MUESTRA")-SUMIFS($F$4:$F$863,$C$4:$C$863,C864,$D$4:$D$863,D864,$E$4:$E$863,E864,$B$4:$B$863,"AJUSTE-")),0)</f>
        <v>0</v>
      </c>
      <c r="L864" s="13">
        <f t="shared" si="13"/>
        <v>0</v>
      </c>
      <c r="M864" s="8"/>
      <c r="N864" s="14"/>
      <c r="O864" s="14"/>
      <c r="P864" s="14"/>
      <c r="Q864" s="15"/>
      <c r="R864" s="16" t="str">
        <f t="shared" si="14"/>
        <v/>
      </c>
    </row>
    <row r="865" ht="15.75" customHeight="1">
      <c r="A865" s="7"/>
      <c r="B865" s="8"/>
      <c r="C865" s="8"/>
      <c r="D865" s="8"/>
      <c r="E865" s="8"/>
      <c r="F865" s="9"/>
      <c r="G865" s="10">
        <f>IFERROR(F865*VLOOKUP(D865,TELAS!$A$4:$C$32,3,FALSE()),0)</f>
        <v>0</v>
      </c>
      <c r="H865" s="11" t="str">
        <f>IFERROR(VLOOKUP(E865,COLORES!$A$4:$B$102,2,FALSE()),"")</f>
        <v/>
      </c>
      <c r="I865" s="12">
        <f>IFERROR(IF(H865="OSCURO",VLOOKUP(D865,PRECIOS!$A$4:$F$32,2,FALSE()),IF(H865="CLARO",VLOOKUP(D865,PRECIOS!$A$4:$F$32,3,FALSE()),IF(H865="MELANGE",VLOOKUP(D865,PRECIOS!$A$4:$F$32,4,FALSE()),IF(H865="PPT",VLOOKUP(D865,PRECIOS!$A$4:$F$32,5,FALSE()),0)))),0)</f>
        <v>0</v>
      </c>
      <c r="J865" s="12">
        <f t="shared" si="12"/>
        <v>0</v>
      </c>
      <c r="K865" s="13">
        <f>IFERROR(IF(C865="",0,SUMIFS($F$4:$F$864,$C$4:$C$864,C865,$D$4:$D$864,D865,$E$4:$E$864,E865,$B$4:$B$864,"INGRESO")+SUMIFS($F$4:$F$864,$C$4:$C$864,C865,$D$4:$D$864,D865,$E$4:$E$864,E865,$B$4:$B$864,"DE REPROCESO")+SUMIFS($F$4:$F$864,$C$4:$C$864,C865,$D$4:$D$864,D865,$E$4:$E$864,E865,$B$4:$B$864,"AJUSTE+")-SUMIFS($F$4:$F$864,$C$4:$C$864,C865,$D$4:$D$864,D865,$E$4:$E$864,E865,$B$4:$B$864,"A CORTE")-SUMIFS($F$4:$F$864,$C$4:$C$864,C865,$D$4:$D$864,D865,$E$4:$E$864,E865,$B$4:$B$864,"A REPROCESO")-SUMIFS($F$4:$F$864,$C$4:$C$864,C865,$D$4:$D$864,D865,$E$4:$E$864,E865,$B$4:$B$864,"MUESTRA")-SUMIFS($F$4:$F$864,$C$4:$C$864,C865,$D$4:$D$864,D865,$E$4:$E$864,E865,$B$4:$B$864,"AJUSTE-")),0)</f>
        <v>0</v>
      </c>
      <c r="L865" s="13">
        <f t="shared" si="13"/>
        <v>0</v>
      </c>
      <c r="M865" s="8"/>
      <c r="N865" s="14"/>
      <c r="O865" s="14"/>
      <c r="P865" s="14"/>
      <c r="Q865" s="15"/>
      <c r="R865" s="16" t="str">
        <f t="shared" si="14"/>
        <v/>
      </c>
    </row>
    <row r="866" ht="15.75" customHeight="1">
      <c r="A866" s="7"/>
      <c r="B866" s="8"/>
      <c r="C866" s="8"/>
      <c r="D866" s="8"/>
      <c r="E866" s="8"/>
      <c r="F866" s="9"/>
      <c r="G866" s="10">
        <f>IFERROR(F866*VLOOKUP(D866,TELAS!$A$4:$C$32,3,FALSE()),0)</f>
        <v>0</v>
      </c>
      <c r="H866" s="11" t="str">
        <f>IFERROR(VLOOKUP(E866,COLORES!$A$4:$B$102,2,FALSE()),"")</f>
        <v/>
      </c>
      <c r="I866" s="12">
        <f>IFERROR(IF(H866="OSCURO",VLOOKUP(D866,PRECIOS!$A$4:$F$32,2,FALSE()),IF(H866="CLARO",VLOOKUP(D866,PRECIOS!$A$4:$F$32,3,FALSE()),IF(H866="MELANGE",VLOOKUP(D866,PRECIOS!$A$4:$F$32,4,FALSE()),IF(H866="PPT",VLOOKUP(D866,PRECIOS!$A$4:$F$32,5,FALSE()),0)))),0)</f>
        <v>0</v>
      </c>
      <c r="J866" s="12">
        <f t="shared" si="12"/>
        <v>0</v>
      </c>
      <c r="K866" s="13">
        <f>IFERROR(IF(C866="",0,SUMIFS($F$4:$F$865,$C$4:$C$865,C866,$D$4:$D$865,D866,$E$4:$E$865,E866,$B$4:$B$865,"INGRESO")+SUMIFS($F$4:$F$865,$C$4:$C$865,C866,$D$4:$D$865,D866,$E$4:$E$865,E866,$B$4:$B$865,"DE REPROCESO")+SUMIFS($F$4:$F$865,$C$4:$C$865,C866,$D$4:$D$865,D866,$E$4:$E$865,E866,$B$4:$B$865,"AJUSTE+")-SUMIFS($F$4:$F$865,$C$4:$C$865,C866,$D$4:$D$865,D866,$E$4:$E$865,E866,$B$4:$B$865,"A CORTE")-SUMIFS($F$4:$F$865,$C$4:$C$865,C866,$D$4:$D$865,D866,$E$4:$E$865,E866,$B$4:$B$865,"A REPROCESO")-SUMIFS($F$4:$F$865,$C$4:$C$865,C866,$D$4:$D$865,D866,$E$4:$E$865,E866,$B$4:$B$865,"MUESTRA")-SUMIFS($F$4:$F$865,$C$4:$C$865,C866,$D$4:$D$865,D866,$E$4:$E$865,E866,$B$4:$B$865,"AJUSTE-")),0)</f>
        <v>0</v>
      </c>
      <c r="L866" s="13">
        <f t="shared" si="13"/>
        <v>0</v>
      </c>
      <c r="M866" s="8"/>
      <c r="N866" s="14"/>
      <c r="O866" s="14"/>
      <c r="P866" s="14"/>
      <c r="Q866" s="15"/>
      <c r="R866" s="16" t="str">
        <f t="shared" si="14"/>
        <v/>
      </c>
    </row>
    <row r="867" ht="15.75" customHeight="1">
      <c r="A867" s="7"/>
      <c r="B867" s="8"/>
      <c r="C867" s="8"/>
      <c r="D867" s="8"/>
      <c r="E867" s="8"/>
      <c r="F867" s="9"/>
      <c r="G867" s="10">
        <f>IFERROR(F867*VLOOKUP(D867,TELAS!$A$4:$C$32,3,FALSE()),0)</f>
        <v>0</v>
      </c>
      <c r="H867" s="11" t="str">
        <f>IFERROR(VLOOKUP(E867,COLORES!$A$4:$B$102,2,FALSE()),"")</f>
        <v/>
      </c>
      <c r="I867" s="12">
        <f>IFERROR(IF(H867="OSCURO",VLOOKUP(D867,PRECIOS!$A$4:$F$32,2,FALSE()),IF(H867="CLARO",VLOOKUP(D867,PRECIOS!$A$4:$F$32,3,FALSE()),IF(H867="MELANGE",VLOOKUP(D867,PRECIOS!$A$4:$F$32,4,FALSE()),IF(H867="PPT",VLOOKUP(D867,PRECIOS!$A$4:$F$32,5,FALSE()),0)))),0)</f>
        <v>0</v>
      </c>
      <c r="J867" s="12">
        <f t="shared" si="12"/>
        <v>0</v>
      </c>
      <c r="K867" s="13">
        <f>IFERROR(IF(C867="",0,SUMIFS($F$4:$F$866,$C$4:$C$866,C867,$D$4:$D$866,D867,$E$4:$E$866,E867,$B$4:$B$866,"INGRESO")+SUMIFS($F$4:$F$866,$C$4:$C$866,C867,$D$4:$D$866,D867,$E$4:$E$866,E867,$B$4:$B$866,"DE REPROCESO")+SUMIFS($F$4:$F$866,$C$4:$C$866,C867,$D$4:$D$866,D867,$E$4:$E$866,E867,$B$4:$B$866,"AJUSTE+")-SUMIFS($F$4:$F$866,$C$4:$C$866,C867,$D$4:$D$866,D867,$E$4:$E$866,E867,$B$4:$B$866,"A CORTE")-SUMIFS($F$4:$F$866,$C$4:$C$866,C867,$D$4:$D$866,D867,$E$4:$E$866,E867,$B$4:$B$866,"A REPROCESO")-SUMIFS($F$4:$F$866,$C$4:$C$866,C867,$D$4:$D$866,D867,$E$4:$E$866,E867,$B$4:$B$866,"MUESTRA")-SUMIFS($F$4:$F$866,$C$4:$C$866,C867,$D$4:$D$866,D867,$E$4:$E$866,E867,$B$4:$B$866,"AJUSTE-")),0)</f>
        <v>0</v>
      </c>
      <c r="L867" s="13">
        <f t="shared" si="13"/>
        <v>0</v>
      </c>
      <c r="M867" s="8"/>
      <c r="N867" s="14"/>
      <c r="O867" s="14"/>
      <c r="P867" s="14"/>
      <c r="Q867" s="15"/>
      <c r="R867" s="16" t="str">
        <f t="shared" si="14"/>
        <v/>
      </c>
    </row>
    <row r="868" ht="15.75" customHeight="1">
      <c r="A868" s="7"/>
      <c r="B868" s="8"/>
      <c r="C868" s="8"/>
      <c r="D868" s="8"/>
      <c r="E868" s="8"/>
      <c r="F868" s="9"/>
      <c r="G868" s="10">
        <f>IFERROR(F868*VLOOKUP(D868,TELAS!$A$4:$C$32,3,FALSE()),0)</f>
        <v>0</v>
      </c>
      <c r="H868" s="11" t="str">
        <f>IFERROR(VLOOKUP(E868,COLORES!$A$4:$B$102,2,FALSE()),"")</f>
        <v/>
      </c>
      <c r="I868" s="12">
        <f>IFERROR(IF(H868="OSCURO",VLOOKUP(D868,PRECIOS!$A$4:$F$32,2,FALSE()),IF(H868="CLARO",VLOOKUP(D868,PRECIOS!$A$4:$F$32,3,FALSE()),IF(H868="MELANGE",VLOOKUP(D868,PRECIOS!$A$4:$F$32,4,FALSE()),IF(H868="PPT",VLOOKUP(D868,PRECIOS!$A$4:$F$32,5,FALSE()),0)))),0)</f>
        <v>0</v>
      </c>
      <c r="J868" s="12">
        <f t="shared" si="12"/>
        <v>0</v>
      </c>
      <c r="K868" s="13">
        <f>IFERROR(IF(C868="",0,SUMIFS($F$4:$F$867,$C$4:$C$867,C868,$D$4:$D$867,D868,$E$4:$E$867,E868,$B$4:$B$867,"INGRESO")+SUMIFS($F$4:$F$867,$C$4:$C$867,C868,$D$4:$D$867,D868,$E$4:$E$867,E868,$B$4:$B$867,"DE REPROCESO")+SUMIFS($F$4:$F$867,$C$4:$C$867,C868,$D$4:$D$867,D868,$E$4:$E$867,E868,$B$4:$B$867,"AJUSTE+")-SUMIFS($F$4:$F$867,$C$4:$C$867,C868,$D$4:$D$867,D868,$E$4:$E$867,E868,$B$4:$B$867,"A CORTE")-SUMIFS($F$4:$F$867,$C$4:$C$867,C868,$D$4:$D$867,D868,$E$4:$E$867,E868,$B$4:$B$867,"A REPROCESO")-SUMIFS($F$4:$F$867,$C$4:$C$867,C868,$D$4:$D$867,D868,$E$4:$E$867,E868,$B$4:$B$867,"MUESTRA")-SUMIFS($F$4:$F$867,$C$4:$C$867,C868,$D$4:$D$867,D868,$E$4:$E$867,E868,$B$4:$B$867,"AJUSTE-")),0)</f>
        <v>0</v>
      </c>
      <c r="L868" s="13">
        <f t="shared" si="13"/>
        <v>0</v>
      </c>
      <c r="M868" s="8"/>
      <c r="N868" s="14"/>
      <c r="O868" s="14"/>
      <c r="P868" s="14"/>
      <c r="Q868" s="15"/>
      <c r="R868" s="16" t="str">
        <f t="shared" si="14"/>
        <v/>
      </c>
    </row>
    <row r="869" ht="15.75" customHeight="1">
      <c r="A869" s="7"/>
      <c r="B869" s="8"/>
      <c r="C869" s="8"/>
      <c r="D869" s="8"/>
      <c r="E869" s="8"/>
      <c r="F869" s="9"/>
      <c r="G869" s="10">
        <f>IFERROR(F869*VLOOKUP(D869,TELAS!$A$4:$C$32,3,FALSE()),0)</f>
        <v>0</v>
      </c>
      <c r="H869" s="11" t="str">
        <f>IFERROR(VLOOKUP(E869,COLORES!$A$4:$B$102,2,FALSE()),"")</f>
        <v/>
      </c>
      <c r="I869" s="12">
        <f>IFERROR(IF(H869="OSCURO",VLOOKUP(D869,PRECIOS!$A$4:$F$32,2,FALSE()),IF(H869="CLARO",VLOOKUP(D869,PRECIOS!$A$4:$F$32,3,FALSE()),IF(H869="MELANGE",VLOOKUP(D869,PRECIOS!$A$4:$F$32,4,FALSE()),IF(H869="PPT",VLOOKUP(D869,PRECIOS!$A$4:$F$32,5,FALSE()),0)))),0)</f>
        <v>0</v>
      </c>
      <c r="J869" s="12">
        <f t="shared" si="12"/>
        <v>0</v>
      </c>
      <c r="K869" s="13">
        <f>IFERROR(IF(C869="",0,SUMIFS($F$4:$F$868,$C$4:$C$868,C869,$D$4:$D$868,D869,$E$4:$E$868,E869,$B$4:$B$868,"INGRESO")+SUMIFS($F$4:$F$868,$C$4:$C$868,C869,$D$4:$D$868,D869,$E$4:$E$868,E869,$B$4:$B$868,"DE REPROCESO")+SUMIFS($F$4:$F$868,$C$4:$C$868,C869,$D$4:$D$868,D869,$E$4:$E$868,E869,$B$4:$B$868,"AJUSTE+")-SUMIFS($F$4:$F$868,$C$4:$C$868,C869,$D$4:$D$868,D869,$E$4:$E$868,E869,$B$4:$B$868,"A CORTE")-SUMIFS($F$4:$F$868,$C$4:$C$868,C869,$D$4:$D$868,D869,$E$4:$E$868,E869,$B$4:$B$868,"A REPROCESO")-SUMIFS($F$4:$F$868,$C$4:$C$868,C869,$D$4:$D$868,D869,$E$4:$E$868,E869,$B$4:$B$868,"MUESTRA")-SUMIFS($F$4:$F$868,$C$4:$C$868,C869,$D$4:$D$868,D869,$E$4:$E$868,E869,$B$4:$B$868,"AJUSTE-")),0)</f>
        <v>0</v>
      </c>
      <c r="L869" s="13">
        <f t="shared" si="13"/>
        <v>0</v>
      </c>
      <c r="M869" s="8"/>
      <c r="N869" s="14"/>
      <c r="O869" s="14"/>
      <c r="P869" s="14"/>
      <c r="Q869" s="15"/>
      <c r="R869" s="16" t="str">
        <f t="shared" si="14"/>
        <v/>
      </c>
    </row>
    <row r="870" ht="15.75" customHeight="1">
      <c r="A870" s="7"/>
      <c r="B870" s="8"/>
      <c r="C870" s="8"/>
      <c r="D870" s="8"/>
      <c r="E870" s="8"/>
      <c r="F870" s="9"/>
      <c r="G870" s="10">
        <f>IFERROR(F870*VLOOKUP(D870,TELAS!$A$4:$C$32,3,FALSE()),0)</f>
        <v>0</v>
      </c>
      <c r="H870" s="11" t="str">
        <f>IFERROR(VLOOKUP(E870,COLORES!$A$4:$B$102,2,FALSE()),"")</f>
        <v/>
      </c>
      <c r="I870" s="12">
        <f>IFERROR(IF(H870="OSCURO",VLOOKUP(D870,PRECIOS!$A$4:$F$32,2,FALSE()),IF(H870="CLARO",VLOOKUP(D870,PRECIOS!$A$4:$F$32,3,FALSE()),IF(H870="MELANGE",VLOOKUP(D870,PRECIOS!$A$4:$F$32,4,FALSE()),IF(H870="PPT",VLOOKUP(D870,PRECIOS!$A$4:$F$32,5,FALSE()),0)))),0)</f>
        <v>0</v>
      </c>
      <c r="J870" s="12">
        <f t="shared" si="12"/>
        <v>0</v>
      </c>
      <c r="K870" s="13">
        <f>IFERROR(IF(C870="",0,SUMIFS($F$4:$F$869,$C$4:$C$869,C870,$D$4:$D$869,D870,$E$4:$E$869,E870,$B$4:$B$869,"INGRESO")+SUMIFS($F$4:$F$869,$C$4:$C$869,C870,$D$4:$D$869,D870,$E$4:$E$869,E870,$B$4:$B$869,"DE REPROCESO")+SUMIFS($F$4:$F$869,$C$4:$C$869,C870,$D$4:$D$869,D870,$E$4:$E$869,E870,$B$4:$B$869,"AJUSTE+")-SUMIFS($F$4:$F$869,$C$4:$C$869,C870,$D$4:$D$869,D870,$E$4:$E$869,E870,$B$4:$B$869,"A CORTE")-SUMIFS($F$4:$F$869,$C$4:$C$869,C870,$D$4:$D$869,D870,$E$4:$E$869,E870,$B$4:$B$869,"A REPROCESO")-SUMIFS($F$4:$F$869,$C$4:$C$869,C870,$D$4:$D$869,D870,$E$4:$E$869,E870,$B$4:$B$869,"MUESTRA")-SUMIFS($F$4:$F$869,$C$4:$C$869,C870,$D$4:$D$869,D870,$E$4:$E$869,E870,$B$4:$B$869,"AJUSTE-")),0)</f>
        <v>0</v>
      </c>
      <c r="L870" s="13">
        <f t="shared" si="13"/>
        <v>0</v>
      </c>
      <c r="M870" s="8"/>
      <c r="N870" s="14"/>
      <c r="O870" s="14"/>
      <c r="P870" s="14"/>
      <c r="Q870" s="15"/>
      <c r="R870" s="16" t="str">
        <f t="shared" si="14"/>
        <v/>
      </c>
    </row>
    <row r="871" ht="15.75" customHeight="1">
      <c r="A871" s="7"/>
      <c r="B871" s="8"/>
      <c r="C871" s="8"/>
      <c r="D871" s="8"/>
      <c r="E871" s="8"/>
      <c r="F871" s="9"/>
      <c r="G871" s="10">
        <f>IFERROR(F871*VLOOKUP(D871,TELAS!$A$4:$C$32,3,FALSE()),0)</f>
        <v>0</v>
      </c>
      <c r="H871" s="11" t="str">
        <f>IFERROR(VLOOKUP(E871,COLORES!$A$4:$B$102,2,FALSE()),"")</f>
        <v/>
      </c>
      <c r="I871" s="12">
        <f>IFERROR(IF(H871="OSCURO",VLOOKUP(D871,PRECIOS!$A$4:$F$32,2,FALSE()),IF(H871="CLARO",VLOOKUP(D871,PRECIOS!$A$4:$F$32,3,FALSE()),IF(H871="MELANGE",VLOOKUP(D871,PRECIOS!$A$4:$F$32,4,FALSE()),IF(H871="PPT",VLOOKUP(D871,PRECIOS!$A$4:$F$32,5,FALSE()),0)))),0)</f>
        <v>0</v>
      </c>
      <c r="J871" s="12">
        <f t="shared" si="12"/>
        <v>0</v>
      </c>
      <c r="K871" s="13">
        <f>IFERROR(IF(C871="",0,SUMIFS($F$4:$F$870,$C$4:$C$870,C871,$D$4:$D$870,D871,$E$4:$E$870,E871,$B$4:$B$870,"INGRESO")+SUMIFS($F$4:$F$870,$C$4:$C$870,C871,$D$4:$D$870,D871,$E$4:$E$870,E871,$B$4:$B$870,"DE REPROCESO")+SUMIFS($F$4:$F$870,$C$4:$C$870,C871,$D$4:$D$870,D871,$E$4:$E$870,E871,$B$4:$B$870,"AJUSTE+")-SUMIFS($F$4:$F$870,$C$4:$C$870,C871,$D$4:$D$870,D871,$E$4:$E$870,E871,$B$4:$B$870,"A CORTE")-SUMIFS($F$4:$F$870,$C$4:$C$870,C871,$D$4:$D$870,D871,$E$4:$E$870,E871,$B$4:$B$870,"A REPROCESO")-SUMIFS($F$4:$F$870,$C$4:$C$870,C871,$D$4:$D$870,D871,$E$4:$E$870,E871,$B$4:$B$870,"MUESTRA")-SUMIFS($F$4:$F$870,$C$4:$C$870,C871,$D$4:$D$870,D871,$E$4:$E$870,E871,$B$4:$B$870,"AJUSTE-")),0)</f>
        <v>0</v>
      </c>
      <c r="L871" s="13">
        <f t="shared" si="13"/>
        <v>0</v>
      </c>
      <c r="M871" s="8"/>
      <c r="N871" s="14"/>
      <c r="O871" s="14"/>
      <c r="P871" s="14"/>
      <c r="Q871" s="15"/>
      <c r="R871" s="16" t="str">
        <f t="shared" si="14"/>
        <v/>
      </c>
    </row>
    <row r="872" ht="15.75" customHeight="1">
      <c r="A872" s="7"/>
      <c r="B872" s="8"/>
      <c r="C872" s="8"/>
      <c r="D872" s="8"/>
      <c r="E872" s="8"/>
      <c r="F872" s="9"/>
      <c r="G872" s="10">
        <f>IFERROR(F872*VLOOKUP(D872,TELAS!$A$4:$C$32,3,FALSE()),0)</f>
        <v>0</v>
      </c>
      <c r="H872" s="11" t="str">
        <f>IFERROR(VLOOKUP(E872,COLORES!$A$4:$B$102,2,FALSE()),"")</f>
        <v/>
      </c>
      <c r="I872" s="12">
        <f>IFERROR(IF(H872="OSCURO",VLOOKUP(D872,PRECIOS!$A$4:$F$32,2,FALSE()),IF(H872="CLARO",VLOOKUP(D872,PRECIOS!$A$4:$F$32,3,FALSE()),IF(H872="MELANGE",VLOOKUP(D872,PRECIOS!$A$4:$F$32,4,FALSE()),IF(H872="PPT",VLOOKUP(D872,PRECIOS!$A$4:$F$32,5,FALSE()),0)))),0)</f>
        <v>0</v>
      </c>
      <c r="J872" s="12">
        <f t="shared" si="12"/>
        <v>0</v>
      </c>
      <c r="K872" s="13">
        <f>IFERROR(IF(C872="",0,SUMIFS($F$4:$F$871,$C$4:$C$871,C872,$D$4:$D$871,D872,$E$4:$E$871,E872,$B$4:$B$871,"INGRESO")+SUMIFS($F$4:$F$871,$C$4:$C$871,C872,$D$4:$D$871,D872,$E$4:$E$871,E872,$B$4:$B$871,"DE REPROCESO")+SUMIFS($F$4:$F$871,$C$4:$C$871,C872,$D$4:$D$871,D872,$E$4:$E$871,E872,$B$4:$B$871,"AJUSTE+")-SUMIFS($F$4:$F$871,$C$4:$C$871,C872,$D$4:$D$871,D872,$E$4:$E$871,E872,$B$4:$B$871,"A CORTE")-SUMIFS($F$4:$F$871,$C$4:$C$871,C872,$D$4:$D$871,D872,$E$4:$E$871,E872,$B$4:$B$871,"A REPROCESO")-SUMIFS($F$4:$F$871,$C$4:$C$871,C872,$D$4:$D$871,D872,$E$4:$E$871,E872,$B$4:$B$871,"MUESTRA")-SUMIFS($F$4:$F$871,$C$4:$C$871,C872,$D$4:$D$871,D872,$E$4:$E$871,E872,$B$4:$B$871,"AJUSTE-")),0)</f>
        <v>0</v>
      </c>
      <c r="L872" s="13">
        <f t="shared" si="13"/>
        <v>0</v>
      </c>
      <c r="M872" s="8"/>
      <c r="N872" s="14"/>
      <c r="O872" s="14"/>
      <c r="P872" s="14"/>
      <c r="Q872" s="15"/>
      <c r="R872" s="16" t="str">
        <f t="shared" si="14"/>
        <v/>
      </c>
    </row>
    <row r="873" ht="15.75" customHeight="1">
      <c r="A873" s="7"/>
      <c r="B873" s="8"/>
      <c r="C873" s="8"/>
      <c r="D873" s="8"/>
      <c r="E873" s="8"/>
      <c r="F873" s="9"/>
      <c r="G873" s="10">
        <f>IFERROR(F873*VLOOKUP(D873,TELAS!$A$4:$C$32,3,FALSE()),0)</f>
        <v>0</v>
      </c>
      <c r="H873" s="11" t="str">
        <f>IFERROR(VLOOKUP(E873,COLORES!$A$4:$B$102,2,FALSE()),"")</f>
        <v/>
      </c>
      <c r="I873" s="12">
        <f>IFERROR(IF(H873="OSCURO",VLOOKUP(D873,PRECIOS!$A$4:$F$32,2,FALSE()),IF(H873="CLARO",VLOOKUP(D873,PRECIOS!$A$4:$F$32,3,FALSE()),IF(H873="MELANGE",VLOOKUP(D873,PRECIOS!$A$4:$F$32,4,FALSE()),IF(H873="PPT",VLOOKUP(D873,PRECIOS!$A$4:$F$32,5,FALSE()),0)))),0)</f>
        <v>0</v>
      </c>
      <c r="J873" s="12">
        <f t="shared" si="12"/>
        <v>0</v>
      </c>
      <c r="K873" s="13">
        <f>IFERROR(IF(C873="",0,SUMIFS($F$4:$F$872,$C$4:$C$872,C873,$D$4:$D$872,D873,$E$4:$E$872,E873,$B$4:$B$872,"INGRESO")+SUMIFS($F$4:$F$872,$C$4:$C$872,C873,$D$4:$D$872,D873,$E$4:$E$872,E873,$B$4:$B$872,"DE REPROCESO")+SUMIFS($F$4:$F$872,$C$4:$C$872,C873,$D$4:$D$872,D873,$E$4:$E$872,E873,$B$4:$B$872,"AJUSTE+")-SUMIFS($F$4:$F$872,$C$4:$C$872,C873,$D$4:$D$872,D873,$E$4:$E$872,E873,$B$4:$B$872,"A CORTE")-SUMIFS($F$4:$F$872,$C$4:$C$872,C873,$D$4:$D$872,D873,$E$4:$E$872,E873,$B$4:$B$872,"A REPROCESO")-SUMIFS($F$4:$F$872,$C$4:$C$872,C873,$D$4:$D$872,D873,$E$4:$E$872,E873,$B$4:$B$872,"MUESTRA")-SUMIFS($F$4:$F$872,$C$4:$C$872,C873,$D$4:$D$872,D873,$E$4:$E$872,E873,$B$4:$B$872,"AJUSTE-")),0)</f>
        <v>0</v>
      </c>
      <c r="L873" s="13">
        <f t="shared" si="13"/>
        <v>0</v>
      </c>
      <c r="M873" s="8"/>
      <c r="N873" s="14"/>
      <c r="O873" s="14"/>
      <c r="P873" s="14"/>
      <c r="Q873" s="15"/>
      <c r="R873" s="16" t="str">
        <f t="shared" si="14"/>
        <v/>
      </c>
    </row>
    <row r="874" ht="15.75" customHeight="1">
      <c r="A874" s="7"/>
      <c r="B874" s="8"/>
      <c r="C874" s="8"/>
      <c r="D874" s="8"/>
      <c r="E874" s="8"/>
      <c r="F874" s="9"/>
      <c r="G874" s="10">
        <f>IFERROR(F874*VLOOKUP(D874,TELAS!$A$4:$C$32,3,FALSE()),0)</f>
        <v>0</v>
      </c>
      <c r="H874" s="11" t="str">
        <f>IFERROR(VLOOKUP(E874,COLORES!$A$4:$B$102,2,FALSE()),"")</f>
        <v/>
      </c>
      <c r="I874" s="12">
        <f>IFERROR(IF(H874="OSCURO",VLOOKUP(D874,PRECIOS!$A$4:$F$32,2,FALSE()),IF(H874="CLARO",VLOOKUP(D874,PRECIOS!$A$4:$F$32,3,FALSE()),IF(H874="MELANGE",VLOOKUP(D874,PRECIOS!$A$4:$F$32,4,FALSE()),IF(H874="PPT",VLOOKUP(D874,PRECIOS!$A$4:$F$32,5,FALSE()),0)))),0)</f>
        <v>0</v>
      </c>
      <c r="J874" s="12">
        <f t="shared" si="12"/>
        <v>0</v>
      </c>
      <c r="K874" s="13">
        <f>IFERROR(IF(C874="",0,SUMIFS($F$4:$F$873,$C$4:$C$873,C874,$D$4:$D$873,D874,$E$4:$E$873,E874,$B$4:$B$873,"INGRESO")+SUMIFS($F$4:$F$873,$C$4:$C$873,C874,$D$4:$D$873,D874,$E$4:$E$873,E874,$B$4:$B$873,"DE REPROCESO")+SUMIFS($F$4:$F$873,$C$4:$C$873,C874,$D$4:$D$873,D874,$E$4:$E$873,E874,$B$4:$B$873,"AJUSTE+")-SUMIFS($F$4:$F$873,$C$4:$C$873,C874,$D$4:$D$873,D874,$E$4:$E$873,E874,$B$4:$B$873,"A CORTE")-SUMIFS($F$4:$F$873,$C$4:$C$873,C874,$D$4:$D$873,D874,$E$4:$E$873,E874,$B$4:$B$873,"A REPROCESO")-SUMIFS($F$4:$F$873,$C$4:$C$873,C874,$D$4:$D$873,D874,$E$4:$E$873,E874,$B$4:$B$873,"MUESTRA")-SUMIFS($F$4:$F$873,$C$4:$C$873,C874,$D$4:$D$873,D874,$E$4:$E$873,E874,$B$4:$B$873,"AJUSTE-")),0)</f>
        <v>0</v>
      </c>
      <c r="L874" s="13">
        <f t="shared" si="13"/>
        <v>0</v>
      </c>
      <c r="M874" s="8"/>
      <c r="N874" s="14"/>
      <c r="O874" s="14"/>
      <c r="P874" s="14"/>
      <c r="Q874" s="15"/>
      <c r="R874" s="16" t="str">
        <f t="shared" si="14"/>
        <v/>
      </c>
    </row>
    <row r="875" ht="15.75" customHeight="1">
      <c r="A875" s="7"/>
      <c r="B875" s="8"/>
      <c r="C875" s="8"/>
      <c r="D875" s="8"/>
      <c r="E875" s="8"/>
      <c r="F875" s="9"/>
      <c r="G875" s="10">
        <f>IFERROR(F875*VLOOKUP(D875,TELAS!$A$4:$C$32,3,FALSE()),0)</f>
        <v>0</v>
      </c>
      <c r="H875" s="11" t="str">
        <f>IFERROR(VLOOKUP(E875,COLORES!$A$4:$B$102,2,FALSE()),"")</f>
        <v/>
      </c>
      <c r="I875" s="12">
        <f>IFERROR(IF(H875="OSCURO",VLOOKUP(D875,PRECIOS!$A$4:$F$32,2,FALSE()),IF(H875="CLARO",VLOOKUP(D875,PRECIOS!$A$4:$F$32,3,FALSE()),IF(H875="MELANGE",VLOOKUP(D875,PRECIOS!$A$4:$F$32,4,FALSE()),IF(H875="PPT",VLOOKUP(D875,PRECIOS!$A$4:$F$32,5,FALSE()),0)))),0)</f>
        <v>0</v>
      </c>
      <c r="J875" s="12">
        <f t="shared" si="12"/>
        <v>0</v>
      </c>
      <c r="K875" s="13">
        <f>IFERROR(IF(C875="",0,SUMIFS($F$4:$F$874,$C$4:$C$874,C875,$D$4:$D$874,D875,$E$4:$E$874,E875,$B$4:$B$874,"INGRESO")+SUMIFS($F$4:$F$874,$C$4:$C$874,C875,$D$4:$D$874,D875,$E$4:$E$874,E875,$B$4:$B$874,"DE REPROCESO")+SUMIFS($F$4:$F$874,$C$4:$C$874,C875,$D$4:$D$874,D875,$E$4:$E$874,E875,$B$4:$B$874,"AJUSTE+")-SUMIFS($F$4:$F$874,$C$4:$C$874,C875,$D$4:$D$874,D875,$E$4:$E$874,E875,$B$4:$B$874,"A CORTE")-SUMIFS($F$4:$F$874,$C$4:$C$874,C875,$D$4:$D$874,D875,$E$4:$E$874,E875,$B$4:$B$874,"A REPROCESO")-SUMIFS($F$4:$F$874,$C$4:$C$874,C875,$D$4:$D$874,D875,$E$4:$E$874,E875,$B$4:$B$874,"MUESTRA")-SUMIFS($F$4:$F$874,$C$4:$C$874,C875,$D$4:$D$874,D875,$E$4:$E$874,E875,$B$4:$B$874,"AJUSTE-")),0)</f>
        <v>0</v>
      </c>
      <c r="L875" s="13">
        <f t="shared" si="13"/>
        <v>0</v>
      </c>
      <c r="M875" s="8"/>
      <c r="N875" s="14"/>
      <c r="O875" s="14"/>
      <c r="P875" s="14"/>
      <c r="Q875" s="15"/>
      <c r="R875" s="16" t="str">
        <f t="shared" si="14"/>
        <v/>
      </c>
    </row>
    <row r="876" ht="15.75" customHeight="1">
      <c r="A876" s="7"/>
      <c r="B876" s="8"/>
      <c r="C876" s="8"/>
      <c r="D876" s="8"/>
      <c r="E876" s="8"/>
      <c r="F876" s="9"/>
      <c r="G876" s="10">
        <f>IFERROR(F876*VLOOKUP(D876,TELAS!$A$4:$C$32,3,FALSE()),0)</f>
        <v>0</v>
      </c>
      <c r="H876" s="11" t="str">
        <f>IFERROR(VLOOKUP(E876,COLORES!$A$4:$B$102,2,FALSE()),"")</f>
        <v/>
      </c>
      <c r="I876" s="12">
        <f>IFERROR(IF(H876="OSCURO",VLOOKUP(D876,PRECIOS!$A$4:$F$32,2,FALSE()),IF(H876="CLARO",VLOOKUP(D876,PRECIOS!$A$4:$F$32,3,FALSE()),IF(H876="MELANGE",VLOOKUP(D876,PRECIOS!$A$4:$F$32,4,FALSE()),IF(H876="PPT",VLOOKUP(D876,PRECIOS!$A$4:$F$32,5,FALSE()),0)))),0)</f>
        <v>0</v>
      </c>
      <c r="J876" s="12">
        <f t="shared" si="12"/>
        <v>0</v>
      </c>
      <c r="K876" s="13">
        <f>IFERROR(IF(C876="",0,SUMIFS($F$4:$F$875,$C$4:$C$875,C876,$D$4:$D$875,D876,$E$4:$E$875,E876,$B$4:$B$875,"INGRESO")+SUMIFS($F$4:$F$875,$C$4:$C$875,C876,$D$4:$D$875,D876,$E$4:$E$875,E876,$B$4:$B$875,"DE REPROCESO")+SUMIFS($F$4:$F$875,$C$4:$C$875,C876,$D$4:$D$875,D876,$E$4:$E$875,E876,$B$4:$B$875,"AJUSTE+")-SUMIFS($F$4:$F$875,$C$4:$C$875,C876,$D$4:$D$875,D876,$E$4:$E$875,E876,$B$4:$B$875,"A CORTE")-SUMIFS($F$4:$F$875,$C$4:$C$875,C876,$D$4:$D$875,D876,$E$4:$E$875,E876,$B$4:$B$875,"A REPROCESO")-SUMIFS($F$4:$F$875,$C$4:$C$875,C876,$D$4:$D$875,D876,$E$4:$E$875,E876,$B$4:$B$875,"MUESTRA")-SUMIFS($F$4:$F$875,$C$4:$C$875,C876,$D$4:$D$875,D876,$E$4:$E$875,E876,$B$4:$B$875,"AJUSTE-")),0)</f>
        <v>0</v>
      </c>
      <c r="L876" s="13">
        <f t="shared" si="13"/>
        <v>0</v>
      </c>
      <c r="M876" s="8"/>
      <c r="N876" s="14"/>
      <c r="O876" s="14"/>
      <c r="P876" s="14"/>
      <c r="Q876" s="15"/>
      <c r="R876" s="16" t="str">
        <f t="shared" si="14"/>
        <v/>
      </c>
    </row>
    <row r="877" ht="15.75" customHeight="1">
      <c r="A877" s="7"/>
      <c r="B877" s="8"/>
      <c r="C877" s="8"/>
      <c r="D877" s="8"/>
      <c r="E877" s="8"/>
      <c r="F877" s="9"/>
      <c r="G877" s="10">
        <f>IFERROR(F877*VLOOKUP(D877,TELAS!$A$4:$C$32,3,FALSE()),0)</f>
        <v>0</v>
      </c>
      <c r="H877" s="11" t="str">
        <f>IFERROR(VLOOKUP(E877,COLORES!$A$4:$B$102,2,FALSE()),"")</f>
        <v/>
      </c>
      <c r="I877" s="12">
        <f>IFERROR(IF(H877="OSCURO",VLOOKUP(D877,PRECIOS!$A$4:$F$32,2,FALSE()),IF(H877="CLARO",VLOOKUP(D877,PRECIOS!$A$4:$F$32,3,FALSE()),IF(H877="MELANGE",VLOOKUP(D877,PRECIOS!$A$4:$F$32,4,FALSE()),IF(H877="PPT",VLOOKUP(D877,PRECIOS!$A$4:$F$32,5,FALSE()),0)))),0)</f>
        <v>0</v>
      </c>
      <c r="J877" s="12">
        <f t="shared" si="12"/>
        <v>0</v>
      </c>
      <c r="K877" s="13">
        <f>IFERROR(IF(C877="",0,SUMIFS($F$4:$F$876,$C$4:$C$876,C877,$D$4:$D$876,D877,$E$4:$E$876,E877,$B$4:$B$876,"INGRESO")+SUMIFS($F$4:$F$876,$C$4:$C$876,C877,$D$4:$D$876,D877,$E$4:$E$876,E877,$B$4:$B$876,"DE REPROCESO")+SUMIFS($F$4:$F$876,$C$4:$C$876,C877,$D$4:$D$876,D877,$E$4:$E$876,E877,$B$4:$B$876,"AJUSTE+")-SUMIFS($F$4:$F$876,$C$4:$C$876,C877,$D$4:$D$876,D877,$E$4:$E$876,E877,$B$4:$B$876,"A CORTE")-SUMIFS($F$4:$F$876,$C$4:$C$876,C877,$D$4:$D$876,D877,$E$4:$E$876,E877,$B$4:$B$876,"A REPROCESO")-SUMIFS($F$4:$F$876,$C$4:$C$876,C877,$D$4:$D$876,D877,$E$4:$E$876,E877,$B$4:$B$876,"MUESTRA")-SUMIFS($F$4:$F$876,$C$4:$C$876,C877,$D$4:$D$876,D877,$E$4:$E$876,E877,$B$4:$B$876,"AJUSTE-")),0)</f>
        <v>0</v>
      </c>
      <c r="L877" s="13">
        <f t="shared" si="13"/>
        <v>0</v>
      </c>
      <c r="M877" s="8"/>
      <c r="N877" s="14"/>
      <c r="O877" s="14"/>
      <c r="P877" s="14"/>
      <c r="Q877" s="15"/>
      <c r="R877" s="16" t="str">
        <f t="shared" si="14"/>
        <v/>
      </c>
    </row>
    <row r="878" ht="15.75" customHeight="1">
      <c r="A878" s="7"/>
      <c r="B878" s="8"/>
      <c r="C878" s="8"/>
      <c r="D878" s="8"/>
      <c r="E878" s="8"/>
      <c r="F878" s="9"/>
      <c r="G878" s="10">
        <f>IFERROR(F878*VLOOKUP(D878,TELAS!$A$4:$C$32,3,FALSE()),0)</f>
        <v>0</v>
      </c>
      <c r="H878" s="11" t="str">
        <f>IFERROR(VLOOKUP(E878,COLORES!$A$4:$B$102,2,FALSE()),"")</f>
        <v/>
      </c>
      <c r="I878" s="12">
        <f>IFERROR(IF(H878="OSCURO",VLOOKUP(D878,PRECIOS!$A$4:$F$32,2,FALSE()),IF(H878="CLARO",VLOOKUP(D878,PRECIOS!$A$4:$F$32,3,FALSE()),IF(H878="MELANGE",VLOOKUP(D878,PRECIOS!$A$4:$F$32,4,FALSE()),IF(H878="PPT",VLOOKUP(D878,PRECIOS!$A$4:$F$32,5,FALSE()),0)))),0)</f>
        <v>0</v>
      </c>
      <c r="J878" s="12">
        <f t="shared" si="12"/>
        <v>0</v>
      </c>
      <c r="K878" s="13">
        <f>IFERROR(IF(C878="",0,SUMIFS($F$4:$F$877,$C$4:$C$877,C878,$D$4:$D$877,D878,$E$4:$E$877,E878,$B$4:$B$877,"INGRESO")+SUMIFS($F$4:$F$877,$C$4:$C$877,C878,$D$4:$D$877,D878,$E$4:$E$877,E878,$B$4:$B$877,"DE REPROCESO")+SUMIFS($F$4:$F$877,$C$4:$C$877,C878,$D$4:$D$877,D878,$E$4:$E$877,E878,$B$4:$B$877,"AJUSTE+")-SUMIFS($F$4:$F$877,$C$4:$C$877,C878,$D$4:$D$877,D878,$E$4:$E$877,E878,$B$4:$B$877,"A CORTE")-SUMIFS($F$4:$F$877,$C$4:$C$877,C878,$D$4:$D$877,D878,$E$4:$E$877,E878,$B$4:$B$877,"A REPROCESO")-SUMIFS($F$4:$F$877,$C$4:$C$877,C878,$D$4:$D$877,D878,$E$4:$E$877,E878,$B$4:$B$877,"MUESTRA")-SUMIFS($F$4:$F$877,$C$4:$C$877,C878,$D$4:$D$877,D878,$E$4:$E$877,E878,$B$4:$B$877,"AJUSTE-")),0)</f>
        <v>0</v>
      </c>
      <c r="L878" s="13">
        <f t="shared" si="13"/>
        <v>0</v>
      </c>
      <c r="M878" s="8"/>
      <c r="N878" s="14"/>
      <c r="O878" s="14"/>
      <c r="P878" s="14"/>
      <c r="Q878" s="15"/>
      <c r="R878" s="16" t="str">
        <f t="shared" si="14"/>
        <v/>
      </c>
    </row>
    <row r="879" ht="15.75" customHeight="1">
      <c r="A879" s="7"/>
      <c r="B879" s="8"/>
      <c r="C879" s="8"/>
      <c r="D879" s="8"/>
      <c r="E879" s="8"/>
      <c r="F879" s="9"/>
      <c r="G879" s="10">
        <f>IFERROR(F879*VLOOKUP(D879,TELAS!$A$4:$C$32,3,FALSE()),0)</f>
        <v>0</v>
      </c>
      <c r="H879" s="11" t="str">
        <f>IFERROR(VLOOKUP(E879,COLORES!$A$4:$B$102,2,FALSE()),"")</f>
        <v/>
      </c>
      <c r="I879" s="12">
        <f>IFERROR(IF(H879="OSCURO",VLOOKUP(D879,PRECIOS!$A$4:$F$32,2,FALSE()),IF(H879="CLARO",VLOOKUP(D879,PRECIOS!$A$4:$F$32,3,FALSE()),IF(H879="MELANGE",VLOOKUP(D879,PRECIOS!$A$4:$F$32,4,FALSE()),IF(H879="PPT",VLOOKUP(D879,PRECIOS!$A$4:$F$32,5,FALSE()),0)))),0)</f>
        <v>0</v>
      </c>
      <c r="J879" s="12">
        <f t="shared" si="12"/>
        <v>0</v>
      </c>
      <c r="K879" s="13">
        <f>IFERROR(IF(C879="",0,SUMIFS($F$4:$F$878,$C$4:$C$878,C879,$D$4:$D$878,D879,$E$4:$E$878,E879,$B$4:$B$878,"INGRESO")+SUMIFS($F$4:$F$878,$C$4:$C$878,C879,$D$4:$D$878,D879,$E$4:$E$878,E879,$B$4:$B$878,"DE REPROCESO")+SUMIFS($F$4:$F$878,$C$4:$C$878,C879,$D$4:$D$878,D879,$E$4:$E$878,E879,$B$4:$B$878,"AJUSTE+")-SUMIFS($F$4:$F$878,$C$4:$C$878,C879,$D$4:$D$878,D879,$E$4:$E$878,E879,$B$4:$B$878,"A CORTE")-SUMIFS($F$4:$F$878,$C$4:$C$878,C879,$D$4:$D$878,D879,$E$4:$E$878,E879,$B$4:$B$878,"A REPROCESO")-SUMIFS($F$4:$F$878,$C$4:$C$878,C879,$D$4:$D$878,D879,$E$4:$E$878,E879,$B$4:$B$878,"MUESTRA")-SUMIFS($F$4:$F$878,$C$4:$C$878,C879,$D$4:$D$878,D879,$E$4:$E$878,E879,$B$4:$B$878,"AJUSTE-")),0)</f>
        <v>0</v>
      </c>
      <c r="L879" s="13">
        <f t="shared" si="13"/>
        <v>0</v>
      </c>
      <c r="M879" s="8"/>
      <c r="N879" s="14"/>
      <c r="O879" s="14"/>
      <c r="P879" s="14"/>
      <c r="Q879" s="15"/>
      <c r="R879" s="16" t="str">
        <f t="shared" si="14"/>
        <v/>
      </c>
    </row>
    <row r="880" ht="15.75" customHeight="1">
      <c r="A880" s="7"/>
      <c r="B880" s="8"/>
      <c r="C880" s="8"/>
      <c r="D880" s="8"/>
      <c r="E880" s="8"/>
      <c r="F880" s="9"/>
      <c r="G880" s="10">
        <f>IFERROR(F880*VLOOKUP(D880,TELAS!$A$4:$C$32,3,FALSE()),0)</f>
        <v>0</v>
      </c>
      <c r="H880" s="11" t="str">
        <f>IFERROR(VLOOKUP(E880,COLORES!$A$4:$B$102,2,FALSE()),"")</f>
        <v/>
      </c>
      <c r="I880" s="12">
        <f>IFERROR(IF(H880="OSCURO",VLOOKUP(D880,PRECIOS!$A$4:$F$32,2,FALSE()),IF(H880="CLARO",VLOOKUP(D880,PRECIOS!$A$4:$F$32,3,FALSE()),IF(H880="MELANGE",VLOOKUP(D880,PRECIOS!$A$4:$F$32,4,FALSE()),IF(H880="PPT",VLOOKUP(D880,PRECIOS!$A$4:$F$32,5,FALSE()),0)))),0)</f>
        <v>0</v>
      </c>
      <c r="J880" s="12">
        <f t="shared" si="12"/>
        <v>0</v>
      </c>
      <c r="K880" s="13">
        <f>IFERROR(IF(C880="",0,SUMIFS($F$4:$F$879,$C$4:$C$879,C880,$D$4:$D$879,D880,$E$4:$E$879,E880,$B$4:$B$879,"INGRESO")+SUMIFS($F$4:$F$879,$C$4:$C$879,C880,$D$4:$D$879,D880,$E$4:$E$879,E880,$B$4:$B$879,"DE REPROCESO")+SUMIFS($F$4:$F$879,$C$4:$C$879,C880,$D$4:$D$879,D880,$E$4:$E$879,E880,$B$4:$B$879,"AJUSTE+")-SUMIFS($F$4:$F$879,$C$4:$C$879,C880,$D$4:$D$879,D880,$E$4:$E$879,E880,$B$4:$B$879,"A CORTE")-SUMIFS($F$4:$F$879,$C$4:$C$879,C880,$D$4:$D$879,D880,$E$4:$E$879,E880,$B$4:$B$879,"A REPROCESO")-SUMIFS($F$4:$F$879,$C$4:$C$879,C880,$D$4:$D$879,D880,$E$4:$E$879,E880,$B$4:$B$879,"MUESTRA")-SUMIFS($F$4:$F$879,$C$4:$C$879,C880,$D$4:$D$879,D880,$E$4:$E$879,E880,$B$4:$B$879,"AJUSTE-")),0)</f>
        <v>0</v>
      </c>
      <c r="L880" s="13">
        <f t="shared" si="13"/>
        <v>0</v>
      </c>
      <c r="M880" s="8"/>
      <c r="N880" s="14"/>
      <c r="O880" s="14"/>
      <c r="P880" s="14"/>
      <c r="Q880" s="15"/>
      <c r="R880" s="16" t="str">
        <f t="shared" si="14"/>
        <v/>
      </c>
    </row>
    <row r="881" ht="15.75" customHeight="1">
      <c r="A881" s="7"/>
      <c r="B881" s="8"/>
      <c r="C881" s="8"/>
      <c r="D881" s="8"/>
      <c r="E881" s="8"/>
      <c r="F881" s="9"/>
      <c r="G881" s="10">
        <f>IFERROR(F881*VLOOKUP(D881,TELAS!$A$4:$C$32,3,FALSE()),0)</f>
        <v>0</v>
      </c>
      <c r="H881" s="11" t="str">
        <f>IFERROR(VLOOKUP(E881,COLORES!$A$4:$B$102,2,FALSE()),"")</f>
        <v/>
      </c>
      <c r="I881" s="12">
        <f>IFERROR(IF(H881="OSCURO",VLOOKUP(D881,PRECIOS!$A$4:$F$32,2,FALSE()),IF(H881="CLARO",VLOOKUP(D881,PRECIOS!$A$4:$F$32,3,FALSE()),IF(H881="MELANGE",VLOOKUP(D881,PRECIOS!$A$4:$F$32,4,FALSE()),IF(H881="PPT",VLOOKUP(D881,PRECIOS!$A$4:$F$32,5,FALSE()),0)))),0)</f>
        <v>0</v>
      </c>
      <c r="J881" s="12">
        <f t="shared" si="12"/>
        <v>0</v>
      </c>
      <c r="K881" s="13">
        <f>IFERROR(IF(C881="",0,SUMIFS($F$4:$F$880,$C$4:$C$880,C881,$D$4:$D$880,D881,$E$4:$E$880,E881,$B$4:$B$880,"INGRESO")+SUMIFS($F$4:$F$880,$C$4:$C$880,C881,$D$4:$D$880,D881,$E$4:$E$880,E881,$B$4:$B$880,"DE REPROCESO")+SUMIFS($F$4:$F$880,$C$4:$C$880,C881,$D$4:$D$880,D881,$E$4:$E$880,E881,$B$4:$B$880,"AJUSTE+")-SUMIFS($F$4:$F$880,$C$4:$C$880,C881,$D$4:$D$880,D881,$E$4:$E$880,E881,$B$4:$B$880,"A CORTE")-SUMIFS($F$4:$F$880,$C$4:$C$880,C881,$D$4:$D$880,D881,$E$4:$E$880,E881,$B$4:$B$880,"A REPROCESO")-SUMIFS($F$4:$F$880,$C$4:$C$880,C881,$D$4:$D$880,D881,$E$4:$E$880,E881,$B$4:$B$880,"MUESTRA")-SUMIFS($F$4:$F$880,$C$4:$C$880,C881,$D$4:$D$880,D881,$E$4:$E$880,E881,$B$4:$B$880,"AJUSTE-")),0)</f>
        <v>0</v>
      </c>
      <c r="L881" s="13">
        <f t="shared" si="13"/>
        <v>0</v>
      </c>
      <c r="M881" s="8"/>
      <c r="N881" s="14"/>
      <c r="O881" s="14"/>
      <c r="P881" s="14"/>
      <c r="Q881" s="15"/>
      <c r="R881" s="16" t="str">
        <f t="shared" si="14"/>
        <v/>
      </c>
    </row>
    <row r="882" ht="15.75" customHeight="1">
      <c r="A882" s="7"/>
      <c r="B882" s="8"/>
      <c r="C882" s="8"/>
      <c r="D882" s="8"/>
      <c r="E882" s="8"/>
      <c r="F882" s="9"/>
      <c r="G882" s="10">
        <f>IFERROR(F882*VLOOKUP(D882,TELAS!$A$4:$C$32,3,FALSE()),0)</f>
        <v>0</v>
      </c>
      <c r="H882" s="11" t="str">
        <f>IFERROR(VLOOKUP(E882,COLORES!$A$4:$B$102,2,FALSE()),"")</f>
        <v/>
      </c>
      <c r="I882" s="12">
        <f>IFERROR(IF(H882="OSCURO",VLOOKUP(D882,PRECIOS!$A$4:$F$32,2,FALSE()),IF(H882="CLARO",VLOOKUP(D882,PRECIOS!$A$4:$F$32,3,FALSE()),IF(H882="MELANGE",VLOOKUP(D882,PRECIOS!$A$4:$F$32,4,FALSE()),IF(H882="PPT",VLOOKUP(D882,PRECIOS!$A$4:$F$32,5,FALSE()),0)))),0)</f>
        <v>0</v>
      </c>
      <c r="J882" s="12">
        <f t="shared" si="12"/>
        <v>0</v>
      </c>
      <c r="K882" s="13">
        <f>IFERROR(IF(C882="",0,SUMIFS($F$4:$F$881,$C$4:$C$881,C882,$D$4:$D$881,D882,$E$4:$E$881,E882,$B$4:$B$881,"INGRESO")+SUMIFS($F$4:$F$881,$C$4:$C$881,C882,$D$4:$D$881,D882,$E$4:$E$881,E882,$B$4:$B$881,"DE REPROCESO")+SUMIFS($F$4:$F$881,$C$4:$C$881,C882,$D$4:$D$881,D882,$E$4:$E$881,E882,$B$4:$B$881,"AJUSTE+")-SUMIFS($F$4:$F$881,$C$4:$C$881,C882,$D$4:$D$881,D882,$E$4:$E$881,E882,$B$4:$B$881,"A CORTE")-SUMIFS($F$4:$F$881,$C$4:$C$881,C882,$D$4:$D$881,D882,$E$4:$E$881,E882,$B$4:$B$881,"A REPROCESO")-SUMIFS($F$4:$F$881,$C$4:$C$881,C882,$D$4:$D$881,D882,$E$4:$E$881,E882,$B$4:$B$881,"MUESTRA")-SUMIFS($F$4:$F$881,$C$4:$C$881,C882,$D$4:$D$881,D882,$E$4:$E$881,E882,$B$4:$B$881,"AJUSTE-")),0)</f>
        <v>0</v>
      </c>
      <c r="L882" s="13">
        <f t="shared" si="13"/>
        <v>0</v>
      </c>
      <c r="M882" s="8"/>
      <c r="N882" s="14"/>
      <c r="O882" s="14"/>
      <c r="P882" s="14"/>
      <c r="Q882" s="15"/>
      <c r="R882" s="16" t="str">
        <f t="shared" si="14"/>
        <v/>
      </c>
    </row>
    <row r="883" ht="15.75" customHeight="1">
      <c r="A883" s="7"/>
      <c r="B883" s="8"/>
      <c r="C883" s="8"/>
      <c r="D883" s="8"/>
      <c r="E883" s="8"/>
      <c r="F883" s="9"/>
      <c r="G883" s="10">
        <f>IFERROR(F883*VLOOKUP(D883,TELAS!$A$4:$C$32,3,FALSE()),0)</f>
        <v>0</v>
      </c>
      <c r="H883" s="11" t="str">
        <f>IFERROR(VLOOKUP(E883,COLORES!$A$4:$B$102,2,FALSE()),"")</f>
        <v/>
      </c>
      <c r="I883" s="12">
        <f>IFERROR(IF(H883="OSCURO",VLOOKUP(D883,PRECIOS!$A$4:$F$32,2,FALSE()),IF(H883="CLARO",VLOOKUP(D883,PRECIOS!$A$4:$F$32,3,FALSE()),IF(H883="MELANGE",VLOOKUP(D883,PRECIOS!$A$4:$F$32,4,FALSE()),IF(H883="PPT",VLOOKUP(D883,PRECIOS!$A$4:$F$32,5,FALSE()),0)))),0)</f>
        <v>0</v>
      </c>
      <c r="J883" s="12">
        <f t="shared" si="12"/>
        <v>0</v>
      </c>
      <c r="K883" s="13">
        <f>IFERROR(IF(C883="",0,SUMIFS($F$4:$F$882,$C$4:$C$882,C883,$D$4:$D$882,D883,$E$4:$E$882,E883,$B$4:$B$882,"INGRESO")+SUMIFS($F$4:$F$882,$C$4:$C$882,C883,$D$4:$D$882,D883,$E$4:$E$882,E883,$B$4:$B$882,"DE REPROCESO")+SUMIFS($F$4:$F$882,$C$4:$C$882,C883,$D$4:$D$882,D883,$E$4:$E$882,E883,$B$4:$B$882,"AJUSTE+")-SUMIFS($F$4:$F$882,$C$4:$C$882,C883,$D$4:$D$882,D883,$E$4:$E$882,E883,$B$4:$B$882,"A CORTE")-SUMIFS($F$4:$F$882,$C$4:$C$882,C883,$D$4:$D$882,D883,$E$4:$E$882,E883,$B$4:$B$882,"A REPROCESO")-SUMIFS($F$4:$F$882,$C$4:$C$882,C883,$D$4:$D$882,D883,$E$4:$E$882,E883,$B$4:$B$882,"MUESTRA")-SUMIFS($F$4:$F$882,$C$4:$C$882,C883,$D$4:$D$882,D883,$E$4:$E$882,E883,$B$4:$B$882,"AJUSTE-")),0)</f>
        <v>0</v>
      </c>
      <c r="L883" s="13">
        <f t="shared" si="13"/>
        <v>0</v>
      </c>
      <c r="M883" s="8"/>
      <c r="N883" s="14"/>
      <c r="O883" s="14"/>
      <c r="P883" s="14"/>
      <c r="Q883" s="15"/>
      <c r="R883" s="16" t="str">
        <f t="shared" si="14"/>
        <v/>
      </c>
    </row>
    <row r="884" ht="15.75" customHeight="1">
      <c r="A884" s="7"/>
      <c r="B884" s="8"/>
      <c r="C884" s="8"/>
      <c r="D884" s="8"/>
      <c r="E884" s="8"/>
      <c r="F884" s="9"/>
      <c r="G884" s="10">
        <f>IFERROR(F884*VLOOKUP(D884,TELAS!$A$4:$C$32,3,FALSE()),0)</f>
        <v>0</v>
      </c>
      <c r="H884" s="11" t="str">
        <f>IFERROR(VLOOKUP(E884,COLORES!$A$4:$B$102,2,FALSE()),"")</f>
        <v/>
      </c>
      <c r="I884" s="12">
        <f>IFERROR(IF(H884="OSCURO",VLOOKUP(D884,PRECIOS!$A$4:$F$32,2,FALSE()),IF(H884="CLARO",VLOOKUP(D884,PRECIOS!$A$4:$F$32,3,FALSE()),IF(H884="MELANGE",VLOOKUP(D884,PRECIOS!$A$4:$F$32,4,FALSE()),IF(H884="PPT",VLOOKUP(D884,PRECIOS!$A$4:$F$32,5,FALSE()),0)))),0)</f>
        <v>0</v>
      </c>
      <c r="J884" s="12">
        <f t="shared" si="12"/>
        <v>0</v>
      </c>
      <c r="K884" s="13">
        <f>IFERROR(IF(C884="",0,SUMIFS($F$4:$F$883,$C$4:$C$883,C884,$D$4:$D$883,D884,$E$4:$E$883,E884,$B$4:$B$883,"INGRESO")+SUMIFS($F$4:$F$883,$C$4:$C$883,C884,$D$4:$D$883,D884,$E$4:$E$883,E884,$B$4:$B$883,"DE REPROCESO")+SUMIFS($F$4:$F$883,$C$4:$C$883,C884,$D$4:$D$883,D884,$E$4:$E$883,E884,$B$4:$B$883,"AJUSTE+")-SUMIFS($F$4:$F$883,$C$4:$C$883,C884,$D$4:$D$883,D884,$E$4:$E$883,E884,$B$4:$B$883,"A CORTE")-SUMIFS($F$4:$F$883,$C$4:$C$883,C884,$D$4:$D$883,D884,$E$4:$E$883,E884,$B$4:$B$883,"A REPROCESO")-SUMIFS($F$4:$F$883,$C$4:$C$883,C884,$D$4:$D$883,D884,$E$4:$E$883,E884,$B$4:$B$883,"MUESTRA")-SUMIFS($F$4:$F$883,$C$4:$C$883,C884,$D$4:$D$883,D884,$E$4:$E$883,E884,$B$4:$B$883,"AJUSTE-")),0)</f>
        <v>0</v>
      </c>
      <c r="L884" s="13">
        <f t="shared" si="13"/>
        <v>0</v>
      </c>
      <c r="M884" s="8"/>
      <c r="N884" s="14"/>
      <c r="O884" s="14"/>
      <c r="P884" s="14"/>
      <c r="Q884" s="15"/>
      <c r="R884" s="16" t="str">
        <f t="shared" si="14"/>
        <v/>
      </c>
    </row>
    <row r="885" ht="15.75" customHeight="1">
      <c r="A885" s="7"/>
      <c r="B885" s="8"/>
      <c r="C885" s="8"/>
      <c r="D885" s="8"/>
      <c r="E885" s="8"/>
      <c r="F885" s="9"/>
      <c r="G885" s="10">
        <f>IFERROR(F885*VLOOKUP(D885,TELAS!$A$4:$C$32,3,FALSE()),0)</f>
        <v>0</v>
      </c>
      <c r="H885" s="11" t="str">
        <f>IFERROR(VLOOKUP(E885,COLORES!$A$4:$B$102,2,FALSE()),"")</f>
        <v/>
      </c>
      <c r="I885" s="12">
        <f>IFERROR(IF(H885="OSCURO",VLOOKUP(D885,PRECIOS!$A$4:$F$32,2,FALSE()),IF(H885="CLARO",VLOOKUP(D885,PRECIOS!$A$4:$F$32,3,FALSE()),IF(H885="MELANGE",VLOOKUP(D885,PRECIOS!$A$4:$F$32,4,FALSE()),IF(H885="PPT",VLOOKUP(D885,PRECIOS!$A$4:$F$32,5,FALSE()),0)))),0)</f>
        <v>0</v>
      </c>
      <c r="J885" s="12">
        <f t="shared" si="12"/>
        <v>0</v>
      </c>
      <c r="K885" s="13">
        <f>IFERROR(IF(C885="",0,SUMIFS($F$4:$F$884,$C$4:$C$884,C885,$D$4:$D$884,D885,$E$4:$E$884,E885,$B$4:$B$884,"INGRESO")+SUMIFS($F$4:$F$884,$C$4:$C$884,C885,$D$4:$D$884,D885,$E$4:$E$884,E885,$B$4:$B$884,"DE REPROCESO")+SUMIFS($F$4:$F$884,$C$4:$C$884,C885,$D$4:$D$884,D885,$E$4:$E$884,E885,$B$4:$B$884,"AJUSTE+")-SUMIFS($F$4:$F$884,$C$4:$C$884,C885,$D$4:$D$884,D885,$E$4:$E$884,E885,$B$4:$B$884,"A CORTE")-SUMIFS($F$4:$F$884,$C$4:$C$884,C885,$D$4:$D$884,D885,$E$4:$E$884,E885,$B$4:$B$884,"A REPROCESO")-SUMIFS($F$4:$F$884,$C$4:$C$884,C885,$D$4:$D$884,D885,$E$4:$E$884,E885,$B$4:$B$884,"MUESTRA")-SUMIFS($F$4:$F$884,$C$4:$C$884,C885,$D$4:$D$884,D885,$E$4:$E$884,E885,$B$4:$B$884,"AJUSTE-")),0)</f>
        <v>0</v>
      </c>
      <c r="L885" s="13">
        <f t="shared" si="13"/>
        <v>0</v>
      </c>
      <c r="M885" s="8"/>
      <c r="N885" s="14"/>
      <c r="O885" s="14"/>
      <c r="P885" s="14"/>
      <c r="Q885" s="15"/>
      <c r="R885" s="16" t="str">
        <f t="shared" si="14"/>
        <v/>
      </c>
    </row>
    <row r="886" ht="15.75" customHeight="1">
      <c r="A886" s="7"/>
      <c r="B886" s="8"/>
      <c r="C886" s="8"/>
      <c r="D886" s="8"/>
      <c r="E886" s="8"/>
      <c r="F886" s="9"/>
      <c r="G886" s="10">
        <f>IFERROR(F886*VLOOKUP(D886,TELAS!$A$4:$C$32,3,FALSE()),0)</f>
        <v>0</v>
      </c>
      <c r="H886" s="11" t="str">
        <f>IFERROR(VLOOKUP(E886,COLORES!$A$4:$B$102,2,FALSE()),"")</f>
        <v/>
      </c>
      <c r="I886" s="12">
        <f>IFERROR(IF(H886="OSCURO",VLOOKUP(D886,PRECIOS!$A$4:$F$32,2,FALSE()),IF(H886="CLARO",VLOOKUP(D886,PRECIOS!$A$4:$F$32,3,FALSE()),IF(H886="MELANGE",VLOOKUP(D886,PRECIOS!$A$4:$F$32,4,FALSE()),IF(H886="PPT",VLOOKUP(D886,PRECIOS!$A$4:$F$32,5,FALSE()),0)))),0)</f>
        <v>0</v>
      </c>
      <c r="J886" s="12">
        <f t="shared" si="12"/>
        <v>0</v>
      </c>
      <c r="K886" s="13">
        <f>IFERROR(IF(C886="",0,SUMIFS($F$4:$F$885,$C$4:$C$885,C886,$D$4:$D$885,D886,$E$4:$E$885,E886,$B$4:$B$885,"INGRESO")+SUMIFS($F$4:$F$885,$C$4:$C$885,C886,$D$4:$D$885,D886,$E$4:$E$885,E886,$B$4:$B$885,"DE REPROCESO")+SUMIFS($F$4:$F$885,$C$4:$C$885,C886,$D$4:$D$885,D886,$E$4:$E$885,E886,$B$4:$B$885,"AJUSTE+")-SUMIFS($F$4:$F$885,$C$4:$C$885,C886,$D$4:$D$885,D886,$E$4:$E$885,E886,$B$4:$B$885,"A CORTE")-SUMIFS($F$4:$F$885,$C$4:$C$885,C886,$D$4:$D$885,D886,$E$4:$E$885,E886,$B$4:$B$885,"A REPROCESO")-SUMIFS($F$4:$F$885,$C$4:$C$885,C886,$D$4:$D$885,D886,$E$4:$E$885,E886,$B$4:$B$885,"MUESTRA")-SUMIFS($F$4:$F$885,$C$4:$C$885,C886,$D$4:$D$885,D886,$E$4:$E$885,E886,$B$4:$B$885,"AJUSTE-")),0)</f>
        <v>0</v>
      </c>
      <c r="L886" s="13">
        <f t="shared" si="13"/>
        <v>0</v>
      </c>
      <c r="M886" s="8"/>
      <c r="N886" s="14"/>
      <c r="O886" s="14"/>
      <c r="P886" s="14"/>
      <c r="Q886" s="15"/>
      <c r="R886" s="16" t="str">
        <f t="shared" si="14"/>
        <v/>
      </c>
    </row>
    <row r="887" ht="15.75" customHeight="1">
      <c r="A887" s="7"/>
      <c r="B887" s="8"/>
      <c r="C887" s="8"/>
      <c r="D887" s="8"/>
      <c r="E887" s="8"/>
      <c r="F887" s="9"/>
      <c r="G887" s="10">
        <f>IFERROR(F887*VLOOKUP(D887,TELAS!$A$4:$C$32,3,FALSE()),0)</f>
        <v>0</v>
      </c>
      <c r="H887" s="11" t="str">
        <f>IFERROR(VLOOKUP(E887,COLORES!$A$4:$B$102,2,FALSE()),"")</f>
        <v/>
      </c>
      <c r="I887" s="12">
        <f>IFERROR(IF(H887="OSCURO",VLOOKUP(D887,PRECIOS!$A$4:$F$32,2,FALSE()),IF(H887="CLARO",VLOOKUP(D887,PRECIOS!$A$4:$F$32,3,FALSE()),IF(H887="MELANGE",VLOOKUP(D887,PRECIOS!$A$4:$F$32,4,FALSE()),IF(H887="PPT",VLOOKUP(D887,PRECIOS!$A$4:$F$32,5,FALSE()),0)))),0)</f>
        <v>0</v>
      </c>
      <c r="J887" s="12">
        <f t="shared" si="12"/>
        <v>0</v>
      </c>
      <c r="K887" s="13">
        <f>IFERROR(IF(C887="",0,SUMIFS($F$4:$F$886,$C$4:$C$886,C887,$D$4:$D$886,D887,$E$4:$E$886,E887,$B$4:$B$886,"INGRESO")+SUMIFS($F$4:$F$886,$C$4:$C$886,C887,$D$4:$D$886,D887,$E$4:$E$886,E887,$B$4:$B$886,"DE REPROCESO")+SUMIFS($F$4:$F$886,$C$4:$C$886,C887,$D$4:$D$886,D887,$E$4:$E$886,E887,$B$4:$B$886,"AJUSTE+")-SUMIFS($F$4:$F$886,$C$4:$C$886,C887,$D$4:$D$886,D887,$E$4:$E$886,E887,$B$4:$B$886,"A CORTE")-SUMIFS($F$4:$F$886,$C$4:$C$886,C887,$D$4:$D$886,D887,$E$4:$E$886,E887,$B$4:$B$886,"A REPROCESO")-SUMIFS($F$4:$F$886,$C$4:$C$886,C887,$D$4:$D$886,D887,$E$4:$E$886,E887,$B$4:$B$886,"MUESTRA")-SUMIFS($F$4:$F$886,$C$4:$C$886,C887,$D$4:$D$886,D887,$E$4:$E$886,E887,$B$4:$B$886,"AJUSTE-")),0)</f>
        <v>0</v>
      </c>
      <c r="L887" s="13">
        <f t="shared" si="13"/>
        <v>0</v>
      </c>
      <c r="M887" s="8"/>
      <c r="N887" s="14"/>
      <c r="O887" s="14"/>
      <c r="P887" s="14"/>
      <c r="Q887" s="15"/>
      <c r="R887" s="16" t="str">
        <f t="shared" si="14"/>
        <v/>
      </c>
    </row>
    <row r="888" ht="15.75" customHeight="1">
      <c r="A888" s="7"/>
      <c r="B888" s="8"/>
      <c r="C888" s="8"/>
      <c r="D888" s="8"/>
      <c r="E888" s="8"/>
      <c r="F888" s="9"/>
      <c r="G888" s="10">
        <f>IFERROR(F888*VLOOKUP(D888,TELAS!$A$4:$C$32,3,FALSE()),0)</f>
        <v>0</v>
      </c>
      <c r="H888" s="11" t="str">
        <f>IFERROR(VLOOKUP(E888,COLORES!$A$4:$B$102,2,FALSE()),"")</f>
        <v/>
      </c>
      <c r="I888" s="12">
        <f>IFERROR(IF(H888="OSCURO",VLOOKUP(D888,PRECIOS!$A$4:$F$32,2,FALSE()),IF(H888="CLARO",VLOOKUP(D888,PRECIOS!$A$4:$F$32,3,FALSE()),IF(H888="MELANGE",VLOOKUP(D888,PRECIOS!$A$4:$F$32,4,FALSE()),IF(H888="PPT",VLOOKUP(D888,PRECIOS!$A$4:$F$32,5,FALSE()),0)))),0)</f>
        <v>0</v>
      </c>
      <c r="J888" s="12">
        <f t="shared" si="12"/>
        <v>0</v>
      </c>
      <c r="K888" s="13">
        <f>IFERROR(IF(C888="",0,SUMIFS($F$4:$F$887,$C$4:$C$887,C888,$D$4:$D$887,D888,$E$4:$E$887,E888,$B$4:$B$887,"INGRESO")+SUMIFS($F$4:$F$887,$C$4:$C$887,C888,$D$4:$D$887,D888,$E$4:$E$887,E888,$B$4:$B$887,"DE REPROCESO")+SUMIFS($F$4:$F$887,$C$4:$C$887,C888,$D$4:$D$887,D888,$E$4:$E$887,E888,$B$4:$B$887,"AJUSTE+")-SUMIFS($F$4:$F$887,$C$4:$C$887,C888,$D$4:$D$887,D888,$E$4:$E$887,E888,$B$4:$B$887,"A CORTE")-SUMIFS($F$4:$F$887,$C$4:$C$887,C888,$D$4:$D$887,D888,$E$4:$E$887,E888,$B$4:$B$887,"A REPROCESO")-SUMIFS($F$4:$F$887,$C$4:$C$887,C888,$D$4:$D$887,D888,$E$4:$E$887,E888,$B$4:$B$887,"MUESTRA")-SUMIFS($F$4:$F$887,$C$4:$C$887,C888,$D$4:$D$887,D888,$E$4:$E$887,E888,$B$4:$B$887,"AJUSTE-")),0)</f>
        <v>0</v>
      </c>
      <c r="L888" s="13">
        <f t="shared" si="13"/>
        <v>0</v>
      </c>
      <c r="M888" s="8"/>
      <c r="N888" s="14"/>
      <c r="O888" s="14"/>
      <c r="P888" s="14"/>
      <c r="Q888" s="15"/>
      <c r="R888" s="16" t="str">
        <f t="shared" si="14"/>
        <v/>
      </c>
    </row>
    <row r="889" ht="15.75" customHeight="1">
      <c r="A889" s="7"/>
      <c r="B889" s="8"/>
      <c r="C889" s="8"/>
      <c r="D889" s="8"/>
      <c r="E889" s="8"/>
      <c r="F889" s="9"/>
      <c r="G889" s="10">
        <f>IFERROR(F889*VLOOKUP(D889,TELAS!$A$4:$C$32,3,FALSE()),0)</f>
        <v>0</v>
      </c>
      <c r="H889" s="11" t="str">
        <f>IFERROR(VLOOKUP(E889,COLORES!$A$4:$B$102,2,FALSE()),"")</f>
        <v/>
      </c>
      <c r="I889" s="12">
        <f>IFERROR(IF(H889="OSCURO",VLOOKUP(D889,PRECIOS!$A$4:$F$32,2,FALSE()),IF(H889="CLARO",VLOOKUP(D889,PRECIOS!$A$4:$F$32,3,FALSE()),IF(H889="MELANGE",VLOOKUP(D889,PRECIOS!$A$4:$F$32,4,FALSE()),IF(H889="PPT",VLOOKUP(D889,PRECIOS!$A$4:$F$32,5,FALSE()),0)))),0)</f>
        <v>0</v>
      </c>
      <c r="J889" s="12">
        <f t="shared" si="12"/>
        <v>0</v>
      </c>
      <c r="K889" s="13">
        <f>IFERROR(IF(C889="",0,SUMIFS($F$4:$F$888,$C$4:$C$888,C889,$D$4:$D$888,D889,$E$4:$E$888,E889,$B$4:$B$888,"INGRESO")+SUMIFS($F$4:$F$888,$C$4:$C$888,C889,$D$4:$D$888,D889,$E$4:$E$888,E889,$B$4:$B$888,"DE REPROCESO")+SUMIFS($F$4:$F$888,$C$4:$C$888,C889,$D$4:$D$888,D889,$E$4:$E$888,E889,$B$4:$B$888,"AJUSTE+")-SUMIFS($F$4:$F$888,$C$4:$C$888,C889,$D$4:$D$888,D889,$E$4:$E$888,E889,$B$4:$B$888,"A CORTE")-SUMIFS($F$4:$F$888,$C$4:$C$888,C889,$D$4:$D$888,D889,$E$4:$E$888,E889,$B$4:$B$888,"A REPROCESO")-SUMIFS($F$4:$F$888,$C$4:$C$888,C889,$D$4:$D$888,D889,$E$4:$E$888,E889,$B$4:$B$888,"MUESTRA")-SUMIFS($F$4:$F$888,$C$4:$C$888,C889,$D$4:$D$888,D889,$E$4:$E$888,E889,$B$4:$B$888,"AJUSTE-")),0)</f>
        <v>0</v>
      </c>
      <c r="L889" s="13">
        <f t="shared" si="13"/>
        <v>0</v>
      </c>
      <c r="M889" s="8"/>
      <c r="N889" s="14"/>
      <c r="O889" s="14"/>
      <c r="P889" s="14"/>
      <c r="Q889" s="15"/>
      <c r="R889" s="16" t="str">
        <f t="shared" si="14"/>
        <v/>
      </c>
    </row>
    <row r="890" ht="15.75" customHeight="1">
      <c r="A890" s="7"/>
      <c r="B890" s="8"/>
      <c r="C890" s="8"/>
      <c r="D890" s="8"/>
      <c r="E890" s="8"/>
      <c r="F890" s="9"/>
      <c r="G890" s="10">
        <f>IFERROR(F890*VLOOKUP(D890,TELAS!$A$4:$C$32,3,FALSE()),0)</f>
        <v>0</v>
      </c>
      <c r="H890" s="11" t="str">
        <f>IFERROR(VLOOKUP(E890,COLORES!$A$4:$B$102,2,FALSE()),"")</f>
        <v/>
      </c>
      <c r="I890" s="12">
        <f>IFERROR(IF(H890="OSCURO",VLOOKUP(D890,PRECIOS!$A$4:$F$32,2,FALSE()),IF(H890="CLARO",VLOOKUP(D890,PRECIOS!$A$4:$F$32,3,FALSE()),IF(H890="MELANGE",VLOOKUP(D890,PRECIOS!$A$4:$F$32,4,FALSE()),IF(H890="PPT",VLOOKUP(D890,PRECIOS!$A$4:$F$32,5,FALSE()),0)))),0)</f>
        <v>0</v>
      </c>
      <c r="J890" s="12">
        <f t="shared" si="12"/>
        <v>0</v>
      </c>
      <c r="K890" s="13">
        <f>IFERROR(IF(C890="",0,SUMIFS($F$4:$F$889,$C$4:$C$889,C890,$D$4:$D$889,D890,$E$4:$E$889,E890,$B$4:$B$889,"INGRESO")+SUMIFS($F$4:$F$889,$C$4:$C$889,C890,$D$4:$D$889,D890,$E$4:$E$889,E890,$B$4:$B$889,"DE REPROCESO")+SUMIFS($F$4:$F$889,$C$4:$C$889,C890,$D$4:$D$889,D890,$E$4:$E$889,E890,$B$4:$B$889,"AJUSTE+")-SUMIFS($F$4:$F$889,$C$4:$C$889,C890,$D$4:$D$889,D890,$E$4:$E$889,E890,$B$4:$B$889,"A CORTE")-SUMIFS($F$4:$F$889,$C$4:$C$889,C890,$D$4:$D$889,D890,$E$4:$E$889,E890,$B$4:$B$889,"A REPROCESO")-SUMIFS($F$4:$F$889,$C$4:$C$889,C890,$D$4:$D$889,D890,$E$4:$E$889,E890,$B$4:$B$889,"MUESTRA")-SUMIFS($F$4:$F$889,$C$4:$C$889,C890,$D$4:$D$889,D890,$E$4:$E$889,E890,$B$4:$B$889,"AJUSTE-")),0)</f>
        <v>0</v>
      </c>
      <c r="L890" s="13">
        <f t="shared" si="13"/>
        <v>0</v>
      </c>
      <c r="M890" s="8"/>
      <c r="N890" s="14"/>
      <c r="O890" s="14"/>
      <c r="P890" s="14"/>
      <c r="Q890" s="15"/>
      <c r="R890" s="16" t="str">
        <f t="shared" si="14"/>
        <v/>
      </c>
    </row>
    <row r="891" ht="15.75" customHeight="1">
      <c r="A891" s="7"/>
      <c r="B891" s="8"/>
      <c r="C891" s="8"/>
      <c r="D891" s="8"/>
      <c r="E891" s="8"/>
      <c r="F891" s="9"/>
      <c r="G891" s="10">
        <f>IFERROR(F891*VLOOKUP(D891,TELAS!$A$4:$C$32,3,FALSE()),0)</f>
        <v>0</v>
      </c>
      <c r="H891" s="11" t="str">
        <f>IFERROR(VLOOKUP(E891,COLORES!$A$4:$B$102,2,FALSE()),"")</f>
        <v/>
      </c>
      <c r="I891" s="12">
        <f>IFERROR(IF(H891="OSCURO",VLOOKUP(D891,PRECIOS!$A$4:$F$32,2,FALSE()),IF(H891="CLARO",VLOOKUP(D891,PRECIOS!$A$4:$F$32,3,FALSE()),IF(H891="MELANGE",VLOOKUP(D891,PRECIOS!$A$4:$F$32,4,FALSE()),IF(H891="PPT",VLOOKUP(D891,PRECIOS!$A$4:$F$32,5,FALSE()),0)))),0)</f>
        <v>0</v>
      </c>
      <c r="J891" s="12">
        <f t="shared" si="12"/>
        <v>0</v>
      </c>
      <c r="K891" s="13">
        <f>IFERROR(IF(C891="",0,SUMIFS($F$4:$F$890,$C$4:$C$890,C891,$D$4:$D$890,D891,$E$4:$E$890,E891,$B$4:$B$890,"INGRESO")+SUMIFS($F$4:$F$890,$C$4:$C$890,C891,$D$4:$D$890,D891,$E$4:$E$890,E891,$B$4:$B$890,"DE REPROCESO")+SUMIFS($F$4:$F$890,$C$4:$C$890,C891,$D$4:$D$890,D891,$E$4:$E$890,E891,$B$4:$B$890,"AJUSTE+")-SUMIFS($F$4:$F$890,$C$4:$C$890,C891,$D$4:$D$890,D891,$E$4:$E$890,E891,$B$4:$B$890,"A CORTE")-SUMIFS($F$4:$F$890,$C$4:$C$890,C891,$D$4:$D$890,D891,$E$4:$E$890,E891,$B$4:$B$890,"A REPROCESO")-SUMIFS($F$4:$F$890,$C$4:$C$890,C891,$D$4:$D$890,D891,$E$4:$E$890,E891,$B$4:$B$890,"MUESTRA")-SUMIFS($F$4:$F$890,$C$4:$C$890,C891,$D$4:$D$890,D891,$E$4:$E$890,E891,$B$4:$B$890,"AJUSTE-")),0)</f>
        <v>0</v>
      </c>
      <c r="L891" s="13">
        <f t="shared" si="13"/>
        <v>0</v>
      </c>
      <c r="M891" s="8"/>
      <c r="N891" s="14"/>
      <c r="O891" s="14"/>
      <c r="P891" s="14"/>
      <c r="Q891" s="15"/>
      <c r="R891" s="16" t="str">
        <f t="shared" si="14"/>
        <v/>
      </c>
    </row>
    <row r="892" ht="15.75" customHeight="1">
      <c r="A892" s="7"/>
      <c r="B892" s="8"/>
      <c r="C892" s="8"/>
      <c r="D892" s="8"/>
      <c r="E892" s="8"/>
      <c r="F892" s="9"/>
      <c r="G892" s="10">
        <f>IFERROR(F892*VLOOKUP(D892,TELAS!$A$4:$C$32,3,FALSE()),0)</f>
        <v>0</v>
      </c>
      <c r="H892" s="11" t="str">
        <f>IFERROR(VLOOKUP(E892,COLORES!$A$4:$B$102,2,FALSE()),"")</f>
        <v/>
      </c>
      <c r="I892" s="12">
        <f>IFERROR(IF(H892="OSCURO",VLOOKUP(D892,PRECIOS!$A$4:$F$32,2,FALSE()),IF(H892="CLARO",VLOOKUP(D892,PRECIOS!$A$4:$F$32,3,FALSE()),IF(H892="MELANGE",VLOOKUP(D892,PRECIOS!$A$4:$F$32,4,FALSE()),IF(H892="PPT",VLOOKUP(D892,PRECIOS!$A$4:$F$32,5,FALSE()),0)))),0)</f>
        <v>0</v>
      </c>
      <c r="J892" s="12">
        <f t="shared" si="12"/>
        <v>0</v>
      </c>
      <c r="K892" s="13">
        <f>IFERROR(IF(C892="",0,SUMIFS($F$4:$F$891,$C$4:$C$891,C892,$D$4:$D$891,D892,$E$4:$E$891,E892,$B$4:$B$891,"INGRESO")+SUMIFS($F$4:$F$891,$C$4:$C$891,C892,$D$4:$D$891,D892,$E$4:$E$891,E892,$B$4:$B$891,"DE REPROCESO")+SUMIFS($F$4:$F$891,$C$4:$C$891,C892,$D$4:$D$891,D892,$E$4:$E$891,E892,$B$4:$B$891,"AJUSTE+")-SUMIFS($F$4:$F$891,$C$4:$C$891,C892,$D$4:$D$891,D892,$E$4:$E$891,E892,$B$4:$B$891,"A CORTE")-SUMIFS($F$4:$F$891,$C$4:$C$891,C892,$D$4:$D$891,D892,$E$4:$E$891,E892,$B$4:$B$891,"A REPROCESO")-SUMIFS($F$4:$F$891,$C$4:$C$891,C892,$D$4:$D$891,D892,$E$4:$E$891,E892,$B$4:$B$891,"MUESTRA")-SUMIFS($F$4:$F$891,$C$4:$C$891,C892,$D$4:$D$891,D892,$E$4:$E$891,E892,$B$4:$B$891,"AJUSTE-")),0)</f>
        <v>0</v>
      </c>
      <c r="L892" s="13">
        <f t="shared" si="13"/>
        <v>0</v>
      </c>
      <c r="M892" s="8"/>
      <c r="N892" s="14"/>
      <c r="O892" s="14"/>
      <c r="P892" s="14"/>
      <c r="Q892" s="15"/>
      <c r="R892" s="16" t="str">
        <f t="shared" si="14"/>
        <v/>
      </c>
    </row>
    <row r="893" ht="15.75" customHeight="1">
      <c r="A893" s="7"/>
      <c r="B893" s="8"/>
      <c r="C893" s="8"/>
      <c r="D893" s="8"/>
      <c r="E893" s="8"/>
      <c r="F893" s="9"/>
      <c r="G893" s="10">
        <f>IFERROR(F893*VLOOKUP(D893,TELAS!$A$4:$C$32,3,FALSE()),0)</f>
        <v>0</v>
      </c>
      <c r="H893" s="11" t="str">
        <f>IFERROR(VLOOKUP(E893,COLORES!$A$4:$B$102,2,FALSE()),"")</f>
        <v/>
      </c>
      <c r="I893" s="12">
        <f>IFERROR(IF(H893="OSCURO",VLOOKUP(D893,PRECIOS!$A$4:$F$32,2,FALSE()),IF(H893="CLARO",VLOOKUP(D893,PRECIOS!$A$4:$F$32,3,FALSE()),IF(H893="MELANGE",VLOOKUP(D893,PRECIOS!$A$4:$F$32,4,FALSE()),IF(H893="PPT",VLOOKUP(D893,PRECIOS!$A$4:$F$32,5,FALSE()),0)))),0)</f>
        <v>0</v>
      </c>
      <c r="J893" s="12">
        <f t="shared" si="12"/>
        <v>0</v>
      </c>
      <c r="K893" s="13">
        <f>IFERROR(IF(C893="",0,SUMIFS($F$4:$F$892,$C$4:$C$892,C893,$D$4:$D$892,D893,$E$4:$E$892,E893,$B$4:$B$892,"INGRESO")+SUMIFS($F$4:$F$892,$C$4:$C$892,C893,$D$4:$D$892,D893,$E$4:$E$892,E893,$B$4:$B$892,"DE REPROCESO")+SUMIFS($F$4:$F$892,$C$4:$C$892,C893,$D$4:$D$892,D893,$E$4:$E$892,E893,$B$4:$B$892,"AJUSTE+")-SUMIFS($F$4:$F$892,$C$4:$C$892,C893,$D$4:$D$892,D893,$E$4:$E$892,E893,$B$4:$B$892,"A CORTE")-SUMIFS($F$4:$F$892,$C$4:$C$892,C893,$D$4:$D$892,D893,$E$4:$E$892,E893,$B$4:$B$892,"A REPROCESO")-SUMIFS($F$4:$F$892,$C$4:$C$892,C893,$D$4:$D$892,D893,$E$4:$E$892,E893,$B$4:$B$892,"MUESTRA")-SUMIFS($F$4:$F$892,$C$4:$C$892,C893,$D$4:$D$892,D893,$E$4:$E$892,E893,$B$4:$B$892,"AJUSTE-")),0)</f>
        <v>0</v>
      </c>
      <c r="L893" s="13">
        <f t="shared" si="13"/>
        <v>0</v>
      </c>
      <c r="M893" s="8"/>
      <c r="N893" s="14"/>
      <c r="O893" s="14"/>
      <c r="P893" s="14"/>
      <c r="Q893" s="15"/>
      <c r="R893" s="16" t="str">
        <f t="shared" si="14"/>
        <v/>
      </c>
    </row>
    <row r="894" ht="15.75" customHeight="1">
      <c r="A894" s="7"/>
      <c r="B894" s="8"/>
      <c r="C894" s="8"/>
      <c r="D894" s="8"/>
      <c r="E894" s="8"/>
      <c r="F894" s="9"/>
      <c r="G894" s="10">
        <f>IFERROR(F894*VLOOKUP(D894,TELAS!$A$4:$C$32,3,FALSE()),0)</f>
        <v>0</v>
      </c>
      <c r="H894" s="11" t="str">
        <f>IFERROR(VLOOKUP(E894,COLORES!$A$4:$B$102,2,FALSE()),"")</f>
        <v/>
      </c>
      <c r="I894" s="12">
        <f>IFERROR(IF(H894="OSCURO",VLOOKUP(D894,PRECIOS!$A$4:$F$32,2,FALSE()),IF(H894="CLARO",VLOOKUP(D894,PRECIOS!$A$4:$F$32,3,FALSE()),IF(H894="MELANGE",VLOOKUP(D894,PRECIOS!$A$4:$F$32,4,FALSE()),IF(H894="PPT",VLOOKUP(D894,PRECIOS!$A$4:$F$32,5,FALSE()),0)))),0)</f>
        <v>0</v>
      </c>
      <c r="J894" s="12">
        <f t="shared" si="12"/>
        <v>0</v>
      </c>
      <c r="K894" s="13">
        <f>IFERROR(IF(C894="",0,SUMIFS($F$4:$F$893,$C$4:$C$893,C894,$D$4:$D$893,D894,$E$4:$E$893,E894,$B$4:$B$893,"INGRESO")+SUMIFS($F$4:$F$893,$C$4:$C$893,C894,$D$4:$D$893,D894,$E$4:$E$893,E894,$B$4:$B$893,"DE REPROCESO")+SUMIFS($F$4:$F$893,$C$4:$C$893,C894,$D$4:$D$893,D894,$E$4:$E$893,E894,$B$4:$B$893,"AJUSTE+")-SUMIFS($F$4:$F$893,$C$4:$C$893,C894,$D$4:$D$893,D894,$E$4:$E$893,E894,$B$4:$B$893,"A CORTE")-SUMIFS($F$4:$F$893,$C$4:$C$893,C894,$D$4:$D$893,D894,$E$4:$E$893,E894,$B$4:$B$893,"A REPROCESO")-SUMIFS($F$4:$F$893,$C$4:$C$893,C894,$D$4:$D$893,D894,$E$4:$E$893,E894,$B$4:$B$893,"MUESTRA")-SUMIFS($F$4:$F$893,$C$4:$C$893,C894,$D$4:$D$893,D894,$E$4:$E$893,E894,$B$4:$B$893,"AJUSTE-")),0)</f>
        <v>0</v>
      </c>
      <c r="L894" s="13">
        <f t="shared" si="13"/>
        <v>0</v>
      </c>
      <c r="M894" s="8"/>
      <c r="N894" s="14"/>
      <c r="O894" s="14"/>
      <c r="P894" s="14"/>
      <c r="Q894" s="15"/>
      <c r="R894" s="16" t="str">
        <f t="shared" si="14"/>
        <v/>
      </c>
    </row>
    <row r="895" ht="15.75" customHeight="1">
      <c r="A895" s="7"/>
      <c r="B895" s="8"/>
      <c r="C895" s="8"/>
      <c r="D895" s="8"/>
      <c r="E895" s="8"/>
      <c r="F895" s="9"/>
      <c r="G895" s="10">
        <f>IFERROR(F895*VLOOKUP(D895,TELAS!$A$4:$C$32,3,FALSE()),0)</f>
        <v>0</v>
      </c>
      <c r="H895" s="11" t="str">
        <f>IFERROR(VLOOKUP(E895,COLORES!$A$4:$B$102,2,FALSE()),"")</f>
        <v/>
      </c>
      <c r="I895" s="12">
        <f>IFERROR(IF(H895="OSCURO",VLOOKUP(D895,PRECIOS!$A$4:$F$32,2,FALSE()),IF(H895="CLARO",VLOOKUP(D895,PRECIOS!$A$4:$F$32,3,FALSE()),IF(H895="MELANGE",VLOOKUP(D895,PRECIOS!$A$4:$F$32,4,FALSE()),IF(H895="PPT",VLOOKUP(D895,PRECIOS!$A$4:$F$32,5,FALSE()),0)))),0)</f>
        <v>0</v>
      </c>
      <c r="J895" s="12">
        <f t="shared" si="12"/>
        <v>0</v>
      </c>
      <c r="K895" s="13">
        <f>IFERROR(IF(C895="",0,SUMIFS($F$4:$F$894,$C$4:$C$894,C895,$D$4:$D$894,D895,$E$4:$E$894,E895,$B$4:$B$894,"INGRESO")+SUMIFS($F$4:$F$894,$C$4:$C$894,C895,$D$4:$D$894,D895,$E$4:$E$894,E895,$B$4:$B$894,"DE REPROCESO")+SUMIFS($F$4:$F$894,$C$4:$C$894,C895,$D$4:$D$894,D895,$E$4:$E$894,E895,$B$4:$B$894,"AJUSTE+")-SUMIFS($F$4:$F$894,$C$4:$C$894,C895,$D$4:$D$894,D895,$E$4:$E$894,E895,$B$4:$B$894,"A CORTE")-SUMIFS($F$4:$F$894,$C$4:$C$894,C895,$D$4:$D$894,D895,$E$4:$E$894,E895,$B$4:$B$894,"A REPROCESO")-SUMIFS($F$4:$F$894,$C$4:$C$894,C895,$D$4:$D$894,D895,$E$4:$E$894,E895,$B$4:$B$894,"MUESTRA")-SUMIFS($F$4:$F$894,$C$4:$C$894,C895,$D$4:$D$894,D895,$E$4:$E$894,E895,$B$4:$B$894,"AJUSTE-")),0)</f>
        <v>0</v>
      </c>
      <c r="L895" s="13">
        <f t="shared" si="13"/>
        <v>0</v>
      </c>
      <c r="M895" s="8"/>
      <c r="N895" s="14"/>
      <c r="O895" s="14"/>
      <c r="P895" s="14"/>
      <c r="Q895" s="15"/>
      <c r="R895" s="16" t="str">
        <f t="shared" si="14"/>
        <v/>
      </c>
    </row>
    <row r="896" ht="15.75" customHeight="1">
      <c r="A896" s="7"/>
      <c r="B896" s="8"/>
      <c r="C896" s="8"/>
      <c r="D896" s="8"/>
      <c r="E896" s="8"/>
      <c r="F896" s="9"/>
      <c r="G896" s="10">
        <f>IFERROR(F896*VLOOKUP(D896,TELAS!$A$4:$C$32,3,FALSE()),0)</f>
        <v>0</v>
      </c>
      <c r="H896" s="11" t="str">
        <f>IFERROR(VLOOKUP(E896,COLORES!$A$4:$B$102,2,FALSE()),"")</f>
        <v/>
      </c>
      <c r="I896" s="12">
        <f>IFERROR(IF(H896="OSCURO",VLOOKUP(D896,PRECIOS!$A$4:$F$32,2,FALSE()),IF(H896="CLARO",VLOOKUP(D896,PRECIOS!$A$4:$F$32,3,FALSE()),IF(H896="MELANGE",VLOOKUP(D896,PRECIOS!$A$4:$F$32,4,FALSE()),IF(H896="PPT",VLOOKUP(D896,PRECIOS!$A$4:$F$32,5,FALSE()),0)))),0)</f>
        <v>0</v>
      </c>
      <c r="J896" s="12">
        <f t="shared" si="12"/>
        <v>0</v>
      </c>
      <c r="K896" s="13">
        <f>IFERROR(IF(C896="",0,SUMIFS($F$4:$F$895,$C$4:$C$895,C896,$D$4:$D$895,D896,$E$4:$E$895,E896,$B$4:$B$895,"INGRESO")+SUMIFS($F$4:$F$895,$C$4:$C$895,C896,$D$4:$D$895,D896,$E$4:$E$895,E896,$B$4:$B$895,"DE REPROCESO")+SUMIFS($F$4:$F$895,$C$4:$C$895,C896,$D$4:$D$895,D896,$E$4:$E$895,E896,$B$4:$B$895,"AJUSTE+")-SUMIFS($F$4:$F$895,$C$4:$C$895,C896,$D$4:$D$895,D896,$E$4:$E$895,E896,$B$4:$B$895,"A CORTE")-SUMIFS($F$4:$F$895,$C$4:$C$895,C896,$D$4:$D$895,D896,$E$4:$E$895,E896,$B$4:$B$895,"A REPROCESO")-SUMIFS($F$4:$F$895,$C$4:$C$895,C896,$D$4:$D$895,D896,$E$4:$E$895,E896,$B$4:$B$895,"MUESTRA")-SUMIFS($F$4:$F$895,$C$4:$C$895,C896,$D$4:$D$895,D896,$E$4:$E$895,E896,$B$4:$B$895,"AJUSTE-")),0)</f>
        <v>0</v>
      </c>
      <c r="L896" s="13">
        <f t="shared" si="13"/>
        <v>0</v>
      </c>
      <c r="M896" s="8"/>
      <c r="N896" s="14"/>
      <c r="O896" s="14"/>
      <c r="P896" s="14"/>
      <c r="Q896" s="15"/>
      <c r="R896" s="16" t="str">
        <f t="shared" si="14"/>
        <v/>
      </c>
    </row>
    <row r="897" ht="15.75" customHeight="1">
      <c r="A897" s="7"/>
      <c r="B897" s="8"/>
      <c r="C897" s="8"/>
      <c r="D897" s="8"/>
      <c r="E897" s="8"/>
      <c r="F897" s="9"/>
      <c r="G897" s="10">
        <f>IFERROR(F897*VLOOKUP(D897,TELAS!$A$4:$C$32,3,FALSE()),0)</f>
        <v>0</v>
      </c>
      <c r="H897" s="11" t="str">
        <f>IFERROR(VLOOKUP(E897,COLORES!$A$4:$B$102,2,FALSE()),"")</f>
        <v/>
      </c>
      <c r="I897" s="12">
        <f>IFERROR(IF(H897="OSCURO",VLOOKUP(D897,PRECIOS!$A$4:$F$32,2,FALSE()),IF(H897="CLARO",VLOOKUP(D897,PRECIOS!$A$4:$F$32,3,FALSE()),IF(H897="MELANGE",VLOOKUP(D897,PRECIOS!$A$4:$F$32,4,FALSE()),IF(H897="PPT",VLOOKUP(D897,PRECIOS!$A$4:$F$32,5,FALSE()),0)))),0)</f>
        <v>0</v>
      </c>
      <c r="J897" s="12">
        <f t="shared" si="12"/>
        <v>0</v>
      </c>
      <c r="K897" s="13">
        <f>IFERROR(IF(C897="",0,SUMIFS($F$4:$F$896,$C$4:$C$896,C897,$D$4:$D$896,D897,$E$4:$E$896,E897,$B$4:$B$896,"INGRESO")+SUMIFS($F$4:$F$896,$C$4:$C$896,C897,$D$4:$D$896,D897,$E$4:$E$896,E897,$B$4:$B$896,"DE REPROCESO")+SUMIFS($F$4:$F$896,$C$4:$C$896,C897,$D$4:$D$896,D897,$E$4:$E$896,E897,$B$4:$B$896,"AJUSTE+")-SUMIFS($F$4:$F$896,$C$4:$C$896,C897,$D$4:$D$896,D897,$E$4:$E$896,E897,$B$4:$B$896,"A CORTE")-SUMIFS($F$4:$F$896,$C$4:$C$896,C897,$D$4:$D$896,D897,$E$4:$E$896,E897,$B$4:$B$896,"A REPROCESO")-SUMIFS($F$4:$F$896,$C$4:$C$896,C897,$D$4:$D$896,D897,$E$4:$E$896,E897,$B$4:$B$896,"MUESTRA")-SUMIFS($F$4:$F$896,$C$4:$C$896,C897,$D$4:$D$896,D897,$E$4:$E$896,E897,$B$4:$B$896,"AJUSTE-")),0)</f>
        <v>0</v>
      </c>
      <c r="L897" s="13">
        <f t="shared" si="13"/>
        <v>0</v>
      </c>
      <c r="M897" s="8"/>
      <c r="N897" s="14"/>
      <c r="O897" s="14"/>
      <c r="P897" s="14"/>
      <c r="Q897" s="15"/>
      <c r="R897" s="16" t="str">
        <f t="shared" si="14"/>
        <v/>
      </c>
    </row>
    <row r="898" ht="15.75" customHeight="1">
      <c r="A898" s="7"/>
      <c r="B898" s="8"/>
      <c r="C898" s="8"/>
      <c r="D898" s="8"/>
      <c r="E898" s="8"/>
      <c r="F898" s="9"/>
      <c r="G898" s="10">
        <f>IFERROR(F898*VLOOKUP(D898,TELAS!$A$4:$C$32,3,FALSE()),0)</f>
        <v>0</v>
      </c>
      <c r="H898" s="11" t="str">
        <f>IFERROR(VLOOKUP(E898,COLORES!$A$4:$B$102,2,FALSE()),"")</f>
        <v/>
      </c>
      <c r="I898" s="12">
        <f>IFERROR(IF(H898="OSCURO",VLOOKUP(D898,PRECIOS!$A$4:$F$32,2,FALSE()),IF(H898="CLARO",VLOOKUP(D898,PRECIOS!$A$4:$F$32,3,FALSE()),IF(H898="MELANGE",VLOOKUP(D898,PRECIOS!$A$4:$F$32,4,FALSE()),IF(H898="PPT",VLOOKUP(D898,PRECIOS!$A$4:$F$32,5,FALSE()),0)))),0)</f>
        <v>0</v>
      </c>
      <c r="J898" s="12">
        <f t="shared" si="12"/>
        <v>0</v>
      </c>
      <c r="K898" s="13">
        <f>IFERROR(IF(C898="",0,SUMIFS($F$4:$F$897,$C$4:$C$897,C898,$D$4:$D$897,D898,$E$4:$E$897,E898,$B$4:$B$897,"INGRESO")+SUMIFS($F$4:$F$897,$C$4:$C$897,C898,$D$4:$D$897,D898,$E$4:$E$897,E898,$B$4:$B$897,"DE REPROCESO")+SUMIFS($F$4:$F$897,$C$4:$C$897,C898,$D$4:$D$897,D898,$E$4:$E$897,E898,$B$4:$B$897,"AJUSTE+")-SUMIFS($F$4:$F$897,$C$4:$C$897,C898,$D$4:$D$897,D898,$E$4:$E$897,E898,$B$4:$B$897,"A CORTE")-SUMIFS($F$4:$F$897,$C$4:$C$897,C898,$D$4:$D$897,D898,$E$4:$E$897,E898,$B$4:$B$897,"A REPROCESO")-SUMIFS($F$4:$F$897,$C$4:$C$897,C898,$D$4:$D$897,D898,$E$4:$E$897,E898,$B$4:$B$897,"MUESTRA")-SUMIFS($F$4:$F$897,$C$4:$C$897,C898,$D$4:$D$897,D898,$E$4:$E$897,E898,$B$4:$B$897,"AJUSTE-")),0)</f>
        <v>0</v>
      </c>
      <c r="L898" s="13">
        <f t="shared" si="13"/>
        <v>0</v>
      </c>
      <c r="M898" s="8"/>
      <c r="N898" s="14"/>
      <c r="O898" s="14"/>
      <c r="P898" s="14"/>
      <c r="Q898" s="15"/>
      <c r="R898" s="16" t="str">
        <f t="shared" si="14"/>
        <v/>
      </c>
    </row>
    <row r="899" ht="15.75" customHeight="1">
      <c r="A899" s="7"/>
      <c r="B899" s="8"/>
      <c r="C899" s="8"/>
      <c r="D899" s="8"/>
      <c r="E899" s="8"/>
      <c r="F899" s="9"/>
      <c r="G899" s="10">
        <f>IFERROR(F899*VLOOKUP(D899,TELAS!$A$4:$C$32,3,FALSE()),0)</f>
        <v>0</v>
      </c>
      <c r="H899" s="11" t="str">
        <f>IFERROR(VLOOKUP(E899,COLORES!$A$4:$B$102,2,FALSE()),"")</f>
        <v/>
      </c>
      <c r="I899" s="12">
        <f>IFERROR(IF(H899="OSCURO",VLOOKUP(D899,PRECIOS!$A$4:$F$32,2,FALSE()),IF(H899="CLARO",VLOOKUP(D899,PRECIOS!$A$4:$F$32,3,FALSE()),IF(H899="MELANGE",VLOOKUP(D899,PRECIOS!$A$4:$F$32,4,FALSE()),IF(H899="PPT",VLOOKUP(D899,PRECIOS!$A$4:$F$32,5,FALSE()),0)))),0)</f>
        <v>0</v>
      </c>
      <c r="J899" s="12">
        <f t="shared" si="12"/>
        <v>0</v>
      </c>
      <c r="K899" s="13">
        <f>IFERROR(IF(C899="",0,SUMIFS($F$4:$F$898,$C$4:$C$898,C899,$D$4:$D$898,D899,$E$4:$E$898,E899,$B$4:$B$898,"INGRESO")+SUMIFS($F$4:$F$898,$C$4:$C$898,C899,$D$4:$D$898,D899,$E$4:$E$898,E899,$B$4:$B$898,"DE REPROCESO")+SUMIFS($F$4:$F$898,$C$4:$C$898,C899,$D$4:$D$898,D899,$E$4:$E$898,E899,$B$4:$B$898,"AJUSTE+")-SUMIFS($F$4:$F$898,$C$4:$C$898,C899,$D$4:$D$898,D899,$E$4:$E$898,E899,$B$4:$B$898,"A CORTE")-SUMIFS($F$4:$F$898,$C$4:$C$898,C899,$D$4:$D$898,D899,$E$4:$E$898,E899,$B$4:$B$898,"A REPROCESO")-SUMIFS($F$4:$F$898,$C$4:$C$898,C899,$D$4:$D$898,D899,$E$4:$E$898,E899,$B$4:$B$898,"MUESTRA")-SUMIFS($F$4:$F$898,$C$4:$C$898,C899,$D$4:$D$898,D899,$E$4:$E$898,E899,$B$4:$B$898,"AJUSTE-")),0)</f>
        <v>0</v>
      </c>
      <c r="L899" s="13">
        <f t="shared" si="13"/>
        <v>0</v>
      </c>
      <c r="M899" s="8"/>
      <c r="N899" s="14"/>
      <c r="O899" s="14"/>
      <c r="P899" s="14"/>
      <c r="Q899" s="15"/>
      <c r="R899" s="16" t="str">
        <f t="shared" si="14"/>
        <v/>
      </c>
    </row>
    <row r="900" ht="15.75" customHeight="1">
      <c r="A900" s="7"/>
      <c r="B900" s="8"/>
      <c r="C900" s="8"/>
      <c r="D900" s="8"/>
      <c r="E900" s="8"/>
      <c r="F900" s="9"/>
      <c r="G900" s="10">
        <f>IFERROR(F900*VLOOKUP(D900,TELAS!$A$4:$C$32,3,FALSE()),0)</f>
        <v>0</v>
      </c>
      <c r="H900" s="11" t="str">
        <f>IFERROR(VLOOKUP(E900,COLORES!$A$4:$B$102,2,FALSE()),"")</f>
        <v/>
      </c>
      <c r="I900" s="12">
        <f>IFERROR(IF(H900="OSCURO",VLOOKUP(D900,PRECIOS!$A$4:$F$32,2,FALSE()),IF(H900="CLARO",VLOOKUP(D900,PRECIOS!$A$4:$F$32,3,FALSE()),IF(H900="MELANGE",VLOOKUP(D900,PRECIOS!$A$4:$F$32,4,FALSE()),IF(H900="PPT",VLOOKUP(D900,PRECIOS!$A$4:$F$32,5,FALSE()),0)))),0)</f>
        <v>0</v>
      </c>
      <c r="J900" s="12">
        <f t="shared" si="12"/>
        <v>0</v>
      </c>
      <c r="K900" s="13">
        <f>IFERROR(IF(C900="",0,SUMIFS($F$4:$F$899,$C$4:$C$899,C900,$D$4:$D$899,D900,$E$4:$E$899,E900,$B$4:$B$899,"INGRESO")+SUMIFS($F$4:$F$899,$C$4:$C$899,C900,$D$4:$D$899,D900,$E$4:$E$899,E900,$B$4:$B$899,"DE REPROCESO")+SUMIFS($F$4:$F$899,$C$4:$C$899,C900,$D$4:$D$899,D900,$E$4:$E$899,E900,$B$4:$B$899,"AJUSTE+")-SUMIFS($F$4:$F$899,$C$4:$C$899,C900,$D$4:$D$899,D900,$E$4:$E$899,E900,$B$4:$B$899,"A CORTE")-SUMIFS($F$4:$F$899,$C$4:$C$899,C900,$D$4:$D$899,D900,$E$4:$E$899,E900,$B$4:$B$899,"A REPROCESO")-SUMIFS($F$4:$F$899,$C$4:$C$899,C900,$D$4:$D$899,D900,$E$4:$E$899,E900,$B$4:$B$899,"MUESTRA")-SUMIFS($F$4:$F$899,$C$4:$C$899,C900,$D$4:$D$899,D900,$E$4:$E$899,E900,$B$4:$B$899,"AJUSTE-")),0)</f>
        <v>0</v>
      </c>
      <c r="L900" s="13">
        <f t="shared" si="13"/>
        <v>0</v>
      </c>
      <c r="M900" s="8"/>
      <c r="N900" s="14"/>
      <c r="O900" s="14"/>
      <c r="P900" s="14"/>
      <c r="Q900" s="15"/>
      <c r="R900" s="16" t="str">
        <f t="shared" si="14"/>
        <v/>
      </c>
    </row>
    <row r="901" ht="15.75" customHeight="1">
      <c r="A901" s="7"/>
      <c r="B901" s="8"/>
      <c r="C901" s="8"/>
      <c r="D901" s="8"/>
      <c r="E901" s="8"/>
      <c r="F901" s="9"/>
      <c r="G901" s="10">
        <f>IFERROR(F901*VLOOKUP(D901,TELAS!$A$4:$C$32,3,FALSE()),0)</f>
        <v>0</v>
      </c>
      <c r="H901" s="11" t="str">
        <f>IFERROR(VLOOKUP(E901,COLORES!$A$4:$B$102,2,FALSE()),"")</f>
        <v/>
      </c>
      <c r="I901" s="12">
        <f>IFERROR(IF(H901="OSCURO",VLOOKUP(D901,PRECIOS!$A$4:$F$32,2,FALSE()),IF(H901="CLARO",VLOOKUP(D901,PRECIOS!$A$4:$F$32,3,FALSE()),IF(H901="MELANGE",VLOOKUP(D901,PRECIOS!$A$4:$F$32,4,FALSE()),IF(H901="PPT",VLOOKUP(D901,PRECIOS!$A$4:$F$32,5,FALSE()),0)))),0)</f>
        <v>0</v>
      </c>
      <c r="J901" s="12">
        <f t="shared" si="12"/>
        <v>0</v>
      </c>
      <c r="K901" s="13">
        <f>IFERROR(IF(C901="",0,SUMIFS($F$4:$F$900,$C$4:$C$900,C901,$D$4:$D$900,D901,$E$4:$E$900,E901,$B$4:$B$900,"INGRESO")+SUMIFS($F$4:$F$900,$C$4:$C$900,C901,$D$4:$D$900,D901,$E$4:$E$900,E901,$B$4:$B$900,"DE REPROCESO")+SUMIFS($F$4:$F$900,$C$4:$C$900,C901,$D$4:$D$900,D901,$E$4:$E$900,E901,$B$4:$B$900,"AJUSTE+")-SUMIFS($F$4:$F$900,$C$4:$C$900,C901,$D$4:$D$900,D901,$E$4:$E$900,E901,$B$4:$B$900,"A CORTE")-SUMIFS($F$4:$F$900,$C$4:$C$900,C901,$D$4:$D$900,D901,$E$4:$E$900,E901,$B$4:$B$900,"A REPROCESO")-SUMIFS($F$4:$F$900,$C$4:$C$900,C901,$D$4:$D$900,D901,$E$4:$E$900,E901,$B$4:$B$900,"MUESTRA")-SUMIFS($F$4:$F$900,$C$4:$C$900,C901,$D$4:$D$900,D901,$E$4:$E$900,E901,$B$4:$B$900,"AJUSTE-")),0)</f>
        <v>0</v>
      </c>
      <c r="L901" s="13">
        <f t="shared" si="13"/>
        <v>0</v>
      </c>
      <c r="M901" s="8"/>
      <c r="N901" s="14"/>
      <c r="O901" s="14"/>
      <c r="P901" s="14"/>
      <c r="Q901" s="15"/>
      <c r="R901" s="16" t="str">
        <f t="shared" si="14"/>
        <v/>
      </c>
    </row>
    <row r="902" ht="15.75" customHeight="1">
      <c r="A902" s="7"/>
      <c r="B902" s="8"/>
      <c r="C902" s="8"/>
      <c r="D902" s="8"/>
      <c r="E902" s="8"/>
      <c r="F902" s="9"/>
      <c r="G902" s="10">
        <f>IFERROR(F902*VLOOKUP(D902,TELAS!$A$4:$C$32,3,FALSE()),0)</f>
        <v>0</v>
      </c>
      <c r="H902" s="11" t="str">
        <f>IFERROR(VLOOKUP(E902,COLORES!$A$4:$B$102,2,FALSE()),"")</f>
        <v/>
      </c>
      <c r="I902" s="12">
        <f>IFERROR(IF(H902="OSCURO",VLOOKUP(D902,PRECIOS!$A$4:$F$32,2,FALSE()),IF(H902="CLARO",VLOOKUP(D902,PRECIOS!$A$4:$F$32,3,FALSE()),IF(H902="MELANGE",VLOOKUP(D902,PRECIOS!$A$4:$F$32,4,FALSE()),IF(H902="PPT",VLOOKUP(D902,PRECIOS!$A$4:$F$32,5,FALSE()),0)))),0)</f>
        <v>0</v>
      </c>
      <c r="J902" s="12">
        <f t="shared" si="12"/>
        <v>0</v>
      </c>
      <c r="K902" s="13">
        <f>IFERROR(IF(C902="",0,SUMIFS($F$4:$F$901,$C$4:$C$901,C902,$D$4:$D$901,D902,$E$4:$E$901,E902,$B$4:$B$901,"INGRESO")+SUMIFS($F$4:$F$901,$C$4:$C$901,C902,$D$4:$D$901,D902,$E$4:$E$901,E902,$B$4:$B$901,"DE REPROCESO")+SUMIFS($F$4:$F$901,$C$4:$C$901,C902,$D$4:$D$901,D902,$E$4:$E$901,E902,$B$4:$B$901,"AJUSTE+")-SUMIFS($F$4:$F$901,$C$4:$C$901,C902,$D$4:$D$901,D902,$E$4:$E$901,E902,$B$4:$B$901,"A CORTE")-SUMIFS($F$4:$F$901,$C$4:$C$901,C902,$D$4:$D$901,D902,$E$4:$E$901,E902,$B$4:$B$901,"A REPROCESO")-SUMIFS($F$4:$F$901,$C$4:$C$901,C902,$D$4:$D$901,D902,$E$4:$E$901,E902,$B$4:$B$901,"MUESTRA")-SUMIFS($F$4:$F$901,$C$4:$C$901,C902,$D$4:$D$901,D902,$E$4:$E$901,E902,$B$4:$B$901,"AJUSTE-")),0)</f>
        <v>0</v>
      </c>
      <c r="L902" s="13">
        <f t="shared" si="13"/>
        <v>0</v>
      </c>
      <c r="M902" s="8"/>
      <c r="N902" s="14"/>
      <c r="O902" s="14"/>
      <c r="P902" s="14"/>
      <c r="Q902" s="15"/>
      <c r="R902" s="16" t="str">
        <f t="shared" si="14"/>
        <v/>
      </c>
    </row>
    <row r="903" ht="15.75" customHeight="1">
      <c r="A903" s="7"/>
      <c r="B903" s="8"/>
      <c r="C903" s="8"/>
      <c r="D903" s="8"/>
      <c r="E903" s="8"/>
      <c r="F903" s="9"/>
      <c r="G903" s="10">
        <f>IFERROR(F903*VLOOKUP(D903,TELAS!$A$4:$C$32,3,FALSE()),0)</f>
        <v>0</v>
      </c>
      <c r="H903" s="11" t="str">
        <f>IFERROR(VLOOKUP(E903,COLORES!$A$4:$B$102,2,FALSE()),"")</f>
        <v/>
      </c>
      <c r="I903" s="12">
        <f>IFERROR(IF(H903="OSCURO",VLOOKUP(D903,PRECIOS!$A$4:$F$32,2,FALSE()),IF(H903="CLARO",VLOOKUP(D903,PRECIOS!$A$4:$F$32,3,FALSE()),IF(H903="MELANGE",VLOOKUP(D903,PRECIOS!$A$4:$F$32,4,FALSE()),IF(H903="PPT",VLOOKUP(D903,PRECIOS!$A$4:$F$32,5,FALSE()),0)))),0)</f>
        <v>0</v>
      </c>
      <c r="J903" s="12">
        <f t="shared" si="12"/>
        <v>0</v>
      </c>
      <c r="K903" s="13">
        <f>IFERROR(IF(C903="",0,SUMIFS($F$4:$F$902,$C$4:$C$902,C903,$D$4:$D$902,D903,$E$4:$E$902,E903,$B$4:$B$902,"INGRESO")+SUMIFS($F$4:$F$902,$C$4:$C$902,C903,$D$4:$D$902,D903,$E$4:$E$902,E903,$B$4:$B$902,"DE REPROCESO")+SUMIFS($F$4:$F$902,$C$4:$C$902,C903,$D$4:$D$902,D903,$E$4:$E$902,E903,$B$4:$B$902,"AJUSTE+")-SUMIFS($F$4:$F$902,$C$4:$C$902,C903,$D$4:$D$902,D903,$E$4:$E$902,E903,$B$4:$B$902,"A CORTE")-SUMIFS($F$4:$F$902,$C$4:$C$902,C903,$D$4:$D$902,D903,$E$4:$E$902,E903,$B$4:$B$902,"A REPROCESO")-SUMIFS($F$4:$F$902,$C$4:$C$902,C903,$D$4:$D$902,D903,$E$4:$E$902,E903,$B$4:$B$902,"MUESTRA")-SUMIFS($F$4:$F$902,$C$4:$C$902,C903,$D$4:$D$902,D903,$E$4:$E$902,E903,$B$4:$B$902,"AJUSTE-")),0)</f>
        <v>0</v>
      </c>
      <c r="L903" s="13">
        <f t="shared" si="13"/>
        <v>0</v>
      </c>
      <c r="M903" s="8"/>
      <c r="N903" s="14"/>
      <c r="O903" s="14"/>
      <c r="P903" s="14"/>
      <c r="Q903" s="15"/>
      <c r="R903" s="16" t="str">
        <f t="shared" si="14"/>
        <v/>
      </c>
    </row>
    <row r="904" ht="15.75" customHeight="1">
      <c r="A904" s="7"/>
      <c r="B904" s="8"/>
      <c r="C904" s="8"/>
      <c r="D904" s="8"/>
      <c r="E904" s="8"/>
      <c r="F904" s="9"/>
      <c r="G904" s="10">
        <f>IFERROR(F904*VLOOKUP(D904,TELAS!$A$4:$C$32,3,FALSE()),0)</f>
        <v>0</v>
      </c>
      <c r="H904" s="11" t="str">
        <f>IFERROR(VLOOKUP(E904,COLORES!$A$4:$B$102,2,FALSE()),"")</f>
        <v/>
      </c>
      <c r="I904" s="12">
        <f>IFERROR(IF(H904="OSCURO",VLOOKUP(D904,PRECIOS!$A$4:$F$32,2,FALSE()),IF(H904="CLARO",VLOOKUP(D904,PRECIOS!$A$4:$F$32,3,FALSE()),IF(H904="MELANGE",VLOOKUP(D904,PRECIOS!$A$4:$F$32,4,FALSE()),IF(H904="PPT",VLOOKUP(D904,PRECIOS!$A$4:$F$32,5,FALSE()),0)))),0)</f>
        <v>0</v>
      </c>
      <c r="J904" s="12">
        <f t="shared" si="12"/>
        <v>0</v>
      </c>
      <c r="K904" s="13">
        <f>IFERROR(IF(C904="",0,SUMIFS($F$4:$F$903,$C$4:$C$903,C904,$D$4:$D$903,D904,$E$4:$E$903,E904,$B$4:$B$903,"INGRESO")+SUMIFS($F$4:$F$903,$C$4:$C$903,C904,$D$4:$D$903,D904,$E$4:$E$903,E904,$B$4:$B$903,"DE REPROCESO")+SUMIFS($F$4:$F$903,$C$4:$C$903,C904,$D$4:$D$903,D904,$E$4:$E$903,E904,$B$4:$B$903,"AJUSTE+")-SUMIFS($F$4:$F$903,$C$4:$C$903,C904,$D$4:$D$903,D904,$E$4:$E$903,E904,$B$4:$B$903,"A CORTE")-SUMIFS($F$4:$F$903,$C$4:$C$903,C904,$D$4:$D$903,D904,$E$4:$E$903,E904,$B$4:$B$903,"A REPROCESO")-SUMIFS($F$4:$F$903,$C$4:$C$903,C904,$D$4:$D$903,D904,$E$4:$E$903,E904,$B$4:$B$903,"MUESTRA")-SUMIFS($F$4:$F$903,$C$4:$C$903,C904,$D$4:$D$903,D904,$E$4:$E$903,E904,$B$4:$B$903,"AJUSTE-")),0)</f>
        <v>0</v>
      </c>
      <c r="L904" s="13">
        <f t="shared" si="13"/>
        <v>0</v>
      </c>
      <c r="M904" s="8"/>
      <c r="N904" s="14"/>
      <c r="O904" s="14"/>
      <c r="P904" s="14"/>
      <c r="Q904" s="15"/>
      <c r="R904" s="16" t="str">
        <f t="shared" si="14"/>
        <v/>
      </c>
    </row>
    <row r="905" ht="15.75" customHeight="1">
      <c r="A905" s="7"/>
      <c r="B905" s="8"/>
      <c r="C905" s="8"/>
      <c r="D905" s="8"/>
      <c r="E905" s="8"/>
      <c r="F905" s="9"/>
      <c r="G905" s="10">
        <f>IFERROR(F905*VLOOKUP(D905,TELAS!$A$4:$C$32,3,FALSE()),0)</f>
        <v>0</v>
      </c>
      <c r="H905" s="11" t="str">
        <f>IFERROR(VLOOKUP(E905,COLORES!$A$4:$B$102,2,FALSE()),"")</f>
        <v/>
      </c>
      <c r="I905" s="12">
        <f>IFERROR(IF(H905="OSCURO",VLOOKUP(D905,PRECIOS!$A$4:$F$32,2,FALSE()),IF(H905="CLARO",VLOOKUP(D905,PRECIOS!$A$4:$F$32,3,FALSE()),IF(H905="MELANGE",VLOOKUP(D905,PRECIOS!$A$4:$F$32,4,FALSE()),IF(H905="PPT",VLOOKUP(D905,PRECIOS!$A$4:$F$32,5,FALSE()),0)))),0)</f>
        <v>0</v>
      </c>
      <c r="J905" s="12">
        <f t="shared" si="12"/>
        <v>0</v>
      </c>
      <c r="K905" s="13">
        <f>IFERROR(IF(C905="",0,SUMIFS($F$4:$F$904,$C$4:$C$904,C905,$D$4:$D$904,D905,$E$4:$E$904,E905,$B$4:$B$904,"INGRESO")+SUMIFS($F$4:$F$904,$C$4:$C$904,C905,$D$4:$D$904,D905,$E$4:$E$904,E905,$B$4:$B$904,"DE REPROCESO")+SUMIFS($F$4:$F$904,$C$4:$C$904,C905,$D$4:$D$904,D905,$E$4:$E$904,E905,$B$4:$B$904,"AJUSTE+")-SUMIFS($F$4:$F$904,$C$4:$C$904,C905,$D$4:$D$904,D905,$E$4:$E$904,E905,$B$4:$B$904,"A CORTE")-SUMIFS($F$4:$F$904,$C$4:$C$904,C905,$D$4:$D$904,D905,$E$4:$E$904,E905,$B$4:$B$904,"A REPROCESO")-SUMIFS($F$4:$F$904,$C$4:$C$904,C905,$D$4:$D$904,D905,$E$4:$E$904,E905,$B$4:$B$904,"MUESTRA")-SUMIFS($F$4:$F$904,$C$4:$C$904,C905,$D$4:$D$904,D905,$E$4:$E$904,E905,$B$4:$B$904,"AJUSTE-")),0)</f>
        <v>0</v>
      </c>
      <c r="L905" s="13">
        <f t="shared" si="13"/>
        <v>0</v>
      </c>
      <c r="M905" s="8"/>
      <c r="N905" s="14"/>
      <c r="O905" s="14"/>
      <c r="P905" s="14"/>
      <c r="Q905" s="15"/>
      <c r="R905" s="16" t="str">
        <f t="shared" si="14"/>
        <v/>
      </c>
    </row>
    <row r="906" ht="15.75" customHeight="1">
      <c r="A906" s="7"/>
      <c r="B906" s="8"/>
      <c r="C906" s="8"/>
      <c r="D906" s="8"/>
      <c r="E906" s="8"/>
      <c r="F906" s="9"/>
      <c r="G906" s="10">
        <f>IFERROR(F906*VLOOKUP(D906,TELAS!$A$4:$C$32,3,FALSE()),0)</f>
        <v>0</v>
      </c>
      <c r="H906" s="11" t="str">
        <f>IFERROR(VLOOKUP(E906,COLORES!$A$4:$B$102,2,FALSE()),"")</f>
        <v/>
      </c>
      <c r="I906" s="12">
        <f>IFERROR(IF(H906="OSCURO",VLOOKUP(D906,PRECIOS!$A$4:$F$32,2,FALSE()),IF(H906="CLARO",VLOOKUP(D906,PRECIOS!$A$4:$F$32,3,FALSE()),IF(H906="MELANGE",VLOOKUP(D906,PRECIOS!$A$4:$F$32,4,FALSE()),IF(H906="PPT",VLOOKUP(D906,PRECIOS!$A$4:$F$32,5,FALSE()),0)))),0)</f>
        <v>0</v>
      </c>
      <c r="J906" s="12">
        <f t="shared" si="12"/>
        <v>0</v>
      </c>
      <c r="K906" s="13">
        <f>IFERROR(IF(C906="",0,SUMIFS($F$4:$F$905,$C$4:$C$905,C906,$D$4:$D$905,D906,$E$4:$E$905,E906,$B$4:$B$905,"INGRESO")+SUMIFS($F$4:$F$905,$C$4:$C$905,C906,$D$4:$D$905,D906,$E$4:$E$905,E906,$B$4:$B$905,"DE REPROCESO")+SUMIFS($F$4:$F$905,$C$4:$C$905,C906,$D$4:$D$905,D906,$E$4:$E$905,E906,$B$4:$B$905,"AJUSTE+")-SUMIFS($F$4:$F$905,$C$4:$C$905,C906,$D$4:$D$905,D906,$E$4:$E$905,E906,$B$4:$B$905,"A CORTE")-SUMIFS($F$4:$F$905,$C$4:$C$905,C906,$D$4:$D$905,D906,$E$4:$E$905,E906,$B$4:$B$905,"A REPROCESO")-SUMIFS($F$4:$F$905,$C$4:$C$905,C906,$D$4:$D$905,D906,$E$4:$E$905,E906,$B$4:$B$905,"MUESTRA")-SUMIFS($F$4:$F$905,$C$4:$C$905,C906,$D$4:$D$905,D906,$E$4:$E$905,E906,$B$4:$B$905,"AJUSTE-")),0)</f>
        <v>0</v>
      </c>
      <c r="L906" s="13">
        <f t="shared" si="13"/>
        <v>0</v>
      </c>
      <c r="M906" s="8"/>
      <c r="N906" s="14"/>
      <c r="O906" s="14"/>
      <c r="P906" s="14"/>
      <c r="Q906" s="15"/>
      <c r="R906" s="16" t="str">
        <f t="shared" si="14"/>
        <v/>
      </c>
    </row>
    <row r="907" ht="15.75" customHeight="1">
      <c r="A907" s="7"/>
      <c r="B907" s="8"/>
      <c r="C907" s="8"/>
      <c r="D907" s="8"/>
      <c r="E907" s="8"/>
      <c r="F907" s="9"/>
      <c r="G907" s="10">
        <f>IFERROR(F907*VLOOKUP(D907,TELAS!$A$4:$C$32,3,FALSE()),0)</f>
        <v>0</v>
      </c>
      <c r="H907" s="11" t="str">
        <f>IFERROR(VLOOKUP(E907,COLORES!$A$4:$B$102,2,FALSE()),"")</f>
        <v/>
      </c>
      <c r="I907" s="12">
        <f>IFERROR(IF(H907="OSCURO",VLOOKUP(D907,PRECIOS!$A$4:$F$32,2,FALSE()),IF(H907="CLARO",VLOOKUP(D907,PRECIOS!$A$4:$F$32,3,FALSE()),IF(H907="MELANGE",VLOOKUP(D907,PRECIOS!$A$4:$F$32,4,FALSE()),IF(H907="PPT",VLOOKUP(D907,PRECIOS!$A$4:$F$32,5,FALSE()),0)))),0)</f>
        <v>0</v>
      </c>
      <c r="J907" s="12">
        <f t="shared" si="12"/>
        <v>0</v>
      </c>
      <c r="K907" s="13">
        <f>IFERROR(IF(C907="",0,SUMIFS($F$4:$F$906,$C$4:$C$906,C907,$D$4:$D$906,D907,$E$4:$E$906,E907,$B$4:$B$906,"INGRESO")+SUMIFS($F$4:$F$906,$C$4:$C$906,C907,$D$4:$D$906,D907,$E$4:$E$906,E907,$B$4:$B$906,"DE REPROCESO")+SUMIFS($F$4:$F$906,$C$4:$C$906,C907,$D$4:$D$906,D907,$E$4:$E$906,E907,$B$4:$B$906,"AJUSTE+")-SUMIFS($F$4:$F$906,$C$4:$C$906,C907,$D$4:$D$906,D907,$E$4:$E$906,E907,$B$4:$B$906,"A CORTE")-SUMIFS($F$4:$F$906,$C$4:$C$906,C907,$D$4:$D$906,D907,$E$4:$E$906,E907,$B$4:$B$906,"A REPROCESO")-SUMIFS($F$4:$F$906,$C$4:$C$906,C907,$D$4:$D$906,D907,$E$4:$E$906,E907,$B$4:$B$906,"MUESTRA")-SUMIFS($F$4:$F$906,$C$4:$C$906,C907,$D$4:$D$906,D907,$E$4:$E$906,E907,$B$4:$B$906,"AJUSTE-")),0)</f>
        <v>0</v>
      </c>
      <c r="L907" s="13">
        <f t="shared" si="13"/>
        <v>0</v>
      </c>
      <c r="M907" s="8"/>
      <c r="N907" s="14"/>
      <c r="O907" s="14"/>
      <c r="P907" s="14"/>
      <c r="Q907" s="15"/>
      <c r="R907" s="16" t="str">
        <f t="shared" si="14"/>
        <v/>
      </c>
    </row>
    <row r="908" ht="15.75" customHeight="1">
      <c r="A908" s="7"/>
      <c r="B908" s="8"/>
      <c r="C908" s="8"/>
      <c r="D908" s="8"/>
      <c r="E908" s="8"/>
      <c r="F908" s="9"/>
      <c r="G908" s="10">
        <f>IFERROR(F908*VLOOKUP(D908,TELAS!$A$4:$C$32,3,FALSE()),0)</f>
        <v>0</v>
      </c>
      <c r="H908" s="11" t="str">
        <f>IFERROR(VLOOKUP(E908,COLORES!$A$4:$B$102,2,FALSE()),"")</f>
        <v/>
      </c>
      <c r="I908" s="12">
        <f>IFERROR(IF(H908="OSCURO",VLOOKUP(D908,PRECIOS!$A$4:$F$32,2,FALSE()),IF(H908="CLARO",VLOOKUP(D908,PRECIOS!$A$4:$F$32,3,FALSE()),IF(H908="MELANGE",VLOOKUP(D908,PRECIOS!$A$4:$F$32,4,FALSE()),IF(H908="PPT",VLOOKUP(D908,PRECIOS!$A$4:$F$32,5,FALSE()),0)))),0)</f>
        <v>0</v>
      </c>
      <c r="J908" s="12">
        <f t="shared" si="12"/>
        <v>0</v>
      </c>
      <c r="K908" s="13">
        <f>IFERROR(IF(C908="",0,SUMIFS($F$4:$F$907,$C$4:$C$907,C908,$D$4:$D$907,D908,$E$4:$E$907,E908,$B$4:$B$907,"INGRESO")+SUMIFS($F$4:$F$907,$C$4:$C$907,C908,$D$4:$D$907,D908,$E$4:$E$907,E908,$B$4:$B$907,"DE REPROCESO")+SUMIFS($F$4:$F$907,$C$4:$C$907,C908,$D$4:$D$907,D908,$E$4:$E$907,E908,$B$4:$B$907,"AJUSTE+")-SUMIFS($F$4:$F$907,$C$4:$C$907,C908,$D$4:$D$907,D908,$E$4:$E$907,E908,$B$4:$B$907,"A CORTE")-SUMIFS($F$4:$F$907,$C$4:$C$907,C908,$D$4:$D$907,D908,$E$4:$E$907,E908,$B$4:$B$907,"A REPROCESO")-SUMIFS($F$4:$F$907,$C$4:$C$907,C908,$D$4:$D$907,D908,$E$4:$E$907,E908,$B$4:$B$907,"MUESTRA")-SUMIFS($F$4:$F$907,$C$4:$C$907,C908,$D$4:$D$907,D908,$E$4:$E$907,E908,$B$4:$B$907,"AJUSTE-")),0)</f>
        <v>0</v>
      </c>
      <c r="L908" s="13">
        <f t="shared" si="13"/>
        <v>0</v>
      </c>
      <c r="M908" s="8"/>
      <c r="N908" s="14"/>
      <c r="O908" s="14"/>
      <c r="P908" s="14"/>
      <c r="Q908" s="15"/>
      <c r="R908" s="16" t="str">
        <f t="shared" si="14"/>
        <v/>
      </c>
    </row>
    <row r="909" ht="15.75" customHeight="1">
      <c r="A909" s="7"/>
      <c r="B909" s="8"/>
      <c r="C909" s="8"/>
      <c r="D909" s="8"/>
      <c r="E909" s="8"/>
      <c r="F909" s="9"/>
      <c r="G909" s="10">
        <f>IFERROR(F909*VLOOKUP(D909,TELAS!$A$4:$C$32,3,FALSE()),0)</f>
        <v>0</v>
      </c>
      <c r="H909" s="11" t="str">
        <f>IFERROR(VLOOKUP(E909,COLORES!$A$4:$B$102,2,FALSE()),"")</f>
        <v/>
      </c>
      <c r="I909" s="12">
        <f>IFERROR(IF(H909="OSCURO",VLOOKUP(D909,PRECIOS!$A$4:$F$32,2,FALSE()),IF(H909="CLARO",VLOOKUP(D909,PRECIOS!$A$4:$F$32,3,FALSE()),IF(H909="MELANGE",VLOOKUP(D909,PRECIOS!$A$4:$F$32,4,FALSE()),IF(H909="PPT",VLOOKUP(D909,PRECIOS!$A$4:$F$32,5,FALSE()),0)))),0)</f>
        <v>0</v>
      </c>
      <c r="J909" s="12">
        <f t="shared" si="12"/>
        <v>0</v>
      </c>
      <c r="K909" s="13">
        <f>IFERROR(IF(C909="",0,SUMIFS($F$4:$F$908,$C$4:$C$908,C909,$D$4:$D$908,D909,$E$4:$E$908,E909,$B$4:$B$908,"INGRESO")+SUMIFS($F$4:$F$908,$C$4:$C$908,C909,$D$4:$D$908,D909,$E$4:$E$908,E909,$B$4:$B$908,"DE REPROCESO")+SUMIFS($F$4:$F$908,$C$4:$C$908,C909,$D$4:$D$908,D909,$E$4:$E$908,E909,$B$4:$B$908,"AJUSTE+")-SUMIFS($F$4:$F$908,$C$4:$C$908,C909,$D$4:$D$908,D909,$E$4:$E$908,E909,$B$4:$B$908,"A CORTE")-SUMIFS($F$4:$F$908,$C$4:$C$908,C909,$D$4:$D$908,D909,$E$4:$E$908,E909,$B$4:$B$908,"A REPROCESO")-SUMIFS($F$4:$F$908,$C$4:$C$908,C909,$D$4:$D$908,D909,$E$4:$E$908,E909,$B$4:$B$908,"MUESTRA")-SUMIFS($F$4:$F$908,$C$4:$C$908,C909,$D$4:$D$908,D909,$E$4:$E$908,E909,$B$4:$B$908,"AJUSTE-")),0)</f>
        <v>0</v>
      </c>
      <c r="L909" s="13">
        <f t="shared" si="13"/>
        <v>0</v>
      </c>
      <c r="M909" s="8"/>
      <c r="N909" s="14"/>
      <c r="O909" s="14"/>
      <c r="P909" s="14"/>
      <c r="Q909" s="15"/>
      <c r="R909" s="16" t="str">
        <f t="shared" si="14"/>
        <v/>
      </c>
    </row>
    <row r="910" ht="15.75" customHeight="1">
      <c r="A910" s="7"/>
      <c r="B910" s="8"/>
      <c r="C910" s="8"/>
      <c r="D910" s="8"/>
      <c r="E910" s="8"/>
      <c r="F910" s="9"/>
      <c r="G910" s="10">
        <f>IFERROR(F910*VLOOKUP(D910,TELAS!$A$4:$C$32,3,FALSE()),0)</f>
        <v>0</v>
      </c>
      <c r="H910" s="11" t="str">
        <f>IFERROR(VLOOKUP(E910,COLORES!$A$4:$B$102,2,FALSE()),"")</f>
        <v/>
      </c>
      <c r="I910" s="12">
        <f>IFERROR(IF(H910="OSCURO",VLOOKUP(D910,PRECIOS!$A$4:$F$32,2,FALSE()),IF(H910="CLARO",VLOOKUP(D910,PRECIOS!$A$4:$F$32,3,FALSE()),IF(H910="MELANGE",VLOOKUP(D910,PRECIOS!$A$4:$F$32,4,FALSE()),IF(H910="PPT",VLOOKUP(D910,PRECIOS!$A$4:$F$32,5,FALSE()),0)))),0)</f>
        <v>0</v>
      </c>
      <c r="J910" s="12">
        <f t="shared" si="12"/>
        <v>0</v>
      </c>
      <c r="K910" s="13">
        <f>IFERROR(IF(C910="",0,SUMIFS($F$4:$F$909,$C$4:$C$909,C910,$D$4:$D$909,D910,$E$4:$E$909,E910,$B$4:$B$909,"INGRESO")+SUMIFS($F$4:$F$909,$C$4:$C$909,C910,$D$4:$D$909,D910,$E$4:$E$909,E910,$B$4:$B$909,"DE REPROCESO")+SUMIFS($F$4:$F$909,$C$4:$C$909,C910,$D$4:$D$909,D910,$E$4:$E$909,E910,$B$4:$B$909,"AJUSTE+")-SUMIFS($F$4:$F$909,$C$4:$C$909,C910,$D$4:$D$909,D910,$E$4:$E$909,E910,$B$4:$B$909,"A CORTE")-SUMIFS($F$4:$F$909,$C$4:$C$909,C910,$D$4:$D$909,D910,$E$4:$E$909,E910,$B$4:$B$909,"A REPROCESO")-SUMIFS($F$4:$F$909,$C$4:$C$909,C910,$D$4:$D$909,D910,$E$4:$E$909,E910,$B$4:$B$909,"MUESTRA")-SUMIFS($F$4:$F$909,$C$4:$C$909,C910,$D$4:$D$909,D910,$E$4:$E$909,E910,$B$4:$B$909,"AJUSTE-")),0)</f>
        <v>0</v>
      </c>
      <c r="L910" s="13">
        <f t="shared" si="13"/>
        <v>0</v>
      </c>
      <c r="M910" s="8"/>
      <c r="N910" s="14"/>
      <c r="O910" s="14"/>
      <c r="P910" s="14"/>
      <c r="Q910" s="15"/>
      <c r="R910" s="16" t="str">
        <f t="shared" si="14"/>
        <v/>
      </c>
    </row>
    <row r="911" ht="15.75" customHeight="1">
      <c r="A911" s="7"/>
      <c r="B911" s="8"/>
      <c r="C911" s="8"/>
      <c r="D911" s="8"/>
      <c r="E911" s="8"/>
      <c r="F911" s="9"/>
      <c r="G911" s="10">
        <f>IFERROR(F911*VLOOKUP(D911,TELAS!$A$4:$C$32,3,FALSE()),0)</f>
        <v>0</v>
      </c>
      <c r="H911" s="11" t="str">
        <f>IFERROR(VLOOKUP(E911,COLORES!$A$4:$B$102,2,FALSE()),"")</f>
        <v/>
      </c>
      <c r="I911" s="12">
        <f>IFERROR(IF(H911="OSCURO",VLOOKUP(D911,PRECIOS!$A$4:$F$32,2,FALSE()),IF(H911="CLARO",VLOOKUP(D911,PRECIOS!$A$4:$F$32,3,FALSE()),IF(H911="MELANGE",VLOOKUP(D911,PRECIOS!$A$4:$F$32,4,FALSE()),IF(H911="PPT",VLOOKUP(D911,PRECIOS!$A$4:$F$32,5,FALSE()),0)))),0)</f>
        <v>0</v>
      </c>
      <c r="J911" s="12">
        <f t="shared" si="12"/>
        <v>0</v>
      </c>
      <c r="K911" s="13">
        <f>IFERROR(IF(C911="",0,SUMIFS($F$4:$F$910,$C$4:$C$910,C911,$D$4:$D$910,D911,$E$4:$E$910,E911,$B$4:$B$910,"INGRESO")+SUMIFS($F$4:$F$910,$C$4:$C$910,C911,$D$4:$D$910,D911,$E$4:$E$910,E911,$B$4:$B$910,"DE REPROCESO")+SUMIFS($F$4:$F$910,$C$4:$C$910,C911,$D$4:$D$910,D911,$E$4:$E$910,E911,$B$4:$B$910,"AJUSTE+")-SUMIFS($F$4:$F$910,$C$4:$C$910,C911,$D$4:$D$910,D911,$E$4:$E$910,E911,$B$4:$B$910,"A CORTE")-SUMIFS($F$4:$F$910,$C$4:$C$910,C911,$D$4:$D$910,D911,$E$4:$E$910,E911,$B$4:$B$910,"A REPROCESO")-SUMIFS($F$4:$F$910,$C$4:$C$910,C911,$D$4:$D$910,D911,$E$4:$E$910,E911,$B$4:$B$910,"MUESTRA")-SUMIFS($F$4:$F$910,$C$4:$C$910,C911,$D$4:$D$910,D911,$E$4:$E$910,E911,$B$4:$B$910,"AJUSTE-")),0)</f>
        <v>0</v>
      </c>
      <c r="L911" s="13">
        <f t="shared" si="13"/>
        <v>0</v>
      </c>
      <c r="M911" s="8"/>
      <c r="N911" s="14"/>
      <c r="O911" s="14"/>
      <c r="P911" s="14"/>
      <c r="Q911" s="15"/>
      <c r="R911" s="16" t="str">
        <f t="shared" si="14"/>
        <v/>
      </c>
    </row>
    <row r="912" ht="15.75" customHeight="1">
      <c r="A912" s="7"/>
      <c r="B912" s="8"/>
      <c r="C912" s="8"/>
      <c r="D912" s="8"/>
      <c r="E912" s="8"/>
      <c r="F912" s="9"/>
      <c r="G912" s="10">
        <f>IFERROR(F912*VLOOKUP(D912,TELAS!$A$4:$C$32,3,FALSE()),0)</f>
        <v>0</v>
      </c>
      <c r="H912" s="11" t="str">
        <f>IFERROR(VLOOKUP(E912,COLORES!$A$4:$B$102,2,FALSE()),"")</f>
        <v/>
      </c>
      <c r="I912" s="12">
        <f>IFERROR(IF(H912="OSCURO",VLOOKUP(D912,PRECIOS!$A$4:$F$32,2,FALSE()),IF(H912="CLARO",VLOOKUP(D912,PRECIOS!$A$4:$F$32,3,FALSE()),IF(H912="MELANGE",VLOOKUP(D912,PRECIOS!$A$4:$F$32,4,FALSE()),IF(H912="PPT",VLOOKUP(D912,PRECIOS!$A$4:$F$32,5,FALSE()),0)))),0)</f>
        <v>0</v>
      </c>
      <c r="J912" s="12">
        <f t="shared" si="12"/>
        <v>0</v>
      </c>
      <c r="K912" s="13">
        <f>IFERROR(IF(C912="",0,SUMIFS($F$4:$F$911,$C$4:$C$911,C912,$D$4:$D$911,D912,$E$4:$E$911,E912,$B$4:$B$911,"INGRESO")+SUMIFS($F$4:$F$911,$C$4:$C$911,C912,$D$4:$D$911,D912,$E$4:$E$911,E912,$B$4:$B$911,"DE REPROCESO")+SUMIFS($F$4:$F$911,$C$4:$C$911,C912,$D$4:$D$911,D912,$E$4:$E$911,E912,$B$4:$B$911,"AJUSTE+")-SUMIFS($F$4:$F$911,$C$4:$C$911,C912,$D$4:$D$911,D912,$E$4:$E$911,E912,$B$4:$B$911,"A CORTE")-SUMIFS($F$4:$F$911,$C$4:$C$911,C912,$D$4:$D$911,D912,$E$4:$E$911,E912,$B$4:$B$911,"A REPROCESO")-SUMIFS($F$4:$F$911,$C$4:$C$911,C912,$D$4:$D$911,D912,$E$4:$E$911,E912,$B$4:$B$911,"MUESTRA")-SUMIFS($F$4:$F$911,$C$4:$C$911,C912,$D$4:$D$911,D912,$E$4:$E$911,E912,$B$4:$B$911,"AJUSTE-")),0)</f>
        <v>0</v>
      </c>
      <c r="L912" s="13">
        <f t="shared" si="13"/>
        <v>0</v>
      </c>
      <c r="M912" s="8"/>
      <c r="N912" s="14"/>
      <c r="O912" s="14"/>
      <c r="P912" s="14"/>
      <c r="Q912" s="15"/>
      <c r="R912" s="16" t="str">
        <f t="shared" si="14"/>
        <v/>
      </c>
    </row>
    <row r="913" ht="15.75" customHeight="1">
      <c r="A913" s="7"/>
      <c r="B913" s="8"/>
      <c r="C913" s="8"/>
      <c r="D913" s="8"/>
      <c r="E913" s="8"/>
      <c r="F913" s="9"/>
      <c r="G913" s="10">
        <f>IFERROR(F913*VLOOKUP(D913,TELAS!$A$4:$C$32,3,FALSE()),0)</f>
        <v>0</v>
      </c>
      <c r="H913" s="11" t="str">
        <f>IFERROR(VLOOKUP(E913,COLORES!$A$4:$B$102,2,FALSE()),"")</f>
        <v/>
      </c>
      <c r="I913" s="12">
        <f>IFERROR(IF(H913="OSCURO",VLOOKUP(D913,PRECIOS!$A$4:$F$32,2,FALSE()),IF(H913="CLARO",VLOOKUP(D913,PRECIOS!$A$4:$F$32,3,FALSE()),IF(H913="MELANGE",VLOOKUP(D913,PRECIOS!$A$4:$F$32,4,FALSE()),IF(H913="PPT",VLOOKUP(D913,PRECIOS!$A$4:$F$32,5,FALSE()),0)))),0)</f>
        <v>0</v>
      </c>
      <c r="J913" s="12">
        <f t="shared" si="12"/>
        <v>0</v>
      </c>
      <c r="K913" s="13">
        <f>IFERROR(IF(C913="",0,SUMIFS($F$4:$F$912,$C$4:$C$912,C913,$D$4:$D$912,D913,$E$4:$E$912,E913,$B$4:$B$912,"INGRESO")+SUMIFS($F$4:$F$912,$C$4:$C$912,C913,$D$4:$D$912,D913,$E$4:$E$912,E913,$B$4:$B$912,"DE REPROCESO")+SUMIFS($F$4:$F$912,$C$4:$C$912,C913,$D$4:$D$912,D913,$E$4:$E$912,E913,$B$4:$B$912,"AJUSTE+")-SUMIFS($F$4:$F$912,$C$4:$C$912,C913,$D$4:$D$912,D913,$E$4:$E$912,E913,$B$4:$B$912,"A CORTE")-SUMIFS($F$4:$F$912,$C$4:$C$912,C913,$D$4:$D$912,D913,$E$4:$E$912,E913,$B$4:$B$912,"A REPROCESO")-SUMIFS($F$4:$F$912,$C$4:$C$912,C913,$D$4:$D$912,D913,$E$4:$E$912,E913,$B$4:$B$912,"MUESTRA")-SUMIFS($F$4:$F$912,$C$4:$C$912,C913,$D$4:$D$912,D913,$E$4:$E$912,E913,$B$4:$B$912,"AJUSTE-")),0)</f>
        <v>0</v>
      </c>
      <c r="L913" s="13">
        <f t="shared" si="13"/>
        <v>0</v>
      </c>
      <c r="M913" s="8"/>
      <c r="N913" s="14"/>
      <c r="O913" s="14"/>
      <c r="P913" s="14"/>
      <c r="Q913" s="15"/>
      <c r="R913" s="16" t="str">
        <f t="shared" si="14"/>
        <v/>
      </c>
    </row>
    <row r="914" ht="15.75" customHeight="1">
      <c r="A914" s="7"/>
      <c r="B914" s="8"/>
      <c r="C914" s="8"/>
      <c r="D914" s="8"/>
      <c r="E914" s="8"/>
      <c r="F914" s="9"/>
      <c r="G914" s="10">
        <f>IFERROR(F914*VLOOKUP(D914,TELAS!$A$4:$C$32,3,FALSE()),0)</f>
        <v>0</v>
      </c>
      <c r="H914" s="11" t="str">
        <f>IFERROR(VLOOKUP(E914,COLORES!$A$4:$B$102,2,FALSE()),"")</f>
        <v/>
      </c>
      <c r="I914" s="12">
        <f>IFERROR(IF(H914="OSCURO",VLOOKUP(D914,PRECIOS!$A$4:$F$32,2,FALSE()),IF(H914="CLARO",VLOOKUP(D914,PRECIOS!$A$4:$F$32,3,FALSE()),IF(H914="MELANGE",VLOOKUP(D914,PRECIOS!$A$4:$F$32,4,FALSE()),IF(H914="PPT",VLOOKUP(D914,PRECIOS!$A$4:$F$32,5,FALSE()),0)))),0)</f>
        <v>0</v>
      </c>
      <c r="J914" s="12">
        <f t="shared" si="12"/>
        <v>0</v>
      </c>
      <c r="K914" s="13">
        <f>IFERROR(IF(C914="",0,SUMIFS($F$4:$F$913,$C$4:$C$913,C914,$D$4:$D$913,D914,$E$4:$E$913,E914,$B$4:$B$913,"INGRESO")+SUMIFS($F$4:$F$913,$C$4:$C$913,C914,$D$4:$D$913,D914,$E$4:$E$913,E914,$B$4:$B$913,"DE REPROCESO")+SUMIFS($F$4:$F$913,$C$4:$C$913,C914,$D$4:$D$913,D914,$E$4:$E$913,E914,$B$4:$B$913,"AJUSTE+")-SUMIFS($F$4:$F$913,$C$4:$C$913,C914,$D$4:$D$913,D914,$E$4:$E$913,E914,$B$4:$B$913,"A CORTE")-SUMIFS($F$4:$F$913,$C$4:$C$913,C914,$D$4:$D$913,D914,$E$4:$E$913,E914,$B$4:$B$913,"A REPROCESO")-SUMIFS($F$4:$F$913,$C$4:$C$913,C914,$D$4:$D$913,D914,$E$4:$E$913,E914,$B$4:$B$913,"MUESTRA")-SUMIFS($F$4:$F$913,$C$4:$C$913,C914,$D$4:$D$913,D914,$E$4:$E$913,E914,$B$4:$B$913,"AJUSTE-")),0)</f>
        <v>0</v>
      </c>
      <c r="L914" s="13">
        <f t="shared" si="13"/>
        <v>0</v>
      </c>
      <c r="M914" s="8"/>
      <c r="N914" s="14"/>
      <c r="O914" s="14"/>
      <c r="P914" s="14"/>
      <c r="Q914" s="15"/>
      <c r="R914" s="16" t="str">
        <f t="shared" si="14"/>
        <v/>
      </c>
    </row>
    <row r="915" ht="15.75" customHeight="1">
      <c r="A915" s="7"/>
      <c r="B915" s="8"/>
      <c r="C915" s="8"/>
      <c r="D915" s="8"/>
      <c r="E915" s="8"/>
      <c r="F915" s="9"/>
      <c r="G915" s="10">
        <f>IFERROR(F915*VLOOKUP(D915,TELAS!$A$4:$C$32,3,FALSE()),0)</f>
        <v>0</v>
      </c>
      <c r="H915" s="11" t="str">
        <f>IFERROR(VLOOKUP(E915,COLORES!$A$4:$B$102,2,FALSE()),"")</f>
        <v/>
      </c>
      <c r="I915" s="12">
        <f>IFERROR(IF(H915="OSCURO",VLOOKUP(D915,PRECIOS!$A$4:$F$32,2,FALSE()),IF(H915="CLARO",VLOOKUP(D915,PRECIOS!$A$4:$F$32,3,FALSE()),IF(H915="MELANGE",VLOOKUP(D915,PRECIOS!$A$4:$F$32,4,FALSE()),IF(H915="PPT",VLOOKUP(D915,PRECIOS!$A$4:$F$32,5,FALSE()),0)))),0)</f>
        <v>0</v>
      </c>
      <c r="J915" s="12">
        <f t="shared" si="12"/>
        <v>0</v>
      </c>
      <c r="K915" s="13">
        <f>IFERROR(IF(C915="",0,SUMIFS($F$4:$F$914,$C$4:$C$914,C915,$D$4:$D$914,D915,$E$4:$E$914,E915,$B$4:$B$914,"INGRESO")+SUMIFS($F$4:$F$914,$C$4:$C$914,C915,$D$4:$D$914,D915,$E$4:$E$914,E915,$B$4:$B$914,"DE REPROCESO")+SUMIFS($F$4:$F$914,$C$4:$C$914,C915,$D$4:$D$914,D915,$E$4:$E$914,E915,$B$4:$B$914,"AJUSTE+")-SUMIFS($F$4:$F$914,$C$4:$C$914,C915,$D$4:$D$914,D915,$E$4:$E$914,E915,$B$4:$B$914,"A CORTE")-SUMIFS($F$4:$F$914,$C$4:$C$914,C915,$D$4:$D$914,D915,$E$4:$E$914,E915,$B$4:$B$914,"A REPROCESO")-SUMIFS($F$4:$F$914,$C$4:$C$914,C915,$D$4:$D$914,D915,$E$4:$E$914,E915,$B$4:$B$914,"MUESTRA")-SUMIFS($F$4:$F$914,$C$4:$C$914,C915,$D$4:$D$914,D915,$E$4:$E$914,E915,$B$4:$B$914,"AJUSTE-")),0)</f>
        <v>0</v>
      </c>
      <c r="L915" s="13">
        <f t="shared" si="13"/>
        <v>0</v>
      </c>
      <c r="M915" s="8"/>
      <c r="N915" s="14"/>
      <c r="O915" s="14"/>
      <c r="P915" s="14"/>
      <c r="Q915" s="15"/>
      <c r="R915" s="16" t="str">
        <f t="shared" si="14"/>
        <v/>
      </c>
    </row>
    <row r="916" ht="15.75" customHeight="1">
      <c r="A916" s="7"/>
      <c r="B916" s="8"/>
      <c r="C916" s="8"/>
      <c r="D916" s="8"/>
      <c r="E916" s="8"/>
      <c r="F916" s="9"/>
      <c r="G916" s="10">
        <f>IFERROR(F916*VLOOKUP(D916,TELAS!$A$4:$C$32,3,FALSE()),0)</f>
        <v>0</v>
      </c>
      <c r="H916" s="11" t="str">
        <f>IFERROR(VLOOKUP(E916,COLORES!$A$4:$B$102,2,FALSE()),"")</f>
        <v/>
      </c>
      <c r="I916" s="12">
        <f>IFERROR(IF(H916="OSCURO",VLOOKUP(D916,PRECIOS!$A$4:$F$32,2,FALSE()),IF(H916="CLARO",VLOOKUP(D916,PRECIOS!$A$4:$F$32,3,FALSE()),IF(H916="MELANGE",VLOOKUP(D916,PRECIOS!$A$4:$F$32,4,FALSE()),IF(H916="PPT",VLOOKUP(D916,PRECIOS!$A$4:$F$32,5,FALSE()),0)))),0)</f>
        <v>0</v>
      </c>
      <c r="J916" s="12">
        <f t="shared" si="12"/>
        <v>0</v>
      </c>
      <c r="K916" s="13">
        <f>IFERROR(IF(C916="",0,SUMIFS($F$4:$F$915,$C$4:$C$915,C916,$D$4:$D$915,D916,$E$4:$E$915,E916,$B$4:$B$915,"INGRESO")+SUMIFS($F$4:$F$915,$C$4:$C$915,C916,$D$4:$D$915,D916,$E$4:$E$915,E916,$B$4:$B$915,"DE REPROCESO")+SUMIFS($F$4:$F$915,$C$4:$C$915,C916,$D$4:$D$915,D916,$E$4:$E$915,E916,$B$4:$B$915,"AJUSTE+")-SUMIFS($F$4:$F$915,$C$4:$C$915,C916,$D$4:$D$915,D916,$E$4:$E$915,E916,$B$4:$B$915,"A CORTE")-SUMIFS($F$4:$F$915,$C$4:$C$915,C916,$D$4:$D$915,D916,$E$4:$E$915,E916,$B$4:$B$915,"A REPROCESO")-SUMIFS($F$4:$F$915,$C$4:$C$915,C916,$D$4:$D$915,D916,$E$4:$E$915,E916,$B$4:$B$915,"MUESTRA")-SUMIFS($F$4:$F$915,$C$4:$C$915,C916,$D$4:$D$915,D916,$E$4:$E$915,E916,$B$4:$B$915,"AJUSTE-")),0)</f>
        <v>0</v>
      </c>
      <c r="L916" s="13">
        <f t="shared" si="13"/>
        <v>0</v>
      </c>
      <c r="M916" s="8"/>
      <c r="N916" s="14"/>
      <c r="O916" s="14"/>
      <c r="P916" s="14"/>
      <c r="Q916" s="15"/>
      <c r="R916" s="16" t="str">
        <f t="shared" si="14"/>
        <v/>
      </c>
    </row>
    <row r="917" ht="15.75" customHeight="1">
      <c r="A917" s="7"/>
      <c r="B917" s="8"/>
      <c r="C917" s="8"/>
      <c r="D917" s="8"/>
      <c r="E917" s="8"/>
      <c r="F917" s="9"/>
      <c r="G917" s="10">
        <f>IFERROR(F917*VLOOKUP(D917,TELAS!$A$4:$C$32,3,FALSE()),0)</f>
        <v>0</v>
      </c>
      <c r="H917" s="11" t="str">
        <f>IFERROR(VLOOKUP(E917,COLORES!$A$4:$B$102,2,FALSE()),"")</f>
        <v/>
      </c>
      <c r="I917" s="12">
        <f>IFERROR(IF(H917="OSCURO",VLOOKUP(D917,PRECIOS!$A$4:$F$32,2,FALSE()),IF(H917="CLARO",VLOOKUP(D917,PRECIOS!$A$4:$F$32,3,FALSE()),IF(H917="MELANGE",VLOOKUP(D917,PRECIOS!$A$4:$F$32,4,FALSE()),IF(H917="PPT",VLOOKUP(D917,PRECIOS!$A$4:$F$32,5,FALSE()),0)))),0)</f>
        <v>0</v>
      </c>
      <c r="J917" s="12">
        <f t="shared" si="12"/>
        <v>0</v>
      </c>
      <c r="K917" s="13">
        <f>IFERROR(IF(C917="",0,SUMIFS($F$4:$F$916,$C$4:$C$916,C917,$D$4:$D$916,D917,$E$4:$E$916,E917,$B$4:$B$916,"INGRESO")+SUMIFS($F$4:$F$916,$C$4:$C$916,C917,$D$4:$D$916,D917,$E$4:$E$916,E917,$B$4:$B$916,"DE REPROCESO")+SUMIFS($F$4:$F$916,$C$4:$C$916,C917,$D$4:$D$916,D917,$E$4:$E$916,E917,$B$4:$B$916,"AJUSTE+")-SUMIFS($F$4:$F$916,$C$4:$C$916,C917,$D$4:$D$916,D917,$E$4:$E$916,E917,$B$4:$B$916,"A CORTE")-SUMIFS($F$4:$F$916,$C$4:$C$916,C917,$D$4:$D$916,D917,$E$4:$E$916,E917,$B$4:$B$916,"A REPROCESO")-SUMIFS($F$4:$F$916,$C$4:$C$916,C917,$D$4:$D$916,D917,$E$4:$E$916,E917,$B$4:$B$916,"MUESTRA")-SUMIFS($F$4:$F$916,$C$4:$C$916,C917,$D$4:$D$916,D917,$E$4:$E$916,E917,$B$4:$B$916,"AJUSTE-")),0)</f>
        <v>0</v>
      </c>
      <c r="L917" s="13">
        <f t="shared" si="13"/>
        <v>0</v>
      </c>
      <c r="M917" s="8"/>
      <c r="N917" s="14"/>
      <c r="O917" s="14"/>
      <c r="P917" s="14"/>
      <c r="Q917" s="15"/>
      <c r="R917" s="16" t="str">
        <f t="shared" si="14"/>
        <v/>
      </c>
    </row>
    <row r="918" ht="15.75" customHeight="1">
      <c r="A918" s="7"/>
      <c r="B918" s="8"/>
      <c r="C918" s="8"/>
      <c r="D918" s="8"/>
      <c r="E918" s="8"/>
      <c r="F918" s="9"/>
      <c r="G918" s="10">
        <f>IFERROR(F918*VLOOKUP(D918,TELAS!$A$4:$C$32,3,FALSE()),0)</f>
        <v>0</v>
      </c>
      <c r="H918" s="11" t="str">
        <f>IFERROR(VLOOKUP(E918,COLORES!$A$4:$B$102,2,FALSE()),"")</f>
        <v/>
      </c>
      <c r="I918" s="12">
        <f>IFERROR(IF(H918="OSCURO",VLOOKUP(D918,PRECIOS!$A$4:$F$32,2,FALSE()),IF(H918="CLARO",VLOOKUP(D918,PRECIOS!$A$4:$F$32,3,FALSE()),IF(H918="MELANGE",VLOOKUP(D918,PRECIOS!$A$4:$F$32,4,FALSE()),IF(H918="PPT",VLOOKUP(D918,PRECIOS!$A$4:$F$32,5,FALSE()),0)))),0)</f>
        <v>0</v>
      </c>
      <c r="J918" s="12">
        <f t="shared" si="12"/>
        <v>0</v>
      </c>
      <c r="K918" s="13">
        <f>IFERROR(IF(C918="",0,SUMIFS($F$4:$F$917,$C$4:$C$917,C918,$D$4:$D$917,D918,$E$4:$E$917,E918,$B$4:$B$917,"INGRESO")+SUMIFS($F$4:$F$917,$C$4:$C$917,C918,$D$4:$D$917,D918,$E$4:$E$917,E918,$B$4:$B$917,"DE REPROCESO")+SUMIFS($F$4:$F$917,$C$4:$C$917,C918,$D$4:$D$917,D918,$E$4:$E$917,E918,$B$4:$B$917,"AJUSTE+")-SUMIFS($F$4:$F$917,$C$4:$C$917,C918,$D$4:$D$917,D918,$E$4:$E$917,E918,$B$4:$B$917,"A CORTE")-SUMIFS($F$4:$F$917,$C$4:$C$917,C918,$D$4:$D$917,D918,$E$4:$E$917,E918,$B$4:$B$917,"A REPROCESO")-SUMIFS($F$4:$F$917,$C$4:$C$917,C918,$D$4:$D$917,D918,$E$4:$E$917,E918,$B$4:$B$917,"MUESTRA")-SUMIFS($F$4:$F$917,$C$4:$C$917,C918,$D$4:$D$917,D918,$E$4:$E$917,E918,$B$4:$B$917,"AJUSTE-")),0)</f>
        <v>0</v>
      </c>
      <c r="L918" s="13">
        <f t="shared" si="13"/>
        <v>0</v>
      </c>
      <c r="M918" s="8"/>
      <c r="N918" s="14"/>
      <c r="O918" s="14"/>
      <c r="P918" s="14"/>
      <c r="Q918" s="15"/>
      <c r="R918" s="16" t="str">
        <f t="shared" si="14"/>
        <v/>
      </c>
    </row>
    <row r="919" ht="15.75" customHeight="1">
      <c r="A919" s="7"/>
      <c r="B919" s="8"/>
      <c r="C919" s="8"/>
      <c r="D919" s="8"/>
      <c r="E919" s="8"/>
      <c r="F919" s="9"/>
      <c r="G919" s="10">
        <f>IFERROR(F919*VLOOKUP(D919,TELAS!$A$4:$C$32,3,FALSE()),0)</f>
        <v>0</v>
      </c>
      <c r="H919" s="11" t="str">
        <f>IFERROR(VLOOKUP(E919,COLORES!$A$4:$B$102,2,FALSE()),"")</f>
        <v/>
      </c>
      <c r="I919" s="12">
        <f>IFERROR(IF(H919="OSCURO",VLOOKUP(D919,PRECIOS!$A$4:$F$32,2,FALSE()),IF(H919="CLARO",VLOOKUP(D919,PRECIOS!$A$4:$F$32,3,FALSE()),IF(H919="MELANGE",VLOOKUP(D919,PRECIOS!$A$4:$F$32,4,FALSE()),IF(H919="PPT",VLOOKUP(D919,PRECIOS!$A$4:$F$32,5,FALSE()),0)))),0)</f>
        <v>0</v>
      </c>
      <c r="J919" s="12">
        <f t="shared" si="12"/>
        <v>0</v>
      </c>
      <c r="K919" s="13">
        <f>IFERROR(IF(C919="",0,SUMIFS($F$4:$F$918,$C$4:$C$918,C919,$D$4:$D$918,D919,$E$4:$E$918,E919,$B$4:$B$918,"INGRESO")+SUMIFS($F$4:$F$918,$C$4:$C$918,C919,$D$4:$D$918,D919,$E$4:$E$918,E919,$B$4:$B$918,"DE REPROCESO")+SUMIFS($F$4:$F$918,$C$4:$C$918,C919,$D$4:$D$918,D919,$E$4:$E$918,E919,$B$4:$B$918,"AJUSTE+")-SUMIFS($F$4:$F$918,$C$4:$C$918,C919,$D$4:$D$918,D919,$E$4:$E$918,E919,$B$4:$B$918,"A CORTE")-SUMIFS($F$4:$F$918,$C$4:$C$918,C919,$D$4:$D$918,D919,$E$4:$E$918,E919,$B$4:$B$918,"A REPROCESO")-SUMIFS($F$4:$F$918,$C$4:$C$918,C919,$D$4:$D$918,D919,$E$4:$E$918,E919,$B$4:$B$918,"MUESTRA")-SUMIFS($F$4:$F$918,$C$4:$C$918,C919,$D$4:$D$918,D919,$E$4:$E$918,E919,$B$4:$B$918,"AJUSTE-")),0)</f>
        <v>0</v>
      </c>
      <c r="L919" s="13">
        <f t="shared" si="13"/>
        <v>0</v>
      </c>
      <c r="M919" s="8"/>
      <c r="N919" s="14"/>
      <c r="O919" s="14"/>
      <c r="P919" s="14"/>
      <c r="Q919" s="15"/>
      <c r="R919" s="16" t="str">
        <f t="shared" si="14"/>
        <v/>
      </c>
    </row>
    <row r="920" ht="15.75" customHeight="1">
      <c r="A920" s="7"/>
      <c r="B920" s="8"/>
      <c r="C920" s="8"/>
      <c r="D920" s="8"/>
      <c r="E920" s="8"/>
      <c r="F920" s="9"/>
      <c r="G920" s="10">
        <f>IFERROR(F920*VLOOKUP(D920,TELAS!$A$4:$C$32,3,FALSE()),0)</f>
        <v>0</v>
      </c>
      <c r="H920" s="11" t="str">
        <f>IFERROR(VLOOKUP(E920,COLORES!$A$4:$B$102,2,FALSE()),"")</f>
        <v/>
      </c>
      <c r="I920" s="12">
        <f>IFERROR(IF(H920="OSCURO",VLOOKUP(D920,PRECIOS!$A$4:$F$32,2,FALSE()),IF(H920="CLARO",VLOOKUP(D920,PRECIOS!$A$4:$F$32,3,FALSE()),IF(H920="MELANGE",VLOOKUP(D920,PRECIOS!$A$4:$F$32,4,FALSE()),IF(H920="PPT",VLOOKUP(D920,PRECIOS!$A$4:$F$32,5,FALSE()),0)))),0)</f>
        <v>0</v>
      </c>
      <c r="J920" s="12">
        <f t="shared" si="12"/>
        <v>0</v>
      </c>
      <c r="K920" s="13">
        <f>IFERROR(IF(C920="",0,SUMIFS($F$4:$F$919,$C$4:$C$919,C920,$D$4:$D$919,D920,$E$4:$E$919,E920,$B$4:$B$919,"INGRESO")+SUMIFS($F$4:$F$919,$C$4:$C$919,C920,$D$4:$D$919,D920,$E$4:$E$919,E920,$B$4:$B$919,"DE REPROCESO")+SUMIFS($F$4:$F$919,$C$4:$C$919,C920,$D$4:$D$919,D920,$E$4:$E$919,E920,$B$4:$B$919,"AJUSTE+")-SUMIFS($F$4:$F$919,$C$4:$C$919,C920,$D$4:$D$919,D920,$E$4:$E$919,E920,$B$4:$B$919,"A CORTE")-SUMIFS($F$4:$F$919,$C$4:$C$919,C920,$D$4:$D$919,D920,$E$4:$E$919,E920,$B$4:$B$919,"A REPROCESO")-SUMIFS($F$4:$F$919,$C$4:$C$919,C920,$D$4:$D$919,D920,$E$4:$E$919,E920,$B$4:$B$919,"MUESTRA")-SUMIFS($F$4:$F$919,$C$4:$C$919,C920,$D$4:$D$919,D920,$E$4:$E$919,E920,$B$4:$B$919,"AJUSTE-")),0)</f>
        <v>0</v>
      </c>
      <c r="L920" s="13">
        <f t="shared" si="13"/>
        <v>0</v>
      </c>
      <c r="M920" s="8"/>
      <c r="N920" s="14"/>
      <c r="O920" s="14"/>
      <c r="P920" s="14"/>
      <c r="Q920" s="15"/>
      <c r="R920" s="16" t="str">
        <f t="shared" si="14"/>
        <v/>
      </c>
    </row>
    <row r="921" ht="15.75" customHeight="1">
      <c r="A921" s="7"/>
      <c r="B921" s="8"/>
      <c r="C921" s="8"/>
      <c r="D921" s="8"/>
      <c r="E921" s="8"/>
      <c r="F921" s="9"/>
      <c r="G921" s="10">
        <f>IFERROR(F921*VLOOKUP(D921,TELAS!$A$4:$C$32,3,FALSE()),0)</f>
        <v>0</v>
      </c>
      <c r="H921" s="11" t="str">
        <f>IFERROR(VLOOKUP(E921,COLORES!$A$4:$B$102,2,FALSE()),"")</f>
        <v/>
      </c>
      <c r="I921" s="12">
        <f>IFERROR(IF(H921="OSCURO",VLOOKUP(D921,PRECIOS!$A$4:$F$32,2,FALSE()),IF(H921="CLARO",VLOOKUP(D921,PRECIOS!$A$4:$F$32,3,FALSE()),IF(H921="MELANGE",VLOOKUP(D921,PRECIOS!$A$4:$F$32,4,FALSE()),IF(H921="PPT",VLOOKUP(D921,PRECIOS!$A$4:$F$32,5,FALSE()),0)))),0)</f>
        <v>0</v>
      </c>
      <c r="J921" s="12">
        <f t="shared" si="12"/>
        <v>0</v>
      </c>
      <c r="K921" s="13">
        <f>IFERROR(IF(C921="",0,SUMIFS($F$4:$F$920,$C$4:$C$920,C921,$D$4:$D$920,D921,$E$4:$E$920,E921,$B$4:$B$920,"INGRESO")+SUMIFS($F$4:$F$920,$C$4:$C$920,C921,$D$4:$D$920,D921,$E$4:$E$920,E921,$B$4:$B$920,"DE REPROCESO")+SUMIFS($F$4:$F$920,$C$4:$C$920,C921,$D$4:$D$920,D921,$E$4:$E$920,E921,$B$4:$B$920,"AJUSTE+")-SUMIFS($F$4:$F$920,$C$4:$C$920,C921,$D$4:$D$920,D921,$E$4:$E$920,E921,$B$4:$B$920,"A CORTE")-SUMIFS($F$4:$F$920,$C$4:$C$920,C921,$D$4:$D$920,D921,$E$4:$E$920,E921,$B$4:$B$920,"A REPROCESO")-SUMIFS($F$4:$F$920,$C$4:$C$920,C921,$D$4:$D$920,D921,$E$4:$E$920,E921,$B$4:$B$920,"MUESTRA")-SUMIFS($F$4:$F$920,$C$4:$C$920,C921,$D$4:$D$920,D921,$E$4:$E$920,E921,$B$4:$B$920,"AJUSTE-")),0)</f>
        <v>0</v>
      </c>
      <c r="L921" s="13">
        <f t="shared" si="13"/>
        <v>0</v>
      </c>
      <c r="M921" s="8"/>
      <c r="N921" s="14"/>
      <c r="O921" s="14"/>
      <c r="P921" s="14"/>
      <c r="Q921" s="15"/>
      <c r="R921" s="16" t="str">
        <f t="shared" si="14"/>
        <v/>
      </c>
    </row>
    <row r="922" ht="15.75" customHeight="1">
      <c r="A922" s="7"/>
      <c r="B922" s="8"/>
      <c r="C922" s="8"/>
      <c r="D922" s="8"/>
      <c r="E922" s="8"/>
      <c r="F922" s="9"/>
      <c r="G922" s="10">
        <f>IFERROR(F922*VLOOKUP(D922,TELAS!$A$4:$C$32,3,FALSE()),0)</f>
        <v>0</v>
      </c>
      <c r="H922" s="11" t="str">
        <f>IFERROR(VLOOKUP(E922,COLORES!$A$4:$B$102,2,FALSE()),"")</f>
        <v/>
      </c>
      <c r="I922" s="12">
        <f>IFERROR(IF(H922="OSCURO",VLOOKUP(D922,PRECIOS!$A$4:$F$32,2,FALSE()),IF(H922="CLARO",VLOOKUP(D922,PRECIOS!$A$4:$F$32,3,FALSE()),IF(H922="MELANGE",VLOOKUP(D922,PRECIOS!$A$4:$F$32,4,FALSE()),IF(H922="PPT",VLOOKUP(D922,PRECIOS!$A$4:$F$32,5,FALSE()),0)))),0)</f>
        <v>0</v>
      </c>
      <c r="J922" s="12">
        <f t="shared" si="12"/>
        <v>0</v>
      </c>
      <c r="K922" s="13">
        <f>IFERROR(IF(C922="",0,SUMIFS($F$4:$F$921,$C$4:$C$921,C922,$D$4:$D$921,D922,$E$4:$E$921,E922,$B$4:$B$921,"INGRESO")+SUMIFS($F$4:$F$921,$C$4:$C$921,C922,$D$4:$D$921,D922,$E$4:$E$921,E922,$B$4:$B$921,"DE REPROCESO")+SUMIFS($F$4:$F$921,$C$4:$C$921,C922,$D$4:$D$921,D922,$E$4:$E$921,E922,$B$4:$B$921,"AJUSTE+")-SUMIFS($F$4:$F$921,$C$4:$C$921,C922,$D$4:$D$921,D922,$E$4:$E$921,E922,$B$4:$B$921,"A CORTE")-SUMIFS($F$4:$F$921,$C$4:$C$921,C922,$D$4:$D$921,D922,$E$4:$E$921,E922,$B$4:$B$921,"A REPROCESO")-SUMIFS($F$4:$F$921,$C$4:$C$921,C922,$D$4:$D$921,D922,$E$4:$E$921,E922,$B$4:$B$921,"MUESTRA")-SUMIFS($F$4:$F$921,$C$4:$C$921,C922,$D$4:$D$921,D922,$E$4:$E$921,E922,$B$4:$B$921,"AJUSTE-")),0)</f>
        <v>0</v>
      </c>
      <c r="L922" s="13">
        <f t="shared" si="13"/>
        <v>0</v>
      </c>
      <c r="M922" s="8"/>
      <c r="N922" s="14"/>
      <c r="O922" s="14"/>
      <c r="P922" s="14"/>
      <c r="Q922" s="15"/>
      <c r="R922" s="16" t="str">
        <f t="shared" si="14"/>
        <v/>
      </c>
    </row>
    <row r="923" ht="15.75" customHeight="1">
      <c r="A923" s="7"/>
      <c r="B923" s="8"/>
      <c r="C923" s="8"/>
      <c r="D923" s="8"/>
      <c r="E923" s="8"/>
      <c r="F923" s="9"/>
      <c r="G923" s="10">
        <f>IFERROR(F923*VLOOKUP(D923,TELAS!$A$4:$C$32,3,FALSE()),0)</f>
        <v>0</v>
      </c>
      <c r="H923" s="11" t="str">
        <f>IFERROR(VLOOKUP(E923,COLORES!$A$4:$B$102,2,FALSE()),"")</f>
        <v/>
      </c>
      <c r="I923" s="12">
        <f>IFERROR(IF(H923="OSCURO",VLOOKUP(D923,PRECIOS!$A$4:$F$32,2,FALSE()),IF(H923="CLARO",VLOOKUP(D923,PRECIOS!$A$4:$F$32,3,FALSE()),IF(H923="MELANGE",VLOOKUP(D923,PRECIOS!$A$4:$F$32,4,FALSE()),IF(H923="PPT",VLOOKUP(D923,PRECIOS!$A$4:$F$32,5,FALSE()),0)))),0)</f>
        <v>0</v>
      </c>
      <c r="J923" s="12">
        <f t="shared" si="12"/>
        <v>0</v>
      </c>
      <c r="K923" s="13">
        <f>IFERROR(IF(C923="",0,SUMIFS($F$4:$F$922,$C$4:$C$922,C923,$D$4:$D$922,D923,$E$4:$E$922,E923,$B$4:$B$922,"INGRESO")+SUMIFS($F$4:$F$922,$C$4:$C$922,C923,$D$4:$D$922,D923,$E$4:$E$922,E923,$B$4:$B$922,"DE REPROCESO")+SUMIFS($F$4:$F$922,$C$4:$C$922,C923,$D$4:$D$922,D923,$E$4:$E$922,E923,$B$4:$B$922,"AJUSTE+")-SUMIFS($F$4:$F$922,$C$4:$C$922,C923,$D$4:$D$922,D923,$E$4:$E$922,E923,$B$4:$B$922,"A CORTE")-SUMIFS($F$4:$F$922,$C$4:$C$922,C923,$D$4:$D$922,D923,$E$4:$E$922,E923,$B$4:$B$922,"A REPROCESO")-SUMIFS($F$4:$F$922,$C$4:$C$922,C923,$D$4:$D$922,D923,$E$4:$E$922,E923,$B$4:$B$922,"MUESTRA")-SUMIFS($F$4:$F$922,$C$4:$C$922,C923,$D$4:$D$922,D923,$E$4:$E$922,E923,$B$4:$B$922,"AJUSTE-")),0)</f>
        <v>0</v>
      </c>
      <c r="L923" s="13">
        <f t="shared" si="13"/>
        <v>0</v>
      </c>
      <c r="M923" s="8"/>
      <c r="N923" s="14"/>
      <c r="O923" s="14"/>
      <c r="P923" s="14"/>
      <c r="Q923" s="15"/>
      <c r="R923" s="16" t="str">
        <f t="shared" si="14"/>
        <v/>
      </c>
    </row>
    <row r="924" ht="15.75" customHeight="1">
      <c r="A924" s="7"/>
      <c r="B924" s="8"/>
      <c r="C924" s="8"/>
      <c r="D924" s="8"/>
      <c r="E924" s="8"/>
      <c r="F924" s="9"/>
      <c r="G924" s="10">
        <f>IFERROR(F924*VLOOKUP(D924,TELAS!$A$4:$C$32,3,FALSE()),0)</f>
        <v>0</v>
      </c>
      <c r="H924" s="11" t="str">
        <f>IFERROR(VLOOKUP(E924,COLORES!$A$4:$B$102,2,FALSE()),"")</f>
        <v/>
      </c>
      <c r="I924" s="12">
        <f>IFERROR(IF(H924="OSCURO",VLOOKUP(D924,PRECIOS!$A$4:$F$32,2,FALSE()),IF(H924="CLARO",VLOOKUP(D924,PRECIOS!$A$4:$F$32,3,FALSE()),IF(H924="MELANGE",VLOOKUP(D924,PRECIOS!$A$4:$F$32,4,FALSE()),IF(H924="PPT",VLOOKUP(D924,PRECIOS!$A$4:$F$32,5,FALSE()),0)))),0)</f>
        <v>0</v>
      </c>
      <c r="J924" s="12">
        <f t="shared" si="12"/>
        <v>0</v>
      </c>
      <c r="K924" s="13">
        <f>IFERROR(IF(C924="",0,SUMIFS($F$4:$F$923,$C$4:$C$923,C924,$D$4:$D$923,D924,$E$4:$E$923,E924,$B$4:$B$923,"INGRESO")+SUMIFS($F$4:$F$923,$C$4:$C$923,C924,$D$4:$D$923,D924,$E$4:$E$923,E924,$B$4:$B$923,"DE REPROCESO")+SUMIFS($F$4:$F$923,$C$4:$C$923,C924,$D$4:$D$923,D924,$E$4:$E$923,E924,$B$4:$B$923,"AJUSTE+")-SUMIFS($F$4:$F$923,$C$4:$C$923,C924,$D$4:$D$923,D924,$E$4:$E$923,E924,$B$4:$B$923,"A CORTE")-SUMIFS($F$4:$F$923,$C$4:$C$923,C924,$D$4:$D$923,D924,$E$4:$E$923,E924,$B$4:$B$923,"A REPROCESO")-SUMIFS($F$4:$F$923,$C$4:$C$923,C924,$D$4:$D$923,D924,$E$4:$E$923,E924,$B$4:$B$923,"MUESTRA")-SUMIFS($F$4:$F$923,$C$4:$C$923,C924,$D$4:$D$923,D924,$E$4:$E$923,E924,$B$4:$B$923,"AJUSTE-")),0)</f>
        <v>0</v>
      </c>
      <c r="L924" s="13">
        <f t="shared" si="13"/>
        <v>0</v>
      </c>
      <c r="M924" s="8"/>
      <c r="N924" s="14"/>
      <c r="O924" s="14"/>
      <c r="P924" s="14"/>
      <c r="Q924" s="15"/>
      <c r="R924" s="16" t="str">
        <f t="shared" si="14"/>
        <v/>
      </c>
    </row>
    <row r="925" ht="15.75" customHeight="1">
      <c r="A925" s="7"/>
      <c r="B925" s="8"/>
      <c r="C925" s="8"/>
      <c r="D925" s="8"/>
      <c r="E925" s="8"/>
      <c r="F925" s="9"/>
      <c r="G925" s="10">
        <f>IFERROR(F925*VLOOKUP(D925,TELAS!$A$4:$C$32,3,FALSE()),0)</f>
        <v>0</v>
      </c>
      <c r="H925" s="11" t="str">
        <f>IFERROR(VLOOKUP(E925,COLORES!$A$4:$B$102,2,FALSE()),"")</f>
        <v/>
      </c>
      <c r="I925" s="12">
        <f>IFERROR(IF(H925="OSCURO",VLOOKUP(D925,PRECIOS!$A$4:$F$32,2,FALSE()),IF(H925="CLARO",VLOOKUP(D925,PRECIOS!$A$4:$F$32,3,FALSE()),IF(H925="MELANGE",VLOOKUP(D925,PRECIOS!$A$4:$F$32,4,FALSE()),IF(H925="PPT",VLOOKUP(D925,PRECIOS!$A$4:$F$32,5,FALSE()),0)))),0)</f>
        <v>0</v>
      </c>
      <c r="J925" s="12">
        <f t="shared" si="12"/>
        <v>0</v>
      </c>
      <c r="K925" s="13">
        <f>IFERROR(IF(C925="",0,SUMIFS($F$4:$F$924,$C$4:$C$924,C925,$D$4:$D$924,D925,$E$4:$E$924,E925,$B$4:$B$924,"INGRESO")+SUMIFS($F$4:$F$924,$C$4:$C$924,C925,$D$4:$D$924,D925,$E$4:$E$924,E925,$B$4:$B$924,"DE REPROCESO")+SUMIFS($F$4:$F$924,$C$4:$C$924,C925,$D$4:$D$924,D925,$E$4:$E$924,E925,$B$4:$B$924,"AJUSTE+")-SUMIFS($F$4:$F$924,$C$4:$C$924,C925,$D$4:$D$924,D925,$E$4:$E$924,E925,$B$4:$B$924,"A CORTE")-SUMIFS($F$4:$F$924,$C$4:$C$924,C925,$D$4:$D$924,D925,$E$4:$E$924,E925,$B$4:$B$924,"A REPROCESO")-SUMIFS($F$4:$F$924,$C$4:$C$924,C925,$D$4:$D$924,D925,$E$4:$E$924,E925,$B$4:$B$924,"MUESTRA")-SUMIFS($F$4:$F$924,$C$4:$C$924,C925,$D$4:$D$924,D925,$E$4:$E$924,E925,$B$4:$B$924,"AJUSTE-")),0)</f>
        <v>0</v>
      </c>
      <c r="L925" s="13">
        <f t="shared" si="13"/>
        <v>0</v>
      </c>
      <c r="M925" s="8"/>
      <c r="N925" s="14"/>
      <c r="O925" s="14"/>
      <c r="P925" s="14"/>
      <c r="Q925" s="15"/>
      <c r="R925" s="16" t="str">
        <f t="shared" si="14"/>
        <v/>
      </c>
    </row>
    <row r="926" ht="15.75" customHeight="1">
      <c r="A926" s="7"/>
      <c r="B926" s="8"/>
      <c r="C926" s="8"/>
      <c r="D926" s="8"/>
      <c r="E926" s="8"/>
      <c r="F926" s="9"/>
      <c r="G926" s="10">
        <f>IFERROR(F926*VLOOKUP(D926,TELAS!$A$4:$C$32,3,FALSE()),0)</f>
        <v>0</v>
      </c>
      <c r="H926" s="11" t="str">
        <f>IFERROR(VLOOKUP(E926,COLORES!$A$4:$B$102,2,FALSE()),"")</f>
        <v/>
      </c>
      <c r="I926" s="12">
        <f>IFERROR(IF(H926="OSCURO",VLOOKUP(D926,PRECIOS!$A$4:$F$32,2,FALSE()),IF(H926="CLARO",VLOOKUP(D926,PRECIOS!$A$4:$F$32,3,FALSE()),IF(H926="MELANGE",VLOOKUP(D926,PRECIOS!$A$4:$F$32,4,FALSE()),IF(H926="PPT",VLOOKUP(D926,PRECIOS!$A$4:$F$32,5,FALSE()),0)))),0)</f>
        <v>0</v>
      </c>
      <c r="J926" s="12">
        <f t="shared" si="12"/>
        <v>0</v>
      </c>
      <c r="K926" s="13">
        <f>IFERROR(IF(C926="",0,SUMIFS($F$4:$F$925,$C$4:$C$925,C926,$D$4:$D$925,D926,$E$4:$E$925,E926,$B$4:$B$925,"INGRESO")+SUMIFS($F$4:$F$925,$C$4:$C$925,C926,$D$4:$D$925,D926,$E$4:$E$925,E926,$B$4:$B$925,"DE REPROCESO")+SUMIFS($F$4:$F$925,$C$4:$C$925,C926,$D$4:$D$925,D926,$E$4:$E$925,E926,$B$4:$B$925,"AJUSTE+")-SUMIFS($F$4:$F$925,$C$4:$C$925,C926,$D$4:$D$925,D926,$E$4:$E$925,E926,$B$4:$B$925,"A CORTE")-SUMIFS($F$4:$F$925,$C$4:$C$925,C926,$D$4:$D$925,D926,$E$4:$E$925,E926,$B$4:$B$925,"A REPROCESO")-SUMIFS($F$4:$F$925,$C$4:$C$925,C926,$D$4:$D$925,D926,$E$4:$E$925,E926,$B$4:$B$925,"MUESTRA")-SUMIFS($F$4:$F$925,$C$4:$C$925,C926,$D$4:$D$925,D926,$E$4:$E$925,E926,$B$4:$B$925,"AJUSTE-")),0)</f>
        <v>0</v>
      </c>
      <c r="L926" s="13">
        <f t="shared" si="13"/>
        <v>0</v>
      </c>
      <c r="M926" s="8"/>
      <c r="N926" s="14"/>
      <c r="O926" s="14"/>
      <c r="P926" s="14"/>
      <c r="Q926" s="15"/>
      <c r="R926" s="16" t="str">
        <f t="shared" si="14"/>
        <v/>
      </c>
    </row>
    <row r="927" ht="15.75" customHeight="1">
      <c r="A927" s="7"/>
      <c r="B927" s="8"/>
      <c r="C927" s="8"/>
      <c r="D927" s="8"/>
      <c r="E927" s="8"/>
      <c r="F927" s="9"/>
      <c r="G927" s="10">
        <f>IFERROR(F927*VLOOKUP(D927,TELAS!$A$4:$C$32,3,FALSE()),0)</f>
        <v>0</v>
      </c>
      <c r="H927" s="11" t="str">
        <f>IFERROR(VLOOKUP(E927,COLORES!$A$4:$B$102,2,FALSE()),"")</f>
        <v/>
      </c>
      <c r="I927" s="12">
        <f>IFERROR(IF(H927="OSCURO",VLOOKUP(D927,PRECIOS!$A$4:$F$32,2,FALSE()),IF(H927="CLARO",VLOOKUP(D927,PRECIOS!$A$4:$F$32,3,FALSE()),IF(H927="MELANGE",VLOOKUP(D927,PRECIOS!$A$4:$F$32,4,FALSE()),IF(H927="PPT",VLOOKUP(D927,PRECIOS!$A$4:$F$32,5,FALSE()),0)))),0)</f>
        <v>0</v>
      </c>
      <c r="J927" s="12">
        <f t="shared" si="12"/>
        <v>0</v>
      </c>
      <c r="K927" s="13">
        <f>IFERROR(IF(C927="",0,SUMIFS($F$4:$F$926,$C$4:$C$926,C927,$D$4:$D$926,D927,$E$4:$E$926,E927,$B$4:$B$926,"INGRESO")+SUMIFS($F$4:$F$926,$C$4:$C$926,C927,$D$4:$D$926,D927,$E$4:$E$926,E927,$B$4:$B$926,"DE REPROCESO")+SUMIFS($F$4:$F$926,$C$4:$C$926,C927,$D$4:$D$926,D927,$E$4:$E$926,E927,$B$4:$B$926,"AJUSTE+")-SUMIFS($F$4:$F$926,$C$4:$C$926,C927,$D$4:$D$926,D927,$E$4:$E$926,E927,$B$4:$B$926,"A CORTE")-SUMIFS($F$4:$F$926,$C$4:$C$926,C927,$D$4:$D$926,D927,$E$4:$E$926,E927,$B$4:$B$926,"A REPROCESO")-SUMIFS($F$4:$F$926,$C$4:$C$926,C927,$D$4:$D$926,D927,$E$4:$E$926,E927,$B$4:$B$926,"MUESTRA")-SUMIFS($F$4:$F$926,$C$4:$C$926,C927,$D$4:$D$926,D927,$E$4:$E$926,E927,$B$4:$B$926,"AJUSTE-")),0)</f>
        <v>0</v>
      </c>
      <c r="L927" s="13">
        <f t="shared" si="13"/>
        <v>0</v>
      </c>
      <c r="M927" s="8"/>
      <c r="N927" s="14"/>
      <c r="O927" s="14"/>
      <c r="P927" s="14"/>
      <c r="Q927" s="15"/>
      <c r="R927" s="16" t="str">
        <f t="shared" si="14"/>
        <v/>
      </c>
    </row>
    <row r="928" ht="15.75" customHeight="1">
      <c r="A928" s="7"/>
      <c r="B928" s="8"/>
      <c r="C928" s="8"/>
      <c r="D928" s="8"/>
      <c r="E928" s="8"/>
      <c r="F928" s="9"/>
      <c r="G928" s="10">
        <f>IFERROR(F928*VLOOKUP(D928,TELAS!$A$4:$C$32,3,FALSE()),0)</f>
        <v>0</v>
      </c>
      <c r="H928" s="11" t="str">
        <f>IFERROR(VLOOKUP(E928,COLORES!$A$4:$B$102,2,FALSE()),"")</f>
        <v/>
      </c>
      <c r="I928" s="12">
        <f>IFERROR(IF(H928="OSCURO",VLOOKUP(D928,PRECIOS!$A$4:$F$32,2,FALSE()),IF(H928="CLARO",VLOOKUP(D928,PRECIOS!$A$4:$F$32,3,FALSE()),IF(H928="MELANGE",VLOOKUP(D928,PRECIOS!$A$4:$F$32,4,FALSE()),IF(H928="PPT",VLOOKUP(D928,PRECIOS!$A$4:$F$32,5,FALSE()),0)))),0)</f>
        <v>0</v>
      </c>
      <c r="J928" s="12">
        <f t="shared" si="12"/>
        <v>0</v>
      </c>
      <c r="K928" s="13">
        <f>IFERROR(IF(C928="",0,SUMIFS($F$4:$F$927,$C$4:$C$927,C928,$D$4:$D$927,D928,$E$4:$E$927,E928,$B$4:$B$927,"INGRESO")+SUMIFS($F$4:$F$927,$C$4:$C$927,C928,$D$4:$D$927,D928,$E$4:$E$927,E928,$B$4:$B$927,"DE REPROCESO")+SUMIFS($F$4:$F$927,$C$4:$C$927,C928,$D$4:$D$927,D928,$E$4:$E$927,E928,$B$4:$B$927,"AJUSTE+")-SUMIFS($F$4:$F$927,$C$4:$C$927,C928,$D$4:$D$927,D928,$E$4:$E$927,E928,$B$4:$B$927,"A CORTE")-SUMIFS($F$4:$F$927,$C$4:$C$927,C928,$D$4:$D$927,D928,$E$4:$E$927,E928,$B$4:$B$927,"A REPROCESO")-SUMIFS($F$4:$F$927,$C$4:$C$927,C928,$D$4:$D$927,D928,$E$4:$E$927,E928,$B$4:$B$927,"MUESTRA")-SUMIFS($F$4:$F$927,$C$4:$C$927,C928,$D$4:$D$927,D928,$E$4:$E$927,E928,$B$4:$B$927,"AJUSTE-")),0)</f>
        <v>0</v>
      </c>
      <c r="L928" s="13">
        <f t="shared" si="13"/>
        <v>0</v>
      </c>
      <c r="M928" s="8"/>
      <c r="N928" s="14"/>
      <c r="O928" s="14"/>
      <c r="P928" s="14"/>
      <c r="Q928" s="15"/>
      <c r="R928" s="16" t="str">
        <f t="shared" si="14"/>
        <v/>
      </c>
    </row>
    <row r="929" ht="15.75" customHeight="1">
      <c r="A929" s="7"/>
      <c r="B929" s="8"/>
      <c r="C929" s="8"/>
      <c r="D929" s="8"/>
      <c r="E929" s="8"/>
      <c r="F929" s="9"/>
      <c r="G929" s="10">
        <f>IFERROR(F929*VLOOKUP(D929,TELAS!$A$4:$C$32,3,FALSE()),0)</f>
        <v>0</v>
      </c>
      <c r="H929" s="11" t="str">
        <f>IFERROR(VLOOKUP(E929,COLORES!$A$4:$B$102,2,FALSE()),"")</f>
        <v/>
      </c>
      <c r="I929" s="12">
        <f>IFERROR(IF(H929="OSCURO",VLOOKUP(D929,PRECIOS!$A$4:$F$32,2,FALSE()),IF(H929="CLARO",VLOOKUP(D929,PRECIOS!$A$4:$F$32,3,FALSE()),IF(H929="MELANGE",VLOOKUP(D929,PRECIOS!$A$4:$F$32,4,FALSE()),IF(H929="PPT",VLOOKUP(D929,PRECIOS!$A$4:$F$32,5,FALSE()),0)))),0)</f>
        <v>0</v>
      </c>
      <c r="J929" s="12">
        <f t="shared" si="12"/>
        <v>0</v>
      </c>
      <c r="K929" s="13">
        <f>IFERROR(IF(C929="",0,SUMIFS($F$4:$F$928,$C$4:$C$928,C929,$D$4:$D$928,D929,$E$4:$E$928,E929,$B$4:$B$928,"INGRESO")+SUMIFS($F$4:$F$928,$C$4:$C$928,C929,$D$4:$D$928,D929,$E$4:$E$928,E929,$B$4:$B$928,"DE REPROCESO")+SUMIFS($F$4:$F$928,$C$4:$C$928,C929,$D$4:$D$928,D929,$E$4:$E$928,E929,$B$4:$B$928,"AJUSTE+")-SUMIFS($F$4:$F$928,$C$4:$C$928,C929,$D$4:$D$928,D929,$E$4:$E$928,E929,$B$4:$B$928,"A CORTE")-SUMIFS($F$4:$F$928,$C$4:$C$928,C929,$D$4:$D$928,D929,$E$4:$E$928,E929,$B$4:$B$928,"A REPROCESO")-SUMIFS($F$4:$F$928,$C$4:$C$928,C929,$D$4:$D$928,D929,$E$4:$E$928,E929,$B$4:$B$928,"MUESTRA")-SUMIFS($F$4:$F$928,$C$4:$C$928,C929,$D$4:$D$928,D929,$E$4:$E$928,E929,$B$4:$B$928,"AJUSTE-")),0)</f>
        <v>0</v>
      </c>
      <c r="L929" s="13">
        <f t="shared" si="13"/>
        <v>0</v>
      </c>
      <c r="M929" s="8"/>
      <c r="N929" s="14"/>
      <c r="O929" s="14"/>
      <c r="P929" s="14"/>
      <c r="Q929" s="15"/>
      <c r="R929" s="16" t="str">
        <f t="shared" si="14"/>
        <v/>
      </c>
    </row>
    <row r="930" ht="15.75" customHeight="1">
      <c r="A930" s="7"/>
      <c r="B930" s="8"/>
      <c r="C930" s="8"/>
      <c r="D930" s="8"/>
      <c r="E930" s="8"/>
      <c r="F930" s="9"/>
      <c r="G930" s="10">
        <f>IFERROR(F930*VLOOKUP(D930,TELAS!$A$4:$C$32,3,FALSE()),0)</f>
        <v>0</v>
      </c>
      <c r="H930" s="11" t="str">
        <f>IFERROR(VLOOKUP(E930,COLORES!$A$4:$B$102,2,FALSE()),"")</f>
        <v/>
      </c>
      <c r="I930" s="12">
        <f>IFERROR(IF(H930="OSCURO",VLOOKUP(D930,PRECIOS!$A$4:$F$32,2,FALSE()),IF(H930="CLARO",VLOOKUP(D930,PRECIOS!$A$4:$F$32,3,FALSE()),IF(H930="MELANGE",VLOOKUP(D930,PRECIOS!$A$4:$F$32,4,FALSE()),IF(H930="PPT",VLOOKUP(D930,PRECIOS!$A$4:$F$32,5,FALSE()),0)))),0)</f>
        <v>0</v>
      </c>
      <c r="J930" s="12">
        <f t="shared" si="12"/>
        <v>0</v>
      </c>
      <c r="K930" s="13">
        <f>IFERROR(IF(C930="",0,SUMIFS($F$4:$F$929,$C$4:$C$929,C930,$D$4:$D$929,D930,$E$4:$E$929,E930,$B$4:$B$929,"INGRESO")+SUMIFS($F$4:$F$929,$C$4:$C$929,C930,$D$4:$D$929,D930,$E$4:$E$929,E930,$B$4:$B$929,"DE REPROCESO")+SUMIFS($F$4:$F$929,$C$4:$C$929,C930,$D$4:$D$929,D930,$E$4:$E$929,E930,$B$4:$B$929,"AJUSTE+")-SUMIFS($F$4:$F$929,$C$4:$C$929,C930,$D$4:$D$929,D930,$E$4:$E$929,E930,$B$4:$B$929,"A CORTE")-SUMIFS($F$4:$F$929,$C$4:$C$929,C930,$D$4:$D$929,D930,$E$4:$E$929,E930,$B$4:$B$929,"A REPROCESO")-SUMIFS($F$4:$F$929,$C$4:$C$929,C930,$D$4:$D$929,D930,$E$4:$E$929,E930,$B$4:$B$929,"MUESTRA")-SUMIFS($F$4:$F$929,$C$4:$C$929,C930,$D$4:$D$929,D930,$E$4:$E$929,E930,$B$4:$B$929,"AJUSTE-")),0)</f>
        <v>0</v>
      </c>
      <c r="L930" s="13">
        <f t="shared" si="13"/>
        <v>0</v>
      </c>
      <c r="M930" s="8"/>
      <c r="N930" s="14"/>
      <c r="O930" s="14"/>
      <c r="P930" s="14"/>
      <c r="Q930" s="15"/>
      <c r="R930" s="16" t="str">
        <f t="shared" si="14"/>
        <v/>
      </c>
    </row>
    <row r="931" ht="15.75" customHeight="1">
      <c r="A931" s="7"/>
      <c r="B931" s="8"/>
      <c r="C931" s="8"/>
      <c r="D931" s="8"/>
      <c r="E931" s="8"/>
      <c r="F931" s="9"/>
      <c r="G931" s="10">
        <f>IFERROR(F931*VLOOKUP(D931,TELAS!$A$4:$C$32,3,FALSE()),0)</f>
        <v>0</v>
      </c>
      <c r="H931" s="11" t="str">
        <f>IFERROR(VLOOKUP(E931,COLORES!$A$4:$B$102,2,FALSE()),"")</f>
        <v/>
      </c>
      <c r="I931" s="12">
        <f>IFERROR(IF(H931="OSCURO",VLOOKUP(D931,PRECIOS!$A$4:$F$32,2,FALSE()),IF(H931="CLARO",VLOOKUP(D931,PRECIOS!$A$4:$F$32,3,FALSE()),IF(H931="MELANGE",VLOOKUP(D931,PRECIOS!$A$4:$F$32,4,FALSE()),IF(H931="PPT",VLOOKUP(D931,PRECIOS!$A$4:$F$32,5,FALSE()),0)))),0)</f>
        <v>0</v>
      </c>
      <c r="J931" s="12">
        <f t="shared" si="12"/>
        <v>0</v>
      </c>
      <c r="K931" s="13">
        <f>IFERROR(IF(C931="",0,SUMIFS($F$4:$F$930,$C$4:$C$930,C931,$D$4:$D$930,D931,$E$4:$E$930,E931,$B$4:$B$930,"INGRESO")+SUMIFS($F$4:$F$930,$C$4:$C$930,C931,$D$4:$D$930,D931,$E$4:$E$930,E931,$B$4:$B$930,"DE REPROCESO")+SUMIFS($F$4:$F$930,$C$4:$C$930,C931,$D$4:$D$930,D931,$E$4:$E$930,E931,$B$4:$B$930,"AJUSTE+")-SUMIFS($F$4:$F$930,$C$4:$C$930,C931,$D$4:$D$930,D931,$E$4:$E$930,E931,$B$4:$B$930,"A CORTE")-SUMIFS($F$4:$F$930,$C$4:$C$930,C931,$D$4:$D$930,D931,$E$4:$E$930,E931,$B$4:$B$930,"A REPROCESO")-SUMIFS($F$4:$F$930,$C$4:$C$930,C931,$D$4:$D$930,D931,$E$4:$E$930,E931,$B$4:$B$930,"MUESTRA")-SUMIFS($F$4:$F$930,$C$4:$C$930,C931,$D$4:$D$930,D931,$E$4:$E$930,E931,$B$4:$B$930,"AJUSTE-")),0)</f>
        <v>0</v>
      </c>
      <c r="L931" s="13">
        <f t="shared" si="13"/>
        <v>0</v>
      </c>
      <c r="M931" s="8"/>
      <c r="N931" s="14"/>
      <c r="O931" s="14"/>
      <c r="P931" s="14"/>
      <c r="Q931" s="15"/>
      <c r="R931" s="16" t="str">
        <f t="shared" si="14"/>
        <v/>
      </c>
    </row>
    <row r="932" ht="15.75" customHeight="1">
      <c r="A932" s="7"/>
      <c r="B932" s="8"/>
      <c r="C932" s="8"/>
      <c r="D932" s="8"/>
      <c r="E932" s="8"/>
      <c r="F932" s="9"/>
      <c r="G932" s="10">
        <f>IFERROR(F932*VLOOKUP(D932,TELAS!$A$4:$C$32,3,FALSE()),0)</f>
        <v>0</v>
      </c>
      <c r="H932" s="11" t="str">
        <f>IFERROR(VLOOKUP(E932,COLORES!$A$4:$B$102,2,FALSE()),"")</f>
        <v/>
      </c>
      <c r="I932" s="12">
        <f>IFERROR(IF(H932="OSCURO",VLOOKUP(D932,PRECIOS!$A$4:$F$32,2,FALSE()),IF(H932="CLARO",VLOOKUP(D932,PRECIOS!$A$4:$F$32,3,FALSE()),IF(H932="MELANGE",VLOOKUP(D932,PRECIOS!$A$4:$F$32,4,FALSE()),IF(H932="PPT",VLOOKUP(D932,PRECIOS!$A$4:$F$32,5,FALSE()),0)))),0)</f>
        <v>0</v>
      </c>
      <c r="J932" s="12">
        <f t="shared" si="12"/>
        <v>0</v>
      </c>
      <c r="K932" s="13">
        <f>IFERROR(IF(C932="",0,SUMIFS($F$4:$F$931,$C$4:$C$931,C932,$D$4:$D$931,D932,$E$4:$E$931,E932,$B$4:$B$931,"INGRESO")+SUMIFS($F$4:$F$931,$C$4:$C$931,C932,$D$4:$D$931,D932,$E$4:$E$931,E932,$B$4:$B$931,"DE REPROCESO")+SUMIFS($F$4:$F$931,$C$4:$C$931,C932,$D$4:$D$931,D932,$E$4:$E$931,E932,$B$4:$B$931,"AJUSTE+")-SUMIFS($F$4:$F$931,$C$4:$C$931,C932,$D$4:$D$931,D932,$E$4:$E$931,E932,$B$4:$B$931,"A CORTE")-SUMIFS($F$4:$F$931,$C$4:$C$931,C932,$D$4:$D$931,D932,$E$4:$E$931,E932,$B$4:$B$931,"A REPROCESO")-SUMIFS($F$4:$F$931,$C$4:$C$931,C932,$D$4:$D$931,D932,$E$4:$E$931,E932,$B$4:$B$931,"MUESTRA")-SUMIFS($F$4:$F$931,$C$4:$C$931,C932,$D$4:$D$931,D932,$E$4:$E$931,E932,$B$4:$B$931,"AJUSTE-")),0)</f>
        <v>0</v>
      </c>
      <c r="L932" s="13">
        <f t="shared" si="13"/>
        <v>0</v>
      </c>
      <c r="M932" s="8"/>
      <c r="N932" s="14"/>
      <c r="O932" s="14"/>
      <c r="P932" s="14"/>
      <c r="Q932" s="15"/>
      <c r="R932" s="16" t="str">
        <f t="shared" si="14"/>
        <v/>
      </c>
    </row>
    <row r="933" ht="15.75" customHeight="1">
      <c r="A933" s="7"/>
      <c r="B933" s="8"/>
      <c r="C933" s="8"/>
      <c r="D933" s="8"/>
      <c r="E933" s="8"/>
      <c r="F933" s="9"/>
      <c r="G933" s="10">
        <f>IFERROR(F933*VLOOKUP(D933,TELAS!$A$4:$C$32,3,FALSE()),0)</f>
        <v>0</v>
      </c>
      <c r="H933" s="11" t="str">
        <f>IFERROR(VLOOKUP(E933,COLORES!$A$4:$B$102,2,FALSE()),"")</f>
        <v/>
      </c>
      <c r="I933" s="12">
        <f>IFERROR(IF(H933="OSCURO",VLOOKUP(D933,PRECIOS!$A$4:$F$32,2,FALSE()),IF(H933="CLARO",VLOOKUP(D933,PRECIOS!$A$4:$F$32,3,FALSE()),IF(H933="MELANGE",VLOOKUP(D933,PRECIOS!$A$4:$F$32,4,FALSE()),IF(H933="PPT",VLOOKUP(D933,PRECIOS!$A$4:$F$32,5,FALSE()),0)))),0)</f>
        <v>0</v>
      </c>
      <c r="J933" s="12">
        <f t="shared" si="12"/>
        <v>0</v>
      </c>
      <c r="K933" s="13">
        <f>IFERROR(IF(C933="",0,SUMIFS($F$4:$F$932,$C$4:$C$932,C933,$D$4:$D$932,D933,$E$4:$E$932,E933,$B$4:$B$932,"INGRESO")+SUMIFS($F$4:$F$932,$C$4:$C$932,C933,$D$4:$D$932,D933,$E$4:$E$932,E933,$B$4:$B$932,"DE REPROCESO")+SUMIFS($F$4:$F$932,$C$4:$C$932,C933,$D$4:$D$932,D933,$E$4:$E$932,E933,$B$4:$B$932,"AJUSTE+")-SUMIFS($F$4:$F$932,$C$4:$C$932,C933,$D$4:$D$932,D933,$E$4:$E$932,E933,$B$4:$B$932,"A CORTE")-SUMIFS($F$4:$F$932,$C$4:$C$932,C933,$D$4:$D$932,D933,$E$4:$E$932,E933,$B$4:$B$932,"A REPROCESO")-SUMIFS($F$4:$F$932,$C$4:$C$932,C933,$D$4:$D$932,D933,$E$4:$E$932,E933,$B$4:$B$932,"MUESTRA")-SUMIFS($F$4:$F$932,$C$4:$C$932,C933,$D$4:$D$932,D933,$E$4:$E$932,E933,$B$4:$B$932,"AJUSTE-")),0)</f>
        <v>0</v>
      </c>
      <c r="L933" s="13">
        <f t="shared" si="13"/>
        <v>0</v>
      </c>
      <c r="M933" s="8"/>
      <c r="N933" s="14"/>
      <c r="O933" s="14"/>
      <c r="P933" s="14"/>
      <c r="Q933" s="15"/>
      <c r="R933" s="16" t="str">
        <f t="shared" si="14"/>
        <v/>
      </c>
    </row>
    <row r="934" ht="15.75" customHeight="1">
      <c r="A934" s="7"/>
      <c r="B934" s="8"/>
      <c r="C934" s="8"/>
      <c r="D934" s="8"/>
      <c r="E934" s="8"/>
      <c r="F934" s="9"/>
      <c r="G934" s="10">
        <f>IFERROR(F934*VLOOKUP(D934,TELAS!$A$4:$C$32,3,FALSE()),0)</f>
        <v>0</v>
      </c>
      <c r="H934" s="11" t="str">
        <f>IFERROR(VLOOKUP(E934,COLORES!$A$4:$B$102,2,FALSE()),"")</f>
        <v/>
      </c>
      <c r="I934" s="12">
        <f>IFERROR(IF(H934="OSCURO",VLOOKUP(D934,PRECIOS!$A$4:$F$32,2,FALSE()),IF(H934="CLARO",VLOOKUP(D934,PRECIOS!$A$4:$F$32,3,FALSE()),IF(H934="MELANGE",VLOOKUP(D934,PRECIOS!$A$4:$F$32,4,FALSE()),IF(H934="PPT",VLOOKUP(D934,PRECIOS!$A$4:$F$32,5,FALSE()),0)))),0)</f>
        <v>0</v>
      </c>
      <c r="J934" s="12">
        <f t="shared" si="12"/>
        <v>0</v>
      </c>
      <c r="K934" s="13">
        <f>IFERROR(IF(C934="",0,SUMIFS($F$4:$F$933,$C$4:$C$933,C934,$D$4:$D$933,D934,$E$4:$E$933,E934,$B$4:$B$933,"INGRESO")+SUMIFS($F$4:$F$933,$C$4:$C$933,C934,$D$4:$D$933,D934,$E$4:$E$933,E934,$B$4:$B$933,"DE REPROCESO")+SUMIFS($F$4:$F$933,$C$4:$C$933,C934,$D$4:$D$933,D934,$E$4:$E$933,E934,$B$4:$B$933,"AJUSTE+")-SUMIFS($F$4:$F$933,$C$4:$C$933,C934,$D$4:$D$933,D934,$E$4:$E$933,E934,$B$4:$B$933,"A CORTE")-SUMIFS($F$4:$F$933,$C$4:$C$933,C934,$D$4:$D$933,D934,$E$4:$E$933,E934,$B$4:$B$933,"A REPROCESO")-SUMIFS($F$4:$F$933,$C$4:$C$933,C934,$D$4:$D$933,D934,$E$4:$E$933,E934,$B$4:$B$933,"MUESTRA")-SUMIFS($F$4:$F$933,$C$4:$C$933,C934,$D$4:$D$933,D934,$E$4:$E$933,E934,$B$4:$B$933,"AJUSTE-")),0)</f>
        <v>0</v>
      </c>
      <c r="L934" s="13">
        <f t="shared" si="13"/>
        <v>0</v>
      </c>
      <c r="M934" s="8"/>
      <c r="N934" s="14"/>
      <c r="O934" s="14"/>
      <c r="P934" s="14"/>
      <c r="Q934" s="15"/>
      <c r="R934" s="16" t="str">
        <f t="shared" si="14"/>
        <v/>
      </c>
    </row>
    <row r="935" ht="15.75" customHeight="1">
      <c r="A935" s="7"/>
      <c r="B935" s="8"/>
      <c r="C935" s="8"/>
      <c r="D935" s="8"/>
      <c r="E935" s="8"/>
      <c r="F935" s="9"/>
      <c r="G935" s="10">
        <f>IFERROR(F935*VLOOKUP(D935,TELAS!$A$4:$C$32,3,FALSE()),0)</f>
        <v>0</v>
      </c>
      <c r="H935" s="11" t="str">
        <f>IFERROR(VLOOKUP(E935,COLORES!$A$4:$B$102,2,FALSE()),"")</f>
        <v/>
      </c>
      <c r="I935" s="12">
        <f>IFERROR(IF(H935="OSCURO",VLOOKUP(D935,PRECIOS!$A$4:$F$32,2,FALSE()),IF(H935="CLARO",VLOOKUP(D935,PRECIOS!$A$4:$F$32,3,FALSE()),IF(H935="MELANGE",VLOOKUP(D935,PRECIOS!$A$4:$F$32,4,FALSE()),IF(H935="PPT",VLOOKUP(D935,PRECIOS!$A$4:$F$32,5,FALSE()),0)))),0)</f>
        <v>0</v>
      </c>
      <c r="J935" s="12">
        <f t="shared" si="12"/>
        <v>0</v>
      </c>
      <c r="K935" s="13">
        <f>IFERROR(IF(C935="",0,SUMIFS($F$4:$F$934,$C$4:$C$934,C935,$D$4:$D$934,D935,$E$4:$E$934,E935,$B$4:$B$934,"INGRESO")+SUMIFS($F$4:$F$934,$C$4:$C$934,C935,$D$4:$D$934,D935,$E$4:$E$934,E935,$B$4:$B$934,"DE REPROCESO")+SUMIFS($F$4:$F$934,$C$4:$C$934,C935,$D$4:$D$934,D935,$E$4:$E$934,E935,$B$4:$B$934,"AJUSTE+")-SUMIFS($F$4:$F$934,$C$4:$C$934,C935,$D$4:$D$934,D935,$E$4:$E$934,E935,$B$4:$B$934,"A CORTE")-SUMIFS($F$4:$F$934,$C$4:$C$934,C935,$D$4:$D$934,D935,$E$4:$E$934,E935,$B$4:$B$934,"A REPROCESO")-SUMIFS($F$4:$F$934,$C$4:$C$934,C935,$D$4:$D$934,D935,$E$4:$E$934,E935,$B$4:$B$934,"MUESTRA")-SUMIFS($F$4:$F$934,$C$4:$C$934,C935,$D$4:$D$934,D935,$E$4:$E$934,E935,$B$4:$B$934,"AJUSTE-")),0)</f>
        <v>0</v>
      </c>
      <c r="L935" s="13">
        <f t="shared" si="13"/>
        <v>0</v>
      </c>
      <c r="M935" s="8"/>
      <c r="N935" s="14"/>
      <c r="O935" s="14"/>
      <c r="P935" s="14"/>
      <c r="Q935" s="15"/>
      <c r="R935" s="16" t="str">
        <f t="shared" si="14"/>
        <v/>
      </c>
    </row>
    <row r="936" ht="15.75" customHeight="1">
      <c r="A936" s="7"/>
      <c r="B936" s="8"/>
      <c r="C936" s="8"/>
      <c r="D936" s="8"/>
      <c r="E936" s="8"/>
      <c r="F936" s="9"/>
      <c r="G936" s="10">
        <f>IFERROR(F936*VLOOKUP(D936,TELAS!$A$4:$C$32,3,FALSE()),0)</f>
        <v>0</v>
      </c>
      <c r="H936" s="11" t="str">
        <f>IFERROR(VLOOKUP(E936,COLORES!$A$4:$B$102,2,FALSE()),"")</f>
        <v/>
      </c>
      <c r="I936" s="12">
        <f>IFERROR(IF(H936="OSCURO",VLOOKUP(D936,PRECIOS!$A$4:$F$32,2,FALSE()),IF(H936="CLARO",VLOOKUP(D936,PRECIOS!$A$4:$F$32,3,FALSE()),IF(H936="MELANGE",VLOOKUP(D936,PRECIOS!$A$4:$F$32,4,FALSE()),IF(H936="PPT",VLOOKUP(D936,PRECIOS!$A$4:$F$32,5,FALSE()),0)))),0)</f>
        <v>0</v>
      </c>
      <c r="J936" s="12">
        <f t="shared" si="12"/>
        <v>0</v>
      </c>
      <c r="K936" s="13">
        <f>IFERROR(IF(C936="",0,SUMIFS($F$4:$F$935,$C$4:$C$935,C936,$D$4:$D$935,D936,$E$4:$E$935,E936,$B$4:$B$935,"INGRESO")+SUMIFS($F$4:$F$935,$C$4:$C$935,C936,$D$4:$D$935,D936,$E$4:$E$935,E936,$B$4:$B$935,"DE REPROCESO")+SUMIFS($F$4:$F$935,$C$4:$C$935,C936,$D$4:$D$935,D936,$E$4:$E$935,E936,$B$4:$B$935,"AJUSTE+")-SUMIFS($F$4:$F$935,$C$4:$C$935,C936,$D$4:$D$935,D936,$E$4:$E$935,E936,$B$4:$B$935,"A CORTE")-SUMIFS($F$4:$F$935,$C$4:$C$935,C936,$D$4:$D$935,D936,$E$4:$E$935,E936,$B$4:$B$935,"A REPROCESO")-SUMIFS($F$4:$F$935,$C$4:$C$935,C936,$D$4:$D$935,D936,$E$4:$E$935,E936,$B$4:$B$935,"MUESTRA")-SUMIFS($F$4:$F$935,$C$4:$C$935,C936,$D$4:$D$935,D936,$E$4:$E$935,E936,$B$4:$B$935,"AJUSTE-")),0)</f>
        <v>0</v>
      </c>
      <c r="L936" s="13">
        <f t="shared" si="13"/>
        <v>0</v>
      </c>
      <c r="M936" s="8"/>
      <c r="N936" s="14"/>
      <c r="O936" s="14"/>
      <c r="P936" s="14"/>
      <c r="Q936" s="15"/>
      <c r="R936" s="16" t="str">
        <f t="shared" si="14"/>
        <v/>
      </c>
    </row>
    <row r="937" ht="15.75" customHeight="1">
      <c r="A937" s="7"/>
      <c r="B937" s="8"/>
      <c r="C937" s="8"/>
      <c r="D937" s="8"/>
      <c r="E937" s="8"/>
      <c r="F937" s="9"/>
      <c r="G937" s="10">
        <f>IFERROR(F937*VLOOKUP(D937,TELAS!$A$4:$C$32,3,FALSE()),0)</f>
        <v>0</v>
      </c>
      <c r="H937" s="11" t="str">
        <f>IFERROR(VLOOKUP(E937,COLORES!$A$4:$B$102,2,FALSE()),"")</f>
        <v/>
      </c>
      <c r="I937" s="12">
        <f>IFERROR(IF(H937="OSCURO",VLOOKUP(D937,PRECIOS!$A$4:$F$32,2,FALSE()),IF(H937="CLARO",VLOOKUP(D937,PRECIOS!$A$4:$F$32,3,FALSE()),IF(H937="MELANGE",VLOOKUP(D937,PRECIOS!$A$4:$F$32,4,FALSE()),IF(H937="PPT",VLOOKUP(D937,PRECIOS!$A$4:$F$32,5,FALSE()),0)))),0)</f>
        <v>0</v>
      </c>
      <c r="J937" s="12">
        <f t="shared" si="12"/>
        <v>0</v>
      </c>
      <c r="K937" s="13">
        <f>IFERROR(IF(C937="",0,SUMIFS($F$4:$F$936,$C$4:$C$936,C937,$D$4:$D$936,D937,$E$4:$E$936,E937,$B$4:$B$936,"INGRESO")+SUMIFS($F$4:$F$936,$C$4:$C$936,C937,$D$4:$D$936,D937,$E$4:$E$936,E937,$B$4:$B$936,"DE REPROCESO")+SUMIFS($F$4:$F$936,$C$4:$C$936,C937,$D$4:$D$936,D937,$E$4:$E$936,E937,$B$4:$B$936,"AJUSTE+")-SUMIFS($F$4:$F$936,$C$4:$C$936,C937,$D$4:$D$936,D937,$E$4:$E$936,E937,$B$4:$B$936,"A CORTE")-SUMIFS($F$4:$F$936,$C$4:$C$936,C937,$D$4:$D$936,D937,$E$4:$E$936,E937,$B$4:$B$936,"A REPROCESO")-SUMIFS($F$4:$F$936,$C$4:$C$936,C937,$D$4:$D$936,D937,$E$4:$E$936,E937,$B$4:$B$936,"MUESTRA")-SUMIFS($F$4:$F$936,$C$4:$C$936,C937,$D$4:$D$936,D937,$E$4:$E$936,E937,$B$4:$B$936,"AJUSTE-")),0)</f>
        <v>0</v>
      </c>
      <c r="L937" s="13">
        <f t="shared" si="13"/>
        <v>0</v>
      </c>
      <c r="M937" s="8"/>
      <c r="N937" s="14"/>
      <c r="O937" s="14"/>
      <c r="P937" s="14"/>
      <c r="Q937" s="15"/>
      <c r="R937" s="16" t="str">
        <f t="shared" si="14"/>
        <v/>
      </c>
    </row>
    <row r="938" ht="15.75" customHeight="1">
      <c r="A938" s="7"/>
      <c r="B938" s="8"/>
      <c r="C938" s="8"/>
      <c r="D938" s="8"/>
      <c r="E938" s="8"/>
      <c r="F938" s="9"/>
      <c r="G938" s="10">
        <f>IFERROR(F938*VLOOKUP(D938,TELAS!$A$4:$C$32,3,FALSE()),0)</f>
        <v>0</v>
      </c>
      <c r="H938" s="11" t="str">
        <f>IFERROR(VLOOKUP(E938,COLORES!$A$4:$B$102,2,FALSE()),"")</f>
        <v/>
      </c>
      <c r="I938" s="12">
        <f>IFERROR(IF(H938="OSCURO",VLOOKUP(D938,PRECIOS!$A$4:$F$32,2,FALSE()),IF(H938="CLARO",VLOOKUP(D938,PRECIOS!$A$4:$F$32,3,FALSE()),IF(H938="MELANGE",VLOOKUP(D938,PRECIOS!$A$4:$F$32,4,FALSE()),IF(H938="PPT",VLOOKUP(D938,PRECIOS!$A$4:$F$32,5,FALSE()),0)))),0)</f>
        <v>0</v>
      </c>
      <c r="J938" s="12">
        <f t="shared" si="12"/>
        <v>0</v>
      </c>
      <c r="K938" s="13">
        <f>IFERROR(IF(C938="",0,SUMIFS($F$4:$F$937,$C$4:$C$937,C938,$D$4:$D$937,D938,$E$4:$E$937,E938,$B$4:$B$937,"INGRESO")+SUMIFS($F$4:$F$937,$C$4:$C$937,C938,$D$4:$D$937,D938,$E$4:$E$937,E938,$B$4:$B$937,"DE REPROCESO")+SUMIFS($F$4:$F$937,$C$4:$C$937,C938,$D$4:$D$937,D938,$E$4:$E$937,E938,$B$4:$B$937,"AJUSTE+")-SUMIFS($F$4:$F$937,$C$4:$C$937,C938,$D$4:$D$937,D938,$E$4:$E$937,E938,$B$4:$B$937,"A CORTE")-SUMIFS($F$4:$F$937,$C$4:$C$937,C938,$D$4:$D$937,D938,$E$4:$E$937,E938,$B$4:$B$937,"A REPROCESO")-SUMIFS($F$4:$F$937,$C$4:$C$937,C938,$D$4:$D$937,D938,$E$4:$E$937,E938,$B$4:$B$937,"MUESTRA")-SUMIFS($F$4:$F$937,$C$4:$C$937,C938,$D$4:$D$937,D938,$E$4:$E$937,E938,$B$4:$B$937,"AJUSTE-")),0)</f>
        <v>0</v>
      </c>
      <c r="L938" s="13">
        <f t="shared" si="13"/>
        <v>0</v>
      </c>
      <c r="M938" s="8"/>
      <c r="N938" s="14"/>
      <c r="O938" s="14"/>
      <c r="P938" s="14"/>
      <c r="Q938" s="15"/>
      <c r="R938" s="16" t="str">
        <f t="shared" si="14"/>
        <v/>
      </c>
    </row>
    <row r="939" ht="15.75" customHeight="1">
      <c r="A939" s="7"/>
      <c r="B939" s="8"/>
      <c r="C939" s="8"/>
      <c r="D939" s="8"/>
      <c r="E939" s="8"/>
      <c r="F939" s="9"/>
      <c r="G939" s="10">
        <f>IFERROR(F939*VLOOKUP(D939,TELAS!$A$4:$C$32,3,FALSE()),0)</f>
        <v>0</v>
      </c>
      <c r="H939" s="11" t="str">
        <f>IFERROR(VLOOKUP(E939,COLORES!$A$4:$B$102,2,FALSE()),"")</f>
        <v/>
      </c>
      <c r="I939" s="12">
        <f>IFERROR(IF(H939="OSCURO",VLOOKUP(D939,PRECIOS!$A$4:$F$32,2,FALSE()),IF(H939="CLARO",VLOOKUP(D939,PRECIOS!$A$4:$F$32,3,FALSE()),IF(H939="MELANGE",VLOOKUP(D939,PRECIOS!$A$4:$F$32,4,FALSE()),IF(H939="PPT",VLOOKUP(D939,PRECIOS!$A$4:$F$32,5,FALSE()),0)))),0)</f>
        <v>0</v>
      </c>
      <c r="J939" s="12">
        <f t="shared" si="12"/>
        <v>0</v>
      </c>
      <c r="K939" s="13">
        <f>IFERROR(IF(C939="",0,SUMIFS($F$4:$F$938,$C$4:$C$938,C939,$D$4:$D$938,D939,$E$4:$E$938,E939,$B$4:$B$938,"INGRESO")+SUMIFS($F$4:$F$938,$C$4:$C$938,C939,$D$4:$D$938,D939,$E$4:$E$938,E939,$B$4:$B$938,"DE REPROCESO")+SUMIFS($F$4:$F$938,$C$4:$C$938,C939,$D$4:$D$938,D939,$E$4:$E$938,E939,$B$4:$B$938,"AJUSTE+")-SUMIFS($F$4:$F$938,$C$4:$C$938,C939,$D$4:$D$938,D939,$E$4:$E$938,E939,$B$4:$B$938,"A CORTE")-SUMIFS($F$4:$F$938,$C$4:$C$938,C939,$D$4:$D$938,D939,$E$4:$E$938,E939,$B$4:$B$938,"A REPROCESO")-SUMIFS($F$4:$F$938,$C$4:$C$938,C939,$D$4:$D$938,D939,$E$4:$E$938,E939,$B$4:$B$938,"MUESTRA")-SUMIFS($F$4:$F$938,$C$4:$C$938,C939,$D$4:$D$938,D939,$E$4:$E$938,E939,$B$4:$B$938,"AJUSTE-")),0)</f>
        <v>0</v>
      </c>
      <c r="L939" s="13">
        <f t="shared" si="13"/>
        <v>0</v>
      </c>
      <c r="M939" s="8"/>
      <c r="N939" s="14"/>
      <c r="O939" s="14"/>
      <c r="P939" s="14"/>
      <c r="Q939" s="15"/>
      <c r="R939" s="16" t="str">
        <f t="shared" si="14"/>
        <v/>
      </c>
    </row>
    <row r="940" ht="15.75" customHeight="1">
      <c r="A940" s="7"/>
      <c r="B940" s="8"/>
      <c r="C940" s="8"/>
      <c r="D940" s="8"/>
      <c r="E940" s="8"/>
      <c r="F940" s="9"/>
      <c r="G940" s="10">
        <f>IFERROR(F940*VLOOKUP(D940,TELAS!$A$4:$C$32,3,FALSE()),0)</f>
        <v>0</v>
      </c>
      <c r="H940" s="11" t="str">
        <f>IFERROR(VLOOKUP(E940,COLORES!$A$4:$B$102,2,FALSE()),"")</f>
        <v/>
      </c>
      <c r="I940" s="12">
        <f>IFERROR(IF(H940="OSCURO",VLOOKUP(D940,PRECIOS!$A$4:$F$32,2,FALSE()),IF(H940="CLARO",VLOOKUP(D940,PRECIOS!$A$4:$F$32,3,FALSE()),IF(H940="MELANGE",VLOOKUP(D940,PRECIOS!$A$4:$F$32,4,FALSE()),IF(H940="PPT",VLOOKUP(D940,PRECIOS!$A$4:$F$32,5,FALSE()),0)))),0)</f>
        <v>0</v>
      </c>
      <c r="J940" s="12">
        <f t="shared" si="12"/>
        <v>0</v>
      </c>
      <c r="K940" s="13">
        <f>IFERROR(IF(C940="",0,SUMIFS($F$4:$F$939,$C$4:$C$939,C940,$D$4:$D$939,D940,$E$4:$E$939,E940,$B$4:$B$939,"INGRESO")+SUMIFS($F$4:$F$939,$C$4:$C$939,C940,$D$4:$D$939,D940,$E$4:$E$939,E940,$B$4:$B$939,"DE REPROCESO")+SUMIFS($F$4:$F$939,$C$4:$C$939,C940,$D$4:$D$939,D940,$E$4:$E$939,E940,$B$4:$B$939,"AJUSTE+")-SUMIFS($F$4:$F$939,$C$4:$C$939,C940,$D$4:$D$939,D940,$E$4:$E$939,E940,$B$4:$B$939,"A CORTE")-SUMIFS($F$4:$F$939,$C$4:$C$939,C940,$D$4:$D$939,D940,$E$4:$E$939,E940,$B$4:$B$939,"A REPROCESO")-SUMIFS($F$4:$F$939,$C$4:$C$939,C940,$D$4:$D$939,D940,$E$4:$E$939,E940,$B$4:$B$939,"MUESTRA")-SUMIFS($F$4:$F$939,$C$4:$C$939,C940,$D$4:$D$939,D940,$E$4:$E$939,E940,$B$4:$B$939,"AJUSTE-")),0)</f>
        <v>0</v>
      </c>
      <c r="L940" s="13">
        <f t="shared" si="13"/>
        <v>0</v>
      </c>
      <c r="M940" s="8"/>
      <c r="N940" s="14"/>
      <c r="O940" s="14"/>
      <c r="P940" s="14"/>
      <c r="Q940" s="15"/>
      <c r="R940" s="16" t="str">
        <f t="shared" si="14"/>
        <v/>
      </c>
    </row>
    <row r="941" ht="15.75" customHeight="1">
      <c r="A941" s="7"/>
      <c r="B941" s="8"/>
      <c r="C941" s="8"/>
      <c r="D941" s="8"/>
      <c r="E941" s="8"/>
      <c r="F941" s="9"/>
      <c r="G941" s="10">
        <f>IFERROR(F941*VLOOKUP(D941,TELAS!$A$4:$C$32,3,FALSE()),0)</f>
        <v>0</v>
      </c>
      <c r="H941" s="11" t="str">
        <f>IFERROR(VLOOKUP(E941,COLORES!$A$4:$B$102,2,FALSE()),"")</f>
        <v/>
      </c>
      <c r="I941" s="12">
        <f>IFERROR(IF(H941="OSCURO",VLOOKUP(D941,PRECIOS!$A$4:$F$32,2,FALSE()),IF(H941="CLARO",VLOOKUP(D941,PRECIOS!$A$4:$F$32,3,FALSE()),IF(H941="MELANGE",VLOOKUP(D941,PRECIOS!$A$4:$F$32,4,FALSE()),IF(H941="PPT",VLOOKUP(D941,PRECIOS!$A$4:$F$32,5,FALSE()),0)))),0)</f>
        <v>0</v>
      </c>
      <c r="J941" s="12">
        <f t="shared" si="12"/>
        <v>0</v>
      </c>
      <c r="K941" s="13">
        <f>IFERROR(IF(C941="",0,SUMIFS($F$4:$F$940,$C$4:$C$940,C941,$D$4:$D$940,D941,$E$4:$E$940,E941,$B$4:$B$940,"INGRESO")+SUMIFS($F$4:$F$940,$C$4:$C$940,C941,$D$4:$D$940,D941,$E$4:$E$940,E941,$B$4:$B$940,"DE REPROCESO")+SUMIFS($F$4:$F$940,$C$4:$C$940,C941,$D$4:$D$940,D941,$E$4:$E$940,E941,$B$4:$B$940,"AJUSTE+")-SUMIFS($F$4:$F$940,$C$4:$C$940,C941,$D$4:$D$940,D941,$E$4:$E$940,E941,$B$4:$B$940,"A CORTE")-SUMIFS($F$4:$F$940,$C$4:$C$940,C941,$D$4:$D$940,D941,$E$4:$E$940,E941,$B$4:$B$940,"A REPROCESO")-SUMIFS($F$4:$F$940,$C$4:$C$940,C941,$D$4:$D$940,D941,$E$4:$E$940,E941,$B$4:$B$940,"MUESTRA")-SUMIFS($F$4:$F$940,$C$4:$C$940,C941,$D$4:$D$940,D941,$E$4:$E$940,E941,$B$4:$B$940,"AJUSTE-")),0)</f>
        <v>0</v>
      </c>
      <c r="L941" s="13">
        <f t="shared" si="13"/>
        <v>0</v>
      </c>
      <c r="M941" s="8"/>
      <c r="N941" s="14"/>
      <c r="O941" s="14"/>
      <c r="P941" s="14"/>
      <c r="Q941" s="15"/>
      <c r="R941" s="16" t="str">
        <f t="shared" si="14"/>
        <v/>
      </c>
    </row>
    <row r="942" ht="15.75" customHeight="1">
      <c r="A942" s="7"/>
      <c r="B942" s="8"/>
      <c r="C942" s="8"/>
      <c r="D942" s="8"/>
      <c r="E942" s="8"/>
      <c r="F942" s="9"/>
      <c r="G942" s="10">
        <f>IFERROR(F942*VLOOKUP(D942,TELAS!$A$4:$C$32,3,FALSE()),0)</f>
        <v>0</v>
      </c>
      <c r="H942" s="11" t="str">
        <f>IFERROR(VLOOKUP(E942,COLORES!$A$4:$B$102,2,FALSE()),"")</f>
        <v/>
      </c>
      <c r="I942" s="12">
        <f>IFERROR(IF(H942="OSCURO",VLOOKUP(D942,PRECIOS!$A$4:$F$32,2,FALSE()),IF(H942="CLARO",VLOOKUP(D942,PRECIOS!$A$4:$F$32,3,FALSE()),IF(H942="MELANGE",VLOOKUP(D942,PRECIOS!$A$4:$F$32,4,FALSE()),IF(H942="PPT",VLOOKUP(D942,PRECIOS!$A$4:$F$32,5,FALSE()),0)))),0)</f>
        <v>0</v>
      </c>
      <c r="J942" s="12">
        <f t="shared" si="12"/>
        <v>0</v>
      </c>
      <c r="K942" s="13">
        <f>IFERROR(IF(C942="",0,SUMIFS($F$4:$F$941,$C$4:$C$941,C942,$D$4:$D$941,D942,$E$4:$E$941,E942,$B$4:$B$941,"INGRESO")+SUMIFS($F$4:$F$941,$C$4:$C$941,C942,$D$4:$D$941,D942,$E$4:$E$941,E942,$B$4:$B$941,"DE REPROCESO")+SUMIFS($F$4:$F$941,$C$4:$C$941,C942,$D$4:$D$941,D942,$E$4:$E$941,E942,$B$4:$B$941,"AJUSTE+")-SUMIFS($F$4:$F$941,$C$4:$C$941,C942,$D$4:$D$941,D942,$E$4:$E$941,E942,$B$4:$B$941,"A CORTE")-SUMIFS($F$4:$F$941,$C$4:$C$941,C942,$D$4:$D$941,D942,$E$4:$E$941,E942,$B$4:$B$941,"A REPROCESO")-SUMIFS($F$4:$F$941,$C$4:$C$941,C942,$D$4:$D$941,D942,$E$4:$E$941,E942,$B$4:$B$941,"MUESTRA")-SUMIFS($F$4:$F$941,$C$4:$C$941,C942,$D$4:$D$941,D942,$E$4:$E$941,E942,$B$4:$B$941,"AJUSTE-")),0)</f>
        <v>0</v>
      </c>
      <c r="L942" s="13">
        <f t="shared" si="13"/>
        <v>0</v>
      </c>
      <c r="M942" s="8"/>
      <c r="N942" s="14"/>
      <c r="O942" s="14"/>
      <c r="P942" s="14"/>
      <c r="Q942" s="15"/>
      <c r="R942" s="16" t="str">
        <f t="shared" si="14"/>
        <v/>
      </c>
    </row>
    <row r="943" ht="15.75" customHeight="1">
      <c r="A943" s="7"/>
      <c r="B943" s="8"/>
      <c r="C943" s="8"/>
      <c r="D943" s="8"/>
      <c r="E943" s="8"/>
      <c r="F943" s="9"/>
      <c r="G943" s="10">
        <f>IFERROR(F943*VLOOKUP(D943,TELAS!$A$4:$C$32,3,FALSE()),0)</f>
        <v>0</v>
      </c>
      <c r="H943" s="11" t="str">
        <f>IFERROR(VLOOKUP(E943,COLORES!$A$4:$B$102,2,FALSE()),"")</f>
        <v/>
      </c>
      <c r="I943" s="12">
        <f>IFERROR(IF(H943="OSCURO",VLOOKUP(D943,PRECIOS!$A$4:$F$32,2,FALSE()),IF(H943="CLARO",VLOOKUP(D943,PRECIOS!$A$4:$F$32,3,FALSE()),IF(H943="MELANGE",VLOOKUP(D943,PRECIOS!$A$4:$F$32,4,FALSE()),IF(H943="PPT",VLOOKUP(D943,PRECIOS!$A$4:$F$32,5,FALSE()),0)))),0)</f>
        <v>0</v>
      </c>
      <c r="J943" s="12">
        <f t="shared" si="12"/>
        <v>0</v>
      </c>
      <c r="K943" s="13">
        <f>IFERROR(IF(C943="",0,SUMIFS($F$4:$F$942,$C$4:$C$942,C943,$D$4:$D$942,D943,$E$4:$E$942,E943,$B$4:$B$942,"INGRESO")+SUMIFS($F$4:$F$942,$C$4:$C$942,C943,$D$4:$D$942,D943,$E$4:$E$942,E943,$B$4:$B$942,"DE REPROCESO")+SUMIFS($F$4:$F$942,$C$4:$C$942,C943,$D$4:$D$942,D943,$E$4:$E$942,E943,$B$4:$B$942,"AJUSTE+")-SUMIFS($F$4:$F$942,$C$4:$C$942,C943,$D$4:$D$942,D943,$E$4:$E$942,E943,$B$4:$B$942,"A CORTE")-SUMIFS($F$4:$F$942,$C$4:$C$942,C943,$D$4:$D$942,D943,$E$4:$E$942,E943,$B$4:$B$942,"A REPROCESO")-SUMIFS($F$4:$F$942,$C$4:$C$942,C943,$D$4:$D$942,D943,$E$4:$E$942,E943,$B$4:$B$942,"MUESTRA")-SUMIFS($F$4:$F$942,$C$4:$C$942,C943,$D$4:$D$942,D943,$E$4:$E$942,E943,$B$4:$B$942,"AJUSTE-")),0)</f>
        <v>0</v>
      </c>
      <c r="L943" s="13">
        <f t="shared" si="13"/>
        <v>0</v>
      </c>
      <c r="M943" s="8"/>
      <c r="N943" s="14"/>
      <c r="O943" s="14"/>
      <c r="P943" s="14"/>
      <c r="Q943" s="15"/>
      <c r="R943" s="16" t="str">
        <f t="shared" si="14"/>
        <v/>
      </c>
    </row>
    <row r="944" ht="15.75" customHeight="1">
      <c r="A944" s="7"/>
      <c r="B944" s="8"/>
      <c r="C944" s="8"/>
      <c r="D944" s="8"/>
      <c r="E944" s="8"/>
      <c r="F944" s="9"/>
      <c r="G944" s="10">
        <f>IFERROR(F944*VLOOKUP(D944,TELAS!$A$4:$C$32,3,FALSE()),0)</f>
        <v>0</v>
      </c>
      <c r="H944" s="11" t="str">
        <f>IFERROR(VLOOKUP(E944,COLORES!$A$4:$B$102,2,FALSE()),"")</f>
        <v/>
      </c>
      <c r="I944" s="12">
        <f>IFERROR(IF(H944="OSCURO",VLOOKUP(D944,PRECIOS!$A$4:$F$32,2,FALSE()),IF(H944="CLARO",VLOOKUP(D944,PRECIOS!$A$4:$F$32,3,FALSE()),IF(H944="MELANGE",VLOOKUP(D944,PRECIOS!$A$4:$F$32,4,FALSE()),IF(H944="PPT",VLOOKUP(D944,PRECIOS!$A$4:$F$32,5,FALSE()),0)))),0)</f>
        <v>0</v>
      </c>
      <c r="J944" s="12">
        <f t="shared" si="12"/>
        <v>0</v>
      </c>
      <c r="K944" s="13">
        <f>IFERROR(IF(C944="",0,SUMIFS($F$4:$F$943,$C$4:$C$943,C944,$D$4:$D$943,D944,$E$4:$E$943,E944,$B$4:$B$943,"INGRESO")+SUMIFS($F$4:$F$943,$C$4:$C$943,C944,$D$4:$D$943,D944,$E$4:$E$943,E944,$B$4:$B$943,"DE REPROCESO")+SUMIFS($F$4:$F$943,$C$4:$C$943,C944,$D$4:$D$943,D944,$E$4:$E$943,E944,$B$4:$B$943,"AJUSTE+")-SUMIFS($F$4:$F$943,$C$4:$C$943,C944,$D$4:$D$943,D944,$E$4:$E$943,E944,$B$4:$B$943,"A CORTE")-SUMIFS($F$4:$F$943,$C$4:$C$943,C944,$D$4:$D$943,D944,$E$4:$E$943,E944,$B$4:$B$943,"A REPROCESO")-SUMIFS($F$4:$F$943,$C$4:$C$943,C944,$D$4:$D$943,D944,$E$4:$E$943,E944,$B$4:$B$943,"MUESTRA")-SUMIFS($F$4:$F$943,$C$4:$C$943,C944,$D$4:$D$943,D944,$E$4:$E$943,E944,$B$4:$B$943,"AJUSTE-")),0)</f>
        <v>0</v>
      </c>
      <c r="L944" s="13">
        <f t="shared" si="13"/>
        <v>0</v>
      </c>
      <c r="M944" s="8"/>
      <c r="N944" s="14"/>
      <c r="O944" s="14"/>
      <c r="P944" s="14"/>
      <c r="Q944" s="15"/>
      <c r="R944" s="16" t="str">
        <f t="shared" si="14"/>
        <v/>
      </c>
    </row>
    <row r="945" ht="15.75" customHeight="1">
      <c r="A945" s="7"/>
      <c r="B945" s="8"/>
      <c r="C945" s="8"/>
      <c r="D945" s="8"/>
      <c r="E945" s="8"/>
      <c r="F945" s="9"/>
      <c r="G945" s="10">
        <f>IFERROR(F945*VLOOKUP(D945,TELAS!$A$4:$C$32,3,FALSE()),0)</f>
        <v>0</v>
      </c>
      <c r="H945" s="11" t="str">
        <f>IFERROR(VLOOKUP(E945,COLORES!$A$4:$B$102,2,FALSE()),"")</f>
        <v/>
      </c>
      <c r="I945" s="12">
        <f>IFERROR(IF(H945="OSCURO",VLOOKUP(D945,PRECIOS!$A$4:$F$32,2,FALSE()),IF(H945="CLARO",VLOOKUP(D945,PRECIOS!$A$4:$F$32,3,FALSE()),IF(H945="MELANGE",VLOOKUP(D945,PRECIOS!$A$4:$F$32,4,FALSE()),IF(H945="PPT",VLOOKUP(D945,PRECIOS!$A$4:$F$32,5,FALSE()),0)))),0)</f>
        <v>0</v>
      </c>
      <c r="J945" s="12">
        <f t="shared" si="12"/>
        <v>0</v>
      </c>
      <c r="K945" s="13">
        <f>IFERROR(IF(C945="",0,SUMIFS($F$4:$F$944,$C$4:$C$944,C945,$D$4:$D$944,D945,$E$4:$E$944,E945,$B$4:$B$944,"INGRESO")+SUMIFS($F$4:$F$944,$C$4:$C$944,C945,$D$4:$D$944,D945,$E$4:$E$944,E945,$B$4:$B$944,"DE REPROCESO")+SUMIFS($F$4:$F$944,$C$4:$C$944,C945,$D$4:$D$944,D945,$E$4:$E$944,E945,$B$4:$B$944,"AJUSTE+")-SUMIFS($F$4:$F$944,$C$4:$C$944,C945,$D$4:$D$944,D945,$E$4:$E$944,E945,$B$4:$B$944,"A CORTE")-SUMIFS($F$4:$F$944,$C$4:$C$944,C945,$D$4:$D$944,D945,$E$4:$E$944,E945,$B$4:$B$944,"A REPROCESO")-SUMIFS($F$4:$F$944,$C$4:$C$944,C945,$D$4:$D$944,D945,$E$4:$E$944,E945,$B$4:$B$944,"MUESTRA")-SUMIFS($F$4:$F$944,$C$4:$C$944,C945,$D$4:$D$944,D945,$E$4:$E$944,E945,$B$4:$B$944,"AJUSTE-")),0)</f>
        <v>0</v>
      </c>
      <c r="L945" s="13">
        <f t="shared" si="13"/>
        <v>0</v>
      </c>
      <c r="M945" s="8"/>
      <c r="N945" s="14"/>
      <c r="O945" s="14"/>
      <c r="P945" s="14"/>
      <c r="Q945" s="15"/>
      <c r="R945" s="16" t="str">
        <f t="shared" si="14"/>
        <v/>
      </c>
    </row>
    <row r="946" ht="15.75" customHeight="1">
      <c r="A946" s="7"/>
      <c r="B946" s="8"/>
      <c r="C946" s="8"/>
      <c r="D946" s="8"/>
      <c r="E946" s="8"/>
      <c r="F946" s="9"/>
      <c r="G946" s="10">
        <f>IFERROR(F946*VLOOKUP(D946,TELAS!$A$4:$C$32,3,FALSE()),0)</f>
        <v>0</v>
      </c>
      <c r="H946" s="11" t="str">
        <f>IFERROR(VLOOKUP(E946,COLORES!$A$4:$B$102,2,FALSE()),"")</f>
        <v/>
      </c>
      <c r="I946" s="12">
        <f>IFERROR(IF(H946="OSCURO",VLOOKUP(D946,PRECIOS!$A$4:$F$32,2,FALSE()),IF(H946="CLARO",VLOOKUP(D946,PRECIOS!$A$4:$F$32,3,FALSE()),IF(H946="MELANGE",VLOOKUP(D946,PRECIOS!$A$4:$F$32,4,FALSE()),IF(H946="PPT",VLOOKUP(D946,PRECIOS!$A$4:$F$32,5,FALSE()),0)))),0)</f>
        <v>0</v>
      </c>
      <c r="J946" s="12">
        <f t="shared" si="12"/>
        <v>0</v>
      </c>
      <c r="K946" s="13">
        <f>IFERROR(IF(C946="",0,SUMIFS($F$4:$F$945,$C$4:$C$945,C946,$D$4:$D$945,D946,$E$4:$E$945,E946,$B$4:$B$945,"INGRESO")+SUMIFS($F$4:$F$945,$C$4:$C$945,C946,$D$4:$D$945,D946,$E$4:$E$945,E946,$B$4:$B$945,"DE REPROCESO")+SUMIFS($F$4:$F$945,$C$4:$C$945,C946,$D$4:$D$945,D946,$E$4:$E$945,E946,$B$4:$B$945,"AJUSTE+")-SUMIFS($F$4:$F$945,$C$4:$C$945,C946,$D$4:$D$945,D946,$E$4:$E$945,E946,$B$4:$B$945,"A CORTE")-SUMIFS($F$4:$F$945,$C$4:$C$945,C946,$D$4:$D$945,D946,$E$4:$E$945,E946,$B$4:$B$945,"A REPROCESO")-SUMIFS($F$4:$F$945,$C$4:$C$945,C946,$D$4:$D$945,D946,$E$4:$E$945,E946,$B$4:$B$945,"MUESTRA")-SUMIFS($F$4:$F$945,$C$4:$C$945,C946,$D$4:$D$945,D946,$E$4:$E$945,E946,$B$4:$B$945,"AJUSTE-")),0)</f>
        <v>0</v>
      </c>
      <c r="L946" s="13">
        <f t="shared" si="13"/>
        <v>0</v>
      </c>
      <c r="M946" s="8"/>
      <c r="N946" s="14"/>
      <c r="O946" s="14"/>
      <c r="P946" s="14"/>
      <c r="Q946" s="15"/>
      <c r="R946" s="16" t="str">
        <f t="shared" si="14"/>
        <v/>
      </c>
    </row>
    <row r="947" ht="15.75" customHeight="1">
      <c r="A947" s="7"/>
      <c r="B947" s="8"/>
      <c r="C947" s="8"/>
      <c r="D947" s="8"/>
      <c r="E947" s="8"/>
      <c r="F947" s="9"/>
      <c r="G947" s="10">
        <f>IFERROR(F947*VLOOKUP(D947,TELAS!$A$4:$C$32,3,FALSE()),0)</f>
        <v>0</v>
      </c>
      <c r="H947" s="11" t="str">
        <f>IFERROR(VLOOKUP(E947,COLORES!$A$4:$B$102,2,FALSE()),"")</f>
        <v/>
      </c>
      <c r="I947" s="12">
        <f>IFERROR(IF(H947="OSCURO",VLOOKUP(D947,PRECIOS!$A$4:$F$32,2,FALSE()),IF(H947="CLARO",VLOOKUP(D947,PRECIOS!$A$4:$F$32,3,FALSE()),IF(H947="MELANGE",VLOOKUP(D947,PRECIOS!$A$4:$F$32,4,FALSE()),IF(H947="PPT",VLOOKUP(D947,PRECIOS!$A$4:$F$32,5,FALSE()),0)))),0)</f>
        <v>0</v>
      </c>
      <c r="J947" s="12">
        <f t="shared" si="12"/>
        <v>0</v>
      </c>
      <c r="K947" s="13">
        <f>IFERROR(IF(C947="",0,SUMIFS($F$4:$F$946,$C$4:$C$946,C947,$D$4:$D$946,D947,$E$4:$E$946,E947,$B$4:$B$946,"INGRESO")+SUMIFS($F$4:$F$946,$C$4:$C$946,C947,$D$4:$D$946,D947,$E$4:$E$946,E947,$B$4:$B$946,"DE REPROCESO")+SUMIFS($F$4:$F$946,$C$4:$C$946,C947,$D$4:$D$946,D947,$E$4:$E$946,E947,$B$4:$B$946,"AJUSTE+")-SUMIFS($F$4:$F$946,$C$4:$C$946,C947,$D$4:$D$946,D947,$E$4:$E$946,E947,$B$4:$B$946,"A CORTE")-SUMIFS($F$4:$F$946,$C$4:$C$946,C947,$D$4:$D$946,D947,$E$4:$E$946,E947,$B$4:$B$946,"A REPROCESO")-SUMIFS($F$4:$F$946,$C$4:$C$946,C947,$D$4:$D$946,D947,$E$4:$E$946,E947,$B$4:$B$946,"MUESTRA")-SUMIFS($F$4:$F$946,$C$4:$C$946,C947,$D$4:$D$946,D947,$E$4:$E$946,E947,$B$4:$B$946,"AJUSTE-")),0)</f>
        <v>0</v>
      </c>
      <c r="L947" s="13">
        <f t="shared" si="13"/>
        <v>0</v>
      </c>
      <c r="M947" s="8"/>
      <c r="N947" s="14"/>
      <c r="O947" s="14"/>
      <c r="P947" s="14"/>
      <c r="Q947" s="15"/>
      <c r="R947" s="16" t="str">
        <f t="shared" si="14"/>
        <v/>
      </c>
    </row>
    <row r="948" ht="15.75" customHeight="1">
      <c r="A948" s="7"/>
      <c r="B948" s="8"/>
      <c r="C948" s="8"/>
      <c r="D948" s="8"/>
      <c r="E948" s="8"/>
      <c r="F948" s="9"/>
      <c r="G948" s="10">
        <f>IFERROR(F948*VLOOKUP(D948,TELAS!$A$4:$C$32,3,FALSE()),0)</f>
        <v>0</v>
      </c>
      <c r="H948" s="11" t="str">
        <f>IFERROR(VLOOKUP(E948,COLORES!$A$4:$B$102,2,FALSE()),"")</f>
        <v/>
      </c>
      <c r="I948" s="12">
        <f>IFERROR(IF(H948="OSCURO",VLOOKUP(D948,PRECIOS!$A$4:$F$32,2,FALSE()),IF(H948="CLARO",VLOOKUP(D948,PRECIOS!$A$4:$F$32,3,FALSE()),IF(H948="MELANGE",VLOOKUP(D948,PRECIOS!$A$4:$F$32,4,FALSE()),IF(H948="PPT",VLOOKUP(D948,PRECIOS!$A$4:$F$32,5,FALSE()),0)))),0)</f>
        <v>0</v>
      </c>
      <c r="J948" s="12">
        <f t="shared" si="12"/>
        <v>0</v>
      </c>
      <c r="K948" s="13">
        <f>IFERROR(IF(C948="",0,SUMIFS($F$4:$F$947,$C$4:$C$947,C948,$D$4:$D$947,D948,$E$4:$E$947,E948,$B$4:$B$947,"INGRESO")+SUMIFS($F$4:$F$947,$C$4:$C$947,C948,$D$4:$D$947,D948,$E$4:$E$947,E948,$B$4:$B$947,"DE REPROCESO")+SUMIFS($F$4:$F$947,$C$4:$C$947,C948,$D$4:$D$947,D948,$E$4:$E$947,E948,$B$4:$B$947,"AJUSTE+")-SUMIFS($F$4:$F$947,$C$4:$C$947,C948,$D$4:$D$947,D948,$E$4:$E$947,E948,$B$4:$B$947,"A CORTE")-SUMIFS($F$4:$F$947,$C$4:$C$947,C948,$D$4:$D$947,D948,$E$4:$E$947,E948,$B$4:$B$947,"A REPROCESO")-SUMIFS($F$4:$F$947,$C$4:$C$947,C948,$D$4:$D$947,D948,$E$4:$E$947,E948,$B$4:$B$947,"MUESTRA")-SUMIFS($F$4:$F$947,$C$4:$C$947,C948,$D$4:$D$947,D948,$E$4:$E$947,E948,$B$4:$B$947,"AJUSTE-")),0)</f>
        <v>0</v>
      </c>
      <c r="L948" s="13">
        <f t="shared" si="13"/>
        <v>0</v>
      </c>
      <c r="M948" s="8"/>
      <c r="N948" s="14"/>
      <c r="O948" s="14"/>
      <c r="P948" s="14"/>
      <c r="Q948" s="15"/>
      <c r="R948" s="16" t="str">
        <f t="shared" si="14"/>
        <v/>
      </c>
    </row>
    <row r="949" ht="15.75" customHeight="1">
      <c r="A949" s="7"/>
      <c r="B949" s="8"/>
      <c r="C949" s="8"/>
      <c r="D949" s="8"/>
      <c r="E949" s="8"/>
      <c r="F949" s="9"/>
      <c r="G949" s="10">
        <f>IFERROR(F949*VLOOKUP(D949,TELAS!$A$4:$C$32,3,FALSE()),0)</f>
        <v>0</v>
      </c>
      <c r="H949" s="11" t="str">
        <f>IFERROR(VLOOKUP(E949,COLORES!$A$4:$B$102,2,FALSE()),"")</f>
        <v/>
      </c>
      <c r="I949" s="12">
        <f>IFERROR(IF(H949="OSCURO",VLOOKUP(D949,PRECIOS!$A$4:$F$32,2,FALSE()),IF(H949="CLARO",VLOOKUP(D949,PRECIOS!$A$4:$F$32,3,FALSE()),IF(H949="MELANGE",VLOOKUP(D949,PRECIOS!$A$4:$F$32,4,FALSE()),IF(H949="PPT",VLOOKUP(D949,PRECIOS!$A$4:$F$32,5,FALSE()),0)))),0)</f>
        <v>0</v>
      </c>
      <c r="J949" s="12">
        <f t="shared" si="12"/>
        <v>0</v>
      </c>
      <c r="K949" s="13">
        <f>IFERROR(IF(C949="",0,SUMIFS($F$4:$F$948,$C$4:$C$948,C949,$D$4:$D$948,D949,$E$4:$E$948,E949,$B$4:$B$948,"INGRESO")+SUMIFS($F$4:$F$948,$C$4:$C$948,C949,$D$4:$D$948,D949,$E$4:$E$948,E949,$B$4:$B$948,"DE REPROCESO")+SUMIFS($F$4:$F$948,$C$4:$C$948,C949,$D$4:$D$948,D949,$E$4:$E$948,E949,$B$4:$B$948,"AJUSTE+")-SUMIFS($F$4:$F$948,$C$4:$C$948,C949,$D$4:$D$948,D949,$E$4:$E$948,E949,$B$4:$B$948,"A CORTE")-SUMIFS($F$4:$F$948,$C$4:$C$948,C949,$D$4:$D$948,D949,$E$4:$E$948,E949,$B$4:$B$948,"A REPROCESO")-SUMIFS($F$4:$F$948,$C$4:$C$948,C949,$D$4:$D$948,D949,$E$4:$E$948,E949,$B$4:$B$948,"MUESTRA")-SUMIFS($F$4:$F$948,$C$4:$C$948,C949,$D$4:$D$948,D949,$E$4:$E$948,E949,$B$4:$B$948,"AJUSTE-")),0)</f>
        <v>0</v>
      </c>
      <c r="L949" s="13">
        <f t="shared" si="13"/>
        <v>0</v>
      </c>
      <c r="M949" s="8"/>
      <c r="N949" s="14"/>
      <c r="O949" s="14"/>
      <c r="P949" s="14"/>
      <c r="Q949" s="15"/>
      <c r="R949" s="16" t="str">
        <f t="shared" si="14"/>
        <v/>
      </c>
    </row>
    <row r="950" ht="15.75" customHeight="1">
      <c r="A950" s="7"/>
      <c r="B950" s="8"/>
      <c r="C950" s="8"/>
      <c r="D950" s="8"/>
      <c r="E950" s="8"/>
      <c r="F950" s="9"/>
      <c r="G950" s="10">
        <f>IFERROR(F950*VLOOKUP(D950,TELAS!$A$4:$C$32,3,FALSE()),0)</f>
        <v>0</v>
      </c>
      <c r="H950" s="11" t="str">
        <f>IFERROR(VLOOKUP(E950,COLORES!$A$4:$B$102,2,FALSE()),"")</f>
        <v/>
      </c>
      <c r="I950" s="12">
        <f>IFERROR(IF(H950="OSCURO",VLOOKUP(D950,PRECIOS!$A$4:$F$32,2,FALSE()),IF(H950="CLARO",VLOOKUP(D950,PRECIOS!$A$4:$F$32,3,FALSE()),IF(H950="MELANGE",VLOOKUP(D950,PRECIOS!$A$4:$F$32,4,FALSE()),IF(H950="PPT",VLOOKUP(D950,PRECIOS!$A$4:$F$32,5,FALSE()),0)))),0)</f>
        <v>0</v>
      </c>
      <c r="J950" s="12">
        <f t="shared" si="12"/>
        <v>0</v>
      </c>
      <c r="K950" s="13">
        <f>IFERROR(IF(C950="",0,SUMIFS($F$4:$F$949,$C$4:$C$949,C950,$D$4:$D$949,D950,$E$4:$E$949,E950,$B$4:$B$949,"INGRESO")+SUMIFS($F$4:$F$949,$C$4:$C$949,C950,$D$4:$D$949,D950,$E$4:$E$949,E950,$B$4:$B$949,"DE REPROCESO")+SUMIFS($F$4:$F$949,$C$4:$C$949,C950,$D$4:$D$949,D950,$E$4:$E$949,E950,$B$4:$B$949,"AJUSTE+")-SUMIFS($F$4:$F$949,$C$4:$C$949,C950,$D$4:$D$949,D950,$E$4:$E$949,E950,$B$4:$B$949,"A CORTE")-SUMIFS($F$4:$F$949,$C$4:$C$949,C950,$D$4:$D$949,D950,$E$4:$E$949,E950,$B$4:$B$949,"A REPROCESO")-SUMIFS($F$4:$F$949,$C$4:$C$949,C950,$D$4:$D$949,D950,$E$4:$E$949,E950,$B$4:$B$949,"MUESTRA")-SUMIFS($F$4:$F$949,$C$4:$C$949,C950,$D$4:$D$949,D950,$E$4:$E$949,E950,$B$4:$B$949,"AJUSTE-")),0)</f>
        <v>0</v>
      </c>
      <c r="L950" s="13">
        <f t="shared" si="13"/>
        <v>0</v>
      </c>
      <c r="M950" s="8"/>
      <c r="N950" s="14"/>
      <c r="O950" s="14"/>
      <c r="P950" s="14"/>
      <c r="Q950" s="15"/>
      <c r="R950" s="16" t="str">
        <f t="shared" si="14"/>
        <v/>
      </c>
    </row>
    <row r="951" ht="15.75" customHeight="1">
      <c r="A951" s="7"/>
      <c r="B951" s="8"/>
      <c r="C951" s="8"/>
      <c r="D951" s="8"/>
      <c r="E951" s="8"/>
      <c r="F951" s="9"/>
      <c r="G951" s="10">
        <f>IFERROR(F951*VLOOKUP(D951,TELAS!$A$4:$C$32,3,FALSE()),0)</f>
        <v>0</v>
      </c>
      <c r="H951" s="11" t="str">
        <f>IFERROR(VLOOKUP(E951,COLORES!$A$4:$B$102,2,FALSE()),"")</f>
        <v/>
      </c>
      <c r="I951" s="12">
        <f>IFERROR(IF(H951="OSCURO",VLOOKUP(D951,PRECIOS!$A$4:$F$32,2,FALSE()),IF(H951="CLARO",VLOOKUP(D951,PRECIOS!$A$4:$F$32,3,FALSE()),IF(H951="MELANGE",VLOOKUP(D951,PRECIOS!$A$4:$F$32,4,FALSE()),IF(H951="PPT",VLOOKUP(D951,PRECIOS!$A$4:$F$32,5,FALSE()),0)))),0)</f>
        <v>0</v>
      </c>
      <c r="J951" s="12">
        <f t="shared" si="12"/>
        <v>0</v>
      </c>
      <c r="K951" s="13">
        <f>IFERROR(IF(C951="",0,SUMIFS($F$4:$F$950,$C$4:$C$950,C951,$D$4:$D$950,D951,$E$4:$E$950,E951,$B$4:$B$950,"INGRESO")+SUMIFS($F$4:$F$950,$C$4:$C$950,C951,$D$4:$D$950,D951,$E$4:$E$950,E951,$B$4:$B$950,"DE REPROCESO")+SUMIFS($F$4:$F$950,$C$4:$C$950,C951,$D$4:$D$950,D951,$E$4:$E$950,E951,$B$4:$B$950,"AJUSTE+")-SUMIFS($F$4:$F$950,$C$4:$C$950,C951,$D$4:$D$950,D951,$E$4:$E$950,E951,$B$4:$B$950,"A CORTE")-SUMIFS($F$4:$F$950,$C$4:$C$950,C951,$D$4:$D$950,D951,$E$4:$E$950,E951,$B$4:$B$950,"A REPROCESO")-SUMIFS($F$4:$F$950,$C$4:$C$950,C951,$D$4:$D$950,D951,$E$4:$E$950,E951,$B$4:$B$950,"MUESTRA")-SUMIFS($F$4:$F$950,$C$4:$C$950,C951,$D$4:$D$950,D951,$E$4:$E$950,E951,$B$4:$B$950,"AJUSTE-")),0)</f>
        <v>0</v>
      </c>
      <c r="L951" s="13">
        <f t="shared" si="13"/>
        <v>0</v>
      </c>
      <c r="M951" s="8"/>
      <c r="N951" s="14"/>
      <c r="O951" s="14"/>
      <c r="P951" s="14"/>
      <c r="Q951" s="15"/>
      <c r="R951" s="16" t="str">
        <f t="shared" si="14"/>
        <v/>
      </c>
    </row>
    <row r="952" ht="15.75" customHeight="1">
      <c r="A952" s="7"/>
      <c r="B952" s="8"/>
      <c r="C952" s="8"/>
      <c r="D952" s="8"/>
      <c r="E952" s="8"/>
      <c r="F952" s="9"/>
      <c r="G952" s="10">
        <f>IFERROR(F952*VLOOKUP(D952,TELAS!$A$4:$C$32,3,FALSE()),0)</f>
        <v>0</v>
      </c>
      <c r="H952" s="11" t="str">
        <f>IFERROR(VLOOKUP(E952,COLORES!$A$4:$B$102,2,FALSE()),"")</f>
        <v/>
      </c>
      <c r="I952" s="12">
        <f>IFERROR(IF(H952="OSCURO",VLOOKUP(D952,PRECIOS!$A$4:$F$32,2,FALSE()),IF(H952="CLARO",VLOOKUP(D952,PRECIOS!$A$4:$F$32,3,FALSE()),IF(H952="MELANGE",VLOOKUP(D952,PRECIOS!$A$4:$F$32,4,FALSE()),IF(H952="PPT",VLOOKUP(D952,PRECIOS!$A$4:$F$32,5,FALSE()),0)))),0)</f>
        <v>0</v>
      </c>
      <c r="J952" s="12">
        <f t="shared" si="12"/>
        <v>0</v>
      </c>
      <c r="K952" s="13">
        <f>IFERROR(IF(C952="",0,SUMIFS($F$4:$F$951,$C$4:$C$951,C952,$D$4:$D$951,D952,$E$4:$E$951,E952,$B$4:$B$951,"INGRESO")+SUMIFS($F$4:$F$951,$C$4:$C$951,C952,$D$4:$D$951,D952,$E$4:$E$951,E952,$B$4:$B$951,"DE REPROCESO")+SUMIFS($F$4:$F$951,$C$4:$C$951,C952,$D$4:$D$951,D952,$E$4:$E$951,E952,$B$4:$B$951,"AJUSTE+")-SUMIFS($F$4:$F$951,$C$4:$C$951,C952,$D$4:$D$951,D952,$E$4:$E$951,E952,$B$4:$B$951,"A CORTE")-SUMIFS($F$4:$F$951,$C$4:$C$951,C952,$D$4:$D$951,D952,$E$4:$E$951,E952,$B$4:$B$951,"A REPROCESO")-SUMIFS($F$4:$F$951,$C$4:$C$951,C952,$D$4:$D$951,D952,$E$4:$E$951,E952,$B$4:$B$951,"MUESTRA")-SUMIFS($F$4:$F$951,$C$4:$C$951,C952,$D$4:$D$951,D952,$E$4:$E$951,E952,$B$4:$B$951,"AJUSTE-")),0)</f>
        <v>0</v>
      </c>
      <c r="L952" s="13">
        <f t="shared" si="13"/>
        <v>0</v>
      </c>
      <c r="M952" s="8"/>
      <c r="N952" s="14"/>
      <c r="O952" s="14"/>
      <c r="P952" s="14"/>
      <c r="Q952" s="15"/>
      <c r="R952" s="16" t="str">
        <f t="shared" si="14"/>
        <v/>
      </c>
    </row>
    <row r="953" ht="15.75" customHeight="1">
      <c r="A953" s="7"/>
      <c r="B953" s="8"/>
      <c r="C953" s="8"/>
      <c r="D953" s="8"/>
      <c r="E953" s="8"/>
      <c r="F953" s="9"/>
      <c r="G953" s="10">
        <f>IFERROR(F953*VLOOKUP(D953,TELAS!$A$4:$C$32,3,FALSE()),0)</f>
        <v>0</v>
      </c>
      <c r="H953" s="11" t="str">
        <f>IFERROR(VLOOKUP(E953,COLORES!$A$4:$B$102,2,FALSE()),"")</f>
        <v/>
      </c>
      <c r="I953" s="12">
        <f>IFERROR(IF(H953="OSCURO",VLOOKUP(D953,PRECIOS!$A$4:$F$32,2,FALSE()),IF(H953="CLARO",VLOOKUP(D953,PRECIOS!$A$4:$F$32,3,FALSE()),IF(H953="MELANGE",VLOOKUP(D953,PRECIOS!$A$4:$F$32,4,FALSE()),IF(H953="PPT",VLOOKUP(D953,PRECIOS!$A$4:$F$32,5,FALSE()),0)))),0)</f>
        <v>0</v>
      </c>
      <c r="J953" s="12">
        <f t="shared" si="12"/>
        <v>0</v>
      </c>
      <c r="K953" s="13">
        <f>IFERROR(IF(C953="",0,SUMIFS($F$4:$F$952,$C$4:$C$952,C953,$D$4:$D$952,D953,$E$4:$E$952,E953,$B$4:$B$952,"INGRESO")+SUMIFS($F$4:$F$952,$C$4:$C$952,C953,$D$4:$D$952,D953,$E$4:$E$952,E953,$B$4:$B$952,"DE REPROCESO")+SUMIFS($F$4:$F$952,$C$4:$C$952,C953,$D$4:$D$952,D953,$E$4:$E$952,E953,$B$4:$B$952,"AJUSTE+")-SUMIFS($F$4:$F$952,$C$4:$C$952,C953,$D$4:$D$952,D953,$E$4:$E$952,E953,$B$4:$B$952,"A CORTE")-SUMIFS($F$4:$F$952,$C$4:$C$952,C953,$D$4:$D$952,D953,$E$4:$E$952,E953,$B$4:$B$952,"A REPROCESO")-SUMIFS($F$4:$F$952,$C$4:$C$952,C953,$D$4:$D$952,D953,$E$4:$E$952,E953,$B$4:$B$952,"MUESTRA")-SUMIFS($F$4:$F$952,$C$4:$C$952,C953,$D$4:$D$952,D953,$E$4:$E$952,E953,$B$4:$B$952,"AJUSTE-")),0)</f>
        <v>0</v>
      </c>
      <c r="L953" s="13">
        <f t="shared" si="13"/>
        <v>0</v>
      </c>
      <c r="M953" s="8"/>
      <c r="N953" s="14"/>
      <c r="O953" s="14"/>
      <c r="P953" s="14"/>
      <c r="Q953" s="15"/>
      <c r="R953" s="16" t="str">
        <f t="shared" si="14"/>
        <v/>
      </c>
    </row>
    <row r="954" ht="15.75" customHeight="1">
      <c r="A954" s="7"/>
      <c r="B954" s="8"/>
      <c r="C954" s="8"/>
      <c r="D954" s="8"/>
      <c r="E954" s="8"/>
      <c r="F954" s="9"/>
      <c r="G954" s="10">
        <f>IFERROR(F954*VLOOKUP(D954,TELAS!$A$4:$C$32,3,FALSE()),0)</f>
        <v>0</v>
      </c>
      <c r="H954" s="11" t="str">
        <f>IFERROR(VLOOKUP(E954,COLORES!$A$4:$B$102,2,FALSE()),"")</f>
        <v/>
      </c>
      <c r="I954" s="12">
        <f>IFERROR(IF(H954="OSCURO",VLOOKUP(D954,PRECIOS!$A$4:$F$32,2,FALSE()),IF(H954="CLARO",VLOOKUP(D954,PRECIOS!$A$4:$F$32,3,FALSE()),IF(H954="MELANGE",VLOOKUP(D954,PRECIOS!$A$4:$F$32,4,FALSE()),IF(H954="PPT",VLOOKUP(D954,PRECIOS!$A$4:$F$32,5,FALSE()),0)))),0)</f>
        <v>0</v>
      </c>
      <c r="J954" s="12">
        <f t="shared" si="12"/>
        <v>0</v>
      </c>
      <c r="K954" s="13">
        <f>IFERROR(IF(C954="",0,SUMIFS($F$4:$F$953,$C$4:$C$953,C954,$D$4:$D$953,D954,$E$4:$E$953,E954,$B$4:$B$953,"INGRESO")+SUMIFS($F$4:$F$953,$C$4:$C$953,C954,$D$4:$D$953,D954,$E$4:$E$953,E954,$B$4:$B$953,"DE REPROCESO")+SUMIFS($F$4:$F$953,$C$4:$C$953,C954,$D$4:$D$953,D954,$E$4:$E$953,E954,$B$4:$B$953,"AJUSTE+")-SUMIFS($F$4:$F$953,$C$4:$C$953,C954,$D$4:$D$953,D954,$E$4:$E$953,E954,$B$4:$B$953,"A CORTE")-SUMIFS($F$4:$F$953,$C$4:$C$953,C954,$D$4:$D$953,D954,$E$4:$E$953,E954,$B$4:$B$953,"A REPROCESO")-SUMIFS($F$4:$F$953,$C$4:$C$953,C954,$D$4:$D$953,D954,$E$4:$E$953,E954,$B$4:$B$953,"MUESTRA")-SUMIFS($F$4:$F$953,$C$4:$C$953,C954,$D$4:$D$953,D954,$E$4:$E$953,E954,$B$4:$B$953,"AJUSTE-")),0)</f>
        <v>0</v>
      </c>
      <c r="L954" s="13">
        <f t="shared" si="13"/>
        <v>0</v>
      </c>
      <c r="M954" s="8"/>
      <c r="N954" s="14"/>
      <c r="O954" s="14"/>
      <c r="P954" s="14"/>
      <c r="Q954" s="15"/>
      <c r="R954" s="16" t="str">
        <f t="shared" si="14"/>
        <v/>
      </c>
    </row>
    <row r="955" ht="15.75" customHeight="1">
      <c r="A955" s="7"/>
      <c r="B955" s="8"/>
      <c r="C955" s="8"/>
      <c r="D955" s="8"/>
      <c r="E955" s="8"/>
      <c r="F955" s="9"/>
      <c r="G955" s="10">
        <f>IFERROR(F955*VLOOKUP(D955,TELAS!$A$4:$C$32,3,FALSE()),0)</f>
        <v>0</v>
      </c>
      <c r="H955" s="11" t="str">
        <f>IFERROR(VLOOKUP(E955,COLORES!$A$4:$B$102,2,FALSE()),"")</f>
        <v/>
      </c>
      <c r="I955" s="12">
        <f>IFERROR(IF(H955="OSCURO",VLOOKUP(D955,PRECIOS!$A$4:$F$32,2,FALSE()),IF(H955="CLARO",VLOOKUP(D955,PRECIOS!$A$4:$F$32,3,FALSE()),IF(H955="MELANGE",VLOOKUP(D955,PRECIOS!$A$4:$F$32,4,FALSE()),IF(H955="PPT",VLOOKUP(D955,PRECIOS!$A$4:$F$32,5,FALSE()),0)))),0)</f>
        <v>0</v>
      </c>
      <c r="J955" s="12">
        <f t="shared" si="12"/>
        <v>0</v>
      </c>
      <c r="K955" s="13">
        <f>IFERROR(IF(C955="",0,SUMIFS($F$4:$F$954,$C$4:$C$954,C955,$D$4:$D$954,D955,$E$4:$E$954,E955,$B$4:$B$954,"INGRESO")+SUMIFS($F$4:$F$954,$C$4:$C$954,C955,$D$4:$D$954,D955,$E$4:$E$954,E955,$B$4:$B$954,"DE REPROCESO")+SUMIFS($F$4:$F$954,$C$4:$C$954,C955,$D$4:$D$954,D955,$E$4:$E$954,E955,$B$4:$B$954,"AJUSTE+")-SUMIFS($F$4:$F$954,$C$4:$C$954,C955,$D$4:$D$954,D955,$E$4:$E$954,E955,$B$4:$B$954,"A CORTE")-SUMIFS($F$4:$F$954,$C$4:$C$954,C955,$D$4:$D$954,D955,$E$4:$E$954,E955,$B$4:$B$954,"A REPROCESO")-SUMIFS($F$4:$F$954,$C$4:$C$954,C955,$D$4:$D$954,D955,$E$4:$E$954,E955,$B$4:$B$954,"MUESTRA")-SUMIFS($F$4:$F$954,$C$4:$C$954,C955,$D$4:$D$954,D955,$E$4:$E$954,E955,$B$4:$B$954,"AJUSTE-")),0)</f>
        <v>0</v>
      </c>
      <c r="L955" s="13">
        <f t="shared" si="13"/>
        <v>0</v>
      </c>
      <c r="M955" s="8"/>
      <c r="N955" s="14"/>
      <c r="O955" s="14"/>
      <c r="P955" s="14"/>
      <c r="Q955" s="15"/>
      <c r="R955" s="16" t="str">
        <f t="shared" si="14"/>
        <v/>
      </c>
    </row>
    <row r="956" ht="15.75" customHeight="1">
      <c r="A956" s="7"/>
      <c r="B956" s="8"/>
      <c r="C956" s="8"/>
      <c r="D956" s="8"/>
      <c r="E956" s="8"/>
      <c r="F956" s="9"/>
      <c r="G956" s="10">
        <f>IFERROR(F956*VLOOKUP(D956,TELAS!$A$4:$C$32,3,FALSE()),0)</f>
        <v>0</v>
      </c>
      <c r="H956" s="11" t="str">
        <f>IFERROR(VLOOKUP(E956,COLORES!$A$4:$B$102,2,FALSE()),"")</f>
        <v/>
      </c>
      <c r="I956" s="12">
        <f>IFERROR(IF(H956="OSCURO",VLOOKUP(D956,PRECIOS!$A$4:$F$32,2,FALSE()),IF(H956="CLARO",VLOOKUP(D956,PRECIOS!$A$4:$F$32,3,FALSE()),IF(H956="MELANGE",VLOOKUP(D956,PRECIOS!$A$4:$F$32,4,FALSE()),IF(H956="PPT",VLOOKUP(D956,PRECIOS!$A$4:$F$32,5,FALSE()),0)))),0)</f>
        <v>0</v>
      </c>
      <c r="J956" s="12">
        <f t="shared" si="12"/>
        <v>0</v>
      </c>
      <c r="K956" s="13">
        <f>IFERROR(IF(C956="",0,SUMIFS($F$4:$F$955,$C$4:$C$955,C956,$D$4:$D$955,D956,$E$4:$E$955,E956,$B$4:$B$955,"INGRESO")+SUMIFS($F$4:$F$955,$C$4:$C$955,C956,$D$4:$D$955,D956,$E$4:$E$955,E956,$B$4:$B$955,"DE REPROCESO")+SUMIFS($F$4:$F$955,$C$4:$C$955,C956,$D$4:$D$955,D956,$E$4:$E$955,E956,$B$4:$B$955,"AJUSTE+")-SUMIFS($F$4:$F$955,$C$4:$C$955,C956,$D$4:$D$955,D956,$E$4:$E$955,E956,$B$4:$B$955,"A CORTE")-SUMIFS($F$4:$F$955,$C$4:$C$955,C956,$D$4:$D$955,D956,$E$4:$E$955,E956,$B$4:$B$955,"A REPROCESO")-SUMIFS($F$4:$F$955,$C$4:$C$955,C956,$D$4:$D$955,D956,$E$4:$E$955,E956,$B$4:$B$955,"MUESTRA")-SUMIFS($F$4:$F$955,$C$4:$C$955,C956,$D$4:$D$955,D956,$E$4:$E$955,E956,$B$4:$B$955,"AJUSTE-")),0)</f>
        <v>0</v>
      </c>
      <c r="L956" s="13">
        <f t="shared" si="13"/>
        <v>0</v>
      </c>
      <c r="M956" s="8"/>
      <c r="N956" s="14"/>
      <c r="O956" s="14"/>
      <c r="P956" s="14"/>
      <c r="Q956" s="15"/>
      <c r="R956" s="16" t="str">
        <f t="shared" si="14"/>
        <v/>
      </c>
    </row>
    <row r="957" ht="15.75" customHeight="1">
      <c r="A957" s="7"/>
      <c r="B957" s="8"/>
      <c r="C957" s="8"/>
      <c r="D957" s="8"/>
      <c r="E957" s="8"/>
      <c r="F957" s="9"/>
      <c r="G957" s="10">
        <f>IFERROR(F957*VLOOKUP(D957,TELAS!$A$4:$C$32,3,FALSE()),0)</f>
        <v>0</v>
      </c>
      <c r="H957" s="11" t="str">
        <f>IFERROR(VLOOKUP(E957,COLORES!$A$4:$B$102,2,FALSE()),"")</f>
        <v/>
      </c>
      <c r="I957" s="12">
        <f>IFERROR(IF(H957="OSCURO",VLOOKUP(D957,PRECIOS!$A$4:$F$32,2,FALSE()),IF(H957="CLARO",VLOOKUP(D957,PRECIOS!$A$4:$F$32,3,FALSE()),IF(H957="MELANGE",VLOOKUP(D957,PRECIOS!$A$4:$F$32,4,FALSE()),IF(H957="PPT",VLOOKUP(D957,PRECIOS!$A$4:$F$32,5,FALSE()),0)))),0)</f>
        <v>0</v>
      </c>
      <c r="J957" s="12">
        <f t="shared" si="12"/>
        <v>0</v>
      </c>
      <c r="K957" s="13">
        <f>IFERROR(IF(C957="",0,SUMIFS($F$4:$F$956,$C$4:$C$956,C957,$D$4:$D$956,D957,$E$4:$E$956,E957,$B$4:$B$956,"INGRESO")+SUMIFS($F$4:$F$956,$C$4:$C$956,C957,$D$4:$D$956,D957,$E$4:$E$956,E957,$B$4:$B$956,"DE REPROCESO")+SUMIFS($F$4:$F$956,$C$4:$C$956,C957,$D$4:$D$956,D957,$E$4:$E$956,E957,$B$4:$B$956,"AJUSTE+")-SUMIFS($F$4:$F$956,$C$4:$C$956,C957,$D$4:$D$956,D957,$E$4:$E$956,E957,$B$4:$B$956,"A CORTE")-SUMIFS($F$4:$F$956,$C$4:$C$956,C957,$D$4:$D$956,D957,$E$4:$E$956,E957,$B$4:$B$956,"A REPROCESO")-SUMIFS($F$4:$F$956,$C$4:$C$956,C957,$D$4:$D$956,D957,$E$4:$E$956,E957,$B$4:$B$956,"MUESTRA")-SUMIFS($F$4:$F$956,$C$4:$C$956,C957,$D$4:$D$956,D957,$E$4:$E$956,E957,$B$4:$B$956,"AJUSTE-")),0)</f>
        <v>0</v>
      </c>
      <c r="L957" s="13">
        <f t="shared" si="13"/>
        <v>0</v>
      </c>
      <c r="M957" s="8"/>
      <c r="N957" s="14"/>
      <c r="O957" s="14"/>
      <c r="P957" s="14"/>
      <c r="Q957" s="15"/>
      <c r="R957" s="16" t="str">
        <f t="shared" si="14"/>
        <v/>
      </c>
    </row>
    <row r="958" ht="15.75" customHeight="1">
      <c r="A958" s="7"/>
      <c r="B958" s="8"/>
      <c r="C958" s="8"/>
      <c r="D958" s="8"/>
      <c r="E958" s="8"/>
      <c r="F958" s="9"/>
      <c r="G958" s="10">
        <f>IFERROR(F958*VLOOKUP(D958,TELAS!$A$4:$C$32,3,FALSE()),0)</f>
        <v>0</v>
      </c>
      <c r="H958" s="11" t="str">
        <f>IFERROR(VLOOKUP(E958,COLORES!$A$4:$B$102,2,FALSE()),"")</f>
        <v/>
      </c>
      <c r="I958" s="12">
        <f>IFERROR(IF(H958="OSCURO",VLOOKUP(D958,PRECIOS!$A$4:$F$32,2,FALSE()),IF(H958="CLARO",VLOOKUP(D958,PRECIOS!$A$4:$F$32,3,FALSE()),IF(H958="MELANGE",VLOOKUP(D958,PRECIOS!$A$4:$F$32,4,FALSE()),IF(H958="PPT",VLOOKUP(D958,PRECIOS!$A$4:$F$32,5,FALSE()),0)))),0)</f>
        <v>0</v>
      </c>
      <c r="J958" s="12">
        <f t="shared" si="12"/>
        <v>0</v>
      </c>
      <c r="K958" s="13">
        <f>IFERROR(IF(C958="",0,SUMIFS($F$4:$F$957,$C$4:$C$957,C958,$D$4:$D$957,D958,$E$4:$E$957,E958,$B$4:$B$957,"INGRESO")+SUMIFS($F$4:$F$957,$C$4:$C$957,C958,$D$4:$D$957,D958,$E$4:$E$957,E958,$B$4:$B$957,"DE REPROCESO")+SUMIFS($F$4:$F$957,$C$4:$C$957,C958,$D$4:$D$957,D958,$E$4:$E$957,E958,$B$4:$B$957,"AJUSTE+")-SUMIFS($F$4:$F$957,$C$4:$C$957,C958,$D$4:$D$957,D958,$E$4:$E$957,E958,$B$4:$B$957,"A CORTE")-SUMIFS($F$4:$F$957,$C$4:$C$957,C958,$D$4:$D$957,D958,$E$4:$E$957,E958,$B$4:$B$957,"A REPROCESO")-SUMIFS($F$4:$F$957,$C$4:$C$957,C958,$D$4:$D$957,D958,$E$4:$E$957,E958,$B$4:$B$957,"MUESTRA")-SUMIFS($F$4:$F$957,$C$4:$C$957,C958,$D$4:$D$957,D958,$E$4:$E$957,E958,$B$4:$B$957,"AJUSTE-")),0)</f>
        <v>0</v>
      </c>
      <c r="L958" s="13">
        <f t="shared" si="13"/>
        <v>0</v>
      </c>
      <c r="M958" s="8"/>
      <c r="N958" s="14"/>
      <c r="O958" s="14"/>
      <c r="P958" s="14"/>
      <c r="Q958" s="15"/>
      <c r="R958" s="16" t="str">
        <f t="shared" si="14"/>
        <v/>
      </c>
    </row>
    <row r="959" ht="15.75" customHeight="1">
      <c r="A959" s="7"/>
      <c r="B959" s="8"/>
      <c r="C959" s="8"/>
      <c r="D959" s="8"/>
      <c r="E959" s="8"/>
      <c r="F959" s="9"/>
      <c r="G959" s="10">
        <f>IFERROR(F959*VLOOKUP(D959,TELAS!$A$4:$C$32,3,FALSE()),0)</f>
        <v>0</v>
      </c>
      <c r="H959" s="11" t="str">
        <f>IFERROR(VLOOKUP(E959,COLORES!$A$4:$B$102,2,FALSE()),"")</f>
        <v/>
      </c>
      <c r="I959" s="12">
        <f>IFERROR(IF(H959="OSCURO",VLOOKUP(D959,PRECIOS!$A$4:$F$32,2,FALSE()),IF(H959="CLARO",VLOOKUP(D959,PRECIOS!$A$4:$F$32,3,FALSE()),IF(H959="MELANGE",VLOOKUP(D959,PRECIOS!$A$4:$F$32,4,FALSE()),IF(H959="PPT",VLOOKUP(D959,PRECIOS!$A$4:$F$32,5,FALSE()),0)))),0)</f>
        <v>0</v>
      </c>
      <c r="J959" s="12">
        <f t="shared" si="12"/>
        <v>0</v>
      </c>
      <c r="K959" s="13">
        <f>IFERROR(IF(C959="",0,SUMIFS($F$4:$F$958,$C$4:$C$958,C959,$D$4:$D$958,D959,$E$4:$E$958,E959,$B$4:$B$958,"INGRESO")+SUMIFS($F$4:$F$958,$C$4:$C$958,C959,$D$4:$D$958,D959,$E$4:$E$958,E959,$B$4:$B$958,"DE REPROCESO")+SUMIFS($F$4:$F$958,$C$4:$C$958,C959,$D$4:$D$958,D959,$E$4:$E$958,E959,$B$4:$B$958,"AJUSTE+")-SUMIFS($F$4:$F$958,$C$4:$C$958,C959,$D$4:$D$958,D959,$E$4:$E$958,E959,$B$4:$B$958,"A CORTE")-SUMIFS($F$4:$F$958,$C$4:$C$958,C959,$D$4:$D$958,D959,$E$4:$E$958,E959,$B$4:$B$958,"A REPROCESO")-SUMIFS($F$4:$F$958,$C$4:$C$958,C959,$D$4:$D$958,D959,$E$4:$E$958,E959,$B$4:$B$958,"MUESTRA")-SUMIFS($F$4:$F$958,$C$4:$C$958,C959,$D$4:$D$958,D959,$E$4:$E$958,E959,$B$4:$B$958,"AJUSTE-")),0)</f>
        <v>0</v>
      </c>
      <c r="L959" s="13">
        <f t="shared" si="13"/>
        <v>0</v>
      </c>
      <c r="M959" s="8"/>
      <c r="N959" s="14"/>
      <c r="O959" s="14"/>
      <c r="P959" s="14"/>
      <c r="Q959" s="15"/>
      <c r="R959" s="16" t="str">
        <f t="shared" si="14"/>
        <v/>
      </c>
    </row>
    <row r="960" ht="15.75" customHeight="1">
      <c r="A960" s="7"/>
      <c r="B960" s="8"/>
      <c r="C960" s="8"/>
      <c r="D960" s="8"/>
      <c r="E960" s="8"/>
      <c r="F960" s="9"/>
      <c r="G960" s="10">
        <f>IFERROR(F960*VLOOKUP(D960,TELAS!$A$4:$C$32,3,FALSE()),0)</f>
        <v>0</v>
      </c>
      <c r="H960" s="11" t="str">
        <f>IFERROR(VLOOKUP(E960,COLORES!$A$4:$B$102,2,FALSE()),"")</f>
        <v/>
      </c>
      <c r="I960" s="12">
        <f>IFERROR(IF(H960="OSCURO",VLOOKUP(D960,PRECIOS!$A$4:$F$32,2,FALSE()),IF(H960="CLARO",VLOOKUP(D960,PRECIOS!$A$4:$F$32,3,FALSE()),IF(H960="MELANGE",VLOOKUP(D960,PRECIOS!$A$4:$F$32,4,FALSE()),IF(H960="PPT",VLOOKUP(D960,PRECIOS!$A$4:$F$32,5,FALSE()),0)))),0)</f>
        <v>0</v>
      </c>
      <c r="J960" s="12">
        <f t="shared" si="12"/>
        <v>0</v>
      </c>
      <c r="K960" s="13">
        <f>IFERROR(IF(C960="",0,SUMIFS($F$4:$F$959,$C$4:$C$959,C960,$D$4:$D$959,D960,$E$4:$E$959,E960,$B$4:$B$959,"INGRESO")+SUMIFS($F$4:$F$959,$C$4:$C$959,C960,$D$4:$D$959,D960,$E$4:$E$959,E960,$B$4:$B$959,"DE REPROCESO")+SUMIFS($F$4:$F$959,$C$4:$C$959,C960,$D$4:$D$959,D960,$E$4:$E$959,E960,$B$4:$B$959,"AJUSTE+")-SUMIFS($F$4:$F$959,$C$4:$C$959,C960,$D$4:$D$959,D960,$E$4:$E$959,E960,$B$4:$B$959,"A CORTE")-SUMIFS($F$4:$F$959,$C$4:$C$959,C960,$D$4:$D$959,D960,$E$4:$E$959,E960,$B$4:$B$959,"A REPROCESO")-SUMIFS($F$4:$F$959,$C$4:$C$959,C960,$D$4:$D$959,D960,$E$4:$E$959,E960,$B$4:$B$959,"MUESTRA")-SUMIFS($F$4:$F$959,$C$4:$C$959,C960,$D$4:$D$959,D960,$E$4:$E$959,E960,$B$4:$B$959,"AJUSTE-")),0)</f>
        <v>0</v>
      </c>
      <c r="L960" s="13">
        <f t="shared" si="13"/>
        <v>0</v>
      </c>
      <c r="M960" s="8"/>
      <c r="N960" s="14"/>
      <c r="O960" s="14"/>
      <c r="P960" s="14"/>
      <c r="Q960" s="15"/>
      <c r="R960" s="16" t="str">
        <f t="shared" si="14"/>
        <v/>
      </c>
    </row>
    <row r="961" ht="15.75" customHeight="1">
      <c r="A961" s="7"/>
      <c r="B961" s="8"/>
      <c r="C961" s="8"/>
      <c r="D961" s="8"/>
      <c r="E961" s="8"/>
      <c r="F961" s="9"/>
      <c r="G961" s="10">
        <f>IFERROR(F961*VLOOKUP(D961,TELAS!$A$4:$C$32,3,FALSE()),0)</f>
        <v>0</v>
      </c>
      <c r="H961" s="11" t="str">
        <f>IFERROR(VLOOKUP(E961,COLORES!$A$4:$B$102,2,FALSE()),"")</f>
        <v/>
      </c>
      <c r="I961" s="12">
        <f>IFERROR(IF(H961="OSCURO",VLOOKUP(D961,PRECIOS!$A$4:$F$32,2,FALSE()),IF(H961="CLARO",VLOOKUP(D961,PRECIOS!$A$4:$F$32,3,FALSE()),IF(H961="MELANGE",VLOOKUP(D961,PRECIOS!$A$4:$F$32,4,FALSE()),IF(H961="PPT",VLOOKUP(D961,PRECIOS!$A$4:$F$32,5,FALSE()),0)))),0)</f>
        <v>0</v>
      </c>
      <c r="J961" s="12">
        <f t="shared" si="12"/>
        <v>0</v>
      </c>
      <c r="K961" s="13">
        <f>IFERROR(IF(C961="",0,SUMIFS($F$4:$F$960,$C$4:$C$960,C961,$D$4:$D$960,D961,$E$4:$E$960,E961,$B$4:$B$960,"INGRESO")+SUMIFS($F$4:$F$960,$C$4:$C$960,C961,$D$4:$D$960,D961,$E$4:$E$960,E961,$B$4:$B$960,"DE REPROCESO")+SUMIFS($F$4:$F$960,$C$4:$C$960,C961,$D$4:$D$960,D961,$E$4:$E$960,E961,$B$4:$B$960,"AJUSTE+")-SUMIFS($F$4:$F$960,$C$4:$C$960,C961,$D$4:$D$960,D961,$E$4:$E$960,E961,$B$4:$B$960,"A CORTE")-SUMIFS($F$4:$F$960,$C$4:$C$960,C961,$D$4:$D$960,D961,$E$4:$E$960,E961,$B$4:$B$960,"A REPROCESO")-SUMIFS($F$4:$F$960,$C$4:$C$960,C961,$D$4:$D$960,D961,$E$4:$E$960,E961,$B$4:$B$960,"MUESTRA")-SUMIFS($F$4:$F$960,$C$4:$C$960,C961,$D$4:$D$960,D961,$E$4:$E$960,E961,$B$4:$B$960,"AJUSTE-")),0)</f>
        <v>0</v>
      </c>
      <c r="L961" s="13">
        <f t="shared" si="13"/>
        <v>0</v>
      </c>
      <c r="M961" s="8"/>
      <c r="N961" s="14"/>
      <c r="O961" s="14"/>
      <c r="P961" s="14"/>
      <c r="Q961" s="15"/>
      <c r="R961" s="16" t="str">
        <f t="shared" si="14"/>
        <v/>
      </c>
    </row>
    <row r="962" ht="15.75" customHeight="1">
      <c r="A962" s="7"/>
      <c r="B962" s="8"/>
      <c r="C962" s="8"/>
      <c r="D962" s="8"/>
      <c r="E962" s="8"/>
      <c r="F962" s="9"/>
      <c r="G962" s="10">
        <f>IFERROR(F962*VLOOKUP(D962,TELAS!$A$4:$C$32,3,FALSE()),0)</f>
        <v>0</v>
      </c>
      <c r="H962" s="11" t="str">
        <f>IFERROR(VLOOKUP(E962,COLORES!$A$4:$B$102,2,FALSE()),"")</f>
        <v/>
      </c>
      <c r="I962" s="12">
        <f>IFERROR(IF(H962="OSCURO",VLOOKUP(D962,PRECIOS!$A$4:$F$32,2,FALSE()),IF(H962="CLARO",VLOOKUP(D962,PRECIOS!$A$4:$F$32,3,FALSE()),IF(H962="MELANGE",VLOOKUP(D962,PRECIOS!$A$4:$F$32,4,FALSE()),IF(H962="PPT",VLOOKUP(D962,PRECIOS!$A$4:$F$32,5,FALSE()),0)))),0)</f>
        <v>0</v>
      </c>
      <c r="J962" s="12">
        <f t="shared" si="12"/>
        <v>0</v>
      </c>
      <c r="K962" s="13">
        <f>IFERROR(IF(C962="",0,SUMIFS($F$4:$F$961,$C$4:$C$961,C962,$D$4:$D$961,D962,$E$4:$E$961,E962,$B$4:$B$961,"INGRESO")+SUMIFS($F$4:$F$961,$C$4:$C$961,C962,$D$4:$D$961,D962,$E$4:$E$961,E962,$B$4:$B$961,"DE REPROCESO")+SUMIFS($F$4:$F$961,$C$4:$C$961,C962,$D$4:$D$961,D962,$E$4:$E$961,E962,$B$4:$B$961,"AJUSTE+")-SUMIFS($F$4:$F$961,$C$4:$C$961,C962,$D$4:$D$961,D962,$E$4:$E$961,E962,$B$4:$B$961,"A CORTE")-SUMIFS($F$4:$F$961,$C$4:$C$961,C962,$D$4:$D$961,D962,$E$4:$E$961,E962,$B$4:$B$961,"A REPROCESO")-SUMIFS($F$4:$F$961,$C$4:$C$961,C962,$D$4:$D$961,D962,$E$4:$E$961,E962,$B$4:$B$961,"MUESTRA")-SUMIFS($F$4:$F$961,$C$4:$C$961,C962,$D$4:$D$961,D962,$E$4:$E$961,E962,$B$4:$B$961,"AJUSTE-")),0)</f>
        <v>0</v>
      </c>
      <c r="L962" s="13">
        <f t="shared" si="13"/>
        <v>0</v>
      </c>
      <c r="M962" s="8"/>
      <c r="N962" s="14"/>
      <c r="O962" s="14"/>
      <c r="P962" s="14"/>
      <c r="Q962" s="15"/>
      <c r="R962" s="16" t="str">
        <f t="shared" si="14"/>
        <v/>
      </c>
    </row>
    <row r="963" ht="15.75" customHeight="1">
      <c r="A963" s="7"/>
      <c r="B963" s="8"/>
      <c r="C963" s="8"/>
      <c r="D963" s="8"/>
      <c r="E963" s="8"/>
      <c r="F963" s="9"/>
      <c r="G963" s="10">
        <f>IFERROR(F963*VLOOKUP(D963,TELAS!$A$4:$C$32,3,FALSE()),0)</f>
        <v>0</v>
      </c>
      <c r="H963" s="11" t="str">
        <f>IFERROR(VLOOKUP(E963,COLORES!$A$4:$B$102,2,FALSE()),"")</f>
        <v/>
      </c>
      <c r="I963" s="12">
        <f>IFERROR(IF(H963="OSCURO",VLOOKUP(D963,PRECIOS!$A$4:$F$32,2,FALSE()),IF(H963="CLARO",VLOOKUP(D963,PRECIOS!$A$4:$F$32,3,FALSE()),IF(H963="MELANGE",VLOOKUP(D963,PRECIOS!$A$4:$F$32,4,FALSE()),IF(H963="PPT",VLOOKUP(D963,PRECIOS!$A$4:$F$32,5,FALSE()),0)))),0)</f>
        <v>0</v>
      </c>
      <c r="J963" s="12">
        <f t="shared" si="12"/>
        <v>0</v>
      </c>
      <c r="K963" s="13">
        <f>IFERROR(IF(C963="",0,SUMIFS($F$4:$F$962,$C$4:$C$962,C963,$D$4:$D$962,D963,$E$4:$E$962,E963,$B$4:$B$962,"INGRESO")+SUMIFS($F$4:$F$962,$C$4:$C$962,C963,$D$4:$D$962,D963,$E$4:$E$962,E963,$B$4:$B$962,"DE REPROCESO")+SUMIFS($F$4:$F$962,$C$4:$C$962,C963,$D$4:$D$962,D963,$E$4:$E$962,E963,$B$4:$B$962,"AJUSTE+")-SUMIFS($F$4:$F$962,$C$4:$C$962,C963,$D$4:$D$962,D963,$E$4:$E$962,E963,$B$4:$B$962,"A CORTE")-SUMIFS($F$4:$F$962,$C$4:$C$962,C963,$D$4:$D$962,D963,$E$4:$E$962,E963,$B$4:$B$962,"A REPROCESO")-SUMIFS($F$4:$F$962,$C$4:$C$962,C963,$D$4:$D$962,D963,$E$4:$E$962,E963,$B$4:$B$962,"MUESTRA")-SUMIFS($F$4:$F$962,$C$4:$C$962,C963,$D$4:$D$962,D963,$E$4:$E$962,E963,$B$4:$B$962,"AJUSTE-")),0)</f>
        <v>0</v>
      </c>
      <c r="L963" s="13">
        <f t="shared" si="13"/>
        <v>0</v>
      </c>
      <c r="M963" s="8"/>
      <c r="N963" s="14"/>
      <c r="O963" s="14"/>
      <c r="P963" s="14"/>
      <c r="Q963" s="15"/>
      <c r="R963" s="16" t="str">
        <f t="shared" si="14"/>
        <v/>
      </c>
    </row>
    <row r="964" ht="15.75" customHeight="1">
      <c r="A964" s="7"/>
      <c r="B964" s="8"/>
      <c r="C964" s="8"/>
      <c r="D964" s="8"/>
      <c r="E964" s="8"/>
      <c r="F964" s="9"/>
      <c r="G964" s="10">
        <f>IFERROR(F964*VLOOKUP(D964,TELAS!$A$4:$C$32,3,FALSE()),0)</f>
        <v>0</v>
      </c>
      <c r="H964" s="11" t="str">
        <f>IFERROR(VLOOKUP(E964,COLORES!$A$4:$B$102,2,FALSE()),"")</f>
        <v/>
      </c>
      <c r="I964" s="12">
        <f>IFERROR(IF(H964="OSCURO",VLOOKUP(D964,PRECIOS!$A$4:$F$32,2,FALSE()),IF(H964="CLARO",VLOOKUP(D964,PRECIOS!$A$4:$F$32,3,FALSE()),IF(H964="MELANGE",VLOOKUP(D964,PRECIOS!$A$4:$F$32,4,FALSE()),IF(H964="PPT",VLOOKUP(D964,PRECIOS!$A$4:$F$32,5,FALSE()),0)))),0)</f>
        <v>0</v>
      </c>
      <c r="J964" s="12">
        <f t="shared" si="12"/>
        <v>0</v>
      </c>
      <c r="K964" s="13">
        <f>IFERROR(IF(C964="",0,SUMIFS($F$4:$F$963,$C$4:$C$963,C964,$D$4:$D$963,D964,$E$4:$E$963,E964,$B$4:$B$963,"INGRESO")+SUMIFS($F$4:$F$963,$C$4:$C$963,C964,$D$4:$D$963,D964,$E$4:$E$963,E964,$B$4:$B$963,"DE REPROCESO")+SUMIFS($F$4:$F$963,$C$4:$C$963,C964,$D$4:$D$963,D964,$E$4:$E$963,E964,$B$4:$B$963,"AJUSTE+")-SUMIFS($F$4:$F$963,$C$4:$C$963,C964,$D$4:$D$963,D964,$E$4:$E$963,E964,$B$4:$B$963,"A CORTE")-SUMIFS($F$4:$F$963,$C$4:$C$963,C964,$D$4:$D$963,D964,$E$4:$E$963,E964,$B$4:$B$963,"A REPROCESO")-SUMIFS($F$4:$F$963,$C$4:$C$963,C964,$D$4:$D$963,D964,$E$4:$E$963,E964,$B$4:$B$963,"MUESTRA")-SUMIFS($F$4:$F$963,$C$4:$C$963,C964,$D$4:$D$963,D964,$E$4:$E$963,E964,$B$4:$B$963,"AJUSTE-")),0)</f>
        <v>0</v>
      </c>
      <c r="L964" s="13">
        <f t="shared" si="13"/>
        <v>0</v>
      </c>
      <c r="M964" s="8"/>
      <c r="N964" s="14"/>
      <c r="O964" s="14"/>
      <c r="P964" s="14"/>
      <c r="Q964" s="15"/>
      <c r="R964" s="16" t="str">
        <f t="shared" si="14"/>
        <v/>
      </c>
    </row>
    <row r="965" ht="15.75" customHeight="1">
      <c r="A965" s="7"/>
      <c r="B965" s="8"/>
      <c r="C965" s="8"/>
      <c r="D965" s="8"/>
      <c r="E965" s="8"/>
      <c r="F965" s="9"/>
      <c r="G965" s="10">
        <f>IFERROR(F965*VLOOKUP(D965,TELAS!$A$4:$C$32,3,FALSE()),0)</f>
        <v>0</v>
      </c>
      <c r="H965" s="11" t="str">
        <f>IFERROR(VLOOKUP(E965,COLORES!$A$4:$B$102,2,FALSE()),"")</f>
        <v/>
      </c>
      <c r="I965" s="12">
        <f>IFERROR(IF(H965="OSCURO",VLOOKUP(D965,PRECIOS!$A$4:$F$32,2,FALSE()),IF(H965="CLARO",VLOOKUP(D965,PRECIOS!$A$4:$F$32,3,FALSE()),IF(H965="MELANGE",VLOOKUP(D965,PRECIOS!$A$4:$F$32,4,FALSE()),IF(H965="PPT",VLOOKUP(D965,PRECIOS!$A$4:$F$32,5,FALSE()),0)))),0)</f>
        <v>0</v>
      </c>
      <c r="J965" s="12">
        <f t="shared" si="12"/>
        <v>0</v>
      </c>
      <c r="K965" s="13">
        <f>IFERROR(IF(C965="",0,SUMIFS($F$4:$F$964,$C$4:$C$964,C965,$D$4:$D$964,D965,$E$4:$E$964,E965,$B$4:$B$964,"INGRESO")+SUMIFS($F$4:$F$964,$C$4:$C$964,C965,$D$4:$D$964,D965,$E$4:$E$964,E965,$B$4:$B$964,"DE REPROCESO")+SUMIFS($F$4:$F$964,$C$4:$C$964,C965,$D$4:$D$964,D965,$E$4:$E$964,E965,$B$4:$B$964,"AJUSTE+")-SUMIFS($F$4:$F$964,$C$4:$C$964,C965,$D$4:$D$964,D965,$E$4:$E$964,E965,$B$4:$B$964,"A CORTE")-SUMIFS($F$4:$F$964,$C$4:$C$964,C965,$D$4:$D$964,D965,$E$4:$E$964,E965,$B$4:$B$964,"A REPROCESO")-SUMIFS($F$4:$F$964,$C$4:$C$964,C965,$D$4:$D$964,D965,$E$4:$E$964,E965,$B$4:$B$964,"MUESTRA")-SUMIFS($F$4:$F$964,$C$4:$C$964,C965,$D$4:$D$964,D965,$E$4:$E$964,E965,$B$4:$B$964,"AJUSTE-")),0)</f>
        <v>0</v>
      </c>
      <c r="L965" s="13">
        <f t="shared" si="13"/>
        <v>0</v>
      </c>
      <c r="M965" s="8"/>
      <c r="N965" s="14"/>
      <c r="O965" s="14"/>
      <c r="P965" s="14"/>
      <c r="Q965" s="15"/>
      <c r="R965" s="16" t="str">
        <f t="shared" si="14"/>
        <v/>
      </c>
    </row>
    <row r="966" ht="15.75" customHeight="1">
      <c r="A966" s="7"/>
      <c r="B966" s="8"/>
      <c r="C966" s="8"/>
      <c r="D966" s="8"/>
      <c r="E966" s="8"/>
      <c r="F966" s="9"/>
      <c r="G966" s="10">
        <f>IFERROR(F966*VLOOKUP(D966,TELAS!$A$4:$C$32,3,FALSE()),0)</f>
        <v>0</v>
      </c>
      <c r="H966" s="11" t="str">
        <f>IFERROR(VLOOKUP(E966,COLORES!$A$4:$B$102,2,FALSE()),"")</f>
        <v/>
      </c>
      <c r="I966" s="12">
        <f>IFERROR(IF(H966="OSCURO",VLOOKUP(D966,PRECIOS!$A$4:$F$32,2,FALSE()),IF(H966="CLARO",VLOOKUP(D966,PRECIOS!$A$4:$F$32,3,FALSE()),IF(H966="MELANGE",VLOOKUP(D966,PRECIOS!$A$4:$F$32,4,FALSE()),IF(H966="PPT",VLOOKUP(D966,PRECIOS!$A$4:$F$32,5,FALSE()),0)))),0)</f>
        <v>0</v>
      </c>
      <c r="J966" s="12">
        <f t="shared" si="12"/>
        <v>0</v>
      </c>
      <c r="K966" s="13">
        <f>IFERROR(IF(C966="",0,SUMIFS($F$4:$F$965,$C$4:$C$965,C966,$D$4:$D$965,D966,$E$4:$E$965,E966,$B$4:$B$965,"INGRESO")+SUMIFS($F$4:$F$965,$C$4:$C$965,C966,$D$4:$D$965,D966,$E$4:$E$965,E966,$B$4:$B$965,"DE REPROCESO")+SUMIFS($F$4:$F$965,$C$4:$C$965,C966,$D$4:$D$965,D966,$E$4:$E$965,E966,$B$4:$B$965,"AJUSTE+")-SUMIFS($F$4:$F$965,$C$4:$C$965,C966,$D$4:$D$965,D966,$E$4:$E$965,E966,$B$4:$B$965,"A CORTE")-SUMIFS($F$4:$F$965,$C$4:$C$965,C966,$D$4:$D$965,D966,$E$4:$E$965,E966,$B$4:$B$965,"A REPROCESO")-SUMIFS($F$4:$F$965,$C$4:$C$965,C966,$D$4:$D$965,D966,$E$4:$E$965,E966,$B$4:$B$965,"MUESTRA")-SUMIFS($F$4:$F$965,$C$4:$C$965,C966,$D$4:$D$965,D966,$E$4:$E$965,E966,$B$4:$B$965,"AJUSTE-")),0)</f>
        <v>0</v>
      </c>
      <c r="L966" s="13">
        <f t="shared" si="13"/>
        <v>0</v>
      </c>
      <c r="M966" s="8"/>
      <c r="N966" s="14"/>
      <c r="O966" s="14"/>
      <c r="P966" s="14"/>
      <c r="Q966" s="15"/>
      <c r="R966" s="16" t="str">
        <f t="shared" si="14"/>
        <v/>
      </c>
    </row>
    <row r="967" ht="15.75" customHeight="1">
      <c r="A967" s="7"/>
      <c r="B967" s="8"/>
      <c r="C967" s="8"/>
      <c r="D967" s="8"/>
      <c r="E967" s="8"/>
      <c r="F967" s="9"/>
      <c r="G967" s="10">
        <f>IFERROR(F967*VLOOKUP(D967,TELAS!$A$4:$C$32,3,FALSE()),0)</f>
        <v>0</v>
      </c>
      <c r="H967" s="11" t="str">
        <f>IFERROR(VLOOKUP(E967,COLORES!$A$4:$B$102,2,FALSE()),"")</f>
        <v/>
      </c>
      <c r="I967" s="12">
        <f>IFERROR(IF(H967="OSCURO",VLOOKUP(D967,PRECIOS!$A$4:$F$32,2,FALSE()),IF(H967="CLARO",VLOOKUP(D967,PRECIOS!$A$4:$F$32,3,FALSE()),IF(H967="MELANGE",VLOOKUP(D967,PRECIOS!$A$4:$F$32,4,FALSE()),IF(H967="PPT",VLOOKUP(D967,PRECIOS!$A$4:$F$32,5,FALSE()),0)))),0)</f>
        <v>0</v>
      </c>
      <c r="J967" s="12">
        <f t="shared" si="12"/>
        <v>0</v>
      </c>
      <c r="K967" s="13">
        <f>IFERROR(IF(C967="",0,SUMIFS($F$4:$F$966,$C$4:$C$966,C967,$D$4:$D$966,D967,$E$4:$E$966,E967,$B$4:$B$966,"INGRESO")+SUMIFS($F$4:$F$966,$C$4:$C$966,C967,$D$4:$D$966,D967,$E$4:$E$966,E967,$B$4:$B$966,"DE REPROCESO")+SUMIFS($F$4:$F$966,$C$4:$C$966,C967,$D$4:$D$966,D967,$E$4:$E$966,E967,$B$4:$B$966,"AJUSTE+")-SUMIFS($F$4:$F$966,$C$4:$C$966,C967,$D$4:$D$966,D967,$E$4:$E$966,E967,$B$4:$B$966,"A CORTE")-SUMIFS($F$4:$F$966,$C$4:$C$966,C967,$D$4:$D$966,D967,$E$4:$E$966,E967,$B$4:$B$966,"A REPROCESO")-SUMIFS($F$4:$F$966,$C$4:$C$966,C967,$D$4:$D$966,D967,$E$4:$E$966,E967,$B$4:$B$966,"MUESTRA")-SUMIFS($F$4:$F$966,$C$4:$C$966,C967,$D$4:$D$966,D967,$E$4:$E$966,E967,$B$4:$B$966,"AJUSTE-")),0)</f>
        <v>0</v>
      </c>
      <c r="L967" s="13">
        <f t="shared" si="13"/>
        <v>0</v>
      </c>
      <c r="M967" s="8"/>
      <c r="N967" s="14"/>
      <c r="O967" s="14"/>
      <c r="P967" s="14"/>
      <c r="Q967" s="15"/>
      <c r="R967" s="16" t="str">
        <f t="shared" si="14"/>
        <v/>
      </c>
    </row>
    <row r="968" ht="15.75" customHeight="1">
      <c r="A968" s="7"/>
      <c r="B968" s="8"/>
      <c r="C968" s="8"/>
      <c r="D968" s="8"/>
      <c r="E968" s="8"/>
      <c r="F968" s="9"/>
      <c r="G968" s="10">
        <f>IFERROR(F968*VLOOKUP(D968,TELAS!$A$4:$C$32,3,FALSE()),0)</f>
        <v>0</v>
      </c>
      <c r="H968" s="11" t="str">
        <f>IFERROR(VLOOKUP(E968,COLORES!$A$4:$B$102,2,FALSE()),"")</f>
        <v/>
      </c>
      <c r="I968" s="12">
        <f>IFERROR(IF(H968="OSCURO",VLOOKUP(D968,PRECIOS!$A$4:$F$32,2,FALSE()),IF(H968="CLARO",VLOOKUP(D968,PRECIOS!$A$4:$F$32,3,FALSE()),IF(H968="MELANGE",VLOOKUP(D968,PRECIOS!$A$4:$F$32,4,FALSE()),IF(H968="PPT",VLOOKUP(D968,PRECIOS!$A$4:$F$32,5,FALSE()),0)))),0)</f>
        <v>0</v>
      </c>
      <c r="J968" s="12">
        <f t="shared" si="12"/>
        <v>0</v>
      </c>
      <c r="K968" s="13">
        <f>IFERROR(IF(C968="",0,SUMIFS($F$4:$F$967,$C$4:$C$967,C968,$D$4:$D$967,D968,$E$4:$E$967,E968,$B$4:$B$967,"INGRESO")+SUMIFS($F$4:$F$967,$C$4:$C$967,C968,$D$4:$D$967,D968,$E$4:$E$967,E968,$B$4:$B$967,"DE REPROCESO")+SUMIFS($F$4:$F$967,$C$4:$C$967,C968,$D$4:$D$967,D968,$E$4:$E$967,E968,$B$4:$B$967,"AJUSTE+")-SUMIFS($F$4:$F$967,$C$4:$C$967,C968,$D$4:$D$967,D968,$E$4:$E$967,E968,$B$4:$B$967,"A CORTE")-SUMIFS($F$4:$F$967,$C$4:$C$967,C968,$D$4:$D$967,D968,$E$4:$E$967,E968,$B$4:$B$967,"A REPROCESO")-SUMIFS($F$4:$F$967,$C$4:$C$967,C968,$D$4:$D$967,D968,$E$4:$E$967,E968,$B$4:$B$967,"MUESTRA")-SUMIFS($F$4:$F$967,$C$4:$C$967,C968,$D$4:$D$967,D968,$E$4:$E$967,E968,$B$4:$B$967,"AJUSTE-")),0)</f>
        <v>0</v>
      </c>
      <c r="L968" s="13">
        <f t="shared" si="13"/>
        <v>0</v>
      </c>
      <c r="M968" s="8"/>
      <c r="N968" s="14"/>
      <c r="O968" s="14"/>
      <c r="P968" s="14"/>
      <c r="Q968" s="15"/>
      <c r="R968" s="16" t="str">
        <f t="shared" si="14"/>
        <v/>
      </c>
    </row>
    <row r="969" ht="15.75" customHeight="1">
      <c r="A969" s="7"/>
      <c r="B969" s="8"/>
      <c r="C969" s="8"/>
      <c r="D969" s="8"/>
      <c r="E969" s="8"/>
      <c r="F969" s="9"/>
      <c r="G969" s="10">
        <f>IFERROR(F969*VLOOKUP(D969,TELAS!$A$4:$C$32,3,FALSE()),0)</f>
        <v>0</v>
      </c>
      <c r="H969" s="11" t="str">
        <f>IFERROR(VLOOKUP(E969,COLORES!$A$4:$B$102,2,FALSE()),"")</f>
        <v/>
      </c>
      <c r="I969" s="12">
        <f>IFERROR(IF(H969="OSCURO",VLOOKUP(D969,PRECIOS!$A$4:$F$32,2,FALSE()),IF(H969="CLARO",VLOOKUP(D969,PRECIOS!$A$4:$F$32,3,FALSE()),IF(H969="MELANGE",VLOOKUP(D969,PRECIOS!$A$4:$F$32,4,FALSE()),IF(H969="PPT",VLOOKUP(D969,PRECIOS!$A$4:$F$32,5,FALSE()),0)))),0)</f>
        <v>0</v>
      </c>
      <c r="J969" s="12">
        <f t="shared" si="12"/>
        <v>0</v>
      </c>
      <c r="K969" s="13">
        <f>IFERROR(IF(C969="",0,SUMIFS($F$4:$F$968,$C$4:$C$968,C969,$D$4:$D$968,D969,$E$4:$E$968,E969,$B$4:$B$968,"INGRESO")+SUMIFS($F$4:$F$968,$C$4:$C$968,C969,$D$4:$D$968,D969,$E$4:$E$968,E969,$B$4:$B$968,"DE REPROCESO")+SUMIFS($F$4:$F$968,$C$4:$C$968,C969,$D$4:$D$968,D969,$E$4:$E$968,E969,$B$4:$B$968,"AJUSTE+")-SUMIFS($F$4:$F$968,$C$4:$C$968,C969,$D$4:$D$968,D969,$E$4:$E$968,E969,$B$4:$B$968,"A CORTE")-SUMIFS($F$4:$F$968,$C$4:$C$968,C969,$D$4:$D$968,D969,$E$4:$E$968,E969,$B$4:$B$968,"A REPROCESO")-SUMIFS($F$4:$F$968,$C$4:$C$968,C969,$D$4:$D$968,D969,$E$4:$E$968,E969,$B$4:$B$968,"MUESTRA")-SUMIFS($F$4:$F$968,$C$4:$C$968,C969,$D$4:$D$968,D969,$E$4:$E$968,E969,$B$4:$B$968,"AJUSTE-")),0)</f>
        <v>0</v>
      </c>
      <c r="L969" s="13">
        <f t="shared" si="13"/>
        <v>0</v>
      </c>
      <c r="M969" s="8"/>
      <c r="N969" s="14"/>
      <c r="O969" s="14"/>
      <c r="P969" s="14"/>
      <c r="Q969" s="15"/>
      <c r="R969" s="16" t="str">
        <f t="shared" si="14"/>
        <v/>
      </c>
    </row>
    <row r="970" ht="15.75" customHeight="1">
      <c r="A970" s="7"/>
      <c r="B970" s="8"/>
      <c r="C970" s="8"/>
      <c r="D970" s="8"/>
      <c r="E970" s="8"/>
      <c r="F970" s="9"/>
      <c r="G970" s="10">
        <f>IFERROR(F970*VLOOKUP(D970,TELAS!$A$4:$C$32,3,FALSE()),0)</f>
        <v>0</v>
      </c>
      <c r="H970" s="11" t="str">
        <f>IFERROR(VLOOKUP(E970,COLORES!$A$4:$B$102,2,FALSE()),"")</f>
        <v/>
      </c>
      <c r="I970" s="12">
        <f>IFERROR(IF(H970="OSCURO",VLOOKUP(D970,PRECIOS!$A$4:$F$32,2,FALSE()),IF(H970="CLARO",VLOOKUP(D970,PRECIOS!$A$4:$F$32,3,FALSE()),IF(H970="MELANGE",VLOOKUP(D970,PRECIOS!$A$4:$F$32,4,FALSE()),IF(H970="PPT",VLOOKUP(D970,PRECIOS!$A$4:$F$32,5,FALSE()),0)))),0)</f>
        <v>0</v>
      </c>
      <c r="J970" s="12">
        <f t="shared" si="12"/>
        <v>0</v>
      </c>
      <c r="K970" s="13">
        <f>IFERROR(IF(C970="",0,SUMIFS($F$4:$F$969,$C$4:$C$969,C970,$D$4:$D$969,D970,$E$4:$E$969,E970,$B$4:$B$969,"INGRESO")+SUMIFS($F$4:$F$969,$C$4:$C$969,C970,$D$4:$D$969,D970,$E$4:$E$969,E970,$B$4:$B$969,"DE REPROCESO")+SUMIFS($F$4:$F$969,$C$4:$C$969,C970,$D$4:$D$969,D970,$E$4:$E$969,E970,$B$4:$B$969,"AJUSTE+")-SUMIFS($F$4:$F$969,$C$4:$C$969,C970,$D$4:$D$969,D970,$E$4:$E$969,E970,$B$4:$B$969,"A CORTE")-SUMIFS($F$4:$F$969,$C$4:$C$969,C970,$D$4:$D$969,D970,$E$4:$E$969,E970,$B$4:$B$969,"A REPROCESO")-SUMIFS($F$4:$F$969,$C$4:$C$969,C970,$D$4:$D$969,D970,$E$4:$E$969,E970,$B$4:$B$969,"MUESTRA")-SUMIFS($F$4:$F$969,$C$4:$C$969,C970,$D$4:$D$969,D970,$E$4:$E$969,E970,$B$4:$B$969,"AJUSTE-")),0)</f>
        <v>0</v>
      </c>
      <c r="L970" s="13">
        <f t="shared" si="13"/>
        <v>0</v>
      </c>
      <c r="M970" s="8"/>
      <c r="N970" s="14"/>
      <c r="O970" s="14"/>
      <c r="P970" s="14"/>
      <c r="Q970" s="15"/>
      <c r="R970" s="16" t="str">
        <f t="shared" si="14"/>
        <v/>
      </c>
    </row>
    <row r="971" ht="15.75" customHeight="1">
      <c r="A971" s="7"/>
      <c r="B971" s="8"/>
      <c r="C971" s="8"/>
      <c r="D971" s="8"/>
      <c r="E971" s="8"/>
      <c r="F971" s="9"/>
      <c r="G971" s="10">
        <f>IFERROR(F971*VLOOKUP(D971,TELAS!$A$4:$C$32,3,FALSE()),0)</f>
        <v>0</v>
      </c>
      <c r="H971" s="11" t="str">
        <f>IFERROR(VLOOKUP(E971,COLORES!$A$4:$B$102,2,FALSE()),"")</f>
        <v/>
      </c>
      <c r="I971" s="12">
        <f>IFERROR(IF(H971="OSCURO",VLOOKUP(D971,PRECIOS!$A$4:$F$32,2,FALSE()),IF(H971="CLARO",VLOOKUP(D971,PRECIOS!$A$4:$F$32,3,FALSE()),IF(H971="MELANGE",VLOOKUP(D971,PRECIOS!$A$4:$F$32,4,FALSE()),IF(H971="PPT",VLOOKUP(D971,PRECIOS!$A$4:$F$32,5,FALSE()),0)))),0)</f>
        <v>0</v>
      </c>
      <c r="J971" s="12">
        <f t="shared" si="12"/>
        <v>0</v>
      </c>
      <c r="K971" s="13">
        <f>IFERROR(IF(C971="",0,SUMIFS($F$4:$F$970,$C$4:$C$970,C971,$D$4:$D$970,D971,$E$4:$E$970,E971,$B$4:$B$970,"INGRESO")+SUMIFS($F$4:$F$970,$C$4:$C$970,C971,$D$4:$D$970,D971,$E$4:$E$970,E971,$B$4:$B$970,"DE REPROCESO")+SUMIFS($F$4:$F$970,$C$4:$C$970,C971,$D$4:$D$970,D971,$E$4:$E$970,E971,$B$4:$B$970,"AJUSTE+")-SUMIFS($F$4:$F$970,$C$4:$C$970,C971,$D$4:$D$970,D971,$E$4:$E$970,E971,$B$4:$B$970,"A CORTE")-SUMIFS($F$4:$F$970,$C$4:$C$970,C971,$D$4:$D$970,D971,$E$4:$E$970,E971,$B$4:$B$970,"A REPROCESO")-SUMIFS($F$4:$F$970,$C$4:$C$970,C971,$D$4:$D$970,D971,$E$4:$E$970,E971,$B$4:$B$970,"MUESTRA")-SUMIFS($F$4:$F$970,$C$4:$C$970,C971,$D$4:$D$970,D971,$E$4:$E$970,E971,$B$4:$B$970,"AJUSTE-")),0)</f>
        <v>0</v>
      </c>
      <c r="L971" s="13">
        <f t="shared" si="13"/>
        <v>0</v>
      </c>
      <c r="M971" s="8"/>
      <c r="N971" s="14"/>
      <c r="O971" s="14"/>
      <c r="P971" s="14"/>
      <c r="Q971" s="15"/>
      <c r="R971" s="16" t="str">
        <f t="shared" si="14"/>
        <v/>
      </c>
    </row>
    <row r="972" ht="15.75" customHeight="1">
      <c r="A972" s="7"/>
      <c r="B972" s="8"/>
      <c r="C972" s="8"/>
      <c r="D972" s="8"/>
      <c r="E972" s="8"/>
      <c r="F972" s="9"/>
      <c r="G972" s="10">
        <f>IFERROR(F972*VLOOKUP(D972,TELAS!$A$4:$C$32,3,FALSE()),0)</f>
        <v>0</v>
      </c>
      <c r="H972" s="11" t="str">
        <f>IFERROR(VLOOKUP(E972,COLORES!$A$4:$B$102,2,FALSE()),"")</f>
        <v/>
      </c>
      <c r="I972" s="12">
        <f>IFERROR(IF(H972="OSCURO",VLOOKUP(D972,PRECIOS!$A$4:$F$32,2,FALSE()),IF(H972="CLARO",VLOOKUP(D972,PRECIOS!$A$4:$F$32,3,FALSE()),IF(H972="MELANGE",VLOOKUP(D972,PRECIOS!$A$4:$F$32,4,FALSE()),IF(H972="PPT",VLOOKUP(D972,PRECIOS!$A$4:$F$32,5,FALSE()),0)))),0)</f>
        <v>0</v>
      </c>
      <c r="J972" s="12">
        <f t="shared" si="12"/>
        <v>0</v>
      </c>
      <c r="K972" s="13">
        <f>IFERROR(IF(C972="",0,SUMIFS($F$4:$F$971,$C$4:$C$971,C972,$D$4:$D$971,D972,$E$4:$E$971,E972,$B$4:$B$971,"INGRESO")+SUMIFS($F$4:$F$971,$C$4:$C$971,C972,$D$4:$D$971,D972,$E$4:$E$971,E972,$B$4:$B$971,"DE REPROCESO")+SUMIFS($F$4:$F$971,$C$4:$C$971,C972,$D$4:$D$971,D972,$E$4:$E$971,E972,$B$4:$B$971,"AJUSTE+")-SUMIFS($F$4:$F$971,$C$4:$C$971,C972,$D$4:$D$971,D972,$E$4:$E$971,E972,$B$4:$B$971,"A CORTE")-SUMIFS($F$4:$F$971,$C$4:$C$971,C972,$D$4:$D$971,D972,$E$4:$E$971,E972,$B$4:$B$971,"A REPROCESO")-SUMIFS($F$4:$F$971,$C$4:$C$971,C972,$D$4:$D$971,D972,$E$4:$E$971,E972,$B$4:$B$971,"MUESTRA")-SUMIFS($F$4:$F$971,$C$4:$C$971,C972,$D$4:$D$971,D972,$E$4:$E$971,E972,$B$4:$B$971,"AJUSTE-")),0)</f>
        <v>0</v>
      </c>
      <c r="L972" s="13">
        <f t="shared" si="13"/>
        <v>0</v>
      </c>
      <c r="M972" s="8"/>
      <c r="N972" s="14"/>
      <c r="O972" s="14"/>
      <c r="P972" s="14"/>
      <c r="Q972" s="15"/>
      <c r="R972" s="16" t="str">
        <f t="shared" si="14"/>
        <v/>
      </c>
    </row>
    <row r="973" ht="15.75" customHeight="1">
      <c r="A973" s="7"/>
      <c r="B973" s="8"/>
      <c r="C973" s="8"/>
      <c r="D973" s="8"/>
      <c r="E973" s="8"/>
      <c r="F973" s="9"/>
      <c r="G973" s="10">
        <f>IFERROR(F973*VLOOKUP(D973,TELAS!$A$4:$C$32,3,FALSE()),0)</f>
        <v>0</v>
      </c>
      <c r="H973" s="11" t="str">
        <f>IFERROR(VLOOKUP(E973,COLORES!$A$4:$B$102,2,FALSE()),"")</f>
        <v/>
      </c>
      <c r="I973" s="12">
        <f>IFERROR(IF(H973="OSCURO",VLOOKUP(D973,PRECIOS!$A$4:$F$32,2,FALSE()),IF(H973="CLARO",VLOOKUP(D973,PRECIOS!$A$4:$F$32,3,FALSE()),IF(H973="MELANGE",VLOOKUP(D973,PRECIOS!$A$4:$F$32,4,FALSE()),IF(H973="PPT",VLOOKUP(D973,PRECIOS!$A$4:$F$32,5,FALSE()),0)))),0)</f>
        <v>0</v>
      </c>
      <c r="J973" s="12">
        <f t="shared" si="12"/>
        <v>0</v>
      </c>
      <c r="K973" s="13">
        <f>IFERROR(IF(C973="",0,SUMIFS($F$4:$F$972,$C$4:$C$972,C973,$D$4:$D$972,D973,$E$4:$E$972,E973,$B$4:$B$972,"INGRESO")+SUMIFS($F$4:$F$972,$C$4:$C$972,C973,$D$4:$D$972,D973,$E$4:$E$972,E973,$B$4:$B$972,"DE REPROCESO")+SUMIFS($F$4:$F$972,$C$4:$C$972,C973,$D$4:$D$972,D973,$E$4:$E$972,E973,$B$4:$B$972,"AJUSTE+")-SUMIFS($F$4:$F$972,$C$4:$C$972,C973,$D$4:$D$972,D973,$E$4:$E$972,E973,$B$4:$B$972,"A CORTE")-SUMIFS($F$4:$F$972,$C$4:$C$972,C973,$D$4:$D$972,D973,$E$4:$E$972,E973,$B$4:$B$972,"A REPROCESO")-SUMIFS($F$4:$F$972,$C$4:$C$972,C973,$D$4:$D$972,D973,$E$4:$E$972,E973,$B$4:$B$972,"MUESTRA")-SUMIFS($F$4:$F$972,$C$4:$C$972,C973,$D$4:$D$972,D973,$E$4:$E$972,E973,$B$4:$B$972,"AJUSTE-")),0)</f>
        <v>0</v>
      </c>
      <c r="L973" s="13">
        <f t="shared" si="13"/>
        <v>0</v>
      </c>
      <c r="M973" s="8"/>
      <c r="N973" s="14"/>
      <c r="O973" s="14"/>
      <c r="P973" s="14"/>
      <c r="Q973" s="15"/>
      <c r="R973" s="16" t="str">
        <f t="shared" si="14"/>
        <v/>
      </c>
    </row>
    <row r="974" ht="15.75" customHeight="1">
      <c r="A974" s="7"/>
      <c r="B974" s="8"/>
      <c r="C974" s="8"/>
      <c r="D974" s="8"/>
      <c r="E974" s="8"/>
      <c r="F974" s="9"/>
      <c r="G974" s="10">
        <f>IFERROR(F974*VLOOKUP(D974,TELAS!$A$4:$C$32,3,FALSE()),0)</f>
        <v>0</v>
      </c>
      <c r="H974" s="11" t="str">
        <f>IFERROR(VLOOKUP(E974,COLORES!$A$4:$B$102,2,FALSE()),"")</f>
        <v/>
      </c>
      <c r="I974" s="12">
        <f>IFERROR(IF(H974="OSCURO",VLOOKUP(D974,PRECIOS!$A$4:$F$32,2,FALSE()),IF(H974="CLARO",VLOOKUP(D974,PRECIOS!$A$4:$F$32,3,FALSE()),IF(H974="MELANGE",VLOOKUP(D974,PRECIOS!$A$4:$F$32,4,FALSE()),IF(H974="PPT",VLOOKUP(D974,PRECIOS!$A$4:$F$32,5,FALSE()),0)))),0)</f>
        <v>0</v>
      </c>
      <c r="J974" s="12">
        <f t="shared" si="12"/>
        <v>0</v>
      </c>
      <c r="K974" s="13">
        <f>IFERROR(IF(C974="",0,SUMIFS($F$4:$F$973,$C$4:$C$973,C974,$D$4:$D$973,D974,$E$4:$E$973,E974,$B$4:$B$973,"INGRESO")+SUMIFS($F$4:$F$973,$C$4:$C$973,C974,$D$4:$D$973,D974,$E$4:$E$973,E974,$B$4:$B$973,"DE REPROCESO")+SUMIFS($F$4:$F$973,$C$4:$C$973,C974,$D$4:$D$973,D974,$E$4:$E$973,E974,$B$4:$B$973,"AJUSTE+")-SUMIFS($F$4:$F$973,$C$4:$C$973,C974,$D$4:$D$973,D974,$E$4:$E$973,E974,$B$4:$B$973,"A CORTE")-SUMIFS($F$4:$F$973,$C$4:$C$973,C974,$D$4:$D$973,D974,$E$4:$E$973,E974,$B$4:$B$973,"A REPROCESO")-SUMIFS($F$4:$F$973,$C$4:$C$973,C974,$D$4:$D$973,D974,$E$4:$E$973,E974,$B$4:$B$973,"MUESTRA")-SUMIFS($F$4:$F$973,$C$4:$C$973,C974,$D$4:$D$973,D974,$E$4:$E$973,E974,$B$4:$B$973,"AJUSTE-")),0)</f>
        <v>0</v>
      </c>
      <c r="L974" s="13">
        <f t="shared" si="13"/>
        <v>0</v>
      </c>
      <c r="M974" s="8"/>
      <c r="N974" s="14"/>
      <c r="O974" s="14"/>
      <c r="P974" s="14"/>
      <c r="Q974" s="15"/>
      <c r="R974" s="16" t="str">
        <f t="shared" si="14"/>
        <v/>
      </c>
    </row>
    <row r="975" ht="15.75" customHeight="1">
      <c r="A975" s="7"/>
      <c r="B975" s="8"/>
      <c r="C975" s="8"/>
      <c r="D975" s="8"/>
      <c r="E975" s="8"/>
      <c r="F975" s="9"/>
      <c r="G975" s="10">
        <f>IFERROR(F975*VLOOKUP(D975,TELAS!$A$4:$C$32,3,FALSE()),0)</f>
        <v>0</v>
      </c>
      <c r="H975" s="11" t="str">
        <f>IFERROR(VLOOKUP(E975,COLORES!$A$4:$B$102,2,FALSE()),"")</f>
        <v/>
      </c>
      <c r="I975" s="12">
        <f>IFERROR(IF(H975="OSCURO",VLOOKUP(D975,PRECIOS!$A$4:$F$32,2,FALSE()),IF(H975="CLARO",VLOOKUP(D975,PRECIOS!$A$4:$F$32,3,FALSE()),IF(H975="MELANGE",VLOOKUP(D975,PRECIOS!$A$4:$F$32,4,FALSE()),IF(H975="PPT",VLOOKUP(D975,PRECIOS!$A$4:$F$32,5,FALSE()),0)))),0)</f>
        <v>0</v>
      </c>
      <c r="J975" s="12">
        <f t="shared" si="12"/>
        <v>0</v>
      </c>
      <c r="K975" s="13">
        <f>IFERROR(IF(C975="",0,SUMIFS($F$4:$F$974,$C$4:$C$974,C975,$D$4:$D$974,D975,$E$4:$E$974,E975,$B$4:$B$974,"INGRESO")+SUMIFS($F$4:$F$974,$C$4:$C$974,C975,$D$4:$D$974,D975,$E$4:$E$974,E975,$B$4:$B$974,"DE REPROCESO")+SUMIFS($F$4:$F$974,$C$4:$C$974,C975,$D$4:$D$974,D975,$E$4:$E$974,E975,$B$4:$B$974,"AJUSTE+")-SUMIFS($F$4:$F$974,$C$4:$C$974,C975,$D$4:$D$974,D975,$E$4:$E$974,E975,$B$4:$B$974,"A CORTE")-SUMIFS($F$4:$F$974,$C$4:$C$974,C975,$D$4:$D$974,D975,$E$4:$E$974,E975,$B$4:$B$974,"A REPROCESO")-SUMIFS($F$4:$F$974,$C$4:$C$974,C975,$D$4:$D$974,D975,$E$4:$E$974,E975,$B$4:$B$974,"MUESTRA")-SUMIFS($F$4:$F$974,$C$4:$C$974,C975,$D$4:$D$974,D975,$E$4:$E$974,E975,$B$4:$B$974,"AJUSTE-")),0)</f>
        <v>0</v>
      </c>
      <c r="L975" s="13">
        <f t="shared" si="13"/>
        <v>0</v>
      </c>
      <c r="M975" s="8"/>
      <c r="N975" s="14"/>
      <c r="O975" s="14"/>
      <c r="P975" s="14"/>
      <c r="Q975" s="15"/>
      <c r="R975" s="16" t="str">
        <f t="shared" si="14"/>
        <v/>
      </c>
    </row>
    <row r="976" ht="15.75" customHeight="1">
      <c r="A976" s="7"/>
      <c r="B976" s="8"/>
      <c r="C976" s="8"/>
      <c r="D976" s="8"/>
      <c r="E976" s="8"/>
      <c r="F976" s="9"/>
      <c r="G976" s="10">
        <f>IFERROR(F976*VLOOKUP(D976,TELAS!$A$4:$C$32,3,FALSE()),0)</f>
        <v>0</v>
      </c>
      <c r="H976" s="11" t="str">
        <f>IFERROR(VLOOKUP(E976,COLORES!$A$4:$B$102,2,FALSE()),"")</f>
        <v/>
      </c>
      <c r="I976" s="12">
        <f>IFERROR(IF(H976="OSCURO",VLOOKUP(D976,PRECIOS!$A$4:$F$32,2,FALSE()),IF(H976="CLARO",VLOOKUP(D976,PRECIOS!$A$4:$F$32,3,FALSE()),IF(H976="MELANGE",VLOOKUP(D976,PRECIOS!$A$4:$F$32,4,FALSE()),IF(H976="PPT",VLOOKUP(D976,PRECIOS!$A$4:$F$32,5,FALSE()),0)))),0)</f>
        <v>0</v>
      </c>
      <c r="J976" s="12">
        <f t="shared" si="12"/>
        <v>0</v>
      </c>
      <c r="K976" s="13">
        <f>IFERROR(IF(C976="",0,SUMIFS($F$4:$F$975,$C$4:$C$975,C976,$D$4:$D$975,D976,$E$4:$E$975,E976,$B$4:$B$975,"INGRESO")+SUMIFS($F$4:$F$975,$C$4:$C$975,C976,$D$4:$D$975,D976,$E$4:$E$975,E976,$B$4:$B$975,"DE REPROCESO")+SUMIFS($F$4:$F$975,$C$4:$C$975,C976,$D$4:$D$975,D976,$E$4:$E$975,E976,$B$4:$B$975,"AJUSTE+")-SUMIFS($F$4:$F$975,$C$4:$C$975,C976,$D$4:$D$975,D976,$E$4:$E$975,E976,$B$4:$B$975,"A CORTE")-SUMIFS($F$4:$F$975,$C$4:$C$975,C976,$D$4:$D$975,D976,$E$4:$E$975,E976,$B$4:$B$975,"A REPROCESO")-SUMIFS($F$4:$F$975,$C$4:$C$975,C976,$D$4:$D$975,D976,$E$4:$E$975,E976,$B$4:$B$975,"MUESTRA")-SUMIFS($F$4:$F$975,$C$4:$C$975,C976,$D$4:$D$975,D976,$E$4:$E$975,E976,$B$4:$B$975,"AJUSTE-")),0)</f>
        <v>0</v>
      </c>
      <c r="L976" s="13">
        <f t="shared" si="13"/>
        <v>0</v>
      </c>
      <c r="M976" s="8"/>
      <c r="N976" s="14"/>
      <c r="O976" s="14"/>
      <c r="P976" s="14"/>
      <c r="Q976" s="15"/>
      <c r="R976" s="16" t="str">
        <f t="shared" si="14"/>
        <v/>
      </c>
    </row>
    <row r="977" ht="15.75" customHeight="1">
      <c r="A977" s="7"/>
      <c r="B977" s="8"/>
      <c r="C977" s="8"/>
      <c r="D977" s="8"/>
      <c r="E977" s="8"/>
      <c r="F977" s="9"/>
      <c r="G977" s="10">
        <f>IFERROR(F977*VLOOKUP(D977,TELAS!$A$4:$C$32,3,FALSE()),0)</f>
        <v>0</v>
      </c>
      <c r="H977" s="11" t="str">
        <f>IFERROR(VLOOKUP(E977,COLORES!$A$4:$B$102,2,FALSE()),"")</f>
        <v/>
      </c>
      <c r="I977" s="12">
        <f>IFERROR(IF(H977="OSCURO",VLOOKUP(D977,PRECIOS!$A$4:$F$32,2,FALSE()),IF(H977="CLARO",VLOOKUP(D977,PRECIOS!$A$4:$F$32,3,FALSE()),IF(H977="MELANGE",VLOOKUP(D977,PRECIOS!$A$4:$F$32,4,FALSE()),IF(H977="PPT",VLOOKUP(D977,PRECIOS!$A$4:$F$32,5,FALSE()),0)))),0)</f>
        <v>0</v>
      </c>
      <c r="J977" s="12">
        <f t="shared" si="12"/>
        <v>0</v>
      </c>
      <c r="K977" s="13">
        <f>IFERROR(IF(C977="",0,SUMIFS($F$4:$F$976,$C$4:$C$976,C977,$D$4:$D$976,D977,$E$4:$E$976,E977,$B$4:$B$976,"INGRESO")+SUMIFS($F$4:$F$976,$C$4:$C$976,C977,$D$4:$D$976,D977,$E$4:$E$976,E977,$B$4:$B$976,"DE REPROCESO")+SUMIFS($F$4:$F$976,$C$4:$C$976,C977,$D$4:$D$976,D977,$E$4:$E$976,E977,$B$4:$B$976,"AJUSTE+")-SUMIFS($F$4:$F$976,$C$4:$C$976,C977,$D$4:$D$976,D977,$E$4:$E$976,E977,$B$4:$B$976,"A CORTE")-SUMIFS($F$4:$F$976,$C$4:$C$976,C977,$D$4:$D$976,D977,$E$4:$E$976,E977,$B$4:$B$976,"A REPROCESO")-SUMIFS($F$4:$F$976,$C$4:$C$976,C977,$D$4:$D$976,D977,$E$4:$E$976,E977,$B$4:$B$976,"MUESTRA")-SUMIFS($F$4:$F$976,$C$4:$C$976,C977,$D$4:$D$976,D977,$E$4:$E$976,E977,$B$4:$B$976,"AJUSTE-")),0)</f>
        <v>0</v>
      </c>
      <c r="L977" s="13">
        <f t="shared" si="13"/>
        <v>0</v>
      </c>
      <c r="M977" s="8"/>
      <c r="N977" s="14"/>
      <c r="O977" s="14"/>
      <c r="P977" s="14"/>
      <c r="Q977" s="15"/>
      <c r="R977" s="16" t="str">
        <f t="shared" si="14"/>
        <v/>
      </c>
    </row>
    <row r="978" ht="15.75" customHeight="1">
      <c r="A978" s="7"/>
      <c r="B978" s="8"/>
      <c r="C978" s="8"/>
      <c r="D978" s="8"/>
      <c r="E978" s="8"/>
      <c r="F978" s="9"/>
      <c r="G978" s="10">
        <f>IFERROR(F978*VLOOKUP(D978,TELAS!$A$4:$C$32,3,FALSE()),0)</f>
        <v>0</v>
      </c>
      <c r="H978" s="11" t="str">
        <f>IFERROR(VLOOKUP(E978,COLORES!$A$4:$B$102,2,FALSE()),"")</f>
        <v/>
      </c>
      <c r="I978" s="12">
        <f>IFERROR(IF(H978="OSCURO",VLOOKUP(D978,PRECIOS!$A$4:$F$32,2,FALSE()),IF(H978="CLARO",VLOOKUP(D978,PRECIOS!$A$4:$F$32,3,FALSE()),IF(H978="MELANGE",VLOOKUP(D978,PRECIOS!$A$4:$F$32,4,FALSE()),IF(H978="PPT",VLOOKUP(D978,PRECIOS!$A$4:$F$32,5,FALSE()),0)))),0)</f>
        <v>0</v>
      </c>
      <c r="J978" s="12">
        <f t="shared" si="12"/>
        <v>0</v>
      </c>
      <c r="K978" s="13">
        <f>IFERROR(IF(C978="",0,SUMIFS($F$4:$F$977,$C$4:$C$977,C978,$D$4:$D$977,D978,$E$4:$E$977,E978,$B$4:$B$977,"INGRESO")+SUMIFS($F$4:$F$977,$C$4:$C$977,C978,$D$4:$D$977,D978,$E$4:$E$977,E978,$B$4:$B$977,"DE REPROCESO")+SUMIFS($F$4:$F$977,$C$4:$C$977,C978,$D$4:$D$977,D978,$E$4:$E$977,E978,$B$4:$B$977,"AJUSTE+")-SUMIFS($F$4:$F$977,$C$4:$C$977,C978,$D$4:$D$977,D978,$E$4:$E$977,E978,$B$4:$B$977,"A CORTE")-SUMIFS($F$4:$F$977,$C$4:$C$977,C978,$D$4:$D$977,D978,$E$4:$E$977,E978,$B$4:$B$977,"A REPROCESO")-SUMIFS($F$4:$F$977,$C$4:$C$977,C978,$D$4:$D$977,D978,$E$4:$E$977,E978,$B$4:$B$977,"MUESTRA")-SUMIFS($F$4:$F$977,$C$4:$C$977,C978,$D$4:$D$977,D978,$E$4:$E$977,E978,$B$4:$B$977,"AJUSTE-")),0)</f>
        <v>0</v>
      </c>
      <c r="L978" s="13">
        <f t="shared" si="13"/>
        <v>0</v>
      </c>
      <c r="M978" s="8"/>
      <c r="N978" s="14"/>
      <c r="O978" s="14"/>
      <c r="P978" s="14"/>
      <c r="Q978" s="15"/>
      <c r="R978" s="16" t="str">
        <f t="shared" si="14"/>
        <v/>
      </c>
    </row>
    <row r="979" ht="15.75" customHeight="1">
      <c r="A979" s="7"/>
      <c r="B979" s="8"/>
      <c r="C979" s="8"/>
      <c r="D979" s="8"/>
      <c r="E979" s="8"/>
      <c r="F979" s="9"/>
      <c r="G979" s="10">
        <f>IFERROR(F979*VLOOKUP(D979,TELAS!$A$4:$C$32,3,FALSE()),0)</f>
        <v>0</v>
      </c>
      <c r="H979" s="11" t="str">
        <f>IFERROR(VLOOKUP(E979,COLORES!$A$4:$B$102,2,FALSE()),"")</f>
        <v/>
      </c>
      <c r="I979" s="12">
        <f>IFERROR(IF(H979="OSCURO",VLOOKUP(D979,PRECIOS!$A$4:$F$32,2,FALSE()),IF(H979="CLARO",VLOOKUP(D979,PRECIOS!$A$4:$F$32,3,FALSE()),IF(H979="MELANGE",VLOOKUP(D979,PRECIOS!$A$4:$F$32,4,FALSE()),IF(H979="PPT",VLOOKUP(D979,PRECIOS!$A$4:$F$32,5,FALSE()),0)))),0)</f>
        <v>0</v>
      </c>
      <c r="J979" s="12">
        <f t="shared" si="12"/>
        <v>0</v>
      </c>
      <c r="K979" s="13">
        <f>IFERROR(IF(C979="",0,SUMIFS($F$4:$F$978,$C$4:$C$978,C979,$D$4:$D$978,D979,$E$4:$E$978,E979,$B$4:$B$978,"INGRESO")+SUMIFS($F$4:$F$978,$C$4:$C$978,C979,$D$4:$D$978,D979,$E$4:$E$978,E979,$B$4:$B$978,"DE REPROCESO")+SUMIFS($F$4:$F$978,$C$4:$C$978,C979,$D$4:$D$978,D979,$E$4:$E$978,E979,$B$4:$B$978,"AJUSTE+")-SUMIFS($F$4:$F$978,$C$4:$C$978,C979,$D$4:$D$978,D979,$E$4:$E$978,E979,$B$4:$B$978,"A CORTE")-SUMIFS($F$4:$F$978,$C$4:$C$978,C979,$D$4:$D$978,D979,$E$4:$E$978,E979,$B$4:$B$978,"A REPROCESO")-SUMIFS($F$4:$F$978,$C$4:$C$978,C979,$D$4:$D$978,D979,$E$4:$E$978,E979,$B$4:$B$978,"MUESTRA")-SUMIFS($F$4:$F$978,$C$4:$C$978,C979,$D$4:$D$978,D979,$E$4:$E$978,E979,$B$4:$B$978,"AJUSTE-")),0)</f>
        <v>0</v>
      </c>
      <c r="L979" s="13">
        <f t="shared" si="13"/>
        <v>0</v>
      </c>
      <c r="M979" s="8"/>
      <c r="N979" s="14"/>
      <c r="O979" s="14"/>
      <c r="P979" s="14"/>
      <c r="Q979" s="15"/>
      <c r="R979" s="16" t="str">
        <f t="shared" si="14"/>
        <v/>
      </c>
    </row>
    <row r="980" ht="15.75" customHeight="1">
      <c r="A980" s="7"/>
      <c r="B980" s="8"/>
      <c r="C980" s="8"/>
      <c r="D980" s="8"/>
      <c r="E980" s="8"/>
      <c r="F980" s="9"/>
      <c r="G980" s="10">
        <f>IFERROR(F980*VLOOKUP(D980,TELAS!$A$4:$C$32,3,FALSE()),0)</f>
        <v>0</v>
      </c>
      <c r="H980" s="11" t="str">
        <f>IFERROR(VLOOKUP(E980,COLORES!$A$4:$B$102,2,FALSE()),"")</f>
        <v/>
      </c>
      <c r="I980" s="12">
        <f>IFERROR(IF(H980="OSCURO",VLOOKUP(D980,PRECIOS!$A$4:$F$32,2,FALSE()),IF(H980="CLARO",VLOOKUP(D980,PRECIOS!$A$4:$F$32,3,FALSE()),IF(H980="MELANGE",VLOOKUP(D980,PRECIOS!$A$4:$F$32,4,FALSE()),IF(H980="PPT",VLOOKUP(D980,PRECIOS!$A$4:$F$32,5,FALSE()),0)))),0)</f>
        <v>0</v>
      </c>
      <c r="J980" s="12">
        <f t="shared" si="12"/>
        <v>0</v>
      </c>
      <c r="K980" s="13">
        <f>IFERROR(IF(C980="",0,SUMIFS($F$4:$F$979,$C$4:$C$979,C980,$D$4:$D$979,D980,$E$4:$E$979,E980,$B$4:$B$979,"INGRESO")+SUMIFS($F$4:$F$979,$C$4:$C$979,C980,$D$4:$D$979,D980,$E$4:$E$979,E980,$B$4:$B$979,"DE REPROCESO")+SUMIFS($F$4:$F$979,$C$4:$C$979,C980,$D$4:$D$979,D980,$E$4:$E$979,E980,$B$4:$B$979,"AJUSTE+")-SUMIFS($F$4:$F$979,$C$4:$C$979,C980,$D$4:$D$979,D980,$E$4:$E$979,E980,$B$4:$B$979,"A CORTE")-SUMIFS($F$4:$F$979,$C$4:$C$979,C980,$D$4:$D$979,D980,$E$4:$E$979,E980,$B$4:$B$979,"A REPROCESO")-SUMIFS($F$4:$F$979,$C$4:$C$979,C980,$D$4:$D$979,D980,$E$4:$E$979,E980,$B$4:$B$979,"MUESTRA")-SUMIFS($F$4:$F$979,$C$4:$C$979,C980,$D$4:$D$979,D980,$E$4:$E$979,E980,$B$4:$B$979,"AJUSTE-")),0)</f>
        <v>0</v>
      </c>
      <c r="L980" s="13">
        <f t="shared" si="13"/>
        <v>0</v>
      </c>
      <c r="M980" s="8"/>
      <c r="N980" s="14"/>
      <c r="O980" s="14"/>
      <c r="P980" s="14"/>
      <c r="Q980" s="15"/>
      <c r="R980" s="16" t="str">
        <f t="shared" si="14"/>
        <v/>
      </c>
    </row>
    <row r="981" ht="15.75" customHeight="1">
      <c r="A981" s="7"/>
      <c r="B981" s="8"/>
      <c r="C981" s="8"/>
      <c r="D981" s="8"/>
      <c r="E981" s="8"/>
      <c r="F981" s="9"/>
      <c r="G981" s="10">
        <f>IFERROR(F981*VLOOKUP(D981,TELAS!$A$4:$C$32,3,FALSE()),0)</f>
        <v>0</v>
      </c>
      <c r="H981" s="11" t="str">
        <f>IFERROR(VLOOKUP(E981,COLORES!$A$4:$B$102,2,FALSE()),"")</f>
        <v/>
      </c>
      <c r="I981" s="12">
        <f>IFERROR(IF(H981="OSCURO",VLOOKUP(D981,PRECIOS!$A$4:$F$32,2,FALSE()),IF(H981="CLARO",VLOOKUP(D981,PRECIOS!$A$4:$F$32,3,FALSE()),IF(H981="MELANGE",VLOOKUP(D981,PRECIOS!$A$4:$F$32,4,FALSE()),IF(H981="PPT",VLOOKUP(D981,PRECIOS!$A$4:$F$32,5,FALSE()),0)))),0)</f>
        <v>0</v>
      </c>
      <c r="J981" s="12">
        <f t="shared" si="12"/>
        <v>0</v>
      </c>
      <c r="K981" s="13">
        <f>IFERROR(IF(C981="",0,SUMIFS($F$4:$F$980,$C$4:$C$980,C981,$D$4:$D$980,D981,$E$4:$E$980,E981,$B$4:$B$980,"INGRESO")+SUMIFS($F$4:$F$980,$C$4:$C$980,C981,$D$4:$D$980,D981,$E$4:$E$980,E981,$B$4:$B$980,"DE REPROCESO")+SUMIFS($F$4:$F$980,$C$4:$C$980,C981,$D$4:$D$980,D981,$E$4:$E$980,E981,$B$4:$B$980,"AJUSTE+")-SUMIFS($F$4:$F$980,$C$4:$C$980,C981,$D$4:$D$980,D981,$E$4:$E$980,E981,$B$4:$B$980,"A CORTE")-SUMIFS($F$4:$F$980,$C$4:$C$980,C981,$D$4:$D$980,D981,$E$4:$E$980,E981,$B$4:$B$980,"A REPROCESO")-SUMIFS($F$4:$F$980,$C$4:$C$980,C981,$D$4:$D$980,D981,$E$4:$E$980,E981,$B$4:$B$980,"MUESTRA")-SUMIFS($F$4:$F$980,$C$4:$C$980,C981,$D$4:$D$980,D981,$E$4:$E$980,E981,$B$4:$B$980,"AJUSTE-")),0)</f>
        <v>0</v>
      </c>
      <c r="L981" s="13">
        <f t="shared" si="13"/>
        <v>0</v>
      </c>
      <c r="M981" s="8"/>
      <c r="N981" s="14"/>
      <c r="O981" s="14"/>
      <c r="P981" s="14"/>
      <c r="Q981" s="15"/>
      <c r="R981" s="16" t="str">
        <f t="shared" si="14"/>
        <v/>
      </c>
    </row>
    <row r="982" ht="15.75" customHeight="1">
      <c r="A982" s="7"/>
      <c r="B982" s="8"/>
      <c r="C982" s="8"/>
      <c r="D982" s="8"/>
      <c r="E982" s="8"/>
      <c r="F982" s="9"/>
      <c r="G982" s="10">
        <f>IFERROR(F982*VLOOKUP(D982,TELAS!$A$4:$C$32,3,FALSE()),0)</f>
        <v>0</v>
      </c>
      <c r="H982" s="11" t="str">
        <f>IFERROR(VLOOKUP(E982,COLORES!$A$4:$B$102,2,FALSE()),"")</f>
        <v/>
      </c>
      <c r="I982" s="12">
        <f>IFERROR(IF(H982="OSCURO",VLOOKUP(D982,PRECIOS!$A$4:$F$32,2,FALSE()),IF(H982="CLARO",VLOOKUP(D982,PRECIOS!$A$4:$F$32,3,FALSE()),IF(H982="MELANGE",VLOOKUP(D982,PRECIOS!$A$4:$F$32,4,FALSE()),IF(H982="PPT",VLOOKUP(D982,PRECIOS!$A$4:$F$32,5,FALSE()),0)))),0)</f>
        <v>0</v>
      </c>
      <c r="J982" s="12">
        <f t="shared" si="12"/>
        <v>0</v>
      </c>
      <c r="K982" s="13">
        <f>IFERROR(IF(C982="",0,SUMIFS($F$4:$F$981,$C$4:$C$981,C982,$D$4:$D$981,D982,$E$4:$E$981,E982,$B$4:$B$981,"INGRESO")+SUMIFS($F$4:$F$981,$C$4:$C$981,C982,$D$4:$D$981,D982,$E$4:$E$981,E982,$B$4:$B$981,"DE REPROCESO")+SUMIFS($F$4:$F$981,$C$4:$C$981,C982,$D$4:$D$981,D982,$E$4:$E$981,E982,$B$4:$B$981,"AJUSTE+")-SUMIFS($F$4:$F$981,$C$4:$C$981,C982,$D$4:$D$981,D982,$E$4:$E$981,E982,$B$4:$B$981,"A CORTE")-SUMIFS($F$4:$F$981,$C$4:$C$981,C982,$D$4:$D$981,D982,$E$4:$E$981,E982,$B$4:$B$981,"A REPROCESO")-SUMIFS($F$4:$F$981,$C$4:$C$981,C982,$D$4:$D$981,D982,$E$4:$E$981,E982,$B$4:$B$981,"MUESTRA")-SUMIFS($F$4:$F$981,$C$4:$C$981,C982,$D$4:$D$981,D982,$E$4:$E$981,E982,$B$4:$B$981,"AJUSTE-")),0)</f>
        <v>0</v>
      </c>
      <c r="L982" s="13">
        <f t="shared" si="13"/>
        <v>0</v>
      </c>
      <c r="M982" s="8"/>
      <c r="N982" s="14"/>
      <c r="O982" s="14"/>
      <c r="P982" s="14"/>
      <c r="Q982" s="15"/>
      <c r="R982" s="16" t="str">
        <f t="shared" si="14"/>
        <v/>
      </c>
    </row>
    <row r="983" ht="15.75" customHeight="1">
      <c r="A983" s="7"/>
      <c r="B983" s="8"/>
      <c r="C983" s="8"/>
      <c r="D983" s="8"/>
      <c r="E983" s="8"/>
      <c r="F983" s="9"/>
      <c r="G983" s="10">
        <f>IFERROR(F983*VLOOKUP(D983,TELAS!$A$4:$C$32,3,FALSE()),0)</f>
        <v>0</v>
      </c>
      <c r="H983" s="11" t="str">
        <f>IFERROR(VLOOKUP(E983,COLORES!$A$4:$B$102,2,FALSE()),"")</f>
        <v/>
      </c>
      <c r="I983" s="12">
        <f>IFERROR(IF(H983="OSCURO",VLOOKUP(D983,PRECIOS!$A$4:$F$32,2,FALSE()),IF(H983="CLARO",VLOOKUP(D983,PRECIOS!$A$4:$F$32,3,FALSE()),IF(H983="MELANGE",VLOOKUP(D983,PRECIOS!$A$4:$F$32,4,FALSE()),IF(H983="PPT",VLOOKUP(D983,PRECIOS!$A$4:$F$32,5,FALSE()),0)))),0)</f>
        <v>0</v>
      </c>
      <c r="J983" s="12">
        <f t="shared" si="12"/>
        <v>0</v>
      </c>
      <c r="K983" s="13">
        <f>IFERROR(IF(C983="",0,SUMIFS($F$4:$F$982,$C$4:$C$982,C983,$D$4:$D$982,D983,$E$4:$E$982,E983,$B$4:$B$982,"INGRESO")+SUMIFS($F$4:$F$982,$C$4:$C$982,C983,$D$4:$D$982,D983,$E$4:$E$982,E983,$B$4:$B$982,"DE REPROCESO")+SUMIFS($F$4:$F$982,$C$4:$C$982,C983,$D$4:$D$982,D983,$E$4:$E$982,E983,$B$4:$B$982,"AJUSTE+")-SUMIFS($F$4:$F$982,$C$4:$C$982,C983,$D$4:$D$982,D983,$E$4:$E$982,E983,$B$4:$B$982,"A CORTE")-SUMIFS($F$4:$F$982,$C$4:$C$982,C983,$D$4:$D$982,D983,$E$4:$E$982,E983,$B$4:$B$982,"A REPROCESO")-SUMIFS($F$4:$F$982,$C$4:$C$982,C983,$D$4:$D$982,D983,$E$4:$E$982,E983,$B$4:$B$982,"MUESTRA")-SUMIFS($F$4:$F$982,$C$4:$C$982,C983,$D$4:$D$982,D983,$E$4:$E$982,E983,$B$4:$B$982,"AJUSTE-")),0)</f>
        <v>0</v>
      </c>
      <c r="L983" s="13">
        <f t="shared" si="13"/>
        <v>0</v>
      </c>
      <c r="M983" s="8"/>
      <c r="N983" s="14"/>
      <c r="O983" s="14"/>
      <c r="P983" s="14"/>
      <c r="Q983" s="15"/>
      <c r="R983" s="16" t="str">
        <f t="shared" si="14"/>
        <v/>
      </c>
    </row>
    <row r="984" ht="15.75" customHeight="1">
      <c r="A984" s="7"/>
      <c r="B984" s="8"/>
      <c r="C984" s="8"/>
      <c r="D984" s="8"/>
      <c r="E984" s="8"/>
      <c r="F984" s="9"/>
      <c r="G984" s="10">
        <f>IFERROR(F984*VLOOKUP(D984,TELAS!$A$4:$C$32,3,FALSE()),0)</f>
        <v>0</v>
      </c>
      <c r="H984" s="11" t="str">
        <f>IFERROR(VLOOKUP(E984,COLORES!$A$4:$B$102,2,FALSE()),"")</f>
        <v/>
      </c>
      <c r="I984" s="12">
        <f>IFERROR(IF(H984="OSCURO",VLOOKUP(D984,PRECIOS!$A$4:$F$32,2,FALSE()),IF(H984="CLARO",VLOOKUP(D984,PRECIOS!$A$4:$F$32,3,FALSE()),IF(H984="MELANGE",VLOOKUP(D984,PRECIOS!$A$4:$F$32,4,FALSE()),IF(H984="PPT",VLOOKUP(D984,PRECIOS!$A$4:$F$32,5,FALSE()),0)))),0)</f>
        <v>0</v>
      </c>
      <c r="J984" s="12">
        <f t="shared" si="12"/>
        <v>0</v>
      </c>
      <c r="K984" s="13">
        <f>IFERROR(IF(C984="",0,SUMIFS($F$4:$F$983,$C$4:$C$983,C984,$D$4:$D$983,D984,$E$4:$E$983,E984,$B$4:$B$983,"INGRESO")+SUMIFS($F$4:$F$983,$C$4:$C$983,C984,$D$4:$D$983,D984,$E$4:$E$983,E984,$B$4:$B$983,"DE REPROCESO")+SUMIFS($F$4:$F$983,$C$4:$C$983,C984,$D$4:$D$983,D984,$E$4:$E$983,E984,$B$4:$B$983,"AJUSTE+")-SUMIFS($F$4:$F$983,$C$4:$C$983,C984,$D$4:$D$983,D984,$E$4:$E$983,E984,$B$4:$B$983,"A CORTE")-SUMIFS($F$4:$F$983,$C$4:$C$983,C984,$D$4:$D$983,D984,$E$4:$E$983,E984,$B$4:$B$983,"A REPROCESO")-SUMIFS($F$4:$F$983,$C$4:$C$983,C984,$D$4:$D$983,D984,$E$4:$E$983,E984,$B$4:$B$983,"MUESTRA")-SUMIFS($F$4:$F$983,$C$4:$C$983,C984,$D$4:$D$983,D984,$E$4:$E$983,E984,$B$4:$B$983,"AJUSTE-")),0)</f>
        <v>0</v>
      </c>
      <c r="L984" s="13">
        <f t="shared" si="13"/>
        <v>0</v>
      </c>
      <c r="M984" s="8"/>
      <c r="N984" s="14"/>
      <c r="O984" s="14"/>
      <c r="P984" s="14"/>
      <c r="Q984" s="15"/>
      <c r="R984" s="16" t="str">
        <f t="shared" si="14"/>
        <v/>
      </c>
    </row>
    <row r="985" ht="15.75" customHeight="1">
      <c r="A985" s="7"/>
      <c r="B985" s="8"/>
      <c r="C985" s="8"/>
      <c r="D985" s="8"/>
      <c r="E985" s="8"/>
      <c r="F985" s="9"/>
      <c r="G985" s="10">
        <f>IFERROR(F985*VLOOKUP(D985,TELAS!$A$4:$C$32,3,FALSE()),0)</f>
        <v>0</v>
      </c>
      <c r="H985" s="11" t="str">
        <f>IFERROR(VLOOKUP(E985,COLORES!$A$4:$B$102,2,FALSE()),"")</f>
        <v/>
      </c>
      <c r="I985" s="12">
        <f>IFERROR(IF(H985="OSCURO",VLOOKUP(D985,PRECIOS!$A$4:$F$32,2,FALSE()),IF(H985="CLARO",VLOOKUP(D985,PRECIOS!$A$4:$F$32,3,FALSE()),IF(H985="MELANGE",VLOOKUP(D985,PRECIOS!$A$4:$F$32,4,FALSE()),IF(H985="PPT",VLOOKUP(D985,PRECIOS!$A$4:$F$32,5,FALSE()),0)))),0)</f>
        <v>0</v>
      </c>
      <c r="J985" s="12">
        <f t="shared" si="12"/>
        <v>0</v>
      </c>
      <c r="K985" s="13">
        <f>IFERROR(IF(C985="",0,SUMIFS($F$4:$F$984,$C$4:$C$984,C985,$D$4:$D$984,D985,$E$4:$E$984,E985,$B$4:$B$984,"INGRESO")+SUMIFS($F$4:$F$984,$C$4:$C$984,C985,$D$4:$D$984,D985,$E$4:$E$984,E985,$B$4:$B$984,"DE REPROCESO")+SUMIFS($F$4:$F$984,$C$4:$C$984,C985,$D$4:$D$984,D985,$E$4:$E$984,E985,$B$4:$B$984,"AJUSTE+")-SUMIFS($F$4:$F$984,$C$4:$C$984,C985,$D$4:$D$984,D985,$E$4:$E$984,E985,$B$4:$B$984,"A CORTE")-SUMIFS($F$4:$F$984,$C$4:$C$984,C985,$D$4:$D$984,D985,$E$4:$E$984,E985,$B$4:$B$984,"A REPROCESO")-SUMIFS($F$4:$F$984,$C$4:$C$984,C985,$D$4:$D$984,D985,$E$4:$E$984,E985,$B$4:$B$984,"MUESTRA")-SUMIFS($F$4:$F$984,$C$4:$C$984,C985,$D$4:$D$984,D985,$E$4:$E$984,E985,$B$4:$B$984,"AJUSTE-")),0)</f>
        <v>0</v>
      </c>
      <c r="L985" s="13">
        <f t="shared" si="13"/>
        <v>0</v>
      </c>
      <c r="M985" s="8"/>
      <c r="N985" s="14"/>
      <c r="O985" s="14"/>
      <c r="P985" s="14"/>
      <c r="Q985" s="15"/>
      <c r="R985" s="16" t="str">
        <f t="shared" si="14"/>
        <v/>
      </c>
    </row>
    <row r="986" ht="15.75" customHeight="1">
      <c r="A986" s="7"/>
      <c r="B986" s="8"/>
      <c r="C986" s="8"/>
      <c r="D986" s="8"/>
      <c r="E986" s="8"/>
      <c r="F986" s="9"/>
      <c r="G986" s="10">
        <f>IFERROR(F986*VLOOKUP(D986,TELAS!$A$4:$C$32,3,FALSE()),0)</f>
        <v>0</v>
      </c>
      <c r="H986" s="11" t="str">
        <f>IFERROR(VLOOKUP(E986,COLORES!$A$4:$B$102,2,FALSE()),"")</f>
        <v/>
      </c>
      <c r="I986" s="12">
        <f>IFERROR(IF(H986="OSCURO",VLOOKUP(D986,PRECIOS!$A$4:$F$32,2,FALSE()),IF(H986="CLARO",VLOOKUP(D986,PRECIOS!$A$4:$F$32,3,FALSE()),IF(H986="MELANGE",VLOOKUP(D986,PRECIOS!$A$4:$F$32,4,FALSE()),IF(H986="PPT",VLOOKUP(D986,PRECIOS!$A$4:$F$32,5,FALSE()),0)))),0)</f>
        <v>0</v>
      </c>
      <c r="J986" s="12">
        <f t="shared" si="12"/>
        <v>0</v>
      </c>
      <c r="K986" s="13">
        <f>IFERROR(IF(C986="",0,SUMIFS($F$4:$F$985,$C$4:$C$985,C986,$D$4:$D$985,D986,$E$4:$E$985,E986,$B$4:$B$985,"INGRESO")+SUMIFS($F$4:$F$985,$C$4:$C$985,C986,$D$4:$D$985,D986,$E$4:$E$985,E986,$B$4:$B$985,"DE REPROCESO")+SUMIFS($F$4:$F$985,$C$4:$C$985,C986,$D$4:$D$985,D986,$E$4:$E$985,E986,$B$4:$B$985,"AJUSTE+")-SUMIFS($F$4:$F$985,$C$4:$C$985,C986,$D$4:$D$985,D986,$E$4:$E$985,E986,$B$4:$B$985,"A CORTE")-SUMIFS($F$4:$F$985,$C$4:$C$985,C986,$D$4:$D$985,D986,$E$4:$E$985,E986,$B$4:$B$985,"A REPROCESO")-SUMIFS($F$4:$F$985,$C$4:$C$985,C986,$D$4:$D$985,D986,$E$4:$E$985,E986,$B$4:$B$985,"MUESTRA")-SUMIFS($F$4:$F$985,$C$4:$C$985,C986,$D$4:$D$985,D986,$E$4:$E$985,E986,$B$4:$B$985,"AJUSTE-")),0)</f>
        <v>0</v>
      </c>
      <c r="L986" s="13">
        <f t="shared" si="13"/>
        <v>0</v>
      </c>
      <c r="M986" s="8"/>
      <c r="N986" s="14"/>
      <c r="O986" s="14"/>
      <c r="P986" s="14"/>
      <c r="Q986" s="15"/>
      <c r="R986" s="16" t="str">
        <f t="shared" si="14"/>
        <v/>
      </c>
    </row>
    <row r="987" ht="15.75" customHeight="1">
      <c r="A987" s="7"/>
      <c r="B987" s="8"/>
      <c r="C987" s="8"/>
      <c r="D987" s="8"/>
      <c r="E987" s="8"/>
      <c r="F987" s="9"/>
      <c r="G987" s="10">
        <f>IFERROR(F987*VLOOKUP(D987,TELAS!$A$4:$C$32,3,FALSE()),0)</f>
        <v>0</v>
      </c>
      <c r="H987" s="11" t="str">
        <f>IFERROR(VLOOKUP(E987,COLORES!$A$4:$B$102,2,FALSE()),"")</f>
        <v/>
      </c>
      <c r="I987" s="12">
        <f>IFERROR(IF(H987="OSCURO",VLOOKUP(D987,PRECIOS!$A$4:$F$32,2,FALSE()),IF(H987="CLARO",VLOOKUP(D987,PRECIOS!$A$4:$F$32,3,FALSE()),IF(H987="MELANGE",VLOOKUP(D987,PRECIOS!$A$4:$F$32,4,FALSE()),IF(H987="PPT",VLOOKUP(D987,PRECIOS!$A$4:$F$32,5,FALSE()),0)))),0)</f>
        <v>0</v>
      </c>
      <c r="J987" s="12">
        <f t="shared" si="12"/>
        <v>0</v>
      </c>
      <c r="K987" s="13">
        <f>IFERROR(IF(C987="",0,SUMIFS($F$4:$F$986,$C$4:$C$986,C987,$D$4:$D$986,D987,$E$4:$E$986,E987,$B$4:$B$986,"INGRESO")+SUMIFS($F$4:$F$986,$C$4:$C$986,C987,$D$4:$D$986,D987,$E$4:$E$986,E987,$B$4:$B$986,"DE REPROCESO")+SUMIFS($F$4:$F$986,$C$4:$C$986,C987,$D$4:$D$986,D987,$E$4:$E$986,E987,$B$4:$B$986,"AJUSTE+")-SUMIFS($F$4:$F$986,$C$4:$C$986,C987,$D$4:$D$986,D987,$E$4:$E$986,E987,$B$4:$B$986,"A CORTE")-SUMIFS($F$4:$F$986,$C$4:$C$986,C987,$D$4:$D$986,D987,$E$4:$E$986,E987,$B$4:$B$986,"A REPROCESO")-SUMIFS($F$4:$F$986,$C$4:$C$986,C987,$D$4:$D$986,D987,$E$4:$E$986,E987,$B$4:$B$986,"MUESTRA")-SUMIFS($F$4:$F$986,$C$4:$C$986,C987,$D$4:$D$986,D987,$E$4:$E$986,E987,$B$4:$B$986,"AJUSTE-")),0)</f>
        <v>0</v>
      </c>
      <c r="L987" s="13">
        <f t="shared" si="13"/>
        <v>0</v>
      </c>
      <c r="M987" s="8"/>
      <c r="N987" s="14"/>
      <c r="O987" s="14"/>
      <c r="P987" s="14"/>
      <c r="Q987" s="15"/>
      <c r="R987" s="16" t="str">
        <f t="shared" si="14"/>
        <v/>
      </c>
    </row>
    <row r="988" ht="15.75" customHeight="1">
      <c r="A988" s="7"/>
      <c r="B988" s="8"/>
      <c r="C988" s="8"/>
      <c r="D988" s="8"/>
      <c r="E988" s="8"/>
      <c r="F988" s="9"/>
      <c r="G988" s="10">
        <f>IFERROR(F988*VLOOKUP(D988,TELAS!$A$4:$C$32,3,FALSE()),0)</f>
        <v>0</v>
      </c>
      <c r="H988" s="11" t="str">
        <f>IFERROR(VLOOKUP(E988,COLORES!$A$4:$B$102,2,FALSE()),"")</f>
        <v/>
      </c>
      <c r="I988" s="12">
        <f>IFERROR(IF(H988="OSCURO",VLOOKUP(D988,PRECIOS!$A$4:$F$32,2,FALSE()),IF(H988="CLARO",VLOOKUP(D988,PRECIOS!$A$4:$F$32,3,FALSE()),IF(H988="MELANGE",VLOOKUP(D988,PRECIOS!$A$4:$F$32,4,FALSE()),IF(H988="PPT",VLOOKUP(D988,PRECIOS!$A$4:$F$32,5,FALSE()),0)))),0)</f>
        <v>0</v>
      </c>
      <c r="J988" s="12">
        <f t="shared" si="12"/>
        <v>0</v>
      </c>
      <c r="K988" s="13">
        <f>IFERROR(IF(C988="",0,SUMIFS($F$4:$F$987,$C$4:$C$987,C988,$D$4:$D$987,D988,$E$4:$E$987,E988,$B$4:$B$987,"INGRESO")+SUMIFS($F$4:$F$987,$C$4:$C$987,C988,$D$4:$D$987,D988,$E$4:$E$987,E988,$B$4:$B$987,"DE REPROCESO")+SUMIFS($F$4:$F$987,$C$4:$C$987,C988,$D$4:$D$987,D988,$E$4:$E$987,E988,$B$4:$B$987,"AJUSTE+")-SUMIFS($F$4:$F$987,$C$4:$C$987,C988,$D$4:$D$987,D988,$E$4:$E$987,E988,$B$4:$B$987,"A CORTE")-SUMIFS($F$4:$F$987,$C$4:$C$987,C988,$D$4:$D$987,D988,$E$4:$E$987,E988,$B$4:$B$987,"A REPROCESO")-SUMIFS($F$4:$F$987,$C$4:$C$987,C988,$D$4:$D$987,D988,$E$4:$E$987,E988,$B$4:$B$987,"MUESTRA")-SUMIFS($F$4:$F$987,$C$4:$C$987,C988,$D$4:$D$987,D988,$E$4:$E$987,E988,$B$4:$B$987,"AJUSTE-")),0)</f>
        <v>0</v>
      </c>
      <c r="L988" s="13">
        <f t="shared" si="13"/>
        <v>0</v>
      </c>
      <c r="M988" s="8"/>
      <c r="N988" s="14"/>
      <c r="O988" s="14"/>
      <c r="P988" s="14"/>
      <c r="Q988" s="15"/>
      <c r="R988" s="16" t="str">
        <f t="shared" si="14"/>
        <v/>
      </c>
    </row>
    <row r="989" ht="15.75" customHeight="1">
      <c r="A989" s="7"/>
      <c r="B989" s="8"/>
      <c r="C989" s="8"/>
      <c r="D989" s="8"/>
      <c r="E989" s="8"/>
      <c r="F989" s="9"/>
      <c r="G989" s="10">
        <f>IFERROR(F989*VLOOKUP(D989,TELAS!$A$4:$C$32,3,FALSE()),0)</f>
        <v>0</v>
      </c>
      <c r="H989" s="11" t="str">
        <f>IFERROR(VLOOKUP(E989,COLORES!$A$4:$B$102,2,FALSE()),"")</f>
        <v/>
      </c>
      <c r="I989" s="12">
        <f>IFERROR(IF(H989="OSCURO",VLOOKUP(D989,PRECIOS!$A$4:$F$32,2,FALSE()),IF(H989="CLARO",VLOOKUP(D989,PRECIOS!$A$4:$F$32,3,FALSE()),IF(H989="MELANGE",VLOOKUP(D989,PRECIOS!$A$4:$F$32,4,FALSE()),IF(H989="PPT",VLOOKUP(D989,PRECIOS!$A$4:$F$32,5,FALSE()),0)))),0)</f>
        <v>0</v>
      </c>
      <c r="J989" s="12">
        <f t="shared" si="12"/>
        <v>0</v>
      </c>
      <c r="K989" s="13">
        <f>IFERROR(IF(C989="",0,SUMIFS($F$4:$F$988,$C$4:$C$988,C989,$D$4:$D$988,D989,$E$4:$E$988,E989,$B$4:$B$988,"INGRESO")+SUMIFS($F$4:$F$988,$C$4:$C$988,C989,$D$4:$D$988,D989,$E$4:$E$988,E989,$B$4:$B$988,"DE REPROCESO")+SUMIFS($F$4:$F$988,$C$4:$C$988,C989,$D$4:$D$988,D989,$E$4:$E$988,E989,$B$4:$B$988,"AJUSTE+")-SUMIFS($F$4:$F$988,$C$4:$C$988,C989,$D$4:$D$988,D989,$E$4:$E$988,E989,$B$4:$B$988,"A CORTE")-SUMIFS($F$4:$F$988,$C$4:$C$988,C989,$D$4:$D$988,D989,$E$4:$E$988,E989,$B$4:$B$988,"A REPROCESO")-SUMIFS($F$4:$F$988,$C$4:$C$988,C989,$D$4:$D$988,D989,$E$4:$E$988,E989,$B$4:$B$988,"MUESTRA")-SUMIFS($F$4:$F$988,$C$4:$C$988,C989,$D$4:$D$988,D989,$E$4:$E$988,E989,$B$4:$B$988,"AJUSTE-")),0)</f>
        <v>0</v>
      </c>
      <c r="L989" s="13">
        <f t="shared" si="13"/>
        <v>0</v>
      </c>
      <c r="M989" s="8"/>
      <c r="N989" s="14"/>
      <c r="O989" s="14"/>
      <c r="P989" s="14"/>
      <c r="Q989" s="15"/>
      <c r="R989" s="16" t="str">
        <f t="shared" si="14"/>
        <v/>
      </c>
    </row>
    <row r="990" ht="15.75" customHeight="1">
      <c r="A990" s="7"/>
      <c r="B990" s="8"/>
      <c r="C990" s="8"/>
      <c r="D990" s="8"/>
      <c r="E990" s="8"/>
      <c r="F990" s="9"/>
      <c r="G990" s="10">
        <f>IFERROR(F990*VLOOKUP(D990,TELAS!$A$4:$C$32,3,FALSE()),0)</f>
        <v>0</v>
      </c>
      <c r="H990" s="11" t="str">
        <f>IFERROR(VLOOKUP(E990,COLORES!$A$4:$B$102,2,FALSE()),"")</f>
        <v/>
      </c>
      <c r="I990" s="12">
        <f>IFERROR(IF(H990="OSCURO",VLOOKUP(D990,PRECIOS!$A$4:$F$32,2,FALSE()),IF(H990="CLARO",VLOOKUP(D990,PRECIOS!$A$4:$F$32,3,FALSE()),IF(H990="MELANGE",VLOOKUP(D990,PRECIOS!$A$4:$F$32,4,FALSE()),IF(H990="PPT",VLOOKUP(D990,PRECIOS!$A$4:$F$32,5,FALSE()),0)))),0)</f>
        <v>0</v>
      </c>
      <c r="J990" s="12">
        <f t="shared" si="12"/>
        <v>0</v>
      </c>
      <c r="K990" s="13">
        <f>IFERROR(IF(C990="",0,SUMIFS($F$4:$F$989,$C$4:$C$989,C990,$D$4:$D$989,D990,$E$4:$E$989,E990,$B$4:$B$989,"INGRESO")+SUMIFS($F$4:$F$989,$C$4:$C$989,C990,$D$4:$D$989,D990,$E$4:$E$989,E990,$B$4:$B$989,"DE REPROCESO")+SUMIFS($F$4:$F$989,$C$4:$C$989,C990,$D$4:$D$989,D990,$E$4:$E$989,E990,$B$4:$B$989,"AJUSTE+")-SUMIFS($F$4:$F$989,$C$4:$C$989,C990,$D$4:$D$989,D990,$E$4:$E$989,E990,$B$4:$B$989,"A CORTE")-SUMIFS($F$4:$F$989,$C$4:$C$989,C990,$D$4:$D$989,D990,$E$4:$E$989,E990,$B$4:$B$989,"A REPROCESO")-SUMIFS($F$4:$F$989,$C$4:$C$989,C990,$D$4:$D$989,D990,$E$4:$E$989,E990,$B$4:$B$989,"MUESTRA")-SUMIFS($F$4:$F$989,$C$4:$C$989,C990,$D$4:$D$989,D990,$E$4:$E$989,E990,$B$4:$B$989,"AJUSTE-")),0)</f>
        <v>0</v>
      </c>
      <c r="L990" s="13">
        <f t="shared" si="13"/>
        <v>0</v>
      </c>
      <c r="M990" s="8"/>
      <c r="N990" s="14"/>
      <c r="O990" s="14"/>
      <c r="P990" s="14"/>
      <c r="Q990" s="15"/>
      <c r="R990" s="16" t="str">
        <f t="shared" si="14"/>
        <v/>
      </c>
    </row>
    <row r="991" ht="15.75" customHeight="1">
      <c r="A991" s="7"/>
      <c r="B991" s="8"/>
      <c r="C991" s="8"/>
      <c r="D991" s="8"/>
      <c r="E991" s="8"/>
      <c r="F991" s="9"/>
      <c r="G991" s="10">
        <f>IFERROR(F991*VLOOKUP(D991,TELAS!$A$4:$C$32,3,FALSE()),0)</f>
        <v>0</v>
      </c>
      <c r="H991" s="11" t="str">
        <f>IFERROR(VLOOKUP(E991,COLORES!$A$4:$B$102,2,FALSE()),"")</f>
        <v/>
      </c>
      <c r="I991" s="12">
        <f>IFERROR(IF(H991="OSCURO",VLOOKUP(D991,PRECIOS!$A$4:$F$32,2,FALSE()),IF(H991="CLARO",VLOOKUP(D991,PRECIOS!$A$4:$F$32,3,FALSE()),IF(H991="MELANGE",VLOOKUP(D991,PRECIOS!$A$4:$F$32,4,FALSE()),IF(H991="PPT",VLOOKUP(D991,PRECIOS!$A$4:$F$32,5,FALSE()),0)))),0)</f>
        <v>0</v>
      </c>
      <c r="J991" s="12">
        <f t="shared" si="12"/>
        <v>0</v>
      </c>
      <c r="K991" s="13">
        <f>IFERROR(IF(C991="",0,SUMIFS($F$4:$F$990,$C$4:$C$990,C991,$D$4:$D$990,D991,$E$4:$E$990,E991,$B$4:$B$990,"INGRESO")+SUMIFS($F$4:$F$990,$C$4:$C$990,C991,$D$4:$D$990,D991,$E$4:$E$990,E991,$B$4:$B$990,"DE REPROCESO")+SUMIFS($F$4:$F$990,$C$4:$C$990,C991,$D$4:$D$990,D991,$E$4:$E$990,E991,$B$4:$B$990,"AJUSTE+")-SUMIFS($F$4:$F$990,$C$4:$C$990,C991,$D$4:$D$990,D991,$E$4:$E$990,E991,$B$4:$B$990,"A CORTE")-SUMIFS($F$4:$F$990,$C$4:$C$990,C991,$D$4:$D$990,D991,$E$4:$E$990,E991,$B$4:$B$990,"A REPROCESO")-SUMIFS($F$4:$F$990,$C$4:$C$990,C991,$D$4:$D$990,D991,$E$4:$E$990,E991,$B$4:$B$990,"MUESTRA")-SUMIFS($F$4:$F$990,$C$4:$C$990,C991,$D$4:$D$990,D991,$E$4:$E$990,E991,$B$4:$B$990,"AJUSTE-")),0)</f>
        <v>0</v>
      </c>
      <c r="L991" s="13">
        <f t="shared" si="13"/>
        <v>0</v>
      </c>
      <c r="M991" s="8"/>
      <c r="N991" s="14"/>
      <c r="O991" s="14"/>
      <c r="P991" s="14"/>
      <c r="Q991" s="15"/>
      <c r="R991" s="16" t="str">
        <f t="shared" si="14"/>
        <v/>
      </c>
    </row>
    <row r="992" ht="15.75" customHeight="1">
      <c r="A992" s="7"/>
      <c r="B992" s="8"/>
      <c r="C992" s="8"/>
      <c r="D992" s="8"/>
      <c r="E992" s="8"/>
      <c r="F992" s="9"/>
      <c r="G992" s="10">
        <f>IFERROR(F992*VLOOKUP(D992,TELAS!$A$4:$C$32,3,FALSE()),0)</f>
        <v>0</v>
      </c>
      <c r="H992" s="11" t="str">
        <f>IFERROR(VLOOKUP(E992,COLORES!$A$4:$B$102,2,FALSE()),"")</f>
        <v/>
      </c>
      <c r="I992" s="12">
        <f>IFERROR(IF(H992="OSCURO",VLOOKUP(D992,PRECIOS!$A$4:$F$32,2,FALSE()),IF(H992="CLARO",VLOOKUP(D992,PRECIOS!$A$4:$F$32,3,FALSE()),IF(H992="MELANGE",VLOOKUP(D992,PRECIOS!$A$4:$F$32,4,FALSE()),IF(H992="PPT",VLOOKUP(D992,PRECIOS!$A$4:$F$32,5,FALSE()),0)))),0)</f>
        <v>0</v>
      </c>
      <c r="J992" s="12">
        <f t="shared" si="12"/>
        <v>0</v>
      </c>
      <c r="K992" s="13">
        <f>IFERROR(IF(C992="",0,SUMIFS($F$4:$F$991,$C$4:$C$991,C992,$D$4:$D$991,D992,$E$4:$E$991,E992,$B$4:$B$991,"INGRESO")+SUMIFS($F$4:$F$991,$C$4:$C$991,C992,$D$4:$D$991,D992,$E$4:$E$991,E992,$B$4:$B$991,"DE REPROCESO")+SUMIFS($F$4:$F$991,$C$4:$C$991,C992,$D$4:$D$991,D992,$E$4:$E$991,E992,$B$4:$B$991,"AJUSTE+")-SUMIFS($F$4:$F$991,$C$4:$C$991,C992,$D$4:$D$991,D992,$E$4:$E$991,E992,$B$4:$B$991,"A CORTE")-SUMIFS($F$4:$F$991,$C$4:$C$991,C992,$D$4:$D$991,D992,$E$4:$E$991,E992,$B$4:$B$991,"A REPROCESO")-SUMIFS($F$4:$F$991,$C$4:$C$991,C992,$D$4:$D$991,D992,$E$4:$E$991,E992,$B$4:$B$991,"MUESTRA")-SUMIFS($F$4:$F$991,$C$4:$C$991,C992,$D$4:$D$991,D992,$E$4:$E$991,E992,$B$4:$B$991,"AJUSTE-")),0)</f>
        <v>0</v>
      </c>
      <c r="L992" s="13">
        <f t="shared" si="13"/>
        <v>0</v>
      </c>
      <c r="M992" s="8"/>
      <c r="N992" s="14"/>
      <c r="O992" s="14"/>
      <c r="P992" s="14"/>
      <c r="Q992" s="15"/>
      <c r="R992" s="16" t="str">
        <f t="shared" si="14"/>
        <v/>
      </c>
    </row>
    <row r="993" ht="15.75" customHeight="1">
      <c r="A993" s="7"/>
      <c r="B993" s="8"/>
      <c r="C993" s="8"/>
      <c r="D993" s="8"/>
      <c r="E993" s="8"/>
      <c r="F993" s="9"/>
      <c r="G993" s="10">
        <f>IFERROR(F993*VLOOKUP(D993,TELAS!$A$4:$C$32,3,FALSE()),0)</f>
        <v>0</v>
      </c>
      <c r="H993" s="11" t="str">
        <f>IFERROR(VLOOKUP(E993,COLORES!$A$4:$B$102,2,FALSE()),"")</f>
        <v/>
      </c>
      <c r="I993" s="12">
        <f>IFERROR(IF(H993="OSCURO",VLOOKUP(D993,PRECIOS!$A$4:$F$32,2,FALSE()),IF(H993="CLARO",VLOOKUP(D993,PRECIOS!$A$4:$F$32,3,FALSE()),IF(H993="MELANGE",VLOOKUP(D993,PRECIOS!$A$4:$F$32,4,FALSE()),IF(H993="PPT",VLOOKUP(D993,PRECIOS!$A$4:$F$32,5,FALSE()),0)))),0)</f>
        <v>0</v>
      </c>
      <c r="J993" s="12">
        <f t="shared" si="12"/>
        <v>0</v>
      </c>
      <c r="K993" s="13">
        <f>IFERROR(IF(C993="",0,SUMIFS($F$4:$F$992,$C$4:$C$992,C993,$D$4:$D$992,D993,$E$4:$E$992,E993,$B$4:$B$992,"INGRESO")+SUMIFS($F$4:$F$992,$C$4:$C$992,C993,$D$4:$D$992,D993,$E$4:$E$992,E993,$B$4:$B$992,"DE REPROCESO")+SUMIFS($F$4:$F$992,$C$4:$C$992,C993,$D$4:$D$992,D993,$E$4:$E$992,E993,$B$4:$B$992,"AJUSTE+")-SUMIFS($F$4:$F$992,$C$4:$C$992,C993,$D$4:$D$992,D993,$E$4:$E$992,E993,$B$4:$B$992,"A CORTE")-SUMIFS($F$4:$F$992,$C$4:$C$992,C993,$D$4:$D$992,D993,$E$4:$E$992,E993,$B$4:$B$992,"A REPROCESO")-SUMIFS($F$4:$F$992,$C$4:$C$992,C993,$D$4:$D$992,D993,$E$4:$E$992,E993,$B$4:$B$992,"MUESTRA")-SUMIFS($F$4:$F$992,$C$4:$C$992,C993,$D$4:$D$992,D993,$E$4:$E$992,E993,$B$4:$B$992,"AJUSTE-")),0)</f>
        <v>0</v>
      </c>
      <c r="L993" s="13">
        <f t="shared" si="13"/>
        <v>0</v>
      </c>
      <c r="M993" s="8"/>
      <c r="N993" s="14"/>
      <c r="O993" s="14"/>
      <c r="P993" s="14"/>
      <c r="Q993" s="15"/>
      <c r="R993" s="16" t="str">
        <f t="shared" si="14"/>
        <v/>
      </c>
    </row>
    <row r="994" ht="15.75" customHeight="1">
      <c r="A994" s="7"/>
      <c r="B994" s="8"/>
      <c r="C994" s="8"/>
      <c r="D994" s="8"/>
      <c r="E994" s="8"/>
      <c r="F994" s="9"/>
      <c r="G994" s="10">
        <f>IFERROR(F994*VLOOKUP(D994,TELAS!$A$4:$C$32,3,FALSE()),0)</f>
        <v>0</v>
      </c>
      <c r="H994" s="11" t="str">
        <f>IFERROR(VLOOKUP(E994,COLORES!$A$4:$B$102,2,FALSE()),"")</f>
        <v/>
      </c>
      <c r="I994" s="12">
        <f>IFERROR(IF(H994="OSCURO",VLOOKUP(D994,PRECIOS!$A$4:$F$32,2,FALSE()),IF(H994="CLARO",VLOOKUP(D994,PRECIOS!$A$4:$F$32,3,FALSE()),IF(H994="MELANGE",VLOOKUP(D994,PRECIOS!$A$4:$F$32,4,FALSE()),IF(H994="PPT",VLOOKUP(D994,PRECIOS!$A$4:$F$32,5,FALSE()),0)))),0)</f>
        <v>0</v>
      </c>
      <c r="J994" s="12">
        <f t="shared" si="12"/>
        <v>0</v>
      </c>
      <c r="K994" s="13">
        <f>IFERROR(IF(C994="",0,SUMIFS($F$4:$F$993,$C$4:$C$993,C994,$D$4:$D$993,D994,$E$4:$E$993,E994,$B$4:$B$993,"INGRESO")+SUMIFS($F$4:$F$993,$C$4:$C$993,C994,$D$4:$D$993,D994,$E$4:$E$993,E994,$B$4:$B$993,"DE REPROCESO")+SUMIFS($F$4:$F$993,$C$4:$C$993,C994,$D$4:$D$993,D994,$E$4:$E$993,E994,$B$4:$B$993,"AJUSTE+")-SUMIFS($F$4:$F$993,$C$4:$C$993,C994,$D$4:$D$993,D994,$E$4:$E$993,E994,$B$4:$B$993,"A CORTE")-SUMIFS($F$4:$F$993,$C$4:$C$993,C994,$D$4:$D$993,D994,$E$4:$E$993,E994,$B$4:$B$993,"A REPROCESO")-SUMIFS($F$4:$F$993,$C$4:$C$993,C994,$D$4:$D$993,D994,$E$4:$E$993,E994,$B$4:$B$993,"MUESTRA")-SUMIFS($F$4:$F$993,$C$4:$C$993,C994,$D$4:$D$993,D994,$E$4:$E$993,E994,$B$4:$B$993,"AJUSTE-")),0)</f>
        <v>0</v>
      </c>
      <c r="L994" s="13">
        <f t="shared" si="13"/>
        <v>0</v>
      </c>
      <c r="M994" s="8"/>
      <c r="N994" s="14"/>
      <c r="O994" s="14"/>
      <c r="P994" s="14"/>
      <c r="Q994" s="15"/>
      <c r="R994" s="16" t="str">
        <f t="shared" si="14"/>
        <v/>
      </c>
    </row>
    <row r="995" ht="15.75" customHeight="1">
      <c r="A995" s="7"/>
      <c r="B995" s="8"/>
      <c r="C995" s="8"/>
      <c r="D995" s="8"/>
      <c r="E995" s="8"/>
      <c r="F995" s="9"/>
      <c r="G995" s="10">
        <f>IFERROR(F995*VLOOKUP(D995,TELAS!$A$4:$C$32,3,FALSE()),0)</f>
        <v>0</v>
      </c>
      <c r="H995" s="11" t="str">
        <f>IFERROR(VLOOKUP(E995,COLORES!$A$4:$B$102,2,FALSE()),"")</f>
        <v/>
      </c>
      <c r="I995" s="12">
        <f>IFERROR(IF(H995="OSCURO",VLOOKUP(D995,PRECIOS!$A$4:$F$32,2,FALSE()),IF(H995="CLARO",VLOOKUP(D995,PRECIOS!$A$4:$F$32,3,FALSE()),IF(H995="MELANGE",VLOOKUP(D995,PRECIOS!$A$4:$F$32,4,FALSE()),IF(H995="PPT",VLOOKUP(D995,PRECIOS!$A$4:$F$32,5,FALSE()),0)))),0)</f>
        <v>0</v>
      </c>
      <c r="J995" s="12">
        <f t="shared" si="12"/>
        <v>0</v>
      </c>
      <c r="K995" s="13">
        <f>IFERROR(IF(C995="",0,SUMIFS($F$4:$F$994,$C$4:$C$994,C995,$D$4:$D$994,D995,$E$4:$E$994,E995,$B$4:$B$994,"INGRESO")+SUMIFS($F$4:$F$994,$C$4:$C$994,C995,$D$4:$D$994,D995,$E$4:$E$994,E995,$B$4:$B$994,"DE REPROCESO")+SUMIFS($F$4:$F$994,$C$4:$C$994,C995,$D$4:$D$994,D995,$E$4:$E$994,E995,$B$4:$B$994,"AJUSTE+")-SUMIFS($F$4:$F$994,$C$4:$C$994,C995,$D$4:$D$994,D995,$E$4:$E$994,E995,$B$4:$B$994,"A CORTE")-SUMIFS($F$4:$F$994,$C$4:$C$994,C995,$D$4:$D$994,D995,$E$4:$E$994,E995,$B$4:$B$994,"A REPROCESO")-SUMIFS($F$4:$F$994,$C$4:$C$994,C995,$D$4:$D$994,D995,$E$4:$E$994,E995,$B$4:$B$994,"MUESTRA")-SUMIFS($F$4:$F$994,$C$4:$C$994,C995,$D$4:$D$994,D995,$E$4:$E$994,E995,$B$4:$B$994,"AJUSTE-")),0)</f>
        <v>0</v>
      </c>
      <c r="L995" s="13">
        <f t="shared" si="13"/>
        <v>0</v>
      </c>
      <c r="M995" s="8"/>
      <c r="N995" s="14"/>
      <c r="O995" s="14"/>
      <c r="P995" s="14"/>
      <c r="Q995" s="15"/>
      <c r="R995" s="16" t="str">
        <f t="shared" si="14"/>
        <v/>
      </c>
    </row>
    <row r="996" ht="15.75" customHeight="1">
      <c r="A996" s="7"/>
      <c r="B996" s="8"/>
      <c r="C996" s="8"/>
      <c r="D996" s="8"/>
      <c r="E996" s="8"/>
      <c r="F996" s="9"/>
      <c r="G996" s="10">
        <f>IFERROR(F996*VLOOKUP(D996,TELAS!$A$4:$C$32,3,FALSE()),0)</f>
        <v>0</v>
      </c>
      <c r="H996" s="11" t="str">
        <f>IFERROR(VLOOKUP(E996,COLORES!$A$4:$B$102,2,FALSE()),"")</f>
        <v/>
      </c>
      <c r="I996" s="12">
        <f>IFERROR(IF(H996="OSCURO",VLOOKUP(D996,PRECIOS!$A$4:$F$32,2,FALSE()),IF(H996="CLARO",VLOOKUP(D996,PRECIOS!$A$4:$F$32,3,FALSE()),IF(H996="MELANGE",VLOOKUP(D996,PRECIOS!$A$4:$F$32,4,FALSE()),IF(H996="PPT",VLOOKUP(D996,PRECIOS!$A$4:$F$32,5,FALSE()),0)))),0)</f>
        <v>0</v>
      </c>
      <c r="J996" s="12">
        <f t="shared" si="12"/>
        <v>0</v>
      </c>
      <c r="K996" s="13">
        <f>IFERROR(IF(C996="",0,SUMIFS($F$4:$F$995,$C$4:$C$995,C996,$D$4:$D$995,D996,$E$4:$E$995,E996,$B$4:$B$995,"INGRESO")+SUMIFS($F$4:$F$995,$C$4:$C$995,C996,$D$4:$D$995,D996,$E$4:$E$995,E996,$B$4:$B$995,"DE REPROCESO")+SUMIFS($F$4:$F$995,$C$4:$C$995,C996,$D$4:$D$995,D996,$E$4:$E$995,E996,$B$4:$B$995,"AJUSTE+")-SUMIFS($F$4:$F$995,$C$4:$C$995,C996,$D$4:$D$995,D996,$E$4:$E$995,E996,$B$4:$B$995,"A CORTE")-SUMIFS($F$4:$F$995,$C$4:$C$995,C996,$D$4:$D$995,D996,$E$4:$E$995,E996,$B$4:$B$995,"A REPROCESO")-SUMIFS($F$4:$F$995,$C$4:$C$995,C996,$D$4:$D$995,D996,$E$4:$E$995,E996,$B$4:$B$995,"MUESTRA")-SUMIFS($F$4:$F$995,$C$4:$C$995,C996,$D$4:$D$995,D996,$E$4:$E$995,E996,$B$4:$B$995,"AJUSTE-")),0)</f>
        <v>0</v>
      </c>
      <c r="L996" s="13">
        <f t="shared" si="13"/>
        <v>0</v>
      </c>
      <c r="M996" s="8"/>
      <c r="N996" s="14"/>
      <c r="O996" s="14"/>
      <c r="P996" s="14"/>
      <c r="Q996" s="15"/>
      <c r="R996" s="16" t="str">
        <f t="shared" si="14"/>
        <v/>
      </c>
    </row>
    <row r="997" ht="15.75" customHeight="1">
      <c r="A997" s="7"/>
      <c r="B997" s="8"/>
      <c r="C997" s="8"/>
      <c r="D997" s="8"/>
      <c r="E997" s="8"/>
      <c r="F997" s="9"/>
      <c r="G997" s="10">
        <f>IFERROR(F997*VLOOKUP(D997,TELAS!$A$4:$C$32,3,FALSE()),0)</f>
        <v>0</v>
      </c>
      <c r="H997" s="11" t="str">
        <f>IFERROR(VLOOKUP(E997,COLORES!$A$4:$B$102,2,FALSE()),"")</f>
        <v/>
      </c>
      <c r="I997" s="12">
        <f>IFERROR(IF(H997="OSCURO",VLOOKUP(D997,PRECIOS!$A$4:$F$32,2,FALSE()),IF(H997="CLARO",VLOOKUP(D997,PRECIOS!$A$4:$F$32,3,FALSE()),IF(H997="MELANGE",VLOOKUP(D997,PRECIOS!$A$4:$F$32,4,FALSE()),IF(H997="PPT",VLOOKUP(D997,PRECIOS!$A$4:$F$32,5,FALSE()),0)))),0)</f>
        <v>0</v>
      </c>
      <c r="J997" s="12">
        <f t="shared" si="12"/>
        <v>0</v>
      </c>
      <c r="K997" s="13">
        <f>IFERROR(IF(C997="",0,SUMIFS($F$4:$F$996,$C$4:$C$996,C997,$D$4:$D$996,D997,$E$4:$E$996,E997,$B$4:$B$996,"INGRESO")+SUMIFS($F$4:$F$996,$C$4:$C$996,C997,$D$4:$D$996,D997,$E$4:$E$996,E997,$B$4:$B$996,"DE REPROCESO")+SUMIFS($F$4:$F$996,$C$4:$C$996,C997,$D$4:$D$996,D997,$E$4:$E$996,E997,$B$4:$B$996,"AJUSTE+")-SUMIFS($F$4:$F$996,$C$4:$C$996,C997,$D$4:$D$996,D997,$E$4:$E$996,E997,$B$4:$B$996,"A CORTE")-SUMIFS($F$4:$F$996,$C$4:$C$996,C997,$D$4:$D$996,D997,$E$4:$E$996,E997,$B$4:$B$996,"A REPROCESO")-SUMIFS($F$4:$F$996,$C$4:$C$996,C997,$D$4:$D$996,D997,$E$4:$E$996,E997,$B$4:$B$996,"MUESTRA")-SUMIFS($F$4:$F$996,$C$4:$C$996,C997,$D$4:$D$996,D997,$E$4:$E$996,E997,$B$4:$B$996,"AJUSTE-")),0)</f>
        <v>0</v>
      </c>
      <c r="L997" s="13">
        <f t="shared" si="13"/>
        <v>0</v>
      </c>
      <c r="M997" s="8"/>
      <c r="N997" s="14"/>
      <c r="O997" s="14"/>
      <c r="P997" s="14"/>
      <c r="Q997" s="15"/>
      <c r="R997" s="16" t="str">
        <f t="shared" si="14"/>
        <v/>
      </c>
    </row>
    <row r="998" ht="15.75" customHeight="1">
      <c r="A998" s="7"/>
      <c r="B998" s="8"/>
      <c r="C998" s="8"/>
      <c r="D998" s="8"/>
      <c r="E998" s="8"/>
      <c r="F998" s="9"/>
      <c r="G998" s="10">
        <f>IFERROR(F998*VLOOKUP(D998,TELAS!$A$4:$C$32,3,FALSE()),0)</f>
        <v>0</v>
      </c>
      <c r="H998" s="11" t="str">
        <f>IFERROR(VLOOKUP(E998,COLORES!$A$4:$B$102,2,FALSE()),"")</f>
        <v/>
      </c>
      <c r="I998" s="12">
        <f>IFERROR(IF(H998="OSCURO",VLOOKUP(D998,PRECIOS!$A$4:$F$32,2,FALSE()),IF(H998="CLARO",VLOOKUP(D998,PRECIOS!$A$4:$F$32,3,FALSE()),IF(H998="MELANGE",VLOOKUP(D998,PRECIOS!$A$4:$F$32,4,FALSE()),IF(H998="PPT",VLOOKUP(D998,PRECIOS!$A$4:$F$32,5,FALSE()),0)))),0)</f>
        <v>0</v>
      </c>
      <c r="J998" s="12">
        <f t="shared" si="12"/>
        <v>0</v>
      </c>
      <c r="K998" s="13">
        <f>IFERROR(IF(C998="",0,SUMIFS($F$4:$F$997,$C$4:$C$997,C998,$D$4:$D$997,D998,$E$4:$E$997,E998,$B$4:$B$997,"INGRESO")+SUMIFS($F$4:$F$997,$C$4:$C$997,C998,$D$4:$D$997,D998,$E$4:$E$997,E998,$B$4:$B$997,"DE REPROCESO")+SUMIFS($F$4:$F$997,$C$4:$C$997,C998,$D$4:$D$997,D998,$E$4:$E$997,E998,$B$4:$B$997,"AJUSTE+")-SUMIFS($F$4:$F$997,$C$4:$C$997,C998,$D$4:$D$997,D998,$E$4:$E$997,E998,$B$4:$B$997,"A CORTE")-SUMIFS($F$4:$F$997,$C$4:$C$997,C998,$D$4:$D$997,D998,$E$4:$E$997,E998,$B$4:$B$997,"A REPROCESO")-SUMIFS($F$4:$F$997,$C$4:$C$997,C998,$D$4:$D$997,D998,$E$4:$E$997,E998,$B$4:$B$997,"MUESTRA")-SUMIFS($F$4:$F$997,$C$4:$C$997,C998,$D$4:$D$997,D998,$E$4:$E$997,E998,$B$4:$B$997,"AJUSTE-")),0)</f>
        <v>0</v>
      </c>
      <c r="L998" s="13">
        <f t="shared" si="13"/>
        <v>0</v>
      </c>
      <c r="M998" s="8"/>
      <c r="N998" s="14"/>
      <c r="O998" s="14"/>
      <c r="P998" s="14"/>
      <c r="Q998" s="15"/>
      <c r="R998" s="16" t="str">
        <f t="shared" si="14"/>
        <v/>
      </c>
    </row>
    <row r="999" ht="15.75" customHeight="1">
      <c r="A999" s="7"/>
      <c r="B999" s="8"/>
      <c r="C999" s="8"/>
      <c r="D999" s="8"/>
      <c r="E999" s="8"/>
      <c r="F999" s="9"/>
      <c r="G999" s="10">
        <f>IFERROR(F999*VLOOKUP(D999,TELAS!$A$4:$C$32,3,FALSE()),0)</f>
        <v>0</v>
      </c>
      <c r="H999" s="11" t="str">
        <f>IFERROR(VLOOKUP(E999,COLORES!$A$4:$B$102,2,FALSE()),"")</f>
        <v/>
      </c>
      <c r="I999" s="12">
        <f>IFERROR(IF(H999="OSCURO",VLOOKUP(D999,PRECIOS!$A$4:$F$32,2,FALSE()),IF(H999="CLARO",VLOOKUP(D999,PRECIOS!$A$4:$F$32,3,FALSE()),IF(H999="MELANGE",VLOOKUP(D999,PRECIOS!$A$4:$F$32,4,FALSE()),IF(H999="PPT",VLOOKUP(D999,PRECIOS!$A$4:$F$32,5,FALSE()),0)))),0)</f>
        <v>0</v>
      </c>
      <c r="J999" s="12">
        <f t="shared" si="12"/>
        <v>0</v>
      </c>
      <c r="K999" s="13">
        <f>IFERROR(IF(C999="",0,SUMIFS($F$4:$F$998,$C$4:$C$998,C999,$D$4:$D$998,D999,$E$4:$E$998,E999,$B$4:$B$998,"INGRESO")+SUMIFS($F$4:$F$998,$C$4:$C$998,C999,$D$4:$D$998,D999,$E$4:$E$998,E999,$B$4:$B$998,"DE REPROCESO")+SUMIFS($F$4:$F$998,$C$4:$C$998,C999,$D$4:$D$998,D999,$E$4:$E$998,E999,$B$4:$B$998,"AJUSTE+")-SUMIFS($F$4:$F$998,$C$4:$C$998,C999,$D$4:$D$998,D999,$E$4:$E$998,E999,$B$4:$B$998,"A CORTE")-SUMIFS($F$4:$F$998,$C$4:$C$998,C999,$D$4:$D$998,D999,$E$4:$E$998,E999,$B$4:$B$998,"A REPROCESO")-SUMIFS($F$4:$F$998,$C$4:$C$998,C999,$D$4:$D$998,D999,$E$4:$E$998,E999,$B$4:$B$998,"MUESTRA")-SUMIFS($F$4:$F$998,$C$4:$C$998,C999,$D$4:$D$998,D999,$E$4:$E$998,E999,$B$4:$B$998,"AJUSTE-")),0)</f>
        <v>0</v>
      </c>
      <c r="L999" s="13">
        <f t="shared" si="13"/>
        <v>0</v>
      </c>
      <c r="M999" s="8"/>
      <c r="N999" s="14"/>
      <c r="O999" s="14"/>
      <c r="P999" s="14"/>
      <c r="Q999" s="15"/>
      <c r="R999" s="16" t="str">
        <f t="shared" si="14"/>
        <v/>
      </c>
    </row>
    <row r="1000" ht="15.75" customHeight="1">
      <c r="A1000" s="7"/>
      <c r="B1000" s="8"/>
      <c r="C1000" s="8"/>
      <c r="D1000" s="8"/>
      <c r="E1000" s="8"/>
      <c r="F1000" s="9"/>
      <c r="G1000" s="10">
        <f>IFERROR(F1000*VLOOKUP(D1000,TELAS!$A$4:$C$32,3,FALSE()),0)</f>
        <v>0</v>
      </c>
      <c r="H1000" s="11" t="str">
        <f>IFERROR(VLOOKUP(E1000,COLORES!$A$4:$B$102,2,FALSE()),"")</f>
        <v/>
      </c>
      <c r="I1000" s="12">
        <f>IFERROR(IF(H1000="OSCURO",VLOOKUP(D1000,PRECIOS!$A$4:$F$32,2,FALSE()),IF(H1000="CLARO",VLOOKUP(D1000,PRECIOS!$A$4:$F$32,3,FALSE()),IF(H1000="MELANGE",VLOOKUP(D1000,PRECIOS!$A$4:$F$32,4,FALSE()),IF(H1000="PPT",VLOOKUP(D1000,PRECIOS!$A$4:$F$32,5,FALSE()),0)))),0)</f>
        <v>0</v>
      </c>
      <c r="J1000" s="12">
        <f t="shared" si="12"/>
        <v>0</v>
      </c>
      <c r="K1000" s="13">
        <f>IFERROR(IF(C1000="",0,SUMIFS($F$4:$F$999,$C$4:$C$999,C1000,$D$4:$D$999,D1000,$E$4:$E$999,E1000,$B$4:$B$999,"INGRESO")+SUMIFS($F$4:$F$999,$C$4:$C$999,C1000,$D$4:$D$999,D1000,$E$4:$E$999,E1000,$B$4:$B$999,"DE REPROCESO")+SUMIFS($F$4:$F$999,$C$4:$C$999,C1000,$D$4:$D$999,D1000,$E$4:$E$999,E1000,$B$4:$B$999,"AJUSTE+")-SUMIFS($F$4:$F$999,$C$4:$C$999,C1000,$D$4:$D$999,D1000,$E$4:$E$999,E1000,$B$4:$B$999,"A CORTE")-SUMIFS($F$4:$F$999,$C$4:$C$999,C1000,$D$4:$D$999,D1000,$E$4:$E$999,E1000,$B$4:$B$999,"A REPROCESO")-SUMIFS($F$4:$F$999,$C$4:$C$999,C1000,$D$4:$D$999,D1000,$E$4:$E$999,E1000,$B$4:$B$999,"MUESTRA")-SUMIFS($F$4:$F$999,$C$4:$C$999,C1000,$D$4:$D$999,D1000,$E$4:$E$999,E1000,$B$4:$B$999,"AJUSTE-")),0)</f>
        <v>0</v>
      </c>
      <c r="L1000" s="13">
        <f t="shared" si="13"/>
        <v>0</v>
      </c>
      <c r="M1000" s="8"/>
      <c r="N1000" s="14"/>
      <c r="O1000" s="14"/>
      <c r="P1000" s="14"/>
      <c r="Q1000" s="15"/>
      <c r="R1000" s="16" t="str">
        <f t="shared" si="14"/>
        <v/>
      </c>
      <c r="Z1000" s="35" t="s">
        <v>94</v>
      </c>
    </row>
  </sheetData>
  <autoFilter ref="$A$3:$Q$1000"/>
  <mergeCells count="2">
    <mergeCell ref="A1:Q1"/>
    <mergeCell ref="A2:Q2"/>
  </mergeCells>
  <conditionalFormatting sqref="A4:Q1000">
    <cfRule type="expression" dxfId="0" priority="1">
      <formula>AND($C4&lt;&gt;"",$L4&lt;0)</formula>
    </cfRule>
  </conditionalFormatting>
  <conditionalFormatting sqref="B4:B1000">
    <cfRule type="expression" dxfId="1" priority="2">
      <formula>B4="INGRESO"</formula>
    </cfRule>
  </conditionalFormatting>
  <conditionalFormatting sqref="B4:B1000">
    <cfRule type="expression" dxfId="2" priority="3">
      <formula>B4="A CORTE"</formula>
    </cfRule>
  </conditionalFormatting>
  <conditionalFormatting sqref="O4:P1000">
    <cfRule type="expression" dxfId="2" priority="4">
      <formula>AND($B4="INGRESO",OR($O4="",$P4=""))</formula>
    </cfRule>
  </conditionalFormatting>
  <conditionalFormatting sqref="R4:R1000">
    <cfRule type="expression" dxfId="3" priority="5">
      <formula>AND(R4&lt;&gt;"",ABS(R4)&gt;0.05)</formula>
    </cfRule>
  </conditionalFormatting>
  <conditionalFormatting sqref="R4:R1000">
    <cfRule type="expression" dxfId="0" priority="6">
      <formula>AND(R4&lt;&gt;"",ABS(R4)&gt;0.1)</formula>
    </cfRule>
  </conditionalFormatting>
  <dataValidations>
    <dataValidation type="list" allowBlank="1" sqref="C4:C287 C289:C1000">
      <formula1>LISTA_CLIENTES</formula1>
    </dataValidation>
    <dataValidation type="list" allowBlank="1" sqref="O4:O163 O165:O1000">
      <formula1>LISTA_PROVEEDORES</formula1>
    </dataValidation>
    <dataValidation type="list" allowBlank="1" sqref="B4:B1000">
      <formula1>"INGRESO,A CORTE,A REPROCESO,DE REPROCESO,MUESTRA,AJUSTE+,AJUSTE-"</formula1>
    </dataValidation>
    <dataValidation type="list" allowBlank="1" sqref="D4:D287 D289:D1000">
      <formula1>LISTA_TELAS</formula1>
    </dataValidation>
    <dataValidation type="list" allowBlank="1" sqref="E4:E287 E289:E1000">
      <formula1>LISTA_COLORES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71"/>
    <col customWidth="1" min="2" max="2" width="16.29"/>
    <col customWidth="1" min="3" max="3" width="13.0"/>
    <col customWidth="1" min="4" max="4" width="15.43"/>
    <col customWidth="1" min="5" max="5" width="13.0"/>
    <col customWidth="1" min="6" max="6" width="27.29"/>
    <col customWidth="1" min="7" max="7" width="14.0"/>
    <col customWidth="1" min="8" max="8" width="10.71"/>
    <col customWidth="1" min="9" max="9" width="15.0"/>
    <col customWidth="1" min="10" max="10" width="17.43"/>
    <col customWidth="1" min="11" max="12" width="11.0"/>
    <col customWidth="1" min="13" max="13" width="21.86"/>
    <col customWidth="1" min="14" max="14" width="23.43"/>
    <col customWidth="1" min="15" max="15" width="20.43"/>
    <col customWidth="1" min="16" max="16" width="27.86"/>
    <col customWidth="1" min="17" max="17" width="22.0"/>
  </cols>
  <sheetData>
    <row r="1" ht="27.75" customHeight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24.0" customHeight="1">
      <c r="A2" s="4" t="s">
        <v>96</v>
      </c>
    </row>
    <row r="3" ht="31.5" customHeight="1">
      <c r="A3" s="5" t="s">
        <v>2</v>
      </c>
      <c r="B3" s="5" t="s">
        <v>97</v>
      </c>
      <c r="C3" s="5" t="s">
        <v>4</v>
      </c>
      <c r="D3" s="5" t="s">
        <v>98</v>
      </c>
      <c r="E3" s="5" t="s">
        <v>99</v>
      </c>
      <c r="F3" s="5" t="s">
        <v>100</v>
      </c>
      <c r="G3" s="5" t="s">
        <v>6</v>
      </c>
      <c r="H3" s="5" t="s">
        <v>101</v>
      </c>
      <c r="I3" s="5" t="s">
        <v>102</v>
      </c>
      <c r="J3" s="5" t="s">
        <v>103</v>
      </c>
      <c r="K3" s="5" t="s">
        <v>11</v>
      </c>
      <c r="L3" s="5" t="s">
        <v>104</v>
      </c>
      <c r="M3" s="5" t="s">
        <v>105</v>
      </c>
      <c r="N3" s="5" t="s">
        <v>16</v>
      </c>
      <c r="O3" s="5" t="s">
        <v>17</v>
      </c>
      <c r="P3" s="5" t="s">
        <v>106</v>
      </c>
      <c r="Q3" s="5" t="s">
        <v>15</v>
      </c>
    </row>
    <row r="4" ht="15.0" customHeight="1">
      <c r="A4" s="7"/>
      <c r="B4" s="8"/>
      <c r="C4" s="8"/>
      <c r="D4" s="8"/>
      <c r="E4" s="8"/>
      <c r="F4" s="14"/>
      <c r="G4" s="8"/>
      <c r="H4" s="8"/>
      <c r="I4" s="9"/>
      <c r="J4" s="12" t="str">
        <f t="array" ref="J4:K4">IFERROR(INDEX(PRECIOS_COMPLEMENTOS!$C$4:$F$17,MATCH(D4&amp;"_"&amp;E4,PRECIOS_COMPLEMENTOS!$H$4:$H$17,0),IF(OR(H4="S",H4="20cm"),1,IF(OR(H4="M",H4="25cm"),2,IF(OR(H4="L",H4="30cm"),3,IF(OR(H4="XL",H4="35cm"),4,0))))),0)</f>
        <v>#REF!</v>
      </c>
      <c r="K4" s="12">
        <f t="shared" ref="K4:K803" si="1">IFERROR(I4*J4,0)</f>
        <v>0</v>
      </c>
      <c r="L4" s="13">
        <f>0</f>
        <v>0</v>
      </c>
      <c r="M4" s="13">
        <f t="shared" ref="M4:M803" si="2">IF(C4="",0,L4+IF(OR(B4="INGRESO",B4="DE CORTE"),I4,IF(B4="SALIDA",-I4,0)))</f>
        <v>0</v>
      </c>
      <c r="N4" s="14"/>
      <c r="O4" s="14"/>
      <c r="P4" s="15"/>
      <c r="Q4" s="14"/>
    </row>
    <row r="5" ht="15.0" customHeight="1">
      <c r="A5" s="7"/>
      <c r="B5" s="8"/>
      <c r="C5" s="8"/>
      <c r="D5" s="8"/>
      <c r="E5" s="8"/>
      <c r="F5" s="14"/>
      <c r="G5" s="8"/>
      <c r="H5" s="8"/>
      <c r="I5" s="9"/>
      <c r="J5" s="12" t="str">
        <f t="array" ref="J5:K5">IFERROR(INDEX(PRECIOS_COMPLEMENTOS!$C$4:$F$17,MATCH(D5&amp;"_"&amp;E5,PRECIOS_COMPLEMENTOS!$H$4:$H$17,0),IF(OR(H5="S",H5="20cm"),1,IF(OR(H5="M",H5="25cm"),2,IF(OR(H5="L",H5="30cm"),3,IF(OR(H5="XL",H5="35cm"),4,0))))),0)</f>
        <v>#REF!</v>
      </c>
      <c r="K5" s="12">
        <f t="shared" si="1"/>
        <v>0</v>
      </c>
      <c r="L5" s="13">
        <f>IFERROR(IF(C5="",0,IF(D5="PRETINA",SUMIFS($I$4,$C$4,C5,$D$4,D5,$E$4,E5,$F$4,F5,$G$4,G5,$H$4,H5,$B$4,"INGRESO")+SUMIFS($I$4,$C$4,C5,$D$4,D5,$E$4,E5,$F$4,F5,$G$4,G5,$H$4,H5,$B$4,"DE CORTE")-SUMIFS($I$4,$C$4,C5,$D$4,D5,$E$4,E5,$F$4,F5,$G$4,G5,$H$4,H5,$B$4,"SALIDA"),SUMIFS($I$4,$C$4,C5,$D$4,D5,$E$4,E5,$G$4,G5,$H$4,H5,$B$4,"INGRESO")+SUMIFS($I$4,$C$4,C5,$D$4,D5,$E$4,E5,$G$4,G5,$H$4,H5,$B$4,"DE CORTE")-SUMIFS($I$4,$C$4,C5,$D$4,D5,$E$4,E5,$G$4,G5,$H$4,H5,$B$4,"SALIDA"))),0)</f>
        <v>0</v>
      </c>
      <c r="M5" s="13">
        <f t="shared" si="2"/>
        <v>0</v>
      </c>
      <c r="N5" s="14"/>
      <c r="O5" s="14"/>
      <c r="P5" s="15"/>
      <c r="Q5" s="14"/>
    </row>
    <row r="6" ht="15.0" customHeight="1">
      <c r="A6" s="7"/>
      <c r="B6" s="8"/>
      <c r="C6" s="8"/>
      <c r="D6" s="8"/>
      <c r="E6" s="8"/>
      <c r="F6" s="14"/>
      <c r="G6" s="8"/>
      <c r="H6" s="8"/>
      <c r="I6" s="9"/>
      <c r="J6" s="12" t="str">
        <f t="array" ref="J6:K6">IFERROR(INDEX(PRECIOS_COMPLEMENTOS!$C$4:$F$17,MATCH(D6&amp;"_"&amp;E6,PRECIOS_COMPLEMENTOS!$H$4:$H$17,0),IF(OR(H6="S",H6="20cm"),1,IF(OR(H6="M",H6="25cm"),2,IF(OR(H6="L",H6="30cm"),3,IF(OR(H6="XL",H6="35cm"),4,0))))),0)</f>
        <v>#REF!</v>
      </c>
      <c r="K6" s="12">
        <f t="shared" si="1"/>
        <v>0</v>
      </c>
      <c r="L6" s="13">
        <f>IFERROR(IF(C6="",0,IF(D6="PRETINA",SUMIFS($I$4:$I$5,$C$4:$C$5,C6,$D$4:$D$5,D6,$E$4:$E$5,E6,$F$4:$F$5,F6,$G$4:$G$5,G6,$H$4:$H$5,H6,$B$4:$B$5,"INGRESO")+SUMIFS($I$4:$I$5,$C$4:$C$5,C6,$D$4:$D$5,D6,$E$4:$E$5,E6,$F$4:$F$5,F6,$G$4:$G$5,G6,$H$4:$H$5,H6,$B$4:$B$5,"DE CORTE")-SUMIFS($I$4:$I$5,$C$4:$C$5,C6,$D$4:$D$5,D6,$E$4:$E$5,E6,$F$4:$F$5,F6,$G$4:$G$5,G6,$H$4:$H$5,H6,$B$4:$B$5,"SALIDA"),SUMIFS($I$4:$I$5,$C$4:$C$5,C6,$D$4:$D$5,D6,$E$4:$E$5,E6,$G$4:$G$5,G6,$H$4:$H$5,H6,$B$4:$B$5,"INGRESO")+SUMIFS($I$4:$I$5,$C$4:$C$5,C6,$D$4:$D$5,D6,$E$4:$E$5,E6,$G$4:$G$5,G6,$H$4:$H$5,H6,$B$4:$B$5,"DE CORTE")-SUMIFS($I$4:$I$5,$C$4:$C$5,C6,$D$4:$D$5,D6,$E$4:$E$5,E6,$G$4:$G$5,G6,$H$4:$H$5,H6,$B$4:$B$5,"SALIDA"))),0)</f>
        <v>0</v>
      </c>
      <c r="M6" s="13">
        <f t="shared" si="2"/>
        <v>0</v>
      </c>
      <c r="N6" s="14"/>
      <c r="O6" s="14"/>
      <c r="P6" s="15"/>
      <c r="Q6" s="14"/>
    </row>
    <row r="7" ht="15.0" customHeight="1">
      <c r="A7" s="7"/>
      <c r="B7" s="8"/>
      <c r="C7" s="8"/>
      <c r="D7" s="8"/>
      <c r="E7" s="8"/>
      <c r="F7" s="14"/>
      <c r="G7" s="8"/>
      <c r="H7" s="8"/>
      <c r="I7" s="9"/>
      <c r="J7" s="12" t="str">
        <f t="array" ref="J7:K7">IFERROR(INDEX(PRECIOS_COMPLEMENTOS!$C$4:$F$17,MATCH(D7&amp;"_"&amp;E7,PRECIOS_COMPLEMENTOS!$H$4:$H$17,0),IF(OR(H7="S",H7="20cm"),1,IF(OR(H7="M",H7="25cm"),2,IF(OR(H7="L",H7="30cm"),3,IF(OR(H7="XL",H7="35cm"),4,0))))),0)</f>
        <v>#REF!</v>
      </c>
      <c r="K7" s="12">
        <f t="shared" si="1"/>
        <v>0</v>
      </c>
      <c r="L7" s="13">
        <f>IFERROR(IF(C7="",0,IF(D7="PRETINA",SUMIFS($I$4:$I$6,$C$4:$C$6,C7,$D$4:$D$6,D7,$E$4:$E$6,E7,$F$4:$F$6,F7,$G$4:$G$6,G7,$H$4:$H$6,H7,$B$4:$B$6,"INGRESO")+SUMIFS($I$4:$I$6,$C$4:$C$6,C7,$D$4:$D$6,D7,$E$4:$E$6,E7,$F$4:$F$6,F7,$G$4:$G$6,G7,$H$4:$H$6,H7,$B$4:$B$6,"DE CORTE")-SUMIFS($I$4:$I$6,$C$4:$C$6,C7,$D$4:$D$6,D7,$E$4:$E$6,E7,$F$4:$F$6,F7,$G$4:$G$6,G7,$H$4:$H$6,H7,$B$4:$B$6,"SALIDA"),SUMIFS($I$4:$I$6,$C$4:$C$6,C7,$D$4:$D$6,D7,$E$4:$E$6,E7,$G$4:$G$6,G7,$H$4:$H$6,H7,$B$4:$B$6,"INGRESO")+SUMIFS($I$4:$I$6,$C$4:$C$6,C7,$D$4:$D$6,D7,$E$4:$E$6,E7,$G$4:$G$6,G7,$H$4:$H$6,H7,$B$4:$B$6,"DE CORTE")-SUMIFS($I$4:$I$6,$C$4:$C$6,C7,$D$4:$D$6,D7,$E$4:$E$6,E7,$G$4:$G$6,G7,$H$4:$H$6,H7,$B$4:$B$6,"SALIDA"))),0)</f>
        <v>0</v>
      </c>
      <c r="M7" s="13">
        <f t="shared" si="2"/>
        <v>0</v>
      </c>
      <c r="N7" s="14"/>
      <c r="O7" s="14"/>
      <c r="P7" s="15"/>
      <c r="Q7" s="14"/>
    </row>
    <row r="8" ht="15.0" customHeight="1">
      <c r="A8" s="7"/>
      <c r="B8" s="8"/>
      <c r="C8" s="8"/>
      <c r="D8" s="8"/>
      <c r="E8" s="8"/>
      <c r="F8" s="14"/>
      <c r="G8" s="8"/>
      <c r="H8" s="8"/>
      <c r="I8" s="9"/>
      <c r="J8" s="12" t="str">
        <f t="array" ref="J8:K8">IFERROR(INDEX(PRECIOS_COMPLEMENTOS!$C$4:$F$17,MATCH(D8&amp;"_"&amp;E8,PRECIOS_COMPLEMENTOS!$H$4:$H$17,0),IF(OR(H8="S",H8="20cm"),1,IF(OR(H8="M",H8="25cm"),2,IF(OR(H8="L",H8="30cm"),3,IF(OR(H8="XL",H8="35cm"),4,0))))),0)</f>
        <v>#REF!</v>
      </c>
      <c r="K8" s="12">
        <f t="shared" si="1"/>
        <v>0</v>
      </c>
      <c r="L8" s="13">
        <f>IFERROR(IF(C8="",0,IF(D8="PRETINA",SUMIFS($I$4:$I$7,$C$4:$C$7,C8,$D$4:$D$7,D8,$E$4:$E$7,E8,$F$4:$F$7,F8,$G$4:$G$7,G8,$H$4:$H$7,H8,$B$4:$B$7,"INGRESO")+SUMIFS($I$4:$I$7,$C$4:$C$7,C8,$D$4:$D$7,D8,$E$4:$E$7,E8,$F$4:$F$7,F8,$G$4:$G$7,G8,$H$4:$H$7,H8,$B$4:$B$7,"DE CORTE")-SUMIFS($I$4:$I$7,$C$4:$C$7,C8,$D$4:$D$7,D8,$E$4:$E$7,E8,$F$4:$F$7,F8,$G$4:$G$7,G8,$H$4:$H$7,H8,$B$4:$B$7,"SALIDA"),SUMIFS($I$4:$I$7,$C$4:$C$7,C8,$D$4:$D$7,D8,$E$4:$E$7,E8,$G$4:$G$7,G8,$H$4:$H$7,H8,$B$4:$B$7,"INGRESO")+SUMIFS($I$4:$I$7,$C$4:$C$7,C8,$D$4:$D$7,D8,$E$4:$E$7,E8,$G$4:$G$7,G8,$H$4:$H$7,H8,$B$4:$B$7,"DE CORTE")-SUMIFS($I$4:$I$7,$C$4:$C$7,C8,$D$4:$D$7,D8,$E$4:$E$7,E8,$G$4:$G$7,G8,$H$4:$H$7,H8,$B$4:$B$7,"SALIDA"))),0)</f>
        <v>0</v>
      </c>
      <c r="M8" s="13">
        <f t="shared" si="2"/>
        <v>0</v>
      </c>
      <c r="N8" s="14"/>
      <c r="O8" s="14"/>
      <c r="P8" s="15"/>
      <c r="Q8" s="14"/>
    </row>
    <row r="9" ht="15.0" customHeight="1">
      <c r="A9" s="7"/>
      <c r="B9" s="8"/>
      <c r="C9" s="8"/>
      <c r="D9" s="8"/>
      <c r="E9" s="8"/>
      <c r="F9" s="14"/>
      <c r="G9" s="8"/>
      <c r="H9" s="8"/>
      <c r="I9" s="9"/>
      <c r="J9" s="12" t="str">
        <f t="array" ref="J9:K9">IFERROR(INDEX(PRECIOS_COMPLEMENTOS!$C$4:$F$17,MATCH(D9&amp;"_"&amp;E9,PRECIOS_COMPLEMENTOS!$H$4:$H$17,0),IF(OR(H9="S",H9="20cm"),1,IF(OR(H9="M",H9="25cm"),2,IF(OR(H9="L",H9="30cm"),3,IF(OR(H9="XL",H9="35cm"),4,0))))),0)</f>
        <v>#REF!</v>
      </c>
      <c r="K9" s="12">
        <f t="shared" si="1"/>
        <v>0</v>
      </c>
      <c r="L9" s="13">
        <f>IFERROR(IF(C9="",0,IF(D9="PRETINA",SUMIFS($I$4:$I$8,$C$4:$C$8,C9,$D$4:$D$8,D9,$E$4:$E$8,E9,$F$4:$F$8,F9,$G$4:$G$8,G9,$H$4:$H$8,H9,$B$4:$B$8,"INGRESO")+SUMIFS($I$4:$I$8,$C$4:$C$8,C9,$D$4:$D$8,D9,$E$4:$E$8,E9,$F$4:$F$8,F9,$G$4:$G$8,G9,$H$4:$H$8,H9,$B$4:$B$8,"DE CORTE")-SUMIFS($I$4:$I$8,$C$4:$C$8,C9,$D$4:$D$8,D9,$E$4:$E$8,E9,$F$4:$F$8,F9,$G$4:$G$8,G9,$H$4:$H$8,H9,$B$4:$B$8,"SALIDA"),SUMIFS($I$4:$I$8,$C$4:$C$8,C9,$D$4:$D$8,D9,$E$4:$E$8,E9,$G$4:$G$8,G9,$H$4:$H$8,H9,$B$4:$B$8,"INGRESO")+SUMIFS($I$4:$I$8,$C$4:$C$8,C9,$D$4:$D$8,D9,$E$4:$E$8,E9,$G$4:$G$8,G9,$H$4:$H$8,H9,$B$4:$B$8,"DE CORTE")-SUMIFS($I$4:$I$8,$C$4:$C$8,C9,$D$4:$D$8,D9,$E$4:$E$8,E9,$G$4:$G$8,G9,$H$4:$H$8,H9,$B$4:$B$8,"SALIDA"))),0)</f>
        <v>0</v>
      </c>
      <c r="M9" s="13">
        <f t="shared" si="2"/>
        <v>0</v>
      </c>
      <c r="N9" s="14"/>
      <c r="O9" s="14"/>
      <c r="P9" s="15"/>
      <c r="Q9" s="14"/>
    </row>
    <row r="10" ht="15.0" customHeight="1">
      <c r="A10" s="7"/>
      <c r="B10" s="8"/>
      <c r="C10" s="8"/>
      <c r="D10" s="8"/>
      <c r="E10" s="8"/>
      <c r="F10" s="14"/>
      <c r="G10" s="8"/>
      <c r="H10" s="8"/>
      <c r="I10" s="9"/>
      <c r="J10" s="12" t="str">
        <f t="array" ref="J10:K10">IFERROR(INDEX(PRECIOS_COMPLEMENTOS!$C$4:$F$17,MATCH(D10&amp;"_"&amp;E10,PRECIOS_COMPLEMENTOS!$H$4:$H$17,0),IF(OR(H10="S",H10="20cm"),1,IF(OR(H10="M",H10="25cm"),2,IF(OR(H10="L",H10="30cm"),3,IF(OR(H10="XL",H10="35cm"),4,0))))),0)</f>
        <v>#REF!</v>
      </c>
      <c r="K10" s="12">
        <f t="shared" si="1"/>
        <v>0</v>
      </c>
      <c r="L10" s="13">
        <f>IFERROR(IF(C10="",0,IF(D10="PRETINA",SUMIFS($I$4:$I$9,$C$4:$C$9,C10,$D$4:$D$9,D10,$E$4:$E$9,E10,$F$4:$F$9,F10,$G$4:$G$9,G10,$H$4:$H$9,H10,$B$4:$B$9,"INGRESO")+SUMIFS($I$4:$I$9,$C$4:$C$9,C10,$D$4:$D$9,D10,$E$4:$E$9,E10,$F$4:$F$9,F10,$G$4:$G$9,G10,$H$4:$H$9,H10,$B$4:$B$9,"DE CORTE")-SUMIFS($I$4:$I$9,$C$4:$C$9,C10,$D$4:$D$9,D10,$E$4:$E$9,E10,$F$4:$F$9,F10,$G$4:$G$9,G10,$H$4:$H$9,H10,$B$4:$B$9,"SALIDA"),SUMIFS($I$4:$I$9,$C$4:$C$9,C10,$D$4:$D$9,D10,$E$4:$E$9,E10,$G$4:$G$9,G10,$H$4:$H$9,H10,$B$4:$B$9,"INGRESO")+SUMIFS($I$4:$I$9,$C$4:$C$9,C10,$D$4:$D$9,D10,$E$4:$E$9,E10,$G$4:$G$9,G10,$H$4:$H$9,H10,$B$4:$B$9,"DE CORTE")-SUMIFS($I$4:$I$9,$C$4:$C$9,C10,$D$4:$D$9,D10,$E$4:$E$9,E10,$G$4:$G$9,G10,$H$4:$H$9,H10,$B$4:$B$9,"SALIDA"))),0)</f>
        <v>0</v>
      </c>
      <c r="M10" s="13">
        <f t="shared" si="2"/>
        <v>0</v>
      </c>
      <c r="N10" s="14"/>
      <c r="O10" s="14"/>
      <c r="P10" s="15"/>
      <c r="Q10" s="14"/>
    </row>
    <row r="11" ht="15.0" customHeight="1">
      <c r="A11" s="7"/>
      <c r="B11" s="8"/>
      <c r="C11" s="8"/>
      <c r="D11" s="8"/>
      <c r="E11" s="8"/>
      <c r="F11" s="14"/>
      <c r="G11" s="8"/>
      <c r="H11" s="8"/>
      <c r="I11" s="9"/>
      <c r="J11" s="12" t="str">
        <f t="array" ref="J11:K11">IFERROR(INDEX(PRECIOS_COMPLEMENTOS!$C$4:$F$17,MATCH(D11&amp;"_"&amp;E11,PRECIOS_COMPLEMENTOS!$H$4:$H$17,0),IF(OR(H11="S",H11="20cm"),1,IF(OR(H11="M",H11="25cm"),2,IF(OR(H11="L",H11="30cm"),3,IF(OR(H11="XL",H11="35cm"),4,0))))),0)</f>
        <v>#REF!</v>
      </c>
      <c r="K11" s="12">
        <f t="shared" si="1"/>
        <v>0</v>
      </c>
      <c r="L11" s="13">
        <f>IFERROR(IF(C11="",0,IF(D11="PRETINA",SUMIFS($I$4:$I$10,$C$4:$C$10,C11,$D$4:$D$10,D11,$E$4:$E$10,E11,$F$4:$F$10,F11,$G$4:$G$10,G11,$H$4:$H$10,H11,$B$4:$B$10,"INGRESO")+SUMIFS($I$4:$I$10,$C$4:$C$10,C11,$D$4:$D$10,D11,$E$4:$E$10,E11,$F$4:$F$10,F11,$G$4:$G$10,G11,$H$4:$H$10,H11,$B$4:$B$10,"DE CORTE")-SUMIFS($I$4:$I$10,$C$4:$C$10,C11,$D$4:$D$10,D11,$E$4:$E$10,E11,$F$4:$F$10,F11,$G$4:$G$10,G11,$H$4:$H$10,H11,$B$4:$B$10,"SALIDA"),SUMIFS($I$4:$I$10,$C$4:$C$10,C11,$D$4:$D$10,D11,$E$4:$E$10,E11,$G$4:$G$10,G11,$H$4:$H$10,H11,$B$4:$B$10,"INGRESO")+SUMIFS($I$4:$I$10,$C$4:$C$10,C11,$D$4:$D$10,D11,$E$4:$E$10,E11,$G$4:$G$10,G11,$H$4:$H$10,H11,$B$4:$B$10,"DE CORTE")-SUMIFS($I$4:$I$10,$C$4:$C$10,C11,$D$4:$D$10,D11,$E$4:$E$10,E11,$G$4:$G$10,G11,$H$4:$H$10,H11,$B$4:$B$10,"SALIDA"))),0)</f>
        <v>0</v>
      </c>
      <c r="M11" s="13">
        <f t="shared" si="2"/>
        <v>0</v>
      </c>
      <c r="N11" s="14"/>
      <c r="O11" s="14"/>
      <c r="P11" s="15"/>
      <c r="Q11" s="14"/>
    </row>
    <row r="12" ht="15.0" customHeight="1">
      <c r="A12" s="7"/>
      <c r="B12" s="8"/>
      <c r="C12" s="8"/>
      <c r="D12" s="8"/>
      <c r="E12" s="8"/>
      <c r="F12" s="14"/>
      <c r="G12" s="8"/>
      <c r="H12" s="8"/>
      <c r="I12" s="9"/>
      <c r="J12" s="12" t="str">
        <f t="array" ref="J12:K12">IFERROR(INDEX(PRECIOS_COMPLEMENTOS!$C$4:$F$17,MATCH(D12&amp;"_"&amp;E12,PRECIOS_COMPLEMENTOS!$H$4:$H$17,0),IF(OR(H12="S",H12="20cm"),1,IF(OR(H12="M",H12="25cm"),2,IF(OR(H12="L",H12="30cm"),3,IF(OR(H12="XL",H12="35cm"),4,0))))),0)</f>
        <v>#REF!</v>
      </c>
      <c r="K12" s="12">
        <f t="shared" si="1"/>
        <v>0</v>
      </c>
      <c r="L12" s="13">
        <f>IFERROR(IF(C12="",0,IF(D12="PRETINA",SUMIFS($I$4:$I$11,$C$4:$C$11,C12,$D$4:$D$11,D12,$E$4:$E$11,E12,$F$4:$F$11,F12,$G$4:$G$11,G12,$H$4:$H$11,H12,$B$4:$B$11,"INGRESO")+SUMIFS($I$4:$I$11,$C$4:$C$11,C12,$D$4:$D$11,D12,$E$4:$E$11,E12,$F$4:$F$11,F12,$G$4:$G$11,G12,$H$4:$H$11,H12,$B$4:$B$11,"DE CORTE")-SUMIFS($I$4:$I$11,$C$4:$C$11,C12,$D$4:$D$11,D12,$E$4:$E$11,E12,$F$4:$F$11,F12,$G$4:$G$11,G12,$H$4:$H$11,H12,$B$4:$B$11,"SALIDA"),SUMIFS($I$4:$I$11,$C$4:$C$11,C12,$D$4:$D$11,D12,$E$4:$E$11,E12,$G$4:$G$11,G12,$H$4:$H$11,H12,$B$4:$B$11,"INGRESO")+SUMIFS($I$4:$I$11,$C$4:$C$11,C12,$D$4:$D$11,D12,$E$4:$E$11,E12,$G$4:$G$11,G12,$H$4:$H$11,H12,$B$4:$B$11,"DE CORTE")-SUMIFS($I$4:$I$11,$C$4:$C$11,C12,$D$4:$D$11,D12,$E$4:$E$11,E12,$G$4:$G$11,G12,$H$4:$H$11,H12,$B$4:$B$11,"SALIDA"))),0)</f>
        <v>0</v>
      </c>
      <c r="M12" s="13">
        <f t="shared" si="2"/>
        <v>0</v>
      </c>
      <c r="N12" s="14"/>
      <c r="O12" s="14"/>
      <c r="P12" s="15"/>
      <c r="Q12" s="14"/>
    </row>
    <row r="13" ht="15.0" customHeight="1">
      <c r="A13" s="7"/>
      <c r="B13" s="8"/>
      <c r="C13" s="8"/>
      <c r="D13" s="8"/>
      <c r="E13" s="8"/>
      <c r="F13" s="14"/>
      <c r="G13" s="8"/>
      <c r="H13" s="8"/>
      <c r="I13" s="9"/>
      <c r="J13" s="12" t="str">
        <f t="array" ref="J13:K13">IFERROR(INDEX(PRECIOS_COMPLEMENTOS!$C$4:$F$17,MATCH(D13&amp;"_"&amp;E13,PRECIOS_COMPLEMENTOS!$H$4:$H$17,0),IF(OR(H13="S",H13="20cm"),1,IF(OR(H13="M",H13="25cm"),2,IF(OR(H13="L",H13="30cm"),3,IF(OR(H13="XL",H13="35cm"),4,0))))),0)</f>
        <v>#REF!</v>
      </c>
      <c r="K13" s="12">
        <f t="shared" si="1"/>
        <v>0</v>
      </c>
      <c r="L13" s="13">
        <f>IFERROR(IF(C13="",0,IF(D13="PRETINA",SUMIFS($I$4:$I$12,$C$4:$C$12,C13,$D$4:$D$12,D13,$E$4:$E$12,E13,$F$4:$F$12,F13,$G$4:$G$12,G13,$H$4:$H$12,H13,$B$4:$B$12,"INGRESO")+SUMIFS($I$4:$I$12,$C$4:$C$12,C13,$D$4:$D$12,D13,$E$4:$E$12,E13,$F$4:$F$12,F13,$G$4:$G$12,G13,$H$4:$H$12,H13,$B$4:$B$12,"DE CORTE")-SUMIFS($I$4:$I$12,$C$4:$C$12,C13,$D$4:$D$12,D13,$E$4:$E$12,E13,$F$4:$F$12,F13,$G$4:$G$12,G13,$H$4:$H$12,H13,$B$4:$B$12,"SALIDA"),SUMIFS($I$4:$I$12,$C$4:$C$12,C13,$D$4:$D$12,D13,$E$4:$E$12,E13,$G$4:$G$12,G13,$H$4:$H$12,H13,$B$4:$B$12,"INGRESO")+SUMIFS($I$4:$I$12,$C$4:$C$12,C13,$D$4:$D$12,D13,$E$4:$E$12,E13,$G$4:$G$12,G13,$H$4:$H$12,H13,$B$4:$B$12,"DE CORTE")-SUMIFS($I$4:$I$12,$C$4:$C$12,C13,$D$4:$D$12,D13,$E$4:$E$12,E13,$G$4:$G$12,G13,$H$4:$H$12,H13,$B$4:$B$12,"SALIDA"))),0)</f>
        <v>0</v>
      </c>
      <c r="M13" s="13">
        <f t="shared" si="2"/>
        <v>0</v>
      </c>
      <c r="N13" s="14"/>
      <c r="O13" s="14"/>
      <c r="P13" s="15"/>
      <c r="Q13" s="14"/>
    </row>
    <row r="14" ht="15.0" customHeight="1">
      <c r="A14" s="7"/>
      <c r="B14" s="8"/>
      <c r="C14" s="8"/>
      <c r="D14" s="8"/>
      <c r="E14" s="8"/>
      <c r="F14" s="14"/>
      <c r="G14" s="8"/>
      <c r="H14" s="8"/>
      <c r="I14" s="9"/>
      <c r="J14" s="12" t="str">
        <f t="array" ref="J14:K14">IFERROR(INDEX(PRECIOS_COMPLEMENTOS!$C$4:$F$17,MATCH(D14&amp;"_"&amp;E14,PRECIOS_COMPLEMENTOS!$H$4:$H$17,0),IF(OR(H14="S",H14="20cm"),1,IF(OR(H14="M",H14="25cm"),2,IF(OR(H14="L",H14="30cm"),3,IF(OR(H14="XL",H14="35cm"),4,0))))),0)</f>
        <v>#REF!</v>
      </c>
      <c r="K14" s="12">
        <f t="shared" si="1"/>
        <v>0</v>
      </c>
      <c r="L14" s="13">
        <f>IFERROR(IF(C14="",0,IF(D14="PRETINA",SUMIFS($I$4:$I$13,$C$4:$C$13,C14,$D$4:$D$13,D14,$E$4:$E$13,E14,$F$4:$F$13,F14,$G$4:$G$13,G14,$H$4:$H$13,H14,$B$4:$B$13,"INGRESO")+SUMIFS($I$4:$I$13,$C$4:$C$13,C14,$D$4:$D$13,D14,$E$4:$E$13,E14,$F$4:$F$13,F14,$G$4:$G$13,G14,$H$4:$H$13,H14,$B$4:$B$13,"DE CORTE")-SUMIFS($I$4:$I$13,$C$4:$C$13,C14,$D$4:$D$13,D14,$E$4:$E$13,E14,$F$4:$F$13,F14,$G$4:$G$13,G14,$H$4:$H$13,H14,$B$4:$B$13,"SALIDA"),SUMIFS($I$4:$I$13,$C$4:$C$13,C14,$D$4:$D$13,D14,$E$4:$E$13,E14,$G$4:$G$13,G14,$H$4:$H$13,H14,$B$4:$B$13,"INGRESO")+SUMIFS($I$4:$I$13,$C$4:$C$13,C14,$D$4:$D$13,D14,$E$4:$E$13,E14,$G$4:$G$13,G14,$H$4:$H$13,H14,$B$4:$B$13,"DE CORTE")-SUMIFS($I$4:$I$13,$C$4:$C$13,C14,$D$4:$D$13,D14,$E$4:$E$13,E14,$G$4:$G$13,G14,$H$4:$H$13,H14,$B$4:$B$13,"SALIDA"))),0)</f>
        <v>0</v>
      </c>
      <c r="M14" s="13">
        <f t="shared" si="2"/>
        <v>0</v>
      </c>
      <c r="N14" s="14"/>
      <c r="O14" s="14"/>
      <c r="P14" s="15"/>
      <c r="Q14" s="14"/>
    </row>
    <row r="15" ht="15.0" customHeight="1">
      <c r="A15" s="7"/>
      <c r="B15" s="8"/>
      <c r="C15" s="8"/>
      <c r="D15" s="8"/>
      <c r="E15" s="8"/>
      <c r="F15" s="14"/>
      <c r="G15" s="8"/>
      <c r="H15" s="8"/>
      <c r="I15" s="9"/>
      <c r="J15" s="12" t="str">
        <f t="array" ref="J15:K15">IFERROR(INDEX(PRECIOS_COMPLEMENTOS!$C$4:$F$17,MATCH(D15&amp;"_"&amp;E15,PRECIOS_COMPLEMENTOS!$H$4:$H$17,0),IF(OR(H15="S",H15="20cm"),1,IF(OR(H15="M",H15="25cm"),2,IF(OR(H15="L",H15="30cm"),3,IF(OR(H15="XL",H15="35cm"),4,0))))),0)</f>
        <v>#REF!</v>
      </c>
      <c r="K15" s="12">
        <f t="shared" si="1"/>
        <v>0</v>
      </c>
      <c r="L15" s="13">
        <f>IFERROR(IF(C15="",0,IF(D15="PRETINA",SUMIFS($I$4:$I$14,$C$4:$C$14,C15,$D$4:$D$14,D15,$E$4:$E$14,E15,$F$4:$F$14,F15,$G$4:$G$14,G15,$H$4:$H$14,H15,$B$4:$B$14,"INGRESO")+SUMIFS($I$4:$I$14,$C$4:$C$14,C15,$D$4:$D$14,D15,$E$4:$E$14,E15,$F$4:$F$14,F15,$G$4:$G$14,G15,$H$4:$H$14,H15,$B$4:$B$14,"DE CORTE")-SUMIFS($I$4:$I$14,$C$4:$C$14,C15,$D$4:$D$14,D15,$E$4:$E$14,E15,$F$4:$F$14,F15,$G$4:$G$14,G15,$H$4:$H$14,H15,$B$4:$B$14,"SALIDA"),SUMIFS($I$4:$I$14,$C$4:$C$14,C15,$D$4:$D$14,D15,$E$4:$E$14,E15,$G$4:$G$14,G15,$H$4:$H$14,H15,$B$4:$B$14,"INGRESO")+SUMIFS($I$4:$I$14,$C$4:$C$14,C15,$D$4:$D$14,D15,$E$4:$E$14,E15,$G$4:$G$14,G15,$H$4:$H$14,H15,$B$4:$B$14,"DE CORTE")-SUMIFS($I$4:$I$14,$C$4:$C$14,C15,$D$4:$D$14,D15,$E$4:$E$14,E15,$G$4:$G$14,G15,$H$4:$H$14,H15,$B$4:$B$14,"SALIDA"))),0)</f>
        <v>0</v>
      </c>
      <c r="M15" s="13">
        <f t="shared" si="2"/>
        <v>0</v>
      </c>
      <c r="N15" s="14"/>
      <c r="O15" s="14"/>
      <c r="P15" s="15"/>
      <c r="Q15" s="14"/>
    </row>
    <row r="16" ht="15.0" customHeight="1">
      <c r="A16" s="7"/>
      <c r="B16" s="8"/>
      <c r="C16" s="8"/>
      <c r="D16" s="8"/>
      <c r="E16" s="8"/>
      <c r="F16" s="14"/>
      <c r="G16" s="8"/>
      <c r="H16" s="8"/>
      <c r="I16" s="9"/>
      <c r="J16" s="12" t="str">
        <f t="array" ref="J16:K16">IFERROR(INDEX(PRECIOS_COMPLEMENTOS!$C$4:$F$17,MATCH(D16&amp;"_"&amp;E16,PRECIOS_COMPLEMENTOS!$H$4:$H$17,0),IF(OR(H16="S",H16="20cm"),1,IF(OR(H16="M",H16="25cm"),2,IF(OR(H16="L",H16="30cm"),3,IF(OR(H16="XL",H16="35cm"),4,0))))),0)</f>
        <v>#REF!</v>
      </c>
      <c r="K16" s="12">
        <f t="shared" si="1"/>
        <v>0</v>
      </c>
      <c r="L16" s="13">
        <f>IFERROR(IF(C16="",0,IF(D16="PRETINA",SUMIFS($I$4:$I$15,$C$4:$C$15,C16,$D$4:$D$15,D16,$E$4:$E$15,E16,$F$4:$F$15,F16,$G$4:$G$15,G16,$H$4:$H$15,H16,$B$4:$B$15,"INGRESO")+SUMIFS($I$4:$I$15,$C$4:$C$15,C16,$D$4:$D$15,D16,$E$4:$E$15,E16,$F$4:$F$15,F16,$G$4:$G$15,G16,$H$4:$H$15,H16,$B$4:$B$15,"DE CORTE")-SUMIFS($I$4:$I$15,$C$4:$C$15,C16,$D$4:$D$15,D16,$E$4:$E$15,E16,$F$4:$F$15,F16,$G$4:$G$15,G16,$H$4:$H$15,H16,$B$4:$B$15,"SALIDA"),SUMIFS($I$4:$I$15,$C$4:$C$15,C16,$D$4:$D$15,D16,$E$4:$E$15,E16,$G$4:$G$15,G16,$H$4:$H$15,H16,$B$4:$B$15,"INGRESO")+SUMIFS($I$4:$I$15,$C$4:$C$15,C16,$D$4:$D$15,D16,$E$4:$E$15,E16,$G$4:$G$15,G16,$H$4:$H$15,H16,$B$4:$B$15,"DE CORTE")-SUMIFS($I$4:$I$15,$C$4:$C$15,C16,$D$4:$D$15,D16,$E$4:$E$15,E16,$G$4:$G$15,G16,$H$4:$H$15,H16,$B$4:$B$15,"SALIDA"))),0)</f>
        <v>0</v>
      </c>
      <c r="M16" s="13">
        <f t="shared" si="2"/>
        <v>0</v>
      </c>
      <c r="N16" s="14"/>
      <c r="O16" s="14"/>
      <c r="P16" s="15"/>
      <c r="Q16" s="14"/>
    </row>
    <row r="17" ht="15.0" customHeight="1">
      <c r="A17" s="7"/>
      <c r="B17" s="8"/>
      <c r="C17" s="8"/>
      <c r="D17" s="8"/>
      <c r="E17" s="8"/>
      <c r="F17" s="14"/>
      <c r="G17" s="8"/>
      <c r="H17" s="8"/>
      <c r="I17" s="9"/>
      <c r="J17" s="12" t="str">
        <f t="array" ref="J17:K17">IFERROR(INDEX(PRECIOS_COMPLEMENTOS!$C$4:$F$17,MATCH(D17&amp;"_"&amp;E17,PRECIOS_COMPLEMENTOS!$H$4:$H$17,0),IF(OR(H17="S",H17="20cm"),1,IF(OR(H17="M",H17="25cm"),2,IF(OR(H17="L",H17="30cm"),3,IF(OR(H17="XL",H17="35cm"),4,0))))),0)</f>
        <v>#REF!</v>
      </c>
      <c r="K17" s="12">
        <f t="shared" si="1"/>
        <v>0</v>
      </c>
      <c r="L17" s="13">
        <f>IFERROR(IF(C17="",0,IF(D17="PRETINA",SUMIFS($I$4:$I$16,$C$4:$C$16,C17,$D$4:$D$16,D17,$E$4:$E$16,E17,$F$4:$F$16,F17,$G$4:$G$16,G17,$H$4:$H$16,H17,$B$4:$B$16,"INGRESO")+SUMIFS($I$4:$I$16,$C$4:$C$16,C17,$D$4:$D$16,D17,$E$4:$E$16,E17,$F$4:$F$16,F17,$G$4:$G$16,G17,$H$4:$H$16,H17,$B$4:$B$16,"DE CORTE")-SUMIFS($I$4:$I$16,$C$4:$C$16,C17,$D$4:$D$16,D17,$E$4:$E$16,E17,$F$4:$F$16,F17,$G$4:$G$16,G17,$H$4:$H$16,H17,$B$4:$B$16,"SALIDA"),SUMIFS($I$4:$I$16,$C$4:$C$16,C17,$D$4:$D$16,D17,$E$4:$E$16,E17,$G$4:$G$16,G17,$H$4:$H$16,H17,$B$4:$B$16,"INGRESO")+SUMIFS($I$4:$I$16,$C$4:$C$16,C17,$D$4:$D$16,D17,$E$4:$E$16,E17,$G$4:$G$16,G17,$H$4:$H$16,H17,$B$4:$B$16,"DE CORTE")-SUMIFS($I$4:$I$16,$C$4:$C$16,C17,$D$4:$D$16,D17,$E$4:$E$16,E17,$G$4:$G$16,G17,$H$4:$H$16,H17,$B$4:$B$16,"SALIDA"))),0)</f>
        <v>0</v>
      </c>
      <c r="M17" s="13">
        <f t="shared" si="2"/>
        <v>0</v>
      </c>
      <c r="N17" s="14"/>
      <c r="O17" s="14"/>
      <c r="P17" s="15"/>
      <c r="Q17" s="14"/>
    </row>
    <row r="18" ht="15.0" customHeight="1">
      <c r="A18" s="7"/>
      <c r="B18" s="8"/>
      <c r="C18" s="8"/>
      <c r="D18" s="8"/>
      <c r="E18" s="8"/>
      <c r="F18" s="14"/>
      <c r="G18" s="8"/>
      <c r="H18" s="8"/>
      <c r="I18" s="9"/>
      <c r="J18" s="12" t="str">
        <f t="array" ref="J18:K18">IFERROR(INDEX(PRECIOS_COMPLEMENTOS!$C$4:$F$17,MATCH(D18&amp;"_"&amp;E18,PRECIOS_COMPLEMENTOS!$H$4:$H$17,0),IF(OR(H18="S",H18="20cm"),1,IF(OR(H18="M",H18="25cm"),2,IF(OR(H18="L",H18="30cm"),3,IF(OR(H18="XL",H18="35cm"),4,0))))),0)</f>
        <v>#REF!</v>
      </c>
      <c r="K18" s="12">
        <f t="shared" si="1"/>
        <v>0</v>
      </c>
      <c r="L18" s="13">
        <f>IFERROR(IF(C18="",0,IF(D18="PRETINA",SUMIFS($I$4:$I$17,$C$4:$C$17,C18,$D$4:$D$17,D18,$E$4:$E$17,E18,$F$4:$F$17,F18,$G$4:$G$17,G18,$H$4:$H$17,H18,$B$4:$B$17,"INGRESO")+SUMIFS($I$4:$I$17,$C$4:$C$17,C18,$D$4:$D$17,D18,$E$4:$E$17,E18,$F$4:$F$17,F18,$G$4:$G$17,G18,$H$4:$H$17,H18,$B$4:$B$17,"DE CORTE")-SUMIFS($I$4:$I$17,$C$4:$C$17,C18,$D$4:$D$17,D18,$E$4:$E$17,E18,$F$4:$F$17,F18,$G$4:$G$17,G18,$H$4:$H$17,H18,$B$4:$B$17,"SALIDA"),SUMIFS($I$4:$I$17,$C$4:$C$17,C18,$D$4:$D$17,D18,$E$4:$E$17,E18,$G$4:$G$17,G18,$H$4:$H$17,H18,$B$4:$B$17,"INGRESO")+SUMIFS($I$4:$I$17,$C$4:$C$17,C18,$D$4:$D$17,D18,$E$4:$E$17,E18,$G$4:$G$17,G18,$H$4:$H$17,H18,$B$4:$B$17,"DE CORTE")-SUMIFS($I$4:$I$17,$C$4:$C$17,C18,$D$4:$D$17,D18,$E$4:$E$17,E18,$G$4:$G$17,G18,$H$4:$H$17,H18,$B$4:$B$17,"SALIDA"))),0)</f>
        <v>0</v>
      </c>
      <c r="M18" s="13">
        <f t="shared" si="2"/>
        <v>0</v>
      </c>
      <c r="N18" s="14"/>
      <c r="O18" s="14"/>
      <c r="P18" s="15"/>
      <c r="Q18" s="14"/>
    </row>
    <row r="19" ht="15.0" customHeight="1">
      <c r="A19" s="7"/>
      <c r="B19" s="8"/>
      <c r="C19" s="8"/>
      <c r="D19" s="8"/>
      <c r="E19" s="8"/>
      <c r="F19" s="14"/>
      <c r="G19" s="8"/>
      <c r="H19" s="8"/>
      <c r="I19" s="9"/>
      <c r="J19" s="12" t="str">
        <f t="array" ref="J19:K19">IFERROR(INDEX(PRECIOS_COMPLEMENTOS!$C$4:$F$17,MATCH(D19&amp;"_"&amp;E19,PRECIOS_COMPLEMENTOS!$H$4:$H$17,0),IF(OR(H19="S",H19="20cm"),1,IF(OR(H19="M",H19="25cm"),2,IF(OR(H19="L",H19="30cm"),3,IF(OR(H19="XL",H19="35cm"),4,0))))),0)</f>
        <v>#REF!</v>
      </c>
      <c r="K19" s="12">
        <f t="shared" si="1"/>
        <v>0</v>
      </c>
      <c r="L19" s="13">
        <f>IFERROR(IF(C19="",0,IF(D19="PRETINA",SUMIFS($I$4:$I$18,$C$4:$C$18,C19,$D$4:$D$18,D19,$E$4:$E$18,E19,$F$4:$F$18,F19,$G$4:$G$18,G19,$H$4:$H$18,H19,$B$4:$B$18,"INGRESO")+SUMIFS($I$4:$I$18,$C$4:$C$18,C19,$D$4:$D$18,D19,$E$4:$E$18,E19,$F$4:$F$18,F19,$G$4:$G$18,G19,$H$4:$H$18,H19,$B$4:$B$18,"DE CORTE")-SUMIFS($I$4:$I$18,$C$4:$C$18,C19,$D$4:$D$18,D19,$E$4:$E$18,E19,$F$4:$F$18,F19,$G$4:$G$18,G19,$H$4:$H$18,H19,$B$4:$B$18,"SALIDA"),SUMIFS($I$4:$I$18,$C$4:$C$18,C19,$D$4:$D$18,D19,$E$4:$E$18,E19,$G$4:$G$18,G19,$H$4:$H$18,H19,$B$4:$B$18,"INGRESO")+SUMIFS($I$4:$I$18,$C$4:$C$18,C19,$D$4:$D$18,D19,$E$4:$E$18,E19,$G$4:$G$18,G19,$H$4:$H$18,H19,$B$4:$B$18,"DE CORTE")-SUMIFS($I$4:$I$18,$C$4:$C$18,C19,$D$4:$D$18,D19,$E$4:$E$18,E19,$G$4:$G$18,G19,$H$4:$H$18,H19,$B$4:$B$18,"SALIDA"))),0)</f>
        <v>0</v>
      </c>
      <c r="M19" s="13">
        <f t="shared" si="2"/>
        <v>0</v>
      </c>
      <c r="N19" s="14"/>
      <c r="O19" s="14"/>
      <c r="P19" s="15"/>
      <c r="Q19" s="14"/>
    </row>
    <row r="20" ht="15.0" customHeight="1">
      <c r="A20" s="7"/>
      <c r="B20" s="8"/>
      <c r="C20" s="8"/>
      <c r="D20" s="8"/>
      <c r="E20" s="8"/>
      <c r="F20" s="14"/>
      <c r="G20" s="8"/>
      <c r="H20" s="8"/>
      <c r="I20" s="9"/>
      <c r="J20" s="12" t="str">
        <f t="array" ref="J20:K20">IFERROR(INDEX(PRECIOS_COMPLEMENTOS!$C$4:$F$17,MATCH(D20&amp;"_"&amp;E20,PRECIOS_COMPLEMENTOS!$H$4:$H$17,0),IF(OR(H20="S",H20="20cm"),1,IF(OR(H20="M",H20="25cm"),2,IF(OR(H20="L",H20="30cm"),3,IF(OR(H20="XL",H20="35cm"),4,0))))),0)</f>
        <v>#REF!</v>
      </c>
      <c r="K20" s="12">
        <f t="shared" si="1"/>
        <v>0</v>
      </c>
      <c r="L20" s="13">
        <f>IFERROR(IF(C20="",0,IF(D20="PRETINA",SUMIFS($I$4:$I$19,$C$4:$C$19,C20,$D$4:$D$19,D20,$E$4:$E$19,E20,$F$4:$F$19,F20,$G$4:$G$19,G20,$H$4:$H$19,H20,$B$4:$B$19,"INGRESO")+SUMIFS($I$4:$I$19,$C$4:$C$19,C20,$D$4:$D$19,D20,$E$4:$E$19,E20,$F$4:$F$19,F20,$G$4:$G$19,G20,$H$4:$H$19,H20,$B$4:$B$19,"DE CORTE")-SUMIFS($I$4:$I$19,$C$4:$C$19,C20,$D$4:$D$19,D20,$E$4:$E$19,E20,$F$4:$F$19,F20,$G$4:$G$19,G20,$H$4:$H$19,H20,$B$4:$B$19,"SALIDA"),SUMIFS($I$4:$I$19,$C$4:$C$19,C20,$D$4:$D$19,D20,$E$4:$E$19,E20,$G$4:$G$19,G20,$H$4:$H$19,H20,$B$4:$B$19,"INGRESO")+SUMIFS($I$4:$I$19,$C$4:$C$19,C20,$D$4:$D$19,D20,$E$4:$E$19,E20,$G$4:$G$19,G20,$H$4:$H$19,H20,$B$4:$B$19,"DE CORTE")-SUMIFS($I$4:$I$19,$C$4:$C$19,C20,$D$4:$D$19,D20,$E$4:$E$19,E20,$G$4:$G$19,G20,$H$4:$H$19,H20,$B$4:$B$19,"SALIDA"))),0)</f>
        <v>0</v>
      </c>
      <c r="M20" s="13">
        <f t="shared" si="2"/>
        <v>0</v>
      </c>
      <c r="N20" s="14"/>
      <c r="O20" s="14"/>
      <c r="P20" s="15"/>
      <c r="Q20" s="14"/>
    </row>
    <row r="21" ht="15.75" customHeight="1">
      <c r="A21" s="7"/>
      <c r="B21" s="8"/>
      <c r="C21" s="8"/>
      <c r="D21" s="8"/>
      <c r="E21" s="8"/>
      <c r="F21" s="14"/>
      <c r="G21" s="8"/>
      <c r="H21" s="8"/>
      <c r="I21" s="9"/>
      <c r="J21" s="12" t="str">
        <f t="array" ref="J21:K21">IFERROR(INDEX(PRECIOS_COMPLEMENTOS!$C$4:$F$17,MATCH(D21&amp;"_"&amp;E21,PRECIOS_COMPLEMENTOS!$H$4:$H$17,0),IF(OR(H21="S",H21="20cm"),1,IF(OR(H21="M",H21="25cm"),2,IF(OR(H21="L",H21="30cm"),3,IF(OR(H21="XL",H21="35cm"),4,0))))),0)</f>
        <v>#REF!</v>
      </c>
      <c r="K21" s="12">
        <f t="shared" si="1"/>
        <v>0</v>
      </c>
      <c r="L21" s="13">
        <f>IFERROR(IF(C21="",0,IF(D21="PRETINA",SUMIFS($I$4:$I$20,$C$4:$C$20,C21,$D$4:$D$20,D21,$E$4:$E$20,E21,$F$4:$F$20,F21,$G$4:$G$20,G21,$H$4:$H$20,H21,$B$4:$B$20,"INGRESO")+SUMIFS($I$4:$I$20,$C$4:$C$20,C21,$D$4:$D$20,D21,$E$4:$E$20,E21,$F$4:$F$20,F21,$G$4:$G$20,G21,$H$4:$H$20,H21,$B$4:$B$20,"DE CORTE")-SUMIFS($I$4:$I$20,$C$4:$C$20,C21,$D$4:$D$20,D21,$E$4:$E$20,E21,$F$4:$F$20,F21,$G$4:$G$20,G21,$H$4:$H$20,H21,$B$4:$B$20,"SALIDA"),SUMIFS($I$4:$I$20,$C$4:$C$20,C21,$D$4:$D$20,D21,$E$4:$E$20,E21,$G$4:$G$20,G21,$H$4:$H$20,H21,$B$4:$B$20,"INGRESO")+SUMIFS($I$4:$I$20,$C$4:$C$20,C21,$D$4:$D$20,D21,$E$4:$E$20,E21,$G$4:$G$20,G21,$H$4:$H$20,H21,$B$4:$B$20,"DE CORTE")-SUMIFS($I$4:$I$20,$C$4:$C$20,C21,$D$4:$D$20,D21,$E$4:$E$20,E21,$G$4:$G$20,G21,$H$4:$H$20,H21,$B$4:$B$20,"SALIDA"))),0)</f>
        <v>0</v>
      </c>
      <c r="M21" s="13">
        <f t="shared" si="2"/>
        <v>0</v>
      </c>
      <c r="N21" s="14"/>
      <c r="O21" s="14"/>
      <c r="P21" s="15"/>
      <c r="Q21" s="14"/>
    </row>
    <row r="22" ht="15.75" customHeight="1">
      <c r="A22" s="7"/>
      <c r="B22" s="8"/>
      <c r="C22" s="8"/>
      <c r="D22" s="8"/>
      <c r="E22" s="8"/>
      <c r="F22" s="14"/>
      <c r="G22" s="8"/>
      <c r="H22" s="8"/>
      <c r="I22" s="9"/>
      <c r="J22" s="12" t="str">
        <f t="array" ref="J22:K22">IFERROR(INDEX(PRECIOS_COMPLEMENTOS!$C$4:$F$17,MATCH(D22&amp;"_"&amp;E22,PRECIOS_COMPLEMENTOS!$H$4:$H$17,0),IF(OR(H22="S",H22="20cm"),1,IF(OR(H22="M",H22="25cm"),2,IF(OR(H22="L",H22="30cm"),3,IF(OR(H22="XL",H22="35cm"),4,0))))),0)</f>
        <v>#REF!</v>
      </c>
      <c r="K22" s="12">
        <f t="shared" si="1"/>
        <v>0</v>
      </c>
      <c r="L22" s="13">
        <f>IFERROR(IF(C22="",0,IF(D22="PRETINA",SUMIFS($I$4:$I$21,$C$4:$C$21,C22,$D$4:$D$21,D22,$E$4:$E$21,E22,$F$4:$F$21,F22,$G$4:$G$21,G22,$H$4:$H$21,H22,$B$4:$B$21,"INGRESO")+SUMIFS($I$4:$I$21,$C$4:$C$21,C22,$D$4:$D$21,D22,$E$4:$E$21,E22,$F$4:$F$21,F22,$G$4:$G$21,G22,$H$4:$H$21,H22,$B$4:$B$21,"DE CORTE")-SUMIFS($I$4:$I$21,$C$4:$C$21,C22,$D$4:$D$21,D22,$E$4:$E$21,E22,$F$4:$F$21,F22,$G$4:$G$21,G22,$H$4:$H$21,H22,$B$4:$B$21,"SALIDA"),SUMIFS($I$4:$I$21,$C$4:$C$21,C22,$D$4:$D$21,D22,$E$4:$E$21,E22,$G$4:$G$21,G22,$H$4:$H$21,H22,$B$4:$B$21,"INGRESO")+SUMIFS($I$4:$I$21,$C$4:$C$21,C22,$D$4:$D$21,D22,$E$4:$E$21,E22,$G$4:$G$21,G22,$H$4:$H$21,H22,$B$4:$B$21,"DE CORTE")-SUMIFS($I$4:$I$21,$C$4:$C$21,C22,$D$4:$D$21,D22,$E$4:$E$21,E22,$G$4:$G$21,G22,$H$4:$H$21,H22,$B$4:$B$21,"SALIDA"))),0)</f>
        <v>0</v>
      </c>
      <c r="M22" s="13">
        <f t="shared" si="2"/>
        <v>0</v>
      </c>
      <c r="N22" s="14"/>
      <c r="O22" s="14"/>
      <c r="P22" s="15"/>
      <c r="Q22" s="14"/>
    </row>
    <row r="23" ht="15.75" customHeight="1">
      <c r="A23" s="7"/>
      <c r="B23" s="8"/>
      <c r="C23" s="8"/>
      <c r="D23" s="8"/>
      <c r="E23" s="8"/>
      <c r="F23" s="14"/>
      <c r="G23" s="8"/>
      <c r="H23" s="8"/>
      <c r="I23" s="9"/>
      <c r="J23" s="12" t="str">
        <f t="array" ref="J23:K23">IFERROR(INDEX(PRECIOS_COMPLEMENTOS!$C$4:$F$17,MATCH(D23&amp;"_"&amp;E23,PRECIOS_COMPLEMENTOS!$H$4:$H$17,0),IF(OR(H23="S",H23="20cm"),1,IF(OR(H23="M",H23="25cm"),2,IF(OR(H23="L",H23="30cm"),3,IF(OR(H23="XL",H23="35cm"),4,0))))),0)</f>
        <v>#REF!</v>
      </c>
      <c r="K23" s="12">
        <f t="shared" si="1"/>
        <v>0</v>
      </c>
      <c r="L23" s="13">
        <f>IFERROR(IF(C23="",0,IF(D23="PRETINA",SUMIFS($I$4:$I$22,$C$4:$C$22,C23,$D$4:$D$22,D23,$E$4:$E$22,E23,$F$4:$F$22,F23,$G$4:$G$22,G23,$H$4:$H$22,H23,$B$4:$B$22,"INGRESO")+SUMIFS($I$4:$I$22,$C$4:$C$22,C23,$D$4:$D$22,D23,$E$4:$E$22,E23,$F$4:$F$22,F23,$G$4:$G$22,G23,$H$4:$H$22,H23,$B$4:$B$22,"DE CORTE")-SUMIFS($I$4:$I$22,$C$4:$C$22,C23,$D$4:$D$22,D23,$E$4:$E$22,E23,$F$4:$F$22,F23,$G$4:$G$22,G23,$H$4:$H$22,H23,$B$4:$B$22,"SALIDA"),SUMIFS($I$4:$I$22,$C$4:$C$22,C23,$D$4:$D$22,D23,$E$4:$E$22,E23,$G$4:$G$22,G23,$H$4:$H$22,H23,$B$4:$B$22,"INGRESO")+SUMIFS($I$4:$I$22,$C$4:$C$22,C23,$D$4:$D$22,D23,$E$4:$E$22,E23,$G$4:$G$22,G23,$H$4:$H$22,H23,$B$4:$B$22,"DE CORTE")-SUMIFS($I$4:$I$22,$C$4:$C$22,C23,$D$4:$D$22,D23,$E$4:$E$22,E23,$G$4:$G$22,G23,$H$4:$H$22,H23,$B$4:$B$22,"SALIDA"))),0)</f>
        <v>0</v>
      </c>
      <c r="M23" s="13">
        <f t="shared" si="2"/>
        <v>0</v>
      </c>
      <c r="N23" s="14"/>
      <c r="O23" s="14"/>
      <c r="P23" s="15"/>
      <c r="Q23" s="14"/>
    </row>
    <row r="24" ht="15.75" customHeight="1">
      <c r="A24" s="7"/>
      <c r="B24" s="8"/>
      <c r="C24" s="8"/>
      <c r="D24" s="8"/>
      <c r="E24" s="8"/>
      <c r="F24" s="14"/>
      <c r="G24" s="8"/>
      <c r="H24" s="8"/>
      <c r="I24" s="9"/>
      <c r="J24" s="12" t="str">
        <f t="array" ref="J24:K24">IFERROR(INDEX(PRECIOS_COMPLEMENTOS!$C$4:$F$17,MATCH(D24&amp;"_"&amp;E24,PRECIOS_COMPLEMENTOS!$H$4:$H$17,0),IF(OR(H24="S",H24="20cm"),1,IF(OR(H24="M",H24="25cm"),2,IF(OR(H24="L",H24="30cm"),3,IF(OR(H24="XL",H24="35cm"),4,0))))),0)</f>
        <v>#REF!</v>
      </c>
      <c r="K24" s="12">
        <f t="shared" si="1"/>
        <v>0</v>
      </c>
      <c r="L24" s="13">
        <f>IFERROR(IF(C24="",0,IF(D24="PRETINA",SUMIFS($I$4:$I$23,$C$4:$C$23,C24,$D$4:$D$23,D24,$E$4:$E$23,E24,$F$4:$F$23,F24,$G$4:$G$23,G24,$H$4:$H$23,H24,$B$4:$B$23,"INGRESO")+SUMIFS($I$4:$I$23,$C$4:$C$23,C24,$D$4:$D$23,D24,$E$4:$E$23,E24,$F$4:$F$23,F24,$G$4:$G$23,G24,$H$4:$H$23,H24,$B$4:$B$23,"DE CORTE")-SUMIFS($I$4:$I$23,$C$4:$C$23,C24,$D$4:$D$23,D24,$E$4:$E$23,E24,$F$4:$F$23,F24,$G$4:$G$23,G24,$H$4:$H$23,H24,$B$4:$B$23,"SALIDA"),SUMIFS($I$4:$I$23,$C$4:$C$23,C24,$D$4:$D$23,D24,$E$4:$E$23,E24,$G$4:$G$23,G24,$H$4:$H$23,H24,$B$4:$B$23,"INGRESO")+SUMIFS($I$4:$I$23,$C$4:$C$23,C24,$D$4:$D$23,D24,$E$4:$E$23,E24,$G$4:$G$23,G24,$H$4:$H$23,H24,$B$4:$B$23,"DE CORTE")-SUMIFS($I$4:$I$23,$C$4:$C$23,C24,$D$4:$D$23,D24,$E$4:$E$23,E24,$G$4:$G$23,G24,$H$4:$H$23,H24,$B$4:$B$23,"SALIDA"))),0)</f>
        <v>0</v>
      </c>
      <c r="M24" s="13">
        <f t="shared" si="2"/>
        <v>0</v>
      </c>
      <c r="N24" s="14"/>
      <c r="O24" s="14"/>
      <c r="P24" s="15"/>
      <c r="Q24" s="14"/>
    </row>
    <row r="25" ht="15.75" customHeight="1">
      <c r="A25" s="7"/>
      <c r="B25" s="8"/>
      <c r="C25" s="8"/>
      <c r="D25" s="8"/>
      <c r="E25" s="8"/>
      <c r="F25" s="14"/>
      <c r="G25" s="8"/>
      <c r="H25" s="8"/>
      <c r="I25" s="9"/>
      <c r="J25" s="12" t="str">
        <f t="array" ref="J25:K25">IFERROR(INDEX(PRECIOS_COMPLEMENTOS!$C$4:$F$17,MATCH(D25&amp;"_"&amp;E25,PRECIOS_COMPLEMENTOS!$H$4:$H$17,0),IF(OR(H25="S",H25="20cm"),1,IF(OR(H25="M",H25="25cm"),2,IF(OR(H25="L",H25="30cm"),3,IF(OR(H25="XL",H25="35cm"),4,0))))),0)</f>
        <v>#REF!</v>
      </c>
      <c r="K25" s="12">
        <f t="shared" si="1"/>
        <v>0</v>
      </c>
      <c r="L25" s="13">
        <f>IFERROR(IF(C25="",0,IF(D25="PRETINA",SUMIFS($I$4:$I$24,$C$4:$C$24,C25,$D$4:$D$24,D25,$E$4:$E$24,E25,$F$4:$F$24,F25,$G$4:$G$24,G25,$H$4:$H$24,H25,$B$4:$B$24,"INGRESO")+SUMIFS($I$4:$I$24,$C$4:$C$24,C25,$D$4:$D$24,D25,$E$4:$E$24,E25,$F$4:$F$24,F25,$G$4:$G$24,G25,$H$4:$H$24,H25,$B$4:$B$24,"DE CORTE")-SUMIFS($I$4:$I$24,$C$4:$C$24,C25,$D$4:$D$24,D25,$E$4:$E$24,E25,$F$4:$F$24,F25,$G$4:$G$24,G25,$H$4:$H$24,H25,$B$4:$B$24,"SALIDA"),SUMIFS($I$4:$I$24,$C$4:$C$24,C25,$D$4:$D$24,D25,$E$4:$E$24,E25,$G$4:$G$24,G25,$H$4:$H$24,H25,$B$4:$B$24,"INGRESO")+SUMIFS($I$4:$I$24,$C$4:$C$24,C25,$D$4:$D$24,D25,$E$4:$E$24,E25,$G$4:$G$24,G25,$H$4:$H$24,H25,$B$4:$B$24,"DE CORTE")-SUMIFS($I$4:$I$24,$C$4:$C$24,C25,$D$4:$D$24,D25,$E$4:$E$24,E25,$G$4:$G$24,G25,$H$4:$H$24,H25,$B$4:$B$24,"SALIDA"))),0)</f>
        <v>0</v>
      </c>
      <c r="M25" s="13">
        <f t="shared" si="2"/>
        <v>0</v>
      </c>
      <c r="N25" s="14"/>
      <c r="O25" s="14"/>
      <c r="P25" s="15"/>
      <c r="Q25" s="14"/>
    </row>
    <row r="26" ht="15.75" customHeight="1">
      <c r="A26" s="7"/>
      <c r="B26" s="8"/>
      <c r="C26" s="8"/>
      <c r="D26" s="8"/>
      <c r="E26" s="8"/>
      <c r="F26" s="14"/>
      <c r="G26" s="8"/>
      <c r="H26" s="8"/>
      <c r="I26" s="9"/>
      <c r="J26" s="12" t="str">
        <f t="array" ref="J26:K26">IFERROR(INDEX(PRECIOS_COMPLEMENTOS!$C$4:$F$17,MATCH(D26&amp;"_"&amp;E26,PRECIOS_COMPLEMENTOS!$H$4:$H$17,0),IF(OR(H26="S",H26="20cm"),1,IF(OR(H26="M",H26="25cm"),2,IF(OR(H26="L",H26="30cm"),3,IF(OR(H26="XL",H26="35cm"),4,0))))),0)</f>
        <v>#REF!</v>
      </c>
      <c r="K26" s="12">
        <f t="shared" si="1"/>
        <v>0</v>
      </c>
      <c r="L26" s="13">
        <f>IFERROR(IF(C26="",0,IF(D26="PRETINA",SUMIFS($I$4:$I$25,$C$4:$C$25,C26,$D$4:$D$25,D26,$E$4:$E$25,E26,$F$4:$F$25,F26,$G$4:$G$25,G26,$H$4:$H$25,H26,$B$4:$B$25,"INGRESO")+SUMIFS($I$4:$I$25,$C$4:$C$25,C26,$D$4:$D$25,D26,$E$4:$E$25,E26,$F$4:$F$25,F26,$G$4:$G$25,G26,$H$4:$H$25,H26,$B$4:$B$25,"DE CORTE")-SUMIFS($I$4:$I$25,$C$4:$C$25,C26,$D$4:$D$25,D26,$E$4:$E$25,E26,$F$4:$F$25,F26,$G$4:$G$25,G26,$H$4:$H$25,H26,$B$4:$B$25,"SALIDA"),SUMIFS($I$4:$I$25,$C$4:$C$25,C26,$D$4:$D$25,D26,$E$4:$E$25,E26,$G$4:$G$25,G26,$H$4:$H$25,H26,$B$4:$B$25,"INGRESO")+SUMIFS($I$4:$I$25,$C$4:$C$25,C26,$D$4:$D$25,D26,$E$4:$E$25,E26,$G$4:$G$25,G26,$H$4:$H$25,H26,$B$4:$B$25,"DE CORTE")-SUMIFS($I$4:$I$25,$C$4:$C$25,C26,$D$4:$D$25,D26,$E$4:$E$25,E26,$G$4:$G$25,G26,$H$4:$H$25,H26,$B$4:$B$25,"SALIDA"))),0)</f>
        <v>0</v>
      </c>
      <c r="M26" s="13">
        <f t="shared" si="2"/>
        <v>0</v>
      </c>
      <c r="N26" s="14"/>
      <c r="O26" s="14"/>
      <c r="P26" s="15"/>
      <c r="Q26" s="14"/>
    </row>
    <row r="27" ht="15.75" customHeight="1">
      <c r="A27" s="7"/>
      <c r="B27" s="8"/>
      <c r="C27" s="8"/>
      <c r="D27" s="8"/>
      <c r="E27" s="8"/>
      <c r="F27" s="14"/>
      <c r="G27" s="8"/>
      <c r="H27" s="8"/>
      <c r="I27" s="9"/>
      <c r="J27" s="12" t="str">
        <f t="array" ref="J27:K27">IFERROR(INDEX(PRECIOS_COMPLEMENTOS!$C$4:$F$17,MATCH(D27&amp;"_"&amp;E27,PRECIOS_COMPLEMENTOS!$H$4:$H$17,0),IF(OR(H27="S",H27="20cm"),1,IF(OR(H27="M",H27="25cm"),2,IF(OR(H27="L",H27="30cm"),3,IF(OR(H27="XL",H27="35cm"),4,0))))),0)</f>
        <v>#REF!</v>
      </c>
      <c r="K27" s="12">
        <f t="shared" si="1"/>
        <v>0</v>
      </c>
      <c r="L27" s="13">
        <f>IFERROR(IF(C27="",0,IF(D27="PRETINA",SUMIFS($I$4:$I$26,$C$4:$C$26,C27,$D$4:$D$26,D27,$E$4:$E$26,E27,$F$4:$F$26,F27,$G$4:$G$26,G27,$H$4:$H$26,H27,$B$4:$B$26,"INGRESO")+SUMIFS($I$4:$I$26,$C$4:$C$26,C27,$D$4:$D$26,D27,$E$4:$E$26,E27,$F$4:$F$26,F27,$G$4:$G$26,G27,$H$4:$H$26,H27,$B$4:$B$26,"DE CORTE")-SUMIFS($I$4:$I$26,$C$4:$C$26,C27,$D$4:$D$26,D27,$E$4:$E$26,E27,$F$4:$F$26,F27,$G$4:$G$26,G27,$H$4:$H$26,H27,$B$4:$B$26,"SALIDA"),SUMIFS($I$4:$I$26,$C$4:$C$26,C27,$D$4:$D$26,D27,$E$4:$E$26,E27,$G$4:$G$26,G27,$H$4:$H$26,H27,$B$4:$B$26,"INGRESO")+SUMIFS($I$4:$I$26,$C$4:$C$26,C27,$D$4:$D$26,D27,$E$4:$E$26,E27,$G$4:$G$26,G27,$H$4:$H$26,H27,$B$4:$B$26,"DE CORTE")-SUMIFS($I$4:$I$26,$C$4:$C$26,C27,$D$4:$D$26,D27,$E$4:$E$26,E27,$G$4:$G$26,G27,$H$4:$H$26,H27,$B$4:$B$26,"SALIDA"))),0)</f>
        <v>0</v>
      </c>
      <c r="M27" s="13">
        <f t="shared" si="2"/>
        <v>0</v>
      </c>
      <c r="N27" s="14"/>
      <c r="O27" s="14"/>
      <c r="P27" s="15"/>
      <c r="Q27" s="14"/>
    </row>
    <row r="28" ht="15.75" customHeight="1">
      <c r="A28" s="7"/>
      <c r="B28" s="8"/>
      <c r="C28" s="8"/>
      <c r="D28" s="8"/>
      <c r="E28" s="8"/>
      <c r="F28" s="14"/>
      <c r="G28" s="8"/>
      <c r="H28" s="8"/>
      <c r="I28" s="9"/>
      <c r="J28" s="12" t="str">
        <f t="array" ref="J28:K28">IFERROR(INDEX(PRECIOS_COMPLEMENTOS!$C$4:$F$17,MATCH(D28&amp;"_"&amp;E28,PRECIOS_COMPLEMENTOS!$H$4:$H$17,0),IF(OR(H28="S",H28="20cm"),1,IF(OR(H28="M",H28="25cm"),2,IF(OR(H28="L",H28="30cm"),3,IF(OR(H28="XL",H28="35cm"),4,0))))),0)</f>
        <v>#REF!</v>
      </c>
      <c r="K28" s="12">
        <f t="shared" si="1"/>
        <v>0</v>
      </c>
      <c r="L28" s="13">
        <f>IFERROR(IF(C28="",0,IF(D28="PRETINA",SUMIFS($I$4:$I$27,$C$4:$C$27,C28,$D$4:$D$27,D28,$E$4:$E$27,E28,$F$4:$F$27,F28,$G$4:$G$27,G28,$H$4:$H$27,H28,$B$4:$B$27,"INGRESO")+SUMIFS($I$4:$I$27,$C$4:$C$27,C28,$D$4:$D$27,D28,$E$4:$E$27,E28,$F$4:$F$27,F28,$G$4:$G$27,G28,$H$4:$H$27,H28,$B$4:$B$27,"DE CORTE")-SUMIFS($I$4:$I$27,$C$4:$C$27,C28,$D$4:$D$27,D28,$E$4:$E$27,E28,$F$4:$F$27,F28,$G$4:$G$27,G28,$H$4:$H$27,H28,$B$4:$B$27,"SALIDA"),SUMIFS($I$4:$I$27,$C$4:$C$27,C28,$D$4:$D$27,D28,$E$4:$E$27,E28,$G$4:$G$27,G28,$H$4:$H$27,H28,$B$4:$B$27,"INGRESO")+SUMIFS($I$4:$I$27,$C$4:$C$27,C28,$D$4:$D$27,D28,$E$4:$E$27,E28,$G$4:$G$27,G28,$H$4:$H$27,H28,$B$4:$B$27,"DE CORTE")-SUMIFS($I$4:$I$27,$C$4:$C$27,C28,$D$4:$D$27,D28,$E$4:$E$27,E28,$G$4:$G$27,G28,$H$4:$H$27,H28,$B$4:$B$27,"SALIDA"))),0)</f>
        <v>0</v>
      </c>
      <c r="M28" s="13">
        <f t="shared" si="2"/>
        <v>0</v>
      </c>
      <c r="N28" s="14"/>
      <c r="O28" s="14"/>
      <c r="P28" s="15"/>
      <c r="Q28" s="14"/>
    </row>
    <row r="29" ht="15.75" customHeight="1">
      <c r="A29" s="7"/>
      <c r="B29" s="8"/>
      <c r="C29" s="8"/>
      <c r="D29" s="8"/>
      <c r="E29" s="8"/>
      <c r="F29" s="14"/>
      <c r="G29" s="8"/>
      <c r="H29" s="8"/>
      <c r="I29" s="9"/>
      <c r="J29" s="12" t="str">
        <f t="array" ref="J29:K29">IFERROR(INDEX(PRECIOS_COMPLEMENTOS!$C$4:$F$17,MATCH(D29&amp;"_"&amp;E29,PRECIOS_COMPLEMENTOS!$H$4:$H$17,0),IF(OR(H29="S",H29="20cm"),1,IF(OR(H29="M",H29="25cm"),2,IF(OR(H29="L",H29="30cm"),3,IF(OR(H29="XL",H29="35cm"),4,0))))),0)</f>
        <v>#REF!</v>
      </c>
      <c r="K29" s="12">
        <f t="shared" si="1"/>
        <v>0</v>
      </c>
      <c r="L29" s="13">
        <f>IFERROR(IF(C29="",0,IF(D29="PRETINA",SUMIFS($I$4:$I$28,$C$4:$C$28,C29,$D$4:$D$28,D29,$E$4:$E$28,E29,$F$4:$F$28,F29,$G$4:$G$28,G29,$H$4:$H$28,H29,$B$4:$B$28,"INGRESO")+SUMIFS($I$4:$I$28,$C$4:$C$28,C29,$D$4:$D$28,D29,$E$4:$E$28,E29,$F$4:$F$28,F29,$G$4:$G$28,G29,$H$4:$H$28,H29,$B$4:$B$28,"DE CORTE")-SUMIFS($I$4:$I$28,$C$4:$C$28,C29,$D$4:$D$28,D29,$E$4:$E$28,E29,$F$4:$F$28,F29,$G$4:$G$28,G29,$H$4:$H$28,H29,$B$4:$B$28,"SALIDA"),SUMIFS($I$4:$I$28,$C$4:$C$28,C29,$D$4:$D$28,D29,$E$4:$E$28,E29,$G$4:$G$28,G29,$H$4:$H$28,H29,$B$4:$B$28,"INGRESO")+SUMIFS($I$4:$I$28,$C$4:$C$28,C29,$D$4:$D$28,D29,$E$4:$E$28,E29,$G$4:$G$28,G29,$H$4:$H$28,H29,$B$4:$B$28,"DE CORTE")-SUMIFS($I$4:$I$28,$C$4:$C$28,C29,$D$4:$D$28,D29,$E$4:$E$28,E29,$G$4:$G$28,G29,$H$4:$H$28,H29,$B$4:$B$28,"SALIDA"))),0)</f>
        <v>0</v>
      </c>
      <c r="M29" s="13">
        <f t="shared" si="2"/>
        <v>0</v>
      </c>
      <c r="N29" s="14"/>
      <c r="O29" s="14"/>
      <c r="P29" s="15"/>
      <c r="Q29" s="14"/>
    </row>
    <row r="30" ht="15.75" customHeight="1">
      <c r="A30" s="7"/>
      <c r="B30" s="8"/>
      <c r="C30" s="8"/>
      <c r="D30" s="8"/>
      <c r="E30" s="8"/>
      <c r="F30" s="14"/>
      <c r="G30" s="8"/>
      <c r="H30" s="8"/>
      <c r="I30" s="9"/>
      <c r="J30" s="12" t="str">
        <f t="array" ref="J30:K30">IFERROR(INDEX(PRECIOS_COMPLEMENTOS!$C$4:$F$17,MATCH(D30&amp;"_"&amp;E30,PRECIOS_COMPLEMENTOS!$H$4:$H$17,0),IF(OR(H30="S",H30="20cm"),1,IF(OR(H30="M",H30="25cm"),2,IF(OR(H30="L",H30="30cm"),3,IF(OR(H30="XL",H30="35cm"),4,0))))),0)</f>
        <v>#REF!</v>
      </c>
      <c r="K30" s="12">
        <f t="shared" si="1"/>
        <v>0</v>
      </c>
      <c r="L30" s="13">
        <f>IFERROR(IF(C30="",0,IF(D30="PRETINA",SUMIFS($I$4:$I$29,$C$4:$C$29,C30,$D$4:$D$29,D30,$E$4:$E$29,E30,$F$4:$F$29,F30,$G$4:$G$29,G30,$H$4:$H$29,H30,$B$4:$B$29,"INGRESO")+SUMIFS($I$4:$I$29,$C$4:$C$29,C30,$D$4:$D$29,D30,$E$4:$E$29,E30,$F$4:$F$29,F30,$G$4:$G$29,G30,$H$4:$H$29,H30,$B$4:$B$29,"DE CORTE")-SUMIFS($I$4:$I$29,$C$4:$C$29,C30,$D$4:$D$29,D30,$E$4:$E$29,E30,$F$4:$F$29,F30,$G$4:$G$29,G30,$H$4:$H$29,H30,$B$4:$B$29,"SALIDA"),SUMIFS($I$4:$I$29,$C$4:$C$29,C30,$D$4:$D$29,D30,$E$4:$E$29,E30,$G$4:$G$29,G30,$H$4:$H$29,H30,$B$4:$B$29,"INGRESO")+SUMIFS($I$4:$I$29,$C$4:$C$29,C30,$D$4:$D$29,D30,$E$4:$E$29,E30,$G$4:$G$29,G30,$H$4:$H$29,H30,$B$4:$B$29,"DE CORTE")-SUMIFS($I$4:$I$29,$C$4:$C$29,C30,$D$4:$D$29,D30,$E$4:$E$29,E30,$G$4:$G$29,G30,$H$4:$H$29,H30,$B$4:$B$29,"SALIDA"))),0)</f>
        <v>0</v>
      </c>
      <c r="M30" s="13">
        <f t="shared" si="2"/>
        <v>0</v>
      </c>
      <c r="N30" s="14"/>
      <c r="O30" s="14"/>
      <c r="P30" s="15"/>
      <c r="Q30" s="14"/>
    </row>
    <row r="31" ht="15.75" customHeight="1">
      <c r="A31" s="7"/>
      <c r="B31" s="8"/>
      <c r="C31" s="8"/>
      <c r="D31" s="8"/>
      <c r="E31" s="8"/>
      <c r="F31" s="14"/>
      <c r="G31" s="8"/>
      <c r="H31" s="8"/>
      <c r="I31" s="9"/>
      <c r="J31" s="12" t="str">
        <f t="array" ref="J31:K31">IFERROR(INDEX(PRECIOS_COMPLEMENTOS!$C$4:$F$17,MATCH(D31&amp;"_"&amp;E31,PRECIOS_COMPLEMENTOS!$H$4:$H$17,0),IF(OR(H31="S",H31="20cm"),1,IF(OR(H31="M",H31="25cm"),2,IF(OR(H31="L",H31="30cm"),3,IF(OR(H31="XL",H31="35cm"),4,0))))),0)</f>
        <v>#REF!</v>
      </c>
      <c r="K31" s="12">
        <f t="shared" si="1"/>
        <v>0</v>
      </c>
      <c r="L31" s="13">
        <f>IFERROR(IF(C31="",0,IF(D31="PRETINA",SUMIFS($I$4:$I$30,$C$4:$C$30,C31,$D$4:$D$30,D31,$E$4:$E$30,E31,$F$4:$F$30,F31,$G$4:$G$30,G31,$H$4:$H$30,H31,$B$4:$B$30,"INGRESO")+SUMIFS($I$4:$I$30,$C$4:$C$30,C31,$D$4:$D$30,D31,$E$4:$E$30,E31,$F$4:$F$30,F31,$G$4:$G$30,G31,$H$4:$H$30,H31,$B$4:$B$30,"DE CORTE")-SUMIFS($I$4:$I$30,$C$4:$C$30,C31,$D$4:$D$30,D31,$E$4:$E$30,E31,$F$4:$F$30,F31,$G$4:$G$30,G31,$H$4:$H$30,H31,$B$4:$B$30,"SALIDA"),SUMIFS($I$4:$I$30,$C$4:$C$30,C31,$D$4:$D$30,D31,$E$4:$E$30,E31,$G$4:$G$30,G31,$H$4:$H$30,H31,$B$4:$B$30,"INGRESO")+SUMIFS($I$4:$I$30,$C$4:$C$30,C31,$D$4:$D$30,D31,$E$4:$E$30,E31,$G$4:$G$30,G31,$H$4:$H$30,H31,$B$4:$B$30,"DE CORTE")-SUMIFS($I$4:$I$30,$C$4:$C$30,C31,$D$4:$D$30,D31,$E$4:$E$30,E31,$G$4:$G$30,G31,$H$4:$H$30,H31,$B$4:$B$30,"SALIDA"))),0)</f>
        <v>0</v>
      </c>
      <c r="M31" s="13">
        <f t="shared" si="2"/>
        <v>0</v>
      </c>
      <c r="N31" s="14"/>
      <c r="O31" s="14"/>
      <c r="P31" s="15"/>
      <c r="Q31" s="14"/>
    </row>
    <row r="32" ht="15.75" customHeight="1">
      <c r="A32" s="7"/>
      <c r="B32" s="8"/>
      <c r="C32" s="8"/>
      <c r="D32" s="8"/>
      <c r="E32" s="8"/>
      <c r="F32" s="14"/>
      <c r="G32" s="8"/>
      <c r="H32" s="8"/>
      <c r="I32" s="9"/>
      <c r="J32" s="12" t="str">
        <f t="array" ref="J32:K32">IFERROR(INDEX(PRECIOS_COMPLEMENTOS!$C$4:$F$17,MATCH(D32&amp;"_"&amp;E32,PRECIOS_COMPLEMENTOS!$H$4:$H$17,0),IF(OR(H32="S",H32="20cm"),1,IF(OR(H32="M",H32="25cm"),2,IF(OR(H32="L",H32="30cm"),3,IF(OR(H32="XL",H32="35cm"),4,0))))),0)</f>
        <v>#REF!</v>
      </c>
      <c r="K32" s="12">
        <f t="shared" si="1"/>
        <v>0</v>
      </c>
      <c r="L32" s="13">
        <f>IFERROR(IF(C32="",0,IF(D32="PRETINA",SUMIFS($I$4:$I$31,$C$4:$C$31,C32,$D$4:$D$31,D32,$E$4:$E$31,E32,$F$4:$F$31,F32,$G$4:$G$31,G32,$H$4:$H$31,H32,$B$4:$B$31,"INGRESO")+SUMIFS($I$4:$I$31,$C$4:$C$31,C32,$D$4:$D$31,D32,$E$4:$E$31,E32,$F$4:$F$31,F32,$G$4:$G$31,G32,$H$4:$H$31,H32,$B$4:$B$31,"DE CORTE")-SUMIFS($I$4:$I$31,$C$4:$C$31,C32,$D$4:$D$31,D32,$E$4:$E$31,E32,$F$4:$F$31,F32,$G$4:$G$31,G32,$H$4:$H$31,H32,$B$4:$B$31,"SALIDA"),SUMIFS($I$4:$I$31,$C$4:$C$31,C32,$D$4:$D$31,D32,$E$4:$E$31,E32,$G$4:$G$31,G32,$H$4:$H$31,H32,$B$4:$B$31,"INGRESO")+SUMIFS($I$4:$I$31,$C$4:$C$31,C32,$D$4:$D$31,D32,$E$4:$E$31,E32,$G$4:$G$31,G32,$H$4:$H$31,H32,$B$4:$B$31,"DE CORTE")-SUMIFS($I$4:$I$31,$C$4:$C$31,C32,$D$4:$D$31,D32,$E$4:$E$31,E32,$G$4:$G$31,G32,$H$4:$H$31,H32,$B$4:$B$31,"SALIDA"))),0)</f>
        <v>0</v>
      </c>
      <c r="M32" s="13">
        <f t="shared" si="2"/>
        <v>0</v>
      </c>
      <c r="N32" s="14"/>
      <c r="O32" s="14"/>
      <c r="P32" s="15"/>
      <c r="Q32" s="14"/>
    </row>
    <row r="33" ht="15.75" customHeight="1">
      <c r="A33" s="7"/>
      <c r="B33" s="8"/>
      <c r="C33" s="8"/>
      <c r="D33" s="8"/>
      <c r="E33" s="8"/>
      <c r="F33" s="14"/>
      <c r="G33" s="8"/>
      <c r="H33" s="8"/>
      <c r="I33" s="9"/>
      <c r="J33" s="12" t="str">
        <f t="array" ref="J33:K33">IFERROR(INDEX(PRECIOS_COMPLEMENTOS!$C$4:$F$17,MATCH(D33&amp;"_"&amp;E33,PRECIOS_COMPLEMENTOS!$H$4:$H$17,0),IF(OR(H33="S",H33="20cm"),1,IF(OR(H33="M",H33="25cm"),2,IF(OR(H33="L",H33="30cm"),3,IF(OR(H33="XL",H33="35cm"),4,0))))),0)</f>
        <v>#REF!</v>
      </c>
      <c r="K33" s="12">
        <f t="shared" si="1"/>
        <v>0</v>
      </c>
      <c r="L33" s="13">
        <f>IFERROR(IF(C33="",0,IF(D33="PRETINA",SUMIFS($I$4:$I$32,$C$4:$C$32,C33,$D$4:$D$32,D33,$E$4:$E$32,E33,$F$4:$F$32,F33,$G$4:$G$32,G33,$H$4:$H$32,H33,$B$4:$B$32,"INGRESO")+SUMIFS($I$4:$I$32,$C$4:$C$32,C33,$D$4:$D$32,D33,$E$4:$E$32,E33,$F$4:$F$32,F33,$G$4:$G$32,G33,$H$4:$H$32,H33,$B$4:$B$32,"DE CORTE")-SUMIFS($I$4:$I$32,$C$4:$C$32,C33,$D$4:$D$32,D33,$E$4:$E$32,E33,$F$4:$F$32,F33,$G$4:$G$32,G33,$H$4:$H$32,H33,$B$4:$B$32,"SALIDA"),SUMIFS($I$4:$I$32,$C$4:$C$32,C33,$D$4:$D$32,D33,$E$4:$E$32,E33,$G$4:$G$32,G33,$H$4:$H$32,H33,$B$4:$B$32,"INGRESO")+SUMIFS($I$4:$I$32,$C$4:$C$32,C33,$D$4:$D$32,D33,$E$4:$E$32,E33,$G$4:$G$32,G33,$H$4:$H$32,H33,$B$4:$B$32,"DE CORTE")-SUMIFS($I$4:$I$32,$C$4:$C$32,C33,$D$4:$D$32,D33,$E$4:$E$32,E33,$G$4:$G$32,G33,$H$4:$H$32,H33,$B$4:$B$32,"SALIDA"))),0)</f>
        <v>0</v>
      </c>
      <c r="M33" s="13">
        <f t="shared" si="2"/>
        <v>0</v>
      </c>
      <c r="N33" s="14"/>
      <c r="O33" s="14"/>
      <c r="P33" s="15"/>
      <c r="Q33" s="14"/>
    </row>
    <row r="34" ht="15.75" customHeight="1">
      <c r="A34" s="7"/>
      <c r="B34" s="8"/>
      <c r="C34" s="8"/>
      <c r="D34" s="8"/>
      <c r="E34" s="8"/>
      <c r="F34" s="14"/>
      <c r="G34" s="8"/>
      <c r="H34" s="8"/>
      <c r="I34" s="9"/>
      <c r="J34" s="12" t="str">
        <f t="array" ref="J34:K34">IFERROR(INDEX(PRECIOS_COMPLEMENTOS!$C$4:$F$17,MATCH(D34&amp;"_"&amp;E34,PRECIOS_COMPLEMENTOS!$H$4:$H$17,0),IF(OR(H34="S",H34="20cm"),1,IF(OR(H34="M",H34="25cm"),2,IF(OR(H34="L",H34="30cm"),3,IF(OR(H34="XL",H34="35cm"),4,0))))),0)</f>
        <v>#REF!</v>
      </c>
      <c r="K34" s="12">
        <f t="shared" si="1"/>
        <v>0</v>
      </c>
      <c r="L34" s="13">
        <f>IFERROR(IF(C34="",0,IF(D34="PRETINA",SUMIFS($I$4:$I$33,$C$4:$C$33,C34,$D$4:$D$33,D34,$E$4:$E$33,E34,$F$4:$F$33,F34,$G$4:$G$33,G34,$H$4:$H$33,H34,$B$4:$B$33,"INGRESO")+SUMIFS($I$4:$I$33,$C$4:$C$33,C34,$D$4:$D$33,D34,$E$4:$E$33,E34,$F$4:$F$33,F34,$G$4:$G$33,G34,$H$4:$H$33,H34,$B$4:$B$33,"DE CORTE")-SUMIFS($I$4:$I$33,$C$4:$C$33,C34,$D$4:$D$33,D34,$E$4:$E$33,E34,$F$4:$F$33,F34,$G$4:$G$33,G34,$H$4:$H$33,H34,$B$4:$B$33,"SALIDA"),SUMIFS($I$4:$I$33,$C$4:$C$33,C34,$D$4:$D$33,D34,$E$4:$E$33,E34,$G$4:$G$33,G34,$H$4:$H$33,H34,$B$4:$B$33,"INGRESO")+SUMIFS($I$4:$I$33,$C$4:$C$33,C34,$D$4:$D$33,D34,$E$4:$E$33,E34,$G$4:$G$33,G34,$H$4:$H$33,H34,$B$4:$B$33,"DE CORTE")-SUMIFS($I$4:$I$33,$C$4:$C$33,C34,$D$4:$D$33,D34,$E$4:$E$33,E34,$G$4:$G$33,G34,$H$4:$H$33,H34,$B$4:$B$33,"SALIDA"))),0)</f>
        <v>0</v>
      </c>
      <c r="M34" s="13">
        <f t="shared" si="2"/>
        <v>0</v>
      </c>
      <c r="N34" s="14"/>
      <c r="O34" s="14"/>
      <c r="P34" s="15"/>
      <c r="Q34" s="14"/>
    </row>
    <row r="35" ht="15.75" customHeight="1">
      <c r="A35" s="7"/>
      <c r="B35" s="8"/>
      <c r="C35" s="8"/>
      <c r="D35" s="8"/>
      <c r="E35" s="8"/>
      <c r="F35" s="14"/>
      <c r="G35" s="8"/>
      <c r="H35" s="8"/>
      <c r="I35" s="9"/>
      <c r="J35" s="12" t="str">
        <f t="array" ref="J35:K35">IFERROR(INDEX(PRECIOS_COMPLEMENTOS!$C$4:$F$17,MATCH(D35&amp;"_"&amp;E35,PRECIOS_COMPLEMENTOS!$H$4:$H$17,0),IF(OR(H35="S",H35="20cm"),1,IF(OR(H35="M",H35="25cm"),2,IF(OR(H35="L",H35="30cm"),3,IF(OR(H35="XL",H35="35cm"),4,0))))),0)</f>
        <v>#REF!</v>
      </c>
      <c r="K35" s="12">
        <f t="shared" si="1"/>
        <v>0</v>
      </c>
      <c r="L35" s="13">
        <f>IFERROR(IF(C35="",0,IF(D35="PRETINA",SUMIFS($I$4:$I$34,$C$4:$C$34,C35,$D$4:$D$34,D35,$E$4:$E$34,E35,$F$4:$F$34,F35,$G$4:$G$34,G35,$H$4:$H$34,H35,$B$4:$B$34,"INGRESO")+SUMIFS($I$4:$I$34,$C$4:$C$34,C35,$D$4:$D$34,D35,$E$4:$E$34,E35,$F$4:$F$34,F35,$G$4:$G$34,G35,$H$4:$H$34,H35,$B$4:$B$34,"DE CORTE")-SUMIFS($I$4:$I$34,$C$4:$C$34,C35,$D$4:$D$34,D35,$E$4:$E$34,E35,$F$4:$F$34,F35,$G$4:$G$34,G35,$H$4:$H$34,H35,$B$4:$B$34,"SALIDA"),SUMIFS($I$4:$I$34,$C$4:$C$34,C35,$D$4:$D$34,D35,$E$4:$E$34,E35,$G$4:$G$34,G35,$H$4:$H$34,H35,$B$4:$B$34,"INGRESO")+SUMIFS($I$4:$I$34,$C$4:$C$34,C35,$D$4:$D$34,D35,$E$4:$E$34,E35,$G$4:$G$34,G35,$H$4:$H$34,H35,$B$4:$B$34,"DE CORTE")-SUMIFS($I$4:$I$34,$C$4:$C$34,C35,$D$4:$D$34,D35,$E$4:$E$34,E35,$G$4:$G$34,G35,$H$4:$H$34,H35,$B$4:$B$34,"SALIDA"))),0)</f>
        <v>0</v>
      </c>
      <c r="M35" s="13">
        <f t="shared" si="2"/>
        <v>0</v>
      </c>
      <c r="N35" s="14"/>
      <c r="O35" s="14"/>
      <c r="P35" s="15"/>
      <c r="Q35" s="14"/>
    </row>
    <row r="36" ht="15.75" customHeight="1">
      <c r="A36" s="7"/>
      <c r="B36" s="8"/>
      <c r="C36" s="8"/>
      <c r="D36" s="8"/>
      <c r="E36" s="8"/>
      <c r="F36" s="14"/>
      <c r="G36" s="8"/>
      <c r="H36" s="8"/>
      <c r="I36" s="9"/>
      <c r="J36" s="12" t="str">
        <f t="array" ref="J36:K36">IFERROR(INDEX(PRECIOS_COMPLEMENTOS!$C$4:$F$17,MATCH(D36&amp;"_"&amp;E36,PRECIOS_COMPLEMENTOS!$H$4:$H$17,0),IF(OR(H36="S",H36="20cm"),1,IF(OR(H36="M",H36="25cm"),2,IF(OR(H36="L",H36="30cm"),3,IF(OR(H36="XL",H36="35cm"),4,0))))),0)</f>
        <v>#REF!</v>
      </c>
      <c r="K36" s="12">
        <f t="shared" si="1"/>
        <v>0</v>
      </c>
      <c r="L36" s="13">
        <f>IFERROR(IF(C36="",0,IF(D36="PRETINA",SUMIFS($I$4:$I$35,$C$4:$C$35,C36,$D$4:$D$35,D36,$E$4:$E$35,E36,$F$4:$F$35,F36,$G$4:$G$35,G36,$H$4:$H$35,H36,$B$4:$B$35,"INGRESO")+SUMIFS($I$4:$I$35,$C$4:$C$35,C36,$D$4:$D$35,D36,$E$4:$E$35,E36,$F$4:$F$35,F36,$G$4:$G$35,G36,$H$4:$H$35,H36,$B$4:$B$35,"DE CORTE")-SUMIFS($I$4:$I$35,$C$4:$C$35,C36,$D$4:$D$35,D36,$E$4:$E$35,E36,$F$4:$F$35,F36,$G$4:$G$35,G36,$H$4:$H$35,H36,$B$4:$B$35,"SALIDA"),SUMIFS($I$4:$I$35,$C$4:$C$35,C36,$D$4:$D$35,D36,$E$4:$E$35,E36,$G$4:$G$35,G36,$H$4:$H$35,H36,$B$4:$B$35,"INGRESO")+SUMIFS($I$4:$I$35,$C$4:$C$35,C36,$D$4:$D$35,D36,$E$4:$E$35,E36,$G$4:$G$35,G36,$H$4:$H$35,H36,$B$4:$B$35,"DE CORTE")-SUMIFS($I$4:$I$35,$C$4:$C$35,C36,$D$4:$D$35,D36,$E$4:$E$35,E36,$G$4:$G$35,G36,$H$4:$H$35,H36,$B$4:$B$35,"SALIDA"))),0)</f>
        <v>0</v>
      </c>
      <c r="M36" s="13">
        <f t="shared" si="2"/>
        <v>0</v>
      </c>
      <c r="N36" s="14"/>
      <c r="O36" s="14"/>
      <c r="P36" s="15"/>
      <c r="Q36" s="14"/>
    </row>
    <row r="37" ht="15.75" customHeight="1">
      <c r="A37" s="7"/>
      <c r="B37" s="8"/>
      <c r="C37" s="8"/>
      <c r="D37" s="8"/>
      <c r="E37" s="8"/>
      <c r="F37" s="14"/>
      <c r="G37" s="8"/>
      <c r="H37" s="8"/>
      <c r="I37" s="9"/>
      <c r="J37" s="12" t="str">
        <f t="array" ref="J37:K37">IFERROR(INDEX(PRECIOS_COMPLEMENTOS!$C$4:$F$17,MATCH(D37&amp;"_"&amp;E37,PRECIOS_COMPLEMENTOS!$H$4:$H$17,0),IF(OR(H37="S",H37="20cm"),1,IF(OR(H37="M",H37="25cm"),2,IF(OR(H37="L",H37="30cm"),3,IF(OR(H37="XL",H37="35cm"),4,0))))),0)</f>
        <v>#REF!</v>
      </c>
      <c r="K37" s="12">
        <f t="shared" si="1"/>
        <v>0</v>
      </c>
      <c r="L37" s="13">
        <f>IFERROR(IF(C37="",0,IF(D37="PRETINA",SUMIFS($I$4:$I$36,$C$4:$C$36,C37,$D$4:$D$36,D37,$E$4:$E$36,E37,$F$4:$F$36,F37,$G$4:$G$36,G37,$H$4:$H$36,H37,$B$4:$B$36,"INGRESO")+SUMIFS($I$4:$I$36,$C$4:$C$36,C37,$D$4:$D$36,D37,$E$4:$E$36,E37,$F$4:$F$36,F37,$G$4:$G$36,G37,$H$4:$H$36,H37,$B$4:$B$36,"DE CORTE")-SUMIFS($I$4:$I$36,$C$4:$C$36,C37,$D$4:$D$36,D37,$E$4:$E$36,E37,$F$4:$F$36,F37,$G$4:$G$36,G37,$H$4:$H$36,H37,$B$4:$B$36,"SALIDA"),SUMIFS($I$4:$I$36,$C$4:$C$36,C37,$D$4:$D$36,D37,$E$4:$E$36,E37,$G$4:$G$36,G37,$H$4:$H$36,H37,$B$4:$B$36,"INGRESO")+SUMIFS($I$4:$I$36,$C$4:$C$36,C37,$D$4:$D$36,D37,$E$4:$E$36,E37,$G$4:$G$36,G37,$H$4:$H$36,H37,$B$4:$B$36,"DE CORTE")-SUMIFS($I$4:$I$36,$C$4:$C$36,C37,$D$4:$D$36,D37,$E$4:$E$36,E37,$G$4:$G$36,G37,$H$4:$H$36,H37,$B$4:$B$36,"SALIDA"))),0)</f>
        <v>0</v>
      </c>
      <c r="M37" s="13">
        <f t="shared" si="2"/>
        <v>0</v>
      </c>
      <c r="N37" s="14"/>
      <c r="O37" s="14"/>
      <c r="P37" s="15"/>
      <c r="Q37" s="14"/>
    </row>
    <row r="38" ht="15.75" customHeight="1">
      <c r="A38" s="7"/>
      <c r="B38" s="8"/>
      <c r="C38" s="8"/>
      <c r="D38" s="8"/>
      <c r="E38" s="8"/>
      <c r="F38" s="14"/>
      <c r="G38" s="8"/>
      <c r="H38" s="8"/>
      <c r="I38" s="9"/>
      <c r="J38" s="12" t="str">
        <f t="array" ref="J38:K38">IFERROR(INDEX(PRECIOS_COMPLEMENTOS!$C$4:$F$17,MATCH(D38&amp;"_"&amp;E38,PRECIOS_COMPLEMENTOS!$H$4:$H$17,0),IF(OR(H38="S",H38="20cm"),1,IF(OR(H38="M",H38="25cm"),2,IF(OR(H38="L",H38="30cm"),3,IF(OR(H38="XL",H38="35cm"),4,0))))),0)</f>
        <v>#REF!</v>
      </c>
      <c r="K38" s="12">
        <f t="shared" si="1"/>
        <v>0</v>
      </c>
      <c r="L38" s="13">
        <f>IFERROR(IF(C38="",0,IF(D38="PRETINA",SUMIFS($I$4:$I$37,$C$4:$C$37,C38,$D$4:$D$37,D38,$E$4:$E$37,E38,$F$4:$F$37,F38,$G$4:$G$37,G38,$H$4:$H$37,H38,$B$4:$B$37,"INGRESO")+SUMIFS($I$4:$I$37,$C$4:$C$37,C38,$D$4:$D$37,D38,$E$4:$E$37,E38,$F$4:$F$37,F38,$G$4:$G$37,G38,$H$4:$H$37,H38,$B$4:$B$37,"DE CORTE")-SUMIFS($I$4:$I$37,$C$4:$C$37,C38,$D$4:$D$37,D38,$E$4:$E$37,E38,$F$4:$F$37,F38,$G$4:$G$37,G38,$H$4:$H$37,H38,$B$4:$B$37,"SALIDA"),SUMIFS($I$4:$I$37,$C$4:$C$37,C38,$D$4:$D$37,D38,$E$4:$E$37,E38,$G$4:$G$37,G38,$H$4:$H$37,H38,$B$4:$B$37,"INGRESO")+SUMIFS($I$4:$I$37,$C$4:$C$37,C38,$D$4:$D$37,D38,$E$4:$E$37,E38,$G$4:$G$37,G38,$H$4:$H$37,H38,$B$4:$B$37,"DE CORTE")-SUMIFS($I$4:$I$37,$C$4:$C$37,C38,$D$4:$D$37,D38,$E$4:$E$37,E38,$G$4:$G$37,G38,$H$4:$H$37,H38,$B$4:$B$37,"SALIDA"))),0)</f>
        <v>0</v>
      </c>
      <c r="M38" s="13">
        <f t="shared" si="2"/>
        <v>0</v>
      </c>
      <c r="N38" s="14"/>
      <c r="O38" s="14"/>
      <c r="P38" s="15"/>
      <c r="Q38" s="14"/>
    </row>
    <row r="39" ht="15.75" customHeight="1">
      <c r="A39" s="7"/>
      <c r="B39" s="8"/>
      <c r="C39" s="8"/>
      <c r="D39" s="8"/>
      <c r="E39" s="8"/>
      <c r="F39" s="14"/>
      <c r="G39" s="8"/>
      <c r="H39" s="8"/>
      <c r="I39" s="9"/>
      <c r="J39" s="12" t="str">
        <f t="array" ref="J39:K39">IFERROR(INDEX(PRECIOS_COMPLEMENTOS!$C$4:$F$17,MATCH(D39&amp;"_"&amp;E39,PRECIOS_COMPLEMENTOS!$H$4:$H$17,0),IF(OR(H39="S",H39="20cm"),1,IF(OR(H39="M",H39="25cm"),2,IF(OR(H39="L",H39="30cm"),3,IF(OR(H39="XL",H39="35cm"),4,0))))),0)</f>
        <v>#REF!</v>
      </c>
      <c r="K39" s="12">
        <f t="shared" si="1"/>
        <v>0</v>
      </c>
      <c r="L39" s="13">
        <f>IFERROR(IF(C39="",0,IF(D39="PRETINA",SUMIFS($I$4:$I$38,$C$4:$C$38,C39,$D$4:$D$38,D39,$E$4:$E$38,E39,$F$4:$F$38,F39,$G$4:$G$38,G39,$H$4:$H$38,H39,$B$4:$B$38,"INGRESO")+SUMIFS($I$4:$I$38,$C$4:$C$38,C39,$D$4:$D$38,D39,$E$4:$E$38,E39,$F$4:$F$38,F39,$G$4:$G$38,G39,$H$4:$H$38,H39,$B$4:$B$38,"DE CORTE")-SUMIFS($I$4:$I$38,$C$4:$C$38,C39,$D$4:$D$38,D39,$E$4:$E$38,E39,$F$4:$F$38,F39,$G$4:$G$38,G39,$H$4:$H$38,H39,$B$4:$B$38,"SALIDA"),SUMIFS($I$4:$I$38,$C$4:$C$38,C39,$D$4:$D$38,D39,$E$4:$E$38,E39,$G$4:$G$38,G39,$H$4:$H$38,H39,$B$4:$B$38,"INGRESO")+SUMIFS($I$4:$I$38,$C$4:$C$38,C39,$D$4:$D$38,D39,$E$4:$E$38,E39,$G$4:$G$38,G39,$H$4:$H$38,H39,$B$4:$B$38,"DE CORTE")-SUMIFS($I$4:$I$38,$C$4:$C$38,C39,$D$4:$D$38,D39,$E$4:$E$38,E39,$G$4:$G$38,G39,$H$4:$H$38,H39,$B$4:$B$38,"SALIDA"))),0)</f>
        <v>0</v>
      </c>
      <c r="M39" s="13">
        <f t="shared" si="2"/>
        <v>0</v>
      </c>
      <c r="N39" s="14"/>
      <c r="O39" s="14"/>
      <c r="P39" s="15"/>
      <c r="Q39" s="14"/>
    </row>
    <row r="40" ht="15.75" customHeight="1">
      <c r="A40" s="7"/>
      <c r="B40" s="8"/>
      <c r="C40" s="8"/>
      <c r="D40" s="8"/>
      <c r="E40" s="8"/>
      <c r="F40" s="14"/>
      <c r="G40" s="8"/>
      <c r="H40" s="8"/>
      <c r="I40" s="9"/>
      <c r="J40" s="12" t="str">
        <f t="array" ref="J40:K40">IFERROR(INDEX(PRECIOS_COMPLEMENTOS!$C$4:$F$17,MATCH(D40&amp;"_"&amp;E40,PRECIOS_COMPLEMENTOS!$H$4:$H$17,0),IF(OR(H40="S",H40="20cm"),1,IF(OR(H40="M",H40="25cm"),2,IF(OR(H40="L",H40="30cm"),3,IF(OR(H40="XL",H40="35cm"),4,0))))),0)</f>
        <v>#REF!</v>
      </c>
      <c r="K40" s="12">
        <f t="shared" si="1"/>
        <v>0</v>
      </c>
      <c r="L40" s="13">
        <f>IFERROR(IF(C40="",0,IF(D40="PRETINA",SUMIFS($I$4:$I$39,$C$4:$C$39,C40,$D$4:$D$39,D40,$E$4:$E$39,E40,$F$4:$F$39,F40,$G$4:$G$39,G40,$H$4:$H$39,H40,$B$4:$B$39,"INGRESO")+SUMIFS($I$4:$I$39,$C$4:$C$39,C40,$D$4:$D$39,D40,$E$4:$E$39,E40,$F$4:$F$39,F40,$G$4:$G$39,G40,$H$4:$H$39,H40,$B$4:$B$39,"DE CORTE")-SUMIFS($I$4:$I$39,$C$4:$C$39,C40,$D$4:$D$39,D40,$E$4:$E$39,E40,$F$4:$F$39,F40,$G$4:$G$39,G40,$H$4:$H$39,H40,$B$4:$B$39,"SALIDA"),SUMIFS($I$4:$I$39,$C$4:$C$39,C40,$D$4:$D$39,D40,$E$4:$E$39,E40,$G$4:$G$39,G40,$H$4:$H$39,H40,$B$4:$B$39,"INGRESO")+SUMIFS($I$4:$I$39,$C$4:$C$39,C40,$D$4:$D$39,D40,$E$4:$E$39,E40,$G$4:$G$39,G40,$H$4:$H$39,H40,$B$4:$B$39,"DE CORTE")-SUMIFS($I$4:$I$39,$C$4:$C$39,C40,$D$4:$D$39,D40,$E$4:$E$39,E40,$G$4:$G$39,G40,$H$4:$H$39,H40,$B$4:$B$39,"SALIDA"))),0)</f>
        <v>0</v>
      </c>
      <c r="M40" s="13">
        <f t="shared" si="2"/>
        <v>0</v>
      </c>
      <c r="N40" s="14"/>
      <c r="O40" s="14"/>
      <c r="P40" s="15"/>
      <c r="Q40" s="14"/>
    </row>
    <row r="41" ht="15.75" customHeight="1">
      <c r="A41" s="7"/>
      <c r="B41" s="8"/>
      <c r="C41" s="8"/>
      <c r="D41" s="8"/>
      <c r="E41" s="8"/>
      <c r="F41" s="14"/>
      <c r="G41" s="8"/>
      <c r="H41" s="8"/>
      <c r="I41" s="9"/>
      <c r="J41" s="12" t="str">
        <f t="array" ref="J41:K41">IFERROR(INDEX(PRECIOS_COMPLEMENTOS!$C$4:$F$17,MATCH(D41&amp;"_"&amp;E41,PRECIOS_COMPLEMENTOS!$H$4:$H$17,0),IF(OR(H41="S",H41="20cm"),1,IF(OR(H41="M",H41="25cm"),2,IF(OR(H41="L",H41="30cm"),3,IF(OR(H41="XL",H41="35cm"),4,0))))),0)</f>
        <v>#REF!</v>
      </c>
      <c r="K41" s="12">
        <f t="shared" si="1"/>
        <v>0</v>
      </c>
      <c r="L41" s="13">
        <f>IFERROR(IF(C41="",0,IF(D41="PRETINA",SUMIFS($I$4:$I$40,$C$4:$C$40,C41,$D$4:$D$40,D41,$E$4:$E$40,E41,$F$4:$F$40,F41,$G$4:$G$40,G41,$H$4:$H$40,H41,$B$4:$B$40,"INGRESO")+SUMIFS($I$4:$I$40,$C$4:$C$40,C41,$D$4:$D$40,D41,$E$4:$E$40,E41,$F$4:$F$40,F41,$G$4:$G$40,G41,$H$4:$H$40,H41,$B$4:$B$40,"DE CORTE")-SUMIFS($I$4:$I$40,$C$4:$C$40,C41,$D$4:$D$40,D41,$E$4:$E$40,E41,$F$4:$F$40,F41,$G$4:$G$40,G41,$H$4:$H$40,H41,$B$4:$B$40,"SALIDA"),SUMIFS($I$4:$I$40,$C$4:$C$40,C41,$D$4:$D$40,D41,$E$4:$E$40,E41,$G$4:$G$40,G41,$H$4:$H$40,H41,$B$4:$B$40,"INGRESO")+SUMIFS($I$4:$I$40,$C$4:$C$40,C41,$D$4:$D$40,D41,$E$4:$E$40,E41,$G$4:$G$40,G41,$H$4:$H$40,H41,$B$4:$B$40,"DE CORTE")-SUMIFS($I$4:$I$40,$C$4:$C$40,C41,$D$4:$D$40,D41,$E$4:$E$40,E41,$G$4:$G$40,G41,$H$4:$H$40,H41,$B$4:$B$40,"SALIDA"))),0)</f>
        <v>0</v>
      </c>
      <c r="M41" s="13">
        <f t="shared" si="2"/>
        <v>0</v>
      </c>
      <c r="N41" s="14"/>
      <c r="O41" s="14"/>
      <c r="P41" s="15"/>
      <c r="Q41" s="14"/>
    </row>
    <row r="42" ht="15.75" customHeight="1">
      <c r="A42" s="7"/>
      <c r="B42" s="8"/>
      <c r="C42" s="8"/>
      <c r="D42" s="8"/>
      <c r="E42" s="8"/>
      <c r="F42" s="14"/>
      <c r="G42" s="8"/>
      <c r="H42" s="8"/>
      <c r="I42" s="9"/>
      <c r="J42" s="12" t="str">
        <f t="array" ref="J42:K42">IFERROR(INDEX(PRECIOS_COMPLEMENTOS!$C$4:$F$17,MATCH(D42&amp;"_"&amp;E42,PRECIOS_COMPLEMENTOS!$H$4:$H$17,0),IF(OR(H42="S",H42="20cm"),1,IF(OR(H42="M",H42="25cm"),2,IF(OR(H42="L",H42="30cm"),3,IF(OR(H42="XL",H42="35cm"),4,0))))),0)</f>
        <v>#REF!</v>
      </c>
      <c r="K42" s="12">
        <f t="shared" si="1"/>
        <v>0</v>
      </c>
      <c r="L42" s="13">
        <f>IFERROR(IF(C42="",0,IF(D42="PRETINA",SUMIFS($I$4:$I$41,$C$4:$C$41,C42,$D$4:$D$41,D42,$E$4:$E$41,E42,$F$4:$F$41,F42,$G$4:$G$41,G42,$H$4:$H$41,H42,$B$4:$B$41,"INGRESO")+SUMIFS($I$4:$I$41,$C$4:$C$41,C42,$D$4:$D$41,D42,$E$4:$E$41,E42,$F$4:$F$41,F42,$G$4:$G$41,G42,$H$4:$H$41,H42,$B$4:$B$41,"DE CORTE")-SUMIFS($I$4:$I$41,$C$4:$C$41,C42,$D$4:$D$41,D42,$E$4:$E$41,E42,$F$4:$F$41,F42,$G$4:$G$41,G42,$H$4:$H$41,H42,$B$4:$B$41,"SALIDA"),SUMIFS($I$4:$I$41,$C$4:$C$41,C42,$D$4:$D$41,D42,$E$4:$E$41,E42,$G$4:$G$41,G42,$H$4:$H$41,H42,$B$4:$B$41,"INGRESO")+SUMIFS($I$4:$I$41,$C$4:$C$41,C42,$D$4:$D$41,D42,$E$4:$E$41,E42,$G$4:$G$41,G42,$H$4:$H$41,H42,$B$4:$B$41,"DE CORTE")-SUMIFS($I$4:$I$41,$C$4:$C$41,C42,$D$4:$D$41,D42,$E$4:$E$41,E42,$G$4:$G$41,G42,$H$4:$H$41,H42,$B$4:$B$41,"SALIDA"))),0)</f>
        <v>0</v>
      </c>
      <c r="M42" s="13">
        <f t="shared" si="2"/>
        <v>0</v>
      </c>
      <c r="N42" s="14"/>
      <c r="O42" s="14"/>
      <c r="P42" s="15"/>
      <c r="Q42" s="14"/>
    </row>
    <row r="43" ht="15.75" customHeight="1">
      <c r="A43" s="7"/>
      <c r="B43" s="8"/>
      <c r="C43" s="8"/>
      <c r="D43" s="8"/>
      <c r="E43" s="8"/>
      <c r="F43" s="14"/>
      <c r="G43" s="8"/>
      <c r="H43" s="8"/>
      <c r="I43" s="9"/>
      <c r="J43" s="12" t="str">
        <f t="array" ref="J43:K43">IFERROR(INDEX(PRECIOS_COMPLEMENTOS!$C$4:$F$17,MATCH(D43&amp;"_"&amp;E43,PRECIOS_COMPLEMENTOS!$H$4:$H$17,0),IF(OR(H43="S",H43="20cm"),1,IF(OR(H43="M",H43="25cm"),2,IF(OR(H43="L",H43="30cm"),3,IF(OR(H43="XL",H43="35cm"),4,0))))),0)</f>
        <v>#REF!</v>
      </c>
      <c r="K43" s="12">
        <f t="shared" si="1"/>
        <v>0</v>
      </c>
      <c r="L43" s="13">
        <f>IFERROR(IF(C43="",0,IF(D43="PRETINA",SUMIFS($I$4:$I$42,$C$4:$C$42,C43,$D$4:$D$42,D43,$E$4:$E$42,E43,$F$4:$F$42,F43,$G$4:$G$42,G43,$H$4:$H$42,H43,$B$4:$B$42,"INGRESO")+SUMIFS($I$4:$I$42,$C$4:$C$42,C43,$D$4:$D$42,D43,$E$4:$E$42,E43,$F$4:$F$42,F43,$G$4:$G$42,G43,$H$4:$H$42,H43,$B$4:$B$42,"DE CORTE")-SUMIFS($I$4:$I$42,$C$4:$C$42,C43,$D$4:$D$42,D43,$E$4:$E$42,E43,$F$4:$F$42,F43,$G$4:$G$42,G43,$H$4:$H$42,H43,$B$4:$B$42,"SALIDA"),SUMIFS($I$4:$I$42,$C$4:$C$42,C43,$D$4:$D$42,D43,$E$4:$E$42,E43,$G$4:$G$42,G43,$H$4:$H$42,H43,$B$4:$B$42,"INGRESO")+SUMIFS($I$4:$I$42,$C$4:$C$42,C43,$D$4:$D$42,D43,$E$4:$E$42,E43,$G$4:$G$42,G43,$H$4:$H$42,H43,$B$4:$B$42,"DE CORTE")-SUMIFS($I$4:$I$42,$C$4:$C$42,C43,$D$4:$D$42,D43,$E$4:$E$42,E43,$G$4:$G$42,G43,$H$4:$H$42,H43,$B$4:$B$42,"SALIDA"))),0)</f>
        <v>0</v>
      </c>
      <c r="M43" s="13">
        <f t="shared" si="2"/>
        <v>0</v>
      </c>
      <c r="N43" s="14"/>
      <c r="O43" s="14"/>
      <c r="P43" s="15"/>
      <c r="Q43" s="14"/>
    </row>
    <row r="44" ht="15.75" customHeight="1">
      <c r="A44" s="7"/>
      <c r="B44" s="8"/>
      <c r="C44" s="8"/>
      <c r="D44" s="8"/>
      <c r="E44" s="8"/>
      <c r="F44" s="14"/>
      <c r="G44" s="8"/>
      <c r="H44" s="8"/>
      <c r="I44" s="9"/>
      <c r="J44" s="12" t="str">
        <f t="array" ref="J44:K44">IFERROR(INDEX(PRECIOS_COMPLEMENTOS!$C$4:$F$17,MATCH(D44&amp;"_"&amp;E44,PRECIOS_COMPLEMENTOS!$H$4:$H$17,0),IF(OR(H44="S",H44="20cm"),1,IF(OR(H44="M",H44="25cm"),2,IF(OR(H44="L",H44="30cm"),3,IF(OR(H44="XL",H44="35cm"),4,0))))),0)</f>
        <v>#REF!</v>
      </c>
      <c r="K44" s="12">
        <f t="shared" si="1"/>
        <v>0</v>
      </c>
      <c r="L44" s="13">
        <f>IFERROR(IF(C44="",0,IF(D44="PRETINA",SUMIFS($I$4:$I$43,$C$4:$C$43,C44,$D$4:$D$43,D44,$E$4:$E$43,E44,$F$4:$F$43,F44,$G$4:$G$43,G44,$H$4:$H$43,H44,$B$4:$B$43,"INGRESO")+SUMIFS($I$4:$I$43,$C$4:$C$43,C44,$D$4:$D$43,D44,$E$4:$E$43,E44,$F$4:$F$43,F44,$G$4:$G$43,G44,$H$4:$H$43,H44,$B$4:$B$43,"DE CORTE")-SUMIFS($I$4:$I$43,$C$4:$C$43,C44,$D$4:$D$43,D44,$E$4:$E$43,E44,$F$4:$F$43,F44,$G$4:$G$43,G44,$H$4:$H$43,H44,$B$4:$B$43,"SALIDA"),SUMIFS($I$4:$I$43,$C$4:$C$43,C44,$D$4:$D$43,D44,$E$4:$E$43,E44,$G$4:$G$43,G44,$H$4:$H$43,H44,$B$4:$B$43,"INGRESO")+SUMIFS($I$4:$I$43,$C$4:$C$43,C44,$D$4:$D$43,D44,$E$4:$E$43,E44,$G$4:$G$43,G44,$H$4:$H$43,H44,$B$4:$B$43,"DE CORTE")-SUMIFS($I$4:$I$43,$C$4:$C$43,C44,$D$4:$D$43,D44,$E$4:$E$43,E44,$G$4:$G$43,G44,$H$4:$H$43,H44,$B$4:$B$43,"SALIDA"))),0)</f>
        <v>0</v>
      </c>
      <c r="M44" s="13">
        <f t="shared" si="2"/>
        <v>0</v>
      </c>
      <c r="N44" s="14"/>
      <c r="O44" s="14"/>
      <c r="P44" s="15"/>
      <c r="Q44" s="14"/>
    </row>
    <row r="45" ht="15.75" customHeight="1">
      <c r="A45" s="7"/>
      <c r="B45" s="8"/>
      <c r="C45" s="8"/>
      <c r="D45" s="8"/>
      <c r="E45" s="8"/>
      <c r="F45" s="14"/>
      <c r="G45" s="8"/>
      <c r="H45" s="8"/>
      <c r="I45" s="9"/>
      <c r="J45" s="12" t="str">
        <f t="array" ref="J45:K45">IFERROR(INDEX(PRECIOS_COMPLEMENTOS!$C$4:$F$17,MATCH(D45&amp;"_"&amp;E45,PRECIOS_COMPLEMENTOS!$H$4:$H$17,0),IF(OR(H45="S",H45="20cm"),1,IF(OR(H45="M",H45="25cm"),2,IF(OR(H45="L",H45="30cm"),3,IF(OR(H45="XL",H45="35cm"),4,0))))),0)</f>
        <v>#REF!</v>
      </c>
      <c r="K45" s="12">
        <f t="shared" si="1"/>
        <v>0</v>
      </c>
      <c r="L45" s="13">
        <f>IFERROR(IF(C45="",0,IF(D45="PRETINA",SUMIFS($I$4:$I$44,$C$4:$C$44,C45,$D$4:$D$44,D45,$E$4:$E$44,E45,$F$4:$F$44,F45,$G$4:$G$44,G45,$H$4:$H$44,H45,$B$4:$B$44,"INGRESO")+SUMIFS($I$4:$I$44,$C$4:$C$44,C45,$D$4:$D$44,D45,$E$4:$E$44,E45,$F$4:$F$44,F45,$G$4:$G$44,G45,$H$4:$H$44,H45,$B$4:$B$44,"DE CORTE")-SUMIFS($I$4:$I$44,$C$4:$C$44,C45,$D$4:$D$44,D45,$E$4:$E$44,E45,$F$4:$F$44,F45,$G$4:$G$44,G45,$H$4:$H$44,H45,$B$4:$B$44,"SALIDA"),SUMIFS($I$4:$I$44,$C$4:$C$44,C45,$D$4:$D$44,D45,$E$4:$E$44,E45,$G$4:$G$44,G45,$H$4:$H$44,H45,$B$4:$B$44,"INGRESO")+SUMIFS($I$4:$I$44,$C$4:$C$44,C45,$D$4:$D$44,D45,$E$4:$E$44,E45,$G$4:$G$44,G45,$H$4:$H$44,H45,$B$4:$B$44,"DE CORTE")-SUMIFS($I$4:$I$44,$C$4:$C$44,C45,$D$4:$D$44,D45,$E$4:$E$44,E45,$G$4:$G$44,G45,$H$4:$H$44,H45,$B$4:$B$44,"SALIDA"))),0)</f>
        <v>0</v>
      </c>
      <c r="M45" s="13">
        <f t="shared" si="2"/>
        <v>0</v>
      </c>
      <c r="N45" s="14"/>
      <c r="O45" s="14"/>
      <c r="P45" s="15"/>
      <c r="Q45" s="14"/>
    </row>
    <row r="46" ht="15.75" customHeight="1">
      <c r="A46" s="7"/>
      <c r="B46" s="8"/>
      <c r="C46" s="8"/>
      <c r="D46" s="8"/>
      <c r="E46" s="8"/>
      <c r="F46" s="14"/>
      <c r="G46" s="8"/>
      <c r="H46" s="8"/>
      <c r="I46" s="9"/>
      <c r="J46" s="12" t="str">
        <f t="array" ref="J46:K46">IFERROR(INDEX(PRECIOS_COMPLEMENTOS!$C$4:$F$17,MATCH(D46&amp;"_"&amp;E46,PRECIOS_COMPLEMENTOS!$H$4:$H$17,0),IF(OR(H46="S",H46="20cm"),1,IF(OR(H46="M",H46="25cm"),2,IF(OR(H46="L",H46="30cm"),3,IF(OR(H46="XL",H46="35cm"),4,0))))),0)</f>
        <v>#REF!</v>
      </c>
      <c r="K46" s="12">
        <f t="shared" si="1"/>
        <v>0</v>
      </c>
      <c r="L46" s="13">
        <f>IFERROR(IF(C46="",0,IF(D46="PRETINA",SUMIFS($I$4:$I$45,$C$4:$C$45,C46,$D$4:$D$45,D46,$E$4:$E$45,E46,$F$4:$F$45,F46,$G$4:$G$45,G46,$H$4:$H$45,H46,$B$4:$B$45,"INGRESO")+SUMIFS($I$4:$I$45,$C$4:$C$45,C46,$D$4:$D$45,D46,$E$4:$E$45,E46,$F$4:$F$45,F46,$G$4:$G$45,G46,$H$4:$H$45,H46,$B$4:$B$45,"DE CORTE")-SUMIFS($I$4:$I$45,$C$4:$C$45,C46,$D$4:$D$45,D46,$E$4:$E$45,E46,$F$4:$F$45,F46,$G$4:$G$45,G46,$H$4:$H$45,H46,$B$4:$B$45,"SALIDA"),SUMIFS($I$4:$I$45,$C$4:$C$45,C46,$D$4:$D$45,D46,$E$4:$E$45,E46,$G$4:$G$45,G46,$H$4:$H$45,H46,$B$4:$B$45,"INGRESO")+SUMIFS($I$4:$I$45,$C$4:$C$45,C46,$D$4:$D$45,D46,$E$4:$E$45,E46,$G$4:$G$45,G46,$H$4:$H$45,H46,$B$4:$B$45,"DE CORTE")-SUMIFS($I$4:$I$45,$C$4:$C$45,C46,$D$4:$D$45,D46,$E$4:$E$45,E46,$G$4:$G$45,G46,$H$4:$H$45,H46,$B$4:$B$45,"SALIDA"))),0)</f>
        <v>0</v>
      </c>
      <c r="M46" s="13">
        <f t="shared" si="2"/>
        <v>0</v>
      </c>
      <c r="N46" s="14"/>
      <c r="O46" s="14"/>
      <c r="P46" s="15"/>
      <c r="Q46" s="14"/>
    </row>
    <row r="47" ht="15.75" customHeight="1">
      <c r="A47" s="7"/>
      <c r="B47" s="8"/>
      <c r="C47" s="8"/>
      <c r="D47" s="8"/>
      <c r="E47" s="8"/>
      <c r="F47" s="14"/>
      <c r="G47" s="8"/>
      <c r="H47" s="8"/>
      <c r="I47" s="9"/>
      <c r="J47" s="12" t="str">
        <f t="array" ref="J47:K47">IFERROR(INDEX(PRECIOS_COMPLEMENTOS!$C$4:$F$17,MATCH(D47&amp;"_"&amp;E47,PRECIOS_COMPLEMENTOS!$H$4:$H$17,0),IF(OR(H47="S",H47="20cm"),1,IF(OR(H47="M",H47="25cm"),2,IF(OR(H47="L",H47="30cm"),3,IF(OR(H47="XL",H47="35cm"),4,0))))),0)</f>
        <v>#REF!</v>
      </c>
      <c r="K47" s="12">
        <f t="shared" si="1"/>
        <v>0</v>
      </c>
      <c r="L47" s="13">
        <f>IFERROR(IF(C47="",0,IF(D47="PRETINA",SUMIFS($I$4:$I$46,$C$4:$C$46,C47,$D$4:$D$46,D47,$E$4:$E$46,E47,$F$4:$F$46,F47,$G$4:$G$46,G47,$H$4:$H$46,H47,$B$4:$B$46,"INGRESO")+SUMIFS($I$4:$I$46,$C$4:$C$46,C47,$D$4:$D$46,D47,$E$4:$E$46,E47,$F$4:$F$46,F47,$G$4:$G$46,G47,$H$4:$H$46,H47,$B$4:$B$46,"DE CORTE")-SUMIFS($I$4:$I$46,$C$4:$C$46,C47,$D$4:$D$46,D47,$E$4:$E$46,E47,$F$4:$F$46,F47,$G$4:$G$46,G47,$H$4:$H$46,H47,$B$4:$B$46,"SALIDA"),SUMIFS($I$4:$I$46,$C$4:$C$46,C47,$D$4:$D$46,D47,$E$4:$E$46,E47,$G$4:$G$46,G47,$H$4:$H$46,H47,$B$4:$B$46,"INGRESO")+SUMIFS($I$4:$I$46,$C$4:$C$46,C47,$D$4:$D$46,D47,$E$4:$E$46,E47,$G$4:$G$46,G47,$H$4:$H$46,H47,$B$4:$B$46,"DE CORTE")-SUMIFS($I$4:$I$46,$C$4:$C$46,C47,$D$4:$D$46,D47,$E$4:$E$46,E47,$G$4:$G$46,G47,$H$4:$H$46,H47,$B$4:$B$46,"SALIDA"))),0)</f>
        <v>0</v>
      </c>
      <c r="M47" s="13">
        <f t="shared" si="2"/>
        <v>0</v>
      </c>
      <c r="N47" s="14"/>
      <c r="O47" s="14"/>
      <c r="P47" s="15"/>
      <c r="Q47" s="14"/>
    </row>
    <row r="48" ht="15.75" customHeight="1">
      <c r="A48" s="7"/>
      <c r="B48" s="8"/>
      <c r="C48" s="8"/>
      <c r="D48" s="8"/>
      <c r="E48" s="8"/>
      <c r="F48" s="14"/>
      <c r="G48" s="8"/>
      <c r="H48" s="8"/>
      <c r="I48" s="9"/>
      <c r="J48" s="12" t="str">
        <f t="array" ref="J48:K48">IFERROR(INDEX(PRECIOS_COMPLEMENTOS!$C$4:$F$17,MATCH(D48&amp;"_"&amp;E48,PRECIOS_COMPLEMENTOS!$H$4:$H$17,0),IF(OR(H48="S",H48="20cm"),1,IF(OR(H48="M",H48="25cm"),2,IF(OR(H48="L",H48="30cm"),3,IF(OR(H48="XL",H48="35cm"),4,0))))),0)</f>
        <v>#REF!</v>
      </c>
      <c r="K48" s="12">
        <f t="shared" si="1"/>
        <v>0</v>
      </c>
      <c r="L48" s="13">
        <f>IFERROR(IF(C48="",0,IF(D48="PRETINA",SUMIFS($I$4:$I$47,$C$4:$C$47,C48,$D$4:$D$47,D48,$E$4:$E$47,E48,$F$4:$F$47,F48,$G$4:$G$47,G48,$H$4:$H$47,H48,$B$4:$B$47,"INGRESO")+SUMIFS($I$4:$I$47,$C$4:$C$47,C48,$D$4:$D$47,D48,$E$4:$E$47,E48,$F$4:$F$47,F48,$G$4:$G$47,G48,$H$4:$H$47,H48,$B$4:$B$47,"DE CORTE")-SUMIFS($I$4:$I$47,$C$4:$C$47,C48,$D$4:$D$47,D48,$E$4:$E$47,E48,$F$4:$F$47,F48,$G$4:$G$47,G48,$H$4:$H$47,H48,$B$4:$B$47,"SALIDA"),SUMIFS($I$4:$I$47,$C$4:$C$47,C48,$D$4:$D$47,D48,$E$4:$E$47,E48,$G$4:$G$47,G48,$H$4:$H$47,H48,$B$4:$B$47,"INGRESO")+SUMIFS($I$4:$I$47,$C$4:$C$47,C48,$D$4:$D$47,D48,$E$4:$E$47,E48,$G$4:$G$47,G48,$H$4:$H$47,H48,$B$4:$B$47,"DE CORTE")-SUMIFS($I$4:$I$47,$C$4:$C$47,C48,$D$4:$D$47,D48,$E$4:$E$47,E48,$G$4:$G$47,G48,$H$4:$H$47,H48,$B$4:$B$47,"SALIDA"))),0)</f>
        <v>0</v>
      </c>
      <c r="M48" s="13">
        <f t="shared" si="2"/>
        <v>0</v>
      </c>
      <c r="N48" s="14"/>
      <c r="O48" s="14"/>
      <c r="P48" s="15"/>
      <c r="Q48" s="14"/>
    </row>
    <row r="49" ht="15.75" customHeight="1">
      <c r="A49" s="7"/>
      <c r="B49" s="8"/>
      <c r="C49" s="8"/>
      <c r="D49" s="8"/>
      <c r="E49" s="8"/>
      <c r="F49" s="14"/>
      <c r="G49" s="8"/>
      <c r="H49" s="8"/>
      <c r="I49" s="9"/>
      <c r="J49" s="12" t="str">
        <f t="array" ref="J49:K49">IFERROR(INDEX(PRECIOS_COMPLEMENTOS!$C$4:$F$17,MATCH(D49&amp;"_"&amp;E49,PRECIOS_COMPLEMENTOS!$H$4:$H$17,0),IF(OR(H49="S",H49="20cm"),1,IF(OR(H49="M",H49="25cm"),2,IF(OR(H49="L",H49="30cm"),3,IF(OR(H49="XL",H49="35cm"),4,0))))),0)</f>
        <v>#REF!</v>
      </c>
      <c r="K49" s="12">
        <f t="shared" si="1"/>
        <v>0</v>
      </c>
      <c r="L49" s="13">
        <f>IFERROR(IF(C49="",0,IF(D49="PRETINA",SUMIFS($I$4:$I$48,$C$4:$C$48,C49,$D$4:$D$48,D49,$E$4:$E$48,E49,$F$4:$F$48,F49,$G$4:$G$48,G49,$H$4:$H$48,H49,$B$4:$B$48,"INGRESO")+SUMIFS($I$4:$I$48,$C$4:$C$48,C49,$D$4:$D$48,D49,$E$4:$E$48,E49,$F$4:$F$48,F49,$G$4:$G$48,G49,$H$4:$H$48,H49,$B$4:$B$48,"DE CORTE")-SUMIFS($I$4:$I$48,$C$4:$C$48,C49,$D$4:$D$48,D49,$E$4:$E$48,E49,$F$4:$F$48,F49,$G$4:$G$48,G49,$H$4:$H$48,H49,$B$4:$B$48,"SALIDA"),SUMIFS($I$4:$I$48,$C$4:$C$48,C49,$D$4:$D$48,D49,$E$4:$E$48,E49,$G$4:$G$48,G49,$H$4:$H$48,H49,$B$4:$B$48,"INGRESO")+SUMIFS($I$4:$I$48,$C$4:$C$48,C49,$D$4:$D$48,D49,$E$4:$E$48,E49,$G$4:$G$48,G49,$H$4:$H$48,H49,$B$4:$B$48,"DE CORTE")-SUMIFS($I$4:$I$48,$C$4:$C$48,C49,$D$4:$D$48,D49,$E$4:$E$48,E49,$G$4:$G$48,G49,$H$4:$H$48,H49,$B$4:$B$48,"SALIDA"))),0)</f>
        <v>0</v>
      </c>
      <c r="M49" s="13">
        <f t="shared" si="2"/>
        <v>0</v>
      </c>
      <c r="N49" s="14"/>
      <c r="O49" s="14"/>
      <c r="P49" s="15"/>
      <c r="Q49" s="14"/>
    </row>
    <row r="50" ht="15.75" customHeight="1">
      <c r="A50" s="7"/>
      <c r="B50" s="8"/>
      <c r="C50" s="8"/>
      <c r="D50" s="8"/>
      <c r="E50" s="8"/>
      <c r="F50" s="14"/>
      <c r="G50" s="8"/>
      <c r="H50" s="8"/>
      <c r="I50" s="9"/>
      <c r="J50" s="12" t="str">
        <f t="array" ref="J50:K50">IFERROR(INDEX(PRECIOS_COMPLEMENTOS!$C$4:$F$17,MATCH(D50&amp;"_"&amp;E50,PRECIOS_COMPLEMENTOS!$H$4:$H$17,0),IF(OR(H50="S",H50="20cm"),1,IF(OR(H50="M",H50="25cm"),2,IF(OR(H50="L",H50="30cm"),3,IF(OR(H50="XL",H50="35cm"),4,0))))),0)</f>
        <v>#REF!</v>
      </c>
      <c r="K50" s="12">
        <f t="shared" si="1"/>
        <v>0</v>
      </c>
      <c r="L50" s="13">
        <f>IFERROR(IF(C50="",0,IF(D50="PRETINA",SUMIFS($I$4:$I$49,$C$4:$C$49,C50,$D$4:$D$49,D50,$E$4:$E$49,E50,$F$4:$F$49,F50,$G$4:$G$49,G50,$H$4:$H$49,H50,$B$4:$B$49,"INGRESO")+SUMIFS($I$4:$I$49,$C$4:$C$49,C50,$D$4:$D$49,D50,$E$4:$E$49,E50,$F$4:$F$49,F50,$G$4:$G$49,G50,$H$4:$H$49,H50,$B$4:$B$49,"DE CORTE")-SUMIFS($I$4:$I$49,$C$4:$C$49,C50,$D$4:$D$49,D50,$E$4:$E$49,E50,$F$4:$F$49,F50,$G$4:$G$49,G50,$H$4:$H$49,H50,$B$4:$B$49,"SALIDA"),SUMIFS($I$4:$I$49,$C$4:$C$49,C50,$D$4:$D$49,D50,$E$4:$E$49,E50,$G$4:$G$49,G50,$H$4:$H$49,H50,$B$4:$B$49,"INGRESO")+SUMIFS($I$4:$I$49,$C$4:$C$49,C50,$D$4:$D$49,D50,$E$4:$E$49,E50,$G$4:$G$49,G50,$H$4:$H$49,H50,$B$4:$B$49,"DE CORTE")-SUMIFS($I$4:$I$49,$C$4:$C$49,C50,$D$4:$D$49,D50,$E$4:$E$49,E50,$G$4:$G$49,G50,$H$4:$H$49,H50,$B$4:$B$49,"SALIDA"))),0)</f>
        <v>0</v>
      </c>
      <c r="M50" s="13">
        <f t="shared" si="2"/>
        <v>0</v>
      </c>
      <c r="N50" s="14"/>
      <c r="O50" s="14"/>
      <c r="P50" s="15"/>
      <c r="Q50" s="14"/>
    </row>
    <row r="51" ht="15.75" customHeight="1">
      <c r="A51" s="7"/>
      <c r="B51" s="8"/>
      <c r="C51" s="8"/>
      <c r="D51" s="8"/>
      <c r="E51" s="8"/>
      <c r="F51" s="14"/>
      <c r="G51" s="8"/>
      <c r="H51" s="8"/>
      <c r="I51" s="9"/>
      <c r="J51" s="12" t="str">
        <f t="array" ref="J51:K51">IFERROR(INDEX(PRECIOS_COMPLEMENTOS!$C$4:$F$17,MATCH(D51&amp;"_"&amp;E51,PRECIOS_COMPLEMENTOS!$H$4:$H$17,0),IF(OR(H51="S",H51="20cm"),1,IF(OR(H51="M",H51="25cm"),2,IF(OR(H51="L",H51="30cm"),3,IF(OR(H51="XL",H51="35cm"),4,0))))),0)</f>
        <v>#REF!</v>
      </c>
      <c r="K51" s="12">
        <f t="shared" si="1"/>
        <v>0</v>
      </c>
      <c r="L51" s="13">
        <f>IFERROR(IF(C51="",0,IF(D51="PRETINA",SUMIFS($I$4:$I$50,$C$4:$C$50,C51,$D$4:$D$50,D51,$E$4:$E$50,E51,$F$4:$F$50,F51,$G$4:$G$50,G51,$H$4:$H$50,H51,$B$4:$B$50,"INGRESO")+SUMIFS($I$4:$I$50,$C$4:$C$50,C51,$D$4:$D$50,D51,$E$4:$E$50,E51,$F$4:$F$50,F51,$G$4:$G$50,G51,$H$4:$H$50,H51,$B$4:$B$50,"DE CORTE")-SUMIFS($I$4:$I$50,$C$4:$C$50,C51,$D$4:$D$50,D51,$E$4:$E$50,E51,$F$4:$F$50,F51,$G$4:$G$50,G51,$H$4:$H$50,H51,$B$4:$B$50,"SALIDA"),SUMIFS($I$4:$I$50,$C$4:$C$50,C51,$D$4:$D$50,D51,$E$4:$E$50,E51,$G$4:$G$50,G51,$H$4:$H$50,H51,$B$4:$B$50,"INGRESO")+SUMIFS($I$4:$I$50,$C$4:$C$50,C51,$D$4:$D$50,D51,$E$4:$E$50,E51,$G$4:$G$50,G51,$H$4:$H$50,H51,$B$4:$B$50,"DE CORTE")-SUMIFS($I$4:$I$50,$C$4:$C$50,C51,$D$4:$D$50,D51,$E$4:$E$50,E51,$G$4:$G$50,G51,$H$4:$H$50,H51,$B$4:$B$50,"SALIDA"))),0)</f>
        <v>0</v>
      </c>
      <c r="M51" s="13">
        <f t="shared" si="2"/>
        <v>0</v>
      </c>
      <c r="N51" s="14"/>
      <c r="O51" s="14"/>
      <c r="P51" s="15"/>
      <c r="Q51" s="14"/>
    </row>
    <row r="52" ht="15.75" customHeight="1">
      <c r="A52" s="7"/>
      <c r="B52" s="8"/>
      <c r="C52" s="8"/>
      <c r="D52" s="8"/>
      <c r="E52" s="8"/>
      <c r="F52" s="14"/>
      <c r="G52" s="8"/>
      <c r="H52" s="8"/>
      <c r="I52" s="9"/>
      <c r="J52" s="12" t="str">
        <f t="array" ref="J52:K52">IFERROR(INDEX(PRECIOS_COMPLEMENTOS!$C$4:$F$17,MATCH(D52&amp;"_"&amp;E52,PRECIOS_COMPLEMENTOS!$H$4:$H$17,0),IF(OR(H52="S",H52="20cm"),1,IF(OR(H52="M",H52="25cm"),2,IF(OR(H52="L",H52="30cm"),3,IF(OR(H52="XL",H52="35cm"),4,0))))),0)</f>
        <v>#REF!</v>
      </c>
      <c r="K52" s="12">
        <f t="shared" si="1"/>
        <v>0</v>
      </c>
      <c r="L52" s="13">
        <f>IFERROR(IF(C52="",0,IF(D52="PRETINA",SUMIFS($I$4:$I$51,$C$4:$C$51,C52,$D$4:$D$51,D52,$E$4:$E$51,E52,$F$4:$F$51,F52,$G$4:$G$51,G52,$H$4:$H$51,H52,$B$4:$B$51,"INGRESO")+SUMIFS($I$4:$I$51,$C$4:$C$51,C52,$D$4:$D$51,D52,$E$4:$E$51,E52,$F$4:$F$51,F52,$G$4:$G$51,G52,$H$4:$H$51,H52,$B$4:$B$51,"DE CORTE")-SUMIFS($I$4:$I$51,$C$4:$C$51,C52,$D$4:$D$51,D52,$E$4:$E$51,E52,$F$4:$F$51,F52,$G$4:$G$51,G52,$H$4:$H$51,H52,$B$4:$B$51,"SALIDA"),SUMIFS($I$4:$I$51,$C$4:$C$51,C52,$D$4:$D$51,D52,$E$4:$E$51,E52,$G$4:$G$51,G52,$H$4:$H$51,H52,$B$4:$B$51,"INGRESO")+SUMIFS($I$4:$I$51,$C$4:$C$51,C52,$D$4:$D$51,D52,$E$4:$E$51,E52,$G$4:$G$51,G52,$H$4:$H$51,H52,$B$4:$B$51,"DE CORTE")-SUMIFS($I$4:$I$51,$C$4:$C$51,C52,$D$4:$D$51,D52,$E$4:$E$51,E52,$G$4:$G$51,G52,$H$4:$H$51,H52,$B$4:$B$51,"SALIDA"))),0)</f>
        <v>0</v>
      </c>
      <c r="M52" s="13">
        <f t="shared" si="2"/>
        <v>0</v>
      </c>
      <c r="N52" s="14"/>
      <c r="O52" s="14"/>
      <c r="P52" s="15"/>
      <c r="Q52" s="14"/>
    </row>
    <row r="53" ht="15.75" customHeight="1">
      <c r="A53" s="7"/>
      <c r="B53" s="8"/>
      <c r="C53" s="8"/>
      <c r="D53" s="8"/>
      <c r="E53" s="8"/>
      <c r="F53" s="14"/>
      <c r="G53" s="8"/>
      <c r="H53" s="8"/>
      <c r="I53" s="9"/>
      <c r="J53" s="12" t="str">
        <f t="array" ref="J53:K53">IFERROR(INDEX(PRECIOS_COMPLEMENTOS!$C$4:$F$17,MATCH(D53&amp;"_"&amp;E53,PRECIOS_COMPLEMENTOS!$H$4:$H$17,0),IF(OR(H53="S",H53="20cm"),1,IF(OR(H53="M",H53="25cm"),2,IF(OR(H53="L",H53="30cm"),3,IF(OR(H53="XL",H53="35cm"),4,0))))),0)</f>
        <v>#REF!</v>
      </c>
      <c r="K53" s="12">
        <f t="shared" si="1"/>
        <v>0</v>
      </c>
      <c r="L53" s="13">
        <f>IFERROR(IF(C53="",0,IF(D53="PRETINA",SUMIFS($I$4:$I$52,$C$4:$C$52,C53,$D$4:$D$52,D53,$E$4:$E$52,E53,$F$4:$F$52,F53,$G$4:$G$52,G53,$H$4:$H$52,H53,$B$4:$B$52,"INGRESO")+SUMIFS($I$4:$I$52,$C$4:$C$52,C53,$D$4:$D$52,D53,$E$4:$E$52,E53,$F$4:$F$52,F53,$G$4:$G$52,G53,$H$4:$H$52,H53,$B$4:$B$52,"DE CORTE")-SUMIFS($I$4:$I$52,$C$4:$C$52,C53,$D$4:$D$52,D53,$E$4:$E$52,E53,$F$4:$F$52,F53,$G$4:$G$52,G53,$H$4:$H$52,H53,$B$4:$B$52,"SALIDA"),SUMIFS($I$4:$I$52,$C$4:$C$52,C53,$D$4:$D$52,D53,$E$4:$E$52,E53,$G$4:$G$52,G53,$H$4:$H$52,H53,$B$4:$B$52,"INGRESO")+SUMIFS($I$4:$I$52,$C$4:$C$52,C53,$D$4:$D$52,D53,$E$4:$E$52,E53,$G$4:$G$52,G53,$H$4:$H$52,H53,$B$4:$B$52,"DE CORTE")-SUMIFS($I$4:$I$52,$C$4:$C$52,C53,$D$4:$D$52,D53,$E$4:$E$52,E53,$G$4:$G$52,G53,$H$4:$H$52,H53,$B$4:$B$52,"SALIDA"))),0)</f>
        <v>0</v>
      </c>
      <c r="M53" s="13">
        <f t="shared" si="2"/>
        <v>0</v>
      </c>
      <c r="N53" s="14"/>
      <c r="O53" s="14"/>
      <c r="P53" s="15"/>
      <c r="Q53" s="14"/>
    </row>
    <row r="54" ht="15.75" customHeight="1">
      <c r="A54" s="7"/>
      <c r="B54" s="8"/>
      <c r="C54" s="8"/>
      <c r="D54" s="8"/>
      <c r="E54" s="8"/>
      <c r="F54" s="14"/>
      <c r="G54" s="8"/>
      <c r="H54" s="8"/>
      <c r="I54" s="9"/>
      <c r="J54" s="12" t="str">
        <f t="array" ref="J54:K54">IFERROR(INDEX(PRECIOS_COMPLEMENTOS!$C$4:$F$17,MATCH(D54&amp;"_"&amp;E54,PRECIOS_COMPLEMENTOS!$H$4:$H$17,0),IF(OR(H54="S",H54="20cm"),1,IF(OR(H54="M",H54="25cm"),2,IF(OR(H54="L",H54="30cm"),3,IF(OR(H54="XL",H54="35cm"),4,0))))),0)</f>
        <v>#REF!</v>
      </c>
      <c r="K54" s="12">
        <f t="shared" si="1"/>
        <v>0</v>
      </c>
      <c r="L54" s="13">
        <f>IFERROR(IF(C54="",0,IF(D54="PRETINA",SUMIFS($I$4:$I$53,$C$4:$C$53,C54,$D$4:$D$53,D54,$E$4:$E$53,E54,$F$4:$F$53,F54,$G$4:$G$53,G54,$H$4:$H$53,H54,$B$4:$B$53,"INGRESO")+SUMIFS($I$4:$I$53,$C$4:$C$53,C54,$D$4:$D$53,D54,$E$4:$E$53,E54,$F$4:$F$53,F54,$G$4:$G$53,G54,$H$4:$H$53,H54,$B$4:$B$53,"DE CORTE")-SUMIFS($I$4:$I$53,$C$4:$C$53,C54,$D$4:$D$53,D54,$E$4:$E$53,E54,$F$4:$F$53,F54,$G$4:$G$53,G54,$H$4:$H$53,H54,$B$4:$B$53,"SALIDA"),SUMIFS($I$4:$I$53,$C$4:$C$53,C54,$D$4:$D$53,D54,$E$4:$E$53,E54,$G$4:$G$53,G54,$H$4:$H$53,H54,$B$4:$B$53,"INGRESO")+SUMIFS($I$4:$I$53,$C$4:$C$53,C54,$D$4:$D$53,D54,$E$4:$E$53,E54,$G$4:$G$53,G54,$H$4:$H$53,H54,$B$4:$B$53,"DE CORTE")-SUMIFS($I$4:$I$53,$C$4:$C$53,C54,$D$4:$D$53,D54,$E$4:$E$53,E54,$G$4:$G$53,G54,$H$4:$H$53,H54,$B$4:$B$53,"SALIDA"))),0)</f>
        <v>0</v>
      </c>
      <c r="M54" s="13">
        <f t="shared" si="2"/>
        <v>0</v>
      </c>
      <c r="N54" s="14"/>
      <c r="O54" s="14"/>
      <c r="P54" s="15"/>
      <c r="Q54" s="14"/>
    </row>
    <row r="55" ht="15.75" customHeight="1">
      <c r="A55" s="7"/>
      <c r="B55" s="8"/>
      <c r="C55" s="8"/>
      <c r="D55" s="8"/>
      <c r="E55" s="8"/>
      <c r="F55" s="14"/>
      <c r="G55" s="8"/>
      <c r="H55" s="8"/>
      <c r="I55" s="9"/>
      <c r="J55" s="12" t="str">
        <f t="array" ref="J55:K55">IFERROR(INDEX(PRECIOS_COMPLEMENTOS!$C$4:$F$17,MATCH(D55&amp;"_"&amp;E55,PRECIOS_COMPLEMENTOS!$H$4:$H$17,0),IF(OR(H55="S",H55="20cm"),1,IF(OR(H55="M",H55="25cm"),2,IF(OR(H55="L",H55="30cm"),3,IF(OR(H55="XL",H55="35cm"),4,0))))),0)</f>
        <v>#REF!</v>
      </c>
      <c r="K55" s="12">
        <f t="shared" si="1"/>
        <v>0</v>
      </c>
      <c r="L55" s="13">
        <f>IFERROR(IF(C55="",0,IF(D55="PRETINA",SUMIFS($I$4:$I$54,$C$4:$C$54,C55,$D$4:$D$54,D55,$E$4:$E$54,E55,$F$4:$F$54,F55,$G$4:$G$54,G55,$H$4:$H$54,H55,$B$4:$B$54,"INGRESO")+SUMIFS($I$4:$I$54,$C$4:$C$54,C55,$D$4:$D$54,D55,$E$4:$E$54,E55,$F$4:$F$54,F55,$G$4:$G$54,G55,$H$4:$H$54,H55,$B$4:$B$54,"DE CORTE")-SUMIFS($I$4:$I$54,$C$4:$C$54,C55,$D$4:$D$54,D55,$E$4:$E$54,E55,$F$4:$F$54,F55,$G$4:$G$54,G55,$H$4:$H$54,H55,$B$4:$B$54,"SALIDA"),SUMIFS($I$4:$I$54,$C$4:$C$54,C55,$D$4:$D$54,D55,$E$4:$E$54,E55,$G$4:$G$54,G55,$H$4:$H$54,H55,$B$4:$B$54,"INGRESO")+SUMIFS($I$4:$I$54,$C$4:$C$54,C55,$D$4:$D$54,D55,$E$4:$E$54,E55,$G$4:$G$54,G55,$H$4:$H$54,H55,$B$4:$B$54,"DE CORTE")-SUMIFS($I$4:$I$54,$C$4:$C$54,C55,$D$4:$D$54,D55,$E$4:$E$54,E55,$G$4:$G$54,G55,$H$4:$H$54,H55,$B$4:$B$54,"SALIDA"))),0)</f>
        <v>0</v>
      </c>
      <c r="M55" s="13">
        <f t="shared" si="2"/>
        <v>0</v>
      </c>
      <c r="N55" s="14"/>
      <c r="O55" s="14"/>
      <c r="P55" s="15"/>
      <c r="Q55" s="14"/>
    </row>
    <row r="56" ht="15.75" customHeight="1">
      <c r="A56" s="7"/>
      <c r="B56" s="8"/>
      <c r="C56" s="8"/>
      <c r="D56" s="8"/>
      <c r="E56" s="8"/>
      <c r="F56" s="14"/>
      <c r="G56" s="8"/>
      <c r="H56" s="8"/>
      <c r="I56" s="9"/>
      <c r="J56" s="12" t="str">
        <f t="array" ref="J56:K56">IFERROR(INDEX(PRECIOS_COMPLEMENTOS!$C$4:$F$17,MATCH(D56&amp;"_"&amp;E56,PRECIOS_COMPLEMENTOS!$H$4:$H$17,0),IF(OR(H56="S",H56="20cm"),1,IF(OR(H56="M",H56="25cm"),2,IF(OR(H56="L",H56="30cm"),3,IF(OR(H56="XL",H56="35cm"),4,0))))),0)</f>
        <v>#REF!</v>
      </c>
      <c r="K56" s="12">
        <f t="shared" si="1"/>
        <v>0</v>
      </c>
      <c r="L56" s="13">
        <f>IFERROR(IF(C56="",0,IF(D56="PRETINA",SUMIFS($I$4:$I$55,$C$4:$C$55,C56,$D$4:$D$55,D56,$E$4:$E$55,E56,$F$4:$F$55,F56,$G$4:$G$55,G56,$H$4:$H$55,H56,$B$4:$B$55,"INGRESO")+SUMIFS($I$4:$I$55,$C$4:$C$55,C56,$D$4:$D$55,D56,$E$4:$E$55,E56,$F$4:$F$55,F56,$G$4:$G$55,G56,$H$4:$H$55,H56,$B$4:$B$55,"DE CORTE")-SUMIFS($I$4:$I$55,$C$4:$C$55,C56,$D$4:$D$55,D56,$E$4:$E$55,E56,$F$4:$F$55,F56,$G$4:$G$55,G56,$H$4:$H$55,H56,$B$4:$B$55,"SALIDA"),SUMIFS($I$4:$I$55,$C$4:$C$55,C56,$D$4:$D$55,D56,$E$4:$E$55,E56,$G$4:$G$55,G56,$H$4:$H$55,H56,$B$4:$B$55,"INGRESO")+SUMIFS($I$4:$I$55,$C$4:$C$55,C56,$D$4:$D$55,D56,$E$4:$E$55,E56,$G$4:$G$55,G56,$H$4:$H$55,H56,$B$4:$B$55,"DE CORTE")-SUMIFS($I$4:$I$55,$C$4:$C$55,C56,$D$4:$D$55,D56,$E$4:$E$55,E56,$G$4:$G$55,G56,$H$4:$H$55,H56,$B$4:$B$55,"SALIDA"))),0)</f>
        <v>0</v>
      </c>
      <c r="M56" s="13">
        <f t="shared" si="2"/>
        <v>0</v>
      </c>
      <c r="N56" s="14"/>
      <c r="O56" s="14"/>
      <c r="P56" s="15"/>
      <c r="Q56" s="14"/>
    </row>
    <row r="57" ht="15.75" customHeight="1">
      <c r="A57" s="7"/>
      <c r="B57" s="8"/>
      <c r="C57" s="8"/>
      <c r="D57" s="8"/>
      <c r="E57" s="8"/>
      <c r="F57" s="14"/>
      <c r="G57" s="8"/>
      <c r="H57" s="8"/>
      <c r="I57" s="9"/>
      <c r="J57" s="12" t="str">
        <f t="array" ref="J57:K57">IFERROR(INDEX(PRECIOS_COMPLEMENTOS!$C$4:$F$17,MATCH(D57&amp;"_"&amp;E57,PRECIOS_COMPLEMENTOS!$H$4:$H$17,0),IF(OR(H57="S",H57="20cm"),1,IF(OR(H57="M",H57="25cm"),2,IF(OR(H57="L",H57="30cm"),3,IF(OR(H57="XL",H57="35cm"),4,0))))),0)</f>
        <v>#REF!</v>
      </c>
      <c r="K57" s="12">
        <f t="shared" si="1"/>
        <v>0</v>
      </c>
      <c r="L57" s="13">
        <f>IFERROR(IF(C57="",0,IF(D57="PRETINA",SUMIFS($I$4:$I$56,$C$4:$C$56,C57,$D$4:$D$56,D57,$E$4:$E$56,E57,$F$4:$F$56,F57,$G$4:$G$56,G57,$H$4:$H$56,H57,$B$4:$B$56,"INGRESO")+SUMIFS($I$4:$I$56,$C$4:$C$56,C57,$D$4:$D$56,D57,$E$4:$E$56,E57,$F$4:$F$56,F57,$G$4:$G$56,G57,$H$4:$H$56,H57,$B$4:$B$56,"DE CORTE")-SUMIFS($I$4:$I$56,$C$4:$C$56,C57,$D$4:$D$56,D57,$E$4:$E$56,E57,$F$4:$F$56,F57,$G$4:$G$56,G57,$H$4:$H$56,H57,$B$4:$B$56,"SALIDA"),SUMIFS($I$4:$I$56,$C$4:$C$56,C57,$D$4:$D$56,D57,$E$4:$E$56,E57,$G$4:$G$56,G57,$H$4:$H$56,H57,$B$4:$B$56,"INGRESO")+SUMIFS($I$4:$I$56,$C$4:$C$56,C57,$D$4:$D$56,D57,$E$4:$E$56,E57,$G$4:$G$56,G57,$H$4:$H$56,H57,$B$4:$B$56,"DE CORTE")-SUMIFS($I$4:$I$56,$C$4:$C$56,C57,$D$4:$D$56,D57,$E$4:$E$56,E57,$G$4:$G$56,G57,$H$4:$H$56,H57,$B$4:$B$56,"SALIDA"))),0)</f>
        <v>0</v>
      </c>
      <c r="M57" s="13">
        <f t="shared" si="2"/>
        <v>0</v>
      </c>
      <c r="N57" s="14"/>
      <c r="O57" s="14"/>
      <c r="P57" s="15"/>
      <c r="Q57" s="14"/>
    </row>
    <row r="58" ht="15.75" customHeight="1">
      <c r="A58" s="7"/>
      <c r="B58" s="8"/>
      <c r="C58" s="8"/>
      <c r="D58" s="8"/>
      <c r="E58" s="8"/>
      <c r="F58" s="14"/>
      <c r="G58" s="8"/>
      <c r="H58" s="8"/>
      <c r="I58" s="9"/>
      <c r="J58" s="12" t="str">
        <f t="array" ref="J58:K58">IFERROR(INDEX(PRECIOS_COMPLEMENTOS!$C$4:$F$17,MATCH(D58&amp;"_"&amp;E58,PRECIOS_COMPLEMENTOS!$H$4:$H$17,0),IF(OR(H58="S",H58="20cm"),1,IF(OR(H58="M",H58="25cm"),2,IF(OR(H58="L",H58="30cm"),3,IF(OR(H58="XL",H58="35cm"),4,0))))),0)</f>
        <v>#REF!</v>
      </c>
      <c r="K58" s="12">
        <f t="shared" si="1"/>
        <v>0</v>
      </c>
      <c r="L58" s="13">
        <f>IFERROR(IF(C58="",0,IF(D58="PRETINA",SUMIFS($I$4:$I$57,$C$4:$C$57,C58,$D$4:$D$57,D58,$E$4:$E$57,E58,$F$4:$F$57,F58,$G$4:$G$57,G58,$H$4:$H$57,H58,$B$4:$B$57,"INGRESO")+SUMIFS($I$4:$I$57,$C$4:$C$57,C58,$D$4:$D$57,D58,$E$4:$E$57,E58,$F$4:$F$57,F58,$G$4:$G$57,G58,$H$4:$H$57,H58,$B$4:$B$57,"DE CORTE")-SUMIFS($I$4:$I$57,$C$4:$C$57,C58,$D$4:$D$57,D58,$E$4:$E$57,E58,$F$4:$F$57,F58,$G$4:$G$57,G58,$H$4:$H$57,H58,$B$4:$B$57,"SALIDA"),SUMIFS($I$4:$I$57,$C$4:$C$57,C58,$D$4:$D$57,D58,$E$4:$E$57,E58,$G$4:$G$57,G58,$H$4:$H$57,H58,$B$4:$B$57,"INGRESO")+SUMIFS($I$4:$I$57,$C$4:$C$57,C58,$D$4:$D$57,D58,$E$4:$E$57,E58,$G$4:$G$57,G58,$H$4:$H$57,H58,$B$4:$B$57,"DE CORTE")-SUMIFS($I$4:$I$57,$C$4:$C$57,C58,$D$4:$D$57,D58,$E$4:$E$57,E58,$G$4:$G$57,G58,$H$4:$H$57,H58,$B$4:$B$57,"SALIDA"))),0)</f>
        <v>0</v>
      </c>
      <c r="M58" s="13">
        <f t="shared" si="2"/>
        <v>0</v>
      </c>
      <c r="N58" s="14"/>
      <c r="O58" s="14"/>
      <c r="P58" s="15"/>
      <c r="Q58" s="14"/>
    </row>
    <row r="59" ht="15.75" customHeight="1">
      <c r="A59" s="7"/>
      <c r="B59" s="8"/>
      <c r="C59" s="8"/>
      <c r="D59" s="8"/>
      <c r="E59" s="8"/>
      <c r="F59" s="14"/>
      <c r="G59" s="8"/>
      <c r="H59" s="8"/>
      <c r="I59" s="9"/>
      <c r="J59" s="12" t="str">
        <f t="array" ref="J59:K59">IFERROR(INDEX(PRECIOS_COMPLEMENTOS!$C$4:$F$17,MATCH(D59&amp;"_"&amp;E59,PRECIOS_COMPLEMENTOS!$H$4:$H$17,0),IF(OR(H59="S",H59="20cm"),1,IF(OR(H59="M",H59="25cm"),2,IF(OR(H59="L",H59="30cm"),3,IF(OR(H59="XL",H59="35cm"),4,0))))),0)</f>
        <v>#REF!</v>
      </c>
      <c r="K59" s="12">
        <f t="shared" si="1"/>
        <v>0</v>
      </c>
      <c r="L59" s="13">
        <f>IFERROR(IF(C59="",0,IF(D59="PRETINA",SUMIFS($I$4:$I$58,$C$4:$C$58,C59,$D$4:$D$58,D59,$E$4:$E$58,E59,$F$4:$F$58,F59,$G$4:$G$58,G59,$H$4:$H$58,H59,$B$4:$B$58,"INGRESO")+SUMIFS($I$4:$I$58,$C$4:$C$58,C59,$D$4:$D$58,D59,$E$4:$E$58,E59,$F$4:$F$58,F59,$G$4:$G$58,G59,$H$4:$H$58,H59,$B$4:$B$58,"DE CORTE")-SUMIFS($I$4:$I$58,$C$4:$C$58,C59,$D$4:$D$58,D59,$E$4:$E$58,E59,$F$4:$F$58,F59,$G$4:$G$58,G59,$H$4:$H$58,H59,$B$4:$B$58,"SALIDA"),SUMIFS($I$4:$I$58,$C$4:$C$58,C59,$D$4:$D$58,D59,$E$4:$E$58,E59,$G$4:$G$58,G59,$H$4:$H$58,H59,$B$4:$B$58,"INGRESO")+SUMIFS($I$4:$I$58,$C$4:$C$58,C59,$D$4:$D$58,D59,$E$4:$E$58,E59,$G$4:$G$58,G59,$H$4:$H$58,H59,$B$4:$B$58,"DE CORTE")-SUMIFS($I$4:$I$58,$C$4:$C$58,C59,$D$4:$D$58,D59,$E$4:$E$58,E59,$G$4:$G$58,G59,$H$4:$H$58,H59,$B$4:$B$58,"SALIDA"))),0)</f>
        <v>0</v>
      </c>
      <c r="M59" s="13">
        <f t="shared" si="2"/>
        <v>0</v>
      </c>
      <c r="N59" s="14"/>
      <c r="O59" s="14"/>
      <c r="P59" s="15"/>
      <c r="Q59" s="14"/>
    </row>
    <row r="60" ht="15.75" customHeight="1">
      <c r="A60" s="7"/>
      <c r="B60" s="8"/>
      <c r="C60" s="8"/>
      <c r="D60" s="8"/>
      <c r="E60" s="8"/>
      <c r="F60" s="14"/>
      <c r="G60" s="8"/>
      <c r="H60" s="8"/>
      <c r="I60" s="9"/>
      <c r="J60" s="12" t="str">
        <f t="array" ref="J60:K60">IFERROR(INDEX(PRECIOS_COMPLEMENTOS!$C$4:$F$17,MATCH(D60&amp;"_"&amp;E60,PRECIOS_COMPLEMENTOS!$H$4:$H$17,0),IF(OR(H60="S",H60="20cm"),1,IF(OR(H60="M",H60="25cm"),2,IF(OR(H60="L",H60="30cm"),3,IF(OR(H60="XL",H60="35cm"),4,0))))),0)</f>
        <v>#REF!</v>
      </c>
      <c r="K60" s="12">
        <f t="shared" si="1"/>
        <v>0</v>
      </c>
      <c r="L60" s="13">
        <f>IFERROR(IF(C60="",0,IF(D60="PRETINA",SUMIFS($I$4:$I$59,$C$4:$C$59,C60,$D$4:$D$59,D60,$E$4:$E$59,E60,$F$4:$F$59,F60,$G$4:$G$59,G60,$H$4:$H$59,H60,$B$4:$B$59,"INGRESO")+SUMIFS($I$4:$I$59,$C$4:$C$59,C60,$D$4:$D$59,D60,$E$4:$E$59,E60,$F$4:$F$59,F60,$G$4:$G$59,G60,$H$4:$H$59,H60,$B$4:$B$59,"DE CORTE")-SUMIFS($I$4:$I$59,$C$4:$C$59,C60,$D$4:$D$59,D60,$E$4:$E$59,E60,$F$4:$F$59,F60,$G$4:$G$59,G60,$H$4:$H$59,H60,$B$4:$B$59,"SALIDA"),SUMIFS($I$4:$I$59,$C$4:$C$59,C60,$D$4:$D$59,D60,$E$4:$E$59,E60,$G$4:$G$59,G60,$H$4:$H$59,H60,$B$4:$B$59,"INGRESO")+SUMIFS($I$4:$I$59,$C$4:$C$59,C60,$D$4:$D$59,D60,$E$4:$E$59,E60,$G$4:$G$59,G60,$H$4:$H$59,H60,$B$4:$B$59,"DE CORTE")-SUMIFS($I$4:$I$59,$C$4:$C$59,C60,$D$4:$D$59,D60,$E$4:$E$59,E60,$G$4:$G$59,G60,$H$4:$H$59,H60,$B$4:$B$59,"SALIDA"))),0)</f>
        <v>0</v>
      </c>
      <c r="M60" s="13">
        <f t="shared" si="2"/>
        <v>0</v>
      </c>
      <c r="N60" s="14"/>
      <c r="O60" s="14"/>
      <c r="P60" s="15"/>
      <c r="Q60" s="14"/>
    </row>
    <row r="61" ht="15.75" customHeight="1">
      <c r="A61" s="7"/>
      <c r="B61" s="8"/>
      <c r="C61" s="8"/>
      <c r="D61" s="8"/>
      <c r="E61" s="8"/>
      <c r="F61" s="14"/>
      <c r="G61" s="8"/>
      <c r="H61" s="8"/>
      <c r="I61" s="9"/>
      <c r="J61" s="12" t="str">
        <f t="array" ref="J61:K61">IFERROR(INDEX(PRECIOS_COMPLEMENTOS!$C$4:$F$17,MATCH(D61&amp;"_"&amp;E61,PRECIOS_COMPLEMENTOS!$H$4:$H$17,0),IF(OR(H61="S",H61="20cm"),1,IF(OR(H61="M",H61="25cm"),2,IF(OR(H61="L",H61="30cm"),3,IF(OR(H61="XL",H61="35cm"),4,0))))),0)</f>
        <v>#REF!</v>
      </c>
      <c r="K61" s="12">
        <f t="shared" si="1"/>
        <v>0</v>
      </c>
      <c r="L61" s="13">
        <f>IFERROR(IF(C61="",0,IF(D61="PRETINA",SUMIFS($I$4:$I$60,$C$4:$C$60,C61,$D$4:$D$60,D61,$E$4:$E$60,E61,$F$4:$F$60,F61,$G$4:$G$60,G61,$H$4:$H$60,H61,$B$4:$B$60,"INGRESO")+SUMIFS($I$4:$I$60,$C$4:$C$60,C61,$D$4:$D$60,D61,$E$4:$E$60,E61,$F$4:$F$60,F61,$G$4:$G$60,G61,$H$4:$H$60,H61,$B$4:$B$60,"DE CORTE")-SUMIFS($I$4:$I$60,$C$4:$C$60,C61,$D$4:$D$60,D61,$E$4:$E$60,E61,$F$4:$F$60,F61,$G$4:$G$60,G61,$H$4:$H$60,H61,$B$4:$B$60,"SALIDA"),SUMIFS($I$4:$I$60,$C$4:$C$60,C61,$D$4:$D$60,D61,$E$4:$E$60,E61,$G$4:$G$60,G61,$H$4:$H$60,H61,$B$4:$B$60,"INGRESO")+SUMIFS($I$4:$I$60,$C$4:$C$60,C61,$D$4:$D$60,D61,$E$4:$E$60,E61,$G$4:$G$60,G61,$H$4:$H$60,H61,$B$4:$B$60,"DE CORTE")-SUMIFS($I$4:$I$60,$C$4:$C$60,C61,$D$4:$D$60,D61,$E$4:$E$60,E61,$G$4:$G$60,G61,$H$4:$H$60,H61,$B$4:$B$60,"SALIDA"))),0)</f>
        <v>0</v>
      </c>
      <c r="M61" s="13">
        <f t="shared" si="2"/>
        <v>0</v>
      </c>
      <c r="N61" s="14"/>
      <c r="O61" s="14"/>
      <c r="P61" s="15"/>
      <c r="Q61" s="14"/>
    </row>
    <row r="62" ht="15.75" customHeight="1">
      <c r="A62" s="7"/>
      <c r="B62" s="8"/>
      <c r="C62" s="8"/>
      <c r="D62" s="8"/>
      <c r="E62" s="8"/>
      <c r="F62" s="14"/>
      <c r="G62" s="8"/>
      <c r="H62" s="8"/>
      <c r="I62" s="9"/>
      <c r="J62" s="12" t="str">
        <f t="array" ref="J62:K62">IFERROR(INDEX(PRECIOS_COMPLEMENTOS!$C$4:$F$17,MATCH(D62&amp;"_"&amp;E62,PRECIOS_COMPLEMENTOS!$H$4:$H$17,0),IF(OR(H62="S",H62="20cm"),1,IF(OR(H62="M",H62="25cm"),2,IF(OR(H62="L",H62="30cm"),3,IF(OR(H62="XL",H62="35cm"),4,0))))),0)</f>
        <v>#REF!</v>
      </c>
      <c r="K62" s="12">
        <f t="shared" si="1"/>
        <v>0</v>
      </c>
      <c r="L62" s="13">
        <f>IFERROR(IF(C62="",0,IF(D62="PRETINA",SUMIFS($I$4:$I$61,$C$4:$C$61,C62,$D$4:$D$61,D62,$E$4:$E$61,E62,$F$4:$F$61,F62,$G$4:$G$61,G62,$H$4:$H$61,H62,$B$4:$B$61,"INGRESO")+SUMIFS($I$4:$I$61,$C$4:$C$61,C62,$D$4:$D$61,D62,$E$4:$E$61,E62,$F$4:$F$61,F62,$G$4:$G$61,G62,$H$4:$H$61,H62,$B$4:$B$61,"DE CORTE")-SUMIFS($I$4:$I$61,$C$4:$C$61,C62,$D$4:$D$61,D62,$E$4:$E$61,E62,$F$4:$F$61,F62,$G$4:$G$61,G62,$H$4:$H$61,H62,$B$4:$B$61,"SALIDA"),SUMIFS($I$4:$I$61,$C$4:$C$61,C62,$D$4:$D$61,D62,$E$4:$E$61,E62,$G$4:$G$61,G62,$H$4:$H$61,H62,$B$4:$B$61,"INGRESO")+SUMIFS($I$4:$I$61,$C$4:$C$61,C62,$D$4:$D$61,D62,$E$4:$E$61,E62,$G$4:$G$61,G62,$H$4:$H$61,H62,$B$4:$B$61,"DE CORTE")-SUMIFS($I$4:$I$61,$C$4:$C$61,C62,$D$4:$D$61,D62,$E$4:$E$61,E62,$G$4:$G$61,G62,$H$4:$H$61,H62,$B$4:$B$61,"SALIDA"))),0)</f>
        <v>0</v>
      </c>
      <c r="M62" s="13">
        <f t="shared" si="2"/>
        <v>0</v>
      </c>
      <c r="N62" s="14"/>
      <c r="O62" s="14"/>
      <c r="P62" s="15"/>
      <c r="Q62" s="14"/>
    </row>
    <row r="63" ht="15.75" customHeight="1">
      <c r="A63" s="7"/>
      <c r="B63" s="8"/>
      <c r="C63" s="8"/>
      <c r="D63" s="8"/>
      <c r="E63" s="8"/>
      <c r="F63" s="14"/>
      <c r="G63" s="8"/>
      <c r="H63" s="8"/>
      <c r="I63" s="9"/>
      <c r="J63" s="12" t="str">
        <f t="array" ref="J63:K63">IFERROR(INDEX(PRECIOS_COMPLEMENTOS!$C$4:$F$17,MATCH(D63&amp;"_"&amp;E63,PRECIOS_COMPLEMENTOS!$H$4:$H$17,0),IF(OR(H63="S",H63="20cm"),1,IF(OR(H63="M",H63="25cm"),2,IF(OR(H63="L",H63="30cm"),3,IF(OR(H63="XL",H63="35cm"),4,0))))),0)</f>
        <v>#REF!</v>
      </c>
      <c r="K63" s="12">
        <f t="shared" si="1"/>
        <v>0</v>
      </c>
      <c r="L63" s="13">
        <f>IFERROR(IF(C63="",0,IF(D63="PRETINA",SUMIFS($I$4:$I$62,$C$4:$C$62,C63,$D$4:$D$62,D63,$E$4:$E$62,E63,$F$4:$F$62,F63,$G$4:$G$62,G63,$H$4:$H$62,H63,$B$4:$B$62,"INGRESO")+SUMIFS($I$4:$I$62,$C$4:$C$62,C63,$D$4:$D$62,D63,$E$4:$E$62,E63,$F$4:$F$62,F63,$G$4:$G$62,G63,$H$4:$H$62,H63,$B$4:$B$62,"DE CORTE")-SUMIFS($I$4:$I$62,$C$4:$C$62,C63,$D$4:$D$62,D63,$E$4:$E$62,E63,$F$4:$F$62,F63,$G$4:$G$62,G63,$H$4:$H$62,H63,$B$4:$B$62,"SALIDA"),SUMIFS($I$4:$I$62,$C$4:$C$62,C63,$D$4:$D$62,D63,$E$4:$E$62,E63,$G$4:$G$62,G63,$H$4:$H$62,H63,$B$4:$B$62,"INGRESO")+SUMIFS($I$4:$I$62,$C$4:$C$62,C63,$D$4:$D$62,D63,$E$4:$E$62,E63,$G$4:$G$62,G63,$H$4:$H$62,H63,$B$4:$B$62,"DE CORTE")-SUMIFS($I$4:$I$62,$C$4:$C$62,C63,$D$4:$D$62,D63,$E$4:$E$62,E63,$G$4:$G$62,G63,$H$4:$H$62,H63,$B$4:$B$62,"SALIDA"))),0)</f>
        <v>0</v>
      </c>
      <c r="M63" s="13">
        <f t="shared" si="2"/>
        <v>0</v>
      </c>
      <c r="N63" s="14"/>
      <c r="O63" s="14"/>
      <c r="P63" s="15"/>
      <c r="Q63" s="14"/>
    </row>
    <row r="64" ht="15.75" customHeight="1">
      <c r="A64" s="7"/>
      <c r="B64" s="8"/>
      <c r="C64" s="8"/>
      <c r="D64" s="8"/>
      <c r="E64" s="8"/>
      <c r="F64" s="14"/>
      <c r="G64" s="8"/>
      <c r="H64" s="8"/>
      <c r="I64" s="9"/>
      <c r="J64" s="12" t="str">
        <f t="array" ref="J64:K64">IFERROR(INDEX(PRECIOS_COMPLEMENTOS!$C$4:$F$17,MATCH(D64&amp;"_"&amp;E64,PRECIOS_COMPLEMENTOS!$H$4:$H$17,0),IF(OR(H64="S",H64="20cm"),1,IF(OR(H64="M",H64="25cm"),2,IF(OR(H64="L",H64="30cm"),3,IF(OR(H64="XL",H64="35cm"),4,0))))),0)</f>
        <v>#REF!</v>
      </c>
      <c r="K64" s="12">
        <f t="shared" si="1"/>
        <v>0</v>
      </c>
      <c r="L64" s="13">
        <f>IFERROR(IF(C64="",0,IF(D64="PRETINA",SUMIFS($I$4:$I$63,$C$4:$C$63,C64,$D$4:$D$63,D64,$E$4:$E$63,E64,$F$4:$F$63,F64,$G$4:$G$63,G64,$H$4:$H$63,H64,$B$4:$B$63,"INGRESO")+SUMIFS($I$4:$I$63,$C$4:$C$63,C64,$D$4:$D$63,D64,$E$4:$E$63,E64,$F$4:$F$63,F64,$G$4:$G$63,G64,$H$4:$H$63,H64,$B$4:$B$63,"DE CORTE")-SUMIFS($I$4:$I$63,$C$4:$C$63,C64,$D$4:$D$63,D64,$E$4:$E$63,E64,$F$4:$F$63,F64,$G$4:$G$63,G64,$H$4:$H$63,H64,$B$4:$B$63,"SALIDA"),SUMIFS($I$4:$I$63,$C$4:$C$63,C64,$D$4:$D$63,D64,$E$4:$E$63,E64,$G$4:$G$63,G64,$H$4:$H$63,H64,$B$4:$B$63,"INGRESO")+SUMIFS($I$4:$I$63,$C$4:$C$63,C64,$D$4:$D$63,D64,$E$4:$E$63,E64,$G$4:$G$63,G64,$H$4:$H$63,H64,$B$4:$B$63,"DE CORTE")-SUMIFS($I$4:$I$63,$C$4:$C$63,C64,$D$4:$D$63,D64,$E$4:$E$63,E64,$G$4:$G$63,G64,$H$4:$H$63,H64,$B$4:$B$63,"SALIDA"))),0)</f>
        <v>0</v>
      </c>
      <c r="M64" s="13">
        <f t="shared" si="2"/>
        <v>0</v>
      </c>
      <c r="N64" s="14"/>
      <c r="O64" s="14"/>
      <c r="P64" s="15"/>
      <c r="Q64" s="14"/>
    </row>
    <row r="65" ht="15.75" customHeight="1">
      <c r="A65" s="7"/>
      <c r="B65" s="8"/>
      <c r="C65" s="8"/>
      <c r="D65" s="8"/>
      <c r="E65" s="8"/>
      <c r="F65" s="14"/>
      <c r="G65" s="8"/>
      <c r="H65" s="8"/>
      <c r="I65" s="9"/>
      <c r="J65" s="12" t="str">
        <f t="array" ref="J65:K65">IFERROR(INDEX(PRECIOS_COMPLEMENTOS!$C$4:$F$17,MATCH(D65&amp;"_"&amp;E65,PRECIOS_COMPLEMENTOS!$H$4:$H$17,0),IF(OR(H65="S",H65="20cm"),1,IF(OR(H65="M",H65="25cm"),2,IF(OR(H65="L",H65="30cm"),3,IF(OR(H65="XL",H65="35cm"),4,0))))),0)</f>
        <v>#REF!</v>
      </c>
      <c r="K65" s="12">
        <f t="shared" si="1"/>
        <v>0</v>
      </c>
      <c r="L65" s="13">
        <f>IFERROR(IF(C65="",0,IF(D65="PRETINA",SUMIFS($I$4:$I$64,$C$4:$C$64,C65,$D$4:$D$64,D65,$E$4:$E$64,E65,$F$4:$F$64,F65,$G$4:$G$64,G65,$H$4:$H$64,H65,$B$4:$B$64,"INGRESO")+SUMIFS($I$4:$I$64,$C$4:$C$64,C65,$D$4:$D$64,D65,$E$4:$E$64,E65,$F$4:$F$64,F65,$G$4:$G$64,G65,$H$4:$H$64,H65,$B$4:$B$64,"DE CORTE")-SUMIFS($I$4:$I$64,$C$4:$C$64,C65,$D$4:$D$64,D65,$E$4:$E$64,E65,$F$4:$F$64,F65,$G$4:$G$64,G65,$H$4:$H$64,H65,$B$4:$B$64,"SALIDA"),SUMIFS($I$4:$I$64,$C$4:$C$64,C65,$D$4:$D$64,D65,$E$4:$E$64,E65,$G$4:$G$64,G65,$H$4:$H$64,H65,$B$4:$B$64,"INGRESO")+SUMIFS($I$4:$I$64,$C$4:$C$64,C65,$D$4:$D$64,D65,$E$4:$E$64,E65,$G$4:$G$64,G65,$H$4:$H$64,H65,$B$4:$B$64,"DE CORTE")-SUMIFS($I$4:$I$64,$C$4:$C$64,C65,$D$4:$D$64,D65,$E$4:$E$64,E65,$G$4:$G$64,G65,$H$4:$H$64,H65,$B$4:$B$64,"SALIDA"))),0)</f>
        <v>0</v>
      </c>
      <c r="M65" s="13">
        <f t="shared" si="2"/>
        <v>0</v>
      </c>
      <c r="N65" s="14"/>
      <c r="O65" s="14"/>
      <c r="P65" s="15"/>
      <c r="Q65" s="14"/>
    </row>
    <row r="66" ht="15.75" customHeight="1">
      <c r="A66" s="7"/>
      <c r="B66" s="8"/>
      <c r="C66" s="8"/>
      <c r="D66" s="8"/>
      <c r="E66" s="8"/>
      <c r="F66" s="14"/>
      <c r="G66" s="8"/>
      <c r="H66" s="8"/>
      <c r="I66" s="9"/>
      <c r="J66" s="12" t="str">
        <f t="array" ref="J66:K66">IFERROR(INDEX(PRECIOS_COMPLEMENTOS!$C$4:$F$17,MATCH(D66&amp;"_"&amp;E66,PRECIOS_COMPLEMENTOS!$H$4:$H$17,0),IF(OR(H66="S",H66="20cm"),1,IF(OR(H66="M",H66="25cm"),2,IF(OR(H66="L",H66="30cm"),3,IF(OR(H66="XL",H66="35cm"),4,0))))),0)</f>
        <v>#REF!</v>
      </c>
      <c r="K66" s="12">
        <f t="shared" si="1"/>
        <v>0</v>
      </c>
      <c r="L66" s="13">
        <f>IFERROR(IF(C66="",0,IF(D66="PRETINA",SUMIFS($I$4:$I$65,$C$4:$C$65,C66,$D$4:$D$65,D66,$E$4:$E$65,E66,$F$4:$F$65,F66,$G$4:$G$65,G66,$H$4:$H$65,H66,$B$4:$B$65,"INGRESO")+SUMIFS($I$4:$I$65,$C$4:$C$65,C66,$D$4:$D$65,D66,$E$4:$E$65,E66,$F$4:$F$65,F66,$G$4:$G$65,G66,$H$4:$H$65,H66,$B$4:$B$65,"DE CORTE")-SUMIFS($I$4:$I$65,$C$4:$C$65,C66,$D$4:$D$65,D66,$E$4:$E$65,E66,$F$4:$F$65,F66,$G$4:$G$65,G66,$H$4:$H$65,H66,$B$4:$B$65,"SALIDA"),SUMIFS($I$4:$I$65,$C$4:$C$65,C66,$D$4:$D$65,D66,$E$4:$E$65,E66,$G$4:$G$65,G66,$H$4:$H$65,H66,$B$4:$B$65,"INGRESO")+SUMIFS($I$4:$I$65,$C$4:$C$65,C66,$D$4:$D$65,D66,$E$4:$E$65,E66,$G$4:$G$65,G66,$H$4:$H$65,H66,$B$4:$B$65,"DE CORTE")-SUMIFS($I$4:$I$65,$C$4:$C$65,C66,$D$4:$D$65,D66,$E$4:$E$65,E66,$G$4:$G$65,G66,$H$4:$H$65,H66,$B$4:$B$65,"SALIDA"))),0)</f>
        <v>0</v>
      </c>
      <c r="M66" s="13">
        <f t="shared" si="2"/>
        <v>0</v>
      </c>
      <c r="N66" s="14"/>
      <c r="O66" s="14"/>
      <c r="P66" s="15"/>
      <c r="Q66" s="14"/>
    </row>
    <row r="67" ht="15.75" customHeight="1">
      <c r="A67" s="7"/>
      <c r="B67" s="8"/>
      <c r="C67" s="8"/>
      <c r="D67" s="8"/>
      <c r="E67" s="8"/>
      <c r="F67" s="14"/>
      <c r="G67" s="8"/>
      <c r="H67" s="8"/>
      <c r="I67" s="9"/>
      <c r="J67" s="12" t="str">
        <f t="array" ref="J67:K67">IFERROR(INDEX(PRECIOS_COMPLEMENTOS!$C$4:$F$17,MATCH(D67&amp;"_"&amp;E67,PRECIOS_COMPLEMENTOS!$H$4:$H$17,0),IF(OR(H67="S",H67="20cm"),1,IF(OR(H67="M",H67="25cm"),2,IF(OR(H67="L",H67="30cm"),3,IF(OR(H67="XL",H67="35cm"),4,0))))),0)</f>
        <v>#REF!</v>
      </c>
      <c r="K67" s="12">
        <f t="shared" si="1"/>
        <v>0</v>
      </c>
      <c r="L67" s="13">
        <f>IFERROR(IF(C67="",0,IF(D67="PRETINA",SUMIFS($I$4:$I$66,$C$4:$C$66,C67,$D$4:$D$66,D67,$E$4:$E$66,E67,$F$4:$F$66,F67,$G$4:$G$66,G67,$H$4:$H$66,H67,$B$4:$B$66,"INGRESO")+SUMIFS($I$4:$I$66,$C$4:$C$66,C67,$D$4:$D$66,D67,$E$4:$E$66,E67,$F$4:$F$66,F67,$G$4:$G$66,G67,$H$4:$H$66,H67,$B$4:$B$66,"DE CORTE")-SUMIFS($I$4:$I$66,$C$4:$C$66,C67,$D$4:$D$66,D67,$E$4:$E$66,E67,$F$4:$F$66,F67,$G$4:$G$66,G67,$H$4:$H$66,H67,$B$4:$B$66,"SALIDA"),SUMIFS($I$4:$I$66,$C$4:$C$66,C67,$D$4:$D$66,D67,$E$4:$E$66,E67,$G$4:$G$66,G67,$H$4:$H$66,H67,$B$4:$B$66,"INGRESO")+SUMIFS($I$4:$I$66,$C$4:$C$66,C67,$D$4:$D$66,D67,$E$4:$E$66,E67,$G$4:$G$66,G67,$H$4:$H$66,H67,$B$4:$B$66,"DE CORTE")-SUMIFS($I$4:$I$66,$C$4:$C$66,C67,$D$4:$D$66,D67,$E$4:$E$66,E67,$G$4:$G$66,G67,$H$4:$H$66,H67,$B$4:$B$66,"SALIDA"))),0)</f>
        <v>0</v>
      </c>
      <c r="M67" s="13">
        <f t="shared" si="2"/>
        <v>0</v>
      </c>
      <c r="N67" s="14"/>
      <c r="O67" s="14"/>
      <c r="P67" s="15"/>
      <c r="Q67" s="14"/>
    </row>
    <row r="68" ht="15.75" customHeight="1">
      <c r="A68" s="7"/>
      <c r="B68" s="8"/>
      <c r="C68" s="8"/>
      <c r="D68" s="8"/>
      <c r="E68" s="8"/>
      <c r="F68" s="14"/>
      <c r="G68" s="8"/>
      <c r="H68" s="8"/>
      <c r="I68" s="9"/>
      <c r="J68" s="12" t="str">
        <f t="array" ref="J68:K68">IFERROR(INDEX(PRECIOS_COMPLEMENTOS!$C$4:$F$17,MATCH(D68&amp;"_"&amp;E68,PRECIOS_COMPLEMENTOS!$H$4:$H$17,0),IF(OR(H68="S",H68="20cm"),1,IF(OR(H68="M",H68="25cm"),2,IF(OR(H68="L",H68="30cm"),3,IF(OR(H68="XL",H68="35cm"),4,0))))),0)</f>
        <v>#REF!</v>
      </c>
      <c r="K68" s="12">
        <f t="shared" si="1"/>
        <v>0</v>
      </c>
      <c r="L68" s="13">
        <f>IFERROR(IF(C68="",0,IF(D68="PRETINA",SUMIFS($I$4:$I$67,$C$4:$C$67,C68,$D$4:$D$67,D68,$E$4:$E$67,E68,$F$4:$F$67,F68,$G$4:$G$67,G68,$H$4:$H$67,H68,$B$4:$B$67,"INGRESO")+SUMIFS($I$4:$I$67,$C$4:$C$67,C68,$D$4:$D$67,D68,$E$4:$E$67,E68,$F$4:$F$67,F68,$G$4:$G$67,G68,$H$4:$H$67,H68,$B$4:$B$67,"DE CORTE")-SUMIFS($I$4:$I$67,$C$4:$C$67,C68,$D$4:$D$67,D68,$E$4:$E$67,E68,$F$4:$F$67,F68,$G$4:$G$67,G68,$H$4:$H$67,H68,$B$4:$B$67,"SALIDA"),SUMIFS($I$4:$I$67,$C$4:$C$67,C68,$D$4:$D$67,D68,$E$4:$E$67,E68,$G$4:$G$67,G68,$H$4:$H$67,H68,$B$4:$B$67,"INGRESO")+SUMIFS($I$4:$I$67,$C$4:$C$67,C68,$D$4:$D$67,D68,$E$4:$E$67,E68,$G$4:$G$67,G68,$H$4:$H$67,H68,$B$4:$B$67,"DE CORTE")-SUMIFS($I$4:$I$67,$C$4:$C$67,C68,$D$4:$D$67,D68,$E$4:$E$67,E68,$G$4:$G$67,G68,$H$4:$H$67,H68,$B$4:$B$67,"SALIDA"))),0)</f>
        <v>0</v>
      </c>
      <c r="M68" s="13">
        <f t="shared" si="2"/>
        <v>0</v>
      </c>
      <c r="N68" s="14"/>
      <c r="O68" s="14"/>
      <c r="P68" s="15"/>
      <c r="Q68" s="14"/>
    </row>
    <row r="69" ht="15.75" customHeight="1">
      <c r="A69" s="7"/>
      <c r="B69" s="8"/>
      <c r="C69" s="8"/>
      <c r="D69" s="8"/>
      <c r="E69" s="8"/>
      <c r="F69" s="14"/>
      <c r="G69" s="8"/>
      <c r="H69" s="8"/>
      <c r="I69" s="9"/>
      <c r="J69" s="12" t="str">
        <f t="array" ref="J69:K69">IFERROR(INDEX(PRECIOS_COMPLEMENTOS!$C$4:$F$17,MATCH(D69&amp;"_"&amp;E69,PRECIOS_COMPLEMENTOS!$H$4:$H$17,0),IF(OR(H69="S",H69="20cm"),1,IF(OR(H69="M",H69="25cm"),2,IF(OR(H69="L",H69="30cm"),3,IF(OR(H69="XL",H69="35cm"),4,0))))),0)</f>
        <v>#REF!</v>
      </c>
      <c r="K69" s="12">
        <f t="shared" si="1"/>
        <v>0</v>
      </c>
      <c r="L69" s="13">
        <f>IFERROR(IF(C69="",0,IF(D69="PRETINA",SUMIFS($I$4:$I$68,$C$4:$C$68,C69,$D$4:$D$68,D69,$E$4:$E$68,E69,$F$4:$F$68,F69,$G$4:$G$68,G69,$H$4:$H$68,H69,$B$4:$B$68,"INGRESO")+SUMIFS($I$4:$I$68,$C$4:$C$68,C69,$D$4:$D$68,D69,$E$4:$E$68,E69,$F$4:$F$68,F69,$G$4:$G$68,G69,$H$4:$H$68,H69,$B$4:$B$68,"DE CORTE")-SUMIFS($I$4:$I$68,$C$4:$C$68,C69,$D$4:$D$68,D69,$E$4:$E$68,E69,$F$4:$F$68,F69,$G$4:$G$68,G69,$H$4:$H$68,H69,$B$4:$B$68,"SALIDA"),SUMIFS($I$4:$I$68,$C$4:$C$68,C69,$D$4:$D$68,D69,$E$4:$E$68,E69,$G$4:$G$68,G69,$H$4:$H$68,H69,$B$4:$B$68,"INGRESO")+SUMIFS($I$4:$I$68,$C$4:$C$68,C69,$D$4:$D$68,D69,$E$4:$E$68,E69,$G$4:$G$68,G69,$H$4:$H$68,H69,$B$4:$B$68,"DE CORTE")-SUMIFS($I$4:$I$68,$C$4:$C$68,C69,$D$4:$D$68,D69,$E$4:$E$68,E69,$G$4:$G$68,G69,$H$4:$H$68,H69,$B$4:$B$68,"SALIDA"))),0)</f>
        <v>0</v>
      </c>
      <c r="M69" s="13">
        <f t="shared" si="2"/>
        <v>0</v>
      </c>
      <c r="N69" s="14"/>
      <c r="O69" s="14"/>
      <c r="P69" s="15"/>
      <c r="Q69" s="14"/>
    </row>
    <row r="70" ht="15.75" customHeight="1">
      <c r="A70" s="7"/>
      <c r="B70" s="8"/>
      <c r="C70" s="8"/>
      <c r="D70" s="8"/>
      <c r="E70" s="8"/>
      <c r="F70" s="14"/>
      <c r="G70" s="8"/>
      <c r="H70" s="8"/>
      <c r="I70" s="9"/>
      <c r="J70" s="12" t="str">
        <f t="array" ref="J70:K70">IFERROR(INDEX(PRECIOS_COMPLEMENTOS!$C$4:$F$17,MATCH(D70&amp;"_"&amp;E70,PRECIOS_COMPLEMENTOS!$H$4:$H$17,0),IF(OR(H70="S",H70="20cm"),1,IF(OR(H70="M",H70="25cm"),2,IF(OR(H70="L",H70="30cm"),3,IF(OR(H70="XL",H70="35cm"),4,0))))),0)</f>
        <v>#REF!</v>
      </c>
      <c r="K70" s="12">
        <f t="shared" si="1"/>
        <v>0</v>
      </c>
      <c r="L70" s="13">
        <f>IFERROR(IF(C70="",0,IF(D70="PRETINA",SUMIFS($I$4:$I$69,$C$4:$C$69,C70,$D$4:$D$69,D70,$E$4:$E$69,E70,$F$4:$F$69,F70,$G$4:$G$69,G70,$H$4:$H$69,H70,$B$4:$B$69,"INGRESO")+SUMIFS($I$4:$I$69,$C$4:$C$69,C70,$D$4:$D$69,D70,$E$4:$E$69,E70,$F$4:$F$69,F70,$G$4:$G$69,G70,$H$4:$H$69,H70,$B$4:$B$69,"DE CORTE")-SUMIFS($I$4:$I$69,$C$4:$C$69,C70,$D$4:$D$69,D70,$E$4:$E$69,E70,$F$4:$F$69,F70,$G$4:$G$69,G70,$H$4:$H$69,H70,$B$4:$B$69,"SALIDA"),SUMIFS($I$4:$I$69,$C$4:$C$69,C70,$D$4:$D$69,D70,$E$4:$E$69,E70,$G$4:$G$69,G70,$H$4:$H$69,H70,$B$4:$B$69,"INGRESO")+SUMIFS($I$4:$I$69,$C$4:$C$69,C70,$D$4:$D$69,D70,$E$4:$E$69,E70,$G$4:$G$69,G70,$H$4:$H$69,H70,$B$4:$B$69,"DE CORTE")-SUMIFS($I$4:$I$69,$C$4:$C$69,C70,$D$4:$D$69,D70,$E$4:$E$69,E70,$G$4:$G$69,G70,$H$4:$H$69,H70,$B$4:$B$69,"SALIDA"))),0)</f>
        <v>0</v>
      </c>
      <c r="M70" s="13">
        <f t="shared" si="2"/>
        <v>0</v>
      </c>
      <c r="N70" s="14"/>
      <c r="O70" s="14"/>
      <c r="P70" s="15"/>
      <c r="Q70" s="14"/>
    </row>
    <row r="71" ht="15.75" customHeight="1">
      <c r="A71" s="7"/>
      <c r="B71" s="8"/>
      <c r="C71" s="8"/>
      <c r="D71" s="8"/>
      <c r="E71" s="8"/>
      <c r="F71" s="14"/>
      <c r="G71" s="8"/>
      <c r="H71" s="8"/>
      <c r="I71" s="9"/>
      <c r="J71" s="12" t="str">
        <f t="array" ref="J71:K71">IFERROR(INDEX(PRECIOS_COMPLEMENTOS!$C$4:$F$17,MATCH(D71&amp;"_"&amp;E71,PRECIOS_COMPLEMENTOS!$H$4:$H$17,0),IF(OR(H71="S",H71="20cm"),1,IF(OR(H71="M",H71="25cm"),2,IF(OR(H71="L",H71="30cm"),3,IF(OR(H71="XL",H71="35cm"),4,0))))),0)</f>
        <v>#REF!</v>
      </c>
      <c r="K71" s="12">
        <f t="shared" si="1"/>
        <v>0</v>
      </c>
      <c r="L71" s="13">
        <f>IFERROR(IF(C71="",0,IF(D71="PRETINA",SUMIFS($I$4:$I$70,$C$4:$C$70,C71,$D$4:$D$70,D71,$E$4:$E$70,E71,$F$4:$F$70,F71,$G$4:$G$70,G71,$H$4:$H$70,H71,$B$4:$B$70,"INGRESO")+SUMIFS($I$4:$I$70,$C$4:$C$70,C71,$D$4:$D$70,D71,$E$4:$E$70,E71,$F$4:$F$70,F71,$G$4:$G$70,G71,$H$4:$H$70,H71,$B$4:$B$70,"DE CORTE")-SUMIFS($I$4:$I$70,$C$4:$C$70,C71,$D$4:$D$70,D71,$E$4:$E$70,E71,$F$4:$F$70,F71,$G$4:$G$70,G71,$H$4:$H$70,H71,$B$4:$B$70,"SALIDA"),SUMIFS($I$4:$I$70,$C$4:$C$70,C71,$D$4:$D$70,D71,$E$4:$E$70,E71,$G$4:$G$70,G71,$H$4:$H$70,H71,$B$4:$B$70,"INGRESO")+SUMIFS($I$4:$I$70,$C$4:$C$70,C71,$D$4:$D$70,D71,$E$4:$E$70,E71,$G$4:$G$70,G71,$H$4:$H$70,H71,$B$4:$B$70,"DE CORTE")-SUMIFS($I$4:$I$70,$C$4:$C$70,C71,$D$4:$D$70,D71,$E$4:$E$70,E71,$G$4:$G$70,G71,$H$4:$H$70,H71,$B$4:$B$70,"SALIDA"))),0)</f>
        <v>0</v>
      </c>
      <c r="M71" s="13">
        <f t="shared" si="2"/>
        <v>0</v>
      </c>
      <c r="N71" s="14"/>
      <c r="O71" s="14"/>
      <c r="P71" s="15"/>
      <c r="Q71" s="14"/>
    </row>
    <row r="72" ht="15.75" customHeight="1">
      <c r="A72" s="7"/>
      <c r="B72" s="8"/>
      <c r="C72" s="8"/>
      <c r="D72" s="8"/>
      <c r="E72" s="8"/>
      <c r="F72" s="14"/>
      <c r="G72" s="8"/>
      <c r="H72" s="8"/>
      <c r="I72" s="9"/>
      <c r="J72" s="12" t="str">
        <f t="array" ref="J72:K72">IFERROR(INDEX(PRECIOS_COMPLEMENTOS!$C$4:$F$17,MATCH(D72&amp;"_"&amp;E72,PRECIOS_COMPLEMENTOS!$H$4:$H$17,0),IF(OR(H72="S",H72="20cm"),1,IF(OR(H72="M",H72="25cm"),2,IF(OR(H72="L",H72="30cm"),3,IF(OR(H72="XL",H72="35cm"),4,0))))),0)</f>
        <v>#REF!</v>
      </c>
      <c r="K72" s="12">
        <f t="shared" si="1"/>
        <v>0</v>
      </c>
      <c r="L72" s="13">
        <f>IFERROR(IF(C72="",0,IF(D72="PRETINA",SUMIFS($I$4:$I$71,$C$4:$C$71,C72,$D$4:$D$71,D72,$E$4:$E$71,E72,$F$4:$F$71,F72,$G$4:$G$71,G72,$H$4:$H$71,H72,$B$4:$B$71,"INGRESO")+SUMIFS($I$4:$I$71,$C$4:$C$71,C72,$D$4:$D$71,D72,$E$4:$E$71,E72,$F$4:$F$71,F72,$G$4:$G$71,G72,$H$4:$H$71,H72,$B$4:$B$71,"DE CORTE")-SUMIFS($I$4:$I$71,$C$4:$C$71,C72,$D$4:$D$71,D72,$E$4:$E$71,E72,$F$4:$F$71,F72,$G$4:$G$71,G72,$H$4:$H$71,H72,$B$4:$B$71,"SALIDA"),SUMIFS($I$4:$I$71,$C$4:$C$71,C72,$D$4:$D$71,D72,$E$4:$E$71,E72,$G$4:$G$71,G72,$H$4:$H$71,H72,$B$4:$B$71,"INGRESO")+SUMIFS($I$4:$I$71,$C$4:$C$71,C72,$D$4:$D$71,D72,$E$4:$E$71,E72,$G$4:$G$71,G72,$H$4:$H$71,H72,$B$4:$B$71,"DE CORTE")-SUMIFS($I$4:$I$71,$C$4:$C$71,C72,$D$4:$D$71,D72,$E$4:$E$71,E72,$G$4:$G$71,G72,$H$4:$H$71,H72,$B$4:$B$71,"SALIDA"))),0)</f>
        <v>0</v>
      </c>
      <c r="M72" s="13">
        <f t="shared" si="2"/>
        <v>0</v>
      </c>
      <c r="N72" s="14"/>
      <c r="O72" s="14"/>
      <c r="P72" s="15"/>
      <c r="Q72" s="14"/>
    </row>
    <row r="73" ht="15.75" customHeight="1">
      <c r="A73" s="7"/>
      <c r="B73" s="8"/>
      <c r="C73" s="8"/>
      <c r="D73" s="8"/>
      <c r="E73" s="8"/>
      <c r="F73" s="14"/>
      <c r="G73" s="8"/>
      <c r="H73" s="8"/>
      <c r="I73" s="9"/>
      <c r="J73" s="12" t="str">
        <f t="array" ref="J73:K73">IFERROR(INDEX(PRECIOS_COMPLEMENTOS!$C$4:$F$17,MATCH(D73&amp;"_"&amp;E73,PRECIOS_COMPLEMENTOS!$H$4:$H$17,0),IF(OR(H73="S",H73="20cm"),1,IF(OR(H73="M",H73="25cm"),2,IF(OR(H73="L",H73="30cm"),3,IF(OR(H73="XL",H73="35cm"),4,0))))),0)</f>
        <v>#REF!</v>
      </c>
      <c r="K73" s="12">
        <f t="shared" si="1"/>
        <v>0</v>
      </c>
      <c r="L73" s="13">
        <f>IFERROR(IF(C73="",0,IF(D73="PRETINA",SUMIFS($I$4:$I$72,$C$4:$C$72,C73,$D$4:$D$72,D73,$E$4:$E$72,E73,$F$4:$F$72,F73,$G$4:$G$72,G73,$H$4:$H$72,H73,$B$4:$B$72,"INGRESO")+SUMIFS($I$4:$I$72,$C$4:$C$72,C73,$D$4:$D$72,D73,$E$4:$E$72,E73,$F$4:$F$72,F73,$G$4:$G$72,G73,$H$4:$H$72,H73,$B$4:$B$72,"DE CORTE")-SUMIFS($I$4:$I$72,$C$4:$C$72,C73,$D$4:$D$72,D73,$E$4:$E$72,E73,$F$4:$F$72,F73,$G$4:$G$72,G73,$H$4:$H$72,H73,$B$4:$B$72,"SALIDA"),SUMIFS($I$4:$I$72,$C$4:$C$72,C73,$D$4:$D$72,D73,$E$4:$E$72,E73,$G$4:$G$72,G73,$H$4:$H$72,H73,$B$4:$B$72,"INGRESO")+SUMIFS($I$4:$I$72,$C$4:$C$72,C73,$D$4:$D$72,D73,$E$4:$E$72,E73,$G$4:$G$72,G73,$H$4:$H$72,H73,$B$4:$B$72,"DE CORTE")-SUMIFS($I$4:$I$72,$C$4:$C$72,C73,$D$4:$D$72,D73,$E$4:$E$72,E73,$G$4:$G$72,G73,$H$4:$H$72,H73,$B$4:$B$72,"SALIDA"))),0)</f>
        <v>0</v>
      </c>
      <c r="M73" s="13">
        <f t="shared" si="2"/>
        <v>0</v>
      </c>
      <c r="N73" s="14"/>
      <c r="O73" s="14"/>
      <c r="P73" s="15"/>
      <c r="Q73" s="14"/>
    </row>
    <row r="74" ht="15.75" customHeight="1">
      <c r="A74" s="7"/>
      <c r="B74" s="8"/>
      <c r="C74" s="8"/>
      <c r="D74" s="8"/>
      <c r="E74" s="8"/>
      <c r="F74" s="14"/>
      <c r="G74" s="8"/>
      <c r="H74" s="8"/>
      <c r="I74" s="9"/>
      <c r="J74" s="12" t="str">
        <f t="array" ref="J74:K74">IFERROR(INDEX(PRECIOS_COMPLEMENTOS!$C$4:$F$17,MATCH(D74&amp;"_"&amp;E74,PRECIOS_COMPLEMENTOS!$H$4:$H$17,0),IF(OR(H74="S",H74="20cm"),1,IF(OR(H74="M",H74="25cm"),2,IF(OR(H74="L",H74="30cm"),3,IF(OR(H74="XL",H74="35cm"),4,0))))),0)</f>
        <v>#REF!</v>
      </c>
      <c r="K74" s="12">
        <f t="shared" si="1"/>
        <v>0</v>
      </c>
      <c r="L74" s="13">
        <f>IFERROR(IF(C74="",0,IF(D74="PRETINA",SUMIFS($I$4:$I$73,$C$4:$C$73,C74,$D$4:$D$73,D74,$E$4:$E$73,E74,$F$4:$F$73,F74,$G$4:$G$73,G74,$H$4:$H$73,H74,$B$4:$B$73,"INGRESO")+SUMIFS($I$4:$I$73,$C$4:$C$73,C74,$D$4:$D$73,D74,$E$4:$E$73,E74,$F$4:$F$73,F74,$G$4:$G$73,G74,$H$4:$H$73,H74,$B$4:$B$73,"DE CORTE")-SUMIFS($I$4:$I$73,$C$4:$C$73,C74,$D$4:$D$73,D74,$E$4:$E$73,E74,$F$4:$F$73,F74,$G$4:$G$73,G74,$H$4:$H$73,H74,$B$4:$B$73,"SALIDA"),SUMIFS($I$4:$I$73,$C$4:$C$73,C74,$D$4:$D$73,D74,$E$4:$E$73,E74,$G$4:$G$73,G74,$H$4:$H$73,H74,$B$4:$B$73,"INGRESO")+SUMIFS($I$4:$I$73,$C$4:$C$73,C74,$D$4:$D$73,D74,$E$4:$E$73,E74,$G$4:$G$73,G74,$H$4:$H$73,H74,$B$4:$B$73,"DE CORTE")-SUMIFS($I$4:$I$73,$C$4:$C$73,C74,$D$4:$D$73,D74,$E$4:$E$73,E74,$G$4:$G$73,G74,$H$4:$H$73,H74,$B$4:$B$73,"SALIDA"))),0)</f>
        <v>0</v>
      </c>
      <c r="M74" s="13">
        <f t="shared" si="2"/>
        <v>0</v>
      </c>
      <c r="N74" s="14"/>
      <c r="O74" s="14"/>
      <c r="P74" s="15"/>
      <c r="Q74" s="14"/>
    </row>
    <row r="75" ht="15.75" customHeight="1">
      <c r="A75" s="7"/>
      <c r="B75" s="8"/>
      <c r="C75" s="8"/>
      <c r="D75" s="8"/>
      <c r="E75" s="8"/>
      <c r="F75" s="14"/>
      <c r="G75" s="8"/>
      <c r="H75" s="8"/>
      <c r="I75" s="9"/>
      <c r="J75" s="12" t="str">
        <f t="array" ref="J75:K75">IFERROR(INDEX(PRECIOS_COMPLEMENTOS!$C$4:$F$17,MATCH(D75&amp;"_"&amp;E75,PRECIOS_COMPLEMENTOS!$H$4:$H$17,0),IF(OR(H75="S",H75="20cm"),1,IF(OR(H75="M",H75="25cm"),2,IF(OR(H75="L",H75="30cm"),3,IF(OR(H75="XL",H75="35cm"),4,0))))),0)</f>
        <v>#REF!</v>
      </c>
      <c r="K75" s="12">
        <f t="shared" si="1"/>
        <v>0</v>
      </c>
      <c r="L75" s="13">
        <f>IFERROR(IF(C75="",0,IF(D75="PRETINA",SUMIFS($I$4:$I$74,$C$4:$C$74,C75,$D$4:$D$74,D75,$E$4:$E$74,E75,$F$4:$F$74,F75,$G$4:$G$74,G75,$H$4:$H$74,H75,$B$4:$B$74,"INGRESO")+SUMIFS($I$4:$I$74,$C$4:$C$74,C75,$D$4:$D$74,D75,$E$4:$E$74,E75,$F$4:$F$74,F75,$G$4:$G$74,G75,$H$4:$H$74,H75,$B$4:$B$74,"DE CORTE")-SUMIFS($I$4:$I$74,$C$4:$C$74,C75,$D$4:$D$74,D75,$E$4:$E$74,E75,$F$4:$F$74,F75,$G$4:$G$74,G75,$H$4:$H$74,H75,$B$4:$B$74,"SALIDA"),SUMIFS($I$4:$I$74,$C$4:$C$74,C75,$D$4:$D$74,D75,$E$4:$E$74,E75,$G$4:$G$74,G75,$H$4:$H$74,H75,$B$4:$B$74,"INGRESO")+SUMIFS($I$4:$I$74,$C$4:$C$74,C75,$D$4:$D$74,D75,$E$4:$E$74,E75,$G$4:$G$74,G75,$H$4:$H$74,H75,$B$4:$B$74,"DE CORTE")-SUMIFS($I$4:$I$74,$C$4:$C$74,C75,$D$4:$D$74,D75,$E$4:$E$74,E75,$G$4:$G$74,G75,$H$4:$H$74,H75,$B$4:$B$74,"SALIDA"))),0)</f>
        <v>0</v>
      </c>
      <c r="M75" s="13">
        <f t="shared" si="2"/>
        <v>0</v>
      </c>
      <c r="N75" s="14"/>
      <c r="O75" s="14"/>
      <c r="P75" s="15"/>
      <c r="Q75" s="14"/>
    </row>
    <row r="76" ht="15.75" customHeight="1">
      <c r="A76" s="7"/>
      <c r="B76" s="8"/>
      <c r="C76" s="8"/>
      <c r="D76" s="8"/>
      <c r="E76" s="8"/>
      <c r="F76" s="14"/>
      <c r="G76" s="8"/>
      <c r="H76" s="8"/>
      <c r="I76" s="9"/>
      <c r="J76" s="12" t="str">
        <f t="array" ref="J76:K76">IFERROR(INDEX(PRECIOS_COMPLEMENTOS!$C$4:$F$17,MATCH(D76&amp;"_"&amp;E76,PRECIOS_COMPLEMENTOS!$H$4:$H$17,0),IF(OR(H76="S",H76="20cm"),1,IF(OR(H76="M",H76="25cm"),2,IF(OR(H76="L",H76="30cm"),3,IF(OR(H76="XL",H76="35cm"),4,0))))),0)</f>
        <v>#REF!</v>
      </c>
      <c r="K76" s="12">
        <f t="shared" si="1"/>
        <v>0</v>
      </c>
      <c r="L76" s="13">
        <f>IFERROR(IF(C76="",0,IF(D76="PRETINA",SUMIFS($I$4:$I$75,$C$4:$C$75,C76,$D$4:$D$75,D76,$E$4:$E$75,E76,$F$4:$F$75,F76,$G$4:$G$75,G76,$H$4:$H$75,H76,$B$4:$B$75,"INGRESO")+SUMIFS($I$4:$I$75,$C$4:$C$75,C76,$D$4:$D$75,D76,$E$4:$E$75,E76,$F$4:$F$75,F76,$G$4:$G$75,G76,$H$4:$H$75,H76,$B$4:$B$75,"DE CORTE")-SUMIFS($I$4:$I$75,$C$4:$C$75,C76,$D$4:$D$75,D76,$E$4:$E$75,E76,$F$4:$F$75,F76,$G$4:$G$75,G76,$H$4:$H$75,H76,$B$4:$B$75,"SALIDA"),SUMIFS($I$4:$I$75,$C$4:$C$75,C76,$D$4:$D$75,D76,$E$4:$E$75,E76,$G$4:$G$75,G76,$H$4:$H$75,H76,$B$4:$B$75,"INGRESO")+SUMIFS($I$4:$I$75,$C$4:$C$75,C76,$D$4:$D$75,D76,$E$4:$E$75,E76,$G$4:$G$75,G76,$H$4:$H$75,H76,$B$4:$B$75,"DE CORTE")-SUMIFS($I$4:$I$75,$C$4:$C$75,C76,$D$4:$D$75,D76,$E$4:$E$75,E76,$G$4:$G$75,G76,$H$4:$H$75,H76,$B$4:$B$75,"SALIDA"))),0)</f>
        <v>0</v>
      </c>
      <c r="M76" s="13">
        <f t="shared" si="2"/>
        <v>0</v>
      </c>
      <c r="N76" s="14"/>
      <c r="O76" s="14"/>
      <c r="P76" s="15"/>
      <c r="Q76" s="14"/>
    </row>
    <row r="77" ht="15.75" customHeight="1">
      <c r="A77" s="7"/>
      <c r="B77" s="8"/>
      <c r="C77" s="8"/>
      <c r="D77" s="8"/>
      <c r="E77" s="8"/>
      <c r="F77" s="14"/>
      <c r="G77" s="8"/>
      <c r="H77" s="8"/>
      <c r="I77" s="9"/>
      <c r="J77" s="12" t="str">
        <f t="array" ref="J77:K77">IFERROR(INDEX(PRECIOS_COMPLEMENTOS!$C$4:$F$17,MATCH(D77&amp;"_"&amp;E77,PRECIOS_COMPLEMENTOS!$H$4:$H$17,0),IF(OR(H77="S",H77="20cm"),1,IF(OR(H77="M",H77="25cm"),2,IF(OR(H77="L",H77="30cm"),3,IF(OR(H77="XL",H77="35cm"),4,0))))),0)</f>
        <v>#REF!</v>
      </c>
      <c r="K77" s="12">
        <f t="shared" si="1"/>
        <v>0</v>
      </c>
      <c r="L77" s="13">
        <f>IFERROR(IF(C77="",0,IF(D77="PRETINA",SUMIFS($I$4:$I$76,$C$4:$C$76,C77,$D$4:$D$76,D77,$E$4:$E$76,E77,$F$4:$F$76,F77,$G$4:$G$76,G77,$H$4:$H$76,H77,$B$4:$B$76,"INGRESO")+SUMIFS($I$4:$I$76,$C$4:$C$76,C77,$D$4:$D$76,D77,$E$4:$E$76,E77,$F$4:$F$76,F77,$G$4:$G$76,G77,$H$4:$H$76,H77,$B$4:$B$76,"DE CORTE")-SUMIFS($I$4:$I$76,$C$4:$C$76,C77,$D$4:$D$76,D77,$E$4:$E$76,E77,$F$4:$F$76,F77,$G$4:$G$76,G77,$H$4:$H$76,H77,$B$4:$B$76,"SALIDA"),SUMIFS($I$4:$I$76,$C$4:$C$76,C77,$D$4:$D$76,D77,$E$4:$E$76,E77,$G$4:$G$76,G77,$H$4:$H$76,H77,$B$4:$B$76,"INGRESO")+SUMIFS($I$4:$I$76,$C$4:$C$76,C77,$D$4:$D$76,D77,$E$4:$E$76,E77,$G$4:$G$76,G77,$H$4:$H$76,H77,$B$4:$B$76,"DE CORTE")-SUMIFS($I$4:$I$76,$C$4:$C$76,C77,$D$4:$D$76,D77,$E$4:$E$76,E77,$G$4:$G$76,G77,$H$4:$H$76,H77,$B$4:$B$76,"SALIDA"))),0)</f>
        <v>0</v>
      </c>
      <c r="M77" s="13">
        <f t="shared" si="2"/>
        <v>0</v>
      </c>
      <c r="N77" s="14"/>
      <c r="O77" s="14"/>
      <c r="P77" s="15"/>
      <c r="Q77" s="14"/>
    </row>
    <row r="78" ht="15.75" customHeight="1">
      <c r="A78" s="7"/>
      <c r="B78" s="8"/>
      <c r="C78" s="8"/>
      <c r="D78" s="8"/>
      <c r="E78" s="8"/>
      <c r="F78" s="14"/>
      <c r="G78" s="8"/>
      <c r="H78" s="8"/>
      <c r="I78" s="9"/>
      <c r="J78" s="12" t="str">
        <f t="array" ref="J78:K78">IFERROR(INDEX(PRECIOS_COMPLEMENTOS!$C$4:$F$17,MATCH(D78&amp;"_"&amp;E78,PRECIOS_COMPLEMENTOS!$H$4:$H$17,0),IF(OR(H78="S",H78="20cm"),1,IF(OR(H78="M",H78="25cm"),2,IF(OR(H78="L",H78="30cm"),3,IF(OR(H78="XL",H78="35cm"),4,0))))),0)</f>
        <v>#REF!</v>
      </c>
      <c r="K78" s="12">
        <f t="shared" si="1"/>
        <v>0</v>
      </c>
      <c r="L78" s="13">
        <f>IFERROR(IF(C78="",0,IF(D78="PRETINA",SUMIFS($I$4:$I$77,$C$4:$C$77,C78,$D$4:$D$77,D78,$E$4:$E$77,E78,$F$4:$F$77,F78,$G$4:$G$77,G78,$H$4:$H$77,H78,$B$4:$B$77,"INGRESO")+SUMIFS($I$4:$I$77,$C$4:$C$77,C78,$D$4:$D$77,D78,$E$4:$E$77,E78,$F$4:$F$77,F78,$G$4:$G$77,G78,$H$4:$H$77,H78,$B$4:$B$77,"DE CORTE")-SUMIFS($I$4:$I$77,$C$4:$C$77,C78,$D$4:$D$77,D78,$E$4:$E$77,E78,$F$4:$F$77,F78,$G$4:$G$77,G78,$H$4:$H$77,H78,$B$4:$B$77,"SALIDA"),SUMIFS($I$4:$I$77,$C$4:$C$77,C78,$D$4:$D$77,D78,$E$4:$E$77,E78,$G$4:$G$77,G78,$H$4:$H$77,H78,$B$4:$B$77,"INGRESO")+SUMIFS($I$4:$I$77,$C$4:$C$77,C78,$D$4:$D$77,D78,$E$4:$E$77,E78,$G$4:$G$77,G78,$H$4:$H$77,H78,$B$4:$B$77,"DE CORTE")-SUMIFS($I$4:$I$77,$C$4:$C$77,C78,$D$4:$D$77,D78,$E$4:$E$77,E78,$G$4:$G$77,G78,$H$4:$H$77,H78,$B$4:$B$77,"SALIDA"))),0)</f>
        <v>0</v>
      </c>
      <c r="M78" s="13">
        <f t="shared" si="2"/>
        <v>0</v>
      </c>
      <c r="N78" s="14"/>
      <c r="O78" s="14"/>
      <c r="P78" s="15"/>
      <c r="Q78" s="14"/>
    </row>
    <row r="79" ht="15.75" customHeight="1">
      <c r="A79" s="7"/>
      <c r="B79" s="8"/>
      <c r="C79" s="8"/>
      <c r="D79" s="8"/>
      <c r="E79" s="8"/>
      <c r="F79" s="14"/>
      <c r="G79" s="8"/>
      <c r="H79" s="8"/>
      <c r="I79" s="9"/>
      <c r="J79" s="12" t="str">
        <f t="array" ref="J79:K79">IFERROR(INDEX(PRECIOS_COMPLEMENTOS!$C$4:$F$17,MATCH(D79&amp;"_"&amp;E79,PRECIOS_COMPLEMENTOS!$H$4:$H$17,0),IF(OR(H79="S",H79="20cm"),1,IF(OR(H79="M",H79="25cm"),2,IF(OR(H79="L",H79="30cm"),3,IF(OR(H79="XL",H79="35cm"),4,0))))),0)</f>
        <v>#REF!</v>
      </c>
      <c r="K79" s="12">
        <f t="shared" si="1"/>
        <v>0</v>
      </c>
      <c r="L79" s="13">
        <f>IFERROR(IF(C79="",0,IF(D79="PRETINA",SUMIFS($I$4:$I$78,$C$4:$C$78,C79,$D$4:$D$78,D79,$E$4:$E$78,E79,$F$4:$F$78,F79,$G$4:$G$78,G79,$H$4:$H$78,H79,$B$4:$B$78,"INGRESO")+SUMIFS($I$4:$I$78,$C$4:$C$78,C79,$D$4:$D$78,D79,$E$4:$E$78,E79,$F$4:$F$78,F79,$G$4:$G$78,G79,$H$4:$H$78,H79,$B$4:$B$78,"DE CORTE")-SUMIFS($I$4:$I$78,$C$4:$C$78,C79,$D$4:$D$78,D79,$E$4:$E$78,E79,$F$4:$F$78,F79,$G$4:$G$78,G79,$H$4:$H$78,H79,$B$4:$B$78,"SALIDA"),SUMIFS($I$4:$I$78,$C$4:$C$78,C79,$D$4:$D$78,D79,$E$4:$E$78,E79,$G$4:$G$78,G79,$H$4:$H$78,H79,$B$4:$B$78,"INGRESO")+SUMIFS($I$4:$I$78,$C$4:$C$78,C79,$D$4:$D$78,D79,$E$4:$E$78,E79,$G$4:$G$78,G79,$H$4:$H$78,H79,$B$4:$B$78,"DE CORTE")-SUMIFS($I$4:$I$78,$C$4:$C$78,C79,$D$4:$D$78,D79,$E$4:$E$78,E79,$G$4:$G$78,G79,$H$4:$H$78,H79,$B$4:$B$78,"SALIDA"))),0)</f>
        <v>0</v>
      </c>
      <c r="M79" s="13">
        <f t="shared" si="2"/>
        <v>0</v>
      </c>
      <c r="N79" s="14"/>
      <c r="O79" s="14"/>
      <c r="P79" s="15"/>
      <c r="Q79" s="14"/>
    </row>
    <row r="80" ht="15.75" customHeight="1">
      <c r="A80" s="7"/>
      <c r="B80" s="8"/>
      <c r="C80" s="8"/>
      <c r="D80" s="8"/>
      <c r="E80" s="8"/>
      <c r="F80" s="14"/>
      <c r="G80" s="8"/>
      <c r="H80" s="8"/>
      <c r="I80" s="9"/>
      <c r="J80" s="12" t="str">
        <f t="array" ref="J80:K80">IFERROR(INDEX(PRECIOS_COMPLEMENTOS!$C$4:$F$17,MATCH(D80&amp;"_"&amp;E80,PRECIOS_COMPLEMENTOS!$H$4:$H$17,0),IF(OR(H80="S",H80="20cm"),1,IF(OR(H80="M",H80="25cm"),2,IF(OR(H80="L",H80="30cm"),3,IF(OR(H80="XL",H80="35cm"),4,0))))),0)</f>
        <v>#REF!</v>
      </c>
      <c r="K80" s="12">
        <f t="shared" si="1"/>
        <v>0</v>
      </c>
      <c r="L80" s="13">
        <f>IFERROR(IF(C80="",0,IF(D80="PRETINA",SUMIFS($I$4:$I$79,$C$4:$C$79,C80,$D$4:$D$79,D80,$E$4:$E$79,E80,$F$4:$F$79,F80,$G$4:$G$79,G80,$H$4:$H$79,H80,$B$4:$B$79,"INGRESO")+SUMIFS($I$4:$I$79,$C$4:$C$79,C80,$D$4:$D$79,D80,$E$4:$E$79,E80,$F$4:$F$79,F80,$G$4:$G$79,G80,$H$4:$H$79,H80,$B$4:$B$79,"DE CORTE")-SUMIFS($I$4:$I$79,$C$4:$C$79,C80,$D$4:$D$79,D80,$E$4:$E$79,E80,$F$4:$F$79,F80,$G$4:$G$79,G80,$H$4:$H$79,H80,$B$4:$B$79,"SALIDA"),SUMIFS($I$4:$I$79,$C$4:$C$79,C80,$D$4:$D$79,D80,$E$4:$E$79,E80,$G$4:$G$79,G80,$H$4:$H$79,H80,$B$4:$B$79,"INGRESO")+SUMIFS($I$4:$I$79,$C$4:$C$79,C80,$D$4:$D$79,D80,$E$4:$E$79,E80,$G$4:$G$79,G80,$H$4:$H$79,H80,$B$4:$B$79,"DE CORTE")-SUMIFS($I$4:$I$79,$C$4:$C$79,C80,$D$4:$D$79,D80,$E$4:$E$79,E80,$G$4:$G$79,G80,$H$4:$H$79,H80,$B$4:$B$79,"SALIDA"))),0)</f>
        <v>0</v>
      </c>
      <c r="M80" s="13">
        <f t="shared" si="2"/>
        <v>0</v>
      </c>
      <c r="N80" s="14"/>
      <c r="O80" s="14"/>
      <c r="P80" s="15"/>
      <c r="Q80" s="14"/>
    </row>
    <row r="81" ht="15.75" customHeight="1">
      <c r="A81" s="7"/>
      <c r="B81" s="8"/>
      <c r="C81" s="8"/>
      <c r="D81" s="8"/>
      <c r="E81" s="8"/>
      <c r="F81" s="14"/>
      <c r="G81" s="8"/>
      <c r="H81" s="8"/>
      <c r="I81" s="9"/>
      <c r="J81" s="12" t="str">
        <f t="array" ref="J81:K81">IFERROR(INDEX(PRECIOS_COMPLEMENTOS!$C$4:$F$17,MATCH(D81&amp;"_"&amp;E81,PRECIOS_COMPLEMENTOS!$H$4:$H$17,0),IF(OR(H81="S",H81="20cm"),1,IF(OR(H81="M",H81="25cm"),2,IF(OR(H81="L",H81="30cm"),3,IF(OR(H81="XL",H81="35cm"),4,0))))),0)</f>
        <v>#REF!</v>
      </c>
      <c r="K81" s="12">
        <f t="shared" si="1"/>
        <v>0</v>
      </c>
      <c r="L81" s="13">
        <f>IFERROR(IF(C81="",0,IF(D81="PRETINA",SUMIFS($I$4:$I$80,$C$4:$C$80,C81,$D$4:$D$80,D81,$E$4:$E$80,E81,$F$4:$F$80,F81,$G$4:$G$80,G81,$H$4:$H$80,H81,$B$4:$B$80,"INGRESO")+SUMIFS($I$4:$I$80,$C$4:$C$80,C81,$D$4:$D$80,D81,$E$4:$E$80,E81,$F$4:$F$80,F81,$G$4:$G$80,G81,$H$4:$H$80,H81,$B$4:$B$80,"DE CORTE")-SUMIFS($I$4:$I$80,$C$4:$C$80,C81,$D$4:$D$80,D81,$E$4:$E$80,E81,$F$4:$F$80,F81,$G$4:$G$80,G81,$H$4:$H$80,H81,$B$4:$B$80,"SALIDA"),SUMIFS($I$4:$I$80,$C$4:$C$80,C81,$D$4:$D$80,D81,$E$4:$E$80,E81,$G$4:$G$80,G81,$H$4:$H$80,H81,$B$4:$B$80,"INGRESO")+SUMIFS($I$4:$I$80,$C$4:$C$80,C81,$D$4:$D$80,D81,$E$4:$E$80,E81,$G$4:$G$80,G81,$H$4:$H$80,H81,$B$4:$B$80,"DE CORTE")-SUMIFS($I$4:$I$80,$C$4:$C$80,C81,$D$4:$D$80,D81,$E$4:$E$80,E81,$G$4:$G$80,G81,$H$4:$H$80,H81,$B$4:$B$80,"SALIDA"))),0)</f>
        <v>0</v>
      </c>
      <c r="M81" s="13">
        <f t="shared" si="2"/>
        <v>0</v>
      </c>
      <c r="N81" s="14"/>
      <c r="O81" s="14"/>
      <c r="P81" s="15"/>
      <c r="Q81" s="14"/>
    </row>
    <row r="82" ht="15.75" customHeight="1">
      <c r="A82" s="7"/>
      <c r="B82" s="8"/>
      <c r="C82" s="8"/>
      <c r="D82" s="8"/>
      <c r="E82" s="8"/>
      <c r="F82" s="14"/>
      <c r="G82" s="8"/>
      <c r="H82" s="8"/>
      <c r="I82" s="9"/>
      <c r="J82" s="12" t="str">
        <f t="array" ref="J82:K82">IFERROR(INDEX(PRECIOS_COMPLEMENTOS!$C$4:$F$17,MATCH(D82&amp;"_"&amp;E82,PRECIOS_COMPLEMENTOS!$H$4:$H$17,0),IF(OR(H82="S",H82="20cm"),1,IF(OR(H82="M",H82="25cm"),2,IF(OR(H82="L",H82="30cm"),3,IF(OR(H82="XL",H82="35cm"),4,0))))),0)</f>
        <v>#REF!</v>
      </c>
      <c r="K82" s="12">
        <f t="shared" si="1"/>
        <v>0</v>
      </c>
      <c r="L82" s="13">
        <f>IFERROR(IF(C82="",0,IF(D82="PRETINA",SUMIFS($I$4:$I$81,$C$4:$C$81,C82,$D$4:$D$81,D82,$E$4:$E$81,E82,$F$4:$F$81,F82,$G$4:$G$81,G82,$H$4:$H$81,H82,$B$4:$B$81,"INGRESO")+SUMIFS($I$4:$I$81,$C$4:$C$81,C82,$D$4:$D$81,D82,$E$4:$E$81,E82,$F$4:$F$81,F82,$G$4:$G$81,G82,$H$4:$H$81,H82,$B$4:$B$81,"DE CORTE")-SUMIFS($I$4:$I$81,$C$4:$C$81,C82,$D$4:$D$81,D82,$E$4:$E$81,E82,$F$4:$F$81,F82,$G$4:$G$81,G82,$H$4:$H$81,H82,$B$4:$B$81,"SALIDA"),SUMIFS($I$4:$I$81,$C$4:$C$81,C82,$D$4:$D$81,D82,$E$4:$E$81,E82,$G$4:$G$81,G82,$H$4:$H$81,H82,$B$4:$B$81,"INGRESO")+SUMIFS($I$4:$I$81,$C$4:$C$81,C82,$D$4:$D$81,D82,$E$4:$E$81,E82,$G$4:$G$81,G82,$H$4:$H$81,H82,$B$4:$B$81,"DE CORTE")-SUMIFS($I$4:$I$81,$C$4:$C$81,C82,$D$4:$D$81,D82,$E$4:$E$81,E82,$G$4:$G$81,G82,$H$4:$H$81,H82,$B$4:$B$81,"SALIDA"))),0)</f>
        <v>0</v>
      </c>
      <c r="M82" s="13">
        <f t="shared" si="2"/>
        <v>0</v>
      </c>
      <c r="N82" s="14"/>
      <c r="O82" s="14"/>
      <c r="P82" s="15"/>
      <c r="Q82" s="14"/>
    </row>
    <row r="83" ht="15.75" customHeight="1">
      <c r="A83" s="7"/>
      <c r="B83" s="8"/>
      <c r="C83" s="8"/>
      <c r="D83" s="8"/>
      <c r="E83" s="8"/>
      <c r="F83" s="14"/>
      <c r="G83" s="8"/>
      <c r="H83" s="8"/>
      <c r="I83" s="9"/>
      <c r="J83" s="12" t="str">
        <f t="array" ref="J83:K83">IFERROR(INDEX(PRECIOS_COMPLEMENTOS!$C$4:$F$17,MATCH(D83&amp;"_"&amp;E83,PRECIOS_COMPLEMENTOS!$H$4:$H$17,0),IF(OR(H83="S",H83="20cm"),1,IF(OR(H83="M",H83="25cm"),2,IF(OR(H83="L",H83="30cm"),3,IF(OR(H83="XL",H83="35cm"),4,0))))),0)</f>
        <v>#REF!</v>
      </c>
      <c r="K83" s="12">
        <f t="shared" si="1"/>
        <v>0</v>
      </c>
      <c r="L83" s="13">
        <f>IFERROR(IF(C83="",0,IF(D83="PRETINA",SUMIFS($I$4:$I$82,$C$4:$C$82,C83,$D$4:$D$82,D83,$E$4:$E$82,E83,$F$4:$F$82,F83,$G$4:$G$82,G83,$H$4:$H$82,H83,$B$4:$B$82,"INGRESO")+SUMIFS($I$4:$I$82,$C$4:$C$82,C83,$D$4:$D$82,D83,$E$4:$E$82,E83,$F$4:$F$82,F83,$G$4:$G$82,G83,$H$4:$H$82,H83,$B$4:$B$82,"DE CORTE")-SUMIFS($I$4:$I$82,$C$4:$C$82,C83,$D$4:$D$82,D83,$E$4:$E$82,E83,$F$4:$F$82,F83,$G$4:$G$82,G83,$H$4:$H$82,H83,$B$4:$B$82,"SALIDA"),SUMIFS($I$4:$I$82,$C$4:$C$82,C83,$D$4:$D$82,D83,$E$4:$E$82,E83,$G$4:$G$82,G83,$H$4:$H$82,H83,$B$4:$B$82,"INGRESO")+SUMIFS($I$4:$I$82,$C$4:$C$82,C83,$D$4:$D$82,D83,$E$4:$E$82,E83,$G$4:$G$82,G83,$H$4:$H$82,H83,$B$4:$B$82,"DE CORTE")-SUMIFS($I$4:$I$82,$C$4:$C$82,C83,$D$4:$D$82,D83,$E$4:$E$82,E83,$G$4:$G$82,G83,$H$4:$H$82,H83,$B$4:$B$82,"SALIDA"))),0)</f>
        <v>0</v>
      </c>
      <c r="M83" s="13">
        <f t="shared" si="2"/>
        <v>0</v>
      </c>
      <c r="N83" s="14"/>
      <c r="O83" s="14"/>
      <c r="P83" s="15"/>
      <c r="Q83" s="14"/>
    </row>
    <row r="84" ht="15.75" customHeight="1">
      <c r="A84" s="7"/>
      <c r="B84" s="8"/>
      <c r="C84" s="8"/>
      <c r="D84" s="8"/>
      <c r="E84" s="8"/>
      <c r="F84" s="14"/>
      <c r="G84" s="8"/>
      <c r="H84" s="8"/>
      <c r="I84" s="9"/>
      <c r="J84" s="12" t="str">
        <f t="array" ref="J84:K84">IFERROR(INDEX(PRECIOS_COMPLEMENTOS!$C$4:$F$17,MATCH(D84&amp;"_"&amp;E84,PRECIOS_COMPLEMENTOS!$H$4:$H$17,0),IF(OR(H84="S",H84="20cm"),1,IF(OR(H84="M",H84="25cm"),2,IF(OR(H84="L",H84="30cm"),3,IF(OR(H84="XL",H84="35cm"),4,0))))),0)</f>
        <v>#REF!</v>
      </c>
      <c r="K84" s="12">
        <f t="shared" si="1"/>
        <v>0</v>
      </c>
      <c r="L84" s="13">
        <f>IFERROR(IF(C84="",0,IF(D84="PRETINA",SUMIFS($I$4:$I$83,$C$4:$C$83,C84,$D$4:$D$83,D84,$E$4:$E$83,E84,$F$4:$F$83,F84,$G$4:$G$83,G84,$H$4:$H$83,H84,$B$4:$B$83,"INGRESO")+SUMIFS($I$4:$I$83,$C$4:$C$83,C84,$D$4:$D$83,D84,$E$4:$E$83,E84,$F$4:$F$83,F84,$G$4:$G$83,G84,$H$4:$H$83,H84,$B$4:$B$83,"DE CORTE")-SUMIFS($I$4:$I$83,$C$4:$C$83,C84,$D$4:$D$83,D84,$E$4:$E$83,E84,$F$4:$F$83,F84,$G$4:$G$83,G84,$H$4:$H$83,H84,$B$4:$B$83,"SALIDA"),SUMIFS($I$4:$I$83,$C$4:$C$83,C84,$D$4:$D$83,D84,$E$4:$E$83,E84,$G$4:$G$83,G84,$H$4:$H$83,H84,$B$4:$B$83,"INGRESO")+SUMIFS($I$4:$I$83,$C$4:$C$83,C84,$D$4:$D$83,D84,$E$4:$E$83,E84,$G$4:$G$83,G84,$H$4:$H$83,H84,$B$4:$B$83,"DE CORTE")-SUMIFS($I$4:$I$83,$C$4:$C$83,C84,$D$4:$D$83,D84,$E$4:$E$83,E84,$G$4:$G$83,G84,$H$4:$H$83,H84,$B$4:$B$83,"SALIDA"))),0)</f>
        <v>0</v>
      </c>
      <c r="M84" s="13">
        <f t="shared" si="2"/>
        <v>0</v>
      </c>
      <c r="N84" s="14"/>
      <c r="O84" s="14"/>
      <c r="P84" s="15"/>
      <c r="Q84" s="14"/>
    </row>
    <row r="85" ht="15.75" customHeight="1">
      <c r="A85" s="7"/>
      <c r="B85" s="8"/>
      <c r="C85" s="8"/>
      <c r="D85" s="8"/>
      <c r="E85" s="8"/>
      <c r="F85" s="14"/>
      <c r="G85" s="8"/>
      <c r="H85" s="8"/>
      <c r="I85" s="9"/>
      <c r="J85" s="12" t="str">
        <f t="array" ref="J85:K85">IFERROR(INDEX(PRECIOS_COMPLEMENTOS!$C$4:$F$17,MATCH(D85&amp;"_"&amp;E85,PRECIOS_COMPLEMENTOS!$H$4:$H$17,0),IF(OR(H85="S",H85="20cm"),1,IF(OR(H85="M",H85="25cm"),2,IF(OR(H85="L",H85="30cm"),3,IF(OR(H85="XL",H85="35cm"),4,0))))),0)</f>
        <v>#REF!</v>
      </c>
      <c r="K85" s="12">
        <f t="shared" si="1"/>
        <v>0</v>
      </c>
      <c r="L85" s="13">
        <f>IFERROR(IF(C85="",0,IF(D85="PRETINA",SUMIFS($I$4:$I$84,$C$4:$C$84,C85,$D$4:$D$84,D85,$E$4:$E$84,E85,$F$4:$F$84,F85,$G$4:$G$84,G85,$H$4:$H$84,H85,$B$4:$B$84,"INGRESO")+SUMIFS($I$4:$I$84,$C$4:$C$84,C85,$D$4:$D$84,D85,$E$4:$E$84,E85,$F$4:$F$84,F85,$G$4:$G$84,G85,$H$4:$H$84,H85,$B$4:$B$84,"DE CORTE")-SUMIFS($I$4:$I$84,$C$4:$C$84,C85,$D$4:$D$84,D85,$E$4:$E$84,E85,$F$4:$F$84,F85,$G$4:$G$84,G85,$H$4:$H$84,H85,$B$4:$B$84,"SALIDA"),SUMIFS($I$4:$I$84,$C$4:$C$84,C85,$D$4:$D$84,D85,$E$4:$E$84,E85,$G$4:$G$84,G85,$H$4:$H$84,H85,$B$4:$B$84,"INGRESO")+SUMIFS($I$4:$I$84,$C$4:$C$84,C85,$D$4:$D$84,D85,$E$4:$E$84,E85,$G$4:$G$84,G85,$H$4:$H$84,H85,$B$4:$B$84,"DE CORTE")-SUMIFS($I$4:$I$84,$C$4:$C$84,C85,$D$4:$D$84,D85,$E$4:$E$84,E85,$G$4:$G$84,G85,$H$4:$H$84,H85,$B$4:$B$84,"SALIDA"))),0)</f>
        <v>0</v>
      </c>
      <c r="M85" s="13">
        <f t="shared" si="2"/>
        <v>0</v>
      </c>
      <c r="N85" s="14"/>
      <c r="O85" s="14"/>
      <c r="P85" s="15"/>
      <c r="Q85" s="14"/>
    </row>
    <row r="86" ht="15.75" customHeight="1">
      <c r="A86" s="7"/>
      <c r="B86" s="8"/>
      <c r="C86" s="8"/>
      <c r="D86" s="8"/>
      <c r="E86" s="8"/>
      <c r="F86" s="14"/>
      <c r="G86" s="8"/>
      <c r="H86" s="8"/>
      <c r="I86" s="9"/>
      <c r="J86" s="12" t="str">
        <f t="array" ref="J86:K86">IFERROR(INDEX(PRECIOS_COMPLEMENTOS!$C$4:$F$17,MATCH(D86&amp;"_"&amp;E86,PRECIOS_COMPLEMENTOS!$H$4:$H$17,0),IF(OR(H86="S",H86="20cm"),1,IF(OR(H86="M",H86="25cm"),2,IF(OR(H86="L",H86="30cm"),3,IF(OR(H86="XL",H86="35cm"),4,0))))),0)</f>
        <v>#REF!</v>
      </c>
      <c r="K86" s="12">
        <f t="shared" si="1"/>
        <v>0</v>
      </c>
      <c r="L86" s="13">
        <f>IFERROR(IF(C86="",0,IF(D86="PRETINA",SUMIFS($I$4:$I$85,$C$4:$C$85,C86,$D$4:$D$85,D86,$E$4:$E$85,E86,$F$4:$F$85,F86,$G$4:$G$85,G86,$H$4:$H$85,H86,$B$4:$B$85,"INGRESO")+SUMIFS($I$4:$I$85,$C$4:$C$85,C86,$D$4:$D$85,D86,$E$4:$E$85,E86,$F$4:$F$85,F86,$G$4:$G$85,G86,$H$4:$H$85,H86,$B$4:$B$85,"DE CORTE")-SUMIFS($I$4:$I$85,$C$4:$C$85,C86,$D$4:$D$85,D86,$E$4:$E$85,E86,$F$4:$F$85,F86,$G$4:$G$85,G86,$H$4:$H$85,H86,$B$4:$B$85,"SALIDA"),SUMIFS($I$4:$I$85,$C$4:$C$85,C86,$D$4:$D$85,D86,$E$4:$E$85,E86,$G$4:$G$85,G86,$H$4:$H$85,H86,$B$4:$B$85,"INGRESO")+SUMIFS($I$4:$I$85,$C$4:$C$85,C86,$D$4:$D$85,D86,$E$4:$E$85,E86,$G$4:$G$85,G86,$H$4:$H$85,H86,$B$4:$B$85,"DE CORTE")-SUMIFS($I$4:$I$85,$C$4:$C$85,C86,$D$4:$D$85,D86,$E$4:$E$85,E86,$G$4:$G$85,G86,$H$4:$H$85,H86,$B$4:$B$85,"SALIDA"))),0)</f>
        <v>0</v>
      </c>
      <c r="M86" s="13">
        <f t="shared" si="2"/>
        <v>0</v>
      </c>
      <c r="N86" s="14"/>
      <c r="O86" s="14"/>
      <c r="P86" s="15"/>
      <c r="Q86" s="14"/>
    </row>
    <row r="87" ht="15.75" customHeight="1">
      <c r="A87" s="7"/>
      <c r="B87" s="8"/>
      <c r="C87" s="8"/>
      <c r="D87" s="8"/>
      <c r="E87" s="8"/>
      <c r="F87" s="14"/>
      <c r="G87" s="8"/>
      <c r="H87" s="8"/>
      <c r="I87" s="9"/>
      <c r="J87" s="12" t="str">
        <f t="array" ref="J87:K87">IFERROR(INDEX(PRECIOS_COMPLEMENTOS!$C$4:$F$17,MATCH(D87&amp;"_"&amp;E87,PRECIOS_COMPLEMENTOS!$H$4:$H$17,0),IF(OR(H87="S",H87="20cm"),1,IF(OR(H87="M",H87="25cm"),2,IF(OR(H87="L",H87="30cm"),3,IF(OR(H87="XL",H87="35cm"),4,0))))),0)</f>
        <v>#REF!</v>
      </c>
      <c r="K87" s="12">
        <f t="shared" si="1"/>
        <v>0</v>
      </c>
      <c r="L87" s="13">
        <f>IFERROR(IF(C87="",0,IF(D87="PRETINA",SUMIFS($I$4:$I$86,$C$4:$C$86,C87,$D$4:$D$86,D87,$E$4:$E$86,E87,$F$4:$F$86,F87,$G$4:$G$86,G87,$H$4:$H$86,H87,$B$4:$B$86,"INGRESO")+SUMIFS($I$4:$I$86,$C$4:$C$86,C87,$D$4:$D$86,D87,$E$4:$E$86,E87,$F$4:$F$86,F87,$G$4:$G$86,G87,$H$4:$H$86,H87,$B$4:$B$86,"DE CORTE")-SUMIFS($I$4:$I$86,$C$4:$C$86,C87,$D$4:$D$86,D87,$E$4:$E$86,E87,$F$4:$F$86,F87,$G$4:$G$86,G87,$H$4:$H$86,H87,$B$4:$B$86,"SALIDA"),SUMIFS($I$4:$I$86,$C$4:$C$86,C87,$D$4:$D$86,D87,$E$4:$E$86,E87,$G$4:$G$86,G87,$H$4:$H$86,H87,$B$4:$B$86,"INGRESO")+SUMIFS($I$4:$I$86,$C$4:$C$86,C87,$D$4:$D$86,D87,$E$4:$E$86,E87,$G$4:$G$86,G87,$H$4:$H$86,H87,$B$4:$B$86,"DE CORTE")-SUMIFS($I$4:$I$86,$C$4:$C$86,C87,$D$4:$D$86,D87,$E$4:$E$86,E87,$G$4:$G$86,G87,$H$4:$H$86,H87,$B$4:$B$86,"SALIDA"))),0)</f>
        <v>0</v>
      </c>
      <c r="M87" s="13">
        <f t="shared" si="2"/>
        <v>0</v>
      </c>
      <c r="N87" s="14"/>
      <c r="O87" s="14"/>
      <c r="P87" s="15"/>
      <c r="Q87" s="14"/>
    </row>
    <row r="88" ht="15.75" customHeight="1">
      <c r="A88" s="7"/>
      <c r="B88" s="8"/>
      <c r="C88" s="8"/>
      <c r="D88" s="8"/>
      <c r="E88" s="8"/>
      <c r="F88" s="14"/>
      <c r="G88" s="8"/>
      <c r="H88" s="8"/>
      <c r="I88" s="9"/>
      <c r="J88" s="12" t="str">
        <f t="array" ref="J88:K88">IFERROR(INDEX(PRECIOS_COMPLEMENTOS!$C$4:$F$17,MATCH(D88&amp;"_"&amp;E88,PRECIOS_COMPLEMENTOS!$H$4:$H$17,0),IF(OR(H88="S",H88="20cm"),1,IF(OR(H88="M",H88="25cm"),2,IF(OR(H88="L",H88="30cm"),3,IF(OR(H88="XL",H88="35cm"),4,0))))),0)</f>
        <v>#REF!</v>
      </c>
      <c r="K88" s="12">
        <f t="shared" si="1"/>
        <v>0</v>
      </c>
      <c r="L88" s="13">
        <f>IFERROR(IF(C88="",0,IF(D88="PRETINA",SUMIFS($I$4:$I$87,$C$4:$C$87,C88,$D$4:$D$87,D88,$E$4:$E$87,E88,$F$4:$F$87,F88,$G$4:$G$87,G88,$H$4:$H$87,H88,$B$4:$B$87,"INGRESO")+SUMIFS($I$4:$I$87,$C$4:$C$87,C88,$D$4:$D$87,D88,$E$4:$E$87,E88,$F$4:$F$87,F88,$G$4:$G$87,G88,$H$4:$H$87,H88,$B$4:$B$87,"DE CORTE")-SUMIFS($I$4:$I$87,$C$4:$C$87,C88,$D$4:$D$87,D88,$E$4:$E$87,E88,$F$4:$F$87,F88,$G$4:$G$87,G88,$H$4:$H$87,H88,$B$4:$B$87,"SALIDA"),SUMIFS($I$4:$I$87,$C$4:$C$87,C88,$D$4:$D$87,D88,$E$4:$E$87,E88,$G$4:$G$87,G88,$H$4:$H$87,H88,$B$4:$B$87,"INGRESO")+SUMIFS($I$4:$I$87,$C$4:$C$87,C88,$D$4:$D$87,D88,$E$4:$E$87,E88,$G$4:$G$87,G88,$H$4:$H$87,H88,$B$4:$B$87,"DE CORTE")-SUMIFS($I$4:$I$87,$C$4:$C$87,C88,$D$4:$D$87,D88,$E$4:$E$87,E88,$G$4:$G$87,G88,$H$4:$H$87,H88,$B$4:$B$87,"SALIDA"))),0)</f>
        <v>0</v>
      </c>
      <c r="M88" s="13">
        <f t="shared" si="2"/>
        <v>0</v>
      </c>
      <c r="N88" s="14"/>
      <c r="O88" s="14"/>
      <c r="P88" s="15"/>
      <c r="Q88" s="14"/>
    </row>
    <row r="89" ht="15.75" customHeight="1">
      <c r="A89" s="7"/>
      <c r="B89" s="8"/>
      <c r="C89" s="8"/>
      <c r="D89" s="8"/>
      <c r="E89" s="8"/>
      <c r="F89" s="14"/>
      <c r="G89" s="8"/>
      <c r="H89" s="8"/>
      <c r="I89" s="9"/>
      <c r="J89" s="12" t="str">
        <f t="array" ref="J89:K89">IFERROR(INDEX(PRECIOS_COMPLEMENTOS!$C$4:$F$17,MATCH(D89&amp;"_"&amp;E89,PRECIOS_COMPLEMENTOS!$H$4:$H$17,0),IF(OR(H89="S",H89="20cm"),1,IF(OR(H89="M",H89="25cm"),2,IF(OR(H89="L",H89="30cm"),3,IF(OR(H89="XL",H89="35cm"),4,0))))),0)</f>
        <v>#REF!</v>
      </c>
      <c r="K89" s="12">
        <f t="shared" si="1"/>
        <v>0</v>
      </c>
      <c r="L89" s="13">
        <f>IFERROR(IF(C89="",0,IF(D89="PRETINA",SUMIFS($I$4:$I$88,$C$4:$C$88,C89,$D$4:$D$88,D89,$E$4:$E$88,E89,$F$4:$F$88,F89,$G$4:$G$88,G89,$H$4:$H$88,H89,$B$4:$B$88,"INGRESO")+SUMIFS($I$4:$I$88,$C$4:$C$88,C89,$D$4:$D$88,D89,$E$4:$E$88,E89,$F$4:$F$88,F89,$G$4:$G$88,G89,$H$4:$H$88,H89,$B$4:$B$88,"DE CORTE")-SUMIFS($I$4:$I$88,$C$4:$C$88,C89,$D$4:$D$88,D89,$E$4:$E$88,E89,$F$4:$F$88,F89,$G$4:$G$88,G89,$H$4:$H$88,H89,$B$4:$B$88,"SALIDA"),SUMIFS($I$4:$I$88,$C$4:$C$88,C89,$D$4:$D$88,D89,$E$4:$E$88,E89,$G$4:$G$88,G89,$H$4:$H$88,H89,$B$4:$B$88,"INGRESO")+SUMIFS($I$4:$I$88,$C$4:$C$88,C89,$D$4:$D$88,D89,$E$4:$E$88,E89,$G$4:$G$88,G89,$H$4:$H$88,H89,$B$4:$B$88,"DE CORTE")-SUMIFS($I$4:$I$88,$C$4:$C$88,C89,$D$4:$D$88,D89,$E$4:$E$88,E89,$G$4:$G$88,G89,$H$4:$H$88,H89,$B$4:$B$88,"SALIDA"))),0)</f>
        <v>0</v>
      </c>
      <c r="M89" s="13">
        <f t="shared" si="2"/>
        <v>0</v>
      </c>
      <c r="N89" s="14"/>
      <c r="O89" s="14"/>
      <c r="P89" s="15"/>
      <c r="Q89" s="14"/>
    </row>
    <row r="90" ht="15.75" customHeight="1">
      <c r="A90" s="7"/>
      <c r="B90" s="8"/>
      <c r="C90" s="8"/>
      <c r="D90" s="8"/>
      <c r="E90" s="8"/>
      <c r="F90" s="14"/>
      <c r="G90" s="8"/>
      <c r="H90" s="8"/>
      <c r="I90" s="9"/>
      <c r="J90" s="12" t="str">
        <f t="array" ref="J90:K90">IFERROR(INDEX(PRECIOS_COMPLEMENTOS!$C$4:$F$17,MATCH(D90&amp;"_"&amp;E90,PRECIOS_COMPLEMENTOS!$H$4:$H$17,0),IF(OR(H90="S",H90="20cm"),1,IF(OR(H90="M",H90="25cm"),2,IF(OR(H90="L",H90="30cm"),3,IF(OR(H90="XL",H90="35cm"),4,0))))),0)</f>
        <v>#REF!</v>
      </c>
      <c r="K90" s="12">
        <f t="shared" si="1"/>
        <v>0</v>
      </c>
      <c r="L90" s="13">
        <f>IFERROR(IF(C90="",0,IF(D90="PRETINA",SUMIFS($I$4:$I$89,$C$4:$C$89,C90,$D$4:$D$89,D90,$E$4:$E$89,E90,$F$4:$F$89,F90,$G$4:$G$89,G90,$H$4:$H$89,H90,$B$4:$B$89,"INGRESO")+SUMIFS($I$4:$I$89,$C$4:$C$89,C90,$D$4:$D$89,D90,$E$4:$E$89,E90,$F$4:$F$89,F90,$G$4:$G$89,G90,$H$4:$H$89,H90,$B$4:$B$89,"DE CORTE")-SUMIFS($I$4:$I$89,$C$4:$C$89,C90,$D$4:$D$89,D90,$E$4:$E$89,E90,$F$4:$F$89,F90,$G$4:$G$89,G90,$H$4:$H$89,H90,$B$4:$B$89,"SALIDA"),SUMIFS($I$4:$I$89,$C$4:$C$89,C90,$D$4:$D$89,D90,$E$4:$E$89,E90,$G$4:$G$89,G90,$H$4:$H$89,H90,$B$4:$B$89,"INGRESO")+SUMIFS($I$4:$I$89,$C$4:$C$89,C90,$D$4:$D$89,D90,$E$4:$E$89,E90,$G$4:$G$89,G90,$H$4:$H$89,H90,$B$4:$B$89,"DE CORTE")-SUMIFS($I$4:$I$89,$C$4:$C$89,C90,$D$4:$D$89,D90,$E$4:$E$89,E90,$G$4:$G$89,G90,$H$4:$H$89,H90,$B$4:$B$89,"SALIDA"))),0)</f>
        <v>0</v>
      </c>
      <c r="M90" s="13">
        <f t="shared" si="2"/>
        <v>0</v>
      </c>
      <c r="N90" s="14"/>
      <c r="O90" s="14"/>
      <c r="P90" s="15"/>
      <c r="Q90" s="14"/>
    </row>
    <row r="91" ht="15.75" customHeight="1">
      <c r="A91" s="7"/>
      <c r="B91" s="8"/>
      <c r="C91" s="8"/>
      <c r="D91" s="8"/>
      <c r="E91" s="8"/>
      <c r="F91" s="14"/>
      <c r="G91" s="8"/>
      <c r="H91" s="8"/>
      <c r="I91" s="9"/>
      <c r="J91" s="12" t="str">
        <f t="array" ref="J91:K91">IFERROR(INDEX(PRECIOS_COMPLEMENTOS!$C$4:$F$17,MATCH(D91&amp;"_"&amp;E91,PRECIOS_COMPLEMENTOS!$H$4:$H$17,0),IF(OR(H91="S",H91="20cm"),1,IF(OR(H91="M",H91="25cm"),2,IF(OR(H91="L",H91="30cm"),3,IF(OR(H91="XL",H91="35cm"),4,0))))),0)</f>
        <v>#REF!</v>
      </c>
      <c r="K91" s="12">
        <f t="shared" si="1"/>
        <v>0</v>
      </c>
      <c r="L91" s="13">
        <f>IFERROR(IF(C91="",0,IF(D91="PRETINA",SUMIFS($I$4:$I$90,$C$4:$C$90,C91,$D$4:$D$90,D91,$E$4:$E$90,E91,$F$4:$F$90,F91,$G$4:$G$90,G91,$H$4:$H$90,H91,$B$4:$B$90,"INGRESO")+SUMIFS($I$4:$I$90,$C$4:$C$90,C91,$D$4:$D$90,D91,$E$4:$E$90,E91,$F$4:$F$90,F91,$G$4:$G$90,G91,$H$4:$H$90,H91,$B$4:$B$90,"DE CORTE")-SUMIFS($I$4:$I$90,$C$4:$C$90,C91,$D$4:$D$90,D91,$E$4:$E$90,E91,$F$4:$F$90,F91,$G$4:$G$90,G91,$H$4:$H$90,H91,$B$4:$B$90,"SALIDA"),SUMIFS($I$4:$I$90,$C$4:$C$90,C91,$D$4:$D$90,D91,$E$4:$E$90,E91,$G$4:$G$90,G91,$H$4:$H$90,H91,$B$4:$B$90,"INGRESO")+SUMIFS($I$4:$I$90,$C$4:$C$90,C91,$D$4:$D$90,D91,$E$4:$E$90,E91,$G$4:$G$90,G91,$H$4:$H$90,H91,$B$4:$B$90,"DE CORTE")-SUMIFS($I$4:$I$90,$C$4:$C$90,C91,$D$4:$D$90,D91,$E$4:$E$90,E91,$G$4:$G$90,G91,$H$4:$H$90,H91,$B$4:$B$90,"SALIDA"))),0)</f>
        <v>0</v>
      </c>
      <c r="M91" s="13">
        <f t="shared" si="2"/>
        <v>0</v>
      </c>
      <c r="N91" s="14"/>
      <c r="O91" s="14"/>
      <c r="P91" s="15"/>
      <c r="Q91" s="14"/>
    </row>
    <row r="92" ht="15.75" customHeight="1">
      <c r="A92" s="7"/>
      <c r="B92" s="8"/>
      <c r="C92" s="8"/>
      <c r="D92" s="8"/>
      <c r="E92" s="8"/>
      <c r="F92" s="14"/>
      <c r="G92" s="8"/>
      <c r="H92" s="8"/>
      <c r="I92" s="9"/>
      <c r="J92" s="12" t="str">
        <f t="array" ref="J92:K92">IFERROR(INDEX(PRECIOS_COMPLEMENTOS!$C$4:$F$17,MATCH(D92&amp;"_"&amp;E92,PRECIOS_COMPLEMENTOS!$H$4:$H$17,0),IF(OR(H92="S",H92="20cm"),1,IF(OR(H92="M",H92="25cm"),2,IF(OR(H92="L",H92="30cm"),3,IF(OR(H92="XL",H92="35cm"),4,0))))),0)</f>
        <v>#REF!</v>
      </c>
      <c r="K92" s="12">
        <f t="shared" si="1"/>
        <v>0</v>
      </c>
      <c r="L92" s="13">
        <f>IFERROR(IF(C92="",0,IF(D92="PRETINA",SUMIFS($I$4:$I$91,$C$4:$C$91,C92,$D$4:$D$91,D92,$E$4:$E$91,E92,$F$4:$F$91,F92,$G$4:$G$91,G92,$H$4:$H$91,H92,$B$4:$B$91,"INGRESO")+SUMIFS($I$4:$I$91,$C$4:$C$91,C92,$D$4:$D$91,D92,$E$4:$E$91,E92,$F$4:$F$91,F92,$G$4:$G$91,G92,$H$4:$H$91,H92,$B$4:$B$91,"DE CORTE")-SUMIFS($I$4:$I$91,$C$4:$C$91,C92,$D$4:$D$91,D92,$E$4:$E$91,E92,$F$4:$F$91,F92,$G$4:$G$91,G92,$H$4:$H$91,H92,$B$4:$B$91,"SALIDA"),SUMIFS($I$4:$I$91,$C$4:$C$91,C92,$D$4:$D$91,D92,$E$4:$E$91,E92,$G$4:$G$91,G92,$H$4:$H$91,H92,$B$4:$B$91,"INGRESO")+SUMIFS($I$4:$I$91,$C$4:$C$91,C92,$D$4:$D$91,D92,$E$4:$E$91,E92,$G$4:$G$91,G92,$H$4:$H$91,H92,$B$4:$B$91,"DE CORTE")-SUMIFS($I$4:$I$91,$C$4:$C$91,C92,$D$4:$D$91,D92,$E$4:$E$91,E92,$G$4:$G$91,G92,$H$4:$H$91,H92,$B$4:$B$91,"SALIDA"))),0)</f>
        <v>0</v>
      </c>
      <c r="M92" s="13">
        <f t="shared" si="2"/>
        <v>0</v>
      </c>
      <c r="N92" s="14"/>
      <c r="O92" s="14"/>
      <c r="P92" s="15"/>
      <c r="Q92" s="14"/>
    </row>
    <row r="93" ht="15.75" customHeight="1">
      <c r="A93" s="7"/>
      <c r="B93" s="8"/>
      <c r="C93" s="8"/>
      <c r="D93" s="8"/>
      <c r="E93" s="8"/>
      <c r="F93" s="14"/>
      <c r="G93" s="8"/>
      <c r="H93" s="8"/>
      <c r="I93" s="9"/>
      <c r="J93" s="12" t="str">
        <f t="array" ref="J93:K93">IFERROR(INDEX(PRECIOS_COMPLEMENTOS!$C$4:$F$17,MATCH(D93&amp;"_"&amp;E93,PRECIOS_COMPLEMENTOS!$H$4:$H$17,0),IF(OR(H93="S",H93="20cm"),1,IF(OR(H93="M",H93="25cm"),2,IF(OR(H93="L",H93="30cm"),3,IF(OR(H93="XL",H93="35cm"),4,0))))),0)</f>
        <v>#REF!</v>
      </c>
      <c r="K93" s="12">
        <f t="shared" si="1"/>
        <v>0</v>
      </c>
      <c r="L93" s="13">
        <f>IFERROR(IF(C93="",0,IF(D93="PRETINA",SUMIFS($I$4:$I$92,$C$4:$C$92,C93,$D$4:$D$92,D93,$E$4:$E$92,E93,$F$4:$F$92,F93,$G$4:$G$92,G93,$H$4:$H$92,H93,$B$4:$B$92,"INGRESO")+SUMIFS($I$4:$I$92,$C$4:$C$92,C93,$D$4:$D$92,D93,$E$4:$E$92,E93,$F$4:$F$92,F93,$G$4:$G$92,G93,$H$4:$H$92,H93,$B$4:$B$92,"DE CORTE")-SUMIFS($I$4:$I$92,$C$4:$C$92,C93,$D$4:$D$92,D93,$E$4:$E$92,E93,$F$4:$F$92,F93,$G$4:$G$92,G93,$H$4:$H$92,H93,$B$4:$B$92,"SALIDA"),SUMIFS($I$4:$I$92,$C$4:$C$92,C93,$D$4:$D$92,D93,$E$4:$E$92,E93,$G$4:$G$92,G93,$H$4:$H$92,H93,$B$4:$B$92,"INGRESO")+SUMIFS($I$4:$I$92,$C$4:$C$92,C93,$D$4:$D$92,D93,$E$4:$E$92,E93,$G$4:$G$92,G93,$H$4:$H$92,H93,$B$4:$B$92,"DE CORTE")-SUMIFS($I$4:$I$92,$C$4:$C$92,C93,$D$4:$D$92,D93,$E$4:$E$92,E93,$G$4:$G$92,G93,$H$4:$H$92,H93,$B$4:$B$92,"SALIDA"))),0)</f>
        <v>0</v>
      </c>
      <c r="M93" s="13">
        <f t="shared" si="2"/>
        <v>0</v>
      </c>
      <c r="N93" s="14"/>
      <c r="O93" s="14"/>
      <c r="P93" s="15"/>
      <c r="Q93" s="14"/>
    </row>
    <row r="94" ht="15.75" customHeight="1">
      <c r="A94" s="7"/>
      <c r="B94" s="8"/>
      <c r="C94" s="8"/>
      <c r="D94" s="8"/>
      <c r="E94" s="8"/>
      <c r="F94" s="14"/>
      <c r="G94" s="8"/>
      <c r="H94" s="8"/>
      <c r="I94" s="9"/>
      <c r="J94" s="12" t="str">
        <f t="array" ref="J94:K94">IFERROR(INDEX(PRECIOS_COMPLEMENTOS!$C$4:$F$17,MATCH(D94&amp;"_"&amp;E94,PRECIOS_COMPLEMENTOS!$H$4:$H$17,0),IF(OR(H94="S",H94="20cm"),1,IF(OR(H94="M",H94="25cm"),2,IF(OR(H94="L",H94="30cm"),3,IF(OR(H94="XL",H94="35cm"),4,0))))),0)</f>
        <v>#REF!</v>
      </c>
      <c r="K94" s="12">
        <f t="shared" si="1"/>
        <v>0</v>
      </c>
      <c r="L94" s="13">
        <f>IFERROR(IF(C94="",0,IF(D94="PRETINA",SUMIFS($I$4:$I$93,$C$4:$C$93,C94,$D$4:$D$93,D94,$E$4:$E$93,E94,$F$4:$F$93,F94,$G$4:$G$93,G94,$H$4:$H$93,H94,$B$4:$B$93,"INGRESO")+SUMIFS($I$4:$I$93,$C$4:$C$93,C94,$D$4:$D$93,D94,$E$4:$E$93,E94,$F$4:$F$93,F94,$G$4:$G$93,G94,$H$4:$H$93,H94,$B$4:$B$93,"DE CORTE")-SUMIFS($I$4:$I$93,$C$4:$C$93,C94,$D$4:$D$93,D94,$E$4:$E$93,E94,$F$4:$F$93,F94,$G$4:$G$93,G94,$H$4:$H$93,H94,$B$4:$B$93,"SALIDA"),SUMIFS($I$4:$I$93,$C$4:$C$93,C94,$D$4:$D$93,D94,$E$4:$E$93,E94,$G$4:$G$93,G94,$H$4:$H$93,H94,$B$4:$B$93,"INGRESO")+SUMIFS($I$4:$I$93,$C$4:$C$93,C94,$D$4:$D$93,D94,$E$4:$E$93,E94,$G$4:$G$93,G94,$H$4:$H$93,H94,$B$4:$B$93,"DE CORTE")-SUMIFS($I$4:$I$93,$C$4:$C$93,C94,$D$4:$D$93,D94,$E$4:$E$93,E94,$G$4:$G$93,G94,$H$4:$H$93,H94,$B$4:$B$93,"SALIDA"))),0)</f>
        <v>0</v>
      </c>
      <c r="M94" s="13">
        <f t="shared" si="2"/>
        <v>0</v>
      </c>
      <c r="N94" s="14"/>
      <c r="O94" s="14"/>
      <c r="P94" s="15"/>
      <c r="Q94" s="14"/>
    </row>
    <row r="95" ht="15.75" customHeight="1">
      <c r="A95" s="7"/>
      <c r="B95" s="8"/>
      <c r="C95" s="8"/>
      <c r="D95" s="8"/>
      <c r="E95" s="8"/>
      <c r="F95" s="14"/>
      <c r="G95" s="8"/>
      <c r="H95" s="8"/>
      <c r="I95" s="9"/>
      <c r="J95" s="12" t="str">
        <f t="array" ref="J95:K95">IFERROR(INDEX(PRECIOS_COMPLEMENTOS!$C$4:$F$17,MATCH(D95&amp;"_"&amp;E95,PRECIOS_COMPLEMENTOS!$H$4:$H$17,0),IF(OR(H95="S",H95="20cm"),1,IF(OR(H95="M",H95="25cm"),2,IF(OR(H95="L",H95="30cm"),3,IF(OR(H95="XL",H95="35cm"),4,0))))),0)</f>
        <v>#REF!</v>
      </c>
      <c r="K95" s="12">
        <f t="shared" si="1"/>
        <v>0</v>
      </c>
      <c r="L95" s="13">
        <f>IFERROR(IF(C95="",0,IF(D95="PRETINA",SUMIFS($I$4:$I$94,$C$4:$C$94,C95,$D$4:$D$94,D95,$E$4:$E$94,E95,$F$4:$F$94,F95,$G$4:$G$94,G95,$H$4:$H$94,H95,$B$4:$B$94,"INGRESO")+SUMIFS($I$4:$I$94,$C$4:$C$94,C95,$D$4:$D$94,D95,$E$4:$E$94,E95,$F$4:$F$94,F95,$G$4:$G$94,G95,$H$4:$H$94,H95,$B$4:$B$94,"DE CORTE")-SUMIFS($I$4:$I$94,$C$4:$C$94,C95,$D$4:$D$94,D95,$E$4:$E$94,E95,$F$4:$F$94,F95,$G$4:$G$94,G95,$H$4:$H$94,H95,$B$4:$B$94,"SALIDA"),SUMIFS($I$4:$I$94,$C$4:$C$94,C95,$D$4:$D$94,D95,$E$4:$E$94,E95,$G$4:$G$94,G95,$H$4:$H$94,H95,$B$4:$B$94,"INGRESO")+SUMIFS($I$4:$I$94,$C$4:$C$94,C95,$D$4:$D$94,D95,$E$4:$E$94,E95,$G$4:$G$94,G95,$H$4:$H$94,H95,$B$4:$B$94,"DE CORTE")-SUMIFS($I$4:$I$94,$C$4:$C$94,C95,$D$4:$D$94,D95,$E$4:$E$94,E95,$G$4:$G$94,G95,$H$4:$H$94,H95,$B$4:$B$94,"SALIDA"))),0)</f>
        <v>0</v>
      </c>
      <c r="M95" s="13">
        <f t="shared" si="2"/>
        <v>0</v>
      </c>
      <c r="N95" s="14"/>
      <c r="O95" s="14"/>
      <c r="P95" s="15"/>
      <c r="Q95" s="14"/>
    </row>
    <row r="96" ht="15.75" customHeight="1">
      <c r="A96" s="7"/>
      <c r="B96" s="8"/>
      <c r="C96" s="8"/>
      <c r="D96" s="8"/>
      <c r="E96" s="8"/>
      <c r="F96" s="14"/>
      <c r="G96" s="8"/>
      <c r="H96" s="8"/>
      <c r="I96" s="9"/>
      <c r="J96" s="12" t="str">
        <f t="array" ref="J96:K96">IFERROR(INDEX(PRECIOS_COMPLEMENTOS!$C$4:$F$17,MATCH(D96&amp;"_"&amp;E96,PRECIOS_COMPLEMENTOS!$H$4:$H$17,0),IF(OR(H96="S",H96="20cm"),1,IF(OR(H96="M",H96="25cm"),2,IF(OR(H96="L",H96="30cm"),3,IF(OR(H96="XL",H96="35cm"),4,0))))),0)</f>
        <v>#REF!</v>
      </c>
      <c r="K96" s="12">
        <f t="shared" si="1"/>
        <v>0</v>
      </c>
      <c r="L96" s="13">
        <f>IFERROR(IF(C96="",0,IF(D96="PRETINA",SUMIFS($I$4:$I$95,$C$4:$C$95,C96,$D$4:$D$95,D96,$E$4:$E$95,E96,$F$4:$F$95,F96,$G$4:$G$95,G96,$H$4:$H$95,H96,$B$4:$B$95,"INGRESO")+SUMIFS($I$4:$I$95,$C$4:$C$95,C96,$D$4:$D$95,D96,$E$4:$E$95,E96,$F$4:$F$95,F96,$G$4:$G$95,G96,$H$4:$H$95,H96,$B$4:$B$95,"DE CORTE")-SUMIFS($I$4:$I$95,$C$4:$C$95,C96,$D$4:$D$95,D96,$E$4:$E$95,E96,$F$4:$F$95,F96,$G$4:$G$95,G96,$H$4:$H$95,H96,$B$4:$B$95,"SALIDA"),SUMIFS($I$4:$I$95,$C$4:$C$95,C96,$D$4:$D$95,D96,$E$4:$E$95,E96,$G$4:$G$95,G96,$H$4:$H$95,H96,$B$4:$B$95,"INGRESO")+SUMIFS($I$4:$I$95,$C$4:$C$95,C96,$D$4:$D$95,D96,$E$4:$E$95,E96,$G$4:$G$95,G96,$H$4:$H$95,H96,$B$4:$B$95,"DE CORTE")-SUMIFS($I$4:$I$95,$C$4:$C$95,C96,$D$4:$D$95,D96,$E$4:$E$95,E96,$G$4:$G$95,G96,$H$4:$H$95,H96,$B$4:$B$95,"SALIDA"))),0)</f>
        <v>0</v>
      </c>
      <c r="M96" s="13">
        <f t="shared" si="2"/>
        <v>0</v>
      </c>
      <c r="N96" s="14"/>
      <c r="O96" s="14"/>
      <c r="P96" s="15"/>
      <c r="Q96" s="14"/>
    </row>
    <row r="97" ht="15.75" customHeight="1">
      <c r="A97" s="7"/>
      <c r="B97" s="8"/>
      <c r="C97" s="8"/>
      <c r="D97" s="8"/>
      <c r="E97" s="8"/>
      <c r="F97" s="14"/>
      <c r="G97" s="8"/>
      <c r="H97" s="8"/>
      <c r="I97" s="9"/>
      <c r="J97" s="12" t="str">
        <f t="array" ref="J97:K97">IFERROR(INDEX(PRECIOS_COMPLEMENTOS!$C$4:$F$17,MATCH(D97&amp;"_"&amp;E97,PRECIOS_COMPLEMENTOS!$H$4:$H$17,0),IF(OR(H97="S",H97="20cm"),1,IF(OR(H97="M",H97="25cm"),2,IF(OR(H97="L",H97="30cm"),3,IF(OR(H97="XL",H97="35cm"),4,0))))),0)</f>
        <v>#REF!</v>
      </c>
      <c r="K97" s="12">
        <f t="shared" si="1"/>
        <v>0</v>
      </c>
      <c r="L97" s="13">
        <f>IFERROR(IF(C97="",0,IF(D97="PRETINA",SUMIFS($I$4:$I$96,$C$4:$C$96,C97,$D$4:$D$96,D97,$E$4:$E$96,E97,$F$4:$F$96,F97,$G$4:$G$96,G97,$H$4:$H$96,H97,$B$4:$B$96,"INGRESO")+SUMIFS($I$4:$I$96,$C$4:$C$96,C97,$D$4:$D$96,D97,$E$4:$E$96,E97,$F$4:$F$96,F97,$G$4:$G$96,G97,$H$4:$H$96,H97,$B$4:$B$96,"DE CORTE")-SUMIFS($I$4:$I$96,$C$4:$C$96,C97,$D$4:$D$96,D97,$E$4:$E$96,E97,$F$4:$F$96,F97,$G$4:$G$96,G97,$H$4:$H$96,H97,$B$4:$B$96,"SALIDA"),SUMIFS($I$4:$I$96,$C$4:$C$96,C97,$D$4:$D$96,D97,$E$4:$E$96,E97,$G$4:$G$96,G97,$H$4:$H$96,H97,$B$4:$B$96,"INGRESO")+SUMIFS($I$4:$I$96,$C$4:$C$96,C97,$D$4:$D$96,D97,$E$4:$E$96,E97,$G$4:$G$96,G97,$H$4:$H$96,H97,$B$4:$B$96,"DE CORTE")-SUMIFS($I$4:$I$96,$C$4:$C$96,C97,$D$4:$D$96,D97,$E$4:$E$96,E97,$G$4:$G$96,G97,$H$4:$H$96,H97,$B$4:$B$96,"SALIDA"))),0)</f>
        <v>0</v>
      </c>
      <c r="M97" s="13">
        <f t="shared" si="2"/>
        <v>0</v>
      </c>
      <c r="N97" s="14"/>
      <c r="O97" s="14"/>
      <c r="P97" s="15"/>
      <c r="Q97" s="14"/>
    </row>
    <row r="98" ht="15.75" customHeight="1">
      <c r="A98" s="7"/>
      <c r="B98" s="8"/>
      <c r="C98" s="8"/>
      <c r="D98" s="8"/>
      <c r="E98" s="8"/>
      <c r="F98" s="14"/>
      <c r="G98" s="8"/>
      <c r="H98" s="8"/>
      <c r="I98" s="9"/>
      <c r="J98" s="12" t="str">
        <f t="array" ref="J98:K98">IFERROR(INDEX(PRECIOS_COMPLEMENTOS!$C$4:$F$17,MATCH(D98&amp;"_"&amp;E98,PRECIOS_COMPLEMENTOS!$H$4:$H$17,0),IF(OR(H98="S",H98="20cm"),1,IF(OR(H98="M",H98="25cm"),2,IF(OR(H98="L",H98="30cm"),3,IF(OR(H98="XL",H98="35cm"),4,0))))),0)</f>
        <v>#REF!</v>
      </c>
      <c r="K98" s="12">
        <f t="shared" si="1"/>
        <v>0</v>
      </c>
      <c r="L98" s="13">
        <f>IFERROR(IF(C98="",0,IF(D98="PRETINA",SUMIFS($I$4:$I$97,$C$4:$C$97,C98,$D$4:$D$97,D98,$E$4:$E$97,E98,$F$4:$F$97,F98,$G$4:$G$97,G98,$H$4:$H$97,H98,$B$4:$B$97,"INGRESO")+SUMIFS($I$4:$I$97,$C$4:$C$97,C98,$D$4:$D$97,D98,$E$4:$E$97,E98,$F$4:$F$97,F98,$G$4:$G$97,G98,$H$4:$H$97,H98,$B$4:$B$97,"DE CORTE")-SUMIFS($I$4:$I$97,$C$4:$C$97,C98,$D$4:$D$97,D98,$E$4:$E$97,E98,$F$4:$F$97,F98,$G$4:$G$97,G98,$H$4:$H$97,H98,$B$4:$B$97,"SALIDA"),SUMIFS($I$4:$I$97,$C$4:$C$97,C98,$D$4:$D$97,D98,$E$4:$E$97,E98,$G$4:$G$97,G98,$H$4:$H$97,H98,$B$4:$B$97,"INGRESO")+SUMIFS($I$4:$I$97,$C$4:$C$97,C98,$D$4:$D$97,D98,$E$4:$E$97,E98,$G$4:$G$97,G98,$H$4:$H$97,H98,$B$4:$B$97,"DE CORTE")-SUMIFS($I$4:$I$97,$C$4:$C$97,C98,$D$4:$D$97,D98,$E$4:$E$97,E98,$G$4:$G$97,G98,$H$4:$H$97,H98,$B$4:$B$97,"SALIDA"))),0)</f>
        <v>0</v>
      </c>
      <c r="M98" s="13">
        <f t="shared" si="2"/>
        <v>0</v>
      </c>
      <c r="N98" s="14"/>
      <c r="O98" s="14"/>
      <c r="P98" s="15"/>
      <c r="Q98" s="14"/>
    </row>
    <row r="99" ht="15.75" customHeight="1">
      <c r="A99" s="7"/>
      <c r="B99" s="8"/>
      <c r="C99" s="8"/>
      <c r="D99" s="8"/>
      <c r="E99" s="8"/>
      <c r="F99" s="14"/>
      <c r="G99" s="8"/>
      <c r="H99" s="8"/>
      <c r="I99" s="9"/>
      <c r="J99" s="12" t="str">
        <f t="array" ref="J99:K99">IFERROR(INDEX(PRECIOS_COMPLEMENTOS!$C$4:$F$17,MATCH(D99&amp;"_"&amp;E99,PRECIOS_COMPLEMENTOS!$H$4:$H$17,0),IF(OR(H99="S",H99="20cm"),1,IF(OR(H99="M",H99="25cm"),2,IF(OR(H99="L",H99="30cm"),3,IF(OR(H99="XL",H99="35cm"),4,0))))),0)</f>
        <v>#REF!</v>
      </c>
      <c r="K99" s="12">
        <f t="shared" si="1"/>
        <v>0</v>
      </c>
      <c r="L99" s="13">
        <f>IFERROR(IF(C99="",0,IF(D99="PRETINA",SUMIFS($I$4:$I$98,$C$4:$C$98,C99,$D$4:$D$98,D99,$E$4:$E$98,E99,$F$4:$F$98,F99,$G$4:$G$98,G99,$H$4:$H$98,H99,$B$4:$B$98,"INGRESO")+SUMIFS($I$4:$I$98,$C$4:$C$98,C99,$D$4:$D$98,D99,$E$4:$E$98,E99,$F$4:$F$98,F99,$G$4:$G$98,G99,$H$4:$H$98,H99,$B$4:$B$98,"DE CORTE")-SUMIFS($I$4:$I$98,$C$4:$C$98,C99,$D$4:$D$98,D99,$E$4:$E$98,E99,$F$4:$F$98,F99,$G$4:$G$98,G99,$H$4:$H$98,H99,$B$4:$B$98,"SALIDA"),SUMIFS($I$4:$I$98,$C$4:$C$98,C99,$D$4:$D$98,D99,$E$4:$E$98,E99,$G$4:$G$98,G99,$H$4:$H$98,H99,$B$4:$B$98,"INGRESO")+SUMIFS($I$4:$I$98,$C$4:$C$98,C99,$D$4:$D$98,D99,$E$4:$E$98,E99,$G$4:$G$98,G99,$H$4:$H$98,H99,$B$4:$B$98,"DE CORTE")-SUMIFS($I$4:$I$98,$C$4:$C$98,C99,$D$4:$D$98,D99,$E$4:$E$98,E99,$G$4:$G$98,G99,$H$4:$H$98,H99,$B$4:$B$98,"SALIDA"))),0)</f>
        <v>0</v>
      </c>
      <c r="M99" s="13">
        <f t="shared" si="2"/>
        <v>0</v>
      </c>
      <c r="N99" s="14"/>
      <c r="O99" s="14"/>
      <c r="P99" s="15"/>
      <c r="Q99" s="14"/>
    </row>
    <row r="100" ht="15.75" customHeight="1">
      <c r="A100" s="7"/>
      <c r="B100" s="8"/>
      <c r="C100" s="8"/>
      <c r="D100" s="8"/>
      <c r="E100" s="8"/>
      <c r="F100" s="14"/>
      <c r="G100" s="8"/>
      <c r="H100" s="8"/>
      <c r="I100" s="9"/>
      <c r="J100" s="12" t="str">
        <f t="array" ref="J100:K100">IFERROR(INDEX(PRECIOS_COMPLEMENTOS!$C$4:$F$17,MATCH(D100&amp;"_"&amp;E100,PRECIOS_COMPLEMENTOS!$H$4:$H$17,0),IF(OR(H100="S",H100="20cm"),1,IF(OR(H100="M",H100="25cm"),2,IF(OR(H100="L",H100="30cm"),3,IF(OR(H100="XL",H100="35cm"),4,0))))),0)</f>
        <v>#REF!</v>
      </c>
      <c r="K100" s="12">
        <f t="shared" si="1"/>
        <v>0</v>
      </c>
      <c r="L100" s="13">
        <f>IFERROR(IF(C100="",0,IF(D100="PRETINA",SUMIFS($I$4:$I$99,$C$4:$C$99,C100,$D$4:$D$99,D100,$E$4:$E$99,E100,$F$4:$F$99,F100,$G$4:$G$99,G100,$H$4:$H$99,H100,$B$4:$B$99,"INGRESO")+SUMIFS($I$4:$I$99,$C$4:$C$99,C100,$D$4:$D$99,D100,$E$4:$E$99,E100,$F$4:$F$99,F100,$G$4:$G$99,G100,$H$4:$H$99,H100,$B$4:$B$99,"DE CORTE")-SUMIFS($I$4:$I$99,$C$4:$C$99,C100,$D$4:$D$99,D100,$E$4:$E$99,E100,$F$4:$F$99,F100,$G$4:$G$99,G100,$H$4:$H$99,H100,$B$4:$B$99,"SALIDA"),SUMIFS($I$4:$I$99,$C$4:$C$99,C100,$D$4:$D$99,D100,$E$4:$E$99,E100,$G$4:$G$99,G100,$H$4:$H$99,H100,$B$4:$B$99,"INGRESO")+SUMIFS($I$4:$I$99,$C$4:$C$99,C100,$D$4:$D$99,D100,$E$4:$E$99,E100,$G$4:$G$99,G100,$H$4:$H$99,H100,$B$4:$B$99,"DE CORTE")-SUMIFS($I$4:$I$99,$C$4:$C$99,C100,$D$4:$D$99,D100,$E$4:$E$99,E100,$G$4:$G$99,G100,$H$4:$H$99,H100,$B$4:$B$99,"SALIDA"))),0)</f>
        <v>0</v>
      </c>
      <c r="M100" s="13">
        <f t="shared" si="2"/>
        <v>0</v>
      </c>
      <c r="N100" s="14"/>
      <c r="O100" s="14"/>
      <c r="P100" s="15"/>
      <c r="Q100" s="14"/>
    </row>
    <row r="101" ht="15.75" customHeight="1">
      <c r="A101" s="7"/>
      <c r="B101" s="8"/>
      <c r="C101" s="8"/>
      <c r="D101" s="8"/>
      <c r="E101" s="8"/>
      <c r="F101" s="14"/>
      <c r="G101" s="8"/>
      <c r="H101" s="8"/>
      <c r="I101" s="9"/>
      <c r="J101" s="12" t="str">
        <f t="array" ref="J101:K101">IFERROR(INDEX(PRECIOS_COMPLEMENTOS!$C$4:$F$17,MATCH(D101&amp;"_"&amp;E101,PRECIOS_COMPLEMENTOS!$H$4:$H$17,0),IF(OR(H101="S",H101="20cm"),1,IF(OR(H101="M",H101="25cm"),2,IF(OR(H101="L",H101="30cm"),3,IF(OR(H101="XL",H101="35cm"),4,0))))),0)</f>
        <v>#REF!</v>
      </c>
      <c r="K101" s="12">
        <f t="shared" si="1"/>
        <v>0</v>
      </c>
      <c r="L101" s="13">
        <f>IFERROR(IF(C101="",0,IF(D101="PRETINA",SUMIFS($I$4:$I$100,$C$4:$C$100,C101,$D$4:$D$100,D101,$E$4:$E$100,E101,$F$4:$F$100,F101,$G$4:$G$100,G101,$H$4:$H$100,H101,$B$4:$B$100,"INGRESO")+SUMIFS($I$4:$I$100,$C$4:$C$100,C101,$D$4:$D$100,D101,$E$4:$E$100,E101,$F$4:$F$100,F101,$G$4:$G$100,G101,$H$4:$H$100,H101,$B$4:$B$100,"DE CORTE")-SUMIFS($I$4:$I$100,$C$4:$C$100,C101,$D$4:$D$100,D101,$E$4:$E$100,E101,$F$4:$F$100,F101,$G$4:$G$100,G101,$H$4:$H$100,H101,$B$4:$B$100,"SALIDA"),SUMIFS($I$4:$I$100,$C$4:$C$100,C101,$D$4:$D$100,D101,$E$4:$E$100,E101,$G$4:$G$100,G101,$H$4:$H$100,H101,$B$4:$B$100,"INGRESO")+SUMIFS($I$4:$I$100,$C$4:$C$100,C101,$D$4:$D$100,D101,$E$4:$E$100,E101,$G$4:$G$100,G101,$H$4:$H$100,H101,$B$4:$B$100,"DE CORTE")-SUMIFS($I$4:$I$100,$C$4:$C$100,C101,$D$4:$D$100,D101,$E$4:$E$100,E101,$G$4:$G$100,G101,$H$4:$H$100,H101,$B$4:$B$100,"SALIDA"))),0)</f>
        <v>0</v>
      </c>
      <c r="M101" s="13">
        <f t="shared" si="2"/>
        <v>0</v>
      </c>
      <c r="N101" s="14"/>
      <c r="O101" s="14"/>
      <c r="P101" s="15"/>
      <c r="Q101" s="14"/>
    </row>
    <row r="102" ht="15.75" customHeight="1">
      <c r="A102" s="7"/>
      <c r="B102" s="8"/>
      <c r="C102" s="8"/>
      <c r="D102" s="8"/>
      <c r="E102" s="8"/>
      <c r="F102" s="14"/>
      <c r="G102" s="8"/>
      <c r="H102" s="8"/>
      <c r="I102" s="9"/>
      <c r="J102" s="12" t="str">
        <f t="array" ref="J102:K102">IFERROR(INDEX(PRECIOS_COMPLEMENTOS!$C$4:$F$17,MATCH(D102&amp;"_"&amp;E102,PRECIOS_COMPLEMENTOS!$H$4:$H$17,0),IF(OR(H102="S",H102="20cm"),1,IF(OR(H102="M",H102="25cm"),2,IF(OR(H102="L",H102="30cm"),3,IF(OR(H102="XL",H102="35cm"),4,0))))),0)</f>
        <v>#REF!</v>
      </c>
      <c r="K102" s="12">
        <f t="shared" si="1"/>
        <v>0</v>
      </c>
      <c r="L102" s="13">
        <f>IFERROR(IF(C102="",0,IF(D102="PRETINA",SUMIFS($I$4:$I$101,$C$4:$C$101,C102,$D$4:$D$101,D102,$E$4:$E$101,E102,$F$4:$F$101,F102,$G$4:$G$101,G102,$H$4:$H$101,H102,$B$4:$B$101,"INGRESO")+SUMIFS($I$4:$I$101,$C$4:$C$101,C102,$D$4:$D$101,D102,$E$4:$E$101,E102,$F$4:$F$101,F102,$G$4:$G$101,G102,$H$4:$H$101,H102,$B$4:$B$101,"DE CORTE")-SUMIFS($I$4:$I$101,$C$4:$C$101,C102,$D$4:$D$101,D102,$E$4:$E$101,E102,$F$4:$F$101,F102,$G$4:$G$101,G102,$H$4:$H$101,H102,$B$4:$B$101,"SALIDA"),SUMIFS($I$4:$I$101,$C$4:$C$101,C102,$D$4:$D$101,D102,$E$4:$E$101,E102,$G$4:$G$101,G102,$H$4:$H$101,H102,$B$4:$B$101,"INGRESO")+SUMIFS($I$4:$I$101,$C$4:$C$101,C102,$D$4:$D$101,D102,$E$4:$E$101,E102,$G$4:$G$101,G102,$H$4:$H$101,H102,$B$4:$B$101,"DE CORTE")-SUMIFS($I$4:$I$101,$C$4:$C$101,C102,$D$4:$D$101,D102,$E$4:$E$101,E102,$G$4:$G$101,G102,$H$4:$H$101,H102,$B$4:$B$101,"SALIDA"))),0)</f>
        <v>0</v>
      </c>
      <c r="M102" s="13">
        <f t="shared" si="2"/>
        <v>0</v>
      </c>
      <c r="N102" s="14"/>
      <c r="O102" s="14"/>
      <c r="P102" s="15"/>
      <c r="Q102" s="14"/>
    </row>
    <row r="103" ht="15.75" customHeight="1">
      <c r="A103" s="7"/>
      <c r="B103" s="8"/>
      <c r="C103" s="8"/>
      <c r="D103" s="8"/>
      <c r="E103" s="8"/>
      <c r="F103" s="14"/>
      <c r="G103" s="8"/>
      <c r="H103" s="8"/>
      <c r="I103" s="9"/>
      <c r="J103" s="12" t="str">
        <f t="array" ref="J103:K103">IFERROR(INDEX(PRECIOS_COMPLEMENTOS!$C$4:$F$17,MATCH(D103&amp;"_"&amp;E103,PRECIOS_COMPLEMENTOS!$H$4:$H$17,0),IF(OR(H103="S",H103="20cm"),1,IF(OR(H103="M",H103="25cm"),2,IF(OR(H103="L",H103="30cm"),3,IF(OR(H103="XL",H103="35cm"),4,0))))),0)</f>
        <v>#REF!</v>
      </c>
      <c r="K103" s="12">
        <f t="shared" si="1"/>
        <v>0</v>
      </c>
      <c r="L103" s="13">
        <f>IFERROR(IF(C103="",0,IF(D103="PRETINA",SUMIFS($I$4:$I$102,$C$4:$C$102,C103,$D$4:$D$102,D103,$E$4:$E$102,E103,$F$4:$F$102,F103,$G$4:$G$102,G103,$H$4:$H$102,H103,$B$4:$B$102,"INGRESO")+SUMIFS($I$4:$I$102,$C$4:$C$102,C103,$D$4:$D$102,D103,$E$4:$E$102,E103,$F$4:$F$102,F103,$G$4:$G$102,G103,$H$4:$H$102,H103,$B$4:$B$102,"DE CORTE")-SUMIFS($I$4:$I$102,$C$4:$C$102,C103,$D$4:$D$102,D103,$E$4:$E$102,E103,$F$4:$F$102,F103,$G$4:$G$102,G103,$H$4:$H$102,H103,$B$4:$B$102,"SALIDA"),SUMIFS($I$4:$I$102,$C$4:$C$102,C103,$D$4:$D$102,D103,$E$4:$E$102,E103,$G$4:$G$102,G103,$H$4:$H$102,H103,$B$4:$B$102,"INGRESO")+SUMIFS($I$4:$I$102,$C$4:$C$102,C103,$D$4:$D$102,D103,$E$4:$E$102,E103,$G$4:$G$102,G103,$H$4:$H$102,H103,$B$4:$B$102,"DE CORTE")-SUMIFS($I$4:$I$102,$C$4:$C$102,C103,$D$4:$D$102,D103,$E$4:$E$102,E103,$G$4:$G$102,G103,$H$4:$H$102,H103,$B$4:$B$102,"SALIDA"))),0)</f>
        <v>0</v>
      </c>
      <c r="M103" s="13">
        <f t="shared" si="2"/>
        <v>0</v>
      </c>
      <c r="N103" s="14"/>
      <c r="O103" s="14"/>
      <c r="P103" s="15"/>
      <c r="Q103" s="14"/>
    </row>
    <row r="104" ht="15.75" customHeight="1">
      <c r="A104" s="7"/>
      <c r="B104" s="8"/>
      <c r="C104" s="8"/>
      <c r="D104" s="8"/>
      <c r="E104" s="8"/>
      <c r="F104" s="14"/>
      <c r="G104" s="8"/>
      <c r="H104" s="8"/>
      <c r="I104" s="9"/>
      <c r="J104" s="12" t="str">
        <f t="array" ref="J104:K104">IFERROR(INDEX(PRECIOS_COMPLEMENTOS!$C$4:$F$17,MATCH(D104&amp;"_"&amp;E104,PRECIOS_COMPLEMENTOS!$H$4:$H$17,0),IF(OR(H104="S",H104="20cm"),1,IF(OR(H104="M",H104="25cm"),2,IF(OR(H104="L",H104="30cm"),3,IF(OR(H104="XL",H104="35cm"),4,0))))),0)</f>
        <v>#REF!</v>
      </c>
      <c r="K104" s="12">
        <f t="shared" si="1"/>
        <v>0</v>
      </c>
      <c r="L104" s="13">
        <f>IFERROR(IF(C104="",0,IF(D104="PRETINA",SUMIFS($I$4:$I$103,$C$4:$C$103,C104,$D$4:$D$103,D104,$E$4:$E$103,E104,$F$4:$F$103,F104,$G$4:$G$103,G104,$H$4:$H$103,H104,$B$4:$B$103,"INGRESO")+SUMIFS($I$4:$I$103,$C$4:$C$103,C104,$D$4:$D$103,D104,$E$4:$E$103,E104,$F$4:$F$103,F104,$G$4:$G$103,G104,$H$4:$H$103,H104,$B$4:$B$103,"DE CORTE")-SUMIFS($I$4:$I$103,$C$4:$C$103,C104,$D$4:$D$103,D104,$E$4:$E$103,E104,$F$4:$F$103,F104,$G$4:$G$103,G104,$H$4:$H$103,H104,$B$4:$B$103,"SALIDA"),SUMIFS($I$4:$I$103,$C$4:$C$103,C104,$D$4:$D$103,D104,$E$4:$E$103,E104,$G$4:$G$103,G104,$H$4:$H$103,H104,$B$4:$B$103,"INGRESO")+SUMIFS($I$4:$I$103,$C$4:$C$103,C104,$D$4:$D$103,D104,$E$4:$E$103,E104,$G$4:$G$103,G104,$H$4:$H$103,H104,$B$4:$B$103,"DE CORTE")-SUMIFS($I$4:$I$103,$C$4:$C$103,C104,$D$4:$D$103,D104,$E$4:$E$103,E104,$G$4:$G$103,G104,$H$4:$H$103,H104,$B$4:$B$103,"SALIDA"))),0)</f>
        <v>0</v>
      </c>
      <c r="M104" s="13">
        <f t="shared" si="2"/>
        <v>0</v>
      </c>
      <c r="N104" s="14"/>
      <c r="O104" s="14"/>
      <c r="P104" s="15"/>
      <c r="Q104" s="14"/>
    </row>
    <row r="105" ht="15.75" customHeight="1">
      <c r="A105" s="7"/>
      <c r="B105" s="8"/>
      <c r="C105" s="8"/>
      <c r="D105" s="8"/>
      <c r="E105" s="8"/>
      <c r="F105" s="14"/>
      <c r="G105" s="8"/>
      <c r="H105" s="8"/>
      <c r="I105" s="9"/>
      <c r="J105" s="12" t="str">
        <f t="array" ref="J105:K105">IFERROR(INDEX(PRECIOS_COMPLEMENTOS!$C$4:$F$17,MATCH(D105&amp;"_"&amp;E105,PRECIOS_COMPLEMENTOS!$H$4:$H$17,0),IF(OR(H105="S",H105="20cm"),1,IF(OR(H105="M",H105="25cm"),2,IF(OR(H105="L",H105="30cm"),3,IF(OR(H105="XL",H105="35cm"),4,0))))),0)</f>
        <v>#REF!</v>
      </c>
      <c r="K105" s="12">
        <f t="shared" si="1"/>
        <v>0</v>
      </c>
      <c r="L105" s="13">
        <f>IFERROR(IF(C105="",0,IF(D105="PRETINA",SUMIFS($I$4:$I$104,$C$4:$C$104,C105,$D$4:$D$104,D105,$E$4:$E$104,E105,$F$4:$F$104,F105,$G$4:$G$104,G105,$H$4:$H$104,H105,$B$4:$B$104,"INGRESO")+SUMIFS($I$4:$I$104,$C$4:$C$104,C105,$D$4:$D$104,D105,$E$4:$E$104,E105,$F$4:$F$104,F105,$G$4:$G$104,G105,$H$4:$H$104,H105,$B$4:$B$104,"DE CORTE")-SUMIFS($I$4:$I$104,$C$4:$C$104,C105,$D$4:$D$104,D105,$E$4:$E$104,E105,$F$4:$F$104,F105,$G$4:$G$104,G105,$H$4:$H$104,H105,$B$4:$B$104,"SALIDA"),SUMIFS($I$4:$I$104,$C$4:$C$104,C105,$D$4:$D$104,D105,$E$4:$E$104,E105,$G$4:$G$104,G105,$H$4:$H$104,H105,$B$4:$B$104,"INGRESO")+SUMIFS($I$4:$I$104,$C$4:$C$104,C105,$D$4:$D$104,D105,$E$4:$E$104,E105,$G$4:$G$104,G105,$H$4:$H$104,H105,$B$4:$B$104,"DE CORTE")-SUMIFS($I$4:$I$104,$C$4:$C$104,C105,$D$4:$D$104,D105,$E$4:$E$104,E105,$G$4:$G$104,G105,$H$4:$H$104,H105,$B$4:$B$104,"SALIDA"))),0)</f>
        <v>0</v>
      </c>
      <c r="M105" s="13">
        <f t="shared" si="2"/>
        <v>0</v>
      </c>
      <c r="N105" s="14"/>
      <c r="O105" s="14"/>
      <c r="P105" s="15"/>
      <c r="Q105" s="14"/>
    </row>
    <row r="106" ht="15.75" customHeight="1">
      <c r="A106" s="7"/>
      <c r="B106" s="8"/>
      <c r="C106" s="8"/>
      <c r="D106" s="8"/>
      <c r="E106" s="8"/>
      <c r="F106" s="14"/>
      <c r="G106" s="8"/>
      <c r="H106" s="8"/>
      <c r="I106" s="9"/>
      <c r="J106" s="12" t="str">
        <f t="array" ref="J106:K106">IFERROR(INDEX(PRECIOS_COMPLEMENTOS!$C$4:$F$17,MATCH(D106&amp;"_"&amp;E106,PRECIOS_COMPLEMENTOS!$H$4:$H$17,0),IF(OR(H106="S",H106="20cm"),1,IF(OR(H106="M",H106="25cm"),2,IF(OR(H106="L",H106="30cm"),3,IF(OR(H106="XL",H106="35cm"),4,0))))),0)</f>
        <v>#REF!</v>
      </c>
      <c r="K106" s="12">
        <f t="shared" si="1"/>
        <v>0</v>
      </c>
      <c r="L106" s="13">
        <f>IFERROR(IF(C106="",0,IF(D106="PRETINA",SUMIFS($I$4:$I$105,$C$4:$C$105,C106,$D$4:$D$105,D106,$E$4:$E$105,E106,$F$4:$F$105,F106,$G$4:$G$105,G106,$H$4:$H$105,H106,$B$4:$B$105,"INGRESO")+SUMIFS($I$4:$I$105,$C$4:$C$105,C106,$D$4:$D$105,D106,$E$4:$E$105,E106,$F$4:$F$105,F106,$G$4:$G$105,G106,$H$4:$H$105,H106,$B$4:$B$105,"DE CORTE")-SUMIFS($I$4:$I$105,$C$4:$C$105,C106,$D$4:$D$105,D106,$E$4:$E$105,E106,$F$4:$F$105,F106,$G$4:$G$105,G106,$H$4:$H$105,H106,$B$4:$B$105,"SALIDA"),SUMIFS($I$4:$I$105,$C$4:$C$105,C106,$D$4:$D$105,D106,$E$4:$E$105,E106,$G$4:$G$105,G106,$H$4:$H$105,H106,$B$4:$B$105,"INGRESO")+SUMIFS($I$4:$I$105,$C$4:$C$105,C106,$D$4:$D$105,D106,$E$4:$E$105,E106,$G$4:$G$105,G106,$H$4:$H$105,H106,$B$4:$B$105,"DE CORTE")-SUMIFS($I$4:$I$105,$C$4:$C$105,C106,$D$4:$D$105,D106,$E$4:$E$105,E106,$G$4:$G$105,G106,$H$4:$H$105,H106,$B$4:$B$105,"SALIDA"))),0)</f>
        <v>0</v>
      </c>
      <c r="M106" s="13">
        <f t="shared" si="2"/>
        <v>0</v>
      </c>
      <c r="N106" s="14"/>
      <c r="O106" s="14"/>
      <c r="P106" s="15"/>
      <c r="Q106" s="14"/>
    </row>
    <row r="107" ht="15.75" customHeight="1">
      <c r="A107" s="7"/>
      <c r="B107" s="8"/>
      <c r="C107" s="8"/>
      <c r="D107" s="8"/>
      <c r="E107" s="8"/>
      <c r="F107" s="14"/>
      <c r="G107" s="8"/>
      <c r="H107" s="8"/>
      <c r="I107" s="9"/>
      <c r="J107" s="12" t="str">
        <f t="array" ref="J107:K107">IFERROR(INDEX(PRECIOS_COMPLEMENTOS!$C$4:$F$17,MATCH(D107&amp;"_"&amp;E107,PRECIOS_COMPLEMENTOS!$H$4:$H$17,0),IF(OR(H107="S",H107="20cm"),1,IF(OR(H107="M",H107="25cm"),2,IF(OR(H107="L",H107="30cm"),3,IF(OR(H107="XL",H107="35cm"),4,0))))),0)</f>
        <v>#REF!</v>
      </c>
      <c r="K107" s="12">
        <f t="shared" si="1"/>
        <v>0</v>
      </c>
      <c r="L107" s="13">
        <f>IFERROR(IF(C107="",0,IF(D107="PRETINA",SUMIFS($I$4:$I$106,$C$4:$C$106,C107,$D$4:$D$106,D107,$E$4:$E$106,E107,$F$4:$F$106,F107,$G$4:$G$106,G107,$H$4:$H$106,H107,$B$4:$B$106,"INGRESO")+SUMIFS($I$4:$I$106,$C$4:$C$106,C107,$D$4:$D$106,D107,$E$4:$E$106,E107,$F$4:$F$106,F107,$G$4:$G$106,G107,$H$4:$H$106,H107,$B$4:$B$106,"DE CORTE")-SUMIFS($I$4:$I$106,$C$4:$C$106,C107,$D$4:$D$106,D107,$E$4:$E$106,E107,$F$4:$F$106,F107,$G$4:$G$106,G107,$H$4:$H$106,H107,$B$4:$B$106,"SALIDA"),SUMIFS($I$4:$I$106,$C$4:$C$106,C107,$D$4:$D$106,D107,$E$4:$E$106,E107,$G$4:$G$106,G107,$H$4:$H$106,H107,$B$4:$B$106,"INGRESO")+SUMIFS($I$4:$I$106,$C$4:$C$106,C107,$D$4:$D$106,D107,$E$4:$E$106,E107,$G$4:$G$106,G107,$H$4:$H$106,H107,$B$4:$B$106,"DE CORTE")-SUMIFS($I$4:$I$106,$C$4:$C$106,C107,$D$4:$D$106,D107,$E$4:$E$106,E107,$G$4:$G$106,G107,$H$4:$H$106,H107,$B$4:$B$106,"SALIDA"))),0)</f>
        <v>0</v>
      </c>
      <c r="M107" s="13">
        <f t="shared" si="2"/>
        <v>0</v>
      </c>
      <c r="N107" s="14"/>
      <c r="O107" s="14"/>
      <c r="P107" s="15"/>
      <c r="Q107" s="14"/>
    </row>
    <row r="108" ht="15.75" customHeight="1">
      <c r="A108" s="7"/>
      <c r="B108" s="8"/>
      <c r="C108" s="8"/>
      <c r="D108" s="8"/>
      <c r="E108" s="8"/>
      <c r="F108" s="14"/>
      <c r="G108" s="8"/>
      <c r="H108" s="8"/>
      <c r="I108" s="9"/>
      <c r="J108" s="12" t="str">
        <f t="array" ref="J108:K108">IFERROR(INDEX(PRECIOS_COMPLEMENTOS!$C$4:$F$17,MATCH(D108&amp;"_"&amp;E108,PRECIOS_COMPLEMENTOS!$H$4:$H$17,0),IF(OR(H108="S",H108="20cm"),1,IF(OR(H108="M",H108="25cm"),2,IF(OR(H108="L",H108="30cm"),3,IF(OR(H108="XL",H108="35cm"),4,0))))),0)</f>
        <v>#REF!</v>
      </c>
      <c r="K108" s="12">
        <f t="shared" si="1"/>
        <v>0</v>
      </c>
      <c r="L108" s="13">
        <f>IFERROR(IF(C108="",0,IF(D108="PRETINA",SUMIFS($I$4:$I$107,$C$4:$C$107,C108,$D$4:$D$107,D108,$E$4:$E$107,E108,$F$4:$F$107,F108,$G$4:$G$107,G108,$H$4:$H$107,H108,$B$4:$B$107,"INGRESO")+SUMIFS($I$4:$I$107,$C$4:$C$107,C108,$D$4:$D$107,D108,$E$4:$E$107,E108,$F$4:$F$107,F108,$G$4:$G$107,G108,$H$4:$H$107,H108,$B$4:$B$107,"DE CORTE")-SUMIFS($I$4:$I$107,$C$4:$C$107,C108,$D$4:$D$107,D108,$E$4:$E$107,E108,$F$4:$F$107,F108,$G$4:$G$107,G108,$H$4:$H$107,H108,$B$4:$B$107,"SALIDA"),SUMIFS($I$4:$I$107,$C$4:$C$107,C108,$D$4:$D$107,D108,$E$4:$E$107,E108,$G$4:$G$107,G108,$H$4:$H$107,H108,$B$4:$B$107,"INGRESO")+SUMIFS($I$4:$I$107,$C$4:$C$107,C108,$D$4:$D$107,D108,$E$4:$E$107,E108,$G$4:$G$107,G108,$H$4:$H$107,H108,$B$4:$B$107,"DE CORTE")-SUMIFS($I$4:$I$107,$C$4:$C$107,C108,$D$4:$D$107,D108,$E$4:$E$107,E108,$G$4:$G$107,G108,$H$4:$H$107,H108,$B$4:$B$107,"SALIDA"))),0)</f>
        <v>0</v>
      </c>
      <c r="M108" s="13">
        <f t="shared" si="2"/>
        <v>0</v>
      </c>
      <c r="N108" s="14"/>
      <c r="O108" s="14"/>
      <c r="P108" s="15"/>
      <c r="Q108" s="14"/>
    </row>
    <row r="109" ht="15.75" customHeight="1">
      <c r="A109" s="7"/>
      <c r="B109" s="8"/>
      <c r="C109" s="8"/>
      <c r="D109" s="8"/>
      <c r="E109" s="8"/>
      <c r="F109" s="14"/>
      <c r="G109" s="8"/>
      <c r="H109" s="8"/>
      <c r="I109" s="9"/>
      <c r="J109" s="12" t="str">
        <f t="array" ref="J109:K109">IFERROR(INDEX(PRECIOS_COMPLEMENTOS!$C$4:$F$17,MATCH(D109&amp;"_"&amp;E109,PRECIOS_COMPLEMENTOS!$H$4:$H$17,0),IF(OR(H109="S",H109="20cm"),1,IF(OR(H109="M",H109="25cm"),2,IF(OR(H109="L",H109="30cm"),3,IF(OR(H109="XL",H109="35cm"),4,0))))),0)</f>
        <v>#REF!</v>
      </c>
      <c r="K109" s="12">
        <f t="shared" si="1"/>
        <v>0</v>
      </c>
      <c r="L109" s="13">
        <f>IFERROR(IF(C109="",0,IF(D109="PRETINA",SUMIFS($I$4:$I$108,$C$4:$C$108,C109,$D$4:$D$108,D109,$E$4:$E$108,E109,$F$4:$F$108,F109,$G$4:$G$108,G109,$H$4:$H$108,H109,$B$4:$B$108,"INGRESO")+SUMIFS($I$4:$I$108,$C$4:$C$108,C109,$D$4:$D$108,D109,$E$4:$E$108,E109,$F$4:$F$108,F109,$G$4:$G$108,G109,$H$4:$H$108,H109,$B$4:$B$108,"DE CORTE")-SUMIFS($I$4:$I$108,$C$4:$C$108,C109,$D$4:$D$108,D109,$E$4:$E$108,E109,$F$4:$F$108,F109,$G$4:$G$108,G109,$H$4:$H$108,H109,$B$4:$B$108,"SALIDA"),SUMIFS($I$4:$I$108,$C$4:$C$108,C109,$D$4:$D$108,D109,$E$4:$E$108,E109,$G$4:$G$108,G109,$H$4:$H$108,H109,$B$4:$B$108,"INGRESO")+SUMIFS($I$4:$I$108,$C$4:$C$108,C109,$D$4:$D$108,D109,$E$4:$E$108,E109,$G$4:$G$108,G109,$H$4:$H$108,H109,$B$4:$B$108,"DE CORTE")-SUMIFS($I$4:$I$108,$C$4:$C$108,C109,$D$4:$D$108,D109,$E$4:$E$108,E109,$G$4:$G$108,G109,$H$4:$H$108,H109,$B$4:$B$108,"SALIDA"))),0)</f>
        <v>0</v>
      </c>
      <c r="M109" s="13">
        <f t="shared" si="2"/>
        <v>0</v>
      </c>
      <c r="N109" s="14"/>
      <c r="O109" s="14"/>
      <c r="P109" s="15"/>
      <c r="Q109" s="14"/>
    </row>
    <row r="110" ht="15.75" customHeight="1">
      <c r="A110" s="7"/>
      <c r="B110" s="8"/>
      <c r="C110" s="8"/>
      <c r="D110" s="8"/>
      <c r="E110" s="8"/>
      <c r="F110" s="14"/>
      <c r="G110" s="8"/>
      <c r="H110" s="8"/>
      <c r="I110" s="9"/>
      <c r="J110" s="12" t="str">
        <f t="array" ref="J110:K110">IFERROR(INDEX(PRECIOS_COMPLEMENTOS!$C$4:$F$17,MATCH(D110&amp;"_"&amp;E110,PRECIOS_COMPLEMENTOS!$H$4:$H$17,0),IF(OR(H110="S",H110="20cm"),1,IF(OR(H110="M",H110="25cm"),2,IF(OR(H110="L",H110="30cm"),3,IF(OR(H110="XL",H110="35cm"),4,0))))),0)</f>
        <v>#REF!</v>
      </c>
      <c r="K110" s="12">
        <f t="shared" si="1"/>
        <v>0</v>
      </c>
      <c r="L110" s="13">
        <f>IFERROR(IF(C110="",0,IF(D110="PRETINA",SUMIFS($I$4:$I$109,$C$4:$C$109,C110,$D$4:$D$109,D110,$E$4:$E$109,E110,$F$4:$F$109,F110,$G$4:$G$109,G110,$H$4:$H$109,H110,$B$4:$B$109,"INGRESO")+SUMIFS($I$4:$I$109,$C$4:$C$109,C110,$D$4:$D$109,D110,$E$4:$E$109,E110,$F$4:$F$109,F110,$G$4:$G$109,G110,$H$4:$H$109,H110,$B$4:$B$109,"DE CORTE")-SUMIFS($I$4:$I$109,$C$4:$C$109,C110,$D$4:$D$109,D110,$E$4:$E$109,E110,$F$4:$F$109,F110,$G$4:$G$109,G110,$H$4:$H$109,H110,$B$4:$B$109,"SALIDA"),SUMIFS($I$4:$I$109,$C$4:$C$109,C110,$D$4:$D$109,D110,$E$4:$E$109,E110,$G$4:$G$109,G110,$H$4:$H$109,H110,$B$4:$B$109,"INGRESO")+SUMIFS($I$4:$I$109,$C$4:$C$109,C110,$D$4:$D$109,D110,$E$4:$E$109,E110,$G$4:$G$109,G110,$H$4:$H$109,H110,$B$4:$B$109,"DE CORTE")-SUMIFS($I$4:$I$109,$C$4:$C$109,C110,$D$4:$D$109,D110,$E$4:$E$109,E110,$G$4:$G$109,G110,$H$4:$H$109,H110,$B$4:$B$109,"SALIDA"))),0)</f>
        <v>0</v>
      </c>
      <c r="M110" s="13">
        <f t="shared" si="2"/>
        <v>0</v>
      </c>
      <c r="N110" s="14"/>
      <c r="O110" s="14"/>
      <c r="P110" s="15"/>
      <c r="Q110" s="14"/>
    </row>
    <row r="111" ht="15.75" customHeight="1">
      <c r="A111" s="7"/>
      <c r="B111" s="8"/>
      <c r="C111" s="8"/>
      <c r="D111" s="8"/>
      <c r="E111" s="8"/>
      <c r="F111" s="14"/>
      <c r="G111" s="8"/>
      <c r="H111" s="8"/>
      <c r="I111" s="9"/>
      <c r="J111" s="12" t="str">
        <f t="array" ref="J111:K111">IFERROR(INDEX(PRECIOS_COMPLEMENTOS!$C$4:$F$17,MATCH(D111&amp;"_"&amp;E111,PRECIOS_COMPLEMENTOS!$H$4:$H$17,0),IF(OR(H111="S",H111="20cm"),1,IF(OR(H111="M",H111="25cm"),2,IF(OR(H111="L",H111="30cm"),3,IF(OR(H111="XL",H111="35cm"),4,0))))),0)</f>
        <v>#REF!</v>
      </c>
      <c r="K111" s="12">
        <f t="shared" si="1"/>
        <v>0</v>
      </c>
      <c r="L111" s="13">
        <f>IFERROR(IF(C111="",0,IF(D111="PRETINA",SUMIFS($I$4:$I$110,$C$4:$C$110,C111,$D$4:$D$110,D111,$E$4:$E$110,E111,$F$4:$F$110,F111,$G$4:$G$110,G111,$H$4:$H$110,H111,$B$4:$B$110,"INGRESO")+SUMIFS($I$4:$I$110,$C$4:$C$110,C111,$D$4:$D$110,D111,$E$4:$E$110,E111,$F$4:$F$110,F111,$G$4:$G$110,G111,$H$4:$H$110,H111,$B$4:$B$110,"DE CORTE")-SUMIFS($I$4:$I$110,$C$4:$C$110,C111,$D$4:$D$110,D111,$E$4:$E$110,E111,$F$4:$F$110,F111,$G$4:$G$110,G111,$H$4:$H$110,H111,$B$4:$B$110,"SALIDA"),SUMIFS($I$4:$I$110,$C$4:$C$110,C111,$D$4:$D$110,D111,$E$4:$E$110,E111,$G$4:$G$110,G111,$H$4:$H$110,H111,$B$4:$B$110,"INGRESO")+SUMIFS($I$4:$I$110,$C$4:$C$110,C111,$D$4:$D$110,D111,$E$4:$E$110,E111,$G$4:$G$110,G111,$H$4:$H$110,H111,$B$4:$B$110,"DE CORTE")-SUMIFS($I$4:$I$110,$C$4:$C$110,C111,$D$4:$D$110,D111,$E$4:$E$110,E111,$G$4:$G$110,G111,$H$4:$H$110,H111,$B$4:$B$110,"SALIDA"))),0)</f>
        <v>0</v>
      </c>
      <c r="M111" s="13">
        <f t="shared" si="2"/>
        <v>0</v>
      </c>
      <c r="N111" s="14"/>
      <c r="O111" s="14"/>
      <c r="P111" s="15"/>
      <c r="Q111" s="14"/>
    </row>
    <row r="112" ht="15.75" customHeight="1">
      <c r="A112" s="7"/>
      <c r="B112" s="8"/>
      <c r="C112" s="8"/>
      <c r="D112" s="8"/>
      <c r="E112" s="8"/>
      <c r="F112" s="14"/>
      <c r="G112" s="8"/>
      <c r="H112" s="8"/>
      <c r="I112" s="9"/>
      <c r="J112" s="12" t="str">
        <f t="array" ref="J112:K112">IFERROR(INDEX(PRECIOS_COMPLEMENTOS!$C$4:$F$17,MATCH(D112&amp;"_"&amp;E112,PRECIOS_COMPLEMENTOS!$H$4:$H$17,0),IF(OR(H112="S",H112="20cm"),1,IF(OR(H112="M",H112="25cm"),2,IF(OR(H112="L",H112="30cm"),3,IF(OR(H112="XL",H112="35cm"),4,0))))),0)</f>
        <v>#REF!</v>
      </c>
      <c r="K112" s="12">
        <f t="shared" si="1"/>
        <v>0</v>
      </c>
      <c r="L112" s="13">
        <f>IFERROR(IF(C112="",0,IF(D112="PRETINA",SUMIFS($I$4:$I$111,$C$4:$C$111,C112,$D$4:$D$111,D112,$E$4:$E$111,E112,$F$4:$F$111,F112,$G$4:$G$111,G112,$H$4:$H$111,H112,$B$4:$B$111,"INGRESO")+SUMIFS($I$4:$I$111,$C$4:$C$111,C112,$D$4:$D$111,D112,$E$4:$E$111,E112,$F$4:$F$111,F112,$G$4:$G$111,G112,$H$4:$H$111,H112,$B$4:$B$111,"DE CORTE")-SUMIFS($I$4:$I$111,$C$4:$C$111,C112,$D$4:$D$111,D112,$E$4:$E$111,E112,$F$4:$F$111,F112,$G$4:$G$111,G112,$H$4:$H$111,H112,$B$4:$B$111,"SALIDA"),SUMIFS($I$4:$I$111,$C$4:$C$111,C112,$D$4:$D$111,D112,$E$4:$E$111,E112,$G$4:$G$111,G112,$H$4:$H$111,H112,$B$4:$B$111,"INGRESO")+SUMIFS($I$4:$I$111,$C$4:$C$111,C112,$D$4:$D$111,D112,$E$4:$E$111,E112,$G$4:$G$111,G112,$H$4:$H$111,H112,$B$4:$B$111,"DE CORTE")-SUMIFS($I$4:$I$111,$C$4:$C$111,C112,$D$4:$D$111,D112,$E$4:$E$111,E112,$G$4:$G$111,G112,$H$4:$H$111,H112,$B$4:$B$111,"SALIDA"))),0)</f>
        <v>0</v>
      </c>
      <c r="M112" s="13">
        <f t="shared" si="2"/>
        <v>0</v>
      </c>
      <c r="N112" s="14"/>
      <c r="O112" s="14"/>
      <c r="P112" s="15"/>
      <c r="Q112" s="14"/>
    </row>
    <row r="113" ht="15.75" customHeight="1">
      <c r="A113" s="7"/>
      <c r="B113" s="8"/>
      <c r="C113" s="8"/>
      <c r="D113" s="8"/>
      <c r="E113" s="8"/>
      <c r="F113" s="14"/>
      <c r="G113" s="8"/>
      <c r="H113" s="8"/>
      <c r="I113" s="9"/>
      <c r="J113" s="12" t="str">
        <f t="array" ref="J113:K113">IFERROR(INDEX(PRECIOS_COMPLEMENTOS!$C$4:$F$17,MATCH(D113&amp;"_"&amp;E113,PRECIOS_COMPLEMENTOS!$H$4:$H$17,0),IF(OR(H113="S",H113="20cm"),1,IF(OR(H113="M",H113="25cm"),2,IF(OR(H113="L",H113="30cm"),3,IF(OR(H113="XL",H113="35cm"),4,0))))),0)</f>
        <v>#REF!</v>
      </c>
      <c r="K113" s="12">
        <f t="shared" si="1"/>
        <v>0</v>
      </c>
      <c r="L113" s="13">
        <f>IFERROR(IF(C113="",0,IF(D113="PRETINA",SUMIFS($I$4:$I$112,$C$4:$C$112,C113,$D$4:$D$112,D113,$E$4:$E$112,E113,$F$4:$F$112,F113,$G$4:$G$112,G113,$H$4:$H$112,H113,$B$4:$B$112,"INGRESO")+SUMIFS($I$4:$I$112,$C$4:$C$112,C113,$D$4:$D$112,D113,$E$4:$E$112,E113,$F$4:$F$112,F113,$G$4:$G$112,G113,$H$4:$H$112,H113,$B$4:$B$112,"DE CORTE")-SUMIFS($I$4:$I$112,$C$4:$C$112,C113,$D$4:$D$112,D113,$E$4:$E$112,E113,$F$4:$F$112,F113,$G$4:$G$112,G113,$H$4:$H$112,H113,$B$4:$B$112,"SALIDA"),SUMIFS($I$4:$I$112,$C$4:$C$112,C113,$D$4:$D$112,D113,$E$4:$E$112,E113,$G$4:$G$112,G113,$H$4:$H$112,H113,$B$4:$B$112,"INGRESO")+SUMIFS($I$4:$I$112,$C$4:$C$112,C113,$D$4:$D$112,D113,$E$4:$E$112,E113,$G$4:$G$112,G113,$H$4:$H$112,H113,$B$4:$B$112,"DE CORTE")-SUMIFS($I$4:$I$112,$C$4:$C$112,C113,$D$4:$D$112,D113,$E$4:$E$112,E113,$G$4:$G$112,G113,$H$4:$H$112,H113,$B$4:$B$112,"SALIDA"))),0)</f>
        <v>0</v>
      </c>
      <c r="M113" s="13">
        <f t="shared" si="2"/>
        <v>0</v>
      </c>
      <c r="N113" s="14"/>
      <c r="O113" s="14"/>
      <c r="P113" s="15"/>
      <c r="Q113" s="14"/>
    </row>
    <row r="114" ht="15.75" customHeight="1">
      <c r="A114" s="7"/>
      <c r="B114" s="8"/>
      <c r="C114" s="8"/>
      <c r="D114" s="8"/>
      <c r="E114" s="8"/>
      <c r="F114" s="14"/>
      <c r="G114" s="8"/>
      <c r="H114" s="8"/>
      <c r="I114" s="9"/>
      <c r="J114" s="12" t="str">
        <f t="array" ref="J114:K114">IFERROR(INDEX(PRECIOS_COMPLEMENTOS!$C$4:$F$17,MATCH(D114&amp;"_"&amp;E114,PRECIOS_COMPLEMENTOS!$H$4:$H$17,0),IF(OR(H114="S",H114="20cm"),1,IF(OR(H114="M",H114="25cm"),2,IF(OR(H114="L",H114="30cm"),3,IF(OR(H114="XL",H114="35cm"),4,0))))),0)</f>
        <v>#REF!</v>
      </c>
      <c r="K114" s="12">
        <f t="shared" si="1"/>
        <v>0</v>
      </c>
      <c r="L114" s="13">
        <f>IFERROR(IF(C114="",0,IF(D114="PRETINA",SUMIFS($I$4:$I$113,$C$4:$C$113,C114,$D$4:$D$113,D114,$E$4:$E$113,E114,$F$4:$F$113,F114,$G$4:$G$113,G114,$H$4:$H$113,H114,$B$4:$B$113,"INGRESO")+SUMIFS($I$4:$I$113,$C$4:$C$113,C114,$D$4:$D$113,D114,$E$4:$E$113,E114,$F$4:$F$113,F114,$G$4:$G$113,G114,$H$4:$H$113,H114,$B$4:$B$113,"DE CORTE")-SUMIFS($I$4:$I$113,$C$4:$C$113,C114,$D$4:$D$113,D114,$E$4:$E$113,E114,$F$4:$F$113,F114,$G$4:$G$113,G114,$H$4:$H$113,H114,$B$4:$B$113,"SALIDA"),SUMIFS($I$4:$I$113,$C$4:$C$113,C114,$D$4:$D$113,D114,$E$4:$E$113,E114,$G$4:$G$113,G114,$H$4:$H$113,H114,$B$4:$B$113,"INGRESO")+SUMIFS($I$4:$I$113,$C$4:$C$113,C114,$D$4:$D$113,D114,$E$4:$E$113,E114,$G$4:$G$113,G114,$H$4:$H$113,H114,$B$4:$B$113,"DE CORTE")-SUMIFS($I$4:$I$113,$C$4:$C$113,C114,$D$4:$D$113,D114,$E$4:$E$113,E114,$G$4:$G$113,G114,$H$4:$H$113,H114,$B$4:$B$113,"SALIDA"))),0)</f>
        <v>0</v>
      </c>
      <c r="M114" s="13">
        <f t="shared" si="2"/>
        <v>0</v>
      </c>
      <c r="N114" s="14"/>
      <c r="O114" s="14"/>
      <c r="P114" s="15"/>
      <c r="Q114" s="14"/>
    </row>
    <row r="115" ht="15.75" customHeight="1">
      <c r="A115" s="7"/>
      <c r="B115" s="8"/>
      <c r="C115" s="8"/>
      <c r="D115" s="8"/>
      <c r="E115" s="8"/>
      <c r="F115" s="14"/>
      <c r="G115" s="8"/>
      <c r="H115" s="8"/>
      <c r="I115" s="9"/>
      <c r="J115" s="12" t="str">
        <f t="array" ref="J115:K115">IFERROR(INDEX(PRECIOS_COMPLEMENTOS!$C$4:$F$17,MATCH(D115&amp;"_"&amp;E115,PRECIOS_COMPLEMENTOS!$H$4:$H$17,0),IF(OR(H115="S",H115="20cm"),1,IF(OR(H115="M",H115="25cm"),2,IF(OR(H115="L",H115="30cm"),3,IF(OR(H115="XL",H115="35cm"),4,0))))),0)</f>
        <v>#REF!</v>
      </c>
      <c r="K115" s="12">
        <f t="shared" si="1"/>
        <v>0</v>
      </c>
      <c r="L115" s="13">
        <f>IFERROR(IF(C115="",0,IF(D115="PRETINA",SUMIFS($I$4:$I$114,$C$4:$C$114,C115,$D$4:$D$114,D115,$E$4:$E$114,E115,$F$4:$F$114,F115,$G$4:$G$114,G115,$H$4:$H$114,H115,$B$4:$B$114,"INGRESO")+SUMIFS($I$4:$I$114,$C$4:$C$114,C115,$D$4:$D$114,D115,$E$4:$E$114,E115,$F$4:$F$114,F115,$G$4:$G$114,G115,$H$4:$H$114,H115,$B$4:$B$114,"DE CORTE")-SUMIFS($I$4:$I$114,$C$4:$C$114,C115,$D$4:$D$114,D115,$E$4:$E$114,E115,$F$4:$F$114,F115,$G$4:$G$114,G115,$H$4:$H$114,H115,$B$4:$B$114,"SALIDA"),SUMIFS($I$4:$I$114,$C$4:$C$114,C115,$D$4:$D$114,D115,$E$4:$E$114,E115,$G$4:$G$114,G115,$H$4:$H$114,H115,$B$4:$B$114,"INGRESO")+SUMIFS($I$4:$I$114,$C$4:$C$114,C115,$D$4:$D$114,D115,$E$4:$E$114,E115,$G$4:$G$114,G115,$H$4:$H$114,H115,$B$4:$B$114,"DE CORTE")-SUMIFS($I$4:$I$114,$C$4:$C$114,C115,$D$4:$D$114,D115,$E$4:$E$114,E115,$G$4:$G$114,G115,$H$4:$H$114,H115,$B$4:$B$114,"SALIDA"))),0)</f>
        <v>0</v>
      </c>
      <c r="M115" s="13">
        <f t="shared" si="2"/>
        <v>0</v>
      </c>
      <c r="N115" s="14"/>
      <c r="O115" s="14"/>
      <c r="P115" s="15"/>
      <c r="Q115" s="14"/>
    </row>
    <row r="116" ht="15.75" customHeight="1">
      <c r="A116" s="7"/>
      <c r="B116" s="8"/>
      <c r="C116" s="8"/>
      <c r="D116" s="8"/>
      <c r="E116" s="8"/>
      <c r="F116" s="14"/>
      <c r="G116" s="8"/>
      <c r="H116" s="8"/>
      <c r="I116" s="9"/>
      <c r="J116" s="12" t="str">
        <f t="array" ref="J116:K116">IFERROR(INDEX(PRECIOS_COMPLEMENTOS!$C$4:$F$17,MATCH(D116&amp;"_"&amp;E116,PRECIOS_COMPLEMENTOS!$H$4:$H$17,0),IF(OR(H116="S",H116="20cm"),1,IF(OR(H116="M",H116="25cm"),2,IF(OR(H116="L",H116="30cm"),3,IF(OR(H116="XL",H116="35cm"),4,0))))),0)</f>
        <v>#REF!</v>
      </c>
      <c r="K116" s="12">
        <f t="shared" si="1"/>
        <v>0</v>
      </c>
      <c r="L116" s="13">
        <f>IFERROR(IF(C116="",0,IF(D116="PRETINA",SUMIFS($I$4:$I$115,$C$4:$C$115,C116,$D$4:$D$115,D116,$E$4:$E$115,E116,$F$4:$F$115,F116,$G$4:$G$115,G116,$H$4:$H$115,H116,$B$4:$B$115,"INGRESO")+SUMIFS($I$4:$I$115,$C$4:$C$115,C116,$D$4:$D$115,D116,$E$4:$E$115,E116,$F$4:$F$115,F116,$G$4:$G$115,G116,$H$4:$H$115,H116,$B$4:$B$115,"DE CORTE")-SUMIFS($I$4:$I$115,$C$4:$C$115,C116,$D$4:$D$115,D116,$E$4:$E$115,E116,$F$4:$F$115,F116,$G$4:$G$115,G116,$H$4:$H$115,H116,$B$4:$B$115,"SALIDA"),SUMIFS($I$4:$I$115,$C$4:$C$115,C116,$D$4:$D$115,D116,$E$4:$E$115,E116,$G$4:$G$115,G116,$H$4:$H$115,H116,$B$4:$B$115,"INGRESO")+SUMIFS($I$4:$I$115,$C$4:$C$115,C116,$D$4:$D$115,D116,$E$4:$E$115,E116,$G$4:$G$115,G116,$H$4:$H$115,H116,$B$4:$B$115,"DE CORTE")-SUMIFS($I$4:$I$115,$C$4:$C$115,C116,$D$4:$D$115,D116,$E$4:$E$115,E116,$G$4:$G$115,G116,$H$4:$H$115,H116,$B$4:$B$115,"SALIDA"))),0)</f>
        <v>0</v>
      </c>
      <c r="M116" s="13">
        <f t="shared" si="2"/>
        <v>0</v>
      </c>
      <c r="N116" s="14"/>
      <c r="O116" s="14"/>
      <c r="P116" s="15"/>
      <c r="Q116" s="14"/>
    </row>
    <row r="117" ht="15.75" customHeight="1">
      <c r="A117" s="7"/>
      <c r="B117" s="8"/>
      <c r="C117" s="8"/>
      <c r="D117" s="8"/>
      <c r="E117" s="8"/>
      <c r="F117" s="14"/>
      <c r="G117" s="8"/>
      <c r="H117" s="8"/>
      <c r="I117" s="9"/>
      <c r="J117" s="12" t="str">
        <f t="array" ref="J117:K117">IFERROR(INDEX(PRECIOS_COMPLEMENTOS!$C$4:$F$17,MATCH(D117&amp;"_"&amp;E117,PRECIOS_COMPLEMENTOS!$H$4:$H$17,0),IF(OR(H117="S",H117="20cm"),1,IF(OR(H117="M",H117="25cm"),2,IF(OR(H117="L",H117="30cm"),3,IF(OR(H117="XL",H117="35cm"),4,0))))),0)</f>
        <v>#REF!</v>
      </c>
      <c r="K117" s="12">
        <f t="shared" si="1"/>
        <v>0</v>
      </c>
      <c r="L117" s="13">
        <f>IFERROR(IF(C117="",0,IF(D117="PRETINA",SUMIFS($I$4:$I$116,$C$4:$C$116,C117,$D$4:$D$116,D117,$E$4:$E$116,E117,$F$4:$F$116,F117,$G$4:$G$116,G117,$H$4:$H$116,H117,$B$4:$B$116,"INGRESO")+SUMIFS($I$4:$I$116,$C$4:$C$116,C117,$D$4:$D$116,D117,$E$4:$E$116,E117,$F$4:$F$116,F117,$G$4:$G$116,G117,$H$4:$H$116,H117,$B$4:$B$116,"DE CORTE")-SUMIFS($I$4:$I$116,$C$4:$C$116,C117,$D$4:$D$116,D117,$E$4:$E$116,E117,$F$4:$F$116,F117,$G$4:$G$116,G117,$H$4:$H$116,H117,$B$4:$B$116,"SALIDA"),SUMIFS($I$4:$I$116,$C$4:$C$116,C117,$D$4:$D$116,D117,$E$4:$E$116,E117,$G$4:$G$116,G117,$H$4:$H$116,H117,$B$4:$B$116,"INGRESO")+SUMIFS($I$4:$I$116,$C$4:$C$116,C117,$D$4:$D$116,D117,$E$4:$E$116,E117,$G$4:$G$116,G117,$H$4:$H$116,H117,$B$4:$B$116,"DE CORTE")-SUMIFS($I$4:$I$116,$C$4:$C$116,C117,$D$4:$D$116,D117,$E$4:$E$116,E117,$G$4:$G$116,G117,$H$4:$H$116,H117,$B$4:$B$116,"SALIDA"))),0)</f>
        <v>0</v>
      </c>
      <c r="M117" s="13">
        <f t="shared" si="2"/>
        <v>0</v>
      </c>
      <c r="N117" s="14"/>
      <c r="O117" s="14"/>
      <c r="P117" s="15"/>
      <c r="Q117" s="14"/>
    </row>
    <row r="118" ht="15.75" customHeight="1">
      <c r="A118" s="7"/>
      <c r="B118" s="8"/>
      <c r="C118" s="8"/>
      <c r="D118" s="8"/>
      <c r="E118" s="8"/>
      <c r="F118" s="14"/>
      <c r="G118" s="8"/>
      <c r="H118" s="8"/>
      <c r="I118" s="9"/>
      <c r="J118" s="12" t="str">
        <f t="array" ref="J118:K118">IFERROR(INDEX(PRECIOS_COMPLEMENTOS!$C$4:$F$17,MATCH(D118&amp;"_"&amp;E118,PRECIOS_COMPLEMENTOS!$H$4:$H$17,0),IF(OR(H118="S",H118="20cm"),1,IF(OR(H118="M",H118="25cm"),2,IF(OR(H118="L",H118="30cm"),3,IF(OR(H118="XL",H118="35cm"),4,0))))),0)</f>
        <v>#REF!</v>
      </c>
      <c r="K118" s="12">
        <f t="shared" si="1"/>
        <v>0</v>
      </c>
      <c r="L118" s="13">
        <f>IFERROR(IF(C118="",0,IF(D118="PRETINA",SUMIFS($I$4:$I$117,$C$4:$C$117,C118,$D$4:$D$117,D118,$E$4:$E$117,E118,$F$4:$F$117,F118,$G$4:$G$117,G118,$H$4:$H$117,H118,$B$4:$B$117,"INGRESO")+SUMIFS($I$4:$I$117,$C$4:$C$117,C118,$D$4:$D$117,D118,$E$4:$E$117,E118,$F$4:$F$117,F118,$G$4:$G$117,G118,$H$4:$H$117,H118,$B$4:$B$117,"DE CORTE")-SUMIFS($I$4:$I$117,$C$4:$C$117,C118,$D$4:$D$117,D118,$E$4:$E$117,E118,$F$4:$F$117,F118,$G$4:$G$117,G118,$H$4:$H$117,H118,$B$4:$B$117,"SALIDA"),SUMIFS($I$4:$I$117,$C$4:$C$117,C118,$D$4:$D$117,D118,$E$4:$E$117,E118,$G$4:$G$117,G118,$H$4:$H$117,H118,$B$4:$B$117,"INGRESO")+SUMIFS($I$4:$I$117,$C$4:$C$117,C118,$D$4:$D$117,D118,$E$4:$E$117,E118,$G$4:$G$117,G118,$H$4:$H$117,H118,$B$4:$B$117,"DE CORTE")-SUMIFS($I$4:$I$117,$C$4:$C$117,C118,$D$4:$D$117,D118,$E$4:$E$117,E118,$G$4:$G$117,G118,$H$4:$H$117,H118,$B$4:$B$117,"SALIDA"))),0)</f>
        <v>0</v>
      </c>
      <c r="M118" s="13">
        <f t="shared" si="2"/>
        <v>0</v>
      </c>
      <c r="N118" s="14"/>
      <c r="O118" s="14"/>
      <c r="P118" s="15"/>
      <c r="Q118" s="14"/>
    </row>
    <row r="119" ht="15.75" customHeight="1">
      <c r="A119" s="7"/>
      <c r="B119" s="8"/>
      <c r="C119" s="8"/>
      <c r="D119" s="8"/>
      <c r="E119" s="8"/>
      <c r="F119" s="14"/>
      <c r="G119" s="8"/>
      <c r="H119" s="8"/>
      <c r="I119" s="9"/>
      <c r="J119" s="12" t="str">
        <f t="array" ref="J119:K119">IFERROR(INDEX(PRECIOS_COMPLEMENTOS!$C$4:$F$17,MATCH(D119&amp;"_"&amp;E119,PRECIOS_COMPLEMENTOS!$H$4:$H$17,0),IF(OR(H119="S",H119="20cm"),1,IF(OR(H119="M",H119="25cm"),2,IF(OR(H119="L",H119="30cm"),3,IF(OR(H119="XL",H119="35cm"),4,0))))),0)</f>
        <v>#REF!</v>
      </c>
      <c r="K119" s="12">
        <f t="shared" si="1"/>
        <v>0</v>
      </c>
      <c r="L119" s="13">
        <f>IFERROR(IF(C119="",0,IF(D119="PRETINA",SUMIFS($I$4:$I$118,$C$4:$C$118,C119,$D$4:$D$118,D119,$E$4:$E$118,E119,$F$4:$F$118,F119,$G$4:$G$118,G119,$H$4:$H$118,H119,$B$4:$B$118,"INGRESO")+SUMIFS($I$4:$I$118,$C$4:$C$118,C119,$D$4:$D$118,D119,$E$4:$E$118,E119,$F$4:$F$118,F119,$G$4:$G$118,G119,$H$4:$H$118,H119,$B$4:$B$118,"DE CORTE")-SUMIFS($I$4:$I$118,$C$4:$C$118,C119,$D$4:$D$118,D119,$E$4:$E$118,E119,$F$4:$F$118,F119,$G$4:$G$118,G119,$H$4:$H$118,H119,$B$4:$B$118,"SALIDA"),SUMIFS($I$4:$I$118,$C$4:$C$118,C119,$D$4:$D$118,D119,$E$4:$E$118,E119,$G$4:$G$118,G119,$H$4:$H$118,H119,$B$4:$B$118,"INGRESO")+SUMIFS($I$4:$I$118,$C$4:$C$118,C119,$D$4:$D$118,D119,$E$4:$E$118,E119,$G$4:$G$118,G119,$H$4:$H$118,H119,$B$4:$B$118,"DE CORTE")-SUMIFS($I$4:$I$118,$C$4:$C$118,C119,$D$4:$D$118,D119,$E$4:$E$118,E119,$G$4:$G$118,G119,$H$4:$H$118,H119,$B$4:$B$118,"SALIDA"))),0)</f>
        <v>0</v>
      </c>
      <c r="M119" s="13">
        <f t="shared" si="2"/>
        <v>0</v>
      </c>
      <c r="N119" s="14"/>
      <c r="O119" s="14"/>
      <c r="P119" s="15"/>
      <c r="Q119" s="14"/>
    </row>
    <row r="120" ht="15.75" customHeight="1">
      <c r="A120" s="7"/>
      <c r="B120" s="8"/>
      <c r="C120" s="8"/>
      <c r="D120" s="8"/>
      <c r="E120" s="8"/>
      <c r="F120" s="14"/>
      <c r="G120" s="8"/>
      <c r="H120" s="8"/>
      <c r="I120" s="9"/>
      <c r="J120" s="12" t="str">
        <f t="array" ref="J120:K120">IFERROR(INDEX(PRECIOS_COMPLEMENTOS!$C$4:$F$17,MATCH(D120&amp;"_"&amp;E120,PRECIOS_COMPLEMENTOS!$H$4:$H$17,0),IF(OR(H120="S",H120="20cm"),1,IF(OR(H120="M",H120="25cm"),2,IF(OR(H120="L",H120="30cm"),3,IF(OR(H120="XL",H120="35cm"),4,0))))),0)</f>
        <v>#REF!</v>
      </c>
      <c r="K120" s="12">
        <f t="shared" si="1"/>
        <v>0</v>
      </c>
      <c r="L120" s="13">
        <f>IFERROR(IF(C120="",0,IF(D120="PRETINA",SUMIFS($I$4:$I$119,$C$4:$C$119,C120,$D$4:$D$119,D120,$E$4:$E$119,E120,$F$4:$F$119,F120,$G$4:$G$119,G120,$H$4:$H$119,H120,$B$4:$B$119,"INGRESO")+SUMIFS($I$4:$I$119,$C$4:$C$119,C120,$D$4:$D$119,D120,$E$4:$E$119,E120,$F$4:$F$119,F120,$G$4:$G$119,G120,$H$4:$H$119,H120,$B$4:$B$119,"DE CORTE")-SUMIFS($I$4:$I$119,$C$4:$C$119,C120,$D$4:$D$119,D120,$E$4:$E$119,E120,$F$4:$F$119,F120,$G$4:$G$119,G120,$H$4:$H$119,H120,$B$4:$B$119,"SALIDA"),SUMIFS($I$4:$I$119,$C$4:$C$119,C120,$D$4:$D$119,D120,$E$4:$E$119,E120,$G$4:$G$119,G120,$H$4:$H$119,H120,$B$4:$B$119,"INGRESO")+SUMIFS($I$4:$I$119,$C$4:$C$119,C120,$D$4:$D$119,D120,$E$4:$E$119,E120,$G$4:$G$119,G120,$H$4:$H$119,H120,$B$4:$B$119,"DE CORTE")-SUMIFS($I$4:$I$119,$C$4:$C$119,C120,$D$4:$D$119,D120,$E$4:$E$119,E120,$G$4:$G$119,G120,$H$4:$H$119,H120,$B$4:$B$119,"SALIDA"))),0)</f>
        <v>0</v>
      </c>
      <c r="M120" s="13">
        <f t="shared" si="2"/>
        <v>0</v>
      </c>
      <c r="N120" s="14"/>
      <c r="O120" s="14"/>
      <c r="P120" s="15"/>
      <c r="Q120" s="14"/>
    </row>
    <row r="121" ht="15.75" customHeight="1">
      <c r="A121" s="7"/>
      <c r="B121" s="8"/>
      <c r="C121" s="8"/>
      <c r="D121" s="8"/>
      <c r="E121" s="8"/>
      <c r="F121" s="14"/>
      <c r="G121" s="8"/>
      <c r="H121" s="8"/>
      <c r="I121" s="9"/>
      <c r="J121" s="12" t="str">
        <f t="array" ref="J121:K121">IFERROR(INDEX(PRECIOS_COMPLEMENTOS!$C$4:$F$17,MATCH(D121&amp;"_"&amp;E121,PRECIOS_COMPLEMENTOS!$H$4:$H$17,0),IF(OR(H121="S",H121="20cm"),1,IF(OR(H121="M",H121="25cm"),2,IF(OR(H121="L",H121="30cm"),3,IF(OR(H121="XL",H121="35cm"),4,0))))),0)</f>
        <v>#REF!</v>
      </c>
      <c r="K121" s="12">
        <f t="shared" si="1"/>
        <v>0</v>
      </c>
      <c r="L121" s="13">
        <f>IFERROR(IF(C121="",0,IF(D121="PRETINA",SUMIFS($I$4:$I$120,$C$4:$C$120,C121,$D$4:$D$120,D121,$E$4:$E$120,E121,$F$4:$F$120,F121,$G$4:$G$120,G121,$H$4:$H$120,H121,$B$4:$B$120,"INGRESO")+SUMIFS($I$4:$I$120,$C$4:$C$120,C121,$D$4:$D$120,D121,$E$4:$E$120,E121,$F$4:$F$120,F121,$G$4:$G$120,G121,$H$4:$H$120,H121,$B$4:$B$120,"DE CORTE")-SUMIFS($I$4:$I$120,$C$4:$C$120,C121,$D$4:$D$120,D121,$E$4:$E$120,E121,$F$4:$F$120,F121,$G$4:$G$120,G121,$H$4:$H$120,H121,$B$4:$B$120,"SALIDA"),SUMIFS($I$4:$I$120,$C$4:$C$120,C121,$D$4:$D$120,D121,$E$4:$E$120,E121,$G$4:$G$120,G121,$H$4:$H$120,H121,$B$4:$B$120,"INGRESO")+SUMIFS($I$4:$I$120,$C$4:$C$120,C121,$D$4:$D$120,D121,$E$4:$E$120,E121,$G$4:$G$120,G121,$H$4:$H$120,H121,$B$4:$B$120,"DE CORTE")-SUMIFS($I$4:$I$120,$C$4:$C$120,C121,$D$4:$D$120,D121,$E$4:$E$120,E121,$G$4:$G$120,G121,$H$4:$H$120,H121,$B$4:$B$120,"SALIDA"))),0)</f>
        <v>0</v>
      </c>
      <c r="M121" s="13">
        <f t="shared" si="2"/>
        <v>0</v>
      </c>
      <c r="N121" s="14"/>
      <c r="O121" s="14"/>
      <c r="P121" s="15"/>
      <c r="Q121" s="14"/>
    </row>
    <row r="122" ht="15.75" customHeight="1">
      <c r="A122" s="7"/>
      <c r="B122" s="8"/>
      <c r="C122" s="8"/>
      <c r="D122" s="8"/>
      <c r="E122" s="8"/>
      <c r="F122" s="14"/>
      <c r="G122" s="8"/>
      <c r="H122" s="8"/>
      <c r="I122" s="9"/>
      <c r="J122" s="12" t="str">
        <f t="array" ref="J122:K122">IFERROR(INDEX(PRECIOS_COMPLEMENTOS!$C$4:$F$17,MATCH(D122&amp;"_"&amp;E122,PRECIOS_COMPLEMENTOS!$H$4:$H$17,0),IF(OR(H122="S",H122="20cm"),1,IF(OR(H122="M",H122="25cm"),2,IF(OR(H122="L",H122="30cm"),3,IF(OR(H122="XL",H122="35cm"),4,0))))),0)</f>
        <v>#REF!</v>
      </c>
      <c r="K122" s="12">
        <f t="shared" si="1"/>
        <v>0</v>
      </c>
      <c r="L122" s="13">
        <f>IFERROR(IF(C122="",0,IF(D122="PRETINA",SUMIFS($I$4:$I$121,$C$4:$C$121,C122,$D$4:$D$121,D122,$E$4:$E$121,E122,$F$4:$F$121,F122,$G$4:$G$121,G122,$H$4:$H$121,H122,$B$4:$B$121,"INGRESO")+SUMIFS($I$4:$I$121,$C$4:$C$121,C122,$D$4:$D$121,D122,$E$4:$E$121,E122,$F$4:$F$121,F122,$G$4:$G$121,G122,$H$4:$H$121,H122,$B$4:$B$121,"DE CORTE")-SUMIFS($I$4:$I$121,$C$4:$C$121,C122,$D$4:$D$121,D122,$E$4:$E$121,E122,$F$4:$F$121,F122,$G$4:$G$121,G122,$H$4:$H$121,H122,$B$4:$B$121,"SALIDA"),SUMIFS($I$4:$I$121,$C$4:$C$121,C122,$D$4:$D$121,D122,$E$4:$E$121,E122,$G$4:$G$121,G122,$H$4:$H$121,H122,$B$4:$B$121,"INGRESO")+SUMIFS($I$4:$I$121,$C$4:$C$121,C122,$D$4:$D$121,D122,$E$4:$E$121,E122,$G$4:$G$121,G122,$H$4:$H$121,H122,$B$4:$B$121,"DE CORTE")-SUMIFS($I$4:$I$121,$C$4:$C$121,C122,$D$4:$D$121,D122,$E$4:$E$121,E122,$G$4:$G$121,G122,$H$4:$H$121,H122,$B$4:$B$121,"SALIDA"))),0)</f>
        <v>0</v>
      </c>
      <c r="M122" s="13">
        <f t="shared" si="2"/>
        <v>0</v>
      </c>
      <c r="N122" s="14"/>
      <c r="O122" s="14"/>
      <c r="P122" s="15"/>
      <c r="Q122" s="14"/>
    </row>
    <row r="123" ht="15.75" customHeight="1">
      <c r="A123" s="7"/>
      <c r="B123" s="8"/>
      <c r="C123" s="8"/>
      <c r="D123" s="8"/>
      <c r="E123" s="8"/>
      <c r="F123" s="14"/>
      <c r="G123" s="8"/>
      <c r="H123" s="8"/>
      <c r="I123" s="9"/>
      <c r="J123" s="12" t="str">
        <f t="array" ref="J123:K123">IFERROR(INDEX(PRECIOS_COMPLEMENTOS!$C$4:$F$17,MATCH(D123&amp;"_"&amp;E123,PRECIOS_COMPLEMENTOS!$H$4:$H$17,0),IF(OR(H123="S",H123="20cm"),1,IF(OR(H123="M",H123="25cm"),2,IF(OR(H123="L",H123="30cm"),3,IF(OR(H123="XL",H123="35cm"),4,0))))),0)</f>
        <v>#REF!</v>
      </c>
      <c r="K123" s="12">
        <f t="shared" si="1"/>
        <v>0</v>
      </c>
      <c r="L123" s="13">
        <f>IFERROR(IF(C123="",0,IF(D123="PRETINA",SUMIFS($I$4:$I$122,$C$4:$C$122,C123,$D$4:$D$122,D123,$E$4:$E$122,E123,$F$4:$F$122,F123,$G$4:$G$122,G123,$H$4:$H$122,H123,$B$4:$B$122,"INGRESO")+SUMIFS($I$4:$I$122,$C$4:$C$122,C123,$D$4:$D$122,D123,$E$4:$E$122,E123,$F$4:$F$122,F123,$G$4:$G$122,G123,$H$4:$H$122,H123,$B$4:$B$122,"DE CORTE")-SUMIFS($I$4:$I$122,$C$4:$C$122,C123,$D$4:$D$122,D123,$E$4:$E$122,E123,$F$4:$F$122,F123,$G$4:$G$122,G123,$H$4:$H$122,H123,$B$4:$B$122,"SALIDA"),SUMIFS($I$4:$I$122,$C$4:$C$122,C123,$D$4:$D$122,D123,$E$4:$E$122,E123,$G$4:$G$122,G123,$H$4:$H$122,H123,$B$4:$B$122,"INGRESO")+SUMIFS($I$4:$I$122,$C$4:$C$122,C123,$D$4:$D$122,D123,$E$4:$E$122,E123,$G$4:$G$122,G123,$H$4:$H$122,H123,$B$4:$B$122,"DE CORTE")-SUMIFS($I$4:$I$122,$C$4:$C$122,C123,$D$4:$D$122,D123,$E$4:$E$122,E123,$G$4:$G$122,G123,$H$4:$H$122,H123,$B$4:$B$122,"SALIDA"))),0)</f>
        <v>0</v>
      </c>
      <c r="M123" s="13">
        <f t="shared" si="2"/>
        <v>0</v>
      </c>
      <c r="N123" s="14"/>
      <c r="O123" s="14"/>
      <c r="P123" s="15"/>
      <c r="Q123" s="14"/>
    </row>
    <row r="124" ht="15.75" customHeight="1">
      <c r="A124" s="7"/>
      <c r="B124" s="8"/>
      <c r="C124" s="8"/>
      <c r="D124" s="8"/>
      <c r="E124" s="8"/>
      <c r="F124" s="14"/>
      <c r="G124" s="8"/>
      <c r="H124" s="8"/>
      <c r="I124" s="9"/>
      <c r="J124" s="12" t="str">
        <f t="array" ref="J124:K124">IFERROR(INDEX(PRECIOS_COMPLEMENTOS!$C$4:$F$17,MATCH(D124&amp;"_"&amp;E124,PRECIOS_COMPLEMENTOS!$H$4:$H$17,0),IF(OR(H124="S",H124="20cm"),1,IF(OR(H124="M",H124="25cm"),2,IF(OR(H124="L",H124="30cm"),3,IF(OR(H124="XL",H124="35cm"),4,0))))),0)</f>
        <v>#REF!</v>
      </c>
      <c r="K124" s="12">
        <f t="shared" si="1"/>
        <v>0</v>
      </c>
      <c r="L124" s="13">
        <f>IFERROR(IF(C124="",0,IF(D124="PRETINA",SUMIFS($I$4:$I$123,$C$4:$C$123,C124,$D$4:$D$123,D124,$E$4:$E$123,E124,$F$4:$F$123,F124,$G$4:$G$123,G124,$H$4:$H$123,H124,$B$4:$B$123,"INGRESO")+SUMIFS($I$4:$I$123,$C$4:$C$123,C124,$D$4:$D$123,D124,$E$4:$E$123,E124,$F$4:$F$123,F124,$G$4:$G$123,G124,$H$4:$H$123,H124,$B$4:$B$123,"DE CORTE")-SUMIFS($I$4:$I$123,$C$4:$C$123,C124,$D$4:$D$123,D124,$E$4:$E$123,E124,$F$4:$F$123,F124,$G$4:$G$123,G124,$H$4:$H$123,H124,$B$4:$B$123,"SALIDA"),SUMIFS($I$4:$I$123,$C$4:$C$123,C124,$D$4:$D$123,D124,$E$4:$E$123,E124,$G$4:$G$123,G124,$H$4:$H$123,H124,$B$4:$B$123,"INGRESO")+SUMIFS($I$4:$I$123,$C$4:$C$123,C124,$D$4:$D$123,D124,$E$4:$E$123,E124,$G$4:$G$123,G124,$H$4:$H$123,H124,$B$4:$B$123,"DE CORTE")-SUMIFS($I$4:$I$123,$C$4:$C$123,C124,$D$4:$D$123,D124,$E$4:$E$123,E124,$G$4:$G$123,G124,$H$4:$H$123,H124,$B$4:$B$123,"SALIDA"))),0)</f>
        <v>0</v>
      </c>
      <c r="M124" s="13">
        <f t="shared" si="2"/>
        <v>0</v>
      </c>
      <c r="N124" s="14"/>
      <c r="O124" s="14"/>
      <c r="P124" s="15"/>
      <c r="Q124" s="14"/>
    </row>
    <row r="125" ht="15.75" customHeight="1">
      <c r="A125" s="7"/>
      <c r="B125" s="8"/>
      <c r="C125" s="8"/>
      <c r="D125" s="8"/>
      <c r="E125" s="8"/>
      <c r="F125" s="14"/>
      <c r="G125" s="8"/>
      <c r="H125" s="8"/>
      <c r="I125" s="9"/>
      <c r="J125" s="12" t="str">
        <f t="array" ref="J125:K125">IFERROR(INDEX(PRECIOS_COMPLEMENTOS!$C$4:$F$17,MATCH(D125&amp;"_"&amp;E125,PRECIOS_COMPLEMENTOS!$H$4:$H$17,0),IF(OR(H125="S",H125="20cm"),1,IF(OR(H125="M",H125="25cm"),2,IF(OR(H125="L",H125="30cm"),3,IF(OR(H125="XL",H125="35cm"),4,0))))),0)</f>
        <v>#REF!</v>
      </c>
      <c r="K125" s="12">
        <f t="shared" si="1"/>
        <v>0</v>
      </c>
      <c r="L125" s="13">
        <f>IFERROR(IF(C125="",0,IF(D125="PRETINA",SUMIFS($I$4:$I$124,$C$4:$C$124,C125,$D$4:$D$124,D125,$E$4:$E$124,E125,$F$4:$F$124,F125,$G$4:$G$124,G125,$H$4:$H$124,H125,$B$4:$B$124,"INGRESO")+SUMIFS($I$4:$I$124,$C$4:$C$124,C125,$D$4:$D$124,D125,$E$4:$E$124,E125,$F$4:$F$124,F125,$G$4:$G$124,G125,$H$4:$H$124,H125,$B$4:$B$124,"DE CORTE")-SUMIFS($I$4:$I$124,$C$4:$C$124,C125,$D$4:$D$124,D125,$E$4:$E$124,E125,$F$4:$F$124,F125,$G$4:$G$124,G125,$H$4:$H$124,H125,$B$4:$B$124,"SALIDA"),SUMIFS($I$4:$I$124,$C$4:$C$124,C125,$D$4:$D$124,D125,$E$4:$E$124,E125,$G$4:$G$124,G125,$H$4:$H$124,H125,$B$4:$B$124,"INGRESO")+SUMIFS($I$4:$I$124,$C$4:$C$124,C125,$D$4:$D$124,D125,$E$4:$E$124,E125,$G$4:$G$124,G125,$H$4:$H$124,H125,$B$4:$B$124,"DE CORTE")-SUMIFS($I$4:$I$124,$C$4:$C$124,C125,$D$4:$D$124,D125,$E$4:$E$124,E125,$G$4:$G$124,G125,$H$4:$H$124,H125,$B$4:$B$124,"SALIDA"))),0)</f>
        <v>0</v>
      </c>
      <c r="M125" s="13">
        <f t="shared" si="2"/>
        <v>0</v>
      </c>
      <c r="N125" s="14"/>
      <c r="O125" s="14"/>
      <c r="P125" s="15"/>
      <c r="Q125" s="14"/>
    </row>
    <row r="126" ht="15.75" customHeight="1">
      <c r="A126" s="7"/>
      <c r="B126" s="8"/>
      <c r="C126" s="8"/>
      <c r="D126" s="8"/>
      <c r="E126" s="8"/>
      <c r="F126" s="14"/>
      <c r="G126" s="8"/>
      <c r="H126" s="8"/>
      <c r="I126" s="9"/>
      <c r="J126" s="12" t="str">
        <f t="array" ref="J126:K126">IFERROR(INDEX(PRECIOS_COMPLEMENTOS!$C$4:$F$17,MATCH(D126&amp;"_"&amp;E126,PRECIOS_COMPLEMENTOS!$H$4:$H$17,0),IF(OR(H126="S",H126="20cm"),1,IF(OR(H126="M",H126="25cm"),2,IF(OR(H126="L",H126="30cm"),3,IF(OR(H126="XL",H126="35cm"),4,0))))),0)</f>
        <v>#REF!</v>
      </c>
      <c r="K126" s="12">
        <f t="shared" si="1"/>
        <v>0</v>
      </c>
      <c r="L126" s="13">
        <f>IFERROR(IF(C126="",0,IF(D126="PRETINA",SUMIFS($I$4:$I$125,$C$4:$C$125,C126,$D$4:$D$125,D126,$E$4:$E$125,E126,$F$4:$F$125,F126,$G$4:$G$125,G126,$H$4:$H$125,H126,$B$4:$B$125,"INGRESO")+SUMIFS($I$4:$I$125,$C$4:$C$125,C126,$D$4:$D$125,D126,$E$4:$E$125,E126,$F$4:$F$125,F126,$G$4:$G$125,G126,$H$4:$H$125,H126,$B$4:$B$125,"DE CORTE")-SUMIFS($I$4:$I$125,$C$4:$C$125,C126,$D$4:$D$125,D126,$E$4:$E$125,E126,$F$4:$F$125,F126,$G$4:$G$125,G126,$H$4:$H$125,H126,$B$4:$B$125,"SALIDA"),SUMIFS($I$4:$I$125,$C$4:$C$125,C126,$D$4:$D$125,D126,$E$4:$E$125,E126,$G$4:$G$125,G126,$H$4:$H$125,H126,$B$4:$B$125,"INGRESO")+SUMIFS($I$4:$I$125,$C$4:$C$125,C126,$D$4:$D$125,D126,$E$4:$E$125,E126,$G$4:$G$125,G126,$H$4:$H$125,H126,$B$4:$B$125,"DE CORTE")-SUMIFS($I$4:$I$125,$C$4:$C$125,C126,$D$4:$D$125,D126,$E$4:$E$125,E126,$G$4:$G$125,G126,$H$4:$H$125,H126,$B$4:$B$125,"SALIDA"))),0)</f>
        <v>0</v>
      </c>
      <c r="M126" s="13">
        <f t="shared" si="2"/>
        <v>0</v>
      </c>
      <c r="N126" s="14"/>
      <c r="O126" s="14"/>
      <c r="P126" s="15"/>
      <c r="Q126" s="14"/>
    </row>
    <row r="127" ht="15.75" customHeight="1">
      <c r="A127" s="7"/>
      <c r="B127" s="8"/>
      <c r="C127" s="8"/>
      <c r="D127" s="8"/>
      <c r="E127" s="8"/>
      <c r="F127" s="14"/>
      <c r="G127" s="8"/>
      <c r="H127" s="8"/>
      <c r="I127" s="9"/>
      <c r="J127" s="12" t="str">
        <f t="array" ref="J127:K127">IFERROR(INDEX(PRECIOS_COMPLEMENTOS!$C$4:$F$17,MATCH(D127&amp;"_"&amp;E127,PRECIOS_COMPLEMENTOS!$H$4:$H$17,0),IF(OR(H127="S",H127="20cm"),1,IF(OR(H127="M",H127="25cm"),2,IF(OR(H127="L",H127="30cm"),3,IF(OR(H127="XL",H127="35cm"),4,0))))),0)</f>
        <v>#REF!</v>
      </c>
      <c r="K127" s="12">
        <f t="shared" si="1"/>
        <v>0</v>
      </c>
      <c r="L127" s="13">
        <f>IFERROR(IF(C127="",0,IF(D127="PRETINA",SUMIFS($I$4:$I$126,$C$4:$C$126,C127,$D$4:$D$126,D127,$E$4:$E$126,E127,$F$4:$F$126,F127,$G$4:$G$126,G127,$H$4:$H$126,H127,$B$4:$B$126,"INGRESO")+SUMIFS($I$4:$I$126,$C$4:$C$126,C127,$D$4:$D$126,D127,$E$4:$E$126,E127,$F$4:$F$126,F127,$G$4:$G$126,G127,$H$4:$H$126,H127,$B$4:$B$126,"DE CORTE")-SUMIFS($I$4:$I$126,$C$4:$C$126,C127,$D$4:$D$126,D127,$E$4:$E$126,E127,$F$4:$F$126,F127,$G$4:$G$126,G127,$H$4:$H$126,H127,$B$4:$B$126,"SALIDA"),SUMIFS($I$4:$I$126,$C$4:$C$126,C127,$D$4:$D$126,D127,$E$4:$E$126,E127,$G$4:$G$126,G127,$H$4:$H$126,H127,$B$4:$B$126,"INGRESO")+SUMIFS($I$4:$I$126,$C$4:$C$126,C127,$D$4:$D$126,D127,$E$4:$E$126,E127,$G$4:$G$126,G127,$H$4:$H$126,H127,$B$4:$B$126,"DE CORTE")-SUMIFS($I$4:$I$126,$C$4:$C$126,C127,$D$4:$D$126,D127,$E$4:$E$126,E127,$G$4:$G$126,G127,$H$4:$H$126,H127,$B$4:$B$126,"SALIDA"))),0)</f>
        <v>0</v>
      </c>
      <c r="M127" s="13">
        <f t="shared" si="2"/>
        <v>0</v>
      </c>
      <c r="N127" s="14"/>
      <c r="O127" s="14"/>
      <c r="P127" s="15"/>
      <c r="Q127" s="14"/>
    </row>
    <row r="128" ht="15.75" customHeight="1">
      <c r="A128" s="7"/>
      <c r="B128" s="8"/>
      <c r="C128" s="8"/>
      <c r="D128" s="8"/>
      <c r="E128" s="8"/>
      <c r="F128" s="14"/>
      <c r="G128" s="8"/>
      <c r="H128" s="8"/>
      <c r="I128" s="9"/>
      <c r="J128" s="12" t="str">
        <f t="array" ref="J128:K128">IFERROR(INDEX(PRECIOS_COMPLEMENTOS!$C$4:$F$17,MATCH(D128&amp;"_"&amp;E128,PRECIOS_COMPLEMENTOS!$H$4:$H$17,0),IF(OR(H128="S",H128="20cm"),1,IF(OR(H128="M",H128="25cm"),2,IF(OR(H128="L",H128="30cm"),3,IF(OR(H128="XL",H128="35cm"),4,0))))),0)</f>
        <v>#REF!</v>
      </c>
      <c r="K128" s="12">
        <f t="shared" si="1"/>
        <v>0</v>
      </c>
      <c r="L128" s="13">
        <f>IFERROR(IF(C128="",0,IF(D128="PRETINA",SUMIFS($I$4:$I$127,$C$4:$C$127,C128,$D$4:$D$127,D128,$E$4:$E$127,E128,$F$4:$F$127,F128,$G$4:$G$127,G128,$H$4:$H$127,H128,$B$4:$B$127,"INGRESO")+SUMIFS($I$4:$I$127,$C$4:$C$127,C128,$D$4:$D$127,D128,$E$4:$E$127,E128,$F$4:$F$127,F128,$G$4:$G$127,G128,$H$4:$H$127,H128,$B$4:$B$127,"DE CORTE")-SUMIFS($I$4:$I$127,$C$4:$C$127,C128,$D$4:$D$127,D128,$E$4:$E$127,E128,$F$4:$F$127,F128,$G$4:$G$127,G128,$H$4:$H$127,H128,$B$4:$B$127,"SALIDA"),SUMIFS($I$4:$I$127,$C$4:$C$127,C128,$D$4:$D$127,D128,$E$4:$E$127,E128,$G$4:$G$127,G128,$H$4:$H$127,H128,$B$4:$B$127,"INGRESO")+SUMIFS($I$4:$I$127,$C$4:$C$127,C128,$D$4:$D$127,D128,$E$4:$E$127,E128,$G$4:$G$127,G128,$H$4:$H$127,H128,$B$4:$B$127,"DE CORTE")-SUMIFS($I$4:$I$127,$C$4:$C$127,C128,$D$4:$D$127,D128,$E$4:$E$127,E128,$G$4:$G$127,G128,$H$4:$H$127,H128,$B$4:$B$127,"SALIDA"))),0)</f>
        <v>0</v>
      </c>
      <c r="M128" s="13">
        <f t="shared" si="2"/>
        <v>0</v>
      </c>
      <c r="N128" s="14"/>
      <c r="O128" s="14"/>
      <c r="P128" s="15"/>
      <c r="Q128" s="14"/>
    </row>
    <row r="129" ht="15.75" customHeight="1">
      <c r="A129" s="7"/>
      <c r="B129" s="8"/>
      <c r="C129" s="8"/>
      <c r="D129" s="8"/>
      <c r="E129" s="8"/>
      <c r="F129" s="14"/>
      <c r="G129" s="8"/>
      <c r="H129" s="8"/>
      <c r="I129" s="9"/>
      <c r="J129" s="12" t="str">
        <f t="array" ref="J129:K129">IFERROR(INDEX(PRECIOS_COMPLEMENTOS!$C$4:$F$17,MATCH(D129&amp;"_"&amp;E129,PRECIOS_COMPLEMENTOS!$H$4:$H$17,0),IF(OR(H129="S",H129="20cm"),1,IF(OR(H129="M",H129="25cm"),2,IF(OR(H129="L",H129="30cm"),3,IF(OR(H129="XL",H129="35cm"),4,0))))),0)</f>
        <v>#REF!</v>
      </c>
      <c r="K129" s="12">
        <f t="shared" si="1"/>
        <v>0</v>
      </c>
      <c r="L129" s="13">
        <f>IFERROR(IF(C129="",0,IF(D129="PRETINA",SUMIFS($I$4:$I$128,$C$4:$C$128,C129,$D$4:$D$128,D129,$E$4:$E$128,E129,$F$4:$F$128,F129,$G$4:$G$128,G129,$H$4:$H$128,H129,$B$4:$B$128,"INGRESO")+SUMIFS($I$4:$I$128,$C$4:$C$128,C129,$D$4:$D$128,D129,$E$4:$E$128,E129,$F$4:$F$128,F129,$G$4:$G$128,G129,$H$4:$H$128,H129,$B$4:$B$128,"DE CORTE")-SUMIFS($I$4:$I$128,$C$4:$C$128,C129,$D$4:$D$128,D129,$E$4:$E$128,E129,$F$4:$F$128,F129,$G$4:$G$128,G129,$H$4:$H$128,H129,$B$4:$B$128,"SALIDA"),SUMIFS($I$4:$I$128,$C$4:$C$128,C129,$D$4:$D$128,D129,$E$4:$E$128,E129,$G$4:$G$128,G129,$H$4:$H$128,H129,$B$4:$B$128,"INGRESO")+SUMIFS($I$4:$I$128,$C$4:$C$128,C129,$D$4:$D$128,D129,$E$4:$E$128,E129,$G$4:$G$128,G129,$H$4:$H$128,H129,$B$4:$B$128,"DE CORTE")-SUMIFS($I$4:$I$128,$C$4:$C$128,C129,$D$4:$D$128,D129,$E$4:$E$128,E129,$G$4:$G$128,G129,$H$4:$H$128,H129,$B$4:$B$128,"SALIDA"))),0)</f>
        <v>0</v>
      </c>
      <c r="M129" s="13">
        <f t="shared" si="2"/>
        <v>0</v>
      </c>
      <c r="N129" s="14"/>
      <c r="O129" s="14"/>
      <c r="P129" s="15"/>
      <c r="Q129" s="14"/>
    </row>
    <row r="130" ht="15.75" customHeight="1">
      <c r="A130" s="7"/>
      <c r="B130" s="8"/>
      <c r="C130" s="8"/>
      <c r="D130" s="8"/>
      <c r="E130" s="8"/>
      <c r="F130" s="14"/>
      <c r="G130" s="8"/>
      <c r="H130" s="8"/>
      <c r="I130" s="9"/>
      <c r="J130" s="12" t="str">
        <f t="array" ref="J130:K130">IFERROR(INDEX(PRECIOS_COMPLEMENTOS!$C$4:$F$17,MATCH(D130&amp;"_"&amp;E130,PRECIOS_COMPLEMENTOS!$H$4:$H$17,0),IF(OR(H130="S",H130="20cm"),1,IF(OR(H130="M",H130="25cm"),2,IF(OR(H130="L",H130="30cm"),3,IF(OR(H130="XL",H130="35cm"),4,0))))),0)</f>
        <v>#REF!</v>
      </c>
      <c r="K130" s="12">
        <f t="shared" si="1"/>
        <v>0</v>
      </c>
      <c r="L130" s="13">
        <f>IFERROR(IF(C130="",0,IF(D130="PRETINA",SUMIFS($I$4:$I$129,$C$4:$C$129,C130,$D$4:$D$129,D130,$E$4:$E$129,E130,$F$4:$F$129,F130,$G$4:$G$129,G130,$H$4:$H$129,H130,$B$4:$B$129,"INGRESO")+SUMIFS($I$4:$I$129,$C$4:$C$129,C130,$D$4:$D$129,D130,$E$4:$E$129,E130,$F$4:$F$129,F130,$G$4:$G$129,G130,$H$4:$H$129,H130,$B$4:$B$129,"DE CORTE")-SUMIFS($I$4:$I$129,$C$4:$C$129,C130,$D$4:$D$129,D130,$E$4:$E$129,E130,$F$4:$F$129,F130,$G$4:$G$129,G130,$H$4:$H$129,H130,$B$4:$B$129,"SALIDA"),SUMIFS($I$4:$I$129,$C$4:$C$129,C130,$D$4:$D$129,D130,$E$4:$E$129,E130,$G$4:$G$129,G130,$H$4:$H$129,H130,$B$4:$B$129,"INGRESO")+SUMIFS($I$4:$I$129,$C$4:$C$129,C130,$D$4:$D$129,D130,$E$4:$E$129,E130,$G$4:$G$129,G130,$H$4:$H$129,H130,$B$4:$B$129,"DE CORTE")-SUMIFS($I$4:$I$129,$C$4:$C$129,C130,$D$4:$D$129,D130,$E$4:$E$129,E130,$G$4:$G$129,G130,$H$4:$H$129,H130,$B$4:$B$129,"SALIDA"))),0)</f>
        <v>0</v>
      </c>
      <c r="M130" s="13">
        <f t="shared" si="2"/>
        <v>0</v>
      </c>
      <c r="N130" s="14"/>
      <c r="O130" s="14"/>
      <c r="P130" s="15"/>
      <c r="Q130" s="14"/>
    </row>
    <row r="131" ht="15.75" customHeight="1">
      <c r="A131" s="7"/>
      <c r="B131" s="8"/>
      <c r="C131" s="8"/>
      <c r="D131" s="8"/>
      <c r="E131" s="8"/>
      <c r="F131" s="14"/>
      <c r="G131" s="8"/>
      <c r="H131" s="8"/>
      <c r="I131" s="9"/>
      <c r="J131" s="12" t="str">
        <f t="array" ref="J131:K131">IFERROR(INDEX(PRECIOS_COMPLEMENTOS!$C$4:$F$17,MATCH(D131&amp;"_"&amp;E131,PRECIOS_COMPLEMENTOS!$H$4:$H$17,0),IF(OR(H131="S",H131="20cm"),1,IF(OR(H131="M",H131="25cm"),2,IF(OR(H131="L",H131="30cm"),3,IF(OR(H131="XL",H131="35cm"),4,0))))),0)</f>
        <v>#REF!</v>
      </c>
      <c r="K131" s="12">
        <f t="shared" si="1"/>
        <v>0</v>
      </c>
      <c r="L131" s="13">
        <f>IFERROR(IF(C131="",0,IF(D131="PRETINA",SUMIFS($I$4:$I$130,$C$4:$C$130,C131,$D$4:$D$130,D131,$E$4:$E$130,E131,$F$4:$F$130,F131,$G$4:$G$130,G131,$H$4:$H$130,H131,$B$4:$B$130,"INGRESO")+SUMIFS($I$4:$I$130,$C$4:$C$130,C131,$D$4:$D$130,D131,$E$4:$E$130,E131,$F$4:$F$130,F131,$G$4:$G$130,G131,$H$4:$H$130,H131,$B$4:$B$130,"DE CORTE")-SUMIFS($I$4:$I$130,$C$4:$C$130,C131,$D$4:$D$130,D131,$E$4:$E$130,E131,$F$4:$F$130,F131,$G$4:$G$130,G131,$H$4:$H$130,H131,$B$4:$B$130,"SALIDA"),SUMIFS($I$4:$I$130,$C$4:$C$130,C131,$D$4:$D$130,D131,$E$4:$E$130,E131,$G$4:$G$130,G131,$H$4:$H$130,H131,$B$4:$B$130,"INGRESO")+SUMIFS($I$4:$I$130,$C$4:$C$130,C131,$D$4:$D$130,D131,$E$4:$E$130,E131,$G$4:$G$130,G131,$H$4:$H$130,H131,$B$4:$B$130,"DE CORTE")-SUMIFS($I$4:$I$130,$C$4:$C$130,C131,$D$4:$D$130,D131,$E$4:$E$130,E131,$G$4:$G$130,G131,$H$4:$H$130,H131,$B$4:$B$130,"SALIDA"))),0)</f>
        <v>0</v>
      </c>
      <c r="M131" s="13">
        <f t="shared" si="2"/>
        <v>0</v>
      </c>
      <c r="N131" s="14"/>
      <c r="O131" s="14"/>
      <c r="P131" s="15"/>
      <c r="Q131" s="14"/>
    </row>
    <row r="132" ht="15.75" customHeight="1">
      <c r="A132" s="7"/>
      <c r="B132" s="8"/>
      <c r="C132" s="8"/>
      <c r="D132" s="8"/>
      <c r="E132" s="8"/>
      <c r="F132" s="14"/>
      <c r="G132" s="8"/>
      <c r="H132" s="8"/>
      <c r="I132" s="9"/>
      <c r="J132" s="12" t="str">
        <f t="array" ref="J132:K132">IFERROR(INDEX(PRECIOS_COMPLEMENTOS!$C$4:$F$17,MATCH(D132&amp;"_"&amp;E132,PRECIOS_COMPLEMENTOS!$H$4:$H$17,0),IF(OR(H132="S",H132="20cm"),1,IF(OR(H132="M",H132="25cm"),2,IF(OR(H132="L",H132="30cm"),3,IF(OR(H132="XL",H132="35cm"),4,0))))),0)</f>
        <v>#REF!</v>
      </c>
      <c r="K132" s="12">
        <f t="shared" si="1"/>
        <v>0</v>
      </c>
      <c r="L132" s="13">
        <f>IFERROR(IF(C132="",0,IF(D132="PRETINA",SUMIFS($I$4:$I$131,$C$4:$C$131,C132,$D$4:$D$131,D132,$E$4:$E$131,E132,$F$4:$F$131,F132,$G$4:$G$131,G132,$H$4:$H$131,H132,$B$4:$B$131,"INGRESO")+SUMIFS($I$4:$I$131,$C$4:$C$131,C132,$D$4:$D$131,D132,$E$4:$E$131,E132,$F$4:$F$131,F132,$G$4:$G$131,G132,$H$4:$H$131,H132,$B$4:$B$131,"DE CORTE")-SUMIFS($I$4:$I$131,$C$4:$C$131,C132,$D$4:$D$131,D132,$E$4:$E$131,E132,$F$4:$F$131,F132,$G$4:$G$131,G132,$H$4:$H$131,H132,$B$4:$B$131,"SALIDA"),SUMIFS($I$4:$I$131,$C$4:$C$131,C132,$D$4:$D$131,D132,$E$4:$E$131,E132,$G$4:$G$131,G132,$H$4:$H$131,H132,$B$4:$B$131,"INGRESO")+SUMIFS($I$4:$I$131,$C$4:$C$131,C132,$D$4:$D$131,D132,$E$4:$E$131,E132,$G$4:$G$131,G132,$H$4:$H$131,H132,$B$4:$B$131,"DE CORTE")-SUMIFS($I$4:$I$131,$C$4:$C$131,C132,$D$4:$D$131,D132,$E$4:$E$131,E132,$G$4:$G$131,G132,$H$4:$H$131,H132,$B$4:$B$131,"SALIDA"))),0)</f>
        <v>0</v>
      </c>
      <c r="M132" s="13">
        <f t="shared" si="2"/>
        <v>0</v>
      </c>
      <c r="N132" s="14"/>
      <c r="O132" s="14"/>
      <c r="P132" s="15"/>
      <c r="Q132" s="14"/>
    </row>
    <row r="133" ht="15.75" customHeight="1">
      <c r="A133" s="7"/>
      <c r="B133" s="8"/>
      <c r="C133" s="8"/>
      <c r="D133" s="8"/>
      <c r="E133" s="8"/>
      <c r="F133" s="14"/>
      <c r="G133" s="8"/>
      <c r="H133" s="8"/>
      <c r="I133" s="9"/>
      <c r="J133" s="12" t="str">
        <f t="array" ref="J133:K133">IFERROR(INDEX(PRECIOS_COMPLEMENTOS!$C$4:$F$17,MATCH(D133&amp;"_"&amp;E133,PRECIOS_COMPLEMENTOS!$H$4:$H$17,0),IF(OR(H133="S",H133="20cm"),1,IF(OR(H133="M",H133="25cm"),2,IF(OR(H133="L",H133="30cm"),3,IF(OR(H133="XL",H133="35cm"),4,0))))),0)</f>
        <v>#REF!</v>
      </c>
      <c r="K133" s="12">
        <f t="shared" si="1"/>
        <v>0</v>
      </c>
      <c r="L133" s="13">
        <f>IFERROR(IF(C133="",0,IF(D133="PRETINA",SUMIFS($I$4:$I$132,$C$4:$C$132,C133,$D$4:$D$132,D133,$E$4:$E$132,E133,$F$4:$F$132,F133,$G$4:$G$132,G133,$H$4:$H$132,H133,$B$4:$B$132,"INGRESO")+SUMIFS($I$4:$I$132,$C$4:$C$132,C133,$D$4:$D$132,D133,$E$4:$E$132,E133,$F$4:$F$132,F133,$G$4:$G$132,G133,$H$4:$H$132,H133,$B$4:$B$132,"DE CORTE")-SUMIFS($I$4:$I$132,$C$4:$C$132,C133,$D$4:$D$132,D133,$E$4:$E$132,E133,$F$4:$F$132,F133,$G$4:$G$132,G133,$H$4:$H$132,H133,$B$4:$B$132,"SALIDA"),SUMIFS($I$4:$I$132,$C$4:$C$132,C133,$D$4:$D$132,D133,$E$4:$E$132,E133,$G$4:$G$132,G133,$H$4:$H$132,H133,$B$4:$B$132,"INGRESO")+SUMIFS($I$4:$I$132,$C$4:$C$132,C133,$D$4:$D$132,D133,$E$4:$E$132,E133,$G$4:$G$132,G133,$H$4:$H$132,H133,$B$4:$B$132,"DE CORTE")-SUMIFS($I$4:$I$132,$C$4:$C$132,C133,$D$4:$D$132,D133,$E$4:$E$132,E133,$G$4:$G$132,G133,$H$4:$H$132,H133,$B$4:$B$132,"SALIDA"))),0)</f>
        <v>0</v>
      </c>
      <c r="M133" s="13">
        <f t="shared" si="2"/>
        <v>0</v>
      </c>
      <c r="N133" s="14"/>
      <c r="O133" s="14"/>
      <c r="P133" s="15"/>
      <c r="Q133" s="14"/>
    </row>
    <row r="134" ht="15.75" customHeight="1">
      <c r="A134" s="7"/>
      <c r="B134" s="8"/>
      <c r="C134" s="8"/>
      <c r="D134" s="8"/>
      <c r="E134" s="8"/>
      <c r="F134" s="14"/>
      <c r="G134" s="8"/>
      <c r="H134" s="8"/>
      <c r="I134" s="9"/>
      <c r="J134" s="12" t="str">
        <f t="array" ref="J134:K134">IFERROR(INDEX(PRECIOS_COMPLEMENTOS!$C$4:$F$17,MATCH(D134&amp;"_"&amp;E134,PRECIOS_COMPLEMENTOS!$H$4:$H$17,0),IF(OR(H134="S",H134="20cm"),1,IF(OR(H134="M",H134="25cm"),2,IF(OR(H134="L",H134="30cm"),3,IF(OR(H134="XL",H134="35cm"),4,0))))),0)</f>
        <v>#REF!</v>
      </c>
      <c r="K134" s="12">
        <f t="shared" si="1"/>
        <v>0</v>
      </c>
      <c r="L134" s="13">
        <f>IFERROR(IF(C134="",0,IF(D134="PRETINA",SUMIFS($I$4:$I$133,$C$4:$C$133,C134,$D$4:$D$133,D134,$E$4:$E$133,E134,$F$4:$F$133,F134,$G$4:$G$133,G134,$H$4:$H$133,H134,$B$4:$B$133,"INGRESO")+SUMIFS($I$4:$I$133,$C$4:$C$133,C134,$D$4:$D$133,D134,$E$4:$E$133,E134,$F$4:$F$133,F134,$G$4:$G$133,G134,$H$4:$H$133,H134,$B$4:$B$133,"DE CORTE")-SUMIFS($I$4:$I$133,$C$4:$C$133,C134,$D$4:$D$133,D134,$E$4:$E$133,E134,$F$4:$F$133,F134,$G$4:$G$133,G134,$H$4:$H$133,H134,$B$4:$B$133,"SALIDA"),SUMIFS($I$4:$I$133,$C$4:$C$133,C134,$D$4:$D$133,D134,$E$4:$E$133,E134,$G$4:$G$133,G134,$H$4:$H$133,H134,$B$4:$B$133,"INGRESO")+SUMIFS($I$4:$I$133,$C$4:$C$133,C134,$D$4:$D$133,D134,$E$4:$E$133,E134,$G$4:$G$133,G134,$H$4:$H$133,H134,$B$4:$B$133,"DE CORTE")-SUMIFS($I$4:$I$133,$C$4:$C$133,C134,$D$4:$D$133,D134,$E$4:$E$133,E134,$G$4:$G$133,G134,$H$4:$H$133,H134,$B$4:$B$133,"SALIDA"))),0)</f>
        <v>0</v>
      </c>
      <c r="M134" s="13">
        <f t="shared" si="2"/>
        <v>0</v>
      </c>
      <c r="N134" s="14"/>
      <c r="O134" s="14"/>
      <c r="P134" s="15"/>
      <c r="Q134" s="14"/>
    </row>
    <row r="135" ht="15.75" customHeight="1">
      <c r="A135" s="7"/>
      <c r="B135" s="8"/>
      <c r="C135" s="8"/>
      <c r="D135" s="8"/>
      <c r="E135" s="8"/>
      <c r="F135" s="14"/>
      <c r="G135" s="8"/>
      <c r="H135" s="8"/>
      <c r="I135" s="9"/>
      <c r="J135" s="12" t="str">
        <f t="array" ref="J135:K135">IFERROR(INDEX(PRECIOS_COMPLEMENTOS!$C$4:$F$17,MATCH(D135&amp;"_"&amp;E135,PRECIOS_COMPLEMENTOS!$H$4:$H$17,0),IF(OR(H135="S",H135="20cm"),1,IF(OR(H135="M",H135="25cm"),2,IF(OR(H135="L",H135="30cm"),3,IF(OR(H135="XL",H135="35cm"),4,0))))),0)</f>
        <v>#REF!</v>
      </c>
      <c r="K135" s="12">
        <f t="shared" si="1"/>
        <v>0</v>
      </c>
      <c r="L135" s="13">
        <f>IFERROR(IF(C135="",0,IF(D135="PRETINA",SUMIFS($I$4:$I$134,$C$4:$C$134,C135,$D$4:$D$134,D135,$E$4:$E$134,E135,$F$4:$F$134,F135,$G$4:$G$134,G135,$H$4:$H$134,H135,$B$4:$B$134,"INGRESO")+SUMIFS($I$4:$I$134,$C$4:$C$134,C135,$D$4:$D$134,D135,$E$4:$E$134,E135,$F$4:$F$134,F135,$G$4:$G$134,G135,$H$4:$H$134,H135,$B$4:$B$134,"DE CORTE")-SUMIFS($I$4:$I$134,$C$4:$C$134,C135,$D$4:$D$134,D135,$E$4:$E$134,E135,$F$4:$F$134,F135,$G$4:$G$134,G135,$H$4:$H$134,H135,$B$4:$B$134,"SALIDA"),SUMIFS($I$4:$I$134,$C$4:$C$134,C135,$D$4:$D$134,D135,$E$4:$E$134,E135,$G$4:$G$134,G135,$H$4:$H$134,H135,$B$4:$B$134,"INGRESO")+SUMIFS($I$4:$I$134,$C$4:$C$134,C135,$D$4:$D$134,D135,$E$4:$E$134,E135,$G$4:$G$134,G135,$H$4:$H$134,H135,$B$4:$B$134,"DE CORTE")-SUMIFS($I$4:$I$134,$C$4:$C$134,C135,$D$4:$D$134,D135,$E$4:$E$134,E135,$G$4:$G$134,G135,$H$4:$H$134,H135,$B$4:$B$134,"SALIDA"))),0)</f>
        <v>0</v>
      </c>
      <c r="M135" s="13">
        <f t="shared" si="2"/>
        <v>0</v>
      </c>
      <c r="N135" s="14"/>
      <c r="O135" s="14"/>
      <c r="P135" s="15"/>
      <c r="Q135" s="14"/>
    </row>
    <row r="136" ht="15.75" customHeight="1">
      <c r="A136" s="7"/>
      <c r="B136" s="8"/>
      <c r="C136" s="8"/>
      <c r="D136" s="8"/>
      <c r="E136" s="8"/>
      <c r="F136" s="14"/>
      <c r="G136" s="8"/>
      <c r="H136" s="8"/>
      <c r="I136" s="9"/>
      <c r="J136" s="12" t="str">
        <f t="array" ref="J136:K136">IFERROR(INDEX(PRECIOS_COMPLEMENTOS!$C$4:$F$17,MATCH(D136&amp;"_"&amp;E136,PRECIOS_COMPLEMENTOS!$H$4:$H$17,0),IF(OR(H136="S",H136="20cm"),1,IF(OR(H136="M",H136="25cm"),2,IF(OR(H136="L",H136="30cm"),3,IF(OR(H136="XL",H136="35cm"),4,0))))),0)</f>
        <v>#REF!</v>
      </c>
      <c r="K136" s="12">
        <f t="shared" si="1"/>
        <v>0</v>
      </c>
      <c r="L136" s="13">
        <f>IFERROR(IF(C136="",0,IF(D136="PRETINA",SUMIFS($I$4:$I$135,$C$4:$C$135,C136,$D$4:$D$135,D136,$E$4:$E$135,E136,$F$4:$F$135,F136,$G$4:$G$135,G136,$H$4:$H$135,H136,$B$4:$B$135,"INGRESO")+SUMIFS($I$4:$I$135,$C$4:$C$135,C136,$D$4:$D$135,D136,$E$4:$E$135,E136,$F$4:$F$135,F136,$G$4:$G$135,G136,$H$4:$H$135,H136,$B$4:$B$135,"DE CORTE")-SUMIFS($I$4:$I$135,$C$4:$C$135,C136,$D$4:$D$135,D136,$E$4:$E$135,E136,$F$4:$F$135,F136,$G$4:$G$135,G136,$H$4:$H$135,H136,$B$4:$B$135,"SALIDA"),SUMIFS($I$4:$I$135,$C$4:$C$135,C136,$D$4:$D$135,D136,$E$4:$E$135,E136,$G$4:$G$135,G136,$H$4:$H$135,H136,$B$4:$B$135,"INGRESO")+SUMIFS($I$4:$I$135,$C$4:$C$135,C136,$D$4:$D$135,D136,$E$4:$E$135,E136,$G$4:$G$135,G136,$H$4:$H$135,H136,$B$4:$B$135,"DE CORTE")-SUMIFS($I$4:$I$135,$C$4:$C$135,C136,$D$4:$D$135,D136,$E$4:$E$135,E136,$G$4:$G$135,G136,$H$4:$H$135,H136,$B$4:$B$135,"SALIDA"))),0)</f>
        <v>0</v>
      </c>
      <c r="M136" s="13">
        <f t="shared" si="2"/>
        <v>0</v>
      </c>
      <c r="N136" s="14"/>
      <c r="O136" s="14"/>
      <c r="P136" s="15"/>
      <c r="Q136" s="14"/>
    </row>
    <row r="137" ht="15.75" customHeight="1">
      <c r="A137" s="7"/>
      <c r="B137" s="8"/>
      <c r="C137" s="8"/>
      <c r="D137" s="8"/>
      <c r="E137" s="8"/>
      <c r="F137" s="14"/>
      <c r="G137" s="8"/>
      <c r="H137" s="8"/>
      <c r="I137" s="9"/>
      <c r="J137" s="12" t="str">
        <f t="array" ref="J137:K137">IFERROR(INDEX(PRECIOS_COMPLEMENTOS!$C$4:$F$17,MATCH(D137&amp;"_"&amp;E137,PRECIOS_COMPLEMENTOS!$H$4:$H$17,0),IF(OR(H137="S",H137="20cm"),1,IF(OR(H137="M",H137="25cm"),2,IF(OR(H137="L",H137="30cm"),3,IF(OR(H137="XL",H137="35cm"),4,0))))),0)</f>
        <v>#REF!</v>
      </c>
      <c r="K137" s="12">
        <f t="shared" si="1"/>
        <v>0</v>
      </c>
      <c r="L137" s="13">
        <f>IFERROR(IF(C137="",0,IF(D137="PRETINA",SUMIFS($I$4:$I$136,$C$4:$C$136,C137,$D$4:$D$136,D137,$E$4:$E$136,E137,$F$4:$F$136,F137,$G$4:$G$136,G137,$H$4:$H$136,H137,$B$4:$B$136,"INGRESO")+SUMIFS($I$4:$I$136,$C$4:$C$136,C137,$D$4:$D$136,D137,$E$4:$E$136,E137,$F$4:$F$136,F137,$G$4:$G$136,G137,$H$4:$H$136,H137,$B$4:$B$136,"DE CORTE")-SUMIFS($I$4:$I$136,$C$4:$C$136,C137,$D$4:$D$136,D137,$E$4:$E$136,E137,$F$4:$F$136,F137,$G$4:$G$136,G137,$H$4:$H$136,H137,$B$4:$B$136,"SALIDA"),SUMIFS($I$4:$I$136,$C$4:$C$136,C137,$D$4:$D$136,D137,$E$4:$E$136,E137,$G$4:$G$136,G137,$H$4:$H$136,H137,$B$4:$B$136,"INGRESO")+SUMIFS($I$4:$I$136,$C$4:$C$136,C137,$D$4:$D$136,D137,$E$4:$E$136,E137,$G$4:$G$136,G137,$H$4:$H$136,H137,$B$4:$B$136,"DE CORTE")-SUMIFS($I$4:$I$136,$C$4:$C$136,C137,$D$4:$D$136,D137,$E$4:$E$136,E137,$G$4:$G$136,G137,$H$4:$H$136,H137,$B$4:$B$136,"SALIDA"))),0)</f>
        <v>0</v>
      </c>
      <c r="M137" s="13">
        <f t="shared" si="2"/>
        <v>0</v>
      </c>
      <c r="N137" s="14"/>
      <c r="O137" s="14"/>
      <c r="P137" s="15"/>
      <c r="Q137" s="14"/>
    </row>
    <row r="138" ht="15.75" customHeight="1">
      <c r="A138" s="7"/>
      <c r="B138" s="8"/>
      <c r="C138" s="8"/>
      <c r="D138" s="8"/>
      <c r="E138" s="8"/>
      <c r="F138" s="14"/>
      <c r="G138" s="8"/>
      <c r="H138" s="8"/>
      <c r="I138" s="9"/>
      <c r="J138" s="12" t="str">
        <f t="array" ref="J138:K138">IFERROR(INDEX(PRECIOS_COMPLEMENTOS!$C$4:$F$17,MATCH(D138&amp;"_"&amp;E138,PRECIOS_COMPLEMENTOS!$H$4:$H$17,0),IF(OR(H138="S",H138="20cm"),1,IF(OR(H138="M",H138="25cm"),2,IF(OR(H138="L",H138="30cm"),3,IF(OR(H138="XL",H138="35cm"),4,0))))),0)</f>
        <v>#REF!</v>
      </c>
      <c r="K138" s="12">
        <f t="shared" si="1"/>
        <v>0</v>
      </c>
      <c r="L138" s="13">
        <f>IFERROR(IF(C138="",0,IF(D138="PRETINA",SUMIFS($I$4:$I$137,$C$4:$C$137,C138,$D$4:$D$137,D138,$E$4:$E$137,E138,$F$4:$F$137,F138,$G$4:$G$137,G138,$H$4:$H$137,H138,$B$4:$B$137,"INGRESO")+SUMIFS($I$4:$I$137,$C$4:$C$137,C138,$D$4:$D$137,D138,$E$4:$E$137,E138,$F$4:$F$137,F138,$G$4:$G$137,G138,$H$4:$H$137,H138,$B$4:$B$137,"DE CORTE")-SUMIFS($I$4:$I$137,$C$4:$C$137,C138,$D$4:$D$137,D138,$E$4:$E$137,E138,$F$4:$F$137,F138,$G$4:$G$137,G138,$H$4:$H$137,H138,$B$4:$B$137,"SALIDA"),SUMIFS($I$4:$I$137,$C$4:$C$137,C138,$D$4:$D$137,D138,$E$4:$E$137,E138,$G$4:$G$137,G138,$H$4:$H$137,H138,$B$4:$B$137,"INGRESO")+SUMIFS($I$4:$I$137,$C$4:$C$137,C138,$D$4:$D$137,D138,$E$4:$E$137,E138,$G$4:$G$137,G138,$H$4:$H$137,H138,$B$4:$B$137,"DE CORTE")-SUMIFS($I$4:$I$137,$C$4:$C$137,C138,$D$4:$D$137,D138,$E$4:$E$137,E138,$G$4:$G$137,G138,$H$4:$H$137,H138,$B$4:$B$137,"SALIDA"))),0)</f>
        <v>0</v>
      </c>
      <c r="M138" s="13">
        <f t="shared" si="2"/>
        <v>0</v>
      </c>
      <c r="N138" s="14"/>
      <c r="O138" s="14"/>
      <c r="P138" s="15"/>
      <c r="Q138" s="14"/>
    </row>
    <row r="139" ht="15.75" customHeight="1">
      <c r="A139" s="7"/>
      <c r="B139" s="8"/>
      <c r="C139" s="8"/>
      <c r="D139" s="8"/>
      <c r="E139" s="8"/>
      <c r="F139" s="14"/>
      <c r="G139" s="8"/>
      <c r="H139" s="8"/>
      <c r="I139" s="9"/>
      <c r="J139" s="12" t="str">
        <f t="array" ref="J139:K139">IFERROR(INDEX(PRECIOS_COMPLEMENTOS!$C$4:$F$17,MATCH(D139&amp;"_"&amp;E139,PRECIOS_COMPLEMENTOS!$H$4:$H$17,0),IF(OR(H139="S",H139="20cm"),1,IF(OR(H139="M",H139="25cm"),2,IF(OR(H139="L",H139="30cm"),3,IF(OR(H139="XL",H139="35cm"),4,0))))),0)</f>
        <v>#REF!</v>
      </c>
      <c r="K139" s="12">
        <f t="shared" si="1"/>
        <v>0</v>
      </c>
      <c r="L139" s="13">
        <f>IFERROR(IF(C139="",0,IF(D139="PRETINA",SUMIFS($I$4:$I$138,$C$4:$C$138,C139,$D$4:$D$138,D139,$E$4:$E$138,E139,$F$4:$F$138,F139,$G$4:$G$138,G139,$H$4:$H$138,H139,$B$4:$B$138,"INGRESO")+SUMIFS($I$4:$I$138,$C$4:$C$138,C139,$D$4:$D$138,D139,$E$4:$E$138,E139,$F$4:$F$138,F139,$G$4:$G$138,G139,$H$4:$H$138,H139,$B$4:$B$138,"DE CORTE")-SUMIFS($I$4:$I$138,$C$4:$C$138,C139,$D$4:$D$138,D139,$E$4:$E$138,E139,$F$4:$F$138,F139,$G$4:$G$138,G139,$H$4:$H$138,H139,$B$4:$B$138,"SALIDA"),SUMIFS($I$4:$I$138,$C$4:$C$138,C139,$D$4:$D$138,D139,$E$4:$E$138,E139,$G$4:$G$138,G139,$H$4:$H$138,H139,$B$4:$B$138,"INGRESO")+SUMIFS($I$4:$I$138,$C$4:$C$138,C139,$D$4:$D$138,D139,$E$4:$E$138,E139,$G$4:$G$138,G139,$H$4:$H$138,H139,$B$4:$B$138,"DE CORTE")-SUMIFS($I$4:$I$138,$C$4:$C$138,C139,$D$4:$D$138,D139,$E$4:$E$138,E139,$G$4:$G$138,G139,$H$4:$H$138,H139,$B$4:$B$138,"SALIDA"))),0)</f>
        <v>0</v>
      </c>
      <c r="M139" s="13">
        <f t="shared" si="2"/>
        <v>0</v>
      </c>
      <c r="N139" s="14"/>
      <c r="O139" s="14"/>
      <c r="P139" s="15"/>
      <c r="Q139" s="14"/>
    </row>
    <row r="140" ht="15.75" customHeight="1">
      <c r="A140" s="7"/>
      <c r="B140" s="8"/>
      <c r="C140" s="8"/>
      <c r="D140" s="8"/>
      <c r="E140" s="8"/>
      <c r="F140" s="14"/>
      <c r="G140" s="8"/>
      <c r="H140" s="8"/>
      <c r="I140" s="9"/>
      <c r="J140" s="12" t="str">
        <f t="array" ref="J140:K140">IFERROR(INDEX(PRECIOS_COMPLEMENTOS!$C$4:$F$17,MATCH(D140&amp;"_"&amp;E140,PRECIOS_COMPLEMENTOS!$H$4:$H$17,0),IF(OR(H140="S",H140="20cm"),1,IF(OR(H140="M",H140="25cm"),2,IF(OR(H140="L",H140="30cm"),3,IF(OR(H140="XL",H140="35cm"),4,0))))),0)</f>
        <v>#REF!</v>
      </c>
      <c r="K140" s="12">
        <f t="shared" si="1"/>
        <v>0</v>
      </c>
      <c r="L140" s="13">
        <f>IFERROR(IF(C140="",0,IF(D140="PRETINA",SUMIFS($I$4:$I$139,$C$4:$C$139,C140,$D$4:$D$139,D140,$E$4:$E$139,E140,$F$4:$F$139,F140,$G$4:$G$139,G140,$H$4:$H$139,H140,$B$4:$B$139,"INGRESO")+SUMIFS($I$4:$I$139,$C$4:$C$139,C140,$D$4:$D$139,D140,$E$4:$E$139,E140,$F$4:$F$139,F140,$G$4:$G$139,G140,$H$4:$H$139,H140,$B$4:$B$139,"DE CORTE")-SUMIFS($I$4:$I$139,$C$4:$C$139,C140,$D$4:$D$139,D140,$E$4:$E$139,E140,$F$4:$F$139,F140,$G$4:$G$139,G140,$H$4:$H$139,H140,$B$4:$B$139,"SALIDA"),SUMIFS($I$4:$I$139,$C$4:$C$139,C140,$D$4:$D$139,D140,$E$4:$E$139,E140,$G$4:$G$139,G140,$H$4:$H$139,H140,$B$4:$B$139,"INGRESO")+SUMIFS($I$4:$I$139,$C$4:$C$139,C140,$D$4:$D$139,D140,$E$4:$E$139,E140,$G$4:$G$139,G140,$H$4:$H$139,H140,$B$4:$B$139,"DE CORTE")-SUMIFS($I$4:$I$139,$C$4:$C$139,C140,$D$4:$D$139,D140,$E$4:$E$139,E140,$G$4:$G$139,G140,$H$4:$H$139,H140,$B$4:$B$139,"SALIDA"))),0)</f>
        <v>0</v>
      </c>
      <c r="M140" s="13">
        <f t="shared" si="2"/>
        <v>0</v>
      </c>
      <c r="N140" s="14"/>
      <c r="O140" s="14"/>
      <c r="P140" s="15"/>
      <c r="Q140" s="14"/>
    </row>
    <row r="141" ht="15.75" customHeight="1">
      <c r="A141" s="7"/>
      <c r="B141" s="8"/>
      <c r="C141" s="8"/>
      <c r="D141" s="8"/>
      <c r="E141" s="8"/>
      <c r="F141" s="14"/>
      <c r="G141" s="8"/>
      <c r="H141" s="8"/>
      <c r="I141" s="9"/>
      <c r="J141" s="12" t="str">
        <f t="array" ref="J141:K141">IFERROR(INDEX(PRECIOS_COMPLEMENTOS!$C$4:$F$17,MATCH(D141&amp;"_"&amp;E141,PRECIOS_COMPLEMENTOS!$H$4:$H$17,0),IF(OR(H141="S",H141="20cm"),1,IF(OR(H141="M",H141="25cm"),2,IF(OR(H141="L",H141="30cm"),3,IF(OR(H141="XL",H141="35cm"),4,0))))),0)</f>
        <v>#REF!</v>
      </c>
      <c r="K141" s="12">
        <f t="shared" si="1"/>
        <v>0</v>
      </c>
      <c r="L141" s="13">
        <f>IFERROR(IF(C141="",0,IF(D141="PRETINA",SUMIFS($I$4:$I$140,$C$4:$C$140,C141,$D$4:$D$140,D141,$E$4:$E$140,E141,$F$4:$F$140,F141,$G$4:$G$140,G141,$H$4:$H$140,H141,$B$4:$B$140,"INGRESO")+SUMIFS($I$4:$I$140,$C$4:$C$140,C141,$D$4:$D$140,D141,$E$4:$E$140,E141,$F$4:$F$140,F141,$G$4:$G$140,G141,$H$4:$H$140,H141,$B$4:$B$140,"DE CORTE")-SUMIFS($I$4:$I$140,$C$4:$C$140,C141,$D$4:$D$140,D141,$E$4:$E$140,E141,$F$4:$F$140,F141,$G$4:$G$140,G141,$H$4:$H$140,H141,$B$4:$B$140,"SALIDA"),SUMIFS($I$4:$I$140,$C$4:$C$140,C141,$D$4:$D$140,D141,$E$4:$E$140,E141,$G$4:$G$140,G141,$H$4:$H$140,H141,$B$4:$B$140,"INGRESO")+SUMIFS($I$4:$I$140,$C$4:$C$140,C141,$D$4:$D$140,D141,$E$4:$E$140,E141,$G$4:$G$140,G141,$H$4:$H$140,H141,$B$4:$B$140,"DE CORTE")-SUMIFS($I$4:$I$140,$C$4:$C$140,C141,$D$4:$D$140,D141,$E$4:$E$140,E141,$G$4:$G$140,G141,$H$4:$H$140,H141,$B$4:$B$140,"SALIDA"))),0)</f>
        <v>0</v>
      </c>
      <c r="M141" s="13">
        <f t="shared" si="2"/>
        <v>0</v>
      </c>
      <c r="N141" s="14"/>
      <c r="O141" s="14"/>
      <c r="P141" s="15"/>
      <c r="Q141" s="14"/>
    </row>
    <row r="142" ht="15.75" customHeight="1">
      <c r="A142" s="7"/>
      <c r="B142" s="8"/>
      <c r="C142" s="8"/>
      <c r="D142" s="8"/>
      <c r="E142" s="8"/>
      <c r="F142" s="14"/>
      <c r="G142" s="8"/>
      <c r="H142" s="8"/>
      <c r="I142" s="9"/>
      <c r="J142" s="12" t="str">
        <f t="array" ref="J142:K142">IFERROR(INDEX(PRECIOS_COMPLEMENTOS!$C$4:$F$17,MATCH(D142&amp;"_"&amp;E142,PRECIOS_COMPLEMENTOS!$H$4:$H$17,0),IF(OR(H142="S",H142="20cm"),1,IF(OR(H142="M",H142="25cm"),2,IF(OR(H142="L",H142="30cm"),3,IF(OR(H142="XL",H142="35cm"),4,0))))),0)</f>
        <v>#REF!</v>
      </c>
      <c r="K142" s="12">
        <f t="shared" si="1"/>
        <v>0</v>
      </c>
      <c r="L142" s="13">
        <f>IFERROR(IF(C142="",0,IF(D142="PRETINA",SUMIFS($I$4:$I$141,$C$4:$C$141,C142,$D$4:$D$141,D142,$E$4:$E$141,E142,$F$4:$F$141,F142,$G$4:$G$141,G142,$H$4:$H$141,H142,$B$4:$B$141,"INGRESO")+SUMIFS($I$4:$I$141,$C$4:$C$141,C142,$D$4:$D$141,D142,$E$4:$E$141,E142,$F$4:$F$141,F142,$G$4:$G$141,G142,$H$4:$H$141,H142,$B$4:$B$141,"DE CORTE")-SUMIFS($I$4:$I$141,$C$4:$C$141,C142,$D$4:$D$141,D142,$E$4:$E$141,E142,$F$4:$F$141,F142,$G$4:$G$141,G142,$H$4:$H$141,H142,$B$4:$B$141,"SALIDA"),SUMIFS($I$4:$I$141,$C$4:$C$141,C142,$D$4:$D$141,D142,$E$4:$E$141,E142,$G$4:$G$141,G142,$H$4:$H$141,H142,$B$4:$B$141,"INGRESO")+SUMIFS($I$4:$I$141,$C$4:$C$141,C142,$D$4:$D$141,D142,$E$4:$E$141,E142,$G$4:$G$141,G142,$H$4:$H$141,H142,$B$4:$B$141,"DE CORTE")-SUMIFS($I$4:$I$141,$C$4:$C$141,C142,$D$4:$D$141,D142,$E$4:$E$141,E142,$G$4:$G$141,G142,$H$4:$H$141,H142,$B$4:$B$141,"SALIDA"))),0)</f>
        <v>0</v>
      </c>
      <c r="M142" s="13">
        <f t="shared" si="2"/>
        <v>0</v>
      </c>
      <c r="N142" s="14"/>
      <c r="O142" s="14"/>
      <c r="P142" s="15"/>
      <c r="Q142" s="14"/>
    </row>
    <row r="143" ht="15.75" customHeight="1">
      <c r="A143" s="7"/>
      <c r="B143" s="8"/>
      <c r="C143" s="8"/>
      <c r="D143" s="8"/>
      <c r="E143" s="8"/>
      <c r="F143" s="14"/>
      <c r="G143" s="8"/>
      <c r="H143" s="8"/>
      <c r="I143" s="9"/>
      <c r="J143" s="12" t="str">
        <f t="array" ref="J143:K143">IFERROR(INDEX(PRECIOS_COMPLEMENTOS!$C$4:$F$17,MATCH(D143&amp;"_"&amp;E143,PRECIOS_COMPLEMENTOS!$H$4:$H$17,0),IF(OR(H143="S",H143="20cm"),1,IF(OR(H143="M",H143="25cm"),2,IF(OR(H143="L",H143="30cm"),3,IF(OR(H143="XL",H143="35cm"),4,0))))),0)</f>
        <v>#REF!</v>
      </c>
      <c r="K143" s="12">
        <f t="shared" si="1"/>
        <v>0</v>
      </c>
      <c r="L143" s="13">
        <f>IFERROR(IF(C143="",0,IF(D143="PRETINA",SUMIFS($I$4:$I$142,$C$4:$C$142,C143,$D$4:$D$142,D143,$E$4:$E$142,E143,$F$4:$F$142,F143,$G$4:$G$142,G143,$H$4:$H$142,H143,$B$4:$B$142,"INGRESO")+SUMIFS($I$4:$I$142,$C$4:$C$142,C143,$D$4:$D$142,D143,$E$4:$E$142,E143,$F$4:$F$142,F143,$G$4:$G$142,G143,$H$4:$H$142,H143,$B$4:$B$142,"DE CORTE")-SUMIFS($I$4:$I$142,$C$4:$C$142,C143,$D$4:$D$142,D143,$E$4:$E$142,E143,$F$4:$F$142,F143,$G$4:$G$142,G143,$H$4:$H$142,H143,$B$4:$B$142,"SALIDA"),SUMIFS($I$4:$I$142,$C$4:$C$142,C143,$D$4:$D$142,D143,$E$4:$E$142,E143,$G$4:$G$142,G143,$H$4:$H$142,H143,$B$4:$B$142,"INGRESO")+SUMIFS($I$4:$I$142,$C$4:$C$142,C143,$D$4:$D$142,D143,$E$4:$E$142,E143,$G$4:$G$142,G143,$H$4:$H$142,H143,$B$4:$B$142,"DE CORTE")-SUMIFS($I$4:$I$142,$C$4:$C$142,C143,$D$4:$D$142,D143,$E$4:$E$142,E143,$G$4:$G$142,G143,$H$4:$H$142,H143,$B$4:$B$142,"SALIDA"))),0)</f>
        <v>0</v>
      </c>
      <c r="M143" s="13">
        <f t="shared" si="2"/>
        <v>0</v>
      </c>
      <c r="N143" s="14"/>
      <c r="O143" s="14"/>
      <c r="P143" s="15"/>
      <c r="Q143" s="14"/>
    </row>
    <row r="144" ht="15.75" customHeight="1">
      <c r="A144" s="7"/>
      <c r="B144" s="8"/>
      <c r="C144" s="8"/>
      <c r="D144" s="8"/>
      <c r="E144" s="8"/>
      <c r="F144" s="14"/>
      <c r="G144" s="8"/>
      <c r="H144" s="8"/>
      <c r="I144" s="9"/>
      <c r="J144" s="12" t="str">
        <f t="array" ref="J144:K144">IFERROR(INDEX(PRECIOS_COMPLEMENTOS!$C$4:$F$17,MATCH(D144&amp;"_"&amp;E144,PRECIOS_COMPLEMENTOS!$H$4:$H$17,0),IF(OR(H144="S",H144="20cm"),1,IF(OR(H144="M",H144="25cm"),2,IF(OR(H144="L",H144="30cm"),3,IF(OR(H144="XL",H144="35cm"),4,0))))),0)</f>
        <v>#REF!</v>
      </c>
      <c r="K144" s="12">
        <f t="shared" si="1"/>
        <v>0</v>
      </c>
      <c r="L144" s="13">
        <f>IFERROR(IF(C144="",0,IF(D144="PRETINA",SUMIFS($I$4:$I$143,$C$4:$C$143,C144,$D$4:$D$143,D144,$E$4:$E$143,E144,$F$4:$F$143,F144,$G$4:$G$143,G144,$H$4:$H$143,H144,$B$4:$B$143,"INGRESO")+SUMIFS($I$4:$I$143,$C$4:$C$143,C144,$D$4:$D$143,D144,$E$4:$E$143,E144,$F$4:$F$143,F144,$G$4:$G$143,G144,$H$4:$H$143,H144,$B$4:$B$143,"DE CORTE")-SUMIFS($I$4:$I$143,$C$4:$C$143,C144,$D$4:$D$143,D144,$E$4:$E$143,E144,$F$4:$F$143,F144,$G$4:$G$143,G144,$H$4:$H$143,H144,$B$4:$B$143,"SALIDA"),SUMIFS($I$4:$I$143,$C$4:$C$143,C144,$D$4:$D$143,D144,$E$4:$E$143,E144,$G$4:$G$143,G144,$H$4:$H$143,H144,$B$4:$B$143,"INGRESO")+SUMIFS($I$4:$I$143,$C$4:$C$143,C144,$D$4:$D$143,D144,$E$4:$E$143,E144,$G$4:$G$143,G144,$H$4:$H$143,H144,$B$4:$B$143,"DE CORTE")-SUMIFS($I$4:$I$143,$C$4:$C$143,C144,$D$4:$D$143,D144,$E$4:$E$143,E144,$G$4:$G$143,G144,$H$4:$H$143,H144,$B$4:$B$143,"SALIDA"))),0)</f>
        <v>0</v>
      </c>
      <c r="M144" s="13">
        <f t="shared" si="2"/>
        <v>0</v>
      </c>
      <c r="N144" s="14"/>
      <c r="O144" s="14"/>
      <c r="P144" s="15"/>
      <c r="Q144" s="14"/>
    </row>
    <row r="145" ht="15.75" customHeight="1">
      <c r="A145" s="7"/>
      <c r="B145" s="8"/>
      <c r="C145" s="8"/>
      <c r="D145" s="8"/>
      <c r="E145" s="8"/>
      <c r="F145" s="14"/>
      <c r="G145" s="8"/>
      <c r="H145" s="8"/>
      <c r="I145" s="9"/>
      <c r="J145" s="12" t="str">
        <f t="array" ref="J145:K145">IFERROR(INDEX(PRECIOS_COMPLEMENTOS!$C$4:$F$17,MATCH(D145&amp;"_"&amp;E145,PRECIOS_COMPLEMENTOS!$H$4:$H$17,0),IF(OR(H145="S",H145="20cm"),1,IF(OR(H145="M",H145="25cm"),2,IF(OR(H145="L",H145="30cm"),3,IF(OR(H145="XL",H145="35cm"),4,0))))),0)</f>
        <v>#REF!</v>
      </c>
      <c r="K145" s="12">
        <f t="shared" si="1"/>
        <v>0</v>
      </c>
      <c r="L145" s="13">
        <f>IFERROR(IF(C145="",0,IF(D145="PRETINA",SUMIFS($I$4:$I$144,$C$4:$C$144,C145,$D$4:$D$144,D145,$E$4:$E$144,E145,$F$4:$F$144,F145,$G$4:$G$144,G145,$H$4:$H$144,H145,$B$4:$B$144,"INGRESO")+SUMIFS($I$4:$I$144,$C$4:$C$144,C145,$D$4:$D$144,D145,$E$4:$E$144,E145,$F$4:$F$144,F145,$G$4:$G$144,G145,$H$4:$H$144,H145,$B$4:$B$144,"DE CORTE")-SUMIFS($I$4:$I$144,$C$4:$C$144,C145,$D$4:$D$144,D145,$E$4:$E$144,E145,$F$4:$F$144,F145,$G$4:$G$144,G145,$H$4:$H$144,H145,$B$4:$B$144,"SALIDA"),SUMIFS($I$4:$I$144,$C$4:$C$144,C145,$D$4:$D$144,D145,$E$4:$E$144,E145,$G$4:$G$144,G145,$H$4:$H$144,H145,$B$4:$B$144,"INGRESO")+SUMIFS($I$4:$I$144,$C$4:$C$144,C145,$D$4:$D$144,D145,$E$4:$E$144,E145,$G$4:$G$144,G145,$H$4:$H$144,H145,$B$4:$B$144,"DE CORTE")-SUMIFS($I$4:$I$144,$C$4:$C$144,C145,$D$4:$D$144,D145,$E$4:$E$144,E145,$G$4:$G$144,G145,$H$4:$H$144,H145,$B$4:$B$144,"SALIDA"))),0)</f>
        <v>0</v>
      </c>
      <c r="M145" s="13">
        <f t="shared" si="2"/>
        <v>0</v>
      </c>
      <c r="N145" s="14"/>
      <c r="O145" s="14"/>
      <c r="P145" s="15"/>
      <c r="Q145" s="14"/>
    </row>
    <row r="146" ht="15.75" customHeight="1">
      <c r="A146" s="7"/>
      <c r="B146" s="8"/>
      <c r="C146" s="8"/>
      <c r="D146" s="8"/>
      <c r="E146" s="8"/>
      <c r="F146" s="14"/>
      <c r="G146" s="8"/>
      <c r="H146" s="8"/>
      <c r="I146" s="9"/>
      <c r="J146" s="12" t="str">
        <f t="array" ref="J146:K146">IFERROR(INDEX(PRECIOS_COMPLEMENTOS!$C$4:$F$17,MATCH(D146&amp;"_"&amp;E146,PRECIOS_COMPLEMENTOS!$H$4:$H$17,0),IF(OR(H146="S",H146="20cm"),1,IF(OR(H146="M",H146="25cm"),2,IF(OR(H146="L",H146="30cm"),3,IF(OR(H146="XL",H146="35cm"),4,0))))),0)</f>
        <v>#REF!</v>
      </c>
      <c r="K146" s="12">
        <f t="shared" si="1"/>
        <v>0</v>
      </c>
      <c r="L146" s="13">
        <f>IFERROR(IF(C146="",0,IF(D146="PRETINA",SUMIFS($I$4:$I$145,$C$4:$C$145,C146,$D$4:$D$145,D146,$E$4:$E$145,E146,$F$4:$F$145,F146,$G$4:$G$145,G146,$H$4:$H$145,H146,$B$4:$B$145,"INGRESO")+SUMIFS($I$4:$I$145,$C$4:$C$145,C146,$D$4:$D$145,D146,$E$4:$E$145,E146,$F$4:$F$145,F146,$G$4:$G$145,G146,$H$4:$H$145,H146,$B$4:$B$145,"DE CORTE")-SUMIFS($I$4:$I$145,$C$4:$C$145,C146,$D$4:$D$145,D146,$E$4:$E$145,E146,$F$4:$F$145,F146,$G$4:$G$145,G146,$H$4:$H$145,H146,$B$4:$B$145,"SALIDA"),SUMIFS($I$4:$I$145,$C$4:$C$145,C146,$D$4:$D$145,D146,$E$4:$E$145,E146,$G$4:$G$145,G146,$H$4:$H$145,H146,$B$4:$B$145,"INGRESO")+SUMIFS($I$4:$I$145,$C$4:$C$145,C146,$D$4:$D$145,D146,$E$4:$E$145,E146,$G$4:$G$145,G146,$H$4:$H$145,H146,$B$4:$B$145,"DE CORTE")-SUMIFS($I$4:$I$145,$C$4:$C$145,C146,$D$4:$D$145,D146,$E$4:$E$145,E146,$G$4:$G$145,G146,$H$4:$H$145,H146,$B$4:$B$145,"SALIDA"))),0)</f>
        <v>0</v>
      </c>
      <c r="M146" s="13">
        <f t="shared" si="2"/>
        <v>0</v>
      </c>
      <c r="N146" s="14"/>
      <c r="O146" s="14"/>
      <c r="P146" s="15"/>
      <c r="Q146" s="14"/>
    </row>
    <row r="147" ht="15.75" customHeight="1">
      <c r="A147" s="7"/>
      <c r="B147" s="8"/>
      <c r="C147" s="8"/>
      <c r="D147" s="8"/>
      <c r="E147" s="8"/>
      <c r="F147" s="14"/>
      <c r="G147" s="8"/>
      <c r="H147" s="8"/>
      <c r="I147" s="9"/>
      <c r="J147" s="12" t="str">
        <f t="array" ref="J147:K147">IFERROR(INDEX(PRECIOS_COMPLEMENTOS!$C$4:$F$17,MATCH(D147&amp;"_"&amp;E147,PRECIOS_COMPLEMENTOS!$H$4:$H$17,0),IF(OR(H147="S",H147="20cm"),1,IF(OR(H147="M",H147="25cm"),2,IF(OR(H147="L",H147="30cm"),3,IF(OR(H147="XL",H147="35cm"),4,0))))),0)</f>
        <v>#REF!</v>
      </c>
      <c r="K147" s="12">
        <f t="shared" si="1"/>
        <v>0</v>
      </c>
      <c r="L147" s="13">
        <f>IFERROR(IF(C147="",0,IF(D147="PRETINA",SUMIFS($I$4:$I$146,$C$4:$C$146,C147,$D$4:$D$146,D147,$E$4:$E$146,E147,$F$4:$F$146,F147,$G$4:$G$146,G147,$H$4:$H$146,H147,$B$4:$B$146,"INGRESO")+SUMIFS($I$4:$I$146,$C$4:$C$146,C147,$D$4:$D$146,D147,$E$4:$E$146,E147,$F$4:$F$146,F147,$G$4:$G$146,G147,$H$4:$H$146,H147,$B$4:$B$146,"DE CORTE")-SUMIFS($I$4:$I$146,$C$4:$C$146,C147,$D$4:$D$146,D147,$E$4:$E$146,E147,$F$4:$F$146,F147,$G$4:$G$146,G147,$H$4:$H$146,H147,$B$4:$B$146,"SALIDA"),SUMIFS($I$4:$I$146,$C$4:$C$146,C147,$D$4:$D$146,D147,$E$4:$E$146,E147,$G$4:$G$146,G147,$H$4:$H$146,H147,$B$4:$B$146,"INGRESO")+SUMIFS($I$4:$I$146,$C$4:$C$146,C147,$D$4:$D$146,D147,$E$4:$E$146,E147,$G$4:$G$146,G147,$H$4:$H$146,H147,$B$4:$B$146,"DE CORTE")-SUMIFS($I$4:$I$146,$C$4:$C$146,C147,$D$4:$D$146,D147,$E$4:$E$146,E147,$G$4:$G$146,G147,$H$4:$H$146,H147,$B$4:$B$146,"SALIDA"))),0)</f>
        <v>0</v>
      </c>
      <c r="M147" s="13">
        <f t="shared" si="2"/>
        <v>0</v>
      </c>
      <c r="N147" s="14"/>
      <c r="O147" s="14"/>
      <c r="P147" s="15"/>
      <c r="Q147" s="14"/>
    </row>
    <row r="148" ht="15.75" customHeight="1">
      <c r="A148" s="7"/>
      <c r="B148" s="8"/>
      <c r="C148" s="8"/>
      <c r="D148" s="8"/>
      <c r="E148" s="8"/>
      <c r="F148" s="14"/>
      <c r="G148" s="8"/>
      <c r="H148" s="8"/>
      <c r="I148" s="9"/>
      <c r="J148" s="12" t="str">
        <f t="array" ref="J148:K148">IFERROR(INDEX(PRECIOS_COMPLEMENTOS!$C$4:$F$17,MATCH(D148&amp;"_"&amp;E148,PRECIOS_COMPLEMENTOS!$H$4:$H$17,0),IF(OR(H148="S",H148="20cm"),1,IF(OR(H148="M",H148="25cm"),2,IF(OR(H148="L",H148="30cm"),3,IF(OR(H148="XL",H148="35cm"),4,0))))),0)</f>
        <v>#REF!</v>
      </c>
      <c r="K148" s="12">
        <f t="shared" si="1"/>
        <v>0</v>
      </c>
      <c r="L148" s="13">
        <f>IFERROR(IF(C148="",0,IF(D148="PRETINA",SUMIFS($I$4:$I$147,$C$4:$C$147,C148,$D$4:$D$147,D148,$E$4:$E$147,E148,$F$4:$F$147,F148,$G$4:$G$147,G148,$H$4:$H$147,H148,$B$4:$B$147,"INGRESO")+SUMIFS($I$4:$I$147,$C$4:$C$147,C148,$D$4:$D$147,D148,$E$4:$E$147,E148,$F$4:$F$147,F148,$G$4:$G$147,G148,$H$4:$H$147,H148,$B$4:$B$147,"DE CORTE")-SUMIFS($I$4:$I$147,$C$4:$C$147,C148,$D$4:$D$147,D148,$E$4:$E$147,E148,$F$4:$F$147,F148,$G$4:$G$147,G148,$H$4:$H$147,H148,$B$4:$B$147,"SALIDA"),SUMIFS($I$4:$I$147,$C$4:$C$147,C148,$D$4:$D$147,D148,$E$4:$E$147,E148,$G$4:$G$147,G148,$H$4:$H$147,H148,$B$4:$B$147,"INGRESO")+SUMIFS($I$4:$I$147,$C$4:$C$147,C148,$D$4:$D$147,D148,$E$4:$E$147,E148,$G$4:$G$147,G148,$H$4:$H$147,H148,$B$4:$B$147,"DE CORTE")-SUMIFS($I$4:$I$147,$C$4:$C$147,C148,$D$4:$D$147,D148,$E$4:$E$147,E148,$G$4:$G$147,G148,$H$4:$H$147,H148,$B$4:$B$147,"SALIDA"))),0)</f>
        <v>0</v>
      </c>
      <c r="M148" s="13">
        <f t="shared" si="2"/>
        <v>0</v>
      </c>
      <c r="N148" s="14"/>
      <c r="O148" s="14"/>
      <c r="P148" s="15"/>
      <c r="Q148" s="14"/>
    </row>
    <row r="149" ht="15.75" customHeight="1">
      <c r="A149" s="7"/>
      <c r="B149" s="8"/>
      <c r="C149" s="8"/>
      <c r="D149" s="8"/>
      <c r="E149" s="8"/>
      <c r="F149" s="14"/>
      <c r="G149" s="8"/>
      <c r="H149" s="8"/>
      <c r="I149" s="9"/>
      <c r="J149" s="12" t="str">
        <f t="array" ref="J149:K149">IFERROR(INDEX(PRECIOS_COMPLEMENTOS!$C$4:$F$17,MATCH(D149&amp;"_"&amp;E149,PRECIOS_COMPLEMENTOS!$H$4:$H$17,0),IF(OR(H149="S",H149="20cm"),1,IF(OR(H149="M",H149="25cm"),2,IF(OR(H149="L",H149="30cm"),3,IF(OR(H149="XL",H149="35cm"),4,0))))),0)</f>
        <v>#REF!</v>
      </c>
      <c r="K149" s="12">
        <f t="shared" si="1"/>
        <v>0</v>
      </c>
      <c r="L149" s="13">
        <f>IFERROR(IF(C149="",0,IF(D149="PRETINA",SUMIFS($I$4:$I$148,$C$4:$C$148,C149,$D$4:$D$148,D149,$E$4:$E$148,E149,$F$4:$F$148,F149,$G$4:$G$148,G149,$H$4:$H$148,H149,$B$4:$B$148,"INGRESO")+SUMIFS($I$4:$I$148,$C$4:$C$148,C149,$D$4:$D$148,D149,$E$4:$E$148,E149,$F$4:$F$148,F149,$G$4:$G$148,G149,$H$4:$H$148,H149,$B$4:$B$148,"DE CORTE")-SUMIFS($I$4:$I$148,$C$4:$C$148,C149,$D$4:$D$148,D149,$E$4:$E$148,E149,$F$4:$F$148,F149,$G$4:$G$148,G149,$H$4:$H$148,H149,$B$4:$B$148,"SALIDA"),SUMIFS($I$4:$I$148,$C$4:$C$148,C149,$D$4:$D$148,D149,$E$4:$E$148,E149,$G$4:$G$148,G149,$H$4:$H$148,H149,$B$4:$B$148,"INGRESO")+SUMIFS($I$4:$I$148,$C$4:$C$148,C149,$D$4:$D$148,D149,$E$4:$E$148,E149,$G$4:$G$148,G149,$H$4:$H$148,H149,$B$4:$B$148,"DE CORTE")-SUMIFS($I$4:$I$148,$C$4:$C$148,C149,$D$4:$D$148,D149,$E$4:$E$148,E149,$G$4:$G$148,G149,$H$4:$H$148,H149,$B$4:$B$148,"SALIDA"))),0)</f>
        <v>0</v>
      </c>
      <c r="M149" s="13">
        <f t="shared" si="2"/>
        <v>0</v>
      </c>
      <c r="N149" s="14"/>
      <c r="O149" s="14"/>
      <c r="P149" s="15"/>
      <c r="Q149" s="14"/>
    </row>
    <row r="150" ht="15.75" customHeight="1">
      <c r="A150" s="7"/>
      <c r="B150" s="8"/>
      <c r="C150" s="8"/>
      <c r="D150" s="8"/>
      <c r="E150" s="8"/>
      <c r="F150" s="14"/>
      <c r="G150" s="8"/>
      <c r="H150" s="8"/>
      <c r="I150" s="9"/>
      <c r="J150" s="12" t="str">
        <f t="array" ref="J150:K150">IFERROR(INDEX(PRECIOS_COMPLEMENTOS!$C$4:$F$17,MATCH(D150&amp;"_"&amp;E150,PRECIOS_COMPLEMENTOS!$H$4:$H$17,0),IF(OR(H150="S",H150="20cm"),1,IF(OR(H150="M",H150="25cm"),2,IF(OR(H150="L",H150="30cm"),3,IF(OR(H150="XL",H150="35cm"),4,0))))),0)</f>
        <v>#REF!</v>
      </c>
      <c r="K150" s="12">
        <f t="shared" si="1"/>
        <v>0</v>
      </c>
      <c r="L150" s="13">
        <f>IFERROR(IF(C150="",0,IF(D150="PRETINA",SUMIFS($I$4:$I$149,$C$4:$C$149,C150,$D$4:$D$149,D150,$E$4:$E$149,E150,$F$4:$F$149,F150,$G$4:$G$149,G150,$H$4:$H$149,H150,$B$4:$B$149,"INGRESO")+SUMIFS($I$4:$I$149,$C$4:$C$149,C150,$D$4:$D$149,D150,$E$4:$E$149,E150,$F$4:$F$149,F150,$G$4:$G$149,G150,$H$4:$H$149,H150,$B$4:$B$149,"DE CORTE")-SUMIFS($I$4:$I$149,$C$4:$C$149,C150,$D$4:$D$149,D150,$E$4:$E$149,E150,$F$4:$F$149,F150,$G$4:$G$149,G150,$H$4:$H$149,H150,$B$4:$B$149,"SALIDA"),SUMIFS($I$4:$I$149,$C$4:$C$149,C150,$D$4:$D$149,D150,$E$4:$E$149,E150,$G$4:$G$149,G150,$H$4:$H$149,H150,$B$4:$B$149,"INGRESO")+SUMIFS($I$4:$I$149,$C$4:$C$149,C150,$D$4:$D$149,D150,$E$4:$E$149,E150,$G$4:$G$149,G150,$H$4:$H$149,H150,$B$4:$B$149,"DE CORTE")-SUMIFS($I$4:$I$149,$C$4:$C$149,C150,$D$4:$D$149,D150,$E$4:$E$149,E150,$G$4:$G$149,G150,$H$4:$H$149,H150,$B$4:$B$149,"SALIDA"))),0)</f>
        <v>0</v>
      </c>
      <c r="M150" s="13">
        <f t="shared" si="2"/>
        <v>0</v>
      </c>
      <c r="N150" s="14"/>
      <c r="O150" s="14"/>
      <c r="P150" s="15"/>
      <c r="Q150" s="14"/>
    </row>
    <row r="151" ht="15.75" customHeight="1">
      <c r="A151" s="7"/>
      <c r="B151" s="8"/>
      <c r="C151" s="8"/>
      <c r="D151" s="8"/>
      <c r="E151" s="8"/>
      <c r="F151" s="14"/>
      <c r="G151" s="8"/>
      <c r="H151" s="8"/>
      <c r="I151" s="9"/>
      <c r="J151" s="12" t="str">
        <f t="array" ref="J151:K151">IFERROR(INDEX(PRECIOS_COMPLEMENTOS!$C$4:$F$17,MATCH(D151&amp;"_"&amp;E151,PRECIOS_COMPLEMENTOS!$H$4:$H$17,0),IF(OR(H151="S",H151="20cm"),1,IF(OR(H151="M",H151="25cm"),2,IF(OR(H151="L",H151="30cm"),3,IF(OR(H151="XL",H151="35cm"),4,0))))),0)</f>
        <v>#REF!</v>
      </c>
      <c r="K151" s="12">
        <f t="shared" si="1"/>
        <v>0</v>
      </c>
      <c r="L151" s="13">
        <f>IFERROR(IF(C151="",0,IF(D151="PRETINA",SUMIFS($I$4:$I$150,$C$4:$C$150,C151,$D$4:$D$150,D151,$E$4:$E$150,E151,$F$4:$F$150,F151,$G$4:$G$150,G151,$H$4:$H$150,H151,$B$4:$B$150,"INGRESO")+SUMIFS($I$4:$I$150,$C$4:$C$150,C151,$D$4:$D$150,D151,$E$4:$E$150,E151,$F$4:$F$150,F151,$G$4:$G$150,G151,$H$4:$H$150,H151,$B$4:$B$150,"DE CORTE")-SUMIFS($I$4:$I$150,$C$4:$C$150,C151,$D$4:$D$150,D151,$E$4:$E$150,E151,$F$4:$F$150,F151,$G$4:$G$150,G151,$H$4:$H$150,H151,$B$4:$B$150,"SALIDA"),SUMIFS($I$4:$I$150,$C$4:$C$150,C151,$D$4:$D$150,D151,$E$4:$E$150,E151,$G$4:$G$150,G151,$H$4:$H$150,H151,$B$4:$B$150,"INGRESO")+SUMIFS($I$4:$I$150,$C$4:$C$150,C151,$D$4:$D$150,D151,$E$4:$E$150,E151,$G$4:$G$150,G151,$H$4:$H$150,H151,$B$4:$B$150,"DE CORTE")-SUMIFS($I$4:$I$150,$C$4:$C$150,C151,$D$4:$D$150,D151,$E$4:$E$150,E151,$G$4:$G$150,G151,$H$4:$H$150,H151,$B$4:$B$150,"SALIDA"))),0)</f>
        <v>0</v>
      </c>
      <c r="M151" s="13">
        <f t="shared" si="2"/>
        <v>0</v>
      </c>
      <c r="N151" s="14"/>
      <c r="O151" s="14"/>
      <c r="P151" s="15"/>
      <c r="Q151" s="14"/>
    </row>
    <row r="152" ht="15.75" customHeight="1">
      <c r="A152" s="7"/>
      <c r="B152" s="8"/>
      <c r="C152" s="8"/>
      <c r="D152" s="8"/>
      <c r="E152" s="8"/>
      <c r="F152" s="14"/>
      <c r="G152" s="8"/>
      <c r="H152" s="8"/>
      <c r="I152" s="9"/>
      <c r="J152" s="12" t="str">
        <f t="array" ref="J152:K152">IFERROR(INDEX(PRECIOS_COMPLEMENTOS!$C$4:$F$17,MATCH(D152&amp;"_"&amp;E152,PRECIOS_COMPLEMENTOS!$H$4:$H$17,0),IF(OR(H152="S",H152="20cm"),1,IF(OR(H152="M",H152="25cm"),2,IF(OR(H152="L",H152="30cm"),3,IF(OR(H152="XL",H152="35cm"),4,0))))),0)</f>
        <v>#REF!</v>
      </c>
      <c r="K152" s="12">
        <f t="shared" si="1"/>
        <v>0</v>
      </c>
      <c r="L152" s="13">
        <f>IFERROR(IF(C152="",0,IF(D152="PRETINA",SUMIFS($I$4:$I$151,$C$4:$C$151,C152,$D$4:$D$151,D152,$E$4:$E$151,E152,$F$4:$F$151,F152,$G$4:$G$151,G152,$H$4:$H$151,H152,$B$4:$B$151,"INGRESO")+SUMIFS($I$4:$I$151,$C$4:$C$151,C152,$D$4:$D$151,D152,$E$4:$E$151,E152,$F$4:$F$151,F152,$G$4:$G$151,G152,$H$4:$H$151,H152,$B$4:$B$151,"DE CORTE")-SUMIFS($I$4:$I$151,$C$4:$C$151,C152,$D$4:$D$151,D152,$E$4:$E$151,E152,$F$4:$F$151,F152,$G$4:$G$151,G152,$H$4:$H$151,H152,$B$4:$B$151,"SALIDA"),SUMIFS($I$4:$I$151,$C$4:$C$151,C152,$D$4:$D$151,D152,$E$4:$E$151,E152,$G$4:$G$151,G152,$H$4:$H$151,H152,$B$4:$B$151,"INGRESO")+SUMIFS($I$4:$I$151,$C$4:$C$151,C152,$D$4:$D$151,D152,$E$4:$E$151,E152,$G$4:$G$151,G152,$H$4:$H$151,H152,$B$4:$B$151,"DE CORTE")-SUMIFS($I$4:$I$151,$C$4:$C$151,C152,$D$4:$D$151,D152,$E$4:$E$151,E152,$G$4:$G$151,G152,$H$4:$H$151,H152,$B$4:$B$151,"SALIDA"))),0)</f>
        <v>0</v>
      </c>
      <c r="M152" s="13">
        <f t="shared" si="2"/>
        <v>0</v>
      </c>
      <c r="N152" s="14"/>
      <c r="O152" s="14"/>
      <c r="P152" s="15"/>
      <c r="Q152" s="14"/>
    </row>
    <row r="153" ht="15.75" customHeight="1">
      <c r="A153" s="7"/>
      <c r="B153" s="8"/>
      <c r="C153" s="8"/>
      <c r="D153" s="8"/>
      <c r="E153" s="8"/>
      <c r="F153" s="14"/>
      <c r="G153" s="8"/>
      <c r="H153" s="8"/>
      <c r="I153" s="9"/>
      <c r="J153" s="12" t="str">
        <f t="array" ref="J153:K153">IFERROR(INDEX(PRECIOS_COMPLEMENTOS!$C$4:$F$17,MATCH(D153&amp;"_"&amp;E153,PRECIOS_COMPLEMENTOS!$H$4:$H$17,0),IF(OR(H153="S",H153="20cm"),1,IF(OR(H153="M",H153="25cm"),2,IF(OR(H153="L",H153="30cm"),3,IF(OR(H153="XL",H153="35cm"),4,0))))),0)</f>
        <v>#REF!</v>
      </c>
      <c r="K153" s="12">
        <f t="shared" si="1"/>
        <v>0</v>
      </c>
      <c r="L153" s="13">
        <f>IFERROR(IF(C153="",0,IF(D153="PRETINA",SUMIFS($I$4:$I$152,$C$4:$C$152,C153,$D$4:$D$152,D153,$E$4:$E$152,E153,$F$4:$F$152,F153,$G$4:$G$152,G153,$H$4:$H$152,H153,$B$4:$B$152,"INGRESO")+SUMIFS($I$4:$I$152,$C$4:$C$152,C153,$D$4:$D$152,D153,$E$4:$E$152,E153,$F$4:$F$152,F153,$G$4:$G$152,G153,$H$4:$H$152,H153,$B$4:$B$152,"DE CORTE")-SUMIFS($I$4:$I$152,$C$4:$C$152,C153,$D$4:$D$152,D153,$E$4:$E$152,E153,$F$4:$F$152,F153,$G$4:$G$152,G153,$H$4:$H$152,H153,$B$4:$B$152,"SALIDA"),SUMIFS($I$4:$I$152,$C$4:$C$152,C153,$D$4:$D$152,D153,$E$4:$E$152,E153,$G$4:$G$152,G153,$H$4:$H$152,H153,$B$4:$B$152,"INGRESO")+SUMIFS($I$4:$I$152,$C$4:$C$152,C153,$D$4:$D$152,D153,$E$4:$E$152,E153,$G$4:$G$152,G153,$H$4:$H$152,H153,$B$4:$B$152,"DE CORTE")-SUMIFS($I$4:$I$152,$C$4:$C$152,C153,$D$4:$D$152,D153,$E$4:$E$152,E153,$G$4:$G$152,G153,$H$4:$H$152,H153,$B$4:$B$152,"SALIDA"))),0)</f>
        <v>0</v>
      </c>
      <c r="M153" s="13">
        <f t="shared" si="2"/>
        <v>0</v>
      </c>
      <c r="N153" s="14"/>
      <c r="O153" s="14"/>
      <c r="P153" s="15"/>
      <c r="Q153" s="14"/>
    </row>
    <row r="154" ht="15.75" customHeight="1">
      <c r="A154" s="7"/>
      <c r="B154" s="8"/>
      <c r="C154" s="8"/>
      <c r="D154" s="8"/>
      <c r="E154" s="8"/>
      <c r="F154" s="14"/>
      <c r="G154" s="8"/>
      <c r="H154" s="8"/>
      <c r="I154" s="9"/>
      <c r="J154" s="12" t="str">
        <f t="array" ref="J154:K154">IFERROR(INDEX(PRECIOS_COMPLEMENTOS!$C$4:$F$17,MATCH(D154&amp;"_"&amp;E154,PRECIOS_COMPLEMENTOS!$H$4:$H$17,0),IF(OR(H154="S",H154="20cm"),1,IF(OR(H154="M",H154="25cm"),2,IF(OR(H154="L",H154="30cm"),3,IF(OR(H154="XL",H154="35cm"),4,0))))),0)</f>
        <v>#REF!</v>
      </c>
      <c r="K154" s="12">
        <f t="shared" si="1"/>
        <v>0</v>
      </c>
      <c r="L154" s="13">
        <f>IFERROR(IF(C154="",0,IF(D154="PRETINA",SUMIFS($I$4:$I$153,$C$4:$C$153,C154,$D$4:$D$153,D154,$E$4:$E$153,E154,$F$4:$F$153,F154,$G$4:$G$153,G154,$H$4:$H$153,H154,$B$4:$B$153,"INGRESO")+SUMIFS($I$4:$I$153,$C$4:$C$153,C154,$D$4:$D$153,D154,$E$4:$E$153,E154,$F$4:$F$153,F154,$G$4:$G$153,G154,$H$4:$H$153,H154,$B$4:$B$153,"DE CORTE")-SUMIFS($I$4:$I$153,$C$4:$C$153,C154,$D$4:$D$153,D154,$E$4:$E$153,E154,$F$4:$F$153,F154,$G$4:$G$153,G154,$H$4:$H$153,H154,$B$4:$B$153,"SALIDA"),SUMIFS($I$4:$I$153,$C$4:$C$153,C154,$D$4:$D$153,D154,$E$4:$E$153,E154,$G$4:$G$153,G154,$H$4:$H$153,H154,$B$4:$B$153,"INGRESO")+SUMIFS($I$4:$I$153,$C$4:$C$153,C154,$D$4:$D$153,D154,$E$4:$E$153,E154,$G$4:$G$153,G154,$H$4:$H$153,H154,$B$4:$B$153,"DE CORTE")-SUMIFS($I$4:$I$153,$C$4:$C$153,C154,$D$4:$D$153,D154,$E$4:$E$153,E154,$G$4:$G$153,G154,$H$4:$H$153,H154,$B$4:$B$153,"SALIDA"))),0)</f>
        <v>0</v>
      </c>
      <c r="M154" s="13">
        <f t="shared" si="2"/>
        <v>0</v>
      </c>
      <c r="N154" s="14"/>
      <c r="O154" s="14"/>
      <c r="P154" s="15"/>
      <c r="Q154" s="14"/>
    </row>
    <row r="155" ht="15.75" customHeight="1">
      <c r="A155" s="7"/>
      <c r="B155" s="8"/>
      <c r="C155" s="8"/>
      <c r="D155" s="8"/>
      <c r="E155" s="8"/>
      <c r="F155" s="14"/>
      <c r="G155" s="8"/>
      <c r="H155" s="8"/>
      <c r="I155" s="9"/>
      <c r="J155" s="12" t="str">
        <f t="array" ref="J155:K155">IFERROR(INDEX(PRECIOS_COMPLEMENTOS!$C$4:$F$17,MATCH(D155&amp;"_"&amp;E155,PRECIOS_COMPLEMENTOS!$H$4:$H$17,0),IF(OR(H155="S",H155="20cm"),1,IF(OR(H155="M",H155="25cm"),2,IF(OR(H155="L",H155="30cm"),3,IF(OR(H155="XL",H155="35cm"),4,0))))),0)</f>
        <v>#REF!</v>
      </c>
      <c r="K155" s="12">
        <f t="shared" si="1"/>
        <v>0</v>
      </c>
      <c r="L155" s="13">
        <f>IFERROR(IF(C155="",0,IF(D155="PRETINA",SUMIFS($I$4:$I$154,$C$4:$C$154,C155,$D$4:$D$154,D155,$E$4:$E$154,E155,$F$4:$F$154,F155,$G$4:$G$154,G155,$H$4:$H$154,H155,$B$4:$B$154,"INGRESO")+SUMIFS($I$4:$I$154,$C$4:$C$154,C155,$D$4:$D$154,D155,$E$4:$E$154,E155,$F$4:$F$154,F155,$G$4:$G$154,G155,$H$4:$H$154,H155,$B$4:$B$154,"DE CORTE")-SUMIFS($I$4:$I$154,$C$4:$C$154,C155,$D$4:$D$154,D155,$E$4:$E$154,E155,$F$4:$F$154,F155,$G$4:$G$154,G155,$H$4:$H$154,H155,$B$4:$B$154,"SALIDA"),SUMIFS($I$4:$I$154,$C$4:$C$154,C155,$D$4:$D$154,D155,$E$4:$E$154,E155,$G$4:$G$154,G155,$H$4:$H$154,H155,$B$4:$B$154,"INGRESO")+SUMIFS($I$4:$I$154,$C$4:$C$154,C155,$D$4:$D$154,D155,$E$4:$E$154,E155,$G$4:$G$154,G155,$H$4:$H$154,H155,$B$4:$B$154,"DE CORTE")-SUMIFS($I$4:$I$154,$C$4:$C$154,C155,$D$4:$D$154,D155,$E$4:$E$154,E155,$G$4:$G$154,G155,$H$4:$H$154,H155,$B$4:$B$154,"SALIDA"))),0)</f>
        <v>0</v>
      </c>
      <c r="M155" s="13">
        <f t="shared" si="2"/>
        <v>0</v>
      </c>
      <c r="N155" s="14"/>
      <c r="O155" s="14"/>
      <c r="P155" s="15"/>
      <c r="Q155" s="14"/>
    </row>
    <row r="156" ht="15.75" customHeight="1">
      <c r="A156" s="7"/>
      <c r="B156" s="8"/>
      <c r="C156" s="8"/>
      <c r="D156" s="8"/>
      <c r="E156" s="8"/>
      <c r="F156" s="14"/>
      <c r="G156" s="8"/>
      <c r="H156" s="8"/>
      <c r="I156" s="9"/>
      <c r="J156" s="12" t="str">
        <f t="array" ref="J156:K156">IFERROR(INDEX(PRECIOS_COMPLEMENTOS!$C$4:$F$17,MATCH(D156&amp;"_"&amp;E156,PRECIOS_COMPLEMENTOS!$H$4:$H$17,0),IF(OR(H156="S",H156="20cm"),1,IF(OR(H156="M",H156="25cm"),2,IF(OR(H156="L",H156="30cm"),3,IF(OR(H156="XL",H156="35cm"),4,0))))),0)</f>
        <v>#REF!</v>
      </c>
      <c r="K156" s="12">
        <f t="shared" si="1"/>
        <v>0</v>
      </c>
      <c r="L156" s="13">
        <f>IFERROR(IF(C156="",0,IF(D156="PRETINA",SUMIFS($I$4:$I$155,$C$4:$C$155,C156,$D$4:$D$155,D156,$E$4:$E$155,E156,$F$4:$F$155,F156,$G$4:$G$155,G156,$H$4:$H$155,H156,$B$4:$B$155,"INGRESO")+SUMIFS($I$4:$I$155,$C$4:$C$155,C156,$D$4:$D$155,D156,$E$4:$E$155,E156,$F$4:$F$155,F156,$G$4:$G$155,G156,$H$4:$H$155,H156,$B$4:$B$155,"DE CORTE")-SUMIFS($I$4:$I$155,$C$4:$C$155,C156,$D$4:$D$155,D156,$E$4:$E$155,E156,$F$4:$F$155,F156,$G$4:$G$155,G156,$H$4:$H$155,H156,$B$4:$B$155,"SALIDA"),SUMIFS($I$4:$I$155,$C$4:$C$155,C156,$D$4:$D$155,D156,$E$4:$E$155,E156,$G$4:$G$155,G156,$H$4:$H$155,H156,$B$4:$B$155,"INGRESO")+SUMIFS($I$4:$I$155,$C$4:$C$155,C156,$D$4:$D$155,D156,$E$4:$E$155,E156,$G$4:$G$155,G156,$H$4:$H$155,H156,$B$4:$B$155,"DE CORTE")-SUMIFS($I$4:$I$155,$C$4:$C$155,C156,$D$4:$D$155,D156,$E$4:$E$155,E156,$G$4:$G$155,G156,$H$4:$H$155,H156,$B$4:$B$155,"SALIDA"))),0)</f>
        <v>0</v>
      </c>
      <c r="M156" s="13">
        <f t="shared" si="2"/>
        <v>0</v>
      </c>
      <c r="N156" s="14"/>
      <c r="O156" s="14"/>
      <c r="P156" s="15"/>
      <c r="Q156" s="14"/>
    </row>
    <row r="157" ht="15.75" customHeight="1">
      <c r="A157" s="7"/>
      <c r="B157" s="8"/>
      <c r="C157" s="8"/>
      <c r="D157" s="8"/>
      <c r="E157" s="8"/>
      <c r="F157" s="14"/>
      <c r="G157" s="8"/>
      <c r="H157" s="8"/>
      <c r="I157" s="9"/>
      <c r="J157" s="12" t="str">
        <f t="array" ref="J157:K157">IFERROR(INDEX(PRECIOS_COMPLEMENTOS!$C$4:$F$17,MATCH(D157&amp;"_"&amp;E157,PRECIOS_COMPLEMENTOS!$H$4:$H$17,0),IF(OR(H157="S",H157="20cm"),1,IF(OR(H157="M",H157="25cm"),2,IF(OR(H157="L",H157="30cm"),3,IF(OR(H157="XL",H157="35cm"),4,0))))),0)</f>
        <v>#REF!</v>
      </c>
      <c r="K157" s="12">
        <f t="shared" si="1"/>
        <v>0</v>
      </c>
      <c r="L157" s="13">
        <f>IFERROR(IF(C157="",0,IF(D157="PRETINA",SUMIFS($I$4:$I$156,$C$4:$C$156,C157,$D$4:$D$156,D157,$E$4:$E$156,E157,$F$4:$F$156,F157,$G$4:$G$156,G157,$H$4:$H$156,H157,$B$4:$B$156,"INGRESO")+SUMIFS($I$4:$I$156,$C$4:$C$156,C157,$D$4:$D$156,D157,$E$4:$E$156,E157,$F$4:$F$156,F157,$G$4:$G$156,G157,$H$4:$H$156,H157,$B$4:$B$156,"DE CORTE")-SUMIFS($I$4:$I$156,$C$4:$C$156,C157,$D$4:$D$156,D157,$E$4:$E$156,E157,$F$4:$F$156,F157,$G$4:$G$156,G157,$H$4:$H$156,H157,$B$4:$B$156,"SALIDA"),SUMIFS($I$4:$I$156,$C$4:$C$156,C157,$D$4:$D$156,D157,$E$4:$E$156,E157,$G$4:$G$156,G157,$H$4:$H$156,H157,$B$4:$B$156,"INGRESO")+SUMIFS($I$4:$I$156,$C$4:$C$156,C157,$D$4:$D$156,D157,$E$4:$E$156,E157,$G$4:$G$156,G157,$H$4:$H$156,H157,$B$4:$B$156,"DE CORTE")-SUMIFS($I$4:$I$156,$C$4:$C$156,C157,$D$4:$D$156,D157,$E$4:$E$156,E157,$G$4:$G$156,G157,$H$4:$H$156,H157,$B$4:$B$156,"SALIDA"))),0)</f>
        <v>0</v>
      </c>
      <c r="M157" s="13">
        <f t="shared" si="2"/>
        <v>0</v>
      </c>
      <c r="N157" s="14"/>
      <c r="O157" s="14"/>
      <c r="P157" s="15"/>
      <c r="Q157" s="14"/>
    </row>
    <row r="158" ht="15.75" customHeight="1">
      <c r="A158" s="7"/>
      <c r="B158" s="8"/>
      <c r="C158" s="8"/>
      <c r="D158" s="8"/>
      <c r="E158" s="8"/>
      <c r="F158" s="14"/>
      <c r="G158" s="8"/>
      <c r="H158" s="8"/>
      <c r="I158" s="9"/>
      <c r="J158" s="12" t="str">
        <f t="array" ref="J158:K158">IFERROR(INDEX(PRECIOS_COMPLEMENTOS!$C$4:$F$17,MATCH(D158&amp;"_"&amp;E158,PRECIOS_COMPLEMENTOS!$H$4:$H$17,0),IF(OR(H158="S",H158="20cm"),1,IF(OR(H158="M",H158="25cm"),2,IF(OR(H158="L",H158="30cm"),3,IF(OR(H158="XL",H158="35cm"),4,0))))),0)</f>
        <v>#REF!</v>
      </c>
      <c r="K158" s="12">
        <f t="shared" si="1"/>
        <v>0</v>
      </c>
      <c r="L158" s="13">
        <f>IFERROR(IF(C158="",0,IF(D158="PRETINA",SUMIFS($I$4:$I$157,$C$4:$C$157,C158,$D$4:$D$157,D158,$E$4:$E$157,E158,$F$4:$F$157,F158,$G$4:$G$157,G158,$H$4:$H$157,H158,$B$4:$B$157,"INGRESO")+SUMIFS($I$4:$I$157,$C$4:$C$157,C158,$D$4:$D$157,D158,$E$4:$E$157,E158,$F$4:$F$157,F158,$G$4:$G$157,G158,$H$4:$H$157,H158,$B$4:$B$157,"DE CORTE")-SUMIFS($I$4:$I$157,$C$4:$C$157,C158,$D$4:$D$157,D158,$E$4:$E$157,E158,$F$4:$F$157,F158,$G$4:$G$157,G158,$H$4:$H$157,H158,$B$4:$B$157,"SALIDA"),SUMIFS($I$4:$I$157,$C$4:$C$157,C158,$D$4:$D$157,D158,$E$4:$E$157,E158,$G$4:$G$157,G158,$H$4:$H$157,H158,$B$4:$B$157,"INGRESO")+SUMIFS($I$4:$I$157,$C$4:$C$157,C158,$D$4:$D$157,D158,$E$4:$E$157,E158,$G$4:$G$157,G158,$H$4:$H$157,H158,$B$4:$B$157,"DE CORTE")-SUMIFS($I$4:$I$157,$C$4:$C$157,C158,$D$4:$D$157,D158,$E$4:$E$157,E158,$G$4:$G$157,G158,$H$4:$H$157,H158,$B$4:$B$157,"SALIDA"))),0)</f>
        <v>0</v>
      </c>
      <c r="M158" s="13">
        <f t="shared" si="2"/>
        <v>0</v>
      </c>
      <c r="N158" s="14"/>
      <c r="O158" s="14"/>
      <c r="P158" s="15"/>
      <c r="Q158" s="14"/>
    </row>
    <row r="159" ht="15.75" customHeight="1">
      <c r="A159" s="7"/>
      <c r="B159" s="8"/>
      <c r="C159" s="8"/>
      <c r="D159" s="8"/>
      <c r="E159" s="8"/>
      <c r="F159" s="14"/>
      <c r="G159" s="8"/>
      <c r="H159" s="8"/>
      <c r="I159" s="9"/>
      <c r="J159" s="12" t="str">
        <f t="array" ref="J159:K159">IFERROR(INDEX(PRECIOS_COMPLEMENTOS!$C$4:$F$17,MATCH(D159&amp;"_"&amp;E159,PRECIOS_COMPLEMENTOS!$H$4:$H$17,0),IF(OR(H159="S",H159="20cm"),1,IF(OR(H159="M",H159="25cm"),2,IF(OR(H159="L",H159="30cm"),3,IF(OR(H159="XL",H159="35cm"),4,0))))),0)</f>
        <v>#REF!</v>
      </c>
      <c r="K159" s="12">
        <f t="shared" si="1"/>
        <v>0</v>
      </c>
      <c r="L159" s="13">
        <f>IFERROR(IF(C159="",0,IF(D159="PRETINA",SUMIFS($I$4:$I$158,$C$4:$C$158,C159,$D$4:$D$158,D159,$E$4:$E$158,E159,$F$4:$F$158,F159,$G$4:$G$158,G159,$H$4:$H$158,H159,$B$4:$B$158,"INGRESO")+SUMIFS($I$4:$I$158,$C$4:$C$158,C159,$D$4:$D$158,D159,$E$4:$E$158,E159,$F$4:$F$158,F159,$G$4:$G$158,G159,$H$4:$H$158,H159,$B$4:$B$158,"DE CORTE")-SUMIFS($I$4:$I$158,$C$4:$C$158,C159,$D$4:$D$158,D159,$E$4:$E$158,E159,$F$4:$F$158,F159,$G$4:$G$158,G159,$H$4:$H$158,H159,$B$4:$B$158,"SALIDA"),SUMIFS($I$4:$I$158,$C$4:$C$158,C159,$D$4:$D$158,D159,$E$4:$E$158,E159,$G$4:$G$158,G159,$H$4:$H$158,H159,$B$4:$B$158,"INGRESO")+SUMIFS($I$4:$I$158,$C$4:$C$158,C159,$D$4:$D$158,D159,$E$4:$E$158,E159,$G$4:$G$158,G159,$H$4:$H$158,H159,$B$4:$B$158,"DE CORTE")-SUMIFS($I$4:$I$158,$C$4:$C$158,C159,$D$4:$D$158,D159,$E$4:$E$158,E159,$G$4:$G$158,G159,$H$4:$H$158,H159,$B$4:$B$158,"SALIDA"))),0)</f>
        <v>0</v>
      </c>
      <c r="M159" s="13">
        <f t="shared" si="2"/>
        <v>0</v>
      </c>
      <c r="N159" s="14"/>
      <c r="O159" s="14"/>
      <c r="P159" s="15"/>
      <c r="Q159" s="14"/>
    </row>
    <row r="160" ht="15.75" customHeight="1">
      <c r="A160" s="7"/>
      <c r="B160" s="8"/>
      <c r="C160" s="8"/>
      <c r="D160" s="8"/>
      <c r="E160" s="8"/>
      <c r="F160" s="14"/>
      <c r="G160" s="8"/>
      <c r="H160" s="8"/>
      <c r="I160" s="9"/>
      <c r="J160" s="12" t="str">
        <f t="array" ref="J160:K160">IFERROR(INDEX(PRECIOS_COMPLEMENTOS!$C$4:$F$17,MATCH(D160&amp;"_"&amp;E160,PRECIOS_COMPLEMENTOS!$H$4:$H$17,0),IF(OR(H160="S",H160="20cm"),1,IF(OR(H160="M",H160="25cm"),2,IF(OR(H160="L",H160="30cm"),3,IF(OR(H160="XL",H160="35cm"),4,0))))),0)</f>
        <v>#REF!</v>
      </c>
      <c r="K160" s="12">
        <f t="shared" si="1"/>
        <v>0</v>
      </c>
      <c r="L160" s="13">
        <f>IFERROR(IF(C160="",0,IF(D160="PRETINA",SUMIFS($I$4:$I$159,$C$4:$C$159,C160,$D$4:$D$159,D160,$E$4:$E$159,E160,$F$4:$F$159,F160,$G$4:$G$159,G160,$H$4:$H$159,H160,$B$4:$B$159,"INGRESO")+SUMIFS($I$4:$I$159,$C$4:$C$159,C160,$D$4:$D$159,D160,$E$4:$E$159,E160,$F$4:$F$159,F160,$G$4:$G$159,G160,$H$4:$H$159,H160,$B$4:$B$159,"DE CORTE")-SUMIFS($I$4:$I$159,$C$4:$C$159,C160,$D$4:$D$159,D160,$E$4:$E$159,E160,$F$4:$F$159,F160,$G$4:$G$159,G160,$H$4:$H$159,H160,$B$4:$B$159,"SALIDA"),SUMIFS($I$4:$I$159,$C$4:$C$159,C160,$D$4:$D$159,D160,$E$4:$E$159,E160,$G$4:$G$159,G160,$H$4:$H$159,H160,$B$4:$B$159,"INGRESO")+SUMIFS($I$4:$I$159,$C$4:$C$159,C160,$D$4:$D$159,D160,$E$4:$E$159,E160,$G$4:$G$159,G160,$H$4:$H$159,H160,$B$4:$B$159,"DE CORTE")-SUMIFS($I$4:$I$159,$C$4:$C$159,C160,$D$4:$D$159,D160,$E$4:$E$159,E160,$G$4:$G$159,G160,$H$4:$H$159,H160,$B$4:$B$159,"SALIDA"))),0)</f>
        <v>0</v>
      </c>
      <c r="M160" s="13">
        <f t="shared" si="2"/>
        <v>0</v>
      </c>
      <c r="N160" s="14"/>
      <c r="O160" s="14"/>
      <c r="P160" s="15"/>
      <c r="Q160" s="14"/>
    </row>
    <row r="161" ht="15.75" customHeight="1">
      <c r="A161" s="7"/>
      <c r="B161" s="8"/>
      <c r="C161" s="8"/>
      <c r="D161" s="8"/>
      <c r="E161" s="8"/>
      <c r="F161" s="14"/>
      <c r="G161" s="8"/>
      <c r="H161" s="8"/>
      <c r="I161" s="9"/>
      <c r="J161" s="12" t="str">
        <f t="array" ref="J161:K161">IFERROR(INDEX(PRECIOS_COMPLEMENTOS!$C$4:$F$17,MATCH(D161&amp;"_"&amp;E161,PRECIOS_COMPLEMENTOS!$H$4:$H$17,0),IF(OR(H161="S",H161="20cm"),1,IF(OR(H161="M",H161="25cm"),2,IF(OR(H161="L",H161="30cm"),3,IF(OR(H161="XL",H161="35cm"),4,0))))),0)</f>
        <v>#REF!</v>
      </c>
      <c r="K161" s="12">
        <f t="shared" si="1"/>
        <v>0</v>
      </c>
      <c r="L161" s="13">
        <f>IFERROR(IF(C161="",0,IF(D161="PRETINA",SUMIFS($I$4:$I$160,$C$4:$C$160,C161,$D$4:$D$160,D161,$E$4:$E$160,E161,$F$4:$F$160,F161,$G$4:$G$160,G161,$H$4:$H$160,H161,$B$4:$B$160,"INGRESO")+SUMIFS($I$4:$I$160,$C$4:$C$160,C161,$D$4:$D$160,D161,$E$4:$E$160,E161,$F$4:$F$160,F161,$G$4:$G$160,G161,$H$4:$H$160,H161,$B$4:$B$160,"DE CORTE")-SUMIFS($I$4:$I$160,$C$4:$C$160,C161,$D$4:$D$160,D161,$E$4:$E$160,E161,$F$4:$F$160,F161,$G$4:$G$160,G161,$H$4:$H$160,H161,$B$4:$B$160,"SALIDA"),SUMIFS($I$4:$I$160,$C$4:$C$160,C161,$D$4:$D$160,D161,$E$4:$E$160,E161,$G$4:$G$160,G161,$H$4:$H$160,H161,$B$4:$B$160,"INGRESO")+SUMIFS($I$4:$I$160,$C$4:$C$160,C161,$D$4:$D$160,D161,$E$4:$E$160,E161,$G$4:$G$160,G161,$H$4:$H$160,H161,$B$4:$B$160,"DE CORTE")-SUMIFS($I$4:$I$160,$C$4:$C$160,C161,$D$4:$D$160,D161,$E$4:$E$160,E161,$G$4:$G$160,G161,$H$4:$H$160,H161,$B$4:$B$160,"SALIDA"))),0)</f>
        <v>0</v>
      </c>
      <c r="M161" s="13">
        <f t="shared" si="2"/>
        <v>0</v>
      </c>
      <c r="N161" s="14"/>
      <c r="O161" s="14"/>
      <c r="P161" s="15"/>
      <c r="Q161" s="14"/>
    </row>
    <row r="162" ht="15.75" customHeight="1">
      <c r="A162" s="7"/>
      <c r="B162" s="8"/>
      <c r="C162" s="8"/>
      <c r="D162" s="8"/>
      <c r="E162" s="8"/>
      <c r="F162" s="14"/>
      <c r="G162" s="8"/>
      <c r="H162" s="8"/>
      <c r="I162" s="9"/>
      <c r="J162" s="12" t="str">
        <f t="array" ref="J162:K162">IFERROR(INDEX(PRECIOS_COMPLEMENTOS!$C$4:$F$17,MATCH(D162&amp;"_"&amp;E162,PRECIOS_COMPLEMENTOS!$H$4:$H$17,0),IF(OR(H162="S",H162="20cm"),1,IF(OR(H162="M",H162="25cm"),2,IF(OR(H162="L",H162="30cm"),3,IF(OR(H162="XL",H162="35cm"),4,0))))),0)</f>
        <v>#REF!</v>
      </c>
      <c r="K162" s="12">
        <f t="shared" si="1"/>
        <v>0</v>
      </c>
      <c r="L162" s="13">
        <f>IFERROR(IF(C162="",0,IF(D162="PRETINA",SUMIFS($I$4:$I$161,$C$4:$C$161,C162,$D$4:$D$161,D162,$E$4:$E$161,E162,$F$4:$F$161,F162,$G$4:$G$161,G162,$H$4:$H$161,H162,$B$4:$B$161,"INGRESO")+SUMIFS($I$4:$I$161,$C$4:$C$161,C162,$D$4:$D$161,D162,$E$4:$E$161,E162,$F$4:$F$161,F162,$G$4:$G$161,G162,$H$4:$H$161,H162,$B$4:$B$161,"DE CORTE")-SUMIFS($I$4:$I$161,$C$4:$C$161,C162,$D$4:$D$161,D162,$E$4:$E$161,E162,$F$4:$F$161,F162,$G$4:$G$161,G162,$H$4:$H$161,H162,$B$4:$B$161,"SALIDA"),SUMIFS($I$4:$I$161,$C$4:$C$161,C162,$D$4:$D$161,D162,$E$4:$E$161,E162,$G$4:$G$161,G162,$H$4:$H$161,H162,$B$4:$B$161,"INGRESO")+SUMIFS($I$4:$I$161,$C$4:$C$161,C162,$D$4:$D$161,D162,$E$4:$E$161,E162,$G$4:$G$161,G162,$H$4:$H$161,H162,$B$4:$B$161,"DE CORTE")-SUMIFS($I$4:$I$161,$C$4:$C$161,C162,$D$4:$D$161,D162,$E$4:$E$161,E162,$G$4:$G$161,G162,$H$4:$H$161,H162,$B$4:$B$161,"SALIDA"))),0)</f>
        <v>0</v>
      </c>
      <c r="M162" s="13">
        <f t="shared" si="2"/>
        <v>0</v>
      </c>
      <c r="N162" s="14"/>
      <c r="O162" s="14"/>
      <c r="P162" s="15"/>
      <c r="Q162" s="14"/>
    </row>
    <row r="163" ht="15.75" customHeight="1">
      <c r="A163" s="7"/>
      <c r="B163" s="8"/>
      <c r="C163" s="8"/>
      <c r="D163" s="8"/>
      <c r="E163" s="8"/>
      <c r="F163" s="14"/>
      <c r="G163" s="8"/>
      <c r="H163" s="8"/>
      <c r="I163" s="9"/>
      <c r="J163" s="12" t="str">
        <f t="array" ref="J163:K163">IFERROR(INDEX(PRECIOS_COMPLEMENTOS!$C$4:$F$17,MATCH(D163&amp;"_"&amp;E163,PRECIOS_COMPLEMENTOS!$H$4:$H$17,0),IF(OR(H163="S",H163="20cm"),1,IF(OR(H163="M",H163="25cm"),2,IF(OR(H163="L",H163="30cm"),3,IF(OR(H163="XL",H163="35cm"),4,0))))),0)</f>
        <v>#REF!</v>
      </c>
      <c r="K163" s="12">
        <f t="shared" si="1"/>
        <v>0</v>
      </c>
      <c r="L163" s="13">
        <f>IFERROR(IF(C163="",0,IF(D163="PRETINA",SUMIFS($I$4:$I$162,$C$4:$C$162,C163,$D$4:$D$162,D163,$E$4:$E$162,E163,$F$4:$F$162,F163,$G$4:$G$162,G163,$H$4:$H$162,H163,$B$4:$B$162,"INGRESO")+SUMIFS($I$4:$I$162,$C$4:$C$162,C163,$D$4:$D$162,D163,$E$4:$E$162,E163,$F$4:$F$162,F163,$G$4:$G$162,G163,$H$4:$H$162,H163,$B$4:$B$162,"DE CORTE")-SUMIFS($I$4:$I$162,$C$4:$C$162,C163,$D$4:$D$162,D163,$E$4:$E$162,E163,$F$4:$F$162,F163,$G$4:$G$162,G163,$H$4:$H$162,H163,$B$4:$B$162,"SALIDA"),SUMIFS($I$4:$I$162,$C$4:$C$162,C163,$D$4:$D$162,D163,$E$4:$E$162,E163,$G$4:$G$162,G163,$H$4:$H$162,H163,$B$4:$B$162,"INGRESO")+SUMIFS($I$4:$I$162,$C$4:$C$162,C163,$D$4:$D$162,D163,$E$4:$E$162,E163,$G$4:$G$162,G163,$H$4:$H$162,H163,$B$4:$B$162,"DE CORTE")-SUMIFS($I$4:$I$162,$C$4:$C$162,C163,$D$4:$D$162,D163,$E$4:$E$162,E163,$G$4:$G$162,G163,$H$4:$H$162,H163,$B$4:$B$162,"SALIDA"))),0)</f>
        <v>0</v>
      </c>
      <c r="M163" s="13">
        <f t="shared" si="2"/>
        <v>0</v>
      </c>
      <c r="N163" s="14"/>
      <c r="O163" s="14"/>
      <c r="P163" s="15"/>
      <c r="Q163" s="14"/>
    </row>
    <row r="164" ht="15.75" customHeight="1">
      <c r="A164" s="7"/>
      <c r="B164" s="8"/>
      <c r="C164" s="8"/>
      <c r="D164" s="8"/>
      <c r="E164" s="8"/>
      <c r="F164" s="14"/>
      <c r="G164" s="8"/>
      <c r="H164" s="8"/>
      <c r="I164" s="9"/>
      <c r="J164" s="12" t="str">
        <f t="array" ref="J164:K164">IFERROR(INDEX(PRECIOS_COMPLEMENTOS!$C$4:$F$17,MATCH(D164&amp;"_"&amp;E164,PRECIOS_COMPLEMENTOS!$H$4:$H$17,0),IF(OR(H164="S",H164="20cm"),1,IF(OR(H164="M",H164="25cm"),2,IF(OR(H164="L",H164="30cm"),3,IF(OR(H164="XL",H164="35cm"),4,0))))),0)</f>
        <v>#REF!</v>
      </c>
      <c r="K164" s="12">
        <f t="shared" si="1"/>
        <v>0</v>
      </c>
      <c r="L164" s="13">
        <f>IFERROR(IF(C164="",0,IF(D164="PRETINA",SUMIFS($I$4:$I$163,$C$4:$C$163,C164,$D$4:$D$163,D164,$E$4:$E$163,E164,$F$4:$F$163,F164,$G$4:$G$163,G164,$H$4:$H$163,H164,$B$4:$B$163,"INGRESO")+SUMIFS($I$4:$I$163,$C$4:$C$163,C164,$D$4:$D$163,D164,$E$4:$E$163,E164,$F$4:$F$163,F164,$G$4:$G$163,G164,$H$4:$H$163,H164,$B$4:$B$163,"DE CORTE")-SUMIFS($I$4:$I$163,$C$4:$C$163,C164,$D$4:$D$163,D164,$E$4:$E$163,E164,$F$4:$F$163,F164,$G$4:$G$163,G164,$H$4:$H$163,H164,$B$4:$B$163,"SALIDA"),SUMIFS($I$4:$I$163,$C$4:$C$163,C164,$D$4:$D$163,D164,$E$4:$E$163,E164,$G$4:$G$163,G164,$H$4:$H$163,H164,$B$4:$B$163,"INGRESO")+SUMIFS($I$4:$I$163,$C$4:$C$163,C164,$D$4:$D$163,D164,$E$4:$E$163,E164,$G$4:$G$163,G164,$H$4:$H$163,H164,$B$4:$B$163,"DE CORTE")-SUMIFS($I$4:$I$163,$C$4:$C$163,C164,$D$4:$D$163,D164,$E$4:$E$163,E164,$G$4:$G$163,G164,$H$4:$H$163,H164,$B$4:$B$163,"SALIDA"))),0)</f>
        <v>0</v>
      </c>
      <c r="M164" s="13">
        <f t="shared" si="2"/>
        <v>0</v>
      </c>
      <c r="N164" s="14"/>
      <c r="O164" s="14"/>
      <c r="P164" s="15"/>
      <c r="Q164" s="14"/>
    </row>
    <row r="165" ht="15.75" customHeight="1">
      <c r="A165" s="7"/>
      <c r="B165" s="8"/>
      <c r="C165" s="8"/>
      <c r="D165" s="8"/>
      <c r="E165" s="8"/>
      <c r="F165" s="14"/>
      <c r="G165" s="8"/>
      <c r="H165" s="8"/>
      <c r="I165" s="9"/>
      <c r="J165" s="12" t="str">
        <f t="array" ref="J165:K165">IFERROR(INDEX(PRECIOS_COMPLEMENTOS!$C$4:$F$17,MATCH(D165&amp;"_"&amp;E165,PRECIOS_COMPLEMENTOS!$H$4:$H$17,0),IF(OR(H165="S",H165="20cm"),1,IF(OR(H165="M",H165="25cm"),2,IF(OR(H165="L",H165="30cm"),3,IF(OR(H165="XL",H165="35cm"),4,0))))),0)</f>
        <v>#REF!</v>
      </c>
      <c r="K165" s="12">
        <f t="shared" si="1"/>
        <v>0</v>
      </c>
      <c r="L165" s="13">
        <f>IFERROR(IF(C165="",0,IF(D165="PRETINA",SUMIFS($I$4:$I$164,$C$4:$C$164,C165,$D$4:$D$164,D165,$E$4:$E$164,E165,$F$4:$F$164,F165,$G$4:$G$164,G165,$H$4:$H$164,H165,$B$4:$B$164,"INGRESO")+SUMIFS($I$4:$I$164,$C$4:$C$164,C165,$D$4:$D$164,D165,$E$4:$E$164,E165,$F$4:$F$164,F165,$G$4:$G$164,G165,$H$4:$H$164,H165,$B$4:$B$164,"DE CORTE")-SUMIFS($I$4:$I$164,$C$4:$C$164,C165,$D$4:$D$164,D165,$E$4:$E$164,E165,$F$4:$F$164,F165,$G$4:$G$164,G165,$H$4:$H$164,H165,$B$4:$B$164,"SALIDA"),SUMIFS($I$4:$I$164,$C$4:$C$164,C165,$D$4:$D$164,D165,$E$4:$E$164,E165,$G$4:$G$164,G165,$H$4:$H$164,H165,$B$4:$B$164,"INGRESO")+SUMIFS($I$4:$I$164,$C$4:$C$164,C165,$D$4:$D$164,D165,$E$4:$E$164,E165,$G$4:$G$164,G165,$H$4:$H$164,H165,$B$4:$B$164,"DE CORTE")-SUMIFS($I$4:$I$164,$C$4:$C$164,C165,$D$4:$D$164,D165,$E$4:$E$164,E165,$G$4:$G$164,G165,$H$4:$H$164,H165,$B$4:$B$164,"SALIDA"))),0)</f>
        <v>0</v>
      </c>
      <c r="M165" s="13">
        <f t="shared" si="2"/>
        <v>0</v>
      </c>
      <c r="N165" s="14"/>
      <c r="O165" s="14"/>
      <c r="P165" s="15"/>
      <c r="Q165" s="14"/>
    </row>
    <row r="166" ht="15.75" customHeight="1">
      <c r="A166" s="7"/>
      <c r="B166" s="8"/>
      <c r="C166" s="8"/>
      <c r="D166" s="8"/>
      <c r="E166" s="8"/>
      <c r="F166" s="14"/>
      <c r="G166" s="8"/>
      <c r="H166" s="8"/>
      <c r="I166" s="9"/>
      <c r="J166" s="12" t="str">
        <f t="array" ref="J166:K166">IFERROR(INDEX(PRECIOS_COMPLEMENTOS!$C$4:$F$17,MATCH(D166&amp;"_"&amp;E166,PRECIOS_COMPLEMENTOS!$H$4:$H$17,0),IF(OR(H166="S",H166="20cm"),1,IF(OR(H166="M",H166="25cm"),2,IF(OR(H166="L",H166="30cm"),3,IF(OR(H166="XL",H166="35cm"),4,0))))),0)</f>
        <v>#REF!</v>
      </c>
      <c r="K166" s="12">
        <f t="shared" si="1"/>
        <v>0</v>
      </c>
      <c r="L166" s="13">
        <f>IFERROR(IF(C166="",0,IF(D166="PRETINA",SUMIFS($I$4:$I$165,$C$4:$C$165,C166,$D$4:$D$165,D166,$E$4:$E$165,E166,$F$4:$F$165,F166,$G$4:$G$165,G166,$H$4:$H$165,H166,$B$4:$B$165,"INGRESO")+SUMIFS($I$4:$I$165,$C$4:$C$165,C166,$D$4:$D$165,D166,$E$4:$E$165,E166,$F$4:$F$165,F166,$G$4:$G$165,G166,$H$4:$H$165,H166,$B$4:$B$165,"DE CORTE")-SUMIFS($I$4:$I$165,$C$4:$C$165,C166,$D$4:$D$165,D166,$E$4:$E$165,E166,$F$4:$F$165,F166,$G$4:$G$165,G166,$H$4:$H$165,H166,$B$4:$B$165,"SALIDA"),SUMIFS($I$4:$I$165,$C$4:$C$165,C166,$D$4:$D$165,D166,$E$4:$E$165,E166,$G$4:$G$165,G166,$H$4:$H$165,H166,$B$4:$B$165,"INGRESO")+SUMIFS($I$4:$I$165,$C$4:$C$165,C166,$D$4:$D$165,D166,$E$4:$E$165,E166,$G$4:$G$165,G166,$H$4:$H$165,H166,$B$4:$B$165,"DE CORTE")-SUMIFS($I$4:$I$165,$C$4:$C$165,C166,$D$4:$D$165,D166,$E$4:$E$165,E166,$G$4:$G$165,G166,$H$4:$H$165,H166,$B$4:$B$165,"SALIDA"))),0)</f>
        <v>0</v>
      </c>
      <c r="M166" s="13">
        <f t="shared" si="2"/>
        <v>0</v>
      </c>
      <c r="N166" s="14"/>
      <c r="O166" s="14"/>
      <c r="P166" s="15"/>
      <c r="Q166" s="14"/>
    </row>
    <row r="167" ht="15.75" customHeight="1">
      <c r="A167" s="7"/>
      <c r="B167" s="8"/>
      <c r="C167" s="8"/>
      <c r="D167" s="8"/>
      <c r="E167" s="8"/>
      <c r="F167" s="14"/>
      <c r="G167" s="8"/>
      <c r="H167" s="8"/>
      <c r="I167" s="9"/>
      <c r="J167" s="12" t="str">
        <f t="array" ref="J167:K167">IFERROR(INDEX(PRECIOS_COMPLEMENTOS!$C$4:$F$17,MATCH(D167&amp;"_"&amp;E167,PRECIOS_COMPLEMENTOS!$H$4:$H$17,0),IF(OR(H167="S",H167="20cm"),1,IF(OR(H167="M",H167="25cm"),2,IF(OR(H167="L",H167="30cm"),3,IF(OR(H167="XL",H167="35cm"),4,0))))),0)</f>
        <v>#REF!</v>
      </c>
      <c r="K167" s="12">
        <f t="shared" si="1"/>
        <v>0</v>
      </c>
      <c r="L167" s="13">
        <f>IFERROR(IF(C167="",0,IF(D167="PRETINA",SUMIFS($I$4:$I$166,$C$4:$C$166,C167,$D$4:$D$166,D167,$E$4:$E$166,E167,$F$4:$F$166,F167,$G$4:$G$166,G167,$H$4:$H$166,H167,$B$4:$B$166,"INGRESO")+SUMIFS($I$4:$I$166,$C$4:$C$166,C167,$D$4:$D$166,D167,$E$4:$E$166,E167,$F$4:$F$166,F167,$G$4:$G$166,G167,$H$4:$H$166,H167,$B$4:$B$166,"DE CORTE")-SUMIFS($I$4:$I$166,$C$4:$C$166,C167,$D$4:$D$166,D167,$E$4:$E$166,E167,$F$4:$F$166,F167,$G$4:$G$166,G167,$H$4:$H$166,H167,$B$4:$B$166,"SALIDA"),SUMIFS($I$4:$I$166,$C$4:$C$166,C167,$D$4:$D$166,D167,$E$4:$E$166,E167,$G$4:$G$166,G167,$H$4:$H$166,H167,$B$4:$B$166,"INGRESO")+SUMIFS($I$4:$I$166,$C$4:$C$166,C167,$D$4:$D$166,D167,$E$4:$E$166,E167,$G$4:$G$166,G167,$H$4:$H$166,H167,$B$4:$B$166,"DE CORTE")-SUMIFS($I$4:$I$166,$C$4:$C$166,C167,$D$4:$D$166,D167,$E$4:$E$166,E167,$G$4:$G$166,G167,$H$4:$H$166,H167,$B$4:$B$166,"SALIDA"))),0)</f>
        <v>0</v>
      </c>
      <c r="M167" s="13">
        <f t="shared" si="2"/>
        <v>0</v>
      </c>
      <c r="N167" s="14"/>
      <c r="O167" s="14"/>
      <c r="P167" s="15"/>
      <c r="Q167" s="14"/>
    </row>
    <row r="168" ht="15.75" customHeight="1">
      <c r="A168" s="7"/>
      <c r="B168" s="8"/>
      <c r="C168" s="8"/>
      <c r="D168" s="8"/>
      <c r="E168" s="8"/>
      <c r="F168" s="14"/>
      <c r="G168" s="8"/>
      <c r="H168" s="8"/>
      <c r="I168" s="9"/>
      <c r="J168" s="12" t="str">
        <f t="array" ref="J168:K168">IFERROR(INDEX(PRECIOS_COMPLEMENTOS!$C$4:$F$17,MATCH(D168&amp;"_"&amp;E168,PRECIOS_COMPLEMENTOS!$H$4:$H$17,0),IF(OR(H168="S",H168="20cm"),1,IF(OR(H168="M",H168="25cm"),2,IF(OR(H168="L",H168="30cm"),3,IF(OR(H168="XL",H168="35cm"),4,0))))),0)</f>
        <v>#REF!</v>
      </c>
      <c r="K168" s="12">
        <f t="shared" si="1"/>
        <v>0</v>
      </c>
      <c r="L168" s="13">
        <f>IFERROR(IF(C168="",0,IF(D168="PRETINA",SUMIFS($I$4:$I$167,$C$4:$C$167,C168,$D$4:$D$167,D168,$E$4:$E$167,E168,$F$4:$F$167,F168,$G$4:$G$167,G168,$H$4:$H$167,H168,$B$4:$B$167,"INGRESO")+SUMIFS($I$4:$I$167,$C$4:$C$167,C168,$D$4:$D$167,D168,$E$4:$E$167,E168,$F$4:$F$167,F168,$G$4:$G$167,G168,$H$4:$H$167,H168,$B$4:$B$167,"DE CORTE")-SUMIFS($I$4:$I$167,$C$4:$C$167,C168,$D$4:$D$167,D168,$E$4:$E$167,E168,$F$4:$F$167,F168,$G$4:$G$167,G168,$H$4:$H$167,H168,$B$4:$B$167,"SALIDA"),SUMIFS($I$4:$I$167,$C$4:$C$167,C168,$D$4:$D$167,D168,$E$4:$E$167,E168,$G$4:$G$167,G168,$H$4:$H$167,H168,$B$4:$B$167,"INGRESO")+SUMIFS($I$4:$I$167,$C$4:$C$167,C168,$D$4:$D$167,D168,$E$4:$E$167,E168,$G$4:$G$167,G168,$H$4:$H$167,H168,$B$4:$B$167,"DE CORTE")-SUMIFS($I$4:$I$167,$C$4:$C$167,C168,$D$4:$D$167,D168,$E$4:$E$167,E168,$G$4:$G$167,G168,$H$4:$H$167,H168,$B$4:$B$167,"SALIDA"))),0)</f>
        <v>0</v>
      </c>
      <c r="M168" s="13">
        <f t="shared" si="2"/>
        <v>0</v>
      </c>
      <c r="N168" s="14"/>
      <c r="O168" s="14"/>
      <c r="P168" s="15"/>
      <c r="Q168" s="14"/>
    </row>
    <row r="169" ht="15.75" customHeight="1">
      <c r="A169" s="7"/>
      <c r="B169" s="8"/>
      <c r="C169" s="8"/>
      <c r="D169" s="8"/>
      <c r="E169" s="8"/>
      <c r="F169" s="14"/>
      <c r="G169" s="8"/>
      <c r="H169" s="8"/>
      <c r="I169" s="9"/>
      <c r="J169" s="12" t="str">
        <f t="array" ref="J169:K169">IFERROR(INDEX(PRECIOS_COMPLEMENTOS!$C$4:$F$17,MATCH(D169&amp;"_"&amp;E169,PRECIOS_COMPLEMENTOS!$H$4:$H$17,0),IF(OR(H169="S",H169="20cm"),1,IF(OR(H169="M",H169="25cm"),2,IF(OR(H169="L",H169="30cm"),3,IF(OR(H169="XL",H169="35cm"),4,0))))),0)</f>
        <v>#REF!</v>
      </c>
      <c r="K169" s="12">
        <f t="shared" si="1"/>
        <v>0</v>
      </c>
      <c r="L169" s="13">
        <f>IFERROR(IF(C169="",0,IF(D169="PRETINA",SUMIFS($I$4:$I$168,$C$4:$C$168,C169,$D$4:$D$168,D169,$E$4:$E$168,E169,$F$4:$F$168,F169,$G$4:$G$168,G169,$H$4:$H$168,H169,$B$4:$B$168,"INGRESO")+SUMIFS($I$4:$I$168,$C$4:$C$168,C169,$D$4:$D$168,D169,$E$4:$E$168,E169,$F$4:$F$168,F169,$G$4:$G$168,G169,$H$4:$H$168,H169,$B$4:$B$168,"DE CORTE")-SUMIFS($I$4:$I$168,$C$4:$C$168,C169,$D$4:$D$168,D169,$E$4:$E$168,E169,$F$4:$F$168,F169,$G$4:$G$168,G169,$H$4:$H$168,H169,$B$4:$B$168,"SALIDA"),SUMIFS($I$4:$I$168,$C$4:$C$168,C169,$D$4:$D$168,D169,$E$4:$E$168,E169,$G$4:$G$168,G169,$H$4:$H$168,H169,$B$4:$B$168,"INGRESO")+SUMIFS($I$4:$I$168,$C$4:$C$168,C169,$D$4:$D$168,D169,$E$4:$E$168,E169,$G$4:$G$168,G169,$H$4:$H$168,H169,$B$4:$B$168,"DE CORTE")-SUMIFS($I$4:$I$168,$C$4:$C$168,C169,$D$4:$D$168,D169,$E$4:$E$168,E169,$G$4:$G$168,G169,$H$4:$H$168,H169,$B$4:$B$168,"SALIDA"))),0)</f>
        <v>0</v>
      </c>
      <c r="M169" s="13">
        <f t="shared" si="2"/>
        <v>0</v>
      </c>
      <c r="N169" s="14"/>
      <c r="O169" s="14"/>
      <c r="P169" s="15"/>
      <c r="Q169" s="14"/>
    </row>
    <row r="170" ht="15.75" customHeight="1">
      <c r="A170" s="7"/>
      <c r="B170" s="8"/>
      <c r="C170" s="8"/>
      <c r="D170" s="8"/>
      <c r="E170" s="8"/>
      <c r="F170" s="14"/>
      <c r="G170" s="8"/>
      <c r="H170" s="8"/>
      <c r="I170" s="9"/>
      <c r="J170" s="12" t="str">
        <f t="array" ref="J170:K170">IFERROR(INDEX(PRECIOS_COMPLEMENTOS!$C$4:$F$17,MATCH(D170&amp;"_"&amp;E170,PRECIOS_COMPLEMENTOS!$H$4:$H$17,0),IF(OR(H170="S",H170="20cm"),1,IF(OR(H170="M",H170="25cm"),2,IF(OR(H170="L",H170="30cm"),3,IF(OR(H170="XL",H170="35cm"),4,0))))),0)</f>
        <v>#REF!</v>
      </c>
      <c r="K170" s="12">
        <f t="shared" si="1"/>
        <v>0</v>
      </c>
      <c r="L170" s="13">
        <f>IFERROR(IF(C170="",0,IF(D170="PRETINA",SUMIFS($I$4:$I$169,$C$4:$C$169,C170,$D$4:$D$169,D170,$E$4:$E$169,E170,$F$4:$F$169,F170,$G$4:$G$169,G170,$H$4:$H$169,H170,$B$4:$B$169,"INGRESO")+SUMIFS($I$4:$I$169,$C$4:$C$169,C170,$D$4:$D$169,D170,$E$4:$E$169,E170,$F$4:$F$169,F170,$G$4:$G$169,G170,$H$4:$H$169,H170,$B$4:$B$169,"DE CORTE")-SUMIFS($I$4:$I$169,$C$4:$C$169,C170,$D$4:$D$169,D170,$E$4:$E$169,E170,$F$4:$F$169,F170,$G$4:$G$169,G170,$H$4:$H$169,H170,$B$4:$B$169,"SALIDA"),SUMIFS($I$4:$I$169,$C$4:$C$169,C170,$D$4:$D$169,D170,$E$4:$E$169,E170,$G$4:$G$169,G170,$H$4:$H$169,H170,$B$4:$B$169,"INGRESO")+SUMIFS($I$4:$I$169,$C$4:$C$169,C170,$D$4:$D$169,D170,$E$4:$E$169,E170,$G$4:$G$169,G170,$H$4:$H$169,H170,$B$4:$B$169,"DE CORTE")-SUMIFS($I$4:$I$169,$C$4:$C$169,C170,$D$4:$D$169,D170,$E$4:$E$169,E170,$G$4:$G$169,G170,$H$4:$H$169,H170,$B$4:$B$169,"SALIDA"))),0)</f>
        <v>0</v>
      </c>
      <c r="M170" s="13">
        <f t="shared" si="2"/>
        <v>0</v>
      </c>
      <c r="N170" s="14"/>
      <c r="O170" s="14"/>
      <c r="P170" s="15"/>
      <c r="Q170" s="14"/>
    </row>
    <row r="171" ht="15.75" customHeight="1">
      <c r="A171" s="7"/>
      <c r="B171" s="8"/>
      <c r="C171" s="8"/>
      <c r="D171" s="8"/>
      <c r="E171" s="8"/>
      <c r="F171" s="14"/>
      <c r="G171" s="8"/>
      <c r="H171" s="8"/>
      <c r="I171" s="9"/>
      <c r="J171" s="12" t="str">
        <f t="array" ref="J171:K171">IFERROR(INDEX(PRECIOS_COMPLEMENTOS!$C$4:$F$17,MATCH(D171&amp;"_"&amp;E171,PRECIOS_COMPLEMENTOS!$H$4:$H$17,0),IF(OR(H171="S",H171="20cm"),1,IF(OR(H171="M",H171="25cm"),2,IF(OR(H171="L",H171="30cm"),3,IF(OR(H171="XL",H171="35cm"),4,0))))),0)</f>
        <v>#REF!</v>
      </c>
      <c r="K171" s="12">
        <f t="shared" si="1"/>
        <v>0</v>
      </c>
      <c r="L171" s="13">
        <f>IFERROR(IF(C171="",0,IF(D171="PRETINA",SUMIFS($I$4:$I$170,$C$4:$C$170,C171,$D$4:$D$170,D171,$E$4:$E$170,E171,$F$4:$F$170,F171,$G$4:$G$170,G171,$H$4:$H$170,H171,$B$4:$B$170,"INGRESO")+SUMIFS($I$4:$I$170,$C$4:$C$170,C171,$D$4:$D$170,D171,$E$4:$E$170,E171,$F$4:$F$170,F171,$G$4:$G$170,G171,$H$4:$H$170,H171,$B$4:$B$170,"DE CORTE")-SUMIFS($I$4:$I$170,$C$4:$C$170,C171,$D$4:$D$170,D171,$E$4:$E$170,E171,$F$4:$F$170,F171,$G$4:$G$170,G171,$H$4:$H$170,H171,$B$4:$B$170,"SALIDA"),SUMIFS($I$4:$I$170,$C$4:$C$170,C171,$D$4:$D$170,D171,$E$4:$E$170,E171,$G$4:$G$170,G171,$H$4:$H$170,H171,$B$4:$B$170,"INGRESO")+SUMIFS($I$4:$I$170,$C$4:$C$170,C171,$D$4:$D$170,D171,$E$4:$E$170,E171,$G$4:$G$170,G171,$H$4:$H$170,H171,$B$4:$B$170,"DE CORTE")-SUMIFS($I$4:$I$170,$C$4:$C$170,C171,$D$4:$D$170,D171,$E$4:$E$170,E171,$G$4:$G$170,G171,$H$4:$H$170,H171,$B$4:$B$170,"SALIDA"))),0)</f>
        <v>0</v>
      </c>
      <c r="M171" s="13">
        <f t="shared" si="2"/>
        <v>0</v>
      </c>
      <c r="N171" s="14"/>
      <c r="O171" s="14"/>
      <c r="P171" s="15"/>
      <c r="Q171" s="14"/>
    </row>
    <row r="172" ht="15.75" customHeight="1">
      <c r="A172" s="7"/>
      <c r="B172" s="8"/>
      <c r="C172" s="8"/>
      <c r="D172" s="8"/>
      <c r="E172" s="8"/>
      <c r="F172" s="14"/>
      <c r="G172" s="8"/>
      <c r="H172" s="8"/>
      <c r="I172" s="9"/>
      <c r="J172" s="12" t="str">
        <f t="array" ref="J172:K172">IFERROR(INDEX(PRECIOS_COMPLEMENTOS!$C$4:$F$17,MATCH(D172&amp;"_"&amp;E172,PRECIOS_COMPLEMENTOS!$H$4:$H$17,0),IF(OR(H172="S",H172="20cm"),1,IF(OR(H172="M",H172="25cm"),2,IF(OR(H172="L",H172="30cm"),3,IF(OR(H172="XL",H172="35cm"),4,0))))),0)</f>
        <v>#REF!</v>
      </c>
      <c r="K172" s="12">
        <f t="shared" si="1"/>
        <v>0</v>
      </c>
      <c r="L172" s="13">
        <f>IFERROR(IF(C172="",0,IF(D172="PRETINA",SUMIFS($I$4:$I$171,$C$4:$C$171,C172,$D$4:$D$171,D172,$E$4:$E$171,E172,$F$4:$F$171,F172,$G$4:$G$171,G172,$H$4:$H$171,H172,$B$4:$B$171,"INGRESO")+SUMIFS($I$4:$I$171,$C$4:$C$171,C172,$D$4:$D$171,D172,$E$4:$E$171,E172,$F$4:$F$171,F172,$G$4:$G$171,G172,$H$4:$H$171,H172,$B$4:$B$171,"DE CORTE")-SUMIFS($I$4:$I$171,$C$4:$C$171,C172,$D$4:$D$171,D172,$E$4:$E$171,E172,$F$4:$F$171,F172,$G$4:$G$171,G172,$H$4:$H$171,H172,$B$4:$B$171,"SALIDA"),SUMIFS($I$4:$I$171,$C$4:$C$171,C172,$D$4:$D$171,D172,$E$4:$E$171,E172,$G$4:$G$171,G172,$H$4:$H$171,H172,$B$4:$B$171,"INGRESO")+SUMIFS($I$4:$I$171,$C$4:$C$171,C172,$D$4:$D$171,D172,$E$4:$E$171,E172,$G$4:$G$171,G172,$H$4:$H$171,H172,$B$4:$B$171,"DE CORTE")-SUMIFS($I$4:$I$171,$C$4:$C$171,C172,$D$4:$D$171,D172,$E$4:$E$171,E172,$G$4:$G$171,G172,$H$4:$H$171,H172,$B$4:$B$171,"SALIDA"))),0)</f>
        <v>0</v>
      </c>
      <c r="M172" s="13">
        <f t="shared" si="2"/>
        <v>0</v>
      </c>
      <c r="N172" s="14"/>
      <c r="O172" s="14"/>
      <c r="P172" s="15"/>
      <c r="Q172" s="14"/>
    </row>
    <row r="173" ht="15.75" customHeight="1">
      <c r="A173" s="7"/>
      <c r="B173" s="8"/>
      <c r="C173" s="8"/>
      <c r="D173" s="8"/>
      <c r="E173" s="8"/>
      <c r="F173" s="14"/>
      <c r="G173" s="8"/>
      <c r="H173" s="8"/>
      <c r="I173" s="9"/>
      <c r="J173" s="12" t="str">
        <f t="array" ref="J173:K173">IFERROR(INDEX(PRECIOS_COMPLEMENTOS!$C$4:$F$17,MATCH(D173&amp;"_"&amp;E173,PRECIOS_COMPLEMENTOS!$H$4:$H$17,0),IF(OR(H173="S",H173="20cm"),1,IF(OR(H173="M",H173="25cm"),2,IF(OR(H173="L",H173="30cm"),3,IF(OR(H173="XL",H173="35cm"),4,0))))),0)</f>
        <v>#REF!</v>
      </c>
      <c r="K173" s="12">
        <f t="shared" si="1"/>
        <v>0</v>
      </c>
      <c r="L173" s="13">
        <f>IFERROR(IF(C173="",0,IF(D173="PRETINA",SUMIFS($I$4:$I$172,$C$4:$C$172,C173,$D$4:$D$172,D173,$E$4:$E$172,E173,$F$4:$F$172,F173,$G$4:$G$172,G173,$H$4:$H$172,H173,$B$4:$B$172,"INGRESO")+SUMIFS($I$4:$I$172,$C$4:$C$172,C173,$D$4:$D$172,D173,$E$4:$E$172,E173,$F$4:$F$172,F173,$G$4:$G$172,G173,$H$4:$H$172,H173,$B$4:$B$172,"DE CORTE")-SUMIFS($I$4:$I$172,$C$4:$C$172,C173,$D$4:$D$172,D173,$E$4:$E$172,E173,$F$4:$F$172,F173,$G$4:$G$172,G173,$H$4:$H$172,H173,$B$4:$B$172,"SALIDA"),SUMIFS($I$4:$I$172,$C$4:$C$172,C173,$D$4:$D$172,D173,$E$4:$E$172,E173,$G$4:$G$172,G173,$H$4:$H$172,H173,$B$4:$B$172,"INGRESO")+SUMIFS($I$4:$I$172,$C$4:$C$172,C173,$D$4:$D$172,D173,$E$4:$E$172,E173,$G$4:$G$172,G173,$H$4:$H$172,H173,$B$4:$B$172,"DE CORTE")-SUMIFS($I$4:$I$172,$C$4:$C$172,C173,$D$4:$D$172,D173,$E$4:$E$172,E173,$G$4:$G$172,G173,$H$4:$H$172,H173,$B$4:$B$172,"SALIDA"))),0)</f>
        <v>0</v>
      </c>
      <c r="M173" s="13">
        <f t="shared" si="2"/>
        <v>0</v>
      </c>
      <c r="N173" s="14"/>
      <c r="O173" s="14"/>
      <c r="P173" s="15"/>
      <c r="Q173" s="14"/>
    </row>
    <row r="174" ht="15.75" customHeight="1">
      <c r="A174" s="7"/>
      <c r="B174" s="8"/>
      <c r="C174" s="8"/>
      <c r="D174" s="8"/>
      <c r="E174" s="8"/>
      <c r="F174" s="14"/>
      <c r="G174" s="8"/>
      <c r="H174" s="8"/>
      <c r="I174" s="9"/>
      <c r="J174" s="12" t="str">
        <f t="array" ref="J174:K174">IFERROR(INDEX(PRECIOS_COMPLEMENTOS!$C$4:$F$17,MATCH(D174&amp;"_"&amp;E174,PRECIOS_COMPLEMENTOS!$H$4:$H$17,0),IF(OR(H174="S",H174="20cm"),1,IF(OR(H174="M",H174="25cm"),2,IF(OR(H174="L",H174="30cm"),3,IF(OR(H174="XL",H174="35cm"),4,0))))),0)</f>
        <v>#REF!</v>
      </c>
      <c r="K174" s="12">
        <f t="shared" si="1"/>
        <v>0</v>
      </c>
      <c r="L174" s="13">
        <f>IFERROR(IF(C174="",0,IF(D174="PRETINA",SUMIFS($I$4:$I$173,$C$4:$C$173,C174,$D$4:$D$173,D174,$E$4:$E$173,E174,$F$4:$F$173,F174,$G$4:$G$173,G174,$H$4:$H$173,H174,$B$4:$B$173,"INGRESO")+SUMIFS($I$4:$I$173,$C$4:$C$173,C174,$D$4:$D$173,D174,$E$4:$E$173,E174,$F$4:$F$173,F174,$G$4:$G$173,G174,$H$4:$H$173,H174,$B$4:$B$173,"DE CORTE")-SUMIFS($I$4:$I$173,$C$4:$C$173,C174,$D$4:$D$173,D174,$E$4:$E$173,E174,$F$4:$F$173,F174,$G$4:$G$173,G174,$H$4:$H$173,H174,$B$4:$B$173,"SALIDA"),SUMIFS($I$4:$I$173,$C$4:$C$173,C174,$D$4:$D$173,D174,$E$4:$E$173,E174,$G$4:$G$173,G174,$H$4:$H$173,H174,$B$4:$B$173,"INGRESO")+SUMIFS($I$4:$I$173,$C$4:$C$173,C174,$D$4:$D$173,D174,$E$4:$E$173,E174,$G$4:$G$173,G174,$H$4:$H$173,H174,$B$4:$B$173,"DE CORTE")-SUMIFS($I$4:$I$173,$C$4:$C$173,C174,$D$4:$D$173,D174,$E$4:$E$173,E174,$G$4:$G$173,G174,$H$4:$H$173,H174,$B$4:$B$173,"SALIDA"))),0)</f>
        <v>0</v>
      </c>
      <c r="M174" s="13">
        <f t="shared" si="2"/>
        <v>0</v>
      </c>
      <c r="N174" s="14"/>
      <c r="O174" s="14"/>
      <c r="P174" s="15"/>
      <c r="Q174" s="14"/>
    </row>
    <row r="175" ht="15.75" customHeight="1">
      <c r="A175" s="7"/>
      <c r="B175" s="8"/>
      <c r="C175" s="8"/>
      <c r="D175" s="8"/>
      <c r="E175" s="8"/>
      <c r="F175" s="14"/>
      <c r="G175" s="8"/>
      <c r="H175" s="8"/>
      <c r="I175" s="9"/>
      <c r="J175" s="12" t="str">
        <f t="array" ref="J175:K175">IFERROR(INDEX(PRECIOS_COMPLEMENTOS!$C$4:$F$17,MATCH(D175&amp;"_"&amp;E175,PRECIOS_COMPLEMENTOS!$H$4:$H$17,0),IF(OR(H175="S",H175="20cm"),1,IF(OR(H175="M",H175="25cm"),2,IF(OR(H175="L",H175="30cm"),3,IF(OR(H175="XL",H175="35cm"),4,0))))),0)</f>
        <v>#REF!</v>
      </c>
      <c r="K175" s="12">
        <f t="shared" si="1"/>
        <v>0</v>
      </c>
      <c r="L175" s="13">
        <f>IFERROR(IF(C175="",0,IF(D175="PRETINA",SUMIFS($I$4:$I$174,$C$4:$C$174,C175,$D$4:$D$174,D175,$E$4:$E$174,E175,$F$4:$F$174,F175,$G$4:$G$174,G175,$H$4:$H$174,H175,$B$4:$B$174,"INGRESO")+SUMIFS($I$4:$I$174,$C$4:$C$174,C175,$D$4:$D$174,D175,$E$4:$E$174,E175,$F$4:$F$174,F175,$G$4:$G$174,G175,$H$4:$H$174,H175,$B$4:$B$174,"DE CORTE")-SUMIFS($I$4:$I$174,$C$4:$C$174,C175,$D$4:$D$174,D175,$E$4:$E$174,E175,$F$4:$F$174,F175,$G$4:$G$174,G175,$H$4:$H$174,H175,$B$4:$B$174,"SALIDA"),SUMIFS($I$4:$I$174,$C$4:$C$174,C175,$D$4:$D$174,D175,$E$4:$E$174,E175,$G$4:$G$174,G175,$H$4:$H$174,H175,$B$4:$B$174,"INGRESO")+SUMIFS($I$4:$I$174,$C$4:$C$174,C175,$D$4:$D$174,D175,$E$4:$E$174,E175,$G$4:$G$174,G175,$H$4:$H$174,H175,$B$4:$B$174,"DE CORTE")-SUMIFS($I$4:$I$174,$C$4:$C$174,C175,$D$4:$D$174,D175,$E$4:$E$174,E175,$G$4:$G$174,G175,$H$4:$H$174,H175,$B$4:$B$174,"SALIDA"))),0)</f>
        <v>0</v>
      </c>
      <c r="M175" s="13">
        <f t="shared" si="2"/>
        <v>0</v>
      </c>
      <c r="N175" s="14"/>
      <c r="O175" s="14"/>
      <c r="P175" s="15"/>
      <c r="Q175" s="14"/>
    </row>
    <row r="176" ht="15.75" customHeight="1">
      <c r="A176" s="7"/>
      <c r="B176" s="8"/>
      <c r="C176" s="8"/>
      <c r="D176" s="8"/>
      <c r="E176" s="8"/>
      <c r="F176" s="14"/>
      <c r="G176" s="8"/>
      <c r="H176" s="8"/>
      <c r="I176" s="9"/>
      <c r="J176" s="12" t="str">
        <f t="array" ref="J176:K176">IFERROR(INDEX(PRECIOS_COMPLEMENTOS!$C$4:$F$17,MATCH(D176&amp;"_"&amp;E176,PRECIOS_COMPLEMENTOS!$H$4:$H$17,0),IF(OR(H176="S",H176="20cm"),1,IF(OR(H176="M",H176="25cm"),2,IF(OR(H176="L",H176="30cm"),3,IF(OR(H176="XL",H176="35cm"),4,0))))),0)</f>
        <v>#REF!</v>
      </c>
      <c r="K176" s="12">
        <f t="shared" si="1"/>
        <v>0</v>
      </c>
      <c r="L176" s="13">
        <f>IFERROR(IF(C176="",0,IF(D176="PRETINA",SUMIFS($I$4:$I$175,$C$4:$C$175,C176,$D$4:$D$175,D176,$E$4:$E$175,E176,$F$4:$F$175,F176,$G$4:$G$175,G176,$H$4:$H$175,H176,$B$4:$B$175,"INGRESO")+SUMIFS($I$4:$I$175,$C$4:$C$175,C176,$D$4:$D$175,D176,$E$4:$E$175,E176,$F$4:$F$175,F176,$G$4:$G$175,G176,$H$4:$H$175,H176,$B$4:$B$175,"DE CORTE")-SUMIFS($I$4:$I$175,$C$4:$C$175,C176,$D$4:$D$175,D176,$E$4:$E$175,E176,$F$4:$F$175,F176,$G$4:$G$175,G176,$H$4:$H$175,H176,$B$4:$B$175,"SALIDA"),SUMIFS($I$4:$I$175,$C$4:$C$175,C176,$D$4:$D$175,D176,$E$4:$E$175,E176,$G$4:$G$175,G176,$H$4:$H$175,H176,$B$4:$B$175,"INGRESO")+SUMIFS($I$4:$I$175,$C$4:$C$175,C176,$D$4:$D$175,D176,$E$4:$E$175,E176,$G$4:$G$175,G176,$H$4:$H$175,H176,$B$4:$B$175,"DE CORTE")-SUMIFS($I$4:$I$175,$C$4:$C$175,C176,$D$4:$D$175,D176,$E$4:$E$175,E176,$G$4:$G$175,G176,$H$4:$H$175,H176,$B$4:$B$175,"SALIDA"))),0)</f>
        <v>0</v>
      </c>
      <c r="M176" s="13">
        <f t="shared" si="2"/>
        <v>0</v>
      </c>
      <c r="N176" s="14"/>
      <c r="O176" s="14"/>
      <c r="P176" s="15"/>
      <c r="Q176" s="14"/>
    </row>
    <row r="177" ht="15.75" customHeight="1">
      <c r="A177" s="7"/>
      <c r="B177" s="8"/>
      <c r="C177" s="8"/>
      <c r="D177" s="8"/>
      <c r="E177" s="8"/>
      <c r="F177" s="14"/>
      <c r="G177" s="8"/>
      <c r="H177" s="8"/>
      <c r="I177" s="9"/>
      <c r="J177" s="12" t="str">
        <f t="array" ref="J177:K177">IFERROR(INDEX(PRECIOS_COMPLEMENTOS!$C$4:$F$17,MATCH(D177&amp;"_"&amp;E177,PRECIOS_COMPLEMENTOS!$H$4:$H$17,0),IF(OR(H177="S",H177="20cm"),1,IF(OR(H177="M",H177="25cm"),2,IF(OR(H177="L",H177="30cm"),3,IF(OR(H177="XL",H177="35cm"),4,0))))),0)</f>
        <v>#REF!</v>
      </c>
      <c r="K177" s="12">
        <f t="shared" si="1"/>
        <v>0</v>
      </c>
      <c r="L177" s="13">
        <f>IFERROR(IF(C177="",0,IF(D177="PRETINA",SUMIFS($I$4:$I$176,$C$4:$C$176,C177,$D$4:$D$176,D177,$E$4:$E$176,E177,$F$4:$F$176,F177,$G$4:$G$176,G177,$H$4:$H$176,H177,$B$4:$B$176,"INGRESO")+SUMIFS($I$4:$I$176,$C$4:$C$176,C177,$D$4:$D$176,D177,$E$4:$E$176,E177,$F$4:$F$176,F177,$G$4:$G$176,G177,$H$4:$H$176,H177,$B$4:$B$176,"DE CORTE")-SUMIFS($I$4:$I$176,$C$4:$C$176,C177,$D$4:$D$176,D177,$E$4:$E$176,E177,$F$4:$F$176,F177,$G$4:$G$176,G177,$H$4:$H$176,H177,$B$4:$B$176,"SALIDA"),SUMIFS($I$4:$I$176,$C$4:$C$176,C177,$D$4:$D$176,D177,$E$4:$E$176,E177,$G$4:$G$176,G177,$H$4:$H$176,H177,$B$4:$B$176,"INGRESO")+SUMIFS($I$4:$I$176,$C$4:$C$176,C177,$D$4:$D$176,D177,$E$4:$E$176,E177,$G$4:$G$176,G177,$H$4:$H$176,H177,$B$4:$B$176,"DE CORTE")-SUMIFS($I$4:$I$176,$C$4:$C$176,C177,$D$4:$D$176,D177,$E$4:$E$176,E177,$G$4:$G$176,G177,$H$4:$H$176,H177,$B$4:$B$176,"SALIDA"))),0)</f>
        <v>0</v>
      </c>
      <c r="M177" s="13">
        <f t="shared" si="2"/>
        <v>0</v>
      </c>
      <c r="N177" s="14"/>
      <c r="O177" s="14"/>
      <c r="P177" s="15"/>
      <c r="Q177" s="14"/>
    </row>
    <row r="178" ht="15.75" customHeight="1">
      <c r="A178" s="7"/>
      <c r="B178" s="8"/>
      <c r="C178" s="8"/>
      <c r="D178" s="8"/>
      <c r="E178" s="8"/>
      <c r="F178" s="14"/>
      <c r="G178" s="8"/>
      <c r="H178" s="8"/>
      <c r="I178" s="9"/>
      <c r="J178" s="12" t="str">
        <f t="array" ref="J178:K178">IFERROR(INDEX(PRECIOS_COMPLEMENTOS!$C$4:$F$17,MATCH(D178&amp;"_"&amp;E178,PRECIOS_COMPLEMENTOS!$H$4:$H$17,0),IF(OR(H178="S",H178="20cm"),1,IF(OR(H178="M",H178="25cm"),2,IF(OR(H178="L",H178="30cm"),3,IF(OR(H178="XL",H178="35cm"),4,0))))),0)</f>
        <v>#REF!</v>
      </c>
      <c r="K178" s="12">
        <f t="shared" si="1"/>
        <v>0</v>
      </c>
      <c r="L178" s="13">
        <f>IFERROR(IF(C178="",0,IF(D178="PRETINA",SUMIFS($I$4:$I$177,$C$4:$C$177,C178,$D$4:$D$177,D178,$E$4:$E$177,E178,$F$4:$F$177,F178,$G$4:$G$177,G178,$H$4:$H$177,H178,$B$4:$B$177,"INGRESO")+SUMIFS($I$4:$I$177,$C$4:$C$177,C178,$D$4:$D$177,D178,$E$4:$E$177,E178,$F$4:$F$177,F178,$G$4:$G$177,G178,$H$4:$H$177,H178,$B$4:$B$177,"DE CORTE")-SUMIFS($I$4:$I$177,$C$4:$C$177,C178,$D$4:$D$177,D178,$E$4:$E$177,E178,$F$4:$F$177,F178,$G$4:$G$177,G178,$H$4:$H$177,H178,$B$4:$B$177,"SALIDA"),SUMIFS($I$4:$I$177,$C$4:$C$177,C178,$D$4:$D$177,D178,$E$4:$E$177,E178,$G$4:$G$177,G178,$H$4:$H$177,H178,$B$4:$B$177,"INGRESO")+SUMIFS($I$4:$I$177,$C$4:$C$177,C178,$D$4:$D$177,D178,$E$4:$E$177,E178,$G$4:$G$177,G178,$H$4:$H$177,H178,$B$4:$B$177,"DE CORTE")-SUMIFS($I$4:$I$177,$C$4:$C$177,C178,$D$4:$D$177,D178,$E$4:$E$177,E178,$G$4:$G$177,G178,$H$4:$H$177,H178,$B$4:$B$177,"SALIDA"))),0)</f>
        <v>0</v>
      </c>
      <c r="M178" s="13">
        <f t="shared" si="2"/>
        <v>0</v>
      </c>
      <c r="N178" s="14"/>
      <c r="O178" s="14"/>
      <c r="P178" s="15"/>
      <c r="Q178" s="14"/>
    </row>
    <row r="179" ht="15.75" customHeight="1">
      <c r="A179" s="7"/>
      <c r="B179" s="8"/>
      <c r="C179" s="8"/>
      <c r="D179" s="8"/>
      <c r="E179" s="8"/>
      <c r="F179" s="14"/>
      <c r="G179" s="8"/>
      <c r="H179" s="8"/>
      <c r="I179" s="9"/>
      <c r="J179" s="12" t="str">
        <f t="array" ref="J179:K179">IFERROR(INDEX(PRECIOS_COMPLEMENTOS!$C$4:$F$17,MATCH(D179&amp;"_"&amp;E179,PRECIOS_COMPLEMENTOS!$H$4:$H$17,0),IF(OR(H179="S",H179="20cm"),1,IF(OR(H179="M",H179="25cm"),2,IF(OR(H179="L",H179="30cm"),3,IF(OR(H179="XL",H179="35cm"),4,0))))),0)</f>
        <v>#REF!</v>
      </c>
      <c r="K179" s="12">
        <f t="shared" si="1"/>
        <v>0</v>
      </c>
      <c r="L179" s="13">
        <f>IFERROR(IF(C179="",0,IF(D179="PRETINA",SUMIFS($I$4:$I$178,$C$4:$C$178,C179,$D$4:$D$178,D179,$E$4:$E$178,E179,$F$4:$F$178,F179,$G$4:$G$178,G179,$H$4:$H$178,H179,$B$4:$B$178,"INGRESO")+SUMIFS($I$4:$I$178,$C$4:$C$178,C179,$D$4:$D$178,D179,$E$4:$E$178,E179,$F$4:$F$178,F179,$G$4:$G$178,G179,$H$4:$H$178,H179,$B$4:$B$178,"DE CORTE")-SUMIFS($I$4:$I$178,$C$4:$C$178,C179,$D$4:$D$178,D179,$E$4:$E$178,E179,$F$4:$F$178,F179,$G$4:$G$178,G179,$H$4:$H$178,H179,$B$4:$B$178,"SALIDA"),SUMIFS($I$4:$I$178,$C$4:$C$178,C179,$D$4:$D$178,D179,$E$4:$E$178,E179,$G$4:$G$178,G179,$H$4:$H$178,H179,$B$4:$B$178,"INGRESO")+SUMIFS($I$4:$I$178,$C$4:$C$178,C179,$D$4:$D$178,D179,$E$4:$E$178,E179,$G$4:$G$178,G179,$H$4:$H$178,H179,$B$4:$B$178,"DE CORTE")-SUMIFS($I$4:$I$178,$C$4:$C$178,C179,$D$4:$D$178,D179,$E$4:$E$178,E179,$G$4:$G$178,G179,$H$4:$H$178,H179,$B$4:$B$178,"SALIDA"))),0)</f>
        <v>0</v>
      </c>
      <c r="M179" s="13">
        <f t="shared" si="2"/>
        <v>0</v>
      </c>
      <c r="N179" s="14"/>
      <c r="O179" s="14"/>
      <c r="P179" s="15"/>
      <c r="Q179" s="14"/>
    </row>
    <row r="180" ht="15.75" customHeight="1">
      <c r="A180" s="7"/>
      <c r="B180" s="8"/>
      <c r="C180" s="8"/>
      <c r="D180" s="8"/>
      <c r="E180" s="8"/>
      <c r="F180" s="14"/>
      <c r="G180" s="8"/>
      <c r="H180" s="8"/>
      <c r="I180" s="9"/>
      <c r="J180" s="12" t="str">
        <f t="array" ref="J180:K180">IFERROR(INDEX(PRECIOS_COMPLEMENTOS!$C$4:$F$17,MATCH(D180&amp;"_"&amp;E180,PRECIOS_COMPLEMENTOS!$H$4:$H$17,0),IF(OR(H180="S",H180="20cm"),1,IF(OR(H180="M",H180="25cm"),2,IF(OR(H180="L",H180="30cm"),3,IF(OR(H180="XL",H180="35cm"),4,0))))),0)</f>
        <v>#REF!</v>
      </c>
      <c r="K180" s="12">
        <f t="shared" si="1"/>
        <v>0</v>
      </c>
      <c r="L180" s="13">
        <f>IFERROR(IF(C180="",0,IF(D180="PRETINA",SUMIFS($I$4:$I$179,$C$4:$C$179,C180,$D$4:$D$179,D180,$E$4:$E$179,E180,$F$4:$F$179,F180,$G$4:$G$179,G180,$H$4:$H$179,H180,$B$4:$B$179,"INGRESO")+SUMIFS($I$4:$I$179,$C$4:$C$179,C180,$D$4:$D$179,D180,$E$4:$E$179,E180,$F$4:$F$179,F180,$G$4:$G$179,G180,$H$4:$H$179,H180,$B$4:$B$179,"DE CORTE")-SUMIFS($I$4:$I$179,$C$4:$C$179,C180,$D$4:$D$179,D180,$E$4:$E$179,E180,$F$4:$F$179,F180,$G$4:$G$179,G180,$H$4:$H$179,H180,$B$4:$B$179,"SALIDA"),SUMIFS($I$4:$I$179,$C$4:$C$179,C180,$D$4:$D$179,D180,$E$4:$E$179,E180,$G$4:$G$179,G180,$H$4:$H$179,H180,$B$4:$B$179,"INGRESO")+SUMIFS($I$4:$I$179,$C$4:$C$179,C180,$D$4:$D$179,D180,$E$4:$E$179,E180,$G$4:$G$179,G180,$H$4:$H$179,H180,$B$4:$B$179,"DE CORTE")-SUMIFS($I$4:$I$179,$C$4:$C$179,C180,$D$4:$D$179,D180,$E$4:$E$179,E180,$G$4:$G$179,G180,$H$4:$H$179,H180,$B$4:$B$179,"SALIDA"))),0)</f>
        <v>0</v>
      </c>
      <c r="M180" s="13">
        <f t="shared" si="2"/>
        <v>0</v>
      </c>
      <c r="N180" s="14"/>
      <c r="O180" s="14"/>
      <c r="P180" s="15"/>
      <c r="Q180" s="14"/>
    </row>
    <row r="181" ht="15.75" customHeight="1">
      <c r="A181" s="7"/>
      <c r="B181" s="8"/>
      <c r="C181" s="8"/>
      <c r="D181" s="8"/>
      <c r="E181" s="8"/>
      <c r="F181" s="14"/>
      <c r="G181" s="8"/>
      <c r="H181" s="8"/>
      <c r="I181" s="9"/>
      <c r="J181" s="12" t="str">
        <f t="array" ref="J181:K181">IFERROR(INDEX(PRECIOS_COMPLEMENTOS!$C$4:$F$17,MATCH(D181&amp;"_"&amp;E181,PRECIOS_COMPLEMENTOS!$H$4:$H$17,0),IF(OR(H181="S",H181="20cm"),1,IF(OR(H181="M",H181="25cm"),2,IF(OR(H181="L",H181="30cm"),3,IF(OR(H181="XL",H181="35cm"),4,0))))),0)</f>
        <v>#REF!</v>
      </c>
      <c r="K181" s="12">
        <f t="shared" si="1"/>
        <v>0</v>
      </c>
      <c r="L181" s="13">
        <f>IFERROR(IF(C181="",0,IF(D181="PRETINA",SUMIFS($I$4:$I$180,$C$4:$C$180,C181,$D$4:$D$180,D181,$E$4:$E$180,E181,$F$4:$F$180,F181,$G$4:$G$180,G181,$H$4:$H$180,H181,$B$4:$B$180,"INGRESO")+SUMIFS($I$4:$I$180,$C$4:$C$180,C181,$D$4:$D$180,D181,$E$4:$E$180,E181,$F$4:$F$180,F181,$G$4:$G$180,G181,$H$4:$H$180,H181,$B$4:$B$180,"DE CORTE")-SUMIFS($I$4:$I$180,$C$4:$C$180,C181,$D$4:$D$180,D181,$E$4:$E$180,E181,$F$4:$F$180,F181,$G$4:$G$180,G181,$H$4:$H$180,H181,$B$4:$B$180,"SALIDA"),SUMIFS($I$4:$I$180,$C$4:$C$180,C181,$D$4:$D$180,D181,$E$4:$E$180,E181,$G$4:$G$180,G181,$H$4:$H$180,H181,$B$4:$B$180,"INGRESO")+SUMIFS($I$4:$I$180,$C$4:$C$180,C181,$D$4:$D$180,D181,$E$4:$E$180,E181,$G$4:$G$180,G181,$H$4:$H$180,H181,$B$4:$B$180,"DE CORTE")-SUMIFS($I$4:$I$180,$C$4:$C$180,C181,$D$4:$D$180,D181,$E$4:$E$180,E181,$G$4:$G$180,G181,$H$4:$H$180,H181,$B$4:$B$180,"SALIDA"))),0)</f>
        <v>0</v>
      </c>
      <c r="M181" s="13">
        <f t="shared" si="2"/>
        <v>0</v>
      </c>
      <c r="N181" s="14"/>
      <c r="O181" s="14"/>
      <c r="P181" s="15"/>
      <c r="Q181" s="14"/>
    </row>
    <row r="182" ht="15.75" customHeight="1">
      <c r="A182" s="7"/>
      <c r="B182" s="8"/>
      <c r="C182" s="8"/>
      <c r="D182" s="8"/>
      <c r="E182" s="8"/>
      <c r="F182" s="14"/>
      <c r="G182" s="8"/>
      <c r="H182" s="8"/>
      <c r="I182" s="9"/>
      <c r="J182" s="12" t="str">
        <f t="array" ref="J182:K182">IFERROR(INDEX(PRECIOS_COMPLEMENTOS!$C$4:$F$17,MATCH(D182&amp;"_"&amp;E182,PRECIOS_COMPLEMENTOS!$H$4:$H$17,0),IF(OR(H182="S",H182="20cm"),1,IF(OR(H182="M",H182="25cm"),2,IF(OR(H182="L",H182="30cm"),3,IF(OR(H182="XL",H182="35cm"),4,0))))),0)</f>
        <v>#REF!</v>
      </c>
      <c r="K182" s="12">
        <f t="shared" si="1"/>
        <v>0</v>
      </c>
      <c r="L182" s="13">
        <f>IFERROR(IF(C182="",0,IF(D182="PRETINA",SUMIFS($I$4:$I$181,$C$4:$C$181,C182,$D$4:$D$181,D182,$E$4:$E$181,E182,$F$4:$F$181,F182,$G$4:$G$181,G182,$H$4:$H$181,H182,$B$4:$B$181,"INGRESO")+SUMIFS($I$4:$I$181,$C$4:$C$181,C182,$D$4:$D$181,D182,$E$4:$E$181,E182,$F$4:$F$181,F182,$G$4:$G$181,G182,$H$4:$H$181,H182,$B$4:$B$181,"DE CORTE")-SUMIFS($I$4:$I$181,$C$4:$C$181,C182,$D$4:$D$181,D182,$E$4:$E$181,E182,$F$4:$F$181,F182,$G$4:$G$181,G182,$H$4:$H$181,H182,$B$4:$B$181,"SALIDA"),SUMIFS($I$4:$I$181,$C$4:$C$181,C182,$D$4:$D$181,D182,$E$4:$E$181,E182,$G$4:$G$181,G182,$H$4:$H$181,H182,$B$4:$B$181,"INGRESO")+SUMIFS($I$4:$I$181,$C$4:$C$181,C182,$D$4:$D$181,D182,$E$4:$E$181,E182,$G$4:$G$181,G182,$H$4:$H$181,H182,$B$4:$B$181,"DE CORTE")-SUMIFS($I$4:$I$181,$C$4:$C$181,C182,$D$4:$D$181,D182,$E$4:$E$181,E182,$G$4:$G$181,G182,$H$4:$H$181,H182,$B$4:$B$181,"SALIDA"))),0)</f>
        <v>0</v>
      </c>
      <c r="M182" s="13">
        <f t="shared" si="2"/>
        <v>0</v>
      </c>
      <c r="N182" s="14"/>
      <c r="O182" s="14"/>
      <c r="P182" s="15"/>
      <c r="Q182" s="14"/>
    </row>
    <row r="183" ht="15.75" customHeight="1">
      <c r="A183" s="7"/>
      <c r="B183" s="8"/>
      <c r="C183" s="8"/>
      <c r="D183" s="8"/>
      <c r="E183" s="8"/>
      <c r="F183" s="14"/>
      <c r="G183" s="8"/>
      <c r="H183" s="8"/>
      <c r="I183" s="9"/>
      <c r="J183" s="12" t="str">
        <f t="array" ref="J183:K183">IFERROR(INDEX(PRECIOS_COMPLEMENTOS!$C$4:$F$17,MATCH(D183&amp;"_"&amp;E183,PRECIOS_COMPLEMENTOS!$H$4:$H$17,0),IF(OR(H183="S",H183="20cm"),1,IF(OR(H183="M",H183="25cm"),2,IF(OR(H183="L",H183="30cm"),3,IF(OR(H183="XL",H183="35cm"),4,0))))),0)</f>
        <v>#REF!</v>
      </c>
      <c r="K183" s="12">
        <f t="shared" si="1"/>
        <v>0</v>
      </c>
      <c r="L183" s="13">
        <f>IFERROR(IF(C183="",0,IF(D183="PRETINA",SUMIFS($I$4:$I$182,$C$4:$C$182,C183,$D$4:$D$182,D183,$E$4:$E$182,E183,$F$4:$F$182,F183,$G$4:$G$182,G183,$H$4:$H$182,H183,$B$4:$B$182,"INGRESO")+SUMIFS($I$4:$I$182,$C$4:$C$182,C183,$D$4:$D$182,D183,$E$4:$E$182,E183,$F$4:$F$182,F183,$G$4:$G$182,G183,$H$4:$H$182,H183,$B$4:$B$182,"DE CORTE")-SUMIFS($I$4:$I$182,$C$4:$C$182,C183,$D$4:$D$182,D183,$E$4:$E$182,E183,$F$4:$F$182,F183,$G$4:$G$182,G183,$H$4:$H$182,H183,$B$4:$B$182,"SALIDA"),SUMIFS($I$4:$I$182,$C$4:$C$182,C183,$D$4:$D$182,D183,$E$4:$E$182,E183,$G$4:$G$182,G183,$H$4:$H$182,H183,$B$4:$B$182,"INGRESO")+SUMIFS($I$4:$I$182,$C$4:$C$182,C183,$D$4:$D$182,D183,$E$4:$E$182,E183,$G$4:$G$182,G183,$H$4:$H$182,H183,$B$4:$B$182,"DE CORTE")-SUMIFS($I$4:$I$182,$C$4:$C$182,C183,$D$4:$D$182,D183,$E$4:$E$182,E183,$G$4:$G$182,G183,$H$4:$H$182,H183,$B$4:$B$182,"SALIDA"))),0)</f>
        <v>0</v>
      </c>
      <c r="M183" s="13">
        <f t="shared" si="2"/>
        <v>0</v>
      </c>
      <c r="N183" s="14"/>
      <c r="O183" s="14"/>
      <c r="P183" s="15"/>
      <c r="Q183" s="14"/>
    </row>
    <row r="184" ht="15.75" customHeight="1">
      <c r="A184" s="7"/>
      <c r="B184" s="8"/>
      <c r="C184" s="8"/>
      <c r="D184" s="8"/>
      <c r="E184" s="8"/>
      <c r="F184" s="14"/>
      <c r="G184" s="8"/>
      <c r="H184" s="8"/>
      <c r="I184" s="9"/>
      <c r="J184" s="12" t="str">
        <f t="array" ref="J184:K184">IFERROR(INDEX(PRECIOS_COMPLEMENTOS!$C$4:$F$17,MATCH(D184&amp;"_"&amp;E184,PRECIOS_COMPLEMENTOS!$H$4:$H$17,0),IF(OR(H184="S",H184="20cm"),1,IF(OR(H184="M",H184="25cm"),2,IF(OR(H184="L",H184="30cm"),3,IF(OR(H184="XL",H184="35cm"),4,0))))),0)</f>
        <v>#REF!</v>
      </c>
      <c r="K184" s="12">
        <f t="shared" si="1"/>
        <v>0</v>
      </c>
      <c r="L184" s="13">
        <f>IFERROR(IF(C184="",0,IF(D184="PRETINA",SUMIFS($I$4:$I$183,$C$4:$C$183,C184,$D$4:$D$183,D184,$E$4:$E$183,E184,$F$4:$F$183,F184,$G$4:$G$183,G184,$H$4:$H$183,H184,$B$4:$B$183,"INGRESO")+SUMIFS($I$4:$I$183,$C$4:$C$183,C184,$D$4:$D$183,D184,$E$4:$E$183,E184,$F$4:$F$183,F184,$G$4:$G$183,G184,$H$4:$H$183,H184,$B$4:$B$183,"DE CORTE")-SUMIFS($I$4:$I$183,$C$4:$C$183,C184,$D$4:$D$183,D184,$E$4:$E$183,E184,$F$4:$F$183,F184,$G$4:$G$183,G184,$H$4:$H$183,H184,$B$4:$B$183,"SALIDA"),SUMIFS($I$4:$I$183,$C$4:$C$183,C184,$D$4:$D$183,D184,$E$4:$E$183,E184,$G$4:$G$183,G184,$H$4:$H$183,H184,$B$4:$B$183,"INGRESO")+SUMIFS($I$4:$I$183,$C$4:$C$183,C184,$D$4:$D$183,D184,$E$4:$E$183,E184,$G$4:$G$183,G184,$H$4:$H$183,H184,$B$4:$B$183,"DE CORTE")-SUMIFS($I$4:$I$183,$C$4:$C$183,C184,$D$4:$D$183,D184,$E$4:$E$183,E184,$G$4:$G$183,G184,$H$4:$H$183,H184,$B$4:$B$183,"SALIDA"))),0)</f>
        <v>0</v>
      </c>
      <c r="M184" s="13">
        <f t="shared" si="2"/>
        <v>0</v>
      </c>
      <c r="N184" s="14"/>
      <c r="O184" s="14"/>
      <c r="P184" s="15"/>
      <c r="Q184" s="14"/>
    </row>
    <row r="185" ht="15.75" customHeight="1">
      <c r="A185" s="7"/>
      <c r="B185" s="8"/>
      <c r="C185" s="8"/>
      <c r="D185" s="8"/>
      <c r="E185" s="8"/>
      <c r="F185" s="14"/>
      <c r="G185" s="8"/>
      <c r="H185" s="8"/>
      <c r="I185" s="9"/>
      <c r="J185" s="12" t="str">
        <f t="array" ref="J185:K185">IFERROR(INDEX(PRECIOS_COMPLEMENTOS!$C$4:$F$17,MATCH(D185&amp;"_"&amp;E185,PRECIOS_COMPLEMENTOS!$H$4:$H$17,0),IF(OR(H185="S",H185="20cm"),1,IF(OR(H185="M",H185="25cm"),2,IF(OR(H185="L",H185="30cm"),3,IF(OR(H185="XL",H185="35cm"),4,0))))),0)</f>
        <v>#REF!</v>
      </c>
      <c r="K185" s="12">
        <f t="shared" si="1"/>
        <v>0</v>
      </c>
      <c r="L185" s="13">
        <f>IFERROR(IF(C185="",0,IF(D185="PRETINA",SUMIFS($I$4:$I$184,$C$4:$C$184,C185,$D$4:$D$184,D185,$E$4:$E$184,E185,$F$4:$F$184,F185,$G$4:$G$184,G185,$H$4:$H$184,H185,$B$4:$B$184,"INGRESO")+SUMIFS($I$4:$I$184,$C$4:$C$184,C185,$D$4:$D$184,D185,$E$4:$E$184,E185,$F$4:$F$184,F185,$G$4:$G$184,G185,$H$4:$H$184,H185,$B$4:$B$184,"DE CORTE")-SUMIFS($I$4:$I$184,$C$4:$C$184,C185,$D$4:$D$184,D185,$E$4:$E$184,E185,$F$4:$F$184,F185,$G$4:$G$184,G185,$H$4:$H$184,H185,$B$4:$B$184,"SALIDA"),SUMIFS($I$4:$I$184,$C$4:$C$184,C185,$D$4:$D$184,D185,$E$4:$E$184,E185,$G$4:$G$184,G185,$H$4:$H$184,H185,$B$4:$B$184,"INGRESO")+SUMIFS($I$4:$I$184,$C$4:$C$184,C185,$D$4:$D$184,D185,$E$4:$E$184,E185,$G$4:$G$184,G185,$H$4:$H$184,H185,$B$4:$B$184,"DE CORTE")-SUMIFS($I$4:$I$184,$C$4:$C$184,C185,$D$4:$D$184,D185,$E$4:$E$184,E185,$G$4:$G$184,G185,$H$4:$H$184,H185,$B$4:$B$184,"SALIDA"))),0)</f>
        <v>0</v>
      </c>
      <c r="M185" s="13">
        <f t="shared" si="2"/>
        <v>0</v>
      </c>
      <c r="N185" s="14"/>
      <c r="O185" s="14"/>
      <c r="P185" s="15"/>
      <c r="Q185" s="14"/>
    </row>
    <row r="186" ht="15.75" customHeight="1">
      <c r="A186" s="7"/>
      <c r="B186" s="8"/>
      <c r="C186" s="8"/>
      <c r="D186" s="8"/>
      <c r="E186" s="8"/>
      <c r="F186" s="14"/>
      <c r="G186" s="8"/>
      <c r="H186" s="8"/>
      <c r="I186" s="9"/>
      <c r="J186" s="12" t="str">
        <f t="array" ref="J186:K186">IFERROR(INDEX(PRECIOS_COMPLEMENTOS!$C$4:$F$17,MATCH(D186&amp;"_"&amp;E186,PRECIOS_COMPLEMENTOS!$H$4:$H$17,0),IF(OR(H186="S",H186="20cm"),1,IF(OR(H186="M",H186="25cm"),2,IF(OR(H186="L",H186="30cm"),3,IF(OR(H186="XL",H186="35cm"),4,0))))),0)</f>
        <v>#REF!</v>
      </c>
      <c r="K186" s="12">
        <f t="shared" si="1"/>
        <v>0</v>
      </c>
      <c r="L186" s="13">
        <f>IFERROR(IF(C186="",0,IF(D186="PRETINA",SUMIFS($I$4:$I$185,$C$4:$C$185,C186,$D$4:$D$185,D186,$E$4:$E$185,E186,$F$4:$F$185,F186,$G$4:$G$185,G186,$H$4:$H$185,H186,$B$4:$B$185,"INGRESO")+SUMIFS($I$4:$I$185,$C$4:$C$185,C186,$D$4:$D$185,D186,$E$4:$E$185,E186,$F$4:$F$185,F186,$G$4:$G$185,G186,$H$4:$H$185,H186,$B$4:$B$185,"DE CORTE")-SUMIFS($I$4:$I$185,$C$4:$C$185,C186,$D$4:$D$185,D186,$E$4:$E$185,E186,$F$4:$F$185,F186,$G$4:$G$185,G186,$H$4:$H$185,H186,$B$4:$B$185,"SALIDA"),SUMIFS($I$4:$I$185,$C$4:$C$185,C186,$D$4:$D$185,D186,$E$4:$E$185,E186,$G$4:$G$185,G186,$H$4:$H$185,H186,$B$4:$B$185,"INGRESO")+SUMIFS($I$4:$I$185,$C$4:$C$185,C186,$D$4:$D$185,D186,$E$4:$E$185,E186,$G$4:$G$185,G186,$H$4:$H$185,H186,$B$4:$B$185,"DE CORTE")-SUMIFS($I$4:$I$185,$C$4:$C$185,C186,$D$4:$D$185,D186,$E$4:$E$185,E186,$G$4:$G$185,G186,$H$4:$H$185,H186,$B$4:$B$185,"SALIDA"))),0)</f>
        <v>0</v>
      </c>
      <c r="M186" s="13">
        <f t="shared" si="2"/>
        <v>0</v>
      </c>
      <c r="N186" s="14"/>
      <c r="O186" s="14"/>
      <c r="P186" s="15"/>
      <c r="Q186" s="14"/>
    </row>
    <row r="187" ht="15.75" customHeight="1">
      <c r="A187" s="7"/>
      <c r="B187" s="8"/>
      <c r="C187" s="8"/>
      <c r="D187" s="8"/>
      <c r="E187" s="8"/>
      <c r="F187" s="14"/>
      <c r="G187" s="8"/>
      <c r="H187" s="8"/>
      <c r="I187" s="9"/>
      <c r="J187" s="12" t="str">
        <f t="array" ref="J187:K187">IFERROR(INDEX(PRECIOS_COMPLEMENTOS!$C$4:$F$17,MATCH(D187&amp;"_"&amp;E187,PRECIOS_COMPLEMENTOS!$H$4:$H$17,0),IF(OR(H187="S",H187="20cm"),1,IF(OR(H187="M",H187="25cm"),2,IF(OR(H187="L",H187="30cm"),3,IF(OR(H187="XL",H187="35cm"),4,0))))),0)</f>
        <v>#REF!</v>
      </c>
      <c r="K187" s="12">
        <f t="shared" si="1"/>
        <v>0</v>
      </c>
      <c r="L187" s="13">
        <f>IFERROR(IF(C187="",0,IF(D187="PRETINA",SUMIFS($I$4:$I$186,$C$4:$C$186,C187,$D$4:$D$186,D187,$E$4:$E$186,E187,$F$4:$F$186,F187,$G$4:$G$186,G187,$H$4:$H$186,H187,$B$4:$B$186,"INGRESO")+SUMIFS($I$4:$I$186,$C$4:$C$186,C187,$D$4:$D$186,D187,$E$4:$E$186,E187,$F$4:$F$186,F187,$G$4:$G$186,G187,$H$4:$H$186,H187,$B$4:$B$186,"DE CORTE")-SUMIFS($I$4:$I$186,$C$4:$C$186,C187,$D$4:$D$186,D187,$E$4:$E$186,E187,$F$4:$F$186,F187,$G$4:$G$186,G187,$H$4:$H$186,H187,$B$4:$B$186,"SALIDA"),SUMIFS($I$4:$I$186,$C$4:$C$186,C187,$D$4:$D$186,D187,$E$4:$E$186,E187,$G$4:$G$186,G187,$H$4:$H$186,H187,$B$4:$B$186,"INGRESO")+SUMIFS($I$4:$I$186,$C$4:$C$186,C187,$D$4:$D$186,D187,$E$4:$E$186,E187,$G$4:$G$186,G187,$H$4:$H$186,H187,$B$4:$B$186,"DE CORTE")-SUMIFS($I$4:$I$186,$C$4:$C$186,C187,$D$4:$D$186,D187,$E$4:$E$186,E187,$G$4:$G$186,G187,$H$4:$H$186,H187,$B$4:$B$186,"SALIDA"))),0)</f>
        <v>0</v>
      </c>
      <c r="M187" s="13">
        <f t="shared" si="2"/>
        <v>0</v>
      </c>
      <c r="N187" s="14"/>
      <c r="O187" s="14"/>
      <c r="P187" s="15"/>
      <c r="Q187" s="14"/>
    </row>
    <row r="188" ht="15.75" customHeight="1">
      <c r="A188" s="7"/>
      <c r="B188" s="8"/>
      <c r="C188" s="8"/>
      <c r="D188" s="8"/>
      <c r="E188" s="8"/>
      <c r="F188" s="14"/>
      <c r="G188" s="8"/>
      <c r="H188" s="8"/>
      <c r="I188" s="9"/>
      <c r="J188" s="12" t="str">
        <f t="array" ref="J188:K188">IFERROR(INDEX(PRECIOS_COMPLEMENTOS!$C$4:$F$17,MATCH(D188&amp;"_"&amp;E188,PRECIOS_COMPLEMENTOS!$H$4:$H$17,0),IF(OR(H188="S",H188="20cm"),1,IF(OR(H188="M",H188="25cm"),2,IF(OR(H188="L",H188="30cm"),3,IF(OR(H188="XL",H188="35cm"),4,0))))),0)</f>
        <v>#REF!</v>
      </c>
      <c r="K188" s="12">
        <f t="shared" si="1"/>
        <v>0</v>
      </c>
      <c r="L188" s="13">
        <f>IFERROR(IF(C188="",0,IF(D188="PRETINA",SUMIFS($I$4:$I$187,$C$4:$C$187,C188,$D$4:$D$187,D188,$E$4:$E$187,E188,$F$4:$F$187,F188,$G$4:$G$187,G188,$H$4:$H$187,H188,$B$4:$B$187,"INGRESO")+SUMIFS($I$4:$I$187,$C$4:$C$187,C188,$D$4:$D$187,D188,$E$4:$E$187,E188,$F$4:$F$187,F188,$G$4:$G$187,G188,$H$4:$H$187,H188,$B$4:$B$187,"DE CORTE")-SUMIFS($I$4:$I$187,$C$4:$C$187,C188,$D$4:$D$187,D188,$E$4:$E$187,E188,$F$4:$F$187,F188,$G$4:$G$187,G188,$H$4:$H$187,H188,$B$4:$B$187,"SALIDA"),SUMIFS($I$4:$I$187,$C$4:$C$187,C188,$D$4:$D$187,D188,$E$4:$E$187,E188,$G$4:$G$187,G188,$H$4:$H$187,H188,$B$4:$B$187,"INGRESO")+SUMIFS($I$4:$I$187,$C$4:$C$187,C188,$D$4:$D$187,D188,$E$4:$E$187,E188,$G$4:$G$187,G188,$H$4:$H$187,H188,$B$4:$B$187,"DE CORTE")-SUMIFS($I$4:$I$187,$C$4:$C$187,C188,$D$4:$D$187,D188,$E$4:$E$187,E188,$G$4:$G$187,G188,$H$4:$H$187,H188,$B$4:$B$187,"SALIDA"))),0)</f>
        <v>0</v>
      </c>
      <c r="M188" s="13">
        <f t="shared" si="2"/>
        <v>0</v>
      </c>
      <c r="N188" s="14"/>
      <c r="O188" s="14"/>
      <c r="P188" s="15"/>
      <c r="Q188" s="14"/>
    </row>
    <row r="189" ht="15.75" customHeight="1">
      <c r="A189" s="7"/>
      <c r="B189" s="8"/>
      <c r="C189" s="8"/>
      <c r="D189" s="8"/>
      <c r="E189" s="8"/>
      <c r="F189" s="14"/>
      <c r="G189" s="8"/>
      <c r="H189" s="8"/>
      <c r="I189" s="9"/>
      <c r="J189" s="12" t="str">
        <f t="array" ref="J189:K189">IFERROR(INDEX(PRECIOS_COMPLEMENTOS!$C$4:$F$17,MATCH(D189&amp;"_"&amp;E189,PRECIOS_COMPLEMENTOS!$H$4:$H$17,0),IF(OR(H189="S",H189="20cm"),1,IF(OR(H189="M",H189="25cm"),2,IF(OR(H189="L",H189="30cm"),3,IF(OR(H189="XL",H189="35cm"),4,0))))),0)</f>
        <v>#REF!</v>
      </c>
      <c r="K189" s="12">
        <f t="shared" si="1"/>
        <v>0</v>
      </c>
      <c r="L189" s="13">
        <f>IFERROR(IF(C189="",0,IF(D189="PRETINA",SUMIFS($I$4:$I$188,$C$4:$C$188,C189,$D$4:$D$188,D189,$E$4:$E$188,E189,$F$4:$F$188,F189,$G$4:$G$188,G189,$H$4:$H$188,H189,$B$4:$B$188,"INGRESO")+SUMIFS($I$4:$I$188,$C$4:$C$188,C189,$D$4:$D$188,D189,$E$4:$E$188,E189,$F$4:$F$188,F189,$G$4:$G$188,G189,$H$4:$H$188,H189,$B$4:$B$188,"DE CORTE")-SUMIFS($I$4:$I$188,$C$4:$C$188,C189,$D$4:$D$188,D189,$E$4:$E$188,E189,$F$4:$F$188,F189,$G$4:$G$188,G189,$H$4:$H$188,H189,$B$4:$B$188,"SALIDA"),SUMIFS($I$4:$I$188,$C$4:$C$188,C189,$D$4:$D$188,D189,$E$4:$E$188,E189,$G$4:$G$188,G189,$H$4:$H$188,H189,$B$4:$B$188,"INGRESO")+SUMIFS($I$4:$I$188,$C$4:$C$188,C189,$D$4:$D$188,D189,$E$4:$E$188,E189,$G$4:$G$188,G189,$H$4:$H$188,H189,$B$4:$B$188,"DE CORTE")-SUMIFS($I$4:$I$188,$C$4:$C$188,C189,$D$4:$D$188,D189,$E$4:$E$188,E189,$G$4:$G$188,G189,$H$4:$H$188,H189,$B$4:$B$188,"SALIDA"))),0)</f>
        <v>0</v>
      </c>
      <c r="M189" s="13">
        <f t="shared" si="2"/>
        <v>0</v>
      </c>
      <c r="N189" s="14"/>
      <c r="O189" s="14"/>
      <c r="P189" s="15"/>
      <c r="Q189" s="14"/>
    </row>
    <row r="190" ht="15.75" customHeight="1">
      <c r="A190" s="7"/>
      <c r="B190" s="8"/>
      <c r="C190" s="8"/>
      <c r="D190" s="8"/>
      <c r="E190" s="8"/>
      <c r="F190" s="14"/>
      <c r="G190" s="8"/>
      <c r="H190" s="8"/>
      <c r="I190" s="9"/>
      <c r="J190" s="12" t="str">
        <f t="array" ref="J190:K190">IFERROR(INDEX(PRECIOS_COMPLEMENTOS!$C$4:$F$17,MATCH(D190&amp;"_"&amp;E190,PRECIOS_COMPLEMENTOS!$H$4:$H$17,0),IF(OR(H190="S",H190="20cm"),1,IF(OR(H190="M",H190="25cm"),2,IF(OR(H190="L",H190="30cm"),3,IF(OR(H190="XL",H190="35cm"),4,0))))),0)</f>
        <v>#REF!</v>
      </c>
      <c r="K190" s="12">
        <f t="shared" si="1"/>
        <v>0</v>
      </c>
      <c r="L190" s="13">
        <f>IFERROR(IF(C190="",0,IF(D190="PRETINA",SUMIFS($I$4:$I$189,$C$4:$C$189,C190,$D$4:$D$189,D190,$E$4:$E$189,E190,$F$4:$F$189,F190,$G$4:$G$189,G190,$H$4:$H$189,H190,$B$4:$B$189,"INGRESO")+SUMIFS($I$4:$I$189,$C$4:$C$189,C190,$D$4:$D$189,D190,$E$4:$E$189,E190,$F$4:$F$189,F190,$G$4:$G$189,G190,$H$4:$H$189,H190,$B$4:$B$189,"DE CORTE")-SUMIFS($I$4:$I$189,$C$4:$C$189,C190,$D$4:$D$189,D190,$E$4:$E$189,E190,$F$4:$F$189,F190,$G$4:$G$189,G190,$H$4:$H$189,H190,$B$4:$B$189,"SALIDA"),SUMIFS($I$4:$I$189,$C$4:$C$189,C190,$D$4:$D$189,D190,$E$4:$E$189,E190,$G$4:$G$189,G190,$H$4:$H$189,H190,$B$4:$B$189,"INGRESO")+SUMIFS($I$4:$I$189,$C$4:$C$189,C190,$D$4:$D$189,D190,$E$4:$E$189,E190,$G$4:$G$189,G190,$H$4:$H$189,H190,$B$4:$B$189,"DE CORTE")-SUMIFS($I$4:$I$189,$C$4:$C$189,C190,$D$4:$D$189,D190,$E$4:$E$189,E190,$G$4:$G$189,G190,$H$4:$H$189,H190,$B$4:$B$189,"SALIDA"))),0)</f>
        <v>0</v>
      </c>
      <c r="M190" s="13">
        <f t="shared" si="2"/>
        <v>0</v>
      </c>
      <c r="N190" s="14"/>
      <c r="O190" s="14"/>
      <c r="P190" s="15"/>
      <c r="Q190" s="14"/>
    </row>
    <row r="191" ht="15.75" customHeight="1">
      <c r="A191" s="7"/>
      <c r="B191" s="8"/>
      <c r="C191" s="8"/>
      <c r="D191" s="8"/>
      <c r="E191" s="8"/>
      <c r="F191" s="14"/>
      <c r="G191" s="8"/>
      <c r="H191" s="8"/>
      <c r="I191" s="9"/>
      <c r="J191" s="12" t="str">
        <f t="array" ref="J191:K191">IFERROR(INDEX(PRECIOS_COMPLEMENTOS!$C$4:$F$17,MATCH(D191&amp;"_"&amp;E191,PRECIOS_COMPLEMENTOS!$H$4:$H$17,0),IF(OR(H191="S",H191="20cm"),1,IF(OR(H191="M",H191="25cm"),2,IF(OR(H191="L",H191="30cm"),3,IF(OR(H191="XL",H191="35cm"),4,0))))),0)</f>
        <v>#REF!</v>
      </c>
      <c r="K191" s="12">
        <f t="shared" si="1"/>
        <v>0</v>
      </c>
      <c r="L191" s="13">
        <f>IFERROR(IF(C191="",0,IF(D191="PRETINA",SUMIFS($I$4:$I$190,$C$4:$C$190,C191,$D$4:$D$190,D191,$E$4:$E$190,E191,$F$4:$F$190,F191,$G$4:$G$190,G191,$H$4:$H$190,H191,$B$4:$B$190,"INGRESO")+SUMIFS($I$4:$I$190,$C$4:$C$190,C191,$D$4:$D$190,D191,$E$4:$E$190,E191,$F$4:$F$190,F191,$G$4:$G$190,G191,$H$4:$H$190,H191,$B$4:$B$190,"DE CORTE")-SUMIFS($I$4:$I$190,$C$4:$C$190,C191,$D$4:$D$190,D191,$E$4:$E$190,E191,$F$4:$F$190,F191,$G$4:$G$190,G191,$H$4:$H$190,H191,$B$4:$B$190,"SALIDA"),SUMIFS($I$4:$I$190,$C$4:$C$190,C191,$D$4:$D$190,D191,$E$4:$E$190,E191,$G$4:$G$190,G191,$H$4:$H$190,H191,$B$4:$B$190,"INGRESO")+SUMIFS($I$4:$I$190,$C$4:$C$190,C191,$D$4:$D$190,D191,$E$4:$E$190,E191,$G$4:$G$190,G191,$H$4:$H$190,H191,$B$4:$B$190,"DE CORTE")-SUMIFS($I$4:$I$190,$C$4:$C$190,C191,$D$4:$D$190,D191,$E$4:$E$190,E191,$G$4:$G$190,G191,$H$4:$H$190,H191,$B$4:$B$190,"SALIDA"))),0)</f>
        <v>0</v>
      </c>
      <c r="M191" s="13">
        <f t="shared" si="2"/>
        <v>0</v>
      </c>
      <c r="N191" s="14"/>
      <c r="O191" s="14"/>
      <c r="P191" s="15"/>
      <c r="Q191" s="14"/>
    </row>
    <row r="192" ht="15.75" customHeight="1">
      <c r="A192" s="7"/>
      <c r="B192" s="8"/>
      <c r="C192" s="8"/>
      <c r="D192" s="8"/>
      <c r="E192" s="8"/>
      <c r="F192" s="14"/>
      <c r="G192" s="8"/>
      <c r="H192" s="8"/>
      <c r="I192" s="9"/>
      <c r="J192" s="12" t="str">
        <f t="array" ref="J192:K192">IFERROR(INDEX(PRECIOS_COMPLEMENTOS!$C$4:$F$17,MATCH(D192&amp;"_"&amp;E192,PRECIOS_COMPLEMENTOS!$H$4:$H$17,0),IF(OR(H192="S",H192="20cm"),1,IF(OR(H192="M",H192="25cm"),2,IF(OR(H192="L",H192="30cm"),3,IF(OR(H192="XL",H192="35cm"),4,0))))),0)</f>
        <v>#REF!</v>
      </c>
      <c r="K192" s="12">
        <f t="shared" si="1"/>
        <v>0</v>
      </c>
      <c r="L192" s="13">
        <f>IFERROR(IF(C192="",0,IF(D192="PRETINA",SUMIFS($I$4:$I$191,$C$4:$C$191,C192,$D$4:$D$191,D192,$E$4:$E$191,E192,$F$4:$F$191,F192,$G$4:$G$191,G192,$H$4:$H$191,H192,$B$4:$B$191,"INGRESO")+SUMIFS($I$4:$I$191,$C$4:$C$191,C192,$D$4:$D$191,D192,$E$4:$E$191,E192,$F$4:$F$191,F192,$G$4:$G$191,G192,$H$4:$H$191,H192,$B$4:$B$191,"DE CORTE")-SUMIFS($I$4:$I$191,$C$4:$C$191,C192,$D$4:$D$191,D192,$E$4:$E$191,E192,$F$4:$F$191,F192,$G$4:$G$191,G192,$H$4:$H$191,H192,$B$4:$B$191,"SALIDA"),SUMIFS($I$4:$I$191,$C$4:$C$191,C192,$D$4:$D$191,D192,$E$4:$E$191,E192,$G$4:$G$191,G192,$H$4:$H$191,H192,$B$4:$B$191,"INGRESO")+SUMIFS($I$4:$I$191,$C$4:$C$191,C192,$D$4:$D$191,D192,$E$4:$E$191,E192,$G$4:$G$191,G192,$H$4:$H$191,H192,$B$4:$B$191,"DE CORTE")-SUMIFS($I$4:$I$191,$C$4:$C$191,C192,$D$4:$D$191,D192,$E$4:$E$191,E192,$G$4:$G$191,G192,$H$4:$H$191,H192,$B$4:$B$191,"SALIDA"))),0)</f>
        <v>0</v>
      </c>
      <c r="M192" s="13">
        <f t="shared" si="2"/>
        <v>0</v>
      </c>
      <c r="N192" s="14"/>
      <c r="O192" s="14"/>
      <c r="P192" s="15"/>
      <c r="Q192" s="14"/>
    </row>
    <row r="193" ht="15.75" customHeight="1">
      <c r="A193" s="7"/>
      <c r="B193" s="8"/>
      <c r="C193" s="8"/>
      <c r="D193" s="8"/>
      <c r="E193" s="8"/>
      <c r="F193" s="14"/>
      <c r="G193" s="8"/>
      <c r="H193" s="8"/>
      <c r="I193" s="9"/>
      <c r="J193" s="12" t="str">
        <f t="array" ref="J193:K193">IFERROR(INDEX(PRECIOS_COMPLEMENTOS!$C$4:$F$17,MATCH(D193&amp;"_"&amp;E193,PRECIOS_COMPLEMENTOS!$H$4:$H$17,0),IF(OR(H193="S",H193="20cm"),1,IF(OR(H193="M",H193="25cm"),2,IF(OR(H193="L",H193="30cm"),3,IF(OR(H193="XL",H193="35cm"),4,0))))),0)</f>
        <v>#REF!</v>
      </c>
      <c r="K193" s="12">
        <f t="shared" si="1"/>
        <v>0</v>
      </c>
      <c r="L193" s="13">
        <f>IFERROR(IF(C193="",0,IF(D193="PRETINA",SUMIFS($I$4:$I$192,$C$4:$C$192,C193,$D$4:$D$192,D193,$E$4:$E$192,E193,$F$4:$F$192,F193,$G$4:$G$192,G193,$H$4:$H$192,H193,$B$4:$B$192,"INGRESO")+SUMIFS($I$4:$I$192,$C$4:$C$192,C193,$D$4:$D$192,D193,$E$4:$E$192,E193,$F$4:$F$192,F193,$G$4:$G$192,G193,$H$4:$H$192,H193,$B$4:$B$192,"DE CORTE")-SUMIFS($I$4:$I$192,$C$4:$C$192,C193,$D$4:$D$192,D193,$E$4:$E$192,E193,$F$4:$F$192,F193,$G$4:$G$192,G193,$H$4:$H$192,H193,$B$4:$B$192,"SALIDA"),SUMIFS($I$4:$I$192,$C$4:$C$192,C193,$D$4:$D$192,D193,$E$4:$E$192,E193,$G$4:$G$192,G193,$H$4:$H$192,H193,$B$4:$B$192,"INGRESO")+SUMIFS($I$4:$I$192,$C$4:$C$192,C193,$D$4:$D$192,D193,$E$4:$E$192,E193,$G$4:$G$192,G193,$H$4:$H$192,H193,$B$4:$B$192,"DE CORTE")-SUMIFS($I$4:$I$192,$C$4:$C$192,C193,$D$4:$D$192,D193,$E$4:$E$192,E193,$G$4:$G$192,G193,$H$4:$H$192,H193,$B$4:$B$192,"SALIDA"))),0)</f>
        <v>0</v>
      </c>
      <c r="M193" s="13">
        <f t="shared" si="2"/>
        <v>0</v>
      </c>
      <c r="N193" s="14"/>
      <c r="O193" s="14"/>
      <c r="P193" s="15"/>
      <c r="Q193" s="14"/>
    </row>
    <row r="194" ht="15.75" customHeight="1">
      <c r="A194" s="7"/>
      <c r="B194" s="8"/>
      <c r="C194" s="8"/>
      <c r="D194" s="8"/>
      <c r="E194" s="8"/>
      <c r="F194" s="14"/>
      <c r="G194" s="8"/>
      <c r="H194" s="8"/>
      <c r="I194" s="9"/>
      <c r="J194" s="12" t="str">
        <f t="array" ref="J194:K194">IFERROR(INDEX(PRECIOS_COMPLEMENTOS!$C$4:$F$17,MATCH(D194&amp;"_"&amp;E194,PRECIOS_COMPLEMENTOS!$H$4:$H$17,0),IF(OR(H194="S",H194="20cm"),1,IF(OR(H194="M",H194="25cm"),2,IF(OR(H194="L",H194="30cm"),3,IF(OR(H194="XL",H194="35cm"),4,0))))),0)</f>
        <v>#REF!</v>
      </c>
      <c r="K194" s="12">
        <f t="shared" si="1"/>
        <v>0</v>
      </c>
      <c r="L194" s="13">
        <f>IFERROR(IF(C194="",0,IF(D194="PRETINA",SUMIFS($I$4:$I$193,$C$4:$C$193,C194,$D$4:$D$193,D194,$E$4:$E$193,E194,$F$4:$F$193,F194,$G$4:$G$193,G194,$H$4:$H$193,H194,$B$4:$B$193,"INGRESO")+SUMIFS($I$4:$I$193,$C$4:$C$193,C194,$D$4:$D$193,D194,$E$4:$E$193,E194,$F$4:$F$193,F194,$G$4:$G$193,G194,$H$4:$H$193,H194,$B$4:$B$193,"DE CORTE")-SUMIFS($I$4:$I$193,$C$4:$C$193,C194,$D$4:$D$193,D194,$E$4:$E$193,E194,$F$4:$F$193,F194,$G$4:$G$193,G194,$H$4:$H$193,H194,$B$4:$B$193,"SALIDA"),SUMIFS($I$4:$I$193,$C$4:$C$193,C194,$D$4:$D$193,D194,$E$4:$E$193,E194,$G$4:$G$193,G194,$H$4:$H$193,H194,$B$4:$B$193,"INGRESO")+SUMIFS($I$4:$I$193,$C$4:$C$193,C194,$D$4:$D$193,D194,$E$4:$E$193,E194,$G$4:$G$193,G194,$H$4:$H$193,H194,$B$4:$B$193,"DE CORTE")-SUMIFS($I$4:$I$193,$C$4:$C$193,C194,$D$4:$D$193,D194,$E$4:$E$193,E194,$G$4:$G$193,G194,$H$4:$H$193,H194,$B$4:$B$193,"SALIDA"))),0)</f>
        <v>0</v>
      </c>
      <c r="M194" s="13">
        <f t="shared" si="2"/>
        <v>0</v>
      </c>
      <c r="N194" s="14"/>
      <c r="O194" s="14"/>
      <c r="P194" s="15"/>
      <c r="Q194" s="14"/>
    </row>
    <row r="195" ht="15.75" customHeight="1">
      <c r="A195" s="7"/>
      <c r="B195" s="8"/>
      <c r="C195" s="8"/>
      <c r="D195" s="8"/>
      <c r="E195" s="8"/>
      <c r="F195" s="14"/>
      <c r="G195" s="8"/>
      <c r="H195" s="8"/>
      <c r="I195" s="9"/>
      <c r="J195" s="12" t="str">
        <f t="array" ref="J195:K195">IFERROR(INDEX(PRECIOS_COMPLEMENTOS!$C$4:$F$17,MATCH(D195&amp;"_"&amp;E195,PRECIOS_COMPLEMENTOS!$H$4:$H$17,0),IF(OR(H195="S",H195="20cm"),1,IF(OR(H195="M",H195="25cm"),2,IF(OR(H195="L",H195="30cm"),3,IF(OR(H195="XL",H195="35cm"),4,0))))),0)</f>
        <v>#REF!</v>
      </c>
      <c r="K195" s="12">
        <f t="shared" si="1"/>
        <v>0</v>
      </c>
      <c r="L195" s="13">
        <f>IFERROR(IF(C195="",0,IF(D195="PRETINA",SUMIFS($I$4:$I$194,$C$4:$C$194,C195,$D$4:$D$194,D195,$E$4:$E$194,E195,$F$4:$F$194,F195,$G$4:$G$194,G195,$H$4:$H$194,H195,$B$4:$B$194,"INGRESO")+SUMIFS($I$4:$I$194,$C$4:$C$194,C195,$D$4:$D$194,D195,$E$4:$E$194,E195,$F$4:$F$194,F195,$G$4:$G$194,G195,$H$4:$H$194,H195,$B$4:$B$194,"DE CORTE")-SUMIFS($I$4:$I$194,$C$4:$C$194,C195,$D$4:$D$194,D195,$E$4:$E$194,E195,$F$4:$F$194,F195,$G$4:$G$194,G195,$H$4:$H$194,H195,$B$4:$B$194,"SALIDA"),SUMIFS($I$4:$I$194,$C$4:$C$194,C195,$D$4:$D$194,D195,$E$4:$E$194,E195,$G$4:$G$194,G195,$H$4:$H$194,H195,$B$4:$B$194,"INGRESO")+SUMIFS($I$4:$I$194,$C$4:$C$194,C195,$D$4:$D$194,D195,$E$4:$E$194,E195,$G$4:$G$194,G195,$H$4:$H$194,H195,$B$4:$B$194,"DE CORTE")-SUMIFS($I$4:$I$194,$C$4:$C$194,C195,$D$4:$D$194,D195,$E$4:$E$194,E195,$G$4:$G$194,G195,$H$4:$H$194,H195,$B$4:$B$194,"SALIDA"))),0)</f>
        <v>0</v>
      </c>
      <c r="M195" s="13">
        <f t="shared" si="2"/>
        <v>0</v>
      </c>
      <c r="N195" s="14"/>
      <c r="O195" s="14"/>
      <c r="P195" s="15"/>
      <c r="Q195" s="14"/>
    </row>
    <row r="196" ht="15.75" customHeight="1">
      <c r="A196" s="7"/>
      <c r="B196" s="8"/>
      <c r="C196" s="8"/>
      <c r="D196" s="8"/>
      <c r="E196" s="8"/>
      <c r="F196" s="14"/>
      <c r="G196" s="8"/>
      <c r="H196" s="8"/>
      <c r="I196" s="9"/>
      <c r="J196" s="12" t="str">
        <f t="array" ref="J196:K196">IFERROR(INDEX(PRECIOS_COMPLEMENTOS!$C$4:$F$17,MATCH(D196&amp;"_"&amp;E196,PRECIOS_COMPLEMENTOS!$H$4:$H$17,0),IF(OR(H196="S",H196="20cm"),1,IF(OR(H196="M",H196="25cm"),2,IF(OR(H196="L",H196="30cm"),3,IF(OR(H196="XL",H196="35cm"),4,0))))),0)</f>
        <v>#REF!</v>
      </c>
      <c r="K196" s="12">
        <f t="shared" si="1"/>
        <v>0</v>
      </c>
      <c r="L196" s="13">
        <f>IFERROR(IF(C196="",0,IF(D196="PRETINA",SUMIFS($I$4:$I$195,$C$4:$C$195,C196,$D$4:$D$195,D196,$E$4:$E$195,E196,$F$4:$F$195,F196,$G$4:$G$195,G196,$H$4:$H$195,H196,$B$4:$B$195,"INGRESO")+SUMIFS($I$4:$I$195,$C$4:$C$195,C196,$D$4:$D$195,D196,$E$4:$E$195,E196,$F$4:$F$195,F196,$G$4:$G$195,G196,$H$4:$H$195,H196,$B$4:$B$195,"DE CORTE")-SUMIFS($I$4:$I$195,$C$4:$C$195,C196,$D$4:$D$195,D196,$E$4:$E$195,E196,$F$4:$F$195,F196,$G$4:$G$195,G196,$H$4:$H$195,H196,$B$4:$B$195,"SALIDA"),SUMIFS($I$4:$I$195,$C$4:$C$195,C196,$D$4:$D$195,D196,$E$4:$E$195,E196,$G$4:$G$195,G196,$H$4:$H$195,H196,$B$4:$B$195,"INGRESO")+SUMIFS($I$4:$I$195,$C$4:$C$195,C196,$D$4:$D$195,D196,$E$4:$E$195,E196,$G$4:$G$195,G196,$H$4:$H$195,H196,$B$4:$B$195,"DE CORTE")-SUMIFS($I$4:$I$195,$C$4:$C$195,C196,$D$4:$D$195,D196,$E$4:$E$195,E196,$G$4:$G$195,G196,$H$4:$H$195,H196,$B$4:$B$195,"SALIDA"))),0)</f>
        <v>0</v>
      </c>
      <c r="M196" s="13">
        <f t="shared" si="2"/>
        <v>0</v>
      </c>
      <c r="N196" s="14"/>
      <c r="O196" s="14"/>
      <c r="P196" s="15"/>
      <c r="Q196" s="14"/>
    </row>
    <row r="197" ht="15.75" customHeight="1">
      <c r="A197" s="7"/>
      <c r="B197" s="8"/>
      <c r="C197" s="8"/>
      <c r="D197" s="8"/>
      <c r="E197" s="8"/>
      <c r="F197" s="14"/>
      <c r="G197" s="8"/>
      <c r="H197" s="8"/>
      <c r="I197" s="9"/>
      <c r="J197" s="12" t="str">
        <f t="array" ref="J197:K197">IFERROR(INDEX(PRECIOS_COMPLEMENTOS!$C$4:$F$17,MATCH(D197&amp;"_"&amp;E197,PRECIOS_COMPLEMENTOS!$H$4:$H$17,0),IF(OR(H197="S",H197="20cm"),1,IF(OR(H197="M",H197="25cm"),2,IF(OR(H197="L",H197="30cm"),3,IF(OR(H197="XL",H197="35cm"),4,0))))),0)</f>
        <v>#REF!</v>
      </c>
      <c r="K197" s="12">
        <f t="shared" si="1"/>
        <v>0</v>
      </c>
      <c r="L197" s="13">
        <f>IFERROR(IF(C197="",0,IF(D197="PRETINA",SUMIFS($I$4:$I$196,$C$4:$C$196,C197,$D$4:$D$196,D197,$E$4:$E$196,E197,$F$4:$F$196,F197,$G$4:$G$196,G197,$H$4:$H$196,H197,$B$4:$B$196,"INGRESO")+SUMIFS($I$4:$I$196,$C$4:$C$196,C197,$D$4:$D$196,D197,$E$4:$E$196,E197,$F$4:$F$196,F197,$G$4:$G$196,G197,$H$4:$H$196,H197,$B$4:$B$196,"DE CORTE")-SUMIFS($I$4:$I$196,$C$4:$C$196,C197,$D$4:$D$196,D197,$E$4:$E$196,E197,$F$4:$F$196,F197,$G$4:$G$196,G197,$H$4:$H$196,H197,$B$4:$B$196,"SALIDA"),SUMIFS($I$4:$I$196,$C$4:$C$196,C197,$D$4:$D$196,D197,$E$4:$E$196,E197,$G$4:$G$196,G197,$H$4:$H$196,H197,$B$4:$B$196,"INGRESO")+SUMIFS($I$4:$I$196,$C$4:$C$196,C197,$D$4:$D$196,D197,$E$4:$E$196,E197,$G$4:$G$196,G197,$H$4:$H$196,H197,$B$4:$B$196,"DE CORTE")-SUMIFS($I$4:$I$196,$C$4:$C$196,C197,$D$4:$D$196,D197,$E$4:$E$196,E197,$G$4:$G$196,G197,$H$4:$H$196,H197,$B$4:$B$196,"SALIDA"))),0)</f>
        <v>0</v>
      </c>
      <c r="M197" s="13">
        <f t="shared" si="2"/>
        <v>0</v>
      </c>
      <c r="N197" s="14"/>
      <c r="O197" s="14"/>
      <c r="P197" s="15"/>
      <c r="Q197" s="14"/>
    </row>
    <row r="198" ht="15.75" customHeight="1">
      <c r="A198" s="7"/>
      <c r="B198" s="8"/>
      <c r="C198" s="8"/>
      <c r="D198" s="8"/>
      <c r="E198" s="8"/>
      <c r="F198" s="14"/>
      <c r="G198" s="8"/>
      <c r="H198" s="8"/>
      <c r="I198" s="9"/>
      <c r="J198" s="12" t="str">
        <f t="array" ref="J198:K198">IFERROR(INDEX(PRECIOS_COMPLEMENTOS!$C$4:$F$17,MATCH(D198&amp;"_"&amp;E198,PRECIOS_COMPLEMENTOS!$H$4:$H$17,0),IF(OR(H198="S",H198="20cm"),1,IF(OR(H198="M",H198="25cm"),2,IF(OR(H198="L",H198="30cm"),3,IF(OR(H198="XL",H198="35cm"),4,0))))),0)</f>
        <v>#REF!</v>
      </c>
      <c r="K198" s="12">
        <f t="shared" si="1"/>
        <v>0</v>
      </c>
      <c r="L198" s="13">
        <f>IFERROR(IF(C198="",0,IF(D198="PRETINA",SUMIFS($I$4:$I$197,$C$4:$C$197,C198,$D$4:$D$197,D198,$E$4:$E$197,E198,$F$4:$F$197,F198,$G$4:$G$197,G198,$H$4:$H$197,H198,$B$4:$B$197,"INGRESO")+SUMIFS($I$4:$I$197,$C$4:$C$197,C198,$D$4:$D$197,D198,$E$4:$E$197,E198,$F$4:$F$197,F198,$G$4:$G$197,G198,$H$4:$H$197,H198,$B$4:$B$197,"DE CORTE")-SUMIFS($I$4:$I$197,$C$4:$C$197,C198,$D$4:$D$197,D198,$E$4:$E$197,E198,$F$4:$F$197,F198,$G$4:$G$197,G198,$H$4:$H$197,H198,$B$4:$B$197,"SALIDA"),SUMIFS($I$4:$I$197,$C$4:$C$197,C198,$D$4:$D$197,D198,$E$4:$E$197,E198,$G$4:$G$197,G198,$H$4:$H$197,H198,$B$4:$B$197,"INGRESO")+SUMIFS($I$4:$I$197,$C$4:$C$197,C198,$D$4:$D$197,D198,$E$4:$E$197,E198,$G$4:$G$197,G198,$H$4:$H$197,H198,$B$4:$B$197,"DE CORTE")-SUMIFS($I$4:$I$197,$C$4:$C$197,C198,$D$4:$D$197,D198,$E$4:$E$197,E198,$G$4:$G$197,G198,$H$4:$H$197,H198,$B$4:$B$197,"SALIDA"))),0)</f>
        <v>0</v>
      </c>
      <c r="M198" s="13">
        <f t="shared" si="2"/>
        <v>0</v>
      </c>
      <c r="N198" s="14"/>
      <c r="O198" s="14"/>
      <c r="P198" s="15"/>
      <c r="Q198" s="14"/>
    </row>
    <row r="199" ht="15.75" customHeight="1">
      <c r="A199" s="7"/>
      <c r="B199" s="8"/>
      <c r="C199" s="8"/>
      <c r="D199" s="8"/>
      <c r="E199" s="8"/>
      <c r="F199" s="14"/>
      <c r="G199" s="8"/>
      <c r="H199" s="8"/>
      <c r="I199" s="9"/>
      <c r="J199" s="12" t="str">
        <f t="array" ref="J199:K199">IFERROR(INDEX(PRECIOS_COMPLEMENTOS!$C$4:$F$17,MATCH(D199&amp;"_"&amp;E199,PRECIOS_COMPLEMENTOS!$H$4:$H$17,0),IF(OR(H199="S",H199="20cm"),1,IF(OR(H199="M",H199="25cm"),2,IF(OR(H199="L",H199="30cm"),3,IF(OR(H199="XL",H199="35cm"),4,0))))),0)</f>
        <v>#REF!</v>
      </c>
      <c r="K199" s="12">
        <f t="shared" si="1"/>
        <v>0</v>
      </c>
      <c r="L199" s="13">
        <f>IFERROR(IF(C199="",0,IF(D199="PRETINA",SUMIFS($I$4:$I$198,$C$4:$C$198,C199,$D$4:$D$198,D199,$E$4:$E$198,E199,$F$4:$F$198,F199,$G$4:$G$198,G199,$H$4:$H$198,H199,$B$4:$B$198,"INGRESO")+SUMIFS($I$4:$I$198,$C$4:$C$198,C199,$D$4:$D$198,D199,$E$4:$E$198,E199,$F$4:$F$198,F199,$G$4:$G$198,G199,$H$4:$H$198,H199,$B$4:$B$198,"DE CORTE")-SUMIFS($I$4:$I$198,$C$4:$C$198,C199,$D$4:$D$198,D199,$E$4:$E$198,E199,$F$4:$F$198,F199,$G$4:$G$198,G199,$H$4:$H$198,H199,$B$4:$B$198,"SALIDA"),SUMIFS($I$4:$I$198,$C$4:$C$198,C199,$D$4:$D$198,D199,$E$4:$E$198,E199,$G$4:$G$198,G199,$H$4:$H$198,H199,$B$4:$B$198,"INGRESO")+SUMIFS($I$4:$I$198,$C$4:$C$198,C199,$D$4:$D$198,D199,$E$4:$E$198,E199,$G$4:$G$198,G199,$H$4:$H$198,H199,$B$4:$B$198,"DE CORTE")-SUMIFS($I$4:$I$198,$C$4:$C$198,C199,$D$4:$D$198,D199,$E$4:$E$198,E199,$G$4:$G$198,G199,$H$4:$H$198,H199,$B$4:$B$198,"SALIDA"))),0)</f>
        <v>0</v>
      </c>
      <c r="M199" s="13">
        <f t="shared" si="2"/>
        <v>0</v>
      </c>
      <c r="N199" s="14"/>
      <c r="O199" s="14"/>
      <c r="P199" s="15"/>
      <c r="Q199" s="14"/>
    </row>
    <row r="200" ht="15.75" customHeight="1">
      <c r="A200" s="7"/>
      <c r="B200" s="8"/>
      <c r="C200" s="8"/>
      <c r="D200" s="8"/>
      <c r="E200" s="8"/>
      <c r="F200" s="14"/>
      <c r="G200" s="8"/>
      <c r="H200" s="8"/>
      <c r="I200" s="9"/>
      <c r="J200" s="12" t="str">
        <f t="array" ref="J200:K200">IFERROR(INDEX(PRECIOS_COMPLEMENTOS!$C$4:$F$17,MATCH(D200&amp;"_"&amp;E200,PRECIOS_COMPLEMENTOS!$H$4:$H$17,0),IF(OR(H200="S",H200="20cm"),1,IF(OR(H200="M",H200="25cm"),2,IF(OR(H200="L",H200="30cm"),3,IF(OR(H200="XL",H200="35cm"),4,0))))),0)</f>
        <v>#REF!</v>
      </c>
      <c r="K200" s="12">
        <f t="shared" si="1"/>
        <v>0</v>
      </c>
      <c r="L200" s="13">
        <f>IFERROR(IF(C200="",0,IF(D200="PRETINA",SUMIFS($I$4:$I$199,$C$4:$C$199,C200,$D$4:$D$199,D200,$E$4:$E$199,E200,$F$4:$F$199,F200,$G$4:$G$199,G200,$H$4:$H$199,H200,$B$4:$B$199,"INGRESO")+SUMIFS($I$4:$I$199,$C$4:$C$199,C200,$D$4:$D$199,D200,$E$4:$E$199,E200,$F$4:$F$199,F200,$G$4:$G$199,G200,$H$4:$H$199,H200,$B$4:$B$199,"DE CORTE")-SUMIFS($I$4:$I$199,$C$4:$C$199,C200,$D$4:$D$199,D200,$E$4:$E$199,E200,$F$4:$F$199,F200,$G$4:$G$199,G200,$H$4:$H$199,H200,$B$4:$B$199,"SALIDA"),SUMIFS($I$4:$I$199,$C$4:$C$199,C200,$D$4:$D$199,D200,$E$4:$E$199,E200,$G$4:$G$199,G200,$H$4:$H$199,H200,$B$4:$B$199,"INGRESO")+SUMIFS($I$4:$I$199,$C$4:$C$199,C200,$D$4:$D$199,D200,$E$4:$E$199,E200,$G$4:$G$199,G200,$H$4:$H$199,H200,$B$4:$B$199,"DE CORTE")-SUMIFS($I$4:$I$199,$C$4:$C$199,C200,$D$4:$D$199,D200,$E$4:$E$199,E200,$G$4:$G$199,G200,$H$4:$H$199,H200,$B$4:$B$199,"SALIDA"))),0)</f>
        <v>0</v>
      </c>
      <c r="M200" s="13">
        <f t="shared" si="2"/>
        <v>0</v>
      </c>
      <c r="N200" s="14"/>
      <c r="O200" s="14"/>
      <c r="P200" s="15"/>
      <c r="Q200" s="14"/>
    </row>
    <row r="201" ht="15.75" customHeight="1">
      <c r="A201" s="7"/>
      <c r="B201" s="8"/>
      <c r="C201" s="8"/>
      <c r="D201" s="8"/>
      <c r="E201" s="8"/>
      <c r="F201" s="14"/>
      <c r="G201" s="8"/>
      <c r="H201" s="8"/>
      <c r="I201" s="9"/>
      <c r="J201" s="12" t="str">
        <f t="array" ref="J201:K201">IFERROR(INDEX(PRECIOS_COMPLEMENTOS!$C$4:$F$17,MATCH(D201&amp;"_"&amp;E201,PRECIOS_COMPLEMENTOS!$H$4:$H$17,0),IF(OR(H201="S",H201="20cm"),1,IF(OR(H201="M",H201="25cm"),2,IF(OR(H201="L",H201="30cm"),3,IF(OR(H201="XL",H201="35cm"),4,0))))),0)</f>
        <v>#REF!</v>
      </c>
      <c r="K201" s="12">
        <f t="shared" si="1"/>
        <v>0</v>
      </c>
      <c r="L201" s="13">
        <f>IFERROR(IF(C201="",0,IF(D201="PRETINA",SUMIFS($I$4:$I$200,$C$4:$C$200,C201,$D$4:$D$200,D201,$E$4:$E$200,E201,$F$4:$F$200,F201,$G$4:$G$200,G201,$H$4:$H$200,H201,$B$4:$B$200,"INGRESO")+SUMIFS($I$4:$I$200,$C$4:$C$200,C201,$D$4:$D$200,D201,$E$4:$E$200,E201,$F$4:$F$200,F201,$G$4:$G$200,G201,$H$4:$H$200,H201,$B$4:$B$200,"DE CORTE")-SUMIFS($I$4:$I$200,$C$4:$C$200,C201,$D$4:$D$200,D201,$E$4:$E$200,E201,$F$4:$F$200,F201,$G$4:$G$200,G201,$H$4:$H$200,H201,$B$4:$B$200,"SALIDA"),SUMIFS($I$4:$I$200,$C$4:$C$200,C201,$D$4:$D$200,D201,$E$4:$E$200,E201,$G$4:$G$200,G201,$H$4:$H$200,H201,$B$4:$B$200,"INGRESO")+SUMIFS($I$4:$I$200,$C$4:$C$200,C201,$D$4:$D$200,D201,$E$4:$E$200,E201,$G$4:$G$200,G201,$H$4:$H$200,H201,$B$4:$B$200,"DE CORTE")-SUMIFS($I$4:$I$200,$C$4:$C$200,C201,$D$4:$D$200,D201,$E$4:$E$200,E201,$G$4:$G$200,G201,$H$4:$H$200,H201,$B$4:$B$200,"SALIDA"))),0)</f>
        <v>0</v>
      </c>
      <c r="M201" s="13">
        <f t="shared" si="2"/>
        <v>0</v>
      </c>
      <c r="N201" s="14"/>
      <c r="O201" s="14"/>
      <c r="P201" s="15"/>
      <c r="Q201" s="14"/>
    </row>
    <row r="202" ht="15.75" customHeight="1">
      <c r="A202" s="7"/>
      <c r="B202" s="8"/>
      <c r="C202" s="8"/>
      <c r="D202" s="8"/>
      <c r="E202" s="8"/>
      <c r="F202" s="14"/>
      <c r="G202" s="8"/>
      <c r="H202" s="8"/>
      <c r="I202" s="9"/>
      <c r="J202" s="12" t="str">
        <f t="array" ref="J202:K202">IFERROR(INDEX(PRECIOS_COMPLEMENTOS!$C$4:$F$17,MATCH(D202&amp;"_"&amp;E202,PRECIOS_COMPLEMENTOS!$H$4:$H$17,0),IF(OR(H202="S",H202="20cm"),1,IF(OR(H202="M",H202="25cm"),2,IF(OR(H202="L",H202="30cm"),3,IF(OR(H202="XL",H202="35cm"),4,0))))),0)</f>
        <v>#REF!</v>
      </c>
      <c r="K202" s="12">
        <f t="shared" si="1"/>
        <v>0</v>
      </c>
      <c r="L202" s="13">
        <f>IFERROR(IF(C202="",0,IF(D202="PRETINA",SUMIFS($I$4:$I$201,$C$4:$C$201,C202,$D$4:$D$201,D202,$E$4:$E$201,E202,$F$4:$F$201,F202,$G$4:$G$201,G202,$H$4:$H$201,H202,$B$4:$B$201,"INGRESO")+SUMIFS($I$4:$I$201,$C$4:$C$201,C202,$D$4:$D$201,D202,$E$4:$E$201,E202,$F$4:$F$201,F202,$G$4:$G$201,G202,$H$4:$H$201,H202,$B$4:$B$201,"DE CORTE")-SUMIFS($I$4:$I$201,$C$4:$C$201,C202,$D$4:$D$201,D202,$E$4:$E$201,E202,$F$4:$F$201,F202,$G$4:$G$201,G202,$H$4:$H$201,H202,$B$4:$B$201,"SALIDA"),SUMIFS($I$4:$I$201,$C$4:$C$201,C202,$D$4:$D$201,D202,$E$4:$E$201,E202,$G$4:$G$201,G202,$H$4:$H$201,H202,$B$4:$B$201,"INGRESO")+SUMIFS($I$4:$I$201,$C$4:$C$201,C202,$D$4:$D$201,D202,$E$4:$E$201,E202,$G$4:$G$201,G202,$H$4:$H$201,H202,$B$4:$B$201,"DE CORTE")-SUMIFS($I$4:$I$201,$C$4:$C$201,C202,$D$4:$D$201,D202,$E$4:$E$201,E202,$G$4:$G$201,G202,$H$4:$H$201,H202,$B$4:$B$201,"SALIDA"))),0)</f>
        <v>0</v>
      </c>
      <c r="M202" s="13">
        <f t="shared" si="2"/>
        <v>0</v>
      </c>
      <c r="N202" s="14"/>
      <c r="O202" s="14"/>
      <c r="P202" s="15"/>
      <c r="Q202" s="14"/>
    </row>
    <row r="203" ht="15.75" customHeight="1">
      <c r="A203" s="7"/>
      <c r="B203" s="8"/>
      <c r="C203" s="8"/>
      <c r="D203" s="8"/>
      <c r="E203" s="8"/>
      <c r="F203" s="14"/>
      <c r="G203" s="8"/>
      <c r="H203" s="8"/>
      <c r="I203" s="9"/>
      <c r="J203" s="12" t="str">
        <f t="array" ref="J203:K203">IFERROR(INDEX(PRECIOS_COMPLEMENTOS!$C$4:$F$17,MATCH(D203&amp;"_"&amp;E203,PRECIOS_COMPLEMENTOS!$H$4:$H$17,0),IF(OR(H203="S",H203="20cm"),1,IF(OR(H203="M",H203="25cm"),2,IF(OR(H203="L",H203="30cm"),3,IF(OR(H203="XL",H203="35cm"),4,0))))),0)</f>
        <v>#REF!</v>
      </c>
      <c r="K203" s="12">
        <f t="shared" si="1"/>
        <v>0</v>
      </c>
      <c r="L203" s="13">
        <f>IFERROR(IF(C203="",0,IF(D203="PRETINA",SUMIFS($I$4:$I$202,$C$4:$C$202,C203,$D$4:$D$202,D203,$E$4:$E$202,E203,$F$4:$F$202,F203,$G$4:$G$202,G203,$H$4:$H$202,H203,$B$4:$B$202,"INGRESO")+SUMIFS($I$4:$I$202,$C$4:$C$202,C203,$D$4:$D$202,D203,$E$4:$E$202,E203,$F$4:$F$202,F203,$G$4:$G$202,G203,$H$4:$H$202,H203,$B$4:$B$202,"DE CORTE")-SUMIFS($I$4:$I$202,$C$4:$C$202,C203,$D$4:$D$202,D203,$E$4:$E$202,E203,$F$4:$F$202,F203,$G$4:$G$202,G203,$H$4:$H$202,H203,$B$4:$B$202,"SALIDA"),SUMIFS($I$4:$I$202,$C$4:$C$202,C203,$D$4:$D$202,D203,$E$4:$E$202,E203,$G$4:$G$202,G203,$H$4:$H$202,H203,$B$4:$B$202,"INGRESO")+SUMIFS($I$4:$I$202,$C$4:$C$202,C203,$D$4:$D$202,D203,$E$4:$E$202,E203,$G$4:$G$202,G203,$H$4:$H$202,H203,$B$4:$B$202,"DE CORTE")-SUMIFS($I$4:$I$202,$C$4:$C$202,C203,$D$4:$D$202,D203,$E$4:$E$202,E203,$G$4:$G$202,G203,$H$4:$H$202,H203,$B$4:$B$202,"SALIDA"))),0)</f>
        <v>0</v>
      </c>
      <c r="M203" s="13">
        <f t="shared" si="2"/>
        <v>0</v>
      </c>
      <c r="N203" s="14"/>
      <c r="O203" s="14"/>
      <c r="P203" s="15"/>
      <c r="Q203" s="14"/>
    </row>
    <row r="204" ht="15.75" customHeight="1">
      <c r="A204" s="7"/>
      <c r="B204" s="8"/>
      <c r="C204" s="8"/>
      <c r="D204" s="8"/>
      <c r="E204" s="8"/>
      <c r="F204" s="14"/>
      <c r="G204" s="8"/>
      <c r="H204" s="8"/>
      <c r="I204" s="9"/>
      <c r="J204" s="12" t="str">
        <f t="array" ref="J204:K204">IFERROR(INDEX(PRECIOS_COMPLEMENTOS!$C$4:$F$17,MATCH(D204&amp;"_"&amp;E204,PRECIOS_COMPLEMENTOS!$H$4:$H$17,0),IF(OR(H204="S",H204="20cm"),1,IF(OR(H204="M",H204="25cm"),2,IF(OR(H204="L",H204="30cm"),3,IF(OR(H204="XL",H204="35cm"),4,0))))),0)</f>
        <v>#REF!</v>
      </c>
      <c r="K204" s="12">
        <f t="shared" si="1"/>
        <v>0</v>
      </c>
      <c r="L204" s="13">
        <f>IFERROR(IF(C204="",0,IF(D204="PRETINA",SUMIFS($I$4:$I$203,$C$4:$C$203,C204,$D$4:$D$203,D204,$E$4:$E$203,E204,$F$4:$F$203,F204,$G$4:$G$203,G204,$H$4:$H$203,H204,$B$4:$B$203,"INGRESO")+SUMIFS($I$4:$I$203,$C$4:$C$203,C204,$D$4:$D$203,D204,$E$4:$E$203,E204,$F$4:$F$203,F204,$G$4:$G$203,G204,$H$4:$H$203,H204,$B$4:$B$203,"DE CORTE")-SUMIFS($I$4:$I$203,$C$4:$C$203,C204,$D$4:$D$203,D204,$E$4:$E$203,E204,$F$4:$F$203,F204,$G$4:$G$203,G204,$H$4:$H$203,H204,$B$4:$B$203,"SALIDA"),SUMIFS($I$4:$I$203,$C$4:$C$203,C204,$D$4:$D$203,D204,$E$4:$E$203,E204,$G$4:$G$203,G204,$H$4:$H$203,H204,$B$4:$B$203,"INGRESO")+SUMIFS($I$4:$I$203,$C$4:$C$203,C204,$D$4:$D$203,D204,$E$4:$E$203,E204,$G$4:$G$203,G204,$H$4:$H$203,H204,$B$4:$B$203,"DE CORTE")-SUMIFS($I$4:$I$203,$C$4:$C$203,C204,$D$4:$D$203,D204,$E$4:$E$203,E204,$G$4:$G$203,G204,$H$4:$H$203,H204,$B$4:$B$203,"SALIDA"))),0)</f>
        <v>0</v>
      </c>
      <c r="M204" s="13">
        <f t="shared" si="2"/>
        <v>0</v>
      </c>
      <c r="N204" s="14"/>
      <c r="O204" s="14"/>
      <c r="P204" s="15"/>
      <c r="Q204" s="14"/>
    </row>
    <row r="205" ht="15.75" customHeight="1">
      <c r="A205" s="7"/>
      <c r="B205" s="8"/>
      <c r="C205" s="8"/>
      <c r="D205" s="8"/>
      <c r="E205" s="8"/>
      <c r="F205" s="14"/>
      <c r="G205" s="8"/>
      <c r="H205" s="8"/>
      <c r="I205" s="9"/>
      <c r="J205" s="12" t="str">
        <f t="array" ref="J205:K205">IFERROR(INDEX(PRECIOS_COMPLEMENTOS!$C$4:$F$17,MATCH(D205&amp;"_"&amp;E205,PRECIOS_COMPLEMENTOS!$H$4:$H$17,0),IF(OR(H205="S",H205="20cm"),1,IF(OR(H205="M",H205="25cm"),2,IF(OR(H205="L",H205="30cm"),3,IF(OR(H205="XL",H205="35cm"),4,0))))),0)</f>
        <v>#REF!</v>
      </c>
      <c r="K205" s="12">
        <f t="shared" si="1"/>
        <v>0</v>
      </c>
      <c r="L205" s="13">
        <f>IFERROR(IF(C205="",0,IF(D205="PRETINA",SUMIFS($I$4:$I$204,$C$4:$C$204,C205,$D$4:$D$204,D205,$E$4:$E$204,E205,$F$4:$F$204,F205,$G$4:$G$204,G205,$H$4:$H$204,H205,$B$4:$B$204,"INGRESO")+SUMIFS($I$4:$I$204,$C$4:$C$204,C205,$D$4:$D$204,D205,$E$4:$E$204,E205,$F$4:$F$204,F205,$G$4:$G$204,G205,$H$4:$H$204,H205,$B$4:$B$204,"DE CORTE")-SUMIFS($I$4:$I$204,$C$4:$C$204,C205,$D$4:$D$204,D205,$E$4:$E$204,E205,$F$4:$F$204,F205,$G$4:$G$204,G205,$H$4:$H$204,H205,$B$4:$B$204,"SALIDA"),SUMIFS($I$4:$I$204,$C$4:$C$204,C205,$D$4:$D$204,D205,$E$4:$E$204,E205,$G$4:$G$204,G205,$H$4:$H$204,H205,$B$4:$B$204,"INGRESO")+SUMIFS($I$4:$I$204,$C$4:$C$204,C205,$D$4:$D$204,D205,$E$4:$E$204,E205,$G$4:$G$204,G205,$H$4:$H$204,H205,$B$4:$B$204,"DE CORTE")-SUMIFS($I$4:$I$204,$C$4:$C$204,C205,$D$4:$D$204,D205,$E$4:$E$204,E205,$G$4:$G$204,G205,$H$4:$H$204,H205,$B$4:$B$204,"SALIDA"))),0)</f>
        <v>0</v>
      </c>
      <c r="M205" s="13">
        <f t="shared" si="2"/>
        <v>0</v>
      </c>
      <c r="N205" s="14"/>
      <c r="O205" s="14"/>
      <c r="P205" s="15"/>
      <c r="Q205" s="14"/>
    </row>
    <row r="206" ht="15.75" customHeight="1">
      <c r="A206" s="7"/>
      <c r="B206" s="8"/>
      <c r="C206" s="8"/>
      <c r="D206" s="8"/>
      <c r="E206" s="8"/>
      <c r="F206" s="14"/>
      <c r="G206" s="8"/>
      <c r="H206" s="8"/>
      <c r="I206" s="9"/>
      <c r="J206" s="12" t="str">
        <f t="array" ref="J206:K206">IFERROR(INDEX(PRECIOS_COMPLEMENTOS!$C$4:$F$17,MATCH(D206&amp;"_"&amp;E206,PRECIOS_COMPLEMENTOS!$H$4:$H$17,0),IF(OR(H206="S",H206="20cm"),1,IF(OR(H206="M",H206="25cm"),2,IF(OR(H206="L",H206="30cm"),3,IF(OR(H206="XL",H206="35cm"),4,0))))),0)</f>
        <v>#REF!</v>
      </c>
      <c r="K206" s="12">
        <f t="shared" si="1"/>
        <v>0</v>
      </c>
      <c r="L206" s="13">
        <f>IFERROR(IF(C206="",0,IF(D206="PRETINA",SUMIFS($I$4:$I$205,$C$4:$C$205,C206,$D$4:$D$205,D206,$E$4:$E$205,E206,$F$4:$F$205,F206,$G$4:$G$205,G206,$H$4:$H$205,H206,$B$4:$B$205,"INGRESO")+SUMIFS($I$4:$I$205,$C$4:$C$205,C206,$D$4:$D$205,D206,$E$4:$E$205,E206,$F$4:$F$205,F206,$G$4:$G$205,G206,$H$4:$H$205,H206,$B$4:$B$205,"DE CORTE")-SUMIFS($I$4:$I$205,$C$4:$C$205,C206,$D$4:$D$205,D206,$E$4:$E$205,E206,$F$4:$F$205,F206,$G$4:$G$205,G206,$H$4:$H$205,H206,$B$4:$B$205,"SALIDA"),SUMIFS($I$4:$I$205,$C$4:$C$205,C206,$D$4:$D$205,D206,$E$4:$E$205,E206,$G$4:$G$205,G206,$H$4:$H$205,H206,$B$4:$B$205,"INGRESO")+SUMIFS($I$4:$I$205,$C$4:$C$205,C206,$D$4:$D$205,D206,$E$4:$E$205,E206,$G$4:$G$205,G206,$H$4:$H$205,H206,$B$4:$B$205,"DE CORTE")-SUMIFS($I$4:$I$205,$C$4:$C$205,C206,$D$4:$D$205,D206,$E$4:$E$205,E206,$G$4:$G$205,G206,$H$4:$H$205,H206,$B$4:$B$205,"SALIDA"))),0)</f>
        <v>0</v>
      </c>
      <c r="M206" s="13">
        <f t="shared" si="2"/>
        <v>0</v>
      </c>
      <c r="N206" s="14"/>
      <c r="O206" s="14"/>
      <c r="P206" s="15"/>
      <c r="Q206" s="14"/>
    </row>
    <row r="207" ht="15.75" customHeight="1">
      <c r="A207" s="7"/>
      <c r="B207" s="8"/>
      <c r="C207" s="8"/>
      <c r="D207" s="8"/>
      <c r="E207" s="8"/>
      <c r="F207" s="14"/>
      <c r="G207" s="8"/>
      <c r="H207" s="8"/>
      <c r="I207" s="9"/>
      <c r="J207" s="12" t="str">
        <f t="array" ref="J207:K207">IFERROR(INDEX(PRECIOS_COMPLEMENTOS!$C$4:$F$17,MATCH(D207&amp;"_"&amp;E207,PRECIOS_COMPLEMENTOS!$H$4:$H$17,0),IF(OR(H207="S",H207="20cm"),1,IF(OR(H207="M",H207="25cm"),2,IF(OR(H207="L",H207="30cm"),3,IF(OR(H207="XL",H207="35cm"),4,0))))),0)</f>
        <v>#REF!</v>
      </c>
      <c r="K207" s="12">
        <f t="shared" si="1"/>
        <v>0</v>
      </c>
      <c r="L207" s="13">
        <f>IFERROR(IF(C207="",0,IF(D207="PRETINA",SUMIFS($I$4:$I$206,$C$4:$C$206,C207,$D$4:$D$206,D207,$E$4:$E$206,E207,$F$4:$F$206,F207,$G$4:$G$206,G207,$H$4:$H$206,H207,$B$4:$B$206,"INGRESO")+SUMIFS($I$4:$I$206,$C$4:$C$206,C207,$D$4:$D$206,D207,$E$4:$E$206,E207,$F$4:$F$206,F207,$G$4:$G$206,G207,$H$4:$H$206,H207,$B$4:$B$206,"DE CORTE")-SUMIFS($I$4:$I$206,$C$4:$C$206,C207,$D$4:$D$206,D207,$E$4:$E$206,E207,$F$4:$F$206,F207,$G$4:$G$206,G207,$H$4:$H$206,H207,$B$4:$B$206,"SALIDA"),SUMIFS($I$4:$I$206,$C$4:$C$206,C207,$D$4:$D$206,D207,$E$4:$E$206,E207,$G$4:$G$206,G207,$H$4:$H$206,H207,$B$4:$B$206,"INGRESO")+SUMIFS($I$4:$I$206,$C$4:$C$206,C207,$D$4:$D$206,D207,$E$4:$E$206,E207,$G$4:$G$206,G207,$H$4:$H$206,H207,$B$4:$B$206,"DE CORTE")-SUMIFS($I$4:$I$206,$C$4:$C$206,C207,$D$4:$D$206,D207,$E$4:$E$206,E207,$G$4:$G$206,G207,$H$4:$H$206,H207,$B$4:$B$206,"SALIDA"))),0)</f>
        <v>0</v>
      </c>
      <c r="M207" s="13">
        <f t="shared" si="2"/>
        <v>0</v>
      </c>
      <c r="N207" s="14"/>
      <c r="O207" s="14"/>
      <c r="P207" s="15"/>
      <c r="Q207" s="14"/>
    </row>
    <row r="208" ht="15.75" customHeight="1">
      <c r="A208" s="7"/>
      <c r="B208" s="8"/>
      <c r="C208" s="8"/>
      <c r="D208" s="8"/>
      <c r="E208" s="8"/>
      <c r="F208" s="14"/>
      <c r="G208" s="8"/>
      <c r="H208" s="8"/>
      <c r="I208" s="9"/>
      <c r="J208" s="12" t="str">
        <f t="array" ref="J208:K208">IFERROR(INDEX(PRECIOS_COMPLEMENTOS!$C$4:$F$17,MATCH(D208&amp;"_"&amp;E208,PRECIOS_COMPLEMENTOS!$H$4:$H$17,0),IF(OR(H208="S",H208="20cm"),1,IF(OR(H208="M",H208="25cm"),2,IF(OR(H208="L",H208="30cm"),3,IF(OR(H208="XL",H208="35cm"),4,0))))),0)</f>
        <v>#REF!</v>
      </c>
      <c r="K208" s="12">
        <f t="shared" si="1"/>
        <v>0</v>
      </c>
      <c r="L208" s="13">
        <f>IFERROR(IF(C208="",0,IF(D208="PRETINA",SUMIFS($I$4:$I$207,$C$4:$C$207,C208,$D$4:$D$207,D208,$E$4:$E$207,E208,$F$4:$F$207,F208,$G$4:$G$207,G208,$H$4:$H$207,H208,$B$4:$B$207,"INGRESO")+SUMIFS($I$4:$I$207,$C$4:$C$207,C208,$D$4:$D$207,D208,$E$4:$E$207,E208,$F$4:$F$207,F208,$G$4:$G$207,G208,$H$4:$H$207,H208,$B$4:$B$207,"DE CORTE")-SUMIFS($I$4:$I$207,$C$4:$C$207,C208,$D$4:$D$207,D208,$E$4:$E$207,E208,$F$4:$F$207,F208,$G$4:$G$207,G208,$H$4:$H$207,H208,$B$4:$B$207,"SALIDA"),SUMIFS($I$4:$I$207,$C$4:$C$207,C208,$D$4:$D$207,D208,$E$4:$E$207,E208,$G$4:$G$207,G208,$H$4:$H$207,H208,$B$4:$B$207,"INGRESO")+SUMIFS($I$4:$I$207,$C$4:$C$207,C208,$D$4:$D$207,D208,$E$4:$E$207,E208,$G$4:$G$207,G208,$H$4:$H$207,H208,$B$4:$B$207,"DE CORTE")-SUMIFS($I$4:$I$207,$C$4:$C$207,C208,$D$4:$D$207,D208,$E$4:$E$207,E208,$G$4:$G$207,G208,$H$4:$H$207,H208,$B$4:$B$207,"SALIDA"))),0)</f>
        <v>0</v>
      </c>
      <c r="M208" s="13">
        <f t="shared" si="2"/>
        <v>0</v>
      </c>
      <c r="N208" s="14"/>
      <c r="O208" s="14"/>
      <c r="P208" s="15"/>
      <c r="Q208" s="14"/>
    </row>
    <row r="209" ht="15.75" customHeight="1">
      <c r="A209" s="7"/>
      <c r="B209" s="8"/>
      <c r="C209" s="8"/>
      <c r="D209" s="8"/>
      <c r="E209" s="8"/>
      <c r="F209" s="14"/>
      <c r="G209" s="8"/>
      <c r="H209" s="8"/>
      <c r="I209" s="9"/>
      <c r="J209" s="12" t="str">
        <f t="array" ref="J209:K209">IFERROR(INDEX(PRECIOS_COMPLEMENTOS!$C$4:$F$17,MATCH(D209&amp;"_"&amp;E209,PRECIOS_COMPLEMENTOS!$H$4:$H$17,0),IF(OR(H209="S",H209="20cm"),1,IF(OR(H209="M",H209="25cm"),2,IF(OR(H209="L",H209="30cm"),3,IF(OR(H209="XL",H209="35cm"),4,0))))),0)</f>
        <v>#REF!</v>
      </c>
      <c r="K209" s="12">
        <f t="shared" si="1"/>
        <v>0</v>
      </c>
      <c r="L209" s="13">
        <f>IFERROR(IF(C209="",0,IF(D209="PRETINA",SUMIFS($I$4:$I$208,$C$4:$C$208,C209,$D$4:$D$208,D209,$E$4:$E$208,E209,$F$4:$F$208,F209,$G$4:$G$208,G209,$H$4:$H$208,H209,$B$4:$B$208,"INGRESO")+SUMIFS($I$4:$I$208,$C$4:$C$208,C209,$D$4:$D$208,D209,$E$4:$E$208,E209,$F$4:$F$208,F209,$G$4:$G$208,G209,$H$4:$H$208,H209,$B$4:$B$208,"DE CORTE")-SUMIFS($I$4:$I$208,$C$4:$C$208,C209,$D$4:$D$208,D209,$E$4:$E$208,E209,$F$4:$F$208,F209,$G$4:$G$208,G209,$H$4:$H$208,H209,$B$4:$B$208,"SALIDA"),SUMIFS($I$4:$I$208,$C$4:$C$208,C209,$D$4:$D$208,D209,$E$4:$E$208,E209,$G$4:$G$208,G209,$H$4:$H$208,H209,$B$4:$B$208,"INGRESO")+SUMIFS($I$4:$I$208,$C$4:$C$208,C209,$D$4:$D$208,D209,$E$4:$E$208,E209,$G$4:$G$208,G209,$H$4:$H$208,H209,$B$4:$B$208,"DE CORTE")-SUMIFS($I$4:$I$208,$C$4:$C$208,C209,$D$4:$D$208,D209,$E$4:$E$208,E209,$G$4:$G$208,G209,$H$4:$H$208,H209,$B$4:$B$208,"SALIDA"))),0)</f>
        <v>0</v>
      </c>
      <c r="M209" s="13">
        <f t="shared" si="2"/>
        <v>0</v>
      </c>
      <c r="N209" s="14"/>
      <c r="O209" s="14"/>
      <c r="P209" s="15"/>
      <c r="Q209" s="14"/>
    </row>
    <row r="210" ht="15.75" customHeight="1">
      <c r="A210" s="7"/>
      <c r="B210" s="8"/>
      <c r="C210" s="8"/>
      <c r="D210" s="8"/>
      <c r="E210" s="8"/>
      <c r="F210" s="14"/>
      <c r="G210" s="8"/>
      <c r="H210" s="8"/>
      <c r="I210" s="9"/>
      <c r="J210" s="12" t="str">
        <f t="array" ref="J210:K210">IFERROR(INDEX(PRECIOS_COMPLEMENTOS!$C$4:$F$17,MATCH(D210&amp;"_"&amp;E210,PRECIOS_COMPLEMENTOS!$H$4:$H$17,0),IF(OR(H210="S",H210="20cm"),1,IF(OR(H210="M",H210="25cm"),2,IF(OR(H210="L",H210="30cm"),3,IF(OR(H210="XL",H210="35cm"),4,0))))),0)</f>
        <v>#REF!</v>
      </c>
      <c r="K210" s="12">
        <f t="shared" si="1"/>
        <v>0</v>
      </c>
      <c r="L210" s="13">
        <f>IFERROR(IF(C210="",0,IF(D210="PRETINA",SUMIFS($I$4:$I$209,$C$4:$C$209,C210,$D$4:$D$209,D210,$E$4:$E$209,E210,$F$4:$F$209,F210,$G$4:$G$209,G210,$H$4:$H$209,H210,$B$4:$B$209,"INGRESO")+SUMIFS($I$4:$I$209,$C$4:$C$209,C210,$D$4:$D$209,D210,$E$4:$E$209,E210,$F$4:$F$209,F210,$G$4:$G$209,G210,$H$4:$H$209,H210,$B$4:$B$209,"DE CORTE")-SUMIFS($I$4:$I$209,$C$4:$C$209,C210,$D$4:$D$209,D210,$E$4:$E$209,E210,$F$4:$F$209,F210,$G$4:$G$209,G210,$H$4:$H$209,H210,$B$4:$B$209,"SALIDA"),SUMIFS($I$4:$I$209,$C$4:$C$209,C210,$D$4:$D$209,D210,$E$4:$E$209,E210,$G$4:$G$209,G210,$H$4:$H$209,H210,$B$4:$B$209,"INGRESO")+SUMIFS($I$4:$I$209,$C$4:$C$209,C210,$D$4:$D$209,D210,$E$4:$E$209,E210,$G$4:$G$209,G210,$H$4:$H$209,H210,$B$4:$B$209,"DE CORTE")-SUMIFS($I$4:$I$209,$C$4:$C$209,C210,$D$4:$D$209,D210,$E$4:$E$209,E210,$G$4:$G$209,G210,$H$4:$H$209,H210,$B$4:$B$209,"SALIDA"))),0)</f>
        <v>0</v>
      </c>
      <c r="M210" s="13">
        <f t="shared" si="2"/>
        <v>0</v>
      </c>
      <c r="N210" s="14"/>
      <c r="O210" s="14"/>
      <c r="P210" s="15"/>
      <c r="Q210" s="14"/>
    </row>
    <row r="211" ht="15.75" customHeight="1">
      <c r="A211" s="7"/>
      <c r="B211" s="8"/>
      <c r="C211" s="8"/>
      <c r="D211" s="8"/>
      <c r="E211" s="8"/>
      <c r="F211" s="14"/>
      <c r="G211" s="8"/>
      <c r="H211" s="8"/>
      <c r="I211" s="9"/>
      <c r="J211" s="12" t="str">
        <f t="array" ref="J211:K211">IFERROR(INDEX(PRECIOS_COMPLEMENTOS!$C$4:$F$17,MATCH(D211&amp;"_"&amp;E211,PRECIOS_COMPLEMENTOS!$H$4:$H$17,0),IF(OR(H211="S",H211="20cm"),1,IF(OR(H211="M",H211="25cm"),2,IF(OR(H211="L",H211="30cm"),3,IF(OR(H211="XL",H211="35cm"),4,0))))),0)</f>
        <v>#REF!</v>
      </c>
      <c r="K211" s="12">
        <f t="shared" si="1"/>
        <v>0</v>
      </c>
      <c r="L211" s="13">
        <f>IFERROR(IF(C211="",0,IF(D211="PRETINA",SUMIFS($I$4:$I$210,$C$4:$C$210,C211,$D$4:$D$210,D211,$E$4:$E$210,E211,$F$4:$F$210,F211,$G$4:$G$210,G211,$H$4:$H$210,H211,$B$4:$B$210,"INGRESO")+SUMIFS($I$4:$I$210,$C$4:$C$210,C211,$D$4:$D$210,D211,$E$4:$E$210,E211,$F$4:$F$210,F211,$G$4:$G$210,G211,$H$4:$H$210,H211,$B$4:$B$210,"DE CORTE")-SUMIFS($I$4:$I$210,$C$4:$C$210,C211,$D$4:$D$210,D211,$E$4:$E$210,E211,$F$4:$F$210,F211,$G$4:$G$210,G211,$H$4:$H$210,H211,$B$4:$B$210,"SALIDA"),SUMIFS($I$4:$I$210,$C$4:$C$210,C211,$D$4:$D$210,D211,$E$4:$E$210,E211,$G$4:$G$210,G211,$H$4:$H$210,H211,$B$4:$B$210,"INGRESO")+SUMIFS($I$4:$I$210,$C$4:$C$210,C211,$D$4:$D$210,D211,$E$4:$E$210,E211,$G$4:$G$210,G211,$H$4:$H$210,H211,$B$4:$B$210,"DE CORTE")-SUMIFS($I$4:$I$210,$C$4:$C$210,C211,$D$4:$D$210,D211,$E$4:$E$210,E211,$G$4:$G$210,G211,$H$4:$H$210,H211,$B$4:$B$210,"SALIDA"))),0)</f>
        <v>0</v>
      </c>
      <c r="M211" s="13">
        <f t="shared" si="2"/>
        <v>0</v>
      </c>
      <c r="N211" s="14"/>
      <c r="O211" s="14"/>
      <c r="P211" s="15"/>
      <c r="Q211" s="14"/>
    </row>
    <row r="212" ht="15.75" customHeight="1">
      <c r="A212" s="7"/>
      <c r="B212" s="8"/>
      <c r="C212" s="8"/>
      <c r="D212" s="8"/>
      <c r="E212" s="8"/>
      <c r="F212" s="14"/>
      <c r="G212" s="8"/>
      <c r="H212" s="8"/>
      <c r="I212" s="9"/>
      <c r="J212" s="12" t="str">
        <f t="array" ref="J212:K212">IFERROR(INDEX(PRECIOS_COMPLEMENTOS!$C$4:$F$17,MATCH(D212&amp;"_"&amp;E212,PRECIOS_COMPLEMENTOS!$H$4:$H$17,0),IF(OR(H212="S",H212="20cm"),1,IF(OR(H212="M",H212="25cm"),2,IF(OR(H212="L",H212="30cm"),3,IF(OR(H212="XL",H212="35cm"),4,0))))),0)</f>
        <v>#REF!</v>
      </c>
      <c r="K212" s="12">
        <f t="shared" si="1"/>
        <v>0</v>
      </c>
      <c r="L212" s="13">
        <f>IFERROR(IF(C212="",0,IF(D212="PRETINA",SUMIFS($I$4:$I$211,$C$4:$C$211,C212,$D$4:$D$211,D212,$E$4:$E$211,E212,$F$4:$F$211,F212,$G$4:$G$211,G212,$H$4:$H$211,H212,$B$4:$B$211,"INGRESO")+SUMIFS($I$4:$I$211,$C$4:$C$211,C212,$D$4:$D$211,D212,$E$4:$E$211,E212,$F$4:$F$211,F212,$G$4:$G$211,G212,$H$4:$H$211,H212,$B$4:$B$211,"DE CORTE")-SUMIFS($I$4:$I$211,$C$4:$C$211,C212,$D$4:$D$211,D212,$E$4:$E$211,E212,$F$4:$F$211,F212,$G$4:$G$211,G212,$H$4:$H$211,H212,$B$4:$B$211,"SALIDA"),SUMIFS($I$4:$I$211,$C$4:$C$211,C212,$D$4:$D$211,D212,$E$4:$E$211,E212,$G$4:$G$211,G212,$H$4:$H$211,H212,$B$4:$B$211,"INGRESO")+SUMIFS($I$4:$I$211,$C$4:$C$211,C212,$D$4:$D$211,D212,$E$4:$E$211,E212,$G$4:$G$211,G212,$H$4:$H$211,H212,$B$4:$B$211,"DE CORTE")-SUMIFS($I$4:$I$211,$C$4:$C$211,C212,$D$4:$D$211,D212,$E$4:$E$211,E212,$G$4:$G$211,G212,$H$4:$H$211,H212,$B$4:$B$211,"SALIDA"))),0)</f>
        <v>0</v>
      </c>
      <c r="M212" s="13">
        <f t="shared" si="2"/>
        <v>0</v>
      </c>
      <c r="N212" s="14"/>
      <c r="O212" s="14"/>
      <c r="P212" s="15"/>
      <c r="Q212" s="14"/>
    </row>
    <row r="213" ht="15.75" customHeight="1">
      <c r="A213" s="7"/>
      <c r="B213" s="8"/>
      <c r="C213" s="8"/>
      <c r="D213" s="8"/>
      <c r="E213" s="8"/>
      <c r="F213" s="14"/>
      <c r="G213" s="8"/>
      <c r="H213" s="8"/>
      <c r="I213" s="9"/>
      <c r="J213" s="12" t="str">
        <f t="array" ref="J213:K213">IFERROR(INDEX(PRECIOS_COMPLEMENTOS!$C$4:$F$17,MATCH(D213&amp;"_"&amp;E213,PRECIOS_COMPLEMENTOS!$H$4:$H$17,0),IF(OR(H213="S",H213="20cm"),1,IF(OR(H213="M",H213="25cm"),2,IF(OR(H213="L",H213="30cm"),3,IF(OR(H213="XL",H213="35cm"),4,0))))),0)</f>
        <v>#REF!</v>
      </c>
      <c r="K213" s="12">
        <f t="shared" si="1"/>
        <v>0</v>
      </c>
      <c r="L213" s="13">
        <f>IFERROR(IF(C213="",0,IF(D213="PRETINA",SUMIFS($I$4:$I$212,$C$4:$C$212,C213,$D$4:$D$212,D213,$E$4:$E$212,E213,$F$4:$F$212,F213,$G$4:$G$212,G213,$H$4:$H$212,H213,$B$4:$B$212,"INGRESO")+SUMIFS($I$4:$I$212,$C$4:$C$212,C213,$D$4:$D$212,D213,$E$4:$E$212,E213,$F$4:$F$212,F213,$G$4:$G$212,G213,$H$4:$H$212,H213,$B$4:$B$212,"DE CORTE")-SUMIFS($I$4:$I$212,$C$4:$C$212,C213,$D$4:$D$212,D213,$E$4:$E$212,E213,$F$4:$F$212,F213,$G$4:$G$212,G213,$H$4:$H$212,H213,$B$4:$B$212,"SALIDA"),SUMIFS($I$4:$I$212,$C$4:$C$212,C213,$D$4:$D$212,D213,$E$4:$E$212,E213,$G$4:$G$212,G213,$H$4:$H$212,H213,$B$4:$B$212,"INGRESO")+SUMIFS($I$4:$I$212,$C$4:$C$212,C213,$D$4:$D$212,D213,$E$4:$E$212,E213,$G$4:$G$212,G213,$H$4:$H$212,H213,$B$4:$B$212,"DE CORTE")-SUMIFS($I$4:$I$212,$C$4:$C$212,C213,$D$4:$D$212,D213,$E$4:$E$212,E213,$G$4:$G$212,G213,$H$4:$H$212,H213,$B$4:$B$212,"SALIDA"))),0)</f>
        <v>0</v>
      </c>
      <c r="M213" s="13">
        <f t="shared" si="2"/>
        <v>0</v>
      </c>
      <c r="N213" s="14"/>
      <c r="O213" s="14"/>
      <c r="P213" s="15"/>
      <c r="Q213" s="14"/>
    </row>
    <row r="214" ht="15.75" customHeight="1">
      <c r="A214" s="7"/>
      <c r="B214" s="8"/>
      <c r="C214" s="8"/>
      <c r="D214" s="8"/>
      <c r="E214" s="8"/>
      <c r="F214" s="14"/>
      <c r="G214" s="8"/>
      <c r="H214" s="8"/>
      <c r="I214" s="9"/>
      <c r="J214" s="12" t="str">
        <f t="array" ref="J214:K214">IFERROR(INDEX(PRECIOS_COMPLEMENTOS!$C$4:$F$17,MATCH(D214&amp;"_"&amp;E214,PRECIOS_COMPLEMENTOS!$H$4:$H$17,0),IF(OR(H214="S",H214="20cm"),1,IF(OR(H214="M",H214="25cm"),2,IF(OR(H214="L",H214="30cm"),3,IF(OR(H214="XL",H214="35cm"),4,0))))),0)</f>
        <v>#REF!</v>
      </c>
      <c r="K214" s="12">
        <f t="shared" si="1"/>
        <v>0</v>
      </c>
      <c r="L214" s="13">
        <f>IFERROR(IF(C214="",0,IF(D214="PRETINA",SUMIFS($I$4:$I$213,$C$4:$C$213,C214,$D$4:$D$213,D214,$E$4:$E$213,E214,$F$4:$F$213,F214,$G$4:$G$213,G214,$H$4:$H$213,H214,$B$4:$B$213,"INGRESO")+SUMIFS($I$4:$I$213,$C$4:$C$213,C214,$D$4:$D$213,D214,$E$4:$E$213,E214,$F$4:$F$213,F214,$G$4:$G$213,G214,$H$4:$H$213,H214,$B$4:$B$213,"DE CORTE")-SUMIFS($I$4:$I$213,$C$4:$C$213,C214,$D$4:$D$213,D214,$E$4:$E$213,E214,$F$4:$F$213,F214,$G$4:$G$213,G214,$H$4:$H$213,H214,$B$4:$B$213,"SALIDA"),SUMIFS($I$4:$I$213,$C$4:$C$213,C214,$D$4:$D$213,D214,$E$4:$E$213,E214,$G$4:$G$213,G214,$H$4:$H$213,H214,$B$4:$B$213,"INGRESO")+SUMIFS($I$4:$I$213,$C$4:$C$213,C214,$D$4:$D$213,D214,$E$4:$E$213,E214,$G$4:$G$213,G214,$H$4:$H$213,H214,$B$4:$B$213,"DE CORTE")-SUMIFS($I$4:$I$213,$C$4:$C$213,C214,$D$4:$D$213,D214,$E$4:$E$213,E214,$G$4:$G$213,G214,$H$4:$H$213,H214,$B$4:$B$213,"SALIDA"))),0)</f>
        <v>0</v>
      </c>
      <c r="M214" s="13">
        <f t="shared" si="2"/>
        <v>0</v>
      </c>
      <c r="N214" s="14"/>
      <c r="O214" s="14"/>
      <c r="P214" s="15"/>
      <c r="Q214" s="14"/>
    </row>
    <row r="215" ht="15.75" customHeight="1">
      <c r="A215" s="7"/>
      <c r="B215" s="8"/>
      <c r="C215" s="8"/>
      <c r="D215" s="8"/>
      <c r="E215" s="8"/>
      <c r="F215" s="14"/>
      <c r="G215" s="8"/>
      <c r="H215" s="8"/>
      <c r="I215" s="9"/>
      <c r="J215" s="12" t="str">
        <f t="array" ref="J215:K215">IFERROR(INDEX(PRECIOS_COMPLEMENTOS!$C$4:$F$17,MATCH(D215&amp;"_"&amp;E215,PRECIOS_COMPLEMENTOS!$H$4:$H$17,0),IF(OR(H215="S",H215="20cm"),1,IF(OR(H215="M",H215="25cm"),2,IF(OR(H215="L",H215="30cm"),3,IF(OR(H215="XL",H215="35cm"),4,0))))),0)</f>
        <v>#REF!</v>
      </c>
      <c r="K215" s="12">
        <f t="shared" si="1"/>
        <v>0</v>
      </c>
      <c r="L215" s="13">
        <f>IFERROR(IF(C215="",0,IF(D215="PRETINA",SUMIFS($I$4:$I$214,$C$4:$C$214,C215,$D$4:$D$214,D215,$E$4:$E$214,E215,$F$4:$F$214,F215,$G$4:$G$214,G215,$H$4:$H$214,H215,$B$4:$B$214,"INGRESO")+SUMIFS($I$4:$I$214,$C$4:$C$214,C215,$D$4:$D$214,D215,$E$4:$E$214,E215,$F$4:$F$214,F215,$G$4:$G$214,G215,$H$4:$H$214,H215,$B$4:$B$214,"DE CORTE")-SUMIFS($I$4:$I$214,$C$4:$C$214,C215,$D$4:$D$214,D215,$E$4:$E$214,E215,$F$4:$F$214,F215,$G$4:$G$214,G215,$H$4:$H$214,H215,$B$4:$B$214,"SALIDA"),SUMIFS($I$4:$I$214,$C$4:$C$214,C215,$D$4:$D$214,D215,$E$4:$E$214,E215,$G$4:$G$214,G215,$H$4:$H$214,H215,$B$4:$B$214,"INGRESO")+SUMIFS($I$4:$I$214,$C$4:$C$214,C215,$D$4:$D$214,D215,$E$4:$E$214,E215,$G$4:$G$214,G215,$H$4:$H$214,H215,$B$4:$B$214,"DE CORTE")-SUMIFS($I$4:$I$214,$C$4:$C$214,C215,$D$4:$D$214,D215,$E$4:$E$214,E215,$G$4:$G$214,G215,$H$4:$H$214,H215,$B$4:$B$214,"SALIDA"))),0)</f>
        <v>0</v>
      </c>
      <c r="M215" s="13">
        <f t="shared" si="2"/>
        <v>0</v>
      </c>
      <c r="N215" s="14"/>
      <c r="O215" s="14"/>
      <c r="P215" s="15"/>
      <c r="Q215" s="14"/>
    </row>
    <row r="216" ht="15.75" customHeight="1">
      <c r="A216" s="7"/>
      <c r="B216" s="8"/>
      <c r="C216" s="8"/>
      <c r="D216" s="8"/>
      <c r="E216" s="8"/>
      <c r="F216" s="14"/>
      <c r="G216" s="8"/>
      <c r="H216" s="8"/>
      <c r="I216" s="9"/>
      <c r="J216" s="12" t="str">
        <f t="array" ref="J216:K216">IFERROR(INDEX(PRECIOS_COMPLEMENTOS!$C$4:$F$17,MATCH(D216&amp;"_"&amp;E216,PRECIOS_COMPLEMENTOS!$H$4:$H$17,0),IF(OR(H216="S",H216="20cm"),1,IF(OR(H216="M",H216="25cm"),2,IF(OR(H216="L",H216="30cm"),3,IF(OR(H216="XL",H216="35cm"),4,0))))),0)</f>
        <v>#REF!</v>
      </c>
      <c r="K216" s="12">
        <f t="shared" si="1"/>
        <v>0</v>
      </c>
      <c r="L216" s="13">
        <f>IFERROR(IF(C216="",0,IF(D216="PRETINA",SUMIFS($I$4:$I$215,$C$4:$C$215,C216,$D$4:$D$215,D216,$E$4:$E$215,E216,$F$4:$F$215,F216,$G$4:$G$215,G216,$H$4:$H$215,H216,$B$4:$B$215,"INGRESO")+SUMIFS($I$4:$I$215,$C$4:$C$215,C216,$D$4:$D$215,D216,$E$4:$E$215,E216,$F$4:$F$215,F216,$G$4:$G$215,G216,$H$4:$H$215,H216,$B$4:$B$215,"DE CORTE")-SUMIFS($I$4:$I$215,$C$4:$C$215,C216,$D$4:$D$215,D216,$E$4:$E$215,E216,$F$4:$F$215,F216,$G$4:$G$215,G216,$H$4:$H$215,H216,$B$4:$B$215,"SALIDA"),SUMIFS($I$4:$I$215,$C$4:$C$215,C216,$D$4:$D$215,D216,$E$4:$E$215,E216,$G$4:$G$215,G216,$H$4:$H$215,H216,$B$4:$B$215,"INGRESO")+SUMIFS($I$4:$I$215,$C$4:$C$215,C216,$D$4:$D$215,D216,$E$4:$E$215,E216,$G$4:$G$215,G216,$H$4:$H$215,H216,$B$4:$B$215,"DE CORTE")-SUMIFS($I$4:$I$215,$C$4:$C$215,C216,$D$4:$D$215,D216,$E$4:$E$215,E216,$G$4:$G$215,G216,$H$4:$H$215,H216,$B$4:$B$215,"SALIDA"))),0)</f>
        <v>0</v>
      </c>
      <c r="M216" s="13">
        <f t="shared" si="2"/>
        <v>0</v>
      </c>
      <c r="N216" s="14"/>
      <c r="O216" s="14"/>
      <c r="P216" s="15"/>
      <c r="Q216" s="14"/>
    </row>
    <row r="217" ht="15.75" customHeight="1">
      <c r="A217" s="7"/>
      <c r="B217" s="8"/>
      <c r="C217" s="8"/>
      <c r="D217" s="8"/>
      <c r="E217" s="8"/>
      <c r="F217" s="14"/>
      <c r="G217" s="8"/>
      <c r="H217" s="8"/>
      <c r="I217" s="9"/>
      <c r="J217" s="12" t="str">
        <f t="array" ref="J217:K217">IFERROR(INDEX(PRECIOS_COMPLEMENTOS!$C$4:$F$17,MATCH(D217&amp;"_"&amp;E217,PRECIOS_COMPLEMENTOS!$H$4:$H$17,0),IF(OR(H217="S",H217="20cm"),1,IF(OR(H217="M",H217="25cm"),2,IF(OR(H217="L",H217="30cm"),3,IF(OR(H217="XL",H217="35cm"),4,0))))),0)</f>
        <v>#REF!</v>
      </c>
      <c r="K217" s="12">
        <f t="shared" si="1"/>
        <v>0</v>
      </c>
      <c r="L217" s="13">
        <f>IFERROR(IF(C217="",0,IF(D217="PRETINA",SUMIFS($I$4:$I$216,$C$4:$C$216,C217,$D$4:$D$216,D217,$E$4:$E$216,E217,$F$4:$F$216,F217,$G$4:$G$216,G217,$H$4:$H$216,H217,$B$4:$B$216,"INGRESO")+SUMIFS($I$4:$I$216,$C$4:$C$216,C217,$D$4:$D$216,D217,$E$4:$E$216,E217,$F$4:$F$216,F217,$G$4:$G$216,G217,$H$4:$H$216,H217,$B$4:$B$216,"DE CORTE")-SUMIFS($I$4:$I$216,$C$4:$C$216,C217,$D$4:$D$216,D217,$E$4:$E$216,E217,$F$4:$F$216,F217,$G$4:$G$216,G217,$H$4:$H$216,H217,$B$4:$B$216,"SALIDA"),SUMIFS($I$4:$I$216,$C$4:$C$216,C217,$D$4:$D$216,D217,$E$4:$E$216,E217,$G$4:$G$216,G217,$H$4:$H$216,H217,$B$4:$B$216,"INGRESO")+SUMIFS($I$4:$I$216,$C$4:$C$216,C217,$D$4:$D$216,D217,$E$4:$E$216,E217,$G$4:$G$216,G217,$H$4:$H$216,H217,$B$4:$B$216,"DE CORTE")-SUMIFS($I$4:$I$216,$C$4:$C$216,C217,$D$4:$D$216,D217,$E$4:$E$216,E217,$G$4:$G$216,G217,$H$4:$H$216,H217,$B$4:$B$216,"SALIDA"))),0)</f>
        <v>0</v>
      </c>
      <c r="M217" s="13">
        <f t="shared" si="2"/>
        <v>0</v>
      </c>
      <c r="N217" s="14"/>
      <c r="O217" s="14"/>
      <c r="P217" s="15"/>
      <c r="Q217" s="14"/>
    </row>
    <row r="218" ht="15.75" customHeight="1">
      <c r="A218" s="7"/>
      <c r="B218" s="8"/>
      <c r="C218" s="8"/>
      <c r="D218" s="8"/>
      <c r="E218" s="8"/>
      <c r="F218" s="14"/>
      <c r="G218" s="8"/>
      <c r="H218" s="8"/>
      <c r="I218" s="9"/>
      <c r="J218" s="12" t="str">
        <f t="array" ref="J218:K218">IFERROR(INDEX(PRECIOS_COMPLEMENTOS!$C$4:$F$17,MATCH(D218&amp;"_"&amp;E218,PRECIOS_COMPLEMENTOS!$H$4:$H$17,0),IF(OR(H218="S",H218="20cm"),1,IF(OR(H218="M",H218="25cm"),2,IF(OR(H218="L",H218="30cm"),3,IF(OR(H218="XL",H218="35cm"),4,0))))),0)</f>
        <v>#REF!</v>
      </c>
      <c r="K218" s="12">
        <f t="shared" si="1"/>
        <v>0</v>
      </c>
      <c r="L218" s="13">
        <f>IFERROR(IF(C218="",0,IF(D218="PRETINA",SUMIFS($I$4:$I$217,$C$4:$C$217,C218,$D$4:$D$217,D218,$E$4:$E$217,E218,$F$4:$F$217,F218,$G$4:$G$217,G218,$H$4:$H$217,H218,$B$4:$B$217,"INGRESO")+SUMIFS($I$4:$I$217,$C$4:$C$217,C218,$D$4:$D$217,D218,$E$4:$E$217,E218,$F$4:$F$217,F218,$G$4:$G$217,G218,$H$4:$H$217,H218,$B$4:$B$217,"DE CORTE")-SUMIFS($I$4:$I$217,$C$4:$C$217,C218,$D$4:$D$217,D218,$E$4:$E$217,E218,$F$4:$F$217,F218,$G$4:$G$217,G218,$H$4:$H$217,H218,$B$4:$B$217,"SALIDA"),SUMIFS($I$4:$I$217,$C$4:$C$217,C218,$D$4:$D$217,D218,$E$4:$E$217,E218,$G$4:$G$217,G218,$H$4:$H$217,H218,$B$4:$B$217,"INGRESO")+SUMIFS($I$4:$I$217,$C$4:$C$217,C218,$D$4:$D$217,D218,$E$4:$E$217,E218,$G$4:$G$217,G218,$H$4:$H$217,H218,$B$4:$B$217,"DE CORTE")-SUMIFS($I$4:$I$217,$C$4:$C$217,C218,$D$4:$D$217,D218,$E$4:$E$217,E218,$G$4:$G$217,G218,$H$4:$H$217,H218,$B$4:$B$217,"SALIDA"))),0)</f>
        <v>0</v>
      </c>
      <c r="M218" s="13">
        <f t="shared" si="2"/>
        <v>0</v>
      </c>
      <c r="N218" s="14"/>
      <c r="O218" s="14"/>
      <c r="P218" s="15"/>
      <c r="Q218" s="14"/>
    </row>
    <row r="219" ht="15.75" customHeight="1">
      <c r="A219" s="7"/>
      <c r="B219" s="8"/>
      <c r="C219" s="8"/>
      <c r="D219" s="8"/>
      <c r="E219" s="8"/>
      <c r="F219" s="14"/>
      <c r="G219" s="8"/>
      <c r="H219" s="8"/>
      <c r="I219" s="9"/>
      <c r="J219" s="12" t="str">
        <f t="array" ref="J219:K219">IFERROR(INDEX(PRECIOS_COMPLEMENTOS!$C$4:$F$17,MATCH(D219&amp;"_"&amp;E219,PRECIOS_COMPLEMENTOS!$H$4:$H$17,0),IF(OR(H219="S",H219="20cm"),1,IF(OR(H219="M",H219="25cm"),2,IF(OR(H219="L",H219="30cm"),3,IF(OR(H219="XL",H219="35cm"),4,0))))),0)</f>
        <v>#REF!</v>
      </c>
      <c r="K219" s="12">
        <f t="shared" si="1"/>
        <v>0</v>
      </c>
      <c r="L219" s="13">
        <f>IFERROR(IF(C219="",0,IF(D219="PRETINA",SUMIFS($I$4:$I$218,$C$4:$C$218,C219,$D$4:$D$218,D219,$E$4:$E$218,E219,$F$4:$F$218,F219,$G$4:$G$218,G219,$H$4:$H$218,H219,$B$4:$B$218,"INGRESO")+SUMIFS($I$4:$I$218,$C$4:$C$218,C219,$D$4:$D$218,D219,$E$4:$E$218,E219,$F$4:$F$218,F219,$G$4:$G$218,G219,$H$4:$H$218,H219,$B$4:$B$218,"DE CORTE")-SUMIFS($I$4:$I$218,$C$4:$C$218,C219,$D$4:$D$218,D219,$E$4:$E$218,E219,$F$4:$F$218,F219,$G$4:$G$218,G219,$H$4:$H$218,H219,$B$4:$B$218,"SALIDA"),SUMIFS($I$4:$I$218,$C$4:$C$218,C219,$D$4:$D$218,D219,$E$4:$E$218,E219,$G$4:$G$218,G219,$H$4:$H$218,H219,$B$4:$B$218,"INGRESO")+SUMIFS($I$4:$I$218,$C$4:$C$218,C219,$D$4:$D$218,D219,$E$4:$E$218,E219,$G$4:$G$218,G219,$H$4:$H$218,H219,$B$4:$B$218,"DE CORTE")-SUMIFS($I$4:$I$218,$C$4:$C$218,C219,$D$4:$D$218,D219,$E$4:$E$218,E219,$G$4:$G$218,G219,$H$4:$H$218,H219,$B$4:$B$218,"SALIDA"))),0)</f>
        <v>0</v>
      </c>
      <c r="M219" s="13">
        <f t="shared" si="2"/>
        <v>0</v>
      </c>
      <c r="N219" s="14"/>
      <c r="O219" s="14"/>
      <c r="P219" s="15"/>
      <c r="Q219" s="14"/>
    </row>
    <row r="220" ht="15.75" customHeight="1">
      <c r="A220" s="7"/>
      <c r="B220" s="8"/>
      <c r="C220" s="8"/>
      <c r="D220" s="8"/>
      <c r="E220" s="8"/>
      <c r="F220" s="14"/>
      <c r="G220" s="8"/>
      <c r="H220" s="8"/>
      <c r="I220" s="9"/>
      <c r="J220" s="12" t="str">
        <f t="array" ref="J220:K220">IFERROR(INDEX(PRECIOS_COMPLEMENTOS!$C$4:$F$17,MATCH(D220&amp;"_"&amp;E220,PRECIOS_COMPLEMENTOS!$H$4:$H$17,0),IF(OR(H220="S",H220="20cm"),1,IF(OR(H220="M",H220="25cm"),2,IF(OR(H220="L",H220="30cm"),3,IF(OR(H220="XL",H220="35cm"),4,0))))),0)</f>
        <v>#REF!</v>
      </c>
      <c r="K220" s="12">
        <f t="shared" si="1"/>
        <v>0</v>
      </c>
      <c r="L220" s="13">
        <f>IFERROR(IF(C220="",0,IF(D220="PRETINA",SUMIFS($I$4:$I$219,$C$4:$C$219,C220,$D$4:$D$219,D220,$E$4:$E$219,E220,$F$4:$F$219,F220,$G$4:$G$219,G220,$H$4:$H$219,H220,$B$4:$B$219,"INGRESO")+SUMIFS($I$4:$I$219,$C$4:$C$219,C220,$D$4:$D$219,D220,$E$4:$E$219,E220,$F$4:$F$219,F220,$G$4:$G$219,G220,$H$4:$H$219,H220,$B$4:$B$219,"DE CORTE")-SUMIFS($I$4:$I$219,$C$4:$C$219,C220,$D$4:$D$219,D220,$E$4:$E$219,E220,$F$4:$F$219,F220,$G$4:$G$219,G220,$H$4:$H$219,H220,$B$4:$B$219,"SALIDA"),SUMIFS($I$4:$I$219,$C$4:$C$219,C220,$D$4:$D$219,D220,$E$4:$E$219,E220,$G$4:$G$219,G220,$H$4:$H$219,H220,$B$4:$B$219,"INGRESO")+SUMIFS($I$4:$I$219,$C$4:$C$219,C220,$D$4:$D$219,D220,$E$4:$E$219,E220,$G$4:$G$219,G220,$H$4:$H$219,H220,$B$4:$B$219,"DE CORTE")-SUMIFS($I$4:$I$219,$C$4:$C$219,C220,$D$4:$D$219,D220,$E$4:$E$219,E220,$G$4:$G$219,G220,$H$4:$H$219,H220,$B$4:$B$219,"SALIDA"))),0)</f>
        <v>0</v>
      </c>
      <c r="M220" s="13">
        <f t="shared" si="2"/>
        <v>0</v>
      </c>
      <c r="N220" s="14"/>
      <c r="O220" s="14"/>
      <c r="P220" s="15"/>
      <c r="Q220" s="14"/>
    </row>
    <row r="221" ht="15.75" customHeight="1">
      <c r="A221" s="7"/>
      <c r="B221" s="8"/>
      <c r="C221" s="8"/>
      <c r="D221" s="8"/>
      <c r="E221" s="8"/>
      <c r="F221" s="14"/>
      <c r="G221" s="8"/>
      <c r="H221" s="8"/>
      <c r="I221" s="9"/>
      <c r="J221" s="12" t="str">
        <f t="array" ref="J221:K221">IFERROR(INDEX(PRECIOS_COMPLEMENTOS!$C$4:$F$17,MATCH(D221&amp;"_"&amp;E221,PRECIOS_COMPLEMENTOS!$H$4:$H$17,0),IF(OR(H221="S",H221="20cm"),1,IF(OR(H221="M",H221="25cm"),2,IF(OR(H221="L",H221="30cm"),3,IF(OR(H221="XL",H221="35cm"),4,0))))),0)</f>
        <v>#REF!</v>
      </c>
      <c r="K221" s="12">
        <f t="shared" si="1"/>
        <v>0</v>
      </c>
      <c r="L221" s="13">
        <f>IFERROR(IF(C221="",0,IF(D221="PRETINA",SUMIFS($I$4:$I$220,$C$4:$C$220,C221,$D$4:$D$220,D221,$E$4:$E$220,E221,$F$4:$F$220,F221,$G$4:$G$220,G221,$H$4:$H$220,H221,$B$4:$B$220,"INGRESO")+SUMIFS($I$4:$I$220,$C$4:$C$220,C221,$D$4:$D$220,D221,$E$4:$E$220,E221,$F$4:$F$220,F221,$G$4:$G$220,G221,$H$4:$H$220,H221,$B$4:$B$220,"DE CORTE")-SUMIFS($I$4:$I$220,$C$4:$C$220,C221,$D$4:$D$220,D221,$E$4:$E$220,E221,$F$4:$F$220,F221,$G$4:$G$220,G221,$H$4:$H$220,H221,$B$4:$B$220,"SALIDA"),SUMIFS($I$4:$I$220,$C$4:$C$220,C221,$D$4:$D$220,D221,$E$4:$E$220,E221,$G$4:$G$220,G221,$H$4:$H$220,H221,$B$4:$B$220,"INGRESO")+SUMIFS($I$4:$I$220,$C$4:$C$220,C221,$D$4:$D$220,D221,$E$4:$E$220,E221,$G$4:$G$220,G221,$H$4:$H$220,H221,$B$4:$B$220,"DE CORTE")-SUMIFS($I$4:$I$220,$C$4:$C$220,C221,$D$4:$D$220,D221,$E$4:$E$220,E221,$G$4:$G$220,G221,$H$4:$H$220,H221,$B$4:$B$220,"SALIDA"))),0)</f>
        <v>0</v>
      </c>
      <c r="M221" s="13">
        <f t="shared" si="2"/>
        <v>0</v>
      </c>
      <c r="N221" s="14"/>
      <c r="O221" s="14"/>
      <c r="P221" s="15"/>
      <c r="Q221" s="14"/>
    </row>
    <row r="222" ht="15.75" customHeight="1">
      <c r="A222" s="7"/>
      <c r="B222" s="8"/>
      <c r="C222" s="8"/>
      <c r="D222" s="8"/>
      <c r="E222" s="8"/>
      <c r="F222" s="14"/>
      <c r="G222" s="8"/>
      <c r="H222" s="8"/>
      <c r="I222" s="9"/>
      <c r="J222" s="12" t="str">
        <f t="array" ref="J222:K222">IFERROR(INDEX(PRECIOS_COMPLEMENTOS!$C$4:$F$17,MATCH(D222&amp;"_"&amp;E222,PRECIOS_COMPLEMENTOS!$H$4:$H$17,0),IF(OR(H222="S",H222="20cm"),1,IF(OR(H222="M",H222="25cm"),2,IF(OR(H222="L",H222="30cm"),3,IF(OR(H222="XL",H222="35cm"),4,0))))),0)</f>
        <v>#REF!</v>
      </c>
      <c r="K222" s="12">
        <f t="shared" si="1"/>
        <v>0</v>
      </c>
      <c r="L222" s="13">
        <f>IFERROR(IF(C222="",0,IF(D222="PRETINA",SUMIFS($I$4:$I$221,$C$4:$C$221,C222,$D$4:$D$221,D222,$E$4:$E$221,E222,$F$4:$F$221,F222,$G$4:$G$221,G222,$H$4:$H$221,H222,$B$4:$B$221,"INGRESO")+SUMIFS($I$4:$I$221,$C$4:$C$221,C222,$D$4:$D$221,D222,$E$4:$E$221,E222,$F$4:$F$221,F222,$G$4:$G$221,G222,$H$4:$H$221,H222,$B$4:$B$221,"DE CORTE")-SUMIFS($I$4:$I$221,$C$4:$C$221,C222,$D$4:$D$221,D222,$E$4:$E$221,E222,$F$4:$F$221,F222,$G$4:$G$221,G222,$H$4:$H$221,H222,$B$4:$B$221,"SALIDA"),SUMIFS($I$4:$I$221,$C$4:$C$221,C222,$D$4:$D$221,D222,$E$4:$E$221,E222,$G$4:$G$221,G222,$H$4:$H$221,H222,$B$4:$B$221,"INGRESO")+SUMIFS($I$4:$I$221,$C$4:$C$221,C222,$D$4:$D$221,D222,$E$4:$E$221,E222,$G$4:$G$221,G222,$H$4:$H$221,H222,$B$4:$B$221,"DE CORTE")-SUMIFS($I$4:$I$221,$C$4:$C$221,C222,$D$4:$D$221,D222,$E$4:$E$221,E222,$G$4:$G$221,G222,$H$4:$H$221,H222,$B$4:$B$221,"SALIDA"))),0)</f>
        <v>0</v>
      </c>
      <c r="M222" s="13">
        <f t="shared" si="2"/>
        <v>0</v>
      </c>
      <c r="N222" s="14"/>
      <c r="O222" s="14"/>
      <c r="P222" s="15"/>
      <c r="Q222" s="14"/>
    </row>
    <row r="223" ht="15.75" customHeight="1">
      <c r="A223" s="7"/>
      <c r="B223" s="8"/>
      <c r="C223" s="8"/>
      <c r="D223" s="8"/>
      <c r="E223" s="8"/>
      <c r="F223" s="14"/>
      <c r="G223" s="8"/>
      <c r="H223" s="8"/>
      <c r="I223" s="9"/>
      <c r="J223" s="12" t="str">
        <f t="array" ref="J223:K223">IFERROR(INDEX(PRECIOS_COMPLEMENTOS!$C$4:$F$17,MATCH(D223&amp;"_"&amp;E223,PRECIOS_COMPLEMENTOS!$H$4:$H$17,0),IF(OR(H223="S",H223="20cm"),1,IF(OR(H223="M",H223="25cm"),2,IF(OR(H223="L",H223="30cm"),3,IF(OR(H223="XL",H223="35cm"),4,0))))),0)</f>
        <v>#REF!</v>
      </c>
      <c r="K223" s="12">
        <f t="shared" si="1"/>
        <v>0</v>
      </c>
      <c r="L223" s="13">
        <f>IFERROR(IF(C223="",0,IF(D223="PRETINA",SUMIFS($I$4:$I$222,$C$4:$C$222,C223,$D$4:$D$222,D223,$E$4:$E$222,E223,$F$4:$F$222,F223,$G$4:$G$222,G223,$H$4:$H$222,H223,$B$4:$B$222,"INGRESO")+SUMIFS($I$4:$I$222,$C$4:$C$222,C223,$D$4:$D$222,D223,$E$4:$E$222,E223,$F$4:$F$222,F223,$G$4:$G$222,G223,$H$4:$H$222,H223,$B$4:$B$222,"DE CORTE")-SUMIFS($I$4:$I$222,$C$4:$C$222,C223,$D$4:$D$222,D223,$E$4:$E$222,E223,$F$4:$F$222,F223,$G$4:$G$222,G223,$H$4:$H$222,H223,$B$4:$B$222,"SALIDA"),SUMIFS($I$4:$I$222,$C$4:$C$222,C223,$D$4:$D$222,D223,$E$4:$E$222,E223,$G$4:$G$222,G223,$H$4:$H$222,H223,$B$4:$B$222,"INGRESO")+SUMIFS($I$4:$I$222,$C$4:$C$222,C223,$D$4:$D$222,D223,$E$4:$E$222,E223,$G$4:$G$222,G223,$H$4:$H$222,H223,$B$4:$B$222,"DE CORTE")-SUMIFS($I$4:$I$222,$C$4:$C$222,C223,$D$4:$D$222,D223,$E$4:$E$222,E223,$G$4:$G$222,G223,$H$4:$H$222,H223,$B$4:$B$222,"SALIDA"))),0)</f>
        <v>0</v>
      </c>
      <c r="M223" s="13">
        <f t="shared" si="2"/>
        <v>0</v>
      </c>
      <c r="N223" s="14"/>
      <c r="O223" s="14"/>
      <c r="P223" s="15"/>
      <c r="Q223" s="14"/>
    </row>
    <row r="224" ht="15.75" customHeight="1">
      <c r="A224" s="7"/>
      <c r="B224" s="8"/>
      <c r="C224" s="8"/>
      <c r="D224" s="8"/>
      <c r="E224" s="8"/>
      <c r="F224" s="14"/>
      <c r="G224" s="8"/>
      <c r="H224" s="8"/>
      <c r="I224" s="9"/>
      <c r="J224" s="12" t="str">
        <f t="array" ref="J224:K224">IFERROR(INDEX(PRECIOS_COMPLEMENTOS!$C$4:$F$17,MATCH(D224&amp;"_"&amp;E224,PRECIOS_COMPLEMENTOS!$H$4:$H$17,0),IF(OR(H224="S",H224="20cm"),1,IF(OR(H224="M",H224="25cm"),2,IF(OR(H224="L",H224="30cm"),3,IF(OR(H224="XL",H224="35cm"),4,0))))),0)</f>
        <v>#REF!</v>
      </c>
      <c r="K224" s="12">
        <f t="shared" si="1"/>
        <v>0</v>
      </c>
      <c r="L224" s="13">
        <f>IFERROR(IF(C224="",0,IF(D224="PRETINA",SUMIFS($I$4:$I$223,$C$4:$C$223,C224,$D$4:$D$223,D224,$E$4:$E$223,E224,$F$4:$F$223,F224,$G$4:$G$223,G224,$H$4:$H$223,H224,$B$4:$B$223,"INGRESO")+SUMIFS($I$4:$I$223,$C$4:$C$223,C224,$D$4:$D$223,D224,$E$4:$E$223,E224,$F$4:$F$223,F224,$G$4:$G$223,G224,$H$4:$H$223,H224,$B$4:$B$223,"DE CORTE")-SUMIFS($I$4:$I$223,$C$4:$C$223,C224,$D$4:$D$223,D224,$E$4:$E$223,E224,$F$4:$F$223,F224,$G$4:$G$223,G224,$H$4:$H$223,H224,$B$4:$B$223,"SALIDA"),SUMIFS($I$4:$I$223,$C$4:$C$223,C224,$D$4:$D$223,D224,$E$4:$E$223,E224,$G$4:$G$223,G224,$H$4:$H$223,H224,$B$4:$B$223,"INGRESO")+SUMIFS($I$4:$I$223,$C$4:$C$223,C224,$D$4:$D$223,D224,$E$4:$E$223,E224,$G$4:$G$223,G224,$H$4:$H$223,H224,$B$4:$B$223,"DE CORTE")-SUMIFS($I$4:$I$223,$C$4:$C$223,C224,$D$4:$D$223,D224,$E$4:$E$223,E224,$G$4:$G$223,G224,$H$4:$H$223,H224,$B$4:$B$223,"SALIDA"))),0)</f>
        <v>0</v>
      </c>
      <c r="M224" s="13">
        <f t="shared" si="2"/>
        <v>0</v>
      </c>
      <c r="N224" s="14"/>
      <c r="O224" s="14"/>
      <c r="P224" s="15"/>
      <c r="Q224" s="14"/>
    </row>
    <row r="225" ht="15.75" customHeight="1">
      <c r="A225" s="7"/>
      <c r="B225" s="8"/>
      <c r="C225" s="8"/>
      <c r="D225" s="8"/>
      <c r="E225" s="8"/>
      <c r="F225" s="14"/>
      <c r="G225" s="8"/>
      <c r="H225" s="8"/>
      <c r="I225" s="9"/>
      <c r="J225" s="12" t="str">
        <f t="array" ref="J225:K225">IFERROR(INDEX(PRECIOS_COMPLEMENTOS!$C$4:$F$17,MATCH(D225&amp;"_"&amp;E225,PRECIOS_COMPLEMENTOS!$H$4:$H$17,0),IF(OR(H225="S",H225="20cm"),1,IF(OR(H225="M",H225="25cm"),2,IF(OR(H225="L",H225="30cm"),3,IF(OR(H225="XL",H225="35cm"),4,0))))),0)</f>
        <v>#REF!</v>
      </c>
      <c r="K225" s="12">
        <f t="shared" si="1"/>
        <v>0</v>
      </c>
      <c r="L225" s="13">
        <f>IFERROR(IF(C225="",0,IF(D225="PRETINA",SUMIFS($I$4:$I$224,$C$4:$C$224,C225,$D$4:$D$224,D225,$E$4:$E$224,E225,$F$4:$F$224,F225,$G$4:$G$224,G225,$H$4:$H$224,H225,$B$4:$B$224,"INGRESO")+SUMIFS($I$4:$I$224,$C$4:$C$224,C225,$D$4:$D$224,D225,$E$4:$E$224,E225,$F$4:$F$224,F225,$G$4:$G$224,G225,$H$4:$H$224,H225,$B$4:$B$224,"DE CORTE")-SUMIFS($I$4:$I$224,$C$4:$C$224,C225,$D$4:$D$224,D225,$E$4:$E$224,E225,$F$4:$F$224,F225,$G$4:$G$224,G225,$H$4:$H$224,H225,$B$4:$B$224,"SALIDA"),SUMIFS($I$4:$I$224,$C$4:$C$224,C225,$D$4:$D$224,D225,$E$4:$E$224,E225,$G$4:$G$224,G225,$H$4:$H$224,H225,$B$4:$B$224,"INGRESO")+SUMIFS($I$4:$I$224,$C$4:$C$224,C225,$D$4:$D$224,D225,$E$4:$E$224,E225,$G$4:$G$224,G225,$H$4:$H$224,H225,$B$4:$B$224,"DE CORTE")-SUMIFS($I$4:$I$224,$C$4:$C$224,C225,$D$4:$D$224,D225,$E$4:$E$224,E225,$G$4:$G$224,G225,$H$4:$H$224,H225,$B$4:$B$224,"SALIDA"))),0)</f>
        <v>0</v>
      </c>
      <c r="M225" s="13">
        <f t="shared" si="2"/>
        <v>0</v>
      </c>
      <c r="N225" s="14"/>
      <c r="O225" s="14"/>
      <c r="P225" s="15"/>
      <c r="Q225" s="14"/>
    </row>
    <row r="226" ht="15.75" customHeight="1">
      <c r="A226" s="7"/>
      <c r="B226" s="8"/>
      <c r="C226" s="8"/>
      <c r="D226" s="8"/>
      <c r="E226" s="8"/>
      <c r="F226" s="14"/>
      <c r="G226" s="8"/>
      <c r="H226" s="8"/>
      <c r="I226" s="9"/>
      <c r="J226" s="12" t="str">
        <f t="array" ref="J226:K226">IFERROR(INDEX(PRECIOS_COMPLEMENTOS!$C$4:$F$17,MATCH(D226&amp;"_"&amp;E226,PRECIOS_COMPLEMENTOS!$H$4:$H$17,0),IF(OR(H226="S",H226="20cm"),1,IF(OR(H226="M",H226="25cm"),2,IF(OR(H226="L",H226="30cm"),3,IF(OR(H226="XL",H226="35cm"),4,0))))),0)</f>
        <v>#REF!</v>
      </c>
      <c r="K226" s="12">
        <f t="shared" si="1"/>
        <v>0</v>
      </c>
      <c r="L226" s="13">
        <f>IFERROR(IF(C226="",0,IF(D226="PRETINA",SUMIFS($I$4:$I$225,$C$4:$C$225,C226,$D$4:$D$225,D226,$E$4:$E$225,E226,$F$4:$F$225,F226,$G$4:$G$225,G226,$H$4:$H$225,H226,$B$4:$B$225,"INGRESO")+SUMIFS($I$4:$I$225,$C$4:$C$225,C226,$D$4:$D$225,D226,$E$4:$E$225,E226,$F$4:$F$225,F226,$G$4:$G$225,G226,$H$4:$H$225,H226,$B$4:$B$225,"DE CORTE")-SUMIFS($I$4:$I$225,$C$4:$C$225,C226,$D$4:$D$225,D226,$E$4:$E$225,E226,$F$4:$F$225,F226,$G$4:$G$225,G226,$H$4:$H$225,H226,$B$4:$B$225,"SALIDA"),SUMIFS($I$4:$I$225,$C$4:$C$225,C226,$D$4:$D$225,D226,$E$4:$E$225,E226,$G$4:$G$225,G226,$H$4:$H$225,H226,$B$4:$B$225,"INGRESO")+SUMIFS($I$4:$I$225,$C$4:$C$225,C226,$D$4:$D$225,D226,$E$4:$E$225,E226,$G$4:$G$225,G226,$H$4:$H$225,H226,$B$4:$B$225,"DE CORTE")-SUMIFS($I$4:$I$225,$C$4:$C$225,C226,$D$4:$D$225,D226,$E$4:$E$225,E226,$G$4:$G$225,G226,$H$4:$H$225,H226,$B$4:$B$225,"SALIDA"))),0)</f>
        <v>0</v>
      </c>
      <c r="M226" s="13">
        <f t="shared" si="2"/>
        <v>0</v>
      </c>
      <c r="N226" s="14"/>
      <c r="O226" s="14"/>
      <c r="P226" s="15"/>
      <c r="Q226" s="14"/>
    </row>
    <row r="227" ht="15.75" customHeight="1">
      <c r="A227" s="7"/>
      <c r="B227" s="8"/>
      <c r="C227" s="8"/>
      <c r="D227" s="8"/>
      <c r="E227" s="8"/>
      <c r="F227" s="14"/>
      <c r="G227" s="8"/>
      <c r="H227" s="8"/>
      <c r="I227" s="9"/>
      <c r="J227" s="12" t="str">
        <f t="array" ref="J227:K227">IFERROR(INDEX(PRECIOS_COMPLEMENTOS!$C$4:$F$17,MATCH(D227&amp;"_"&amp;E227,PRECIOS_COMPLEMENTOS!$H$4:$H$17,0),IF(OR(H227="S",H227="20cm"),1,IF(OR(H227="M",H227="25cm"),2,IF(OR(H227="L",H227="30cm"),3,IF(OR(H227="XL",H227="35cm"),4,0))))),0)</f>
        <v>#REF!</v>
      </c>
      <c r="K227" s="12">
        <f t="shared" si="1"/>
        <v>0</v>
      </c>
      <c r="L227" s="13">
        <f>IFERROR(IF(C227="",0,IF(D227="PRETINA",SUMIFS($I$4:$I$226,$C$4:$C$226,C227,$D$4:$D$226,D227,$E$4:$E$226,E227,$F$4:$F$226,F227,$G$4:$G$226,G227,$H$4:$H$226,H227,$B$4:$B$226,"INGRESO")+SUMIFS($I$4:$I$226,$C$4:$C$226,C227,$D$4:$D$226,D227,$E$4:$E$226,E227,$F$4:$F$226,F227,$G$4:$G$226,G227,$H$4:$H$226,H227,$B$4:$B$226,"DE CORTE")-SUMIFS($I$4:$I$226,$C$4:$C$226,C227,$D$4:$D$226,D227,$E$4:$E$226,E227,$F$4:$F$226,F227,$G$4:$G$226,G227,$H$4:$H$226,H227,$B$4:$B$226,"SALIDA"),SUMIFS($I$4:$I$226,$C$4:$C$226,C227,$D$4:$D$226,D227,$E$4:$E$226,E227,$G$4:$G$226,G227,$H$4:$H$226,H227,$B$4:$B$226,"INGRESO")+SUMIFS($I$4:$I$226,$C$4:$C$226,C227,$D$4:$D$226,D227,$E$4:$E$226,E227,$G$4:$G$226,G227,$H$4:$H$226,H227,$B$4:$B$226,"DE CORTE")-SUMIFS($I$4:$I$226,$C$4:$C$226,C227,$D$4:$D$226,D227,$E$4:$E$226,E227,$G$4:$G$226,G227,$H$4:$H$226,H227,$B$4:$B$226,"SALIDA"))),0)</f>
        <v>0</v>
      </c>
      <c r="M227" s="13">
        <f t="shared" si="2"/>
        <v>0</v>
      </c>
      <c r="N227" s="14"/>
      <c r="O227" s="14"/>
      <c r="P227" s="15"/>
      <c r="Q227" s="14"/>
    </row>
    <row r="228" ht="15.75" customHeight="1">
      <c r="A228" s="7"/>
      <c r="B228" s="8"/>
      <c r="C228" s="8"/>
      <c r="D228" s="8"/>
      <c r="E228" s="8"/>
      <c r="F228" s="14"/>
      <c r="G228" s="8"/>
      <c r="H228" s="8"/>
      <c r="I228" s="9"/>
      <c r="J228" s="12" t="str">
        <f t="array" ref="J228:K228">IFERROR(INDEX(PRECIOS_COMPLEMENTOS!$C$4:$F$17,MATCH(D228&amp;"_"&amp;E228,PRECIOS_COMPLEMENTOS!$H$4:$H$17,0),IF(OR(H228="S",H228="20cm"),1,IF(OR(H228="M",H228="25cm"),2,IF(OR(H228="L",H228="30cm"),3,IF(OR(H228="XL",H228="35cm"),4,0))))),0)</f>
        <v>#REF!</v>
      </c>
      <c r="K228" s="12">
        <f t="shared" si="1"/>
        <v>0</v>
      </c>
      <c r="L228" s="13">
        <f>IFERROR(IF(C228="",0,IF(D228="PRETINA",SUMIFS($I$4:$I$227,$C$4:$C$227,C228,$D$4:$D$227,D228,$E$4:$E$227,E228,$F$4:$F$227,F228,$G$4:$G$227,G228,$H$4:$H$227,H228,$B$4:$B$227,"INGRESO")+SUMIFS($I$4:$I$227,$C$4:$C$227,C228,$D$4:$D$227,D228,$E$4:$E$227,E228,$F$4:$F$227,F228,$G$4:$G$227,G228,$H$4:$H$227,H228,$B$4:$B$227,"DE CORTE")-SUMIFS($I$4:$I$227,$C$4:$C$227,C228,$D$4:$D$227,D228,$E$4:$E$227,E228,$F$4:$F$227,F228,$G$4:$G$227,G228,$H$4:$H$227,H228,$B$4:$B$227,"SALIDA"),SUMIFS($I$4:$I$227,$C$4:$C$227,C228,$D$4:$D$227,D228,$E$4:$E$227,E228,$G$4:$G$227,G228,$H$4:$H$227,H228,$B$4:$B$227,"INGRESO")+SUMIFS($I$4:$I$227,$C$4:$C$227,C228,$D$4:$D$227,D228,$E$4:$E$227,E228,$G$4:$G$227,G228,$H$4:$H$227,H228,$B$4:$B$227,"DE CORTE")-SUMIFS($I$4:$I$227,$C$4:$C$227,C228,$D$4:$D$227,D228,$E$4:$E$227,E228,$G$4:$G$227,G228,$H$4:$H$227,H228,$B$4:$B$227,"SALIDA"))),0)</f>
        <v>0</v>
      </c>
      <c r="M228" s="13">
        <f t="shared" si="2"/>
        <v>0</v>
      </c>
      <c r="N228" s="14"/>
      <c r="O228" s="14"/>
      <c r="P228" s="15"/>
      <c r="Q228" s="14"/>
    </row>
    <row r="229" ht="15.75" customHeight="1">
      <c r="A229" s="7"/>
      <c r="B229" s="8"/>
      <c r="C229" s="8"/>
      <c r="D229" s="8"/>
      <c r="E229" s="8"/>
      <c r="F229" s="14"/>
      <c r="G229" s="8"/>
      <c r="H229" s="8"/>
      <c r="I229" s="9"/>
      <c r="J229" s="12" t="str">
        <f t="array" ref="J229:K229">IFERROR(INDEX(PRECIOS_COMPLEMENTOS!$C$4:$F$17,MATCH(D229&amp;"_"&amp;E229,PRECIOS_COMPLEMENTOS!$H$4:$H$17,0),IF(OR(H229="S",H229="20cm"),1,IF(OR(H229="M",H229="25cm"),2,IF(OR(H229="L",H229="30cm"),3,IF(OR(H229="XL",H229="35cm"),4,0))))),0)</f>
        <v>#REF!</v>
      </c>
      <c r="K229" s="12">
        <f t="shared" si="1"/>
        <v>0</v>
      </c>
      <c r="L229" s="13">
        <f>IFERROR(IF(C229="",0,IF(D229="PRETINA",SUMIFS($I$4:$I$228,$C$4:$C$228,C229,$D$4:$D$228,D229,$E$4:$E$228,E229,$F$4:$F$228,F229,$G$4:$G$228,G229,$H$4:$H$228,H229,$B$4:$B$228,"INGRESO")+SUMIFS($I$4:$I$228,$C$4:$C$228,C229,$D$4:$D$228,D229,$E$4:$E$228,E229,$F$4:$F$228,F229,$G$4:$G$228,G229,$H$4:$H$228,H229,$B$4:$B$228,"DE CORTE")-SUMIFS($I$4:$I$228,$C$4:$C$228,C229,$D$4:$D$228,D229,$E$4:$E$228,E229,$F$4:$F$228,F229,$G$4:$G$228,G229,$H$4:$H$228,H229,$B$4:$B$228,"SALIDA"),SUMIFS($I$4:$I$228,$C$4:$C$228,C229,$D$4:$D$228,D229,$E$4:$E$228,E229,$G$4:$G$228,G229,$H$4:$H$228,H229,$B$4:$B$228,"INGRESO")+SUMIFS($I$4:$I$228,$C$4:$C$228,C229,$D$4:$D$228,D229,$E$4:$E$228,E229,$G$4:$G$228,G229,$H$4:$H$228,H229,$B$4:$B$228,"DE CORTE")-SUMIFS($I$4:$I$228,$C$4:$C$228,C229,$D$4:$D$228,D229,$E$4:$E$228,E229,$G$4:$G$228,G229,$H$4:$H$228,H229,$B$4:$B$228,"SALIDA"))),0)</f>
        <v>0</v>
      </c>
      <c r="M229" s="13">
        <f t="shared" si="2"/>
        <v>0</v>
      </c>
      <c r="N229" s="14"/>
      <c r="O229" s="14"/>
      <c r="P229" s="15"/>
      <c r="Q229" s="14"/>
    </row>
    <row r="230" ht="15.75" customHeight="1">
      <c r="A230" s="7"/>
      <c r="B230" s="8"/>
      <c r="C230" s="8"/>
      <c r="D230" s="8"/>
      <c r="E230" s="8"/>
      <c r="F230" s="14"/>
      <c r="G230" s="8"/>
      <c r="H230" s="8"/>
      <c r="I230" s="9"/>
      <c r="J230" s="12" t="str">
        <f t="array" ref="J230:K230">IFERROR(INDEX(PRECIOS_COMPLEMENTOS!$C$4:$F$17,MATCH(D230&amp;"_"&amp;E230,PRECIOS_COMPLEMENTOS!$H$4:$H$17,0),IF(OR(H230="S",H230="20cm"),1,IF(OR(H230="M",H230="25cm"),2,IF(OR(H230="L",H230="30cm"),3,IF(OR(H230="XL",H230="35cm"),4,0))))),0)</f>
        <v>#REF!</v>
      </c>
      <c r="K230" s="12">
        <f t="shared" si="1"/>
        <v>0</v>
      </c>
      <c r="L230" s="13">
        <f>IFERROR(IF(C230="",0,IF(D230="PRETINA",SUMIFS($I$4:$I$229,$C$4:$C$229,C230,$D$4:$D$229,D230,$E$4:$E$229,E230,$F$4:$F$229,F230,$G$4:$G$229,G230,$H$4:$H$229,H230,$B$4:$B$229,"INGRESO")+SUMIFS($I$4:$I$229,$C$4:$C$229,C230,$D$4:$D$229,D230,$E$4:$E$229,E230,$F$4:$F$229,F230,$G$4:$G$229,G230,$H$4:$H$229,H230,$B$4:$B$229,"DE CORTE")-SUMIFS($I$4:$I$229,$C$4:$C$229,C230,$D$4:$D$229,D230,$E$4:$E$229,E230,$F$4:$F$229,F230,$G$4:$G$229,G230,$H$4:$H$229,H230,$B$4:$B$229,"SALIDA"),SUMIFS($I$4:$I$229,$C$4:$C$229,C230,$D$4:$D$229,D230,$E$4:$E$229,E230,$G$4:$G$229,G230,$H$4:$H$229,H230,$B$4:$B$229,"INGRESO")+SUMIFS($I$4:$I$229,$C$4:$C$229,C230,$D$4:$D$229,D230,$E$4:$E$229,E230,$G$4:$G$229,G230,$H$4:$H$229,H230,$B$4:$B$229,"DE CORTE")-SUMIFS($I$4:$I$229,$C$4:$C$229,C230,$D$4:$D$229,D230,$E$4:$E$229,E230,$G$4:$G$229,G230,$H$4:$H$229,H230,$B$4:$B$229,"SALIDA"))),0)</f>
        <v>0</v>
      </c>
      <c r="M230" s="13">
        <f t="shared" si="2"/>
        <v>0</v>
      </c>
      <c r="N230" s="14"/>
      <c r="O230" s="14"/>
      <c r="P230" s="15"/>
      <c r="Q230" s="14"/>
    </row>
    <row r="231" ht="15.75" customHeight="1">
      <c r="A231" s="7"/>
      <c r="B231" s="8"/>
      <c r="C231" s="8"/>
      <c r="D231" s="8"/>
      <c r="E231" s="8"/>
      <c r="F231" s="14"/>
      <c r="G231" s="8"/>
      <c r="H231" s="8"/>
      <c r="I231" s="9"/>
      <c r="J231" s="12" t="str">
        <f t="array" ref="J231:K231">IFERROR(INDEX(PRECIOS_COMPLEMENTOS!$C$4:$F$17,MATCH(D231&amp;"_"&amp;E231,PRECIOS_COMPLEMENTOS!$H$4:$H$17,0),IF(OR(H231="S",H231="20cm"),1,IF(OR(H231="M",H231="25cm"),2,IF(OR(H231="L",H231="30cm"),3,IF(OR(H231="XL",H231="35cm"),4,0))))),0)</f>
        <v>#REF!</v>
      </c>
      <c r="K231" s="12">
        <f t="shared" si="1"/>
        <v>0</v>
      </c>
      <c r="L231" s="13">
        <f>IFERROR(IF(C231="",0,IF(D231="PRETINA",SUMIFS($I$4:$I$230,$C$4:$C$230,C231,$D$4:$D$230,D231,$E$4:$E$230,E231,$F$4:$F$230,F231,$G$4:$G$230,G231,$H$4:$H$230,H231,$B$4:$B$230,"INGRESO")+SUMIFS($I$4:$I$230,$C$4:$C$230,C231,$D$4:$D$230,D231,$E$4:$E$230,E231,$F$4:$F$230,F231,$G$4:$G$230,G231,$H$4:$H$230,H231,$B$4:$B$230,"DE CORTE")-SUMIFS($I$4:$I$230,$C$4:$C$230,C231,$D$4:$D$230,D231,$E$4:$E$230,E231,$F$4:$F$230,F231,$G$4:$G$230,G231,$H$4:$H$230,H231,$B$4:$B$230,"SALIDA"),SUMIFS($I$4:$I$230,$C$4:$C$230,C231,$D$4:$D$230,D231,$E$4:$E$230,E231,$G$4:$G$230,G231,$H$4:$H$230,H231,$B$4:$B$230,"INGRESO")+SUMIFS($I$4:$I$230,$C$4:$C$230,C231,$D$4:$D$230,D231,$E$4:$E$230,E231,$G$4:$G$230,G231,$H$4:$H$230,H231,$B$4:$B$230,"DE CORTE")-SUMIFS($I$4:$I$230,$C$4:$C$230,C231,$D$4:$D$230,D231,$E$4:$E$230,E231,$G$4:$G$230,G231,$H$4:$H$230,H231,$B$4:$B$230,"SALIDA"))),0)</f>
        <v>0</v>
      </c>
      <c r="M231" s="13">
        <f t="shared" si="2"/>
        <v>0</v>
      </c>
      <c r="N231" s="14"/>
      <c r="O231" s="14"/>
      <c r="P231" s="15"/>
      <c r="Q231" s="14"/>
    </row>
    <row r="232" ht="15.75" customHeight="1">
      <c r="A232" s="7"/>
      <c r="B232" s="8"/>
      <c r="C232" s="8"/>
      <c r="D232" s="8"/>
      <c r="E232" s="8"/>
      <c r="F232" s="14"/>
      <c r="G232" s="8"/>
      <c r="H232" s="8"/>
      <c r="I232" s="9"/>
      <c r="J232" s="12" t="str">
        <f t="array" ref="J232:K232">IFERROR(INDEX(PRECIOS_COMPLEMENTOS!$C$4:$F$17,MATCH(D232&amp;"_"&amp;E232,PRECIOS_COMPLEMENTOS!$H$4:$H$17,0),IF(OR(H232="S",H232="20cm"),1,IF(OR(H232="M",H232="25cm"),2,IF(OR(H232="L",H232="30cm"),3,IF(OR(H232="XL",H232="35cm"),4,0))))),0)</f>
        <v>#REF!</v>
      </c>
      <c r="K232" s="12">
        <f t="shared" si="1"/>
        <v>0</v>
      </c>
      <c r="L232" s="13">
        <f>IFERROR(IF(C232="",0,IF(D232="PRETINA",SUMIFS($I$4:$I$231,$C$4:$C$231,C232,$D$4:$D$231,D232,$E$4:$E$231,E232,$F$4:$F$231,F232,$G$4:$G$231,G232,$H$4:$H$231,H232,$B$4:$B$231,"INGRESO")+SUMIFS($I$4:$I$231,$C$4:$C$231,C232,$D$4:$D$231,D232,$E$4:$E$231,E232,$F$4:$F$231,F232,$G$4:$G$231,G232,$H$4:$H$231,H232,$B$4:$B$231,"DE CORTE")-SUMIFS($I$4:$I$231,$C$4:$C$231,C232,$D$4:$D$231,D232,$E$4:$E$231,E232,$F$4:$F$231,F232,$G$4:$G$231,G232,$H$4:$H$231,H232,$B$4:$B$231,"SALIDA"),SUMIFS($I$4:$I$231,$C$4:$C$231,C232,$D$4:$D$231,D232,$E$4:$E$231,E232,$G$4:$G$231,G232,$H$4:$H$231,H232,$B$4:$B$231,"INGRESO")+SUMIFS($I$4:$I$231,$C$4:$C$231,C232,$D$4:$D$231,D232,$E$4:$E$231,E232,$G$4:$G$231,G232,$H$4:$H$231,H232,$B$4:$B$231,"DE CORTE")-SUMIFS($I$4:$I$231,$C$4:$C$231,C232,$D$4:$D$231,D232,$E$4:$E$231,E232,$G$4:$G$231,G232,$H$4:$H$231,H232,$B$4:$B$231,"SALIDA"))),0)</f>
        <v>0</v>
      </c>
      <c r="M232" s="13">
        <f t="shared" si="2"/>
        <v>0</v>
      </c>
      <c r="N232" s="14"/>
      <c r="O232" s="14"/>
      <c r="P232" s="15"/>
      <c r="Q232" s="14"/>
    </row>
    <row r="233" ht="15.75" customHeight="1">
      <c r="A233" s="7"/>
      <c r="B233" s="8"/>
      <c r="C233" s="8"/>
      <c r="D233" s="8"/>
      <c r="E233" s="8"/>
      <c r="F233" s="14"/>
      <c r="G233" s="8"/>
      <c r="H233" s="8"/>
      <c r="I233" s="9"/>
      <c r="J233" s="12" t="str">
        <f t="array" ref="J233:K233">IFERROR(INDEX(PRECIOS_COMPLEMENTOS!$C$4:$F$17,MATCH(D233&amp;"_"&amp;E233,PRECIOS_COMPLEMENTOS!$H$4:$H$17,0),IF(OR(H233="S",H233="20cm"),1,IF(OR(H233="M",H233="25cm"),2,IF(OR(H233="L",H233="30cm"),3,IF(OR(H233="XL",H233="35cm"),4,0))))),0)</f>
        <v>#REF!</v>
      </c>
      <c r="K233" s="12">
        <f t="shared" si="1"/>
        <v>0</v>
      </c>
      <c r="L233" s="13">
        <f>IFERROR(IF(C233="",0,IF(D233="PRETINA",SUMIFS($I$4:$I$232,$C$4:$C$232,C233,$D$4:$D$232,D233,$E$4:$E$232,E233,$F$4:$F$232,F233,$G$4:$G$232,G233,$H$4:$H$232,H233,$B$4:$B$232,"INGRESO")+SUMIFS($I$4:$I$232,$C$4:$C$232,C233,$D$4:$D$232,D233,$E$4:$E$232,E233,$F$4:$F$232,F233,$G$4:$G$232,G233,$H$4:$H$232,H233,$B$4:$B$232,"DE CORTE")-SUMIFS($I$4:$I$232,$C$4:$C$232,C233,$D$4:$D$232,D233,$E$4:$E$232,E233,$F$4:$F$232,F233,$G$4:$G$232,G233,$H$4:$H$232,H233,$B$4:$B$232,"SALIDA"),SUMIFS($I$4:$I$232,$C$4:$C$232,C233,$D$4:$D$232,D233,$E$4:$E$232,E233,$G$4:$G$232,G233,$H$4:$H$232,H233,$B$4:$B$232,"INGRESO")+SUMIFS($I$4:$I$232,$C$4:$C$232,C233,$D$4:$D$232,D233,$E$4:$E$232,E233,$G$4:$G$232,G233,$H$4:$H$232,H233,$B$4:$B$232,"DE CORTE")-SUMIFS($I$4:$I$232,$C$4:$C$232,C233,$D$4:$D$232,D233,$E$4:$E$232,E233,$G$4:$G$232,G233,$H$4:$H$232,H233,$B$4:$B$232,"SALIDA"))),0)</f>
        <v>0</v>
      </c>
      <c r="M233" s="13">
        <f t="shared" si="2"/>
        <v>0</v>
      </c>
      <c r="N233" s="14"/>
      <c r="O233" s="14"/>
      <c r="P233" s="15"/>
      <c r="Q233" s="14"/>
    </row>
    <row r="234" ht="15.75" customHeight="1">
      <c r="A234" s="7"/>
      <c r="B234" s="8"/>
      <c r="C234" s="8"/>
      <c r="D234" s="8"/>
      <c r="E234" s="8"/>
      <c r="F234" s="14"/>
      <c r="G234" s="8"/>
      <c r="H234" s="8"/>
      <c r="I234" s="9"/>
      <c r="J234" s="12" t="str">
        <f t="array" ref="J234:K234">IFERROR(INDEX(PRECIOS_COMPLEMENTOS!$C$4:$F$17,MATCH(D234&amp;"_"&amp;E234,PRECIOS_COMPLEMENTOS!$H$4:$H$17,0),IF(OR(H234="S",H234="20cm"),1,IF(OR(H234="M",H234="25cm"),2,IF(OR(H234="L",H234="30cm"),3,IF(OR(H234="XL",H234="35cm"),4,0))))),0)</f>
        <v>#REF!</v>
      </c>
      <c r="K234" s="12">
        <f t="shared" si="1"/>
        <v>0</v>
      </c>
      <c r="L234" s="13">
        <f>IFERROR(IF(C234="",0,IF(D234="PRETINA",SUMIFS($I$4:$I$233,$C$4:$C$233,C234,$D$4:$D$233,D234,$E$4:$E$233,E234,$F$4:$F$233,F234,$G$4:$G$233,G234,$H$4:$H$233,H234,$B$4:$B$233,"INGRESO")+SUMIFS($I$4:$I$233,$C$4:$C$233,C234,$D$4:$D$233,D234,$E$4:$E$233,E234,$F$4:$F$233,F234,$G$4:$G$233,G234,$H$4:$H$233,H234,$B$4:$B$233,"DE CORTE")-SUMIFS($I$4:$I$233,$C$4:$C$233,C234,$D$4:$D$233,D234,$E$4:$E$233,E234,$F$4:$F$233,F234,$G$4:$G$233,G234,$H$4:$H$233,H234,$B$4:$B$233,"SALIDA"),SUMIFS($I$4:$I$233,$C$4:$C$233,C234,$D$4:$D$233,D234,$E$4:$E$233,E234,$G$4:$G$233,G234,$H$4:$H$233,H234,$B$4:$B$233,"INGRESO")+SUMIFS($I$4:$I$233,$C$4:$C$233,C234,$D$4:$D$233,D234,$E$4:$E$233,E234,$G$4:$G$233,G234,$H$4:$H$233,H234,$B$4:$B$233,"DE CORTE")-SUMIFS($I$4:$I$233,$C$4:$C$233,C234,$D$4:$D$233,D234,$E$4:$E$233,E234,$G$4:$G$233,G234,$H$4:$H$233,H234,$B$4:$B$233,"SALIDA"))),0)</f>
        <v>0</v>
      </c>
      <c r="M234" s="13">
        <f t="shared" si="2"/>
        <v>0</v>
      </c>
      <c r="N234" s="14"/>
      <c r="O234" s="14"/>
      <c r="P234" s="15"/>
      <c r="Q234" s="14"/>
    </row>
    <row r="235" ht="15.75" customHeight="1">
      <c r="A235" s="7"/>
      <c r="B235" s="8"/>
      <c r="C235" s="8"/>
      <c r="D235" s="8"/>
      <c r="E235" s="8"/>
      <c r="F235" s="14"/>
      <c r="G235" s="8"/>
      <c r="H235" s="8"/>
      <c r="I235" s="9"/>
      <c r="J235" s="12" t="str">
        <f t="array" ref="J235:K235">IFERROR(INDEX(PRECIOS_COMPLEMENTOS!$C$4:$F$17,MATCH(D235&amp;"_"&amp;E235,PRECIOS_COMPLEMENTOS!$H$4:$H$17,0),IF(OR(H235="S",H235="20cm"),1,IF(OR(H235="M",H235="25cm"),2,IF(OR(H235="L",H235="30cm"),3,IF(OR(H235="XL",H235="35cm"),4,0))))),0)</f>
        <v>#REF!</v>
      </c>
      <c r="K235" s="12">
        <f t="shared" si="1"/>
        <v>0</v>
      </c>
      <c r="L235" s="13">
        <f>IFERROR(IF(C235="",0,IF(D235="PRETINA",SUMIFS($I$4:$I$234,$C$4:$C$234,C235,$D$4:$D$234,D235,$E$4:$E$234,E235,$F$4:$F$234,F235,$G$4:$G$234,G235,$H$4:$H$234,H235,$B$4:$B$234,"INGRESO")+SUMIFS($I$4:$I$234,$C$4:$C$234,C235,$D$4:$D$234,D235,$E$4:$E$234,E235,$F$4:$F$234,F235,$G$4:$G$234,G235,$H$4:$H$234,H235,$B$4:$B$234,"DE CORTE")-SUMIFS($I$4:$I$234,$C$4:$C$234,C235,$D$4:$D$234,D235,$E$4:$E$234,E235,$F$4:$F$234,F235,$G$4:$G$234,G235,$H$4:$H$234,H235,$B$4:$B$234,"SALIDA"),SUMIFS($I$4:$I$234,$C$4:$C$234,C235,$D$4:$D$234,D235,$E$4:$E$234,E235,$G$4:$G$234,G235,$H$4:$H$234,H235,$B$4:$B$234,"INGRESO")+SUMIFS($I$4:$I$234,$C$4:$C$234,C235,$D$4:$D$234,D235,$E$4:$E$234,E235,$G$4:$G$234,G235,$H$4:$H$234,H235,$B$4:$B$234,"DE CORTE")-SUMIFS($I$4:$I$234,$C$4:$C$234,C235,$D$4:$D$234,D235,$E$4:$E$234,E235,$G$4:$G$234,G235,$H$4:$H$234,H235,$B$4:$B$234,"SALIDA"))),0)</f>
        <v>0</v>
      </c>
      <c r="M235" s="13">
        <f t="shared" si="2"/>
        <v>0</v>
      </c>
      <c r="N235" s="14"/>
      <c r="O235" s="14"/>
      <c r="P235" s="15"/>
      <c r="Q235" s="14"/>
    </row>
    <row r="236" ht="15.75" customHeight="1">
      <c r="A236" s="7"/>
      <c r="B236" s="8"/>
      <c r="C236" s="8"/>
      <c r="D236" s="8"/>
      <c r="E236" s="8"/>
      <c r="F236" s="14"/>
      <c r="G236" s="8"/>
      <c r="H236" s="8"/>
      <c r="I236" s="9"/>
      <c r="J236" s="12" t="str">
        <f t="array" ref="J236:K236">IFERROR(INDEX(PRECIOS_COMPLEMENTOS!$C$4:$F$17,MATCH(D236&amp;"_"&amp;E236,PRECIOS_COMPLEMENTOS!$H$4:$H$17,0),IF(OR(H236="S",H236="20cm"),1,IF(OR(H236="M",H236="25cm"),2,IF(OR(H236="L",H236="30cm"),3,IF(OR(H236="XL",H236="35cm"),4,0))))),0)</f>
        <v>#REF!</v>
      </c>
      <c r="K236" s="12">
        <f t="shared" si="1"/>
        <v>0</v>
      </c>
      <c r="L236" s="13">
        <f>IFERROR(IF(C236="",0,IF(D236="PRETINA",SUMIFS($I$4:$I$235,$C$4:$C$235,C236,$D$4:$D$235,D236,$E$4:$E$235,E236,$F$4:$F$235,F236,$G$4:$G$235,G236,$H$4:$H$235,H236,$B$4:$B$235,"INGRESO")+SUMIFS($I$4:$I$235,$C$4:$C$235,C236,$D$4:$D$235,D236,$E$4:$E$235,E236,$F$4:$F$235,F236,$G$4:$G$235,G236,$H$4:$H$235,H236,$B$4:$B$235,"DE CORTE")-SUMIFS($I$4:$I$235,$C$4:$C$235,C236,$D$4:$D$235,D236,$E$4:$E$235,E236,$F$4:$F$235,F236,$G$4:$G$235,G236,$H$4:$H$235,H236,$B$4:$B$235,"SALIDA"),SUMIFS($I$4:$I$235,$C$4:$C$235,C236,$D$4:$D$235,D236,$E$4:$E$235,E236,$G$4:$G$235,G236,$H$4:$H$235,H236,$B$4:$B$235,"INGRESO")+SUMIFS($I$4:$I$235,$C$4:$C$235,C236,$D$4:$D$235,D236,$E$4:$E$235,E236,$G$4:$G$235,G236,$H$4:$H$235,H236,$B$4:$B$235,"DE CORTE")-SUMIFS($I$4:$I$235,$C$4:$C$235,C236,$D$4:$D$235,D236,$E$4:$E$235,E236,$G$4:$G$235,G236,$H$4:$H$235,H236,$B$4:$B$235,"SALIDA"))),0)</f>
        <v>0</v>
      </c>
      <c r="M236" s="13">
        <f t="shared" si="2"/>
        <v>0</v>
      </c>
      <c r="N236" s="14"/>
      <c r="O236" s="14"/>
      <c r="P236" s="15"/>
      <c r="Q236" s="14"/>
    </row>
    <row r="237" ht="15.75" customHeight="1">
      <c r="A237" s="7"/>
      <c r="B237" s="8"/>
      <c r="C237" s="8"/>
      <c r="D237" s="8"/>
      <c r="E237" s="8"/>
      <c r="F237" s="14"/>
      <c r="G237" s="8"/>
      <c r="H237" s="8"/>
      <c r="I237" s="9"/>
      <c r="J237" s="12" t="str">
        <f t="array" ref="J237:K237">IFERROR(INDEX(PRECIOS_COMPLEMENTOS!$C$4:$F$17,MATCH(D237&amp;"_"&amp;E237,PRECIOS_COMPLEMENTOS!$H$4:$H$17,0),IF(OR(H237="S",H237="20cm"),1,IF(OR(H237="M",H237="25cm"),2,IF(OR(H237="L",H237="30cm"),3,IF(OR(H237="XL",H237="35cm"),4,0))))),0)</f>
        <v>#REF!</v>
      </c>
      <c r="K237" s="12">
        <f t="shared" si="1"/>
        <v>0</v>
      </c>
      <c r="L237" s="13">
        <f>IFERROR(IF(C237="",0,IF(D237="PRETINA",SUMIFS($I$4:$I$236,$C$4:$C$236,C237,$D$4:$D$236,D237,$E$4:$E$236,E237,$F$4:$F$236,F237,$G$4:$G$236,G237,$H$4:$H$236,H237,$B$4:$B$236,"INGRESO")+SUMIFS($I$4:$I$236,$C$4:$C$236,C237,$D$4:$D$236,D237,$E$4:$E$236,E237,$F$4:$F$236,F237,$G$4:$G$236,G237,$H$4:$H$236,H237,$B$4:$B$236,"DE CORTE")-SUMIFS($I$4:$I$236,$C$4:$C$236,C237,$D$4:$D$236,D237,$E$4:$E$236,E237,$F$4:$F$236,F237,$G$4:$G$236,G237,$H$4:$H$236,H237,$B$4:$B$236,"SALIDA"),SUMIFS($I$4:$I$236,$C$4:$C$236,C237,$D$4:$D$236,D237,$E$4:$E$236,E237,$G$4:$G$236,G237,$H$4:$H$236,H237,$B$4:$B$236,"INGRESO")+SUMIFS($I$4:$I$236,$C$4:$C$236,C237,$D$4:$D$236,D237,$E$4:$E$236,E237,$G$4:$G$236,G237,$H$4:$H$236,H237,$B$4:$B$236,"DE CORTE")-SUMIFS($I$4:$I$236,$C$4:$C$236,C237,$D$4:$D$236,D237,$E$4:$E$236,E237,$G$4:$G$236,G237,$H$4:$H$236,H237,$B$4:$B$236,"SALIDA"))),0)</f>
        <v>0</v>
      </c>
      <c r="M237" s="13">
        <f t="shared" si="2"/>
        <v>0</v>
      </c>
      <c r="N237" s="14"/>
      <c r="O237" s="14"/>
      <c r="P237" s="15"/>
      <c r="Q237" s="14"/>
    </row>
    <row r="238" ht="15.75" customHeight="1">
      <c r="A238" s="7"/>
      <c r="B238" s="8"/>
      <c r="C238" s="8"/>
      <c r="D238" s="8"/>
      <c r="E238" s="8"/>
      <c r="F238" s="14"/>
      <c r="G238" s="8"/>
      <c r="H238" s="8"/>
      <c r="I238" s="9"/>
      <c r="J238" s="12" t="str">
        <f t="array" ref="J238:K238">IFERROR(INDEX(PRECIOS_COMPLEMENTOS!$C$4:$F$17,MATCH(D238&amp;"_"&amp;E238,PRECIOS_COMPLEMENTOS!$H$4:$H$17,0),IF(OR(H238="S",H238="20cm"),1,IF(OR(H238="M",H238="25cm"),2,IF(OR(H238="L",H238="30cm"),3,IF(OR(H238="XL",H238="35cm"),4,0))))),0)</f>
        <v>#REF!</v>
      </c>
      <c r="K238" s="12">
        <f t="shared" si="1"/>
        <v>0</v>
      </c>
      <c r="L238" s="13">
        <f>IFERROR(IF(C238="",0,IF(D238="PRETINA",SUMIFS($I$4:$I$237,$C$4:$C$237,C238,$D$4:$D$237,D238,$E$4:$E$237,E238,$F$4:$F$237,F238,$G$4:$G$237,G238,$H$4:$H$237,H238,$B$4:$B$237,"INGRESO")+SUMIFS($I$4:$I$237,$C$4:$C$237,C238,$D$4:$D$237,D238,$E$4:$E$237,E238,$F$4:$F$237,F238,$G$4:$G$237,G238,$H$4:$H$237,H238,$B$4:$B$237,"DE CORTE")-SUMIFS($I$4:$I$237,$C$4:$C$237,C238,$D$4:$D$237,D238,$E$4:$E$237,E238,$F$4:$F$237,F238,$G$4:$G$237,G238,$H$4:$H$237,H238,$B$4:$B$237,"SALIDA"),SUMIFS($I$4:$I$237,$C$4:$C$237,C238,$D$4:$D$237,D238,$E$4:$E$237,E238,$G$4:$G$237,G238,$H$4:$H$237,H238,$B$4:$B$237,"INGRESO")+SUMIFS($I$4:$I$237,$C$4:$C$237,C238,$D$4:$D$237,D238,$E$4:$E$237,E238,$G$4:$G$237,G238,$H$4:$H$237,H238,$B$4:$B$237,"DE CORTE")-SUMIFS($I$4:$I$237,$C$4:$C$237,C238,$D$4:$D$237,D238,$E$4:$E$237,E238,$G$4:$G$237,G238,$H$4:$H$237,H238,$B$4:$B$237,"SALIDA"))),0)</f>
        <v>0</v>
      </c>
      <c r="M238" s="13">
        <f t="shared" si="2"/>
        <v>0</v>
      </c>
      <c r="N238" s="14"/>
      <c r="O238" s="14"/>
      <c r="P238" s="15"/>
      <c r="Q238" s="14"/>
    </row>
    <row r="239" ht="15.75" customHeight="1">
      <c r="A239" s="7"/>
      <c r="B239" s="8"/>
      <c r="C239" s="8"/>
      <c r="D239" s="8"/>
      <c r="E239" s="8"/>
      <c r="F239" s="14"/>
      <c r="G239" s="8"/>
      <c r="H239" s="8"/>
      <c r="I239" s="9"/>
      <c r="J239" s="12" t="str">
        <f t="array" ref="J239:K239">IFERROR(INDEX(PRECIOS_COMPLEMENTOS!$C$4:$F$17,MATCH(D239&amp;"_"&amp;E239,PRECIOS_COMPLEMENTOS!$H$4:$H$17,0),IF(OR(H239="S",H239="20cm"),1,IF(OR(H239="M",H239="25cm"),2,IF(OR(H239="L",H239="30cm"),3,IF(OR(H239="XL",H239="35cm"),4,0))))),0)</f>
        <v>#REF!</v>
      </c>
      <c r="K239" s="12">
        <f t="shared" si="1"/>
        <v>0</v>
      </c>
      <c r="L239" s="13">
        <f>IFERROR(IF(C239="",0,IF(D239="PRETINA",SUMIFS($I$4:$I$238,$C$4:$C$238,C239,$D$4:$D$238,D239,$E$4:$E$238,E239,$F$4:$F$238,F239,$G$4:$G$238,G239,$H$4:$H$238,H239,$B$4:$B$238,"INGRESO")+SUMIFS($I$4:$I$238,$C$4:$C$238,C239,$D$4:$D$238,D239,$E$4:$E$238,E239,$F$4:$F$238,F239,$G$4:$G$238,G239,$H$4:$H$238,H239,$B$4:$B$238,"DE CORTE")-SUMIFS($I$4:$I$238,$C$4:$C$238,C239,$D$4:$D$238,D239,$E$4:$E$238,E239,$F$4:$F$238,F239,$G$4:$G$238,G239,$H$4:$H$238,H239,$B$4:$B$238,"SALIDA"),SUMIFS($I$4:$I$238,$C$4:$C$238,C239,$D$4:$D$238,D239,$E$4:$E$238,E239,$G$4:$G$238,G239,$H$4:$H$238,H239,$B$4:$B$238,"INGRESO")+SUMIFS($I$4:$I$238,$C$4:$C$238,C239,$D$4:$D$238,D239,$E$4:$E$238,E239,$G$4:$G$238,G239,$H$4:$H$238,H239,$B$4:$B$238,"DE CORTE")-SUMIFS($I$4:$I$238,$C$4:$C$238,C239,$D$4:$D$238,D239,$E$4:$E$238,E239,$G$4:$G$238,G239,$H$4:$H$238,H239,$B$4:$B$238,"SALIDA"))),0)</f>
        <v>0</v>
      </c>
      <c r="M239" s="13">
        <f t="shared" si="2"/>
        <v>0</v>
      </c>
      <c r="N239" s="14"/>
      <c r="O239" s="14"/>
      <c r="P239" s="15"/>
      <c r="Q239" s="14"/>
    </row>
    <row r="240" ht="15.75" customHeight="1">
      <c r="A240" s="7"/>
      <c r="B240" s="8"/>
      <c r="C240" s="8"/>
      <c r="D240" s="8"/>
      <c r="E240" s="8"/>
      <c r="F240" s="14"/>
      <c r="G240" s="8"/>
      <c r="H240" s="8"/>
      <c r="I240" s="9"/>
      <c r="J240" s="12" t="str">
        <f t="array" ref="J240:K240">IFERROR(INDEX(PRECIOS_COMPLEMENTOS!$C$4:$F$17,MATCH(D240&amp;"_"&amp;E240,PRECIOS_COMPLEMENTOS!$H$4:$H$17,0),IF(OR(H240="S",H240="20cm"),1,IF(OR(H240="M",H240="25cm"),2,IF(OR(H240="L",H240="30cm"),3,IF(OR(H240="XL",H240="35cm"),4,0))))),0)</f>
        <v>#REF!</v>
      </c>
      <c r="K240" s="12">
        <f t="shared" si="1"/>
        <v>0</v>
      </c>
      <c r="L240" s="13">
        <f>IFERROR(IF(C240="",0,IF(D240="PRETINA",SUMIFS($I$4:$I$239,$C$4:$C$239,C240,$D$4:$D$239,D240,$E$4:$E$239,E240,$F$4:$F$239,F240,$G$4:$G$239,G240,$H$4:$H$239,H240,$B$4:$B$239,"INGRESO")+SUMIFS($I$4:$I$239,$C$4:$C$239,C240,$D$4:$D$239,D240,$E$4:$E$239,E240,$F$4:$F$239,F240,$G$4:$G$239,G240,$H$4:$H$239,H240,$B$4:$B$239,"DE CORTE")-SUMIFS($I$4:$I$239,$C$4:$C$239,C240,$D$4:$D$239,D240,$E$4:$E$239,E240,$F$4:$F$239,F240,$G$4:$G$239,G240,$H$4:$H$239,H240,$B$4:$B$239,"SALIDA"),SUMIFS($I$4:$I$239,$C$4:$C$239,C240,$D$4:$D$239,D240,$E$4:$E$239,E240,$G$4:$G$239,G240,$H$4:$H$239,H240,$B$4:$B$239,"INGRESO")+SUMIFS($I$4:$I$239,$C$4:$C$239,C240,$D$4:$D$239,D240,$E$4:$E$239,E240,$G$4:$G$239,G240,$H$4:$H$239,H240,$B$4:$B$239,"DE CORTE")-SUMIFS($I$4:$I$239,$C$4:$C$239,C240,$D$4:$D$239,D240,$E$4:$E$239,E240,$G$4:$G$239,G240,$H$4:$H$239,H240,$B$4:$B$239,"SALIDA"))),0)</f>
        <v>0</v>
      </c>
      <c r="M240" s="13">
        <f t="shared" si="2"/>
        <v>0</v>
      </c>
      <c r="N240" s="14"/>
      <c r="O240" s="14"/>
      <c r="P240" s="15"/>
      <c r="Q240" s="14"/>
    </row>
    <row r="241" ht="15.75" customHeight="1">
      <c r="A241" s="7"/>
      <c r="B241" s="8"/>
      <c r="C241" s="8"/>
      <c r="D241" s="8"/>
      <c r="E241" s="8"/>
      <c r="F241" s="14"/>
      <c r="G241" s="8"/>
      <c r="H241" s="8"/>
      <c r="I241" s="9"/>
      <c r="J241" s="12" t="str">
        <f t="array" ref="J241:K241">IFERROR(INDEX(PRECIOS_COMPLEMENTOS!$C$4:$F$17,MATCH(D241&amp;"_"&amp;E241,PRECIOS_COMPLEMENTOS!$H$4:$H$17,0),IF(OR(H241="S",H241="20cm"),1,IF(OR(H241="M",H241="25cm"),2,IF(OR(H241="L",H241="30cm"),3,IF(OR(H241="XL",H241="35cm"),4,0))))),0)</f>
        <v>#REF!</v>
      </c>
      <c r="K241" s="12">
        <f t="shared" si="1"/>
        <v>0</v>
      </c>
      <c r="L241" s="13">
        <f>IFERROR(IF(C241="",0,IF(D241="PRETINA",SUMIFS($I$4:$I$240,$C$4:$C$240,C241,$D$4:$D$240,D241,$E$4:$E$240,E241,$F$4:$F$240,F241,$G$4:$G$240,G241,$H$4:$H$240,H241,$B$4:$B$240,"INGRESO")+SUMIFS($I$4:$I$240,$C$4:$C$240,C241,$D$4:$D$240,D241,$E$4:$E$240,E241,$F$4:$F$240,F241,$G$4:$G$240,G241,$H$4:$H$240,H241,$B$4:$B$240,"DE CORTE")-SUMIFS($I$4:$I$240,$C$4:$C$240,C241,$D$4:$D$240,D241,$E$4:$E$240,E241,$F$4:$F$240,F241,$G$4:$G$240,G241,$H$4:$H$240,H241,$B$4:$B$240,"SALIDA"),SUMIFS($I$4:$I$240,$C$4:$C$240,C241,$D$4:$D$240,D241,$E$4:$E$240,E241,$G$4:$G$240,G241,$H$4:$H$240,H241,$B$4:$B$240,"INGRESO")+SUMIFS($I$4:$I$240,$C$4:$C$240,C241,$D$4:$D$240,D241,$E$4:$E$240,E241,$G$4:$G$240,G241,$H$4:$H$240,H241,$B$4:$B$240,"DE CORTE")-SUMIFS($I$4:$I$240,$C$4:$C$240,C241,$D$4:$D$240,D241,$E$4:$E$240,E241,$G$4:$G$240,G241,$H$4:$H$240,H241,$B$4:$B$240,"SALIDA"))),0)</f>
        <v>0</v>
      </c>
      <c r="M241" s="13">
        <f t="shared" si="2"/>
        <v>0</v>
      </c>
      <c r="N241" s="14"/>
      <c r="O241" s="14"/>
      <c r="P241" s="15"/>
      <c r="Q241" s="14"/>
    </row>
    <row r="242" ht="15.75" customHeight="1">
      <c r="A242" s="7"/>
      <c r="B242" s="8"/>
      <c r="C242" s="8"/>
      <c r="D242" s="8"/>
      <c r="E242" s="8"/>
      <c r="F242" s="14"/>
      <c r="G242" s="8"/>
      <c r="H242" s="8"/>
      <c r="I242" s="9"/>
      <c r="J242" s="12" t="str">
        <f t="array" ref="J242:K242">IFERROR(INDEX(PRECIOS_COMPLEMENTOS!$C$4:$F$17,MATCH(D242&amp;"_"&amp;E242,PRECIOS_COMPLEMENTOS!$H$4:$H$17,0),IF(OR(H242="S",H242="20cm"),1,IF(OR(H242="M",H242="25cm"),2,IF(OR(H242="L",H242="30cm"),3,IF(OR(H242="XL",H242="35cm"),4,0))))),0)</f>
        <v>#REF!</v>
      </c>
      <c r="K242" s="12">
        <f t="shared" si="1"/>
        <v>0</v>
      </c>
      <c r="L242" s="13">
        <f>IFERROR(IF(C242="",0,IF(D242="PRETINA",SUMIFS($I$4:$I$241,$C$4:$C$241,C242,$D$4:$D$241,D242,$E$4:$E$241,E242,$F$4:$F$241,F242,$G$4:$G$241,G242,$H$4:$H$241,H242,$B$4:$B$241,"INGRESO")+SUMIFS($I$4:$I$241,$C$4:$C$241,C242,$D$4:$D$241,D242,$E$4:$E$241,E242,$F$4:$F$241,F242,$G$4:$G$241,G242,$H$4:$H$241,H242,$B$4:$B$241,"DE CORTE")-SUMIFS($I$4:$I$241,$C$4:$C$241,C242,$D$4:$D$241,D242,$E$4:$E$241,E242,$F$4:$F$241,F242,$G$4:$G$241,G242,$H$4:$H$241,H242,$B$4:$B$241,"SALIDA"),SUMIFS($I$4:$I$241,$C$4:$C$241,C242,$D$4:$D$241,D242,$E$4:$E$241,E242,$G$4:$G$241,G242,$H$4:$H$241,H242,$B$4:$B$241,"INGRESO")+SUMIFS($I$4:$I$241,$C$4:$C$241,C242,$D$4:$D$241,D242,$E$4:$E$241,E242,$G$4:$G$241,G242,$H$4:$H$241,H242,$B$4:$B$241,"DE CORTE")-SUMIFS($I$4:$I$241,$C$4:$C$241,C242,$D$4:$D$241,D242,$E$4:$E$241,E242,$G$4:$G$241,G242,$H$4:$H$241,H242,$B$4:$B$241,"SALIDA"))),0)</f>
        <v>0</v>
      </c>
      <c r="M242" s="13">
        <f t="shared" si="2"/>
        <v>0</v>
      </c>
      <c r="N242" s="14"/>
      <c r="O242" s="14"/>
      <c r="P242" s="15"/>
      <c r="Q242" s="14"/>
    </row>
    <row r="243" ht="15.75" customHeight="1">
      <c r="A243" s="7"/>
      <c r="B243" s="8"/>
      <c r="C243" s="8"/>
      <c r="D243" s="8"/>
      <c r="E243" s="8"/>
      <c r="F243" s="14"/>
      <c r="G243" s="8"/>
      <c r="H243" s="8"/>
      <c r="I243" s="9"/>
      <c r="J243" s="12" t="str">
        <f t="array" ref="J243:K243">IFERROR(INDEX(PRECIOS_COMPLEMENTOS!$C$4:$F$17,MATCH(D243&amp;"_"&amp;E243,PRECIOS_COMPLEMENTOS!$H$4:$H$17,0),IF(OR(H243="S",H243="20cm"),1,IF(OR(H243="M",H243="25cm"),2,IF(OR(H243="L",H243="30cm"),3,IF(OR(H243="XL",H243="35cm"),4,0))))),0)</f>
        <v>#REF!</v>
      </c>
      <c r="K243" s="12">
        <f t="shared" si="1"/>
        <v>0</v>
      </c>
      <c r="L243" s="13">
        <f>IFERROR(IF(C243="",0,IF(D243="PRETINA",SUMIFS($I$4:$I$242,$C$4:$C$242,C243,$D$4:$D$242,D243,$E$4:$E$242,E243,$F$4:$F$242,F243,$G$4:$G$242,G243,$H$4:$H$242,H243,$B$4:$B$242,"INGRESO")+SUMIFS($I$4:$I$242,$C$4:$C$242,C243,$D$4:$D$242,D243,$E$4:$E$242,E243,$F$4:$F$242,F243,$G$4:$G$242,G243,$H$4:$H$242,H243,$B$4:$B$242,"DE CORTE")-SUMIFS($I$4:$I$242,$C$4:$C$242,C243,$D$4:$D$242,D243,$E$4:$E$242,E243,$F$4:$F$242,F243,$G$4:$G$242,G243,$H$4:$H$242,H243,$B$4:$B$242,"SALIDA"),SUMIFS($I$4:$I$242,$C$4:$C$242,C243,$D$4:$D$242,D243,$E$4:$E$242,E243,$G$4:$G$242,G243,$H$4:$H$242,H243,$B$4:$B$242,"INGRESO")+SUMIFS($I$4:$I$242,$C$4:$C$242,C243,$D$4:$D$242,D243,$E$4:$E$242,E243,$G$4:$G$242,G243,$H$4:$H$242,H243,$B$4:$B$242,"DE CORTE")-SUMIFS($I$4:$I$242,$C$4:$C$242,C243,$D$4:$D$242,D243,$E$4:$E$242,E243,$G$4:$G$242,G243,$H$4:$H$242,H243,$B$4:$B$242,"SALIDA"))),0)</f>
        <v>0</v>
      </c>
      <c r="M243" s="13">
        <f t="shared" si="2"/>
        <v>0</v>
      </c>
      <c r="N243" s="14"/>
      <c r="O243" s="14"/>
      <c r="P243" s="15"/>
      <c r="Q243" s="14"/>
    </row>
    <row r="244" ht="15.75" customHeight="1">
      <c r="A244" s="7"/>
      <c r="B244" s="8"/>
      <c r="C244" s="8"/>
      <c r="D244" s="8"/>
      <c r="E244" s="8"/>
      <c r="F244" s="14"/>
      <c r="G244" s="8"/>
      <c r="H244" s="8"/>
      <c r="I244" s="9"/>
      <c r="J244" s="12" t="str">
        <f t="array" ref="J244:K244">IFERROR(INDEX(PRECIOS_COMPLEMENTOS!$C$4:$F$17,MATCH(D244&amp;"_"&amp;E244,PRECIOS_COMPLEMENTOS!$H$4:$H$17,0),IF(OR(H244="S",H244="20cm"),1,IF(OR(H244="M",H244="25cm"),2,IF(OR(H244="L",H244="30cm"),3,IF(OR(H244="XL",H244="35cm"),4,0))))),0)</f>
        <v>#REF!</v>
      </c>
      <c r="K244" s="12">
        <f t="shared" si="1"/>
        <v>0</v>
      </c>
      <c r="L244" s="13">
        <f>IFERROR(IF(C244="",0,IF(D244="PRETINA",SUMIFS($I$4:$I$243,$C$4:$C$243,C244,$D$4:$D$243,D244,$E$4:$E$243,E244,$F$4:$F$243,F244,$G$4:$G$243,G244,$H$4:$H$243,H244,$B$4:$B$243,"INGRESO")+SUMIFS($I$4:$I$243,$C$4:$C$243,C244,$D$4:$D$243,D244,$E$4:$E$243,E244,$F$4:$F$243,F244,$G$4:$G$243,G244,$H$4:$H$243,H244,$B$4:$B$243,"DE CORTE")-SUMIFS($I$4:$I$243,$C$4:$C$243,C244,$D$4:$D$243,D244,$E$4:$E$243,E244,$F$4:$F$243,F244,$G$4:$G$243,G244,$H$4:$H$243,H244,$B$4:$B$243,"SALIDA"),SUMIFS($I$4:$I$243,$C$4:$C$243,C244,$D$4:$D$243,D244,$E$4:$E$243,E244,$G$4:$G$243,G244,$H$4:$H$243,H244,$B$4:$B$243,"INGRESO")+SUMIFS($I$4:$I$243,$C$4:$C$243,C244,$D$4:$D$243,D244,$E$4:$E$243,E244,$G$4:$G$243,G244,$H$4:$H$243,H244,$B$4:$B$243,"DE CORTE")-SUMIFS($I$4:$I$243,$C$4:$C$243,C244,$D$4:$D$243,D244,$E$4:$E$243,E244,$G$4:$G$243,G244,$H$4:$H$243,H244,$B$4:$B$243,"SALIDA"))),0)</f>
        <v>0</v>
      </c>
      <c r="M244" s="13">
        <f t="shared" si="2"/>
        <v>0</v>
      </c>
      <c r="N244" s="14"/>
      <c r="O244" s="14"/>
      <c r="P244" s="15"/>
      <c r="Q244" s="14"/>
    </row>
    <row r="245" ht="15.75" customHeight="1">
      <c r="A245" s="7"/>
      <c r="B245" s="8"/>
      <c r="C245" s="8"/>
      <c r="D245" s="8"/>
      <c r="E245" s="8"/>
      <c r="F245" s="14"/>
      <c r="G245" s="8"/>
      <c r="H245" s="8"/>
      <c r="I245" s="9"/>
      <c r="J245" s="12" t="str">
        <f t="array" ref="J245:K245">IFERROR(INDEX(PRECIOS_COMPLEMENTOS!$C$4:$F$17,MATCH(D245&amp;"_"&amp;E245,PRECIOS_COMPLEMENTOS!$H$4:$H$17,0),IF(OR(H245="S",H245="20cm"),1,IF(OR(H245="M",H245="25cm"),2,IF(OR(H245="L",H245="30cm"),3,IF(OR(H245="XL",H245="35cm"),4,0))))),0)</f>
        <v>#REF!</v>
      </c>
      <c r="K245" s="12">
        <f t="shared" si="1"/>
        <v>0</v>
      </c>
      <c r="L245" s="13">
        <f>IFERROR(IF(C245="",0,IF(D245="PRETINA",SUMIFS($I$4:$I$244,$C$4:$C$244,C245,$D$4:$D$244,D245,$E$4:$E$244,E245,$F$4:$F$244,F245,$G$4:$G$244,G245,$H$4:$H$244,H245,$B$4:$B$244,"INGRESO")+SUMIFS($I$4:$I$244,$C$4:$C$244,C245,$D$4:$D$244,D245,$E$4:$E$244,E245,$F$4:$F$244,F245,$G$4:$G$244,G245,$H$4:$H$244,H245,$B$4:$B$244,"DE CORTE")-SUMIFS($I$4:$I$244,$C$4:$C$244,C245,$D$4:$D$244,D245,$E$4:$E$244,E245,$F$4:$F$244,F245,$G$4:$G$244,G245,$H$4:$H$244,H245,$B$4:$B$244,"SALIDA"),SUMIFS($I$4:$I$244,$C$4:$C$244,C245,$D$4:$D$244,D245,$E$4:$E$244,E245,$G$4:$G$244,G245,$H$4:$H$244,H245,$B$4:$B$244,"INGRESO")+SUMIFS($I$4:$I$244,$C$4:$C$244,C245,$D$4:$D$244,D245,$E$4:$E$244,E245,$G$4:$G$244,G245,$H$4:$H$244,H245,$B$4:$B$244,"DE CORTE")-SUMIFS($I$4:$I$244,$C$4:$C$244,C245,$D$4:$D$244,D245,$E$4:$E$244,E245,$G$4:$G$244,G245,$H$4:$H$244,H245,$B$4:$B$244,"SALIDA"))),0)</f>
        <v>0</v>
      </c>
      <c r="M245" s="13">
        <f t="shared" si="2"/>
        <v>0</v>
      </c>
      <c r="N245" s="14"/>
      <c r="O245" s="14"/>
      <c r="P245" s="15"/>
      <c r="Q245" s="14"/>
    </row>
    <row r="246" ht="15.75" customHeight="1">
      <c r="A246" s="7"/>
      <c r="B246" s="8"/>
      <c r="C246" s="8"/>
      <c r="D246" s="8"/>
      <c r="E246" s="8"/>
      <c r="F246" s="14"/>
      <c r="G246" s="8"/>
      <c r="H246" s="8"/>
      <c r="I246" s="9"/>
      <c r="J246" s="12" t="str">
        <f t="array" ref="J246:K246">IFERROR(INDEX(PRECIOS_COMPLEMENTOS!$C$4:$F$17,MATCH(D246&amp;"_"&amp;E246,PRECIOS_COMPLEMENTOS!$H$4:$H$17,0),IF(OR(H246="S",H246="20cm"),1,IF(OR(H246="M",H246="25cm"),2,IF(OR(H246="L",H246="30cm"),3,IF(OR(H246="XL",H246="35cm"),4,0))))),0)</f>
        <v>#REF!</v>
      </c>
      <c r="K246" s="12">
        <f t="shared" si="1"/>
        <v>0</v>
      </c>
      <c r="L246" s="13">
        <f>IFERROR(IF(C246="",0,IF(D246="PRETINA",SUMIFS($I$4:$I$245,$C$4:$C$245,C246,$D$4:$D$245,D246,$E$4:$E$245,E246,$F$4:$F$245,F246,$G$4:$G$245,G246,$H$4:$H$245,H246,$B$4:$B$245,"INGRESO")+SUMIFS($I$4:$I$245,$C$4:$C$245,C246,$D$4:$D$245,D246,$E$4:$E$245,E246,$F$4:$F$245,F246,$G$4:$G$245,G246,$H$4:$H$245,H246,$B$4:$B$245,"DE CORTE")-SUMIFS($I$4:$I$245,$C$4:$C$245,C246,$D$4:$D$245,D246,$E$4:$E$245,E246,$F$4:$F$245,F246,$G$4:$G$245,G246,$H$4:$H$245,H246,$B$4:$B$245,"SALIDA"),SUMIFS($I$4:$I$245,$C$4:$C$245,C246,$D$4:$D$245,D246,$E$4:$E$245,E246,$G$4:$G$245,G246,$H$4:$H$245,H246,$B$4:$B$245,"INGRESO")+SUMIFS($I$4:$I$245,$C$4:$C$245,C246,$D$4:$D$245,D246,$E$4:$E$245,E246,$G$4:$G$245,G246,$H$4:$H$245,H246,$B$4:$B$245,"DE CORTE")-SUMIFS($I$4:$I$245,$C$4:$C$245,C246,$D$4:$D$245,D246,$E$4:$E$245,E246,$G$4:$G$245,G246,$H$4:$H$245,H246,$B$4:$B$245,"SALIDA"))),0)</f>
        <v>0</v>
      </c>
      <c r="M246" s="13">
        <f t="shared" si="2"/>
        <v>0</v>
      </c>
      <c r="N246" s="14"/>
      <c r="O246" s="14"/>
      <c r="P246" s="15"/>
      <c r="Q246" s="14"/>
    </row>
    <row r="247" ht="15.75" customHeight="1">
      <c r="A247" s="7"/>
      <c r="B247" s="8"/>
      <c r="C247" s="8"/>
      <c r="D247" s="8"/>
      <c r="E247" s="8"/>
      <c r="F247" s="14"/>
      <c r="G247" s="8"/>
      <c r="H247" s="8"/>
      <c r="I247" s="9"/>
      <c r="J247" s="12" t="str">
        <f t="array" ref="J247:K247">IFERROR(INDEX(PRECIOS_COMPLEMENTOS!$C$4:$F$17,MATCH(D247&amp;"_"&amp;E247,PRECIOS_COMPLEMENTOS!$H$4:$H$17,0),IF(OR(H247="S",H247="20cm"),1,IF(OR(H247="M",H247="25cm"),2,IF(OR(H247="L",H247="30cm"),3,IF(OR(H247="XL",H247="35cm"),4,0))))),0)</f>
        <v>#REF!</v>
      </c>
      <c r="K247" s="12">
        <f t="shared" si="1"/>
        <v>0</v>
      </c>
      <c r="L247" s="13">
        <f>IFERROR(IF(C247="",0,IF(D247="PRETINA",SUMIFS($I$4:$I$246,$C$4:$C$246,C247,$D$4:$D$246,D247,$E$4:$E$246,E247,$F$4:$F$246,F247,$G$4:$G$246,G247,$H$4:$H$246,H247,$B$4:$B$246,"INGRESO")+SUMIFS($I$4:$I$246,$C$4:$C$246,C247,$D$4:$D$246,D247,$E$4:$E$246,E247,$F$4:$F$246,F247,$G$4:$G$246,G247,$H$4:$H$246,H247,$B$4:$B$246,"DE CORTE")-SUMIFS($I$4:$I$246,$C$4:$C$246,C247,$D$4:$D$246,D247,$E$4:$E$246,E247,$F$4:$F$246,F247,$G$4:$G$246,G247,$H$4:$H$246,H247,$B$4:$B$246,"SALIDA"),SUMIFS($I$4:$I$246,$C$4:$C$246,C247,$D$4:$D$246,D247,$E$4:$E$246,E247,$G$4:$G$246,G247,$H$4:$H$246,H247,$B$4:$B$246,"INGRESO")+SUMIFS($I$4:$I$246,$C$4:$C$246,C247,$D$4:$D$246,D247,$E$4:$E$246,E247,$G$4:$G$246,G247,$H$4:$H$246,H247,$B$4:$B$246,"DE CORTE")-SUMIFS($I$4:$I$246,$C$4:$C$246,C247,$D$4:$D$246,D247,$E$4:$E$246,E247,$G$4:$G$246,G247,$H$4:$H$246,H247,$B$4:$B$246,"SALIDA"))),0)</f>
        <v>0</v>
      </c>
      <c r="M247" s="13">
        <f t="shared" si="2"/>
        <v>0</v>
      </c>
      <c r="N247" s="14"/>
      <c r="O247" s="14"/>
      <c r="P247" s="15"/>
      <c r="Q247" s="14"/>
    </row>
    <row r="248" ht="15.75" customHeight="1">
      <c r="A248" s="7"/>
      <c r="B248" s="8"/>
      <c r="C248" s="8"/>
      <c r="D248" s="8"/>
      <c r="E248" s="8"/>
      <c r="F248" s="14"/>
      <c r="G248" s="8"/>
      <c r="H248" s="8"/>
      <c r="I248" s="9"/>
      <c r="J248" s="12" t="str">
        <f t="array" ref="J248:K248">IFERROR(INDEX(PRECIOS_COMPLEMENTOS!$C$4:$F$17,MATCH(D248&amp;"_"&amp;E248,PRECIOS_COMPLEMENTOS!$H$4:$H$17,0),IF(OR(H248="S",H248="20cm"),1,IF(OR(H248="M",H248="25cm"),2,IF(OR(H248="L",H248="30cm"),3,IF(OR(H248="XL",H248="35cm"),4,0))))),0)</f>
        <v>#REF!</v>
      </c>
      <c r="K248" s="12">
        <f t="shared" si="1"/>
        <v>0</v>
      </c>
      <c r="L248" s="13">
        <f>IFERROR(IF(C248="",0,IF(D248="PRETINA",SUMIFS($I$4:$I$247,$C$4:$C$247,C248,$D$4:$D$247,D248,$E$4:$E$247,E248,$F$4:$F$247,F248,$G$4:$G$247,G248,$H$4:$H$247,H248,$B$4:$B$247,"INGRESO")+SUMIFS($I$4:$I$247,$C$4:$C$247,C248,$D$4:$D$247,D248,$E$4:$E$247,E248,$F$4:$F$247,F248,$G$4:$G$247,G248,$H$4:$H$247,H248,$B$4:$B$247,"DE CORTE")-SUMIFS($I$4:$I$247,$C$4:$C$247,C248,$D$4:$D$247,D248,$E$4:$E$247,E248,$F$4:$F$247,F248,$G$4:$G$247,G248,$H$4:$H$247,H248,$B$4:$B$247,"SALIDA"),SUMIFS($I$4:$I$247,$C$4:$C$247,C248,$D$4:$D$247,D248,$E$4:$E$247,E248,$G$4:$G$247,G248,$H$4:$H$247,H248,$B$4:$B$247,"INGRESO")+SUMIFS($I$4:$I$247,$C$4:$C$247,C248,$D$4:$D$247,D248,$E$4:$E$247,E248,$G$4:$G$247,G248,$H$4:$H$247,H248,$B$4:$B$247,"DE CORTE")-SUMIFS($I$4:$I$247,$C$4:$C$247,C248,$D$4:$D$247,D248,$E$4:$E$247,E248,$G$4:$G$247,G248,$H$4:$H$247,H248,$B$4:$B$247,"SALIDA"))),0)</f>
        <v>0</v>
      </c>
      <c r="M248" s="13">
        <f t="shared" si="2"/>
        <v>0</v>
      </c>
      <c r="N248" s="14"/>
      <c r="O248" s="14"/>
      <c r="P248" s="15"/>
      <c r="Q248" s="14"/>
    </row>
    <row r="249" ht="15.75" customHeight="1">
      <c r="A249" s="7"/>
      <c r="B249" s="8"/>
      <c r="C249" s="8"/>
      <c r="D249" s="8"/>
      <c r="E249" s="8"/>
      <c r="F249" s="14"/>
      <c r="G249" s="8"/>
      <c r="H249" s="8"/>
      <c r="I249" s="9"/>
      <c r="J249" s="12" t="str">
        <f t="array" ref="J249:K249">IFERROR(INDEX(PRECIOS_COMPLEMENTOS!$C$4:$F$17,MATCH(D249&amp;"_"&amp;E249,PRECIOS_COMPLEMENTOS!$H$4:$H$17,0),IF(OR(H249="S",H249="20cm"),1,IF(OR(H249="M",H249="25cm"),2,IF(OR(H249="L",H249="30cm"),3,IF(OR(H249="XL",H249="35cm"),4,0))))),0)</f>
        <v>#REF!</v>
      </c>
      <c r="K249" s="12">
        <f t="shared" si="1"/>
        <v>0</v>
      </c>
      <c r="L249" s="13">
        <f>IFERROR(IF(C249="",0,IF(D249="PRETINA",SUMIFS($I$4:$I$248,$C$4:$C$248,C249,$D$4:$D$248,D249,$E$4:$E$248,E249,$F$4:$F$248,F249,$G$4:$G$248,G249,$H$4:$H$248,H249,$B$4:$B$248,"INGRESO")+SUMIFS($I$4:$I$248,$C$4:$C$248,C249,$D$4:$D$248,D249,$E$4:$E$248,E249,$F$4:$F$248,F249,$G$4:$G$248,G249,$H$4:$H$248,H249,$B$4:$B$248,"DE CORTE")-SUMIFS($I$4:$I$248,$C$4:$C$248,C249,$D$4:$D$248,D249,$E$4:$E$248,E249,$F$4:$F$248,F249,$G$4:$G$248,G249,$H$4:$H$248,H249,$B$4:$B$248,"SALIDA"),SUMIFS($I$4:$I$248,$C$4:$C$248,C249,$D$4:$D$248,D249,$E$4:$E$248,E249,$G$4:$G$248,G249,$H$4:$H$248,H249,$B$4:$B$248,"INGRESO")+SUMIFS($I$4:$I$248,$C$4:$C$248,C249,$D$4:$D$248,D249,$E$4:$E$248,E249,$G$4:$G$248,G249,$H$4:$H$248,H249,$B$4:$B$248,"DE CORTE")-SUMIFS($I$4:$I$248,$C$4:$C$248,C249,$D$4:$D$248,D249,$E$4:$E$248,E249,$G$4:$G$248,G249,$H$4:$H$248,H249,$B$4:$B$248,"SALIDA"))),0)</f>
        <v>0</v>
      </c>
      <c r="M249" s="13">
        <f t="shared" si="2"/>
        <v>0</v>
      </c>
      <c r="N249" s="14"/>
      <c r="O249" s="14"/>
      <c r="P249" s="15"/>
      <c r="Q249" s="14"/>
    </row>
    <row r="250" ht="15.75" customHeight="1">
      <c r="A250" s="7"/>
      <c r="B250" s="8"/>
      <c r="C250" s="8"/>
      <c r="D250" s="8"/>
      <c r="E250" s="8"/>
      <c r="F250" s="14"/>
      <c r="G250" s="8"/>
      <c r="H250" s="8"/>
      <c r="I250" s="9"/>
      <c r="J250" s="12" t="str">
        <f t="array" ref="J250:K250">IFERROR(INDEX(PRECIOS_COMPLEMENTOS!$C$4:$F$17,MATCH(D250&amp;"_"&amp;E250,PRECIOS_COMPLEMENTOS!$H$4:$H$17,0),IF(OR(H250="S",H250="20cm"),1,IF(OR(H250="M",H250="25cm"),2,IF(OR(H250="L",H250="30cm"),3,IF(OR(H250="XL",H250="35cm"),4,0))))),0)</f>
        <v>#REF!</v>
      </c>
      <c r="K250" s="12">
        <f t="shared" si="1"/>
        <v>0</v>
      </c>
      <c r="L250" s="13">
        <f>IFERROR(IF(C250="",0,IF(D250="PRETINA",SUMIFS($I$4:$I$249,$C$4:$C$249,C250,$D$4:$D$249,D250,$E$4:$E$249,E250,$F$4:$F$249,F250,$G$4:$G$249,G250,$H$4:$H$249,H250,$B$4:$B$249,"INGRESO")+SUMIFS($I$4:$I$249,$C$4:$C$249,C250,$D$4:$D$249,D250,$E$4:$E$249,E250,$F$4:$F$249,F250,$G$4:$G$249,G250,$H$4:$H$249,H250,$B$4:$B$249,"DE CORTE")-SUMIFS($I$4:$I$249,$C$4:$C$249,C250,$D$4:$D$249,D250,$E$4:$E$249,E250,$F$4:$F$249,F250,$G$4:$G$249,G250,$H$4:$H$249,H250,$B$4:$B$249,"SALIDA"),SUMIFS($I$4:$I$249,$C$4:$C$249,C250,$D$4:$D$249,D250,$E$4:$E$249,E250,$G$4:$G$249,G250,$H$4:$H$249,H250,$B$4:$B$249,"INGRESO")+SUMIFS($I$4:$I$249,$C$4:$C$249,C250,$D$4:$D$249,D250,$E$4:$E$249,E250,$G$4:$G$249,G250,$H$4:$H$249,H250,$B$4:$B$249,"DE CORTE")-SUMIFS($I$4:$I$249,$C$4:$C$249,C250,$D$4:$D$249,D250,$E$4:$E$249,E250,$G$4:$G$249,G250,$H$4:$H$249,H250,$B$4:$B$249,"SALIDA"))),0)</f>
        <v>0</v>
      </c>
      <c r="M250" s="13">
        <f t="shared" si="2"/>
        <v>0</v>
      </c>
      <c r="N250" s="14"/>
      <c r="O250" s="14"/>
      <c r="P250" s="15"/>
      <c r="Q250" s="14"/>
    </row>
    <row r="251" ht="15.75" customHeight="1">
      <c r="A251" s="7"/>
      <c r="B251" s="8"/>
      <c r="C251" s="8"/>
      <c r="D251" s="8"/>
      <c r="E251" s="8"/>
      <c r="F251" s="14"/>
      <c r="G251" s="8"/>
      <c r="H251" s="8"/>
      <c r="I251" s="9"/>
      <c r="J251" s="12" t="str">
        <f t="array" ref="J251:K251">IFERROR(INDEX(PRECIOS_COMPLEMENTOS!$C$4:$F$17,MATCH(D251&amp;"_"&amp;E251,PRECIOS_COMPLEMENTOS!$H$4:$H$17,0),IF(OR(H251="S",H251="20cm"),1,IF(OR(H251="M",H251="25cm"),2,IF(OR(H251="L",H251="30cm"),3,IF(OR(H251="XL",H251="35cm"),4,0))))),0)</f>
        <v>#REF!</v>
      </c>
      <c r="K251" s="12">
        <f t="shared" si="1"/>
        <v>0</v>
      </c>
      <c r="L251" s="13">
        <f>IFERROR(IF(C251="",0,IF(D251="PRETINA",SUMIFS($I$4:$I$250,$C$4:$C$250,C251,$D$4:$D$250,D251,$E$4:$E$250,E251,$F$4:$F$250,F251,$G$4:$G$250,G251,$H$4:$H$250,H251,$B$4:$B$250,"INGRESO")+SUMIFS($I$4:$I$250,$C$4:$C$250,C251,$D$4:$D$250,D251,$E$4:$E$250,E251,$F$4:$F$250,F251,$G$4:$G$250,G251,$H$4:$H$250,H251,$B$4:$B$250,"DE CORTE")-SUMIFS($I$4:$I$250,$C$4:$C$250,C251,$D$4:$D$250,D251,$E$4:$E$250,E251,$F$4:$F$250,F251,$G$4:$G$250,G251,$H$4:$H$250,H251,$B$4:$B$250,"SALIDA"),SUMIFS($I$4:$I$250,$C$4:$C$250,C251,$D$4:$D$250,D251,$E$4:$E$250,E251,$G$4:$G$250,G251,$H$4:$H$250,H251,$B$4:$B$250,"INGRESO")+SUMIFS($I$4:$I$250,$C$4:$C$250,C251,$D$4:$D$250,D251,$E$4:$E$250,E251,$G$4:$G$250,G251,$H$4:$H$250,H251,$B$4:$B$250,"DE CORTE")-SUMIFS($I$4:$I$250,$C$4:$C$250,C251,$D$4:$D$250,D251,$E$4:$E$250,E251,$G$4:$G$250,G251,$H$4:$H$250,H251,$B$4:$B$250,"SALIDA"))),0)</f>
        <v>0</v>
      </c>
      <c r="M251" s="13">
        <f t="shared" si="2"/>
        <v>0</v>
      </c>
      <c r="N251" s="14"/>
      <c r="O251" s="14"/>
      <c r="P251" s="15"/>
      <c r="Q251" s="14"/>
    </row>
    <row r="252" ht="15.75" customHeight="1">
      <c r="A252" s="7"/>
      <c r="B252" s="8"/>
      <c r="C252" s="8"/>
      <c r="D252" s="8"/>
      <c r="E252" s="8"/>
      <c r="F252" s="14"/>
      <c r="G252" s="8"/>
      <c r="H252" s="8"/>
      <c r="I252" s="9"/>
      <c r="J252" s="12" t="str">
        <f t="array" ref="J252:K252">IFERROR(INDEX(PRECIOS_COMPLEMENTOS!$C$4:$F$17,MATCH(D252&amp;"_"&amp;E252,PRECIOS_COMPLEMENTOS!$H$4:$H$17,0),IF(OR(H252="S",H252="20cm"),1,IF(OR(H252="M",H252="25cm"),2,IF(OR(H252="L",H252="30cm"),3,IF(OR(H252="XL",H252="35cm"),4,0))))),0)</f>
        <v>#REF!</v>
      </c>
      <c r="K252" s="12">
        <f t="shared" si="1"/>
        <v>0</v>
      </c>
      <c r="L252" s="13">
        <f>IFERROR(IF(C252="",0,IF(D252="PRETINA",SUMIFS($I$4:$I$251,$C$4:$C$251,C252,$D$4:$D$251,D252,$E$4:$E$251,E252,$F$4:$F$251,F252,$G$4:$G$251,G252,$H$4:$H$251,H252,$B$4:$B$251,"INGRESO")+SUMIFS($I$4:$I$251,$C$4:$C$251,C252,$D$4:$D$251,D252,$E$4:$E$251,E252,$F$4:$F$251,F252,$G$4:$G$251,G252,$H$4:$H$251,H252,$B$4:$B$251,"DE CORTE")-SUMIFS($I$4:$I$251,$C$4:$C$251,C252,$D$4:$D$251,D252,$E$4:$E$251,E252,$F$4:$F$251,F252,$G$4:$G$251,G252,$H$4:$H$251,H252,$B$4:$B$251,"SALIDA"),SUMIFS($I$4:$I$251,$C$4:$C$251,C252,$D$4:$D$251,D252,$E$4:$E$251,E252,$G$4:$G$251,G252,$H$4:$H$251,H252,$B$4:$B$251,"INGRESO")+SUMIFS($I$4:$I$251,$C$4:$C$251,C252,$D$4:$D$251,D252,$E$4:$E$251,E252,$G$4:$G$251,G252,$H$4:$H$251,H252,$B$4:$B$251,"DE CORTE")-SUMIFS($I$4:$I$251,$C$4:$C$251,C252,$D$4:$D$251,D252,$E$4:$E$251,E252,$G$4:$G$251,G252,$H$4:$H$251,H252,$B$4:$B$251,"SALIDA"))),0)</f>
        <v>0</v>
      </c>
      <c r="M252" s="13">
        <f t="shared" si="2"/>
        <v>0</v>
      </c>
      <c r="N252" s="14"/>
      <c r="O252" s="14"/>
      <c r="P252" s="15"/>
      <c r="Q252" s="14"/>
    </row>
    <row r="253" ht="15.75" customHeight="1">
      <c r="A253" s="7"/>
      <c r="B253" s="8"/>
      <c r="C253" s="8"/>
      <c r="D253" s="8"/>
      <c r="E253" s="8"/>
      <c r="F253" s="14"/>
      <c r="G253" s="8"/>
      <c r="H253" s="8"/>
      <c r="I253" s="9"/>
      <c r="J253" s="12" t="str">
        <f t="array" ref="J253:K253">IFERROR(INDEX(PRECIOS_COMPLEMENTOS!$C$4:$F$17,MATCH(D253&amp;"_"&amp;E253,PRECIOS_COMPLEMENTOS!$H$4:$H$17,0),IF(OR(H253="S",H253="20cm"),1,IF(OR(H253="M",H253="25cm"),2,IF(OR(H253="L",H253="30cm"),3,IF(OR(H253="XL",H253="35cm"),4,0))))),0)</f>
        <v>#REF!</v>
      </c>
      <c r="K253" s="12">
        <f t="shared" si="1"/>
        <v>0</v>
      </c>
      <c r="L253" s="13">
        <f>IFERROR(IF(C253="",0,IF(D253="PRETINA",SUMIFS($I$4:$I$252,$C$4:$C$252,C253,$D$4:$D$252,D253,$E$4:$E$252,E253,$F$4:$F$252,F253,$G$4:$G$252,G253,$H$4:$H$252,H253,$B$4:$B$252,"INGRESO")+SUMIFS($I$4:$I$252,$C$4:$C$252,C253,$D$4:$D$252,D253,$E$4:$E$252,E253,$F$4:$F$252,F253,$G$4:$G$252,G253,$H$4:$H$252,H253,$B$4:$B$252,"DE CORTE")-SUMIFS($I$4:$I$252,$C$4:$C$252,C253,$D$4:$D$252,D253,$E$4:$E$252,E253,$F$4:$F$252,F253,$G$4:$G$252,G253,$H$4:$H$252,H253,$B$4:$B$252,"SALIDA"),SUMIFS($I$4:$I$252,$C$4:$C$252,C253,$D$4:$D$252,D253,$E$4:$E$252,E253,$G$4:$G$252,G253,$H$4:$H$252,H253,$B$4:$B$252,"INGRESO")+SUMIFS($I$4:$I$252,$C$4:$C$252,C253,$D$4:$D$252,D253,$E$4:$E$252,E253,$G$4:$G$252,G253,$H$4:$H$252,H253,$B$4:$B$252,"DE CORTE")-SUMIFS($I$4:$I$252,$C$4:$C$252,C253,$D$4:$D$252,D253,$E$4:$E$252,E253,$G$4:$G$252,G253,$H$4:$H$252,H253,$B$4:$B$252,"SALIDA"))),0)</f>
        <v>0</v>
      </c>
      <c r="M253" s="13">
        <f t="shared" si="2"/>
        <v>0</v>
      </c>
      <c r="N253" s="14"/>
      <c r="O253" s="14"/>
      <c r="P253" s="15"/>
      <c r="Q253" s="14"/>
    </row>
    <row r="254" ht="15.75" customHeight="1">
      <c r="A254" s="7"/>
      <c r="B254" s="8"/>
      <c r="C254" s="8"/>
      <c r="D254" s="8"/>
      <c r="E254" s="8"/>
      <c r="F254" s="14"/>
      <c r="G254" s="8"/>
      <c r="H254" s="8"/>
      <c r="I254" s="9"/>
      <c r="J254" s="12" t="str">
        <f t="array" ref="J254:K254">IFERROR(INDEX(PRECIOS_COMPLEMENTOS!$C$4:$F$17,MATCH(D254&amp;"_"&amp;E254,PRECIOS_COMPLEMENTOS!$H$4:$H$17,0),IF(OR(H254="S",H254="20cm"),1,IF(OR(H254="M",H254="25cm"),2,IF(OR(H254="L",H254="30cm"),3,IF(OR(H254="XL",H254="35cm"),4,0))))),0)</f>
        <v>#REF!</v>
      </c>
      <c r="K254" s="12">
        <f t="shared" si="1"/>
        <v>0</v>
      </c>
      <c r="L254" s="13">
        <f>IFERROR(IF(C254="",0,IF(D254="PRETINA",SUMIFS($I$4:$I$253,$C$4:$C$253,C254,$D$4:$D$253,D254,$E$4:$E$253,E254,$F$4:$F$253,F254,$G$4:$G$253,G254,$H$4:$H$253,H254,$B$4:$B$253,"INGRESO")+SUMIFS($I$4:$I$253,$C$4:$C$253,C254,$D$4:$D$253,D254,$E$4:$E$253,E254,$F$4:$F$253,F254,$G$4:$G$253,G254,$H$4:$H$253,H254,$B$4:$B$253,"DE CORTE")-SUMIFS($I$4:$I$253,$C$4:$C$253,C254,$D$4:$D$253,D254,$E$4:$E$253,E254,$F$4:$F$253,F254,$G$4:$G$253,G254,$H$4:$H$253,H254,$B$4:$B$253,"SALIDA"),SUMIFS($I$4:$I$253,$C$4:$C$253,C254,$D$4:$D$253,D254,$E$4:$E$253,E254,$G$4:$G$253,G254,$H$4:$H$253,H254,$B$4:$B$253,"INGRESO")+SUMIFS($I$4:$I$253,$C$4:$C$253,C254,$D$4:$D$253,D254,$E$4:$E$253,E254,$G$4:$G$253,G254,$H$4:$H$253,H254,$B$4:$B$253,"DE CORTE")-SUMIFS($I$4:$I$253,$C$4:$C$253,C254,$D$4:$D$253,D254,$E$4:$E$253,E254,$G$4:$G$253,G254,$H$4:$H$253,H254,$B$4:$B$253,"SALIDA"))),0)</f>
        <v>0</v>
      </c>
      <c r="M254" s="13">
        <f t="shared" si="2"/>
        <v>0</v>
      </c>
      <c r="N254" s="14"/>
      <c r="O254" s="14"/>
      <c r="P254" s="15"/>
      <c r="Q254" s="14"/>
    </row>
    <row r="255" ht="15.75" customHeight="1">
      <c r="A255" s="7"/>
      <c r="B255" s="8"/>
      <c r="C255" s="8"/>
      <c r="D255" s="8"/>
      <c r="E255" s="8"/>
      <c r="F255" s="14"/>
      <c r="G255" s="8"/>
      <c r="H255" s="8"/>
      <c r="I255" s="9"/>
      <c r="J255" s="12" t="str">
        <f t="array" ref="J255:K255">IFERROR(INDEX(PRECIOS_COMPLEMENTOS!$C$4:$F$17,MATCH(D255&amp;"_"&amp;E255,PRECIOS_COMPLEMENTOS!$H$4:$H$17,0),IF(OR(H255="S",H255="20cm"),1,IF(OR(H255="M",H255="25cm"),2,IF(OR(H255="L",H255="30cm"),3,IF(OR(H255="XL",H255="35cm"),4,0))))),0)</f>
        <v>#REF!</v>
      </c>
      <c r="K255" s="12">
        <f t="shared" si="1"/>
        <v>0</v>
      </c>
      <c r="L255" s="13">
        <f>IFERROR(IF(C255="",0,IF(D255="PRETINA",SUMIFS($I$4:$I$254,$C$4:$C$254,C255,$D$4:$D$254,D255,$E$4:$E$254,E255,$F$4:$F$254,F255,$G$4:$G$254,G255,$H$4:$H$254,H255,$B$4:$B$254,"INGRESO")+SUMIFS($I$4:$I$254,$C$4:$C$254,C255,$D$4:$D$254,D255,$E$4:$E$254,E255,$F$4:$F$254,F255,$G$4:$G$254,G255,$H$4:$H$254,H255,$B$4:$B$254,"DE CORTE")-SUMIFS($I$4:$I$254,$C$4:$C$254,C255,$D$4:$D$254,D255,$E$4:$E$254,E255,$F$4:$F$254,F255,$G$4:$G$254,G255,$H$4:$H$254,H255,$B$4:$B$254,"SALIDA"),SUMIFS($I$4:$I$254,$C$4:$C$254,C255,$D$4:$D$254,D255,$E$4:$E$254,E255,$G$4:$G$254,G255,$H$4:$H$254,H255,$B$4:$B$254,"INGRESO")+SUMIFS($I$4:$I$254,$C$4:$C$254,C255,$D$4:$D$254,D255,$E$4:$E$254,E255,$G$4:$G$254,G255,$H$4:$H$254,H255,$B$4:$B$254,"DE CORTE")-SUMIFS($I$4:$I$254,$C$4:$C$254,C255,$D$4:$D$254,D255,$E$4:$E$254,E255,$G$4:$G$254,G255,$H$4:$H$254,H255,$B$4:$B$254,"SALIDA"))),0)</f>
        <v>0</v>
      </c>
      <c r="M255" s="13">
        <f t="shared" si="2"/>
        <v>0</v>
      </c>
      <c r="N255" s="14"/>
      <c r="O255" s="14"/>
      <c r="P255" s="15"/>
      <c r="Q255" s="14"/>
    </row>
    <row r="256" ht="15.75" customHeight="1">
      <c r="A256" s="7"/>
      <c r="B256" s="8"/>
      <c r="C256" s="8"/>
      <c r="D256" s="8"/>
      <c r="E256" s="8"/>
      <c r="F256" s="14"/>
      <c r="G256" s="8"/>
      <c r="H256" s="8"/>
      <c r="I256" s="9"/>
      <c r="J256" s="12" t="str">
        <f t="array" ref="J256:K256">IFERROR(INDEX(PRECIOS_COMPLEMENTOS!$C$4:$F$17,MATCH(D256&amp;"_"&amp;E256,PRECIOS_COMPLEMENTOS!$H$4:$H$17,0),IF(OR(H256="S",H256="20cm"),1,IF(OR(H256="M",H256="25cm"),2,IF(OR(H256="L",H256="30cm"),3,IF(OR(H256="XL",H256="35cm"),4,0))))),0)</f>
        <v>#REF!</v>
      </c>
      <c r="K256" s="12">
        <f t="shared" si="1"/>
        <v>0</v>
      </c>
      <c r="L256" s="13">
        <f>IFERROR(IF(C256="",0,IF(D256="PRETINA",SUMIFS($I$4:$I$255,$C$4:$C$255,C256,$D$4:$D$255,D256,$E$4:$E$255,E256,$F$4:$F$255,F256,$G$4:$G$255,G256,$H$4:$H$255,H256,$B$4:$B$255,"INGRESO")+SUMIFS($I$4:$I$255,$C$4:$C$255,C256,$D$4:$D$255,D256,$E$4:$E$255,E256,$F$4:$F$255,F256,$G$4:$G$255,G256,$H$4:$H$255,H256,$B$4:$B$255,"DE CORTE")-SUMIFS($I$4:$I$255,$C$4:$C$255,C256,$D$4:$D$255,D256,$E$4:$E$255,E256,$F$4:$F$255,F256,$G$4:$G$255,G256,$H$4:$H$255,H256,$B$4:$B$255,"SALIDA"),SUMIFS($I$4:$I$255,$C$4:$C$255,C256,$D$4:$D$255,D256,$E$4:$E$255,E256,$G$4:$G$255,G256,$H$4:$H$255,H256,$B$4:$B$255,"INGRESO")+SUMIFS($I$4:$I$255,$C$4:$C$255,C256,$D$4:$D$255,D256,$E$4:$E$255,E256,$G$4:$G$255,G256,$H$4:$H$255,H256,$B$4:$B$255,"DE CORTE")-SUMIFS($I$4:$I$255,$C$4:$C$255,C256,$D$4:$D$255,D256,$E$4:$E$255,E256,$G$4:$G$255,G256,$H$4:$H$255,H256,$B$4:$B$255,"SALIDA"))),0)</f>
        <v>0</v>
      </c>
      <c r="M256" s="13">
        <f t="shared" si="2"/>
        <v>0</v>
      </c>
      <c r="N256" s="14"/>
      <c r="O256" s="14"/>
      <c r="P256" s="15"/>
      <c r="Q256" s="14"/>
    </row>
    <row r="257" ht="15.75" customHeight="1">
      <c r="A257" s="7"/>
      <c r="B257" s="8"/>
      <c r="C257" s="8"/>
      <c r="D257" s="8"/>
      <c r="E257" s="8"/>
      <c r="F257" s="14"/>
      <c r="G257" s="8"/>
      <c r="H257" s="8"/>
      <c r="I257" s="9"/>
      <c r="J257" s="12" t="str">
        <f t="array" ref="J257:K257">IFERROR(INDEX(PRECIOS_COMPLEMENTOS!$C$4:$F$17,MATCH(D257&amp;"_"&amp;E257,PRECIOS_COMPLEMENTOS!$H$4:$H$17,0),IF(OR(H257="S",H257="20cm"),1,IF(OR(H257="M",H257="25cm"),2,IF(OR(H257="L",H257="30cm"),3,IF(OR(H257="XL",H257="35cm"),4,0))))),0)</f>
        <v>#REF!</v>
      </c>
      <c r="K257" s="12">
        <f t="shared" si="1"/>
        <v>0</v>
      </c>
      <c r="L257" s="13">
        <f>IFERROR(IF(C257="",0,IF(D257="PRETINA",SUMIFS($I$4:$I$256,$C$4:$C$256,C257,$D$4:$D$256,D257,$E$4:$E$256,E257,$F$4:$F$256,F257,$G$4:$G$256,G257,$H$4:$H$256,H257,$B$4:$B$256,"INGRESO")+SUMIFS($I$4:$I$256,$C$4:$C$256,C257,$D$4:$D$256,D257,$E$4:$E$256,E257,$F$4:$F$256,F257,$G$4:$G$256,G257,$H$4:$H$256,H257,$B$4:$B$256,"DE CORTE")-SUMIFS($I$4:$I$256,$C$4:$C$256,C257,$D$4:$D$256,D257,$E$4:$E$256,E257,$F$4:$F$256,F257,$G$4:$G$256,G257,$H$4:$H$256,H257,$B$4:$B$256,"SALIDA"),SUMIFS($I$4:$I$256,$C$4:$C$256,C257,$D$4:$D$256,D257,$E$4:$E$256,E257,$G$4:$G$256,G257,$H$4:$H$256,H257,$B$4:$B$256,"INGRESO")+SUMIFS($I$4:$I$256,$C$4:$C$256,C257,$D$4:$D$256,D257,$E$4:$E$256,E257,$G$4:$G$256,G257,$H$4:$H$256,H257,$B$4:$B$256,"DE CORTE")-SUMIFS($I$4:$I$256,$C$4:$C$256,C257,$D$4:$D$256,D257,$E$4:$E$256,E257,$G$4:$G$256,G257,$H$4:$H$256,H257,$B$4:$B$256,"SALIDA"))),0)</f>
        <v>0</v>
      </c>
      <c r="M257" s="13">
        <f t="shared" si="2"/>
        <v>0</v>
      </c>
      <c r="N257" s="14"/>
      <c r="O257" s="14"/>
      <c r="P257" s="15"/>
      <c r="Q257" s="14"/>
    </row>
    <row r="258" ht="15.75" customHeight="1">
      <c r="A258" s="7"/>
      <c r="B258" s="8"/>
      <c r="C258" s="8"/>
      <c r="D258" s="8"/>
      <c r="E258" s="8"/>
      <c r="F258" s="14"/>
      <c r="G258" s="8"/>
      <c r="H258" s="8"/>
      <c r="I258" s="9"/>
      <c r="J258" s="12" t="str">
        <f t="array" ref="J258:K258">IFERROR(INDEX(PRECIOS_COMPLEMENTOS!$C$4:$F$17,MATCH(D258&amp;"_"&amp;E258,PRECIOS_COMPLEMENTOS!$H$4:$H$17,0),IF(OR(H258="S",H258="20cm"),1,IF(OR(H258="M",H258="25cm"),2,IF(OR(H258="L",H258="30cm"),3,IF(OR(H258="XL",H258="35cm"),4,0))))),0)</f>
        <v>#REF!</v>
      </c>
      <c r="K258" s="12">
        <f t="shared" si="1"/>
        <v>0</v>
      </c>
      <c r="L258" s="13">
        <f>IFERROR(IF(C258="",0,IF(D258="PRETINA",SUMIFS($I$4:$I$257,$C$4:$C$257,C258,$D$4:$D$257,D258,$E$4:$E$257,E258,$F$4:$F$257,F258,$G$4:$G$257,G258,$H$4:$H$257,H258,$B$4:$B$257,"INGRESO")+SUMIFS($I$4:$I$257,$C$4:$C$257,C258,$D$4:$D$257,D258,$E$4:$E$257,E258,$F$4:$F$257,F258,$G$4:$G$257,G258,$H$4:$H$257,H258,$B$4:$B$257,"DE CORTE")-SUMIFS($I$4:$I$257,$C$4:$C$257,C258,$D$4:$D$257,D258,$E$4:$E$257,E258,$F$4:$F$257,F258,$G$4:$G$257,G258,$H$4:$H$257,H258,$B$4:$B$257,"SALIDA"),SUMIFS($I$4:$I$257,$C$4:$C$257,C258,$D$4:$D$257,D258,$E$4:$E$257,E258,$G$4:$G$257,G258,$H$4:$H$257,H258,$B$4:$B$257,"INGRESO")+SUMIFS($I$4:$I$257,$C$4:$C$257,C258,$D$4:$D$257,D258,$E$4:$E$257,E258,$G$4:$G$257,G258,$H$4:$H$257,H258,$B$4:$B$257,"DE CORTE")-SUMIFS($I$4:$I$257,$C$4:$C$257,C258,$D$4:$D$257,D258,$E$4:$E$257,E258,$G$4:$G$257,G258,$H$4:$H$257,H258,$B$4:$B$257,"SALIDA"))),0)</f>
        <v>0</v>
      </c>
      <c r="M258" s="13">
        <f t="shared" si="2"/>
        <v>0</v>
      </c>
      <c r="N258" s="14"/>
      <c r="O258" s="14"/>
      <c r="P258" s="15"/>
      <c r="Q258" s="14"/>
    </row>
    <row r="259" ht="15.75" customHeight="1">
      <c r="A259" s="7"/>
      <c r="B259" s="8"/>
      <c r="C259" s="8"/>
      <c r="D259" s="8"/>
      <c r="E259" s="8"/>
      <c r="F259" s="14"/>
      <c r="G259" s="8"/>
      <c r="H259" s="8"/>
      <c r="I259" s="9"/>
      <c r="J259" s="12" t="str">
        <f t="array" ref="J259:K259">IFERROR(INDEX(PRECIOS_COMPLEMENTOS!$C$4:$F$17,MATCH(D259&amp;"_"&amp;E259,PRECIOS_COMPLEMENTOS!$H$4:$H$17,0),IF(OR(H259="S",H259="20cm"),1,IF(OR(H259="M",H259="25cm"),2,IF(OR(H259="L",H259="30cm"),3,IF(OR(H259="XL",H259="35cm"),4,0))))),0)</f>
        <v>#REF!</v>
      </c>
      <c r="K259" s="12">
        <f t="shared" si="1"/>
        <v>0</v>
      </c>
      <c r="L259" s="13">
        <f>IFERROR(IF(C259="",0,IF(D259="PRETINA",SUMIFS($I$4:$I$258,$C$4:$C$258,C259,$D$4:$D$258,D259,$E$4:$E$258,E259,$F$4:$F$258,F259,$G$4:$G$258,G259,$H$4:$H$258,H259,$B$4:$B$258,"INGRESO")+SUMIFS($I$4:$I$258,$C$4:$C$258,C259,$D$4:$D$258,D259,$E$4:$E$258,E259,$F$4:$F$258,F259,$G$4:$G$258,G259,$H$4:$H$258,H259,$B$4:$B$258,"DE CORTE")-SUMIFS($I$4:$I$258,$C$4:$C$258,C259,$D$4:$D$258,D259,$E$4:$E$258,E259,$F$4:$F$258,F259,$G$4:$G$258,G259,$H$4:$H$258,H259,$B$4:$B$258,"SALIDA"),SUMIFS($I$4:$I$258,$C$4:$C$258,C259,$D$4:$D$258,D259,$E$4:$E$258,E259,$G$4:$G$258,G259,$H$4:$H$258,H259,$B$4:$B$258,"INGRESO")+SUMIFS($I$4:$I$258,$C$4:$C$258,C259,$D$4:$D$258,D259,$E$4:$E$258,E259,$G$4:$G$258,G259,$H$4:$H$258,H259,$B$4:$B$258,"DE CORTE")-SUMIFS($I$4:$I$258,$C$4:$C$258,C259,$D$4:$D$258,D259,$E$4:$E$258,E259,$G$4:$G$258,G259,$H$4:$H$258,H259,$B$4:$B$258,"SALIDA"))),0)</f>
        <v>0</v>
      </c>
      <c r="M259" s="13">
        <f t="shared" si="2"/>
        <v>0</v>
      </c>
      <c r="N259" s="14"/>
      <c r="O259" s="14"/>
      <c r="P259" s="15"/>
      <c r="Q259" s="14"/>
    </row>
    <row r="260" ht="15.75" customHeight="1">
      <c r="A260" s="7"/>
      <c r="B260" s="8"/>
      <c r="C260" s="8"/>
      <c r="D260" s="8"/>
      <c r="E260" s="8"/>
      <c r="F260" s="14"/>
      <c r="G260" s="8"/>
      <c r="H260" s="8"/>
      <c r="I260" s="9"/>
      <c r="J260" s="12" t="str">
        <f t="array" ref="J260:K260">IFERROR(INDEX(PRECIOS_COMPLEMENTOS!$C$4:$F$17,MATCH(D260&amp;"_"&amp;E260,PRECIOS_COMPLEMENTOS!$H$4:$H$17,0),IF(OR(H260="S",H260="20cm"),1,IF(OR(H260="M",H260="25cm"),2,IF(OR(H260="L",H260="30cm"),3,IF(OR(H260="XL",H260="35cm"),4,0))))),0)</f>
        <v>#REF!</v>
      </c>
      <c r="K260" s="12">
        <f t="shared" si="1"/>
        <v>0</v>
      </c>
      <c r="L260" s="13">
        <f>IFERROR(IF(C260="",0,IF(D260="PRETINA",SUMIFS($I$4:$I$259,$C$4:$C$259,C260,$D$4:$D$259,D260,$E$4:$E$259,E260,$F$4:$F$259,F260,$G$4:$G$259,G260,$H$4:$H$259,H260,$B$4:$B$259,"INGRESO")+SUMIFS($I$4:$I$259,$C$4:$C$259,C260,$D$4:$D$259,D260,$E$4:$E$259,E260,$F$4:$F$259,F260,$G$4:$G$259,G260,$H$4:$H$259,H260,$B$4:$B$259,"DE CORTE")-SUMIFS($I$4:$I$259,$C$4:$C$259,C260,$D$4:$D$259,D260,$E$4:$E$259,E260,$F$4:$F$259,F260,$G$4:$G$259,G260,$H$4:$H$259,H260,$B$4:$B$259,"SALIDA"),SUMIFS($I$4:$I$259,$C$4:$C$259,C260,$D$4:$D$259,D260,$E$4:$E$259,E260,$G$4:$G$259,G260,$H$4:$H$259,H260,$B$4:$B$259,"INGRESO")+SUMIFS($I$4:$I$259,$C$4:$C$259,C260,$D$4:$D$259,D260,$E$4:$E$259,E260,$G$4:$G$259,G260,$H$4:$H$259,H260,$B$4:$B$259,"DE CORTE")-SUMIFS($I$4:$I$259,$C$4:$C$259,C260,$D$4:$D$259,D260,$E$4:$E$259,E260,$G$4:$G$259,G260,$H$4:$H$259,H260,$B$4:$B$259,"SALIDA"))),0)</f>
        <v>0</v>
      </c>
      <c r="M260" s="13">
        <f t="shared" si="2"/>
        <v>0</v>
      </c>
      <c r="N260" s="14"/>
      <c r="O260" s="14"/>
      <c r="P260" s="15"/>
      <c r="Q260" s="14"/>
    </row>
    <row r="261" ht="15.75" customHeight="1">
      <c r="A261" s="7"/>
      <c r="B261" s="8"/>
      <c r="C261" s="8"/>
      <c r="D261" s="8"/>
      <c r="E261" s="8"/>
      <c r="F261" s="14"/>
      <c r="G261" s="8"/>
      <c r="H261" s="8"/>
      <c r="I261" s="9"/>
      <c r="J261" s="12" t="str">
        <f t="array" ref="J261:K261">IFERROR(INDEX(PRECIOS_COMPLEMENTOS!$C$4:$F$17,MATCH(D261&amp;"_"&amp;E261,PRECIOS_COMPLEMENTOS!$H$4:$H$17,0),IF(OR(H261="S",H261="20cm"),1,IF(OR(H261="M",H261="25cm"),2,IF(OR(H261="L",H261="30cm"),3,IF(OR(H261="XL",H261="35cm"),4,0))))),0)</f>
        <v>#REF!</v>
      </c>
      <c r="K261" s="12">
        <f t="shared" si="1"/>
        <v>0</v>
      </c>
      <c r="L261" s="13">
        <f>IFERROR(IF(C261="",0,IF(D261="PRETINA",SUMIFS($I$4:$I$260,$C$4:$C$260,C261,$D$4:$D$260,D261,$E$4:$E$260,E261,$F$4:$F$260,F261,$G$4:$G$260,G261,$H$4:$H$260,H261,$B$4:$B$260,"INGRESO")+SUMIFS($I$4:$I$260,$C$4:$C$260,C261,$D$4:$D$260,D261,$E$4:$E$260,E261,$F$4:$F$260,F261,$G$4:$G$260,G261,$H$4:$H$260,H261,$B$4:$B$260,"DE CORTE")-SUMIFS($I$4:$I$260,$C$4:$C$260,C261,$D$4:$D$260,D261,$E$4:$E$260,E261,$F$4:$F$260,F261,$G$4:$G$260,G261,$H$4:$H$260,H261,$B$4:$B$260,"SALIDA"),SUMIFS($I$4:$I$260,$C$4:$C$260,C261,$D$4:$D$260,D261,$E$4:$E$260,E261,$G$4:$G$260,G261,$H$4:$H$260,H261,$B$4:$B$260,"INGRESO")+SUMIFS($I$4:$I$260,$C$4:$C$260,C261,$D$4:$D$260,D261,$E$4:$E$260,E261,$G$4:$G$260,G261,$H$4:$H$260,H261,$B$4:$B$260,"DE CORTE")-SUMIFS($I$4:$I$260,$C$4:$C$260,C261,$D$4:$D$260,D261,$E$4:$E$260,E261,$G$4:$G$260,G261,$H$4:$H$260,H261,$B$4:$B$260,"SALIDA"))),0)</f>
        <v>0</v>
      </c>
      <c r="M261" s="13">
        <f t="shared" si="2"/>
        <v>0</v>
      </c>
      <c r="N261" s="14"/>
      <c r="O261" s="14"/>
      <c r="P261" s="15"/>
      <c r="Q261" s="14"/>
    </row>
    <row r="262" ht="15.75" customHeight="1">
      <c r="A262" s="7"/>
      <c r="B262" s="8"/>
      <c r="C262" s="8"/>
      <c r="D262" s="8"/>
      <c r="E262" s="8"/>
      <c r="F262" s="14"/>
      <c r="G262" s="8"/>
      <c r="H262" s="8"/>
      <c r="I262" s="9"/>
      <c r="J262" s="12" t="str">
        <f t="array" ref="J262:K262">IFERROR(INDEX(PRECIOS_COMPLEMENTOS!$C$4:$F$17,MATCH(D262&amp;"_"&amp;E262,PRECIOS_COMPLEMENTOS!$H$4:$H$17,0),IF(OR(H262="S",H262="20cm"),1,IF(OR(H262="M",H262="25cm"),2,IF(OR(H262="L",H262="30cm"),3,IF(OR(H262="XL",H262="35cm"),4,0))))),0)</f>
        <v>#REF!</v>
      </c>
      <c r="K262" s="12">
        <f t="shared" si="1"/>
        <v>0</v>
      </c>
      <c r="L262" s="13">
        <f>IFERROR(IF(C262="",0,IF(D262="PRETINA",SUMIFS($I$4:$I$261,$C$4:$C$261,C262,$D$4:$D$261,D262,$E$4:$E$261,E262,$F$4:$F$261,F262,$G$4:$G$261,G262,$H$4:$H$261,H262,$B$4:$B$261,"INGRESO")+SUMIFS($I$4:$I$261,$C$4:$C$261,C262,$D$4:$D$261,D262,$E$4:$E$261,E262,$F$4:$F$261,F262,$G$4:$G$261,G262,$H$4:$H$261,H262,$B$4:$B$261,"DE CORTE")-SUMIFS($I$4:$I$261,$C$4:$C$261,C262,$D$4:$D$261,D262,$E$4:$E$261,E262,$F$4:$F$261,F262,$G$4:$G$261,G262,$H$4:$H$261,H262,$B$4:$B$261,"SALIDA"),SUMIFS($I$4:$I$261,$C$4:$C$261,C262,$D$4:$D$261,D262,$E$4:$E$261,E262,$G$4:$G$261,G262,$H$4:$H$261,H262,$B$4:$B$261,"INGRESO")+SUMIFS($I$4:$I$261,$C$4:$C$261,C262,$D$4:$D$261,D262,$E$4:$E$261,E262,$G$4:$G$261,G262,$H$4:$H$261,H262,$B$4:$B$261,"DE CORTE")-SUMIFS($I$4:$I$261,$C$4:$C$261,C262,$D$4:$D$261,D262,$E$4:$E$261,E262,$G$4:$G$261,G262,$H$4:$H$261,H262,$B$4:$B$261,"SALIDA"))),0)</f>
        <v>0</v>
      </c>
      <c r="M262" s="13">
        <f t="shared" si="2"/>
        <v>0</v>
      </c>
      <c r="N262" s="14"/>
      <c r="O262" s="14"/>
      <c r="P262" s="15"/>
      <c r="Q262" s="14"/>
    </row>
    <row r="263" ht="15.75" customHeight="1">
      <c r="A263" s="7"/>
      <c r="B263" s="8"/>
      <c r="C263" s="8"/>
      <c r="D263" s="8"/>
      <c r="E263" s="8"/>
      <c r="F263" s="14"/>
      <c r="G263" s="8"/>
      <c r="H263" s="8"/>
      <c r="I263" s="9"/>
      <c r="J263" s="12" t="str">
        <f t="array" ref="J263:K263">IFERROR(INDEX(PRECIOS_COMPLEMENTOS!$C$4:$F$17,MATCH(D263&amp;"_"&amp;E263,PRECIOS_COMPLEMENTOS!$H$4:$H$17,0),IF(OR(H263="S",H263="20cm"),1,IF(OR(H263="M",H263="25cm"),2,IF(OR(H263="L",H263="30cm"),3,IF(OR(H263="XL",H263="35cm"),4,0))))),0)</f>
        <v>#REF!</v>
      </c>
      <c r="K263" s="12">
        <f t="shared" si="1"/>
        <v>0</v>
      </c>
      <c r="L263" s="13">
        <f>IFERROR(IF(C263="",0,IF(D263="PRETINA",SUMIFS($I$4:$I$262,$C$4:$C$262,C263,$D$4:$D$262,D263,$E$4:$E$262,E263,$F$4:$F$262,F263,$G$4:$G$262,G263,$H$4:$H$262,H263,$B$4:$B$262,"INGRESO")+SUMIFS($I$4:$I$262,$C$4:$C$262,C263,$D$4:$D$262,D263,$E$4:$E$262,E263,$F$4:$F$262,F263,$G$4:$G$262,G263,$H$4:$H$262,H263,$B$4:$B$262,"DE CORTE")-SUMIFS($I$4:$I$262,$C$4:$C$262,C263,$D$4:$D$262,D263,$E$4:$E$262,E263,$F$4:$F$262,F263,$G$4:$G$262,G263,$H$4:$H$262,H263,$B$4:$B$262,"SALIDA"),SUMIFS($I$4:$I$262,$C$4:$C$262,C263,$D$4:$D$262,D263,$E$4:$E$262,E263,$G$4:$G$262,G263,$H$4:$H$262,H263,$B$4:$B$262,"INGRESO")+SUMIFS($I$4:$I$262,$C$4:$C$262,C263,$D$4:$D$262,D263,$E$4:$E$262,E263,$G$4:$G$262,G263,$H$4:$H$262,H263,$B$4:$B$262,"DE CORTE")-SUMIFS($I$4:$I$262,$C$4:$C$262,C263,$D$4:$D$262,D263,$E$4:$E$262,E263,$G$4:$G$262,G263,$H$4:$H$262,H263,$B$4:$B$262,"SALIDA"))),0)</f>
        <v>0</v>
      </c>
      <c r="M263" s="13">
        <f t="shared" si="2"/>
        <v>0</v>
      </c>
      <c r="N263" s="14"/>
      <c r="O263" s="14"/>
      <c r="P263" s="15"/>
      <c r="Q263" s="14"/>
    </row>
    <row r="264" ht="15.75" customHeight="1">
      <c r="A264" s="7"/>
      <c r="B264" s="8"/>
      <c r="C264" s="8"/>
      <c r="D264" s="8"/>
      <c r="E264" s="8"/>
      <c r="F264" s="14"/>
      <c r="G264" s="8"/>
      <c r="H264" s="8"/>
      <c r="I264" s="9"/>
      <c r="J264" s="12" t="str">
        <f t="array" ref="J264:K264">IFERROR(INDEX(PRECIOS_COMPLEMENTOS!$C$4:$F$17,MATCH(D264&amp;"_"&amp;E264,PRECIOS_COMPLEMENTOS!$H$4:$H$17,0),IF(OR(H264="S",H264="20cm"),1,IF(OR(H264="M",H264="25cm"),2,IF(OR(H264="L",H264="30cm"),3,IF(OR(H264="XL",H264="35cm"),4,0))))),0)</f>
        <v>#REF!</v>
      </c>
      <c r="K264" s="12">
        <f t="shared" si="1"/>
        <v>0</v>
      </c>
      <c r="L264" s="13">
        <f>IFERROR(IF(C264="",0,IF(D264="PRETINA",SUMIFS($I$4:$I$263,$C$4:$C$263,C264,$D$4:$D$263,D264,$E$4:$E$263,E264,$F$4:$F$263,F264,$G$4:$G$263,G264,$H$4:$H$263,H264,$B$4:$B$263,"INGRESO")+SUMIFS($I$4:$I$263,$C$4:$C$263,C264,$D$4:$D$263,D264,$E$4:$E$263,E264,$F$4:$F$263,F264,$G$4:$G$263,G264,$H$4:$H$263,H264,$B$4:$B$263,"DE CORTE")-SUMIFS($I$4:$I$263,$C$4:$C$263,C264,$D$4:$D$263,D264,$E$4:$E$263,E264,$F$4:$F$263,F264,$G$4:$G$263,G264,$H$4:$H$263,H264,$B$4:$B$263,"SALIDA"),SUMIFS($I$4:$I$263,$C$4:$C$263,C264,$D$4:$D$263,D264,$E$4:$E$263,E264,$G$4:$G$263,G264,$H$4:$H$263,H264,$B$4:$B$263,"INGRESO")+SUMIFS($I$4:$I$263,$C$4:$C$263,C264,$D$4:$D$263,D264,$E$4:$E$263,E264,$G$4:$G$263,G264,$H$4:$H$263,H264,$B$4:$B$263,"DE CORTE")-SUMIFS($I$4:$I$263,$C$4:$C$263,C264,$D$4:$D$263,D264,$E$4:$E$263,E264,$G$4:$G$263,G264,$H$4:$H$263,H264,$B$4:$B$263,"SALIDA"))),0)</f>
        <v>0</v>
      </c>
      <c r="M264" s="13">
        <f t="shared" si="2"/>
        <v>0</v>
      </c>
      <c r="N264" s="14"/>
      <c r="O264" s="14"/>
      <c r="P264" s="15"/>
      <c r="Q264" s="14"/>
    </row>
    <row r="265" ht="15.75" customHeight="1">
      <c r="A265" s="7"/>
      <c r="B265" s="8"/>
      <c r="C265" s="8"/>
      <c r="D265" s="8"/>
      <c r="E265" s="8"/>
      <c r="F265" s="14"/>
      <c r="G265" s="8"/>
      <c r="H265" s="8"/>
      <c r="I265" s="9"/>
      <c r="J265" s="12" t="str">
        <f t="array" ref="J265:K265">IFERROR(INDEX(PRECIOS_COMPLEMENTOS!$C$4:$F$17,MATCH(D265&amp;"_"&amp;E265,PRECIOS_COMPLEMENTOS!$H$4:$H$17,0),IF(OR(H265="S",H265="20cm"),1,IF(OR(H265="M",H265="25cm"),2,IF(OR(H265="L",H265="30cm"),3,IF(OR(H265="XL",H265="35cm"),4,0))))),0)</f>
        <v>#REF!</v>
      </c>
      <c r="K265" s="12">
        <f t="shared" si="1"/>
        <v>0</v>
      </c>
      <c r="L265" s="13">
        <f>IFERROR(IF(C265="",0,IF(D265="PRETINA",SUMIFS($I$4:$I$264,$C$4:$C$264,C265,$D$4:$D$264,D265,$E$4:$E$264,E265,$F$4:$F$264,F265,$G$4:$G$264,G265,$H$4:$H$264,H265,$B$4:$B$264,"INGRESO")+SUMIFS($I$4:$I$264,$C$4:$C$264,C265,$D$4:$D$264,D265,$E$4:$E$264,E265,$F$4:$F$264,F265,$G$4:$G$264,G265,$H$4:$H$264,H265,$B$4:$B$264,"DE CORTE")-SUMIFS($I$4:$I$264,$C$4:$C$264,C265,$D$4:$D$264,D265,$E$4:$E$264,E265,$F$4:$F$264,F265,$G$4:$G$264,G265,$H$4:$H$264,H265,$B$4:$B$264,"SALIDA"),SUMIFS($I$4:$I$264,$C$4:$C$264,C265,$D$4:$D$264,D265,$E$4:$E$264,E265,$G$4:$G$264,G265,$H$4:$H$264,H265,$B$4:$B$264,"INGRESO")+SUMIFS($I$4:$I$264,$C$4:$C$264,C265,$D$4:$D$264,D265,$E$4:$E$264,E265,$G$4:$G$264,G265,$H$4:$H$264,H265,$B$4:$B$264,"DE CORTE")-SUMIFS($I$4:$I$264,$C$4:$C$264,C265,$D$4:$D$264,D265,$E$4:$E$264,E265,$G$4:$G$264,G265,$H$4:$H$264,H265,$B$4:$B$264,"SALIDA"))),0)</f>
        <v>0</v>
      </c>
      <c r="M265" s="13">
        <f t="shared" si="2"/>
        <v>0</v>
      </c>
      <c r="N265" s="14"/>
      <c r="O265" s="14"/>
      <c r="P265" s="15"/>
      <c r="Q265" s="14"/>
    </row>
    <row r="266" ht="15.75" customHeight="1">
      <c r="A266" s="7"/>
      <c r="B266" s="8"/>
      <c r="C266" s="8"/>
      <c r="D266" s="8"/>
      <c r="E266" s="8"/>
      <c r="F266" s="14"/>
      <c r="G266" s="8"/>
      <c r="H266" s="8"/>
      <c r="I266" s="9"/>
      <c r="J266" s="12" t="str">
        <f t="array" ref="J266:K266">IFERROR(INDEX(PRECIOS_COMPLEMENTOS!$C$4:$F$17,MATCH(D266&amp;"_"&amp;E266,PRECIOS_COMPLEMENTOS!$H$4:$H$17,0),IF(OR(H266="S",H266="20cm"),1,IF(OR(H266="M",H266="25cm"),2,IF(OR(H266="L",H266="30cm"),3,IF(OR(H266="XL",H266="35cm"),4,0))))),0)</f>
        <v>#REF!</v>
      </c>
      <c r="K266" s="12">
        <f t="shared" si="1"/>
        <v>0</v>
      </c>
      <c r="L266" s="13">
        <f>IFERROR(IF(C266="",0,IF(D266="PRETINA",SUMIFS($I$4:$I$265,$C$4:$C$265,C266,$D$4:$D$265,D266,$E$4:$E$265,E266,$F$4:$F$265,F266,$G$4:$G$265,G266,$H$4:$H$265,H266,$B$4:$B$265,"INGRESO")+SUMIFS($I$4:$I$265,$C$4:$C$265,C266,$D$4:$D$265,D266,$E$4:$E$265,E266,$F$4:$F$265,F266,$G$4:$G$265,G266,$H$4:$H$265,H266,$B$4:$B$265,"DE CORTE")-SUMIFS($I$4:$I$265,$C$4:$C$265,C266,$D$4:$D$265,D266,$E$4:$E$265,E266,$F$4:$F$265,F266,$G$4:$G$265,G266,$H$4:$H$265,H266,$B$4:$B$265,"SALIDA"),SUMIFS($I$4:$I$265,$C$4:$C$265,C266,$D$4:$D$265,D266,$E$4:$E$265,E266,$G$4:$G$265,G266,$H$4:$H$265,H266,$B$4:$B$265,"INGRESO")+SUMIFS($I$4:$I$265,$C$4:$C$265,C266,$D$4:$D$265,D266,$E$4:$E$265,E266,$G$4:$G$265,G266,$H$4:$H$265,H266,$B$4:$B$265,"DE CORTE")-SUMIFS($I$4:$I$265,$C$4:$C$265,C266,$D$4:$D$265,D266,$E$4:$E$265,E266,$G$4:$G$265,G266,$H$4:$H$265,H266,$B$4:$B$265,"SALIDA"))),0)</f>
        <v>0</v>
      </c>
      <c r="M266" s="13">
        <f t="shared" si="2"/>
        <v>0</v>
      </c>
      <c r="N266" s="14"/>
      <c r="O266" s="14"/>
      <c r="P266" s="15"/>
      <c r="Q266" s="14"/>
    </row>
    <row r="267" ht="15.75" customHeight="1">
      <c r="A267" s="7"/>
      <c r="B267" s="8"/>
      <c r="C267" s="8"/>
      <c r="D267" s="8"/>
      <c r="E267" s="8"/>
      <c r="F267" s="14"/>
      <c r="G267" s="8"/>
      <c r="H267" s="8"/>
      <c r="I267" s="9"/>
      <c r="J267" s="12" t="str">
        <f t="array" ref="J267:K267">IFERROR(INDEX(PRECIOS_COMPLEMENTOS!$C$4:$F$17,MATCH(D267&amp;"_"&amp;E267,PRECIOS_COMPLEMENTOS!$H$4:$H$17,0),IF(OR(H267="S",H267="20cm"),1,IF(OR(H267="M",H267="25cm"),2,IF(OR(H267="L",H267="30cm"),3,IF(OR(H267="XL",H267="35cm"),4,0))))),0)</f>
        <v>#REF!</v>
      </c>
      <c r="K267" s="12">
        <f t="shared" si="1"/>
        <v>0</v>
      </c>
      <c r="L267" s="13">
        <f>IFERROR(IF(C267="",0,IF(D267="PRETINA",SUMIFS($I$4:$I$266,$C$4:$C$266,C267,$D$4:$D$266,D267,$E$4:$E$266,E267,$F$4:$F$266,F267,$G$4:$G$266,G267,$H$4:$H$266,H267,$B$4:$B$266,"INGRESO")+SUMIFS($I$4:$I$266,$C$4:$C$266,C267,$D$4:$D$266,D267,$E$4:$E$266,E267,$F$4:$F$266,F267,$G$4:$G$266,G267,$H$4:$H$266,H267,$B$4:$B$266,"DE CORTE")-SUMIFS($I$4:$I$266,$C$4:$C$266,C267,$D$4:$D$266,D267,$E$4:$E$266,E267,$F$4:$F$266,F267,$G$4:$G$266,G267,$H$4:$H$266,H267,$B$4:$B$266,"SALIDA"),SUMIFS($I$4:$I$266,$C$4:$C$266,C267,$D$4:$D$266,D267,$E$4:$E$266,E267,$G$4:$G$266,G267,$H$4:$H$266,H267,$B$4:$B$266,"INGRESO")+SUMIFS($I$4:$I$266,$C$4:$C$266,C267,$D$4:$D$266,D267,$E$4:$E$266,E267,$G$4:$G$266,G267,$H$4:$H$266,H267,$B$4:$B$266,"DE CORTE")-SUMIFS($I$4:$I$266,$C$4:$C$266,C267,$D$4:$D$266,D267,$E$4:$E$266,E267,$G$4:$G$266,G267,$H$4:$H$266,H267,$B$4:$B$266,"SALIDA"))),0)</f>
        <v>0</v>
      </c>
      <c r="M267" s="13">
        <f t="shared" si="2"/>
        <v>0</v>
      </c>
      <c r="N267" s="14"/>
      <c r="O267" s="14"/>
      <c r="P267" s="15"/>
      <c r="Q267" s="14"/>
    </row>
    <row r="268" ht="15.75" customHeight="1">
      <c r="A268" s="7"/>
      <c r="B268" s="8"/>
      <c r="C268" s="8"/>
      <c r="D268" s="8"/>
      <c r="E268" s="8"/>
      <c r="F268" s="14"/>
      <c r="G268" s="8"/>
      <c r="H268" s="8"/>
      <c r="I268" s="9"/>
      <c r="J268" s="12" t="str">
        <f t="array" ref="J268:K268">IFERROR(INDEX(PRECIOS_COMPLEMENTOS!$C$4:$F$17,MATCH(D268&amp;"_"&amp;E268,PRECIOS_COMPLEMENTOS!$H$4:$H$17,0),IF(OR(H268="S",H268="20cm"),1,IF(OR(H268="M",H268="25cm"),2,IF(OR(H268="L",H268="30cm"),3,IF(OR(H268="XL",H268="35cm"),4,0))))),0)</f>
        <v>#REF!</v>
      </c>
      <c r="K268" s="12">
        <f t="shared" si="1"/>
        <v>0</v>
      </c>
      <c r="L268" s="13">
        <f>IFERROR(IF(C268="",0,IF(D268="PRETINA",SUMIFS($I$4:$I$267,$C$4:$C$267,C268,$D$4:$D$267,D268,$E$4:$E$267,E268,$F$4:$F$267,F268,$G$4:$G$267,G268,$H$4:$H$267,H268,$B$4:$B$267,"INGRESO")+SUMIFS($I$4:$I$267,$C$4:$C$267,C268,$D$4:$D$267,D268,$E$4:$E$267,E268,$F$4:$F$267,F268,$G$4:$G$267,G268,$H$4:$H$267,H268,$B$4:$B$267,"DE CORTE")-SUMIFS($I$4:$I$267,$C$4:$C$267,C268,$D$4:$D$267,D268,$E$4:$E$267,E268,$F$4:$F$267,F268,$G$4:$G$267,G268,$H$4:$H$267,H268,$B$4:$B$267,"SALIDA"),SUMIFS($I$4:$I$267,$C$4:$C$267,C268,$D$4:$D$267,D268,$E$4:$E$267,E268,$G$4:$G$267,G268,$H$4:$H$267,H268,$B$4:$B$267,"INGRESO")+SUMIFS($I$4:$I$267,$C$4:$C$267,C268,$D$4:$D$267,D268,$E$4:$E$267,E268,$G$4:$G$267,G268,$H$4:$H$267,H268,$B$4:$B$267,"DE CORTE")-SUMIFS($I$4:$I$267,$C$4:$C$267,C268,$D$4:$D$267,D268,$E$4:$E$267,E268,$G$4:$G$267,G268,$H$4:$H$267,H268,$B$4:$B$267,"SALIDA"))),0)</f>
        <v>0</v>
      </c>
      <c r="M268" s="13">
        <f t="shared" si="2"/>
        <v>0</v>
      </c>
      <c r="N268" s="14"/>
      <c r="O268" s="14"/>
      <c r="P268" s="15"/>
      <c r="Q268" s="14"/>
    </row>
    <row r="269" ht="15.75" customHeight="1">
      <c r="A269" s="7"/>
      <c r="B269" s="8"/>
      <c r="C269" s="8"/>
      <c r="D269" s="8"/>
      <c r="E269" s="8"/>
      <c r="F269" s="14"/>
      <c r="G269" s="8"/>
      <c r="H269" s="8"/>
      <c r="I269" s="9"/>
      <c r="J269" s="12" t="str">
        <f t="array" ref="J269:K269">IFERROR(INDEX(PRECIOS_COMPLEMENTOS!$C$4:$F$17,MATCH(D269&amp;"_"&amp;E269,PRECIOS_COMPLEMENTOS!$H$4:$H$17,0),IF(OR(H269="S",H269="20cm"),1,IF(OR(H269="M",H269="25cm"),2,IF(OR(H269="L",H269="30cm"),3,IF(OR(H269="XL",H269="35cm"),4,0))))),0)</f>
        <v>#REF!</v>
      </c>
      <c r="K269" s="12">
        <f t="shared" si="1"/>
        <v>0</v>
      </c>
      <c r="L269" s="13">
        <f>IFERROR(IF(C269="",0,IF(D269="PRETINA",SUMIFS($I$4:$I$268,$C$4:$C$268,C269,$D$4:$D$268,D269,$E$4:$E$268,E269,$F$4:$F$268,F269,$G$4:$G$268,G269,$H$4:$H$268,H269,$B$4:$B$268,"INGRESO")+SUMIFS($I$4:$I$268,$C$4:$C$268,C269,$D$4:$D$268,D269,$E$4:$E$268,E269,$F$4:$F$268,F269,$G$4:$G$268,G269,$H$4:$H$268,H269,$B$4:$B$268,"DE CORTE")-SUMIFS($I$4:$I$268,$C$4:$C$268,C269,$D$4:$D$268,D269,$E$4:$E$268,E269,$F$4:$F$268,F269,$G$4:$G$268,G269,$H$4:$H$268,H269,$B$4:$B$268,"SALIDA"),SUMIFS($I$4:$I$268,$C$4:$C$268,C269,$D$4:$D$268,D269,$E$4:$E$268,E269,$G$4:$G$268,G269,$H$4:$H$268,H269,$B$4:$B$268,"INGRESO")+SUMIFS($I$4:$I$268,$C$4:$C$268,C269,$D$4:$D$268,D269,$E$4:$E$268,E269,$G$4:$G$268,G269,$H$4:$H$268,H269,$B$4:$B$268,"DE CORTE")-SUMIFS($I$4:$I$268,$C$4:$C$268,C269,$D$4:$D$268,D269,$E$4:$E$268,E269,$G$4:$G$268,G269,$H$4:$H$268,H269,$B$4:$B$268,"SALIDA"))),0)</f>
        <v>0</v>
      </c>
      <c r="M269" s="13">
        <f t="shared" si="2"/>
        <v>0</v>
      </c>
      <c r="N269" s="14"/>
      <c r="O269" s="14"/>
      <c r="P269" s="15"/>
      <c r="Q269" s="14"/>
    </row>
    <row r="270" ht="15.75" customHeight="1">
      <c r="A270" s="7"/>
      <c r="B270" s="8"/>
      <c r="C270" s="8"/>
      <c r="D270" s="8"/>
      <c r="E270" s="8"/>
      <c r="F270" s="14"/>
      <c r="G270" s="8"/>
      <c r="H270" s="8"/>
      <c r="I270" s="9"/>
      <c r="J270" s="12" t="str">
        <f t="array" ref="J270:K270">IFERROR(INDEX(PRECIOS_COMPLEMENTOS!$C$4:$F$17,MATCH(D270&amp;"_"&amp;E270,PRECIOS_COMPLEMENTOS!$H$4:$H$17,0),IF(OR(H270="S",H270="20cm"),1,IF(OR(H270="M",H270="25cm"),2,IF(OR(H270="L",H270="30cm"),3,IF(OR(H270="XL",H270="35cm"),4,0))))),0)</f>
        <v>#REF!</v>
      </c>
      <c r="K270" s="12">
        <f t="shared" si="1"/>
        <v>0</v>
      </c>
      <c r="L270" s="13">
        <f>IFERROR(IF(C270="",0,IF(D270="PRETINA",SUMIFS($I$4:$I$269,$C$4:$C$269,C270,$D$4:$D$269,D270,$E$4:$E$269,E270,$F$4:$F$269,F270,$G$4:$G$269,G270,$H$4:$H$269,H270,$B$4:$B$269,"INGRESO")+SUMIFS($I$4:$I$269,$C$4:$C$269,C270,$D$4:$D$269,D270,$E$4:$E$269,E270,$F$4:$F$269,F270,$G$4:$G$269,G270,$H$4:$H$269,H270,$B$4:$B$269,"DE CORTE")-SUMIFS($I$4:$I$269,$C$4:$C$269,C270,$D$4:$D$269,D270,$E$4:$E$269,E270,$F$4:$F$269,F270,$G$4:$G$269,G270,$H$4:$H$269,H270,$B$4:$B$269,"SALIDA"),SUMIFS($I$4:$I$269,$C$4:$C$269,C270,$D$4:$D$269,D270,$E$4:$E$269,E270,$G$4:$G$269,G270,$H$4:$H$269,H270,$B$4:$B$269,"INGRESO")+SUMIFS($I$4:$I$269,$C$4:$C$269,C270,$D$4:$D$269,D270,$E$4:$E$269,E270,$G$4:$G$269,G270,$H$4:$H$269,H270,$B$4:$B$269,"DE CORTE")-SUMIFS($I$4:$I$269,$C$4:$C$269,C270,$D$4:$D$269,D270,$E$4:$E$269,E270,$G$4:$G$269,G270,$H$4:$H$269,H270,$B$4:$B$269,"SALIDA"))),0)</f>
        <v>0</v>
      </c>
      <c r="M270" s="13">
        <f t="shared" si="2"/>
        <v>0</v>
      </c>
      <c r="N270" s="14"/>
      <c r="O270" s="14"/>
      <c r="P270" s="15"/>
      <c r="Q270" s="14"/>
    </row>
    <row r="271" ht="15.75" customHeight="1">
      <c r="A271" s="7"/>
      <c r="B271" s="8"/>
      <c r="C271" s="8"/>
      <c r="D271" s="8"/>
      <c r="E271" s="8"/>
      <c r="F271" s="14"/>
      <c r="G271" s="8"/>
      <c r="H271" s="8"/>
      <c r="I271" s="9"/>
      <c r="J271" s="12" t="str">
        <f t="array" ref="J271:K271">IFERROR(INDEX(PRECIOS_COMPLEMENTOS!$C$4:$F$17,MATCH(D271&amp;"_"&amp;E271,PRECIOS_COMPLEMENTOS!$H$4:$H$17,0),IF(OR(H271="S",H271="20cm"),1,IF(OR(H271="M",H271="25cm"),2,IF(OR(H271="L",H271="30cm"),3,IF(OR(H271="XL",H271="35cm"),4,0))))),0)</f>
        <v>#REF!</v>
      </c>
      <c r="K271" s="12">
        <f t="shared" si="1"/>
        <v>0</v>
      </c>
      <c r="L271" s="13">
        <f>IFERROR(IF(C271="",0,IF(D271="PRETINA",SUMIFS($I$4:$I$270,$C$4:$C$270,C271,$D$4:$D$270,D271,$E$4:$E$270,E271,$F$4:$F$270,F271,$G$4:$G$270,G271,$H$4:$H$270,H271,$B$4:$B$270,"INGRESO")+SUMIFS($I$4:$I$270,$C$4:$C$270,C271,$D$4:$D$270,D271,$E$4:$E$270,E271,$F$4:$F$270,F271,$G$4:$G$270,G271,$H$4:$H$270,H271,$B$4:$B$270,"DE CORTE")-SUMIFS($I$4:$I$270,$C$4:$C$270,C271,$D$4:$D$270,D271,$E$4:$E$270,E271,$F$4:$F$270,F271,$G$4:$G$270,G271,$H$4:$H$270,H271,$B$4:$B$270,"SALIDA"),SUMIFS($I$4:$I$270,$C$4:$C$270,C271,$D$4:$D$270,D271,$E$4:$E$270,E271,$G$4:$G$270,G271,$H$4:$H$270,H271,$B$4:$B$270,"INGRESO")+SUMIFS($I$4:$I$270,$C$4:$C$270,C271,$D$4:$D$270,D271,$E$4:$E$270,E271,$G$4:$G$270,G271,$H$4:$H$270,H271,$B$4:$B$270,"DE CORTE")-SUMIFS($I$4:$I$270,$C$4:$C$270,C271,$D$4:$D$270,D271,$E$4:$E$270,E271,$G$4:$G$270,G271,$H$4:$H$270,H271,$B$4:$B$270,"SALIDA"))),0)</f>
        <v>0</v>
      </c>
      <c r="M271" s="13">
        <f t="shared" si="2"/>
        <v>0</v>
      </c>
      <c r="N271" s="14"/>
      <c r="O271" s="14"/>
      <c r="P271" s="15"/>
      <c r="Q271" s="14"/>
    </row>
    <row r="272" ht="15.75" customHeight="1">
      <c r="A272" s="7"/>
      <c r="B272" s="8"/>
      <c r="C272" s="8"/>
      <c r="D272" s="8"/>
      <c r="E272" s="8"/>
      <c r="F272" s="14"/>
      <c r="G272" s="8"/>
      <c r="H272" s="8"/>
      <c r="I272" s="9"/>
      <c r="J272" s="12" t="str">
        <f t="array" ref="J272:K272">IFERROR(INDEX(PRECIOS_COMPLEMENTOS!$C$4:$F$17,MATCH(D272&amp;"_"&amp;E272,PRECIOS_COMPLEMENTOS!$H$4:$H$17,0),IF(OR(H272="S",H272="20cm"),1,IF(OR(H272="M",H272="25cm"),2,IF(OR(H272="L",H272="30cm"),3,IF(OR(H272="XL",H272="35cm"),4,0))))),0)</f>
        <v>#REF!</v>
      </c>
      <c r="K272" s="12">
        <f t="shared" si="1"/>
        <v>0</v>
      </c>
      <c r="L272" s="13">
        <f>IFERROR(IF(C272="",0,IF(D272="PRETINA",SUMIFS($I$4:$I$271,$C$4:$C$271,C272,$D$4:$D$271,D272,$E$4:$E$271,E272,$F$4:$F$271,F272,$G$4:$G$271,G272,$H$4:$H$271,H272,$B$4:$B$271,"INGRESO")+SUMIFS($I$4:$I$271,$C$4:$C$271,C272,$D$4:$D$271,D272,$E$4:$E$271,E272,$F$4:$F$271,F272,$G$4:$G$271,G272,$H$4:$H$271,H272,$B$4:$B$271,"DE CORTE")-SUMIFS($I$4:$I$271,$C$4:$C$271,C272,$D$4:$D$271,D272,$E$4:$E$271,E272,$F$4:$F$271,F272,$G$4:$G$271,G272,$H$4:$H$271,H272,$B$4:$B$271,"SALIDA"),SUMIFS($I$4:$I$271,$C$4:$C$271,C272,$D$4:$D$271,D272,$E$4:$E$271,E272,$G$4:$G$271,G272,$H$4:$H$271,H272,$B$4:$B$271,"INGRESO")+SUMIFS($I$4:$I$271,$C$4:$C$271,C272,$D$4:$D$271,D272,$E$4:$E$271,E272,$G$4:$G$271,G272,$H$4:$H$271,H272,$B$4:$B$271,"DE CORTE")-SUMIFS($I$4:$I$271,$C$4:$C$271,C272,$D$4:$D$271,D272,$E$4:$E$271,E272,$G$4:$G$271,G272,$H$4:$H$271,H272,$B$4:$B$271,"SALIDA"))),0)</f>
        <v>0</v>
      </c>
      <c r="M272" s="13">
        <f t="shared" si="2"/>
        <v>0</v>
      </c>
      <c r="N272" s="14"/>
      <c r="O272" s="14"/>
      <c r="P272" s="15"/>
      <c r="Q272" s="14"/>
    </row>
    <row r="273" ht="15.75" customHeight="1">
      <c r="A273" s="7"/>
      <c r="B273" s="8"/>
      <c r="C273" s="8"/>
      <c r="D273" s="8"/>
      <c r="E273" s="8"/>
      <c r="F273" s="14"/>
      <c r="G273" s="8"/>
      <c r="H273" s="8"/>
      <c r="I273" s="9"/>
      <c r="J273" s="12" t="str">
        <f t="array" ref="J273:K273">IFERROR(INDEX(PRECIOS_COMPLEMENTOS!$C$4:$F$17,MATCH(D273&amp;"_"&amp;E273,PRECIOS_COMPLEMENTOS!$H$4:$H$17,0),IF(OR(H273="S",H273="20cm"),1,IF(OR(H273="M",H273="25cm"),2,IF(OR(H273="L",H273="30cm"),3,IF(OR(H273="XL",H273="35cm"),4,0))))),0)</f>
        <v>#REF!</v>
      </c>
      <c r="K273" s="12">
        <f t="shared" si="1"/>
        <v>0</v>
      </c>
      <c r="L273" s="13">
        <f>IFERROR(IF(C273="",0,IF(D273="PRETINA",SUMIFS($I$4:$I$272,$C$4:$C$272,C273,$D$4:$D$272,D273,$E$4:$E$272,E273,$F$4:$F$272,F273,$G$4:$G$272,G273,$H$4:$H$272,H273,$B$4:$B$272,"INGRESO")+SUMIFS($I$4:$I$272,$C$4:$C$272,C273,$D$4:$D$272,D273,$E$4:$E$272,E273,$F$4:$F$272,F273,$G$4:$G$272,G273,$H$4:$H$272,H273,$B$4:$B$272,"DE CORTE")-SUMIFS($I$4:$I$272,$C$4:$C$272,C273,$D$4:$D$272,D273,$E$4:$E$272,E273,$F$4:$F$272,F273,$G$4:$G$272,G273,$H$4:$H$272,H273,$B$4:$B$272,"SALIDA"),SUMIFS($I$4:$I$272,$C$4:$C$272,C273,$D$4:$D$272,D273,$E$4:$E$272,E273,$G$4:$G$272,G273,$H$4:$H$272,H273,$B$4:$B$272,"INGRESO")+SUMIFS($I$4:$I$272,$C$4:$C$272,C273,$D$4:$D$272,D273,$E$4:$E$272,E273,$G$4:$G$272,G273,$H$4:$H$272,H273,$B$4:$B$272,"DE CORTE")-SUMIFS($I$4:$I$272,$C$4:$C$272,C273,$D$4:$D$272,D273,$E$4:$E$272,E273,$G$4:$G$272,G273,$H$4:$H$272,H273,$B$4:$B$272,"SALIDA"))),0)</f>
        <v>0</v>
      </c>
      <c r="M273" s="13">
        <f t="shared" si="2"/>
        <v>0</v>
      </c>
      <c r="N273" s="14"/>
      <c r="O273" s="14"/>
      <c r="P273" s="15"/>
      <c r="Q273" s="14"/>
    </row>
    <row r="274" ht="15.75" customHeight="1">
      <c r="A274" s="7"/>
      <c r="B274" s="8"/>
      <c r="C274" s="8"/>
      <c r="D274" s="8"/>
      <c r="E274" s="8"/>
      <c r="F274" s="14"/>
      <c r="G274" s="8"/>
      <c r="H274" s="8"/>
      <c r="I274" s="9"/>
      <c r="J274" s="12" t="str">
        <f t="array" ref="J274:K274">IFERROR(INDEX(PRECIOS_COMPLEMENTOS!$C$4:$F$17,MATCH(D274&amp;"_"&amp;E274,PRECIOS_COMPLEMENTOS!$H$4:$H$17,0),IF(OR(H274="S",H274="20cm"),1,IF(OR(H274="M",H274="25cm"),2,IF(OR(H274="L",H274="30cm"),3,IF(OR(H274="XL",H274="35cm"),4,0))))),0)</f>
        <v>#REF!</v>
      </c>
      <c r="K274" s="12">
        <f t="shared" si="1"/>
        <v>0</v>
      </c>
      <c r="L274" s="13">
        <f>IFERROR(IF(C274="",0,IF(D274="PRETINA",SUMIFS($I$4:$I$273,$C$4:$C$273,C274,$D$4:$D$273,D274,$E$4:$E$273,E274,$F$4:$F$273,F274,$G$4:$G$273,G274,$H$4:$H$273,H274,$B$4:$B$273,"INGRESO")+SUMIFS($I$4:$I$273,$C$4:$C$273,C274,$D$4:$D$273,D274,$E$4:$E$273,E274,$F$4:$F$273,F274,$G$4:$G$273,G274,$H$4:$H$273,H274,$B$4:$B$273,"DE CORTE")-SUMIFS($I$4:$I$273,$C$4:$C$273,C274,$D$4:$D$273,D274,$E$4:$E$273,E274,$F$4:$F$273,F274,$G$4:$G$273,G274,$H$4:$H$273,H274,$B$4:$B$273,"SALIDA"),SUMIFS($I$4:$I$273,$C$4:$C$273,C274,$D$4:$D$273,D274,$E$4:$E$273,E274,$G$4:$G$273,G274,$H$4:$H$273,H274,$B$4:$B$273,"INGRESO")+SUMIFS($I$4:$I$273,$C$4:$C$273,C274,$D$4:$D$273,D274,$E$4:$E$273,E274,$G$4:$G$273,G274,$H$4:$H$273,H274,$B$4:$B$273,"DE CORTE")-SUMIFS($I$4:$I$273,$C$4:$C$273,C274,$D$4:$D$273,D274,$E$4:$E$273,E274,$G$4:$G$273,G274,$H$4:$H$273,H274,$B$4:$B$273,"SALIDA"))),0)</f>
        <v>0</v>
      </c>
      <c r="M274" s="13">
        <f t="shared" si="2"/>
        <v>0</v>
      </c>
      <c r="N274" s="14"/>
      <c r="O274" s="14"/>
      <c r="P274" s="15"/>
      <c r="Q274" s="14"/>
    </row>
    <row r="275" ht="15.75" customHeight="1">
      <c r="A275" s="7"/>
      <c r="B275" s="8"/>
      <c r="C275" s="8"/>
      <c r="D275" s="8"/>
      <c r="E275" s="8"/>
      <c r="F275" s="14"/>
      <c r="G275" s="8"/>
      <c r="H275" s="8"/>
      <c r="I275" s="9"/>
      <c r="J275" s="12" t="str">
        <f t="array" ref="J275:K275">IFERROR(INDEX(PRECIOS_COMPLEMENTOS!$C$4:$F$17,MATCH(D275&amp;"_"&amp;E275,PRECIOS_COMPLEMENTOS!$H$4:$H$17,0),IF(OR(H275="S",H275="20cm"),1,IF(OR(H275="M",H275="25cm"),2,IF(OR(H275="L",H275="30cm"),3,IF(OR(H275="XL",H275="35cm"),4,0))))),0)</f>
        <v>#REF!</v>
      </c>
      <c r="K275" s="12">
        <f t="shared" si="1"/>
        <v>0</v>
      </c>
      <c r="L275" s="13">
        <f>IFERROR(IF(C275="",0,IF(D275="PRETINA",SUMIFS($I$4:$I$274,$C$4:$C$274,C275,$D$4:$D$274,D275,$E$4:$E$274,E275,$F$4:$F$274,F275,$G$4:$G$274,G275,$H$4:$H$274,H275,$B$4:$B$274,"INGRESO")+SUMIFS($I$4:$I$274,$C$4:$C$274,C275,$D$4:$D$274,D275,$E$4:$E$274,E275,$F$4:$F$274,F275,$G$4:$G$274,G275,$H$4:$H$274,H275,$B$4:$B$274,"DE CORTE")-SUMIFS($I$4:$I$274,$C$4:$C$274,C275,$D$4:$D$274,D275,$E$4:$E$274,E275,$F$4:$F$274,F275,$G$4:$G$274,G275,$H$4:$H$274,H275,$B$4:$B$274,"SALIDA"),SUMIFS($I$4:$I$274,$C$4:$C$274,C275,$D$4:$D$274,D275,$E$4:$E$274,E275,$G$4:$G$274,G275,$H$4:$H$274,H275,$B$4:$B$274,"INGRESO")+SUMIFS($I$4:$I$274,$C$4:$C$274,C275,$D$4:$D$274,D275,$E$4:$E$274,E275,$G$4:$G$274,G275,$H$4:$H$274,H275,$B$4:$B$274,"DE CORTE")-SUMIFS($I$4:$I$274,$C$4:$C$274,C275,$D$4:$D$274,D275,$E$4:$E$274,E275,$G$4:$G$274,G275,$H$4:$H$274,H275,$B$4:$B$274,"SALIDA"))),0)</f>
        <v>0</v>
      </c>
      <c r="M275" s="13">
        <f t="shared" si="2"/>
        <v>0</v>
      </c>
      <c r="N275" s="14"/>
      <c r="O275" s="14"/>
      <c r="P275" s="15"/>
      <c r="Q275" s="14"/>
    </row>
    <row r="276" ht="15.75" customHeight="1">
      <c r="A276" s="7"/>
      <c r="B276" s="8"/>
      <c r="C276" s="8"/>
      <c r="D276" s="8"/>
      <c r="E276" s="8"/>
      <c r="F276" s="14"/>
      <c r="G276" s="8"/>
      <c r="H276" s="8"/>
      <c r="I276" s="9"/>
      <c r="J276" s="12" t="str">
        <f t="array" ref="J276:K276">IFERROR(INDEX(PRECIOS_COMPLEMENTOS!$C$4:$F$17,MATCH(D276&amp;"_"&amp;E276,PRECIOS_COMPLEMENTOS!$H$4:$H$17,0),IF(OR(H276="S",H276="20cm"),1,IF(OR(H276="M",H276="25cm"),2,IF(OR(H276="L",H276="30cm"),3,IF(OR(H276="XL",H276="35cm"),4,0))))),0)</f>
        <v>#REF!</v>
      </c>
      <c r="K276" s="12">
        <f t="shared" si="1"/>
        <v>0</v>
      </c>
      <c r="L276" s="13">
        <f>IFERROR(IF(C276="",0,IF(D276="PRETINA",SUMIFS($I$4:$I$275,$C$4:$C$275,C276,$D$4:$D$275,D276,$E$4:$E$275,E276,$F$4:$F$275,F276,$G$4:$G$275,G276,$H$4:$H$275,H276,$B$4:$B$275,"INGRESO")+SUMIFS($I$4:$I$275,$C$4:$C$275,C276,$D$4:$D$275,D276,$E$4:$E$275,E276,$F$4:$F$275,F276,$G$4:$G$275,G276,$H$4:$H$275,H276,$B$4:$B$275,"DE CORTE")-SUMIFS($I$4:$I$275,$C$4:$C$275,C276,$D$4:$D$275,D276,$E$4:$E$275,E276,$F$4:$F$275,F276,$G$4:$G$275,G276,$H$4:$H$275,H276,$B$4:$B$275,"SALIDA"),SUMIFS($I$4:$I$275,$C$4:$C$275,C276,$D$4:$D$275,D276,$E$4:$E$275,E276,$G$4:$G$275,G276,$H$4:$H$275,H276,$B$4:$B$275,"INGRESO")+SUMIFS($I$4:$I$275,$C$4:$C$275,C276,$D$4:$D$275,D276,$E$4:$E$275,E276,$G$4:$G$275,G276,$H$4:$H$275,H276,$B$4:$B$275,"DE CORTE")-SUMIFS($I$4:$I$275,$C$4:$C$275,C276,$D$4:$D$275,D276,$E$4:$E$275,E276,$G$4:$G$275,G276,$H$4:$H$275,H276,$B$4:$B$275,"SALIDA"))),0)</f>
        <v>0</v>
      </c>
      <c r="M276" s="13">
        <f t="shared" si="2"/>
        <v>0</v>
      </c>
      <c r="N276" s="14"/>
      <c r="O276" s="14"/>
      <c r="P276" s="15"/>
      <c r="Q276" s="14"/>
    </row>
    <row r="277" ht="15.75" customHeight="1">
      <c r="A277" s="7"/>
      <c r="B277" s="8"/>
      <c r="C277" s="8"/>
      <c r="D277" s="8"/>
      <c r="E277" s="8"/>
      <c r="F277" s="14"/>
      <c r="G277" s="8"/>
      <c r="H277" s="8"/>
      <c r="I277" s="9"/>
      <c r="J277" s="12" t="str">
        <f t="array" ref="J277:K277">IFERROR(INDEX(PRECIOS_COMPLEMENTOS!$C$4:$F$17,MATCH(D277&amp;"_"&amp;E277,PRECIOS_COMPLEMENTOS!$H$4:$H$17,0),IF(OR(H277="S",H277="20cm"),1,IF(OR(H277="M",H277="25cm"),2,IF(OR(H277="L",H277="30cm"),3,IF(OR(H277="XL",H277="35cm"),4,0))))),0)</f>
        <v>#REF!</v>
      </c>
      <c r="K277" s="12">
        <f t="shared" si="1"/>
        <v>0</v>
      </c>
      <c r="L277" s="13">
        <f>IFERROR(IF(C277="",0,IF(D277="PRETINA",SUMIFS($I$4:$I$276,$C$4:$C$276,C277,$D$4:$D$276,D277,$E$4:$E$276,E277,$F$4:$F$276,F277,$G$4:$G$276,G277,$H$4:$H$276,H277,$B$4:$B$276,"INGRESO")+SUMIFS($I$4:$I$276,$C$4:$C$276,C277,$D$4:$D$276,D277,$E$4:$E$276,E277,$F$4:$F$276,F277,$G$4:$G$276,G277,$H$4:$H$276,H277,$B$4:$B$276,"DE CORTE")-SUMIFS($I$4:$I$276,$C$4:$C$276,C277,$D$4:$D$276,D277,$E$4:$E$276,E277,$F$4:$F$276,F277,$G$4:$G$276,G277,$H$4:$H$276,H277,$B$4:$B$276,"SALIDA"),SUMIFS($I$4:$I$276,$C$4:$C$276,C277,$D$4:$D$276,D277,$E$4:$E$276,E277,$G$4:$G$276,G277,$H$4:$H$276,H277,$B$4:$B$276,"INGRESO")+SUMIFS($I$4:$I$276,$C$4:$C$276,C277,$D$4:$D$276,D277,$E$4:$E$276,E277,$G$4:$G$276,G277,$H$4:$H$276,H277,$B$4:$B$276,"DE CORTE")-SUMIFS($I$4:$I$276,$C$4:$C$276,C277,$D$4:$D$276,D277,$E$4:$E$276,E277,$G$4:$G$276,G277,$H$4:$H$276,H277,$B$4:$B$276,"SALIDA"))),0)</f>
        <v>0</v>
      </c>
      <c r="M277" s="13">
        <f t="shared" si="2"/>
        <v>0</v>
      </c>
      <c r="N277" s="14"/>
      <c r="O277" s="14"/>
      <c r="P277" s="15"/>
      <c r="Q277" s="14"/>
    </row>
    <row r="278" ht="15.75" customHeight="1">
      <c r="A278" s="7"/>
      <c r="B278" s="8"/>
      <c r="C278" s="8"/>
      <c r="D278" s="8"/>
      <c r="E278" s="8"/>
      <c r="F278" s="14"/>
      <c r="G278" s="8"/>
      <c r="H278" s="8"/>
      <c r="I278" s="9"/>
      <c r="J278" s="12" t="str">
        <f t="array" ref="J278:K278">IFERROR(INDEX(PRECIOS_COMPLEMENTOS!$C$4:$F$17,MATCH(D278&amp;"_"&amp;E278,PRECIOS_COMPLEMENTOS!$H$4:$H$17,0),IF(OR(H278="S",H278="20cm"),1,IF(OR(H278="M",H278="25cm"),2,IF(OR(H278="L",H278="30cm"),3,IF(OR(H278="XL",H278="35cm"),4,0))))),0)</f>
        <v>#REF!</v>
      </c>
      <c r="K278" s="12">
        <f t="shared" si="1"/>
        <v>0</v>
      </c>
      <c r="L278" s="13">
        <f>IFERROR(IF(C278="",0,IF(D278="PRETINA",SUMIFS($I$4:$I$277,$C$4:$C$277,C278,$D$4:$D$277,D278,$E$4:$E$277,E278,$F$4:$F$277,F278,$G$4:$G$277,G278,$H$4:$H$277,H278,$B$4:$B$277,"INGRESO")+SUMIFS($I$4:$I$277,$C$4:$C$277,C278,$D$4:$D$277,D278,$E$4:$E$277,E278,$F$4:$F$277,F278,$G$4:$G$277,G278,$H$4:$H$277,H278,$B$4:$B$277,"DE CORTE")-SUMIFS($I$4:$I$277,$C$4:$C$277,C278,$D$4:$D$277,D278,$E$4:$E$277,E278,$F$4:$F$277,F278,$G$4:$G$277,G278,$H$4:$H$277,H278,$B$4:$B$277,"SALIDA"),SUMIFS($I$4:$I$277,$C$4:$C$277,C278,$D$4:$D$277,D278,$E$4:$E$277,E278,$G$4:$G$277,G278,$H$4:$H$277,H278,$B$4:$B$277,"INGRESO")+SUMIFS($I$4:$I$277,$C$4:$C$277,C278,$D$4:$D$277,D278,$E$4:$E$277,E278,$G$4:$G$277,G278,$H$4:$H$277,H278,$B$4:$B$277,"DE CORTE")-SUMIFS($I$4:$I$277,$C$4:$C$277,C278,$D$4:$D$277,D278,$E$4:$E$277,E278,$G$4:$G$277,G278,$H$4:$H$277,H278,$B$4:$B$277,"SALIDA"))),0)</f>
        <v>0</v>
      </c>
      <c r="M278" s="13">
        <f t="shared" si="2"/>
        <v>0</v>
      </c>
      <c r="N278" s="14"/>
      <c r="O278" s="14"/>
      <c r="P278" s="15"/>
      <c r="Q278" s="14"/>
    </row>
    <row r="279" ht="15.75" customHeight="1">
      <c r="A279" s="7"/>
      <c r="B279" s="8"/>
      <c r="C279" s="8"/>
      <c r="D279" s="8"/>
      <c r="E279" s="8"/>
      <c r="F279" s="14"/>
      <c r="G279" s="8"/>
      <c r="H279" s="8"/>
      <c r="I279" s="9"/>
      <c r="J279" s="12" t="str">
        <f t="array" ref="J279:K279">IFERROR(INDEX(PRECIOS_COMPLEMENTOS!$C$4:$F$17,MATCH(D279&amp;"_"&amp;E279,PRECIOS_COMPLEMENTOS!$H$4:$H$17,0),IF(OR(H279="S",H279="20cm"),1,IF(OR(H279="M",H279="25cm"),2,IF(OR(H279="L",H279="30cm"),3,IF(OR(H279="XL",H279="35cm"),4,0))))),0)</f>
        <v>#REF!</v>
      </c>
      <c r="K279" s="12">
        <f t="shared" si="1"/>
        <v>0</v>
      </c>
      <c r="L279" s="13">
        <f>IFERROR(IF(C279="",0,IF(D279="PRETINA",SUMIFS($I$4:$I$278,$C$4:$C$278,C279,$D$4:$D$278,D279,$E$4:$E$278,E279,$F$4:$F$278,F279,$G$4:$G$278,G279,$H$4:$H$278,H279,$B$4:$B$278,"INGRESO")+SUMIFS($I$4:$I$278,$C$4:$C$278,C279,$D$4:$D$278,D279,$E$4:$E$278,E279,$F$4:$F$278,F279,$G$4:$G$278,G279,$H$4:$H$278,H279,$B$4:$B$278,"DE CORTE")-SUMIFS($I$4:$I$278,$C$4:$C$278,C279,$D$4:$D$278,D279,$E$4:$E$278,E279,$F$4:$F$278,F279,$G$4:$G$278,G279,$H$4:$H$278,H279,$B$4:$B$278,"SALIDA"),SUMIFS($I$4:$I$278,$C$4:$C$278,C279,$D$4:$D$278,D279,$E$4:$E$278,E279,$G$4:$G$278,G279,$H$4:$H$278,H279,$B$4:$B$278,"INGRESO")+SUMIFS($I$4:$I$278,$C$4:$C$278,C279,$D$4:$D$278,D279,$E$4:$E$278,E279,$G$4:$G$278,G279,$H$4:$H$278,H279,$B$4:$B$278,"DE CORTE")-SUMIFS($I$4:$I$278,$C$4:$C$278,C279,$D$4:$D$278,D279,$E$4:$E$278,E279,$G$4:$G$278,G279,$H$4:$H$278,H279,$B$4:$B$278,"SALIDA"))),0)</f>
        <v>0</v>
      </c>
      <c r="M279" s="13">
        <f t="shared" si="2"/>
        <v>0</v>
      </c>
      <c r="N279" s="14"/>
      <c r="O279" s="14"/>
      <c r="P279" s="15"/>
      <c r="Q279" s="14"/>
    </row>
    <row r="280" ht="15.75" customHeight="1">
      <c r="A280" s="7"/>
      <c r="B280" s="8"/>
      <c r="C280" s="8"/>
      <c r="D280" s="8"/>
      <c r="E280" s="8"/>
      <c r="F280" s="14"/>
      <c r="G280" s="8"/>
      <c r="H280" s="8"/>
      <c r="I280" s="9"/>
      <c r="J280" s="12" t="str">
        <f t="array" ref="J280:K280">IFERROR(INDEX(PRECIOS_COMPLEMENTOS!$C$4:$F$17,MATCH(D280&amp;"_"&amp;E280,PRECIOS_COMPLEMENTOS!$H$4:$H$17,0),IF(OR(H280="S",H280="20cm"),1,IF(OR(H280="M",H280="25cm"),2,IF(OR(H280="L",H280="30cm"),3,IF(OR(H280="XL",H280="35cm"),4,0))))),0)</f>
        <v>#REF!</v>
      </c>
      <c r="K280" s="12">
        <f t="shared" si="1"/>
        <v>0</v>
      </c>
      <c r="L280" s="13">
        <f>IFERROR(IF(C280="",0,IF(D280="PRETINA",SUMIFS($I$4:$I$279,$C$4:$C$279,C280,$D$4:$D$279,D280,$E$4:$E$279,E280,$F$4:$F$279,F280,$G$4:$G$279,G280,$H$4:$H$279,H280,$B$4:$B$279,"INGRESO")+SUMIFS($I$4:$I$279,$C$4:$C$279,C280,$D$4:$D$279,D280,$E$4:$E$279,E280,$F$4:$F$279,F280,$G$4:$G$279,G280,$H$4:$H$279,H280,$B$4:$B$279,"DE CORTE")-SUMIFS($I$4:$I$279,$C$4:$C$279,C280,$D$4:$D$279,D280,$E$4:$E$279,E280,$F$4:$F$279,F280,$G$4:$G$279,G280,$H$4:$H$279,H280,$B$4:$B$279,"SALIDA"),SUMIFS($I$4:$I$279,$C$4:$C$279,C280,$D$4:$D$279,D280,$E$4:$E$279,E280,$G$4:$G$279,G280,$H$4:$H$279,H280,$B$4:$B$279,"INGRESO")+SUMIFS($I$4:$I$279,$C$4:$C$279,C280,$D$4:$D$279,D280,$E$4:$E$279,E280,$G$4:$G$279,G280,$H$4:$H$279,H280,$B$4:$B$279,"DE CORTE")-SUMIFS($I$4:$I$279,$C$4:$C$279,C280,$D$4:$D$279,D280,$E$4:$E$279,E280,$G$4:$G$279,G280,$H$4:$H$279,H280,$B$4:$B$279,"SALIDA"))),0)</f>
        <v>0</v>
      </c>
      <c r="M280" s="13">
        <f t="shared" si="2"/>
        <v>0</v>
      </c>
      <c r="N280" s="14"/>
      <c r="O280" s="14"/>
      <c r="P280" s="15"/>
      <c r="Q280" s="14"/>
    </row>
    <row r="281" ht="15.75" customHeight="1">
      <c r="A281" s="7"/>
      <c r="B281" s="8"/>
      <c r="C281" s="8"/>
      <c r="D281" s="8"/>
      <c r="E281" s="8"/>
      <c r="F281" s="14"/>
      <c r="G281" s="8"/>
      <c r="H281" s="8"/>
      <c r="I281" s="9"/>
      <c r="J281" s="12" t="str">
        <f t="array" ref="J281:K281">IFERROR(INDEX(PRECIOS_COMPLEMENTOS!$C$4:$F$17,MATCH(D281&amp;"_"&amp;E281,PRECIOS_COMPLEMENTOS!$H$4:$H$17,0),IF(OR(H281="S",H281="20cm"),1,IF(OR(H281="M",H281="25cm"),2,IF(OR(H281="L",H281="30cm"),3,IF(OR(H281="XL",H281="35cm"),4,0))))),0)</f>
        <v>#REF!</v>
      </c>
      <c r="K281" s="12">
        <f t="shared" si="1"/>
        <v>0</v>
      </c>
      <c r="L281" s="13">
        <f>IFERROR(IF(C281="",0,IF(D281="PRETINA",SUMIFS($I$4:$I$280,$C$4:$C$280,C281,$D$4:$D$280,D281,$E$4:$E$280,E281,$F$4:$F$280,F281,$G$4:$G$280,G281,$H$4:$H$280,H281,$B$4:$B$280,"INGRESO")+SUMIFS($I$4:$I$280,$C$4:$C$280,C281,$D$4:$D$280,D281,$E$4:$E$280,E281,$F$4:$F$280,F281,$G$4:$G$280,G281,$H$4:$H$280,H281,$B$4:$B$280,"DE CORTE")-SUMIFS($I$4:$I$280,$C$4:$C$280,C281,$D$4:$D$280,D281,$E$4:$E$280,E281,$F$4:$F$280,F281,$G$4:$G$280,G281,$H$4:$H$280,H281,$B$4:$B$280,"SALIDA"),SUMIFS($I$4:$I$280,$C$4:$C$280,C281,$D$4:$D$280,D281,$E$4:$E$280,E281,$G$4:$G$280,G281,$H$4:$H$280,H281,$B$4:$B$280,"INGRESO")+SUMIFS($I$4:$I$280,$C$4:$C$280,C281,$D$4:$D$280,D281,$E$4:$E$280,E281,$G$4:$G$280,G281,$H$4:$H$280,H281,$B$4:$B$280,"DE CORTE")-SUMIFS($I$4:$I$280,$C$4:$C$280,C281,$D$4:$D$280,D281,$E$4:$E$280,E281,$G$4:$G$280,G281,$H$4:$H$280,H281,$B$4:$B$280,"SALIDA"))),0)</f>
        <v>0</v>
      </c>
      <c r="M281" s="13">
        <f t="shared" si="2"/>
        <v>0</v>
      </c>
      <c r="N281" s="14"/>
      <c r="O281" s="14"/>
      <c r="P281" s="15"/>
      <c r="Q281" s="14"/>
    </row>
    <row r="282" ht="15.75" customHeight="1">
      <c r="A282" s="7"/>
      <c r="B282" s="8"/>
      <c r="C282" s="8"/>
      <c r="D282" s="8"/>
      <c r="E282" s="8"/>
      <c r="F282" s="14"/>
      <c r="G282" s="8"/>
      <c r="H282" s="8"/>
      <c r="I282" s="9"/>
      <c r="J282" s="12" t="str">
        <f t="array" ref="J282:K282">IFERROR(INDEX(PRECIOS_COMPLEMENTOS!$C$4:$F$17,MATCH(D282&amp;"_"&amp;E282,PRECIOS_COMPLEMENTOS!$H$4:$H$17,0),IF(OR(H282="S",H282="20cm"),1,IF(OR(H282="M",H282="25cm"),2,IF(OR(H282="L",H282="30cm"),3,IF(OR(H282="XL",H282="35cm"),4,0))))),0)</f>
        <v>#REF!</v>
      </c>
      <c r="K282" s="12">
        <f t="shared" si="1"/>
        <v>0</v>
      </c>
      <c r="L282" s="13">
        <f>IFERROR(IF(C282="",0,IF(D282="PRETINA",SUMIFS($I$4:$I$281,$C$4:$C$281,C282,$D$4:$D$281,D282,$E$4:$E$281,E282,$F$4:$F$281,F282,$G$4:$G$281,G282,$H$4:$H$281,H282,$B$4:$B$281,"INGRESO")+SUMIFS($I$4:$I$281,$C$4:$C$281,C282,$D$4:$D$281,D282,$E$4:$E$281,E282,$F$4:$F$281,F282,$G$4:$G$281,G282,$H$4:$H$281,H282,$B$4:$B$281,"DE CORTE")-SUMIFS($I$4:$I$281,$C$4:$C$281,C282,$D$4:$D$281,D282,$E$4:$E$281,E282,$F$4:$F$281,F282,$G$4:$G$281,G282,$H$4:$H$281,H282,$B$4:$B$281,"SALIDA"),SUMIFS($I$4:$I$281,$C$4:$C$281,C282,$D$4:$D$281,D282,$E$4:$E$281,E282,$G$4:$G$281,G282,$H$4:$H$281,H282,$B$4:$B$281,"INGRESO")+SUMIFS($I$4:$I$281,$C$4:$C$281,C282,$D$4:$D$281,D282,$E$4:$E$281,E282,$G$4:$G$281,G282,$H$4:$H$281,H282,$B$4:$B$281,"DE CORTE")-SUMIFS($I$4:$I$281,$C$4:$C$281,C282,$D$4:$D$281,D282,$E$4:$E$281,E282,$G$4:$G$281,G282,$H$4:$H$281,H282,$B$4:$B$281,"SALIDA"))),0)</f>
        <v>0</v>
      </c>
      <c r="M282" s="13">
        <f t="shared" si="2"/>
        <v>0</v>
      </c>
      <c r="N282" s="14"/>
      <c r="O282" s="14"/>
      <c r="P282" s="15"/>
      <c r="Q282" s="14"/>
    </row>
    <row r="283" ht="15.75" customHeight="1">
      <c r="A283" s="7"/>
      <c r="B283" s="8"/>
      <c r="C283" s="8"/>
      <c r="D283" s="8"/>
      <c r="E283" s="8"/>
      <c r="F283" s="14"/>
      <c r="G283" s="8"/>
      <c r="H283" s="8"/>
      <c r="I283" s="9"/>
      <c r="J283" s="12" t="str">
        <f t="array" ref="J283:K283">IFERROR(INDEX(PRECIOS_COMPLEMENTOS!$C$4:$F$17,MATCH(D283&amp;"_"&amp;E283,PRECIOS_COMPLEMENTOS!$H$4:$H$17,0),IF(OR(H283="S",H283="20cm"),1,IF(OR(H283="M",H283="25cm"),2,IF(OR(H283="L",H283="30cm"),3,IF(OR(H283="XL",H283="35cm"),4,0))))),0)</f>
        <v>#REF!</v>
      </c>
      <c r="K283" s="12">
        <f t="shared" si="1"/>
        <v>0</v>
      </c>
      <c r="L283" s="13">
        <f>IFERROR(IF(C283="",0,IF(D283="PRETINA",SUMIFS($I$4:$I$282,$C$4:$C$282,C283,$D$4:$D$282,D283,$E$4:$E$282,E283,$F$4:$F$282,F283,$G$4:$G$282,G283,$H$4:$H$282,H283,$B$4:$B$282,"INGRESO")+SUMIFS($I$4:$I$282,$C$4:$C$282,C283,$D$4:$D$282,D283,$E$4:$E$282,E283,$F$4:$F$282,F283,$G$4:$G$282,G283,$H$4:$H$282,H283,$B$4:$B$282,"DE CORTE")-SUMIFS($I$4:$I$282,$C$4:$C$282,C283,$D$4:$D$282,D283,$E$4:$E$282,E283,$F$4:$F$282,F283,$G$4:$G$282,G283,$H$4:$H$282,H283,$B$4:$B$282,"SALIDA"),SUMIFS($I$4:$I$282,$C$4:$C$282,C283,$D$4:$D$282,D283,$E$4:$E$282,E283,$G$4:$G$282,G283,$H$4:$H$282,H283,$B$4:$B$282,"INGRESO")+SUMIFS($I$4:$I$282,$C$4:$C$282,C283,$D$4:$D$282,D283,$E$4:$E$282,E283,$G$4:$G$282,G283,$H$4:$H$282,H283,$B$4:$B$282,"DE CORTE")-SUMIFS($I$4:$I$282,$C$4:$C$282,C283,$D$4:$D$282,D283,$E$4:$E$282,E283,$G$4:$G$282,G283,$H$4:$H$282,H283,$B$4:$B$282,"SALIDA"))),0)</f>
        <v>0</v>
      </c>
      <c r="M283" s="13">
        <f t="shared" si="2"/>
        <v>0</v>
      </c>
      <c r="N283" s="14"/>
      <c r="O283" s="14"/>
      <c r="P283" s="15"/>
      <c r="Q283" s="14"/>
    </row>
    <row r="284" ht="15.75" customHeight="1">
      <c r="A284" s="7"/>
      <c r="B284" s="8"/>
      <c r="C284" s="8"/>
      <c r="D284" s="8"/>
      <c r="E284" s="8"/>
      <c r="F284" s="14"/>
      <c r="G284" s="8"/>
      <c r="H284" s="8"/>
      <c r="I284" s="9"/>
      <c r="J284" s="12" t="str">
        <f t="array" ref="J284:K284">IFERROR(INDEX(PRECIOS_COMPLEMENTOS!$C$4:$F$17,MATCH(D284&amp;"_"&amp;E284,PRECIOS_COMPLEMENTOS!$H$4:$H$17,0),IF(OR(H284="S",H284="20cm"),1,IF(OR(H284="M",H284="25cm"),2,IF(OR(H284="L",H284="30cm"),3,IF(OR(H284="XL",H284="35cm"),4,0))))),0)</f>
        <v>#REF!</v>
      </c>
      <c r="K284" s="12">
        <f t="shared" si="1"/>
        <v>0</v>
      </c>
      <c r="L284" s="13">
        <f>IFERROR(IF(C284="",0,IF(D284="PRETINA",SUMIFS($I$4:$I$283,$C$4:$C$283,C284,$D$4:$D$283,D284,$E$4:$E$283,E284,$F$4:$F$283,F284,$G$4:$G$283,G284,$H$4:$H$283,H284,$B$4:$B$283,"INGRESO")+SUMIFS($I$4:$I$283,$C$4:$C$283,C284,$D$4:$D$283,D284,$E$4:$E$283,E284,$F$4:$F$283,F284,$G$4:$G$283,G284,$H$4:$H$283,H284,$B$4:$B$283,"DE CORTE")-SUMIFS($I$4:$I$283,$C$4:$C$283,C284,$D$4:$D$283,D284,$E$4:$E$283,E284,$F$4:$F$283,F284,$G$4:$G$283,G284,$H$4:$H$283,H284,$B$4:$B$283,"SALIDA"),SUMIFS($I$4:$I$283,$C$4:$C$283,C284,$D$4:$D$283,D284,$E$4:$E$283,E284,$G$4:$G$283,G284,$H$4:$H$283,H284,$B$4:$B$283,"INGRESO")+SUMIFS($I$4:$I$283,$C$4:$C$283,C284,$D$4:$D$283,D284,$E$4:$E$283,E284,$G$4:$G$283,G284,$H$4:$H$283,H284,$B$4:$B$283,"DE CORTE")-SUMIFS($I$4:$I$283,$C$4:$C$283,C284,$D$4:$D$283,D284,$E$4:$E$283,E284,$G$4:$G$283,G284,$H$4:$H$283,H284,$B$4:$B$283,"SALIDA"))),0)</f>
        <v>0</v>
      </c>
      <c r="M284" s="13">
        <f t="shared" si="2"/>
        <v>0</v>
      </c>
      <c r="N284" s="14"/>
      <c r="O284" s="14"/>
      <c r="P284" s="15"/>
      <c r="Q284" s="14"/>
    </row>
    <row r="285" ht="15.75" customHeight="1">
      <c r="A285" s="7"/>
      <c r="B285" s="8"/>
      <c r="C285" s="8"/>
      <c r="D285" s="8"/>
      <c r="E285" s="8"/>
      <c r="F285" s="14"/>
      <c r="G285" s="8"/>
      <c r="H285" s="8"/>
      <c r="I285" s="9"/>
      <c r="J285" s="12" t="str">
        <f t="array" ref="J285:K285">IFERROR(INDEX(PRECIOS_COMPLEMENTOS!$C$4:$F$17,MATCH(D285&amp;"_"&amp;E285,PRECIOS_COMPLEMENTOS!$H$4:$H$17,0),IF(OR(H285="S",H285="20cm"),1,IF(OR(H285="M",H285="25cm"),2,IF(OR(H285="L",H285="30cm"),3,IF(OR(H285="XL",H285="35cm"),4,0))))),0)</f>
        <v>#REF!</v>
      </c>
      <c r="K285" s="12">
        <f t="shared" si="1"/>
        <v>0</v>
      </c>
      <c r="L285" s="13">
        <f>IFERROR(IF(C285="",0,IF(D285="PRETINA",SUMIFS($I$4:$I$284,$C$4:$C$284,C285,$D$4:$D$284,D285,$E$4:$E$284,E285,$F$4:$F$284,F285,$G$4:$G$284,G285,$H$4:$H$284,H285,$B$4:$B$284,"INGRESO")+SUMIFS($I$4:$I$284,$C$4:$C$284,C285,$D$4:$D$284,D285,$E$4:$E$284,E285,$F$4:$F$284,F285,$G$4:$G$284,G285,$H$4:$H$284,H285,$B$4:$B$284,"DE CORTE")-SUMIFS($I$4:$I$284,$C$4:$C$284,C285,$D$4:$D$284,D285,$E$4:$E$284,E285,$F$4:$F$284,F285,$G$4:$G$284,G285,$H$4:$H$284,H285,$B$4:$B$284,"SALIDA"),SUMIFS($I$4:$I$284,$C$4:$C$284,C285,$D$4:$D$284,D285,$E$4:$E$284,E285,$G$4:$G$284,G285,$H$4:$H$284,H285,$B$4:$B$284,"INGRESO")+SUMIFS($I$4:$I$284,$C$4:$C$284,C285,$D$4:$D$284,D285,$E$4:$E$284,E285,$G$4:$G$284,G285,$H$4:$H$284,H285,$B$4:$B$284,"DE CORTE")-SUMIFS($I$4:$I$284,$C$4:$C$284,C285,$D$4:$D$284,D285,$E$4:$E$284,E285,$G$4:$G$284,G285,$H$4:$H$284,H285,$B$4:$B$284,"SALIDA"))),0)</f>
        <v>0</v>
      </c>
      <c r="M285" s="13">
        <f t="shared" si="2"/>
        <v>0</v>
      </c>
      <c r="N285" s="14"/>
      <c r="O285" s="14"/>
      <c r="P285" s="15"/>
      <c r="Q285" s="14"/>
    </row>
    <row r="286" ht="15.75" customHeight="1">
      <c r="A286" s="7"/>
      <c r="B286" s="8"/>
      <c r="C286" s="8"/>
      <c r="D286" s="8"/>
      <c r="E286" s="8"/>
      <c r="F286" s="14"/>
      <c r="G286" s="8"/>
      <c r="H286" s="8"/>
      <c r="I286" s="9"/>
      <c r="J286" s="12" t="str">
        <f t="array" ref="J286:K286">IFERROR(INDEX(PRECIOS_COMPLEMENTOS!$C$4:$F$17,MATCH(D286&amp;"_"&amp;E286,PRECIOS_COMPLEMENTOS!$H$4:$H$17,0),IF(OR(H286="S",H286="20cm"),1,IF(OR(H286="M",H286="25cm"),2,IF(OR(H286="L",H286="30cm"),3,IF(OR(H286="XL",H286="35cm"),4,0))))),0)</f>
        <v>#REF!</v>
      </c>
      <c r="K286" s="12">
        <f t="shared" si="1"/>
        <v>0</v>
      </c>
      <c r="L286" s="13">
        <f>IFERROR(IF(C286="",0,IF(D286="PRETINA",SUMIFS($I$4:$I$285,$C$4:$C$285,C286,$D$4:$D$285,D286,$E$4:$E$285,E286,$F$4:$F$285,F286,$G$4:$G$285,G286,$H$4:$H$285,H286,$B$4:$B$285,"INGRESO")+SUMIFS($I$4:$I$285,$C$4:$C$285,C286,$D$4:$D$285,D286,$E$4:$E$285,E286,$F$4:$F$285,F286,$G$4:$G$285,G286,$H$4:$H$285,H286,$B$4:$B$285,"DE CORTE")-SUMIFS($I$4:$I$285,$C$4:$C$285,C286,$D$4:$D$285,D286,$E$4:$E$285,E286,$F$4:$F$285,F286,$G$4:$G$285,G286,$H$4:$H$285,H286,$B$4:$B$285,"SALIDA"),SUMIFS($I$4:$I$285,$C$4:$C$285,C286,$D$4:$D$285,D286,$E$4:$E$285,E286,$G$4:$G$285,G286,$H$4:$H$285,H286,$B$4:$B$285,"INGRESO")+SUMIFS($I$4:$I$285,$C$4:$C$285,C286,$D$4:$D$285,D286,$E$4:$E$285,E286,$G$4:$G$285,G286,$H$4:$H$285,H286,$B$4:$B$285,"DE CORTE")-SUMIFS($I$4:$I$285,$C$4:$C$285,C286,$D$4:$D$285,D286,$E$4:$E$285,E286,$G$4:$G$285,G286,$H$4:$H$285,H286,$B$4:$B$285,"SALIDA"))),0)</f>
        <v>0</v>
      </c>
      <c r="M286" s="13">
        <f t="shared" si="2"/>
        <v>0</v>
      </c>
      <c r="N286" s="14"/>
      <c r="O286" s="14"/>
      <c r="P286" s="15"/>
      <c r="Q286" s="14"/>
    </row>
    <row r="287" ht="15.75" customHeight="1">
      <c r="A287" s="7"/>
      <c r="B287" s="8"/>
      <c r="C287" s="8"/>
      <c r="D287" s="8"/>
      <c r="E287" s="8"/>
      <c r="F287" s="14"/>
      <c r="G287" s="8"/>
      <c r="H287" s="8"/>
      <c r="I287" s="9"/>
      <c r="J287" s="12" t="str">
        <f t="array" ref="J287:K287">IFERROR(INDEX(PRECIOS_COMPLEMENTOS!$C$4:$F$17,MATCH(D287&amp;"_"&amp;E287,PRECIOS_COMPLEMENTOS!$H$4:$H$17,0),IF(OR(H287="S",H287="20cm"),1,IF(OR(H287="M",H287="25cm"),2,IF(OR(H287="L",H287="30cm"),3,IF(OR(H287="XL",H287="35cm"),4,0))))),0)</f>
        <v>#REF!</v>
      </c>
      <c r="K287" s="12">
        <f t="shared" si="1"/>
        <v>0</v>
      </c>
      <c r="L287" s="13">
        <f>IFERROR(IF(C287="",0,IF(D287="PRETINA",SUMIFS($I$4:$I$286,$C$4:$C$286,C287,$D$4:$D$286,D287,$E$4:$E$286,E287,$F$4:$F$286,F287,$G$4:$G$286,G287,$H$4:$H$286,H287,$B$4:$B$286,"INGRESO")+SUMIFS($I$4:$I$286,$C$4:$C$286,C287,$D$4:$D$286,D287,$E$4:$E$286,E287,$F$4:$F$286,F287,$G$4:$G$286,G287,$H$4:$H$286,H287,$B$4:$B$286,"DE CORTE")-SUMIFS($I$4:$I$286,$C$4:$C$286,C287,$D$4:$D$286,D287,$E$4:$E$286,E287,$F$4:$F$286,F287,$G$4:$G$286,G287,$H$4:$H$286,H287,$B$4:$B$286,"SALIDA"),SUMIFS($I$4:$I$286,$C$4:$C$286,C287,$D$4:$D$286,D287,$E$4:$E$286,E287,$G$4:$G$286,G287,$H$4:$H$286,H287,$B$4:$B$286,"INGRESO")+SUMIFS($I$4:$I$286,$C$4:$C$286,C287,$D$4:$D$286,D287,$E$4:$E$286,E287,$G$4:$G$286,G287,$H$4:$H$286,H287,$B$4:$B$286,"DE CORTE")-SUMIFS($I$4:$I$286,$C$4:$C$286,C287,$D$4:$D$286,D287,$E$4:$E$286,E287,$G$4:$G$286,G287,$H$4:$H$286,H287,$B$4:$B$286,"SALIDA"))),0)</f>
        <v>0</v>
      </c>
      <c r="M287" s="13">
        <f t="shared" si="2"/>
        <v>0</v>
      </c>
      <c r="N287" s="14"/>
      <c r="O287" s="14"/>
      <c r="P287" s="15"/>
      <c r="Q287" s="14"/>
    </row>
    <row r="288" ht="15.75" customHeight="1">
      <c r="A288" s="7"/>
      <c r="B288" s="8"/>
      <c r="C288" s="8"/>
      <c r="D288" s="8"/>
      <c r="E288" s="8"/>
      <c r="F288" s="14"/>
      <c r="G288" s="8"/>
      <c r="H288" s="8"/>
      <c r="I288" s="9"/>
      <c r="J288" s="12" t="str">
        <f t="array" ref="J288:K288">IFERROR(INDEX(PRECIOS_COMPLEMENTOS!$C$4:$F$17,MATCH(D288&amp;"_"&amp;E288,PRECIOS_COMPLEMENTOS!$H$4:$H$17,0),IF(OR(H288="S",H288="20cm"),1,IF(OR(H288="M",H288="25cm"),2,IF(OR(H288="L",H288="30cm"),3,IF(OR(H288="XL",H288="35cm"),4,0))))),0)</f>
        <v>#REF!</v>
      </c>
      <c r="K288" s="12">
        <f t="shared" si="1"/>
        <v>0</v>
      </c>
      <c r="L288" s="13">
        <f>IFERROR(IF(C288="",0,IF(D288="PRETINA",SUMIFS($I$4:$I$287,$C$4:$C$287,C288,$D$4:$D$287,D288,$E$4:$E$287,E288,$F$4:$F$287,F288,$G$4:$G$287,G288,$H$4:$H$287,H288,$B$4:$B$287,"INGRESO")+SUMIFS($I$4:$I$287,$C$4:$C$287,C288,$D$4:$D$287,D288,$E$4:$E$287,E288,$F$4:$F$287,F288,$G$4:$G$287,G288,$H$4:$H$287,H288,$B$4:$B$287,"DE CORTE")-SUMIFS($I$4:$I$287,$C$4:$C$287,C288,$D$4:$D$287,D288,$E$4:$E$287,E288,$F$4:$F$287,F288,$G$4:$G$287,G288,$H$4:$H$287,H288,$B$4:$B$287,"SALIDA"),SUMIFS($I$4:$I$287,$C$4:$C$287,C288,$D$4:$D$287,D288,$E$4:$E$287,E288,$G$4:$G$287,G288,$H$4:$H$287,H288,$B$4:$B$287,"INGRESO")+SUMIFS($I$4:$I$287,$C$4:$C$287,C288,$D$4:$D$287,D288,$E$4:$E$287,E288,$G$4:$G$287,G288,$H$4:$H$287,H288,$B$4:$B$287,"DE CORTE")-SUMIFS($I$4:$I$287,$C$4:$C$287,C288,$D$4:$D$287,D288,$E$4:$E$287,E288,$G$4:$G$287,G288,$H$4:$H$287,H288,$B$4:$B$287,"SALIDA"))),0)</f>
        <v>0</v>
      </c>
      <c r="M288" s="13">
        <f t="shared" si="2"/>
        <v>0</v>
      </c>
      <c r="N288" s="14"/>
      <c r="O288" s="14"/>
      <c r="P288" s="15"/>
      <c r="Q288" s="14"/>
    </row>
    <row r="289" ht="15.75" customHeight="1">
      <c r="A289" s="7"/>
      <c r="B289" s="8"/>
      <c r="C289" s="8"/>
      <c r="D289" s="8"/>
      <c r="E289" s="8"/>
      <c r="F289" s="14"/>
      <c r="G289" s="8"/>
      <c r="H289" s="8"/>
      <c r="I289" s="9"/>
      <c r="J289" s="12" t="str">
        <f t="array" ref="J289:K289">IFERROR(INDEX(PRECIOS_COMPLEMENTOS!$C$4:$F$17,MATCH(D289&amp;"_"&amp;E289,PRECIOS_COMPLEMENTOS!$H$4:$H$17,0),IF(OR(H289="S",H289="20cm"),1,IF(OR(H289="M",H289="25cm"),2,IF(OR(H289="L",H289="30cm"),3,IF(OR(H289="XL",H289="35cm"),4,0))))),0)</f>
        <v>#REF!</v>
      </c>
      <c r="K289" s="12">
        <f t="shared" si="1"/>
        <v>0</v>
      </c>
      <c r="L289" s="13">
        <f>IFERROR(IF(C289="",0,IF(D289="PRETINA",SUMIFS($I$4:$I$288,$C$4:$C$288,C289,$D$4:$D$288,D289,$E$4:$E$288,E289,$F$4:$F$288,F289,$G$4:$G$288,G289,$H$4:$H$288,H289,$B$4:$B$288,"INGRESO")+SUMIFS($I$4:$I$288,$C$4:$C$288,C289,$D$4:$D$288,D289,$E$4:$E$288,E289,$F$4:$F$288,F289,$G$4:$G$288,G289,$H$4:$H$288,H289,$B$4:$B$288,"DE CORTE")-SUMIFS($I$4:$I$288,$C$4:$C$288,C289,$D$4:$D$288,D289,$E$4:$E$288,E289,$F$4:$F$288,F289,$G$4:$G$288,G289,$H$4:$H$288,H289,$B$4:$B$288,"SALIDA"),SUMIFS($I$4:$I$288,$C$4:$C$288,C289,$D$4:$D$288,D289,$E$4:$E$288,E289,$G$4:$G$288,G289,$H$4:$H$288,H289,$B$4:$B$288,"INGRESO")+SUMIFS($I$4:$I$288,$C$4:$C$288,C289,$D$4:$D$288,D289,$E$4:$E$288,E289,$G$4:$G$288,G289,$H$4:$H$288,H289,$B$4:$B$288,"DE CORTE")-SUMIFS($I$4:$I$288,$C$4:$C$288,C289,$D$4:$D$288,D289,$E$4:$E$288,E289,$G$4:$G$288,G289,$H$4:$H$288,H289,$B$4:$B$288,"SALIDA"))),0)</f>
        <v>0</v>
      </c>
      <c r="M289" s="13">
        <f t="shared" si="2"/>
        <v>0</v>
      </c>
      <c r="N289" s="14"/>
      <c r="O289" s="14"/>
      <c r="P289" s="15"/>
      <c r="Q289" s="14"/>
    </row>
    <row r="290" ht="15.75" customHeight="1">
      <c r="A290" s="7"/>
      <c r="B290" s="8"/>
      <c r="C290" s="8"/>
      <c r="D290" s="8"/>
      <c r="E290" s="8"/>
      <c r="F290" s="14"/>
      <c r="G290" s="8"/>
      <c r="H290" s="8"/>
      <c r="I290" s="9"/>
      <c r="J290" s="12" t="str">
        <f t="array" ref="J290:K290">IFERROR(INDEX(PRECIOS_COMPLEMENTOS!$C$4:$F$17,MATCH(D290&amp;"_"&amp;E290,PRECIOS_COMPLEMENTOS!$H$4:$H$17,0),IF(OR(H290="S",H290="20cm"),1,IF(OR(H290="M",H290="25cm"),2,IF(OR(H290="L",H290="30cm"),3,IF(OR(H290="XL",H290="35cm"),4,0))))),0)</f>
        <v>#REF!</v>
      </c>
      <c r="K290" s="12">
        <f t="shared" si="1"/>
        <v>0</v>
      </c>
      <c r="L290" s="13">
        <f>IFERROR(IF(C290="",0,IF(D290="PRETINA",SUMIFS($I$4:$I$289,$C$4:$C$289,C290,$D$4:$D$289,D290,$E$4:$E$289,E290,$F$4:$F$289,F290,$G$4:$G$289,G290,$H$4:$H$289,H290,$B$4:$B$289,"INGRESO")+SUMIFS($I$4:$I$289,$C$4:$C$289,C290,$D$4:$D$289,D290,$E$4:$E$289,E290,$F$4:$F$289,F290,$G$4:$G$289,G290,$H$4:$H$289,H290,$B$4:$B$289,"DE CORTE")-SUMIFS($I$4:$I$289,$C$4:$C$289,C290,$D$4:$D$289,D290,$E$4:$E$289,E290,$F$4:$F$289,F290,$G$4:$G$289,G290,$H$4:$H$289,H290,$B$4:$B$289,"SALIDA"),SUMIFS($I$4:$I$289,$C$4:$C$289,C290,$D$4:$D$289,D290,$E$4:$E$289,E290,$G$4:$G$289,G290,$H$4:$H$289,H290,$B$4:$B$289,"INGRESO")+SUMIFS($I$4:$I$289,$C$4:$C$289,C290,$D$4:$D$289,D290,$E$4:$E$289,E290,$G$4:$G$289,G290,$H$4:$H$289,H290,$B$4:$B$289,"DE CORTE")-SUMIFS($I$4:$I$289,$C$4:$C$289,C290,$D$4:$D$289,D290,$E$4:$E$289,E290,$G$4:$G$289,G290,$H$4:$H$289,H290,$B$4:$B$289,"SALIDA"))),0)</f>
        <v>0</v>
      </c>
      <c r="M290" s="13">
        <f t="shared" si="2"/>
        <v>0</v>
      </c>
      <c r="N290" s="14"/>
      <c r="O290" s="14"/>
      <c r="P290" s="15"/>
      <c r="Q290" s="14"/>
    </row>
    <row r="291" ht="15.75" customHeight="1">
      <c r="A291" s="7"/>
      <c r="B291" s="8"/>
      <c r="C291" s="8"/>
      <c r="D291" s="8"/>
      <c r="E291" s="8"/>
      <c r="F291" s="14"/>
      <c r="G291" s="8"/>
      <c r="H291" s="8"/>
      <c r="I291" s="9"/>
      <c r="J291" s="12" t="str">
        <f t="array" ref="J291:K291">IFERROR(INDEX(PRECIOS_COMPLEMENTOS!$C$4:$F$17,MATCH(D291&amp;"_"&amp;E291,PRECIOS_COMPLEMENTOS!$H$4:$H$17,0),IF(OR(H291="S",H291="20cm"),1,IF(OR(H291="M",H291="25cm"),2,IF(OR(H291="L",H291="30cm"),3,IF(OR(H291="XL",H291="35cm"),4,0))))),0)</f>
        <v>#REF!</v>
      </c>
      <c r="K291" s="12">
        <f t="shared" si="1"/>
        <v>0</v>
      </c>
      <c r="L291" s="13">
        <f>IFERROR(IF(C291="",0,IF(D291="PRETINA",SUMIFS($I$4:$I$290,$C$4:$C$290,C291,$D$4:$D$290,D291,$E$4:$E$290,E291,$F$4:$F$290,F291,$G$4:$G$290,G291,$H$4:$H$290,H291,$B$4:$B$290,"INGRESO")+SUMIFS($I$4:$I$290,$C$4:$C$290,C291,$D$4:$D$290,D291,$E$4:$E$290,E291,$F$4:$F$290,F291,$G$4:$G$290,G291,$H$4:$H$290,H291,$B$4:$B$290,"DE CORTE")-SUMIFS($I$4:$I$290,$C$4:$C$290,C291,$D$4:$D$290,D291,$E$4:$E$290,E291,$F$4:$F$290,F291,$G$4:$G$290,G291,$H$4:$H$290,H291,$B$4:$B$290,"SALIDA"),SUMIFS($I$4:$I$290,$C$4:$C$290,C291,$D$4:$D$290,D291,$E$4:$E$290,E291,$G$4:$G$290,G291,$H$4:$H$290,H291,$B$4:$B$290,"INGRESO")+SUMIFS($I$4:$I$290,$C$4:$C$290,C291,$D$4:$D$290,D291,$E$4:$E$290,E291,$G$4:$G$290,G291,$H$4:$H$290,H291,$B$4:$B$290,"DE CORTE")-SUMIFS($I$4:$I$290,$C$4:$C$290,C291,$D$4:$D$290,D291,$E$4:$E$290,E291,$G$4:$G$290,G291,$H$4:$H$290,H291,$B$4:$B$290,"SALIDA"))),0)</f>
        <v>0</v>
      </c>
      <c r="M291" s="13">
        <f t="shared" si="2"/>
        <v>0</v>
      </c>
      <c r="N291" s="14"/>
      <c r="O291" s="14"/>
      <c r="P291" s="15"/>
      <c r="Q291" s="14"/>
    </row>
    <row r="292" ht="15.75" customHeight="1">
      <c r="A292" s="7"/>
      <c r="B292" s="8"/>
      <c r="C292" s="8"/>
      <c r="D292" s="8"/>
      <c r="E292" s="8"/>
      <c r="F292" s="14"/>
      <c r="G292" s="8"/>
      <c r="H292" s="8"/>
      <c r="I292" s="9"/>
      <c r="J292" s="12" t="str">
        <f t="array" ref="J292:K292">IFERROR(INDEX(PRECIOS_COMPLEMENTOS!$C$4:$F$17,MATCH(D292&amp;"_"&amp;E292,PRECIOS_COMPLEMENTOS!$H$4:$H$17,0),IF(OR(H292="S",H292="20cm"),1,IF(OR(H292="M",H292="25cm"),2,IF(OR(H292="L",H292="30cm"),3,IF(OR(H292="XL",H292="35cm"),4,0))))),0)</f>
        <v>#REF!</v>
      </c>
      <c r="K292" s="12">
        <f t="shared" si="1"/>
        <v>0</v>
      </c>
      <c r="L292" s="13">
        <f>IFERROR(IF(C292="",0,IF(D292="PRETINA",SUMIFS($I$4:$I$291,$C$4:$C$291,C292,$D$4:$D$291,D292,$E$4:$E$291,E292,$F$4:$F$291,F292,$G$4:$G$291,G292,$H$4:$H$291,H292,$B$4:$B$291,"INGRESO")+SUMIFS($I$4:$I$291,$C$4:$C$291,C292,$D$4:$D$291,D292,$E$4:$E$291,E292,$F$4:$F$291,F292,$G$4:$G$291,G292,$H$4:$H$291,H292,$B$4:$B$291,"DE CORTE")-SUMIFS($I$4:$I$291,$C$4:$C$291,C292,$D$4:$D$291,D292,$E$4:$E$291,E292,$F$4:$F$291,F292,$G$4:$G$291,G292,$H$4:$H$291,H292,$B$4:$B$291,"SALIDA"),SUMIFS($I$4:$I$291,$C$4:$C$291,C292,$D$4:$D$291,D292,$E$4:$E$291,E292,$G$4:$G$291,G292,$H$4:$H$291,H292,$B$4:$B$291,"INGRESO")+SUMIFS($I$4:$I$291,$C$4:$C$291,C292,$D$4:$D$291,D292,$E$4:$E$291,E292,$G$4:$G$291,G292,$H$4:$H$291,H292,$B$4:$B$291,"DE CORTE")-SUMIFS($I$4:$I$291,$C$4:$C$291,C292,$D$4:$D$291,D292,$E$4:$E$291,E292,$G$4:$G$291,G292,$H$4:$H$291,H292,$B$4:$B$291,"SALIDA"))),0)</f>
        <v>0</v>
      </c>
      <c r="M292" s="13">
        <f t="shared" si="2"/>
        <v>0</v>
      </c>
      <c r="N292" s="14"/>
      <c r="O292" s="14"/>
      <c r="P292" s="15"/>
      <c r="Q292" s="14"/>
    </row>
    <row r="293" ht="15.75" customHeight="1">
      <c r="A293" s="7"/>
      <c r="B293" s="8"/>
      <c r="C293" s="8"/>
      <c r="D293" s="8"/>
      <c r="E293" s="8"/>
      <c r="F293" s="14"/>
      <c r="G293" s="8"/>
      <c r="H293" s="8"/>
      <c r="I293" s="9"/>
      <c r="J293" s="12" t="str">
        <f t="array" ref="J293:K293">IFERROR(INDEX(PRECIOS_COMPLEMENTOS!$C$4:$F$17,MATCH(D293&amp;"_"&amp;E293,PRECIOS_COMPLEMENTOS!$H$4:$H$17,0),IF(OR(H293="S",H293="20cm"),1,IF(OR(H293="M",H293="25cm"),2,IF(OR(H293="L",H293="30cm"),3,IF(OR(H293="XL",H293="35cm"),4,0))))),0)</f>
        <v>#REF!</v>
      </c>
      <c r="K293" s="12">
        <f t="shared" si="1"/>
        <v>0</v>
      </c>
      <c r="L293" s="13">
        <f>IFERROR(IF(C293="",0,IF(D293="PRETINA",SUMIFS($I$4:$I$292,$C$4:$C$292,C293,$D$4:$D$292,D293,$E$4:$E$292,E293,$F$4:$F$292,F293,$G$4:$G$292,G293,$H$4:$H$292,H293,$B$4:$B$292,"INGRESO")+SUMIFS($I$4:$I$292,$C$4:$C$292,C293,$D$4:$D$292,D293,$E$4:$E$292,E293,$F$4:$F$292,F293,$G$4:$G$292,G293,$H$4:$H$292,H293,$B$4:$B$292,"DE CORTE")-SUMIFS($I$4:$I$292,$C$4:$C$292,C293,$D$4:$D$292,D293,$E$4:$E$292,E293,$F$4:$F$292,F293,$G$4:$G$292,G293,$H$4:$H$292,H293,$B$4:$B$292,"SALIDA"),SUMIFS($I$4:$I$292,$C$4:$C$292,C293,$D$4:$D$292,D293,$E$4:$E$292,E293,$G$4:$G$292,G293,$H$4:$H$292,H293,$B$4:$B$292,"INGRESO")+SUMIFS($I$4:$I$292,$C$4:$C$292,C293,$D$4:$D$292,D293,$E$4:$E$292,E293,$G$4:$G$292,G293,$H$4:$H$292,H293,$B$4:$B$292,"DE CORTE")-SUMIFS($I$4:$I$292,$C$4:$C$292,C293,$D$4:$D$292,D293,$E$4:$E$292,E293,$G$4:$G$292,G293,$H$4:$H$292,H293,$B$4:$B$292,"SALIDA"))),0)</f>
        <v>0</v>
      </c>
      <c r="M293" s="13">
        <f t="shared" si="2"/>
        <v>0</v>
      </c>
      <c r="N293" s="14"/>
      <c r="O293" s="14"/>
      <c r="P293" s="15"/>
      <c r="Q293" s="14"/>
    </row>
    <row r="294" ht="15.75" customHeight="1">
      <c r="A294" s="7"/>
      <c r="B294" s="8"/>
      <c r="C294" s="8"/>
      <c r="D294" s="8"/>
      <c r="E294" s="8"/>
      <c r="F294" s="14"/>
      <c r="G294" s="8"/>
      <c r="H294" s="8"/>
      <c r="I294" s="9"/>
      <c r="J294" s="12" t="str">
        <f t="array" ref="J294:K294">IFERROR(INDEX(PRECIOS_COMPLEMENTOS!$C$4:$F$17,MATCH(D294&amp;"_"&amp;E294,PRECIOS_COMPLEMENTOS!$H$4:$H$17,0),IF(OR(H294="S",H294="20cm"),1,IF(OR(H294="M",H294="25cm"),2,IF(OR(H294="L",H294="30cm"),3,IF(OR(H294="XL",H294="35cm"),4,0))))),0)</f>
        <v>#REF!</v>
      </c>
      <c r="K294" s="12">
        <f t="shared" si="1"/>
        <v>0</v>
      </c>
      <c r="L294" s="13">
        <f>IFERROR(IF(C294="",0,IF(D294="PRETINA",SUMIFS($I$4:$I$293,$C$4:$C$293,C294,$D$4:$D$293,D294,$E$4:$E$293,E294,$F$4:$F$293,F294,$G$4:$G$293,G294,$H$4:$H$293,H294,$B$4:$B$293,"INGRESO")+SUMIFS($I$4:$I$293,$C$4:$C$293,C294,$D$4:$D$293,D294,$E$4:$E$293,E294,$F$4:$F$293,F294,$G$4:$G$293,G294,$H$4:$H$293,H294,$B$4:$B$293,"DE CORTE")-SUMIFS($I$4:$I$293,$C$4:$C$293,C294,$D$4:$D$293,D294,$E$4:$E$293,E294,$F$4:$F$293,F294,$G$4:$G$293,G294,$H$4:$H$293,H294,$B$4:$B$293,"SALIDA"),SUMIFS($I$4:$I$293,$C$4:$C$293,C294,$D$4:$D$293,D294,$E$4:$E$293,E294,$G$4:$G$293,G294,$H$4:$H$293,H294,$B$4:$B$293,"INGRESO")+SUMIFS($I$4:$I$293,$C$4:$C$293,C294,$D$4:$D$293,D294,$E$4:$E$293,E294,$G$4:$G$293,G294,$H$4:$H$293,H294,$B$4:$B$293,"DE CORTE")-SUMIFS($I$4:$I$293,$C$4:$C$293,C294,$D$4:$D$293,D294,$E$4:$E$293,E294,$G$4:$G$293,G294,$H$4:$H$293,H294,$B$4:$B$293,"SALIDA"))),0)</f>
        <v>0</v>
      </c>
      <c r="M294" s="13">
        <f t="shared" si="2"/>
        <v>0</v>
      </c>
      <c r="N294" s="14"/>
      <c r="O294" s="14"/>
      <c r="P294" s="15"/>
      <c r="Q294" s="14"/>
    </row>
    <row r="295" ht="15.75" customHeight="1">
      <c r="A295" s="7"/>
      <c r="B295" s="8"/>
      <c r="C295" s="8"/>
      <c r="D295" s="8"/>
      <c r="E295" s="8"/>
      <c r="F295" s="14"/>
      <c r="G295" s="8"/>
      <c r="H295" s="8"/>
      <c r="I295" s="9"/>
      <c r="J295" s="12" t="str">
        <f t="array" ref="J295:K295">IFERROR(INDEX(PRECIOS_COMPLEMENTOS!$C$4:$F$17,MATCH(D295&amp;"_"&amp;E295,PRECIOS_COMPLEMENTOS!$H$4:$H$17,0),IF(OR(H295="S",H295="20cm"),1,IF(OR(H295="M",H295="25cm"),2,IF(OR(H295="L",H295="30cm"),3,IF(OR(H295="XL",H295="35cm"),4,0))))),0)</f>
        <v>#REF!</v>
      </c>
      <c r="K295" s="12">
        <f t="shared" si="1"/>
        <v>0</v>
      </c>
      <c r="L295" s="13">
        <f>IFERROR(IF(C295="",0,IF(D295="PRETINA",SUMIFS($I$4:$I$294,$C$4:$C$294,C295,$D$4:$D$294,D295,$E$4:$E$294,E295,$F$4:$F$294,F295,$G$4:$G$294,G295,$H$4:$H$294,H295,$B$4:$B$294,"INGRESO")+SUMIFS($I$4:$I$294,$C$4:$C$294,C295,$D$4:$D$294,D295,$E$4:$E$294,E295,$F$4:$F$294,F295,$G$4:$G$294,G295,$H$4:$H$294,H295,$B$4:$B$294,"DE CORTE")-SUMIFS($I$4:$I$294,$C$4:$C$294,C295,$D$4:$D$294,D295,$E$4:$E$294,E295,$F$4:$F$294,F295,$G$4:$G$294,G295,$H$4:$H$294,H295,$B$4:$B$294,"SALIDA"),SUMIFS($I$4:$I$294,$C$4:$C$294,C295,$D$4:$D$294,D295,$E$4:$E$294,E295,$G$4:$G$294,G295,$H$4:$H$294,H295,$B$4:$B$294,"INGRESO")+SUMIFS($I$4:$I$294,$C$4:$C$294,C295,$D$4:$D$294,D295,$E$4:$E$294,E295,$G$4:$G$294,G295,$H$4:$H$294,H295,$B$4:$B$294,"DE CORTE")-SUMIFS($I$4:$I$294,$C$4:$C$294,C295,$D$4:$D$294,D295,$E$4:$E$294,E295,$G$4:$G$294,G295,$H$4:$H$294,H295,$B$4:$B$294,"SALIDA"))),0)</f>
        <v>0</v>
      </c>
      <c r="M295" s="13">
        <f t="shared" si="2"/>
        <v>0</v>
      </c>
      <c r="N295" s="14"/>
      <c r="O295" s="14"/>
      <c r="P295" s="15"/>
      <c r="Q295" s="14"/>
    </row>
    <row r="296" ht="15.75" customHeight="1">
      <c r="A296" s="7"/>
      <c r="B296" s="8"/>
      <c r="C296" s="8"/>
      <c r="D296" s="8"/>
      <c r="E296" s="8"/>
      <c r="F296" s="14"/>
      <c r="G296" s="8"/>
      <c r="H296" s="8"/>
      <c r="I296" s="9"/>
      <c r="J296" s="12" t="str">
        <f t="array" ref="J296:K296">IFERROR(INDEX(PRECIOS_COMPLEMENTOS!$C$4:$F$17,MATCH(D296&amp;"_"&amp;E296,PRECIOS_COMPLEMENTOS!$H$4:$H$17,0),IF(OR(H296="S",H296="20cm"),1,IF(OR(H296="M",H296="25cm"),2,IF(OR(H296="L",H296="30cm"),3,IF(OR(H296="XL",H296="35cm"),4,0))))),0)</f>
        <v>#REF!</v>
      </c>
      <c r="K296" s="12">
        <f t="shared" si="1"/>
        <v>0</v>
      </c>
      <c r="L296" s="13">
        <f>IFERROR(IF(C296="",0,IF(D296="PRETINA",SUMIFS($I$4:$I$295,$C$4:$C$295,C296,$D$4:$D$295,D296,$E$4:$E$295,E296,$F$4:$F$295,F296,$G$4:$G$295,G296,$H$4:$H$295,H296,$B$4:$B$295,"INGRESO")+SUMIFS($I$4:$I$295,$C$4:$C$295,C296,$D$4:$D$295,D296,$E$4:$E$295,E296,$F$4:$F$295,F296,$G$4:$G$295,G296,$H$4:$H$295,H296,$B$4:$B$295,"DE CORTE")-SUMIFS($I$4:$I$295,$C$4:$C$295,C296,$D$4:$D$295,D296,$E$4:$E$295,E296,$F$4:$F$295,F296,$G$4:$G$295,G296,$H$4:$H$295,H296,$B$4:$B$295,"SALIDA"),SUMIFS($I$4:$I$295,$C$4:$C$295,C296,$D$4:$D$295,D296,$E$4:$E$295,E296,$G$4:$G$295,G296,$H$4:$H$295,H296,$B$4:$B$295,"INGRESO")+SUMIFS($I$4:$I$295,$C$4:$C$295,C296,$D$4:$D$295,D296,$E$4:$E$295,E296,$G$4:$G$295,G296,$H$4:$H$295,H296,$B$4:$B$295,"DE CORTE")-SUMIFS($I$4:$I$295,$C$4:$C$295,C296,$D$4:$D$295,D296,$E$4:$E$295,E296,$G$4:$G$295,G296,$H$4:$H$295,H296,$B$4:$B$295,"SALIDA"))),0)</f>
        <v>0</v>
      </c>
      <c r="M296" s="13">
        <f t="shared" si="2"/>
        <v>0</v>
      </c>
      <c r="N296" s="14"/>
      <c r="O296" s="14"/>
      <c r="P296" s="15"/>
      <c r="Q296" s="14"/>
    </row>
    <row r="297" ht="15.75" customHeight="1">
      <c r="A297" s="7"/>
      <c r="B297" s="8"/>
      <c r="C297" s="8"/>
      <c r="D297" s="8"/>
      <c r="E297" s="8"/>
      <c r="F297" s="14"/>
      <c r="G297" s="8"/>
      <c r="H297" s="8"/>
      <c r="I297" s="9"/>
      <c r="J297" s="12" t="str">
        <f t="array" ref="J297:K297">IFERROR(INDEX(PRECIOS_COMPLEMENTOS!$C$4:$F$17,MATCH(D297&amp;"_"&amp;E297,PRECIOS_COMPLEMENTOS!$H$4:$H$17,0),IF(OR(H297="S",H297="20cm"),1,IF(OR(H297="M",H297="25cm"),2,IF(OR(H297="L",H297="30cm"),3,IF(OR(H297="XL",H297="35cm"),4,0))))),0)</f>
        <v>#REF!</v>
      </c>
      <c r="K297" s="12">
        <f t="shared" si="1"/>
        <v>0</v>
      </c>
      <c r="L297" s="13">
        <f>IFERROR(IF(C297="",0,IF(D297="PRETINA",SUMIFS($I$4:$I$296,$C$4:$C$296,C297,$D$4:$D$296,D297,$E$4:$E$296,E297,$F$4:$F$296,F297,$G$4:$G$296,G297,$H$4:$H$296,H297,$B$4:$B$296,"INGRESO")+SUMIFS($I$4:$I$296,$C$4:$C$296,C297,$D$4:$D$296,D297,$E$4:$E$296,E297,$F$4:$F$296,F297,$G$4:$G$296,G297,$H$4:$H$296,H297,$B$4:$B$296,"DE CORTE")-SUMIFS($I$4:$I$296,$C$4:$C$296,C297,$D$4:$D$296,D297,$E$4:$E$296,E297,$F$4:$F$296,F297,$G$4:$G$296,G297,$H$4:$H$296,H297,$B$4:$B$296,"SALIDA"),SUMIFS($I$4:$I$296,$C$4:$C$296,C297,$D$4:$D$296,D297,$E$4:$E$296,E297,$G$4:$G$296,G297,$H$4:$H$296,H297,$B$4:$B$296,"INGRESO")+SUMIFS($I$4:$I$296,$C$4:$C$296,C297,$D$4:$D$296,D297,$E$4:$E$296,E297,$G$4:$G$296,G297,$H$4:$H$296,H297,$B$4:$B$296,"DE CORTE")-SUMIFS($I$4:$I$296,$C$4:$C$296,C297,$D$4:$D$296,D297,$E$4:$E$296,E297,$G$4:$G$296,G297,$H$4:$H$296,H297,$B$4:$B$296,"SALIDA"))),0)</f>
        <v>0</v>
      </c>
      <c r="M297" s="13">
        <f t="shared" si="2"/>
        <v>0</v>
      </c>
      <c r="N297" s="14"/>
      <c r="O297" s="14"/>
      <c r="P297" s="15"/>
      <c r="Q297" s="14"/>
    </row>
    <row r="298" ht="15.75" customHeight="1">
      <c r="A298" s="7"/>
      <c r="B298" s="8"/>
      <c r="C298" s="8"/>
      <c r="D298" s="8"/>
      <c r="E298" s="8"/>
      <c r="F298" s="14"/>
      <c r="G298" s="8"/>
      <c r="H298" s="8"/>
      <c r="I298" s="9"/>
      <c r="J298" s="12" t="str">
        <f t="array" ref="J298:K298">IFERROR(INDEX(PRECIOS_COMPLEMENTOS!$C$4:$F$17,MATCH(D298&amp;"_"&amp;E298,PRECIOS_COMPLEMENTOS!$H$4:$H$17,0),IF(OR(H298="S",H298="20cm"),1,IF(OR(H298="M",H298="25cm"),2,IF(OR(H298="L",H298="30cm"),3,IF(OR(H298="XL",H298="35cm"),4,0))))),0)</f>
        <v>#REF!</v>
      </c>
      <c r="K298" s="12">
        <f t="shared" si="1"/>
        <v>0</v>
      </c>
      <c r="L298" s="13">
        <f>IFERROR(IF(C298="",0,IF(D298="PRETINA",SUMIFS($I$4:$I$297,$C$4:$C$297,C298,$D$4:$D$297,D298,$E$4:$E$297,E298,$F$4:$F$297,F298,$G$4:$G$297,G298,$H$4:$H$297,H298,$B$4:$B$297,"INGRESO")+SUMIFS($I$4:$I$297,$C$4:$C$297,C298,$D$4:$D$297,D298,$E$4:$E$297,E298,$F$4:$F$297,F298,$G$4:$G$297,G298,$H$4:$H$297,H298,$B$4:$B$297,"DE CORTE")-SUMIFS($I$4:$I$297,$C$4:$C$297,C298,$D$4:$D$297,D298,$E$4:$E$297,E298,$F$4:$F$297,F298,$G$4:$G$297,G298,$H$4:$H$297,H298,$B$4:$B$297,"SALIDA"),SUMIFS($I$4:$I$297,$C$4:$C$297,C298,$D$4:$D$297,D298,$E$4:$E$297,E298,$G$4:$G$297,G298,$H$4:$H$297,H298,$B$4:$B$297,"INGRESO")+SUMIFS($I$4:$I$297,$C$4:$C$297,C298,$D$4:$D$297,D298,$E$4:$E$297,E298,$G$4:$G$297,G298,$H$4:$H$297,H298,$B$4:$B$297,"DE CORTE")-SUMIFS($I$4:$I$297,$C$4:$C$297,C298,$D$4:$D$297,D298,$E$4:$E$297,E298,$G$4:$G$297,G298,$H$4:$H$297,H298,$B$4:$B$297,"SALIDA"))),0)</f>
        <v>0</v>
      </c>
      <c r="M298" s="13">
        <f t="shared" si="2"/>
        <v>0</v>
      </c>
      <c r="N298" s="14"/>
      <c r="O298" s="14"/>
      <c r="P298" s="15"/>
      <c r="Q298" s="14"/>
    </row>
    <row r="299" ht="15.75" customHeight="1">
      <c r="A299" s="7"/>
      <c r="B299" s="8"/>
      <c r="C299" s="8"/>
      <c r="D299" s="8"/>
      <c r="E299" s="8"/>
      <c r="F299" s="14"/>
      <c r="G299" s="8"/>
      <c r="H299" s="8"/>
      <c r="I299" s="9"/>
      <c r="J299" s="12" t="str">
        <f t="array" ref="J299:K299">IFERROR(INDEX(PRECIOS_COMPLEMENTOS!$C$4:$F$17,MATCH(D299&amp;"_"&amp;E299,PRECIOS_COMPLEMENTOS!$H$4:$H$17,0),IF(OR(H299="S",H299="20cm"),1,IF(OR(H299="M",H299="25cm"),2,IF(OR(H299="L",H299="30cm"),3,IF(OR(H299="XL",H299="35cm"),4,0))))),0)</f>
        <v>#REF!</v>
      </c>
      <c r="K299" s="12">
        <f t="shared" si="1"/>
        <v>0</v>
      </c>
      <c r="L299" s="13">
        <f>IFERROR(IF(C299="",0,IF(D299="PRETINA",SUMIFS($I$4:$I$298,$C$4:$C$298,C299,$D$4:$D$298,D299,$E$4:$E$298,E299,$F$4:$F$298,F299,$G$4:$G$298,G299,$H$4:$H$298,H299,$B$4:$B$298,"INGRESO")+SUMIFS($I$4:$I$298,$C$4:$C$298,C299,$D$4:$D$298,D299,$E$4:$E$298,E299,$F$4:$F$298,F299,$G$4:$G$298,G299,$H$4:$H$298,H299,$B$4:$B$298,"DE CORTE")-SUMIFS($I$4:$I$298,$C$4:$C$298,C299,$D$4:$D$298,D299,$E$4:$E$298,E299,$F$4:$F$298,F299,$G$4:$G$298,G299,$H$4:$H$298,H299,$B$4:$B$298,"SALIDA"),SUMIFS($I$4:$I$298,$C$4:$C$298,C299,$D$4:$D$298,D299,$E$4:$E$298,E299,$G$4:$G$298,G299,$H$4:$H$298,H299,$B$4:$B$298,"INGRESO")+SUMIFS($I$4:$I$298,$C$4:$C$298,C299,$D$4:$D$298,D299,$E$4:$E$298,E299,$G$4:$G$298,G299,$H$4:$H$298,H299,$B$4:$B$298,"DE CORTE")-SUMIFS($I$4:$I$298,$C$4:$C$298,C299,$D$4:$D$298,D299,$E$4:$E$298,E299,$G$4:$G$298,G299,$H$4:$H$298,H299,$B$4:$B$298,"SALIDA"))),0)</f>
        <v>0</v>
      </c>
      <c r="M299" s="13">
        <f t="shared" si="2"/>
        <v>0</v>
      </c>
      <c r="N299" s="14"/>
      <c r="O299" s="14"/>
      <c r="P299" s="15"/>
      <c r="Q299" s="14"/>
    </row>
    <row r="300" ht="15.75" customHeight="1">
      <c r="A300" s="7"/>
      <c r="B300" s="8"/>
      <c r="C300" s="8"/>
      <c r="D300" s="8"/>
      <c r="E300" s="8"/>
      <c r="F300" s="14"/>
      <c r="G300" s="8"/>
      <c r="H300" s="8"/>
      <c r="I300" s="9"/>
      <c r="J300" s="12" t="str">
        <f t="array" ref="J300:K300">IFERROR(INDEX(PRECIOS_COMPLEMENTOS!$C$4:$F$17,MATCH(D300&amp;"_"&amp;E300,PRECIOS_COMPLEMENTOS!$H$4:$H$17,0),IF(OR(H300="S",H300="20cm"),1,IF(OR(H300="M",H300="25cm"),2,IF(OR(H300="L",H300="30cm"),3,IF(OR(H300="XL",H300="35cm"),4,0))))),0)</f>
        <v>#REF!</v>
      </c>
      <c r="K300" s="12">
        <f t="shared" si="1"/>
        <v>0</v>
      </c>
      <c r="L300" s="13">
        <f>IFERROR(IF(C300="",0,IF(D300="PRETINA",SUMIFS($I$4:$I$299,$C$4:$C$299,C300,$D$4:$D$299,D300,$E$4:$E$299,E300,$F$4:$F$299,F300,$G$4:$G$299,G300,$H$4:$H$299,H300,$B$4:$B$299,"INGRESO")+SUMIFS($I$4:$I$299,$C$4:$C$299,C300,$D$4:$D$299,D300,$E$4:$E$299,E300,$F$4:$F$299,F300,$G$4:$G$299,G300,$H$4:$H$299,H300,$B$4:$B$299,"DE CORTE")-SUMIFS($I$4:$I$299,$C$4:$C$299,C300,$D$4:$D$299,D300,$E$4:$E$299,E300,$F$4:$F$299,F300,$G$4:$G$299,G300,$H$4:$H$299,H300,$B$4:$B$299,"SALIDA"),SUMIFS($I$4:$I$299,$C$4:$C$299,C300,$D$4:$D$299,D300,$E$4:$E$299,E300,$G$4:$G$299,G300,$H$4:$H$299,H300,$B$4:$B$299,"INGRESO")+SUMIFS($I$4:$I$299,$C$4:$C$299,C300,$D$4:$D$299,D300,$E$4:$E$299,E300,$G$4:$G$299,G300,$H$4:$H$299,H300,$B$4:$B$299,"DE CORTE")-SUMIFS($I$4:$I$299,$C$4:$C$299,C300,$D$4:$D$299,D300,$E$4:$E$299,E300,$G$4:$G$299,G300,$H$4:$H$299,H300,$B$4:$B$299,"SALIDA"))),0)</f>
        <v>0</v>
      </c>
      <c r="M300" s="13">
        <f t="shared" si="2"/>
        <v>0</v>
      </c>
      <c r="N300" s="14"/>
      <c r="O300" s="14"/>
      <c r="P300" s="15"/>
      <c r="Q300" s="14"/>
    </row>
    <row r="301" ht="15.75" customHeight="1">
      <c r="A301" s="7"/>
      <c r="B301" s="8"/>
      <c r="C301" s="8"/>
      <c r="D301" s="8"/>
      <c r="E301" s="8"/>
      <c r="F301" s="14"/>
      <c r="G301" s="8"/>
      <c r="H301" s="8"/>
      <c r="I301" s="9"/>
      <c r="J301" s="12" t="str">
        <f t="array" ref="J301:K301">IFERROR(INDEX(PRECIOS_COMPLEMENTOS!$C$4:$F$17,MATCH(D301&amp;"_"&amp;E301,PRECIOS_COMPLEMENTOS!$H$4:$H$17,0),IF(OR(H301="S",H301="20cm"),1,IF(OR(H301="M",H301="25cm"),2,IF(OR(H301="L",H301="30cm"),3,IF(OR(H301="XL",H301="35cm"),4,0))))),0)</f>
        <v>#REF!</v>
      </c>
      <c r="K301" s="12">
        <f t="shared" si="1"/>
        <v>0</v>
      </c>
      <c r="L301" s="13">
        <f>IFERROR(IF(C301="",0,IF(D301="PRETINA",SUMIFS($I$4:$I$300,$C$4:$C$300,C301,$D$4:$D$300,D301,$E$4:$E$300,E301,$F$4:$F$300,F301,$G$4:$G$300,G301,$H$4:$H$300,H301,$B$4:$B$300,"INGRESO")+SUMIFS($I$4:$I$300,$C$4:$C$300,C301,$D$4:$D$300,D301,$E$4:$E$300,E301,$F$4:$F$300,F301,$G$4:$G$300,G301,$H$4:$H$300,H301,$B$4:$B$300,"DE CORTE")-SUMIFS($I$4:$I$300,$C$4:$C$300,C301,$D$4:$D$300,D301,$E$4:$E$300,E301,$F$4:$F$300,F301,$G$4:$G$300,G301,$H$4:$H$300,H301,$B$4:$B$300,"SALIDA"),SUMIFS($I$4:$I$300,$C$4:$C$300,C301,$D$4:$D$300,D301,$E$4:$E$300,E301,$G$4:$G$300,G301,$H$4:$H$300,H301,$B$4:$B$300,"INGRESO")+SUMIFS($I$4:$I$300,$C$4:$C$300,C301,$D$4:$D$300,D301,$E$4:$E$300,E301,$G$4:$G$300,G301,$H$4:$H$300,H301,$B$4:$B$300,"DE CORTE")-SUMIFS($I$4:$I$300,$C$4:$C$300,C301,$D$4:$D$300,D301,$E$4:$E$300,E301,$G$4:$G$300,G301,$H$4:$H$300,H301,$B$4:$B$300,"SALIDA"))),0)</f>
        <v>0</v>
      </c>
      <c r="M301" s="13">
        <f t="shared" si="2"/>
        <v>0</v>
      </c>
      <c r="N301" s="14"/>
      <c r="O301" s="14"/>
      <c r="P301" s="15"/>
      <c r="Q301" s="14"/>
    </row>
    <row r="302" ht="15.75" customHeight="1">
      <c r="A302" s="7"/>
      <c r="B302" s="8"/>
      <c r="C302" s="8"/>
      <c r="D302" s="8"/>
      <c r="E302" s="8"/>
      <c r="F302" s="14"/>
      <c r="G302" s="8"/>
      <c r="H302" s="8"/>
      <c r="I302" s="9"/>
      <c r="J302" s="12" t="str">
        <f t="array" ref="J302:K302">IFERROR(INDEX(PRECIOS_COMPLEMENTOS!$C$4:$F$17,MATCH(D302&amp;"_"&amp;E302,PRECIOS_COMPLEMENTOS!$H$4:$H$17,0),IF(OR(H302="S",H302="20cm"),1,IF(OR(H302="M",H302="25cm"),2,IF(OR(H302="L",H302="30cm"),3,IF(OR(H302="XL",H302="35cm"),4,0))))),0)</f>
        <v>#REF!</v>
      </c>
      <c r="K302" s="12">
        <f t="shared" si="1"/>
        <v>0</v>
      </c>
      <c r="L302" s="13">
        <f>IFERROR(IF(C302="",0,IF(D302="PRETINA",SUMIFS($I$4:$I$301,$C$4:$C$301,C302,$D$4:$D$301,D302,$E$4:$E$301,E302,$F$4:$F$301,F302,$G$4:$G$301,G302,$H$4:$H$301,H302,$B$4:$B$301,"INGRESO")+SUMIFS($I$4:$I$301,$C$4:$C$301,C302,$D$4:$D$301,D302,$E$4:$E$301,E302,$F$4:$F$301,F302,$G$4:$G$301,G302,$H$4:$H$301,H302,$B$4:$B$301,"DE CORTE")-SUMIFS($I$4:$I$301,$C$4:$C$301,C302,$D$4:$D$301,D302,$E$4:$E$301,E302,$F$4:$F$301,F302,$G$4:$G$301,G302,$H$4:$H$301,H302,$B$4:$B$301,"SALIDA"),SUMIFS($I$4:$I$301,$C$4:$C$301,C302,$D$4:$D$301,D302,$E$4:$E$301,E302,$G$4:$G$301,G302,$H$4:$H$301,H302,$B$4:$B$301,"INGRESO")+SUMIFS($I$4:$I$301,$C$4:$C$301,C302,$D$4:$D$301,D302,$E$4:$E$301,E302,$G$4:$G$301,G302,$H$4:$H$301,H302,$B$4:$B$301,"DE CORTE")-SUMIFS($I$4:$I$301,$C$4:$C$301,C302,$D$4:$D$301,D302,$E$4:$E$301,E302,$G$4:$G$301,G302,$H$4:$H$301,H302,$B$4:$B$301,"SALIDA"))),0)</f>
        <v>0</v>
      </c>
      <c r="M302" s="13">
        <f t="shared" si="2"/>
        <v>0</v>
      </c>
      <c r="N302" s="14"/>
      <c r="O302" s="14"/>
      <c r="P302" s="15"/>
      <c r="Q302" s="14"/>
    </row>
    <row r="303" ht="15.75" customHeight="1">
      <c r="A303" s="7"/>
      <c r="B303" s="8"/>
      <c r="C303" s="8"/>
      <c r="D303" s="8"/>
      <c r="E303" s="8"/>
      <c r="F303" s="14"/>
      <c r="G303" s="8"/>
      <c r="H303" s="8"/>
      <c r="I303" s="9"/>
      <c r="J303" s="12" t="str">
        <f t="array" ref="J303:K303">IFERROR(INDEX(PRECIOS_COMPLEMENTOS!$C$4:$F$17,MATCH(D303&amp;"_"&amp;E303,PRECIOS_COMPLEMENTOS!$H$4:$H$17,0),IF(OR(H303="S",H303="20cm"),1,IF(OR(H303="M",H303="25cm"),2,IF(OR(H303="L",H303="30cm"),3,IF(OR(H303="XL",H303="35cm"),4,0))))),0)</f>
        <v>#REF!</v>
      </c>
      <c r="K303" s="12">
        <f t="shared" si="1"/>
        <v>0</v>
      </c>
      <c r="L303" s="13">
        <f>IFERROR(IF(C303="",0,IF(D303="PRETINA",SUMIFS($I$4:$I$302,$C$4:$C$302,C303,$D$4:$D$302,D303,$E$4:$E$302,E303,$F$4:$F$302,F303,$G$4:$G$302,G303,$H$4:$H$302,H303,$B$4:$B$302,"INGRESO")+SUMIFS($I$4:$I$302,$C$4:$C$302,C303,$D$4:$D$302,D303,$E$4:$E$302,E303,$F$4:$F$302,F303,$G$4:$G$302,G303,$H$4:$H$302,H303,$B$4:$B$302,"DE CORTE")-SUMIFS($I$4:$I$302,$C$4:$C$302,C303,$D$4:$D$302,D303,$E$4:$E$302,E303,$F$4:$F$302,F303,$G$4:$G$302,G303,$H$4:$H$302,H303,$B$4:$B$302,"SALIDA"),SUMIFS($I$4:$I$302,$C$4:$C$302,C303,$D$4:$D$302,D303,$E$4:$E$302,E303,$G$4:$G$302,G303,$H$4:$H$302,H303,$B$4:$B$302,"INGRESO")+SUMIFS($I$4:$I$302,$C$4:$C$302,C303,$D$4:$D$302,D303,$E$4:$E$302,E303,$G$4:$G$302,G303,$H$4:$H$302,H303,$B$4:$B$302,"DE CORTE")-SUMIFS($I$4:$I$302,$C$4:$C$302,C303,$D$4:$D$302,D303,$E$4:$E$302,E303,$G$4:$G$302,G303,$H$4:$H$302,H303,$B$4:$B$302,"SALIDA"))),0)</f>
        <v>0</v>
      </c>
      <c r="M303" s="13">
        <f t="shared" si="2"/>
        <v>0</v>
      </c>
      <c r="N303" s="14"/>
      <c r="O303" s="14"/>
      <c r="P303" s="15"/>
      <c r="Q303" s="14"/>
    </row>
    <row r="304" ht="15.75" customHeight="1">
      <c r="A304" s="7"/>
      <c r="B304" s="8"/>
      <c r="C304" s="8"/>
      <c r="D304" s="8"/>
      <c r="E304" s="8"/>
      <c r="F304" s="14"/>
      <c r="G304" s="8"/>
      <c r="H304" s="8"/>
      <c r="I304" s="9"/>
      <c r="J304" s="12" t="str">
        <f t="array" ref="J304:K304">IFERROR(INDEX(PRECIOS_COMPLEMENTOS!$C$4:$F$17,MATCH(D304&amp;"_"&amp;E304,PRECIOS_COMPLEMENTOS!$H$4:$H$17,0),IF(OR(H304="S",H304="20cm"),1,IF(OR(H304="M",H304="25cm"),2,IF(OR(H304="L",H304="30cm"),3,IF(OR(H304="XL",H304="35cm"),4,0))))),0)</f>
        <v>#REF!</v>
      </c>
      <c r="K304" s="12">
        <f t="shared" si="1"/>
        <v>0</v>
      </c>
      <c r="L304" s="13">
        <f>IFERROR(IF(C304="",0,IF(D304="PRETINA",SUMIFS($I$4:$I$303,$C$4:$C$303,C304,$D$4:$D$303,D304,$E$4:$E$303,E304,$F$4:$F$303,F304,$G$4:$G$303,G304,$H$4:$H$303,H304,$B$4:$B$303,"INGRESO")+SUMIFS($I$4:$I$303,$C$4:$C$303,C304,$D$4:$D$303,D304,$E$4:$E$303,E304,$F$4:$F$303,F304,$G$4:$G$303,G304,$H$4:$H$303,H304,$B$4:$B$303,"DE CORTE")-SUMIFS($I$4:$I$303,$C$4:$C$303,C304,$D$4:$D$303,D304,$E$4:$E$303,E304,$F$4:$F$303,F304,$G$4:$G$303,G304,$H$4:$H$303,H304,$B$4:$B$303,"SALIDA"),SUMIFS($I$4:$I$303,$C$4:$C$303,C304,$D$4:$D$303,D304,$E$4:$E$303,E304,$G$4:$G$303,G304,$H$4:$H$303,H304,$B$4:$B$303,"INGRESO")+SUMIFS($I$4:$I$303,$C$4:$C$303,C304,$D$4:$D$303,D304,$E$4:$E$303,E304,$G$4:$G$303,G304,$H$4:$H$303,H304,$B$4:$B$303,"DE CORTE")-SUMIFS($I$4:$I$303,$C$4:$C$303,C304,$D$4:$D$303,D304,$E$4:$E$303,E304,$G$4:$G$303,G304,$H$4:$H$303,H304,$B$4:$B$303,"SALIDA"))),0)</f>
        <v>0</v>
      </c>
      <c r="M304" s="13">
        <f t="shared" si="2"/>
        <v>0</v>
      </c>
      <c r="N304" s="14"/>
      <c r="O304" s="14"/>
      <c r="P304" s="15"/>
      <c r="Q304" s="14"/>
    </row>
    <row r="305" ht="15.75" customHeight="1">
      <c r="A305" s="7"/>
      <c r="B305" s="8"/>
      <c r="C305" s="8"/>
      <c r="D305" s="8"/>
      <c r="E305" s="8"/>
      <c r="F305" s="14"/>
      <c r="G305" s="8"/>
      <c r="H305" s="8"/>
      <c r="I305" s="9"/>
      <c r="J305" s="12" t="str">
        <f t="array" ref="J305:K305">IFERROR(INDEX(PRECIOS_COMPLEMENTOS!$C$4:$F$17,MATCH(D305&amp;"_"&amp;E305,PRECIOS_COMPLEMENTOS!$H$4:$H$17,0),IF(OR(H305="S",H305="20cm"),1,IF(OR(H305="M",H305="25cm"),2,IF(OR(H305="L",H305="30cm"),3,IF(OR(H305="XL",H305="35cm"),4,0))))),0)</f>
        <v>#REF!</v>
      </c>
      <c r="K305" s="12">
        <f t="shared" si="1"/>
        <v>0</v>
      </c>
      <c r="L305" s="13">
        <f>IFERROR(IF(C305="",0,IF(D305="PRETINA",SUMIFS($I$4:$I$304,$C$4:$C$304,C305,$D$4:$D$304,D305,$E$4:$E$304,E305,$F$4:$F$304,F305,$G$4:$G$304,G305,$H$4:$H$304,H305,$B$4:$B$304,"INGRESO")+SUMIFS($I$4:$I$304,$C$4:$C$304,C305,$D$4:$D$304,D305,$E$4:$E$304,E305,$F$4:$F$304,F305,$G$4:$G$304,G305,$H$4:$H$304,H305,$B$4:$B$304,"DE CORTE")-SUMIFS($I$4:$I$304,$C$4:$C$304,C305,$D$4:$D$304,D305,$E$4:$E$304,E305,$F$4:$F$304,F305,$G$4:$G$304,G305,$H$4:$H$304,H305,$B$4:$B$304,"SALIDA"),SUMIFS($I$4:$I$304,$C$4:$C$304,C305,$D$4:$D$304,D305,$E$4:$E$304,E305,$G$4:$G$304,G305,$H$4:$H$304,H305,$B$4:$B$304,"INGRESO")+SUMIFS($I$4:$I$304,$C$4:$C$304,C305,$D$4:$D$304,D305,$E$4:$E$304,E305,$G$4:$G$304,G305,$H$4:$H$304,H305,$B$4:$B$304,"DE CORTE")-SUMIFS($I$4:$I$304,$C$4:$C$304,C305,$D$4:$D$304,D305,$E$4:$E$304,E305,$G$4:$G$304,G305,$H$4:$H$304,H305,$B$4:$B$304,"SALIDA"))),0)</f>
        <v>0</v>
      </c>
      <c r="M305" s="13">
        <f t="shared" si="2"/>
        <v>0</v>
      </c>
      <c r="N305" s="14"/>
      <c r="O305" s="14"/>
      <c r="P305" s="15"/>
      <c r="Q305" s="14"/>
    </row>
    <row r="306" ht="15.75" customHeight="1">
      <c r="A306" s="7"/>
      <c r="B306" s="8"/>
      <c r="C306" s="8"/>
      <c r="D306" s="8"/>
      <c r="E306" s="8"/>
      <c r="F306" s="14"/>
      <c r="G306" s="8"/>
      <c r="H306" s="8"/>
      <c r="I306" s="9"/>
      <c r="J306" s="12" t="str">
        <f t="array" ref="J306:K306">IFERROR(INDEX(PRECIOS_COMPLEMENTOS!$C$4:$F$17,MATCH(D306&amp;"_"&amp;E306,PRECIOS_COMPLEMENTOS!$H$4:$H$17,0),IF(OR(H306="S",H306="20cm"),1,IF(OR(H306="M",H306="25cm"),2,IF(OR(H306="L",H306="30cm"),3,IF(OR(H306="XL",H306="35cm"),4,0))))),0)</f>
        <v>#REF!</v>
      </c>
      <c r="K306" s="12">
        <f t="shared" si="1"/>
        <v>0</v>
      </c>
      <c r="L306" s="13">
        <f>IFERROR(IF(C306="",0,IF(D306="PRETINA",SUMIFS($I$4:$I$305,$C$4:$C$305,C306,$D$4:$D$305,D306,$E$4:$E$305,E306,$F$4:$F$305,F306,$G$4:$G$305,G306,$H$4:$H$305,H306,$B$4:$B$305,"INGRESO")+SUMIFS($I$4:$I$305,$C$4:$C$305,C306,$D$4:$D$305,D306,$E$4:$E$305,E306,$F$4:$F$305,F306,$G$4:$G$305,G306,$H$4:$H$305,H306,$B$4:$B$305,"DE CORTE")-SUMIFS($I$4:$I$305,$C$4:$C$305,C306,$D$4:$D$305,D306,$E$4:$E$305,E306,$F$4:$F$305,F306,$G$4:$G$305,G306,$H$4:$H$305,H306,$B$4:$B$305,"SALIDA"),SUMIFS($I$4:$I$305,$C$4:$C$305,C306,$D$4:$D$305,D306,$E$4:$E$305,E306,$G$4:$G$305,G306,$H$4:$H$305,H306,$B$4:$B$305,"INGRESO")+SUMIFS($I$4:$I$305,$C$4:$C$305,C306,$D$4:$D$305,D306,$E$4:$E$305,E306,$G$4:$G$305,G306,$H$4:$H$305,H306,$B$4:$B$305,"DE CORTE")-SUMIFS($I$4:$I$305,$C$4:$C$305,C306,$D$4:$D$305,D306,$E$4:$E$305,E306,$G$4:$G$305,G306,$H$4:$H$305,H306,$B$4:$B$305,"SALIDA"))),0)</f>
        <v>0</v>
      </c>
      <c r="M306" s="13">
        <f t="shared" si="2"/>
        <v>0</v>
      </c>
      <c r="N306" s="14"/>
      <c r="O306" s="14"/>
      <c r="P306" s="15"/>
      <c r="Q306" s="14"/>
    </row>
    <row r="307" ht="15.75" customHeight="1">
      <c r="A307" s="7"/>
      <c r="B307" s="8"/>
      <c r="C307" s="8"/>
      <c r="D307" s="8"/>
      <c r="E307" s="8"/>
      <c r="F307" s="14"/>
      <c r="G307" s="8"/>
      <c r="H307" s="8"/>
      <c r="I307" s="9"/>
      <c r="J307" s="12" t="str">
        <f t="array" ref="J307:K307">IFERROR(INDEX(PRECIOS_COMPLEMENTOS!$C$4:$F$17,MATCH(D307&amp;"_"&amp;E307,PRECIOS_COMPLEMENTOS!$H$4:$H$17,0),IF(OR(H307="S",H307="20cm"),1,IF(OR(H307="M",H307="25cm"),2,IF(OR(H307="L",H307="30cm"),3,IF(OR(H307="XL",H307="35cm"),4,0))))),0)</f>
        <v>#REF!</v>
      </c>
      <c r="K307" s="12">
        <f t="shared" si="1"/>
        <v>0</v>
      </c>
      <c r="L307" s="13">
        <f>IFERROR(IF(C307="",0,IF(D307="PRETINA",SUMIFS($I$4:$I$306,$C$4:$C$306,C307,$D$4:$D$306,D307,$E$4:$E$306,E307,$F$4:$F$306,F307,$G$4:$G$306,G307,$H$4:$H$306,H307,$B$4:$B$306,"INGRESO")+SUMIFS($I$4:$I$306,$C$4:$C$306,C307,$D$4:$D$306,D307,$E$4:$E$306,E307,$F$4:$F$306,F307,$G$4:$G$306,G307,$H$4:$H$306,H307,$B$4:$B$306,"DE CORTE")-SUMIFS($I$4:$I$306,$C$4:$C$306,C307,$D$4:$D$306,D307,$E$4:$E$306,E307,$F$4:$F$306,F307,$G$4:$G$306,G307,$H$4:$H$306,H307,$B$4:$B$306,"SALIDA"),SUMIFS($I$4:$I$306,$C$4:$C$306,C307,$D$4:$D$306,D307,$E$4:$E$306,E307,$G$4:$G$306,G307,$H$4:$H$306,H307,$B$4:$B$306,"INGRESO")+SUMIFS($I$4:$I$306,$C$4:$C$306,C307,$D$4:$D$306,D307,$E$4:$E$306,E307,$G$4:$G$306,G307,$H$4:$H$306,H307,$B$4:$B$306,"DE CORTE")-SUMIFS($I$4:$I$306,$C$4:$C$306,C307,$D$4:$D$306,D307,$E$4:$E$306,E307,$G$4:$G$306,G307,$H$4:$H$306,H307,$B$4:$B$306,"SALIDA"))),0)</f>
        <v>0</v>
      </c>
      <c r="M307" s="13">
        <f t="shared" si="2"/>
        <v>0</v>
      </c>
      <c r="N307" s="14"/>
      <c r="O307" s="14"/>
      <c r="P307" s="15"/>
      <c r="Q307" s="14"/>
    </row>
    <row r="308" ht="15.75" customHeight="1">
      <c r="A308" s="7"/>
      <c r="B308" s="8"/>
      <c r="C308" s="8"/>
      <c r="D308" s="8"/>
      <c r="E308" s="8"/>
      <c r="F308" s="14"/>
      <c r="G308" s="8"/>
      <c r="H308" s="8"/>
      <c r="I308" s="9"/>
      <c r="J308" s="12" t="str">
        <f t="array" ref="J308:K308">IFERROR(INDEX(PRECIOS_COMPLEMENTOS!$C$4:$F$17,MATCH(D308&amp;"_"&amp;E308,PRECIOS_COMPLEMENTOS!$H$4:$H$17,0),IF(OR(H308="S",H308="20cm"),1,IF(OR(H308="M",H308="25cm"),2,IF(OR(H308="L",H308="30cm"),3,IF(OR(H308="XL",H308="35cm"),4,0))))),0)</f>
        <v>#REF!</v>
      </c>
      <c r="K308" s="12">
        <f t="shared" si="1"/>
        <v>0</v>
      </c>
      <c r="L308" s="13">
        <f>IFERROR(IF(C308="",0,IF(D308="PRETINA",SUMIFS($I$4:$I$307,$C$4:$C$307,C308,$D$4:$D$307,D308,$E$4:$E$307,E308,$F$4:$F$307,F308,$G$4:$G$307,G308,$H$4:$H$307,H308,$B$4:$B$307,"INGRESO")+SUMIFS($I$4:$I$307,$C$4:$C$307,C308,$D$4:$D$307,D308,$E$4:$E$307,E308,$F$4:$F$307,F308,$G$4:$G$307,G308,$H$4:$H$307,H308,$B$4:$B$307,"DE CORTE")-SUMIFS($I$4:$I$307,$C$4:$C$307,C308,$D$4:$D$307,D308,$E$4:$E$307,E308,$F$4:$F$307,F308,$G$4:$G$307,G308,$H$4:$H$307,H308,$B$4:$B$307,"SALIDA"),SUMIFS($I$4:$I$307,$C$4:$C$307,C308,$D$4:$D$307,D308,$E$4:$E$307,E308,$G$4:$G$307,G308,$H$4:$H$307,H308,$B$4:$B$307,"INGRESO")+SUMIFS($I$4:$I$307,$C$4:$C$307,C308,$D$4:$D$307,D308,$E$4:$E$307,E308,$G$4:$G$307,G308,$H$4:$H$307,H308,$B$4:$B$307,"DE CORTE")-SUMIFS($I$4:$I$307,$C$4:$C$307,C308,$D$4:$D$307,D308,$E$4:$E$307,E308,$G$4:$G$307,G308,$H$4:$H$307,H308,$B$4:$B$307,"SALIDA"))),0)</f>
        <v>0</v>
      </c>
      <c r="M308" s="13">
        <f t="shared" si="2"/>
        <v>0</v>
      </c>
      <c r="N308" s="14"/>
      <c r="O308" s="14"/>
      <c r="P308" s="15"/>
      <c r="Q308" s="14"/>
    </row>
    <row r="309" ht="15.75" customHeight="1">
      <c r="A309" s="7"/>
      <c r="B309" s="8"/>
      <c r="C309" s="8"/>
      <c r="D309" s="8"/>
      <c r="E309" s="8"/>
      <c r="F309" s="14"/>
      <c r="G309" s="8"/>
      <c r="H309" s="8"/>
      <c r="I309" s="9"/>
      <c r="J309" s="12" t="str">
        <f t="array" ref="J309:K309">IFERROR(INDEX(PRECIOS_COMPLEMENTOS!$C$4:$F$17,MATCH(D309&amp;"_"&amp;E309,PRECIOS_COMPLEMENTOS!$H$4:$H$17,0),IF(OR(H309="S",H309="20cm"),1,IF(OR(H309="M",H309="25cm"),2,IF(OR(H309="L",H309="30cm"),3,IF(OR(H309="XL",H309="35cm"),4,0))))),0)</f>
        <v>#REF!</v>
      </c>
      <c r="K309" s="12">
        <f t="shared" si="1"/>
        <v>0</v>
      </c>
      <c r="L309" s="13">
        <f>IFERROR(IF(C309="",0,IF(D309="PRETINA",SUMIFS($I$4:$I$308,$C$4:$C$308,C309,$D$4:$D$308,D309,$E$4:$E$308,E309,$F$4:$F$308,F309,$G$4:$G$308,G309,$H$4:$H$308,H309,$B$4:$B$308,"INGRESO")+SUMIFS($I$4:$I$308,$C$4:$C$308,C309,$D$4:$D$308,D309,$E$4:$E$308,E309,$F$4:$F$308,F309,$G$4:$G$308,G309,$H$4:$H$308,H309,$B$4:$B$308,"DE CORTE")-SUMIFS($I$4:$I$308,$C$4:$C$308,C309,$D$4:$D$308,D309,$E$4:$E$308,E309,$F$4:$F$308,F309,$G$4:$G$308,G309,$H$4:$H$308,H309,$B$4:$B$308,"SALIDA"),SUMIFS($I$4:$I$308,$C$4:$C$308,C309,$D$4:$D$308,D309,$E$4:$E$308,E309,$G$4:$G$308,G309,$H$4:$H$308,H309,$B$4:$B$308,"INGRESO")+SUMIFS($I$4:$I$308,$C$4:$C$308,C309,$D$4:$D$308,D309,$E$4:$E$308,E309,$G$4:$G$308,G309,$H$4:$H$308,H309,$B$4:$B$308,"DE CORTE")-SUMIFS($I$4:$I$308,$C$4:$C$308,C309,$D$4:$D$308,D309,$E$4:$E$308,E309,$G$4:$G$308,G309,$H$4:$H$308,H309,$B$4:$B$308,"SALIDA"))),0)</f>
        <v>0</v>
      </c>
      <c r="M309" s="13">
        <f t="shared" si="2"/>
        <v>0</v>
      </c>
      <c r="N309" s="14"/>
      <c r="O309" s="14"/>
      <c r="P309" s="15"/>
      <c r="Q309" s="14"/>
    </row>
    <row r="310" ht="15.75" customHeight="1">
      <c r="A310" s="7"/>
      <c r="B310" s="8"/>
      <c r="C310" s="8"/>
      <c r="D310" s="8"/>
      <c r="E310" s="8"/>
      <c r="F310" s="14"/>
      <c r="G310" s="8"/>
      <c r="H310" s="8"/>
      <c r="I310" s="9"/>
      <c r="J310" s="12" t="str">
        <f t="array" ref="J310:K310">IFERROR(INDEX(PRECIOS_COMPLEMENTOS!$C$4:$F$17,MATCH(D310&amp;"_"&amp;E310,PRECIOS_COMPLEMENTOS!$H$4:$H$17,0),IF(OR(H310="S",H310="20cm"),1,IF(OR(H310="M",H310="25cm"),2,IF(OR(H310="L",H310="30cm"),3,IF(OR(H310="XL",H310="35cm"),4,0))))),0)</f>
        <v>#REF!</v>
      </c>
      <c r="K310" s="12">
        <f t="shared" si="1"/>
        <v>0</v>
      </c>
      <c r="L310" s="13">
        <f>IFERROR(IF(C310="",0,IF(D310="PRETINA",SUMIFS($I$4:$I$309,$C$4:$C$309,C310,$D$4:$D$309,D310,$E$4:$E$309,E310,$F$4:$F$309,F310,$G$4:$G$309,G310,$H$4:$H$309,H310,$B$4:$B$309,"INGRESO")+SUMIFS($I$4:$I$309,$C$4:$C$309,C310,$D$4:$D$309,D310,$E$4:$E$309,E310,$F$4:$F$309,F310,$G$4:$G$309,G310,$H$4:$H$309,H310,$B$4:$B$309,"DE CORTE")-SUMIFS($I$4:$I$309,$C$4:$C$309,C310,$D$4:$D$309,D310,$E$4:$E$309,E310,$F$4:$F$309,F310,$G$4:$G$309,G310,$H$4:$H$309,H310,$B$4:$B$309,"SALIDA"),SUMIFS($I$4:$I$309,$C$4:$C$309,C310,$D$4:$D$309,D310,$E$4:$E$309,E310,$G$4:$G$309,G310,$H$4:$H$309,H310,$B$4:$B$309,"INGRESO")+SUMIFS($I$4:$I$309,$C$4:$C$309,C310,$D$4:$D$309,D310,$E$4:$E$309,E310,$G$4:$G$309,G310,$H$4:$H$309,H310,$B$4:$B$309,"DE CORTE")-SUMIFS($I$4:$I$309,$C$4:$C$309,C310,$D$4:$D$309,D310,$E$4:$E$309,E310,$G$4:$G$309,G310,$H$4:$H$309,H310,$B$4:$B$309,"SALIDA"))),0)</f>
        <v>0</v>
      </c>
      <c r="M310" s="13">
        <f t="shared" si="2"/>
        <v>0</v>
      </c>
      <c r="N310" s="14"/>
      <c r="O310" s="14"/>
      <c r="P310" s="15"/>
      <c r="Q310" s="14"/>
    </row>
    <row r="311" ht="15.75" customHeight="1">
      <c r="A311" s="7"/>
      <c r="B311" s="8"/>
      <c r="C311" s="8"/>
      <c r="D311" s="8"/>
      <c r="E311" s="8"/>
      <c r="F311" s="14"/>
      <c r="G311" s="8"/>
      <c r="H311" s="8"/>
      <c r="I311" s="9"/>
      <c r="J311" s="12" t="str">
        <f t="array" ref="J311:K311">IFERROR(INDEX(PRECIOS_COMPLEMENTOS!$C$4:$F$17,MATCH(D311&amp;"_"&amp;E311,PRECIOS_COMPLEMENTOS!$H$4:$H$17,0),IF(OR(H311="S",H311="20cm"),1,IF(OR(H311="M",H311="25cm"),2,IF(OR(H311="L",H311="30cm"),3,IF(OR(H311="XL",H311="35cm"),4,0))))),0)</f>
        <v>#REF!</v>
      </c>
      <c r="K311" s="12">
        <f t="shared" si="1"/>
        <v>0</v>
      </c>
      <c r="L311" s="13">
        <f>IFERROR(IF(C311="",0,IF(D311="PRETINA",SUMIFS($I$4:$I$310,$C$4:$C$310,C311,$D$4:$D$310,D311,$E$4:$E$310,E311,$F$4:$F$310,F311,$G$4:$G$310,G311,$H$4:$H$310,H311,$B$4:$B$310,"INGRESO")+SUMIFS($I$4:$I$310,$C$4:$C$310,C311,$D$4:$D$310,D311,$E$4:$E$310,E311,$F$4:$F$310,F311,$G$4:$G$310,G311,$H$4:$H$310,H311,$B$4:$B$310,"DE CORTE")-SUMIFS($I$4:$I$310,$C$4:$C$310,C311,$D$4:$D$310,D311,$E$4:$E$310,E311,$F$4:$F$310,F311,$G$4:$G$310,G311,$H$4:$H$310,H311,$B$4:$B$310,"SALIDA"),SUMIFS($I$4:$I$310,$C$4:$C$310,C311,$D$4:$D$310,D311,$E$4:$E$310,E311,$G$4:$G$310,G311,$H$4:$H$310,H311,$B$4:$B$310,"INGRESO")+SUMIFS($I$4:$I$310,$C$4:$C$310,C311,$D$4:$D$310,D311,$E$4:$E$310,E311,$G$4:$G$310,G311,$H$4:$H$310,H311,$B$4:$B$310,"DE CORTE")-SUMIFS($I$4:$I$310,$C$4:$C$310,C311,$D$4:$D$310,D311,$E$4:$E$310,E311,$G$4:$G$310,G311,$H$4:$H$310,H311,$B$4:$B$310,"SALIDA"))),0)</f>
        <v>0</v>
      </c>
      <c r="M311" s="13">
        <f t="shared" si="2"/>
        <v>0</v>
      </c>
      <c r="N311" s="14"/>
      <c r="O311" s="14"/>
      <c r="P311" s="15"/>
      <c r="Q311" s="14"/>
    </row>
    <row r="312" ht="15.75" customHeight="1">
      <c r="A312" s="7"/>
      <c r="B312" s="8"/>
      <c r="C312" s="8"/>
      <c r="D312" s="8"/>
      <c r="E312" s="8"/>
      <c r="F312" s="14"/>
      <c r="G312" s="8"/>
      <c r="H312" s="8"/>
      <c r="I312" s="9"/>
      <c r="J312" s="12" t="str">
        <f t="array" ref="J312:K312">IFERROR(INDEX(PRECIOS_COMPLEMENTOS!$C$4:$F$17,MATCH(D312&amp;"_"&amp;E312,PRECIOS_COMPLEMENTOS!$H$4:$H$17,0),IF(OR(H312="S",H312="20cm"),1,IF(OR(H312="M",H312="25cm"),2,IF(OR(H312="L",H312="30cm"),3,IF(OR(H312="XL",H312="35cm"),4,0))))),0)</f>
        <v>#REF!</v>
      </c>
      <c r="K312" s="12">
        <f t="shared" si="1"/>
        <v>0</v>
      </c>
      <c r="L312" s="13">
        <f>IFERROR(IF(C312="",0,IF(D312="PRETINA",SUMIFS($I$4:$I$311,$C$4:$C$311,C312,$D$4:$D$311,D312,$E$4:$E$311,E312,$F$4:$F$311,F312,$G$4:$G$311,G312,$H$4:$H$311,H312,$B$4:$B$311,"INGRESO")+SUMIFS($I$4:$I$311,$C$4:$C$311,C312,$D$4:$D$311,D312,$E$4:$E$311,E312,$F$4:$F$311,F312,$G$4:$G$311,G312,$H$4:$H$311,H312,$B$4:$B$311,"DE CORTE")-SUMIFS($I$4:$I$311,$C$4:$C$311,C312,$D$4:$D$311,D312,$E$4:$E$311,E312,$F$4:$F$311,F312,$G$4:$G$311,G312,$H$4:$H$311,H312,$B$4:$B$311,"SALIDA"),SUMIFS($I$4:$I$311,$C$4:$C$311,C312,$D$4:$D$311,D312,$E$4:$E$311,E312,$G$4:$G$311,G312,$H$4:$H$311,H312,$B$4:$B$311,"INGRESO")+SUMIFS($I$4:$I$311,$C$4:$C$311,C312,$D$4:$D$311,D312,$E$4:$E$311,E312,$G$4:$G$311,G312,$H$4:$H$311,H312,$B$4:$B$311,"DE CORTE")-SUMIFS($I$4:$I$311,$C$4:$C$311,C312,$D$4:$D$311,D312,$E$4:$E$311,E312,$G$4:$G$311,G312,$H$4:$H$311,H312,$B$4:$B$311,"SALIDA"))),0)</f>
        <v>0</v>
      </c>
      <c r="M312" s="13">
        <f t="shared" si="2"/>
        <v>0</v>
      </c>
      <c r="N312" s="14"/>
      <c r="O312" s="14"/>
      <c r="P312" s="15"/>
      <c r="Q312" s="14"/>
    </row>
    <row r="313" ht="15.75" customHeight="1">
      <c r="A313" s="7"/>
      <c r="B313" s="8"/>
      <c r="C313" s="8"/>
      <c r="D313" s="8"/>
      <c r="E313" s="8"/>
      <c r="F313" s="14"/>
      <c r="G313" s="8"/>
      <c r="H313" s="8"/>
      <c r="I313" s="9"/>
      <c r="J313" s="12" t="str">
        <f t="array" ref="J313:K313">IFERROR(INDEX(PRECIOS_COMPLEMENTOS!$C$4:$F$17,MATCH(D313&amp;"_"&amp;E313,PRECIOS_COMPLEMENTOS!$H$4:$H$17,0),IF(OR(H313="S",H313="20cm"),1,IF(OR(H313="M",H313="25cm"),2,IF(OR(H313="L",H313="30cm"),3,IF(OR(H313="XL",H313="35cm"),4,0))))),0)</f>
        <v>#REF!</v>
      </c>
      <c r="K313" s="12">
        <f t="shared" si="1"/>
        <v>0</v>
      </c>
      <c r="L313" s="13">
        <f>IFERROR(IF(C313="",0,IF(D313="PRETINA",SUMIFS($I$4:$I$312,$C$4:$C$312,C313,$D$4:$D$312,D313,$E$4:$E$312,E313,$F$4:$F$312,F313,$G$4:$G$312,G313,$H$4:$H$312,H313,$B$4:$B$312,"INGRESO")+SUMIFS($I$4:$I$312,$C$4:$C$312,C313,$D$4:$D$312,D313,$E$4:$E$312,E313,$F$4:$F$312,F313,$G$4:$G$312,G313,$H$4:$H$312,H313,$B$4:$B$312,"DE CORTE")-SUMIFS($I$4:$I$312,$C$4:$C$312,C313,$D$4:$D$312,D313,$E$4:$E$312,E313,$F$4:$F$312,F313,$G$4:$G$312,G313,$H$4:$H$312,H313,$B$4:$B$312,"SALIDA"),SUMIFS($I$4:$I$312,$C$4:$C$312,C313,$D$4:$D$312,D313,$E$4:$E$312,E313,$G$4:$G$312,G313,$H$4:$H$312,H313,$B$4:$B$312,"INGRESO")+SUMIFS($I$4:$I$312,$C$4:$C$312,C313,$D$4:$D$312,D313,$E$4:$E$312,E313,$G$4:$G$312,G313,$H$4:$H$312,H313,$B$4:$B$312,"DE CORTE")-SUMIFS($I$4:$I$312,$C$4:$C$312,C313,$D$4:$D$312,D313,$E$4:$E$312,E313,$G$4:$G$312,G313,$H$4:$H$312,H313,$B$4:$B$312,"SALIDA"))),0)</f>
        <v>0</v>
      </c>
      <c r="M313" s="13">
        <f t="shared" si="2"/>
        <v>0</v>
      </c>
      <c r="N313" s="14"/>
      <c r="O313" s="14"/>
      <c r="P313" s="15"/>
      <c r="Q313" s="14"/>
    </row>
    <row r="314" ht="15.75" customHeight="1">
      <c r="A314" s="7"/>
      <c r="B314" s="8"/>
      <c r="C314" s="8"/>
      <c r="D314" s="8"/>
      <c r="E314" s="8"/>
      <c r="F314" s="14"/>
      <c r="G314" s="8"/>
      <c r="H314" s="8"/>
      <c r="I314" s="9"/>
      <c r="J314" s="12" t="str">
        <f t="array" ref="J314:K314">IFERROR(INDEX(PRECIOS_COMPLEMENTOS!$C$4:$F$17,MATCH(D314&amp;"_"&amp;E314,PRECIOS_COMPLEMENTOS!$H$4:$H$17,0),IF(OR(H314="S",H314="20cm"),1,IF(OR(H314="M",H314="25cm"),2,IF(OR(H314="L",H314="30cm"),3,IF(OR(H314="XL",H314="35cm"),4,0))))),0)</f>
        <v>#REF!</v>
      </c>
      <c r="K314" s="12">
        <f t="shared" si="1"/>
        <v>0</v>
      </c>
      <c r="L314" s="13">
        <f>IFERROR(IF(C314="",0,IF(D314="PRETINA",SUMIFS($I$4:$I$313,$C$4:$C$313,C314,$D$4:$D$313,D314,$E$4:$E$313,E314,$F$4:$F$313,F314,$G$4:$G$313,G314,$H$4:$H$313,H314,$B$4:$B$313,"INGRESO")+SUMIFS($I$4:$I$313,$C$4:$C$313,C314,$D$4:$D$313,D314,$E$4:$E$313,E314,$F$4:$F$313,F314,$G$4:$G$313,G314,$H$4:$H$313,H314,$B$4:$B$313,"DE CORTE")-SUMIFS($I$4:$I$313,$C$4:$C$313,C314,$D$4:$D$313,D314,$E$4:$E$313,E314,$F$4:$F$313,F314,$G$4:$G$313,G314,$H$4:$H$313,H314,$B$4:$B$313,"SALIDA"),SUMIFS($I$4:$I$313,$C$4:$C$313,C314,$D$4:$D$313,D314,$E$4:$E$313,E314,$G$4:$G$313,G314,$H$4:$H$313,H314,$B$4:$B$313,"INGRESO")+SUMIFS($I$4:$I$313,$C$4:$C$313,C314,$D$4:$D$313,D314,$E$4:$E$313,E314,$G$4:$G$313,G314,$H$4:$H$313,H314,$B$4:$B$313,"DE CORTE")-SUMIFS($I$4:$I$313,$C$4:$C$313,C314,$D$4:$D$313,D314,$E$4:$E$313,E314,$G$4:$G$313,G314,$H$4:$H$313,H314,$B$4:$B$313,"SALIDA"))),0)</f>
        <v>0</v>
      </c>
      <c r="M314" s="13">
        <f t="shared" si="2"/>
        <v>0</v>
      </c>
      <c r="N314" s="14"/>
      <c r="O314" s="14"/>
      <c r="P314" s="15"/>
      <c r="Q314" s="14"/>
    </row>
    <row r="315" ht="15.75" customHeight="1">
      <c r="A315" s="7"/>
      <c r="B315" s="8"/>
      <c r="C315" s="8"/>
      <c r="D315" s="8"/>
      <c r="E315" s="8"/>
      <c r="F315" s="14"/>
      <c r="G315" s="8"/>
      <c r="H315" s="8"/>
      <c r="I315" s="9"/>
      <c r="J315" s="12" t="str">
        <f t="array" ref="J315:K315">IFERROR(INDEX(PRECIOS_COMPLEMENTOS!$C$4:$F$17,MATCH(D315&amp;"_"&amp;E315,PRECIOS_COMPLEMENTOS!$H$4:$H$17,0),IF(OR(H315="S",H315="20cm"),1,IF(OR(H315="M",H315="25cm"),2,IF(OR(H315="L",H315="30cm"),3,IF(OR(H315="XL",H315="35cm"),4,0))))),0)</f>
        <v>#REF!</v>
      </c>
      <c r="K315" s="12">
        <f t="shared" si="1"/>
        <v>0</v>
      </c>
      <c r="L315" s="13">
        <f>IFERROR(IF(C315="",0,IF(D315="PRETINA",SUMIFS($I$4:$I$314,$C$4:$C$314,C315,$D$4:$D$314,D315,$E$4:$E$314,E315,$F$4:$F$314,F315,$G$4:$G$314,G315,$H$4:$H$314,H315,$B$4:$B$314,"INGRESO")+SUMIFS($I$4:$I$314,$C$4:$C$314,C315,$D$4:$D$314,D315,$E$4:$E$314,E315,$F$4:$F$314,F315,$G$4:$G$314,G315,$H$4:$H$314,H315,$B$4:$B$314,"DE CORTE")-SUMIFS($I$4:$I$314,$C$4:$C$314,C315,$D$4:$D$314,D315,$E$4:$E$314,E315,$F$4:$F$314,F315,$G$4:$G$314,G315,$H$4:$H$314,H315,$B$4:$B$314,"SALIDA"),SUMIFS($I$4:$I$314,$C$4:$C$314,C315,$D$4:$D$314,D315,$E$4:$E$314,E315,$G$4:$G$314,G315,$H$4:$H$314,H315,$B$4:$B$314,"INGRESO")+SUMIFS($I$4:$I$314,$C$4:$C$314,C315,$D$4:$D$314,D315,$E$4:$E$314,E315,$G$4:$G$314,G315,$H$4:$H$314,H315,$B$4:$B$314,"DE CORTE")-SUMIFS($I$4:$I$314,$C$4:$C$314,C315,$D$4:$D$314,D315,$E$4:$E$314,E315,$G$4:$G$314,G315,$H$4:$H$314,H315,$B$4:$B$314,"SALIDA"))),0)</f>
        <v>0</v>
      </c>
      <c r="M315" s="13">
        <f t="shared" si="2"/>
        <v>0</v>
      </c>
      <c r="N315" s="14"/>
      <c r="O315" s="14"/>
      <c r="P315" s="15"/>
      <c r="Q315" s="14"/>
    </row>
    <row r="316" ht="15.75" customHeight="1">
      <c r="A316" s="7"/>
      <c r="B316" s="8"/>
      <c r="C316" s="8"/>
      <c r="D316" s="8"/>
      <c r="E316" s="8"/>
      <c r="F316" s="14"/>
      <c r="G316" s="8"/>
      <c r="H316" s="8"/>
      <c r="I316" s="9"/>
      <c r="J316" s="12" t="str">
        <f t="array" ref="J316:K316">IFERROR(INDEX(PRECIOS_COMPLEMENTOS!$C$4:$F$17,MATCH(D316&amp;"_"&amp;E316,PRECIOS_COMPLEMENTOS!$H$4:$H$17,0),IF(OR(H316="S",H316="20cm"),1,IF(OR(H316="M",H316="25cm"),2,IF(OR(H316="L",H316="30cm"),3,IF(OR(H316="XL",H316="35cm"),4,0))))),0)</f>
        <v>#REF!</v>
      </c>
      <c r="K316" s="12">
        <f t="shared" si="1"/>
        <v>0</v>
      </c>
      <c r="L316" s="13">
        <f>IFERROR(IF(C316="",0,IF(D316="PRETINA",SUMIFS($I$4:$I$315,$C$4:$C$315,C316,$D$4:$D$315,D316,$E$4:$E$315,E316,$F$4:$F$315,F316,$G$4:$G$315,G316,$H$4:$H$315,H316,$B$4:$B$315,"INGRESO")+SUMIFS($I$4:$I$315,$C$4:$C$315,C316,$D$4:$D$315,D316,$E$4:$E$315,E316,$F$4:$F$315,F316,$G$4:$G$315,G316,$H$4:$H$315,H316,$B$4:$B$315,"DE CORTE")-SUMIFS($I$4:$I$315,$C$4:$C$315,C316,$D$4:$D$315,D316,$E$4:$E$315,E316,$F$4:$F$315,F316,$G$4:$G$315,G316,$H$4:$H$315,H316,$B$4:$B$315,"SALIDA"),SUMIFS($I$4:$I$315,$C$4:$C$315,C316,$D$4:$D$315,D316,$E$4:$E$315,E316,$G$4:$G$315,G316,$H$4:$H$315,H316,$B$4:$B$315,"INGRESO")+SUMIFS($I$4:$I$315,$C$4:$C$315,C316,$D$4:$D$315,D316,$E$4:$E$315,E316,$G$4:$G$315,G316,$H$4:$H$315,H316,$B$4:$B$315,"DE CORTE")-SUMIFS($I$4:$I$315,$C$4:$C$315,C316,$D$4:$D$315,D316,$E$4:$E$315,E316,$G$4:$G$315,G316,$H$4:$H$315,H316,$B$4:$B$315,"SALIDA"))),0)</f>
        <v>0</v>
      </c>
      <c r="M316" s="13">
        <f t="shared" si="2"/>
        <v>0</v>
      </c>
      <c r="N316" s="14"/>
      <c r="O316" s="14"/>
      <c r="P316" s="15"/>
      <c r="Q316" s="14"/>
    </row>
    <row r="317" ht="15.75" customHeight="1">
      <c r="A317" s="7"/>
      <c r="B317" s="8"/>
      <c r="C317" s="8"/>
      <c r="D317" s="8"/>
      <c r="E317" s="8"/>
      <c r="F317" s="14"/>
      <c r="G317" s="8"/>
      <c r="H317" s="8"/>
      <c r="I317" s="9"/>
      <c r="J317" s="12" t="str">
        <f t="array" ref="J317:K317">IFERROR(INDEX(PRECIOS_COMPLEMENTOS!$C$4:$F$17,MATCH(D317&amp;"_"&amp;E317,PRECIOS_COMPLEMENTOS!$H$4:$H$17,0),IF(OR(H317="S",H317="20cm"),1,IF(OR(H317="M",H317="25cm"),2,IF(OR(H317="L",H317="30cm"),3,IF(OR(H317="XL",H317="35cm"),4,0))))),0)</f>
        <v>#REF!</v>
      </c>
      <c r="K317" s="12">
        <f t="shared" si="1"/>
        <v>0</v>
      </c>
      <c r="L317" s="13">
        <f>IFERROR(IF(C317="",0,IF(D317="PRETINA",SUMIFS($I$4:$I$316,$C$4:$C$316,C317,$D$4:$D$316,D317,$E$4:$E$316,E317,$F$4:$F$316,F317,$G$4:$G$316,G317,$H$4:$H$316,H317,$B$4:$B$316,"INGRESO")+SUMIFS($I$4:$I$316,$C$4:$C$316,C317,$D$4:$D$316,D317,$E$4:$E$316,E317,$F$4:$F$316,F317,$G$4:$G$316,G317,$H$4:$H$316,H317,$B$4:$B$316,"DE CORTE")-SUMIFS($I$4:$I$316,$C$4:$C$316,C317,$D$4:$D$316,D317,$E$4:$E$316,E317,$F$4:$F$316,F317,$G$4:$G$316,G317,$H$4:$H$316,H317,$B$4:$B$316,"SALIDA"),SUMIFS($I$4:$I$316,$C$4:$C$316,C317,$D$4:$D$316,D317,$E$4:$E$316,E317,$G$4:$G$316,G317,$H$4:$H$316,H317,$B$4:$B$316,"INGRESO")+SUMIFS($I$4:$I$316,$C$4:$C$316,C317,$D$4:$D$316,D317,$E$4:$E$316,E317,$G$4:$G$316,G317,$H$4:$H$316,H317,$B$4:$B$316,"DE CORTE")-SUMIFS($I$4:$I$316,$C$4:$C$316,C317,$D$4:$D$316,D317,$E$4:$E$316,E317,$G$4:$G$316,G317,$H$4:$H$316,H317,$B$4:$B$316,"SALIDA"))),0)</f>
        <v>0</v>
      </c>
      <c r="M317" s="13">
        <f t="shared" si="2"/>
        <v>0</v>
      </c>
      <c r="N317" s="14"/>
      <c r="O317" s="14"/>
      <c r="P317" s="15"/>
      <c r="Q317" s="14"/>
    </row>
    <row r="318" ht="15.75" customHeight="1">
      <c r="A318" s="7"/>
      <c r="B318" s="8"/>
      <c r="C318" s="8"/>
      <c r="D318" s="8"/>
      <c r="E318" s="8"/>
      <c r="F318" s="14"/>
      <c r="G318" s="8"/>
      <c r="H318" s="8"/>
      <c r="I318" s="9"/>
      <c r="J318" s="12" t="str">
        <f t="array" ref="J318:K318">IFERROR(INDEX(PRECIOS_COMPLEMENTOS!$C$4:$F$17,MATCH(D318&amp;"_"&amp;E318,PRECIOS_COMPLEMENTOS!$H$4:$H$17,0),IF(OR(H318="S",H318="20cm"),1,IF(OR(H318="M",H318="25cm"),2,IF(OR(H318="L",H318="30cm"),3,IF(OR(H318="XL",H318="35cm"),4,0))))),0)</f>
        <v>#REF!</v>
      </c>
      <c r="K318" s="12">
        <f t="shared" si="1"/>
        <v>0</v>
      </c>
      <c r="L318" s="13">
        <f>IFERROR(IF(C318="",0,IF(D318="PRETINA",SUMIFS($I$4:$I$317,$C$4:$C$317,C318,$D$4:$D$317,D318,$E$4:$E$317,E318,$F$4:$F$317,F318,$G$4:$G$317,G318,$H$4:$H$317,H318,$B$4:$B$317,"INGRESO")+SUMIFS($I$4:$I$317,$C$4:$C$317,C318,$D$4:$D$317,D318,$E$4:$E$317,E318,$F$4:$F$317,F318,$G$4:$G$317,G318,$H$4:$H$317,H318,$B$4:$B$317,"DE CORTE")-SUMIFS($I$4:$I$317,$C$4:$C$317,C318,$D$4:$D$317,D318,$E$4:$E$317,E318,$F$4:$F$317,F318,$G$4:$G$317,G318,$H$4:$H$317,H318,$B$4:$B$317,"SALIDA"),SUMIFS($I$4:$I$317,$C$4:$C$317,C318,$D$4:$D$317,D318,$E$4:$E$317,E318,$G$4:$G$317,G318,$H$4:$H$317,H318,$B$4:$B$317,"INGRESO")+SUMIFS($I$4:$I$317,$C$4:$C$317,C318,$D$4:$D$317,D318,$E$4:$E$317,E318,$G$4:$G$317,G318,$H$4:$H$317,H318,$B$4:$B$317,"DE CORTE")-SUMIFS($I$4:$I$317,$C$4:$C$317,C318,$D$4:$D$317,D318,$E$4:$E$317,E318,$G$4:$G$317,G318,$H$4:$H$317,H318,$B$4:$B$317,"SALIDA"))),0)</f>
        <v>0</v>
      </c>
      <c r="M318" s="13">
        <f t="shared" si="2"/>
        <v>0</v>
      </c>
      <c r="N318" s="14"/>
      <c r="O318" s="14"/>
      <c r="P318" s="15"/>
      <c r="Q318" s="14"/>
    </row>
    <row r="319" ht="15.75" customHeight="1">
      <c r="A319" s="7"/>
      <c r="B319" s="8"/>
      <c r="C319" s="8"/>
      <c r="D319" s="8"/>
      <c r="E319" s="8"/>
      <c r="F319" s="14"/>
      <c r="G319" s="8"/>
      <c r="H319" s="8"/>
      <c r="I319" s="9"/>
      <c r="J319" s="12" t="str">
        <f t="array" ref="J319:K319">IFERROR(INDEX(PRECIOS_COMPLEMENTOS!$C$4:$F$17,MATCH(D319&amp;"_"&amp;E319,PRECIOS_COMPLEMENTOS!$H$4:$H$17,0),IF(OR(H319="S",H319="20cm"),1,IF(OR(H319="M",H319="25cm"),2,IF(OR(H319="L",H319="30cm"),3,IF(OR(H319="XL",H319="35cm"),4,0))))),0)</f>
        <v>#REF!</v>
      </c>
      <c r="K319" s="12">
        <f t="shared" si="1"/>
        <v>0</v>
      </c>
      <c r="L319" s="13">
        <f>IFERROR(IF(C319="",0,IF(D319="PRETINA",SUMIFS($I$4:$I$318,$C$4:$C$318,C319,$D$4:$D$318,D319,$E$4:$E$318,E319,$F$4:$F$318,F319,$G$4:$G$318,G319,$H$4:$H$318,H319,$B$4:$B$318,"INGRESO")+SUMIFS($I$4:$I$318,$C$4:$C$318,C319,$D$4:$D$318,D319,$E$4:$E$318,E319,$F$4:$F$318,F319,$G$4:$G$318,G319,$H$4:$H$318,H319,$B$4:$B$318,"DE CORTE")-SUMIFS($I$4:$I$318,$C$4:$C$318,C319,$D$4:$D$318,D319,$E$4:$E$318,E319,$F$4:$F$318,F319,$G$4:$G$318,G319,$H$4:$H$318,H319,$B$4:$B$318,"SALIDA"),SUMIFS($I$4:$I$318,$C$4:$C$318,C319,$D$4:$D$318,D319,$E$4:$E$318,E319,$G$4:$G$318,G319,$H$4:$H$318,H319,$B$4:$B$318,"INGRESO")+SUMIFS($I$4:$I$318,$C$4:$C$318,C319,$D$4:$D$318,D319,$E$4:$E$318,E319,$G$4:$G$318,G319,$H$4:$H$318,H319,$B$4:$B$318,"DE CORTE")-SUMIFS($I$4:$I$318,$C$4:$C$318,C319,$D$4:$D$318,D319,$E$4:$E$318,E319,$G$4:$G$318,G319,$H$4:$H$318,H319,$B$4:$B$318,"SALIDA"))),0)</f>
        <v>0</v>
      </c>
      <c r="M319" s="13">
        <f t="shared" si="2"/>
        <v>0</v>
      </c>
      <c r="N319" s="14"/>
      <c r="O319" s="14"/>
      <c r="P319" s="15"/>
      <c r="Q319" s="14"/>
    </row>
    <row r="320" ht="15.75" customHeight="1">
      <c r="A320" s="7"/>
      <c r="B320" s="8"/>
      <c r="C320" s="8"/>
      <c r="D320" s="8"/>
      <c r="E320" s="8"/>
      <c r="F320" s="14"/>
      <c r="G320" s="8"/>
      <c r="H320" s="8"/>
      <c r="I320" s="9"/>
      <c r="J320" s="12" t="str">
        <f t="array" ref="J320:K320">IFERROR(INDEX(PRECIOS_COMPLEMENTOS!$C$4:$F$17,MATCH(D320&amp;"_"&amp;E320,PRECIOS_COMPLEMENTOS!$H$4:$H$17,0),IF(OR(H320="S",H320="20cm"),1,IF(OR(H320="M",H320="25cm"),2,IF(OR(H320="L",H320="30cm"),3,IF(OR(H320="XL",H320="35cm"),4,0))))),0)</f>
        <v>#REF!</v>
      </c>
      <c r="K320" s="12">
        <f t="shared" si="1"/>
        <v>0</v>
      </c>
      <c r="L320" s="13">
        <f>IFERROR(IF(C320="",0,IF(D320="PRETINA",SUMIFS($I$4:$I$319,$C$4:$C$319,C320,$D$4:$D$319,D320,$E$4:$E$319,E320,$F$4:$F$319,F320,$G$4:$G$319,G320,$H$4:$H$319,H320,$B$4:$B$319,"INGRESO")+SUMIFS($I$4:$I$319,$C$4:$C$319,C320,$D$4:$D$319,D320,$E$4:$E$319,E320,$F$4:$F$319,F320,$G$4:$G$319,G320,$H$4:$H$319,H320,$B$4:$B$319,"DE CORTE")-SUMIFS($I$4:$I$319,$C$4:$C$319,C320,$D$4:$D$319,D320,$E$4:$E$319,E320,$F$4:$F$319,F320,$G$4:$G$319,G320,$H$4:$H$319,H320,$B$4:$B$319,"SALIDA"),SUMIFS($I$4:$I$319,$C$4:$C$319,C320,$D$4:$D$319,D320,$E$4:$E$319,E320,$G$4:$G$319,G320,$H$4:$H$319,H320,$B$4:$B$319,"INGRESO")+SUMIFS($I$4:$I$319,$C$4:$C$319,C320,$D$4:$D$319,D320,$E$4:$E$319,E320,$G$4:$G$319,G320,$H$4:$H$319,H320,$B$4:$B$319,"DE CORTE")-SUMIFS($I$4:$I$319,$C$4:$C$319,C320,$D$4:$D$319,D320,$E$4:$E$319,E320,$G$4:$G$319,G320,$H$4:$H$319,H320,$B$4:$B$319,"SALIDA"))),0)</f>
        <v>0</v>
      </c>
      <c r="M320" s="13">
        <f t="shared" si="2"/>
        <v>0</v>
      </c>
      <c r="N320" s="14"/>
      <c r="O320" s="14"/>
      <c r="P320" s="15"/>
      <c r="Q320" s="14"/>
    </row>
    <row r="321" ht="15.75" customHeight="1">
      <c r="A321" s="7"/>
      <c r="B321" s="8"/>
      <c r="C321" s="8"/>
      <c r="D321" s="8"/>
      <c r="E321" s="8"/>
      <c r="F321" s="14"/>
      <c r="G321" s="8"/>
      <c r="H321" s="8"/>
      <c r="I321" s="9"/>
      <c r="J321" s="12" t="str">
        <f t="array" ref="J321:K321">IFERROR(INDEX(PRECIOS_COMPLEMENTOS!$C$4:$F$17,MATCH(D321&amp;"_"&amp;E321,PRECIOS_COMPLEMENTOS!$H$4:$H$17,0),IF(OR(H321="S",H321="20cm"),1,IF(OR(H321="M",H321="25cm"),2,IF(OR(H321="L",H321="30cm"),3,IF(OR(H321="XL",H321="35cm"),4,0))))),0)</f>
        <v>#REF!</v>
      </c>
      <c r="K321" s="12">
        <f t="shared" si="1"/>
        <v>0</v>
      </c>
      <c r="L321" s="13">
        <f>IFERROR(IF(C321="",0,IF(D321="PRETINA",SUMIFS($I$4:$I$320,$C$4:$C$320,C321,$D$4:$D$320,D321,$E$4:$E$320,E321,$F$4:$F$320,F321,$G$4:$G$320,G321,$H$4:$H$320,H321,$B$4:$B$320,"INGRESO")+SUMIFS($I$4:$I$320,$C$4:$C$320,C321,$D$4:$D$320,D321,$E$4:$E$320,E321,$F$4:$F$320,F321,$G$4:$G$320,G321,$H$4:$H$320,H321,$B$4:$B$320,"DE CORTE")-SUMIFS($I$4:$I$320,$C$4:$C$320,C321,$D$4:$D$320,D321,$E$4:$E$320,E321,$F$4:$F$320,F321,$G$4:$G$320,G321,$H$4:$H$320,H321,$B$4:$B$320,"SALIDA"),SUMIFS($I$4:$I$320,$C$4:$C$320,C321,$D$4:$D$320,D321,$E$4:$E$320,E321,$G$4:$G$320,G321,$H$4:$H$320,H321,$B$4:$B$320,"INGRESO")+SUMIFS($I$4:$I$320,$C$4:$C$320,C321,$D$4:$D$320,D321,$E$4:$E$320,E321,$G$4:$G$320,G321,$H$4:$H$320,H321,$B$4:$B$320,"DE CORTE")-SUMIFS($I$4:$I$320,$C$4:$C$320,C321,$D$4:$D$320,D321,$E$4:$E$320,E321,$G$4:$G$320,G321,$H$4:$H$320,H321,$B$4:$B$320,"SALIDA"))),0)</f>
        <v>0</v>
      </c>
      <c r="M321" s="13">
        <f t="shared" si="2"/>
        <v>0</v>
      </c>
      <c r="N321" s="14"/>
      <c r="O321" s="14"/>
      <c r="P321" s="15"/>
      <c r="Q321" s="14"/>
    </row>
    <row r="322" ht="15.75" customHeight="1">
      <c r="A322" s="7"/>
      <c r="B322" s="8"/>
      <c r="C322" s="8"/>
      <c r="D322" s="8"/>
      <c r="E322" s="8"/>
      <c r="F322" s="14"/>
      <c r="G322" s="8"/>
      <c r="H322" s="8"/>
      <c r="I322" s="9"/>
      <c r="J322" s="12" t="str">
        <f t="array" ref="J322:K322">IFERROR(INDEX(PRECIOS_COMPLEMENTOS!$C$4:$F$17,MATCH(D322&amp;"_"&amp;E322,PRECIOS_COMPLEMENTOS!$H$4:$H$17,0),IF(OR(H322="S",H322="20cm"),1,IF(OR(H322="M",H322="25cm"),2,IF(OR(H322="L",H322="30cm"),3,IF(OR(H322="XL",H322="35cm"),4,0))))),0)</f>
        <v>#REF!</v>
      </c>
      <c r="K322" s="12">
        <f t="shared" si="1"/>
        <v>0</v>
      </c>
      <c r="L322" s="13">
        <f>IFERROR(IF(C322="",0,IF(D322="PRETINA",SUMIFS($I$4:$I$321,$C$4:$C$321,C322,$D$4:$D$321,D322,$E$4:$E$321,E322,$F$4:$F$321,F322,$G$4:$G$321,G322,$H$4:$H$321,H322,$B$4:$B$321,"INGRESO")+SUMIFS($I$4:$I$321,$C$4:$C$321,C322,$D$4:$D$321,D322,$E$4:$E$321,E322,$F$4:$F$321,F322,$G$4:$G$321,G322,$H$4:$H$321,H322,$B$4:$B$321,"DE CORTE")-SUMIFS($I$4:$I$321,$C$4:$C$321,C322,$D$4:$D$321,D322,$E$4:$E$321,E322,$F$4:$F$321,F322,$G$4:$G$321,G322,$H$4:$H$321,H322,$B$4:$B$321,"SALIDA"),SUMIFS($I$4:$I$321,$C$4:$C$321,C322,$D$4:$D$321,D322,$E$4:$E$321,E322,$G$4:$G$321,G322,$H$4:$H$321,H322,$B$4:$B$321,"INGRESO")+SUMIFS($I$4:$I$321,$C$4:$C$321,C322,$D$4:$D$321,D322,$E$4:$E$321,E322,$G$4:$G$321,G322,$H$4:$H$321,H322,$B$4:$B$321,"DE CORTE")-SUMIFS($I$4:$I$321,$C$4:$C$321,C322,$D$4:$D$321,D322,$E$4:$E$321,E322,$G$4:$G$321,G322,$H$4:$H$321,H322,$B$4:$B$321,"SALIDA"))),0)</f>
        <v>0</v>
      </c>
      <c r="M322" s="13">
        <f t="shared" si="2"/>
        <v>0</v>
      </c>
      <c r="N322" s="14"/>
      <c r="O322" s="14"/>
      <c r="P322" s="15"/>
      <c r="Q322" s="14"/>
    </row>
    <row r="323" ht="15.75" customHeight="1">
      <c r="A323" s="7"/>
      <c r="B323" s="8"/>
      <c r="C323" s="8"/>
      <c r="D323" s="8"/>
      <c r="E323" s="8"/>
      <c r="F323" s="14"/>
      <c r="G323" s="8"/>
      <c r="H323" s="8"/>
      <c r="I323" s="9"/>
      <c r="J323" s="12" t="str">
        <f t="array" ref="J323:K323">IFERROR(INDEX(PRECIOS_COMPLEMENTOS!$C$4:$F$17,MATCH(D323&amp;"_"&amp;E323,PRECIOS_COMPLEMENTOS!$H$4:$H$17,0),IF(OR(H323="S",H323="20cm"),1,IF(OR(H323="M",H323="25cm"),2,IF(OR(H323="L",H323="30cm"),3,IF(OR(H323="XL",H323="35cm"),4,0))))),0)</f>
        <v>#REF!</v>
      </c>
      <c r="K323" s="12">
        <f t="shared" si="1"/>
        <v>0</v>
      </c>
      <c r="L323" s="13">
        <f>IFERROR(IF(C323="",0,IF(D323="PRETINA",SUMIFS($I$4:$I$322,$C$4:$C$322,C323,$D$4:$D$322,D323,$E$4:$E$322,E323,$F$4:$F$322,F323,$G$4:$G$322,G323,$H$4:$H$322,H323,$B$4:$B$322,"INGRESO")+SUMIFS($I$4:$I$322,$C$4:$C$322,C323,$D$4:$D$322,D323,$E$4:$E$322,E323,$F$4:$F$322,F323,$G$4:$G$322,G323,$H$4:$H$322,H323,$B$4:$B$322,"DE CORTE")-SUMIFS($I$4:$I$322,$C$4:$C$322,C323,$D$4:$D$322,D323,$E$4:$E$322,E323,$F$4:$F$322,F323,$G$4:$G$322,G323,$H$4:$H$322,H323,$B$4:$B$322,"SALIDA"),SUMIFS($I$4:$I$322,$C$4:$C$322,C323,$D$4:$D$322,D323,$E$4:$E$322,E323,$G$4:$G$322,G323,$H$4:$H$322,H323,$B$4:$B$322,"INGRESO")+SUMIFS($I$4:$I$322,$C$4:$C$322,C323,$D$4:$D$322,D323,$E$4:$E$322,E323,$G$4:$G$322,G323,$H$4:$H$322,H323,$B$4:$B$322,"DE CORTE")-SUMIFS($I$4:$I$322,$C$4:$C$322,C323,$D$4:$D$322,D323,$E$4:$E$322,E323,$G$4:$G$322,G323,$H$4:$H$322,H323,$B$4:$B$322,"SALIDA"))),0)</f>
        <v>0</v>
      </c>
      <c r="M323" s="13">
        <f t="shared" si="2"/>
        <v>0</v>
      </c>
      <c r="N323" s="14"/>
      <c r="O323" s="14"/>
      <c r="P323" s="15"/>
      <c r="Q323" s="14"/>
    </row>
    <row r="324" ht="15.75" customHeight="1">
      <c r="A324" s="7"/>
      <c r="B324" s="8"/>
      <c r="C324" s="8"/>
      <c r="D324" s="8"/>
      <c r="E324" s="8"/>
      <c r="F324" s="14"/>
      <c r="G324" s="8"/>
      <c r="H324" s="8"/>
      <c r="I324" s="9"/>
      <c r="J324" s="12" t="str">
        <f t="array" ref="J324:K324">IFERROR(INDEX(PRECIOS_COMPLEMENTOS!$C$4:$F$17,MATCH(D324&amp;"_"&amp;E324,PRECIOS_COMPLEMENTOS!$H$4:$H$17,0),IF(OR(H324="S",H324="20cm"),1,IF(OR(H324="M",H324="25cm"),2,IF(OR(H324="L",H324="30cm"),3,IF(OR(H324="XL",H324="35cm"),4,0))))),0)</f>
        <v>#REF!</v>
      </c>
      <c r="K324" s="12">
        <f t="shared" si="1"/>
        <v>0</v>
      </c>
      <c r="L324" s="13">
        <f>IFERROR(IF(C324="",0,IF(D324="PRETINA",SUMIFS($I$4:$I$323,$C$4:$C$323,C324,$D$4:$D$323,D324,$E$4:$E$323,E324,$F$4:$F$323,F324,$G$4:$G$323,G324,$H$4:$H$323,H324,$B$4:$B$323,"INGRESO")+SUMIFS($I$4:$I$323,$C$4:$C$323,C324,$D$4:$D$323,D324,$E$4:$E$323,E324,$F$4:$F$323,F324,$G$4:$G$323,G324,$H$4:$H$323,H324,$B$4:$B$323,"DE CORTE")-SUMIFS($I$4:$I$323,$C$4:$C$323,C324,$D$4:$D$323,D324,$E$4:$E$323,E324,$F$4:$F$323,F324,$G$4:$G$323,G324,$H$4:$H$323,H324,$B$4:$B$323,"SALIDA"),SUMIFS($I$4:$I$323,$C$4:$C$323,C324,$D$4:$D$323,D324,$E$4:$E$323,E324,$G$4:$G$323,G324,$H$4:$H$323,H324,$B$4:$B$323,"INGRESO")+SUMIFS($I$4:$I$323,$C$4:$C$323,C324,$D$4:$D$323,D324,$E$4:$E$323,E324,$G$4:$G$323,G324,$H$4:$H$323,H324,$B$4:$B$323,"DE CORTE")-SUMIFS($I$4:$I$323,$C$4:$C$323,C324,$D$4:$D$323,D324,$E$4:$E$323,E324,$G$4:$G$323,G324,$H$4:$H$323,H324,$B$4:$B$323,"SALIDA"))),0)</f>
        <v>0</v>
      </c>
      <c r="M324" s="13">
        <f t="shared" si="2"/>
        <v>0</v>
      </c>
      <c r="N324" s="14"/>
      <c r="O324" s="14"/>
      <c r="P324" s="15"/>
      <c r="Q324" s="14"/>
    </row>
    <row r="325" ht="15.75" customHeight="1">
      <c r="A325" s="7"/>
      <c r="B325" s="8"/>
      <c r="C325" s="8"/>
      <c r="D325" s="8"/>
      <c r="E325" s="8"/>
      <c r="F325" s="14"/>
      <c r="G325" s="8"/>
      <c r="H325" s="8"/>
      <c r="I325" s="9"/>
      <c r="J325" s="12" t="str">
        <f t="array" ref="J325:K325">IFERROR(INDEX(PRECIOS_COMPLEMENTOS!$C$4:$F$17,MATCH(D325&amp;"_"&amp;E325,PRECIOS_COMPLEMENTOS!$H$4:$H$17,0),IF(OR(H325="S",H325="20cm"),1,IF(OR(H325="M",H325="25cm"),2,IF(OR(H325="L",H325="30cm"),3,IF(OR(H325="XL",H325="35cm"),4,0))))),0)</f>
        <v>#REF!</v>
      </c>
      <c r="K325" s="12">
        <f t="shared" si="1"/>
        <v>0</v>
      </c>
      <c r="L325" s="13">
        <f>IFERROR(IF(C325="",0,IF(D325="PRETINA",SUMIFS($I$4:$I$324,$C$4:$C$324,C325,$D$4:$D$324,D325,$E$4:$E$324,E325,$F$4:$F$324,F325,$G$4:$G$324,G325,$H$4:$H$324,H325,$B$4:$B$324,"INGRESO")+SUMIFS($I$4:$I$324,$C$4:$C$324,C325,$D$4:$D$324,D325,$E$4:$E$324,E325,$F$4:$F$324,F325,$G$4:$G$324,G325,$H$4:$H$324,H325,$B$4:$B$324,"DE CORTE")-SUMIFS($I$4:$I$324,$C$4:$C$324,C325,$D$4:$D$324,D325,$E$4:$E$324,E325,$F$4:$F$324,F325,$G$4:$G$324,G325,$H$4:$H$324,H325,$B$4:$B$324,"SALIDA"),SUMIFS($I$4:$I$324,$C$4:$C$324,C325,$D$4:$D$324,D325,$E$4:$E$324,E325,$G$4:$G$324,G325,$H$4:$H$324,H325,$B$4:$B$324,"INGRESO")+SUMIFS($I$4:$I$324,$C$4:$C$324,C325,$D$4:$D$324,D325,$E$4:$E$324,E325,$G$4:$G$324,G325,$H$4:$H$324,H325,$B$4:$B$324,"DE CORTE")-SUMIFS($I$4:$I$324,$C$4:$C$324,C325,$D$4:$D$324,D325,$E$4:$E$324,E325,$G$4:$G$324,G325,$H$4:$H$324,H325,$B$4:$B$324,"SALIDA"))),0)</f>
        <v>0</v>
      </c>
      <c r="M325" s="13">
        <f t="shared" si="2"/>
        <v>0</v>
      </c>
      <c r="N325" s="14"/>
      <c r="O325" s="14"/>
      <c r="P325" s="15"/>
      <c r="Q325" s="14"/>
    </row>
    <row r="326" ht="15.75" customHeight="1">
      <c r="A326" s="7"/>
      <c r="B326" s="8"/>
      <c r="C326" s="8"/>
      <c r="D326" s="8"/>
      <c r="E326" s="8"/>
      <c r="F326" s="14"/>
      <c r="G326" s="8"/>
      <c r="H326" s="8"/>
      <c r="I326" s="9"/>
      <c r="J326" s="12" t="str">
        <f t="array" ref="J326:K326">IFERROR(INDEX(PRECIOS_COMPLEMENTOS!$C$4:$F$17,MATCH(D326&amp;"_"&amp;E326,PRECIOS_COMPLEMENTOS!$H$4:$H$17,0),IF(OR(H326="S",H326="20cm"),1,IF(OR(H326="M",H326="25cm"),2,IF(OR(H326="L",H326="30cm"),3,IF(OR(H326="XL",H326="35cm"),4,0))))),0)</f>
        <v>#REF!</v>
      </c>
      <c r="K326" s="12">
        <f t="shared" si="1"/>
        <v>0</v>
      </c>
      <c r="L326" s="13">
        <f>IFERROR(IF(C326="",0,IF(D326="PRETINA",SUMIFS($I$4:$I$325,$C$4:$C$325,C326,$D$4:$D$325,D326,$E$4:$E$325,E326,$F$4:$F$325,F326,$G$4:$G$325,G326,$H$4:$H$325,H326,$B$4:$B$325,"INGRESO")+SUMIFS($I$4:$I$325,$C$4:$C$325,C326,$D$4:$D$325,D326,$E$4:$E$325,E326,$F$4:$F$325,F326,$G$4:$G$325,G326,$H$4:$H$325,H326,$B$4:$B$325,"DE CORTE")-SUMIFS($I$4:$I$325,$C$4:$C$325,C326,$D$4:$D$325,D326,$E$4:$E$325,E326,$F$4:$F$325,F326,$G$4:$G$325,G326,$H$4:$H$325,H326,$B$4:$B$325,"SALIDA"),SUMIFS($I$4:$I$325,$C$4:$C$325,C326,$D$4:$D$325,D326,$E$4:$E$325,E326,$G$4:$G$325,G326,$H$4:$H$325,H326,$B$4:$B$325,"INGRESO")+SUMIFS($I$4:$I$325,$C$4:$C$325,C326,$D$4:$D$325,D326,$E$4:$E$325,E326,$G$4:$G$325,G326,$H$4:$H$325,H326,$B$4:$B$325,"DE CORTE")-SUMIFS($I$4:$I$325,$C$4:$C$325,C326,$D$4:$D$325,D326,$E$4:$E$325,E326,$G$4:$G$325,G326,$H$4:$H$325,H326,$B$4:$B$325,"SALIDA"))),0)</f>
        <v>0</v>
      </c>
      <c r="M326" s="13">
        <f t="shared" si="2"/>
        <v>0</v>
      </c>
      <c r="N326" s="14"/>
      <c r="O326" s="14"/>
      <c r="P326" s="15"/>
      <c r="Q326" s="14"/>
    </row>
    <row r="327" ht="15.75" customHeight="1">
      <c r="A327" s="7"/>
      <c r="B327" s="8"/>
      <c r="C327" s="8"/>
      <c r="D327" s="8"/>
      <c r="E327" s="8"/>
      <c r="F327" s="14"/>
      <c r="G327" s="8"/>
      <c r="H327" s="8"/>
      <c r="I327" s="9"/>
      <c r="J327" s="12" t="str">
        <f t="array" ref="J327:K327">IFERROR(INDEX(PRECIOS_COMPLEMENTOS!$C$4:$F$17,MATCH(D327&amp;"_"&amp;E327,PRECIOS_COMPLEMENTOS!$H$4:$H$17,0),IF(OR(H327="S",H327="20cm"),1,IF(OR(H327="M",H327="25cm"),2,IF(OR(H327="L",H327="30cm"),3,IF(OR(H327="XL",H327="35cm"),4,0))))),0)</f>
        <v>#REF!</v>
      </c>
      <c r="K327" s="12">
        <f t="shared" si="1"/>
        <v>0</v>
      </c>
      <c r="L327" s="13">
        <f>IFERROR(IF(C327="",0,IF(D327="PRETINA",SUMIFS($I$4:$I$326,$C$4:$C$326,C327,$D$4:$D$326,D327,$E$4:$E$326,E327,$F$4:$F$326,F327,$G$4:$G$326,G327,$H$4:$H$326,H327,$B$4:$B$326,"INGRESO")+SUMIFS($I$4:$I$326,$C$4:$C$326,C327,$D$4:$D$326,D327,$E$4:$E$326,E327,$F$4:$F$326,F327,$G$4:$G$326,G327,$H$4:$H$326,H327,$B$4:$B$326,"DE CORTE")-SUMIFS($I$4:$I$326,$C$4:$C$326,C327,$D$4:$D$326,D327,$E$4:$E$326,E327,$F$4:$F$326,F327,$G$4:$G$326,G327,$H$4:$H$326,H327,$B$4:$B$326,"SALIDA"),SUMIFS($I$4:$I$326,$C$4:$C$326,C327,$D$4:$D$326,D327,$E$4:$E$326,E327,$G$4:$G$326,G327,$H$4:$H$326,H327,$B$4:$B$326,"INGRESO")+SUMIFS($I$4:$I$326,$C$4:$C$326,C327,$D$4:$D$326,D327,$E$4:$E$326,E327,$G$4:$G$326,G327,$H$4:$H$326,H327,$B$4:$B$326,"DE CORTE")-SUMIFS($I$4:$I$326,$C$4:$C$326,C327,$D$4:$D$326,D327,$E$4:$E$326,E327,$G$4:$G$326,G327,$H$4:$H$326,H327,$B$4:$B$326,"SALIDA"))),0)</f>
        <v>0</v>
      </c>
      <c r="M327" s="13">
        <f t="shared" si="2"/>
        <v>0</v>
      </c>
      <c r="N327" s="14"/>
      <c r="O327" s="14"/>
      <c r="P327" s="15"/>
      <c r="Q327" s="14"/>
    </row>
    <row r="328" ht="15.75" customHeight="1">
      <c r="A328" s="7"/>
      <c r="B328" s="8"/>
      <c r="C328" s="8"/>
      <c r="D328" s="8"/>
      <c r="E328" s="8"/>
      <c r="F328" s="14"/>
      <c r="G328" s="8"/>
      <c r="H328" s="8"/>
      <c r="I328" s="9"/>
      <c r="J328" s="12" t="str">
        <f t="array" ref="J328:K328">IFERROR(INDEX(PRECIOS_COMPLEMENTOS!$C$4:$F$17,MATCH(D328&amp;"_"&amp;E328,PRECIOS_COMPLEMENTOS!$H$4:$H$17,0),IF(OR(H328="S",H328="20cm"),1,IF(OR(H328="M",H328="25cm"),2,IF(OR(H328="L",H328="30cm"),3,IF(OR(H328="XL",H328="35cm"),4,0))))),0)</f>
        <v>#REF!</v>
      </c>
      <c r="K328" s="12">
        <f t="shared" si="1"/>
        <v>0</v>
      </c>
      <c r="L328" s="13">
        <f>IFERROR(IF(C328="",0,IF(D328="PRETINA",SUMIFS($I$4:$I$327,$C$4:$C$327,C328,$D$4:$D$327,D328,$E$4:$E$327,E328,$F$4:$F$327,F328,$G$4:$G$327,G328,$H$4:$H$327,H328,$B$4:$B$327,"INGRESO")+SUMIFS($I$4:$I$327,$C$4:$C$327,C328,$D$4:$D$327,D328,$E$4:$E$327,E328,$F$4:$F$327,F328,$G$4:$G$327,G328,$H$4:$H$327,H328,$B$4:$B$327,"DE CORTE")-SUMIFS($I$4:$I$327,$C$4:$C$327,C328,$D$4:$D$327,D328,$E$4:$E$327,E328,$F$4:$F$327,F328,$G$4:$G$327,G328,$H$4:$H$327,H328,$B$4:$B$327,"SALIDA"),SUMIFS($I$4:$I$327,$C$4:$C$327,C328,$D$4:$D$327,D328,$E$4:$E$327,E328,$G$4:$G$327,G328,$H$4:$H$327,H328,$B$4:$B$327,"INGRESO")+SUMIFS($I$4:$I$327,$C$4:$C$327,C328,$D$4:$D$327,D328,$E$4:$E$327,E328,$G$4:$G$327,G328,$H$4:$H$327,H328,$B$4:$B$327,"DE CORTE")-SUMIFS($I$4:$I$327,$C$4:$C$327,C328,$D$4:$D$327,D328,$E$4:$E$327,E328,$G$4:$G$327,G328,$H$4:$H$327,H328,$B$4:$B$327,"SALIDA"))),0)</f>
        <v>0</v>
      </c>
      <c r="M328" s="13">
        <f t="shared" si="2"/>
        <v>0</v>
      </c>
      <c r="N328" s="14"/>
      <c r="O328" s="14"/>
      <c r="P328" s="15"/>
      <c r="Q328" s="14"/>
    </row>
    <row r="329" ht="15.75" customHeight="1">
      <c r="A329" s="7"/>
      <c r="B329" s="8"/>
      <c r="C329" s="8"/>
      <c r="D329" s="8"/>
      <c r="E329" s="8"/>
      <c r="F329" s="14"/>
      <c r="G329" s="8"/>
      <c r="H329" s="8"/>
      <c r="I329" s="9"/>
      <c r="J329" s="12" t="str">
        <f t="array" ref="J329:K329">IFERROR(INDEX(PRECIOS_COMPLEMENTOS!$C$4:$F$17,MATCH(D329&amp;"_"&amp;E329,PRECIOS_COMPLEMENTOS!$H$4:$H$17,0),IF(OR(H329="S",H329="20cm"),1,IF(OR(H329="M",H329="25cm"),2,IF(OR(H329="L",H329="30cm"),3,IF(OR(H329="XL",H329="35cm"),4,0))))),0)</f>
        <v>#REF!</v>
      </c>
      <c r="K329" s="12">
        <f t="shared" si="1"/>
        <v>0</v>
      </c>
      <c r="L329" s="13">
        <f>IFERROR(IF(C329="",0,IF(D329="PRETINA",SUMIFS($I$4:$I$328,$C$4:$C$328,C329,$D$4:$D$328,D329,$E$4:$E$328,E329,$F$4:$F$328,F329,$G$4:$G$328,G329,$H$4:$H$328,H329,$B$4:$B$328,"INGRESO")+SUMIFS($I$4:$I$328,$C$4:$C$328,C329,$D$4:$D$328,D329,$E$4:$E$328,E329,$F$4:$F$328,F329,$G$4:$G$328,G329,$H$4:$H$328,H329,$B$4:$B$328,"DE CORTE")-SUMIFS($I$4:$I$328,$C$4:$C$328,C329,$D$4:$D$328,D329,$E$4:$E$328,E329,$F$4:$F$328,F329,$G$4:$G$328,G329,$H$4:$H$328,H329,$B$4:$B$328,"SALIDA"),SUMIFS($I$4:$I$328,$C$4:$C$328,C329,$D$4:$D$328,D329,$E$4:$E$328,E329,$G$4:$G$328,G329,$H$4:$H$328,H329,$B$4:$B$328,"INGRESO")+SUMIFS($I$4:$I$328,$C$4:$C$328,C329,$D$4:$D$328,D329,$E$4:$E$328,E329,$G$4:$G$328,G329,$H$4:$H$328,H329,$B$4:$B$328,"DE CORTE")-SUMIFS($I$4:$I$328,$C$4:$C$328,C329,$D$4:$D$328,D329,$E$4:$E$328,E329,$G$4:$G$328,G329,$H$4:$H$328,H329,$B$4:$B$328,"SALIDA"))),0)</f>
        <v>0</v>
      </c>
      <c r="M329" s="13">
        <f t="shared" si="2"/>
        <v>0</v>
      </c>
      <c r="N329" s="14"/>
      <c r="O329" s="14"/>
      <c r="P329" s="15"/>
      <c r="Q329" s="14"/>
    </row>
    <row r="330" ht="15.75" customHeight="1">
      <c r="A330" s="7"/>
      <c r="B330" s="8"/>
      <c r="C330" s="8"/>
      <c r="D330" s="8"/>
      <c r="E330" s="8"/>
      <c r="F330" s="14"/>
      <c r="G330" s="8"/>
      <c r="H330" s="8"/>
      <c r="I330" s="9"/>
      <c r="J330" s="12" t="str">
        <f t="array" ref="J330:K330">IFERROR(INDEX(PRECIOS_COMPLEMENTOS!$C$4:$F$17,MATCH(D330&amp;"_"&amp;E330,PRECIOS_COMPLEMENTOS!$H$4:$H$17,0),IF(OR(H330="S",H330="20cm"),1,IF(OR(H330="M",H330="25cm"),2,IF(OR(H330="L",H330="30cm"),3,IF(OR(H330="XL",H330="35cm"),4,0))))),0)</f>
        <v>#REF!</v>
      </c>
      <c r="K330" s="12">
        <f t="shared" si="1"/>
        <v>0</v>
      </c>
      <c r="L330" s="13">
        <f>IFERROR(IF(C330="",0,IF(D330="PRETINA",SUMIFS($I$4:$I$329,$C$4:$C$329,C330,$D$4:$D$329,D330,$E$4:$E$329,E330,$F$4:$F$329,F330,$G$4:$G$329,G330,$H$4:$H$329,H330,$B$4:$B$329,"INGRESO")+SUMIFS($I$4:$I$329,$C$4:$C$329,C330,$D$4:$D$329,D330,$E$4:$E$329,E330,$F$4:$F$329,F330,$G$4:$G$329,G330,$H$4:$H$329,H330,$B$4:$B$329,"DE CORTE")-SUMIFS($I$4:$I$329,$C$4:$C$329,C330,$D$4:$D$329,D330,$E$4:$E$329,E330,$F$4:$F$329,F330,$G$4:$G$329,G330,$H$4:$H$329,H330,$B$4:$B$329,"SALIDA"),SUMIFS($I$4:$I$329,$C$4:$C$329,C330,$D$4:$D$329,D330,$E$4:$E$329,E330,$G$4:$G$329,G330,$H$4:$H$329,H330,$B$4:$B$329,"INGRESO")+SUMIFS($I$4:$I$329,$C$4:$C$329,C330,$D$4:$D$329,D330,$E$4:$E$329,E330,$G$4:$G$329,G330,$H$4:$H$329,H330,$B$4:$B$329,"DE CORTE")-SUMIFS($I$4:$I$329,$C$4:$C$329,C330,$D$4:$D$329,D330,$E$4:$E$329,E330,$G$4:$G$329,G330,$H$4:$H$329,H330,$B$4:$B$329,"SALIDA"))),0)</f>
        <v>0</v>
      </c>
      <c r="M330" s="13">
        <f t="shared" si="2"/>
        <v>0</v>
      </c>
      <c r="N330" s="14"/>
      <c r="O330" s="14"/>
      <c r="P330" s="15"/>
      <c r="Q330" s="14"/>
    </row>
    <row r="331" ht="15.75" customHeight="1">
      <c r="A331" s="7"/>
      <c r="B331" s="8"/>
      <c r="C331" s="8"/>
      <c r="D331" s="8"/>
      <c r="E331" s="8"/>
      <c r="F331" s="14"/>
      <c r="G331" s="8"/>
      <c r="H331" s="8"/>
      <c r="I331" s="9"/>
      <c r="J331" s="12" t="str">
        <f t="array" ref="J331:K331">IFERROR(INDEX(PRECIOS_COMPLEMENTOS!$C$4:$F$17,MATCH(D331&amp;"_"&amp;E331,PRECIOS_COMPLEMENTOS!$H$4:$H$17,0),IF(OR(H331="S",H331="20cm"),1,IF(OR(H331="M",H331="25cm"),2,IF(OR(H331="L",H331="30cm"),3,IF(OR(H331="XL",H331="35cm"),4,0))))),0)</f>
        <v>#REF!</v>
      </c>
      <c r="K331" s="12">
        <f t="shared" si="1"/>
        <v>0</v>
      </c>
      <c r="L331" s="13">
        <f>IFERROR(IF(C331="",0,IF(D331="PRETINA",SUMIFS($I$4:$I$330,$C$4:$C$330,C331,$D$4:$D$330,D331,$E$4:$E$330,E331,$F$4:$F$330,F331,$G$4:$G$330,G331,$H$4:$H$330,H331,$B$4:$B$330,"INGRESO")+SUMIFS($I$4:$I$330,$C$4:$C$330,C331,$D$4:$D$330,D331,$E$4:$E$330,E331,$F$4:$F$330,F331,$G$4:$G$330,G331,$H$4:$H$330,H331,$B$4:$B$330,"DE CORTE")-SUMIFS($I$4:$I$330,$C$4:$C$330,C331,$D$4:$D$330,D331,$E$4:$E$330,E331,$F$4:$F$330,F331,$G$4:$G$330,G331,$H$4:$H$330,H331,$B$4:$B$330,"SALIDA"),SUMIFS($I$4:$I$330,$C$4:$C$330,C331,$D$4:$D$330,D331,$E$4:$E$330,E331,$G$4:$G$330,G331,$H$4:$H$330,H331,$B$4:$B$330,"INGRESO")+SUMIFS($I$4:$I$330,$C$4:$C$330,C331,$D$4:$D$330,D331,$E$4:$E$330,E331,$G$4:$G$330,G331,$H$4:$H$330,H331,$B$4:$B$330,"DE CORTE")-SUMIFS($I$4:$I$330,$C$4:$C$330,C331,$D$4:$D$330,D331,$E$4:$E$330,E331,$G$4:$G$330,G331,$H$4:$H$330,H331,$B$4:$B$330,"SALIDA"))),0)</f>
        <v>0</v>
      </c>
      <c r="M331" s="13">
        <f t="shared" si="2"/>
        <v>0</v>
      </c>
      <c r="N331" s="14"/>
      <c r="O331" s="14"/>
      <c r="P331" s="15"/>
      <c r="Q331" s="14"/>
    </row>
    <row r="332" ht="15.75" customHeight="1">
      <c r="A332" s="7"/>
      <c r="B332" s="8"/>
      <c r="C332" s="8"/>
      <c r="D332" s="8"/>
      <c r="E332" s="8"/>
      <c r="F332" s="14"/>
      <c r="G332" s="8"/>
      <c r="H332" s="8"/>
      <c r="I332" s="9"/>
      <c r="J332" s="12" t="str">
        <f t="array" ref="J332:K332">IFERROR(INDEX(PRECIOS_COMPLEMENTOS!$C$4:$F$17,MATCH(D332&amp;"_"&amp;E332,PRECIOS_COMPLEMENTOS!$H$4:$H$17,0),IF(OR(H332="S",H332="20cm"),1,IF(OR(H332="M",H332="25cm"),2,IF(OR(H332="L",H332="30cm"),3,IF(OR(H332="XL",H332="35cm"),4,0))))),0)</f>
        <v>#REF!</v>
      </c>
      <c r="K332" s="12">
        <f t="shared" si="1"/>
        <v>0</v>
      </c>
      <c r="L332" s="13">
        <f>IFERROR(IF(C332="",0,IF(D332="PRETINA",SUMIFS($I$4:$I$331,$C$4:$C$331,C332,$D$4:$D$331,D332,$E$4:$E$331,E332,$F$4:$F$331,F332,$G$4:$G$331,G332,$H$4:$H$331,H332,$B$4:$B$331,"INGRESO")+SUMIFS($I$4:$I$331,$C$4:$C$331,C332,$D$4:$D$331,D332,$E$4:$E$331,E332,$F$4:$F$331,F332,$G$4:$G$331,G332,$H$4:$H$331,H332,$B$4:$B$331,"DE CORTE")-SUMIFS($I$4:$I$331,$C$4:$C$331,C332,$D$4:$D$331,D332,$E$4:$E$331,E332,$F$4:$F$331,F332,$G$4:$G$331,G332,$H$4:$H$331,H332,$B$4:$B$331,"SALIDA"),SUMIFS($I$4:$I$331,$C$4:$C$331,C332,$D$4:$D$331,D332,$E$4:$E$331,E332,$G$4:$G$331,G332,$H$4:$H$331,H332,$B$4:$B$331,"INGRESO")+SUMIFS($I$4:$I$331,$C$4:$C$331,C332,$D$4:$D$331,D332,$E$4:$E$331,E332,$G$4:$G$331,G332,$H$4:$H$331,H332,$B$4:$B$331,"DE CORTE")-SUMIFS($I$4:$I$331,$C$4:$C$331,C332,$D$4:$D$331,D332,$E$4:$E$331,E332,$G$4:$G$331,G332,$H$4:$H$331,H332,$B$4:$B$331,"SALIDA"))),0)</f>
        <v>0</v>
      </c>
      <c r="M332" s="13">
        <f t="shared" si="2"/>
        <v>0</v>
      </c>
      <c r="N332" s="14"/>
      <c r="O332" s="14"/>
      <c r="P332" s="15"/>
      <c r="Q332" s="14"/>
    </row>
    <row r="333" ht="15.75" customHeight="1">
      <c r="A333" s="7"/>
      <c r="B333" s="8"/>
      <c r="C333" s="8"/>
      <c r="D333" s="8"/>
      <c r="E333" s="8"/>
      <c r="F333" s="14"/>
      <c r="G333" s="8"/>
      <c r="H333" s="8"/>
      <c r="I333" s="9"/>
      <c r="J333" s="12" t="str">
        <f t="array" ref="J333:K333">IFERROR(INDEX(PRECIOS_COMPLEMENTOS!$C$4:$F$17,MATCH(D333&amp;"_"&amp;E333,PRECIOS_COMPLEMENTOS!$H$4:$H$17,0),IF(OR(H333="S",H333="20cm"),1,IF(OR(H333="M",H333="25cm"),2,IF(OR(H333="L",H333="30cm"),3,IF(OR(H333="XL",H333="35cm"),4,0))))),0)</f>
        <v>#REF!</v>
      </c>
      <c r="K333" s="12">
        <f t="shared" si="1"/>
        <v>0</v>
      </c>
      <c r="L333" s="13">
        <f>IFERROR(IF(C333="",0,IF(D333="PRETINA",SUMIFS($I$4:$I$332,$C$4:$C$332,C333,$D$4:$D$332,D333,$E$4:$E$332,E333,$F$4:$F$332,F333,$G$4:$G$332,G333,$H$4:$H$332,H333,$B$4:$B$332,"INGRESO")+SUMIFS($I$4:$I$332,$C$4:$C$332,C333,$D$4:$D$332,D333,$E$4:$E$332,E333,$F$4:$F$332,F333,$G$4:$G$332,G333,$H$4:$H$332,H333,$B$4:$B$332,"DE CORTE")-SUMIFS($I$4:$I$332,$C$4:$C$332,C333,$D$4:$D$332,D333,$E$4:$E$332,E333,$F$4:$F$332,F333,$G$4:$G$332,G333,$H$4:$H$332,H333,$B$4:$B$332,"SALIDA"),SUMIFS($I$4:$I$332,$C$4:$C$332,C333,$D$4:$D$332,D333,$E$4:$E$332,E333,$G$4:$G$332,G333,$H$4:$H$332,H333,$B$4:$B$332,"INGRESO")+SUMIFS($I$4:$I$332,$C$4:$C$332,C333,$D$4:$D$332,D333,$E$4:$E$332,E333,$G$4:$G$332,G333,$H$4:$H$332,H333,$B$4:$B$332,"DE CORTE")-SUMIFS($I$4:$I$332,$C$4:$C$332,C333,$D$4:$D$332,D333,$E$4:$E$332,E333,$G$4:$G$332,G333,$H$4:$H$332,H333,$B$4:$B$332,"SALIDA"))),0)</f>
        <v>0</v>
      </c>
      <c r="M333" s="13">
        <f t="shared" si="2"/>
        <v>0</v>
      </c>
      <c r="N333" s="14"/>
      <c r="O333" s="14"/>
      <c r="P333" s="15"/>
      <c r="Q333" s="14"/>
    </row>
    <row r="334" ht="15.75" customHeight="1">
      <c r="A334" s="7"/>
      <c r="B334" s="8"/>
      <c r="C334" s="8"/>
      <c r="D334" s="8"/>
      <c r="E334" s="8"/>
      <c r="F334" s="14"/>
      <c r="G334" s="8"/>
      <c r="H334" s="8"/>
      <c r="I334" s="9"/>
      <c r="J334" s="12" t="str">
        <f t="array" ref="J334:K334">IFERROR(INDEX(PRECIOS_COMPLEMENTOS!$C$4:$F$17,MATCH(D334&amp;"_"&amp;E334,PRECIOS_COMPLEMENTOS!$H$4:$H$17,0),IF(OR(H334="S",H334="20cm"),1,IF(OR(H334="M",H334="25cm"),2,IF(OR(H334="L",H334="30cm"),3,IF(OR(H334="XL",H334="35cm"),4,0))))),0)</f>
        <v>#REF!</v>
      </c>
      <c r="K334" s="12">
        <f t="shared" si="1"/>
        <v>0</v>
      </c>
      <c r="L334" s="13">
        <f>IFERROR(IF(C334="",0,IF(D334="PRETINA",SUMIFS($I$4:$I$333,$C$4:$C$333,C334,$D$4:$D$333,D334,$E$4:$E$333,E334,$F$4:$F$333,F334,$G$4:$G$333,G334,$H$4:$H$333,H334,$B$4:$B$333,"INGRESO")+SUMIFS($I$4:$I$333,$C$4:$C$333,C334,$D$4:$D$333,D334,$E$4:$E$333,E334,$F$4:$F$333,F334,$G$4:$G$333,G334,$H$4:$H$333,H334,$B$4:$B$333,"DE CORTE")-SUMIFS($I$4:$I$333,$C$4:$C$333,C334,$D$4:$D$333,D334,$E$4:$E$333,E334,$F$4:$F$333,F334,$G$4:$G$333,G334,$H$4:$H$333,H334,$B$4:$B$333,"SALIDA"),SUMIFS($I$4:$I$333,$C$4:$C$333,C334,$D$4:$D$333,D334,$E$4:$E$333,E334,$G$4:$G$333,G334,$H$4:$H$333,H334,$B$4:$B$333,"INGRESO")+SUMIFS($I$4:$I$333,$C$4:$C$333,C334,$D$4:$D$333,D334,$E$4:$E$333,E334,$G$4:$G$333,G334,$H$4:$H$333,H334,$B$4:$B$333,"DE CORTE")-SUMIFS($I$4:$I$333,$C$4:$C$333,C334,$D$4:$D$333,D334,$E$4:$E$333,E334,$G$4:$G$333,G334,$H$4:$H$333,H334,$B$4:$B$333,"SALIDA"))),0)</f>
        <v>0</v>
      </c>
      <c r="M334" s="13">
        <f t="shared" si="2"/>
        <v>0</v>
      </c>
      <c r="N334" s="14"/>
      <c r="O334" s="14"/>
      <c r="P334" s="15"/>
      <c r="Q334" s="14"/>
    </row>
    <row r="335" ht="15.75" customHeight="1">
      <c r="A335" s="7"/>
      <c r="B335" s="8"/>
      <c r="C335" s="8"/>
      <c r="D335" s="8"/>
      <c r="E335" s="8"/>
      <c r="F335" s="14"/>
      <c r="G335" s="8"/>
      <c r="H335" s="8"/>
      <c r="I335" s="9"/>
      <c r="J335" s="12" t="str">
        <f t="array" ref="J335:K335">IFERROR(INDEX(PRECIOS_COMPLEMENTOS!$C$4:$F$17,MATCH(D335&amp;"_"&amp;E335,PRECIOS_COMPLEMENTOS!$H$4:$H$17,0),IF(OR(H335="S",H335="20cm"),1,IF(OR(H335="M",H335="25cm"),2,IF(OR(H335="L",H335="30cm"),3,IF(OR(H335="XL",H335="35cm"),4,0))))),0)</f>
        <v>#REF!</v>
      </c>
      <c r="K335" s="12">
        <f t="shared" si="1"/>
        <v>0</v>
      </c>
      <c r="L335" s="13">
        <f>IFERROR(IF(C335="",0,IF(D335="PRETINA",SUMIFS($I$4:$I$334,$C$4:$C$334,C335,$D$4:$D$334,D335,$E$4:$E$334,E335,$F$4:$F$334,F335,$G$4:$G$334,G335,$H$4:$H$334,H335,$B$4:$B$334,"INGRESO")+SUMIFS($I$4:$I$334,$C$4:$C$334,C335,$D$4:$D$334,D335,$E$4:$E$334,E335,$F$4:$F$334,F335,$G$4:$G$334,G335,$H$4:$H$334,H335,$B$4:$B$334,"DE CORTE")-SUMIFS($I$4:$I$334,$C$4:$C$334,C335,$D$4:$D$334,D335,$E$4:$E$334,E335,$F$4:$F$334,F335,$G$4:$G$334,G335,$H$4:$H$334,H335,$B$4:$B$334,"SALIDA"),SUMIFS($I$4:$I$334,$C$4:$C$334,C335,$D$4:$D$334,D335,$E$4:$E$334,E335,$G$4:$G$334,G335,$H$4:$H$334,H335,$B$4:$B$334,"INGRESO")+SUMIFS($I$4:$I$334,$C$4:$C$334,C335,$D$4:$D$334,D335,$E$4:$E$334,E335,$G$4:$G$334,G335,$H$4:$H$334,H335,$B$4:$B$334,"DE CORTE")-SUMIFS($I$4:$I$334,$C$4:$C$334,C335,$D$4:$D$334,D335,$E$4:$E$334,E335,$G$4:$G$334,G335,$H$4:$H$334,H335,$B$4:$B$334,"SALIDA"))),0)</f>
        <v>0</v>
      </c>
      <c r="M335" s="13">
        <f t="shared" si="2"/>
        <v>0</v>
      </c>
      <c r="N335" s="14"/>
      <c r="O335" s="14"/>
      <c r="P335" s="15"/>
      <c r="Q335" s="14"/>
    </row>
    <row r="336" ht="15.75" customHeight="1">
      <c r="A336" s="7"/>
      <c r="B336" s="8"/>
      <c r="C336" s="8"/>
      <c r="D336" s="8"/>
      <c r="E336" s="8"/>
      <c r="F336" s="14"/>
      <c r="G336" s="8"/>
      <c r="H336" s="8"/>
      <c r="I336" s="9"/>
      <c r="J336" s="12" t="str">
        <f t="array" ref="J336:K336">IFERROR(INDEX(PRECIOS_COMPLEMENTOS!$C$4:$F$17,MATCH(D336&amp;"_"&amp;E336,PRECIOS_COMPLEMENTOS!$H$4:$H$17,0),IF(OR(H336="S",H336="20cm"),1,IF(OR(H336="M",H336="25cm"),2,IF(OR(H336="L",H336="30cm"),3,IF(OR(H336="XL",H336="35cm"),4,0))))),0)</f>
        <v>#REF!</v>
      </c>
      <c r="K336" s="12">
        <f t="shared" si="1"/>
        <v>0</v>
      </c>
      <c r="L336" s="13">
        <f>IFERROR(IF(C336="",0,IF(D336="PRETINA",SUMIFS($I$4:$I$335,$C$4:$C$335,C336,$D$4:$D$335,D336,$E$4:$E$335,E336,$F$4:$F$335,F336,$G$4:$G$335,G336,$H$4:$H$335,H336,$B$4:$B$335,"INGRESO")+SUMIFS($I$4:$I$335,$C$4:$C$335,C336,$D$4:$D$335,D336,$E$4:$E$335,E336,$F$4:$F$335,F336,$G$4:$G$335,G336,$H$4:$H$335,H336,$B$4:$B$335,"DE CORTE")-SUMIFS($I$4:$I$335,$C$4:$C$335,C336,$D$4:$D$335,D336,$E$4:$E$335,E336,$F$4:$F$335,F336,$G$4:$G$335,G336,$H$4:$H$335,H336,$B$4:$B$335,"SALIDA"),SUMIFS($I$4:$I$335,$C$4:$C$335,C336,$D$4:$D$335,D336,$E$4:$E$335,E336,$G$4:$G$335,G336,$H$4:$H$335,H336,$B$4:$B$335,"INGRESO")+SUMIFS($I$4:$I$335,$C$4:$C$335,C336,$D$4:$D$335,D336,$E$4:$E$335,E336,$G$4:$G$335,G336,$H$4:$H$335,H336,$B$4:$B$335,"DE CORTE")-SUMIFS($I$4:$I$335,$C$4:$C$335,C336,$D$4:$D$335,D336,$E$4:$E$335,E336,$G$4:$G$335,G336,$H$4:$H$335,H336,$B$4:$B$335,"SALIDA"))),0)</f>
        <v>0</v>
      </c>
      <c r="M336" s="13">
        <f t="shared" si="2"/>
        <v>0</v>
      </c>
      <c r="N336" s="14"/>
      <c r="O336" s="14"/>
      <c r="P336" s="15"/>
      <c r="Q336" s="14"/>
    </row>
    <row r="337" ht="15.75" customHeight="1">
      <c r="A337" s="7"/>
      <c r="B337" s="8"/>
      <c r="C337" s="8"/>
      <c r="D337" s="8"/>
      <c r="E337" s="8"/>
      <c r="F337" s="14"/>
      <c r="G337" s="8"/>
      <c r="H337" s="8"/>
      <c r="I337" s="9"/>
      <c r="J337" s="12" t="str">
        <f t="array" ref="J337:K337">IFERROR(INDEX(PRECIOS_COMPLEMENTOS!$C$4:$F$17,MATCH(D337&amp;"_"&amp;E337,PRECIOS_COMPLEMENTOS!$H$4:$H$17,0),IF(OR(H337="S",H337="20cm"),1,IF(OR(H337="M",H337="25cm"),2,IF(OR(H337="L",H337="30cm"),3,IF(OR(H337="XL",H337="35cm"),4,0))))),0)</f>
        <v>#REF!</v>
      </c>
      <c r="K337" s="12">
        <f t="shared" si="1"/>
        <v>0</v>
      </c>
      <c r="L337" s="13">
        <f>IFERROR(IF(C337="",0,IF(D337="PRETINA",SUMIFS($I$4:$I$336,$C$4:$C$336,C337,$D$4:$D$336,D337,$E$4:$E$336,E337,$F$4:$F$336,F337,$G$4:$G$336,G337,$H$4:$H$336,H337,$B$4:$B$336,"INGRESO")+SUMIFS($I$4:$I$336,$C$4:$C$336,C337,$D$4:$D$336,D337,$E$4:$E$336,E337,$F$4:$F$336,F337,$G$4:$G$336,G337,$H$4:$H$336,H337,$B$4:$B$336,"DE CORTE")-SUMIFS($I$4:$I$336,$C$4:$C$336,C337,$D$4:$D$336,D337,$E$4:$E$336,E337,$F$4:$F$336,F337,$G$4:$G$336,G337,$H$4:$H$336,H337,$B$4:$B$336,"SALIDA"),SUMIFS($I$4:$I$336,$C$4:$C$336,C337,$D$4:$D$336,D337,$E$4:$E$336,E337,$G$4:$G$336,G337,$H$4:$H$336,H337,$B$4:$B$336,"INGRESO")+SUMIFS($I$4:$I$336,$C$4:$C$336,C337,$D$4:$D$336,D337,$E$4:$E$336,E337,$G$4:$G$336,G337,$H$4:$H$336,H337,$B$4:$B$336,"DE CORTE")-SUMIFS($I$4:$I$336,$C$4:$C$336,C337,$D$4:$D$336,D337,$E$4:$E$336,E337,$G$4:$G$336,G337,$H$4:$H$336,H337,$B$4:$B$336,"SALIDA"))),0)</f>
        <v>0</v>
      </c>
      <c r="M337" s="13">
        <f t="shared" si="2"/>
        <v>0</v>
      </c>
      <c r="N337" s="14"/>
      <c r="O337" s="14"/>
      <c r="P337" s="15"/>
      <c r="Q337" s="14"/>
    </row>
    <row r="338" ht="15.75" customHeight="1">
      <c r="A338" s="7"/>
      <c r="B338" s="8"/>
      <c r="C338" s="8"/>
      <c r="D338" s="8"/>
      <c r="E338" s="8"/>
      <c r="F338" s="14"/>
      <c r="G338" s="8"/>
      <c r="H338" s="8"/>
      <c r="I338" s="9"/>
      <c r="J338" s="12" t="str">
        <f t="array" ref="J338:K338">IFERROR(INDEX(PRECIOS_COMPLEMENTOS!$C$4:$F$17,MATCH(D338&amp;"_"&amp;E338,PRECIOS_COMPLEMENTOS!$H$4:$H$17,0),IF(OR(H338="S",H338="20cm"),1,IF(OR(H338="M",H338="25cm"),2,IF(OR(H338="L",H338="30cm"),3,IF(OR(H338="XL",H338="35cm"),4,0))))),0)</f>
        <v>#REF!</v>
      </c>
      <c r="K338" s="12">
        <f t="shared" si="1"/>
        <v>0</v>
      </c>
      <c r="L338" s="13">
        <f>IFERROR(IF(C338="",0,IF(D338="PRETINA",SUMIFS($I$4:$I$337,$C$4:$C$337,C338,$D$4:$D$337,D338,$E$4:$E$337,E338,$F$4:$F$337,F338,$G$4:$G$337,G338,$H$4:$H$337,H338,$B$4:$B$337,"INGRESO")+SUMIFS($I$4:$I$337,$C$4:$C$337,C338,$D$4:$D$337,D338,$E$4:$E$337,E338,$F$4:$F$337,F338,$G$4:$G$337,G338,$H$4:$H$337,H338,$B$4:$B$337,"DE CORTE")-SUMIFS($I$4:$I$337,$C$4:$C$337,C338,$D$4:$D$337,D338,$E$4:$E$337,E338,$F$4:$F$337,F338,$G$4:$G$337,G338,$H$4:$H$337,H338,$B$4:$B$337,"SALIDA"),SUMIFS($I$4:$I$337,$C$4:$C$337,C338,$D$4:$D$337,D338,$E$4:$E$337,E338,$G$4:$G$337,G338,$H$4:$H$337,H338,$B$4:$B$337,"INGRESO")+SUMIFS($I$4:$I$337,$C$4:$C$337,C338,$D$4:$D$337,D338,$E$4:$E$337,E338,$G$4:$G$337,G338,$H$4:$H$337,H338,$B$4:$B$337,"DE CORTE")-SUMIFS($I$4:$I$337,$C$4:$C$337,C338,$D$4:$D$337,D338,$E$4:$E$337,E338,$G$4:$G$337,G338,$H$4:$H$337,H338,$B$4:$B$337,"SALIDA"))),0)</f>
        <v>0</v>
      </c>
      <c r="M338" s="13">
        <f t="shared" si="2"/>
        <v>0</v>
      </c>
      <c r="N338" s="14"/>
      <c r="O338" s="14"/>
      <c r="P338" s="15"/>
      <c r="Q338" s="14"/>
    </row>
    <row r="339" ht="15.75" customHeight="1">
      <c r="A339" s="7"/>
      <c r="B339" s="8"/>
      <c r="C339" s="8"/>
      <c r="D339" s="8"/>
      <c r="E339" s="8"/>
      <c r="F339" s="14"/>
      <c r="G339" s="8"/>
      <c r="H339" s="8"/>
      <c r="I339" s="9"/>
      <c r="J339" s="12" t="str">
        <f t="array" ref="J339:K339">IFERROR(INDEX(PRECIOS_COMPLEMENTOS!$C$4:$F$17,MATCH(D339&amp;"_"&amp;E339,PRECIOS_COMPLEMENTOS!$H$4:$H$17,0),IF(OR(H339="S",H339="20cm"),1,IF(OR(H339="M",H339="25cm"),2,IF(OR(H339="L",H339="30cm"),3,IF(OR(H339="XL",H339="35cm"),4,0))))),0)</f>
        <v>#REF!</v>
      </c>
      <c r="K339" s="12">
        <f t="shared" si="1"/>
        <v>0</v>
      </c>
      <c r="L339" s="13">
        <f>IFERROR(IF(C339="",0,IF(D339="PRETINA",SUMIFS($I$4:$I$338,$C$4:$C$338,C339,$D$4:$D$338,D339,$E$4:$E$338,E339,$F$4:$F$338,F339,$G$4:$G$338,G339,$H$4:$H$338,H339,$B$4:$B$338,"INGRESO")+SUMIFS($I$4:$I$338,$C$4:$C$338,C339,$D$4:$D$338,D339,$E$4:$E$338,E339,$F$4:$F$338,F339,$G$4:$G$338,G339,$H$4:$H$338,H339,$B$4:$B$338,"DE CORTE")-SUMIFS($I$4:$I$338,$C$4:$C$338,C339,$D$4:$D$338,D339,$E$4:$E$338,E339,$F$4:$F$338,F339,$G$4:$G$338,G339,$H$4:$H$338,H339,$B$4:$B$338,"SALIDA"),SUMIFS($I$4:$I$338,$C$4:$C$338,C339,$D$4:$D$338,D339,$E$4:$E$338,E339,$G$4:$G$338,G339,$H$4:$H$338,H339,$B$4:$B$338,"INGRESO")+SUMIFS($I$4:$I$338,$C$4:$C$338,C339,$D$4:$D$338,D339,$E$4:$E$338,E339,$G$4:$G$338,G339,$H$4:$H$338,H339,$B$4:$B$338,"DE CORTE")-SUMIFS($I$4:$I$338,$C$4:$C$338,C339,$D$4:$D$338,D339,$E$4:$E$338,E339,$G$4:$G$338,G339,$H$4:$H$338,H339,$B$4:$B$338,"SALIDA"))),0)</f>
        <v>0</v>
      </c>
      <c r="M339" s="13">
        <f t="shared" si="2"/>
        <v>0</v>
      </c>
      <c r="N339" s="14"/>
      <c r="O339" s="14"/>
      <c r="P339" s="15"/>
      <c r="Q339" s="14"/>
    </row>
    <row r="340" ht="15.75" customHeight="1">
      <c r="A340" s="7"/>
      <c r="B340" s="8"/>
      <c r="C340" s="8"/>
      <c r="D340" s="8"/>
      <c r="E340" s="8"/>
      <c r="F340" s="14"/>
      <c r="G340" s="8"/>
      <c r="H340" s="8"/>
      <c r="I340" s="9"/>
      <c r="J340" s="12" t="str">
        <f t="array" ref="J340:K340">IFERROR(INDEX(PRECIOS_COMPLEMENTOS!$C$4:$F$17,MATCH(D340&amp;"_"&amp;E340,PRECIOS_COMPLEMENTOS!$H$4:$H$17,0),IF(OR(H340="S",H340="20cm"),1,IF(OR(H340="M",H340="25cm"),2,IF(OR(H340="L",H340="30cm"),3,IF(OR(H340="XL",H340="35cm"),4,0))))),0)</f>
        <v>#REF!</v>
      </c>
      <c r="K340" s="12">
        <f t="shared" si="1"/>
        <v>0</v>
      </c>
      <c r="L340" s="13">
        <f>IFERROR(IF(C340="",0,IF(D340="PRETINA",SUMIFS($I$4:$I$339,$C$4:$C$339,C340,$D$4:$D$339,D340,$E$4:$E$339,E340,$F$4:$F$339,F340,$G$4:$G$339,G340,$H$4:$H$339,H340,$B$4:$B$339,"INGRESO")+SUMIFS($I$4:$I$339,$C$4:$C$339,C340,$D$4:$D$339,D340,$E$4:$E$339,E340,$F$4:$F$339,F340,$G$4:$G$339,G340,$H$4:$H$339,H340,$B$4:$B$339,"DE CORTE")-SUMIFS($I$4:$I$339,$C$4:$C$339,C340,$D$4:$D$339,D340,$E$4:$E$339,E340,$F$4:$F$339,F340,$G$4:$G$339,G340,$H$4:$H$339,H340,$B$4:$B$339,"SALIDA"),SUMIFS($I$4:$I$339,$C$4:$C$339,C340,$D$4:$D$339,D340,$E$4:$E$339,E340,$G$4:$G$339,G340,$H$4:$H$339,H340,$B$4:$B$339,"INGRESO")+SUMIFS($I$4:$I$339,$C$4:$C$339,C340,$D$4:$D$339,D340,$E$4:$E$339,E340,$G$4:$G$339,G340,$H$4:$H$339,H340,$B$4:$B$339,"DE CORTE")-SUMIFS($I$4:$I$339,$C$4:$C$339,C340,$D$4:$D$339,D340,$E$4:$E$339,E340,$G$4:$G$339,G340,$H$4:$H$339,H340,$B$4:$B$339,"SALIDA"))),0)</f>
        <v>0</v>
      </c>
      <c r="M340" s="13">
        <f t="shared" si="2"/>
        <v>0</v>
      </c>
      <c r="N340" s="14"/>
      <c r="O340" s="14"/>
      <c r="P340" s="15"/>
      <c r="Q340" s="14"/>
    </row>
    <row r="341" ht="15.75" customHeight="1">
      <c r="A341" s="7"/>
      <c r="B341" s="8"/>
      <c r="C341" s="8"/>
      <c r="D341" s="8"/>
      <c r="E341" s="8"/>
      <c r="F341" s="14"/>
      <c r="G341" s="8"/>
      <c r="H341" s="8"/>
      <c r="I341" s="9"/>
      <c r="J341" s="12" t="str">
        <f t="array" ref="J341:K341">IFERROR(INDEX(PRECIOS_COMPLEMENTOS!$C$4:$F$17,MATCH(D341&amp;"_"&amp;E341,PRECIOS_COMPLEMENTOS!$H$4:$H$17,0),IF(OR(H341="S",H341="20cm"),1,IF(OR(H341="M",H341="25cm"),2,IF(OR(H341="L",H341="30cm"),3,IF(OR(H341="XL",H341="35cm"),4,0))))),0)</f>
        <v>#REF!</v>
      </c>
      <c r="K341" s="12">
        <f t="shared" si="1"/>
        <v>0</v>
      </c>
      <c r="L341" s="13">
        <f>IFERROR(IF(C341="",0,IF(D341="PRETINA",SUMIFS($I$4:$I$340,$C$4:$C$340,C341,$D$4:$D$340,D341,$E$4:$E$340,E341,$F$4:$F$340,F341,$G$4:$G$340,G341,$H$4:$H$340,H341,$B$4:$B$340,"INGRESO")+SUMIFS($I$4:$I$340,$C$4:$C$340,C341,$D$4:$D$340,D341,$E$4:$E$340,E341,$F$4:$F$340,F341,$G$4:$G$340,G341,$H$4:$H$340,H341,$B$4:$B$340,"DE CORTE")-SUMIFS($I$4:$I$340,$C$4:$C$340,C341,$D$4:$D$340,D341,$E$4:$E$340,E341,$F$4:$F$340,F341,$G$4:$G$340,G341,$H$4:$H$340,H341,$B$4:$B$340,"SALIDA"),SUMIFS($I$4:$I$340,$C$4:$C$340,C341,$D$4:$D$340,D341,$E$4:$E$340,E341,$G$4:$G$340,G341,$H$4:$H$340,H341,$B$4:$B$340,"INGRESO")+SUMIFS($I$4:$I$340,$C$4:$C$340,C341,$D$4:$D$340,D341,$E$4:$E$340,E341,$G$4:$G$340,G341,$H$4:$H$340,H341,$B$4:$B$340,"DE CORTE")-SUMIFS($I$4:$I$340,$C$4:$C$340,C341,$D$4:$D$340,D341,$E$4:$E$340,E341,$G$4:$G$340,G341,$H$4:$H$340,H341,$B$4:$B$340,"SALIDA"))),0)</f>
        <v>0</v>
      </c>
      <c r="M341" s="13">
        <f t="shared" si="2"/>
        <v>0</v>
      </c>
      <c r="N341" s="14"/>
      <c r="O341" s="14"/>
      <c r="P341" s="15"/>
      <c r="Q341" s="14"/>
    </row>
    <row r="342" ht="15.75" customHeight="1">
      <c r="A342" s="7"/>
      <c r="B342" s="8"/>
      <c r="C342" s="8"/>
      <c r="D342" s="8"/>
      <c r="E342" s="8"/>
      <c r="F342" s="14"/>
      <c r="G342" s="8"/>
      <c r="H342" s="8"/>
      <c r="I342" s="9"/>
      <c r="J342" s="12" t="str">
        <f t="array" ref="J342:K342">IFERROR(INDEX(PRECIOS_COMPLEMENTOS!$C$4:$F$17,MATCH(D342&amp;"_"&amp;E342,PRECIOS_COMPLEMENTOS!$H$4:$H$17,0),IF(OR(H342="S",H342="20cm"),1,IF(OR(H342="M",H342="25cm"),2,IF(OR(H342="L",H342="30cm"),3,IF(OR(H342="XL",H342="35cm"),4,0))))),0)</f>
        <v>#REF!</v>
      </c>
      <c r="K342" s="12">
        <f t="shared" si="1"/>
        <v>0</v>
      </c>
      <c r="L342" s="13">
        <f>IFERROR(IF(C342="",0,IF(D342="PRETINA",SUMIFS($I$4:$I$341,$C$4:$C$341,C342,$D$4:$D$341,D342,$E$4:$E$341,E342,$F$4:$F$341,F342,$G$4:$G$341,G342,$H$4:$H$341,H342,$B$4:$B$341,"INGRESO")+SUMIFS($I$4:$I$341,$C$4:$C$341,C342,$D$4:$D$341,D342,$E$4:$E$341,E342,$F$4:$F$341,F342,$G$4:$G$341,G342,$H$4:$H$341,H342,$B$4:$B$341,"DE CORTE")-SUMIFS($I$4:$I$341,$C$4:$C$341,C342,$D$4:$D$341,D342,$E$4:$E$341,E342,$F$4:$F$341,F342,$G$4:$G$341,G342,$H$4:$H$341,H342,$B$4:$B$341,"SALIDA"),SUMIFS($I$4:$I$341,$C$4:$C$341,C342,$D$4:$D$341,D342,$E$4:$E$341,E342,$G$4:$G$341,G342,$H$4:$H$341,H342,$B$4:$B$341,"INGRESO")+SUMIFS($I$4:$I$341,$C$4:$C$341,C342,$D$4:$D$341,D342,$E$4:$E$341,E342,$G$4:$G$341,G342,$H$4:$H$341,H342,$B$4:$B$341,"DE CORTE")-SUMIFS($I$4:$I$341,$C$4:$C$341,C342,$D$4:$D$341,D342,$E$4:$E$341,E342,$G$4:$G$341,G342,$H$4:$H$341,H342,$B$4:$B$341,"SALIDA"))),0)</f>
        <v>0</v>
      </c>
      <c r="M342" s="13">
        <f t="shared" si="2"/>
        <v>0</v>
      </c>
      <c r="N342" s="14"/>
      <c r="O342" s="14"/>
      <c r="P342" s="15"/>
      <c r="Q342" s="14"/>
    </row>
    <row r="343" ht="15.75" customHeight="1">
      <c r="A343" s="7"/>
      <c r="B343" s="8"/>
      <c r="C343" s="8"/>
      <c r="D343" s="8"/>
      <c r="E343" s="8"/>
      <c r="F343" s="14"/>
      <c r="G343" s="8"/>
      <c r="H343" s="8"/>
      <c r="I343" s="9"/>
      <c r="J343" s="12" t="str">
        <f t="array" ref="J343:K343">IFERROR(INDEX(PRECIOS_COMPLEMENTOS!$C$4:$F$17,MATCH(D343&amp;"_"&amp;E343,PRECIOS_COMPLEMENTOS!$H$4:$H$17,0),IF(OR(H343="S",H343="20cm"),1,IF(OR(H343="M",H343="25cm"),2,IF(OR(H343="L",H343="30cm"),3,IF(OR(H343="XL",H343="35cm"),4,0))))),0)</f>
        <v>#REF!</v>
      </c>
      <c r="K343" s="12">
        <f t="shared" si="1"/>
        <v>0</v>
      </c>
      <c r="L343" s="13">
        <f>IFERROR(IF(C343="",0,IF(D343="PRETINA",SUMIFS($I$4:$I$342,$C$4:$C$342,C343,$D$4:$D$342,D343,$E$4:$E$342,E343,$F$4:$F$342,F343,$G$4:$G$342,G343,$H$4:$H$342,H343,$B$4:$B$342,"INGRESO")+SUMIFS($I$4:$I$342,$C$4:$C$342,C343,$D$4:$D$342,D343,$E$4:$E$342,E343,$F$4:$F$342,F343,$G$4:$G$342,G343,$H$4:$H$342,H343,$B$4:$B$342,"DE CORTE")-SUMIFS($I$4:$I$342,$C$4:$C$342,C343,$D$4:$D$342,D343,$E$4:$E$342,E343,$F$4:$F$342,F343,$G$4:$G$342,G343,$H$4:$H$342,H343,$B$4:$B$342,"SALIDA"),SUMIFS($I$4:$I$342,$C$4:$C$342,C343,$D$4:$D$342,D343,$E$4:$E$342,E343,$G$4:$G$342,G343,$H$4:$H$342,H343,$B$4:$B$342,"INGRESO")+SUMIFS($I$4:$I$342,$C$4:$C$342,C343,$D$4:$D$342,D343,$E$4:$E$342,E343,$G$4:$G$342,G343,$H$4:$H$342,H343,$B$4:$B$342,"DE CORTE")-SUMIFS($I$4:$I$342,$C$4:$C$342,C343,$D$4:$D$342,D343,$E$4:$E$342,E343,$G$4:$G$342,G343,$H$4:$H$342,H343,$B$4:$B$342,"SALIDA"))),0)</f>
        <v>0</v>
      </c>
      <c r="M343" s="13">
        <f t="shared" si="2"/>
        <v>0</v>
      </c>
      <c r="N343" s="14"/>
      <c r="O343" s="14"/>
      <c r="P343" s="15"/>
      <c r="Q343" s="14"/>
    </row>
    <row r="344" ht="15.75" customHeight="1">
      <c r="A344" s="7"/>
      <c r="B344" s="8"/>
      <c r="C344" s="8"/>
      <c r="D344" s="8"/>
      <c r="E344" s="8"/>
      <c r="F344" s="14"/>
      <c r="G344" s="8"/>
      <c r="H344" s="8"/>
      <c r="I344" s="9"/>
      <c r="J344" s="12" t="str">
        <f t="array" ref="J344:K344">IFERROR(INDEX(PRECIOS_COMPLEMENTOS!$C$4:$F$17,MATCH(D344&amp;"_"&amp;E344,PRECIOS_COMPLEMENTOS!$H$4:$H$17,0),IF(OR(H344="S",H344="20cm"),1,IF(OR(H344="M",H344="25cm"),2,IF(OR(H344="L",H344="30cm"),3,IF(OR(H344="XL",H344="35cm"),4,0))))),0)</f>
        <v>#REF!</v>
      </c>
      <c r="K344" s="12">
        <f t="shared" si="1"/>
        <v>0</v>
      </c>
      <c r="L344" s="13">
        <f>IFERROR(IF(C344="",0,IF(D344="PRETINA",SUMIFS($I$4:$I$343,$C$4:$C$343,C344,$D$4:$D$343,D344,$E$4:$E$343,E344,$F$4:$F$343,F344,$G$4:$G$343,G344,$H$4:$H$343,H344,$B$4:$B$343,"INGRESO")+SUMIFS($I$4:$I$343,$C$4:$C$343,C344,$D$4:$D$343,D344,$E$4:$E$343,E344,$F$4:$F$343,F344,$G$4:$G$343,G344,$H$4:$H$343,H344,$B$4:$B$343,"DE CORTE")-SUMIFS($I$4:$I$343,$C$4:$C$343,C344,$D$4:$D$343,D344,$E$4:$E$343,E344,$F$4:$F$343,F344,$G$4:$G$343,G344,$H$4:$H$343,H344,$B$4:$B$343,"SALIDA"),SUMIFS($I$4:$I$343,$C$4:$C$343,C344,$D$4:$D$343,D344,$E$4:$E$343,E344,$G$4:$G$343,G344,$H$4:$H$343,H344,$B$4:$B$343,"INGRESO")+SUMIFS($I$4:$I$343,$C$4:$C$343,C344,$D$4:$D$343,D344,$E$4:$E$343,E344,$G$4:$G$343,G344,$H$4:$H$343,H344,$B$4:$B$343,"DE CORTE")-SUMIFS($I$4:$I$343,$C$4:$C$343,C344,$D$4:$D$343,D344,$E$4:$E$343,E344,$G$4:$G$343,G344,$H$4:$H$343,H344,$B$4:$B$343,"SALIDA"))),0)</f>
        <v>0</v>
      </c>
      <c r="M344" s="13">
        <f t="shared" si="2"/>
        <v>0</v>
      </c>
      <c r="N344" s="14"/>
      <c r="O344" s="14"/>
      <c r="P344" s="15"/>
      <c r="Q344" s="14"/>
    </row>
    <row r="345" ht="15.75" customHeight="1">
      <c r="A345" s="7"/>
      <c r="B345" s="8"/>
      <c r="C345" s="8"/>
      <c r="D345" s="8"/>
      <c r="E345" s="8"/>
      <c r="F345" s="14"/>
      <c r="G345" s="8"/>
      <c r="H345" s="8"/>
      <c r="I345" s="9"/>
      <c r="J345" s="12" t="str">
        <f t="array" ref="J345:K345">IFERROR(INDEX(PRECIOS_COMPLEMENTOS!$C$4:$F$17,MATCH(D345&amp;"_"&amp;E345,PRECIOS_COMPLEMENTOS!$H$4:$H$17,0),IF(OR(H345="S",H345="20cm"),1,IF(OR(H345="M",H345="25cm"),2,IF(OR(H345="L",H345="30cm"),3,IF(OR(H345="XL",H345="35cm"),4,0))))),0)</f>
        <v>#REF!</v>
      </c>
      <c r="K345" s="12">
        <f t="shared" si="1"/>
        <v>0</v>
      </c>
      <c r="L345" s="13">
        <f>IFERROR(IF(C345="",0,IF(D345="PRETINA",SUMIFS($I$4:$I$344,$C$4:$C$344,C345,$D$4:$D$344,D345,$E$4:$E$344,E345,$F$4:$F$344,F345,$G$4:$G$344,G345,$H$4:$H$344,H345,$B$4:$B$344,"INGRESO")+SUMIFS($I$4:$I$344,$C$4:$C$344,C345,$D$4:$D$344,D345,$E$4:$E$344,E345,$F$4:$F$344,F345,$G$4:$G$344,G345,$H$4:$H$344,H345,$B$4:$B$344,"DE CORTE")-SUMIFS($I$4:$I$344,$C$4:$C$344,C345,$D$4:$D$344,D345,$E$4:$E$344,E345,$F$4:$F$344,F345,$G$4:$G$344,G345,$H$4:$H$344,H345,$B$4:$B$344,"SALIDA"),SUMIFS($I$4:$I$344,$C$4:$C$344,C345,$D$4:$D$344,D345,$E$4:$E$344,E345,$G$4:$G$344,G345,$H$4:$H$344,H345,$B$4:$B$344,"INGRESO")+SUMIFS($I$4:$I$344,$C$4:$C$344,C345,$D$4:$D$344,D345,$E$4:$E$344,E345,$G$4:$G$344,G345,$H$4:$H$344,H345,$B$4:$B$344,"DE CORTE")-SUMIFS($I$4:$I$344,$C$4:$C$344,C345,$D$4:$D$344,D345,$E$4:$E$344,E345,$G$4:$G$344,G345,$H$4:$H$344,H345,$B$4:$B$344,"SALIDA"))),0)</f>
        <v>0</v>
      </c>
      <c r="M345" s="13">
        <f t="shared" si="2"/>
        <v>0</v>
      </c>
      <c r="N345" s="14"/>
      <c r="O345" s="14"/>
      <c r="P345" s="15"/>
      <c r="Q345" s="14"/>
    </row>
    <row r="346" ht="15.75" customHeight="1">
      <c r="A346" s="7"/>
      <c r="B346" s="8"/>
      <c r="C346" s="8"/>
      <c r="D346" s="8"/>
      <c r="E346" s="8"/>
      <c r="F346" s="14"/>
      <c r="G346" s="8"/>
      <c r="H346" s="8"/>
      <c r="I346" s="9"/>
      <c r="J346" s="12" t="str">
        <f t="array" ref="J346:K346">IFERROR(INDEX(PRECIOS_COMPLEMENTOS!$C$4:$F$17,MATCH(D346&amp;"_"&amp;E346,PRECIOS_COMPLEMENTOS!$H$4:$H$17,0),IF(OR(H346="S",H346="20cm"),1,IF(OR(H346="M",H346="25cm"),2,IF(OR(H346="L",H346="30cm"),3,IF(OR(H346="XL",H346="35cm"),4,0))))),0)</f>
        <v>#REF!</v>
      </c>
      <c r="K346" s="12">
        <f t="shared" si="1"/>
        <v>0</v>
      </c>
      <c r="L346" s="13">
        <f>IFERROR(IF(C346="",0,IF(D346="PRETINA",SUMIFS($I$4:$I$345,$C$4:$C$345,C346,$D$4:$D$345,D346,$E$4:$E$345,E346,$F$4:$F$345,F346,$G$4:$G$345,G346,$H$4:$H$345,H346,$B$4:$B$345,"INGRESO")+SUMIFS($I$4:$I$345,$C$4:$C$345,C346,$D$4:$D$345,D346,$E$4:$E$345,E346,$F$4:$F$345,F346,$G$4:$G$345,G346,$H$4:$H$345,H346,$B$4:$B$345,"DE CORTE")-SUMIFS($I$4:$I$345,$C$4:$C$345,C346,$D$4:$D$345,D346,$E$4:$E$345,E346,$F$4:$F$345,F346,$G$4:$G$345,G346,$H$4:$H$345,H346,$B$4:$B$345,"SALIDA"),SUMIFS($I$4:$I$345,$C$4:$C$345,C346,$D$4:$D$345,D346,$E$4:$E$345,E346,$G$4:$G$345,G346,$H$4:$H$345,H346,$B$4:$B$345,"INGRESO")+SUMIFS($I$4:$I$345,$C$4:$C$345,C346,$D$4:$D$345,D346,$E$4:$E$345,E346,$G$4:$G$345,G346,$H$4:$H$345,H346,$B$4:$B$345,"DE CORTE")-SUMIFS($I$4:$I$345,$C$4:$C$345,C346,$D$4:$D$345,D346,$E$4:$E$345,E346,$G$4:$G$345,G346,$H$4:$H$345,H346,$B$4:$B$345,"SALIDA"))),0)</f>
        <v>0</v>
      </c>
      <c r="M346" s="13">
        <f t="shared" si="2"/>
        <v>0</v>
      </c>
      <c r="N346" s="14"/>
      <c r="O346" s="14"/>
      <c r="P346" s="15"/>
      <c r="Q346" s="14"/>
    </row>
    <row r="347" ht="15.75" customHeight="1">
      <c r="A347" s="7"/>
      <c r="B347" s="8"/>
      <c r="C347" s="8"/>
      <c r="D347" s="8"/>
      <c r="E347" s="8"/>
      <c r="F347" s="14"/>
      <c r="G347" s="8"/>
      <c r="H347" s="8"/>
      <c r="I347" s="9"/>
      <c r="J347" s="12" t="str">
        <f t="array" ref="J347:K347">IFERROR(INDEX(PRECIOS_COMPLEMENTOS!$C$4:$F$17,MATCH(D347&amp;"_"&amp;E347,PRECIOS_COMPLEMENTOS!$H$4:$H$17,0),IF(OR(H347="S",H347="20cm"),1,IF(OR(H347="M",H347="25cm"),2,IF(OR(H347="L",H347="30cm"),3,IF(OR(H347="XL",H347="35cm"),4,0))))),0)</f>
        <v>#REF!</v>
      </c>
      <c r="K347" s="12">
        <f t="shared" si="1"/>
        <v>0</v>
      </c>
      <c r="L347" s="13">
        <f>IFERROR(IF(C347="",0,IF(D347="PRETINA",SUMIFS($I$4:$I$346,$C$4:$C$346,C347,$D$4:$D$346,D347,$E$4:$E$346,E347,$F$4:$F$346,F347,$G$4:$G$346,G347,$H$4:$H$346,H347,$B$4:$B$346,"INGRESO")+SUMIFS($I$4:$I$346,$C$4:$C$346,C347,$D$4:$D$346,D347,$E$4:$E$346,E347,$F$4:$F$346,F347,$G$4:$G$346,G347,$H$4:$H$346,H347,$B$4:$B$346,"DE CORTE")-SUMIFS($I$4:$I$346,$C$4:$C$346,C347,$D$4:$D$346,D347,$E$4:$E$346,E347,$F$4:$F$346,F347,$G$4:$G$346,G347,$H$4:$H$346,H347,$B$4:$B$346,"SALIDA"),SUMIFS($I$4:$I$346,$C$4:$C$346,C347,$D$4:$D$346,D347,$E$4:$E$346,E347,$G$4:$G$346,G347,$H$4:$H$346,H347,$B$4:$B$346,"INGRESO")+SUMIFS($I$4:$I$346,$C$4:$C$346,C347,$D$4:$D$346,D347,$E$4:$E$346,E347,$G$4:$G$346,G347,$H$4:$H$346,H347,$B$4:$B$346,"DE CORTE")-SUMIFS($I$4:$I$346,$C$4:$C$346,C347,$D$4:$D$346,D347,$E$4:$E$346,E347,$G$4:$G$346,G347,$H$4:$H$346,H347,$B$4:$B$346,"SALIDA"))),0)</f>
        <v>0</v>
      </c>
      <c r="M347" s="13">
        <f t="shared" si="2"/>
        <v>0</v>
      </c>
      <c r="N347" s="14"/>
      <c r="O347" s="14"/>
      <c r="P347" s="15"/>
      <c r="Q347" s="14"/>
    </row>
    <row r="348" ht="15.75" customHeight="1">
      <c r="A348" s="7"/>
      <c r="B348" s="8"/>
      <c r="C348" s="8"/>
      <c r="D348" s="8"/>
      <c r="E348" s="8"/>
      <c r="F348" s="14"/>
      <c r="G348" s="8"/>
      <c r="H348" s="8"/>
      <c r="I348" s="9"/>
      <c r="J348" s="12" t="str">
        <f t="array" ref="J348:K348">IFERROR(INDEX(PRECIOS_COMPLEMENTOS!$C$4:$F$17,MATCH(D348&amp;"_"&amp;E348,PRECIOS_COMPLEMENTOS!$H$4:$H$17,0),IF(OR(H348="S",H348="20cm"),1,IF(OR(H348="M",H348="25cm"),2,IF(OR(H348="L",H348="30cm"),3,IF(OR(H348="XL",H348="35cm"),4,0))))),0)</f>
        <v>#REF!</v>
      </c>
      <c r="K348" s="12">
        <f t="shared" si="1"/>
        <v>0</v>
      </c>
      <c r="L348" s="13">
        <f>IFERROR(IF(C348="",0,IF(D348="PRETINA",SUMIFS($I$4:$I$347,$C$4:$C$347,C348,$D$4:$D$347,D348,$E$4:$E$347,E348,$F$4:$F$347,F348,$G$4:$G$347,G348,$H$4:$H$347,H348,$B$4:$B$347,"INGRESO")+SUMIFS($I$4:$I$347,$C$4:$C$347,C348,$D$4:$D$347,D348,$E$4:$E$347,E348,$F$4:$F$347,F348,$G$4:$G$347,G348,$H$4:$H$347,H348,$B$4:$B$347,"DE CORTE")-SUMIFS($I$4:$I$347,$C$4:$C$347,C348,$D$4:$D$347,D348,$E$4:$E$347,E348,$F$4:$F$347,F348,$G$4:$G$347,G348,$H$4:$H$347,H348,$B$4:$B$347,"SALIDA"),SUMIFS($I$4:$I$347,$C$4:$C$347,C348,$D$4:$D$347,D348,$E$4:$E$347,E348,$G$4:$G$347,G348,$H$4:$H$347,H348,$B$4:$B$347,"INGRESO")+SUMIFS($I$4:$I$347,$C$4:$C$347,C348,$D$4:$D$347,D348,$E$4:$E$347,E348,$G$4:$G$347,G348,$H$4:$H$347,H348,$B$4:$B$347,"DE CORTE")-SUMIFS($I$4:$I$347,$C$4:$C$347,C348,$D$4:$D$347,D348,$E$4:$E$347,E348,$G$4:$G$347,G348,$H$4:$H$347,H348,$B$4:$B$347,"SALIDA"))),0)</f>
        <v>0</v>
      </c>
      <c r="M348" s="13">
        <f t="shared" si="2"/>
        <v>0</v>
      </c>
      <c r="N348" s="14"/>
      <c r="O348" s="14"/>
      <c r="P348" s="15"/>
      <c r="Q348" s="14"/>
    </row>
    <row r="349" ht="15.75" customHeight="1">
      <c r="A349" s="7"/>
      <c r="B349" s="8"/>
      <c r="C349" s="8"/>
      <c r="D349" s="8"/>
      <c r="E349" s="8"/>
      <c r="F349" s="14"/>
      <c r="G349" s="8"/>
      <c r="H349" s="8"/>
      <c r="I349" s="9"/>
      <c r="J349" s="12" t="str">
        <f t="array" ref="J349:K349">IFERROR(INDEX(PRECIOS_COMPLEMENTOS!$C$4:$F$17,MATCH(D349&amp;"_"&amp;E349,PRECIOS_COMPLEMENTOS!$H$4:$H$17,0),IF(OR(H349="S",H349="20cm"),1,IF(OR(H349="M",H349="25cm"),2,IF(OR(H349="L",H349="30cm"),3,IF(OR(H349="XL",H349="35cm"),4,0))))),0)</f>
        <v>#REF!</v>
      </c>
      <c r="K349" s="12">
        <f t="shared" si="1"/>
        <v>0</v>
      </c>
      <c r="L349" s="13">
        <f>IFERROR(IF(C349="",0,IF(D349="PRETINA",SUMIFS($I$4:$I$348,$C$4:$C$348,C349,$D$4:$D$348,D349,$E$4:$E$348,E349,$F$4:$F$348,F349,$G$4:$G$348,G349,$H$4:$H$348,H349,$B$4:$B$348,"INGRESO")+SUMIFS($I$4:$I$348,$C$4:$C$348,C349,$D$4:$D$348,D349,$E$4:$E$348,E349,$F$4:$F$348,F349,$G$4:$G$348,G349,$H$4:$H$348,H349,$B$4:$B$348,"DE CORTE")-SUMIFS($I$4:$I$348,$C$4:$C$348,C349,$D$4:$D$348,D349,$E$4:$E$348,E349,$F$4:$F$348,F349,$G$4:$G$348,G349,$H$4:$H$348,H349,$B$4:$B$348,"SALIDA"),SUMIFS($I$4:$I$348,$C$4:$C$348,C349,$D$4:$D$348,D349,$E$4:$E$348,E349,$G$4:$G$348,G349,$H$4:$H$348,H349,$B$4:$B$348,"INGRESO")+SUMIFS($I$4:$I$348,$C$4:$C$348,C349,$D$4:$D$348,D349,$E$4:$E$348,E349,$G$4:$G$348,G349,$H$4:$H$348,H349,$B$4:$B$348,"DE CORTE")-SUMIFS($I$4:$I$348,$C$4:$C$348,C349,$D$4:$D$348,D349,$E$4:$E$348,E349,$G$4:$G$348,G349,$H$4:$H$348,H349,$B$4:$B$348,"SALIDA"))),0)</f>
        <v>0</v>
      </c>
      <c r="M349" s="13">
        <f t="shared" si="2"/>
        <v>0</v>
      </c>
      <c r="N349" s="14"/>
      <c r="O349" s="14"/>
      <c r="P349" s="15"/>
      <c r="Q349" s="14"/>
    </row>
    <row r="350" ht="15.75" customHeight="1">
      <c r="A350" s="7"/>
      <c r="B350" s="8"/>
      <c r="C350" s="8"/>
      <c r="D350" s="8"/>
      <c r="E350" s="8"/>
      <c r="F350" s="14"/>
      <c r="G350" s="8"/>
      <c r="H350" s="8"/>
      <c r="I350" s="9"/>
      <c r="J350" s="12" t="str">
        <f t="array" ref="J350:K350">IFERROR(INDEX(PRECIOS_COMPLEMENTOS!$C$4:$F$17,MATCH(D350&amp;"_"&amp;E350,PRECIOS_COMPLEMENTOS!$H$4:$H$17,0),IF(OR(H350="S",H350="20cm"),1,IF(OR(H350="M",H350="25cm"),2,IF(OR(H350="L",H350="30cm"),3,IF(OR(H350="XL",H350="35cm"),4,0))))),0)</f>
        <v>#REF!</v>
      </c>
      <c r="K350" s="12">
        <f t="shared" si="1"/>
        <v>0</v>
      </c>
      <c r="L350" s="13">
        <f>IFERROR(IF(C350="",0,IF(D350="PRETINA",SUMIFS($I$4:$I$349,$C$4:$C$349,C350,$D$4:$D$349,D350,$E$4:$E$349,E350,$F$4:$F$349,F350,$G$4:$G$349,G350,$H$4:$H$349,H350,$B$4:$B$349,"INGRESO")+SUMIFS($I$4:$I$349,$C$4:$C$349,C350,$D$4:$D$349,D350,$E$4:$E$349,E350,$F$4:$F$349,F350,$G$4:$G$349,G350,$H$4:$H$349,H350,$B$4:$B$349,"DE CORTE")-SUMIFS($I$4:$I$349,$C$4:$C$349,C350,$D$4:$D$349,D350,$E$4:$E$349,E350,$F$4:$F$349,F350,$G$4:$G$349,G350,$H$4:$H$349,H350,$B$4:$B$349,"SALIDA"),SUMIFS($I$4:$I$349,$C$4:$C$349,C350,$D$4:$D$349,D350,$E$4:$E$349,E350,$G$4:$G$349,G350,$H$4:$H$349,H350,$B$4:$B$349,"INGRESO")+SUMIFS($I$4:$I$349,$C$4:$C$349,C350,$D$4:$D$349,D350,$E$4:$E$349,E350,$G$4:$G$349,G350,$H$4:$H$349,H350,$B$4:$B$349,"DE CORTE")-SUMIFS($I$4:$I$349,$C$4:$C$349,C350,$D$4:$D$349,D350,$E$4:$E$349,E350,$G$4:$G$349,G350,$H$4:$H$349,H350,$B$4:$B$349,"SALIDA"))),0)</f>
        <v>0</v>
      </c>
      <c r="M350" s="13">
        <f t="shared" si="2"/>
        <v>0</v>
      </c>
      <c r="N350" s="14"/>
      <c r="O350" s="14"/>
      <c r="P350" s="15"/>
      <c r="Q350" s="14"/>
    </row>
    <row r="351" ht="15.75" customHeight="1">
      <c r="A351" s="7"/>
      <c r="B351" s="8"/>
      <c r="C351" s="8"/>
      <c r="D351" s="8"/>
      <c r="E351" s="8"/>
      <c r="F351" s="14"/>
      <c r="G351" s="8"/>
      <c r="H351" s="8"/>
      <c r="I351" s="9"/>
      <c r="J351" s="12" t="str">
        <f t="array" ref="J351:K351">IFERROR(INDEX(PRECIOS_COMPLEMENTOS!$C$4:$F$17,MATCH(D351&amp;"_"&amp;E351,PRECIOS_COMPLEMENTOS!$H$4:$H$17,0),IF(OR(H351="S",H351="20cm"),1,IF(OR(H351="M",H351="25cm"),2,IF(OR(H351="L",H351="30cm"),3,IF(OR(H351="XL",H351="35cm"),4,0))))),0)</f>
        <v>#REF!</v>
      </c>
      <c r="K351" s="12">
        <f t="shared" si="1"/>
        <v>0</v>
      </c>
      <c r="L351" s="13">
        <f>IFERROR(IF(C351="",0,IF(D351="PRETINA",SUMIFS($I$4:$I$350,$C$4:$C$350,C351,$D$4:$D$350,D351,$E$4:$E$350,E351,$F$4:$F$350,F351,$G$4:$G$350,G351,$H$4:$H$350,H351,$B$4:$B$350,"INGRESO")+SUMIFS($I$4:$I$350,$C$4:$C$350,C351,$D$4:$D$350,D351,$E$4:$E$350,E351,$F$4:$F$350,F351,$G$4:$G$350,G351,$H$4:$H$350,H351,$B$4:$B$350,"DE CORTE")-SUMIFS($I$4:$I$350,$C$4:$C$350,C351,$D$4:$D$350,D351,$E$4:$E$350,E351,$F$4:$F$350,F351,$G$4:$G$350,G351,$H$4:$H$350,H351,$B$4:$B$350,"SALIDA"),SUMIFS($I$4:$I$350,$C$4:$C$350,C351,$D$4:$D$350,D351,$E$4:$E$350,E351,$G$4:$G$350,G351,$H$4:$H$350,H351,$B$4:$B$350,"INGRESO")+SUMIFS($I$4:$I$350,$C$4:$C$350,C351,$D$4:$D$350,D351,$E$4:$E$350,E351,$G$4:$G$350,G351,$H$4:$H$350,H351,$B$4:$B$350,"DE CORTE")-SUMIFS($I$4:$I$350,$C$4:$C$350,C351,$D$4:$D$350,D351,$E$4:$E$350,E351,$G$4:$G$350,G351,$H$4:$H$350,H351,$B$4:$B$350,"SALIDA"))),0)</f>
        <v>0</v>
      </c>
      <c r="M351" s="13">
        <f t="shared" si="2"/>
        <v>0</v>
      </c>
      <c r="N351" s="14"/>
      <c r="O351" s="14"/>
      <c r="P351" s="15"/>
      <c r="Q351" s="14"/>
    </row>
    <row r="352" ht="15.75" customHeight="1">
      <c r="A352" s="7"/>
      <c r="B352" s="8"/>
      <c r="C352" s="8"/>
      <c r="D352" s="8"/>
      <c r="E352" s="8"/>
      <c r="F352" s="14"/>
      <c r="G352" s="8"/>
      <c r="H352" s="8"/>
      <c r="I352" s="9"/>
      <c r="J352" s="12" t="str">
        <f t="array" ref="J352:K352">IFERROR(INDEX(PRECIOS_COMPLEMENTOS!$C$4:$F$17,MATCH(D352&amp;"_"&amp;E352,PRECIOS_COMPLEMENTOS!$H$4:$H$17,0),IF(OR(H352="S",H352="20cm"),1,IF(OR(H352="M",H352="25cm"),2,IF(OR(H352="L",H352="30cm"),3,IF(OR(H352="XL",H352="35cm"),4,0))))),0)</f>
        <v>#REF!</v>
      </c>
      <c r="K352" s="12">
        <f t="shared" si="1"/>
        <v>0</v>
      </c>
      <c r="L352" s="13">
        <f>IFERROR(IF(C352="",0,IF(D352="PRETINA",SUMIFS($I$4:$I$351,$C$4:$C$351,C352,$D$4:$D$351,D352,$E$4:$E$351,E352,$F$4:$F$351,F352,$G$4:$G$351,G352,$H$4:$H$351,H352,$B$4:$B$351,"INGRESO")+SUMIFS($I$4:$I$351,$C$4:$C$351,C352,$D$4:$D$351,D352,$E$4:$E$351,E352,$F$4:$F$351,F352,$G$4:$G$351,G352,$H$4:$H$351,H352,$B$4:$B$351,"DE CORTE")-SUMIFS($I$4:$I$351,$C$4:$C$351,C352,$D$4:$D$351,D352,$E$4:$E$351,E352,$F$4:$F$351,F352,$G$4:$G$351,G352,$H$4:$H$351,H352,$B$4:$B$351,"SALIDA"),SUMIFS($I$4:$I$351,$C$4:$C$351,C352,$D$4:$D$351,D352,$E$4:$E$351,E352,$G$4:$G$351,G352,$H$4:$H$351,H352,$B$4:$B$351,"INGRESO")+SUMIFS($I$4:$I$351,$C$4:$C$351,C352,$D$4:$D$351,D352,$E$4:$E$351,E352,$G$4:$G$351,G352,$H$4:$H$351,H352,$B$4:$B$351,"DE CORTE")-SUMIFS($I$4:$I$351,$C$4:$C$351,C352,$D$4:$D$351,D352,$E$4:$E$351,E352,$G$4:$G$351,G352,$H$4:$H$351,H352,$B$4:$B$351,"SALIDA"))),0)</f>
        <v>0</v>
      </c>
      <c r="M352" s="13">
        <f t="shared" si="2"/>
        <v>0</v>
      </c>
      <c r="N352" s="14"/>
      <c r="O352" s="14"/>
      <c r="P352" s="15"/>
      <c r="Q352" s="14"/>
    </row>
    <row r="353" ht="15.75" customHeight="1">
      <c r="A353" s="7"/>
      <c r="B353" s="8"/>
      <c r="C353" s="8"/>
      <c r="D353" s="8"/>
      <c r="E353" s="8"/>
      <c r="F353" s="14"/>
      <c r="G353" s="8"/>
      <c r="H353" s="8"/>
      <c r="I353" s="9"/>
      <c r="J353" s="12" t="str">
        <f t="array" ref="J353:K353">IFERROR(INDEX(PRECIOS_COMPLEMENTOS!$C$4:$F$17,MATCH(D353&amp;"_"&amp;E353,PRECIOS_COMPLEMENTOS!$H$4:$H$17,0),IF(OR(H353="S",H353="20cm"),1,IF(OR(H353="M",H353="25cm"),2,IF(OR(H353="L",H353="30cm"),3,IF(OR(H353="XL",H353="35cm"),4,0))))),0)</f>
        <v>#REF!</v>
      </c>
      <c r="K353" s="12">
        <f t="shared" si="1"/>
        <v>0</v>
      </c>
      <c r="L353" s="13">
        <f>IFERROR(IF(C353="",0,IF(D353="PRETINA",SUMIFS($I$4:$I$352,$C$4:$C$352,C353,$D$4:$D$352,D353,$E$4:$E$352,E353,$F$4:$F$352,F353,$G$4:$G$352,G353,$H$4:$H$352,H353,$B$4:$B$352,"INGRESO")+SUMIFS($I$4:$I$352,$C$4:$C$352,C353,$D$4:$D$352,D353,$E$4:$E$352,E353,$F$4:$F$352,F353,$G$4:$G$352,G353,$H$4:$H$352,H353,$B$4:$B$352,"DE CORTE")-SUMIFS($I$4:$I$352,$C$4:$C$352,C353,$D$4:$D$352,D353,$E$4:$E$352,E353,$F$4:$F$352,F353,$G$4:$G$352,G353,$H$4:$H$352,H353,$B$4:$B$352,"SALIDA"),SUMIFS($I$4:$I$352,$C$4:$C$352,C353,$D$4:$D$352,D353,$E$4:$E$352,E353,$G$4:$G$352,G353,$H$4:$H$352,H353,$B$4:$B$352,"INGRESO")+SUMIFS($I$4:$I$352,$C$4:$C$352,C353,$D$4:$D$352,D353,$E$4:$E$352,E353,$G$4:$G$352,G353,$H$4:$H$352,H353,$B$4:$B$352,"DE CORTE")-SUMIFS($I$4:$I$352,$C$4:$C$352,C353,$D$4:$D$352,D353,$E$4:$E$352,E353,$G$4:$G$352,G353,$H$4:$H$352,H353,$B$4:$B$352,"SALIDA"))),0)</f>
        <v>0</v>
      </c>
      <c r="M353" s="13">
        <f t="shared" si="2"/>
        <v>0</v>
      </c>
      <c r="N353" s="14"/>
      <c r="O353" s="14"/>
      <c r="P353" s="15"/>
      <c r="Q353" s="14"/>
    </row>
    <row r="354" ht="15.75" customHeight="1">
      <c r="A354" s="7"/>
      <c r="B354" s="8"/>
      <c r="C354" s="8"/>
      <c r="D354" s="8"/>
      <c r="E354" s="8"/>
      <c r="F354" s="14"/>
      <c r="G354" s="8"/>
      <c r="H354" s="8"/>
      <c r="I354" s="9"/>
      <c r="J354" s="12" t="str">
        <f t="array" ref="J354:K354">IFERROR(INDEX(PRECIOS_COMPLEMENTOS!$C$4:$F$17,MATCH(D354&amp;"_"&amp;E354,PRECIOS_COMPLEMENTOS!$H$4:$H$17,0),IF(OR(H354="S",H354="20cm"),1,IF(OR(H354="M",H354="25cm"),2,IF(OR(H354="L",H354="30cm"),3,IF(OR(H354="XL",H354="35cm"),4,0))))),0)</f>
        <v>#REF!</v>
      </c>
      <c r="K354" s="12">
        <f t="shared" si="1"/>
        <v>0</v>
      </c>
      <c r="L354" s="13">
        <f>IFERROR(IF(C354="",0,IF(D354="PRETINA",SUMIFS($I$4:$I$353,$C$4:$C$353,C354,$D$4:$D$353,D354,$E$4:$E$353,E354,$F$4:$F$353,F354,$G$4:$G$353,G354,$H$4:$H$353,H354,$B$4:$B$353,"INGRESO")+SUMIFS($I$4:$I$353,$C$4:$C$353,C354,$D$4:$D$353,D354,$E$4:$E$353,E354,$F$4:$F$353,F354,$G$4:$G$353,G354,$H$4:$H$353,H354,$B$4:$B$353,"DE CORTE")-SUMIFS($I$4:$I$353,$C$4:$C$353,C354,$D$4:$D$353,D354,$E$4:$E$353,E354,$F$4:$F$353,F354,$G$4:$G$353,G354,$H$4:$H$353,H354,$B$4:$B$353,"SALIDA"),SUMIFS($I$4:$I$353,$C$4:$C$353,C354,$D$4:$D$353,D354,$E$4:$E$353,E354,$G$4:$G$353,G354,$H$4:$H$353,H354,$B$4:$B$353,"INGRESO")+SUMIFS($I$4:$I$353,$C$4:$C$353,C354,$D$4:$D$353,D354,$E$4:$E$353,E354,$G$4:$G$353,G354,$H$4:$H$353,H354,$B$4:$B$353,"DE CORTE")-SUMIFS($I$4:$I$353,$C$4:$C$353,C354,$D$4:$D$353,D354,$E$4:$E$353,E354,$G$4:$G$353,G354,$H$4:$H$353,H354,$B$4:$B$353,"SALIDA"))),0)</f>
        <v>0</v>
      </c>
      <c r="M354" s="13">
        <f t="shared" si="2"/>
        <v>0</v>
      </c>
      <c r="N354" s="14"/>
      <c r="O354" s="14"/>
      <c r="P354" s="15"/>
      <c r="Q354" s="14"/>
    </row>
    <row r="355" ht="15.75" customHeight="1">
      <c r="A355" s="7"/>
      <c r="B355" s="8"/>
      <c r="C355" s="8"/>
      <c r="D355" s="8"/>
      <c r="E355" s="8"/>
      <c r="F355" s="14"/>
      <c r="G355" s="8"/>
      <c r="H355" s="8"/>
      <c r="I355" s="9"/>
      <c r="J355" s="12" t="str">
        <f t="array" ref="J355:K355">IFERROR(INDEX(PRECIOS_COMPLEMENTOS!$C$4:$F$17,MATCH(D355&amp;"_"&amp;E355,PRECIOS_COMPLEMENTOS!$H$4:$H$17,0),IF(OR(H355="S",H355="20cm"),1,IF(OR(H355="M",H355="25cm"),2,IF(OR(H355="L",H355="30cm"),3,IF(OR(H355="XL",H355="35cm"),4,0))))),0)</f>
        <v>#REF!</v>
      </c>
      <c r="K355" s="12">
        <f t="shared" si="1"/>
        <v>0</v>
      </c>
      <c r="L355" s="13">
        <f>IFERROR(IF(C355="",0,IF(D355="PRETINA",SUMIFS($I$4:$I$354,$C$4:$C$354,C355,$D$4:$D$354,D355,$E$4:$E$354,E355,$F$4:$F$354,F355,$G$4:$G$354,G355,$H$4:$H$354,H355,$B$4:$B$354,"INGRESO")+SUMIFS($I$4:$I$354,$C$4:$C$354,C355,$D$4:$D$354,D355,$E$4:$E$354,E355,$F$4:$F$354,F355,$G$4:$G$354,G355,$H$4:$H$354,H355,$B$4:$B$354,"DE CORTE")-SUMIFS($I$4:$I$354,$C$4:$C$354,C355,$D$4:$D$354,D355,$E$4:$E$354,E355,$F$4:$F$354,F355,$G$4:$G$354,G355,$H$4:$H$354,H355,$B$4:$B$354,"SALIDA"),SUMIFS($I$4:$I$354,$C$4:$C$354,C355,$D$4:$D$354,D355,$E$4:$E$354,E355,$G$4:$G$354,G355,$H$4:$H$354,H355,$B$4:$B$354,"INGRESO")+SUMIFS($I$4:$I$354,$C$4:$C$354,C355,$D$4:$D$354,D355,$E$4:$E$354,E355,$G$4:$G$354,G355,$H$4:$H$354,H355,$B$4:$B$354,"DE CORTE")-SUMIFS($I$4:$I$354,$C$4:$C$354,C355,$D$4:$D$354,D355,$E$4:$E$354,E355,$G$4:$G$354,G355,$H$4:$H$354,H355,$B$4:$B$354,"SALIDA"))),0)</f>
        <v>0</v>
      </c>
      <c r="M355" s="13">
        <f t="shared" si="2"/>
        <v>0</v>
      </c>
      <c r="N355" s="14"/>
      <c r="O355" s="14"/>
      <c r="P355" s="15"/>
      <c r="Q355" s="14"/>
    </row>
    <row r="356" ht="15.75" customHeight="1">
      <c r="A356" s="7"/>
      <c r="B356" s="8"/>
      <c r="C356" s="8"/>
      <c r="D356" s="8"/>
      <c r="E356" s="8"/>
      <c r="F356" s="14"/>
      <c r="G356" s="8"/>
      <c r="H356" s="8"/>
      <c r="I356" s="9"/>
      <c r="J356" s="12" t="str">
        <f t="array" ref="J356:K356">IFERROR(INDEX(PRECIOS_COMPLEMENTOS!$C$4:$F$17,MATCH(D356&amp;"_"&amp;E356,PRECIOS_COMPLEMENTOS!$H$4:$H$17,0),IF(OR(H356="S",H356="20cm"),1,IF(OR(H356="M",H356="25cm"),2,IF(OR(H356="L",H356="30cm"),3,IF(OR(H356="XL",H356="35cm"),4,0))))),0)</f>
        <v>#REF!</v>
      </c>
      <c r="K356" s="12">
        <f t="shared" si="1"/>
        <v>0</v>
      </c>
      <c r="L356" s="13">
        <f>IFERROR(IF(C356="",0,IF(D356="PRETINA",SUMIFS($I$4:$I$355,$C$4:$C$355,C356,$D$4:$D$355,D356,$E$4:$E$355,E356,$F$4:$F$355,F356,$G$4:$G$355,G356,$H$4:$H$355,H356,$B$4:$B$355,"INGRESO")+SUMIFS($I$4:$I$355,$C$4:$C$355,C356,$D$4:$D$355,D356,$E$4:$E$355,E356,$F$4:$F$355,F356,$G$4:$G$355,G356,$H$4:$H$355,H356,$B$4:$B$355,"DE CORTE")-SUMIFS($I$4:$I$355,$C$4:$C$355,C356,$D$4:$D$355,D356,$E$4:$E$355,E356,$F$4:$F$355,F356,$G$4:$G$355,G356,$H$4:$H$355,H356,$B$4:$B$355,"SALIDA"),SUMIFS($I$4:$I$355,$C$4:$C$355,C356,$D$4:$D$355,D356,$E$4:$E$355,E356,$G$4:$G$355,G356,$H$4:$H$355,H356,$B$4:$B$355,"INGRESO")+SUMIFS($I$4:$I$355,$C$4:$C$355,C356,$D$4:$D$355,D356,$E$4:$E$355,E356,$G$4:$G$355,G356,$H$4:$H$355,H356,$B$4:$B$355,"DE CORTE")-SUMIFS($I$4:$I$355,$C$4:$C$355,C356,$D$4:$D$355,D356,$E$4:$E$355,E356,$G$4:$G$355,G356,$H$4:$H$355,H356,$B$4:$B$355,"SALIDA"))),0)</f>
        <v>0</v>
      </c>
      <c r="M356" s="13">
        <f t="shared" si="2"/>
        <v>0</v>
      </c>
      <c r="N356" s="14"/>
      <c r="O356" s="14"/>
      <c r="P356" s="15"/>
      <c r="Q356" s="14"/>
    </row>
    <row r="357" ht="15.75" customHeight="1">
      <c r="A357" s="7"/>
      <c r="B357" s="8"/>
      <c r="C357" s="8"/>
      <c r="D357" s="8"/>
      <c r="E357" s="8"/>
      <c r="F357" s="14"/>
      <c r="G357" s="8"/>
      <c r="H357" s="8"/>
      <c r="I357" s="9"/>
      <c r="J357" s="12" t="str">
        <f t="array" ref="J357:K357">IFERROR(INDEX(PRECIOS_COMPLEMENTOS!$C$4:$F$17,MATCH(D357&amp;"_"&amp;E357,PRECIOS_COMPLEMENTOS!$H$4:$H$17,0),IF(OR(H357="S",H357="20cm"),1,IF(OR(H357="M",H357="25cm"),2,IF(OR(H357="L",H357="30cm"),3,IF(OR(H357="XL",H357="35cm"),4,0))))),0)</f>
        <v>#REF!</v>
      </c>
      <c r="K357" s="12">
        <f t="shared" si="1"/>
        <v>0</v>
      </c>
      <c r="L357" s="13">
        <f>IFERROR(IF(C357="",0,IF(D357="PRETINA",SUMIFS($I$4:$I$356,$C$4:$C$356,C357,$D$4:$D$356,D357,$E$4:$E$356,E357,$F$4:$F$356,F357,$G$4:$G$356,G357,$H$4:$H$356,H357,$B$4:$B$356,"INGRESO")+SUMIFS($I$4:$I$356,$C$4:$C$356,C357,$D$4:$D$356,D357,$E$4:$E$356,E357,$F$4:$F$356,F357,$G$4:$G$356,G357,$H$4:$H$356,H357,$B$4:$B$356,"DE CORTE")-SUMIFS($I$4:$I$356,$C$4:$C$356,C357,$D$4:$D$356,D357,$E$4:$E$356,E357,$F$4:$F$356,F357,$G$4:$G$356,G357,$H$4:$H$356,H357,$B$4:$B$356,"SALIDA"),SUMIFS($I$4:$I$356,$C$4:$C$356,C357,$D$4:$D$356,D357,$E$4:$E$356,E357,$G$4:$G$356,G357,$H$4:$H$356,H357,$B$4:$B$356,"INGRESO")+SUMIFS($I$4:$I$356,$C$4:$C$356,C357,$D$4:$D$356,D357,$E$4:$E$356,E357,$G$4:$G$356,G357,$H$4:$H$356,H357,$B$4:$B$356,"DE CORTE")-SUMIFS($I$4:$I$356,$C$4:$C$356,C357,$D$4:$D$356,D357,$E$4:$E$356,E357,$G$4:$G$356,G357,$H$4:$H$356,H357,$B$4:$B$356,"SALIDA"))),0)</f>
        <v>0</v>
      </c>
      <c r="M357" s="13">
        <f t="shared" si="2"/>
        <v>0</v>
      </c>
      <c r="N357" s="14"/>
      <c r="O357" s="14"/>
      <c r="P357" s="15"/>
      <c r="Q357" s="14"/>
    </row>
    <row r="358" ht="15.75" customHeight="1">
      <c r="A358" s="7"/>
      <c r="B358" s="8"/>
      <c r="C358" s="8"/>
      <c r="D358" s="8"/>
      <c r="E358" s="8"/>
      <c r="F358" s="14"/>
      <c r="G358" s="8"/>
      <c r="H358" s="8"/>
      <c r="I358" s="9"/>
      <c r="J358" s="12" t="str">
        <f t="array" ref="J358:K358">IFERROR(INDEX(PRECIOS_COMPLEMENTOS!$C$4:$F$17,MATCH(D358&amp;"_"&amp;E358,PRECIOS_COMPLEMENTOS!$H$4:$H$17,0),IF(OR(H358="S",H358="20cm"),1,IF(OR(H358="M",H358="25cm"),2,IF(OR(H358="L",H358="30cm"),3,IF(OR(H358="XL",H358="35cm"),4,0))))),0)</f>
        <v>#REF!</v>
      </c>
      <c r="K358" s="12">
        <f t="shared" si="1"/>
        <v>0</v>
      </c>
      <c r="L358" s="13">
        <f>IFERROR(IF(C358="",0,IF(D358="PRETINA",SUMIFS($I$4:$I$357,$C$4:$C$357,C358,$D$4:$D$357,D358,$E$4:$E$357,E358,$F$4:$F$357,F358,$G$4:$G$357,G358,$H$4:$H$357,H358,$B$4:$B$357,"INGRESO")+SUMIFS($I$4:$I$357,$C$4:$C$357,C358,$D$4:$D$357,D358,$E$4:$E$357,E358,$F$4:$F$357,F358,$G$4:$G$357,G358,$H$4:$H$357,H358,$B$4:$B$357,"DE CORTE")-SUMIFS($I$4:$I$357,$C$4:$C$357,C358,$D$4:$D$357,D358,$E$4:$E$357,E358,$F$4:$F$357,F358,$G$4:$G$357,G358,$H$4:$H$357,H358,$B$4:$B$357,"SALIDA"),SUMIFS($I$4:$I$357,$C$4:$C$357,C358,$D$4:$D$357,D358,$E$4:$E$357,E358,$G$4:$G$357,G358,$H$4:$H$357,H358,$B$4:$B$357,"INGRESO")+SUMIFS($I$4:$I$357,$C$4:$C$357,C358,$D$4:$D$357,D358,$E$4:$E$357,E358,$G$4:$G$357,G358,$H$4:$H$357,H358,$B$4:$B$357,"DE CORTE")-SUMIFS($I$4:$I$357,$C$4:$C$357,C358,$D$4:$D$357,D358,$E$4:$E$357,E358,$G$4:$G$357,G358,$H$4:$H$357,H358,$B$4:$B$357,"SALIDA"))),0)</f>
        <v>0</v>
      </c>
      <c r="M358" s="13">
        <f t="shared" si="2"/>
        <v>0</v>
      </c>
      <c r="N358" s="14"/>
      <c r="O358" s="14"/>
      <c r="P358" s="15"/>
      <c r="Q358" s="14"/>
    </row>
    <row r="359" ht="15.75" customHeight="1">
      <c r="A359" s="7"/>
      <c r="B359" s="8"/>
      <c r="C359" s="8"/>
      <c r="D359" s="8"/>
      <c r="E359" s="8"/>
      <c r="F359" s="14"/>
      <c r="G359" s="8"/>
      <c r="H359" s="8"/>
      <c r="I359" s="9"/>
      <c r="J359" s="12" t="str">
        <f t="array" ref="J359:K359">IFERROR(INDEX(PRECIOS_COMPLEMENTOS!$C$4:$F$17,MATCH(D359&amp;"_"&amp;E359,PRECIOS_COMPLEMENTOS!$H$4:$H$17,0),IF(OR(H359="S",H359="20cm"),1,IF(OR(H359="M",H359="25cm"),2,IF(OR(H359="L",H359="30cm"),3,IF(OR(H359="XL",H359="35cm"),4,0))))),0)</f>
        <v>#REF!</v>
      </c>
      <c r="K359" s="12">
        <f t="shared" si="1"/>
        <v>0</v>
      </c>
      <c r="L359" s="13">
        <f>IFERROR(IF(C359="",0,IF(D359="PRETINA",SUMIFS($I$4:$I$358,$C$4:$C$358,C359,$D$4:$D$358,D359,$E$4:$E$358,E359,$F$4:$F$358,F359,$G$4:$G$358,G359,$H$4:$H$358,H359,$B$4:$B$358,"INGRESO")+SUMIFS($I$4:$I$358,$C$4:$C$358,C359,$D$4:$D$358,D359,$E$4:$E$358,E359,$F$4:$F$358,F359,$G$4:$G$358,G359,$H$4:$H$358,H359,$B$4:$B$358,"DE CORTE")-SUMIFS($I$4:$I$358,$C$4:$C$358,C359,$D$4:$D$358,D359,$E$4:$E$358,E359,$F$4:$F$358,F359,$G$4:$G$358,G359,$H$4:$H$358,H359,$B$4:$B$358,"SALIDA"),SUMIFS($I$4:$I$358,$C$4:$C$358,C359,$D$4:$D$358,D359,$E$4:$E$358,E359,$G$4:$G$358,G359,$H$4:$H$358,H359,$B$4:$B$358,"INGRESO")+SUMIFS($I$4:$I$358,$C$4:$C$358,C359,$D$4:$D$358,D359,$E$4:$E$358,E359,$G$4:$G$358,G359,$H$4:$H$358,H359,$B$4:$B$358,"DE CORTE")-SUMIFS($I$4:$I$358,$C$4:$C$358,C359,$D$4:$D$358,D359,$E$4:$E$358,E359,$G$4:$G$358,G359,$H$4:$H$358,H359,$B$4:$B$358,"SALIDA"))),0)</f>
        <v>0</v>
      </c>
      <c r="M359" s="13">
        <f t="shared" si="2"/>
        <v>0</v>
      </c>
      <c r="N359" s="14"/>
      <c r="O359" s="14"/>
      <c r="P359" s="15"/>
      <c r="Q359" s="14"/>
    </row>
    <row r="360" ht="15.75" customHeight="1">
      <c r="A360" s="7"/>
      <c r="B360" s="8"/>
      <c r="C360" s="8"/>
      <c r="D360" s="8"/>
      <c r="E360" s="8"/>
      <c r="F360" s="14"/>
      <c r="G360" s="8"/>
      <c r="H360" s="8"/>
      <c r="I360" s="9"/>
      <c r="J360" s="12" t="str">
        <f t="array" ref="J360:K360">IFERROR(INDEX(PRECIOS_COMPLEMENTOS!$C$4:$F$17,MATCH(D360&amp;"_"&amp;E360,PRECIOS_COMPLEMENTOS!$H$4:$H$17,0),IF(OR(H360="S",H360="20cm"),1,IF(OR(H360="M",H360="25cm"),2,IF(OR(H360="L",H360="30cm"),3,IF(OR(H360="XL",H360="35cm"),4,0))))),0)</f>
        <v>#REF!</v>
      </c>
      <c r="K360" s="12">
        <f t="shared" si="1"/>
        <v>0</v>
      </c>
      <c r="L360" s="13">
        <f>IFERROR(IF(C360="",0,IF(D360="PRETINA",SUMIFS($I$4:$I$359,$C$4:$C$359,C360,$D$4:$D$359,D360,$E$4:$E$359,E360,$F$4:$F$359,F360,$G$4:$G$359,G360,$H$4:$H$359,H360,$B$4:$B$359,"INGRESO")+SUMIFS($I$4:$I$359,$C$4:$C$359,C360,$D$4:$D$359,D360,$E$4:$E$359,E360,$F$4:$F$359,F360,$G$4:$G$359,G360,$H$4:$H$359,H360,$B$4:$B$359,"DE CORTE")-SUMIFS($I$4:$I$359,$C$4:$C$359,C360,$D$4:$D$359,D360,$E$4:$E$359,E360,$F$4:$F$359,F360,$G$4:$G$359,G360,$H$4:$H$359,H360,$B$4:$B$359,"SALIDA"),SUMIFS($I$4:$I$359,$C$4:$C$359,C360,$D$4:$D$359,D360,$E$4:$E$359,E360,$G$4:$G$359,G360,$H$4:$H$359,H360,$B$4:$B$359,"INGRESO")+SUMIFS($I$4:$I$359,$C$4:$C$359,C360,$D$4:$D$359,D360,$E$4:$E$359,E360,$G$4:$G$359,G360,$H$4:$H$359,H360,$B$4:$B$359,"DE CORTE")-SUMIFS($I$4:$I$359,$C$4:$C$359,C360,$D$4:$D$359,D360,$E$4:$E$359,E360,$G$4:$G$359,G360,$H$4:$H$359,H360,$B$4:$B$359,"SALIDA"))),0)</f>
        <v>0</v>
      </c>
      <c r="M360" s="13">
        <f t="shared" si="2"/>
        <v>0</v>
      </c>
      <c r="N360" s="14"/>
      <c r="O360" s="14"/>
      <c r="P360" s="15"/>
      <c r="Q360" s="14"/>
    </row>
    <row r="361" ht="15.75" customHeight="1">
      <c r="A361" s="7"/>
      <c r="B361" s="8"/>
      <c r="C361" s="8"/>
      <c r="D361" s="8"/>
      <c r="E361" s="8"/>
      <c r="F361" s="14"/>
      <c r="G361" s="8"/>
      <c r="H361" s="8"/>
      <c r="I361" s="9"/>
      <c r="J361" s="12" t="str">
        <f t="array" ref="J361:K361">IFERROR(INDEX(PRECIOS_COMPLEMENTOS!$C$4:$F$17,MATCH(D361&amp;"_"&amp;E361,PRECIOS_COMPLEMENTOS!$H$4:$H$17,0),IF(OR(H361="S",H361="20cm"),1,IF(OR(H361="M",H361="25cm"),2,IF(OR(H361="L",H361="30cm"),3,IF(OR(H361="XL",H361="35cm"),4,0))))),0)</f>
        <v>#REF!</v>
      </c>
      <c r="K361" s="12">
        <f t="shared" si="1"/>
        <v>0</v>
      </c>
      <c r="L361" s="13">
        <f>IFERROR(IF(C361="",0,IF(D361="PRETINA",SUMIFS($I$4:$I$360,$C$4:$C$360,C361,$D$4:$D$360,D361,$E$4:$E$360,E361,$F$4:$F$360,F361,$G$4:$G$360,G361,$H$4:$H$360,H361,$B$4:$B$360,"INGRESO")+SUMIFS($I$4:$I$360,$C$4:$C$360,C361,$D$4:$D$360,D361,$E$4:$E$360,E361,$F$4:$F$360,F361,$G$4:$G$360,G361,$H$4:$H$360,H361,$B$4:$B$360,"DE CORTE")-SUMIFS($I$4:$I$360,$C$4:$C$360,C361,$D$4:$D$360,D361,$E$4:$E$360,E361,$F$4:$F$360,F361,$G$4:$G$360,G361,$H$4:$H$360,H361,$B$4:$B$360,"SALIDA"),SUMIFS($I$4:$I$360,$C$4:$C$360,C361,$D$4:$D$360,D361,$E$4:$E$360,E361,$G$4:$G$360,G361,$H$4:$H$360,H361,$B$4:$B$360,"INGRESO")+SUMIFS($I$4:$I$360,$C$4:$C$360,C361,$D$4:$D$360,D361,$E$4:$E$360,E361,$G$4:$G$360,G361,$H$4:$H$360,H361,$B$4:$B$360,"DE CORTE")-SUMIFS($I$4:$I$360,$C$4:$C$360,C361,$D$4:$D$360,D361,$E$4:$E$360,E361,$G$4:$G$360,G361,$H$4:$H$360,H361,$B$4:$B$360,"SALIDA"))),0)</f>
        <v>0</v>
      </c>
      <c r="M361" s="13">
        <f t="shared" si="2"/>
        <v>0</v>
      </c>
      <c r="N361" s="14"/>
      <c r="O361" s="14"/>
      <c r="P361" s="15"/>
      <c r="Q361" s="14"/>
    </row>
    <row r="362" ht="15.75" customHeight="1">
      <c r="A362" s="7"/>
      <c r="B362" s="8"/>
      <c r="C362" s="8"/>
      <c r="D362" s="8"/>
      <c r="E362" s="8"/>
      <c r="F362" s="14"/>
      <c r="G362" s="8"/>
      <c r="H362" s="8"/>
      <c r="I362" s="9"/>
      <c r="J362" s="12" t="str">
        <f t="array" ref="J362:K362">IFERROR(INDEX(PRECIOS_COMPLEMENTOS!$C$4:$F$17,MATCH(D362&amp;"_"&amp;E362,PRECIOS_COMPLEMENTOS!$H$4:$H$17,0),IF(OR(H362="S",H362="20cm"),1,IF(OR(H362="M",H362="25cm"),2,IF(OR(H362="L",H362="30cm"),3,IF(OR(H362="XL",H362="35cm"),4,0))))),0)</f>
        <v>#REF!</v>
      </c>
      <c r="K362" s="12">
        <f t="shared" si="1"/>
        <v>0</v>
      </c>
      <c r="L362" s="13">
        <f>IFERROR(IF(C362="",0,IF(D362="PRETINA",SUMIFS($I$4:$I$361,$C$4:$C$361,C362,$D$4:$D$361,D362,$E$4:$E$361,E362,$F$4:$F$361,F362,$G$4:$G$361,G362,$H$4:$H$361,H362,$B$4:$B$361,"INGRESO")+SUMIFS($I$4:$I$361,$C$4:$C$361,C362,$D$4:$D$361,D362,$E$4:$E$361,E362,$F$4:$F$361,F362,$G$4:$G$361,G362,$H$4:$H$361,H362,$B$4:$B$361,"DE CORTE")-SUMIFS($I$4:$I$361,$C$4:$C$361,C362,$D$4:$D$361,D362,$E$4:$E$361,E362,$F$4:$F$361,F362,$G$4:$G$361,G362,$H$4:$H$361,H362,$B$4:$B$361,"SALIDA"),SUMIFS($I$4:$I$361,$C$4:$C$361,C362,$D$4:$D$361,D362,$E$4:$E$361,E362,$G$4:$G$361,G362,$H$4:$H$361,H362,$B$4:$B$361,"INGRESO")+SUMIFS($I$4:$I$361,$C$4:$C$361,C362,$D$4:$D$361,D362,$E$4:$E$361,E362,$G$4:$G$361,G362,$H$4:$H$361,H362,$B$4:$B$361,"DE CORTE")-SUMIFS($I$4:$I$361,$C$4:$C$361,C362,$D$4:$D$361,D362,$E$4:$E$361,E362,$G$4:$G$361,G362,$H$4:$H$361,H362,$B$4:$B$361,"SALIDA"))),0)</f>
        <v>0</v>
      </c>
      <c r="M362" s="13">
        <f t="shared" si="2"/>
        <v>0</v>
      </c>
      <c r="N362" s="14"/>
      <c r="O362" s="14"/>
      <c r="P362" s="15"/>
      <c r="Q362" s="14"/>
    </row>
    <row r="363" ht="15.75" customHeight="1">
      <c r="A363" s="7"/>
      <c r="B363" s="8"/>
      <c r="C363" s="8"/>
      <c r="D363" s="8"/>
      <c r="E363" s="8"/>
      <c r="F363" s="14"/>
      <c r="G363" s="8"/>
      <c r="H363" s="8"/>
      <c r="I363" s="9"/>
      <c r="J363" s="12" t="str">
        <f t="array" ref="J363:K363">IFERROR(INDEX(PRECIOS_COMPLEMENTOS!$C$4:$F$17,MATCH(D363&amp;"_"&amp;E363,PRECIOS_COMPLEMENTOS!$H$4:$H$17,0),IF(OR(H363="S",H363="20cm"),1,IF(OR(H363="M",H363="25cm"),2,IF(OR(H363="L",H363="30cm"),3,IF(OR(H363="XL",H363="35cm"),4,0))))),0)</f>
        <v>#REF!</v>
      </c>
      <c r="K363" s="12">
        <f t="shared" si="1"/>
        <v>0</v>
      </c>
      <c r="L363" s="13">
        <f>IFERROR(IF(C363="",0,IF(D363="PRETINA",SUMIFS($I$4:$I$362,$C$4:$C$362,C363,$D$4:$D$362,D363,$E$4:$E$362,E363,$F$4:$F$362,F363,$G$4:$G$362,G363,$H$4:$H$362,H363,$B$4:$B$362,"INGRESO")+SUMIFS($I$4:$I$362,$C$4:$C$362,C363,$D$4:$D$362,D363,$E$4:$E$362,E363,$F$4:$F$362,F363,$G$4:$G$362,G363,$H$4:$H$362,H363,$B$4:$B$362,"DE CORTE")-SUMIFS($I$4:$I$362,$C$4:$C$362,C363,$D$4:$D$362,D363,$E$4:$E$362,E363,$F$4:$F$362,F363,$G$4:$G$362,G363,$H$4:$H$362,H363,$B$4:$B$362,"SALIDA"),SUMIFS($I$4:$I$362,$C$4:$C$362,C363,$D$4:$D$362,D363,$E$4:$E$362,E363,$G$4:$G$362,G363,$H$4:$H$362,H363,$B$4:$B$362,"INGRESO")+SUMIFS($I$4:$I$362,$C$4:$C$362,C363,$D$4:$D$362,D363,$E$4:$E$362,E363,$G$4:$G$362,G363,$H$4:$H$362,H363,$B$4:$B$362,"DE CORTE")-SUMIFS($I$4:$I$362,$C$4:$C$362,C363,$D$4:$D$362,D363,$E$4:$E$362,E363,$G$4:$G$362,G363,$H$4:$H$362,H363,$B$4:$B$362,"SALIDA"))),0)</f>
        <v>0</v>
      </c>
      <c r="M363" s="13">
        <f t="shared" si="2"/>
        <v>0</v>
      </c>
      <c r="N363" s="14"/>
      <c r="O363" s="14"/>
      <c r="P363" s="15"/>
      <c r="Q363" s="14"/>
    </row>
    <row r="364" ht="15.75" customHeight="1">
      <c r="A364" s="7"/>
      <c r="B364" s="8"/>
      <c r="C364" s="8"/>
      <c r="D364" s="8"/>
      <c r="E364" s="8"/>
      <c r="F364" s="14"/>
      <c r="G364" s="8"/>
      <c r="H364" s="8"/>
      <c r="I364" s="9"/>
      <c r="J364" s="12" t="str">
        <f t="array" ref="J364:K364">IFERROR(INDEX(PRECIOS_COMPLEMENTOS!$C$4:$F$17,MATCH(D364&amp;"_"&amp;E364,PRECIOS_COMPLEMENTOS!$H$4:$H$17,0),IF(OR(H364="S",H364="20cm"),1,IF(OR(H364="M",H364="25cm"),2,IF(OR(H364="L",H364="30cm"),3,IF(OR(H364="XL",H364="35cm"),4,0))))),0)</f>
        <v>#REF!</v>
      </c>
      <c r="K364" s="12">
        <f t="shared" si="1"/>
        <v>0</v>
      </c>
      <c r="L364" s="13">
        <f>IFERROR(IF(C364="",0,IF(D364="PRETINA",SUMIFS($I$4:$I$363,$C$4:$C$363,C364,$D$4:$D$363,D364,$E$4:$E$363,E364,$F$4:$F$363,F364,$G$4:$G$363,G364,$H$4:$H$363,H364,$B$4:$B$363,"INGRESO")+SUMIFS($I$4:$I$363,$C$4:$C$363,C364,$D$4:$D$363,D364,$E$4:$E$363,E364,$F$4:$F$363,F364,$G$4:$G$363,G364,$H$4:$H$363,H364,$B$4:$B$363,"DE CORTE")-SUMIFS($I$4:$I$363,$C$4:$C$363,C364,$D$4:$D$363,D364,$E$4:$E$363,E364,$F$4:$F$363,F364,$G$4:$G$363,G364,$H$4:$H$363,H364,$B$4:$B$363,"SALIDA"),SUMIFS($I$4:$I$363,$C$4:$C$363,C364,$D$4:$D$363,D364,$E$4:$E$363,E364,$G$4:$G$363,G364,$H$4:$H$363,H364,$B$4:$B$363,"INGRESO")+SUMIFS($I$4:$I$363,$C$4:$C$363,C364,$D$4:$D$363,D364,$E$4:$E$363,E364,$G$4:$G$363,G364,$H$4:$H$363,H364,$B$4:$B$363,"DE CORTE")-SUMIFS($I$4:$I$363,$C$4:$C$363,C364,$D$4:$D$363,D364,$E$4:$E$363,E364,$G$4:$G$363,G364,$H$4:$H$363,H364,$B$4:$B$363,"SALIDA"))),0)</f>
        <v>0</v>
      </c>
      <c r="M364" s="13">
        <f t="shared" si="2"/>
        <v>0</v>
      </c>
      <c r="N364" s="14"/>
      <c r="O364" s="14"/>
      <c r="P364" s="15"/>
      <c r="Q364" s="14"/>
    </row>
    <row r="365" ht="15.75" customHeight="1">
      <c r="A365" s="7"/>
      <c r="B365" s="8"/>
      <c r="C365" s="8"/>
      <c r="D365" s="8"/>
      <c r="E365" s="8"/>
      <c r="F365" s="14"/>
      <c r="G365" s="8"/>
      <c r="H365" s="8"/>
      <c r="I365" s="9"/>
      <c r="J365" s="12" t="str">
        <f t="array" ref="J365:K365">IFERROR(INDEX(PRECIOS_COMPLEMENTOS!$C$4:$F$17,MATCH(D365&amp;"_"&amp;E365,PRECIOS_COMPLEMENTOS!$H$4:$H$17,0),IF(OR(H365="S",H365="20cm"),1,IF(OR(H365="M",H365="25cm"),2,IF(OR(H365="L",H365="30cm"),3,IF(OR(H365="XL",H365="35cm"),4,0))))),0)</f>
        <v>#REF!</v>
      </c>
      <c r="K365" s="12">
        <f t="shared" si="1"/>
        <v>0</v>
      </c>
      <c r="L365" s="13">
        <f>IFERROR(IF(C365="",0,IF(D365="PRETINA",SUMIFS($I$4:$I$364,$C$4:$C$364,C365,$D$4:$D$364,D365,$E$4:$E$364,E365,$F$4:$F$364,F365,$G$4:$G$364,G365,$H$4:$H$364,H365,$B$4:$B$364,"INGRESO")+SUMIFS($I$4:$I$364,$C$4:$C$364,C365,$D$4:$D$364,D365,$E$4:$E$364,E365,$F$4:$F$364,F365,$G$4:$G$364,G365,$H$4:$H$364,H365,$B$4:$B$364,"DE CORTE")-SUMIFS($I$4:$I$364,$C$4:$C$364,C365,$D$4:$D$364,D365,$E$4:$E$364,E365,$F$4:$F$364,F365,$G$4:$G$364,G365,$H$4:$H$364,H365,$B$4:$B$364,"SALIDA"),SUMIFS($I$4:$I$364,$C$4:$C$364,C365,$D$4:$D$364,D365,$E$4:$E$364,E365,$G$4:$G$364,G365,$H$4:$H$364,H365,$B$4:$B$364,"INGRESO")+SUMIFS($I$4:$I$364,$C$4:$C$364,C365,$D$4:$D$364,D365,$E$4:$E$364,E365,$G$4:$G$364,G365,$H$4:$H$364,H365,$B$4:$B$364,"DE CORTE")-SUMIFS($I$4:$I$364,$C$4:$C$364,C365,$D$4:$D$364,D365,$E$4:$E$364,E365,$G$4:$G$364,G365,$H$4:$H$364,H365,$B$4:$B$364,"SALIDA"))),0)</f>
        <v>0</v>
      </c>
      <c r="M365" s="13">
        <f t="shared" si="2"/>
        <v>0</v>
      </c>
      <c r="N365" s="14"/>
      <c r="O365" s="14"/>
      <c r="P365" s="15"/>
      <c r="Q365" s="14"/>
    </row>
    <row r="366" ht="15.75" customHeight="1">
      <c r="A366" s="7"/>
      <c r="B366" s="8"/>
      <c r="C366" s="8"/>
      <c r="D366" s="8"/>
      <c r="E366" s="8"/>
      <c r="F366" s="14"/>
      <c r="G366" s="8"/>
      <c r="H366" s="8"/>
      <c r="I366" s="9"/>
      <c r="J366" s="12" t="str">
        <f t="array" ref="J366:K366">IFERROR(INDEX(PRECIOS_COMPLEMENTOS!$C$4:$F$17,MATCH(D366&amp;"_"&amp;E366,PRECIOS_COMPLEMENTOS!$H$4:$H$17,0),IF(OR(H366="S",H366="20cm"),1,IF(OR(H366="M",H366="25cm"),2,IF(OR(H366="L",H366="30cm"),3,IF(OR(H366="XL",H366="35cm"),4,0))))),0)</f>
        <v>#REF!</v>
      </c>
      <c r="K366" s="12">
        <f t="shared" si="1"/>
        <v>0</v>
      </c>
      <c r="L366" s="13">
        <f>IFERROR(IF(C366="",0,IF(D366="PRETINA",SUMIFS($I$4:$I$365,$C$4:$C$365,C366,$D$4:$D$365,D366,$E$4:$E$365,E366,$F$4:$F$365,F366,$G$4:$G$365,G366,$H$4:$H$365,H366,$B$4:$B$365,"INGRESO")+SUMIFS($I$4:$I$365,$C$4:$C$365,C366,$D$4:$D$365,D366,$E$4:$E$365,E366,$F$4:$F$365,F366,$G$4:$G$365,G366,$H$4:$H$365,H366,$B$4:$B$365,"DE CORTE")-SUMIFS($I$4:$I$365,$C$4:$C$365,C366,$D$4:$D$365,D366,$E$4:$E$365,E366,$F$4:$F$365,F366,$G$4:$G$365,G366,$H$4:$H$365,H366,$B$4:$B$365,"SALIDA"),SUMIFS($I$4:$I$365,$C$4:$C$365,C366,$D$4:$D$365,D366,$E$4:$E$365,E366,$G$4:$G$365,G366,$H$4:$H$365,H366,$B$4:$B$365,"INGRESO")+SUMIFS($I$4:$I$365,$C$4:$C$365,C366,$D$4:$D$365,D366,$E$4:$E$365,E366,$G$4:$G$365,G366,$H$4:$H$365,H366,$B$4:$B$365,"DE CORTE")-SUMIFS($I$4:$I$365,$C$4:$C$365,C366,$D$4:$D$365,D366,$E$4:$E$365,E366,$G$4:$G$365,G366,$H$4:$H$365,H366,$B$4:$B$365,"SALIDA"))),0)</f>
        <v>0</v>
      </c>
      <c r="M366" s="13">
        <f t="shared" si="2"/>
        <v>0</v>
      </c>
      <c r="N366" s="14"/>
      <c r="O366" s="14"/>
      <c r="P366" s="15"/>
      <c r="Q366" s="14"/>
    </row>
    <row r="367" ht="15.75" customHeight="1">
      <c r="A367" s="7"/>
      <c r="B367" s="8"/>
      <c r="C367" s="8"/>
      <c r="D367" s="8"/>
      <c r="E367" s="8"/>
      <c r="F367" s="14"/>
      <c r="G367" s="8"/>
      <c r="H367" s="8"/>
      <c r="I367" s="9"/>
      <c r="J367" s="12" t="str">
        <f t="array" ref="J367:K367">IFERROR(INDEX(PRECIOS_COMPLEMENTOS!$C$4:$F$17,MATCH(D367&amp;"_"&amp;E367,PRECIOS_COMPLEMENTOS!$H$4:$H$17,0),IF(OR(H367="S",H367="20cm"),1,IF(OR(H367="M",H367="25cm"),2,IF(OR(H367="L",H367="30cm"),3,IF(OR(H367="XL",H367="35cm"),4,0))))),0)</f>
        <v>#REF!</v>
      </c>
      <c r="K367" s="12">
        <f t="shared" si="1"/>
        <v>0</v>
      </c>
      <c r="L367" s="13">
        <f>IFERROR(IF(C367="",0,IF(D367="PRETINA",SUMIFS($I$4:$I$366,$C$4:$C$366,C367,$D$4:$D$366,D367,$E$4:$E$366,E367,$F$4:$F$366,F367,$G$4:$G$366,G367,$H$4:$H$366,H367,$B$4:$B$366,"INGRESO")+SUMIFS($I$4:$I$366,$C$4:$C$366,C367,$D$4:$D$366,D367,$E$4:$E$366,E367,$F$4:$F$366,F367,$G$4:$G$366,G367,$H$4:$H$366,H367,$B$4:$B$366,"DE CORTE")-SUMIFS($I$4:$I$366,$C$4:$C$366,C367,$D$4:$D$366,D367,$E$4:$E$366,E367,$F$4:$F$366,F367,$G$4:$G$366,G367,$H$4:$H$366,H367,$B$4:$B$366,"SALIDA"),SUMIFS($I$4:$I$366,$C$4:$C$366,C367,$D$4:$D$366,D367,$E$4:$E$366,E367,$G$4:$G$366,G367,$H$4:$H$366,H367,$B$4:$B$366,"INGRESO")+SUMIFS($I$4:$I$366,$C$4:$C$366,C367,$D$4:$D$366,D367,$E$4:$E$366,E367,$G$4:$G$366,G367,$H$4:$H$366,H367,$B$4:$B$366,"DE CORTE")-SUMIFS($I$4:$I$366,$C$4:$C$366,C367,$D$4:$D$366,D367,$E$4:$E$366,E367,$G$4:$G$366,G367,$H$4:$H$366,H367,$B$4:$B$366,"SALIDA"))),0)</f>
        <v>0</v>
      </c>
      <c r="M367" s="13">
        <f t="shared" si="2"/>
        <v>0</v>
      </c>
      <c r="N367" s="14"/>
      <c r="O367" s="14"/>
      <c r="P367" s="15"/>
      <c r="Q367" s="14"/>
    </row>
    <row r="368" ht="15.75" customHeight="1">
      <c r="A368" s="7"/>
      <c r="B368" s="8"/>
      <c r="C368" s="8"/>
      <c r="D368" s="8"/>
      <c r="E368" s="8"/>
      <c r="F368" s="14"/>
      <c r="G368" s="8"/>
      <c r="H368" s="8"/>
      <c r="I368" s="9"/>
      <c r="J368" s="12" t="str">
        <f t="array" ref="J368:K368">IFERROR(INDEX(PRECIOS_COMPLEMENTOS!$C$4:$F$17,MATCH(D368&amp;"_"&amp;E368,PRECIOS_COMPLEMENTOS!$H$4:$H$17,0),IF(OR(H368="S",H368="20cm"),1,IF(OR(H368="M",H368="25cm"),2,IF(OR(H368="L",H368="30cm"),3,IF(OR(H368="XL",H368="35cm"),4,0))))),0)</f>
        <v>#REF!</v>
      </c>
      <c r="K368" s="12">
        <f t="shared" si="1"/>
        <v>0</v>
      </c>
      <c r="L368" s="13">
        <f>IFERROR(IF(C368="",0,IF(D368="PRETINA",SUMIFS($I$4:$I$367,$C$4:$C$367,C368,$D$4:$D$367,D368,$E$4:$E$367,E368,$F$4:$F$367,F368,$G$4:$G$367,G368,$H$4:$H$367,H368,$B$4:$B$367,"INGRESO")+SUMIFS($I$4:$I$367,$C$4:$C$367,C368,$D$4:$D$367,D368,$E$4:$E$367,E368,$F$4:$F$367,F368,$G$4:$G$367,G368,$H$4:$H$367,H368,$B$4:$B$367,"DE CORTE")-SUMIFS($I$4:$I$367,$C$4:$C$367,C368,$D$4:$D$367,D368,$E$4:$E$367,E368,$F$4:$F$367,F368,$G$4:$G$367,G368,$H$4:$H$367,H368,$B$4:$B$367,"SALIDA"),SUMIFS($I$4:$I$367,$C$4:$C$367,C368,$D$4:$D$367,D368,$E$4:$E$367,E368,$G$4:$G$367,G368,$H$4:$H$367,H368,$B$4:$B$367,"INGRESO")+SUMIFS($I$4:$I$367,$C$4:$C$367,C368,$D$4:$D$367,D368,$E$4:$E$367,E368,$G$4:$G$367,G368,$H$4:$H$367,H368,$B$4:$B$367,"DE CORTE")-SUMIFS($I$4:$I$367,$C$4:$C$367,C368,$D$4:$D$367,D368,$E$4:$E$367,E368,$G$4:$G$367,G368,$H$4:$H$367,H368,$B$4:$B$367,"SALIDA"))),0)</f>
        <v>0</v>
      </c>
      <c r="M368" s="13">
        <f t="shared" si="2"/>
        <v>0</v>
      </c>
      <c r="N368" s="14"/>
      <c r="O368" s="14"/>
      <c r="P368" s="15"/>
      <c r="Q368" s="14"/>
    </row>
    <row r="369" ht="15.75" customHeight="1">
      <c r="A369" s="7"/>
      <c r="B369" s="8"/>
      <c r="C369" s="8"/>
      <c r="D369" s="8"/>
      <c r="E369" s="8"/>
      <c r="F369" s="14"/>
      <c r="G369" s="8"/>
      <c r="H369" s="8"/>
      <c r="I369" s="9"/>
      <c r="J369" s="12" t="str">
        <f t="array" ref="J369:K369">IFERROR(INDEX(PRECIOS_COMPLEMENTOS!$C$4:$F$17,MATCH(D369&amp;"_"&amp;E369,PRECIOS_COMPLEMENTOS!$H$4:$H$17,0),IF(OR(H369="S",H369="20cm"),1,IF(OR(H369="M",H369="25cm"),2,IF(OR(H369="L",H369="30cm"),3,IF(OR(H369="XL",H369="35cm"),4,0))))),0)</f>
        <v>#REF!</v>
      </c>
      <c r="K369" s="12">
        <f t="shared" si="1"/>
        <v>0</v>
      </c>
      <c r="L369" s="13">
        <f>IFERROR(IF(C369="",0,IF(D369="PRETINA",SUMIFS($I$4:$I$368,$C$4:$C$368,C369,$D$4:$D$368,D369,$E$4:$E$368,E369,$F$4:$F$368,F369,$G$4:$G$368,G369,$H$4:$H$368,H369,$B$4:$B$368,"INGRESO")+SUMIFS($I$4:$I$368,$C$4:$C$368,C369,$D$4:$D$368,D369,$E$4:$E$368,E369,$F$4:$F$368,F369,$G$4:$G$368,G369,$H$4:$H$368,H369,$B$4:$B$368,"DE CORTE")-SUMIFS($I$4:$I$368,$C$4:$C$368,C369,$D$4:$D$368,D369,$E$4:$E$368,E369,$F$4:$F$368,F369,$G$4:$G$368,G369,$H$4:$H$368,H369,$B$4:$B$368,"SALIDA"),SUMIFS($I$4:$I$368,$C$4:$C$368,C369,$D$4:$D$368,D369,$E$4:$E$368,E369,$G$4:$G$368,G369,$H$4:$H$368,H369,$B$4:$B$368,"INGRESO")+SUMIFS($I$4:$I$368,$C$4:$C$368,C369,$D$4:$D$368,D369,$E$4:$E$368,E369,$G$4:$G$368,G369,$H$4:$H$368,H369,$B$4:$B$368,"DE CORTE")-SUMIFS($I$4:$I$368,$C$4:$C$368,C369,$D$4:$D$368,D369,$E$4:$E$368,E369,$G$4:$G$368,G369,$H$4:$H$368,H369,$B$4:$B$368,"SALIDA"))),0)</f>
        <v>0</v>
      </c>
      <c r="M369" s="13">
        <f t="shared" si="2"/>
        <v>0</v>
      </c>
      <c r="N369" s="14"/>
      <c r="O369" s="14"/>
      <c r="P369" s="15"/>
      <c r="Q369" s="14"/>
    </row>
    <row r="370" ht="15.75" customHeight="1">
      <c r="A370" s="7"/>
      <c r="B370" s="8"/>
      <c r="C370" s="8"/>
      <c r="D370" s="8"/>
      <c r="E370" s="8"/>
      <c r="F370" s="14"/>
      <c r="G370" s="8"/>
      <c r="H370" s="8"/>
      <c r="I370" s="9"/>
      <c r="J370" s="12" t="str">
        <f t="array" ref="J370:K370">IFERROR(INDEX(PRECIOS_COMPLEMENTOS!$C$4:$F$17,MATCH(D370&amp;"_"&amp;E370,PRECIOS_COMPLEMENTOS!$H$4:$H$17,0),IF(OR(H370="S",H370="20cm"),1,IF(OR(H370="M",H370="25cm"),2,IF(OR(H370="L",H370="30cm"),3,IF(OR(H370="XL",H370="35cm"),4,0))))),0)</f>
        <v>#REF!</v>
      </c>
      <c r="K370" s="12">
        <f t="shared" si="1"/>
        <v>0</v>
      </c>
      <c r="L370" s="13">
        <f>IFERROR(IF(C370="",0,IF(D370="PRETINA",SUMIFS($I$4:$I$369,$C$4:$C$369,C370,$D$4:$D$369,D370,$E$4:$E$369,E370,$F$4:$F$369,F370,$G$4:$G$369,G370,$H$4:$H$369,H370,$B$4:$B$369,"INGRESO")+SUMIFS($I$4:$I$369,$C$4:$C$369,C370,$D$4:$D$369,D370,$E$4:$E$369,E370,$F$4:$F$369,F370,$G$4:$G$369,G370,$H$4:$H$369,H370,$B$4:$B$369,"DE CORTE")-SUMIFS($I$4:$I$369,$C$4:$C$369,C370,$D$4:$D$369,D370,$E$4:$E$369,E370,$F$4:$F$369,F370,$G$4:$G$369,G370,$H$4:$H$369,H370,$B$4:$B$369,"SALIDA"),SUMIFS($I$4:$I$369,$C$4:$C$369,C370,$D$4:$D$369,D370,$E$4:$E$369,E370,$G$4:$G$369,G370,$H$4:$H$369,H370,$B$4:$B$369,"INGRESO")+SUMIFS($I$4:$I$369,$C$4:$C$369,C370,$D$4:$D$369,D370,$E$4:$E$369,E370,$G$4:$G$369,G370,$H$4:$H$369,H370,$B$4:$B$369,"DE CORTE")-SUMIFS($I$4:$I$369,$C$4:$C$369,C370,$D$4:$D$369,D370,$E$4:$E$369,E370,$G$4:$G$369,G370,$H$4:$H$369,H370,$B$4:$B$369,"SALIDA"))),0)</f>
        <v>0</v>
      </c>
      <c r="M370" s="13">
        <f t="shared" si="2"/>
        <v>0</v>
      </c>
      <c r="N370" s="14"/>
      <c r="O370" s="14"/>
      <c r="P370" s="15"/>
      <c r="Q370" s="14"/>
    </row>
    <row r="371" ht="15.75" customHeight="1">
      <c r="A371" s="7"/>
      <c r="B371" s="8"/>
      <c r="C371" s="8"/>
      <c r="D371" s="8"/>
      <c r="E371" s="8"/>
      <c r="F371" s="14"/>
      <c r="G371" s="8"/>
      <c r="H371" s="8"/>
      <c r="I371" s="9"/>
      <c r="J371" s="12" t="str">
        <f t="array" ref="J371:K371">IFERROR(INDEX(PRECIOS_COMPLEMENTOS!$C$4:$F$17,MATCH(D371&amp;"_"&amp;E371,PRECIOS_COMPLEMENTOS!$H$4:$H$17,0),IF(OR(H371="S",H371="20cm"),1,IF(OR(H371="M",H371="25cm"),2,IF(OR(H371="L",H371="30cm"),3,IF(OR(H371="XL",H371="35cm"),4,0))))),0)</f>
        <v>#REF!</v>
      </c>
      <c r="K371" s="12">
        <f t="shared" si="1"/>
        <v>0</v>
      </c>
      <c r="L371" s="13">
        <f>IFERROR(IF(C371="",0,IF(D371="PRETINA",SUMIFS($I$4:$I$370,$C$4:$C$370,C371,$D$4:$D$370,D371,$E$4:$E$370,E371,$F$4:$F$370,F371,$G$4:$G$370,G371,$H$4:$H$370,H371,$B$4:$B$370,"INGRESO")+SUMIFS($I$4:$I$370,$C$4:$C$370,C371,$D$4:$D$370,D371,$E$4:$E$370,E371,$F$4:$F$370,F371,$G$4:$G$370,G371,$H$4:$H$370,H371,$B$4:$B$370,"DE CORTE")-SUMIFS($I$4:$I$370,$C$4:$C$370,C371,$D$4:$D$370,D371,$E$4:$E$370,E371,$F$4:$F$370,F371,$G$4:$G$370,G371,$H$4:$H$370,H371,$B$4:$B$370,"SALIDA"),SUMIFS($I$4:$I$370,$C$4:$C$370,C371,$D$4:$D$370,D371,$E$4:$E$370,E371,$G$4:$G$370,G371,$H$4:$H$370,H371,$B$4:$B$370,"INGRESO")+SUMIFS($I$4:$I$370,$C$4:$C$370,C371,$D$4:$D$370,D371,$E$4:$E$370,E371,$G$4:$G$370,G371,$H$4:$H$370,H371,$B$4:$B$370,"DE CORTE")-SUMIFS($I$4:$I$370,$C$4:$C$370,C371,$D$4:$D$370,D371,$E$4:$E$370,E371,$G$4:$G$370,G371,$H$4:$H$370,H371,$B$4:$B$370,"SALIDA"))),0)</f>
        <v>0</v>
      </c>
      <c r="M371" s="13">
        <f t="shared" si="2"/>
        <v>0</v>
      </c>
      <c r="N371" s="14"/>
      <c r="O371" s="14"/>
      <c r="P371" s="15"/>
      <c r="Q371" s="14"/>
    </row>
    <row r="372" ht="15.75" customHeight="1">
      <c r="A372" s="7"/>
      <c r="B372" s="8"/>
      <c r="C372" s="8"/>
      <c r="D372" s="8"/>
      <c r="E372" s="8"/>
      <c r="F372" s="14"/>
      <c r="G372" s="8"/>
      <c r="H372" s="8"/>
      <c r="I372" s="9"/>
      <c r="J372" s="12" t="str">
        <f t="array" ref="J372:K372">IFERROR(INDEX(PRECIOS_COMPLEMENTOS!$C$4:$F$17,MATCH(D372&amp;"_"&amp;E372,PRECIOS_COMPLEMENTOS!$H$4:$H$17,0),IF(OR(H372="S",H372="20cm"),1,IF(OR(H372="M",H372="25cm"),2,IF(OR(H372="L",H372="30cm"),3,IF(OR(H372="XL",H372="35cm"),4,0))))),0)</f>
        <v>#REF!</v>
      </c>
      <c r="K372" s="12">
        <f t="shared" si="1"/>
        <v>0</v>
      </c>
      <c r="L372" s="13">
        <f>IFERROR(IF(C372="",0,IF(D372="PRETINA",SUMIFS($I$4:$I$371,$C$4:$C$371,C372,$D$4:$D$371,D372,$E$4:$E$371,E372,$F$4:$F$371,F372,$G$4:$G$371,G372,$H$4:$H$371,H372,$B$4:$B$371,"INGRESO")+SUMIFS($I$4:$I$371,$C$4:$C$371,C372,$D$4:$D$371,D372,$E$4:$E$371,E372,$F$4:$F$371,F372,$G$4:$G$371,G372,$H$4:$H$371,H372,$B$4:$B$371,"DE CORTE")-SUMIFS($I$4:$I$371,$C$4:$C$371,C372,$D$4:$D$371,D372,$E$4:$E$371,E372,$F$4:$F$371,F372,$G$4:$G$371,G372,$H$4:$H$371,H372,$B$4:$B$371,"SALIDA"),SUMIFS($I$4:$I$371,$C$4:$C$371,C372,$D$4:$D$371,D372,$E$4:$E$371,E372,$G$4:$G$371,G372,$H$4:$H$371,H372,$B$4:$B$371,"INGRESO")+SUMIFS($I$4:$I$371,$C$4:$C$371,C372,$D$4:$D$371,D372,$E$4:$E$371,E372,$G$4:$G$371,G372,$H$4:$H$371,H372,$B$4:$B$371,"DE CORTE")-SUMIFS($I$4:$I$371,$C$4:$C$371,C372,$D$4:$D$371,D372,$E$4:$E$371,E372,$G$4:$G$371,G372,$H$4:$H$371,H372,$B$4:$B$371,"SALIDA"))),0)</f>
        <v>0</v>
      </c>
      <c r="M372" s="13">
        <f t="shared" si="2"/>
        <v>0</v>
      </c>
      <c r="N372" s="14"/>
      <c r="O372" s="14"/>
      <c r="P372" s="15"/>
      <c r="Q372" s="14"/>
    </row>
    <row r="373" ht="15.75" customHeight="1">
      <c r="A373" s="7"/>
      <c r="B373" s="8"/>
      <c r="C373" s="8"/>
      <c r="D373" s="8"/>
      <c r="E373" s="8"/>
      <c r="F373" s="14"/>
      <c r="G373" s="8"/>
      <c r="H373" s="8"/>
      <c r="I373" s="9"/>
      <c r="J373" s="12" t="str">
        <f t="array" ref="J373:K373">IFERROR(INDEX(PRECIOS_COMPLEMENTOS!$C$4:$F$17,MATCH(D373&amp;"_"&amp;E373,PRECIOS_COMPLEMENTOS!$H$4:$H$17,0),IF(OR(H373="S",H373="20cm"),1,IF(OR(H373="M",H373="25cm"),2,IF(OR(H373="L",H373="30cm"),3,IF(OR(H373="XL",H373="35cm"),4,0))))),0)</f>
        <v>#REF!</v>
      </c>
      <c r="K373" s="12">
        <f t="shared" si="1"/>
        <v>0</v>
      </c>
      <c r="L373" s="13">
        <f>IFERROR(IF(C373="",0,IF(D373="PRETINA",SUMIFS($I$4:$I$372,$C$4:$C$372,C373,$D$4:$D$372,D373,$E$4:$E$372,E373,$F$4:$F$372,F373,$G$4:$G$372,G373,$H$4:$H$372,H373,$B$4:$B$372,"INGRESO")+SUMIFS($I$4:$I$372,$C$4:$C$372,C373,$D$4:$D$372,D373,$E$4:$E$372,E373,$F$4:$F$372,F373,$G$4:$G$372,G373,$H$4:$H$372,H373,$B$4:$B$372,"DE CORTE")-SUMIFS($I$4:$I$372,$C$4:$C$372,C373,$D$4:$D$372,D373,$E$4:$E$372,E373,$F$4:$F$372,F373,$G$4:$G$372,G373,$H$4:$H$372,H373,$B$4:$B$372,"SALIDA"),SUMIFS($I$4:$I$372,$C$4:$C$372,C373,$D$4:$D$372,D373,$E$4:$E$372,E373,$G$4:$G$372,G373,$H$4:$H$372,H373,$B$4:$B$372,"INGRESO")+SUMIFS($I$4:$I$372,$C$4:$C$372,C373,$D$4:$D$372,D373,$E$4:$E$372,E373,$G$4:$G$372,G373,$H$4:$H$372,H373,$B$4:$B$372,"DE CORTE")-SUMIFS($I$4:$I$372,$C$4:$C$372,C373,$D$4:$D$372,D373,$E$4:$E$372,E373,$G$4:$G$372,G373,$H$4:$H$372,H373,$B$4:$B$372,"SALIDA"))),0)</f>
        <v>0</v>
      </c>
      <c r="M373" s="13">
        <f t="shared" si="2"/>
        <v>0</v>
      </c>
      <c r="N373" s="14"/>
      <c r="O373" s="14"/>
      <c r="P373" s="15"/>
      <c r="Q373" s="14"/>
    </row>
    <row r="374" ht="15.75" customHeight="1">
      <c r="A374" s="7"/>
      <c r="B374" s="8"/>
      <c r="C374" s="8"/>
      <c r="D374" s="8"/>
      <c r="E374" s="8"/>
      <c r="F374" s="14"/>
      <c r="G374" s="8"/>
      <c r="H374" s="8"/>
      <c r="I374" s="9"/>
      <c r="J374" s="12" t="str">
        <f t="array" ref="J374:K374">IFERROR(INDEX(PRECIOS_COMPLEMENTOS!$C$4:$F$17,MATCH(D374&amp;"_"&amp;E374,PRECIOS_COMPLEMENTOS!$H$4:$H$17,0),IF(OR(H374="S",H374="20cm"),1,IF(OR(H374="M",H374="25cm"),2,IF(OR(H374="L",H374="30cm"),3,IF(OR(H374="XL",H374="35cm"),4,0))))),0)</f>
        <v>#REF!</v>
      </c>
      <c r="K374" s="12">
        <f t="shared" si="1"/>
        <v>0</v>
      </c>
      <c r="L374" s="13">
        <f>IFERROR(IF(C374="",0,IF(D374="PRETINA",SUMIFS($I$4:$I$373,$C$4:$C$373,C374,$D$4:$D$373,D374,$E$4:$E$373,E374,$F$4:$F$373,F374,$G$4:$G$373,G374,$H$4:$H$373,H374,$B$4:$B$373,"INGRESO")+SUMIFS($I$4:$I$373,$C$4:$C$373,C374,$D$4:$D$373,D374,$E$4:$E$373,E374,$F$4:$F$373,F374,$G$4:$G$373,G374,$H$4:$H$373,H374,$B$4:$B$373,"DE CORTE")-SUMIFS($I$4:$I$373,$C$4:$C$373,C374,$D$4:$D$373,D374,$E$4:$E$373,E374,$F$4:$F$373,F374,$G$4:$G$373,G374,$H$4:$H$373,H374,$B$4:$B$373,"SALIDA"),SUMIFS($I$4:$I$373,$C$4:$C$373,C374,$D$4:$D$373,D374,$E$4:$E$373,E374,$G$4:$G$373,G374,$H$4:$H$373,H374,$B$4:$B$373,"INGRESO")+SUMIFS($I$4:$I$373,$C$4:$C$373,C374,$D$4:$D$373,D374,$E$4:$E$373,E374,$G$4:$G$373,G374,$H$4:$H$373,H374,$B$4:$B$373,"DE CORTE")-SUMIFS($I$4:$I$373,$C$4:$C$373,C374,$D$4:$D$373,D374,$E$4:$E$373,E374,$G$4:$G$373,G374,$H$4:$H$373,H374,$B$4:$B$373,"SALIDA"))),0)</f>
        <v>0</v>
      </c>
      <c r="M374" s="13">
        <f t="shared" si="2"/>
        <v>0</v>
      </c>
      <c r="N374" s="14"/>
      <c r="O374" s="14"/>
      <c r="P374" s="15"/>
      <c r="Q374" s="14"/>
    </row>
    <row r="375" ht="15.75" customHeight="1">
      <c r="A375" s="7"/>
      <c r="B375" s="8"/>
      <c r="C375" s="8"/>
      <c r="D375" s="8"/>
      <c r="E375" s="8"/>
      <c r="F375" s="14"/>
      <c r="G375" s="8"/>
      <c r="H375" s="8"/>
      <c r="I375" s="9"/>
      <c r="J375" s="12" t="str">
        <f t="array" ref="J375:K375">IFERROR(INDEX(PRECIOS_COMPLEMENTOS!$C$4:$F$17,MATCH(D375&amp;"_"&amp;E375,PRECIOS_COMPLEMENTOS!$H$4:$H$17,0),IF(OR(H375="S",H375="20cm"),1,IF(OR(H375="M",H375="25cm"),2,IF(OR(H375="L",H375="30cm"),3,IF(OR(H375="XL",H375="35cm"),4,0))))),0)</f>
        <v>#REF!</v>
      </c>
      <c r="K375" s="12">
        <f t="shared" si="1"/>
        <v>0</v>
      </c>
      <c r="L375" s="13">
        <f>IFERROR(IF(C375="",0,IF(D375="PRETINA",SUMIFS($I$4:$I$374,$C$4:$C$374,C375,$D$4:$D$374,D375,$E$4:$E$374,E375,$F$4:$F$374,F375,$G$4:$G$374,G375,$H$4:$H$374,H375,$B$4:$B$374,"INGRESO")+SUMIFS($I$4:$I$374,$C$4:$C$374,C375,$D$4:$D$374,D375,$E$4:$E$374,E375,$F$4:$F$374,F375,$G$4:$G$374,G375,$H$4:$H$374,H375,$B$4:$B$374,"DE CORTE")-SUMIFS($I$4:$I$374,$C$4:$C$374,C375,$D$4:$D$374,D375,$E$4:$E$374,E375,$F$4:$F$374,F375,$G$4:$G$374,G375,$H$4:$H$374,H375,$B$4:$B$374,"SALIDA"),SUMIFS($I$4:$I$374,$C$4:$C$374,C375,$D$4:$D$374,D375,$E$4:$E$374,E375,$G$4:$G$374,G375,$H$4:$H$374,H375,$B$4:$B$374,"INGRESO")+SUMIFS($I$4:$I$374,$C$4:$C$374,C375,$D$4:$D$374,D375,$E$4:$E$374,E375,$G$4:$G$374,G375,$H$4:$H$374,H375,$B$4:$B$374,"DE CORTE")-SUMIFS($I$4:$I$374,$C$4:$C$374,C375,$D$4:$D$374,D375,$E$4:$E$374,E375,$G$4:$G$374,G375,$H$4:$H$374,H375,$B$4:$B$374,"SALIDA"))),0)</f>
        <v>0</v>
      </c>
      <c r="M375" s="13">
        <f t="shared" si="2"/>
        <v>0</v>
      </c>
      <c r="N375" s="14"/>
      <c r="O375" s="14"/>
      <c r="P375" s="15"/>
      <c r="Q375" s="14"/>
    </row>
    <row r="376" ht="15.75" customHeight="1">
      <c r="A376" s="7"/>
      <c r="B376" s="8"/>
      <c r="C376" s="8"/>
      <c r="D376" s="8"/>
      <c r="E376" s="8"/>
      <c r="F376" s="14"/>
      <c r="G376" s="8"/>
      <c r="H376" s="8"/>
      <c r="I376" s="9"/>
      <c r="J376" s="12" t="str">
        <f t="array" ref="J376:K376">IFERROR(INDEX(PRECIOS_COMPLEMENTOS!$C$4:$F$17,MATCH(D376&amp;"_"&amp;E376,PRECIOS_COMPLEMENTOS!$H$4:$H$17,0),IF(OR(H376="S",H376="20cm"),1,IF(OR(H376="M",H376="25cm"),2,IF(OR(H376="L",H376="30cm"),3,IF(OR(H376="XL",H376="35cm"),4,0))))),0)</f>
        <v>#REF!</v>
      </c>
      <c r="K376" s="12">
        <f t="shared" si="1"/>
        <v>0</v>
      </c>
      <c r="L376" s="13">
        <f>IFERROR(IF(C376="",0,IF(D376="PRETINA",SUMIFS($I$4:$I$375,$C$4:$C$375,C376,$D$4:$D$375,D376,$E$4:$E$375,E376,$F$4:$F$375,F376,$G$4:$G$375,G376,$H$4:$H$375,H376,$B$4:$B$375,"INGRESO")+SUMIFS($I$4:$I$375,$C$4:$C$375,C376,$D$4:$D$375,D376,$E$4:$E$375,E376,$F$4:$F$375,F376,$G$4:$G$375,G376,$H$4:$H$375,H376,$B$4:$B$375,"DE CORTE")-SUMIFS($I$4:$I$375,$C$4:$C$375,C376,$D$4:$D$375,D376,$E$4:$E$375,E376,$F$4:$F$375,F376,$G$4:$G$375,G376,$H$4:$H$375,H376,$B$4:$B$375,"SALIDA"),SUMIFS($I$4:$I$375,$C$4:$C$375,C376,$D$4:$D$375,D376,$E$4:$E$375,E376,$G$4:$G$375,G376,$H$4:$H$375,H376,$B$4:$B$375,"INGRESO")+SUMIFS($I$4:$I$375,$C$4:$C$375,C376,$D$4:$D$375,D376,$E$4:$E$375,E376,$G$4:$G$375,G376,$H$4:$H$375,H376,$B$4:$B$375,"DE CORTE")-SUMIFS($I$4:$I$375,$C$4:$C$375,C376,$D$4:$D$375,D376,$E$4:$E$375,E376,$G$4:$G$375,G376,$H$4:$H$375,H376,$B$4:$B$375,"SALIDA"))),0)</f>
        <v>0</v>
      </c>
      <c r="M376" s="13">
        <f t="shared" si="2"/>
        <v>0</v>
      </c>
      <c r="N376" s="14"/>
      <c r="O376" s="14"/>
      <c r="P376" s="15"/>
      <c r="Q376" s="14"/>
    </row>
    <row r="377" ht="15.75" customHeight="1">
      <c r="A377" s="7"/>
      <c r="B377" s="8"/>
      <c r="C377" s="8"/>
      <c r="D377" s="8"/>
      <c r="E377" s="8"/>
      <c r="F377" s="14"/>
      <c r="G377" s="8"/>
      <c r="H377" s="8"/>
      <c r="I377" s="9"/>
      <c r="J377" s="12" t="str">
        <f t="array" ref="J377:K377">IFERROR(INDEX(PRECIOS_COMPLEMENTOS!$C$4:$F$17,MATCH(D377&amp;"_"&amp;E377,PRECIOS_COMPLEMENTOS!$H$4:$H$17,0),IF(OR(H377="S",H377="20cm"),1,IF(OR(H377="M",H377="25cm"),2,IF(OR(H377="L",H377="30cm"),3,IF(OR(H377="XL",H377="35cm"),4,0))))),0)</f>
        <v>#REF!</v>
      </c>
      <c r="K377" s="12">
        <f t="shared" si="1"/>
        <v>0</v>
      </c>
      <c r="L377" s="13">
        <f>IFERROR(IF(C377="",0,IF(D377="PRETINA",SUMIFS($I$4:$I$376,$C$4:$C$376,C377,$D$4:$D$376,D377,$E$4:$E$376,E377,$F$4:$F$376,F377,$G$4:$G$376,G377,$H$4:$H$376,H377,$B$4:$B$376,"INGRESO")+SUMIFS($I$4:$I$376,$C$4:$C$376,C377,$D$4:$D$376,D377,$E$4:$E$376,E377,$F$4:$F$376,F377,$G$4:$G$376,G377,$H$4:$H$376,H377,$B$4:$B$376,"DE CORTE")-SUMIFS($I$4:$I$376,$C$4:$C$376,C377,$D$4:$D$376,D377,$E$4:$E$376,E377,$F$4:$F$376,F377,$G$4:$G$376,G377,$H$4:$H$376,H377,$B$4:$B$376,"SALIDA"),SUMIFS($I$4:$I$376,$C$4:$C$376,C377,$D$4:$D$376,D377,$E$4:$E$376,E377,$G$4:$G$376,G377,$H$4:$H$376,H377,$B$4:$B$376,"INGRESO")+SUMIFS($I$4:$I$376,$C$4:$C$376,C377,$D$4:$D$376,D377,$E$4:$E$376,E377,$G$4:$G$376,G377,$H$4:$H$376,H377,$B$4:$B$376,"DE CORTE")-SUMIFS($I$4:$I$376,$C$4:$C$376,C377,$D$4:$D$376,D377,$E$4:$E$376,E377,$G$4:$G$376,G377,$H$4:$H$376,H377,$B$4:$B$376,"SALIDA"))),0)</f>
        <v>0</v>
      </c>
      <c r="M377" s="13">
        <f t="shared" si="2"/>
        <v>0</v>
      </c>
      <c r="N377" s="14"/>
      <c r="O377" s="14"/>
      <c r="P377" s="15"/>
      <c r="Q377" s="14"/>
    </row>
    <row r="378" ht="15.75" customHeight="1">
      <c r="A378" s="7"/>
      <c r="B378" s="8"/>
      <c r="C378" s="8"/>
      <c r="D378" s="8"/>
      <c r="E378" s="8"/>
      <c r="F378" s="14"/>
      <c r="G378" s="8"/>
      <c r="H378" s="8"/>
      <c r="I378" s="9"/>
      <c r="J378" s="12" t="str">
        <f t="array" ref="J378:K378">IFERROR(INDEX(PRECIOS_COMPLEMENTOS!$C$4:$F$17,MATCH(D378&amp;"_"&amp;E378,PRECIOS_COMPLEMENTOS!$H$4:$H$17,0),IF(OR(H378="S",H378="20cm"),1,IF(OR(H378="M",H378="25cm"),2,IF(OR(H378="L",H378="30cm"),3,IF(OR(H378="XL",H378="35cm"),4,0))))),0)</f>
        <v>#REF!</v>
      </c>
      <c r="K378" s="12">
        <f t="shared" si="1"/>
        <v>0</v>
      </c>
      <c r="L378" s="13">
        <f>IFERROR(IF(C378="",0,IF(D378="PRETINA",SUMIFS($I$4:$I$377,$C$4:$C$377,C378,$D$4:$D$377,D378,$E$4:$E$377,E378,$F$4:$F$377,F378,$G$4:$G$377,G378,$H$4:$H$377,H378,$B$4:$B$377,"INGRESO")+SUMIFS($I$4:$I$377,$C$4:$C$377,C378,$D$4:$D$377,D378,$E$4:$E$377,E378,$F$4:$F$377,F378,$G$4:$G$377,G378,$H$4:$H$377,H378,$B$4:$B$377,"DE CORTE")-SUMIFS($I$4:$I$377,$C$4:$C$377,C378,$D$4:$D$377,D378,$E$4:$E$377,E378,$F$4:$F$377,F378,$G$4:$G$377,G378,$H$4:$H$377,H378,$B$4:$B$377,"SALIDA"),SUMIFS($I$4:$I$377,$C$4:$C$377,C378,$D$4:$D$377,D378,$E$4:$E$377,E378,$G$4:$G$377,G378,$H$4:$H$377,H378,$B$4:$B$377,"INGRESO")+SUMIFS($I$4:$I$377,$C$4:$C$377,C378,$D$4:$D$377,D378,$E$4:$E$377,E378,$G$4:$G$377,G378,$H$4:$H$377,H378,$B$4:$B$377,"DE CORTE")-SUMIFS($I$4:$I$377,$C$4:$C$377,C378,$D$4:$D$377,D378,$E$4:$E$377,E378,$G$4:$G$377,G378,$H$4:$H$377,H378,$B$4:$B$377,"SALIDA"))),0)</f>
        <v>0</v>
      </c>
      <c r="M378" s="13">
        <f t="shared" si="2"/>
        <v>0</v>
      </c>
      <c r="N378" s="14"/>
      <c r="O378" s="14"/>
      <c r="P378" s="15"/>
      <c r="Q378" s="14"/>
    </row>
    <row r="379" ht="15.75" customHeight="1">
      <c r="A379" s="7"/>
      <c r="B379" s="8"/>
      <c r="C379" s="8"/>
      <c r="D379" s="8"/>
      <c r="E379" s="8"/>
      <c r="F379" s="14"/>
      <c r="G379" s="8"/>
      <c r="H379" s="8"/>
      <c r="I379" s="9"/>
      <c r="J379" s="12" t="str">
        <f t="array" ref="J379:K379">IFERROR(INDEX(PRECIOS_COMPLEMENTOS!$C$4:$F$17,MATCH(D379&amp;"_"&amp;E379,PRECIOS_COMPLEMENTOS!$H$4:$H$17,0),IF(OR(H379="S",H379="20cm"),1,IF(OR(H379="M",H379="25cm"),2,IF(OR(H379="L",H379="30cm"),3,IF(OR(H379="XL",H379="35cm"),4,0))))),0)</f>
        <v>#REF!</v>
      </c>
      <c r="K379" s="12">
        <f t="shared" si="1"/>
        <v>0</v>
      </c>
      <c r="L379" s="13">
        <f>IFERROR(IF(C379="",0,IF(D379="PRETINA",SUMIFS($I$4:$I$378,$C$4:$C$378,C379,$D$4:$D$378,D379,$E$4:$E$378,E379,$F$4:$F$378,F379,$G$4:$G$378,G379,$H$4:$H$378,H379,$B$4:$B$378,"INGRESO")+SUMIFS($I$4:$I$378,$C$4:$C$378,C379,$D$4:$D$378,D379,$E$4:$E$378,E379,$F$4:$F$378,F379,$G$4:$G$378,G379,$H$4:$H$378,H379,$B$4:$B$378,"DE CORTE")-SUMIFS($I$4:$I$378,$C$4:$C$378,C379,$D$4:$D$378,D379,$E$4:$E$378,E379,$F$4:$F$378,F379,$G$4:$G$378,G379,$H$4:$H$378,H379,$B$4:$B$378,"SALIDA"),SUMIFS($I$4:$I$378,$C$4:$C$378,C379,$D$4:$D$378,D379,$E$4:$E$378,E379,$G$4:$G$378,G379,$H$4:$H$378,H379,$B$4:$B$378,"INGRESO")+SUMIFS($I$4:$I$378,$C$4:$C$378,C379,$D$4:$D$378,D379,$E$4:$E$378,E379,$G$4:$G$378,G379,$H$4:$H$378,H379,$B$4:$B$378,"DE CORTE")-SUMIFS($I$4:$I$378,$C$4:$C$378,C379,$D$4:$D$378,D379,$E$4:$E$378,E379,$G$4:$G$378,G379,$H$4:$H$378,H379,$B$4:$B$378,"SALIDA"))),0)</f>
        <v>0</v>
      </c>
      <c r="M379" s="13">
        <f t="shared" si="2"/>
        <v>0</v>
      </c>
      <c r="N379" s="14"/>
      <c r="O379" s="14"/>
      <c r="P379" s="15"/>
      <c r="Q379" s="14"/>
    </row>
    <row r="380" ht="15.75" customHeight="1">
      <c r="A380" s="7"/>
      <c r="B380" s="8"/>
      <c r="C380" s="8"/>
      <c r="D380" s="8"/>
      <c r="E380" s="8"/>
      <c r="F380" s="14"/>
      <c r="G380" s="8"/>
      <c r="H380" s="8"/>
      <c r="I380" s="9"/>
      <c r="J380" s="12" t="str">
        <f t="array" ref="J380:K380">IFERROR(INDEX(PRECIOS_COMPLEMENTOS!$C$4:$F$17,MATCH(D380&amp;"_"&amp;E380,PRECIOS_COMPLEMENTOS!$H$4:$H$17,0),IF(OR(H380="S",H380="20cm"),1,IF(OR(H380="M",H380="25cm"),2,IF(OR(H380="L",H380="30cm"),3,IF(OR(H380="XL",H380="35cm"),4,0))))),0)</f>
        <v>#REF!</v>
      </c>
      <c r="K380" s="12">
        <f t="shared" si="1"/>
        <v>0</v>
      </c>
      <c r="L380" s="13">
        <f>IFERROR(IF(C380="",0,IF(D380="PRETINA",SUMIFS($I$4:$I$379,$C$4:$C$379,C380,$D$4:$D$379,D380,$E$4:$E$379,E380,$F$4:$F$379,F380,$G$4:$G$379,G380,$H$4:$H$379,H380,$B$4:$B$379,"INGRESO")+SUMIFS($I$4:$I$379,$C$4:$C$379,C380,$D$4:$D$379,D380,$E$4:$E$379,E380,$F$4:$F$379,F380,$G$4:$G$379,G380,$H$4:$H$379,H380,$B$4:$B$379,"DE CORTE")-SUMIFS($I$4:$I$379,$C$4:$C$379,C380,$D$4:$D$379,D380,$E$4:$E$379,E380,$F$4:$F$379,F380,$G$4:$G$379,G380,$H$4:$H$379,H380,$B$4:$B$379,"SALIDA"),SUMIFS($I$4:$I$379,$C$4:$C$379,C380,$D$4:$D$379,D380,$E$4:$E$379,E380,$G$4:$G$379,G380,$H$4:$H$379,H380,$B$4:$B$379,"INGRESO")+SUMIFS($I$4:$I$379,$C$4:$C$379,C380,$D$4:$D$379,D380,$E$4:$E$379,E380,$G$4:$G$379,G380,$H$4:$H$379,H380,$B$4:$B$379,"DE CORTE")-SUMIFS($I$4:$I$379,$C$4:$C$379,C380,$D$4:$D$379,D380,$E$4:$E$379,E380,$G$4:$G$379,G380,$H$4:$H$379,H380,$B$4:$B$379,"SALIDA"))),0)</f>
        <v>0</v>
      </c>
      <c r="M380" s="13">
        <f t="shared" si="2"/>
        <v>0</v>
      </c>
      <c r="N380" s="14"/>
      <c r="O380" s="14"/>
      <c r="P380" s="15"/>
      <c r="Q380" s="14"/>
    </row>
    <row r="381" ht="15.75" customHeight="1">
      <c r="A381" s="7"/>
      <c r="B381" s="8"/>
      <c r="C381" s="8"/>
      <c r="D381" s="8"/>
      <c r="E381" s="8"/>
      <c r="F381" s="14"/>
      <c r="G381" s="8"/>
      <c r="H381" s="8"/>
      <c r="I381" s="9"/>
      <c r="J381" s="12" t="str">
        <f t="array" ref="J381:K381">IFERROR(INDEX(PRECIOS_COMPLEMENTOS!$C$4:$F$17,MATCH(D381&amp;"_"&amp;E381,PRECIOS_COMPLEMENTOS!$H$4:$H$17,0),IF(OR(H381="S",H381="20cm"),1,IF(OR(H381="M",H381="25cm"),2,IF(OR(H381="L",H381="30cm"),3,IF(OR(H381="XL",H381="35cm"),4,0))))),0)</f>
        <v>#REF!</v>
      </c>
      <c r="K381" s="12">
        <f t="shared" si="1"/>
        <v>0</v>
      </c>
      <c r="L381" s="13">
        <f>IFERROR(IF(C381="",0,IF(D381="PRETINA",SUMIFS($I$4:$I$380,$C$4:$C$380,C381,$D$4:$D$380,D381,$E$4:$E$380,E381,$F$4:$F$380,F381,$G$4:$G$380,G381,$H$4:$H$380,H381,$B$4:$B$380,"INGRESO")+SUMIFS($I$4:$I$380,$C$4:$C$380,C381,$D$4:$D$380,D381,$E$4:$E$380,E381,$F$4:$F$380,F381,$G$4:$G$380,G381,$H$4:$H$380,H381,$B$4:$B$380,"DE CORTE")-SUMIFS($I$4:$I$380,$C$4:$C$380,C381,$D$4:$D$380,D381,$E$4:$E$380,E381,$F$4:$F$380,F381,$G$4:$G$380,G381,$H$4:$H$380,H381,$B$4:$B$380,"SALIDA"),SUMIFS($I$4:$I$380,$C$4:$C$380,C381,$D$4:$D$380,D381,$E$4:$E$380,E381,$G$4:$G$380,G381,$H$4:$H$380,H381,$B$4:$B$380,"INGRESO")+SUMIFS($I$4:$I$380,$C$4:$C$380,C381,$D$4:$D$380,D381,$E$4:$E$380,E381,$G$4:$G$380,G381,$H$4:$H$380,H381,$B$4:$B$380,"DE CORTE")-SUMIFS($I$4:$I$380,$C$4:$C$380,C381,$D$4:$D$380,D381,$E$4:$E$380,E381,$G$4:$G$380,G381,$H$4:$H$380,H381,$B$4:$B$380,"SALIDA"))),0)</f>
        <v>0</v>
      </c>
      <c r="M381" s="13">
        <f t="shared" si="2"/>
        <v>0</v>
      </c>
      <c r="N381" s="14"/>
      <c r="O381" s="14"/>
      <c r="P381" s="15"/>
      <c r="Q381" s="14"/>
    </row>
    <row r="382" ht="15.75" customHeight="1">
      <c r="A382" s="7"/>
      <c r="B382" s="8"/>
      <c r="C382" s="8"/>
      <c r="D382" s="8"/>
      <c r="E382" s="8"/>
      <c r="F382" s="14"/>
      <c r="G382" s="8"/>
      <c r="H382" s="8"/>
      <c r="I382" s="9"/>
      <c r="J382" s="12" t="str">
        <f t="array" ref="J382:K382">IFERROR(INDEX(PRECIOS_COMPLEMENTOS!$C$4:$F$17,MATCH(D382&amp;"_"&amp;E382,PRECIOS_COMPLEMENTOS!$H$4:$H$17,0),IF(OR(H382="S",H382="20cm"),1,IF(OR(H382="M",H382="25cm"),2,IF(OR(H382="L",H382="30cm"),3,IF(OR(H382="XL",H382="35cm"),4,0))))),0)</f>
        <v>#REF!</v>
      </c>
      <c r="K382" s="12">
        <f t="shared" si="1"/>
        <v>0</v>
      </c>
      <c r="L382" s="13">
        <f>IFERROR(IF(C382="",0,IF(D382="PRETINA",SUMIFS($I$4:$I$381,$C$4:$C$381,C382,$D$4:$D$381,D382,$E$4:$E$381,E382,$F$4:$F$381,F382,$G$4:$G$381,G382,$H$4:$H$381,H382,$B$4:$B$381,"INGRESO")+SUMIFS($I$4:$I$381,$C$4:$C$381,C382,$D$4:$D$381,D382,$E$4:$E$381,E382,$F$4:$F$381,F382,$G$4:$G$381,G382,$H$4:$H$381,H382,$B$4:$B$381,"DE CORTE")-SUMIFS($I$4:$I$381,$C$4:$C$381,C382,$D$4:$D$381,D382,$E$4:$E$381,E382,$F$4:$F$381,F382,$G$4:$G$381,G382,$H$4:$H$381,H382,$B$4:$B$381,"SALIDA"),SUMIFS($I$4:$I$381,$C$4:$C$381,C382,$D$4:$D$381,D382,$E$4:$E$381,E382,$G$4:$G$381,G382,$H$4:$H$381,H382,$B$4:$B$381,"INGRESO")+SUMIFS($I$4:$I$381,$C$4:$C$381,C382,$D$4:$D$381,D382,$E$4:$E$381,E382,$G$4:$G$381,G382,$H$4:$H$381,H382,$B$4:$B$381,"DE CORTE")-SUMIFS($I$4:$I$381,$C$4:$C$381,C382,$D$4:$D$381,D382,$E$4:$E$381,E382,$G$4:$G$381,G382,$H$4:$H$381,H382,$B$4:$B$381,"SALIDA"))),0)</f>
        <v>0</v>
      </c>
      <c r="M382" s="13">
        <f t="shared" si="2"/>
        <v>0</v>
      </c>
      <c r="N382" s="14"/>
      <c r="O382" s="14"/>
      <c r="P382" s="15"/>
      <c r="Q382" s="14"/>
    </row>
    <row r="383" ht="15.75" customHeight="1">
      <c r="A383" s="7"/>
      <c r="B383" s="8"/>
      <c r="C383" s="8"/>
      <c r="D383" s="8"/>
      <c r="E383" s="8"/>
      <c r="F383" s="14"/>
      <c r="G383" s="8"/>
      <c r="H383" s="8"/>
      <c r="I383" s="9"/>
      <c r="J383" s="12" t="str">
        <f t="array" ref="J383:K383">IFERROR(INDEX(PRECIOS_COMPLEMENTOS!$C$4:$F$17,MATCH(D383&amp;"_"&amp;E383,PRECIOS_COMPLEMENTOS!$H$4:$H$17,0),IF(OR(H383="S",H383="20cm"),1,IF(OR(H383="M",H383="25cm"),2,IF(OR(H383="L",H383="30cm"),3,IF(OR(H383="XL",H383="35cm"),4,0))))),0)</f>
        <v>#REF!</v>
      </c>
      <c r="K383" s="12">
        <f t="shared" si="1"/>
        <v>0</v>
      </c>
      <c r="L383" s="13">
        <f>IFERROR(IF(C383="",0,IF(D383="PRETINA",SUMIFS($I$4:$I$382,$C$4:$C$382,C383,$D$4:$D$382,D383,$E$4:$E$382,E383,$F$4:$F$382,F383,$G$4:$G$382,G383,$H$4:$H$382,H383,$B$4:$B$382,"INGRESO")+SUMIFS($I$4:$I$382,$C$4:$C$382,C383,$D$4:$D$382,D383,$E$4:$E$382,E383,$F$4:$F$382,F383,$G$4:$G$382,G383,$H$4:$H$382,H383,$B$4:$B$382,"DE CORTE")-SUMIFS($I$4:$I$382,$C$4:$C$382,C383,$D$4:$D$382,D383,$E$4:$E$382,E383,$F$4:$F$382,F383,$G$4:$G$382,G383,$H$4:$H$382,H383,$B$4:$B$382,"SALIDA"),SUMIFS($I$4:$I$382,$C$4:$C$382,C383,$D$4:$D$382,D383,$E$4:$E$382,E383,$G$4:$G$382,G383,$H$4:$H$382,H383,$B$4:$B$382,"INGRESO")+SUMIFS($I$4:$I$382,$C$4:$C$382,C383,$D$4:$D$382,D383,$E$4:$E$382,E383,$G$4:$G$382,G383,$H$4:$H$382,H383,$B$4:$B$382,"DE CORTE")-SUMIFS($I$4:$I$382,$C$4:$C$382,C383,$D$4:$D$382,D383,$E$4:$E$382,E383,$G$4:$G$382,G383,$H$4:$H$382,H383,$B$4:$B$382,"SALIDA"))),0)</f>
        <v>0</v>
      </c>
      <c r="M383" s="13">
        <f t="shared" si="2"/>
        <v>0</v>
      </c>
      <c r="N383" s="14"/>
      <c r="O383" s="14"/>
      <c r="P383" s="15"/>
      <c r="Q383" s="14"/>
    </row>
    <row r="384" ht="15.75" customHeight="1">
      <c r="A384" s="7"/>
      <c r="B384" s="8"/>
      <c r="C384" s="8"/>
      <c r="D384" s="8"/>
      <c r="E384" s="8"/>
      <c r="F384" s="14"/>
      <c r="G384" s="8"/>
      <c r="H384" s="8"/>
      <c r="I384" s="9"/>
      <c r="J384" s="12" t="str">
        <f t="array" ref="J384:K384">IFERROR(INDEX(PRECIOS_COMPLEMENTOS!$C$4:$F$17,MATCH(D384&amp;"_"&amp;E384,PRECIOS_COMPLEMENTOS!$H$4:$H$17,0),IF(OR(H384="S",H384="20cm"),1,IF(OR(H384="M",H384="25cm"),2,IF(OR(H384="L",H384="30cm"),3,IF(OR(H384="XL",H384="35cm"),4,0))))),0)</f>
        <v>#REF!</v>
      </c>
      <c r="K384" s="12">
        <f t="shared" si="1"/>
        <v>0</v>
      </c>
      <c r="L384" s="13">
        <f>IFERROR(IF(C384="",0,IF(D384="PRETINA",SUMIFS($I$4:$I$383,$C$4:$C$383,C384,$D$4:$D$383,D384,$E$4:$E$383,E384,$F$4:$F$383,F384,$G$4:$G$383,G384,$H$4:$H$383,H384,$B$4:$B$383,"INGRESO")+SUMIFS($I$4:$I$383,$C$4:$C$383,C384,$D$4:$D$383,D384,$E$4:$E$383,E384,$F$4:$F$383,F384,$G$4:$G$383,G384,$H$4:$H$383,H384,$B$4:$B$383,"DE CORTE")-SUMIFS($I$4:$I$383,$C$4:$C$383,C384,$D$4:$D$383,D384,$E$4:$E$383,E384,$F$4:$F$383,F384,$G$4:$G$383,G384,$H$4:$H$383,H384,$B$4:$B$383,"SALIDA"),SUMIFS($I$4:$I$383,$C$4:$C$383,C384,$D$4:$D$383,D384,$E$4:$E$383,E384,$G$4:$G$383,G384,$H$4:$H$383,H384,$B$4:$B$383,"INGRESO")+SUMIFS($I$4:$I$383,$C$4:$C$383,C384,$D$4:$D$383,D384,$E$4:$E$383,E384,$G$4:$G$383,G384,$H$4:$H$383,H384,$B$4:$B$383,"DE CORTE")-SUMIFS($I$4:$I$383,$C$4:$C$383,C384,$D$4:$D$383,D384,$E$4:$E$383,E384,$G$4:$G$383,G384,$H$4:$H$383,H384,$B$4:$B$383,"SALIDA"))),0)</f>
        <v>0</v>
      </c>
      <c r="M384" s="13">
        <f t="shared" si="2"/>
        <v>0</v>
      </c>
      <c r="N384" s="14"/>
      <c r="O384" s="14"/>
      <c r="P384" s="15"/>
      <c r="Q384" s="14"/>
    </row>
    <row r="385" ht="15.75" customHeight="1">
      <c r="A385" s="7"/>
      <c r="B385" s="8"/>
      <c r="C385" s="8"/>
      <c r="D385" s="8"/>
      <c r="E385" s="8"/>
      <c r="F385" s="14"/>
      <c r="G385" s="8"/>
      <c r="H385" s="8"/>
      <c r="I385" s="9"/>
      <c r="J385" s="12" t="str">
        <f t="array" ref="J385:K385">IFERROR(INDEX(PRECIOS_COMPLEMENTOS!$C$4:$F$17,MATCH(D385&amp;"_"&amp;E385,PRECIOS_COMPLEMENTOS!$H$4:$H$17,0),IF(OR(H385="S",H385="20cm"),1,IF(OR(H385="M",H385="25cm"),2,IF(OR(H385="L",H385="30cm"),3,IF(OR(H385="XL",H385="35cm"),4,0))))),0)</f>
        <v>#REF!</v>
      </c>
      <c r="K385" s="12">
        <f t="shared" si="1"/>
        <v>0</v>
      </c>
      <c r="L385" s="13">
        <f>IFERROR(IF(C385="",0,IF(D385="PRETINA",SUMIFS($I$4:$I$384,$C$4:$C$384,C385,$D$4:$D$384,D385,$E$4:$E$384,E385,$F$4:$F$384,F385,$G$4:$G$384,G385,$H$4:$H$384,H385,$B$4:$B$384,"INGRESO")+SUMIFS($I$4:$I$384,$C$4:$C$384,C385,$D$4:$D$384,D385,$E$4:$E$384,E385,$F$4:$F$384,F385,$G$4:$G$384,G385,$H$4:$H$384,H385,$B$4:$B$384,"DE CORTE")-SUMIFS($I$4:$I$384,$C$4:$C$384,C385,$D$4:$D$384,D385,$E$4:$E$384,E385,$F$4:$F$384,F385,$G$4:$G$384,G385,$H$4:$H$384,H385,$B$4:$B$384,"SALIDA"),SUMIFS($I$4:$I$384,$C$4:$C$384,C385,$D$4:$D$384,D385,$E$4:$E$384,E385,$G$4:$G$384,G385,$H$4:$H$384,H385,$B$4:$B$384,"INGRESO")+SUMIFS($I$4:$I$384,$C$4:$C$384,C385,$D$4:$D$384,D385,$E$4:$E$384,E385,$G$4:$G$384,G385,$H$4:$H$384,H385,$B$4:$B$384,"DE CORTE")-SUMIFS($I$4:$I$384,$C$4:$C$384,C385,$D$4:$D$384,D385,$E$4:$E$384,E385,$G$4:$G$384,G385,$H$4:$H$384,H385,$B$4:$B$384,"SALIDA"))),0)</f>
        <v>0</v>
      </c>
      <c r="M385" s="13">
        <f t="shared" si="2"/>
        <v>0</v>
      </c>
      <c r="N385" s="14"/>
      <c r="O385" s="14"/>
      <c r="P385" s="15"/>
      <c r="Q385" s="14"/>
    </row>
    <row r="386" ht="15.75" customHeight="1">
      <c r="A386" s="7"/>
      <c r="B386" s="8"/>
      <c r="C386" s="8"/>
      <c r="D386" s="8"/>
      <c r="E386" s="8"/>
      <c r="F386" s="14"/>
      <c r="G386" s="8"/>
      <c r="H386" s="8"/>
      <c r="I386" s="9"/>
      <c r="J386" s="12" t="str">
        <f t="array" ref="J386:K386">IFERROR(INDEX(PRECIOS_COMPLEMENTOS!$C$4:$F$17,MATCH(D386&amp;"_"&amp;E386,PRECIOS_COMPLEMENTOS!$H$4:$H$17,0),IF(OR(H386="S",H386="20cm"),1,IF(OR(H386="M",H386="25cm"),2,IF(OR(H386="L",H386="30cm"),3,IF(OR(H386="XL",H386="35cm"),4,0))))),0)</f>
        <v>#REF!</v>
      </c>
      <c r="K386" s="12">
        <f t="shared" si="1"/>
        <v>0</v>
      </c>
      <c r="L386" s="13">
        <f>IFERROR(IF(C386="",0,IF(D386="PRETINA",SUMIFS($I$4:$I$385,$C$4:$C$385,C386,$D$4:$D$385,D386,$E$4:$E$385,E386,$F$4:$F$385,F386,$G$4:$G$385,G386,$H$4:$H$385,H386,$B$4:$B$385,"INGRESO")+SUMIFS($I$4:$I$385,$C$4:$C$385,C386,$D$4:$D$385,D386,$E$4:$E$385,E386,$F$4:$F$385,F386,$G$4:$G$385,G386,$H$4:$H$385,H386,$B$4:$B$385,"DE CORTE")-SUMIFS($I$4:$I$385,$C$4:$C$385,C386,$D$4:$D$385,D386,$E$4:$E$385,E386,$F$4:$F$385,F386,$G$4:$G$385,G386,$H$4:$H$385,H386,$B$4:$B$385,"SALIDA"),SUMIFS($I$4:$I$385,$C$4:$C$385,C386,$D$4:$D$385,D386,$E$4:$E$385,E386,$G$4:$G$385,G386,$H$4:$H$385,H386,$B$4:$B$385,"INGRESO")+SUMIFS($I$4:$I$385,$C$4:$C$385,C386,$D$4:$D$385,D386,$E$4:$E$385,E386,$G$4:$G$385,G386,$H$4:$H$385,H386,$B$4:$B$385,"DE CORTE")-SUMIFS($I$4:$I$385,$C$4:$C$385,C386,$D$4:$D$385,D386,$E$4:$E$385,E386,$G$4:$G$385,G386,$H$4:$H$385,H386,$B$4:$B$385,"SALIDA"))),0)</f>
        <v>0</v>
      </c>
      <c r="M386" s="13">
        <f t="shared" si="2"/>
        <v>0</v>
      </c>
      <c r="N386" s="14"/>
      <c r="O386" s="14"/>
      <c r="P386" s="15"/>
      <c r="Q386" s="14"/>
    </row>
    <row r="387" ht="15.75" customHeight="1">
      <c r="A387" s="7"/>
      <c r="B387" s="8"/>
      <c r="C387" s="8"/>
      <c r="D387" s="8"/>
      <c r="E387" s="8"/>
      <c r="F387" s="14"/>
      <c r="G387" s="8"/>
      <c r="H387" s="8"/>
      <c r="I387" s="9"/>
      <c r="J387" s="12" t="str">
        <f t="array" ref="J387:K387">IFERROR(INDEX(PRECIOS_COMPLEMENTOS!$C$4:$F$17,MATCH(D387&amp;"_"&amp;E387,PRECIOS_COMPLEMENTOS!$H$4:$H$17,0),IF(OR(H387="S",H387="20cm"),1,IF(OR(H387="M",H387="25cm"),2,IF(OR(H387="L",H387="30cm"),3,IF(OR(H387="XL",H387="35cm"),4,0))))),0)</f>
        <v>#REF!</v>
      </c>
      <c r="K387" s="12">
        <f t="shared" si="1"/>
        <v>0</v>
      </c>
      <c r="L387" s="13">
        <f>IFERROR(IF(C387="",0,IF(D387="PRETINA",SUMIFS($I$4:$I$386,$C$4:$C$386,C387,$D$4:$D$386,D387,$E$4:$E$386,E387,$F$4:$F$386,F387,$G$4:$G$386,G387,$H$4:$H$386,H387,$B$4:$B$386,"INGRESO")+SUMIFS($I$4:$I$386,$C$4:$C$386,C387,$D$4:$D$386,D387,$E$4:$E$386,E387,$F$4:$F$386,F387,$G$4:$G$386,G387,$H$4:$H$386,H387,$B$4:$B$386,"DE CORTE")-SUMIFS($I$4:$I$386,$C$4:$C$386,C387,$D$4:$D$386,D387,$E$4:$E$386,E387,$F$4:$F$386,F387,$G$4:$G$386,G387,$H$4:$H$386,H387,$B$4:$B$386,"SALIDA"),SUMIFS($I$4:$I$386,$C$4:$C$386,C387,$D$4:$D$386,D387,$E$4:$E$386,E387,$G$4:$G$386,G387,$H$4:$H$386,H387,$B$4:$B$386,"INGRESO")+SUMIFS($I$4:$I$386,$C$4:$C$386,C387,$D$4:$D$386,D387,$E$4:$E$386,E387,$G$4:$G$386,G387,$H$4:$H$386,H387,$B$4:$B$386,"DE CORTE")-SUMIFS($I$4:$I$386,$C$4:$C$386,C387,$D$4:$D$386,D387,$E$4:$E$386,E387,$G$4:$G$386,G387,$H$4:$H$386,H387,$B$4:$B$386,"SALIDA"))),0)</f>
        <v>0</v>
      </c>
      <c r="M387" s="13">
        <f t="shared" si="2"/>
        <v>0</v>
      </c>
      <c r="N387" s="14"/>
      <c r="O387" s="14"/>
      <c r="P387" s="15"/>
      <c r="Q387" s="14"/>
    </row>
    <row r="388" ht="15.75" customHeight="1">
      <c r="A388" s="7"/>
      <c r="B388" s="8"/>
      <c r="C388" s="8"/>
      <c r="D388" s="8"/>
      <c r="E388" s="8"/>
      <c r="F388" s="14"/>
      <c r="G388" s="8"/>
      <c r="H388" s="8"/>
      <c r="I388" s="9"/>
      <c r="J388" s="12" t="str">
        <f t="array" ref="J388:K388">IFERROR(INDEX(PRECIOS_COMPLEMENTOS!$C$4:$F$17,MATCH(D388&amp;"_"&amp;E388,PRECIOS_COMPLEMENTOS!$H$4:$H$17,0),IF(OR(H388="S",H388="20cm"),1,IF(OR(H388="M",H388="25cm"),2,IF(OR(H388="L",H388="30cm"),3,IF(OR(H388="XL",H388="35cm"),4,0))))),0)</f>
        <v>#REF!</v>
      </c>
      <c r="K388" s="12">
        <f t="shared" si="1"/>
        <v>0</v>
      </c>
      <c r="L388" s="13">
        <f>IFERROR(IF(C388="",0,IF(D388="PRETINA",SUMIFS($I$4:$I$387,$C$4:$C$387,C388,$D$4:$D$387,D388,$E$4:$E$387,E388,$F$4:$F$387,F388,$G$4:$G$387,G388,$H$4:$H$387,H388,$B$4:$B$387,"INGRESO")+SUMIFS($I$4:$I$387,$C$4:$C$387,C388,$D$4:$D$387,D388,$E$4:$E$387,E388,$F$4:$F$387,F388,$G$4:$G$387,G388,$H$4:$H$387,H388,$B$4:$B$387,"DE CORTE")-SUMIFS($I$4:$I$387,$C$4:$C$387,C388,$D$4:$D$387,D388,$E$4:$E$387,E388,$F$4:$F$387,F388,$G$4:$G$387,G388,$H$4:$H$387,H388,$B$4:$B$387,"SALIDA"),SUMIFS($I$4:$I$387,$C$4:$C$387,C388,$D$4:$D$387,D388,$E$4:$E$387,E388,$G$4:$G$387,G388,$H$4:$H$387,H388,$B$4:$B$387,"INGRESO")+SUMIFS($I$4:$I$387,$C$4:$C$387,C388,$D$4:$D$387,D388,$E$4:$E$387,E388,$G$4:$G$387,G388,$H$4:$H$387,H388,$B$4:$B$387,"DE CORTE")-SUMIFS($I$4:$I$387,$C$4:$C$387,C388,$D$4:$D$387,D388,$E$4:$E$387,E388,$G$4:$G$387,G388,$H$4:$H$387,H388,$B$4:$B$387,"SALIDA"))),0)</f>
        <v>0</v>
      </c>
      <c r="M388" s="13">
        <f t="shared" si="2"/>
        <v>0</v>
      </c>
      <c r="N388" s="14"/>
      <c r="O388" s="14"/>
      <c r="P388" s="15"/>
      <c r="Q388" s="14"/>
    </row>
    <row r="389" ht="15.75" customHeight="1">
      <c r="A389" s="7"/>
      <c r="B389" s="8"/>
      <c r="C389" s="8"/>
      <c r="D389" s="8"/>
      <c r="E389" s="8"/>
      <c r="F389" s="14"/>
      <c r="G389" s="8"/>
      <c r="H389" s="8"/>
      <c r="I389" s="9"/>
      <c r="J389" s="12" t="str">
        <f t="array" ref="J389:K389">IFERROR(INDEX(PRECIOS_COMPLEMENTOS!$C$4:$F$17,MATCH(D389&amp;"_"&amp;E389,PRECIOS_COMPLEMENTOS!$H$4:$H$17,0),IF(OR(H389="S",H389="20cm"),1,IF(OR(H389="M",H389="25cm"),2,IF(OR(H389="L",H389="30cm"),3,IF(OR(H389="XL",H389="35cm"),4,0))))),0)</f>
        <v>#REF!</v>
      </c>
      <c r="K389" s="12">
        <f t="shared" si="1"/>
        <v>0</v>
      </c>
      <c r="L389" s="13">
        <f>IFERROR(IF(C389="",0,IF(D389="PRETINA",SUMIFS($I$4:$I$388,$C$4:$C$388,C389,$D$4:$D$388,D389,$E$4:$E$388,E389,$F$4:$F$388,F389,$G$4:$G$388,G389,$H$4:$H$388,H389,$B$4:$B$388,"INGRESO")+SUMIFS($I$4:$I$388,$C$4:$C$388,C389,$D$4:$D$388,D389,$E$4:$E$388,E389,$F$4:$F$388,F389,$G$4:$G$388,G389,$H$4:$H$388,H389,$B$4:$B$388,"DE CORTE")-SUMIFS($I$4:$I$388,$C$4:$C$388,C389,$D$4:$D$388,D389,$E$4:$E$388,E389,$F$4:$F$388,F389,$G$4:$G$388,G389,$H$4:$H$388,H389,$B$4:$B$388,"SALIDA"),SUMIFS($I$4:$I$388,$C$4:$C$388,C389,$D$4:$D$388,D389,$E$4:$E$388,E389,$G$4:$G$388,G389,$H$4:$H$388,H389,$B$4:$B$388,"INGRESO")+SUMIFS($I$4:$I$388,$C$4:$C$388,C389,$D$4:$D$388,D389,$E$4:$E$388,E389,$G$4:$G$388,G389,$H$4:$H$388,H389,$B$4:$B$388,"DE CORTE")-SUMIFS($I$4:$I$388,$C$4:$C$388,C389,$D$4:$D$388,D389,$E$4:$E$388,E389,$G$4:$G$388,G389,$H$4:$H$388,H389,$B$4:$B$388,"SALIDA"))),0)</f>
        <v>0</v>
      </c>
      <c r="M389" s="13">
        <f t="shared" si="2"/>
        <v>0</v>
      </c>
      <c r="N389" s="14"/>
      <c r="O389" s="14"/>
      <c r="P389" s="15"/>
      <c r="Q389" s="14"/>
    </row>
    <row r="390" ht="15.75" customHeight="1">
      <c r="A390" s="7"/>
      <c r="B390" s="8"/>
      <c r="C390" s="8"/>
      <c r="D390" s="8"/>
      <c r="E390" s="8"/>
      <c r="F390" s="14"/>
      <c r="G390" s="8"/>
      <c r="H390" s="8"/>
      <c r="I390" s="9"/>
      <c r="J390" s="12" t="str">
        <f t="array" ref="J390:K390">IFERROR(INDEX(PRECIOS_COMPLEMENTOS!$C$4:$F$17,MATCH(D390&amp;"_"&amp;E390,PRECIOS_COMPLEMENTOS!$H$4:$H$17,0),IF(OR(H390="S",H390="20cm"),1,IF(OR(H390="M",H390="25cm"),2,IF(OR(H390="L",H390="30cm"),3,IF(OR(H390="XL",H390="35cm"),4,0))))),0)</f>
        <v>#REF!</v>
      </c>
      <c r="K390" s="12">
        <f t="shared" si="1"/>
        <v>0</v>
      </c>
      <c r="L390" s="13">
        <f>IFERROR(IF(C390="",0,IF(D390="PRETINA",SUMIFS($I$4:$I$389,$C$4:$C$389,C390,$D$4:$D$389,D390,$E$4:$E$389,E390,$F$4:$F$389,F390,$G$4:$G$389,G390,$H$4:$H$389,H390,$B$4:$B$389,"INGRESO")+SUMIFS($I$4:$I$389,$C$4:$C$389,C390,$D$4:$D$389,D390,$E$4:$E$389,E390,$F$4:$F$389,F390,$G$4:$G$389,G390,$H$4:$H$389,H390,$B$4:$B$389,"DE CORTE")-SUMIFS($I$4:$I$389,$C$4:$C$389,C390,$D$4:$D$389,D390,$E$4:$E$389,E390,$F$4:$F$389,F390,$G$4:$G$389,G390,$H$4:$H$389,H390,$B$4:$B$389,"SALIDA"),SUMIFS($I$4:$I$389,$C$4:$C$389,C390,$D$4:$D$389,D390,$E$4:$E$389,E390,$G$4:$G$389,G390,$H$4:$H$389,H390,$B$4:$B$389,"INGRESO")+SUMIFS($I$4:$I$389,$C$4:$C$389,C390,$D$4:$D$389,D390,$E$4:$E$389,E390,$G$4:$G$389,G390,$H$4:$H$389,H390,$B$4:$B$389,"DE CORTE")-SUMIFS($I$4:$I$389,$C$4:$C$389,C390,$D$4:$D$389,D390,$E$4:$E$389,E390,$G$4:$G$389,G390,$H$4:$H$389,H390,$B$4:$B$389,"SALIDA"))),0)</f>
        <v>0</v>
      </c>
      <c r="M390" s="13">
        <f t="shared" si="2"/>
        <v>0</v>
      </c>
      <c r="N390" s="14"/>
      <c r="O390" s="14"/>
      <c r="P390" s="15"/>
      <c r="Q390" s="14"/>
    </row>
    <row r="391" ht="15.75" customHeight="1">
      <c r="A391" s="7"/>
      <c r="B391" s="8"/>
      <c r="C391" s="8"/>
      <c r="D391" s="8"/>
      <c r="E391" s="8"/>
      <c r="F391" s="14"/>
      <c r="G391" s="8"/>
      <c r="H391" s="8"/>
      <c r="I391" s="9"/>
      <c r="J391" s="12" t="str">
        <f t="array" ref="J391:K391">IFERROR(INDEX(PRECIOS_COMPLEMENTOS!$C$4:$F$17,MATCH(D391&amp;"_"&amp;E391,PRECIOS_COMPLEMENTOS!$H$4:$H$17,0),IF(OR(H391="S",H391="20cm"),1,IF(OR(H391="M",H391="25cm"),2,IF(OR(H391="L",H391="30cm"),3,IF(OR(H391="XL",H391="35cm"),4,0))))),0)</f>
        <v>#REF!</v>
      </c>
      <c r="K391" s="12">
        <f t="shared" si="1"/>
        <v>0</v>
      </c>
      <c r="L391" s="13">
        <f>IFERROR(IF(C391="",0,IF(D391="PRETINA",SUMIFS($I$4:$I$390,$C$4:$C$390,C391,$D$4:$D$390,D391,$E$4:$E$390,E391,$F$4:$F$390,F391,$G$4:$G$390,G391,$H$4:$H$390,H391,$B$4:$B$390,"INGRESO")+SUMIFS($I$4:$I$390,$C$4:$C$390,C391,$D$4:$D$390,D391,$E$4:$E$390,E391,$F$4:$F$390,F391,$G$4:$G$390,G391,$H$4:$H$390,H391,$B$4:$B$390,"DE CORTE")-SUMIFS($I$4:$I$390,$C$4:$C$390,C391,$D$4:$D$390,D391,$E$4:$E$390,E391,$F$4:$F$390,F391,$G$4:$G$390,G391,$H$4:$H$390,H391,$B$4:$B$390,"SALIDA"),SUMIFS($I$4:$I$390,$C$4:$C$390,C391,$D$4:$D$390,D391,$E$4:$E$390,E391,$G$4:$G$390,G391,$H$4:$H$390,H391,$B$4:$B$390,"INGRESO")+SUMIFS($I$4:$I$390,$C$4:$C$390,C391,$D$4:$D$390,D391,$E$4:$E$390,E391,$G$4:$G$390,G391,$H$4:$H$390,H391,$B$4:$B$390,"DE CORTE")-SUMIFS($I$4:$I$390,$C$4:$C$390,C391,$D$4:$D$390,D391,$E$4:$E$390,E391,$G$4:$G$390,G391,$H$4:$H$390,H391,$B$4:$B$390,"SALIDA"))),0)</f>
        <v>0</v>
      </c>
      <c r="M391" s="13">
        <f t="shared" si="2"/>
        <v>0</v>
      </c>
      <c r="N391" s="14"/>
      <c r="O391" s="14"/>
      <c r="P391" s="15"/>
      <c r="Q391" s="14"/>
    </row>
    <row r="392" ht="15.75" customHeight="1">
      <c r="A392" s="7"/>
      <c r="B392" s="8"/>
      <c r="C392" s="8"/>
      <c r="D392" s="8"/>
      <c r="E392" s="8"/>
      <c r="F392" s="14"/>
      <c r="G392" s="8"/>
      <c r="H392" s="8"/>
      <c r="I392" s="9"/>
      <c r="J392" s="12" t="str">
        <f t="array" ref="J392:K392">IFERROR(INDEX(PRECIOS_COMPLEMENTOS!$C$4:$F$17,MATCH(D392&amp;"_"&amp;E392,PRECIOS_COMPLEMENTOS!$H$4:$H$17,0),IF(OR(H392="S",H392="20cm"),1,IF(OR(H392="M",H392="25cm"),2,IF(OR(H392="L",H392="30cm"),3,IF(OR(H392="XL",H392="35cm"),4,0))))),0)</f>
        <v>#REF!</v>
      </c>
      <c r="K392" s="12">
        <f t="shared" si="1"/>
        <v>0</v>
      </c>
      <c r="L392" s="13">
        <f>IFERROR(IF(C392="",0,IF(D392="PRETINA",SUMIFS($I$4:$I$391,$C$4:$C$391,C392,$D$4:$D$391,D392,$E$4:$E$391,E392,$F$4:$F$391,F392,$G$4:$G$391,G392,$H$4:$H$391,H392,$B$4:$B$391,"INGRESO")+SUMIFS($I$4:$I$391,$C$4:$C$391,C392,$D$4:$D$391,D392,$E$4:$E$391,E392,$F$4:$F$391,F392,$G$4:$G$391,G392,$H$4:$H$391,H392,$B$4:$B$391,"DE CORTE")-SUMIFS($I$4:$I$391,$C$4:$C$391,C392,$D$4:$D$391,D392,$E$4:$E$391,E392,$F$4:$F$391,F392,$G$4:$G$391,G392,$H$4:$H$391,H392,$B$4:$B$391,"SALIDA"),SUMIFS($I$4:$I$391,$C$4:$C$391,C392,$D$4:$D$391,D392,$E$4:$E$391,E392,$G$4:$G$391,G392,$H$4:$H$391,H392,$B$4:$B$391,"INGRESO")+SUMIFS($I$4:$I$391,$C$4:$C$391,C392,$D$4:$D$391,D392,$E$4:$E$391,E392,$G$4:$G$391,G392,$H$4:$H$391,H392,$B$4:$B$391,"DE CORTE")-SUMIFS($I$4:$I$391,$C$4:$C$391,C392,$D$4:$D$391,D392,$E$4:$E$391,E392,$G$4:$G$391,G392,$H$4:$H$391,H392,$B$4:$B$391,"SALIDA"))),0)</f>
        <v>0</v>
      </c>
      <c r="M392" s="13">
        <f t="shared" si="2"/>
        <v>0</v>
      </c>
      <c r="N392" s="14"/>
      <c r="O392" s="14"/>
      <c r="P392" s="15"/>
      <c r="Q392" s="14"/>
    </row>
    <row r="393" ht="15.75" customHeight="1">
      <c r="A393" s="7"/>
      <c r="B393" s="8"/>
      <c r="C393" s="8"/>
      <c r="D393" s="8"/>
      <c r="E393" s="8"/>
      <c r="F393" s="14"/>
      <c r="G393" s="8"/>
      <c r="H393" s="8"/>
      <c r="I393" s="9"/>
      <c r="J393" s="12" t="str">
        <f t="array" ref="J393:K393">IFERROR(INDEX(PRECIOS_COMPLEMENTOS!$C$4:$F$17,MATCH(D393&amp;"_"&amp;E393,PRECIOS_COMPLEMENTOS!$H$4:$H$17,0),IF(OR(H393="S",H393="20cm"),1,IF(OR(H393="M",H393="25cm"),2,IF(OR(H393="L",H393="30cm"),3,IF(OR(H393="XL",H393="35cm"),4,0))))),0)</f>
        <v>#REF!</v>
      </c>
      <c r="K393" s="12">
        <f t="shared" si="1"/>
        <v>0</v>
      </c>
      <c r="L393" s="13">
        <f>IFERROR(IF(C393="",0,IF(D393="PRETINA",SUMIFS($I$4:$I$392,$C$4:$C$392,C393,$D$4:$D$392,D393,$E$4:$E$392,E393,$F$4:$F$392,F393,$G$4:$G$392,G393,$H$4:$H$392,H393,$B$4:$B$392,"INGRESO")+SUMIFS($I$4:$I$392,$C$4:$C$392,C393,$D$4:$D$392,D393,$E$4:$E$392,E393,$F$4:$F$392,F393,$G$4:$G$392,G393,$H$4:$H$392,H393,$B$4:$B$392,"DE CORTE")-SUMIFS($I$4:$I$392,$C$4:$C$392,C393,$D$4:$D$392,D393,$E$4:$E$392,E393,$F$4:$F$392,F393,$G$4:$G$392,G393,$H$4:$H$392,H393,$B$4:$B$392,"SALIDA"),SUMIFS($I$4:$I$392,$C$4:$C$392,C393,$D$4:$D$392,D393,$E$4:$E$392,E393,$G$4:$G$392,G393,$H$4:$H$392,H393,$B$4:$B$392,"INGRESO")+SUMIFS($I$4:$I$392,$C$4:$C$392,C393,$D$4:$D$392,D393,$E$4:$E$392,E393,$G$4:$G$392,G393,$H$4:$H$392,H393,$B$4:$B$392,"DE CORTE")-SUMIFS($I$4:$I$392,$C$4:$C$392,C393,$D$4:$D$392,D393,$E$4:$E$392,E393,$G$4:$G$392,G393,$H$4:$H$392,H393,$B$4:$B$392,"SALIDA"))),0)</f>
        <v>0</v>
      </c>
      <c r="M393" s="13">
        <f t="shared" si="2"/>
        <v>0</v>
      </c>
      <c r="N393" s="14"/>
      <c r="O393" s="14"/>
      <c r="P393" s="15"/>
      <c r="Q393" s="14"/>
    </row>
    <row r="394" ht="15.75" customHeight="1">
      <c r="A394" s="7"/>
      <c r="B394" s="8"/>
      <c r="C394" s="8"/>
      <c r="D394" s="8"/>
      <c r="E394" s="8"/>
      <c r="F394" s="14"/>
      <c r="G394" s="8"/>
      <c r="H394" s="8"/>
      <c r="I394" s="9"/>
      <c r="J394" s="12" t="str">
        <f t="array" ref="J394:K394">IFERROR(INDEX(PRECIOS_COMPLEMENTOS!$C$4:$F$17,MATCH(D394&amp;"_"&amp;E394,PRECIOS_COMPLEMENTOS!$H$4:$H$17,0),IF(OR(H394="S",H394="20cm"),1,IF(OR(H394="M",H394="25cm"),2,IF(OR(H394="L",H394="30cm"),3,IF(OR(H394="XL",H394="35cm"),4,0))))),0)</f>
        <v>#REF!</v>
      </c>
      <c r="K394" s="12">
        <f t="shared" si="1"/>
        <v>0</v>
      </c>
      <c r="L394" s="13">
        <f>IFERROR(IF(C394="",0,IF(D394="PRETINA",SUMIFS($I$4:$I$393,$C$4:$C$393,C394,$D$4:$D$393,D394,$E$4:$E$393,E394,$F$4:$F$393,F394,$G$4:$G$393,G394,$H$4:$H$393,H394,$B$4:$B$393,"INGRESO")+SUMIFS($I$4:$I$393,$C$4:$C$393,C394,$D$4:$D$393,D394,$E$4:$E$393,E394,$F$4:$F$393,F394,$G$4:$G$393,G394,$H$4:$H$393,H394,$B$4:$B$393,"DE CORTE")-SUMIFS($I$4:$I$393,$C$4:$C$393,C394,$D$4:$D$393,D394,$E$4:$E$393,E394,$F$4:$F$393,F394,$G$4:$G$393,G394,$H$4:$H$393,H394,$B$4:$B$393,"SALIDA"),SUMIFS($I$4:$I$393,$C$4:$C$393,C394,$D$4:$D$393,D394,$E$4:$E$393,E394,$G$4:$G$393,G394,$H$4:$H$393,H394,$B$4:$B$393,"INGRESO")+SUMIFS($I$4:$I$393,$C$4:$C$393,C394,$D$4:$D$393,D394,$E$4:$E$393,E394,$G$4:$G$393,G394,$H$4:$H$393,H394,$B$4:$B$393,"DE CORTE")-SUMIFS($I$4:$I$393,$C$4:$C$393,C394,$D$4:$D$393,D394,$E$4:$E$393,E394,$G$4:$G$393,G394,$H$4:$H$393,H394,$B$4:$B$393,"SALIDA"))),0)</f>
        <v>0</v>
      </c>
      <c r="M394" s="13">
        <f t="shared" si="2"/>
        <v>0</v>
      </c>
      <c r="N394" s="14"/>
      <c r="O394" s="14"/>
      <c r="P394" s="15"/>
      <c r="Q394" s="14"/>
    </row>
    <row r="395" ht="15.75" customHeight="1">
      <c r="A395" s="7"/>
      <c r="B395" s="8"/>
      <c r="C395" s="8"/>
      <c r="D395" s="8"/>
      <c r="E395" s="8"/>
      <c r="F395" s="14"/>
      <c r="G395" s="8"/>
      <c r="H395" s="8"/>
      <c r="I395" s="9"/>
      <c r="J395" s="12" t="str">
        <f t="array" ref="J395:K395">IFERROR(INDEX(PRECIOS_COMPLEMENTOS!$C$4:$F$17,MATCH(D395&amp;"_"&amp;E395,PRECIOS_COMPLEMENTOS!$H$4:$H$17,0),IF(OR(H395="S",H395="20cm"),1,IF(OR(H395="M",H395="25cm"),2,IF(OR(H395="L",H395="30cm"),3,IF(OR(H395="XL",H395="35cm"),4,0))))),0)</f>
        <v>#REF!</v>
      </c>
      <c r="K395" s="12">
        <f t="shared" si="1"/>
        <v>0</v>
      </c>
      <c r="L395" s="13">
        <f>IFERROR(IF(C395="",0,IF(D395="PRETINA",SUMIFS($I$4:$I$394,$C$4:$C$394,C395,$D$4:$D$394,D395,$E$4:$E$394,E395,$F$4:$F$394,F395,$G$4:$G$394,G395,$H$4:$H$394,H395,$B$4:$B$394,"INGRESO")+SUMIFS($I$4:$I$394,$C$4:$C$394,C395,$D$4:$D$394,D395,$E$4:$E$394,E395,$F$4:$F$394,F395,$G$4:$G$394,G395,$H$4:$H$394,H395,$B$4:$B$394,"DE CORTE")-SUMIFS($I$4:$I$394,$C$4:$C$394,C395,$D$4:$D$394,D395,$E$4:$E$394,E395,$F$4:$F$394,F395,$G$4:$G$394,G395,$H$4:$H$394,H395,$B$4:$B$394,"SALIDA"),SUMIFS($I$4:$I$394,$C$4:$C$394,C395,$D$4:$D$394,D395,$E$4:$E$394,E395,$G$4:$G$394,G395,$H$4:$H$394,H395,$B$4:$B$394,"INGRESO")+SUMIFS($I$4:$I$394,$C$4:$C$394,C395,$D$4:$D$394,D395,$E$4:$E$394,E395,$G$4:$G$394,G395,$H$4:$H$394,H395,$B$4:$B$394,"DE CORTE")-SUMIFS($I$4:$I$394,$C$4:$C$394,C395,$D$4:$D$394,D395,$E$4:$E$394,E395,$G$4:$G$394,G395,$H$4:$H$394,H395,$B$4:$B$394,"SALIDA"))),0)</f>
        <v>0</v>
      </c>
      <c r="M395" s="13">
        <f t="shared" si="2"/>
        <v>0</v>
      </c>
      <c r="N395" s="14"/>
      <c r="O395" s="14"/>
      <c r="P395" s="15"/>
      <c r="Q395" s="14"/>
    </row>
    <row r="396" ht="15.75" customHeight="1">
      <c r="A396" s="7"/>
      <c r="B396" s="8"/>
      <c r="C396" s="8"/>
      <c r="D396" s="8"/>
      <c r="E396" s="8"/>
      <c r="F396" s="14"/>
      <c r="G396" s="8"/>
      <c r="H396" s="8"/>
      <c r="I396" s="9"/>
      <c r="J396" s="12" t="str">
        <f t="array" ref="J396:K396">IFERROR(INDEX(PRECIOS_COMPLEMENTOS!$C$4:$F$17,MATCH(D396&amp;"_"&amp;E396,PRECIOS_COMPLEMENTOS!$H$4:$H$17,0),IF(OR(H396="S",H396="20cm"),1,IF(OR(H396="M",H396="25cm"),2,IF(OR(H396="L",H396="30cm"),3,IF(OR(H396="XL",H396="35cm"),4,0))))),0)</f>
        <v>#REF!</v>
      </c>
      <c r="K396" s="12">
        <f t="shared" si="1"/>
        <v>0</v>
      </c>
      <c r="L396" s="13">
        <f>IFERROR(IF(C396="",0,IF(D396="PRETINA",SUMIFS($I$4:$I$395,$C$4:$C$395,C396,$D$4:$D$395,D396,$E$4:$E$395,E396,$F$4:$F$395,F396,$G$4:$G$395,G396,$H$4:$H$395,H396,$B$4:$B$395,"INGRESO")+SUMIFS($I$4:$I$395,$C$4:$C$395,C396,$D$4:$D$395,D396,$E$4:$E$395,E396,$F$4:$F$395,F396,$G$4:$G$395,G396,$H$4:$H$395,H396,$B$4:$B$395,"DE CORTE")-SUMIFS($I$4:$I$395,$C$4:$C$395,C396,$D$4:$D$395,D396,$E$4:$E$395,E396,$F$4:$F$395,F396,$G$4:$G$395,G396,$H$4:$H$395,H396,$B$4:$B$395,"SALIDA"),SUMIFS($I$4:$I$395,$C$4:$C$395,C396,$D$4:$D$395,D396,$E$4:$E$395,E396,$G$4:$G$395,G396,$H$4:$H$395,H396,$B$4:$B$395,"INGRESO")+SUMIFS($I$4:$I$395,$C$4:$C$395,C396,$D$4:$D$395,D396,$E$4:$E$395,E396,$G$4:$G$395,G396,$H$4:$H$395,H396,$B$4:$B$395,"DE CORTE")-SUMIFS($I$4:$I$395,$C$4:$C$395,C396,$D$4:$D$395,D396,$E$4:$E$395,E396,$G$4:$G$395,G396,$H$4:$H$395,H396,$B$4:$B$395,"SALIDA"))),0)</f>
        <v>0</v>
      </c>
      <c r="M396" s="13">
        <f t="shared" si="2"/>
        <v>0</v>
      </c>
      <c r="N396" s="14"/>
      <c r="O396" s="14"/>
      <c r="P396" s="15"/>
      <c r="Q396" s="14"/>
    </row>
    <row r="397" ht="15.75" customHeight="1">
      <c r="A397" s="7"/>
      <c r="B397" s="8"/>
      <c r="C397" s="8"/>
      <c r="D397" s="8"/>
      <c r="E397" s="8"/>
      <c r="F397" s="14"/>
      <c r="G397" s="8"/>
      <c r="H397" s="8"/>
      <c r="I397" s="9"/>
      <c r="J397" s="12" t="str">
        <f t="array" ref="J397:K397">IFERROR(INDEX(PRECIOS_COMPLEMENTOS!$C$4:$F$17,MATCH(D397&amp;"_"&amp;E397,PRECIOS_COMPLEMENTOS!$H$4:$H$17,0),IF(OR(H397="S",H397="20cm"),1,IF(OR(H397="M",H397="25cm"),2,IF(OR(H397="L",H397="30cm"),3,IF(OR(H397="XL",H397="35cm"),4,0))))),0)</f>
        <v>#REF!</v>
      </c>
      <c r="K397" s="12">
        <f t="shared" si="1"/>
        <v>0</v>
      </c>
      <c r="L397" s="13">
        <f>IFERROR(IF(C397="",0,IF(D397="PRETINA",SUMIFS($I$4:$I$396,$C$4:$C$396,C397,$D$4:$D$396,D397,$E$4:$E$396,E397,$F$4:$F$396,F397,$G$4:$G$396,G397,$H$4:$H$396,H397,$B$4:$B$396,"INGRESO")+SUMIFS($I$4:$I$396,$C$4:$C$396,C397,$D$4:$D$396,D397,$E$4:$E$396,E397,$F$4:$F$396,F397,$G$4:$G$396,G397,$H$4:$H$396,H397,$B$4:$B$396,"DE CORTE")-SUMIFS($I$4:$I$396,$C$4:$C$396,C397,$D$4:$D$396,D397,$E$4:$E$396,E397,$F$4:$F$396,F397,$G$4:$G$396,G397,$H$4:$H$396,H397,$B$4:$B$396,"SALIDA"),SUMIFS($I$4:$I$396,$C$4:$C$396,C397,$D$4:$D$396,D397,$E$4:$E$396,E397,$G$4:$G$396,G397,$H$4:$H$396,H397,$B$4:$B$396,"INGRESO")+SUMIFS($I$4:$I$396,$C$4:$C$396,C397,$D$4:$D$396,D397,$E$4:$E$396,E397,$G$4:$G$396,G397,$H$4:$H$396,H397,$B$4:$B$396,"DE CORTE")-SUMIFS($I$4:$I$396,$C$4:$C$396,C397,$D$4:$D$396,D397,$E$4:$E$396,E397,$G$4:$G$396,G397,$H$4:$H$396,H397,$B$4:$B$396,"SALIDA"))),0)</f>
        <v>0</v>
      </c>
      <c r="M397" s="13">
        <f t="shared" si="2"/>
        <v>0</v>
      </c>
      <c r="N397" s="14"/>
      <c r="O397" s="14"/>
      <c r="P397" s="15"/>
      <c r="Q397" s="14"/>
    </row>
    <row r="398" ht="15.75" customHeight="1">
      <c r="A398" s="7"/>
      <c r="B398" s="8"/>
      <c r="C398" s="8"/>
      <c r="D398" s="8"/>
      <c r="E398" s="8"/>
      <c r="F398" s="14"/>
      <c r="G398" s="8"/>
      <c r="H398" s="8"/>
      <c r="I398" s="9"/>
      <c r="J398" s="12" t="str">
        <f t="array" ref="J398:K398">IFERROR(INDEX(PRECIOS_COMPLEMENTOS!$C$4:$F$17,MATCH(D398&amp;"_"&amp;E398,PRECIOS_COMPLEMENTOS!$H$4:$H$17,0),IF(OR(H398="S",H398="20cm"),1,IF(OR(H398="M",H398="25cm"),2,IF(OR(H398="L",H398="30cm"),3,IF(OR(H398="XL",H398="35cm"),4,0))))),0)</f>
        <v>#REF!</v>
      </c>
      <c r="K398" s="12">
        <f t="shared" si="1"/>
        <v>0</v>
      </c>
      <c r="L398" s="13">
        <f>IFERROR(IF(C398="",0,IF(D398="PRETINA",SUMIFS($I$4:$I$397,$C$4:$C$397,C398,$D$4:$D$397,D398,$E$4:$E$397,E398,$F$4:$F$397,F398,$G$4:$G$397,G398,$H$4:$H$397,H398,$B$4:$B$397,"INGRESO")+SUMIFS($I$4:$I$397,$C$4:$C$397,C398,$D$4:$D$397,D398,$E$4:$E$397,E398,$F$4:$F$397,F398,$G$4:$G$397,G398,$H$4:$H$397,H398,$B$4:$B$397,"DE CORTE")-SUMIFS($I$4:$I$397,$C$4:$C$397,C398,$D$4:$D$397,D398,$E$4:$E$397,E398,$F$4:$F$397,F398,$G$4:$G$397,G398,$H$4:$H$397,H398,$B$4:$B$397,"SALIDA"),SUMIFS($I$4:$I$397,$C$4:$C$397,C398,$D$4:$D$397,D398,$E$4:$E$397,E398,$G$4:$G$397,G398,$H$4:$H$397,H398,$B$4:$B$397,"INGRESO")+SUMIFS($I$4:$I$397,$C$4:$C$397,C398,$D$4:$D$397,D398,$E$4:$E$397,E398,$G$4:$G$397,G398,$H$4:$H$397,H398,$B$4:$B$397,"DE CORTE")-SUMIFS($I$4:$I$397,$C$4:$C$397,C398,$D$4:$D$397,D398,$E$4:$E$397,E398,$G$4:$G$397,G398,$H$4:$H$397,H398,$B$4:$B$397,"SALIDA"))),0)</f>
        <v>0</v>
      </c>
      <c r="M398" s="13">
        <f t="shared" si="2"/>
        <v>0</v>
      </c>
      <c r="N398" s="14"/>
      <c r="O398" s="14"/>
      <c r="P398" s="15"/>
      <c r="Q398" s="14"/>
    </row>
    <row r="399" ht="15.75" customHeight="1">
      <c r="A399" s="7"/>
      <c r="B399" s="8"/>
      <c r="C399" s="8"/>
      <c r="D399" s="8"/>
      <c r="E399" s="8"/>
      <c r="F399" s="14"/>
      <c r="G399" s="8"/>
      <c r="H399" s="8"/>
      <c r="I399" s="9"/>
      <c r="J399" s="12" t="str">
        <f t="array" ref="J399:K399">IFERROR(INDEX(PRECIOS_COMPLEMENTOS!$C$4:$F$17,MATCH(D399&amp;"_"&amp;E399,PRECIOS_COMPLEMENTOS!$H$4:$H$17,0),IF(OR(H399="S",H399="20cm"),1,IF(OR(H399="M",H399="25cm"),2,IF(OR(H399="L",H399="30cm"),3,IF(OR(H399="XL",H399="35cm"),4,0))))),0)</f>
        <v>#REF!</v>
      </c>
      <c r="K399" s="12">
        <f t="shared" si="1"/>
        <v>0</v>
      </c>
      <c r="L399" s="13">
        <f>IFERROR(IF(C399="",0,IF(D399="PRETINA",SUMIFS($I$4:$I$398,$C$4:$C$398,C399,$D$4:$D$398,D399,$E$4:$E$398,E399,$F$4:$F$398,F399,$G$4:$G$398,G399,$H$4:$H$398,H399,$B$4:$B$398,"INGRESO")+SUMIFS($I$4:$I$398,$C$4:$C$398,C399,$D$4:$D$398,D399,$E$4:$E$398,E399,$F$4:$F$398,F399,$G$4:$G$398,G399,$H$4:$H$398,H399,$B$4:$B$398,"DE CORTE")-SUMIFS($I$4:$I$398,$C$4:$C$398,C399,$D$4:$D$398,D399,$E$4:$E$398,E399,$F$4:$F$398,F399,$G$4:$G$398,G399,$H$4:$H$398,H399,$B$4:$B$398,"SALIDA"),SUMIFS($I$4:$I$398,$C$4:$C$398,C399,$D$4:$D$398,D399,$E$4:$E$398,E399,$G$4:$G$398,G399,$H$4:$H$398,H399,$B$4:$B$398,"INGRESO")+SUMIFS($I$4:$I$398,$C$4:$C$398,C399,$D$4:$D$398,D399,$E$4:$E$398,E399,$G$4:$G$398,G399,$H$4:$H$398,H399,$B$4:$B$398,"DE CORTE")-SUMIFS($I$4:$I$398,$C$4:$C$398,C399,$D$4:$D$398,D399,$E$4:$E$398,E399,$G$4:$G$398,G399,$H$4:$H$398,H399,$B$4:$B$398,"SALIDA"))),0)</f>
        <v>0</v>
      </c>
      <c r="M399" s="13">
        <f t="shared" si="2"/>
        <v>0</v>
      </c>
      <c r="N399" s="14"/>
      <c r="O399" s="14"/>
      <c r="P399" s="15"/>
      <c r="Q399" s="14"/>
    </row>
    <row r="400" ht="15.75" customHeight="1">
      <c r="A400" s="7"/>
      <c r="B400" s="8"/>
      <c r="C400" s="8"/>
      <c r="D400" s="8"/>
      <c r="E400" s="8"/>
      <c r="F400" s="14"/>
      <c r="G400" s="8"/>
      <c r="H400" s="8"/>
      <c r="I400" s="9"/>
      <c r="J400" s="12" t="str">
        <f t="array" ref="J400:K400">IFERROR(INDEX(PRECIOS_COMPLEMENTOS!$C$4:$F$17,MATCH(D400&amp;"_"&amp;E400,PRECIOS_COMPLEMENTOS!$H$4:$H$17,0),IF(OR(H400="S",H400="20cm"),1,IF(OR(H400="M",H400="25cm"),2,IF(OR(H400="L",H400="30cm"),3,IF(OR(H400="XL",H400="35cm"),4,0))))),0)</f>
        <v>#REF!</v>
      </c>
      <c r="K400" s="12">
        <f t="shared" si="1"/>
        <v>0</v>
      </c>
      <c r="L400" s="13">
        <f>IFERROR(IF(C400="",0,IF(D400="PRETINA",SUMIFS($I$4:$I$399,$C$4:$C$399,C400,$D$4:$D$399,D400,$E$4:$E$399,E400,$F$4:$F$399,F400,$G$4:$G$399,G400,$H$4:$H$399,H400,$B$4:$B$399,"INGRESO")+SUMIFS($I$4:$I$399,$C$4:$C$399,C400,$D$4:$D$399,D400,$E$4:$E$399,E400,$F$4:$F$399,F400,$G$4:$G$399,G400,$H$4:$H$399,H400,$B$4:$B$399,"DE CORTE")-SUMIFS($I$4:$I$399,$C$4:$C$399,C400,$D$4:$D$399,D400,$E$4:$E$399,E400,$F$4:$F$399,F400,$G$4:$G$399,G400,$H$4:$H$399,H400,$B$4:$B$399,"SALIDA"),SUMIFS($I$4:$I$399,$C$4:$C$399,C400,$D$4:$D$399,D400,$E$4:$E$399,E400,$G$4:$G$399,G400,$H$4:$H$399,H400,$B$4:$B$399,"INGRESO")+SUMIFS($I$4:$I$399,$C$4:$C$399,C400,$D$4:$D$399,D400,$E$4:$E$399,E400,$G$4:$G$399,G400,$H$4:$H$399,H400,$B$4:$B$399,"DE CORTE")-SUMIFS($I$4:$I$399,$C$4:$C$399,C400,$D$4:$D$399,D400,$E$4:$E$399,E400,$G$4:$G$399,G400,$H$4:$H$399,H400,$B$4:$B$399,"SALIDA"))),0)</f>
        <v>0</v>
      </c>
      <c r="M400" s="13">
        <f t="shared" si="2"/>
        <v>0</v>
      </c>
      <c r="N400" s="14"/>
      <c r="O400" s="14"/>
      <c r="P400" s="15"/>
      <c r="Q400" s="14"/>
    </row>
    <row r="401" ht="15.75" customHeight="1">
      <c r="A401" s="7"/>
      <c r="B401" s="8"/>
      <c r="C401" s="8"/>
      <c r="D401" s="8"/>
      <c r="E401" s="8"/>
      <c r="F401" s="14"/>
      <c r="G401" s="8"/>
      <c r="H401" s="8"/>
      <c r="I401" s="9"/>
      <c r="J401" s="12" t="str">
        <f t="array" ref="J401:K401">IFERROR(INDEX(PRECIOS_COMPLEMENTOS!$C$4:$F$17,MATCH(D401&amp;"_"&amp;E401,PRECIOS_COMPLEMENTOS!$H$4:$H$17,0),IF(OR(H401="S",H401="20cm"),1,IF(OR(H401="M",H401="25cm"),2,IF(OR(H401="L",H401="30cm"),3,IF(OR(H401="XL",H401="35cm"),4,0))))),0)</f>
        <v>#REF!</v>
      </c>
      <c r="K401" s="12">
        <f t="shared" si="1"/>
        <v>0</v>
      </c>
      <c r="L401" s="13">
        <f>IFERROR(IF(C401="",0,IF(D401="PRETINA",SUMIFS($I$4:$I$400,$C$4:$C$400,C401,$D$4:$D$400,D401,$E$4:$E$400,E401,$F$4:$F$400,F401,$G$4:$G$400,G401,$H$4:$H$400,H401,$B$4:$B$400,"INGRESO")+SUMIFS($I$4:$I$400,$C$4:$C$400,C401,$D$4:$D$400,D401,$E$4:$E$400,E401,$F$4:$F$400,F401,$G$4:$G$400,G401,$H$4:$H$400,H401,$B$4:$B$400,"DE CORTE")-SUMIFS($I$4:$I$400,$C$4:$C$400,C401,$D$4:$D$400,D401,$E$4:$E$400,E401,$F$4:$F$400,F401,$G$4:$G$400,G401,$H$4:$H$400,H401,$B$4:$B$400,"SALIDA"),SUMIFS($I$4:$I$400,$C$4:$C$400,C401,$D$4:$D$400,D401,$E$4:$E$400,E401,$G$4:$G$400,G401,$H$4:$H$400,H401,$B$4:$B$400,"INGRESO")+SUMIFS($I$4:$I$400,$C$4:$C$400,C401,$D$4:$D$400,D401,$E$4:$E$400,E401,$G$4:$G$400,G401,$H$4:$H$400,H401,$B$4:$B$400,"DE CORTE")-SUMIFS($I$4:$I$400,$C$4:$C$400,C401,$D$4:$D$400,D401,$E$4:$E$400,E401,$G$4:$G$400,G401,$H$4:$H$400,H401,$B$4:$B$400,"SALIDA"))),0)</f>
        <v>0</v>
      </c>
      <c r="M401" s="13">
        <f t="shared" si="2"/>
        <v>0</v>
      </c>
      <c r="N401" s="14"/>
      <c r="O401" s="14"/>
      <c r="P401" s="15"/>
      <c r="Q401" s="14"/>
    </row>
    <row r="402" ht="15.75" customHeight="1">
      <c r="A402" s="7"/>
      <c r="B402" s="8"/>
      <c r="C402" s="8"/>
      <c r="D402" s="8"/>
      <c r="E402" s="8"/>
      <c r="F402" s="14"/>
      <c r="G402" s="8"/>
      <c r="H402" s="8"/>
      <c r="I402" s="9"/>
      <c r="J402" s="12" t="str">
        <f t="array" ref="J402:K402">IFERROR(INDEX(PRECIOS_COMPLEMENTOS!$C$4:$F$17,MATCH(D402&amp;"_"&amp;E402,PRECIOS_COMPLEMENTOS!$H$4:$H$17,0),IF(OR(H402="S",H402="20cm"),1,IF(OR(H402="M",H402="25cm"),2,IF(OR(H402="L",H402="30cm"),3,IF(OR(H402="XL",H402="35cm"),4,0))))),0)</f>
        <v>#REF!</v>
      </c>
      <c r="K402" s="12">
        <f t="shared" si="1"/>
        <v>0</v>
      </c>
      <c r="L402" s="13">
        <f>IFERROR(IF(C402="",0,IF(D402="PRETINA",SUMIFS($I$4:$I$401,$C$4:$C$401,C402,$D$4:$D$401,D402,$E$4:$E$401,E402,$F$4:$F$401,F402,$G$4:$G$401,G402,$H$4:$H$401,H402,$B$4:$B$401,"INGRESO")+SUMIFS($I$4:$I$401,$C$4:$C$401,C402,$D$4:$D$401,D402,$E$4:$E$401,E402,$F$4:$F$401,F402,$G$4:$G$401,G402,$H$4:$H$401,H402,$B$4:$B$401,"DE CORTE")-SUMIFS($I$4:$I$401,$C$4:$C$401,C402,$D$4:$D$401,D402,$E$4:$E$401,E402,$F$4:$F$401,F402,$G$4:$G$401,G402,$H$4:$H$401,H402,$B$4:$B$401,"SALIDA"),SUMIFS($I$4:$I$401,$C$4:$C$401,C402,$D$4:$D$401,D402,$E$4:$E$401,E402,$G$4:$G$401,G402,$H$4:$H$401,H402,$B$4:$B$401,"INGRESO")+SUMIFS($I$4:$I$401,$C$4:$C$401,C402,$D$4:$D$401,D402,$E$4:$E$401,E402,$G$4:$G$401,G402,$H$4:$H$401,H402,$B$4:$B$401,"DE CORTE")-SUMIFS($I$4:$I$401,$C$4:$C$401,C402,$D$4:$D$401,D402,$E$4:$E$401,E402,$G$4:$G$401,G402,$H$4:$H$401,H402,$B$4:$B$401,"SALIDA"))),0)</f>
        <v>0</v>
      </c>
      <c r="M402" s="13">
        <f t="shared" si="2"/>
        <v>0</v>
      </c>
      <c r="N402" s="14"/>
      <c r="O402" s="14"/>
      <c r="P402" s="15"/>
      <c r="Q402" s="14"/>
    </row>
    <row r="403" ht="15.75" customHeight="1">
      <c r="A403" s="7"/>
      <c r="B403" s="8"/>
      <c r="C403" s="8"/>
      <c r="D403" s="8"/>
      <c r="E403" s="8"/>
      <c r="F403" s="14"/>
      <c r="G403" s="8"/>
      <c r="H403" s="8"/>
      <c r="I403" s="9"/>
      <c r="J403" s="12" t="str">
        <f t="array" ref="J403:K403">IFERROR(INDEX(PRECIOS_COMPLEMENTOS!$C$4:$F$17,MATCH(D403&amp;"_"&amp;E403,PRECIOS_COMPLEMENTOS!$H$4:$H$17,0),IF(OR(H403="S",H403="20cm"),1,IF(OR(H403="M",H403="25cm"),2,IF(OR(H403="L",H403="30cm"),3,IF(OR(H403="XL",H403="35cm"),4,0))))),0)</f>
        <v>#REF!</v>
      </c>
      <c r="K403" s="12">
        <f t="shared" si="1"/>
        <v>0</v>
      </c>
      <c r="L403" s="13">
        <f>IFERROR(IF(C403="",0,IF(D403="PRETINA",SUMIFS($I$4:$I$402,$C$4:$C$402,C403,$D$4:$D$402,D403,$E$4:$E$402,E403,$F$4:$F$402,F403,$G$4:$G$402,G403,$H$4:$H$402,H403,$B$4:$B$402,"INGRESO")+SUMIFS($I$4:$I$402,$C$4:$C$402,C403,$D$4:$D$402,D403,$E$4:$E$402,E403,$F$4:$F$402,F403,$G$4:$G$402,G403,$H$4:$H$402,H403,$B$4:$B$402,"DE CORTE")-SUMIFS($I$4:$I$402,$C$4:$C$402,C403,$D$4:$D$402,D403,$E$4:$E$402,E403,$F$4:$F$402,F403,$G$4:$G$402,G403,$H$4:$H$402,H403,$B$4:$B$402,"SALIDA"),SUMIFS($I$4:$I$402,$C$4:$C$402,C403,$D$4:$D$402,D403,$E$4:$E$402,E403,$G$4:$G$402,G403,$H$4:$H$402,H403,$B$4:$B$402,"INGRESO")+SUMIFS($I$4:$I$402,$C$4:$C$402,C403,$D$4:$D$402,D403,$E$4:$E$402,E403,$G$4:$G$402,G403,$H$4:$H$402,H403,$B$4:$B$402,"DE CORTE")-SUMIFS($I$4:$I$402,$C$4:$C$402,C403,$D$4:$D$402,D403,$E$4:$E$402,E403,$G$4:$G$402,G403,$H$4:$H$402,H403,$B$4:$B$402,"SALIDA"))),0)</f>
        <v>0</v>
      </c>
      <c r="M403" s="13">
        <f t="shared" si="2"/>
        <v>0</v>
      </c>
      <c r="N403" s="14"/>
      <c r="O403" s="14"/>
      <c r="P403" s="15"/>
      <c r="Q403" s="14"/>
    </row>
    <row r="404" ht="15.75" customHeight="1">
      <c r="A404" s="7"/>
      <c r="B404" s="8"/>
      <c r="C404" s="8"/>
      <c r="D404" s="8"/>
      <c r="E404" s="8"/>
      <c r="F404" s="14"/>
      <c r="G404" s="8"/>
      <c r="H404" s="8"/>
      <c r="I404" s="9"/>
      <c r="J404" s="12" t="str">
        <f t="array" ref="J404:K404">IFERROR(INDEX(PRECIOS_COMPLEMENTOS!$C$4:$F$17,MATCH(D404&amp;"_"&amp;E404,PRECIOS_COMPLEMENTOS!$H$4:$H$17,0),IF(OR(H404="S",H404="20cm"),1,IF(OR(H404="M",H404="25cm"),2,IF(OR(H404="L",H404="30cm"),3,IF(OR(H404="XL",H404="35cm"),4,0))))),0)</f>
        <v>#REF!</v>
      </c>
      <c r="K404" s="12">
        <f t="shared" si="1"/>
        <v>0</v>
      </c>
      <c r="L404" s="13">
        <f>IFERROR(IF(C404="",0,IF(D404="PRETINA",SUMIFS($I$4:$I$403,$C$4:$C$403,C404,$D$4:$D$403,D404,$E$4:$E$403,E404,$F$4:$F$403,F404,$G$4:$G$403,G404,$H$4:$H$403,H404,$B$4:$B$403,"INGRESO")+SUMIFS($I$4:$I$403,$C$4:$C$403,C404,$D$4:$D$403,D404,$E$4:$E$403,E404,$F$4:$F$403,F404,$G$4:$G$403,G404,$H$4:$H$403,H404,$B$4:$B$403,"DE CORTE")-SUMIFS($I$4:$I$403,$C$4:$C$403,C404,$D$4:$D$403,D404,$E$4:$E$403,E404,$F$4:$F$403,F404,$G$4:$G$403,G404,$H$4:$H$403,H404,$B$4:$B$403,"SALIDA"),SUMIFS($I$4:$I$403,$C$4:$C$403,C404,$D$4:$D$403,D404,$E$4:$E$403,E404,$G$4:$G$403,G404,$H$4:$H$403,H404,$B$4:$B$403,"INGRESO")+SUMIFS($I$4:$I$403,$C$4:$C$403,C404,$D$4:$D$403,D404,$E$4:$E$403,E404,$G$4:$G$403,G404,$H$4:$H$403,H404,$B$4:$B$403,"DE CORTE")-SUMIFS($I$4:$I$403,$C$4:$C$403,C404,$D$4:$D$403,D404,$E$4:$E$403,E404,$G$4:$G$403,G404,$H$4:$H$403,H404,$B$4:$B$403,"SALIDA"))),0)</f>
        <v>0</v>
      </c>
      <c r="M404" s="13">
        <f t="shared" si="2"/>
        <v>0</v>
      </c>
      <c r="N404" s="14"/>
      <c r="O404" s="14"/>
      <c r="P404" s="15"/>
      <c r="Q404" s="14"/>
    </row>
    <row r="405" ht="15.75" customHeight="1">
      <c r="A405" s="7"/>
      <c r="B405" s="8"/>
      <c r="C405" s="8"/>
      <c r="D405" s="8"/>
      <c r="E405" s="8"/>
      <c r="F405" s="14"/>
      <c r="G405" s="8"/>
      <c r="H405" s="8"/>
      <c r="I405" s="9"/>
      <c r="J405" s="12" t="str">
        <f t="array" ref="J405:K405">IFERROR(INDEX(PRECIOS_COMPLEMENTOS!$C$4:$F$17,MATCH(D405&amp;"_"&amp;E405,PRECIOS_COMPLEMENTOS!$H$4:$H$17,0),IF(OR(H405="S",H405="20cm"),1,IF(OR(H405="M",H405="25cm"),2,IF(OR(H405="L",H405="30cm"),3,IF(OR(H405="XL",H405="35cm"),4,0))))),0)</f>
        <v>#REF!</v>
      </c>
      <c r="K405" s="12">
        <f t="shared" si="1"/>
        <v>0</v>
      </c>
      <c r="L405" s="13">
        <f>IFERROR(IF(C405="",0,IF(D405="PRETINA",SUMIFS($I$4:$I$404,$C$4:$C$404,C405,$D$4:$D$404,D405,$E$4:$E$404,E405,$F$4:$F$404,F405,$G$4:$G$404,G405,$H$4:$H$404,H405,$B$4:$B$404,"INGRESO")+SUMIFS($I$4:$I$404,$C$4:$C$404,C405,$D$4:$D$404,D405,$E$4:$E$404,E405,$F$4:$F$404,F405,$G$4:$G$404,G405,$H$4:$H$404,H405,$B$4:$B$404,"DE CORTE")-SUMIFS($I$4:$I$404,$C$4:$C$404,C405,$D$4:$D$404,D405,$E$4:$E$404,E405,$F$4:$F$404,F405,$G$4:$G$404,G405,$H$4:$H$404,H405,$B$4:$B$404,"SALIDA"),SUMIFS($I$4:$I$404,$C$4:$C$404,C405,$D$4:$D$404,D405,$E$4:$E$404,E405,$G$4:$G$404,G405,$H$4:$H$404,H405,$B$4:$B$404,"INGRESO")+SUMIFS($I$4:$I$404,$C$4:$C$404,C405,$D$4:$D$404,D405,$E$4:$E$404,E405,$G$4:$G$404,G405,$H$4:$H$404,H405,$B$4:$B$404,"DE CORTE")-SUMIFS($I$4:$I$404,$C$4:$C$404,C405,$D$4:$D$404,D405,$E$4:$E$404,E405,$G$4:$G$404,G405,$H$4:$H$404,H405,$B$4:$B$404,"SALIDA"))),0)</f>
        <v>0</v>
      </c>
      <c r="M405" s="13">
        <f t="shared" si="2"/>
        <v>0</v>
      </c>
      <c r="N405" s="14"/>
      <c r="O405" s="14"/>
      <c r="P405" s="15"/>
      <c r="Q405" s="14"/>
    </row>
    <row r="406" ht="15.75" customHeight="1">
      <c r="A406" s="7"/>
      <c r="B406" s="8"/>
      <c r="C406" s="8"/>
      <c r="D406" s="8"/>
      <c r="E406" s="8"/>
      <c r="F406" s="14"/>
      <c r="G406" s="8"/>
      <c r="H406" s="8"/>
      <c r="I406" s="9"/>
      <c r="J406" s="12" t="str">
        <f t="array" ref="J406:K406">IFERROR(INDEX(PRECIOS_COMPLEMENTOS!$C$4:$F$17,MATCH(D406&amp;"_"&amp;E406,PRECIOS_COMPLEMENTOS!$H$4:$H$17,0),IF(OR(H406="S",H406="20cm"),1,IF(OR(H406="M",H406="25cm"),2,IF(OR(H406="L",H406="30cm"),3,IF(OR(H406="XL",H406="35cm"),4,0))))),0)</f>
        <v>#REF!</v>
      </c>
      <c r="K406" s="12">
        <f t="shared" si="1"/>
        <v>0</v>
      </c>
      <c r="L406" s="13">
        <f>IFERROR(IF(C406="",0,IF(D406="PRETINA",SUMIFS($I$4:$I$405,$C$4:$C$405,C406,$D$4:$D$405,D406,$E$4:$E$405,E406,$F$4:$F$405,F406,$G$4:$G$405,G406,$H$4:$H$405,H406,$B$4:$B$405,"INGRESO")+SUMIFS($I$4:$I$405,$C$4:$C$405,C406,$D$4:$D$405,D406,$E$4:$E$405,E406,$F$4:$F$405,F406,$G$4:$G$405,G406,$H$4:$H$405,H406,$B$4:$B$405,"DE CORTE")-SUMIFS($I$4:$I$405,$C$4:$C$405,C406,$D$4:$D$405,D406,$E$4:$E$405,E406,$F$4:$F$405,F406,$G$4:$G$405,G406,$H$4:$H$405,H406,$B$4:$B$405,"SALIDA"),SUMIFS($I$4:$I$405,$C$4:$C$405,C406,$D$4:$D$405,D406,$E$4:$E$405,E406,$G$4:$G$405,G406,$H$4:$H$405,H406,$B$4:$B$405,"INGRESO")+SUMIFS($I$4:$I$405,$C$4:$C$405,C406,$D$4:$D$405,D406,$E$4:$E$405,E406,$G$4:$G$405,G406,$H$4:$H$405,H406,$B$4:$B$405,"DE CORTE")-SUMIFS($I$4:$I$405,$C$4:$C$405,C406,$D$4:$D$405,D406,$E$4:$E$405,E406,$G$4:$G$405,G406,$H$4:$H$405,H406,$B$4:$B$405,"SALIDA"))),0)</f>
        <v>0</v>
      </c>
      <c r="M406" s="13">
        <f t="shared" si="2"/>
        <v>0</v>
      </c>
      <c r="N406" s="14"/>
      <c r="O406" s="14"/>
      <c r="P406" s="15"/>
      <c r="Q406" s="14"/>
    </row>
    <row r="407" ht="15.75" customHeight="1">
      <c r="A407" s="7"/>
      <c r="B407" s="8"/>
      <c r="C407" s="8"/>
      <c r="D407" s="8"/>
      <c r="E407" s="8"/>
      <c r="F407" s="14"/>
      <c r="G407" s="8"/>
      <c r="H407" s="8"/>
      <c r="I407" s="9"/>
      <c r="J407" s="12" t="str">
        <f t="array" ref="J407:K407">IFERROR(INDEX(PRECIOS_COMPLEMENTOS!$C$4:$F$17,MATCH(D407&amp;"_"&amp;E407,PRECIOS_COMPLEMENTOS!$H$4:$H$17,0),IF(OR(H407="S",H407="20cm"),1,IF(OR(H407="M",H407="25cm"),2,IF(OR(H407="L",H407="30cm"),3,IF(OR(H407="XL",H407="35cm"),4,0))))),0)</f>
        <v>#REF!</v>
      </c>
      <c r="K407" s="12">
        <f t="shared" si="1"/>
        <v>0</v>
      </c>
      <c r="L407" s="13">
        <f>IFERROR(IF(C407="",0,IF(D407="PRETINA",SUMIFS($I$4:$I$406,$C$4:$C$406,C407,$D$4:$D$406,D407,$E$4:$E$406,E407,$F$4:$F$406,F407,$G$4:$G$406,G407,$H$4:$H$406,H407,$B$4:$B$406,"INGRESO")+SUMIFS($I$4:$I$406,$C$4:$C$406,C407,$D$4:$D$406,D407,$E$4:$E$406,E407,$F$4:$F$406,F407,$G$4:$G$406,G407,$H$4:$H$406,H407,$B$4:$B$406,"DE CORTE")-SUMIFS($I$4:$I$406,$C$4:$C$406,C407,$D$4:$D$406,D407,$E$4:$E$406,E407,$F$4:$F$406,F407,$G$4:$G$406,G407,$H$4:$H$406,H407,$B$4:$B$406,"SALIDA"),SUMIFS($I$4:$I$406,$C$4:$C$406,C407,$D$4:$D$406,D407,$E$4:$E$406,E407,$G$4:$G$406,G407,$H$4:$H$406,H407,$B$4:$B$406,"INGRESO")+SUMIFS($I$4:$I$406,$C$4:$C$406,C407,$D$4:$D$406,D407,$E$4:$E$406,E407,$G$4:$G$406,G407,$H$4:$H$406,H407,$B$4:$B$406,"DE CORTE")-SUMIFS($I$4:$I$406,$C$4:$C$406,C407,$D$4:$D$406,D407,$E$4:$E$406,E407,$G$4:$G$406,G407,$H$4:$H$406,H407,$B$4:$B$406,"SALIDA"))),0)</f>
        <v>0</v>
      </c>
      <c r="M407" s="13">
        <f t="shared" si="2"/>
        <v>0</v>
      </c>
      <c r="N407" s="14"/>
      <c r="O407" s="14"/>
      <c r="P407" s="15"/>
      <c r="Q407" s="14"/>
    </row>
    <row r="408" ht="15.75" customHeight="1">
      <c r="A408" s="7"/>
      <c r="B408" s="8"/>
      <c r="C408" s="8"/>
      <c r="D408" s="8"/>
      <c r="E408" s="8"/>
      <c r="F408" s="14"/>
      <c r="G408" s="8"/>
      <c r="H408" s="8"/>
      <c r="I408" s="9"/>
      <c r="J408" s="12" t="str">
        <f t="array" ref="J408:K408">IFERROR(INDEX(PRECIOS_COMPLEMENTOS!$C$4:$F$17,MATCH(D408&amp;"_"&amp;E408,PRECIOS_COMPLEMENTOS!$H$4:$H$17,0),IF(OR(H408="S",H408="20cm"),1,IF(OR(H408="M",H408="25cm"),2,IF(OR(H408="L",H408="30cm"),3,IF(OR(H408="XL",H408="35cm"),4,0))))),0)</f>
        <v>#REF!</v>
      </c>
      <c r="K408" s="12">
        <f t="shared" si="1"/>
        <v>0</v>
      </c>
      <c r="L408" s="13">
        <f>IFERROR(IF(C408="",0,IF(D408="PRETINA",SUMIFS($I$4:$I$407,$C$4:$C$407,C408,$D$4:$D$407,D408,$E$4:$E$407,E408,$F$4:$F$407,F408,$G$4:$G$407,G408,$H$4:$H$407,H408,$B$4:$B$407,"INGRESO")+SUMIFS($I$4:$I$407,$C$4:$C$407,C408,$D$4:$D$407,D408,$E$4:$E$407,E408,$F$4:$F$407,F408,$G$4:$G$407,G408,$H$4:$H$407,H408,$B$4:$B$407,"DE CORTE")-SUMIFS($I$4:$I$407,$C$4:$C$407,C408,$D$4:$D$407,D408,$E$4:$E$407,E408,$F$4:$F$407,F408,$G$4:$G$407,G408,$H$4:$H$407,H408,$B$4:$B$407,"SALIDA"),SUMIFS($I$4:$I$407,$C$4:$C$407,C408,$D$4:$D$407,D408,$E$4:$E$407,E408,$G$4:$G$407,G408,$H$4:$H$407,H408,$B$4:$B$407,"INGRESO")+SUMIFS($I$4:$I$407,$C$4:$C$407,C408,$D$4:$D$407,D408,$E$4:$E$407,E408,$G$4:$G$407,G408,$H$4:$H$407,H408,$B$4:$B$407,"DE CORTE")-SUMIFS($I$4:$I$407,$C$4:$C$407,C408,$D$4:$D$407,D408,$E$4:$E$407,E408,$G$4:$G$407,G408,$H$4:$H$407,H408,$B$4:$B$407,"SALIDA"))),0)</f>
        <v>0</v>
      </c>
      <c r="M408" s="13">
        <f t="shared" si="2"/>
        <v>0</v>
      </c>
      <c r="N408" s="14"/>
      <c r="O408" s="14"/>
      <c r="P408" s="15"/>
      <c r="Q408" s="14"/>
    </row>
    <row r="409" ht="15.75" customHeight="1">
      <c r="A409" s="7"/>
      <c r="B409" s="8"/>
      <c r="C409" s="8"/>
      <c r="D409" s="8"/>
      <c r="E409" s="8"/>
      <c r="F409" s="14"/>
      <c r="G409" s="8"/>
      <c r="H409" s="8"/>
      <c r="I409" s="9"/>
      <c r="J409" s="12" t="str">
        <f t="array" ref="J409:K409">IFERROR(INDEX(PRECIOS_COMPLEMENTOS!$C$4:$F$17,MATCH(D409&amp;"_"&amp;E409,PRECIOS_COMPLEMENTOS!$H$4:$H$17,0),IF(OR(H409="S",H409="20cm"),1,IF(OR(H409="M",H409="25cm"),2,IF(OR(H409="L",H409="30cm"),3,IF(OR(H409="XL",H409="35cm"),4,0))))),0)</f>
        <v>#REF!</v>
      </c>
      <c r="K409" s="12">
        <f t="shared" si="1"/>
        <v>0</v>
      </c>
      <c r="L409" s="13">
        <f>IFERROR(IF(C409="",0,IF(D409="PRETINA",SUMIFS($I$4:$I$408,$C$4:$C$408,C409,$D$4:$D$408,D409,$E$4:$E$408,E409,$F$4:$F$408,F409,$G$4:$G$408,G409,$H$4:$H$408,H409,$B$4:$B$408,"INGRESO")+SUMIFS($I$4:$I$408,$C$4:$C$408,C409,$D$4:$D$408,D409,$E$4:$E$408,E409,$F$4:$F$408,F409,$G$4:$G$408,G409,$H$4:$H$408,H409,$B$4:$B$408,"DE CORTE")-SUMIFS($I$4:$I$408,$C$4:$C$408,C409,$D$4:$D$408,D409,$E$4:$E$408,E409,$F$4:$F$408,F409,$G$4:$G$408,G409,$H$4:$H$408,H409,$B$4:$B$408,"SALIDA"),SUMIFS($I$4:$I$408,$C$4:$C$408,C409,$D$4:$D$408,D409,$E$4:$E$408,E409,$G$4:$G$408,G409,$H$4:$H$408,H409,$B$4:$B$408,"INGRESO")+SUMIFS($I$4:$I$408,$C$4:$C$408,C409,$D$4:$D$408,D409,$E$4:$E$408,E409,$G$4:$G$408,G409,$H$4:$H$408,H409,$B$4:$B$408,"DE CORTE")-SUMIFS($I$4:$I$408,$C$4:$C$408,C409,$D$4:$D$408,D409,$E$4:$E$408,E409,$G$4:$G$408,G409,$H$4:$H$408,H409,$B$4:$B$408,"SALIDA"))),0)</f>
        <v>0</v>
      </c>
      <c r="M409" s="13">
        <f t="shared" si="2"/>
        <v>0</v>
      </c>
      <c r="N409" s="14"/>
      <c r="O409" s="14"/>
      <c r="P409" s="15"/>
      <c r="Q409" s="14"/>
    </row>
    <row r="410" ht="15.75" customHeight="1">
      <c r="A410" s="7"/>
      <c r="B410" s="8"/>
      <c r="C410" s="8"/>
      <c r="D410" s="8"/>
      <c r="E410" s="8"/>
      <c r="F410" s="14"/>
      <c r="G410" s="8"/>
      <c r="H410" s="8"/>
      <c r="I410" s="9"/>
      <c r="J410" s="12" t="str">
        <f t="array" ref="J410:K410">IFERROR(INDEX(PRECIOS_COMPLEMENTOS!$C$4:$F$17,MATCH(D410&amp;"_"&amp;E410,PRECIOS_COMPLEMENTOS!$H$4:$H$17,0),IF(OR(H410="S",H410="20cm"),1,IF(OR(H410="M",H410="25cm"),2,IF(OR(H410="L",H410="30cm"),3,IF(OR(H410="XL",H410="35cm"),4,0))))),0)</f>
        <v>#REF!</v>
      </c>
      <c r="K410" s="12">
        <f t="shared" si="1"/>
        <v>0</v>
      </c>
      <c r="L410" s="13">
        <f>IFERROR(IF(C410="",0,IF(D410="PRETINA",SUMIFS($I$4:$I$409,$C$4:$C$409,C410,$D$4:$D$409,D410,$E$4:$E$409,E410,$F$4:$F$409,F410,$G$4:$G$409,G410,$H$4:$H$409,H410,$B$4:$B$409,"INGRESO")+SUMIFS($I$4:$I$409,$C$4:$C$409,C410,$D$4:$D$409,D410,$E$4:$E$409,E410,$F$4:$F$409,F410,$G$4:$G$409,G410,$H$4:$H$409,H410,$B$4:$B$409,"DE CORTE")-SUMIFS($I$4:$I$409,$C$4:$C$409,C410,$D$4:$D$409,D410,$E$4:$E$409,E410,$F$4:$F$409,F410,$G$4:$G$409,G410,$H$4:$H$409,H410,$B$4:$B$409,"SALIDA"),SUMIFS($I$4:$I$409,$C$4:$C$409,C410,$D$4:$D$409,D410,$E$4:$E$409,E410,$G$4:$G$409,G410,$H$4:$H$409,H410,$B$4:$B$409,"INGRESO")+SUMIFS($I$4:$I$409,$C$4:$C$409,C410,$D$4:$D$409,D410,$E$4:$E$409,E410,$G$4:$G$409,G410,$H$4:$H$409,H410,$B$4:$B$409,"DE CORTE")-SUMIFS($I$4:$I$409,$C$4:$C$409,C410,$D$4:$D$409,D410,$E$4:$E$409,E410,$G$4:$G$409,G410,$H$4:$H$409,H410,$B$4:$B$409,"SALIDA"))),0)</f>
        <v>0</v>
      </c>
      <c r="M410" s="13">
        <f t="shared" si="2"/>
        <v>0</v>
      </c>
      <c r="N410" s="14"/>
      <c r="O410" s="14"/>
      <c r="P410" s="15"/>
      <c r="Q410" s="14"/>
    </row>
    <row r="411" ht="15.75" customHeight="1">
      <c r="A411" s="7"/>
      <c r="B411" s="8"/>
      <c r="C411" s="8"/>
      <c r="D411" s="8"/>
      <c r="E411" s="8"/>
      <c r="F411" s="14"/>
      <c r="G411" s="8"/>
      <c r="H411" s="8"/>
      <c r="I411" s="9"/>
      <c r="J411" s="12" t="str">
        <f t="array" ref="J411:K411">IFERROR(INDEX(PRECIOS_COMPLEMENTOS!$C$4:$F$17,MATCH(D411&amp;"_"&amp;E411,PRECIOS_COMPLEMENTOS!$H$4:$H$17,0),IF(OR(H411="S",H411="20cm"),1,IF(OR(H411="M",H411="25cm"),2,IF(OR(H411="L",H411="30cm"),3,IF(OR(H411="XL",H411="35cm"),4,0))))),0)</f>
        <v>#REF!</v>
      </c>
      <c r="K411" s="12">
        <f t="shared" si="1"/>
        <v>0</v>
      </c>
      <c r="L411" s="13">
        <f>IFERROR(IF(C411="",0,IF(D411="PRETINA",SUMIFS($I$4:$I$410,$C$4:$C$410,C411,$D$4:$D$410,D411,$E$4:$E$410,E411,$F$4:$F$410,F411,$G$4:$G$410,G411,$H$4:$H$410,H411,$B$4:$B$410,"INGRESO")+SUMIFS($I$4:$I$410,$C$4:$C$410,C411,$D$4:$D$410,D411,$E$4:$E$410,E411,$F$4:$F$410,F411,$G$4:$G$410,G411,$H$4:$H$410,H411,$B$4:$B$410,"DE CORTE")-SUMIFS($I$4:$I$410,$C$4:$C$410,C411,$D$4:$D$410,D411,$E$4:$E$410,E411,$F$4:$F$410,F411,$G$4:$G$410,G411,$H$4:$H$410,H411,$B$4:$B$410,"SALIDA"),SUMIFS($I$4:$I$410,$C$4:$C$410,C411,$D$4:$D$410,D411,$E$4:$E$410,E411,$G$4:$G$410,G411,$H$4:$H$410,H411,$B$4:$B$410,"INGRESO")+SUMIFS($I$4:$I$410,$C$4:$C$410,C411,$D$4:$D$410,D411,$E$4:$E$410,E411,$G$4:$G$410,G411,$H$4:$H$410,H411,$B$4:$B$410,"DE CORTE")-SUMIFS($I$4:$I$410,$C$4:$C$410,C411,$D$4:$D$410,D411,$E$4:$E$410,E411,$G$4:$G$410,G411,$H$4:$H$410,H411,$B$4:$B$410,"SALIDA"))),0)</f>
        <v>0</v>
      </c>
      <c r="M411" s="13">
        <f t="shared" si="2"/>
        <v>0</v>
      </c>
      <c r="N411" s="14"/>
      <c r="O411" s="14"/>
      <c r="P411" s="15"/>
      <c r="Q411" s="14"/>
    </row>
    <row r="412" ht="15.75" customHeight="1">
      <c r="A412" s="7"/>
      <c r="B412" s="8"/>
      <c r="C412" s="8"/>
      <c r="D412" s="8"/>
      <c r="E412" s="8"/>
      <c r="F412" s="14"/>
      <c r="G412" s="8"/>
      <c r="H412" s="8"/>
      <c r="I412" s="9"/>
      <c r="J412" s="12" t="str">
        <f t="array" ref="J412:K412">IFERROR(INDEX(PRECIOS_COMPLEMENTOS!$C$4:$F$17,MATCH(D412&amp;"_"&amp;E412,PRECIOS_COMPLEMENTOS!$H$4:$H$17,0),IF(OR(H412="S",H412="20cm"),1,IF(OR(H412="M",H412="25cm"),2,IF(OR(H412="L",H412="30cm"),3,IF(OR(H412="XL",H412="35cm"),4,0))))),0)</f>
        <v>#REF!</v>
      </c>
      <c r="K412" s="12">
        <f t="shared" si="1"/>
        <v>0</v>
      </c>
      <c r="L412" s="13">
        <f>IFERROR(IF(C412="",0,IF(D412="PRETINA",SUMIFS($I$4:$I$411,$C$4:$C$411,C412,$D$4:$D$411,D412,$E$4:$E$411,E412,$F$4:$F$411,F412,$G$4:$G$411,G412,$H$4:$H$411,H412,$B$4:$B$411,"INGRESO")+SUMIFS($I$4:$I$411,$C$4:$C$411,C412,$D$4:$D$411,D412,$E$4:$E$411,E412,$F$4:$F$411,F412,$G$4:$G$411,G412,$H$4:$H$411,H412,$B$4:$B$411,"DE CORTE")-SUMIFS($I$4:$I$411,$C$4:$C$411,C412,$D$4:$D$411,D412,$E$4:$E$411,E412,$F$4:$F$411,F412,$G$4:$G$411,G412,$H$4:$H$411,H412,$B$4:$B$411,"SALIDA"),SUMIFS($I$4:$I$411,$C$4:$C$411,C412,$D$4:$D$411,D412,$E$4:$E$411,E412,$G$4:$G$411,G412,$H$4:$H$411,H412,$B$4:$B$411,"INGRESO")+SUMIFS($I$4:$I$411,$C$4:$C$411,C412,$D$4:$D$411,D412,$E$4:$E$411,E412,$G$4:$G$411,G412,$H$4:$H$411,H412,$B$4:$B$411,"DE CORTE")-SUMIFS($I$4:$I$411,$C$4:$C$411,C412,$D$4:$D$411,D412,$E$4:$E$411,E412,$G$4:$G$411,G412,$H$4:$H$411,H412,$B$4:$B$411,"SALIDA"))),0)</f>
        <v>0</v>
      </c>
      <c r="M412" s="13">
        <f t="shared" si="2"/>
        <v>0</v>
      </c>
      <c r="N412" s="14"/>
      <c r="O412" s="14"/>
      <c r="P412" s="15"/>
      <c r="Q412" s="14"/>
    </row>
    <row r="413" ht="15.75" customHeight="1">
      <c r="A413" s="7"/>
      <c r="B413" s="8"/>
      <c r="C413" s="8"/>
      <c r="D413" s="8"/>
      <c r="E413" s="8"/>
      <c r="F413" s="14"/>
      <c r="G413" s="8"/>
      <c r="H413" s="8"/>
      <c r="I413" s="9"/>
      <c r="J413" s="12" t="str">
        <f t="array" ref="J413:K413">IFERROR(INDEX(PRECIOS_COMPLEMENTOS!$C$4:$F$17,MATCH(D413&amp;"_"&amp;E413,PRECIOS_COMPLEMENTOS!$H$4:$H$17,0),IF(OR(H413="S",H413="20cm"),1,IF(OR(H413="M",H413="25cm"),2,IF(OR(H413="L",H413="30cm"),3,IF(OR(H413="XL",H413="35cm"),4,0))))),0)</f>
        <v>#REF!</v>
      </c>
      <c r="K413" s="12">
        <f t="shared" si="1"/>
        <v>0</v>
      </c>
      <c r="L413" s="13">
        <f>IFERROR(IF(C413="",0,IF(D413="PRETINA",SUMIFS($I$4:$I$412,$C$4:$C$412,C413,$D$4:$D$412,D413,$E$4:$E$412,E413,$F$4:$F$412,F413,$G$4:$G$412,G413,$H$4:$H$412,H413,$B$4:$B$412,"INGRESO")+SUMIFS($I$4:$I$412,$C$4:$C$412,C413,$D$4:$D$412,D413,$E$4:$E$412,E413,$F$4:$F$412,F413,$G$4:$G$412,G413,$H$4:$H$412,H413,$B$4:$B$412,"DE CORTE")-SUMIFS($I$4:$I$412,$C$4:$C$412,C413,$D$4:$D$412,D413,$E$4:$E$412,E413,$F$4:$F$412,F413,$G$4:$G$412,G413,$H$4:$H$412,H413,$B$4:$B$412,"SALIDA"),SUMIFS($I$4:$I$412,$C$4:$C$412,C413,$D$4:$D$412,D413,$E$4:$E$412,E413,$G$4:$G$412,G413,$H$4:$H$412,H413,$B$4:$B$412,"INGRESO")+SUMIFS($I$4:$I$412,$C$4:$C$412,C413,$D$4:$D$412,D413,$E$4:$E$412,E413,$G$4:$G$412,G413,$H$4:$H$412,H413,$B$4:$B$412,"DE CORTE")-SUMIFS($I$4:$I$412,$C$4:$C$412,C413,$D$4:$D$412,D413,$E$4:$E$412,E413,$G$4:$G$412,G413,$H$4:$H$412,H413,$B$4:$B$412,"SALIDA"))),0)</f>
        <v>0</v>
      </c>
      <c r="M413" s="13">
        <f t="shared" si="2"/>
        <v>0</v>
      </c>
      <c r="N413" s="14"/>
      <c r="O413" s="14"/>
      <c r="P413" s="15"/>
      <c r="Q413" s="14"/>
    </row>
    <row r="414" ht="15.75" customHeight="1">
      <c r="A414" s="7"/>
      <c r="B414" s="8"/>
      <c r="C414" s="8"/>
      <c r="D414" s="8"/>
      <c r="E414" s="8"/>
      <c r="F414" s="14"/>
      <c r="G414" s="8"/>
      <c r="H414" s="8"/>
      <c r="I414" s="9"/>
      <c r="J414" s="12" t="str">
        <f t="array" ref="J414:K414">IFERROR(INDEX(PRECIOS_COMPLEMENTOS!$C$4:$F$17,MATCH(D414&amp;"_"&amp;E414,PRECIOS_COMPLEMENTOS!$H$4:$H$17,0),IF(OR(H414="S",H414="20cm"),1,IF(OR(H414="M",H414="25cm"),2,IF(OR(H414="L",H414="30cm"),3,IF(OR(H414="XL",H414="35cm"),4,0))))),0)</f>
        <v>#REF!</v>
      </c>
      <c r="K414" s="12">
        <f t="shared" si="1"/>
        <v>0</v>
      </c>
      <c r="L414" s="13">
        <f>IFERROR(IF(C414="",0,IF(D414="PRETINA",SUMIFS($I$4:$I$413,$C$4:$C$413,C414,$D$4:$D$413,D414,$E$4:$E$413,E414,$F$4:$F$413,F414,$G$4:$G$413,G414,$H$4:$H$413,H414,$B$4:$B$413,"INGRESO")+SUMIFS($I$4:$I$413,$C$4:$C$413,C414,$D$4:$D$413,D414,$E$4:$E$413,E414,$F$4:$F$413,F414,$G$4:$G$413,G414,$H$4:$H$413,H414,$B$4:$B$413,"DE CORTE")-SUMIFS($I$4:$I$413,$C$4:$C$413,C414,$D$4:$D$413,D414,$E$4:$E$413,E414,$F$4:$F$413,F414,$G$4:$G$413,G414,$H$4:$H$413,H414,$B$4:$B$413,"SALIDA"),SUMIFS($I$4:$I$413,$C$4:$C$413,C414,$D$4:$D$413,D414,$E$4:$E$413,E414,$G$4:$G$413,G414,$H$4:$H$413,H414,$B$4:$B$413,"INGRESO")+SUMIFS($I$4:$I$413,$C$4:$C$413,C414,$D$4:$D$413,D414,$E$4:$E$413,E414,$G$4:$G$413,G414,$H$4:$H$413,H414,$B$4:$B$413,"DE CORTE")-SUMIFS($I$4:$I$413,$C$4:$C$413,C414,$D$4:$D$413,D414,$E$4:$E$413,E414,$G$4:$G$413,G414,$H$4:$H$413,H414,$B$4:$B$413,"SALIDA"))),0)</f>
        <v>0</v>
      </c>
      <c r="M414" s="13">
        <f t="shared" si="2"/>
        <v>0</v>
      </c>
      <c r="N414" s="14"/>
      <c r="O414" s="14"/>
      <c r="P414" s="15"/>
      <c r="Q414" s="14"/>
    </row>
    <row r="415" ht="15.75" customHeight="1">
      <c r="A415" s="7"/>
      <c r="B415" s="8"/>
      <c r="C415" s="8"/>
      <c r="D415" s="8"/>
      <c r="E415" s="8"/>
      <c r="F415" s="14"/>
      <c r="G415" s="8"/>
      <c r="H415" s="8"/>
      <c r="I415" s="9"/>
      <c r="J415" s="12" t="str">
        <f t="array" ref="J415:K415">IFERROR(INDEX(PRECIOS_COMPLEMENTOS!$C$4:$F$17,MATCH(D415&amp;"_"&amp;E415,PRECIOS_COMPLEMENTOS!$H$4:$H$17,0),IF(OR(H415="S",H415="20cm"),1,IF(OR(H415="M",H415="25cm"),2,IF(OR(H415="L",H415="30cm"),3,IF(OR(H415="XL",H415="35cm"),4,0))))),0)</f>
        <v>#REF!</v>
      </c>
      <c r="K415" s="12">
        <f t="shared" si="1"/>
        <v>0</v>
      </c>
      <c r="L415" s="13">
        <f>IFERROR(IF(C415="",0,IF(D415="PRETINA",SUMIFS($I$4:$I$414,$C$4:$C$414,C415,$D$4:$D$414,D415,$E$4:$E$414,E415,$F$4:$F$414,F415,$G$4:$G$414,G415,$H$4:$H$414,H415,$B$4:$B$414,"INGRESO")+SUMIFS($I$4:$I$414,$C$4:$C$414,C415,$D$4:$D$414,D415,$E$4:$E$414,E415,$F$4:$F$414,F415,$G$4:$G$414,G415,$H$4:$H$414,H415,$B$4:$B$414,"DE CORTE")-SUMIFS($I$4:$I$414,$C$4:$C$414,C415,$D$4:$D$414,D415,$E$4:$E$414,E415,$F$4:$F$414,F415,$G$4:$G$414,G415,$H$4:$H$414,H415,$B$4:$B$414,"SALIDA"),SUMIFS($I$4:$I$414,$C$4:$C$414,C415,$D$4:$D$414,D415,$E$4:$E$414,E415,$G$4:$G$414,G415,$H$4:$H$414,H415,$B$4:$B$414,"INGRESO")+SUMIFS($I$4:$I$414,$C$4:$C$414,C415,$D$4:$D$414,D415,$E$4:$E$414,E415,$G$4:$G$414,G415,$H$4:$H$414,H415,$B$4:$B$414,"DE CORTE")-SUMIFS($I$4:$I$414,$C$4:$C$414,C415,$D$4:$D$414,D415,$E$4:$E$414,E415,$G$4:$G$414,G415,$H$4:$H$414,H415,$B$4:$B$414,"SALIDA"))),0)</f>
        <v>0</v>
      </c>
      <c r="M415" s="13">
        <f t="shared" si="2"/>
        <v>0</v>
      </c>
      <c r="N415" s="14"/>
      <c r="O415" s="14"/>
      <c r="P415" s="15"/>
      <c r="Q415" s="14"/>
    </row>
    <row r="416" ht="15.75" customHeight="1">
      <c r="A416" s="7"/>
      <c r="B416" s="8"/>
      <c r="C416" s="8"/>
      <c r="D416" s="8"/>
      <c r="E416" s="8"/>
      <c r="F416" s="14"/>
      <c r="G416" s="8"/>
      <c r="H416" s="8"/>
      <c r="I416" s="9"/>
      <c r="J416" s="12" t="str">
        <f t="array" ref="J416:K416">IFERROR(INDEX(PRECIOS_COMPLEMENTOS!$C$4:$F$17,MATCH(D416&amp;"_"&amp;E416,PRECIOS_COMPLEMENTOS!$H$4:$H$17,0),IF(OR(H416="S",H416="20cm"),1,IF(OR(H416="M",H416="25cm"),2,IF(OR(H416="L",H416="30cm"),3,IF(OR(H416="XL",H416="35cm"),4,0))))),0)</f>
        <v>#REF!</v>
      </c>
      <c r="K416" s="12">
        <f t="shared" si="1"/>
        <v>0</v>
      </c>
      <c r="L416" s="13">
        <f>IFERROR(IF(C416="",0,IF(D416="PRETINA",SUMIFS($I$4:$I$415,$C$4:$C$415,C416,$D$4:$D$415,D416,$E$4:$E$415,E416,$F$4:$F$415,F416,$G$4:$G$415,G416,$H$4:$H$415,H416,$B$4:$B$415,"INGRESO")+SUMIFS($I$4:$I$415,$C$4:$C$415,C416,$D$4:$D$415,D416,$E$4:$E$415,E416,$F$4:$F$415,F416,$G$4:$G$415,G416,$H$4:$H$415,H416,$B$4:$B$415,"DE CORTE")-SUMIFS($I$4:$I$415,$C$4:$C$415,C416,$D$4:$D$415,D416,$E$4:$E$415,E416,$F$4:$F$415,F416,$G$4:$G$415,G416,$H$4:$H$415,H416,$B$4:$B$415,"SALIDA"),SUMIFS($I$4:$I$415,$C$4:$C$415,C416,$D$4:$D$415,D416,$E$4:$E$415,E416,$G$4:$G$415,G416,$H$4:$H$415,H416,$B$4:$B$415,"INGRESO")+SUMIFS($I$4:$I$415,$C$4:$C$415,C416,$D$4:$D$415,D416,$E$4:$E$415,E416,$G$4:$G$415,G416,$H$4:$H$415,H416,$B$4:$B$415,"DE CORTE")-SUMIFS($I$4:$I$415,$C$4:$C$415,C416,$D$4:$D$415,D416,$E$4:$E$415,E416,$G$4:$G$415,G416,$H$4:$H$415,H416,$B$4:$B$415,"SALIDA"))),0)</f>
        <v>0</v>
      </c>
      <c r="M416" s="13">
        <f t="shared" si="2"/>
        <v>0</v>
      </c>
      <c r="N416" s="14"/>
      <c r="O416" s="14"/>
      <c r="P416" s="15"/>
      <c r="Q416" s="14"/>
    </row>
    <row r="417" ht="15.75" customHeight="1">
      <c r="A417" s="7"/>
      <c r="B417" s="8"/>
      <c r="C417" s="8"/>
      <c r="D417" s="8"/>
      <c r="E417" s="8"/>
      <c r="F417" s="14"/>
      <c r="G417" s="8"/>
      <c r="H417" s="8"/>
      <c r="I417" s="9"/>
      <c r="J417" s="12" t="str">
        <f t="array" ref="J417:K417">IFERROR(INDEX(PRECIOS_COMPLEMENTOS!$C$4:$F$17,MATCH(D417&amp;"_"&amp;E417,PRECIOS_COMPLEMENTOS!$H$4:$H$17,0),IF(OR(H417="S",H417="20cm"),1,IF(OR(H417="M",H417="25cm"),2,IF(OR(H417="L",H417="30cm"),3,IF(OR(H417="XL",H417="35cm"),4,0))))),0)</f>
        <v>#REF!</v>
      </c>
      <c r="K417" s="12">
        <f t="shared" si="1"/>
        <v>0</v>
      </c>
      <c r="L417" s="13">
        <f>IFERROR(IF(C417="",0,IF(D417="PRETINA",SUMIFS($I$4:$I$416,$C$4:$C$416,C417,$D$4:$D$416,D417,$E$4:$E$416,E417,$F$4:$F$416,F417,$G$4:$G$416,G417,$H$4:$H$416,H417,$B$4:$B$416,"INGRESO")+SUMIFS($I$4:$I$416,$C$4:$C$416,C417,$D$4:$D$416,D417,$E$4:$E$416,E417,$F$4:$F$416,F417,$G$4:$G$416,G417,$H$4:$H$416,H417,$B$4:$B$416,"DE CORTE")-SUMIFS($I$4:$I$416,$C$4:$C$416,C417,$D$4:$D$416,D417,$E$4:$E$416,E417,$F$4:$F$416,F417,$G$4:$G$416,G417,$H$4:$H$416,H417,$B$4:$B$416,"SALIDA"),SUMIFS($I$4:$I$416,$C$4:$C$416,C417,$D$4:$D$416,D417,$E$4:$E$416,E417,$G$4:$G$416,G417,$H$4:$H$416,H417,$B$4:$B$416,"INGRESO")+SUMIFS($I$4:$I$416,$C$4:$C$416,C417,$D$4:$D$416,D417,$E$4:$E$416,E417,$G$4:$G$416,G417,$H$4:$H$416,H417,$B$4:$B$416,"DE CORTE")-SUMIFS($I$4:$I$416,$C$4:$C$416,C417,$D$4:$D$416,D417,$E$4:$E$416,E417,$G$4:$G$416,G417,$H$4:$H$416,H417,$B$4:$B$416,"SALIDA"))),0)</f>
        <v>0</v>
      </c>
      <c r="M417" s="13">
        <f t="shared" si="2"/>
        <v>0</v>
      </c>
      <c r="N417" s="14"/>
      <c r="O417" s="14"/>
      <c r="P417" s="15"/>
      <c r="Q417" s="14"/>
    </row>
    <row r="418" ht="15.75" customHeight="1">
      <c r="A418" s="7"/>
      <c r="B418" s="8"/>
      <c r="C418" s="8"/>
      <c r="D418" s="8"/>
      <c r="E418" s="8"/>
      <c r="F418" s="14"/>
      <c r="G418" s="8"/>
      <c r="H418" s="8"/>
      <c r="I418" s="9"/>
      <c r="J418" s="12" t="str">
        <f t="array" ref="J418:K418">IFERROR(INDEX(PRECIOS_COMPLEMENTOS!$C$4:$F$17,MATCH(D418&amp;"_"&amp;E418,PRECIOS_COMPLEMENTOS!$H$4:$H$17,0),IF(OR(H418="S",H418="20cm"),1,IF(OR(H418="M",H418="25cm"),2,IF(OR(H418="L",H418="30cm"),3,IF(OR(H418="XL",H418="35cm"),4,0))))),0)</f>
        <v>#REF!</v>
      </c>
      <c r="K418" s="12">
        <f t="shared" si="1"/>
        <v>0</v>
      </c>
      <c r="L418" s="13">
        <f>IFERROR(IF(C418="",0,IF(D418="PRETINA",SUMIFS($I$4:$I$417,$C$4:$C$417,C418,$D$4:$D$417,D418,$E$4:$E$417,E418,$F$4:$F$417,F418,$G$4:$G$417,G418,$H$4:$H$417,H418,$B$4:$B$417,"INGRESO")+SUMIFS($I$4:$I$417,$C$4:$C$417,C418,$D$4:$D$417,D418,$E$4:$E$417,E418,$F$4:$F$417,F418,$G$4:$G$417,G418,$H$4:$H$417,H418,$B$4:$B$417,"DE CORTE")-SUMIFS($I$4:$I$417,$C$4:$C$417,C418,$D$4:$D$417,D418,$E$4:$E$417,E418,$F$4:$F$417,F418,$G$4:$G$417,G418,$H$4:$H$417,H418,$B$4:$B$417,"SALIDA"),SUMIFS($I$4:$I$417,$C$4:$C$417,C418,$D$4:$D$417,D418,$E$4:$E$417,E418,$G$4:$G$417,G418,$H$4:$H$417,H418,$B$4:$B$417,"INGRESO")+SUMIFS($I$4:$I$417,$C$4:$C$417,C418,$D$4:$D$417,D418,$E$4:$E$417,E418,$G$4:$G$417,G418,$H$4:$H$417,H418,$B$4:$B$417,"DE CORTE")-SUMIFS($I$4:$I$417,$C$4:$C$417,C418,$D$4:$D$417,D418,$E$4:$E$417,E418,$G$4:$G$417,G418,$H$4:$H$417,H418,$B$4:$B$417,"SALIDA"))),0)</f>
        <v>0</v>
      </c>
      <c r="M418" s="13">
        <f t="shared" si="2"/>
        <v>0</v>
      </c>
      <c r="N418" s="14"/>
      <c r="O418" s="14"/>
      <c r="P418" s="15"/>
      <c r="Q418" s="14"/>
    </row>
    <row r="419" ht="15.75" customHeight="1">
      <c r="A419" s="7"/>
      <c r="B419" s="8"/>
      <c r="C419" s="8"/>
      <c r="D419" s="8"/>
      <c r="E419" s="8"/>
      <c r="F419" s="14"/>
      <c r="G419" s="8"/>
      <c r="H419" s="8"/>
      <c r="I419" s="9"/>
      <c r="J419" s="12" t="str">
        <f t="array" ref="J419:K419">IFERROR(INDEX(PRECIOS_COMPLEMENTOS!$C$4:$F$17,MATCH(D419&amp;"_"&amp;E419,PRECIOS_COMPLEMENTOS!$H$4:$H$17,0),IF(OR(H419="S",H419="20cm"),1,IF(OR(H419="M",H419="25cm"),2,IF(OR(H419="L",H419="30cm"),3,IF(OR(H419="XL",H419="35cm"),4,0))))),0)</f>
        <v>#REF!</v>
      </c>
      <c r="K419" s="12">
        <f t="shared" si="1"/>
        <v>0</v>
      </c>
      <c r="L419" s="13">
        <f>IFERROR(IF(C419="",0,IF(D419="PRETINA",SUMIFS($I$4:$I$418,$C$4:$C$418,C419,$D$4:$D$418,D419,$E$4:$E$418,E419,$F$4:$F$418,F419,$G$4:$G$418,G419,$H$4:$H$418,H419,$B$4:$B$418,"INGRESO")+SUMIFS($I$4:$I$418,$C$4:$C$418,C419,$D$4:$D$418,D419,$E$4:$E$418,E419,$F$4:$F$418,F419,$G$4:$G$418,G419,$H$4:$H$418,H419,$B$4:$B$418,"DE CORTE")-SUMIFS($I$4:$I$418,$C$4:$C$418,C419,$D$4:$D$418,D419,$E$4:$E$418,E419,$F$4:$F$418,F419,$G$4:$G$418,G419,$H$4:$H$418,H419,$B$4:$B$418,"SALIDA"),SUMIFS($I$4:$I$418,$C$4:$C$418,C419,$D$4:$D$418,D419,$E$4:$E$418,E419,$G$4:$G$418,G419,$H$4:$H$418,H419,$B$4:$B$418,"INGRESO")+SUMIFS($I$4:$I$418,$C$4:$C$418,C419,$D$4:$D$418,D419,$E$4:$E$418,E419,$G$4:$G$418,G419,$H$4:$H$418,H419,$B$4:$B$418,"DE CORTE")-SUMIFS($I$4:$I$418,$C$4:$C$418,C419,$D$4:$D$418,D419,$E$4:$E$418,E419,$G$4:$G$418,G419,$H$4:$H$418,H419,$B$4:$B$418,"SALIDA"))),0)</f>
        <v>0</v>
      </c>
      <c r="M419" s="13">
        <f t="shared" si="2"/>
        <v>0</v>
      </c>
      <c r="N419" s="14"/>
      <c r="O419" s="14"/>
      <c r="P419" s="15"/>
      <c r="Q419" s="14"/>
    </row>
    <row r="420" ht="15.75" customHeight="1">
      <c r="A420" s="7"/>
      <c r="B420" s="8"/>
      <c r="C420" s="8"/>
      <c r="D420" s="8"/>
      <c r="E420" s="8"/>
      <c r="F420" s="14"/>
      <c r="G420" s="8"/>
      <c r="H420" s="8"/>
      <c r="I420" s="9"/>
      <c r="J420" s="12" t="str">
        <f t="array" ref="J420:K420">IFERROR(INDEX(PRECIOS_COMPLEMENTOS!$C$4:$F$17,MATCH(D420&amp;"_"&amp;E420,PRECIOS_COMPLEMENTOS!$H$4:$H$17,0),IF(OR(H420="S",H420="20cm"),1,IF(OR(H420="M",H420="25cm"),2,IF(OR(H420="L",H420="30cm"),3,IF(OR(H420="XL",H420="35cm"),4,0))))),0)</f>
        <v>#REF!</v>
      </c>
      <c r="K420" s="12">
        <f t="shared" si="1"/>
        <v>0</v>
      </c>
      <c r="L420" s="13">
        <f>IFERROR(IF(C420="",0,IF(D420="PRETINA",SUMIFS($I$4:$I$419,$C$4:$C$419,C420,$D$4:$D$419,D420,$E$4:$E$419,E420,$F$4:$F$419,F420,$G$4:$G$419,G420,$H$4:$H$419,H420,$B$4:$B$419,"INGRESO")+SUMIFS($I$4:$I$419,$C$4:$C$419,C420,$D$4:$D$419,D420,$E$4:$E$419,E420,$F$4:$F$419,F420,$G$4:$G$419,G420,$H$4:$H$419,H420,$B$4:$B$419,"DE CORTE")-SUMIFS($I$4:$I$419,$C$4:$C$419,C420,$D$4:$D$419,D420,$E$4:$E$419,E420,$F$4:$F$419,F420,$G$4:$G$419,G420,$H$4:$H$419,H420,$B$4:$B$419,"SALIDA"),SUMIFS($I$4:$I$419,$C$4:$C$419,C420,$D$4:$D$419,D420,$E$4:$E$419,E420,$G$4:$G$419,G420,$H$4:$H$419,H420,$B$4:$B$419,"INGRESO")+SUMIFS($I$4:$I$419,$C$4:$C$419,C420,$D$4:$D$419,D420,$E$4:$E$419,E420,$G$4:$G$419,G420,$H$4:$H$419,H420,$B$4:$B$419,"DE CORTE")-SUMIFS($I$4:$I$419,$C$4:$C$419,C420,$D$4:$D$419,D420,$E$4:$E$419,E420,$G$4:$G$419,G420,$H$4:$H$419,H420,$B$4:$B$419,"SALIDA"))),0)</f>
        <v>0</v>
      </c>
      <c r="M420" s="13">
        <f t="shared" si="2"/>
        <v>0</v>
      </c>
      <c r="N420" s="14"/>
      <c r="O420" s="14"/>
      <c r="P420" s="15"/>
      <c r="Q420" s="14"/>
    </row>
    <row r="421" ht="15.75" customHeight="1">
      <c r="A421" s="7"/>
      <c r="B421" s="8"/>
      <c r="C421" s="8"/>
      <c r="D421" s="8"/>
      <c r="E421" s="8"/>
      <c r="F421" s="14"/>
      <c r="G421" s="8"/>
      <c r="H421" s="8"/>
      <c r="I421" s="9"/>
      <c r="J421" s="12" t="str">
        <f t="array" ref="J421:K421">IFERROR(INDEX(PRECIOS_COMPLEMENTOS!$C$4:$F$17,MATCH(D421&amp;"_"&amp;E421,PRECIOS_COMPLEMENTOS!$H$4:$H$17,0),IF(OR(H421="S",H421="20cm"),1,IF(OR(H421="M",H421="25cm"),2,IF(OR(H421="L",H421="30cm"),3,IF(OR(H421="XL",H421="35cm"),4,0))))),0)</f>
        <v>#REF!</v>
      </c>
      <c r="K421" s="12">
        <f t="shared" si="1"/>
        <v>0</v>
      </c>
      <c r="L421" s="13">
        <f>IFERROR(IF(C421="",0,IF(D421="PRETINA",SUMIFS($I$4:$I$420,$C$4:$C$420,C421,$D$4:$D$420,D421,$E$4:$E$420,E421,$F$4:$F$420,F421,$G$4:$G$420,G421,$H$4:$H$420,H421,$B$4:$B$420,"INGRESO")+SUMIFS($I$4:$I$420,$C$4:$C$420,C421,$D$4:$D$420,D421,$E$4:$E$420,E421,$F$4:$F$420,F421,$G$4:$G$420,G421,$H$4:$H$420,H421,$B$4:$B$420,"DE CORTE")-SUMIFS($I$4:$I$420,$C$4:$C$420,C421,$D$4:$D$420,D421,$E$4:$E$420,E421,$F$4:$F$420,F421,$G$4:$G$420,G421,$H$4:$H$420,H421,$B$4:$B$420,"SALIDA"),SUMIFS($I$4:$I$420,$C$4:$C$420,C421,$D$4:$D$420,D421,$E$4:$E$420,E421,$G$4:$G$420,G421,$H$4:$H$420,H421,$B$4:$B$420,"INGRESO")+SUMIFS($I$4:$I$420,$C$4:$C$420,C421,$D$4:$D$420,D421,$E$4:$E$420,E421,$G$4:$G$420,G421,$H$4:$H$420,H421,$B$4:$B$420,"DE CORTE")-SUMIFS($I$4:$I$420,$C$4:$C$420,C421,$D$4:$D$420,D421,$E$4:$E$420,E421,$G$4:$G$420,G421,$H$4:$H$420,H421,$B$4:$B$420,"SALIDA"))),0)</f>
        <v>0</v>
      </c>
      <c r="M421" s="13">
        <f t="shared" si="2"/>
        <v>0</v>
      </c>
      <c r="N421" s="14"/>
      <c r="O421" s="14"/>
      <c r="P421" s="15"/>
      <c r="Q421" s="14"/>
    </row>
    <row r="422" ht="15.75" customHeight="1">
      <c r="A422" s="7"/>
      <c r="B422" s="8"/>
      <c r="C422" s="8"/>
      <c r="D422" s="8"/>
      <c r="E422" s="8"/>
      <c r="F422" s="14"/>
      <c r="G422" s="8"/>
      <c r="H422" s="8"/>
      <c r="I422" s="9"/>
      <c r="J422" s="12" t="str">
        <f t="array" ref="J422:K422">IFERROR(INDEX(PRECIOS_COMPLEMENTOS!$C$4:$F$17,MATCH(D422&amp;"_"&amp;E422,PRECIOS_COMPLEMENTOS!$H$4:$H$17,0),IF(OR(H422="S",H422="20cm"),1,IF(OR(H422="M",H422="25cm"),2,IF(OR(H422="L",H422="30cm"),3,IF(OR(H422="XL",H422="35cm"),4,0))))),0)</f>
        <v>#REF!</v>
      </c>
      <c r="K422" s="12">
        <f t="shared" si="1"/>
        <v>0</v>
      </c>
      <c r="L422" s="13">
        <f>IFERROR(IF(C422="",0,IF(D422="PRETINA",SUMIFS($I$4:$I$421,$C$4:$C$421,C422,$D$4:$D$421,D422,$E$4:$E$421,E422,$F$4:$F$421,F422,$G$4:$G$421,G422,$H$4:$H$421,H422,$B$4:$B$421,"INGRESO")+SUMIFS($I$4:$I$421,$C$4:$C$421,C422,$D$4:$D$421,D422,$E$4:$E$421,E422,$F$4:$F$421,F422,$G$4:$G$421,G422,$H$4:$H$421,H422,$B$4:$B$421,"DE CORTE")-SUMIFS($I$4:$I$421,$C$4:$C$421,C422,$D$4:$D$421,D422,$E$4:$E$421,E422,$F$4:$F$421,F422,$G$4:$G$421,G422,$H$4:$H$421,H422,$B$4:$B$421,"SALIDA"),SUMIFS($I$4:$I$421,$C$4:$C$421,C422,$D$4:$D$421,D422,$E$4:$E$421,E422,$G$4:$G$421,G422,$H$4:$H$421,H422,$B$4:$B$421,"INGRESO")+SUMIFS($I$4:$I$421,$C$4:$C$421,C422,$D$4:$D$421,D422,$E$4:$E$421,E422,$G$4:$G$421,G422,$H$4:$H$421,H422,$B$4:$B$421,"DE CORTE")-SUMIFS($I$4:$I$421,$C$4:$C$421,C422,$D$4:$D$421,D422,$E$4:$E$421,E422,$G$4:$G$421,G422,$H$4:$H$421,H422,$B$4:$B$421,"SALIDA"))),0)</f>
        <v>0</v>
      </c>
      <c r="M422" s="13">
        <f t="shared" si="2"/>
        <v>0</v>
      </c>
      <c r="N422" s="14"/>
      <c r="O422" s="14"/>
      <c r="P422" s="15"/>
      <c r="Q422" s="14"/>
    </row>
    <row r="423" ht="15.75" customHeight="1">
      <c r="A423" s="7"/>
      <c r="B423" s="8"/>
      <c r="C423" s="8"/>
      <c r="D423" s="8"/>
      <c r="E423" s="8"/>
      <c r="F423" s="14"/>
      <c r="G423" s="8"/>
      <c r="H423" s="8"/>
      <c r="I423" s="9"/>
      <c r="J423" s="12" t="str">
        <f t="array" ref="J423:K423">IFERROR(INDEX(PRECIOS_COMPLEMENTOS!$C$4:$F$17,MATCH(D423&amp;"_"&amp;E423,PRECIOS_COMPLEMENTOS!$H$4:$H$17,0),IF(OR(H423="S",H423="20cm"),1,IF(OR(H423="M",H423="25cm"),2,IF(OR(H423="L",H423="30cm"),3,IF(OR(H423="XL",H423="35cm"),4,0))))),0)</f>
        <v>#REF!</v>
      </c>
      <c r="K423" s="12">
        <f t="shared" si="1"/>
        <v>0</v>
      </c>
      <c r="L423" s="13">
        <f>IFERROR(IF(C423="",0,IF(D423="PRETINA",SUMIFS($I$4:$I$422,$C$4:$C$422,C423,$D$4:$D$422,D423,$E$4:$E$422,E423,$F$4:$F$422,F423,$G$4:$G$422,G423,$H$4:$H$422,H423,$B$4:$B$422,"INGRESO")+SUMIFS($I$4:$I$422,$C$4:$C$422,C423,$D$4:$D$422,D423,$E$4:$E$422,E423,$F$4:$F$422,F423,$G$4:$G$422,G423,$H$4:$H$422,H423,$B$4:$B$422,"DE CORTE")-SUMIFS($I$4:$I$422,$C$4:$C$422,C423,$D$4:$D$422,D423,$E$4:$E$422,E423,$F$4:$F$422,F423,$G$4:$G$422,G423,$H$4:$H$422,H423,$B$4:$B$422,"SALIDA"),SUMIFS($I$4:$I$422,$C$4:$C$422,C423,$D$4:$D$422,D423,$E$4:$E$422,E423,$G$4:$G$422,G423,$H$4:$H$422,H423,$B$4:$B$422,"INGRESO")+SUMIFS($I$4:$I$422,$C$4:$C$422,C423,$D$4:$D$422,D423,$E$4:$E$422,E423,$G$4:$G$422,G423,$H$4:$H$422,H423,$B$4:$B$422,"DE CORTE")-SUMIFS($I$4:$I$422,$C$4:$C$422,C423,$D$4:$D$422,D423,$E$4:$E$422,E423,$G$4:$G$422,G423,$H$4:$H$422,H423,$B$4:$B$422,"SALIDA"))),0)</f>
        <v>0</v>
      </c>
      <c r="M423" s="13">
        <f t="shared" si="2"/>
        <v>0</v>
      </c>
      <c r="N423" s="14"/>
      <c r="O423" s="14"/>
      <c r="P423" s="15"/>
      <c r="Q423" s="14"/>
    </row>
    <row r="424" ht="15.75" customHeight="1">
      <c r="A424" s="7"/>
      <c r="B424" s="8"/>
      <c r="C424" s="8"/>
      <c r="D424" s="8"/>
      <c r="E424" s="8"/>
      <c r="F424" s="14"/>
      <c r="G424" s="8"/>
      <c r="H424" s="8"/>
      <c r="I424" s="9"/>
      <c r="J424" s="12" t="str">
        <f t="array" ref="J424:K424">IFERROR(INDEX(PRECIOS_COMPLEMENTOS!$C$4:$F$17,MATCH(D424&amp;"_"&amp;E424,PRECIOS_COMPLEMENTOS!$H$4:$H$17,0),IF(OR(H424="S",H424="20cm"),1,IF(OR(H424="M",H424="25cm"),2,IF(OR(H424="L",H424="30cm"),3,IF(OR(H424="XL",H424="35cm"),4,0))))),0)</f>
        <v>#REF!</v>
      </c>
      <c r="K424" s="12">
        <f t="shared" si="1"/>
        <v>0</v>
      </c>
      <c r="L424" s="13">
        <f>IFERROR(IF(C424="",0,IF(D424="PRETINA",SUMIFS($I$4:$I$423,$C$4:$C$423,C424,$D$4:$D$423,D424,$E$4:$E$423,E424,$F$4:$F$423,F424,$G$4:$G$423,G424,$H$4:$H$423,H424,$B$4:$B$423,"INGRESO")+SUMIFS($I$4:$I$423,$C$4:$C$423,C424,$D$4:$D$423,D424,$E$4:$E$423,E424,$F$4:$F$423,F424,$G$4:$G$423,G424,$H$4:$H$423,H424,$B$4:$B$423,"DE CORTE")-SUMIFS($I$4:$I$423,$C$4:$C$423,C424,$D$4:$D$423,D424,$E$4:$E$423,E424,$F$4:$F$423,F424,$G$4:$G$423,G424,$H$4:$H$423,H424,$B$4:$B$423,"SALIDA"),SUMIFS($I$4:$I$423,$C$4:$C$423,C424,$D$4:$D$423,D424,$E$4:$E$423,E424,$G$4:$G$423,G424,$H$4:$H$423,H424,$B$4:$B$423,"INGRESO")+SUMIFS($I$4:$I$423,$C$4:$C$423,C424,$D$4:$D$423,D424,$E$4:$E$423,E424,$G$4:$G$423,G424,$H$4:$H$423,H424,$B$4:$B$423,"DE CORTE")-SUMIFS($I$4:$I$423,$C$4:$C$423,C424,$D$4:$D$423,D424,$E$4:$E$423,E424,$G$4:$G$423,G424,$H$4:$H$423,H424,$B$4:$B$423,"SALIDA"))),0)</f>
        <v>0</v>
      </c>
      <c r="M424" s="13">
        <f t="shared" si="2"/>
        <v>0</v>
      </c>
      <c r="N424" s="14"/>
      <c r="O424" s="14"/>
      <c r="P424" s="15"/>
      <c r="Q424" s="14"/>
    </row>
    <row r="425" ht="15.75" customHeight="1">
      <c r="A425" s="7"/>
      <c r="B425" s="8"/>
      <c r="C425" s="8"/>
      <c r="D425" s="8"/>
      <c r="E425" s="8"/>
      <c r="F425" s="14"/>
      <c r="G425" s="8"/>
      <c r="H425" s="8"/>
      <c r="I425" s="9"/>
      <c r="J425" s="12" t="str">
        <f t="array" ref="J425:K425">IFERROR(INDEX(PRECIOS_COMPLEMENTOS!$C$4:$F$17,MATCH(D425&amp;"_"&amp;E425,PRECIOS_COMPLEMENTOS!$H$4:$H$17,0),IF(OR(H425="S",H425="20cm"),1,IF(OR(H425="M",H425="25cm"),2,IF(OR(H425="L",H425="30cm"),3,IF(OR(H425="XL",H425="35cm"),4,0))))),0)</f>
        <v>#REF!</v>
      </c>
      <c r="K425" s="12">
        <f t="shared" si="1"/>
        <v>0</v>
      </c>
      <c r="L425" s="13">
        <f>IFERROR(IF(C425="",0,IF(D425="PRETINA",SUMIFS($I$4:$I$424,$C$4:$C$424,C425,$D$4:$D$424,D425,$E$4:$E$424,E425,$F$4:$F$424,F425,$G$4:$G$424,G425,$H$4:$H$424,H425,$B$4:$B$424,"INGRESO")+SUMIFS($I$4:$I$424,$C$4:$C$424,C425,$D$4:$D$424,D425,$E$4:$E$424,E425,$F$4:$F$424,F425,$G$4:$G$424,G425,$H$4:$H$424,H425,$B$4:$B$424,"DE CORTE")-SUMIFS($I$4:$I$424,$C$4:$C$424,C425,$D$4:$D$424,D425,$E$4:$E$424,E425,$F$4:$F$424,F425,$G$4:$G$424,G425,$H$4:$H$424,H425,$B$4:$B$424,"SALIDA"),SUMIFS($I$4:$I$424,$C$4:$C$424,C425,$D$4:$D$424,D425,$E$4:$E$424,E425,$G$4:$G$424,G425,$H$4:$H$424,H425,$B$4:$B$424,"INGRESO")+SUMIFS($I$4:$I$424,$C$4:$C$424,C425,$D$4:$D$424,D425,$E$4:$E$424,E425,$G$4:$G$424,G425,$H$4:$H$424,H425,$B$4:$B$424,"DE CORTE")-SUMIFS($I$4:$I$424,$C$4:$C$424,C425,$D$4:$D$424,D425,$E$4:$E$424,E425,$G$4:$G$424,G425,$H$4:$H$424,H425,$B$4:$B$424,"SALIDA"))),0)</f>
        <v>0</v>
      </c>
      <c r="M425" s="13">
        <f t="shared" si="2"/>
        <v>0</v>
      </c>
      <c r="N425" s="14"/>
      <c r="O425" s="14"/>
      <c r="P425" s="15"/>
      <c r="Q425" s="14"/>
    </row>
    <row r="426" ht="15.75" customHeight="1">
      <c r="A426" s="7"/>
      <c r="B426" s="8"/>
      <c r="C426" s="8"/>
      <c r="D426" s="8"/>
      <c r="E426" s="8"/>
      <c r="F426" s="14"/>
      <c r="G426" s="8"/>
      <c r="H426" s="8"/>
      <c r="I426" s="9"/>
      <c r="J426" s="12" t="str">
        <f t="array" ref="J426:K426">IFERROR(INDEX(PRECIOS_COMPLEMENTOS!$C$4:$F$17,MATCH(D426&amp;"_"&amp;E426,PRECIOS_COMPLEMENTOS!$H$4:$H$17,0),IF(OR(H426="S",H426="20cm"),1,IF(OR(H426="M",H426="25cm"),2,IF(OR(H426="L",H426="30cm"),3,IF(OR(H426="XL",H426="35cm"),4,0))))),0)</f>
        <v>#REF!</v>
      </c>
      <c r="K426" s="12">
        <f t="shared" si="1"/>
        <v>0</v>
      </c>
      <c r="L426" s="13">
        <f>IFERROR(IF(C426="",0,IF(D426="PRETINA",SUMIFS($I$4:$I$425,$C$4:$C$425,C426,$D$4:$D$425,D426,$E$4:$E$425,E426,$F$4:$F$425,F426,$G$4:$G$425,G426,$H$4:$H$425,H426,$B$4:$B$425,"INGRESO")+SUMIFS($I$4:$I$425,$C$4:$C$425,C426,$D$4:$D$425,D426,$E$4:$E$425,E426,$F$4:$F$425,F426,$G$4:$G$425,G426,$H$4:$H$425,H426,$B$4:$B$425,"DE CORTE")-SUMIFS($I$4:$I$425,$C$4:$C$425,C426,$D$4:$D$425,D426,$E$4:$E$425,E426,$F$4:$F$425,F426,$G$4:$G$425,G426,$H$4:$H$425,H426,$B$4:$B$425,"SALIDA"),SUMIFS($I$4:$I$425,$C$4:$C$425,C426,$D$4:$D$425,D426,$E$4:$E$425,E426,$G$4:$G$425,G426,$H$4:$H$425,H426,$B$4:$B$425,"INGRESO")+SUMIFS($I$4:$I$425,$C$4:$C$425,C426,$D$4:$D$425,D426,$E$4:$E$425,E426,$G$4:$G$425,G426,$H$4:$H$425,H426,$B$4:$B$425,"DE CORTE")-SUMIFS($I$4:$I$425,$C$4:$C$425,C426,$D$4:$D$425,D426,$E$4:$E$425,E426,$G$4:$G$425,G426,$H$4:$H$425,H426,$B$4:$B$425,"SALIDA"))),0)</f>
        <v>0</v>
      </c>
      <c r="M426" s="13">
        <f t="shared" si="2"/>
        <v>0</v>
      </c>
      <c r="N426" s="14"/>
      <c r="O426" s="14"/>
      <c r="P426" s="15"/>
      <c r="Q426" s="14"/>
    </row>
    <row r="427" ht="15.75" customHeight="1">
      <c r="A427" s="7"/>
      <c r="B427" s="8"/>
      <c r="C427" s="8"/>
      <c r="D427" s="8"/>
      <c r="E427" s="8"/>
      <c r="F427" s="14"/>
      <c r="G427" s="8"/>
      <c r="H427" s="8"/>
      <c r="I427" s="9"/>
      <c r="J427" s="12" t="str">
        <f t="array" ref="J427:K427">IFERROR(INDEX(PRECIOS_COMPLEMENTOS!$C$4:$F$17,MATCH(D427&amp;"_"&amp;E427,PRECIOS_COMPLEMENTOS!$H$4:$H$17,0),IF(OR(H427="S",H427="20cm"),1,IF(OR(H427="M",H427="25cm"),2,IF(OR(H427="L",H427="30cm"),3,IF(OR(H427="XL",H427="35cm"),4,0))))),0)</f>
        <v>#REF!</v>
      </c>
      <c r="K427" s="12">
        <f t="shared" si="1"/>
        <v>0</v>
      </c>
      <c r="L427" s="13">
        <f>IFERROR(IF(C427="",0,IF(D427="PRETINA",SUMIFS($I$4:$I$426,$C$4:$C$426,C427,$D$4:$D$426,D427,$E$4:$E$426,E427,$F$4:$F$426,F427,$G$4:$G$426,G427,$H$4:$H$426,H427,$B$4:$B$426,"INGRESO")+SUMIFS($I$4:$I$426,$C$4:$C$426,C427,$D$4:$D$426,D427,$E$4:$E$426,E427,$F$4:$F$426,F427,$G$4:$G$426,G427,$H$4:$H$426,H427,$B$4:$B$426,"DE CORTE")-SUMIFS($I$4:$I$426,$C$4:$C$426,C427,$D$4:$D$426,D427,$E$4:$E$426,E427,$F$4:$F$426,F427,$G$4:$G$426,G427,$H$4:$H$426,H427,$B$4:$B$426,"SALIDA"),SUMIFS($I$4:$I$426,$C$4:$C$426,C427,$D$4:$D$426,D427,$E$4:$E$426,E427,$G$4:$G$426,G427,$H$4:$H$426,H427,$B$4:$B$426,"INGRESO")+SUMIFS($I$4:$I$426,$C$4:$C$426,C427,$D$4:$D$426,D427,$E$4:$E$426,E427,$G$4:$G$426,G427,$H$4:$H$426,H427,$B$4:$B$426,"DE CORTE")-SUMIFS($I$4:$I$426,$C$4:$C$426,C427,$D$4:$D$426,D427,$E$4:$E$426,E427,$G$4:$G$426,G427,$H$4:$H$426,H427,$B$4:$B$426,"SALIDA"))),0)</f>
        <v>0</v>
      </c>
      <c r="M427" s="13">
        <f t="shared" si="2"/>
        <v>0</v>
      </c>
      <c r="N427" s="14"/>
      <c r="O427" s="14"/>
      <c r="P427" s="15"/>
      <c r="Q427" s="14"/>
    </row>
    <row r="428" ht="15.75" customHeight="1">
      <c r="A428" s="7"/>
      <c r="B428" s="8"/>
      <c r="C428" s="8"/>
      <c r="D428" s="8"/>
      <c r="E428" s="8"/>
      <c r="F428" s="14"/>
      <c r="G428" s="8"/>
      <c r="H428" s="8"/>
      <c r="I428" s="9"/>
      <c r="J428" s="12" t="str">
        <f t="array" ref="J428:K428">IFERROR(INDEX(PRECIOS_COMPLEMENTOS!$C$4:$F$17,MATCH(D428&amp;"_"&amp;E428,PRECIOS_COMPLEMENTOS!$H$4:$H$17,0),IF(OR(H428="S",H428="20cm"),1,IF(OR(H428="M",H428="25cm"),2,IF(OR(H428="L",H428="30cm"),3,IF(OR(H428="XL",H428="35cm"),4,0))))),0)</f>
        <v>#REF!</v>
      </c>
      <c r="K428" s="12">
        <f t="shared" si="1"/>
        <v>0</v>
      </c>
      <c r="L428" s="13">
        <f>IFERROR(IF(C428="",0,IF(D428="PRETINA",SUMIFS($I$4:$I$427,$C$4:$C$427,C428,$D$4:$D$427,D428,$E$4:$E$427,E428,$F$4:$F$427,F428,$G$4:$G$427,G428,$H$4:$H$427,H428,$B$4:$B$427,"INGRESO")+SUMIFS($I$4:$I$427,$C$4:$C$427,C428,$D$4:$D$427,D428,$E$4:$E$427,E428,$F$4:$F$427,F428,$G$4:$G$427,G428,$H$4:$H$427,H428,$B$4:$B$427,"DE CORTE")-SUMIFS($I$4:$I$427,$C$4:$C$427,C428,$D$4:$D$427,D428,$E$4:$E$427,E428,$F$4:$F$427,F428,$G$4:$G$427,G428,$H$4:$H$427,H428,$B$4:$B$427,"SALIDA"),SUMIFS($I$4:$I$427,$C$4:$C$427,C428,$D$4:$D$427,D428,$E$4:$E$427,E428,$G$4:$G$427,G428,$H$4:$H$427,H428,$B$4:$B$427,"INGRESO")+SUMIFS($I$4:$I$427,$C$4:$C$427,C428,$D$4:$D$427,D428,$E$4:$E$427,E428,$G$4:$G$427,G428,$H$4:$H$427,H428,$B$4:$B$427,"DE CORTE")-SUMIFS($I$4:$I$427,$C$4:$C$427,C428,$D$4:$D$427,D428,$E$4:$E$427,E428,$G$4:$G$427,G428,$H$4:$H$427,H428,$B$4:$B$427,"SALIDA"))),0)</f>
        <v>0</v>
      </c>
      <c r="M428" s="13">
        <f t="shared" si="2"/>
        <v>0</v>
      </c>
      <c r="N428" s="14"/>
      <c r="O428" s="14"/>
      <c r="P428" s="15"/>
      <c r="Q428" s="14"/>
    </row>
    <row r="429" ht="15.75" customHeight="1">
      <c r="A429" s="7"/>
      <c r="B429" s="8"/>
      <c r="C429" s="8"/>
      <c r="D429" s="8"/>
      <c r="E429" s="8"/>
      <c r="F429" s="14"/>
      <c r="G429" s="8"/>
      <c r="H429" s="8"/>
      <c r="I429" s="9"/>
      <c r="J429" s="12" t="str">
        <f t="array" ref="J429:K429">IFERROR(INDEX(PRECIOS_COMPLEMENTOS!$C$4:$F$17,MATCH(D429&amp;"_"&amp;E429,PRECIOS_COMPLEMENTOS!$H$4:$H$17,0),IF(OR(H429="S",H429="20cm"),1,IF(OR(H429="M",H429="25cm"),2,IF(OR(H429="L",H429="30cm"),3,IF(OR(H429="XL",H429="35cm"),4,0))))),0)</f>
        <v>#REF!</v>
      </c>
      <c r="K429" s="12">
        <f t="shared" si="1"/>
        <v>0</v>
      </c>
      <c r="L429" s="13">
        <f>IFERROR(IF(C429="",0,IF(D429="PRETINA",SUMIFS($I$4:$I$428,$C$4:$C$428,C429,$D$4:$D$428,D429,$E$4:$E$428,E429,$F$4:$F$428,F429,$G$4:$G$428,G429,$H$4:$H$428,H429,$B$4:$B$428,"INGRESO")+SUMIFS($I$4:$I$428,$C$4:$C$428,C429,$D$4:$D$428,D429,$E$4:$E$428,E429,$F$4:$F$428,F429,$G$4:$G$428,G429,$H$4:$H$428,H429,$B$4:$B$428,"DE CORTE")-SUMIFS($I$4:$I$428,$C$4:$C$428,C429,$D$4:$D$428,D429,$E$4:$E$428,E429,$F$4:$F$428,F429,$G$4:$G$428,G429,$H$4:$H$428,H429,$B$4:$B$428,"SALIDA"),SUMIFS($I$4:$I$428,$C$4:$C$428,C429,$D$4:$D$428,D429,$E$4:$E$428,E429,$G$4:$G$428,G429,$H$4:$H$428,H429,$B$4:$B$428,"INGRESO")+SUMIFS($I$4:$I$428,$C$4:$C$428,C429,$D$4:$D$428,D429,$E$4:$E$428,E429,$G$4:$G$428,G429,$H$4:$H$428,H429,$B$4:$B$428,"DE CORTE")-SUMIFS($I$4:$I$428,$C$4:$C$428,C429,$D$4:$D$428,D429,$E$4:$E$428,E429,$G$4:$G$428,G429,$H$4:$H$428,H429,$B$4:$B$428,"SALIDA"))),0)</f>
        <v>0</v>
      </c>
      <c r="M429" s="13">
        <f t="shared" si="2"/>
        <v>0</v>
      </c>
      <c r="N429" s="14"/>
      <c r="O429" s="14"/>
      <c r="P429" s="15"/>
      <c r="Q429" s="14"/>
    </row>
    <row r="430" ht="15.75" customHeight="1">
      <c r="A430" s="7"/>
      <c r="B430" s="8"/>
      <c r="C430" s="8"/>
      <c r="D430" s="8"/>
      <c r="E430" s="8"/>
      <c r="F430" s="14"/>
      <c r="G430" s="8"/>
      <c r="H430" s="8"/>
      <c r="I430" s="9"/>
      <c r="J430" s="12" t="str">
        <f t="array" ref="J430:K430">IFERROR(INDEX(PRECIOS_COMPLEMENTOS!$C$4:$F$17,MATCH(D430&amp;"_"&amp;E430,PRECIOS_COMPLEMENTOS!$H$4:$H$17,0),IF(OR(H430="S",H430="20cm"),1,IF(OR(H430="M",H430="25cm"),2,IF(OR(H430="L",H430="30cm"),3,IF(OR(H430="XL",H430="35cm"),4,0))))),0)</f>
        <v>#REF!</v>
      </c>
      <c r="K430" s="12">
        <f t="shared" si="1"/>
        <v>0</v>
      </c>
      <c r="L430" s="13">
        <f>IFERROR(IF(C430="",0,IF(D430="PRETINA",SUMIFS($I$4:$I$429,$C$4:$C$429,C430,$D$4:$D$429,D430,$E$4:$E$429,E430,$F$4:$F$429,F430,$G$4:$G$429,G430,$H$4:$H$429,H430,$B$4:$B$429,"INGRESO")+SUMIFS($I$4:$I$429,$C$4:$C$429,C430,$D$4:$D$429,D430,$E$4:$E$429,E430,$F$4:$F$429,F430,$G$4:$G$429,G430,$H$4:$H$429,H430,$B$4:$B$429,"DE CORTE")-SUMIFS($I$4:$I$429,$C$4:$C$429,C430,$D$4:$D$429,D430,$E$4:$E$429,E430,$F$4:$F$429,F430,$G$4:$G$429,G430,$H$4:$H$429,H430,$B$4:$B$429,"SALIDA"),SUMIFS($I$4:$I$429,$C$4:$C$429,C430,$D$4:$D$429,D430,$E$4:$E$429,E430,$G$4:$G$429,G430,$H$4:$H$429,H430,$B$4:$B$429,"INGRESO")+SUMIFS($I$4:$I$429,$C$4:$C$429,C430,$D$4:$D$429,D430,$E$4:$E$429,E430,$G$4:$G$429,G430,$H$4:$H$429,H430,$B$4:$B$429,"DE CORTE")-SUMIFS($I$4:$I$429,$C$4:$C$429,C430,$D$4:$D$429,D430,$E$4:$E$429,E430,$G$4:$G$429,G430,$H$4:$H$429,H430,$B$4:$B$429,"SALIDA"))),0)</f>
        <v>0</v>
      </c>
      <c r="M430" s="13">
        <f t="shared" si="2"/>
        <v>0</v>
      </c>
      <c r="N430" s="14"/>
      <c r="O430" s="14"/>
      <c r="P430" s="15"/>
      <c r="Q430" s="14"/>
    </row>
    <row r="431" ht="15.75" customHeight="1">
      <c r="A431" s="7"/>
      <c r="B431" s="8"/>
      <c r="C431" s="8"/>
      <c r="D431" s="8"/>
      <c r="E431" s="8"/>
      <c r="F431" s="14"/>
      <c r="G431" s="8"/>
      <c r="H431" s="8"/>
      <c r="I431" s="9"/>
      <c r="J431" s="12" t="str">
        <f t="array" ref="J431:K431">IFERROR(INDEX(PRECIOS_COMPLEMENTOS!$C$4:$F$17,MATCH(D431&amp;"_"&amp;E431,PRECIOS_COMPLEMENTOS!$H$4:$H$17,0),IF(OR(H431="S",H431="20cm"),1,IF(OR(H431="M",H431="25cm"),2,IF(OR(H431="L",H431="30cm"),3,IF(OR(H431="XL",H431="35cm"),4,0))))),0)</f>
        <v>#REF!</v>
      </c>
      <c r="K431" s="12">
        <f t="shared" si="1"/>
        <v>0</v>
      </c>
      <c r="L431" s="13">
        <f>IFERROR(IF(C431="",0,IF(D431="PRETINA",SUMIFS($I$4:$I$430,$C$4:$C$430,C431,$D$4:$D$430,D431,$E$4:$E$430,E431,$F$4:$F$430,F431,$G$4:$G$430,G431,$H$4:$H$430,H431,$B$4:$B$430,"INGRESO")+SUMIFS($I$4:$I$430,$C$4:$C$430,C431,$D$4:$D$430,D431,$E$4:$E$430,E431,$F$4:$F$430,F431,$G$4:$G$430,G431,$H$4:$H$430,H431,$B$4:$B$430,"DE CORTE")-SUMIFS($I$4:$I$430,$C$4:$C$430,C431,$D$4:$D$430,D431,$E$4:$E$430,E431,$F$4:$F$430,F431,$G$4:$G$430,G431,$H$4:$H$430,H431,$B$4:$B$430,"SALIDA"),SUMIFS($I$4:$I$430,$C$4:$C$430,C431,$D$4:$D$430,D431,$E$4:$E$430,E431,$G$4:$G$430,G431,$H$4:$H$430,H431,$B$4:$B$430,"INGRESO")+SUMIFS($I$4:$I$430,$C$4:$C$430,C431,$D$4:$D$430,D431,$E$4:$E$430,E431,$G$4:$G$430,G431,$H$4:$H$430,H431,$B$4:$B$430,"DE CORTE")-SUMIFS($I$4:$I$430,$C$4:$C$430,C431,$D$4:$D$430,D431,$E$4:$E$430,E431,$G$4:$G$430,G431,$H$4:$H$430,H431,$B$4:$B$430,"SALIDA"))),0)</f>
        <v>0</v>
      </c>
      <c r="M431" s="13">
        <f t="shared" si="2"/>
        <v>0</v>
      </c>
      <c r="N431" s="14"/>
      <c r="O431" s="14"/>
      <c r="P431" s="15"/>
      <c r="Q431" s="14"/>
    </row>
    <row r="432" ht="15.75" customHeight="1">
      <c r="A432" s="7"/>
      <c r="B432" s="8"/>
      <c r="C432" s="8"/>
      <c r="D432" s="8"/>
      <c r="E432" s="8"/>
      <c r="F432" s="14"/>
      <c r="G432" s="8"/>
      <c r="H432" s="8"/>
      <c r="I432" s="9"/>
      <c r="J432" s="12" t="str">
        <f t="array" ref="J432:K432">IFERROR(INDEX(PRECIOS_COMPLEMENTOS!$C$4:$F$17,MATCH(D432&amp;"_"&amp;E432,PRECIOS_COMPLEMENTOS!$H$4:$H$17,0),IF(OR(H432="S",H432="20cm"),1,IF(OR(H432="M",H432="25cm"),2,IF(OR(H432="L",H432="30cm"),3,IF(OR(H432="XL",H432="35cm"),4,0))))),0)</f>
        <v>#REF!</v>
      </c>
      <c r="K432" s="12">
        <f t="shared" si="1"/>
        <v>0</v>
      </c>
      <c r="L432" s="13">
        <f>IFERROR(IF(C432="",0,IF(D432="PRETINA",SUMIFS($I$4:$I$431,$C$4:$C$431,C432,$D$4:$D$431,D432,$E$4:$E$431,E432,$F$4:$F$431,F432,$G$4:$G$431,G432,$H$4:$H$431,H432,$B$4:$B$431,"INGRESO")+SUMIFS($I$4:$I$431,$C$4:$C$431,C432,$D$4:$D$431,D432,$E$4:$E$431,E432,$F$4:$F$431,F432,$G$4:$G$431,G432,$H$4:$H$431,H432,$B$4:$B$431,"DE CORTE")-SUMIFS($I$4:$I$431,$C$4:$C$431,C432,$D$4:$D$431,D432,$E$4:$E$431,E432,$F$4:$F$431,F432,$G$4:$G$431,G432,$H$4:$H$431,H432,$B$4:$B$431,"SALIDA"),SUMIFS($I$4:$I$431,$C$4:$C$431,C432,$D$4:$D$431,D432,$E$4:$E$431,E432,$G$4:$G$431,G432,$H$4:$H$431,H432,$B$4:$B$431,"INGRESO")+SUMIFS($I$4:$I$431,$C$4:$C$431,C432,$D$4:$D$431,D432,$E$4:$E$431,E432,$G$4:$G$431,G432,$H$4:$H$431,H432,$B$4:$B$431,"DE CORTE")-SUMIFS($I$4:$I$431,$C$4:$C$431,C432,$D$4:$D$431,D432,$E$4:$E$431,E432,$G$4:$G$431,G432,$H$4:$H$431,H432,$B$4:$B$431,"SALIDA"))),0)</f>
        <v>0</v>
      </c>
      <c r="M432" s="13">
        <f t="shared" si="2"/>
        <v>0</v>
      </c>
      <c r="N432" s="14"/>
      <c r="O432" s="14"/>
      <c r="P432" s="15"/>
      <c r="Q432" s="14"/>
    </row>
    <row r="433" ht="15.75" customHeight="1">
      <c r="A433" s="7"/>
      <c r="B433" s="8"/>
      <c r="C433" s="8"/>
      <c r="D433" s="8"/>
      <c r="E433" s="8"/>
      <c r="F433" s="14"/>
      <c r="G433" s="8"/>
      <c r="H433" s="8"/>
      <c r="I433" s="9"/>
      <c r="J433" s="12" t="str">
        <f t="array" ref="J433:K433">IFERROR(INDEX(PRECIOS_COMPLEMENTOS!$C$4:$F$17,MATCH(D433&amp;"_"&amp;E433,PRECIOS_COMPLEMENTOS!$H$4:$H$17,0),IF(OR(H433="S",H433="20cm"),1,IF(OR(H433="M",H433="25cm"),2,IF(OR(H433="L",H433="30cm"),3,IF(OR(H433="XL",H433="35cm"),4,0))))),0)</f>
        <v>#REF!</v>
      </c>
      <c r="K433" s="12">
        <f t="shared" si="1"/>
        <v>0</v>
      </c>
      <c r="L433" s="13">
        <f>IFERROR(IF(C433="",0,IF(D433="PRETINA",SUMIFS($I$4:$I$432,$C$4:$C$432,C433,$D$4:$D$432,D433,$E$4:$E$432,E433,$F$4:$F$432,F433,$G$4:$G$432,G433,$H$4:$H$432,H433,$B$4:$B$432,"INGRESO")+SUMIFS($I$4:$I$432,$C$4:$C$432,C433,$D$4:$D$432,D433,$E$4:$E$432,E433,$F$4:$F$432,F433,$G$4:$G$432,G433,$H$4:$H$432,H433,$B$4:$B$432,"DE CORTE")-SUMIFS($I$4:$I$432,$C$4:$C$432,C433,$D$4:$D$432,D433,$E$4:$E$432,E433,$F$4:$F$432,F433,$G$4:$G$432,G433,$H$4:$H$432,H433,$B$4:$B$432,"SALIDA"),SUMIFS($I$4:$I$432,$C$4:$C$432,C433,$D$4:$D$432,D433,$E$4:$E$432,E433,$G$4:$G$432,G433,$H$4:$H$432,H433,$B$4:$B$432,"INGRESO")+SUMIFS($I$4:$I$432,$C$4:$C$432,C433,$D$4:$D$432,D433,$E$4:$E$432,E433,$G$4:$G$432,G433,$H$4:$H$432,H433,$B$4:$B$432,"DE CORTE")-SUMIFS($I$4:$I$432,$C$4:$C$432,C433,$D$4:$D$432,D433,$E$4:$E$432,E433,$G$4:$G$432,G433,$H$4:$H$432,H433,$B$4:$B$432,"SALIDA"))),0)</f>
        <v>0</v>
      </c>
      <c r="M433" s="13">
        <f t="shared" si="2"/>
        <v>0</v>
      </c>
      <c r="N433" s="14"/>
      <c r="O433" s="14"/>
      <c r="P433" s="15"/>
      <c r="Q433" s="14"/>
    </row>
    <row r="434" ht="15.75" customHeight="1">
      <c r="A434" s="7"/>
      <c r="B434" s="8"/>
      <c r="C434" s="8"/>
      <c r="D434" s="8"/>
      <c r="E434" s="8"/>
      <c r="F434" s="14"/>
      <c r="G434" s="8"/>
      <c r="H434" s="8"/>
      <c r="I434" s="9"/>
      <c r="J434" s="12" t="str">
        <f t="array" ref="J434:K434">IFERROR(INDEX(PRECIOS_COMPLEMENTOS!$C$4:$F$17,MATCH(D434&amp;"_"&amp;E434,PRECIOS_COMPLEMENTOS!$H$4:$H$17,0),IF(OR(H434="S",H434="20cm"),1,IF(OR(H434="M",H434="25cm"),2,IF(OR(H434="L",H434="30cm"),3,IF(OR(H434="XL",H434="35cm"),4,0))))),0)</f>
        <v>#REF!</v>
      </c>
      <c r="K434" s="12">
        <f t="shared" si="1"/>
        <v>0</v>
      </c>
      <c r="L434" s="13">
        <f>IFERROR(IF(C434="",0,IF(D434="PRETINA",SUMIFS($I$4:$I$433,$C$4:$C$433,C434,$D$4:$D$433,D434,$E$4:$E$433,E434,$F$4:$F$433,F434,$G$4:$G$433,G434,$H$4:$H$433,H434,$B$4:$B$433,"INGRESO")+SUMIFS($I$4:$I$433,$C$4:$C$433,C434,$D$4:$D$433,D434,$E$4:$E$433,E434,$F$4:$F$433,F434,$G$4:$G$433,G434,$H$4:$H$433,H434,$B$4:$B$433,"DE CORTE")-SUMIFS($I$4:$I$433,$C$4:$C$433,C434,$D$4:$D$433,D434,$E$4:$E$433,E434,$F$4:$F$433,F434,$G$4:$G$433,G434,$H$4:$H$433,H434,$B$4:$B$433,"SALIDA"),SUMIFS($I$4:$I$433,$C$4:$C$433,C434,$D$4:$D$433,D434,$E$4:$E$433,E434,$G$4:$G$433,G434,$H$4:$H$433,H434,$B$4:$B$433,"INGRESO")+SUMIFS($I$4:$I$433,$C$4:$C$433,C434,$D$4:$D$433,D434,$E$4:$E$433,E434,$G$4:$G$433,G434,$H$4:$H$433,H434,$B$4:$B$433,"DE CORTE")-SUMIFS($I$4:$I$433,$C$4:$C$433,C434,$D$4:$D$433,D434,$E$4:$E$433,E434,$G$4:$G$433,G434,$H$4:$H$433,H434,$B$4:$B$433,"SALIDA"))),0)</f>
        <v>0</v>
      </c>
      <c r="M434" s="13">
        <f t="shared" si="2"/>
        <v>0</v>
      </c>
      <c r="N434" s="14"/>
      <c r="O434" s="14"/>
      <c r="P434" s="15"/>
      <c r="Q434" s="14"/>
    </row>
    <row r="435" ht="15.75" customHeight="1">
      <c r="A435" s="7"/>
      <c r="B435" s="8"/>
      <c r="C435" s="8"/>
      <c r="D435" s="8"/>
      <c r="E435" s="8"/>
      <c r="F435" s="14"/>
      <c r="G435" s="8"/>
      <c r="H435" s="8"/>
      <c r="I435" s="9"/>
      <c r="J435" s="12" t="str">
        <f t="array" ref="J435:K435">IFERROR(INDEX(PRECIOS_COMPLEMENTOS!$C$4:$F$17,MATCH(D435&amp;"_"&amp;E435,PRECIOS_COMPLEMENTOS!$H$4:$H$17,0),IF(OR(H435="S",H435="20cm"),1,IF(OR(H435="M",H435="25cm"),2,IF(OR(H435="L",H435="30cm"),3,IF(OR(H435="XL",H435="35cm"),4,0))))),0)</f>
        <v>#REF!</v>
      </c>
      <c r="K435" s="12">
        <f t="shared" si="1"/>
        <v>0</v>
      </c>
      <c r="L435" s="13">
        <f>IFERROR(IF(C435="",0,IF(D435="PRETINA",SUMIFS($I$4:$I$434,$C$4:$C$434,C435,$D$4:$D$434,D435,$E$4:$E$434,E435,$F$4:$F$434,F435,$G$4:$G$434,G435,$H$4:$H$434,H435,$B$4:$B$434,"INGRESO")+SUMIFS($I$4:$I$434,$C$4:$C$434,C435,$D$4:$D$434,D435,$E$4:$E$434,E435,$F$4:$F$434,F435,$G$4:$G$434,G435,$H$4:$H$434,H435,$B$4:$B$434,"DE CORTE")-SUMIFS($I$4:$I$434,$C$4:$C$434,C435,$D$4:$D$434,D435,$E$4:$E$434,E435,$F$4:$F$434,F435,$G$4:$G$434,G435,$H$4:$H$434,H435,$B$4:$B$434,"SALIDA"),SUMIFS($I$4:$I$434,$C$4:$C$434,C435,$D$4:$D$434,D435,$E$4:$E$434,E435,$G$4:$G$434,G435,$H$4:$H$434,H435,$B$4:$B$434,"INGRESO")+SUMIFS($I$4:$I$434,$C$4:$C$434,C435,$D$4:$D$434,D435,$E$4:$E$434,E435,$G$4:$G$434,G435,$H$4:$H$434,H435,$B$4:$B$434,"DE CORTE")-SUMIFS($I$4:$I$434,$C$4:$C$434,C435,$D$4:$D$434,D435,$E$4:$E$434,E435,$G$4:$G$434,G435,$H$4:$H$434,H435,$B$4:$B$434,"SALIDA"))),0)</f>
        <v>0</v>
      </c>
      <c r="M435" s="13">
        <f t="shared" si="2"/>
        <v>0</v>
      </c>
      <c r="N435" s="14"/>
      <c r="O435" s="14"/>
      <c r="P435" s="15"/>
      <c r="Q435" s="14"/>
    </row>
    <row r="436" ht="15.75" customHeight="1">
      <c r="A436" s="7"/>
      <c r="B436" s="8"/>
      <c r="C436" s="8"/>
      <c r="D436" s="8"/>
      <c r="E436" s="8"/>
      <c r="F436" s="14"/>
      <c r="G436" s="8"/>
      <c r="H436" s="8"/>
      <c r="I436" s="9"/>
      <c r="J436" s="12" t="str">
        <f t="array" ref="J436:K436">IFERROR(INDEX(PRECIOS_COMPLEMENTOS!$C$4:$F$17,MATCH(D436&amp;"_"&amp;E436,PRECIOS_COMPLEMENTOS!$H$4:$H$17,0),IF(OR(H436="S",H436="20cm"),1,IF(OR(H436="M",H436="25cm"),2,IF(OR(H436="L",H436="30cm"),3,IF(OR(H436="XL",H436="35cm"),4,0))))),0)</f>
        <v>#REF!</v>
      </c>
      <c r="K436" s="12">
        <f t="shared" si="1"/>
        <v>0</v>
      </c>
      <c r="L436" s="13">
        <f>IFERROR(IF(C436="",0,IF(D436="PRETINA",SUMIFS($I$4:$I$435,$C$4:$C$435,C436,$D$4:$D$435,D436,$E$4:$E$435,E436,$F$4:$F$435,F436,$G$4:$G$435,G436,$H$4:$H$435,H436,$B$4:$B$435,"INGRESO")+SUMIFS($I$4:$I$435,$C$4:$C$435,C436,$D$4:$D$435,D436,$E$4:$E$435,E436,$F$4:$F$435,F436,$G$4:$G$435,G436,$H$4:$H$435,H436,$B$4:$B$435,"DE CORTE")-SUMIFS($I$4:$I$435,$C$4:$C$435,C436,$D$4:$D$435,D436,$E$4:$E$435,E436,$F$4:$F$435,F436,$G$4:$G$435,G436,$H$4:$H$435,H436,$B$4:$B$435,"SALIDA"),SUMIFS($I$4:$I$435,$C$4:$C$435,C436,$D$4:$D$435,D436,$E$4:$E$435,E436,$G$4:$G$435,G436,$H$4:$H$435,H436,$B$4:$B$435,"INGRESO")+SUMIFS($I$4:$I$435,$C$4:$C$435,C436,$D$4:$D$435,D436,$E$4:$E$435,E436,$G$4:$G$435,G436,$H$4:$H$435,H436,$B$4:$B$435,"DE CORTE")-SUMIFS($I$4:$I$435,$C$4:$C$435,C436,$D$4:$D$435,D436,$E$4:$E$435,E436,$G$4:$G$435,G436,$H$4:$H$435,H436,$B$4:$B$435,"SALIDA"))),0)</f>
        <v>0</v>
      </c>
      <c r="M436" s="13">
        <f t="shared" si="2"/>
        <v>0</v>
      </c>
      <c r="N436" s="14"/>
      <c r="O436" s="14"/>
      <c r="P436" s="15"/>
      <c r="Q436" s="14"/>
    </row>
    <row r="437" ht="15.75" customHeight="1">
      <c r="A437" s="7"/>
      <c r="B437" s="8"/>
      <c r="C437" s="8"/>
      <c r="D437" s="8"/>
      <c r="E437" s="8"/>
      <c r="F437" s="14"/>
      <c r="G437" s="8"/>
      <c r="H437" s="8"/>
      <c r="I437" s="9"/>
      <c r="J437" s="12" t="str">
        <f t="array" ref="J437:K437">IFERROR(INDEX(PRECIOS_COMPLEMENTOS!$C$4:$F$17,MATCH(D437&amp;"_"&amp;E437,PRECIOS_COMPLEMENTOS!$H$4:$H$17,0),IF(OR(H437="S",H437="20cm"),1,IF(OR(H437="M",H437="25cm"),2,IF(OR(H437="L",H437="30cm"),3,IF(OR(H437="XL",H437="35cm"),4,0))))),0)</f>
        <v>#REF!</v>
      </c>
      <c r="K437" s="12">
        <f t="shared" si="1"/>
        <v>0</v>
      </c>
      <c r="L437" s="13">
        <f>IFERROR(IF(C437="",0,IF(D437="PRETINA",SUMIFS($I$4:$I$436,$C$4:$C$436,C437,$D$4:$D$436,D437,$E$4:$E$436,E437,$F$4:$F$436,F437,$G$4:$G$436,G437,$H$4:$H$436,H437,$B$4:$B$436,"INGRESO")+SUMIFS($I$4:$I$436,$C$4:$C$436,C437,$D$4:$D$436,D437,$E$4:$E$436,E437,$F$4:$F$436,F437,$G$4:$G$436,G437,$H$4:$H$436,H437,$B$4:$B$436,"DE CORTE")-SUMIFS($I$4:$I$436,$C$4:$C$436,C437,$D$4:$D$436,D437,$E$4:$E$436,E437,$F$4:$F$436,F437,$G$4:$G$436,G437,$H$4:$H$436,H437,$B$4:$B$436,"SALIDA"),SUMIFS($I$4:$I$436,$C$4:$C$436,C437,$D$4:$D$436,D437,$E$4:$E$436,E437,$G$4:$G$436,G437,$H$4:$H$436,H437,$B$4:$B$436,"INGRESO")+SUMIFS($I$4:$I$436,$C$4:$C$436,C437,$D$4:$D$436,D437,$E$4:$E$436,E437,$G$4:$G$436,G437,$H$4:$H$436,H437,$B$4:$B$436,"DE CORTE")-SUMIFS($I$4:$I$436,$C$4:$C$436,C437,$D$4:$D$436,D437,$E$4:$E$436,E437,$G$4:$G$436,G437,$H$4:$H$436,H437,$B$4:$B$436,"SALIDA"))),0)</f>
        <v>0</v>
      </c>
      <c r="M437" s="13">
        <f t="shared" si="2"/>
        <v>0</v>
      </c>
      <c r="N437" s="14"/>
      <c r="O437" s="14"/>
      <c r="P437" s="15"/>
      <c r="Q437" s="14"/>
    </row>
    <row r="438" ht="15.75" customHeight="1">
      <c r="A438" s="7"/>
      <c r="B438" s="8"/>
      <c r="C438" s="8"/>
      <c r="D438" s="8"/>
      <c r="E438" s="8"/>
      <c r="F438" s="14"/>
      <c r="G438" s="8"/>
      <c r="H438" s="8"/>
      <c r="I438" s="9"/>
      <c r="J438" s="12" t="str">
        <f t="array" ref="J438:K438">IFERROR(INDEX(PRECIOS_COMPLEMENTOS!$C$4:$F$17,MATCH(D438&amp;"_"&amp;E438,PRECIOS_COMPLEMENTOS!$H$4:$H$17,0),IF(OR(H438="S",H438="20cm"),1,IF(OR(H438="M",H438="25cm"),2,IF(OR(H438="L",H438="30cm"),3,IF(OR(H438="XL",H438="35cm"),4,0))))),0)</f>
        <v>#REF!</v>
      </c>
      <c r="K438" s="12">
        <f t="shared" si="1"/>
        <v>0</v>
      </c>
      <c r="L438" s="13">
        <f>IFERROR(IF(C438="",0,IF(D438="PRETINA",SUMIFS($I$4:$I$437,$C$4:$C$437,C438,$D$4:$D$437,D438,$E$4:$E$437,E438,$F$4:$F$437,F438,$G$4:$G$437,G438,$H$4:$H$437,H438,$B$4:$B$437,"INGRESO")+SUMIFS($I$4:$I$437,$C$4:$C$437,C438,$D$4:$D$437,D438,$E$4:$E$437,E438,$F$4:$F$437,F438,$G$4:$G$437,G438,$H$4:$H$437,H438,$B$4:$B$437,"DE CORTE")-SUMIFS($I$4:$I$437,$C$4:$C$437,C438,$D$4:$D$437,D438,$E$4:$E$437,E438,$F$4:$F$437,F438,$G$4:$G$437,G438,$H$4:$H$437,H438,$B$4:$B$437,"SALIDA"),SUMIFS($I$4:$I$437,$C$4:$C$437,C438,$D$4:$D$437,D438,$E$4:$E$437,E438,$G$4:$G$437,G438,$H$4:$H$437,H438,$B$4:$B$437,"INGRESO")+SUMIFS($I$4:$I$437,$C$4:$C$437,C438,$D$4:$D$437,D438,$E$4:$E$437,E438,$G$4:$G$437,G438,$H$4:$H$437,H438,$B$4:$B$437,"DE CORTE")-SUMIFS($I$4:$I$437,$C$4:$C$437,C438,$D$4:$D$437,D438,$E$4:$E$437,E438,$G$4:$G$437,G438,$H$4:$H$437,H438,$B$4:$B$437,"SALIDA"))),0)</f>
        <v>0</v>
      </c>
      <c r="M438" s="13">
        <f t="shared" si="2"/>
        <v>0</v>
      </c>
      <c r="N438" s="14"/>
      <c r="O438" s="14"/>
      <c r="P438" s="15"/>
      <c r="Q438" s="14"/>
    </row>
    <row r="439" ht="15.75" customHeight="1">
      <c r="A439" s="7"/>
      <c r="B439" s="8"/>
      <c r="C439" s="8"/>
      <c r="D439" s="8"/>
      <c r="E439" s="8"/>
      <c r="F439" s="14"/>
      <c r="G439" s="8"/>
      <c r="H439" s="8"/>
      <c r="I439" s="9"/>
      <c r="J439" s="12" t="str">
        <f t="array" ref="J439:K439">IFERROR(INDEX(PRECIOS_COMPLEMENTOS!$C$4:$F$17,MATCH(D439&amp;"_"&amp;E439,PRECIOS_COMPLEMENTOS!$H$4:$H$17,0),IF(OR(H439="S",H439="20cm"),1,IF(OR(H439="M",H439="25cm"),2,IF(OR(H439="L",H439="30cm"),3,IF(OR(H439="XL",H439="35cm"),4,0))))),0)</f>
        <v>#REF!</v>
      </c>
      <c r="K439" s="12">
        <f t="shared" si="1"/>
        <v>0</v>
      </c>
      <c r="L439" s="13">
        <f>IFERROR(IF(C439="",0,IF(D439="PRETINA",SUMIFS($I$4:$I$438,$C$4:$C$438,C439,$D$4:$D$438,D439,$E$4:$E$438,E439,$F$4:$F$438,F439,$G$4:$G$438,G439,$H$4:$H$438,H439,$B$4:$B$438,"INGRESO")+SUMIFS($I$4:$I$438,$C$4:$C$438,C439,$D$4:$D$438,D439,$E$4:$E$438,E439,$F$4:$F$438,F439,$G$4:$G$438,G439,$H$4:$H$438,H439,$B$4:$B$438,"DE CORTE")-SUMIFS($I$4:$I$438,$C$4:$C$438,C439,$D$4:$D$438,D439,$E$4:$E$438,E439,$F$4:$F$438,F439,$G$4:$G$438,G439,$H$4:$H$438,H439,$B$4:$B$438,"SALIDA"),SUMIFS($I$4:$I$438,$C$4:$C$438,C439,$D$4:$D$438,D439,$E$4:$E$438,E439,$G$4:$G$438,G439,$H$4:$H$438,H439,$B$4:$B$438,"INGRESO")+SUMIFS($I$4:$I$438,$C$4:$C$438,C439,$D$4:$D$438,D439,$E$4:$E$438,E439,$G$4:$G$438,G439,$H$4:$H$438,H439,$B$4:$B$438,"DE CORTE")-SUMIFS($I$4:$I$438,$C$4:$C$438,C439,$D$4:$D$438,D439,$E$4:$E$438,E439,$G$4:$G$438,G439,$H$4:$H$438,H439,$B$4:$B$438,"SALIDA"))),0)</f>
        <v>0</v>
      </c>
      <c r="M439" s="13">
        <f t="shared" si="2"/>
        <v>0</v>
      </c>
      <c r="N439" s="14"/>
      <c r="O439" s="14"/>
      <c r="P439" s="15"/>
      <c r="Q439" s="14"/>
    </row>
    <row r="440" ht="15.75" customHeight="1">
      <c r="A440" s="7"/>
      <c r="B440" s="8"/>
      <c r="C440" s="8"/>
      <c r="D440" s="8"/>
      <c r="E440" s="8"/>
      <c r="F440" s="14"/>
      <c r="G440" s="8"/>
      <c r="H440" s="8"/>
      <c r="I440" s="9"/>
      <c r="J440" s="12" t="str">
        <f t="array" ref="J440:K440">IFERROR(INDEX(PRECIOS_COMPLEMENTOS!$C$4:$F$17,MATCH(D440&amp;"_"&amp;E440,PRECIOS_COMPLEMENTOS!$H$4:$H$17,0),IF(OR(H440="S",H440="20cm"),1,IF(OR(H440="M",H440="25cm"),2,IF(OR(H440="L",H440="30cm"),3,IF(OR(H440="XL",H440="35cm"),4,0))))),0)</f>
        <v>#REF!</v>
      </c>
      <c r="K440" s="12">
        <f t="shared" si="1"/>
        <v>0</v>
      </c>
      <c r="L440" s="13">
        <f>IFERROR(IF(C440="",0,IF(D440="PRETINA",SUMIFS($I$4:$I$439,$C$4:$C$439,C440,$D$4:$D$439,D440,$E$4:$E$439,E440,$F$4:$F$439,F440,$G$4:$G$439,G440,$H$4:$H$439,H440,$B$4:$B$439,"INGRESO")+SUMIFS($I$4:$I$439,$C$4:$C$439,C440,$D$4:$D$439,D440,$E$4:$E$439,E440,$F$4:$F$439,F440,$G$4:$G$439,G440,$H$4:$H$439,H440,$B$4:$B$439,"DE CORTE")-SUMIFS($I$4:$I$439,$C$4:$C$439,C440,$D$4:$D$439,D440,$E$4:$E$439,E440,$F$4:$F$439,F440,$G$4:$G$439,G440,$H$4:$H$439,H440,$B$4:$B$439,"SALIDA"),SUMIFS($I$4:$I$439,$C$4:$C$439,C440,$D$4:$D$439,D440,$E$4:$E$439,E440,$G$4:$G$439,G440,$H$4:$H$439,H440,$B$4:$B$439,"INGRESO")+SUMIFS($I$4:$I$439,$C$4:$C$439,C440,$D$4:$D$439,D440,$E$4:$E$439,E440,$G$4:$G$439,G440,$H$4:$H$439,H440,$B$4:$B$439,"DE CORTE")-SUMIFS($I$4:$I$439,$C$4:$C$439,C440,$D$4:$D$439,D440,$E$4:$E$439,E440,$G$4:$G$439,G440,$H$4:$H$439,H440,$B$4:$B$439,"SALIDA"))),0)</f>
        <v>0</v>
      </c>
      <c r="M440" s="13">
        <f t="shared" si="2"/>
        <v>0</v>
      </c>
      <c r="N440" s="14"/>
      <c r="O440" s="14"/>
      <c r="P440" s="15"/>
      <c r="Q440" s="14"/>
    </row>
    <row r="441" ht="15.75" customHeight="1">
      <c r="A441" s="7"/>
      <c r="B441" s="8"/>
      <c r="C441" s="8"/>
      <c r="D441" s="8"/>
      <c r="E441" s="8"/>
      <c r="F441" s="14"/>
      <c r="G441" s="8"/>
      <c r="H441" s="8"/>
      <c r="I441" s="9"/>
      <c r="J441" s="12" t="str">
        <f t="array" ref="J441:K441">IFERROR(INDEX(PRECIOS_COMPLEMENTOS!$C$4:$F$17,MATCH(D441&amp;"_"&amp;E441,PRECIOS_COMPLEMENTOS!$H$4:$H$17,0),IF(OR(H441="S",H441="20cm"),1,IF(OR(H441="M",H441="25cm"),2,IF(OR(H441="L",H441="30cm"),3,IF(OR(H441="XL",H441="35cm"),4,0))))),0)</f>
        <v>#REF!</v>
      </c>
      <c r="K441" s="12">
        <f t="shared" si="1"/>
        <v>0</v>
      </c>
      <c r="L441" s="13">
        <f>IFERROR(IF(C441="",0,IF(D441="PRETINA",SUMIFS($I$4:$I$440,$C$4:$C$440,C441,$D$4:$D$440,D441,$E$4:$E$440,E441,$F$4:$F$440,F441,$G$4:$G$440,G441,$H$4:$H$440,H441,$B$4:$B$440,"INGRESO")+SUMIFS($I$4:$I$440,$C$4:$C$440,C441,$D$4:$D$440,D441,$E$4:$E$440,E441,$F$4:$F$440,F441,$G$4:$G$440,G441,$H$4:$H$440,H441,$B$4:$B$440,"DE CORTE")-SUMIFS($I$4:$I$440,$C$4:$C$440,C441,$D$4:$D$440,D441,$E$4:$E$440,E441,$F$4:$F$440,F441,$G$4:$G$440,G441,$H$4:$H$440,H441,$B$4:$B$440,"SALIDA"),SUMIFS($I$4:$I$440,$C$4:$C$440,C441,$D$4:$D$440,D441,$E$4:$E$440,E441,$G$4:$G$440,G441,$H$4:$H$440,H441,$B$4:$B$440,"INGRESO")+SUMIFS($I$4:$I$440,$C$4:$C$440,C441,$D$4:$D$440,D441,$E$4:$E$440,E441,$G$4:$G$440,G441,$H$4:$H$440,H441,$B$4:$B$440,"DE CORTE")-SUMIFS($I$4:$I$440,$C$4:$C$440,C441,$D$4:$D$440,D441,$E$4:$E$440,E441,$G$4:$G$440,G441,$H$4:$H$440,H441,$B$4:$B$440,"SALIDA"))),0)</f>
        <v>0</v>
      </c>
      <c r="M441" s="13">
        <f t="shared" si="2"/>
        <v>0</v>
      </c>
      <c r="N441" s="14"/>
      <c r="O441" s="14"/>
      <c r="P441" s="15"/>
      <c r="Q441" s="14"/>
    </row>
    <row r="442" ht="15.75" customHeight="1">
      <c r="A442" s="7"/>
      <c r="B442" s="8"/>
      <c r="C442" s="8"/>
      <c r="D442" s="8"/>
      <c r="E442" s="8"/>
      <c r="F442" s="14"/>
      <c r="G442" s="8"/>
      <c r="H442" s="8"/>
      <c r="I442" s="9"/>
      <c r="J442" s="12" t="str">
        <f t="array" ref="J442:K442">IFERROR(INDEX(PRECIOS_COMPLEMENTOS!$C$4:$F$17,MATCH(D442&amp;"_"&amp;E442,PRECIOS_COMPLEMENTOS!$H$4:$H$17,0),IF(OR(H442="S",H442="20cm"),1,IF(OR(H442="M",H442="25cm"),2,IF(OR(H442="L",H442="30cm"),3,IF(OR(H442="XL",H442="35cm"),4,0))))),0)</f>
        <v>#REF!</v>
      </c>
      <c r="K442" s="12">
        <f t="shared" si="1"/>
        <v>0</v>
      </c>
      <c r="L442" s="13">
        <f>IFERROR(IF(C442="",0,IF(D442="PRETINA",SUMIFS($I$4:$I$441,$C$4:$C$441,C442,$D$4:$D$441,D442,$E$4:$E$441,E442,$F$4:$F$441,F442,$G$4:$G$441,G442,$H$4:$H$441,H442,$B$4:$B$441,"INGRESO")+SUMIFS($I$4:$I$441,$C$4:$C$441,C442,$D$4:$D$441,D442,$E$4:$E$441,E442,$F$4:$F$441,F442,$G$4:$G$441,G442,$H$4:$H$441,H442,$B$4:$B$441,"DE CORTE")-SUMIFS($I$4:$I$441,$C$4:$C$441,C442,$D$4:$D$441,D442,$E$4:$E$441,E442,$F$4:$F$441,F442,$G$4:$G$441,G442,$H$4:$H$441,H442,$B$4:$B$441,"SALIDA"),SUMIFS($I$4:$I$441,$C$4:$C$441,C442,$D$4:$D$441,D442,$E$4:$E$441,E442,$G$4:$G$441,G442,$H$4:$H$441,H442,$B$4:$B$441,"INGRESO")+SUMIFS($I$4:$I$441,$C$4:$C$441,C442,$D$4:$D$441,D442,$E$4:$E$441,E442,$G$4:$G$441,G442,$H$4:$H$441,H442,$B$4:$B$441,"DE CORTE")-SUMIFS($I$4:$I$441,$C$4:$C$441,C442,$D$4:$D$441,D442,$E$4:$E$441,E442,$G$4:$G$441,G442,$H$4:$H$441,H442,$B$4:$B$441,"SALIDA"))),0)</f>
        <v>0</v>
      </c>
      <c r="M442" s="13">
        <f t="shared" si="2"/>
        <v>0</v>
      </c>
      <c r="N442" s="14"/>
      <c r="O442" s="14"/>
      <c r="P442" s="15"/>
      <c r="Q442" s="14"/>
    </row>
    <row r="443" ht="15.75" customHeight="1">
      <c r="A443" s="7"/>
      <c r="B443" s="8"/>
      <c r="C443" s="8"/>
      <c r="D443" s="8"/>
      <c r="E443" s="8"/>
      <c r="F443" s="14"/>
      <c r="G443" s="8"/>
      <c r="H443" s="8"/>
      <c r="I443" s="9"/>
      <c r="J443" s="12" t="str">
        <f t="array" ref="J443:K443">IFERROR(INDEX(PRECIOS_COMPLEMENTOS!$C$4:$F$17,MATCH(D443&amp;"_"&amp;E443,PRECIOS_COMPLEMENTOS!$H$4:$H$17,0),IF(OR(H443="S",H443="20cm"),1,IF(OR(H443="M",H443="25cm"),2,IF(OR(H443="L",H443="30cm"),3,IF(OR(H443="XL",H443="35cm"),4,0))))),0)</f>
        <v>#REF!</v>
      </c>
      <c r="K443" s="12">
        <f t="shared" si="1"/>
        <v>0</v>
      </c>
      <c r="L443" s="13">
        <f>IFERROR(IF(C443="",0,IF(D443="PRETINA",SUMIFS($I$4:$I$442,$C$4:$C$442,C443,$D$4:$D$442,D443,$E$4:$E$442,E443,$F$4:$F$442,F443,$G$4:$G$442,G443,$H$4:$H$442,H443,$B$4:$B$442,"INGRESO")+SUMIFS($I$4:$I$442,$C$4:$C$442,C443,$D$4:$D$442,D443,$E$4:$E$442,E443,$F$4:$F$442,F443,$G$4:$G$442,G443,$H$4:$H$442,H443,$B$4:$B$442,"DE CORTE")-SUMIFS($I$4:$I$442,$C$4:$C$442,C443,$D$4:$D$442,D443,$E$4:$E$442,E443,$F$4:$F$442,F443,$G$4:$G$442,G443,$H$4:$H$442,H443,$B$4:$B$442,"SALIDA"),SUMIFS($I$4:$I$442,$C$4:$C$442,C443,$D$4:$D$442,D443,$E$4:$E$442,E443,$G$4:$G$442,G443,$H$4:$H$442,H443,$B$4:$B$442,"INGRESO")+SUMIFS($I$4:$I$442,$C$4:$C$442,C443,$D$4:$D$442,D443,$E$4:$E$442,E443,$G$4:$G$442,G443,$H$4:$H$442,H443,$B$4:$B$442,"DE CORTE")-SUMIFS($I$4:$I$442,$C$4:$C$442,C443,$D$4:$D$442,D443,$E$4:$E$442,E443,$G$4:$G$442,G443,$H$4:$H$442,H443,$B$4:$B$442,"SALIDA"))),0)</f>
        <v>0</v>
      </c>
      <c r="M443" s="13">
        <f t="shared" si="2"/>
        <v>0</v>
      </c>
      <c r="N443" s="14"/>
      <c r="O443" s="14"/>
      <c r="P443" s="15"/>
      <c r="Q443" s="14"/>
    </row>
    <row r="444" ht="15.75" customHeight="1">
      <c r="A444" s="7"/>
      <c r="B444" s="8"/>
      <c r="C444" s="8"/>
      <c r="D444" s="8"/>
      <c r="E444" s="8"/>
      <c r="F444" s="14"/>
      <c r="G444" s="8"/>
      <c r="H444" s="8"/>
      <c r="I444" s="9"/>
      <c r="J444" s="12" t="str">
        <f t="array" ref="J444:K444">IFERROR(INDEX(PRECIOS_COMPLEMENTOS!$C$4:$F$17,MATCH(D444&amp;"_"&amp;E444,PRECIOS_COMPLEMENTOS!$H$4:$H$17,0),IF(OR(H444="S",H444="20cm"),1,IF(OR(H444="M",H444="25cm"),2,IF(OR(H444="L",H444="30cm"),3,IF(OR(H444="XL",H444="35cm"),4,0))))),0)</f>
        <v>#REF!</v>
      </c>
      <c r="K444" s="12">
        <f t="shared" si="1"/>
        <v>0</v>
      </c>
      <c r="L444" s="13">
        <f>IFERROR(IF(C444="",0,IF(D444="PRETINA",SUMIFS($I$4:$I$443,$C$4:$C$443,C444,$D$4:$D$443,D444,$E$4:$E$443,E444,$F$4:$F$443,F444,$G$4:$G$443,G444,$H$4:$H$443,H444,$B$4:$B$443,"INGRESO")+SUMIFS($I$4:$I$443,$C$4:$C$443,C444,$D$4:$D$443,D444,$E$4:$E$443,E444,$F$4:$F$443,F444,$G$4:$G$443,G444,$H$4:$H$443,H444,$B$4:$B$443,"DE CORTE")-SUMIFS($I$4:$I$443,$C$4:$C$443,C444,$D$4:$D$443,D444,$E$4:$E$443,E444,$F$4:$F$443,F444,$G$4:$G$443,G444,$H$4:$H$443,H444,$B$4:$B$443,"SALIDA"),SUMIFS($I$4:$I$443,$C$4:$C$443,C444,$D$4:$D$443,D444,$E$4:$E$443,E444,$G$4:$G$443,G444,$H$4:$H$443,H444,$B$4:$B$443,"INGRESO")+SUMIFS($I$4:$I$443,$C$4:$C$443,C444,$D$4:$D$443,D444,$E$4:$E$443,E444,$G$4:$G$443,G444,$H$4:$H$443,H444,$B$4:$B$443,"DE CORTE")-SUMIFS($I$4:$I$443,$C$4:$C$443,C444,$D$4:$D$443,D444,$E$4:$E$443,E444,$G$4:$G$443,G444,$H$4:$H$443,H444,$B$4:$B$443,"SALIDA"))),0)</f>
        <v>0</v>
      </c>
      <c r="M444" s="13">
        <f t="shared" si="2"/>
        <v>0</v>
      </c>
      <c r="N444" s="14"/>
      <c r="O444" s="14"/>
      <c r="P444" s="15"/>
      <c r="Q444" s="14"/>
    </row>
    <row r="445" ht="15.75" customHeight="1">
      <c r="A445" s="7"/>
      <c r="B445" s="8"/>
      <c r="C445" s="8"/>
      <c r="D445" s="8"/>
      <c r="E445" s="8"/>
      <c r="F445" s="14"/>
      <c r="G445" s="8"/>
      <c r="H445" s="8"/>
      <c r="I445" s="9"/>
      <c r="J445" s="12" t="str">
        <f t="array" ref="J445:K445">IFERROR(INDEX(PRECIOS_COMPLEMENTOS!$C$4:$F$17,MATCH(D445&amp;"_"&amp;E445,PRECIOS_COMPLEMENTOS!$H$4:$H$17,0),IF(OR(H445="S",H445="20cm"),1,IF(OR(H445="M",H445="25cm"),2,IF(OR(H445="L",H445="30cm"),3,IF(OR(H445="XL",H445="35cm"),4,0))))),0)</f>
        <v>#REF!</v>
      </c>
      <c r="K445" s="12">
        <f t="shared" si="1"/>
        <v>0</v>
      </c>
      <c r="L445" s="13">
        <f>IFERROR(IF(C445="",0,IF(D445="PRETINA",SUMIFS($I$4:$I$444,$C$4:$C$444,C445,$D$4:$D$444,D445,$E$4:$E$444,E445,$F$4:$F$444,F445,$G$4:$G$444,G445,$H$4:$H$444,H445,$B$4:$B$444,"INGRESO")+SUMIFS($I$4:$I$444,$C$4:$C$444,C445,$D$4:$D$444,D445,$E$4:$E$444,E445,$F$4:$F$444,F445,$G$4:$G$444,G445,$H$4:$H$444,H445,$B$4:$B$444,"DE CORTE")-SUMIFS($I$4:$I$444,$C$4:$C$444,C445,$D$4:$D$444,D445,$E$4:$E$444,E445,$F$4:$F$444,F445,$G$4:$G$444,G445,$H$4:$H$444,H445,$B$4:$B$444,"SALIDA"),SUMIFS($I$4:$I$444,$C$4:$C$444,C445,$D$4:$D$444,D445,$E$4:$E$444,E445,$G$4:$G$444,G445,$H$4:$H$444,H445,$B$4:$B$444,"INGRESO")+SUMIFS($I$4:$I$444,$C$4:$C$444,C445,$D$4:$D$444,D445,$E$4:$E$444,E445,$G$4:$G$444,G445,$H$4:$H$444,H445,$B$4:$B$444,"DE CORTE")-SUMIFS($I$4:$I$444,$C$4:$C$444,C445,$D$4:$D$444,D445,$E$4:$E$444,E445,$G$4:$G$444,G445,$H$4:$H$444,H445,$B$4:$B$444,"SALIDA"))),0)</f>
        <v>0</v>
      </c>
      <c r="M445" s="13">
        <f t="shared" si="2"/>
        <v>0</v>
      </c>
      <c r="N445" s="14"/>
      <c r="O445" s="14"/>
      <c r="P445" s="15"/>
      <c r="Q445" s="14"/>
    </row>
    <row r="446" ht="15.75" customHeight="1">
      <c r="A446" s="7"/>
      <c r="B446" s="8"/>
      <c r="C446" s="8"/>
      <c r="D446" s="8"/>
      <c r="E446" s="8"/>
      <c r="F446" s="14"/>
      <c r="G446" s="8"/>
      <c r="H446" s="8"/>
      <c r="I446" s="9"/>
      <c r="J446" s="12" t="str">
        <f t="array" ref="J446:K446">IFERROR(INDEX(PRECIOS_COMPLEMENTOS!$C$4:$F$17,MATCH(D446&amp;"_"&amp;E446,PRECIOS_COMPLEMENTOS!$H$4:$H$17,0),IF(OR(H446="S",H446="20cm"),1,IF(OR(H446="M",H446="25cm"),2,IF(OR(H446="L",H446="30cm"),3,IF(OR(H446="XL",H446="35cm"),4,0))))),0)</f>
        <v>#REF!</v>
      </c>
      <c r="K446" s="12">
        <f t="shared" si="1"/>
        <v>0</v>
      </c>
      <c r="L446" s="13">
        <f>IFERROR(IF(C446="",0,IF(D446="PRETINA",SUMIFS($I$4:$I$445,$C$4:$C$445,C446,$D$4:$D$445,D446,$E$4:$E$445,E446,$F$4:$F$445,F446,$G$4:$G$445,G446,$H$4:$H$445,H446,$B$4:$B$445,"INGRESO")+SUMIFS($I$4:$I$445,$C$4:$C$445,C446,$D$4:$D$445,D446,$E$4:$E$445,E446,$F$4:$F$445,F446,$G$4:$G$445,G446,$H$4:$H$445,H446,$B$4:$B$445,"DE CORTE")-SUMIFS($I$4:$I$445,$C$4:$C$445,C446,$D$4:$D$445,D446,$E$4:$E$445,E446,$F$4:$F$445,F446,$G$4:$G$445,G446,$H$4:$H$445,H446,$B$4:$B$445,"SALIDA"),SUMIFS($I$4:$I$445,$C$4:$C$445,C446,$D$4:$D$445,D446,$E$4:$E$445,E446,$G$4:$G$445,G446,$H$4:$H$445,H446,$B$4:$B$445,"INGRESO")+SUMIFS($I$4:$I$445,$C$4:$C$445,C446,$D$4:$D$445,D446,$E$4:$E$445,E446,$G$4:$G$445,G446,$H$4:$H$445,H446,$B$4:$B$445,"DE CORTE")-SUMIFS($I$4:$I$445,$C$4:$C$445,C446,$D$4:$D$445,D446,$E$4:$E$445,E446,$G$4:$G$445,G446,$H$4:$H$445,H446,$B$4:$B$445,"SALIDA"))),0)</f>
        <v>0</v>
      </c>
      <c r="M446" s="13">
        <f t="shared" si="2"/>
        <v>0</v>
      </c>
      <c r="N446" s="14"/>
      <c r="O446" s="14"/>
      <c r="P446" s="15"/>
      <c r="Q446" s="14"/>
    </row>
    <row r="447" ht="15.75" customHeight="1">
      <c r="A447" s="7"/>
      <c r="B447" s="8"/>
      <c r="C447" s="8"/>
      <c r="D447" s="8"/>
      <c r="E447" s="8"/>
      <c r="F447" s="14"/>
      <c r="G447" s="8"/>
      <c r="H447" s="8"/>
      <c r="I447" s="9"/>
      <c r="J447" s="12" t="str">
        <f t="array" ref="J447:K447">IFERROR(INDEX(PRECIOS_COMPLEMENTOS!$C$4:$F$17,MATCH(D447&amp;"_"&amp;E447,PRECIOS_COMPLEMENTOS!$H$4:$H$17,0),IF(OR(H447="S",H447="20cm"),1,IF(OR(H447="M",H447="25cm"),2,IF(OR(H447="L",H447="30cm"),3,IF(OR(H447="XL",H447="35cm"),4,0))))),0)</f>
        <v>#REF!</v>
      </c>
      <c r="K447" s="12">
        <f t="shared" si="1"/>
        <v>0</v>
      </c>
      <c r="L447" s="13">
        <f>IFERROR(IF(C447="",0,IF(D447="PRETINA",SUMIFS($I$4:$I$446,$C$4:$C$446,C447,$D$4:$D$446,D447,$E$4:$E$446,E447,$F$4:$F$446,F447,$G$4:$G$446,G447,$H$4:$H$446,H447,$B$4:$B$446,"INGRESO")+SUMIFS($I$4:$I$446,$C$4:$C$446,C447,$D$4:$D$446,D447,$E$4:$E$446,E447,$F$4:$F$446,F447,$G$4:$G$446,G447,$H$4:$H$446,H447,$B$4:$B$446,"DE CORTE")-SUMIFS($I$4:$I$446,$C$4:$C$446,C447,$D$4:$D$446,D447,$E$4:$E$446,E447,$F$4:$F$446,F447,$G$4:$G$446,G447,$H$4:$H$446,H447,$B$4:$B$446,"SALIDA"),SUMIFS($I$4:$I$446,$C$4:$C$446,C447,$D$4:$D$446,D447,$E$4:$E$446,E447,$G$4:$G$446,G447,$H$4:$H$446,H447,$B$4:$B$446,"INGRESO")+SUMIFS($I$4:$I$446,$C$4:$C$446,C447,$D$4:$D$446,D447,$E$4:$E$446,E447,$G$4:$G$446,G447,$H$4:$H$446,H447,$B$4:$B$446,"DE CORTE")-SUMIFS($I$4:$I$446,$C$4:$C$446,C447,$D$4:$D$446,D447,$E$4:$E$446,E447,$G$4:$G$446,G447,$H$4:$H$446,H447,$B$4:$B$446,"SALIDA"))),0)</f>
        <v>0</v>
      </c>
      <c r="M447" s="13">
        <f t="shared" si="2"/>
        <v>0</v>
      </c>
      <c r="N447" s="14"/>
      <c r="O447" s="14"/>
      <c r="P447" s="15"/>
      <c r="Q447" s="14"/>
    </row>
    <row r="448" ht="15.75" customHeight="1">
      <c r="A448" s="7"/>
      <c r="B448" s="8"/>
      <c r="C448" s="8"/>
      <c r="D448" s="8"/>
      <c r="E448" s="8"/>
      <c r="F448" s="14"/>
      <c r="G448" s="8"/>
      <c r="H448" s="8"/>
      <c r="I448" s="9"/>
      <c r="J448" s="12" t="str">
        <f t="array" ref="J448:K448">IFERROR(INDEX(PRECIOS_COMPLEMENTOS!$C$4:$F$17,MATCH(D448&amp;"_"&amp;E448,PRECIOS_COMPLEMENTOS!$H$4:$H$17,0),IF(OR(H448="S",H448="20cm"),1,IF(OR(H448="M",H448="25cm"),2,IF(OR(H448="L",H448="30cm"),3,IF(OR(H448="XL",H448="35cm"),4,0))))),0)</f>
        <v>#REF!</v>
      </c>
      <c r="K448" s="12">
        <f t="shared" si="1"/>
        <v>0</v>
      </c>
      <c r="L448" s="13">
        <f>IFERROR(IF(C448="",0,IF(D448="PRETINA",SUMIFS($I$4:$I$447,$C$4:$C$447,C448,$D$4:$D$447,D448,$E$4:$E$447,E448,$F$4:$F$447,F448,$G$4:$G$447,G448,$H$4:$H$447,H448,$B$4:$B$447,"INGRESO")+SUMIFS($I$4:$I$447,$C$4:$C$447,C448,$D$4:$D$447,D448,$E$4:$E$447,E448,$F$4:$F$447,F448,$G$4:$G$447,G448,$H$4:$H$447,H448,$B$4:$B$447,"DE CORTE")-SUMIFS($I$4:$I$447,$C$4:$C$447,C448,$D$4:$D$447,D448,$E$4:$E$447,E448,$F$4:$F$447,F448,$G$4:$G$447,G448,$H$4:$H$447,H448,$B$4:$B$447,"SALIDA"),SUMIFS($I$4:$I$447,$C$4:$C$447,C448,$D$4:$D$447,D448,$E$4:$E$447,E448,$G$4:$G$447,G448,$H$4:$H$447,H448,$B$4:$B$447,"INGRESO")+SUMIFS($I$4:$I$447,$C$4:$C$447,C448,$D$4:$D$447,D448,$E$4:$E$447,E448,$G$4:$G$447,G448,$H$4:$H$447,H448,$B$4:$B$447,"DE CORTE")-SUMIFS($I$4:$I$447,$C$4:$C$447,C448,$D$4:$D$447,D448,$E$4:$E$447,E448,$G$4:$G$447,G448,$H$4:$H$447,H448,$B$4:$B$447,"SALIDA"))),0)</f>
        <v>0</v>
      </c>
      <c r="M448" s="13">
        <f t="shared" si="2"/>
        <v>0</v>
      </c>
      <c r="N448" s="14"/>
      <c r="O448" s="14"/>
      <c r="P448" s="15"/>
      <c r="Q448" s="14"/>
    </row>
    <row r="449" ht="15.75" customHeight="1">
      <c r="A449" s="7"/>
      <c r="B449" s="8"/>
      <c r="C449" s="8"/>
      <c r="D449" s="8"/>
      <c r="E449" s="8"/>
      <c r="F449" s="14"/>
      <c r="G449" s="8"/>
      <c r="H449" s="8"/>
      <c r="I449" s="9"/>
      <c r="J449" s="12" t="str">
        <f t="array" ref="J449:K449">IFERROR(INDEX(PRECIOS_COMPLEMENTOS!$C$4:$F$17,MATCH(D449&amp;"_"&amp;E449,PRECIOS_COMPLEMENTOS!$H$4:$H$17,0),IF(OR(H449="S",H449="20cm"),1,IF(OR(H449="M",H449="25cm"),2,IF(OR(H449="L",H449="30cm"),3,IF(OR(H449="XL",H449="35cm"),4,0))))),0)</f>
        <v>#REF!</v>
      </c>
      <c r="K449" s="12">
        <f t="shared" si="1"/>
        <v>0</v>
      </c>
      <c r="L449" s="13">
        <f>IFERROR(IF(C449="",0,IF(D449="PRETINA",SUMIFS($I$4:$I$448,$C$4:$C$448,C449,$D$4:$D$448,D449,$E$4:$E$448,E449,$F$4:$F$448,F449,$G$4:$G$448,G449,$H$4:$H$448,H449,$B$4:$B$448,"INGRESO")+SUMIFS($I$4:$I$448,$C$4:$C$448,C449,$D$4:$D$448,D449,$E$4:$E$448,E449,$F$4:$F$448,F449,$G$4:$G$448,G449,$H$4:$H$448,H449,$B$4:$B$448,"DE CORTE")-SUMIFS($I$4:$I$448,$C$4:$C$448,C449,$D$4:$D$448,D449,$E$4:$E$448,E449,$F$4:$F$448,F449,$G$4:$G$448,G449,$H$4:$H$448,H449,$B$4:$B$448,"SALIDA"),SUMIFS($I$4:$I$448,$C$4:$C$448,C449,$D$4:$D$448,D449,$E$4:$E$448,E449,$G$4:$G$448,G449,$H$4:$H$448,H449,$B$4:$B$448,"INGRESO")+SUMIFS($I$4:$I$448,$C$4:$C$448,C449,$D$4:$D$448,D449,$E$4:$E$448,E449,$G$4:$G$448,G449,$H$4:$H$448,H449,$B$4:$B$448,"DE CORTE")-SUMIFS($I$4:$I$448,$C$4:$C$448,C449,$D$4:$D$448,D449,$E$4:$E$448,E449,$G$4:$G$448,G449,$H$4:$H$448,H449,$B$4:$B$448,"SALIDA"))),0)</f>
        <v>0</v>
      </c>
      <c r="M449" s="13">
        <f t="shared" si="2"/>
        <v>0</v>
      </c>
      <c r="N449" s="14"/>
      <c r="O449" s="14"/>
      <c r="P449" s="15"/>
      <c r="Q449" s="14"/>
    </row>
    <row r="450" ht="15.75" customHeight="1">
      <c r="A450" s="7"/>
      <c r="B450" s="8"/>
      <c r="C450" s="8"/>
      <c r="D450" s="8"/>
      <c r="E450" s="8"/>
      <c r="F450" s="14"/>
      <c r="G450" s="8"/>
      <c r="H450" s="8"/>
      <c r="I450" s="9"/>
      <c r="J450" s="12" t="str">
        <f t="array" ref="J450:K450">IFERROR(INDEX(PRECIOS_COMPLEMENTOS!$C$4:$F$17,MATCH(D450&amp;"_"&amp;E450,PRECIOS_COMPLEMENTOS!$H$4:$H$17,0),IF(OR(H450="S",H450="20cm"),1,IF(OR(H450="M",H450="25cm"),2,IF(OR(H450="L",H450="30cm"),3,IF(OR(H450="XL",H450="35cm"),4,0))))),0)</f>
        <v>#REF!</v>
      </c>
      <c r="K450" s="12">
        <f t="shared" si="1"/>
        <v>0</v>
      </c>
      <c r="L450" s="13">
        <f>IFERROR(IF(C450="",0,IF(D450="PRETINA",SUMIFS($I$4:$I$449,$C$4:$C$449,C450,$D$4:$D$449,D450,$E$4:$E$449,E450,$F$4:$F$449,F450,$G$4:$G$449,G450,$H$4:$H$449,H450,$B$4:$B$449,"INGRESO")+SUMIFS($I$4:$I$449,$C$4:$C$449,C450,$D$4:$D$449,D450,$E$4:$E$449,E450,$F$4:$F$449,F450,$G$4:$G$449,G450,$H$4:$H$449,H450,$B$4:$B$449,"DE CORTE")-SUMIFS($I$4:$I$449,$C$4:$C$449,C450,$D$4:$D$449,D450,$E$4:$E$449,E450,$F$4:$F$449,F450,$G$4:$G$449,G450,$H$4:$H$449,H450,$B$4:$B$449,"SALIDA"),SUMIFS($I$4:$I$449,$C$4:$C$449,C450,$D$4:$D$449,D450,$E$4:$E$449,E450,$G$4:$G$449,G450,$H$4:$H$449,H450,$B$4:$B$449,"INGRESO")+SUMIFS($I$4:$I$449,$C$4:$C$449,C450,$D$4:$D$449,D450,$E$4:$E$449,E450,$G$4:$G$449,G450,$H$4:$H$449,H450,$B$4:$B$449,"DE CORTE")-SUMIFS($I$4:$I$449,$C$4:$C$449,C450,$D$4:$D$449,D450,$E$4:$E$449,E450,$G$4:$G$449,G450,$H$4:$H$449,H450,$B$4:$B$449,"SALIDA"))),0)</f>
        <v>0</v>
      </c>
      <c r="M450" s="13">
        <f t="shared" si="2"/>
        <v>0</v>
      </c>
      <c r="N450" s="14"/>
      <c r="O450" s="14"/>
      <c r="P450" s="15"/>
      <c r="Q450" s="14"/>
    </row>
    <row r="451" ht="15.75" customHeight="1">
      <c r="A451" s="7"/>
      <c r="B451" s="8"/>
      <c r="C451" s="8"/>
      <c r="D451" s="8"/>
      <c r="E451" s="8"/>
      <c r="F451" s="14"/>
      <c r="G451" s="8"/>
      <c r="H451" s="8"/>
      <c r="I451" s="9"/>
      <c r="J451" s="12" t="str">
        <f t="array" ref="J451:K451">IFERROR(INDEX(PRECIOS_COMPLEMENTOS!$C$4:$F$17,MATCH(D451&amp;"_"&amp;E451,PRECIOS_COMPLEMENTOS!$H$4:$H$17,0),IF(OR(H451="S",H451="20cm"),1,IF(OR(H451="M",H451="25cm"),2,IF(OR(H451="L",H451="30cm"),3,IF(OR(H451="XL",H451="35cm"),4,0))))),0)</f>
        <v>#REF!</v>
      </c>
      <c r="K451" s="12">
        <f t="shared" si="1"/>
        <v>0</v>
      </c>
      <c r="L451" s="13">
        <f>IFERROR(IF(C451="",0,IF(D451="PRETINA",SUMIFS($I$4:$I$450,$C$4:$C$450,C451,$D$4:$D$450,D451,$E$4:$E$450,E451,$F$4:$F$450,F451,$G$4:$G$450,G451,$H$4:$H$450,H451,$B$4:$B$450,"INGRESO")+SUMIFS($I$4:$I$450,$C$4:$C$450,C451,$D$4:$D$450,D451,$E$4:$E$450,E451,$F$4:$F$450,F451,$G$4:$G$450,G451,$H$4:$H$450,H451,$B$4:$B$450,"DE CORTE")-SUMIFS($I$4:$I$450,$C$4:$C$450,C451,$D$4:$D$450,D451,$E$4:$E$450,E451,$F$4:$F$450,F451,$G$4:$G$450,G451,$H$4:$H$450,H451,$B$4:$B$450,"SALIDA"),SUMIFS($I$4:$I$450,$C$4:$C$450,C451,$D$4:$D$450,D451,$E$4:$E$450,E451,$G$4:$G$450,G451,$H$4:$H$450,H451,$B$4:$B$450,"INGRESO")+SUMIFS($I$4:$I$450,$C$4:$C$450,C451,$D$4:$D$450,D451,$E$4:$E$450,E451,$G$4:$G$450,G451,$H$4:$H$450,H451,$B$4:$B$450,"DE CORTE")-SUMIFS($I$4:$I$450,$C$4:$C$450,C451,$D$4:$D$450,D451,$E$4:$E$450,E451,$G$4:$G$450,G451,$H$4:$H$450,H451,$B$4:$B$450,"SALIDA"))),0)</f>
        <v>0</v>
      </c>
      <c r="M451" s="13">
        <f t="shared" si="2"/>
        <v>0</v>
      </c>
      <c r="N451" s="14"/>
      <c r="O451" s="14"/>
      <c r="P451" s="15"/>
      <c r="Q451" s="14"/>
    </row>
    <row r="452" ht="15.75" customHeight="1">
      <c r="A452" s="7"/>
      <c r="B452" s="8"/>
      <c r="C452" s="8"/>
      <c r="D452" s="8"/>
      <c r="E452" s="8"/>
      <c r="F452" s="14"/>
      <c r="G452" s="8"/>
      <c r="H452" s="8"/>
      <c r="I452" s="9"/>
      <c r="J452" s="12" t="str">
        <f t="array" ref="J452:K452">IFERROR(INDEX(PRECIOS_COMPLEMENTOS!$C$4:$F$17,MATCH(D452&amp;"_"&amp;E452,PRECIOS_COMPLEMENTOS!$H$4:$H$17,0),IF(OR(H452="S",H452="20cm"),1,IF(OR(H452="M",H452="25cm"),2,IF(OR(H452="L",H452="30cm"),3,IF(OR(H452="XL",H452="35cm"),4,0))))),0)</f>
        <v>#REF!</v>
      </c>
      <c r="K452" s="12">
        <f t="shared" si="1"/>
        <v>0</v>
      </c>
      <c r="L452" s="13">
        <f>IFERROR(IF(C452="",0,IF(D452="PRETINA",SUMIFS($I$4:$I$451,$C$4:$C$451,C452,$D$4:$D$451,D452,$E$4:$E$451,E452,$F$4:$F$451,F452,$G$4:$G$451,G452,$H$4:$H$451,H452,$B$4:$B$451,"INGRESO")+SUMIFS($I$4:$I$451,$C$4:$C$451,C452,$D$4:$D$451,D452,$E$4:$E$451,E452,$F$4:$F$451,F452,$G$4:$G$451,G452,$H$4:$H$451,H452,$B$4:$B$451,"DE CORTE")-SUMIFS($I$4:$I$451,$C$4:$C$451,C452,$D$4:$D$451,D452,$E$4:$E$451,E452,$F$4:$F$451,F452,$G$4:$G$451,G452,$H$4:$H$451,H452,$B$4:$B$451,"SALIDA"),SUMIFS($I$4:$I$451,$C$4:$C$451,C452,$D$4:$D$451,D452,$E$4:$E$451,E452,$G$4:$G$451,G452,$H$4:$H$451,H452,$B$4:$B$451,"INGRESO")+SUMIFS($I$4:$I$451,$C$4:$C$451,C452,$D$4:$D$451,D452,$E$4:$E$451,E452,$G$4:$G$451,G452,$H$4:$H$451,H452,$B$4:$B$451,"DE CORTE")-SUMIFS($I$4:$I$451,$C$4:$C$451,C452,$D$4:$D$451,D452,$E$4:$E$451,E452,$G$4:$G$451,G452,$H$4:$H$451,H452,$B$4:$B$451,"SALIDA"))),0)</f>
        <v>0</v>
      </c>
      <c r="M452" s="13">
        <f t="shared" si="2"/>
        <v>0</v>
      </c>
      <c r="N452" s="14"/>
      <c r="O452" s="14"/>
      <c r="P452" s="15"/>
      <c r="Q452" s="14"/>
    </row>
    <row r="453" ht="15.75" customHeight="1">
      <c r="A453" s="7"/>
      <c r="B453" s="8"/>
      <c r="C453" s="8"/>
      <c r="D453" s="8"/>
      <c r="E453" s="8"/>
      <c r="F453" s="14"/>
      <c r="G453" s="8"/>
      <c r="H453" s="8"/>
      <c r="I453" s="9"/>
      <c r="J453" s="12" t="str">
        <f t="array" ref="J453:K453">IFERROR(INDEX(PRECIOS_COMPLEMENTOS!$C$4:$F$17,MATCH(D453&amp;"_"&amp;E453,PRECIOS_COMPLEMENTOS!$H$4:$H$17,0),IF(OR(H453="S",H453="20cm"),1,IF(OR(H453="M",H453="25cm"),2,IF(OR(H453="L",H453="30cm"),3,IF(OR(H453="XL",H453="35cm"),4,0))))),0)</f>
        <v>#REF!</v>
      </c>
      <c r="K453" s="12">
        <f t="shared" si="1"/>
        <v>0</v>
      </c>
      <c r="L453" s="13">
        <f>IFERROR(IF(C453="",0,IF(D453="PRETINA",SUMIFS($I$4:$I$452,$C$4:$C$452,C453,$D$4:$D$452,D453,$E$4:$E$452,E453,$F$4:$F$452,F453,$G$4:$G$452,G453,$H$4:$H$452,H453,$B$4:$B$452,"INGRESO")+SUMIFS($I$4:$I$452,$C$4:$C$452,C453,$D$4:$D$452,D453,$E$4:$E$452,E453,$F$4:$F$452,F453,$G$4:$G$452,G453,$H$4:$H$452,H453,$B$4:$B$452,"DE CORTE")-SUMIFS($I$4:$I$452,$C$4:$C$452,C453,$D$4:$D$452,D453,$E$4:$E$452,E453,$F$4:$F$452,F453,$G$4:$G$452,G453,$H$4:$H$452,H453,$B$4:$B$452,"SALIDA"),SUMIFS($I$4:$I$452,$C$4:$C$452,C453,$D$4:$D$452,D453,$E$4:$E$452,E453,$G$4:$G$452,G453,$H$4:$H$452,H453,$B$4:$B$452,"INGRESO")+SUMIFS($I$4:$I$452,$C$4:$C$452,C453,$D$4:$D$452,D453,$E$4:$E$452,E453,$G$4:$G$452,G453,$H$4:$H$452,H453,$B$4:$B$452,"DE CORTE")-SUMIFS($I$4:$I$452,$C$4:$C$452,C453,$D$4:$D$452,D453,$E$4:$E$452,E453,$G$4:$G$452,G453,$H$4:$H$452,H453,$B$4:$B$452,"SALIDA"))),0)</f>
        <v>0</v>
      </c>
      <c r="M453" s="13">
        <f t="shared" si="2"/>
        <v>0</v>
      </c>
      <c r="N453" s="14"/>
      <c r="O453" s="14"/>
      <c r="P453" s="15"/>
      <c r="Q453" s="14"/>
    </row>
    <row r="454" ht="15.75" customHeight="1">
      <c r="A454" s="7"/>
      <c r="B454" s="8"/>
      <c r="C454" s="8"/>
      <c r="D454" s="8"/>
      <c r="E454" s="8"/>
      <c r="F454" s="14"/>
      <c r="G454" s="8"/>
      <c r="H454" s="8"/>
      <c r="I454" s="9"/>
      <c r="J454" s="12" t="str">
        <f t="array" ref="J454:K454">IFERROR(INDEX(PRECIOS_COMPLEMENTOS!$C$4:$F$17,MATCH(D454&amp;"_"&amp;E454,PRECIOS_COMPLEMENTOS!$H$4:$H$17,0),IF(OR(H454="S",H454="20cm"),1,IF(OR(H454="M",H454="25cm"),2,IF(OR(H454="L",H454="30cm"),3,IF(OR(H454="XL",H454="35cm"),4,0))))),0)</f>
        <v>#REF!</v>
      </c>
      <c r="K454" s="12">
        <f t="shared" si="1"/>
        <v>0</v>
      </c>
      <c r="L454" s="13">
        <f>IFERROR(IF(C454="",0,IF(D454="PRETINA",SUMIFS($I$4:$I$453,$C$4:$C$453,C454,$D$4:$D$453,D454,$E$4:$E$453,E454,$F$4:$F$453,F454,$G$4:$G$453,G454,$H$4:$H$453,H454,$B$4:$B$453,"INGRESO")+SUMIFS($I$4:$I$453,$C$4:$C$453,C454,$D$4:$D$453,D454,$E$4:$E$453,E454,$F$4:$F$453,F454,$G$4:$G$453,G454,$H$4:$H$453,H454,$B$4:$B$453,"DE CORTE")-SUMIFS($I$4:$I$453,$C$4:$C$453,C454,$D$4:$D$453,D454,$E$4:$E$453,E454,$F$4:$F$453,F454,$G$4:$G$453,G454,$H$4:$H$453,H454,$B$4:$B$453,"SALIDA"),SUMIFS($I$4:$I$453,$C$4:$C$453,C454,$D$4:$D$453,D454,$E$4:$E$453,E454,$G$4:$G$453,G454,$H$4:$H$453,H454,$B$4:$B$453,"INGRESO")+SUMIFS($I$4:$I$453,$C$4:$C$453,C454,$D$4:$D$453,D454,$E$4:$E$453,E454,$G$4:$G$453,G454,$H$4:$H$453,H454,$B$4:$B$453,"DE CORTE")-SUMIFS($I$4:$I$453,$C$4:$C$453,C454,$D$4:$D$453,D454,$E$4:$E$453,E454,$G$4:$G$453,G454,$H$4:$H$453,H454,$B$4:$B$453,"SALIDA"))),0)</f>
        <v>0</v>
      </c>
      <c r="M454" s="13">
        <f t="shared" si="2"/>
        <v>0</v>
      </c>
      <c r="N454" s="14"/>
      <c r="O454" s="14"/>
      <c r="P454" s="15"/>
      <c r="Q454" s="14"/>
    </row>
    <row r="455" ht="15.75" customHeight="1">
      <c r="A455" s="7"/>
      <c r="B455" s="8"/>
      <c r="C455" s="8"/>
      <c r="D455" s="8"/>
      <c r="E455" s="8"/>
      <c r="F455" s="14"/>
      <c r="G455" s="8"/>
      <c r="H455" s="8"/>
      <c r="I455" s="9"/>
      <c r="J455" s="12" t="str">
        <f t="array" ref="J455:K455">IFERROR(INDEX(PRECIOS_COMPLEMENTOS!$C$4:$F$17,MATCH(D455&amp;"_"&amp;E455,PRECIOS_COMPLEMENTOS!$H$4:$H$17,0),IF(OR(H455="S",H455="20cm"),1,IF(OR(H455="M",H455="25cm"),2,IF(OR(H455="L",H455="30cm"),3,IF(OR(H455="XL",H455="35cm"),4,0))))),0)</f>
        <v>#REF!</v>
      </c>
      <c r="K455" s="12">
        <f t="shared" si="1"/>
        <v>0</v>
      </c>
      <c r="L455" s="13">
        <f>IFERROR(IF(C455="",0,IF(D455="PRETINA",SUMIFS($I$4:$I$454,$C$4:$C$454,C455,$D$4:$D$454,D455,$E$4:$E$454,E455,$F$4:$F$454,F455,$G$4:$G$454,G455,$H$4:$H$454,H455,$B$4:$B$454,"INGRESO")+SUMIFS($I$4:$I$454,$C$4:$C$454,C455,$D$4:$D$454,D455,$E$4:$E$454,E455,$F$4:$F$454,F455,$G$4:$G$454,G455,$H$4:$H$454,H455,$B$4:$B$454,"DE CORTE")-SUMIFS($I$4:$I$454,$C$4:$C$454,C455,$D$4:$D$454,D455,$E$4:$E$454,E455,$F$4:$F$454,F455,$G$4:$G$454,G455,$H$4:$H$454,H455,$B$4:$B$454,"SALIDA"),SUMIFS($I$4:$I$454,$C$4:$C$454,C455,$D$4:$D$454,D455,$E$4:$E$454,E455,$G$4:$G$454,G455,$H$4:$H$454,H455,$B$4:$B$454,"INGRESO")+SUMIFS($I$4:$I$454,$C$4:$C$454,C455,$D$4:$D$454,D455,$E$4:$E$454,E455,$G$4:$G$454,G455,$H$4:$H$454,H455,$B$4:$B$454,"DE CORTE")-SUMIFS($I$4:$I$454,$C$4:$C$454,C455,$D$4:$D$454,D455,$E$4:$E$454,E455,$G$4:$G$454,G455,$H$4:$H$454,H455,$B$4:$B$454,"SALIDA"))),0)</f>
        <v>0</v>
      </c>
      <c r="M455" s="13">
        <f t="shared" si="2"/>
        <v>0</v>
      </c>
      <c r="N455" s="14"/>
      <c r="O455" s="14"/>
      <c r="P455" s="15"/>
      <c r="Q455" s="14"/>
    </row>
    <row r="456" ht="15.75" customHeight="1">
      <c r="A456" s="7"/>
      <c r="B456" s="8"/>
      <c r="C456" s="8"/>
      <c r="D456" s="8"/>
      <c r="E456" s="8"/>
      <c r="F456" s="14"/>
      <c r="G456" s="8"/>
      <c r="H456" s="8"/>
      <c r="I456" s="9"/>
      <c r="J456" s="12" t="str">
        <f t="array" ref="J456:K456">IFERROR(INDEX(PRECIOS_COMPLEMENTOS!$C$4:$F$17,MATCH(D456&amp;"_"&amp;E456,PRECIOS_COMPLEMENTOS!$H$4:$H$17,0),IF(OR(H456="S",H456="20cm"),1,IF(OR(H456="M",H456="25cm"),2,IF(OR(H456="L",H456="30cm"),3,IF(OR(H456="XL",H456="35cm"),4,0))))),0)</f>
        <v>#REF!</v>
      </c>
      <c r="K456" s="12">
        <f t="shared" si="1"/>
        <v>0</v>
      </c>
      <c r="L456" s="13">
        <f>IFERROR(IF(C456="",0,IF(D456="PRETINA",SUMIFS($I$4:$I$455,$C$4:$C$455,C456,$D$4:$D$455,D456,$E$4:$E$455,E456,$F$4:$F$455,F456,$G$4:$G$455,G456,$H$4:$H$455,H456,$B$4:$B$455,"INGRESO")+SUMIFS($I$4:$I$455,$C$4:$C$455,C456,$D$4:$D$455,D456,$E$4:$E$455,E456,$F$4:$F$455,F456,$G$4:$G$455,G456,$H$4:$H$455,H456,$B$4:$B$455,"DE CORTE")-SUMIFS($I$4:$I$455,$C$4:$C$455,C456,$D$4:$D$455,D456,$E$4:$E$455,E456,$F$4:$F$455,F456,$G$4:$G$455,G456,$H$4:$H$455,H456,$B$4:$B$455,"SALIDA"),SUMIFS($I$4:$I$455,$C$4:$C$455,C456,$D$4:$D$455,D456,$E$4:$E$455,E456,$G$4:$G$455,G456,$H$4:$H$455,H456,$B$4:$B$455,"INGRESO")+SUMIFS($I$4:$I$455,$C$4:$C$455,C456,$D$4:$D$455,D456,$E$4:$E$455,E456,$G$4:$G$455,G456,$H$4:$H$455,H456,$B$4:$B$455,"DE CORTE")-SUMIFS($I$4:$I$455,$C$4:$C$455,C456,$D$4:$D$455,D456,$E$4:$E$455,E456,$G$4:$G$455,G456,$H$4:$H$455,H456,$B$4:$B$455,"SALIDA"))),0)</f>
        <v>0</v>
      </c>
      <c r="M456" s="13">
        <f t="shared" si="2"/>
        <v>0</v>
      </c>
      <c r="N456" s="14"/>
      <c r="O456" s="14"/>
      <c r="P456" s="15"/>
      <c r="Q456" s="14"/>
    </row>
    <row r="457" ht="15.75" customHeight="1">
      <c r="A457" s="7"/>
      <c r="B457" s="8"/>
      <c r="C457" s="8"/>
      <c r="D457" s="8"/>
      <c r="E457" s="8"/>
      <c r="F457" s="14"/>
      <c r="G457" s="8"/>
      <c r="H457" s="8"/>
      <c r="I457" s="9"/>
      <c r="J457" s="12" t="str">
        <f t="array" ref="J457:K457">IFERROR(INDEX(PRECIOS_COMPLEMENTOS!$C$4:$F$17,MATCH(D457&amp;"_"&amp;E457,PRECIOS_COMPLEMENTOS!$H$4:$H$17,0),IF(OR(H457="S",H457="20cm"),1,IF(OR(H457="M",H457="25cm"),2,IF(OR(H457="L",H457="30cm"),3,IF(OR(H457="XL",H457="35cm"),4,0))))),0)</f>
        <v>#REF!</v>
      </c>
      <c r="K457" s="12">
        <f t="shared" si="1"/>
        <v>0</v>
      </c>
      <c r="L457" s="13">
        <f>IFERROR(IF(C457="",0,IF(D457="PRETINA",SUMIFS($I$4:$I$456,$C$4:$C$456,C457,$D$4:$D$456,D457,$E$4:$E$456,E457,$F$4:$F$456,F457,$G$4:$G$456,G457,$H$4:$H$456,H457,$B$4:$B$456,"INGRESO")+SUMIFS($I$4:$I$456,$C$4:$C$456,C457,$D$4:$D$456,D457,$E$4:$E$456,E457,$F$4:$F$456,F457,$G$4:$G$456,G457,$H$4:$H$456,H457,$B$4:$B$456,"DE CORTE")-SUMIFS($I$4:$I$456,$C$4:$C$456,C457,$D$4:$D$456,D457,$E$4:$E$456,E457,$F$4:$F$456,F457,$G$4:$G$456,G457,$H$4:$H$456,H457,$B$4:$B$456,"SALIDA"),SUMIFS($I$4:$I$456,$C$4:$C$456,C457,$D$4:$D$456,D457,$E$4:$E$456,E457,$G$4:$G$456,G457,$H$4:$H$456,H457,$B$4:$B$456,"INGRESO")+SUMIFS($I$4:$I$456,$C$4:$C$456,C457,$D$4:$D$456,D457,$E$4:$E$456,E457,$G$4:$G$456,G457,$H$4:$H$456,H457,$B$4:$B$456,"DE CORTE")-SUMIFS($I$4:$I$456,$C$4:$C$456,C457,$D$4:$D$456,D457,$E$4:$E$456,E457,$G$4:$G$456,G457,$H$4:$H$456,H457,$B$4:$B$456,"SALIDA"))),0)</f>
        <v>0</v>
      </c>
      <c r="M457" s="13">
        <f t="shared" si="2"/>
        <v>0</v>
      </c>
      <c r="N457" s="14"/>
      <c r="O457" s="14"/>
      <c r="P457" s="15"/>
      <c r="Q457" s="14"/>
    </row>
    <row r="458" ht="15.75" customHeight="1">
      <c r="A458" s="7"/>
      <c r="B458" s="8"/>
      <c r="C458" s="8"/>
      <c r="D458" s="8"/>
      <c r="E458" s="8"/>
      <c r="F458" s="14"/>
      <c r="G458" s="8"/>
      <c r="H458" s="8"/>
      <c r="I458" s="9"/>
      <c r="J458" s="12" t="str">
        <f t="array" ref="J458:K458">IFERROR(INDEX(PRECIOS_COMPLEMENTOS!$C$4:$F$17,MATCH(D458&amp;"_"&amp;E458,PRECIOS_COMPLEMENTOS!$H$4:$H$17,0),IF(OR(H458="S",H458="20cm"),1,IF(OR(H458="M",H458="25cm"),2,IF(OR(H458="L",H458="30cm"),3,IF(OR(H458="XL",H458="35cm"),4,0))))),0)</f>
        <v>#REF!</v>
      </c>
      <c r="K458" s="12">
        <f t="shared" si="1"/>
        <v>0</v>
      </c>
      <c r="L458" s="13">
        <f>IFERROR(IF(C458="",0,IF(D458="PRETINA",SUMIFS($I$4:$I$457,$C$4:$C$457,C458,$D$4:$D$457,D458,$E$4:$E$457,E458,$F$4:$F$457,F458,$G$4:$G$457,G458,$H$4:$H$457,H458,$B$4:$B$457,"INGRESO")+SUMIFS($I$4:$I$457,$C$4:$C$457,C458,$D$4:$D$457,D458,$E$4:$E$457,E458,$F$4:$F$457,F458,$G$4:$G$457,G458,$H$4:$H$457,H458,$B$4:$B$457,"DE CORTE")-SUMIFS($I$4:$I$457,$C$4:$C$457,C458,$D$4:$D$457,D458,$E$4:$E$457,E458,$F$4:$F$457,F458,$G$4:$G$457,G458,$H$4:$H$457,H458,$B$4:$B$457,"SALIDA"),SUMIFS($I$4:$I$457,$C$4:$C$457,C458,$D$4:$D$457,D458,$E$4:$E$457,E458,$G$4:$G$457,G458,$H$4:$H$457,H458,$B$4:$B$457,"INGRESO")+SUMIFS($I$4:$I$457,$C$4:$C$457,C458,$D$4:$D$457,D458,$E$4:$E$457,E458,$G$4:$G$457,G458,$H$4:$H$457,H458,$B$4:$B$457,"DE CORTE")-SUMIFS($I$4:$I$457,$C$4:$C$457,C458,$D$4:$D$457,D458,$E$4:$E$457,E458,$G$4:$G$457,G458,$H$4:$H$457,H458,$B$4:$B$457,"SALIDA"))),0)</f>
        <v>0</v>
      </c>
      <c r="M458" s="13">
        <f t="shared" si="2"/>
        <v>0</v>
      </c>
      <c r="N458" s="14"/>
      <c r="O458" s="14"/>
      <c r="P458" s="15"/>
      <c r="Q458" s="14"/>
    </row>
    <row r="459" ht="15.75" customHeight="1">
      <c r="A459" s="7"/>
      <c r="B459" s="8"/>
      <c r="C459" s="8"/>
      <c r="D459" s="8"/>
      <c r="E459" s="8"/>
      <c r="F459" s="14"/>
      <c r="G459" s="8"/>
      <c r="H459" s="8"/>
      <c r="I459" s="9"/>
      <c r="J459" s="12" t="str">
        <f t="array" ref="J459:K459">IFERROR(INDEX(PRECIOS_COMPLEMENTOS!$C$4:$F$17,MATCH(D459&amp;"_"&amp;E459,PRECIOS_COMPLEMENTOS!$H$4:$H$17,0),IF(OR(H459="S",H459="20cm"),1,IF(OR(H459="M",H459="25cm"),2,IF(OR(H459="L",H459="30cm"),3,IF(OR(H459="XL",H459="35cm"),4,0))))),0)</f>
        <v>#REF!</v>
      </c>
      <c r="K459" s="12">
        <f t="shared" si="1"/>
        <v>0</v>
      </c>
      <c r="L459" s="13">
        <f>IFERROR(IF(C459="",0,IF(D459="PRETINA",SUMIFS($I$4:$I$458,$C$4:$C$458,C459,$D$4:$D$458,D459,$E$4:$E$458,E459,$F$4:$F$458,F459,$G$4:$G$458,G459,$H$4:$H$458,H459,$B$4:$B$458,"INGRESO")+SUMIFS($I$4:$I$458,$C$4:$C$458,C459,$D$4:$D$458,D459,$E$4:$E$458,E459,$F$4:$F$458,F459,$G$4:$G$458,G459,$H$4:$H$458,H459,$B$4:$B$458,"DE CORTE")-SUMIFS($I$4:$I$458,$C$4:$C$458,C459,$D$4:$D$458,D459,$E$4:$E$458,E459,$F$4:$F$458,F459,$G$4:$G$458,G459,$H$4:$H$458,H459,$B$4:$B$458,"SALIDA"),SUMIFS($I$4:$I$458,$C$4:$C$458,C459,$D$4:$D$458,D459,$E$4:$E$458,E459,$G$4:$G$458,G459,$H$4:$H$458,H459,$B$4:$B$458,"INGRESO")+SUMIFS($I$4:$I$458,$C$4:$C$458,C459,$D$4:$D$458,D459,$E$4:$E$458,E459,$G$4:$G$458,G459,$H$4:$H$458,H459,$B$4:$B$458,"DE CORTE")-SUMIFS($I$4:$I$458,$C$4:$C$458,C459,$D$4:$D$458,D459,$E$4:$E$458,E459,$G$4:$G$458,G459,$H$4:$H$458,H459,$B$4:$B$458,"SALIDA"))),0)</f>
        <v>0</v>
      </c>
      <c r="M459" s="13">
        <f t="shared" si="2"/>
        <v>0</v>
      </c>
      <c r="N459" s="14"/>
      <c r="O459" s="14"/>
      <c r="P459" s="15"/>
      <c r="Q459" s="14"/>
    </row>
    <row r="460" ht="15.75" customHeight="1">
      <c r="A460" s="7"/>
      <c r="B460" s="8"/>
      <c r="C460" s="8"/>
      <c r="D460" s="8"/>
      <c r="E460" s="8"/>
      <c r="F460" s="14"/>
      <c r="G460" s="8"/>
      <c r="H460" s="8"/>
      <c r="I460" s="9"/>
      <c r="J460" s="12" t="str">
        <f t="array" ref="J460:K460">IFERROR(INDEX(PRECIOS_COMPLEMENTOS!$C$4:$F$17,MATCH(D460&amp;"_"&amp;E460,PRECIOS_COMPLEMENTOS!$H$4:$H$17,0),IF(OR(H460="S",H460="20cm"),1,IF(OR(H460="M",H460="25cm"),2,IF(OR(H460="L",H460="30cm"),3,IF(OR(H460="XL",H460="35cm"),4,0))))),0)</f>
        <v>#REF!</v>
      </c>
      <c r="K460" s="12">
        <f t="shared" si="1"/>
        <v>0</v>
      </c>
      <c r="L460" s="13">
        <f>IFERROR(IF(C460="",0,IF(D460="PRETINA",SUMIFS($I$4:$I$459,$C$4:$C$459,C460,$D$4:$D$459,D460,$E$4:$E$459,E460,$F$4:$F$459,F460,$G$4:$G$459,G460,$H$4:$H$459,H460,$B$4:$B$459,"INGRESO")+SUMIFS($I$4:$I$459,$C$4:$C$459,C460,$D$4:$D$459,D460,$E$4:$E$459,E460,$F$4:$F$459,F460,$G$4:$G$459,G460,$H$4:$H$459,H460,$B$4:$B$459,"DE CORTE")-SUMIFS($I$4:$I$459,$C$4:$C$459,C460,$D$4:$D$459,D460,$E$4:$E$459,E460,$F$4:$F$459,F460,$G$4:$G$459,G460,$H$4:$H$459,H460,$B$4:$B$459,"SALIDA"),SUMIFS($I$4:$I$459,$C$4:$C$459,C460,$D$4:$D$459,D460,$E$4:$E$459,E460,$G$4:$G$459,G460,$H$4:$H$459,H460,$B$4:$B$459,"INGRESO")+SUMIFS($I$4:$I$459,$C$4:$C$459,C460,$D$4:$D$459,D460,$E$4:$E$459,E460,$G$4:$G$459,G460,$H$4:$H$459,H460,$B$4:$B$459,"DE CORTE")-SUMIFS($I$4:$I$459,$C$4:$C$459,C460,$D$4:$D$459,D460,$E$4:$E$459,E460,$G$4:$G$459,G460,$H$4:$H$459,H460,$B$4:$B$459,"SALIDA"))),0)</f>
        <v>0</v>
      </c>
      <c r="M460" s="13">
        <f t="shared" si="2"/>
        <v>0</v>
      </c>
      <c r="N460" s="14"/>
      <c r="O460" s="14"/>
      <c r="P460" s="15"/>
      <c r="Q460" s="14"/>
    </row>
    <row r="461" ht="15.75" customHeight="1">
      <c r="A461" s="7"/>
      <c r="B461" s="8"/>
      <c r="C461" s="8"/>
      <c r="D461" s="8"/>
      <c r="E461" s="8"/>
      <c r="F461" s="14"/>
      <c r="G461" s="8"/>
      <c r="H461" s="8"/>
      <c r="I461" s="9"/>
      <c r="J461" s="12" t="str">
        <f t="array" ref="J461:K461">IFERROR(INDEX(PRECIOS_COMPLEMENTOS!$C$4:$F$17,MATCH(D461&amp;"_"&amp;E461,PRECIOS_COMPLEMENTOS!$H$4:$H$17,0),IF(OR(H461="S",H461="20cm"),1,IF(OR(H461="M",H461="25cm"),2,IF(OR(H461="L",H461="30cm"),3,IF(OR(H461="XL",H461="35cm"),4,0))))),0)</f>
        <v>#REF!</v>
      </c>
      <c r="K461" s="12">
        <f t="shared" si="1"/>
        <v>0</v>
      </c>
      <c r="L461" s="13">
        <f>IFERROR(IF(C461="",0,IF(D461="PRETINA",SUMIFS($I$4:$I$460,$C$4:$C$460,C461,$D$4:$D$460,D461,$E$4:$E$460,E461,$F$4:$F$460,F461,$G$4:$G$460,G461,$H$4:$H$460,H461,$B$4:$B$460,"INGRESO")+SUMIFS($I$4:$I$460,$C$4:$C$460,C461,$D$4:$D$460,D461,$E$4:$E$460,E461,$F$4:$F$460,F461,$G$4:$G$460,G461,$H$4:$H$460,H461,$B$4:$B$460,"DE CORTE")-SUMIFS($I$4:$I$460,$C$4:$C$460,C461,$D$4:$D$460,D461,$E$4:$E$460,E461,$F$4:$F$460,F461,$G$4:$G$460,G461,$H$4:$H$460,H461,$B$4:$B$460,"SALIDA"),SUMIFS($I$4:$I$460,$C$4:$C$460,C461,$D$4:$D$460,D461,$E$4:$E$460,E461,$G$4:$G$460,G461,$H$4:$H$460,H461,$B$4:$B$460,"INGRESO")+SUMIFS($I$4:$I$460,$C$4:$C$460,C461,$D$4:$D$460,D461,$E$4:$E$460,E461,$G$4:$G$460,G461,$H$4:$H$460,H461,$B$4:$B$460,"DE CORTE")-SUMIFS($I$4:$I$460,$C$4:$C$460,C461,$D$4:$D$460,D461,$E$4:$E$460,E461,$G$4:$G$460,G461,$H$4:$H$460,H461,$B$4:$B$460,"SALIDA"))),0)</f>
        <v>0</v>
      </c>
      <c r="M461" s="13">
        <f t="shared" si="2"/>
        <v>0</v>
      </c>
      <c r="N461" s="14"/>
      <c r="O461" s="14"/>
      <c r="P461" s="15"/>
      <c r="Q461" s="14"/>
    </row>
    <row r="462" ht="15.75" customHeight="1">
      <c r="A462" s="7"/>
      <c r="B462" s="8"/>
      <c r="C462" s="8"/>
      <c r="D462" s="8"/>
      <c r="E462" s="8"/>
      <c r="F462" s="14"/>
      <c r="G462" s="8"/>
      <c r="H462" s="8"/>
      <c r="I462" s="9"/>
      <c r="J462" s="12" t="str">
        <f t="array" ref="J462:K462">IFERROR(INDEX(PRECIOS_COMPLEMENTOS!$C$4:$F$17,MATCH(D462&amp;"_"&amp;E462,PRECIOS_COMPLEMENTOS!$H$4:$H$17,0),IF(OR(H462="S",H462="20cm"),1,IF(OR(H462="M",H462="25cm"),2,IF(OR(H462="L",H462="30cm"),3,IF(OR(H462="XL",H462="35cm"),4,0))))),0)</f>
        <v>#REF!</v>
      </c>
      <c r="K462" s="12">
        <f t="shared" si="1"/>
        <v>0</v>
      </c>
      <c r="L462" s="13">
        <f>IFERROR(IF(C462="",0,IF(D462="PRETINA",SUMIFS($I$4:$I$461,$C$4:$C$461,C462,$D$4:$D$461,D462,$E$4:$E$461,E462,$F$4:$F$461,F462,$G$4:$G$461,G462,$H$4:$H$461,H462,$B$4:$B$461,"INGRESO")+SUMIFS($I$4:$I$461,$C$4:$C$461,C462,$D$4:$D$461,D462,$E$4:$E$461,E462,$F$4:$F$461,F462,$G$4:$G$461,G462,$H$4:$H$461,H462,$B$4:$B$461,"DE CORTE")-SUMIFS($I$4:$I$461,$C$4:$C$461,C462,$D$4:$D$461,D462,$E$4:$E$461,E462,$F$4:$F$461,F462,$G$4:$G$461,G462,$H$4:$H$461,H462,$B$4:$B$461,"SALIDA"),SUMIFS($I$4:$I$461,$C$4:$C$461,C462,$D$4:$D$461,D462,$E$4:$E$461,E462,$G$4:$G$461,G462,$H$4:$H$461,H462,$B$4:$B$461,"INGRESO")+SUMIFS($I$4:$I$461,$C$4:$C$461,C462,$D$4:$D$461,D462,$E$4:$E$461,E462,$G$4:$G$461,G462,$H$4:$H$461,H462,$B$4:$B$461,"DE CORTE")-SUMIFS($I$4:$I$461,$C$4:$C$461,C462,$D$4:$D$461,D462,$E$4:$E$461,E462,$G$4:$G$461,G462,$H$4:$H$461,H462,$B$4:$B$461,"SALIDA"))),0)</f>
        <v>0</v>
      </c>
      <c r="M462" s="13">
        <f t="shared" si="2"/>
        <v>0</v>
      </c>
      <c r="N462" s="14"/>
      <c r="O462" s="14"/>
      <c r="P462" s="15"/>
      <c r="Q462" s="14"/>
    </row>
    <row r="463" ht="15.75" customHeight="1">
      <c r="A463" s="7"/>
      <c r="B463" s="8"/>
      <c r="C463" s="8"/>
      <c r="D463" s="8"/>
      <c r="E463" s="8"/>
      <c r="F463" s="14"/>
      <c r="G463" s="8"/>
      <c r="H463" s="8"/>
      <c r="I463" s="9"/>
      <c r="J463" s="12" t="str">
        <f t="array" ref="J463:K463">IFERROR(INDEX(PRECIOS_COMPLEMENTOS!$C$4:$F$17,MATCH(D463&amp;"_"&amp;E463,PRECIOS_COMPLEMENTOS!$H$4:$H$17,0),IF(OR(H463="S",H463="20cm"),1,IF(OR(H463="M",H463="25cm"),2,IF(OR(H463="L",H463="30cm"),3,IF(OR(H463="XL",H463="35cm"),4,0))))),0)</f>
        <v>#REF!</v>
      </c>
      <c r="K463" s="12">
        <f t="shared" si="1"/>
        <v>0</v>
      </c>
      <c r="L463" s="13">
        <f>IFERROR(IF(C463="",0,IF(D463="PRETINA",SUMIFS($I$4:$I$462,$C$4:$C$462,C463,$D$4:$D$462,D463,$E$4:$E$462,E463,$F$4:$F$462,F463,$G$4:$G$462,G463,$H$4:$H$462,H463,$B$4:$B$462,"INGRESO")+SUMIFS($I$4:$I$462,$C$4:$C$462,C463,$D$4:$D$462,D463,$E$4:$E$462,E463,$F$4:$F$462,F463,$G$4:$G$462,G463,$H$4:$H$462,H463,$B$4:$B$462,"DE CORTE")-SUMIFS($I$4:$I$462,$C$4:$C$462,C463,$D$4:$D$462,D463,$E$4:$E$462,E463,$F$4:$F$462,F463,$G$4:$G$462,G463,$H$4:$H$462,H463,$B$4:$B$462,"SALIDA"),SUMIFS($I$4:$I$462,$C$4:$C$462,C463,$D$4:$D$462,D463,$E$4:$E$462,E463,$G$4:$G$462,G463,$H$4:$H$462,H463,$B$4:$B$462,"INGRESO")+SUMIFS($I$4:$I$462,$C$4:$C$462,C463,$D$4:$D$462,D463,$E$4:$E$462,E463,$G$4:$G$462,G463,$H$4:$H$462,H463,$B$4:$B$462,"DE CORTE")-SUMIFS($I$4:$I$462,$C$4:$C$462,C463,$D$4:$D$462,D463,$E$4:$E$462,E463,$G$4:$G$462,G463,$H$4:$H$462,H463,$B$4:$B$462,"SALIDA"))),0)</f>
        <v>0</v>
      </c>
      <c r="M463" s="13">
        <f t="shared" si="2"/>
        <v>0</v>
      </c>
      <c r="N463" s="14"/>
      <c r="O463" s="14"/>
      <c r="P463" s="15"/>
      <c r="Q463" s="14"/>
    </row>
    <row r="464" ht="15.75" customHeight="1">
      <c r="A464" s="7"/>
      <c r="B464" s="8"/>
      <c r="C464" s="8"/>
      <c r="D464" s="8"/>
      <c r="E464" s="8"/>
      <c r="F464" s="14"/>
      <c r="G464" s="8"/>
      <c r="H464" s="8"/>
      <c r="I464" s="9"/>
      <c r="J464" s="12" t="str">
        <f t="array" ref="J464:K464">IFERROR(INDEX(PRECIOS_COMPLEMENTOS!$C$4:$F$17,MATCH(D464&amp;"_"&amp;E464,PRECIOS_COMPLEMENTOS!$H$4:$H$17,0),IF(OR(H464="S",H464="20cm"),1,IF(OR(H464="M",H464="25cm"),2,IF(OR(H464="L",H464="30cm"),3,IF(OR(H464="XL",H464="35cm"),4,0))))),0)</f>
        <v>#REF!</v>
      </c>
      <c r="K464" s="12">
        <f t="shared" si="1"/>
        <v>0</v>
      </c>
      <c r="L464" s="13">
        <f>IFERROR(IF(C464="",0,IF(D464="PRETINA",SUMIFS($I$4:$I$463,$C$4:$C$463,C464,$D$4:$D$463,D464,$E$4:$E$463,E464,$F$4:$F$463,F464,$G$4:$G$463,G464,$H$4:$H$463,H464,$B$4:$B$463,"INGRESO")+SUMIFS($I$4:$I$463,$C$4:$C$463,C464,$D$4:$D$463,D464,$E$4:$E$463,E464,$F$4:$F$463,F464,$G$4:$G$463,G464,$H$4:$H$463,H464,$B$4:$B$463,"DE CORTE")-SUMIFS($I$4:$I$463,$C$4:$C$463,C464,$D$4:$D$463,D464,$E$4:$E$463,E464,$F$4:$F$463,F464,$G$4:$G$463,G464,$H$4:$H$463,H464,$B$4:$B$463,"SALIDA"),SUMIFS($I$4:$I$463,$C$4:$C$463,C464,$D$4:$D$463,D464,$E$4:$E$463,E464,$G$4:$G$463,G464,$H$4:$H$463,H464,$B$4:$B$463,"INGRESO")+SUMIFS($I$4:$I$463,$C$4:$C$463,C464,$D$4:$D$463,D464,$E$4:$E$463,E464,$G$4:$G$463,G464,$H$4:$H$463,H464,$B$4:$B$463,"DE CORTE")-SUMIFS($I$4:$I$463,$C$4:$C$463,C464,$D$4:$D$463,D464,$E$4:$E$463,E464,$G$4:$G$463,G464,$H$4:$H$463,H464,$B$4:$B$463,"SALIDA"))),0)</f>
        <v>0</v>
      </c>
      <c r="M464" s="13">
        <f t="shared" si="2"/>
        <v>0</v>
      </c>
      <c r="N464" s="14"/>
      <c r="O464" s="14"/>
      <c r="P464" s="15"/>
      <c r="Q464" s="14"/>
    </row>
    <row r="465" ht="15.75" customHeight="1">
      <c r="A465" s="7"/>
      <c r="B465" s="8"/>
      <c r="C465" s="8"/>
      <c r="D465" s="8"/>
      <c r="E465" s="8"/>
      <c r="F465" s="14"/>
      <c r="G465" s="8"/>
      <c r="H465" s="8"/>
      <c r="I465" s="9"/>
      <c r="J465" s="12" t="str">
        <f t="array" ref="J465:K465">IFERROR(INDEX(PRECIOS_COMPLEMENTOS!$C$4:$F$17,MATCH(D465&amp;"_"&amp;E465,PRECIOS_COMPLEMENTOS!$H$4:$H$17,0),IF(OR(H465="S",H465="20cm"),1,IF(OR(H465="M",H465="25cm"),2,IF(OR(H465="L",H465="30cm"),3,IF(OR(H465="XL",H465="35cm"),4,0))))),0)</f>
        <v>#REF!</v>
      </c>
      <c r="K465" s="12">
        <f t="shared" si="1"/>
        <v>0</v>
      </c>
      <c r="L465" s="13">
        <f>IFERROR(IF(C465="",0,IF(D465="PRETINA",SUMIFS($I$4:$I$464,$C$4:$C$464,C465,$D$4:$D$464,D465,$E$4:$E$464,E465,$F$4:$F$464,F465,$G$4:$G$464,G465,$H$4:$H$464,H465,$B$4:$B$464,"INGRESO")+SUMIFS($I$4:$I$464,$C$4:$C$464,C465,$D$4:$D$464,D465,$E$4:$E$464,E465,$F$4:$F$464,F465,$G$4:$G$464,G465,$H$4:$H$464,H465,$B$4:$B$464,"DE CORTE")-SUMIFS($I$4:$I$464,$C$4:$C$464,C465,$D$4:$D$464,D465,$E$4:$E$464,E465,$F$4:$F$464,F465,$G$4:$G$464,G465,$H$4:$H$464,H465,$B$4:$B$464,"SALIDA"),SUMIFS($I$4:$I$464,$C$4:$C$464,C465,$D$4:$D$464,D465,$E$4:$E$464,E465,$G$4:$G$464,G465,$H$4:$H$464,H465,$B$4:$B$464,"INGRESO")+SUMIFS($I$4:$I$464,$C$4:$C$464,C465,$D$4:$D$464,D465,$E$4:$E$464,E465,$G$4:$G$464,G465,$H$4:$H$464,H465,$B$4:$B$464,"DE CORTE")-SUMIFS($I$4:$I$464,$C$4:$C$464,C465,$D$4:$D$464,D465,$E$4:$E$464,E465,$G$4:$G$464,G465,$H$4:$H$464,H465,$B$4:$B$464,"SALIDA"))),0)</f>
        <v>0</v>
      </c>
      <c r="M465" s="13">
        <f t="shared" si="2"/>
        <v>0</v>
      </c>
      <c r="N465" s="14"/>
      <c r="O465" s="14"/>
      <c r="P465" s="15"/>
      <c r="Q465" s="14"/>
    </row>
    <row r="466" ht="15.75" customHeight="1">
      <c r="A466" s="7"/>
      <c r="B466" s="8"/>
      <c r="C466" s="8"/>
      <c r="D466" s="8"/>
      <c r="E466" s="8"/>
      <c r="F466" s="14"/>
      <c r="G466" s="8"/>
      <c r="H466" s="8"/>
      <c r="I466" s="9"/>
      <c r="J466" s="12" t="str">
        <f t="array" ref="J466:K466">IFERROR(INDEX(PRECIOS_COMPLEMENTOS!$C$4:$F$17,MATCH(D466&amp;"_"&amp;E466,PRECIOS_COMPLEMENTOS!$H$4:$H$17,0),IF(OR(H466="S",H466="20cm"),1,IF(OR(H466="M",H466="25cm"),2,IF(OR(H466="L",H466="30cm"),3,IF(OR(H466="XL",H466="35cm"),4,0))))),0)</f>
        <v>#REF!</v>
      </c>
      <c r="K466" s="12">
        <f t="shared" si="1"/>
        <v>0</v>
      </c>
      <c r="L466" s="13">
        <f>IFERROR(IF(C466="",0,IF(D466="PRETINA",SUMIFS($I$4:$I$465,$C$4:$C$465,C466,$D$4:$D$465,D466,$E$4:$E$465,E466,$F$4:$F$465,F466,$G$4:$G$465,G466,$H$4:$H$465,H466,$B$4:$B$465,"INGRESO")+SUMIFS($I$4:$I$465,$C$4:$C$465,C466,$D$4:$D$465,D466,$E$4:$E$465,E466,$F$4:$F$465,F466,$G$4:$G$465,G466,$H$4:$H$465,H466,$B$4:$B$465,"DE CORTE")-SUMIFS($I$4:$I$465,$C$4:$C$465,C466,$D$4:$D$465,D466,$E$4:$E$465,E466,$F$4:$F$465,F466,$G$4:$G$465,G466,$H$4:$H$465,H466,$B$4:$B$465,"SALIDA"),SUMIFS($I$4:$I$465,$C$4:$C$465,C466,$D$4:$D$465,D466,$E$4:$E$465,E466,$G$4:$G$465,G466,$H$4:$H$465,H466,$B$4:$B$465,"INGRESO")+SUMIFS($I$4:$I$465,$C$4:$C$465,C466,$D$4:$D$465,D466,$E$4:$E$465,E466,$G$4:$G$465,G466,$H$4:$H$465,H466,$B$4:$B$465,"DE CORTE")-SUMIFS($I$4:$I$465,$C$4:$C$465,C466,$D$4:$D$465,D466,$E$4:$E$465,E466,$G$4:$G$465,G466,$H$4:$H$465,H466,$B$4:$B$465,"SALIDA"))),0)</f>
        <v>0</v>
      </c>
      <c r="M466" s="13">
        <f t="shared" si="2"/>
        <v>0</v>
      </c>
      <c r="N466" s="14"/>
      <c r="O466" s="14"/>
      <c r="P466" s="15"/>
      <c r="Q466" s="14"/>
    </row>
    <row r="467" ht="15.75" customHeight="1">
      <c r="A467" s="7"/>
      <c r="B467" s="8"/>
      <c r="C467" s="8"/>
      <c r="D467" s="8"/>
      <c r="E467" s="8"/>
      <c r="F467" s="14"/>
      <c r="G467" s="8"/>
      <c r="H467" s="8"/>
      <c r="I467" s="9"/>
      <c r="J467" s="12" t="str">
        <f t="array" ref="J467:K467">IFERROR(INDEX(PRECIOS_COMPLEMENTOS!$C$4:$F$17,MATCH(D467&amp;"_"&amp;E467,PRECIOS_COMPLEMENTOS!$H$4:$H$17,0),IF(OR(H467="S",H467="20cm"),1,IF(OR(H467="M",H467="25cm"),2,IF(OR(H467="L",H467="30cm"),3,IF(OR(H467="XL",H467="35cm"),4,0))))),0)</f>
        <v>#REF!</v>
      </c>
      <c r="K467" s="12">
        <f t="shared" si="1"/>
        <v>0</v>
      </c>
      <c r="L467" s="13">
        <f>IFERROR(IF(C467="",0,IF(D467="PRETINA",SUMIFS($I$4:$I$466,$C$4:$C$466,C467,$D$4:$D$466,D467,$E$4:$E$466,E467,$F$4:$F$466,F467,$G$4:$G$466,G467,$H$4:$H$466,H467,$B$4:$B$466,"INGRESO")+SUMIFS($I$4:$I$466,$C$4:$C$466,C467,$D$4:$D$466,D467,$E$4:$E$466,E467,$F$4:$F$466,F467,$G$4:$G$466,G467,$H$4:$H$466,H467,$B$4:$B$466,"DE CORTE")-SUMIFS($I$4:$I$466,$C$4:$C$466,C467,$D$4:$D$466,D467,$E$4:$E$466,E467,$F$4:$F$466,F467,$G$4:$G$466,G467,$H$4:$H$466,H467,$B$4:$B$466,"SALIDA"),SUMIFS($I$4:$I$466,$C$4:$C$466,C467,$D$4:$D$466,D467,$E$4:$E$466,E467,$G$4:$G$466,G467,$H$4:$H$466,H467,$B$4:$B$466,"INGRESO")+SUMIFS($I$4:$I$466,$C$4:$C$466,C467,$D$4:$D$466,D467,$E$4:$E$466,E467,$G$4:$G$466,G467,$H$4:$H$466,H467,$B$4:$B$466,"DE CORTE")-SUMIFS($I$4:$I$466,$C$4:$C$466,C467,$D$4:$D$466,D467,$E$4:$E$466,E467,$G$4:$G$466,G467,$H$4:$H$466,H467,$B$4:$B$466,"SALIDA"))),0)</f>
        <v>0</v>
      </c>
      <c r="M467" s="13">
        <f t="shared" si="2"/>
        <v>0</v>
      </c>
      <c r="N467" s="14"/>
      <c r="O467" s="14"/>
      <c r="P467" s="15"/>
      <c r="Q467" s="14"/>
    </row>
    <row r="468" ht="15.75" customHeight="1">
      <c r="A468" s="7"/>
      <c r="B468" s="8"/>
      <c r="C468" s="8"/>
      <c r="D468" s="8"/>
      <c r="E468" s="8"/>
      <c r="F468" s="14"/>
      <c r="G468" s="8"/>
      <c r="H468" s="8"/>
      <c r="I468" s="9"/>
      <c r="J468" s="12" t="str">
        <f t="array" ref="J468:K468">IFERROR(INDEX(PRECIOS_COMPLEMENTOS!$C$4:$F$17,MATCH(D468&amp;"_"&amp;E468,PRECIOS_COMPLEMENTOS!$H$4:$H$17,0),IF(OR(H468="S",H468="20cm"),1,IF(OR(H468="M",H468="25cm"),2,IF(OR(H468="L",H468="30cm"),3,IF(OR(H468="XL",H468="35cm"),4,0))))),0)</f>
        <v>#REF!</v>
      </c>
      <c r="K468" s="12">
        <f t="shared" si="1"/>
        <v>0</v>
      </c>
      <c r="L468" s="13">
        <f>IFERROR(IF(C468="",0,IF(D468="PRETINA",SUMIFS($I$4:$I$467,$C$4:$C$467,C468,$D$4:$D$467,D468,$E$4:$E$467,E468,$F$4:$F$467,F468,$G$4:$G$467,G468,$H$4:$H$467,H468,$B$4:$B$467,"INGRESO")+SUMIFS($I$4:$I$467,$C$4:$C$467,C468,$D$4:$D$467,D468,$E$4:$E$467,E468,$F$4:$F$467,F468,$G$4:$G$467,G468,$H$4:$H$467,H468,$B$4:$B$467,"DE CORTE")-SUMIFS($I$4:$I$467,$C$4:$C$467,C468,$D$4:$D$467,D468,$E$4:$E$467,E468,$F$4:$F$467,F468,$G$4:$G$467,G468,$H$4:$H$467,H468,$B$4:$B$467,"SALIDA"),SUMIFS($I$4:$I$467,$C$4:$C$467,C468,$D$4:$D$467,D468,$E$4:$E$467,E468,$G$4:$G$467,G468,$H$4:$H$467,H468,$B$4:$B$467,"INGRESO")+SUMIFS($I$4:$I$467,$C$4:$C$467,C468,$D$4:$D$467,D468,$E$4:$E$467,E468,$G$4:$G$467,G468,$H$4:$H$467,H468,$B$4:$B$467,"DE CORTE")-SUMIFS($I$4:$I$467,$C$4:$C$467,C468,$D$4:$D$467,D468,$E$4:$E$467,E468,$G$4:$G$467,G468,$H$4:$H$467,H468,$B$4:$B$467,"SALIDA"))),0)</f>
        <v>0</v>
      </c>
      <c r="M468" s="13">
        <f t="shared" si="2"/>
        <v>0</v>
      </c>
      <c r="N468" s="14"/>
      <c r="O468" s="14"/>
      <c r="P468" s="15"/>
      <c r="Q468" s="14"/>
    </row>
    <row r="469" ht="15.75" customHeight="1">
      <c r="A469" s="7"/>
      <c r="B469" s="8"/>
      <c r="C469" s="8"/>
      <c r="D469" s="8"/>
      <c r="E469" s="8"/>
      <c r="F469" s="14"/>
      <c r="G469" s="8"/>
      <c r="H469" s="8"/>
      <c r="I469" s="9"/>
      <c r="J469" s="12" t="str">
        <f t="array" ref="J469:K469">IFERROR(INDEX(PRECIOS_COMPLEMENTOS!$C$4:$F$17,MATCH(D469&amp;"_"&amp;E469,PRECIOS_COMPLEMENTOS!$H$4:$H$17,0),IF(OR(H469="S",H469="20cm"),1,IF(OR(H469="M",H469="25cm"),2,IF(OR(H469="L",H469="30cm"),3,IF(OR(H469="XL",H469="35cm"),4,0))))),0)</f>
        <v>#REF!</v>
      </c>
      <c r="K469" s="12">
        <f t="shared" si="1"/>
        <v>0</v>
      </c>
      <c r="L469" s="13">
        <f>IFERROR(IF(C469="",0,IF(D469="PRETINA",SUMIFS($I$4:$I$468,$C$4:$C$468,C469,$D$4:$D$468,D469,$E$4:$E$468,E469,$F$4:$F$468,F469,$G$4:$G$468,G469,$H$4:$H$468,H469,$B$4:$B$468,"INGRESO")+SUMIFS($I$4:$I$468,$C$4:$C$468,C469,$D$4:$D$468,D469,$E$4:$E$468,E469,$F$4:$F$468,F469,$G$4:$G$468,G469,$H$4:$H$468,H469,$B$4:$B$468,"DE CORTE")-SUMIFS($I$4:$I$468,$C$4:$C$468,C469,$D$4:$D$468,D469,$E$4:$E$468,E469,$F$4:$F$468,F469,$G$4:$G$468,G469,$H$4:$H$468,H469,$B$4:$B$468,"SALIDA"),SUMIFS($I$4:$I$468,$C$4:$C$468,C469,$D$4:$D$468,D469,$E$4:$E$468,E469,$G$4:$G$468,G469,$H$4:$H$468,H469,$B$4:$B$468,"INGRESO")+SUMIFS($I$4:$I$468,$C$4:$C$468,C469,$D$4:$D$468,D469,$E$4:$E$468,E469,$G$4:$G$468,G469,$H$4:$H$468,H469,$B$4:$B$468,"DE CORTE")-SUMIFS($I$4:$I$468,$C$4:$C$468,C469,$D$4:$D$468,D469,$E$4:$E$468,E469,$G$4:$G$468,G469,$H$4:$H$468,H469,$B$4:$B$468,"SALIDA"))),0)</f>
        <v>0</v>
      </c>
      <c r="M469" s="13">
        <f t="shared" si="2"/>
        <v>0</v>
      </c>
      <c r="N469" s="14"/>
      <c r="O469" s="14"/>
      <c r="P469" s="15"/>
      <c r="Q469" s="14"/>
    </row>
    <row r="470" ht="15.75" customHeight="1">
      <c r="A470" s="7"/>
      <c r="B470" s="8"/>
      <c r="C470" s="8"/>
      <c r="D470" s="8"/>
      <c r="E470" s="8"/>
      <c r="F470" s="14"/>
      <c r="G470" s="8"/>
      <c r="H470" s="8"/>
      <c r="I470" s="9"/>
      <c r="J470" s="12" t="str">
        <f t="array" ref="J470:K470">IFERROR(INDEX(PRECIOS_COMPLEMENTOS!$C$4:$F$17,MATCH(D470&amp;"_"&amp;E470,PRECIOS_COMPLEMENTOS!$H$4:$H$17,0),IF(OR(H470="S",H470="20cm"),1,IF(OR(H470="M",H470="25cm"),2,IF(OR(H470="L",H470="30cm"),3,IF(OR(H470="XL",H470="35cm"),4,0))))),0)</f>
        <v>#REF!</v>
      </c>
      <c r="K470" s="12">
        <f t="shared" si="1"/>
        <v>0</v>
      </c>
      <c r="L470" s="13">
        <f>IFERROR(IF(C470="",0,IF(D470="PRETINA",SUMIFS($I$4:$I$469,$C$4:$C$469,C470,$D$4:$D$469,D470,$E$4:$E$469,E470,$F$4:$F$469,F470,$G$4:$G$469,G470,$H$4:$H$469,H470,$B$4:$B$469,"INGRESO")+SUMIFS($I$4:$I$469,$C$4:$C$469,C470,$D$4:$D$469,D470,$E$4:$E$469,E470,$F$4:$F$469,F470,$G$4:$G$469,G470,$H$4:$H$469,H470,$B$4:$B$469,"DE CORTE")-SUMIFS($I$4:$I$469,$C$4:$C$469,C470,$D$4:$D$469,D470,$E$4:$E$469,E470,$F$4:$F$469,F470,$G$4:$G$469,G470,$H$4:$H$469,H470,$B$4:$B$469,"SALIDA"),SUMIFS($I$4:$I$469,$C$4:$C$469,C470,$D$4:$D$469,D470,$E$4:$E$469,E470,$G$4:$G$469,G470,$H$4:$H$469,H470,$B$4:$B$469,"INGRESO")+SUMIFS($I$4:$I$469,$C$4:$C$469,C470,$D$4:$D$469,D470,$E$4:$E$469,E470,$G$4:$G$469,G470,$H$4:$H$469,H470,$B$4:$B$469,"DE CORTE")-SUMIFS($I$4:$I$469,$C$4:$C$469,C470,$D$4:$D$469,D470,$E$4:$E$469,E470,$G$4:$G$469,G470,$H$4:$H$469,H470,$B$4:$B$469,"SALIDA"))),0)</f>
        <v>0</v>
      </c>
      <c r="M470" s="13">
        <f t="shared" si="2"/>
        <v>0</v>
      </c>
      <c r="N470" s="14"/>
      <c r="O470" s="14"/>
      <c r="P470" s="15"/>
      <c r="Q470" s="14"/>
    </row>
    <row r="471" ht="15.75" customHeight="1">
      <c r="A471" s="7"/>
      <c r="B471" s="8"/>
      <c r="C471" s="8"/>
      <c r="D471" s="8"/>
      <c r="E471" s="8"/>
      <c r="F471" s="14"/>
      <c r="G471" s="8"/>
      <c r="H471" s="8"/>
      <c r="I471" s="9"/>
      <c r="J471" s="12" t="str">
        <f t="array" ref="J471:K471">IFERROR(INDEX(PRECIOS_COMPLEMENTOS!$C$4:$F$17,MATCH(D471&amp;"_"&amp;E471,PRECIOS_COMPLEMENTOS!$H$4:$H$17,0),IF(OR(H471="S",H471="20cm"),1,IF(OR(H471="M",H471="25cm"),2,IF(OR(H471="L",H471="30cm"),3,IF(OR(H471="XL",H471="35cm"),4,0))))),0)</f>
        <v>#REF!</v>
      </c>
      <c r="K471" s="12">
        <f t="shared" si="1"/>
        <v>0</v>
      </c>
      <c r="L471" s="13">
        <f>IFERROR(IF(C471="",0,IF(D471="PRETINA",SUMIFS($I$4:$I$470,$C$4:$C$470,C471,$D$4:$D$470,D471,$E$4:$E$470,E471,$F$4:$F$470,F471,$G$4:$G$470,G471,$H$4:$H$470,H471,$B$4:$B$470,"INGRESO")+SUMIFS($I$4:$I$470,$C$4:$C$470,C471,$D$4:$D$470,D471,$E$4:$E$470,E471,$F$4:$F$470,F471,$G$4:$G$470,G471,$H$4:$H$470,H471,$B$4:$B$470,"DE CORTE")-SUMIFS($I$4:$I$470,$C$4:$C$470,C471,$D$4:$D$470,D471,$E$4:$E$470,E471,$F$4:$F$470,F471,$G$4:$G$470,G471,$H$4:$H$470,H471,$B$4:$B$470,"SALIDA"),SUMIFS($I$4:$I$470,$C$4:$C$470,C471,$D$4:$D$470,D471,$E$4:$E$470,E471,$G$4:$G$470,G471,$H$4:$H$470,H471,$B$4:$B$470,"INGRESO")+SUMIFS($I$4:$I$470,$C$4:$C$470,C471,$D$4:$D$470,D471,$E$4:$E$470,E471,$G$4:$G$470,G471,$H$4:$H$470,H471,$B$4:$B$470,"DE CORTE")-SUMIFS($I$4:$I$470,$C$4:$C$470,C471,$D$4:$D$470,D471,$E$4:$E$470,E471,$G$4:$G$470,G471,$H$4:$H$470,H471,$B$4:$B$470,"SALIDA"))),0)</f>
        <v>0</v>
      </c>
      <c r="M471" s="13">
        <f t="shared" si="2"/>
        <v>0</v>
      </c>
      <c r="N471" s="14"/>
      <c r="O471" s="14"/>
      <c r="P471" s="15"/>
      <c r="Q471" s="14"/>
    </row>
    <row r="472" ht="15.75" customHeight="1">
      <c r="A472" s="7"/>
      <c r="B472" s="8"/>
      <c r="C472" s="8"/>
      <c r="D472" s="8"/>
      <c r="E472" s="8"/>
      <c r="F472" s="14"/>
      <c r="G472" s="8"/>
      <c r="H472" s="8"/>
      <c r="I472" s="9"/>
      <c r="J472" s="12" t="str">
        <f t="array" ref="J472:K472">IFERROR(INDEX(PRECIOS_COMPLEMENTOS!$C$4:$F$17,MATCH(D472&amp;"_"&amp;E472,PRECIOS_COMPLEMENTOS!$H$4:$H$17,0),IF(OR(H472="S",H472="20cm"),1,IF(OR(H472="M",H472="25cm"),2,IF(OR(H472="L",H472="30cm"),3,IF(OR(H472="XL",H472="35cm"),4,0))))),0)</f>
        <v>#REF!</v>
      </c>
      <c r="K472" s="12">
        <f t="shared" si="1"/>
        <v>0</v>
      </c>
      <c r="L472" s="13">
        <f>IFERROR(IF(C472="",0,IF(D472="PRETINA",SUMIFS($I$4:$I$471,$C$4:$C$471,C472,$D$4:$D$471,D472,$E$4:$E$471,E472,$F$4:$F$471,F472,$G$4:$G$471,G472,$H$4:$H$471,H472,$B$4:$B$471,"INGRESO")+SUMIFS($I$4:$I$471,$C$4:$C$471,C472,$D$4:$D$471,D472,$E$4:$E$471,E472,$F$4:$F$471,F472,$G$4:$G$471,G472,$H$4:$H$471,H472,$B$4:$B$471,"DE CORTE")-SUMIFS($I$4:$I$471,$C$4:$C$471,C472,$D$4:$D$471,D472,$E$4:$E$471,E472,$F$4:$F$471,F472,$G$4:$G$471,G472,$H$4:$H$471,H472,$B$4:$B$471,"SALIDA"),SUMIFS($I$4:$I$471,$C$4:$C$471,C472,$D$4:$D$471,D472,$E$4:$E$471,E472,$G$4:$G$471,G472,$H$4:$H$471,H472,$B$4:$B$471,"INGRESO")+SUMIFS($I$4:$I$471,$C$4:$C$471,C472,$D$4:$D$471,D472,$E$4:$E$471,E472,$G$4:$G$471,G472,$H$4:$H$471,H472,$B$4:$B$471,"DE CORTE")-SUMIFS($I$4:$I$471,$C$4:$C$471,C472,$D$4:$D$471,D472,$E$4:$E$471,E472,$G$4:$G$471,G472,$H$4:$H$471,H472,$B$4:$B$471,"SALIDA"))),0)</f>
        <v>0</v>
      </c>
      <c r="M472" s="13">
        <f t="shared" si="2"/>
        <v>0</v>
      </c>
      <c r="N472" s="14"/>
      <c r="O472" s="14"/>
      <c r="P472" s="15"/>
      <c r="Q472" s="14"/>
    </row>
    <row r="473" ht="15.75" customHeight="1">
      <c r="A473" s="7"/>
      <c r="B473" s="8"/>
      <c r="C473" s="8"/>
      <c r="D473" s="8"/>
      <c r="E473" s="8"/>
      <c r="F473" s="14"/>
      <c r="G473" s="8"/>
      <c r="H473" s="8"/>
      <c r="I473" s="9"/>
      <c r="J473" s="12" t="str">
        <f t="array" ref="J473:K473">IFERROR(INDEX(PRECIOS_COMPLEMENTOS!$C$4:$F$17,MATCH(D473&amp;"_"&amp;E473,PRECIOS_COMPLEMENTOS!$H$4:$H$17,0),IF(OR(H473="S",H473="20cm"),1,IF(OR(H473="M",H473="25cm"),2,IF(OR(H473="L",H473="30cm"),3,IF(OR(H473="XL",H473="35cm"),4,0))))),0)</f>
        <v>#REF!</v>
      </c>
      <c r="K473" s="12">
        <f t="shared" si="1"/>
        <v>0</v>
      </c>
      <c r="L473" s="13">
        <f>IFERROR(IF(C473="",0,IF(D473="PRETINA",SUMIFS($I$4:$I$472,$C$4:$C$472,C473,$D$4:$D$472,D473,$E$4:$E$472,E473,$F$4:$F$472,F473,$G$4:$G$472,G473,$H$4:$H$472,H473,$B$4:$B$472,"INGRESO")+SUMIFS($I$4:$I$472,$C$4:$C$472,C473,$D$4:$D$472,D473,$E$4:$E$472,E473,$F$4:$F$472,F473,$G$4:$G$472,G473,$H$4:$H$472,H473,$B$4:$B$472,"DE CORTE")-SUMIFS($I$4:$I$472,$C$4:$C$472,C473,$D$4:$D$472,D473,$E$4:$E$472,E473,$F$4:$F$472,F473,$G$4:$G$472,G473,$H$4:$H$472,H473,$B$4:$B$472,"SALIDA"),SUMIFS($I$4:$I$472,$C$4:$C$472,C473,$D$4:$D$472,D473,$E$4:$E$472,E473,$G$4:$G$472,G473,$H$4:$H$472,H473,$B$4:$B$472,"INGRESO")+SUMIFS($I$4:$I$472,$C$4:$C$472,C473,$D$4:$D$472,D473,$E$4:$E$472,E473,$G$4:$G$472,G473,$H$4:$H$472,H473,$B$4:$B$472,"DE CORTE")-SUMIFS($I$4:$I$472,$C$4:$C$472,C473,$D$4:$D$472,D473,$E$4:$E$472,E473,$G$4:$G$472,G473,$H$4:$H$472,H473,$B$4:$B$472,"SALIDA"))),0)</f>
        <v>0</v>
      </c>
      <c r="M473" s="13">
        <f t="shared" si="2"/>
        <v>0</v>
      </c>
      <c r="N473" s="14"/>
      <c r="O473" s="14"/>
      <c r="P473" s="15"/>
      <c r="Q473" s="14"/>
    </row>
    <row r="474" ht="15.75" customHeight="1">
      <c r="A474" s="7"/>
      <c r="B474" s="8"/>
      <c r="C474" s="8"/>
      <c r="D474" s="8"/>
      <c r="E474" s="8"/>
      <c r="F474" s="14"/>
      <c r="G474" s="8"/>
      <c r="H474" s="8"/>
      <c r="I474" s="9"/>
      <c r="J474" s="12" t="str">
        <f t="array" ref="J474:K474">IFERROR(INDEX(PRECIOS_COMPLEMENTOS!$C$4:$F$17,MATCH(D474&amp;"_"&amp;E474,PRECIOS_COMPLEMENTOS!$H$4:$H$17,0),IF(OR(H474="S",H474="20cm"),1,IF(OR(H474="M",H474="25cm"),2,IF(OR(H474="L",H474="30cm"),3,IF(OR(H474="XL",H474="35cm"),4,0))))),0)</f>
        <v>#REF!</v>
      </c>
      <c r="K474" s="12">
        <f t="shared" si="1"/>
        <v>0</v>
      </c>
      <c r="L474" s="13">
        <f>IFERROR(IF(C474="",0,IF(D474="PRETINA",SUMIFS($I$4:$I$473,$C$4:$C$473,C474,$D$4:$D$473,D474,$E$4:$E$473,E474,$F$4:$F$473,F474,$G$4:$G$473,G474,$H$4:$H$473,H474,$B$4:$B$473,"INGRESO")+SUMIFS($I$4:$I$473,$C$4:$C$473,C474,$D$4:$D$473,D474,$E$4:$E$473,E474,$F$4:$F$473,F474,$G$4:$G$473,G474,$H$4:$H$473,H474,$B$4:$B$473,"DE CORTE")-SUMIFS($I$4:$I$473,$C$4:$C$473,C474,$D$4:$D$473,D474,$E$4:$E$473,E474,$F$4:$F$473,F474,$G$4:$G$473,G474,$H$4:$H$473,H474,$B$4:$B$473,"SALIDA"),SUMIFS($I$4:$I$473,$C$4:$C$473,C474,$D$4:$D$473,D474,$E$4:$E$473,E474,$G$4:$G$473,G474,$H$4:$H$473,H474,$B$4:$B$473,"INGRESO")+SUMIFS($I$4:$I$473,$C$4:$C$473,C474,$D$4:$D$473,D474,$E$4:$E$473,E474,$G$4:$G$473,G474,$H$4:$H$473,H474,$B$4:$B$473,"DE CORTE")-SUMIFS($I$4:$I$473,$C$4:$C$473,C474,$D$4:$D$473,D474,$E$4:$E$473,E474,$G$4:$G$473,G474,$H$4:$H$473,H474,$B$4:$B$473,"SALIDA"))),0)</f>
        <v>0</v>
      </c>
      <c r="M474" s="13">
        <f t="shared" si="2"/>
        <v>0</v>
      </c>
      <c r="N474" s="14"/>
      <c r="O474" s="14"/>
      <c r="P474" s="15"/>
      <c r="Q474" s="14"/>
    </row>
    <row r="475" ht="15.75" customHeight="1">
      <c r="A475" s="7"/>
      <c r="B475" s="8"/>
      <c r="C475" s="8"/>
      <c r="D475" s="8"/>
      <c r="E475" s="8"/>
      <c r="F475" s="14"/>
      <c r="G475" s="8"/>
      <c r="H475" s="8"/>
      <c r="I475" s="9"/>
      <c r="J475" s="12" t="str">
        <f t="array" ref="J475:K475">IFERROR(INDEX(PRECIOS_COMPLEMENTOS!$C$4:$F$17,MATCH(D475&amp;"_"&amp;E475,PRECIOS_COMPLEMENTOS!$H$4:$H$17,0),IF(OR(H475="S",H475="20cm"),1,IF(OR(H475="M",H475="25cm"),2,IF(OR(H475="L",H475="30cm"),3,IF(OR(H475="XL",H475="35cm"),4,0))))),0)</f>
        <v>#REF!</v>
      </c>
      <c r="K475" s="12">
        <f t="shared" si="1"/>
        <v>0</v>
      </c>
      <c r="L475" s="13">
        <f>IFERROR(IF(C475="",0,IF(D475="PRETINA",SUMIFS($I$4:$I$474,$C$4:$C$474,C475,$D$4:$D$474,D475,$E$4:$E$474,E475,$F$4:$F$474,F475,$G$4:$G$474,G475,$H$4:$H$474,H475,$B$4:$B$474,"INGRESO")+SUMIFS($I$4:$I$474,$C$4:$C$474,C475,$D$4:$D$474,D475,$E$4:$E$474,E475,$F$4:$F$474,F475,$G$4:$G$474,G475,$H$4:$H$474,H475,$B$4:$B$474,"DE CORTE")-SUMIFS($I$4:$I$474,$C$4:$C$474,C475,$D$4:$D$474,D475,$E$4:$E$474,E475,$F$4:$F$474,F475,$G$4:$G$474,G475,$H$4:$H$474,H475,$B$4:$B$474,"SALIDA"),SUMIFS($I$4:$I$474,$C$4:$C$474,C475,$D$4:$D$474,D475,$E$4:$E$474,E475,$G$4:$G$474,G475,$H$4:$H$474,H475,$B$4:$B$474,"INGRESO")+SUMIFS($I$4:$I$474,$C$4:$C$474,C475,$D$4:$D$474,D475,$E$4:$E$474,E475,$G$4:$G$474,G475,$H$4:$H$474,H475,$B$4:$B$474,"DE CORTE")-SUMIFS($I$4:$I$474,$C$4:$C$474,C475,$D$4:$D$474,D475,$E$4:$E$474,E475,$G$4:$G$474,G475,$H$4:$H$474,H475,$B$4:$B$474,"SALIDA"))),0)</f>
        <v>0</v>
      </c>
      <c r="M475" s="13">
        <f t="shared" si="2"/>
        <v>0</v>
      </c>
      <c r="N475" s="14"/>
      <c r="O475" s="14"/>
      <c r="P475" s="15"/>
      <c r="Q475" s="14"/>
    </row>
    <row r="476" ht="15.75" customHeight="1">
      <c r="A476" s="7"/>
      <c r="B476" s="8"/>
      <c r="C476" s="8"/>
      <c r="D476" s="8"/>
      <c r="E476" s="8"/>
      <c r="F476" s="14"/>
      <c r="G476" s="8"/>
      <c r="H476" s="8"/>
      <c r="I476" s="9"/>
      <c r="J476" s="12" t="str">
        <f t="array" ref="J476:K476">IFERROR(INDEX(PRECIOS_COMPLEMENTOS!$C$4:$F$17,MATCH(D476&amp;"_"&amp;E476,PRECIOS_COMPLEMENTOS!$H$4:$H$17,0),IF(OR(H476="S",H476="20cm"),1,IF(OR(H476="M",H476="25cm"),2,IF(OR(H476="L",H476="30cm"),3,IF(OR(H476="XL",H476="35cm"),4,0))))),0)</f>
        <v>#REF!</v>
      </c>
      <c r="K476" s="12">
        <f t="shared" si="1"/>
        <v>0</v>
      </c>
      <c r="L476" s="13">
        <f>IFERROR(IF(C476="",0,IF(D476="PRETINA",SUMIFS($I$4:$I$475,$C$4:$C$475,C476,$D$4:$D$475,D476,$E$4:$E$475,E476,$F$4:$F$475,F476,$G$4:$G$475,G476,$H$4:$H$475,H476,$B$4:$B$475,"INGRESO")+SUMIFS($I$4:$I$475,$C$4:$C$475,C476,$D$4:$D$475,D476,$E$4:$E$475,E476,$F$4:$F$475,F476,$G$4:$G$475,G476,$H$4:$H$475,H476,$B$4:$B$475,"DE CORTE")-SUMIFS($I$4:$I$475,$C$4:$C$475,C476,$D$4:$D$475,D476,$E$4:$E$475,E476,$F$4:$F$475,F476,$G$4:$G$475,G476,$H$4:$H$475,H476,$B$4:$B$475,"SALIDA"),SUMIFS($I$4:$I$475,$C$4:$C$475,C476,$D$4:$D$475,D476,$E$4:$E$475,E476,$G$4:$G$475,G476,$H$4:$H$475,H476,$B$4:$B$475,"INGRESO")+SUMIFS($I$4:$I$475,$C$4:$C$475,C476,$D$4:$D$475,D476,$E$4:$E$475,E476,$G$4:$G$475,G476,$H$4:$H$475,H476,$B$4:$B$475,"DE CORTE")-SUMIFS($I$4:$I$475,$C$4:$C$475,C476,$D$4:$D$475,D476,$E$4:$E$475,E476,$G$4:$G$475,G476,$H$4:$H$475,H476,$B$4:$B$475,"SALIDA"))),0)</f>
        <v>0</v>
      </c>
      <c r="M476" s="13">
        <f t="shared" si="2"/>
        <v>0</v>
      </c>
      <c r="N476" s="14"/>
      <c r="O476" s="14"/>
      <c r="P476" s="15"/>
      <c r="Q476" s="14"/>
    </row>
    <row r="477" ht="15.75" customHeight="1">
      <c r="A477" s="7"/>
      <c r="B477" s="8"/>
      <c r="C477" s="8"/>
      <c r="D477" s="8"/>
      <c r="E477" s="8"/>
      <c r="F477" s="14"/>
      <c r="G477" s="8"/>
      <c r="H477" s="8"/>
      <c r="I477" s="9"/>
      <c r="J477" s="12" t="str">
        <f t="array" ref="J477:K477">IFERROR(INDEX(PRECIOS_COMPLEMENTOS!$C$4:$F$17,MATCH(D477&amp;"_"&amp;E477,PRECIOS_COMPLEMENTOS!$H$4:$H$17,0),IF(OR(H477="S",H477="20cm"),1,IF(OR(H477="M",H477="25cm"),2,IF(OR(H477="L",H477="30cm"),3,IF(OR(H477="XL",H477="35cm"),4,0))))),0)</f>
        <v>#REF!</v>
      </c>
      <c r="K477" s="12">
        <f t="shared" si="1"/>
        <v>0</v>
      </c>
      <c r="L477" s="13">
        <f>IFERROR(IF(C477="",0,IF(D477="PRETINA",SUMIFS($I$4:$I$476,$C$4:$C$476,C477,$D$4:$D$476,D477,$E$4:$E$476,E477,$F$4:$F$476,F477,$G$4:$G$476,G477,$H$4:$H$476,H477,$B$4:$B$476,"INGRESO")+SUMIFS($I$4:$I$476,$C$4:$C$476,C477,$D$4:$D$476,D477,$E$4:$E$476,E477,$F$4:$F$476,F477,$G$4:$G$476,G477,$H$4:$H$476,H477,$B$4:$B$476,"DE CORTE")-SUMIFS($I$4:$I$476,$C$4:$C$476,C477,$D$4:$D$476,D477,$E$4:$E$476,E477,$F$4:$F$476,F477,$G$4:$G$476,G477,$H$4:$H$476,H477,$B$4:$B$476,"SALIDA"),SUMIFS($I$4:$I$476,$C$4:$C$476,C477,$D$4:$D$476,D477,$E$4:$E$476,E477,$G$4:$G$476,G477,$H$4:$H$476,H477,$B$4:$B$476,"INGRESO")+SUMIFS($I$4:$I$476,$C$4:$C$476,C477,$D$4:$D$476,D477,$E$4:$E$476,E477,$G$4:$G$476,G477,$H$4:$H$476,H477,$B$4:$B$476,"DE CORTE")-SUMIFS($I$4:$I$476,$C$4:$C$476,C477,$D$4:$D$476,D477,$E$4:$E$476,E477,$G$4:$G$476,G477,$H$4:$H$476,H477,$B$4:$B$476,"SALIDA"))),0)</f>
        <v>0</v>
      </c>
      <c r="M477" s="13">
        <f t="shared" si="2"/>
        <v>0</v>
      </c>
      <c r="N477" s="14"/>
      <c r="O477" s="14"/>
      <c r="P477" s="15"/>
      <c r="Q477" s="14"/>
    </row>
    <row r="478" ht="15.75" customHeight="1">
      <c r="A478" s="7"/>
      <c r="B478" s="8"/>
      <c r="C478" s="8"/>
      <c r="D478" s="8"/>
      <c r="E478" s="8"/>
      <c r="F478" s="14"/>
      <c r="G478" s="8"/>
      <c r="H478" s="8"/>
      <c r="I478" s="9"/>
      <c r="J478" s="12" t="str">
        <f t="array" ref="J478:K478">IFERROR(INDEX(PRECIOS_COMPLEMENTOS!$C$4:$F$17,MATCH(D478&amp;"_"&amp;E478,PRECIOS_COMPLEMENTOS!$H$4:$H$17,0),IF(OR(H478="S",H478="20cm"),1,IF(OR(H478="M",H478="25cm"),2,IF(OR(H478="L",H478="30cm"),3,IF(OR(H478="XL",H478="35cm"),4,0))))),0)</f>
        <v>#REF!</v>
      </c>
      <c r="K478" s="12">
        <f t="shared" si="1"/>
        <v>0</v>
      </c>
      <c r="L478" s="13">
        <f>IFERROR(IF(C478="",0,IF(D478="PRETINA",SUMIFS($I$4:$I$477,$C$4:$C$477,C478,$D$4:$D$477,D478,$E$4:$E$477,E478,$F$4:$F$477,F478,$G$4:$G$477,G478,$H$4:$H$477,H478,$B$4:$B$477,"INGRESO")+SUMIFS($I$4:$I$477,$C$4:$C$477,C478,$D$4:$D$477,D478,$E$4:$E$477,E478,$F$4:$F$477,F478,$G$4:$G$477,G478,$H$4:$H$477,H478,$B$4:$B$477,"DE CORTE")-SUMIFS($I$4:$I$477,$C$4:$C$477,C478,$D$4:$D$477,D478,$E$4:$E$477,E478,$F$4:$F$477,F478,$G$4:$G$477,G478,$H$4:$H$477,H478,$B$4:$B$477,"SALIDA"),SUMIFS($I$4:$I$477,$C$4:$C$477,C478,$D$4:$D$477,D478,$E$4:$E$477,E478,$G$4:$G$477,G478,$H$4:$H$477,H478,$B$4:$B$477,"INGRESO")+SUMIFS($I$4:$I$477,$C$4:$C$477,C478,$D$4:$D$477,D478,$E$4:$E$477,E478,$G$4:$G$477,G478,$H$4:$H$477,H478,$B$4:$B$477,"DE CORTE")-SUMIFS($I$4:$I$477,$C$4:$C$477,C478,$D$4:$D$477,D478,$E$4:$E$477,E478,$G$4:$G$477,G478,$H$4:$H$477,H478,$B$4:$B$477,"SALIDA"))),0)</f>
        <v>0</v>
      </c>
      <c r="M478" s="13">
        <f t="shared" si="2"/>
        <v>0</v>
      </c>
      <c r="N478" s="14"/>
      <c r="O478" s="14"/>
      <c r="P478" s="15"/>
      <c r="Q478" s="14"/>
    </row>
    <row r="479" ht="15.75" customHeight="1">
      <c r="A479" s="7"/>
      <c r="B479" s="8"/>
      <c r="C479" s="8"/>
      <c r="D479" s="8"/>
      <c r="E479" s="8"/>
      <c r="F479" s="14"/>
      <c r="G479" s="8"/>
      <c r="H479" s="8"/>
      <c r="I479" s="9"/>
      <c r="J479" s="12" t="str">
        <f t="array" ref="J479:K479">IFERROR(INDEX(PRECIOS_COMPLEMENTOS!$C$4:$F$17,MATCH(D479&amp;"_"&amp;E479,PRECIOS_COMPLEMENTOS!$H$4:$H$17,0),IF(OR(H479="S",H479="20cm"),1,IF(OR(H479="M",H479="25cm"),2,IF(OR(H479="L",H479="30cm"),3,IF(OR(H479="XL",H479="35cm"),4,0))))),0)</f>
        <v>#REF!</v>
      </c>
      <c r="K479" s="12">
        <f t="shared" si="1"/>
        <v>0</v>
      </c>
      <c r="L479" s="13">
        <f>IFERROR(IF(C479="",0,IF(D479="PRETINA",SUMIFS($I$4:$I$478,$C$4:$C$478,C479,$D$4:$D$478,D479,$E$4:$E$478,E479,$F$4:$F$478,F479,$G$4:$G$478,G479,$H$4:$H$478,H479,$B$4:$B$478,"INGRESO")+SUMIFS($I$4:$I$478,$C$4:$C$478,C479,$D$4:$D$478,D479,$E$4:$E$478,E479,$F$4:$F$478,F479,$G$4:$G$478,G479,$H$4:$H$478,H479,$B$4:$B$478,"DE CORTE")-SUMIFS($I$4:$I$478,$C$4:$C$478,C479,$D$4:$D$478,D479,$E$4:$E$478,E479,$F$4:$F$478,F479,$G$4:$G$478,G479,$H$4:$H$478,H479,$B$4:$B$478,"SALIDA"),SUMIFS($I$4:$I$478,$C$4:$C$478,C479,$D$4:$D$478,D479,$E$4:$E$478,E479,$G$4:$G$478,G479,$H$4:$H$478,H479,$B$4:$B$478,"INGRESO")+SUMIFS($I$4:$I$478,$C$4:$C$478,C479,$D$4:$D$478,D479,$E$4:$E$478,E479,$G$4:$G$478,G479,$H$4:$H$478,H479,$B$4:$B$478,"DE CORTE")-SUMIFS($I$4:$I$478,$C$4:$C$478,C479,$D$4:$D$478,D479,$E$4:$E$478,E479,$G$4:$G$478,G479,$H$4:$H$478,H479,$B$4:$B$478,"SALIDA"))),0)</f>
        <v>0</v>
      </c>
      <c r="M479" s="13">
        <f t="shared" si="2"/>
        <v>0</v>
      </c>
      <c r="N479" s="14"/>
      <c r="O479" s="14"/>
      <c r="P479" s="15"/>
      <c r="Q479" s="14"/>
    </row>
    <row r="480" ht="15.75" customHeight="1">
      <c r="A480" s="7"/>
      <c r="B480" s="8"/>
      <c r="C480" s="8"/>
      <c r="D480" s="8"/>
      <c r="E480" s="8"/>
      <c r="F480" s="14"/>
      <c r="G480" s="8"/>
      <c r="H480" s="8"/>
      <c r="I480" s="9"/>
      <c r="J480" s="12" t="str">
        <f t="array" ref="J480:K480">IFERROR(INDEX(PRECIOS_COMPLEMENTOS!$C$4:$F$17,MATCH(D480&amp;"_"&amp;E480,PRECIOS_COMPLEMENTOS!$H$4:$H$17,0),IF(OR(H480="S",H480="20cm"),1,IF(OR(H480="M",H480="25cm"),2,IF(OR(H480="L",H480="30cm"),3,IF(OR(H480="XL",H480="35cm"),4,0))))),0)</f>
        <v>#REF!</v>
      </c>
      <c r="K480" s="12">
        <f t="shared" si="1"/>
        <v>0</v>
      </c>
      <c r="L480" s="13">
        <f>IFERROR(IF(C480="",0,IF(D480="PRETINA",SUMIFS($I$4:$I$479,$C$4:$C$479,C480,$D$4:$D$479,D480,$E$4:$E$479,E480,$F$4:$F$479,F480,$G$4:$G$479,G480,$H$4:$H$479,H480,$B$4:$B$479,"INGRESO")+SUMIFS($I$4:$I$479,$C$4:$C$479,C480,$D$4:$D$479,D480,$E$4:$E$479,E480,$F$4:$F$479,F480,$G$4:$G$479,G480,$H$4:$H$479,H480,$B$4:$B$479,"DE CORTE")-SUMIFS($I$4:$I$479,$C$4:$C$479,C480,$D$4:$D$479,D480,$E$4:$E$479,E480,$F$4:$F$479,F480,$G$4:$G$479,G480,$H$4:$H$479,H480,$B$4:$B$479,"SALIDA"),SUMIFS($I$4:$I$479,$C$4:$C$479,C480,$D$4:$D$479,D480,$E$4:$E$479,E480,$G$4:$G$479,G480,$H$4:$H$479,H480,$B$4:$B$479,"INGRESO")+SUMIFS($I$4:$I$479,$C$4:$C$479,C480,$D$4:$D$479,D480,$E$4:$E$479,E480,$G$4:$G$479,G480,$H$4:$H$479,H480,$B$4:$B$479,"DE CORTE")-SUMIFS($I$4:$I$479,$C$4:$C$479,C480,$D$4:$D$479,D480,$E$4:$E$479,E480,$G$4:$G$479,G480,$H$4:$H$479,H480,$B$4:$B$479,"SALIDA"))),0)</f>
        <v>0</v>
      </c>
      <c r="M480" s="13">
        <f t="shared" si="2"/>
        <v>0</v>
      </c>
      <c r="N480" s="14"/>
      <c r="O480" s="14"/>
      <c r="P480" s="15"/>
      <c r="Q480" s="14"/>
    </row>
    <row r="481" ht="15.75" customHeight="1">
      <c r="A481" s="7"/>
      <c r="B481" s="8"/>
      <c r="C481" s="8"/>
      <c r="D481" s="8"/>
      <c r="E481" s="8"/>
      <c r="F481" s="14"/>
      <c r="G481" s="8"/>
      <c r="H481" s="8"/>
      <c r="I481" s="9"/>
      <c r="J481" s="12" t="str">
        <f t="array" ref="J481:K481">IFERROR(INDEX(PRECIOS_COMPLEMENTOS!$C$4:$F$17,MATCH(D481&amp;"_"&amp;E481,PRECIOS_COMPLEMENTOS!$H$4:$H$17,0),IF(OR(H481="S",H481="20cm"),1,IF(OR(H481="M",H481="25cm"),2,IF(OR(H481="L",H481="30cm"),3,IF(OR(H481="XL",H481="35cm"),4,0))))),0)</f>
        <v>#REF!</v>
      </c>
      <c r="K481" s="12">
        <f t="shared" si="1"/>
        <v>0</v>
      </c>
      <c r="L481" s="13">
        <f>IFERROR(IF(C481="",0,IF(D481="PRETINA",SUMIFS($I$4:$I$480,$C$4:$C$480,C481,$D$4:$D$480,D481,$E$4:$E$480,E481,$F$4:$F$480,F481,$G$4:$G$480,G481,$H$4:$H$480,H481,$B$4:$B$480,"INGRESO")+SUMIFS($I$4:$I$480,$C$4:$C$480,C481,$D$4:$D$480,D481,$E$4:$E$480,E481,$F$4:$F$480,F481,$G$4:$G$480,G481,$H$4:$H$480,H481,$B$4:$B$480,"DE CORTE")-SUMIFS($I$4:$I$480,$C$4:$C$480,C481,$D$4:$D$480,D481,$E$4:$E$480,E481,$F$4:$F$480,F481,$G$4:$G$480,G481,$H$4:$H$480,H481,$B$4:$B$480,"SALIDA"),SUMIFS($I$4:$I$480,$C$4:$C$480,C481,$D$4:$D$480,D481,$E$4:$E$480,E481,$G$4:$G$480,G481,$H$4:$H$480,H481,$B$4:$B$480,"INGRESO")+SUMIFS($I$4:$I$480,$C$4:$C$480,C481,$D$4:$D$480,D481,$E$4:$E$480,E481,$G$4:$G$480,G481,$H$4:$H$480,H481,$B$4:$B$480,"DE CORTE")-SUMIFS($I$4:$I$480,$C$4:$C$480,C481,$D$4:$D$480,D481,$E$4:$E$480,E481,$G$4:$G$480,G481,$H$4:$H$480,H481,$B$4:$B$480,"SALIDA"))),0)</f>
        <v>0</v>
      </c>
      <c r="M481" s="13">
        <f t="shared" si="2"/>
        <v>0</v>
      </c>
      <c r="N481" s="14"/>
      <c r="O481" s="14"/>
      <c r="P481" s="15"/>
      <c r="Q481" s="14"/>
    </row>
    <row r="482" ht="15.75" customHeight="1">
      <c r="A482" s="7"/>
      <c r="B482" s="8"/>
      <c r="C482" s="8"/>
      <c r="D482" s="8"/>
      <c r="E482" s="8"/>
      <c r="F482" s="14"/>
      <c r="G482" s="8"/>
      <c r="H482" s="8"/>
      <c r="I482" s="9"/>
      <c r="J482" s="12" t="str">
        <f t="array" ref="J482:K482">IFERROR(INDEX(PRECIOS_COMPLEMENTOS!$C$4:$F$17,MATCH(D482&amp;"_"&amp;E482,PRECIOS_COMPLEMENTOS!$H$4:$H$17,0),IF(OR(H482="S",H482="20cm"),1,IF(OR(H482="M",H482="25cm"),2,IF(OR(H482="L",H482="30cm"),3,IF(OR(H482="XL",H482="35cm"),4,0))))),0)</f>
        <v>#REF!</v>
      </c>
      <c r="K482" s="12">
        <f t="shared" si="1"/>
        <v>0</v>
      </c>
      <c r="L482" s="13">
        <f>IFERROR(IF(C482="",0,IF(D482="PRETINA",SUMIFS($I$4:$I$481,$C$4:$C$481,C482,$D$4:$D$481,D482,$E$4:$E$481,E482,$F$4:$F$481,F482,$G$4:$G$481,G482,$H$4:$H$481,H482,$B$4:$B$481,"INGRESO")+SUMIFS($I$4:$I$481,$C$4:$C$481,C482,$D$4:$D$481,D482,$E$4:$E$481,E482,$F$4:$F$481,F482,$G$4:$G$481,G482,$H$4:$H$481,H482,$B$4:$B$481,"DE CORTE")-SUMIFS($I$4:$I$481,$C$4:$C$481,C482,$D$4:$D$481,D482,$E$4:$E$481,E482,$F$4:$F$481,F482,$G$4:$G$481,G482,$H$4:$H$481,H482,$B$4:$B$481,"SALIDA"),SUMIFS($I$4:$I$481,$C$4:$C$481,C482,$D$4:$D$481,D482,$E$4:$E$481,E482,$G$4:$G$481,G482,$H$4:$H$481,H482,$B$4:$B$481,"INGRESO")+SUMIFS($I$4:$I$481,$C$4:$C$481,C482,$D$4:$D$481,D482,$E$4:$E$481,E482,$G$4:$G$481,G482,$H$4:$H$481,H482,$B$4:$B$481,"DE CORTE")-SUMIFS($I$4:$I$481,$C$4:$C$481,C482,$D$4:$D$481,D482,$E$4:$E$481,E482,$G$4:$G$481,G482,$H$4:$H$481,H482,$B$4:$B$481,"SALIDA"))),0)</f>
        <v>0</v>
      </c>
      <c r="M482" s="13">
        <f t="shared" si="2"/>
        <v>0</v>
      </c>
      <c r="N482" s="14"/>
      <c r="O482" s="14"/>
      <c r="P482" s="15"/>
      <c r="Q482" s="14"/>
    </row>
    <row r="483" ht="15.75" customHeight="1">
      <c r="A483" s="7"/>
      <c r="B483" s="8"/>
      <c r="C483" s="8"/>
      <c r="D483" s="8"/>
      <c r="E483" s="8"/>
      <c r="F483" s="14"/>
      <c r="G483" s="8"/>
      <c r="H483" s="8"/>
      <c r="I483" s="9"/>
      <c r="J483" s="12" t="str">
        <f t="array" ref="J483:K483">IFERROR(INDEX(PRECIOS_COMPLEMENTOS!$C$4:$F$17,MATCH(D483&amp;"_"&amp;E483,PRECIOS_COMPLEMENTOS!$H$4:$H$17,0),IF(OR(H483="S",H483="20cm"),1,IF(OR(H483="M",H483="25cm"),2,IF(OR(H483="L",H483="30cm"),3,IF(OR(H483="XL",H483="35cm"),4,0))))),0)</f>
        <v>#REF!</v>
      </c>
      <c r="K483" s="12">
        <f t="shared" si="1"/>
        <v>0</v>
      </c>
      <c r="L483" s="13">
        <f>IFERROR(IF(C483="",0,IF(D483="PRETINA",SUMIFS($I$4:$I$482,$C$4:$C$482,C483,$D$4:$D$482,D483,$E$4:$E$482,E483,$F$4:$F$482,F483,$G$4:$G$482,G483,$H$4:$H$482,H483,$B$4:$B$482,"INGRESO")+SUMIFS($I$4:$I$482,$C$4:$C$482,C483,$D$4:$D$482,D483,$E$4:$E$482,E483,$F$4:$F$482,F483,$G$4:$G$482,G483,$H$4:$H$482,H483,$B$4:$B$482,"DE CORTE")-SUMIFS($I$4:$I$482,$C$4:$C$482,C483,$D$4:$D$482,D483,$E$4:$E$482,E483,$F$4:$F$482,F483,$G$4:$G$482,G483,$H$4:$H$482,H483,$B$4:$B$482,"SALIDA"),SUMIFS($I$4:$I$482,$C$4:$C$482,C483,$D$4:$D$482,D483,$E$4:$E$482,E483,$G$4:$G$482,G483,$H$4:$H$482,H483,$B$4:$B$482,"INGRESO")+SUMIFS($I$4:$I$482,$C$4:$C$482,C483,$D$4:$D$482,D483,$E$4:$E$482,E483,$G$4:$G$482,G483,$H$4:$H$482,H483,$B$4:$B$482,"DE CORTE")-SUMIFS($I$4:$I$482,$C$4:$C$482,C483,$D$4:$D$482,D483,$E$4:$E$482,E483,$G$4:$G$482,G483,$H$4:$H$482,H483,$B$4:$B$482,"SALIDA"))),0)</f>
        <v>0</v>
      </c>
      <c r="M483" s="13">
        <f t="shared" si="2"/>
        <v>0</v>
      </c>
      <c r="N483" s="14"/>
      <c r="O483" s="14"/>
      <c r="P483" s="15"/>
      <c r="Q483" s="14"/>
    </row>
    <row r="484" ht="15.75" customHeight="1">
      <c r="A484" s="7"/>
      <c r="B484" s="8"/>
      <c r="C484" s="8"/>
      <c r="D484" s="8"/>
      <c r="E484" s="8"/>
      <c r="F484" s="14"/>
      <c r="G484" s="8"/>
      <c r="H484" s="8"/>
      <c r="I484" s="9"/>
      <c r="J484" s="12" t="str">
        <f t="array" ref="J484:K484">IFERROR(INDEX(PRECIOS_COMPLEMENTOS!$C$4:$F$17,MATCH(D484&amp;"_"&amp;E484,PRECIOS_COMPLEMENTOS!$H$4:$H$17,0),IF(OR(H484="S",H484="20cm"),1,IF(OR(H484="M",H484="25cm"),2,IF(OR(H484="L",H484="30cm"),3,IF(OR(H484="XL",H484="35cm"),4,0))))),0)</f>
        <v>#REF!</v>
      </c>
      <c r="K484" s="12">
        <f t="shared" si="1"/>
        <v>0</v>
      </c>
      <c r="L484" s="13">
        <f>IFERROR(IF(C484="",0,IF(D484="PRETINA",SUMIFS($I$4:$I$483,$C$4:$C$483,C484,$D$4:$D$483,D484,$E$4:$E$483,E484,$F$4:$F$483,F484,$G$4:$G$483,G484,$H$4:$H$483,H484,$B$4:$B$483,"INGRESO")+SUMIFS($I$4:$I$483,$C$4:$C$483,C484,$D$4:$D$483,D484,$E$4:$E$483,E484,$F$4:$F$483,F484,$G$4:$G$483,G484,$H$4:$H$483,H484,$B$4:$B$483,"DE CORTE")-SUMIFS($I$4:$I$483,$C$4:$C$483,C484,$D$4:$D$483,D484,$E$4:$E$483,E484,$F$4:$F$483,F484,$G$4:$G$483,G484,$H$4:$H$483,H484,$B$4:$B$483,"SALIDA"),SUMIFS($I$4:$I$483,$C$4:$C$483,C484,$D$4:$D$483,D484,$E$4:$E$483,E484,$G$4:$G$483,G484,$H$4:$H$483,H484,$B$4:$B$483,"INGRESO")+SUMIFS($I$4:$I$483,$C$4:$C$483,C484,$D$4:$D$483,D484,$E$4:$E$483,E484,$G$4:$G$483,G484,$H$4:$H$483,H484,$B$4:$B$483,"DE CORTE")-SUMIFS($I$4:$I$483,$C$4:$C$483,C484,$D$4:$D$483,D484,$E$4:$E$483,E484,$G$4:$G$483,G484,$H$4:$H$483,H484,$B$4:$B$483,"SALIDA"))),0)</f>
        <v>0</v>
      </c>
      <c r="M484" s="13">
        <f t="shared" si="2"/>
        <v>0</v>
      </c>
      <c r="N484" s="14"/>
      <c r="O484" s="14"/>
      <c r="P484" s="15"/>
      <c r="Q484" s="14"/>
    </row>
    <row r="485" ht="15.75" customHeight="1">
      <c r="A485" s="7"/>
      <c r="B485" s="8"/>
      <c r="C485" s="8"/>
      <c r="D485" s="8"/>
      <c r="E485" s="8"/>
      <c r="F485" s="14"/>
      <c r="G485" s="8"/>
      <c r="H485" s="8"/>
      <c r="I485" s="9"/>
      <c r="J485" s="12" t="str">
        <f t="array" ref="J485:K485">IFERROR(INDEX(PRECIOS_COMPLEMENTOS!$C$4:$F$17,MATCH(D485&amp;"_"&amp;E485,PRECIOS_COMPLEMENTOS!$H$4:$H$17,0),IF(OR(H485="S",H485="20cm"),1,IF(OR(H485="M",H485="25cm"),2,IF(OR(H485="L",H485="30cm"),3,IF(OR(H485="XL",H485="35cm"),4,0))))),0)</f>
        <v>#REF!</v>
      </c>
      <c r="K485" s="12">
        <f t="shared" si="1"/>
        <v>0</v>
      </c>
      <c r="L485" s="13">
        <f>IFERROR(IF(C485="",0,IF(D485="PRETINA",SUMIFS($I$4:$I$484,$C$4:$C$484,C485,$D$4:$D$484,D485,$E$4:$E$484,E485,$F$4:$F$484,F485,$G$4:$G$484,G485,$H$4:$H$484,H485,$B$4:$B$484,"INGRESO")+SUMIFS($I$4:$I$484,$C$4:$C$484,C485,$D$4:$D$484,D485,$E$4:$E$484,E485,$F$4:$F$484,F485,$G$4:$G$484,G485,$H$4:$H$484,H485,$B$4:$B$484,"DE CORTE")-SUMIFS($I$4:$I$484,$C$4:$C$484,C485,$D$4:$D$484,D485,$E$4:$E$484,E485,$F$4:$F$484,F485,$G$4:$G$484,G485,$H$4:$H$484,H485,$B$4:$B$484,"SALIDA"),SUMIFS($I$4:$I$484,$C$4:$C$484,C485,$D$4:$D$484,D485,$E$4:$E$484,E485,$G$4:$G$484,G485,$H$4:$H$484,H485,$B$4:$B$484,"INGRESO")+SUMIFS($I$4:$I$484,$C$4:$C$484,C485,$D$4:$D$484,D485,$E$4:$E$484,E485,$G$4:$G$484,G485,$H$4:$H$484,H485,$B$4:$B$484,"DE CORTE")-SUMIFS($I$4:$I$484,$C$4:$C$484,C485,$D$4:$D$484,D485,$E$4:$E$484,E485,$G$4:$G$484,G485,$H$4:$H$484,H485,$B$4:$B$484,"SALIDA"))),0)</f>
        <v>0</v>
      </c>
      <c r="M485" s="13">
        <f t="shared" si="2"/>
        <v>0</v>
      </c>
      <c r="N485" s="14"/>
      <c r="O485" s="14"/>
      <c r="P485" s="15"/>
      <c r="Q485" s="14"/>
    </row>
    <row r="486" ht="15.75" customHeight="1">
      <c r="A486" s="7"/>
      <c r="B486" s="8"/>
      <c r="C486" s="8"/>
      <c r="D486" s="8"/>
      <c r="E486" s="8"/>
      <c r="F486" s="14"/>
      <c r="G486" s="8"/>
      <c r="H486" s="8"/>
      <c r="I486" s="9"/>
      <c r="J486" s="12" t="str">
        <f t="array" ref="J486:K486">IFERROR(INDEX(PRECIOS_COMPLEMENTOS!$C$4:$F$17,MATCH(D486&amp;"_"&amp;E486,PRECIOS_COMPLEMENTOS!$H$4:$H$17,0),IF(OR(H486="S",H486="20cm"),1,IF(OR(H486="M",H486="25cm"),2,IF(OR(H486="L",H486="30cm"),3,IF(OR(H486="XL",H486="35cm"),4,0))))),0)</f>
        <v>#REF!</v>
      </c>
      <c r="K486" s="12">
        <f t="shared" si="1"/>
        <v>0</v>
      </c>
      <c r="L486" s="13">
        <f>IFERROR(IF(C486="",0,IF(D486="PRETINA",SUMIFS($I$4:$I$485,$C$4:$C$485,C486,$D$4:$D$485,D486,$E$4:$E$485,E486,$F$4:$F$485,F486,$G$4:$G$485,G486,$H$4:$H$485,H486,$B$4:$B$485,"INGRESO")+SUMIFS($I$4:$I$485,$C$4:$C$485,C486,$D$4:$D$485,D486,$E$4:$E$485,E486,$F$4:$F$485,F486,$G$4:$G$485,G486,$H$4:$H$485,H486,$B$4:$B$485,"DE CORTE")-SUMIFS($I$4:$I$485,$C$4:$C$485,C486,$D$4:$D$485,D486,$E$4:$E$485,E486,$F$4:$F$485,F486,$G$4:$G$485,G486,$H$4:$H$485,H486,$B$4:$B$485,"SALIDA"),SUMIFS($I$4:$I$485,$C$4:$C$485,C486,$D$4:$D$485,D486,$E$4:$E$485,E486,$G$4:$G$485,G486,$H$4:$H$485,H486,$B$4:$B$485,"INGRESO")+SUMIFS($I$4:$I$485,$C$4:$C$485,C486,$D$4:$D$485,D486,$E$4:$E$485,E486,$G$4:$G$485,G486,$H$4:$H$485,H486,$B$4:$B$485,"DE CORTE")-SUMIFS($I$4:$I$485,$C$4:$C$485,C486,$D$4:$D$485,D486,$E$4:$E$485,E486,$G$4:$G$485,G486,$H$4:$H$485,H486,$B$4:$B$485,"SALIDA"))),0)</f>
        <v>0</v>
      </c>
      <c r="M486" s="13">
        <f t="shared" si="2"/>
        <v>0</v>
      </c>
      <c r="N486" s="14"/>
      <c r="O486" s="14"/>
      <c r="P486" s="15"/>
      <c r="Q486" s="14"/>
    </row>
    <row r="487" ht="15.75" customHeight="1">
      <c r="A487" s="7"/>
      <c r="B487" s="8"/>
      <c r="C487" s="8"/>
      <c r="D487" s="8"/>
      <c r="E487" s="8"/>
      <c r="F487" s="14"/>
      <c r="G487" s="8"/>
      <c r="H487" s="8"/>
      <c r="I487" s="9"/>
      <c r="J487" s="12" t="str">
        <f t="array" ref="J487:K487">IFERROR(INDEX(PRECIOS_COMPLEMENTOS!$C$4:$F$17,MATCH(D487&amp;"_"&amp;E487,PRECIOS_COMPLEMENTOS!$H$4:$H$17,0),IF(OR(H487="S",H487="20cm"),1,IF(OR(H487="M",H487="25cm"),2,IF(OR(H487="L",H487="30cm"),3,IF(OR(H487="XL",H487="35cm"),4,0))))),0)</f>
        <v>#REF!</v>
      </c>
      <c r="K487" s="12">
        <f t="shared" si="1"/>
        <v>0</v>
      </c>
      <c r="L487" s="13">
        <f>IFERROR(IF(C487="",0,IF(D487="PRETINA",SUMIFS($I$4:$I$486,$C$4:$C$486,C487,$D$4:$D$486,D487,$E$4:$E$486,E487,$F$4:$F$486,F487,$G$4:$G$486,G487,$H$4:$H$486,H487,$B$4:$B$486,"INGRESO")+SUMIFS($I$4:$I$486,$C$4:$C$486,C487,$D$4:$D$486,D487,$E$4:$E$486,E487,$F$4:$F$486,F487,$G$4:$G$486,G487,$H$4:$H$486,H487,$B$4:$B$486,"DE CORTE")-SUMIFS($I$4:$I$486,$C$4:$C$486,C487,$D$4:$D$486,D487,$E$4:$E$486,E487,$F$4:$F$486,F487,$G$4:$G$486,G487,$H$4:$H$486,H487,$B$4:$B$486,"SALIDA"),SUMIFS($I$4:$I$486,$C$4:$C$486,C487,$D$4:$D$486,D487,$E$4:$E$486,E487,$G$4:$G$486,G487,$H$4:$H$486,H487,$B$4:$B$486,"INGRESO")+SUMIFS($I$4:$I$486,$C$4:$C$486,C487,$D$4:$D$486,D487,$E$4:$E$486,E487,$G$4:$G$486,G487,$H$4:$H$486,H487,$B$4:$B$486,"DE CORTE")-SUMIFS($I$4:$I$486,$C$4:$C$486,C487,$D$4:$D$486,D487,$E$4:$E$486,E487,$G$4:$G$486,G487,$H$4:$H$486,H487,$B$4:$B$486,"SALIDA"))),0)</f>
        <v>0</v>
      </c>
      <c r="M487" s="13">
        <f t="shared" si="2"/>
        <v>0</v>
      </c>
      <c r="N487" s="14"/>
      <c r="O487" s="14"/>
      <c r="P487" s="15"/>
      <c r="Q487" s="14"/>
    </row>
    <row r="488" ht="15.75" customHeight="1">
      <c r="A488" s="7"/>
      <c r="B488" s="8"/>
      <c r="C488" s="8"/>
      <c r="D488" s="8"/>
      <c r="E488" s="8"/>
      <c r="F488" s="14"/>
      <c r="G488" s="8"/>
      <c r="H488" s="8"/>
      <c r="I488" s="9"/>
      <c r="J488" s="12" t="str">
        <f t="array" ref="J488:K488">IFERROR(INDEX(PRECIOS_COMPLEMENTOS!$C$4:$F$17,MATCH(D488&amp;"_"&amp;E488,PRECIOS_COMPLEMENTOS!$H$4:$H$17,0),IF(OR(H488="S",H488="20cm"),1,IF(OR(H488="M",H488="25cm"),2,IF(OR(H488="L",H488="30cm"),3,IF(OR(H488="XL",H488="35cm"),4,0))))),0)</f>
        <v>#REF!</v>
      </c>
      <c r="K488" s="12">
        <f t="shared" si="1"/>
        <v>0</v>
      </c>
      <c r="L488" s="13">
        <f>IFERROR(IF(C488="",0,IF(D488="PRETINA",SUMIFS($I$4:$I$487,$C$4:$C$487,C488,$D$4:$D$487,D488,$E$4:$E$487,E488,$F$4:$F$487,F488,$G$4:$G$487,G488,$H$4:$H$487,H488,$B$4:$B$487,"INGRESO")+SUMIFS($I$4:$I$487,$C$4:$C$487,C488,$D$4:$D$487,D488,$E$4:$E$487,E488,$F$4:$F$487,F488,$G$4:$G$487,G488,$H$4:$H$487,H488,$B$4:$B$487,"DE CORTE")-SUMIFS($I$4:$I$487,$C$4:$C$487,C488,$D$4:$D$487,D488,$E$4:$E$487,E488,$F$4:$F$487,F488,$G$4:$G$487,G488,$H$4:$H$487,H488,$B$4:$B$487,"SALIDA"),SUMIFS($I$4:$I$487,$C$4:$C$487,C488,$D$4:$D$487,D488,$E$4:$E$487,E488,$G$4:$G$487,G488,$H$4:$H$487,H488,$B$4:$B$487,"INGRESO")+SUMIFS($I$4:$I$487,$C$4:$C$487,C488,$D$4:$D$487,D488,$E$4:$E$487,E488,$G$4:$G$487,G488,$H$4:$H$487,H488,$B$4:$B$487,"DE CORTE")-SUMIFS($I$4:$I$487,$C$4:$C$487,C488,$D$4:$D$487,D488,$E$4:$E$487,E488,$G$4:$G$487,G488,$H$4:$H$487,H488,$B$4:$B$487,"SALIDA"))),0)</f>
        <v>0</v>
      </c>
      <c r="M488" s="13">
        <f t="shared" si="2"/>
        <v>0</v>
      </c>
      <c r="N488" s="14"/>
      <c r="O488" s="14"/>
      <c r="P488" s="15"/>
      <c r="Q488" s="14"/>
    </row>
    <row r="489" ht="15.75" customHeight="1">
      <c r="A489" s="7"/>
      <c r="B489" s="8"/>
      <c r="C489" s="8"/>
      <c r="D489" s="8"/>
      <c r="E489" s="8"/>
      <c r="F489" s="14"/>
      <c r="G489" s="8"/>
      <c r="H489" s="8"/>
      <c r="I489" s="9"/>
      <c r="J489" s="12" t="str">
        <f t="array" ref="J489:K489">IFERROR(INDEX(PRECIOS_COMPLEMENTOS!$C$4:$F$17,MATCH(D489&amp;"_"&amp;E489,PRECIOS_COMPLEMENTOS!$H$4:$H$17,0),IF(OR(H489="S",H489="20cm"),1,IF(OR(H489="M",H489="25cm"),2,IF(OR(H489="L",H489="30cm"),3,IF(OR(H489="XL",H489="35cm"),4,0))))),0)</f>
        <v>#REF!</v>
      </c>
      <c r="K489" s="12">
        <f t="shared" si="1"/>
        <v>0</v>
      </c>
      <c r="L489" s="13">
        <f>IFERROR(IF(C489="",0,IF(D489="PRETINA",SUMIFS($I$4:$I$488,$C$4:$C$488,C489,$D$4:$D$488,D489,$E$4:$E$488,E489,$F$4:$F$488,F489,$G$4:$G$488,G489,$H$4:$H$488,H489,$B$4:$B$488,"INGRESO")+SUMIFS($I$4:$I$488,$C$4:$C$488,C489,$D$4:$D$488,D489,$E$4:$E$488,E489,$F$4:$F$488,F489,$G$4:$G$488,G489,$H$4:$H$488,H489,$B$4:$B$488,"DE CORTE")-SUMIFS($I$4:$I$488,$C$4:$C$488,C489,$D$4:$D$488,D489,$E$4:$E$488,E489,$F$4:$F$488,F489,$G$4:$G$488,G489,$H$4:$H$488,H489,$B$4:$B$488,"SALIDA"),SUMIFS($I$4:$I$488,$C$4:$C$488,C489,$D$4:$D$488,D489,$E$4:$E$488,E489,$G$4:$G$488,G489,$H$4:$H$488,H489,$B$4:$B$488,"INGRESO")+SUMIFS($I$4:$I$488,$C$4:$C$488,C489,$D$4:$D$488,D489,$E$4:$E$488,E489,$G$4:$G$488,G489,$H$4:$H$488,H489,$B$4:$B$488,"DE CORTE")-SUMIFS($I$4:$I$488,$C$4:$C$488,C489,$D$4:$D$488,D489,$E$4:$E$488,E489,$G$4:$G$488,G489,$H$4:$H$488,H489,$B$4:$B$488,"SALIDA"))),0)</f>
        <v>0</v>
      </c>
      <c r="M489" s="13">
        <f t="shared" si="2"/>
        <v>0</v>
      </c>
      <c r="N489" s="14"/>
      <c r="O489" s="14"/>
      <c r="P489" s="15"/>
      <c r="Q489" s="14"/>
    </row>
    <row r="490" ht="15.75" customHeight="1">
      <c r="A490" s="7"/>
      <c r="B490" s="8"/>
      <c r="C490" s="8"/>
      <c r="D490" s="8"/>
      <c r="E490" s="8"/>
      <c r="F490" s="14"/>
      <c r="G490" s="8"/>
      <c r="H490" s="8"/>
      <c r="I490" s="9"/>
      <c r="J490" s="12" t="str">
        <f t="array" ref="J490:K490">IFERROR(INDEX(PRECIOS_COMPLEMENTOS!$C$4:$F$17,MATCH(D490&amp;"_"&amp;E490,PRECIOS_COMPLEMENTOS!$H$4:$H$17,0),IF(OR(H490="S",H490="20cm"),1,IF(OR(H490="M",H490="25cm"),2,IF(OR(H490="L",H490="30cm"),3,IF(OR(H490="XL",H490="35cm"),4,0))))),0)</f>
        <v>#REF!</v>
      </c>
      <c r="K490" s="12">
        <f t="shared" si="1"/>
        <v>0</v>
      </c>
      <c r="L490" s="13">
        <f>IFERROR(IF(C490="",0,IF(D490="PRETINA",SUMIFS($I$4:$I$489,$C$4:$C$489,C490,$D$4:$D$489,D490,$E$4:$E$489,E490,$F$4:$F$489,F490,$G$4:$G$489,G490,$H$4:$H$489,H490,$B$4:$B$489,"INGRESO")+SUMIFS($I$4:$I$489,$C$4:$C$489,C490,$D$4:$D$489,D490,$E$4:$E$489,E490,$F$4:$F$489,F490,$G$4:$G$489,G490,$H$4:$H$489,H490,$B$4:$B$489,"DE CORTE")-SUMIFS($I$4:$I$489,$C$4:$C$489,C490,$D$4:$D$489,D490,$E$4:$E$489,E490,$F$4:$F$489,F490,$G$4:$G$489,G490,$H$4:$H$489,H490,$B$4:$B$489,"SALIDA"),SUMIFS($I$4:$I$489,$C$4:$C$489,C490,$D$4:$D$489,D490,$E$4:$E$489,E490,$G$4:$G$489,G490,$H$4:$H$489,H490,$B$4:$B$489,"INGRESO")+SUMIFS($I$4:$I$489,$C$4:$C$489,C490,$D$4:$D$489,D490,$E$4:$E$489,E490,$G$4:$G$489,G490,$H$4:$H$489,H490,$B$4:$B$489,"DE CORTE")-SUMIFS($I$4:$I$489,$C$4:$C$489,C490,$D$4:$D$489,D490,$E$4:$E$489,E490,$G$4:$G$489,G490,$H$4:$H$489,H490,$B$4:$B$489,"SALIDA"))),0)</f>
        <v>0</v>
      </c>
      <c r="M490" s="13">
        <f t="shared" si="2"/>
        <v>0</v>
      </c>
      <c r="N490" s="14"/>
      <c r="O490" s="14"/>
      <c r="P490" s="15"/>
      <c r="Q490" s="14"/>
    </row>
    <row r="491" ht="15.75" customHeight="1">
      <c r="A491" s="7"/>
      <c r="B491" s="8"/>
      <c r="C491" s="8"/>
      <c r="D491" s="8"/>
      <c r="E491" s="8"/>
      <c r="F491" s="14"/>
      <c r="G491" s="8"/>
      <c r="H491" s="8"/>
      <c r="I491" s="9"/>
      <c r="J491" s="12" t="str">
        <f t="array" ref="J491:K491">IFERROR(INDEX(PRECIOS_COMPLEMENTOS!$C$4:$F$17,MATCH(D491&amp;"_"&amp;E491,PRECIOS_COMPLEMENTOS!$H$4:$H$17,0),IF(OR(H491="S",H491="20cm"),1,IF(OR(H491="M",H491="25cm"),2,IF(OR(H491="L",H491="30cm"),3,IF(OR(H491="XL",H491="35cm"),4,0))))),0)</f>
        <v>#REF!</v>
      </c>
      <c r="K491" s="12">
        <f t="shared" si="1"/>
        <v>0</v>
      </c>
      <c r="L491" s="13">
        <f>IFERROR(IF(C491="",0,IF(D491="PRETINA",SUMIFS($I$4:$I$490,$C$4:$C$490,C491,$D$4:$D$490,D491,$E$4:$E$490,E491,$F$4:$F$490,F491,$G$4:$G$490,G491,$H$4:$H$490,H491,$B$4:$B$490,"INGRESO")+SUMIFS($I$4:$I$490,$C$4:$C$490,C491,$D$4:$D$490,D491,$E$4:$E$490,E491,$F$4:$F$490,F491,$G$4:$G$490,G491,$H$4:$H$490,H491,$B$4:$B$490,"DE CORTE")-SUMIFS($I$4:$I$490,$C$4:$C$490,C491,$D$4:$D$490,D491,$E$4:$E$490,E491,$F$4:$F$490,F491,$G$4:$G$490,G491,$H$4:$H$490,H491,$B$4:$B$490,"SALIDA"),SUMIFS($I$4:$I$490,$C$4:$C$490,C491,$D$4:$D$490,D491,$E$4:$E$490,E491,$G$4:$G$490,G491,$H$4:$H$490,H491,$B$4:$B$490,"INGRESO")+SUMIFS($I$4:$I$490,$C$4:$C$490,C491,$D$4:$D$490,D491,$E$4:$E$490,E491,$G$4:$G$490,G491,$H$4:$H$490,H491,$B$4:$B$490,"DE CORTE")-SUMIFS($I$4:$I$490,$C$4:$C$490,C491,$D$4:$D$490,D491,$E$4:$E$490,E491,$G$4:$G$490,G491,$H$4:$H$490,H491,$B$4:$B$490,"SALIDA"))),0)</f>
        <v>0</v>
      </c>
      <c r="M491" s="13">
        <f t="shared" si="2"/>
        <v>0</v>
      </c>
      <c r="N491" s="14"/>
      <c r="O491" s="14"/>
      <c r="P491" s="15"/>
      <c r="Q491" s="14"/>
    </row>
    <row r="492" ht="15.75" customHeight="1">
      <c r="A492" s="7"/>
      <c r="B492" s="8"/>
      <c r="C492" s="8"/>
      <c r="D492" s="8"/>
      <c r="E492" s="8"/>
      <c r="F492" s="14"/>
      <c r="G492" s="8"/>
      <c r="H492" s="8"/>
      <c r="I492" s="9"/>
      <c r="J492" s="12" t="str">
        <f t="array" ref="J492:K492">IFERROR(INDEX(PRECIOS_COMPLEMENTOS!$C$4:$F$17,MATCH(D492&amp;"_"&amp;E492,PRECIOS_COMPLEMENTOS!$H$4:$H$17,0),IF(OR(H492="S",H492="20cm"),1,IF(OR(H492="M",H492="25cm"),2,IF(OR(H492="L",H492="30cm"),3,IF(OR(H492="XL",H492="35cm"),4,0))))),0)</f>
        <v>#REF!</v>
      </c>
      <c r="K492" s="12">
        <f t="shared" si="1"/>
        <v>0</v>
      </c>
      <c r="L492" s="13">
        <f>IFERROR(IF(C492="",0,IF(D492="PRETINA",SUMIFS($I$4:$I$491,$C$4:$C$491,C492,$D$4:$D$491,D492,$E$4:$E$491,E492,$F$4:$F$491,F492,$G$4:$G$491,G492,$H$4:$H$491,H492,$B$4:$B$491,"INGRESO")+SUMIFS($I$4:$I$491,$C$4:$C$491,C492,$D$4:$D$491,D492,$E$4:$E$491,E492,$F$4:$F$491,F492,$G$4:$G$491,G492,$H$4:$H$491,H492,$B$4:$B$491,"DE CORTE")-SUMIFS($I$4:$I$491,$C$4:$C$491,C492,$D$4:$D$491,D492,$E$4:$E$491,E492,$F$4:$F$491,F492,$G$4:$G$491,G492,$H$4:$H$491,H492,$B$4:$B$491,"SALIDA"),SUMIFS($I$4:$I$491,$C$4:$C$491,C492,$D$4:$D$491,D492,$E$4:$E$491,E492,$G$4:$G$491,G492,$H$4:$H$491,H492,$B$4:$B$491,"INGRESO")+SUMIFS($I$4:$I$491,$C$4:$C$491,C492,$D$4:$D$491,D492,$E$4:$E$491,E492,$G$4:$G$491,G492,$H$4:$H$491,H492,$B$4:$B$491,"DE CORTE")-SUMIFS($I$4:$I$491,$C$4:$C$491,C492,$D$4:$D$491,D492,$E$4:$E$491,E492,$G$4:$G$491,G492,$H$4:$H$491,H492,$B$4:$B$491,"SALIDA"))),0)</f>
        <v>0</v>
      </c>
      <c r="M492" s="13">
        <f t="shared" si="2"/>
        <v>0</v>
      </c>
      <c r="N492" s="14"/>
      <c r="O492" s="14"/>
      <c r="P492" s="15"/>
      <c r="Q492" s="14"/>
    </row>
    <row r="493" ht="15.75" customHeight="1">
      <c r="A493" s="7"/>
      <c r="B493" s="8"/>
      <c r="C493" s="8"/>
      <c r="D493" s="8"/>
      <c r="E493" s="8"/>
      <c r="F493" s="14"/>
      <c r="G493" s="8"/>
      <c r="H493" s="8"/>
      <c r="I493" s="9"/>
      <c r="J493" s="12" t="str">
        <f t="array" ref="J493:K493">IFERROR(INDEX(PRECIOS_COMPLEMENTOS!$C$4:$F$17,MATCH(D493&amp;"_"&amp;E493,PRECIOS_COMPLEMENTOS!$H$4:$H$17,0),IF(OR(H493="S",H493="20cm"),1,IF(OR(H493="M",H493="25cm"),2,IF(OR(H493="L",H493="30cm"),3,IF(OR(H493="XL",H493="35cm"),4,0))))),0)</f>
        <v>#REF!</v>
      </c>
      <c r="K493" s="12">
        <f t="shared" si="1"/>
        <v>0</v>
      </c>
      <c r="L493" s="13">
        <f>IFERROR(IF(C493="",0,IF(D493="PRETINA",SUMIFS($I$4:$I$492,$C$4:$C$492,C493,$D$4:$D$492,D493,$E$4:$E$492,E493,$F$4:$F$492,F493,$G$4:$G$492,G493,$H$4:$H$492,H493,$B$4:$B$492,"INGRESO")+SUMIFS($I$4:$I$492,$C$4:$C$492,C493,$D$4:$D$492,D493,$E$4:$E$492,E493,$F$4:$F$492,F493,$G$4:$G$492,G493,$H$4:$H$492,H493,$B$4:$B$492,"DE CORTE")-SUMIFS($I$4:$I$492,$C$4:$C$492,C493,$D$4:$D$492,D493,$E$4:$E$492,E493,$F$4:$F$492,F493,$G$4:$G$492,G493,$H$4:$H$492,H493,$B$4:$B$492,"SALIDA"),SUMIFS($I$4:$I$492,$C$4:$C$492,C493,$D$4:$D$492,D493,$E$4:$E$492,E493,$G$4:$G$492,G493,$H$4:$H$492,H493,$B$4:$B$492,"INGRESO")+SUMIFS($I$4:$I$492,$C$4:$C$492,C493,$D$4:$D$492,D493,$E$4:$E$492,E493,$G$4:$G$492,G493,$H$4:$H$492,H493,$B$4:$B$492,"DE CORTE")-SUMIFS($I$4:$I$492,$C$4:$C$492,C493,$D$4:$D$492,D493,$E$4:$E$492,E493,$G$4:$G$492,G493,$H$4:$H$492,H493,$B$4:$B$492,"SALIDA"))),0)</f>
        <v>0</v>
      </c>
      <c r="M493" s="13">
        <f t="shared" si="2"/>
        <v>0</v>
      </c>
      <c r="N493" s="14"/>
      <c r="O493" s="14"/>
      <c r="P493" s="15"/>
      <c r="Q493" s="14"/>
    </row>
    <row r="494" ht="15.75" customHeight="1">
      <c r="A494" s="7"/>
      <c r="B494" s="8"/>
      <c r="C494" s="8"/>
      <c r="D494" s="8"/>
      <c r="E494" s="8"/>
      <c r="F494" s="14"/>
      <c r="G494" s="8"/>
      <c r="H494" s="8"/>
      <c r="I494" s="9"/>
      <c r="J494" s="12" t="str">
        <f t="array" ref="J494:K494">IFERROR(INDEX(PRECIOS_COMPLEMENTOS!$C$4:$F$17,MATCH(D494&amp;"_"&amp;E494,PRECIOS_COMPLEMENTOS!$H$4:$H$17,0),IF(OR(H494="S",H494="20cm"),1,IF(OR(H494="M",H494="25cm"),2,IF(OR(H494="L",H494="30cm"),3,IF(OR(H494="XL",H494="35cm"),4,0))))),0)</f>
        <v>#REF!</v>
      </c>
      <c r="K494" s="12">
        <f t="shared" si="1"/>
        <v>0</v>
      </c>
      <c r="L494" s="13">
        <f>IFERROR(IF(C494="",0,IF(D494="PRETINA",SUMIFS($I$4:$I$493,$C$4:$C$493,C494,$D$4:$D$493,D494,$E$4:$E$493,E494,$F$4:$F$493,F494,$G$4:$G$493,G494,$H$4:$H$493,H494,$B$4:$B$493,"INGRESO")+SUMIFS($I$4:$I$493,$C$4:$C$493,C494,$D$4:$D$493,D494,$E$4:$E$493,E494,$F$4:$F$493,F494,$G$4:$G$493,G494,$H$4:$H$493,H494,$B$4:$B$493,"DE CORTE")-SUMIFS($I$4:$I$493,$C$4:$C$493,C494,$D$4:$D$493,D494,$E$4:$E$493,E494,$F$4:$F$493,F494,$G$4:$G$493,G494,$H$4:$H$493,H494,$B$4:$B$493,"SALIDA"),SUMIFS($I$4:$I$493,$C$4:$C$493,C494,$D$4:$D$493,D494,$E$4:$E$493,E494,$G$4:$G$493,G494,$H$4:$H$493,H494,$B$4:$B$493,"INGRESO")+SUMIFS($I$4:$I$493,$C$4:$C$493,C494,$D$4:$D$493,D494,$E$4:$E$493,E494,$G$4:$G$493,G494,$H$4:$H$493,H494,$B$4:$B$493,"DE CORTE")-SUMIFS($I$4:$I$493,$C$4:$C$493,C494,$D$4:$D$493,D494,$E$4:$E$493,E494,$G$4:$G$493,G494,$H$4:$H$493,H494,$B$4:$B$493,"SALIDA"))),0)</f>
        <v>0</v>
      </c>
      <c r="M494" s="13">
        <f t="shared" si="2"/>
        <v>0</v>
      </c>
      <c r="N494" s="14"/>
      <c r="O494" s="14"/>
      <c r="P494" s="15"/>
      <c r="Q494" s="14"/>
    </row>
    <row r="495" ht="15.75" customHeight="1">
      <c r="A495" s="7"/>
      <c r="B495" s="8"/>
      <c r="C495" s="8"/>
      <c r="D495" s="8"/>
      <c r="E495" s="8"/>
      <c r="F495" s="14"/>
      <c r="G495" s="8"/>
      <c r="H495" s="8"/>
      <c r="I495" s="9"/>
      <c r="J495" s="12" t="str">
        <f t="array" ref="J495:K495">IFERROR(INDEX(PRECIOS_COMPLEMENTOS!$C$4:$F$17,MATCH(D495&amp;"_"&amp;E495,PRECIOS_COMPLEMENTOS!$H$4:$H$17,0),IF(OR(H495="S",H495="20cm"),1,IF(OR(H495="M",H495="25cm"),2,IF(OR(H495="L",H495="30cm"),3,IF(OR(H495="XL",H495="35cm"),4,0))))),0)</f>
        <v>#REF!</v>
      </c>
      <c r="K495" s="12">
        <f t="shared" si="1"/>
        <v>0</v>
      </c>
      <c r="L495" s="13">
        <f>IFERROR(IF(C495="",0,IF(D495="PRETINA",SUMIFS($I$4:$I$494,$C$4:$C$494,C495,$D$4:$D$494,D495,$E$4:$E$494,E495,$F$4:$F$494,F495,$G$4:$G$494,G495,$H$4:$H$494,H495,$B$4:$B$494,"INGRESO")+SUMIFS($I$4:$I$494,$C$4:$C$494,C495,$D$4:$D$494,D495,$E$4:$E$494,E495,$F$4:$F$494,F495,$G$4:$G$494,G495,$H$4:$H$494,H495,$B$4:$B$494,"DE CORTE")-SUMIFS($I$4:$I$494,$C$4:$C$494,C495,$D$4:$D$494,D495,$E$4:$E$494,E495,$F$4:$F$494,F495,$G$4:$G$494,G495,$H$4:$H$494,H495,$B$4:$B$494,"SALIDA"),SUMIFS($I$4:$I$494,$C$4:$C$494,C495,$D$4:$D$494,D495,$E$4:$E$494,E495,$G$4:$G$494,G495,$H$4:$H$494,H495,$B$4:$B$494,"INGRESO")+SUMIFS($I$4:$I$494,$C$4:$C$494,C495,$D$4:$D$494,D495,$E$4:$E$494,E495,$G$4:$G$494,G495,$H$4:$H$494,H495,$B$4:$B$494,"DE CORTE")-SUMIFS($I$4:$I$494,$C$4:$C$494,C495,$D$4:$D$494,D495,$E$4:$E$494,E495,$G$4:$G$494,G495,$H$4:$H$494,H495,$B$4:$B$494,"SALIDA"))),0)</f>
        <v>0</v>
      </c>
      <c r="M495" s="13">
        <f t="shared" si="2"/>
        <v>0</v>
      </c>
      <c r="N495" s="14"/>
      <c r="O495" s="14"/>
      <c r="P495" s="15"/>
      <c r="Q495" s="14"/>
    </row>
    <row r="496" ht="15.75" customHeight="1">
      <c r="A496" s="7"/>
      <c r="B496" s="8"/>
      <c r="C496" s="8"/>
      <c r="D496" s="8"/>
      <c r="E496" s="8"/>
      <c r="F496" s="14"/>
      <c r="G496" s="8"/>
      <c r="H496" s="8"/>
      <c r="I496" s="9"/>
      <c r="J496" s="12" t="str">
        <f t="array" ref="J496:K496">IFERROR(INDEX(PRECIOS_COMPLEMENTOS!$C$4:$F$17,MATCH(D496&amp;"_"&amp;E496,PRECIOS_COMPLEMENTOS!$H$4:$H$17,0),IF(OR(H496="S",H496="20cm"),1,IF(OR(H496="M",H496="25cm"),2,IF(OR(H496="L",H496="30cm"),3,IF(OR(H496="XL",H496="35cm"),4,0))))),0)</f>
        <v>#REF!</v>
      </c>
      <c r="K496" s="12">
        <f t="shared" si="1"/>
        <v>0</v>
      </c>
      <c r="L496" s="13">
        <f>IFERROR(IF(C496="",0,IF(D496="PRETINA",SUMIFS($I$4:$I$495,$C$4:$C$495,C496,$D$4:$D$495,D496,$E$4:$E$495,E496,$F$4:$F$495,F496,$G$4:$G$495,G496,$H$4:$H$495,H496,$B$4:$B$495,"INGRESO")+SUMIFS($I$4:$I$495,$C$4:$C$495,C496,$D$4:$D$495,D496,$E$4:$E$495,E496,$F$4:$F$495,F496,$G$4:$G$495,G496,$H$4:$H$495,H496,$B$4:$B$495,"DE CORTE")-SUMIFS($I$4:$I$495,$C$4:$C$495,C496,$D$4:$D$495,D496,$E$4:$E$495,E496,$F$4:$F$495,F496,$G$4:$G$495,G496,$H$4:$H$495,H496,$B$4:$B$495,"SALIDA"),SUMIFS($I$4:$I$495,$C$4:$C$495,C496,$D$4:$D$495,D496,$E$4:$E$495,E496,$G$4:$G$495,G496,$H$4:$H$495,H496,$B$4:$B$495,"INGRESO")+SUMIFS($I$4:$I$495,$C$4:$C$495,C496,$D$4:$D$495,D496,$E$4:$E$495,E496,$G$4:$G$495,G496,$H$4:$H$495,H496,$B$4:$B$495,"DE CORTE")-SUMIFS($I$4:$I$495,$C$4:$C$495,C496,$D$4:$D$495,D496,$E$4:$E$495,E496,$G$4:$G$495,G496,$H$4:$H$495,H496,$B$4:$B$495,"SALIDA"))),0)</f>
        <v>0</v>
      </c>
      <c r="M496" s="13">
        <f t="shared" si="2"/>
        <v>0</v>
      </c>
      <c r="N496" s="14"/>
      <c r="O496" s="14"/>
      <c r="P496" s="15"/>
      <c r="Q496" s="14"/>
    </row>
    <row r="497" ht="15.75" customHeight="1">
      <c r="A497" s="7"/>
      <c r="B497" s="8"/>
      <c r="C497" s="8"/>
      <c r="D497" s="8"/>
      <c r="E497" s="8"/>
      <c r="F497" s="14"/>
      <c r="G497" s="8"/>
      <c r="H497" s="8"/>
      <c r="I497" s="9"/>
      <c r="J497" s="12" t="str">
        <f t="array" ref="J497:K497">IFERROR(INDEX(PRECIOS_COMPLEMENTOS!$C$4:$F$17,MATCH(D497&amp;"_"&amp;E497,PRECIOS_COMPLEMENTOS!$H$4:$H$17,0),IF(OR(H497="S",H497="20cm"),1,IF(OR(H497="M",H497="25cm"),2,IF(OR(H497="L",H497="30cm"),3,IF(OR(H497="XL",H497="35cm"),4,0))))),0)</f>
        <v>#REF!</v>
      </c>
      <c r="K497" s="12">
        <f t="shared" si="1"/>
        <v>0</v>
      </c>
      <c r="L497" s="13">
        <f>IFERROR(IF(C497="",0,IF(D497="PRETINA",SUMIFS($I$4:$I$496,$C$4:$C$496,C497,$D$4:$D$496,D497,$E$4:$E$496,E497,$F$4:$F$496,F497,$G$4:$G$496,G497,$H$4:$H$496,H497,$B$4:$B$496,"INGRESO")+SUMIFS($I$4:$I$496,$C$4:$C$496,C497,$D$4:$D$496,D497,$E$4:$E$496,E497,$F$4:$F$496,F497,$G$4:$G$496,G497,$H$4:$H$496,H497,$B$4:$B$496,"DE CORTE")-SUMIFS($I$4:$I$496,$C$4:$C$496,C497,$D$4:$D$496,D497,$E$4:$E$496,E497,$F$4:$F$496,F497,$G$4:$G$496,G497,$H$4:$H$496,H497,$B$4:$B$496,"SALIDA"),SUMIFS($I$4:$I$496,$C$4:$C$496,C497,$D$4:$D$496,D497,$E$4:$E$496,E497,$G$4:$G$496,G497,$H$4:$H$496,H497,$B$4:$B$496,"INGRESO")+SUMIFS($I$4:$I$496,$C$4:$C$496,C497,$D$4:$D$496,D497,$E$4:$E$496,E497,$G$4:$G$496,G497,$H$4:$H$496,H497,$B$4:$B$496,"DE CORTE")-SUMIFS($I$4:$I$496,$C$4:$C$496,C497,$D$4:$D$496,D497,$E$4:$E$496,E497,$G$4:$G$496,G497,$H$4:$H$496,H497,$B$4:$B$496,"SALIDA"))),0)</f>
        <v>0</v>
      </c>
      <c r="M497" s="13">
        <f t="shared" si="2"/>
        <v>0</v>
      </c>
      <c r="N497" s="14"/>
      <c r="O497" s="14"/>
      <c r="P497" s="15"/>
      <c r="Q497" s="14"/>
    </row>
    <row r="498" ht="15.75" customHeight="1">
      <c r="A498" s="7"/>
      <c r="B498" s="8"/>
      <c r="C498" s="8"/>
      <c r="D498" s="8"/>
      <c r="E498" s="8"/>
      <c r="F498" s="14"/>
      <c r="G498" s="8"/>
      <c r="H498" s="8"/>
      <c r="I498" s="9"/>
      <c r="J498" s="12" t="str">
        <f t="array" ref="J498:K498">IFERROR(INDEX(PRECIOS_COMPLEMENTOS!$C$4:$F$17,MATCH(D498&amp;"_"&amp;E498,PRECIOS_COMPLEMENTOS!$H$4:$H$17,0),IF(OR(H498="S",H498="20cm"),1,IF(OR(H498="M",H498="25cm"),2,IF(OR(H498="L",H498="30cm"),3,IF(OR(H498="XL",H498="35cm"),4,0))))),0)</f>
        <v>#REF!</v>
      </c>
      <c r="K498" s="12">
        <f t="shared" si="1"/>
        <v>0</v>
      </c>
      <c r="L498" s="13">
        <f>IFERROR(IF(C498="",0,IF(D498="PRETINA",SUMIFS($I$4:$I$497,$C$4:$C$497,C498,$D$4:$D$497,D498,$E$4:$E$497,E498,$F$4:$F$497,F498,$G$4:$G$497,G498,$H$4:$H$497,H498,$B$4:$B$497,"INGRESO")+SUMIFS($I$4:$I$497,$C$4:$C$497,C498,$D$4:$D$497,D498,$E$4:$E$497,E498,$F$4:$F$497,F498,$G$4:$G$497,G498,$H$4:$H$497,H498,$B$4:$B$497,"DE CORTE")-SUMIFS($I$4:$I$497,$C$4:$C$497,C498,$D$4:$D$497,D498,$E$4:$E$497,E498,$F$4:$F$497,F498,$G$4:$G$497,G498,$H$4:$H$497,H498,$B$4:$B$497,"SALIDA"),SUMIFS($I$4:$I$497,$C$4:$C$497,C498,$D$4:$D$497,D498,$E$4:$E$497,E498,$G$4:$G$497,G498,$H$4:$H$497,H498,$B$4:$B$497,"INGRESO")+SUMIFS($I$4:$I$497,$C$4:$C$497,C498,$D$4:$D$497,D498,$E$4:$E$497,E498,$G$4:$G$497,G498,$H$4:$H$497,H498,$B$4:$B$497,"DE CORTE")-SUMIFS($I$4:$I$497,$C$4:$C$497,C498,$D$4:$D$497,D498,$E$4:$E$497,E498,$G$4:$G$497,G498,$H$4:$H$497,H498,$B$4:$B$497,"SALIDA"))),0)</f>
        <v>0</v>
      </c>
      <c r="M498" s="13">
        <f t="shared" si="2"/>
        <v>0</v>
      </c>
      <c r="N498" s="14"/>
      <c r="O498" s="14"/>
      <c r="P498" s="15"/>
      <c r="Q498" s="14"/>
    </row>
    <row r="499" ht="15.75" customHeight="1">
      <c r="A499" s="7"/>
      <c r="B499" s="8"/>
      <c r="C499" s="8"/>
      <c r="D499" s="8"/>
      <c r="E499" s="8"/>
      <c r="F499" s="14"/>
      <c r="G499" s="8"/>
      <c r="H499" s="8"/>
      <c r="I499" s="9"/>
      <c r="J499" s="12" t="str">
        <f t="array" ref="J499:K499">IFERROR(INDEX(PRECIOS_COMPLEMENTOS!$C$4:$F$17,MATCH(D499&amp;"_"&amp;E499,PRECIOS_COMPLEMENTOS!$H$4:$H$17,0),IF(OR(H499="S",H499="20cm"),1,IF(OR(H499="M",H499="25cm"),2,IF(OR(H499="L",H499="30cm"),3,IF(OR(H499="XL",H499="35cm"),4,0))))),0)</f>
        <v>#REF!</v>
      </c>
      <c r="K499" s="12">
        <f t="shared" si="1"/>
        <v>0</v>
      </c>
      <c r="L499" s="13">
        <f>IFERROR(IF(C499="",0,IF(D499="PRETINA",SUMIFS($I$4:$I$498,$C$4:$C$498,C499,$D$4:$D$498,D499,$E$4:$E$498,E499,$F$4:$F$498,F499,$G$4:$G$498,G499,$H$4:$H$498,H499,$B$4:$B$498,"INGRESO")+SUMIFS($I$4:$I$498,$C$4:$C$498,C499,$D$4:$D$498,D499,$E$4:$E$498,E499,$F$4:$F$498,F499,$G$4:$G$498,G499,$H$4:$H$498,H499,$B$4:$B$498,"DE CORTE")-SUMIFS($I$4:$I$498,$C$4:$C$498,C499,$D$4:$D$498,D499,$E$4:$E$498,E499,$F$4:$F$498,F499,$G$4:$G$498,G499,$H$4:$H$498,H499,$B$4:$B$498,"SALIDA"),SUMIFS($I$4:$I$498,$C$4:$C$498,C499,$D$4:$D$498,D499,$E$4:$E$498,E499,$G$4:$G$498,G499,$H$4:$H$498,H499,$B$4:$B$498,"INGRESO")+SUMIFS($I$4:$I$498,$C$4:$C$498,C499,$D$4:$D$498,D499,$E$4:$E$498,E499,$G$4:$G$498,G499,$H$4:$H$498,H499,$B$4:$B$498,"DE CORTE")-SUMIFS($I$4:$I$498,$C$4:$C$498,C499,$D$4:$D$498,D499,$E$4:$E$498,E499,$G$4:$G$498,G499,$H$4:$H$498,H499,$B$4:$B$498,"SALIDA"))),0)</f>
        <v>0</v>
      </c>
      <c r="M499" s="13">
        <f t="shared" si="2"/>
        <v>0</v>
      </c>
      <c r="N499" s="14"/>
      <c r="O499" s="14"/>
      <c r="P499" s="15"/>
      <c r="Q499" s="14"/>
    </row>
    <row r="500" ht="15.75" customHeight="1">
      <c r="A500" s="7"/>
      <c r="B500" s="8"/>
      <c r="C500" s="8"/>
      <c r="D500" s="8"/>
      <c r="E500" s="8"/>
      <c r="F500" s="14"/>
      <c r="G500" s="8"/>
      <c r="H500" s="8"/>
      <c r="I500" s="9"/>
      <c r="J500" s="12" t="str">
        <f t="array" ref="J500:K500">IFERROR(INDEX(PRECIOS_COMPLEMENTOS!$C$4:$F$17,MATCH(D500&amp;"_"&amp;E500,PRECIOS_COMPLEMENTOS!$H$4:$H$17,0),IF(OR(H500="S",H500="20cm"),1,IF(OR(H500="M",H500="25cm"),2,IF(OR(H500="L",H500="30cm"),3,IF(OR(H500="XL",H500="35cm"),4,0))))),0)</f>
        <v>#REF!</v>
      </c>
      <c r="K500" s="12">
        <f t="shared" si="1"/>
        <v>0</v>
      </c>
      <c r="L500" s="13">
        <f>IFERROR(IF(C500="",0,IF(D500="PRETINA",SUMIFS($I$4:$I$499,$C$4:$C$499,C500,$D$4:$D$499,D500,$E$4:$E$499,E500,$F$4:$F$499,F500,$G$4:$G$499,G500,$H$4:$H$499,H500,$B$4:$B$499,"INGRESO")+SUMIFS($I$4:$I$499,$C$4:$C$499,C500,$D$4:$D$499,D500,$E$4:$E$499,E500,$F$4:$F$499,F500,$G$4:$G$499,G500,$H$4:$H$499,H500,$B$4:$B$499,"DE CORTE")-SUMIFS($I$4:$I$499,$C$4:$C$499,C500,$D$4:$D$499,D500,$E$4:$E$499,E500,$F$4:$F$499,F500,$G$4:$G$499,G500,$H$4:$H$499,H500,$B$4:$B$499,"SALIDA"),SUMIFS($I$4:$I$499,$C$4:$C$499,C500,$D$4:$D$499,D500,$E$4:$E$499,E500,$G$4:$G$499,G500,$H$4:$H$499,H500,$B$4:$B$499,"INGRESO")+SUMIFS($I$4:$I$499,$C$4:$C$499,C500,$D$4:$D$499,D500,$E$4:$E$499,E500,$G$4:$G$499,G500,$H$4:$H$499,H500,$B$4:$B$499,"DE CORTE")-SUMIFS($I$4:$I$499,$C$4:$C$499,C500,$D$4:$D$499,D500,$E$4:$E$499,E500,$G$4:$G$499,G500,$H$4:$H$499,H500,$B$4:$B$499,"SALIDA"))),0)</f>
        <v>0</v>
      </c>
      <c r="M500" s="13">
        <f t="shared" si="2"/>
        <v>0</v>
      </c>
      <c r="N500" s="14"/>
      <c r="O500" s="14"/>
      <c r="P500" s="15"/>
      <c r="Q500" s="14"/>
    </row>
    <row r="501" ht="15.75" customHeight="1">
      <c r="A501" s="7"/>
      <c r="B501" s="8"/>
      <c r="C501" s="8"/>
      <c r="D501" s="8"/>
      <c r="E501" s="8"/>
      <c r="F501" s="14"/>
      <c r="G501" s="8"/>
      <c r="H501" s="8"/>
      <c r="I501" s="9"/>
      <c r="J501" s="12" t="str">
        <f t="array" ref="J501:K501">IFERROR(INDEX(PRECIOS_COMPLEMENTOS!$C$4:$F$17,MATCH(D501&amp;"_"&amp;E501,PRECIOS_COMPLEMENTOS!$H$4:$H$17,0),IF(OR(H501="S",H501="20cm"),1,IF(OR(H501="M",H501="25cm"),2,IF(OR(H501="L",H501="30cm"),3,IF(OR(H501="XL",H501="35cm"),4,0))))),0)</f>
        <v>#REF!</v>
      </c>
      <c r="K501" s="12">
        <f t="shared" si="1"/>
        <v>0</v>
      </c>
      <c r="L501" s="13">
        <f>IFERROR(IF(C501="",0,IF(D501="PRETINA",SUMIFS($I$4:$I$500,$C$4:$C$500,C501,$D$4:$D$500,D501,$E$4:$E$500,E501,$F$4:$F$500,F501,$G$4:$G$500,G501,$H$4:$H$500,H501,$B$4:$B$500,"INGRESO")+SUMIFS($I$4:$I$500,$C$4:$C$500,C501,$D$4:$D$500,D501,$E$4:$E$500,E501,$F$4:$F$500,F501,$G$4:$G$500,G501,$H$4:$H$500,H501,$B$4:$B$500,"DE CORTE")-SUMIFS($I$4:$I$500,$C$4:$C$500,C501,$D$4:$D$500,D501,$E$4:$E$500,E501,$F$4:$F$500,F501,$G$4:$G$500,G501,$H$4:$H$500,H501,$B$4:$B$500,"SALIDA"),SUMIFS($I$4:$I$500,$C$4:$C$500,C501,$D$4:$D$500,D501,$E$4:$E$500,E501,$G$4:$G$500,G501,$H$4:$H$500,H501,$B$4:$B$500,"INGRESO")+SUMIFS($I$4:$I$500,$C$4:$C$500,C501,$D$4:$D$500,D501,$E$4:$E$500,E501,$G$4:$G$500,G501,$H$4:$H$500,H501,$B$4:$B$500,"DE CORTE")-SUMIFS($I$4:$I$500,$C$4:$C$500,C501,$D$4:$D$500,D501,$E$4:$E$500,E501,$G$4:$G$500,G501,$H$4:$H$500,H501,$B$4:$B$500,"SALIDA"))),0)</f>
        <v>0</v>
      </c>
      <c r="M501" s="13">
        <f t="shared" si="2"/>
        <v>0</v>
      </c>
      <c r="N501" s="14"/>
      <c r="O501" s="14"/>
      <c r="P501" s="15"/>
      <c r="Q501" s="14"/>
    </row>
    <row r="502" ht="15.75" customHeight="1">
      <c r="A502" s="7"/>
      <c r="B502" s="8"/>
      <c r="C502" s="8"/>
      <c r="D502" s="8"/>
      <c r="E502" s="8"/>
      <c r="F502" s="14"/>
      <c r="G502" s="8"/>
      <c r="H502" s="8"/>
      <c r="I502" s="9"/>
      <c r="J502" s="12" t="str">
        <f t="array" ref="J502:K502">IFERROR(INDEX(PRECIOS_COMPLEMENTOS!$C$4:$F$17,MATCH(D502&amp;"_"&amp;E502,PRECIOS_COMPLEMENTOS!$H$4:$H$17,0),IF(OR(H502="S",H502="20cm"),1,IF(OR(H502="M",H502="25cm"),2,IF(OR(H502="L",H502="30cm"),3,IF(OR(H502="XL",H502="35cm"),4,0))))),0)</f>
        <v>#REF!</v>
      </c>
      <c r="K502" s="12">
        <f t="shared" si="1"/>
        <v>0</v>
      </c>
      <c r="L502" s="13">
        <f>IFERROR(IF(C502="",0,IF(D502="PRETINA",SUMIFS($I$4:$I$501,$C$4:$C$501,C502,$D$4:$D$501,D502,$E$4:$E$501,E502,$F$4:$F$501,F502,$G$4:$G$501,G502,$H$4:$H$501,H502,$B$4:$B$501,"INGRESO")+SUMIFS($I$4:$I$501,$C$4:$C$501,C502,$D$4:$D$501,D502,$E$4:$E$501,E502,$F$4:$F$501,F502,$G$4:$G$501,G502,$H$4:$H$501,H502,$B$4:$B$501,"DE CORTE")-SUMIFS($I$4:$I$501,$C$4:$C$501,C502,$D$4:$D$501,D502,$E$4:$E$501,E502,$F$4:$F$501,F502,$G$4:$G$501,G502,$H$4:$H$501,H502,$B$4:$B$501,"SALIDA"),SUMIFS($I$4:$I$501,$C$4:$C$501,C502,$D$4:$D$501,D502,$E$4:$E$501,E502,$G$4:$G$501,G502,$H$4:$H$501,H502,$B$4:$B$501,"INGRESO")+SUMIFS($I$4:$I$501,$C$4:$C$501,C502,$D$4:$D$501,D502,$E$4:$E$501,E502,$G$4:$G$501,G502,$H$4:$H$501,H502,$B$4:$B$501,"DE CORTE")-SUMIFS($I$4:$I$501,$C$4:$C$501,C502,$D$4:$D$501,D502,$E$4:$E$501,E502,$G$4:$G$501,G502,$H$4:$H$501,H502,$B$4:$B$501,"SALIDA"))),0)</f>
        <v>0</v>
      </c>
      <c r="M502" s="13">
        <f t="shared" si="2"/>
        <v>0</v>
      </c>
      <c r="N502" s="14"/>
      <c r="O502" s="14"/>
      <c r="P502" s="15"/>
      <c r="Q502" s="14"/>
    </row>
    <row r="503" ht="15.75" customHeight="1">
      <c r="A503" s="7"/>
      <c r="B503" s="8"/>
      <c r="C503" s="8"/>
      <c r="D503" s="8"/>
      <c r="E503" s="8"/>
      <c r="F503" s="14"/>
      <c r="G503" s="8"/>
      <c r="H503" s="8"/>
      <c r="I503" s="9"/>
      <c r="J503" s="12" t="str">
        <f t="array" ref="J503:K503">IFERROR(INDEX(PRECIOS_COMPLEMENTOS!$C$4:$F$17,MATCH(D503&amp;"_"&amp;E503,PRECIOS_COMPLEMENTOS!$H$4:$H$17,0),IF(OR(H503="S",H503="20cm"),1,IF(OR(H503="M",H503="25cm"),2,IF(OR(H503="L",H503="30cm"),3,IF(OR(H503="XL",H503="35cm"),4,0))))),0)</f>
        <v>#REF!</v>
      </c>
      <c r="K503" s="12">
        <f t="shared" si="1"/>
        <v>0</v>
      </c>
      <c r="L503" s="13">
        <f>IFERROR(IF(C503="",0,IF(D503="PRETINA",SUMIFS($I$4:$I$502,$C$4:$C$502,C503,$D$4:$D$502,D503,$E$4:$E$502,E503,$F$4:$F$502,F503,$G$4:$G$502,G503,$H$4:$H$502,H503,$B$4:$B$502,"INGRESO")+SUMIFS($I$4:$I$502,$C$4:$C$502,C503,$D$4:$D$502,D503,$E$4:$E$502,E503,$F$4:$F$502,F503,$G$4:$G$502,G503,$H$4:$H$502,H503,$B$4:$B$502,"DE CORTE")-SUMIFS($I$4:$I$502,$C$4:$C$502,C503,$D$4:$D$502,D503,$E$4:$E$502,E503,$F$4:$F$502,F503,$G$4:$G$502,G503,$H$4:$H$502,H503,$B$4:$B$502,"SALIDA"),SUMIFS($I$4:$I$502,$C$4:$C$502,C503,$D$4:$D$502,D503,$E$4:$E$502,E503,$G$4:$G$502,G503,$H$4:$H$502,H503,$B$4:$B$502,"INGRESO")+SUMIFS($I$4:$I$502,$C$4:$C$502,C503,$D$4:$D$502,D503,$E$4:$E$502,E503,$G$4:$G$502,G503,$H$4:$H$502,H503,$B$4:$B$502,"DE CORTE")-SUMIFS($I$4:$I$502,$C$4:$C$502,C503,$D$4:$D$502,D503,$E$4:$E$502,E503,$G$4:$G$502,G503,$H$4:$H$502,H503,$B$4:$B$502,"SALIDA"))),0)</f>
        <v>0</v>
      </c>
      <c r="M503" s="13">
        <f t="shared" si="2"/>
        <v>0</v>
      </c>
      <c r="N503" s="14"/>
      <c r="O503" s="14"/>
      <c r="P503" s="15"/>
      <c r="Q503" s="14"/>
    </row>
    <row r="504" ht="15.75" customHeight="1">
      <c r="A504" s="7"/>
      <c r="B504" s="8"/>
      <c r="C504" s="8"/>
      <c r="D504" s="8"/>
      <c r="E504" s="8"/>
      <c r="F504" s="14"/>
      <c r="G504" s="8"/>
      <c r="H504" s="8"/>
      <c r="I504" s="9"/>
      <c r="J504" s="12" t="str">
        <f t="array" ref="J504:K504">IFERROR(INDEX(PRECIOS_COMPLEMENTOS!$C$4:$F$17,MATCH(D504&amp;"_"&amp;E504,PRECIOS_COMPLEMENTOS!$H$4:$H$17,0),IF(OR(H504="S",H504="20cm"),1,IF(OR(H504="M",H504="25cm"),2,IF(OR(H504="L",H504="30cm"),3,IF(OR(H504="XL",H504="35cm"),4,0))))),0)</f>
        <v>#REF!</v>
      </c>
      <c r="K504" s="12">
        <f t="shared" si="1"/>
        <v>0</v>
      </c>
      <c r="L504" s="13">
        <f>IFERROR(IF(C504="",0,IF(D504="PRETINA",SUMIFS($I$4:$I$503,$C$4:$C$503,C504,$D$4:$D$503,D504,$E$4:$E$503,E504,$F$4:$F$503,F504,$G$4:$G$503,G504,$H$4:$H$503,H504,$B$4:$B$503,"INGRESO")+SUMIFS($I$4:$I$503,$C$4:$C$503,C504,$D$4:$D$503,D504,$E$4:$E$503,E504,$F$4:$F$503,F504,$G$4:$G$503,G504,$H$4:$H$503,H504,$B$4:$B$503,"DE CORTE")-SUMIFS($I$4:$I$503,$C$4:$C$503,C504,$D$4:$D$503,D504,$E$4:$E$503,E504,$F$4:$F$503,F504,$G$4:$G$503,G504,$H$4:$H$503,H504,$B$4:$B$503,"SALIDA"),SUMIFS($I$4:$I$503,$C$4:$C$503,C504,$D$4:$D$503,D504,$E$4:$E$503,E504,$G$4:$G$503,G504,$H$4:$H$503,H504,$B$4:$B$503,"INGRESO")+SUMIFS($I$4:$I$503,$C$4:$C$503,C504,$D$4:$D$503,D504,$E$4:$E$503,E504,$G$4:$G$503,G504,$H$4:$H$503,H504,$B$4:$B$503,"DE CORTE")-SUMIFS($I$4:$I$503,$C$4:$C$503,C504,$D$4:$D$503,D504,$E$4:$E$503,E504,$G$4:$G$503,G504,$H$4:$H$503,H504,$B$4:$B$503,"SALIDA"))),0)</f>
        <v>0</v>
      </c>
      <c r="M504" s="13">
        <f t="shared" si="2"/>
        <v>0</v>
      </c>
      <c r="N504" s="14"/>
      <c r="O504" s="14"/>
      <c r="P504" s="15"/>
      <c r="Q504" s="14"/>
    </row>
    <row r="505" ht="15.75" customHeight="1">
      <c r="A505" s="7"/>
      <c r="B505" s="8"/>
      <c r="C505" s="8"/>
      <c r="D505" s="8"/>
      <c r="E505" s="8"/>
      <c r="F505" s="14"/>
      <c r="G505" s="8"/>
      <c r="H505" s="8"/>
      <c r="I505" s="9"/>
      <c r="J505" s="12" t="str">
        <f t="array" ref="J505:K505">IFERROR(INDEX(PRECIOS_COMPLEMENTOS!$C$4:$F$17,MATCH(D505&amp;"_"&amp;E505,PRECIOS_COMPLEMENTOS!$H$4:$H$17,0),IF(OR(H505="S",H505="20cm"),1,IF(OR(H505="M",H505="25cm"),2,IF(OR(H505="L",H505="30cm"),3,IF(OR(H505="XL",H505="35cm"),4,0))))),0)</f>
        <v>#REF!</v>
      </c>
      <c r="K505" s="12">
        <f t="shared" si="1"/>
        <v>0</v>
      </c>
      <c r="L505" s="13">
        <f>IFERROR(IF(C505="",0,IF(D505="PRETINA",SUMIFS($I$4:$I$504,$C$4:$C$504,C505,$D$4:$D$504,D505,$E$4:$E$504,E505,$F$4:$F$504,F505,$G$4:$G$504,G505,$H$4:$H$504,H505,$B$4:$B$504,"INGRESO")+SUMIFS($I$4:$I$504,$C$4:$C$504,C505,$D$4:$D$504,D505,$E$4:$E$504,E505,$F$4:$F$504,F505,$G$4:$G$504,G505,$H$4:$H$504,H505,$B$4:$B$504,"DE CORTE")-SUMIFS($I$4:$I$504,$C$4:$C$504,C505,$D$4:$D$504,D505,$E$4:$E$504,E505,$F$4:$F$504,F505,$G$4:$G$504,G505,$H$4:$H$504,H505,$B$4:$B$504,"SALIDA"),SUMIFS($I$4:$I$504,$C$4:$C$504,C505,$D$4:$D$504,D505,$E$4:$E$504,E505,$G$4:$G$504,G505,$H$4:$H$504,H505,$B$4:$B$504,"INGRESO")+SUMIFS($I$4:$I$504,$C$4:$C$504,C505,$D$4:$D$504,D505,$E$4:$E$504,E505,$G$4:$G$504,G505,$H$4:$H$504,H505,$B$4:$B$504,"DE CORTE")-SUMIFS($I$4:$I$504,$C$4:$C$504,C505,$D$4:$D$504,D505,$E$4:$E$504,E505,$G$4:$G$504,G505,$H$4:$H$504,H505,$B$4:$B$504,"SALIDA"))),0)</f>
        <v>0</v>
      </c>
      <c r="M505" s="13">
        <f t="shared" si="2"/>
        <v>0</v>
      </c>
      <c r="N505" s="14"/>
      <c r="O505" s="14"/>
      <c r="P505" s="15"/>
      <c r="Q505" s="14"/>
    </row>
    <row r="506" ht="15.75" customHeight="1">
      <c r="A506" s="7"/>
      <c r="B506" s="8"/>
      <c r="C506" s="8"/>
      <c r="D506" s="8"/>
      <c r="E506" s="8"/>
      <c r="F506" s="14"/>
      <c r="G506" s="8"/>
      <c r="H506" s="8"/>
      <c r="I506" s="9"/>
      <c r="J506" s="12" t="str">
        <f t="array" ref="J506:K506">IFERROR(INDEX(PRECIOS_COMPLEMENTOS!$C$4:$F$17,MATCH(D506&amp;"_"&amp;E506,PRECIOS_COMPLEMENTOS!$H$4:$H$17,0),IF(OR(H506="S",H506="20cm"),1,IF(OR(H506="M",H506="25cm"),2,IF(OR(H506="L",H506="30cm"),3,IF(OR(H506="XL",H506="35cm"),4,0))))),0)</f>
        <v>#REF!</v>
      </c>
      <c r="K506" s="12">
        <f t="shared" si="1"/>
        <v>0</v>
      </c>
      <c r="L506" s="13">
        <f>IFERROR(IF(C506="",0,IF(D506="PRETINA",SUMIFS($I$4:$I$505,$C$4:$C$505,C506,$D$4:$D$505,D506,$E$4:$E$505,E506,$F$4:$F$505,F506,$G$4:$G$505,G506,$H$4:$H$505,H506,$B$4:$B$505,"INGRESO")+SUMIFS($I$4:$I$505,$C$4:$C$505,C506,$D$4:$D$505,D506,$E$4:$E$505,E506,$F$4:$F$505,F506,$G$4:$G$505,G506,$H$4:$H$505,H506,$B$4:$B$505,"DE CORTE")-SUMIFS($I$4:$I$505,$C$4:$C$505,C506,$D$4:$D$505,D506,$E$4:$E$505,E506,$F$4:$F$505,F506,$G$4:$G$505,G506,$H$4:$H$505,H506,$B$4:$B$505,"SALIDA"),SUMIFS($I$4:$I$505,$C$4:$C$505,C506,$D$4:$D$505,D506,$E$4:$E$505,E506,$G$4:$G$505,G506,$H$4:$H$505,H506,$B$4:$B$505,"INGRESO")+SUMIFS($I$4:$I$505,$C$4:$C$505,C506,$D$4:$D$505,D506,$E$4:$E$505,E506,$G$4:$G$505,G506,$H$4:$H$505,H506,$B$4:$B$505,"DE CORTE")-SUMIFS($I$4:$I$505,$C$4:$C$505,C506,$D$4:$D$505,D506,$E$4:$E$505,E506,$G$4:$G$505,G506,$H$4:$H$505,H506,$B$4:$B$505,"SALIDA"))),0)</f>
        <v>0</v>
      </c>
      <c r="M506" s="13">
        <f t="shared" si="2"/>
        <v>0</v>
      </c>
      <c r="N506" s="14"/>
      <c r="O506" s="14"/>
      <c r="P506" s="15"/>
      <c r="Q506" s="14"/>
    </row>
    <row r="507" ht="15.75" customHeight="1">
      <c r="A507" s="7"/>
      <c r="B507" s="8"/>
      <c r="C507" s="8"/>
      <c r="D507" s="8"/>
      <c r="E507" s="8"/>
      <c r="F507" s="14"/>
      <c r="G507" s="8"/>
      <c r="H507" s="8"/>
      <c r="I507" s="9"/>
      <c r="J507" s="12" t="str">
        <f t="array" ref="J507:K507">IFERROR(INDEX(PRECIOS_COMPLEMENTOS!$C$4:$F$17,MATCH(D507&amp;"_"&amp;E507,PRECIOS_COMPLEMENTOS!$H$4:$H$17,0),IF(OR(H507="S",H507="20cm"),1,IF(OR(H507="M",H507="25cm"),2,IF(OR(H507="L",H507="30cm"),3,IF(OR(H507="XL",H507="35cm"),4,0))))),0)</f>
        <v>#REF!</v>
      </c>
      <c r="K507" s="12">
        <f t="shared" si="1"/>
        <v>0</v>
      </c>
      <c r="L507" s="13">
        <f>IFERROR(IF(C507="",0,IF(D507="PRETINA",SUMIFS($I$4:$I$506,$C$4:$C$506,C507,$D$4:$D$506,D507,$E$4:$E$506,E507,$F$4:$F$506,F507,$G$4:$G$506,G507,$H$4:$H$506,H507,$B$4:$B$506,"INGRESO")+SUMIFS($I$4:$I$506,$C$4:$C$506,C507,$D$4:$D$506,D507,$E$4:$E$506,E507,$F$4:$F$506,F507,$G$4:$G$506,G507,$H$4:$H$506,H507,$B$4:$B$506,"DE CORTE")-SUMIFS($I$4:$I$506,$C$4:$C$506,C507,$D$4:$D$506,D507,$E$4:$E$506,E507,$F$4:$F$506,F507,$G$4:$G$506,G507,$H$4:$H$506,H507,$B$4:$B$506,"SALIDA"),SUMIFS($I$4:$I$506,$C$4:$C$506,C507,$D$4:$D$506,D507,$E$4:$E$506,E507,$G$4:$G$506,G507,$H$4:$H$506,H507,$B$4:$B$506,"INGRESO")+SUMIFS($I$4:$I$506,$C$4:$C$506,C507,$D$4:$D$506,D507,$E$4:$E$506,E507,$G$4:$G$506,G507,$H$4:$H$506,H507,$B$4:$B$506,"DE CORTE")-SUMIFS($I$4:$I$506,$C$4:$C$506,C507,$D$4:$D$506,D507,$E$4:$E$506,E507,$G$4:$G$506,G507,$H$4:$H$506,H507,$B$4:$B$506,"SALIDA"))),0)</f>
        <v>0</v>
      </c>
      <c r="M507" s="13">
        <f t="shared" si="2"/>
        <v>0</v>
      </c>
      <c r="N507" s="14"/>
      <c r="O507" s="14"/>
      <c r="P507" s="15"/>
      <c r="Q507" s="14"/>
    </row>
    <row r="508" ht="15.75" customHeight="1">
      <c r="A508" s="7"/>
      <c r="B508" s="8"/>
      <c r="C508" s="8"/>
      <c r="D508" s="8"/>
      <c r="E508" s="8"/>
      <c r="F508" s="14"/>
      <c r="G508" s="8"/>
      <c r="H508" s="8"/>
      <c r="I508" s="9"/>
      <c r="J508" s="12" t="str">
        <f t="array" ref="J508:K508">IFERROR(INDEX(PRECIOS_COMPLEMENTOS!$C$4:$F$17,MATCH(D508&amp;"_"&amp;E508,PRECIOS_COMPLEMENTOS!$H$4:$H$17,0),IF(OR(H508="S",H508="20cm"),1,IF(OR(H508="M",H508="25cm"),2,IF(OR(H508="L",H508="30cm"),3,IF(OR(H508="XL",H508="35cm"),4,0))))),0)</f>
        <v>#REF!</v>
      </c>
      <c r="K508" s="12">
        <f t="shared" si="1"/>
        <v>0</v>
      </c>
      <c r="L508" s="13">
        <f>IFERROR(IF(C508="",0,IF(D508="PRETINA",SUMIFS($I$4:$I$507,$C$4:$C$507,C508,$D$4:$D$507,D508,$E$4:$E$507,E508,$F$4:$F$507,F508,$G$4:$G$507,G508,$H$4:$H$507,H508,$B$4:$B$507,"INGRESO")+SUMIFS($I$4:$I$507,$C$4:$C$507,C508,$D$4:$D$507,D508,$E$4:$E$507,E508,$F$4:$F$507,F508,$G$4:$G$507,G508,$H$4:$H$507,H508,$B$4:$B$507,"DE CORTE")-SUMIFS($I$4:$I$507,$C$4:$C$507,C508,$D$4:$D$507,D508,$E$4:$E$507,E508,$F$4:$F$507,F508,$G$4:$G$507,G508,$H$4:$H$507,H508,$B$4:$B$507,"SALIDA"),SUMIFS($I$4:$I$507,$C$4:$C$507,C508,$D$4:$D$507,D508,$E$4:$E$507,E508,$G$4:$G$507,G508,$H$4:$H$507,H508,$B$4:$B$507,"INGRESO")+SUMIFS($I$4:$I$507,$C$4:$C$507,C508,$D$4:$D$507,D508,$E$4:$E$507,E508,$G$4:$G$507,G508,$H$4:$H$507,H508,$B$4:$B$507,"DE CORTE")-SUMIFS($I$4:$I$507,$C$4:$C$507,C508,$D$4:$D$507,D508,$E$4:$E$507,E508,$G$4:$G$507,G508,$H$4:$H$507,H508,$B$4:$B$507,"SALIDA"))),0)</f>
        <v>0</v>
      </c>
      <c r="M508" s="13">
        <f t="shared" si="2"/>
        <v>0</v>
      </c>
      <c r="N508" s="14"/>
      <c r="O508" s="14"/>
      <c r="P508" s="15"/>
      <c r="Q508" s="14"/>
    </row>
    <row r="509" ht="15.75" customHeight="1">
      <c r="A509" s="7"/>
      <c r="B509" s="8"/>
      <c r="C509" s="8"/>
      <c r="D509" s="8"/>
      <c r="E509" s="8"/>
      <c r="F509" s="14"/>
      <c r="G509" s="8"/>
      <c r="H509" s="8"/>
      <c r="I509" s="9"/>
      <c r="J509" s="12" t="str">
        <f t="array" ref="J509:K509">IFERROR(INDEX(PRECIOS_COMPLEMENTOS!$C$4:$F$17,MATCH(D509&amp;"_"&amp;E509,PRECIOS_COMPLEMENTOS!$H$4:$H$17,0),IF(OR(H509="S",H509="20cm"),1,IF(OR(H509="M",H509="25cm"),2,IF(OR(H509="L",H509="30cm"),3,IF(OR(H509="XL",H509="35cm"),4,0))))),0)</f>
        <v>#REF!</v>
      </c>
      <c r="K509" s="12">
        <f t="shared" si="1"/>
        <v>0</v>
      </c>
      <c r="L509" s="13">
        <f>IFERROR(IF(C509="",0,IF(D509="PRETINA",SUMIFS($I$4:$I$508,$C$4:$C$508,C509,$D$4:$D$508,D509,$E$4:$E$508,E509,$F$4:$F$508,F509,$G$4:$G$508,G509,$H$4:$H$508,H509,$B$4:$B$508,"INGRESO")+SUMIFS($I$4:$I$508,$C$4:$C$508,C509,$D$4:$D$508,D509,$E$4:$E$508,E509,$F$4:$F$508,F509,$G$4:$G$508,G509,$H$4:$H$508,H509,$B$4:$B$508,"DE CORTE")-SUMIFS($I$4:$I$508,$C$4:$C$508,C509,$D$4:$D$508,D509,$E$4:$E$508,E509,$F$4:$F$508,F509,$G$4:$G$508,G509,$H$4:$H$508,H509,$B$4:$B$508,"SALIDA"),SUMIFS($I$4:$I$508,$C$4:$C$508,C509,$D$4:$D$508,D509,$E$4:$E$508,E509,$G$4:$G$508,G509,$H$4:$H$508,H509,$B$4:$B$508,"INGRESO")+SUMIFS($I$4:$I$508,$C$4:$C$508,C509,$D$4:$D$508,D509,$E$4:$E$508,E509,$G$4:$G$508,G509,$H$4:$H$508,H509,$B$4:$B$508,"DE CORTE")-SUMIFS($I$4:$I$508,$C$4:$C$508,C509,$D$4:$D$508,D509,$E$4:$E$508,E509,$G$4:$G$508,G509,$H$4:$H$508,H509,$B$4:$B$508,"SALIDA"))),0)</f>
        <v>0</v>
      </c>
      <c r="M509" s="13">
        <f t="shared" si="2"/>
        <v>0</v>
      </c>
      <c r="N509" s="14"/>
      <c r="O509" s="14"/>
      <c r="P509" s="15"/>
      <c r="Q509" s="14"/>
    </row>
    <row r="510" ht="15.75" customHeight="1">
      <c r="A510" s="7"/>
      <c r="B510" s="8"/>
      <c r="C510" s="8"/>
      <c r="D510" s="8"/>
      <c r="E510" s="8"/>
      <c r="F510" s="14"/>
      <c r="G510" s="8"/>
      <c r="H510" s="8"/>
      <c r="I510" s="9"/>
      <c r="J510" s="12" t="str">
        <f t="array" ref="J510:K510">IFERROR(INDEX(PRECIOS_COMPLEMENTOS!$C$4:$F$17,MATCH(D510&amp;"_"&amp;E510,PRECIOS_COMPLEMENTOS!$H$4:$H$17,0),IF(OR(H510="S",H510="20cm"),1,IF(OR(H510="M",H510="25cm"),2,IF(OR(H510="L",H510="30cm"),3,IF(OR(H510="XL",H510="35cm"),4,0))))),0)</f>
        <v>#REF!</v>
      </c>
      <c r="K510" s="12">
        <f t="shared" si="1"/>
        <v>0</v>
      </c>
      <c r="L510" s="13">
        <f>IFERROR(IF(C510="",0,IF(D510="PRETINA",SUMIFS($I$4:$I$509,$C$4:$C$509,C510,$D$4:$D$509,D510,$E$4:$E$509,E510,$F$4:$F$509,F510,$G$4:$G$509,G510,$H$4:$H$509,H510,$B$4:$B$509,"INGRESO")+SUMIFS($I$4:$I$509,$C$4:$C$509,C510,$D$4:$D$509,D510,$E$4:$E$509,E510,$F$4:$F$509,F510,$G$4:$G$509,G510,$H$4:$H$509,H510,$B$4:$B$509,"DE CORTE")-SUMIFS($I$4:$I$509,$C$4:$C$509,C510,$D$4:$D$509,D510,$E$4:$E$509,E510,$F$4:$F$509,F510,$G$4:$G$509,G510,$H$4:$H$509,H510,$B$4:$B$509,"SALIDA"),SUMIFS($I$4:$I$509,$C$4:$C$509,C510,$D$4:$D$509,D510,$E$4:$E$509,E510,$G$4:$G$509,G510,$H$4:$H$509,H510,$B$4:$B$509,"INGRESO")+SUMIFS($I$4:$I$509,$C$4:$C$509,C510,$D$4:$D$509,D510,$E$4:$E$509,E510,$G$4:$G$509,G510,$H$4:$H$509,H510,$B$4:$B$509,"DE CORTE")-SUMIFS($I$4:$I$509,$C$4:$C$509,C510,$D$4:$D$509,D510,$E$4:$E$509,E510,$G$4:$G$509,G510,$H$4:$H$509,H510,$B$4:$B$509,"SALIDA"))),0)</f>
        <v>0</v>
      </c>
      <c r="M510" s="13">
        <f t="shared" si="2"/>
        <v>0</v>
      </c>
      <c r="N510" s="14"/>
      <c r="O510" s="14"/>
      <c r="P510" s="15"/>
      <c r="Q510" s="14"/>
    </row>
    <row r="511" ht="15.75" customHeight="1">
      <c r="A511" s="7"/>
      <c r="B511" s="8"/>
      <c r="C511" s="8"/>
      <c r="D511" s="8"/>
      <c r="E511" s="8"/>
      <c r="F511" s="14"/>
      <c r="G511" s="8"/>
      <c r="H511" s="8"/>
      <c r="I511" s="9"/>
      <c r="J511" s="12" t="str">
        <f t="array" ref="J511:K511">IFERROR(INDEX(PRECIOS_COMPLEMENTOS!$C$4:$F$17,MATCH(D511&amp;"_"&amp;E511,PRECIOS_COMPLEMENTOS!$H$4:$H$17,0),IF(OR(H511="S",H511="20cm"),1,IF(OR(H511="M",H511="25cm"),2,IF(OR(H511="L",H511="30cm"),3,IF(OR(H511="XL",H511="35cm"),4,0))))),0)</f>
        <v>#REF!</v>
      </c>
      <c r="K511" s="12">
        <f t="shared" si="1"/>
        <v>0</v>
      </c>
      <c r="L511" s="13">
        <f>IFERROR(IF(C511="",0,IF(D511="PRETINA",SUMIFS($I$4:$I$510,$C$4:$C$510,C511,$D$4:$D$510,D511,$E$4:$E$510,E511,$F$4:$F$510,F511,$G$4:$G$510,G511,$H$4:$H$510,H511,$B$4:$B$510,"INGRESO")+SUMIFS($I$4:$I$510,$C$4:$C$510,C511,$D$4:$D$510,D511,$E$4:$E$510,E511,$F$4:$F$510,F511,$G$4:$G$510,G511,$H$4:$H$510,H511,$B$4:$B$510,"DE CORTE")-SUMIFS($I$4:$I$510,$C$4:$C$510,C511,$D$4:$D$510,D511,$E$4:$E$510,E511,$F$4:$F$510,F511,$G$4:$G$510,G511,$H$4:$H$510,H511,$B$4:$B$510,"SALIDA"),SUMIFS($I$4:$I$510,$C$4:$C$510,C511,$D$4:$D$510,D511,$E$4:$E$510,E511,$G$4:$G$510,G511,$H$4:$H$510,H511,$B$4:$B$510,"INGRESO")+SUMIFS($I$4:$I$510,$C$4:$C$510,C511,$D$4:$D$510,D511,$E$4:$E$510,E511,$G$4:$G$510,G511,$H$4:$H$510,H511,$B$4:$B$510,"DE CORTE")-SUMIFS($I$4:$I$510,$C$4:$C$510,C511,$D$4:$D$510,D511,$E$4:$E$510,E511,$G$4:$G$510,G511,$H$4:$H$510,H511,$B$4:$B$510,"SALIDA"))),0)</f>
        <v>0</v>
      </c>
      <c r="M511" s="13">
        <f t="shared" si="2"/>
        <v>0</v>
      </c>
      <c r="N511" s="14"/>
      <c r="O511" s="14"/>
      <c r="P511" s="15"/>
      <c r="Q511" s="14"/>
    </row>
    <row r="512" ht="15.75" customHeight="1">
      <c r="A512" s="7"/>
      <c r="B512" s="8"/>
      <c r="C512" s="8"/>
      <c r="D512" s="8"/>
      <c r="E512" s="8"/>
      <c r="F512" s="14"/>
      <c r="G512" s="8"/>
      <c r="H512" s="8"/>
      <c r="I512" s="9"/>
      <c r="J512" s="12" t="str">
        <f t="array" ref="J512:K512">IFERROR(INDEX(PRECIOS_COMPLEMENTOS!$C$4:$F$17,MATCH(D512&amp;"_"&amp;E512,PRECIOS_COMPLEMENTOS!$H$4:$H$17,0),IF(OR(H512="S",H512="20cm"),1,IF(OR(H512="M",H512="25cm"),2,IF(OR(H512="L",H512="30cm"),3,IF(OR(H512="XL",H512="35cm"),4,0))))),0)</f>
        <v>#REF!</v>
      </c>
      <c r="K512" s="12">
        <f t="shared" si="1"/>
        <v>0</v>
      </c>
      <c r="L512" s="13">
        <f>IFERROR(IF(C512="",0,IF(D512="PRETINA",SUMIFS($I$4:$I$511,$C$4:$C$511,C512,$D$4:$D$511,D512,$E$4:$E$511,E512,$F$4:$F$511,F512,$G$4:$G$511,G512,$H$4:$H$511,H512,$B$4:$B$511,"INGRESO")+SUMIFS($I$4:$I$511,$C$4:$C$511,C512,$D$4:$D$511,D512,$E$4:$E$511,E512,$F$4:$F$511,F512,$G$4:$G$511,G512,$H$4:$H$511,H512,$B$4:$B$511,"DE CORTE")-SUMIFS($I$4:$I$511,$C$4:$C$511,C512,$D$4:$D$511,D512,$E$4:$E$511,E512,$F$4:$F$511,F512,$G$4:$G$511,G512,$H$4:$H$511,H512,$B$4:$B$511,"SALIDA"),SUMIFS($I$4:$I$511,$C$4:$C$511,C512,$D$4:$D$511,D512,$E$4:$E$511,E512,$G$4:$G$511,G512,$H$4:$H$511,H512,$B$4:$B$511,"INGRESO")+SUMIFS($I$4:$I$511,$C$4:$C$511,C512,$D$4:$D$511,D512,$E$4:$E$511,E512,$G$4:$G$511,G512,$H$4:$H$511,H512,$B$4:$B$511,"DE CORTE")-SUMIFS($I$4:$I$511,$C$4:$C$511,C512,$D$4:$D$511,D512,$E$4:$E$511,E512,$G$4:$G$511,G512,$H$4:$H$511,H512,$B$4:$B$511,"SALIDA"))),0)</f>
        <v>0</v>
      </c>
      <c r="M512" s="13">
        <f t="shared" si="2"/>
        <v>0</v>
      </c>
      <c r="N512" s="14"/>
      <c r="O512" s="14"/>
      <c r="P512" s="15"/>
      <c r="Q512" s="14"/>
    </row>
    <row r="513" ht="15.75" customHeight="1">
      <c r="A513" s="7"/>
      <c r="B513" s="8"/>
      <c r="C513" s="8"/>
      <c r="D513" s="8"/>
      <c r="E513" s="8"/>
      <c r="F513" s="14"/>
      <c r="G513" s="8"/>
      <c r="H513" s="8"/>
      <c r="I513" s="9"/>
      <c r="J513" s="12" t="str">
        <f t="array" ref="J513:K513">IFERROR(INDEX(PRECIOS_COMPLEMENTOS!$C$4:$F$17,MATCH(D513&amp;"_"&amp;E513,PRECIOS_COMPLEMENTOS!$H$4:$H$17,0),IF(OR(H513="S",H513="20cm"),1,IF(OR(H513="M",H513="25cm"),2,IF(OR(H513="L",H513="30cm"),3,IF(OR(H513="XL",H513="35cm"),4,0))))),0)</f>
        <v>#REF!</v>
      </c>
      <c r="K513" s="12">
        <f t="shared" si="1"/>
        <v>0</v>
      </c>
      <c r="L513" s="13">
        <f>IFERROR(IF(C513="",0,IF(D513="PRETINA",SUMIFS($I$4:$I$512,$C$4:$C$512,C513,$D$4:$D$512,D513,$E$4:$E$512,E513,$F$4:$F$512,F513,$G$4:$G$512,G513,$H$4:$H$512,H513,$B$4:$B$512,"INGRESO")+SUMIFS($I$4:$I$512,$C$4:$C$512,C513,$D$4:$D$512,D513,$E$4:$E$512,E513,$F$4:$F$512,F513,$G$4:$G$512,G513,$H$4:$H$512,H513,$B$4:$B$512,"DE CORTE")-SUMIFS($I$4:$I$512,$C$4:$C$512,C513,$D$4:$D$512,D513,$E$4:$E$512,E513,$F$4:$F$512,F513,$G$4:$G$512,G513,$H$4:$H$512,H513,$B$4:$B$512,"SALIDA"),SUMIFS($I$4:$I$512,$C$4:$C$512,C513,$D$4:$D$512,D513,$E$4:$E$512,E513,$G$4:$G$512,G513,$H$4:$H$512,H513,$B$4:$B$512,"INGRESO")+SUMIFS($I$4:$I$512,$C$4:$C$512,C513,$D$4:$D$512,D513,$E$4:$E$512,E513,$G$4:$G$512,G513,$H$4:$H$512,H513,$B$4:$B$512,"DE CORTE")-SUMIFS($I$4:$I$512,$C$4:$C$512,C513,$D$4:$D$512,D513,$E$4:$E$512,E513,$G$4:$G$512,G513,$H$4:$H$512,H513,$B$4:$B$512,"SALIDA"))),0)</f>
        <v>0</v>
      </c>
      <c r="M513" s="13">
        <f t="shared" si="2"/>
        <v>0</v>
      </c>
      <c r="N513" s="14"/>
      <c r="O513" s="14"/>
      <c r="P513" s="15"/>
      <c r="Q513" s="14"/>
    </row>
    <row r="514" ht="15.75" customHeight="1">
      <c r="A514" s="7"/>
      <c r="B514" s="8"/>
      <c r="C514" s="8"/>
      <c r="D514" s="8"/>
      <c r="E514" s="8"/>
      <c r="F514" s="14"/>
      <c r="G514" s="8"/>
      <c r="H514" s="8"/>
      <c r="I514" s="9"/>
      <c r="J514" s="12" t="str">
        <f t="array" ref="J514:K514">IFERROR(INDEX(PRECIOS_COMPLEMENTOS!$C$4:$F$17,MATCH(D514&amp;"_"&amp;E514,PRECIOS_COMPLEMENTOS!$H$4:$H$17,0),IF(OR(H514="S",H514="20cm"),1,IF(OR(H514="M",H514="25cm"),2,IF(OR(H514="L",H514="30cm"),3,IF(OR(H514="XL",H514="35cm"),4,0))))),0)</f>
        <v>#REF!</v>
      </c>
      <c r="K514" s="12">
        <f t="shared" si="1"/>
        <v>0</v>
      </c>
      <c r="L514" s="13">
        <f>IFERROR(IF(C514="",0,IF(D514="PRETINA",SUMIFS($I$4:$I$513,$C$4:$C$513,C514,$D$4:$D$513,D514,$E$4:$E$513,E514,$F$4:$F$513,F514,$G$4:$G$513,G514,$H$4:$H$513,H514,$B$4:$B$513,"INGRESO")+SUMIFS($I$4:$I$513,$C$4:$C$513,C514,$D$4:$D$513,D514,$E$4:$E$513,E514,$F$4:$F$513,F514,$G$4:$G$513,G514,$H$4:$H$513,H514,$B$4:$B$513,"DE CORTE")-SUMIFS($I$4:$I$513,$C$4:$C$513,C514,$D$4:$D$513,D514,$E$4:$E$513,E514,$F$4:$F$513,F514,$G$4:$G$513,G514,$H$4:$H$513,H514,$B$4:$B$513,"SALIDA"),SUMIFS($I$4:$I$513,$C$4:$C$513,C514,$D$4:$D$513,D514,$E$4:$E$513,E514,$G$4:$G$513,G514,$H$4:$H$513,H514,$B$4:$B$513,"INGRESO")+SUMIFS($I$4:$I$513,$C$4:$C$513,C514,$D$4:$D$513,D514,$E$4:$E$513,E514,$G$4:$G$513,G514,$H$4:$H$513,H514,$B$4:$B$513,"DE CORTE")-SUMIFS($I$4:$I$513,$C$4:$C$513,C514,$D$4:$D$513,D514,$E$4:$E$513,E514,$G$4:$G$513,G514,$H$4:$H$513,H514,$B$4:$B$513,"SALIDA"))),0)</f>
        <v>0</v>
      </c>
      <c r="M514" s="13">
        <f t="shared" si="2"/>
        <v>0</v>
      </c>
      <c r="N514" s="14"/>
      <c r="O514" s="14"/>
      <c r="P514" s="15"/>
      <c r="Q514" s="14"/>
    </row>
    <row r="515" ht="15.75" customHeight="1">
      <c r="A515" s="7"/>
      <c r="B515" s="8"/>
      <c r="C515" s="8"/>
      <c r="D515" s="8"/>
      <c r="E515" s="8"/>
      <c r="F515" s="14"/>
      <c r="G515" s="8"/>
      <c r="H515" s="8"/>
      <c r="I515" s="9"/>
      <c r="J515" s="12" t="str">
        <f t="array" ref="J515:K515">IFERROR(INDEX(PRECIOS_COMPLEMENTOS!$C$4:$F$17,MATCH(D515&amp;"_"&amp;E515,PRECIOS_COMPLEMENTOS!$H$4:$H$17,0),IF(OR(H515="S",H515="20cm"),1,IF(OR(H515="M",H515="25cm"),2,IF(OR(H515="L",H515="30cm"),3,IF(OR(H515="XL",H515="35cm"),4,0))))),0)</f>
        <v>#REF!</v>
      </c>
      <c r="K515" s="12">
        <f t="shared" si="1"/>
        <v>0</v>
      </c>
      <c r="L515" s="13">
        <f>IFERROR(IF(C515="",0,IF(D515="PRETINA",SUMIFS($I$4:$I$514,$C$4:$C$514,C515,$D$4:$D$514,D515,$E$4:$E$514,E515,$F$4:$F$514,F515,$G$4:$G$514,G515,$H$4:$H$514,H515,$B$4:$B$514,"INGRESO")+SUMIFS($I$4:$I$514,$C$4:$C$514,C515,$D$4:$D$514,D515,$E$4:$E$514,E515,$F$4:$F$514,F515,$G$4:$G$514,G515,$H$4:$H$514,H515,$B$4:$B$514,"DE CORTE")-SUMIFS($I$4:$I$514,$C$4:$C$514,C515,$D$4:$D$514,D515,$E$4:$E$514,E515,$F$4:$F$514,F515,$G$4:$G$514,G515,$H$4:$H$514,H515,$B$4:$B$514,"SALIDA"),SUMIFS($I$4:$I$514,$C$4:$C$514,C515,$D$4:$D$514,D515,$E$4:$E$514,E515,$G$4:$G$514,G515,$H$4:$H$514,H515,$B$4:$B$514,"INGRESO")+SUMIFS($I$4:$I$514,$C$4:$C$514,C515,$D$4:$D$514,D515,$E$4:$E$514,E515,$G$4:$G$514,G515,$H$4:$H$514,H515,$B$4:$B$514,"DE CORTE")-SUMIFS($I$4:$I$514,$C$4:$C$514,C515,$D$4:$D$514,D515,$E$4:$E$514,E515,$G$4:$G$514,G515,$H$4:$H$514,H515,$B$4:$B$514,"SALIDA"))),0)</f>
        <v>0</v>
      </c>
      <c r="M515" s="13">
        <f t="shared" si="2"/>
        <v>0</v>
      </c>
      <c r="N515" s="14"/>
      <c r="O515" s="14"/>
      <c r="P515" s="15"/>
      <c r="Q515" s="14"/>
    </row>
    <row r="516" ht="15.75" customHeight="1">
      <c r="A516" s="7"/>
      <c r="B516" s="8"/>
      <c r="C516" s="8"/>
      <c r="D516" s="8"/>
      <c r="E516" s="8"/>
      <c r="F516" s="14"/>
      <c r="G516" s="8"/>
      <c r="H516" s="8"/>
      <c r="I516" s="9"/>
      <c r="J516" s="12" t="str">
        <f t="array" ref="J516:K516">IFERROR(INDEX(PRECIOS_COMPLEMENTOS!$C$4:$F$17,MATCH(D516&amp;"_"&amp;E516,PRECIOS_COMPLEMENTOS!$H$4:$H$17,0),IF(OR(H516="S",H516="20cm"),1,IF(OR(H516="M",H516="25cm"),2,IF(OR(H516="L",H516="30cm"),3,IF(OR(H516="XL",H516="35cm"),4,0))))),0)</f>
        <v>#REF!</v>
      </c>
      <c r="K516" s="12">
        <f t="shared" si="1"/>
        <v>0</v>
      </c>
      <c r="L516" s="13">
        <f>IFERROR(IF(C516="",0,IF(D516="PRETINA",SUMIFS($I$4:$I$515,$C$4:$C$515,C516,$D$4:$D$515,D516,$E$4:$E$515,E516,$F$4:$F$515,F516,$G$4:$G$515,G516,$H$4:$H$515,H516,$B$4:$B$515,"INGRESO")+SUMIFS($I$4:$I$515,$C$4:$C$515,C516,$D$4:$D$515,D516,$E$4:$E$515,E516,$F$4:$F$515,F516,$G$4:$G$515,G516,$H$4:$H$515,H516,$B$4:$B$515,"DE CORTE")-SUMIFS($I$4:$I$515,$C$4:$C$515,C516,$D$4:$D$515,D516,$E$4:$E$515,E516,$F$4:$F$515,F516,$G$4:$G$515,G516,$H$4:$H$515,H516,$B$4:$B$515,"SALIDA"),SUMIFS($I$4:$I$515,$C$4:$C$515,C516,$D$4:$D$515,D516,$E$4:$E$515,E516,$G$4:$G$515,G516,$H$4:$H$515,H516,$B$4:$B$515,"INGRESO")+SUMIFS($I$4:$I$515,$C$4:$C$515,C516,$D$4:$D$515,D516,$E$4:$E$515,E516,$G$4:$G$515,G516,$H$4:$H$515,H516,$B$4:$B$515,"DE CORTE")-SUMIFS($I$4:$I$515,$C$4:$C$515,C516,$D$4:$D$515,D516,$E$4:$E$515,E516,$G$4:$G$515,G516,$H$4:$H$515,H516,$B$4:$B$515,"SALIDA"))),0)</f>
        <v>0</v>
      </c>
      <c r="M516" s="13">
        <f t="shared" si="2"/>
        <v>0</v>
      </c>
      <c r="N516" s="14"/>
      <c r="O516" s="14"/>
      <c r="P516" s="15"/>
      <c r="Q516" s="14"/>
    </row>
    <row r="517" ht="15.75" customHeight="1">
      <c r="A517" s="7"/>
      <c r="B517" s="8"/>
      <c r="C517" s="8"/>
      <c r="D517" s="8"/>
      <c r="E517" s="8"/>
      <c r="F517" s="14"/>
      <c r="G517" s="8"/>
      <c r="H517" s="8"/>
      <c r="I517" s="9"/>
      <c r="J517" s="12" t="str">
        <f t="array" ref="J517:K517">IFERROR(INDEX(PRECIOS_COMPLEMENTOS!$C$4:$F$17,MATCH(D517&amp;"_"&amp;E517,PRECIOS_COMPLEMENTOS!$H$4:$H$17,0),IF(OR(H517="S",H517="20cm"),1,IF(OR(H517="M",H517="25cm"),2,IF(OR(H517="L",H517="30cm"),3,IF(OR(H517="XL",H517="35cm"),4,0))))),0)</f>
        <v>#REF!</v>
      </c>
      <c r="K517" s="12">
        <f t="shared" si="1"/>
        <v>0</v>
      </c>
      <c r="L517" s="13">
        <f>IFERROR(IF(C517="",0,IF(D517="PRETINA",SUMIFS($I$4:$I$516,$C$4:$C$516,C517,$D$4:$D$516,D517,$E$4:$E$516,E517,$F$4:$F$516,F517,$G$4:$G$516,G517,$H$4:$H$516,H517,$B$4:$B$516,"INGRESO")+SUMIFS($I$4:$I$516,$C$4:$C$516,C517,$D$4:$D$516,D517,$E$4:$E$516,E517,$F$4:$F$516,F517,$G$4:$G$516,G517,$H$4:$H$516,H517,$B$4:$B$516,"DE CORTE")-SUMIFS($I$4:$I$516,$C$4:$C$516,C517,$D$4:$D$516,D517,$E$4:$E$516,E517,$F$4:$F$516,F517,$G$4:$G$516,G517,$H$4:$H$516,H517,$B$4:$B$516,"SALIDA"),SUMIFS($I$4:$I$516,$C$4:$C$516,C517,$D$4:$D$516,D517,$E$4:$E$516,E517,$G$4:$G$516,G517,$H$4:$H$516,H517,$B$4:$B$516,"INGRESO")+SUMIFS($I$4:$I$516,$C$4:$C$516,C517,$D$4:$D$516,D517,$E$4:$E$516,E517,$G$4:$G$516,G517,$H$4:$H$516,H517,$B$4:$B$516,"DE CORTE")-SUMIFS($I$4:$I$516,$C$4:$C$516,C517,$D$4:$D$516,D517,$E$4:$E$516,E517,$G$4:$G$516,G517,$H$4:$H$516,H517,$B$4:$B$516,"SALIDA"))),0)</f>
        <v>0</v>
      </c>
      <c r="M517" s="13">
        <f t="shared" si="2"/>
        <v>0</v>
      </c>
      <c r="N517" s="14"/>
      <c r="O517" s="14"/>
      <c r="P517" s="15"/>
      <c r="Q517" s="14"/>
    </row>
    <row r="518" ht="15.75" customHeight="1">
      <c r="A518" s="7"/>
      <c r="B518" s="8"/>
      <c r="C518" s="8"/>
      <c r="D518" s="8"/>
      <c r="E518" s="8"/>
      <c r="F518" s="14"/>
      <c r="G518" s="8"/>
      <c r="H518" s="8"/>
      <c r="I518" s="9"/>
      <c r="J518" s="12" t="str">
        <f t="array" ref="J518:K518">IFERROR(INDEX(PRECIOS_COMPLEMENTOS!$C$4:$F$17,MATCH(D518&amp;"_"&amp;E518,PRECIOS_COMPLEMENTOS!$H$4:$H$17,0),IF(OR(H518="S",H518="20cm"),1,IF(OR(H518="M",H518="25cm"),2,IF(OR(H518="L",H518="30cm"),3,IF(OR(H518="XL",H518="35cm"),4,0))))),0)</f>
        <v>#REF!</v>
      </c>
      <c r="K518" s="12">
        <f t="shared" si="1"/>
        <v>0</v>
      </c>
      <c r="L518" s="13">
        <f>IFERROR(IF(C518="",0,IF(D518="PRETINA",SUMIFS($I$4:$I$517,$C$4:$C$517,C518,$D$4:$D$517,D518,$E$4:$E$517,E518,$F$4:$F$517,F518,$G$4:$G$517,G518,$H$4:$H$517,H518,$B$4:$B$517,"INGRESO")+SUMIFS($I$4:$I$517,$C$4:$C$517,C518,$D$4:$D$517,D518,$E$4:$E$517,E518,$F$4:$F$517,F518,$G$4:$G$517,G518,$H$4:$H$517,H518,$B$4:$B$517,"DE CORTE")-SUMIFS($I$4:$I$517,$C$4:$C$517,C518,$D$4:$D$517,D518,$E$4:$E$517,E518,$F$4:$F$517,F518,$G$4:$G$517,G518,$H$4:$H$517,H518,$B$4:$B$517,"SALIDA"),SUMIFS($I$4:$I$517,$C$4:$C$517,C518,$D$4:$D$517,D518,$E$4:$E$517,E518,$G$4:$G$517,G518,$H$4:$H$517,H518,$B$4:$B$517,"INGRESO")+SUMIFS($I$4:$I$517,$C$4:$C$517,C518,$D$4:$D$517,D518,$E$4:$E$517,E518,$G$4:$G$517,G518,$H$4:$H$517,H518,$B$4:$B$517,"DE CORTE")-SUMIFS($I$4:$I$517,$C$4:$C$517,C518,$D$4:$D$517,D518,$E$4:$E$517,E518,$G$4:$G$517,G518,$H$4:$H$517,H518,$B$4:$B$517,"SALIDA"))),0)</f>
        <v>0</v>
      </c>
      <c r="M518" s="13">
        <f t="shared" si="2"/>
        <v>0</v>
      </c>
      <c r="N518" s="14"/>
      <c r="O518" s="14"/>
      <c r="P518" s="15"/>
      <c r="Q518" s="14"/>
    </row>
    <row r="519" ht="15.75" customHeight="1">
      <c r="A519" s="7"/>
      <c r="B519" s="8"/>
      <c r="C519" s="8"/>
      <c r="D519" s="8"/>
      <c r="E519" s="8"/>
      <c r="F519" s="14"/>
      <c r="G519" s="8"/>
      <c r="H519" s="8"/>
      <c r="I519" s="9"/>
      <c r="J519" s="12" t="str">
        <f t="array" ref="J519:K519">IFERROR(INDEX(PRECIOS_COMPLEMENTOS!$C$4:$F$17,MATCH(D519&amp;"_"&amp;E519,PRECIOS_COMPLEMENTOS!$H$4:$H$17,0),IF(OR(H519="S",H519="20cm"),1,IF(OR(H519="M",H519="25cm"),2,IF(OR(H519="L",H519="30cm"),3,IF(OR(H519="XL",H519="35cm"),4,0))))),0)</f>
        <v>#REF!</v>
      </c>
      <c r="K519" s="12">
        <f t="shared" si="1"/>
        <v>0</v>
      </c>
      <c r="L519" s="13">
        <f>IFERROR(IF(C519="",0,IF(D519="PRETINA",SUMIFS($I$4:$I$518,$C$4:$C$518,C519,$D$4:$D$518,D519,$E$4:$E$518,E519,$F$4:$F$518,F519,$G$4:$G$518,G519,$H$4:$H$518,H519,$B$4:$B$518,"INGRESO")+SUMIFS($I$4:$I$518,$C$4:$C$518,C519,$D$4:$D$518,D519,$E$4:$E$518,E519,$F$4:$F$518,F519,$G$4:$G$518,G519,$H$4:$H$518,H519,$B$4:$B$518,"DE CORTE")-SUMIFS($I$4:$I$518,$C$4:$C$518,C519,$D$4:$D$518,D519,$E$4:$E$518,E519,$F$4:$F$518,F519,$G$4:$G$518,G519,$H$4:$H$518,H519,$B$4:$B$518,"SALIDA"),SUMIFS($I$4:$I$518,$C$4:$C$518,C519,$D$4:$D$518,D519,$E$4:$E$518,E519,$G$4:$G$518,G519,$H$4:$H$518,H519,$B$4:$B$518,"INGRESO")+SUMIFS($I$4:$I$518,$C$4:$C$518,C519,$D$4:$D$518,D519,$E$4:$E$518,E519,$G$4:$G$518,G519,$H$4:$H$518,H519,$B$4:$B$518,"DE CORTE")-SUMIFS($I$4:$I$518,$C$4:$C$518,C519,$D$4:$D$518,D519,$E$4:$E$518,E519,$G$4:$G$518,G519,$H$4:$H$518,H519,$B$4:$B$518,"SALIDA"))),0)</f>
        <v>0</v>
      </c>
      <c r="M519" s="13">
        <f t="shared" si="2"/>
        <v>0</v>
      </c>
      <c r="N519" s="14"/>
      <c r="O519" s="14"/>
      <c r="P519" s="15"/>
      <c r="Q519" s="14"/>
    </row>
    <row r="520" ht="15.75" customHeight="1">
      <c r="A520" s="7"/>
      <c r="B520" s="8"/>
      <c r="C520" s="8"/>
      <c r="D520" s="8"/>
      <c r="E520" s="8"/>
      <c r="F520" s="14"/>
      <c r="G520" s="8"/>
      <c r="H520" s="8"/>
      <c r="I520" s="9"/>
      <c r="J520" s="12" t="str">
        <f t="array" ref="J520:K520">IFERROR(INDEX(PRECIOS_COMPLEMENTOS!$C$4:$F$17,MATCH(D520&amp;"_"&amp;E520,PRECIOS_COMPLEMENTOS!$H$4:$H$17,0),IF(OR(H520="S",H520="20cm"),1,IF(OR(H520="M",H520="25cm"),2,IF(OR(H520="L",H520="30cm"),3,IF(OR(H520="XL",H520="35cm"),4,0))))),0)</f>
        <v>#REF!</v>
      </c>
      <c r="K520" s="12">
        <f t="shared" si="1"/>
        <v>0</v>
      </c>
      <c r="L520" s="13">
        <f>IFERROR(IF(C520="",0,IF(D520="PRETINA",SUMIFS($I$4:$I$519,$C$4:$C$519,C520,$D$4:$D$519,D520,$E$4:$E$519,E520,$F$4:$F$519,F520,$G$4:$G$519,G520,$H$4:$H$519,H520,$B$4:$B$519,"INGRESO")+SUMIFS($I$4:$I$519,$C$4:$C$519,C520,$D$4:$D$519,D520,$E$4:$E$519,E520,$F$4:$F$519,F520,$G$4:$G$519,G520,$H$4:$H$519,H520,$B$4:$B$519,"DE CORTE")-SUMIFS($I$4:$I$519,$C$4:$C$519,C520,$D$4:$D$519,D520,$E$4:$E$519,E520,$F$4:$F$519,F520,$G$4:$G$519,G520,$H$4:$H$519,H520,$B$4:$B$519,"SALIDA"),SUMIFS($I$4:$I$519,$C$4:$C$519,C520,$D$4:$D$519,D520,$E$4:$E$519,E520,$G$4:$G$519,G520,$H$4:$H$519,H520,$B$4:$B$519,"INGRESO")+SUMIFS($I$4:$I$519,$C$4:$C$519,C520,$D$4:$D$519,D520,$E$4:$E$519,E520,$G$4:$G$519,G520,$H$4:$H$519,H520,$B$4:$B$519,"DE CORTE")-SUMIFS($I$4:$I$519,$C$4:$C$519,C520,$D$4:$D$519,D520,$E$4:$E$519,E520,$G$4:$G$519,G520,$H$4:$H$519,H520,$B$4:$B$519,"SALIDA"))),0)</f>
        <v>0</v>
      </c>
      <c r="M520" s="13">
        <f t="shared" si="2"/>
        <v>0</v>
      </c>
      <c r="N520" s="14"/>
      <c r="O520" s="14"/>
      <c r="P520" s="15"/>
      <c r="Q520" s="14"/>
    </row>
    <row r="521" ht="15.75" customHeight="1">
      <c r="A521" s="7"/>
      <c r="B521" s="8"/>
      <c r="C521" s="8"/>
      <c r="D521" s="8"/>
      <c r="E521" s="8"/>
      <c r="F521" s="14"/>
      <c r="G521" s="8"/>
      <c r="H521" s="8"/>
      <c r="I521" s="9"/>
      <c r="J521" s="12" t="str">
        <f t="array" ref="J521:K521">IFERROR(INDEX(PRECIOS_COMPLEMENTOS!$C$4:$F$17,MATCH(D521&amp;"_"&amp;E521,PRECIOS_COMPLEMENTOS!$H$4:$H$17,0),IF(OR(H521="S",H521="20cm"),1,IF(OR(H521="M",H521="25cm"),2,IF(OR(H521="L",H521="30cm"),3,IF(OR(H521="XL",H521="35cm"),4,0))))),0)</f>
        <v>#REF!</v>
      </c>
      <c r="K521" s="12">
        <f t="shared" si="1"/>
        <v>0</v>
      </c>
      <c r="L521" s="13">
        <f>IFERROR(IF(C521="",0,IF(D521="PRETINA",SUMIFS($I$4:$I$520,$C$4:$C$520,C521,$D$4:$D$520,D521,$E$4:$E$520,E521,$F$4:$F$520,F521,$G$4:$G$520,G521,$H$4:$H$520,H521,$B$4:$B$520,"INGRESO")+SUMIFS($I$4:$I$520,$C$4:$C$520,C521,$D$4:$D$520,D521,$E$4:$E$520,E521,$F$4:$F$520,F521,$G$4:$G$520,G521,$H$4:$H$520,H521,$B$4:$B$520,"DE CORTE")-SUMIFS($I$4:$I$520,$C$4:$C$520,C521,$D$4:$D$520,D521,$E$4:$E$520,E521,$F$4:$F$520,F521,$G$4:$G$520,G521,$H$4:$H$520,H521,$B$4:$B$520,"SALIDA"),SUMIFS($I$4:$I$520,$C$4:$C$520,C521,$D$4:$D$520,D521,$E$4:$E$520,E521,$G$4:$G$520,G521,$H$4:$H$520,H521,$B$4:$B$520,"INGRESO")+SUMIFS($I$4:$I$520,$C$4:$C$520,C521,$D$4:$D$520,D521,$E$4:$E$520,E521,$G$4:$G$520,G521,$H$4:$H$520,H521,$B$4:$B$520,"DE CORTE")-SUMIFS($I$4:$I$520,$C$4:$C$520,C521,$D$4:$D$520,D521,$E$4:$E$520,E521,$G$4:$G$520,G521,$H$4:$H$520,H521,$B$4:$B$520,"SALIDA"))),0)</f>
        <v>0</v>
      </c>
      <c r="M521" s="13">
        <f t="shared" si="2"/>
        <v>0</v>
      </c>
      <c r="N521" s="14"/>
      <c r="O521" s="14"/>
      <c r="P521" s="15"/>
      <c r="Q521" s="14"/>
    </row>
    <row r="522" ht="15.75" customHeight="1">
      <c r="A522" s="7"/>
      <c r="B522" s="8"/>
      <c r="C522" s="8"/>
      <c r="D522" s="8"/>
      <c r="E522" s="8"/>
      <c r="F522" s="14"/>
      <c r="G522" s="8"/>
      <c r="H522" s="8"/>
      <c r="I522" s="9"/>
      <c r="J522" s="12" t="str">
        <f t="array" ref="J522:K522">IFERROR(INDEX(PRECIOS_COMPLEMENTOS!$C$4:$F$17,MATCH(D522&amp;"_"&amp;E522,PRECIOS_COMPLEMENTOS!$H$4:$H$17,0),IF(OR(H522="S",H522="20cm"),1,IF(OR(H522="M",H522="25cm"),2,IF(OR(H522="L",H522="30cm"),3,IF(OR(H522="XL",H522="35cm"),4,0))))),0)</f>
        <v>#REF!</v>
      </c>
      <c r="K522" s="12">
        <f t="shared" si="1"/>
        <v>0</v>
      </c>
      <c r="L522" s="13">
        <f>IFERROR(IF(C522="",0,IF(D522="PRETINA",SUMIFS($I$4:$I$521,$C$4:$C$521,C522,$D$4:$D$521,D522,$E$4:$E$521,E522,$F$4:$F$521,F522,$G$4:$G$521,G522,$H$4:$H$521,H522,$B$4:$B$521,"INGRESO")+SUMIFS($I$4:$I$521,$C$4:$C$521,C522,$D$4:$D$521,D522,$E$4:$E$521,E522,$F$4:$F$521,F522,$G$4:$G$521,G522,$H$4:$H$521,H522,$B$4:$B$521,"DE CORTE")-SUMIFS($I$4:$I$521,$C$4:$C$521,C522,$D$4:$D$521,D522,$E$4:$E$521,E522,$F$4:$F$521,F522,$G$4:$G$521,G522,$H$4:$H$521,H522,$B$4:$B$521,"SALIDA"),SUMIFS($I$4:$I$521,$C$4:$C$521,C522,$D$4:$D$521,D522,$E$4:$E$521,E522,$G$4:$G$521,G522,$H$4:$H$521,H522,$B$4:$B$521,"INGRESO")+SUMIFS($I$4:$I$521,$C$4:$C$521,C522,$D$4:$D$521,D522,$E$4:$E$521,E522,$G$4:$G$521,G522,$H$4:$H$521,H522,$B$4:$B$521,"DE CORTE")-SUMIFS($I$4:$I$521,$C$4:$C$521,C522,$D$4:$D$521,D522,$E$4:$E$521,E522,$G$4:$G$521,G522,$H$4:$H$521,H522,$B$4:$B$521,"SALIDA"))),0)</f>
        <v>0</v>
      </c>
      <c r="M522" s="13">
        <f t="shared" si="2"/>
        <v>0</v>
      </c>
      <c r="N522" s="14"/>
      <c r="O522" s="14"/>
      <c r="P522" s="15"/>
      <c r="Q522" s="14"/>
    </row>
    <row r="523" ht="15.75" customHeight="1">
      <c r="A523" s="7"/>
      <c r="B523" s="8"/>
      <c r="C523" s="8"/>
      <c r="D523" s="8"/>
      <c r="E523" s="8"/>
      <c r="F523" s="14"/>
      <c r="G523" s="8"/>
      <c r="H523" s="8"/>
      <c r="I523" s="9"/>
      <c r="J523" s="12" t="str">
        <f t="array" ref="J523:K523">IFERROR(INDEX(PRECIOS_COMPLEMENTOS!$C$4:$F$17,MATCH(D523&amp;"_"&amp;E523,PRECIOS_COMPLEMENTOS!$H$4:$H$17,0),IF(OR(H523="S",H523="20cm"),1,IF(OR(H523="M",H523="25cm"),2,IF(OR(H523="L",H523="30cm"),3,IF(OR(H523="XL",H523="35cm"),4,0))))),0)</f>
        <v>#REF!</v>
      </c>
      <c r="K523" s="12">
        <f t="shared" si="1"/>
        <v>0</v>
      </c>
      <c r="L523" s="13">
        <f>IFERROR(IF(C523="",0,IF(D523="PRETINA",SUMIFS($I$4:$I$522,$C$4:$C$522,C523,$D$4:$D$522,D523,$E$4:$E$522,E523,$F$4:$F$522,F523,$G$4:$G$522,G523,$H$4:$H$522,H523,$B$4:$B$522,"INGRESO")+SUMIFS($I$4:$I$522,$C$4:$C$522,C523,$D$4:$D$522,D523,$E$4:$E$522,E523,$F$4:$F$522,F523,$G$4:$G$522,G523,$H$4:$H$522,H523,$B$4:$B$522,"DE CORTE")-SUMIFS($I$4:$I$522,$C$4:$C$522,C523,$D$4:$D$522,D523,$E$4:$E$522,E523,$F$4:$F$522,F523,$G$4:$G$522,G523,$H$4:$H$522,H523,$B$4:$B$522,"SALIDA"),SUMIFS($I$4:$I$522,$C$4:$C$522,C523,$D$4:$D$522,D523,$E$4:$E$522,E523,$G$4:$G$522,G523,$H$4:$H$522,H523,$B$4:$B$522,"INGRESO")+SUMIFS($I$4:$I$522,$C$4:$C$522,C523,$D$4:$D$522,D523,$E$4:$E$522,E523,$G$4:$G$522,G523,$H$4:$H$522,H523,$B$4:$B$522,"DE CORTE")-SUMIFS($I$4:$I$522,$C$4:$C$522,C523,$D$4:$D$522,D523,$E$4:$E$522,E523,$G$4:$G$522,G523,$H$4:$H$522,H523,$B$4:$B$522,"SALIDA"))),0)</f>
        <v>0</v>
      </c>
      <c r="M523" s="13">
        <f t="shared" si="2"/>
        <v>0</v>
      </c>
      <c r="N523" s="14"/>
      <c r="O523" s="14"/>
      <c r="P523" s="15"/>
      <c r="Q523" s="14"/>
    </row>
    <row r="524" ht="15.75" customHeight="1">
      <c r="A524" s="7"/>
      <c r="B524" s="8"/>
      <c r="C524" s="8"/>
      <c r="D524" s="8"/>
      <c r="E524" s="8"/>
      <c r="F524" s="14"/>
      <c r="G524" s="8"/>
      <c r="H524" s="8"/>
      <c r="I524" s="9"/>
      <c r="J524" s="12" t="str">
        <f t="array" ref="J524:K524">IFERROR(INDEX(PRECIOS_COMPLEMENTOS!$C$4:$F$17,MATCH(D524&amp;"_"&amp;E524,PRECIOS_COMPLEMENTOS!$H$4:$H$17,0),IF(OR(H524="S",H524="20cm"),1,IF(OR(H524="M",H524="25cm"),2,IF(OR(H524="L",H524="30cm"),3,IF(OR(H524="XL",H524="35cm"),4,0))))),0)</f>
        <v>#REF!</v>
      </c>
      <c r="K524" s="12">
        <f t="shared" si="1"/>
        <v>0</v>
      </c>
      <c r="L524" s="13">
        <f>IFERROR(IF(C524="",0,IF(D524="PRETINA",SUMIFS($I$4:$I$523,$C$4:$C$523,C524,$D$4:$D$523,D524,$E$4:$E$523,E524,$F$4:$F$523,F524,$G$4:$G$523,G524,$H$4:$H$523,H524,$B$4:$B$523,"INGRESO")+SUMIFS($I$4:$I$523,$C$4:$C$523,C524,$D$4:$D$523,D524,$E$4:$E$523,E524,$F$4:$F$523,F524,$G$4:$G$523,G524,$H$4:$H$523,H524,$B$4:$B$523,"DE CORTE")-SUMIFS($I$4:$I$523,$C$4:$C$523,C524,$D$4:$D$523,D524,$E$4:$E$523,E524,$F$4:$F$523,F524,$G$4:$G$523,G524,$H$4:$H$523,H524,$B$4:$B$523,"SALIDA"),SUMIFS($I$4:$I$523,$C$4:$C$523,C524,$D$4:$D$523,D524,$E$4:$E$523,E524,$G$4:$G$523,G524,$H$4:$H$523,H524,$B$4:$B$523,"INGRESO")+SUMIFS($I$4:$I$523,$C$4:$C$523,C524,$D$4:$D$523,D524,$E$4:$E$523,E524,$G$4:$G$523,G524,$H$4:$H$523,H524,$B$4:$B$523,"DE CORTE")-SUMIFS($I$4:$I$523,$C$4:$C$523,C524,$D$4:$D$523,D524,$E$4:$E$523,E524,$G$4:$G$523,G524,$H$4:$H$523,H524,$B$4:$B$523,"SALIDA"))),0)</f>
        <v>0</v>
      </c>
      <c r="M524" s="13">
        <f t="shared" si="2"/>
        <v>0</v>
      </c>
      <c r="N524" s="14"/>
      <c r="O524" s="14"/>
      <c r="P524" s="15"/>
      <c r="Q524" s="14"/>
    </row>
    <row r="525" ht="15.75" customHeight="1">
      <c r="A525" s="7"/>
      <c r="B525" s="8"/>
      <c r="C525" s="8"/>
      <c r="D525" s="8"/>
      <c r="E525" s="8"/>
      <c r="F525" s="14"/>
      <c r="G525" s="8"/>
      <c r="H525" s="8"/>
      <c r="I525" s="9"/>
      <c r="J525" s="12" t="str">
        <f t="array" ref="J525:K525">IFERROR(INDEX(PRECIOS_COMPLEMENTOS!$C$4:$F$17,MATCH(D525&amp;"_"&amp;E525,PRECIOS_COMPLEMENTOS!$H$4:$H$17,0),IF(OR(H525="S",H525="20cm"),1,IF(OR(H525="M",H525="25cm"),2,IF(OR(H525="L",H525="30cm"),3,IF(OR(H525="XL",H525="35cm"),4,0))))),0)</f>
        <v>#REF!</v>
      </c>
      <c r="K525" s="12">
        <f t="shared" si="1"/>
        <v>0</v>
      </c>
      <c r="L525" s="13">
        <f>IFERROR(IF(C525="",0,IF(D525="PRETINA",SUMIFS($I$4:$I$524,$C$4:$C$524,C525,$D$4:$D$524,D525,$E$4:$E$524,E525,$F$4:$F$524,F525,$G$4:$G$524,G525,$H$4:$H$524,H525,$B$4:$B$524,"INGRESO")+SUMIFS($I$4:$I$524,$C$4:$C$524,C525,$D$4:$D$524,D525,$E$4:$E$524,E525,$F$4:$F$524,F525,$G$4:$G$524,G525,$H$4:$H$524,H525,$B$4:$B$524,"DE CORTE")-SUMIFS($I$4:$I$524,$C$4:$C$524,C525,$D$4:$D$524,D525,$E$4:$E$524,E525,$F$4:$F$524,F525,$G$4:$G$524,G525,$H$4:$H$524,H525,$B$4:$B$524,"SALIDA"),SUMIFS($I$4:$I$524,$C$4:$C$524,C525,$D$4:$D$524,D525,$E$4:$E$524,E525,$G$4:$G$524,G525,$H$4:$H$524,H525,$B$4:$B$524,"INGRESO")+SUMIFS($I$4:$I$524,$C$4:$C$524,C525,$D$4:$D$524,D525,$E$4:$E$524,E525,$G$4:$G$524,G525,$H$4:$H$524,H525,$B$4:$B$524,"DE CORTE")-SUMIFS($I$4:$I$524,$C$4:$C$524,C525,$D$4:$D$524,D525,$E$4:$E$524,E525,$G$4:$G$524,G525,$H$4:$H$524,H525,$B$4:$B$524,"SALIDA"))),0)</f>
        <v>0</v>
      </c>
      <c r="M525" s="13">
        <f t="shared" si="2"/>
        <v>0</v>
      </c>
      <c r="N525" s="14"/>
      <c r="O525" s="14"/>
      <c r="P525" s="15"/>
      <c r="Q525" s="14"/>
    </row>
    <row r="526" ht="15.75" customHeight="1">
      <c r="A526" s="7"/>
      <c r="B526" s="8"/>
      <c r="C526" s="8"/>
      <c r="D526" s="8"/>
      <c r="E526" s="8"/>
      <c r="F526" s="14"/>
      <c r="G526" s="8"/>
      <c r="H526" s="8"/>
      <c r="I526" s="9"/>
      <c r="J526" s="12" t="str">
        <f t="array" ref="J526:K526">IFERROR(INDEX(PRECIOS_COMPLEMENTOS!$C$4:$F$17,MATCH(D526&amp;"_"&amp;E526,PRECIOS_COMPLEMENTOS!$H$4:$H$17,0),IF(OR(H526="S",H526="20cm"),1,IF(OR(H526="M",H526="25cm"),2,IF(OR(H526="L",H526="30cm"),3,IF(OR(H526="XL",H526="35cm"),4,0))))),0)</f>
        <v>#REF!</v>
      </c>
      <c r="K526" s="12">
        <f t="shared" si="1"/>
        <v>0</v>
      </c>
      <c r="L526" s="13">
        <f>IFERROR(IF(C526="",0,IF(D526="PRETINA",SUMIFS($I$4:$I$525,$C$4:$C$525,C526,$D$4:$D$525,D526,$E$4:$E$525,E526,$F$4:$F$525,F526,$G$4:$G$525,G526,$H$4:$H$525,H526,$B$4:$B$525,"INGRESO")+SUMIFS($I$4:$I$525,$C$4:$C$525,C526,$D$4:$D$525,D526,$E$4:$E$525,E526,$F$4:$F$525,F526,$G$4:$G$525,G526,$H$4:$H$525,H526,$B$4:$B$525,"DE CORTE")-SUMIFS($I$4:$I$525,$C$4:$C$525,C526,$D$4:$D$525,D526,$E$4:$E$525,E526,$F$4:$F$525,F526,$G$4:$G$525,G526,$H$4:$H$525,H526,$B$4:$B$525,"SALIDA"),SUMIFS($I$4:$I$525,$C$4:$C$525,C526,$D$4:$D$525,D526,$E$4:$E$525,E526,$G$4:$G$525,G526,$H$4:$H$525,H526,$B$4:$B$525,"INGRESO")+SUMIFS($I$4:$I$525,$C$4:$C$525,C526,$D$4:$D$525,D526,$E$4:$E$525,E526,$G$4:$G$525,G526,$H$4:$H$525,H526,$B$4:$B$525,"DE CORTE")-SUMIFS($I$4:$I$525,$C$4:$C$525,C526,$D$4:$D$525,D526,$E$4:$E$525,E526,$G$4:$G$525,G526,$H$4:$H$525,H526,$B$4:$B$525,"SALIDA"))),0)</f>
        <v>0</v>
      </c>
      <c r="M526" s="13">
        <f t="shared" si="2"/>
        <v>0</v>
      </c>
      <c r="N526" s="14"/>
      <c r="O526" s="14"/>
      <c r="P526" s="15"/>
      <c r="Q526" s="14"/>
    </row>
    <row r="527" ht="15.75" customHeight="1">
      <c r="A527" s="7"/>
      <c r="B527" s="8"/>
      <c r="C527" s="8"/>
      <c r="D527" s="8"/>
      <c r="E527" s="8"/>
      <c r="F527" s="14"/>
      <c r="G527" s="8"/>
      <c r="H527" s="8"/>
      <c r="I527" s="9"/>
      <c r="J527" s="12" t="str">
        <f t="array" ref="J527:K527">IFERROR(INDEX(PRECIOS_COMPLEMENTOS!$C$4:$F$17,MATCH(D527&amp;"_"&amp;E527,PRECIOS_COMPLEMENTOS!$H$4:$H$17,0),IF(OR(H527="S",H527="20cm"),1,IF(OR(H527="M",H527="25cm"),2,IF(OR(H527="L",H527="30cm"),3,IF(OR(H527="XL",H527="35cm"),4,0))))),0)</f>
        <v>#REF!</v>
      </c>
      <c r="K527" s="12">
        <f t="shared" si="1"/>
        <v>0</v>
      </c>
      <c r="L527" s="13">
        <f>IFERROR(IF(C527="",0,IF(D527="PRETINA",SUMIFS($I$4:$I$526,$C$4:$C$526,C527,$D$4:$D$526,D527,$E$4:$E$526,E527,$F$4:$F$526,F527,$G$4:$G$526,G527,$H$4:$H$526,H527,$B$4:$B$526,"INGRESO")+SUMIFS($I$4:$I$526,$C$4:$C$526,C527,$D$4:$D$526,D527,$E$4:$E$526,E527,$F$4:$F$526,F527,$G$4:$G$526,G527,$H$4:$H$526,H527,$B$4:$B$526,"DE CORTE")-SUMIFS($I$4:$I$526,$C$4:$C$526,C527,$D$4:$D$526,D527,$E$4:$E$526,E527,$F$4:$F$526,F527,$G$4:$G$526,G527,$H$4:$H$526,H527,$B$4:$B$526,"SALIDA"),SUMIFS($I$4:$I$526,$C$4:$C$526,C527,$D$4:$D$526,D527,$E$4:$E$526,E527,$G$4:$G$526,G527,$H$4:$H$526,H527,$B$4:$B$526,"INGRESO")+SUMIFS($I$4:$I$526,$C$4:$C$526,C527,$D$4:$D$526,D527,$E$4:$E$526,E527,$G$4:$G$526,G527,$H$4:$H$526,H527,$B$4:$B$526,"DE CORTE")-SUMIFS($I$4:$I$526,$C$4:$C$526,C527,$D$4:$D$526,D527,$E$4:$E$526,E527,$G$4:$G$526,G527,$H$4:$H$526,H527,$B$4:$B$526,"SALIDA"))),0)</f>
        <v>0</v>
      </c>
      <c r="M527" s="13">
        <f t="shared" si="2"/>
        <v>0</v>
      </c>
      <c r="N527" s="14"/>
      <c r="O527" s="14"/>
      <c r="P527" s="15"/>
      <c r="Q527" s="14"/>
    </row>
    <row r="528" ht="15.75" customHeight="1">
      <c r="A528" s="7"/>
      <c r="B528" s="8"/>
      <c r="C528" s="8"/>
      <c r="D528" s="8"/>
      <c r="E528" s="8"/>
      <c r="F528" s="14"/>
      <c r="G528" s="8"/>
      <c r="H528" s="8"/>
      <c r="I528" s="9"/>
      <c r="J528" s="12" t="str">
        <f t="array" ref="J528:K528">IFERROR(INDEX(PRECIOS_COMPLEMENTOS!$C$4:$F$17,MATCH(D528&amp;"_"&amp;E528,PRECIOS_COMPLEMENTOS!$H$4:$H$17,0),IF(OR(H528="S",H528="20cm"),1,IF(OR(H528="M",H528="25cm"),2,IF(OR(H528="L",H528="30cm"),3,IF(OR(H528="XL",H528="35cm"),4,0))))),0)</f>
        <v>#REF!</v>
      </c>
      <c r="K528" s="12">
        <f t="shared" si="1"/>
        <v>0</v>
      </c>
      <c r="L528" s="13">
        <f>IFERROR(IF(C528="",0,IF(D528="PRETINA",SUMIFS($I$4:$I$527,$C$4:$C$527,C528,$D$4:$D$527,D528,$E$4:$E$527,E528,$F$4:$F$527,F528,$G$4:$G$527,G528,$H$4:$H$527,H528,$B$4:$B$527,"INGRESO")+SUMIFS($I$4:$I$527,$C$4:$C$527,C528,$D$4:$D$527,D528,$E$4:$E$527,E528,$F$4:$F$527,F528,$G$4:$G$527,G528,$H$4:$H$527,H528,$B$4:$B$527,"DE CORTE")-SUMIFS($I$4:$I$527,$C$4:$C$527,C528,$D$4:$D$527,D528,$E$4:$E$527,E528,$F$4:$F$527,F528,$G$4:$G$527,G528,$H$4:$H$527,H528,$B$4:$B$527,"SALIDA"),SUMIFS($I$4:$I$527,$C$4:$C$527,C528,$D$4:$D$527,D528,$E$4:$E$527,E528,$G$4:$G$527,G528,$H$4:$H$527,H528,$B$4:$B$527,"INGRESO")+SUMIFS($I$4:$I$527,$C$4:$C$527,C528,$D$4:$D$527,D528,$E$4:$E$527,E528,$G$4:$G$527,G528,$H$4:$H$527,H528,$B$4:$B$527,"DE CORTE")-SUMIFS($I$4:$I$527,$C$4:$C$527,C528,$D$4:$D$527,D528,$E$4:$E$527,E528,$G$4:$G$527,G528,$H$4:$H$527,H528,$B$4:$B$527,"SALIDA"))),0)</f>
        <v>0</v>
      </c>
      <c r="M528" s="13">
        <f t="shared" si="2"/>
        <v>0</v>
      </c>
      <c r="N528" s="14"/>
      <c r="O528" s="14"/>
      <c r="P528" s="15"/>
      <c r="Q528" s="14"/>
    </row>
    <row r="529" ht="15.75" customHeight="1">
      <c r="A529" s="7"/>
      <c r="B529" s="8"/>
      <c r="C529" s="8"/>
      <c r="D529" s="8"/>
      <c r="E529" s="8"/>
      <c r="F529" s="14"/>
      <c r="G529" s="8"/>
      <c r="H529" s="8"/>
      <c r="I529" s="9"/>
      <c r="J529" s="12" t="str">
        <f t="array" ref="J529:K529">IFERROR(INDEX(PRECIOS_COMPLEMENTOS!$C$4:$F$17,MATCH(D529&amp;"_"&amp;E529,PRECIOS_COMPLEMENTOS!$H$4:$H$17,0),IF(OR(H529="S",H529="20cm"),1,IF(OR(H529="M",H529="25cm"),2,IF(OR(H529="L",H529="30cm"),3,IF(OR(H529="XL",H529="35cm"),4,0))))),0)</f>
        <v>#REF!</v>
      </c>
      <c r="K529" s="12">
        <f t="shared" si="1"/>
        <v>0</v>
      </c>
      <c r="L529" s="13">
        <f>IFERROR(IF(C529="",0,IF(D529="PRETINA",SUMIFS($I$4:$I$528,$C$4:$C$528,C529,$D$4:$D$528,D529,$E$4:$E$528,E529,$F$4:$F$528,F529,$G$4:$G$528,G529,$H$4:$H$528,H529,$B$4:$B$528,"INGRESO")+SUMIFS($I$4:$I$528,$C$4:$C$528,C529,$D$4:$D$528,D529,$E$4:$E$528,E529,$F$4:$F$528,F529,$G$4:$G$528,G529,$H$4:$H$528,H529,$B$4:$B$528,"DE CORTE")-SUMIFS($I$4:$I$528,$C$4:$C$528,C529,$D$4:$D$528,D529,$E$4:$E$528,E529,$F$4:$F$528,F529,$G$4:$G$528,G529,$H$4:$H$528,H529,$B$4:$B$528,"SALIDA"),SUMIFS($I$4:$I$528,$C$4:$C$528,C529,$D$4:$D$528,D529,$E$4:$E$528,E529,$G$4:$G$528,G529,$H$4:$H$528,H529,$B$4:$B$528,"INGRESO")+SUMIFS($I$4:$I$528,$C$4:$C$528,C529,$D$4:$D$528,D529,$E$4:$E$528,E529,$G$4:$G$528,G529,$H$4:$H$528,H529,$B$4:$B$528,"DE CORTE")-SUMIFS($I$4:$I$528,$C$4:$C$528,C529,$D$4:$D$528,D529,$E$4:$E$528,E529,$G$4:$G$528,G529,$H$4:$H$528,H529,$B$4:$B$528,"SALIDA"))),0)</f>
        <v>0</v>
      </c>
      <c r="M529" s="13">
        <f t="shared" si="2"/>
        <v>0</v>
      </c>
      <c r="N529" s="14"/>
      <c r="O529" s="14"/>
      <c r="P529" s="15"/>
      <c r="Q529" s="14"/>
    </row>
    <row r="530" ht="15.75" customHeight="1">
      <c r="A530" s="7"/>
      <c r="B530" s="8"/>
      <c r="C530" s="8"/>
      <c r="D530" s="8"/>
      <c r="E530" s="8"/>
      <c r="F530" s="14"/>
      <c r="G530" s="8"/>
      <c r="H530" s="8"/>
      <c r="I530" s="9"/>
      <c r="J530" s="12" t="str">
        <f t="array" ref="J530:K530">IFERROR(INDEX(PRECIOS_COMPLEMENTOS!$C$4:$F$17,MATCH(D530&amp;"_"&amp;E530,PRECIOS_COMPLEMENTOS!$H$4:$H$17,0),IF(OR(H530="S",H530="20cm"),1,IF(OR(H530="M",H530="25cm"),2,IF(OR(H530="L",H530="30cm"),3,IF(OR(H530="XL",H530="35cm"),4,0))))),0)</f>
        <v>#REF!</v>
      </c>
      <c r="K530" s="12">
        <f t="shared" si="1"/>
        <v>0</v>
      </c>
      <c r="L530" s="13">
        <f>IFERROR(IF(C530="",0,IF(D530="PRETINA",SUMIFS($I$4:$I$529,$C$4:$C$529,C530,$D$4:$D$529,D530,$E$4:$E$529,E530,$F$4:$F$529,F530,$G$4:$G$529,G530,$H$4:$H$529,H530,$B$4:$B$529,"INGRESO")+SUMIFS($I$4:$I$529,$C$4:$C$529,C530,$D$4:$D$529,D530,$E$4:$E$529,E530,$F$4:$F$529,F530,$G$4:$G$529,G530,$H$4:$H$529,H530,$B$4:$B$529,"DE CORTE")-SUMIFS($I$4:$I$529,$C$4:$C$529,C530,$D$4:$D$529,D530,$E$4:$E$529,E530,$F$4:$F$529,F530,$G$4:$G$529,G530,$H$4:$H$529,H530,$B$4:$B$529,"SALIDA"),SUMIFS($I$4:$I$529,$C$4:$C$529,C530,$D$4:$D$529,D530,$E$4:$E$529,E530,$G$4:$G$529,G530,$H$4:$H$529,H530,$B$4:$B$529,"INGRESO")+SUMIFS($I$4:$I$529,$C$4:$C$529,C530,$D$4:$D$529,D530,$E$4:$E$529,E530,$G$4:$G$529,G530,$H$4:$H$529,H530,$B$4:$B$529,"DE CORTE")-SUMIFS($I$4:$I$529,$C$4:$C$529,C530,$D$4:$D$529,D530,$E$4:$E$529,E530,$G$4:$G$529,G530,$H$4:$H$529,H530,$B$4:$B$529,"SALIDA"))),0)</f>
        <v>0</v>
      </c>
      <c r="M530" s="13">
        <f t="shared" si="2"/>
        <v>0</v>
      </c>
      <c r="N530" s="14"/>
      <c r="O530" s="14"/>
      <c r="P530" s="15"/>
      <c r="Q530" s="14"/>
    </row>
    <row r="531" ht="15.75" customHeight="1">
      <c r="A531" s="7"/>
      <c r="B531" s="8"/>
      <c r="C531" s="8"/>
      <c r="D531" s="8"/>
      <c r="E531" s="8"/>
      <c r="F531" s="14"/>
      <c r="G531" s="8"/>
      <c r="H531" s="8"/>
      <c r="I531" s="9"/>
      <c r="J531" s="12" t="str">
        <f t="array" ref="J531:K531">IFERROR(INDEX(PRECIOS_COMPLEMENTOS!$C$4:$F$17,MATCH(D531&amp;"_"&amp;E531,PRECIOS_COMPLEMENTOS!$H$4:$H$17,0),IF(OR(H531="S",H531="20cm"),1,IF(OR(H531="M",H531="25cm"),2,IF(OR(H531="L",H531="30cm"),3,IF(OR(H531="XL",H531="35cm"),4,0))))),0)</f>
        <v>#REF!</v>
      </c>
      <c r="K531" s="12">
        <f t="shared" si="1"/>
        <v>0</v>
      </c>
      <c r="L531" s="13">
        <f>IFERROR(IF(C531="",0,IF(D531="PRETINA",SUMIFS($I$4:$I$530,$C$4:$C$530,C531,$D$4:$D$530,D531,$E$4:$E$530,E531,$F$4:$F$530,F531,$G$4:$G$530,G531,$H$4:$H$530,H531,$B$4:$B$530,"INGRESO")+SUMIFS($I$4:$I$530,$C$4:$C$530,C531,$D$4:$D$530,D531,$E$4:$E$530,E531,$F$4:$F$530,F531,$G$4:$G$530,G531,$H$4:$H$530,H531,$B$4:$B$530,"DE CORTE")-SUMIFS($I$4:$I$530,$C$4:$C$530,C531,$D$4:$D$530,D531,$E$4:$E$530,E531,$F$4:$F$530,F531,$G$4:$G$530,G531,$H$4:$H$530,H531,$B$4:$B$530,"SALIDA"),SUMIFS($I$4:$I$530,$C$4:$C$530,C531,$D$4:$D$530,D531,$E$4:$E$530,E531,$G$4:$G$530,G531,$H$4:$H$530,H531,$B$4:$B$530,"INGRESO")+SUMIFS($I$4:$I$530,$C$4:$C$530,C531,$D$4:$D$530,D531,$E$4:$E$530,E531,$G$4:$G$530,G531,$H$4:$H$530,H531,$B$4:$B$530,"DE CORTE")-SUMIFS($I$4:$I$530,$C$4:$C$530,C531,$D$4:$D$530,D531,$E$4:$E$530,E531,$G$4:$G$530,G531,$H$4:$H$530,H531,$B$4:$B$530,"SALIDA"))),0)</f>
        <v>0</v>
      </c>
      <c r="M531" s="13">
        <f t="shared" si="2"/>
        <v>0</v>
      </c>
      <c r="N531" s="14"/>
      <c r="O531" s="14"/>
      <c r="P531" s="15"/>
      <c r="Q531" s="14"/>
    </row>
    <row r="532" ht="15.75" customHeight="1">
      <c r="A532" s="7"/>
      <c r="B532" s="8"/>
      <c r="C532" s="8"/>
      <c r="D532" s="8"/>
      <c r="E532" s="8"/>
      <c r="F532" s="14"/>
      <c r="G532" s="8"/>
      <c r="H532" s="8"/>
      <c r="I532" s="9"/>
      <c r="J532" s="12" t="str">
        <f t="array" ref="J532:K532">IFERROR(INDEX(PRECIOS_COMPLEMENTOS!$C$4:$F$17,MATCH(D532&amp;"_"&amp;E532,PRECIOS_COMPLEMENTOS!$H$4:$H$17,0),IF(OR(H532="S",H532="20cm"),1,IF(OR(H532="M",H532="25cm"),2,IF(OR(H532="L",H532="30cm"),3,IF(OR(H532="XL",H532="35cm"),4,0))))),0)</f>
        <v>#REF!</v>
      </c>
      <c r="K532" s="12">
        <f t="shared" si="1"/>
        <v>0</v>
      </c>
      <c r="L532" s="13">
        <f>IFERROR(IF(C532="",0,IF(D532="PRETINA",SUMIFS($I$4:$I$531,$C$4:$C$531,C532,$D$4:$D$531,D532,$E$4:$E$531,E532,$F$4:$F$531,F532,$G$4:$G$531,G532,$H$4:$H$531,H532,$B$4:$B$531,"INGRESO")+SUMIFS($I$4:$I$531,$C$4:$C$531,C532,$D$4:$D$531,D532,$E$4:$E$531,E532,$F$4:$F$531,F532,$G$4:$G$531,G532,$H$4:$H$531,H532,$B$4:$B$531,"DE CORTE")-SUMIFS($I$4:$I$531,$C$4:$C$531,C532,$D$4:$D$531,D532,$E$4:$E$531,E532,$F$4:$F$531,F532,$G$4:$G$531,G532,$H$4:$H$531,H532,$B$4:$B$531,"SALIDA"),SUMIFS($I$4:$I$531,$C$4:$C$531,C532,$D$4:$D$531,D532,$E$4:$E$531,E532,$G$4:$G$531,G532,$H$4:$H$531,H532,$B$4:$B$531,"INGRESO")+SUMIFS($I$4:$I$531,$C$4:$C$531,C532,$D$4:$D$531,D532,$E$4:$E$531,E532,$G$4:$G$531,G532,$H$4:$H$531,H532,$B$4:$B$531,"DE CORTE")-SUMIFS($I$4:$I$531,$C$4:$C$531,C532,$D$4:$D$531,D532,$E$4:$E$531,E532,$G$4:$G$531,G532,$H$4:$H$531,H532,$B$4:$B$531,"SALIDA"))),0)</f>
        <v>0</v>
      </c>
      <c r="M532" s="13">
        <f t="shared" si="2"/>
        <v>0</v>
      </c>
      <c r="N532" s="14"/>
      <c r="O532" s="14"/>
      <c r="P532" s="15"/>
      <c r="Q532" s="14"/>
    </row>
    <row r="533" ht="15.75" customHeight="1">
      <c r="A533" s="7"/>
      <c r="B533" s="8"/>
      <c r="C533" s="8"/>
      <c r="D533" s="8"/>
      <c r="E533" s="8"/>
      <c r="F533" s="14"/>
      <c r="G533" s="8"/>
      <c r="H533" s="8"/>
      <c r="I533" s="9"/>
      <c r="J533" s="12" t="str">
        <f t="array" ref="J533:K533">IFERROR(INDEX(PRECIOS_COMPLEMENTOS!$C$4:$F$17,MATCH(D533&amp;"_"&amp;E533,PRECIOS_COMPLEMENTOS!$H$4:$H$17,0),IF(OR(H533="S",H533="20cm"),1,IF(OR(H533="M",H533="25cm"),2,IF(OR(H533="L",H533="30cm"),3,IF(OR(H533="XL",H533="35cm"),4,0))))),0)</f>
        <v>#REF!</v>
      </c>
      <c r="K533" s="12">
        <f t="shared" si="1"/>
        <v>0</v>
      </c>
      <c r="L533" s="13">
        <f>IFERROR(IF(C533="",0,IF(D533="PRETINA",SUMIFS($I$4:$I$532,$C$4:$C$532,C533,$D$4:$D$532,D533,$E$4:$E$532,E533,$F$4:$F$532,F533,$G$4:$G$532,G533,$H$4:$H$532,H533,$B$4:$B$532,"INGRESO")+SUMIFS($I$4:$I$532,$C$4:$C$532,C533,$D$4:$D$532,D533,$E$4:$E$532,E533,$F$4:$F$532,F533,$G$4:$G$532,G533,$H$4:$H$532,H533,$B$4:$B$532,"DE CORTE")-SUMIFS($I$4:$I$532,$C$4:$C$532,C533,$D$4:$D$532,D533,$E$4:$E$532,E533,$F$4:$F$532,F533,$G$4:$G$532,G533,$H$4:$H$532,H533,$B$4:$B$532,"SALIDA"),SUMIFS($I$4:$I$532,$C$4:$C$532,C533,$D$4:$D$532,D533,$E$4:$E$532,E533,$G$4:$G$532,G533,$H$4:$H$532,H533,$B$4:$B$532,"INGRESO")+SUMIFS($I$4:$I$532,$C$4:$C$532,C533,$D$4:$D$532,D533,$E$4:$E$532,E533,$G$4:$G$532,G533,$H$4:$H$532,H533,$B$4:$B$532,"DE CORTE")-SUMIFS($I$4:$I$532,$C$4:$C$532,C533,$D$4:$D$532,D533,$E$4:$E$532,E533,$G$4:$G$532,G533,$H$4:$H$532,H533,$B$4:$B$532,"SALIDA"))),0)</f>
        <v>0</v>
      </c>
      <c r="M533" s="13">
        <f t="shared" si="2"/>
        <v>0</v>
      </c>
      <c r="N533" s="14"/>
      <c r="O533" s="14"/>
      <c r="P533" s="15"/>
      <c r="Q533" s="14"/>
    </row>
    <row r="534" ht="15.75" customHeight="1">
      <c r="A534" s="7"/>
      <c r="B534" s="8"/>
      <c r="C534" s="8"/>
      <c r="D534" s="8"/>
      <c r="E534" s="8"/>
      <c r="F534" s="14"/>
      <c r="G534" s="8"/>
      <c r="H534" s="8"/>
      <c r="I534" s="9"/>
      <c r="J534" s="12" t="str">
        <f t="array" ref="J534:K534">IFERROR(INDEX(PRECIOS_COMPLEMENTOS!$C$4:$F$17,MATCH(D534&amp;"_"&amp;E534,PRECIOS_COMPLEMENTOS!$H$4:$H$17,0),IF(OR(H534="S",H534="20cm"),1,IF(OR(H534="M",H534="25cm"),2,IF(OR(H534="L",H534="30cm"),3,IF(OR(H534="XL",H534="35cm"),4,0))))),0)</f>
        <v>#REF!</v>
      </c>
      <c r="K534" s="12">
        <f t="shared" si="1"/>
        <v>0</v>
      </c>
      <c r="L534" s="13">
        <f>IFERROR(IF(C534="",0,IF(D534="PRETINA",SUMIFS($I$4:$I$533,$C$4:$C$533,C534,$D$4:$D$533,D534,$E$4:$E$533,E534,$F$4:$F$533,F534,$G$4:$G$533,G534,$H$4:$H$533,H534,$B$4:$B$533,"INGRESO")+SUMIFS($I$4:$I$533,$C$4:$C$533,C534,$D$4:$D$533,D534,$E$4:$E$533,E534,$F$4:$F$533,F534,$G$4:$G$533,G534,$H$4:$H$533,H534,$B$4:$B$533,"DE CORTE")-SUMIFS($I$4:$I$533,$C$4:$C$533,C534,$D$4:$D$533,D534,$E$4:$E$533,E534,$F$4:$F$533,F534,$G$4:$G$533,G534,$H$4:$H$533,H534,$B$4:$B$533,"SALIDA"),SUMIFS($I$4:$I$533,$C$4:$C$533,C534,$D$4:$D$533,D534,$E$4:$E$533,E534,$G$4:$G$533,G534,$H$4:$H$533,H534,$B$4:$B$533,"INGRESO")+SUMIFS($I$4:$I$533,$C$4:$C$533,C534,$D$4:$D$533,D534,$E$4:$E$533,E534,$G$4:$G$533,G534,$H$4:$H$533,H534,$B$4:$B$533,"DE CORTE")-SUMIFS($I$4:$I$533,$C$4:$C$533,C534,$D$4:$D$533,D534,$E$4:$E$533,E534,$G$4:$G$533,G534,$H$4:$H$533,H534,$B$4:$B$533,"SALIDA"))),0)</f>
        <v>0</v>
      </c>
      <c r="M534" s="13">
        <f t="shared" si="2"/>
        <v>0</v>
      </c>
      <c r="N534" s="14"/>
      <c r="O534" s="14"/>
      <c r="P534" s="15"/>
      <c r="Q534" s="14"/>
    </row>
    <row r="535" ht="15.75" customHeight="1">
      <c r="A535" s="7"/>
      <c r="B535" s="8"/>
      <c r="C535" s="8"/>
      <c r="D535" s="8"/>
      <c r="E535" s="8"/>
      <c r="F535" s="14"/>
      <c r="G535" s="8"/>
      <c r="H535" s="8"/>
      <c r="I535" s="9"/>
      <c r="J535" s="12" t="str">
        <f t="array" ref="J535:K535">IFERROR(INDEX(PRECIOS_COMPLEMENTOS!$C$4:$F$17,MATCH(D535&amp;"_"&amp;E535,PRECIOS_COMPLEMENTOS!$H$4:$H$17,0),IF(OR(H535="S",H535="20cm"),1,IF(OR(H535="M",H535="25cm"),2,IF(OR(H535="L",H535="30cm"),3,IF(OR(H535="XL",H535="35cm"),4,0))))),0)</f>
        <v>#REF!</v>
      </c>
      <c r="K535" s="12">
        <f t="shared" si="1"/>
        <v>0</v>
      </c>
      <c r="L535" s="13">
        <f>IFERROR(IF(C535="",0,IF(D535="PRETINA",SUMIFS($I$4:$I$534,$C$4:$C$534,C535,$D$4:$D$534,D535,$E$4:$E$534,E535,$F$4:$F$534,F535,$G$4:$G$534,G535,$H$4:$H$534,H535,$B$4:$B$534,"INGRESO")+SUMIFS($I$4:$I$534,$C$4:$C$534,C535,$D$4:$D$534,D535,$E$4:$E$534,E535,$F$4:$F$534,F535,$G$4:$G$534,G535,$H$4:$H$534,H535,$B$4:$B$534,"DE CORTE")-SUMIFS($I$4:$I$534,$C$4:$C$534,C535,$D$4:$D$534,D535,$E$4:$E$534,E535,$F$4:$F$534,F535,$G$4:$G$534,G535,$H$4:$H$534,H535,$B$4:$B$534,"SALIDA"),SUMIFS($I$4:$I$534,$C$4:$C$534,C535,$D$4:$D$534,D535,$E$4:$E$534,E535,$G$4:$G$534,G535,$H$4:$H$534,H535,$B$4:$B$534,"INGRESO")+SUMIFS($I$4:$I$534,$C$4:$C$534,C535,$D$4:$D$534,D535,$E$4:$E$534,E535,$G$4:$G$534,G535,$H$4:$H$534,H535,$B$4:$B$534,"DE CORTE")-SUMIFS($I$4:$I$534,$C$4:$C$534,C535,$D$4:$D$534,D535,$E$4:$E$534,E535,$G$4:$G$534,G535,$H$4:$H$534,H535,$B$4:$B$534,"SALIDA"))),0)</f>
        <v>0</v>
      </c>
      <c r="M535" s="13">
        <f t="shared" si="2"/>
        <v>0</v>
      </c>
      <c r="N535" s="14"/>
      <c r="O535" s="14"/>
      <c r="P535" s="15"/>
      <c r="Q535" s="14"/>
    </row>
    <row r="536" ht="15.75" customHeight="1">
      <c r="A536" s="7"/>
      <c r="B536" s="8"/>
      <c r="C536" s="8"/>
      <c r="D536" s="8"/>
      <c r="E536" s="8"/>
      <c r="F536" s="14"/>
      <c r="G536" s="8"/>
      <c r="H536" s="8"/>
      <c r="I536" s="9"/>
      <c r="J536" s="12" t="str">
        <f t="array" ref="J536:K536">IFERROR(INDEX(PRECIOS_COMPLEMENTOS!$C$4:$F$17,MATCH(D536&amp;"_"&amp;E536,PRECIOS_COMPLEMENTOS!$H$4:$H$17,0),IF(OR(H536="S",H536="20cm"),1,IF(OR(H536="M",H536="25cm"),2,IF(OR(H536="L",H536="30cm"),3,IF(OR(H536="XL",H536="35cm"),4,0))))),0)</f>
        <v>#REF!</v>
      </c>
      <c r="K536" s="12">
        <f t="shared" si="1"/>
        <v>0</v>
      </c>
      <c r="L536" s="13">
        <f>IFERROR(IF(C536="",0,IF(D536="PRETINA",SUMIFS($I$4:$I$535,$C$4:$C$535,C536,$D$4:$D$535,D536,$E$4:$E$535,E536,$F$4:$F$535,F536,$G$4:$G$535,G536,$H$4:$H$535,H536,$B$4:$B$535,"INGRESO")+SUMIFS($I$4:$I$535,$C$4:$C$535,C536,$D$4:$D$535,D536,$E$4:$E$535,E536,$F$4:$F$535,F536,$G$4:$G$535,G536,$H$4:$H$535,H536,$B$4:$B$535,"DE CORTE")-SUMIFS($I$4:$I$535,$C$4:$C$535,C536,$D$4:$D$535,D536,$E$4:$E$535,E536,$F$4:$F$535,F536,$G$4:$G$535,G536,$H$4:$H$535,H536,$B$4:$B$535,"SALIDA"),SUMIFS($I$4:$I$535,$C$4:$C$535,C536,$D$4:$D$535,D536,$E$4:$E$535,E536,$G$4:$G$535,G536,$H$4:$H$535,H536,$B$4:$B$535,"INGRESO")+SUMIFS($I$4:$I$535,$C$4:$C$535,C536,$D$4:$D$535,D536,$E$4:$E$535,E536,$G$4:$G$535,G536,$H$4:$H$535,H536,$B$4:$B$535,"DE CORTE")-SUMIFS($I$4:$I$535,$C$4:$C$535,C536,$D$4:$D$535,D536,$E$4:$E$535,E536,$G$4:$G$535,G536,$H$4:$H$535,H536,$B$4:$B$535,"SALIDA"))),0)</f>
        <v>0</v>
      </c>
      <c r="M536" s="13">
        <f t="shared" si="2"/>
        <v>0</v>
      </c>
      <c r="N536" s="14"/>
      <c r="O536" s="14"/>
      <c r="P536" s="15"/>
      <c r="Q536" s="14"/>
    </row>
    <row r="537" ht="15.75" customHeight="1">
      <c r="A537" s="7"/>
      <c r="B537" s="8"/>
      <c r="C537" s="8"/>
      <c r="D537" s="8"/>
      <c r="E537" s="8"/>
      <c r="F537" s="14"/>
      <c r="G537" s="8"/>
      <c r="H537" s="8"/>
      <c r="I537" s="9"/>
      <c r="J537" s="12" t="str">
        <f t="array" ref="J537:K537">IFERROR(INDEX(PRECIOS_COMPLEMENTOS!$C$4:$F$17,MATCH(D537&amp;"_"&amp;E537,PRECIOS_COMPLEMENTOS!$H$4:$H$17,0),IF(OR(H537="S",H537="20cm"),1,IF(OR(H537="M",H537="25cm"),2,IF(OR(H537="L",H537="30cm"),3,IF(OR(H537="XL",H537="35cm"),4,0))))),0)</f>
        <v>#REF!</v>
      </c>
      <c r="K537" s="12">
        <f t="shared" si="1"/>
        <v>0</v>
      </c>
      <c r="L537" s="13">
        <f>IFERROR(IF(C537="",0,IF(D537="PRETINA",SUMIFS($I$4:$I$536,$C$4:$C$536,C537,$D$4:$D$536,D537,$E$4:$E$536,E537,$F$4:$F$536,F537,$G$4:$G$536,G537,$H$4:$H$536,H537,$B$4:$B$536,"INGRESO")+SUMIFS($I$4:$I$536,$C$4:$C$536,C537,$D$4:$D$536,D537,$E$4:$E$536,E537,$F$4:$F$536,F537,$G$4:$G$536,G537,$H$4:$H$536,H537,$B$4:$B$536,"DE CORTE")-SUMIFS($I$4:$I$536,$C$4:$C$536,C537,$D$4:$D$536,D537,$E$4:$E$536,E537,$F$4:$F$536,F537,$G$4:$G$536,G537,$H$4:$H$536,H537,$B$4:$B$536,"SALIDA"),SUMIFS($I$4:$I$536,$C$4:$C$536,C537,$D$4:$D$536,D537,$E$4:$E$536,E537,$G$4:$G$536,G537,$H$4:$H$536,H537,$B$4:$B$536,"INGRESO")+SUMIFS($I$4:$I$536,$C$4:$C$536,C537,$D$4:$D$536,D537,$E$4:$E$536,E537,$G$4:$G$536,G537,$H$4:$H$536,H537,$B$4:$B$536,"DE CORTE")-SUMIFS($I$4:$I$536,$C$4:$C$536,C537,$D$4:$D$536,D537,$E$4:$E$536,E537,$G$4:$G$536,G537,$H$4:$H$536,H537,$B$4:$B$536,"SALIDA"))),0)</f>
        <v>0</v>
      </c>
      <c r="M537" s="13">
        <f t="shared" si="2"/>
        <v>0</v>
      </c>
      <c r="N537" s="14"/>
      <c r="O537" s="14"/>
      <c r="P537" s="15"/>
      <c r="Q537" s="14"/>
    </row>
    <row r="538" ht="15.75" customHeight="1">
      <c r="A538" s="7"/>
      <c r="B538" s="8"/>
      <c r="C538" s="8"/>
      <c r="D538" s="8"/>
      <c r="E538" s="8"/>
      <c r="F538" s="14"/>
      <c r="G538" s="8"/>
      <c r="H538" s="8"/>
      <c r="I538" s="9"/>
      <c r="J538" s="12" t="str">
        <f t="array" ref="J538:K538">IFERROR(INDEX(PRECIOS_COMPLEMENTOS!$C$4:$F$17,MATCH(D538&amp;"_"&amp;E538,PRECIOS_COMPLEMENTOS!$H$4:$H$17,0),IF(OR(H538="S",H538="20cm"),1,IF(OR(H538="M",H538="25cm"),2,IF(OR(H538="L",H538="30cm"),3,IF(OR(H538="XL",H538="35cm"),4,0))))),0)</f>
        <v>#REF!</v>
      </c>
      <c r="K538" s="12">
        <f t="shared" si="1"/>
        <v>0</v>
      </c>
      <c r="L538" s="13">
        <f>IFERROR(IF(C538="",0,IF(D538="PRETINA",SUMIFS($I$4:$I$537,$C$4:$C$537,C538,$D$4:$D$537,D538,$E$4:$E$537,E538,$F$4:$F$537,F538,$G$4:$G$537,G538,$H$4:$H$537,H538,$B$4:$B$537,"INGRESO")+SUMIFS($I$4:$I$537,$C$4:$C$537,C538,$D$4:$D$537,D538,$E$4:$E$537,E538,$F$4:$F$537,F538,$G$4:$G$537,G538,$H$4:$H$537,H538,$B$4:$B$537,"DE CORTE")-SUMIFS($I$4:$I$537,$C$4:$C$537,C538,$D$4:$D$537,D538,$E$4:$E$537,E538,$F$4:$F$537,F538,$G$4:$G$537,G538,$H$4:$H$537,H538,$B$4:$B$537,"SALIDA"),SUMIFS($I$4:$I$537,$C$4:$C$537,C538,$D$4:$D$537,D538,$E$4:$E$537,E538,$G$4:$G$537,G538,$H$4:$H$537,H538,$B$4:$B$537,"INGRESO")+SUMIFS($I$4:$I$537,$C$4:$C$537,C538,$D$4:$D$537,D538,$E$4:$E$537,E538,$G$4:$G$537,G538,$H$4:$H$537,H538,$B$4:$B$537,"DE CORTE")-SUMIFS($I$4:$I$537,$C$4:$C$537,C538,$D$4:$D$537,D538,$E$4:$E$537,E538,$G$4:$G$537,G538,$H$4:$H$537,H538,$B$4:$B$537,"SALIDA"))),0)</f>
        <v>0</v>
      </c>
      <c r="M538" s="13">
        <f t="shared" si="2"/>
        <v>0</v>
      </c>
      <c r="N538" s="14"/>
      <c r="O538" s="14"/>
      <c r="P538" s="15"/>
      <c r="Q538" s="14"/>
    </row>
    <row r="539" ht="15.75" customHeight="1">
      <c r="A539" s="7"/>
      <c r="B539" s="8"/>
      <c r="C539" s="8"/>
      <c r="D539" s="8"/>
      <c r="E539" s="8"/>
      <c r="F539" s="14"/>
      <c r="G539" s="8"/>
      <c r="H539" s="8"/>
      <c r="I539" s="9"/>
      <c r="J539" s="12" t="str">
        <f t="array" ref="J539:K539">IFERROR(INDEX(PRECIOS_COMPLEMENTOS!$C$4:$F$17,MATCH(D539&amp;"_"&amp;E539,PRECIOS_COMPLEMENTOS!$H$4:$H$17,0),IF(OR(H539="S",H539="20cm"),1,IF(OR(H539="M",H539="25cm"),2,IF(OR(H539="L",H539="30cm"),3,IF(OR(H539="XL",H539="35cm"),4,0))))),0)</f>
        <v>#REF!</v>
      </c>
      <c r="K539" s="12">
        <f t="shared" si="1"/>
        <v>0</v>
      </c>
      <c r="L539" s="13">
        <f>IFERROR(IF(C539="",0,IF(D539="PRETINA",SUMIFS($I$4:$I$538,$C$4:$C$538,C539,$D$4:$D$538,D539,$E$4:$E$538,E539,$F$4:$F$538,F539,$G$4:$G$538,G539,$H$4:$H$538,H539,$B$4:$B$538,"INGRESO")+SUMIFS($I$4:$I$538,$C$4:$C$538,C539,$D$4:$D$538,D539,$E$4:$E$538,E539,$F$4:$F$538,F539,$G$4:$G$538,G539,$H$4:$H$538,H539,$B$4:$B$538,"DE CORTE")-SUMIFS($I$4:$I$538,$C$4:$C$538,C539,$D$4:$D$538,D539,$E$4:$E$538,E539,$F$4:$F$538,F539,$G$4:$G$538,G539,$H$4:$H$538,H539,$B$4:$B$538,"SALIDA"),SUMIFS($I$4:$I$538,$C$4:$C$538,C539,$D$4:$D$538,D539,$E$4:$E$538,E539,$G$4:$G$538,G539,$H$4:$H$538,H539,$B$4:$B$538,"INGRESO")+SUMIFS($I$4:$I$538,$C$4:$C$538,C539,$D$4:$D$538,D539,$E$4:$E$538,E539,$G$4:$G$538,G539,$H$4:$H$538,H539,$B$4:$B$538,"DE CORTE")-SUMIFS($I$4:$I$538,$C$4:$C$538,C539,$D$4:$D$538,D539,$E$4:$E$538,E539,$G$4:$G$538,G539,$H$4:$H$538,H539,$B$4:$B$538,"SALIDA"))),0)</f>
        <v>0</v>
      </c>
      <c r="M539" s="13">
        <f t="shared" si="2"/>
        <v>0</v>
      </c>
      <c r="N539" s="14"/>
      <c r="O539" s="14"/>
      <c r="P539" s="15"/>
      <c r="Q539" s="14"/>
    </row>
    <row r="540" ht="15.75" customHeight="1">
      <c r="A540" s="7"/>
      <c r="B540" s="8"/>
      <c r="C540" s="8"/>
      <c r="D540" s="8"/>
      <c r="E540" s="8"/>
      <c r="F540" s="14"/>
      <c r="G540" s="8"/>
      <c r="H540" s="8"/>
      <c r="I540" s="9"/>
      <c r="J540" s="12" t="str">
        <f t="array" ref="J540:K540">IFERROR(INDEX(PRECIOS_COMPLEMENTOS!$C$4:$F$17,MATCH(D540&amp;"_"&amp;E540,PRECIOS_COMPLEMENTOS!$H$4:$H$17,0),IF(OR(H540="S",H540="20cm"),1,IF(OR(H540="M",H540="25cm"),2,IF(OR(H540="L",H540="30cm"),3,IF(OR(H540="XL",H540="35cm"),4,0))))),0)</f>
        <v>#REF!</v>
      </c>
      <c r="K540" s="12">
        <f t="shared" si="1"/>
        <v>0</v>
      </c>
      <c r="L540" s="13">
        <f>IFERROR(IF(C540="",0,IF(D540="PRETINA",SUMIFS($I$4:$I$539,$C$4:$C$539,C540,$D$4:$D$539,D540,$E$4:$E$539,E540,$F$4:$F$539,F540,$G$4:$G$539,G540,$H$4:$H$539,H540,$B$4:$B$539,"INGRESO")+SUMIFS($I$4:$I$539,$C$4:$C$539,C540,$D$4:$D$539,D540,$E$4:$E$539,E540,$F$4:$F$539,F540,$G$4:$G$539,G540,$H$4:$H$539,H540,$B$4:$B$539,"DE CORTE")-SUMIFS($I$4:$I$539,$C$4:$C$539,C540,$D$4:$D$539,D540,$E$4:$E$539,E540,$F$4:$F$539,F540,$G$4:$G$539,G540,$H$4:$H$539,H540,$B$4:$B$539,"SALIDA"),SUMIFS($I$4:$I$539,$C$4:$C$539,C540,$D$4:$D$539,D540,$E$4:$E$539,E540,$G$4:$G$539,G540,$H$4:$H$539,H540,$B$4:$B$539,"INGRESO")+SUMIFS($I$4:$I$539,$C$4:$C$539,C540,$D$4:$D$539,D540,$E$4:$E$539,E540,$G$4:$G$539,G540,$H$4:$H$539,H540,$B$4:$B$539,"DE CORTE")-SUMIFS($I$4:$I$539,$C$4:$C$539,C540,$D$4:$D$539,D540,$E$4:$E$539,E540,$G$4:$G$539,G540,$H$4:$H$539,H540,$B$4:$B$539,"SALIDA"))),0)</f>
        <v>0</v>
      </c>
      <c r="M540" s="13">
        <f t="shared" si="2"/>
        <v>0</v>
      </c>
      <c r="N540" s="14"/>
      <c r="O540" s="14"/>
      <c r="P540" s="15"/>
      <c r="Q540" s="14"/>
    </row>
    <row r="541" ht="15.75" customHeight="1">
      <c r="A541" s="7"/>
      <c r="B541" s="8"/>
      <c r="C541" s="8"/>
      <c r="D541" s="8"/>
      <c r="E541" s="8"/>
      <c r="F541" s="14"/>
      <c r="G541" s="8"/>
      <c r="H541" s="8"/>
      <c r="I541" s="9"/>
      <c r="J541" s="12" t="str">
        <f t="array" ref="J541:K541">IFERROR(INDEX(PRECIOS_COMPLEMENTOS!$C$4:$F$17,MATCH(D541&amp;"_"&amp;E541,PRECIOS_COMPLEMENTOS!$H$4:$H$17,0),IF(OR(H541="S",H541="20cm"),1,IF(OR(H541="M",H541="25cm"),2,IF(OR(H541="L",H541="30cm"),3,IF(OR(H541="XL",H541="35cm"),4,0))))),0)</f>
        <v>#REF!</v>
      </c>
      <c r="K541" s="12">
        <f t="shared" si="1"/>
        <v>0</v>
      </c>
      <c r="L541" s="13">
        <f>IFERROR(IF(C541="",0,IF(D541="PRETINA",SUMIFS($I$4:$I$540,$C$4:$C$540,C541,$D$4:$D$540,D541,$E$4:$E$540,E541,$F$4:$F$540,F541,$G$4:$G$540,G541,$H$4:$H$540,H541,$B$4:$B$540,"INGRESO")+SUMIFS($I$4:$I$540,$C$4:$C$540,C541,$D$4:$D$540,D541,$E$4:$E$540,E541,$F$4:$F$540,F541,$G$4:$G$540,G541,$H$4:$H$540,H541,$B$4:$B$540,"DE CORTE")-SUMIFS($I$4:$I$540,$C$4:$C$540,C541,$D$4:$D$540,D541,$E$4:$E$540,E541,$F$4:$F$540,F541,$G$4:$G$540,G541,$H$4:$H$540,H541,$B$4:$B$540,"SALIDA"),SUMIFS($I$4:$I$540,$C$4:$C$540,C541,$D$4:$D$540,D541,$E$4:$E$540,E541,$G$4:$G$540,G541,$H$4:$H$540,H541,$B$4:$B$540,"INGRESO")+SUMIFS($I$4:$I$540,$C$4:$C$540,C541,$D$4:$D$540,D541,$E$4:$E$540,E541,$G$4:$G$540,G541,$H$4:$H$540,H541,$B$4:$B$540,"DE CORTE")-SUMIFS($I$4:$I$540,$C$4:$C$540,C541,$D$4:$D$540,D541,$E$4:$E$540,E541,$G$4:$G$540,G541,$H$4:$H$540,H541,$B$4:$B$540,"SALIDA"))),0)</f>
        <v>0</v>
      </c>
      <c r="M541" s="13">
        <f t="shared" si="2"/>
        <v>0</v>
      </c>
      <c r="N541" s="14"/>
      <c r="O541" s="14"/>
      <c r="P541" s="15"/>
      <c r="Q541" s="14"/>
    </row>
    <row r="542" ht="15.75" customHeight="1">
      <c r="A542" s="7"/>
      <c r="B542" s="8"/>
      <c r="C542" s="8"/>
      <c r="D542" s="8"/>
      <c r="E542" s="8"/>
      <c r="F542" s="14"/>
      <c r="G542" s="8"/>
      <c r="H542" s="8"/>
      <c r="I542" s="9"/>
      <c r="J542" s="12" t="str">
        <f t="array" ref="J542:K542">IFERROR(INDEX(PRECIOS_COMPLEMENTOS!$C$4:$F$17,MATCH(D542&amp;"_"&amp;E542,PRECIOS_COMPLEMENTOS!$H$4:$H$17,0),IF(OR(H542="S",H542="20cm"),1,IF(OR(H542="M",H542="25cm"),2,IF(OR(H542="L",H542="30cm"),3,IF(OR(H542="XL",H542="35cm"),4,0))))),0)</f>
        <v>#REF!</v>
      </c>
      <c r="K542" s="12">
        <f t="shared" si="1"/>
        <v>0</v>
      </c>
      <c r="L542" s="13">
        <f>IFERROR(IF(C542="",0,IF(D542="PRETINA",SUMIFS($I$4:$I$541,$C$4:$C$541,C542,$D$4:$D$541,D542,$E$4:$E$541,E542,$F$4:$F$541,F542,$G$4:$G$541,G542,$H$4:$H$541,H542,$B$4:$B$541,"INGRESO")+SUMIFS($I$4:$I$541,$C$4:$C$541,C542,$D$4:$D$541,D542,$E$4:$E$541,E542,$F$4:$F$541,F542,$G$4:$G$541,G542,$H$4:$H$541,H542,$B$4:$B$541,"DE CORTE")-SUMIFS($I$4:$I$541,$C$4:$C$541,C542,$D$4:$D$541,D542,$E$4:$E$541,E542,$F$4:$F$541,F542,$G$4:$G$541,G542,$H$4:$H$541,H542,$B$4:$B$541,"SALIDA"),SUMIFS($I$4:$I$541,$C$4:$C$541,C542,$D$4:$D$541,D542,$E$4:$E$541,E542,$G$4:$G$541,G542,$H$4:$H$541,H542,$B$4:$B$541,"INGRESO")+SUMIFS($I$4:$I$541,$C$4:$C$541,C542,$D$4:$D$541,D542,$E$4:$E$541,E542,$G$4:$G$541,G542,$H$4:$H$541,H542,$B$4:$B$541,"DE CORTE")-SUMIFS($I$4:$I$541,$C$4:$C$541,C542,$D$4:$D$541,D542,$E$4:$E$541,E542,$G$4:$G$541,G542,$H$4:$H$541,H542,$B$4:$B$541,"SALIDA"))),0)</f>
        <v>0</v>
      </c>
      <c r="M542" s="13">
        <f t="shared" si="2"/>
        <v>0</v>
      </c>
      <c r="N542" s="14"/>
      <c r="O542" s="14"/>
      <c r="P542" s="15"/>
      <c r="Q542" s="14"/>
    </row>
    <row r="543" ht="15.75" customHeight="1">
      <c r="A543" s="7"/>
      <c r="B543" s="8"/>
      <c r="C543" s="8"/>
      <c r="D543" s="8"/>
      <c r="E543" s="8"/>
      <c r="F543" s="14"/>
      <c r="G543" s="8"/>
      <c r="H543" s="8"/>
      <c r="I543" s="9"/>
      <c r="J543" s="12" t="str">
        <f t="array" ref="J543:K543">IFERROR(INDEX(PRECIOS_COMPLEMENTOS!$C$4:$F$17,MATCH(D543&amp;"_"&amp;E543,PRECIOS_COMPLEMENTOS!$H$4:$H$17,0),IF(OR(H543="S",H543="20cm"),1,IF(OR(H543="M",H543="25cm"),2,IF(OR(H543="L",H543="30cm"),3,IF(OR(H543="XL",H543="35cm"),4,0))))),0)</f>
        <v>#REF!</v>
      </c>
      <c r="K543" s="12">
        <f t="shared" si="1"/>
        <v>0</v>
      </c>
      <c r="L543" s="13">
        <f>IFERROR(IF(C543="",0,IF(D543="PRETINA",SUMIFS($I$4:$I$542,$C$4:$C$542,C543,$D$4:$D$542,D543,$E$4:$E$542,E543,$F$4:$F$542,F543,$G$4:$G$542,G543,$H$4:$H$542,H543,$B$4:$B$542,"INGRESO")+SUMIFS($I$4:$I$542,$C$4:$C$542,C543,$D$4:$D$542,D543,$E$4:$E$542,E543,$F$4:$F$542,F543,$G$4:$G$542,G543,$H$4:$H$542,H543,$B$4:$B$542,"DE CORTE")-SUMIFS($I$4:$I$542,$C$4:$C$542,C543,$D$4:$D$542,D543,$E$4:$E$542,E543,$F$4:$F$542,F543,$G$4:$G$542,G543,$H$4:$H$542,H543,$B$4:$B$542,"SALIDA"),SUMIFS($I$4:$I$542,$C$4:$C$542,C543,$D$4:$D$542,D543,$E$4:$E$542,E543,$G$4:$G$542,G543,$H$4:$H$542,H543,$B$4:$B$542,"INGRESO")+SUMIFS($I$4:$I$542,$C$4:$C$542,C543,$D$4:$D$542,D543,$E$4:$E$542,E543,$G$4:$G$542,G543,$H$4:$H$542,H543,$B$4:$B$542,"DE CORTE")-SUMIFS($I$4:$I$542,$C$4:$C$542,C543,$D$4:$D$542,D543,$E$4:$E$542,E543,$G$4:$G$542,G543,$H$4:$H$542,H543,$B$4:$B$542,"SALIDA"))),0)</f>
        <v>0</v>
      </c>
      <c r="M543" s="13">
        <f t="shared" si="2"/>
        <v>0</v>
      </c>
      <c r="N543" s="14"/>
      <c r="O543" s="14"/>
      <c r="P543" s="15"/>
      <c r="Q543" s="14"/>
    </row>
    <row r="544" ht="15.75" customHeight="1">
      <c r="A544" s="7"/>
      <c r="B544" s="8"/>
      <c r="C544" s="8"/>
      <c r="D544" s="8"/>
      <c r="E544" s="8"/>
      <c r="F544" s="14"/>
      <c r="G544" s="8"/>
      <c r="H544" s="8"/>
      <c r="I544" s="9"/>
      <c r="J544" s="12" t="str">
        <f t="array" ref="J544:K544">IFERROR(INDEX(PRECIOS_COMPLEMENTOS!$C$4:$F$17,MATCH(D544&amp;"_"&amp;E544,PRECIOS_COMPLEMENTOS!$H$4:$H$17,0),IF(OR(H544="S",H544="20cm"),1,IF(OR(H544="M",H544="25cm"),2,IF(OR(H544="L",H544="30cm"),3,IF(OR(H544="XL",H544="35cm"),4,0))))),0)</f>
        <v>#REF!</v>
      </c>
      <c r="K544" s="12">
        <f t="shared" si="1"/>
        <v>0</v>
      </c>
      <c r="L544" s="13">
        <f>IFERROR(IF(C544="",0,IF(D544="PRETINA",SUMIFS($I$4:$I$543,$C$4:$C$543,C544,$D$4:$D$543,D544,$E$4:$E$543,E544,$F$4:$F$543,F544,$G$4:$G$543,G544,$H$4:$H$543,H544,$B$4:$B$543,"INGRESO")+SUMIFS($I$4:$I$543,$C$4:$C$543,C544,$D$4:$D$543,D544,$E$4:$E$543,E544,$F$4:$F$543,F544,$G$4:$G$543,G544,$H$4:$H$543,H544,$B$4:$B$543,"DE CORTE")-SUMIFS($I$4:$I$543,$C$4:$C$543,C544,$D$4:$D$543,D544,$E$4:$E$543,E544,$F$4:$F$543,F544,$G$4:$G$543,G544,$H$4:$H$543,H544,$B$4:$B$543,"SALIDA"),SUMIFS($I$4:$I$543,$C$4:$C$543,C544,$D$4:$D$543,D544,$E$4:$E$543,E544,$G$4:$G$543,G544,$H$4:$H$543,H544,$B$4:$B$543,"INGRESO")+SUMIFS($I$4:$I$543,$C$4:$C$543,C544,$D$4:$D$543,D544,$E$4:$E$543,E544,$G$4:$G$543,G544,$H$4:$H$543,H544,$B$4:$B$543,"DE CORTE")-SUMIFS($I$4:$I$543,$C$4:$C$543,C544,$D$4:$D$543,D544,$E$4:$E$543,E544,$G$4:$G$543,G544,$H$4:$H$543,H544,$B$4:$B$543,"SALIDA"))),0)</f>
        <v>0</v>
      </c>
      <c r="M544" s="13">
        <f t="shared" si="2"/>
        <v>0</v>
      </c>
      <c r="N544" s="14"/>
      <c r="O544" s="14"/>
      <c r="P544" s="15"/>
      <c r="Q544" s="14"/>
    </row>
    <row r="545" ht="15.75" customHeight="1">
      <c r="A545" s="7"/>
      <c r="B545" s="8"/>
      <c r="C545" s="8"/>
      <c r="D545" s="8"/>
      <c r="E545" s="8"/>
      <c r="F545" s="14"/>
      <c r="G545" s="8"/>
      <c r="H545" s="8"/>
      <c r="I545" s="9"/>
      <c r="J545" s="12" t="str">
        <f t="array" ref="J545:K545">IFERROR(INDEX(PRECIOS_COMPLEMENTOS!$C$4:$F$17,MATCH(D545&amp;"_"&amp;E545,PRECIOS_COMPLEMENTOS!$H$4:$H$17,0),IF(OR(H545="S",H545="20cm"),1,IF(OR(H545="M",H545="25cm"),2,IF(OR(H545="L",H545="30cm"),3,IF(OR(H545="XL",H545="35cm"),4,0))))),0)</f>
        <v>#REF!</v>
      </c>
      <c r="K545" s="12">
        <f t="shared" si="1"/>
        <v>0</v>
      </c>
      <c r="L545" s="13">
        <f>IFERROR(IF(C545="",0,IF(D545="PRETINA",SUMIFS($I$4:$I$544,$C$4:$C$544,C545,$D$4:$D$544,D545,$E$4:$E$544,E545,$F$4:$F$544,F545,$G$4:$G$544,G545,$H$4:$H$544,H545,$B$4:$B$544,"INGRESO")+SUMIFS($I$4:$I$544,$C$4:$C$544,C545,$D$4:$D$544,D545,$E$4:$E$544,E545,$F$4:$F$544,F545,$G$4:$G$544,G545,$H$4:$H$544,H545,$B$4:$B$544,"DE CORTE")-SUMIFS($I$4:$I$544,$C$4:$C$544,C545,$D$4:$D$544,D545,$E$4:$E$544,E545,$F$4:$F$544,F545,$G$4:$G$544,G545,$H$4:$H$544,H545,$B$4:$B$544,"SALIDA"),SUMIFS($I$4:$I$544,$C$4:$C$544,C545,$D$4:$D$544,D545,$E$4:$E$544,E545,$G$4:$G$544,G545,$H$4:$H$544,H545,$B$4:$B$544,"INGRESO")+SUMIFS($I$4:$I$544,$C$4:$C$544,C545,$D$4:$D$544,D545,$E$4:$E$544,E545,$G$4:$G$544,G545,$H$4:$H$544,H545,$B$4:$B$544,"DE CORTE")-SUMIFS($I$4:$I$544,$C$4:$C$544,C545,$D$4:$D$544,D545,$E$4:$E$544,E545,$G$4:$G$544,G545,$H$4:$H$544,H545,$B$4:$B$544,"SALIDA"))),0)</f>
        <v>0</v>
      </c>
      <c r="M545" s="13">
        <f t="shared" si="2"/>
        <v>0</v>
      </c>
      <c r="N545" s="14"/>
      <c r="O545" s="14"/>
      <c r="P545" s="15"/>
      <c r="Q545" s="14"/>
    </row>
    <row r="546" ht="15.75" customHeight="1">
      <c r="A546" s="7"/>
      <c r="B546" s="8"/>
      <c r="C546" s="8"/>
      <c r="D546" s="8"/>
      <c r="E546" s="8"/>
      <c r="F546" s="14"/>
      <c r="G546" s="8"/>
      <c r="H546" s="8"/>
      <c r="I546" s="9"/>
      <c r="J546" s="12" t="str">
        <f t="array" ref="J546:K546">IFERROR(INDEX(PRECIOS_COMPLEMENTOS!$C$4:$F$17,MATCH(D546&amp;"_"&amp;E546,PRECIOS_COMPLEMENTOS!$H$4:$H$17,0),IF(OR(H546="S",H546="20cm"),1,IF(OR(H546="M",H546="25cm"),2,IF(OR(H546="L",H546="30cm"),3,IF(OR(H546="XL",H546="35cm"),4,0))))),0)</f>
        <v>#REF!</v>
      </c>
      <c r="K546" s="12">
        <f t="shared" si="1"/>
        <v>0</v>
      </c>
      <c r="L546" s="13">
        <f>IFERROR(IF(C546="",0,IF(D546="PRETINA",SUMIFS($I$4:$I$545,$C$4:$C$545,C546,$D$4:$D$545,D546,$E$4:$E$545,E546,$F$4:$F$545,F546,$G$4:$G$545,G546,$H$4:$H$545,H546,$B$4:$B$545,"INGRESO")+SUMIFS($I$4:$I$545,$C$4:$C$545,C546,$D$4:$D$545,D546,$E$4:$E$545,E546,$F$4:$F$545,F546,$G$4:$G$545,G546,$H$4:$H$545,H546,$B$4:$B$545,"DE CORTE")-SUMIFS($I$4:$I$545,$C$4:$C$545,C546,$D$4:$D$545,D546,$E$4:$E$545,E546,$F$4:$F$545,F546,$G$4:$G$545,G546,$H$4:$H$545,H546,$B$4:$B$545,"SALIDA"),SUMIFS($I$4:$I$545,$C$4:$C$545,C546,$D$4:$D$545,D546,$E$4:$E$545,E546,$G$4:$G$545,G546,$H$4:$H$545,H546,$B$4:$B$545,"INGRESO")+SUMIFS($I$4:$I$545,$C$4:$C$545,C546,$D$4:$D$545,D546,$E$4:$E$545,E546,$G$4:$G$545,G546,$H$4:$H$545,H546,$B$4:$B$545,"DE CORTE")-SUMIFS($I$4:$I$545,$C$4:$C$545,C546,$D$4:$D$545,D546,$E$4:$E$545,E546,$G$4:$G$545,G546,$H$4:$H$545,H546,$B$4:$B$545,"SALIDA"))),0)</f>
        <v>0</v>
      </c>
      <c r="M546" s="13">
        <f t="shared" si="2"/>
        <v>0</v>
      </c>
      <c r="N546" s="14"/>
      <c r="O546" s="14"/>
      <c r="P546" s="15"/>
      <c r="Q546" s="14"/>
    </row>
    <row r="547" ht="15.75" customHeight="1">
      <c r="A547" s="7"/>
      <c r="B547" s="8"/>
      <c r="C547" s="8"/>
      <c r="D547" s="8"/>
      <c r="E547" s="8"/>
      <c r="F547" s="14"/>
      <c r="G547" s="8"/>
      <c r="H547" s="8"/>
      <c r="I547" s="9"/>
      <c r="J547" s="12" t="str">
        <f t="array" ref="J547:K547">IFERROR(INDEX(PRECIOS_COMPLEMENTOS!$C$4:$F$17,MATCH(D547&amp;"_"&amp;E547,PRECIOS_COMPLEMENTOS!$H$4:$H$17,0),IF(OR(H547="S",H547="20cm"),1,IF(OR(H547="M",H547="25cm"),2,IF(OR(H547="L",H547="30cm"),3,IF(OR(H547="XL",H547="35cm"),4,0))))),0)</f>
        <v>#REF!</v>
      </c>
      <c r="K547" s="12">
        <f t="shared" si="1"/>
        <v>0</v>
      </c>
      <c r="L547" s="13">
        <f>IFERROR(IF(C547="",0,IF(D547="PRETINA",SUMIFS($I$4:$I$546,$C$4:$C$546,C547,$D$4:$D$546,D547,$E$4:$E$546,E547,$F$4:$F$546,F547,$G$4:$G$546,G547,$H$4:$H$546,H547,$B$4:$B$546,"INGRESO")+SUMIFS($I$4:$I$546,$C$4:$C$546,C547,$D$4:$D$546,D547,$E$4:$E$546,E547,$F$4:$F$546,F547,$G$4:$G$546,G547,$H$4:$H$546,H547,$B$4:$B$546,"DE CORTE")-SUMIFS($I$4:$I$546,$C$4:$C$546,C547,$D$4:$D$546,D547,$E$4:$E$546,E547,$F$4:$F$546,F547,$G$4:$G$546,G547,$H$4:$H$546,H547,$B$4:$B$546,"SALIDA"),SUMIFS($I$4:$I$546,$C$4:$C$546,C547,$D$4:$D$546,D547,$E$4:$E$546,E547,$G$4:$G$546,G547,$H$4:$H$546,H547,$B$4:$B$546,"INGRESO")+SUMIFS($I$4:$I$546,$C$4:$C$546,C547,$D$4:$D$546,D547,$E$4:$E$546,E547,$G$4:$G$546,G547,$H$4:$H$546,H547,$B$4:$B$546,"DE CORTE")-SUMIFS($I$4:$I$546,$C$4:$C$546,C547,$D$4:$D$546,D547,$E$4:$E$546,E547,$G$4:$G$546,G547,$H$4:$H$546,H547,$B$4:$B$546,"SALIDA"))),0)</f>
        <v>0</v>
      </c>
      <c r="M547" s="13">
        <f t="shared" si="2"/>
        <v>0</v>
      </c>
      <c r="N547" s="14"/>
      <c r="O547" s="14"/>
      <c r="P547" s="15"/>
      <c r="Q547" s="14"/>
    </row>
    <row r="548" ht="15.75" customHeight="1">
      <c r="A548" s="7"/>
      <c r="B548" s="8"/>
      <c r="C548" s="8"/>
      <c r="D548" s="8"/>
      <c r="E548" s="8"/>
      <c r="F548" s="14"/>
      <c r="G548" s="8"/>
      <c r="H548" s="8"/>
      <c r="I548" s="9"/>
      <c r="J548" s="12" t="str">
        <f t="array" ref="J548:K548">IFERROR(INDEX(PRECIOS_COMPLEMENTOS!$C$4:$F$17,MATCH(D548&amp;"_"&amp;E548,PRECIOS_COMPLEMENTOS!$H$4:$H$17,0),IF(OR(H548="S",H548="20cm"),1,IF(OR(H548="M",H548="25cm"),2,IF(OR(H548="L",H548="30cm"),3,IF(OR(H548="XL",H548="35cm"),4,0))))),0)</f>
        <v>#REF!</v>
      </c>
      <c r="K548" s="12">
        <f t="shared" si="1"/>
        <v>0</v>
      </c>
      <c r="L548" s="13">
        <f>IFERROR(IF(C548="",0,IF(D548="PRETINA",SUMIFS($I$4:$I$547,$C$4:$C$547,C548,$D$4:$D$547,D548,$E$4:$E$547,E548,$F$4:$F$547,F548,$G$4:$G$547,G548,$H$4:$H$547,H548,$B$4:$B$547,"INGRESO")+SUMIFS($I$4:$I$547,$C$4:$C$547,C548,$D$4:$D$547,D548,$E$4:$E$547,E548,$F$4:$F$547,F548,$G$4:$G$547,G548,$H$4:$H$547,H548,$B$4:$B$547,"DE CORTE")-SUMIFS($I$4:$I$547,$C$4:$C$547,C548,$D$4:$D$547,D548,$E$4:$E$547,E548,$F$4:$F$547,F548,$G$4:$G$547,G548,$H$4:$H$547,H548,$B$4:$B$547,"SALIDA"),SUMIFS($I$4:$I$547,$C$4:$C$547,C548,$D$4:$D$547,D548,$E$4:$E$547,E548,$G$4:$G$547,G548,$H$4:$H$547,H548,$B$4:$B$547,"INGRESO")+SUMIFS($I$4:$I$547,$C$4:$C$547,C548,$D$4:$D$547,D548,$E$4:$E$547,E548,$G$4:$G$547,G548,$H$4:$H$547,H548,$B$4:$B$547,"DE CORTE")-SUMIFS($I$4:$I$547,$C$4:$C$547,C548,$D$4:$D$547,D548,$E$4:$E$547,E548,$G$4:$G$547,G548,$H$4:$H$547,H548,$B$4:$B$547,"SALIDA"))),0)</f>
        <v>0</v>
      </c>
      <c r="M548" s="13">
        <f t="shared" si="2"/>
        <v>0</v>
      </c>
      <c r="N548" s="14"/>
      <c r="O548" s="14"/>
      <c r="P548" s="15"/>
      <c r="Q548" s="14"/>
    </row>
    <row r="549" ht="15.75" customHeight="1">
      <c r="A549" s="7"/>
      <c r="B549" s="8"/>
      <c r="C549" s="8"/>
      <c r="D549" s="8"/>
      <c r="E549" s="8"/>
      <c r="F549" s="14"/>
      <c r="G549" s="8"/>
      <c r="H549" s="8"/>
      <c r="I549" s="9"/>
      <c r="J549" s="12" t="str">
        <f t="array" ref="J549:K549">IFERROR(INDEX(PRECIOS_COMPLEMENTOS!$C$4:$F$17,MATCH(D549&amp;"_"&amp;E549,PRECIOS_COMPLEMENTOS!$H$4:$H$17,0),IF(OR(H549="S",H549="20cm"),1,IF(OR(H549="M",H549="25cm"),2,IF(OR(H549="L",H549="30cm"),3,IF(OR(H549="XL",H549="35cm"),4,0))))),0)</f>
        <v>#REF!</v>
      </c>
      <c r="K549" s="12">
        <f t="shared" si="1"/>
        <v>0</v>
      </c>
      <c r="L549" s="13">
        <f>IFERROR(IF(C549="",0,IF(D549="PRETINA",SUMIFS($I$4:$I$548,$C$4:$C$548,C549,$D$4:$D$548,D549,$E$4:$E$548,E549,$F$4:$F$548,F549,$G$4:$G$548,G549,$H$4:$H$548,H549,$B$4:$B$548,"INGRESO")+SUMIFS($I$4:$I$548,$C$4:$C$548,C549,$D$4:$D$548,D549,$E$4:$E$548,E549,$F$4:$F$548,F549,$G$4:$G$548,G549,$H$4:$H$548,H549,$B$4:$B$548,"DE CORTE")-SUMIFS($I$4:$I$548,$C$4:$C$548,C549,$D$4:$D$548,D549,$E$4:$E$548,E549,$F$4:$F$548,F549,$G$4:$G$548,G549,$H$4:$H$548,H549,$B$4:$B$548,"SALIDA"),SUMIFS($I$4:$I$548,$C$4:$C$548,C549,$D$4:$D$548,D549,$E$4:$E$548,E549,$G$4:$G$548,G549,$H$4:$H$548,H549,$B$4:$B$548,"INGRESO")+SUMIFS($I$4:$I$548,$C$4:$C$548,C549,$D$4:$D$548,D549,$E$4:$E$548,E549,$G$4:$G$548,G549,$H$4:$H$548,H549,$B$4:$B$548,"DE CORTE")-SUMIFS($I$4:$I$548,$C$4:$C$548,C549,$D$4:$D$548,D549,$E$4:$E$548,E549,$G$4:$G$548,G549,$H$4:$H$548,H549,$B$4:$B$548,"SALIDA"))),0)</f>
        <v>0</v>
      </c>
      <c r="M549" s="13">
        <f t="shared" si="2"/>
        <v>0</v>
      </c>
      <c r="N549" s="14"/>
      <c r="O549" s="14"/>
      <c r="P549" s="15"/>
      <c r="Q549" s="14"/>
    </row>
    <row r="550" ht="15.75" customHeight="1">
      <c r="A550" s="7"/>
      <c r="B550" s="8"/>
      <c r="C550" s="8"/>
      <c r="D550" s="8"/>
      <c r="E550" s="8"/>
      <c r="F550" s="14"/>
      <c r="G550" s="8"/>
      <c r="H550" s="8"/>
      <c r="I550" s="9"/>
      <c r="J550" s="12" t="str">
        <f t="array" ref="J550:K550">IFERROR(INDEX(PRECIOS_COMPLEMENTOS!$C$4:$F$17,MATCH(D550&amp;"_"&amp;E550,PRECIOS_COMPLEMENTOS!$H$4:$H$17,0),IF(OR(H550="S",H550="20cm"),1,IF(OR(H550="M",H550="25cm"),2,IF(OR(H550="L",H550="30cm"),3,IF(OR(H550="XL",H550="35cm"),4,0))))),0)</f>
        <v>#REF!</v>
      </c>
      <c r="K550" s="12">
        <f t="shared" si="1"/>
        <v>0</v>
      </c>
      <c r="L550" s="13">
        <f>IFERROR(IF(C550="",0,IF(D550="PRETINA",SUMIFS($I$4:$I$549,$C$4:$C$549,C550,$D$4:$D$549,D550,$E$4:$E$549,E550,$F$4:$F$549,F550,$G$4:$G$549,G550,$H$4:$H$549,H550,$B$4:$B$549,"INGRESO")+SUMIFS($I$4:$I$549,$C$4:$C$549,C550,$D$4:$D$549,D550,$E$4:$E$549,E550,$F$4:$F$549,F550,$G$4:$G$549,G550,$H$4:$H$549,H550,$B$4:$B$549,"DE CORTE")-SUMIFS($I$4:$I$549,$C$4:$C$549,C550,$D$4:$D$549,D550,$E$4:$E$549,E550,$F$4:$F$549,F550,$G$4:$G$549,G550,$H$4:$H$549,H550,$B$4:$B$549,"SALIDA"),SUMIFS($I$4:$I$549,$C$4:$C$549,C550,$D$4:$D$549,D550,$E$4:$E$549,E550,$G$4:$G$549,G550,$H$4:$H$549,H550,$B$4:$B$549,"INGRESO")+SUMIFS($I$4:$I$549,$C$4:$C$549,C550,$D$4:$D$549,D550,$E$4:$E$549,E550,$G$4:$G$549,G550,$H$4:$H$549,H550,$B$4:$B$549,"DE CORTE")-SUMIFS($I$4:$I$549,$C$4:$C$549,C550,$D$4:$D$549,D550,$E$4:$E$549,E550,$G$4:$G$549,G550,$H$4:$H$549,H550,$B$4:$B$549,"SALIDA"))),0)</f>
        <v>0</v>
      </c>
      <c r="M550" s="13">
        <f t="shared" si="2"/>
        <v>0</v>
      </c>
      <c r="N550" s="14"/>
      <c r="O550" s="14"/>
      <c r="P550" s="15"/>
      <c r="Q550" s="14"/>
    </row>
    <row r="551" ht="15.75" customHeight="1">
      <c r="A551" s="7"/>
      <c r="B551" s="8"/>
      <c r="C551" s="8"/>
      <c r="D551" s="8"/>
      <c r="E551" s="8"/>
      <c r="F551" s="14"/>
      <c r="G551" s="8"/>
      <c r="H551" s="8"/>
      <c r="I551" s="9"/>
      <c r="J551" s="12" t="str">
        <f t="array" ref="J551:K551">IFERROR(INDEX(PRECIOS_COMPLEMENTOS!$C$4:$F$17,MATCH(D551&amp;"_"&amp;E551,PRECIOS_COMPLEMENTOS!$H$4:$H$17,0),IF(OR(H551="S",H551="20cm"),1,IF(OR(H551="M",H551="25cm"),2,IF(OR(H551="L",H551="30cm"),3,IF(OR(H551="XL",H551="35cm"),4,0))))),0)</f>
        <v>#REF!</v>
      </c>
      <c r="K551" s="12">
        <f t="shared" si="1"/>
        <v>0</v>
      </c>
      <c r="L551" s="13">
        <f>IFERROR(IF(C551="",0,IF(D551="PRETINA",SUMIFS($I$4:$I$550,$C$4:$C$550,C551,$D$4:$D$550,D551,$E$4:$E$550,E551,$F$4:$F$550,F551,$G$4:$G$550,G551,$H$4:$H$550,H551,$B$4:$B$550,"INGRESO")+SUMIFS($I$4:$I$550,$C$4:$C$550,C551,$D$4:$D$550,D551,$E$4:$E$550,E551,$F$4:$F$550,F551,$G$4:$G$550,G551,$H$4:$H$550,H551,$B$4:$B$550,"DE CORTE")-SUMIFS($I$4:$I$550,$C$4:$C$550,C551,$D$4:$D$550,D551,$E$4:$E$550,E551,$F$4:$F$550,F551,$G$4:$G$550,G551,$H$4:$H$550,H551,$B$4:$B$550,"SALIDA"),SUMIFS($I$4:$I$550,$C$4:$C$550,C551,$D$4:$D$550,D551,$E$4:$E$550,E551,$G$4:$G$550,G551,$H$4:$H$550,H551,$B$4:$B$550,"INGRESO")+SUMIFS($I$4:$I$550,$C$4:$C$550,C551,$D$4:$D$550,D551,$E$4:$E$550,E551,$G$4:$G$550,G551,$H$4:$H$550,H551,$B$4:$B$550,"DE CORTE")-SUMIFS($I$4:$I$550,$C$4:$C$550,C551,$D$4:$D$550,D551,$E$4:$E$550,E551,$G$4:$G$550,G551,$H$4:$H$550,H551,$B$4:$B$550,"SALIDA"))),0)</f>
        <v>0</v>
      </c>
      <c r="M551" s="13">
        <f t="shared" si="2"/>
        <v>0</v>
      </c>
      <c r="N551" s="14"/>
      <c r="O551" s="14"/>
      <c r="P551" s="15"/>
      <c r="Q551" s="14"/>
    </row>
    <row r="552" ht="15.75" customHeight="1">
      <c r="A552" s="7"/>
      <c r="B552" s="8"/>
      <c r="C552" s="8"/>
      <c r="D552" s="8"/>
      <c r="E552" s="8"/>
      <c r="F552" s="14"/>
      <c r="G552" s="8"/>
      <c r="H552" s="8"/>
      <c r="I552" s="9"/>
      <c r="J552" s="12" t="str">
        <f t="array" ref="J552:K552">IFERROR(INDEX(PRECIOS_COMPLEMENTOS!$C$4:$F$17,MATCH(D552&amp;"_"&amp;E552,PRECIOS_COMPLEMENTOS!$H$4:$H$17,0),IF(OR(H552="S",H552="20cm"),1,IF(OR(H552="M",H552="25cm"),2,IF(OR(H552="L",H552="30cm"),3,IF(OR(H552="XL",H552="35cm"),4,0))))),0)</f>
        <v>#REF!</v>
      </c>
      <c r="K552" s="12">
        <f t="shared" si="1"/>
        <v>0</v>
      </c>
      <c r="L552" s="13">
        <f>IFERROR(IF(C552="",0,IF(D552="PRETINA",SUMIFS($I$4:$I$551,$C$4:$C$551,C552,$D$4:$D$551,D552,$E$4:$E$551,E552,$F$4:$F$551,F552,$G$4:$G$551,G552,$H$4:$H$551,H552,$B$4:$B$551,"INGRESO")+SUMIFS($I$4:$I$551,$C$4:$C$551,C552,$D$4:$D$551,D552,$E$4:$E$551,E552,$F$4:$F$551,F552,$G$4:$G$551,G552,$H$4:$H$551,H552,$B$4:$B$551,"DE CORTE")-SUMIFS($I$4:$I$551,$C$4:$C$551,C552,$D$4:$D$551,D552,$E$4:$E$551,E552,$F$4:$F$551,F552,$G$4:$G$551,G552,$H$4:$H$551,H552,$B$4:$B$551,"SALIDA"),SUMIFS($I$4:$I$551,$C$4:$C$551,C552,$D$4:$D$551,D552,$E$4:$E$551,E552,$G$4:$G$551,G552,$H$4:$H$551,H552,$B$4:$B$551,"INGRESO")+SUMIFS($I$4:$I$551,$C$4:$C$551,C552,$D$4:$D$551,D552,$E$4:$E$551,E552,$G$4:$G$551,G552,$H$4:$H$551,H552,$B$4:$B$551,"DE CORTE")-SUMIFS($I$4:$I$551,$C$4:$C$551,C552,$D$4:$D$551,D552,$E$4:$E$551,E552,$G$4:$G$551,G552,$H$4:$H$551,H552,$B$4:$B$551,"SALIDA"))),0)</f>
        <v>0</v>
      </c>
      <c r="M552" s="13">
        <f t="shared" si="2"/>
        <v>0</v>
      </c>
      <c r="N552" s="14"/>
      <c r="O552" s="14"/>
      <c r="P552" s="15"/>
      <c r="Q552" s="14"/>
    </row>
    <row r="553" ht="15.75" customHeight="1">
      <c r="A553" s="7"/>
      <c r="B553" s="8"/>
      <c r="C553" s="8"/>
      <c r="D553" s="8"/>
      <c r="E553" s="8"/>
      <c r="F553" s="14"/>
      <c r="G553" s="8"/>
      <c r="H553" s="8"/>
      <c r="I553" s="9"/>
      <c r="J553" s="12" t="str">
        <f t="array" ref="J553:K553">IFERROR(INDEX(PRECIOS_COMPLEMENTOS!$C$4:$F$17,MATCH(D553&amp;"_"&amp;E553,PRECIOS_COMPLEMENTOS!$H$4:$H$17,0),IF(OR(H553="S",H553="20cm"),1,IF(OR(H553="M",H553="25cm"),2,IF(OR(H553="L",H553="30cm"),3,IF(OR(H553="XL",H553="35cm"),4,0))))),0)</f>
        <v>#REF!</v>
      </c>
      <c r="K553" s="12">
        <f t="shared" si="1"/>
        <v>0</v>
      </c>
      <c r="L553" s="13">
        <f>IFERROR(IF(C553="",0,IF(D553="PRETINA",SUMIFS($I$4:$I$552,$C$4:$C$552,C553,$D$4:$D$552,D553,$E$4:$E$552,E553,$F$4:$F$552,F553,$G$4:$G$552,G553,$H$4:$H$552,H553,$B$4:$B$552,"INGRESO")+SUMIFS($I$4:$I$552,$C$4:$C$552,C553,$D$4:$D$552,D553,$E$4:$E$552,E553,$F$4:$F$552,F553,$G$4:$G$552,G553,$H$4:$H$552,H553,$B$4:$B$552,"DE CORTE")-SUMIFS($I$4:$I$552,$C$4:$C$552,C553,$D$4:$D$552,D553,$E$4:$E$552,E553,$F$4:$F$552,F553,$G$4:$G$552,G553,$H$4:$H$552,H553,$B$4:$B$552,"SALIDA"),SUMIFS($I$4:$I$552,$C$4:$C$552,C553,$D$4:$D$552,D553,$E$4:$E$552,E553,$G$4:$G$552,G553,$H$4:$H$552,H553,$B$4:$B$552,"INGRESO")+SUMIFS($I$4:$I$552,$C$4:$C$552,C553,$D$4:$D$552,D553,$E$4:$E$552,E553,$G$4:$G$552,G553,$H$4:$H$552,H553,$B$4:$B$552,"DE CORTE")-SUMIFS($I$4:$I$552,$C$4:$C$552,C553,$D$4:$D$552,D553,$E$4:$E$552,E553,$G$4:$G$552,G553,$H$4:$H$552,H553,$B$4:$B$552,"SALIDA"))),0)</f>
        <v>0</v>
      </c>
      <c r="M553" s="13">
        <f t="shared" si="2"/>
        <v>0</v>
      </c>
      <c r="N553" s="14"/>
      <c r="O553" s="14"/>
      <c r="P553" s="15"/>
      <c r="Q553" s="14"/>
    </row>
    <row r="554" ht="15.75" customHeight="1">
      <c r="A554" s="7"/>
      <c r="B554" s="8"/>
      <c r="C554" s="8"/>
      <c r="D554" s="8"/>
      <c r="E554" s="8"/>
      <c r="F554" s="14"/>
      <c r="G554" s="8"/>
      <c r="H554" s="8"/>
      <c r="I554" s="9"/>
      <c r="J554" s="12" t="str">
        <f t="array" ref="J554:K554">IFERROR(INDEX(PRECIOS_COMPLEMENTOS!$C$4:$F$17,MATCH(D554&amp;"_"&amp;E554,PRECIOS_COMPLEMENTOS!$H$4:$H$17,0),IF(OR(H554="S",H554="20cm"),1,IF(OR(H554="M",H554="25cm"),2,IF(OR(H554="L",H554="30cm"),3,IF(OR(H554="XL",H554="35cm"),4,0))))),0)</f>
        <v>#REF!</v>
      </c>
      <c r="K554" s="12">
        <f t="shared" si="1"/>
        <v>0</v>
      </c>
      <c r="L554" s="13">
        <f>IFERROR(IF(C554="",0,IF(D554="PRETINA",SUMIFS($I$4:$I$553,$C$4:$C$553,C554,$D$4:$D$553,D554,$E$4:$E$553,E554,$F$4:$F$553,F554,$G$4:$G$553,G554,$H$4:$H$553,H554,$B$4:$B$553,"INGRESO")+SUMIFS($I$4:$I$553,$C$4:$C$553,C554,$D$4:$D$553,D554,$E$4:$E$553,E554,$F$4:$F$553,F554,$G$4:$G$553,G554,$H$4:$H$553,H554,$B$4:$B$553,"DE CORTE")-SUMIFS($I$4:$I$553,$C$4:$C$553,C554,$D$4:$D$553,D554,$E$4:$E$553,E554,$F$4:$F$553,F554,$G$4:$G$553,G554,$H$4:$H$553,H554,$B$4:$B$553,"SALIDA"),SUMIFS($I$4:$I$553,$C$4:$C$553,C554,$D$4:$D$553,D554,$E$4:$E$553,E554,$G$4:$G$553,G554,$H$4:$H$553,H554,$B$4:$B$553,"INGRESO")+SUMIFS($I$4:$I$553,$C$4:$C$553,C554,$D$4:$D$553,D554,$E$4:$E$553,E554,$G$4:$G$553,G554,$H$4:$H$553,H554,$B$4:$B$553,"DE CORTE")-SUMIFS($I$4:$I$553,$C$4:$C$553,C554,$D$4:$D$553,D554,$E$4:$E$553,E554,$G$4:$G$553,G554,$H$4:$H$553,H554,$B$4:$B$553,"SALIDA"))),0)</f>
        <v>0</v>
      </c>
      <c r="M554" s="13">
        <f t="shared" si="2"/>
        <v>0</v>
      </c>
      <c r="N554" s="14"/>
      <c r="O554" s="14"/>
      <c r="P554" s="15"/>
      <c r="Q554" s="14"/>
    </row>
    <row r="555" ht="15.75" customHeight="1">
      <c r="A555" s="7"/>
      <c r="B555" s="8"/>
      <c r="C555" s="8"/>
      <c r="D555" s="8"/>
      <c r="E555" s="8"/>
      <c r="F555" s="14"/>
      <c r="G555" s="8"/>
      <c r="H555" s="8"/>
      <c r="I555" s="9"/>
      <c r="J555" s="12" t="str">
        <f t="array" ref="J555:K555">IFERROR(INDEX(PRECIOS_COMPLEMENTOS!$C$4:$F$17,MATCH(D555&amp;"_"&amp;E555,PRECIOS_COMPLEMENTOS!$H$4:$H$17,0),IF(OR(H555="S",H555="20cm"),1,IF(OR(H555="M",H555="25cm"),2,IF(OR(H555="L",H555="30cm"),3,IF(OR(H555="XL",H555="35cm"),4,0))))),0)</f>
        <v>#REF!</v>
      </c>
      <c r="K555" s="12">
        <f t="shared" si="1"/>
        <v>0</v>
      </c>
      <c r="L555" s="13">
        <f>IFERROR(IF(C555="",0,IF(D555="PRETINA",SUMIFS($I$4:$I$554,$C$4:$C$554,C555,$D$4:$D$554,D555,$E$4:$E$554,E555,$F$4:$F$554,F555,$G$4:$G$554,G555,$H$4:$H$554,H555,$B$4:$B$554,"INGRESO")+SUMIFS($I$4:$I$554,$C$4:$C$554,C555,$D$4:$D$554,D555,$E$4:$E$554,E555,$F$4:$F$554,F555,$G$4:$G$554,G555,$H$4:$H$554,H555,$B$4:$B$554,"DE CORTE")-SUMIFS($I$4:$I$554,$C$4:$C$554,C555,$D$4:$D$554,D555,$E$4:$E$554,E555,$F$4:$F$554,F555,$G$4:$G$554,G555,$H$4:$H$554,H555,$B$4:$B$554,"SALIDA"),SUMIFS($I$4:$I$554,$C$4:$C$554,C555,$D$4:$D$554,D555,$E$4:$E$554,E555,$G$4:$G$554,G555,$H$4:$H$554,H555,$B$4:$B$554,"INGRESO")+SUMIFS($I$4:$I$554,$C$4:$C$554,C555,$D$4:$D$554,D555,$E$4:$E$554,E555,$G$4:$G$554,G555,$H$4:$H$554,H555,$B$4:$B$554,"DE CORTE")-SUMIFS($I$4:$I$554,$C$4:$C$554,C555,$D$4:$D$554,D555,$E$4:$E$554,E555,$G$4:$G$554,G555,$H$4:$H$554,H555,$B$4:$B$554,"SALIDA"))),0)</f>
        <v>0</v>
      </c>
      <c r="M555" s="13">
        <f t="shared" si="2"/>
        <v>0</v>
      </c>
      <c r="N555" s="14"/>
      <c r="O555" s="14"/>
      <c r="P555" s="15"/>
      <c r="Q555" s="14"/>
    </row>
    <row r="556" ht="15.75" customHeight="1">
      <c r="A556" s="7"/>
      <c r="B556" s="8"/>
      <c r="C556" s="8"/>
      <c r="D556" s="8"/>
      <c r="E556" s="8"/>
      <c r="F556" s="14"/>
      <c r="G556" s="8"/>
      <c r="H556" s="8"/>
      <c r="I556" s="9"/>
      <c r="J556" s="12" t="str">
        <f t="array" ref="J556:K556">IFERROR(INDEX(PRECIOS_COMPLEMENTOS!$C$4:$F$17,MATCH(D556&amp;"_"&amp;E556,PRECIOS_COMPLEMENTOS!$H$4:$H$17,0),IF(OR(H556="S",H556="20cm"),1,IF(OR(H556="M",H556="25cm"),2,IF(OR(H556="L",H556="30cm"),3,IF(OR(H556="XL",H556="35cm"),4,0))))),0)</f>
        <v>#REF!</v>
      </c>
      <c r="K556" s="12">
        <f t="shared" si="1"/>
        <v>0</v>
      </c>
      <c r="L556" s="13">
        <f>IFERROR(IF(C556="",0,IF(D556="PRETINA",SUMIFS($I$4:$I$555,$C$4:$C$555,C556,$D$4:$D$555,D556,$E$4:$E$555,E556,$F$4:$F$555,F556,$G$4:$G$555,G556,$H$4:$H$555,H556,$B$4:$B$555,"INGRESO")+SUMIFS($I$4:$I$555,$C$4:$C$555,C556,$D$4:$D$555,D556,$E$4:$E$555,E556,$F$4:$F$555,F556,$G$4:$G$555,G556,$H$4:$H$555,H556,$B$4:$B$555,"DE CORTE")-SUMIFS($I$4:$I$555,$C$4:$C$555,C556,$D$4:$D$555,D556,$E$4:$E$555,E556,$F$4:$F$555,F556,$G$4:$G$555,G556,$H$4:$H$555,H556,$B$4:$B$555,"SALIDA"),SUMIFS($I$4:$I$555,$C$4:$C$555,C556,$D$4:$D$555,D556,$E$4:$E$555,E556,$G$4:$G$555,G556,$H$4:$H$555,H556,$B$4:$B$555,"INGRESO")+SUMIFS($I$4:$I$555,$C$4:$C$555,C556,$D$4:$D$555,D556,$E$4:$E$555,E556,$G$4:$G$555,G556,$H$4:$H$555,H556,$B$4:$B$555,"DE CORTE")-SUMIFS($I$4:$I$555,$C$4:$C$555,C556,$D$4:$D$555,D556,$E$4:$E$555,E556,$G$4:$G$555,G556,$H$4:$H$555,H556,$B$4:$B$555,"SALIDA"))),0)</f>
        <v>0</v>
      </c>
      <c r="M556" s="13">
        <f t="shared" si="2"/>
        <v>0</v>
      </c>
      <c r="N556" s="14"/>
      <c r="O556" s="14"/>
      <c r="P556" s="15"/>
      <c r="Q556" s="14"/>
    </row>
    <row r="557" ht="15.75" customHeight="1">
      <c r="A557" s="7"/>
      <c r="B557" s="8"/>
      <c r="C557" s="8"/>
      <c r="D557" s="8"/>
      <c r="E557" s="8"/>
      <c r="F557" s="14"/>
      <c r="G557" s="8"/>
      <c r="H557" s="8"/>
      <c r="I557" s="9"/>
      <c r="J557" s="12" t="str">
        <f t="array" ref="J557:K557">IFERROR(INDEX(PRECIOS_COMPLEMENTOS!$C$4:$F$17,MATCH(D557&amp;"_"&amp;E557,PRECIOS_COMPLEMENTOS!$H$4:$H$17,0),IF(OR(H557="S",H557="20cm"),1,IF(OR(H557="M",H557="25cm"),2,IF(OR(H557="L",H557="30cm"),3,IF(OR(H557="XL",H557="35cm"),4,0))))),0)</f>
        <v>#REF!</v>
      </c>
      <c r="K557" s="12">
        <f t="shared" si="1"/>
        <v>0</v>
      </c>
      <c r="L557" s="13">
        <f>IFERROR(IF(C557="",0,IF(D557="PRETINA",SUMIFS($I$4:$I$556,$C$4:$C$556,C557,$D$4:$D$556,D557,$E$4:$E$556,E557,$F$4:$F$556,F557,$G$4:$G$556,G557,$H$4:$H$556,H557,$B$4:$B$556,"INGRESO")+SUMIFS($I$4:$I$556,$C$4:$C$556,C557,$D$4:$D$556,D557,$E$4:$E$556,E557,$F$4:$F$556,F557,$G$4:$G$556,G557,$H$4:$H$556,H557,$B$4:$B$556,"DE CORTE")-SUMIFS($I$4:$I$556,$C$4:$C$556,C557,$D$4:$D$556,D557,$E$4:$E$556,E557,$F$4:$F$556,F557,$G$4:$G$556,G557,$H$4:$H$556,H557,$B$4:$B$556,"SALIDA"),SUMIFS($I$4:$I$556,$C$4:$C$556,C557,$D$4:$D$556,D557,$E$4:$E$556,E557,$G$4:$G$556,G557,$H$4:$H$556,H557,$B$4:$B$556,"INGRESO")+SUMIFS($I$4:$I$556,$C$4:$C$556,C557,$D$4:$D$556,D557,$E$4:$E$556,E557,$G$4:$G$556,G557,$H$4:$H$556,H557,$B$4:$B$556,"DE CORTE")-SUMIFS($I$4:$I$556,$C$4:$C$556,C557,$D$4:$D$556,D557,$E$4:$E$556,E557,$G$4:$G$556,G557,$H$4:$H$556,H557,$B$4:$B$556,"SALIDA"))),0)</f>
        <v>0</v>
      </c>
      <c r="M557" s="13">
        <f t="shared" si="2"/>
        <v>0</v>
      </c>
      <c r="N557" s="14"/>
      <c r="O557" s="14"/>
      <c r="P557" s="15"/>
      <c r="Q557" s="14"/>
    </row>
    <row r="558" ht="15.75" customHeight="1">
      <c r="A558" s="7"/>
      <c r="B558" s="8"/>
      <c r="C558" s="8"/>
      <c r="D558" s="8"/>
      <c r="E558" s="8"/>
      <c r="F558" s="14"/>
      <c r="G558" s="8"/>
      <c r="H558" s="8"/>
      <c r="I558" s="9"/>
      <c r="J558" s="12" t="str">
        <f t="array" ref="J558:K558">IFERROR(INDEX(PRECIOS_COMPLEMENTOS!$C$4:$F$17,MATCH(D558&amp;"_"&amp;E558,PRECIOS_COMPLEMENTOS!$H$4:$H$17,0),IF(OR(H558="S",H558="20cm"),1,IF(OR(H558="M",H558="25cm"),2,IF(OR(H558="L",H558="30cm"),3,IF(OR(H558="XL",H558="35cm"),4,0))))),0)</f>
        <v>#REF!</v>
      </c>
      <c r="K558" s="12">
        <f t="shared" si="1"/>
        <v>0</v>
      </c>
      <c r="L558" s="13">
        <f>IFERROR(IF(C558="",0,IF(D558="PRETINA",SUMIFS($I$4:$I$557,$C$4:$C$557,C558,$D$4:$D$557,D558,$E$4:$E$557,E558,$F$4:$F$557,F558,$G$4:$G$557,G558,$H$4:$H$557,H558,$B$4:$B$557,"INGRESO")+SUMIFS($I$4:$I$557,$C$4:$C$557,C558,$D$4:$D$557,D558,$E$4:$E$557,E558,$F$4:$F$557,F558,$G$4:$G$557,G558,$H$4:$H$557,H558,$B$4:$B$557,"DE CORTE")-SUMIFS($I$4:$I$557,$C$4:$C$557,C558,$D$4:$D$557,D558,$E$4:$E$557,E558,$F$4:$F$557,F558,$G$4:$G$557,G558,$H$4:$H$557,H558,$B$4:$B$557,"SALIDA"),SUMIFS($I$4:$I$557,$C$4:$C$557,C558,$D$4:$D$557,D558,$E$4:$E$557,E558,$G$4:$G$557,G558,$H$4:$H$557,H558,$B$4:$B$557,"INGRESO")+SUMIFS($I$4:$I$557,$C$4:$C$557,C558,$D$4:$D$557,D558,$E$4:$E$557,E558,$G$4:$G$557,G558,$H$4:$H$557,H558,$B$4:$B$557,"DE CORTE")-SUMIFS($I$4:$I$557,$C$4:$C$557,C558,$D$4:$D$557,D558,$E$4:$E$557,E558,$G$4:$G$557,G558,$H$4:$H$557,H558,$B$4:$B$557,"SALIDA"))),0)</f>
        <v>0</v>
      </c>
      <c r="M558" s="13">
        <f t="shared" si="2"/>
        <v>0</v>
      </c>
      <c r="N558" s="14"/>
      <c r="O558" s="14"/>
      <c r="P558" s="15"/>
      <c r="Q558" s="14"/>
    </row>
    <row r="559" ht="15.75" customHeight="1">
      <c r="A559" s="7"/>
      <c r="B559" s="8"/>
      <c r="C559" s="8"/>
      <c r="D559" s="8"/>
      <c r="E559" s="8"/>
      <c r="F559" s="14"/>
      <c r="G559" s="8"/>
      <c r="H559" s="8"/>
      <c r="I559" s="9"/>
      <c r="J559" s="12" t="str">
        <f t="array" ref="J559:K559">IFERROR(INDEX(PRECIOS_COMPLEMENTOS!$C$4:$F$17,MATCH(D559&amp;"_"&amp;E559,PRECIOS_COMPLEMENTOS!$H$4:$H$17,0),IF(OR(H559="S",H559="20cm"),1,IF(OR(H559="M",H559="25cm"),2,IF(OR(H559="L",H559="30cm"),3,IF(OR(H559="XL",H559="35cm"),4,0))))),0)</f>
        <v>#REF!</v>
      </c>
      <c r="K559" s="12">
        <f t="shared" si="1"/>
        <v>0</v>
      </c>
      <c r="L559" s="13">
        <f>IFERROR(IF(C559="",0,IF(D559="PRETINA",SUMIFS($I$4:$I$558,$C$4:$C$558,C559,$D$4:$D$558,D559,$E$4:$E$558,E559,$F$4:$F$558,F559,$G$4:$G$558,G559,$H$4:$H$558,H559,$B$4:$B$558,"INGRESO")+SUMIFS($I$4:$I$558,$C$4:$C$558,C559,$D$4:$D$558,D559,$E$4:$E$558,E559,$F$4:$F$558,F559,$G$4:$G$558,G559,$H$4:$H$558,H559,$B$4:$B$558,"DE CORTE")-SUMIFS($I$4:$I$558,$C$4:$C$558,C559,$D$4:$D$558,D559,$E$4:$E$558,E559,$F$4:$F$558,F559,$G$4:$G$558,G559,$H$4:$H$558,H559,$B$4:$B$558,"SALIDA"),SUMIFS($I$4:$I$558,$C$4:$C$558,C559,$D$4:$D$558,D559,$E$4:$E$558,E559,$G$4:$G$558,G559,$H$4:$H$558,H559,$B$4:$B$558,"INGRESO")+SUMIFS($I$4:$I$558,$C$4:$C$558,C559,$D$4:$D$558,D559,$E$4:$E$558,E559,$G$4:$G$558,G559,$H$4:$H$558,H559,$B$4:$B$558,"DE CORTE")-SUMIFS($I$4:$I$558,$C$4:$C$558,C559,$D$4:$D$558,D559,$E$4:$E$558,E559,$G$4:$G$558,G559,$H$4:$H$558,H559,$B$4:$B$558,"SALIDA"))),0)</f>
        <v>0</v>
      </c>
      <c r="M559" s="13">
        <f t="shared" si="2"/>
        <v>0</v>
      </c>
      <c r="N559" s="14"/>
      <c r="O559" s="14"/>
      <c r="P559" s="15"/>
      <c r="Q559" s="14"/>
    </row>
    <row r="560" ht="15.75" customHeight="1">
      <c r="A560" s="7"/>
      <c r="B560" s="8"/>
      <c r="C560" s="8"/>
      <c r="D560" s="8"/>
      <c r="E560" s="8"/>
      <c r="F560" s="14"/>
      <c r="G560" s="8"/>
      <c r="H560" s="8"/>
      <c r="I560" s="9"/>
      <c r="J560" s="12" t="str">
        <f t="array" ref="J560:K560">IFERROR(INDEX(PRECIOS_COMPLEMENTOS!$C$4:$F$17,MATCH(D560&amp;"_"&amp;E560,PRECIOS_COMPLEMENTOS!$H$4:$H$17,0),IF(OR(H560="S",H560="20cm"),1,IF(OR(H560="M",H560="25cm"),2,IF(OR(H560="L",H560="30cm"),3,IF(OR(H560="XL",H560="35cm"),4,0))))),0)</f>
        <v>#REF!</v>
      </c>
      <c r="K560" s="12">
        <f t="shared" si="1"/>
        <v>0</v>
      </c>
      <c r="L560" s="13">
        <f>IFERROR(IF(C560="",0,IF(D560="PRETINA",SUMIFS($I$4:$I$559,$C$4:$C$559,C560,$D$4:$D$559,D560,$E$4:$E$559,E560,$F$4:$F$559,F560,$G$4:$G$559,G560,$H$4:$H$559,H560,$B$4:$B$559,"INGRESO")+SUMIFS($I$4:$I$559,$C$4:$C$559,C560,$D$4:$D$559,D560,$E$4:$E$559,E560,$F$4:$F$559,F560,$G$4:$G$559,G560,$H$4:$H$559,H560,$B$4:$B$559,"DE CORTE")-SUMIFS($I$4:$I$559,$C$4:$C$559,C560,$D$4:$D$559,D560,$E$4:$E$559,E560,$F$4:$F$559,F560,$G$4:$G$559,G560,$H$4:$H$559,H560,$B$4:$B$559,"SALIDA"),SUMIFS($I$4:$I$559,$C$4:$C$559,C560,$D$4:$D$559,D560,$E$4:$E$559,E560,$G$4:$G$559,G560,$H$4:$H$559,H560,$B$4:$B$559,"INGRESO")+SUMIFS($I$4:$I$559,$C$4:$C$559,C560,$D$4:$D$559,D560,$E$4:$E$559,E560,$G$4:$G$559,G560,$H$4:$H$559,H560,$B$4:$B$559,"DE CORTE")-SUMIFS($I$4:$I$559,$C$4:$C$559,C560,$D$4:$D$559,D560,$E$4:$E$559,E560,$G$4:$G$559,G560,$H$4:$H$559,H560,$B$4:$B$559,"SALIDA"))),0)</f>
        <v>0</v>
      </c>
      <c r="M560" s="13">
        <f t="shared" si="2"/>
        <v>0</v>
      </c>
      <c r="N560" s="14"/>
      <c r="O560" s="14"/>
      <c r="P560" s="15"/>
      <c r="Q560" s="14"/>
    </row>
    <row r="561" ht="15.75" customHeight="1">
      <c r="A561" s="7"/>
      <c r="B561" s="8"/>
      <c r="C561" s="8"/>
      <c r="D561" s="8"/>
      <c r="E561" s="8"/>
      <c r="F561" s="14"/>
      <c r="G561" s="8"/>
      <c r="H561" s="8"/>
      <c r="I561" s="9"/>
      <c r="J561" s="12" t="str">
        <f t="array" ref="J561:K561">IFERROR(INDEX(PRECIOS_COMPLEMENTOS!$C$4:$F$17,MATCH(D561&amp;"_"&amp;E561,PRECIOS_COMPLEMENTOS!$H$4:$H$17,0),IF(OR(H561="S",H561="20cm"),1,IF(OR(H561="M",H561="25cm"),2,IF(OR(H561="L",H561="30cm"),3,IF(OR(H561="XL",H561="35cm"),4,0))))),0)</f>
        <v>#REF!</v>
      </c>
      <c r="K561" s="12">
        <f t="shared" si="1"/>
        <v>0</v>
      </c>
      <c r="L561" s="13">
        <f>IFERROR(IF(C561="",0,IF(D561="PRETINA",SUMIFS($I$4:$I$560,$C$4:$C$560,C561,$D$4:$D$560,D561,$E$4:$E$560,E561,$F$4:$F$560,F561,$G$4:$G$560,G561,$H$4:$H$560,H561,$B$4:$B$560,"INGRESO")+SUMIFS($I$4:$I$560,$C$4:$C$560,C561,$D$4:$D$560,D561,$E$4:$E$560,E561,$F$4:$F$560,F561,$G$4:$G$560,G561,$H$4:$H$560,H561,$B$4:$B$560,"DE CORTE")-SUMIFS($I$4:$I$560,$C$4:$C$560,C561,$D$4:$D$560,D561,$E$4:$E$560,E561,$F$4:$F$560,F561,$G$4:$G$560,G561,$H$4:$H$560,H561,$B$4:$B$560,"SALIDA"),SUMIFS($I$4:$I$560,$C$4:$C$560,C561,$D$4:$D$560,D561,$E$4:$E$560,E561,$G$4:$G$560,G561,$H$4:$H$560,H561,$B$4:$B$560,"INGRESO")+SUMIFS($I$4:$I$560,$C$4:$C$560,C561,$D$4:$D$560,D561,$E$4:$E$560,E561,$G$4:$G$560,G561,$H$4:$H$560,H561,$B$4:$B$560,"DE CORTE")-SUMIFS($I$4:$I$560,$C$4:$C$560,C561,$D$4:$D$560,D561,$E$4:$E$560,E561,$G$4:$G$560,G561,$H$4:$H$560,H561,$B$4:$B$560,"SALIDA"))),0)</f>
        <v>0</v>
      </c>
      <c r="M561" s="13">
        <f t="shared" si="2"/>
        <v>0</v>
      </c>
      <c r="N561" s="14"/>
      <c r="O561" s="14"/>
      <c r="P561" s="15"/>
      <c r="Q561" s="14"/>
    </row>
    <row r="562" ht="15.75" customHeight="1">
      <c r="A562" s="7"/>
      <c r="B562" s="8"/>
      <c r="C562" s="8"/>
      <c r="D562" s="8"/>
      <c r="E562" s="8"/>
      <c r="F562" s="14"/>
      <c r="G562" s="8"/>
      <c r="H562" s="8"/>
      <c r="I562" s="9"/>
      <c r="J562" s="12" t="str">
        <f t="array" ref="J562:K562">IFERROR(INDEX(PRECIOS_COMPLEMENTOS!$C$4:$F$17,MATCH(D562&amp;"_"&amp;E562,PRECIOS_COMPLEMENTOS!$H$4:$H$17,0),IF(OR(H562="S",H562="20cm"),1,IF(OR(H562="M",H562="25cm"),2,IF(OR(H562="L",H562="30cm"),3,IF(OR(H562="XL",H562="35cm"),4,0))))),0)</f>
        <v>#REF!</v>
      </c>
      <c r="K562" s="12">
        <f t="shared" si="1"/>
        <v>0</v>
      </c>
      <c r="L562" s="13">
        <f>IFERROR(IF(C562="",0,IF(D562="PRETINA",SUMIFS($I$4:$I$561,$C$4:$C$561,C562,$D$4:$D$561,D562,$E$4:$E$561,E562,$F$4:$F$561,F562,$G$4:$G$561,G562,$H$4:$H$561,H562,$B$4:$B$561,"INGRESO")+SUMIFS($I$4:$I$561,$C$4:$C$561,C562,$D$4:$D$561,D562,$E$4:$E$561,E562,$F$4:$F$561,F562,$G$4:$G$561,G562,$H$4:$H$561,H562,$B$4:$B$561,"DE CORTE")-SUMIFS($I$4:$I$561,$C$4:$C$561,C562,$D$4:$D$561,D562,$E$4:$E$561,E562,$F$4:$F$561,F562,$G$4:$G$561,G562,$H$4:$H$561,H562,$B$4:$B$561,"SALIDA"),SUMIFS($I$4:$I$561,$C$4:$C$561,C562,$D$4:$D$561,D562,$E$4:$E$561,E562,$G$4:$G$561,G562,$H$4:$H$561,H562,$B$4:$B$561,"INGRESO")+SUMIFS($I$4:$I$561,$C$4:$C$561,C562,$D$4:$D$561,D562,$E$4:$E$561,E562,$G$4:$G$561,G562,$H$4:$H$561,H562,$B$4:$B$561,"DE CORTE")-SUMIFS($I$4:$I$561,$C$4:$C$561,C562,$D$4:$D$561,D562,$E$4:$E$561,E562,$G$4:$G$561,G562,$H$4:$H$561,H562,$B$4:$B$561,"SALIDA"))),0)</f>
        <v>0</v>
      </c>
      <c r="M562" s="13">
        <f t="shared" si="2"/>
        <v>0</v>
      </c>
      <c r="N562" s="14"/>
      <c r="O562" s="14"/>
      <c r="P562" s="15"/>
      <c r="Q562" s="14"/>
    </row>
    <row r="563" ht="15.75" customHeight="1">
      <c r="A563" s="7"/>
      <c r="B563" s="8"/>
      <c r="C563" s="8"/>
      <c r="D563" s="8"/>
      <c r="E563" s="8"/>
      <c r="F563" s="14"/>
      <c r="G563" s="8"/>
      <c r="H563" s="8"/>
      <c r="I563" s="9"/>
      <c r="J563" s="12" t="str">
        <f t="array" ref="J563:K563">IFERROR(INDEX(PRECIOS_COMPLEMENTOS!$C$4:$F$17,MATCH(D563&amp;"_"&amp;E563,PRECIOS_COMPLEMENTOS!$H$4:$H$17,0),IF(OR(H563="S",H563="20cm"),1,IF(OR(H563="M",H563="25cm"),2,IF(OR(H563="L",H563="30cm"),3,IF(OR(H563="XL",H563="35cm"),4,0))))),0)</f>
        <v>#REF!</v>
      </c>
      <c r="K563" s="12">
        <f t="shared" si="1"/>
        <v>0</v>
      </c>
      <c r="L563" s="13">
        <f>IFERROR(IF(C563="",0,IF(D563="PRETINA",SUMIFS($I$4:$I$562,$C$4:$C$562,C563,$D$4:$D$562,D563,$E$4:$E$562,E563,$F$4:$F$562,F563,$G$4:$G$562,G563,$H$4:$H$562,H563,$B$4:$B$562,"INGRESO")+SUMIFS($I$4:$I$562,$C$4:$C$562,C563,$D$4:$D$562,D563,$E$4:$E$562,E563,$F$4:$F$562,F563,$G$4:$G$562,G563,$H$4:$H$562,H563,$B$4:$B$562,"DE CORTE")-SUMIFS($I$4:$I$562,$C$4:$C$562,C563,$D$4:$D$562,D563,$E$4:$E$562,E563,$F$4:$F$562,F563,$G$4:$G$562,G563,$H$4:$H$562,H563,$B$4:$B$562,"SALIDA"),SUMIFS($I$4:$I$562,$C$4:$C$562,C563,$D$4:$D$562,D563,$E$4:$E$562,E563,$G$4:$G$562,G563,$H$4:$H$562,H563,$B$4:$B$562,"INGRESO")+SUMIFS($I$4:$I$562,$C$4:$C$562,C563,$D$4:$D$562,D563,$E$4:$E$562,E563,$G$4:$G$562,G563,$H$4:$H$562,H563,$B$4:$B$562,"DE CORTE")-SUMIFS($I$4:$I$562,$C$4:$C$562,C563,$D$4:$D$562,D563,$E$4:$E$562,E563,$G$4:$G$562,G563,$H$4:$H$562,H563,$B$4:$B$562,"SALIDA"))),0)</f>
        <v>0</v>
      </c>
      <c r="M563" s="13">
        <f t="shared" si="2"/>
        <v>0</v>
      </c>
      <c r="N563" s="14"/>
      <c r="O563" s="14"/>
      <c r="P563" s="15"/>
      <c r="Q563" s="14"/>
    </row>
    <row r="564" ht="15.75" customHeight="1">
      <c r="A564" s="7"/>
      <c r="B564" s="8"/>
      <c r="C564" s="8"/>
      <c r="D564" s="8"/>
      <c r="E564" s="8"/>
      <c r="F564" s="14"/>
      <c r="G564" s="8"/>
      <c r="H564" s="8"/>
      <c r="I564" s="9"/>
      <c r="J564" s="12" t="str">
        <f t="array" ref="J564:K564">IFERROR(INDEX(PRECIOS_COMPLEMENTOS!$C$4:$F$17,MATCH(D564&amp;"_"&amp;E564,PRECIOS_COMPLEMENTOS!$H$4:$H$17,0),IF(OR(H564="S",H564="20cm"),1,IF(OR(H564="M",H564="25cm"),2,IF(OR(H564="L",H564="30cm"),3,IF(OR(H564="XL",H564="35cm"),4,0))))),0)</f>
        <v>#REF!</v>
      </c>
      <c r="K564" s="12">
        <f t="shared" si="1"/>
        <v>0</v>
      </c>
      <c r="L564" s="13">
        <f>IFERROR(IF(C564="",0,IF(D564="PRETINA",SUMIFS($I$4:$I$563,$C$4:$C$563,C564,$D$4:$D$563,D564,$E$4:$E$563,E564,$F$4:$F$563,F564,$G$4:$G$563,G564,$H$4:$H$563,H564,$B$4:$B$563,"INGRESO")+SUMIFS($I$4:$I$563,$C$4:$C$563,C564,$D$4:$D$563,D564,$E$4:$E$563,E564,$F$4:$F$563,F564,$G$4:$G$563,G564,$H$4:$H$563,H564,$B$4:$B$563,"DE CORTE")-SUMIFS($I$4:$I$563,$C$4:$C$563,C564,$D$4:$D$563,D564,$E$4:$E$563,E564,$F$4:$F$563,F564,$G$4:$G$563,G564,$H$4:$H$563,H564,$B$4:$B$563,"SALIDA"),SUMIFS($I$4:$I$563,$C$4:$C$563,C564,$D$4:$D$563,D564,$E$4:$E$563,E564,$G$4:$G$563,G564,$H$4:$H$563,H564,$B$4:$B$563,"INGRESO")+SUMIFS($I$4:$I$563,$C$4:$C$563,C564,$D$4:$D$563,D564,$E$4:$E$563,E564,$G$4:$G$563,G564,$H$4:$H$563,H564,$B$4:$B$563,"DE CORTE")-SUMIFS($I$4:$I$563,$C$4:$C$563,C564,$D$4:$D$563,D564,$E$4:$E$563,E564,$G$4:$G$563,G564,$H$4:$H$563,H564,$B$4:$B$563,"SALIDA"))),0)</f>
        <v>0</v>
      </c>
      <c r="M564" s="13">
        <f t="shared" si="2"/>
        <v>0</v>
      </c>
      <c r="N564" s="14"/>
      <c r="O564" s="14"/>
      <c r="P564" s="15"/>
      <c r="Q564" s="14"/>
    </row>
    <row r="565" ht="15.75" customHeight="1">
      <c r="A565" s="7"/>
      <c r="B565" s="8"/>
      <c r="C565" s="8"/>
      <c r="D565" s="8"/>
      <c r="E565" s="8"/>
      <c r="F565" s="14"/>
      <c r="G565" s="8"/>
      <c r="H565" s="8"/>
      <c r="I565" s="9"/>
      <c r="J565" s="12" t="str">
        <f t="array" ref="J565:K565">IFERROR(INDEX(PRECIOS_COMPLEMENTOS!$C$4:$F$17,MATCH(D565&amp;"_"&amp;E565,PRECIOS_COMPLEMENTOS!$H$4:$H$17,0),IF(OR(H565="S",H565="20cm"),1,IF(OR(H565="M",H565="25cm"),2,IF(OR(H565="L",H565="30cm"),3,IF(OR(H565="XL",H565="35cm"),4,0))))),0)</f>
        <v>#REF!</v>
      </c>
      <c r="K565" s="12">
        <f t="shared" si="1"/>
        <v>0</v>
      </c>
      <c r="L565" s="13">
        <f>IFERROR(IF(C565="",0,IF(D565="PRETINA",SUMIFS($I$4:$I$564,$C$4:$C$564,C565,$D$4:$D$564,D565,$E$4:$E$564,E565,$F$4:$F$564,F565,$G$4:$G$564,G565,$H$4:$H$564,H565,$B$4:$B$564,"INGRESO")+SUMIFS($I$4:$I$564,$C$4:$C$564,C565,$D$4:$D$564,D565,$E$4:$E$564,E565,$F$4:$F$564,F565,$G$4:$G$564,G565,$H$4:$H$564,H565,$B$4:$B$564,"DE CORTE")-SUMIFS($I$4:$I$564,$C$4:$C$564,C565,$D$4:$D$564,D565,$E$4:$E$564,E565,$F$4:$F$564,F565,$G$4:$G$564,G565,$H$4:$H$564,H565,$B$4:$B$564,"SALIDA"),SUMIFS($I$4:$I$564,$C$4:$C$564,C565,$D$4:$D$564,D565,$E$4:$E$564,E565,$G$4:$G$564,G565,$H$4:$H$564,H565,$B$4:$B$564,"INGRESO")+SUMIFS($I$4:$I$564,$C$4:$C$564,C565,$D$4:$D$564,D565,$E$4:$E$564,E565,$G$4:$G$564,G565,$H$4:$H$564,H565,$B$4:$B$564,"DE CORTE")-SUMIFS($I$4:$I$564,$C$4:$C$564,C565,$D$4:$D$564,D565,$E$4:$E$564,E565,$G$4:$G$564,G565,$H$4:$H$564,H565,$B$4:$B$564,"SALIDA"))),0)</f>
        <v>0</v>
      </c>
      <c r="M565" s="13">
        <f t="shared" si="2"/>
        <v>0</v>
      </c>
      <c r="N565" s="14"/>
      <c r="O565" s="14"/>
      <c r="P565" s="15"/>
      <c r="Q565" s="14"/>
    </row>
    <row r="566" ht="15.75" customHeight="1">
      <c r="A566" s="7"/>
      <c r="B566" s="8"/>
      <c r="C566" s="8"/>
      <c r="D566" s="8"/>
      <c r="E566" s="8"/>
      <c r="F566" s="14"/>
      <c r="G566" s="8"/>
      <c r="H566" s="8"/>
      <c r="I566" s="9"/>
      <c r="J566" s="12" t="str">
        <f t="array" ref="J566:K566">IFERROR(INDEX(PRECIOS_COMPLEMENTOS!$C$4:$F$17,MATCH(D566&amp;"_"&amp;E566,PRECIOS_COMPLEMENTOS!$H$4:$H$17,0),IF(OR(H566="S",H566="20cm"),1,IF(OR(H566="M",H566="25cm"),2,IF(OR(H566="L",H566="30cm"),3,IF(OR(H566="XL",H566="35cm"),4,0))))),0)</f>
        <v>#REF!</v>
      </c>
      <c r="K566" s="12">
        <f t="shared" si="1"/>
        <v>0</v>
      </c>
      <c r="L566" s="13">
        <f>IFERROR(IF(C566="",0,IF(D566="PRETINA",SUMIFS($I$4:$I$565,$C$4:$C$565,C566,$D$4:$D$565,D566,$E$4:$E$565,E566,$F$4:$F$565,F566,$G$4:$G$565,G566,$H$4:$H$565,H566,$B$4:$B$565,"INGRESO")+SUMIFS($I$4:$I$565,$C$4:$C$565,C566,$D$4:$D$565,D566,$E$4:$E$565,E566,$F$4:$F$565,F566,$G$4:$G$565,G566,$H$4:$H$565,H566,$B$4:$B$565,"DE CORTE")-SUMIFS($I$4:$I$565,$C$4:$C$565,C566,$D$4:$D$565,D566,$E$4:$E$565,E566,$F$4:$F$565,F566,$G$4:$G$565,G566,$H$4:$H$565,H566,$B$4:$B$565,"SALIDA"),SUMIFS($I$4:$I$565,$C$4:$C$565,C566,$D$4:$D$565,D566,$E$4:$E$565,E566,$G$4:$G$565,G566,$H$4:$H$565,H566,$B$4:$B$565,"INGRESO")+SUMIFS($I$4:$I$565,$C$4:$C$565,C566,$D$4:$D$565,D566,$E$4:$E$565,E566,$G$4:$G$565,G566,$H$4:$H$565,H566,$B$4:$B$565,"DE CORTE")-SUMIFS($I$4:$I$565,$C$4:$C$565,C566,$D$4:$D$565,D566,$E$4:$E$565,E566,$G$4:$G$565,G566,$H$4:$H$565,H566,$B$4:$B$565,"SALIDA"))),0)</f>
        <v>0</v>
      </c>
      <c r="M566" s="13">
        <f t="shared" si="2"/>
        <v>0</v>
      </c>
      <c r="N566" s="14"/>
      <c r="O566" s="14"/>
      <c r="P566" s="15"/>
      <c r="Q566" s="14"/>
    </row>
    <row r="567" ht="15.75" customHeight="1">
      <c r="A567" s="7"/>
      <c r="B567" s="8"/>
      <c r="C567" s="8"/>
      <c r="D567" s="8"/>
      <c r="E567" s="8"/>
      <c r="F567" s="14"/>
      <c r="G567" s="8"/>
      <c r="H567" s="8"/>
      <c r="I567" s="9"/>
      <c r="J567" s="12" t="str">
        <f t="array" ref="J567:K567">IFERROR(INDEX(PRECIOS_COMPLEMENTOS!$C$4:$F$17,MATCH(D567&amp;"_"&amp;E567,PRECIOS_COMPLEMENTOS!$H$4:$H$17,0),IF(OR(H567="S",H567="20cm"),1,IF(OR(H567="M",H567="25cm"),2,IF(OR(H567="L",H567="30cm"),3,IF(OR(H567="XL",H567="35cm"),4,0))))),0)</f>
        <v>#REF!</v>
      </c>
      <c r="K567" s="12">
        <f t="shared" si="1"/>
        <v>0</v>
      </c>
      <c r="L567" s="13">
        <f>IFERROR(IF(C567="",0,IF(D567="PRETINA",SUMIFS($I$4:$I$566,$C$4:$C$566,C567,$D$4:$D$566,D567,$E$4:$E$566,E567,$F$4:$F$566,F567,$G$4:$G$566,G567,$H$4:$H$566,H567,$B$4:$B$566,"INGRESO")+SUMIFS($I$4:$I$566,$C$4:$C$566,C567,$D$4:$D$566,D567,$E$4:$E$566,E567,$F$4:$F$566,F567,$G$4:$G$566,G567,$H$4:$H$566,H567,$B$4:$B$566,"DE CORTE")-SUMIFS($I$4:$I$566,$C$4:$C$566,C567,$D$4:$D$566,D567,$E$4:$E$566,E567,$F$4:$F$566,F567,$G$4:$G$566,G567,$H$4:$H$566,H567,$B$4:$B$566,"SALIDA"),SUMIFS($I$4:$I$566,$C$4:$C$566,C567,$D$4:$D$566,D567,$E$4:$E$566,E567,$G$4:$G$566,G567,$H$4:$H$566,H567,$B$4:$B$566,"INGRESO")+SUMIFS($I$4:$I$566,$C$4:$C$566,C567,$D$4:$D$566,D567,$E$4:$E$566,E567,$G$4:$G$566,G567,$H$4:$H$566,H567,$B$4:$B$566,"DE CORTE")-SUMIFS($I$4:$I$566,$C$4:$C$566,C567,$D$4:$D$566,D567,$E$4:$E$566,E567,$G$4:$G$566,G567,$H$4:$H$566,H567,$B$4:$B$566,"SALIDA"))),0)</f>
        <v>0</v>
      </c>
      <c r="M567" s="13">
        <f t="shared" si="2"/>
        <v>0</v>
      </c>
      <c r="N567" s="14"/>
      <c r="O567" s="14"/>
      <c r="P567" s="15"/>
      <c r="Q567" s="14"/>
    </row>
    <row r="568" ht="15.75" customHeight="1">
      <c r="A568" s="7"/>
      <c r="B568" s="8"/>
      <c r="C568" s="8"/>
      <c r="D568" s="8"/>
      <c r="E568" s="8"/>
      <c r="F568" s="14"/>
      <c r="G568" s="8"/>
      <c r="H568" s="8"/>
      <c r="I568" s="9"/>
      <c r="J568" s="12" t="str">
        <f t="array" ref="J568:K568">IFERROR(INDEX(PRECIOS_COMPLEMENTOS!$C$4:$F$17,MATCH(D568&amp;"_"&amp;E568,PRECIOS_COMPLEMENTOS!$H$4:$H$17,0),IF(OR(H568="S",H568="20cm"),1,IF(OR(H568="M",H568="25cm"),2,IF(OR(H568="L",H568="30cm"),3,IF(OR(H568="XL",H568="35cm"),4,0))))),0)</f>
        <v>#REF!</v>
      </c>
      <c r="K568" s="12">
        <f t="shared" si="1"/>
        <v>0</v>
      </c>
      <c r="L568" s="13">
        <f>IFERROR(IF(C568="",0,IF(D568="PRETINA",SUMIFS($I$4:$I$567,$C$4:$C$567,C568,$D$4:$D$567,D568,$E$4:$E$567,E568,$F$4:$F$567,F568,$G$4:$G$567,G568,$H$4:$H$567,H568,$B$4:$B$567,"INGRESO")+SUMIFS($I$4:$I$567,$C$4:$C$567,C568,$D$4:$D$567,D568,$E$4:$E$567,E568,$F$4:$F$567,F568,$G$4:$G$567,G568,$H$4:$H$567,H568,$B$4:$B$567,"DE CORTE")-SUMIFS($I$4:$I$567,$C$4:$C$567,C568,$D$4:$D$567,D568,$E$4:$E$567,E568,$F$4:$F$567,F568,$G$4:$G$567,G568,$H$4:$H$567,H568,$B$4:$B$567,"SALIDA"),SUMIFS($I$4:$I$567,$C$4:$C$567,C568,$D$4:$D$567,D568,$E$4:$E$567,E568,$G$4:$G$567,G568,$H$4:$H$567,H568,$B$4:$B$567,"INGRESO")+SUMIFS($I$4:$I$567,$C$4:$C$567,C568,$D$4:$D$567,D568,$E$4:$E$567,E568,$G$4:$G$567,G568,$H$4:$H$567,H568,$B$4:$B$567,"DE CORTE")-SUMIFS($I$4:$I$567,$C$4:$C$567,C568,$D$4:$D$567,D568,$E$4:$E$567,E568,$G$4:$G$567,G568,$H$4:$H$567,H568,$B$4:$B$567,"SALIDA"))),0)</f>
        <v>0</v>
      </c>
      <c r="M568" s="13">
        <f t="shared" si="2"/>
        <v>0</v>
      </c>
      <c r="N568" s="14"/>
      <c r="O568" s="14"/>
      <c r="P568" s="15"/>
      <c r="Q568" s="14"/>
    </row>
    <row r="569" ht="15.75" customHeight="1">
      <c r="A569" s="7"/>
      <c r="B569" s="8"/>
      <c r="C569" s="8"/>
      <c r="D569" s="8"/>
      <c r="E569" s="8"/>
      <c r="F569" s="14"/>
      <c r="G569" s="8"/>
      <c r="H569" s="8"/>
      <c r="I569" s="9"/>
      <c r="J569" s="12" t="str">
        <f t="array" ref="J569:K569">IFERROR(INDEX(PRECIOS_COMPLEMENTOS!$C$4:$F$17,MATCH(D569&amp;"_"&amp;E569,PRECIOS_COMPLEMENTOS!$H$4:$H$17,0),IF(OR(H569="S",H569="20cm"),1,IF(OR(H569="M",H569="25cm"),2,IF(OR(H569="L",H569="30cm"),3,IF(OR(H569="XL",H569="35cm"),4,0))))),0)</f>
        <v>#REF!</v>
      </c>
      <c r="K569" s="12">
        <f t="shared" si="1"/>
        <v>0</v>
      </c>
      <c r="L569" s="13">
        <f>IFERROR(IF(C569="",0,IF(D569="PRETINA",SUMIFS($I$4:$I$568,$C$4:$C$568,C569,$D$4:$D$568,D569,$E$4:$E$568,E569,$F$4:$F$568,F569,$G$4:$G$568,G569,$H$4:$H$568,H569,$B$4:$B$568,"INGRESO")+SUMIFS($I$4:$I$568,$C$4:$C$568,C569,$D$4:$D$568,D569,$E$4:$E$568,E569,$F$4:$F$568,F569,$G$4:$G$568,G569,$H$4:$H$568,H569,$B$4:$B$568,"DE CORTE")-SUMIFS($I$4:$I$568,$C$4:$C$568,C569,$D$4:$D$568,D569,$E$4:$E$568,E569,$F$4:$F$568,F569,$G$4:$G$568,G569,$H$4:$H$568,H569,$B$4:$B$568,"SALIDA"),SUMIFS($I$4:$I$568,$C$4:$C$568,C569,$D$4:$D$568,D569,$E$4:$E$568,E569,$G$4:$G$568,G569,$H$4:$H$568,H569,$B$4:$B$568,"INGRESO")+SUMIFS($I$4:$I$568,$C$4:$C$568,C569,$D$4:$D$568,D569,$E$4:$E$568,E569,$G$4:$G$568,G569,$H$4:$H$568,H569,$B$4:$B$568,"DE CORTE")-SUMIFS($I$4:$I$568,$C$4:$C$568,C569,$D$4:$D$568,D569,$E$4:$E$568,E569,$G$4:$G$568,G569,$H$4:$H$568,H569,$B$4:$B$568,"SALIDA"))),0)</f>
        <v>0</v>
      </c>
      <c r="M569" s="13">
        <f t="shared" si="2"/>
        <v>0</v>
      </c>
      <c r="N569" s="14"/>
      <c r="O569" s="14"/>
      <c r="P569" s="15"/>
      <c r="Q569" s="14"/>
    </row>
    <row r="570" ht="15.75" customHeight="1">
      <c r="A570" s="7"/>
      <c r="B570" s="8"/>
      <c r="C570" s="8"/>
      <c r="D570" s="8"/>
      <c r="E570" s="8"/>
      <c r="F570" s="14"/>
      <c r="G570" s="8"/>
      <c r="H570" s="8"/>
      <c r="I570" s="9"/>
      <c r="J570" s="12" t="str">
        <f t="array" ref="J570:K570">IFERROR(INDEX(PRECIOS_COMPLEMENTOS!$C$4:$F$17,MATCH(D570&amp;"_"&amp;E570,PRECIOS_COMPLEMENTOS!$H$4:$H$17,0),IF(OR(H570="S",H570="20cm"),1,IF(OR(H570="M",H570="25cm"),2,IF(OR(H570="L",H570="30cm"),3,IF(OR(H570="XL",H570="35cm"),4,0))))),0)</f>
        <v>#REF!</v>
      </c>
      <c r="K570" s="12">
        <f t="shared" si="1"/>
        <v>0</v>
      </c>
      <c r="L570" s="13">
        <f>IFERROR(IF(C570="",0,IF(D570="PRETINA",SUMIFS($I$4:$I$569,$C$4:$C$569,C570,$D$4:$D$569,D570,$E$4:$E$569,E570,$F$4:$F$569,F570,$G$4:$G$569,G570,$H$4:$H$569,H570,$B$4:$B$569,"INGRESO")+SUMIFS($I$4:$I$569,$C$4:$C$569,C570,$D$4:$D$569,D570,$E$4:$E$569,E570,$F$4:$F$569,F570,$G$4:$G$569,G570,$H$4:$H$569,H570,$B$4:$B$569,"DE CORTE")-SUMIFS($I$4:$I$569,$C$4:$C$569,C570,$D$4:$D$569,D570,$E$4:$E$569,E570,$F$4:$F$569,F570,$G$4:$G$569,G570,$H$4:$H$569,H570,$B$4:$B$569,"SALIDA"),SUMIFS($I$4:$I$569,$C$4:$C$569,C570,$D$4:$D$569,D570,$E$4:$E$569,E570,$G$4:$G$569,G570,$H$4:$H$569,H570,$B$4:$B$569,"INGRESO")+SUMIFS($I$4:$I$569,$C$4:$C$569,C570,$D$4:$D$569,D570,$E$4:$E$569,E570,$G$4:$G$569,G570,$H$4:$H$569,H570,$B$4:$B$569,"DE CORTE")-SUMIFS($I$4:$I$569,$C$4:$C$569,C570,$D$4:$D$569,D570,$E$4:$E$569,E570,$G$4:$G$569,G570,$H$4:$H$569,H570,$B$4:$B$569,"SALIDA"))),0)</f>
        <v>0</v>
      </c>
      <c r="M570" s="13">
        <f t="shared" si="2"/>
        <v>0</v>
      </c>
      <c r="N570" s="14"/>
      <c r="O570" s="14"/>
      <c r="P570" s="15"/>
      <c r="Q570" s="14"/>
    </row>
    <row r="571" ht="15.75" customHeight="1">
      <c r="A571" s="7"/>
      <c r="B571" s="8"/>
      <c r="C571" s="8"/>
      <c r="D571" s="8"/>
      <c r="E571" s="8"/>
      <c r="F571" s="14"/>
      <c r="G571" s="8"/>
      <c r="H571" s="8"/>
      <c r="I571" s="9"/>
      <c r="J571" s="12" t="str">
        <f t="array" ref="J571:K571">IFERROR(INDEX(PRECIOS_COMPLEMENTOS!$C$4:$F$17,MATCH(D571&amp;"_"&amp;E571,PRECIOS_COMPLEMENTOS!$H$4:$H$17,0),IF(OR(H571="S",H571="20cm"),1,IF(OR(H571="M",H571="25cm"),2,IF(OR(H571="L",H571="30cm"),3,IF(OR(H571="XL",H571="35cm"),4,0))))),0)</f>
        <v>#REF!</v>
      </c>
      <c r="K571" s="12">
        <f t="shared" si="1"/>
        <v>0</v>
      </c>
      <c r="L571" s="13">
        <f>IFERROR(IF(C571="",0,IF(D571="PRETINA",SUMIFS($I$4:$I$570,$C$4:$C$570,C571,$D$4:$D$570,D571,$E$4:$E$570,E571,$F$4:$F$570,F571,$G$4:$G$570,G571,$H$4:$H$570,H571,$B$4:$B$570,"INGRESO")+SUMIFS($I$4:$I$570,$C$4:$C$570,C571,$D$4:$D$570,D571,$E$4:$E$570,E571,$F$4:$F$570,F571,$G$4:$G$570,G571,$H$4:$H$570,H571,$B$4:$B$570,"DE CORTE")-SUMIFS($I$4:$I$570,$C$4:$C$570,C571,$D$4:$D$570,D571,$E$4:$E$570,E571,$F$4:$F$570,F571,$G$4:$G$570,G571,$H$4:$H$570,H571,$B$4:$B$570,"SALIDA"),SUMIFS($I$4:$I$570,$C$4:$C$570,C571,$D$4:$D$570,D571,$E$4:$E$570,E571,$G$4:$G$570,G571,$H$4:$H$570,H571,$B$4:$B$570,"INGRESO")+SUMIFS($I$4:$I$570,$C$4:$C$570,C571,$D$4:$D$570,D571,$E$4:$E$570,E571,$G$4:$G$570,G571,$H$4:$H$570,H571,$B$4:$B$570,"DE CORTE")-SUMIFS($I$4:$I$570,$C$4:$C$570,C571,$D$4:$D$570,D571,$E$4:$E$570,E571,$G$4:$G$570,G571,$H$4:$H$570,H571,$B$4:$B$570,"SALIDA"))),0)</f>
        <v>0</v>
      </c>
      <c r="M571" s="13">
        <f t="shared" si="2"/>
        <v>0</v>
      </c>
      <c r="N571" s="14"/>
      <c r="O571" s="14"/>
      <c r="P571" s="15"/>
      <c r="Q571" s="14"/>
    </row>
    <row r="572" ht="15.75" customHeight="1">
      <c r="A572" s="7"/>
      <c r="B572" s="8"/>
      <c r="C572" s="8"/>
      <c r="D572" s="8"/>
      <c r="E572" s="8"/>
      <c r="F572" s="14"/>
      <c r="G572" s="8"/>
      <c r="H572" s="8"/>
      <c r="I572" s="9"/>
      <c r="J572" s="12" t="str">
        <f t="array" ref="J572:K572">IFERROR(INDEX(PRECIOS_COMPLEMENTOS!$C$4:$F$17,MATCH(D572&amp;"_"&amp;E572,PRECIOS_COMPLEMENTOS!$H$4:$H$17,0),IF(OR(H572="S",H572="20cm"),1,IF(OR(H572="M",H572="25cm"),2,IF(OR(H572="L",H572="30cm"),3,IF(OR(H572="XL",H572="35cm"),4,0))))),0)</f>
        <v>#REF!</v>
      </c>
      <c r="K572" s="12">
        <f t="shared" si="1"/>
        <v>0</v>
      </c>
      <c r="L572" s="13">
        <f>IFERROR(IF(C572="",0,IF(D572="PRETINA",SUMIFS($I$4:$I$571,$C$4:$C$571,C572,$D$4:$D$571,D572,$E$4:$E$571,E572,$F$4:$F$571,F572,$G$4:$G$571,G572,$H$4:$H$571,H572,$B$4:$B$571,"INGRESO")+SUMIFS($I$4:$I$571,$C$4:$C$571,C572,$D$4:$D$571,D572,$E$4:$E$571,E572,$F$4:$F$571,F572,$G$4:$G$571,G572,$H$4:$H$571,H572,$B$4:$B$571,"DE CORTE")-SUMIFS($I$4:$I$571,$C$4:$C$571,C572,$D$4:$D$571,D572,$E$4:$E$571,E572,$F$4:$F$571,F572,$G$4:$G$571,G572,$H$4:$H$571,H572,$B$4:$B$571,"SALIDA"),SUMIFS($I$4:$I$571,$C$4:$C$571,C572,$D$4:$D$571,D572,$E$4:$E$571,E572,$G$4:$G$571,G572,$H$4:$H$571,H572,$B$4:$B$571,"INGRESO")+SUMIFS($I$4:$I$571,$C$4:$C$571,C572,$D$4:$D$571,D572,$E$4:$E$571,E572,$G$4:$G$571,G572,$H$4:$H$571,H572,$B$4:$B$571,"DE CORTE")-SUMIFS($I$4:$I$571,$C$4:$C$571,C572,$D$4:$D$571,D572,$E$4:$E$571,E572,$G$4:$G$571,G572,$H$4:$H$571,H572,$B$4:$B$571,"SALIDA"))),0)</f>
        <v>0</v>
      </c>
      <c r="M572" s="13">
        <f t="shared" si="2"/>
        <v>0</v>
      </c>
      <c r="N572" s="14"/>
      <c r="O572" s="14"/>
      <c r="P572" s="15"/>
      <c r="Q572" s="14"/>
    </row>
    <row r="573" ht="15.75" customHeight="1">
      <c r="A573" s="7"/>
      <c r="B573" s="8"/>
      <c r="C573" s="8"/>
      <c r="D573" s="8"/>
      <c r="E573" s="8"/>
      <c r="F573" s="14"/>
      <c r="G573" s="8"/>
      <c r="H573" s="8"/>
      <c r="I573" s="9"/>
      <c r="J573" s="12" t="str">
        <f t="array" ref="J573:K573">IFERROR(INDEX(PRECIOS_COMPLEMENTOS!$C$4:$F$17,MATCH(D573&amp;"_"&amp;E573,PRECIOS_COMPLEMENTOS!$H$4:$H$17,0),IF(OR(H573="S",H573="20cm"),1,IF(OR(H573="M",H573="25cm"),2,IF(OR(H573="L",H573="30cm"),3,IF(OR(H573="XL",H573="35cm"),4,0))))),0)</f>
        <v>#REF!</v>
      </c>
      <c r="K573" s="12">
        <f t="shared" si="1"/>
        <v>0</v>
      </c>
      <c r="L573" s="13">
        <f>IFERROR(IF(C573="",0,IF(D573="PRETINA",SUMIFS($I$4:$I$572,$C$4:$C$572,C573,$D$4:$D$572,D573,$E$4:$E$572,E573,$F$4:$F$572,F573,$G$4:$G$572,G573,$H$4:$H$572,H573,$B$4:$B$572,"INGRESO")+SUMIFS($I$4:$I$572,$C$4:$C$572,C573,$D$4:$D$572,D573,$E$4:$E$572,E573,$F$4:$F$572,F573,$G$4:$G$572,G573,$H$4:$H$572,H573,$B$4:$B$572,"DE CORTE")-SUMIFS($I$4:$I$572,$C$4:$C$572,C573,$D$4:$D$572,D573,$E$4:$E$572,E573,$F$4:$F$572,F573,$G$4:$G$572,G573,$H$4:$H$572,H573,$B$4:$B$572,"SALIDA"),SUMIFS($I$4:$I$572,$C$4:$C$572,C573,$D$4:$D$572,D573,$E$4:$E$572,E573,$G$4:$G$572,G573,$H$4:$H$572,H573,$B$4:$B$572,"INGRESO")+SUMIFS($I$4:$I$572,$C$4:$C$572,C573,$D$4:$D$572,D573,$E$4:$E$572,E573,$G$4:$G$572,G573,$H$4:$H$572,H573,$B$4:$B$572,"DE CORTE")-SUMIFS($I$4:$I$572,$C$4:$C$572,C573,$D$4:$D$572,D573,$E$4:$E$572,E573,$G$4:$G$572,G573,$H$4:$H$572,H573,$B$4:$B$572,"SALIDA"))),0)</f>
        <v>0</v>
      </c>
      <c r="M573" s="13">
        <f t="shared" si="2"/>
        <v>0</v>
      </c>
      <c r="N573" s="14"/>
      <c r="O573" s="14"/>
      <c r="P573" s="15"/>
      <c r="Q573" s="14"/>
    </row>
    <row r="574" ht="15.75" customHeight="1">
      <c r="A574" s="7"/>
      <c r="B574" s="8"/>
      <c r="C574" s="8"/>
      <c r="D574" s="8"/>
      <c r="E574" s="8"/>
      <c r="F574" s="14"/>
      <c r="G574" s="8"/>
      <c r="H574" s="8"/>
      <c r="I574" s="9"/>
      <c r="J574" s="12" t="str">
        <f t="array" ref="J574:K574">IFERROR(INDEX(PRECIOS_COMPLEMENTOS!$C$4:$F$17,MATCH(D574&amp;"_"&amp;E574,PRECIOS_COMPLEMENTOS!$H$4:$H$17,0),IF(OR(H574="S",H574="20cm"),1,IF(OR(H574="M",H574="25cm"),2,IF(OR(H574="L",H574="30cm"),3,IF(OR(H574="XL",H574="35cm"),4,0))))),0)</f>
        <v>#REF!</v>
      </c>
      <c r="K574" s="12">
        <f t="shared" si="1"/>
        <v>0</v>
      </c>
      <c r="L574" s="13">
        <f>IFERROR(IF(C574="",0,IF(D574="PRETINA",SUMIFS($I$4:$I$573,$C$4:$C$573,C574,$D$4:$D$573,D574,$E$4:$E$573,E574,$F$4:$F$573,F574,$G$4:$G$573,G574,$H$4:$H$573,H574,$B$4:$B$573,"INGRESO")+SUMIFS($I$4:$I$573,$C$4:$C$573,C574,$D$4:$D$573,D574,$E$4:$E$573,E574,$F$4:$F$573,F574,$G$4:$G$573,G574,$H$4:$H$573,H574,$B$4:$B$573,"DE CORTE")-SUMIFS($I$4:$I$573,$C$4:$C$573,C574,$D$4:$D$573,D574,$E$4:$E$573,E574,$F$4:$F$573,F574,$G$4:$G$573,G574,$H$4:$H$573,H574,$B$4:$B$573,"SALIDA"),SUMIFS($I$4:$I$573,$C$4:$C$573,C574,$D$4:$D$573,D574,$E$4:$E$573,E574,$G$4:$G$573,G574,$H$4:$H$573,H574,$B$4:$B$573,"INGRESO")+SUMIFS($I$4:$I$573,$C$4:$C$573,C574,$D$4:$D$573,D574,$E$4:$E$573,E574,$G$4:$G$573,G574,$H$4:$H$573,H574,$B$4:$B$573,"DE CORTE")-SUMIFS($I$4:$I$573,$C$4:$C$573,C574,$D$4:$D$573,D574,$E$4:$E$573,E574,$G$4:$G$573,G574,$H$4:$H$573,H574,$B$4:$B$573,"SALIDA"))),0)</f>
        <v>0</v>
      </c>
      <c r="M574" s="13">
        <f t="shared" si="2"/>
        <v>0</v>
      </c>
      <c r="N574" s="14"/>
      <c r="O574" s="14"/>
      <c r="P574" s="15"/>
      <c r="Q574" s="14"/>
    </row>
    <row r="575" ht="15.75" customHeight="1">
      <c r="A575" s="7"/>
      <c r="B575" s="8"/>
      <c r="C575" s="8"/>
      <c r="D575" s="8"/>
      <c r="E575" s="8"/>
      <c r="F575" s="14"/>
      <c r="G575" s="8"/>
      <c r="H575" s="8"/>
      <c r="I575" s="9"/>
      <c r="J575" s="12" t="str">
        <f t="array" ref="J575:K575">IFERROR(INDEX(PRECIOS_COMPLEMENTOS!$C$4:$F$17,MATCH(D575&amp;"_"&amp;E575,PRECIOS_COMPLEMENTOS!$H$4:$H$17,0),IF(OR(H575="S",H575="20cm"),1,IF(OR(H575="M",H575="25cm"),2,IF(OR(H575="L",H575="30cm"),3,IF(OR(H575="XL",H575="35cm"),4,0))))),0)</f>
        <v>#REF!</v>
      </c>
      <c r="K575" s="12">
        <f t="shared" si="1"/>
        <v>0</v>
      </c>
      <c r="L575" s="13">
        <f>IFERROR(IF(C575="",0,IF(D575="PRETINA",SUMIFS($I$4:$I$574,$C$4:$C$574,C575,$D$4:$D$574,D575,$E$4:$E$574,E575,$F$4:$F$574,F575,$G$4:$G$574,G575,$H$4:$H$574,H575,$B$4:$B$574,"INGRESO")+SUMIFS($I$4:$I$574,$C$4:$C$574,C575,$D$4:$D$574,D575,$E$4:$E$574,E575,$F$4:$F$574,F575,$G$4:$G$574,G575,$H$4:$H$574,H575,$B$4:$B$574,"DE CORTE")-SUMIFS($I$4:$I$574,$C$4:$C$574,C575,$D$4:$D$574,D575,$E$4:$E$574,E575,$F$4:$F$574,F575,$G$4:$G$574,G575,$H$4:$H$574,H575,$B$4:$B$574,"SALIDA"),SUMIFS($I$4:$I$574,$C$4:$C$574,C575,$D$4:$D$574,D575,$E$4:$E$574,E575,$G$4:$G$574,G575,$H$4:$H$574,H575,$B$4:$B$574,"INGRESO")+SUMIFS($I$4:$I$574,$C$4:$C$574,C575,$D$4:$D$574,D575,$E$4:$E$574,E575,$G$4:$G$574,G575,$H$4:$H$574,H575,$B$4:$B$574,"DE CORTE")-SUMIFS($I$4:$I$574,$C$4:$C$574,C575,$D$4:$D$574,D575,$E$4:$E$574,E575,$G$4:$G$574,G575,$H$4:$H$574,H575,$B$4:$B$574,"SALIDA"))),0)</f>
        <v>0</v>
      </c>
      <c r="M575" s="13">
        <f t="shared" si="2"/>
        <v>0</v>
      </c>
      <c r="N575" s="14"/>
      <c r="O575" s="14"/>
      <c r="P575" s="15"/>
      <c r="Q575" s="14"/>
    </row>
    <row r="576" ht="15.75" customHeight="1">
      <c r="A576" s="7"/>
      <c r="B576" s="8"/>
      <c r="C576" s="8"/>
      <c r="D576" s="8"/>
      <c r="E576" s="8"/>
      <c r="F576" s="14"/>
      <c r="G576" s="8"/>
      <c r="H576" s="8"/>
      <c r="I576" s="9"/>
      <c r="J576" s="12" t="str">
        <f t="array" ref="J576:K576">IFERROR(INDEX(PRECIOS_COMPLEMENTOS!$C$4:$F$17,MATCH(D576&amp;"_"&amp;E576,PRECIOS_COMPLEMENTOS!$H$4:$H$17,0),IF(OR(H576="S",H576="20cm"),1,IF(OR(H576="M",H576="25cm"),2,IF(OR(H576="L",H576="30cm"),3,IF(OR(H576="XL",H576="35cm"),4,0))))),0)</f>
        <v>#REF!</v>
      </c>
      <c r="K576" s="12">
        <f t="shared" si="1"/>
        <v>0</v>
      </c>
      <c r="L576" s="13">
        <f>IFERROR(IF(C576="",0,IF(D576="PRETINA",SUMIFS($I$4:$I$575,$C$4:$C$575,C576,$D$4:$D$575,D576,$E$4:$E$575,E576,$F$4:$F$575,F576,$G$4:$G$575,G576,$H$4:$H$575,H576,$B$4:$B$575,"INGRESO")+SUMIFS($I$4:$I$575,$C$4:$C$575,C576,$D$4:$D$575,D576,$E$4:$E$575,E576,$F$4:$F$575,F576,$G$4:$G$575,G576,$H$4:$H$575,H576,$B$4:$B$575,"DE CORTE")-SUMIFS($I$4:$I$575,$C$4:$C$575,C576,$D$4:$D$575,D576,$E$4:$E$575,E576,$F$4:$F$575,F576,$G$4:$G$575,G576,$H$4:$H$575,H576,$B$4:$B$575,"SALIDA"),SUMIFS($I$4:$I$575,$C$4:$C$575,C576,$D$4:$D$575,D576,$E$4:$E$575,E576,$G$4:$G$575,G576,$H$4:$H$575,H576,$B$4:$B$575,"INGRESO")+SUMIFS($I$4:$I$575,$C$4:$C$575,C576,$D$4:$D$575,D576,$E$4:$E$575,E576,$G$4:$G$575,G576,$H$4:$H$575,H576,$B$4:$B$575,"DE CORTE")-SUMIFS($I$4:$I$575,$C$4:$C$575,C576,$D$4:$D$575,D576,$E$4:$E$575,E576,$G$4:$G$575,G576,$H$4:$H$575,H576,$B$4:$B$575,"SALIDA"))),0)</f>
        <v>0</v>
      </c>
      <c r="M576" s="13">
        <f t="shared" si="2"/>
        <v>0</v>
      </c>
      <c r="N576" s="14"/>
      <c r="O576" s="14"/>
      <c r="P576" s="15"/>
      <c r="Q576" s="14"/>
    </row>
    <row r="577" ht="15.75" customHeight="1">
      <c r="A577" s="7"/>
      <c r="B577" s="8"/>
      <c r="C577" s="8"/>
      <c r="D577" s="8"/>
      <c r="E577" s="8"/>
      <c r="F577" s="14"/>
      <c r="G577" s="8"/>
      <c r="H577" s="8"/>
      <c r="I577" s="9"/>
      <c r="J577" s="12" t="str">
        <f t="array" ref="J577:K577">IFERROR(INDEX(PRECIOS_COMPLEMENTOS!$C$4:$F$17,MATCH(D577&amp;"_"&amp;E577,PRECIOS_COMPLEMENTOS!$H$4:$H$17,0),IF(OR(H577="S",H577="20cm"),1,IF(OR(H577="M",H577="25cm"),2,IF(OR(H577="L",H577="30cm"),3,IF(OR(H577="XL",H577="35cm"),4,0))))),0)</f>
        <v>#REF!</v>
      </c>
      <c r="K577" s="12">
        <f t="shared" si="1"/>
        <v>0</v>
      </c>
      <c r="L577" s="13">
        <f>IFERROR(IF(C577="",0,IF(D577="PRETINA",SUMIFS($I$4:$I$576,$C$4:$C$576,C577,$D$4:$D$576,D577,$E$4:$E$576,E577,$F$4:$F$576,F577,$G$4:$G$576,G577,$H$4:$H$576,H577,$B$4:$B$576,"INGRESO")+SUMIFS($I$4:$I$576,$C$4:$C$576,C577,$D$4:$D$576,D577,$E$4:$E$576,E577,$F$4:$F$576,F577,$G$4:$G$576,G577,$H$4:$H$576,H577,$B$4:$B$576,"DE CORTE")-SUMIFS($I$4:$I$576,$C$4:$C$576,C577,$D$4:$D$576,D577,$E$4:$E$576,E577,$F$4:$F$576,F577,$G$4:$G$576,G577,$H$4:$H$576,H577,$B$4:$B$576,"SALIDA"),SUMIFS($I$4:$I$576,$C$4:$C$576,C577,$D$4:$D$576,D577,$E$4:$E$576,E577,$G$4:$G$576,G577,$H$4:$H$576,H577,$B$4:$B$576,"INGRESO")+SUMIFS($I$4:$I$576,$C$4:$C$576,C577,$D$4:$D$576,D577,$E$4:$E$576,E577,$G$4:$G$576,G577,$H$4:$H$576,H577,$B$4:$B$576,"DE CORTE")-SUMIFS($I$4:$I$576,$C$4:$C$576,C577,$D$4:$D$576,D577,$E$4:$E$576,E577,$G$4:$G$576,G577,$H$4:$H$576,H577,$B$4:$B$576,"SALIDA"))),0)</f>
        <v>0</v>
      </c>
      <c r="M577" s="13">
        <f t="shared" si="2"/>
        <v>0</v>
      </c>
      <c r="N577" s="14"/>
      <c r="O577" s="14"/>
      <c r="P577" s="15"/>
      <c r="Q577" s="14"/>
    </row>
    <row r="578" ht="15.75" customHeight="1">
      <c r="A578" s="7"/>
      <c r="B578" s="8"/>
      <c r="C578" s="8"/>
      <c r="D578" s="8"/>
      <c r="E578" s="8"/>
      <c r="F578" s="14"/>
      <c r="G578" s="8"/>
      <c r="H578" s="8"/>
      <c r="I578" s="9"/>
      <c r="J578" s="12" t="str">
        <f t="array" ref="J578:K578">IFERROR(INDEX(PRECIOS_COMPLEMENTOS!$C$4:$F$17,MATCH(D578&amp;"_"&amp;E578,PRECIOS_COMPLEMENTOS!$H$4:$H$17,0),IF(OR(H578="S",H578="20cm"),1,IF(OR(H578="M",H578="25cm"),2,IF(OR(H578="L",H578="30cm"),3,IF(OR(H578="XL",H578="35cm"),4,0))))),0)</f>
        <v>#REF!</v>
      </c>
      <c r="K578" s="12">
        <f t="shared" si="1"/>
        <v>0</v>
      </c>
      <c r="L578" s="13">
        <f>IFERROR(IF(C578="",0,IF(D578="PRETINA",SUMIFS($I$4:$I$577,$C$4:$C$577,C578,$D$4:$D$577,D578,$E$4:$E$577,E578,$F$4:$F$577,F578,$G$4:$G$577,G578,$H$4:$H$577,H578,$B$4:$B$577,"INGRESO")+SUMIFS($I$4:$I$577,$C$4:$C$577,C578,$D$4:$D$577,D578,$E$4:$E$577,E578,$F$4:$F$577,F578,$G$4:$G$577,G578,$H$4:$H$577,H578,$B$4:$B$577,"DE CORTE")-SUMIFS($I$4:$I$577,$C$4:$C$577,C578,$D$4:$D$577,D578,$E$4:$E$577,E578,$F$4:$F$577,F578,$G$4:$G$577,G578,$H$4:$H$577,H578,$B$4:$B$577,"SALIDA"),SUMIFS($I$4:$I$577,$C$4:$C$577,C578,$D$4:$D$577,D578,$E$4:$E$577,E578,$G$4:$G$577,G578,$H$4:$H$577,H578,$B$4:$B$577,"INGRESO")+SUMIFS($I$4:$I$577,$C$4:$C$577,C578,$D$4:$D$577,D578,$E$4:$E$577,E578,$G$4:$G$577,G578,$H$4:$H$577,H578,$B$4:$B$577,"DE CORTE")-SUMIFS($I$4:$I$577,$C$4:$C$577,C578,$D$4:$D$577,D578,$E$4:$E$577,E578,$G$4:$G$577,G578,$H$4:$H$577,H578,$B$4:$B$577,"SALIDA"))),0)</f>
        <v>0</v>
      </c>
      <c r="M578" s="13">
        <f t="shared" si="2"/>
        <v>0</v>
      </c>
      <c r="N578" s="14"/>
      <c r="O578" s="14"/>
      <c r="P578" s="15"/>
      <c r="Q578" s="14"/>
    </row>
    <row r="579" ht="15.75" customHeight="1">
      <c r="A579" s="7"/>
      <c r="B579" s="8"/>
      <c r="C579" s="8"/>
      <c r="D579" s="8"/>
      <c r="E579" s="8"/>
      <c r="F579" s="14"/>
      <c r="G579" s="8"/>
      <c r="H579" s="8"/>
      <c r="I579" s="9"/>
      <c r="J579" s="12" t="str">
        <f t="array" ref="J579:K579">IFERROR(INDEX(PRECIOS_COMPLEMENTOS!$C$4:$F$17,MATCH(D579&amp;"_"&amp;E579,PRECIOS_COMPLEMENTOS!$H$4:$H$17,0),IF(OR(H579="S",H579="20cm"),1,IF(OR(H579="M",H579="25cm"),2,IF(OR(H579="L",H579="30cm"),3,IF(OR(H579="XL",H579="35cm"),4,0))))),0)</f>
        <v>#REF!</v>
      </c>
      <c r="K579" s="12">
        <f t="shared" si="1"/>
        <v>0</v>
      </c>
      <c r="L579" s="13">
        <f>IFERROR(IF(C579="",0,IF(D579="PRETINA",SUMIFS($I$4:$I$578,$C$4:$C$578,C579,$D$4:$D$578,D579,$E$4:$E$578,E579,$F$4:$F$578,F579,$G$4:$G$578,G579,$H$4:$H$578,H579,$B$4:$B$578,"INGRESO")+SUMIFS($I$4:$I$578,$C$4:$C$578,C579,$D$4:$D$578,D579,$E$4:$E$578,E579,$F$4:$F$578,F579,$G$4:$G$578,G579,$H$4:$H$578,H579,$B$4:$B$578,"DE CORTE")-SUMIFS($I$4:$I$578,$C$4:$C$578,C579,$D$4:$D$578,D579,$E$4:$E$578,E579,$F$4:$F$578,F579,$G$4:$G$578,G579,$H$4:$H$578,H579,$B$4:$B$578,"SALIDA"),SUMIFS($I$4:$I$578,$C$4:$C$578,C579,$D$4:$D$578,D579,$E$4:$E$578,E579,$G$4:$G$578,G579,$H$4:$H$578,H579,$B$4:$B$578,"INGRESO")+SUMIFS($I$4:$I$578,$C$4:$C$578,C579,$D$4:$D$578,D579,$E$4:$E$578,E579,$G$4:$G$578,G579,$H$4:$H$578,H579,$B$4:$B$578,"DE CORTE")-SUMIFS($I$4:$I$578,$C$4:$C$578,C579,$D$4:$D$578,D579,$E$4:$E$578,E579,$G$4:$G$578,G579,$H$4:$H$578,H579,$B$4:$B$578,"SALIDA"))),0)</f>
        <v>0</v>
      </c>
      <c r="M579" s="13">
        <f t="shared" si="2"/>
        <v>0</v>
      </c>
      <c r="N579" s="14"/>
      <c r="O579" s="14"/>
      <c r="P579" s="15"/>
      <c r="Q579" s="14"/>
    </row>
    <row r="580" ht="15.75" customHeight="1">
      <c r="A580" s="7"/>
      <c r="B580" s="8"/>
      <c r="C580" s="8"/>
      <c r="D580" s="8"/>
      <c r="E580" s="8"/>
      <c r="F580" s="14"/>
      <c r="G580" s="8"/>
      <c r="H580" s="8"/>
      <c r="I580" s="9"/>
      <c r="J580" s="12" t="str">
        <f t="array" ref="J580:K580">IFERROR(INDEX(PRECIOS_COMPLEMENTOS!$C$4:$F$17,MATCH(D580&amp;"_"&amp;E580,PRECIOS_COMPLEMENTOS!$H$4:$H$17,0),IF(OR(H580="S",H580="20cm"),1,IF(OR(H580="M",H580="25cm"),2,IF(OR(H580="L",H580="30cm"),3,IF(OR(H580="XL",H580="35cm"),4,0))))),0)</f>
        <v>#REF!</v>
      </c>
      <c r="K580" s="12">
        <f t="shared" si="1"/>
        <v>0</v>
      </c>
      <c r="L580" s="13">
        <f>IFERROR(IF(C580="",0,IF(D580="PRETINA",SUMIFS($I$4:$I$579,$C$4:$C$579,C580,$D$4:$D$579,D580,$E$4:$E$579,E580,$F$4:$F$579,F580,$G$4:$G$579,G580,$H$4:$H$579,H580,$B$4:$B$579,"INGRESO")+SUMIFS($I$4:$I$579,$C$4:$C$579,C580,$D$4:$D$579,D580,$E$4:$E$579,E580,$F$4:$F$579,F580,$G$4:$G$579,G580,$H$4:$H$579,H580,$B$4:$B$579,"DE CORTE")-SUMIFS($I$4:$I$579,$C$4:$C$579,C580,$D$4:$D$579,D580,$E$4:$E$579,E580,$F$4:$F$579,F580,$G$4:$G$579,G580,$H$4:$H$579,H580,$B$4:$B$579,"SALIDA"),SUMIFS($I$4:$I$579,$C$4:$C$579,C580,$D$4:$D$579,D580,$E$4:$E$579,E580,$G$4:$G$579,G580,$H$4:$H$579,H580,$B$4:$B$579,"INGRESO")+SUMIFS($I$4:$I$579,$C$4:$C$579,C580,$D$4:$D$579,D580,$E$4:$E$579,E580,$G$4:$G$579,G580,$H$4:$H$579,H580,$B$4:$B$579,"DE CORTE")-SUMIFS($I$4:$I$579,$C$4:$C$579,C580,$D$4:$D$579,D580,$E$4:$E$579,E580,$G$4:$G$579,G580,$H$4:$H$579,H580,$B$4:$B$579,"SALIDA"))),0)</f>
        <v>0</v>
      </c>
      <c r="M580" s="13">
        <f t="shared" si="2"/>
        <v>0</v>
      </c>
      <c r="N580" s="14"/>
      <c r="O580" s="14"/>
      <c r="P580" s="15"/>
      <c r="Q580" s="14"/>
    </row>
    <row r="581" ht="15.75" customHeight="1">
      <c r="A581" s="7"/>
      <c r="B581" s="8"/>
      <c r="C581" s="8"/>
      <c r="D581" s="8"/>
      <c r="E581" s="8"/>
      <c r="F581" s="14"/>
      <c r="G581" s="8"/>
      <c r="H581" s="8"/>
      <c r="I581" s="9"/>
      <c r="J581" s="12" t="str">
        <f t="array" ref="J581:K581">IFERROR(INDEX(PRECIOS_COMPLEMENTOS!$C$4:$F$17,MATCH(D581&amp;"_"&amp;E581,PRECIOS_COMPLEMENTOS!$H$4:$H$17,0),IF(OR(H581="S",H581="20cm"),1,IF(OR(H581="M",H581="25cm"),2,IF(OR(H581="L",H581="30cm"),3,IF(OR(H581="XL",H581="35cm"),4,0))))),0)</f>
        <v>#REF!</v>
      </c>
      <c r="K581" s="12">
        <f t="shared" si="1"/>
        <v>0</v>
      </c>
      <c r="L581" s="13">
        <f>IFERROR(IF(C581="",0,IF(D581="PRETINA",SUMIFS($I$4:$I$580,$C$4:$C$580,C581,$D$4:$D$580,D581,$E$4:$E$580,E581,$F$4:$F$580,F581,$G$4:$G$580,G581,$H$4:$H$580,H581,$B$4:$B$580,"INGRESO")+SUMIFS($I$4:$I$580,$C$4:$C$580,C581,$D$4:$D$580,D581,$E$4:$E$580,E581,$F$4:$F$580,F581,$G$4:$G$580,G581,$H$4:$H$580,H581,$B$4:$B$580,"DE CORTE")-SUMIFS($I$4:$I$580,$C$4:$C$580,C581,$D$4:$D$580,D581,$E$4:$E$580,E581,$F$4:$F$580,F581,$G$4:$G$580,G581,$H$4:$H$580,H581,$B$4:$B$580,"SALIDA"),SUMIFS($I$4:$I$580,$C$4:$C$580,C581,$D$4:$D$580,D581,$E$4:$E$580,E581,$G$4:$G$580,G581,$H$4:$H$580,H581,$B$4:$B$580,"INGRESO")+SUMIFS($I$4:$I$580,$C$4:$C$580,C581,$D$4:$D$580,D581,$E$4:$E$580,E581,$G$4:$G$580,G581,$H$4:$H$580,H581,$B$4:$B$580,"DE CORTE")-SUMIFS($I$4:$I$580,$C$4:$C$580,C581,$D$4:$D$580,D581,$E$4:$E$580,E581,$G$4:$G$580,G581,$H$4:$H$580,H581,$B$4:$B$580,"SALIDA"))),0)</f>
        <v>0</v>
      </c>
      <c r="M581" s="13">
        <f t="shared" si="2"/>
        <v>0</v>
      </c>
      <c r="N581" s="14"/>
      <c r="O581" s="14"/>
      <c r="P581" s="15"/>
      <c r="Q581" s="14"/>
    </row>
    <row r="582" ht="15.75" customHeight="1">
      <c r="A582" s="7"/>
      <c r="B582" s="8"/>
      <c r="C582" s="8"/>
      <c r="D582" s="8"/>
      <c r="E582" s="8"/>
      <c r="F582" s="14"/>
      <c r="G582" s="8"/>
      <c r="H582" s="8"/>
      <c r="I582" s="9"/>
      <c r="J582" s="12" t="str">
        <f t="array" ref="J582:K582">IFERROR(INDEX(PRECIOS_COMPLEMENTOS!$C$4:$F$17,MATCH(D582&amp;"_"&amp;E582,PRECIOS_COMPLEMENTOS!$H$4:$H$17,0),IF(OR(H582="S",H582="20cm"),1,IF(OR(H582="M",H582="25cm"),2,IF(OR(H582="L",H582="30cm"),3,IF(OR(H582="XL",H582="35cm"),4,0))))),0)</f>
        <v>#REF!</v>
      </c>
      <c r="K582" s="12">
        <f t="shared" si="1"/>
        <v>0</v>
      </c>
      <c r="L582" s="13">
        <f>IFERROR(IF(C582="",0,IF(D582="PRETINA",SUMIFS($I$4:$I$581,$C$4:$C$581,C582,$D$4:$D$581,D582,$E$4:$E$581,E582,$F$4:$F$581,F582,$G$4:$G$581,G582,$H$4:$H$581,H582,$B$4:$B$581,"INGRESO")+SUMIFS($I$4:$I$581,$C$4:$C$581,C582,$D$4:$D$581,D582,$E$4:$E$581,E582,$F$4:$F$581,F582,$G$4:$G$581,G582,$H$4:$H$581,H582,$B$4:$B$581,"DE CORTE")-SUMIFS($I$4:$I$581,$C$4:$C$581,C582,$D$4:$D$581,D582,$E$4:$E$581,E582,$F$4:$F$581,F582,$G$4:$G$581,G582,$H$4:$H$581,H582,$B$4:$B$581,"SALIDA"),SUMIFS($I$4:$I$581,$C$4:$C$581,C582,$D$4:$D$581,D582,$E$4:$E$581,E582,$G$4:$G$581,G582,$H$4:$H$581,H582,$B$4:$B$581,"INGRESO")+SUMIFS($I$4:$I$581,$C$4:$C$581,C582,$D$4:$D$581,D582,$E$4:$E$581,E582,$G$4:$G$581,G582,$H$4:$H$581,H582,$B$4:$B$581,"DE CORTE")-SUMIFS($I$4:$I$581,$C$4:$C$581,C582,$D$4:$D$581,D582,$E$4:$E$581,E582,$G$4:$G$581,G582,$H$4:$H$581,H582,$B$4:$B$581,"SALIDA"))),0)</f>
        <v>0</v>
      </c>
      <c r="M582" s="13">
        <f t="shared" si="2"/>
        <v>0</v>
      </c>
      <c r="N582" s="14"/>
      <c r="O582" s="14"/>
      <c r="P582" s="15"/>
      <c r="Q582" s="14"/>
    </row>
    <row r="583" ht="15.75" customHeight="1">
      <c r="A583" s="7"/>
      <c r="B583" s="8"/>
      <c r="C583" s="8"/>
      <c r="D583" s="8"/>
      <c r="E583" s="8"/>
      <c r="F583" s="14"/>
      <c r="G583" s="8"/>
      <c r="H583" s="8"/>
      <c r="I583" s="9"/>
      <c r="J583" s="12" t="str">
        <f t="array" ref="J583:K583">IFERROR(INDEX(PRECIOS_COMPLEMENTOS!$C$4:$F$17,MATCH(D583&amp;"_"&amp;E583,PRECIOS_COMPLEMENTOS!$H$4:$H$17,0),IF(OR(H583="S",H583="20cm"),1,IF(OR(H583="M",H583="25cm"),2,IF(OR(H583="L",H583="30cm"),3,IF(OR(H583="XL",H583="35cm"),4,0))))),0)</f>
        <v>#REF!</v>
      </c>
      <c r="K583" s="12">
        <f t="shared" si="1"/>
        <v>0</v>
      </c>
      <c r="L583" s="13">
        <f>IFERROR(IF(C583="",0,IF(D583="PRETINA",SUMIFS($I$4:$I$582,$C$4:$C$582,C583,$D$4:$D$582,D583,$E$4:$E$582,E583,$F$4:$F$582,F583,$G$4:$G$582,G583,$H$4:$H$582,H583,$B$4:$B$582,"INGRESO")+SUMIFS($I$4:$I$582,$C$4:$C$582,C583,$D$4:$D$582,D583,$E$4:$E$582,E583,$F$4:$F$582,F583,$G$4:$G$582,G583,$H$4:$H$582,H583,$B$4:$B$582,"DE CORTE")-SUMIFS($I$4:$I$582,$C$4:$C$582,C583,$D$4:$D$582,D583,$E$4:$E$582,E583,$F$4:$F$582,F583,$G$4:$G$582,G583,$H$4:$H$582,H583,$B$4:$B$582,"SALIDA"),SUMIFS($I$4:$I$582,$C$4:$C$582,C583,$D$4:$D$582,D583,$E$4:$E$582,E583,$G$4:$G$582,G583,$H$4:$H$582,H583,$B$4:$B$582,"INGRESO")+SUMIFS($I$4:$I$582,$C$4:$C$582,C583,$D$4:$D$582,D583,$E$4:$E$582,E583,$G$4:$G$582,G583,$H$4:$H$582,H583,$B$4:$B$582,"DE CORTE")-SUMIFS($I$4:$I$582,$C$4:$C$582,C583,$D$4:$D$582,D583,$E$4:$E$582,E583,$G$4:$G$582,G583,$H$4:$H$582,H583,$B$4:$B$582,"SALIDA"))),0)</f>
        <v>0</v>
      </c>
      <c r="M583" s="13">
        <f t="shared" si="2"/>
        <v>0</v>
      </c>
      <c r="N583" s="14"/>
      <c r="O583" s="14"/>
      <c r="P583" s="15"/>
      <c r="Q583" s="14"/>
    </row>
    <row r="584" ht="15.75" customHeight="1">
      <c r="A584" s="7"/>
      <c r="B584" s="8"/>
      <c r="C584" s="8"/>
      <c r="D584" s="8"/>
      <c r="E584" s="8"/>
      <c r="F584" s="14"/>
      <c r="G584" s="8"/>
      <c r="H584" s="8"/>
      <c r="I584" s="9"/>
      <c r="J584" s="12" t="str">
        <f t="array" ref="J584:K584">IFERROR(INDEX(PRECIOS_COMPLEMENTOS!$C$4:$F$17,MATCH(D584&amp;"_"&amp;E584,PRECIOS_COMPLEMENTOS!$H$4:$H$17,0),IF(OR(H584="S",H584="20cm"),1,IF(OR(H584="M",H584="25cm"),2,IF(OR(H584="L",H584="30cm"),3,IF(OR(H584="XL",H584="35cm"),4,0))))),0)</f>
        <v>#REF!</v>
      </c>
      <c r="K584" s="12">
        <f t="shared" si="1"/>
        <v>0</v>
      </c>
      <c r="L584" s="13">
        <f>IFERROR(IF(C584="",0,IF(D584="PRETINA",SUMIFS($I$4:$I$583,$C$4:$C$583,C584,$D$4:$D$583,D584,$E$4:$E$583,E584,$F$4:$F$583,F584,$G$4:$G$583,G584,$H$4:$H$583,H584,$B$4:$B$583,"INGRESO")+SUMIFS($I$4:$I$583,$C$4:$C$583,C584,$D$4:$D$583,D584,$E$4:$E$583,E584,$F$4:$F$583,F584,$G$4:$G$583,G584,$H$4:$H$583,H584,$B$4:$B$583,"DE CORTE")-SUMIFS($I$4:$I$583,$C$4:$C$583,C584,$D$4:$D$583,D584,$E$4:$E$583,E584,$F$4:$F$583,F584,$G$4:$G$583,G584,$H$4:$H$583,H584,$B$4:$B$583,"SALIDA"),SUMIFS($I$4:$I$583,$C$4:$C$583,C584,$D$4:$D$583,D584,$E$4:$E$583,E584,$G$4:$G$583,G584,$H$4:$H$583,H584,$B$4:$B$583,"INGRESO")+SUMIFS($I$4:$I$583,$C$4:$C$583,C584,$D$4:$D$583,D584,$E$4:$E$583,E584,$G$4:$G$583,G584,$H$4:$H$583,H584,$B$4:$B$583,"DE CORTE")-SUMIFS($I$4:$I$583,$C$4:$C$583,C584,$D$4:$D$583,D584,$E$4:$E$583,E584,$G$4:$G$583,G584,$H$4:$H$583,H584,$B$4:$B$583,"SALIDA"))),0)</f>
        <v>0</v>
      </c>
      <c r="M584" s="13">
        <f t="shared" si="2"/>
        <v>0</v>
      </c>
      <c r="N584" s="14"/>
      <c r="O584" s="14"/>
      <c r="P584" s="15"/>
      <c r="Q584" s="14"/>
    </row>
    <row r="585" ht="15.75" customHeight="1">
      <c r="A585" s="7"/>
      <c r="B585" s="8"/>
      <c r="C585" s="8"/>
      <c r="D585" s="8"/>
      <c r="E585" s="8"/>
      <c r="F585" s="14"/>
      <c r="G585" s="8"/>
      <c r="H585" s="8"/>
      <c r="I585" s="9"/>
      <c r="J585" s="12" t="str">
        <f t="array" ref="J585:K585">IFERROR(INDEX(PRECIOS_COMPLEMENTOS!$C$4:$F$17,MATCH(D585&amp;"_"&amp;E585,PRECIOS_COMPLEMENTOS!$H$4:$H$17,0),IF(OR(H585="S",H585="20cm"),1,IF(OR(H585="M",H585="25cm"),2,IF(OR(H585="L",H585="30cm"),3,IF(OR(H585="XL",H585="35cm"),4,0))))),0)</f>
        <v>#REF!</v>
      </c>
      <c r="K585" s="12">
        <f t="shared" si="1"/>
        <v>0</v>
      </c>
      <c r="L585" s="13">
        <f>IFERROR(IF(C585="",0,IF(D585="PRETINA",SUMIFS($I$4:$I$584,$C$4:$C$584,C585,$D$4:$D$584,D585,$E$4:$E$584,E585,$F$4:$F$584,F585,$G$4:$G$584,G585,$H$4:$H$584,H585,$B$4:$B$584,"INGRESO")+SUMIFS($I$4:$I$584,$C$4:$C$584,C585,$D$4:$D$584,D585,$E$4:$E$584,E585,$F$4:$F$584,F585,$G$4:$G$584,G585,$H$4:$H$584,H585,$B$4:$B$584,"DE CORTE")-SUMIFS($I$4:$I$584,$C$4:$C$584,C585,$D$4:$D$584,D585,$E$4:$E$584,E585,$F$4:$F$584,F585,$G$4:$G$584,G585,$H$4:$H$584,H585,$B$4:$B$584,"SALIDA"),SUMIFS($I$4:$I$584,$C$4:$C$584,C585,$D$4:$D$584,D585,$E$4:$E$584,E585,$G$4:$G$584,G585,$H$4:$H$584,H585,$B$4:$B$584,"INGRESO")+SUMIFS($I$4:$I$584,$C$4:$C$584,C585,$D$4:$D$584,D585,$E$4:$E$584,E585,$G$4:$G$584,G585,$H$4:$H$584,H585,$B$4:$B$584,"DE CORTE")-SUMIFS($I$4:$I$584,$C$4:$C$584,C585,$D$4:$D$584,D585,$E$4:$E$584,E585,$G$4:$G$584,G585,$H$4:$H$584,H585,$B$4:$B$584,"SALIDA"))),0)</f>
        <v>0</v>
      </c>
      <c r="M585" s="13">
        <f t="shared" si="2"/>
        <v>0</v>
      </c>
      <c r="N585" s="14"/>
      <c r="O585" s="14"/>
      <c r="P585" s="15"/>
      <c r="Q585" s="14"/>
    </row>
    <row r="586" ht="15.75" customHeight="1">
      <c r="A586" s="7"/>
      <c r="B586" s="8"/>
      <c r="C586" s="8"/>
      <c r="D586" s="8"/>
      <c r="E586" s="8"/>
      <c r="F586" s="14"/>
      <c r="G586" s="8"/>
      <c r="H586" s="8"/>
      <c r="I586" s="9"/>
      <c r="J586" s="12" t="str">
        <f t="array" ref="J586:K586">IFERROR(INDEX(PRECIOS_COMPLEMENTOS!$C$4:$F$17,MATCH(D586&amp;"_"&amp;E586,PRECIOS_COMPLEMENTOS!$H$4:$H$17,0),IF(OR(H586="S",H586="20cm"),1,IF(OR(H586="M",H586="25cm"),2,IF(OR(H586="L",H586="30cm"),3,IF(OR(H586="XL",H586="35cm"),4,0))))),0)</f>
        <v>#REF!</v>
      </c>
      <c r="K586" s="12">
        <f t="shared" si="1"/>
        <v>0</v>
      </c>
      <c r="L586" s="13">
        <f>IFERROR(IF(C586="",0,IF(D586="PRETINA",SUMIFS($I$4:$I$585,$C$4:$C$585,C586,$D$4:$D$585,D586,$E$4:$E$585,E586,$F$4:$F$585,F586,$G$4:$G$585,G586,$H$4:$H$585,H586,$B$4:$B$585,"INGRESO")+SUMIFS($I$4:$I$585,$C$4:$C$585,C586,$D$4:$D$585,D586,$E$4:$E$585,E586,$F$4:$F$585,F586,$G$4:$G$585,G586,$H$4:$H$585,H586,$B$4:$B$585,"DE CORTE")-SUMIFS($I$4:$I$585,$C$4:$C$585,C586,$D$4:$D$585,D586,$E$4:$E$585,E586,$F$4:$F$585,F586,$G$4:$G$585,G586,$H$4:$H$585,H586,$B$4:$B$585,"SALIDA"),SUMIFS($I$4:$I$585,$C$4:$C$585,C586,$D$4:$D$585,D586,$E$4:$E$585,E586,$G$4:$G$585,G586,$H$4:$H$585,H586,$B$4:$B$585,"INGRESO")+SUMIFS($I$4:$I$585,$C$4:$C$585,C586,$D$4:$D$585,D586,$E$4:$E$585,E586,$G$4:$G$585,G586,$H$4:$H$585,H586,$B$4:$B$585,"DE CORTE")-SUMIFS($I$4:$I$585,$C$4:$C$585,C586,$D$4:$D$585,D586,$E$4:$E$585,E586,$G$4:$G$585,G586,$H$4:$H$585,H586,$B$4:$B$585,"SALIDA"))),0)</f>
        <v>0</v>
      </c>
      <c r="M586" s="13">
        <f t="shared" si="2"/>
        <v>0</v>
      </c>
      <c r="N586" s="14"/>
      <c r="O586" s="14"/>
      <c r="P586" s="15"/>
      <c r="Q586" s="14"/>
    </row>
    <row r="587" ht="15.75" customHeight="1">
      <c r="A587" s="7"/>
      <c r="B587" s="8"/>
      <c r="C587" s="8"/>
      <c r="D587" s="8"/>
      <c r="E587" s="8"/>
      <c r="F587" s="14"/>
      <c r="G587" s="8"/>
      <c r="H587" s="8"/>
      <c r="I587" s="9"/>
      <c r="J587" s="12" t="str">
        <f t="array" ref="J587:K587">IFERROR(INDEX(PRECIOS_COMPLEMENTOS!$C$4:$F$17,MATCH(D587&amp;"_"&amp;E587,PRECIOS_COMPLEMENTOS!$H$4:$H$17,0),IF(OR(H587="S",H587="20cm"),1,IF(OR(H587="M",H587="25cm"),2,IF(OR(H587="L",H587="30cm"),3,IF(OR(H587="XL",H587="35cm"),4,0))))),0)</f>
        <v>#REF!</v>
      </c>
      <c r="K587" s="12">
        <f t="shared" si="1"/>
        <v>0</v>
      </c>
      <c r="L587" s="13">
        <f>IFERROR(IF(C587="",0,IF(D587="PRETINA",SUMIFS($I$4:$I$586,$C$4:$C$586,C587,$D$4:$D$586,D587,$E$4:$E$586,E587,$F$4:$F$586,F587,$G$4:$G$586,G587,$H$4:$H$586,H587,$B$4:$B$586,"INGRESO")+SUMIFS($I$4:$I$586,$C$4:$C$586,C587,$D$4:$D$586,D587,$E$4:$E$586,E587,$F$4:$F$586,F587,$G$4:$G$586,G587,$H$4:$H$586,H587,$B$4:$B$586,"DE CORTE")-SUMIFS($I$4:$I$586,$C$4:$C$586,C587,$D$4:$D$586,D587,$E$4:$E$586,E587,$F$4:$F$586,F587,$G$4:$G$586,G587,$H$4:$H$586,H587,$B$4:$B$586,"SALIDA"),SUMIFS($I$4:$I$586,$C$4:$C$586,C587,$D$4:$D$586,D587,$E$4:$E$586,E587,$G$4:$G$586,G587,$H$4:$H$586,H587,$B$4:$B$586,"INGRESO")+SUMIFS($I$4:$I$586,$C$4:$C$586,C587,$D$4:$D$586,D587,$E$4:$E$586,E587,$G$4:$G$586,G587,$H$4:$H$586,H587,$B$4:$B$586,"DE CORTE")-SUMIFS($I$4:$I$586,$C$4:$C$586,C587,$D$4:$D$586,D587,$E$4:$E$586,E587,$G$4:$G$586,G587,$H$4:$H$586,H587,$B$4:$B$586,"SALIDA"))),0)</f>
        <v>0</v>
      </c>
      <c r="M587" s="13">
        <f t="shared" si="2"/>
        <v>0</v>
      </c>
      <c r="N587" s="14"/>
      <c r="O587" s="14"/>
      <c r="P587" s="15"/>
      <c r="Q587" s="14"/>
    </row>
    <row r="588" ht="15.75" customHeight="1">
      <c r="A588" s="7"/>
      <c r="B588" s="8"/>
      <c r="C588" s="8"/>
      <c r="D588" s="8"/>
      <c r="E588" s="8"/>
      <c r="F588" s="14"/>
      <c r="G588" s="8"/>
      <c r="H588" s="8"/>
      <c r="I588" s="9"/>
      <c r="J588" s="12" t="str">
        <f t="array" ref="J588:K588">IFERROR(INDEX(PRECIOS_COMPLEMENTOS!$C$4:$F$17,MATCH(D588&amp;"_"&amp;E588,PRECIOS_COMPLEMENTOS!$H$4:$H$17,0),IF(OR(H588="S",H588="20cm"),1,IF(OR(H588="M",H588="25cm"),2,IF(OR(H588="L",H588="30cm"),3,IF(OR(H588="XL",H588="35cm"),4,0))))),0)</f>
        <v>#REF!</v>
      </c>
      <c r="K588" s="12">
        <f t="shared" si="1"/>
        <v>0</v>
      </c>
      <c r="L588" s="13">
        <f>IFERROR(IF(C588="",0,IF(D588="PRETINA",SUMIFS($I$4:$I$587,$C$4:$C$587,C588,$D$4:$D$587,D588,$E$4:$E$587,E588,$F$4:$F$587,F588,$G$4:$G$587,G588,$H$4:$H$587,H588,$B$4:$B$587,"INGRESO")+SUMIFS($I$4:$I$587,$C$4:$C$587,C588,$D$4:$D$587,D588,$E$4:$E$587,E588,$F$4:$F$587,F588,$G$4:$G$587,G588,$H$4:$H$587,H588,$B$4:$B$587,"DE CORTE")-SUMIFS($I$4:$I$587,$C$4:$C$587,C588,$D$4:$D$587,D588,$E$4:$E$587,E588,$F$4:$F$587,F588,$G$4:$G$587,G588,$H$4:$H$587,H588,$B$4:$B$587,"SALIDA"),SUMIFS($I$4:$I$587,$C$4:$C$587,C588,$D$4:$D$587,D588,$E$4:$E$587,E588,$G$4:$G$587,G588,$H$4:$H$587,H588,$B$4:$B$587,"INGRESO")+SUMIFS($I$4:$I$587,$C$4:$C$587,C588,$D$4:$D$587,D588,$E$4:$E$587,E588,$G$4:$G$587,G588,$H$4:$H$587,H588,$B$4:$B$587,"DE CORTE")-SUMIFS($I$4:$I$587,$C$4:$C$587,C588,$D$4:$D$587,D588,$E$4:$E$587,E588,$G$4:$G$587,G588,$H$4:$H$587,H588,$B$4:$B$587,"SALIDA"))),0)</f>
        <v>0</v>
      </c>
      <c r="M588" s="13">
        <f t="shared" si="2"/>
        <v>0</v>
      </c>
      <c r="N588" s="14"/>
      <c r="O588" s="14"/>
      <c r="P588" s="15"/>
      <c r="Q588" s="14"/>
    </row>
    <row r="589" ht="15.75" customHeight="1">
      <c r="A589" s="7"/>
      <c r="B589" s="8"/>
      <c r="C589" s="8"/>
      <c r="D589" s="8"/>
      <c r="E589" s="8"/>
      <c r="F589" s="14"/>
      <c r="G589" s="8"/>
      <c r="H589" s="8"/>
      <c r="I589" s="9"/>
      <c r="J589" s="12" t="str">
        <f t="array" ref="J589:K589">IFERROR(INDEX(PRECIOS_COMPLEMENTOS!$C$4:$F$17,MATCH(D589&amp;"_"&amp;E589,PRECIOS_COMPLEMENTOS!$H$4:$H$17,0),IF(OR(H589="S",H589="20cm"),1,IF(OR(H589="M",H589="25cm"),2,IF(OR(H589="L",H589="30cm"),3,IF(OR(H589="XL",H589="35cm"),4,0))))),0)</f>
        <v>#REF!</v>
      </c>
      <c r="K589" s="12">
        <f t="shared" si="1"/>
        <v>0</v>
      </c>
      <c r="L589" s="13">
        <f>IFERROR(IF(C589="",0,IF(D589="PRETINA",SUMIFS($I$4:$I$588,$C$4:$C$588,C589,$D$4:$D$588,D589,$E$4:$E$588,E589,$F$4:$F$588,F589,$G$4:$G$588,G589,$H$4:$H$588,H589,$B$4:$B$588,"INGRESO")+SUMIFS($I$4:$I$588,$C$4:$C$588,C589,$D$4:$D$588,D589,$E$4:$E$588,E589,$F$4:$F$588,F589,$G$4:$G$588,G589,$H$4:$H$588,H589,$B$4:$B$588,"DE CORTE")-SUMIFS($I$4:$I$588,$C$4:$C$588,C589,$D$4:$D$588,D589,$E$4:$E$588,E589,$F$4:$F$588,F589,$G$4:$G$588,G589,$H$4:$H$588,H589,$B$4:$B$588,"SALIDA"),SUMIFS($I$4:$I$588,$C$4:$C$588,C589,$D$4:$D$588,D589,$E$4:$E$588,E589,$G$4:$G$588,G589,$H$4:$H$588,H589,$B$4:$B$588,"INGRESO")+SUMIFS($I$4:$I$588,$C$4:$C$588,C589,$D$4:$D$588,D589,$E$4:$E$588,E589,$G$4:$G$588,G589,$H$4:$H$588,H589,$B$4:$B$588,"DE CORTE")-SUMIFS($I$4:$I$588,$C$4:$C$588,C589,$D$4:$D$588,D589,$E$4:$E$588,E589,$G$4:$G$588,G589,$H$4:$H$588,H589,$B$4:$B$588,"SALIDA"))),0)</f>
        <v>0</v>
      </c>
      <c r="M589" s="13">
        <f t="shared" si="2"/>
        <v>0</v>
      </c>
      <c r="N589" s="14"/>
      <c r="O589" s="14"/>
      <c r="P589" s="15"/>
      <c r="Q589" s="14"/>
    </row>
    <row r="590" ht="15.75" customHeight="1">
      <c r="A590" s="7"/>
      <c r="B590" s="8"/>
      <c r="C590" s="8"/>
      <c r="D590" s="8"/>
      <c r="E590" s="8"/>
      <c r="F590" s="14"/>
      <c r="G590" s="8"/>
      <c r="H590" s="8"/>
      <c r="I590" s="9"/>
      <c r="J590" s="12" t="str">
        <f t="array" ref="J590:K590">IFERROR(INDEX(PRECIOS_COMPLEMENTOS!$C$4:$F$17,MATCH(D590&amp;"_"&amp;E590,PRECIOS_COMPLEMENTOS!$H$4:$H$17,0),IF(OR(H590="S",H590="20cm"),1,IF(OR(H590="M",H590="25cm"),2,IF(OR(H590="L",H590="30cm"),3,IF(OR(H590="XL",H590="35cm"),4,0))))),0)</f>
        <v>#REF!</v>
      </c>
      <c r="K590" s="12">
        <f t="shared" si="1"/>
        <v>0</v>
      </c>
      <c r="L590" s="13">
        <f>IFERROR(IF(C590="",0,IF(D590="PRETINA",SUMIFS($I$4:$I$589,$C$4:$C$589,C590,$D$4:$D$589,D590,$E$4:$E$589,E590,$F$4:$F$589,F590,$G$4:$G$589,G590,$H$4:$H$589,H590,$B$4:$B$589,"INGRESO")+SUMIFS($I$4:$I$589,$C$4:$C$589,C590,$D$4:$D$589,D590,$E$4:$E$589,E590,$F$4:$F$589,F590,$G$4:$G$589,G590,$H$4:$H$589,H590,$B$4:$B$589,"DE CORTE")-SUMIFS($I$4:$I$589,$C$4:$C$589,C590,$D$4:$D$589,D590,$E$4:$E$589,E590,$F$4:$F$589,F590,$G$4:$G$589,G590,$H$4:$H$589,H590,$B$4:$B$589,"SALIDA"),SUMIFS($I$4:$I$589,$C$4:$C$589,C590,$D$4:$D$589,D590,$E$4:$E$589,E590,$G$4:$G$589,G590,$H$4:$H$589,H590,$B$4:$B$589,"INGRESO")+SUMIFS($I$4:$I$589,$C$4:$C$589,C590,$D$4:$D$589,D590,$E$4:$E$589,E590,$G$4:$G$589,G590,$H$4:$H$589,H590,$B$4:$B$589,"DE CORTE")-SUMIFS($I$4:$I$589,$C$4:$C$589,C590,$D$4:$D$589,D590,$E$4:$E$589,E590,$G$4:$G$589,G590,$H$4:$H$589,H590,$B$4:$B$589,"SALIDA"))),0)</f>
        <v>0</v>
      </c>
      <c r="M590" s="13">
        <f t="shared" si="2"/>
        <v>0</v>
      </c>
      <c r="N590" s="14"/>
      <c r="O590" s="14"/>
      <c r="P590" s="15"/>
      <c r="Q590" s="14"/>
    </row>
    <row r="591" ht="15.75" customHeight="1">
      <c r="A591" s="7"/>
      <c r="B591" s="8"/>
      <c r="C591" s="8"/>
      <c r="D591" s="8"/>
      <c r="E591" s="8"/>
      <c r="F591" s="14"/>
      <c r="G591" s="8"/>
      <c r="H591" s="8"/>
      <c r="I591" s="9"/>
      <c r="J591" s="12" t="str">
        <f t="array" ref="J591:K591">IFERROR(INDEX(PRECIOS_COMPLEMENTOS!$C$4:$F$17,MATCH(D591&amp;"_"&amp;E591,PRECIOS_COMPLEMENTOS!$H$4:$H$17,0),IF(OR(H591="S",H591="20cm"),1,IF(OR(H591="M",H591="25cm"),2,IF(OR(H591="L",H591="30cm"),3,IF(OR(H591="XL",H591="35cm"),4,0))))),0)</f>
        <v>#REF!</v>
      </c>
      <c r="K591" s="12">
        <f t="shared" si="1"/>
        <v>0</v>
      </c>
      <c r="L591" s="13">
        <f>IFERROR(IF(C591="",0,IF(D591="PRETINA",SUMIFS($I$4:$I$590,$C$4:$C$590,C591,$D$4:$D$590,D591,$E$4:$E$590,E591,$F$4:$F$590,F591,$G$4:$G$590,G591,$H$4:$H$590,H591,$B$4:$B$590,"INGRESO")+SUMIFS($I$4:$I$590,$C$4:$C$590,C591,$D$4:$D$590,D591,$E$4:$E$590,E591,$F$4:$F$590,F591,$G$4:$G$590,G591,$H$4:$H$590,H591,$B$4:$B$590,"DE CORTE")-SUMIFS($I$4:$I$590,$C$4:$C$590,C591,$D$4:$D$590,D591,$E$4:$E$590,E591,$F$4:$F$590,F591,$G$4:$G$590,G591,$H$4:$H$590,H591,$B$4:$B$590,"SALIDA"),SUMIFS($I$4:$I$590,$C$4:$C$590,C591,$D$4:$D$590,D591,$E$4:$E$590,E591,$G$4:$G$590,G591,$H$4:$H$590,H591,$B$4:$B$590,"INGRESO")+SUMIFS($I$4:$I$590,$C$4:$C$590,C591,$D$4:$D$590,D591,$E$4:$E$590,E591,$G$4:$G$590,G591,$H$4:$H$590,H591,$B$4:$B$590,"DE CORTE")-SUMIFS($I$4:$I$590,$C$4:$C$590,C591,$D$4:$D$590,D591,$E$4:$E$590,E591,$G$4:$G$590,G591,$H$4:$H$590,H591,$B$4:$B$590,"SALIDA"))),0)</f>
        <v>0</v>
      </c>
      <c r="M591" s="13">
        <f t="shared" si="2"/>
        <v>0</v>
      </c>
      <c r="N591" s="14"/>
      <c r="O591" s="14"/>
      <c r="P591" s="15"/>
      <c r="Q591" s="14"/>
    </row>
    <row r="592" ht="15.75" customHeight="1">
      <c r="A592" s="7"/>
      <c r="B592" s="8"/>
      <c r="C592" s="8"/>
      <c r="D592" s="8"/>
      <c r="E592" s="8"/>
      <c r="F592" s="14"/>
      <c r="G592" s="8"/>
      <c r="H592" s="8"/>
      <c r="I592" s="9"/>
      <c r="J592" s="12" t="str">
        <f t="array" ref="J592:K592">IFERROR(INDEX(PRECIOS_COMPLEMENTOS!$C$4:$F$17,MATCH(D592&amp;"_"&amp;E592,PRECIOS_COMPLEMENTOS!$H$4:$H$17,0),IF(OR(H592="S",H592="20cm"),1,IF(OR(H592="M",H592="25cm"),2,IF(OR(H592="L",H592="30cm"),3,IF(OR(H592="XL",H592="35cm"),4,0))))),0)</f>
        <v>#REF!</v>
      </c>
      <c r="K592" s="12">
        <f t="shared" si="1"/>
        <v>0</v>
      </c>
      <c r="L592" s="13">
        <f>IFERROR(IF(C592="",0,IF(D592="PRETINA",SUMIFS($I$4:$I$591,$C$4:$C$591,C592,$D$4:$D$591,D592,$E$4:$E$591,E592,$F$4:$F$591,F592,$G$4:$G$591,G592,$H$4:$H$591,H592,$B$4:$B$591,"INGRESO")+SUMIFS($I$4:$I$591,$C$4:$C$591,C592,$D$4:$D$591,D592,$E$4:$E$591,E592,$F$4:$F$591,F592,$G$4:$G$591,G592,$H$4:$H$591,H592,$B$4:$B$591,"DE CORTE")-SUMIFS($I$4:$I$591,$C$4:$C$591,C592,$D$4:$D$591,D592,$E$4:$E$591,E592,$F$4:$F$591,F592,$G$4:$G$591,G592,$H$4:$H$591,H592,$B$4:$B$591,"SALIDA"),SUMIFS($I$4:$I$591,$C$4:$C$591,C592,$D$4:$D$591,D592,$E$4:$E$591,E592,$G$4:$G$591,G592,$H$4:$H$591,H592,$B$4:$B$591,"INGRESO")+SUMIFS($I$4:$I$591,$C$4:$C$591,C592,$D$4:$D$591,D592,$E$4:$E$591,E592,$G$4:$G$591,G592,$H$4:$H$591,H592,$B$4:$B$591,"DE CORTE")-SUMIFS($I$4:$I$591,$C$4:$C$591,C592,$D$4:$D$591,D592,$E$4:$E$591,E592,$G$4:$G$591,G592,$H$4:$H$591,H592,$B$4:$B$591,"SALIDA"))),0)</f>
        <v>0</v>
      </c>
      <c r="M592" s="13">
        <f t="shared" si="2"/>
        <v>0</v>
      </c>
      <c r="N592" s="14"/>
      <c r="O592" s="14"/>
      <c r="P592" s="15"/>
      <c r="Q592" s="14"/>
    </row>
    <row r="593" ht="15.75" customHeight="1">
      <c r="A593" s="7"/>
      <c r="B593" s="8"/>
      <c r="C593" s="8"/>
      <c r="D593" s="8"/>
      <c r="E593" s="8"/>
      <c r="F593" s="14"/>
      <c r="G593" s="8"/>
      <c r="H593" s="8"/>
      <c r="I593" s="9"/>
      <c r="J593" s="12" t="str">
        <f t="array" ref="J593:K593">IFERROR(INDEX(PRECIOS_COMPLEMENTOS!$C$4:$F$17,MATCH(D593&amp;"_"&amp;E593,PRECIOS_COMPLEMENTOS!$H$4:$H$17,0),IF(OR(H593="S",H593="20cm"),1,IF(OR(H593="M",H593="25cm"),2,IF(OR(H593="L",H593="30cm"),3,IF(OR(H593="XL",H593="35cm"),4,0))))),0)</f>
        <v>#REF!</v>
      </c>
      <c r="K593" s="12">
        <f t="shared" si="1"/>
        <v>0</v>
      </c>
      <c r="L593" s="13">
        <f>IFERROR(IF(C593="",0,IF(D593="PRETINA",SUMIFS($I$4:$I$592,$C$4:$C$592,C593,$D$4:$D$592,D593,$E$4:$E$592,E593,$F$4:$F$592,F593,$G$4:$G$592,G593,$H$4:$H$592,H593,$B$4:$B$592,"INGRESO")+SUMIFS($I$4:$I$592,$C$4:$C$592,C593,$D$4:$D$592,D593,$E$4:$E$592,E593,$F$4:$F$592,F593,$G$4:$G$592,G593,$H$4:$H$592,H593,$B$4:$B$592,"DE CORTE")-SUMIFS($I$4:$I$592,$C$4:$C$592,C593,$D$4:$D$592,D593,$E$4:$E$592,E593,$F$4:$F$592,F593,$G$4:$G$592,G593,$H$4:$H$592,H593,$B$4:$B$592,"SALIDA"),SUMIFS($I$4:$I$592,$C$4:$C$592,C593,$D$4:$D$592,D593,$E$4:$E$592,E593,$G$4:$G$592,G593,$H$4:$H$592,H593,$B$4:$B$592,"INGRESO")+SUMIFS($I$4:$I$592,$C$4:$C$592,C593,$D$4:$D$592,D593,$E$4:$E$592,E593,$G$4:$G$592,G593,$H$4:$H$592,H593,$B$4:$B$592,"DE CORTE")-SUMIFS($I$4:$I$592,$C$4:$C$592,C593,$D$4:$D$592,D593,$E$4:$E$592,E593,$G$4:$G$592,G593,$H$4:$H$592,H593,$B$4:$B$592,"SALIDA"))),0)</f>
        <v>0</v>
      </c>
      <c r="M593" s="13">
        <f t="shared" si="2"/>
        <v>0</v>
      </c>
      <c r="N593" s="14"/>
      <c r="O593" s="14"/>
      <c r="P593" s="15"/>
      <c r="Q593" s="14"/>
    </row>
    <row r="594" ht="15.75" customHeight="1">
      <c r="A594" s="7"/>
      <c r="B594" s="8"/>
      <c r="C594" s="8"/>
      <c r="D594" s="8"/>
      <c r="E594" s="8"/>
      <c r="F594" s="14"/>
      <c r="G594" s="8"/>
      <c r="H594" s="8"/>
      <c r="I594" s="9"/>
      <c r="J594" s="12" t="str">
        <f t="array" ref="J594:K594">IFERROR(INDEX(PRECIOS_COMPLEMENTOS!$C$4:$F$17,MATCH(D594&amp;"_"&amp;E594,PRECIOS_COMPLEMENTOS!$H$4:$H$17,0),IF(OR(H594="S",H594="20cm"),1,IF(OR(H594="M",H594="25cm"),2,IF(OR(H594="L",H594="30cm"),3,IF(OR(H594="XL",H594="35cm"),4,0))))),0)</f>
        <v>#REF!</v>
      </c>
      <c r="K594" s="12">
        <f t="shared" si="1"/>
        <v>0</v>
      </c>
      <c r="L594" s="13">
        <f>IFERROR(IF(C594="",0,IF(D594="PRETINA",SUMIFS($I$4:$I$593,$C$4:$C$593,C594,$D$4:$D$593,D594,$E$4:$E$593,E594,$F$4:$F$593,F594,$G$4:$G$593,G594,$H$4:$H$593,H594,$B$4:$B$593,"INGRESO")+SUMIFS($I$4:$I$593,$C$4:$C$593,C594,$D$4:$D$593,D594,$E$4:$E$593,E594,$F$4:$F$593,F594,$G$4:$G$593,G594,$H$4:$H$593,H594,$B$4:$B$593,"DE CORTE")-SUMIFS($I$4:$I$593,$C$4:$C$593,C594,$D$4:$D$593,D594,$E$4:$E$593,E594,$F$4:$F$593,F594,$G$4:$G$593,G594,$H$4:$H$593,H594,$B$4:$B$593,"SALIDA"),SUMIFS($I$4:$I$593,$C$4:$C$593,C594,$D$4:$D$593,D594,$E$4:$E$593,E594,$G$4:$G$593,G594,$H$4:$H$593,H594,$B$4:$B$593,"INGRESO")+SUMIFS($I$4:$I$593,$C$4:$C$593,C594,$D$4:$D$593,D594,$E$4:$E$593,E594,$G$4:$G$593,G594,$H$4:$H$593,H594,$B$4:$B$593,"DE CORTE")-SUMIFS($I$4:$I$593,$C$4:$C$593,C594,$D$4:$D$593,D594,$E$4:$E$593,E594,$G$4:$G$593,G594,$H$4:$H$593,H594,$B$4:$B$593,"SALIDA"))),0)</f>
        <v>0</v>
      </c>
      <c r="M594" s="13">
        <f t="shared" si="2"/>
        <v>0</v>
      </c>
      <c r="N594" s="14"/>
      <c r="O594" s="14"/>
      <c r="P594" s="15"/>
      <c r="Q594" s="14"/>
    </row>
    <row r="595" ht="15.75" customHeight="1">
      <c r="A595" s="7"/>
      <c r="B595" s="8"/>
      <c r="C595" s="8"/>
      <c r="D595" s="8"/>
      <c r="E595" s="8"/>
      <c r="F595" s="14"/>
      <c r="G595" s="8"/>
      <c r="H595" s="8"/>
      <c r="I595" s="9"/>
      <c r="J595" s="12" t="str">
        <f t="array" ref="J595:K595">IFERROR(INDEX(PRECIOS_COMPLEMENTOS!$C$4:$F$17,MATCH(D595&amp;"_"&amp;E595,PRECIOS_COMPLEMENTOS!$H$4:$H$17,0),IF(OR(H595="S",H595="20cm"),1,IF(OR(H595="M",H595="25cm"),2,IF(OR(H595="L",H595="30cm"),3,IF(OR(H595="XL",H595="35cm"),4,0))))),0)</f>
        <v>#REF!</v>
      </c>
      <c r="K595" s="12">
        <f t="shared" si="1"/>
        <v>0</v>
      </c>
      <c r="L595" s="13">
        <f>IFERROR(IF(C595="",0,IF(D595="PRETINA",SUMIFS($I$4:$I$594,$C$4:$C$594,C595,$D$4:$D$594,D595,$E$4:$E$594,E595,$F$4:$F$594,F595,$G$4:$G$594,G595,$H$4:$H$594,H595,$B$4:$B$594,"INGRESO")+SUMIFS($I$4:$I$594,$C$4:$C$594,C595,$D$4:$D$594,D595,$E$4:$E$594,E595,$F$4:$F$594,F595,$G$4:$G$594,G595,$H$4:$H$594,H595,$B$4:$B$594,"DE CORTE")-SUMIFS($I$4:$I$594,$C$4:$C$594,C595,$D$4:$D$594,D595,$E$4:$E$594,E595,$F$4:$F$594,F595,$G$4:$G$594,G595,$H$4:$H$594,H595,$B$4:$B$594,"SALIDA"),SUMIFS($I$4:$I$594,$C$4:$C$594,C595,$D$4:$D$594,D595,$E$4:$E$594,E595,$G$4:$G$594,G595,$H$4:$H$594,H595,$B$4:$B$594,"INGRESO")+SUMIFS($I$4:$I$594,$C$4:$C$594,C595,$D$4:$D$594,D595,$E$4:$E$594,E595,$G$4:$G$594,G595,$H$4:$H$594,H595,$B$4:$B$594,"DE CORTE")-SUMIFS($I$4:$I$594,$C$4:$C$594,C595,$D$4:$D$594,D595,$E$4:$E$594,E595,$G$4:$G$594,G595,$H$4:$H$594,H595,$B$4:$B$594,"SALIDA"))),0)</f>
        <v>0</v>
      </c>
      <c r="M595" s="13">
        <f t="shared" si="2"/>
        <v>0</v>
      </c>
      <c r="N595" s="14"/>
      <c r="O595" s="14"/>
      <c r="P595" s="15"/>
      <c r="Q595" s="14"/>
    </row>
    <row r="596" ht="15.75" customHeight="1">
      <c r="A596" s="7"/>
      <c r="B596" s="8"/>
      <c r="C596" s="8"/>
      <c r="D596" s="8"/>
      <c r="E596" s="8"/>
      <c r="F596" s="14"/>
      <c r="G596" s="8"/>
      <c r="H596" s="8"/>
      <c r="I596" s="9"/>
      <c r="J596" s="12" t="str">
        <f t="array" ref="J596:K596">IFERROR(INDEX(PRECIOS_COMPLEMENTOS!$C$4:$F$17,MATCH(D596&amp;"_"&amp;E596,PRECIOS_COMPLEMENTOS!$H$4:$H$17,0),IF(OR(H596="S",H596="20cm"),1,IF(OR(H596="M",H596="25cm"),2,IF(OR(H596="L",H596="30cm"),3,IF(OR(H596="XL",H596="35cm"),4,0))))),0)</f>
        <v>#REF!</v>
      </c>
      <c r="K596" s="12">
        <f t="shared" si="1"/>
        <v>0</v>
      </c>
      <c r="L596" s="13">
        <f>IFERROR(IF(C596="",0,IF(D596="PRETINA",SUMIFS($I$4:$I$595,$C$4:$C$595,C596,$D$4:$D$595,D596,$E$4:$E$595,E596,$F$4:$F$595,F596,$G$4:$G$595,G596,$H$4:$H$595,H596,$B$4:$B$595,"INGRESO")+SUMIFS($I$4:$I$595,$C$4:$C$595,C596,$D$4:$D$595,D596,$E$4:$E$595,E596,$F$4:$F$595,F596,$G$4:$G$595,G596,$H$4:$H$595,H596,$B$4:$B$595,"DE CORTE")-SUMIFS($I$4:$I$595,$C$4:$C$595,C596,$D$4:$D$595,D596,$E$4:$E$595,E596,$F$4:$F$595,F596,$G$4:$G$595,G596,$H$4:$H$595,H596,$B$4:$B$595,"SALIDA"),SUMIFS($I$4:$I$595,$C$4:$C$595,C596,$D$4:$D$595,D596,$E$4:$E$595,E596,$G$4:$G$595,G596,$H$4:$H$595,H596,$B$4:$B$595,"INGRESO")+SUMIFS($I$4:$I$595,$C$4:$C$595,C596,$D$4:$D$595,D596,$E$4:$E$595,E596,$G$4:$G$595,G596,$H$4:$H$595,H596,$B$4:$B$595,"DE CORTE")-SUMIFS($I$4:$I$595,$C$4:$C$595,C596,$D$4:$D$595,D596,$E$4:$E$595,E596,$G$4:$G$595,G596,$H$4:$H$595,H596,$B$4:$B$595,"SALIDA"))),0)</f>
        <v>0</v>
      </c>
      <c r="M596" s="13">
        <f t="shared" si="2"/>
        <v>0</v>
      </c>
      <c r="N596" s="14"/>
      <c r="O596" s="14"/>
      <c r="P596" s="15"/>
      <c r="Q596" s="14"/>
    </row>
    <row r="597" ht="15.75" customHeight="1">
      <c r="A597" s="7"/>
      <c r="B597" s="8"/>
      <c r="C597" s="8"/>
      <c r="D597" s="8"/>
      <c r="E597" s="8"/>
      <c r="F597" s="14"/>
      <c r="G597" s="8"/>
      <c r="H597" s="8"/>
      <c r="I597" s="9"/>
      <c r="J597" s="12" t="str">
        <f t="array" ref="J597:K597">IFERROR(INDEX(PRECIOS_COMPLEMENTOS!$C$4:$F$17,MATCH(D597&amp;"_"&amp;E597,PRECIOS_COMPLEMENTOS!$H$4:$H$17,0),IF(OR(H597="S",H597="20cm"),1,IF(OR(H597="M",H597="25cm"),2,IF(OR(H597="L",H597="30cm"),3,IF(OR(H597="XL",H597="35cm"),4,0))))),0)</f>
        <v>#REF!</v>
      </c>
      <c r="K597" s="12">
        <f t="shared" si="1"/>
        <v>0</v>
      </c>
      <c r="L597" s="13">
        <f>IFERROR(IF(C597="",0,IF(D597="PRETINA",SUMIFS($I$4:$I$596,$C$4:$C$596,C597,$D$4:$D$596,D597,$E$4:$E$596,E597,$F$4:$F$596,F597,$G$4:$G$596,G597,$H$4:$H$596,H597,$B$4:$B$596,"INGRESO")+SUMIFS($I$4:$I$596,$C$4:$C$596,C597,$D$4:$D$596,D597,$E$4:$E$596,E597,$F$4:$F$596,F597,$G$4:$G$596,G597,$H$4:$H$596,H597,$B$4:$B$596,"DE CORTE")-SUMIFS($I$4:$I$596,$C$4:$C$596,C597,$D$4:$D$596,D597,$E$4:$E$596,E597,$F$4:$F$596,F597,$G$4:$G$596,G597,$H$4:$H$596,H597,$B$4:$B$596,"SALIDA"),SUMIFS($I$4:$I$596,$C$4:$C$596,C597,$D$4:$D$596,D597,$E$4:$E$596,E597,$G$4:$G$596,G597,$H$4:$H$596,H597,$B$4:$B$596,"INGRESO")+SUMIFS($I$4:$I$596,$C$4:$C$596,C597,$D$4:$D$596,D597,$E$4:$E$596,E597,$G$4:$G$596,G597,$H$4:$H$596,H597,$B$4:$B$596,"DE CORTE")-SUMIFS($I$4:$I$596,$C$4:$C$596,C597,$D$4:$D$596,D597,$E$4:$E$596,E597,$G$4:$G$596,G597,$H$4:$H$596,H597,$B$4:$B$596,"SALIDA"))),0)</f>
        <v>0</v>
      </c>
      <c r="M597" s="13">
        <f t="shared" si="2"/>
        <v>0</v>
      </c>
      <c r="N597" s="14"/>
      <c r="O597" s="14"/>
      <c r="P597" s="15"/>
      <c r="Q597" s="14"/>
    </row>
    <row r="598" ht="15.75" customHeight="1">
      <c r="A598" s="7"/>
      <c r="B598" s="8"/>
      <c r="C598" s="8"/>
      <c r="D598" s="8"/>
      <c r="E598" s="8"/>
      <c r="F598" s="14"/>
      <c r="G598" s="8"/>
      <c r="H598" s="8"/>
      <c r="I598" s="9"/>
      <c r="J598" s="12" t="str">
        <f t="array" ref="J598:K598">IFERROR(INDEX(PRECIOS_COMPLEMENTOS!$C$4:$F$17,MATCH(D598&amp;"_"&amp;E598,PRECIOS_COMPLEMENTOS!$H$4:$H$17,0),IF(OR(H598="S",H598="20cm"),1,IF(OR(H598="M",H598="25cm"),2,IF(OR(H598="L",H598="30cm"),3,IF(OR(H598="XL",H598="35cm"),4,0))))),0)</f>
        <v>#REF!</v>
      </c>
      <c r="K598" s="12">
        <f t="shared" si="1"/>
        <v>0</v>
      </c>
      <c r="L598" s="13">
        <f>IFERROR(IF(C598="",0,IF(D598="PRETINA",SUMIFS($I$4:$I$597,$C$4:$C$597,C598,$D$4:$D$597,D598,$E$4:$E$597,E598,$F$4:$F$597,F598,$G$4:$G$597,G598,$H$4:$H$597,H598,$B$4:$B$597,"INGRESO")+SUMIFS($I$4:$I$597,$C$4:$C$597,C598,$D$4:$D$597,D598,$E$4:$E$597,E598,$F$4:$F$597,F598,$G$4:$G$597,G598,$H$4:$H$597,H598,$B$4:$B$597,"DE CORTE")-SUMIFS($I$4:$I$597,$C$4:$C$597,C598,$D$4:$D$597,D598,$E$4:$E$597,E598,$F$4:$F$597,F598,$G$4:$G$597,G598,$H$4:$H$597,H598,$B$4:$B$597,"SALIDA"),SUMIFS($I$4:$I$597,$C$4:$C$597,C598,$D$4:$D$597,D598,$E$4:$E$597,E598,$G$4:$G$597,G598,$H$4:$H$597,H598,$B$4:$B$597,"INGRESO")+SUMIFS($I$4:$I$597,$C$4:$C$597,C598,$D$4:$D$597,D598,$E$4:$E$597,E598,$G$4:$G$597,G598,$H$4:$H$597,H598,$B$4:$B$597,"DE CORTE")-SUMIFS($I$4:$I$597,$C$4:$C$597,C598,$D$4:$D$597,D598,$E$4:$E$597,E598,$G$4:$G$597,G598,$H$4:$H$597,H598,$B$4:$B$597,"SALIDA"))),0)</f>
        <v>0</v>
      </c>
      <c r="M598" s="13">
        <f t="shared" si="2"/>
        <v>0</v>
      </c>
      <c r="N598" s="14"/>
      <c r="O598" s="14"/>
      <c r="P598" s="15"/>
      <c r="Q598" s="14"/>
    </row>
    <row r="599" ht="15.75" customHeight="1">
      <c r="A599" s="7"/>
      <c r="B599" s="8"/>
      <c r="C599" s="8"/>
      <c r="D599" s="8"/>
      <c r="E599" s="8"/>
      <c r="F599" s="14"/>
      <c r="G599" s="8"/>
      <c r="H599" s="8"/>
      <c r="I599" s="9"/>
      <c r="J599" s="12" t="str">
        <f t="array" ref="J599:K599">IFERROR(INDEX(PRECIOS_COMPLEMENTOS!$C$4:$F$17,MATCH(D599&amp;"_"&amp;E599,PRECIOS_COMPLEMENTOS!$H$4:$H$17,0),IF(OR(H599="S",H599="20cm"),1,IF(OR(H599="M",H599="25cm"),2,IF(OR(H599="L",H599="30cm"),3,IF(OR(H599="XL",H599="35cm"),4,0))))),0)</f>
        <v>#REF!</v>
      </c>
      <c r="K599" s="12">
        <f t="shared" si="1"/>
        <v>0</v>
      </c>
      <c r="L599" s="13">
        <f>IFERROR(IF(C599="",0,IF(D599="PRETINA",SUMIFS($I$4:$I$598,$C$4:$C$598,C599,$D$4:$D$598,D599,$E$4:$E$598,E599,$F$4:$F$598,F599,$G$4:$G$598,G599,$H$4:$H$598,H599,$B$4:$B$598,"INGRESO")+SUMIFS($I$4:$I$598,$C$4:$C$598,C599,$D$4:$D$598,D599,$E$4:$E$598,E599,$F$4:$F$598,F599,$G$4:$G$598,G599,$H$4:$H$598,H599,$B$4:$B$598,"DE CORTE")-SUMIFS($I$4:$I$598,$C$4:$C$598,C599,$D$4:$D$598,D599,$E$4:$E$598,E599,$F$4:$F$598,F599,$G$4:$G$598,G599,$H$4:$H$598,H599,$B$4:$B$598,"SALIDA"),SUMIFS($I$4:$I$598,$C$4:$C$598,C599,$D$4:$D$598,D599,$E$4:$E$598,E599,$G$4:$G$598,G599,$H$4:$H$598,H599,$B$4:$B$598,"INGRESO")+SUMIFS($I$4:$I$598,$C$4:$C$598,C599,$D$4:$D$598,D599,$E$4:$E$598,E599,$G$4:$G$598,G599,$H$4:$H$598,H599,$B$4:$B$598,"DE CORTE")-SUMIFS($I$4:$I$598,$C$4:$C$598,C599,$D$4:$D$598,D599,$E$4:$E$598,E599,$G$4:$G$598,G599,$H$4:$H$598,H599,$B$4:$B$598,"SALIDA"))),0)</f>
        <v>0</v>
      </c>
      <c r="M599" s="13">
        <f t="shared" si="2"/>
        <v>0</v>
      </c>
      <c r="N599" s="14"/>
      <c r="O599" s="14"/>
      <c r="P599" s="15"/>
      <c r="Q599" s="14"/>
    </row>
    <row r="600" ht="15.75" customHeight="1">
      <c r="A600" s="7"/>
      <c r="B600" s="8"/>
      <c r="C600" s="8"/>
      <c r="D600" s="8"/>
      <c r="E600" s="8"/>
      <c r="F600" s="14"/>
      <c r="G600" s="8"/>
      <c r="H600" s="8"/>
      <c r="I600" s="9"/>
      <c r="J600" s="12" t="str">
        <f t="array" ref="J600:K600">IFERROR(INDEX(PRECIOS_COMPLEMENTOS!$C$4:$F$17,MATCH(D600&amp;"_"&amp;E600,PRECIOS_COMPLEMENTOS!$H$4:$H$17,0),IF(OR(H600="S",H600="20cm"),1,IF(OR(H600="M",H600="25cm"),2,IF(OR(H600="L",H600="30cm"),3,IF(OR(H600="XL",H600="35cm"),4,0))))),0)</f>
        <v>#REF!</v>
      </c>
      <c r="K600" s="12">
        <f t="shared" si="1"/>
        <v>0</v>
      </c>
      <c r="L600" s="13">
        <f>IFERROR(IF(C600="",0,IF(D600="PRETINA",SUMIFS($I$4:$I$599,$C$4:$C$599,C600,$D$4:$D$599,D600,$E$4:$E$599,E600,$F$4:$F$599,F600,$G$4:$G$599,G600,$H$4:$H$599,H600,$B$4:$B$599,"INGRESO")+SUMIFS($I$4:$I$599,$C$4:$C$599,C600,$D$4:$D$599,D600,$E$4:$E$599,E600,$F$4:$F$599,F600,$G$4:$G$599,G600,$H$4:$H$599,H600,$B$4:$B$599,"DE CORTE")-SUMIFS($I$4:$I$599,$C$4:$C$599,C600,$D$4:$D$599,D600,$E$4:$E$599,E600,$F$4:$F$599,F600,$G$4:$G$599,G600,$H$4:$H$599,H600,$B$4:$B$599,"SALIDA"),SUMIFS($I$4:$I$599,$C$4:$C$599,C600,$D$4:$D$599,D600,$E$4:$E$599,E600,$G$4:$G$599,G600,$H$4:$H$599,H600,$B$4:$B$599,"INGRESO")+SUMIFS($I$4:$I$599,$C$4:$C$599,C600,$D$4:$D$599,D600,$E$4:$E$599,E600,$G$4:$G$599,G600,$H$4:$H$599,H600,$B$4:$B$599,"DE CORTE")-SUMIFS($I$4:$I$599,$C$4:$C$599,C600,$D$4:$D$599,D600,$E$4:$E$599,E600,$G$4:$G$599,G600,$H$4:$H$599,H600,$B$4:$B$599,"SALIDA"))),0)</f>
        <v>0</v>
      </c>
      <c r="M600" s="13">
        <f t="shared" si="2"/>
        <v>0</v>
      </c>
      <c r="N600" s="14"/>
      <c r="O600" s="14"/>
      <c r="P600" s="15"/>
      <c r="Q600" s="14"/>
    </row>
    <row r="601" ht="15.75" customHeight="1">
      <c r="A601" s="7"/>
      <c r="B601" s="8"/>
      <c r="C601" s="8"/>
      <c r="D601" s="8"/>
      <c r="E601" s="8"/>
      <c r="F601" s="14"/>
      <c r="G601" s="8"/>
      <c r="H601" s="8"/>
      <c r="I601" s="9"/>
      <c r="J601" s="12" t="str">
        <f t="array" ref="J601:K601">IFERROR(INDEX(PRECIOS_COMPLEMENTOS!$C$4:$F$17,MATCH(D601&amp;"_"&amp;E601,PRECIOS_COMPLEMENTOS!$H$4:$H$17,0),IF(OR(H601="S",H601="20cm"),1,IF(OR(H601="M",H601="25cm"),2,IF(OR(H601="L",H601="30cm"),3,IF(OR(H601="XL",H601="35cm"),4,0))))),0)</f>
        <v>#REF!</v>
      </c>
      <c r="K601" s="12">
        <f t="shared" si="1"/>
        <v>0</v>
      </c>
      <c r="L601" s="13">
        <f>IFERROR(IF(C601="",0,IF(D601="PRETINA",SUMIFS($I$4:$I$600,$C$4:$C$600,C601,$D$4:$D$600,D601,$E$4:$E$600,E601,$F$4:$F$600,F601,$G$4:$G$600,G601,$H$4:$H$600,H601,$B$4:$B$600,"INGRESO")+SUMIFS($I$4:$I$600,$C$4:$C$600,C601,$D$4:$D$600,D601,$E$4:$E$600,E601,$F$4:$F$600,F601,$G$4:$G$600,G601,$H$4:$H$600,H601,$B$4:$B$600,"DE CORTE")-SUMIFS($I$4:$I$600,$C$4:$C$600,C601,$D$4:$D$600,D601,$E$4:$E$600,E601,$F$4:$F$600,F601,$G$4:$G$600,G601,$H$4:$H$600,H601,$B$4:$B$600,"SALIDA"),SUMIFS($I$4:$I$600,$C$4:$C$600,C601,$D$4:$D$600,D601,$E$4:$E$600,E601,$G$4:$G$600,G601,$H$4:$H$600,H601,$B$4:$B$600,"INGRESO")+SUMIFS($I$4:$I$600,$C$4:$C$600,C601,$D$4:$D$600,D601,$E$4:$E$600,E601,$G$4:$G$600,G601,$H$4:$H$600,H601,$B$4:$B$600,"DE CORTE")-SUMIFS($I$4:$I$600,$C$4:$C$600,C601,$D$4:$D$600,D601,$E$4:$E$600,E601,$G$4:$G$600,G601,$H$4:$H$600,H601,$B$4:$B$600,"SALIDA"))),0)</f>
        <v>0</v>
      </c>
      <c r="M601" s="13">
        <f t="shared" si="2"/>
        <v>0</v>
      </c>
      <c r="N601" s="14"/>
      <c r="O601" s="14"/>
      <c r="P601" s="15"/>
      <c r="Q601" s="14"/>
    </row>
    <row r="602" ht="15.75" customHeight="1">
      <c r="A602" s="7"/>
      <c r="B602" s="8"/>
      <c r="C602" s="8"/>
      <c r="D602" s="8"/>
      <c r="E602" s="8"/>
      <c r="F602" s="14"/>
      <c r="G602" s="8"/>
      <c r="H602" s="8"/>
      <c r="I602" s="9"/>
      <c r="J602" s="12" t="str">
        <f t="array" ref="J602:K602">IFERROR(INDEX(PRECIOS_COMPLEMENTOS!$C$4:$F$17,MATCH(D602&amp;"_"&amp;E602,PRECIOS_COMPLEMENTOS!$H$4:$H$17,0),IF(OR(H602="S",H602="20cm"),1,IF(OR(H602="M",H602="25cm"),2,IF(OR(H602="L",H602="30cm"),3,IF(OR(H602="XL",H602="35cm"),4,0))))),0)</f>
        <v>#REF!</v>
      </c>
      <c r="K602" s="12">
        <f t="shared" si="1"/>
        <v>0</v>
      </c>
      <c r="L602" s="13">
        <f>IFERROR(IF(C602="",0,IF(D602="PRETINA",SUMIFS($I$4:$I$601,$C$4:$C$601,C602,$D$4:$D$601,D602,$E$4:$E$601,E602,$F$4:$F$601,F602,$G$4:$G$601,G602,$H$4:$H$601,H602,$B$4:$B$601,"INGRESO")+SUMIFS($I$4:$I$601,$C$4:$C$601,C602,$D$4:$D$601,D602,$E$4:$E$601,E602,$F$4:$F$601,F602,$G$4:$G$601,G602,$H$4:$H$601,H602,$B$4:$B$601,"DE CORTE")-SUMIFS($I$4:$I$601,$C$4:$C$601,C602,$D$4:$D$601,D602,$E$4:$E$601,E602,$F$4:$F$601,F602,$G$4:$G$601,G602,$H$4:$H$601,H602,$B$4:$B$601,"SALIDA"),SUMIFS($I$4:$I$601,$C$4:$C$601,C602,$D$4:$D$601,D602,$E$4:$E$601,E602,$G$4:$G$601,G602,$H$4:$H$601,H602,$B$4:$B$601,"INGRESO")+SUMIFS($I$4:$I$601,$C$4:$C$601,C602,$D$4:$D$601,D602,$E$4:$E$601,E602,$G$4:$G$601,G602,$H$4:$H$601,H602,$B$4:$B$601,"DE CORTE")-SUMIFS($I$4:$I$601,$C$4:$C$601,C602,$D$4:$D$601,D602,$E$4:$E$601,E602,$G$4:$G$601,G602,$H$4:$H$601,H602,$B$4:$B$601,"SALIDA"))),0)</f>
        <v>0</v>
      </c>
      <c r="M602" s="13">
        <f t="shared" si="2"/>
        <v>0</v>
      </c>
      <c r="N602" s="14"/>
      <c r="O602" s="14"/>
      <c r="P602" s="15"/>
      <c r="Q602" s="14"/>
    </row>
    <row r="603" ht="15.75" customHeight="1">
      <c r="A603" s="7"/>
      <c r="B603" s="8"/>
      <c r="C603" s="8"/>
      <c r="D603" s="8"/>
      <c r="E603" s="8"/>
      <c r="F603" s="14"/>
      <c r="G603" s="8"/>
      <c r="H603" s="8"/>
      <c r="I603" s="9"/>
      <c r="J603" s="12" t="str">
        <f t="array" ref="J603:K603">IFERROR(INDEX(PRECIOS_COMPLEMENTOS!$C$4:$F$17,MATCH(D603&amp;"_"&amp;E603,PRECIOS_COMPLEMENTOS!$H$4:$H$17,0),IF(OR(H603="S",H603="20cm"),1,IF(OR(H603="M",H603="25cm"),2,IF(OR(H603="L",H603="30cm"),3,IF(OR(H603="XL",H603="35cm"),4,0))))),0)</f>
        <v>#REF!</v>
      </c>
      <c r="K603" s="12">
        <f t="shared" si="1"/>
        <v>0</v>
      </c>
      <c r="L603" s="13">
        <f>IFERROR(IF(C603="",0,IF(D603="PRETINA",SUMIFS($I$4:$I$602,$C$4:$C$602,C603,$D$4:$D$602,D603,$E$4:$E$602,E603,$F$4:$F$602,F603,$G$4:$G$602,G603,$H$4:$H$602,H603,$B$4:$B$602,"INGRESO")+SUMIFS($I$4:$I$602,$C$4:$C$602,C603,$D$4:$D$602,D603,$E$4:$E$602,E603,$F$4:$F$602,F603,$G$4:$G$602,G603,$H$4:$H$602,H603,$B$4:$B$602,"DE CORTE")-SUMIFS($I$4:$I$602,$C$4:$C$602,C603,$D$4:$D$602,D603,$E$4:$E$602,E603,$F$4:$F$602,F603,$G$4:$G$602,G603,$H$4:$H$602,H603,$B$4:$B$602,"SALIDA"),SUMIFS($I$4:$I$602,$C$4:$C$602,C603,$D$4:$D$602,D603,$E$4:$E$602,E603,$G$4:$G$602,G603,$H$4:$H$602,H603,$B$4:$B$602,"INGRESO")+SUMIFS($I$4:$I$602,$C$4:$C$602,C603,$D$4:$D$602,D603,$E$4:$E$602,E603,$G$4:$G$602,G603,$H$4:$H$602,H603,$B$4:$B$602,"DE CORTE")-SUMIFS($I$4:$I$602,$C$4:$C$602,C603,$D$4:$D$602,D603,$E$4:$E$602,E603,$G$4:$G$602,G603,$H$4:$H$602,H603,$B$4:$B$602,"SALIDA"))),0)</f>
        <v>0</v>
      </c>
      <c r="M603" s="13">
        <f t="shared" si="2"/>
        <v>0</v>
      </c>
      <c r="N603" s="14"/>
      <c r="O603" s="14"/>
      <c r="P603" s="15"/>
      <c r="Q603" s="14"/>
    </row>
    <row r="604" ht="15.75" customHeight="1">
      <c r="A604" s="7"/>
      <c r="B604" s="8"/>
      <c r="C604" s="8"/>
      <c r="D604" s="8"/>
      <c r="E604" s="8"/>
      <c r="F604" s="14"/>
      <c r="G604" s="8"/>
      <c r="H604" s="8"/>
      <c r="I604" s="9"/>
      <c r="J604" s="12" t="str">
        <f t="array" ref="J604:K604">IFERROR(INDEX(PRECIOS_COMPLEMENTOS!$C$4:$F$17,MATCH(D604&amp;"_"&amp;E604,PRECIOS_COMPLEMENTOS!$H$4:$H$17,0),IF(OR(H604="S",H604="20cm"),1,IF(OR(H604="M",H604="25cm"),2,IF(OR(H604="L",H604="30cm"),3,IF(OR(H604="XL",H604="35cm"),4,0))))),0)</f>
        <v>#REF!</v>
      </c>
      <c r="K604" s="12">
        <f t="shared" si="1"/>
        <v>0</v>
      </c>
      <c r="L604" s="13">
        <f>IFERROR(IF(C604="",0,IF(D604="PRETINA",SUMIFS($I$4:$I$603,$C$4:$C$603,C604,$D$4:$D$603,D604,$E$4:$E$603,E604,$F$4:$F$603,F604,$G$4:$G$603,G604,$H$4:$H$603,H604,$B$4:$B$603,"INGRESO")+SUMIFS($I$4:$I$603,$C$4:$C$603,C604,$D$4:$D$603,D604,$E$4:$E$603,E604,$F$4:$F$603,F604,$G$4:$G$603,G604,$H$4:$H$603,H604,$B$4:$B$603,"DE CORTE")-SUMIFS($I$4:$I$603,$C$4:$C$603,C604,$D$4:$D$603,D604,$E$4:$E$603,E604,$F$4:$F$603,F604,$G$4:$G$603,G604,$H$4:$H$603,H604,$B$4:$B$603,"SALIDA"),SUMIFS($I$4:$I$603,$C$4:$C$603,C604,$D$4:$D$603,D604,$E$4:$E$603,E604,$G$4:$G$603,G604,$H$4:$H$603,H604,$B$4:$B$603,"INGRESO")+SUMIFS($I$4:$I$603,$C$4:$C$603,C604,$D$4:$D$603,D604,$E$4:$E$603,E604,$G$4:$G$603,G604,$H$4:$H$603,H604,$B$4:$B$603,"DE CORTE")-SUMIFS($I$4:$I$603,$C$4:$C$603,C604,$D$4:$D$603,D604,$E$4:$E$603,E604,$G$4:$G$603,G604,$H$4:$H$603,H604,$B$4:$B$603,"SALIDA"))),0)</f>
        <v>0</v>
      </c>
      <c r="M604" s="13">
        <f t="shared" si="2"/>
        <v>0</v>
      </c>
      <c r="N604" s="14"/>
      <c r="O604" s="14"/>
      <c r="P604" s="15"/>
      <c r="Q604" s="14"/>
    </row>
    <row r="605" ht="15.75" customHeight="1">
      <c r="A605" s="7"/>
      <c r="B605" s="8"/>
      <c r="C605" s="8"/>
      <c r="D605" s="8"/>
      <c r="E605" s="8"/>
      <c r="F605" s="14"/>
      <c r="G605" s="8"/>
      <c r="H605" s="8"/>
      <c r="I605" s="9"/>
      <c r="J605" s="12" t="str">
        <f t="array" ref="J605:K605">IFERROR(INDEX(PRECIOS_COMPLEMENTOS!$C$4:$F$17,MATCH(D605&amp;"_"&amp;E605,PRECIOS_COMPLEMENTOS!$H$4:$H$17,0),IF(OR(H605="S",H605="20cm"),1,IF(OR(H605="M",H605="25cm"),2,IF(OR(H605="L",H605="30cm"),3,IF(OR(H605="XL",H605="35cm"),4,0))))),0)</f>
        <v>#REF!</v>
      </c>
      <c r="K605" s="12">
        <f t="shared" si="1"/>
        <v>0</v>
      </c>
      <c r="L605" s="13">
        <f>IFERROR(IF(C605="",0,IF(D605="PRETINA",SUMIFS($I$4:$I$604,$C$4:$C$604,C605,$D$4:$D$604,D605,$E$4:$E$604,E605,$F$4:$F$604,F605,$G$4:$G$604,G605,$H$4:$H$604,H605,$B$4:$B$604,"INGRESO")+SUMIFS($I$4:$I$604,$C$4:$C$604,C605,$D$4:$D$604,D605,$E$4:$E$604,E605,$F$4:$F$604,F605,$G$4:$G$604,G605,$H$4:$H$604,H605,$B$4:$B$604,"DE CORTE")-SUMIFS($I$4:$I$604,$C$4:$C$604,C605,$D$4:$D$604,D605,$E$4:$E$604,E605,$F$4:$F$604,F605,$G$4:$G$604,G605,$H$4:$H$604,H605,$B$4:$B$604,"SALIDA"),SUMIFS($I$4:$I$604,$C$4:$C$604,C605,$D$4:$D$604,D605,$E$4:$E$604,E605,$G$4:$G$604,G605,$H$4:$H$604,H605,$B$4:$B$604,"INGRESO")+SUMIFS($I$4:$I$604,$C$4:$C$604,C605,$D$4:$D$604,D605,$E$4:$E$604,E605,$G$4:$G$604,G605,$H$4:$H$604,H605,$B$4:$B$604,"DE CORTE")-SUMIFS($I$4:$I$604,$C$4:$C$604,C605,$D$4:$D$604,D605,$E$4:$E$604,E605,$G$4:$G$604,G605,$H$4:$H$604,H605,$B$4:$B$604,"SALIDA"))),0)</f>
        <v>0</v>
      </c>
      <c r="M605" s="13">
        <f t="shared" si="2"/>
        <v>0</v>
      </c>
      <c r="N605" s="14"/>
      <c r="O605" s="14"/>
      <c r="P605" s="15"/>
      <c r="Q605" s="14"/>
    </row>
    <row r="606" ht="15.75" customHeight="1">
      <c r="A606" s="7"/>
      <c r="B606" s="8"/>
      <c r="C606" s="8"/>
      <c r="D606" s="8"/>
      <c r="E606" s="8"/>
      <c r="F606" s="14"/>
      <c r="G606" s="8"/>
      <c r="H606" s="8"/>
      <c r="I606" s="9"/>
      <c r="J606" s="12" t="str">
        <f t="array" ref="J606:K606">IFERROR(INDEX(PRECIOS_COMPLEMENTOS!$C$4:$F$17,MATCH(D606&amp;"_"&amp;E606,PRECIOS_COMPLEMENTOS!$H$4:$H$17,0),IF(OR(H606="S",H606="20cm"),1,IF(OR(H606="M",H606="25cm"),2,IF(OR(H606="L",H606="30cm"),3,IF(OR(H606="XL",H606="35cm"),4,0))))),0)</f>
        <v>#REF!</v>
      </c>
      <c r="K606" s="12">
        <f t="shared" si="1"/>
        <v>0</v>
      </c>
      <c r="L606" s="13">
        <f>IFERROR(IF(C606="",0,IF(D606="PRETINA",SUMIFS($I$4:$I$605,$C$4:$C$605,C606,$D$4:$D$605,D606,$E$4:$E$605,E606,$F$4:$F$605,F606,$G$4:$G$605,G606,$H$4:$H$605,H606,$B$4:$B$605,"INGRESO")+SUMIFS($I$4:$I$605,$C$4:$C$605,C606,$D$4:$D$605,D606,$E$4:$E$605,E606,$F$4:$F$605,F606,$G$4:$G$605,G606,$H$4:$H$605,H606,$B$4:$B$605,"DE CORTE")-SUMIFS($I$4:$I$605,$C$4:$C$605,C606,$D$4:$D$605,D606,$E$4:$E$605,E606,$F$4:$F$605,F606,$G$4:$G$605,G606,$H$4:$H$605,H606,$B$4:$B$605,"SALIDA"),SUMIFS($I$4:$I$605,$C$4:$C$605,C606,$D$4:$D$605,D606,$E$4:$E$605,E606,$G$4:$G$605,G606,$H$4:$H$605,H606,$B$4:$B$605,"INGRESO")+SUMIFS($I$4:$I$605,$C$4:$C$605,C606,$D$4:$D$605,D606,$E$4:$E$605,E606,$G$4:$G$605,G606,$H$4:$H$605,H606,$B$4:$B$605,"DE CORTE")-SUMIFS($I$4:$I$605,$C$4:$C$605,C606,$D$4:$D$605,D606,$E$4:$E$605,E606,$G$4:$G$605,G606,$H$4:$H$605,H606,$B$4:$B$605,"SALIDA"))),0)</f>
        <v>0</v>
      </c>
      <c r="M606" s="13">
        <f t="shared" si="2"/>
        <v>0</v>
      </c>
      <c r="N606" s="14"/>
      <c r="O606" s="14"/>
      <c r="P606" s="15"/>
      <c r="Q606" s="14"/>
    </row>
    <row r="607" ht="15.75" customHeight="1">
      <c r="A607" s="7"/>
      <c r="B607" s="8"/>
      <c r="C607" s="8"/>
      <c r="D607" s="8"/>
      <c r="E607" s="8"/>
      <c r="F607" s="14"/>
      <c r="G607" s="8"/>
      <c r="H607" s="8"/>
      <c r="I607" s="9"/>
      <c r="J607" s="12" t="str">
        <f t="array" ref="J607:K607">IFERROR(INDEX(PRECIOS_COMPLEMENTOS!$C$4:$F$17,MATCH(D607&amp;"_"&amp;E607,PRECIOS_COMPLEMENTOS!$H$4:$H$17,0),IF(OR(H607="S",H607="20cm"),1,IF(OR(H607="M",H607="25cm"),2,IF(OR(H607="L",H607="30cm"),3,IF(OR(H607="XL",H607="35cm"),4,0))))),0)</f>
        <v>#REF!</v>
      </c>
      <c r="K607" s="12">
        <f t="shared" si="1"/>
        <v>0</v>
      </c>
      <c r="L607" s="13">
        <f>IFERROR(IF(C607="",0,IF(D607="PRETINA",SUMIFS($I$4:$I$606,$C$4:$C$606,C607,$D$4:$D$606,D607,$E$4:$E$606,E607,$F$4:$F$606,F607,$G$4:$G$606,G607,$H$4:$H$606,H607,$B$4:$B$606,"INGRESO")+SUMIFS($I$4:$I$606,$C$4:$C$606,C607,$D$4:$D$606,D607,$E$4:$E$606,E607,$F$4:$F$606,F607,$G$4:$G$606,G607,$H$4:$H$606,H607,$B$4:$B$606,"DE CORTE")-SUMIFS($I$4:$I$606,$C$4:$C$606,C607,$D$4:$D$606,D607,$E$4:$E$606,E607,$F$4:$F$606,F607,$G$4:$G$606,G607,$H$4:$H$606,H607,$B$4:$B$606,"SALIDA"),SUMIFS($I$4:$I$606,$C$4:$C$606,C607,$D$4:$D$606,D607,$E$4:$E$606,E607,$G$4:$G$606,G607,$H$4:$H$606,H607,$B$4:$B$606,"INGRESO")+SUMIFS($I$4:$I$606,$C$4:$C$606,C607,$D$4:$D$606,D607,$E$4:$E$606,E607,$G$4:$G$606,G607,$H$4:$H$606,H607,$B$4:$B$606,"DE CORTE")-SUMIFS($I$4:$I$606,$C$4:$C$606,C607,$D$4:$D$606,D607,$E$4:$E$606,E607,$G$4:$G$606,G607,$H$4:$H$606,H607,$B$4:$B$606,"SALIDA"))),0)</f>
        <v>0</v>
      </c>
      <c r="M607" s="13">
        <f t="shared" si="2"/>
        <v>0</v>
      </c>
      <c r="N607" s="14"/>
      <c r="O607" s="14"/>
      <c r="P607" s="15"/>
      <c r="Q607" s="14"/>
    </row>
    <row r="608" ht="15.75" customHeight="1">
      <c r="A608" s="7"/>
      <c r="B608" s="8"/>
      <c r="C608" s="8"/>
      <c r="D608" s="8"/>
      <c r="E608" s="8"/>
      <c r="F608" s="14"/>
      <c r="G608" s="8"/>
      <c r="H608" s="8"/>
      <c r="I608" s="9"/>
      <c r="J608" s="12" t="str">
        <f t="array" ref="J608:K608">IFERROR(INDEX(PRECIOS_COMPLEMENTOS!$C$4:$F$17,MATCH(D608&amp;"_"&amp;E608,PRECIOS_COMPLEMENTOS!$H$4:$H$17,0),IF(OR(H608="S",H608="20cm"),1,IF(OR(H608="M",H608="25cm"),2,IF(OR(H608="L",H608="30cm"),3,IF(OR(H608="XL",H608="35cm"),4,0))))),0)</f>
        <v>#REF!</v>
      </c>
      <c r="K608" s="12">
        <f t="shared" si="1"/>
        <v>0</v>
      </c>
      <c r="L608" s="13">
        <f>IFERROR(IF(C608="",0,IF(D608="PRETINA",SUMIFS($I$4:$I$607,$C$4:$C$607,C608,$D$4:$D$607,D608,$E$4:$E$607,E608,$F$4:$F$607,F608,$G$4:$G$607,G608,$H$4:$H$607,H608,$B$4:$B$607,"INGRESO")+SUMIFS($I$4:$I$607,$C$4:$C$607,C608,$D$4:$D$607,D608,$E$4:$E$607,E608,$F$4:$F$607,F608,$G$4:$G$607,G608,$H$4:$H$607,H608,$B$4:$B$607,"DE CORTE")-SUMIFS($I$4:$I$607,$C$4:$C$607,C608,$D$4:$D$607,D608,$E$4:$E$607,E608,$F$4:$F$607,F608,$G$4:$G$607,G608,$H$4:$H$607,H608,$B$4:$B$607,"SALIDA"),SUMIFS($I$4:$I$607,$C$4:$C$607,C608,$D$4:$D$607,D608,$E$4:$E$607,E608,$G$4:$G$607,G608,$H$4:$H$607,H608,$B$4:$B$607,"INGRESO")+SUMIFS($I$4:$I$607,$C$4:$C$607,C608,$D$4:$D$607,D608,$E$4:$E$607,E608,$G$4:$G$607,G608,$H$4:$H$607,H608,$B$4:$B$607,"DE CORTE")-SUMIFS($I$4:$I$607,$C$4:$C$607,C608,$D$4:$D$607,D608,$E$4:$E$607,E608,$G$4:$G$607,G608,$H$4:$H$607,H608,$B$4:$B$607,"SALIDA"))),0)</f>
        <v>0</v>
      </c>
      <c r="M608" s="13">
        <f t="shared" si="2"/>
        <v>0</v>
      </c>
      <c r="N608" s="14"/>
      <c r="O608" s="14"/>
      <c r="P608" s="15"/>
      <c r="Q608" s="14"/>
    </row>
    <row r="609" ht="15.75" customHeight="1">
      <c r="A609" s="7"/>
      <c r="B609" s="8"/>
      <c r="C609" s="8"/>
      <c r="D609" s="8"/>
      <c r="E609" s="8"/>
      <c r="F609" s="14"/>
      <c r="G609" s="8"/>
      <c r="H609" s="8"/>
      <c r="I609" s="9"/>
      <c r="J609" s="12" t="str">
        <f t="array" ref="J609:K609">IFERROR(INDEX(PRECIOS_COMPLEMENTOS!$C$4:$F$17,MATCH(D609&amp;"_"&amp;E609,PRECIOS_COMPLEMENTOS!$H$4:$H$17,0),IF(OR(H609="S",H609="20cm"),1,IF(OR(H609="M",H609="25cm"),2,IF(OR(H609="L",H609="30cm"),3,IF(OR(H609="XL",H609="35cm"),4,0))))),0)</f>
        <v>#REF!</v>
      </c>
      <c r="K609" s="12">
        <f t="shared" si="1"/>
        <v>0</v>
      </c>
      <c r="L609" s="13">
        <f>IFERROR(IF(C609="",0,IF(D609="PRETINA",SUMIFS($I$4:$I$608,$C$4:$C$608,C609,$D$4:$D$608,D609,$E$4:$E$608,E609,$F$4:$F$608,F609,$G$4:$G$608,G609,$H$4:$H$608,H609,$B$4:$B$608,"INGRESO")+SUMIFS($I$4:$I$608,$C$4:$C$608,C609,$D$4:$D$608,D609,$E$4:$E$608,E609,$F$4:$F$608,F609,$G$4:$G$608,G609,$H$4:$H$608,H609,$B$4:$B$608,"DE CORTE")-SUMIFS($I$4:$I$608,$C$4:$C$608,C609,$D$4:$D$608,D609,$E$4:$E$608,E609,$F$4:$F$608,F609,$G$4:$G$608,G609,$H$4:$H$608,H609,$B$4:$B$608,"SALIDA"),SUMIFS($I$4:$I$608,$C$4:$C$608,C609,$D$4:$D$608,D609,$E$4:$E$608,E609,$G$4:$G$608,G609,$H$4:$H$608,H609,$B$4:$B$608,"INGRESO")+SUMIFS($I$4:$I$608,$C$4:$C$608,C609,$D$4:$D$608,D609,$E$4:$E$608,E609,$G$4:$G$608,G609,$H$4:$H$608,H609,$B$4:$B$608,"DE CORTE")-SUMIFS($I$4:$I$608,$C$4:$C$608,C609,$D$4:$D$608,D609,$E$4:$E$608,E609,$G$4:$G$608,G609,$H$4:$H$608,H609,$B$4:$B$608,"SALIDA"))),0)</f>
        <v>0</v>
      </c>
      <c r="M609" s="13">
        <f t="shared" si="2"/>
        <v>0</v>
      </c>
      <c r="N609" s="14"/>
      <c r="O609" s="14"/>
      <c r="P609" s="15"/>
      <c r="Q609" s="14"/>
    </row>
    <row r="610" ht="15.75" customHeight="1">
      <c r="A610" s="7"/>
      <c r="B610" s="8"/>
      <c r="C610" s="8"/>
      <c r="D610" s="8"/>
      <c r="E610" s="8"/>
      <c r="F610" s="14"/>
      <c r="G610" s="8"/>
      <c r="H610" s="8"/>
      <c r="I610" s="9"/>
      <c r="J610" s="12" t="str">
        <f t="array" ref="J610:K610">IFERROR(INDEX(PRECIOS_COMPLEMENTOS!$C$4:$F$17,MATCH(D610&amp;"_"&amp;E610,PRECIOS_COMPLEMENTOS!$H$4:$H$17,0),IF(OR(H610="S",H610="20cm"),1,IF(OR(H610="M",H610="25cm"),2,IF(OR(H610="L",H610="30cm"),3,IF(OR(H610="XL",H610="35cm"),4,0))))),0)</f>
        <v>#REF!</v>
      </c>
      <c r="K610" s="12">
        <f t="shared" si="1"/>
        <v>0</v>
      </c>
      <c r="L610" s="13">
        <f>IFERROR(IF(C610="",0,IF(D610="PRETINA",SUMIFS($I$4:$I$609,$C$4:$C$609,C610,$D$4:$D$609,D610,$E$4:$E$609,E610,$F$4:$F$609,F610,$G$4:$G$609,G610,$H$4:$H$609,H610,$B$4:$B$609,"INGRESO")+SUMIFS($I$4:$I$609,$C$4:$C$609,C610,$D$4:$D$609,D610,$E$4:$E$609,E610,$F$4:$F$609,F610,$G$4:$G$609,G610,$H$4:$H$609,H610,$B$4:$B$609,"DE CORTE")-SUMIFS($I$4:$I$609,$C$4:$C$609,C610,$D$4:$D$609,D610,$E$4:$E$609,E610,$F$4:$F$609,F610,$G$4:$G$609,G610,$H$4:$H$609,H610,$B$4:$B$609,"SALIDA"),SUMIFS($I$4:$I$609,$C$4:$C$609,C610,$D$4:$D$609,D610,$E$4:$E$609,E610,$G$4:$G$609,G610,$H$4:$H$609,H610,$B$4:$B$609,"INGRESO")+SUMIFS($I$4:$I$609,$C$4:$C$609,C610,$D$4:$D$609,D610,$E$4:$E$609,E610,$G$4:$G$609,G610,$H$4:$H$609,H610,$B$4:$B$609,"DE CORTE")-SUMIFS($I$4:$I$609,$C$4:$C$609,C610,$D$4:$D$609,D610,$E$4:$E$609,E610,$G$4:$G$609,G610,$H$4:$H$609,H610,$B$4:$B$609,"SALIDA"))),0)</f>
        <v>0</v>
      </c>
      <c r="M610" s="13">
        <f t="shared" si="2"/>
        <v>0</v>
      </c>
      <c r="N610" s="14"/>
      <c r="O610" s="14"/>
      <c r="P610" s="15"/>
      <c r="Q610" s="14"/>
    </row>
    <row r="611" ht="15.75" customHeight="1">
      <c r="A611" s="7"/>
      <c r="B611" s="8"/>
      <c r="C611" s="8"/>
      <c r="D611" s="8"/>
      <c r="E611" s="8"/>
      <c r="F611" s="14"/>
      <c r="G611" s="8"/>
      <c r="H611" s="8"/>
      <c r="I611" s="9"/>
      <c r="J611" s="12" t="str">
        <f t="array" ref="J611:K611">IFERROR(INDEX(PRECIOS_COMPLEMENTOS!$C$4:$F$17,MATCH(D611&amp;"_"&amp;E611,PRECIOS_COMPLEMENTOS!$H$4:$H$17,0),IF(OR(H611="S",H611="20cm"),1,IF(OR(H611="M",H611="25cm"),2,IF(OR(H611="L",H611="30cm"),3,IF(OR(H611="XL",H611="35cm"),4,0))))),0)</f>
        <v>#REF!</v>
      </c>
      <c r="K611" s="12">
        <f t="shared" si="1"/>
        <v>0</v>
      </c>
      <c r="L611" s="13">
        <f>IFERROR(IF(C611="",0,IF(D611="PRETINA",SUMIFS($I$4:$I$610,$C$4:$C$610,C611,$D$4:$D$610,D611,$E$4:$E$610,E611,$F$4:$F$610,F611,$G$4:$G$610,G611,$H$4:$H$610,H611,$B$4:$B$610,"INGRESO")+SUMIFS($I$4:$I$610,$C$4:$C$610,C611,$D$4:$D$610,D611,$E$4:$E$610,E611,$F$4:$F$610,F611,$G$4:$G$610,G611,$H$4:$H$610,H611,$B$4:$B$610,"DE CORTE")-SUMIFS($I$4:$I$610,$C$4:$C$610,C611,$D$4:$D$610,D611,$E$4:$E$610,E611,$F$4:$F$610,F611,$G$4:$G$610,G611,$H$4:$H$610,H611,$B$4:$B$610,"SALIDA"),SUMIFS($I$4:$I$610,$C$4:$C$610,C611,$D$4:$D$610,D611,$E$4:$E$610,E611,$G$4:$G$610,G611,$H$4:$H$610,H611,$B$4:$B$610,"INGRESO")+SUMIFS($I$4:$I$610,$C$4:$C$610,C611,$D$4:$D$610,D611,$E$4:$E$610,E611,$G$4:$G$610,G611,$H$4:$H$610,H611,$B$4:$B$610,"DE CORTE")-SUMIFS($I$4:$I$610,$C$4:$C$610,C611,$D$4:$D$610,D611,$E$4:$E$610,E611,$G$4:$G$610,G611,$H$4:$H$610,H611,$B$4:$B$610,"SALIDA"))),0)</f>
        <v>0</v>
      </c>
      <c r="M611" s="13">
        <f t="shared" si="2"/>
        <v>0</v>
      </c>
      <c r="N611" s="14"/>
      <c r="O611" s="14"/>
      <c r="P611" s="15"/>
      <c r="Q611" s="14"/>
    </row>
    <row r="612" ht="15.75" customHeight="1">
      <c r="A612" s="7"/>
      <c r="B612" s="8"/>
      <c r="C612" s="8"/>
      <c r="D612" s="8"/>
      <c r="E612" s="8"/>
      <c r="F612" s="14"/>
      <c r="G612" s="8"/>
      <c r="H612" s="8"/>
      <c r="I612" s="9"/>
      <c r="J612" s="12" t="str">
        <f t="array" ref="J612:K612">IFERROR(INDEX(PRECIOS_COMPLEMENTOS!$C$4:$F$17,MATCH(D612&amp;"_"&amp;E612,PRECIOS_COMPLEMENTOS!$H$4:$H$17,0),IF(OR(H612="S",H612="20cm"),1,IF(OR(H612="M",H612="25cm"),2,IF(OR(H612="L",H612="30cm"),3,IF(OR(H612="XL",H612="35cm"),4,0))))),0)</f>
        <v>#REF!</v>
      </c>
      <c r="K612" s="12">
        <f t="shared" si="1"/>
        <v>0</v>
      </c>
      <c r="L612" s="13">
        <f>IFERROR(IF(C612="",0,IF(D612="PRETINA",SUMIFS($I$4:$I$611,$C$4:$C$611,C612,$D$4:$D$611,D612,$E$4:$E$611,E612,$F$4:$F$611,F612,$G$4:$G$611,G612,$H$4:$H$611,H612,$B$4:$B$611,"INGRESO")+SUMIFS($I$4:$I$611,$C$4:$C$611,C612,$D$4:$D$611,D612,$E$4:$E$611,E612,$F$4:$F$611,F612,$G$4:$G$611,G612,$H$4:$H$611,H612,$B$4:$B$611,"DE CORTE")-SUMIFS($I$4:$I$611,$C$4:$C$611,C612,$D$4:$D$611,D612,$E$4:$E$611,E612,$F$4:$F$611,F612,$G$4:$G$611,G612,$H$4:$H$611,H612,$B$4:$B$611,"SALIDA"),SUMIFS($I$4:$I$611,$C$4:$C$611,C612,$D$4:$D$611,D612,$E$4:$E$611,E612,$G$4:$G$611,G612,$H$4:$H$611,H612,$B$4:$B$611,"INGRESO")+SUMIFS($I$4:$I$611,$C$4:$C$611,C612,$D$4:$D$611,D612,$E$4:$E$611,E612,$G$4:$G$611,G612,$H$4:$H$611,H612,$B$4:$B$611,"DE CORTE")-SUMIFS($I$4:$I$611,$C$4:$C$611,C612,$D$4:$D$611,D612,$E$4:$E$611,E612,$G$4:$G$611,G612,$H$4:$H$611,H612,$B$4:$B$611,"SALIDA"))),0)</f>
        <v>0</v>
      </c>
      <c r="M612" s="13">
        <f t="shared" si="2"/>
        <v>0</v>
      </c>
      <c r="N612" s="14"/>
      <c r="O612" s="14"/>
      <c r="P612" s="15"/>
      <c r="Q612" s="14"/>
    </row>
    <row r="613" ht="15.75" customHeight="1">
      <c r="A613" s="7"/>
      <c r="B613" s="8"/>
      <c r="C613" s="8"/>
      <c r="D613" s="8"/>
      <c r="E613" s="8"/>
      <c r="F613" s="14"/>
      <c r="G613" s="8"/>
      <c r="H613" s="8"/>
      <c r="I613" s="9"/>
      <c r="J613" s="12" t="str">
        <f t="array" ref="J613:K613">IFERROR(INDEX(PRECIOS_COMPLEMENTOS!$C$4:$F$17,MATCH(D613&amp;"_"&amp;E613,PRECIOS_COMPLEMENTOS!$H$4:$H$17,0),IF(OR(H613="S",H613="20cm"),1,IF(OR(H613="M",H613="25cm"),2,IF(OR(H613="L",H613="30cm"),3,IF(OR(H613="XL",H613="35cm"),4,0))))),0)</f>
        <v>#REF!</v>
      </c>
      <c r="K613" s="12">
        <f t="shared" si="1"/>
        <v>0</v>
      </c>
      <c r="L613" s="13">
        <f>IFERROR(IF(C613="",0,IF(D613="PRETINA",SUMIFS($I$4:$I$612,$C$4:$C$612,C613,$D$4:$D$612,D613,$E$4:$E$612,E613,$F$4:$F$612,F613,$G$4:$G$612,G613,$H$4:$H$612,H613,$B$4:$B$612,"INGRESO")+SUMIFS($I$4:$I$612,$C$4:$C$612,C613,$D$4:$D$612,D613,$E$4:$E$612,E613,$F$4:$F$612,F613,$G$4:$G$612,G613,$H$4:$H$612,H613,$B$4:$B$612,"DE CORTE")-SUMIFS($I$4:$I$612,$C$4:$C$612,C613,$D$4:$D$612,D613,$E$4:$E$612,E613,$F$4:$F$612,F613,$G$4:$G$612,G613,$H$4:$H$612,H613,$B$4:$B$612,"SALIDA"),SUMIFS($I$4:$I$612,$C$4:$C$612,C613,$D$4:$D$612,D613,$E$4:$E$612,E613,$G$4:$G$612,G613,$H$4:$H$612,H613,$B$4:$B$612,"INGRESO")+SUMIFS($I$4:$I$612,$C$4:$C$612,C613,$D$4:$D$612,D613,$E$4:$E$612,E613,$G$4:$G$612,G613,$H$4:$H$612,H613,$B$4:$B$612,"DE CORTE")-SUMIFS($I$4:$I$612,$C$4:$C$612,C613,$D$4:$D$612,D613,$E$4:$E$612,E613,$G$4:$G$612,G613,$H$4:$H$612,H613,$B$4:$B$612,"SALIDA"))),0)</f>
        <v>0</v>
      </c>
      <c r="M613" s="13">
        <f t="shared" si="2"/>
        <v>0</v>
      </c>
      <c r="N613" s="14"/>
      <c r="O613" s="14"/>
      <c r="P613" s="15"/>
      <c r="Q613" s="14"/>
    </row>
    <row r="614" ht="15.75" customHeight="1">
      <c r="A614" s="7"/>
      <c r="B614" s="8"/>
      <c r="C614" s="8"/>
      <c r="D614" s="8"/>
      <c r="E614" s="8"/>
      <c r="F614" s="14"/>
      <c r="G614" s="8"/>
      <c r="H614" s="8"/>
      <c r="I614" s="9"/>
      <c r="J614" s="12" t="str">
        <f t="array" ref="J614:K614">IFERROR(INDEX(PRECIOS_COMPLEMENTOS!$C$4:$F$17,MATCH(D614&amp;"_"&amp;E614,PRECIOS_COMPLEMENTOS!$H$4:$H$17,0),IF(OR(H614="S",H614="20cm"),1,IF(OR(H614="M",H614="25cm"),2,IF(OR(H614="L",H614="30cm"),3,IF(OR(H614="XL",H614="35cm"),4,0))))),0)</f>
        <v>#REF!</v>
      </c>
      <c r="K614" s="12">
        <f t="shared" si="1"/>
        <v>0</v>
      </c>
      <c r="L614" s="13">
        <f>IFERROR(IF(C614="",0,IF(D614="PRETINA",SUMIFS($I$4:$I$613,$C$4:$C$613,C614,$D$4:$D$613,D614,$E$4:$E$613,E614,$F$4:$F$613,F614,$G$4:$G$613,G614,$H$4:$H$613,H614,$B$4:$B$613,"INGRESO")+SUMIFS($I$4:$I$613,$C$4:$C$613,C614,$D$4:$D$613,D614,$E$4:$E$613,E614,$F$4:$F$613,F614,$G$4:$G$613,G614,$H$4:$H$613,H614,$B$4:$B$613,"DE CORTE")-SUMIFS($I$4:$I$613,$C$4:$C$613,C614,$D$4:$D$613,D614,$E$4:$E$613,E614,$F$4:$F$613,F614,$G$4:$G$613,G614,$H$4:$H$613,H614,$B$4:$B$613,"SALIDA"),SUMIFS($I$4:$I$613,$C$4:$C$613,C614,$D$4:$D$613,D614,$E$4:$E$613,E614,$G$4:$G$613,G614,$H$4:$H$613,H614,$B$4:$B$613,"INGRESO")+SUMIFS($I$4:$I$613,$C$4:$C$613,C614,$D$4:$D$613,D614,$E$4:$E$613,E614,$G$4:$G$613,G614,$H$4:$H$613,H614,$B$4:$B$613,"DE CORTE")-SUMIFS($I$4:$I$613,$C$4:$C$613,C614,$D$4:$D$613,D614,$E$4:$E$613,E614,$G$4:$G$613,G614,$H$4:$H$613,H614,$B$4:$B$613,"SALIDA"))),0)</f>
        <v>0</v>
      </c>
      <c r="M614" s="13">
        <f t="shared" si="2"/>
        <v>0</v>
      </c>
      <c r="N614" s="14"/>
      <c r="O614" s="14"/>
      <c r="P614" s="15"/>
      <c r="Q614" s="14"/>
    </row>
    <row r="615" ht="15.75" customHeight="1">
      <c r="A615" s="7"/>
      <c r="B615" s="8"/>
      <c r="C615" s="8"/>
      <c r="D615" s="8"/>
      <c r="E615" s="8"/>
      <c r="F615" s="14"/>
      <c r="G615" s="8"/>
      <c r="H615" s="8"/>
      <c r="I615" s="9"/>
      <c r="J615" s="12" t="str">
        <f t="array" ref="J615:K615">IFERROR(INDEX(PRECIOS_COMPLEMENTOS!$C$4:$F$17,MATCH(D615&amp;"_"&amp;E615,PRECIOS_COMPLEMENTOS!$H$4:$H$17,0),IF(OR(H615="S",H615="20cm"),1,IF(OR(H615="M",H615="25cm"),2,IF(OR(H615="L",H615="30cm"),3,IF(OR(H615="XL",H615="35cm"),4,0))))),0)</f>
        <v>#REF!</v>
      </c>
      <c r="K615" s="12">
        <f t="shared" si="1"/>
        <v>0</v>
      </c>
      <c r="L615" s="13">
        <f>IFERROR(IF(C615="",0,IF(D615="PRETINA",SUMIFS($I$4:$I$614,$C$4:$C$614,C615,$D$4:$D$614,D615,$E$4:$E$614,E615,$F$4:$F$614,F615,$G$4:$G$614,G615,$H$4:$H$614,H615,$B$4:$B$614,"INGRESO")+SUMIFS($I$4:$I$614,$C$4:$C$614,C615,$D$4:$D$614,D615,$E$4:$E$614,E615,$F$4:$F$614,F615,$G$4:$G$614,G615,$H$4:$H$614,H615,$B$4:$B$614,"DE CORTE")-SUMIFS($I$4:$I$614,$C$4:$C$614,C615,$D$4:$D$614,D615,$E$4:$E$614,E615,$F$4:$F$614,F615,$G$4:$G$614,G615,$H$4:$H$614,H615,$B$4:$B$614,"SALIDA"),SUMIFS($I$4:$I$614,$C$4:$C$614,C615,$D$4:$D$614,D615,$E$4:$E$614,E615,$G$4:$G$614,G615,$H$4:$H$614,H615,$B$4:$B$614,"INGRESO")+SUMIFS($I$4:$I$614,$C$4:$C$614,C615,$D$4:$D$614,D615,$E$4:$E$614,E615,$G$4:$G$614,G615,$H$4:$H$614,H615,$B$4:$B$614,"DE CORTE")-SUMIFS($I$4:$I$614,$C$4:$C$614,C615,$D$4:$D$614,D615,$E$4:$E$614,E615,$G$4:$G$614,G615,$H$4:$H$614,H615,$B$4:$B$614,"SALIDA"))),0)</f>
        <v>0</v>
      </c>
      <c r="M615" s="13">
        <f t="shared" si="2"/>
        <v>0</v>
      </c>
      <c r="N615" s="14"/>
      <c r="O615" s="14"/>
      <c r="P615" s="15"/>
      <c r="Q615" s="14"/>
    </row>
    <row r="616" ht="15.75" customHeight="1">
      <c r="A616" s="7"/>
      <c r="B616" s="8"/>
      <c r="C616" s="8"/>
      <c r="D616" s="8"/>
      <c r="E616" s="8"/>
      <c r="F616" s="14"/>
      <c r="G616" s="8"/>
      <c r="H616" s="8"/>
      <c r="I616" s="9"/>
      <c r="J616" s="12" t="str">
        <f t="array" ref="J616:K616">IFERROR(INDEX(PRECIOS_COMPLEMENTOS!$C$4:$F$17,MATCH(D616&amp;"_"&amp;E616,PRECIOS_COMPLEMENTOS!$H$4:$H$17,0),IF(OR(H616="S",H616="20cm"),1,IF(OR(H616="M",H616="25cm"),2,IF(OR(H616="L",H616="30cm"),3,IF(OR(H616="XL",H616="35cm"),4,0))))),0)</f>
        <v>#REF!</v>
      </c>
      <c r="K616" s="12">
        <f t="shared" si="1"/>
        <v>0</v>
      </c>
      <c r="L616" s="13">
        <f>IFERROR(IF(C616="",0,IF(D616="PRETINA",SUMIFS($I$4:$I$615,$C$4:$C$615,C616,$D$4:$D$615,D616,$E$4:$E$615,E616,$F$4:$F$615,F616,$G$4:$G$615,G616,$H$4:$H$615,H616,$B$4:$B$615,"INGRESO")+SUMIFS($I$4:$I$615,$C$4:$C$615,C616,$D$4:$D$615,D616,$E$4:$E$615,E616,$F$4:$F$615,F616,$G$4:$G$615,G616,$H$4:$H$615,H616,$B$4:$B$615,"DE CORTE")-SUMIFS($I$4:$I$615,$C$4:$C$615,C616,$D$4:$D$615,D616,$E$4:$E$615,E616,$F$4:$F$615,F616,$G$4:$G$615,G616,$H$4:$H$615,H616,$B$4:$B$615,"SALIDA"),SUMIFS($I$4:$I$615,$C$4:$C$615,C616,$D$4:$D$615,D616,$E$4:$E$615,E616,$G$4:$G$615,G616,$H$4:$H$615,H616,$B$4:$B$615,"INGRESO")+SUMIFS($I$4:$I$615,$C$4:$C$615,C616,$D$4:$D$615,D616,$E$4:$E$615,E616,$G$4:$G$615,G616,$H$4:$H$615,H616,$B$4:$B$615,"DE CORTE")-SUMIFS($I$4:$I$615,$C$4:$C$615,C616,$D$4:$D$615,D616,$E$4:$E$615,E616,$G$4:$G$615,G616,$H$4:$H$615,H616,$B$4:$B$615,"SALIDA"))),0)</f>
        <v>0</v>
      </c>
      <c r="M616" s="13">
        <f t="shared" si="2"/>
        <v>0</v>
      </c>
      <c r="N616" s="14"/>
      <c r="O616" s="14"/>
      <c r="P616" s="15"/>
      <c r="Q616" s="14"/>
    </row>
    <row r="617" ht="15.75" customHeight="1">
      <c r="A617" s="7"/>
      <c r="B617" s="8"/>
      <c r="C617" s="8"/>
      <c r="D617" s="8"/>
      <c r="E617" s="8"/>
      <c r="F617" s="14"/>
      <c r="G617" s="8"/>
      <c r="H617" s="8"/>
      <c r="I617" s="9"/>
      <c r="J617" s="12" t="str">
        <f t="array" ref="J617:K617">IFERROR(INDEX(PRECIOS_COMPLEMENTOS!$C$4:$F$17,MATCH(D617&amp;"_"&amp;E617,PRECIOS_COMPLEMENTOS!$H$4:$H$17,0),IF(OR(H617="S",H617="20cm"),1,IF(OR(H617="M",H617="25cm"),2,IF(OR(H617="L",H617="30cm"),3,IF(OR(H617="XL",H617="35cm"),4,0))))),0)</f>
        <v>#REF!</v>
      </c>
      <c r="K617" s="12">
        <f t="shared" si="1"/>
        <v>0</v>
      </c>
      <c r="L617" s="13">
        <f>IFERROR(IF(C617="",0,IF(D617="PRETINA",SUMIFS($I$4:$I$616,$C$4:$C$616,C617,$D$4:$D$616,D617,$E$4:$E$616,E617,$F$4:$F$616,F617,$G$4:$G$616,G617,$H$4:$H$616,H617,$B$4:$B$616,"INGRESO")+SUMIFS($I$4:$I$616,$C$4:$C$616,C617,$D$4:$D$616,D617,$E$4:$E$616,E617,$F$4:$F$616,F617,$G$4:$G$616,G617,$H$4:$H$616,H617,$B$4:$B$616,"DE CORTE")-SUMIFS($I$4:$I$616,$C$4:$C$616,C617,$D$4:$D$616,D617,$E$4:$E$616,E617,$F$4:$F$616,F617,$G$4:$G$616,G617,$H$4:$H$616,H617,$B$4:$B$616,"SALIDA"),SUMIFS($I$4:$I$616,$C$4:$C$616,C617,$D$4:$D$616,D617,$E$4:$E$616,E617,$G$4:$G$616,G617,$H$4:$H$616,H617,$B$4:$B$616,"INGRESO")+SUMIFS($I$4:$I$616,$C$4:$C$616,C617,$D$4:$D$616,D617,$E$4:$E$616,E617,$G$4:$G$616,G617,$H$4:$H$616,H617,$B$4:$B$616,"DE CORTE")-SUMIFS($I$4:$I$616,$C$4:$C$616,C617,$D$4:$D$616,D617,$E$4:$E$616,E617,$G$4:$G$616,G617,$H$4:$H$616,H617,$B$4:$B$616,"SALIDA"))),0)</f>
        <v>0</v>
      </c>
      <c r="M617" s="13">
        <f t="shared" si="2"/>
        <v>0</v>
      </c>
      <c r="N617" s="14"/>
      <c r="O617" s="14"/>
      <c r="P617" s="15"/>
      <c r="Q617" s="14"/>
    </row>
    <row r="618" ht="15.75" customHeight="1">
      <c r="A618" s="7"/>
      <c r="B618" s="8"/>
      <c r="C618" s="8"/>
      <c r="D618" s="8"/>
      <c r="E618" s="8"/>
      <c r="F618" s="14"/>
      <c r="G618" s="8"/>
      <c r="H618" s="8"/>
      <c r="I618" s="9"/>
      <c r="J618" s="12" t="str">
        <f t="array" ref="J618:K618">IFERROR(INDEX(PRECIOS_COMPLEMENTOS!$C$4:$F$17,MATCH(D618&amp;"_"&amp;E618,PRECIOS_COMPLEMENTOS!$H$4:$H$17,0),IF(OR(H618="S",H618="20cm"),1,IF(OR(H618="M",H618="25cm"),2,IF(OR(H618="L",H618="30cm"),3,IF(OR(H618="XL",H618="35cm"),4,0))))),0)</f>
        <v>#REF!</v>
      </c>
      <c r="K618" s="12">
        <f t="shared" si="1"/>
        <v>0</v>
      </c>
      <c r="L618" s="13">
        <f>IFERROR(IF(C618="",0,IF(D618="PRETINA",SUMIFS($I$4:$I$617,$C$4:$C$617,C618,$D$4:$D$617,D618,$E$4:$E$617,E618,$F$4:$F$617,F618,$G$4:$G$617,G618,$H$4:$H$617,H618,$B$4:$B$617,"INGRESO")+SUMIFS($I$4:$I$617,$C$4:$C$617,C618,$D$4:$D$617,D618,$E$4:$E$617,E618,$F$4:$F$617,F618,$G$4:$G$617,G618,$H$4:$H$617,H618,$B$4:$B$617,"DE CORTE")-SUMIFS($I$4:$I$617,$C$4:$C$617,C618,$D$4:$D$617,D618,$E$4:$E$617,E618,$F$4:$F$617,F618,$G$4:$G$617,G618,$H$4:$H$617,H618,$B$4:$B$617,"SALIDA"),SUMIFS($I$4:$I$617,$C$4:$C$617,C618,$D$4:$D$617,D618,$E$4:$E$617,E618,$G$4:$G$617,G618,$H$4:$H$617,H618,$B$4:$B$617,"INGRESO")+SUMIFS($I$4:$I$617,$C$4:$C$617,C618,$D$4:$D$617,D618,$E$4:$E$617,E618,$G$4:$G$617,G618,$H$4:$H$617,H618,$B$4:$B$617,"DE CORTE")-SUMIFS($I$4:$I$617,$C$4:$C$617,C618,$D$4:$D$617,D618,$E$4:$E$617,E618,$G$4:$G$617,G618,$H$4:$H$617,H618,$B$4:$B$617,"SALIDA"))),0)</f>
        <v>0</v>
      </c>
      <c r="M618" s="13">
        <f t="shared" si="2"/>
        <v>0</v>
      </c>
      <c r="N618" s="14"/>
      <c r="O618" s="14"/>
      <c r="P618" s="15"/>
      <c r="Q618" s="14"/>
    </row>
    <row r="619" ht="15.75" customHeight="1">
      <c r="A619" s="7"/>
      <c r="B619" s="8"/>
      <c r="C619" s="8"/>
      <c r="D619" s="8"/>
      <c r="E619" s="8"/>
      <c r="F619" s="14"/>
      <c r="G619" s="8"/>
      <c r="H619" s="8"/>
      <c r="I619" s="9"/>
      <c r="J619" s="12" t="str">
        <f t="array" ref="J619:K619">IFERROR(INDEX(PRECIOS_COMPLEMENTOS!$C$4:$F$17,MATCH(D619&amp;"_"&amp;E619,PRECIOS_COMPLEMENTOS!$H$4:$H$17,0),IF(OR(H619="S",H619="20cm"),1,IF(OR(H619="M",H619="25cm"),2,IF(OR(H619="L",H619="30cm"),3,IF(OR(H619="XL",H619="35cm"),4,0))))),0)</f>
        <v>#REF!</v>
      </c>
      <c r="K619" s="12">
        <f t="shared" si="1"/>
        <v>0</v>
      </c>
      <c r="L619" s="13">
        <f>IFERROR(IF(C619="",0,IF(D619="PRETINA",SUMIFS($I$4:$I$618,$C$4:$C$618,C619,$D$4:$D$618,D619,$E$4:$E$618,E619,$F$4:$F$618,F619,$G$4:$G$618,G619,$H$4:$H$618,H619,$B$4:$B$618,"INGRESO")+SUMIFS($I$4:$I$618,$C$4:$C$618,C619,$D$4:$D$618,D619,$E$4:$E$618,E619,$F$4:$F$618,F619,$G$4:$G$618,G619,$H$4:$H$618,H619,$B$4:$B$618,"DE CORTE")-SUMIFS($I$4:$I$618,$C$4:$C$618,C619,$D$4:$D$618,D619,$E$4:$E$618,E619,$F$4:$F$618,F619,$G$4:$G$618,G619,$H$4:$H$618,H619,$B$4:$B$618,"SALIDA"),SUMIFS($I$4:$I$618,$C$4:$C$618,C619,$D$4:$D$618,D619,$E$4:$E$618,E619,$G$4:$G$618,G619,$H$4:$H$618,H619,$B$4:$B$618,"INGRESO")+SUMIFS($I$4:$I$618,$C$4:$C$618,C619,$D$4:$D$618,D619,$E$4:$E$618,E619,$G$4:$G$618,G619,$H$4:$H$618,H619,$B$4:$B$618,"DE CORTE")-SUMIFS($I$4:$I$618,$C$4:$C$618,C619,$D$4:$D$618,D619,$E$4:$E$618,E619,$G$4:$G$618,G619,$H$4:$H$618,H619,$B$4:$B$618,"SALIDA"))),0)</f>
        <v>0</v>
      </c>
      <c r="M619" s="13">
        <f t="shared" si="2"/>
        <v>0</v>
      </c>
      <c r="N619" s="14"/>
      <c r="O619" s="14"/>
      <c r="P619" s="15"/>
      <c r="Q619" s="14"/>
    </row>
    <row r="620" ht="15.75" customHeight="1">
      <c r="A620" s="7"/>
      <c r="B620" s="8"/>
      <c r="C620" s="8"/>
      <c r="D620" s="8"/>
      <c r="E620" s="8"/>
      <c r="F620" s="14"/>
      <c r="G620" s="8"/>
      <c r="H620" s="8"/>
      <c r="I620" s="9"/>
      <c r="J620" s="12" t="str">
        <f t="array" ref="J620:K620">IFERROR(INDEX(PRECIOS_COMPLEMENTOS!$C$4:$F$17,MATCH(D620&amp;"_"&amp;E620,PRECIOS_COMPLEMENTOS!$H$4:$H$17,0),IF(OR(H620="S",H620="20cm"),1,IF(OR(H620="M",H620="25cm"),2,IF(OR(H620="L",H620="30cm"),3,IF(OR(H620="XL",H620="35cm"),4,0))))),0)</f>
        <v>#REF!</v>
      </c>
      <c r="K620" s="12">
        <f t="shared" si="1"/>
        <v>0</v>
      </c>
      <c r="L620" s="13">
        <f>IFERROR(IF(C620="",0,IF(D620="PRETINA",SUMIFS($I$4:$I$619,$C$4:$C$619,C620,$D$4:$D$619,D620,$E$4:$E$619,E620,$F$4:$F$619,F620,$G$4:$G$619,G620,$H$4:$H$619,H620,$B$4:$B$619,"INGRESO")+SUMIFS($I$4:$I$619,$C$4:$C$619,C620,$D$4:$D$619,D620,$E$4:$E$619,E620,$F$4:$F$619,F620,$G$4:$G$619,G620,$H$4:$H$619,H620,$B$4:$B$619,"DE CORTE")-SUMIFS($I$4:$I$619,$C$4:$C$619,C620,$D$4:$D$619,D620,$E$4:$E$619,E620,$F$4:$F$619,F620,$G$4:$G$619,G620,$H$4:$H$619,H620,$B$4:$B$619,"SALIDA"),SUMIFS($I$4:$I$619,$C$4:$C$619,C620,$D$4:$D$619,D620,$E$4:$E$619,E620,$G$4:$G$619,G620,$H$4:$H$619,H620,$B$4:$B$619,"INGRESO")+SUMIFS($I$4:$I$619,$C$4:$C$619,C620,$D$4:$D$619,D620,$E$4:$E$619,E620,$G$4:$G$619,G620,$H$4:$H$619,H620,$B$4:$B$619,"DE CORTE")-SUMIFS($I$4:$I$619,$C$4:$C$619,C620,$D$4:$D$619,D620,$E$4:$E$619,E620,$G$4:$G$619,G620,$H$4:$H$619,H620,$B$4:$B$619,"SALIDA"))),0)</f>
        <v>0</v>
      </c>
      <c r="M620" s="13">
        <f t="shared" si="2"/>
        <v>0</v>
      </c>
      <c r="N620" s="14"/>
      <c r="O620" s="14"/>
      <c r="P620" s="15"/>
      <c r="Q620" s="14"/>
    </row>
    <row r="621" ht="15.75" customHeight="1">
      <c r="A621" s="7"/>
      <c r="B621" s="8"/>
      <c r="C621" s="8"/>
      <c r="D621" s="8"/>
      <c r="E621" s="8"/>
      <c r="F621" s="14"/>
      <c r="G621" s="8"/>
      <c r="H621" s="8"/>
      <c r="I621" s="9"/>
      <c r="J621" s="12" t="str">
        <f t="array" ref="J621:K621">IFERROR(INDEX(PRECIOS_COMPLEMENTOS!$C$4:$F$17,MATCH(D621&amp;"_"&amp;E621,PRECIOS_COMPLEMENTOS!$H$4:$H$17,0),IF(OR(H621="S",H621="20cm"),1,IF(OR(H621="M",H621="25cm"),2,IF(OR(H621="L",H621="30cm"),3,IF(OR(H621="XL",H621="35cm"),4,0))))),0)</f>
        <v>#REF!</v>
      </c>
      <c r="K621" s="12">
        <f t="shared" si="1"/>
        <v>0</v>
      </c>
      <c r="L621" s="13">
        <f>IFERROR(IF(C621="",0,IF(D621="PRETINA",SUMIFS($I$4:$I$620,$C$4:$C$620,C621,$D$4:$D$620,D621,$E$4:$E$620,E621,$F$4:$F$620,F621,$G$4:$G$620,G621,$H$4:$H$620,H621,$B$4:$B$620,"INGRESO")+SUMIFS($I$4:$I$620,$C$4:$C$620,C621,$D$4:$D$620,D621,$E$4:$E$620,E621,$F$4:$F$620,F621,$G$4:$G$620,G621,$H$4:$H$620,H621,$B$4:$B$620,"DE CORTE")-SUMIFS($I$4:$I$620,$C$4:$C$620,C621,$D$4:$D$620,D621,$E$4:$E$620,E621,$F$4:$F$620,F621,$G$4:$G$620,G621,$H$4:$H$620,H621,$B$4:$B$620,"SALIDA"),SUMIFS($I$4:$I$620,$C$4:$C$620,C621,$D$4:$D$620,D621,$E$4:$E$620,E621,$G$4:$G$620,G621,$H$4:$H$620,H621,$B$4:$B$620,"INGRESO")+SUMIFS($I$4:$I$620,$C$4:$C$620,C621,$D$4:$D$620,D621,$E$4:$E$620,E621,$G$4:$G$620,G621,$H$4:$H$620,H621,$B$4:$B$620,"DE CORTE")-SUMIFS($I$4:$I$620,$C$4:$C$620,C621,$D$4:$D$620,D621,$E$4:$E$620,E621,$G$4:$G$620,G621,$H$4:$H$620,H621,$B$4:$B$620,"SALIDA"))),0)</f>
        <v>0</v>
      </c>
      <c r="M621" s="13">
        <f t="shared" si="2"/>
        <v>0</v>
      </c>
      <c r="N621" s="14"/>
      <c r="O621" s="14"/>
      <c r="P621" s="15"/>
      <c r="Q621" s="14"/>
    </row>
    <row r="622" ht="15.75" customHeight="1">
      <c r="A622" s="7"/>
      <c r="B622" s="8"/>
      <c r="C622" s="8"/>
      <c r="D622" s="8"/>
      <c r="E622" s="8"/>
      <c r="F622" s="14"/>
      <c r="G622" s="8"/>
      <c r="H622" s="8"/>
      <c r="I622" s="9"/>
      <c r="J622" s="12" t="str">
        <f t="array" ref="J622:K622">IFERROR(INDEX(PRECIOS_COMPLEMENTOS!$C$4:$F$17,MATCH(D622&amp;"_"&amp;E622,PRECIOS_COMPLEMENTOS!$H$4:$H$17,0),IF(OR(H622="S",H622="20cm"),1,IF(OR(H622="M",H622="25cm"),2,IF(OR(H622="L",H622="30cm"),3,IF(OR(H622="XL",H622="35cm"),4,0))))),0)</f>
        <v>#REF!</v>
      </c>
      <c r="K622" s="12">
        <f t="shared" si="1"/>
        <v>0</v>
      </c>
      <c r="L622" s="13">
        <f>IFERROR(IF(C622="",0,IF(D622="PRETINA",SUMIFS($I$4:$I$621,$C$4:$C$621,C622,$D$4:$D$621,D622,$E$4:$E$621,E622,$F$4:$F$621,F622,$G$4:$G$621,G622,$H$4:$H$621,H622,$B$4:$B$621,"INGRESO")+SUMIFS($I$4:$I$621,$C$4:$C$621,C622,$D$4:$D$621,D622,$E$4:$E$621,E622,$F$4:$F$621,F622,$G$4:$G$621,G622,$H$4:$H$621,H622,$B$4:$B$621,"DE CORTE")-SUMIFS($I$4:$I$621,$C$4:$C$621,C622,$D$4:$D$621,D622,$E$4:$E$621,E622,$F$4:$F$621,F622,$G$4:$G$621,G622,$H$4:$H$621,H622,$B$4:$B$621,"SALIDA"),SUMIFS($I$4:$I$621,$C$4:$C$621,C622,$D$4:$D$621,D622,$E$4:$E$621,E622,$G$4:$G$621,G622,$H$4:$H$621,H622,$B$4:$B$621,"INGRESO")+SUMIFS($I$4:$I$621,$C$4:$C$621,C622,$D$4:$D$621,D622,$E$4:$E$621,E622,$G$4:$G$621,G622,$H$4:$H$621,H622,$B$4:$B$621,"DE CORTE")-SUMIFS($I$4:$I$621,$C$4:$C$621,C622,$D$4:$D$621,D622,$E$4:$E$621,E622,$G$4:$G$621,G622,$H$4:$H$621,H622,$B$4:$B$621,"SALIDA"))),0)</f>
        <v>0</v>
      </c>
      <c r="M622" s="13">
        <f t="shared" si="2"/>
        <v>0</v>
      </c>
      <c r="N622" s="14"/>
      <c r="O622" s="14"/>
      <c r="P622" s="15"/>
      <c r="Q622" s="14"/>
    </row>
    <row r="623" ht="15.75" customHeight="1">
      <c r="A623" s="7"/>
      <c r="B623" s="8"/>
      <c r="C623" s="8"/>
      <c r="D623" s="8"/>
      <c r="E623" s="8"/>
      <c r="F623" s="14"/>
      <c r="G623" s="8"/>
      <c r="H623" s="8"/>
      <c r="I623" s="9"/>
      <c r="J623" s="12" t="str">
        <f t="array" ref="J623:K623">IFERROR(INDEX(PRECIOS_COMPLEMENTOS!$C$4:$F$17,MATCH(D623&amp;"_"&amp;E623,PRECIOS_COMPLEMENTOS!$H$4:$H$17,0),IF(OR(H623="S",H623="20cm"),1,IF(OR(H623="M",H623="25cm"),2,IF(OR(H623="L",H623="30cm"),3,IF(OR(H623="XL",H623="35cm"),4,0))))),0)</f>
        <v>#REF!</v>
      </c>
      <c r="K623" s="12">
        <f t="shared" si="1"/>
        <v>0</v>
      </c>
      <c r="L623" s="13">
        <f>IFERROR(IF(C623="",0,IF(D623="PRETINA",SUMIFS($I$4:$I$622,$C$4:$C$622,C623,$D$4:$D$622,D623,$E$4:$E$622,E623,$F$4:$F$622,F623,$G$4:$G$622,G623,$H$4:$H$622,H623,$B$4:$B$622,"INGRESO")+SUMIFS($I$4:$I$622,$C$4:$C$622,C623,$D$4:$D$622,D623,$E$4:$E$622,E623,$F$4:$F$622,F623,$G$4:$G$622,G623,$H$4:$H$622,H623,$B$4:$B$622,"DE CORTE")-SUMIFS($I$4:$I$622,$C$4:$C$622,C623,$D$4:$D$622,D623,$E$4:$E$622,E623,$F$4:$F$622,F623,$G$4:$G$622,G623,$H$4:$H$622,H623,$B$4:$B$622,"SALIDA"),SUMIFS($I$4:$I$622,$C$4:$C$622,C623,$D$4:$D$622,D623,$E$4:$E$622,E623,$G$4:$G$622,G623,$H$4:$H$622,H623,$B$4:$B$622,"INGRESO")+SUMIFS($I$4:$I$622,$C$4:$C$622,C623,$D$4:$D$622,D623,$E$4:$E$622,E623,$G$4:$G$622,G623,$H$4:$H$622,H623,$B$4:$B$622,"DE CORTE")-SUMIFS($I$4:$I$622,$C$4:$C$622,C623,$D$4:$D$622,D623,$E$4:$E$622,E623,$G$4:$G$622,G623,$H$4:$H$622,H623,$B$4:$B$622,"SALIDA"))),0)</f>
        <v>0</v>
      </c>
      <c r="M623" s="13">
        <f t="shared" si="2"/>
        <v>0</v>
      </c>
      <c r="N623" s="14"/>
      <c r="O623" s="14"/>
      <c r="P623" s="15"/>
      <c r="Q623" s="14"/>
    </row>
    <row r="624" ht="15.75" customHeight="1">
      <c r="A624" s="7"/>
      <c r="B624" s="8"/>
      <c r="C624" s="8"/>
      <c r="D624" s="8"/>
      <c r="E624" s="8"/>
      <c r="F624" s="14"/>
      <c r="G624" s="8"/>
      <c r="H624" s="8"/>
      <c r="I624" s="9"/>
      <c r="J624" s="12" t="str">
        <f t="array" ref="J624:K624">IFERROR(INDEX(PRECIOS_COMPLEMENTOS!$C$4:$F$17,MATCH(D624&amp;"_"&amp;E624,PRECIOS_COMPLEMENTOS!$H$4:$H$17,0),IF(OR(H624="S",H624="20cm"),1,IF(OR(H624="M",H624="25cm"),2,IF(OR(H624="L",H624="30cm"),3,IF(OR(H624="XL",H624="35cm"),4,0))))),0)</f>
        <v>#REF!</v>
      </c>
      <c r="K624" s="12">
        <f t="shared" si="1"/>
        <v>0</v>
      </c>
      <c r="L624" s="13">
        <f>IFERROR(IF(C624="",0,IF(D624="PRETINA",SUMIFS($I$4:$I$623,$C$4:$C$623,C624,$D$4:$D$623,D624,$E$4:$E$623,E624,$F$4:$F$623,F624,$G$4:$G$623,G624,$H$4:$H$623,H624,$B$4:$B$623,"INGRESO")+SUMIFS($I$4:$I$623,$C$4:$C$623,C624,$D$4:$D$623,D624,$E$4:$E$623,E624,$F$4:$F$623,F624,$G$4:$G$623,G624,$H$4:$H$623,H624,$B$4:$B$623,"DE CORTE")-SUMIFS($I$4:$I$623,$C$4:$C$623,C624,$D$4:$D$623,D624,$E$4:$E$623,E624,$F$4:$F$623,F624,$G$4:$G$623,G624,$H$4:$H$623,H624,$B$4:$B$623,"SALIDA"),SUMIFS($I$4:$I$623,$C$4:$C$623,C624,$D$4:$D$623,D624,$E$4:$E$623,E624,$G$4:$G$623,G624,$H$4:$H$623,H624,$B$4:$B$623,"INGRESO")+SUMIFS($I$4:$I$623,$C$4:$C$623,C624,$D$4:$D$623,D624,$E$4:$E$623,E624,$G$4:$G$623,G624,$H$4:$H$623,H624,$B$4:$B$623,"DE CORTE")-SUMIFS($I$4:$I$623,$C$4:$C$623,C624,$D$4:$D$623,D624,$E$4:$E$623,E624,$G$4:$G$623,G624,$H$4:$H$623,H624,$B$4:$B$623,"SALIDA"))),0)</f>
        <v>0</v>
      </c>
      <c r="M624" s="13">
        <f t="shared" si="2"/>
        <v>0</v>
      </c>
      <c r="N624" s="14"/>
      <c r="O624" s="14"/>
      <c r="P624" s="15"/>
      <c r="Q624" s="14"/>
    </row>
    <row r="625" ht="15.75" customHeight="1">
      <c r="A625" s="7"/>
      <c r="B625" s="8"/>
      <c r="C625" s="8"/>
      <c r="D625" s="8"/>
      <c r="E625" s="8"/>
      <c r="F625" s="14"/>
      <c r="G625" s="8"/>
      <c r="H625" s="8"/>
      <c r="I625" s="9"/>
      <c r="J625" s="12" t="str">
        <f t="array" ref="J625:K625">IFERROR(INDEX(PRECIOS_COMPLEMENTOS!$C$4:$F$17,MATCH(D625&amp;"_"&amp;E625,PRECIOS_COMPLEMENTOS!$H$4:$H$17,0),IF(OR(H625="S",H625="20cm"),1,IF(OR(H625="M",H625="25cm"),2,IF(OR(H625="L",H625="30cm"),3,IF(OR(H625="XL",H625="35cm"),4,0))))),0)</f>
        <v>#REF!</v>
      </c>
      <c r="K625" s="12">
        <f t="shared" si="1"/>
        <v>0</v>
      </c>
      <c r="L625" s="13">
        <f>IFERROR(IF(C625="",0,IF(D625="PRETINA",SUMIFS($I$4:$I$624,$C$4:$C$624,C625,$D$4:$D$624,D625,$E$4:$E$624,E625,$F$4:$F$624,F625,$G$4:$G$624,G625,$H$4:$H$624,H625,$B$4:$B$624,"INGRESO")+SUMIFS($I$4:$I$624,$C$4:$C$624,C625,$D$4:$D$624,D625,$E$4:$E$624,E625,$F$4:$F$624,F625,$G$4:$G$624,G625,$H$4:$H$624,H625,$B$4:$B$624,"DE CORTE")-SUMIFS($I$4:$I$624,$C$4:$C$624,C625,$D$4:$D$624,D625,$E$4:$E$624,E625,$F$4:$F$624,F625,$G$4:$G$624,G625,$H$4:$H$624,H625,$B$4:$B$624,"SALIDA"),SUMIFS($I$4:$I$624,$C$4:$C$624,C625,$D$4:$D$624,D625,$E$4:$E$624,E625,$G$4:$G$624,G625,$H$4:$H$624,H625,$B$4:$B$624,"INGRESO")+SUMIFS($I$4:$I$624,$C$4:$C$624,C625,$D$4:$D$624,D625,$E$4:$E$624,E625,$G$4:$G$624,G625,$H$4:$H$624,H625,$B$4:$B$624,"DE CORTE")-SUMIFS($I$4:$I$624,$C$4:$C$624,C625,$D$4:$D$624,D625,$E$4:$E$624,E625,$G$4:$G$624,G625,$H$4:$H$624,H625,$B$4:$B$624,"SALIDA"))),0)</f>
        <v>0</v>
      </c>
      <c r="M625" s="13">
        <f t="shared" si="2"/>
        <v>0</v>
      </c>
      <c r="N625" s="14"/>
      <c r="O625" s="14"/>
      <c r="P625" s="15"/>
      <c r="Q625" s="14"/>
    </row>
    <row r="626" ht="15.75" customHeight="1">
      <c r="A626" s="7"/>
      <c r="B626" s="8"/>
      <c r="C626" s="8"/>
      <c r="D626" s="8"/>
      <c r="E626" s="8"/>
      <c r="F626" s="14"/>
      <c r="G626" s="8"/>
      <c r="H626" s="8"/>
      <c r="I626" s="9"/>
      <c r="J626" s="12" t="str">
        <f t="array" ref="J626:K626">IFERROR(INDEX(PRECIOS_COMPLEMENTOS!$C$4:$F$17,MATCH(D626&amp;"_"&amp;E626,PRECIOS_COMPLEMENTOS!$H$4:$H$17,0),IF(OR(H626="S",H626="20cm"),1,IF(OR(H626="M",H626="25cm"),2,IF(OR(H626="L",H626="30cm"),3,IF(OR(H626="XL",H626="35cm"),4,0))))),0)</f>
        <v>#REF!</v>
      </c>
      <c r="K626" s="12">
        <f t="shared" si="1"/>
        <v>0</v>
      </c>
      <c r="L626" s="13">
        <f>IFERROR(IF(C626="",0,IF(D626="PRETINA",SUMIFS($I$4:$I$625,$C$4:$C$625,C626,$D$4:$D$625,D626,$E$4:$E$625,E626,$F$4:$F$625,F626,$G$4:$G$625,G626,$H$4:$H$625,H626,$B$4:$B$625,"INGRESO")+SUMIFS($I$4:$I$625,$C$4:$C$625,C626,$D$4:$D$625,D626,$E$4:$E$625,E626,$F$4:$F$625,F626,$G$4:$G$625,G626,$H$4:$H$625,H626,$B$4:$B$625,"DE CORTE")-SUMIFS($I$4:$I$625,$C$4:$C$625,C626,$D$4:$D$625,D626,$E$4:$E$625,E626,$F$4:$F$625,F626,$G$4:$G$625,G626,$H$4:$H$625,H626,$B$4:$B$625,"SALIDA"),SUMIFS($I$4:$I$625,$C$4:$C$625,C626,$D$4:$D$625,D626,$E$4:$E$625,E626,$G$4:$G$625,G626,$H$4:$H$625,H626,$B$4:$B$625,"INGRESO")+SUMIFS($I$4:$I$625,$C$4:$C$625,C626,$D$4:$D$625,D626,$E$4:$E$625,E626,$G$4:$G$625,G626,$H$4:$H$625,H626,$B$4:$B$625,"DE CORTE")-SUMIFS($I$4:$I$625,$C$4:$C$625,C626,$D$4:$D$625,D626,$E$4:$E$625,E626,$G$4:$G$625,G626,$H$4:$H$625,H626,$B$4:$B$625,"SALIDA"))),0)</f>
        <v>0</v>
      </c>
      <c r="M626" s="13">
        <f t="shared" si="2"/>
        <v>0</v>
      </c>
      <c r="N626" s="14"/>
      <c r="O626" s="14"/>
      <c r="P626" s="15"/>
      <c r="Q626" s="14"/>
    </row>
    <row r="627" ht="15.75" customHeight="1">
      <c r="A627" s="7"/>
      <c r="B627" s="8"/>
      <c r="C627" s="8"/>
      <c r="D627" s="8"/>
      <c r="E627" s="8"/>
      <c r="F627" s="14"/>
      <c r="G627" s="8"/>
      <c r="H627" s="8"/>
      <c r="I627" s="9"/>
      <c r="J627" s="12" t="str">
        <f t="array" ref="J627:K627">IFERROR(INDEX(PRECIOS_COMPLEMENTOS!$C$4:$F$17,MATCH(D627&amp;"_"&amp;E627,PRECIOS_COMPLEMENTOS!$H$4:$H$17,0),IF(OR(H627="S",H627="20cm"),1,IF(OR(H627="M",H627="25cm"),2,IF(OR(H627="L",H627="30cm"),3,IF(OR(H627="XL",H627="35cm"),4,0))))),0)</f>
        <v>#REF!</v>
      </c>
      <c r="K627" s="12">
        <f t="shared" si="1"/>
        <v>0</v>
      </c>
      <c r="L627" s="13">
        <f>IFERROR(IF(C627="",0,IF(D627="PRETINA",SUMIFS($I$4:$I$626,$C$4:$C$626,C627,$D$4:$D$626,D627,$E$4:$E$626,E627,$F$4:$F$626,F627,$G$4:$G$626,G627,$H$4:$H$626,H627,$B$4:$B$626,"INGRESO")+SUMIFS($I$4:$I$626,$C$4:$C$626,C627,$D$4:$D$626,D627,$E$4:$E$626,E627,$F$4:$F$626,F627,$G$4:$G$626,G627,$H$4:$H$626,H627,$B$4:$B$626,"DE CORTE")-SUMIFS($I$4:$I$626,$C$4:$C$626,C627,$D$4:$D$626,D627,$E$4:$E$626,E627,$F$4:$F$626,F627,$G$4:$G$626,G627,$H$4:$H$626,H627,$B$4:$B$626,"SALIDA"),SUMIFS($I$4:$I$626,$C$4:$C$626,C627,$D$4:$D$626,D627,$E$4:$E$626,E627,$G$4:$G$626,G627,$H$4:$H$626,H627,$B$4:$B$626,"INGRESO")+SUMIFS($I$4:$I$626,$C$4:$C$626,C627,$D$4:$D$626,D627,$E$4:$E$626,E627,$G$4:$G$626,G627,$H$4:$H$626,H627,$B$4:$B$626,"DE CORTE")-SUMIFS($I$4:$I$626,$C$4:$C$626,C627,$D$4:$D$626,D627,$E$4:$E$626,E627,$G$4:$G$626,G627,$H$4:$H$626,H627,$B$4:$B$626,"SALIDA"))),0)</f>
        <v>0</v>
      </c>
      <c r="M627" s="13">
        <f t="shared" si="2"/>
        <v>0</v>
      </c>
      <c r="N627" s="14"/>
      <c r="O627" s="14"/>
      <c r="P627" s="15"/>
      <c r="Q627" s="14"/>
    </row>
    <row r="628" ht="15.75" customHeight="1">
      <c r="A628" s="7"/>
      <c r="B628" s="8"/>
      <c r="C628" s="8"/>
      <c r="D628" s="8"/>
      <c r="E628" s="8"/>
      <c r="F628" s="14"/>
      <c r="G628" s="8"/>
      <c r="H628" s="8"/>
      <c r="I628" s="9"/>
      <c r="J628" s="12" t="str">
        <f t="array" ref="J628:K628">IFERROR(INDEX(PRECIOS_COMPLEMENTOS!$C$4:$F$17,MATCH(D628&amp;"_"&amp;E628,PRECIOS_COMPLEMENTOS!$H$4:$H$17,0),IF(OR(H628="S",H628="20cm"),1,IF(OR(H628="M",H628="25cm"),2,IF(OR(H628="L",H628="30cm"),3,IF(OR(H628="XL",H628="35cm"),4,0))))),0)</f>
        <v>#REF!</v>
      </c>
      <c r="K628" s="12">
        <f t="shared" si="1"/>
        <v>0</v>
      </c>
      <c r="L628" s="13">
        <f>IFERROR(IF(C628="",0,IF(D628="PRETINA",SUMIFS($I$4:$I$627,$C$4:$C$627,C628,$D$4:$D$627,D628,$E$4:$E$627,E628,$F$4:$F$627,F628,$G$4:$G$627,G628,$H$4:$H$627,H628,$B$4:$B$627,"INGRESO")+SUMIFS($I$4:$I$627,$C$4:$C$627,C628,$D$4:$D$627,D628,$E$4:$E$627,E628,$F$4:$F$627,F628,$G$4:$G$627,G628,$H$4:$H$627,H628,$B$4:$B$627,"DE CORTE")-SUMIFS($I$4:$I$627,$C$4:$C$627,C628,$D$4:$D$627,D628,$E$4:$E$627,E628,$F$4:$F$627,F628,$G$4:$G$627,G628,$H$4:$H$627,H628,$B$4:$B$627,"SALIDA"),SUMIFS($I$4:$I$627,$C$4:$C$627,C628,$D$4:$D$627,D628,$E$4:$E$627,E628,$G$4:$G$627,G628,$H$4:$H$627,H628,$B$4:$B$627,"INGRESO")+SUMIFS($I$4:$I$627,$C$4:$C$627,C628,$D$4:$D$627,D628,$E$4:$E$627,E628,$G$4:$G$627,G628,$H$4:$H$627,H628,$B$4:$B$627,"DE CORTE")-SUMIFS($I$4:$I$627,$C$4:$C$627,C628,$D$4:$D$627,D628,$E$4:$E$627,E628,$G$4:$G$627,G628,$H$4:$H$627,H628,$B$4:$B$627,"SALIDA"))),0)</f>
        <v>0</v>
      </c>
      <c r="M628" s="13">
        <f t="shared" si="2"/>
        <v>0</v>
      </c>
      <c r="N628" s="14"/>
      <c r="O628" s="14"/>
      <c r="P628" s="15"/>
      <c r="Q628" s="14"/>
    </row>
    <row r="629" ht="15.75" customHeight="1">
      <c r="A629" s="7"/>
      <c r="B629" s="8"/>
      <c r="C629" s="8"/>
      <c r="D629" s="8"/>
      <c r="E629" s="8"/>
      <c r="F629" s="14"/>
      <c r="G629" s="8"/>
      <c r="H629" s="8"/>
      <c r="I629" s="9"/>
      <c r="J629" s="12" t="str">
        <f t="array" ref="J629:K629">IFERROR(INDEX(PRECIOS_COMPLEMENTOS!$C$4:$F$17,MATCH(D629&amp;"_"&amp;E629,PRECIOS_COMPLEMENTOS!$H$4:$H$17,0),IF(OR(H629="S",H629="20cm"),1,IF(OR(H629="M",H629="25cm"),2,IF(OR(H629="L",H629="30cm"),3,IF(OR(H629="XL",H629="35cm"),4,0))))),0)</f>
        <v>#REF!</v>
      </c>
      <c r="K629" s="12">
        <f t="shared" si="1"/>
        <v>0</v>
      </c>
      <c r="L629" s="13">
        <f>IFERROR(IF(C629="",0,IF(D629="PRETINA",SUMIFS($I$4:$I$628,$C$4:$C$628,C629,$D$4:$D$628,D629,$E$4:$E$628,E629,$F$4:$F$628,F629,$G$4:$G$628,G629,$H$4:$H$628,H629,$B$4:$B$628,"INGRESO")+SUMIFS($I$4:$I$628,$C$4:$C$628,C629,$D$4:$D$628,D629,$E$4:$E$628,E629,$F$4:$F$628,F629,$G$4:$G$628,G629,$H$4:$H$628,H629,$B$4:$B$628,"DE CORTE")-SUMIFS($I$4:$I$628,$C$4:$C$628,C629,$D$4:$D$628,D629,$E$4:$E$628,E629,$F$4:$F$628,F629,$G$4:$G$628,G629,$H$4:$H$628,H629,$B$4:$B$628,"SALIDA"),SUMIFS($I$4:$I$628,$C$4:$C$628,C629,$D$4:$D$628,D629,$E$4:$E$628,E629,$G$4:$G$628,G629,$H$4:$H$628,H629,$B$4:$B$628,"INGRESO")+SUMIFS($I$4:$I$628,$C$4:$C$628,C629,$D$4:$D$628,D629,$E$4:$E$628,E629,$G$4:$G$628,G629,$H$4:$H$628,H629,$B$4:$B$628,"DE CORTE")-SUMIFS($I$4:$I$628,$C$4:$C$628,C629,$D$4:$D$628,D629,$E$4:$E$628,E629,$G$4:$G$628,G629,$H$4:$H$628,H629,$B$4:$B$628,"SALIDA"))),0)</f>
        <v>0</v>
      </c>
      <c r="M629" s="13">
        <f t="shared" si="2"/>
        <v>0</v>
      </c>
      <c r="N629" s="14"/>
      <c r="O629" s="14"/>
      <c r="P629" s="15"/>
      <c r="Q629" s="14"/>
    </row>
    <row r="630" ht="15.75" customHeight="1">
      <c r="A630" s="7"/>
      <c r="B630" s="8"/>
      <c r="C630" s="8"/>
      <c r="D630" s="8"/>
      <c r="E630" s="8"/>
      <c r="F630" s="14"/>
      <c r="G630" s="8"/>
      <c r="H630" s="8"/>
      <c r="I630" s="9"/>
      <c r="J630" s="12" t="str">
        <f t="array" ref="J630:K630">IFERROR(INDEX(PRECIOS_COMPLEMENTOS!$C$4:$F$17,MATCH(D630&amp;"_"&amp;E630,PRECIOS_COMPLEMENTOS!$H$4:$H$17,0),IF(OR(H630="S",H630="20cm"),1,IF(OR(H630="M",H630="25cm"),2,IF(OR(H630="L",H630="30cm"),3,IF(OR(H630="XL",H630="35cm"),4,0))))),0)</f>
        <v>#REF!</v>
      </c>
      <c r="K630" s="12">
        <f t="shared" si="1"/>
        <v>0</v>
      </c>
      <c r="L630" s="13">
        <f>IFERROR(IF(C630="",0,IF(D630="PRETINA",SUMIFS($I$4:$I$629,$C$4:$C$629,C630,$D$4:$D$629,D630,$E$4:$E$629,E630,$F$4:$F$629,F630,$G$4:$G$629,G630,$H$4:$H$629,H630,$B$4:$B$629,"INGRESO")+SUMIFS($I$4:$I$629,$C$4:$C$629,C630,$D$4:$D$629,D630,$E$4:$E$629,E630,$F$4:$F$629,F630,$G$4:$G$629,G630,$H$4:$H$629,H630,$B$4:$B$629,"DE CORTE")-SUMIFS($I$4:$I$629,$C$4:$C$629,C630,$D$4:$D$629,D630,$E$4:$E$629,E630,$F$4:$F$629,F630,$G$4:$G$629,G630,$H$4:$H$629,H630,$B$4:$B$629,"SALIDA"),SUMIFS($I$4:$I$629,$C$4:$C$629,C630,$D$4:$D$629,D630,$E$4:$E$629,E630,$G$4:$G$629,G630,$H$4:$H$629,H630,$B$4:$B$629,"INGRESO")+SUMIFS($I$4:$I$629,$C$4:$C$629,C630,$D$4:$D$629,D630,$E$4:$E$629,E630,$G$4:$G$629,G630,$H$4:$H$629,H630,$B$4:$B$629,"DE CORTE")-SUMIFS($I$4:$I$629,$C$4:$C$629,C630,$D$4:$D$629,D630,$E$4:$E$629,E630,$G$4:$G$629,G630,$H$4:$H$629,H630,$B$4:$B$629,"SALIDA"))),0)</f>
        <v>0</v>
      </c>
      <c r="M630" s="13">
        <f t="shared" si="2"/>
        <v>0</v>
      </c>
      <c r="N630" s="14"/>
      <c r="O630" s="14"/>
      <c r="P630" s="15"/>
      <c r="Q630" s="14"/>
    </row>
    <row r="631" ht="15.75" customHeight="1">
      <c r="A631" s="7"/>
      <c r="B631" s="8"/>
      <c r="C631" s="8"/>
      <c r="D631" s="8"/>
      <c r="E631" s="8"/>
      <c r="F631" s="14"/>
      <c r="G631" s="8"/>
      <c r="H631" s="8"/>
      <c r="I631" s="9"/>
      <c r="J631" s="12" t="str">
        <f t="array" ref="J631:K631">IFERROR(INDEX(PRECIOS_COMPLEMENTOS!$C$4:$F$17,MATCH(D631&amp;"_"&amp;E631,PRECIOS_COMPLEMENTOS!$H$4:$H$17,0),IF(OR(H631="S",H631="20cm"),1,IF(OR(H631="M",H631="25cm"),2,IF(OR(H631="L",H631="30cm"),3,IF(OR(H631="XL",H631="35cm"),4,0))))),0)</f>
        <v>#REF!</v>
      </c>
      <c r="K631" s="12">
        <f t="shared" si="1"/>
        <v>0</v>
      </c>
      <c r="L631" s="13">
        <f>IFERROR(IF(C631="",0,IF(D631="PRETINA",SUMIFS($I$4:$I$630,$C$4:$C$630,C631,$D$4:$D$630,D631,$E$4:$E$630,E631,$F$4:$F$630,F631,$G$4:$G$630,G631,$H$4:$H$630,H631,$B$4:$B$630,"INGRESO")+SUMIFS($I$4:$I$630,$C$4:$C$630,C631,$D$4:$D$630,D631,$E$4:$E$630,E631,$F$4:$F$630,F631,$G$4:$G$630,G631,$H$4:$H$630,H631,$B$4:$B$630,"DE CORTE")-SUMIFS($I$4:$I$630,$C$4:$C$630,C631,$D$4:$D$630,D631,$E$4:$E$630,E631,$F$4:$F$630,F631,$G$4:$G$630,G631,$H$4:$H$630,H631,$B$4:$B$630,"SALIDA"),SUMIFS($I$4:$I$630,$C$4:$C$630,C631,$D$4:$D$630,D631,$E$4:$E$630,E631,$G$4:$G$630,G631,$H$4:$H$630,H631,$B$4:$B$630,"INGRESO")+SUMIFS($I$4:$I$630,$C$4:$C$630,C631,$D$4:$D$630,D631,$E$4:$E$630,E631,$G$4:$G$630,G631,$H$4:$H$630,H631,$B$4:$B$630,"DE CORTE")-SUMIFS($I$4:$I$630,$C$4:$C$630,C631,$D$4:$D$630,D631,$E$4:$E$630,E631,$G$4:$G$630,G631,$H$4:$H$630,H631,$B$4:$B$630,"SALIDA"))),0)</f>
        <v>0</v>
      </c>
      <c r="M631" s="13">
        <f t="shared" si="2"/>
        <v>0</v>
      </c>
      <c r="N631" s="14"/>
      <c r="O631" s="14"/>
      <c r="P631" s="15"/>
      <c r="Q631" s="14"/>
    </row>
    <row r="632" ht="15.75" customHeight="1">
      <c r="A632" s="7"/>
      <c r="B632" s="8"/>
      <c r="C632" s="8"/>
      <c r="D632" s="8"/>
      <c r="E632" s="8"/>
      <c r="F632" s="14"/>
      <c r="G632" s="8"/>
      <c r="H632" s="8"/>
      <c r="I632" s="9"/>
      <c r="J632" s="12" t="str">
        <f t="array" ref="J632:K632">IFERROR(INDEX(PRECIOS_COMPLEMENTOS!$C$4:$F$17,MATCH(D632&amp;"_"&amp;E632,PRECIOS_COMPLEMENTOS!$H$4:$H$17,0),IF(OR(H632="S",H632="20cm"),1,IF(OR(H632="M",H632="25cm"),2,IF(OR(H632="L",H632="30cm"),3,IF(OR(H632="XL",H632="35cm"),4,0))))),0)</f>
        <v>#REF!</v>
      </c>
      <c r="K632" s="12">
        <f t="shared" si="1"/>
        <v>0</v>
      </c>
      <c r="L632" s="13">
        <f>IFERROR(IF(C632="",0,IF(D632="PRETINA",SUMIFS($I$4:$I$631,$C$4:$C$631,C632,$D$4:$D$631,D632,$E$4:$E$631,E632,$F$4:$F$631,F632,$G$4:$G$631,G632,$H$4:$H$631,H632,$B$4:$B$631,"INGRESO")+SUMIFS($I$4:$I$631,$C$4:$C$631,C632,$D$4:$D$631,D632,$E$4:$E$631,E632,$F$4:$F$631,F632,$G$4:$G$631,G632,$H$4:$H$631,H632,$B$4:$B$631,"DE CORTE")-SUMIFS($I$4:$I$631,$C$4:$C$631,C632,$D$4:$D$631,D632,$E$4:$E$631,E632,$F$4:$F$631,F632,$G$4:$G$631,G632,$H$4:$H$631,H632,$B$4:$B$631,"SALIDA"),SUMIFS($I$4:$I$631,$C$4:$C$631,C632,$D$4:$D$631,D632,$E$4:$E$631,E632,$G$4:$G$631,G632,$H$4:$H$631,H632,$B$4:$B$631,"INGRESO")+SUMIFS($I$4:$I$631,$C$4:$C$631,C632,$D$4:$D$631,D632,$E$4:$E$631,E632,$G$4:$G$631,G632,$H$4:$H$631,H632,$B$4:$B$631,"DE CORTE")-SUMIFS($I$4:$I$631,$C$4:$C$631,C632,$D$4:$D$631,D632,$E$4:$E$631,E632,$G$4:$G$631,G632,$H$4:$H$631,H632,$B$4:$B$631,"SALIDA"))),0)</f>
        <v>0</v>
      </c>
      <c r="M632" s="13">
        <f t="shared" si="2"/>
        <v>0</v>
      </c>
      <c r="N632" s="14"/>
      <c r="O632" s="14"/>
      <c r="P632" s="15"/>
      <c r="Q632" s="14"/>
    </row>
    <row r="633" ht="15.75" customHeight="1">
      <c r="A633" s="7"/>
      <c r="B633" s="8"/>
      <c r="C633" s="8"/>
      <c r="D633" s="8"/>
      <c r="E633" s="8"/>
      <c r="F633" s="14"/>
      <c r="G633" s="8"/>
      <c r="H633" s="8"/>
      <c r="I633" s="9"/>
      <c r="J633" s="12" t="str">
        <f t="array" ref="J633:K633">IFERROR(INDEX(PRECIOS_COMPLEMENTOS!$C$4:$F$17,MATCH(D633&amp;"_"&amp;E633,PRECIOS_COMPLEMENTOS!$H$4:$H$17,0),IF(OR(H633="S",H633="20cm"),1,IF(OR(H633="M",H633="25cm"),2,IF(OR(H633="L",H633="30cm"),3,IF(OR(H633="XL",H633="35cm"),4,0))))),0)</f>
        <v>#REF!</v>
      </c>
      <c r="K633" s="12">
        <f t="shared" si="1"/>
        <v>0</v>
      </c>
      <c r="L633" s="13">
        <f>IFERROR(IF(C633="",0,IF(D633="PRETINA",SUMIFS($I$4:$I$632,$C$4:$C$632,C633,$D$4:$D$632,D633,$E$4:$E$632,E633,$F$4:$F$632,F633,$G$4:$G$632,G633,$H$4:$H$632,H633,$B$4:$B$632,"INGRESO")+SUMIFS($I$4:$I$632,$C$4:$C$632,C633,$D$4:$D$632,D633,$E$4:$E$632,E633,$F$4:$F$632,F633,$G$4:$G$632,G633,$H$4:$H$632,H633,$B$4:$B$632,"DE CORTE")-SUMIFS($I$4:$I$632,$C$4:$C$632,C633,$D$4:$D$632,D633,$E$4:$E$632,E633,$F$4:$F$632,F633,$G$4:$G$632,G633,$H$4:$H$632,H633,$B$4:$B$632,"SALIDA"),SUMIFS($I$4:$I$632,$C$4:$C$632,C633,$D$4:$D$632,D633,$E$4:$E$632,E633,$G$4:$G$632,G633,$H$4:$H$632,H633,$B$4:$B$632,"INGRESO")+SUMIFS($I$4:$I$632,$C$4:$C$632,C633,$D$4:$D$632,D633,$E$4:$E$632,E633,$G$4:$G$632,G633,$H$4:$H$632,H633,$B$4:$B$632,"DE CORTE")-SUMIFS($I$4:$I$632,$C$4:$C$632,C633,$D$4:$D$632,D633,$E$4:$E$632,E633,$G$4:$G$632,G633,$H$4:$H$632,H633,$B$4:$B$632,"SALIDA"))),0)</f>
        <v>0</v>
      </c>
      <c r="M633" s="13">
        <f t="shared" si="2"/>
        <v>0</v>
      </c>
      <c r="N633" s="14"/>
      <c r="O633" s="14"/>
      <c r="P633" s="15"/>
      <c r="Q633" s="14"/>
    </row>
    <row r="634" ht="15.75" customHeight="1">
      <c r="A634" s="7"/>
      <c r="B634" s="8"/>
      <c r="C634" s="8"/>
      <c r="D634" s="8"/>
      <c r="E634" s="8"/>
      <c r="F634" s="14"/>
      <c r="G634" s="8"/>
      <c r="H634" s="8"/>
      <c r="I634" s="9"/>
      <c r="J634" s="12" t="str">
        <f t="array" ref="J634:K634">IFERROR(INDEX(PRECIOS_COMPLEMENTOS!$C$4:$F$17,MATCH(D634&amp;"_"&amp;E634,PRECIOS_COMPLEMENTOS!$H$4:$H$17,0),IF(OR(H634="S",H634="20cm"),1,IF(OR(H634="M",H634="25cm"),2,IF(OR(H634="L",H634="30cm"),3,IF(OR(H634="XL",H634="35cm"),4,0))))),0)</f>
        <v>#REF!</v>
      </c>
      <c r="K634" s="12">
        <f t="shared" si="1"/>
        <v>0</v>
      </c>
      <c r="L634" s="13">
        <f>IFERROR(IF(C634="",0,IF(D634="PRETINA",SUMIFS($I$4:$I$633,$C$4:$C$633,C634,$D$4:$D$633,D634,$E$4:$E$633,E634,$F$4:$F$633,F634,$G$4:$G$633,G634,$H$4:$H$633,H634,$B$4:$B$633,"INGRESO")+SUMIFS($I$4:$I$633,$C$4:$C$633,C634,$D$4:$D$633,D634,$E$4:$E$633,E634,$F$4:$F$633,F634,$G$4:$G$633,G634,$H$4:$H$633,H634,$B$4:$B$633,"DE CORTE")-SUMIFS($I$4:$I$633,$C$4:$C$633,C634,$D$4:$D$633,D634,$E$4:$E$633,E634,$F$4:$F$633,F634,$G$4:$G$633,G634,$H$4:$H$633,H634,$B$4:$B$633,"SALIDA"),SUMIFS($I$4:$I$633,$C$4:$C$633,C634,$D$4:$D$633,D634,$E$4:$E$633,E634,$G$4:$G$633,G634,$H$4:$H$633,H634,$B$4:$B$633,"INGRESO")+SUMIFS($I$4:$I$633,$C$4:$C$633,C634,$D$4:$D$633,D634,$E$4:$E$633,E634,$G$4:$G$633,G634,$H$4:$H$633,H634,$B$4:$B$633,"DE CORTE")-SUMIFS($I$4:$I$633,$C$4:$C$633,C634,$D$4:$D$633,D634,$E$4:$E$633,E634,$G$4:$G$633,G634,$H$4:$H$633,H634,$B$4:$B$633,"SALIDA"))),0)</f>
        <v>0</v>
      </c>
      <c r="M634" s="13">
        <f t="shared" si="2"/>
        <v>0</v>
      </c>
      <c r="N634" s="14"/>
      <c r="O634" s="14"/>
      <c r="P634" s="15"/>
      <c r="Q634" s="14"/>
    </row>
    <row r="635" ht="15.75" customHeight="1">
      <c r="A635" s="7"/>
      <c r="B635" s="8"/>
      <c r="C635" s="8"/>
      <c r="D635" s="8"/>
      <c r="E635" s="8"/>
      <c r="F635" s="14"/>
      <c r="G635" s="8"/>
      <c r="H635" s="8"/>
      <c r="I635" s="9"/>
      <c r="J635" s="12" t="str">
        <f t="array" ref="J635:K635">IFERROR(INDEX(PRECIOS_COMPLEMENTOS!$C$4:$F$17,MATCH(D635&amp;"_"&amp;E635,PRECIOS_COMPLEMENTOS!$H$4:$H$17,0),IF(OR(H635="S",H635="20cm"),1,IF(OR(H635="M",H635="25cm"),2,IF(OR(H635="L",H635="30cm"),3,IF(OR(H635="XL",H635="35cm"),4,0))))),0)</f>
        <v>#REF!</v>
      </c>
      <c r="K635" s="12">
        <f t="shared" si="1"/>
        <v>0</v>
      </c>
      <c r="L635" s="13">
        <f>IFERROR(IF(C635="",0,IF(D635="PRETINA",SUMIFS($I$4:$I$634,$C$4:$C$634,C635,$D$4:$D$634,D635,$E$4:$E$634,E635,$F$4:$F$634,F635,$G$4:$G$634,G635,$H$4:$H$634,H635,$B$4:$B$634,"INGRESO")+SUMIFS($I$4:$I$634,$C$4:$C$634,C635,$D$4:$D$634,D635,$E$4:$E$634,E635,$F$4:$F$634,F635,$G$4:$G$634,G635,$H$4:$H$634,H635,$B$4:$B$634,"DE CORTE")-SUMIFS($I$4:$I$634,$C$4:$C$634,C635,$D$4:$D$634,D635,$E$4:$E$634,E635,$F$4:$F$634,F635,$G$4:$G$634,G635,$H$4:$H$634,H635,$B$4:$B$634,"SALIDA"),SUMIFS($I$4:$I$634,$C$4:$C$634,C635,$D$4:$D$634,D635,$E$4:$E$634,E635,$G$4:$G$634,G635,$H$4:$H$634,H635,$B$4:$B$634,"INGRESO")+SUMIFS($I$4:$I$634,$C$4:$C$634,C635,$D$4:$D$634,D635,$E$4:$E$634,E635,$G$4:$G$634,G635,$H$4:$H$634,H635,$B$4:$B$634,"DE CORTE")-SUMIFS($I$4:$I$634,$C$4:$C$634,C635,$D$4:$D$634,D635,$E$4:$E$634,E635,$G$4:$G$634,G635,$H$4:$H$634,H635,$B$4:$B$634,"SALIDA"))),0)</f>
        <v>0</v>
      </c>
      <c r="M635" s="13">
        <f t="shared" si="2"/>
        <v>0</v>
      </c>
      <c r="N635" s="14"/>
      <c r="O635" s="14"/>
      <c r="P635" s="15"/>
      <c r="Q635" s="14"/>
    </row>
    <row r="636" ht="15.75" customHeight="1">
      <c r="A636" s="7"/>
      <c r="B636" s="8"/>
      <c r="C636" s="8"/>
      <c r="D636" s="8"/>
      <c r="E636" s="8"/>
      <c r="F636" s="14"/>
      <c r="G636" s="8"/>
      <c r="H636" s="8"/>
      <c r="I636" s="9"/>
      <c r="J636" s="12" t="str">
        <f t="array" ref="J636:K636">IFERROR(INDEX(PRECIOS_COMPLEMENTOS!$C$4:$F$17,MATCH(D636&amp;"_"&amp;E636,PRECIOS_COMPLEMENTOS!$H$4:$H$17,0),IF(OR(H636="S",H636="20cm"),1,IF(OR(H636="M",H636="25cm"),2,IF(OR(H636="L",H636="30cm"),3,IF(OR(H636="XL",H636="35cm"),4,0))))),0)</f>
        <v>#REF!</v>
      </c>
      <c r="K636" s="12">
        <f t="shared" si="1"/>
        <v>0</v>
      </c>
      <c r="L636" s="13">
        <f>IFERROR(IF(C636="",0,IF(D636="PRETINA",SUMIFS($I$4:$I$635,$C$4:$C$635,C636,$D$4:$D$635,D636,$E$4:$E$635,E636,$F$4:$F$635,F636,$G$4:$G$635,G636,$H$4:$H$635,H636,$B$4:$B$635,"INGRESO")+SUMIFS($I$4:$I$635,$C$4:$C$635,C636,$D$4:$D$635,D636,$E$4:$E$635,E636,$F$4:$F$635,F636,$G$4:$G$635,G636,$H$4:$H$635,H636,$B$4:$B$635,"DE CORTE")-SUMIFS($I$4:$I$635,$C$4:$C$635,C636,$D$4:$D$635,D636,$E$4:$E$635,E636,$F$4:$F$635,F636,$G$4:$G$635,G636,$H$4:$H$635,H636,$B$4:$B$635,"SALIDA"),SUMIFS($I$4:$I$635,$C$4:$C$635,C636,$D$4:$D$635,D636,$E$4:$E$635,E636,$G$4:$G$635,G636,$H$4:$H$635,H636,$B$4:$B$635,"INGRESO")+SUMIFS($I$4:$I$635,$C$4:$C$635,C636,$D$4:$D$635,D636,$E$4:$E$635,E636,$G$4:$G$635,G636,$H$4:$H$635,H636,$B$4:$B$635,"DE CORTE")-SUMIFS($I$4:$I$635,$C$4:$C$635,C636,$D$4:$D$635,D636,$E$4:$E$635,E636,$G$4:$G$635,G636,$H$4:$H$635,H636,$B$4:$B$635,"SALIDA"))),0)</f>
        <v>0</v>
      </c>
      <c r="M636" s="13">
        <f t="shared" si="2"/>
        <v>0</v>
      </c>
      <c r="N636" s="14"/>
      <c r="O636" s="14"/>
      <c r="P636" s="15"/>
      <c r="Q636" s="14"/>
    </row>
    <row r="637" ht="15.75" customHeight="1">
      <c r="A637" s="7"/>
      <c r="B637" s="8"/>
      <c r="C637" s="8"/>
      <c r="D637" s="8"/>
      <c r="E637" s="8"/>
      <c r="F637" s="14"/>
      <c r="G637" s="8"/>
      <c r="H637" s="8"/>
      <c r="I637" s="9"/>
      <c r="J637" s="12" t="str">
        <f t="array" ref="J637:K637">IFERROR(INDEX(PRECIOS_COMPLEMENTOS!$C$4:$F$17,MATCH(D637&amp;"_"&amp;E637,PRECIOS_COMPLEMENTOS!$H$4:$H$17,0),IF(OR(H637="S",H637="20cm"),1,IF(OR(H637="M",H637="25cm"),2,IF(OR(H637="L",H637="30cm"),3,IF(OR(H637="XL",H637="35cm"),4,0))))),0)</f>
        <v>#REF!</v>
      </c>
      <c r="K637" s="12">
        <f t="shared" si="1"/>
        <v>0</v>
      </c>
      <c r="L637" s="13">
        <f>IFERROR(IF(C637="",0,IF(D637="PRETINA",SUMIFS($I$4:$I$636,$C$4:$C$636,C637,$D$4:$D$636,D637,$E$4:$E$636,E637,$F$4:$F$636,F637,$G$4:$G$636,G637,$H$4:$H$636,H637,$B$4:$B$636,"INGRESO")+SUMIFS($I$4:$I$636,$C$4:$C$636,C637,$D$4:$D$636,D637,$E$4:$E$636,E637,$F$4:$F$636,F637,$G$4:$G$636,G637,$H$4:$H$636,H637,$B$4:$B$636,"DE CORTE")-SUMIFS($I$4:$I$636,$C$4:$C$636,C637,$D$4:$D$636,D637,$E$4:$E$636,E637,$F$4:$F$636,F637,$G$4:$G$636,G637,$H$4:$H$636,H637,$B$4:$B$636,"SALIDA"),SUMIFS($I$4:$I$636,$C$4:$C$636,C637,$D$4:$D$636,D637,$E$4:$E$636,E637,$G$4:$G$636,G637,$H$4:$H$636,H637,$B$4:$B$636,"INGRESO")+SUMIFS($I$4:$I$636,$C$4:$C$636,C637,$D$4:$D$636,D637,$E$4:$E$636,E637,$G$4:$G$636,G637,$H$4:$H$636,H637,$B$4:$B$636,"DE CORTE")-SUMIFS($I$4:$I$636,$C$4:$C$636,C637,$D$4:$D$636,D637,$E$4:$E$636,E637,$G$4:$G$636,G637,$H$4:$H$636,H637,$B$4:$B$636,"SALIDA"))),0)</f>
        <v>0</v>
      </c>
      <c r="M637" s="13">
        <f t="shared" si="2"/>
        <v>0</v>
      </c>
      <c r="N637" s="14"/>
      <c r="O637" s="14"/>
      <c r="P637" s="15"/>
      <c r="Q637" s="14"/>
    </row>
    <row r="638" ht="15.75" customHeight="1">
      <c r="A638" s="7"/>
      <c r="B638" s="8"/>
      <c r="C638" s="8"/>
      <c r="D638" s="8"/>
      <c r="E638" s="8"/>
      <c r="F638" s="14"/>
      <c r="G638" s="8"/>
      <c r="H638" s="8"/>
      <c r="I638" s="9"/>
      <c r="J638" s="12" t="str">
        <f t="array" ref="J638:K638">IFERROR(INDEX(PRECIOS_COMPLEMENTOS!$C$4:$F$17,MATCH(D638&amp;"_"&amp;E638,PRECIOS_COMPLEMENTOS!$H$4:$H$17,0),IF(OR(H638="S",H638="20cm"),1,IF(OR(H638="M",H638="25cm"),2,IF(OR(H638="L",H638="30cm"),3,IF(OR(H638="XL",H638="35cm"),4,0))))),0)</f>
        <v>#REF!</v>
      </c>
      <c r="K638" s="12">
        <f t="shared" si="1"/>
        <v>0</v>
      </c>
      <c r="L638" s="13">
        <f>IFERROR(IF(C638="",0,IF(D638="PRETINA",SUMIFS($I$4:$I$637,$C$4:$C$637,C638,$D$4:$D$637,D638,$E$4:$E$637,E638,$F$4:$F$637,F638,$G$4:$G$637,G638,$H$4:$H$637,H638,$B$4:$B$637,"INGRESO")+SUMIFS($I$4:$I$637,$C$4:$C$637,C638,$D$4:$D$637,D638,$E$4:$E$637,E638,$F$4:$F$637,F638,$G$4:$G$637,G638,$H$4:$H$637,H638,$B$4:$B$637,"DE CORTE")-SUMIFS($I$4:$I$637,$C$4:$C$637,C638,$D$4:$D$637,D638,$E$4:$E$637,E638,$F$4:$F$637,F638,$G$4:$G$637,G638,$H$4:$H$637,H638,$B$4:$B$637,"SALIDA"),SUMIFS($I$4:$I$637,$C$4:$C$637,C638,$D$4:$D$637,D638,$E$4:$E$637,E638,$G$4:$G$637,G638,$H$4:$H$637,H638,$B$4:$B$637,"INGRESO")+SUMIFS($I$4:$I$637,$C$4:$C$637,C638,$D$4:$D$637,D638,$E$4:$E$637,E638,$G$4:$G$637,G638,$H$4:$H$637,H638,$B$4:$B$637,"DE CORTE")-SUMIFS($I$4:$I$637,$C$4:$C$637,C638,$D$4:$D$637,D638,$E$4:$E$637,E638,$G$4:$G$637,G638,$H$4:$H$637,H638,$B$4:$B$637,"SALIDA"))),0)</f>
        <v>0</v>
      </c>
      <c r="M638" s="13">
        <f t="shared" si="2"/>
        <v>0</v>
      </c>
      <c r="N638" s="14"/>
      <c r="O638" s="14"/>
      <c r="P638" s="15"/>
      <c r="Q638" s="14"/>
    </row>
    <row r="639" ht="15.75" customHeight="1">
      <c r="A639" s="7"/>
      <c r="B639" s="8"/>
      <c r="C639" s="8"/>
      <c r="D639" s="8"/>
      <c r="E639" s="8"/>
      <c r="F639" s="14"/>
      <c r="G639" s="8"/>
      <c r="H639" s="8"/>
      <c r="I639" s="9"/>
      <c r="J639" s="12" t="str">
        <f t="array" ref="J639:K639">IFERROR(INDEX(PRECIOS_COMPLEMENTOS!$C$4:$F$17,MATCH(D639&amp;"_"&amp;E639,PRECIOS_COMPLEMENTOS!$H$4:$H$17,0),IF(OR(H639="S",H639="20cm"),1,IF(OR(H639="M",H639="25cm"),2,IF(OR(H639="L",H639="30cm"),3,IF(OR(H639="XL",H639="35cm"),4,0))))),0)</f>
        <v>#REF!</v>
      </c>
      <c r="K639" s="12">
        <f t="shared" si="1"/>
        <v>0</v>
      </c>
      <c r="L639" s="13">
        <f>IFERROR(IF(C639="",0,IF(D639="PRETINA",SUMIFS($I$4:$I$638,$C$4:$C$638,C639,$D$4:$D$638,D639,$E$4:$E$638,E639,$F$4:$F$638,F639,$G$4:$G$638,G639,$H$4:$H$638,H639,$B$4:$B$638,"INGRESO")+SUMIFS($I$4:$I$638,$C$4:$C$638,C639,$D$4:$D$638,D639,$E$4:$E$638,E639,$F$4:$F$638,F639,$G$4:$G$638,G639,$H$4:$H$638,H639,$B$4:$B$638,"DE CORTE")-SUMIFS($I$4:$I$638,$C$4:$C$638,C639,$D$4:$D$638,D639,$E$4:$E$638,E639,$F$4:$F$638,F639,$G$4:$G$638,G639,$H$4:$H$638,H639,$B$4:$B$638,"SALIDA"),SUMIFS($I$4:$I$638,$C$4:$C$638,C639,$D$4:$D$638,D639,$E$4:$E$638,E639,$G$4:$G$638,G639,$H$4:$H$638,H639,$B$4:$B$638,"INGRESO")+SUMIFS($I$4:$I$638,$C$4:$C$638,C639,$D$4:$D$638,D639,$E$4:$E$638,E639,$G$4:$G$638,G639,$H$4:$H$638,H639,$B$4:$B$638,"DE CORTE")-SUMIFS($I$4:$I$638,$C$4:$C$638,C639,$D$4:$D$638,D639,$E$4:$E$638,E639,$G$4:$G$638,G639,$H$4:$H$638,H639,$B$4:$B$638,"SALIDA"))),0)</f>
        <v>0</v>
      </c>
      <c r="M639" s="13">
        <f t="shared" si="2"/>
        <v>0</v>
      </c>
      <c r="N639" s="14"/>
      <c r="O639" s="14"/>
      <c r="P639" s="15"/>
      <c r="Q639" s="14"/>
    </row>
    <row r="640" ht="15.75" customHeight="1">
      <c r="A640" s="7"/>
      <c r="B640" s="8"/>
      <c r="C640" s="8"/>
      <c r="D640" s="8"/>
      <c r="E640" s="8"/>
      <c r="F640" s="14"/>
      <c r="G640" s="8"/>
      <c r="H640" s="8"/>
      <c r="I640" s="9"/>
      <c r="J640" s="12" t="str">
        <f t="array" ref="J640:K640">IFERROR(INDEX(PRECIOS_COMPLEMENTOS!$C$4:$F$17,MATCH(D640&amp;"_"&amp;E640,PRECIOS_COMPLEMENTOS!$H$4:$H$17,0),IF(OR(H640="S",H640="20cm"),1,IF(OR(H640="M",H640="25cm"),2,IF(OR(H640="L",H640="30cm"),3,IF(OR(H640="XL",H640="35cm"),4,0))))),0)</f>
        <v>#REF!</v>
      </c>
      <c r="K640" s="12">
        <f t="shared" si="1"/>
        <v>0</v>
      </c>
      <c r="L640" s="13">
        <f>IFERROR(IF(C640="",0,IF(D640="PRETINA",SUMIFS($I$4:$I$639,$C$4:$C$639,C640,$D$4:$D$639,D640,$E$4:$E$639,E640,$F$4:$F$639,F640,$G$4:$G$639,G640,$H$4:$H$639,H640,$B$4:$B$639,"INGRESO")+SUMIFS($I$4:$I$639,$C$4:$C$639,C640,$D$4:$D$639,D640,$E$4:$E$639,E640,$F$4:$F$639,F640,$G$4:$G$639,G640,$H$4:$H$639,H640,$B$4:$B$639,"DE CORTE")-SUMIFS($I$4:$I$639,$C$4:$C$639,C640,$D$4:$D$639,D640,$E$4:$E$639,E640,$F$4:$F$639,F640,$G$4:$G$639,G640,$H$4:$H$639,H640,$B$4:$B$639,"SALIDA"),SUMIFS($I$4:$I$639,$C$4:$C$639,C640,$D$4:$D$639,D640,$E$4:$E$639,E640,$G$4:$G$639,G640,$H$4:$H$639,H640,$B$4:$B$639,"INGRESO")+SUMIFS($I$4:$I$639,$C$4:$C$639,C640,$D$4:$D$639,D640,$E$4:$E$639,E640,$G$4:$G$639,G640,$H$4:$H$639,H640,$B$4:$B$639,"DE CORTE")-SUMIFS($I$4:$I$639,$C$4:$C$639,C640,$D$4:$D$639,D640,$E$4:$E$639,E640,$G$4:$G$639,G640,$H$4:$H$639,H640,$B$4:$B$639,"SALIDA"))),0)</f>
        <v>0</v>
      </c>
      <c r="M640" s="13">
        <f t="shared" si="2"/>
        <v>0</v>
      </c>
      <c r="N640" s="14"/>
      <c r="O640" s="14"/>
      <c r="P640" s="15"/>
      <c r="Q640" s="14"/>
    </row>
    <row r="641" ht="15.75" customHeight="1">
      <c r="A641" s="7"/>
      <c r="B641" s="8"/>
      <c r="C641" s="8"/>
      <c r="D641" s="8"/>
      <c r="E641" s="8"/>
      <c r="F641" s="14"/>
      <c r="G641" s="8"/>
      <c r="H641" s="8"/>
      <c r="I641" s="9"/>
      <c r="J641" s="12" t="str">
        <f t="array" ref="J641:K641">IFERROR(INDEX(PRECIOS_COMPLEMENTOS!$C$4:$F$17,MATCH(D641&amp;"_"&amp;E641,PRECIOS_COMPLEMENTOS!$H$4:$H$17,0),IF(OR(H641="S",H641="20cm"),1,IF(OR(H641="M",H641="25cm"),2,IF(OR(H641="L",H641="30cm"),3,IF(OR(H641="XL",H641="35cm"),4,0))))),0)</f>
        <v>#REF!</v>
      </c>
      <c r="K641" s="12">
        <f t="shared" si="1"/>
        <v>0</v>
      </c>
      <c r="L641" s="13">
        <f>IFERROR(IF(C641="",0,IF(D641="PRETINA",SUMIFS($I$4:$I$640,$C$4:$C$640,C641,$D$4:$D$640,D641,$E$4:$E$640,E641,$F$4:$F$640,F641,$G$4:$G$640,G641,$H$4:$H$640,H641,$B$4:$B$640,"INGRESO")+SUMIFS($I$4:$I$640,$C$4:$C$640,C641,$D$4:$D$640,D641,$E$4:$E$640,E641,$F$4:$F$640,F641,$G$4:$G$640,G641,$H$4:$H$640,H641,$B$4:$B$640,"DE CORTE")-SUMIFS($I$4:$I$640,$C$4:$C$640,C641,$D$4:$D$640,D641,$E$4:$E$640,E641,$F$4:$F$640,F641,$G$4:$G$640,G641,$H$4:$H$640,H641,$B$4:$B$640,"SALIDA"),SUMIFS($I$4:$I$640,$C$4:$C$640,C641,$D$4:$D$640,D641,$E$4:$E$640,E641,$G$4:$G$640,G641,$H$4:$H$640,H641,$B$4:$B$640,"INGRESO")+SUMIFS($I$4:$I$640,$C$4:$C$640,C641,$D$4:$D$640,D641,$E$4:$E$640,E641,$G$4:$G$640,G641,$H$4:$H$640,H641,$B$4:$B$640,"DE CORTE")-SUMIFS($I$4:$I$640,$C$4:$C$640,C641,$D$4:$D$640,D641,$E$4:$E$640,E641,$G$4:$G$640,G641,$H$4:$H$640,H641,$B$4:$B$640,"SALIDA"))),0)</f>
        <v>0</v>
      </c>
      <c r="M641" s="13">
        <f t="shared" si="2"/>
        <v>0</v>
      </c>
      <c r="N641" s="14"/>
      <c r="O641" s="14"/>
      <c r="P641" s="15"/>
      <c r="Q641" s="14"/>
    </row>
    <row r="642" ht="15.75" customHeight="1">
      <c r="A642" s="7"/>
      <c r="B642" s="8"/>
      <c r="C642" s="8"/>
      <c r="D642" s="8"/>
      <c r="E642" s="8"/>
      <c r="F642" s="14"/>
      <c r="G642" s="8"/>
      <c r="H642" s="8"/>
      <c r="I642" s="9"/>
      <c r="J642" s="12" t="str">
        <f t="array" ref="J642:K642">IFERROR(INDEX(PRECIOS_COMPLEMENTOS!$C$4:$F$17,MATCH(D642&amp;"_"&amp;E642,PRECIOS_COMPLEMENTOS!$H$4:$H$17,0),IF(OR(H642="S",H642="20cm"),1,IF(OR(H642="M",H642="25cm"),2,IF(OR(H642="L",H642="30cm"),3,IF(OR(H642="XL",H642="35cm"),4,0))))),0)</f>
        <v>#REF!</v>
      </c>
      <c r="K642" s="12">
        <f t="shared" si="1"/>
        <v>0</v>
      </c>
      <c r="L642" s="13">
        <f>IFERROR(IF(C642="",0,IF(D642="PRETINA",SUMIFS($I$4:$I$641,$C$4:$C$641,C642,$D$4:$D$641,D642,$E$4:$E$641,E642,$F$4:$F$641,F642,$G$4:$G$641,G642,$H$4:$H$641,H642,$B$4:$B$641,"INGRESO")+SUMIFS($I$4:$I$641,$C$4:$C$641,C642,$D$4:$D$641,D642,$E$4:$E$641,E642,$F$4:$F$641,F642,$G$4:$G$641,G642,$H$4:$H$641,H642,$B$4:$B$641,"DE CORTE")-SUMIFS($I$4:$I$641,$C$4:$C$641,C642,$D$4:$D$641,D642,$E$4:$E$641,E642,$F$4:$F$641,F642,$G$4:$G$641,G642,$H$4:$H$641,H642,$B$4:$B$641,"SALIDA"),SUMIFS($I$4:$I$641,$C$4:$C$641,C642,$D$4:$D$641,D642,$E$4:$E$641,E642,$G$4:$G$641,G642,$H$4:$H$641,H642,$B$4:$B$641,"INGRESO")+SUMIFS($I$4:$I$641,$C$4:$C$641,C642,$D$4:$D$641,D642,$E$4:$E$641,E642,$G$4:$G$641,G642,$H$4:$H$641,H642,$B$4:$B$641,"DE CORTE")-SUMIFS($I$4:$I$641,$C$4:$C$641,C642,$D$4:$D$641,D642,$E$4:$E$641,E642,$G$4:$G$641,G642,$H$4:$H$641,H642,$B$4:$B$641,"SALIDA"))),0)</f>
        <v>0</v>
      </c>
      <c r="M642" s="13">
        <f t="shared" si="2"/>
        <v>0</v>
      </c>
      <c r="N642" s="14"/>
      <c r="O642" s="14"/>
      <c r="P642" s="15"/>
      <c r="Q642" s="14"/>
    </row>
    <row r="643" ht="15.75" customHeight="1">
      <c r="A643" s="7"/>
      <c r="B643" s="8"/>
      <c r="C643" s="8"/>
      <c r="D643" s="8"/>
      <c r="E643" s="8"/>
      <c r="F643" s="14"/>
      <c r="G643" s="8"/>
      <c r="H643" s="8"/>
      <c r="I643" s="9"/>
      <c r="J643" s="12" t="str">
        <f t="array" ref="J643:K643">IFERROR(INDEX(PRECIOS_COMPLEMENTOS!$C$4:$F$17,MATCH(D643&amp;"_"&amp;E643,PRECIOS_COMPLEMENTOS!$H$4:$H$17,0),IF(OR(H643="S",H643="20cm"),1,IF(OR(H643="M",H643="25cm"),2,IF(OR(H643="L",H643="30cm"),3,IF(OR(H643="XL",H643="35cm"),4,0))))),0)</f>
        <v>#REF!</v>
      </c>
      <c r="K643" s="12">
        <f t="shared" si="1"/>
        <v>0</v>
      </c>
      <c r="L643" s="13">
        <f>IFERROR(IF(C643="",0,IF(D643="PRETINA",SUMIFS($I$4:$I$642,$C$4:$C$642,C643,$D$4:$D$642,D643,$E$4:$E$642,E643,$F$4:$F$642,F643,$G$4:$G$642,G643,$H$4:$H$642,H643,$B$4:$B$642,"INGRESO")+SUMIFS($I$4:$I$642,$C$4:$C$642,C643,$D$4:$D$642,D643,$E$4:$E$642,E643,$F$4:$F$642,F643,$G$4:$G$642,G643,$H$4:$H$642,H643,$B$4:$B$642,"DE CORTE")-SUMIFS($I$4:$I$642,$C$4:$C$642,C643,$D$4:$D$642,D643,$E$4:$E$642,E643,$F$4:$F$642,F643,$G$4:$G$642,G643,$H$4:$H$642,H643,$B$4:$B$642,"SALIDA"),SUMIFS($I$4:$I$642,$C$4:$C$642,C643,$D$4:$D$642,D643,$E$4:$E$642,E643,$G$4:$G$642,G643,$H$4:$H$642,H643,$B$4:$B$642,"INGRESO")+SUMIFS($I$4:$I$642,$C$4:$C$642,C643,$D$4:$D$642,D643,$E$4:$E$642,E643,$G$4:$G$642,G643,$H$4:$H$642,H643,$B$4:$B$642,"DE CORTE")-SUMIFS($I$4:$I$642,$C$4:$C$642,C643,$D$4:$D$642,D643,$E$4:$E$642,E643,$G$4:$G$642,G643,$H$4:$H$642,H643,$B$4:$B$642,"SALIDA"))),0)</f>
        <v>0</v>
      </c>
      <c r="M643" s="13">
        <f t="shared" si="2"/>
        <v>0</v>
      </c>
      <c r="N643" s="14"/>
      <c r="O643" s="14"/>
      <c r="P643" s="15"/>
      <c r="Q643" s="14"/>
    </row>
    <row r="644" ht="15.75" customHeight="1">
      <c r="A644" s="7"/>
      <c r="B644" s="8"/>
      <c r="C644" s="8"/>
      <c r="D644" s="8"/>
      <c r="E644" s="8"/>
      <c r="F644" s="14"/>
      <c r="G644" s="8"/>
      <c r="H644" s="8"/>
      <c r="I644" s="9"/>
      <c r="J644" s="12" t="str">
        <f t="array" ref="J644:K644">IFERROR(INDEX(PRECIOS_COMPLEMENTOS!$C$4:$F$17,MATCH(D644&amp;"_"&amp;E644,PRECIOS_COMPLEMENTOS!$H$4:$H$17,0),IF(OR(H644="S",H644="20cm"),1,IF(OR(H644="M",H644="25cm"),2,IF(OR(H644="L",H644="30cm"),3,IF(OR(H644="XL",H644="35cm"),4,0))))),0)</f>
        <v>#REF!</v>
      </c>
      <c r="K644" s="12">
        <f t="shared" si="1"/>
        <v>0</v>
      </c>
      <c r="L644" s="13">
        <f>IFERROR(IF(C644="",0,IF(D644="PRETINA",SUMIFS($I$4:$I$643,$C$4:$C$643,C644,$D$4:$D$643,D644,$E$4:$E$643,E644,$F$4:$F$643,F644,$G$4:$G$643,G644,$H$4:$H$643,H644,$B$4:$B$643,"INGRESO")+SUMIFS($I$4:$I$643,$C$4:$C$643,C644,$D$4:$D$643,D644,$E$4:$E$643,E644,$F$4:$F$643,F644,$G$4:$G$643,G644,$H$4:$H$643,H644,$B$4:$B$643,"DE CORTE")-SUMIFS($I$4:$I$643,$C$4:$C$643,C644,$D$4:$D$643,D644,$E$4:$E$643,E644,$F$4:$F$643,F644,$G$4:$G$643,G644,$H$4:$H$643,H644,$B$4:$B$643,"SALIDA"),SUMIFS($I$4:$I$643,$C$4:$C$643,C644,$D$4:$D$643,D644,$E$4:$E$643,E644,$G$4:$G$643,G644,$H$4:$H$643,H644,$B$4:$B$643,"INGRESO")+SUMIFS($I$4:$I$643,$C$4:$C$643,C644,$D$4:$D$643,D644,$E$4:$E$643,E644,$G$4:$G$643,G644,$H$4:$H$643,H644,$B$4:$B$643,"DE CORTE")-SUMIFS($I$4:$I$643,$C$4:$C$643,C644,$D$4:$D$643,D644,$E$4:$E$643,E644,$G$4:$G$643,G644,$H$4:$H$643,H644,$B$4:$B$643,"SALIDA"))),0)</f>
        <v>0</v>
      </c>
      <c r="M644" s="13">
        <f t="shared" si="2"/>
        <v>0</v>
      </c>
      <c r="N644" s="14"/>
      <c r="O644" s="14"/>
      <c r="P644" s="15"/>
      <c r="Q644" s="14"/>
    </row>
    <row r="645" ht="15.75" customHeight="1">
      <c r="A645" s="7"/>
      <c r="B645" s="8"/>
      <c r="C645" s="8"/>
      <c r="D645" s="8"/>
      <c r="E645" s="8"/>
      <c r="F645" s="14"/>
      <c r="G645" s="8"/>
      <c r="H645" s="8"/>
      <c r="I645" s="9"/>
      <c r="J645" s="12" t="str">
        <f t="array" ref="J645:K645">IFERROR(INDEX(PRECIOS_COMPLEMENTOS!$C$4:$F$17,MATCH(D645&amp;"_"&amp;E645,PRECIOS_COMPLEMENTOS!$H$4:$H$17,0),IF(OR(H645="S",H645="20cm"),1,IF(OR(H645="M",H645="25cm"),2,IF(OR(H645="L",H645="30cm"),3,IF(OR(H645="XL",H645="35cm"),4,0))))),0)</f>
        <v>#REF!</v>
      </c>
      <c r="K645" s="12">
        <f t="shared" si="1"/>
        <v>0</v>
      </c>
      <c r="L645" s="13">
        <f>IFERROR(IF(C645="",0,IF(D645="PRETINA",SUMIFS($I$4:$I$644,$C$4:$C$644,C645,$D$4:$D$644,D645,$E$4:$E$644,E645,$F$4:$F$644,F645,$G$4:$G$644,G645,$H$4:$H$644,H645,$B$4:$B$644,"INGRESO")+SUMIFS($I$4:$I$644,$C$4:$C$644,C645,$D$4:$D$644,D645,$E$4:$E$644,E645,$F$4:$F$644,F645,$G$4:$G$644,G645,$H$4:$H$644,H645,$B$4:$B$644,"DE CORTE")-SUMIFS($I$4:$I$644,$C$4:$C$644,C645,$D$4:$D$644,D645,$E$4:$E$644,E645,$F$4:$F$644,F645,$G$4:$G$644,G645,$H$4:$H$644,H645,$B$4:$B$644,"SALIDA"),SUMIFS($I$4:$I$644,$C$4:$C$644,C645,$D$4:$D$644,D645,$E$4:$E$644,E645,$G$4:$G$644,G645,$H$4:$H$644,H645,$B$4:$B$644,"INGRESO")+SUMIFS($I$4:$I$644,$C$4:$C$644,C645,$D$4:$D$644,D645,$E$4:$E$644,E645,$G$4:$G$644,G645,$H$4:$H$644,H645,$B$4:$B$644,"DE CORTE")-SUMIFS($I$4:$I$644,$C$4:$C$644,C645,$D$4:$D$644,D645,$E$4:$E$644,E645,$G$4:$G$644,G645,$H$4:$H$644,H645,$B$4:$B$644,"SALIDA"))),0)</f>
        <v>0</v>
      </c>
      <c r="M645" s="13">
        <f t="shared" si="2"/>
        <v>0</v>
      </c>
      <c r="N645" s="14"/>
      <c r="O645" s="14"/>
      <c r="P645" s="15"/>
      <c r="Q645" s="14"/>
    </row>
    <row r="646" ht="15.75" customHeight="1">
      <c r="A646" s="7"/>
      <c r="B646" s="8"/>
      <c r="C646" s="8"/>
      <c r="D646" s="8"/>
      <c r="E646" s="8"/>
      <c r="F646" s="14"/>
      <c r="G646" s="8"/>
      <c r="H646" s="8"/>
      <c r="I646" s="9"/>
      <c r="J646" s="12" t="str">
        <f t="array" ref="J646:K646">IFERROR(INDEX(PRECIOS_COMPLEMENTOS!$C$4:$F$17,MATCH(D646&amp;"_"&amp;E646,PRECIOS_COMPLEMENTOS!$H$4:$H$17,0),IF(OR(H646="S",H646="20cm"),1,IF(OR(H646="M",H646="25cm"),2,IF(OR(H646="L",H646="30cm"),3,IF(OR(H646="XL",H646="35cm"),4,0))))),0)</f>
        <v>#REF!</v>
      </c>
      <c r="K646" s="12">
        <f t="shared" si="1"/>
        <v>0</v>
      </c>
      <c r="L646" s="13">
        <f>IFERROR(IF(C646="",0,IF(D646="PRETINA",SUMIFS($I$4:$I$645,$C$4:$C$645,C646,$D$4:$D$645,D646,$E$4:$E$645,E646,$F$4:$F$645,F646,$G$4:$G$645,G646,$H$4:$H$645,H646,$B$4:$B$645,"INGRESO")+SUMIFS($I$4:$I$645,$C$4:$C$645,C646,$D$4:$D$645,D646,$E$4:$E$645,E646,$F$4:$F$645,F646,$G$4:$G$645,G646,$H$4:$H$645,H646,$B$4:$B$645,"DE CORTE")-SUMIFS($I$4:$I$645,$C$4:$C$645,C646,$D$4:$D$645,D646,$E$4:$E$645,E646,$F$4:$F$645,F646,$G$4:$G$645,G646,$H$4:$H$645,H646,$B$4:$B$645,"SALIDA"),SUMIFS($I$4:$I$645,$C$4:$C$645,C646,$D$4:$D$645,D646,$E$4:$E$645,E646,$G$4:$G$645,G646,$H$4:$H$645,H646,$B$4:$B$645,"INGRESO")+SUMIFS($I$4:$I$645,$C$4:$C$645,C646,$D$4:$D$645,D646,$E$4:$E$645,E646,$G$4:$G$645,G646,$H$4:$H$645,H646,$B$4:$B$645,"DE CORTE")-SUMIFS($I$4:$I$645,$C$4:$C$645,C646,$D$4:$D$645,D646,$E$4:$E$645,E646,$G$4:$G$645,G646,$H$4:$H$645,H646,$B$4:$B$645,"SALIDA"))),0)</f>
        <v>0</v>
      </c>
      <c r="M646" s="13">
        <f t="shared" si="2"/>
        <v>0</v>
      </c>
      <c r="N646" s="14"/>
      <c r="O646" s="14"/>
      <c r="P646" s="15"/>
      <c r="Q646" s="14"/>
    </row>
    <row r="647" ht="15.75" customHeight="1">
      <c r="A647" s="7"/>
      <c r="B647" s="8"/>
      <c r="C647" s="8"/>
      <c r="D647" s="8"/>
      <c r="E647" s="8"/>
      <c r="F647" s="14"/>
      <c r="G647" s="8"/>
      <c r="H647" s="8"/>
      <c r="I647" s="9"/>
      <c r="J647" s="12" t="str">
        <f t="array" ref="J647:K647">IFERROR(INDEX(PRECIOS_COMPLEMENTOS!$C$4:$F$17,MATCH(D647&amp;"_"&amp;E647,PRECIOS_COMPLEMENTOS!$H$4:$H$17,0),IF(OR(H647="S",H647="20cm"),1,IF(OR(H647="M",H647="25cm"),2,IF(OR(H647="L",H647="30cm"),3,IF(OR(H647="XL",H647="35cm"),4,0))))),0)</f>
        <v>#REF!</v>
      </c>
      <c r="K647" s="12">
        <f t="shared" si="1"/>
        <v>0</v>
      </c>
      <c r="L647" s="13">
        <f>IFERROR(IF(C647="",0,IF(D647="PRETINA",SUMIFS($I$4:$I$646,$C$4:$C$646,C647,$D$4:$D$646,D647,$E$4:$E$646,E647,$F$4:$F$646,F647,$G$4:$G$646,G647,$H$4:$H$646,H647,$B$4:$B$646,"INGRESO")+SUMIFS($I$4:$I$646,$C$4:$C$646,C647,$D$4:$D$646,D647,$E$4:$E$646,E647,$F$4:$F$646,F647,$G$4:$G$646,G647,$H$4:$H$646,H647,$B$4:$B$646,"DE CORTE")-SUMIFS($I$4:$I$646,$C$4:$C$646,C647,$D$4:$D$646,D647,$E$4:$E$646,E647,$F$4:$F$646,F647,$G$4:$G$646,G647,$H$4:$H$646,H647,$B$4:$B$646,"SALIDA"),SUMIFS($I$4:$I$646,$C$4:$C$646,C647,$D$4:$D$646,D647,$E$4:$E$646,E647,$G$4:$G$646,G647,$H$4:$H$646,H647,$B$4:$B$646,"INGRESO")+SUMIFS($I$4:$I$646,$C$4:$C$646,C647,$D$4:$D$646,D647,$E$4:$E$646,E647,$G$4:$G$646,G647,$H$4:$H$646,H647,$B$4:$B$646,"DE CORTE")-SUMIFS($I$4:$I$646,$C$4:$C$646,C647,$D$4:$D$646,D647,$E$4:$E$646,E647,$G$4:$G$646,G647,$H$4:$H$646,H647,$B$4:$B$646,"SALIDA"))),0)</f>
        <v>0</v>
      </c>
      <c r="M647" s="13">
        <f t="shared" si="2"/>
        <v>0</v>
      </c>
      <c r="N647" s="14"/>
      <c r="O647" s="14"/>
      <c r="P647" s="15"/>
      <c r="Q647" s="14"/>
    </row>
    <row r="648" ht="15.75" customHeight="1">
      <c r="A648" s="7"/>
      <c r="B648" s="8"/>
      <c r="C648" s="8"/>
      <c r="D648" s="8"/>
      <c r="E648" s="8"/>
      <c r="F648" s="14"/>
      <c r="G648" s="8"/>
      <c r="H648" s="8"/>
      <c r="I648" s="9"/>
      <c r="J648" s="12" t="str">
        <f t="array" ref="J648:K648">IFERROR(INDEX(PRECIOS_COMPLEMENTOS!$C$4:$F$17,MATCH(D648&amp;"_"&amp;E648,PRECIOS_COMPLEMENTOS!$H$4:$H$17,0),IF(OR(H648="S",H648="20cm"),1,IF(OR(H648="M",H648="25cm"),2,IF(OR(H648="L",H648="30cm"),3,IF(OR(H648="XL",H648="35cm"),4,0))))),0)</f>
        <v>#REF!</v>
      </c>
      <c r="K648" s="12">
        <f t="shared" si="1"/>
        <v>0</v>
      </c>
      <c r="L648" s="13">
        <f>IFERROR(IF(C648="",0,IF(D648="PRETINA",SUMIFS($I$4:$I$647,$C$4:$C$647,C648,$D$4:$D$647,D648,$E$4:$E$647,E648,$F$4:$F$647,F648,$G$4:$G$647,G648,$H$4:$H$647,H648,$B$4:$B$647,"INGRESO")+SUMIFS($I$4:$I$647,$C$4:$C$647,C648,$D$4:$D$647,D648,$E$4:$E$647,E648,$F$4:$F$647,F648,$G$4:$G$647,G648,$H$4:$H$647,H648,$B$4:$B$647,"DE CORTE")-SUMIFS($I$4:$I$647,$C$4:$C$647,C648,$D$4:$D$647,D648,$E$4:$E$647,E648,$F$4:$F$647,F648,$G$4:$G$647,G648,$H$4:$H$647,H648,$B$4:$B$647,"SALIDA"),SUMIFS($I$4:$I$647,$C$4:$C$647,C648,$D$4:$D$647,D648,$E$4:$E$647,E648,$G$4:$G$647,G648,$H$4:$H$647,H648,$B$4:$B$647,"INGRESO")+SUMIFS($I$4:$I$647,$C$4:$C$647,C648,$D$4:$D$647,D648,$E$4:$E$647,E648,$G$4:$G$647,G648,$H$4:$H$647,H648,$B$4:$B$647,"DE CORTE")-SUMIFS($I$4:$I$647,$C$4:$C$647,C648,$D$4:$D$647,D648,$E$4:$E$647,E648,$G$4:$G$647,G648,$H$4:$H$647,H648,$B$4:$B$647,"SALIDA"))),0)</f>
        <v>0</v>
      </c>
      <c r="M648" s="13">
        <f t="shared" si="2"/>
        <v>0</v>
      </c>
      <c r="N648" s="14"/>
      <c r="O648" s="14"/>
      <c r="P648" s="15"/>
      <c r="Q648" s="14"/>
    </row>
    <row r="649" ht="15.75" customHeight="1">
      <c r="A649" s="7"/>
      <c r="B649" s="8"/>
      <c r="C649" s="8"/>
      <c r="D649" s="8"/>
      <c r="E649" s="8"/>
      <c r="F649" s="14"/>
      <c r="G649" s="8"/>
      <c r="H649" s="8"/>
      <c r="I649" s="9"/>
      <c r="J649" s="12" t="str">
        <f t="array" ref="J649:K649">IFERROR(INDEX(PRECIOS_COMPLEMENTOS!$C$4:$F$17,MATCH(D649&amp;"_"&amp;E649,PRECIOS_COMPLEMENTOS!$H$4:$H$17,0),IF(OR(H649="S",H649="20cm"),1,IF(OR(H649="M",H649="25cm"),2,IF(OR(H649="L",H649="30cm"),3,IF(OR(H649="XL",H649="35cm"),4,0))))),0)</f>
        <v>#REF!</v>
      </c>
      <c r="K649" s="12">
        <f t="shared" si="1"/>
        <v>0</v>
      </c>
      <c r="L649" s="13">
        <f>IFERROR(IF(C649="",0,IF(D649="PRETINA",SUMIFS($I$4:$I$648,$C$4:$C$648,C649,$D$4:$D$648,D649,$E$4:$E$648,E649,$F$4:$F$648,F649,$G$4:$G$648,G649,$H$4:$H$648,H649,$B$4:$B$648,"INGRESO")+SUMIFS($I$4:$I$648,$C$4:$C$648,C649,$D$4:$D$648,D649,$E$4:$E$648,E649,$F$4:$F$648,F649,$G$4:$G$648,G649,$H$4:$H$648,H649,$B$4:$B$648,"DE CORTE")-SUMIFS($I$4:$I$648,$C$4:$C$648,C649,$D$4:$D$648,D649,$E$4:$E$648,E649,$F$4:$F$648,F649,$G$4:$G$648,G649,$H$4:$H$648,H649,$B$4:$B$648,"SALIDA"),SUMIFS($I$4:$I$648,$C$4:$C$648,C649,$D$4:$D$648,D649,$E$4:$E$648,E649,$G$4:$G$648,G649,$H$4:$H$648,H649,$B$4:$B$648,"INGRESO")+SUMIFS($I$4:$I$648,$C$4:$C$648,C649,$D$4:$D$648,D649,$E$4:$E$648,E649,$G$4:$G$648,G649,$H$4:$H$648,H649,$B$4:$B$648,"DE CORTE")-SUMIFS($I$4:$I$648,$C$4:$C$648,C649,$D$4:$D$648,D649,$E$4:$E$648,E649,$G$4:$G$648,G649,$H$4:$H$648,H649,$B$4:$B$648,"SALIDA"))),0)</f>
        <v>0</v>
      </c>
      <c r="M649" s="13">
        <f t="shared" si="2"/>
        <v>0</v>
      </c>
      <c r="N649" s="14"/>
      <c r="O649" s="14"/>
      <c r="P649" s="15"/>
      <c r="Q649" s="14"/>
    </row>
    <row r="650" ht="15.75" customHeight="1">
      <c r="A650" s="7"/>
      <c r="B650" s="8"/>
      <c r="C650" s="8"/>
      <c r="D650" s="8"/>
      <c r="E650" s="8"/>
      <c r="F650" s="14"/>
      <c r="G650" s="8"/>
      <c r="H650" s="8"/>
      <c r="I650" s="9"/>
      <c r="J650" s="12" t="str">
        <f t="array" ref="J650:K650">IFERROR(INDEX(PRECIOS_COMPLEMENTOS!$C$4:$F$17,MATCH(D650&amp;"_"&amp;E650,PRECIOS_COMPLEMENTOS!$H$4:$H$17,0),IF(OR(H650="S",H650="20cm"),1,IF(OR(H650="M",H650="25cm"),2,IF(OR(H650="L",H650="30cm"),3,IF(OR(H650="XL",H650="35cm"),4,0))))),0)</f>
        <v>#REF!</v>
      </c>
      <c r="K650" s="12">
        <f t="shared" si="1"/>
        <v>0</v>
      </c>
      <c r="L650" s="13">
        <f>IFERROR(IF(C650="",0,IF(D650="PRETINA",SUMIFS($I$4:$I$649,$C$4:$C$649,C650,$D$4:$D$649,D650,$E$4:$E$649,E650,$F$4:$F$649,F650,$G$4:$G$649,G650,$H$4:$H$649,H650,$B$4:$B$649,"INGRESO")+SUMIFS($I$4:$I$649,$C$4:$C$649,C650,$D$4:$D$649,D650,$E$4:$E$649,E650,$F$4:$F$649,F650,$G$4:$G$649,G650,$H$4:$H$649,H650,$B$4:$B$649,"DE CORTE")-SUMIFS($I$4:$I$649,$C$4:$C$649,C650,$D$4:$D$649,D650,$E$4:$E$649,E650,$F$4:$F$649,F650,$G$4:$G$649,G650,$H$4:$H$649,H650,$B$4:$B$649,"SALIDA"),SUMIFS($I$4:$I$649,$C$4:$C$649,C650,$D$4:$D$649,D650,$E$4:$E$649,E650,$G$4:$G$649,G650,$H$4:$H$649,H650,$B$4:$B$649,"INGRESO")+SUMIFS($I$4:$I$649,$C$4:$C$649,C650,$D$4:$D$649,D650,$E$4:$E$649,E650,$G$4:$G$649,G650,$H$4:$H$649,H650,$B$4:$B$649,"DE CORTE")-SUMIFS($I$4:$I$649,$C$4:$C$649,C650,$D$4:$D$649,D650,$E$4:$E$649,E650,$G$4:$G$649,G650,$H$4:$H$649,H650,$B$4:$B$649,"SALIDA"))),0)</f>
        <v>0</v>
      </c>
      <c r="M650" s="13">
        <f t="shared" si="2"/>
        <v>0</v>
      </c>
      <c r="N650" s="14"/>
      <c r="O650" s="14"/>
      <c r="P650" s="15"/>
      <c r="Q650" s="14"/>
    </row>
    <row r="651" ht="15.75" customHeight="1">
      <c r="A651" s="7"/>
      <c r="B651" s="8"/>
      <c r="C651" s="8"/>
      <c r="D651" s="8"/>
      <c r="E651" s="8"/>
      <c r="F651" s="14"/>
      <c r="G651" s="8"/>
      <c r="H651" s="8"/>
      <c r="I651" s="9"/>
      <c r="J651" s="12" t="str">
        <f t="array" ref="J651:K651">IFERROR(INDEX(PRECIOS_COMPLEMENTOS!$C$4:$F$17,MATCH(D651&amp;"_"&amp;E651,PRECIOS_COMPLEMENTOS!$H$4:$H$17,0),IF(OR(H651="S",H651="20cm"),1,IF(OR(H651="M",H651="25cm"),2,IF(OR(H651="L",H651="30cm"),3,IF(OR(H651="XL",H651="35cm"),4,0))))),0)</f>
        <v>#REF!</v>
      </c>
      <c r="K651" s="12">
        <f t="shared" si="1"/>
        <v>0</v>
      </c>
      <c r="L651" s="13">
        <f>IFERROR(IF(C651="",0,IF(D651="PRETINA",SUMIFS($I$4:$I$650,$C$4:$C$650,C651,$D$4:$D$650,D651,$E$4:$E$650,E651,$F$4:$F$650,F651,$G$4:$G$650,G651,$H$4:$H$650,H651,$B$4:$B$650,"INGRESO")+SUMIFS($I$4:$I$650,$C$4:$C$650,C651,$D$4:$D$650,D651,$E$4:$E$650,E651,$F$4:$F$650,F651,$G$4:$G$650,G651,$H$4:$H$650,H651,$B$4:$B$650,"DE CORTE")-SUMIFS($I$4:$I$650,$C$4:$C$650,C651,$D$4:$D$650,D651,$E$4:$E$650,E651,$F$4:$F$650,F651,$G$4:$G$650,G651,$H$4:$H$650,H651,$B$4:$B$650,"SALIDA"),SUMIFS($I$4:$I$650,$C$4:$C$650,C651,$D$4:$D$650,D651,$E$4:$E$650,E651,$G$4:$G$650,G651,$H$4:$H$650,H651,$B$4:$B$650,"INGRESO")+SUMIFS($I$4:$I$650,$C$4:$C$650,C651,$D$4:$D$650,D651,$E$4:$E$650,E651,$G$4:$G$650,G651,$H$4:$H$650,H651,$B$4:$B$650,"DE CORTE")-SUMIFS($I$4:$I$650,$C$4:$C$650,C651,$D$4:$D$650,D651,$E$4:$E$650,E651,$G$4:$G$650,G651,$H$4:$H$650,H651,$B$4:$B$650,"SALIDA"))),0)</f>
        <v>0</v>
      </c>
      <c r="M651" s="13">
        <f t="shared" si="2"/>
        <v>0</v>
      </c>
      <c r="N651" s="14"/>
      <c r="O651" s="14"/>
      <c r="P651" s="15"/>
      <c r="Q651" s="14"/>
    </row>
    <row r="652" ht="15.75" customHeight="1">
      <c r="A652" s="7"/>
      <c r="B652" s="8"/>
      <c r="C652" s="8"/>
      <c r="D652" s="8"/>
      <c r="E652" s="8"/>
      <c r="F652" s="14"/>
      <c r="G652" s="8"/>
      <c r="H652" s="8"/>
      <c r="I652" s="9"/>
      <c r="J652" s="12" t="str">
        <f t="array" ref="J652:K652">IFERROR(INDEX(PRECIOS_COMPLEMENTOS!$C$4:$F$17,MATCH(D652&amp;"_"&amp;E652,PRECIOS_COMPLEMENTOS!$H$4:$H$17,0),IF(OR(H652="S",H652="20cm"),1,IF(OR(H652="M",H652="25cm"),2,IF(OR(H652="L",H652="30cm"),3,IF(OR(H652="XL",H652="35cm"),4,0))))),0)</f>
        <v>#REF!</v>
      </c>
      <c r="K652" s="12">
        <f t="shared" si="1"/>
        <v>0</v>
      </c>
      <c r="L652" s="13">
        <f>IFERROR(IF(C652="",0,IF(D652="PRETINA",SUMIFS($I$4:$I$651,$C$4:$C$651,C652,$D$4:$D$651,D652,$E$4:$E$651,E652,$F$4:$F$651,F652,$G$4:$G$651,G652,$H$4:$H$651,H652,$B$4:$B$651,"INGRESO")+SUMIFS($I$4:$I$651,$C$4:$C$651,C652,$D$4:$D$651,D652,$E$4:$E$651,E652,$F$4:$F$651,F652,$G$4:$G$651,G652,$H$4:$H$651,H652,$B$4:$B$651,"DE CORTE")-SUMIFS($I$4:$I$651,$C$4:$C$651,C652,$D$4:$D$651,D652,$E$4:$E$651,E652,$F$4:$F$651,F652,$G$4:$G$651,G652,$H$4:$H$651,H652,$B$4:$B$651,"SALIDA"),SUMIFS($I$4:$I$651,$C$4:$C$651,C652,$D$4:$D$651,D652,$E$4:$E$651,E652,$G$4:$G$651,G652,$H$4:$H$651,H652,$B$4:$B$651,"INGRESO")+SUMIFS($I$4:$I$651,$C$4:$C$651,C652,$D$4:$D$651,D652,$E$4:$E$651,E652,$G$4:$G$651,G652,$H$4:$H$651,H652,$B$4:$B$651,"DE CORTE")-SUMIFS($I$4:$I$651,$C$4:$C$651,C652,$D$4:$D$651,D652,$E$4:$E$651,E652,$G$4:$G$651,G652,$H$4:$H$651,H652,$B$4:$B$651,"SALIDA"))),0)</f>
        <v>0</v>
      </c>
      <c r="M652" s="13">
        <f t="shared" si="2"/>
        <v>0</v>
      </c>
      <c r="N652" s="14"/>
      <c r="O652" s="14"/>
      <c r="P652" s="15"/>
      <c r="Q652" s="14"/>
    </row>
    <row r="653" ht="15.75" customHeight="1">
      <c r="A653" s="7"/>
      <c r="B653" s="8"/>
      <c r="C653" s="8"/>
      <c r="D653" s="8"/>
      <c r="E653" s="8"/>
      <c r="F653" s="14"/>
      <c r="G653" s="8"/>
      <c r="H653" s="8"/>
      <c r="I653" s="9"/>
      <c r="J653" s="12" t="str">
        <f t="array" ref="J653:K653">IFERROR(INDEX(PRECIOS_COMPLEMENTOS!$C$4:$F$17,MATCH(D653&amp;"_"&amp;E653,PRECIOS_COMPLEMENTOS!$H$4:$H$17,0),IF(OR(H653="S",H653="20cm"),1,IF(OR(H653="M",H653="25cm"),2,IF(OR(H653="L",H653="30cm"),3,IF(OR(H653="XL",H653="35cm"),4,0))))),0)</f>
        <v>#REF!</v>
      </c>
      <c r="K653" s="12">
        <f t="shared" si="1"/>
        <v>0</v>
      </c>
      <c r="L653" s="13">
        <f>IFERROR(IF(C653="",0,IF(D653="PRETINA",SUMIFS($I$4:$I$652,$C$4:$C$652,C653,$D$4:$D$652,D653,$E$4:$E$652,E653,$F$4:$F$652,F653,$G$4:$G$652,G653,$H$4:$H$652,H653,$B$4:$B$652,"INGRESO")+SUMIFS($I$4:$I$652,$C$4:$C$652,C653,$D$4:$D$652,D653,$E$4:$E$652,E653,$F$4:$F$652,F653,$G$4:$G$652,G653,$H$4:$H$652,H653,$B$4:$B$652,"DE CORTE")-SUMIFS($I$4:$I$652,$C$4:$C$652,C653,$D$4:$D$652,D653,$E$4:$E$652,E653,$F$4:$F$652,F653,$G$4:$G$652,G653,$H$4:$H$652,H653,$B$4:$B$652,"SALIDA"),SUMIFS($I$4:$I$652,$C$4:$C$652,C653,$D$4:$D$652,D653,$E$4:$E$652,E653,$G$4:$G$652,G653,$H$4:$H$652,H653,$B$4:$B$652,"INGRESO")+SUMIFS($I$4:$I$652,$C$4:$C$652,C653,$D$4:$D$652,D653,$E$4:$E$652,E653,$G$4:$G$652,G653,$H$4:$H$652,H653,$B$4:$B$652,"DE CORTE")-SUMIFS($I$4:$I$652,$C$4:$C$652,C653,$D$4:$D$652,D653,$E$4:$E$652,E653,$G$4:$G$652,G653,$H$4:$H$652,H653,$B$4:$B$652,"SALIDA"))),0)</f>
        <v>0</v>
      </c>
      <c r="M653" s="13">
        <f t="shared" si="2"/>
        <v>0</v>
      </c>
      <c r="N653" s="14"/>
      <c r="O653" s="14"/>
      <c r="P653" s="15"/>
      <c r="Q653" s="14"/>
    </row>
    <row r="654" ht="15.75" customHeight="1">
      <c r="A654" s="7"/>
      <c r="B654" s="8"/>
      <c r="C654" s="8"/>
      <c r="D654" s="8"/>
      <c r="E654" s="8"/>
      <c r="F654" s="14"/>
      <c r="G654" s="8"/>
      <c r="H654" s="8"/>
      <c r="I654" s="9"/>
      <c r="J654" s="12" t="str">
        <f t="array" ref="J654:K654">IFERROR(INDEX(PRECIOS_COMPLEMENTOS!$C$4:$F$17,MATCH(D654&amp;"_"&amp;E654,PRECIOS_COMPLEMENTOS!$H$4:$H$17,0),IF(OR(H654="S",H654="20cm"),1,IF(OR(H654="M",H654="25cm"),2,IF(OR(H654="L",H654="30cm"),3,IF(OR(H654="XL",H654="35cm"),4,0))))),0)</f>
        <v>#REF!</v>
      </c>
      <c r="K654" s="12">
        <f t="shared" si="1"/>
        <v>0</v>
      </c>
      <c r="L654" s="13">
        <f>IFERROR(IF(C654="",0,IF(D654="PRETINA",SUMIFS($I$4:$I$653,$C$4:$C$653,C654,$D$4:$D$653,D654,$E$4:$E$653,E654,$F$4:$F$653,F654,$G$4:$G$653,G654,$H$4:$H$653,H654,$B$4:$B$653,"INGRESO")+SUMIFS($I$4:$I$653,$C$4:$C$653,C654,$D$4:$D$653,D654,$E$4:$E$653,E654,$F$4:$F$653,F654,$G$4:$G$653,G654,$H$4:$H$653,H654,$B$4:$B$653,"DE CORTE")-SUMIFS($I$4:$I$653,$C$4:$C$653,C654,$D$4:$D$653,D654,$E$4:$E$653,E654,$F$4:$F$653,F654,$G$4:$G$653,G654,$H$4:$H$653,H654,$B$4:$B$653,"SALIDA"),SUMIFS($I$4:$I$653,$C$4:$C$653,C654,$D$4:$D$653,D654,$E$4:$E$653,E654,$G$4:$G$653,G654,$H$4:$H$653,H654,$B$4:$B$653,"INGRESO")+SUMIFS($I$4:$I$653,$C$4:$C$653,C654,$D$4:$D$653,D654,$E$4:$E$653,E654,$G$4:$G$653,G654,$H$4:$H$653,H654,$B$4:$B$653,"DE CORTE")-SUMIFS($I$4:$I$653,$C$4:$C$653,C654,$D$4:$D$653,D654,$E$4:$E$653,E654,$G$4:$G$653,G654,$H$4:$H$653,H654,$B$4:$B$653,"SALIDA"))),0)</f>
        <v>0</v>
      </c>
      <c r="M654" s="13">
        <f t="shared" si="2"/>
        <v>0</v>
      </c>
      <c r="N654" s="14"/>
      <c r="O654" s="14"/>
      <c r="P654" s="15"/>
      <c r="Q654" s="14"/>
    </row>
    <row r="655" ht="15.75" customHeight="1">
      <c r="A655" s="7"/>
      <c r="B655" s="8"/>
      <c r="C655" s="8"/>
      <c r="D655" s="8"/>
      <c r="E655" s="8"/>
      <c r="F655" s="14"/>
      <c r="G655" s="8"/>
      <c r="H655" s="8"/>
      <c r="I655" s="9"/>
      <c r="J655" s="12" t="str">
        <f t="array" ref="J655:K655">IFERROR(INDEX(PRECIOS_COMPLEMENTOS!$C$4:$F$17,MATCH(D655&amp;"_"&amp;E655,PRECIOS_COMPLEMENTOS!$H$4:$H$17,0),IF(OR(H655="S",H655="20cm"),1,IF(OR(H655="M",H655="25cm"),2,IF(OR(H655="L",H655="30cm"),3,IF(OR(H655="XL",H655="35cm"),4,0))))),0)</f>
        <v>#REF!</v>
      </c>
      <c r="K655" s="12">
        <f t="shared" si="1"/>
        <v>0</v>
      </c>
      <c r="L655" s="13">
        <f>IFERROR(IF(C655="",0,IF(D655="PRETINA",SUMIFS($I$4:$I$654,$C$4:$C$654,C655,$D$4:$D$654,D655,$E$4:$E$654,E655,$F$4:$F$654,F655,$G$4:$G$654,G655,$H$4:$H$654,H655,$B$4:$B$654,"INGRESO")+SUMIFS($I$4:$I$654,$C$4:$C$654,C655,$D$4:$D$654,D655,$E$4:$E$654,E655,$F$4:$F$654,F655,$G$4:$G$654,G655,$H$4:$H$654,H655,$B$4:$B$654,"DE CORTE")-SUMIFS($I$4:$I$654,$C$4:$C$654,C655,$D$4:$D$654,D655,$E$4:$E$654,E655,$F$4:$F$654,F655,$G$4:$G$654,G655,$H$4:$H$654,H655,$B$4:$B$654,"SALIDA"),SUMIFS($I$4:$I$654,$C$4:$C$654,C655,$D$4:$D$654,D655,$E$4:$E$654,E655,$G$4:$G$654,G655,$H$4:$H$654,H655,$B$4:$B$654,"INGRESO")+SUMIFS($I$4:$I$654,$C$4:$C$654,C655,$D$4:$D$654,D655,$E$4:$E$654,E655,$G$4:$G$654,G655,$H$4:$H$654,H655,$B$4:$B$654,"DE CORTE")-SUMIFS($I$4:$I$654,$C$4:$C$654,C655,$D$4:$D$654,D655,$E$4:$E$654,E655,$G$4:$G$654,G655,$H$4:$H$654,H655,$B$4:$B$654,"SALIDA"))),0)</f>
        <v>0</v>
      </c>
      <c r="M655" s="13">
        <f t="shared" si="2"/>
        <v>0</v>
      </c>
      <c r="N655" s="14"/>
      <c r="O655" s="14"/>
      <c r="P655" s="15"/>
      <c r="Q655" s="14"/>
    </row>
    <row r="656" ht="15.75" customHeight="1">
      <c r="A656" s="7"/>
      <c r="B656" s="8"/>
      <c r="C656" s="8"/>
      <c r="D656" s="8"/>
      <c r="E656" s="8"/>
      <c r="F656" s="14"/>
      <c r="G656" s="8"/>
      <c r="H656" s="8"/>
      <c r="I656" s="9"/>
      <c r="J656" s="12" t="str">
        <f t="array" ref="J656:K656">IFERROR(INDEX(PRECIOS_COMPLEMENTOS!$C$4:$F$17,MATCH(D656&amp;"_"&amp;E656,PRECIOS_COMPLEMENTOS!$H$4:$H$17,0),IF(OR(H656="S",H656="20cm"),1,IF(OR(H656="M",H656="25cm"),2,IF(OR(H656="L",H656="30cm"),3,IF(OR(H656="XL",H656="35cm"),4,0))))),0)</f>
        <v>#REF!</v>
      </c>
      <c r="K656" s="12">
        <f t="shared" si="1"/>
        <v>0</v>
      </c>
      <c r="L656" s="13">
        <f>IFERROR(IF(C656="",0,IF(D656="PRETINA",SUMIFS($I$4:$I$655,$C$4:$C$655,C656,$D$4:$D$655,D656,$E$4:$E$655,E656,$F$4:$F$655,F656,$G$4:$G$655,G656,$H$4:$H$655,H656,$B$4:$B$655,"INGRESO")+SUMIFS($I$4:$I$655,$C$4:$C$655,C656,$D$4:$D$655,D656,$E$4:$E$655,E656,$F$4:$F$655,F656,$G$4:$G$655,G656,$H$4:$H$655,H656,$B$4:$B$655,"DE CORTE")-SUMIFS($I$4:$I$655,$C$4:$C$655,C656,$D$4:$D$655,D656,$E$4:$E$655,E656,$F$4:$F$655,F656,$G$4:$G$655,G656,$H$4:$H$655,H656,$B$4:$B$655,"SALIDA"),SUMIFS($I$4:$I$655,$C$4:$C$655,C656,$D$4:$D$655,D656,$E$4:$E$655,E656,$G$4:$G$655,G656,$H$4:$H$655,H656,$B$4:$B$655,"INGRESO")+SUMIFS($I$4:$I$655,$C$4:$C$655,C656,$D$4:$D$655,D656,$E$4:$E$655,E656,$G$4:$G$655,G656,$H$4:$H$655,H656,$B$4:$B$655,"DE CORTE")-SUMIFS($I$4:$I$655,$C$4:$C$655,C656,$D$4:$D$655,D656,$E$4:$E$655,E656,$G$4:$G$655,G656,$H$4:$H$655,H656,$B$4:$B$655,"SALIDA"))),0)</f>
        <v>0</v>
      </c>
      <c r="M656" s="13">
        <f t="shared" si="2"/>
        <v>0</v>
      </c>
      <c r="N656" s="14"/>
      <c r="O656" s="14"/>
      <c r="P656" s="15"/>
      <c r="Q656" s="14"/>
    </row>
    <row r="657" ht="15.75" customHeight="1">
      <c r="A657" s="7"/>
      <c r="B657" s="8"/>
      <c r="C657" s="8"/>
      <c r="D657" s="8"/>
      <c r="E657" s="8"/>
      <c r="F657" s="14"/>
      <c r="G657" s="8"/>
      <c r="H657" s="8"/>
      <c r="I657" s="9"/>
      <c r="J657" s="12" t="str">
        <f t="array" ref="J657:K657">IFERROR(INDEX(PRECIOS_COMPLEMENTOS!$C$4:$F$17,MATCH(D657&amp;"_"&amp;E657,PRECIOS_COMPLEMENTOS!$H$4:$H$17,0),IF(OR(H657="S",H657="20cm"),1,IF(OR(H657="M",H657="25cm"),2,IF(OR(H657="L",H657="30cm"),3,IF(OR(H657="XL",H657="35cm"),4,0))))),0)</f>
        <v>#REF!</v>
      </c>
      <c r="K657" s="12">
        <f t="shared" si="1"/>
        <v>0</v>
      </c>
      <c r="L657" s="13">
        <f>IFERROR(IF(C657="",0,IF(D657="PRETINA",SUMIFS($I$4:$I$656,$C$4:$C$656,C657,$D$4:$D$656,D657,$E$4:$E$656,E657,$F$4:$F$656,F657,$G$4:$G$656,G657,$H$4:$H$656,H657,$B$4:$B$656,"INGRESO")+SUMIFS($I$4:$I$656,$C$4:$C$656,C657,$D$4:$D$656,D657,$E$4:$E$656,E657,$F$4:$F$656,F657,$G$4:$G$656,G657,$H$4:$H$656,H657,$B$4:$B$656,"DE CORTE")-SUMIFS($I$4:$I$656,$C$4:$C$656,C657,$D$4:$D$656,D657,$E$4:$E$656,E657,$F$4:$F$656,F657,$G$4:$G$656,G657,$H$4:$H$656,H657,$B$4:$B$656,"SALIDA"),SUMIFS($I$4:$I$656,$C$4:$C$656,C657,$D$4:$D$656,D657,$E$4:$E$656,E657,$G$4:$G$656,G657,$H$4:$H$656,H657,$B$4:$B$656,"INGRESO")+SUMIFS($I$4:$I$656,$C$4:$C$656,C657,$D$4:$D$656,D657,$E$4:$E$656,E657,$G$4:$G$656,G657,$H$4:$H$656,H657,$B$4:$B$656,"DE CORTE")-SUMIFS($I$4:$I$656,$C$4:$C$656,C657,$D$4:$D$656,D657,$E$4:$E$656,E657,$G$4:$G$656,G657,$H$4:$H$656,H657,$B$4:$B$656,"SALIDA"))),0)</f>
        <v>0</v>
      </c>
      <c r="M657" s="13">
        <f t="shared" si="2"/>
        <v>0</v>
      </c>
      <c r="N657" s="14"/>
      <c r="O657" s="14"/>
      <c r="P657" s="15"/>
      <c r="Q657" s="14"/>
    </row>
    <row r="658" ht="15.75" customHeight="1">
      <c r="A658" s="7"/>
      <c r="B658" s="8"/>
      <c r="C658" s="8"/>
      <c r="D658" s="8"/>
      <c r="E658" s="8"/>
      <c r="F658" s="14"/>
      <c r="G658" s="8"/>
      <c r="H658" s="8"/>
      <c r="I658" s="9"/>
      <c r="J658" s="12" t="str">
        <f t="array" ref="J658:K658">IFERROR(INDEX(PRECIOS_COMPLEMENTOS!$C$4:$F$17,MATCH(D658&amp;"_"&amp;E658,PRECIOS_COMPLEMENTOS!$H$4:$H$17,0),IF(OR(H658="S",H658="20cm"),1,IF(OR(H658="M",H658="25cm"),2,IF(OR(H658="L",H658="30cm"),3,IF(OR(H658="XL",H658="35cm"),4,0))))),0)</f>
        <v>#REF!</v>
      </c>
      <c r="K658" s="12">
        <f t="shared" si="1"/>
        <v>0</v>
      </c>
      <c r="L658" s="13">
        <f>IFERROR(IF(C658="",0,IF(D658="PRETINA",SUMIFS($I$4:$I$657,$C$4:$C$657,C658,$D$4:$D$657,D658,$E$4:$E$657,E658,$F$4:$F$657,F658,$G$4:$G$657,G658,$H$4:$H$657,H658,$B$4:$B$657,"INGRESO")+SUMIFS($I$4:$I$657,$C$4:$C$657,C658,$D$4:$D$657,D658,$E$4:$E$657,E658,$F$4:$F$657,F658,$G$4:$G$657,G658,$H$4:$H$657,H658,$B$4:$B$657,"DE CORTE")-SUMIFS($I$4:$I$657,$C$4:$C$657,C658,$D$4:$D$657,D658,$E$4:$E$657,E658,$F$4:$F$657,F658,$G$4:$G$657,G658,$H$4:$H$657,H658,$B$4:$B$657,"SALIDA"),SUMIFS($I$4:$I$657,$C$4:$C$657,C658,$D$4:$D$657,D658,$E$4:$E$657,E658,$G$4:$G$657,G658,$H$4:$H$657,H658,$B$4:$B$657,"INGRESO")+SUMIFS($I$4:$I$657,$C$4:$C$657,C658,$D$4:$D$657,D658,$E$4:$E$657,E658,$G$4:$G$657,G658,$H$4:$H$657,H658,$B$4:$B$657,"DE CORTE")-SUMIFS($I$4:$I$657,$C$4:$C$657,C658,$D$4:$D$657,D658,$E$4:$E$657,E658,$G$4:$G$657,G658,$H$4:$H$657,H658,$B$4:$B$657,"SALIDA"))),0)</f>
        <v>0</v>
      </c>
      <c r="M658" s="13">
        <f t="shared" si="2"/>
        <v>0</v>
      </c>
      <c r="N658" s="14"/>
      <c r="O658" s="14"/>
      <c r="P658" s="15"/>
      <c r="Q658" s="14"/>
    </row>
    <row r="659" ht="15.75" customHeight="1">
      <c r="A659" s="7"/>
      <c r="B659" s="8"/>
      <c r="C659" s="8"/>
      <c r="D659" s="8"/>
      <c r="E659" s="8"/>
      <c r="F659" s="14"/>
      <c r="G659" s="8"/>
      <c r="H659" s="8"/>
      <c r="I659" s="9"/>
      <c r="J659" s="12" t="str">
        <f t="array" ref="J659:K659">IFERROR(INDEX(PRECIOS_COMPLEMENTOS!$C$4:$F$17,MATCH(D659&amp;"_"&amp;E659,PRECIOS_COMPLEMENTOS!$H$4:$H$17,0),IF(OR(H659="S",H659="20cm"),1,IF(OR(H659="M",H659="25cm"),2,IF(OR(H659="L",H659="30cm"),3,IF(OR(H659="XL",H659="35cm"),4,0))))),0)</f>
        <v>#REF!</v>
      </c>
      <c r="K659" s="12">
        <f t="shared" si="1"/>
        <v>0</v>
      </c>
      <c r="L659" s="13">
        <f>IFERROR(IF(C659="",0,IF(D659="PRETINA",SUMIFS($I$4:$I$658,$C$4:$C$658,C659,$D$4:$D$658,D659,$E$4:$E$658,E659,$F$4:$F$658,F659,$G$4:$G$658,G659,$H$4:$H$658,H659,$B$4:$B$658,"INGRESO")+SUMIFS($I$4:$I$658,$C$4:$C$658,C659,$D$4:$D$658,D659,$E$4:$E$658,E659,$F$4:$F$658,F659,$G$4:$G$658,G659,$H$4:$H$658,H659,$B$4:$B$658,"DE CORTE")-SUMIFS($I$4:$I$658,$C$4:$C$658,C659,$D$4:$D$658,D659,$E$4:$E$658,E659,$F$4:$F$658,F659,$G$4:$G$658,G659,$H$4:$H$658,H659,$B$4:$B$658,"SALIDA"),SUMIFS($I$4:$I$658,$C$4:$C$658,C659,$D$4:$D$658,D659,$E$4:$E$658,E659,$G$4:$G$658,G659,$H$4:$H$658,H659,$B$4:$B$658,"INGRESO")+SUMIFS($I$4:$I$658,$C$4:$C$658,C659,$D$4:$D$658,D659,$E$4:$E$658,E659,$G$4:$G$658,G659,$H$4:$H$658,H659,$B$4:$B$658,"DE CORTE")-SUMIFS($I$4:$I$658,$C$4:$C$658,C659,$D$4:$D$658,D659,$E$4:$E$658,E659,$G$4:$G$658,G659,$H$4:$H$658,H659,$B$4:$B$658,"SALIDA"))),0)</f>
        <v>0</v>
      </c>
      <c r="M659" s="13">
        <f t="shared" si="2"/>
        <v>0</v>
      </c>
      <c r="N659" s="14"/>
      <c r="O659" s="14"/>
      <c r="P659" s="15"/>
      <c r="Q659" s="14"/>
    </row>
    <row r="660" ht="15.75" customHeight="1">
      <c r="A660" s="7"/>
      <c r="B660" s="8"/>
      <c r="C660" s="8"/>
      <c r="D660" s="8"/>
      <c r="E660" s="8"/>
      <c r="F660" s="14"/>
      <c r="G660" s="8"/>
      <c r="H660" s="8"/>
      <c r="I660" s="9"/>
      <c r="J660" s="12" t="str">
        <f t="array" ref="J660:K660">IFERROR(INDEX(PRECIOS_COMPLEMENTOS!$C$4:$F$17,MATCH(D660&amp;"_"&amp;E660,PRECIOS_COMPLEMENTOS!$H$4:$H$17,0),IF(OR(H660="S",H660="20cm"),1,IF(OR(H660="M",H660="25cm"),2,IF(OR(H660="L",H660="30cm"),3,IF(OR(H660="XL",H660="35cm"),4,0))))),0)</f>
        <v>#REF!</v>
      </c>
      <c r="K660" s="12">
        <f t="shared" si="1"/>
        <v>0</v>
      </c>
      <c r="L660" s="13">
        <f>IFERROR(IF(C660="",0,IF(D660="PRETINA",SUMIFS($I$4:$I$659,$C$4:$C$659,C660,$D$4:$D$659,D660,$E$4:$E$659,E660,$F$4:$F$659,F660,$G$4:$G$659,G660,$H$4:$H$659,H660,$B$4:$B$659,"INGRESO")+SUMIFS($I$4:$I$659,$C$4:$C$659,C660,$D$4:$D$659,D660,$E$4:$E$659,E660,$F$4:$F$659,F660,$G$4:$G$659,G660,$H$4:$H$659,H660,$B$4:$B$659,"DE CORTE")-SUMIFS($I$4:$I$659,$C$4:$C$659,C660,$D$4:$D$659,D660,$E$4:$E$659,E660,$F$4:$F$659,F660,$G$4:$G$659,G660,$H$4:$H$659,H660,$B$4:$B$659,"SALIDA"),SUMIFS($I$4:$I$659,$C$4:$C$659,C660,$D$4:$D$659,D660,$E$4:$E$659,E660,$G$4:$G$659,G660,$H$4:$H$659,H660,$B$4:$B$659,"INGRESO")+SUMIFS($I$4:$I$659,$C$4:$C$659,C660,$D$4:$D$659,D660,$E$4:$E$659,E660,$G$4:$G$659,G660,$H$4:$H$659,H660,$B$4:$B$659,"DE CORTE")-SUMIFS($I$4:$I$659,$C$4:$C$659,C660,$D$4:$D$659,D660,$E$4:$E$659,E660,$G$4:$G$659,G660,$H$4:$H$659,H660,$B$4:$B$659,"SALIDA"))),0)</f>
        <v>0</v>
      </c>
      <c r="M660" s="13">
        <f t="shared" si="2"/>
        <v>0</v>
      </c>
      <c r="N660" s="14"/>
      <c r="O660" s="14"/>
      <c r="P660" s="15"/>
      <c r="Q660" s="14"/>
    </row>
    <row r="661" ht="15.75" customHeight="1">
      <c r="A661" s="7"/>
      <c r="B661" s="8"/>
      <c r="C661" s="8"/>
      <c r="D661" s="8"/>
      <c r="E661" s="8"/>
      <c r="F661" s="14"/>
      <c r="G661" s="8"/>
      <c r="H661" s="8"/>
      <c r="I661" s="9"/>
      <c r="J661" s="12" t="str">
        <f t="array" ref="J661:K661">IFERROR(INDEX(PRECIOS_COMPLEMENTOS!$C$4:$F$17,MATCH(D661&amp;"_"&amp;E661,PRECIOS_COMPLEMENTOS!$H$4:$H$17,0),IF(OR(H661="S",H661="20cm"),1,IF(OR(H661="M",H661="25cm"),2,IF(OR(H661="L",H661="30cm"),3,IF(OR(H661="XL",H661="35cm"),4,0))))),0)</f>
        <v>#REF!</v>
      </c>
      <c r="K661" s="12">
        <f t="shared" si="1"/>
        <v>0</v>
      </c>
      <c r="L661" s="13">
        <f>IFERROR(IF(C661="",0,IF(D661="PRETINA",SUMIFS($I$4:$I$660,$C$4:$C$660,C661,$D$4:$D$660,D661,$E$4:$E$660,E661,$F$4:$F$660,F661,$G$4:$G$660,G661,$H$4:$H$660,H661,$B$4:$B$660,"INGRESO")+SUMIFS($I$4:$I$660,$C$4:$C$660,C661,$D$4:$D$660,D661,$E$4:$E$660,E661,$F$4:$F$660,F661,$G$4:$G$660,G661,$H$4:$H$660,H661,$B$4:$B$660,"DE CORTE")-SUMIFS($I$4:$I$660,$C$4:$C$660,C661,$D$4:$D$660,D661,$E$4:$E$660,E661,$F$4:$F$660,F661,$G$4:$G$660,G661,$H$4:$H$660,H661,$B$4:$B$660,"SALIDA"),SUMIFS($I$4:$I$660,$C$4:$C$660,C661,$D$4:$D$660,D661,$E$4:$E$660,E661,$G$4:$G$660,G661,$H$4:$H$660,H661,$B$4:$B$660,"INGRESO")+SUMIFS($I$4:$I$660,$C$4:$C$660,C661,$D$4:$D$660,D661,$E$4:$E$660,E661,$G$4:$G$660,G661,$H$4:$H$660,H661,$B$4:$B$660,"DE CORTE")-SUMIFS($I$4:$I$660,$C$4:$C$660,C661,$D$4:$D$660,D661,$E$4:$E$660,E661,$G$4:$G$660,G661,$H$4:$H$660,H661,$B$4:$B$660,"SALIDA"))),0)</f>
        <v>0</v>
      </c>
      <c r="M661" s="13">
        <f t="shared" si="2"/>
        <v>0</v>
      </c>
      <c r="N661" s="14"/>
      <c r="O661" s="14"/>
      <c r="P661" s="15"/>
      <c r="Q661" s="14"/>
    </row>
    <row r="662" ht="15.75" customHeight="1">
      <c r="A662" s="7"/>
      <c r="B662" s="8"/>
      <c r="C662" s="8"/>
      <c r="D662" s="8"/>
      <c r="E662" s="8"/>
      <c r="F662" s="14"/>
      <c r="G662" s="8"/>
      <c r="H662" s="8"/>
      <c r="I662" s="9"/>
      <c r="J662" s="12" t="str">
        <f t="array" ref="J662:K662">IFERROR(INDEX(PRECIOS_COMPLEMENTOS!$C$4:$F$17,MATCH(D662&amp;"_"&amp;E662,PRECIOS_COMPLEMENTOS!$H$4:$H$17,0),IF(OR(H662="S",H662="20cm"),1,IF(OR(H662="M",H662="25cm"),2,IF(OR(H662="L",H662="30cm"),3,IF(OR(H662="XL",H662="35cm"),4,0))))),0)</f>
        <v>#REF!</v>
      </c>
      <c r="K662" s="12">
        <f t="shared" si="1"/>
        <v>0</v>
      </c>
      <c r="L662" s="13">
        <f>IFERROR(IF(C662="",0,IF(D662="PRETINA",SUMIFS($I$4:$I$661,$C$4:$C$661,C662,$D$4:$D$661,D662,$E$4:$E$661,E662,$F$4:$F$661,F662,$G$4:$G$661,G662,$H$4:$H$661,H662,$B$4:$B$661,"INGRESO")+SUMIFS($I$4:$I$661,$C$4:$C$661,C662,$D$4:$D$661,D662,$E$4:$E$661,E662,$F$4:$F$661,F662,$G$4:$G$661,G662,$H$4:$H$661,H662,$B$4:$B$661,"DE CORTE")-SUMIFS($I$4:$I$661,$C$4:$C$661,C662,$D$4:$D$661,D662,$E$4:$E$661,E662,$F$4:$F$661,F662,$G$4:$G$661,G662,$H$4:$H$661,H662,$B$4:$B$661,"SALIDA"),SUMIFS($I$4:$I$661,$C$4:$C$661,C662,$D$4:$D$661,D662,$E$4:$E$661,E662,$G$4:$G$661,G662,$H$4:$H$661,H662,$B$4:$B$661,"INGRESO")+SUMIFS($I$4:$I$661,$C$4:$C$661,C662,$D$4:$D$661,D662,$E$4:$E$661,E662,$G$4:$G$661,G662,$H$4:$H$661,H662,$B$4:$B$661,"DE CORTE")-SUMIFS($I$4:$I$661,$C$4:$C$661,C662,$D$4:$D$661,D662,$E$4:$E$661,E662,$G$4:$G$661,G662,$H$4:$H$661,H662,$B$4:$B$661,"SALIDA"))),0)</f>
        <v>0</v>
      </c>
      <c r="M662" s="13">
        <f t="shared" si="2"/>
        <v>0</v>
      </c>
      <c r="N662" s="14"/>
      <c r="O662" s="14"/>
      <c r="P662" s="15"/>
      <c r="Q662" s="14"/>
    </row>
    <row r="663" ht="15.75" customHeight="1">
      <c r="A663" s="7"/>
      <c r="B663" s="8"/>
      <c r="C663" s="8"/>
      <c r="D663" s="8"/>
      <c r="E663" s="8"/>
      <c r="F663" s="14"/>
      <c r="G663" s="8"/>
      <c r="H663" s="8"/>
      <c r="I663" s="9"/>
      <c r="J663" s="12" t="str">
        <f t="array" ref="J663:K663">IFERROR(INDEX(PRECIOS_COMPLEMENTOS!$C$4:$F$17,MATCH(D663&amp;"_"&amp;E663,PRECIOS_COMPLEMENTOS!$H$4:$H$17,0),IF(OR(H663="S",H663="20cm"),1,IF(OR(H663="M",H663="25cm"),2,IF(OR(H663="L",H663="30cm"),3,IF(OR(H663="XL",H663="35cm"),4,0))))),0)</f>
        <v>#REF!</v>
      </c>
      <c r="K663" s="12">
        <f t="shared" si="1"/>
        <v>0</v>
      </c>
      <c r="L663" s="13">
        <f>IFERROR(IF(C663="",0,IF(D663="PRETINA",SUMIFS($I$4:$I$662,$C$4:$C$662,C663,$D$4:$D$662,D663,$E$4:$E$662,E663,$F$4:$F$662,F663,$G$4:$G$662,G663,$H$4:$H$662,H663,$B$4:$B$662,"INGRESO")+SUMIFS($I$4:$I$662,$C$4:$C$662,C663,$D$4:$D$662,D663,$E$4:$E$662,E663,$F$4:$F$662,F663,$G$4:$G$662,G663,$H$4:$H$662,H663,$B$4:$B$662,"DE CORTE")-SUMIFS($I$4:$I$662,$C$4:$C$662,C663,$D$4:$D$662,D663,$E$4:$E$662,E663,$F$4:$F$662,F663,$G$4:$G$662,G663,$H$4:$H$662,H663,$B$4:$B$662,"SALIDA"),SUMIFS($I$4:$I$662,$C$4:$C$662,C663,$D$4:$D$662,D663,$E$4:$E$662,E663,$G$4:$G$662,G663,$H$4:$H$662,H663,$B$4:$B$662,"INGRESO")+SUMIFS($I$4:$I$662,$C$4:$C$662,C663,$D$4:$D$662,D663,$E$4:$E$662,E663,$G$4:$G$662,G663,$H$4:$H$662,H663,$B$4:$B$662,"DE CORTE")-SUMIFS($I$4:$I$662,$C$4:$C$662,C663,$D$4:$D$662,D663,$E$4:$E$662,E663,$G$4:$G$662,G663,$H$4:$H$662,H663,$B$4:$B$662,"SALIDA"))),0)</f>
        <v>0</v>
      </c>
      <c r="M663" s="13">
        <f t="shared" si="2"/>
        <v>0</v>
      </c>
      <c r="N663" s="14"/>
      <c r="O663" s="14"/>
      <c r="P663" s="15"/>
      <c r="Q663" s="14"/>
    </row>
    <row r="664" ht="15.75" customHeight="1">
      <c r="A664" s="7"/>
      <c r="B664" s="8"/>
      <c r="C664" s="8"/>
      <c r="D664" s="8"/>
      <c r="E664" s="8"/>
      <c r="F664" s="14"/>
      <c r="G664" s="8"/>
      <c r="H664" s="8"/>
      <c r="I664" s="9"/>
      <c r="J664" s="12" t="str">
        <f t="array" ref="J664:K664">IFERROR(INDEX(PRECIOS_COMPLEMENTOS!$C$4:$F$17,MATCH(D664&amp;"_"&amp;E664,PRECIOS_COMPLEMENTOS!$H$4:$H$17,0),IF(OR(H664="S",H664="20cm"),1,IF(OR(H664="M",H664="25cm"),2,IF(OR(H664="L",H664="30cm"),3,IF(OR(H664="XL",H664="35cm"),4,0))))),0)</f>
        <v>#REF!</v>
      </c>
      <c r="K664" s="12">
        <f t="shared" si="1"/>
        <v>0</v>
      </c>
      <c r="L664" s="13">
        <f>IFERROR(IF(C664="",0,IF(D664="PRETINA",SUMIFS($I$4:$I$663,$C$4:$C$663,C664,$D$4:$D$663,D664,$E$4:$E$663,E664,$F$4:$F$663,F664,$G$4:$G$663,G664,$H$4:$H$663,H664,$B$4:$B$663,"INGRESO")+SUMIFS($I$4:$I$663,$C$4:$C$663,C664,$D$4:$D$663,D664,$E$4:$E$663,E664,$F$4:$F$663,F664,$G$4:$G$663,G664,$H$4:$H$663,H664,$B$4:$B$663,"DE CORTE")-SUMIFS($I$4:$I$663,$C$4:$C$663,C664,$D$4:$D$663,D664,$E$4:$E$663,E664,$F$4:$F$663,F664,$G$4:$G$663,G664,$H$4:$H$663,H664,$B$4:$B$663,"SALIDA"),SUMIFS($I$4:$I$663,$C$4:$C$663,C664,$D$4:$D$663,D664,$E$4:$E$663,E664,$G$4:$G$663,G664,$H$4:$H$663,H664,$B$4:$B$663,"INGRESO")+SUMIFS($I$4:$I$663,$C$4:$C$663,C664,$D$4:$D$663,D664,$E$4:$E$663,E664,$G$4:$G$663,G664,$H$4:$H$663,H664,$B$4:$B$663,"DE CORTE")-SUMIFS($I$4:$I$663,$C$4:$C$663,C664,$D$4:$D$663,D664,$E$4:$E$663,E664,$G$4:$G$663,G664,$H$4:$H$663,H664,$B$4:$B$663,"SALIDA"))),0)</f>
        <v>0</v>
      </c>
      <c r="M664" s="13">
        <f t="shared" si="2"/>
        <v>0</v>
      </c>
      <c r="N664" s="14"/>
      <c r="O664" s="14"/>
      <c r="P664" s="15"/>
      <c r="Q664" s="14"/>
    </row>
    <row r="665" ht="15.75" customHeight="1">
      <c r="A665" s="7"/>
      <c r="B665" s="8"/>
      <c r="C665" s="8"/>
      <c r="D665" s="8"/>
      <c r="E665" s="8"/>
      <c r="F665" s="14"/>
      <c r="G665" s="8"/>
      <c r="H665" s="8"/>
      <c r="I665" s="9"/>
      <c r="J665" s="12" t="str">
        <f t="array" ref="J665:K665">IFERROR(INDEX(PRECIOS_COMPLEMENTOS!$C$4:$F$17,MATCH(D665&amp;"_"&amp;E665,PRECIOS_COMPLEMENTOS!$H$4:$H$17,0),IF(OR(H665="S",H665="20cm"),1,IF(OR(H665="M",H665="25cm"),2,IF(OR(H665="L",H665="30cm"),3,IF(OR(H665="XL",H665="35cm"),4,0))))),0)</f>
        <v>#REF!</v>
      </c>
      <c r="K665" s="12">
        <f t="shared" si="1"/>
        <v>0</v>
      </c>
      <c r="L665" s="13">
        <f>IFERROR(IF(C665="",0,IF(D665="PRETINA",SUMIFS($I$4:$I$664,$C$4:$C$664,C665,$D$4:$D$664,D665,$E$4:$E$664,E665,$F$4:$F$664,F665,$G$4:$G$664,G665,$H$4:$H$664,H665,$B$4:$B$664,"INGRESO")+SUMIFS($I$4:$I$664,$C$4:$C$664,C665,$D$4:$D$664,D665,$E$4:$E$664,E665,$F$4:$F$664,F665,$G$4:$G$664,G665,$H$4:$H$664,H665,$B$4:$B$664,"DE CORTE")-SUMIFS($I$4:$I$664,$C$4:$C$664,C665,$D$4:$D$664,D665,$E$4:$E$664,E665,$F$4:$F$664,F665,$G$4:$G$664,G665,$H$4:$H$664,H665,$B$4:$B$664,"SALIDA"),SUMIFS($I$4:$I$664,$C$4:$C$664,C665,$D$4:$D$664,D665,$E$4:$E$664,E665,$G$4:$G$664,G665,$H$4:$H$664,H665,$B$4:$B$664,"INGRESO")+SUMIFS($I$4:$I$664,$C$4:$C$664,C665,$D$4:$D$664,D665,$E$4:$E$664,E665,$G$4:$G$664,G665,$H$4:$H$664,H665,$B$4:$B$664,"DE CORTE")-SUMIFS($I$4:$I$664,$C$4:$C$664,C665,$D$4:$D$664,D665,$E$4:$E$664,E665,$G$4:$G$664,G665,$H$4:$H$664,H665,$B$4:$B$664,"SALIDA"))),0)</f>
        <v>0</v>
      </c>
      <c r="M665" s="13">
        <f t="shared" si="2"/>
        <v>0</v>
      </c>
      <c r="N665" s="14"/>
      <c r="O665" s="14"/>
      <c r="P665" s="15"/>
      <c r="Q665" s="14"/>
    </row>
    <row r="666" ht="15.75" customHeight="1">
      <c r="A666" s="7"/>
      <c r="B666" s="8"/>
      <c r="C666" s="8"/>
      <c r="D666" s="8"/>
      <c r="E666" s="8"/>
      <c r="F666" s="14"/>
      <c r="G666" s="8"/>
      <c r="H666" s="8"/>
      <c r="I666" s="9"/>
      <c r="J666" s="12" t="str">
        <f t="array" ref="J666:K666">IFERROR(INDEX(PRECIOS_COMPLEMENTOS!$C$4:$F$17,MATCH(D666&amp;"_"&amp;E666,PRECIOS_COMPLEMENTOS!$H$4:$H$17,0),IF(OR(H666="S",H666="20cm"),1,IF(OR(H666="M",H666="25cm"),2,IF(OR(H666="L",H666="30cm"),3,IF(OR(H666="XL",H666="35cm"),4,0))))),0)</f>
        <v>#REF!</v>
      </c>
      <c r="K666" s="12">
        <f t="shared" si="1"/>
        <v>0</v>
      </c>
      <c r="L666" s="13">
        <f>IFERROR(IF(C666="",0,IF(D666="PRETINA",SUMIFS($I$4:$I$665,$C$4:$C$665,C666,$D$4:$D$665,D666,$E$4:$E$665,E666,$F$4:$F$665,F666,$G$4:$G$665,G666,$H$4:$H$665,H666,$B$4:$B$665,"INGRESO")+SUMIFS($I$4:$I$665,$C$4:$C$665,C666,$D$4:$D$665,D666,$E$4:$E$665,E666,$F$4:$F$665,F666,$G$4:$G$665,G666,$H$4:$H$665,H666,$B$4:$B$665,"DE CORTE")-SUMIFS($I$4:$I$665,$C$4:$C$665,C666,$D$4:$D$665,D666,$E$4:$E$665,E666,$F$4:$F$665,F666,$G$4:$G$665,G666,$H$4:$H$665,H666,$B$4:$B$665,"SALIDA"),SUMIFS($I$4:$I$665,$C$4:$C$665,C666,$D$4:$D$665,D666,$E$4:$E$665,E666,$G$4:$G$665,G666,$H$4:$H$665,H666,$B$4:$B$665,"INGRESO")+SUMIFS($I$4:$I$665,$C$4:$C$665,C666,$D$4:$D$665,D666,$E$4:$E$665,E666,$G$4:$G$665,G666,$H$4:$H$665,H666,$B$4:$B$665,"DE CORTE")-SUMIFS($I$4:$I$665,$C$4:$C$665,C666,$D$4:$D$665,D666,$E$4:$E$665,E666,$G$4:$G$665,G666,$H$4:$H$665,H666,$B$4:$B$665,"SALIDA"))),0)</f>
        <v>0</v>
      </c>
      <c r="M666" s="13">
        <f t="shared" si="2"/>
        <v>0</v>
      </c>
      <c r="N666" s="14"/>
      <c r="O666" s="14"/>
      <c r="P666" s="15"/>
      <c r="Q666" s="14"/>
    </row>
    <row r="667" ht="15.75" customHeight="1">
      <c r="A667" s="7"/>
      <c r="B667" s="8"/>
      <c r="C667" s="8"/>
      <c r="D667" s="8"/>
      <c r="E667" s="8"/>
      <c r="F667" s="14"/>
      <c r="G667" s="8"/>
      <c r="H667" s="8"/>
      <c r="I667" s="9"/>
      <c r="J667" s="12" t="str">
        <f t="array" ref="J667:K667">IFERROR(INDEX(PRECIOS_COMPLEMENTOS!$C$4:$F$17,MATCH(D667&amp;"_"&amp;E667,PRECIOS_COMPLEMENTOS!$H$4:$H$17,0),IF(OR(H667="S",H667="20cm"),1,IF(OR(H667="M",H667="25cm"),2,IF(OR(H667="L",H667="30cm"),3,IF(OR(H667="XL",H667="35cm"),4,0))))),0)</f>
        <v>#REF!</v>
      </c>
      <c r="K667" s="12">
        <f t="shared" si="1"/>
        <v>0</v>
      </c>
      <c r="L667" s="13">
        <f>IFERROR(IF(C667="",0,IF(D667="PRETINA",SUMIFS($I$4:$I$666,$C$4:$C$666,C667,$D$4:$D$666,D667,$E$4:$E$666,E667,$F$4:$F$666,F667,$G$4:$G$666,G667,$H$4:$H$666,H667,$B$4:$B$666,"INGRESO")+SUMIFS($I$4:$I$666,$C$4:$C$666,C667,$D$4:$D$666,D667,$E$4:$E$666,E667,$F$4:$F$666,F667,$G$4:$G$666,G667,$H$4:$H$666,H667,$B$4:$B$666,"DE CORTE")-SUMIFS($I$4:$I$666,$C$4:$C$666,C667,$D$4:$D$666,D667,$E$4:$E$666,E667,$F$4:$F$666,F667,$G$4:$G$666,G667,$H$4:$H$666,H667,$B$4:$B$666,"SALIDA"),SUMIFS($I$4:$I$666,$C$4:$C$666,C667,$D$4:$D$666,D667,$E$4:$E$666,E667,$G$4:$G$666,G667,$H$4:$H$666,H667,$B$4:$B$666,"INGRESO")+SUMIFS($I$4:$I$666,$C$4:$C$666,C667,$D$4:$D$666,D667,$E$4:$E$666,E667,$G$4:$G$666,G667,$H$4:$H$666,H667,$B$4:$B$666,"DE CORTE")-SUMIFS($I$4:$I$666,$C$4:$C$666,C667,$D$4:$D$666,D667,$E$4:$E$666,E667,$G$4:$G$666,G667,$H$4:$H$666,H667,$B$4:$B$666,"SALIDA"))),0)</f>
        <v>0</v>
      </c>
      <c r="M667" s="13">
        <f t="shared" si="2"/>
        <v>0</v>
      </c>
      <c r="N667" s="14"/>
      <c r="O667" s="14"/>
      <c r="P667" s="15"/>
      <c r="Q667" s="14"/>
    </row>
    <row r="668" ht="15.75" customHeight="1">
      <c r="A668" s="7"/>
      <c r="B668" s="8"/>
      <c r="C668" s="8"/>
      <c r="D668" s="8"/>
      <c r="E668" s="8"/>
      <c r="F668" s="14"/>
      <c r="G668" s="8"/>
      <c r="H668" s="8"/>
      <c r="I668" s="9"/>
      <c r="J668" s="12" t="str">
        <f t="array" ref="J668:K668">IFERROR(INDEX(PRECIOS_COMPLEMENTOS!$C$4:$F$17,MATCH(D668&amp;"_"&amp;E668,PRECIOS_COMPLEMENTOS!$H$4:$H$17,0),IF(OR(H668="S",H668="20cm"),1,IF(OR(H668="M",H668="25cm"),2,IF(OR(H668="L",H668="30cm"),3,IF(OR(H668="XL",H668="35cm"),4,0))))),0)</f>
        <v>#REF!</v>
      </c>
      <c r="K668" s="12">
        <f t="shared" si="1"/>
        <v>0</v>
      </c>
      <c r="L668" s="13">
        <f>IFERROR(IF(C668="",0,IF(D668="PRETINA",SUMIFS($I$4:$I$667,$C$4:$C$667,C668,$D$4:$D$667,D668,$E$4:$E$667,E668,$F$4:$F$667,F668,$G$4:$G$667,G668,$H$4:$H$667,H668,$B$4:$B$667,"INGRESO")+SUMIFS($I$4:$I$667,$C$4:$C$667,C668,$D$4:$D$667,D668,$E$4:$E$667,E668,$F$4:$F$667,F668,$G$4:$G$667,G668,$H$4:$H$667,H668,$B$4:$B$667,"DE CORTE")-SUMIFS($I$4:$I$667,$C$4:$C$667,C668,$D$4:$D$667,D668,$E$4:$E$667,E668,$F$4:$F$667,F668,$G$4:$G$667,G668,$H$4:$H$667,H668,$B$4:$B$667,"SALIDA"),SUMIFS($I$4:$I$667,$C$4:$C$667,C668,$D$4:$D$667,D668,$E$4:$E$667,E668,$G$4:$G$667,G668,$H$4:$H$667,H668,$B$4:$B$667,"INGRESO")+SUMIFS($I$4:$I$667,$C$4:$C$667,C668,$D$4:$D$667,D668,$E$4:$E$667,E668,$G$4:$G$667,G668,$H$4:$H$667,H668,$B$4:$B$667,"DE CORTE")-SUMIFS($I$4:$I$667,$C$4:$C$667,C668,$D$4:$D$667,D668,$E$4:$E$667,E668,$G$4:$G$667,G668,$H$4:$H$667,H668,$B$4:$B$667,"SALIDA"))),0)</f>
        <v>0</v>
      </c>
      <c r="M668" s="13">
        <f t="shared" si="2"/>
        <v>0</v>
      </c>
      <c r="N668" s="14"/>
      <c r="O668" s="14"/>
      <c r="P668" s="15"/>
      <c r="Q668" s="14"/>
    </row>
    <row r="669" ht="15.75" customHeight="1">
      <c r="A669" s="7"/>
      <c r="B669" s="8"/>
      <c r="C669" s="8"/>
      <c r="D669" s="8"/>
      <c r="E669" s="8"/>
      <c r="F669" s="14"/>
      <c r="G669" s="8"/>
      <c r="H669" s="8"/>
      <c r="I669" s="9"/>
      <c r="J669" s="12" t="str">
        <f t="array" ref="J669:K669">IFERROR(INDEX(PRECIOS_COMPLEMENTOS!$C$4:$F$17,MATCH(D669&amp;"_"&amp;E669,PRECIOS_COMPLEMENTOS!$H$4:$H$17,0),IF(OR(H669="S",H669="20cm"),1,IF(OR(H669="M",H669="25cm"),2,IF(OR(H669="L",H669="30cm"),3,IF(OR(H669="XL",H669="35cm"),4,0))))),0)</f>
        <v>#REF!</v>
      </c>
      <c r="K669" s="12">
        <f t="shared" si="1"/>
        <v>0</v>
      </c>
      <c r="L669" s="13">
        <f>IFERROR(IF(C669="",0,IF(D669="PRETINA",SUMIFS($I$4:$I$668,$C$4:$C$668,C669,$D$4:$D$668,D669,$E$4:$E$668,E669,$F$4:$F$668,F669,$G$4:$G$668,G669,$H$4:$H$668,H669,$B$4:$B$668,"INGRESO")+SUMIFS($I$4:$I$668,$C$4:$C$668,C669,$D$4:$D$668,D669,$E$4:$E$668,E669,$F$4:$F$668,F669,$G$4:$G$668,G669,$H$4:$H$668,H669,$B$4:$B$668,"DE CORTE")-SUMIFS($I$4:$I$668,$C$4:$C$668,C669,$D$4:$D$668,D669,$E$4:$E$668,E669,$F$4:$F$668,F669,$G$4:$G$668,G669,$H$4:$H$668,H669,$B$4:$B$668,"SALIDA"),SUMIFS($I$4:$I$668,$C$4:$C$668,C669,$D$4:$D$668,D669,$E$4:$E$668,E669,$G$4:$G$668,G669,$H$4:$H$668,H669,$B$4:$B$668,"INGRESO")+SUMIFS($I$4:$I$668,$C$4:$C$668,C669,$D$4:$D$668,D669,$E$4:$E$668,E669,$G$4:$G$668,G669,$H$4:$H$668,H669,$B$4:$B$668,"DE CORTE")-SUMIFS($I$4:$I$668,$C$4:$C$668,C669,$D$4:$D$668,D669,$E$4:$E$668,E669,$G$4:$G$668,G669,$H$4:$H$668,H669,$B$4:$B$668,"SALIDA"))),0)</f>
        <v>0</v>
      </c>
      <c r="M669" s="13">
        <f t="shared" si="2"/>
        <v>0</v>
      </c>
      <c r="N669" s="14"/>
      <c r="O669" s="14"/>
      <c r="P669" s="15"/>
      <c r="Q669" s="14"/>
    </row>
    <row r="670" ht="15.75" customHeight="1">
      <c r="A670" s="7"/>
      <c r="B670" s="8"/>
      <c r="C670" s="8"/>
      <c r="D670" s="8"/>
      <c r="E670" s="8"/>
      <c r="F670" s="14"/>
      <c r="G670" s="8"/>
      <c r="H670" s="8"/>
      <c r="I670" s="9"/>
      <c r="J670" s="12" t="str">
        <f t="array" ref="J670:K670">IFERROR(INDEX(PRECIOS_COMPLEMENTOS!$C$4:$F$17,MATCH(D670&amp;"_"&amp;E670,PRECIOS_COMPLEMENTOS!$H$4:$H$17,0),IF(OR(H670="S",H670="20cm"),1,IF(OR(H670="M",H670="25cm"),2,IF(OR(H670="L",H670="30cm"),3,IF(OR(H670="XL",H670="35cm"),4,0))))),0)</f>
        <v>#REF!</v>
      </c>
      <c r="K670" s="12">
        <f t="shared" si="1"/>
        <v>0</v>
      </c>
      <c r="L670" s="13">
        <f>IFERROR(IF(C670="",0,IF(D670="PRETINA",SUMIFS($I$4:$I$669,$C$4:$C$669,C670,$D$4:$D$669,D670,$E$4:$E$669,E670,$F$4:$F$669,F670,$G$4:$G$669,G670,$H$4:$H$669,H670,$B$4:$B$669,"INGRESO")+SUMIFS($I$4:$I$669,$C$4:$C$669,C670,$D$4:$D$669,D670,$E$4:$E$669,E670,$F$4:$F$669,F670,$G$4:$G$669,G670,$H$4:$H$669,H670,$B$4:$B$669,"DE CORTE")-SUMIFS($I$4:$I$669,$C$4:$C$669,C670,$D$4:$D$669,D670,$E$4:$E$669,E670,$F$4:$F$669,F670,$G$4:$G$669,G670,$H$4:$H$669,H670,$B$4:$B$669,"SALIDA"),SUMIFS($I$4:$I$669,$C$4:$C$669,C670,$D$4:$D$669,D670,$E$4:$E$669,E670,$G$4:$G$669,G670,$H$4:$H$669,H670,$B$4:$B$669,"INGRESO")+SUMIFS($I$4:$I$669,$C$4:$C$669,C670,$D$4:$D$669,D670,$E$4:$E$669,E670,$G$4:$G$669,G670,$H$4:$H$669,H670,$B$4:$B$669,"DE CORTE")-SUMIFS($I$4:$I$669,$C$4:$C$669,C670,$D$4:$D$669,D670,$E$4:$E$669,E670,$G$4:$G$669,G670,$H$4:$H$669,H670,$B$4:$B$669,"SALIDA"))),0)</f>
        <v>0</v>
      </c>
      <c r="M670" s="13">
        <f t="shared" si="2"/>
        <v>0</v>
      </c>
      <c r="N670" s="14"/>
      <c r="O670" s="14"/>
      <c r="P670" s="15"/>
      <c r="Q670" s="14"/>
    </row>
    <row r="671" ht="15.75" customHeight="1">
      <c r="A671" s="7"/>
      <c r="B671" s="8"/>
      <c r="C671" s="8"/>
      <c r="D671" s="8"/>
      <c r="E671" s="8"/>
      <c r="F671" s="14"/>
      <c r="G671" s="8"/>
      <c r="H671" s="8"/>
      <c r="I671" s="9"/>
      <c r="J671" s="12" t="str">
        <f t="array" ref="J671:K671">IFERROR(INDEX(PRECIOS_COMPLEMENTOS!$C$4:$F$17,MATCH(D671&amp;"_"&amp;E671,PRECIOS_COMPLEMENTOS!$H$4:$H$17,0),IF(OR(H671="S",H671="20cm"),1,IF(OR(H671="M",H671="25cm"),2,IF(OR(H671="L",H671="30cm"),3,IF(OR(H671="XL",H671="35cm"),4,0))))),0)</f>
        <v>#REF!</v>
      </c>
      <c r="K671" s="12">
        <f t="shared" si="1"/>
        <v>0</v>
      </c>
      <c r="L671" s="13">
        <f>IFERROR(IF(C671="",0,IF(D671="PRETINA",SUMIFS($I$4:$I$670,$C$4:$C$670,C671,$D$4:$D$670,D671,$E$4:$E$670,E671,$F$4:$F$670,F671,$G$4:$G$670,G671,$H$4:$H$670,H671,$B$4:$B$670,"INGRESO")+SUMIFS($I$4:$I$670,$C$4:$C$670,C671,$D$4:$D$670,D671,$E$4:$E$670,E671,$F$4:$F$670,F671,$G$4:$G$670,G671,$H$4:$H$670,H671,$B$4:$B$670,"DE CORTE")-SUMIFS($I$4:$I$670,$C$4:$C$670,C671,$D$4:$D$670,D671,$E$4:$E$670,E671,$F$4:$F$670,F671,$G$4:$G$670,G671,$H$4:$H$670,H671,$B$4:$B$670,"SALIDA"),SUMIFS($I$4:$I$670,$C$4:$C$670,C671,$D$4:$D$670,D671,$E$4:$E$670,E671,$G$4:$G$670,G671,$H$4:$H$670,H671,$B$4:$B$670,"INGRESO")+SUMIFS($I$4:$I$670,$C$4:$C$670,C671,$D$4:$D$670,D671,$E$4:$E$670,E671,$G$4:$G$670,G671,$H$4:$H$670,H671,$B$4:$B$670,"DE CORTE")-SUMIFS($I$4:$I$670,$C$4:$C$670,C671,$D$4:$D$670,D671,$E$4:$E$670,E671,$G$4:$G$670,G671,$H$4:$H$670,H671,$B$4:$B$670,"SALIDA"))),0)</f>
        <v>0</v>
      </c>
      <c r="M671" s="13">
        <f t="shared" si="2"/>
        <v>0</v>
      </c>
      <c r="N671" s="14"/>
      <c r="O671" s="14"/>
      <c r="P671" s="15"/>
      <c r="Q671" s="14"/>
    </row>
    <row r="672" ht="15.75" customHeight="1">
      <c r="A672" s="7"/>
      <c r="B672" s="8"/>
      <c r="C672" s="8"/>
      <c r="D672" s="8"/>
      <c r="E672" s="8"/>
      <c r="F672" s="14"/>
      <c r="G672" s="8"/>
      <c r="H672" s="8"/>
      <c r="I672" s="9"/>
      <c r="J672" s="12" t="str">
        <f t="array" ref="J672:K672">IFERROR(INDEX(PRECIOS_COMPLEMENTOS!$C$4:$F$17,MATCH(D672&amp;"_"&amp;E672,PRECIOS_COMPLEMENTOS!$H$4:$H$17,0),IF(OR(H672="S",H672="20cm"),1,IF(OR(H672="M",H672="25cm"),2,IF(OR(H672="L",H672="30cm"),3,IF(OR(H672="XL",H672="35cm"),4,0))))),0)</f>
        <v>#REF!</v>
      </c>
      <c r="K672" s="12">
        <f t="shared" si="1"/>
        <v>0</v>
      </c>
      <c r="L672" s="13">
        <f>IFERROR(IF(C672="",0,IF(D672="PRETINA",SUMIFS($I$4:$I$671,$C$4:$C$671,C672,$D$4:$D$671,D672,$E$4:$E$671,E672,$F$4:$F$671,F672,$G$4:$G$671,G672,$H$4:$H$671,H672,$B$4:$B$671,"INGRESO")+SUMIFS($I$4:$I$671,$C$4:$C$671,C672,$D$4:$D$671,D672,$E$4:$E$671,E672,$F$4:$F$671,F672,$G$4:$G$671,G672,$H$4:$H$671,H672,$B$4:$B$671,"DE CORTE")-SUMIFS($I$4:$I$671,$C$4:$C$671,C672,$D$4:$D$671,D672,$E$4:$E$671,E672,$F$4:$F$671,F672,$G$4:$G$671,G672,$H$4:$H$671,H672,$B$4:$B$671,"SALIDA"),SUMIFS($I$4:$I$671,$C$4:$C$671,C672,$D$4:$D$671,D672,$E$4:$E$671,E672,$G$4:$G$671,G672,$H$4:$H$671,H672,$B$4:$B$671,"INGRESO")+SUMIFS($I$4:$I$671,$C$4:$C$671,C672,$D$4:$D$671,D672,$E$4:$E$671,E672,$G$4:$G$671,G672,$H$4:$H$671,H672,$B$4:$B$671,"DE CORTE")-SUMIFS($I$4:$I$671,$C$4:$C$671,C672,$D$4:$D$671,D672,$E$4:$E$671,E672,$G$4:$G$671,G672,$H$4:$H$671,H672,$B$4:$B$671,"SALIDA"))),0)</f>
        <v>0</v>
      </c>
      <c r="M672" s="13">
        <f t="shared" si="2"/>
        <v>0</v>
      </c>
      <c r="N672" s="14"/>
      <c r="O672" s="14"/>
      <c r="P672" s="15"/>
      <c r="Q672" s="14"/>
    </row>
    <row r="673" ht="15.75" customHeight="1">
      <c r="A673" s="7"/>
      <c r="B673" s="8"/>
      <c r="C673" s="8"/>
      <c r="D673" s="8"/>
      <c r="E673" s="8"/>
      <c r="F673" s="14"/>
      <c r="G673" s="8"/>
      <c r="H673" s="8"/>
      <c r="I673" s="9"/>
      <c r="J673" s="12" t="str">
        <f t="array" ref="J673:K673">IFERROR(INDEX(PRECIOS_COMPLEMENTOS!$C$4:$F$17,MATCH(D673&amp;"_"&amp;E673,PRECIOS_COMPLEMENTOS!$H$4:$H$17,0),IF(OR(H673="S",H673="20cm"),1,IF(OR(H673="M",H673="25cm"),2,IF(OR(H673="L",H673="30cm"),3,IF(OR(H673="XL",H673="35cm"),4,0))))),0)</f>
        <v>#REF!</v>
      </c>
      <c r="K673" s="12">
        <f t="shared" si="1"/>
        <v>0</v>
      </c>
      <c r="L673" s="13">
        <f>IFERROR(IF(C673="",0,IF(D673="PRETINA",SUMIFS($I$4:$I$672,$C$4:$C$672,C673,$D$4:$D$672,D673,$E$4:$E$672,E673,$F$4:$F$672,F673,$G$4:$G$672,G673,$H$4:$H$672,H673,$B$4:$B$672,"INGRESO")+SUMIFS($I$4:$I$672,$C$4:$C$672,C673,$D$4:$D$672,D673,$E$4:$E$672,E673,$F$4:$F$672,F673,$G$4:$G$672,G673,$H$4:$H$672,H673,$B$4:$B$672,"DE CORTE")-SUMIFS($I$4:$I$672,$C$4:$C$672,C673,$D$4:$D$672,D673,$E$4:$E$672,E673,$F$4:$F$672,F673,$G$4:$G$672,G673,$H$4:$H$672,H673,$B$4:$B$672,"SALIDA"),SUMIFS($I$4:$I$672,$C$4:$C$672,C673,$D$4:$D$672,D673,$E$4:$E$672,E673,$G$4:$G$672,G673,$H$4:$H$672,H673,$B$4:$B$672,"INGRESO")+SUMIFS($I$4:$I$672,$C$4:$C$672,C673,$D$4:$D$672,D673,$E$4:$E$672,E673,$G$4:$G$672,G673,$H$4:$H$672,H673,$B$4:$B$672,"DE CORTE")-SUMIFS($I$4:$I$672,$C$4:$C$672,C673,$D$4:$D$672,D673,$E$4:$E$672,E673,$G$4:$G$672,G673,$H$4:$H$672,H673,$B$4:$B$672,"SALIDA"))),0)</f>
        <v>0</v>
      </c>
      <c r="M673" s="13">
        <f t="shared" si="2"/>
        <v>0</v>
      </c>
      <c r="N673" s="14"/>
      <c r="O673" s="14"/>
      <c r="P673" s="15"/>
      <c r="Q673" s="14"/>
    </row>
    <row r="674" ht="15.75" customHeight="1">
      <c r="A674" s="7"/>
      <c r="B674" s="8"/>
      <c r="C674" s="8"/>
      <c r="D674" s="8"/>
      <c r="E674" s="8"/>
      <c r="F674" s="14"/>
      <c r="G674" s="8"/>
      <c r="H674" s="8"/>
      <c r="I674" s="9"/>
      <c r="J674" s="12" t="str">
        <f t="array" ref="J674:K674">IFERROR(INDEX(PRECIOS_COMPLEMENTOS!$C$4:$F$17,MATCH(D674&amp;"_"&amp;E674,PRECIOS_COMPLEMENTOS!$H$4:$H$17,0),IF(OR(H674="S",H674="20cm"),1,IF(OR(H674="M",H674="25cm"),2,IF(OR(H674="L",H674="30cm"),3,IF(OR(H674="XL",H674="35cm"),4,0))))),0)</f>
        <v>#REF!</v>
      </c>
      <c r="K674" s="12">
        <f t="shared" si="1"/>
        <v>0</v>
      </c>
      <c r="L674" s="13">
        <f>IFERROR(IF(C674="",0,IF(D674="PRETINA",SUMIFS($I$4:$I$673,$C$4:$C$673,C674,$D$4:$D$673,D674,$E$4:$E$673,E674,$F$4:$F$673,F674,$G$4:$G$673,G674,$H$4:$H$673,H674,$B$4:$B$673,"INGRESO")+SUMIFS($I$4:$I$673,$C$4:$C$673,C674,$D$4:$D$673,D674,$E$4:$E$673,E674,$F$4:$F$673,F674,$G$4:$G$673,G674,$H$4:$H$673,H674,$B$4:$B$673,"DE CORTE")-SUMIFS($I$4:$I$673,$C$4:$C$673,C674,$D$4:$D$673,D674,$E$4:$E$673,E674,$F$4:$F$673,F674,$G$4:$G$673,G674,$H$4:$H$673,H674,$B$4:$B$673,"SALIDA"),SUMIFS($I$4:$I$673,$C$4:$C$673,C674,$D$4:$D$673,D674,$E$4:$E$673,E674,$G$4:$G$673,G674,$H$4:$H$673,H674,$B$4:$B$673,"INGRESO")+SUMIFS($I$4:$I$673,$C$4:$C$673,C674,$D$4:$D$673,D674,$E$4:$E$673,E674,$G$4:$G$673,G674,$H$4:$H$673,H674,$B$4:$B$673,"DE CORTE")-SUMIFS($I$4:$I$673,$C$4:$C$673,C674,$D$4:$D$673,D674,$E$4:$E$673,E674,$G$4:$G$673,G674,$H$4:$H$673,H674,$B$4:$B$673,"SALIDA"))),0)</f>
        <v>0</v>
      </c>
      <c r="M674" s="13">
        <f t="shared" si="2"/>
        <v>0</v>
      </c>
      <c r="N674" s="14"/>
      <c r="O674" s="14"/>
      <c r="P674" s="15"/>
      <c r="Q674" s="14"/>
    </row>
    <row r="675" ht="15.75" customHeight="1">
      <c r="A675" s="7"/>
      <c r="B675" s="8"/>
      <c r="C675" s="8"/>
      <c r="D675" s="8"/>
      <c r="E675" s="8"/>
      <c r="F675" s="14"/>
      <c r="G675" s="8"/>
      <c r="H675" s="8"/>
      <c r="I675" s="9"/>
      <c r="J675" s="12" t="str">
        <f t="array" ref="J675:K675">IFERROR(INDEX(PRECIOS_COMPLEMENTOS!$C$4:$F$17,MATCH(D675&amp;"_"&amp;E675,PRECIOS_COMPLEMENTOS!$H$4:$H$17,0),IF(OR(H675="S",H675="20cm"),1,IF(OR(H675="M",H675="25cm"),2,IF(OR(H675="L",H675="30cm"),3,IF(OR(H675="XL",H675="35cm"),4,0))))),0)</f>
        <v>#REF!</v>
      </c>
      <c r="K675" s="12">
        <f t="shared" si="1"/>
        <v>0</v>
      </c>
      <c r="L675" s="13">
        <f>IFERROR(IF(C675="",0,IF(D675="PRETINA",SUMIFS($I$4:$I$674,$C$4:$C$674,C675,$D$4:$D$674,D675,$E$4:$E$674,E675,$F$4:$F$674,F675,$G$4:$G$674,G675,$H$4:$H$674,H675,$B$4:$B$674,"INGRESO")+SUMIFS($I$4:$I$674,$C$4:$C$674,C675,$D$4:$D$674,D675,$E$4:$E$674,E675,$F$4:$F$674,F675,$G$4:$G$674,G675,$H$4:$H$674,H675,$B$4:$B$674,"DE CORTE")-SUMIFS($I$4:$I$674,$C$4:$C$674,C675,$D$4:$D$674,D675,$E$4:$E$674,E675,$F$4:$F$674,F675,$G$4:$G$674,G675,$H$4:$H$674,H675,$B$4:$B$674,"SALIDA"),SUMIFS($I$4:$I$674,$C$4:$C$674,C675,$D$4:$D$674,D675,$E$4:$E$674,E675,$G$4:$G$674,G675,$H$4:$H$674,H675,$B$4:$B$674,"INGRESO")+SUMIFS($I$4:$I$674,$C$4:$C$674,C675,$D$4:$D$674,D675,$E$4:$E$674,E675,$G$4:$G$674,G675,$H$4:$H$674,H675,$B$4:$B$674,"DE CORTE")-SUMIFS($I$4:$I$674,$C$4:$C$674,C675,$D$4:$D$674,D675,$E$4:$E$674,E675,$G$4:$G$674,G675,$H$4:$H$674,H675,$B$4:$B$674,"SALIDA"))),0)</f>
        <v>0</v>
      </c>
      <c r="M675" s="13">
        <f t="shared" si="2"/>
        <v>0</v>
      </c>
      <c r="N675" s="14"/>
      <c r="O675" s="14"/>
      <c r="P675" s="15"/>
      <c r="Q675" s="14"/>
    </row>
    <row r="676" ht="15.75" customHeight="1">
      <c r="A676" s="7"/>
      <c r="B676" s="8"/>
      <c r="C676" s="8"/>
      <c r="D676" s="8"/>
      <c r="E676" s="8"/>
      <c r="F676" s="14"/>
      <c r="G676" s="8"/>
      <c r="H676" s="8"/>
      <c r="I676" s="9"/>
      <c r="J676" s="12" t="str">
        <f t="array" ref="J676:K676">IFERROR(INDEX(PRECIOS_COMPLEMENTOS!$C$4:$F$17,MATCH(D676&amp;"_"&amp;E676,PRECIOS_COMPLEMENTOS!$H$4:$H$17,0),IF(OR(H676="S",H676="20cm"),1,IF(OR(H676="M",H676="25cm"),2,IF(OR(H676="L",H676="30cm"),3,IF(OR(H676="XL",H676="35cm"),4,0))))),0)</f>
        <v>#REF!</v>
      </c>
      <c r="K676" s="12">
        <f t="shared" si="1"/>
        <v>0</v>
      </c>
      <c r="L676" s="13">
        <f>IFERROR(IF(C676="",0,IF(D676="PRETINA",SUMIFS($I$4:$I$675,$C$4:$C$675,C676,$D$4:$D$675,D676,$E$4:$E$675,E676,$F$4:$F$675,F676,$G$4:$G$675,G676,$H$4:$H$675,H676,$B$4:$B$675,"INGRESO")+SUMIFS($I$4:$I$675,$C$4:$C$675,C676,$D$4:$D$675,D676,$E$4:$E$675,E676,$F$4:$F$675,F676,$G$4:$G$675,G676,$H$4:$H$675,H676,$B$4:$B$675,"DE CORTE")-SUMIFS($I$4:$I$675,$C$4:$C$675,C676,$D$4:$D$675,D676,$E$4:$E$675,E676,$F$4:$F$675,F676,$G$4:$G$675,G676,$H$4:$H$675,H676,$B$4:$B$675,"SALIDA"),SUMIFS($I$4:$I$675,$C$4:$C$675,C676,$D$4:$D$675,D676,$E$4:$E$675,E676,$G$4:$G$675,G676,$H$4:$H$675,H676,$B$4:$B$675,"INGRESO")+SUMIFS($I$4:$I$675,$C$4:$C$675,C676,$D$4:$D$675,D676,$E$4:$E$675,E676,$G$4:$G$675,G676,$H$4:$H$675,H676,$B$4:$B$675,"DE CORTE")-SUMIFS($I$4:$I$675,$C$4:$C$675,C676,$D$4:$D$675,D676,$E$4:$E$675,E676,$G$4:$G$675,G676,$H$4:$H$675,H676,$B$4:$B$675,"SALIDA"))),0)</f>
        <v>0</v>
      </c>
      <c r="M676" s="13">
        <f t="shared" si="2"/>
        <v>0</v>
      </c>
      <c r="N676" s="14"/>
      <c r="O676" s="14"/>
      <c r="P676" s="15"/>
      <c r="Q676" s="14"/>
    </row>
    <row r="677" ht="15.75" customHeight="1">
      <c r="A677" s="7"/>
      <c r="B677" s="8"/>
      <c r="C677" s="8"/>
      <c r="D677" s="8"/>
      <c r="E677" s="8"/>
      <c r="F677" s="14"/>
      <c r="G677" s="8"/>
      <c r="H677" s="8"/>
      <c r="I677" s="9"/>
      <c r="J677" s="12" t="str">
        <f t="array" ref="J677:K677">IFERROR(INDEX(PRECIOS_COMPLEMENTOS!$C$4:$F$17,MATCH(D677&amp;"_"&amp;E677,PRECIOS_COMPLEMENTOS!$H$4:$H$17,0),IF(OR(H677="S",H677="20cm"),1,IF(OR(H677="M",H677="25cm"),2,IF(OR(H677="L",H677="30cm"),3,IF(OR(H677="XL",H677="35cm"),4,0))))),0)</f>
        <v>#REF!</v>
      </c>
      <c r="K677" s="12">
        <f t="shared" si="1"/>
        <v>0</v>
      </c>
      <c r="L677" s="13">
        <f>IFERROR(IF(C677="",0,IF(D677="PRETINA",SUMIFS($I$4:$I$676,$C$4:$C$676,C677,$D$4:$D$676,D677,$E$4:$E$676,E677,$F$4:$F$676,F677,$G$4:$G$676,G677,$H$4:$H$676,H677,$B$4:$B$676,"INGRESO")+SUMIFS($I$4:$I$676,$C$4:$C$676,C677,$D$4:$D$676,D677,$E$4:$E$676,E677,$F$4:$F$676,F677,$G$4:$G$676,G677,$H$4:$H$676,H677,$B$4:$B$676,"DE CORTE")-SUMIFS($I$4:$I$676,$C$4:$C$676,C677,$D$4:$D$676,D677,$E$4:$E$676,E677,$F$4:$F$676,F677,$G$4:$G$676,G677,$H$4:$H$676,H677,$B$4:$B$676,"SALIDA"),SUMIFS($I$4:$I$676,$C$4:$C$676,C677,$D$4:$D$676,D677,$E$4:$E$676,E677,$G$4:$G$676,G677,$H$4:$H$676,H677,$B$4:$B$676,"INGRESO")+SUMIFS($I$4:$I$676,$C$4:$C$676,C677,$D$4:$D$676,D677,$E$4:$E$676,E677,$G$4:$G$676,G677,$H$4:$H$676,H677,$B$4:$B$676,"DE CORTE")-SUMIFS($I$4:$I$676,$C$4:$C$676,C677,$D$4:$D$676,D677,$E$4:$E$676,E677,$G$4:$G$676,G677,$H$4:$H$676,H677,$B$4:$B$676,"SALIDA"))),0)</f>
        <v>0</v>
      </c>
      <c r="M677" s="13">
        <f t="shared" si="2"/>
        <v>0</v>
      </c>
      <c r="N677" s="14"/>
      <c r="O677" s="14"/>
      <c r="P677" s="15"/>
      <c r="Q677" s="14"/>
    </row>
    <row r="678" ht="15.75" customHeight="1">
      <c r="A678" s="7"/>
      <c r="B678" s="8"/>
      <c r="C678" s="8"/>
      <c r="D678" s="8"/>
      <c r="E678" s="8"/>
      <c r="F678" s="14"/>
      <c r="G678" s="8"/>
      <c r="H678" s="8"/>
      <c r="I678" s="9"/>
      <c r="J678" s="12" t="str">
        <f t="array" ref="J678:K678">IFERROR(INDEX(PRECIOS_COMPLEMENTOS!$C$4:$F$17,MATCH(D678&amp;"_"&amp;E678,PRECIOS_COMPLEMENTOS!$H$4:$H$17,0),IF(OR(H678="S",H678="20cm"),1,IF(OR(H678="M",H678="25cm"),2,IF(OR(H678="L",H678="30cm"),3,IF(OR(H678="XL",H678="35cm"),4,0))))),0)</f>
        <v>#REF!</v>
      </c>
      <c r="K678" s="12">
        <f t="shared" si="1"/>
        <v>0</v>
      </c>
      <c r="L678" s="13">
        <f>IFERROR(IF(C678="",0,IF(D678="PRETINA",SUMIFS($I$4:$I$677,$C$4:$C$677,C678,$D$4:$D$677,D678,$E$4:$E$677,E678,$F$4:$F$677,F678,$G$4:$G$677,G678,$H$4:$H$677,H678,$B$4:$B$677,"INGRESO")+SUMIFS($I$4:$I$677,$C$4:$C$677,C678,$D$4:$D$677,D678,$E$4:$E$677,E678,$F$4:$F$677,F678,$G$4:$G$677,G678,$H$4:$H$677,H678,$B$4:$B$677,"DE CORTE")-SUMIFS($I$4:$I$677,$C$4:$C$677,C678,$D$4:$D$677,D678,$E$4:$E$677,E678,$F$4:$F$677,F678,$G$4:$G$677,G678,$H$4:$H$677,H678,$B$4:$B$677,"SALIDA"),SUMIFS($I$4:$I$677,$C$4:$C$677,C678,$D$4:$D$677,D678,$E$4:$E$677,E678,$G$4:$G$677,G678,$H$4:$H$677,H678,$B$4:$B$677,"INGRESO")+SUMIFS($I$4:$I$677,$C$4:$C$677,C678,$D$4:$D$677,D678,$E$4:$E$677,E678,$G$4:$G$677,G678,$H$4:$H$677,H678,$B$4:$B$677,"DE CORTE")-SUMIFS($I$4:$I$677,$C$4:$C$677,C678,$D$4:$D$677,D678,$E$4:$E$677,E678,$G$4:$G$677,G678,$H$4:$H$677,H678,$B$4:$B$677,"SALIDA"))),0)</f>
        <v>0</v>
      </c>
      <c r="M678" s="13">
        <f t="shared" si="2"/>
        <v>0</v>
      </c>
      <c r="N678" s="14"/>
      <c r="O678" s="14"/>
      <c r="P678" s="15"/>
      <c r="Q678" s="14"/>
    </row>
    <row r="679" ht="15.75" customHeight="1">
      <c r="A679" s="7"/>
      <c r="B679" s="8"/>
      <c r="C679" s="8"/>
      <c r="D679" s="8"/>
      <c r="E679" s="8"/>
      <c r="F679" s="14"/>
      <c r="G679" s="8"/>
      <c r="H679" s="8"/>
      <c r="I679" s="9"/>
      <c r="J679" s="12" t="str">
        <f t="array" ref="J679:K679">IFERROR(INDEX(PRECIOS_COMPLEMENTOS!$C$4:$F$17,MATCH(D679&amp;"_"&amp;E679,PRECIOS_COMPLEMENTOS!$H$4:$H$17,0),IF(OR(H679="S",H679="20cm"),1,IF(OR(H679="M",H679="25cm"),2,IF(OR(H679="L",H679="30cm"),3,IF(OR(H679="XL",H679="35cm"),4,0))))),0)</f>
        <v>#REF!</v>
      </c>
      <c r="K679" s="12">
        <f t="shared" si="1"/>
        <v>0</v>
      </c>
      <c r="L679" s="13">
        <f>IFERROR(IF(C679="",0,IF(D679="PRETINA",SUMIFS($I$4:$I$678,$C$4:$C$678,C679,$D$4:$D$678,D679,$E$4:$E$678,E679,$F$4:$F$678,F679,$G$4:$G$678,G679,$H$4:$H$678,H679,$B$4:$B$678,"INGRESO")+SUMIFS($I$4:$I$678,$C$4:$C$678,C679,$D$4:$D$678,D679,$E$4:$E$678,E679,$F$4:$F$678,F679,$G$4:$G$678,G679,$H$4:$H$678,H679,$B$4:$B$678,"DE CORTE")-SUMIFS($I$4:$I$678,$C$4:$C$678,C679,$D$4:$D$678,D679,$E$4:$E$678,E679,$F$4:$F$678,F679,$G$4:$G$678,G679,$H$4:$H$678,H679,$B$4:$B$678,"SALIDA"),SUMIFS($I$4:$I$678,$C$4:$C$678,C679,$D$4:$D$678,D679,$E$4:$E$678,E679,$G$4:$G$678,G679,$H$4:$H$678,H679,$B$4:$B$678,"INGRESO")+SUMIFS($I$4:$I$678,$C$4:$C$678,C679,$D$4:$D$678,D679,$E$4:$E$678,E679,$G$4:$G$678,G679,$H$4:$H$678,H679,$B$4:$B$678,"DE CORTE")-SUMIFS($I$4:$I$678,$C$4:$C$678,C679,$D$4:$D$678,D679,$E$4:$E$678,E679,$G$4:$G$678,G679,$H$4:$H$678,H679,$B$4:$B$678,"SALIDA"))),0)</f>
        <v>0</v>
      </c>
      <c r="M679" s="13">
        <f t="shared" si="2"/>
        <v>0</v>
      </c>
      <c r="N679" s="14"/>
      <c r="O679" s="14"/>
      <c r="P679" s="15"/>
      <c r="Q679" s="14"/>
    </row>
    <row r="680" ht="15.75" customHeight="1">
      <c r="A680" s="7"/>
      <c r="B680" s="8"/>
      <c r="C680" s="8"/>
      <c r="D680" s="8"/>
      <c r="E680" s="8"/>
      <c r="F680" s="14"/>
      <c r="G680" s="8"/>
      <c r="H680" s="8"/>
      <c r="I680" s="9"/>
      <c r="J680" s="12" t="str">
        <f t="array" ref="J680:K680">IFERROR(INDEX(PRECIOS_COMPLEMENTOS!$C$4:$F$17,MATCH(D680&amp;"_"&amp;E680,PRECIOS_COMPLEMENTOS!$H$4:$H$17,0),IF(OR(H680="S",H680="20cm"),1,IF(OR(H680="M",H680="25cm"),2,IF(OR(H680="L",H680="30cm"),3,IF(OR(H680="XL",H680="35cm"),4,0))))),0)</f>
        <v>#REF!</v>
      </c>
      <c r="K680" s="12">
        <f t="shared" si="1"/>
        <v>0</v>
      </c>
      <c r="L680" s="13">
        <f>IFERROR(IF(C680="",0,IF(D680="PRETINA",SUMIFS($I$4:$I$679,$C$4:$C$679,C680,$D$4:$D$679,D680,$E$4:$E$679,E680,$F$4:$F$679,F680,$G$4:$G$679,G680,$H$4:$H$679,H680,$B$4:$B$679,"INGRESO")+SUMIFS($I$4:$I$679,$C$4:$C$679,C680,$D$4:$D$679,D680,$E$4:$E$679,E680,$F$4:$F$679,F680,$G$4:$G$679,G680,$H$4:$H$679,H680,$B$4:$B$679,"DE CORTE")-SUMIFS($I$4:$I$679,$C$4:$C$679,C680,$D$4:$D$679,D680,$E$4:$E$679,E680,$F$4:$F$679,F680,$G$4:$G$679,G680,$H$4:$H$679,H680,$B$4:$B$679,"SALIDA"),SUMIFS($I$4:$I$679,$C$4:$C$679,C680,$D$4:$D$679,D680,$E$4:$E$679,E680,$G$4:$G$679,G680,$H$4:$H$679,H680,$B$4:$B$679,"INGRESO")+SUMIFS($I$4:$I$679,$C$4:$C$679,C680,$D$4:$D$679,D680,$E$4:$E$679,E680,$G$4:$G$679,G680,$H$4:$H$679,H680,$B$4:$B$679,"DE CORTE")-SUMIFS($I$4:$I$679,$C$4:$C$679,C680,$D$4:$D$679,D680,$E$4:$E$679,E680,$G$4:$G$679,G680,$H$4:$H$679,H680,$B$4:$B$679,"SALIDA"))),0)</f>
        <v>0</v>
      </c>
      <c r="M680" s="13">
        <f t="shared" si="2"/>
        <v>0</v>
      </c>
      <c r="N680" s="14"/>
      <c r="O680" s="14"/>
      <c r="P680" s="15"/>
      <c r="Q680" s="14"/>
    </row>
    <row r="681" ht="15.75" customHeight="1">
      <c r="A681" s="7"/>
      <c r="B681" s="8"/>
      <c r="C681" s="8"/>
      <c r="D681" s="8"/>
      <c r="E681" s="8"/>
      <c r="F681" s="14"/>
      <c r="G681" s="8"/>
      <c r="H681" s="8"/>
      <c r="I681" s="9"/>
      <c r="J681" s="12" t="str">
        <f t="array" ref="J681:K681">IFERROR(INDEX(PRECIOS_COMPLEMENTOS!$C$4:$F$17,MATCH(D681&amp;"_"&amp;E681,PRECIOS_COMPLEMENTOS!$H$4:$H$17,0),IF(OR(H681="S",H681="20cm"),1,IF(OR(H681="M",H681="25cm"),2,IF(OR(H681="L",H681="30cm"),3,IF(OR(H681="XL",H681="35cm"),4,0))))),0)</f>
        <v>#REF!</v>
      </c>
      <c r="K681" s="12">
        <f t="shared" si="1"/>
        <v>0</v>
      </c>
      <c r="L681" s="13">
        <f>IFERROR(IF(C681="",0,IF(D681="PRETINA",SUMIFS($I$4:$I$680,$C$4:$C$680,C681,$D$4:$D$680,D681,$E$4:$E$680,E681,$F$4:$F$680,F681,$G$4:$G$680,G681,$H$4:$H$680,H681,$B$4:$B$680,"INGRESO")+SUMIFS($I$4:$I$680,$C$4:$C$680,C681,$D$4:$D$680,D681,$E$4:$E$680,E681,$F$4:$F$680,F681,$G$4:$G$680,G681,$H$4:$H$680,H681,$B$4:$B$680,"DE CORTE")-SUMIFS($I$4:$I$680,$C$4:$C$680,C681,$D$4:$D$680,D681,$E$4:$E$680,E681,$F$4:$F$680,F681,$G$4:$G$680,G681,$H$4:$H$680,H681,$B$4:$B$680,"SALIDA"),SUMIFS($I$4:$I$680,$C$4:$C$680,C681,$D$4:$D$680,D681,$E$4:$E$680,E681,$G$4:$G$680,G681,$H$4:$H$680,H681,$B$4:$B$680,"INGRESO")+SUMIFS($I$4:$I$680,$C$4:$C$680,C681,$D$4:$D$680,D681,$E$4:$E$680,E681,$G$4:$G$680,G681,$H$4:$H$680,H681,$B$4:$B$680,"DE CORTE")-SUMIFS($I$4:$I$680,$C$4:$C$680,C681,$D$4:$D$680,D681,$E$4:$E$680,E681,$G$4:$G$680,G681,$H$4:$H$680,H681,$B$4:$B$680,"SALIDA"))),0)</f>
        <v>0</v>
      </c>
      <c r="M681" s="13">
        <f t="shared" si="2"/>
        <v>0</v>
      </c>
      <c r="N681" s="14"/>
      <c r="O681" s="14"/>
      <c r="P681" s="15"/>
      <c r="Q681" s="14"/>
    </row>
    <row r="682" ht="15.75" customHeight="1">
      <c r="A682" s="7"/>
      <c r="B682" s="8"/>
      <c r="C682" s="8"/>
      <c r="D682" s="8"/>
      <c r="E682" s="8"/>
      <c r="F682" s="14"/>
      <c r="G682" s="8"/>
      <c r="H682" s="8"/>
      <c r="I682" s="9"/>
      <c r="J682" s="12" t="str">
        <f t="array" ref="J682:K682">IFERROR(INDEX(PRECIOS_COMPLEMENTOS!$C$4:$F$17,MATCH(D682&amp;"_"&amp;E682,PRECIOS_COMPLEMENTOS!$H$4:$H$17,0),IF(OR(H682="S",H682="20cm"),1,IF(OR(H682="M",H682="25cm"),2,IF(OR(H682="L",H682="30cm"),3,IF(OR(H682="XL",H682="35cm"),4,0))))),0)</f>
        <v>#REF!</v>
      </c>
      <c r="K682" s="12">
        <f t="shared" si="1"/>
        <v>0</v>
      </c>
      <c r="L682" s="13">
        <f>IFERROR(IF(C682="",0,IF(D682="PRETINA",SUMIFS($I$4:$I$681,$C$4:$C$681,C682,$D$4:$D$681,D682,$E$4:$E$681,E682,$F$4:$F$681,F682,$G$4:$G$681,G682,$H$4:$H$681,H682,$B$4:$B$681,"INGRESO")+SUMIFS($I$4:$I$681,$C$4:$C$681,C682,$D$4:$D$681,D682,$E$4:$E$681,E682,$F$4:$F$681,F682,$G$4:$G$681,G682,$H$4:$H$681,H682,$B$4:$B$681,"DE CORTE")-SUMIFS($I$4:$I$681,$C$4:$C$681,C682,$D$4:$D$681,D682,$E$4:$E$681,E682,$F$4:$F$681,F682,$G$4:$G$681,G682,$H$4:$H$681,H682,$B$4:$B$681,"SALIDA"),SUMIFS($I$4:$I$681,$C$4:$C$681,C682,$D$4:$D$681,D682,$E$4:$E$681,E682,$G$4:$G$681,G682,$H$4:$H$681,H682,$B$4:$B$681,"INGRESO")+SUMIFS($I$4:$I$681,$C$4:$C$681,C682,$D$4:$D$681,D682,$E$4:$E$681,E682,$G$4:$G$681,G682,$H$4:$H$681,H682,$B$4:$B$681,"DE CORTE")-SUMIFS($I$4:$I$681,$C$4:$C$681,C682,$D$4:$D$681,D682,$E$4:$E$681,E682,$G$4:$G$681,G682,$H$4:$H$681,H682,$B$4:$B$681,"SALIDA"))),0)</f>
        <v>0</v>
      </c>
      <c r="M682" s="13">
        <f t="shared" si="2"/>
        <v>0</v>
      </c>
      <c r="N682" s="14"/>
      <c r="O682" s="14"/>
      <c r="P682" s="15"/>
      <c r="Q682" s="14"/>
    </row>
    <row r="683" ht="15.75" customHeight="1">
      <c r="A683" s="7"/>
      <c r="B683" s="8"/>
      <c r="C683" s="8"/>
      <c r="D683" s="8"/>
      <c r="E683" s="8"/>
      <c r="F683" s="14"/>
      <c r="G683" s="8"/>
      <c r="H683" s="8"/>
      <c r="I683" s="9"/>
      <c r="J683" s="12" t="str">
        <f t="array" ref="J683:K683">IFERROR(INDEX(PRECIOS_COMPLEMENTOS!$C$4:$F$17,MATCH(D683&amp;"_"&amp;E683,PRECIOS_COMPLEMENTOS!$H$4:$H$17,0),IF(OR(H683="S",H683="20cm"),1,IF(OR(H683="M",H683="25cm"),2,IF(OR(H683="L",H683="30cm"),3,IF(OR(H683="XL",H683="35cm"),4,0))))),0)</f>
        <v>#REF!</v>
      </c>
      <c r="K683" s="12">
        <f t="shared" si="1"/>
        <v>0</v>
      </c>
      <c r="L683" s="13">
        <f>IFERROR(IF(C683="",0,IF(D683="PRETINA",SUMIFS($I$4:$I$682,$C$4:$C$682,C683,$D$4:$D$682,D683,$E$4:$E$682,E683,$F$4:$F$682,F683,$G$4:$G$682,G683,$H$4:$H$682,H683,$B$4:$B$682,"INGRESO")+SUMIFS($I$4:$I$682,$C$4:$C$682,C683,$D$4:$D$682,D683,$E$4:$E$682,E683,$F$4:$F$682,F683,$G$4:$G$682,G683,$H$4:$H$682,H683,$B$4:$B$682,"DE CORTE")-SUMIFS($I$4:$I$682,$C$4:$C$682,C683,$D$4:$D$682,D683,$E$4:$E$682,E683,$F$4:$F$682,F683,$G$4:$G$682,G683,$H$4:$H$682,H683,$B$4:$B$682,"SALIDA"),SUMIFS($I$4:$I$682,$C$4:$C$682,C683,$D$4:$D$682,D683,$E$4:$E$682,E683,$G$4:$G$682,G683,$H$4:$H$682,H683,$B$4:$B$682,"INGRESO")+SUMIFS($I$4:$I$682,$C$4:$C$682,C683,$D$4:$D$682,D683,$E$4:$E$682,E683,$G$4:$G$682,G683,$H$4:$H$682,H683,$B$4:$B$682,"DE CORTE")-SUMIFS($I$4:$I$682,$C$4:$C$682,C683,$D$4:$D$682,D683,$E$4:$E$682,E683,$G$4:$G$682,G683,$H$4:$H$682,H683,$B$4:$B$682,"SALIDA"))),0)</f>
        <v>0</v>
      </c>
      <c r="M683" s="13">
        <f t="shared" si="2"/>
        <v>0</v>
      </c>
      <c r="N683" s="14"/>
      <c r="O683" s="14"/>
      <c r="P683" s="15"/>
      <c r="Q683" s="14"/>
    </row>
    <row r="684" ht="15.75" customHeight="1">
      <c r="A684" s="7"/>
      <c r="B684" s="8"/>
      <c r="C684" s="8"/>
      <c r="D684" s="8"/>
      <c r="E684" s="8"/>
      <c r="F684" s="14"/>
      <c r="G684" s="8"/>
      <c r="H684" s="8"/>
      <c r="I684" s="9"/>
      <c r="J684" s="12" t="str">
        <f t="array" ref="J684:K684">IFERROR(INDEX(PRECIOS_COMPLEMENTOS!$C$4:$F$17,MATCH(D684&amp;"_"&amp;E684,PRECIOS_COMPLEMENTOS!$H$4:$H$17,0),IF(OR(H684="S",H684="20cm"),1,IF(OR(H684="M",H684="25cm"),2,IF(OR(H684="L",H684="30cm"),3,IF(OR(H684="XL",H684="35cm"),4,0))))),0)</f>
        <v>#REF!</v>
      </c>
      <c r="K684" s="12">
        <f t="shared" si="1"/>
        <v>0</v>
      </c>
      <c r="L684" s="13">
        <f>IFERROR(IF(C684="",0,IF(D684="PRETINA",SUMIFS($I$4:$I$683,$C$4:$C$683,C684,$D$4:$D$683,D684,$E$4:$E$683,E684,$F$4:$F$683,F684,$G$4:$G$683,G684,$H$4:$H$683,H684,$B$4:$B$683,"INGRESO")+SUMIFS($I$4:$I$683,$C$4:$C$683,C684,$D$4:$D$683,D684,$E$4:$E$683,E684,$F$4:$F$683,F684,$G$4:$G$683,G684,$H$4:$H$683,H684,$B$4:$B$683,"DE CORTE")-SUMIFS($I$4:$I$683,$C$4:$C$683,C684,$D$4:$D$683,D684,$E$4:$E$683,E684,$F$4:$F$683,F684,$G$4:$G$683,G684,$H$4:$H$683,H684,$B$4:$B$683,"SALIDA"),SUMIFS($I$4:$I$683,$C$4:$C$683,C684,$D$4:$D$683,D684,$E$4:$E$683,E684,$G$4:$G$683,G684,$H$4:$H$683,H684,$B$4:$B$683,"INGRESO")+SUMIFS($I$4:$I$683,$C$4:$C$683,C684,$D$4:$D$683,D684,$E$4:$E$683,E684,$G$4:$G$683,G684,$H$4:$H$683,H684,$B$4:$B$683,"DE CORTE")-SUMIFS($I$4:$I$683,$C$4:$C$683,C684,$D$4:$D$683,D684,$E$4:$E$683,E684,$G$4:$G$683,G684,$H$4:$H$683,H684,$B$4:$B$683,"SALIDA"))),0)</f>
        <v>0</v>
      </c>
      <c r="M684" s="13">
        <f t="shared" si="2"/>
        <v>0</v>
      </c>
      <c r="N684" s="14"/>
      <c r="O684" s="14"/>
      <c r="P684" s="15"/>
      <c r="Q684" s="14"/>
    </row>
    <row r="685" ht="15.75" customHeight="1">
      <c r="A685" s="7"/>
      <c r="B685" s="8"/>
      <c r="C685" s="8"/>
      <c r="D685" s="8"/>
      <c r="E685" s="8"/>
      <c r="F685" s="14"/>
      <c r="G685" s="8"/>
      <c r="H685" s="8"/>
      <c r="I685" s="9"/>
      <c r="J685" s="12" t="str">
        <f t="array" ref="J685:K685">IFERROR(INDEX(PRECIOS_COMPLEMENTOS!$C$4:$F$17,MATCH(D685&amp;"_"&amp;E685,PRECIOS_COMPLEMENTOS!$H$4:$H$17,0),IF(OR(H685="S",H685="20cm"),1,IF(OR(H685="M",H685="25cm"),2,IF(OR(H685="L",H685="30cm"),3,IF(OR(H685="XL",H685="35cm"),4,0))))),0)</f>
        <v>#REF!</v>
      </c>
      <c r="K685" s="12">
        <f t="shared" si="1"/>
        <v>0</v>
      </c>
      <c r="L685" s="13">
        <f>IFERROR(IF(C685="",0,IF(D685="PRETINA",SUMIFS($I$4:$I$684,$C$4:$C$684,C685,$D$4:$D$684,D685,$E$4:$E$684,E685,$F$4:$F$684,F685,$G$4:$G$684,G685,$H$4:$H$684,H685,$B$4:$B$684,"INGRESO")+SUMIFS($I$4:$I$684,$C$4:$C$684,C685,$D$4:$D$684,D685,$E$4:$E$684,E685,$F$4:$F$684,F685,$G$4:$G$684,G685,$H$4:$H$684,H685,$B$4:$B$684,"DE CORTE")-SUMIFS($I$4:$I$684,$C$4:$C$684,C685,$D$4:$D$684,D685,$E$4:$E$684,E685,$F$4:$F$684,F685,$G$4:$G$684,G685,$H$4:$H$684,H685,$B$4:$B$684,"SALIDA"),SUMIFS($I$4:$I$684,$C$4:$C$684,C685,$D$4:$D$684,D685,$E$4:$E$684,E685,$G$4:$G$684,G685,$H$4:$H$684,H685,$B$4:$B$684,"INGRESO")+SUMIFS($I$4:$I$684,$C$4:$C$684,C685,$D$4:$D$684,D685,$E$4:$E$684,E685,$G$4:$G$684,G685,$H$4:$H$684,H685,$B$4:$B$684,"DE CORTE")-SUMIFS($I$4:$I$684,$C$4:$C$684,C685,$D$4:$D$684,D685,$E$4:$E$684,E685,$G$4:$G$684,G685,$H$4:$H$684,H685,$B$4:$B$684,"SALIDA"))),0)</f>
        <v>0</v>
      </c>
      <c r="M685" s="13">
        <f t="shared" si="2"/>
        <v>0</v>
      </c>
      <c r="N685" s="14"/>
      <c r="O685" s="14"/>
      <c r="P685" s="15"/>
      <c r="Q685" s="14"/>
    </row>
    <row r="686" ht="15.75" customHeight="1">
      <c r="A686" s="7"/>
      <c r="B686" s="8"/>
      <c r="C686" s="8"/>
      <c r="D686" s="8"/>
      <c r="E686" s="8"/>
      <c r="F686" s="14"/>
      <c r="G686" s="8"/>
      <c r="H686" s="8"/>
      <c r="I686" s="9"/>
      <c r="J686" s="12" t="str">
        <f t="array" ref="J686:K686">IFERROR(INDEX(PRECIOS_COMPLEMENTOS!$C$4:$F$17,MATCH(D686&amp;"_"&amp;E686,PRECIOS_COMPLEMENTOS!$H$4:$H$17,0),IF(OR(H686="S",H686="20cm"),1,IF(OR(H686="M",H686="25cm"),2,IF(OR(H686="L",H686="30cm"),3,IF(OR(H686="XL",H686="35cm"),4,0))))),0)</f>
        <v>#REF!</v>
      </c>
      <c r="K686" s="12">
        <f t="shared" si="1"/>
        <v>0</v>
      </c>
      <c r="L686" s="13">
        <f>IFERROR(IF(C686="",0,IF(D686="PRETINA",SUMIFS($I$4:$I$685,$C$4:$C$685,C686,$D$4:$D$685,D686,$E$4:$E$685,E686,$F$4:$F$685,F686,$G$4:$G$685,G686,$H$4:$H$685,H686,$B$4:$B$685,"INGRESO")+SUMIFS($I$4:$I$685,$C$4:$C$685,C686,$D$4:$D$685,D686,$E$4:$E$685,E686,$F$4:$F$685,F686,$G$4:$G$685,G686,$H$4:$H$685,H686,$B$4:$B$685,"DE CORTE")-SUMIFS($I$4:$I$685,$C$4:$C$685,C686,$D$4:$D$685,D686,$E$4:$E$685,E686,$F$4:$F$685,F686,$G$4:$G$685,G686,$H$4:$H$685,H686,$B$4:$B$685,"SALIDA"),SUMIFS($I$4:$I$685,$C$4:$C$685,C686,$D$4:$D$685,D686,$E$4:$E$685,E686,$G$4:$G$685,G686,$H$4:$H$685,H686,$B$4:$B$685,"INGRESO")+SUMIFS($I$4:$I$685,$C$4:$C$685,C686,$D$4:$D$685,D686,$E$4:$E$685,E686,$G$4:$G$685,G686,$H$4:$H$685,H686,$B$4:$B$685,"DE CORTE")-SUMIFS($I$4:$I$685,$C$4:$C$685,C686,$D$4:$D$685,D686,$E$4:$E$685,E686,$G$4:$G$685,G686,$H$4:$H$685,H686,$B$4:$B$685,"SALIDA"))),0)</f>
        <v>0</v>
      </c>
      <c r="M686" s="13">
        <f t="shared" si="2"/>
        <v>0</v>
      </c>
      <c r="N686" s="14"/>
      <c r="O686" s="14"/>
      <c r="P686" s="15"/>
      <c r="Q686" s="14"/>
    </row>
    <row r="687" ht="15.75" customHeight="1">
      <c r="A687" s="7"/>
      <c r="B687" s="8"/>
      <c r="C687" s="8"/>
      <c r="D687" s="8"/>
      <c r="E687" s="8"/>
      <c r="F687" s="14"/>
      <c r="G687" s="8"/>
      <c r="H687" s="8"/>
      <c r="I687" s="9"/>
      <c r="J687" s="12" t="str">
        <f t="array" ref="J687:K687">IFERROR(INDEX(PRECIOS_COMPLEMENTOS!$C$4:$F$17,MATCH(D687&amp;"_"&amp;E687,PRECIOS_COMPLEMENTOS!$H$4:$H$17,0),IF(OR(H687="S",H687="20cm"),1,IF(OR(H687="M",H687="25cm"),2,IF(OR(H687="L",H687="30cm"),3,IF(OR(H687="XL",H687="35cm"),4,0))))),0)</f>
        <v>#REF!</v>
      </c>
      <c r="K687" s="12">
        <f t="shared" si="1"/>
        <v>0</v>
      </c>
      <c r="L687" s="13">
        <f>IFERROR(IF(C687="",0,IF(D687="PRETINA",SUMIFS($I$4:$I$686,$C$4:$C$686,C687,$D$4:$D$686,D687,$E$4:$E$686,E687,$F$4:$F$686,F687,$G$4:$G$686,G687,$H$4:$H$686,H687,$B$4:$B$686,"INGRESO")+SUMIFS($I$4:$I$686,$C$4:$C$686,C687,$D$4:$D$686,D687,$E$4:$E$686,E687,$F$4:$F$686,F687,$G$4:$G$686,G687,$H$4:$H$686,H687,$B$4:$B$686,"DE CORTE")-SUMIFS($I$4:$I$686,$C$4:$C$686,C687,$D$4:$D$686,D687,$E$4:$E$686,E687,$F$4:$F$686,F687,$G$4:$G$686,G687,$H$4:$H$686,H687,$B$4:$B$686,"SALIDA"),SUMIFS($I$4:$I$686,$C$4:$C$686,C687,$D$4:$D$686,D687,$E$4:$E$686,E687,$G$4:$G$686,G687,$H$4:$H$686,H687,$B$4:$B$686,"INGRESO")+SUMIFS($I$4:$I$686,$C$4:$C$686,C687,$D$4:$D$686,D687,$E$4:$E$686,E687,$G$4:$G$686,G687,$H$4:$H$686,H687,$B$4:$B$686,"DE CORTE")-SUMIFS($I$4:$I$686,$C$4:$C$686,C687,$D$4:$D$686,D687,$E$4:$E$686,E687,$G$4:$G$686,G687,$H$4:$H$686,H687,$B$4:$B$686,"SALIDA"))),0)</f>
        <v>0</v>
      </c>
      <c r="M687" s="13">
        <f t="shared" si="2"/>
        <v>0</v>
      </c>
      <c r="N687" s="14"/>
      <c r="O687" s="14"/>
      <c r="P687" s="15"/>
      <c r="Q687" s="14"/>
    </row>
    <row r="688" ht="15.75" customHeight="1">
      <c r="A688" s="7"/>
      <c r="B688" s="8"/>
      <c r="C688" s="8"/>
      <c r="D688" s="8"/>
      <c r="E688" s="8"/>
      <c r="F688" s="14"/>
      <c r="G688" s="8"/>
      <c r="H688" s="8"/>
      <c r="I688" s="9"/>
      <c r="J688" s="12" t="str">
        <f t="array" ref="J688:K688">IFERROR(INDEX(PRECIOS_COMPLEMENTOS!$C$4:$F$17,MATCH(D688&amp;"_"&amp;E688,PRECIOS_COMPLEMENTOS!$H$4:$H$17,0),IF(OR(H688="S",H688="20cm"),1,IF(OR(H688="M",H688="25cm"),2,IF(OR(H688="L",H688="30cm"),3,IF(OR(H688="XL",H688="35cm"),4,0))))),0)</f>
        <v>#REF!</v>
      </c>
      <c r="K688" s="12">
        <f t="shared" si="1"/>
        <v>0</v>
      </c>
      <c r="L688" s="13">
        <f>IFERROR(IF(C688="",0,IF(D688="PRETINA",SUMIFS($I$4:$I$687,$C$4:$C$687,C688,$D$4:$D$687,D688,$E$4:$E$687,E688,$F$4:$F$687,F688,$G$4:$G$687,G688,$H$4:$H$687,H688,$B$4:$B$687,"INGRESO")+SUMIFS($I$4:$I$687,$C$4:$C$687,C688,$D$4:$D$687,D688,$E$4:$E$687,E688,$F$4:$F$687,F688,$G$4:$G$687,G688,$H$4:$H$687,H688,$B$4:$B$687,"DE CORTE")-SUMIFS($I$4:$I$687,$C$4:$C$687,C688,$D$4:$D$687,D688,$E$4:$E$687,E688,$F$4:$F$687,F688,$G$4:$G$687,G688,$H$4:$H$687,H688,$B$4:$B$687,"SALIDA"),SUMIFS($I$4:$I$687,$C$4:$C$687,C688,$D$4:$D$687,D688,$E$4:$E$687,E688,$G$4:$G$687,G688,$H$4:$H$687,H688,$B$4:$B$687,"INGRESO")+SUMIFS($I$4:$I$687,$C$4:$C$687,C688,$D$4:$D$687,D688,$E$4:$E$687,E688,$G$4:$G$687,G688,$H$4:$H$687,H688,$B$4:$B$687,"DE CORTE")-SUMIFS($I$4:$I$687,$C$4:$C$687,C688,$D$4:$D$687,D688,$E$4:$E$687,E688,$G$4:$G$687,G688,$H$4:$H$687,H688,$B$4:$B$687,"SALIDA"))),0)</f>
        <v>0</v>
      </c>
      <c r="M688" s="13">
        <f t="shared" si="2"/>
        <v>0</v>
      </c>
      <c r="N688" s="14"/>
      <c r="O688" s="14"/>
      <c r="P688" s="15"/>
      <c r="Q688" s="14"/>
    </row>
    <row r="689" ht="15.75" customHeight="1">
      <c r="A689" s="7"/>
      <c r="B689" s="8"/>
      <c r="C689" s="8"/>
      <c r="D689" s="8"/>
      <c r="E689" s="8"/>
      <c r="F689" s="14"/>
      <c r="G689" s="8"/>
      <c r="H689" s="8"/>
      <c r="I689" s="9"/>
      <c r="J689" s="12" t="str">
        <f t="array" ref="J689:K689">IFERROR(INDEX(PRECIOS_COMPLEMENTOS!$C$4:$F$17,MATCH(D689&amp;"_"&amp;E689,PRECIOS_COMPLEMENTOS!$H$4:$H$17,0),IF(OR(H689="S",H689="20cm"),1,IF(OR(H689="M",H689="25cm"),2,IF(OR(H689="L",H689="30cm"),3,IF(OR(H689="XL",H689="35cm"),4,0))))),0)</f>
        <v>#REF!</v>
      </c>
      <c r="K689" s="12">
        <f t="shared" si="1"/>
        <v>0</v>
      </c>
      <c r="L689" s="13">
        <f>IFERROR(IF(C689="",0,IF(D689="PRETINA",SUMIFS($I$4:$I$688,$C$4:$C$688,C689,$D$4:$D$688,D689,$E$4:$E$688,E689,$F$4:$F$688,F689,$G$4:$G$688,G689,$H$4:$H$688,H689,$B$4:$B$688,"INGRESO")+SUMIFS($I$4:$I$688,$C$4:$C$688,C689,$D$4:$D$688,D689,$E$4:$E$688,E689,$F$4:$F$688,F689,$G$4:$G$688,G689,$H$4:$H$688,H689,$B$4:$B$688,"DE CORTE")-SUMIFS($I$4:$I$688,$C$4:$C$688,C689,$D$4:$D$688,D689,$E$4:$E$688,E689,$F$4:$F$688,F689,$G$4:$G$688,G689,$H$4:$H$688,H689,$B$4:$B$688,"SALIDA"),SUMIFS($I$4:$I$688,$C$4:$C$688,C689,$D$4:$D$688,D689,$E$4:$E$688,E689,$G$4:$G$688,G689,$H$4:$H$688,H689,$B$4:$B$688,"INGRESO")+SUMIFS($I$4:$I$688,$C$4:$C$688,C689,$D$4:$D$688,D689,$E$4:$E$688,E689,$G$4:$G$688,G689,$H$4:$H$688,H689,$B$4:$B$688,"DE CORTE")-SUMIFS($I$4:$I$688,$C$4:$C$688,C689,$D$4:$D$688,D689,$E$4:$E$688,E689,$G$4:$G$688,G689,$H$4:$H$688,H689,$B$4:$B$688,"SALIDA"))),0)</f>
        <v>0</v>
      </c>
      <c r="M689" s="13">
        <f t="shared" si="2"/>
        <v>0</v>
      </c>
      <c r="N689" s="14"/>
      <c r="O689" s="14"/>
      <c r="P689" s="15"/>
      <c r="Q689" s="14"/>
    </row>
    <row r="690" ht="15.75" customHeight="1">
      <c r="A690" s="7"/>
      <c r="B690" s="8"/>
      <c r="C690" s="8"/>
      <c r="D690" s="8"/>
      <c r="E690" s="8"/>
      <c r="F690" s="14"/>
      <c r="G690" s="8"/>
      <c r="H690" s="8"/>
      <c r="I690" s="9"/>
      <c r="J690" s="12" t="str">
        <f t="array" ref="J690:K690">IFERROR(INDEX(PRECIOS_COMPLEMENTOS!$C$4:$F$17,MATCH(D690&amp;"_"&amp;E690,PRECIOS_COMPLEMENTOS!$H$4:$H$17,0),IF(OR(H690="S",H690="20cm"),1,IF(OR(H690="M",H690="25cm"),2,IF(OR(H690="L",H690="30cm"),3,IF(OR(H690="XL",H690="35cm"),4,0))))),0)</f>
        <v>#REF!</v>
      </c>
      <c r="K690" s="12">
        <f t="shared" si="1"/>
        <v>0</v>
      </c>
      <c r="L690" s="13">
        <f>IFERROR(IF(C690="",0,IF(D690="PRETINA",SUMIFS($I$4:$I$689,$C$4:$C$689,C690,$D$4:$D$689,D690,$E$4:$E$689,E690,$F$4:$F$689,F690,$G$4:$G$689,G690,$H$4:$H$689,H690,$B$4:$B$689,"INGRESO")+SUMIFS($I$4:$I$689,$C$4:$C$689,C690,$D$4:$D$689,D690,$E$4:$E$689,E690,$F$4:$F$689,F690,$G$4:$G$689,G690,$H$4:$H$689,H690,$B$4:$B$689,"DE CORTE")-SUMIFS($I$4:$I$689,$C$4:$C$689,C690,$D$4:$D$689,D690,$E$4:$E$689,E690,$F$4:$F$689,F690,$G$4:$G$689,G690,$H$4:$H$689,H690,$B$4:$B$689,"SALIDA"),SUMIFS($I$4:$I$689,$C$4:$C$689,C690,$D$4:$D$689,D690,$E$4:$E$689,E690,$G$4:$G$689,G690,$H$4:$H$689,H690,$B$4:$B$689,"INGRESO")+SUMIFS($I$4:$I$689,$C$4:$C$689,C690,$D$4:$D$689,D690,$E$4:$E$689,E690,$G$4:$G$689,G690,$H$4:$H$689,H690,$B$4:$B$689,"DE CORTE")-SUMIFS($I$4:$I$689,$C$4:$C$689,C690,$D$4:$D$689,D690,$E$4:$E$689,E690,$G$4:$G$689,G690,$H$4:$H$689,H690,$B$4:$B$689,"SALIDA"))),0)</f>
        <v>0</v>
      </c>
      <c r="M690" s="13">
        <f t="shared" si="2"/>
        <v>0</v>
      </c>
      <c r="N690" s="14"/>
      <c r="O690" s="14"/>
      <c r="P690" s="15"/>
      <c r="Q690" s="14"/>
    </row>
    <row r="691" ht="15.75" customHeight="1">
      <c r="A691" s="7"/>
      <c r="B691" s="8"/>
      <c r="C691" s="8"/>
      <c r="D691" s="8"/>
      <c r="E691" s="8"/>
      <c r="F691" s="14"/>
      <c r="G691" s="8"/>
      <c r="H691" s="8"/>
      <c r="I691" s="9"/>
      <c r="J691" s="12" t="str">
        <f t="array" ref="J691:K691">IFERROR(INDEX(PRECIOS_COMPLEMENTOS!$C$4:$F$17,MATCH(D691&amp;"_"&amp;E691,PRECIOS_COMPLEMENTOS!$H$4:$H$17,0),IF(OR(H691="S",H691="20cm"),1,IF(OR(H691="M",H691="25cm"),2,IF(OR(H691="L",H691="30cm"),3,IF(OR(H691="XL",H691="35cm"),4,0))))),0)</f>
        <v>#REF!</v>
      </c>
      <c r="K691" s="12">
        <f t="shared" si="1"/>
        <v>0</v>
      </c>
      <c r="L691" s="13">
        <f>IFERROR(IF(C691="",0,IF(D691="PRETINA",SUMIFS($I$4:$I$690,$C$4:$C$690,C691,$D$4:$D$690,D691,$E$4:$E$690,E691,$F$4:$F$690,F691,$G$4:$G$690,G691,$H$4:$H$690,H691,$B$4:$B$690,"INGRESO")+SUMIFS($I$4:$I$690,$C$4:$C$690,C691,$D$4:$D$690,D691,$E$4:$E$690,E691,$F$4:$F$690,F691,$G$4:$G$690,G691,$H$4:$H$690,H691,$B$4:$B$690,"DE CORTE")-SUMIFS($I$4:$I$690,$C$4:$C$690,C691,$D$4:$D$690,D691,$E$4:$E$690,E691,$F$4:$F$690,F691,$G$4:$G$690,G691,$H$4:$H$690,H691,$B$4:$B$690,"SALIDA"),SUMIFS($I$4:$I$690,$C$4:$C$690,C691,$D$4:$D$690,D691,$E$4:$E$690,E691,$G$4:$G$690,G691,$H$4:$H$690,H691,$B$4:$B$690,"INGRESO")+SUMIFS($I$4:$I$690,$C$4:$C$690,C691,$D$4:$D$690,D691,$E$4:$E$690,E691,$G$4:$G$690,G691,$H$4:$H$690,H691,$B$4:$B$690,"DE CORTE")-SUMIFS($I$4:$I$690,$C$4:$C$690,C691,$D$4:$D$690,D691,$E$4:$E$690,E691,$G$4:$G$690,G691,$H$4:$H$690,H691,$B$4:$B$690,"SALIDA"))),0)</f>
        <v>0</v>
      </c>
      <c r="M691" s="13">
        <f t="shared" si="2"/>
        <v>0</v>
      </c>
      <c r="N691" s="14"/>
      <c r="O691" s="14"/>
      <c r="P691" s="15"/>
      <c r="Q691" s="14"/>
    </row>
    <row r="692" ht="15.75" customHeight="1">
      <c r="A692" s="7"/>
      <c r="B692" s="8"/>
      <c r="C692" s="8"/>
      <c r="D692" s="8"/>
      <c r="E692" s="8"/>
      <c r="F692" s="14"/>
      <c r="G692" s="8"/>
      <c r="H692" s="8"/>
      <c r="I692" s="9"/>
      <c r="J692" s="12" t="str">
        <f t="array" ref="J692:K692">IFERROR(INDEX(PRECIOS_COMPLEMENTOS!$C$4:$F$17,MATCH(D692&amp;"_"&amp;E692,PRECIOS_COMPLEMENTOS!$H$4:$H$17,0),IF(OR(H692="S",H692="20cm"),1,IF(OR(H692="M",H692="25cm"),2,IF(OR(H692="L",H692="30cm"),3,IF(OR(H692="XL",H692="35cm"),4,0))))),0)</f>
        <v>#REF!</v>
      </c>
      <c r="K692" s="12">
        <f t="shared" si="1"/>
        <v>0</v>
      </c>
      <c r="L692" s="13">
        <f>IFERROR(IF(C692="",0,IF(D692="PRETINA",SUMIFS($I$4:$I$691,$C$4:$C$691,C692,$D$4:$D$691,D692,$E$4:$E$691,E692,$F$4:$F$691,F692,$G$4:$G$691,G692,$H$4:$H$691,H692,$B$4:$B$691,"INGRESO")+SUMIFS($I$4:$I$691,$C$4:$C$691,C692,$D$4:$D$691,D692,$E$4:$E$691,E692,$F$4:$F$691,F692,$G$4:$G$691,G692,$H$4:$H$691,H692,$B$4:$B$691,"DE CORTE")-SUMIFS($I$4:$I$691,$C$4:$C$691,C692,$D$4:$D$691,D692,$E$4:$E$691,E692,$F$4:$F$691,F692,$G$4:$G$691,G692,$H$4:$H$691,H692,$B$4:$B$691,"SALIDA"),SUMIFS($I$4:$I$691,$C$4:$C$691,C692,$D$4:$D$691,D692,$E$4:$E$691,E692,$G$4:$G$691,G692,$H$4:$H$691,H692,$B$4:$B$691,"INGRESO")+SUMIFS($I$4:$I$691,$C$4:$C$691,C692,$D$4:$D$691,D692,$E$4:$E$691,E692,$G$4:$G$691,G692,$H$4:$H$691,H692,$B$4:$B$691,"DE CORTE")-SUMIFS($I$4:$I$691,$C$4:$C$691,C692,$D$4:$D$691,D692,$E$4:$E$691,E692,$G$4:$G$691,G692,$H$4:$H$691,H692,$B$4:$B$691,"SALIDA"))),0)</f>
        <v>0</v>
      </c>
      <c r="M692" s="13">
        <f t="shared" si="2"/>
        <v>0</v>
      </c>
      <c r="N692" s="14"/>
      <c r="O692" s="14"/>
      <c r="P692" s="15"/>
      <c r="Q692" s="14"/>
    </row>
    <row r="693" ht="15.75" customHeight="1">
      <c r="A693" s="7"/>
      <c r="B693" s="8"/>
      <c r="C693" s="8"/>
      <c r="D693" s="8"/>
      <c r="E693" s="8"/>
      <c r="F693" s="14"/>
      <c r="G693" s="8"/>
      <c r="H693" s="8"/>
      <c r="I693" s="9"/>
      <c r="J693" s="12" t="str">
        <f t="array" ref="J693:K693">IFERROR(INDEX(PRECIOS_COMPLEMENTOS!$C$4:$F$17,MATCH(D693&amp;"_"&amp;E693,PRECIOS_COMPLEMENTOS!$H$4:$H$17,0),IF(OR(H693="S",H693="20cm"),1,IF(OR(H693="M",H693="25cm"),2,IF(OR(H693="L",H693="30cm"),3,IF(OR(H693="XL",H693="35cm"),4,0))))),0)</f>
        <v>#REF!</v>
      </c>
      <c r="K693" s="12">
        <f t="shared" si="1"/>
        <v>0</v>
      </c>
      <c r="L693" s="13">
        <f>IFERROR(IF(C693="",0,IF(D693="PRETINA",SUMIFS($I$4:$I$692,$C$4:$C$692,C693,$D$4:$D$692,D693,$E$4:$E$692,E693,$F$4:$F$692,F693,$G$4:$G$692,G693,$H$4:$H$692,H693,$B$4:$B$692,"INGRESO")+SUMIFS($I$4:$I$692,$C$4:$C$692,C693,$D$4:$D$692,D693,$E$4:$E$692,E693,$F$4:$F$692,F693,$G$4:$G$692,G693,$H$4:$H$692,H693,$B$4:$B$692,"DE CORTE")-SUMIFS($I$4:$I$692,$C$4:$C$692,C693,$D$4:$D$692,D693,$E$4:$E$692,E693,$F$4:$F$692,F693,$G$4:$G$692,G693,$H$4:$H$692,H693,$B$4:$B$692,"SALIDA"),SUMIFS($I$4:$I$692,$C$4:$C$692,C693,$D$4:$D$692,D693,$E$4:$E$692,E693,$G$4:$G$692,G693,$H$4:$H$692,H693,$B$4:$B$692,"INGRESO")+SUMIFS($I$4:$I$692,$C$4:$C$692,C693,$D$4:$D$692,D693,$E$4:$E$692,E693,$G$4:$G$692,G693,$H$4:$H$692,H693,$B$4:$B$692,"DE CORTE")-SUMIFS($I$4:$I$692,$C$4:$C$692,C693,$D$4:$D$692,D693,$E$4:$E$692,E693,$G$4:$G$692,G693,$H$4:$H$692,H693,$B$4:$B$692,"SALIDA"))),0)</f>
        <v>0</v>
      </c>
      <c r="M693" s="13">
        <f t="shared" si="2"/>
        <v>0</v>
      </c>
      <c r="N693" s="14"/>
      <c r="O693" s="14"/>
      <c r="P693" s="15"/>
      <c r="Q693" s="14"/>
    </row>
    <row r="694" ht="15.75" customHeight="1">
      <c r="A694" s="7"/>
      <c r="B694" s="8"/>
      <c r="C694" s="8"/>
      <c r="D694" s="8"/>
      <c r="E694" s="8"/>
      <c r="F694" s="14"/>
      <c r="G694" s="8"/>
      <c r="H694" s="8"/>
      <c r="I694" s="9"/>
      <c r="J694" s="12" t="str">
        <f t="array" ref="J694:K694">IFERROR(INDEX(PRECIOS_COMPLEMENTOS!$C$4:$F$17,MATCH(D694&amp;"_"&amp;E694,PRECIOS_COMPLEMENTOS!$H$4:$H$17,0),IF(OR(H694="S",H694="20cm"),1,IF(OR(H694="M",H694="25cm"),2,IF(OR(H694="L",H694="30cm"),3,IF(OR(H694="XL",H694="35cm"),4,0))))),0)</f>
        <v>#REF!</v>
      </c>
      <c r="K694" s="12">
        <f t="shared" si="1"/>
        <v>0</v>
      </c>
      <c r="L694" s="13">
        <f>IFERROR(IF(C694="",0,IF(D694="PRETINA",SUMIFS($I$4:$I$693,$C$4:$C$693,C694,$D$4:$D$693,D694,$E$4:$E$693,E694,$F$4:$F$693,F694,$G$4:$G$693,G694,$H$4:$H$693,H694,$B$4:$B$693,"INGRESO")+SUMIFS($I$4:$I$693,$C$4:$C$693,C694,$D$4:$D$693,D694,$E$4:$E$693,E694,$F$4:$F$693,F694,$G$4:$G$693,G694,$H$4:$H$693,H694,$B$4:$B$693,"DE CORTE")-SUMIFS($I$4:$I$693,$C$4:$C$693,C694,$D$4:$D$693,D694,$E$4:$E$693,E694,$F$4:$F$693,F694,$G$4:$G$693,G694,$H$4:$H$693,H694,$B$4:$B$693,"SALIDA"),SUMIFS($I$4:$I$693,$C$4:$C$693,C694,$D$4:$D$693,D694,$E$4:$E$693,E694,$G$4:$G$693,G694,$H$4:$H$693,H694,$B$4:$B$693,"INGRESO")+SUMIFS($I$4:$I$693,$C$4:$C$693,C694,$D$4:$D$693,D694,$E$4:$E$693,E694,$G$4:$G$693,G694,$H$4:$H$693,H694,$B$4:$B$693,"DE CORTE")-SUMIFS($I$4:$I$693,$C$4:$C$693,C694,$D$4:$D$693,D694,$E$4:$E$693,E694,$G$4:$G$693,G694,$H$4:$H$693,H694,$B$4:$B$693,"SALIDA"))),0)</f>
        <v>0</v>
      </c>
      <c r="M694" s="13">
        <f t="shared" si="2"/>
        <v>0</v>
      </c>
      <c r="N694" s="14"/>
      <c r="O694" s="14"/>
      <c r="P694" s="15"/>
      <c r="Q694" s="14"/>
    </row>
    <row r="695" ht="15.75" customHeight="1">
      <c r="A695" s="7"/>
      <c r="B695" s="8"/>
      <c r="C695" s="8"/>
      <c r="D695" s="8"/>
      <c r="E695" s="8"/>
      <c r="F695" s="14"/>
      <c r="G695" s="8"/>
      <c r="H695" s="8"/>
      <c r="I695" s="9"/>
      <c r="J695" s="12" t="str">
        <f t="array" ref="J695:K695">IFERROR(INDEX(PRECIOS_COMPLEMENTOS!$C$4:$F$17,MATCH(D695&amp;"_"&amp;E695,PRECIOS_COMPLEMENTOS!$H$4:$H$17,0),IF(OR(H695="S",H695="20cm"),1,IF(OR(H695="M",H695="25cm"),2,IF(OR(H695="L",H695="30cm"),3,IF(OR(H695="XL",H695="35cm"),4,0))))),0)</f>
        <v>#REF!</v>
      </c>
      <c r="K695" s="12">
        <f t="shared" si="1"/>
        <v>0</v>
      </c>
      <c r="L695" s="13">
        <f>IFERROR(IF(C695="",0,IF(D695="PRETINA",SUMIFS($I$4:$I$694,$C$4:$C$694,C695,$D$4:$D$694,D695,$E$4:$E$694,E695,$F$4:$F$694,F695,$G$4:$G$694,G695,$H$4:$H$694,H695,$B$4:$B$694,"INGRESO")+SUMIFS($I$4:$I$694,$C$4:$C$694,C695,$D$4:$D$694,D695,$E$4:$E$694,E695,$F$4:$F$694,F695,$G$4:$G$694,G695,$H$4:$H$694,H695,$B$4:$B$694,"DE CORTE")-SUMIFS($I$4:$I$694,$C$4:$C$694,C695,$D$4:$D$694,D695,$E$4:$E$694,E695,$F$4:$F$694,F695,$G$4:$G$694,G695,$H$4:$H$694,H695,$B$4:$B$694,"SALIDA"),SUMIFS($I$4:$I$694,$C$4:$C$694,C695,$D$4:$D$694,D695,$E$4:$E$694,E695,$G$4:$G$694,G695,$H$4:$H$694,H695,$B$4:$B$694,"INGRESO")+SUMIFS($I$4:$I$694,$C$4:$C$694,C695,$D$4:$D$694,D695,$E$4:$E$694,E695,$G$4:$G$694,G695,$H$4:$H$694,H695,$B$4:$B$694,"DE CORTE")-SUMIFS($I$4:$I$694,$C$4:$C$694,C695,$D$4:$D$694,D695,$E$4:$E$694,E695,$G$4:$G$694,G695,$H$4:$H$694,H695,$B$4:$B$694,"SALIDA"))),0)</f>
        <v>0</v>
      </c>
      <c r="M695" s="13">
        <f t="shared" si="2"/>
        <v>0</v>
      </c>
      <c r="N695" s="14"/>
      <c r="O695" s="14"/>
      <c r="P695" s="15"/>
      <c r="Q695" s="14"/>
    </row>
    <row r="696" ht="15.75" customHeight="1">
      <c r="A696" s="7"/>
      <c r="B696" s="8"/>
      <c r="C696" s="8"/>
      <c r="D696" s="8"/>
      <c r="E696" s="8"/>
      <c r="F696" s="14"/>
      <c r="G696" s="8"/>
      <c r="H696" s="8"/>
      <c r="I696" s="9"/>
      <c r="J696" s="12" t="str">
        <f t="array" ref="J696:K696">IFERROR(INDEX(PRECIOS_COMPLEMENTOS!$C$4:$F$17,MATCH(D696&amp;"_"&amp;E696,PRECIOS_COMPLEMENTOS!$H$4:$H$17,0),IF(OR(H696="S",H696="20cm"),1,IF(OR(H696="M",H696="25cm"),2,IF(OR(H696="L",H696="30cm"),3,IF(OR(H696="XL",H696="35cm"),4,0))))),0)</f>
        <v>#REF!</v>
      </c>
      <c r="K696" s="12">
        <f t="shared" si="1"/>
        <v>0</v>
      </c>
      <c r="L696" s="13">
        <f>IFERROR(IF(C696="",0,IF(D696="PRETINA",SUMIFS($I$4:$I$695,$C$4:$C$695,C696,$D$4:$D$695,D696,$E$4:$E$695,E696,$F$4:$F$695,F696,$G$4:$G$695,G696,$H$4:$H$695,H696,$B$4:$B$695,"INGRESO")+SUMIFS($I$4:$I$695,$C$4:$C$695,C696,$D$4:$D$695,D696,$E$4:$E$695,E696,$F$4:$F$695,F696,$G$4:$G$695,G696,$H$4:$H$695,H696,$B$4:$B$695,"DE CORTE")-SUMIFS($I$4:$I$695,$C$4:$C$695,C696,$D$4:$D$695,D696,$E$4:$E$695,E696,$F$4:$F$695,F696,$G$4:$G$695,G696,$H$4:$H$695,H696,$B$4:$B$695,"SALIDA"),SUMIFS($I$4:$I$695,$C$4:$C$695,C696,$D$4:$D$695,D696,$E$4:$E$695,E696,$G$4:$G$695,G696,$H$4:$H$695,H696,$B$4:$B$695,"INGRESO")+SUMIFS($I$4:$I$695,$C$4:$C$695,C696,$D$4:$D$695,D696,$E$4:$E$695,E696,$G$4:$G$695,G696,$H$4:$H$695,H696,$B$4:$B$695,"DE CORTE")-SUMIFS($I$4:$I$695,$C$4:$C$695,C696,$D$4:$D$695,D696,$E$4:$E$695,E696,$G$4:$G$695,G696,$H$4:$H$695,H696,$B$4:$B$695,"SALIDA"))),0)</f>
        <v>0</v>
      </c>
      <c r="M696" s="13">
        <f t="shared" si="2"/>
        <v>0</v>
      </c>
      <c r="N696" s="14"/>
      <c r="O696" s="14"/>
      <c r="P696" s="15"/>
      <c r="Q696" s="14"/>
    </row>
    <row r="697" ht="15.75" customHeight="1">
      <c r="A697" s="7"/>
      <c r="B697" s="8"/>
      <c r="C697" s="8"/>
      <c r="D697" s="8"/>
      <c r="E697" s="8"/>
      <c r="F697" s="14"/>
      <c r="G697" s="8"/>
      <c r="H697" s="8"/>
      <c r="I697" s="9"/>
      <c r="J697" s="12" t="str">
        <f t="array" ref="J697:K697">IFERROR(INDEX(PRECIOS_COMPLEMENTOS!$C$4:$F$17,MATCH(D697&amp;"_"&amp;E697,PRECIOS_COMPLEMENTOS!$H$4:$H$17,0),IF(OR(H697="S",H697="20cm"),1,IF(OR(H697="M",H697="25cm"),2,IF(OR(H697="L",H697="30cm"),3,IF(OR(H697="XL",H697="35cm"),4,0))))),0)</f>
        <v>#REF!</v>
      </c>
      <c r="K697" s="12">
        <f t="shared" si="1"/>
        <v>0</v>
      </c>
      <c r="L697" s="13">
        <f>IFERROR(IF(C697="",0,IF(D697="PRETINA",SUMIFS($I$4:$I$696,$C$4:$C$696,C697,$D$4:$D$696,D697,$E$4:$E$696,E697,$F$4:$F$696,F697,$G$4:$G$696,G697,$H$4:$H$696,H697,$B$4:$B$696,"INGRESO")+SUMIFS($I$4:$I$696,$C$4:$C$696,C697,$D$4:$D$696,D697,$E$4:$E$696,E697,$F$4:$F$696,F697,$G$4:$G$696,G697,$H$4:$H$696,H697,$B$4:$B$696,"DE CORTE")-SUMIFS($I$4:$I$696,$C$4:$C$696,C697,$D$4:$D$696,D697,$E$4:$E$696,E697,$F$4:$F$696,F697,$G$4:$G$696,G697,$H$4:$H$696,H697,$B$4:$B$696,"SALIDA"),SUMIFS($I$4:$I$696,$C$4:$C$696,C697,$D$4:$D$696,D697,$E$4:$E$696,E697,$G$4:$G$696,G697,$H$4:$H$696,H697,$B$4:$B$696,"INGRESO")+SUMIFS($I$4:$I$696,$C$4:$C$696,C697,$D$4:$D$696,D697,$E$4:$E$696,E697,$G$4:$G$696,G697,$H$4:$H$696,H697,$B$4:$B$696,"DE CORTE")-SUMIFS($I$4:$I$696,$C$4:$C$696,C697,$D$4:$D$696,D697,$E$4:$E$696,E697,$G$4:$G$696,G697,$H$4:$H$696,H697,$B$4:$B$696,"SALIDA"))),0)</f>
        <v>0</v>
      </c>
      <c r="M697" s="13">
        <f t="shared" si="2"/>
        <v>0</v>
      </c>
      <c r="N697" s="14"/>
      <c r="O697" s="14"/>
      <c r="P697" s="15"/>
      <c r="Q697" s="14"/>
    </row>
    <row r="698" ht="15.75" customHeight="1">
      <c r="A698" s="7"/>
      <c r="B698" s="8"/>
      <c r="C698" s="8"/>
      <c r="D698" s="8"/>
      <c r="E698" s="8"/>
      <c r="F698" s="14"/>
      <c r="G698" s="8"/>
      <c r="H698" s="8"/>
      <c r="I698" s="9"/>
      <c r="J698" s="12" t="str">
        <f t="array" ref="J698:K698">IFERROR(INDEX(PRECIOS_COMPLEMENTOS!$C$4:$F$17,MATCH(D698&amp;"_"&amp;E698,PRECIOS_COMPLEMENTOS!$H$4:$H$17,0),IF(OR(H698="S",H698="20cm"),1,IF(OR(H698="M",H698="25cm"),2,IF(OR(H698="L",H698="30cm"),3,IF(OR(H698="XL",H698="35cm"),4,0))))),0)</f>
        <v>#REF!</v>
      </c>
      <c r="K698" s="12">
        <f t="shared" si="1"/>
        <v>0</v>
      </c>
      <c r="L698" s="13">
        <f>IFERROR(IF(C698="",0,IF(D698="PRETINA",SUMIFS($I$4:$I$697,$C$4:$C$697,C698,$D$4:$D$697,D698,$E$4:$E$697,E698,$F$4:$F$697,F698,$G$4:$G$697,G698,$H$4:$H$697,H698,$B$4:$B$697,"INGRESO")+SUMIFS($I$4:$I$697,$C$4:$C$697,C698,$D$4:$D$697,D698,$E$4:$E$697,E698,$F$4:$F$697,F698,$G$4:$G$697,G698,$H$4:$H$697,H698,$B$4:$B$697,"DE CORTE")-SUMIFS($I$4:$I$697,$C$4:$C$697,C698,$D$4:$D$697,D698,$E$4:$E$697,E698,$F$4:$F$697,F698,$G$4:$G$697,G698,$H$4:$H$697,H698,$B$4:$B$697,"SALIDA"),SUMIFS($I$4:$I$697,$C$4:$C$697,C698,$D$4:$D$697,D698,$E$4:$E$697,E698,$G$4:$G$697,G698,$H$4:$H$697,H698,$B$4:$B$697,"INGRESO")+SUMIFS($I$4:$I$697,$C$4:$C$697,C698,$D$4:$D$697,D698,$E$4:$E$697,E698,$G$4:$G$697,G698,$H$4:$H$697,H698,$B$4:$B$697,"DE CORTE")-SUMIFS($I$4:$I$697,$C$4:$C$697,C698,$D$4:$D$697,D698,$E$4:$E$697,E698,$G$4:$G$697,G698,$H$4:$H$697,H698,$B$4:$B$697,"SALIDA"))),0)</f>
        <v>0</v>
      </c>
      <c r="M698" s="13">
        <f t="shared" si="2"/>
        <v>0</v>
      </c>
      <c r="N698" s="14"/>
      <c r="O698" s="14"/>
      <c r="P698" s="15"/>
      <c r="Q698" s="14"/>
    </row>
    <row r="699" ht="15.75" customHeight="1">
      <c r="A699" s="7"/>
      <c r="B699" s="8"/>
      <c r="C699" s="8"/>
      <c r="D699" s="8"/>
      <c r="E699" s="8"/>
      <c r="F699" s="14"/>
      <c r="G699" s="8"/>
      <c r="H699" s="8"/>
      <c r="I699" s="9"/>
      <c r="J699" s="12" t="str">
        <f t="array" ref="J699:K699">IFERROR(INDEX(PRECIOS_COMPLEMENTOS!$C$4:$F$17,MATCH(D699&amp;"_"&amp;E699,PRECIOS_COMPLEMENTOS!$H$4:$H$17,0),IF(OR(H699="S",H699="20cm"),1,IF(OR(H699="M",H699="25cm"),2,IF(OR(H699="L",H699="30cm"),3,IF(OR(H699="XL",H699="35cm"),4,0))))),0)</f>
        <v>#REF!</v>
      </c>
      <c r="K699" s="12">
        <f t="shared" si="1"/>
        <v>0</v>
      </c>
      <c r="L699" s="13">
        <f>IFERROR(IF(C699="",0,IF(D699="PRETINA",SUMIFS($I$4:$I$698,$C$4:$C$698,C699,$D$4:$D$698,D699,$E$4:$E$698,E699,$F$4:$F$698,F699,$G$4:$G$698,G699,$H$4:$H$698,H699,$B$4:$B$698,"INGRESO")+SUMIFS($I$4:$I$698,$C$4:$C$698,C699,$D$4:$D$698,D699,$E$4:$E$698,E699,$F$4:$F$698,F699,$G$4:$G$698,G699,$H$4:$H$698,H699,$B$4:$B$698,"DE CORTE")-SUMIFS($I$4:$I$698,$C$4:$C$698,C699,$D$4:$D$698,D699,$E$4:$E$698,E699,$F$4:$F$698,F699,$G$4:$G$698,G699,$H$4:$H$698,H699,$B$4:$B$698,"SALIDA"),SUMIFS($I$4:$I$698,$C$4:$C$698,C699,$D$4:$D$698,D699,$E$4:$E$698,E699,$G$4:$G$698,G699,$H$4:$H$698,H699,$B$4:$B$698,"INGRESO")+SUMIFS($I$4:$I$698,$C$4:$C$698,C699,$D$4:$D$698,D699,$E$4:$E$698,E699,$G$4:$G$698,G699,$H$4:$H$698,H699,$B$4:$B$698,"DE CORTE")-SUMIFS($I$4:$I$698,$C$4:$C$698,C699,$D$4:$D$698,D699,$E$4:$E$698,E699,$G$4:$G$698,G699,$H$4:$H$698,H699,$B$4:$B$698,"SALIDA"))),0)</f>
        <v>0</v>
      </c>
      <c r="M699" s="13">
        <f t="shared" si="2"/>
        <v>0</v>
      </c>
      <c r="N699" s="14"/>
      <c r="O699" s="14"/>
      <c r="P699" s="15"/>
      <c r="Q699" s="14"/>
    </row>
    <row r="700" ht="15.75" customHeight="1">
      <c r="A700" s="7"/>
      <c r="B700" s="8"/>
      <c r="C700" s="8"/>
      <c r="D700" s="8"/>
      <c r="E700" s="8"/>
      <c r="F700" s="14"/>
      <c r="G700" s="8"/>
      <c r="H700" s="8"/>
      <c r="I700" s="9"/>
      <c r="J700" s="12" t="str">
        <f t="array" ref="J700:K700">IFERROR(INDEX(PRECIOS_COMPLEMENTOS!$C$4:$F$17,MATCH(D700&amp;"_"&amp;E700,PRECIOS_COMPLEMENTOS!$H$4:$H$17,0),IF(OR(H700="S",H700="20cm"),1,IF(OR(H700="M",H700="25cm"),2,IF(OR(H700="L",H700="30cm"),3,IF(OR(H700="XL",H700="35cm"),4,0))))),0)</f>
        <v>#REF!</v>
      </c>
      <c r="K700" s="12">
        <f t="shared" si="1"/>
        <v>0</v>
      </c>
      <c r="L700" s="13">
        <f>IFERROR(IF(C700="",0,IF(D700="PRETINA",SUMIFS($I$4:$I$699,$C$4:$C$699,C700,$D$4:$D$699,D700,$E$4:$E$699,E700,$F$4:$F$699,F700,$G$4:$G$699,G700,$H$4:$H$699,H700,$B$4:$B$699,"INGRESO")+SUMIFS($I$4:$I$699,$C$4:$C$699,C700,$D$4:$D$699,D700,$E$4:$E$699,E700,$F$4:$F$699,F700,$G$4:$G$699,G700,$H$4:$H$699,H700,$B$4:$B$699,"DE CORTE")-SUMIFS($I$4:$I$699,$C$4:$C$699,C700,$D$4:$D$699,D700,$E$4:$E$699,E700,$F$4:$F$699,F700,$G$4:$G$699,G700,$H$4:$H$699,H700,$B$4:$B$699,"SALIDA"),SUMIFS($I$4:$I$699,$C$4:$C$699,C700,$D$4:$D$699,D700,$E$4:$E$699,E700,$G$4:$G$699,G700,$H$4:$H$699,H700,$B$4:$B$699,"INGRESO")+SUMIFS($I$4:$I$699,$C$4:$C$699,C700,$D$4:$D$699,D700,$E$4:$E$699,E700,$G$4:$G$699,G700,$H$4:$H$699,H700,$B$4:$B$699,"DE CORTE")-SUMIFS($I$4:$I$699,$C$4:$C$699,C700,$D$4:$D$699,D700,$E$4:$E$699,E700,$G$4:$G$699,G700,$H$4:$H$699,H700,$B$4:$B$699,"SALIDA"))),0)</f>
        <v>0</v>
      </c>
      <c r="M700" s="13">
        <f t="shared" si="2"/>
        <v>0</v>
      </c>
      <c r="N700" s="14"/>
      <c r="O700" s="14"/>
      <c r="P700" s="15"/>
      <c r="Q700" s="14"/>
    </row>
    <row r="701" ht="15.75" customHeight="1">
      <c r="A701" s="7"/>
      <c r="B701" s="8"/>
      <c r="C701" s="8"/>
      <c r="D701" s="8"/>
      <c r="E701" s="8"/>
      <c r="F701" s="14"/>
      <c r="G701" s="8"/>
      <c r="H701" s="8"/>
      <c r="I701" s="9"/>
      <c r="J701" s="12" t="str">
        <f t="array" ref="J701:K701">IFERROR(INDEX(PRECIOS_COMPLEMENTOS!$C$4:$F$17,MATCH(D701&amp;"_"&amp;E701,PRECIOS_COMPLEMENTOS!$H$4:$H$17,0),IF(OR(H701="S",H701="20cm"),1,IF(OR(H701="M",H701="25cm"),2,IF(OR(H701="L",H701="30cm"),3,IF(OR(H701="XL",H701="35cm"),4,0))))),0)</f>
        <v>#REF!</v>
      </c>
      <c r="K701" s="12">
        <f t="shared" si="1"/>
        <v>0</v>
      </c>
      <c r="L701" s="13">
        <f>IFERROR(IF(C701="",0,IF(D701="PRETINA",SUMIFS($I$4:$I$700,$C$4:$C$700,C701,$D$4:$D$700,D701,$E$4:$E$700,E701,$F$4:$F$700,F701,$G$4:$G$700,G701,$H$4:$H$700,H701,$B$4:$B$700,"INGRESO")+SUMIFS($I$4:$I$700,$C$4:$C$700,C701,$D$4:$D$700,D701,$E$4:$E$700,E701,$F$4:$F$700,F701,$G$4:$G$700,G701,$H$4:$H$700,H701,$B$4:$B$700,"DE CORTE")-SUMIFS($I$4:$I$700,$C$4:$C$700,C701,$D$4:$D$700,D701,$E$4:$E$700,E701,$F$4:$F$700,F701,$G$4:$G$700,G701,$H$4:$H$700,H701,$B$4:$B$700,"SALIDA"),SUMIFS($I$4:$I$700,$C$4:$C$700,C701,$D$4:$D$700,D701,$E$4:$E$700,E701,$G$4:$G$700,G701,$H$4:$H$700,H701,$B$4:$B$700,"INGRESO")+SUMIFS($I$4:$I$700,$C$4:$C$700,C701,$D$4:$D$700,D701,$E$4:$E$700,E701,$G$4:$G$700,G701,$H$4:$H$700,H701,$B$4:$B$700,"DE CORTE")-SUMIFS($I$4:$I$700,$C$4:$C$700,C701,$D$4:$D$700,D701,$E$4:$E$700,E701,$G$4:$G$700,G701,$H$4:$H$700,H701,$B$4:$B$700,"SALIDA"))),0)</f>
        <v>0</v>
      </c>
      <c r="M701" s="13">
        <f t="shared" si="2"/>
        <v>0</v>
      </c>
      <c r="N701" s="14"/>
      <c r="O701" s="14"/>
      <c r="P701" s="15"/>
      <c r="Q701" s="14"/>
    </row>
    <row r="702" ht="15.75" customHeight="1">
      <c r="A702" s="7"/>
      <c r="B702" s="8"/>
      <c r="C702" s="8"/>
      <c r="D702" s="8"/>
      <c r="E702" s="8"/>
      <c r="F702" s="14"/>
      <c r="G702" s="8"/>
      <c r="H702" s="8"/>
      <c r="I702" s="9"/>
      <c r="J702" s="12" t="str">
        <f t="array" ref="J702:K702">IFERROR(INDEX(PRECIOS_COMPLEMENTOS!$C$4:$F$17,MATCH(D702&amp;"_"&amp;E702,PRECIOS_COMPLEMENTOS!$H$4:$H$17,0),IF(OR(H702="S",H702="20cm"),1,IF(OR(H702="M",H702="25cm"),2,IF(OR(H702="L",H702="30cm"),3,IF(OR(H702="XL",H702="35cm"),4,0))))),0)</f>
        <v>#REF!</v>
      </c>
      <c r="K702" s="12">
        <f t="shared" si="1"/>
        <v>0</v>
      </c>
      <c r="L702" s="13">
        <f>IFERROR(IF(C702="",0,IF(D702="PRETINA",SUMIFS($I$4:$I$701,$C$4:$C$701,C702,$D$4:$D$701,D702,$E$4:$E$701,E702,$F$4:$F$701,F702,$G$4:$G$701,G702,$H$4:$H$701,H702,$B$4:$B$701,"INGRESO")+SUMIFS($I$4:$I$701,$C$4:$C$701,C702,$D$4:$D$701,D702,$E$4:$E$701,E702,$F$4:$F$701,F702,$G$4:$G$701,G702,$H$4:$H$701,H702,$B$4:$B$701,"DE CORTE")-SUMIFS($I$4:$I$701,$C$4:$C$701,C702,$D$4:$D$701,D702,$E$4:$E$701,E702,$F$4:$F$701,F702,$G$4:$G$701,G702,$H$4:$H$701,H702,$B$4:$B$701,"SALIDA"),SUMIFS($I$4:$I$701,$C$4:$C$701,C702,$D$4:$D$701,D702,$E$4:$E$701,E702,$G$4:$G$701,G702,$H$4:$H$701,H702,$B$4:$B$701,"INGRESO")+SUMIFS($I$4:$I$701,$C$4:$C$701,C702,$D$4:$D$701,D702,$E$4:$E$701,E702,$G$4:$G$701,G702,$H$4:$H$701,H702,$B$4:$B$701,"DE CORTE")-SUMIFS($I$4:$I$701,$C$4:$C$701,C702,$D$4:$D$701,D702,$E$4:$E$701,E702,$G$4:$G$701,G702,$H$4:$H$701,H702,$B$4:$B$701,"SALIDA"))),0)</f>
        <v>0</v>
      </c>
      <c r="M702" s="13">
        <f t="shared" si="2"/>
        <v>0</v>
      </c>
      <c r="N702" s="14"/>
      <c r="O702" s="14"/>
      <c r="P702" s="15"/>
      <c r="Q702" s="14"/>
    </row>
    <row r="703" ht="15.75" customHeight="1">
      <c r="A703" s="7"/>
      <c r="B703" s="8"/>
      <c r="C703" s="8"/>
      <c r="D703" s="8"/>
      <c r="E703" s="8"/>
      <c r="F703" s="14"/>
      <c r="G703" s="8"/>
      <c r="H703" s="8"/>
      <c r="I703" s="9"/>
      <c r="J703" s="12" t="str">
        <f t="array" ref="J703:K703">IFERROR(INDEX(PRECIOS_COMPLEMENTOS!$C$4:$F$17,MATCH(D703&amp;"_"&amp;E703,PRECIOS_COMPLEMENTOS!$H$4:$H$17,0),IF(OR(H703="S",H703="20cm"),1,IF(OR(H703="M",H703="25cm"),2,IF(OR(H703="L",H703="30cm"),3,IF(OR(H703="XL",H703="35cm"),4,0))))),0)</f>
        <v>#REF!</v>
      </c>
      <c r="K703" s="12">
        <f t="shared" si="1"/>
        <v>0</v>
      </c>
      <c r="L703" s="13">
        <f>IFERROR(IF(C703="",0,IF(D703="PRETINA",SUMIFS($I$4:$I$702,$C$4:$C$702,C703,$D$4:$D$702,D703,$E$4:$E$702,E703,$F$4:$F$702,F703,$G$4:$G$702,G703,$H$4:$H$702,H703,$B$4:$B$702,"INGRESO")+SUMIFS($I$4:$I$702,$C$4:$C$702,C703,$D$4:$D$702,D703,$E$4:$E$702,E703,$F$4:$F$702,F703,$G$4:$G$702,G703,$H$4:$H$702,H703,$B$4:$B$702,"DE CORTE")-SUMIFS($I$4:$I$702,$C$4:$C$702,C703,$D$4:$D$702,D703,$E$4:$E$702,E703,$F$4:$F$702,F703,$G$4:$G$702,G703,$H$4:$H$702,H703,$B$4:$B$702,"SALIDA"),SUMIFS($I$4:$I$702,$C$4:$C$702,C703,$D$4:$D$702,D703,$E$4:$E$702,E703,$G$4:$G$702,G703,$H$4:$H$702,H703,$B$4:$B$702,"INGRESO")+SUMIFS($I$4:$I$702,$C$4:$C$702,C703,$D$4:$D$702,D703,$E$4:$E$702,E703,$G$4:$G$702,G703,$H$4:$H$702,H703,$B$4:$B$702,"DE CORTE")-SUMIFS($I$4:$I$702,$C$4:$C$702,C703,$D$4:$D$702,D703,$E$4:$E$702,E703,$G$4:$G$702,G703,$H$4:$H$702,H703,$B$4:$B$702,"SALIDA"))),0)</f>
        <v>0</v>
      </c>
      <c r="M703" s="13">
        <f t="shared" si="2"/>
        <v>0</v>
      </c>
      <c r="N703" s="14"/>
      <c r="O703" s="14"/>
      <c r="P703" s="15"/>
      <c r="Q703" s="14"/>
    </row>
    <row r="704" ht="15.75" customHeight="1">
      <c r="A704" s="7"/>
      <c r="B704" s="8"/>
      <c r="C704" s="8"/>
      <c r="D704" s="8"/>
      <c r="E704" s="8"/>
      <c r="F704" s="14"/>
      <c r="G704" s="8"/>
      <c r="H704" s="8"/>
      <c r="I704" s="9"/>
      <c r="J704" s="12" t="str">
        <f t="array" ref="J704:K704">IFERROR(INDEX(PRECIOS_COMPLEMENTOS!$C$4:$F$17,MATCH(D704&amp;"_"&amp;E704,PRECIOS_COMPLEMENTOS!$H$4:$H$17,0),IF(OR(H704="S",H704="20cm"),1,IF(OR(H704="M",H704="25cm"),2,IF(OR(H704="L",H704="30cm"),3,IF(OR(H704="XL",H704="35cm"),4,0))))),0)</f>
        <v>#REF!</v>
      </c>
      <c r="K704" s="12">
        <f t="shared" si="1"/>
        <v>0</v>
      </c>
      <c r="L704" s="13">
        <f>IFERROR(IF(C704="",0,IF(D704="PRETINA",SUMIFS($I$4:$I$703,$C$4:$C$703,C704,$D$4:$D$703,D704,$E$4:$E$703,E704,$F$4:$F$703,F704,$G$4:$G$703,G704,$H$4:$H$703,H704,$B$4:$B$703,"INGRESO")+SUMIFS($I$4:$I$703,$C$4:$C$703,C704,$D$4:$D$703,D704,$E$4:$E$703,E704,$F$4:$F$703,F704,$G$4:$G$703,G704,$H$4:$H$703,H704,$B$4:$B$703,"DE CORTE")-SUMIFS($I$4:$I$703,$C$4:$C$703,C704,$D$4:$D$703,D704,$E$4:$E$703,E704,$F$4:$F$703,F704,$G$4:$G$703,G704,$H$4:$H$703,H704,$B$4:$B$703,"SALIDA"),SUMIFS($I$4:$I$703,$C$4:$C$703,C704,$D$4:$D$703,D704,$E$4:$E$703,E704,$G$4:$G$703,G704,$H$4:$H$703,H704,$B$4:$B$703,"INGRESO")+SUMIFS($I$4:$I$703,$C$4:$C$703,C704,$D$4:$D$703,D704,$E$4:$E$703,E704,$G$4:$G$703,G704,$H$4:$H$703,H704,$B$4:$B$703,"DE CORTE")-SUMIFS($I$4:$I$703,$C$4:$C$703,C704,$D$4:$D$703,D704,$E$4:$E$703,E704,$G$4:$G$703,G704,$H$4:$H$703,H704,$B$4:$B$703,"SALIDA"))),0)</f>
        <v>0</v>
      </c>
      <c r="M704" s="13">
        <f t="shared" si="2"/>
        <v>0</v>
      </c>
      <c r="N704" s="14"/>
      <c r="O704" s="14"/>
      <c r="P704" s="15"/>
      <c r="Q704" s="14"/>
    </row>
    <row r="705" ht="15.75" customHeight="1">
      <c r="A705" s="7"/>
      <c r="B705" s="8"/>
      <c r="C705" s="8"/>
      <c r="D705" s="8"/>
      <c r="E705" s="8"/>
      <c r="F705" s="14"/>
      <c r="G705" s="8"/>
      <c r="H705" s="8"/>
      <c r="I705" s="9"/>
      <c r="J705" s="12" t="str">
        <f t="array" ref="J705:K705">IFERROR(INDEX(PRECIOS_COMPLEMENTOS!$C$4:$F$17,MATCH(D705&amp;"_"&amp;E705,PRECIOS_COMPLEMENTOS!$H$4:$H$17,0),IF(OR(H705="S",H705="20cm"),1,IF(OR(H705="M",H705="25cm"),2,IF(OR(H705="L",H705="30cm"),3,IF(OR(H705="XL",H705="35cm"),4,0))))),0)</f>
        <v>#REF!</v>
      </c>
      <c r="K705" s="12">
        <f t="shared" si="1"/>
        <v>0</v>
      </c>
      <c r="L705" s="13">
        <f>IFERROR(IF(C705="",0,IF(D705="PRETINA",SUMIFS($I$4:$I$704,$C$4:$C$704,C705,$D$4:$D$704,D705,$E$4:$E$704,E705,$F$4:$F$704,F705,$G$4:$G$704,G705,$H$4:$H$704,H705,$B$4:$B$704,"INGRESO")+SUMIFS($I$4:$I$704,$C$4:$C$704,C705,$D$4:$D$704,D705,$E$4:$E$704,E705,$F$4:$F$704,F705,$G$4:$G$704,G705,$H$4:$H$704,H705,$B$4:$B$704,"DE CORTE")-SUMIFS($I$4:$I$704,$C$4:$C$704,C705,$D$4:$D$704,D705,$E$4:$E$704,E705,$F$4:$F$704,F705,$G$4:$G$704,G705,$H$4:$H$704,H705,$B$4:$B$704,"SALIDA"),SUMIFS($I$4:$I$704,$C$4:$C$704,C705,$D$4:$D$704,D705,$E$4:$E$704,E705,$G$4:$G$704,G705,$H$4:$H$704,H705,$B$4:$B$704,"INGRESO")+SUMIFS($I$4:$I$704,$C$4:$C$704,C705,$D$4:$D$704,D705,$E$4:$E$704,E705,$G$4:$G$704,G705,$H$4:$H$704,H705,$B$4:$B$704,"DE CORTE")-SUMIFS($I$4:$I$704,$C$4:$C$704,C705,$D$4:$D$704,D705,$E$4:$E$704,E705,$G$4:$G$704,G705,$H$4:$H$704,H705,$B$4:$B$704,"SALIDA"))),0)</f>
        <v>0</v>
      </c>
      <c r="M705" s="13">
        <f t="shared" si="2"/>
        <v>0</v>
      </c>
      <c r="N705" s="14"/>
      <c r="O705" s="14"/>
      <c r="P705" s="15"/>
      <c r="Q705" s="14"/>
    </row>
    <row r="706" ht="15.75" customHeight="1">
      <c r="A706" s="7"/>
      <c r="B706" s="8"/>
      <c r="C706" s="8"/>
      <c r="D706" s="8"/>
      <c r="E706" s="8"/>
      <c r="F706" s="14"/>
      <c r="G706" s="8"/>
      <c r="H706" s="8"/>
      <c r="I706" s="9"/>
      <c r="J706" s="12" t="str">
        <f t="array" ref="J706:K706">IFERROR(INDEX(PRECIOS_COMPLEMENTOS!$C$4:$F$17,MATCH(D706&amp;"_"&amp;E706,PRECIOS_COMPLEMENTOS!$H$4:$H$17,0),IF(OR(H706="S",H706="20cm"),1,IF(OR(H706="M",H706="25cm"),2,IF(OR(H706="L",H706="30cm"),3,IF(OR(H706="XL",H706="35cm"),4,0))))),0)</f>
        <v>#REF!</v>
      </c>
      <c r="K706" s="12">
        <f t="shared" si="1"/>
        <v>0</v>
      </c>
      <c r="L706" s="13">
        <f>IFERROR(IF(C706="",0,IF(D706="PRETINA",SUMIFS($I$4:$I$705,$C$4:$C$705,C706,$D$4:$D$705,D706,$E$4:$E$705,E706,$F$4:$F$705,F706,$G$4:$G$705,G706,$H$4:$H$705,H706,$B$4:$B$705,"INGRESO")+SUMIFS($I$4:$I$705,$C$4:$C$705,C706,$D$4:$D$705,D706,$E$4:$E$705,E706,$F$4:$F$705,F706,$G$4:$G$705,G706,$H$4:$H$705,H706,$B$4:$B$705,"DE CORTE")-SUMIFS($I$4:$I$705,$C$4:$C$705,C706,$D$4:$D$705,D706,$E$4:$E$705,E706,$F$4:$F$705,F706,$G$4:$G$705,G706,$H$4:$H$705,H706,$B$4:$B$705,"SALIDA"),SUMIFS($I$4:$I$705,$C$4:$C$705,C706,$D$4:$D$705,D706,$E$4:$E$705,E706,$G$4:$G$705,G706,$H$4:$H$705,H706,$B$4:$B$705,"INGRESO")+SUMIFS($I$4:$I$705,$C$4:$C$705,C706,$D$4:$D$705,D706,$E$4:$E$705,E706,$G$4:$G$705,G706,$H$4:$H$705,H706,$B$4:$B$705,"DE CORTE")-SUMIFS($I$4:$I$705,$C$4:$C$705,C706,$D$4:$D$705,D706,$E$4:$E$705,E706,$G$4:$G$705,G706,$H$4:$H$705,H706,$B$4:$B$705,"SALIDA"))),0)</f>
        <v>0</v>
      </c>
      <c r="M706" s="13">
        <f t="shared" si="2"/>
        <v>0</v>
      </c>
      <c r="N706" s="14"/>
      <c r="O706" s="14"/>
      <c r="P706" s="15"/>
      <c r="Q706" s="14"/>
    </row>
    <row r="707" ht="15.75" customHeight="1">
      <c r="A707" s="7"/>
      <c r="B707" s="8"/>
      <c r="C707" s="8"/>
      <c r="D707" s="8"/>
      <c r="E707" s="8"/>
      <c r="F707" s="14"/>
      <c r="G707" s="8"/>
      <c r="H707" s="8"/>
      <c r="I707" s="9"/>
      <c r="J707" s="12" t="str">
        <f t="array" ref="J707:K707">IFERROR(INDEX(PRECIOS_COMPLEMENTOS!$C$4:$F$17,MATCH(D707&amp;"_"&amp;E707,PRECIOS_COMPLEMENTOS!$H$4:$H$17,0),IF(OR(H707="S",H707="20cm"),1,IF(OR(H707="M",H707="25cm"),2,IF(OR(H707="L",H707="30cm"),3,IF(OR(H707="XL",H707="35cm"),4,0))))),0)</f>
        <v>#REF!</v>
      </c>
      <c r="K707" s="12">
        <f t="shared" si="1"/>
        <v>0</v>
      </c>
      <c r="L707" s="13">
        <f>IFERROR(IF(C707="",0,IF(D707="PRETINA",SUMIFS($I$4:$I$706,$C$4:$C$706,C707,$D$4:$D$706,D707,$E$4:$E$706,E707,$F$4:$F$706,F707,$G$4:$G$706,G707,$H$4:$H$706,H707,$B$4:$B$706,"INGRESO")+SUMIFS($I$4:$I$706,$C$4:$C$706,C707,$D$4:$D$706,D707,$E$4:$E$706,E707,$F$4:$F$706,F707,$G$4:$G$706,G707,$H$4:$H$706,H707,$B$4:$B$706,"DE CORTE")-SUMIFS($I$4:$I$706,$C$4:$C$706,C707,$D$4:$D$706,D707,$E$4:$E$706,E707,$F$4:$F$706,F707,$G$4:$G$706,G707,$H$4:$H$706,H707,$B$4:$B$706,"SALIDA"),SUMIFS($I$4:$I$706,$C$4:$C$706,C707,$D$4:$D$706,D707,$E$4:$E$706,E707,$G$4:$G$706,G707,$H$4:$H$706,H707,$B$4:$B$706,"INGRESO")+SUMIFS($I$4:$I$706,$C$4:$C$706,C707,$D$4:$D$706,D707,$E$4:$E$706,E707,$G$4:$G$706,G707,$H$4:$H$706,H707,$B$4:$B$706,"DE CORTE")-SUMIFS($I$4:$I$706,$C$4:$C$706,C707,$D$4:$D$706,D707,$E$4:$E$706,E707,$G$4:$G$706,G707,$H$4:$H$706,H707,$B$4:$B$706,"SALIDA"))),0)</f>
        <v>0</v>
      </c>
      <c r="M707" s="13">
        <f t="shared" si="2"/>
        <v>0</v>
      </c>
      <c r="N707" s="14"/>
      <c r="O707" s="14"/>
      <c r="P707" s="15"/>
      <c r="Q707" s="14"/>
    </row>
    <row r="708" ht="15.75" customHeight="1">
      <c r="A708" s="7"/>
      <c r="B708" s="8"/>
      <c r="C708" s="8"/>
      <c r="D708" s="8"/>
      <c r="E708" s="8"/>
      <c r="F708" s="14"/>
      <c r="G708" s="8"/>
      <c r="H708" s="8"/>
      <c r="I708" s="9"/>
      <c r="J708" s="12" t="str">
        <f t="array" ref="J708:K708">IFERROR(INDEX(PRECIOS_COMPLEMENTOS!$C$4:$F$17,MATCH(D708&amp;"_"&amp;E708,PRECIOS_COMPLEMENTOS!$H$4:$H$17,0),IF(OR(H708="S",H708="20cm"),1,IF(OR(H708="M",H708="25cm"),2,IF(OR(H708="L",H708="30cm"),3,IF(OR(H708="XL",H708="35cm"),4,0))))),0)</f>
        <v>#REF!</v>
      </c>
      <c r="K708" s="12">
        <f t="shared" si="1"/>
        <v>0</v>
      </c>
      <c r="L708" s="13">
        <f>IFERROR(IF(C708="",0,IF(D708="PRETINA",SUMIFS($I$4:$I$707,$C$4:$C$707,C708,$D$4:$D$707,D708,$E$4:$E$707,E708,$F$4:$F$707,F708,$G$4:$G$707,G708,$H$4:$H$707,H708,$B$4:$B$707,"INGRESO")+SUMIFS($I$4:$I$707,$C$4:$C$707,C708,$D$4:$D$707,D708,$E$4:$E$707,E708,$F$4:$F$707,F708,$G$4:$G$707,G708,$H$4:$H$707,H708,$B$4:$B$707,"DE CORTE")-SUMIFS($I$4:$I$707,$C$4:$C$707,C708,$D$4:$D$707,D708,$E$4:$E$707,E708,$F$4:$F$707,F708,$G$4:$G$707,G708,$H$4:$H$707,H708,$B$4:$B$707,"SALIDA"),SUMIFS($I$4:$I$707,$C$4:$C$707,C708,$D$4:$D$707,D708,$E$4:$E$707,E708,$G$4:$G$707,G708,$H$4:$H$707,H708,$B$4:$B$707,"INGRESO")+SUMIFS($I$4:$I$707,$C$4:$C$707,C708,$D$4:$D$707,D708,$E$4:$E$707,E708,$G$4:$G$707,G708,$H$4:$H$707,H708,$B$4:$B$707,"DE CORTE")-SUMIFS($I$4:$I$707,$C$4:$C$707,C708,$D$4:$D$707,D708,$E$4:$E$707,E708,$G$4:$G$707,G708,$H$4:$H$707,H708,$B$4:$B$707,"SALIDA"))),0)</f>
        <v>0</v>
      </c>
      <c r="M708" s="13">
        <f t="shared" si="2"/>
        <v>0</v>
      </c>
      <c r="N708" s="14"/>
      <c r="O708" s="14"/>
      <c r="P708" s="15"/>
      <c r="Q708" s="14"/>
    </row>
    <row r="709" ht="15.75" customHeight="1">
      <c r="A709" s="7"/>
      <c r="B709" s="8"/>
      <c r="C709" s="8"/>
      <c r="D709" s="8"/>
      <c r="E709" s="8"/>
      <c r="F709" s="14"/>
      <c r="G709" s="8"/>
      <c r="H709" s="8"/>
      <c r="I709" s="9"/>
      <c r="J709" s="12" t="str">
        <f t="array" ref="J709:K709">IFERROR(INDEX(PRECIOS_COMPLEMENTOS!$C$4:$F$17,MATCH(D709&amp;"_"&amp;E709,PRECIOS_COMPLEMENTOS!$H$4:$H$17,0),IF(OR(H709="S",H709="20cm"),1,IF(OR(H709="M",H709="25cm"),2,IF(OR(H709="L",H709="30cm"),3,IF(OR(H709="XL",H709="35cm"),4,0))))),0)</f>
        <v>#REF!</v>
      </c>
      <c r="K709" s="12">
        <f t="shared" si="1"/>
        <v>0</v>
      </c>
      <c r="L709" s="13">
        <f>IFERROR(IF(C709="",0,IF(D709="PRETINA",SUMIFS($I$4:$I$708,$C$4:$C$708,C709,$D$4:$D$708,D709,$E$4:$E$708,E709,$F$4:$F$708,F709,$G$4:$G$708,G709,$H$4:$H$708,H709,$B$4:$B$708,"INGRESO")+SUMIFS($I$4:$I$708,$C$4:$C$708,C709,$D$4:$D$708,D709,$E$4:$E$708,E709,$F$4:$F$708,F709,$G$4:$G$708,G709,$H$4:$H$708,H709,$B$4:$B$708,"DE CORTE")-SUMIFS($I$4:$I$708,$C$4:$C$708,C709,$D$4:$D$708,D709,$E$4:$E$708,E709,$F$4:$F$708,F709,$G$4:$G$708,G709,$H$4:$H$708,H709,$B$4:$B$708,"SALIDA"),SUMIFS($I$4:$I$708,$C$4:$C$708,C709,$D$4:$D$708,D709,$E$4:$E$708,E709,$G$4:$G$708,G709,$H$4:$H$708,H709,$B$4:$B$708,"INGRESO")+SUMIFS($I$4:$I$708,$C$4:$C$708,C709,$D$4:$D$708,D709,$E$4:$E$708,E709,$G$4:$G$708,G709,$H$4:$H$708,H709,$B$4:$B$708,"DE CORTE")-SUMIFS($I$4:$I$708,$C$4:$C$708,C709,$D$4:$D$708,D709,$E$4:$E$708,E709,$G$4:$G$708,G709,$H$4:$H$708,H709,$B$4:$B$708,"SALIDA"))),0)</f>
        <v>0</v>
      </c>
      <c r="M709" s="13">
        <f t="shared" si="2"/>
        <v>0</v>
      </c>
      <c r="N709" s="14"/>
      <c r="O709" s="14"/>
      <c r="P709" s="15"/>
      <c r="Q709" s="14"/>
    </row>
    <row r="710" ht="15.75" customHeight="1">
      <c r="A710" s="7"/>
      <c r="B710" s="8"/>
      <c r="C710" s="8"/>
      <c r="D710" s="8"/>
      <c r="E710" s="8"/>
      <c r="F710" s="14"/>
      <c r="G710" s="8"/>
      <c r="H710" s="8"/>
      <c r="I710" s="9"/>
      <c r="J710" s="12" t="str">
        <f t="array" ref="J710:K710">IFERROR(INDEX(PRECIOS_COMPLEMENTOS!$C$4:$F$17,MATCH(D710&amp;"_"&amp;E710,PRECIOS_COMPLEMENTOS!$H$4:$H$17,0),IF(OR(H710="S",H710="20cm"),1,IF(OR(H710="M",H710="25cm"),2,IF(OR(H710="L",H710="30cm"),3,IF(OR(H710="XL",H710="35cm"),4,0))))),0)</f>
        <v>#REF!</v>
      </c>
      <c r="K710" s="12">
        <f t="shared" si="1"/>
        <v>0</v>
      </c>
      <c r="L710" s="13">
        <f>IFERROR(IF(C710="",0,IF(D710="PRETINA",SUMIFS($I$4:$I$709,$C$4:$C$709,C710,$D$4:$D$709,D710,$E$4:$E$709,E710,$F$4:$F$709,F710,$G$4:$G$709,G710,$H$4:$H$709,H710,$B$4:$B$709,"INGRESO")+SUMIFS($I$4:$I$709,$C$4:$C$709,C710,$D$4:$D$709,D710,$E$4:$E$709,E710,$F$4:$F$709,F710,$G$4:$G$709,G710,$H$4:$H$709,H710,$B$4:$B$709,"DE CORTE")-SUMIFS($I$4:$I$709,$C$4:$C$709,C710,$D$4:$D$709,D710,$E$4:$E$709,E710,$F$4:$F$709,F710,$G$4:$G$709,G710,$H$4:$H$709,H710,$B$4:$B$709,"SALIDA"),SUMIFS($I$4:$I$709,$C$4:$C$709,C710,$D$4:$D$709,D710,$E$4:$E$709,E710,$G$4:$G$709,G710,$H$4:$H$709,H710,$B$4:$B$709,"INGRESO")+SUMIFS($I$4:$I$709,$C$4:$C$709,C710,$D$4:$D$709,D710,$E$4:$E$709,E710,$G$4:$G$709,G710,$H$4:$H$709,H710,$B$4:$B$709,"DE CORTE")-SUMIFS($I$4:$I$709,$C$4:$C$709,C710,$D$4:$D$709,D710,$E$4:$E$709,E710,$G$4:$G$709,G710,$H$4:$H$709,H710,$B$4:$B$709,"SALIDA"))),0)</f>
        <v>0</v>
      </c>
      <c r="M710" s="13">
        <f t="shared" si="2"/>
        <v>0</v>
      </c>
      <c r="N710" s="14"/>
      <c r="O710" s="14"/>
      <c r="P710" s="15"/>
      <c r="Q710" s="14"/>
    </row>
    <row r="711" ht="15.75" customHeight="1">
      <c r="A711" s="7"/>
      <c r="B711" s="8"/>
      <c r="C711" s="8"/>
      <c r="D711" s="8"/>
      <c r="E711" s="8"/>
      <c r="F711" s="14"/>
      <c r="G711" s="8"/>
      <c r="H711" s="8"/>
      <c r="I711" s="9"/>
      <c r="J711" s="12" t="str">
        <f t="array" ref="J711:K711">IFERROR(INDEX(PRECIOS_COMPLEMENTOS!$C$4:$F$17,MATCH(D711&amp;"_"&amp;E711,PRECIOS_COMPLEMENTOS!$H$4:$H$17,0),IF(OR(H711="S",H711="20cm"),1,IF(OR(H711="M",H711="25cm"),2,IF(OR(H711="L",H711="30cm"),3,IF(OR(H711="XL",H711="35cm"),4,0))))),0)</f>
        <v>#REF!</v>
      </c>
      <c r="K711" s="12">
        <f t="shared" si="1"/>
        <v>0</v>
      </c>
      <c r="L711" s="13">
        <f>IFERROR(IF(C711="",0,IF(D711="PRETINA",SUMIFS($I$4:$I$710,$C$4:$C$710,C711,$D$4:$D$710,D711,$E$4:$E$710,E711,$F$4:$F$710,F711,$G$4:$G$710,G711,$H$4:$H$710,H711,$B$4:$B$710,"INGRESO")+SUMIFS($I$4:$I$710,$C$4:$C$710,C711,$D$4:$D$710,D711,$E$4:$E$710,E711,$F$4:$F$710,F711,$G$4:$G$710,G711,$H$4:$H$710,H711,$B$4:$B$710,"DE CORTE")-SUMIFS($I$4:$I$710,$C$4:$C$710,C711,$D$4:$D$710,D711,$E$4:$E$710,E711,$F$4:$F$710,F711,$G$4:$G$710,G711,$H$4:$H$710,H711,$B$4:$B$710,"SALIDA"),SUMIFS($I$4:$I$710,$C$4:$C$710,C711,$D$4:$D$710,D711,$E$4:$E$710,E711,$G$4:$G$710,G711,$H$4:$H$710,H711,$B$4:$B$710,"INGRESO")+SUMIFS($I$4:$I$710,$C$4:$C$710,C711,$D$4:$D$710,D711,$E$4:$E$710,E711,$G$4:$G$710,G711,$H$4:$H$710,H711,$B$4:$B$710,"DE CORTE")-SUMIFS($I$4:$I$710,$C$4:$C$710,C711,$D$4:$D$710,D711,$E$4:$E$710,E711,$G$4:$G$710,G711,$H$4:$H$710,H711,$B$4:$B$710,"SALIDA"))),0)</f>
        <v>0</v>
      </c>
      <c r="M711" s="13">
        <f t="shared" si="2"/>
        <v>0</v>
      </c>
      <c r="N711" s="14"/>
      <c r="O711" s="14"/>
      <c r="P711" s="15"/>
      <c r="Q711" s="14"/>
    </row>
    <row r="712" ht="15.75" customHeight="1">
      <c r="A712" s="7"/>
      <c r="B712" s="8"/>
      <c r="C712" s="8"/>
      <c r="D712" s="8"/>
      <c r="E712" s="8"/>
      <c r="F712" s="14"/>
      <c r="G712" s="8"/>
      <c r="H712" s="8"/>
      <c r="I712" s="9"/>
      <c r="J712" s="12" t="str">
        <f t="array" ref="J712:K712">IFERROR(INDEX(PRECIOS_COMPLEMENTOS!$C$4:$F$17,MATCH(D712&amp;"_"&amp;E712,PRECIOS_COMPLEMENTOS!$H$4:$H$17,0),IF(OR(H712="S",H712="20cm"),1,IF(OR(H712="M",H712="25cm"),2,IF(OR(H712="L",H712="30cm"),3,IF(OR(H712="XL",H712="35cm"),4,0))))),0)</f>
        <v>#REF!</v>
      </c>
      <c r="K712" s="12">
        <f t="shared" si="1"/>
        <v>0</v>
      </c>
      <c r="L712" s="13">
        <f>IFERROR(IF(C712="",0,IF(D712="PRETINA",SUMIFS($I$4:$I$711,$C$4:$C$711,C712,$D$4:$D$711,D712,$E$4:$E$711,E712,$F$4:$F$711,F712,$G$4:$G$711,G712,$H$4:$H$711,H712,$B$4:$B$711,"INGRESO")+SUMIFS($I$4:$I$711,$C$4:$C$711,C712,$D$4:$D$711,D712,$E$4:$E$711,E712,$F$4:$F$711,F712,$G$4:$G$711,G712,$H$4:$H$711,H712,$B$4:$B$711,"DE CORTE")-SUMIFS($I$4:$I$711,$C$4:$C$711,C712,$D$4:$D$711,D712,$E$4:$E$711,E712,$F$4:$F$711,F712,$G$4:$G$711,G712,$H$4:$H$711,H712,$B$4:$B$711,"SALIDA"),SUMIFS($I$4:$I$711,$C$4:$C$711,C712,$D$4:$D$711,D712,$E$4:$E$711,E712,$G$4:$G$711,G712,$H$4:$H$711,H712,$B$4:$B$711,"INGRESO")+SUMIFS($I$4:$I$711,$C$4:$C$711,C712,$D$4:$D$711,D712,$E$4:$E$711,E712,$G$4:$G$711,G712,$H$4:$H$711,H712,$B$4:$B$711,"DE CORTE")-SUMIFS($I$4:$I$711,$C$4:$C$711,C712,$D$4:$D$711,D712,$E$4:$E$711,E712,$G$4:$G$711,G712,$H$4:$H$711,H712,$B$4:$B$711,"SALIDA"))),0)</f>
        <v>0</v>
      </c>
      <c r="M712" s="13">
        <f t="shared" si="2"/>
        <v>0</v>
      </c>
      <c r="N712" s="14"/>
      <c r="O712" s="14"/>
      <c r="P712" s="15"/>
      <c r="Q712" s="14"/>
    </row>
    <row r="713" ht="15.75" customHeight="1">
      <c r="A713" s="7"/>
      <c r="B713" s="8"/>
      <c r="C713" s="8"/>
      <c r="D713" s="8"/>
      <c r="E713" s="8"/>
      <c r="F713" s="14"/>
      <c r="G713" s="8"/>
      <c r="H713" s="8"/>
      <c r="I713" s="9"/>
      <c r="J713" s="12" t="str">
        <f t="array" ref="J713:K713">IFERROR(INDEX(PRECIOS_COMPLEMENTOS!$C$4:$F$17,MATCH(D713&amp;"_"&amp;E713,PRECIOS_COMPLEMENTOS!$H$4:$H$17,0),IF(OR(H713="S",H713="20cm"),1,IF(OR(H713="M",H713="25cm"),2,IF(OR(H713="L",H713="30cm"),3,IF(OR(H713="XL",H713="35cm"),4,0))))),0)</f>
        <v>#REF!</v>
      </c>
      <c r="K713" s="12">
        <f t="shared" si="1"/>
        <v>0</v>
      </c>
      <c r="L713" s="13">
        <f>IFERROR(IF(C713="",0,IF(D713="PRETINA",SUMIFS($I$4:$I$712,$C$4:$C$712,C713,$D$4:$D$712,D713,$E$4:$E$712,E713,$F$4:$F$712,F713,$G$4:$G$712,G713,$H$4:$H$712,H713,$B$4:$B$712,"INGRESO")+SUMIFS($I$4:$I$712,$C$4:$C$712,C713,$D$4:$D$712,D713,$E$4:$E$712,E713,$F$4:$F$712,F713,$G$4:$G$712,G713,$H$4:$H$712,H713,$B$4:$B$712,"DE CORTE")-SUMIFS($I$4:$I$712,$C$4:$C$712,C713,$D$4:$D$712,D713,$E$4:$E$712,E713,$F$4:$F$712,F713,$G$4:$G$712,G713,$H$4:$H$712,H713,$B$4:$B$712,"SALIDA"),SUMIFS($I$4:$I$712,$C$4:$C$712,C713,$D$4:$D$712,D713,$E$4:$E$712,E713,$G$4:$G$712,G713,$H$4:$H$712,H713,$B$4:$B$712,"INGRESO")+SUMIFS($I$4:$I$712,$C$4:$C$712,C713,$D$4:$D$712,D713,$E$4:$E$712,E713,$G$4:$G$712,G713,$H$4:$H$712,H713,$B$4:$B$712,"DE CORTE")-SUMIFS($I$4:$I$712,$C$4:$C$712,C713,$D$4:$D$712,D713,$E$4:$E$712,E713,$G$4:$G$712,G713,$H$4:$H$712,H713,$B$4:$B$712,"SALIDA"))),0)</f>
        <v>0</v>
      </c>
      <c r="M713" s="13">
        <f t="shared" si="2"/>
        <v>0</v>
      </c>
      <c r="N713" s="14"/>
      <c r="O713" s="14"/>
      <c r="P713" s="15"/>
      <c r="Q713" s="14"/>
    </row>
    <row r="714" ht="15.75" customHeight="1">
      <c r="A714" s="7"/>
      <c r="B714" s="8"/>
      <c r="C714" s="8"/>
      <c r="D714" s="8"/>
      <c r="E714" s="8"/>
      <c r="F714" s="14"/>
      <c r="G714" s="8"/>
      <c r="H714" s="8"/>
      <c r="I714" s="9"/>
      <c r="J714" s="12" t="str">
        <f t="array" ref="J714:K714">IFERROR(INDEX(PRECIOS_COMPLEMENTOS!$C$4:$F$17,MATCH(D714&amp;"_"&amp;E714,PRECIOS_COMPLEMENTOS!$H$4:$H$17,0),IF(OR(H714="S",H714="20cm"),1,IF(OR(H714="M",H714="25cm"),2,IF(OR(H714="L",H714="30cm"),3,IF(OR(H714="XL",H714="35cm"),4,0))))),0)</f>
        <v>#REF!</v>
      </c>
      <c r="K714" s="12">
        <f t="shared" si="1"/>
        <v>0</v>
      </c>
      <c r="L714" s="13">
        <f>IFERROR(IF(C714="",0,IF(D714="PRETINA",SUMIFS($I$4:$I$713,$C$4:$C$713,C714,$D$4:$D$713,D714,$E$4:$E$713,E714,$F$4:$F$713,F714,$G$4:$G$713,G714,$H$4:$H$713,H714,$B$4:$B$713,"INGRESO")+SUMIFS($I$4:$I$713,$C$4:$C$713,C714,$D$4:$D$713,D714,$E$4:$E$713,E714,$F$4:$F$713,F714,$G$4:$G$713,G714,$H$4:$H$713,H714,$B$4:$B$713,"DE CORTE")-SUMIFS($I$4:$I$713,$C$4:$C$713,C714,$D$4:$D$713,D714,$E$4:$E$713,E714,$F$4:$F$713,F714,$G$4:$G$713,G714,$H$4:$H$713,H714,$B$4:$B$713,"SALIDA"),SUMIFS($I$4:$I$713,$C$4:$C$713,C714,$D$4:$D$713,D714,$E$4:$E$713,E714,$G$4:$G$713,G714,$H$4:$H$713,H714,$B$4:$B$713,"INGRESO")+SUMIFS($I$4:$I$713,$C$4:$C$713,C714,$D$4:$D$713,D714,$E$4:$E$713,E714,$G$4:$G$713,G714,$H$4:$H$713,H714,$B$4:$B$713,"DE CORTE")-SUMIFS($I$4:$I$713,$C$4:$C$713,C714,$D$4:$D$713,D714,$E$4:$E$713,E714,$G$4:$G$713,G714,$H$4:$H$713,H714,$B$4:$B$713,"SALIDA"))),0)</f>
        <v>0</v>
      </c>
      <c r="M714" s="13">
        <f t="shared" si="2"/>
        <v>0</v>
      </c>
      <c r="N714" s="14"/>
      <c r="O714" s="14"/>
      <c r="P714" s="15"/>
      <c r="Q714" s="14"/>
    </row>
    <row r="715" ht="15.75" customHeight="1">
      <c r="A715" s="7"/>
      <c r="B715" s="8"/>
      <c r="C715" s="8"/>
      <c r="D715" s="8"/>
      <c r="E715" s="8"/>
      <c r="F715" s="14"/>
      <c r="G715" s="8"/>
      <c r="H715" s="8"/>
      <c r="I715" s="9"/>
      <c r="J715" s="12" t="str">
        <f t="array" ref="J715:K715">IFERROR(INDEX(PRECIOS_COMPLEMENTOS!$C$4:$F$17,MATCH(D715&amp;"_"&amp;E715,PRECIOS_COMPLEMENTOS!$H$4:$H$17,0),IF(OR(H715="S",H715="20cm"),1,IF(OR(H715="M",H715="25cm"),2,IF(OR(H715="L",H715="30cm"),3,IF(OR(H715="XL",H715="35cm"),4,0))))),0)</f>
        <v>#REF!</v>
      </c>
      <c r="K715" s="12">
        <f t="shared" si="1"/>
        <v>0</v>
      </c>
      <c r="L715" s="13">
        <f>IFERROR(IF(C715="",0,IF(D715="PRETINA",SUMIFS($I$4:$I$714,$C$4:$C$714,C715,$D$4:$D$714,D715,$E$4:$E$714,E715,$F$4:$F$714,F715,$G$4:$G$714,G715,$H$4:$H$714,H715,$B$4:$B$714,"INGRESO")+SUMIFS($I$4:$I$714,$C$4:$C$714,C715,$D$4:$D$714,D715,$E$4:$E$714,E715,$F$4:$F$714,F715,$G$4:$G$714,G715,$H$4:$H$714,H715,$B$4:$B$714,"DE CORTE")-SUMIFS($I$4:$I$714,$C$4:$C$714,C715,$D$4:$D$714,D715,$E$4:$E$714,E715,$F$4:$F$714,F715,$G$4:$G$714,G715,$H$4:$H$714,H715,$B$4:$B$714,"SALIDA"),SUMIFS($I$4:$I$714,$C$4:$C$714,C715,$D$4:$D$714,D715,$E$4:$E$714,E715,$G$4:$G$714,G715,$H$4:$H$714,H715,$B$4:$B$714,"INGRESO")+SUMIFS($I$4:$I$714,$C$4:$C$714,C715,$D$4:$D$714,D715,$E$4:$E$714,E715,$G$4:$G$714,G715,$H$4:$H$714,H715,$B$4:$B$714,"DE CORTE")-SUMIFS($I$4:$I$714,$C$4:$C$714,C715,$D$4:$D$714,D715,$E$4:$E$714,E715,$G$4:$G$714,G715,$H$4:$H$714,H715,$B$4:$B$714,"SALIDA"))),0)</f>
        <v>0</v>
      </c>
      <c r="M715" s="13">
        <f t="shared" si="2"/>
        <v>0</v>
      </c>
      <c r="N715" s="14"/>
      <c r="O715" s="14"/>
      <c r="P715" s="15"/>
      <c r="Q715" s="14"/>
    </row>
    <row r="716" ht="15.75" customHeight="1">
      <c r="A716" s="7"/>
      <c r="B716" s="8"/>
      <c r="C716" s="8"/>
      <c r="D716" s="8"/>
      <c r="E716" s="8"/>
      <c r="F716" s="14"/>
      <c r="G716" s="8"/>
      <c r="H716" s="8"/>
      <c r="I716" s="9"/>
      <c r="J716" s="12" t="str">
        <f t="array" ref="J716:K716">IFERROR(INDEX(PRECIOS_COMPLEMENTOS!$C$4:$F$17,MATCH(D716&amp;"_"&amp;E716,PRECIOS_COMPLEMENTOS!$H$4:$H$17,0),IF(OR(H716="S",H716="20cm"),1,IF(OR(H716="M",H716="25cm"),2,IF(OR(H716="L",H716="30cm"),3,IF(OR(H716="XL",H716="35cm"),4,0))))),0)</f>
        <v>#REF!</v>
      </c>
      <c r="K716" s="12">
        <f t="shared" si="1"/>
        <v>0</v>
      </c>
      <c r="L716" s="13">
        <f>IFERROR(IF(C716="",0,IF(D716="PRETINA",SUMIFS($I$4:$I$715,$C$4:$C$715,C716,$D$4:$D$715,D716,$E$4:$E$715,E716,$F$4:$F$715,F716,$G$4:$G$715,G716,$H$4:$H$715,H716,$B$4:$B$715,"INGRESO")+SUMIFS($I$4:$I$715,$C$4:$C$715,C716,$D$4:$D$715,D716,$E$4:$E$715,E716,$F$4:$F$715,F716,$G$4:$G$715,G716,$H$4:$H$715,H716,$B$4:$B$715,"DE CORTE")-SUMIFS($I$4:$I$715,$C$4:$C$715,C716,$D$4:$D$715,D716,$E$4:$E$715,E716,$F$4:$F$715,F716,$G$4:$G$715,G716,$H$4:$H$715,H716,$B$4:$B$715,"SALIDA"),SUMIFS($I$4:$I$715,$C$4:$C$715,C716,$D$4:$D$715,D716,$E$4:$E$715,E716,$G$4:$G$715,G716,$H$4:$H$715,H716,$B$4:$B$715,"INGRESO")+SUMIFS($I$4:$I$715,$C$4:$C$715,C716,$D$4:$D$715,D716,$E$4:$E$715,E716,$G$4:$G$715,G716,$H$4:$H$715,H716,$B$4:$B$715,"DE CORTE")-SUMIFS($I$4:$I$715,$C$4:$C$715,C716,$D$4:$D$715,D716,$E$4:$E$715,E716,$G$4:$G$715,G716,$H$4:$H$715,H716,$B$4:$B$715,"SALIDA"))),0)</f>
        <v>0</v>
      </c>
      <c r="M716" s="13">
        <f t="shared" si="2"/>
        <v>0</v>
      </c>
      <c r="N716" s="14"/>
      <c r="O716" s="14"/>
      <c r="P716" s="15"/>
      <c r="Q716" s="14"/>
    </row>
    <row r="717" ht="15.75" customHeight="1">
      <c r="A717" s="7"/>
      <c r="B717" s="8"/>
      <c r="C717" s="8"/>
      <c r="D717" s="8"/>
      <c r="E717" s="8"/>
      <c r="F717" s="14"/>
      <c r="G717" s="8"/>
      <c r="H717" s="8"/>
      <c r="I717" s="9"/>
      <c r="J717" s="12" t="str">
        <f t="array" ref="J717:K717">IFERROR(INDEX(PRECIOS_COMPLEMENTOS!$C$4:$F$17,MATCH(D717&amp;"_"&amp;E717,PRECIOS_COMPLEMENTOS!$H$4:$H$17,0),IF(OR(H717="S",H717="20cm"),1,IF(OR(H717="M",H717="25cm"),2,IF(OR(H717="L",H717="30cm"),3,IF(OR(H717="XL",H717="35cm"),4,0))))),0)</f>
        <v>#REF!</v>
      </c>
      <c r="K717" s="12">
        <f t="shared" si="1"/>
        <v>0</v>
      </c>
      <c r="L717" s="13">
        <f>IFERROR(IF(C717="",0,IF(D717="PRETINA",SUMIFS($I$4:$I$716,$C$4:$C$716,C717,$D$4:$D$716,D717,$E$4:$E$716,E717,$F$4:$F$716,F717,$G$4:$G$716,G717,$H$4:$H$716,H717,$B$4:$B$716,"INGRESO")+SUMIFS($I$4:$I$716,$C$4:$C$716,C717,$D$4:$D$716,D717,$E$4:$E$716,E717,$F$4:$F$716,F717,$G$4:$G$716,G717,$H$4:$H$716,H717,$B$4:$B$716,"DE CORTE")-SUMIFS($I$4:$I$716,$C$4:$C$716,C717,$D$4:$D$716,D717,$E$4:$E$716,E717,$F$4:$F$716,F717,$G$4:$G$716,G717,$H$4:$H$716,H717,$B$4:$B$716,"SALIDA"),SUMIFS($I$4:$I$716,$C$4:$C$716,C717,$D$4:$D$716,D717,$E$4:$E$716,E717,$G$4:$G$716,G717,$H$4:$H$716,H717,$B$4:$B$716,"INGRESO")+SUMIFS($I$4:$I$716,$C$4:$C$716,C717,$D$4:$D$716,D717,$E$4:$E$716,E717,$G$4:$G$716,G717,$H$4:$H$716,H717,$B$4:$B$716,"DE CORTE")-SUMIFS($I$4:$I$716,$C$4:$C$716,C717,$D$4:$D$716,D717,$E$4:$E$716,E717,$G$4:$G$716,G717,$H$4:$H$716,H717,$B$4:$B$716,"SALIDA"))),0)</f>
        <v>0</v>
      </c>
      <c r="M717" s="13">
        <f t="shared" si="2"/>
        <v>0</v>
      </c>
      <c r="N717" s="14"/>
      <c r="O717" s="14"/>
      <c r="P717" s="15"/>
      <c r="Q717" s="14"/>
    </row>
    <row r="718" ht="15.75" customHeight="1">
      <c r="A718" s="7"/>
      <c r="B718" s="8"/>
      <c r="C718" s="8"/>
      <c r="D718" s="8"/>
      <c r="E718" s="8"/>
      <c r="F718" s="14"/>
      <c r="G718" s="8"/>
      <c r="H718" s="8"/>
      <c r="I718" s="9"/>
      <c r="J718" s="12" t="str">
        <f t="array" ref="J718:K718">IFERROR(INDEX(PRECIOS_COMPLEMENTOS!$C$4:$F$17,MATCH(D718&amp;"_"&amp;E718,PRECIOS_COMPLEMENTOS!$H$4:$H$17,0),IF(OR(H718="S",H718="20cm"),1,IF(OR(H718="M",H718="25cm"),2,IF(OR(H718="L",H718="30cm"),3,IF(OR(H718="XL",H718="35cm"),4,0))))),0)</f>
        <v>#REF!</v>
      </c>
      <c r="K718" s="12">
        <f t="shared" si="1"/>
        <v>0</v>
      </c>
      <c r="L718" s="13">
        <f>IFERROR(IF(C718="",0,IF(D718="PRETINA",SUMIFS($I$4:$I$717,$C$4:$C$717,C718,$D$4:$D$717,D718,$E$4:$E$717,E718,$F$4:$F$717,F718,$G$4:$G$717,G718,$H$4:$H$717,H718,$B$4:$B$717,"INGRESO")+SUMIFS($I$4:$I$717,$C$4:$C$717,C718,$D$4:$D$717,D718,$E$4:$E$717,E718,$F$4:$F$717,F718,$G$4:$G$717,G718,$H$4:$H$717,H718,$B$4:$B$717,"DE CORTE")-SUMIFS($I$4:$I$717,$C$4:$C$717,C718,$D$4:$D$717,D718,$E$4:$E$717,E718,$F$4:$F$717,F718,$G$4:$G$717,G718,$H$4:$H$717,H718,$B$4:$B$717,"SALIDA"),SUMIFS($I$4:$I$717,$C$4:$C$717,C718,$D$4:$D$717,D718,$E$4:$E$717,E718,$G$4:$G$717,G718,$H$4:$H$717,H718,$B$4:$B$717,"INGRESO")+SUMIFS($I$4:$I$717,$C$4:$C$717,C718,$D$4:$D$717,D718,$E$4:$E$717,E718,$G$4:$G$717,G718,$H$4:$H$717,H718,$B$4:$B$717,"DE CORTE")-SUMIFS($I$4:$I$717,$C$4:$C$717,C718,$D$4:$D$717,D718,$E$4:$E$717,E718,$G$4:$G$717,G718,$H$4:$H$717,H718,$B$4:$B$717,"SALIDA"))),0)</f>
        <v>0</v>
      </c>
      <c r="M718" s="13">
        <f t="shared" si="2"/>
        <v>0</v>
      </c>
      <c r="N718" s="14"/>
      <c r="O718" s="14"/>
      <c r="P718" s="15"/>
      <c r="Q718" s="14"/>
    </row>
    <row r="719" ht="15.75" customHeight="1">
      <c r="A719" s="7"/>
      <c r="B719" s="8"/>
      <c r="C719" s="8"/>
      <c r="D719" s="8"/>
      <c r="E719" s="8"/>
      <c r="F719" s="14"/>
      <c r="G719" s="8"/>
      <c r="H719" s="8"/>
      <c r="I719" s="9"/>
      <c r="J719" s="12" t="str">
        <f t="array" ref="J719:K719">IFERROR(INDEX(PRECIOS_COMPLEMENTOS!$C$4:$F$17,MATCH(D719&amp;"_"&amp;E719,PRECIOS_COMPLEMENTOS!$H$4:$H$17,0),IF(OR(H719="S",H719="20cm"),1,IF(OR(H719="M",H719="25cm"),2,IF(OR(H719="L",H719="30cm"),3,IF(OR(H719="XL",H719="35cm"),4,0))))),0)</f>
        <v>#REF!</v>
      </c>
      <c r="K719" s="12">
        <f t="shared" si="1"/>
        <v>0</v>
      </c>
      <c r="L719" s="13">
        <f>IFERROR(IF(C719="",0,IF(D719="PRETINA",SUMIFS($I$4:$I$718,$C$4:$C$718,C719,$D$4:$D$718,D719,$E$4:$E$718,E719,$F$4:$F$718,F719,$G$4:$G$718,G719,$H$4:$H$718,H719,$B$4:$B$718,"INGRESO")+SUMIFS($I$4:$I$718,$C$4:$C$718,C719,$D$4:$D$718,D719,$E$4:$E$718,E719,$F$4:$F$718,F719,$G$4:$G$718,G719,$H$4:$H$718,H719,$B$4:$B$718,"DE CORTE")-SUMIFS($I$4:$I$718,$C$4:$C$718,C719,$D$4:$D$718,D719,$E$4:$E$718,E719,$F$4:$F$718,F719,$G$4:$G$718,G719,$H$4:$H$718,H719,$B$4:$B$718,"SALIDA"),SUMIFS($I$4:$I$718,$C$4:$C$718,C719,$D$4:$D$718,D719,$E$4:$E$718,E719,$G$4:$G$718,G719,$H$4:$H$718,H719,$B$4:$B$718,"INGRESO")+SUMIFS($I$4:$I$718,$C$4:$C$718,C719,$D$4:$D$718,D719,$E$4:$E$718,E719,$G$4:$G$718,G719,$H$4:$H$718,H719,$B$4:$B$718,"DE CORTE")-SUMIFS($I$4:$I$718,$C$4:$C$718,C719,$D$4:$D$718,D719,$E$4:$E$718,E719,$G$4:$G$718,G719,$H$4:$H$718,H719,$B$4:$B$718,"SALIDA"))),0)</f>
        <v>0</v>
      </c>
      <c r="M719" s="13">
        <f t="shared" si="2"/>
        <v>0</v>
      </c>
      <c r="N719" s="14"/>
      <c r="O719" s="14"/>
      <c r="P719" s="15"/>
      <c r="Q719" s="14"/>
    </row>
    <row r="720" ht="15.75" customHeight="1">
      <c r="A720" s="7"/>
      <c r="B720" s="8"/>
      <c r="C720" s="8"/>
      <c r="D720" s="8"/>
      <c r="E720" s="8"/>
      <c r="F720" s="14"/>
      <c r="G720" s="8"/>
      <c r="H720" s="8"/>
      <c r="I720" s="9"/>
      <c r="J720" s="12" t="str">
        <f t="array" ref="J720:K720">IFERROR(INDEX(PRECIOS_COMPLEMENTOS!$C$4:$F$17,MATCH(D720&amp;"_"&amp;E720,PRECIOS_COMPLEMENTOS!$H$4:$H$17,0),IF(OR(H720="S",H720="20cm"),1,IF(OR(H720="M",H720="25cm"),2,IF(OR(H720="L",H720="30cm"),3,IF(OR(H720="XL",H720="35cm"),4,0))))),0)</f>
        <v>#REF!</v>
      </c>
      <c r="K720" s="12">
        <f t="shared" si="1"/>
        <v>0</v>
      </c>
      <c r="L720" s="13">
        <f>IFERROR(IF(C720="",0,IF(D720="PRETINA",SUMIFS($I$4:$I$719,$C$4:$C$719,C720,$D$4:$D$719,D720,$E$4:$E$719,E720,$F$4:$F$719,F720,$G$4:$G$719,G720,$H$4:$H$719,H720,$B$4:$B$719,"INGRESO")+SUMIFS($I$4:$I$719,$C$4:$C$719,C720,$D$4:$D$719,D720,$E$4:$E$719,E720,$F$4:$F$719,F720,$G$4:$G$719,G720,$H$4:$H$719,H720,$B$4:$B$719,"DE CORTE")-SUMIFS($I$4:$I$719,$C$4:$C$719,C720,$D$4:$D$719,D720,$E$4:$E$719,E720,$F$4:$F$719,F720,$G$4:$G$719,G720,$H$4:$H$719,H720,$B$4:$B$719,"SALIDA"),SUMIFS($I$4:$I$719,$C$4:$C$719,C720,$D$4:$D$719,D720,$E$4:$E$719,E720,$G$4:$G$719,G720,$H$4:$H$719,H720,$B$4:$B$719,"INGRESO")+SUMIFS($I$4:$I$719,$C$4:$C$719,C720,$D$4:$D$719,D720,$E$4:$E$719,E720,$G$4:$G$719,G720,$H$4:$H$719,H720,$B$4:$B$719,"DE CORTE")-SUMIFS($I$4:$I$719,$C$4:$C$719,C720,$D$4:$D$719,D720,$E$4:$E$719,E720,$G$4:$G$719,G720,$H$4:$H$719,H720,$B$4:$B$719,"SALIDA"))),0)</f>
        <v>0</v>
      </c>
      <c r="M720" s="13">
        <f t="shared" si="2"/>
        <v>0</v>
      </c>
      <c r="N720" s="14"/>
      <c r="O720" s="14"/>
      <c r="P720" s="15"/>
      <c r="Q720" s="14"/>
    </row>
    <row r="721" ht="15.75" customHeight="1">
      <c r="A721" s="7"/>
      <c r="B721" s="8"/>
      <c r="C721" s="8"/>
      <c r="D721" s="8"/>
      <c r="E721" s="8"/>
      <c r="F721" s="14"/>
      <c r="G721" s="8"/>
      <c r="H721" s="8"/>
      <c r="I721" s="9"/>
      <c r="J721" s="12" t="str">
        <f t="array" ref="J721:K721">IFERROR(INDEX(PRECIOS_COMPLEMENTOS!$C$4:$F$17,MATCH(D721&amp;"_"&amp;E721,PRECIOS_COMPLEMENTOS!$H$4:$H$17,0),IF(OR(H721="S",H721="20cm"),1,IF(OR(H721="M",H721="25cm"),2,IF(OR(H721="L",H721="30cm"),3,IF(OR(H721="XL",H721="35cm"),4,0))))),0)</f>
        <v>#REF!</v>
      </c>
      <c r="K721" s="12">
        <f t="shared" si="1"/>
        <v>0</v>
      </c>
      <c r="L721" s="13">
        <f>IFERROR(IF(C721="",0,IF(D721="PRETINA",SUMIFS($I$4:$I$720,$C$4:$C$720,C721,$D$4:$D$720,D721,$E$4:$E$720,E721,$F$4:$F$720,F721,$G$4:$G$720,G721,$H$4:$H$720,H721,$B$4:$B$720,"INGRESO")+SUMIFS($I$4:$I$720,$C$4:$C$720,C721,$D$4:$D$720,D721,$E$4:$E$720,E721,$F$4:$F$720,F721,$G$4:$G$720,G721,$H$4:$H$720,H721,$B$4:$B$720,"DE CORTE")-SUMIFS($I$4:$I$720,$C$4:$C$720,C721,$D$4:$D$720,D721,$E$4:$E$720,E721,$F$4:$F$720,F721,$G$4:$G$720,G721,$H$4:$H$720,H721,$B$4:$B$720,"SALIDA"),SUMIFS($I$4:$I$720,$C$4:$C$720,C721,$D$4:$D$720,D721,$E$4:$E$720,E721,$G$4:$G$720,G721,$H$4:$H$720,H721,$B$4:$B$720,"INGRESO")+SUMIFS($I$4:$I$720,$C$4:$C$720,C721,$D$4:$D$720,D721,$E$4:$E$720,E721,$G$4:$G$720,G721,$H$4:$H$720,H721,$B$4:$B$720,"DE CORTE")-SUMIFS($I$4:$I$720,$C$4:$C$720,C721,$D$4:$D$720,D721,$E$4:$E$720,E721,$G$4:$G$720,G721,$H$4:$H$720,H721,$B$4:$B$720,"SALIDA"))),0)</f>
        <v>0</v>
      </c>
      <c r="M721" s="13">
        <f t="shared" si="2"/>
        <v>0</v>
      </c>
      <c r="N721" s="14"/>
      <c r="O721" s="14"/>
      <c r="P721" s="15"/>
      <c r="Q721" s="14"/>
    </row>
    <row r="722" ht="15.75" customHeight="1">
      <c r="A722" s="7"/>
      <c r="B722" s="8"/>
      <c r="C722" s="8"/>
      <c r="D722" s="8"/>
      <c r="E722" s="8"/>
      <c r="F722" s="14"/>
      <c r="G722" s="8"/>
      <c r="H722" s="8"/>
      <c r="I722" s="9"/>
      <c r="J722" s="12" t="str">
        <f t="array" ref="J722:K722">IFERROR(INDEX(PRECIOS_COMPLEMENTOS!$C$4:$F$17,MATCH(D722&amp;"_"&amp;E722,PRECIOS_COMPLEMENTOS!$H$4:$H$17,0),IF(OR(H722="S",H722="20cm"),1,IF(OR(H722="M",H722="25cm"),2,IF(OR(H722="L",H722="30cm"),3,IF(OR(H722="XL",H722="35cm"),4,0))))),0)</f>
        <v>#REF!</v>
      </c>
      <c r="K722" s="12">
        <f t="shared" si="1"/>
        <v>0</v>
      </c>
      <c r="L722" s="13">
        <f>IFERROR(IF(C722="",0,IF(D722="PRETINA",SUMIFS($I$4:$I$721,$C$4:$C$721,C722,$D$4:$D$721,D722,$E$4:$E$721,E722,$F$4:$F$721,F722,$G$4:$G$721,G722,$H$4:$H$721,H722,$B$4:$B$721,"INGRESO")+SUMIFS($I$4:$I$721,$C$4:$C$721,C722,$D$4:$D$721,D722,$E$4:$E$721,E722,$F$4:$F$721,F722,$G$4:$G$721,G722,$H$4:$H$721,H722,$B$4:$B$721,"DE CORTE")-SUMIFS($I$4:$I$721,$C$4:$C$721,C722,$D$4:$D$721,D722,$E$4:$E$721,E722,$F$4:$F$721,F722,$G$4:$G$721,G722,$H$4:$H$721,H722,$B$4:$B$721,"SALIDA"),SUMIFS($I$4:$I$721,$C$4:$C$721,C722,$D$4:$D$721,D722,$E$4:$E$721,E722,$G$4:$G$721,G722,$H$4:$H$721,H722,$B$4:$B$721,"INGRESO")+SUMIFS($I$4:$I$721,$C$4:$C$721,C722,$D$4:$D$721,D722,$E$4:$E$721,E722,$G$4:$G$721,G722,$H$4:$H$721,H722,$B$4:$B$721,"DE CORTE")-SUMIFS($I$4:$I$721,$C$4:$C$721,C722,$D$4:$D$721,D722,$E$4:$E$721,E722,$G$4:$G$721,G722,$H$4:$H$721,H722,$B$4:$B$721,"SALIDA"))),0)</f>
        <v>0</v>
      </c>
      <c r="M722" s="13">
        <f t="shared" si="2"/>
        <v>0</v>
      </c>
      <c r="N722" s="14"/>
      <c r="O722" s="14"/>
      <c r="P722" s="15"/>
      <c r="Q722" s="14"/>
    </row>
    <row r="723" ht="15.75" customHeight="1">
      <c r="A723" s="7"/>
      <c r="B723" s="8"/>
      <c r="C723" s="8"/>
      <c r="D723" s="8"/>
      <c r="E723" s="8"/>
      <c r="F723" s="14"/>
      <c r="G723" s="8"/>
      <c r="H723" s="8"/>
      <c r="I723" s="9"/>
      <c r="J723" s="12" t="str">
        <f t="array" ref="J723:K723">IFERROR(INDEX(PRECIOS_COMPLEMENTOS!$C$4:$F$17,MATCH(D723&amp;"_"&amp;E723,PRECIOS_COMPLEMENTOS!$H$4:$H$17,0),IF(OR(H723="S",H723="20cm"),1,IF(OR(H723="M",H723="25cm"),2,IF(OR(H723="L",H723="30cm"),3,IF(OR(H723="XL",H723="35cm"),4,0))))),0)</f>
        <v>#REF!</v>
      </c>
      <c r="K723" s="12">
        <f t="shared" si="1"/>
        <v>0</v>
      </c>
      <c r="L723" s="13">
        <f>IFERROR(IF(C723="",0,IF(D723="PRETINA",SUMIFS($I$4:$I$722,$C$4:$C$722,C723,$D$4:$D$722,D723,$E$4:$E$722,E723,$F$4:$F$722,F723,$G$4:$G$722,G723,$H$4:$H$722,H723,$B$4:$B$722,"INGRESO")+SUMIFS($I$4:$I$722,$C$4:$C$722,C723,$D$4:$D$722,D723,$E$4:$E$722,E723,$F$4:$F$722,F723,$G$4:$G$722,G723,$H$4:$H$722,H723,$B$4:$B$722,"DE CORTE")-SUMIFS($I$4:$I$722,$C$4:$C$722,C723,$D$4:$D$722,D723,$E$4:$E$722,E723,$F$4:$F$722,F723,$G$4:$G$722,G723,$H$4:$H$722,H723,$B$4:$B$722,"SALIDA"),SUMIFS($I$4:$I$722,$C$4:$C$722,C723,$D$4:$D$722,D723,$E$4:$E$722,E723,$G$4:$G$722,G723,$H$4:$H$722,H723,$B$4:$B$722,"INGRESO")+SUMIFS($I$4:$I$722,$C$4:$C$722,C723,$D$4:$D$722,D723,$E$4:$E$722,E723,$G$4:$G$722,G723,$H$4:$H$722,H723,$B$4:$B$722,"DE CORTE")-SUMIFS($I$4:$I$722,$C$4:$C$722,C723,$D$4:$D$722,D723,$E$4:$E$722,E723,$G$4:$G$722,G723,$H$4:$H$722,H723,$B$4:$B$722,"SALIDA"))),0)</f>
        <v>0</v>
      </c>
      <c r="M723" s="13">
        <f t="shared" si="2"/>
        <v>0</v>
      </c>
      <c r="N723" s="14"/>
      <c r="O723" s="14"/>
      <c r="P723" s="15"/>
      <c r="Q723" s="14"/>
    </row>
    <row r="724" ht="15.75" customHeight="1">
      <c r="A724" s="7"/>
      <c r="B724" s="8"/>
      <c r="C724" s="8"/>
      <c r="D724" s="8"/>
      <c r="E724" s="8"/>
      <c r="F724" s="14"/>
      <c r="G724" s="8"/>
      <c r="H724" s="8"/>
      <c r="I724" s="9"/>
      <c r="J724" s="12" t="str">
        <f t="array" ref="J724:K724">IFERROR(INDEX(PRECIOS_COMPLEMENTOS!$C$4:$F$17,MATCH(D724&amp;"_"&amp;E724,PRECIOS_COMPLEMENTOS!$H$4:$H$17,0),IF(OR(H724="S",H724="20cm"),1,IF(OR(H724="M",H724="25cm"),2,IF(OR(H724="L",H724="30cm"),3,IF(OR(H724="XL",H724="35cm"),4,0))))),0)</f>
        <v>#REF!</v>
      </c>
      <c r="K724" s="12">
        <f t="shared" si="1"/>
        <v>0</v>
      </c>
      <c r="L724" s="13">
        <f>IFERROR(IF(C724="",0,IF(D724="PRETINA",SUMIFS($I$4:$I$723,$C$4:$C$723,C724,$D$4:$D$723,D724,$E$4:$E$723,E724,$F$4:$F$723,F724,$G$4:$G$723,G724,$H$4:$H$723,H724,$B$4:$B$723,"INGRESO")+SUMIFS($I$4:$I$723,$C$4:$C$723,C724,$D$4:$D$723,D724,$E$4:$E$723,E724,$F$4:$F$723,F724,$G$4:$G$723,G724,$H$4:$H$723,H724,$B$4:$B$723,"DE CORTE")-SUMIFS($I$4:$I$723,$C$4:$C$723,C724,$D$4:$D$723,D724,$E$4:$E$723,E724,$F$4:$F$723,F724,$G$4:$G$723,G724,$H$4:$H$723,H724,$B$4:$B$723,"SALIDA"),SUMIFS($I$4:$I$723,$C$4:$C$723,C724,$D$4:$D$723,D724,$E$4:$E$723,E724,$G$4:$G$723,G724,$H$4:$H$723,H724,$B$4:$B$723,"INGRESO")+SUMIFS($I$4:$I$723,$C$4:$C$723,C724,$D$4:$D$723,D724,$E$4:$E$723,E724,$G$4:$G$723,G724,$H$4:$H$723,H724,$B$4:$B$723,"DE CORTE")-SUMIFS($I$4:$I$723,$C$4:$C$723,C724,$D$4:$D$723,D724,$E$4:$E$723,E724,$G$4:$G$723,G724,$H$4:$H$723,H724,$B$4:$B$723,"SALIDA"))),0)</f>
        <v>0</v>
      </c>
      <c r="M724" s="13">
        <f t="shared" si="2"/>
        <v>0</v>
      </c>
      <c r="N724" s="14"/>
      <c r="O724" s="14"/>
      <c r="P724" s="15"/>
      <c r="Q724" s="14"/>
    </row>
    <row r="725" ht="15.75" customHeight="1">
      <c r="A725" s="7"/>
      <c r="B725" s="8"/>
      <c r="C725" s="8"/>
      <c r="D725" s="8"/>
      <c r="E725" s="8"/>
      <c r="F725" s="14"/>
      <c r="G725" s="8"/>
      <c r="H725" s="8"/>
      <c r="I725" s="9"/>
      <c r="J725" s="12" t="str">
        <f t="array" ref="J725:K725">IFERROR(INDEX(PRECIOS_COMPLEMENTOS!$C$4:$F$17,MATCH(D725&amp;"_"&amp;E725,PRECIOS_COMPLEMENTOS!$H$4:$H$17,0),IF(OR(H725="S",H725="20cm"),1,IF(OR(H725="M",H725="25cm"),2,IF(OR(H725="L",H725="30cm"),3,IF(OR(H725="XL",H725="35cm"),4,0))))),0)</f>
        <v>#REF!</v>
      </c>
      <c r="K725" s="12">
        <f t="shared" si="1"/>
        <v>0</v>
      </c>
      <c r="L725" s="13">
        <f>IFERROR(IF(C725="",0,IF(D725="PRETINA",SUMIFS($I$4:$I$724,$C$4:$C$724,C725,$D$4:$D$724,D725,$E$4:$E$724,E725,$F$4:$F$724,F725,$G$4:$G$724,G725,$H$4:$H$724,H725,$B$4:$B$724,"INGRESO")+SUMIFS($I$4:$I$724,$C$4:$C$724,C725,$D$4:$D$724,D725,$E$4:$E$724,E725,$F$4:$F$724,F725,$G$4:$G$724,G725,$H$4:$H$724,H725,$B$4:$B$724,"DE CORTE")-SUMIFS($I$4:$I$724,$C$4:$C$724,C725,$D$4:$D$724,D725,$E$4:$E$724,E725,$F$4:$F$724,F725,$G$4:$G$724,G725,$H$4:$H$724,H725,$B$4:$B$724,"SALIDA"),SUMIFS($I$4:$I$724,$C$4:$C$724,C725,$D$4:$D$724,D725,$E$4:$E$724,E725,$G$4:$G$724,G725,$H$4:$H$724,H725,$B$4:$B$724,"INGRESO")+SUMIFS($I$4:$I$724,$C$4:$C$724,C725,$D$4:$D$724,D725,$E$4:$E$724,E725,$G$4:$G$724,G725,$H$4:$H$724,H725,$B$4:$B$724,"DE CORTE")-SUMIFS($I$4:$I$724,$C$4:$C$724,C725,$D$4:$D$724,D725,$E$4:$E$724,E725,$G$4:$G$724,G725,$H$4:$H$724,H725,$B$4:$B$724,"SALIDA"))),0)</f>
        <v>0</v>
      </c>
      <c r="M725" s="13">
        <f t="shared" si="2"/>
        <v>0</v>
      </c>
      <c r="N725" s="14"/>
      <c r="O725" s="14"/>
      <c r="P725" s="15"/>
      <c r="Q725" s="14"/>
    </row>
    <row r="726" ht="15.75" customHeight="1">
      <c r="A726" s="7"/>
      <c r="B726" s="8"/>
      <c r="C726" s="8"/>
      <c r="D726" s="8"/>
      <c r="E726" s="8"/>
      <c r="F726" s="14"/>
      <c r="G726" s="8"/>
      <c r="H726" s="8"/>
      <c r="I726" s="9"/>
      <c r="J726" s="12" t="str">
        <f t="array" ref="J726:K726">IFERROR(INDEX(PRECIOS_COMPLEMENTOS!$C$4:$F$17,MATCH(D726&amp;"_"&amp;E726,PRECIOS_COMPLEMENTOS!$H$4:$H$17,0),IF(OR(H726="S",H726="20cm"),1,IF(OR(H726="M",H726="25cm"),2,IF(OR(H726="L",H726="30cm"),3,IF(OR(H726="XL",H726="35cm"),4,0))))),0)</f>
        <v>#REF!</v>
      </c>
      <c r="K726" s="12">
        <f t="shared" si="1"/>
        <v>0</v>
      </c>
      <c r="L726" s="13">
        <f>IFERROR(IF(C726="",0,IF(D726="PRETINA",SUMIFS($I$4:$I$725,$C$4:$C$725,C726,$D$4:$D$725,D726,$E$4:$E$725,E726,$F$4:$F$725,F726,$G$4:$G$725,G726,$H$4:$H$725,H726,$B$4:$B$725,"INGRESO")+SUMIFS($I$4:$I$725,$C$4:$C$725,C726,$D$4:$D$725,D726,$E$4:$E$725,E726,$F$4:$F$725,F726,$G$4:$G$725,G726,$H$4:$H$725,H726,$B$4:$B$725,"DE CORTE")-SUMIFS($I$4:$I$725,$C$4:$C$725,C726,$D$4:$D$725,D726,$E$4:$E$725,E726,$F$4:$F$725,F726,$G$4:$G$725,G726,$H$4:$H$725,H726,$B$4:$B$725,"SALIDA"),SUMIFS($I$4:$I$725,$C$4:$C$725,C726,$D$4:$D$725,D726,$E$4:$E$725,E726,$G$4:$G$725,G726,$H$4:$H$725,H726,$B$4:$B$725,"INGRESO")+SUMIFS($I$4:$I$725,$C$4:$C$725,C726,$D$4:$D$725,D726,$E$4:$E$725,E726,$G$4:$G$725,G726,$H$4:$H$725,H726,$B$4:$B$725,"DE CORTE")-SUMIFS($I$4:$I$725,$C$4:$C$725,C726,$D$4:$D$725,D726,$E$4:$E$725,E726,$G$4:$G$725,G726,$H$4:$H$725,H726,$B$4:$B$725,"SALIDA"))),0)</f>
        <v>0</v>
      </c>
      <c r="M726" s="13">
        <f t="shared" si="2"/>
        <v>0</v>
      </c>
      <c r="N726" s="14"/>
      <c r="O726" s="14"/>
      <c r="P726" s="15"/>
      <c r="Q726" s="14"/>
    </row>
    <row r="727" ht="15.75" customHeight="1">
      <c r="A727" s="7"/>
      <c r="B727" s="8"/>
      <c r="C727" s="8"/>
      <c r="D727" s="8"/>
      <c r="E727" s="8"/>
      <c r="F727" s="14"/>
      <c r="G727" s="8"/>
      <c r="H727" s="8"/>
      <c r="I727" s="9"/>
      <c r="J727" s="12" t="str">
        <f t="array" ref="J727:K727">IFERROR(INDEX(PRECIOS_COMPLEMENTOS!$C$4:$F$17,MATCH(D727&amp;"_"&amp;E727,PRECIOS_COMPLEMENTOS!$H$4:$H$17,0),IF(OR(H727="S",H727="20cm"),1,IF(OR(H727="M",H727="25cm"),2,IF(OR(H727="L",H727="30cm"),3,IF(OR(H727="XL",H727="35cm"),4,0))))),0)</f>
        <v>#REF!</v>
      </c>
      <c r="K727" s="12">
        <f t="shared" si="1"/>
        <v>0</v>
      </c>
      <c r="L727" s="13">
        <f>IFERROR(IF(C727="",0,IF(D727="PRETINA",SUMIFS($I$4:$I$726,$C$4:$C$726,C727,$D$4:$D$726,D727,$E$4:$E$726,E727,$F$4:$F$726,F727,$G$4:$G$726,G727,$H$4:$H$726,H727,$B$4:$B$726,"INGRESO")+SUMIFS($I$4:$I$726,$C$4:$C$726,C727,$D$4:$D$726,D727,$E$4:$E$726,E727,$F$4:$F$726,F727,$G$4:$G$726,G727,$H$4:$H$726,H727,$B$4:$B$726,"DE CORTE")-SUMIFS($I$4:$I$726,$C$4:$C$726,C727,$D$4:$D$726,D727,$E$4:$E$726,E727,$F$4:$F$726,F727,$G$4:$G$726,G727,$H$4:$H$726,H727,$B$4:$B$726,"SALIDA"),SUMIFS($I$4:$I$726,$C$4:$C$726,C727,$D$4:$D$726,D727,$E$4:$E$726,E727,$G$4:$G$726,G727,$H$4:$H$726,H727,$B$4:$B$726,"INGRESO")+SUMIFS($I$4:$I$726,$C$4:$C$726,C727,$D$4:$D$726,D727,$E$4:$E$726,E727,$G$4:$G$726,G727,$H$4:$H$726,H727,$B$4:$B$726,"DE CORTE")-SUMIFS($I$4:$I$726,$C$4:$C$726,C727,$D$4:$D$726,D727,$E$4:$E$726,E727,$G$4:$G$726,G727,$H$4:$H$726,H727,$B$4:$B$726,"SALIDA"))),0)</f>
        <v>0</v>
      </c>
      <c r="M727" s="13">
        <f t="shared" si="2"/>
        <v>0</v>
      </c>
      <c r="N727" s="14"/>
      <c r="O727" s="14"/>
      <c r="P727" s="15"/>
      <c r="Q727" s="14"/>
    </row>
    <row r="728" ht="15.75" customHeight="1">
      <c r="A728" s="7"/>
      <c r="B728" s="8"/>
      <c r="C728" s="8"/>
      <c r="D728" s="8"/>
      <c r="E728" s="8"/>
      <c r="F728" s="14"/>
      <c r="G728" s="8"/>
      <c r="H728" s="8"/>
      <c r="I728" s="9"/>
      <c r="J728" s="12" t="str">
        <f t="array" ref="J728:K728">IFERROR(INDEX(PRECIOS_COMPLEMENTOS!$C$4:$F$17,MATCH(D728&amp;"_"&amp;E728,PRECIOS_COMPLEMENTOS!$H$4:$H$17,0),IF(OR(H728="S",H728="20cm"),1,IF(OR(H728="M",H728="25cm"),2,IF(OR(H728="L",H728="30cm"),3,IF(OR(H728="XL",H728="35cm"),4,0))))),0)</f>
        <v>#REF!</v>
      </c>
      <c r="K728" s="12">
        <f t="shared" si="1"/>
        <v>0</v>
      </c>
      <c r="L728" s="13">
        <f>IFERROR(IF(C728="",0,IF(D728="PRETINA",SUMIFS($I$4:$I$727,$C$4:$C$727,C728,$D$4:$D$727,D728,$E$4:$E$727,E728,$F$4:$F$727,F728,$G$4:$G$727,G728,$H$4:$H$727,H728,$B$4:$B$727,"INGRESO")+SUMIFS($I$4:$I$727,$C$4:$C$727,C728,$D$4:$D$727,D728,$E$4:$E$727,E728,$F$4:$F$727,F728,$G$4:$G$727,G728,$H$4:$H$727,H728,$B$4:$B$727,"DE CORTE")-SUMIFS($I$4:$I$727,$C$4:$C$727,C728,$D$4:$D$727,D728,$E$4:$E$727,E728,$F$4:$F$727,F728,$G$4:$G$727,G728,$H$4:$H$727,H728,$B$4:$B$727,"SALIDA"),SUMIFS($I$4:$I$727,$C$4:$C$727,C728,$D$4:$D$727,D728,$E$4:$E$727,E728,$G$4:$G$727,G728,$H$4:$H$727,H728,$B$4:$B$727,"INGRESO")+SUMIFS($I$4:$I$727,$C$4:$C$727,C728,$D$4:$D$727,D728,$E$4:$E$727,E728,$G$4:$G$727,G728,$H$4:$H$727,H728,$B$4:$B$727,"DE CORTE")-SUMIFS($I$4:$I$727,$C$4:$C$727,C728,$D$4:$D$727,D728,$E$4:$E$727,E728,$G$4:$G$727,G728,$H$4:$H$727,H728,$B$4:$B$727,"SALIDA"))),0)</f>
        <v>0</v>
      </c>
      <c r="M728" s="13">
        <f t="shared" si="2"/>
        <v>0</v>
      </c>
      <c r="N728" s="14"/>
      <c r="O728" s="14"/>
      <c r="P728" s="15"/>
      <c r="Q728" s="14"/>
    </row>
    <row r="729" ht="15.75" customHeight="1">
      <c r="A729" s="7"/>
      <c r="B729" s="8"/>
      <c r="C729" s="8"/>
      <c r="D729" s="8"/>
      <c r="E729" s="8"/>
      <c r="F729" s="14"/>
      <c r="G729" s="8"/>
      <c r="H729" s="8"/>
      <c r="I729" s="9"/>
      <c r="J729" s="12" t="str">
        <f t="array" ref="J729:K729">IFERROR(INDEX(PRECIOS_COMPLEMENTOS!$C$4:$F$17,MATCH(D729&amp;"_"&amp;E729,PRECIOS_COMPLEMENTOS!$H$4:$H$17,0),IF(OR(H729="S",H729="20cm"),1,IF(OR(H729="M",H729="25cm"),2,IF(OR(H729="L",H729="30cm"),3,IF(OR(H729="XL",H729="35cm"),4,0))))),0)</f>
        <v>#REF!</v>
      </c>
      <c r="K729" s="12">
        <f t="shared" si="1"/>
        <v>0</v>
      </c>
      <c r="L729" s="13">
        <f>IFERROR(IF(C729="",0,IF(D729="PRETINA",SUMIFS($I$4:$I$728,$C$4:$C$728,C729,$D$4:$D$728,D729,$E$4:$E$728,E729,$F$4:$F$728,F729,$G$4:$G$728,G729,$H$4:$H$728,H729,$B$4:$B$728,"INGRESO")+SUMIFS($I$4:$I$728,$C$4:$C$728,C729,$D$4:$D$728,D729,$E$4:$E$728,E729,$F$4:$F$728,F729,$G$4:$G$728,G729,$H$4:$H$728,H729,$B$4:$B$728,"DE CORTE")-SUMIFS($I$4:$I$728,$C$4:$C$728,C729,$D$4:$D$728,D729,$E$4:$E$728,E729,$F$4:$F$728,F729,$G$4:$G$728,G729,$H$4:$H$728,H729,$B$4:$B$728,"SALIDA"),SUMIFS($I$4:$I$728,$C$4:$C$728,C729,$D$4:$D$728,D729,$E$4:$E$728,E729,$G$4:$G$728,G729,$H$4:$H$728,H729,$B$4:$B$728,"INGRESO")+SUMIFS($I$4:$I$728,$C$4:$C$728,C729,$D$4:$D$728,D729,$E$4:$E$728,E729,$G$4:$G$728,G729,$H$4:$H$728,H729,$B$4:$B$728,"DE CORTE")-SUMIFS($I$4:$I$728,$C$4:$C$728,C729,$D$4:$D$728,D729,$E$4:$E$728,E729,$G$4:$G$728,G729,$H$4:$H$728,H729,$B$4:$B$728,"SALIDA"))),0)</f>
        <v>0</v>
      </c>
      <c r="M729" s="13">
        <f t="shared" si="2"/>
        <v>0</v>
      </c>
      <c r="N729" s="14"/>
      <c r="O729" s="14"/>
      <c r="P729" s="15"/>
      <c r="Q729" s="14"/>
    </row>
    <row r="730" ht="15.75" customHeight="1">
      <c r="A730" s="7"/>
      <c r="B730" s="8"/>
      <c r="C730" s="8"/>
      <c r="D730" s="8"/>
      <c r="E730" s="8"/>
      <c r="F730" s="14"/>
      <c r="G730" s="8"/>
      <c r="H730" s="8"/>
      <c r="I730" s="9"/>
      <c r="J730" s="12" t="str">
        <f t="array" ref="J730:K730">IFERROR(INDEX(PRECIOS_COMPLEMENTOS!$C$4:$F$17,MATCH(D730&amp;"_"&amp;E730,PRECIOS_COMPLEMENTOS!$H$4:$H$17,0),IF(OR(H730="S",H730="20cm"),1,IF(OR(H730="M",H730="25cm"),2,IF(OR(H730="L",H730="30cm"),3,IF(OR(H730="XL",H730="35cm"),4,0))))),0)</f>
        <v>#REF!</v>
      </c>
      <c r="K730" s="12">
        <f t="shared" si="1"/>
        <v>0</v>
      </c>
      <c r="L730" s="13">
        <f>IFERROR(IF(C730="",0,IF(D730="PRETINA",SUMIFS($I$4:$I$729,$C$4:$C$729,C730,$D$4:$D$729,D730,$E$4:$E$729,E730,$F$4:$F$729,F730,$G$4:$G$729,G730,$H$4:$H$729,H730,$B$4:$B$729,"INGRESO")+SUMIFS($I$4:$I$729,$C$4:$C$729,C730,$D$4:$D$729,D730,$E$4:$E$729,E730,$F$4:$F$729,F730,$G$4:$G$729,G730,$H$4:$H$729,H730,$B$4:$B$729,"DE CORTE")-SUMIFS($I$4:$I$729,$C$4:$C$729,C730,$D$4:$D$729,D730,$E$4:$E$729,E730,$F$4:$F$729,F730,$G$4:$G$729,G730,$H$4:$H$729,H730,$B$4:$B$729,"SALIDA"),SUMIFS($I$4:$I$729,$C$4:$C$729,C730,$D$4:$D$729,D730,$E$4:$E$729,E730,$G$4:$G$729,G730,$H$4:$H$729,H730,$B$4:$B$729,"INGRESO")+SUMIFS($I$4:$I$729,$C$4:$C$729,C730,$D$4:$D$729,D730,$E$4:$E$729,E730,$G$4:$G$729,G730,$H$4:$H$729,H730,$B$4:$B$729,"DE CORTE")-SUMIFS($I$4:$I$729,$C$4:$C$729,C730,$D$4:$D$729,D730,$E$4:$E$729,E730,$G$4:$G$729,G730,$H$4:$H$729,H730,$B$4:$B$729,"SALIDA"))),0)</f>
        <v>0</v>
      </c>
      <c r="M730" s="13">
        <f t="shared" si="2"/>
        <v>0</v>
      </c>
      <c r="N730" s="14"/>
      <c r="O730" s="14"/>
      <c r="P730" s="15"/>
      <c r="Q730" s="14"/>
    </row>
    <row r="731" ht="15.75" customHeight="1">
      <c r="A731" s="7"/>
      <c r="B731" s="8"/>
      <c r="C731" s="8"/>
      <c r="D731" s="8"/>
      <c r="E731" s="8"/>
      <c r="F731" s="14"/>
      <c r="G731" s="8"/>
      <c r="H731" s="8"/>
      <c r="I731" s="9"/>
      <c r="J731" s="12" t="str">
        <f t="array" ref="J731:K731">IFERROR(INDEX(PRECIOS_COMPLEMENTOS!$C$4:$F$17,MATCH(D731&amp;"_"&amp;E731,PRECIOS_COMPLEMENTOS!$H$4:$H$17,0),IF(OR(H731="S",H731="20cm"),1,IF(OR(H731="M",H731="25cm"),2,IF(OR(H731="L",H731="30cm"),3,IF(OR(H731="XL",H731="35cm"),4,0))))),0)</f>
        <v>#REF!</v>
      </c>
      <c r="K731" s="12">
        <f t="shared" si="1"/>
        <v>0</v>
      </c>
      <c r="L731" s="13">
        <f>IFERROR(IF(C731="",0,IF(D731="PRETINA",SUMIFS($I$4:$I$730,$C$4:$C$730,C731,$D$4:$D$730,D731,$E$4:$E$730,E731,$F$4:$F$730,F731,$G$4:$G$730,G731,$H$4:$H$730,H731,$B$4:$B$730,"INGRESO")+SUMIFS($I$4:$I$730,$C$4:$C$730,C731,$D$4:$D$730,D731,$E$4:$E$730,E731,$F$4:$F$730,F731,$G$4:$G$730,G731,$H$4:$H$730,H731,$B$4:$B$730,"DE CORTE")-SUMIFS($I$4:$I$730,$C$4:$C$730,C731,$D$4:$D$730,D731,$E$4:$E$730,E731,$F$4:$F$730,F731,$G$4:$G$730,G731,$H$4:$H$730,H731,$B$4:$B$730,"SALIDA"),SUMIFS($I$4:$I$730,$C$4:$C$730,C731,$D$4:$D$730,D731,$E$4:$E$730,E731,$G$4:$G$730,G731,$H$4:$H$730,H731,$B$4:$B$730,"INGRESO")+SUMIFS($I$4:$I$730,$C$4:$C$730,C731,$D$4:$D$730,D731,$E$4:$E$730,E731,$G$4:$G$730,G731,$H$4:$H$730,H731,$B$4:$B$730,"DE CORTE")-SUMIFS($I$4:$I$730,$C$4:$C$730,C731,$D$4:$D$730,D731,$E$4:$E$730,E731,$G$4:$G$730,G731,$H$4:$H$730,H731,$B$4:$B$730,"SALIDA"))),0)</f>
        <v>0</v>
      </c>
      <c r="M731" s="13">
        <f t="shared" si="2"/>
        <v>0</v>
      </c>
      <c r="N731" s="14"/>
      <c r="O731" s="14"/>
      <c r="P731" s="15"/>
      <c r="Q731" s="14"/>
    </row>
    <row r="732" ht="15.75" customHeight="1">
      <c r="A732" s="7"/>
      <c r="B732" s="8"/>
      <c r="C732" s="8"/>
      <c r="D732" s="8"/>
      <c r="E732" s="8"/>
      <c r="F732" s="14"/>
      <c r="G732" s="8"/>
      <c r="H732" s="8"/>
      <c r="I732" s="9"/>
      <c r="J732" s="12" t="str">
        <f t="array" ref="J732:K732">IFERROR(INDEX(PRECIOS_COMPLEMENTOS!$C$4:$F$17,MATCH(D732&amp;"_"&amp;E732,PRECIOS_COMPLEMENTOS!$H$4:$H$17,0),IF(OR(H732="S",H732="20cm"),1,IF(OR(H732="M",H732="25cm"),2,IF(OR(H732="L",H732="30cm"),3,IF(OR(H732="XL",H732="35cm"),4,0))))),0)</f>
        <v>#REF!</v>
      </c>
      <c r="K732" s="12">
        <f t="shared" si="1"/>
        <v>0</v>
      </c>
      <c r="L732" s="13">
        <f>IFERROR(IF(C732="",0,IF(D732="PRETINA",SUMIFS($I$4:$I$731,$C$4:$C$731,C732,$D$4:$D$731,D732,$E$4:$E$731,E732,$F$4:$F$731,F732,$G$4:$G$731,G732,$H$4:$H$731,H732,$B$4:$B$731,"INGRESO")+SUMIFS($I$4:$I$731,$C$4:$C$731,C732,$D$4:$D$731,D732,$E$4:$E$731,E732,$F$4:$F$731,F732,$G$4:$G$731,G732,$H$4:$H$731,H732,$B$4:$B$731,"DE CORTE")-SUMIFS($I$4:$I$731,$C$4:$C$731,C732,$D$4:$D$731,D732,$E$4:$E$731,E732,$F$4:$F$731,F732,$G$4:$G$731,G732,$H$4:$H$731,H732,$B$4:$B$731,"SALIDA"),SUMIFS($I$4:$I$731,$C$4:$C$731,C732,$D$4:$D$731,D732,$E$4:$E$731,E732,$G$4:$G$731,G732,$H$4:$H$731,H732,$B$4:$B$731,"INGRESO")+SUMIFS($I$4:$I$731,$C$4:$C$731,C732,$D$4:$D$731,D732,$E$4:$E$731,E732,$G$4:$G$731,G732,$H$4:$H$731,H732,$B$4:$B$731,"DE CORTE")-SUMIFS($I$4:$I$731,$C$4:$C$731,C732,$D$4:$D$731,D732,$E$4:$E$731,E732,$G$4:$G$731,G732,$H$4:$H$731,H732,$B$4:$B$731,"SALIDA"))),0)</f>
        <v>0</v>
      </c>
      <c r="M732" s="13">
        <f t="shared" si="2"/>
        <v>0</v>
      </c>
      <c r="N732" s="14"/>
      <c r="O732" s="14"/>
      <c r="P732" s="15"/>
      <c r="Q732" s="14"/>
    </row>
    <row r="733" ht="15.75" customHeight="1">
      <c r="A733" s="7"/>
      <c r="B733" s="8"/>
      <c r="C733" s="8"/>
      <c r="D733" s="8"/>
      <c r="E733" s="8"/>
      <c r="F733" s="14"/>
      <c r="G733" s="8"/>
      <c r="H733" s="8"/>
      <c r="I733" s="9"/>
      <c r="J733" s="12" t="str">
        <f t="array" ref="J733:K733">IFERROR(INDEX(PRECIOS_COMPLEMENTOS!$C$4:$F$17,MATCH(D733&amp;"_"&amp;E733,PRECIOS_COMPLEMENTOS!$H$4:$H$17,0),IF(OR(H733="S",H733="20cm"),1,IF(OR(H733="M",H733="25cm"),2,IF(OR(H733="L",H733="30cm"),3,IF(OR(H733="XL",H733="35cm"),4,0))))),0)</f>
        <v>#REF!</v>
      </c>
      <c r="K733" s="12">
        <f t="shared" si="1"/>
        <v>0</v>
      </c>
      <c r="L733" s="13">
        <f>IFERROR(IF(C733="",0,IF(D733="PRETINA",SUMIFS($I$4:$I$732,$C$4:$C$732,C733,$D$4:$D$732,D733,$E$4:$E$732,E733,$F$4:$F$732,F733,$G$4:$G$732,G733,$H$4:$H$732,H733,$B$4:$B$732,"INGRESO")+SUMIFS($I$4:$I$732,$C$4:$C$732,C733,$D$4:$D$732,D733,$E$4:$E$732,E733,$F$4:$F$732,F733,$G$4:$G$732,G733,$H$4:$H$732,H733,$B$4:$B$732,"DE CORTE")-SUMIFS($I$4:$I$732,$C$4:$C$732,C733,$D$4:$D$732,D733,$E$4:$E$732,E733,$F$4:$F$732,F733,$G$4:$G$732,G733,$H$4:$H$732,H733,$B$4:$B$732,"SALIDA"),SUMIFS($I$4:$I$732,$C$4:$C$732,C733,$D$4:$D$732,D733,$E$4:$E$732,E733,$G$4:$G$732,G733,$H$4:$H$732,H733,$B$4:$B$732,"INGRESO")+SUMIFS($I$4:$I$732,$C$4:$C$732,C733,$D$4:$D$732,D733,$E$4:$E$732,E733,$G$4:$G$732,G733,$H$4:$H$732,H733,$B$4:$B$732,"DE CORTE")-SUMIFS($I$4:$I$732,$C$4:$C$732,C733,$D$4:$D$732,D733,$E$4:$E$732,E733,$G$4:$G$732,G733,$H$4:$H$732,H733,$B$4:$B$732,"SALIDA"))),0)</f>
        <v>0</v>
      </c>
      <c r="M733" s="13">
        <f t="shared" si="2"/>
        <v>0</v>
      </c>
      <c r="N733" s="14"/>
      <c r="O733" s="14"/>
      <c r="P733" s="15"/>
      <c r="Q733" s="14"/>
    </row>
    <row r="734" ht="15.75" customHeight="1">
      <c r="A734" s="7"/>
      <c r="B734" s="8"/>
      <c r="C734" s="8"/>
      <c r="D734" s="8"/>
      <c r="E734" s="8"/>
      <c r="F734" s="14"/>
      <c r="G734" s="8"/>
      <c r="H734" s="8"/>
      <c r="I734" s="9"/>
      <c r="J734" s="12" t="str">
        <f t="array" ref="J734:K734">IFERROR(INDEX(PRECIOS_COMPLEMENTOS!$C$4:$F$17,MATCH(D734&amp;"_"&amp;E734,PRECIOS_COMPLEMENTOS!$H$4:$H$17,0),IF(OR(H734="S",H734="20cm"),1,IF(OR(H734="M",H734="25cm"),2,IF(OR(H734="L",H734="30cm"),3,IF(OR(H734="XL",H734="35cm"),4,0))))),0)</f>
        <v>#REF!</v>
      </c>
      <c r="K734" s="12">
        <f t="shared" si="1"/>
        <v>0</v>
      </c>
      <c r="L734" s="13">
        <f>IFERROR(IF(C734="",0,IF(D734="PRETINA",SUMIFS($I$4:$I$733,$C$4:$C$733,C734,$D$4:$D$733,D734,$E$4:$E$733,E734,$F$4:$F$733,F734,$G$4:$G$733,G734,$H$4:$H$733,H734,$B$4:$B$733,"INGRESO")+SUMIFS($I$4:$I$733,$C$4:$C$733,C734,$D$4:$D$733,D734,$E$4:$E$733,E734,$F$4:$F$733,F734,$G$4:$G$733,G734,$H$4:$H$733,H734,$B$4:$B$733,"DE CORTE")-SUMIFS($I$4:$I$733,$C$4:$C$733,C734,$D$4:$D$733,D734,$E$4:$E$733,E734,$F$4:$F$733,F734,$G$4:$G$733,G734,$H$4:$H$733,H734,$B$4:$B$733,"SALIDA"),SUMIFS($I$4:$I$733,$C$4:$C$733,C734,$D$4:$D$733,D734,$E$4:$E$733,E734,$G$4:$G$733,G734,$H$4:$H$733,H734,$B$4:$B$733,"INGRESO")+SUMIFS($I$4:$I$733,$C$4:$C$733,C734,$D$4:$D$733,D734,$E$4:$E$733,E734,$G$4:$G$733,G734,$H$4:$H$733,H734,$B$4:$B$733,"DE CORTE")-SUMIFS($I$4:$I$733,$C$4:$C$733,C734,$D$4:$D$733,D734,$E$4:$E$733,E734,$G$4:$G$733,G734,$H$4:$H$733,H734,$B$4:$B$733,"SALIDA"))),0)</f>
        <v>0</v>
      </c>
      <c r="M734" s="13">
        <f t="shared" si="2"/>
        <v>0</v>
      </c>
      <c r="N734" s="14"/>
      <c r="O734" s="14"/>
      <c r="P734" s="15"/>
      <c r="Q734" s="14"/>
    </row>
    <row r="735" ht="15.75" customHeight="1">
      <c r="A735" s="7"/>
      <c r="B735" s="8"/>
      <c r="C735" s="8"/>
      <c r="D735" s="8"/>
      <c r="E735" s="8"/>
      <c r="F735" s="14"/>
      <c r="G735" s="8"/>
      <c r="H735" s="8"/>
      <c r="I735" s="9"/>
      <c r="J735" s="12" t="str">
        <f t="array" ref="J735:K735">IFERROR(INDEX(PRECIOS_COMPLEMENTOS!$C$4:$F$17,MATCH(D735&amp;"_"&amp;E735,PRECIOS_COMPLEMENTOS!$H$4:$H$17,0),IF(OR(H735="S",H735="20cm"),1,IF(OR(H735="M",H735="25cm"),2,IF(OR(H735="L",H735="30cm"),3,IF(OR(H735="XL",H735="35cm"),4,0))))),0)</f>
        <v>#REF!</v>
      </c>
      <c r="K735" s="12">
        <f t="shared" si="1"/>
        <v>0</v>
      </c>
      <c r="L735" s="13">
        <f>IFERROR(IF(C735="",0,IF(D735="PRETINA",SUMIFS($I$4:$I$734,$C$4:$C$734,C735,$D$4:$D$734,D735,$E$4:$E$734,E735,$F$4:$F$734,F735,$G$4:$G$734,G735,$H$4:$H$734,H735,$B$4:$B$734,"INGRESO")+SUMIFS($I$4:$I$734,$C$4:$C$734,C735,$D$4:$D$734,D735,$E$4:$E$734,E735,$F$4:$F$734,F735,$G$4:$G$734,G735,$H$4:$H$734,H735,$B$4:$B$734,"DE CORTE")-SUMIFS($I$4:$I$734,$C$4:$C$734,C735,$D$4:$D$734,D735,$E$4:$E$734,E735,$F$4:$F$734,F735,$G$4:$G$734,G735,$H$4:$H$734,H735,$B$4:$B$734,"SALIDA"),SUMIFS($I$4:$I$734,$C$4:$C$734,C735,$D$4:$D$734,D735,$E$4:$E$734,E735,$G$4:$G$734,G735,$H$4:$H$734,H735,$B$4:$B$734,"INGRESO")+SUMIFS($I$4:$I$734,$C$4:$C$734,C735,$D$4:$D$734,D735,$E$4:$E$734,E735,$G$4:$G$734,G735,$H$4:$H$734,H735,$B$4:$B$734,"DE CORTE")-SUMIFS($I$4:$I$734,$C$4:$C$734,C735,$D$4:$D$734,D735,$E$4:$E$734,E735,$G$4:$G$734,G735,$H$4:$H$734,H735,$B$4:$B$734,"SALIDA"))),0)</f>
        <v>0</v>
      </c>
      <c r="M735" s="13">
        <f t="shared" si="2"/>
        <v>0</v>
      </c>
      <c r="N735" s="14"/>
      <c r="O735" s="14"/>
      <c r="P735" s="15"/>
      <c r="Q735" s="14"/>
    </row>
    <row r="736" ht="15.75" customHeight="1">
      <c r="A736" s="7"/>
      <c r="B736" s="8"/>
      <c r="C736" s="8"/>
      <c r="D736" s="8"/>
      <c r="E736" s="8"/>
      <c r="F736" s="14"/>
      <c r="G736" s="8"/>
      <c r="H736" s="8"/>
      <c r="I736" s="9"/>
      <c r="J736" s="12" t="str">
        <f t="array" ref="J736:K736">IFERROR(INDEX(PRECIOS_COMPLEMENTOS!$C$4:$F$17,MATCH(D736&amp;"_"&amp;E736,PRECIOS_COMPLEMENTOS!$H$4:$H$17,0),IF(OR(H736="S",H736="20cm"),1,IF(OR(H736="M",H736="25cm"),2,IF(OR(H736="L",H736="30cm"),3,IF(OR(H736="XL",H736="35cm"),4,0))))),0)</f>
        <v>#REF!</v>
      </c>
      <c r="K736" s="12">
        <f t="shared" si="1"/>
        <v>0</v>
      </c>
      <c r="L736" s="13">
        <f>IFERROR(IF(C736="",0,IF(D736="PRETINA",SUMIFS($I$4:$I$735,$C$4:$C$735,C736,$D$4:$D$735,D736,$E$4:$E$735,E736,$F$4:$F$735,F736,$G$4:$G$735,G736,$H$4:$H$735,H736,$B$4:$B$735,"INGRESO")+SUMIFS($I$4:$I$735,$C$4:$C$735,C736,$D$4:$D$735,D736,$E$4:$E$735,E736,$F$4:$F$735,F736,$G$4:$G$735,G736,$H$4:$H$735,H736,$B$4:$B$735,"DE CORTE")-SUMIFS($I$4:$I$735,$C$4:$C$735,C736,$D$4:$D$735,D736,$E$4:$E$735,E736,$F$4:$F$735,F736,$G$4:$G$735,G736,$H$4:$H$735,H736,$B$4:$B$735,"SALIDA"),SUMIFS($I$4:$I$735,$C$4:$C$735,C736,$D$4:$D$735,D736,$E$4:$E$735,E736,$G$4:$G$735,G736,$H$4:$H$735,H736,$B$4:$B$735,"INGRESO")+SUMIFS($I$4:$I$735,$C$4:$C$735,C736,$D$4:$D$735,D736,$E$4:$E$735,E736,$G$4:$G$735,G736,$H$4:$H$735,H736,$B$4:$B$735,"DE CORTE")-SUMIFS($I$4:$I$735,$C$4:$C$735,C736,$D$4:$D$735,D736,$E$4:$E$735,E736,$G$4:$G$735,G736,$H$4:$H$735,H736,$B$4:$B$735,"SALIDA"))),0)</f>
        <v>0</v>
      </c>
      <c r="M736" s="13">
        <f t="shared" si="2"/>
        <v>0</v>
      </c>
      <c r="N736" s="14"/>
      <c r="O736" s="14"/>
      <c r="P736" s="15"/>
      <c r="Q736" s="14"/>
    </row>
    <row r="737" ht="15.75" customHeight="1">
      <c r="A737" s="7"/>
      <c r="B737" s="8"/>
      <c r="C737" s="8"/>
      <c r="D737" s="8"/>
      <c r="E737" s="8"/>
      <c r="F737" s="14"/>
      <c r="G737" s="8"/>
      <c r="H737" s="8"/>
      <c r="I737" s="9"/>
      <c r="J737" s="12" t="str">
        <f t="array" ref="J737:K737">IFERROR(INDEX(PRECIOS_COMPLEMENTOS!$C$4:$F$17,MATCH(D737&amp;"_"&amp;E737,PRECIOS_COMPLEMENTOS!$H$4:$H$17,0),IF(OR(H737="S",H737="20cm"),1,IF(OR(H737="M",H737="25cm"),2,IF(OR(H737="L",H737="30cm"),3,IF(OR(H737="XL",H737="35cm"),4,0))))),0)</f>
        <v>#REF!</v>
      </c>
      <c r="K737" s="12">
        <f t="shared" si="1"/>
        <v>0</v>
      </c>
      <c r="L737" s="13">
        <f>IFERROR(IF(C737="",0,IF(D737="PRETINA",SUMIFS($I$4:$I$736,$C$4:$C$736,C737,$D$4:$D$736,D737,$E$4:$E$736,E737,$F$4:$F$736,F737,$G$4:$G$736,G737,$H$4:$H$736,H737,$B$4:$B$736,"INGRESO")+SUMIFS($I$4:$I$736,$C$4:$C$736,C737,$D$4:$D$736,D737,$E$4:$E$736,E737,$F$4:$F$736,F737,$G$4:$G$736,G737,$H$4:$H$736,H737,$B$4:$B$736,"DE CORTE")-SUMIFS($I$4:$I$736,$C$4:$C$736,C737,$D$4:$D$736,D737,$E$4:$E$736,E737,$F$4:$F$736,F737,$G$4:$G$736,G737,$H$4:$H$736,H737,$B$4:$B$736,"SALIDA"),SUMIFS($I$4:$I$736,$C$4:$C$736,C737,$D$4:$D$736,D737,$E$4:$E$736,E737,$G$4:$G$736,G737,$H$4:$H$736,H737,$B$4:$B$736,"INGRESO")+SUMIFS($I$4:$I$736,$C$4:$C$736,C737,$D$4:$D$736,D737,$E$4:$E$736,E737,$G$4:$G$736,G737,$H$4:$H$736,H737,$B$4:$B$736,"DE CORTE")-SUMIFS($I$4:$I$736,$C$4:$C$736,C737,$D$4:$D$736,D737,$E$4:$E$736,E737,$G$4:$G$736,G737,$H$4:$H$736,H737,$B$4:$B$736,"SALIDA"))),0)</f>
        <v>0</v>
      </c>
      <c r="M737" s="13">
        <f t="shared" si="2"/>
        <v>0</v>
      </c>
      <c r="N737" s="14"/>
      <c r="O737" s="14"/>
      <c r="P737" s="15"/>
      <c r="Q737" s="14"/>
    </row>
    <row r="738" ht="15.75" customHeight="1">
      <c r="A738" s="7"/>
      <c r="B738" s="8"/>
      <c r="C738" s="8"/>
      <c r="D738" s="8"/>
      <c r="E738" s="8"/>
      <c r="F738" s="14"/>
      <c r="G738" s="8"/>
      <c r="H738" s="8"/>
      <c r="I738" s="9"/>
      <c r="J738" s="12" t="str">
        <f t="array" ref="J738:K738">IFERROR(INDEX(PRECIOS_COMPLEMENTOS!$C$4:$F$17,MATCH(D738&amp;"_"&amp;E738,PRECIOS_COMPLEMENTOS!$H$4:$H$17,0),IF(OR(H738="S",H738="20cm"),1,IF(OR(H738="M",H738="25cm"),2,IF(OR(H738="L",H738="30cm"),3,IF(OR(H738="XL",H738="35cm"),4,0))))),0)</f>
        <v>#REF!</v>
      </c>
      <c r="K738" s="12">
        <f t="shared" si="1"/>
        <v>0</v>
      </c>
      <c r="L738" s="13">
        <f>IFERROR(IF(C738="",0,IF(D738="PRETINA",SUMIFS($I$4:$I$737,$C$4:$C$737,C738,$D$4:$D$737,D738,$E$4:$E$737,E738,$F$4:$F$737,F738,$G$4:$G$737,G738,$H$4:$H$737,H738,$B$4:$B$737,"INGRESO")+SUMIFS($I$4:$I$737,$C$4:$C$737,C738,$D$4:$D$737,D738,$E$4:$E$737,E738,$F$4:$F$737,F738,$G$4:$G$737,G738,$H$4:$H$737,H738,$B$4:$B$737,"DE CORTE")-SUMIFS($I$4:$I$737,$C$4:$C$737,C738,$D$4:$D$737,D738,$E$4:$E$737,E738,$F$4:$F$737,F738,$G$4:$G$737,G738,$H$4:$H$737,H738,$B$4:$B$737,"SALIDA"),SUMIFS($I$4:$I$737,$C$4:$C$737,C738,$D$4:$D$737,D738,$E$4:$E$737,E738,$G$4:$G$737,G738,$H$4:$H$737,H738,$B$4:$B$737,"INGRESO")+SUMIFS($I$4:$I$737,$C$4:$C$737,C738,$D$4:$D$737,D738,$E$4:$E$737,E738,$G$4:$G$737,G738,$H$4:$H$737,H738,$B$4:$B$737,"DE CORTE")-SUMIFS($I$4:$I$737,$C$4:$C$737,C738,$D$4:$D$737,D738,$E$4:$E$737,E738,$G$4:$G$737,G738,$H$4:$H$737,H738,$B$4:$B$737,"SALIDA"))),0)</f>
        <v>0</v>
      </c>
      <c r="M738" s="13">
        <f t="shared" si="2"/>
        <v>0</v>
      </c>
      <c r="N738" s="14"/>
      <c r="O738" s="14"/>
      <c r="P738" s="15"/>
      <c r="Q738" s="14"/>
    </row>
    <row r="739" ht="15.75" customHeight="1">
      <c r="A739" s="7"/>
      <c r="B739" s="8"/>
      <c r="C739" s="8"/>
      <c r="D739" s="8"/>
      <c r="E739" s="8"/>
      <c r="F739" s="14"/>
      <c r="G739" s="8"/>
      <c r="H739" s="8"/>
      <c r="I739" s="9"/>
      <c r="J739" s="12" t="str">
        <f t="array" ref="J739:K739">IFERROR(INDEX(PRECIOS_COMPLEMENTOS!$C$4:$F$17,MATCH(D739&amp;"_"&amp;E739,PRECIOS_COMPLEMENTOS!$H$4:$H$17,0),IF(OR(H739="S",H739="20cm"),1,IF(OR(H739="M",H739="25cm"),2,IF(OR(H739="L",H739="30cm"),3,IF(OR(H739="XL",H739="35cm"),4,0))))),0)</f>
        <v>#REF!</v>
      </c>
      <c r="K739" s="12">
        <f t="shared" si="1"/>
        <v>0</v>
      </c>
      <c r="L739" s="13">
        <f>IFERROR(IF(C739="",0,IF(D739="PRETINA",SUMIFS($I$4:$I$738,$C$4:$C$738,C739,$D$4:$D$738,D739,$E$4:$E$738,E739,$F$4:$F$738,F739,$G$4:$G$738,G739,$H$4:$H$738,H739,$B$4:$B$738,"INGRESO")+SUMIFS($I$4:$I$738,$C$4:$C$738,C739,$D$4:$D$738,D739,$E$4:$E$738,E739,$F$4:$F$738,F739,$G$4:$G$738,G739,$H$4:$H$738,H739,$B$4:$B$738,"DE CORTE")-SUMIFS($I$4:$I$738,$C$4:$C$738,C739,$D$4:$D$738,D739,$E$4:$E$738,E739,$F$4:$F$738,F739,$G$4:$G$738,G739,$H$4:$H$738,H739,$B$4:$B$738,"SALIDA"),SUMIFS($I$4:$I$738,$C$4:$C$738,C739,$D$4:$D$738,D739,$E$4:$E$738,E739,$G$4:$G$738,G739,$H$4:$H$738,H739,$B$4:$B$738,"INGRESO")+SUMIFS($I$4:$I$738,$C$4:$C$738,C739,$D$4:$D$738,D739,$E$4:$E$738,E739,$G$4:$G$738,G739,$H$4:$H$738,H739,$B$4:$B$738,"DE CORTE")-SUMIFS($I$4:$I$738,$C$4:$C$738,C739,$D$4:$D$738,D739,$E$4:$E$738,E739,$G$4:$G$738,G739,$H$4:$H$738,H739,$B$4:$B$738,"SALIDA"))),0)</f>
        <v>0</v>
      </c>
      <c r="M739" s="13">
        <f t="shared" si="2"/>
        <v>0</v>
      </c>
      <c r="N739" s="14"/>
      <c r="O739" s="14"/>
      <c r="P739" s="15"/>
      <c r="Q739" s="14"/>
    </row>
    <row r="740" ht="15.75" customHeight="1">
      <c r="A740" s="7"/>
      <c r="B740" s="8"/>
      <c r="C740" s="8"/>
      <c r="D740" s="8"/>
      <c r="E740" s="8"/>
      <c r="F740" s="14"/>
      <c r="G740" s="8"/>
      <c r="H740" s="8"/>
      <c r="I740" s="9"/>
      <c r="J740" s="12" t="str">
        <f t="array" ref="J740:K740">IFERROR(INDEX(PRECIOS_COMPLEMENTOS!$C$4:$F$17,MATCH(D740&amp;"_"&amp;E740,PRECIOS_COMPLEMENTOS!$H$4:$H$17,0),IF(OR(H740="S",H740="20cm"),1,IF(OR(H740="M",H740="25cm"),2,IF(OR(H740="L",H740="30cm"),3,IF(OR(H740="XL",H740="35cm"),4,0))))),0)</f>
        <v>#REF!</v>
      </c>
      <c r="K740" s="12">
        <f t="shared" si="1"/>
        <v>0</v>
      </c>
      <c r="L740" s="13">
        <f>IFERROR(IF(C740="",0,IF(D740="PRETINA",SUMIFS($I$4:$I$739,$C$4:$C$739,C740,$D$4:$D$739,D740,$E$4:$E$739,E740,$F$4:$F$739,F740,$G$4:$G$739,G740,$H$4:$H$739,H740,$B$4:$B$739,"INGRESO")+SUMIFS($I$4:$I$739,$C$4:$C$739,C740,$D$4:$D$739,D740,$E$4:$E$739,E740,$F$4:$F$739,F740,$G$4:$G$739,G740,$H$4:$H$739,H740,$B$4:$B$739,"DE CORTE")-SUMIFS($I$4:$I$739,$C$4:$C$739,C740,$D$4:$D$739,D740,$E$4:$E$739,E740,$F$4:$F$739,F740,$G$4:$G$739,G740,$H$4:$H$739,H740,$B$4:$B$739,"SALIDA"),SUMIFS($I$4:$I$739,$C$4:$C$739,C740,$D$4:$D$739,D740,$E$4:$E$739,E740,$G$4:$G$739,G740,$H$4:$H$739,H740,$B$4:$B$739,"INGRESO")+SUMIFS($I$4:$I$739,$C$4:$C$739,C740,$D$4:$D$739,D740,$E$4:$E$739,E740,$G$4:$G$739,G740,$H$4:$H$739,H740,$B$4:$B$739,"DE CORTE")-SUMIFS($I$4:$I$739,$C$4:$C$739,C740,$D$4:$D$739,D740,$E$4:$E$739,E740,$G$4:$G$739,G740,$H$4:$H$739,H740,$B$4:$B$739,"SALIDA"))),0)</f>
        <v>0</v>
      </c>
      <c r="M740" s="13">
        <f t="shared" si="2"/>
        <v>0</v>
      </c>
      <c r="N740" s="14"/>
      <c r="O740" s="14"/>
      <c r="P740" s="15"/>
      <c r="Q740" s="14"/>
    </row>
    <row r="741" ht="15.75" customHeight="1">
      <c r="A741" s="7"/>
      <c r="B741" s="8"/>
      <c r="C741" s="8"/>
      <c r="D741" s="8"/>
      <c r="E741" s="8"/>
      <c r="F741" s="14"/>
      <c r="G741" s="8"/>
      <c r="H741" s="8"/>
      <c r="I741" s="9"/>
      <c r="J741" s="12" t="str">
        <f t="array" ref="J741:K741">IFERROR(INDEX(PRECIOS_COMPLEMENTOS!$C$4:$F$17,MATCH(D741&amp;"_"&amp;E741,PRECIOS_COMPLEMENTOS!$H$4:$H$17,0),IF(OR(H741="S",H741="20cm"),1,IF(OR(H741="M",H741="25cm"),2,IF(OR(H741="L",H741="30cm"),3,IF(OR(H741="XL",H741="35cm"),4,0))))),0)</f>
        <v>#REF!</v>
      </c>
      <c r="K741" s="12">
        <f t="shared" si="1"/>
        <v>0</v>
      </c>
      <c r="L741" s="13">
        <f>IFERROR(IF(C741="",0,IF(D741="PRETINA",SUMIFS($I$4:$I$740,$C$4:$C$740,C741,$D$4:$D$740,D741,$E$4:$E$740,E741,$F$4:$F$740,F741,$G$4:$G$740,G741,$H$4:$H$740,H741,$B$4:$B$740,"INGRESO")+SUMIFS($I$4:$I$740,$C$4:$C$740,C741,$D$4:$D$740,D741,$E$4:$E$740,E741,$F$4:$F$740,F741,$G$4:$G$740,G741,$H$4:$H$740,H741,$B$4:$B$740,"DE CORTE")-SUMIFS($I$4:$I$740,$C$4:$C$740,C741,$D$4:$D$740,D741,$E$4:$E$740,E741,$F$4:$F$740,F741,$G$4:$G$740,G741,$H$4:$H$740,H741,$B$4:$B$740,"SALIDA"),SUMIFS($I$4:$I$740,$C$4:$C$740,C741,$D$4:$D$740,D741,$E$4:$E$740,E741,$G$4:$G$740,G741,$H$4:$H$740,H741,$B$4:$B$740,"INGRESO")+SUMIFS($I$4:$I$740,$C$4:$C$740,C741,$D$4:$D$740,D741,$E$4:$E$740,E741,$G$4:$G$740,G741,$H$4:$H$740,H741,$B$4:$B$740,"DE CORTE")-SUMIFS($I$4:$I$740,$C$4:$C$740,C741,$D$4:$D$740,D741,$E$4:$E$740,E741,$G$4:$G$740,G741,$H$4:$H$740,H741,$B$4:$B$740,"SALIDA"))),0)</f>
        <v>0</v>
      </c>
      <c r="M741" s="13">
        <f t="shared" si="2"/>
        <v>0</v>
      </c>
      <c r="N741" s="14"/>
      <c r="O741" s="14"/>
      <c r="P741" s="15"/>
      <c r="Q741" s="14"/>
    </row>
    <row r="742" ht="15.75" customHeight="1">
      <c r="A742" s="7"/>
      <c r="B742" s="8"/>
      <c r="C742" s="8"/>
      <c r="D742" s="8"/>
      <c r="E742" s="8"/>
      <c r="F742" s="14"/>
      <c r="G742" s="8"/>
      <c r="H742" s="8"/>
      <c r="I742" s="9"/>
      <c r="J742" s="12" t="str">
        <f t="array" ref="J742:K742">IFERROR(INDEX(PRECIOS_COMPLEMENTOS!$C$4:$F$17,MATCH(D742&amp;"_"&amp;E742,PRECIOS_COMPLEMENTOS!$H$4:$H$17,0),IF(OR(H742="S",H742="20cm"),1,IF(OR(H742="M",H742="25cm"),2,IF(OR(H742="L",H742="30cm"),3,IF(OR(H742="XL",H742="35cm"),4,0))))),0)</f>
        <v>#REF!</v>
      </c>
      <c r="K742" s="12">
        <f t="shared" si="1"/>
        <v>0</v>
      </c>
      <c r="L742" s="13">
        <f>IFERROR(IF(C742="",0,IF(D742="PRETINA",SUMIFS($I$4:$I$741,$C$4:$C$741,C742,$D$4:$D$741,D742,$E$4:$E$741,E742,$F$4:$F$741,F742,$G$4:$G$741,G742,$H$4:$H$741,H742,$B$4:$B$741,"INGRESO")+SUMIFS($I$4:$I$741,$C$4:$C$741,C742,$D$4:$D$741,D742,$E$4:$E$741,E742,$F$4:$F$741,F742,$G$4:$G$741,G742,$H$4:$H$741,H742,$B$4:$B$741,"DE CORTE")-SUMIFS($I$4:$I$741,$C$4:$C$741,C742,$D$4:$D$741,D742,$E$4:$E$741,E742,$F$4:$F$741,F742,$G$4:$G$741,G742,$H$4:$H$741,H742,$B$4:$B$741,"SALIDA"),SUMIFS($I$4:$I$741,$C$4:$C$741,C742,$D$4:$D$741,D742,$E$4:$E$741,E742,$G$4:$G$741,G742,$H$4:$H$741,H742,$B$4:$B$741,"INGRESO")+SUMIFS($I$4:$I$741,$C$4:$C$741,C742,$D$4:$D$741,D742,$E$4:$E$741,E742,$G$4:$G$741,G742,$H$4:$H$741,H742,$B$4:$B$741,"DE CORTE")-SUMIFS($I$4:$I$741,$C$4:$C$741,C742,$D$4:$D$741,D742,$E$4:$E$741,E742,$G$4:$G$741,G742,$H$4:$H$741,H742,$B$4:$B$741,"SALIDA"))),0)</f>
        <v>0</v>
      </c>
      <c r="M742" s="13">
        <f t="shared" si="2"/>
        <v>0</v>
      </c>
      <c r="N742" s="14"/>
      <c r="O742" s="14"/>
      <c r="P742" s="15"/>
      <c r="Q742" s="14"/>
    </row>
    <row r="743" ht="15.75" customHeight="1">
      <c r="A743" s="7"/>
      <c r="B743" s="8"/>
      <c r="C743" s="8"/>
      <c r="D743" s="8"/>
      <c r="E743" s="8"/>
      <c r="F743" s="14"/>
      <c r="G743" s="8"/>
      <c r="H743" s="8"/>
      <c r="I743" s="9"/>
      <c r="J743" s="12" t="str">
        <f t="array" ref="J743:K743">IFERROR(INDEX(PRECIOS_COMPLEMENTOS!$C$4:$F$17,MATCH(D743&amp;"_"&amp;E743,PRECIOS_COMPLEMENTOS!$H$4:$H$17,0),IF(OR(H743="S",H743="20cm"),1,IF(OR(H743="M",H743="25cm"),2,IF(OR(H743="L",H743="30cm"),3,IF(OR(H743="XL",H743="35cm"),4,0))))),0)</f>
        <v>#REF!</v>
      </c>
      <c r="K743" s="12">
        <f t="shared" si="1"/>
        <v>0</v>
      </c>
      <c r="L743" s="13">
        <f>IFERROR(IF(C743="",0,IF(D743="PRETINA",SUMIFS($I$4:$I$742,$C$4:$C$742,C743,$D$4:$D$742,D743,$E$4:$E$742,E743,$F$4:$F$742,F743,$G$4:$G$742,G743,$H$4:$H$742,H743,$B$4:$B$742,"INGRESO")+SUMIFS($I$4:$I$742,$C$4:$C$742,C743,$D$4:$D$742,D743,$E$4:$E$742,E743,$F$4:$F$742,F743,$G$4:$G$742,G743,$H$4:$H$742,H743,$B$4:$B$742,"DE CORTE")-SUMIFS($I$4:$I$742,$C$4:$C$742,C743,$D$4:$D$742,D743,$E$4:$E$742,E743,$F$4:$F$742,F743,$G$4:$G$742,G743,$H$4:$H$742,H743,$B$4:$B$742,"SALIDA"),SUMIFS($I$4:$I$742,$C$4:$C$742,C743,$D$4:$D$742,D743,$E$4:$E$742,E743,$G$4:$G$742,G743,$H$4:$H$742,H743,$B$4:$B$742,"INGRESO")+SUMIFS($I$4:$I$742,$C$4:$C$742,C743,$D$4:$D$742,D743,$E$4:$E$742,E743,$G$4:$G$742,G743,$H$4:$H$742,H743,$B$4:$B$742,"DE CORTE")-SUMIFS($I$4:$I$742,$C$4:$C$742,C743,$D$4:$D$742,D743,$E$4:$E$742,E743,$G$4:$G$742,G743,$H$4:$H$742,H743,$B$4:$B$742,"SALIDA"))),0)</f>
        <v>0</v>
      </c>
      <c r="M743" s="13">
        <f t="shared" si="2"/>
        <v>0</v>
      </c>
      <c r="N743" s="14"/>
      <c r="O743" s="14"/>
      <c r="P743" s="15"/>
      <c r="Q743" s="14"/>
    </row>
    <row r="744" ht="15.75" customHeight="1">
      <c r="A744" s="7"/>
      <c r="B744" s="8"/>
      <c r="C744" s="8"/>
      <c r="D744" s="8"/>
      <c r="E744" s="8"/>
      <c r="F744" s="14"/>
      <c r="G744" s="8"/>
      <c r="H744" s="8"/>
      <c r="I744" s="9"/>
      <c r="J744" s="12" t="str">
        <f t="array" ref="J744:K744">IFERROR(INDEX(PRECIOS_COMPLEMENTOS!$C$4:$F$17,MATCH(D744&amp;"_"&amp;E744,PRECIOS_COMPLEMENTOS!$H$4:$H$17,0),IF(OR(H744="S",H744="20cm"),1,IF(OR(H744="M",H744="25cm"),2,IF(OR(H744="L",H744="30cm"),3,IF(OR(H744="XL",H744="35cm"),4,0))))),0)</f>
        <v>#REF!</v>
      </c>
      <c r="K744" s="12">
        <f t="shared" si="1"/>
        <v>0</v>
      </c>
      <c r="L744" s="13">
        <f>IFERROR(IF(C744="",0,IF(D744="PRETINA",SUMIFS($I$4:$I$743,$C$4:$C$743,C744,$D$4:$D$743,D744,$E$4:$E$743,E744,$F$4:$F$743,F744,$G$4:$G$743,G744,$H$4:$H$743,H744,$B$4:$B$743,"INGRESO")+SUMIFS($I$4:$I$743,$C$4:$C$743,C744,$D$4:$D$743,D744,$E$4:$E$743,E744,$F$4:$F$743,F744,$G$4:$G$743,G744,$H$4:$H$743,H744,$B$4:$B$743,"DE CORTE")-SUMIFS($I$4:$I$743,$C$4:$C$743,C744,$D$4:$D$743,D744,$E$4:$E$743,E744,$F$4:$F$743,F744,$G$4:$G$743,G744,$H$4:$H$743,H744,$B$4:$B$743,"SALIDA"),SUMIFS($I$4:$I$743,$C$4:$C$743,C744,$D$4:$D$743,D744,$E$4:$E$743,E744,$G$4:$G$743,G744,$H$4:$H$743,H744,$B$4:$B$743,"INGRESO")+SUMIFS($I$4:$I$743,$C$4:$C$743,C744,$D$4:$D$743,D744,$E$4:$E$743,E744,$G$4:$G$743,G744,$H$4:$H$743,H744,$B$4:$B$743,"DE CORTE")-SUMIFS($I$4:$I$743,$C$4:$C$743,C744,$D$4:$D$743,D744,$E$4:$E$743,E744,$G$4:$G$743,G744,$H$4:$H$743,H744,$B$4:$B$743,"SALIDA"))),0)</f>
        <v>0</v>
      </c>
      <c r="M744" s="13">
        <f t="shared" si="2"/>
        <v>0</v>
      </c>
      <c r="N744" s="14"/>
      <c r="O744" s="14"/>
      <c r="P744" s="15"/>
      <c r="Q744" s="14"/>
    </row>
    <row r="745" ht="15.75" customHeight="1">
      <c r="A745" s="7"/>
      <c r="B745" s="8"/>
      <c r="C745" s="8"/>
      <c r="D745" s="8"/>
      <c r="E745" s="8"/>
      <c r="F745" s="14"/>
      <c r="G745" s="8"/>
      <c r="H745" s="8"/>
      <c r="I745" s="9"/>
      <c r="J745" s="12" t="str">
        <f t="array" ref="J745:K745">IFERROR(INDEX(PRECIOS_COMPLEMENTOS!$C$4:$F$17,MATCH(D745&amp;"_"&amp;E745,PRECIOS_COMPLEMENTOS!$H$4:$H$17,0),IF(OR(H745="S",H745="20cm"),1,IF(OR(H745="M",H745="25cm"),2,IF(OR(H745="L",H745="30cm"),3,IF(OR(H745="XL",H745="35cm"),4,0))))),0)</f>
        <v>#REF!</v>
      </c>
      <c r="K745" s="12">
        <f t="shared" si="1"/>
        <v>0</v>
      </c>
      <c r="L745" s="13">
        <f>IFERROR(IF(C745="",0,IF(D745="PRETINA",SUMIFS($I$4:$I$744,$C$4:$C$744,C745,$D$4:$D$744,D745,$E$4:$E$744,E745,$F$4:$F$744,F745,$G$4:$G$744,G745,$H$4:$H$744,H745,$B$4:$B$744,"INGRESO")+SUMIFS($I$4:$I$744,$C$4:$C$744,C745,$D$4:$D$744,D745,$E$4:$E$744,E745,$F$4:$F$744,F745,$G$4:$G$744,G745,$H$4:$H$744,H745,$B$4:$B$744,"DE CORTE")-SUMIFS($I$4:$I$744,$C$4:$C$744,C745,$D$4:$D$744,D745,$E$4:$E$744,E745,$F$4:$F$744,F745,$G$4:$G$744,G745,$H$4:$H$744,H745,$B$4:$B$744,"SALIDA"),SUMIFS($I$4:$I$744,$C$4:$C$744,C745,$D$4:$D$744,D745,$E$4:$E$744,E745,$G$4:$G$744,G745,$H$4:$H$744,H745,$B$4:$B$744,"INGRESO")+SUMIFS($I$4:$I$744,$C$4:$C$744,C745,$D$4:$D$744,D745,$E$4:$E$744,E745,$G$4:$G$744,G745,$H$4:$H$744,H745,$B$4:$B$744,"DE CORTE")-SUMIFS($I$4:$I$744,$C$4:$C$744,C745,$D$4:$D$744,D745,$E$4:$E$744,E745,$G$4:$G$744,G745,$H$4:$H$744,H745,$B$4:$B$744,"SALIDA"))),0)</f>
        <v>0</v>
      </c>
      <c r="M745" s="13">
        <f t="shared" si="2"/>
        <v>0</v>
      </c>
      <c r="N745" s="14"/>
      <c r="O745" s="14"/>
      <c r="P745" s="15"/>
      <c r="Q745" s="14"/>
    </row>
    <row r="746" ht="15.75" customHeight="1">
      <c r="A746" s="7"/>
      <c r="B746" s="8"/>
      <c r="C746" s="8"/>
      <c r="D746" s="8"/>
      <c r="E746" s="8"/>
      <c r="F746" s="14"/>
      <c r="G746" s="8"/>
      <c r="H746" s="8"/>
      <c r="I746" s="9"/>
      <c r="J746" s="12" t="str">
        <f t="array" ref="J746:K746">IFERROR(INDEX(PRECIOS_COMPLEMENTOS!$C$4:$F$17,MATCH(D746&amp;"_"&amp;E746,PRECIOS_COMPLEMENTOS!$H$4:$H$17,0),IF(OR(H746="S",H746="20cm"),1,IF(OR(H746="M",H746="25cm"),2,IF(OR(H746="L",H746="30cm"),3,IF(OR(H746="XL",H746="35cm"),4,0))))),0)</f>
        <v>#REF!</v>
      </c>
      <c r="K746" s="12">
        <f t="shared" si="1"/>
        <v>0</v>
      </c>
      <c r="L746" s="13">
        <f>IFERROR(IF(C746="",0,IF(D746="PRETINA",SUMIFS($I$4:$I$745,$C$4:$C$745,C746,$D$4:$D$745,D746,$E$4:$E$745,E746,$F$4:$F$745,F746,$G$4:$G$745,G746,$H$4:$H$745,H746,$B$4:$B$745,"INGRESO")+SUMIFS($I$4:$I$745,$C$4:$C$745,C746,$D$4:$D$745,D746,$E$4:$E$745,E746,$F$4:$F$745,F746,$G$4:$G$745,G746,$H$4:$H$745,H746,$B$4:$B$745,"DE CORTE")-SUMIFS($I$4:$I$745,$C$4:$C$745,C746,$D$4:$D$745,D746,$E$4:$E$745,E746,$F$4:$F$745,F746,$G$4:$G$745,G746,$H$4:$H$745,H746,$B$4:$B$745,"SALIDA"),SUMIFS($I$4:$I$745,$C$4:$C$745,C746,$D$4:$D$745,D746,$E$4:$E$745,E746,$G$4:$G$745,G746,$H$4:$H$745,H746,$B$4:$B$745,"INGRESO")+SUMIFS($I$4:$I$745,$C$4:$C$745,C746,$D$4:$D$745,D746,$E$4:$E$745,E746,$G$4:$G$745,G746,$H$4:$H$745,H746,$B$4:$B$745,"DE CORTE")-SUMIFS($I$4:$I$745,$C$4:$C$745,C746,$D$4:$D$745,D746,$E$4:$E$745,E746,$G$4:$G$745,G746,$H$4:$H$745,H746,$B$4:$B$745,"SALIDA"))),0)</f>
        <v>0</v>
      </c>
      <c r="M746" s="13">
        <f t="shared" si="2"/>
        <v>0</v>
      </c>
      <c r="N746" s="14"/>
      <c r="O746" s="14"/>
      <c r="P746" s="15"/>
      <c r="Q746" s="14"/>
    </row>
    <row r="747" ht="15.75" customHeight="1">
      <c r="A747" s="7"/>
      <c r="B747" s="8"/>
      <c r="C747" s="8"/>
      <c r="D747" s="8"/>
      <c r="E747" s="8"/>
      <c r="F747" s="14"/>
      <c r="G747" s="8"/>
      <c r="H747" s="8"/>
      <c r="I747" s="9"/>
      <c r="J747" s="12" t="str">
        <f t="array" ref="J747:K747">IFERROR(INDEX(PRECIOS_COMPLEMENTOS!$C$4:$F$17,MATCH(D747&amp;"_"&amp;E747,PRECIOS_COMPLEMENTOS!$H$4:$H$17,0),IF(OR(H747="S",H747="20cm"),1,IF(OR(H747="M",H747="25cm"),2,IF(OR(H747="L",H747="30cm"),3,IF(OR(H747="XL",H747="35cm"),4,0))))),0)</f>
        <v>#REF!</v>
      </c>
      <c r="K747" s="12">
        <f t="shared" si="1"/>
        <v>0</v>
      </c>
      <c r="L747" s="13">
        <f>IFERROR(IF(C747="",0,IF(D747="PRETINA",SUMIFS($I$4:$I$746,$C$4:$C$746,C747,$D$4:$D$746,D747,$E$4:$E$746,E747,$F$4:$F$746,F747,$G$4:$G$746,G747,$H$4:$H$746,H747,$B$4:$B$746,"INGRESO")+SUMIFS($I$4:$I$746,$C$4:$C$746,C747,$D$4:$D$746,D747,$E$4:$E$746,E747,$F$4:$F$746,F747,$G$4:$G$746,G747,$H$4:$H$746,H747,$B$4:$B$746,"DE CORTE")-SUMIFS($I$4:$I$746,$C$4:$C$746,C747,$D$4:$D$746,D747,$E$4:$E$746,E747,$F$4:$F$746,F747,$G$4:$G$746,G747,$H$4:$H$746,H747,$B$4:$B$746,"SALIDA"),SUMIFS($I$4:$I$746,$C$4:$C$746,C747,$D$4:$D$746,D747,$E$4:$E$746,E747,$G$4:$G$746,G747,$H$4:$H$746,H747,$B$4:$B$746,"INGRESO")+SUMIFS($I$4:$I$746,$C$4:$C$746,C747,$D$4:$D$746,D747,$E$4:$E$746,E747,$G$4:$G$746,G747,$H$4:$H$746,H747,$B$4:$B$746,"DE CORTE")-SUMIFS($I$4:$I$746,$C$4:$C$746,C747,$D$4:$D$746,D747,$E$4:$E$746,E747,$G$4:$G$746,G747,$H$4:$H$746,H747,$B$4:$B$746,"SALIDA"))),0)</f>
        <v>0</v>
      </c>
      <c r="M747" s="13">
        <f t="shared" si="2"/>
        <v>0</v>
      </c>
      <c r="N747" s="14"/>
      <c r="O747" s="14"/>
      <c r="P747" s="15"/>
      <c r="Q747" s="14"/>
    </row>
    <row r="748" ht="15.75" customHeight="1">
      <c r="A748" s="7"/>
      <c r="B748" s="8"/>
      <c r="C748" s="8"/>
      <c r="D748" s="8"/>
      <c r="E748" s="8"/>
      <c r="F748" s="14"/>
      <c r="G748" s="8"/>
      <c r="H748" s="8"/>
      <c r="I748" s="9"/>
      <c r="J748" s="12" t="str">
        <f t="array" ref="J748:K748">IFERROR(INDEX(PRECIOS_COMPLEMENTOS!$C$4:$F$17,MATCH(D748&amp;"_"&amp;E748,PRECIOS_COMPLEMENTOS!$H$4:$H$17,0),IF(OR(H748="S",H748="20cm"),1,IF(OR(H748="M",H748="25cm"),2,IF(OR(H748="L",H748="30cm"),3,IF(OR(H748="XL",H748="35cm"),4,0))))),0)</f>
        <v>#REF!</v>
      </c>
      <c r="K748" s="12">
        <f t="shared" si="1"/>
        <v>0</v>
      </c>
      <c r="L748" s="13">
        <f>IFERROR(IF(C748="",0,IF(D748="PRETINA",SUMIFS($I$4:$I$747,$C$4:$C$747,C748,$D$4:$D$747,D748,$E$4:$E$747,E748,$F$4:$F$747,F748,$G$4:$G$747,G748,$H$4:$H$747,H748,$B$4:$B$747,"INGRESO")+SUMIFS($I$4:$I$747,$C$4:$C$747,C748,$D$4:$D$747,D748,$E$4:$E$747,E748,$F$4:$F$747,F748,$G$4:$G$747,G748,$H$4:$H$747,H748,$B$4:$B$747,"DE CORTE")-SUMIFS($I$4:$I$747,$C$4:$C$747,C748,$D$4:$D$747,D748,$E$4:$E$747,E748,$F$4:$F$747,F748,$G$4:$G$747,G748,$H$4:$H$747,H748,$B$4:$B$747,"SALIDA"),SUMIFS($I$4:$I$747,$C$4:$C$747,C748,$D$4:$D$747,D748,$E$4:$E$747,E748,$G$4:$G$747,G748,$H$4:$H$747,H748,$B$4:$B$747,"INGRESO")+SUMIFS($I$4:$I$747,$C$4:$C$747,C748,$D$4:$D$747,D748,$E$4:$E$747,E748,$G$4:$G$747,G748,$H$4:$H$747,H748,$B$4:$B$747,"DE CORTE")-SUMIFS($I$4:$I$747,$C$4:$C$747,C748,$D$4:$D$747,D748,$E$4:$E$747,E748,$G$4:$G$747,G748,$H$4:$H$747,H748,$B$4:$B$747,"SALIDA"))),0)</f>
        <v>0</v>
      </c>
      <c r="M748" s="13">
        <f t="shared" si="2"/>
        <v>0</v>
      </c>
      <c r="N748" s="14"/>
      <c r="O748" s="14"/>
      <c r="P748" s="15"/>
      <c r="Q748" s="14"/>
    </row>
    <row r="749" ht="15.75" customHeight="1">
      <c r="A749" s="7"/>
      <c r="B749" s="8"/>
      <c r="C749" s="8"/>
      <c r="D749" s="8"/>
      <c r="E749" s="8"/>
      <c r="F749" s="14"/>
      <c r="G749" s="8"/>
      <c r="H749" s="8"/>
      <c r="I749" s="9"/>
      <c r="J749" s="12" t="str">
        <f t="array" ref="J749:K749">IFERROR(INDEX(PRECIOS_COMPLEMENTOS!$C$4:$F$17,MATCH(D749&amp;"_"&amp;E749,PRECIOS_COMPLEMENTOS!$H$4:$H$17,0),IF(OR(H749="S",H749="20cm"),1,IF(OR(H749="M",H749="25cm"),2,IF(OR(H749="L",H749="30cm"),3,IF(OR(H749="XL",H749="35cm"),4,0))))),0)</f>
        <v>#REF!</v>
      </c>
      <c r="K749" s="12">
        <f t="shared" si="1"/>
        <v>0</v>
      </c>
      <c r="L749" s="13">
        <f>IFERROR(IF(C749="",0,IF(D749="PRETINA",SUMIFS($I$4:$I$748,$C$4:$C$748,C749,$D$4:$D$748,D749,$E$4:$E$748,E749,$F$4:$F$748,F749,$G$4:$G$748,G749,$H$4:$H$748,H749,$B$4:$B$748,"INGRESO")+SUMIFS($I$4:$I$748,$C$4:$C$748,C749,$D$4:$D$748,D749,$E$4:$E$748,E749,$F$4:$F$748,F749,$G$4:$G$748,G749,$H$4:$H$748,H749,$B$4:$B$748,"DE CORTE")-SUMIFS($I$4:$I$748,$C$4:$C$748,C749,$D$4:$D$748,D749,$E$4:$E$748,E749,$F$4:$F$748,F749,$G$4:$G$748,G749,$H$4:$H$748,H749,$B$4:$B$748,"SALIDA"),SUMIFS($I$4:$I$748,$C$4:$C$748,C749,$D$4:$D$748,D749,$E$4:$E$748,E749,$G$4:$G$748,G749,$H$4:$H$748,H749,$B$4:$B$748,"INGRESO")+SUMIFS($I$4:$I$748,$C$4:$C$748,C749,$D$4:$D$748,D749,$E$4:$E$748,E749,$G$4:$G$748,G749,$H$4:$H$748,H749,$B$4:$B$748,"DE CORTE")-SUMIFS($I$4:$I$748,$C$4:$C$748,C749,$D$4:$D$748,D749,$E$4:$E$748,E749,$G$4:$G$748,G749,$H$4:$H$748,H749,$B$4:$B$748,"SALIDA"))),0)</f>
        <v>0</v>
      </c>
      <c r="M749" s="13">
        <f t="shared" si="2"/>
        <v>0</v>
      </c>
      <c r="N749" s="14"/>
      <c r="O749" s="14"/>
      <c r="P749" s="15"/>
      <c r="Q749" s="14"/>
    </row>
    <row r="750" ht="15.75" customHeight="1">
      <c r="A750" s="7"/>
      <c r="B750" s="8"/>
      <c r="C750" s="8"/>
      <c r="D750" s="8"/>
      <c r="E750" s="8"/>
      <c r="F750" s="14"/>
      <c r="G750" s="8"/>
      <c r="H750" s="8"/>
      <c r="I750" s="9"/>
      <c r="J750" s="12" t="str">
        <f t="array" ref="J750:K750">IFERROR(INDEX(PRECIOS_COMPLEMENTOS!$C$4:$F$17,MATCH(D750&amp;"_"&amp;E750,PRECIOS_COMPLEMENTOS!$H$4:$H$17,0),IF(OR(H750="S",H750="20cm"),1,IF(OR(H750="M",H750="25cm"),2,IF(OR(H750="L",H750="30cm"),3,IF(OR(H750="XL",H750="35cm"),4,0))))),0)</f>
        <v>#REF!</v>
      </c>
      <c r="K750" s="12">
        <f t="shared" si="1"/>
        <v>0</v>
      </c>
      <c r="L750" s="13">
        <f>IFERROR(IF(C750="",0,IF(D750="PRETINA",SUMIFS($I$4:$I$749,$C$4:$C$749,C750,$D$4:$D$749,D750,$E$4:$E$749,E750,$F$4:$F$749,F750,$G$4:$G$749,G750,$H$4:$H$749,H750,$B$4:$B$749,"INGRESO")+SUMIFS($I$4:$I$749,$C$4:$C$749,C750,$D$4:$D$749,D750,$E$4:$E$749,E750,$F$4:$F$749,F750,$G$4:$G$749,G750,$H$4:$H$749,H750,$B$4:$B$749,"DE CORTE")-SUMIFS($I$4:$I$749,$C$4:$C$749,C750,$D$4:$D$749,D750,$E$4:$E$749,E750,$F$4:$F$749,F750,$G$4:$G$749,G750,$H$4:$H$749,H750,$B$4:$B$749,"SALIDA"),SUMIFS($I$4:$I$749,$C$4:$C$749,C750,$D$4:$D$749,D750,$E$4:$E$749,E750,$G$4:$G$749,G750,$H$4:$H$749,H750,$B$4:$B$749,"INGRESO")+SUMIFS($I$4:$I$749,$C$4:$C$749,C750,$D$4:$D$749,D750,$E$4:$E$749,E750,$G$4:$G$749,G750,$H$4:$H$749,H750,$B$4:$B$749,"DE CORTE")-SUMIFS($I$4:$I$749,$C$4:$C$749,C750,$D$4:$D$749,D750,$E$4:$E$749,E750,$G$4:$G$749,G750,$H$4:$H$749,H750,$B$4:$B$749,"SALIDA"))),0)</f>
        <v>0</v>
      </c>
      <c r="M750" s="13">
        <f t="shared" si="2"/>
        <v>0</v>
      </c>
      <c r="N750" s="14"/>
      <c r="O750" s="14"/>
      <c r="P750" s="15"/>
      <c r="Q750" s="14"/>
    </row>
    <row r="751" ht="15.75" customHeight="1">
      <c r="A751" s="7"/>
      <c r="B751" s="8"/>
      <c r="C751" s="8"/>
      <c r="D751" s="8"/>
      <c r="E751" s="8"/>
      <c r="F751" s="14"/>
      <c r="G751" s="8"/>
      <c r="H751" s="8"/>
      <c r="I751" s="9"/>
      <c r="J751" s="12" t="str">
        <f t="array" ref="J751:K751">IFERROR(INDEX(PRECIOS_COMPLEMENTOS!$C$4:$F$17,MATCH(D751&amp;"_"&amp;E751,PRECIOS_COMPLEMENTOS!$H$4:$H$17,0),IF(OR(H751="S",H751="20cm"),1,IF(OR(H751="M",H751="25cm"),2,IF(OR(H751="L",H751="30cm"),3,IF(OR(H751="XL",H751="35cm"),4,0))))),0)</f>
        <v>#REF!</v>
      </c>
      <c r="K751" s="12">
        <f t="shared" si="1"/>
        <v>0</v>
      </c>
      <c r="L751" s="13">
        <f>IFERROR(IF(C751="",0,IF(D751="PRETINA",SUMIFS($I$4:$I$750,$C$4:$C$750,C751,$D$4:$D$750,D751,$E$4:$E$750,E751,$F$4:$F$750,F751,$G$4:$G$750,G751,$H$4:$H$750,H751,$B$4:$B$750,"INGRESO")+SUMIFS($I$4:$I$750,$C$4:$C$750,C751,$D$4:$D$750,D751,$E$4:$E$750,E751,$F$4:$F$750,F751,$G$4:$G$750,G751,$H$4:$H$750,H751,$B$4:$B$750,"DE CORTE")-SUMIFS($I$4:$I$750,$C$4:$C$750,C751,$D$4:$D$750,D751,$E$4:$E$750,E751,$F$4:$F$750,F751,$G$4:$G$750,G751,$H$4:$H$750,H751,$B$4:$B$750,"SALIDA"),SUMIFS($I$4:$I$750,$C$4:$C$750,C751,$D$4:$D$750,D751,$E$4:$E$750,E751,$G$4:$G$750,G751,$H$4:$H$750,H751,$B$4:$B$750,"INGRESO")+SUMIFS($I$4:$I$750,$C$4:$C$750,C751,$D$4:$D$750,D751,$E$4:$E$750,E751,$G$4:$G$750,G751,$H$4:$H$750,H751,$B$4:$B$750,"DE CORTE")-SUMIFS($I$4:$I$750,$C$4:$C$750,C751,$D$4:$D$750,D751,$E$4:$E$750,E751,$G$4:$G$750,G751,$H$4:$H$750,H751,$B$4:$B$750,"SALIDA"))),0)</f>
        <v>0</v>
      </c>
      <c r="M751" s="13">
        <f t="shared" si="2"/>
        <v>0</v>
      </c>
      <c r="N751" s="14"/>
      <c r="O751" s="14"/>
      <c r="P751" s="15"/>
      <c r="Q751" s="14"/>
    </row>
    <row r="752" ht="15.75" customHeight="1">
      <c r="A752" s="7"/>
      <c r="B752" s="8"/>
      <c r="C752" s="8"/>
      <c r="D752" s="8"/>
      <c r="E752" s="8"/>
      <c r="F752" s="14"/>
      <c r="G752" s="8"/>
      <c r="H752" s="8"/>
      <c r="I752" s="9"/>
      <c r="J752" s="12" t="str">
        <f t="array" ref="J752:K752">IFERROR(INDEX(PRECIOS_COMPLEMENTOS!$C$4:$F$17,MATCH(D752&amp;"_"&amp;E752,PRECIOS_COMPLEMENTOS!$H$4:$H$17,0),IF(OR(H752="S",H752="20cm"),1,IF(OR(H752="M",H752="25cm"),2,IF(OR(H752="L",H752="30cm"),3,IF(OR(H752="XL",H752="35cm"),4,0))))),0)</f>
        <v>#REF!</v>
      </c>
      <c r="K752" s="12">
        <f t="shared" si="1"/>
        <v>0</v>
      </c>
      <c r="L752" s="13">
        <f>IFERROR(IF(C752="",0,IF(D752="PRETINA",SUMIFS($I$4:$I$751,$C$4:$C$751,C752,$D$4:$D$751,D752,$E$4:$E$751,E752,$F$4:$F$751,F752,$G$4:$G$751,G752,$H$4:$H$751,H752,$B$4:$B$751,"INGRESO")+SUMIFS($I$4:$I$751,$C$4:$C$751,C752,$D$4:$D$751,D752,$E$4:$E$751,E752,$F$4:$F$751,F752,$G$4:$G$751,G752,$H$4:$H$751,H752,$B$4:$B$751,"DE CORTE")-SUMIFS($I$4:$I$751,$C$4:$C$751,C752,$D$4:$D$751,D752,$E$4:$E$751,E752,$F$4:$F$751,F752,$G$4:$G$751,G752,$H$4:$H$751,H752,$B$4:$B$751,"SALIDA"),SUMIFS($I$4:$I$751,$C$4:$C$751,C752,$D$4:$D$751,D752,$E$4:$E$751,E752,$G$4:$G$751,G752,$H$4:$H$751,H752,$B$4:$B$751,"INGRESO")+SUMIFS($I$4:$I$751,$C$4:$C$751,C752,$D$4:$D$751,D752,$E$4:$E$751,E752,$G$4:$G$751,G752,$H$4:$H$751,H752,$B$4:$B$751,"DE CORTE")-SUMIFS($I$4:$I$751,$C$4:$C$751,C752,$D$4:$D$751,D752,$E$4:$E$751,E752,$G$4:$G$751,G752,$H$4:$H$751,H752,$B$4:$B$751,"SALIDA"))),0)</f>
        <v>0</v>
      </c>
      <c r="M752" s="13">
        <f t="shared" si="2"/>
        <v>0</v>
      </c>
      <c r="N752" s="14"/>
      <c r="O752" s="14"/>
      <c r="P752" s="15"/>
      <c r="Q752" s="14"/>
    </row>
    <row r="753" ht="15.75" customHeight="1">
      <c r="A753" s="7"/>
      <c r="B753" s="8"/>
      <c r="C753" s="8"/>
      <c r="D753" s="8"/>
      <c r="E753" s="8"/>
      <c r="F753" s="14"/>
      <c r="G753" s="8"/>
      <c r="H753" s="8"/>
      <c r="I753" s="9"/>
      <c r="J753" s="12" t="str">
        <f t="array" ref="J753:K753">IFERROR(INDEX(PRECIOS_COMPLEMENTOS!$C$4:$F$17,MATCH(D753&amp;"_"&amp;E753,PRECIOS_COMPLEMENTOS!$H$4:$H$17,0),IF(OR(H753="S",H753="20cm"),1,IF(OR(H753="M",H753="25cm"),2,IF(OR(H753="L",H753="30cm"),3,IF(OR(H753="XL",H753="35cm"),4,0))))),0)</f>
        <v>#REF!</v>
      </c>
      <c r="K753" s="12">
        <f t="shared" si="1"/>
        <v>0</v>
      </c>
      <c r="L753" s="13">
        <f>IFERROR(IF(C753="",0,IF(D753="PRETINA",SUMIFS($I$4:$I$752,$C$4:$C$752,C753,$D$4:$D$752,D753,$E$4:$E$752,E753,$F$4:$F$752,F753,$G$4:$G$752,G753,$H$4:$H$752,H753,$B$4:$B$752,"INGRESO")+SUMIFS($I$4:$I$752,$C$4:$C$752,C753,$D$4:$D$752,D753,$E$4:$E$752,E753,$F$4:$F$752,F753,$G$4:$G$752,G753,$H$4:$H$752,H753,$B$4:$B$752,"DE CORTE")-SUMIFS($I$4:$I$752,$C$4:$C$752,C753,$D$4:$D$752,D753,$E$4:$E$752,E753,$F$4:$F$752,F753,$G$4:$G$752,G753,$H$4:$H$752,H753,$B$4:$B$752,"SALIDA"),SUMIFS($I$4:$I$752,$C$4:$C$752,C753,$D$4:$D$752,D753,$E$4:$E$752,E753,$G$4:$G$752,G753,$H$4:$H$752,H753,$B$4:$B$752,"INGRESO")+SUMIFS($I$4:$I$752,$C$4:$C$752,C753,$D$4:$D$752,D753,$E$4:$E$752,E753,$G$4:$G$752,G753,$H$4:$H$752,H753,$B$4:$B$752,"DE CORTE")-SUMIFS($I$4:$I$752,$C$4:$C$752,C753,$D$4:$D$752,D753,$E$4:$E$752,E753,$G$4:$G$752,G753,$H$4:$H$752,H753,$B$4:$B$752,"SALIDA"))),0)</f>
        <v>0</v>
      </c>
      <c r="M753" s="13">
        <f t="shared" si="2"/>
        <v>0</v>
      </c>
      <c r="N753" s="14"/>
      <c r="O753" s="14"/>
      <c r="P753" s="15"/>
      <c r="Q753" s="14"/>
    </row>
    <row r="754" ht="15.75" customHeight="1">
      <c r="A754" s="7"/>
      <c r="B754" s="8"/>
      <c r="C754" s="8"/>
      <c r="D754" s="8"/>
      <c r="E754" s="8"/>
      <c r="F754" s="14"/>
      <c r="G754" s="8"/>
      <c r="H754" s="8"/>
      <c r="I754" s="9"/>
      <c r="J754" s="12" t="str">
        <f t="array" ref="J754:K754">IFERROR(INDEX(PRECIOS_COMPLEMENTOS!$C$4:$F$17,MATCH(D754&amp;"_"&amp;E754,PRECIOS_COMPLEMENTOS!$H$4:$H$17,0),IF(OR(H754="S",H754="20cm"),1,IF(OR(H754="M",H754="25cm"),2,IF(OR(H754="L",H754="30cm"),3,IF(OR(H754="XL",H754="35cm"),4,0))))),0)</f>
        <v>#REF!</v>
      </c>
      <c r="K754" s="12">
        <f t="shared" si="1"/>
        <v>0</v>
      </c>
      <c r="L754" s="13">
        <f>IFERROR(IF(C754="",0,IF(D754="PRETINA",SUMIFS($I$4:$I$753,$C$4:$C$753,C754,$D$4:$D$753,D754,$E$4:$E$753,E754,$F$4:$F$753,F754,$G$4:$G$753,G754,$H$4:$H$753,H754,$B$4:$B$753,"INGRESO")+SUMIFS($I$4:$I$753,$C$4:$C$753,C754,$D$4:$D$753,D754,$E$4:$E$753,E754,$F$4:$F$753,F754,$G$4:$G$753,G754,$H$4:$H$753,H754,$B$4:$B$753,"DE CORTE")-SUMIFS($I$4:$I$753,$C$4:$C$753,C754,$D$4:$D$753,D754,$E$4:$E$753,E754,$F$4:$F$753,F754,$G$4:$G$753,G754,$H$4:$H$753,H754,$B$4:$B$753,"SALIDA"),SUMIFS($I$4:$I$753,$C$4:$C$753,C754,$D$4:$D$753,D754,$E$4:$E$753,E754,$G$4:$G$753,G754,$H$4:$H$753,H754,$B$4:$B$753,"INGRESO")+SUMIFS($I$4:$I$753,$C$4:$C$753,C754,$D$4:$D$753,D754,$E$4:$E$753,E754,$G$4:$G$753,G754,$H$4:$H$753,H754,$B$4:$B$753,"DE CORTE")-SUMIFS($I$4:$I$753,$C$4:$C$753,C754,$D$4:$D$753,D754,$E$4:$E$753,E754,$G$4:$G$753,G754,$H$4:$H$753,H754,$B$4:$B$753,"SALIDA"))),0)</f>
        <v>0</v>
      </c>
      <c r="M754" s="13">
        <f t="shared" si="2"/>
        <v>0</v>
      </c>
      <c r="N754" s="14"/>
      <c r="O754" s="14"/>
      <c r="P754" s="15"/>
      <c r="Q754" s="14"/>
    </row>
    <row r="755" ht="15.75" customHeight="1">
      <c r="A755" s="7"/>
      <c r="B755" s="8"/>
      <c r="C755" s="8"/>
      <c r="D755" s="8"/>
      <c r="E755" s="8"/>
      <c r="F755" s="14"/>
      <c r="G755" s="8"/>
      <c r="H755" s="8"/>
      <c r="I755" s="9"/>
      <c r="J755" s="12" t="str">
        <f t="array" ref="J755:K755">IFERROR(INDEX(PRECIOS_COMPLEMENTOS!$C$4:$F$17,MATCH(D755&amp;"_"&amp;E755,PRECIOS_COMPLEMENTOS!$H$4:$H$17,0),IF(OR(H755="S",H755="20cm"),1,IF(OR(H755="M",H755="25cm"),2,IF(OR(H755="L",H755="30cm"),3,IF(OR(H755="XL",H755="35cm"),4,0))))),0)</f>
        <v>#REF!</v>
      </c>
      <c r="K755" s="12">
        <f t="shared" si="1"/>
        <v>0</v>
      </c>
      <c r="L755" s="13">
        <f>IFERROR(IF(C755="",0,IF(D755="PRETINA",SUMIFS($I$4:$I$754,$C$4:$C$754,C755,$D$4:$D$754,D755,$E$4:$E$754,E755,$F$4:$F$754,F755,$G$4:$G$754,G755,$H$4:$H$754,H755,$B$4:$B$754,"INGRESO")+SUMIFS($I$4:$I$754,$C$4:$C$754,C755,$D$4:$D$754,D755,$E$4:$E$754,E755,$F$4:$F$754,F755,$G$4:$G$754,G755,$H$4:$H$754,H755,$B$4:$B$754,"DE CORTE")-SUMIFS($I$4:$I$754,$C$4:$C$754,C755,$D$4:$D$754,D755,$E$4:$E$754,E755,$F$4:$F$754,F755,$G$4:$G$754,G755,$H$4:$H$754,H755,$B$4:$B$754,"SALIDA"),SUMIFS($I$4:$I$754,$C$4:$C$754,C755,$D$4:$D$754,D755,$E$4:$E$754,E755,$G$4:$G$754,G755,$H$4:$H$754,H755,$B$4:$B$754,"INGRESO")+SUMIFS($I$4:$I$754,$C$4:$C$754,C755,$D$4:$D$754,D755,$E$4:$E$754,E755,$G$4:$G$754,G755,$H$4:$H$754,H755,$B$4:$B$754,"DE CORTE")-SUMIFS($I$4:$I$754,$C$4:$C$754,C755,$D$4:$D$754,D755,$E$4:$E$754,E755,$G$4:$G$754,G755,$H$4:$H$754,H755,$B$4:$B$754,"SALIDA"))),0)</f>
        <v>0</v>
      </c>
      <c r="M755" s="13">
        <f t="shared" si="2"/>
        <v>0</v>
      </c>
      <c r="N755" s="14"/>
      <c r="O755" s="14"/>
      <c r="P755" s="15"/>
      <c r="Q755" s="14"/>
    </row>
    <row r="756" ht="15.75" customHeight="1">
      <c r="A756" s="7"/>
      <c r="B756" s="8"/>
      <c r="C756" s="8"/>
      <c r="D756" s="8"/>
      <c r="E756" s="8"/>
      <c r="F756" s="14"/>
      <c r="G756" s="8"/>
      <c r="H756" s="8"/>
      <c r="I756" s="9"/>
      <c r="J756" s="12" t="str">
        <f t="array" ref="J756:K756">IFERROR(INDEX(PRECIOS_COMPLEMENTOS!$C$4:$F$17,MATCH(D756&amp;"_"&amp;E756,PRECIOS_COMPLEMENTOS!$H$4:$H$17,0),IF(OR(H756="S",H756="20cm"),1,IF(OR(H756="M",H756="25cm"),2,IF(OR(H756="L",H756="30cm"),3,IF(OR(H756="XL",H756="35cm"),4,0))))),0)</f>
        <v>#REF!</v>
      </c>
      <c r="K756" s="12">
        <f t="shared" si="1"/>
        <v>0</v>
      </c>
      <c r="L756" s="13">
        <f>IFERROR(IF(C756="",0,IF(D756="PRETINA",SUMIFS($I$4:$I$755,$C$4:$C$755,C756,$D$4:$D$755,D756,$E$4:$E$755,E756,$F$4:$F$755,F756,$G$4:$G$755,G756,$H$4:$H$755,H756,$B$4:$B$755,"INGRESO")+SUMIFS($I$4:$I$755,$C$4:$C$755,C756,$D$4:$D$755,D756,$E$4:$E$755,E756,$F$4:$F$755,F756,$G$4:$G$755,G756,$H$4:$H$755,H756,$B$4:$B$755,"DE CORTE")-SUMIFS($I$4:$I$755,$C$4:$C$755,C756,$D$4:$D$755,D756,$E$4:$E$755,E756,$F$4:$F$755,F756,$G$4:$G$755,G756,$H$4:$H$755,H756,$B$4:$B$755,"SALIDA"),SUMIFS($I$4:$I$755,$C$4:$C$755,C756,$D$4:$D$755,D756,$E$4:$E$755,E756,$G$4:$G$755,G756,$H$4:$H$755,H756,$B$4:$B$755,"INGRESO")+SUMIFS($I$4:$I$755,$C$4:$C$755,C756,$D$4:$D$755,D756,$E$4:$E$755,E756,$G$4:$G$755,G756,$H$4:$H$755,H756,$B$4:$B$755,"DE CORTE")-SUMIFS($I$4:$I$755,$C$4:$C$755,C756,$D$4:$D$755,D756,$E$4:$E$755,E756,$G$4:$G$755,G756,$H$4:$H$755,H756,$B$4:$B$755,"SALIDA"))),0)</f>
        <v>0</v>
      </c>
      <c r="M756" s="13">
        <f t="shared" si="2"/>
        <v>0</v>
      </c>
      <c r="N756" s="14"/>
      <c r="O756" s="14"/>
      <c r="P756" s="15"/>
      <c r="Q756" s="14"/>
    </row>
    <row r="757" ht="15.75" customHeight="1">
      <c r="A757" s="7"/>
      <c r="B757" s="8"/>
      <c r="C757" s="8"/>
      <c r="D757" s="8"/>
      <c r="E757" s="8"/>
      <c r="F757" s="14"/>
      <c r="G757" s="8"/>
      <c r="H757" s="8"/>
      <c r="I757" s="9"/>
      <c r="J757" s="12" t="str">
        <f t="array" ref="J757:K757">IFERROR(INDEX(PRECIOS_COMPLEMENTOS!$C$4:$F$17,MATCH(D757&amp;"_"&amp;E757,PRECIOS_COMPLEMENTOS!$H$4:$H$17,0),IF(OR(H757="S",H757="20cm"),1,IF(OR(H757="M",H757="25cm"),2,IF(OR(H757="L",H757="30cm"),3,IF(OR(H757="XL",H757="35cm"),4,0))))),0)</f>
        <v>#REF!</v>
      </c>
      <c r="K757" s="12">
        <f t="shared" si="1"/>
        <v>0</v>
      </c>
      <c r="L757" s="13">
        <f>IFERROR(IF(C757="",0,IF(D757="PRETINA",SUMIFS($I$4:$I$756,$C$4:$C$756,C757,$D$4:$D$756,D757,$E$4:$E$756,E757,$F$4:$F$756,F757,$G$4:$G$756,G757,$H$4:$H$756,H757,$B$4:$B$756,"INGRESO")+SUMIFS($I$4:$I$756,$C$4:$C$756,C757,$D$4:$D$756,D757,$E$4:$E$756,E757,$F$4:$F$756,F757,$G$4:$G$756,G757,$H$4:$H$756,H757,$B$4:$B$756,"DE CORTE")-SUMIFS($I$4:$I$756,$C$4:$C$756,C757,$D$4:$D$756,D757,$E$4:$E$756,E757,$F$4:$F$756,F757,$G$4:$G$756,G757,$H$4:$H$756,H757,$B$4:$B$756,"SALIDA"),SUMIFS($I$4:$I$756,$C$4:$C$756,C757,$D$4:$D$756,D757,$E$4:$E$756,E757,$G$4:$G$756,G757,$H$4:$H$756,H757,$B$4:$B$756,"INGRESO")+SUMIFS($I$4:$I$756,$C$4:$C$756,C757,$D$4:$D$756,D757,$E$4:$E$756,E757,$G$4:$G$756,G757,$H$4:$H$756,H757,$B$4:$B$756,"DE CORTE")-SUMIFS($I$4:$I$756,$C$4:$C$756,C757,$D$4:$D$756,D757,$E$4:$E$756,E757,$G$4:$G$756,G757,$H$4:$H$756,H757,$B$4:$B$756,"SALIDA"))),0)</f>
        <v>0</v>
      </c>
      <c r="M757" s="13">
        <f t="shared" si="2"/>
        <v>0</v>
      </c>
      <c r="N757" s="14"/>
      <c r="O757" s="14"/>
      <c r="P757" s="15"/>
      <c r="Q757" s="14"/>
    </row>
    <row r="758" ht="15.75" customHeight="1">
      <c r="A758" s="7"/>
      <c r="B758" s="8"/>
      <c r="C758" s="8"/>
      <c r="D758" s="8"/>
      <c r="E758" s="8"/>
      <c r="F758" s="14"/>
      <c r="G758" s="8"/>
      <c r="H758" s="8"/>
      <c r="I758" s="9"/>
      <c r="J758" s="12" t="str">
        <f t="array" ref="J758:K758">IFERROR(INDEX(PRECIOS_COMPLEMENTOS!$C$4:$F$17,MATCH(D758&amp;"_"&amp;E758,PRECIOS_COMPLEMENTOS!$H$4:$H$17,0),IF(OR(H758="S",H758="20cm"),1,IF(OR(H758="M",H758="25cm"),2,IF(OR(H758="L",H758="30cm"),3,IF(OR(H758="XL",H758="35cm"),4,0))))),0)</f>
        <v>#REF!</v>
      </c>
      <c r="K758" s="12">
        <f t="shared" si="1"/>
        <v>0</v>
      </c>
      <c r="L758" s="13">
        <f>IFERROR(IF(C758="",0,IF(D758="PRETINA",SUMIFS($I$4:$I$757,$C$4:$C$757,C758,$D$4:$D$757,D758,$E$4:$E$757,E758,$F$4:$F$757,F758,$G$4:$G$757,G758,$H$4:$H$757,H758,$B$4:$B$757,"INGRESO")+SUMIFS($I$4:$I$757,$C$4:$C$757,C758,$D$4:$D$757,D758,$E$4:$E$757,E758,$F$4:$F$757,F758,$G$4:$G$757,G758,$H$4:$H$757,H758,$B$4:$B$757,"DE CORTE")-SUMIFS($I$4:$I$757,$C$4:$C$757,C758,$D$4:$D$757,D758,$E$4:$E$757,E758,$F$4:$F$757,F758,$G$4:$G$757,G758,$H$4:$H$757,H758,$B$4:$B$757,"SALIDA"),SUMIFS($I$4:$I$757,$C$4:$C$757,C758,$D$4:$D$757,D758,$E$4:$E$757,E758,$G$4:$G$757,G758,$H$4:$H$757,H758,$B$4:$B$757,"INGRESO")+SUMIFS($I$4:$I$757,$C$4:$C$757,C758,$D$4:$D$757,D758,$E$4:$E$757,E758,$G$4:$G$757,G758,$H$4:$H$757,H758,$B$4:$B$757,"DE CORTE")-SUMIFS($I$4:$I$757,$C$4:$C$757,C758,$D$4:$D$757,D758,$E$4:$E$757,E758,$G$4:$G$757,G758,$H$4:$H$757,H758,$B$4:$B$757,"SALIDA"))),0)</f>
        <v>0</v>
      </c>
      <c r="M758" s="13">
        <f t="shared" si="2"/>
        <v>0</v>
      </c>
      <c r="N758" s="14"/>
      <c r="O758" s="14"/>
      <c r="P758" s="15"/>
      <c r="Q758" s="14"/>
    </row>
    <row r="759" ht="15.75" customHeight="1">
      <c r="A759" s="7"/>
      <c r="B759" s="8"/>
      <c r="C759" s="8"/>
      <c r="D759" s="8"/>
      <c r="E759" s="8"/>
      <c r="F759" s="14"/>
      <c r="G759" s="8"/>
      <c r="H759" s="8"/>
      <c r="I759" s="9"/>
      <c r="J759" s="12" t="str">
        <f t="array" ref="J759:K759">IFERROR(INDEX(PRECIOS_COMPLEMENTOS!$C$4:$F$17,MATCH(D759&amp;"_"&amp;E759,PRECIOS_COMPLEMENTOS!$H$4:$H$17,0),IF(OR(H759="S",H759="20cm"),1,IF(OR(H759="M",H759="25cm"),2,IF(OR(H759="L",H759="30cm"),3,IF(OR(H759="XL",H759="35cm"),4,0))))),0)</f>
        <v>#REF!</v>
      </c>
      <c r="K759" s="12">
        <f t="shared" si="1"/>
        <v>0</v>
      </c>
      <c r="L759" s="13">
        <f>IFERROR(IF(C759="",0,IF(D759="PRETINA",SUMIFS($I$4:$I$758,$C$4:$C$758,C759,$D$4:$D$758,D759,$E$4:$E$758,E759,$F$4:$F$758,F759,$G$4:$G$758,G759,$H$4:$H$758,H759,$B$4:$B$758,"INGRESO")+SUMIFS($I$4:$I$758,$C$4:$C$758,C759,$D$4:$D$758,D759,$E$4:$E$758,E759,$F$4:$F$758,F759,$G$4:$G$758,G759,$H$4:$H$758,H759,$B$4:$B$758,"DE CORTE")-SUMIFS($I$4:$I$758,$C$4:$C$758,C759,$D$4:$D$758,D759,$E$4:$E$758,E759,$F$4:$F$758,F759,$G$4:$G$758,G759,$H$4:$H$758,H759,$B$4:$B$758,"SALIDA"),SUMIFS($I$4:$I$758,$C$4:$C$758,C759,$D$4:$D$758,D759,$E$4:$E$758,E759,$G$4:$G$758,G759,$H$4:$H$758,H759,$B$4:$B$758,"INGRESO")+SUMIFS($I$4:$I$758,$C$4:$C$758,C759,$D$4:$D$758,D759,$E$4:$E$758,E759,$G$4:$G$758,G759,$H$4:$H$758,H759,$B$4:$B$758,"DE CORTE")-SUMIFS($I$4:$I$758,$C$4:$C$758,C759,$D$4:$D$758,D759,$E$4:$E$758,E759,$G$4:$G$758,G759,$H$4:$H$758,H759,$B$4:$B$758,"SALIDA"))),0)</f>
        <v>0</v>
      </c>
      <c r="M759" s="13">
        <f t="shared" si="2"/>
        <v>0</v>
      </c>
      <c r="N759" s="14"/>
      <c r="O759" s="14"/>
      <c r="P759" s="15"/>
      <c r="Q759" s="14"/>
    </row>
    <row r="760" ht="15.75" customHeight="1">
      <c r="A760" s="7"/>
      <c r="B760" s="8"/>
      <c r="C760" s="8"/>
      <c r="D760" s="8"/>
      <c r="E760" s="8"/>
      <c r="F760" s="14"/>
      <c r="G760" s="8"/>
      <c r="H760" s="8"/>
      <c r="I760" s="9"/>
      <c r="J760" s="12" t="str">
        <f t="array" ref="J760:K760">IFERROR(INDEX(PRECIOS_COMPLEMENTOS!$C$4:$F$17,MATCH(D760&amp;"_"&amp;E760,PRECIOS_COMPLEMENTOS!$H$4:$H$17,0),IF(OR(H760="S",H760="20cm"),1,IF(OR(H760="M",H760="25cm"),2,IF(OR(H760="L",H760="30cm"),3,IF(OR(H760="XL",H760="35cm"),4,0))))),0)</f>
        <v>#REF!</v>
      </c>
      <c r="K760" s="12">
        <f t="shared" si="1"/>
        <v>0</v>
      </c>
      <c r="L760" s="13">
        <f>IFERROR(IF(C760="",0,IF(D760="PRETINA",SUMIFS($I$4:$I$759,$C$4:$C$759,C760,$D$4:$D$759,D760,$E$4:$E$759,E760,$F$4:$F$759,F760,$G$4:$G$759,G760,$H$4:$H$759,H760,$B$4:$B$759,"INGRESO")+SUMIFS($I$4:$I$759,$C$4:$C$759,C760,$D$4:$D$759,D760,$E$4:$E$759,E760,$F$4:$F$759,F760,$G$4:$G$759,G760,$H$4:$H$759,H760,$B$4:$B$759,"DE CORTE")-SUMIFS($I$4:$I$759,$C$4:$C$759,C760,$D$4:$D$759,D760,$E$4:$E$759,E760,$F$4:$F$759,F760,$G$4:$G$759,G760,$H$4:$H$759,H760,$B$4:$B$759,"SALIDA"),SUMIFS($I$4:$I$759,$C$4:$C$759,C760,$D$4:$D$759,D760,$E$4:$E$759,E760,$G$4:$G$759,G760,$H$4:$H$759,H760,$B$4:$B$759,"INGRESO")+SUMIFS($I$4:$I$759,$C$4:$C$759,C760,$D$4:$D$759,D760,$E$4:$E$759,E760,$G$4:$G$759,G760,$H$4:$H$759,H760,$B$4:$B$759,"DE CORTE")-SUMIFS($I$4:$I$759,$C$4:$C$759,C760,$D$4:$D$759,D760,$E$4:$E$759,E760,$G$4:$G$759,G760,$H$4:$H$759,H760,$B$4:$B$759,"SALIDA"))),0)</f>
        <v>0</v>
      </c>
      <c r="M760" s="13">
        <f t="shared" si="2"/>
        <v>0</v>
      </c>
      <c r="N760" s="14"/>
      <c r="O760" s="14"/>
      <c r="P760" s="15"/>
      <c r="Q760" s="14"/>
    </row>
    <row r="761" ht="15.75" customHeight="1">
      <c r="A761" s="7"/>
      <c r="B761" s="8"/>
      <c r="C761" s="8"/>
      <c r="D761" s="8"/>
      <c r="E761" s="8"/>
      <c r="F761" s="14"/>
      <c r="G761" s="8"/>
      <c r="H761" s="8"/>
      <c r="I761" s="9"/>
      <c r="J761" s="12" t="str">
        <f t="array" ref="J761:K761">IFERROR(INDEX(PRECIOS_COMPLEMENTOS!$C$4:$F$17,MATCH(D761&amp;"_"&amp;E761,PRECIOS_COMPLEMENTOS!$H$4:$H$17,0),IF(OR(H761="S",H761="20cm"),1,IF(OR(H761="M",H761="25cm"),2,IF(OR(H761="L",H761="30cm"),3,IF(OR(H761="XL",H761="35cm"),4,0))))),0)</f>
        <v>#REF!</v>
      </c>
      <c r="K761" s="12">
        <f t="shared" si="1"/>
        <v>0</v>
      </c>
      <c r="L761" s="13">
        <f>IFERROR(IF(C761="",0,IF(D761="PRETINA",SUMIFS($I$4:$I$760,$C$4:$C$760,C761,$D$4:$D$760,D761,$E$4:$E$760,E761,$F$4:$F$760,F761,$G$4:$G$760,G761,$H$4:$H$760,H761,$B$4:$B$760,"INGRESO")+SUMIFS($I$4:$I$760,$C$4:$C$760,C761,$D$4:$D$760,D761,$E$4:$E$760,E761,$F$4:$F$760,F761,$G$4:$G$760,G761,$H$4:$H$760,H761,$B$4:$B$760,"DE CORTE")-SUMIFS($I$4:$I$760,$C$4:$C$760,C761,$D$4:$D$760,D761,$E$4:$E$760,E761,$F$4:$F$760,F761,$G$4:$G$760,G761,$H$4:$H$760,H761,$B$4:$B$760,"SALIDA"),SUMIFS($I$4:$I$760,$C$4:$C$760,C761,$D$4:$D$760,D761,$E$4:$E$760,E761,$G$4:$G$760,G761,$H$4:$H$760,H761,$B$4:$B$760,"INGRESO")+SUMIFS($I$4:$I$760,$C$4:$C$760,C761,$D$4:$D$760,D761,$E$4:$E$760,E761,$G$4:$G$760,G761,$H$4:$H$760,H761,$B$4:$B$760,"DE CORTE")-SUMIFS($I$4:$I$760,$C$4:$C$760,C761,$D$4:$D$760,D761,$E$4:$E$760,E761,$G$4:$G$760,G761,$H$4:$H$760,H761,$B$4:$B$760,"SALIDA"))),0)</f>
        <v>0</v>
      </c>
      <c r="M761" s="13">
        <f t="shared" si="2"/>
        <v>0</v>
      </c>
      <c r="N761" s="14"/>
      <c r="O761" s="14"/>
      <c r="P761" s="15"/>
      <c r="Q761" s="14"/>
    </row>
    <row r="762" ht="15.75" customHeight="1">
      <c r="A762" s="7"/>
      <c r="B762" s="8"/>
      <c r="C762" s="8"/>
      <c r="D762" s="8"/>
      <c r="E762" s="8"/>
      <c r="F762" s="14"/>
      <c r="G762" s="8"/>
      <c r="H762" s="8"/>
      <c r="I762" s="9"/>
      <c r="J762" s="12" t="str">
        <f t="array" ref="J762:K762">IFERROR(INDEX(PRECIOS_COMPLEMENTOS!$C$4:$F$17,MATCH(D762&amp;"_"&amp;E762,PRECIOS_COMPLEMENTOS!$H$4:$H$17,0),IF(OR(H762="S",H762="20cm"),1,IF(OR(H762="M",H762="25cm"),2,IF(OR(H762="L",H762="30cm"),3,IF(OR(H762="XL",H762="35cm"),4,0))))),0)</f>
        <v>#REF!</v>
      </c>
      <c r="K762" s="12">
        <f t="shared" si="1"/>
        <v>0</v>
      </c>
      <c r="L762" s="13">
        <f>IFERROR(IF(C762="",0,IF(D762="PRETINA",SUMIFS($I$4:$I$761,$C$4:$C$761,C762,$D$4:$D$761,D762,$E$4:$E$761,E762,$F$4:$F$761,F762,$G$4:$G$761,G762,$H$4:$H$761,H762,$B$4:$B$761,"INGRESO")+SUMIFS($I$4:$I$761,$C$4:$C$761,C762,$D$4:$D$761,D762,$E$4:$E$761,E762,$F$4:$F$761,F762,$G$4:$G$761,G762,$H$4:$H$761,H762,$B$4:$B$761,"DE CORTE")-SUMIFS($I$4:$I$761,$C$4:$C$761,C762,$D$4:$D$761,D762,$E$4:$E$761,E762,$F$4:$F$761,F762,$G$4:$G$761,G762,$H$4:$H$761,H762,$B$4:$B$761,"SALIDA"),SUMIFS($I$4:$I$761,$C$4:$C$761,C762,$D$4:$D$761,D762,$E$4:$E$761,E762,$G$4:$G$761,G762,$H$4:$H$761,H762,$B$4:$B$761,"INGRESO")+SUMIFS($I$4:$I$761,$C$4:$C$761,C762,$D$4:$D$761,D762,$E$4:$E$761,E762,$G$4:$G$761,G762,$H$4:$H$761,H762,$B$4:$B$761,"DE CORTE")-SUMIFS($I$4:$I$761,$C$4:$C$761,C762,$D$4:$D$761,D762,$E$4:$E$761,E762,$G$4:$G$761,G762,$H$4:$H$761,H762,$B$4:$B$761,"SALIDA"))),0)</f>
        <v>0</v>
      </c>
      <c r="M762" s="13">
        <f t="shared" si="2"/>
        <v>0</v>
      </c>
      <c r="N762" s="14"/>
      <c r="O762" s="14"/>
      <c r="P762" s="15"/>
      <c r="Q762" s="14"/>
    </row>
    <row r="763" ht="15.75" customHeight="1">
      <c r="A763" s="7"/>
      <c r="B763" s="8"/>
      <c r="C763" s="8"/>
      <c r="D763" s="8"/>
      <c r="E763" s="8"/>
      <c r="F763" s="14"/>
      <c r="G763" s="8"/>
      <c r="H763" s="8"/>
      <c r="I763" s="9"/>
      <c r="J763" s="12" t="str">
        <f t="array" ref="J763:K763">IFERROR(INDEX(PRECIOS_COMPLEMENTOS!$C$4:$F$17,MATCH(D763&amp;"_"&amp;E763,PRECIOS_COMPLEMENTOS!$H$4:$H$17,0),IF(OR(H763="S",H763="20cm"),1,IF(OR(H763="M",H763="25cm"),2,IF(OR(H763="L",H763="30cm"),3,IF(OR(H763="XL",H763="35cm"),4,0))))),0)</f>
        <v>#REF!</v>
      </c>
      <c r="K763" s="12">
        <f t="shared" si="1"/>
        <v>0</v>
      </c>
      <c r="L763" s="13">
        <f>IFERROR(IF(C763="",0,IF(D763="PRETINA",SUMIFS($I$4:$I$762,$C$4:$C$762,C763,$D$4:$D$762,D763,$E$4:$E$762,E763,$F$4:$F$762,F763,$G$4:$G$762,G763,$H$4:$H$762,H763,$B$4:$B$762,"INGRESO")+SUMIFS($I$4:$I$762,$C$4:$C$762,C763,$D$4:$D$762,D763,$E$4:$E$762,E763,$F$4:$F$762,F763,$G$4:$G$762,G763,$H$4:$H$762,H763,$B$4:$B$762,"DE CORTE")-SUMIFS($I$4:$I$762,$C$4:$C$762,C763,$D$4:$D$762,D763,$E$4:$E$762,E763,$F$4:$F$762,F763,$G$4:$G$762,G763,$H$4:$H$762,H763,$B$4:$B$762,"SALIDA"),SUMIFS($I$4:$I$762,$C$4:$C$762,C763,$D$4:$D$762,D763,$E$4:$E$762,E763,$G$4:$G$762,G763,$H$4:$H$762,H763,$B$4:$B$762,"INGRESO")+SUMIFS($I$4:$I$762,$C$4:$C$762,C763,$D$4:$D$762,D763,$E$4:$E$762,E763,$G$4:$G$762,G763,$H$4:$H$762,H763,$B$4:$B$762,"DE CORTE")-SUMIFS($I$4:$I$762,$C$4:$C$762,C763,$D$4:$D$762,D763,$E$4:$E$762,E763,$G$4:$G$762,G763,$H$4:$H$762,H763,$B$4:$B$762,"SALIDA"))),0)</f>
        <v>0</v>
      </c>
      <c r="M763" s="13">
        <f t="shared" si="2"/>
        <v>0</v>
      </c>
      <c r="N763" s="14"/>
      <c r="O763" s="14"/>
      <c r="P763" s="15"/>
      <c r="Q763" s="14"/>
    </row>
    <row r="764" ht="15.75" customHeight="1">
      <c r="A764" s="7"/>
      <c r="B764" s="8"/>
      <c r="C764" s="8"/>
      <c r="D764" s="8"/>
      <c r="E764" s="8"/>
      <c r="F764" s="14"/>
      <c r="G764" s="8"/>
      <c r="H764" s="8"/>
      <c r="I764" s="9"/>
      <c r="J764" s="12" t="str">
        <f t="array" ref="J764:K764">IFERROR(INDEX(PRECIOS_COMPLEMENTOS!$C$4:$F$17,MATCH(D764&amp;"_"&amp;E764,PRECIOS_COMPLEMENTOS!$H$4:$H$17,0),IF(OR(H764="S",H764="20cm"),1,IF(OR(H764="M",H764="25cm"),2,IF(OR(H764="L",H764="30cm"),3,IF(OR(H764="XL",H764="35cm"),4,0))))),0)</f>
        <v>#REF!</v>
      </c>
      <c r="K764" s="12">
        <f t="shared" si="1"/>
        <v>0</v>
      </c>
      <c r="L764" s="13">
        <f>IFERROR(IF(C764="",0,IF(D764="PRETINA",SUMIFS($I$4:$I$763,$C$4:$C$763,C764,$D$4:$D$763,D764,$E$4:$E$763,E764,$F$4:$F$763,F764,$G$4:$G$763,G764,$H$4:$H$763,H764,$B$4:$B$763,"INGRESO")+SUMIFS($I$4:$I$763,$C$4:$C$763,C764,$D$4:$D$763,D764,$E$4:$E$763,E764,$F$4:$F$763,F764,$G$4:$G$763,G764,$H$4:$H$763,H764,$B$4:$B$763,"DE CORTE")-SUMIFS($I$4:$I$763,$C$4:$C$763,C764,$D$4:$D$763,D764,$E$4:$E$763,E764,$F$4:$F$763,F764,$G$4:$G$763,G764,$H$4:$H$763,H764,$B$4:$B$763,"SALIDA"),SUMIFS($I$4:$I$763,$C$4:$C$763,C764,$D$4:$D$763,D764,$E$4:$E$763,E764,$G$4:$G$763,G764,$H$4:$H$763,H764,$B$4:$B$763,"INGRESO")+SUMIFS($I$4:$I$763,$C$4:$C$763,C764,$D$4:$D$763,D764,$E$4:$E$763,E764,$G$4:$G$763,G764,$H$4:$H$763,H764,$B$4:$B$763,"DE CORTE")-SUMIFS($I$4:$I$763,$C$4:$C$763,C764,$D$4:$D$763,D764,$E$4:$E$763,E764,$G$4:$G$763,G764,$H$4:$H$763,H764,$B$4:$B$763,"SALIDA"))),0)</f>
        <v>0</v>
      </c>
      <c r="M764" s="13">
        <f t="shared" si="2"/>
        <v>0</v>
      </c>
      <c r="N764" s="14"/>
      <c r="O764" s="14"/>
      <c r="P764" s="15"/>
      <c r="Q764" s="14"/>
    </row>
    <row r="765" ht="15.75" customHeight="1">
      <c r="A765" s="7"/>
      <c r="B765" s="8"/>
      <c r="C765" s="8"/>
      <c r="D765" s="8"/>
      <c r="E765" s="8"/>
      <c r="F765" s="14"/>
      <c r="G765" s="8"/>
      <c r="H765" s="8"/>
      <c r="I765" s="9"/>
      <c r="J765" s="12" t="str">
        <f t="array" ref="J765:K765">IFERROR(INDEX(PRECIOS_COMPLEMENTOS!$C$4:$F$17,MATCH(D765&amp;"_"&amp;E765,PRECIOS_COMPLEMENTOS!$H$4:$H$17,0),IF(OR(H765="S",H765="20cm"),1,IF(OR(H765="M",H765="25cm"),2,IF(OR(H765="L",H765="30cm"),3,IF(OR(H765="XL",H765="35cm"),4,0))))),0)</f>
        <v>#REF!</v>
      </c>
      <c r="K765" s="12">
        <f t="shared" si="1"/>
        <v>0</v>
      </c>
      <c r="L765" s="13">
        <f>IFERROR(IF(C765="",0,IF(D765="PRETINA",SUMIFS($I$4:$I$764,$C$4:$C$764,C765,$D$4:$D$764,D765,$E$4:$E$764,E765,$F$4:$F$764,F765,$G$4:$G$764,G765,$H$4:$H$764,H765,$B$4:$B$764,"INGRESO")+SUMIFS($I$4:$I$764,$C$4:$C$764,C765,$D$4:$D$764,D765,$E$4:$E$764,E765,$F$4:$F$764,F765,$G$4:$G$764,G765,$H$4:$H$764,H765,$B$4:$B$764,"DE CORTE")-SUMIFS($I$4:$I$764,$C$4:$C$764,C765,$D$4:$D$764,D765,$E$4:$E$764,E765,$F$4:$F$764,F765,$G$4:$G$764,G765,$H$4:$H$764,H765,$B$4:$B$764,"SALIDA"),SUMIFS($I$4:$I$764,$C$4:$C$764,C765,$D$4:$D$764,D765,$E$4:$E$764,E765,$G$4:$G$764,G765,$H$4:$H$764,H765,$B$4:$B$764,"INGRESO")+SUMIFS($I$4:$I$764,$C$4:$C$764,C765,$D$4:$D$764,D765,$E$4:$E$764,E765,$G$4:$G$764,G765,$H$4:$H$764,H765,$B$4:$B$764,"DE CORTE")-SUMIFS($I$4:$I$764,$C$4:$C$764,C765,$D$4:$D$764,D765,$E$4:$E$764,E765,$G$4:$G$764,G765,$H$4:$H$764,H765,$B$4:$B$764,"SALIDA"))),0)</f>
        <v>0</v>
      </c>
      <c r="M765" s="13">
        <f t="shared" si="2"/>
        <v>0</v>
      </c>
      <c r="N765" s="14"/>
      <c r="O765" s="14"/>
      <c r="P765" s="15"/>
      <c r="Q765" s="14"/>
    </row>
    <row r="766" ht="15.75" customHeight="1">
      <c r="A766" s="7"/>
      <c r="B766" s="8"/>
      <c r="C766" s="8"/>
      <c r="D766" s="8"/>
      <c r="E766" s="8"/>
      <c r="F766" s="14"/>
      <c r="G766" s="8"/>
      <c r="H766" s="8"/>
      <c r="I766" s="9"/>
      <c r="J766" s="12" t="str">
        <f t="array" ref="J766:K766">IFERROR(INDEX(PRECIOS_COMPLEMENTOS!$C$4:$F$17,MATCH(D766&amp;"_"&amp;E766,PRECIOS_COMPLEMENTOS!$H$4:$H$17,0),IF(OR(H766="S",H766="20cm"),1,IF(OR(H766="M",H766="25cm"),2,IF(OR(H766="L",H766="30cm"),3,IF(OR(H766="XL",H766="35cm"),4,0))))),0)</f>
        <v>#REF!</v>
      </c>
      <c r="K766" s="12">
        <f t="shared" si="1"/>
        <v>0</v>
      </c>
      <c r="L766" s="13">
        <f>IFERROR(IF(C766="",0,IF(D766="PRETINA",SUMIFS($I$4:$I$765,$C$4:$C$765,C766,$D$4:$D$765,D766,$E$4:$E$765,E766,$F$4:$F$765,F766,$G$4:$G$765,G766,$H$4:$H$765,H766,$B$4:$B$765,"INGRESO")+SUMIFS($I$4:$I$765,$C$4:$C$765,C766,$D$4:$D$765,D766,$E$4:$E$765,E766,$F$4:$F$765,F766,$G$4:$G$765,G766,$H$4:$H$765,H766,$B$4:$B$765,"DE CORTE")-SUMIFS($I$4:$I$765,$C$4:$C$765,C766,$D$4:$D$765,D766,$E$4:$E$765,E766,$F$4:$F$765,F766,$G$4:$G$765,G766,$H$4:$H$765,H766,$B$4:$B$765,"SALIDA"),SUMIFS($I$4:$I$765,$C$4:$C$765,C766,$D$4:$D$765,D766,$E$4:$E$765,E766,$G$4:$G$765,G766,$H$4:$H$765,H766,$B$4:$B$765,"INGRESO")+SUMIFS($I$4:$I$765,$C$4:$C$765,C766,$D$4:$D$765,D766,$E$4:$E$765,E766,$G$4:$G$765,G766,$H$4:$H$765,H766,$B$4:$B$765,"DE CORTE")-SUMIFS($I$4:$I$765,$C$4:$C$765,C766,$D$4:$D$765,D766,$E$4:$E$765,E766,$G$4:$G$765,G766,$H$4:$H$765,H766,$B$4:$B$765,"SALIDA"))),0)</f>
        <v>0</v>
      </c>
      <c r="M766" s="13">
        <f t="shared" si="2"/>
        <v>0</v>
      </c>
      <c r="N766" s="14"/>
      <c r="O766" s="14"/>
      <c r="P766" s="15"/>
      <c r="Q766" s="14"/>
    </row>
    <row r="767" ht="15.75" customHeight="1">
      <c r="A767" s="7"/>
      <c r="B767" s="8"/>
      <c r="C767" s="8"/>
      <c r="D767" s="8"/>
      <c r="E767" s="8"/>
      <c r="F767" s="14"/>
      <c r="G767" s="8"/>
      <c r="H767" s="8"/>
      <c r="I767" s="9"/>
      <c r="J767" s="12" t="str">
        <f t="array" ref="J767:K767">IFERROR(INDEX(PRECIOS_COMPLEMENTOS!$C$4:$F$17,MATCH(D767&amp;"_"&amp;E767,PRECIOS_COMPLEMENTOS!$H$4:$H$17,0),IF(OR(H767="S",H767="20cm"),1,IF(OR(H767="M",H767="25cm"),2,IF(OR(H767="L",H767="30cm"),3,IF(OR(H767="XL",H767="35cm"),4,0))))),0)</f>
        <v>#REF!</v>
      </c>
      <c r="K767" s="12">
        <f t="shared" si="1"/>
        <v>0</v>
      </c>
      <c r="L767" s="13">
        <f>IFERROR(IF(C767="",0,IF(D767="PRETINA",SUMIFS($I$4:$I$766,$C$4:$C$766,C767,$D$4:$D$766,D767,$E$4:$E$766,E767,$F$4:$F$766,F767,$G$4:$G$766,G767,$H$4:$H$766,H767,$B$4:$B$766,"INGRESO")+SUMIFS($I$4:$I$766,$C$4:$C$766,C767,$D$4:$D$766,D767,$E$4:$E$766,E767,$F$4:$F$766,F767,$G$4:$G$766,G767,$H$4:$H$766,H767,$B$4:$B$766,"DE CORTE")-SUMIFS($I$4:$I$766,$C$4:$C$766,C767,$D$4:$D$766,D767,$E$4:$E$766,E767,$F$4:$F$766,F767,$G$4:$G$766,G767,$H$4:$H$766,H767,$B$4:$B$766,"SALIDA"),SUMIFS($I$4:$I$766,$C$4:$C$766,C767,$D$4:$D$766,D767,$E$4:$E$766,E767,$G$4:$G$766,G767,$H$4:$H$766,H767,$B$4:$B$766,"INGRESO")+SUMIFS($I$4:$I$766,$C$4:$C$766,C767,$D$4:$D$766,D767,$E$4:$E$766,E767,$G$4:$G$766,G767,$H$4:$H$766,H767,$B$4:$B$766,"DE CORTE")-SUMIFS($I$4:$I$766,$C$4:$C$766,C767,$D$4:$D$766,D767,$E$4:$E$766,E767,$G$4:$G$766,G767,$H$4:$H$766,H767,$B$4:$B$766,"SALIDA"))),0)</f>
        <v>0</v>
      </c>
      <c r="M767" s="13">
        <f t="shared" si="2"/>
        <v>0</v>
      </c>
      <c r="N767" s="14"/>
      <c r="O767" s="14"/>
      <c r="P767" s="15"/>
      <c r="Q767" s="14"/>
    </row>
    <row r="768" ht="15.75" customHeight="1">
      <c r="A768" s="7"/>
      <c r="B768" s="8"/>
      <c r="C768" s="8"/>
      <c r="D768" s="8"/>
      <c r="E768" s="8"/>
      <c r="F768" s="14"/>
      <c r="G768" s="8"/>
      <c r="H768" s="8"/>
      <c r="I768" s="9"/>
      <c r="J768" s="12" t="str">
        <f t="array" ref="J768:K768">IFERROR(INDEX(PRECIOS_COMPLEMENTOS!$C$4:$F$17,MATCH(D768&amp;"_"&amp;E768,PRECIOS_COMPLEMENTOS!$H$4:$H$17,0),IF(OR(H768="S",H768="20cm"),1,IF(OR(H768="M",H768="25cm"),2,IF(OR(H768="L",H768="30cm"),3,IF(OR(H768="XL",H768="35cm"),4,0))))),0)</f>
        <v>#REF!</v>
      </c>
      <c r="K768" s="12">
        <f t="shared" si="1"/>
        <v>0</v>
      </c>
      <c r="L768" s="13">
        <f>IFERROR(IF(C768="",0,IF(D768="PRETINA",SUMIFS($I$4:$I$767,$C$4:$C$767,C768,$D$4:$D$767,D768,$E$4:$E$767,E768,$F$4:$F$767,F768,$G$4:$G$767,G768,$H$4:$H$767,H768,$B$4:$B$767,"INGRESO")+SUMIFS($I$4:$I$767,$C$4:$C$767,C768,$D$4:$D$767,D768,$E$4:$E$767,E768,$F$4:$F$767,F768,$G$4:$G$767,G768,$H$4:$H$767,H768,$B$4:$B$767,"DE CORTE")-SUMIFS($I$4:$I$767,$C$4:$C$767,C768,$D$4:$D$767,D768,$E$4:$E$767,E768,$F$4:$F$767,F768,$G$4:$G$767,G768,$H$4:$H$767,H768,$B$4:$B$767,"SALIDA"),SUMIFS($I$4:$I$767,$C$4:$C$767,C768,$D$4:$D$767,D768,$E$4:$E$767,E768,$G$4:$G$767,G768,$H$4:$H$767,H768,$B$4:$B$767,"INGRESO")+SUMIFS($I$4:$I$767,$C$4:$C$767,C768,$D$4:$D$767,D768,$E$4:$E$767,E768,$G$4:$G$767,G768,$H$4:$H$767,H768,$B$4:$B$767,"DE CORTE")-SUMIFS($I$4:$I$767,$C$4:$C$767,C768,$D$4:$D$767,D768,$E$4:$E$767,E768,$G$4:$G$767,G768,$H$4:$H$767,H768,$B$4:$B$767,"SALIDA"))),0)</f>
        <v>0</v>
      </c>
      <c r="M768" s="13">
        <f t="shared" si="2"/>
        <v>0</v>
      </c>
      <c r="N768" s="14"/>
      <c r="O768" s="14"/>
      <c r="P768" s="15"/>
      <c r="Q768" s="14"/>
    </row>
    <row r="769" ht="15.75" customHeight="1">
      <c r="A769" s="7"/>
      <c r="B769" s="8"/>
      <c r="C769" s="8"/>
      <c r="D769" s="8"/>
      <c r="E769" s="8"/>
      <c r="F769" s="14"/>
      <c r="G769" s="8"/>
      <c r="H769" s="8"/>
      <c r="I769" s="9"/>
      <c r="J769" s="12" t="str">
        <f t="array" ref="J769:K769">IFERROR(INDEX(PRECIOS_COMPLEMENTOS!$C$4:$F$17,MATCH(D769&amp;"_"&amp;E769,PRECIOS_COMPLEMENTOS!$H$4:$H$17,0),IF(OR(H769="S",H769="20cm"),1,IF(OR(H769="M",H769="25cm"),2,IF(OR(H769="L",H769="30cm"),3,IF(OR(H769="XL",H769="35cm"),4,0))))),0)</f>
        <v>#REF!</v>
      </c>
      <c r="K769" s="12">
        <f t="shared" si="1"/>
        <v>0</v>
      </c>
      <c r="L769" s="13">
        <f>IFERROR(IF(C769="",0,IF(D769="PRETINA",SUMIFS($I$4:$I$768,$C$4:$C$768,C769,$D$4:$D$768,D769,$E$4:$E$768,E769,$F$4:$F$768,F769,$G$4:$G$768,G769,$H$4:$H$768,H769,$B$4:$B$768,"INGRESO")+SUMIFS($I$4:$I$768,$C$4:$C$768,C769,$D$4:$D$768,D769,$E$4:$E$768,E769,$F$4:$F$768,F769,$G$4:$G$768,G769,$H$4:$H$768,H769,$B$4:$B$768,"DE CORTE")-SUMIFS($I$4:$I$768,$C$4:$C$768,C769,$D$4:$D$768,D769,$E$4:$E$768,E769,$F$4:$F$768,F769,$G$4:$G$768,G769,$H$4:$H$768,H769,$B$4:$B$768,"SALIDA"),SUMIFS($I$4:$I$768,$C$4:$C$768,C769,$D$4:$D$768,D769,$E$4:$E$768,E769,$G$4:$G$768,G769,$H$4:$H$768,H769,$B$4:$B$768,"INGRESO")+SUMIFS($I$4:$I$768,$C$4:$C$768,C769,$D$4:$D$768,D769,$E$4:$E$768,E769,$G$4:$G$768,G769,$H$4:$H$768,H769,$B$4:$B$768,"DE CORTE")-SUMIFS($I$4:$I$768,$C$4:$C$768,C769,$D$4:$D$768,D769,$E$4:$E$768,E769,$G$4:$G$768,G769,$H$4:$H$768,H769,$B$4:$B$768,"SALIDA"))),0)</f>
        <v>0</v>
      </c>
      <c r="M769" s="13">
        <f t="shared" si="2"/>
        <v>0</v>
      </c>
      <c r="N769" s="14"/>
      <c r="O769" s="14"/>
      <c r="P769" s="15"/>
      <c r="Q769" s="14"/>
    </row>
    <row r="770" ht="15.75" customHeight="1">
      <c r="A770" s="7"/>
      <c r="B770" s="8"/>
      <c r="C770" s="8"/>
      <c r="D770" s="8"/>
      <c r="E770" s="8"/>
      <c r="F770" s="14"/>
      <c r="G770" s="8"/>
      <c r="H770" s="8"/>
      <c r="I770" s="9"/>
      <c r="J770" s="12" t="str">
        <f t="array" ref="J770:K770">IFERROR(INDEX(PRECIOS_COMPLEMENTOS!$C$4:$F$17,MATCH(D770&amp;"_"&amp;E770,PRECIOS_COMPLEMENTOS!$H$4:$H$17,0),IF(OR(H770="S",H770="20cm"),1,IF(OR(H770="M",H770="25cm"),2,IF(OR(H770="L",H770="30cm"),3,IF(OR(H770="XL",H770="35cm"),4,0))))),0)</f>
        <v>#REF!</v>
      </c>
      <c r="K770" s="12">
        <f t="shared" si="1"/>
        <v>0</v>
      </c>
      <c r="L770" s="13">
        <f>IFERROR(IF(C770="",0,IF(D770="PRETINA",SUMIFS($I$4:$I$769,$C$4:$C$769,C770,$D$4:$D$769,D770,$E$4:$E$769,E770,$F$4:$F$769,F770,$G$4:$G$769,G770,$H$4:$H$769,H770,$B$4:$B$769,"INGRESO")+SUMIFS($I$4:$I$769,$C$4:$C$769,C770,$D$4:$D$769,D770,$E$4:$E$769,E770,$F$4:$F$769,F770,$G$4:$G$769,G770,$H$4:$H$769,H770,$B$4:$B$769,"DE CORTE")-SUMIFS($I$4:$I$769,$C$4:$C$769,C770,$D$4:$D$769,D770,$E$4:$E$769,E770,$F$4:$F$769,F770,$G$4:$G$769,G770,$H$4:$H$769,H770,$B$4:$B$769,"SALIDA"),SUMIFS($I$4:$I$769,$C$4:$C$769,C770,$D$4:$D$769,D770,$E$4:$E$769,E770,$G$4:$G$769,G770,$H$4:$H$769,H770,$B$4:$B$769,"INGRESO")+SUMIFS($I$4:$I$769,$C$4:$C$769,C770,$D$4:$D$769,D770,$E$4:$E$769,E770,$G$4:$G$769,G770,$H$4:$H$769,H770,$B$4:$B$769,"DE CORTE")-SUMIFS($I$4:$I$769,$C$4:$C$769,C770,$D$4:$D$769,D770,$E$4:$E$769,E770,$G$4:$G$769,G770,$H$4:$H$769,H770,$B$4:$B$769,"SALIDA"))),0)</f>
        <v>0</v>
      </c>
      <c r="M770" s="13">
        <f t="shared" si="2"/>
        <v>0</v>
      </c>
      <c r="N770" s="14"/>
      <c r="O770" s="14"/>
      <c r="P770" s="15"/>
      <c r="Q770" s="14"/>
    </row>
    <row r="771" ht="15.75" customHeight="1">
      <c r="A771" s="7"/>
      <c r="B771" s="8"/>
      <c r="C771" s="8"/>
      <c r="D771" s="8"/>
      <c r="E771" s="8"/>
      <c r="F771" s="14"/>
      <c r="G771" s="8"/>
      <c r="H771" s="8"/>
      <c r="I771" s="9"/>
      <c r="J771" s="12" t="str">
        <f t="array" ref="J771:K771">IFERROR(INDEX(PRECIOS_COMPLEMENTOS!$C$4:$F$17,MATCH(D771&amp;"_"&amp;E771,PRECIOS_COMPLEMENTOS!$H$4:$H$17,0),IF(OR(H771="S",H771="20cm"),1,IF(OR(H771="M",H771="25cm"),2,IF(OR(H771="L",H771="30cm"),3,IF(OR(H771="XL",H771="35cm"),4,0))))),0)</f>
        <v>#REF!</v>
      </c>
      <c r="K771" s="12">
        <f t="shared" si="1"/>
        <v>0</v>
      </c>
      <c r="L771" s="13">
        <f>IFERROR(IF(C771="",0,IF(D771="PRETINA",SUMIFS($I$4:$I$770,$C$4:$C$770,C771,$D$4:$D$770,D771,$E$4:$E$770,E771,$F$4:$F$770,F771,$G$4:$G$770,G771,$H$4:$H$770,H771,$B$4:$B$770,"INGRESO")+SUMIFS($I$4:$I$770,$C$4:$C$770,C771,$D$4:$D$770,D771,$E$4:$E$770,E771,$F$4:$F$770,F771,$G$4:$G$770,G771,$H$4:$H$770,H771,$B$4:$B$770,"DE CORTE")-SUMIFS($I$4:$I$770,$C$4:$C$770,C771,$D$4:$D$770,D771,$E$4:$E$770,E771,$F$4:$F$770,F771,$G$4:$G$770,G771,$H$4:$H$770,H771,$B$4:$B$770,"SALIDA"),SUMIFS($I$4:$I$770,$C$4:$C$770,C771,$D$4:$D$770,D771,$E$4:$E$770,E771,$G$4:$G$770,G771,$H$4:$H$770,H771,$B$4:$B$770,"INGRESO")+SUMIFS($I$4:$I$770,$C$4:$C$770,C771,$D$4:$D$770,D771,$E$4:$E$770,E771,$G$4:$G$770,G771,$H$4:$H$770,H771,$B$4:$B$770,"DE CORTE")-SUMIFS($I$4:$I$770,$C$4:$C$770,C771,$D$4:$D$770,D771,$E$4:$E$770,E771,$G$4:$G$770,G771,$H$4:$H$770,H771,$B$4:$B$770,"SALIDA"))),0)</f>
        <v>0</v>
      </c>
      <c r="M771" s="13">
        <f t="shared" si="2"/>
        <v>0</v>
      </c>
      <c r="N771" s="14"/>
      <c r="O771" s="14"/>
      <c r="P771" s="15"/>
      <c r="Q771" s="14"/>
    </row>
    <row r="772" ht="15.75" customHeight="1">
      <c r="A772" s="7"/>
      <c r="B772" s="8"/>
      <c r="C772" s="8"/>
      <c r="D772" s="8"/>
      <c r="E772" s="8"/>
      <c r="F772" s="14"/>
      <c r="G772" s="8"/>
      <c r="H772" s="8"/>
      <c r="I772" s="9"/>
      <c r="J772" s="12" t="str">
        <f t="array" ref="J772:K772">IFERROR(INDEX(PRECIOS_COMPLEMENTOS!$C$4:$F$17,MATCH(D772&amp;"_"&amp;E772,PRECIOS_COMPLEMENTOS!$H$4:$H$17,0),IF(OR(H772="S",H772="20cm"),1,IF(OR(H772="M",H772="25cm"),2,IF(OR(H772="L",H772="30cm"),3,IF(OR(H772="XL",H772="35cm"),4,0))))),0)</f>
        <v>#REF!</v>
      </c>
      <c r="K772" s="12">
        <f t="shared" si="1"/>
        <v>0</v>
      </c>
      <c r="L772" s="13">
        <f>IFERROR(IF(C772="",0,IF(D772="PRETINA",SUMIFS($I$4:$I$771,$C$4:$C$771,C772,$D$4:$D$771,D772,$E$4:$E$771,E772,$F$4:$F$771,F772,$G$4:$G$771,G772,$H$4:$H$771,H772,$B$4:$B$771,"INGRESO")+SUMIFS($I$4:$I$771,$C$4:$C$771,C772,$D$4:$D$771,D772,$E$4:$E$771,E772,$F$4:$F$771,F772,$G$4:$G$771,G772,$H$4:$H$771,H772,$B$4:$B$771,"DE CORTE")-SUMIFS($I$4:$I$771,$C$4:$C$771,C772,$D$4:$D$771,D772,$E$4:$E$771,E772,$F$4:$F$771,F772,$G$4:$G$771,G772,$H$4:$H$771,H772,$B$4:$B$771,"SALIDA"),SUMIFS($I$4:$I$771,$C$4:$C$771,C772,$D$4:$D$771,D772,$E$4:$E$771,E772,$G$4:$G$771,G772,$H$4:$H$771,H772,$B$4:$B$771,"INGRESO")+SUMIFS($I$4:$I$771,$C$4:$C$771,C772,$D$4:$D$771,D772,$E$4:$E$771,E772,$G$4:$G$771,G772,$H$4:$H$771,H772,$B$4:$B$771,"DE CORTE")-SUMIFS($I$4:$I$771,$C$4:$C$771,C772,$D$4:$D$771,D772,$E$4:$E$771,E772,$G$4:$G$771,G772,$H$4:$H$771,H772,$B$4:$B$771,"SALIDA"))),0)</f>
        <v>0</v>
      </c>
      <c r="M772" s="13">
        <f t="shared" si="2"/>
        <v>0</v>
      </c>
      <c r="N772" s="14"/>
      <c r="O772" s="14"/>
      <c r="P772" s="15"/>
      <c r="Q772" s="14"/>
    </row>
    <row r="773" ht="15.75" customHeight="1">
      <c r="A773" s="7"/>
      <c r="B773" s="8"/>
      <c r="C773" s="8"/>
      <c r="D773" s="8"/>
      <c r="E773" s="8"/>
      <c r="F773" s="14"/>
      <c r="G773" s="8"/>
      <c r="H773" s="8"/>
      <c r="I773" s="9"/>
      <c r="J773" s="12" t="str">
        <f t="array" ref="J773:K773">IFERROR(INDEX(PRECIOS_COMPLEMENTOS!$C$4:$F$17,MATCH(D773&amp;"_"&amp;E773,PRECIOS_COMPLEMENTOS!$H$4:$H$17,0),IF(OR(H773="S",H773="20cm"),1,IF(OR(H773="M",H773="25cm"),2,IF(OR(H773="L",H773="30cm"),3,IF(OR(H773="XL",H773="35cm"),4,0))))),0)</f>
        <v>#REF!</v>
      </c>
      <c r="K773" s="12">
        <f t="shared" si="1"/>
        <v>0</v>
      </c>
      <c r="L773" s="13">
        <f>IFERROR(IF(C773="",0,IF(D773="PRETINA",SUMIFS($I$4:$I$772,$C$4:$C$772,C773,$D$4:$D$772,D773,$E$4:$E$772,E773,$F$4:$F$772,F773,$G$4:$G$772,G773,$H$4:$H$772,H773,$B$4:$B$772,"INGRESO")+SUMIFS($I$4:$I$772,$C$4:$C$772,C773,$D$4:$D$772,D773,$E$4:$E$772,E773,$F$4:$F$772,F773,$G$4:$G$772,G773,$H$4:$H$772,H773,$B$4:$B$772,"DE CORTE")-SUMIFS($I$4:$I$772,$C$4:$C$772,C773,$D$4:$D$772,D773,$E$4:$E$772,E773,$F$4:$F$772,F773,$G$4:$G$772,G773,$H$4:$H$772,H773,$B$4:$B$772,"SALIDA"),SUMIFS($I$4:$I$772,$C$4:$C$772,C773,$D$4:$D$772,D773,$E$4:$E$772,E773,$G$4:$G$772,G773,$H$4:$H$772,H773,$B$4:$B$772,"INGRESO")+SUMIFS($I$4:$I$772,$C$4:$C$772,C773,$D$4:$D$772,D773,$E$4:$E$772,E773,$G$4:$G$772,G773,$H$4:$H$772,H773,$B$4:$B$772,"DE CORTE")-SUMIFS($I$4:$I$772,$C$4:$C$772,C773,$D$4:$D$772,D773,$E$4:$E$772,E773,$G$4:$G$772,G773,$H$4:$H$772,H773,$B$4:$B$772,"SALIDA"))),0)</f>
        <v>0</v>
      </c>
      <c r="M773" s="13">
        <f t="shared" si="2"/>
        <v>0</v>
      </c>
      <c r="N773" s="14"/>
      <c r="O773" s="14"/>
      <c r="P773" s="15"/>
      <c r="Q773" s="14"/>
    </row>
    <row r="774" ht="15.75" customHeight="1">
      <c r="A774" s="7"/>
      <c r="B774" s="8"/>
      <c r="C774" s="8"/>
      <c r="D774" s="8"/>
      <c r="E774" s="8"/>
      <c r="F774" s="14"/>
      <c r="G774" s="8"/>
      <c r="H774" s="8"/>
      <c r="I774" s="9"/>
      <c r="J774" s="12" t="str">
        <f t="array" ref="J774:K774">IFERROR(INDEX(PRECIOS_COMPLEMENTOS!$C$4:$F$17,MATCH(D774&amp;"_"&amp;E774,PRECIOS_COMPLEMENTOS!$H$4:$H$17,0),IF(OR(H774="S",H774="20cm"),1,IF(OR(H774="M",H774="25cm"),2,IF(OR(H774="L",H774="30cm"),3,IF(OR(H774="XL",H774="35cm"),4,0))))),0)</f>
        <v>#REF!</v>
      </c>
      <c r="K774" s="12">
        <f t="shared" si="1"/>
        <v>0</v>
      </c>
      <c r="L774" s="13">
        <f>IFERROR(IF(C774="",0,IF(D774="PRETINA",SUMIFS($I$4:$I$773,$C$4:$C$773,C774,$D$4:$D$773,D774,$E$4:$E$773,E774,$F$4:$F$773,F774,$G$4:$G$773,G774,$H$4:$H$773,H774,$B$4:$B$773,"INGRESO")+SUMIFS($I$4:$I$773,$C$4:$C$773,C774,$D$4:$D$773,D774,$E$4:$E$773,E774,$F$4:$F$773,F774,$G$4:$G$773,G774,$H$4:$H$773,H774,$B$4:$B$773,"DE CORTE")-SUMIFS($I$4:$I$773,$C$4:$C$773,C774,$D$4:$D$773,D774,$E$4:$E$773,E774,$F$4:$F$773,F774,$G$4:$G$773,G774,$H$4:$H$773,H774,$B$4:$B$773,"SALIDA"),SUMIFS($I$4:$I$773,$C$4:$C$773,C774,$D$4:$D$773,D774,$E$4:$E$773,E774,$G$4:$G$773,G774,$H$4:$H$773,H774,$B$4:$B$773,"INGRESO")+SUMIFS($I$4:$I$773,$C$4:$C$773,C774,$D$4:$D$773,D774,$E$4:$E$773,E774,$G$4:$G$773,G774,$H$4:$H$773,H774,$B$4:$B$773,"DE CORTE")-SUMIFS($I$4:$I$773,$C$4:$C$773,C774,$D$4:$D$773,D774,$E$4:$E$773,E774,$G$4:$G$773,G774,$H$4:$H$773,H774,$B$4:$B$773,"SALIDA"))),0)</f>
        <v>0</v>
      </c>
      <c r="M774" s="13">
        <f t="shared" si="2"/>
        <v>0</v>
      </c>
      <c r="N774" s="14"/>
      <c r="O774" s="14"/>
      <c r="P774" s="15"/>
      <c r="Q774" s="14"/>
    </row>
    <row r="775" ht="15.75" customHeight="1">
      <c r="A775" s="7"/>
      <c r="B775" s="8"/>
      <c r="C775" s="8"/>
      <c r="D775" s="8"/>
      <c r="E775" s="8"/>
      <c r="F775" s="14"/>
      <c r="G775" s="8"/>
      <c r="H775" s="8"/>
      <c r="I775" s="9"/>
      <c r="J775" s="12" t="str">
        <f t="array" ref="J775:K775">IFERROR(INDEX(PRECIOS_COMPLEMENTOS!$C$4:$F$17,MATCH(D775&amp;"_"&amp;E775,PRECIOS_COMPLEMENTOS!$H$4:$H$17,0),IF(OR(H775="S",H775="20cm"),1,IF(OR(H775="M",H775="25cm"),2,IF(OR(H775="L",H775="30cm"),3,IF(OR(H775="XL",H775="35cm"),4,0))))),0)</f>
        <v>#REF!</v>
      </c>
      <c r="K775" s="12">
        <f t="shared" si="1"/>
        <v>0</v>
      </c>
      <c r="L775" s="13">
        <f>IFERROR(IF(C775="",0,IF(D775="PRETINA",SUMIFS($I$4:$I$774,$C$4:$C$774,C775,$D$4:$D$774,D775,$E$4:$E$774,E775,$F$4:$F$774,F775,$G$4:$G$774,G775,$H$4:$H$774,H775,$B$4:$B$774,"INGRESO")+SUMIFS($I$4:$I$774,$C$4:$C$774,C775,$D$4:$D$774,D775,$E$4:$E$774,E775,$F$4:$F$774,F775,$G$4:$G$774,G775,$H$4:$H$774,H775,$B$4:$B$774,"DE CORTE")-SUMIFS($I$4:$I$774,$C$4:$C$774,C775,$D$4:$D$774,D775,$E$4:$E$774,E775,$F$4:$F$774,F775,$G$4:$G$774,G775,$H$4:$H$774,H775,$B$4:$B$774,"SALIDA"),SUMIFS($I$4:$I$774,$C$4:$C$774,C775,$D$4:$D$774,D775,$E$4:$E$774,E775,$G$4:$G$774,G775,$H$4:$H$774,H775,$B$4:$B$774,"INGRESO")+SUMIFS($I$4:$I$774,$C$4:$C$774,C775,$D$4:$D$774,D775,$E$4:$E$774,E775,$G$4:$G$774,G775,$H$4:$H$774,H775,$B$4:$B$774,"DE CORTE")-SUMIFS($I$4:$I$774,$C$4:$C$774,C775,$D$4:$D$774,D775,$E$4:$E$774,E775,$G$4:$G$774,G775,$H$4:$H$774,H775,$B$4:$B$774,"SALIDA"))),0)</f>
        <v>0</v>
      </c>
      <c r="M775" s="13">
        <f t="shared" si="2"/>
        <v>0</v>
      </c>
      <c r="N775" s="14"/>
      <c r="O775" s="14"/>
      <c r="P775" s="15"/>
      <c r="Q775" s="14"/>
    </row>
    <row r="776" ht="15.75" customHeight="1">
      <c r="A776" s="7"/>
      <c r="B776" s="8"/>
      <c r="C776" s="8"/>
      <c r="D776" s="8"/>
      <c r="E776" s="8"/>
      <c r="F776" s="14"/>
      <c r="G776" s="8"/>
      <c r="H776" s="8"/>
      <c r="I776" s="9"/>
      <c r="J776" s="12" t="str">
        <f t="array" ref="J776:K776">IFERROR(INDEX(PRECIOS_COMPLEMENTOS!$C$4:$F$17,MATCH(D776&amp;"_"&amp;E776,PRECIOS_COMPLEMENTOS!$H$4:$H$17,0),IF(OR(H776="S",H776="20cm"),1,IF(OR(H776="M",H776="25cm"),2,IF(OR(H776="L",H776="30cm"),3,IF(OR(H776="XL",H776="35cm"),4,0))))),0)</f>
        <v>#REF!</v>
      </c>
      <c r="K776" s="12">
        <f t="shared" si="1"/>
        <v>0</v>
      </c>
      <c r="L776" s="13">
        <f>IFERROR(IF(C776="",0,IF(D776="PRETINA",SUMIFS($I$4:$I$775,$C$4:$C$775,C776,$D$4:$D$775,D776,$E$4:$E$775,E776,$F$4:$F$775,F776,$G$4:$G$775,G776,$H$4:$H$775,H776,$B$4:$B$775,"INGRESO")+SUMIFS($I$4:$I$775,$C$4:$C$775,C776,$D$4:$D$775,D776,$E$4:$E$775,E776,$F$4:$F$775,F776,$G$4:$G$775,G776,$H$4:$H$775,H776,$B$4:$B$775,"DE CORTE")-SUMIFS($I$4:$I$775,$C$4:$C$775,C776,$D$4:$D$775,D776,$E$4:$E$775,E776,$F$4:$F$775,F776,$G$4:$G$775,G776,$H$4:$H$775,H776,$B$4:$B$775,"SALIDA"),SUMIFS($I$4:$I$775,$C$4:$C$775,C776,$D$4:$D$775,D776,$E$4:$E$775,E776,$G$4:$G$775,G776,$H$4:$H$775,H776,$B$4:$B$775,"INGRESO")+SUMIFS($I$4:$I$775,$C$4:$C$775,C776,$D$4:$D$775,D776,$E$4:$E$775,E776,$G$4:$G$775,G776,$H$4:$H$775,H776,$B$4:$B$775,"DE CORTE")-SUMIFS($I$4:$I$775,$C$4:$C$775,C776,$D$4:$D$775,D776,$E$4:$E$775,E776,$G$4:$G$775,G776,$H$4:$H$775,H776,$B$4:$B$775,"SALIDA"))),0)</f>
        <v>0</v>
      </c>
      <c r="M776" s="13">
        <f t="shared" si="2"/>
        <v>0</v>
      </c>
      <c r="N776" s="14"/>
      <c r="O776" s="14"/>
      <c r="P776" s="15"/>
      <c r="Q776" s="14"/>
    </row>
    <row r="777" ht="15.75" customHeight="1">
      <c r="A777" s="7"/>
      <c r="B777" s="8"/>
      <c r="C777" s="8"/>
      <c r="D777" s="8"/>
      <c r="E777" s="8"/>
      <c r="F777" s="14"/>
      <c r="G777" s="8"/>
      <c r="H777" s="8"/>
      <c r="I777" s="9"/>
      <c r="J777" s="12" t="str">
        <f t="array" ref="J777:K777">IFERROR(INDEX(PRECIOS_COMPLEMENTOS!$C$4:$F$17,MATCH(D777&amp;"_"&amp;E777,PRECIOS_COMPLEMENTOS!$H$4:$H$17,0),IF(OR(H777="S",H777="20cm"),1,IF(OR(H777="M",H777="25cm"),2,IF(OR(H777="L",H777="30cm"),3,IF(OR(H777="XL",H777="35cm"),4,0))))),0)</f>
        <v>#REF!</v>
      </c>
      <c r="K777" s="12">
        <f t="shared" si="1"/>
        <v>0</v>
      </c>
      <c r="L777" s="13">
        <f>IFERROR(IF(C777="",0,IF(D777="PRETINA",SUMIFS($I$4:$I$776,$C$4:$C$776,C777,$D$4:$D$776,D777,$E$4:$E$776,E777,$F$4:$F$776,F777,$G$4:$G$776,G777,$H$4:$H$776,H777,$B$4:$B$776,"INGRESO")+SUMIFS($I$4:$I$776,$C$4:$C$776,C777,$D$4:$D$776,D777,$E$4:$E$776,E777,$F$4:$F$776,F777,$G$4:$G$776,G777,$H$4:$H$776,H777,$B$4:$B$776,"DE CORTE")-SUMIFS($I$4:$I$776,$C$4:$C$776,C777,$D$4:$D$776,D777,$E$4:$E$776,E777,$F$4:$F$776,F777,$G$4:$G$776,G777,$H$4:$H$776,H777,$B$4:$B$776,"SALIDA"),SUMIFS($I$4:$I$776,$C$4:$C$776,C777,$D$4:$D$776,D777,$E$4:$E$776,E777,$G$4:$G$776,G777,$H$4:$H$776,H777,$B$4:$B$776,"INGRESO")+SUMIFS($I$4:$I$776,$C$4:$C$776,C777,$D$4:$D$776,D777,$E$4:$E$776,E777,$G$4:$G$776,G777,$H$4:$H$776,H777,$B$4:$B$776,"DE CORTE")-SUMIFS($I$4:$I$776,$C$4:$C$776,C777,$D$4:$D$776,D777,$E$4:$E$776,E777,$G$4:$G$776,G777,$H$4:$H$776,H777,$B$4:$B$776,"SALIDA"))),0)</f>
        <v>0</v>
      </c>
      <c r="M777" s="13">
        <f t="shared" si="2"/>
        <v>0</v>
      </c>
      <c r="N777" s="14"/>
      <c r="O777" s="14"/>
      <c r="P777" s="15"/>
      <c r="Q777" s="14"/>
    </row>
    <row r="778" ht="15.75" customHeight="1">
      <c r="A778" s="7"/>
      <c r="B778" s="8"/>
      <c r="C778" s="8"/>
      <c r="D778" s="8"/>
      <c r="E778" s="8"/>
      <c r="F778" s="14"/>
      <c r="G778" s="8"/>
      <c r="H778" s="8"/>
      <c r="I778" s="9"/>
      <c r="J778" s="12" t="str">
        <f t="array" ref="J778:K778">IFERROR(INDEX(PRECIOS_COMPLEMENTOS!$C$4:$F$17,MATCH(D778&amp;"_"&amp;E778,PRECIOS_COMPLEMENTOS!$H$4:$H$17,0),IF(OR(H778="S",H778="20cm"),1,IF(OR(H778="M",H778="25cm"),2,IF(OR(H778="L",H778="30cm"),3,IF(OR(H778="XL",H778="35cm"),4,0))))),0)</f>
        <v>#REF!</v>
      </c>
      <c r="K778" s="12">
        <f t="shared" si="1"/>
        <v>0</v>
      </c>
      <c r="L778" s="13">
        <f>IFERROR(IF(C778="",0,IF(D778="PRETINA",SUMIFS($I$4:$I$777,$C$4:$C$777,C778,$D$4:$D$777,D778,$E$4:$E$777,E778,$F$4:$F$777,F778,$G$4:$G$777,G778,$H$4:$H$777,H778,$B$4:$B$777,"INGRESO")+SUMIFS($I$4:$I$777,$C$4:$C$777,C778,$D$4:$D$777,D778,$E$4:$E$777,E778,$F$4:$F$777,F778,$G$4:$G$777,G778,$H$4:$H$777,H778,$B$4:$B$777,"DE CORTE")-SUMIFS($I$4:$I$777,$C$4:$C$777,C778,$D$4:$D$777,D778,$E$4:$E$777,E778,$F$4:$F$777,F778,$G$4:$G$777,G778,$H$4:$H$777,H778,$B$4:$B$777,"SALIDA"),SUMIFS($I$4:$I$777,$C$4:$C$777,C778,$D$4:$D$777,D778,$E$4:$E$777,E778,$G$4:$G$777,G778,$H$4:$H$777,H778,$B$4:$B$777,"INGRESO")+SUMIFS($I$4:$I$777,$C$4:$C$777,C778,$D$4:$D$777,D778,$E$4:$E$777,E778,$G$4:$G$777,G778,$H$4:$H$777,H778,$B$4:$B$777,"DE CORTE")-SUMIFS($I$4:$I$777,$C$4:$C$777,C778,$D$4:$D$777,D778,$E$4:$E$777,E778,$G$4:$G$777,G778,$H$4:$H$777,H778,$B$4:$B$777,"SALIDA"))),0)</f>
        <v>0</v>
      </c>
      <c r="M778" s="13">
        <f t="shared" si="2"/>
        <v>0</v>
      </c>
      <c r="N778" s="14"/>
      <c r="O778" s="14"/>
      <c r="P778" s="15"/>
      <c r="Q778" s="14"/>
    </row>
    <row r="779" ht="15.75" customHeight="1">
      <c r="A779" s="7"/>
      <c r="B779" s="8"/>
      <c r="C779" s="8"/>
      <c r="D779" s="8"/>
      <c r="E779" s="8"/>
      <c r="F779" s="14"/>
      <c r="G779" s="8"/>
      <c r="H779" s="8"/>
      <c r="I779" s="9"/>
      <c r="J779" s="12" t="str">
        <f t="array" ref="J779:K779">IFERROR(INDEX(PRECIOS_COMPLEMENTOS!$C$4:$F$17,MATCH(D779&amp;"_"&amp;E779,PRECIOS_COMPLEMENTOS!$H$4:$H$17,0),IF(OR(H779="S",H779="20cm"),1,IF(OR(H779="M",H779="25cm"),2,IF(OR(H779="L",H779="30cm"),3,IF(OR(H779="XL",H779="35cm"),4,0))))),0)</f>
        <v>#REF!</v>
      </c>
      <c r="K779" s="12">
        <f t="shared" si="1"/>
        <v>0</v>
      </c>
      <c r="L779" s="13">
        <f>IFERROR(IF(C779="",0,IF(D779="PRETINA",SUMIFS($I$4:$I$778,$C$4:$C$778,C779,$D$4:$D$778,D779,$E$4:$E$778,E779,$F$4:$F$778,F779,$G$4:$G$778,G779,$H$4:$H$778,H779,$B$4:$B$778,"INGRESO")+SUMIFS($I$4:$I$778,$C$4:$C$778,C779,$D$4:$D$778,D779,$E$4:$E$778,E779,$F$4:$F$778,F779,$G$4:$G$778,G779,$H$4:$H$778,H779,$B$4:$B$778,"DE CORTE")-SUMIFS($I$4:$I$778,$C$4:$C$778,C779,$D$4:$D$778,D779,$E$4:$E$778,E779,$F$4:$F$778,F779,$G$4:$G$778,G779,$H$4:$H$778,H779,$B$4:$B$778,"SALIDA"),SUMIFS($I$4:$I$778,$C$4:$C$778,C779,$D$4:$D$778,D779,$E$4:$E$778,E779,$G$4:$G$778,G779,$H$4:$H$778,H779,$B$4:$B$778,"INGRESO")+SUMIFS($I$4:$I$778,$C$4:$C$778,C779,$D$4:$D$778,D779,$E$4:$E$778,E779,$G$4:$G$778,G779,$H$4:$H$778,H779,$B$4:$B$778,"DE CORTE")-SUMIFS($I$4:$I$778,$C$4:$C$778,C779,$D$4:$D$778,D779,$E$4:$E$778,E779,$G$4:$G$778,G779,$H$4:$H$778,H779,$B$4:$B$778,"SALIDA"))),0)</f>
        <v>0</v>
      </c>
      <c r="M779" s="13">
        <f t="shared" si="2"/>
        <v>0</v>
      </c>
      <c r="N779" s="14"/>
      <c r="O779" s="14"/>
      <c r="P779" s="15"/>
      <c r="Q779" s="14"/>
    </row>
    <row r="780" ht="15.75" customHeight="1">
      <c r="A780" s="7"/>
      <c r="B780" s="8"/>
      <c r="C780" s="8"/>
      <c r="D780" s="8"/>
      <c r="E780" s="8"/>
      <c r="F780" s="14"/>
      <c r="G780" s="8"/>
      <c r="H780" s="8"/>
      <c r="I780" s="9"/>
      <c r="J780" s="12" t="str">
        <f t="array" ref="J780:K780">IFERROR(INDEX(PRECIOS_COMPLEMENTOS!$C$4:$F$17,MATCH(D780&amp;"_"&amp;E780,PRECIOS_COMPLEMENTOS!$H$4:$H$17,0),IF(OR(H780="S",H780="20cm"),1,IF(OR(H780="M",H780="25cm"),2,IF(OR(H780="L",H780="30cm"),3,IF(OR(H780="XL",H780="35cm"),4,0))))),0)</f>
        <v>#REF!</v>
      </c>
      <c r="K780" s="12">
        <f t="shared" si="1"/>
        <v>0</v>
      </c>
      <c r="L780" s="13">
        <f>IFERROR(IF(C780="",0,IF(D780="PRETINA",SUMIFS($I$4:$I$779,$C$4:$C$779,C780,$D$4:$D$779,D780,$E$4:$E$779,E780,$F$4:$F$779,F780,$G$4:$G$779,G780,$H$4:$H$779,H780,$B$4:$B$779,"INGRESO")+SUMIFS($I$4:$I$779,$C$4:$C$779,C780,$D$4:$D$779,D780,$E$4:$E$779,E780,$F$4:$F$779,F780,$G$4:$G$779,G780,$H$4:$H$779,H780,$B$4:$B$779,"DE CORTE")-SUMIFS($I$4:$I$779,$C$4:$C$779,C780,$D$4:$D$779,D780,$E$4:$E$779,E780,$F$4:$F$779,F780,$G$4:$G$779,G780,$H$4:$H$779,H780,$B$4:$B$779,"SALIDA"),SUMIFS($I$4:$I$779,$C$4:$C$779,C780,$D$4:$D$779,D780,$E$4:$E$779,E780,$G$4:$G$779,G780,$H$4:$H$779,H780,$B$4:$B$779,"INGRESO")+SUMIFS($I$4:$I$779,$C$4:$C$779,C780,$D$4:$D$779,D780,$E$4:$E$779,E780,$G$4:$G$779,G780,$H$4:$H$779,H780,$B$4:$B$779,"DE CORTE")-SUMIFS($I$4:$I$779,$C$4:$C$779,C780,$D$4:$D$779,D780,$E$4:$E$779,E780,$G$4:$G$779,G780,$H$4:$H$779,H780,$B$4:$B$779,"SALIDA"))),0)</f>
        <v>0</v>
      </c>
      <c r="M780" s="13">
        <f t="shared" si="2"/>
        <v>0</v>
      </c>
      <c r="N780" s="14"/>
      <c r="O780" s="14"/>
      <c r="P780" s="15"/>
      <c r="Q780" s="14"/>
    </row>
    <row r="781" ht="15.75" customHeight="1">
      <c r="A781" s="7"/>
      <c r="B781" s="8"/>
      <c r="C781" s="8"/>
      <c r="D781" s="8"/>
      <c r="E781" s="8"/>
      <c r="F781" s="14"/>
      <c r="G781" s="8"/>
      <c r="H781" s="8"/>
      <c r="I781" s="9"/>
      <c r="J781" s="12" t="str">
        <f t="array" ref="J781:K781">IFERROR(INDEX(PRECIOS_COMPLEMENTOS!$C$4:$F$17,MATCH(D781&amp;"_"&amp;E781,PRECIOS_COMPLEMENTOS!$H$4:$H$17,0),IF(OR(H781="S",H781="20cm"),1,IF(OR(H781="M",H781="25cm"),2,IF(OR(H781="L",H781="30cm"),3,IF(OR(H781="XL",H781="35cm"),4,0))))),0)</f>
        <v>#REF!</v>
      </c>
      <c r="K781" s="12">
        <f t="shared" si="1"/>
        <v>0</v>
      </c>
      <c r="L781" s="13">
        <f>IFERROR(IF(C781="",0,IF(D781="PRETINA",SUMIFS($I$4:$I$780,$C$4:$C$780,C781,$D$4:$D$780,D781,$E$4:$E$780,E781,$F$4:$F$780,F781,$G$4:$G$780,G781,$H$4:$H$780,H781,$B$4:$B$780,"INGRESO")+SUMIFS($I$4:$I$780,$C$4:$C$780,C781,$D$4:$D$780,D781,$E$4:$E$780,E781,$F$4:$F$780,F781,$G$4:$G$780,G781,$H$4:$H$780,H781,$B$4:$B$780,"DE CORTE")-SUMIFS($I$4:$I$780,$C$4:$C$780,C781,$D$4:$D$780,D781,$E$4:$E$780,E781,$F$4:$F$780,F781,$G$4:$G$780,G781,$H$4:$H$780,H781,$B$4:$B$780,"SALIDA"),SUMIFS($I$4:$I$780,$C$4:$C$780,C781,$D$4:$D$780,D781,$E$4:$E$780,E781,$G$4:$G$780,G781,$H$4:$H$780,H781,$B$4:$B$780,"INGRESO")+SUMIFS($I$4:$I$780,$C$4:$C$780,C781,$D$4:$D$780,D781,$E$4:$E$780,E781,$G$4:$G$780,G781,$H$4:$H$780,H781,$B$4:$B$780,"DE CORTE")-SUMIFS($I$4:$I$780,$C$4:$C$780,C781,$D$4:$D$780,D781,$E$4:$E$780,E781,$G$4:$G$780,G781,$H$4:$H$780,H781,$B$4:$B$780,"SALIDA"))),0)</f>
        <v>0</v>
      </c>
      <c r="M781" s="13">
        <f t="shared" si="2"/>
        <v>0</v>
      </c>
      <c r="N781" s="14"/>
      <c r="O781" s="14"/>
      <c r="P781" s="15"/>
      <c r="Q781" s="14"/>
    </row>
    <row r="782" ht="15.75" customHeight="1">
      <c r="A782" s="7"/>
      <c r="B782" s="8"/>
      <c r="C782" s="8"/>
      <c r="D782" s="8"/>
      <c r="E782" s="8"/>
      <c r="F782" s="14"/>
      <c r="G782" s="8"/>
      <c r="H782" s="8"/>
      <c r="I782" s="9"/>
      <c r="J782" s="12" t="str">
        <f t="array" ref="J782:K782">IFERROR(INDEX(PRECIOS_COMPLEMENTOS!$C$4:$F$17,MATCH(D782&amp;"_"&amp;E782,PRECIOS_COMPLEMENTOS!$H$4:$H$17,0),IF(OR(H782="S",H782="20cm"),1,IF(OR(H782="M",H782="25cm"),2,IF(OR(H782="L",H782="30cm"),3,IF(OR(H782="XL",H782="35cm"),4,0))))),0)</f>
        <v>#REF!</v>
      </c>
      <c r="K782" s="12">
        <f t="shared" si="1"/>
        <v>0</v>
      </c>
      <c r="L782" s="13">
        <f>IFERROR(IF(C782="",0,IF(D782="PRETINA",SUMIFS($I$4:$I$781,$C$4:$C$781,C782,$D$4:$D$781,D782,$E$4:$E$781,E782,$F$4:$F$781,F782,$G$4:$G$781,G782,$H$4:$H$781,H782,$B$4:$B$781,"INGRESO")+SUMIFS($I$4:$I$781,$C$4:$C$781,C782,$D$4:$D$781,D782,$E$4:$E$781,E782,$F$4:$F$781,F782,$G$4:$G$781,G782,$H$4:$H$781,H782,$B$4:$B$781,"DE CORTE")-SUMIFS($I$4:$I$781,$C$4:$C$781,C782,$D$4:$D$781,D782,$E$4:$E$781,E782,$F$4:$F$781,F782,$G$4:$G$781,G782,$H$4:$H$781,H782,$B$4:$B$781,"SALIDA"),SUMIFS($I$4:$I$781,$C$4:$C$781,C782,$D$4:$D$781,D782,$E$4:$E$781,E782,$G$4:$G$781,G782,$H$4:$H$781,H782,$B$4:$B$781,"INGRESO")+SUMIFS($I$4:$I$781,$C$4:$C$781,C782,$D$4:$D$781,D782,$E$4:$E$781,E782,$G$4:$G$781,G782,$H$4:$H$781,H782,$B$4:$B$781,"DE CORTE")-SUMIFS($I$4:$I$781,$C$4:$C$781,C782,$D$4:$D$781,D782,$E$4:$E$781,E782,$G$4:$G$781,G782,$H$4:$H$781,H782,$B$4:$B$781,"SALIDA"))),0)</f>
        <v>0</v>
      </c>
      <c r="M782" s="13">
        <f t="shared" si="2"/>
        <v>0</v>
      </c>
      <c r="N782" s="14"/>
      <c r="O782" s="14"/>
      <c r="P782" s="15"/>
      <c r="Q782" s="14"/>
    </row>
    <row r="783" ht="15.75" customHeight="1">
      <c r="A783" s="7"/>
      <c r="B783" s="8"/>
      <c r="C783" s="8"/>
      <c r="D783" s="8"/>
      <c r="E783" s="8"/>
      <c r="F783" s="14"/>
      <c r="G783" s="8"/>
      <c r="H783" s="8"/>
      <c r="I783" s="9"/>
      <c r="J783" s="12" t="str">
        <f t="array" ref="J783:K783">IFERROR(INDEX(PRECIOS_COMPLEMENTOS!$C$4:$F$17,MATCH(D783&amp;"_"&amp;E783,PRECIOS_COMPLEMENTOS!$H$4:$H$17,0),IF(OR(H783="S",H783="20cm"),1,IF(OR(H783="M",H783="25cm"),2,IF(OR(H783="L",H783="30cm"),3,IF(OR(H783="XL",H783="35cm"),4,0))))),0)</f>
        <v>#REF!</v>
      </c>
      <c r="K783" s="12">
        <f t="shared" si="1"/>
        <v>0</v>
      </c>
      <c r="L783" s="13">
        <f>IFERROR(IF(C783="",0,IF(D783="PRETINA",SUMIFS($I$4:$I$782,$C$4:$C$782,C783,$D$4:$D$782,D783,$E$4:$E$782,E783,$F$4:$F$782,F783,$G$4:$G$782,G783,$H$4:$H$782,H783,$B$4:$B$782,"INGRESO")+SUMIFS($I$4:$I$782,$C$4:$C$782,C783,$D$4:$D$782,D783,$E$4:$E$782,E783,$F$4:$F$782,F783,$G$4:$G$782,G783,$H$4:$H$782,H783,$B$4:$B$782,"DE CORTE")-SUMIFS($I$4:$I$782,$C$4:$C$782,C783,$D$4:$D$782,D783,$E$4:$E$782,E783,$F$4:$F$782,F783,$G$4:$G$782,G783,$H$4:$H$782,H783,$B$4:$B$782,"SALIDA"),SUMIFS($I$4:$I$782,$C$4:$C$782,C783,$D$4:$D$782,D783,$E$4:$E$782,E783,$G$4:$G$782,G783,$H$4:$H$782,H783,$B$4:$B$782,"INGRESO")+SUMIFS($I$4:$I$782,$C$4:$C$782,C783,$D$4:$D$782,D783,$E$4:$E$782,E783,$G$4:$G$782,G783,$H$4:$H$782,H783,$B$4:$B$782,"DE CORTE")-SUMIFS($I$4:$I$782,$C$4:$C$782,C783,$D$4:$D$782,D783,$E$4:$E$782,E783,$G$4:$G$782,G783,$H$4:$H$782,H783,$B$4:$B$782,"SALIDA"))),0)</f>
        <v>0</v>
      </c>
      <c r="M783" s="13">
        <f t="shared" si="2"/>
        <v>0</v>
      </c>
      <c r="N783" s="14"/>
      <c r="O783" s="14"/>
      <c r="P783" s="15"/>
      <c r="Q783" s="14"/>
    </row>
    <row r="784" ht="15.75" customHeight="1">
      <c r="A784" s="7"/>
      <c r="B784" s="8"/>
      <c r="C784" s="8"/>
      <c r="D784" s="8"/>
      <c r="E784" s="8"/>
      <c r="F784" s="14"/>
      <c r="G784" s="8"/>
      <c r="H784" s="8"/>
      <c r="I784" s="9"/>
      <c r="J784" s="12" t="str">
        <f t="array" ref="J784:K784">IFERROR(INDEX(PRECIOS_COMPLEMENTOS!$C$4:$F$17,MATCH(D784&amp;"_"&amp;E784,PRECIOS_COMPLEMENTOS!$H$4:$H$17,0),IF(OR(H784="S",H784="20cm"),1,IF(OR(H784="M",H784="25cm"),2,IF(OR(H784="L",H784="30cm"),3,IF(OR(H784="XL",H784="35cm"),4,0))))),0)</f>
        <v>#REF!</v>
      </c>
      <c r="K784" s="12">
        <f t="shared" si="1"/>
        <v>0</v>
      </c>
      <c r="L784" s="13">
        <f>IFERROR(IF(C784="",0,IF(D784="PRETINA",SUMIFS($I$4:$I$783,$C$4:$C$783,C784,$D$4:$D$783,D784,$E$4:$E$783,E784,$F$4:$F$783,F784,$G$4:$G$783,G784,$H$4:$H$783,H784,$B$4:$B$783,"INGRESO")+SUMIFS($I$4:$I$783,$C$4:$C$783,C784,$D$4:$D$783,D784,$E$4:$E$783,E784,$F$4:$F$783,F784,$G$4:$G$783,G784,$H$4:$H$783,H784,$B$4:$B$783,"DE CORTE")-SUMIFS($I$4:$I$783,$C$4:$C$783,C784,$D$4:$D$783,D784,$E$4:$E$783,E784,$F$4:$F$783,F784,$G$4:$G$783,G784,$H$4:$H$783,H784,$B$4:$B$783,"SALIDA"),SUMIFS($I$4:$I$783,$C$4:$C$783,C784,$D$4:$D$783,D784,$E$4:$E$783,E784,$G$4:$G$783,G784,$H$4:$H$783,H784,$B$4:$B$783,"INGRESO")+SUMIFS($I$4:$I$783,$C$4:$C$783,C784,$D$4:$D$783,D784,$E$4:$E$783,E784,$G$4:$G$783,G784,$H$4:$H$783,H784,$B$4:$B$783,"DE CORTE")-SUMIFS($I$4:$I$783,$C$4:$C$783,C784,$D$4:$D$783,D784,$E$4:$E$783,E784,$G$4:$G$783,G784,$H$4:$H$783,H784,$B$4:$B$783,"SALIDA"))),0)</f>
        <v>0</v>
      </c>
      <c r="M784" s="13">
        <f t="shared" si="2"/>
        <v>0</v>
      </c>
      <c r="N784" s="14"/>
      <c r="O784" s="14"/>
      <c r="P784" s="15"/>
      <c r="Q784" s="14"/>
    </row>
    <row r="785" ht="15.75" customHeight="1">
      <c r="A785" s="7"/>
      <c r="B785" s="8"/>
      <c r="C785" s="8"/>
      <c r="D785" s="8"/>
      <c r="E785" s="8"/>
      <c r="F785" s="14"/>
      <c r="G785" s="8"/>
      <c r="H785" s="8"/>
      <c r="I785" s="9"/>
      <c r="J785" s="12" t="str">
        <f t="array" ref="J785:K785">IFERROR(INDEX(PRECIOS_COMPLEMENTOS!$C$4:$F$17,MATCH(D785&amp;"_"&amp;E785,PRECIOS_COMPLEMENTOS!$H$4:$H$17,0),IF(OR(H785="S",H785="20cm"),1,IF(OR(H785="M",H785="25cm"),2,IF(OR(H785="L",H785="30cm"),3,IF(OR(H785="XL",H785="35cm"),4,0))))),0)</f>
        <v>#REF!</v>
      </c>
      <c r="K785" s="12">
        <f t="shared" si="1"/>
        <v>0</v>
      </c>
      <c r="L785" s="13">
        <f>IFERROR(IF(C785="",0,IF(D785="PRETINA",SUMIFS($I$4:$I$784,$C$4:$C$784,C785,$D$4:$D$784,D785,$E$4:$E$784,E785,$F$4:$F$784,F785,$G$4:$G$784,G785,$H$4:$H$784,H785,$B$4:$B$784,"INGRESO")+SUMIFS($I$4:$I$784,$C$4:$C$784,C785,$D$4:$D$784,D785,$E$4:$E$784,E785,$F$4:$F$784,F785,$G$4:$G$784,G785,$H$4:$H$784,H785,$B$4:$B$784,"DE CORTE")-SUMIFS($I$4:$I$784,$C$4:$C$784,C785,$D$4:$D$784,D785,$E$4:$E$784,E785,$F$4:$F$784,F785,$G$4:$G$784,G785,$H$4:$H$784,H785,$B$4:$B$784,"SALIDA"),SUMIFS($I$4:$I$784,$C$4:$C$784,C785,$D$4:$D$784,D785,$E$4:$E$784,E785,$G$4:$G$784,G785,$H$4:$H$784,H785,$B$4:$B$784,"INGRESO")+SUMIFS($I$4:$I$784,$C$4:$C$784,C785,$D$4:$D$784,D785,$E$4:$E$784,E785,$G$4:$G$784,G785,$H$4:$H$784,H785,$B$4:$B$784,"DE CORTE")-SUMIFS($I$4:$I$784,$C$4:$C$784,C785,$D$4:$D$784,D785,$E$4:$E$784,E785,$G$4:$G$784,G785,$H$4:$H$784,H785,$B$4:$B$784,"SALIDA"))),0)</f>
        <v>0</v>
      </c>
      <c r="M785" s="13">
        <f t="shared" si="2"/>
        <v>0</v>
      </c>
      <c r="N785" s="14"/>
      <c r="O785" s="14"/>
      <c r="P785" s="15"/>
      <c r="Q785" s="14"/>
    </row>
    <row r="786" ht="15.75" customHeight="1">
      <c r="A786" s="7"/>
      <c r="B786" s="8"/>
      <c r="C786" s="8"/>
      <c r="D786" s="8"/>
      <c r="E786" s="8"/>
      <c r="F786" s="14"/>
      <c r="G786" s="8"/>
      <c r="H786" s="8"/>
      <c r="I786" s="9"/>
      <c r="J786" s="12" t="str">
        <f t="array" ref="J786:K786">IFERROR(INDEX(PRECIOS_COMPLEMENTOS!$C$4:$F$17,MATCH(D786&amp;"_"&amp;E786,PRECIOS_COMPLEMENTOS!$H$4:$H$17,0),IF(OR(H786="S",H786="20cm"),1,IF(OR(H786="M",H786="25cm"),2,IF(OR(H786="L",H786="30cm"),3,IF(OR(H786="XL",H786="35cm"),4,0))))),0)</f>
        <v>#REF!</v>
      </c>
      <c r="K786" s="12">
        <f t="shared" si="1"/>
        <v>0</v>
      </c>
      <c r="L786" s="13">
        <f>IFERROR(IF(C786="",0,IF(D786="PRETINA",SUMIFS($I$4:$I$785,$C$4:$C$785,C786,$D$4:$D$785,D786,$E$4:$E$785,E786,$F$4:$F$785,F786,$G$4:$G$785,G786,$H$4:$H$785,H786,$B$4:$B$785,"INGRESO")+SUMIFS($I$4:$I$785,$C$4:$C$785,C786,$D$4:$D$785,D786,$E$4:$E$785,E786,$F$4:$F$785,F786,$G$4:$G$785,G786,$H$4:$H$785,H786,$B$4:$B$785,"DE CORTE")-SUMIFS($I$4:$I$785,$C$4:$C$785,C786,$D$4:$D$785,D786,$E$4:$E$785,E786,$F$4:$F$785,F786,$G$4:$G$785,G786,$H$4:$H$785,H786,$B$4:$B$785,"SALIDA"),SUMIFS($I$4:$I$785,$C$4:$C$785,C786,$D$4:$D$785,D786,$E$4:$E$785,E786,$G$4:$G$785,G786,$H$4:$H$785,H786,$B$4:$B$785,"INGRESO")+SUMIFS($I$4:$I$785,$C$4:$C$785,C786,$D$4:$D$785,D786,$E$4:$E$785,E786,$G$4:$G$785,G786,$H$4:$H$785,H786,$B$4:$B$785,"DE CORTE")-SUMIFS($I$4:$I$785,$C$4:$C$785,C786,$D$4:$D$785,D786,$E$4:$E$785,E786,$G$4:$G$785,G786,$H$4:$H$785,H786,$B$4:$B$785,"SALIDA"))),0)</f>
        <v>0</v>
      </c>
      <c r="M786" s="13">
        <f t="shared" si="2"/>
        <v>0</v>
      </c>
      <c r="N786" s="14"/>
      <c r="O786" s="14"/>
      <c r="P786" s="15"/>
      <c r="Q786" s="14"/>
    </row>
    <row r="787" ht="15.75" customHeight="1">
      <c r="A787" s="7"/>
      <c r="B787" s="8"/>
      <c r="C787" s="8"/>
      <c r="D787" s="8"/>
      <c r="E787" s="8"/>
      <c r="F787" s="14"/>
      <c r="G787" s="8"/>
      <c r="H787" s="8"/>
      <c r="I787" s="9"/>
      <c r="J787" s="12" t="str">
        <f t="array" ref="J787:K787">IFERROR(INDEX(PRECIOS_COMPLEMENTOS!$C$4:$F$17,MATCH(D787&amp;"_"&amp;E787,PRECIOS_COMPLEMENTOS!$H$4:$H$17,0),IF(OR(H787="S",H787="20cm"),1,IF(OR(H787="M",H787="25cm"),2,IF(OR(H787="L",H787="30cm"),3,IF(OR(H787="XL",H787="35cm"),4,0))))),0)</f>
        <v>#REF!</v>
      </c>
      <c r="K787" s="12">
        <f t="shared" si="1"/>
        <v>0</v>
      </c>
      <c r="L787" s="13">
        <f>IFERROR(IF(C787="",0,IF(D787="PRETINA",SUMIFS($I$4:$I$786,$C$4:$C$786,C787,$D$4:$D$786,D787,$E$4:$E$786,E787,$F$4:$F$786,F787,$G$4:$G$786,G787,$H$4:$H$786,H787,$B$4:$B$786,"INGRESO")+SUMIFS($I$4:$I$786,$C$4:$C$786,C787,$D$4:$D$786,D787,$E$4:$E$786,E787,$F$4:$F$786,F787,$G$4:$G$786,G787,$H$4:$H$786,H787,$B$4:$B$786,"DE CORTE")-SUMIFS($I$4:$I$786,$C$4:$C$786,C787,$D$4:$D$786,D787,$E$4:$E$786,E787,$F$4:$F$786,F787,$G$4:$G$786,G787,$H$4:$H$786,H787,$B$4:$B$786,"SALIDA"),SUMIFS($I$4:$I$786,$C$4:$C$786,C787,$D$4:$D$786,D787,$E$4:$E$786,E787,$G$4:$G$786,G787,$H$4:$H$786,H787,$B$4:$B$786,"INGRESO")+SUMIFS($I$4:$I$786,$C$4:$C$786,C787,$D$4:$D$786,D787,$E$4:$E$786,E787,$G$4:$G$786,G787,$H$4:$H$786,H787,$B$4:$B$786,"DE CORTE")-SUMIFS($I$4:$I$786,$C$4:$C$786,C787,$D$4:$D$786,D787,$E$4:$E$786,E787,$G$4:$G$786,G787,$H$4:$H$786,H787,$B$4:$B$786,"SALIDA"))),0)</f>
        <v>0</v>
      </c>
      <c r="M787" s="13">
        <f t="shared" si="2"/>
        <v>0</v>
      </c>
      <c r="N787" s="14"/>
      <c r="O787" s="14"/>
      <c r="P787" s="15"/>
      <c r="Q787" s="14"/>
    </row>
    <row r="788" ht="15.75" customHeight="1">
      <c r="A788" s="7"/>
      <c r="B788" s="8"/>
      <c r="C788" s="8"/>
      <c r="D788" s="8"/>
      <c r="E788" s="8"/>
      <c r="F788" s="14"/>
      <c r="G788" s="8"/>
      <c r="H788" s="8"/>
      <c r="I788" s="9"/>
      <c r="J788" s="12" t="str">
        <f t="array" ref="J788:K788">IFERROR(INDEX(PRECIOS_COMPLEMENTOS!$C$4:$F$17,MATCH(D788&amp;"_"&amp;E788,PRECIOS_COMPLEMENTOS!$H$4:$H$17,0),IF(OR(H788="S",H788="20cm"),1,IF(OR(H788="M",H788="25cm"),2,IF(OR(H788="L",H788="30cm"),3,IF(OR(H788="XL",H788="35cm"),4,0))))),0)</f>
        <v>#REF!</v>
      </c>
      <c r="K788" s="12">
        <f t="shared" si="1"/>
        <v>0</v>
      </c>
      <c r="L788" s="13">
        <f>IFERROR(IF(C788="",0,IF(D788="PRETINA",SUMIFS($I$4:$I$787,$C$4:$C$787,C788,$D$4:$D$787,D788,$E$4:$E$787,E788,$F$4:$F$787,F788,$G$4:$G$787,G788,$H$4:$H$787,H788,$B$4:$B$787,"INGRESO")+SUMIFS($I$4:$I$787,$C$4:$C$787,C788,$D$4:$D$787,D788,$E$4:$E$787,E788,$F$4:$F$787,F788,$G$4:$G$787,G788,$H$4:$H$787,H788,$B$4:$B$787,"DE CORTE")-SUMIFS($I$4:$I$787,$C$4:$C$787,C788,$D$4:$D$787,D788,$E$4:$E$787,E788,$F$4:$F$787,F788,$G$4:$G$787,G788,$H$4:$H$787,H788,$B$4:$B$787,"SALIDA"),SUMIFS($I$4:$I$787,$C$4:$C$787,C788,$D$4:$D$787,D788,$E$4:$E$787,E788,$G$4:$G$787,G788,$H$4:$H$787,H788,$B$4:$B$787,"INGRESO")+SUMIFS($I$4:$I$787,$C$4:$C$787,C788,$D$4:$D$787,D788,$E$4:$E$787,E788,$G$4:$G$787,G788,$H$4:$H$787,H788,$B$4:$B$787,"DE CORTE")-SUMIFS($I$4:$I$787,$C$4:$C$787,C788,$D$4:$D$787,D788,$E$4:$E$787,E788,$G$4:$G$787,G788,$H$4:$H$787,H788,$B$4:$B$787,"SALIDA"))),0)</f>
        <v>0</v>
      </c>
      <c r="M788" s="13">
        <f t="shared" si="2"/>
        <v>0</v>
      </c>
      <c r="N788" s="14"/>
      <c r="O788" s="14"/>
      <c r="P788" s="15"/>
      <c r="Q788" s="14"/>
    </row>
    <row r="789" ht="15.75" customHeight="1">
      <c r="A789" s="7"/>
      <c r="B789" s="8"/>
      <c r="C789" s="8"/>
      <c r="D789" s="8"/>
      <c r="E789" s="8"/>
      <c r="F789" s="14"/>
      <c r="G789" s="8"/>
      <c r="H789" s="8"/>
      <c r="I789" s="9"/>
      <c r="J789" s="12" t="str">
        <f t="array" ref="J789:K789">IFERROR(INDEX(PRECIOS_COMPLEMENTOS!$C$4:$F$17,MATCH(D789&amp;"_"&amp;E789,PRECIOS_COMPLEMENTOS!$H$4:$H$17,0),IF(OR(H789="S",H789="20cm"),1,IF(OR(H789="M",H789="25cm"),2,IF(OR(H789="L",H789="30cm"),3,IF(OR(H789="XL",H789="35cm"),4,0))))),0)</f>
        <v>#REF!</v>
      </c>
      <c r="K789" s="12">
        <f t="shared" si="1"/>
        <v>0</v>
      </c>
      <c r="L789" s="13">
        <f>IFERROR(IF(C789="",0,IF(D789="PRETINA",SUMIFS($I$4:$I$788,$C$4:$C$788,C789,$D$4:$D$788,D789,$E$4:$E$788,E789,$F$4:$F$788,F789,$G$4:$G$788,G789,$H$4:$H$788,H789,$B$4:$B$788,"INGRESO")+SUMIFS($I$4:$I$788,$C$4:$C$788,C789,$D$4:$D$788,D789,$E$4:$E$788,E789,$F$4:$F$788,F789,$G$4:$G$788,G789,$H$4:$H$788,H789,$B$4:$B$788,"DE CORTE")-SUMIFS($I$4:$I$788,$C$4:$C$788,C789,$D$4:$D$788,D789,$E$4:$E$788,E789,$F$4:$F$788,F789,$G$4:$G$788,G789,$H$4:$H$788,H789,$B$4:$B$788,"SALIDA"),SUMIFS($I$4:$I$788,$C$4:$C$788,C789,$D$4:$D$788,D789,$E$4:$E$788,E789,$G$4:$G$788,G789,$H$4:$H$788,H789,$B$4:$B$788,"INGRESO")+SUMIFS($I$4:$I$788,$C$4:$C$788,C789,$D$4:$D$788,D789,$E$4:$E$788,E789,$G$4:$G$788,G789,$H$4:$H$788,H789,$B$4:$B$788,"DE CORTE")-SUMIFS($I$4:$I$788,$C$4:$C$788,C789,$D$4:$D$788,D789,$E$4:$E$788,E789,$G$4:$G$788,G789,$H$4:$H$788,H789,$B$4:$B$788,"SALIDA"))),0)</f>
        <v>0</v>
      </c>
      <c r="M789" s="13">
        <f t="shared" si="2"/>
        <v>0</v>
      </c>
      <c r="N789" s="14"/>
      <c r="O789" s="14"/>
      <c r="P789" s="15"/>
      <c r="Q789" s="14"/>
    </row>
    <row r="790" ht="15.75" customHeight="1">
      <c r="A790" s="7"/>
      <c r="B790" s="8"/>
      <c r="C790" s="8"/>
      <c r="D790" s="8"/>
      <c r="E790" s="8"/>
      <c r="F790" s="14"/>
      <c r="G790" s="8"/>
      <c r="H790" s="8"/>
      <c r="I790" s="9"/>
      <c r="J790" s="12" t="str">
        <f t="array" ref="J790:K790">IFERROR(INDEX(PRECIOS_COMPLEMENTOS!$C$4:$F$17,MATCH(D790&amp;"_"&amp;E790,PRECIOS_COMPLEMENTOS!$H$4:$H$17,0),IF(OR(H790="S",H790="20cm"),1,IF(OR(H790="M",H790="25cm"),2,IF(OR(H790="L",H790="30cm"),3,IF(OR(H790="XL",H790="35cm"),4,0))))),0)</f>
        <v>#REF!</v>
      </c>
      <c r="K790" s="12">
        <f t="shared" si="1"/>
        <v>0</v>
      </c>
      <c r="L790" s="13">
        <f>IFERROR(IF(C790="",0,IF(D790="PRETINA",SUMIFS($I$4:$I$789,$C$4:$C$789,C790,$D$4:$D$789,D790,$E$4:$E$789,E790,$F$4:$F$789,F790,$G$4:$G$789,G790,$H$4:$H$789,H790,$B$4:$B$789,"INGRESO")+SUMIFS($I$4:$I$789,$C$4:$C$789,C790,$D$4:$D$789,D790,$E$4:$E$789,E790,$F$4:$F$789,F790,$G$4:$G$789,G790,$H$4:$H$789,H790,$B$4:$B$789,"DE CORTE")-SUMIFS($I$4:$I$789,$C$4:$C$789,C790,$D$4:$D$789,D790,$E$4:$E$789,E790,$F$4:$F$789,F790,$G$4:$G$789,G790,$H$4:$H$789,H790,$B$4:$B$789,"SALIDA"),SUMIFS($I$4:$I$789,$C$4:$C$789,C790,$D$4:$D$789,D790,$E$4:$E$789,E790,$G$4:$G$789,G790,$H$4:$H$789,H790,$B$4:$B$789,"INGRESO")+SUMIFS($I$4:$I$789,$C$4:$C$789,C790,$D$4:$D$789,D790,$E$4:$E$789,E790,$G$4:$G$789,G790,$H$4:$H$789,H790,$B$4:$B$789,"DE CORTE")-SUMIFS($I$4:$I$789,$C$4:$C$789,C790,$D$4:$D$789,D790,$E$4:$E$789,E790,$G$4:$G$789,G790,$H$4:$H$789,H790,$B$4:$B$789,"SALIDA"))),0)</f>
        <v>0</v>
      </c>
      <c r="M790" s="13">
        <f t="shared" si="2"/>
        <v>0</v>
      </c>
      <c r="N790" s="14"/>
      <c r="O790" s="14"/>
      <c r="P790" s="15"/>
      <c r="Q790" s="14"/>
    </row>
    <row r="791" ht="15.75" customHeight="1">
      <c r="A791" s="7"/>
      <c r="B791" s="8"/>
      <c r="C791" s="8"/>
      <c r="D791" s="8"/>
      <c r="E791" s="8"/>
      <c r="F791" s="14"/>
      <c r="G791" s="8"/>
      <c r="H791" s="8"/>
      <c r="I791" s="9"/>
      <c r="J791" s="12" t="str">
        <f t="array" ref="J791:K791">IFERROR(INDEX(PRECIOS_COMPLEMENTOS!$C$4:$F$17,MATCH(D791&amp;"_"&amp;E791,PRECIOS_COMPLEMENTOS!$H$4:$H$17,0),IF(OR(H791="S",H791="20cm"),1,IF(OR(H791="M",H791="25cm"),2,IF(OR(H791="L",H791="30cm"),3,IF(OR(H791="XL",H791="35cm"),4,0))))),0)</f>
        <v>#REF!</v>
      </c>
      <c r="K791" s="12">
        <f t="shared" si="1"/>
        <v>0</v>
      </c>
      <c r="L791" s="13">
        <f>IFERROR(IF(C791="",0,IF(D791="PRETINA",SUMIFS($I$4:$I$790,$C$4:$C$790,C791,$D$4:$D$790,D791,$E$4:$E$790,E791,$F$4:$F$790,F791,$G$4:$G$790,G791,$H$4:$H$790,H791,$B$4:$B$790,"INGRESO")+SUMIFS($I$4:$I$790,$C$4:$C$790,C791,$D$4:$D$790,D791,$E$4:$E$790,E791,$F$4:$F$790,F791,$G$4:$G$790,G791,$H$4:$H$790,H791,$B$4:$B$790,"DE CORTE")-SUMIFS($I$4:$I$790,$C$4:$C$790,C791,$D$4:$D$790,D791,$E$4:$E$790,E791,$F$4:$F$790,F791,$G$4:$G$790,G791,$H$4:$H$790,H791,$B$4:$B$790,"SALIDA"),SUMIFS($I$4:$I$790,$C$4:$C$790,C791,$D$4:$D$790,D791,$E$4:$E$790,E791,$G$4:$G$790,G791,$H$4:$H$790,H791,$B$4:$B$790,"INGRESO")+SUMIFS($I$4:$I$790,$C$4:$C$790,C791,$D$4:$D$790,D791,$E$4:$E$790,E791,$G$4:$G$790,G791,$H$4:$H$790,H791,$B$4:$B$790,"DE CORTE")-SUMIFS($I$4:$I$790,$C$4:$C$790,C791,$D$4:$D$790,D791,$E$4:$E$790,E791,$G$4:$G$790,G791,$H$4:$H$790,H791,$B$4:$B$790,"SALIDA"))),0)</f>
        <v>0</v>
      </c>
      <c r="M791" s="13">
        <f t="shared" si="2"/>
        <v>0</v>
      </c>
      <c r="N791" s="14"/>
      <c r="O791" s="14"/>
      <c r="P791" s="15"/>
      <c r="Q791" s="14"/>
    </row>
    <row r="792" ht="15.75" customHeight="1">
      <c r="A792" s="7"/>
      <c r="B792" s="8"/>
      <c r="C792" s="8"/>
      <c r="D792" s="8"/>
      <c r="E792" s="8"/>
      <c r="F792" s="14"/>
      <c r="G792" s="8"/>
      <c r="H792" s="8"/>
      <c r="I792" s="9"/>
      <c r="J792" s="12" t="str">
        <f t="array" ref="J792:K792">IFERROR(INDEX(PRECIOS_COMPLEMENTOS!$C$4:$F$17,MATCH(D792&amp;"_"&amp;E792,PRECIOS_COMPLEMENTOS!$H$4:$H$17,0),IF(OR(H792="S",H792="20cm"),1,IF(OR(H792="M",H792="25cm"),2,IF(OR(H792="L",H792="30cm"),3,IF(OR(H792="XL",H792="35cm"),4,0))))),0)</f>
        <v>#REF!</v>
      </c>
      <c r="K792" s="12">
        <f t="shared" si="1"/>
        <v>0</v>
      </c>
      <c r="L792" s="13">
        <f>IFERROR(IF(C792="",0,IF(D792="PRETINA",SUMIFS($I$4:$I$791,$C$4:$C$791,C792,$D$4:$D$791,D792,$E$4:$E$791,E792,$F$4:$F$791,F792,$G$4:$G$791,G792,$H$4:$H$791,H792,$B$4:$B$791,"INGRESO")+SUMIFS($I$4:$I$791,$C$4:$C$791,C792,$D$4:$D$791,D792,$E$4:$E$791,E792,$F$4:$F$791,F792,$G$4:$G$791,G792,$H$4:$H$791,H792,$B$4:$B$791,"DE CORTE")-SUMIFS($I$4:$I$791,$C$4:$C$791,C792,$D$4:$D$791,D792,$E$4:$E$791,E792,$F$4:$F$791,F792,$G$4:$G$791,G792,$H$4:$H$791,H792,$B$4:$B$791,"SALIDA"),SUMIFS($I$4:$I$791,$C$4:$C$791,C792,$D$4:$D$791,D792,$E$4:$E$791,E792,$G$4:$G$791,G792,$H$4:$H$791,H792,$B$4:$B$791,"INGRESO")+SUMIFS($I$4:$I$791,$C$4:$C$791,C792,$D$4:$D$791,D792,$E$4:$E$791,E792,$G$4:$G$791,G792,$H$4:$H$791,H792,$B$4:$B$791,"DE CORTE")-SUMIFS($I$4:$I$791,$C$4:$C$791,C792,$D$4:$D$791,D792,$E$4:$E$791,E792,$G$4:$G$791,G792,$H$4:$H$791,H792,$B$4:$B$791,"SALIDA"))),0)</f>
        <v>0</v>
      </c>
      <c r="M792" s="13">
        <f t="shared" si="2"/>
        <v>0</v>
      </c>
      <c r="N792" s="14"/>
      <c r="O792" s="14"/>
      <c r="P792" s="15"/>
      <c r="Q792" s="14"/>
    </row>
    <row r="793" ht="15.75" customHeight="1">
      <c r="A793" s="7"/>
      <c r="B793" s="8"/>
      <c r="C793" s="8"/>
      <c r="D793" s="8"/>
      <c r="E793" s="8"/>
      <c r="F793" s="14"/>
      <c r="G793" s="8"/>
      <c r="H793" s="8"/>
      <c r="I793" s="9"/>
      <c r="J793" s="12" t="str">
        <f t="array" ref="J793:K793">IFERROR(INDEX(PRECIOS_COMPLEMENTOS!$C$4:$F$17,MATCH(D793&amp;"_"&amp;E793,PRECIOS_COMPLEMENTOS!$H$4:$H$17,0),IF(OR(H793="S",H793="20cm"),1,IF(OR(H793="M",H793="25cm"),2,IF(OR(H793="L",H793="30cm"),3,IF(OR(H793="XL",H793="35cm"),4,0))))),0)</f>
        <v>#REF!</v>
      </c>
      <c r="K793" s="12">
        <f t="shared" si="1"/>
        <v>0</v>
      </c>
      <c r="L793" s="13">
        <f>IFERROR(IF(C793="",0,IF(D793="PRETINA",SUMIFS($I$4:$I$792,$C$4:$C$792,C793,$D$4:$D$792,D793,$E$4:$E$792,E793,$F$4:$F$792,F793,$G$4:$G$792,G793,$H$4:$H$792,H793,$B$4:$B$792,"INGRESO")+SUMIFS($I$4:$I$792,$C$4:$C$792,C793,$D$4:$D$792,D793,$E$4:$E$792,E793,$F$4:$F$792,F793,$G$4:$G$792,G793,$H$4:$H$792,H793,$B$4:$B$792,"DE CORTE")-SUMIFS($I$4:$I$792,$C$4:$C$792,C793,$D$4:$D$792,D793,$E$4:$E$792,E793,$F$4:$F$792,F793,$G$4:$G$792,G793,$H$4:$H$792,H793,$B$4:$B$792,"SALIDA"),SUMIFS($I$4:$I$792,$C$4:$C$792,C793,$D$4:$D$792,D793,$E$4:$E$792,E793,$G$4:$G$792,G793,$H$4:$H$792,H793,$B$4:$B$792,"INGRESO")+SUMIFS($I$4:$I$792,$C$4:$C$792,C793,$D$4:$D$792,D793,$E$4:$E$792,E793,$G$4:$G$792,G793,$H$4:$H$792,H793,$B$4:$B$792,"DE CORTE")-SUMIFS($I$4:$I$792,$C$4:$C$792,C793,$D$4:$D$792,D793,$E$4:$E$792,E793,$G$4:$G$792,G793,$H$4:$H$792,H793,$B$4:$B$792,"SALIDA"))),0)</f>
        <v>0</v>
      </c>
      <c r="M793" s="13">
        <f t="shared" si="2"/>
        <v>0</v>
      </c>
      <c r="N793" s="14"/>
      <c r="O793" s="14"/>
      <c r="P793" s="15"/>
      <c r="Q793" s="14"/>
    </row>
    <row r="794" ht="15.75" customHeight="1">
      <c r="A794" s="7"/>
      <c r="B794" s="8"/>
      <c r="C794" s="8"/>
      <c r="D794" s="8"/>
      <c r="E794" s="8"/>
      <c r="F794" s="14"/>
      <c r="G794" s="8"/>
      <c r="H794" s="8"/>
      <c r="I794" s="9"/>
      <c r="J794" s="12" t="str">
        <f t="array" ref="J794:K794">IFERROR(INDEX(PRECIOS_COMPLEMENTOS!$C$4:$F$17,MATCH(D794&amp;"_"&amp;E794,PRECIOS_COMPLEMENTOS!$H$4:$H$17,0),IF(OR(H794="S",H794="20cm"),1,IF(OR(H794="M",H794="25cm"),2,IF(OR(H794="L",H794="30cm"),3,IF(OR(H794="XL",H794="35cm"),4,0))))),0)</f>
        <v>#REF!</v>
      </c>
      <c r="K794" s="12">
        <f t="shared" si="1"/>
        <v>0</v>
      </c>
      <c r="L794" s="13">
        <f>IFERROR(IF(C794="",0,IF(D794="PRETINA",SUMIFS($I$4:$I$793,$C$4:$C$793,C794,$D$4:$D$793,D794,$E$4:$E$793,E794,$F$4:$F$793,F794,$G$4:$G$793,G794,$H$4:$H$793,H794,$B$4:$B$793,"INGRESO")+SUMIFS($I$4:$I$793,$C$4:$C$793,C794,$D$4:$D$793,D794,$E$4:$E$793,E794,$F$4:$F$793,F794,$G$4:$G$793,G794,$H$4:$H$793,H794,$B$4:$B$793,"DE CORTE")-SUMIFS($I$4:$I$793,$C$4:$C$793,C794,$D$4:$D$793,D794,$E$4:$E$793,E794,$F$4:$F$793,F794,$G$4:$G$793,G794,$H$4:$H$793,H794,$B$4:$B$793,"SALIDA"),SUMIFS($I$4:$I$793,$C$4:$C$793,C794,$D$4:$D$793,D794,$E$4:$E$793,E794,$G$4:$G$793,G794,$H$4:$H$793,H794,$B$4:$B$793,"INGRESO")+SUMIFS($I$4:$I$793,$C$4:$C$793,C794,$D$4:$D$793,D794,$E$4:$E$793,E794,$G$4:$G$793,G794,$H$4:$H$793,H794,$B$4:$B$793,"DE CORTE")-SUMIFS($I$4:$I$793,$C$4:$C$793,C794,$D$4:$D$793,D794,$E$4:$E$793,E794,$G$4:$G$793,G794,$H$4:$H$793,H794,$B$4:$B$793,"SALIDA"))),0)</f>
        <v>0</v>
      </c>
      <c r="M794" s="13">
        <f t="shared" si="2"/>
        <v>0</v>
      </c>
      <c r="N794" s="14"/>
      <c r="O794" s="14"/>
      <c r="P794" s="15"/>
      <c r="Q794" s="14"/>
    </row>
    <row r="795" ht="15.75" customHeight="1">
      <c r="A795" s="7"/>
      <c r="B795" s="8"/>
      <c r="C795" s="8"/>
      <c r="D795" s="8"/>
      <c r="E795" s="8"/>
      <c r="F795" s="14"/>
      <c r="G795" s="8"/>
      <c r="H795" s="8"/>
      <c r="I795" s="9"/>
      <c r="J795" s="12" t="str">
        <f t="array" ref="J795:K795">IFERROR(INDEX(PRECIOS_COMPLEMENTOS!$C$4:$F$17,MATCH(D795&amp;"_"&amp;E795,PRECIOS_COMPLEMENTOS!$H$4:$H$17,0),IF(OR(H795="S",H795="20cm"),1,IF(OR(H795="M",H795="25cm"),2,IF(OR(H795="L",H795="30cm"),3,IF(OR(H795="XL",H795="35cm"),4,0))))),0)</f>
        <v>#REF!</v>
      </c>
      <c r="K795" s="12">
        <f t="shared" si="1"/>
        <v>0</v>
      </c>
      <c r="L795" s="13">
        <f>IFERROR(IF(C795="",0,IF(D795="PRETINA",SUMIFS($I$4:$I$794,$C$4:$C$794,C795,$D$4:$D$794,D795,$E$4:$E$794,E795,$F$4:$F$794,F795,$G$4:$G$794,G795,$H$4:$H$794,H795,$B$4:$B$794,"INGRESO")+SUMIFS($I$4:$I$794,$C$4:$C$794,C795,$D$4:$D$794,D795,$E$4:$E$794,E795,$F$4:$F$794,F795,$G$4:$G$794,G795,$H$4:$H$794,H795,$B$4:$B$794,"DE CORTE")-SUMIFS($I$4:$I$794,$C$4:$C$794,C795,$D$4:$D$794,D795,$E$4:$E$794,E795,$F$4:$F$794,F795,$G$4:$G$794,G795,$H$4:$H$794,H795,$B$4:$B$794,"SALIDA"),SUMIFS($I$4:$I$794,$C$4:$C$794,C795,$D$4:$D$794,D795,$E$4:$E$794,E795,$G$4:$G$794,G795,$H$4:$H$794,H795,$B$4:$B$794,"INGRESO")+SUMIFS($I$4:$I$794,$C$4:$C$794,C795,$D$4:$D$794,D795,$E$4:$E$794,E795,$G$4:$G$794,G795,$H$4:$H$794,H795,$B$4:$B$794,"DE CORTE")-SUMIFS($I$4:$I$794,$C$4:$C$794,C795,$D$4:$D$794,D795,$E$4:$E$794,E795,$G$4:$G$794,G795,$H$4:$H$794,H795,$B$4:$B$794,"SALIDA"))),0)</f>
        <v>0</v>
      </c>
      <c r="M795" s="13">
        <f t="shared" si="2"/>
        <v>0</v>
      </c>
      <c r="N795" s="14"/>
      <c r="O795" s="14"/>
      <c r="P795" s="15"/>
      <c r="Q795" s="14"/>
    </row>
    <row r="796" ht="15.75" customHeight="1">
      <c r="A796" s="7"/>
      <c r="B796" s="8"/>
      <c r="C796" s="8"/>
      <c r="D796" s="8"/>
      <c r="E796" s="8"/>
      <c r="F796" s="14"/>
      <c r="G796" s="8"/>
      <c r="H796" s="8"/>
      <c r="I796" s="9"/>
      <c r="J796" s="12" t="str">
        <f t="array" ref="J796:K796">IFERROR(INDEX(PRECIOS_COMPLEMENTOS!$C$4:$F$17,MATCH(D796&amp;"_"&amp;E796,PRECIOS_COMPLEMENTOS!$H$4:$H$17,0),IF(OR(H796="S",H796="20cm"),1,IF(OR(H796="M",H796="25cm"),2,IF(OR(H796="L",H796="30cm"),3,IF(OR(H796="XL",H796="35cm"),4,0))))),0)</f>
        <v>#REF!</v>
      </c>
      <c r="K796" s="12">
        <f t="shared" si="1"/>
        <v>0</v>
      </c>
      <c r="L796" s="13">
        <f>IFERROR(IF(C796="",0,IF(D796="PRETINA",SUMIFS($I$4:$I$795,$C$4:$C$795,C796,$D$4:$D$795,D796,$E$4:$E$795,E796,$F$4:$F$795,F796,$G$4:$G$795,G796,$H$4:$H$795,H796,$B$4:$B$795,"INGRESO")+SUMIFS($I$4:$I$795,$C$4:$C$795,C796,$D$4:$D$795,D796,$E$4:$E$795,E796,$F$4:$F$795,F796,$G$4:$G$795,G796,$H$4:$H$795,H796,$B$4:$B$795,"DE CORTE")-SUMIFS($I$4:$I$795,$C$4:$C$795,C796,$D$4:$D$795,D796,$E$4:$E$795,E796,$F$4:$F$795,F796,$G$4:$G$795,G796,$H$4:$H$795,H796,$B$4:$B$795,"SALIDA"),SUMIFS($I$4:$I$795,$C$4:$C$795,C796,$D$4:$D$795,D796,$E$4:$E$795,E796,$G$4:$G$795,G796,$H$4:$H$795,H796,$B$4:$B$795,"INGRESO")+SUMIFS($I$4:$I$795,$C$4:$C$795,C796,$D$4:$D$795,D796,$E$4:$E$795,E796,$G$4:$G$795,G796,$H$4:$H$795,H796,$B$4:$B$795,"DE CORTE")-SUMIFS($I$4:$I$795,$C$4:$C$795,C796,$D$4:$D$795,D796,$E$4:$E$795,E796,$G$4:$G$795,G796,$H$4:$H$795,H796,$B$4:$B$795,"SALIDA"))),0)</f>
        <v>0</v>
      </c>
      <c r="M796" s="13">
        <f t="shared" si="2"/>
        <v>0</v>
      </c>
      <c r="N796" s="14"/>
      <c r="O796" s="14"/>
      <c r="P796" s="15"/>
      <c r="Q796" s="14"/>
    </row>
    <row r="797" ht="15.75" customHeight="1">
      <c r="A797" s="7"/>
      <c r="B797" s="8"/>
      <c r="C797" s="8"/>
      <c r="D797" s="8"/>
      <c r="E797" s="8"/>
      <c r="F797" s="14"/>
      <c r="G797" s="8"/>
      <c r="H797" s="8"/>
      <c r="I797" s="9"/>
      <c r="J797" s="12" t="str">
        <f t="array" ref="J797:K797">IFERROR(INDEX(PRECIOS_COMPLEMENTOS!$C$4:$F$17,MATCH(D797&amp;"_"&amp;E797,PRECIOS_COMPLEMENTOS!$H$4:$H$17,0),IF(OR(H797="S",H797="20cm"),1,IF(OR(H797="M",H797="25cm"),2,IF(OR(H797="L",H797="30cm"),3,IF(OR(H797="XL",H797="35cm"),4,0))))),0)</f>
        <v>#REF!</v>
      </c>
      <c r="K797" s="12">
        <f t="shared" si="1"/>
        <v>0</v>
      </c>
      <c r="L797" s="13">
        <f>IFERROR(IF(C797="",0,IF(D797="PRETINA",SUMIFS($I$4:$I$796,$C$4:$C$796,C797,$D$4:$D$796,D797,$E$4:$E$796,E797,$F$4:$F$796,F797,$G$4:$G$796,G797,$H$4:$H$796,H797,$B$4:$B$796,"INGRESO")+SUMIFS($I$4:$I$796,$C$4:$C$796,C797,$D$4:$D$796,D797,$E$4:$E$796,E797,$F$4:$F$796,F797,$G$4:$G$796,G797,$H$4:$H$796,H797,$B$4:$B$796,"DE CORTE")-SUMIFS($I$4:$I$796,$C$4:$C$796,C797,$D$4:$D$796,D797,$E$4:$E$796,E797,$F$4:$F$796,F797,$G$4:$G$796,G797,$H$4:$H$796,H797,$B$4:$B$796,"SALIDA"),SUMIFS($I$4:$I$796,$C$4:$C$796,C797,$D$4:$D$796,D797,$E$4:$E$796,E797,$G$4:$G$796,G797,$H$4:$H$796,H797,$B$4:$B$796,"INGRESO")+SUMIFS($I$4:$I$796,$C$4:$C$796,C797,$D$4:$D$796,D797,$E$4:$E$796,E797,$G$4:$G$796,G797,$H$4:$H$796,H797,$B$4:$B$796,"DE CORTE")-SUMIFS($I$4:$I$796,$C$4:$C$796,C797,$D$4:$D$796,D797,$E$4:$E$796,E797,$G$4:$G$796,G797,$H$4:$H$796,H797,$B$4:$B$796,"SALIDA"))),0)</f>
        <v>0</v>
      </c>
      <c r="M797" s="13">
        <f t="shared" si="2"/>
        <v>0</v>
      </c>
      <c r="N797" s="14"/>
      <c r="O797" s="14"/>
      <c r="P797" s="15"/>
      <c r="Q797" s="14"/>
    </row>
    <row r="798" ht="15.75" customHeight="1">
      <c r="A798" s="7"/>
      <c r="B798" s="8"/>
      <c r="C798" s="8"/>
      <c r="D798" s="8"/>
      <c r="E798" s="8"/>
      <c r="F798" s="14"/>
      <c r="G798" s="8"/>
      <c r="H798" s="8"/>
      <c r="I798" s="9"/>
      <c r="J798" s="12" t="str">
        <f t="array" ref="J798:K798">IFERROR(INDEX(PRECIOS_COMPLEMENTOS!$C$4:$F$17,MATCH(D798&amp;"_"&amp;E798,PRECIOS_COMPLEMENTOS!$H$4:$H$17,0),IF(OR(H798="S",H798="20cm"),1,IF(OR(H798="M",H798="25cm"),2,IF(OR(H798="L",H798="30cm"),3,IF(OR(H798="XL",H798="35cm"),4,0))))),0)</f>
        <v>#REF!</v>
      </c>
      <c r="K798" s="12">
        <f t="shared" si="1"/>
        <v>0</v>
      </c>
      <c r="L798" s="13">
        <f>IFERROR(IF(C798="",0,IF(D798="PRETINA",SUMIFS($I$4:$I$797,$C$4:$C$797,C798,$D$4:$D$797,D798,$E$4:$E$797,E798,$F$4:$F$797,F798,$G$4:$G$797,G798,$H$4:$H$797,H798,$B$4:$B$797,"INGRESO")+SUMIFS($I$4:$I$797,$C$4:$C$797,C798,$D$4:$D$797,D798,$E$4:$E$797,E798,$F$4:$F$797,F798,$G$4:$G$797,G798,$H$4:$H$797,H798,$B$4:$B$797,"DE CORTE")-SUMIFS($I$4:$I$797,$C$4:$C$797,C798,$D$4:$D$797,D798,$E$4:$E$797,E798,$F$4:$F$797,F798,$G$4:$G$797,G798,$H$4:$H$797,H798,$B$4:$B$797,"SALIDA"),SUMIFS($I$4:$I$797,$C$4:$C$797,C798,$D$4:$D$797,D798,$E$4:$E$797,E798,$G$4:$G$797,G798,$H$4:$H$797,H798,$B$4:$B$797,"INGRESO")+SUMIFS($I$4:$I$797,$C$4:$C$797,C798,$D$4:$D$797,D798,$E$4:$E$797,E798,$G$4:$G$797,G798,$H$4:$H$797,H798,$B$4:$B$797,"DE CORTE")-SUMIFS($I$4:$I$797,$C$4:$C$797,C798,$D$4:$D$797,D798,$E$4:$E$797,E798,$G$4:$G$797,G798,$H$4:$H$797,H798,$B$4:$B$797,"SALIDA"))),0)</f>
        <v>0</v>
      </c>
      <c r="M798" s="13">
        <f t="shared" si="2"/>
        <v>0</v>
      </c>
      <c r="N798" s="14"/>
      <c r="O798" s="14"/>
      <c r="P798" s="15"/>
      <c r="Q798" s="14"/>
    </row>
    <row r="799" ht="15.75" customHeight="1">
      <c r="A799" s="7"/>
      <c r="B799" s="8"/>
      <c r="C799" s="8"/>
      <c r="D799" s="8"/>
      <c r="E799" s="8"/>
      <c r="F799" s="14"/>
      <c r="G799" s="8"/>
      <c r="H799" s="8"/>
      <c r="I799" s="9"/>
      <c r="J799" s="12" t="str">
        <f t="array" ref="J799:K799">IFERROR(INDEX(PRECIOS_COMPLEMENTOS!$C$4:$F$17,MATCH(D799&amp;"_"&amp;E799,PRECIOS_COMPLEMENTOS!$H$4:$H$17,0),IF(OR(H799="S",H799="20cm"),1,IF(OR(H799="M",H799="25cm"),2,IF(OR(H799="L",H799="30cm"),3,IF(OR(H799="XL",H799="35cm"),4,0))))),0)</f>
        <v>#REF!</v>
      </c>
      <c r="K799" s="12">
        <f t="shared" si="1"/>
        <v>0</v>
      </c>
      <c r="L799" s="13">
        <f>IFERROR(IF(C799="",0,IF(D799="PRETINA",SUMIFS($I$4:$I$798,$C$4:$C$798,C799,$D$4:$D$798,D799,$E$4:$E$798,E799,$F$4:$F$798,F799,$G$4:$G$798,G799,$H$4:$H$798,H799,$B$4:$B$798,"INGRESO")+SUMIFS($I$4:$I$798,$C$4:$C$798,C799,$D$4:$D$798,D799,$E$4:$E$798,E799,$F$4:$F$798,F799,$G$4:$G$798,G799,$H$4:$H$798,H799,$B$4:$B$798,"DE CORTE")-SUMIFS($I$4:$I$798,$C$4:$C$798,C799,$D$4:$D$798,D799,$E$4:$E$798,E799,$F$4:$F$798,F799,$G$4:$G$798,G799,$H$4:$H$798,H799,$B$4:$B$798,"SALIDA"),SUMIFS($I$4:$I$798,$C$4:$C$798,C799,$D$4:$D$798,D799,$E$4:$E$798,E799,$G$4:$G$798,G799,$H$4:$H$798,H799,$B$4:$B$798,"INGRESO")+SUMIFS($I$4:$I$798,$C$4:$C$798,C799,$D$4:$D$798,D799,$E$4:$E$798,E799,$G$4:$G$798,G799,$H$4:$H$798,H799,$B$4:$B$798,"DE CORTE")-SUMIFS($I$4:$I$798,$C$4:$C$798,C799,$D$4:$D$798,D799,$E$4:$E$798,E799,$G$4:$G$798,G799,$H$4:$H$798,H799,$B$4:$B$798,"SALIDA"))),0)</f>
        <v>0</v>
      </c>
      <c r="M799" s="13">
        <f t="shared" si="2"/>
        <v>0</v>
      </c>
      <c r="N799" s="14"/>
      <c r="O799" s="14"/>
      <c r="P799" s="15"/>
      <c r="Q799" s="14"/>
    </row>
    <row r="800" ht="15.75" customHeight="1">
      <c r="A800" s="7"/>
      <c r="B800" s="8"/>
      <c r="C800" s="8"/>
      <c r="D800" s="8"/>
      <c r="E800" s="8"/>
      <c r="F800" s="14"/>
      <c r="G800" s="8"/>
      <c r="H800" s="8"/>
      <c r="I800" s="9"/>
      <c r="J800" s="12" t="str">
        <f t="array" ref="J800:K800">IFERROR(INDEX(PRECIOS_COMPLEMENTOS!$C$4:$F$17,MATCH(D800&amp;"_"&amp;E800,PRECIOS_COMPLEMENTOS!$H$4:$H$17,0),IF(OR(H800="S",H800="20cm"),1,IF(OR(H800="M",H800="25cm"),2,IF(OR(H800="L",H800="30cm"),3,IF(OR(H800="XL",H800="35cm"),4,0))))),0)</f>
        <v>#REF!</v>
      </c>
      <c r="K800" s="12">
        <f t="shared" si="1"/>
        <v>0</v>
      </c>
      <c r="L800" s="13">
        <f>IFERROR(IF(C800="",0,IF(D800="PRETINA",SUMIFS($I$4:$I$799,$C$4:$C$799,C800,$D$4:$D$799,D800,$E$4:$E$799,E800,$F$4:$F$799,F800,$G$4:$G$799,G800,$H$4:$H$799,H800,$B$4:$B$799,"INGRESO")+SUMIFS($I$4:$I$799,$C$4:$C$799,C800,$D$4:$D$799,D800,$E$4:$E$799,E800,$F$4:$F$799,F800,$G$4:$G$799,G800,$H$4:$H$799,H800,$B$4:$B$799,"DE CORTE")-SUMIFS($I$4:$I$799,$C$4:$C$799,C800,$D$4:$D$799,D800,$E$4:$E$799,E800,$F$4:$F$799,F800,$G$4:$G$799,G800,$H$4:$H$799,H800,$B$4:$B$799,"SALIDA"),SUMIFS($I$4:$I$799,$C$4:$C$799,C800,$D$4:$D$799,D800,$E$4:$E$799,E800,$G$4:$G$799,G800,$H$4:$H$799,H800,$B$4:$B$799,"INGRESO")+SUMIFS($I$4:$I$799,$C$4:$C$799,C800,$D$4:$D$799,D800,$E$4:$E$799,E800,$G$4:$G$799,G800,$H$4:$H$799,H800,$B$4:$B$799,"DE CORTE")-SUMIFS($I$4:$I$799,$C$4:$C$799,C800,$D$4:$D$799,D800,$E$4:$E$799,E800,$G$4:$G$799,G800,$H$4:$H$799,H800,$B$4:$B$799,"SALIDA"))),0)</f>
        <v>0</v>
      </c>
      <c r="M800" s="13">
        <f t="shared" si="2"/>
        <v>0</v>
      </c>
      <c r="N800" s="14"/>
      <c r="O800" s="14"/>
      <c r="P800" s="15"/>
      <c r="Q800" s="14"/>
    </row>
    <row r="801" ht="15.75" customHeight="1">
      <c r="A801" s="7"/>
      <c r="B801" s="8"/>
      <c r="C801" s="8"/>
      <c r="D801" s="8"/>
      <c r="E801" s="8"/>
      <c r="F801" s="14"/>
      <c r="G801" s="8"/>
      <c r="H801" s="8"/>
      <c r="I801" s="9"/>
      <c r="J801" s="12" t="str">
        <f t="array" ref="J801:K801">IFERROR(INDEX(PRECIOS_COMPLEMENTOS!$C$4:$F$17,MATCH(D801&amp;"_"&amp;E801,PRECIOS_COMPLEMENTOS!$H$4:$H$17,0),IF(OR(H801="S",H801="20cm"),1,IF(OR(H801="M",H801="25cm"),2,IF(OR(H801="L",H801="30cm"),3,IF(OR(H801="XL",H801="35cm"),4,0))))),0)</f>
        <v>#REF!</v>
      </c>
      <c r="K801" s="12">
        <f t="shared" si="1"/>
        <v>0</v>
      </c>
      <c r="L801" s="13">
        <f>IFERROR(IF(C801="",0,IF(D801="PRETINA",SUMIFS($I$4:$I$800,$C$4:$C$800,C801,$D$4:$D$800,D801,$E$4:$E$800,E801,$F$4:$F$800,F801,$G$4:$G$800,G801,$H$4:$H$800,H801,$B$4:$B$800,"INGRESO")+SUMIFS($I$4:$I$800,$C$4:$C$800,C801,$D$4:$D$800,D801,$E$4:$E$800,E801,$F$4:$F$800,F801,$G$4:$G$800,G801,$H$4:$H$800,H801,$B$4:$B$800,"DE CORTE")-SUMIFS($I$4:$I$800,$C$4:$C$800,C801,$D$4:$D$800,D801,$E$4:$E$800,E801,$F$4:$F$800,F801,$G$4:$G$800,G801,$H$4:$H$800,H801,$B$4:$B$800,"SALIDA"),SUMIFS($I$4:$I$800,$C$4:$C$800,C801,$D$4:$D$800,D801,$E$4:$E$800,E801,$G$4:$G$800,G801,$H$4:$H$800,H801,$B$4:$B$800,"INGRESO")+SUMIFS($I$4:$I$800,$C$4:$C$800,C801,$D$4:$D$800,D801,$E$4:$E$800,E801,$G$4:$G$800,G801,$H$4:$H$800,H801,$B$4:$B$800,"DE CORTE")-SUMIFS($I$4:$I$800,$C$4:$C$800,C801,$D$4:$D$800,D801,$E$4:$E$800,E801,$G$4:$G$800,G801,$H$4:$H$800,H801,$B$4:$B$800,"SALIDA"))),0)</f>
        <v>0</v>
      </c>
      <c r="M801" s="13">
        <f t="shared" si="2"/>
        <v>0</v>
      </c>
      <c r="N801" s="14"/>
      <c r="O801" s="14"/>
      <c r="P801" s="15"/>
      <c r="Q801" s="14"/>
    </row>
    <row r="802" ht="15.75" customHeight="1">
      <c r="A802" s="7"/>
      <c r="B802" s="8"/>
      <c r="C802" s="8"/>
      <c r="D802" s="8"/>
      <c r="E802" s="8"/>
      <c r="F802" s="14"/>
      <c r="G802" s="8"/>
      <c r="H802" s="8"/>
      <c r="I802" s="9"/>
      <c r="J802" s="12" t="str">
        <f t="array" ref="J802:K802">IFERROR(INDEX(PRECIOS_COMPLEMENTOS!$C$4:$F$17,MATCH(D802&amp;"_"&amp;E802,PRECIOS_COMPLEMENTOS!$H$4:$H$17,0),IF(OR(H802="S",H802="20cm"),1,IF(OR(H802="M",H802="25cm"),2,IF(OR(H802="L",H802="30cm"),3,IF(OR(H802="XL",H802="35cm"),4,0))))),0)</f>
        <v>#REF!</v>
      </c>
      <c r="K802" s="12">
        <f t="shared" si="1"/>
        <v>0</v>
      </c>
      <c r="L802" s="13">
        <f>IFERROR(IF(C802="",0,IF(D802="PRETINA",SUMIFS($I$4:$I$801,$C$4:$C$801,C802,$D$4:$D$801,D802,$E$4:$E$801,E802,$F$4:$F$801,F802,$G$4:$G$801,G802,$H$4:$H$801,H802,$B$4:$B$801,"INGRESO")+SUMIFS($I$4:$I$801,$C$4:$C$801,C802,$D$4:$D$801,D802,$E$4:$E$801,E802,$F$4:$F$801,F802,$G$4:$G$801,G802,$H$4:$H$801,H802,$B$4:$B$801,"DE CORTE")-SUMIFS($I$4:$I$801,$C$4:$C$801,C802,$D$4:$D$801,D802,$E$4:$E$801,E802,$F$4:$F$801,F802,$G$4:$G$801,G802,$H$4:$H$801,H802,$B$4:$B$801,"SALIDA"),SUMIFS($I$4:$I$801,$C$4:$C$801,C802,$D$4:$D$801,D802,$E$4:$E$801,E802,$G$4:$G$801,G802,$H$4:$H$801,H802,$B$4:$B$801,"INGRESO")+SUMIFS($I$4:$I$801,$C$4:$C$801,C802,$D$4:$D$801,D802,$E$4:$E$801,E802,$G$4:$G$801,G802,$H$4:$H$801,H802,$B$4:$B$801,"DE CORTE")-SUMIFS($I$4:$I$801,$C$4:$C$801,C802,$D$4:$D$801,D802,$E$4:$E$801,E802,$G$4:$G$801,G802,$H$4:$H$801,H802,$B$4:$B$801,"SALIDA"))),0)</f>
        <v>0</v>
      </c>
      <c r="M802" s="13">
        <f t="shared" si="2"/>
        <v>0</v>
      </c>
      <c r="N802" s="14"/>
      <c r="O802" s="14"/>
      <c r="P802" s="15"/>
      <c r="Q802" s="14"/>
    </row>
    <row r="803" ht="15.75" customHeight="1">
      <c r="A803" s="7"/>
      <c r="B803" s="8"/>
      <c r="C803" s="8"/>
      <c r="D803" s="8"/>
      <c r="E803" s="8"/>
      <c r="F803" s="14"/>
      <c r="G803" s="8"/>
      <c r="H803" s="8"/>
      <c r="I803" s="9"/>
      <c r="J803" s="12" t="str">
        <f t="array" ref="J803:K803">IFERROR(INDEX(PRECIOS_COMPLEMENTOS!$C$4:$F$17,MATCH(D803&amp;"_"&amp;E803,PRECIOS_COMPLEMENTOS!$H$4:$H$17,0),IF(OR(H803="S",H803="20cm"),1,IF(OR(H803="M",H803="25cm"),2,IF(OR(H803="L",H803="30cm"),3,IF(OR(H803="XL",H803="35cm"),4,0))))),0)</f>
        <v>#REF!</v>
      </c>
      <c r="K803" s="12">
        <f t="shared" si="1"/>
        <v>0</v>
      </c>
      <c r="L803" s="13">
        <f>IFERROR(IF(C803="",0,IF(D803="PRETINA",SUMIFS($I$4:$I$802,$C$4:$C$802,C803,$D$4:$D$802,D803,$E$4:$E$802,E803,$F$4:$F$802,F803,$G$4:$G$802,G803,$H$4:$H$802,H803,$B$4:$B$802,"INGRESO")+SUMIFS($I$4:$I$802,$C$4:$C$802,C803,$D$4:$D$802,D803,$E$4:$E$802,E803,$F$4:$F$802,F803,$G$4:$G$802,G803,$H$4:$H$802,H803,$B$4:$B$802,"DE CORTE")-SUMIFS($I$4:$I$802,$C$4:$C$802,C803,$D$4:$D$802,D803,$E$4:$E$802,E803,$F$4:$F$802,F803,$G$4:$G$802,G803,$H$4:$H$802,H803,$B$4:$B$802,"SALIDA"),SUMIFS($I$4:$I$802,$C$4:$C$802,C803,$D$4:$D$802,D803,$E$4:$E$802,E803,$G$4:$G$802,G803,$H$4:$H$802,H803,$B$4:$B$802,"INGRESO")+SUMIFS($I$4:$I$802,$C$4:$C$802,C803,$D$4:$D$802,D803,$E$4:$E$802,E803,$G$4:$G$802,G803,$H$4:$H$802,H803,$B$4:$B$802,"DE CORTE")-SUMIFS($I$4:$I$802,$C$4:$C$802,C803,$D$4:$D$802,D803,$E$4:$E$802,E803,$G$4:$G$802,G803,$H$4:$H$802,H803,$B$4:$B$802,"SALIDA"))),0)</f>
        <v>0</v>
      </c>
      <c r="M803" s="13">
        <f t="shared" si="2"/>
        <v>0</v>
      </c>
      <c r="N803" s="14"/>
      <c r="O803" s="14"/>
      <c r="P803" s="15"/>
      <c r="Q803" s="14"/>
    </row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Q$803"/>
  <mergeCells count="2">
    <mergeCell ref="A1:Q1"/>
    <mergeCell ref="A2:Q2"/>
  </mergeCells>
  <conditionalFormatting sqref="A4:Q803">
    <cfRule type="expression" dxfId="0" priority="1">
      <formula>AND($C4&lt;&gt;"",$M4&lt;0)</formula>
    </cfRule>
  </conditionalFormatting>
  <conditionalFormatting sqref="B4:B803">
    <cfRule type="expression" dxfId="1" priority="2">
      <formula>B4="INGRESO"</formula>
    </cfRule>
  </conditionalFormatting>
  <conditionalFormatting sqref="B4:B803">
    <cfRule type="expression" dxfId="4" priority="3">
      <formula>B4="DE CORTE"</formula>
    </cfRule>
  </conditionalFormatting>
  <conditionalFormatting sqref="B4:B803">
    <cfRule type="expression" dxfId="2" priority="4">
      <formula>B4="SALIDA"</formula>
    </cfRule>
  </conditionalFormatting>
  <conditionalFormatting sqref="N4:O803">
    <cfRule type="expression" dxfId="2" priority="5">
      <formula>AND($B4="INGRESO",OR($N4="",$O4=""))</formula>
    </cfRule>
  </conditionalFormatting>
  <dataValidations>
    <dataValidation type="list" allowBlank="1" sqref="D4:D803">
      <formula1>"CUELLO,PUÑO,PRETINA,CIERRE"</formula1>
    </dataValidation>
    <dataValidation type="list" allowBlank="1" sqref="E4:E803">
      <formula1>"RECTILÍNEO,RIB 1x1,RIB 2x1,DIRECTO"</formula1>
    </dataValidation>
    <dataValidation type="list" allowBlank="1" sqref="C4:C803">
      <formula1>LISTA_CLIENTES</formula1>
    </dataValidation>
    <dataValidation type="list" allowBlank="1" sqref="B4:B803">
      <formula1>"INGRESO,DE CORTE,SALIDA"</formula1>
    </dataValidation>
    <dataValidation type="list" allowBlank="1" sqref="N4:N803">
      <formula1>LISTA_PROVEEDORES</formula1>
    </dataValidation>
    <dataValidation type="list" allowBlank="1" sqref="F4:F803">
      <formula1>LISTA_DESTINOS</formula1>
    </dataValidation>
    <dataValidation type="list" allowBlank="1" sqref="H4:H803">
      <formula1>"S,M,L,XL,20cm,25cm,30cm,35cm"</formula1>
    </dataValidation>
    <dataValidation type="list" allowBlank="1" sqref="G4:G803">
      <formula1>LISTA_COLORES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E6E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6.0"/>
    <col customWidth="1" min="2" max="6" width="12.0"/>
    <col customWidth="1" min="7" max="7" width="18.14"/>
    <col customWidth="1" min="8" max="8" width="25.0"/>
    <col customWidth="1" min="9" max="15" width="12.0"/>
    <col customWidth="1" min="16" max="16" width="10.0"/>
    <col customWidth="1" min="17" max="17" width="14.0"/>
    <col customWidth="1" min="18" max="26" width="8.71"/>
  </cols>
  <sheetData>
    <row r="1" ht="27.75" customHeight="1">
      <c r="A1" s="36" t="s">
        <v>107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0" customHeight="1">
      <c r="A2" s="37" t="s">
        <v>108</v>
      </c>
      <c r="B2" s="37" t="s">
        <v>109</v>
      </c>
      <c r="C2" s="38" t="s">
        <v>110</v>
      </c>
      <c r="H2" s="37" t="s">
        <v>111</v>
      </c>
      <c r="I2" s="39">
        <f>TODAY()</f>
        <v>46164</v>
      </c>
    </row>
    <row r="4" ht="21.75" customHeight="1">
      <c r="A4" s="40" t="s">
        <v>112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5" ht="30.0" customHeight="1">
      <c r="A5" s="41" t="s">
        <v>6</v>
      </c>
      <c r="B5" s="42" t="str">
        <f>IFERROR(IF(TELAS!A4="","",UPPER(TELAS!A4)),"")</f>
        <v>JERSEY 30/1</v>
      </c>
      <c r="C5" s="42" t="str">
        <f>IFERROR(IF(TELAS!A5="","",IF(COUNTIF(TELAS!$A$4:A4,TELAS!A5)&gt;0,"",UPPER(TELAS!A5))),"")</f>
        <v>PIQUE 30/1</v>
      </c>
      <c r="D5" s="42" t="str">
        <f>IFERROR(IF(TELAS!A6="","",IF(COUNTIF(TELAS!$A$4:A5,TELAS!A6)&gt;0,"",UPPER(TELAS!A6))),"")</f>
        <v>WAFLE 30/1</v>
      </c>
      <c r="E5" s="42" t="str">
        <f>IFERROR(IF(TELAS!A7="","",IF(COUNTIF(TELAS!$A$4:A6,TELAS!A7)&gt;0,"",UPPER(TELAS!A7))),"")</f>
        <v>FRENCH TERRY 24/1</v>
      </c>
      <c r="F5" s="42" t="str">
        <f>IFERROR(IF(TELAS!A8="","",IF(COUNTIF(TELAS!$A$4:A7,TELAS!A8)&gt;0,"",UPPER(TELAS!A8))),"")</f>
        <v>RIB 1X1</v>
      </c>
      <c r="G5" s="42" t="str">
        <f>IFERROR(IF(TELAS!A9="","",IF(COUNTIF(TELAS!$A$4:A8,TELAS!A9)&gt;0,"",UPPER(TELAS!A9))),"")</f>
        <v>RIB 2X1 LYCRADO</v>
      </c>
      <c r="H5" s="42" t="str">
        <f>IFERROR(IF(TELAS!A10="","",IF(COUNTIF(TELAS!$A$4:A9,TELAS!A10)&gt;0,"",UPPER(TELAS!A10))),"")</f>
        <v>JERSEY FULL LYCRA 30/1</v>
      </c>
      <c r="I5" s="42" t="str">
        <f>IFERROR(IF(TELAS!A11="","",IF(COUNTIF(TELAS!$A$4:A10,TELAS!A11)&gt;0,"",UPPER(TELAS!A11))),"")</f>
        <v/>
      </c>
      <c r="J5" s="42" t="str">
        <f>IFERROR(IF(TELAS!A12="","",IF(COUNTIF(TELAS!$A$4:A11,TELAS!A12)&gt;0,"",UPPER(TELAS!A12))),"")</f>
        <v/>
      </c>
      <c r="K5" s="42" t="str">
        <f>IFERROR(IF(TELAS!A13="","",IF(COUNTIF(TELAS!$A$4:A12,TELAS!A13)&gt;0,"",UPPER(TELAS!A13))),"")</f>
        <v/>
      </c>
      <c r="L5" s="42" t="str">
        <f>IFERROR(IF(TELAS!A14="","",IF(COUNTIF(TELAS!$A$4:A13,TELAS!A14)&gt;0,"",UPPER(TELAS!A14))),"")</f>
        <v/>
      </c>
      <c r="M5" s="42" t="str">
        <f>IFERROR(IF(TELAS!A15="","",IF(COUNTIF(TELAS!$A$4:A14,TELAS!A15)&gt;0,"",UPPER(TELAS!A15))),"")</f>
        <v/>
      </c>
      <c r="N5" s="43" t="s">
        <v>113</v>
      </c>
      <c r="O5" s="41" t="s">
        <v>114</v>
      </c>
    </row>
    <row r="6" ht="15.0" customHeight="1">
      <c r="A6" s="44" t="str">
        <f>IFERROR(IF(COLORES!A4="","",COLORES!A4),"")</f>
        <v>Negro</v>
      </c>
      <c r="B6" s="45">
        <f>IF(OR(B$5="",$A6=""),"",IF($C$2="TODOS",IFERROR(SUMIFS(INVENTARIO!$E$4:$E$843,INVENTARIO!$B$4:$B$843,LOWER(B$5),INVENTARIO!$C$4:$C$843,$A6),0),IFERROR(SUMIFS(INVENTARIO!$E$4:$E$843,INVENTARIO!$A$4:$A$843,$C$2,INVENTARIO!$B$4:$B$843,LOWER(B$5),INVENTARIO!$C$4:$C$843,$A6),0)))</f>
        <v>14</v>
      </c>
      <c r="C6" s="45">
        <f>IF(OR(C$5="",$A6=""),"",IF($C$2="TODOS",IFERROR(SUMIFS(INVENTARIO!$E$4:$E$843,INVENTARIO!$B$4:$B$843,LOWER(C$5),INVENTARIO!$C$4:$C$843,$A6),0),IFERROR(SUMIFS(INVENTARIO!$E$4:$E$843,INVENTARIO!$A$4:$A$843,$C$2,INVENTARIO!$B$4:$B$843,LOWER(C$5),INVENTARIO!$C$4:$C$843,$A6),0)))</f>
        <v>28</v>
      </c>
      <c r="D6" s="45">
        <f>IF(OR(D$5="",$A6=""),"",IF($C$2="TODOS",IFERROR(SUMIFS(INVENTARIO!$E$4:$E$843,INVENTARIO!$B$4:$B$843,LOWER(D$5),INVENTARIO!$C$4:$C$843,$A6),0),IFERROR(SUMIFS(INVENTARIO!$E$4:$E$843,INVENTARIO!$A$4:$A$843,$C$2,INVENTARIO!$B$4:$B$843,LOWER(D$5),INVENTARIO!$C$4:$C$843,$A6),0)))</f>
        <v>24</v>
      </c>
      <c r="E6" s="45">
        <f>IF(OR(E$5="",$A6=""),"",IF($C$2="TODOS",IFERROR(SUMIFS(INVENTARIO!$E$4:$E$843,INVENTARIO!$B$4:$B$843,LOWER(E$5),INVENTARIO!$C$4:$C$843,$A6),0),IFERROR(SUMIFS(INVENTARIO!$E$4:$E$843,INVENTARIO!$A$4:$A$843,$C$2,INVENTARIO!$B$4:$B$843,LOWER(E$5),INVENTARIO!$C$4:$C$843,$A6),0)))</f>
        <v>7</v>
      </c>
      <c r="F6" s="45">
        <f>IF(OR(F$5="",$A6=""),"",IF($C$2="TODOS",IFERROR(SUMIFS(INVENTARIO!$E$4:$E$843,INVENTARIO!$B$4:$B$843,LOWER(F$5),INVENTARIO!$C$4:$C$843,$A6),0),IFERROR(SUMIFS(INVENTARIO!$E$4:$E$843,INVENTARIO!$A$4:$A$843,$C$2,INVENTARIO!$B$4:$B$843,LOWER(F$5),INVENTARIO!$C$4:$C$843,$A6),0)))</f>
        <v>3</v>
      </c>
      <c r="G6" s="45">
        <f>IF(OR(G$5="",$A6=""),"",IF($C$2="TODOS",IFERROR(SUMIFS(INVENTARIO!$E$4:$E$843,INVENTARIO!$B$4:$B$843,LOWER(G$5),INVENTARIO!$C$4:$C$843,$A6),0),IFERROR(SUMIFS(INVENTARIO!$E$4:$E$843,INVENTARIO!$A$4:$A$843,$C$2,INVENTARIO!$B$4:$B$843,LOWER(G$5),INVENTARIO!$C$4:$C$843,$A6),0)))</f>
        <v>9</v>
      </c>
      <c r="H6" s="45">
        <f>IF(OR(H$5="",$A6=""),"",IF($C$2="TODOS",IFERROR(SUMIFS(INVENTARIO!$E$4:$E$843,INVENTARIO!$B$4:$B$843,LOWER(H$5),INVENTARIO!$C$4:$C$843,$A6),0),IFERROR(SUMIFS(INVENTARIO!$E$4:$E$843,INVENTARIO!$A$4:$A$843,$C$2,INVENTARIO!$B$4:$B$843,LOWER(H$5),INVENTARIO!$C$4:$C$843,$A6),0)))</f>
        <v>32</v>
      </c>
      <c r="I6" s="45" t="str">
        <f>IF(OR(I$5="",$A6=""),"",IF($C$2="TODOS",IFERROR(SUMIFS(INVENTARIO!$E$4:$E$843,INVENTARIO!$B$4:$B$843,LOWER(I$5),INVENTARIO!$C$4:$C$843,$A6),0),IFERROR(SUMIFS(INVENTARIO!$E$4:$E$843,INVENTARIO!$A$4:$A$843,$C$2,INVENTARIO!$B$4:$B$843,LOWER(I$5),INVENTARIO!$C$4:$C$843,$A6),0)))</f>
        <v/>
      </c>
      <c r="J6" s="45" t="str">
        <f>IF(OR(J$5="",$A6=""),"",IF($C$2="TODOS",IFERROR(SUMIFS(INVENTARIO!$E$4:$E$843,INVENTARIO!$B$4:$B$843,LOWER(J$5),INVENTARIO!$C$4:$C$843,$A6),0),IFERROR(SUMIFS(INVENTARIO!$E$4:$E$843,INVENTARIO!$A$4:$A$843,$C$2,INVENTARIO!$B$4:$B$843,LOWER(J$5),INVENTARIO!$C$4:$C$843,$A6),0)))</f>
        <v/>
      </c>
      <c r="K6" s="45" t="str">
        <f>IF(OR(K$5="",$A6=""),"",IF($C$2="TODOS",IFERROR(SUMIFS(INVENTARIO!$E$4:$E$843,INVENTARIO!$B$4:$B$843,LOWER(K$5),INVENTARIO!$C$4:$C$843,$A6),0),IFERROR(SUMIFS(INVENTARIO!$E$4:$E$843,INVENTARIO!$A$4:$A$843,$C$2,INVENTARIO!$B$4:$B$843,LOWER(K$5),INVENTARIO!$C$4:$C$843,$A6),0)))</f>
        <v/>
      </c>
      <c r="L6" s="45" t="str">
        <f>IF(OR(L$5="",$A6=""),"",IF($C$2="TODOS",IFERROR(SUMIFS(INVENTARIO!$E$4:$E$843,INVENTARIO!$B$4:$B$843,LOWER(L$5),INVENTARIO!$C$4:$C$843,$A6),0),IFERROR(SUMIFS(INVENTARIO!$E$4:$E$843,INVENTARIO!$A$4:$A$843,$C$2,INVENTARIO!$B$4:$B$843,LOWER(L$5),INVENTARIO!$C$4:$C$843,$A6),0)))</f>
        <v/>
      </c>
      <c r="M6" s="45" t="str">
        <f>IF(OR(M$5="",$A6=""),"",IF($C$2="TODOS",IFERROR(SUMIFS(INVENTARIO!$E$4:$E$843,INVENTARIO!$B$4:$B$843,LOWER(M$5),INVENTARIO!$C$4:$C$843,$A6),0),IFERROR(SUMIFS(INVENTARIO!$E$4:$E$843,INVENTARIO!$A$4:$A$843,$C$2,INVENTARIO!$B$4:$B$843,LOWER(M$5),INVENTARIO!$C$4:$C$843,$A6),0)))</f>
        <v/>
      </c>
      <c r="N6" s="46">
        <f t="shared" ref="N6:N35" si="1">IFERROR(SUM(B6:M6),0)</f>
        <v>117</v>
      </c>
      <c r="O6" s="47">
        <f>IF($A6="","",IF($C$2="TODOS",IFERROR(SUMIFS(INVENTARIO!$H$4:$H$843,INVENTARIO!$C$4:$C$843,$A6),0),IFERROR(SUMIFS(INVENTARIO!$H$4:$H$843,INVENTARIO!$A$4:$A$843,$C$2,INVENTARIO!$C$4:$C$843,$A6),0)))</f>
        <v>58400</v>
      </c>
    </row>
    <row r="7" ht="15.0" customHeight="1">
      <c r="A7" s="44" t="str">
        <f>IFERROR(IF(COLORES!A5="","",COLORES!A5),"")</f>
        <v>Perla</v>
      </c>
      <c r="B7" s="45">
        <f>IF(OR(B$5="",$A7=""),"",IF($C$2="TODOS",IFERROR(SUMIFS(INVENTARIO!$E$4:$E$843,INVENTARIO!$B$4:$B$843,LOWER(B$5),INVENTARIO!$C$4:$C$843,$A7),0),IFERROR(SUMIFS(INVENTARIO!$E$4:$E$843,INVENTARIO!$A$4:$A$843,$C$2,INVENTARIO!$B$4:$B$843,LOWER(B$5),INVENTARIO!$C$4:$C$843,$A7),0)))</f>
        <v>43</v>
      </c>
      <c r="C7" s="45">
        <f>IF(OR(C$5="",$A7=""),"",IF($C$2="TODOS",IFERROR(SUMIFS(INVENTARIO!$E$4:$E$843,INVENTARIO!$B$4:$B$843,LOWER(C$5),INVENTARIO!$C$4:$C$843,$A7),0),IFERROR(SUMIFS(INVENTARIO!$E$4:$E$843,INVENTARIO!$A$4:$A$843,$C$2,INVENTARIO!$B$4:$B$843,LOWER(C$5),INVENTARIO!$C$4:$C$843,$A7),0)))</f>
        <v>23</v>
      </c>
      <c r="D7" s="45">
        <f>IF(OR(D$5="",$A7=""),"",IF($C$2="TODOS",IFERROR(SUMIFS(INVENTARIO!$E$4:$E$843,INVENTARIO!$B$4:$B$843,LOWER(D$5),INVENTARIO!$C$4:$C$843,$A7),0),IFERROR(SUMIFS(INVENTARIO!$E$4:$E$843,INVENTARIO!$A$4:$A$843,$C$2,INVENTARIO!$B$4:$B$843,LOWER(D$5),INVENTARIO!$C$4:$C$843,$A7),0)))</f>
        <v>27</v>
      </c>
      <c r="E7" s="45">
        <f>IF(OR(E$5="",$A7=""),"",IF($C$2="TODOS",IFERROR(SUMIFS(INVENTARIO!$E$4:$E$843,INVENTARIO!$B$4:$B$843,LOWER(E$5),INVENTARIO!$C$4:$C$843,$A7),0),IFERROR(SUMIFS(INVENTARIO!$E$4:$E$843,INVENTARIO!$A$4:$A$843,$C$2,INVENTARIO!$B$4:$B$843,LOWER(E$5),INVENTARIO!$C$4:$C$843,$A7),0)))</f>
        <v>24</v>
      </c>
      <c r="F7" s="45">
        <f>IF(OR(F$5="",$A7=""),"",IF($C$2="TODOS",IFERROR(SUMIFS(INVENTARIO!$E$4:$E$843,INVENTARIO!$B$4:$B$843,LOWER(F$5),INVENTARIO!$C$4:$C$843,$A7),0),IFERROR(SUMIFS(INVENTARIO!$E$4:$E$843,INVENTARIO!$A$4:$A$843,$C$2,INVENTARIO!$B$4:$B$843,LOWER(F$5),INVENTARIO!$C$4:$C$843,$A7),0)))</f>
        <v>1</v>
      </c>
      <c r="G7" s="45">
        <f>IF(OR(G$5="",$A7=""),"",IF($C$2="TODOS",IFERROR(SUMIFS(INVENTARIO!$E$4:$E$843,INVENTARIO!$B$4:$B$843,LOWER(G$5),INVENTARIO!$C$4:$C$843,$A7),0),IFERROR(SUMIFS(INVENTARIO!$E$4:$E$843,INVENTARIO!$A$4:$A$843,$C$2,INVENTARIO!$B$4:$B$843,LOWER(G$5),INVENTARIO!$C$4:$C$843,$A7),0)))</f>
        <v>10</v>
      </c>
      <c r="H7" s="45">
        <f>IF(OR(H$5="",$A7=""),"",IF($C$2="TODOS",IFERROR(SUMIFS(INVENTARIO!$E$4:$E$843,INVENTARIO!$B$4:$B$843,LOWER(H$5),INVENTARIO!$C$4:$C$843,$A7),0),IFERROR(SUMIFS(INVENTARIO!$E$4:$E$843,INVENTARIO!$A$4:$A$843,$C$2,INVENTARIO!$B$4:$B$843,LOWER(H$5),INVENTARIO!$C$4:$C$843,$A7),0)))</f>
        <v>8</v>
      </c>
      <c r="I7" s="45" t="str">
        <f>IF(OR(I$5="",$A7=""),"",IF($C$2="TODOS",IFERROR(SUMIFS(INVENTARIO!$E$4:$E$843,INVENTARIO!$B$4:$B$843,LOWER(I$5),INVENTARIO!$C$4:$C$843,$A7),0),IFERROR(SUMIFS(INVENTARIO!$E$4:$E$843,INVENTARIO!$A$4:$A$843,$C$2,INVENTARIO!$B$4:$B$843,LOWER(I$5),INVENTARIO!$C$4:$C$843,$A7),0)))</f>
        <v/>
      </c>
      <c r="J7" s="45" t="str">
        <f>IF(OR(J$5="",$A7=""),"",IF($C$2="TODOS",IFERROR(SUMIFS(INVENTARIO!$E$4:$E$843,INVENTARIO!$B$4:$B$843,LOWER(J$5),INVENTARIO!$C$4:$C$843,$A7),0),IFERROR(SUMIFS(INVENTARIO!$E$4:$E$843,INVENTARIO!$A$4:$A$843,$C$2,INVENTARIO!$B$4:$B$843,LOWER(J$5),INVENTARIO!$C$4:$C$843,$A7),0)))</f>
        <v/>
      </c>
      <c r="K7" s="45" t="str">
        <f>IF(OR(K$5="",$A7=""),"",IF($C$2="TODOS",IFERROR(SUMIFS(INVENTARIO!$E$4:$E$843,INVENTARIO!$B$4:$B$843,LOWER(K$5),INVENTARIO!$C$4:$C$843,$A7),0),IFERROR(SUMIFS(INVENTARIO!$E$4:$E$843,INVENTARIO!$A$4:$A$843,$C$2,INVENTARIO!$B$4:$B$843,LOWER(K$5),INVENTARIO!$C$4:$C$843,$A7),0)))</f>
        <v/>
      </c>
      <c r="L7" s="45" t="str">
        <f>IF(OR(L$5="",$A7=""),"",IF($C$2="TODOS",IFERROR(SUMIFS(INVENTARIO!$E$4:$E$843,INVENTARIO!$B$4:$B$843,LOWER(L$5),INVENTARIO!$C$4:$C$843,$A7),0),IFERROR(SUMIFS(INVENTARIO!$E$4:$E$843,INVENTARIO!$A$4:$A$843,$C$2,INVENTARIO!$B$4:$B$843,LOWER(L$5),INVENTARIO!$C$4:$C$843,$A7),0)))</f>
        <v/>
      </c>
      <c r="M7" s="45" t="str">
        <f>IF(OR(M$5="",$A7=""),"",IF($C$2="TODOS",IFERROR(SUMIFS(INVENTARIO!$E$4:$E$843,INVENTARIO!$B$4:$B$843,LOWER(M$5),INVENTARIO!$C$4:$C$843,$A7),0),IFERROR(SUMIFS(INVENTARIO!$E$4:$E$843,INVENTARIO!$A$4:$A$843,$C$2,INVENTARIO!$B$4:$B$843,LOWER(M$5),INVENTARIO!$C$4:$C$843,$A7),0)))</f>
        <v/>
      </c>
      <c r="N7" s="46">
        <f t="shared" si="1"/>
        <v>136</v>
      </c>
      <c r="O7" s="47">
        <f>IF($A7="","",IF($C$2="TODOS",IFERROR(SUMIFS(INVENTARIO!$H$4:$H$843,INVENTARIO!$C$4:$C$843,$A7),0),IFERROR(SUMIFS(INVENTARIO!$H$4:$H$843,INVENTARIO!$A$4:$A$843,$C$2,INVENTARIO!$C$4:$C$843,$A7),0)))</f>
        <v>49660</v>
      </c>
    </row>
    <row r="8" ht="15.0" customHeight="1">
      <c r="A8" s="44" t="str">
        <f>IFERROR(IF(COLORES!A6="","",COLORES!A6),"")</f>
        <v>Blanco</v>
      </c>
      <c r="B8" s="45">
        <f>IF(OR(B$5="",$A8=""),"",IF($C$2="TODOS",IFERROR(SUMIFS(INVENTARIO!$E$4:$E$843,INVENTARIO!$B$4:$B$843,LOWER(B$5),INVENTARIO!$C$4:$C$843,$A8),0),IFERROR(SUMIFS(INVENTARIO!$E$4:$E$843,INVENTARIO!$A$4:$A$843,$C$2,INVENTARIO!$B$4:$B$843,LOWER(B$5),INVENTARIO!$C$4:$C$843,$A8),0)))</f>
        <v>0</v>
      </c>
      <c r="C8" s="45">
        <f>IF(OR(C$5="",$A8=""),"",IF($C$2="TODOS",IFERROR(SUMIFS(INVENTARIO!$E$4:$E$843,INVENTARIO!$B$4:$B$843,LOWER(C$5),INVENTARIO!$C$4:$C$843,$A8),0),IFERROR(SUMIFS(INVENTARIO!$E$4:$E$843,INVENTARIO!$A$4:$A$843,$C$2,INVENTARIO!$B$4:$B$843,LOWER(C$5),INVENTARIO!$C$4:$C$843,$A8),0)))</f>
        <v>0</v>
      </c>
      <c r="D8" s="45">
        <f>IF(OR(D$5="",$A8=""),"",IF($C$2="TODOS",IFERROR(SUMIFS(INVENTARIO!$E$4:$E$843,INVENTARIO!$B$4:$B$843,LOWER(D$5),INVENTARIO!$C$4:$C$843,$A8),0),IFERROR(SUMIFS(INVENTARIO!$E$4:$E$843,INVENTARIO!$A$4:$A$843,$C$2,INVENTARIO!$B$4:$B$843,LOWER(D$5),INVENTARIO!$C$4:$C$843,$A8),0)))</f>
        <v>0</v>
      </c>
      <c r="E8" s="45">
        <f>IF(OR(E$5="",$A8=""),"",IF($C$2="TODOS",IFERROR(SUMIFS(INVENTARIO!$E$4:$E$843,INVENTARIO!$B$4:$B$843,LOWER(E$5),INVENTARIO!$C$4:$C$843,$A8),0),IFERROR(SUMIFS(INVENTARIO!$E$4:$E$843,INVENTARIO!$A$4:$A$843,$C$2,INVENTARIO!$B$4:$B$843,LOWER(E$5),INVENTARIO!$C$4:$C$843,$A8),0)))</f>
        <v>0</v>
      </c>
      <c r="F8" s="45">
        <f>IF(OR(F$5="",$A8=""),"",IF($C$2="TODOS",IFERROR(SUMIFS(INVENTARIO!$E$4:$E$843,INVENTARIO!$B$4:$B$843,LOWER(F$5),INVENTARIO!$C$4:$C$843,$A8),0),IFERROR(SUMIFS(INVENTARIO!$E$4:$E$843,INVENTARIO!$A$4:$A$843,$C$2,INVENTARIO!$B$4:$B$843,LOWER(F$5),INVENTARIO!$C$4:$C$843,$A8),0)))</f>
        <v>0</v>
      </c>
      <c r="G8" s="45">
        <f>IF(OR(G$5="",$A8=""),"",IF($C$2="TODOS",IFERROR(SUMIFS(INVENTARIO!$E$4:$E$843,INVENTARIO!$B$4:$B$843,LOWER(G$5),INVENTARIO!$C$4:$C$843,$A8),0),IFERROR(SUMIFS(INVENTARIO!$E$4:$E$843,INVENTARIO!$A$4:$A$843,$C$2,INVENTARIO!$B$4:$B$843,LOWER(G$5),INVENTARIO!$C$4:$C$843,$A8),0)))</f>
        <v>0</v>
      </c>
      <c r="H8" s="45">
        <f>IF(OR(H$5="",$A8=""),"",IF($C$2="TODOS",IFERROR(SUMIFS(INVENTARIO!$E$4:$E$843,INVENTARIO!$B$4:$B$843,LOWER(H$5),INVENTARIO!$C$4:$C$843,$A8),0),IFERROR(SUMIFS(INVENTARIO!$E$4:$E$843,INVENTARIO!$A$4:$A$843,$C$2,INVENTARIO!$B$4:$B$843,LOWER(H$5),INVENTARIO!$C$4:$C$843,$A8),0)))</f>
        <v>0</v>
      </c>
      <c r="I8" s="45" t="str">
        <f>IF(OR(I$5="",$A8=""),"",IF($C$2="TODOS",IFERROR(SUMIFS(INVENTARIO!$E$4:$E$843,INVENTARIO!$B$4:$B$843,LOWER(I$5),INVENTARIO!$C$4:$C$843,$A8),0),IFERROR(SUMIFS(INVENTARIO!$E$4:$E$843,INVENTARIO!$A$4:$A$843,$C$2,INVENTARIO!$B$4:$B$843,LOWER(I$5),INVENTARIO!$C$4:$C$843,$A8),0)))</f>
        <v/>
      </c>
      <c r="J8" s="45" t="str">
        <f>IF(OR(J$5="",$A8=""),"",IF($C$2="TODOS",IFERROR(SUMIFS(INVENTARIO!$E$4:$E$843,INVENTARIO!$B$4:$B$843,LOWER(J$5),INVENTARIO!$C$4:$C$843,$A8),0),IFERROR(SUMIFS(INVENTARIO!$E$4:$E$843,INVENTARIO!$A$4:$A$843,$C$2,INVENTARIO!$B$4:$B$843,LOWER(J$5),INVENTARIO!$C$4:$C$843,$A8),0)))</f>
        <v/>
      </c>
      <c r="K8" s="45" t="str">
        <f>IF(OR(K$5="",$A8=""),"",IF($C$2="TODOS",IFERROR(SUMIFS(INVENTARIO!$E$4:$E$843,INVENTARIO!$B$4:$B$843,LOWER(K$5),INVENTARIO!$C$4:$C$843,$A8),0),IFERROR(SUMIFS(INVENTARIO!$E$4:$E$843,INVENTARIO!$A$4:$A$843,$C$2,INVENTARIO!$B$4:$B$843,LOWER(K$5),INVENTARIO!$C$4:$C$843,$A8),0)))</f>
        <v/>
      </c>
      <c r="L8" s="45" t="str">
        <f>IF(OR(L$5="",$A8=""),"",IF($C$2="TODOS",IFERROR(SUMIFS(INVENTARIO!$E$4:$E$843,INVENTARIO!$B$4:$B$843,LOWER(L$5),INVENTARIO!$C$4:$C$843,$A8),0),IFERROR(SUMIFS(INVENTARIO!$E$4:$E$843,INVENTARIO!$A$4:$A$843,$C$2,INVENTARIO!$B$4:$B$843,LOWER(L$5),INVENTARIO!$C$4:$C$843,$A8),0)))</f>
        <v/>
      </c>
      <c r="M8" s="45" t="str">
        <f>IF(OR(M$5="",$A8=""),"",IF($C$2="TODOS",IFERROR(SUMIFS(INVENTARIO!$E$4:$E$843,INVENTARIO!$B$4:$B$843,LOWER(M$5),INVENTARIO!$C$4:$C$843,$A8),0),IFERROR(SUMIFS(INVENTARIO!$E$4:$E$843,INVENTARIO!$A$4:$A$843,$C$2,INVENTARIO!$B$4:$B$843,LOWER(M$5),INVENTARIO!$C$4:$C$843,$A8),0)))</f>
        <v/>
      </c>
      <c r="N8" s="46">
        <f t="shared" si="1"/>
        <v>0</v>
      </c>
      <c r="O8" s="47">
        <f>IF($A8="","",IF($C$2="TODOS",IFERROR(SUMIFS(INVENTARIO!$H$4:$H$843,INVENTARIO!$C$4:$C$843,$A8),0),IFERROR(SUMIFS(INVENTARIO!$H$4:$H$843,INVENTARIO!$A$4:$A$843,$C$2,INVENTARIO!$C$4:$C$843,$A8),0)))</f>
        <v>0</v>
      </c>
    </row>
    <row r="9" ht="15.0" customHeight="1">
      <c r="A9" s="44" t="str">
        <f>IFERROR(IF(COLORES!A7="","",COLORES!A7),"")</f>
        <v>Azul</v>
      </c>
      <c r="B9" s="45">
        <f>IF(OR(B$5="",$A9=""),"",IF($C$2="TODOS",IFERROR(SUMIFS(INVENTARIO!$E$4:$E$843,INVENTARIO!$B$4:$B$843,LOWER(B$5),INVENTARIO!$C$4:$C$843,$A9),0),IFERROR(SUMIFS(INVENTARIO!$E$4:$E$843,INVENTARIO!$A$4:$A$843,$C$2,INVENTARIO!$B$4:$B$843,LOWER(B$5),INVENTARIO!$C$4:$C$843,$A9),0)))</f>
        <v>6</v>
      </c>
      <c r="C9" s="45">
        <f>IF(OR(C$5="",$A9=""),"",IF($C$2="TODOS",IFERROR(SUMIFS(INVENTARIO!$E$4:$E$843,INVENTARIO!$B$4:$B$843,LOWER(C$5),INVENTARIO!$C$4:$C$843,$A9),0),IFERROR(SUMIFS(INVENTARIO!$E$4:$E$843,INVENTARIO!$A$4:$A$843,$C$2,INVENTARIO!$B$4:$B$843,LOWER(C$5),INVENTARIO!$C$4:$C$843,$A9),0)))</f>
        <v>13</v>
      </c>
      <c r="D9" s="45">
        <f>IF(OR(D$5="",$A9=""),"",IF($C$2="TODOS",IFERROR(SUMIFS(INVENTARIO!$E$4:$E$843,INVENTARIO!$B$4:$B$843,LOWER(D$5),INVENTARIO!$C$4:$C$843,$A9),0),IFERROR(SUMIFS(INVENTARIO!$E$4:$E$843,INVENTARIO!$A$4:$A$843,$C$2,INVENTARIO!$B$4:$B$843,LOWER(D$5),INVENTARIO!$C$4:$C$843,$A9),0)))</f>
        <v>23</v>
      </c>
      <c r="E9" s="45">
        <f>IF(OR(E$5="",$A9=""),"",IF($C$2="TODOS",IFERROR(SUMIFS(INVENTARIO!$E$4:$E$843,INVENTARIO!$B$4:$B$843,LOWER(E$5),INVENTARIO!$C$4:$C$843,$A9),0),IFERROR(SUMIFS(INVENTARIO!$E$4:$E$843,INVENTARIO!$A$4:$A$843,$C$2,INVENTARIO!$B$4:$B$843,LOWER(E$5),INVENTARIO!$C$4:$C$843,$A9),0)))</f>
        <v>0</v>
      </c>
      <c r="F9" s="45">
        <f>IF(OR(F$5="",$A9=""),"",IF($C$2="TODOS",IFERROR(SUMIFS(INVENTARIO!$E$4:$E$843,INVENTARIO!$B$4:$B$843,LOWER(F$5),INVENTARIO!$C$4:$C$843,$A9),0),IFERROR(SUMIFS(INVENTARIO!$E$4:$E$843,INVENTARIO!$A$4:$A$843,$C$2,INVENTARIO!$B$4:$B$843,LOWER(F$5),INVENTARIO!$C$4:$C$843,$A9),0)))</f>
        <v>1</v>
      </c>
      <c r="G9" s="45">
        <f>IF(OR(G$5="",$A9=""),"",IF($C$2="TODOS",IFERROR(SUMIFS(INVENTARIO!$E$4:$E$843,INVENTARIO!$B$4:$B$843,LOWER(G$5),INVENTARIO!$C$4:$C$843,$A9),0),IFERROR(SUMIFS(INVENTARIO!$E$4:$E$843,INVENTARIO!$A$4:$A$843,$C$2,INVENTARIO!$B$4:$B$843,LOWER(G$5),INVENTARIO!$C$4:$C$843,$A9),0)))</f>
        <v>10</v>
      </c>
      <c r="H9" s="45">
        <f>IF(OR(H$5="",$A9=""),"",IF($C$2="TODOS",IFERROR(SUMIFS(INVENTARIO!$E$4:$E$843,INVENTARIO!$B$4:$B$843,LOWER(H$5),INVENTARIO!$C$4:$C$843,$A9),0),IFERROR(SUMIFS(INVENTARIO!$E$4:$E$843,INVENTARIO!$A$4:$A$843,$C$2,INVENTARIO!$B$4:$B$843,LOWER(H$5),INVENTARIO!$C$4:$C$843,$A9),0)))</f>
        <v>17</v>
      </c>
      <c r="I9" s="45" t="str">
        <f>IF(OR(I$5="",$A9=""),"",IF($C$2="TODOS",IFERROR(SUMIFS(INVENTARIO!$E$4:$E$843,INVENTARIO!$B$4:$B$843,LOWER(I$5),INVENTARIO!$C$4:$C$843,$A9),0),IFERROR(SUMIFS(INVENTARIO!$E$4:$E$843,INVENTARIO!$A$4:$A$843,$C$2,INVENTARIO!$B$4:$B$843,LOWER(I$5),INVENTARIO!$C$4:$C$843,$A9),0)))</f>
        <v/>
      </c>
      <c r="J9" s="45" t="str">
        <f>IF(OR(J$5="",$A9=""),"",IF($C$2="TODOS",IFERROR(SUMIFS(INVENTARIO!$E$4:$E$843,INVENTARIO!$B$4:$B$843,LOWER(J$5),INVENTARIO!$C$4:$C$843,$A9),0),IFERROR(SUMIFS(INVENTARIO!$E$4:$E$843,INVENTARIO!$A$4:$A$843,$C$2,INVENTARIO!$B$4:$B$843,LOWER(J$5),INVENTARIO!$C$4:$C$843,$A9),0)))</f>
        <v/>
      </c>
      <c r="K9" s="45" t="str">
        <f>IF(OR(K$5="",$A9=""),"",IF($C$2="TODOS",IFERROR(SUMIFS(INVENTARIO!$E$4:$E$843,INVENTARIO!$B$4:$B$843,LOWER(K$5),INVENTARIO!$C$4:$C$843,$A9),0),IFERROR(SUMIFS(INVENTARIO!$E$4:$E$843,INVENTARIO!$A$4:$A$843,$C$2,INVENTARIO!$B$4:$B$843,LOWER(K$5),INVENTARIO!$C$4:$C$843,$A9),0)))</f>
        <v/>
      </c>
      <c r="L9" s="45" t="str">
        <f>IF(OR(L$5="",$A9=""),"",IF($C$2="TODOS",IFERROR(SUMIFS(INVENTARIO!$E$4:$E$843,INVENTARIO!$B$4:$B$843,LOWER(L$5),INVENTARIO!$C$4:$C$843,$A9),0),IFERROR(SUMIFS(INVENTARIO!$E$4:$E$843,INVENTARIO!$A$4:$A$843,$C$2,INVENTARIO!$B$4:$B$843,LOWER(L$5),INVENTARIO!$C$4:$C$843,$A9),0)))</f>
        <v/>
      </c>
      <c r="M9" s="45" t="str">
        <f>IF(OR(M$5="",$A9=""),"",IF($C$2="TODOS",IFERROR(SUMIFS(INVENTARIO!$E$4:$E$843,INVENTARIO!$B$4:$B$843,LOWER(M$5),INVENTARIO!$C$4:$C$843,$A9),0),IFERROR(SUMIFS(INVENTARIO!$E$4:$E$843,INVENTARIO!$A$4:$A$843,$C$2,INVENTARIO!$B$4:$B$843,LOWER(M$5),INVENTARIO!$C$4:$C$843,$A9),0)))</f>
        <v/>
      </c>
      <c r="N9" s="46">
        <f t="shared" si="1"/>
        <v>70</v>
      </c>
      <c r="O9" s="47">
        <f>IF($A9="","",IF($C$2="TODOS",IFERROR(SUMIFS(INVENTARIO!$H$4:$H$843,INVENTARIO!$C$4:$C$843,$A9),0),IFERROR(SUMIFS(INVENTARIO!$H$4:$H$843,INVENTARIO!$A$4:$A$843,$C$2,INVENTARIO!$C$4:$C$843,$A9),0)))</f>
        <v>35200</v>
      </c>
    </row>
    <row r="10" ht="15.0" customHeight="1">
      <c r="A10" s="44" t="str">
        <f>IFERROR(IF(COLORES!A8="","",COLORES!A8),"")</f>
        <v>Beige</v>
      </c>
      <c r="B10" s="45">
        <f>IF(OR(B$5="",$A10=""),"",IF($C$2="TODOS",IFERROR(SUMIFS(INVENTARIO!$E$4:$E$843,INVENTARIO!$B$4:$B$843,LOWER(B$5),INVENTARIO!$C$4:$C$843,$A10),0),IFERROR(SUMIFS(INVENTARIO!$E$4:$E$843,INVENTARIO!$A$4:$A$843,$C$2,INVENTARIO!$B$4:$B$843,LOWER(B$5),INVENTARIO!$C$4:$C$843,$A10),0)))</f>
        <v>8</v>
      </c>
      <c r="C10" s="45">
        <f>IF(OR(C$5="",$A10=""),"",IF($C$2="TODOS",IFERROR(SUMIFS(INVENTARIO!$E$4:$E$843,INVENTARIO!$B$4:$B$843,LOWER(C$5),INVENTARIO!$C$4:$C$843,$A10),0),IFERROR(SUMIFS(INVENTARIO!$E$4:$E$843,INVENTARIO!$A$4:$A$843,$C$2,INVENTARIO!$B$4:$B$843,LOWER(C$5),INVENTARIO!$C$4:$C$843,$A10),0)))</f>
        <v>0</v>
      </c>
      <c r="D10" s="45">
        <f>IF(OR(D$5="",$A10=""),"",IF($C$2="TODOS",IFERROR(SUMIFS(INVENTARIO!$E$4:$E$843,INVENTARIO!$B$4:$B$843,LOWER(D$5),INVENTARIO!$C$4:$C$843,$A10),0),IFERROR(SUMIFS(INVENTARIO!$E$4:$E$843,INVENTARIO!$A$4:$A$843,$C$2,INVENTARIO!$B$4:$B$843,LOWER(D$5),INVENTARIO!$C$4:$C$843,$A10),0)))</f>
        <v>3</v>
      </c>
      <c r="E10" s="45">
        <f>IF(OR(E$5="",$A10=""),"",IF($C$2="TODOS",IFERROR(SUMIFS(INVENTARIO!$E$4:$E$843,INVENTARIO!$B$4:$B$843,LOWER(E$5),INVENTARIO!$C$4:$C$843,$A10),0),IFERROR(SUMIFS(INVENTARIO!$E$4:$E$843,INVENTARIO!$A$4:$A$843,$C$2,INVENTARIO!$B$4:$B$843,LOWER(E$5),INVENTARIO!$C$4:$C$843,$A10),0)))</f>
        <v>0</v>
      </c>
      <c r="F10" s="45">
        <f>IF(OR(F$5="",$A10=""),"",IF($C$2="TODOS",IFERROR(SUMIFS(INVENTARIO!$E$4:$E$843,INVENTARIO!$B$4:$B$843,LOWER(F$5),INVENTARIO!$C$4:$C$843,$A10),0),IFERROR(SUMIFS(INVENTARIO!$E$4:$E$843,INVENTARIO!$A$4:$A$843,$C$2,INVENTARIO!$B$4:$B$843,LOWER(F$5),INVENTARIO!$C$4:$C$843,$A10),0)))</f>
        <v>0</v>
      </c>
      <c r="G10" s="45">
        <f>IF(OR(G$5="",$A10=""),"",IF($C$2="TODOS",IFERROR(SUMIFS(INVENTARIO!$E$4:$E$843,INVENTARIO!$B$4:$B$843,LOWER(G$5),INVENTARIO!$C$4:$C$843,$A10),0),IFERROR(SUMIFS(INVENTARIO!$E$4:$E$843,INVENTARIO!$A$4:$A$843,$C$2,INVENTARIO!$B$4:$B$843,LOWER(G$5),INVENTARIO!$C$4:$C$843,$A10),0)))</f>
        <v>3</v>
      </c>
      <c r="H10" s="45">
        <f>IF(OR(H$5="",$A10=""),"",IF($C$2="TODOS",IFERROR(SUMIFS(INVENTARIO!$E$4:$E$843,INVENTARIO!$B$4:$B$843,LOWER(H$5),INVENTARIO!$C$4:$C$843,$A10),0),IFERROR(SUMIFS(INVENTARIO!$E$4:$E$843,INVENTARIO!$A$4:$A$843,$C$2,INVENTARIO!$B$4:$B$843,LOWER(H$5),INVENTARIO!$C$4:$C$843,$A10),0)))</f>
        <v>4</v>
      </c>
      <c r="I10" s="45" t="str">
        <f>IF(OR(I$5="",$A10=""),"",IF($C$2="TODOS",IFERROR(SUMIFS(INVENTARIO!$E$4:$E$843,INVENTARIO!$B$4:$B$843,LOWER(I$5),INVENTARIO!$C$4:$C$843,$A10),0),IFERROR(SUMIFS(INVENTARIO!$E$4:$E$843,INVENTARIO!$A$4:$A$843,$C$2,INVENTARIO!$B$4:$B$843,LOWER(I$5),INVENTARIO!$C$4:$C$843,$A10),0)))</f>
        <v/>
      </c>
      <c r="J10" s="45" t="str">
        <f>IF(OR(J$5="",$A10=""),"",IF($C$2="TODOS",IFERROR(SUMIFS(INVENTARIO!$E$4:$E$843,INVENTARIO!$B$4:$B$843,LOWER(J$5),INVENTARIO!$C$4:$C$843,$A10),0),IFERROR(SUMIFS(INVENTARIO!$E$4:$E$843,INVENTARIO!$A$4:$A$843,$C$2,INVENTARIO!$B$4:$B$843,LOWER(J$5),INVENTARIO!$C$4:$C$843,$A10),0)))</f>
        <v/>
      </c>
      <c r="K10" s="45" t="str">
        <f>IF(OR(K$5="",$A10=""),"",IF($C$2="TODOS",IFERROR(SUMIFS(INVENTARIO!$E$4:$E$843,INVENTARIO!$B$4:$B$843,LOWER(K$5),INVENTARIO!$C$4:$C$843,$A10),0),IFERROR(SUMIFS(INVENTARIO!$E$4:$E$843,INVENTARIO!$A$4:$A$843,$C$2,INVENTARIO!$B$4:$B$843,LOWER(K$5),INVENTARIO!$C$4:$C$843,$A10),0)))</f>
        <v/>
      </c>
      <c r="L10" s="45" t="str">
        <f>IF(OR(L$5="",$A10=""),"",IF($C$2="TODOS",IFERROR(SUMIFS(INVENTARIO!$E$4:$E$843,INVENTARIO!$B$4:$B$843,LOWER(L$5),INVENTARIO!$C$4:$C$843,$A10),0),IFERROR(SUMIFS(INVENTARIO!$E$4:$E$843,INVENTARIO!$A$4:$A$843,$C$2,INVENTARIO!$B$4:$B$843,LOWER(L$5),INVENTARIO!$C$4:$C$843,$A10),0)))</f>
        <v/>
      </c>
      <c r="M10" s="45" t="str">
        <f>IF(OR(M$5="",$A10=""),"",IF($C$2="TODOS",IFERROR(SUMIFS(INVENTARIO!$E$4:$E$843,INVENTARIO!$B$4:$B$843,LOWER(M$5),INVENTARIO!$C$4:$C$843,$A10),0),IFERROR(SUMIFS(INVENTARIO!$E$4:$E$843,INVENTARIO!$A$4:$A$843,$C$2,INVENTARIO!$B$4:$B$843,LOWER(M$5),INVENTARIO!$C$4:$C$843,$A10),0)))</f>
        <v/>
      </c>
      <c r="N10" s="46">
        <f t="shared" si="1"/>
        <v>18</v>
      </c>
      <c r="O10" s="47">
        <f>IF($A10="","",IF($C$2="TODOS",IFERROR(SUMIFS(INVENTARIO!$H$4:$H$843,INVENTARIO!$C$4:$C$843,$A10),0),IFERROR(SUMIFS(INVENTARIO!$H$4:$H$843,INVENTARIO!$A$4:$A$843,$C$2,INVENTARIO!$C$4:$C$843,$A10),0)))</f>
        <v>7770</v>
      </c>
    </row>
    <row r="11" ht="15.0" customHeight="1">
      <c r="A11" s="44" t="str">
        <f>IFERROR(IF(COLORES!A9="","",COLORES!A9),"")</f>
        <v>Melange</v>
      </c>
      <c r="B11" s="45">
        <f>IF(OR(B$5="",$A11=""),"",IF($C$2="TODOS",IFERROR(SUMIFS(INVENTARIO!$E$4:$E$843,INVENTARIO!$B$4:$B$843,LOWER(B$5),INVENTARIO!$C$4:$C$843,$A11),0),IFERROR(SUMIFS(INVENTARIO!$E$4:$E$843,INVENTARIO!$A$4:$A$843,$C$2,INVENTARIO!$B$4:$B$843,LOWER(B$5),INVENTARIO!$C$4:$C$843,$A11),0)))</f>
        <v>0</v>
      </c>
      <c r="C11" s="45">
        <f>IF(OR(C$5="",$A11=""),"",IF($C$2="TODOS",IFERROR(SUMIFS(INVENTARIO!$E$4:$E$843,INVENTARIO!$B$4:$B$843,LOWER(C$5),INVENTARIO!$C$4:$C$843,$A11),0),IFERROR(SUMIFS(INVENTARIO!$E$4:$E$843,INVENTARIO!$A$4:$A$843,$C$2,INVENTARIO!$B$4:$B$843,LOWER(C$5),INVENTARIO!$C$4:$C$843,$A11),0)))</f>
        <v>3</v>
      </c>
      <c r="D11" s="45">
        <f>IF(OR(D$5="",$A11=""),"",IF($C$2="TODOS",IFERROR(SUMIFS(INVENTARIO!$E$4:$E$843,INVENTARIO!$B$4:$B$843,LOWER(D$5),INVENTARIO!$C$4:$C$843,$A11),0),IFERROR(SUMIFS(INVENTARIO!$E$4:$E$843,INVENTARIO!$A$4:$A$843,$C$2,INVENTARIO!$B$4:$B$843,LOWER(D$5),INVENTARIO!$C$4:$C$843,$A11),0)))</f>
        <v>21</v>
      </c>
      <c r="E11" s="45">
        <f>IF(OR(E$5="",$A11=""),"",IF($C$2="TODOS",IFERROR(SUMIFS(INVENTARIO!$E$4:$E$843,INVENTARIO!$B$4:$B$843,LOWER(E$5),INVENTARIO!$C$4:$C$843,$A11),0),IFERROR(SUMIFS(INVENTARIO!$E$4:$E$843,INVENTARIO!$A$4:$A$843,$C$2,INVENTARIO!$B$4:$B$843,LOWER(E$5),INVENTARIO!$C$4:$C$843,$A11),0)))</f>
        <v>0</v>
      </c>
      <c r="F11" s="45">
        <f>IF(OR(F$5="",$A11=""),"",IF($C$2="TODOS",IFERROR(SUMIFS(INVENTARIO!$E$4:$E$843,INVENTARIO!$B$4:$B$843,LOWER(F$5),INVENTARIO!$C$4:$C$843,$A11),0),IFERROR(SUMIFS(INVENTARIO!$E$4:$E$843,INVENTARIO!$A$4:$A$843,$C$2,INVENTARIO!$B$4:$B$843,LOWER(F$5),INVENTARIO!$C$4:$C$843,$A11),0)))</f>
        <v>0</v>
      </c>
      <c r="G11" s="45">
        <f>IF(OR(G$5="",$A11=""),"",IF($C$2="TODOS",IFERROR(SUMIFS(INVENTARIO!$E$4:$E$843,INVENTARIO!$B$4:$B$843,LOWER(G$5),INVENTARIO!$C$4:$C$843,$A11),0),IFERROR(SUMIFS(INVENTARIO!$E$4:$E$843,INVENTARIO!$A$4:$A$843,$C$2,INVENTARIO!$B$4:$B$843,LOWER(G$5),INVENTARIO!$C$4:$C$843,$A11),0)))</f>
        <v>0</v>
      </c>
      <c r="H11" s="45">
        <f>IF(OR(H$5="",$A11=""),"",IF($C$2="TODOS",IFERROR(SUMIFS(INVENTARIO!$E$4:$E$843,INVENTARIO!$B$4:$B$843,LOWER(H$5),INVENTARIO!$C$4:$C$843,$A11),0),IFERROR(SUMIFS(INVENTARIO!$E$4:$E$843,INVENTARIO!$A$4:$A$843,$C$2,INVENTARIO!$B$4:$B$843,LOWER(H$5),INVENTARIO!$C$4:$C$843,$A11),0)))</f>
        <v>0</v>
      </c>
      <c r="I11" s="45" t="str">
        <f>IF(OR(I$5="",$A11=""),"",IF($C$2="TODOS",IFERROR(SUMIFS(INVENTARIO!$E$4:$E$843,INVENTARIO!$B$4:$B$843,LOWER(I$5),INVENTARIO!$C$4:$C$843,$A11),0),IFERROR(SUMIFS(INVENTARIO!$E$4:$E$843,INVENTARIO!$A$4:$A$843,$C$2,INVENTARIO!$B$4:$B$843,LOWER(I$5),INVENTARIO!$C$4:$C$843,$A11),0)))</f>
        <v/>
      </c>
      <c r="J11" s="45" t="str">
        <f>IF(OR(J$5="",$A11=""),"",IF($C$2="TODOS",IFERROR(SUMIFS(INVENTARIO!$E$4:$E$843,INVENTARIO!$B$4:$B$843,LOWER(J$5),INVENTARIO!$C$4:$C$843,$A11),0),IFERROR(SUMIFS(INVENTARIO!$E$4:$E$843,INVENTARIO!$A$4:$A$843,$C$2,INVENTARIO!$B$4:$B$843,LOWER(J$5),INVENTARIO!$C$4:$C$843,$A11),0)))</f>
        <v/>
      </c>
      <c r="K11" s="45" t="str">
        <f>IF(OR(K$5="",$A11=""),"",IF($C$2="TODOS",IFERROR(SUMIFS(INVENTARIO!$E$4:$E$843,INVENTARIO!$B$4:$B$843,LOWER(K$5),INVENTARIO!$C$4:$C$843,$A11),0),IFERROR(SUMIFS(INVENTARIO!$E$4:$E$843,INVENTARIO!$A$4:$A$843,$C$2,INVENTARIO!$B$4:$B$843,LOWER(K$5),INVENTARIO!$C$4:$C$843,$A11),0)))</f>
        <v/>
      </c>
      <c r="L11" s="45" t="str">
        <f>IF(OR(L$5="",$A11=""),"",IF($C$2="TODOS",IFERROR(SUMIFS(INVENTARIO!$E$4:$E$843,INVENTARIO!$B$4:$B$843,LOWER(L$5),INVENTARIO!$C$4:$C$843,$A11),0),IFERROR(SUMIFS(INVENTARIO!$E$4:$E$843,INVENTARIO!$A$4:$A$843,$C$2,INVENTARIO!$B$4:$B$843,LOWER(L$5),INVENTARIO!$C$4:$C$843,$A11),0)))</f>
        <v/>
      </c>
      <c r="M11" s="45" t="str">
        <f>IF(OR(M$5="",$A11=""),"",IF($C$2="TODOS",IFERROR(SUMIFS(INVENTARIO!$E$4:$E$843,INVENTARIO!$B$4:$B$843,LOWER(M$5),INVENTARIO!$C$4:$C$843,$A11),0),IFERROR(SUMIFS(INVENTARIO!$E$4:$E$843,INVENTARIO!$A$4:$A$843,$C$2,INVENTARIO!$B$4:$B$843,LOWER(M$5),INVENTARIO!$C$4:$C$843,$A11),0)))</f>
        <v/>
      </c>
      <c r="N11" s="46">
        <f t="shared" si="1"/>
        <v>24</v>
      </c>
      <c r="O11" s="47">
        <f>IF($A11="","",IF($C$2="TODOS",IFERROR(SUMIFS(INVENTARIO!$H$4:$H$843,INVENTARIO!$C$4:$C$843,$A11),0),IFERROR(SUMIFS(INVENTARIO!$H$4:$H$843,INVENTARIO!$A$4:$A$843,$C$2,INVENTARIO!$C$4:$C$843,$A11),0)))</f>
        <v>9060</v>
      </c>
    </row>
    <row r="12" ht="15.0" customHeight="1">
      <c r="A12" s="44" t="str">
        <f>IFERROR(IF(COLORES!A10="","",COLORES!A10),"")</f>
        <v>Botella</v>
      </c>
      <c r="B12" s="45">
        <f>IF(OR(B$5="",$A12=""),"",IF($C$2="TODOS",IFERROR(SUMIFS(INVENTARIO!$E$4:$E$843,INVENTARIO!$B$4:$B$843,LOWER(B$5),INVENTARIO!$C$4:$C$843,$A12),0),IFERROR(SUMIFS(INVENTARIO!$E$4:$E$843,INVENTARIO!$A$4:$A$843,$C$2,INVENTARIO!$B$4:$B$843,LOWER(B$5),INVENTARIO!$C$4:$C$843,$A12),0)))</f>
        <v>9</v>
      </c>
      <c r="C12" s="45">
        <f>IF(OR(C$5="",$A12=""),"",IF($C$2="TODOS",IFERROR(SUMIFS(INVENTARIO!$E$4:$E$843,INVENTARIO!$B$4:$B$843,LOWER(C$5),INVENTARIO!$C$4:$C$843,$A12),0),IFERROR(SUMIFS(INVENTARIO!$E$4:$E$843,INVENTARIO!$A$4:$A$843,$C$2,INVENTARIO!$B$4:$B$843,LOWER(C$5),INVENTARIO!$C$4:$C$843,$A12),0)))</f>
        <v>0</v>
      </c>
      <c r="D12" s="45">
        <f>IF(OR(D$5="",$A12=""),"",IF($C$2="TODOS",IFERROR(SUMIFS(INVENTARIO!$E$4:$E$843,INVENTARIO!$B$4:$B$843,LOWER(D$5),INVENTARIO!$C$4:$C$843,$A12),0),IFERROR(SUMIFS(INVENTARIO!$E$4:$E$843,INVENTARIO!$A$4:$A$843,$C$2,INVENTARIO!$B$4:$B$843,LOWER(D$5),INVENTARIO!$C$4:$C$843,$A12),0)))</f>
        <v>17</v>
      </c>
      <c r="E12" s="45">
        <f>IF(OR(E$5="",$A12=""),"",IF($C$2="TODOS",IFERROR(SUMIFS(INVENTARIO!$E$4:$E$843,INVENTARIO!$B$4:$B$843,LOWER(E$5),INVENTARIO!$C$4:$C$843,$A12),0),IFERROR(SUMIFS(INVENTARIO!$E$4:$E$843,INVENTARIO!$A$4:$A$843,$C$2,INVENTARIO!$B$4:$B$843,LOWER(E$5),INVENTARIO!$C$4:$C$843,$A12),0)))</f>
        <v>0</v>
      </c>
      <c r="F12" s="45">
        <f>IF(OR(F$5="",$A12=""),"",IF($C$2="TODOS",IFERROR(SUMIFS(INVENTARIO!$E$4:$E$843,INVENTARIO!$B$4:$B$843,LOWER(F$5),INVENTARIO!$C$4:$C$843,$A12),0),IFERROR(SUMIFS(INVENTARIO!$E$4:$E$843,INVENTARIO!$A$4:$A$843,$C$2,INVENTARIO!$B$4:$B$843,LOWER(F$5),INVENTARIO!$C$4:$C$843,$A12),0)))</f>
        <v>1</v>
      </c>
      <c r="G12" s="45">
        <f>IF(OR(G$5="",$A12=""),"",IF($C$2="TODOS",IFERROR(SUMIFS(INVENTARIO!$E$4:$E$843,INVENTARIO!$B$4:$B$843,LOWER(G$5),INVENTARIO!$C$4:$C$843,$A12),0),IFERROR(SUMIFS(INVENTARIO!$E$4:$E$843,INVENTARIO!$A$4:$A$843,$C$2,INVENTARIO!$B$4:$B$843,LOWER(G$5),INVENTARIO!$C$4:$C$843,$A12),0)))</f>
        <v>6</v>
      </c>
      <c r="H12" s="45">
        <f>IF(OR(H$5="",$A12=""),"",IF($C$2="TODOS",IFERROR(SUMIFS(INVENTARIO!$E$4:$E$843,INVENTARIO!$B$4:$B$843,LOWER(H$5),INVENTARIO!$C$4:$C$843,$A12),0),IFERROR(SUMIFS(INVENTARIO!$E$4:$E$843,INVENTARIO!$A$4:$A$843,$C$2,INVENTARIO!$B$4:$B$843,LOWER(H$5),INVENTARIO!$C$4:$C$843,$A12),0)))</f>
        <v>10</v>
      </c>
      <c r="I12" s="45" t="str">
        <f>IF(OR(I$5="",$A12=""),"",IF($C$2="TODOS",IFERROR(SUMIFS(INVENTARIO!$E$4:$E$843,INVENTARIO!$B$4:$B$843,LOWER(I$5),INVENTARIO!$C$4:$C$843,$A12),0),IFERROR(SUMIFS(INVENTARIO!$E$4:$E$843,INVENTARIO!$A$4:$A$843,$C$2,INVENTARIO!$B$4:$B$843,LOWER(I$5),INVENTARIO!$C$4:$C$843,$A12),0)))</f>
        <v/>
      </c>
      <c r="J12" s="45" t="str">
        <f>IF(OR(J$5="",$A12=""),"",IF($C$2="TODOS",IFERROR(SUMIFS(INVENTARIO!$E$4:$E$843,INVENTARIO!$B$4:$B$843,LOWER(J$5),INVENTARIO!$C$4:$C$843,$A12),0),IFERROR(SUMIFS(INVENTARIO!$E$4:$E$843,INVENTARIO!$A$4:$A$843,$C$2,INVENTARIO!$B$4:$B$843,LOWER(J$5),INVENTARIO!$C$4:$C$843,$A12),0)))</f>
        <v/>
      </c>
      <c r="K12" s="45" t="str">
        <f>IF(OR(K$5="",$A12=""),"",IF($C$2="TODOS",IFERROR(SUMIFS(INVENTARIO!$E$4:$E$843,INVENTARIO!$B$4:$B$843,LOWER(K$5),INVENTARIO!$C$4:$C$843,$A12),0),IFERROR(SUMIFS(INVENTARIO!$E$4:$E$843,INVENTARIO!$A$4:$A$843,$C$2,INVENTARIO!$B$4:$B$843,LOWER(K$5),INVENTARIO!$C$4:$C$843,$A12),0)))</f>
        <v/>
      </c>
      <c r="L12" s="45" t="str">
        <f>IF(OR(L$5="",$A12=""),"",IF($C$2="TODOS",IFERROR(SUMIFS(INVENTARIO!$E$4:$E$843,INVENTARIO!$B$4:$B$843,LOWER(L$5),INVENTARIO!$C$4:$C$843,$A12),0),IFERROR(SUMIFS(INVENTARIO!$E$4:$E$843,INVENTARIO!$A$4:$A$843,$C$2,INVENTARIO!$B$4:$B$843,LOWER(L$5),INVENTARIO!$C$4:$C$843,$A12),0)))</f>
        <v/>
      </c>
      <c r="M12" s="45" t="str">
        <f>IF(OR(M$5="",$A12=""),"",IF($C$2="TODOS",IFERROR(SUMIFS(INVENTARIO!$E$4:$E$843,INVENTARIO!$B$4:$B$843,LOWER(M$5),INVENTARIO!$C$4:$C$843,$A12),0),IFERROR(SUMIFS(INVENTARIO!$E$4:$E$843,INVENTARIO!$A$4:$A$843,$C$2,INVENTARIO!$B$4:$B$843,LOWER(M$5),INVENTARIO!$C$4:$C$843,$A12),0)))</f>
        <v/>
      </c>
      <c r="N12" s="46">
        <f t="shared" si="1"/>
        <v>43</v>
      </c>
      <c r="O12" s="47">
        <f>IF($A12="","",IF($C$2="TODOS",IFERROR(SUMIFS(INVENTARIO!$H$4:$H$843,INVENTARIO!$C$4:$C$843,$A12),0),IFERROR(SUMIFS(INVENTARIO!$H$4:$H$843,INVENTARIO!$A$4:$A$843,$C$2,INVENTARIO!$C$4:$C$843,$A12),0)))</f>
        <v>21720</v>
      </c>
    </row>
    <row r="13" ht="15.0" customHeight="1">
      <c r="A13" s="44" t="str">
        <f>IFERROR(IF(COLORES!A11="","",COLORES!A11),"")</f>
        <v>Pacay</v>
      </c>
      <c r="B13" s="45">
        <f>IF(OR(B$5="",$A13=""),"",IF($C$2="TODOS",IFERROR(SUMIFS(INVENTARIO!$E$4:$E$843,INVENTARIO!$B$4:$B$843,LOWER(B$5),INVENTARIO!$C$4:$C$843,$A13),0),IFERROR(SUMIFS(INVENTARIO!$E$4:$E$843,INVENTARIO!$A$4:$A$843,$C$2,INVENTARIO!$B$4:$B$843,LOWER(B$5),INVENTARIO!$C$4:$C$843,$A13),0)))</f>
        <v>8</v>
      </c>
      <c r="C13" s="45">
        <f>IF(OR(C$5="",$A13=""),"",IF($C$2="TODOS",IFERROR(SUMIFS(INVENTARIO!$E$4:$E$843,INVENTARIO!$B$4:$B$843,LOWER(C$5),INVENTARIO!$C$4:$C$843,$A13),0),IFERROR(SUMIFS(INVENTARIO!$E$4:$E$843,INVENTARIO!$A$4:$A$843,$C$2,INVENTARIO!$B$4:$B$843,LOWER(C$5),INVENTARIO!$C$4:$C$843,$A13),0)))</f>
        <v>7</v>
      </c>
      <c r="D13" s="45">
        <f>IF(OR(D$5="",$A13=""),"",IF($C$2="TODOS",IFERROR(SUMIFS(INVENTARIO!$E$4:$E$843,INVENTARIO!$B$4:$B$843,LOWER(D$5),INVENTARIO!$C$4:$C$843,$A13),0),IFERROR(SUMIFS(INVENTARIO!$E$4:$E$843,INVENTARIO!$A$4:$A$843,$C$2,INVENTARIO!$B$4:$B$843,LOWER(D$5),INVENTARIO!$C$4:$C$843,$A13),0)))</f>
        <v>11</v>
      </c>
      <c r="E13" s="45">
        <f>IF(OR(E$5="",$A13=""),"",IF($C$2="TODOS",IFERROR(SUMIFS(INVENTARIO!$E$4:$E$843,INVENTARIO!$B$4:$B$843,LOWER(E$5),INVENTARIO!$C$4:$C$843,$A13),0),IFERROR(SUMIFS(INVENTARIO!$E$4:$E$843,INVENTARIO!$A$4:$A$843,$C$2,INVENTARIO!$B$4:$B$843,LOWER(E$5),INVENTARIO!$C$4:$C$843,$A13),0)))</f>
        <v>0</v>
      </c>
      <c r="F13" s="45">
        <f>IF(OR(F$5="",$A13=""),"",IF($C$2="TODOS",IFERROR(SUMIFS(INVENTARIO!$E$4:$E$843,INVENTARIO!$B$4:$B$843,LOWER(F$5),INVENTARIO!$C$4:$C$843,$A13),0),IFERROR(SUMIFS(INVENTARIO!$E$4:$E$843,INVENTARIO!$A$4:$A$843,$C$2,INVENTARIO!$B$4:$B$843,LOWER(F$5),INVENTARIO!$C$4:$C$843,$A13),0)))</f>
        <v>0</v>
      </c>
      <c r="G13" s="45">
        <f>IF(OR(G$5="",$A13=""),"",IF($C$2="TODOS",IFERROR(SUMIFS(INVENTARIO!$E$4:$E$843,INVENTARIO!$B$4:$B$843,LOWER(G$5),INVENTARIO!$C$4:$C$843,$A13),0),IFERROR(SUMIFS(INVENTARIO!$E$4:$E$843,INVENTARIO!$A$4:$A$843,$C$2,INVENTARIO!$B$4:$B$843,LOWER(G$5),INVENTARIO!$C$4:$C$843,$A13),0)))</f>
        <v>4</v>
      </c>
      <c r="H13" s="45">
        <f>IF(OR(H$5="",$A13=""),"",IF($C$2="TODOS",IFERROR(SUMIFS(INVENTARIO!$E$4:$E$843,INVENTARIO!$B$4:$B$843,LOWER(H$5),INVENTARIO!$C$4:$C$843,$A13),0),IFERROR(SUMIFS(INVENTARIO!$E$4:$E$843,INVENTARIO!$A$4:$A$843,$C$2,INVENTARIO!$B$4:$B$843,LOWER(H$5),INVENTARIO!$C$4:$C$843,$A13),0)))</f>
        <v>3</v>
      </c>
      <c r="I13" s="45" t="str">
        <f>IF(OR(I$5="",$A13=""),"",IF($C$2="TODOS",IFERROR(SUMIFS(INVENTARIO!$E$4:$E$843,INVENTARIO!$B$4:$B$843,LOWER(I$5),INVENTARIO!$C$4:$C$843,$A13),0),IFERROR(SUMIFS(INVENTARIO!$E$4:$E$843,INVENTARIO!$A$4:$A$843,$C$2,INVENTARIO!$B$4:$B$843,LOWER(I$5),INVENTARIO!$C$4:$C$843,$A13),0)))</f>
        <v/>
      </c>
      <c r="J13" s="45" t="str">
        <f>IF(OR(J$5="",$A13=""),"",IF($C$2="TODOS",IFERROR(SUMIFS(INVENTARIO!$E$4:$E$843,INVENTARIO!$B$4:$B$843,LOWER(J$5),INVENTARIO!$C$4:$C$843,$A13),0),IFERROR(SUMIFS(INVENTARIO!$E$4:$E$843,INVENTARIO!$A$4:$A$843,$C$2,INVENTARIO!$B$4:$B$843,LOWER(J$5),INVENTARIO!$C$4:$C$843,$A13),0)))</f>
        <v/>
      </c>
      <c r="K13" s="45" t="str">
        <f>IF(OR(K$5="",$A13=""),"",IF($C$2="TODOS",IFERROR(SUMIFS(INVENTARIO!$E$4:$E$843,INVENTARIO!$B$4:$B$843,LOWER(K$5),INVENTARIO!$C$4:$C$843,$A13),0),IFERROR(SUMIFS(INVENTARIO!$E$4:$E$843,INVENTARIO!$A$4:$A$843,$C$2,INVENTARIO!$B$4:$B$843,LOWER(K$5),INVENTARIO!$C$4:$C$843,$A13),0)))</f>
        <v/>
      </c>
      <c r="L13" s="45" t="str">
        <f>IF(OR(L$5="",$A13=""),"",IF($C$2="TODOS",IFERROR(SUMIFS(INVENTARIO!$E$4:$E$843,INVENTARIO!$B$4:$B$843,LOWER(L$5),INVENTARIO!$C$4:$C$843,$A13),0),IFERROR(SUMIFS(INVENTARIO!$E$4:$E$843,INVENTARIO!$A$4:$A$843,$C$2,INVENTARIO!$B$4:$B$843,LOWER(L$5),INVENTARIO!$C$4:$C$843,$A13),0)))</f>
        <v/>
      </c>
      <c r="M13" s="45" t="str">
        <f>IF(OR(M$5="",$A13=""),"",IF($C$2="TODOS",IFERROR(SUMIFS(INVENTARIO!$E$4:$E$843,INVENTARIO!$B$4:$B$843,LOWER(M$5),INVENTARIO!$C$4:$C$843,$A13),0),IFERROR(SUMIFS(INVENTARIO!$E$4:$E$843,INVENTARIO!$A$4:$A$843,$C$2,INVENTARIO!$B$4:$B$843,LOWER(M$5),INVENTARIO!$C$4:$C$843,$A13),0)))</f>
        <v/>
      </c>
      <c r="N13" s="46">
        <f t="shared" si="1"/>
        <v>33</v>
      </c>
      <c r="O13" s="47">
        <f>IF($A13="","",IF($C$2="TODOS",IFERROR(SUMIFS(INVENTARIO!$H$4:$H$843,INVENTARIO!$C$4:$C$843,$A13),0),IFERROR(SUMIFS(INVENTARIO!$H$4:$H$843,INVENTARIO!$A$4:$A$843,$C$2,INVENTARIO!$C$4:$C$843,$A13),0)))</f>
        <v>14280</v>
      </c>
    </row>
    <row r="14" ht="15.0" customHeight="1">
      <c r="A14" s="44" t="str">
        <f>IFERROR(IF(COLORES!A12="","",COLORES!A12),"")</f>
        <v>Cemento</v>
      </c>
      <c r="B14" s="45">
        <f>IF(OR(B$5="",$A14=""),"",IF($C$2="TODOS",IFERROR(SUMIFS(INVENTARIO!$E$4:$E$843,INVENTARIO!$B$4:$B$843,LOWER(B$5),INVENTARIO!$C$4:$C$843,$A14),0),IFERROR(SUMIFS(INVENTARIO!$E$4:$E$843,INVENTARIO!$A$4:$A$843,$C$2,INVENTARIO!$B$4:$B$843,LOWER(B$5),INVENTARIO!$C$4:$C$843,$A14),0)))</f>
        <v>16</v>
      </c>
      <c r="C14" s="45">
        <f>IF(OR(C$5="",$A14=""),"",IF($C$2="TODOS",IFERROR(SUMIFS(INVENTARIO!$E$4:$E$843,INVENTARIO!$B$4:$B$843,LOWER(C$5),INVENTARIO!$C$4:$C$843,$A14),0),IFERROR(SUMIFS(INVENTARIO!$E$4:$E$843,INVENTARIO!$A$4:$A$843,$C$2,INVENTARIO!$B$4:$B$843,LOWER(C$5),INVENTARIO!$C$4:$C$843,$A14),0)))</f>
        <v>3</v>
      </c>
      <c r="D14" s="45">
        <f>IF(OR(D$5="",$A14=""),"",IF($C$2="TODOS",IFERROR(SUMIFS(INVENTARIO!$E$4:$E$843,INVENTARIO!$B$4:$B$843,LOWER(D$5),INVENTARIO!$C$4:$C$843,$A14),0),IFERROR(SUMIFS(INVENTARIO!$E$4:$E$843,INVENTARIO!$A$4:$A$843,$C$2,INVENTARIO!$B$4:$B$843,LOWER(D$5),INVENTARIO!$C$4:$C$843,$A14),0)))</f>
        <v>11</v>
      </c>
      <c r="E14" s="45">
        <f>IF(OR(E$5="",$A14=""),"",IF($C$2="TODOS",IFERROR(SUMIFS(INVENTARIO!$E$4:$E$843,INVENTARIO!$B$4:$B$843,LOWER(E$5),INVENTARIO!$C$4:$C$843,$A14),0),IFERROR(SUMIFS(INVENTARIO!$E$4:$E$843,INVENTARIO!$A$4:$A$843,$C$2,INVENTARIO!$B$4:$B$843,LOWER(E$5),INVENTARIO!$C$4:$C$843,$A14),0)))</f>
        <v>0</v>
      </c>
      <c r="F14" s="45">
        <f>IF(OR(F$5="",$A14=""),"",IF($C$2="TODOS",IFERROR(SUMIFS(INVENTARIO!$E$4:$E$843,INVENTARIO!$B$4:$B$843,LOWER(F$5),INVENTARIO!$C$4:$C$843,$A14),0),IFERROR(SUMIFS(INVENTARIO!$E$4:$E$843,INVENTARIO!$A$4:$A$843,$C$2,INVENTARIO!$B$4:$B$843,LOWER(F$5),INVENTARIO!$C$4:$C$843,$A14),0)))</f>
        <v>0</v>
      </c>
      <c r="G14" s="45">
        <f>IF(OR(G$5="",$A14=""),"",IF($C$2="TODOS",IFERROR(SUMIFS(INVENTARIO!$E$4:$E$843,INVENTARIO!$B$4:$B$843,LOWER(G$5),INVENTARIO!$C$4:$C$843,$A14),0),IFERROR(SUMIFS(INVENTARIO!$E$4:$E$843,INVENTARIO!$A$4:$A$843,$C$2,INVENTARIO!$B$4:$B$843,LOWER(G$5),INVENTARIO!$C$4:$C$843,$A14),0)))</f>
        <v>4</v>
      </c>
      <c r="H14" s="45">
        <f>IF(OR(H$5="",$A14=""),"",IF($C$2="TODOS",IFERROR(SUMIFS(INVENTARIO!$E$4:$E$843,INVENTARIO!$B$4:$B$843,LOWER(H$5),INVENTARIO!$C$4:$C$843,$A14),0),IFERROR(SUMIFS(INVENTARIO!$E$4:$E$843,INVENTARIO!$A$4:$A$843,$C$2,INVENTARIO!$B$4:$B$843,LOWER(H$5),INVENTARIO!$C$4:$C$843,$A14),0)))</f>
        <v>4</v>
      </c>
      <c r="I14" s="45" t="str">
        <f>IF(OR(I$5="",$A14=""),"",IF($C$2="TODOS",IFERROR(SUMIFS(INVENTARIO!$E$4:$E$843,INVENTARIO!$B$4:$B$843,LOWER(I$5),INVENTARIO!$C$4:$C$843,$A14),0),IFERROR(SUMIFS(INVENTARIO!$E$4:$E$843,INVENTARIO!$A$4:$A$843,$C$2,INVENTARIO!$B$4:$B$843,LOWER(I$5),INVENTARIO!$C$4:$C$843,$A14),0)))</f>
        <v/>
      </c>
      <c r="J14" s="45" t="str">
        <f>IF(OR(J$5="",$A14=""),"",IF($C$2="TODOS",IFERROR(SUMIFS(INVENTARIO!$E$4:$E$843,INVENTARIO!$B$4:$B$843,LOWER(J$5),INVENTARIO!$C$4:$C$843,$A14),0),IFERROR(SUMIFS(INVENTARIO!$E$4:$E$843,INVENTARIO!$A$4:$A$843,$C$2,INVENTARIO!$B$4:$B$843,LOWER(J$5),INVENTARIO!$C$4:$C$843,$A14),0)))</f>
        <v/>
      </c>
      <c r="K14" s="45" t="str">
        <f>IF(OR(K$5="",$A14=""),"",IF($C$2="TODOS",IFERROR(SUMIFS(INVENTARIO!$E$4:$E$843,INVENTARIO!$B$4:$B$843,LOWER(K$5),INVENTARIO!$C$4:$C$843,$A14),0),IFERROR(SUMIFS(INVENTARIO!$E$4:$E$843,INVENTARIO!$A$4:$A$843,$C$2,INVENTARIO!$B$4:$B$843,LOWER(K$5),INVENTARIO!$C$4:$C$843,$A14),0)))</f>
        <v/>
      </c>
      <c r="L14" s="45" t="str">
        <f>IF(OR(L$5="",$A14=""),"",IF($C$2="TODOS",IFERROR(SUMIFS(INVENTARIO!$E$4:$E$843,INVENTARIO!$B$4:$B$843,LOWER(L$5),INVENTARIO!$C$4:$C$843,$A14),0),IFERROR(SUMIFS(INVENTARIO!$E$4:$E$843,INVENTARIO!$A$4:$A$843,$C$2,INVENTARIO!$B$4:$B$843,LOWER(L$5),INVENTARIO!$C$4:$C$843,$A14),0)))</f>
        <v/>
      </c>
      <c r="M14" s="45" t="str">
        <f>IF(OR(M$5="",$A14=""),"",IF($C$2="TODOS",IFERROR(SUMIFS(INVENTARIO!$E$4:$E$843,INVENTARIO!$B$4:$B$843,LOWER(M$5),INVENTARIO!$C$4:$C$843,$A14),0),IFERROR(SUMIFS(INVENTARIO!$E$4:$E$843,INVENTARIO!$A$4:$A$843,$C$2,INVENTARIO!$B$4:$B$843,LOWER(M$5),INVENTARIO!$C$4:$C$843,$A14),0)))</f>
        <v/>
      </c>
      <c r="N14" s="46">
        <f t="shared" si="1"/>
        <v>38</v>
      </c>
      <c r="O14" s="47">
        <f>IF($A14="","",IF($C$2="TODOS",IFERROR(SUMIFS(INVENTARIO!$H$4:$H$843,INVENTARIO!$C$4:$C$843,$A14),0),IFERROR(SUMIFS(INVENTARIO!$H$4:$H$843,INVENTARIO!$A$4:$A$843,$C$2,INVENTARIO!$C$4:$C$843,$A14),0)))</f>
        <v>16410</v>
      </c>
    </row>
    <row r="15" ht="15.0" customHeight="1">
      <c r="A15" s="44" t="str">
        <f>IFERROR(IF(COLORES!A13="","",COLORES!A13),"")</f>
        <v>Camote</v>
      </c>
      <c r="B15" s="45">
        <f>IF(OR(B$5="",$A15=""),"",IF($C$2="TODOS",IFERROR(SUMIFS(INVENTARIO!$E$4:$E$843,INVENTARIO!$B$4:$B$843,LOWER(B$5),INVENTARIO!$C$4:$C$843,$A15),0),IFERROR(SUMIFS(INVENTARIO!$E$4:$E$843,INVENTARIO!$A$4:$A$843,$C$2,INVENTARIO!$B$4:$B$843,LOWER(B$5),INVENTARIO!$C$4:$C$843,$A15),0)))</f>
        <v>0</v>
      </c>
      <c r="C15" s="45">
        <f>IF(OR(C$5="",$A15=""),"",IF($C$2="TODOS",IFERROR(SUMIFS(INVENTARIO!$E$4:$E$843,INVENTARIO!$B$4:$B$843,LOWER(C$5),INVENTARIO!$C$4:$C$843,$A15),0),IFERROR(SUMIFS(INVENTARIO!$E$4:$E$843,INVENTARIO!$A$4:$A$843,$C$2,INVENTARIO!$B$4:$B$843,LOWER(C$5),INVENTARIO!$C$4:$C$843,$A15),0)))</f>
        <v>0</v>
      </c>
      <c r="D15" s="45">
        <f>IF(OR(D$5="",$A15=""),"",IF($C$2="TODOS",IFERROR(SUMIFS(INVENTARIO!$E$4:$E$843,INVENTARIO!$B$4:$B$843,LOWER(D$5),INVENTARIO!$C$4:$C$843,$A15),0),IFERROR(SUMIFS(INVENTARIO!$E$4:$E$843,INVENTARIO!$A$4:$A$843,$C$2,INVENTARIO!$B$4:$B$843,LOWER(D$5),INVENTARIO!$C$4:$C$843,$A15),0)))</f>
        <v>0</v>
      </c>
      <c r="E15" s="45">
        <f>IF(OR(E$5="",$A15=""),"",IF($C$2="TODOS",IFERROR(SUMIFS(INVENTARIO!$E$4:$E$843,INVENTARIO!$B$4:$B$843,LOWER(E$5),INVENTARIO!$C$4:$C$843,$A15),0),IFERROR(SUMIFS(INVENTARIO!$E$4:$E$843,INVENTARIO!$A$4:$A$843,$C$2,INVENTARIO!$B$4:$B$843,LOWER(E$5),INVENTARIO!$C$4:$C$843,$A15),0)))</f>
        <v>0</v>
      </c>
      <c r="F15" s="45">
        <f>IF(OR(F$5="",$A15=""),"",IF($C$2="TODOS",IFERROR(SUMIFS(INVENTARIO!$E$4:$E$843,INVENTARIO!$B$4:$B$843,LOWER(F$5),INVENTARIO!$C$4:$C$843,$A15),0),IFERROR(SUMIFS(INVENTARIO!$E$4:$E$843,INVENTARIO!$A$4:$A$843,$C$2,INVENTARIO!$B$4:$B$843,LOWER(F$5),INVENTARIO!$C$4:$C$843,$A15),0)))</f>
        <v>0</v>
      </c>
      <c r="G15" s="45">
        <f>IF(OR(G$5="",$A15=""),"",IF($C$2="TODOS",IFERROR(SUMIFS(INVENTARIO!$E$4:$E$843,INVENTARIO!$B$4:$B$843,LOWER(G$5),INVENTARIO!$C$4:$C$843,$A15),0),IFERROR(SUMIFS(INVENTARIO!$E$4:$E$843,INVENTARIO!$A$4:$A$843,$C$2,INVENTARIO!$B$4:$B$843,LOWER(G$5),INVENTARIO!$C$4:$C$843,$A15),0)))</f>
        <v>0</v>
      </c>
      <c r="H15" s="45">
        <f>IF(OR(H$5="",$A15=""),"",IF($C$2="TODOS",IFERROR(SUMIFS(INVENTARIO!$E$4:$E$843,INVENTARIO!$B$4:$B$843,LOWER(H$5),INVENTARIO!$C$4:$C$843,$A15),0),IFERROR(SUMIFS(INVENTARIO!$E$4:$E$843,INVENTARIO!$A$4:$A$843,$C$2,INVENTARIO!$B$4:$B$843,LOWER(H$5),INVENTARIO!$C$4:$C$843,$A15),0)))</f>
        <v>0</v>
      </c>
      <c r="I15" s="45" t="str">
        <f>IF(OR(I$5="",$A15=""),"",IF($C$2="TODOS",IFERROR(SUMIFS(INVENTARIO!$E$4:$E$843,INVENTARIO!$B$4:$B$843,LOWER(I$5),INVENTARIO!$C$4:$C$843,$A15),0),IFERROR(SUMIFS(INVENTARIO!$E$4:$E$843,INVENTARIO!$A$4:$A$843,$C$2,INVENTARIO!$B$4:$B$843,LOWER(I$5),INVENTARIO!$C$4:$C$843,$A15),0)))</f>
        <v/>
      </c>
      <c r="J15" s="45" t="str">
        <f>IF(OR(J$5="",$A15=""),"",IF($C$2="TODOS",IFERROR(SUMIFS(INVENTARIO!$E$4:$E$843,INVENTARIO!$B$4:$B$843,LOWER(J$5),INVENTARIO!$C$4:$C$843,$A15),0),IFERROR(SUMIFS(INVENTARIO!$E$4:$E$843,INVENTARIO!$A$4:$A$843,$C$2,INVENTARIO!$B$4:$B$843,LOWER(J$5),INVENTARIO!$C$4:$C$843,$A15),0)))</f>
        <v/>
      </c>
      <c r="K15" s="45" t="str">
        <f>IF(OR(K$5="",$A15=""),"",IF($C$2="TODOS",IFERROR(SUMIFS(INVENTARIO!$E$4:$E$843,INVENTARIO!$B$4:$B$843,LOWER(K$5),INVENTARIO!$C$4:$C$843,$A15),0),IFERROR(SUMIFS(INVENTARIO!$E$4:$E$843,INVENTARIO!$A$4:$A$843,$C$2,INVENTARIO!$B$4:$B$843,LOWER(K$5),INVENTARIO!$C$4:$C$843,$A15),0)))</f>
        <v/>
      </c>
      <c r="L15" s="45" t="str">
        <f>IF(OR(L$5="",$A15=""),"",IF($C$2="TODOS",IFERROR(SUMIFS(INVENTARIO!$E$4:$E$843,INVENTARIO!$B$4:$B$843,LOWER(L$5),INVENTARIO!$C$4:$C$843,$A15),0),IFERROR(SUMIFS(INVENTARIO!$E$4:$E$843,INVENTARIO!$A$4:$A$843,$C$2,INVENTARIO!$B$4:$B$843,LOWER(L$5),INVENTARIO!$C$4:$C$843,$A15),0)))</f>
        <v/>
      </c>
      <c r="M15" s="45" t="str">
        <f>IF(OR(M$5="",$A15=""),"",IF($C$2="TODOS",IFERROR(SUMIFS(INVENTARIO!$E$4:$E$843,INVENTARIO!$B$4:$B$843,LOWER(M$5),INVENTARIO!$C$4:$C$843,$A15),0),IFERROR(SUMIFS(INVENTARIO!$E$4:$E$843,INVENTARIO!$A$4:$A$843,$C$2,INVENTARIO!$B$4:$B$843,LOWER(M$5),INVENTARIO!$C$4:$C$843,$A15),0)))</f>
        <v/>
      </c>
      <c r="N15" s="46">
        <f t="shared" si="1"/>
        <v>0</v>
      </c>
      <c r="O15" s="47">
        <f>IF($A15="","",IF($C$2="TODOS",IFERROR(SUMIFS(INVENTARIO!$H$4:$H$843,INVENTARIO!$C$4:$C$843,$A15),0),IFERROR(SUMIFS(INVENTARIO!$H$4:$H$843,INVENTARIO!$A$4:$A$843,$C$2,INVENTARIO!$C$4:$C$843,$A15),0)))</f>
        <v>0</v>
      </c>
    </row>
    <row r="16" ht="15.0" customHeight="1">
      <c r="A16" s="44" t="str">
        <f>IFERROR(IF(COLORES!A14="","",COLORES!A14),"")</f>
        <v>Denim</v>
      </c>
      <c r="B16" s="45">
        <f>IF(OR(B$5="",$A16=""),"",IF($C$2="TODOS",IFERROR(SUMIFS(INVENTARIO!$E$4:$E$843,INVENTARIO!$B$4:$B$843,LOWER(B$5),INVENTARIO!$C$4:$C$843,$A16),0),IFERROR(SUMIFS(INVENTARIO!$E$4:$E$843,INVENTARIO!$A$4:$A$843,$C$2,INVENTARIO!$B$4:$B$843,LOWER(B$5),INVENTARIO!$C$4:$C$843,$A16),0)))</f>
        <v>7</v>
      </c>
      <c r="C16" s="45">
        <f>IF(OR(C$5="",$A16=""),"",IF($C$2="TODOS",IFERROR(SUMIFS(INVENTARIO!$E$4:$E$843,INVENTARIO!$B$4:$B$843,LOWER(C$5),INVENTARIO!$C$4:$C$843,$A16),0),IFERROR(SUMIFS(INVENTARIO!$E$4:$E$843,INVENTARIO!$A$4:$A$843,$C$2,INVENTARIO!$B$4:$B$843,LOWER(C$5),INVENTARIO!$C$4:$C$843,$A16),0)))</f>
        <v>5</v>
      </c>
      <c r="D16" s="45">
        <f>IF(OR(D$5="",$A16=""),"",IF($C$2="TODOS",IFERROR(SUMIFS(INVENTARIO!$E$4:$E$843,INVENTARIO!$B$4:$B$843,LOWER(D$5),INVENTARIO!$C$4:$C$843,$A16),0),IFERROR(SUMIFS(INVENTARIO!$E$4:$E$843,INVENTARIO!$A$4:$A$843,$C$2,INVENTARIO!$B$4:$B$843,LOWER(D$5),INVENTARIO!$C$4:$C$843,$A16),0)))</f>
        <v>11</v>
      </c>
      <c r="E16" s="45">
        <f>IF(OR(E$5="",$A16=""),"",IF($C$2="TODOS",IFERROR(SUMIFS(INVENTARIO!$E$4:$E$843,INVENTARIO!$B$4:$B$843,LOWER(E$5),INVENTARIO!$C$4:$C$843,$A16),0),IFERROR(SUMIFS(INVENTARIO!$E$4:$E$843,INVENTARIO!$A$4:$A$843,$C$2,INVENTARIO!$B$4:$B$843,LOWER(E$5),INVENTARIO!$C$4:$C$843,$A16),0)))</f>
        <v>0</v>
      </c>
      <c r="F16" s="45">
        <f>IF(OR(F$5="",$A16=""),"",IF($C$2="TODOS",IFERROR(SUMIFS(INVENTARIO!$E$4:$E$843,INVENTARIO!$B$4:$B$843,LOWER(F$5),INVENTARIO!$C$4:$C$843,$A16),0),IFERROR(SUMIFS(INVENTARIO!$E$4:$E$843,INVENTARIO!$A$4:$A$843,$C$2,INVENTARIO!$B$4:$B$843,LOWER(F$5),INVENTARIO!$C$4:$C$843,$A16),0)))</f>
        <v>0</v>
      </c>
      <c r="G16" s="45">
        <f>IF(OR(G$5="",$A16=""),"",IF($C$2="TODOS",IFERROR(SUMIFS(INVENTARIO!$E$4:$E$843,INVENTARIO!$B$4:$B$843,LOWER(G$5),INVENTARIO!$C$4:$C$843,$A16),0),IFERROR(SUMIFS(INVENTARIO!$E$4:$E$843,INVENTARIO!$A$4:$A$843,$C$2,INVENTARIO!$B$4:$B$843,LOWER(G$5),INVENTARIO!$C$4:$C$843,$A16),0)))</f>
        <v>7</v>
      </c>
      <c r="H16" s="45">
        <f>IF(OR(H$5="",$A16=""),"",IF($C$2="TODOS",IFERROR(SUMIFS(INVENTARIO!$E$4:$E$843,INVENTARIO!$B$4:$B$843,LOWER(H$5),INVENTARIO!$C$4:$C$843,$A16),0),IFERROR(SUMIFS(INVENTARIO!$E$4:$E$843,INVENTARIO!$A$4:$A$843,$C$2,INVENTARIO!$B$4:$B$843,LOWER(H$5),INVENTARIO!$C$4:$C$843,$A16),0)))</f>
        <v>5</v>
      </c>
      <c r="I16" s="45" t="str">
        <f>IF(OR(I$5="",$A16=""),"",IF($C$2="TODOS",IFERROR(SUMIFS(INVENTARIO!$E$4:$E$843,INVENTARIO!$B$4:$B$843,LOWER(I$5),INVENTARIO!$C$4:$C$843,$A16),0),IFERROR(SUMIFS(INVENTARIO!$E$4:$E$843,INVENTARIO!$A$4:$A$843,$C$2,INVENTARIO!$B$4:$B$843,LOWER(I$5),INVENTARIO!$C$4:$C$843,$A16),0)))</f>
        <v/>
      </c>
      <c r="J16" s="45" t="str">
        <f>IF(OR(J$5="",$A16=""),"",IF($C$2="TODOS",IFERROR(SUMIFS(INVENTARIO!$E$4:$E$843,INVENTARIO!$B$4:$B$843,LOWER(J$5),INVENTARIO!$C$4:$C$843,$A16),0),IFERROR(SUMIFS(INVENTARIO!$E$4:$E$843,INVENTARIO!$A$4:$A$843,$C$2,INVENTARIO!$B$4:$B$843,LOWER(J$5),INVENTARIO!$C$4:$C$843,$A16),0)))</f>
        <v/>
      </c>
      <c r="K16" s="45" t="str">
        <f>IF(OR(K$5="",$A16=""),"",IF($C$2="TODOS",IFERROR(SUMIFS(INVENTARIO!$E$4:$E$843,INVENTARIO!$B$4:$B$843,LOWER(K$5),INVENTARIO!$C$4:$C$843,$A16),0),IFERROR(SUMIFS(INVENTARIO!$E$4:$E$843,INVENTARIO!$A$4:$A$843,$C$2,INVENTARIO!$B$4:$B$843,LOWER(K$5),INVENTARIO!$C$4:$C$843,$A16),0)))</f>
        <v/>
      </c>
      <c r="L16" s="45" t="str">
        <f>IF(OR(L$5="",$A16=""),"",IF($C$2="TODOS",IFERROR(SUMIFS(INVENTARIO!$E$4:$E$843,INVENTARIO!$B$4:$B$843,LOWER(L$5),INVENTARIO!$C$4:$C$843,$A16),0),IFERROR(SUMIFS(INVENTARIO!$E$4:$E$843,INVENTARIO!$A$4:$A$843,$C$2,INVENTARIO!$B$4:$B$843,LOWER(L$5),INVENTARIO!$C$4:$C$843,$A16),0)))</f>
        <v/>
      </c>
      <c r="M16" s="45" t="str">
        <f>IF(OR(M$5="",$A16=""),"",IF($C$2="TODOS",IFERROR(SUMIFS(INVENTARIO!$E$4:$E$843,INVENTARIO!$B$4:$B$843,LOWER(M$5),INVENTARIO!$C$4:$C$843,$A16),0),IFERROR(SUMIFS(INVENTARIO!$E$4:$E$843,INVENTARIO!$A$4:$A$843,$C$2,INVENTARIO!$B$4:$B$843,LOWER(M$5),INVENTARIO!$C$4:$C$843,$A16),0)))</f>
        <v/>
      </c>
      <c r="N16" s="46">
        <f t="shared" si="1"/>
        <v>35</v>
      </c>
      <c r="O16" s="47">
        <f>IF($A16="","",IF($C$2="TODOS",IFERROR(SUMIFS(INVENTARIO!$H$4:$H$843,INVENTARIO!$C$4:$C$843,$A16),0),IFERROR(SUMIFS(INVENTARIO!$H$4:$H$843,INVENTARIO!$A$4:$A$843,$C$2,INVENTARIO!$C$4:$C$843,$A16),0)))</f>
        <v>15180</v>
      </c>
    </row>
    <row r="17" ht="15.0" customHeight="1">
      <c r="A17" s="44" t="str">
        <f>IFERROR(IF(COLORES!A15="","",COLORES!A15),"")</f>
        <v>Plomo</v>
      </c>
      <c r="B17" s="45">
        <f>IF(OR(B$5="",$A17=""),"",IF($C$2="TODOS",IFERROR(SUMIFS(INVENTARIO!$E$4:$E$843,INVENTARIO!$B$4:$B$843,LOWER(B$5),INVENTARIO!$C$4:$C$843,$A17),0),IFERROR(SUMIFS(INVENTARIO!$E$4:$E$843,INVENTARIO!$A$4:$A$843,$C$2,INVENTARIO!$B$4:$B$843,LOWER(B$5),INVENTARIO!$C$4:$C$843,$A17),0)))</f>
        <v>4</v>
      </c>
      <c r="C17" s="45">
        <f>IF(OR(C$5="",$A17=""),"",IF($C$2="TODOS",IFERROR(SUMIFS(INVENTARIO!$E$4:$E$843,INVENTARIO!$B$4:$B$843,LOWER(C$5),INVENTARIO!$C$4:$C$843,$A17),0),IFERROR(SUMIFS(INVENTARIO!$E$4:$E$843,INVENTARIO!$A$4:$A$843,$C$2,INVENTARIO!$B$4:$B$843,LOWER(C$5),INVENTARIO!$C$4:$C$843,$A17),0)))</f>
        <v>6</v>
      </c>
      <c r="D17" s="45">
        <f>IF(OR(D$5="",$A17=""),"",IF($C$2="TODOS",IFERROR(SUMIFS(INVENTARIO!$E$4:$E$843,INVENTARIO!$B$4:$B$843,LOWER(D$5),INVENTARIO!$C$4:$C$843,$A17),0),IFERROR(SUMIFS(INVENTARIO!$E$4:$E$843,INVENTARIO!$A$4:$A$843,$C$2,INVENTARIO!$B$4:$B$843,LOWER(D$5),INVENTARIO!$C$4:$C$843,$A17),0)))</f>
        <v>19</v>
      </c>
      <c r="E17" s="45">
        <f>IF(OR(E$5="",$A17=""),"",IF($C$2="TODOS",IFERROR(SUMIFS(INVENTARIO!$E$4:$E$843,INVENTARIO!$B$4:$B$843,LOWER(E$5),INVENTARIO!$C$4:$C$843,$A17),0),IFERROR(SUMIFS(INVENTARIO!$E$4:$E$843,INVENTARIO!$A$4:$A$843,$C$2,INVENTARIO!$B$4:$B$843,LOWER(E$5),INVENTARIO!$C$4:$C$843,$A17),0)))</f>
        <v>0</v>
      </c>
      <c r="F17" s="45">
        <f>IF(OR(F$5="",$A17=""),"",IF($C$2="TODOS",IFERROR(SUMIFS(INVENTARIO!$E$4:$E$843,INVENTARIO!$B$4:$B$843,LOWER(F$5),INVENTARIO!$C$4:$C$843,$A17),0),IFERROR(SUMIFS(INVENTARIO!$E$4:$E$843,INVENTARIO!$A$4:$A$843,$C$2,INVENTARIO!$B$4:$B$843,LOWER(F$5),INVENTARIO!$C$4:$C$843,$A17),0)))</f>
        <v>1</v>
      </c>
      <c r="G17" s="45">
        <f>IF(OR(G$5="",$A17=""),"",IF($C$2="TODOS",IFERROR(SUMIFS(INVENTARIO!$E$4:$E$843,INVENTARIO!$B$4:$B$843,LOWER(G$5),INVENTARIO!$C$4:$C$843,$A17),0),IFERROR(SUMIFS(INVENTARIO!$E$4:$E$843,INVENTARIO!$A$4:$A$843,$C$2,INVENTARIO!$B$4:$B$843,LOWER(G$5),INVENTARIO!$C$4:$C$843,$A17),0)))</f>
        <v>6</v>
      </c>
      <c r="H17" s="45">
        <f>IF(OR(H$5="",$A17=""),"",IF($C$2="TODOS",IFERROR(SUMIFS(INVENTARIO!$E$4:$E$843,INVENTARIO!$B$4:$B$843,LOWER(H$5),INVENTARIO!$C$4:$C$843,$A17),0),IFERROR(SUMIFS(INVENTARIO!$E$4:$E$843,INVENTARIO!$A$4:$A$843,$C$2,INVENTARIO!$B$4:$B$843,LOWER(H$5),INVENTARIO!$C$4:$C$843,$A17),0)))</f>
        <v>3</v>
      </c>
      <c r="I17" s="45" t="str">
        <f>IF(OR(I$5="",$A17=""),"",IF($C$2="TODOS",IFERROR(SUMIFS(INVENTARIO!$E$4:$E$843,INVENTARIO!$B$4:$B$843,LOWER(I$5),INVENTARIO!$C$4:$C$843,$A17),0),IFERROR(SUMIFS(INVENTARIO!$E$4:$E$843,INVENTARIO!$A$4:$A$843,$C$2,INVENTARIO!$B$4:$B$843,LOWER(I$5),INVENTARIO!$C$4:$C$843,$A17),0)))</f>
        <v/>
      </c>
      <c r="J17" s="45" t="str">
        <f>IF(OR(J$5="",$A17=""),"",IF($C$2="TODOS",IFERROR(SUMIFS(INVENTARIO!$E$4:$E$843,INVENTARIO!$B$4:$B$843,LOWER(J$5),INVENTARIO!$C$4:$C$843,$A17),0),IFERROR(SUMIFS(INVENTARIO!$E$4:$E$843,INVENTARIO!$A$4:$A$843,$C$2,INVENTARIO!$B$4:$B$843,LOWER(J$5),INVENTARIO!$C$4:$C$843,$A17),0)))</f>
        <v/>
      </c>
      <c r="K17" s="45" t="str">
        <f>IF(OR(K$5="",$A17=""),"",IF($C$2="TODOS",IFERROR(SUMIFS(INVENTARIO!$E$4:$E$843,INVENTARIO!$B$4:$B$843,LOWER(K$5),INVENTARIO!$C$4:$C$843,$A17),0),IFERROR(SUMIFS(INVENTARIO!$E$4:$E$843,INVENTARIO!$A$4:$A$843,$C$2,INVENTARIO!$B$4:$B$843,LOWER(K$5),INVENTARIO!$C$4:$C$843,$A17),0)))</f>
        <v/>
      </c>
      <c r="L17" s="45" t="str">
        <f>IF(OR(L$5="",$A17=""),"",IF($C$2="TODOS",IFERROR(SUMIFS(INVENTARIO!$E$4:$E$843,INVENTARIO!$B$4:$B$843,LOWER(L$5),INVENTARIO!$C$4:$C$843,$A17),0),IFERROR(SUMIFS(INVENTARIO!$E$4:$E$843,INVENTARIO!$A$4:$A$843,$C$2,INVENTARIO!$B$4:$B$843,LOWER(L$5),INVENTARIO!$C$4:$C$843,$A17),0)))</f>
        <v/>
      </c>
      <c r="M17" s="45" t="str">
        <f>IF(OR(M$5="",$A17=""),"",IF($C$2="TODOS",IFERROR(SUMIFS(INVENTARIO!$E$4:$E$843,INVENTARIO!$B$4:$B$843,LOWER(M$5),INVENTARIO!$C$4:$C$843,$A17),0),IFERROR(SUMIFS(INVENTARIO!$E$4:$E$843,INVENTARIO!$A$4:$A$843,$C$2,INVENTARIO!$B$4:$B$843,LOWER(M$5),INVENTARIO!$C$4:$C$843,$A17),0)))</f>
        <v/>
      </c>
      <c r="N17" s="46">
        <f t="shared" si="1"/>
        <v>39</v>
      </c>
      <c r="O17" s="47">
        <f>IF($A17="","",IF($C$2="TODOS",IFERROR(SUMIFS(INVENTARIO!$H$4:$H$843,INVENTARIO!$C$4:$C$843,$A17),0),IFERROR(SUMIFS(INVENTARIO!$H$4:$H$843,INVENTARIO!$A$4:$A$843,$C$2,INVENTARIO!$C$4:$C$843,$A17),0)))</f>
        <v>19600</v>
      </c>
    </row>
    <row r="18" ht="15.0" customHeight="1">
      <c r="A18" s="44" t="str">
        <f>IFERROR(IF(COLORES!A16="","",COLORES!A16),"")</f>
        <v>Topo</v>
      </c>
      <c r="B18" s="45">
        <f>IF(OR(B$5="",$A18=""),"",IF($C$2="TODOS",IFERROR(SUMIFS(INVENTARIO!$E$4:$E$843,INVENTARIO!$B$4:$B$843,LOWER(B$5),INVENTARIO!$C$4:$C$843,$A18),0),IFERROR(SUMIFS(INVENTARIO!$E$4:$E$843,INVENTARIO!$A$4:$A$843,$C$2,INVENTARIO!$B$4:$B$843,LOWER(B$5),INVENTARIO!$C$4:$C$843,$A18),0)))</f>
        <v>0</v>
      </c>
      <c r="C18" s="45">
        <f>IF(OR(C$5="",$A18=""),"",IF($C$2="TODOS",IFERROR(SUMIFS(INVENTARIO!$E$4:$E$843,INVENTARIO!$B$4:$B$843,LOWER(C$5),INVENTARIO!$C$4:$C$843,$A18),0),IFERROR(SUMIFS(INVENTARIO!$E$4:$E$843,INVENTARIO!$A$4:$A$843,$C$2,INVENTARIO!$B$4:$B$843,LOWER(C$5),INVENTARIO!$C$4:$C$843,$A18),0)))</f>
        <v>0</v>
      </c>
      <c r="D18" s="45">
        <f>IF(OR(D$5="",$A18=""),"",IF($C$2="TODOS",IFERROR(SUMIFS(INVENTARIO!$E$4:$E$843,INVENTARIO!$B$4:$B$843,LOWER(D$5),INVENTARIO!$C$4:$C$843,$A18),0),IFERROR(SUMIFS(INVENTARIO!$E$4:$E$843,INVENTARIO!$A$4:$A$843,$C$2,INVENTARIO!$B$4:$B$843,LOWER(D$5),INVENTARIO!$C$4:$C$843,$A18),0)))</f>
        <v>6</v>
      </c>
      <c r="E18" s="45">
        <f>IF(OR(E$5="",$A18=""),"",IF($C$2="TODOS",IFERROR(SUMIFS(INVENTARIO!$E$4:$E$843,INVENTARIO!$B$4:$B$843,LOWER(E$5),INVENTARIO!$C$4:$C$843,$A18),0),IFERROR(SUMIFS(INVENTARIO!$E$4:$E$843,INVENTARIO!$A$4:$A$843,$C$2,INVENTARIO!$B$4:$B$843,LOWER(E$5),INVENTARIO!$C$4:$C$843,$A18),0)))</f>
        <v>0</v>
      </c>
      <c r="F18" s="45">
        <f>IF(OR(F$5="",$A18=""),"",IF($C$2="TODOS",IFERROR(SUMIFS(INVENTARIO!$E$4:$E$843,INVENTARIO!$B$4:$B$843,LOWER(F$5),INVENTARIO!$C$4:$C$843,$A18),0),IFERROR(SUMIFS(INVENTARIO!$E$4:$E$843,INVENTARIO!$A$4:$A$843,$C$2,INVENTARIO!$B$4:$B$843,LOWER(F$5),INVENTARIO!$C$4:$C$843,$A18),0)))</f>
        <v>0</v>
      </c>
      <c r="G18" s="45">
        <f>IF(OR(G$5="",$A18=""),"",IF($C$2="TODOS",IFERROR(SUMIFS(INVENTARIO!$E$4:$E$843,INVENTARIO!$B$4:$B$843,LOWER(G$5),INVENTARIO!$C$4:$C$843,$A18),0),IFERROR(SUMIFS(INVENTARIO!$E$4:$E$843,INVENTARIO!$A$4:$A$843,$C$2,INVENTARIO!$B$4:$B$843,LOWER(G$5),INVENTARIO!$C$4:$C$843,$A18),0)))</f>
        <v>0</v>
      </c>
      <c r="H18" s="45">
        <f>IF(OR(H$5="",$A18=""),"",IF($C$2="TODOS",IFERROR(SUMIFS(INVENTARIO!$E$4:$E$843,INVENTARIO!$B$4:$B$843,LOWER(H$5),INVENTARIO!$C$4:$C$843,$A18),0),IFERROR(SUMIFS(INVENTARIO!$E$4:$E$843,INVENTARIO!$A$4:$A$843,$C$2,INVENTARIO!$B$4:$B$843,LOWER(H$5),INVENTARIO!$C$4:$C$843,$A18),0)))</f>
        <v>0</v>
      </c>
      <c r="I18" s="45" t="str">
        <f>IF(OR(I$5="",$A18=""),"",IF($C$2="TODOS",IFERROR(SUMIFS(INVENTARIO!$E$4:$E$843,INVENTARIO!$B$4:$B$843,LOWER(I$5),INVENTARIO!$C$4:$C$843,$A18),0),IFERROR(SUMIFS(INVENTARIO!$E$4:$E$843,INVENTARIO!$A$4:$A$843,$C$2,INVENTARIO!$B$4:$B$843,LOWER(I$5),INVENTARIO!$C$4:$C$843,$A18),0)))</f>
        <v/>
      </c>
      <c r="J18" s="45" t="str">
        <f>IF(OR(J$5="",$A18=""),"",IF($C$2="TODOS",IFERROR(SUMIFS(INVENTARIO!$E$4:$E$843,INVENTARIO!$B$4:$B$843,LOWER(J$5),INVENTARIO!$C$4:$C$843,$A18),0),IFERROR(SUMIFS(INVENTARIO!$E$4:$E$843,INVENTARIO!$A$4:$A$843,$C$2,INVENTARIO!$B$4:$B$843,LOWER(J$5),INVENTARIO!$C$4:$C$843,$A18),0)))</f>
        <v/>
      </c>
      <c r="K18" s="45" t="str">
        <f>IF(OR(K$5="",$A18=""),"",IF($C$2="TODOS",IFERROR(SUMIFS(INVENTARIO!$E$4:$E$843,INVENTARIO!$B$4:$B$843,LOWER(K$5),INVENTARIO!$C$4:$C$843,$A18),0),IFERROR(SUMIFS(INVENTARIO!$E$4:$E$843,INVENTARIO!$A$4:$A$843,$C$2,INVENTARIO!$B$4:$B$843,LOWER(K$5),INVENTARIO!$C$4:$C$843,$A18),0)))</f>
        <v/>
      </c>
      <c r="L18" s="45" t="str">
        <f>IF(OR(L$5="",$A18=""),"",IF($C$2="TODOS",IFERROR(SUMIFS(INVENTARIO!$E$4:$E$843,INVENTARIO!$B$4:$B$843,LOWER(L$5),INVENTARIO!$C$4:$C$843,$A18),0),IFERROR(SUMIFS(INVENTARIO!$E$4:$E$843,INVENTARIO!$A$4:$A$843,$C$2,INVENTARIO!$B$4:$B$843,LOWER(L$5),INVENTARIO!$C$4:$C$843,$A18),0)))</f>
        <v/>
      </c>
      <c r="M18" s="45" t="str">
        <f>IF(OR(M$5="",$A18=""),"",IF($C$2="TODOS",IFERROR(SUMIFS(INVENTARIO!$E$4:$E$843,INVENTARIO!$B$4:$B$843,LOWER(M$5),INVENTARIO!$C$4:$C$843,$A18),0),IFERROR(SUMIFS(INVENTARIO!$E$4:$E$843,INVENTARIO!$A$4:$A$843,$C$2,INVENTARIO!$B$4:$B$843,LOWER(M$5),INVENTARIO!$C$4:$C$843,$A18),0)))</f>
        <v/>
      </c>
      <c r="N18" s="46">
        <f t="shared" si="1"/>
        <v>6</v>
      </c>
      <c r="O18" s="47">
        <f>IF($A18="","",IF($C$2="TODOS",IFERROR(SUMIFS(INVENTARIO!$H$4:$H$843,INVENTARIO!$C$4:$C$843,$A18),0),IFERROR(SUMIFS(INVENTARIO!$H$4:$H$843,INVENTARIO!$A$4:$A$843,$C$2,INVENTARIO!$C$4:$C$843,$A18),0)))</f>
        <v>2700</v>
      </c>
    </row>
    <row r="19" ht="15.0" customHeight="1">
      <c r="A19" s="44" t="str">
        <f>IFERROR(IF(COLORES!A17="","",COLORES!A17),"")</f>
        <v>Vino</v>
      </c>
      <c r="B19" s="45">
        <f>IF(OR(B$5="",$A19=""),"",IF($C$2="TODOS",IFERROR(SUMIFS(INVENTARIO!$E$4:$E$843,INVENTARIO!$B$4:$B$843,LOWER(B$5),INVENTARIO!$C$4:$C$843,$A19),0),IFERROR(SUMIFS(INVENTARIO!$E$4:$E$843,INVENTARIO!$A$4:$A$843,$C$2,INVENTARIO!$B$4:$B$843,LOWER(B$5),INVENTARIO!$C$4:$C$843,$A19),0)))</f>
        <v>5</v>
      </c>
      <c r="C19" s="45">
        <f>IF(OR(C$5="",$A19=""),"",IF($C$2="TODOS",IFERROR(SUMIFS(INVENTARIO!$E$4:$E$843,INVENTARIO!$B$4:$B$843,LOWER(C$5),INVENTARIO!$C$4:$C$843,$A19),0),IFERROR(SUMIFS(INVENTARIO!$E$4:$E$843,INVENTARIO!$A$4:$A$843,$C$2,INVENTARIO!$B$4:$B$843,LOWER(C$5),INVENTARIO!$C$4:$C$843,$A19),0)))</f>
        <v>0</v>
      </c>
      <c r="D19" s="45">
        <f>IF(OR(D$5="",$A19=""),"",IF($C$2="TODOS",IFERROR(SUMIFS(INVENTARIO!$E$4:$E$843,INVENTARIO!$B$4:$B$843,LOWER(D$5),INVENTARIO!$C$4:$C$843,$A19),0),IFERROR(SUMIFS(INVENTARIO!$E$4:$E$843,INVENTARIO!$A$4:$A$843,$C$2,INVENTARIO!$B$4:$B$843,LOWER(D$5),INVENTARIO!$C$4:$C$843,$A19),0)))</f>
        <v>0</v>
      </c>
      <c r="E19" s="45">
        <f>IF(OR(E$5="",$A19=""),"",IF($C$2="TODOS",IFERROR(SUMIFS(INVENTARIO!$E$4:$E$843,INVENTARIO!$B$4:$B$843,LOWER(E$5),INVENTARIO!$C$4:$C$843,$A19),0),IFERROR(SUMIFS(INVENTARIO!$E$4:$E$843,INVENTARIO!$A$4:$A$843,$C$2,INVENTARIO!$B$4:$B$843,LOWER(E$5),INVENTARIO!$C$4:$C$843,$A19),0)))</f>
        <v>0</v>
      </c>
      <c r="F19" s="45">
        <f>IF(OR(F$5="",$A19=""),"",IF($C$2="TODOS",IFERROR(SUMIFS(INVENTARIO!$E$4:$E$843,INVENTARIO!$B$4:$B$843,LOWER(F$5),INVENTARIO!$C$4:$C$843,$A19),0),IFERROR(SUMIFS(INVENTARIO!$E$4:$E$843,INVENTARIO!$A$4:$A$843,$C$2,INVENTARIO!$B$4:$B$843,LOWER(F$5),INVENTARIO!$C$4:$C$843,$A19),0)))</f>
        <v>0</v>
      </c>
      <c r="G19" s="45">
        <f>IF(OR(G$5="",$A19=""),"",IF($C$2="TODOS",IFERROR(SUMIFS(INVENTARIO!$E$4:$E$843,INVENTARIO!$B$4:$B$843,LOWER(G$5),INVENTARIO!$C$4:$C$843,$A19),0),IFERROR(SUMIFS(INVENTARIO!$E$4:$E$843,INVENTARIO!$A$4:$A$843,$C$2,INVENTARIO!$B$4:$B$843,LOWER(G$5),INVENTARIO!$C$4:$C$843,$A19),0)))</f>
        <v>6</v>
      </c>
      <c r="H19" s="45">
        <f>IF(OR(H$5="",$A19=""),"",IF($C$2="TODOS",IFERROR(SUMIFS(INVENTARIO!$E$4:$E$843,INVENTARIO!$B$4:$B$843,LOWER(H$5),INVENTARIO!$C$4:$C$843,$A19),0),IFERROR(SUMIFS(INVENTARIO!$E$4:$E$843,INVENTARIO!$A$4:$A$843,$C$2,INVENTARIO!$B$4:$B$843,LOWER(H$5),INVENTARIO!$C$4:$C$843,$A19),0)))</f>
        <v>3</v>
      </c>
      <c r="I19" s="45" t="str">
        <f>IF(OR(I$5="",$A19=""),"",IF($C$2="TODOS",IFERROR(SUMIFS(INVENTARIO!$E$4:$E$843,INVENTARIO!$B$4:$B$843,LOWER(I$5),INVENTARIO!$C$4:$C$843,$A19),0),IFERROR(SUMIFS(INVENTARIO!$E$4:$E$843,INVENTARIO!$A$4:$A$843,$C$2,INVENTARIO!$B$4:$B$843,LOWER(I$5),INVENTARIO!$C$4:$C$843,$A19),0)))</f>
        <v/>
      </c>
      <c r="J19" s="45" t="str">
        <f>IF(OR(J$5="",$A19=""),"",IF($C$2="TODOS",IFERROR(SUMIFS(INVENTARIO!$E$4:$E$843,INVENTARIO!$B$4:$B$843,LOWER(J$5),INVENTARIO!$C$4:$C$843,$A19),0),IFERROR(SUMIFS(INVENTARIO!$E$4:$E$843,INVENTARIO!$A$4:$A$843,$C$2,INVENTARIO!$B$4:$B$843,LOWER(J$5),INVENTARIO!$C$4:$C$843,$A19),0)))</f>
        <v/>
      </c>
      <c r="K19" s="45" t="str">
        <f>IF(OR(K$5="",$A19=""),"",IF($C$2="TODOS",IFERROR(SUMIFS(INVENTARIO!$E$4:$E$843,INVENTARIO!$B$4:$B$843,LOWER(K$5),INVENTARIO!$C$4:$C$843,$A19),0),IFERROR(SUMIFS(INVENTARIO!$E$4:$E$843,INVENTARIO!$A$4:$A$843,$C$2,INVENTARIO!$B$4:$B$843,LOWER(K$5),INVENTARIO!$C$4:$C$843,$A19),0)))</f>
        <v/>
      </c>
      <c r="L19" s="45" t="str">
        <f>IF(OR(L$5="",$A19=""),"",IF($C$2="TODOS",IFERROR(SUMIFS(INVENTARIO!$E$4:$E$843,INVENTARIO!$B$4:$B$843,LOWER(L$5),INVENTARIO!$C$4:$C$843,$A19),0),IFERROR(SUMIFS(INVENTARIO!$E$4:$E$843,INVENTARIO!$A$4:$A$843,$C$2,INVENTARIO!$B$4:$B$843,LOWER(L$5),INVENTARIO!$C$4:$C$843,$A19),0)))</f>
        <v/>
      </c>
      <c r="M19" s="45" t="str">
        <f>IF(OR(M$5="",$A19=""),"",IF($C$2="TODOS",IFERROR(SUMIFS(INVENTARIO!$E$4:$E$843,INVENTARIO!$B$4:$B$843,LOWER(M$5),INVENTARIO!$C$4:$C$843,$A19),0),IFERROR(SUMIFS(INVENTARIO!$E$4:$E$843,INVENTARIO!$A$4:$A$843,$C$2,INVENTARIO!$B$4:$B$843,LOWER(M$5),INVENTARIO!$C$4:$C$843,$A19),0)))</f>
        <v/>
      </c>
      <c r="N19" s="46">
        <f t="shared" si="1"/>
        <v>14</v>
      </c>
      <c r="O19" s="47">
        <f>IF($A19="","",IF($C$2="TODOS",IFERROR(SUMIFS(INVENTARIO!$H$4:$H$843,INVENTARIO!$C$4:$C$843,$A19),0),IFERROR(SUMIFS(INVENTARIO!$H$4:$H$843,INVENTARIO!$A$4:$A$843,$C$2,INVENTARIO!$C$4:$C$843,$A19),0)))</f>
        <v>6840</v>
      </c>
    </row>
    <row r="20" ht="15.0" customHeight="1">
      <c r="A20" s="44" t="str">
        <f>IFERROR(IF(COLORES!A18="","",COLORES!A18),"")</f>
        <v>P. Rosa</v>
      </c>
      <c r="B20" s="45">
        <f>IF(OR(B$5="",$A20=""),"",IF($C$2="TODOS",IFERROR(SUMIFS(INVENTARIO!$E$4:$E$843,INVENTARIO!$B$4:$B$843,LOWER(B$5),INVENTARIO!$C$4:$C$843,$A20),0),IFERROR(SUMIFS(INVENTARIO!$E$4:$E$843,INVENTARIO!$A$4:$A$843,$C$2,INVENTARIO!$B$4:$B$843,LOWER(B$5),INVENTARIO!$C$4:$C$843,$A20),0)))</f>
        <v>16</v>
      </c>
      <c r="C20" s="45">
        <f>IF(OR(C$5="",$A20=""),"",IF($C$2="TODOS",IFERROR(SUMIFS(INVENTARIO!$E$4:$E$843,INVENTARIO!$B$4:$B$843,LOWER(C$5),INVENTARIO!$C$4:$C$843,$A20),0),IFERROR(SUMIFS(INVENTARIO!$E$4:$E$843,INVENTARIO!$A$4:$A$843,$C$2,INVENTARIO!$B$4:$B$843,LOWER(C$5),INVENTARIO!$C$4:$C$843,$A20),0)))</f>
        <v>5</v>
      </c>
      <c r="D20" s="45">
        <f>IF(OR(D$5="",$A20=""),"",IF($C$2="TODOS",IFERROR(SUMIFS(INVENTARIO!$E$4:$E$843,INVENTARIO!$B$4:$B$843,LOWER(D$5),INVENTARIO!$C$4:$C$843,$A20),0),IFERROR(SUMIFS(INVENTARIO!$E$4:$E$843,INVENTARIO!$A$4:$A$843,$C$2,INVENTARIO!$B$4:$B$843,LOWER(D$5),INVENTARIO!$C$4:$C$843,$A20),0)))</f>
        <v>15</v>
      </c>
      <c r="E20" s="45">
        <f>IF(OR(E$5="",$A20=""),"",IF($C$2="TODOS",IFERROR(SUMIFS(INVENTARIO!$E$4:$E$843,INVENTARIO!$B$4:$B$843,LOWER(E$5),INVENTARIO!$C$4:$C$843,$A20),0),IFERROR(SUMIFS(INVENTARIO!$E$4:$E$843,INVENTARIO!$A$4:$A$843,$C$2,INVENTARIO!$B$4:$B$843,LOWER(E$5),INVENTARIO!$C$4:$C$843,$A20),0)))</f>
        <v>0</v>
      </c>
      <c r="F20" s="45">
        <f>IF(OR(F$5="",$A20=""),"",IF($C$2="TODOS",IFERROR(SUMIFS(INVENTARIO!$E$4:$E$843,INVENTARIO!$B$4:$B$843,LOWER(F$5),INVENTARIO!$C$4:$C$843,$A20),0),IFERROR(SUMIFS(INVENTARIO!$E$4:$E$843,INVENTARIO!$A$4:$A$843,$C$2,INVENTARIO!$B$4:$B$843,LOWER(F$5),INVENTARIO!$C$4:$C$843,$A20),0)))</f>
        <v>0</v>
      </c>
      <c r="G20" s="45">
        <f>IF(OR(G$5="",$A20=""),"",IF($C$2="TODOS",IFERROR(SUMIFS(INVENTARIO!$E$4:$E$843,INVENTARIO!$B$4:$B$843,LOWER(G$5),INVENTARIO!$C$4:$C$843,$A20),0),IFERROR(SUMIFS(INVENTARIO!$E$4:$E$843,INVENTARIO!$A$4:$A$843,$C$2,INVENTARIO!$B$4:$B$843,LOWER(G$5),INVENTARIO!$C$4:$C$843,$A20),0)))</f>
        <v>5</v>
      </c>
      <c r="H20" s="45">
        <f>IF(OR(H$5="",$A20=""),"",IF($C$2="TODOS",IFERROR(SUMIFS(INVENTARIO!$E$4:$E$843,INVENTARIO!$B$4:$B$843,LOWER(H$5),INVENTARIO!$C$4:$C$843,$A20),0),IFERROR(SUMIFS(INVENTARIO!$E$4:$E$843,INVENTARIO!$A$4:$A$843,$C$2,INVENTARIO!$B$4:$B$843,LOWER(H$5),INVENTARIO!$C$4:$C$843,$A20),0)))</f>
        <v>6</v>
      </c>
      <c r="I20" s="45" t="str">
        <f>IF(OR(I$5="",$A20=""),"",IF($C$2="TODOS",IFERROR(SUMIFS(INVENTARIO!$E$4:$E$843,INVENTARIO!$B$4:$B$843,LOWER(I$5),INVENTARIO!$C$4:$C$843,$A20),0),IFERROR(SUMIFS(INVENTARIO!$E$4:$E$843,INVENTARIO!$A$4:$A$843,$C$2,INVENTARIO!$B$4:$B$843,LOWER(I$5),INVENTARIO!$C$4:$C$843,$A20),0)))</f>
        <v/>
      </c>
      <c r="J20" s="45" t="str">
        <f>IF(OR(J$5="",$A20=""),"",IF($C$2="TODOS",IFERROR(SUMIFS(INVENTARIO!$E$4:$E$843,INVENTARIO!$B$4:$B$843,LOWER(J$5),INVENTARIO!$C$4:$C$843,$A20),0),IFERROR(SUMIFS(INVENTARIO!$E$4:$E$843,INVENTARIO!$A$4:$A$843,$C$2,INVENTARIO!$B$4:$B$843,LOWER(J$5),INVENTARIO!$C$4:$C$843,$A20),0)))</f>
        <v/>
      </c>
      <c r="K20" s="45" t="str">
        <f>IF(OR(K$5="",$A20=""),"",IF($C$2="TODOS",IFERROR(SUMIFS(INVENTARIO!$E$4:$E$843,INVENTARIO!$B$4:$B$843,LOWER(K$5),INVENTARIO!$C$4:$C$843,$A20),0),IFERROR(SUMIFS(INVENTARIO!$E$4:$E$843,INVENTARIO!$A$4:$A$843,$C$2,INVENTARIO!$B$4:$B$843,LOWER(K$5),INVENTARIO!$C$4:$C$843,$A20),0)))</f>
        <v/>
      </c>
      <c r="L20" s="45" t="str">
        <f>IF(OR(L$5="",$A20=""),"",IF($C$2="TODOS",IFERROR(SUMIFS(INVENTARIO!$E$4:$E$843,INVENTARIO!$B$4:$B$843,LOWER(L$5),INVENTARIO!$C$4:$C$843,$A20),0),IFERROR(SUMIFS(INVENTARIO!$E$4:$E$843,INVENTARIO!$A$4:$A$843,$C$2,INVENTARIO!$B$4:$B$843,LOWER(L$5),INVENTARIO!$C$4:$C$843,$A20),0)))</f>
        <v/>
      </c>
      <c r="M20" s="45" t="str">
        <f>IF(OR(M$5="",$A20=""),"",IF($C$2="TODOS",IFERROR(SUMIFS(INVENTARIO!$E$4:$E$843,INVENTARIO!$B$4:$B$843,LOWER(M$5),INVENTARIO!$C$4:$C$843,$A20),0),IFERROR(SUMIFS(INVENTARIO!$E$4:$E$843,INVENTARIO!$A$4:$A$843,$C$2,INVENTARIO!$B$4:$B$843,LOWER(M$5),INVENTARIO!$C$4:$C$843,$A20),0)))</f>
        <v/>
      </c>
      <c r="N20" s="46">
        <f t="shared" si="1"/>
        <v>47</v>
      </c>
      <c r="O20" s="47">
        <f>IF($A20="","",IF($C$2="TODOS",IFERROR(SUMIFS(INVENTARIO!$H$4:$H$843,INVENTARIO!$C$4:$C$843,$A20),0),IFERROR(SUMIFS(INVENTARIO!$H$4:$H$843,INVENTARIO!$A$4:$A$843,$C$2,INVENTARIO!$C$4:$C$843,$A20),0)))</f>
        <v>20370</v>
      </c>
    </row>
    <row r="21" ht="15.0" customHeight="1">
      <c r="A21" s="44" t="str">
        <f>IFERROR(IF(COLORES!A19="","",COLORES!A19),"")</f>
        <v/>
      </c>
      <c r="B21" s="45" t="str">
        <f>IF(OR(B$5="",$A21=""),"",IF($C$2="TODOS",IFERROR(SUMIFS(INVENTARIO!$E$4:$E$843,INVENTARIO!$B$4:$B$843,LOWER(B$5),INVENTARIO!$C$4:$C$843,$A21),0),IFERROR(SUMIFS(INVENTARIO!$E$4:$E$843,INVENTARIO!$A$4:$A$843,$C$2,INVENTARIO!$B$4:$B$843,LOWER(B$5),INVENTARIO!$C$4:$C$843,$A21),0)))</f>
        <v/>
      </c>
      <c r="C21" s="45" t="str">
        <f>IF(OR(C$5="",$A21=""),"",IF($C$2="TODOS",IFERROR(SUMIFS(INVENTARIO!$E$4:$E$843,INVENTARIO!$B$4:$B$843,LOWER(C$5),INVENTARIO!$C$4:$C$843,$A21),0),IFERROR(SUMIFS(INVENTARIO!$E$4:$E$843,INVENTARIO!$A$4:$A$843,$C$2,INVENTARIO!$B$4:$B$843,LOWER(C$5),INVENTARIO!$C$4:$C$843,$A21),0)))</f>
        <v/>
      </c>
      <c r="D21" s="45" t="str">
        <f>IF(OR(D$5="",$A21=""),"",IF($C$2="TODOS",IFERROR(SUMIFS(INVENTARIO!$E$4:$E$843,INVENTARIO!$B$4:$B$843,LOWER(D$5),INVENTARIO!$C$4:$C$843,$A21),0),IFERROR(SUMIFS(INVENTARIO!$E$4:$E$843,INVENTARIO!$A$4:$A$843,$C$2,INVENTARIO!$B$4:$B$843,LOWER(D$5),INVENTARIO!$C$4:$C$843,$A21),0)))</f>
        <v/>
      </c>
      <c r="E21" s="45" t="str">
        <f>IF(OR(E$5="",$A21=""),"",IF($C$2="TODOS",IFERROR(SUMIFS(INVENTARIO!$E$4:$E$843,INVENTARIO!$B$4:$B$843,LOWER(E$5),INVENTARIO!$C$4:$C$843,$A21),0),IFERROR(SUMIFS(INVENTARIO!$E$4:$E$843,INVENTARIO!$A$4:$A$843,$C$2,INVENTARIO!$B$4:$B$843,LOWER(E$5),INVENTARIO!$C$4:$C$843,$A21),0)))</f>
        <v/>
      </c>
      <c r="F21" s="45" t="str">
        <f>IF(OR(F$5="",$A21=""),"",IF($C$2="TODOS",IFERROR(SUMIFS(INVENTARIO!$E$4:$E$843,INVENTARIO!$B$4:$B$843,LOWER(F$5),INVENTARIO!$C$4:$C$843,$A21),0),IFERROR(SUMIFS(INVENTARIO!$E$4:$E$843,INVENTARIO!$A$4:$A$843,$C$2,INVENTARIO!$B$4:$B$843,LOWER(F$5),INVENTARIO!$C$4:$C$843,$A21),0)))</f>
        <v/>
      </c>
      <c r="G21" s="45" t="str">
        <f>IF(OR(G$5="",$A21=""),"",IF($C$2="TODOS",IFERROR(SUMIFS(INVENTARIO!$E$4:$E$843,INVENTARIO!$B$4:$B$843,LOWER(G$5),INVENTARIO!$C$4:$C$843,$A21),0),IFERROR(SUMIFS(INVENTARIO!$E$4:$E$843,INVENTARIO!$A$4:$A$843,$C$2,INVENTARIO!$B$4:$B$843,LOWER(G$5),INVENTARIO!$C$4:$C$843,$A21),0)))</f>
        <v/>
      </c>
      <c r="H21" s="45" t="str">
        <f>IF(OR(H$5="",$A21=""),"",IF($C$2="TODOS",IFERROR(SUMIFS(INVENTARIO!$E$4:$E$843,INVENTARIO!$B$4:$B$843,LOWER(H$5),INVENTARIO!$C$4:$C$843,$A21),0),IFERROR(SUMIFS(INVENTARIO!$E$4:$E$843,INVENTARIO!$A$4:$A$843,$C$2,INVENTARIO!$B$4:$B$843,LOWER(H$5),INVENTARIO!$C$4:$C$843,$A21),0)))</f>
        <v/>
      </c>
      <c r="I21" s="45" t="str">
        <f>IF(OR(I$5="",$A21=""),"",IF($C$2="TODOS",IFERROR(SUMIFS(INVENTARIO!$E$4:$E$843,INVENTARIO!$B$4:$B$843,LOWER(I$5),INVENTARIO!$C$4:$C$843,$A21),0),IFERROR(SUMIFS(INVENTARIO!$E$4:$E$843,INVENTARIO!$A$4:$A$843,$C$2,INVENTARIO!$B$4:$B$843,LOWER(I$5),INVENTARIO!$C$4:$C$843,$A21),0)))</f>
        <v/>
      </c>
      <c r="J21" s="45" t="str">
        <f>IF(OR(J$5="",$A21=""),"",IF($C$2="TODOS",IFERROR(SUMIFS(INVENTARIO!$E$4:$E$843,INVENTARIO!$B$4:$B$843,LOWER(J$5),INVENTARIO!$C$4:$C$843,$A21),0),IFERROR(SUMIFS(INVENTARIO!$E$4:$E$843,INVENTARIO!$A$4:$A$843,$C$2,INVENTARIO!$B$4:$B$843,LOWER(J$5),INVENTARIO!$C$4:$C$843,$A21),0)))</f>
        <v/>
      </c>
      <c r="K21" s="45" t="str">
        <f>IF(OR(K$5="",$A21=""),"",IF($C$2="TODOS",IFERROR(SUMIFS(INVENTARIO!$E$4:$E$843,INVENTARIO!$B$4:$B$843,LOWER(K$5),INVENTARIO!$C$4:$C$843,$A21),0),IFERROR(SUMIFS(INVENTARIO!$E$4:$E$843,INVENTARIO!$A$4:$A$843,$C$2,INVENTARIO!$B$4:$B$843,LOWER(K$5),INVENTARIO!$C$4:$C$843,$A21),0)))</f>
        <v/>
      </c>
      <c r="L21" s="45" t="str">
        <f>IF(OR(L$5="",$A21=""),"",IF($C$2="TODOS",IFERROR(SUMIFS(INVENTARIO!$E$4:$E$843,INVENTARIO!$B$4:$B$843,LOWER(L$5),INVENTARIO!$C$4:$C$843,$A21),0),IFERROR(SUMIFS(INVENTARIO!$E$4:$E$843,INVENTARIO!$A$4:$A$843,$C$2,INVENTARIO!$B$4:$B$843,LOWER(L$5),INVENTARIO!$C$4:$C$843,$A21),0)))</f>
        <v/>
      </c>
      <c r="M21" s="45" t="str">
        <f>IF(OR(M$5="",$A21=""),"",IF($C$2="TODOS",IFERROR(SUMIFS(INVENTARIO!$E$4:$E$843,INVENTARIO!$B$4:$B$843,LOWER(M$5),INVENTARIO!$C$4:$C$843,$A21),0),IFERROR(SUMIFS(INVENTARIO!$E$4:$E$843,INVENTARIO!$A$4:$A$843,$C$2,INVENTARIO!$B$4:$B$843,LOWER(M$5),INVENTARIO!$C$4:$C$843,$A21),0)))</f>
        <v/>
      </c>
      <c r="N21" s="46">
        <f t="shared" si="1"/>
        <v>0</v>
      </c>
      <c r="O21" s="47" t="str">
        <f>IF($A21="","",IF($C$2="TODOS",IFERROR(SUMIFS(INVENTARIO!$H$4:$H$843,INVENTARIO!$C$4:$C$843,$A21),0),IFERROR(SUMIFS(INVENTARIO!$H$4:$H$843,INVENTARIO!$A$4:$A$843,$C$2,INVENTARIO!$C$4:$C$843,$A21),0)))</f>
        <v/>
      </c>
    </row>
    <row r="22" ht="15.0" customHeight="1">
      <c r="A22" s="44" t="str">
        <f>IFERROR(IF(COLORES!A20="","",COLORES!A20),"")</f>
        <v/>
      </c>
      <c r="B22" s="45" t="str">
        <f>IF(OR(B$5="",$A22=""),"",IF($C$2="TODOS",IFERROR(SUMIFS(INVENTARIO!$E$4:$E$843,INVENTARIO!$B$4:$B$843,LOWER(B$5),INVENTARIO!$C$4:$C$843,$A22),0),IFERROR(SUMIFS(INVENTARIO!$E$4:$E$843,INVENTARIO!$A$4:$A$843,$C$2,INVENTARIO!$B$4:$B$843,LOWER(B$5),INVENTARIO!$C$4:$C$843,$A22),0)))</f>
        <v/>
      </c>
      <c r="C22" s="45" t="str">
        <f>IF(OR(C$5="",$A22=""),"",IF($C$2="TODOS",IFERROR(SUMIFS(INVENTARIO!$E$4:$E$843,INVENTARIO!$B$4:$B$843,LOWER(C$5),INVENTARIO!$C$4:$C$843,$A22),0),IFERROR(SUMIFS(INVENTARIO!$E$4:$E$843,INVENTARIO!$A$4:$A$843,$C$2,INVENTARIO!$B$4:$B$843,LOWER(C$5),INVENTARIO!$C$4:$C$843,$A22),0)))</f>
        <v/>
      </c>
      <c r="D22" s="45" t="str">
        <f>IF(OR(D$5="",$A22=""),"",IF($C$2="TODOS",IFERROR(SUMIFS(INVENTARIO!$E$4:$E$843,INVENTARIO!$B$4:$B$843,LOWER(D$5),INVENTARIO!$C$4:$C$843,$A22),0),IFERROR(SUMIFS(INVENTARIO!$E$4:$E$843,INVENTARIO!$A$4:$A$843,$C$2,INVENTARIO!$B$4:$B$843,LOWER(D$5),INVENTARIO!$C$4:$C$843,$A22),0)))</f>
        <v/>
      </c>
      <c r="E22" s="45" t="str">
        <f>IF(OR(E$5="",$A22=""),"",IF($C$2="TODOS",IFERROR(SUMIFS(INVENTARIO!$E$4:$E$843,INVENTARIO!$B$4:$B$843,LOWER(E$5),INVENTARIO!$C$4:$C$843,$A22),0),IFERROR(SUMIFS(INVENTARIO!$E$4:$E$843,INVENTARIO!$A$4:$A$843,$C$2,INVENTARIO!$B$4:$B$843,LOWER(E$5),INVENTARIO!$C$4:$C$843,$A22),0)))</f>
        <v/>
      </c>
      <c r="F22" s="45" t="str">
        <f>IF(OR(F$5="",$A22=""),"",IF($C$2="TODOS",IFERROR(SUMIFS(INVENTARIO!$E$4:$E$843,INVENTARIO!$B$4:$B$843,LOWER(F$5),INVENTARIO!$C$4:$C$843,$A22),0),IFERROR(SUMIFS(INVENTARIO!$E$4:$E$843,INVENTARIO!$A$4:$A$843,$C$2,INVENTARIO!$B$4:$B$843,LOWER(F$5),INVENTARIO!$C$4:$C$843,$A22),0)))</f>
        <v/>
      </c>
      <c r="G22" s="45" t="str">
        <f>IF(OR(G$5="",$A22=""),"",IF($C$2="TODOS",IFERROR(SUMIFS(INVENTARIO!$E$4:$E$843,INVENTARIO!$B$4:$B$843,LOWER(G$5),INVENTARIO!$C$4:$C$843,$A22),0),IFERROR(SUMIFS(INVENTARIO!$E$4:$E$843,INVENTARIO!$A$4:$A$843,$C$2,INVENTARIO!$B$4:$B$843,LOWER(G$5),INVENTARIO!$C$4:$C$843,$A22),0)))</f>
        <v/>
      </c>
      <c r="H22" s="45" t="str">
        <f>IF(OR(H$5="",$A22=""),"",IF($C$2="TODOS",IFERROR(SUMIFS(INVENTARIO!$E$4:$E$843,INVENTARIO!$B$4:$B$843,LOWER(H$5),INVENTARIO!$C$4:$C$843,$A22),0),IFERROR(SUMIFS(INVENTARIO!$E$4:$E$843,INVENTARIO!$A$4:$A$843,$C$2,INVENTARIO!$B$4:$B$843,LOWER(H$5),INVENTARIO!$C$4:$C$843,$A22),0)))</f>
        <v/>
      </c>
      <c r="I22" s="45" t="str">
        <f>IF(OR(I$5="",$A22=""),"",IF($C$2="TODOS",IFERROR(SUMIFS(INVENTARIO!$E$4:$E$843,INVENTARIO!$B$4:$B$843,LOWER(I$5),INVENTARIO!$C$4:$C$843,$A22),0),IFERROR(SUMIFS(INVENTARIO!$E$4:$E$843,INVENTARIO!$A$4:$A$843,$C$2,INVENTARIO!$B$4:$B$843,LOWER(I$5),INVENTARIO!$C$4:$C$843,$A22),0)))</f>
        <v/>
      </c>
      <c r="J22" s="45" t="str">
        <f>IF(OR(J$5="",$A22=""),"",IF($C$2="TODOS",IFERROR(SUMIFS(INVENTARIO!$E$4:$E$843,INVENTARIO!$B$4:$B$843,LOWER(J$5),INVENTARIO!$C$4:$C$843,$A22),0),IFERROR(SUMIFS(INVENTARIO!$E$4:$E$843,INVENTARIO!$A$4:$A$843,$C$2,INVENTARIO!$B$4:$B$843,LOWER(J$5),INVENTARIO!$C$4:$C$843,$A22),0)))</f>
        <v/>
      </c>
      <c r="K22" s="45" t="str">
        <f>IF(OR(K$5="",$A22=""),"",IF($C$2="TODOS",IFERROR(SUMIFS(INVENTARIO!$E$4:$E$843,INVENTARIO!$B$4:$B$843,LOWER(K$5),INVENTARIO!$C$4:$C$843,$A22),0),IFERROR(SUMIFS(INVENTARIO!$E$4:$E$843,INVENTARIO!$A$4:$A$843,$C$2,INVENTARIO!$B$4:$B$843,LOWER(K$5),INVENTARIO!$C$4:$C$843,$A22),0)))</f>
        <v/>
      </c>
      <c r="L22" s="45" t="str">
        <f>IF(OR(L$5="",$A22=""),"",IF($C$2="TODOS",IFERROR(SUMIFS(INVENTARIO!$E$4:$E$843,INVENTARIO!$B$4:$B$843,LOWER(L$5),INVENTARIO!$C$4:$C$843,$A22),0),IFERROR(SUMIFS(INVENTARIO!$E$4:$E$843,INVENTARIO!$A$4:$A$843,$C$2,INVENTARIO!$B$4:$B$843,LOWER(L$5),INVENTARIO!$C$4:$C$843,$A22),0)))</f>
        <v/>
      </c>
      <c r="M22" s="45" t="str">
        <f>IF(OR(M$5="",$A22=""),"",IF($C$2="TODOS",IFERROR(SUMIFS(INVENTARIO!$E$4:$E$843,INVENTARIO!$B$4:$B$843,LOWER(M$5),INVENTARIO!$C$4:$C$843,$A22),0),IFERROR(SUMIFS(INVENTARIO!$E$4:$E$843,INVENTARIO!$A$4:$A$843,$C$2,INVENTARIO!$B$4:$B$843,LOWER(M$5),INVENTARIO!$C$4:$C$843,$A22),0)))</f>
        <v/>
      </c>
      <c r="N22" s="46">
        <f t="shared" si="1"/>
        <v>0</v>
      </c>
      <c r="O22" s="47" t="str">
        <f>IF($A22="","",IF($C$2="TODOS",IFERROR(SUMIFS(INVENTARIO!$H$4:$H$843,INVENTARIO!$C$4:$C$843,$A22),0),IFERROR(SUMIFS(INVENTARIO!$H$4:$H$843,INVENTARIO!$A$4:$A$843,$C$2,INVENTARIO!$C$4:$C$843,$A22),0)))</f>
        <v/>
      </c>
    </row>
    <row r="23" ht="15.0" customHeight="1">
      <c r="A23" s="44" t="str">
        <f>IFERROR(IF(COLORES!A21="","",COLORES!A21),"")</f>
        <v/>
      </c>
      <c r="B23" s="45" t="str">
        <f>IF(OR(B$5="",$A23=""),"",IF($C$2="TODOS",IFERROR(SUMIFS(INVENTARIO!$E$4:$E$843,INVENTARIO!$B$4:$B$843,LOWER(B$5),INVENTARIO!$C$4:$C$843,$A23),0),IFERROR(SUMIFS(INVENTARIO!$E$4:$E$843,INVENTARIO!$A$4:$A$843,$C$2,INVENTARIO!$B$4:$B$843,LOWER(B$5),INVENTARIO!$C$4:$C$843,$A23),0)))</f>
        <v/>
      </c>
      <c r="C23" s="45" t="str">
        <f>IF(OR(C$5="",$A23=""),"",IF($C$2="TODOS",IFERROR(SUMIFS(INVENTARIO!$E$4:$E$843,INVENTARIO!$B$4:$B$843,LOWER(C$5),INVENTARIO!$C$4:$C$843,$A23),0),IFERROR(SUMIFS(INVENTARIO!$E$4:$E$843,INVENTARIO!$A$4:$A$843,$C$2,INVENTARIO!$B$4:$B$843,LOWER(C$5),INVENTARIO!$C$4:$C$843,$A23),0)))</f>
        <v/>
      </c>
      <c r="D23" s="45" t="str">
        <f>IF(OR(D$5="",$A23=""),"",IF($C$2="TODOS",IFERROR(SUMIFS(INVENTARIO!$E$4:$E$843,INVENTARIO!$B$4:$B$843,LOWER(D$5),INVENTARIO!$C$4:$C$843,$A23),0),IFERROR(SUMIFS(INVENTARIO!$E$4:$E$843,INVENTARIO!$A$4:$A$843,$C$2,INVENTARIO!$B$4:$B$843,LOWER(D$5),INVENTARIO!$C$4:$C$843,$A23),0)))</f>
        <v/>
      </c>
      <c r="E23" s="45" t="str">
        <f>IF(OR(E$5="",$A23=""),"",IF($C$2="TODOS",IFERROR(SUMIFS(INVENTARIO!$E$4:$E$843,INVENTARIO!$B$4:$B$843,LOWER(E$5),INVENTARIO!$C$4:$C$843,$A23),0),IFERROR(SUMIFS(INVENTARIO!$E$4:$E$843,INVENTARIO!$A$4:$A$843,$C$2,INVENTARIO!$B$4:$B$843,LOWER(E$5),INVENTARIO!$C$4:$C$843,$A23),0)))</f>
        <v/>
      </c>
      <c r="F23" s="45" t="str">
        <f>IF(OR(F$5="",$A23=""),"",IF($C$2="TODOS",IFERROR(SUMIFS(INVENTARIO!$E$4:$E$843,INVENTARIO!$B$4:$B$843,LOWER(F$5),INVENTARIO!$C$4:$C$843,$A23),0),IFERROR(SUMIFS(INVENTARIO!$E$4:$E$843,INVENTARIO!$A$4:$A$843,$C$2,INVENTARIO!$B$4:$B$843,LOWER(F$5),INVENTARIO!$C$4:$C$843,$A23),0)))</f>
        <v/>
      </c>
      <c r="G23" s="45" t="str">
        <f>IF(OR(G$5="",$A23=""),"",IF($C$2="TODOS",IFERROR(SUMIFS(INVENTARIO!$E$4:$E$843,INVENTARIO!$B$4:$B$843,LOWER(G$5),INVENTARIO!$C$4:$C$843,$A23),0),IFERROR(SUMIFS(INVENTARIO!$E$4:$E$843,INVENTARIO!$A$4:$A$843,$C$2,INVENTARIO!$B$4:$B$843,LOWER(G$5),INVENTARIO!$C$4:$C$843,$A23),0)))</f>
        <v/>
      </c>
      <c r="H23" s="45" t="str">
        <f>IF(OR(H$5="",$A23=""),"",IF($C$2="TODOS",IFERROR(SUMIFS(INVENTARIO!$E$4:$E$843,INVENTARIO!$B$4:$B$843,LOWER(H$5),INVENTARIO!$C$4:$C$843,$A23),0),IFERROR(SUMIFS(INVENTARIO!$E$4:$E$843,INVENTARIO!$A$4:$A$843,$C$2,INVENTARIO!$B$4:$B$843,LOWER(H$5),INVENTARIO!$C$4:$C$843,$A23),0)))</f>
        <v/>
      </c>
      <c r="I23" s="45" t="str">
        <f>IF(OR(I$5="",$A23=""),"",IF($C$2="TODOS",IFERROR(SUMIFS(INVENTARIO!$E$4:$E$843,INVENTARIO!$B$4:$B$843,LOWER(I$5),INVENTARIO!$C$4:$C$843,$A23),0),IFERROR(SUMIFS(INVENTARIO!$E$4:$E$843,INVENTARIO!$A$4:$A$843,$C$2,INVENTARIO!$B$4:$B$843,LOWER(I$5),INVENTARIO!$C$4:$C$843,$A23),0)))</f>
        <v/>
      </c>
      <c r="J23" s="45" t="str">
        <f>IF(OR(J$5="",$A23=""),"",IF($C$2="TODOS",IFERROR(SUMIFS(INVENTARIO!$E$4:$E$843,INVENTARIO!$B$4:$B$843,LOWER(J$5),INVENTARIO!$C$4:$C$843,$A23),0),IFERROR(SUMIFS(INVENTARIO!$E$4:$E$843,INVENTARIO!$A$4:$A$843,$C$2,INVENTARIO!$B$4:$B$843,LOWER(J$5),INVENTARIO!$C$4:$C$843,$A23),0)))</f>
        <v/>
      </c>
      <c r="K23" s="45" t="str">
        <f>IF(OR(K$5="",$A23=""),"",IF($C$2="TODOS",IFERROR(SUMIFS(INVENTARIO!$E$4:$E$843,INVENTARIO!$B$4:$B$843,LOWER(K$5),INVENTARIO!$C$4:$C$843,$A23),0),IFERROR(SUMIFS(INVENTARIO!$E$4:$E$843,INVENTARIO!$A$4:$A$843,$C$2,INVENTARIO!$B$4:$B$843,LOWER(K$5),INVENTARIO!$C$4:$C$843,$A23),0)))</f>
        <v/>
      </c>
      <c r="L23" s="45" t="str">
        <f>IF(OR(L$5="",$A23=""),"",IF($C$2="TODOS",IFERROR(SUMIFS(INVENTARIO!$E$4:$E$843,INVENTARIO!$B$4:$B$843,LOWER(L$5),INVENTARIO!$C$4:$C$843,$A23),0),IFERROR(SUMIFS(INVENTARIO!$E$4:$E$843,INVENTARIO!$A$4:$A$843,$C$2,INVENTARIO!$B$4:$B$843,LOWER(L$5),INVENTARIO!$C$4:$C$843,$A23),0)))</f>
        <v/>
      </c>
      <c r="M23" s="45" t="str">
        <f>IF(OR(M$5="",$A23=""),"",IF($C$2="TODOS",IFERROR(SUMIFS(INVENTARIO!$E$4:$E$843,INVENTARIO!$B$4:$B$843,LOWER(M$5),INVENTARIO!$C$4:$C$843,$A23),0),IFERROR(SUMIFS(INVENTARIO!$E$4:$E$843,INVENTARIO!$A$4:$A$843,$C$2,INVENTARIO!$B$4:$B$843,LOWER(M$5),INVENTARIO!$C$4:$C$843,$A23),0)))</f>
        <v/>
      </c>
      <c r="N23" s="46">
        <f t="shared" si="1"/>
        <v>0</v>
      </c>
      <c r="O23" s="47" t="str">
        <f>IF($A23="","",IF($C$2="TODOS",IFERROR(SUMIFS(INVENTARIO!$H$4:$H$843,INVENTARIO!$C$4:$C$843,$A23),0),IFERROR(SUMIFS(INVENTARIO!$H$4:$H$843,INVENTARIO!$A$4:$A$843,$C$2,INVENTARIO!$C$4:$C$843,$A23),0)))</f>
        <v/>
      </c>
    </row>
    <row r="24" ht="15.0" customHeight="1">
      <c r="A24" s="44" t="str">
        <f>IFERROR(IF(COLORES!A22="","",COLORES!A22),"")</f>
        <v/>
      </c>
      <c r="B24" s="45" t="str">
        <f>IF(OR(B$5="",$A24=""),"",IF($C$2="TODOS",IFERROR(SUMIFS(INVENTARIO!$E$4:$E$843,INVENTARIO!$B$4:$B$843,LOWER(B$5),INVENTARIO!$C$4:$C$843,$A24),0),IFERROR(SUMIFS(INVENTARIO!$E$4:$E$843,INVENTARIO!$A$4:$A$843,$C$2,INVENTARIO!$B$4:$B$843,LOWER(B$5),INVENTARIO!$C$4:$C$843,$A24),0)))</f>
        <v/>
      </c>
      <c r="C24" s="45" t="str">
        <f>IF(OR(C$5="",$A24=""),"",IF($C$2="TODOS",IFERROR(SUMIFS(INVENTARIO!$E$4:$E$843,INVENTARIO!$B$4:$B$843,LOWER(C$5),INVENTARIO!$C$4:$C$843,$A24),0),IFERROR(SUMIFS(INVENTARIO!$E$4:$E$843,INVENTARIO!$A$4:$A$843,$C$2,INVENTARIO!$B$4:$B$843,LOWER(C$5),INVENTARIO!$C$4:$C$843,$A24),0)))</f>
        <v/>
      </c>
      <c r="D24" s="45" t="str">
        <f>IF(OR(D$5="",$A24=""),"",IF($C$2="TODOS",IFERROR(SUMIFS(INVENTARIO!$E$4:$E$843,INVENTARIO!$B$4:$B$843,LOWER(D$5),INVENTARIO!$C$4:$C$843,$A24),0),IFERROR(SUMIFS(INVENTARIO!$E$4:$E$843,INVENTARIO!$A$4:$A$843,$C$2,INVENTARIO!$B$4:$B$843,LOWER(D$5),INVENTARIO!$C$4:$C$843,$A24),0)))</f>
        <v/>
      </c>
      <c r="E24" s="45" t="str">
        <f>IF(OR(E$5="",$A24=""),"",IF($C$2="TODOS",IFERROR(SUMIFS(INVENTARIO!$E$4:$E$843,INVENTARIO!$B$4:$B$843,LOWER(E$5),INVENTARIO!$C$4:$C$843,$A24),0),IFERROR(SUMIFS(INVENTARIO!$E$4:$E$843,INVENTARIO!$A$4:$A$843,$C$2,INVENTARIO!$B$4:$B$843,LOWER(E$5),INVENTARIO!$C$4:$C$843,$A24),0)))</f>
        <v/>
      </c>
      <c r="F24" s="45" t="str">
        <f>IF(OR(F$5="",$A24=""),"",IF($C$2="TODOS",IFERROR(SUMIFS(INVENTARIO!$E$4:$E$843,INVENTARIO!$B$4:$B$843,LOWER(F$5),INVENTARIO!$C$4:$C$843,$A24),0),IFERROR(SUMIFS(INVENTARIO!$E$4:$E$843,INVENTARIO!$A$4:$A$843,$C$2,INVENTARIO!$B$4:$B$843,LOWER(F$5),INVENTARIO!$C$4:$C$843,$A24),0)))</f>
        <v/>
      </c>
      <c r="G24" s="45" t="str">
        <f>IF(OR(G$5="",$A24=""),"",IF($C$2="TODOS",IFERROR(SUMIFS(INVENTARIO!$E$4:$E$843,INVENTARIO!$B$4:$B$843,LOWER(G$5),INVENTARIO!$C$4:$C$843,$A24),0),IFERROR(SUMIFS(INVENTARIO!$E$4:$E$843,INVENTARIO!$A$4:$A$843,$C$2,INVENTARIO!$B$4:$B$843,LOWER(G$5),INVENTARIO!$C$4:$C$843,$A24),0)))</f>
        <v/>
      </c>
      <c r="H24" s="45" t="str">
        <f>IF(OR(H$5="",$A24=""),"",IF($C$2="TODOS",IFERROR(SUMIFS(INVENTARIO!$E$4:$E$843,INVENTARIO!$B$4:$B$843,LOWER(H$5),INVENTARIO!$C$4:$C$843,$A24),0),IFERROR(SUMIFS(INVENTARIO!$E$4:$E$843,INVENTARIO!$A$4:$A$843,$C$2,INVENTARIO!$B$4:$B$843,LOWER(H$5),INVENTARIO!$C$4:$C$843,$A24),0)))</f>
        <v/>
      </c>
      <c r="I24" s="45" t="str">
        <f>IF(OR(I$5="",$A24=""),"",IF($C$2="TODOS",IFERROR(SUMIFS(INVENTARIO!$E$4:$E$843,INVENTARIO!$B$4:$B$843,LOWER(I$5),INVENTARIO!$C$4:$C$843,$A24),0),IFERROR(SUMIFS(INVENTARIO!$E$4:$E$843,INVENTARIO!$A$4:$A$843,$C$2,INVENTARIO!$B$4:$B$843,LOWER(I$5),INVENTARIO!$C$4:$C$843,$A24),0)))</f>
        <v/>
      </c>
      <c r="J24" s="45" t="str">
        <f>IF(OR(J$5="",$A24=""),"",IF($C$2="TODOS",IFERROR(SUMIFS(INVENTARIO!$E$4:$E$843,INVENTARIO!$B$4:$B$843,LOWER(J$5),INVENTARIO!$C$4:$C$843,$A24),0),IFERROR(SUMIFS(INVENTARIO!$E$4:$E$843,INVENTARIO!$A$4:$A$843,$C$2,INVENTARIO!$B$4:$B$843,LOWER(J$5),INVENTARIO!$C$4:$C$843,$A24),0)))</f>
        <v/>
      </c>
      <c r="K24" s="45" t="str">
        <f>IF(OR(K$5="",$A24=""),"",IF($C$2="TODOS",IFERROR(SUMIFS(INVENTARIO!$E$4:$E$843,INVENTARIO!$B$4:$B$843,LOWER(K$5),INVENTARIO!$C$4:$C$843,$A24),0),IFERROR(SUMIFS(INVENTARIO!$E$4:$E$843,INVENTARIO!$A$4:$A$843,$C$2,INVENTARIO!$B$4:$B$843,LOWER(K$5),INVENTARIO!$C$4:$C$843,$A24),0)))</f>
        <v/>
      </c>
      <c r="L24" s="45" t="str">
        <f>IF(OR(L$5="",$A24=""),"",IF($C$2="TODOS",IFERROR(SUMIFS(INVENTARIO!$E$4:$E$843,INVENTARIO!$B$4:$B$843,LOWER(L$5),INVENTARIO!$C$4:$C$843,$A24),0),IFERROR(SUMIFS(INVENTARIO!$E$4:$E$843,INVENTARIO!$A$4:$A$843,$C$2,INVENTARIO!$B$4:$B$843,LOWER(L$5),INVENTARIO!$C$4:$C$843,$A24),0)))</f>
        <v/>
      </c>
      <c r="M24" s="45" t="str">
        <f>IF(OR(M$5="",$A24=""),"",IF($C$2="TODOS",IFERROR(SUMIFS(INVENTARIO!$E$4:$E$843,INVENTARIO!$B$4:$B$843,LOWER(M$5),INVENTARIO!$C$4:$C$843,$A24),0),IFERROR(SUMIFS(INVENTARIO!$E$4:$E$843,INVENTARIO!$A$4:$A$843,$C$2,INVENTARIO!$B$4:$B$843,LOWER(M$5),INVENTARIO!$C$4:$C$843,$A24),0)))</f>
        <v/>
      </c>
      <c r="N24" s="46">
        <f t="shared" si="1"/>
        <v>0</v>
      </c>
      <c r="O24" s="47" t="str">
        <f>IF($A24="","",IF($C$2="TODOS",IFERROR(SUMIFS(INVENTARIO!$H$4:$H$843,INVENTARIO!$C$4:$C$843,$A24),0),IFERROR(SUMIFS(INVENTARIO!$H$4:$H$843,INVENTARIO!$A$4:$A$843,$C$2,INVENTARIO!$C$4:$C$843,$A24),0)))</f>
        <v/>
      </c>
    </row>
    <row r="25" ht="15.0" customHeight="1">
      <c r="A25" s="44" t="str">
        <f>IFERROR(IF(COLORES!A23="","",COLORES!A23),"")</f>
        <v/>
      </c>
      <c r="B25" s="45" t="str">
        <f>IF(OR(B$5="",$A25=""),"",IF($C$2="TODOS",IFERROR(SUMIFS(INVENTARIO!$E$4:$E$843,INVENTARIO!$B$4:$B$843,LOWER(B$5),INVENTARIO!$C$4:$C$843,$A25),0),IFERROR(SUMIFS(INVENTARIO!$E$4:$E$843,INVENTARIO!$A$4:$A$843,$C$2,INVENTARIO!$B$4:$B$843,LOWER(B$5),INVENTARIO!$C$4:$C$843,$A25),0)))</f>
        <v/>
      </c>
      <c r="C25" s="45" t="str">
        <f>IF(OR(C$5="",$A25=""),"",IF($C$2="TODOS",IFERROR(SUMIFS(INVENTARIO!$E$4:$E$843,INVENTARIO!$B$4:$B$843,LOWER(C$5),INVENTARIO!$C$4:$C$843,$A25),0),IFERROR(SUMIFS(INVENTARIO!$E$4:$E$843,INVENTARIO!$A$4:$A$843,$C$2,INVENTARIO!$B$4:$B$843,LOWER(C$5),INVENTARIO!$C$4:$C$843,$A25),0)))</f>
        <v/>
      </c>
      <c r="D25" s="45" t="str">
        <f>IF(OR(D$5="",$A25=""),"",IF($C$2="TODOS",IFERROR(SUMIFS(INVENTARIO!$E$4:$E$843,INVENTARIO!$B$4:$B$843,LOWER(D$5),INVENTARIO!$C$4:$C$843,$A25),0),IFERROR(SUMIFS(INVENTARIO!$E$4:$E$843,INVENTARIO!$A$4:$A$843,$C$2,INVENTARIO!$B$4:$B$843,LOWER(D$5),INVENTARIO!$C$4:$C$843,$A25),0)))</f>
        <v/>
      </c>
      <c r="E25" s="45" t="str">
        <f>IF(OR(E$5="",$A25=""),"",IF($C$2="TODOS",IFERROR(SUMIFS(INVENTARIO!$E$4:$E$843,INVENTARIO!$B$4:$B$843,LOWER(E$5),INVENTARIO!$C$4:$C$843,$A25),0),IFERROR(SUMIFS(INVENTARIO!$E$4:$E$843,INVENTARIO!$A$4:$A$843,$C$2,INVENTARIO!$B$4:$B$843,LOWER(E$5),INVENTARIO!$C$4:$C$843,$A25),0)))</f>
        <v/>
      </c>
      <c r="F25" s="45" t="str">
        <f>IF(OR(F$5="",$A25=""),"",IF($C$2="TODOS",IFERROR(SUMIFS(INVENTARIO!$E$4:$E$843,INVENTARIO!$B$4:$B$843,LOWER(F$5),INVENTARIO!$C$4:$C$843,$A25),0),IFERROR(SUMIFS(INVENTARIO!$E$4:$E$843,INVENTARIO!$A$4:$A$843,$C$2,INVENTARIO!$B$4:$B$843,LOWER(F$5),INVENTARIO!$C$4:$C$843,$A25),0)))</f>
        <v/>
      </c>
      <c r="G25" s="45" t="str">
        <f>IF(OR(G$5="",$A25=""),"",IF($C$2="TODOS",IFERROR(SUMIFS(INVENTARIO!$E$4:$E$843,INVENTARIO!$B$4:$B$843,LOWER(G$5),INVENTARIO!$C$4:$C$843,$A25),0),IFERROR(SUMIFS(INVENTARIO!$E$4:$E$843,INVENTARIO!$A$4:$A$843,$C$2,INVENTARIO!$B$4:$B$843,LOWER(G$5),INVENTARIO!$C$4:$C$843,$A25),0)))</f>
        <v/>
      </c>
      <c r="H25" s="45" t="str">
        <f>IF(OR(H$5="",$A25=""),"",IF($C$2="TODOS",IFERROR(SUMIFS(INVENTARIO!$E$4:$E$843,INVENTARIO!$B$4:$B$843,LOWER(H$5),INVENTARIO!$C$4:$C$843,$A25),0),IFERROR(SUMIFS(INVENTARIO!$E$4:$E$843,INVENTARIO!$A$4:$A$843,$C$2,INVENTARIO!$B$4:$B$843,LOWER(H$5),INVENTARIO!$C$4:$C$843,$A25),0)))</f>
        <v/>
      </c>
      <c r="I25" s="45" t="str">
        <f>IF(OR(I$5="",$A25=""),"",IF($C$2="TODOS",IFERROR(SUMIFS(INVENTARIO!$E$4:$E$843,INVENTARIO!$B$4:$B$843,LOWER(I$5),INVENTARIO!$C$4:$C$843,$A25),0),IFERROR(SUMIFS(INVENTARIO!$E$4:$E$843,INVENTARIO!$A$4:$A$843,$C$2,INVENTARIO!$B$4:$B$843,LOWER(I$5),INVENTARIO!$C$4:$C$843,$A25),0)))</f>
        <v/>
      </c>
      <c r="J25" s="45" t="str">
        <f>IF(OR(J$5="",$A25=""),"",IF($C$2="TODOS",IFERROR(SUMIFS(INVENTARIO!$E$4:$E$843,INVENTARIO!$B$4:$B$843,LOWER(J$5),INVENTARIO!$C$4:$C$843,$A25),0),IFERROR(SUMIFS(INVENTARIO!$E$4:$E$843,INVENTARIO!$A$4:$A$843,$C$2,INVENTARIO!$B$4:$B$843,LOWER(J$5),INVENTARIO!$C$4:$C$843,$A25),0)))</f>
        <v/>
      </c>
      <c r="K25" s="45" t="str">
        <f>IF(OR(K$5="",$A25=""),"",IF($C$2="TODOS",IFERROR(SUMIFS(INVENTARIO!$E$4:$E$843,INVENTARIO!$B$4:$B$843,LOWER(K$5),INVENTARIO!$C$4:$C$843,$A25),0),IFERROR(SUMIFS(INVENTARIO!$E$4:$E$843,INVENTARIO!$A$4:$A$843,$C$2,INVENTARIO!$B$4:$B$843,LOWER(K$5),INVENTARIO!$C$4:$C$843,$A25),0)))</f>
        <v/>
      </c>
      <c r="L25" s="45" t="str">
        <f>IF(OR(L$5="",$A25=""),"",IF($C$2="TODOS",IFERROR(SUMIFS(INVENTARIO!$E$4:$E$843,INVENTARIO!$B$4:$B$843,LOWER(L$5),INVENTARIO!$C$4:$C$843,$A25),0),IFERROR(SUMIFS(INVENTARIO!$E$4:$E$843,INVENTARIO!$A$4:$A$843,$C$2,INVENTARIO!$B$4:$B$843,LOWER(L$5),INVENTARIO!$C$4:$C$843,$A25),0)))</f>
        <v/>
      </c>
      <c r="M25" s="45" t="str">
        <f>IF(OR(M$5="",$A25=""),"",IF($C$2="TODOS",IFERROR(SUMIFS(INVENTARIO!$E$4:$E$843,INVENTARIO!$B$4:$B$843,LOWER(M$5),INVENTARIO!$C$4:$C$843,$A25),0),IFERROR(SUMIFS(INVENTARIO!$E$4:$E$843,INVENTARIO!$A$4:$A$843,$C$2,INVENTARIO!$B$4:$B$843,LOWER(M$5),INVENTARIO!$C$4:$C$843,$A25),0)))</f>
        <v/>
      </c>
      <c r="N25" s="46">
        <f t="shared" si="1"/>
        <v>0</v>
      </c>
      <c r="O25" s="47" t="str">
        <f>IF($A25="","",IF($C$2="TODOS",IFERROR(SUMIFS(INVENTARIO!$H$4:$H$843,INVENTARIO!$C$4:$C$843,$A25),0),IFERROR(SUMIFS(INVENTARIO!$H$4:$H$843,INVENTARIO!$A$4:$A$843,$C$2,INVENTARIO!$C$4:$C$843,$A25),0)))</f>
        <v/>
      </c>
    </row>
    <row r="26" ht="15.0" customHeight="1">
      <c r="A26" s="44" t="str">
        <f>IFERROR(IF(COLORES!A24="","",COLORES!A24),"")</f>
        <v/>
      </c>
      <c r="B26" s="45" t="str">
        <f>IF(OR(B$5="",$A26=""),"",IF($C$2="TODOS",IFERROR(SUMIFS(INVENTARIO!$E$4:$E$843,INVENTARIO!$B$4:$B$843,LOWER(B$5),INVENTARIO!$C$4:$C$843,$A26),0),IFERROR(SUMIFS(INVENTARIO!$E$4:$E$843,INVENTARIO!$A$4:$A$843,$C$2,INVENTARIO!$B$4:$B$843,LOWER(B$5),INVENTARIO!$C$4:$C$843,$A26),0)))</f>
        <v/>
      </c>
      <c r="C26" s="45" t="str">
        <f>IF(OR(C$5="",$A26=""),"",IF($C$2="TODOS",IFERROR(SUMIFS(INVENTARIO!$E$4:$E$843,INVENTARIO!$B$4:$B$843,LOWER(C$5),INVENTARIO!$C$4:$C$843,$A26),0),IFERROR(SUMIFS(INVENTARIO!$E$4:$E$843,INVENTARIO!$A$4:$A$843,$C$2,INVENTARIO!$B$4:$B$843,LOWER(C$5),INVENTARIO!$C$4:$C$843,$A26),0)))</f>
        <v/>
      </c>
      <c r="D26" s="45" t="str">
        <f>IF(OR(D$5="",$A26=""),"",IF($C$2="TODOS",IFERROR(SUMIFS(INVENTARIO!$E$4:$E$843,INVENTARIO!$B$4:$B$843,LOWER(D$5),INVENTARIO!$C$4:$C$843,$A26),0),IFERROR(SUMIFS(INVENTARIO!$E$4:$E$843,INVENTARIO!$A$4:$A$843,$C$2,INVENTARIO!$B$4:$B$843,LOWER(D$5),INVENTARIO!$C$4:$C$843,$A26),0)))</f>
        <v/>
      </c>
      <c r="E26" s="45" t="str">
        <f>IF(OR(E$5="",$A26=""),"",IF($C$2="TODOS",IFERROR(SUMIFS(INVENTARIO!$E$4:$E$843,INVENTARIO!$B$4:$B$843,LOWER(E$5),INVENTARIO!$C$4:$C$843,$A26),0),IFERROR(SUMIFS(INVENTARIO!$E$4:$E$843,INVENTARIO!$A$4:$A$843,$C$2,INVENTARIO!$B$4:$B$843,LOWER(E$5),INVENTARIO!$C$4:$C$843,$A26),0)))</f>
        <v/>
      </c>
      <c r="F26" s="45" t="str">
        <f>IF(OR(F$5="",$A26=""),"",IF($C$2="TODOS",IFERROR(SUMIFS(INVENTARIO!$E$4:$E$843,INVENTARIO!$B$4:$B$843,LOWER(F$5),INVENTARIO!$C$4:$C$843,$A26),0),IFERROR(SUMIFS(INVENTARIO!$E$4:$E$843,INVENTARIO!$A$4:$A$843,$C$2,INVENTARIO!$B$4:$B$843,LOWER(F$5),INVENTARIO!$C$4:$C$843,$A26),0)))</f>
        <v/>
      </c>
      <c r="G26" s="45" t="str">
        <f>IF(OR(G$5="",$A26=""),"",IF($C$2="TODOS",IFERROR(SUMIFS(INVENTARIO!$E$4:$E$843,INVENTARIO!$B$4:$B$843,LOWER(G$5),INVENTARIO!$C$4:$C$843,$A26),0),IFERROR(SUMIFS(INVENTARIO!$E$4:$E$843,INVENTARIO!$A$4:$A$843,$C$2,INVENTARIO!$B$4:$B$843,LOWER(G$5),INVENTARIO!$C$4:$C$843,$A26),0)))</f>
        <v/>
      </c>
      <c r="H26" s="45" t="str">
        <f>IF(OR(H$5="",$A26=""),"",IF($C$2="TODOS",IFERROR(SUMIFS(INVENTARIO!$E$4:$E$843,INVENTARIO!$B$4:$B$843,LOWER(H$5),INVENTARIO!$C$4:$C$843,$A26),0),IFERROR(SUMIFS(INVENTARIO!$E$4:$E$843,INVENTARIO!$A$4:$A$843,$C$2,INVENTARIO!$B$4:$B$843,LOWER(H$5),INVENTARIO!$C$4:$C$843,$A26),0)))</f>
        <v/>
      </c>
      <c r="I26" s="45" t="str">
        <f>IF(OR(I$5="",$A26=""),"",IF($C$2="TODOS",IFERROR(SUMIFS(INVENTARIO!$E$4:$E$843,INVENTARIO!$B$4:$B$843,LOWER(I$5),INVENTARIO!$C$4:$C$843,$A26),0),IFERROR(SUMIFS(INVENTARIO!$E$4:$E$843,INVENTARIO!$A$4:$A$843,$C$2,INVENTARIO!$B$4:$B$843,LOWER(I$5),INVENTARIO!$C$4:$C$843,$A26),0)))</f>
        <v/>
      </c>
      <c r="J26" s="45" t="str">
        <f>IF(OR(J$5="",$A26=""),"",IF($C$2="TODOS",IFERROR(SUMIFS(INVENTARIO!$E$4:$E$843,INVENTARIO!$B$4:$B$843,LOWER(J$5),INVENTARIO!$C$4:$C$843,$A26),0),IFERROR(SUMIFS(INVENTARIO!$E$4:$E$843,INVENTARIO!$A$4:$A$843,$C$2,INVENTARIO!$B$4:$B$843,LOWER(J$5),INVENTARIO!$C$4:$C$843,$A26),0)))</f>
        <v/>
      </c>
      <c r="K26" s="45" t="str">
        <f>IF(OR(K$5="",$A26=""),"",IF($C$2="TODOS",IFERROR(SUMIFS(INVENTARIO!$E$4:$E$843,INVENTARIO!$B$4:$B$843,LOWER(K$5),INVENTARIO!$C$4:$C$843,$A26),0),IFERROR(SUMIFS(INVENTARIO!$E$4:$E$843,INVENTARIO!$A$4:$A$843,$C$2,INVENTARIO!$B$4:$B$843,LOWER(K$5),INVENTARIO!$C$4:$C$843,$A26),0)))</f>
        <v/>
      </c>
      <c r="L26" s="45" t="str">
        <f>IF(OR(L$5="",$A26=""),"",IF($C$2="TODOS",IFERROR(SUMIFS(INVENTARIO!$E$4:$E$843,INVENTARIO!$B$4:$B$843,LOWER(L$5),INVENTARIO!$C$4:$C$843,$A26),0),IFERROR(SUMIFS(INVENTARIO!$E$4:$E$843,INVENTARIO!$A$4:$A$843,$C$2,INVENTARIO!$B$4:$B$843,LOWER(L$5),INVENTARIO!$C$4:$C$843,$A26),0)))</f>
        <v/>
      </c>
      <c r="M26" s="45" t="str">
        <f>IF(OR(M$5="",$A26=""),"",IF($C$2="TODOS",IFERROR(SUMIFS(INVENTARIO!$E$4:$E$843,INVENTARIO!$B$4:$B$843,LOWER(M$5),INVENTARIO!$C$4:$C$843,$A26),0),IFERROR(SUMIFS(INVENTARIO!$E$4:$E$843,INVENTARIO!$A$4:$A$843,$C$2,INVENTARIO!$B$4:$B$843,LOWER(M$5),INVENTARIO!$C$4:$C$843,$A26),0)))</f>
        <v/>
      </c>
      <c r="N26" s="46">
        <f t="shared" si="1"/>
        <v>0</v>
      </c>
      <c r="O26" s="47" t="str">
        <f>IF($A26="","",IF($C$2="TODOS",IFERROR(SUMIFS(INVENTARIO!$H$4:$H$843,INVENTARIO!$C$4:$C$843,$A26),0),IFERROR(SUMIFS(INVENTARIO!$H$4:$H$843,INVENTARIO!$A$4:$A$843,$C$2,INVENTARIO!$C$4:$C$843,$A26),0)))</f>
        <v/>
      </c>
    </row>
    <row r="27" ht="15.0" customHeight="1">
      <c r="A27" s="44" t="str">
        <f>IFERROR(IF(COLORES!A25="","",COLORES!A25),"")</f>
        <v/>
      </c>
      <c r="B27" s="45" t="str">
        <f>IF(OR(B$5="",$A27=""),"",IF($C$2="TODOS",IFERROR(SUMIFS(INVENTARIO!$E$4:$E$843,INVENTARIO!$B$4:$B$843,LOWER(B$5),INVENTARIO!$C$4:$C$843,$A27),0),IFERROR(SUMIFS(INVENTARIO!$E$4:$E$843,INVENTARIO!$A$4:$A$843,$C$2,INVENTARIO!$B$4:$B$843,LOWER(B$5),INVENTARIO!$C$4:$C$843,$A27),0)))</f>
        <v/>
      </c>
      <c r="C27" s="45" t="str">
        <f>IF(OR(C$5="",$A27=""),"",IF($C$2="TODOS",IFERROR(SUMIFS(INVENTARIO!$E$4:$E$843,INVENTARIO!$B$4:$B$843,LOWER(C$5),INVENTARIO!$C$4:$C$843,$A27),0),IFERROR(SUMIFS(INVENTARIO!$E$4:$E$843,INVENTARIO!$A$4:$A$843,$C$2,INVENTARIO!$B$4:$B$843,LOWER(C$5),INVENTARIO!$C$4:$C$843,$A27),0)))</f>
        <v/>
      </c>
      <c r="D27" s="45" t="str">
        <f>IF(OR(D$5="",$A27=""),"",IF($C$2="TODOS",IFERROR(SUMIFS(INVENTARIO!$E$4:$E$843,INVENTARIO!$B$4:$B$843,LOWER(D$5),INVENTARIO!$C$4:$C$843,$A27),0),IFERROR(SUMIFS(INVENTARIO!$E$4:$E$843,INVENTARIO!$A$4:$A$843,$C$2,INVENTARIO!$B$4:$B$843,LOWER(D$5),INVENTARIO!$C$4:$C$843,$A27),0)))</f>
        <v/>
      </c>
      <c r="E27" s="45" t="str">
        <f>IF(OR(E$5="",$A27=""),"",IF($C$2="TODOS",IFERROR(SUMIFS(INVENTARIO!$E$4:$E$843,INVENTARIO!$B$4:$B$843,LOWER(E$5),INVENTARIO!$C$4:$C$843,$A27),0),IFERROR(SUMIFS(INVENTARIO!$E$4:$E$843,INVENTARIO!$A$4:$A$843,$C$2,INVENTARIO!$B$4:$B$843,LOWER(E$5),INVENTARIO!$C$4:$C$843,$A27),0)))</f>
        <v/>
      </c>
      <c r="F27" s="45" t="str">
        <f>IF(OR(F$5="",$A27=""),"",IF($C$2="TODOS",IFERROR(SUMIFS(INVENTARIO!$E$4:$E$843,INVENTARIO!$B$4:$B$843,LOWER(F$5),INVENTARIO!$C$4:$C$843,$A27),0),IFERROR(SUMIFS(INVENTARIO!$E$4:$E$843,INVENTARIO!$A$4:$A$843,$C$2,INVENTARIO!$B$4:$B$843,LOWER(F$5),INVENTARIO!$C$4:$C$843,$A27),0)))</f>
        <v/>
      </c>
      <c r="G27" s="45" t="str">
        <f>IF(OR(G$5="",$A27=""),"",IF($C$2="TODOS",IFERROR(SUMIFS(INVENTARIO!$E$4:$E$843,INVENTARIO!$B$4:$B$843,LOWER(G$5),INVENTARIO!$C$4:$C$843,$A27),0),IFERROR(SUMIFS(INVENTARIO!$E$4:$E$843,INVENTARIO!$A$4:$A$843,$C$2,INVENTARIO!$B$4:$B$843,LOWER(G$5),INVENTARIO!$C$4:$C$843,$A27),0)))</f>
        <v/>
      </c>
      <c r="H27" s="45" t="str">
        <f>IF(OR(H$5="",$A27=""),"",IF($C$2="TODOS",IFERROR(SUMIFS(INVENTARIO!$E$4:$E$843,INVENTARIO!$B$4:$B$843,LOWER(H$5),INVENTARIO!$C$4:$C$843,$A27),0),IFERROR(SUMIFS(INVENTARIO!$E$4:$E$843,INVENTARIO!$A$4:$A$843,$C$2,INVENTARIO!$B$4:$B$843,LOWER(H$5),INVENTARIO!$C$4:$C$843,$A27),0)))</f>
        <v/>
      </c>
      <c r="I27" s="45" t="str">
        <f>IF(OR(I$5="",$A27=""),"",IF($C$2="TODOS",IFERROR(SUMIFS(INVENTARIO!$E$4:$E$843,INVENTARIO!$B$4:$B$843,LOWER(I$5),INVENTARIO!$C$4:$C$843,$A27),0),IFERROR(SUMIFS(INVENTARIO!$E$4:$E$843,INVENTARIO!$A$4:$A$843,$C$2,INVENTARIO!$B$4:$B$843,LOWER(I$5),INVENTARIO!$C$4:$C$843,$A27),0)))</f>
        <v/>
      </c>
      <c r="J27" s="45" t="str">
        <f>IF(OR(J$5="",$A27=""),"",IF($C$2="TODOS",IFERROR(SUMIFS(INVENTARIO!$E$4:$E$843,INVENTARIO!$B$4:$B$843,LOWER(J$5),INVENTARIO!$C$4:$C$843,$A27),0),IFERROR(SUMIFS(INVENTARIO!$E$4:$E$843,INVENTARIO!$A$4:$A$843,$C$2,INVENTARIO!$B$4:$B$843,LOWER(J$5),INVENTARIO!$C$4:$C$843,$A27),0)))</f>
        <v/>
      </c>
      <c r="K27" s="45" t="str">
        <f>IF(OR(K$5="",$A27=""),"",IF($C$2="TODOS",IFERROR(SUMIFS(INVENTARIO!$E$4:$E$843,INVENTARIO!$B$4:$B$843,LOWER(K$5),INVENTARIO!$C$4:$C$843,$A27),0),IFERROR(SUMIFS(INVENTARIO!$E$4:$E$843,INVENTARIO!$A$4:$A$843,$C$2,INVENTARIO!$B$4:$B$843,LOWER(K$5),INVENTARIO!$C$4:$C$843,$A27),0)))</f>
        <v/>
      </c>
      <c r="L27" s="45" t="str">
        <f>IF(OR(L$5="",$A27=""),"",IF($C$2="TODOS",IFERROR(SUMIFS(INVENTARIO!$E$4:$E$843,INVENTARIO!$B$4:$B$843,LOWER(L$5),INVENTARIO!$C$4:$C$843,$A27),0),IFERROR(SUMIFS(INVENTARIO!$E$4:$E$843,INVENTARIO!$A$4:$A$843,$C$2,INVENTARIO!$B$4:$B$843,LOWER(L$5),INVENTARIO!$C$4:$C$843,$A27),0)))</f>
        <v/>
      </c>
      <c r="M27" s="45" t="str">
        <f>IF(OR(M$5="",$A27=""),"",IF($C$2="TODOS",IFERROR(SUMIFS(INVENTARIO!$E$4:$E$843,INVENTARIO!$B$4:$B$843,LOWER(M$5),INVENTARIO!$C$4:$C$843,$A27),0),IFERROR(SUMIFS(INVENTARIO!$E$4:$E$843,INVENTARIO!$A$4:$A$843,$C$2,INVENTARIO!$B$4:$B$843,LOWER(M$5),INVENTARIO!$C$4:$C$843,$A27),0)))</f>
        <v/>
      </c>
      <c r="N27" s="46">
        <f t="shared" si="1"/>
        <v>0</v>
      </c>
      <c r="O27" s="47" t="str">
        <f>IF($A27="","",IF($C$2="TODOS",IFERROR(SUMIFS(INVENTARIO!$H$4:$H$843,INVENTARIO!$C$4:$C$843,$A27),0),IFERROR(SUMIFS(INVENTARIO!$H$4:$H$843,INVENTARIO!$A$4:$A$843,$C$2,INVENTARIO!$C$4:$C$843,$A27),0)))</f>
        <v/>
      </c>
    </row>
    <row r="28" ht="15.0" customHeight="1">
      <c r="A28" s="44" t="str">
        <f>IFERROR(IF(COLORES!A26="","",COLORES!A26),"")</f>
        <v/>
      </c>
      <c r="B28" s="45" t="str">
        <f>IF(OR(B$5="",$A28=""),"",IF($C$2="TODOS",IFERROR(SUMIFS(INVENTARIO!$E$4:$E$843,INVENTARIO!$B$4:$B$843,LOWER(B$5),INVENTARIO!$C$4:$C$843,$A28),0),IFERROR(SUMIFS(INVENTARIO!$E$4:$E$843,INVENTARIO!$A$4:$A$843,$C$2,INVENTARIO!$B$4:$B$843,LOWER(B$5),INVENTARIO!$C$4:$C$843,$A28),0)))</f>
        <v/>
      </c>
      <c r="C28" s="45" t="str">
        <f>IF(OR(C$5="",$A28=""),"",IF($C$2="TODOS",IFERROR(SUMIFS(INVENTARIO!$E$4:$E$843,INVENTARIO!$B$4:$B$843,LOWER(C$5),INVENTARIO!$C$4:$C$843,$A28),0),IFERROR(SUMIFS(INVENTARIO!$E$4:$E$843,INVENTARIO!$A$4:$A$843,$C$2,INVENTARIO!$B$4:$B$843,LOWER(C$5),INVENTARIO!$C$4:$C$843,$A28),0)))</f>
        <v/>
      </c>
      <c r="D28" s="45" t="str">
        <f>IF(OR(D$5="",$A28=""),"",IF($C$2="TODOS",IFERROR(SUMIFS(INVENTARIO!$E$4:$E$843,INVENTARIO!$B$4:$B$843,LOWER(D$5),INVENTARIO!$C$4:$C$843,$A28),0),IFERROR(SUMIFS(INVENTARIO!$E$4:$E$843,INVENTARIO!$A$4:$A$843,$C$2,INVENTARIO!$B$4:$B$843,LOWER(D$5),INVENTARIO!$C$4:$C$843,$A28),0)))</f>
        <v/>
      </c>
      <c r="E28" s="45" t="str">
        <f>IF(OR(E$5="",$A28=""),"",IF($C$2="TODOS",IFERROR(SUMIFS(INVENTARIO!$E$4:$E$843,INVENTARIO!$B$4:$B$843,LOWER(E$5),INVENTARIO!$C$4:$C$843,$A28),0),IFERROR(SUMIFS(INVENTARIO!$E$4:$E$843,INVENTARIO!$A$4:$A$843,$C$2,INVENTARIO!$B$4:$B$843,LOWER(E$5),INVENTARIO!$C$4:$C$843,$A28),0)))</f>
        <v/>
      </c>
      <c r="F28" s="45" t="str">
        <f>IF(OR(F$5="",$A28=""),"",IF($C$2="TODOS",IFERROR(SUMIFS(INVENTARIO!$E$4:$E$843,INVENTARIO!$B$4:$B$843,LOWER(F$5),INVENTARIO!$C$4:$C$843,$A28),0),IFERROR(SUMIFS(INVENTARIO!$E$4:$E$843,INVENTARIO!$A$4:$A$843,$C$2,INVENTARIO!$B$4:$B$843,LOWER(F$5),INVENTARIO!$C$4:$C$843,$A28),0)))</f>
        <v/>
      </c>
      <c r="G28" s="45" t="str">
        <f>IF(OR(G$5="",$A28=""),"",IF($C$2="TODOS",IFERROR(SUMIFS(INVENTARIO!$E$4:$E$843,INVENTARIO!$B$4:$B$843,LOWER(G$5),INVENTARIO!$C$4:$C$843,$A28),0),IFERROR(SUMIFS(INVENTARIO!$E$4:$E$843,INVENTARIO!$A$4:$A$843,$C$2,INVENTARIO!$B$4:$B$843,LOWER(G$5),INVENTARIO!$C$4:$C$843,$A28),0)))</f>
        <v/>
      </c>
      <c r="H28" s="45" t="str">
        <f>IF(OR(H$5="",$A28=""),"",IF($C$2="TODOS",IFERROR(SUMIFS(INVENTARIO!$E$4:$E$843,INVENTARIO!$B$4:$B$843,LOWER(H$5),INVENTARIO!$C$4:$C$843,$A28),0),IFERROR(SUMIFS(INVENTARIO!$E$4:$E$843,INVENTARIO!$A$4:$A$843,$C$2,INVENTARIO!$B$4:$B$843,LOWER(H$5),INVENTARIO!$C$4:$C$843,$A28),0)))</f>
        <v/>
      </c>
      <c r="I28" s="45" t="str">
        <f>IF(OR(I$5="",$A28=""),"",IF($C$2="TODOS",IFERROR(SUMIFS(INVENTARIO!$E$4:$E$843,INVENTARIO!$B$4:$B$843,LOWER(I$5),INVENTARIO!$C$4:$C$843,$A28),0),IFERROR(SUMIFS(INVENTARIO!$E$4:$E$843,INVENTARIO!$A$4:$A$843,$C$2,INVENTARIO!$B$4:$B$843,LOWER(I$5),INVENTARIO!$C$4:$C$843,$A28),0)))</f>
        <v/>
      </c>
      <c r="J28" s="45" t="str">
        <f>IF(OR(J$5="",$A28=""),"",IF($C$2="TODOS",IFERROR(SUMIFS(INVENTARIO!$E$4:$E$843,INVENTARIO!$B$4:$B$843,LOWER(J$5),INVENTARIO!$C$4:$C$843,$A28),0),IFERROR(SUMIFS(INVENTARIO!$E$4:$E$843,INVENTARIO!$A$4:$A$843,$C$2,INVENTARIO!$B$4:$B$843,LOWER(J$5),INVENTARIO!$C$4:$C$843,$A28),0)))</f>
        <v/>
      </c>
      <c r="K28" s="45" t="str">
        <f>IF(OR(K$5="",$A28=""),"",IF($C$2="TODOS",IFERROR(SUMIFS(INVENTARIO!$E$4:$E$843,INVENTARIO!$B$4:$B$843,LOWER(K$5),INVENTARIO!$C$4:$C$843,$A28),0),IFERROR(SUMIFS(INVENTARIO!$E$4:$E$843,INVENTARIO!$A$4:$A$843,$C$2,INVENTARIO!$B$4:$B$843,LOWER(K$5),INVENTARIO!$C$4:$C$843,$A28),0)))</f>
        <v/>
      </c>
      <c r="L28" s="45" t="str">
        <f>IF(OR(L$5="",$A28=""),"",IF($C$2="TODOS",IFERROR(SUMIFS(INVENTARIO!$E$4:$E$843,INVENTARIO!$B$4:$B$843,LOWER(L$5),INVENTARIO!$C$4:$C$843,$A28),0),IFERROR(SUMIFS(INVENTARIO!$E$4:$E$843,INVENTARIO!$A$4:$A$843,$C$2,INVENTARIO!$B$4:$B$843,LOWER(L$5),INVENTARIO!$C$4:$C$843,$A28),0)))</f>
        <v/>
      </c>
      <c r="M28" s="45" t="str">
        <f>IF(OR(M$5="",$A28=""),"",IF($C$2="TODOS",IFERROR(SUMIFS(INVENTARIO!$E$4:$E$843,INVENTARIO!$B$4:$B$843,LOWER(M$5),INVENTARIO!$C$4:$C$843,$A28),0),IFERROR(SUMIFS(INVENTARIO!$E$4:$E$843,INVENTARIO!$A$4:$A$843,$C$2,INVENTARIO!$B$4:$B$843,LOWER(M$5),INVENTARIO!$C$4:$C$843,$A28),0)))</f>
        <v/>
      </c>
      <c r="N28" s="46">
        <f t="shared" si="1"/>
        <v>0</v>
      </c>
      <c r="O28" s="47" t="str">
        <f>IF($A28="","",IF($C$2="TODOS",IFERROR(SUMIFS(INVENTARIO!$H$4:$H$843,INVENTARIO!$C$4:$C$843,$A28),0),IFERROR(SUMIFS(INVENTARIO!$H$4:$H$843,INVENTARIO!$A$4:$A$843,$C$2,INVENTARIO!$C$4:$C$843,$A28),0)))</f>
        <v/>
      </c>
    </row>
    <row r="29" ht="15.0" customHeight="1">
      <c r="A29" s="44" t="str">
        <f>IFERROR(IF(COLORES!A27="","",COLORES!A27),"")</f>
        <v/>
      </c>
      <c r="B29" s="45" t="str">
        <f>IF(OR(B$5="",$A29=""),"",IF($C$2="TODOS",IFERROR(SUMIFS(INVENTARIO!$E$4:$E$843,INVENTARIO!$B$4:$B$843,LOWER(B$5),INVENTARIO!$C$4:$C$843,$A29),0),IFERROR(SUMIFS(INVENTARIO!$E$4:$E$843,INVENTARIO!$A$4:$A$843,$C$2,INVENTARIO!$B$4:$B$843,LOWER(B$5),INVENTARIO!$C$4:$C$843,$A29),0)))</f>
        <v/>
      </c>
      <c r="C29" s="45" t="str">
        <f>IF(OR(C$5="",$A29=""),"",IF($C$2="TODOS",IFERROR(SUMIFS(INVENTARIO!$E$4:$E$843,INVENTARIO!$B$4:$B$843,LOWER(C$5),INVENTARIO!$C$4:$C$843,$A29),0),IFERROR(SUMIFS(INVENTARIO!$E$4:$E$843,INVENTARIO!$A$4:$A$843,$C$2,INVENTARIO!$B$4:$B$843,LOWER(C$5),INVENTARIO!$C$4:$C$843,$A29),0)))</f>
        <v/>
      </c>
      <c r="D29" s="45" t="str">
        <f>IF(OR(D$5="",$A29=""),"",IF($C$2="TODOS",IFERROR(SUMIFS(INVENTARIO!$E$4:$E$843,INVENTARIO!$B$4:$B$843,LOWER(D$5),INVENTARIO!$C$4:$C$843,$A29),0),IFERROR(SUMIFS(INVENTARIO!$E$4:$E$843,INVENTARIO!$A$4:$A$843,$C$2,INVENTARIO!$B$4:$B$843,LOWER(D$5),INVENTARIO!$C$4:$C$843,$A29),0)))</f>
        <v/>
      </c>
      <c r="E29" s="45" t="str">
        <f>IF(OR(E$5="",$A29=""),"",IF($C$2="TODOS",IFERROR(SUMIFS(INVENTARIO!$E$4:$E$843,INVENTARIO!$B$4:$B$843,LOWER(E$5),INVENTARIO!$C$4:$C$843,$A29),0),IFERROR(SUMIFS(INVENTARIO!$E$4:$E$843,INVENTARIO!$A$4:$A$843,$C$2,INVENTARIO!$B$4:$B$843,LOWER(E$5),INVENTARIO!$C$4:$C$843,$A29),0)))</f>
        <v/>
      </c>
      <c r="F29" s="45" t="str">
        <f>IF(OR(F$5="",$A29=""),"",IF($C$2="TODOS",IFERROR(SUMIFS(INVENTARIO!$E$4:$E$843,INVENTARIO!$B$4:$B$843,LOWER(F$5),INVENTARIO!$C$4:$C$843,$A29),0),IFERROR(SUMIFS(INVENTARIO!$E$4:$E$843,INVENTARIO!$A$4:$A$843,$C$2,INVENTARIO!$B$4:$B$843,LOWER(F$5),INVENTARIO!$C$4:$C$843,$A29),0)))</f>
        <v/>
      </c>
      <c r="G29" s="45" t="str">
        <f>IF(OR(G$5="",$A29=""),"",IF($C$2="TODOS",IFERROR(SUMIFS(INVENTARIO!$E$4:$E$843,INVENTARIO!$B$4:$B$843,LOWER(G$5),INVENTARIO!$C$4:$C$843,$A29),0),IFERROR(SUMIFS(INVENTARIO!$E$4:$E$843,INVENTARIO!$A$4:$A$843,$C$2,INVENTARIO!$B$4:$B$843,LOWER(G$5),INVENTARIO!$C$4:$C$843,$A29),0)))</f>
        <v/>
      </c>
      <c r="H29" s="45" t="str">
        <f>IF(OR(H$5="",$A29=""),"",IF($C$2="TODOS",IFERROR(SUMIFS(INVENTARIO!$E$4:$E$843,INVENTARIO!$B$4:$B$843,LOWER(H$5),INVENTARIO!$C$4:$C$843,$A29),0),IFERROR(SUMIFS(INVENTARIO!$E$4:$E$843,INVENTARIO!$A$4:$A$843,$C$2,INVENTARIO!$B$4:$B$843,LOWER(H$5),INVENTARIO!$C$4:$C$843,$A29),0)))</f>
        <v/>
      </c>
      <c r="I29" s="45" t="str">
        <f>IF(OR(I$5="",$A29=""),"",IF($C$2="TODOS",IFERROR(SUMIFS(INVENTARIO!$E$4:$E$843,INVENTARIO!$B$4:$B$843,LOWER(I$5),INVENTARIO!$C$4:$C$843,$A29),0),IFERROR(SUMIFS(INVENTARIO!$E$4:$E$843,INVENTARIO!$A$4:$A$843,$C$2,INVENTARIO!$B$4:$B$843,LOWER(I$5),INVENTARIO!$C$4:$C$843,$A29),0)))</f>
        <v/>
      </c>
      <c r="J29" s="45" t="str">
        <f>IF(OR(J$5="",$A29=""),"",IF($C$2="TODOS",IFERROR(SUMIFS(INVENTARIO!$E$4:$E$843,INVENTARIO!$B$4:$B$843,LOWER(J$5),INVENTARIO!$C$4:$C$843,$A29),0),IFERROR(SUMIFS(INVENTARIO!$E$4:$E$843,INVENTARIO!$A$4:$A$843,$C$2,INVENTARIO!$B$4:$B$843,LOWER(J$5),INVENTARIO!$C$4:$C$843,$A29),0)))</f>
        <v/>
      </c>
      <c r="K29" s="45" t="str">
        <f>IF(OR(K$5="",$A29=""),"",IF($C$2="TODOS",IFERROR(SUMIFS(INVENTARIO!$E$4:$E$843,INVENTARIO!$B$4:$B$843,LOWER(K$5),INVENTARIO!$C$4:$C$843,$A29),0),IFERROR(SUMIFS(INVENTARIO!$E$4:$E$843,INVENTARIO!$A$4:$A$843,$C$2,INVENTARIO!$B$4:$B$843,LOWER(K$5),INVENTARIO!$C$4:$C$843,$A29),0)))</f>
        <v/>
      </c>
      <c r="L29" s="45" t="str">
        <f>IF(OR(L$5="",$A29=""),"",IF($C$2="TODOS",IFERROR(SUMIFS(INVENTARIO!$E$4:$E$843,INVENTARIO!$B$4:$B$843,LOWER(L$5),INVENTARIO!$C$4:$C$843,$A29),0),IFERROR(SUMIFS(INVENTARIO!$E$4:$E$843,INVENTARIO!$A$4:$A$843,$C$2,INVENTARIO!$B$4:$B$843,LOWER(L$5),INVENTARIO!$C$4:$C$843,$A29),0)))</f>
        <v/>
      </c>
      <c r="M29" s="45" t="str">
        <f>IF(OR(M$5="",$A29=""),"",IF($C$2="TODOS",IFERROR(SUMIFS(INVENTARIO!$E$4:$E$843,INVENTARIO!$B$4:$B$843,LOWER(M$5),INVENTARIO!$C$4:$C$843,$A29),0),IFERROR(SUMIFS(INVENTARIO!$E$4:$E$843,INVENTARIO!$A$4:$A$843,$C$2,INVENTARIO!$B$4:$B$843,LOWER(M$5),INVENTARIO!$C$4:$C$843,$A29),0)))</f>
        <v/>
      </c>
      <c r="N29" s="46">
        <f t="shared" si="1"/>
        <v>0</v>
      </c>
      <c r="O29" s="47" t="str">
        <f>IF($A29="","",IF($C$2="TODOS",IFERROR(SUMIFS(INVENTARIO!$H$4:$H$843,INVENTARIO!$C$4:$C$843,$A29),0),IFERROR(SUMIFS(INVENTARIO!$H$4:$H$843,INVENTARIO!$A$4:$A$843,$C$2,INVENTARIO!$C$4:$C$843,$A29),0)))</f>
        <v/>
      </c>
    </row>
    <row r="30" ht="15.0" customHeight="1">
      <c r="A30" s="44" t="str">
        <f>IFERROR(IF(COLORES!A28="","",COLORES!A28),"")</f>
        <v/>
      </c>
      <c r="B30" s="45" t="str">
        <f>IF(OR(B$5="",$A30=""),"",IF($C$2="TODOS",IFERROR(SUMIFS(INVENTARIO!$E$4:$E$843,INVENTARIO!$B$4:$B$843,LOWER(B$5),INVENTARIO!$C$4:$C$843,$A30),0),IFERROR(SUMIFS(INVENTARIO!$E$4:$E$843,INVENTARIO!$A$4:$A$843,$C$2,INVENTARIO!$B$4:$B$843,LOWER(B$5),INVENTARIO!$C$4:$C$843,$A30),0)))</f>
        <v/>
      </c>
      <c r="C30" s="45" t="str">
        <f>IF(OR(C$5="",$A30=""),"",IF($C$2="TODOS",IFERROR(SUMIFS(INVENTARIO!$E$4:$E$843,INVENTARIO!$B$4:$B$843,LOWER(C$5),INVENTARIO!$C$4:$C$843,$A30),0),IFERROR(SUMIFS(INVENTARIO!$E$4:$E$843,INVENTARIO!$A$4:$A$843,$C$2,INVENTARIO!$B$4:$B$843,LOWER(C$5),INVENTARIO!$C$4:$C$843,$A30),0)))</f>
        <v/>
      </c>
      <c r="D30" s="45" t="str">
        <f>IF(OR(D$5="",$A30=""),"",IF($C$2="TODOS",IFERROR(SUMIFS(INVENTARIO!$E$4:$E$843,INVENTARIO!$B$4:$B$843,LOWER(D$5),INVENTARIO!$C$4:$C$843,$A30),0),IFERROR(SUMIFS(INVENTARIO!$E$4:$E$843,INVENTARIO!$A$4:$A$843,$C$2,INVENTARIO!$B$4:$B$843,LOWER(D$5),INVENTARIO!$C$4:$C$843,$A30),0)))</f>
        <v/>
      </c>
      <c r="E30" s="45" t="str">
        <f>IF(OR(E$5="",$A30=""),"",IF($C$2="TODOS",IFERROR(SUMIFS(INVENTARIO!$E$4:$E$843,INVENTARIO!$B$4:$B$843,LOWER(E$5),INVENTARIO!$C$4:$C$843,$A30),0),IFERROR(SUMIFS(INVENTARIO!$E$4:$E$843,INVENTARIO!$A$4:$A$843,$C$2,INVENTARIO!$B$4:$B$843,LOWER(E$5),INVENTARIO!$C$4:$C$843,$A30),0)))</f>
        <v/>
      </c>
      <c r="F30" s="45" t="str">
        <f>IF(OR(F$5="",$A30=""),"",IF($C$2="TODOS",IFERROR(SUMIFS(INVENTARIO!$E$4:$E$843,INVENTARIO!$B$4:$B$843,LOWER(F$5),INVENTARIO!$C$4:$C$843,$A30),0),IFERROR(SUMIFS(INVENTARIO!$E$4:$E$843,INVENTARIO!$A$4:$A$843,$C$2,INVENTARIO!$B$4:$B$843,LOWER(F$5),INVENTARIO!$C$4:$C$843,$A30),0)))</f>
        <v/>
      </c>
      <c r="G30" s="45" t="str">
        <f>IF(OR(G$5="",$A30=""),"",IF($C$2="TODOS",IFERROR(SUMIFS(INVENTARIO!$E$4:$E$843,INVENTARIO!$B$4:$B$843,LOWER(G$5),INVENTARIO!$C$4:$C$843,$A30),0),IFERROR(SUMIFS(INVENTARIO!$E$4:$E$843,INVENTARIO!$A$4:$A$843,$C$2,INVENTARIO!$B$4:$B$843,LOWER(G$5),INVENTARIO!$C$4:$C$843,$A30),0)))</f>
        <v/>
      </c>
      <c r="H30" s="45" t="str">
        <f>IF(OR(H$5="",$A30=""),"",IF($C$2="TODOS",IFERROR(SUMIFS(INVENTARIO!$E$4:$E$843,INVENTARIO!$B$4:$B$843,LOWER(H$5),INVENTARIO!$C$4:$C$843,$A30),0),IFERROR(SUMIFS(INVENTARIO!$E$4:$E$843,INVENTARIO!$A$4:$A$843,$C$2,INVENTARIO!$B$4:$B$843,LOWER(H$5),INVENTARIO!$C$4:$C$843,$A30),0)))</f>
        <v/>
      </c>
      <c r="I30" s="45" t="str">
        <f>IF(OR(I$5="",$A30=""),"",IF($C$2="TODOS",IFERROR(SUMIFS(INVENTARIO!$E$4:$E$843,INVENTARIO!$B$4:$B$843,LOWER(I$5),INVENTARIO!$C$4:$C$843,$A30),0),IFERROR(SUMIFS(INVENTARIO!$E$4:$E$843,INVENTARIO!$A$4:$A$843,$C$2,INVENTARIO!$B$4:$B$843,LOWER(I$5),INVENTARIO!$C$4:$C$843,$A30),0)))</f>
        <v/>
      </c>
      <c r="J30" s="45" t="str">
        <f>IF(OR(J$5="",$A30=""),"",IF($C$2="TODOS",IFERROR(SUMIFS(INVENTARIO!$E$4:$E$843,INVENTARIO!$B$4:$B$843,LOWER(J$5),INVENTARIO!$C$4:$C$843,$A30),0),IFERROR(SUMIFS(INVENTARIO!$E$4:$E$843,INVENTARIO!$A$4:$A$843,$C$2,INVENTARIO!$B$4:$B$843,LOWER(J$5),INVENTARIO!$C$4:$C$843,$A30),0)))</f>
        <v/>
      </c>
      <c r="K30" s="45" t="str">
        <f>IF(OR(K$5="",$A30=""),"",IF($C$2="TODOS",IFERROR(SUMIFS(INVENTARIO!$E$4:$E$843,INVENTARIO!$B$4:$B$843,LOWER(K$5),INVENTARIO!$C$4:$C$843,$A30),0),IFERROR(SUMIFS(INVENTARIO!$E$4:$E$843,INVENTARIO!$A$4:$A$843,$C$2,INVENTARIO!$B$4:$B$843,LOWER(K$5),INVENTARIO!$C$4:$C$843,$A30),0)))</f>
        <v/>
      </c>
      <c r="L30" s="45" t="str">
        <f>IF(OR(L$5="",$A30=""),"",IF($C$2="TODOS",IFERROR(SUMIFS(INVENTARIO!$E$4:$E$843,INVENTARIO!$B$4:$B$843,LOWER(L$5),INVENTARIO!$C$4:$C$843,$A30),0),IFERROR(SUMIFS(INVENTARIO!$E$4:$E$843,INVENTARIO!$A$4:$A$843,$C$2,INVENTARIO!$B$4:$B$843,LOWER(L$5),INVENTARIO!$C$4:$C$843,$A30),0)))</f>
        <v/>
      </c>
      <c r="M30" s="45" t="str">
        <f>IF(OR(M$5="",$A30=""),"",IF($C$2="TODOS",IFERROR(SUMIFS(INVENTARIO!$E$4:$E$843,INVENTARIO!$B$4:$B$843,LOWER(M$5),INVENTARIO!$C$4:$C$843,$A30),0),IFERROR(SUMIFS(INVENTARIO!$E$4:$E$843,INVENTARIO!$A$4:$A$843,$C$2,INVENTARIO!$B$4:$B$843,LOWER(M$5),INVENTARIO!$C$4:$C$843,$A30),0)))</f>
        <v/>
      </c>
      <c r="N30" s="46">
        <f t="shared" si="1"/>
        <v>0</v>
      </c>
      <c r="O30" s="47" t="str">
        <f>IF($A30="","",IF($C$2="TODOS",IFERROR(SUMIFS(INVENTARIO!$H$4:$H$843,INVENTARIO!$C$4:$C$843,$A30),0),IFERROR(SUMIFS(INVENTARIO!$H$4:$H$843,INVENTARIO!$A$4:$A$843,$C$2,INVENTARIO!$C$4:$C$843,$A30),0)))</f>
        <v/>
      </c>
    </row>
    <row r="31" ht="15.0" customHeight="1">
      <c r="A31" s="44" t="str">
        <f>IFERROR(IF(COLORES!A29="","",COLORES!A29),"")</f>
        <v/>
      </c>
      <c r="B31" s="45" t="str">
        <f>IF(OR(B$5="",$A31=""),"",IF($C$2="TODOS",IFERROR(SUMIFS(INVENTARIO!$E$4:$E$843,INVENTARIO!$B$4:$B$843,LOWER(B$5),INVENTARIO!$C$4:$C$843,$A31),0),IFERROR(SUMIFS(INVENTARIO!$E$4:$E$843,INVENTARIO!$A$4:$A$843,$C$2,INVENTARIO!$B$4:$B$843,LOWER(B$5),INVENTARIO!$C$4:$C$843,$A31),0)))</f>
        <v/>
      </c>
      <c r="C31" s="45" t="str">
        <f>IF(OR(C$5="",$A31=""),"",IF($C$2="TODOS",IFERROR(SUMIFS(INVENTARIO!$E$4:$E$843,INVENTARIO!$B$4:$B$843,LOWER(C$5),INVENTARIO!$C$4:$C$843,$A31),0),IFERROR(SUMIFS(INVENTARIO!$E$4:$E$843,INVENTARIO!$A$4:$A$843,$C$2,INVENTARIO!$B$4:$B$843,LOWER(C$5),INVENTARIO!$C$4:$C$843,$A31),0)))</f>
        <v/>
      </c>
      <c r="D31" s="45" t="str">
        <f>IF(OR(D$5="",$A31=""),"",IF($C$2="TODOS",IFERROR(SUMIFS(INVENTARIO!$E$4:$E$843,INVENTARIO!$B$4:$B$843,LOWER(D$5),INVENTARIO!$C$4:$C$843,$A31),0),IFERROR(SUMIFS(INVENTARIO!$E$4:$E$843,INVENTARIO!$A$4:$A$843,$C$2,INVENTARIO!$B$4:$B$843,LOWER(D$5),INVENTARIO!$C$4:$C$843,$A31),0)))</f>
        <v/>
      </c>
      <c r="E31" s="45" t="str">
        <f>IF(OR(E$5="",$A31=""),"",IF($C$2="TODOS",IFERROR(SUMIFS(INVENTARIO!$E$4:$E$843,INVENTARIO!$B$4:$B$843,LOWER(E$5),INVENTARIO!$C$4:$C$843,$A31),0),IFERROR(SUMIFS(INVENTARIO!$E$4:$E$843,INVENTARIO!$A$4:$A$843,$C$2,INVENTARIO!$B$4:$B$843,LOWER(E$5),INVENTARIO!$C$4:$C$843,$A31),0)))</f>
        <v/>
      </c>
      <c r="F31" s="45" t="str">
        <f>IF(OR(F$5="",$A31=""),"",IF($C$2="TODOS",IFERROR(SUMIFS(INVENTARIO!$E$4:$E$843,INVENTARIO!$B$4:$B$843,LOWER(F$5),INVENTARIO!$C$4:$C$843,$A31),0),IFERROR(SUMIFS(INVENTARIO!$E$4:$E$843,INVENTARIO!$A$4:$A$843,$C$2,INVENTARIO!$B$4:$B$843,LOWER(F$5),INVENTARIO!$C$4:$C$843,$A31),0)))</f>
        <v/>
      </c>
      <c r="G31" s="45" t="str">
        <f>IF(OR(G$5="",$A31=""),"",IF($C$2="TODOS",IFERROR(SUMIFS(INVENTARIO!$E$4:$E$843,INVENTARIO!$B$4:$B$843,LOWER(G$5),INVENTARIO!$C$4:$C$843,$A31),0),IFERROR(SUMIFS(INVENTARIO!$E$4:$E$843,INVENTARIO!$A$4:$A$843,$C$2,INVENTARIO!$B$4:$B$843,LOWER(G$5),INVENTARIO!$C$4:$C$843,$A31),0)))</f>
        <v/>
      </c>
      <c r="H31" s="45" t="str">
        <f>IF(OR(H$5="",$A31=""),"",IF($C$2="TODOS",IFERROR(SUMIFS(INVENTARIO!$E$4:$E$843,INVENTARIO!$B$4:$B$843,LOWER(H$5),INVENTARIO!$C$4:$C$843,$A31),0),IFERROR(SUMIFS(INVENTARIO!$E$4:$E$843,INVENTARIO!$A$4:$A$843,$C$2,INVENTARIO!$B$4:$B$843,LOWER(H$5),INVENTARIO!$C$4:$C$843,$A31),0)))</f>
        <v/>
      </c>
      <c r="I31" s="45" t="str">
        <f>IF(OR(I$5="",$A31=""),"",IF($C$2="TODOS",IFERROR(SUMIFS(INVENTARIO!$E$4:$E$843,INVENTARIO!$B$4:$B$843,LOWER(I$5),INVENTARIO!$C$4:$C$843,$A31),0),IFERROR(SUMIFS(INVENTARIO!$E$4:$E$843,INVENTARIO!$A$4:$A$843,$C$2,INVENTARIO!$B$4:$B$843,LOWER(I$5),INVENTARIO!$C$4:$C$843,$A31),0)))</f>
        <v/>
      </c>
      <c r="J31" s="45" t="str">
        <f>IF(OR(J$5="",$A31=""),"",IF($C$2="TODOS",IFERROR(SUMIFS(INVENTARIO!$E$4:$E$843,INVENTARIO!$B$4:$B$843,LOWER(J$5),INVENTARIO!$C$4:$C$843,$A31),0),IFERROR(SUMIFS(INVENTARIO!$E$4:$E$843,INVENTARIO!$A$4:$A$843,$C$2,INVENTARIO!$B$4:$B$843,LOWER(J$5),INVENTARIO!$C$4:$C$843,$A31),0)))</f>
        <v/>
      </c>
      <c r="K31" s="45" t="str">
        <f>IF(OR(K$5="",$A31=""),"",IF($C$2="TODOS",IFERROR(SUMIFS(INVENTARIO!$E$4:$E$843,INVENTARIO!$B$4:$B$843,LOWER(K$5),INVENTARIO!$C$4:$C$843,$A31),0),IFERROR(SUMIFS(INVENTARIO!$E$4:$E$843,INVENTARIO!$A$4:$A$843,$C$2,INVENTARIO!$B$4:$B$843,LOWER(K$5),INVENTARIO!$C$4:$C$843,$A31),0)))</f>
        <v/>
      </c>
      <c r="L31" s="45" t="str">
        <f>IF(OR(L$5="",$A31=""),"",IF($C$2="TODOS",IFERROR(SUMIFS(INVENTARIO!$E$4:$E$843,INVENTARIO!$B$4:$B$843,LOWER(L$5),INVENTARIO!$C$4:$C$843,$A31),0),IFERROR(SUMIFS(INVENTARIO!$E$4:$E$843,INVENTARIO!$A$4:$A$843,$C$2,INVENTARIO!$B$4:$B$843,LOWER(L$5),INVENTARIO!$C$4:$C$843,$A31),0)))</f>
        <v/>
      </c>
      <c r="M31" s="45" t="str">
        <f>IF(OR(M$5="",$A31=""),"",IF($C$2="TODOS",IFERROR(SUMIFS(INVENTARIO!$E$4:$E$843,INVENTARIO!$B$4:$B$843,LOWER(M$5),INVENTARIO!$C$4:$C$843,$A31),0),IFERROR(SUMIFS(INVENTARIO!$E$4:$E$843,INVENTARIO!$A$4:$A$843,$C$2,INVENTARIO!$B$4:$B$843,LOWER(M$5),INVENTARIO!$C$4:$C$843,$A31),0)))</f>
        <v/>
      </c>
      <c r="N31" s="46">
        <f t="shared" si="1"/>
        <v>0</v>
      </c>
      <c r="O31" s="47" t="str">
        <f>IF($A31="","",IF($C$2="TODOS",IFERROR(SUMIFS(INVENTARIO!$H$4:$H$843,INVENTARIO!$C$4:$C$843,$A31),0),IFERROR(SUMIFS(INVENTARIO!$H$4:$H$843,INVENTARIO!$A$4:$A$843,$C$2,INVENTARIO!$C$4:$C$843,$A31),0)))</f>
        <v/>
      </c>
    </row>
    <row r="32" ht="15.0" customHeight="1">
      <c r="A32" s="44" t="str">
        <f>IFERROR(IF(COLORES!A30="","",COLORES!A30),"")</f>
        <v/>
      </c>
      <c r="B32" s="45" t="str">
        <f>IF(OR(B$5="",$A32=""),"",IF($C$2="TODOS",IFERROR(SUMIFS(INVENTARIO!$E$4:$E$843,INVENTARIO!$B$4:$B$843,LOWER(B$5),INVENTARIO!$C$4:$C$843,$A32),0),IFERROR(SUMIFS(INVENTARIO!$E$4:$E$843,INVENTARIO!$A$4:$A$843,$C$2,INVENTARIO!$B$4:$B$843,LOWER(B$5),INVENTARIO!$C$4:$C$843,$A32),0)))</f>
        <v/>
      </c>
      <c r="C32" s="45" t="str">
        <f>IF(OR(C$5="",$A32=""),"",IF($C$2="TODOS",IFERROR(SUMIFS(INVENTARIO!$E$4:$E$843,INVENTARIO!$B$4:$B$843,LOWER(C$5),INVENTARIO!$C$4:$C$843,$A32),0),IFERROR(SUMIFS(INVENTARIO!$E$4:$E$843,INVENTARIO!$A$4:$A$843,$C$2,INVENTARIO!$B$4:$B$843,LOWER(C$5),INVENTARIO!$C$4:$C$843,$A32),0)))</f>
        <v/>
      </c>
      <c r="D32" s="45" t="str">
        <f>IF(OR(D$5="",$A32=""),"",IF($C$2="TODOS",IFERROR(SUMIFS(INVENTARIO!$E$4:$E$843,INVENTARIO!$B$4:$B$843,LOWER(D$5),INVENTARIO!$C$4:$C$843,$A32),0),IFERROR(SUMIFS(INVENTARIO!$E$4:$E$843,INVENTARIO!$A$4:$A$843,$C$2,INVENTARIO!$B$4:$B$843,LOWER(D$5),INVENTARIO!$C$4:$C$843,$A32),0)))</f>
        <v/>
      </c>
      <c r="E32" s="45" t="str">
        <f>IF(OR(E$5="",$A32=""),"",IF($C$2="TODOS",IFERROR(SUMIFS(INVENTARIO!$E$4:$E$843,INVENTARIO!$B$4:$B$843,LOWER(E$5),INVENTARIO!$C$4:$C$843,$A32),0),IFERROR(SUMIFS(INVENTARIO!$E$4:$E$843,INVENTARIO!$A$4:$A$843,$C$2,INVENTARIO!$B$4:$B$843,LOWER(E$5),INVENTARIO!$C$4:$C$843,$A32),0)))</f>
        <v/>
      </c>
      <c r="F32" s="45" t="str">
        <f>IF(OR(F$5="",$A32=""),"",IF($C$2="TODOS",IFERROR(SUMIFS(INVENTARIO!$E$4:$E$843,INVENTARIO!$B$4:$B$843,LOWER(F$5),INVENTARIO!$C$4:$C$843,$A32),0),IFERROR(SUMIFS(INVENTARIO!$E$4:$E$843,INVENTARIO!$A$4:$A$843,$C$2,INVENTARIO!$B$4:$B$843,LOWER(F$5),INVENTARIO!$C$4:$C$843,$A32),0)))</f>
        <v/>
      </c>
      <c r="G32" s="45" t="str">
        <f>IF(OR(G$5="",$A32=""),"",IF($C$2="TODOS",IFERROR(SUMIFS(INVENTARIO!$E$4:$E$843,INVENTARIO!$B$4:$B$843,LOWER(G$5),INVENTARIO!$C$4:$C$843,$A32),0),IFERROR(SUMIFS(INVENTARIO!$E$4:$E$843,INVENTARIO!$A$4:$A$843,$C$2,INVENTARIO!$B$4:$B$843,LOWER(G$5),INVENTARIO!$C$4:$C$843,$A32),0)))</f>
        <v/>
      </c>
      <c r="H32" s="45" t="str">
        <f>IF(OR(H$5="",$A32=""),"",IF($C$2="TODOS",IFERROR(SUMIFS(INVENTARIO!$E$4:$E$843,INVENTARIO!$B$4:$B$843,LOWER(H$5),INVENTARIO!$C$4:$C$843,$A32),0),IFERROR(SUMIFS(INVENTARIO!$E$4:$E$843,INVENTARIO!$A$4:$A$843,$C$2,INVENTARIO!$B$4:$B$843,LOWER(H$5),INVENTARIO!$C$4:$C$843,$A32),0)))</f>
        <v/>
      </c>
      <c r="I32" s="45" t="str">
        <f>IF(OR(I$5="",$A32=""),"",IF($C$2="TODOS",IFERROR(SUMIFS(INVENTARIO!$E$4:$E$843,INVENTARIO!$B$4:$B$843,LOWER(I$5),INVENTARIO!$C$4:$C$843,$A32),0),IFERROR(SUMIFS(INVENTARIO!$E$4:$E$843,INVENTARIO!$A$4:$A$843,$C$2,INVENTARIO!$B$4:$B$843,LOWER(I$5),INVENTARIO!$C$4:$C$843,$A32),0)))</f>
        <v/>
      </c>
      <c r="J32" s="45" t="str">
        <f>IF(OR(J$5="",$A32=""),"",IF($C$2="TODOS",IFERROR(SUMIFS(INVENTARIO!$E$4:$E$843,INVENTARIO!$B$4:$B$843,LOWER(J$5),INVENTARIO!$C$4:$C$843,$A32),0),IFERROR(SUMIFS(INVENTARIO!$E$4:$E$843,INVENTARIO!$A$4:$A$843,$C$2,INVENTARIO!$B$4:$B$843,LOWER(J$5),INVENTARIO!$C$4:$C$843,$A32),0)))</f>
        <v/>
      </c>
      <c r="K32" s="45" t="str">
        <f>IF(OR(K$5="",$A32=""),"",IF($C$2="TODOS",IFERROR(SUMIFS(INVENTARIO!$E$4:$E$843,INVENTARIO!$B$4:$B$843,LOWER(K$5),INVENTARIO!$C$4:$C$843,$A32),0),IFERROR(SUMIFS(INVENTARIO!$E$4:$E$843,INVENTARIO!$A$4:$A$843,$C$2,INVENTARIO!$B$4:$B$843,LOWER(K$5),INVENTARIO!$C$4:$C$843,$A32),0)))</f>
        <v/>
      </c>
      <c r="L32" s="45" t="str">
        <f>IF(OR(L$5="",$A32=""),"",IF($C$2="TODOS",IFERROR(SUMIFS(INVENTARIO!$E$4:$E$843,INVENTARIO!$B$4:$B$843,LOWER(L$5),INVENTARIO!$C$4:$C$843,$A32),0),IFERROR(SUMIFS(INVENTARIO!$E$4:$E$843,INVENTARIO!$A$4:$A$843,$C$2,INVENTARIO!$B$4:$B$843,LOWER(L$5),INVENTARIO!$C$4:$C$843,$A32),0)))</f>
        <v/>
      </c>
      <c r="M32" s="45" t="str">
        <f>IF(OR(M$5="",$A32=""),"",IF($C$2="TODOS",IFERROR(SUMIFS(INVENTARIO!$E$4:$E$843,INVENTARIO!$B$4:$B$843,LOWER(M$5),INVENTARIO!$C$4:$C$843,$A32),0),IFERROR(SUMIFS(INVENTARIO!$E$4:$E$843,INVENTARIO!$A$4:$A$843,$C$2,INVENTARIO!$B$4:$B$843,LOWER(M$5),INVENTARIO!$C$4:$C$843,$A32),0)))</f>
        <v/>
      </c>
      <c r="N32" s="46">
        <f t="shared" si="1"/>
        <v>0</v>
      </c>
      <c r="O32" s="47" t="str">
        <f>IF($A32="","",IF($C$2="TODOS",IFERROR(SUMIFS(INVENTARIO!$H$4:$H$843,INVENTARIO!$C$4:$C$843,$A32),0),IFERROR(SUMIFS(INVENTARIO!$H$4:$H$843,INVENTARIO!$A$4:$A$843,$C$2,INVENTARIO!$C$4:$C$843,$A32),0)))</f>
        <v/>
      </c>
    </row>
    <row r="33" ht="15.0" customHeight="1">
      <c r="A33" s="44" t="str">
        <f>IFERROR(IF(COLORES!A31="","",COLORES!A31),"")</f>
        <v/>
      </c>
      <c r="B33" s="45" t="str">
        <f>IF(OR(B$5="",$A33=""),"",IF($C$2="TODOS",IFERROR(SUMIFS(INVENTARIO!$E$4:$E$843,INVENTARIO!$B$4:$B$843,LOWER(B$5),INVENTARIO!$C$4:$C$843,$A33),0),IFERROR(SUMIFS(INVENTARIO!$E$4:$E$843,INVENTARIO!$A$4:$A$843,$C$2,INVENTARIO!$B$4:$B$843,LOWER(B$5),INVENTARIO!$C$4:$C$843,$A33),0)))</f>
        <v/>
      </c>
      <c r="C33" s="45" t="str">
        <f>IF(OR(C$5="",$A33=""),"",IF($C$2="TODOS",IFERROR(SUMIFS(INVENTARIO!$E$4:$E$843,INVENTARIO!$B$4:$B$843,LOWER(C$5),INVENTARIO!$C$4:$C$843,$A33),0),IFERROR(SUMIFS(INVENTARIO!$E$4:$E$843,INVENTARIO!$A$4:$A$843,$C$2,INVENTARIO!$B$4:$B$843,LOWER(C$5),INVENTARIO!$C$4:$C$843,$A33),0)))</f>
        <v/>
      </c>
      <c r="D33" s="45" t="str">
        <f>IF(OR(D$5="",$A33=""),"",IF($C$2="TODOS",IFERROR(SUMIFS(INVENTARIO!$E$4:$E$843,INVENTARIO!$B$4:$B$843,LOWER(D$5),INVENTARIO!$C$4:$C$843,$A33),0),IFERROR(SUMIFS(INVENTARIO!$E$4:$E$843,INVENTARIO!$A$4:$A$843,$C$2,INVENTARIO!$B$4:$B$843,LOWER(D$5),INVENTARIO!$C$4:$C$843,$A33),0)))</f>
        <v/>
      </c>
      <c r="E33" s="45" t="str">
        <f>IF(OR(E$5="",$A33=""),"",IF($C$2="TODOS",IFERROR(SUMIFS(INVENTARIO!$E$4:$E$843,INVENTARIO!$B$4:$B$843,LOWER(E$5),INVENTARIO!$C$4:$C$843,$A33),0),IFERROR(SUMIFS(INVENTARIO!$E$4:$E$843,INVENTARIO!$A$4:$A$843,$C$2,INVENTARIO!$B$4:$B$843,LOWER(E$5),INVENTARIO!$C$4:$C$843,$A33),0)))</f>
        <v/>
      </c>
      <c r="F33" s="45" t="str">
        <f>IF(OR(F$5="",$A33=""),"",IF($C$2="TODOS",IFERROR(SUMIFS(INVENTARIO!$E$4:$E$843,INVENTARIO!$B$4:$B$843,LOWER(F$5),INVENTARIO!$C$4:$C$843,$A33),0),IFERROR(SUMIFS(INVENTARIO!$E$4:$E$843,INVENTARIO!$A$4:$A$843,$C$2,INVENTARIO!$B$4:$B$843,LOWER(F$5),INVENTARIO!$C$4:$C$843,$A33),0)))</f>
        <v/>
      </c>
      <c r="G33" s="45" t="str">
        <f>IF(OR(G$5="",$A33=""),"",IF($C$2="TODOS",IFERROR(SUMIFS(INVENTARIO!$E$4:$E$843,INVENTARIO!$B$4:$B$843,LOWER(G$5),INVENTARIO!$C$4:$C$843,$A33),0),IFERROR(SUMIFS(INVENTARIO!$E$4:$E$843,INVENTARIO!$A$4:$A$843,$C$2,INVENTARIO!$B$4:$B$843,LOWER(G$5),INVENTARIO!$C$4:$C$843,$A33),0)))</f>
        <v/>
      </c>
      <c r="H33" s="45" t="str">
        <f>IF(OR(H$5="",$A33=""),"",IF($C$2="TODOS",IFERROR(SUMIFS(INVENTARIO!$E$4:$E$843,INVENTARIO!$B$4:$B$843,LOWER(H$5),INVENTARIO!$C$4:$C$843,$A33),0),IFERROR(SUMIFS(INVENTARIO!$E$4:$E$843,INVENTARIO!$A$4:$A$843,$C$2,INVENTARIO!$B$4:$B$843,LOWER(H$5),INVENTARIO!$C$4:$C$843,$A33),0)))</f>
        <v/>
      </c>
      <c r="I33" s="45" t="str">
        <f>IF(OR(I$5="",$A33=""),"",IF($C$2="TODOS",IFERROR(SUMIFS(INVENTARIO!$E$4:$E$843,INVENTARIO!$B$4:$B$843,LOWER(I$5),INVENTARIO!$C$4:$C$843,$A33),0),IFERROR(SUMIFS(INVENTARIO!$E$4:$E$843,INVENTARIO!$A$4:$A$843,$C$2,INVENTARIO!$B$4:$B$843,LOWER(I$5),INVENTARIO!$C$4:$C$843,$A33),0)))</f>
        <v/>
      </c>
      <c r="J33" s="45" t="str">
        <f>IF(OR(J$5="",$A33=""),"",IF($C$2="TODOS",IFERROR(SUMIFS(INVENTARIO!$E$4:$E$843,INVENTARIO!$B$4:$B$843,LOWER(J$5),INVENTARIO!$C$4:$C$843,$A33),0),IFERROR(SUMIFS(INVENTARIO!$E$4:$E$843,INVENTARIO!$A$4:$A$843,$C$2,INVENTARIO!$B$4:$B$843,LOWER(J$5),INVENTARIO!$C$4:$C$843,$A33),0)))</f>
        <v/>
      </c>
      <c r="K33" s="45" t="str">
        <f>IF(OR(K$5="",$A33=""),"",IF($C$2="TODOS",IFERROR(SUMIFS(INVENTARIO!$E$4:$E$843,INVENTARIO!$B$4:$B$843,LOWER(K$5),INVENTARIO!$C$4:$C$843,$A33),0),IFERROR(SUMIFS(INVENTARIO!$E$4:$E$843,INVENTARIO!$A$4:$A$843,$C$2,INVENTARIO!$B$4:$B$843,LOWER(K$5),INVENTARIO!$C$4:$C$843,$A33),0)))</f>
        <v/>
      </c>
      <c r="L33" s="45" t="str">
        <f>IF(OR(L$5="",$A33=""),"",IF($C$2="TODOS",IFERROR(SUMIFS(INVENTARIO!$E$4:$E$843,INVENTARIO!$B$4:$B$843,LOWER(L$5),INVENTARIO!$C$4:$C$843,$A33),0),IFERROR(SUMIFS(INVENTARIO!$E$4:$E$843,INVENTARIO!$A$4:$A$843,$C$2,INVENTARIO!$B$4:$B$843,LOWER(L$5),INVENTARIO!$C$4:$C$843,$A33),0)))</f>
        <v/>
      </c>
      <c r="M33" s="45" t="str">
        <f>IF(OR(M$5="",$A33=""),"",IF($C$2="TODOS",IFERROR(SUMIFS(INVENTARIO!$E$4:$E$843,INVENTARIO!$B$4:$B$843,LOWER(M$5),INVENTARIO!$C$4:$C$843,$A33),0),IFERROR(SUMIFS(INVENTARIO!$E$4:$E$843,INVENTARIO!$A$4:$A$843,$C$2,INVENTARIO!$B$4:$B$843,LOWER(M$5),INVENTARIO!$C$4:$C$843,$A33),0)))</f>
        <v/>
      </c>
      <c r="N33" s="46">
        <f t="shared" si="1"/>
        <v>0</v>
      </c>
      <c r="O33" s="47" t="str">
        <f>IF($A33="","",IF($C$2="TODOS",IFERROR(SUMIFS(INVENTARIO!$H$4:$H$843,INVENTARIO!$C$4:$C$843,$A33),0),IFERROR(SUMIFS(INVENTARIO!$H$4:$H$843,INVENTARIO!$A$4:$A$843,$C$2,INVENTARIO!$C$4:$C$843,$A33),0)))</f>
        <v/>
      </c>
    </row>
    <row r="34" ht="15.0" customHeight="1">
      <c r="A34" s="44" t="str">
        <f>IFERROR(IF(COLORES!A32="","",COLORES!A32),"")</f>
        <v/>
      </c>
      <c r="B34" s="45" t="str">
        <f>IF(OR(B$5="",$A34=""),"",IF($C$2="TODOS",IFERROR(SUMIFS(INVENTARIO!$E$4:$E$843,INVENTARIO!$B$4:$B$843,LOWER(B$5),INVENTARIO!$C$4:$C$843,$A34),0),IFERROR(SUMIFS(INVENTARIO!$E$4:$E$843,INVENTARIO!$A$4:$A$843,$C$2,INVENTARIO!$B$4:$B$843,LOWER(B$5),INVENTARIO!$C$4:$C$843,$A34),0)))</f>
        <v/>
      </c>
      <c r="C34" s="45" t="str">
        <f>IF(OR(C$5="",$A34=""),"",IF($C$2="TODOS",IFERROR(SUMIFS(INVENTARIO!$E$4:$E$843,INVENTARIO!$B$4:$B$843,LOWER(C$5),INVENTARIO!$C$4:$C$843,$A34),0),IFERROR(SUMIFS(INVENTARIO!$E$4:$E$843,INVENTARIO!$A$4:$A$843,$C$2,INVENTARIO!$B$4:$B$843,LOWER(C$5),INVENTARIO!$C$4:$C$843,$A34),0)))</f>
        <v/>
      </c>
      <c r="D34" s="45" t="str">
        <f>IF(OR(D$5="",$A34=""),"",IF($C$2="TODOS",IFERROR(SUMIFS(INVENTARIO!$E$4:$E$843,INVENTARIO!$B$4:$B$843,LOWER(D$5),INVENTARIO!$C$4:$C$843,$A34),0),IFERROR(SUMIFS(INVENTARIO!$E$4:$E$843,INVENTARIO!$A$4:$A$843,$C$2,INVENTARIO!$B$4:$B$843,LOWER(D$5),INVENTARIO!$C$4:$C$843,$A34),0)))</f>
        <v/>
      </c>
      <c r="E34" s="45" t="str">
        <f>IF(OR(E$5="",$A34=""),"",IF($C$2="TODOS",IFERROR(SUMIFS(INVENTARIO!$E$4:$E$843,INVENTARIO!$B$4:$B$843,LOWER(E$5),INVENTARIO!$C$4:$C$843,$A34),0),IFERROR(SUMIFS(INVENTARIO!$E$4:$E$843,INVENTARIO!$A$4:$A$843,$C$2,INVENTARIO!$B$4:$B$843,LOWER(E$5),INVENTARIO!$C$4:$C$843,$A34),0)))</f>
        <v/>
      </c>
      <c r="F34" s="45" t="str">
        <f>IF(OR(F$5="",$A34=""),"",IF($C$2="TODOS",IFERROR(SUMIFS(INVENTARIO!$E$4:$E$843,INVENTARIO!$B$4:$B$843,LOWER(F$5),INVENTARIO!$C$4:$C$843,$A34),0),IFERROR(SUMIFS(INVENTARIO!$E$4:$E$843,INVENTARIO!$A$4:$A$843,$C$2,INVENTARIO!$B$4:$B$843,LOWER(F$5),INVENTARIO!$C$4:$C$843,$A34),0)))</f>
        <v/>
      </c>
      <c r="G34" s="45" t="str">
        <f>IF(OR(G$5="",$A34=""),"",IF($C$2="TODOS",IFERROR(SUMIFS(INVENTARIO!$E$4:$E$843,INVENTARIO!$B$4:$B$843,LOWER(G$5),INVENTARIO!$C$4:$C$843,$A34),0),IFERROR(SUMIFS(INVENTARIO!$E$4:$E$843,INVENTARIO!$A$4:$A$843,$C$2,INVENTARIO!$B$4:$B$843,LOWER(G$5),INVENTARIO!$C$4:$C$843,$A34),0)))</f>
        <v/>
      </c>
      <c r="H34" s="45" t="str">
        <f>IF(OR(H$5="",$A34=""),"",IF($C$2="TODOS",IFERROR(SUMIFS(INVENTARIO!$E$4:$E$843,INVENTARIO!$B$4:$B$843,LOWER(H$5),INVENTARIO!$C$4:$C$843,$A34),0),IFERROR(SUMIFS(INVENTARIO!$E$4:$E$843,INVENTARIO!$A$4:$A$843,$C$2,INVENTARIO!$B$4:$B$843,LOWER(H$5),INVENTARIO!$C$4:$C$843,$A34),0)))</f>
        <v/>
      </c>
      <c r="I34" s="45" t="str">
        <f>IF(OR(I$5="",$A34=""),"",IF($C$2="TODOS",IFERROR(SUMIFS(INVENTARIO!$E$4:$E$843,INVENTARIO!$B$4:$B$843,LOWER(I$5),INVENTARIO!$C$4:$C$843,$A34),0),IFERROR(SUMIFS(INVENTARIO!$E$4:$E$843,INVENTARIO!$A$4:$A$843,$C$2,INVENTARIO!$B$4:$B$843,LOWER(I$5),INVENTARIO!$C$4:$C$843,$A34),0)))</f>
        <v/>
      </c>
      <c r="J34" s="45" t="str">
        <f>IF(OR(J$5="",$A34=""),"",IF($C$2="TODOS",IFERROR(SUMIFS(INVENTARIO!$E$4:$E$843,INVENTARIO!$B$4:$B$843,LOWER(J$5),INVENTARIO!$C$4:$C$843,$A34),0),IFERROR(SUMIFS(INVENTARIO!$E$4:$E$843,INVENTARIO!$A$4:$A$843,$C$2,INVENTARIO!$B$4:$B$843,LOWER(J$5),INVENTARIO!$C$4:$C$843,$A34),0)))</f>
        <v/>
      </c>
      <c r="K34" s="45" t="str">
        <f>IF(OR(K$5="",$A34=""),"",IF($C$2="TODOS",IFERROR(SUMIFS(INVENTARIO!$E$4:$E$843,INVENTARIO!$B$4:$B$843,LOWER(K$5),INVENTARIO!$C$4:$C$843,$A34),0),IFERROR(SUMIFS(INVENTARIO!$E$4:$E$843,INVENTARIO!$A$4:$A$843,$C$2,INVENTARIO!$B$4:$B$843,LOWER(K$5),INVENTARIO!$C$4:$C$843,$A34),0)))</f>
        <v/>
      </c>
      <c r="L34" s="45" t="str">
        <f>IF(OR(L$5="",$A34=""),"",IF($C$2="TODOS",IFERROR(SUMIFS(INVENTARIO!$E$4:$E$843,INVENTARIO!$B$4:$B$843,LOWER(L$5),INVENTARIO!$C$4:$C$843,$A34),0),IFERROR(SUMIFS(INVENTARIO!$E$4:$E$843,INVENTARIO!$A$4:$A$843,$C$2,INVENTARIO!$B$4:$B$843,LOWER(L$5),INVENTARIO!$C$4:$C$843,$A34),0)))</f>
        <v/>
      </c>
      <c r="M34" s="45" t="str">
        <f>IF(OR(M$5="",$A34=""),"",IF($C$2="TODOS",IFERROR(SUMIFS(INVENTARIO!$E$4:$E$843,INVENTARIO!$B$4:$B$843,LOWER(M$5),INVENTARIO!$C$4:$C$843,$A34),0),IFERROR(SUMIFS(INVENTARIO!$E$4:$E$843,INVENTARIO!$A$4:$A$843,$C$2,INVENTARIO!$B$4:$B$843,LOWER(M$5),INVENTARIO!$C$4:$C$843,$A34),0)))</f>
        <v/>
      </c>
      <c r="N34" s="46">
        <f t="shared" si="1"/>
        <v>0</v>
      </c>
      <c r="O34" s="47" t="str">
        <f>IF($A34="","",IF($C$2="TODOS",IFERROR(SUMIFS(INVENTARIO!$H$4:$H$843,INVENTARIO!$C$4:$C$843,$A34),0),IFERROR(SUMIFS(INVENTARIO!$H$4:$H$843,INVENTARIO!$A$4:$A$843,$C$2,INVENTARIO!$C$4:$C$843,$A34),0)))</f>
        <v/>
      </c>
    </row>
    <row r="35" ht="15.0" customHeight="1">
      <c r="A35" s="44" t="str">
        <f>IFERROR(IF(COLORES!A33="","",COLORES!A33),"")</f>
        <v/>
      </c>
      <c r="B35" s="45" t="str">
        <f>IF(OR(B$5="",$A35=""),"",IF($C$2="TODOS",IFERROR(SUMIFS(INVENTARIO!$E$4:$E$843,INVENTARIO!$B$4:$B$843,LOWER(B$5),INVENTARIO!$C$4:$C$843,$A35),0),IFERROR(SUMIFS(INVENTARIO!$E$4:$E$843,INVENTARIO!$A$4:$A$843,$C$2,INVENTARIO!$B$4:$B$843,LOWER(B$5),INVENTARIO!$C$4:$C$843,$A35),0)))</f>
        <v/>
      </c>
      <c r="C35" s="45" t="str">
        <f>IF(OR(C$5="",$A35=""),"",IF($C$2="TODOS",IFERROR(SUMIFS(INVENTARIO!$E$4:$E$843,INVENTARIO!$B$4:$B$843,LOWER(C$5),INVENTARIO!$C$4:$C$843,$A35),0),IFERROR(SUMIFS(INVENTARIO!$E$4:$E$843,INVENTARIO!$A$4:$A$843,$C$2,INVENTARIO!$B$4:$B$843,LOWER(C$5),INVENTARIO!$C$4:$C$843,$A35),0)))</f>
        <v/>
      </c>
      <c r="D35" s="45" t="str">
        <f>IF(OR(D$5="",$A35=""),"",IF($C$2="TODOS",IFERROR(SUMIFS(INVENTARIO!$E$4:$E$843,INVENTARIO!$B$4:$B$843,LOWER(D$5),INVENTARIO!$C$4:$C$843,$A35),0),IFERROR(SUMIFS(INVENTARIO!$E$4:$E$843,INVENTARIO!$A$4:$A$843,$C$2,INVENTARIO!$B$4:$B$843,LOWER(D$5),INVENTARIO!$C$4:$C$843,$A35),0)))</f>
        <v/>
      </c>
      <c r="E35" s="45" t="str">
        <f>IF(OR(E$5="",$A35=""),"",IF($C$2="TODOS",IFERROR(SUMIFS(INVENTARIO!$E$4:$E$843,INVENTARIO!$B$4:$B$843,LOWER(E$5),INVENTARIO!$C$4:$C$843,$A35),0),IFERROR(SUMIFS(INVENTARIO!$E$4:$E$843,INVENTARIO!$A$4:$A$843,$C$2,INVENTARIO!$B$4:$B$843,LOWER(E$5),INVENTARIO!$C$4:$C$843,$A35),0)))</f>
        <v/>
      </c>
      <c r="F35" s="45" t="str">
        <f>IF(OR(F$5="",$A35=""),"",IF($C$2="TODOS",IFERROR(SUMIFS(INVENTARIO!$E$4:$E$843,INVENTARIO!$B$4:$B$843,LOWER(F$5),INVENTARIO!$C$4:$C$843,$A35),0),IFERROR(SUMIFS(INVENTARIO!$E$4:$E$843,INVENTARIO!$A$4:$A$843,$C$2,INVENTARIO!$B$4:$B$843,LOWER(F$5),INVENTARIO!$C$4:$C$843,$A35),0)))</f>
        <v/>
      </c>
      <c r="G35" s="45" t="str">
        <f>IF(OR(G$5="",$A35=""),"",IF($C$2="TODOS",IFERROR(SUMIFS(INVENTARIO!$E$4:$E$843,INVENTARIO!$B$4:$B$843,LOWER(G$5),INVENTARIO!$C$4:$C$843,$A35),0),IFERROR(SUMIFS(INVENTARIO!$E$4:$E$843,INVENTARIO!$A$4:$A$843,$C$2,INVENTARIO!$B$4:$B$843,LOWER(G$5),INVENTARIO!$C$4:$C$843,$A35),0)))</f>
        <v/>
      </c>
      <c r="H35" s="45" t="str">
        <f>IF(OR(H$5="",$A35=""),"",IF($C$2="TODOS",IFERROR(SUMIFS(INVENTARIO!$E$4:$E$843,INVENTARIO!$B$4:$B$843,LOWER(H$5),INVENTARIO!$C$4:$C$843,$A35),0),IFERROR(SUMIFS(INVENTARIO!$E$4:$E$843,INVENTARIO!$A$4:$A$843,$C$2,INVENTARIO!$B$4:$B$843,LOWER(H$5),INVENTARIO!$C$4:$C$843,$A35),0)))</f>
        <v/>
      </c>
      <c r="I35" s="45" t="str">
        <f>IF(OR(I$5="",$A35=""),"",IF($C$2="TODOS",IFERROR(SUMIFS(INVENTARIO!$E$4:$E$843,INVENTARIO!$B$4:$B$843,LOWER(I$5),INVENTARIO!$C$4:$C$843,$A35),0),IFERROR(SUMIFS(INVENTARIO!$E$4:$E$843,INVENTARIO!$A$4:$A$843,$C$2,INVENTARIO!$B$4:$B$843,LOWER(I$5),INVENTARIO!$C$4:$C$843,$A35),0)))</f>
        <v/>
      </c>
      <c r="J35" s="45" t="str">
        <f>IF(OR(J$5="",$A35=""),"",IF($C$2="TODOS",IFERROR(SUMIFS(INVENTARIO!$E$4:$E$843,INVENTARIO!$B$4:$B$843,LOWER(J$5),INVENTARIO!$C$4:$C$843,$A35),0),IFERROR(SUMIFS(INVENTARIO!$E$4:$E$843,INVENTARIO!$A$4:$A$843,$C$2,INVENTARIO!$B$4:$B$843,LOWER(J$5),INVENTARIO!$C$4:$C$843,$A35),0)))</f>
        <v/>
      </c>
      <c r="K35" s="45" t="str">
        <f>IF(OR(K$5="",$A35=""),"",IF($C$2="TODOS",IFERROR(SUMIFS(INVENTARIO!$E$4:$E$843,INVENTARIO!$B$4:$B$843,LOWER(K$5),INVENTARIO!$C$4:$C$843,$A35),0),IFERROR(SUMIFS(INVENTARIO!$E$4:$E$843,INVENTARIO!$A$4:$A$843,$C$2,INVENTARIO!$B$4:$B$843,LOWER(K$5),INVENTARIO!$C$4:$C$843,$A35),0)))</f>
        <v/>
      </c>
      <c r="L35" s="45" t="str">
        <f>IF(OR(L$5="",$A35=""),"",IF($C$2="TODOS",IFERROR(SUMIFS(INVENTARIO!$E$4:$E$843,INVENTARIO!$B$4:$B$843,LOWER(L$5),INVENTARIO!$C$4:$C$843,$A35),0),IFERROR(SUMIFS(INVENTARIO!$E$4:$E$843,INVENTARIO!$A$4:$A$843,$C$2,INVENTARIO!$B$4:$B$843,LOWER(L$5),INVENTARIO!$C$4:$C$843,$A35),0)))</f>
        <v/>
      </c>
      <c r="M35" s="45" t="str">
        <f>IF(OR(M$5="",$A35=""),"",IF($C$2="TODOS",IFERROR(SUMIFS(INVENTARIO!$E$4:$E$843,INVENTARIO!$B$4:$B$843,LOWER(M$5),INVENTARIO!$C$4:$C$843,$A35),0),IFERROR(SUMIFS(INVENTARIO!$E$4:$E$843,INVENTARIO!$A$4:$A$843,$C$2,INVENTARIO!$B$4:$B$843,LOWER(M$5),INVENTARIO!$C$4:$C$843,$A35),0)))</f>
        <v/>
      </c>
      <c r="N35" s="46">
        <f t="shared" si="1"/>
        <v>0</v>
      </c>
      <c r="O35" s="47" t="str">
        <f>IF($A35="","",IF($C$2="TODOS",IFERROR(SUMIFS(INVENTARIO!$H$4:$H$843,INVENTARIO!$C$4:$C$843,$A35),0),IFERROR(SUMIFS(INVENTARIO!$H$4:$H$843,INVENTARIO!$A$4:$A$843,$C$2,INVENTARIO!$C$4:$C$843,$A35),0)))</f>
        <v/>
      </c>
    </row>
    <row r="36" ht="15.0" customHeight="1">
      <c r="A36" s="43" t="s">
        <v>115</v>
      </c>
      <c r="B36" s="48">
        <f t="shared" ref="B36:M36" si="2">SUM(B6:B35)</f>
        <v>136</v>
      </c>
      <c r="C36" s="48">
        <f t="shared" si="2"/>
        <v>93</v>
      </c>
      <c r="D36" s="48">
        <f t="shared" si="2"/>
        <v>188</v>
      </c>
      <c r="E36" s="48">
        <f t="shared" si="2"/>
        <v>31</v>
      </c>
      <c r="F36" s="48">
        <f t="shared" si="2"/>
        <v>7</v>
      </c>
      <c r="G36" s="48">
        <f t="shared" si="2"/>
        <v>70</v>
      </c>
      <c r="H36" s="48">
        <f t="shared" si="2"/>
        <v>95</v>
      </c>
      <c r="I36" s="48">
        <f t="shared" si="2"/>
        <v>0</v>
      </c>
      <c r="J36" s="48">
        <f t="shared" si="2"/>
        <v>0</v>
      </c>
      <c r="K36" s="48">
        <f t="shared" si="2"/>
        <v>0</v>
      </c>
      <c r="L36" s="48">
        <f t="shared" si="2"/>
        <v>0</v>
      </c>
      <c r="M36" s="48">
        <f t="shared" si="2"/>
        <v>0</v>
      </c>
      <c r="N36" s="49">
        <f>SUM(B36:M36)</f>
        <v>620</v>
      </c>
      <c r="O36" s="50">
        <f>SUM(O6:O35)</f>
        <v>277190</v>
      </c>
    </row>
    <row r="37" ht="15.75" customHeight="1"/>
    <row r="38" ht="21.75" customHeight="1">
      <c r="A38" s="51" t="s">
        <v>116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3"/>
    </row>
    <row r="39" ht="36.0" customHeight="1">
      <c r="A39" s="52" t="s">
        <v>6</v>
      </c>
      <c r="B39" s="53" t="str">
        <f>IFERROR(IF(PRECIOS_COMPLEMENTOS!A4="","",PRECIOS_COMPLEMENTOS!A4&amp;CHAR(10)&amp;PRECIOS_COMPLEMENTOS!B4),"")</f>
        <v>CUELLO
RECTILÍNEO</v>
      </c>
      <c r="C39" s="53" t="str">
        <f>IFERROR(IF(PRECIOS_COMPLEMENTOS!A5="","",IF(COUNTIF(PRECIOS_COMPLEMENTOS!$H$4:H4,PRECIOS_COMPLEMENTOS!H5)&gt;0,"",PRECIOS_COMPLEMENTOS!A5&amp;CHAR(10)&amp;PRECIOS_COMPLEMENTOS!B5)),"")</f>
        <v>PUÑO
RECTILÍNEO</v>
      </c>
      <c r="D39" s="53" t="str">
        <f>IFERROR(IF(PRECIOS_COMPLEMENTOS!A6="","",IF(COUNTIF(PRECIOS_COMPLEMENTOS!$H$4:H5,PRECIOS_COMPLEMENTOS!H6)&gt;0,"",PRECIOS_COMPLEMENTOS!A6&amp;CHAR(10)&amp;PRECIOS_COMPLEMENTOS!B6)),"")</f>
        <v>CUELLO
RIB 1x1</v>
      </c>
      <c r="E39" s="53" t="str">
        <f>IFERROR(IF(PRECIOS_COMPLEMENTOS!A7="","",IF(COUNTIF(PRECIOS_COMPLEMENTOS!$H$4:H6,PRECIOS_COMPLEMENTOS!H7)&gt;0,"",PRECIOS_COMPLEMENTOS!A7&amp;CHAR(10)&amp;PRECIOS_COMPLEMENTOS!B7)),"")</f>
        <v>CUELLO
RIB 2x1</v>
      </c>
      <c r="F39" s="53" t="str">
        <f>IFERROR(IF(PRECIOS_COMPLEMENTOS!A8="","",IF(COUNTIF(PRECIOS_COMPLEMENTOS!$H$4:H7,PRECIOS_COMPLEMENTOS!H8)&gt;0,"",PRECIOS_COMPLEMENTOS!A8&amp;CHAR(10)&amp;PRECIOS_COMPLEMENTOS!B8)),"")</f>
        <v>PUÑO
RIB 2x1</v>
      </c>
      <c r="G39" s="53" t="str">
        <f>IFERROR(IF(PRECIOS_COMPLEMENTOS!A9="","",IF(COUNTIF(PRECIOS_COMPLEMENTOS!$H$4:H8,PRECIOS_COMPLEMENTOS!H9)&gt;0,"",PRECIOS_COMPLEMENTOS!A9&amp;CHAR(10)&amp;PRECIOS_COMPLEMENTOS!B9)),"")</f>
        <v>PRETINA
RIB 2x1</v>
      </c>
      <c r="H39" s="53" t="str">
        <f>IFERROR(IF(PRECIOS_COMPLEMENTOS!A10="","",IF(COUNTIF(PRECIOS_COMPLEMENTOS!$H$4:H9,PRECIOS_COMPLEMENTOS!H10)&gt;0,"",PRECIOS_COMPLEMENTOS!A10&amp;CHAR(10)&amp;PRECIOS_COMPLEMENTOS!B10)),"")</f>
        <v>CIERRE
DIRECTO</v>
      </c>
      <c r="I39" s="53" t="str">
        <f>IFERROR(IF(PRECIOS_COMPLEMENTOS!A11="","",IF(COUNTIF(PRECIOS_COMPLEMENTOS!$H$4:H10,PRECIOS_COMPLEMENTOS!H11)&gt;0,"",PRECIOS_COMPLEMENTOS!A11&amp;CHAR(10)&amp;PRECIOS_COMPLEMENTOS!B11)),"")</f>
        <v/>
      </c>
      <c r="J39" s="53" t="str">
        <f>IFERROR(IF(PRECIOS_COMPLEMENTOS!A12="","",IF(COUNTIF(PRECIOS_COMPLEMENTOS!$H$4:H11,PRECIOS_COMPLEMENTOS!H12)&gt;0,"",PRECIOS_COMPLEMENTOS!A12&amp;CHAR(10)&amp;PRECIOS_COMPLEMENTOS!B12)),"")</f>
        <v/>
      </c>
      <c r="K39" s="53" t="str">
        <f>IFERROR(IF(PRECIOS_COMPLEMENTOS!A13="","",IF(COUNTIF(PRECIOS_COMPLEMENTOS!$H$4:H12,PRECIOS_COMPLEMENTOS!H13)&gt;0,"",PRECIOS_COMPLEMENTOS!A13&amp;CHAR(10)&amp;PRECIOS_COMPLEMENTOS!B13)),"")</f>
        <v/>
      </c>
      <c r="L39" s="53" t="str">
        <f>IFERROR(IF(PRECIOS_COMPLEMENTOS!A14="","",IF(COUNTIF(PRECIOS_COMPLEMENTOS!$H$4:H13,PRECIOS_COMPLEMENTOS!H14)&gt;0,"",PRECIOS_COMPLEMENTOS!A14&amp;CHAR(10)&amp;PRECIOS_COMPLEMENTOS!B14)),"")</f>
        <v/>
      </c>
      <c r="M39" s="53" t="str">
        <f>IFERROR(IF(PRECIOS_COMPLEMENTOS!A15="","",IF(COUNTIF(PRECIOS_COMPLEMENTOS!$H$4:H14,PRECIOS_COMPLEMENTOS!H15)&gt;0,"",PRECIOS_COMPLEMENTOS!A15&amp;CHAR(10)&amp;PRECIOS_COMPLEMENTOS!B15)),"")</f>
        <v/>
      </c>
      <c r="N39" s="53" t="str">
        <f>IFERROR(IF(PRECIOS_COMPLEMENTOS!A16="","",IF(COUNTIF(PRECIOS_COMPLEMENTOS!$H$4:H15,PRECIOS_COMPLEMENTOS!H16)&gt;0,"",PRECIOS_COMPLEMENTOS!A16&amp;CHAR(10)&amp;PRECIOS_COMPLEMENTOS!B16)),"")</f>
        <v/>
      </c>
      <c r="O39" s="53" t="str">
        <f>IFERROR(IF(PRECIOS_COMPLEMENTOS!A17="","",IF(COUNTIF(PRECIOS_COMPLEMENTOS!$H$4:H16,PRECIOS_COMPLEMENTOS!H17)&gt;0,"",PRECIOS_COMPLEMENTOS!A17&amp;CHAR(10)&amp;PRECIOS_COMPLEMENTOS!B17)),"")</f>
        <v/>
      </c>
      <c r="P39" s="43" t="s">
        <v>113</v>
      </c>
      <c r="Q39" s="52" t="s">
        <v>114</v>
      </c>
    </row>
    <row r="40" ht="15.0" customHeight="1">
      <c r="A40" s="44" t="str">
        <f>IFERROR(IF(COLORES!A4="","",COLORES!A4),"")</f>
        <v>Negro</v>
      </c>
      <c r="B40" s="45">
        <f>IF(OR(PRECIOS_COMPLEMENTOS!A4="",$A40=""),"",IF($C$2="TODOS",IFERROR(SUMIFS(INVENTARIO_COMPLEMENTOS!$H$4:$H$3243,INVENTARIO_COMPLEMENTOS!$B$4:$B$3243,PRECIOS_COMPLEMENTOS!A4,INVENTARIO_COMPLEMENTOS!$C$4:$C$3243,PRECIOS_COMPLEMENTOS!B4,INVENTARIO_COMPLEMENTOS!$E$4:$E$3243,$A40),0),IFERROR(SUMIFS(INVENTARIO_COMPLEMENTOS!$H$4:$H$3243,INVENTARIO_COMPLEMENTOS!$A$4:$A$3243,$C$2,INVENTARIO_COMPLEMENTOS!$B$4:$B$3243,PRECIOS_COMPLEMENTOS!A4,INVENTARIO_COMPLEMENTOS!$C$4:$C$3243,PRECIOS_COMPLEMENTOS!B4,INVENTARIO_COMPLEMENTOS!$E$4:$E$3243,$A40),0)))</f>
        <v>0</v>
      </c>
      <c r="C40" s="45">
        <f>IF(OR(PRECIOS_COMPLEMENTOS!A5="",$A40=""),"",IF($C$2="TODOS",IFERROR(SUMIFS(INVENTARIO_COMPLEMENTOS!$H$4:$H$3243,INVENTARIO_COMPLEMENTOS!$B$4:$B$3243,PRECIOS_COMPLEMENTOS!A5,INVENTARIO_COMPLEMENTOS!$C$4:$C$3243,PRECIOS_COMPLEMENTOS!B5,INVENTARIO_COMPLEMENTOS!$E$4:$E$3243,$A40),0),IFERROR(SUMIFS(INVENTARIO_COMPLEMENTOS!$H$4:$H$3243,INVENTARIO_COMPLEMENTOS!$A$4:$A$3243,$C$2,INVENTARIO_COMPLEMENTOS!$B$4:$B$3243,PRECIOS_COMPLEMENTOS!A5,INVENTARIO_COMPLEMENTOS!$C$4:$C$3243,PRECIOS_COMPLEMENTOS!B5,INVENTARIO_COMPLEMENTOS!$E$4:$E$3243,$A40),0)))</f>
        <v>0</v>
      </c>
      <c r="D40" s="45">
        <f>IF(OR(PRECIOS_COMPLEMENTOS!A6="",$A40=""),"",IF($C$2="TODOS",IFERROR(SUMIFS(INVENTARIO_COMPLEMENTOS!$H$4:$H$3243,INVENTARIO_COMPLEMENTOS!$B$4:$B$3243,PRECIOS_COMPLEMENTOS!A6,INVENTARIO_COMPLEMENTOS!$C$4:$C$3243,PRECIOS_COMPLEMENTOS!B6,INVENTARIO_COMPLEMENTOS!$E$4:$E$3243,$A40),0),IFERROR(SUMIFS(INVENTARIO_COMPLEMENTOS!$H$4:$H$3243,INVENTARIO_COMPLEMENTOS!$A$4:$A$3243,$C$2,INVENTARIO_COMPLEMENTOS!$B$4:$B$3243,PRECIOS_COMPLEMENTOS!A6,INVENTARIO_COMPLEMENTOS!$C$4:$C$3243,PRECIOS_COMPLEMENTOS!B6,INVENTARIO_COMPLEMENTOS!$E$4:$E$3243,$A40),0)))</f>
        <v>0</v>
      </c>
      <c r="E40" s="45">
        <f>IF(OR(PRECIOS_COMPLEMENTOS!A7="",$A40=""),"",IF($C$2="TODOS",IFERROR(SUMIFS(INVENTARIO_COMPLEMENTOS!$H$4:$H$3243,INVENTARIO_COMPLEMENTOS!$B$4:$B$3243,PRECIOS_COMPLEMENTOS!A7,INVENTARIO_COMPLEMENTOS!$C$4:$C$3243,PRECIOS_COMPLEMENTOS!B7,INVENTARIO_COMPLEMENTOS!$E$4:$E$3243,$A40),0),IFERROR(SUMIFS(INVENTARIO_COMPLEMENTOS!$H$4:$H$3243,INVENTARIO_COMPLEMENTOS!$A$4:$A$3243,$C$2,INVENTARIO_COMPLEMENTOS!$B$4:$B$3243,PRECIOS_COMPLEMENTOS!A7,INVENTARIO_COMPLEMENTOS!$C$4:$C$3243,PRECIOS_COMPLEMENTOS!B7,INVENTARIO_COMPLEMENTOS!$E$4:$E$3243,$A40),0)))</f>
        <v>0</v>
      </c>
      <c r="F40" s="45">
        <f>IF(OR(PRECIOS_COMPLEMENTOS!A8="",$A40=""),"",IF($C$2="TODOS",IFERROR(SUMIFS(INVENTARIO_COMPLEMENTOS!$H$4:$H$3243,INVENTARIO_COMPLEMENTOS!$B$4:$B$3243,PRECIOS_COMPLEMENTOS!A8,INVENTARIO_COMPLEMENTOS!$C$4:$C$3243,PRECIOS_COMPLEMENTOS!B8,INVENTARIO_COMPLEMENTOS!$E$4:$E$3243,$A40),0),IFERROR(SUMIFS(INVENTARIO_COMPLEMENTOS!$H$4:$H$3243,INVENTARIO_COMPLEMENTOS!$A$4:$A$3243,$C$2,INVENTARIO_COMPLEMENTOS!$B$4:$B$3243,PRECIOS_COMPLEMENTOS!A8,INVENTARIO_COMPLEMENTOS!$C$4:$C$3243,PRECIOS_COMPLEMENTOS!B8,INVENTARIO_COMPLEMENTOS!$E$4:$E$3243,$A40),0)))</f>
        <v>0</v>
      </c>
      <c r="G40" s="45">
        <f>IF(OR(PRECIOS_COMPLEMENTOS!A9="",$A40=""),"",IF($C$2="TODOS",IFERROR(SUMIFS(INVENTARIO_COMPLEMENTOS!$H$4:$H$3243,INVENTARIO_COMPLEMENTOS!$B$4:$B$3243,PRECIOS_COMPLEMENTOS!A9,INVENTARIO_COMPLEMENTOS!$C$4:$C$3243,PRECIOS_COMPLEMENTOS!B9,INVENTARIO_COMPLEMENTOS!$E$4:$E$3243,$A40),0),IFERROR(SUMIFS(INVENTARIO_COMPLEMENTOS!$H$4:$H$3243,INVENTARIO_COMPLEMENTOS!$A$4:$A$3243,$C$2,INVENTARIO_COMPLEMENTOS!$B$4:$B$3243,PRECIOS_COMPLEMENTOS!A9,INVENTARIO_COMPLEMENTOS!$C$4:$C$3243,PRECIOS_COMPLEMENTOS!B9,INVENTARIO_COMPLEMENTOS!$E$4:$E$3243,$A40),0)))</f>
        <v>0</v>
      </c>
      <c r="H40" s="45">
        <f>IF(OR(PRECIOS_COMPLEMENTOS!A10="",$A40=""),"",IF($C$2="TODOS",IFERROR(SUMIFS(INVENTARIO_COMPLEMENTOS!$H$4:$H$3243,INVENTARIO_COMPLEMENTOS!$B$4:$B$3243,PRECIOS_COMPLEMENTOS!A10,INVENTARIO_COMPLEMENTOS!$C$4:$C$3243,PRECIOS_COMPLEMENTOS!B10,INVENTARIO_COMPLEMENTOS!$E$4:$E$3243,$A40),0),IFERROR(SUMIFS(INVENTARIO_COMPLEMENTOS!$H$4:$H$3243,INVENTARIO_COMPLEMENTOS!$A$4:$A$3243,$C$2,INVENTARIO_COMPLEMENTOS!$B$4:$B$3243,PRECIOS_COMPLEMENTOS!A10,INVENTARIO_COMPLEMENTOS!$C$4:$C$3243,PRECIOS_COMPLEMENTOS!B10,INVENTARIO_COMPLEMENTOS!$E$4:$E$3243,$A40),0)))</f>
        <v>0</v>
      </c>
      <c r="I40" s="45" t="str">
        <f>IF(OR(PRECIOS_COMPLEMENTOS!A11="",$A40=""),"",IF($C$2="TODOS",IFERROR(SUMIFS(INVENTARIO_COMPLEMENTOS!$H$4:$H$3243,INVENTARIO_COMPLEMENTOS!$B$4:$B$3243,PRECIOS_COMPLEMENTOS!A11,INVENTARIO_COMPLEMENTOS!$C$4:$C$3243,PRECIOS_COMPLEMENTOS!B11,INVENTARIO_COMPLEMENTOS!$E$4:$E$3243,$A40),0),IFERROR(SUMIFS(INVENTARIO_COMPLEMENTOS!$H$4:$H$3243,INVENTARIO_COMPLEMENTOS!$A$4:$A$3243,$C$2,INVENTARIO_COMPLEMENTOS!$B$4:$B$3243,PRECIOS_COMPLEMENTOS!A11,INVENTARIO_COMPLEMENTOS!$C$4:$C$3243,PRECIOS_COMPLEMENTOS!B11,INVENTARIO_COMPLEMENTOS!$E$4:$E$3243,$A40),0)))</f>
        <v/>
      </c>
      <c r="J40" s="45" t="str">
        <f>IF(OR(PRECIOS_COMPLEMENTOS!A12="",$A40=""),"",IF($C$2="TODOS",IFERROR(SUMIFS(INVENTARIO_COMPLEMENTOS!$H$4:$H$3243,INVENTARIO_COMPLEMENTOS!$B$4:$B$3243,PRECIOS_COMPLEMENTOS!A12,INVENTARIO_COMPLEMENTOS!$C$4:$C$3243,PRECIOS_COMPLEMENTOS!B12,INVENTARIO_COMPLEMENTOS!$E$4:$E$3243,$A40),0),IFERROR(SUMIFS(INVENTARIO_COMPLEMENTOS!$H$4:$H$3243,INVENTARIO_COMPLEMENTOS!$A$4:$A$3243,$C$2,INVENTARIO_COMPLEMENTOS!$B$4:$B$3243,PRECIOS_COMPLEMENTOS!A12,INVENTARIO_COMPLEMENTOS!$C$4:$C$3243,PRECIOS_COMPLEMENTOS!B12,INVENTARIO_COMPLEMENTOS!$E$4:$E$3243,$A40),0)))</f>
        <v/>
      </c>
      <c r="K40" s="45" t="str">
        <f>IF(OR(PRECIOS_COMPLEMENTOS!A13="",$A40=""),"",IF($C$2="TODOS",IFERROR(SUMIFS(INVENTARIO_COMPLEMENTOS!$H$4:$H$3243,INVENTARIO_COMPLEMENTOS!$B$4:$B$3243,PRECIOS_COMPLEMENTOS!A13,INVENTARIO_COMPLEMENTOS!$C$4:$C$3243,PRECIOS_COMPLEMENTOS!B13,INVENTARIO_COMPLEMENTOS!$E$4:$E$3243,$A40),0),IFERROR(SUMIFS(INVENTARIO_COMPLEMENTOS!$H$4:$H$3243,INVENTARIO_COMPLEMENTOS!$A$4:$A$3243,$C$2,INVENTARIO_COMPLEMENTOS!$B$4:$B$3243,PRECIOS_COMPLEMENTOS!A13,INVENTARIO_COMPLEMENTOS!$C$4:$C$3243,PRECIOS_COMPLEMENTOS!B13,INVENTARIO_COMPLEMENTOS!$E$4:$E$3243,$A40),0)))</f>
        <v/>
      </c>
      <c r="L40" s="45" t="str">
        <f>IF(OR(PRECIOS_COMPLEMENTOS!A14="",$A40=""),"",IF($C$2="TODOS",IFERROR(SUMIFS(INVENTARIO_COMPLEMENTOS!$H$4:$H$3243,INVENTARIO_COMPLEMENTOS!$B$4:$B$3243,PRECIOS_COMPLEMENTOS!A14,INVENTARIO_COMPLEMENTOS!$C$4:$C$3243,PRECIOS_COMPLEMENTOS!B14,INVENTARIO_COMPLEMENTOS!$E$4:$E$3243,$A40),0),IFERROR(SUMIFS(INVENTARIO_COMPLEMENTOS!$H$4:$H$3243,INVENTARIO_COMPLEMENTOS!$A$4:$A$3243,$C$2,INVENTARIO_COMPLEMENTOS!$B$4:$B$3243,PRECIOS_COMPLEMENTOS!A14,INVENTARIO_COMPLEMENTOS!$C$4:$C$3243,PRECIOS_COMPLEMENTOS!B14,INVENTARIO_COMPLEMENTOS!$E$4:$E$3243,$A40),0)))</f>
        <v/>
      </c>
      <c r="M40" s="45" t="str">
        <f>IF(OR(PRECIOS_COMPLEMENTOS!A15="",$A40=""),"",IF($C$2="TODOS",IFERROR(SUMIFS(INVENTARIO_COMPLEMENTOS!$H$4:$H$3243,INVENTARIO_COMPLEMENTOS!$B$4:$B$3243,PRECIOS_COMPLEMENTOS!A15,INVENTARIO_COMPLEMENTOS!$C$4:$C$3243,PRECIOS_COMPLEMENTOS!B15,INVENTARIO_COMPLEMENTOS!$E$4:$E$3243,$A40),0),IFERROR(SUMIFS(INVENTARIO_COMPLEMENTOS!$H$4:$H$3243,INVENTARIO_COMPLEMENTOS!$A$4:$A$3243,$C$2,INVENTARIO_COMPLEMENTOS!$B$4:$B$3243,PRECIOS_COMPLEMENTOS!A15,INVENTARIO_COMPLEMENTOS!$C$4:$C$3243,PRECIOS_COMPLEMENTOS!B15,INVENTARIO_COMPLEMENTOS!$E$4:$E$3243,$A40),0)))</f>
        <v/>
      </c>
      <c r="N40" s="45" t="str">
        <f>IF(OR(PRECIOS_COMPLEMENTOS!A16="",$A40=""),"",IF($C$2="TODOS",IFERROR(SUMIFS(INVENTARIO_COMPLEMENTOS!$H$4:$H$3243,INVENTARIO_COMPLEMENTOS!$B$4:$B$3243,PRECIOS_COMPLEMENTOS!A16,INVENTARIO_COMPLEMENTOS!$C$4:$C$3243,PRECIOS_COMPLEMENTOS!B16,INVENTARIO_COMPLEMENTOS!$E$4:$E$3243,$A40),0),IFERROR(SUMIFS(INVENTARIO_COMPLEMENTOS!$H$4:$H$3243,INVENTARIO_COMPLEMENTOS!$A$4:$A$3243,$C$2,INVENTARIO_COMPLEMENTOS!$B$4:$B$3243,PRECIOS_COMPLEMENTOS!A16,INVENTARIO_COMPLEMENTOS!$C$4:$C$3243,PRECIOS_COMPLEMENTOS!B16,INVENTARIO_COMPLEMENTOS!$E$4:$E$3243,$A40),0)))</f>
        <v/>
      </c>
      <c r="O40" s="45" t="str">
        <f>IF(OR(PRECIOS_COMPLEMENTOS!A17="",$A40=""),"",IF($C$2="TODOS",IFERROR(SUMIFS(INVENTARIO_COMPLEMENTOS!$H$4:$H$3243,INVENTARIO_COMPLEMENTOS!$B$4:$B$3243,PRECIOS_COMPLEMENTOS!A17,INVENTARIO_COMPLEMENTOS!$C$4:$C$3243,PRECIOS_COMPLEMENTOS!B17,INVENTARIO_COMPLEMENTOS!$E$4:$E$3243,$A40),0),IFERROR(SUMIFS(INVENTARIO_COMPLEMENTOS!$H$4:$H$3243,INVENTARIO_COMPLEMENTOS!$A$4:$A$3243,$C$2,INVENTARIO_COMPLEMENTOS!$B$4:$B$3243,PRECIOS_COMPLEMENTOS!A17,INVENTARIO_COMPLEMENTOS!$C$4:$C$3243,PRECIOS_COMPLEMENTOS!B17,INVENTARIO_COMPLEMENTOS!$E$4:$E$3243,$A40),0)))</f>
        <v/>
      </c>
      <c r="P40" s="46">
        <f t="shared" ref="P40:P69" si="3">IFERROR(SUM(B40:O40),0)</f>
        <v>0</v>
      </c>
      <c r="Q40" s="47">
        <f>IF($A40="","",IF($C$2="TODOS",IFERROR(SUMIFS(INVENTARIO_COMPLEMENTOS!$J$4:$J$3243,INVENTARIO_COMPLEMENTOS!$E$4:$E$3243,$A40),0),IFERROR(SUMIFS(INVENTARIO_COMPLEMENTOS!$J$4:$J$3243,INVENTARIO_COMPLEMENTOS!$A$4:$A$3243,$C$2,INVENTARIO_COMPLEMENTOS!$E$4:$E$3243,$A40),0)))</f>
        <v>0</v>
      </c>
    </row>
    <row r="41" ht="15.0" customHeight="1">
      <c r="A41" s="44" t="str">
        <f>IFERROR(IF(COLORES!A5="","",COLORES!A5),"")</f>
        <v>Perla</v>
      </c>
      <c r="B41" s="45">
        <f>IF(OR(PRECIOS_COMPLEMENTOS!A4="",$A41=""),"",IF($C$2="TODOS",IFERROR(SUMIFS(INVENTARIO_COMPLEMENTOS!$H$4:$H$3243,INVENTARIO_COMPLEMENTOS!$B$4:$B$3243,PRECIOS_COMPLEMENTOS!A4,INVENTARIO_COMPLEMENTOS!$C$4:$C$3243,PRECIOS_COMPLEMENTOS!B4,INVENTARIO_COMPLEMENTOS!$E$4:$E$3243,$A41),0),IFERROR(SUMIFS(INVENTARIO_COMPLEMENTOS!$H$4:$H$3243,INVENTARIO_COMPLEMENTOS!$A$4:$A$3243,$C$2,INVENTARIO_COMPLEMENTOS!$B$4:$B$3243,PRECIOS_COMPLEMENTOS!A4,INVENTARIO_COMPLEMENTOS!$C$4:$C$3243,PRECIOS_COMPLEMENTOS!B4,INVENTARIO_COMPLEMENTOS!$E$4:$E$3243,$A41),0)))</f>
        <v>0</v>
      </c>
      <c r="C41" s="45">
        <f>IF(OR(PRECIOS_COMPLEMENTOS!A5="",$A41=""),"",IF($C$2="TODOS",IFERROR(SUMIFS(INVENTARIO_COMPLEMENTOS!$H$4:$H$3243,INVENTARIO_COMPLEMENTOS!$B$4:$B$3243,PRECIOS_COMPLEMENTOS!A5,INVENTARIO_COMPLEMENTOS!$C$4:$C$3243,PRECIOS_COMPLEMENTOS!B5,INVENTARIO_COMPLEMENTOS!$E$4:$E$3243,$A41),0),IFERROR(SUMIFS(INVENTARIO_COMPLEMENTOS!$H$4:$H$3243,INVENTARIO_COMPLEMENTOS!$A$4:$A$3243,$C$2,INVENTARIO_COMPLEMENTOS!$B$4:$B$3243,PRECIOS_COMPLEMENTOS!A5,INVENTARIO_COMPLEMENTOS!$C$4:$C$3243,PRECIOS_COMPLEMENTOS!B5,INVENTARIO_COMPLEMENTOS!$E$4:$E$3243,$A41),0)))</f>
        <v>0</v>
      </c>
      <c r="D41" s="45">
        <f>IF(OR(PRECIOS_COMPLEMENTOS!A6="",$A41=""),"",IF($C$2="TODOS",IFERROR(SUMIFS(INVENTARIO_COMPLEMENTOS!$H$4:$H$3243,INVENTARIO_COMPLEMENTOS!$B$4:$B$3243,PRECIOS_COMPLEMENTOS!A6,INVENTARIO_COMPLEMENTOS!$C$4:$C$3243,PRECIOS_COMPLEMENTOS!B6,INVENTARIO_COMPLEMENTOS!$E$4:$E$3243,$A41),0),IFERROR(SUMIFS(INVENTARIO_COMPLEMENTOS!$H$4:$H$3243,INVENTARIO_COMPLEMENTOS!$A$4:$A$3243,$C$2,INVENTARIO_COMPLEMENTOS!$B$4:$B$3243,PRECIOS_COMPLEMENTOS!A6,INVENTARIO_COMPLEMENTOS!$C$4:$C$3243,PRECIOS_COMPLEMENTOS!B6,INVENTARIO_COMPLEMENTOS!$E$4:$E$3243,$A41),0)))</f>
        <v>0</v>
      </c>
      <c r="E41" s="45">
        <f>IF(OR(PRECIOS_COMPLEMENTOS!A7="",$A41=""),"",IF($C$2="TODOS",IFERROR(SUMIFS(INVENTARIO_COMPLEMENTOS!$H$4:$H$3243,INVENTARIO_COMPLEMENTOS!$B$4:$B$3243,PRECIOS_COMPLEMENTOS!A7,INVENTARIO_COMPLEMENTOS!$C$4:$C$3243,PRECIOS_COMPLEMENTOS!B7,INVENTARIO_COMPLEMENTOS!$E$4:$E$3243,$A41),0),IFERROR(SUMIFS(INVENTARIO_COMPLEMENTOS!$H$4:$H$3243,INVENTARIO_COMPLEMENTOS!$A$4:$A$3243,$C$2,INVENTARIO_COMPLEMENTOS!$B$4:$B$3243,PRECIOS_COMPLEMENTOS!A7,INVENTARIO_COMPLEMENTOS!$C$4:$C$3243,PRECIOS_COMPLEMENTOS!B7,INVENTARIO_COMPLEMENTOS!$E$4:$E$3243,$A41),0)))</f>
        <v>0</v>
      </c>
      <c r="F41" s="45">
        <f>IF(OR(PRECIOS_COMPLEMENTOS!A8="",$A41=""),"",IF($C$2="TODOS",IFERROR(SUMIFS(INVENTARIO_COMPLEMENTOS!$H$4:$H$3243,INVENTARIO_COMPLEMENTOS!$B$4:$B$3243,PRECIOS_COMPLEMENTOS!A8,INVENTARIO_COMPLEMENTOS!$C$4:$C$3243,PRECIOS_COMPLEMENTOS!B8,INVENTARIO_COMPLEMENTOS!$E$4:$E$3243,$A41),0),IFERROR(SUMIFS(INVENTARIO_COMPLEMENTOS!$H$4:$H$3243,INVENTARIO_COMPLEMENTOS!$A$4:$A$3243,$C$2,INVENTARIO_COMPLEMENTOS!$B$4:$B$3243,PRECIOS_COMPLEMENTOS!A8,INVENTARIO_COMPLEMENTOS!$C$4:$C$3243,PRECIOS_COMPLEMENTOS!B8,INVENTARIO_COMPLEMENTOS!$E$4:$E$3243,$A41),0)))</f>
        <v>0</v>
      </c>
      <c r="G41" s="45">
        <f>IF(OR(PRECIOS_COMPLEMENTOS!A9="",$A41=""),"",IF($C$2="TODOS",IFERROR(SUMIFS(INVENTARIO_COMPLEMENTOS!$H$4:$H$3243,INVENTARIO_COMPLEMENTOS!$B$4:$B$3243,PRECIOS_COMPLEMENTOS!A9,INVENTARIO_COMPLEMENTOS!$C$4:$C$3243,PRECIOS_COMPLEMENTOS!B9,INVENTARIO_COMPLEMENTOS!$E$4:$E$3243,$A41),0),IFERROR(SUMIFS(INVENTARIO_COMPLEMENTOS!$H$4:$H$3243,INVENTARIO_COMPLEMENTOS!$A$4:$A$3243,$C$2,INVENTARIO_COMPLEMENTOS!$B$4:$B$3243,PRECIOS_COMPLEMENTOS!A9,INVENTARIO_COMPLEMENTOS!$C$4:$C$3243,PRECIOS_COMPLEMENTOS!B9,INVENTARIO_COMPLEMENTOS!$E$4:$E$3243,$A41),0)))</f>
        <v>0</v>
      </c>
      <c r="H41" s="45">
        <f>IF(OR(PRECIOS_COMPLEMENTOS!A10="",$A41=""),"",IF($C$2="TODOS",IFERROR(SUMIFS(INVENTARIO_COMPLEMENTOS!$H$4:$H$3243,INVENTARIO_COMPLEMENTOS!$B$4:$B$3243,PRECIOS_COMPLEMENTOS!A10,INVENTARIO_COMPLEMENTOS!$C$4:$C$3243,PRECIOS_COMPLEMENTOS!B10,INVENTARIO_COMPLEMENTOS!$E$4:$E$3243,$A41),0),IFERROR(SUMIFS(INVENTARIO_COMPLEMENTOS!$H$4:$H$3243,INVENTARIO_COMPLEMENTOS!$A$4:$A$3243,$C$2,INVENTARIO_COMPLEMENTOS!$B$4:$B$3243,PRECIOS_COMPLEMENTOS!A10,INVENTARIO_COMPLEMENTOS!$C$4:$C$3243,PRECIOS_COMPLEMENTOS!B10,INVENTARIO_COMPLEMENTOS!$E$4:$E$3243,$A41),0)))</f>
        <v>0</v>
      </c>
      <c r="I41" s="45" t="str">
        <f>IF(OR(PRECIOS_COMPLEMENTOS!A11="",$A41=""),"",IF($C$2="TODOS",IFERROR(SUMIFS(INVENTARIO_COMPLEMENTOS!$H$4:$H$3243,INVENTARIO_COMPLEMENTOS!$B$4:$B$3243,PRECIOS_COMPLEMENTOS!A11,INVENTARIO_COMPLEMENTOS!$C$4:$C$3243,PRECIOS_COMPLEMENTOS!B11,INVENTARIO_COMPLEMENTOS!$E$4:$E$3243,$A41),0),IFERROR(SUMIFS(INVENTARIO_COMPLEMENTOS!$H$4:$H$3243,INVENTARIO_COMPLEMENTOS!$A$4:$A$3243,$C$2,INVENTARIO_COMPLEMENTOS!$B$4:$B$3243,PRECIOS_COMPLEMENTOS!A11,INVENTARIO_COMPLEMENTOS!$C$4:$C$3243,PRECIOS_COMPLEMENTOS!B11,INVENTARIO_COMPLEMENTOS!$E$4:$E$3243,$A41),0)))</f>
        <v/>
      </c>
      <c r="J41" s="45" t="str">
        <f>IF(OR(PRECIOS_COMPLEMENTOS!A12="",$A41=""),"",IF($C$2="TODOS",IFERROR(SUMIFS(INVENTARIO_COMPLEMENTOS!$H$4:$H$3243,INVENTARIO_COMPLEMENTOS!$B$4:$B$3243,PRECIOS_COMPLEMENTOS!A12,INVENTARIO_COMPLEMENTOS!$C$4:$C$3243,PRECIOS_COMPLEMENTOS!B12,INVENTARIO_COMPLEMENTOS!$E$4:$E$3243,$A41),0),IFERROR(SUMIFS(INVENTARIO_COMPLEMENTOS!$H$4:$H$3243,INVENTARIO_COMPLEMENTOS!$A$4:$A$3243,$C$2,INVENTARIO_COMPLEMENTOS!$B$4:$B$3243,PRECIOS_COMPLEMENTOS!A12,INVENTARIO_COMPLEMENTOS!$C$4:$C$3243,PRECIOS_COMPLEMENTOS!B12,INVENTARIO_COMPLEMENTOS!$E$4:$E$3243,$A41),0)))</f>
        <v/>
      </c>
      <c r="K41" s="45" t="str">
        <f>IF(OR(PRECIOS_COMPLEMENTOS!A13="",$A41=""),"",IF($C$2="TODOS",IFERROR(SUMIFS(INVENTARIO_COMPLEMENTOS!$H$4:$H$3243,INVENTARIO_COMPLEMENTOS!$B$4:$B$3243,PRECIOS_COMPLEMENTOS!A13,INVENTARIO_COMPLEMENTOS!$C$4:$C$3243,PRECIOS_COMPLEMENTOS!B13,INVENTARIO_COMPLEMENTOS!$E$4:$E$3243,$A41),0),IFERROR(SUMIFS(INVENTARIO_COMPLEMENTOS!$H$4:$H$3243,INVENTARIO_COMPLEMENTOS!$A$4:$A$3243,$C$2,INVENTARIO_COMPLEMENTOS!$B$4:$B$3243,PRECIOS_COMPLEMENTOS!A13,INVENTARIO_COMPLEMENTOS!$C$4:$C$3243,PRECIOS_COMPLEMENTOS!B13,INVENTARIO_COMPLEMENTOS!$E$4:$E$3243,$A41),0)))</f>
        <v/>
      </c>
      <c r="L41" s="45" t="str">
        <f>IF(OR(PRECIOS_COMPLEMENTOS!A14="",$A41=""),"",IF($C$2="TODOS",IFERROR(SUMIFS(INVENTARIO_COMPLEMENTOS!$H$4:$H$3243,INVENTARIO_COMPLEMENTOS!$B$4:$B$3243,PRECIOS_COMPLEMENTOS!A14,INVENTARIO_COMPLEMENTOS!$C$4:$C$3243,PRECIOS_COMPLEMENTOS!B14,INVENTARIO_COMPLEMENTOS!$E$4:$E$3243,$A41),0),IFERROR(SUMIFS(INVENTARIO_COMPLEMENTOS!$H$4:$H$3243,INVENTARIO_COMPLEMENTOS!$A$4:$A$3243,$C$2,INVENTARIO_COMPLEMENTOS!$B$4:$B$3243,PRECIOS_COMPLEMENTOS!A14,INVENTARIO_COMPLEMENTOS!$C$4:$C$3243,PRECIOS_COMPLEMENTOS!B14,INVENTARIO_COMPLEMENTOS!$E$4:$E$3243,$A41),0)))</f>
        <v/>
      </c>
      <c r="M41" s="45" t="str">
        <f>IF(OR(PRECIOS_COMPLEMENTOS!A15="",$A41=""),"",IF($C$2="TODOS",IFERROR(SUMIFS(INVENTARIO_COMPLEMENTOS!$H$4:$H$3243,INVENTARIO_COMPLEMENTOS!$B$4:$B$3243,PRECIOS_COMPLEMENTOS!A15,INVENTARIO_COMPLEMENTOS!$C$4:$C$3243,PRECIOS_COMPLEMENTOS!B15,INVENTARIO_COMPLEMENTOS!$E$4:$E$3243,$A41),0),IFERROR(SUMIFS(INVENTARIO_COMPLEMENTOS!$H$4:$H$3243,INVENTARIO_COMPLEMENTOS!$A$4:$A$3243,$C$2,INVENTARIO_COMPLEMENTOS!$B$4:$B$3243,PRECIOS_COMPLEMENTOS!A15,INVENTARIO_COMPLEMENTOS!$C$4:$C$3243,PRECIOS_COMPLEMENTOS!B15,INVENTARIO_COMPLEMENTOS!$E$4:$E$3243,$A41),0)))</f>
        <v/>
      </c>
      <c r="N41" s="45" t="str">
        <f>IF(OR(PRECIOS_COMPLEMENTOS!A16="",$A41=""),"",IF($C$2="TODOS",IFERROR(SUMIFS(INVENTARIO_COMPLEMENTOS!$H$4:$H$3243,INVENTARIO_COMPLEMENTOS!$B$4:$B$3243,PRECIOS_COMPLEMENTOS!A16,INVENTARIO_COMPLEMENTOS!$C$4:$C$3243,PRECIOS_COMPLEMENTOS!B16,INVENTARIO_COMPLEMENTOS!$E$4:$E$3243,$A41),0),IFERROR(SUMIFS(INVENTARIO_COMPLEMENTOS!$H$4:$H$3243,INVENTARIO_COMPLEMENTOS!$A$4:$A$3243,$C$2,INVENTARIO_COMPLEMENTOS!$B$4:$B$3243,PRECIOS_COMPLEMENTOS!A16,INVENTARIO_COMPLEMENTOS!$C$4:$C$3243,PRECIOS_COMPLEMENTOS!B16,INVENTARIO_COMPLEMENTOS!$E$4:$E$3243,$A41),0)))</f>
        <v/>
      </c>
      <c r="O41" s="45" t="str">
        <f>IF(OR(PRECIOS_COMPLEMENTOS!A17="",$A41=""),"",IF($C$2="TODOS",IFERROR(SUMIFS(INVENTARIO_COMPLEMENTOS!$H$4:$H$3243,INVENTARIO_COMPLEMENTOS!$B$4:$B$3243,PRECIOS_COMPLEMENTOS!A17,INVENTARIO_COMPLEMENTOS!$C$4:$C$3243,PRECIOS_COMPLEMENTOS!B17,INVENTARIO_COMPLEMENTOS!$E$4:$E$3243,$A41),0),IFERROR(SUMIFS(INVENTARIO_COMPLEMENTOS!$H$4:$H$3243,INVENTARIO_COMPLEMENTOS!$A$4:$A$3243,$C$2,INVENTARIO_COMPLEMENTOS!$B$4:$B$3243,PRECIOS_COMPLEMENTOS!A17,INVENTARIO_COMPLEMENTOS!$C$4:$C$3243,PRECIOS_COMPLEMENTOS!B17,INVENTARIO_COMPLEMENTOS!$E$4:$E$3243,$A41),0)))</f>
        <v/>
      </c>
      <c r="P41" s="46">
        <f t="shared" si="3"/>
        <v>0</v>
      </c>
      <c r="Q41" s="47">
        <f>IF($A41="","",IF($C$2="TODOS",IFERROR(SUMIFS(INVENTARIO_COMPLEMENTOS!$J$4:$J$3243,INVENTARIO_COMPLEMENTOS!$E$4:$E$3243,$A41),0),IFERROR(SUMIFS(INVENTARIO_COMPLEMENTOS!$J$4:$J$3243,INVENTARIO_COMPLEMENTOS!$A$4:$A$3243,$C$2,INVENTARIO_COMPLEMENTOS!$E$4:$E$3243,$A41),0)))</f>
        <v>0</v>
      </c>
    </row>
    <row r="42" ht="15.0" customHeight="1">
      <c r="A42" s="44" t="str">
        <f>IFERROR(IF(COLORES!A6="","",COLORES!A6),"")</f>
        <v>Blanco</v>
      </c>
      <c r="B42" s="45">
        <f>IF(OR(PRECIOS_COMPLEMENTOS!A4="",$A42=""),"",IF($C$2="TODOS",IFERROR(SUMIFS(INVENTARIO_COMPLEMENTOS!$H$4:$H$3243,INVENTARIO_COMPLEMENTOS!$B$4:$B$3243,PRECIOS_COMPLEMENTOS!A4,INVENTARIO_COMPLEMENTOS!$C$4:$C$3243,PRECIOS_COMPLEMENTOS!B4,INVENTARIO_COMPLEMENTOS!$E$4:$E$3243,$A42),0),IFERROR(SUMIFS(INVENTARIO_COMPLEMENTOS!$H$4:$H$3243,INVENTARIO_COMPLEMENTOS!$A$4:$A$3243,$C$2,INVENTARIO_COMPLEMENTOS!$B$4:$B$3243,PRECIOS_COMPLEMENTOS!A4,INVENTARIO_COMPLEMENTOS!$C$4:$C$3243,PRECIOS_COMPLEMENTOS!B4,INVENTARIO_COMPLEMENTOS!$E$4:$E$3243,$A42),0)))</f>
        <v>0</v>
      </c>
      <c r="C42" s="45">
        <f>IF(OR(PRECIOS_COMPLEMENTOS!A5="",$A42=""),"",IF($C$2="TODOS",IFERROR(SUMIFS(INVENTARIO_COMPLEMENTOS!$H$4:$H$3243,INVENTARIO_COMPLEMENTOS!$B$4:$B$3243,PRECIOS_COMPLEMENTOS!A5,INVENTARIO_COMPLEMENTOS!$C$4:$C$3243,PRECIOS_COMPLEMENTOS!B5,INVENTARIO_COMPLEMENTOS!$E$4:$E$3243,$A42),0),IFERROR(SUMIFS(INVENTARIO_COMPLEMENTOS!$H$4:$H$3243,INVENTARIO_COMPLEMENTOS!$A$4:$A$3243,$C$2,INVENTARIO_COMPLEMENTOS!$B$4:$B$3243,PRECIOS_COMPLEMENTOS!A5,INVENTARIO_COMPLEMENTOS!$C$4:$C$3243,PRECIOS_COMPLEMENTOS!B5,INVENTARIO_COMPLEMENTOS!$E$4:$E$3243,$A42),0)))</f>
        <v>0</v>
      </c>
      <c r="D42" s="45">
        <f>IF(OR(PRECIOS_COMPLEMENTOS!A6="",$A42=""),"",IF($C$2="TODOS",IFERROR(SUMIFS(INVENTARIO_COMPLEMENTOS!$H$4:$H$3243,INVENTARIO_COMPLEMENTOS!$B$4:$B$3243,PRECIOS_COMPLEMENTOS!A6,INVENTARIO_COMPLEMENTOS!$C$4:$C$3243,PRECIOS_COMPLEMENTOS!B6,INVENTARIO_COMPLEMENTOS!$E$4:$E$3243,$A42),0),IFERROR(SUMIFS(INVENTARIO_COMPLEMENTOS!$H$4:$H$3243,INVENTARIO_COMPLEMENTOS!$A$4:$A$3243,$C$2,INVENTARIO_COMPLEMENTOS!$B$4:$B$3243,PRECIOS_COMPLEMENTOS!A6,INVENTARIO_COMPLEMENTOS!$C$4:$C$3243,PRECIOS_COMPLEMENTOS!B6,INVENTARIO_COMPLEMENTOS!$E$4:$E$3243,$A42),0)))</f>
        <v>0</v>
      </c>
      <c r="E42" s="45">
        <f>IF(OR(PRECIOS_COMPLEMENTOS!A7="",$A42=""),"",IF($C$2="TODOS",IFERROR(SUMIFS(INVENTARIO_COMPLEMENTOS!$H$4:$H$3243,INVENTARIO_COMPLEMENTOS!$B$4:$B$3243,PRECIOS_COMPLEMENTOS!A7,INVENTARIO_COMPLEMENTOS!$C$4:$C$3243,PRECIOS_COMPLEMENTOS!B7,INVENTARIO_COMPLEMENTOS!$E$4:$E$3243,$A42),0),IFERROR(SUMIFS(INVENTARIO_COMPLEMENTOS!$H$4:$H$3243,INVENTARIO_COMPLEMENTOS!$A$4:$A$3243,$C$2,INVENTARIO_COMPLEMENTOS!$B$4:$B$3243,PRECIOS_COMPLEMENTOS!A7,INVENTARIO_COMPLEMENTOS!$C$4:$C$3243,PRECIOS_COMPLEMENTOS!B7,INVENTARIO_COMPLEMENTOS!$E$4:$E$3243,$A42),0)))</f>
        <v>0</v>
      </c>
      <c r="F42" s="45">
        <f>IF(OR(PRECIOS_COMPLEMENTOS!A8="",$A42=""),"",IF($C$2="TODOS",IFERROR(SUMIFS(INVENTARIO_COMPLEMENTOS!$H$4:$H$3243,INVENTARIO_COMPLEMENTOS!$B$4:$B$3243,PRECIOS_COMPLEMENTOS!A8,INVENTARIO_COMPLEMENTOS!$C$4:$C$3243,PRECIOS_COMPLEMENTOS!B8,INVENTARIO_COMPLEMENTOS!$E$4:$E$3243,$A42),0),IFERROR(SUMIFS(INVENTARIO_COMPLEMENTOS!$H$4:$H$3243,INVENTARIO_COMPLEMENTOS!$A$4:$A$3243,$C$2,INVENTARIO_COMPLEMENTOS!$B$4:$B$3243,PRECIOS_COMPLEMENTOS!A8,INVENTARIO_COMPLEMENTOS!$C$4:$C$3243,PRECIOS_COMPLEMENTOS!B8,INVENTARIO_COMPLEMENTOS!$E$4:$E$3243,$A42),0)))</f>
        <v>0</v>
      </c>
      <c r="G42" s="45">
        <f>IF(OR(PRECIOS_COMPLEMENTOS!A9="",$A42=""),"",IF($C$2="TODOS",IFERROR(SUMIFS(INVENTARIO_COMPLEMENTOS!$H$4:$H$3243,INVENTARIO_COMPLEMENTOS!$B$4:$B$3243,PRECIOS_COMPLEMENTOS!A9,INVENTARIO_COMPLEMENTOS!$C$4:$C$3243,PRECIOS_COMPLEMENTOS!B9,INVENTARIO_COMPLEMENTOS!$E$4:$E$3243,$A42),0),IFERROR(SUMIFS(INVENTARIO_COMPLEMENTOS!$H$4:$H$3243,INVENTARIO_COMPLEMENTOS!$A$4:$A$3243,$C$2,INVENTARIO_COMPLEMENTOS!$B$4:$B$3243,PRECIOS_COMPLEMENTOS!A9,INVENTARIO_COMPLEMENTOS!$C$4:$C$3243,PRECIOS_COMPLEMENTOS!B9,INVENTARIO_COMPLEMENTOS!$E$4:$E$3243,$A42),0)))</f>
        <v>0</v>
      </c>
      <c r="H42" s="45">
        <f>IF(OR(PRECIOS_COMPLEMENTOS!A10="",$A42=""),"",IF($C$2="TODOS",IFERROR(SUMIFS(INVENTARIO_COMPLEMENTOS!$H$4:$H$3243,INVENTARIO_COMPLEMENTOS!$B$4:$B$3243,PRECIOS_COMPLEMENTOS!A10,INVENTARIO_COMPLEMENTOS!$C$4:$C$3243,PRECIOS_COMPLEMENTOS!B10,INVENTARIO_COMPLEMENTOS!$E$4:$E$3243,$A42),0),IFERROR(SUMIFS(INVENTARIO_COMPLEMENTOS!$H$4:$H$3243,INVENTARIO_COMPLEMENTOS!$A$4:$A$3243,$C$2,INVENTARIO_COMPLEMENTOS!$B$4:$B$3243,PRECIOS_COMPLEMENTOS!A10,INVENTARIO_COMPLEMENTOS!$C$4:$C$3243,PRECIOS_COMPLEMENTOS!B10,INVENTARIO_COMPLEMENTOS!$E$4:$E$3243,$A42),0)))</f>
        <v>0</v>
      </c>
      <c r="I42" s="45" t="str">
        <f>IF(OR(PRECIOS_COMPLEMENTOS!A11="",$A42=""),"",IF($C$2="TODOS",IFERROR(SUMIFS(INVENTARIO_COMPLEMENTOS!$H$4:$H$3243,INVENTARIO_COMPLEMENTOS!$B$4:$B$3243,PRECIOS_COMPLEMENTOS!A11,INVENTARIO_COMPLEMENTOS!$C$4:$C$3243,PRECIOS_COMPLEMENTOS!B11,INVENTARIO_COMPLEMENTOS!$E$4:$E$3243,$A42),0),IFERROR(SUMIFS(INVENTARIO_COMPLEMENTOS!$H$4:$H$3243,INVENTARIO_COMPLEMENTOS!$A$4:$A$3243,$C$2,INVENTARIO_COMPLEMENTOS!$B$4:$B$3243,PRECIOS_COMPLEMENTOS!A11,INVENTARIO_COMPLEMENTOS!$C$4:$C$3243,PRECIOS_COMPLEMENTOS!B11,INVENTARIO_COMPLEMENTOS!$E$4:$E$3243,$A42),0)))</f>
        <v/>
      </c>
      <c r="J42" s="45" t="str">
        <f>IF(OR(PRECIOS_COMPLEMENTOS!A12="",$A42=""),"",IF($C$2="TODOS",IFERROR(SUMIFS(INVENTARIO_COMPLEMENTOS!$H$4:$H$3243,INVENTARIO_COMPLEMENTOS!$B$4:$B$3243,PRECIOS_COMPLEMENTOS!A12,INVENTARIO_COMPLEMENTOS!$C$4:$C$3243,PRECIOS_COMPLEMENTOS!B12,INVENTARIO_COMPLEMENTOS!$E$4:$E$3243,$A42),0),IFERROR(SUMIFS(INVENTARIO_COMPLEMENTOS!$H$4:$H$3243,INVENTARIO_COMPLEMENTOS!$A$4:$A$3243,$C$2,INVENTARIO_COMPLEMENTOS!$B$4:$B$3243,PRECIOS_COMPLEMENTOS!A12,INVENTARIO_COMPLEMENTOS!$C$4:$C$3243,PRECIOS_COMPLEMENTOS!B12,INVENTARIO_COMPLEMENTOS!$E$4:$E$3243,$A42),0)))</f>
        <v/>
      </c>
      <c r="K42" s="45" t="str">
        <f>IF(OR(PRECIOS_COMPLEMENTOS!A13="",$A42=""),"",IF($C$2="TODOS",IFERROR(SUMIFS(INVENTARIO_COMPLEMENTOS!$H$4:$H$3243,INVENTARIO_COMPLEMENTOS!$B$4:$B$3243,PRECIOS_COMPLEMENTOS!A13,INVENTARIO_COMPLEMENTOS!$C$4:$C$3243,PRECIOS_COMPLEMENTOS!B13,INVENTARIO_COMPLEMENTOS!$E$4:$E$3243,$A42),0),IFERROR(SUMIFS(INVENTARIO_COMPLEMENTOS!$H$4:$H$3243,INVENTARIO_COMPLEMENTOS!$A$4:$A$3243,$C$2,INVENTARIO_COMPLEMENTOS!$B$4:$B$3243,PRECIOS_COMPLEMENTOS!A13,INVENTARIO_COMPLEMENTOS!$C$4:$C$3243,PRECIOS_COMPLEMENTOS!B13,INVENTARIO_COMPLEMENTOS!$E$4:$E$3243,$A42),0)))</f>
        <v/>
      </c>
      <c r="L42" s="45" t="str">
        <f>IF(OR(PRECIOS_COMPLEMENTOS!A14="",$A42=""),"",IF($C$2="TODOS",IFERROR(SUMIFS(INVENTARIO_COMPLEMENTOS!$H$4:$H$3243,INVENTARIO_COMPLEMENTOS!$B$4:$B$3243,PRECIOS_COMPLEMENTOS!A14,INVENTARIO_COMPLEMENTOS!$C$4:$C$3243,PRECIOS_COMPLEMENTOS!B14,INVENTARIO_COMPLEMENTOS!$E$4:$E$3243,$A42),0),IFERROR(SUMIFS(INVENTARIO_COMPLEMENTOS!$H$4:$H$3243,INVENTARIO_COMPLEMENTOS!$A$4:$A$3243,$C$2,INVENTARIO_COMPLEMENTOS!$B$4:$B$3243,PRECIOS_COMPLEMENTOS!A14,INVENTARIO_COMPLEMENTOS!$C$4:$C$3243,PRECIOS_COMPLEMENTOS!B14,INVENTARIO_COMPLEMENTOS!$E$4:$E$3243,$A42),0)))</f>
        <v/>
      </c>
      <c r="M42" s="45" t="str">
        <f>IF(OR(PRECIOS_COMPLEMENTOS!A15="",$A42=""),"",IF($C$2="TODOS",IFERROR(SUMIFS(INVENTARIO_COMPLEMENTOS!$H$4:$H$3243,INVENTARIO_COMPLEMENTOS!$B$4:$B$3243,PRECIOS_COMPLEMENTOS!A15,INVENTARIO_COMPLEMENTOS!$C$4:$C$3243,PRECIOS_COMPLEMENTOS!B15,INVENTARIO_COMPLEMENTOS!$E$4:$E$3243,$A42),0),IFERROR(SUMIFS(INVENTARIO_COMPLEMENTOS!$H$4:$H$3243,INVENTARIO_COMPLEMENTOS!$A$4:$A$3243,$C$2,INVENTARIO_COMPLEMENTOS!$B$4:$B$3243,PRECIOS_COMPLEMENTOS!A15,INVENTARIO_COMPLEMENTOS!$C$4:$C$3243,PRECIOS_COMPLEMENTOS!B15,INVENTARIO_COMPLEMENTOS!$E$4:$E$3243,$A42),0)))</f>
        <v/>
      </c>
      <c r="N42" s="45" t="str">
        <f>IF(OR(PRECIOS_COMPLEMENTOS!A16="",$A42=""),"",IF($C$2="TODOS",IFERROR(SUMIFS(INVENTARIO_COMPLEMENTOS!$H$4:$H$3243,INVENTARIO_COMPLEMENTOS!$B$4:$B$3243,PRECIOS_COMPLEMENTOS!A16,INVENTARIO_COMPLEMENTOS!$C$4:$C$3243,PRECIOS_COMPLEMENTOS!B16,INVENTARIO_COMPLEMENTOS!$E$4:$E$3243,$A42),0),IFERROR(SUMIFS(INVENTARIO_COMPLEMENTOS!$H$4:$H$3243,INVENTARIO_COMPLEMENTOS!$A$4:$A$3243,$C$2,INVENTARIO_COMPLEMENTOS!$B$4:$B$3243,PRECIOS_COMPLEMENTOS!A16,INVENTARIO_COMPLEMENTOS!$C$4:$C$3243,PRECIOS_COMPLEMENTOS!B16,INVENTARIO_COMPLEMENTOS!$E$4:$E$3243,$A42),0)))</f>
        <v/>
      </c>
      <c r="O42" s="45" t="str">
        <f>IF(OR(PRECIOS_COMPLEMENTOS!A17="",$A42=""),"",IF($C$2="TODOS",IFERROR(SUMIFS(INVENTARIO_COMPLEMENTOS!$H$4:$H$3243,INVENTARIO_COMPLEMENTOS!$B$4:$B$3243,PRECIOS_COMPLEMENTOS!A17,INVENTARIO_COMPLEMENTOS!$C$4:$C$3243,PRECIOS_COMPLEMENTOS!B17,INVENTARIO_COMPLEMENTOS!$E$4:$E$3243,$A42),0),IFERROR(SUMIFS(INVENTARIO_COMPLEMENTOS!$H$4:$H$3243,INVENTARIO_COMPLEMENTOS!$A$4:$A$3243,$C$2,INVENTARIO_COMPLEMENTOS!$B$4:$B$3243,PRECIOS_COMPLEMENTOS!A17,INVENTARIO_COMPLEMENTOS!$C$4:$C$3243,PRECIOS_COMPLEMENTOS!B17,INVENTARIO_COMPLEMENTOS!$E$4:$E$3243,$A42),0)))</f>
        <v/>
      </c>
      <c r="P42" s="46">
        <f t="shared" si="3"/>
        <v>0</v>
      </c>
      <c r="Q42" s="47">
        <f>IF($A42="","",IF($C$2="TODOS",IFERROR(SUMIFS(INVENTARIO_COMPLEMENTOS!$J$4:$J$3243,INVENTARIO_COMPLEMENTOS!$E$4:$E$3243,$A42),0),IFERROR(SUMIFS(INVENTARIO_COMPLEMENTOS!$J$4:$J$3243,INVENTARIO_COMPLEMENTOS!$A$4:$A$3243,$C$2,INVENTARIO_COMPLEMENTOS!$E$4:$E$3243,$A42),0)))</f>
        <v>0</v>
      </c>
    </row>
    <row r="43" ht="15.0" customHeight="1">
      <c r="A43" s="44" t="str">
        <f>IFERROR(IF(COLORES!A7="","",COLORES!A7),"")</f>
        <v>Azul</v>
      </c>
      <c r="B43" s="45">
        <f>IF(OR(PRECIOS_COMPLEMENTOS!A4="",$A43=""),"",IF($C$2="TODOS",IFERROR(SUMIFS(INVENTARIO_COMPLEMENTOS!$H$4:$H$3243,INVENTARIO_COMPLEMENTOS!$B$4:$B$3243,PRECIOS_COMPLEMENTOS!A4,INVENTARIO_COMPLEMENTOS!$C$4:$C$3243,PRECIOS_COMPLEMENTOS!B4,INVENTARIO_COMPLEMENTOS!$E$4:$E$3243,$A43),0),IFERROR(SUMIFS(INVENTARIO_COMPLEMENTOS!$H$4:$H$3243,INVENTARIO_COMPLEMENTOS!$A$4:$A$3243,$C$2,INVENTARIO_COMPLEMENTOS!$B$4:$B$3243,PRECIOS_COMPLEMENTOS!A4,INVENTARIO_COMPLEMENTOS!$C$4:$C$3243,PRECIOS_COMPLEMENTOS!B4,INVENTARIO_COMPLEMENTOS!$E$4:$E$3243,$A43),0)))</f>
        <v>0</v>
      </c>
      <c r="C43" s="45">
        <f>IF(OR(PRECIOS_COMPLEMENTOS!A5="",$A43=""),"",IF($C$2="TODOS",IFERROR(SUMIFS(INVENTARIO_COMPLEMENTOS!$H$4:$H$3243,INVENTARIO_COMPLEMENTOS!$B$4:$B$3243,PRECIOS_COMPLEMENTOS!A5,INVENTARIO_COMPLEMENTOS!$C$4:$C$3243,PRECIOS_COMPLEMENTOS!B5,INVENTARIO_COMPLEMENTOS!$E$4:$E$3243,$A43),0),IFERROR(SUMIFS(INVENTARIO_COMPLEMENTOS!$H$4:$H$3243,INVENTARIO_COMPLEMENTOS!$A$4:$A$3243,$C$2,INVENTARIO_COMPLEMENTOS!$B$4:$B$3243,PRECIOS_COMPLEMENTOS!A5,INVENTARIO_COMPLEMENTOS!$C$4:$C$3243,PRECIOS_COMPLEMENTOS!B5,INVENTARIO_COMPLEMENTOS!$E$4:$E$3243,$A43),0)))</f>
        <v>0</v>
      </c>
      <c r="D43" s="45">
        <f>IF(OR(PRECIOS_COMPLEMENTOS!A6="",$A43=""),"",IF($C$2="TODOS",IFERROR(SUMIFS(INVENTARIO_COMPLEMENTOS!$H$4:$H$3243,INVENTARIO_COMPLEMENTOS!$B$4:$B$3243,PRECIOS_COMPLEMENTOS!A6,INVENTARIO_COMPLEMENTOS!$C$4:$C$3243,PRECIOS_COMPLEMENTOS!B6,INVENTARIO_COMPLEMENTOS!$E$4:$E$3243,$A43),0),IFERROR(SUMIFS(INVENTARIO_COMPLEMENTOS!$H$4:$H$3243,INVENTARIO_COMPLEMENTOS!$A$4:$A$3243,$C$2,INVENTARIO_COMPLEMENTOS!$B$4:$B$3243,PRECIOS_COMPLEMENTOS!A6,INVENTARIO_COMPLEMENTOS!$C$4:$C$3243,PRECIOS_COMPLEMENTOS!B6,INVENTARIO_COMPLEMENTOS!$E$4:$E$3243,$A43),0)))</f>
        <v>0</v>
      </c>
      <c r="E43" s="45">
        <f>IF(OR(PRECIOS_COMPLEMENTOS!A7="",$A43=""),"",IF($C$2="TODOS",IFERROR(SUMIFS(INVENTARIO_COMPLEMENTOS!$H$4:$H$3243,INVENTARIO_COMPLEMENTOS!$B$4:$B$3243,PRECIOS_COMPLEMENTOS!A7,INVENTARIO_COMPLEMENTOS!$C$4:$C$3243,PRECIOS_COMPLEMENTOS!B7,INVENTARIO_COMPLEMENTOS!$E$4:$E$3243,$A43),0),IFERROR(SUMIFS(INVENTARIO_COMPLEMENTOS!$H$4:$H$3243,INVENTARIO_COMPLEMENTOS!$A$4:$A$3243,$C$2,INVENTARIO_COMPLEMENTOS!$B$4:$B$3243,PRECIOS_COMPLEMENTOS!A7,INVENTARIO_COMPLEMENTOS!$C$4:$C$3243,PRECIOS_COMPLEMENTOS!B7,INVENTARIO_COMPLEMENTOS!$E$4:$E$3243,$A43),0)))</f>
        <v>0</v>
      </c>
      <c r="F43" s="45">
        <f>IF(OR(PRECIOS_COMPLEMENTOS!A8="",$A43=""),"",IF($C$2="TODOS",IFERROR(SUMIFS(INVENTARIO_COMPLEMENTOS!$H$4:$H$3243,INVENTARIO_COMPLEMENTOS!$B$4:$B$3243,PRECIOS_COMPLEMENTOS!A8,INVENTARIO_COMPLEMENTOS!$C$4:$C$3243,PRECIOS_COMPLEMENTOS!B8,INVENTARIO_COMPLEMENTOS!$E$4:$E$3243,$A43),0),IFERROR(SUMIFS(INVENTARIO_COMPLEMENTOS!$H$4:$H$3243,INVENTARIO_COMPLEMENTOS!$A$4:$A$3243,$C$2,INVENTARIO_COMPLEMENTOS!$B$4:$B$3243,PRECIOS_COMPLEMENTOS!A8,INVENTARIO_COMPLEMENTOS!$C$4:$C$3243,PRECIOS_COMPLEMENTOS!B8,INVENTARIO_COMPLEMENTOS!$E$4:$E$3243,$A43),0)))</f>
        <v>0</v>
      </c>
      <c r="G43" s="45">
        <f>IF(OR(PRECIOS_COMPLEMENTOS!A9="",$A43=""),"",IF($C$2="TODOS",IFERROR(SUMIFS(INVENTARIO_COMPLEMENTOS!$H$4:$H$3243,INVENTARIO_COMPLEMENTOS!$B$4:$B$3243,PRECIOS_COMPLEMENTOS!A9,INVENTARIO_COMPLEMENTOS!$C$4:$C$3243,PRECIOS_COMPLEMENTOS!B9,INVENTARIO_COMPLEMENTOS!$E$4:$E$3243,$A43),0),IFERROR(SUMIFS(INVENTARIO_COMPLEMENTOS!$H$4:$H$3243,INVENTARIO_COMPLEMENTOS!$A$4:$A$3243,$C$2,INVENTARIO_COMPLEMENTOS!$B$4:$B$3243,PRECIOS_COMPLEMENTOS!A9,INVENTARIO_COMPLEMENTOS!$C$4:$C$3243,PRECIOS_COMPLEMENTOS!B9,INVENTARIO_COMPLEMENTOS!$E$4:$E$3243,$A43),0)))</f>
        <v>0</v>
      </c>
      <c r="H43" s="45">
        <f>IF(OR(PRECIOS_COMPLEMENTOS!A10="",$A43=""),"",IF($C$2="TODOS",IFERROR(SUMIFS(INVENTARIO_COMPLEMENTOS!$H$4:$H$3243,INVENTARIO_COMPLEMENTOS!$B$4:$B$3243,PRECIOS_COMPLEMENTOS!A10,INVENTARIO_COMPLEMENTOS!$C$4:$C$3243,PRECIOS_COMPLEMENTOS!B10,INVENTARIO_COMPLEMENTOS!$E$4:$E$3243,$A43),0),IFERROR(SUMIFS(INVENTARIO_COMPLEMENTOS!$H$4:$H$3243,INVENTARIO_COMPLEMENTOS!$A$4:$A$3243,$C$2,INVENTARIO_COMPLEMENTOS!$B$4:$B$3243,PRECIOS_COMPLEMENTOS!A10,INVENTARIO_COMPLEMENTOS!$C$4:$C$3243,PRECIOS_COMPLEMENTOS!B10,INVENTARIO_COMPLEMENTOS!$E$4:$E$3243,$A43),0)))</f>
        <v>0</v>
      </c>
      <c r="I43" s="45" t="str">
        <f>IF(OR(PRECIOS_COMPLEMENTOS!A11="",$A43=""),"",IF($C$2="TODOS",IFERROR(SUMIFS(INVENTARIO_COMPLEMENTOS!$H$4:$H$3243,INVENTARIO_COMPLEMENTOS!$B$4:$B$3243,PRECIOS_COMPLEMENTOS!A11,INVENTARIO_COMPLEMENTOS!$C$4:$C$3243,PRECIOS_COMPLEMENTOS!B11,INVENTARIO_COMPLEMENTOS!$E$4:$E$3243,$A43),0),IFERROR(SUMIFS(INVENTARIO_COMPLEMENTOS!$H$4:$H$3243,INVENTARIO_COMPLEMENTOS!$A$4:$A$3243,$C$2,INVENTARIO_COMPLEMENTOS!$B$4:$B$3243,PRECIOS_COMPLEMENTOS!A11,INVENTARIO_COMPLEMENTOS!$C$4:$C$3243,PRECIOS_COMPLEMENTOS!B11,INVENTARIO_COMPLEMENTOS!$E$4:$E$3243,$A43),0)))</f>
        <v/>
      </c>
      <c r="J43" s="45" t="str">
        <f>IF(OR(PRECIOS_COMPLEMENTOS!A12="",$A43=""),"",IF($C$2="TODOS",IFERROR(SUMIFS(INVENTARIO_COMPLEMENTOS!$H$4:$H$3243,INVENTARIO_COMPLEMENTOS!$B$4:$B$3243,PRECIOS_COMPLEMENTOS!A12,INVENTARIO_COMPLEMENTOS!$C$4:$C$3243,PRECIOS_COMPLEMENTOS!B12,INVENTARIO_COMPLEMENTOS!$E$4:$E$3243,$A43),0),IFERROR(SUMIFS(INVENTARIO_COMPLEMENTOS!$H$4:$H$3243,INVENTARIO_COMPLEMENTOS!$A$4:$A$3243,$C$2,INVENTARIO_COMPLEMENTOS!$B$4:$B$3243,PRECIOS_COMPLEMENTOS!A12,INVENTARIO_COMPLEMENTOS!$C$4:$C$3243,PRECIOS_COMPLEMENTOS!B12,INVENTARIO_COMPLEMENTOS!$E$4:$E$3243,$A43),0)))</f>
        <v/>
      </c>
      <c r="K43" s="45" t="str">
        <f>IF(OR(PRECIOS_COMPLEMENTOS!A13="",$A43=""),"",IF($C$2="TODOS",IFERROR(SUMIFS(INVENTARIO_COMPLEMENTOS!$H$4:$H$3243,INVENTARIO_COMPLEMENTOS!$B$4:$B$3243,PRECIOS_COMPLEMENTOS!A13,INVENTARIO_COMPLEMENTOS!$C$4:$C$3243,PRECIOS_COMPLEMENTOS!B13,INVENTARIO_COMPLEMENTOS!$E$4:$E$3243,$A43),0),IFERROR(SUMIFS(INVENTARIO_COMPLEMENTOS!$H$4:$H$3243,INVENTARIO_COMPLEMENTOS!$A$4:$A$3243,$C$2,INVENTARIO_COMPLEMENTOS!$B$4:$B$3243,PRECIOS_COMPLEMENTOS!A13,INVENTARIO_COMPLEMENTOS!$C$4:$C$3243,PRECIOS_COMPLEMENTOS!B13,INVENTARIO_COMPLEMENTOS!$E$4:$E$3243,$A43),0)))</f>
        <v/>
      </c>
      <c r="L43" s="45" t="str">
        <f>IF(OR(PRECIOS_COMPLEMENTOS!A14="",$A43=""),"",IF($C$2="TODOS",IFERROR(SUMIFS(INVENTARIO_COMPLEMENTOS!$H$4:$H$3243,INVENTARIO_COMPLEMENTOS!$B$4:$B$3243,PRECIOS_COMPLEMENTOS!A14,INVENTARIO_COMPLEMENTOS!$C$4:$C$3243,PRECIOS_COMPLEMENTOS!B14,INVENTARIO_COMPLEMENTOS!$E$4:$E$3243,$A43),0),IFERROR(SUMIFS(INVENTARIO_COMPLEMENTOS!$H$4:$H$3243,INVENTARIO_COMPLEMENTOS!$A$4:$A$3243,$C$2,INVENTARIO_COMPLEMENTOS!$B$4:$B$3243,PRECIOS_COMPLEMENTOS!A14,INVENTARIO_COMPLEMENTOS!$C$4:$C$3243,PRECIOS_COMPLEMENTOS!B14,INVENTARIO_COMPLEMENTOS!$E$4:$E$3243,$A43),0)))</f>
        <v/>
      </c>
      <c r="M43" s="45" t="str">
        <f>IF(OR(PRECIOS_COMPLEMENTOS!A15="",$A43=""),"",IF($C$2="TODOS",IFERROR(SUMIFS(INVENTARIO_COMPLEMENTOS!$H$4:$H$3243,INVENTARIO_COMPLEMENTOS!$B$4:$B$3243,PRECIOS_COMPLEMENTOS!A15,INVENTARIO_COMPLEMENTOS!$C$4:$C$3243,PRECIOS_COMPLEMENTOS!B15,INVENTARIO_COMPLEMENTOS!$E$4:$E$3243,$A43),0),IFERROR(SUMIFS(INVENTARIO_COMPLEMENTOS!$H$4:$H$3243,INVENTARIO_COMPLEMENTOS!$A$4:$A$3243,$C$2,INVENTARIO_COMPLEMENTOS!$B$4:$B$3243,PRECIOS_COMPLEMENTOS!A15,INVENTARIO_COMPLEMENTOS!$C$4:$C$3243,PRECIOS_COMPLEMENTOS!B15,INVENTARIO_COMPLEMENTOS!$E$4:$E$3243,$A43),0)))</f>
        <v/>
      </c>
      <c r="N43" s="45" t="str">
        <f>IF(OR(PRECIOS_COMPLEMENTOS!A16="",$A43=""),"",IF($C$2="TODOS",IFERROR(SUMIFS(INVENTARIO_COMPLEMENTOS!$H$4:$H$3243,INVENTARIO_COMPLEMENTOS!$B$4:$B$3243,PRECIOS_COMPLEMENTOS!A16,INVENTARIO_COMPLEMENTOS!$C$4:$C$3243,PRECIOS_COMPLEMENTOS!B16,INVENTARIO_COMPLEMENTOS!$E$4:$E$3243,$A43),0),IFERROR(SUMIFS(INVENTARIO_COMPLEMENTOS!$H$4:$H$3243,INVENTARIO_COMPLEMENTOS!$A$4:$A$3243,$C$2,INVENTARIO_COMPLEMENTOS!$B$4:$B$3243,PRECIOS_COMPLEMENTOS!A16,INVENTARIO_COMPLEMENTOS!$C$4:$C$3243,PRECIOS_COMPLEMENTOS!B16,INVENTARIO_COMPLEMENTOS!$E$4:$E$3243,$A43),0)))</f>
        <v/>
      </c>
      <c r="O43" s="45" t="str">
        <f>IF(OR(PRECIOS_COMPLEMENTOS!A17="",$A43=""),"",IF($C$2="TODOS",IFERROR(SUMIFS(INVENTARIO_COMPLEMENTOS!$H$4:$H$3243,INVENTARIO_COMPLEMENTOS!$B$4:$B$3243,PRECIOS_COMPLEMENTOS!A17,INVENTARIO_COMPLEMENTOS!$C$4:$C$3243,PRECIOS_COMPLEMENTOS!B17,INVENTARIO_COMPLEMENTOS!$E$4:$E$3243,$A43),0),IFERROR(SUMIFS(INVENTARIO_COMPLEMENTOS!$H$4:$H$3243,INVENTARIO_COMPLEMENTOS!$A$4:$A$3243,$C$2,INVENTARIO_COMPLEMENTOS!$B$4:$B$3243,PRECIOS_COMPLEMENTOS!A17,INVENTARIO_COMPLEMENTOS!$C$4:$C$3243,PRECIOS_COMPLEMENTOS!B17,INVENTARIO_COMPLEMENTOS!$E$4:$E$3243,$A43),0)))</f>
        <v/>
      </c>
      <c r="P43" s="46">
        <f t="shared" si="3"/>
        <v>0</v>
      </c>
      <c r="Q43" s="47">
        <f>IF($A43="","",IF($C$2="TODOS",IFERROR(SUMIFS(INVENTARIO_COMPLEMENTOS!$J$4:$J$3243,INVENTARIO_COMPLEMENTOS!$E$4:$E$3243,$A43),0),IFERROR(SUMIFS(INVENTARIO_COMPLEMENTOS!$J$4:$J$3243,INVENTARIO_COMPLEMENTOS!$A$4:$A$3243,$C$2,INVENTARIO_COMPLEMENTOS!$E$4:$E$3243,$A43),0)))</f>
        <v>0</v>
      </c>
    </row>
    <row r="44" ht="15.0" customHeight="1">
      <c r="A44" s="44" t="str">
        <f>IFERROR(IF(COLORES!A8="","",COLORES!A8),"")</f>
        <v>Beige</v>
      </c>
      <c r="B44" s="45">
        <f>IF(OR(PRECIOS_COMPLEMENTOS!A4="",$A44=""),"",IF($C$2="TODOS",IFERROR(SUMIFS(INVENTARIO_COMPLEMENTOS!$H$4:$H$3243,INVENTARIO_COMPLEMENTOS!$B$4:$B$3243,PRECIOS_COMPLEMENTOS!A4,INVENTARIO_COMPLEMENTOS!$C$4:$C$3243,PRECIOS_COMPLEMENTOS!B4,INVENTARIO_COMPLEMENTOS!$E$4:$E$3243,$A44),0),IFERROR(SUMIFS(INVENTARIO_COMPLEMENTOS!$H$4:$H$3243,INVENTARIO_COMPLEMENTOS!$A$4:$A$3243,$C$2,INVENTARIO_COMPLEMENTOS!$B$4:$B$3243,PRECIOS_COMPLEMENTOS!A4,INVENTARIO_COMPLEMENTOS!$C$4:$C$3243,PRECIOS_COMPLEMENTOS!B4,INVENTARIO_COMPLEMENTOS!$E$4:$E$3243,$A44),0)))</f>
        <v>0</v>
      </c>
      <c r="C44" s="45">
        <f>IF(OR(PRECIOS_COMPLEMENTOS!A5="",$A44=""),"",IF($C$2="TODOS",IFERROR(SUMIFS(INVENTARIO_COMPLEMENTOS!$H$4:$H$3243,INVENTARIO_COMPLEMENTOS!$B$4:$B$3243,PRECIOS_COMPLEMENTOS!A5,INVENTARIO_COMPLEMENTOS!$C$4:$C$3243,PRECIOS_COMPLEMENTOS!B5,INVENTARIO_COMPLEMENTOS!$E$4:$E$3243,$A44),0),IFERROR(SUMIFS(INVENTARIO_COMPLEMENTOS!$H$4:$H$3243,INVENTARIO_COMPLEMENTOS!$A$4:$A$3243,$C$2,INVENTARIO_COMPLEMENTOS!$B$4:$B$3243,PRECIOS_COMPLEMENTOS!A5,INVENTARIO_COMPLEMENTOS!$C$4:$C$3243,PRECIOS_COMPLEMENTOS!B5,INVENTARIO_COMPLEMENTOS!$E$4:$E$3243,$A44),0)))</f>
        <v>0</v>
      </c>
      <c r="D44" s="45">
        <f>IF(OR(PRECIOS_COMPLEMENTOS!A6="",$A44=""),"",IF($C$2="TODOS",IFERROR(SUMIFS(INVENTARIO_COMPLEMENTOS!$H$4:$H$3243,INVENTARIO_COMPLEMENTOS!$B$4:$B$3243,PRECIOS_COMPLEMENTOS!A6,INVENTARIO_COMPLEMENTOS!$C$4:$C$3243,PRECIOS_COMPLEMENTOS!B6,INVENTARIO_COMPLEMENTOS!$E$4:$E$3243,$A44),0),IFERROR(SUMIFS(INVENTARIO_COMPLEMENTOS!$H$4:$H$3243,INVENTARIO_COMPLEMENTOS!$A$4:$A$3243,$C$2,INVENTARIO_COMPLEMENTOS!$B$4:$B$3243,PRECIOS_COMPLEMENTOS!A6,INVENTARIO_COMPLEMENTOS!$C$4:$C$3243,PRECIOS_COMPLEMENTOS!B6,INVENTARIO_COMPLEMENTOS!$E$4:$E$3243,$A44),0)))</f>
        <v>0</v>
      </c>
      <c r="E44" s="45">
        <f>IF(OR(PRECIOS_COMPLEMENTOS!A7="",$A44=""),"",IF($C$2="TODOS",IFERROR(SUMIFS(INVENTARIO_COMPLEMENTOS!$H$4:$H$3243,INVENTARIO_COMPLEMENTOS!$B$4:$B$3243,PRECIOS_COMPLEMENTOS!A7,INVENTARIO_COMPLEMENTOS!$C$4:$C$3243,PRECIOS_COMPLEMENTOS!B7,INVENTARIO_COMPLEMENTOS!$E$4:$E$3243,$A44),0),IFERROR(SUMIFS(INVENTARIO_COMPLEMENTOS!$H$4:$H$3243,INVENTARIO_COMPLEMENTOS!$A$4:$A$3243,$C$2,INVENTARIO_COMPLEMENTOS!$B$4:$B$3243,PRECIOS_COMPLEMENTOS!A7,INVENTARIO_COMPLEMENTOS!$C$4:$C$3243,PRECIOS_COMPLEMENTOS!B7,INVENTARIO_COMPLEMENTOS!$E$4:$E$3243,$A44),0)))</f>
        <v>0</v>
      </c>
      <c r="F44" s="45">
        <f>IF(OR(PRECIOS_COMPLEMENTOS!A8="",$A44=""),"",IF($C$2="TODOS",IFERROR(SUMIFS(INVENTARIO_COMPLEMENTOS!$H$4:$H$3243,INVENTARIO_COMPLEMENTOS!$B$4:$B$3243,PRECIOS_COMPLEMENTOS!A8,INVENTARIO_COMPLEMENTOS!$C$4:$C$3243,PRECIOS_COMPLEMENTOS!B8,INVENTARIO_COMPLEMENTOS!$E$4:$E$3243,$A44),0),IFERROR(SUMIFS(INVENTARIO_COMPLEMENTOS!$H$4:$H$3243,INVENTARIO_COMPLEMENTOS!$A$4:$A$3243,$C$2,INVENTARIO_COMPLEMENTOS!$B$4:$B$3243,PRECIOS_COMPLEMENTOS!A8,INVENTARIO_COMPLEMENTOS!$C$4:$C$3243,PRECIOS_COMPLEMENTOS!B8,INVENTARIO_COMPLEMENTOS!$E$4:$E$3243,$A44),0)))</f>
        <v>0</v>
      </c>
      <c r="G44" s="45">
        <f>IF(OR(PRECIOS_COMPLEMENTOS!A9="",$A44=""),"",IF($C$2="TODOS",IFERROR(SUMIFS(INVENTARIO_COMPLEMENTOS!$H$4:$H$3243,INVENTARIO_COMPLEMENTOS!$B$4:$B$3243,PRECIOS_COMPLEMENTOS!A9,INVENTARIO_COMPLEMENTOS!$C$4:$C$3243,PRECIOS_COMPLEMENTOS!B9,INVENTARIO_COMPLEMENTOS!$E$4:$E$3243,$A44),0),IFERROR(SUMIFS(INVENTARIO_COMPLEMENTOS!$H$4:$H$3243,INVENTARIO_COMPLEMENTOS!$A$4:$A$3243,$C$2,INVENTARIO_COMPLEMENTOS!$B$4:$B$3243,PRECIOS_COMPLEMENTOS!A9,INVENTARIO_COMPLEMENTOS!$C$4:$C$3243,PRECIOS_COMPLEMENTOS!B9,INVENTARIO_COMPLEMENTOS!$E$4:$E$3243,$A44),0)))</f>
        <v>0</v>
      </c>
      <c r="H44" s="45">
        <f>IF(OR(PRECIOS_COMPLEMENTOS!A10="",$A44=""),"",IF($C$2="TODOS",IFERROR(SUMIFS(INVENTARIO_COMPLEMENTOS!$H$4:$H$3243,INVENTARIO_COMPLEMENTOS!$B$4:$B$3243,PRECIOS_COMPLEMENTOS!A10,INVENTARIO_COMPLEMENTOS!$C$4:$C$3243,PRECIOS_COMPLEMENTOS!B10,INVENTARIO_COMPLEMENTOS!$E$4:$E$3243,$A44),0),IFERROR(SUMIFS(INVENTARIO_COMPLEMENTOS!$H$4:$H$3243,INVENTARIO_COMPLEMENTOS!$A$4:$A$3243,$C$2,INVENTARIO_COMPLEMENTOS!$B$4:$B$3243,PRECIOS_COMPLEMENTOS!A10,INVENTARIO_COMPLEMENTOS!$C$4:$C$3243,PRECIOS_COMPLEMENTOS!B10,INVENTARIO_COMPLEMENTOS!$E$4:$E$3243,$A44),0)))</f>
        <v>0</v>
      </c>
      <c r="I44" s="45" t="str">
        <f>IF(OR(PRECIOS_COMPLEMENTOS!A11="",$A44=""),"",IF($C$2="TODOS",IFERROR(SUMIFS(INVENTARIO_COMPLEMENTOS!$H$4:$H$3243,INVENTARIO_COMPLEMENTOS!$B$4:$B$3243,PRECIOS_COMPLEMENTOS!A11,INVENTARIO_COMPLEMENTOS!$C$4:$C$3243,PRECIOS_COMPLEMENTOS!B11,INVENTARIO_COMPLEMENTOS!$E$4:$E$3243,$A44),0),IFERROR(SUMIFS(INVENTARIO_COMPLEMENTOS!$H$4:$H$3243,INVENTARIO_COMPLEMENTOS!$A$4:$A$3243,$C$2,INVENTARIO_COMPLEMENTOS!$B$4:$B$3243,PRECIOS_COMPLEMENTOS!A11,INVENTARIO_COMPLEMENTOS!$C$4:$C$3243,PRECIOS_COMPLEMENTOS!B11,INVENTARIO_COMPLEMENTOS!$E$4:$E$3243,$A44),0)))</f>
        <v/>
      </c>
      <c r="J44" s="45" t="str">
        <f>IF(OR(PRECIOS_COMPLEMENTOS!A12="",$A44=""),"",IF($C$2="TODOS",IFERROR(SUMIFS(INVENTARIO_COMPLEMENTOS!$H$4:$H$3243,INVENTARIO_COMPLEMENTOS!$B$4:$B$3243,PRECIOS_COMPLEMENTOS!A12,INVENTARIO_COMPLEMENTOS!$C$4:$C$3243,PRECIOS_COMPLEMENTOS!B12,INVENTARIO_COMPLEMENTOS!$E$4:$E$3243,$A44),0),IFERROR(SUMIFS(INVENTARIO_COMPLEMENTOS!$H$4:$H$3243,INVENTARIO_COMPLEMENTOS!$A$4:$A$3243,$C$2,INVENTARIO_COMPLEMENTOS!$B$4:$B$3243,PRECIOS_COMPLEMENTOS!A12,INVENTARIO_COMPLEMENTOS!$C$4:$C$3243,PRECIOS_COMPLEMENTOS!B12,INVENTARIO_COMPLEMENTOS!$E$4:$E$3243,$A44),0)))</f>
        <v/>
      </c>
      <c r="K44" s="45" t="str">
        <f>IF(OR(PRECIOS_COMPLEMENTOS!A13="",$A44=""),"",IF($C$2="TODOS",IFERROR(SUMIFS(INVENTARIO_COMPLEMENTOS!$H$4:$H$3243,INVENTARIO_COMPLEMENTOS!$B$4:$B$3243,PRECIOS_COMPLEMENTOS!A13,INVENTARIO_COMPLEMENTOS!$C$4:$C$3243,PRECIOS_COMPLEMENTOS!B13,INVENTARIO_COMPLEMENTOS!$E$4:$E$3243,$A44),0),IFERROR(SUMIFS(INVENTARIO_COMPLEMENTOS!$H$4:$H$3243,INVENTARIO_COMPLEMENTOS!$A$4:$A$3243,$C$2,INVENTARIO_COMPLEMENTOS!$B$4:$B$3243,PRECIOS_COMPLEMENTOS!A13,INVENTARIO_COMPLEMENTOS!$C$4:$C$3243,PRECIOS_COMPLEMENTOS!B13,INVENTARIO_COMPLEMENTOS!$E$4:$E$3243,$A44),0)))</f>
        <v/>
      </c>
      <c r="L44" s="45" t="str">
        <f>IF(OR(PRECIOS_COMPLEMENTOS!A14="",$A44=""),"",IF($C$2="TODOS",IFERROR(SUMIFS(INVENTARIO_COMPLEMENTOS!$H$4:$H$3243,INVENTARIO_COMPLEMENTOS!$B$4:$B$3243,PRECIOS_COMPLEMENTOS!A14,INVENTARIO_COMPLEMENTOS!$C$4:$C$3243,PRECIOS_COMPLEMENTOS!B14,INVENTARIO_COMPLEMENTOS!$E$4:$E$3243,$A44),0),IFERROR(SUMIFS(INVENTARIO_COMPLEMENTOS!$H$4:$H$3243,INVENTARIO_COMPLEMENTOS!$A$4:$A$3243,$C$2,INVENTARIO_COMPLEMENTOS!$B$4:$B$3243,PRECIOS_COMPLEMENTOS!A14,INVENTARIO_COMPLEMENTOS!$C$4:$C$3243,PRECIOS_COMPLEMENTOS!B14,INVENTARIO_COMPLEMENTOS!$E$4:$E$3243,$A44),0)))</f>
        <v/>
      </c>
      <c r="M44" s="45" t="str">
        <f>IF(OR(PRECIOS_COMPLEMENTOS!A15="",$A44=""),"",IF($C$2="TODOS",IFERROR(SUMIFS(INVENTARIO_COMPLEMENTOS!$H$4:$H$3243,INVENTARIO_COMPLEMENTOS!$B$4:$B$3243,PRECIOS_COMPLEMENTOS!A15,INVENTARIO_COMPLEMENTOS!$C$4:$C$3243,PRECIOS_COMPLEMENTOS!B15,INVENTARIO_COMPLEMENTOS!$E$4:$E$3243,$A44),0),IFERROR(SUMIFS(INVENTARIO_COMPLEMENTOS!$H$4:$H$3243,INVENTARIO_COMPLEMENTOS!$A$4:$A$3243,$C$2,INVENTARIO_COMPLEMENTOS!$B$4:$B$3243,PRECIOS_COMPLEMENTOS!A15,INVENTARIO_COMPLEMENTOS!$C$4:$C$3243,PRECIOS_COMPLEMENTOS!B15,INVENTARIO_COMPLEMENTOS!$E$4:$E$3243,$A44),0)))</f>
        <v/>
      </c>
      <c r="N44" s="45" t="str">
        <f>IF(OR(PRECIOS_COMPLEMENTOS!A16="",$A44=""),"",IF($C$2="TODOS",IFERROR(SUMIFS(INVENTARIO_COMPLEMENTOS!$H$4:$H$3243,INVENTARIO_COMPLEMENTOS!$B$4:$B$3243,PRECIOS_COMPLEMENTOS!A16,INVENTARIO_COMPLEMENTOS!$C$4:$C$3243,PRECIOS_COMPLEMENTOS!B16,INVENTARIO_COMPLEMENTOS!$E$4:$E$3243,$A44),0),IFERROR(SUMIFS(INVENTARIO_COMPLEMENTOS!$H$4:$H$3243,INVENTARIO_COMPLEMENTOS!$A$4:$A$3243,$C$2,INVENTARIO_COMPLEMENTOS!$B$4:$B$3243,PRECIOS_COMPLEMENTOS!A16,INVENTARIO_COMPLEMENTOS!$C$4:$C$3243,PRECIOS_COMPLEMENTOS!B16,INVENTARIO_COMPLEMENTOS!$E$4:$E$3243,$A44),0)))</f>
        <v/>
      </c>
      <c r="O44" s="45" t="str">
        <f>IF(OR(PRECIOS_COMPLEMENTOS!A17="",$A44=""),"",IF($C$2="TODOS",IFERROR(SUMIFS(INVENTARIO_COMPLEMENTOS!$H$4:$H$3243,INVENTARIO_COMPLEMENTOS!$B$4:$B$3243,PRECIOS_COMPLEMENTOS!A17,INVENTARIO_COMPLEMENTOS!$C$4:$C$3243,PRECIOS_COMPLEMENTOS!B17,INVENTARIO_COMPLEMENTOS!$E$4:$E$3243,$A44),0),IFERROR(SUMIFS(INVENTARIO_COMPLEMENTOS!$H$4:$H$3243,INVENTARIO_COMPLEMENTOS!$A$4:$A$3243,$C$2,INVENTARIO_COMPLEMENTOS!$B$4:$B$3243,PRECIOS_COMPLEMENTOS!A17,INVENTARIO_COMPLEMENTOS!$C$4:$C$3243,PRECIOS_COMPLEMENTOS!B17,INVENTARIO_COMPLEMENTOS!$E$4:$E$3243,$A44),0)))</f>
        <v/>
      </c>
      <c r="P44" s="46">
        <f t="shared" si="3"/>
        <v>0</v>
      </c>
      <c r="Q44" s="47">
        <f>IF($A44="","",IF($C$2="TODOS",IFERROR(SUMIFS(INVENTARIO_COMPLEMENTOS!$J$4:$J$3243,INVENTARIO_COMPLEMENTOS!$E$4:$E$3243,$A44),0),IFERROR(SUMIFS(INVENTARIO_COMPLEMENTOS!$J$4:$J$3243,INVENTARIO_COMPLEMENTOS!$A$4:$A$3243,$C$2,INVENTARIO_COMPLEMENTOS!$E$4:$E$3243,$A44),0)))</f>
        <v>0</v>
      </c>
    </row>
    <row r="45" ht="15.0" customHeight="1">
      <c r="A45" s="44" t="str">
        <f>IFERROR(IF(COLORES!A9="","",COLORES!A9),"")</f>
        <v>Melange</v>
      </c>
      <c r="B45" s="45">
        <f>IF(OR(PRECIOS_COMPLEMENTOS!A4="",$A45=""),"",IF($C$2="TODOS",IFERROR(SUMIFS(INVENTARIO_COMPLEMENTOS!$H$4:$H$3243,INVENTARIO_COMPLEMENTOS!$B$4:$B$3243,PRECIOS_COMPLEMENTOS!A4,INVENTARIO_COMPLEMENTOS!$C$4:$C$3243,PRECIOS_COMPLEMENTOS!B4,INVENTARIO_COMPLEMENTOS!$E$4:$E$3243,$A45),0),IFERROR(SUMIFS(INVENTARIO_COMPLEMENTOS!$H$4:$H$3243,INVENTARIO_COMPLEMENTOS!$A$4:$A$3243,$C$2,INVENTARIO_COMPLEMENTOS!$B$4:$B$3243,PRECIOS_COMPLEMENTOS!A4,INVENTARIO_COMPLEMENTOS!$C$4:$C$3243,PRECIOS_COMPLEMENTOS!B4,INVENTARIO_COMPLEMENTOS!$E$4:$E$3243,$A45),0)))</f>
        <v>0</v>
      </c>
      <c r="C45" s="45">
        <f>IF(OR(PRECIOS_COMPLEMENTOS!A5="",$A45=""),"",IF($C$2="TODOS",IFERROR(SUMIFS(INVENTARIO_COMPLEMENTOS!$H$4:$H$3243,INVENTARIO_COMPLEMENTOS!$B$4:$B$3243,PRECIOS_COMPLEMENTOS!A5,INVENTARIO_COMPLEMENTOS!$C$4:$C$3243,PRECIOS_COMPLEMENTOS!B5,INVENTARIO_COMPLEMENTOS!$E$4:$E$3243,$A45),0),IFERROR(SUMIFS(INVENTARIO_COMPLEMENTOS!$H$4:$H$3243,INVENTARIO_COMPLEMENTOS!$A$4:$A$3243,$C$2,INVENTARIO_COMPLEMENTOS!$B$4:$B$3243,PRECIOS_COMPLEMENTOS!A5,INVENTARIO_COMPLEMENTOS!$C$4:$C$3243,PRECIOS_COMPLEMENTOS!B5,INVENTARIO_COMPLEMENTOS!$E$4:$E$3243,$A45),0)))</f>
        <v>0</v>
      </c>
      <c r="D45" s="45">
        <f>IF(OR(PRECIOS_COMPLEMENTOS!A6="",$A45=""),"",IF($C$2="TODOS",IFERROR(SUMIFS(INVENTARIO_COMPLEMENTOS!$H$4:$H$3243,INVENTARIO_COMPLEMENTOS!$B$4:$B$3243,PRECIOS_COMPLEMENTOS!A6,INVENTARIO_COMPLEMENTOS!$C$4:$C$3243,PRECIOS_COMPLEMENTOS!B6,INVENTARIO_COMPLEMENTOS!$E$4:$E$3243,$A45),0),IFERROR(SUMIFS(INVENTARIO_COMPLEMENTOS!$H$4:$H$3243,INVENTARIO_COMPLEMENTOS!$A$4:$A$3243,$C$2,INVENTARIO_COMPLEMENTOS!$B$4:$B$3243,PRECIOS_COMPLEMENTOS!A6,INVENTARIO_COMPLEMENTOS!$C$4:$C$3243,PRECIOS_COMPLEMENTOS!B6,INVENTARIO_COMPLEMENTOS!$E$4:$E$3243,$A45),0)))</f>
        <v>0</v>
      </c>
      <c r="E45" s="45">
        <f>IF(OR(PRECIOS_COMPLEMENTOS!A7="",$A45=""),"",IF($C$2="TODOS",IFERROR(SUMIFS(INVENTARIO_COMPLEMENTOS!$H$4:$H$3243,INVENTARIO_COMPLEMENTOS!$B$4:$B$3243,PRECIOS_COMPLEMENTOS!A7,INVENTARIO_COMPLEMENTOS!$C$4:$C$3243,PRECIOS_COMPLEMENTOS!B7,INVENTARIO_COMPLEMENTOS!$E$4:$E$3243,$A45),0),IFERROR(SUMIFS(INVENTARIO_COMPLEMENTOS!$H$4:$H$3243,INVENTARIO_COMPLEMENTOS!$A$4:$A$3243,$C$2,INVENTARIO_COMPLEMENTOS!$B$4:$B$3243,PRECIOS_COMPLEMENTOS!A7,INVENTARIO_COMPLEMENTOS!$C$4:$C$3243,PRECIOS_COMPLEMENTOS!B7,INVENTARIO_COMPLEMENTOS!$E$4:$E$3243,$A45),0)))</f>
        <v>0</v>
      </c>
      <c r="F45" s="45">
        <f>IF(OR(PRECIOS_COMPLEMENTOS!A8="",$A45=""),"",IF($C$2="TODOS",IFERROR(SUMIFS(INVENTARIO_COMPLEMENTOS!$H$4:$H$3243,INVENTARIO_COMPLEMENTOS!$B$4:$B$3243,PRECIOS_COMPLEMENTOS!A8,INVENTARIO_COMPLEMENTOS!$C$4:$C$3243,PRECIOS_COMPLEMENTOS!B8,INVENTARIO_COMPLEMENTOS!$E$4:$E$3243,$A45),0),IFERROR(SUMIFS(INVENTARIO_COMPLEMENTOS!$H$4:$H$3243,INVENTARIO_COMPLEMENTOS!$A$4:$A$3243,$C$2,INVENTARIO_COMPLEMENTOS!$B$4:$B$3243,PRECIOS_COMPLEMENTOS!A8,INVENTARIO_COMPLEMENTOS!$C$4:$C$3243,PRECIOS_COMPLEMENTOS!B8,INVENTARIO_COMPLEMENTOS!$E$4:$E$3243,$A45),0)))</f>
        <v>0</v>
      </c>
      <c r="G45" s="45">
        <f>IF(OR(PRECIOS_COMPLEMENTOS!A9="",$A45=""),"",IF($C$2="TODOS",IFERROR(SUMIFS(INVENTARIO_COMPLEMENTOS!$H$4:$H$3243,INVENTARIO_COMPLEMENTOS!$B$4:$B$3243,PRECIOS_COMPLEMENTOS!A9,INVENTARIO_COMPLEMENTOS!$C$4:$C$3243,PRECIOS_COMPLEMENTOS!B9,INVENTARIO_COMPLEMENTOS!$E$4:$E$3243,$A45),0),IFERROR(SUMIFS(INVENTARIO_COMPLEMENTOS!$H$4:$H$3243,INVENTARIO_COMPLEMENTOS!$A$4:$A$3243,$C$2,INVENTARIO_COMPLEMENTOS!$B$4:$B$3243,PRECIOS_COMPLEMENTOS!A9,INVENTARIO_COMPLEMENTOS!$C$4:$C$3243,PRECIOS_COMPLEMENTOS!B9,INVENTARIO_COMPLEMENTOS!$E$4:$E$3243,$A45),0)))</f>
        <v>0</v>
      </c>
      <c r="H45" s="45">
        <f>IF(OR(PRECIOS_COMPLEMENTOS!A10="",$A45=""),"",IF($C$2="TODOS",IFERROR(SUMIFS(INVENTARIO_COMPLEMENTOS!$H$4:$H$3243,INVENTARIO_COMPLEMENTOS!$B$4:$B$3243,PRECIOS_COMPLEMENTOS!A10,INVENTARIO_COMPLEMENTOS!$C$4:$C$3243,PRECIOS_COMPLEMENTOS!B10,INVENTARIO_COMPLEMENTOS!$E$4:$E$3243,$A45),0),IFERROR(SUMIFS(INVENTARIO_COMPLEMENTOS!$H$4:$H$3243,INVENTARIO_COMPLEMENTOS!$A$4:$A$3243,$C$2,INVENTARIO_COMPLEMENTOS!$B$4:$B$3243,PRECIOS_COMPLEMENTOS!A10,INVENTARIO_COMPLEMENTOS!$C$4:$C$3243,PRECIOS_COMPLEMENTOS!B10,INVENTARIO_COMPLEMENTOS!$E$4:$E$3243,$A45),0)))</f>
        <v>0</v>
      </c>
      <c r="I45" s="45" t="str">
        <f>IF(OR(PRECIOS_COMPLEMENTOS!A11="",$A45=""),"",IF($C$2="TODOS",IFERROR(SUMIFS(INVENTARIO_COMPLEMENTOS!$H$4:$H$3243,INVENTARIO_COMPLEMENTOS!$B$4:$B$3243,PRECIOS_COMPLEMENTOS!A11,INVENTARIO_COMPLEMENTOS!$C$4:$C$3243,PRECIOS_COMPLEMENTOS!B11,INVENTARIO_COMPLEMENTOS!$E$4:$E$3243,$A45),0),IFERROR(SUMIFS(INVENTARIO_COMPLEMENTOS!$H$4:$H$3243,INVENTARIO_COMPLEMENTOS!$A$4:$A$3243,$C$2,INVENTARIO_COMPLEMENTOS!$B$4:$B$3243,PRECIOS_COMPLEMENTOS!A11,INVENTARIO_COMPLEMENTOS!$C$4:$C$3243,PRECIOS_COMPLEMENTOS!B11,INVENTARIO_COMPLEMENTOS!$E$4:$E$3243,$A45),0)))</f>
        <v/>
      </c>
      <c r="J45" s="45" t="str">
        <f>IF(OR(PRECIOS_COMPLEMENTOS!A12="",$A45=""),"",IF($C$2="TODOS",IFERROR(SUMIFS(INVENTARIO_COMPLEMENTOS!$H$4:$H$3243,INVENTARIO_COMPLEMENTOS!$B$4:$B$3243,PRECIOS_COMPLEMENTOS!A12,INVENTARIO_COMPLEMENTOS!$C$4:$C$3243,PRECIOS_COMPLEMENTOS!B12,INVENTARIO_COMPLEMENTOS!$E$4:$E$3243,$A45),0),IFERROR(SUMIFS(INVENTARIO_COMPLEMENTOS!$H$4:$H$3243,INVENTARIO_COMPLEMENTOS!$A$4:$A$3243,$C$2,INVENTARIO_COMPLEMENTOS!$B$4:$B$3243,PRECIOS_COMPLEMENTOS!A12,INVENTARIO_COMPLEMENTOS!$C$4:$C$3243,PRECIOS_COMPLEMENTOS!B12,INVENTARIO_COMPLEMENTOS!$E$4:$E$3243,$A45),0)))</f>
        <v/>
      </c>
      <c r="K45" s="45" t="str">
        <f>IF(OR(PRECIOS_COMPLEMENTOS!A13="",$A45=""),"",IF($C$2="TODOS",IFERROR(SUMIFS(INVENTARIO_COMPLEMENTOS!$H$4:$H$3243,INVENTARIO_COMPLEMENTOS!$B$4:$B$3243,PRECIOS_COMPLEMENTOS!A13,INVENTARIO_COMPLEMENTOS!$C$4:$C$3243,PRECIOS_COMPLEMENTOS!B13,INVENTARIO_COMPLEMENTOS!$E$4:$E$3243,$A45),0),IFERROR(SUMIFS(INVENTARIO_COMPLEMENTOS!$H$4:$H$3243,INVENTARIO_COMPLEMENTOS!$A$4:$A$3243,$C$2,INVENTARIO_COMPLEMENTOS!$B$4:$B$3243,PRECIOS_COMPLEMENTOS!A13,INVENTARIO_COMPLEMENTOS!$C$4:$C$3243,PRECIOS_COMPLEMENTOS!B13,INVENTARIO_COMPLEMENTOS!$E$4:$E$3243,$A45),0)))</f>
        <v/>
      </c>
      <c r="L45" s="45" t="str">
        <f>IF(OR(PRECIOS_COMPLEMENTOS!A14="",$A45=""),"",IF($C$2="TODOS",IFERROR(SUMIFS(INVENTARIO_COMPLEMENTOS!$H$4:$H$3243,INVENTARIO_COMPLEMENTOS!$B$4:$B$3243,PRECIOS_COMPLEMENTOS!A14,INVENTARIO_COMPLEMENTOS!$C$4:$C$3243,PRECIOS_COMPLEMENTOS!B14,INVENTARIO_COMPLEMENTOS!$E$4:$E$3243,$A45),0),IFERROR(SUMIFS(INVENTARIO_COMPLEMENTOS!$H$4:$H$3243,INVENTARIO_COMPLEMENTOS!$A$4:$A$3243,$C$2,INVENTARIO_COMPLEMENTOS!$B$4:$B$3243,PRECIOS_COMPLEMENTOS!A14,INVENTARIO_COMPLEMENTOS!$C$4:$C$3243,PRECIOS_COMPLEMENTOS!B14,INVENTARIO_COMPLEMENTOS!$E$4:$E$3243,$A45),0)))</f>
        <v/>
      </c>
      <c r="M45" s="45" t="str">
        <f>IF(OR(PRECIOS_COMPLEMENTOS!A15="",$A45=""),"",IF($C$2="TODOS",IFERROR(SUMIFS(INVENTARIO_COMPLEMENTOS!$H$4:$H$3243,INVENTARIO_COMPLEMENTOS!$B$4:$B$3243,PRECIOS_COMPLEMENTOS!A15,INVENTARIO_COMPLEMENTOS!$C$4:$C$3243,PRECIOS_COMPLEMENTOS!B15,INVENTARIO_COMPLEMENTOS!$E$4:$E$3243,$A45),0),IFERROR(SUMIFS(INVENTARIO_COMPLEMENTOS!$H$4:$H$3243,INVENTARIO_COMPLEMENTOS!$A$4:$A$3243,$C$2,INVENTARIO_COMPLEMENTOS!$B$4:$B$3243,PRECIOS_COMPLEMENTOS!A15,INVENTARIO_COMPLEMENTOS!$C$4:$C$3243,PRECIOS_COMPLEMENTOS!B15,INVENTARIO_COMPLEMENTOS!$E$4:$E$3243,$A45),0)))</f>
        <v/>
      </c>
      <c r="N45" s="45" t="str">
        <f>IF(OR(PRECIOS_COMPLEMENTOS!A16="",$A45=""),"",IF($C$2="TODOS",IFERROR(SUMIFS(INVENTARIO_COMPLEMENTOS!$H$4:$H$3243,INVENTARIO_COMPLEMENTOS!$B$4:$B$3243,PRECIOS_COMPLEMENTOS!A16,INVENTARIO_COMPLEMENTOS!$C$4:$C$3243,PRECIOS_COMPLEMENTOS!B16,INVENTARIO_COMPLEMENTOS!$E$4:$E$3243,$A45),0),IFERROR(SUMIFS(INVENTARIO_COMPLEMENTOS!$H$4:$H$3243,INVENTARIO_COMPLEMENTOS!$A$4:$A$3243,$C$2,INVENTARIO_COMPLEMENTOS!$B$4:$B$3243,PRECIOS_COMPLEMENTOS!A16,INVENTARIO_COMPLEMENTOS!$C$4:$C$3243,PRECIOS_COMPLEMENTOS!B16,INVENTARIO_COMPLEMENTOS!$E$4:$E$3243,$A45),0)))</f>
        <v/>
      </c>
      <c r="O45" s="45" t="str">
        <f>IF(OR(PRECIOS_COMPLEMENTOS!A17="",$A45=""),"",IF($C$2="TODOS",IFERROR(SUMIFS(INVENTARIO_COMPLEMENTOS!$H$4:$H$3243,INVENTARIO_COMPLEMENTOS!$B$4:$B$3243,PRECIOS_COMPLEMENTOS!A17,INVENTARIO_COMPLEMENTOS!$C$4:$C$3243,PRECIOS_COMPLEMENTOS!B17,INVENTARIO_COMPLEMENTOS!$E$4:$E$3243,$A45),0),IFERROR(SUMIFS(INVENTARIO_COMPLEMENTOS!$H$4:$H$3243,INVENTARIO_COMPLEMENTOS!$A$4:$A$3243,$C$2,INVENTARIO_COMPLEMENTOS!$B$4:$B$3243,PRECIOS_COMPLEMENTOS!A17,INVENTARIO_COMPLEMENTOS!$C$4:$C$3243,PRECIOS_COMPLEMENTOS!B17,INVENTARIO_COMPLEMENTOS!$E$4:$E$3243,$A45),0)))</f>
        <v/>
      </c>
      <c r="P45" s="46">
        <f t="shared" si="3"/>
        <v>0</v>
      </c>
      <c r="Q45" s="47">
        <f>IF($A45="","",IF($C$2="TODOS",IFERROR(SUMIFS(INVENTARIO_COMPLEMENTOS!$J$4:$J$3243,INVENTARIO_COMPLEMENTOS!$E$4:$E$3243,$A45),0),IFERROR(SUMIFS(INVENTARIO_COMPLEMENTOS!$J$4:$J$3243,INVENTARIO_COMPLEMENTOS!$A$4:$A$3243,$C$2,INVENTARIO_COMPLEMENTOS!$E$4:$E$3243,$A45),0)))</f>
        <v>0</v>
      </c>
    </row>
    <row r="46" ht="15.0" customHeight="1">
      <c r="A46" s="44" t="str">
        <f>IFERROR(IF(COLORES!A10="","",COLORES!A10),"")</f>
        <v>Botella</v>
      </c>
      <c r="B46" s="45">
        <f>IF(OR(PRECIOS_COMPLEMENTOS!A4="",$A46=""),"",IF($C$2="TODOS",IFERROR(SUMIFS(INVENTARIO_COMPLEMENTOS!$H$4:$H$3243,INVENTARIO_COMPLEMENTOS!$B$4:$B$3243,PRECIOS_COMPLEMENTOS!A4,INVENTARIO_COMPLEMENTOS!$C$4:$C$3243,PRECIOS_COMPLEMENTOS!B4,INVENTARIO_COMPLEMENTOS!$E$4:$E$3243,$A46),0),IFERROR(SUMIFS(INVENTARIO_COMPLEMENTOS!$H$4:$H$3243,INVENTARIO_COMPLEMENTOS!$A$4:$A$3243,$C$2,INVENTARIO_COMPLEMENTOS!$B$4:$B$3243,PRECIOS_COMPLEMENTOS!A4,INVENTARIO_COMPLEMENTOS!$C$4:$C$3243,PRECIOS_COMPLEMENTOS!B4,INVENTARIO_COMPLEMENTOS!$E$4:$E$3243,$A46),0)))</f>
        <v>0</v>
      </c>
      <c r="C46" s="45">
        <f>IF(OR(PRECIOS_COMPLEMENTOS!A5="",$A46=""),"",IF($C$2="TODOS",IFERROR(SUMIFS(INVENTARIO_COMPLEMENTOS!$H$4:$H$3243,INVENTARIO_COMPLEMENTOS!$B$4:$B$3243,PRECIOS_COMPLEMENTOS!A5,INVENTARIO_COMPLEMENTOS!$C$4:$C$3243,PRECIOS_COMPLEMENTOS!B5,INVENTARIO_COMPLEMENTOS!$E$4:$E$3243,$A46),0),IFERROR(SUMIFS(INVENTARIO_COMPLEMENTOS!$H$4:$H$3243,INVENTARIO_COMPLEMENTOS!$A$4:$A$3243,$C$2,INVENTARIO_COMPLEMENTOS!$B$4:$B$3243,PRECIOS_COMPLEMENTOS!A5,INVENTARIO_COMPLEMENTOS!$C$4:$C$3243,PRECIOS_COMPLEMENTOS!B5,INVENTARIO_COMPLEMENTOS!$E$4:$E$3243,$A46),0)))</f>
        <v>0</v>
      </c>
      <c r="D46" s="45">
        <f>IF(OR(PRECIOS_COMPLEMENTOS!A6="",$A46=""),"",IF($C$2="TODOS",IFERROR(SUMIFS(INVENTARIO_COMPLEMENTOS!$H$4:$H$3243,INVENTARIO_COMPLEMENTOS!$B$4:$B$3243,PRECIOS_COMPLEMENTOS!A6,INVENTARIO_COMPLEMENTOS!$C$4:$C$3243,PRECIOS_COMPLEMENTOS!B6,INVENTARIO_COMPLEMENTOS!$E$4:$E$3243,$A46),0),IFERROR(SUMIFS(INVENTARIO_COMPLEMENTOS!$H$4:$H$3243,INVENTARIO_COMPLEMENTOS!$A$4:$A$3243,$C$2,INVENTARIO_COMPLEMENTOS!$B$4:$B$3243,PRECIOS_COMPLEMENTOS!A6,INVENTARIO_COMPLEMENTOS!$C$4:$C$3243,PRECIOS_COMPLEMENTOS!B6,INVENTARIO_COMPLEMENTOS!$E$4:$E$3243,$A46),0)))</f>
        <v>0</v>
      </c>
      <c r="E46" s="45">
        <f>IF(OR(PRECIOS_COMPLEMENTOS!A7="",$A46=""),"",IF($C$2="TODOS",IFERROR(SUMIFS(INVENTARIO_COMPLEMENTOS!$H$4:$H$3243,INVENTARIO_COMPLEMENTOS!$B$4:$B$3243,PRECIOS_COMPLEMENTOS!A7,INVENTARIO_COMPLEMENTOS!$C$4:$C$3243,PRECIOS_COMPLEMENTOS!B7,INVENTARIO_COMPLEMENTOS!$E$4:$E$3243,$A46),0),IFERROR(SUMIFS(INVENTARIO_COMPLEMENTOS!$H$4:$H$3243,INVENTARIO_COMPLEMENTOS!$A$4:$A$3243,$C$2,INVENTARIO_COMPLEMENTOS!$B$4:$B$3243,PRECIOS_COMPLEMENTOS!A7,INVENTARIO_COMPLEMENTOS!$C$4:$C$3243,PRECIOS_COMPLEMENTOS!B7,INVENTARIO_COMPLEMENTOS!$E$4:$E$3243,$A46),0)))</f>
        <v>0</v>
      </c>
      <c r="F46" s="45">
        <f>IF(OR(PRECIOS_COMPLEMENTOS!A8="",$A46=""),"",IF($C$2="TODOS",IFERROR(SUMIFS(INVENTARIO_COMPLEMENTOS!$H$4:$H$3243,INVENTARIO_COMPLEMENTOS!$B$4:$B$3243,PRECIOS_COMPLEMENTOS!A8,INVENTARIO_COMPLEMENTOS!$C$4:$C$3243,PRECIOS_COMPLEMENTOS!B8,INVENTARIO_COMPLEMENTOS!$E$4:$E$3243,$A46),0),IFERROR(SUMIFS(INVENTARIO_COMPLEMENTOS!$H$4:$H$3243,INVENTARIO_COMPLEMENTOS!$A$4:$A$3243,$C$2,INVENTARIO_COMPLEMENTOS!$B$4:$B$3243,PRECIOS_COMPLEMENTOS!A8,INVENTARIO_COMPLEMENTOS!$C$4:$C$3243,PRECIOS_COMPLEMENTOS!B8,INVENTARIO_COMPLEMENTOS!$E$4:$E$3243,$A46),0)))</f>
        <v>0</v>
      </c>
      <c r="G46" s="45">
        <f>IF(OR(PRECIOS_COMPLEMENTOS!A9="",$A46=""),"",IF($C$2="TODOS",IFERROR(SUMIFS(INVENTARIO_COMPLEMENTOS!$H$4:$H$3243,INVENTARIO_COMPLEMENTOS!$B$4:$B$3243,PRECIOS_COMPLEMENTOS!A9,INVENTARIO_COMPLEMENTOS!$C$4:$C$3243,PRECIOS_COMPLEMENTOS!B9,INVENTARIO_COMPLEMENTOS!$E$4:$E$3243,$A46),0),IFERROR(SUMIFS(INVENTARIO_COMPLEMENTOS!$H$4:$H$3243,INVENTARIO_COMPLEMENTOS!$A$4:$A$3243,$C$2,INVENTARIO_COMPLEMENTOS!$B$4:$B$3243,PRECIOS_COMPLEMENTOS!A9,INVENTARIO_COMPLEMENTOS!$C$4:$C$3243,PRECIOS_COMPLEMENTOS!B9,INVENTARIO_COMPLEMENTOS!$E$4:$E$3243,$A46),0)))</f>
        <v>0</v>
      </c>
      <c r="H46" s="45">
        <f>IF(OR(PRECIOS_COMPLEMENTOS!A10="",$A46=""),"",IF($C$2="TODOS",IFERROR(SUMIFS(INVENTARIO_COMPLEMENTOS!$H$4:$H$3243,INVENTARIO_COMPLEMENTOS!$B$4:$B$3243,PRECIOS_COMPLEMENTOS!A10,INVENTARIO_COMPLEMENTOS!$C$4:$C$3243,PRECIOS_COMPLEMENTOS!B10,INVENTARIO_COMPLEMENTOS!$E$4:$E$3243,$A46),0),IFERROR(SUMIFS(INVENTARIO_COMPLEMENTOS!$H$4:$H$3243,INVENTARIO_COMPLEMENTOS!$A$4:$A$3243,$C$2,INVENTARIO_COMPLEMENTOS!$B$4:$B$3243,PRECIOS_COMPLEMENTOS!A10,INVENTARIO_COMPLEMENTOS!$C$4:$C$3243,PRECIOS_COMPLEMENTOS!B10,INVENTARIO_COMPLEMENTOS!$E$4:$E$3243,$A46),0)))</f>
        <v>0</v>
      </c>
      <c r="I46" s="45" t="str">
        <f>IF(OR(PRECIOS_COMPLEMENTOS!A11="",$A46=""),"",IF($C$2="TODOS",IFERROR(SUMIFS(INVENTARIO_COMPLEMENTOS!$H$4:$H$3243,INVENTARIO_COMPLEMENTOS!$B$4:$B$3243,PRECIOS_COMPLEMENTOS!A11,INVENTARIO_COMPLEMENTOS!$C$4:$C$3243,PRECIOS_COMPLEMENTOS!B11,INVENTARIO_COMPLEMENTOS!$E$4:$E$3243,$A46),0),IFERROR(SUMIFS(INVENTARIO_COMPLEMENTOS!$H$4:$H$3243,INVENTARIO_COMPLEMENTOS!$A$4:$A$3243,$C$2,INVENTARIO_COMPLEMENTOS!$B$4:$B$3243,PRECIOS_COMPLEMENTOS!A11,INVENTARIO_COMPLEMENTOS!$C$4:$C$3243,PRECIOS_COMPLEMENTOS!B11,INVENTARIO_COMPLEMENTOS!$E$4:$E$3243,$A46),0)))</f>
        <v/>
      </c>
      <c r="J46" s="45" t="str">
        <f>IF(OR(PRECIOS_COMPLEMENTOS!A12="",$A46=""),"",IF($C$2="TODOS",IFERROR(SUMIFS(INVENTARIO_COMPLEMENTOS!$H$4:$H$3243,INVENTARIO_COMPLEMENTOS!$B$4:$B$3243,PRECIOS_COMPLEMENTOS!A12,INVENTARIO_COMPLEMENTOS!$C$4:$C$3243,PRECIOS_COMPLEMENTOS!B12,INVENTARIO_COMPLEMENTOS!$E$4:$E$3243,$A46),0),IFERROR(SUMIFS(INVENTARIO_COMPLEMENTOS!$H$4:$H$3243,INVENTARIO_COMPLEMENTOS!$A$4:$A$3243,$C$2,INVENTARIO_COMPLEMENTOS!$B$4:$B$3243,PRECIOS_COMPLEMENTOS!A12,INVENTARIO_COMPLEMENTOS!$C$4:$C$3243,PRECIOS_COMPLEMENTOS!B12,INVENTARIO_COMPLEMENTOS!$E$4:$E$3243,$A46),0)))</f>
        <v/>
      </c>
      <c r="K46" s="45" t="str">
        <f>IF(OR(PRECIOS_COMPLEMENTOS!A13="",$A46=""),"",IF($C$2="TODOS",IFERROR(SUMIFS(INVENTARIO_COMPLEMENTOS!$H$4:$H$3243,INVENTARIO_COMPLEMENTOS!$B$4:$B$3243,PRECIOS_COMPLEMENTOS!A13,INVENTARIO_COMPLEMENTOS!$C$4:$C$3243,PRECIOS_COMPLEMENTOS!B13,INVENTARIO_COMPLEMENTOS!$E$4:$E$3243,$A46),0),IFERROR(SUMIFS(INVENTARIO_COMPLEMENTOS!$H$4:$H$3243,INVENTARIO_COMPLEMENTOS!$A$4:$A$3243,$C$2,INVENTARIO_COMPLEMENTOS!$B$4:$B$3243,PRECIOS_COMPLEMENTOS!A13,INVENTARIO_COMPLEMENTOS!$C$4:$C$3243,PRECIOS_COMPLEMENTOS!B13,INVENTARIO_COMPLEMENTOS!$E$4:$E$3243,$A46),0)))</f>
        <v/>
      </c>
      <c r="L46" s="45" t="str">
        <f>IF(OR(PRECIOS_COMPLEMENTOS!A14="",$A46=""),"",IF($C$2="TODOS",IFERROR(SUMIFS(INVENTARIO_COMPLEMENTOS!$H$4:$H$3243,INVENTARIO_COMPLEMENTOS!$B$4:$B$3243,PRECIOS_COMPLEMENTOS!A14,INVENTARIO_COMPLEMENTOS!$C$4:$C$3243,PRECIOS_COMPLEMENTOS!B14,INVENTARIO_COMPLEMENTOS!$E$4:$E$3243,$A46),0),IFERROR(SUMIFS(INVENTARIO_COMPLEMENTOS!$H$4:$H$3243,INVENTARIO_COMPLEMENTOS!$A$4:$A$3243,$C$2,INVENTARIO_COMPLEMENTOS!$B$4:$B$3243,PRECIOS_COMPLEMENTOS!A14,INVENTARIO_COMPLEMENTOS!$C$4:$C$3243,PRECIOS_COMPLEMENTOS!B14,INVENTARIO_COMPLEMENTOS!$E$4:$E$3243,$A46),0)))</f>
        <v/>
      </c>
      <c r="M46" s="45" t="str">
        <f>IF(OR(PRECIOS_COMPLEMENTOS!A15="",$A46=""),"",IF($C$2="TODOS",IFERROR(SUMIFS(INVENTARIO_COMPLEMENTOS!$H$4:$H$3243,INVENTARIO_COMPLEMENTOS!$B$4:$B$3243,PRECIOS_COMPLEMENTOS!A15,INVENTARIO_COMPLEMENTOS!$C$4:$C$3243,PRECIOS_COMPLEMENTOS!B15,INVENTARIO_COMPLEMENTOS!$E$4:$E$3243,$A46),0),IFERROR(SUMIFS(INVENTARIO_COMPLEMENTOS!$H$4:$H$3243,INVENTARIO_COMPLEMENTOS!$A$4:$A$3243,$C$2,INVENTARIO_COMPLEMENTOS!$B$4:$B$3243,PRECIOS_COMPLEMENTOS!A15,INVENTARIO_COMPLEMENTOS!$C$4:$C$3243,PRECIOS_COMPLEMENTOS!B15,INVENTARIO_COMPLEMENTOS!$E$4:$E$3243,$A46),0)))</f>
        <v/>
      </c>
      <c r="N46" s="45" t="str">
        <f>IF(OR(PRECIOS_COMPLEMENTOS!A16="",$A46=""),"",IF($C$2="TODOS",IFERROR(SUMIFS(INVENTARIO_COMPLEMENTOS!$H$4:$H$3243,INVENTARIO_COMPLEMENTOS!$B$4:$B$3243,PRECIOS_COMPLEMENTOS!A16,INVENTARIO_COMPLEMENTOS!$C$4:$C$3243,PRECIOS_COMPLEMENTOS!B16,INVENTARIO_COMPLEMENTOS!$E$4:$E$3243,$A46),0),IFERROR(SUMIFS(INVENTARIO_COMPLEMENTOS!$H$4:$H$3243,INVENTARIO_COMPLEMENTOS!$A$4:$A$3243,$C$2,INVENTARIO_COMPLEMENTOS!$B$4:$B$3243,PRECIOS_COMPLEMENTOS!A16,INVENTARIO_COMPLEMENTOS!$C$4:$C$3243,PRECIOS_COMPLEMENTOS!B16,INVENTARIO_COMPLEMENTOS!$E$4:$E$3243,$A46),0)))</f>
        <v/>
      </c>
      <c r="O46" s="45" t="str">
        <f>IF(OR(PRECIOS_COMPLEMENTOS!A17="",$A46=""),"",IF($C$2="TODOS",IFERROR(SUMIFS(INVENTARIO_COMPLEMENTOS!$H$4:$H$3243,INVENTARIO_COMPLEMENTOS!$B$4:$B$3243,PRECIOS_COMPLEMENTOS!A17,INVENTARIO_COMPLEMENTOS!$C$4:$C$3243,PRECIOS_COMPLEMENTOS!B17,INVENTARIO_COMPLEMENTOS!$E$4:$E$3243,$A46),0),IFERROR(SUMIFS(INVENTARIO_COMPLEMENTOS!$H$4:$H$3243,INVENTARIO_COMPLEMENTOS!$A$4:$A$3243,$C$2,INVENTARIO_COMPLEMENTOS!$B$4:$B$3243,PRECIOS_COMPLEMENTOS!A17,INVENTARIO_COMPLEMENTOS!$C$4:$C$3243,PRECIOS_COMPLEMENTOS!B17,INVENTARIO_COMPLEMENTOS!$E$4:$E$3243,$A46),0)))</f>
        <v/>
      </c>
      <c r="P46" s="46">
        <f t="shared" si="3"/>
        <v>0</v>
      </c>
      <c r="Q46" s="47">
        <f>IF($A46="","",IF($C$2="TODOS",IFERROR(SUMIFS(INVENTARIO_COMPLEMENTOS!$J$4:$J$3243,INVENTARIO_COMPLEMENTOS!$E$4:$E$3243,$A46),0),IFERROR(SUMIFS(INVENTARIO_COMPLEMENTOS!$J$4:$J$3243,INVENTARIO_COMPLEMENTOS!$A$4:$A$3243,$C$2,INVENTARIO_COMPLEMENTOS!$E$4:$E$3243,$A46),0)))</f>
        <v>0</v>
      </c>
    </row>
    <row r="47" ht="15.0" customHeight="1">
      <c r="A47" s="44" t="str">
        <f>IFERROR(IF(COLORES!A11="","",COLORES!A11),"")</f>
        <v>Pacay</v>
      </c>
      <c r="B47" s="45">
        <f>IF(OR(PRECIOS_COMPLEMENTOS!A4="",$A47=""),"",IF($C$2="TODOS",IFERROR(SUMIFS(INVENTARIO_COMPLEMENTOS!$H$4:$H$3243,INVENTARIO_COMPLEMENTOS!$B$4:$B$3243,PRECIOS_COMPLEMENTOS!A4,INVENTARIO_COMPLEMENTOS!$C$4:$C$3243,PRECIOS_COMPLEMENTOS!B4,INVENTARIO_COMPLEMENTOS!$E$4:$E$3243,$A47),0),IFERROR(SUMIFS(INVENTARIO_COMPLEMENTOS!$H$4:$H$3243,INVENTARIO_COMPLEMENTOS!$A$4:$A$3243,$C$2,INVENTARIO_COMPLEMENTOS!$B$4:$B$3243,PRECIOS_COMPLEMENTOS!A4,INVENTARIO_COMPLEMENTOS!$C$4:$C$3243,PRECIOS_COMPLEMENTOS!B4,INVENTARIO_COMPLEMENTOS!$E$4:$E$3243,$A47),0)))</f>
        <v>0</v>
      </c>
      <c r="C47" s="45">
        <f>IF(OR(PRECIOS_COMPLEMENTOS!A5="",$A47=""),"",IF($C$2="TODOS",IFERROR(SUMIFS(INVENTARIO_COMPLEMENTOS!$H$4:$H$3243,INVENTARIO_COMPLEMENTOS!$B$4:$B$3243,PRECIOS_COMPLEMENTOS!A5,INVENTARIO_COMPLEMENTOS!$C$4:$C$3243,PRECIOS_COMPLEMENTOS!B5,INVENTARIO_COMPLEMENTOS!$E$4:$E$3243,$A47),0),IFERROR(SUMIFS(INVENTARIO_COMPLEMENTOS!$H$4:$H$3243,INVENTARIO_COMPLEMENTOS!$A$4:$A$3243,$C$2,INVENTARIO_COMPLEMENTOS!$B$4:$B$3243,PRECIOS_COMPLEMENTOS!A5,INVENTARIO_COMPLEMENTOS!$C$4:$C$3243,PRECIOS_COMPLEMENTOS!B5,INVENTARIO_COMPLEMENTOS!$E$4:$E$3243,$A47),0)))</f>
        <v>0</v>
      </c>
      <c r="D47" s="45">
        <f>IF(OR(PRECIOS_COMPLEMENTOS!A6="",$A47=""),"",IF($C$2="TODOS",IFERROR(SUMIFS(INVENTARIO_COMPLEMENTOS!$H$4:$H$3243,INVENTARIO_COMPLEMENTOS!$B$4:$B$3243,PRECIOS_COMPLEMENTOS!A6,INVENTARIO_COMPLEMENTOS!$C$4:$C$3243,PRECIOS_COMPLEMENTOS!B6,INVENTARIO_COMPLEMENTOS!$E$4:$E$3243,$A47),0),IFERROR(SUMIFS(INVENTARIO_COMPLEMENTOS!$H$4:$H$3243,INVENTARIO_COMPLEMENTOS!$A$4:$A$3243,$C$2,INVENTARIO_COMPLEMENTOS!$B$4:$B$3243,PRECIOS_COMPLEMENTOS!A6,INVENTARIO_COMPLEMENTOS!$C$4:$C$3243,PRECIOS_COMPLEMENTOS!B6,INVENTARIO_COMPLEMENTOS!$E$4:$E$3243,$A47),0)))</f>
        <v>0</v>
      </c>
      <c r="E47" s="45">
        <f>IF(OR(PRECIOS_COMPLEMENTOS!A7="",$A47=""),"",IF($C$2="TODOS",IFERROR(SUMIFS(INVENTARIO_COMPLEMENTOS!$H$4:$H$3243,INVENTARIO_COMPLEMENTOS!$B$4:$B$3243,PRECIOS_COMPLEMENTOS!A7,INVENTARIO_COMPLEMENTOS!$C$4:$C$3243,PRECIOS_COMPLEMENTOS!B7,INVENTARIO_COMPLEMENTOS!$E$4:$E$3243,$A47),0),IFERROR(SUMIFS(INVENTARIO_COMPLEMENTOS!$H$4:$H$3243,INVENTARIO_COMPLEMENTOS!$A$4:$A$3243,$C$2,INVENTARIO_COMPLEMENTOS!$B$4:$B$3243,PRECIOS_COMPLEMENTOS!A7,INVENTARIO_COMPLEMENTOS!$C$4:$C$3243,PRECIOS_COMPLEMENTOS!B7,INVENTARIO_COMPLEMENTOS!$E$4:$E$3243,$A47),0)))</f>
        <v>0</v>
      </c>
      <c r="F47" s="45">
        <f>IF(OR(PRECIOS_COMPLEMENTOS!A8="",$A47=""),"",IF($C$2="TODOS",IFERROR(SUMIFS(INVENTARIO_COMPLEMENTOS!$H$4:$H$3243,INVENTARIO_COMPLEMENTOS!$B$4:$B$3243,PRECIOS_COMPLEMENTOS!A8,INVENTARIO_COMPLEMENTOS!$C$4:$C$3243,PRECIOS_COMPLEMENTOS!B8,INVENTARIO_COMPLEMENTOS!$E$4:$E$3243,$A47),0),IFERROR(SUMIFS(INVENTARIO_COMPLEMENTOS!$H$4:$H$3243,INVENTARIO_COMPLEMENTOS!$A$4:$A$3243,$C$2,INVENTARIO_COMPLEMENTOS!$B$4:$B$3243,PRECIOS_COMPLEMENTOS!A8,INVENTARIO_COMPLEMENTOS!$C$4:$C$3243,PRECIOS_COMPLEMENTOS!B8,INVENTARIO_COMPLEMENTOS!$E$4:$E$3243,$A47),0)))</f>
        <v>0</v>
      </c>
      <c r="G47" s="45">
        <f>IF(OR(PRECIOS_COMPLEMENTOS!A9="",$A47=""),"",IF($C$2="TODOS",IFERROR(SUMIFS(INVENTARIO_COMPLEMENTOS!$H$4:$H$3243,INVENTARIO_COMPLEMENTOS!$B$4:$B$3243,PRECIOS_COMPLEMENTOS!A9,INVENTARIO_COMPLEMENTOS!$C$4:$C$3243,PRECIOS_COMPLEMENTOS!B9,INVENTARIO_COMPLEMENTOS!$E$4:$E$3243,$A47),0),IFERROR(SUMIFS(INVENTARIO_COMPLEMENTOS!$H$4:$H$3243,INVENTARIO_COMPLEMENTOS!$A$4:$A$3243,$C$2,INVENTARIO_COMPLEMENTOS!$B$4:$B$3243,PRECIOS_COMPLEMENTOS!A9,INVENTARIO_COMPLEMENTOS!$C$4:$C$3243,PRECIOS_COMPLEMENTOS!B9,INVENTARIO_COMPLEMENTOS!$E$4:$E$3243,$A47),0)))</f>
        <v>0</v>
      </c>
      <c r="H47" s="45">
        <f>IF(OR(PRECIOS_COMPLEMENTOS!A10="",$A47=""),"",IF($C$2="TODOS",IFERROR(SUMIFS(INVENTARIO_COMPLEMENTOS!$H$4:$H$3243,INVENTARIO_COMPLEMENTOS!$B$4:$B$3243,PRECIOS_COMPLEMENTOS!A10,INVENTARIO_COMPLEMENTOS!$C$4:$C$3243,PRECIOS_COMPLEMENTOS!B10,INVENTARIO_COMPLEMENTOS!$E$4:$E$3243,$A47),0),IFERROR(SUMIFS(INVENTARIO_COMPLEMENTOS!$H$4:$H$3243,INVENTARIO_COMPLEMENTOS!$A$4:$A$3243,$C$2,INVENTARIO_COMPLEMENTOS!$B$4:$B$3243,PRECIOS_COMPLEMENTOS!A10,INVENTARIO_COMPLEMENTOS!$C$4:$C$3243,PRECIOS_COMPLEMENTOS!B10,INVENTARIO_COMPLEMENTOS!$E$4:$E$3243,$A47),0)))</f>
        <v>0</v>
      </c>
      <c r="I47" s="45" t="str">
        <f>IF(OR(PRECIOS_COMPLEMENTOS!A11="",$A47=""),"",IF($C$2="TODOS",IFERROR(SUMIFS(INVENTARIO_COMPLEMENTOS!$H$4:$H$3243,INVENTARIO_COMPLEMENTOS!$B$4:$B$3243,PRECIOS_COMPLEMENTOS!A11,INVENTARIO_COMPLEMENTOS!$C$4:$C$3243,PRECIOS_COMPLEMENTOS!B11,INVENTARIO_COMPLEMENTOS!$E$4:$E$3243,$A47),0),IFERROR(SUMIFS(INVENTARIO_COMPLEMENTOS!$H$4:$H$3243,INVENTARIO_COMPLEMENTOS!$A$4:$A$3243,$C$2,INVENTARIO_COMPLEMENTOS!$B$4:$B$3243,PRECIOS_COMPLEMENTOS!A11,INVENTARIO_COMPLEMENTOS!$C$4:$C$3243,PRECIOS_COMPLEMENTOS!B11,INVENTARIO_COMPLEMENTOS!$E$4:$E$3243,$A47),0)))</f>
        <v/>
      </c>
      <c r="J47" s="45" t="str">
        <f>IF(OR(PRECIOS_COMPLEMENTOS!A12="",$A47=""),"",IF($C$2="TODOS",IFERROR(SUMIFS(INVENTARIO_COMPLEMENTOS!$H$4:$H$3243,INVENTARIO_COMPLEMENTOS!$B$4:$B$3243,PRECIOS_COMPLEMENTOS!A12,INVENTARIO_COMPLEMENTOS!$C$4:$C$3243,PRECIOS_COMPLEMENTOS!B12,INVENTARIO_COMPLEMENTOS!$E$4:$E$3243,$A47),0),IFERROR(SUMIFS(INVENTARIO_COMPLEMENTOS!$H$4:$H$3243,INVENTARIO_COMPLEMENTOS!$A$4:$A$3243,$C$2,INVENTARIO_COMPLEMENTOS!$B$4:$B$3243,PRECIOS_COMPLEMENTOS!A12,INVENTARIO_COMPLEMENTOS!$C$4:$C$3243,PRECIOS_COMPLEMENTOS!B12,INVENTARIO_COMPLEMENTOS!$E$4:$E$3243,$A47),0)))</f>
        <v/>
      </c>
      <c r="K47" s="45" t="str">
        <f>IF(OR(PRECIOS_COMPLEMENTOS!A13="",$A47=""),"",IF($C$2="TODOS",IFERROR(SUMIFS(INVENTARIO_COMPLEMENTOS!$H$4:$H$3243,INVENTARIO_COMPLEMENTOS!$B$4:$B$3243,PRECIOS_COMPLEMENTOS!A13,INVENTARIO_COMPLEMENTOS!$C$4:$C$3243,PRECIOS_COMPLEMENTOS!B13,INVENTARIO_COMPLEMENTOS!$E$4:$E$3243,$A47),0),IFERROR(SUMIFS(INVENTARIO_COMPLEMENTOS!$H$4:$H$3243,INVENTARIO_COMPLEMENTOS!$A$4:$A$3243,$C$2,INVENTARIO_COMPLEMENTOS!$B$4:$B$3243,PRECIOS_COMPLEMENTOS!A13,INVENTARIO_COMPLEMENTOS!$C$4:$C$3243,PRECIOS_COMPLEMENTOS!B13,INVENTARIO_COMPLEMENTOS!$E$4:$E$3243,$A47),0)))</f>
        <v/>
      </c>
      <c r="L47" s="45" t="str">
        <f>IF(OR(PRECIOS_COMPLEMENTOS!A14="",$A47=""),"",IF($C$2="TODOS",IFERROR(SUMIFS(INVENTARIO_COMPLEMENTOS!$H$4:$H$3243,INVENTARIO_COMPLEMENTOS!$B$4:$B$3243,PRECIOS_COMPLEMENTOS!A14,INVENTARIO_COMPLEMENTOS!$C$4:$C$3243,PRECIOS_COMPLEMENTOS!B14,INVENTARIO_COMPLEMENTOS!$E$4:$E$3243,$A47),0),IFERROR(SUMIFS(INVENTARIO_COMPLEMENTOS!$H$4:$H$3243,INVENTARIO_COMPLEMENTOS!$A$4:$A$3243,$C$2,INVENTARIO_COMPLEMENTOS!$B$4:$B$3243,PRECIOS_COMPLEMENTOS!A14,INVENTARIO_COMPLEMENTOS!$C$4:$C$3243,PRECIOS_COMPLEMENTOS!B14,INVENTARIO_COMPLEMENTOS!$E$4:$E$3243,$A47),0)))</f>
        <v/>
      </c>
      <c r="M47" s="45" t="str">
        <f>IF(OR(PRECIOS_COMPLEMENTOS!A15="",$A47=""),"",IF($C$2="TODOS",IFERROR(SUMIFS(INVENTARIO_COMPLEMENTOS!$H$4:$H$3243,INVENTARIO_COMPLEMENTOS!$B$4:$B$3243,PRECIOS_COMPLEMENTOS!A15,INVENTARIO_COMPLEMENTOS!$C$4:$C$3243,PRECIOS_COMPLEMENTOS!B15,INVENTARIO_COMPLEMENTOS!$E$4:$E$3243,$A47),0),IFERROR(SUMIFS(INVENTARIO_COMPLEMENTOS!$H$4:$H$3243,INVENTARIO_COMPLEMENTOS!$A$4:$A$3243,$C$2,INVENTARIO_COMPLEMENTOS!$B$4:$B$3243,PRECIOS_COMPLEMENTOS!A15,INVENTARIO_COMPLEMENTOS!$C$4:$C$3243,PRECIOS_COMPLEMENTOS!B15,INVENTARIO_COMPLEMENTOS!$E$4:$E$3243,$A47),0)))</f>
        <v/>
      </c>
      <c r="N47" s="45" t="str">
        <f>IF(OR(PRECIOS_COMPLEMENTOS!A16="",$A47=""),"",IF($C$2="TODOS",IFERROR(SUMIFS(INVENTARIO_COMPLEMENTOS!$H$4:$H$3243,INVENTARIO_COMPLEMENTOS!$B$4:$B$3243,PRECIOS_COMPLEMENTOS!A16,INVENTARIO_COMPLEMENTOS!$C$4:$C$3243,PRECIOS_COMPLEMENTOS!B16,INVENTARIO_COMPLEMENTOS!$E$4:$E$3243,$A47),0),IFERROR(SUMIFS(INVENTARIO_COMPLEMENTOS!$H$4:$H$3243,INVENTARIO_COMPLEMENTOS!$A$4:$A$3243,$C$2,INVENTARIO_COMPLEMENTOS!$B$4:$B$3243,PRECIOS_COMPLEMENTOS!A16,INVENTARIO_COMPLEMENTOS!$C$4:$C$3243,PRECIOS_COMPLEMENTOS!B16,INVENTARIO_COMPLEMENTOS!$E$4:$E$3243,$A47),0)))</f>
        <v/>
      </c>
      <c r="O47" s="45" t="str">
        <f>IF(OR(PRECIOS_COMPLEMENTOS!A17="",$A47=""),"",IF($C$2="TODOS",IFERROR(SUMIFS(INVENTARIO_COMPLEMENTOS!$H$4:$H$3243,INVENTARIO_COMPLEMENTOS!$B$4:$B$3243,PRECIOS_COMPLEMENTOS!A17,INVENTARIO_COMPLEMENTOS!$C$4:$C$3243,PRECIOS_COMPLEMENTOS!B17,INVENTARIO_COMPLEMENTOS!$E$4:$E$3243,$A47),0),IFERROR(SUMIFS(INVENTARIO_COMPLEMENTOS!$H$4:$H$3243,INVENTARIO_COMPLEMENTOS!$A$4:$A$3243,$C$2,INVENTARIO_COMPLEMENTOS!$B$4:$B$3243,PRECIOS_COMPLEMENTOS!A17,INVENTARIO_COMPLEMENTOS!$C$4:$C$3243,PRECIOS_COMPLEMENTOS!B17,INVENTARIO_COMPLEMENTOS!$E$4:$E$3243,$A47),0)))</f>
        <v/>
      </c>
      <c r="P47" s="46">
        <f t="shared" si="3"/>
        <v>0</v>
      </c>
      <c r="Q47" s="47">
        <f>IF($A47="","",IF($C$2="TODOS",IFERROR(SUMIFS(INVENTARIO_COMPLEMENTOS!$J$4:$J$3243,INVENTARIO_COMPLEMENTOS!$E$4:$E$3243,$A47),0),IFERROR(SUMIFS(INVENTARIO_COMPLEMENTOS!$J$4:$J$3243,INVENTARIO_COMPLEMENTOS!$A$4:$A$3243,$C$2,INVENTARIO_COMPLEMENTOS!$E$4:$E$3243,$A47),0)))</f>
        <v>0</v>
      </c>
    </row>
    <row r="48" ht="15.0" customHeight="1">
      <c r="A48" s="44" t="str">
        <f>IFERROR(IF(COLORES!A12="","",COLORES!A12),"")</f>
        <v>Cemento</v>
      </c>
      <c r="B48" s="45">
        <f>IF(OR(PRECIOS_COMPLEMENTOS!A4="",$A48=""),"",IF($C$2="TODOS",IFERROR(SUMIFS(INVENTARIO_COMPLEMENTOS!$H$4:$H$3243,INVENTARIO_COMPLEMENTOS!$B$4:$B$3243,PRECIOS_COMPLEMENTOS!A4,INVENTARIO_COMPLEMENTOS!$C$4:$C$3243,PRECIOS_COMPLEMENTOS!B4,INVENTARIO_COMPLEMENTOS!$E$4:$E$3243,$A48),0),IFERROR(SUMIFS(INVENTARIO_COMPLEMENTOS!$H$4:$H$3243,INVENTARIO_COMPLEMENTOS!$A$4:$A$3243,$C$2,INVENTARIO_COMPLEMENTOS!$B$4:$B$3243,PRECIOS_COMPLEMENTOS!A4,INVENTARIO_COMPLEMENTOS!$C$4:$C$3243,PRECIOS_COMPLEMENTOS!B4,INVENTARIO_COMPLEMENTOS!$E$4:$E$3243,$A48),0)))</f>
        <v>0</v>
      </c>
      <c r="C48" s="45">
        <f>IF(OR(PRECIOS_COMPLEMENTOS!A5="",$A48=""),"",IF($C$2="TODOS",IFERROR(SUMIFS(INVENTARIO_COMPLEMENTOS!$H$4:$H$3243,INVENTARIO_COMPLEMENTOS!$B$4:$B$3243,PRECIOS_COMPLEMENTOS!A5,INVENTARIO_COMPLEMENTOS!$C$4:$C$3243,PRECIOS_COMPLEMENTOS!B5,INVENTARIO_COMPLEMENTOS!$E$4:$E$3243,$A48),0),IFERROR(SUMIFS(INVENTARIO_COMPLEMENTOS!$H$4:$H$3243,INVENTARIO_COMPLEMENTOS!$A$4:$A$3243,$C$2,INVENTARIO_COMPLEMENTOS!$B$4:$B$3243,PRECIOS_COMPLEMENTOS!A5,INVENTARIO_COMPLEMENTOS!$C$4:$C$3243,PRECIOS_COMPLEMENTOS!B5,INVENTARIO_COMPLEMENTOS!$E$4:$E$3243,$A48),0)))</f>
        <v>0</v>
      </c>
      <c r="D48" s="45">
        <f>IF(OR(PRECIOS_COMPLEMENTOS!A6="",$A48=""),"",IF($C$2="TODOS",IFERROR(SUMIFS(INVENTARIO_COMPLEMENTOS!$H$4:$H$3243,INVENTARIO_COMPLEMENTOS!$B$4:$B$3243,PRECIOS_COMPLEMENTOS!A6,INVENTARIO_COMPLEMENTOS!$C$4:$C$3243,PRECIOS_COMPLEMENTOS!B6,INVENTARIO_COMPLEMENTOS!$E$4:$E$3243,$A48),0),IFERROR(SUMIFS(INVENTARIO_COMPLEMENTOS!$H$4:$H$3243,INVENTARIO_COMPLEMENTOS!$A$4:$A$3243,$C$2,INVENTARIO_COMPLEMENTOS!$B$4:$B$3243,PRECIOS_COMPLEMENTOS!A6,INVENTARIO_COMPLEMENTOS!$C$4:$C$3243,PRECIOS_COMPLEMENTOS!B6,INVENTARIO_COMPLEMENTOS!$E$4:$E$3243,$A48),0)))</f>
        <v>0</v>
      </c>
      <c r="E48" s="45">
        <f>IF(OR(PRECIOS_COMPLEMENTOS!A7="",$A48=""),"",IF($C$2="TODOS",IFERROR(SUMIFS(INVENTARIO_COMPLEMENTOS!$H$4:$H$3243,INVENTARIO_COMPLEMENTOS!$B$4:$B$3243,PRECIOS_COMPLEMENTOS!A7,INVENTARIO_COMPLEMENTOS!$C$4:$C$3243,PRECIOS_COMPLEMENTOS!B7,INVENTARIO_COMPLEMENTOS!$E$4:$E$3243,$A48),0),IFERROR(SUMIFS(INVENTARIO_COMPLEMENTOS!$H$4:$H$3243,INVENTARIO_COMPLEMENTOS!$A$4:$A$3243,$C$2,INVENTARIO_COMPLEMENTOS!$B$4:$B$3243,PRECIOS_COMPLEMENTOS!A7,INVENTARIO_COMPLEMENTOS!$C$4:$C$3243,PRECIOS_COMPLEMENTOS!B7,INVENTARIO_COMPLEMENTOS!$E$4:$E$3243,$A48),0)))</f>
        <v>0</v>
      </c>
      <c r="F48" s="45">
        <f>IF(OR(PRECIOS_COMPLEMENTOS!A8="",$A48=""),"",IF($C$2="TODOS",IFERROR(SUMIFS(INVENTARIO_COMPLEMENTOS!$H$4:$H$3243,INVENTARIO_COMPLEMENTOS!$B$4:$B$3243,PRECIOS_COMPLEMENTOS!A8,INVENTARIO_COMPLEMENTOS!$C$4:$C$3243,PRECIOS_COMPLEMENTOS!B8,INVENTARIO_COMPLEMENTOS!$E$4:$E$3243,$A48),0),IFERROR(SUMIFS(INVENTARIO_COMPLEMENTOS!$H$4:$H$3243,INVENTARIO_COMPLEMENTOS!$A$4:$A$3243,$C$2,INVENTARIO_COMPLEMENTOS!$B$4:$B$3243,PRECIOS_COMPLEMENTOS!A8,INVENTARIO_COMPLEMENTOS!$C$4:$C$3243,PRECIOS_COMPLEMENTOS!B8,INVENTARIO_COMPLEMENTOS!$E$4:$E$3243,$A48),0)))</f>
        <v>0</v>
      </c>
      <c r="G48" s="45">
        <f>IF(OR(PRECIOS_COMPLEMENTOS!A9="",$A48=""),"",IF($C$2="TODOS",IFERROR(SUMIFS(INVENTARIO_COMPLEMENTOS!$H$4:$H$3243,INVENTARIO_COMPLEMENTOS!$B$4:$B$3243,PRECIOS_COMPLEMENTOS!A9,INVENTARIO_COMPLEMENTOS!$C$4:$C$3243,PRECIOS_COMPLEMENTOS!B9,INVENTARIO_COMPLEMENTOS!$E$4:$E$3243,$A48),0),IFERROR(SUMIFS(INVENTARIO_COMPLEMENTOS!$H$4:$H$3243,INVENTARIO_COMPLEMENTOS!$A$4:$A$3243,$C$2,INVENTARIO_COMPLEMENTOS!$B$4:$B$3243,PRECIOS_COMPLEMENTOS!A9,INVENTARIO_COMPLEMENTOS!$C$4:$C$3243,PRECIOS_COMPLEMENTOS!B9,INVENTARIO_COMPLEMENTOS!$E$4:$E$3243,$A48),0)))</f>
        <v>0</v>
      </c>
      <c r="H48" s="45">
        <f>IF(OR(PRECIOS_COMPLEMENTOS!A10="",$A48=""),"",IF($C$2="TODOS",IFERROR(SUMIFS(INVENTARIO_COMPLEMENTOS!$H$4:$H$3243,INVENTARIO_COMPLEMENTOS!$B$4:$B$3243,PRECIOS_COMPLEMENTOS!A10,INVENTARIO_COMPLEMENTOS!$C$4:$C$3243,PRECIOS_COMPLEMENTOS!B10,INVENTARIO_COMPLEMENTOS!$E$4:$E$3243,$A48),0),IFERROR(SUMIFS(INVENTARIO_COMPLEMENTOS!$H$4:$H$3243,INVENTARIO_COMPLEMENTOS!$A$4:$A$3243,$C$2,INVENTARIO_COMPLEMENTOS!$B$4:$B$3243,PRECIOS_COMPLEMENTOS!A10,INVENTARIO_COMPLEMENTOS!$C$4:$C$3243,PRECIOS_COMPLEMENTOS!B10,INVENTARIO_COMPLEMENTOS!$E$4:$E$3243,$A48),0)))</f>
        <v>0</v>
      </c>
      <c r="I48" s="45" t="str">
        <f>IF(OR(PRECIOS_COMPLEMENTOS!A11="",$A48=""),"",IF($C$2="TODOS",IFERROR(SUMIFS(INVENTARIO_COMPLEMENTOS!$H$4:$H$3243,INVENTARIO_COMPLEMENTOS!$B$4:$B$3243,PRECIOS_COMPLEMENTOS!A11,INVENTARIO_COMPLEMENTOS!$C$4:$C$3243,PRECIOS_COMPLEMENTOS!B11,INVENTARIO_COMPLEMENTOS!$E$4:$E$3243,$A48),0),IFERROR(SUMIFS(INVENTARIO_COMPLEMENTOS!$H$4:$H$3243,INVENTARIO_COMPLEMENTOS!$A$4:$A$3243,$C$2,INVENTARIO_COMPLEMENTOS!$B$4:$B$3243,PRECIOS_COMPLEMENTOS!A11,INVENTARIO_COMPLEMENTOS!$C$4:$C$3243,PRECIOS_COMPLEMENTOS!B11,INVENTARIO_COMPLEMENTOS!$E$4:$E$3243,$A48),0)))</f>
        <v/>
      </c>
      <c r="J48" s="45" t="str">
        <f>IF(OR(PRECIOS_COMPLEMENTOS!A12="",$A48=""),"",IF($C$2="TODOS",IFERROR(SUMIFS(INVENTARIO_COMPLEMENTOS!$H$4:$H$3243,INVENTARIO_COMPLEMENTOS!$B$4:$B$3243,PRECIOS_COMPLEMENTOS!A12,INVENTARIO_COMPLEMENTOS!$C$4:$C$3243,PRECIOS_COMPLEMENTOS!B12,INVENTARIO_COMPLEMENTOS!$E$4:$E$3243,$A48),0),IFERROR(SUMIFS(INVENTARIO_COMPLEMENTOS!$H$4:$H$3243,INVENTARIO_COMPLEMENTOS!$A$4:$A$3243,$C$2,INVENTARIO_COMPLEMENTOS!$B$4:$B$3243,PRECIOS_COMPLEMENTOS!A12,INVENTARIO_COMPLEMENTOS!$C$4:$C$3243,PRECIOS_COMPLEMENTOS!B12,INVENTARIO_COMPLEMENTOS!$E$4:$E$3243,$A48),0)))</f>
        <v/>
      </c>
      <c r="K48" s="45" t="str">
        <f>IF(OR(PRECIOS_COMPLEMENTOS!A13="",$A48=""),"",IF($C$2="TODOS",IFERROR(SUMIFS(INVENTARIO_COMPLEMENTOS!$H$4:$H$3243,INVENTARIO_COMPLEMENTOS!$B$4:$B$3243,PRECIOS_COMPLEMENTOS!A13,INVENTARIO_COMPLEMENTOS!$C$4:$C$3243,PRECIOS_COMPLEMENTOS!B13,INVENTARIO_COMPLEMENTOS!$E$4:$E$3243,$A48),0),IFERROR(SUMIFS(INVENTARIO_COMPLEMENTOS!$H$4:$H$3243,INVENTARIO_COMPLEMENTOS!$A$4:$A$3243,$C$2,INVENTARIO_COMPLEMENTOS!$B$4:$B$3243,PRECIOS_COMPLEMENTOS!A13,INVENTARIO_COMPLEMENTOS!$C$4:$C$3243,PRECIOS_COMPLEMENTOS!B13,INVENTARIO_COMPLEMENTOS!$E$4:$E$3243,$A48),0)))</f>
        <v/>
      </c>
      <c r="L48" s="45" t="str">
        <f>IF(OR(PRECIOS_COMPLEMENTOS!A14="",$A48=""),"",IF($C$2="TODOS",IFERROR(SUMIFS(INVENTARIO_COMPLEMENTOS!$H$4:$H$3243,INVENTARIO_COMPLEMENTOS!$B$4:$B$3243,PRECIOS_COMPLEMENTOS!A14,INVENTARIO_COMPLEMENTOS!$C$4:$C$3243,PRECIOS_COMPLEMENTOS!B14,INVENTARIO_COMPLEMENTOS!$E$4:$E$3243,$A48),0),IFERROR(SUMIFS(INVENTARIO_COMPLEMENTOS!$H$4:$H$3243,INVENTARIO_COMPLEMENTOS!$A$4:$A$3243,$C$2,INVENTARIO_COMPLEMENTOS!$B$4:$B$3243,PRECIOS_COMPLEMENTOS!A14,INVENTARIO_COMPLEMENTOS!$C$4:$C$3243,PRECIOS_COMPLEMENTOS!B14,INVENTARIO_COMPLEMENTOS!$E$4:$E$3243,$A48),0)))</f>
        <v/>
      </c>
      <c r="M48" s="45" t="str">
        <f>IF(OR(PRECIOS_COMPLEMENTOS!A15="",$A48=""),"",IF($C$2="TODOS",IFERROR(SUMIFS(INVENTARIO_COMPLEMENTOS!$H$4:$H$3243,INVENTARIO_COMPLEMENTOS!$B$4:$B$3243,PRECIOS_COMPLEMENTOS!A15,INVENTARIO_COMPLEMENTOS!$C$4:$C$3243,PRECIOS_COMPLEMENTOS!B15,INVENTARIO_COMPLEMENTOS!$E$4:$E$3243,$A48),0),IFERROR(SUMIFS(INVENTARIO_COMPLEMENTOS!$H$4:$H$3243,INVENTARIO_COMPLEMENTOS!$A$4:$A$3243,$C$2,INVENTARIO_COMPLEMENTOS!$B$4:$B$3243,PRECIOS_COMPLEMENTOS!A15,INVENTARIO_COMPLEMENTOS!$C$4:$C$3243,PRECIOS_COMPLEMENTOS!B15,INVENTARIO_COMPLEMENTOS!$E$4:$E$3243,$A48),0)))</f>
        <v/>
      </c>
      <c r="N48" s="45" t="str">
        <f>IF(OR(PRECIOS_COMPLEMENTOS!A16="",$A48=""),"",IF($C$2="TODOS",IFERROR(SUMIFS(INVENTARIO_COMPLEMENTOS!$H$4:$H$3243,INVENTARIO_COMPLEMENTOS!$B$4:$B$3243,PRECIOS_COMPLEMENTOS!A16,INVENTARIO_COMPLEMENTOS!$C$4:$C$3243,PRECIOS_COMPLEMENTOS!B16,INVENTARIO_COMPLEMENTOS!$E$4:$E$3243,$A48),0),IFERROR(SUMIFS(INVENTARIO_COMPLEMENTOS!$H$4:$H$3243,INVENTARIO_COMPLEMENTOS!$A$4:$A$3243,$C$2,INVENTARIO_COMPLEMENTOS!$B$4:$B$3243,PRECIOS_COMPLEMENTOS!A16,INVENTARIO_COMPLEMENTOS!$C$4:$C$3243,PRECIOS_COMPLEMENTOS!B16,INVENTARIO_COMPLEMENTOS!$E$4:$E$3243,$A48),0)))</f>
        <v/>
      </c>
      <c r="O48" s="45" t="str">
        <f>IF(OR(PRECIOS_COMPLEMENTOS!A17="",$A48=""),"",IF($C$2="TODOS",IFERROR(SUMIFS(INVENTARIO_COMPLEMENTOS!$H$4:$H$3243,INVENTARIO_COMPLEMENTOS!$B$4:$B$3243,PRECIOS_COMPLEMENTOS!A17,INVENTARIO_COMPLEMENTOS!$C$4:$C$3243,PRECIOS_COMPLEMENTOS!B17,INVENTARIO_COMPLEMENTOS!$E$4:$E$3243,$A48),0),IFERROR(SUMIFS(INVENTARIO_COMPLEMENTOS!$H$4:$H$3243,INVENTARIO_COMPLEMENTOS!$A$4:$A$3243,$C$2,INVENTARIO_COMPLEMENTOS!$B$4:$B$3243,PRECIOS_COMPLEMENTOS!A17,INVENTARIO_COMPLEMENTOS!$C$4:$C$3243,PRECIOS_COMPLEMENTOS!B17,INVENTARIO_COMPLEMENTOS!$E$4:$E$3243,$A48),0)))</f>
        <v/>
      </c>
      <c r="P48" s="46">
        <f t="shared" si="3"/>
        <v>0</v>
      </c>
      <c r="Q48" s="47">
        <f>IF($A48="","",IF($C$2="TODOS",IFERROR(SUMIFS(INVENTARIO_COMPLEMENTOS!$J$4:$J$3243,INVENTARIO_COMPLEMENTOS!$E$4:$E$3243,$A48),0),IFERROR(SUMIFS(INVENTARIO_COMPLEMENTOS!$J$4:$J$3243,INVENTARIO_COMPLEMENTOS!$A$4:$A$3243,$C$2,INVENTARIO_COMPLEMENTOS!$E$4:$E$3243,$A48),0)))</f>
        <v>0</v>
      </c>
    </row>
    <row r="49" ht="15.0" customHeight="1">
      <c r="A49" s="44" t="str">
        <f>IFERROR(IF(COLORES!A13="","",COLORES!A13),"")</f>
        <v>Camote</v>
      </c>
      <c r="B49" s="45">
        <f>IF(OR(PRECIOS_COMPLEMENTOS!A4="",$A49=""),"",IF($C$2="TODOS",IFERROR(SUMIFS(INVENTARIO_COMPLEMENTOS!$H$4:$H$3243,INVENTARIO_COMPLEMENTOS!$B$4:$B$3243,PRECIOS_COMPLEMENTOS!A4,INVENTARIO_COMPLEMENTOS!$C$4:$C$3243,PRECIOS_COMPLEMENTOS!B4,INVENTARIO_COMPLEMENTOS!$E$4:$E$3243,$A49),0),IFERROR(SUMIFS(INVENTARIO_COMPLEMENTOS!$H$4:$H$3243,INVENTARIO_COMPLEMENTOS!$A$4:$A$3243,$C$2,INVENTARIO_COMPLEMENTOS!$B$4:$B$3243,PRECIOS_COMPLEMENTOS!A4,INVENTARIO_COMPLEMENTOS!$C$4:$C$3243,PRECIOS_COMPLEMENTOS!B4,INVENTARIO_COMPLEMENTOS!$E$4:$E$3243,$A49),0)))</f>
        <v>0</v>
      </c>
      <c r="C49" s="45">
        <f>IF(OR(PRECIOS_COMPLEMENTOS!A5="",$A49=""),"",IF($C$2="TODOS",IFERROR(SUMIFS(INVENTARIO_COMPLEMENTOS!$H$4:$H$3243,INVENTARIO_COMPLEMENTOS!$B$4:$B$3243,PRECIOS_COMPLEMENTOS!A5,INVENTARIO_COMPLEMENTOS!$C$4:$C$3243,PRECIOS_COMPLEMENTOS!B5,INVENTARIO_COMPLEMENTOS!$E$4:$E$3243,$A49),0),IFERROR(SUMIFS(INVENTARIO_COMPLEMENTOS!$H$4:$H$3243,INVENTARIO_COMPLEMENTOS!$A$4:$A$3243,$C$2,INVENTARIO_COMPLEMENTOS!$B$4:$B$3243,PRECIOS_COMPLEMENTOS!A5,INVENTARIO_COMPLEMENTOS!$C$4:$C$3243,PRECIOS_COMPLEMENTOS!B5,INVENTARIO_COMPLEMENTOS!$E$4:$E$3243,$A49),0)))</f>
        <v>0</v>
      </c>
      <c r="D49" s="45">
        <f>IF(OR(PRECIOS_COMPLEMENTOS!A6="",$A49=""),"",IF($C$2="TODOS",IFERROR(SUMIFS(INVENTARIO_COMPLEMENTOS!$H$4:$H$3243,INVENTARIO_COMPLEMENTOS!$B$4:$B$3243,PRECIOS_COMPLEMENTOS!A6,INVENTARIO_COMPLEMENTOS!$C$4:$C$3243,PRECIOS_COMPLEMENTOS!B6,INVENTARIO_COMPLEMENTOS!$E$4:$E$3243,$A49),0),IFERROR(SUMIFS(INVENTARIO_COMPLEMENTOS!$H$4:$H$3243,INVENTARIO_COMPLEMENTOS!$A$4:$A$3243,$C$2,INVENTARIO_COMPLEMENTOS!$B$4:$B$3243,PRECIOS_COMPLEMENTOS!A6,INVENTARIO_COMPLEMENTOS!$C$4:$C$3243,PRECIOS_COMPLEMENTOS!B6,INVENTARIO_COMPLEMENTOS!$E$4:$E$3243,$A49),0)))</f>
        <v>0</v>
      </c>
      <c r="E49" s="45">
        <f>IF(OR(PRECIOS_COMPLEMENTOS!A7="",$A49=""),"",IF($C$2="TODOS",IFERROR(SUMIFS(INVENTARIO_COMPLEMENTOS!$H$4:$H$3243,INVENTARIO_COMPLEMENTOS!$B$4:$B$3243,PRECIOS_COMPLEMENTOS!A7,INVENTARIO_COMPLEMENTOS!$C$4:$C$3243,PRECIOS_COMPLEMENTOS!B7,INVENTARIO_COMPLEMENTOS!$E$4:$E$3243,$A49),0),IFERROR(SUMIFS(INVENTARIO_COMPLEMENTOS!$H$4:$H$3243,INVENTARIO_COMPLEMENTOS!$A$4:$A$3243,$C$2,INVENTARIO_COMPLEMENTOS!$B$4:$B$3243,PRECIOS_COMPLEMENTOS!A7,INVENTARIO_COMPLEMENTOS!$C$4:$C$3243,PRECIOS_COMPLEMENTOS!B7,INVENTARIO_COMPLEMENTOS!$E$4:$E$3243,$A49),0)))</f>
        <v>0</v>
      </c>
      <c r="F49" s="45">
        <f>IF(OR(PRECIOS_COMPLEMENTOS!A8="",$A49=""),"",IF($C$2="TODOS",IFERROR(SUMIFS(INVENTARIO_COMPLEMENTOS!$H$4:$H$3243,INVENTARIO_COMPLEMENTOS!$B$4:$B$3243,PRECIOS_COMPLEMENTOS!A8,INVENTARIO_COMPLEMENTOS!$C$4:$C$3243,PRECIOS_COMPLEMENTOS!B8,INVENTARIO_COMPLEMENTOS!$E$4:$E$3243,$A49),0),IFERROR(SUMIFS(INVENTARIO_COMPLEMENTOS!$H$4:$H$3243,INVENTARIO_COMPLEMENTOS!$A$4:$A$3243,$C$2,INVENTARIO_COMPLEMENTOS!$B$4:$B$3243,PRECIOS_COMPLEMENTOS!A8,INVENTARIO_COMPLEMENTOS!$C$4:$C$3243,PRECIOS_COMPLEMENTOS!B8,INVENTARIO_COMPLEMENTOS!$E$4:$E$3243,$A49),0)))</f>
        <v>0</v>
      </c>
      <c r="G49" s="45">
        <f>IF(OR(PRECIOS_COMPLEMENTOS!A9="",$A49=""),"",IF($C$2="TODOS",IFERROR(SUMIFS(INVENTARIO_COMPLEMENTOS!$H$4:$H$3243,INVENTARIO_COMPLEMENTOS!$B$4:$B$3243,PRECIOS_COMPLEMENTOS!A9,INVENTARIO_COMPLEMENTOS!$C$4:$C$3243,PRECIOS_COMPLEMENTOS!B9,INVENTARIO_COMPLEMENTOS!$E$4:$E$3243,$A49),0),IFERROR(SUMIFS(INVENTARIO_COMPLEMENTOS!$H$4:$H$3243,INVENTARIO_COMPLEMENTOS!$A$4:$A$3243,$C$2,INVENTARIO_COMPLEMENTOS!$B$4:$B$3243,PRECIOS_COMPLEMENTOS!A9,INVENTARIO_COMPLEMENTOS!$C$4:$C$3243,PRECIOS_COMPLEMENTOS!B9,INVENTARIO_COMPLEMENTOS!$E$4:$E$3243,$A49),0)))</f>
        <v>0</v>
      </c>
      <c r="H49" s="45">
        <f>IF(OR(PRECIOS_COMPLEMENTOS!A10="",$A49=""),"",IF($C$2="TODOS",IFERROR(SUMIFS(INVENTARIO_COMPLEMENTOS!$H$4:$H$3243,INVENTARIO_COMPLEMENTOS!$B$4:$B$3243,PRECIOS_COMPLEMENTOS!A10,INVENTARIO_COMPLEMENTOS!$C$4:$C$3243,PRECIOS_COMPLEMENTOS!B10,INVENTARIO_COMPLEMENTOS!$E$4:$E$3243,$A49),0),IFERROR(SUMIFS(INVENTARIO_COMPLEMENTOS!$H$4:$H$3243,INVENTARIO_COMPLEMENTOS!$A$4:$A$3243,$C$2,INVENTARIO_COMPLEMENTOS!$B$4:$B$3243,PRECIOS_COMPLEMENTOS!A10,INVENTARIO_COMPLEMENTOS!$C$4:$C$3243,PRECIOS_COMPLEMENTOS!B10,INVENTARIO_COMPLEMENTOS!$E$4:$E$3243,$A49),0)))</f>
        <v>0</v>
      </c>
      <c r="I49" s="45" t="str">
        <f>IF(OR(PRECIOS_COMPLEMENTOS!A11="",$A49=""),"",IF($C$2="TODOS",IFERROR(SUMIFS(INVENTARIO_COMPLEMENTOS!$H$4:$H$3243,INVENTARIO_COMPLEMENTOS!$B$4:$B$3243,PRECIOS_COMPLEMENTOS!A11,INVENTARIO_COMPLEMENTOS!$C$4:$C$3243,PRECIOS_COMPLEMENTOS!B11,INVENTARIO_COMPLEMENTOS!$E$4:$E$3243,$A49),0),IFERROR(SUMIFS(INVENTARIO_COMPLEMENTOS!$H$4:$H$3243,INVENTARIO_COMPLEMENTOS!$A$4:$A$3243,$C$2,INVENTARIO_COMPLEMENTOS!$B$4:$B$3243,PRECIOS_COMPLEMENTOS!A11,INVENTARIO_COMPLEMENTOS!$C$4:$C$3243,PRECIOS_COMPLEMENTOS!B11,INVENTARIO_COMPLEMENTOS!$E$4:$E$3243,$A49),0)))</f>
        <v/>
      </c>
      <c r="J49" s="45" t="str">
        <f>IF(OR(PRECIOS_COMPLEMENTOS!A12="",$A49=""),"",IF($C$2="TODOS",IFERROR(SUMIFS(INVENTARIO_COMPLEMENTOS!$H$4:$H$3243,INVENTARIO_COMPLEMENTOS!$B$4:$B$3243,PRECIOS_COMPLEMENTOS!A12,INVENTARIO_COMPLEMENTOS!$C$4:$C$3243,PRECIOS_COMPLEMENTOS!B12,INVENTARIO_COMPLEMENTOS!$E$4:$E$3243,$A49),0),IFERROR(SUMIFS(INVENTARIO_COMPLEMENTOS!$H$4:$H$3243,INVENTARIO_COMPLEMENTOS!$A$4:$A$3243,$C$2,INVENTARIO_COMPLEMENTOS!$B$4:$B$3243,PRECIOS_COMPLEMENTOS!A12,INVENTARIO_COMPLEMENTOS!$C$4:$C$3243,PRECIOS_COMPLEMENTOS!B12,INVENTARIO_COMPLEMENTOS!$E$4:$E$3243,$A49),0)))</f>
        <v/>
      </c>
      <c r="K49" s="45" t="str">
        <f>IF(OR(PRECIOS_COMPLEMENTOS!A13="",$A49=""),"",IF($C$2="TODOS",IFERROR(SUMIFS(INVENTARIO_COMPLEMENTOS!$H$4:$H$3243,INVENTARIO_COMPLEMENTOS!$B$4:$B$3243,PRECIOS_COMPLEMENTOS!A13,INVENTARIO_COMPLEMENTOS!$C$4:$C$3243,PRECIOS_COMPLEMENTOS!B13,INVENTARIO_COMPLEMENTOS!$E$4:$E$3243,$A49),0),IFERROR(SUMIFS(INVENTARIO_COMPLEMENTOS!$H$4:$H$3243,INVENTARIO_COMPLEMENTOS!$A$4:$A$3243,$C$2,INVENTARIO_COMPLEMENTOS!$B$4:$B$3243,PRECIOS_COMPLEMENTOS!A13,INVENTARIO_COMPLEMENTOS!$C$4:$C$3243,PRECIOS_COMPLEMENTOS!B13,INVENTARIO_COMPLEMENTOS!$E$4:$E$3243,$A49),0)))</f>
        <v/>
      </c>
      <c r="L49" s="45" t="str">
        <f>IF(OR(PRECIOS_COMPLEMENTOS!A14="",$A49=""),"",IF($C$2="TODOS",IFERROR(SUMIFS(INVENTARIO_COMPLEMENTOS!$H$4:$H$3243,INVENTARIO_COMPLEMENTOS!$B$4:$B$3243,PRECIOS_COMPLEMENTOS!A14,INVENTARIO_COMPLEMENTOS!$C$4:$C$3243,PRECIOS_COMPLEMENTOS!B14,INVENTARIO_COMPLEMENTOS!$E$4:$E$3243,$A49),0),IFERROR(SUMIFS(INVENTARIO_COMPLEMENTOS!$H$4:$H$3243,INVENTARIO_COMPLEMENTOS!$A$4:$A$3243,$C$2,INVENTARIO_COMPLEMENTOS!$B$4:$B$3243,PRECIOS_COMPLEMENTOS!A14,INVENTARIO_COMPLEMENTOS!$C$4:$C$3243,PRECIOS_COMPLEMENTOS!B14,INVENTARIO_COMPLEMENTOS!$E$4:$E$3243,$A49),0)))</f>
        <v/>
      </c>
      <c r="M49" s="45" t="str">
        <f>IF(OR(PRECIOS_COMPLEMENTOS!A15="",$A49=""),"",IF($C$2="TODOS",IFERROR(SUMIFS(INVENTARIO_COMPLEMENTOS!$H$4:$H$3243,INVENTARIO_COMPLEMENTOS!$B$4:$B$3243,PRECIOS_COMPLEMENTOS!A15,INVENTARIO_COMPLEMENTOS!$C$4:$C$3243,PRECIOS_COMPLEMENTOS!B15,INVENTARIO_COMPLEMENTOS!$E$4:$E$3243,$A49),0),IFERROR(SUMIFS(INVENTARIO_COMPLEMENTOS!$H$4:$H$3243,INVENTARIO_COMPLEMENTOS!$A$4:$A$3243,$C$2,INVENTARIO_COMPLEMENTOS!$B$4:$B$3243,PRECIOS_COMPLEMENTOS!A15,INVENTARIO_COMPLEMENTOS!$C$4:$C$3243,PRECIOS_COMPLEMENTOS!B15,INVENTARIO_COMPLEMENTOS!$E$4:$E$3243,$A49),0)))</f>
        <v/>
      </c>
      <c r="N49" s="45" t="str">
        <f>IF(OR(PRECIOS_COMPLEMENTOS!A16="",$A49=""),"",IF($C$2="TODOS",IFERROR(SUMIFS(INVENTARIO_COMPLEMENTOS!$H$4:$H$3243,INVENTARIO_COMPLEMENTOS!$B$4:$B$3243,PRECIOS_COMPLEMENTOS!A16,INVENTARIO_COMPLEMENTOS!$C$4:$C$3243,PRECIOS_COMPLEMENTOS!B16,INVENTARIO_COMPLEMENTOS!$E$4:$E$3243,$A49),0),IFERROR(SUMIFS(INVENTARIO_COMPLEMENTOS!$H$4:$H$3243,INVENTARIO_COMPLEMENTOS!$A$4:$A$3243,$C$2,INVENTARIO_COMPLEMENTOS!$B$4:$B$3243,PRECIOS_COMPLEMENTOS!A16,INVENTARIO_COMPLEMENTOS!$C$4:$C$3243,PRECIOS_COMPLEMENTOS!B16,INVENTARIO_COMPLEMENTOS!$E$4:$E$3243,$A49),0)))</f>
        <v/>
      </c>
      <c r="O49" s="45" t="str">
        <f>IF(OR(PRECIOS_COMPLEMENTOS!A17="",$A49=""),"",IF($C$2="TODOS",IFERROR(SUMIFS(INVENTARIO_COMPLEMENTOS!$H$4:$H$3243,INVENTARIO_COMPLEMENTOS!$B$4:$B$3243,PRECIOS_COMPLEMENTOS!A17,INVENTARIO_COMPLEMENTOS!$C$4:$C$3243,PRECIOS_COMPLEMENTOS!B17,INVENTARIO_COMPLEMENTOS!$E$4:$E$3243,$A49),0),IFERROR(SUMIFS(INVENTARIO_COMPLEMENTOS!$H$4:$H$3243,INVENTARIO_COMPLEMENTOS!$A$4:$A$3243,$C$2,INVENTARIO_COMPLEMENTOS!$B$4:$B$3243,PRECIOS_COMPLEMENTOS!A17,INVENTARIO_COMPLEMENTOS!$C$4:$C$3243,PRECIOS_COMPLEMENTOS!B17,INVENTARIO_COMPLEMENTOS!$E$4:$E$3243,$A49),0)))</f>
        <v/>
      </c>
      <c r="P49" s="46">
        <f t="shared" si="3"/>
        <v>0</v>
      </c>
      <c r="Q49" s="47">
        <f>IF($A49="","",IF($C$2="TODOS",IFERROR(SUMIFS(INVENTARIO_COMPLEMENTOS!$J$4:$J$3243,INVENTARIO_COMPLEMENTOS!$E$4:$E$3243,$A49),0),IFERROR(SUMIFS(INVENTARIO_COMPLEMENTOS!$J$4:$J$3243,INVENTARIO_COMPLEMENTOS!$A$4:$A$3243,$C$2,INVENTARIO_COMPLEMENTOS!$E$4:$E$3243,$A49),0)))</f>
        <v>0</v>
      </c>
    </row>
    <row r="50" ht="15.0" customHeight="1">
      <c r="A50" s="44" t="str">
        <f>IFERROR(IF(COLORES!A14="","",COLORES!A14),"")</f>
        <v>Denim</v>
      </c>
      <c r="B50" s="45">
        <f>IF(OR(PRECIOS_COMPLEMENTOS!A4="",$A50=""),"",IF($C$2="TODOS",IFERROR(SUMIFS(INVENTARIO_COMPLEMENTOS!$H$4:$H$3243,INVENTARIO_COMPLEMENTOS!$B$4:$B$3243,PRECIOS_COMPLEMENTOS!A4,INVENTARIO_COMPLEMENTOS!$C$4:$C$3243,PRECIOS_COMPLEMENTOS!B4,INVENTARIO_COMPLEMENTOS!$E$4:$E$3243,$A50),0),IFERROR(SUMIFS(INVENTARIO_COMPLEMENTOS!$H$4:$H$3243,INVENTARIO_COMPLEMENTOS!$A$4:$A$3243,$C$2,INVENTARIO_COMPLEMENTOS!$B$4:$B$3243,PRECIOS_COMPLEMENTOS!A4,INVENTARIO_COMPLEMENTOS!$C$4:$C$3243,PRECIOS_COMPLEMENTOS!B4,INVENTARIO_COMPLEMENTOS!$E$4:$E$3243,$A50),0)))</f>
        <v>0</v>
      </c>
      <c r="C50" s="45">
        <f>IF(OR(PRECIOS_COMPLEMENTOS!A5="",$A50=""),"",IF($C$2="TODOS",IFERROR(SUMIFS(INVENTARIO_COMPLEMENTOS!$H$4:$H$3243,INVENTARIO_COMPLEMENTOS!$B$4:$B$3243,PRECIOS_COMPLEMENTOS!A5,INVENTARIO_COMPLEMENTOS!$C$4:$C$3243,PRECIOS_COMPLEMENTOS!B5,INVENTARIO_COMPLEMENTOS!$E$4:$E$3243,$A50),0),IFERROR(SUMIFS(INVENTARIO_COMPLEMENTOS!$H$4:$H$3243,INVENTARIO_COMPLEMENTOS!$A$4:$A$3243,$C$2,INVENTARIO_COMPLEMENTOS!$B$4:$B$3243,PRECIOS_COMPLEMENTOS!A5,INVENTARIO_COMPLEMENTOS!$C$4:$C$3243,PRECIOS_COMPLEMENTOS!B5,INVENTARIO_COMPLEMENTOS!$E$4:$E$3243,$A50),0)))</f>
        <v>0</v>
      </c>
      <c r="D50" s="45">
        <f>IF(OR(PRECIOS_COMPLEMENTOS!A6="",$A50=""),"",IF($C$2="TODOS",IFERROR(SUMIFS(INVENTARIO_COMPLEMENTOS!$H$4:$H$3243,INVENTARIO_COMPLEMENTOS!$B$4:$B$3243,PRECIOS_COMPLEMENTOS!A6,INVENTARIO_COMPLEMENTOS!$C$4:$C$3243,PRECIOS_COMPLEMENTOS!B6,INVENTARIO_COMPLEMENTOS!$E$4:$E$3243,$A50),0),IFERROR(SUMIFS(INVENTARIO_COMPLEMENTOS!$H$4:$H$3243,INVENTARIO_COMPLEMENTOS!$A$4:$A$3243,$C$2,INVENTARIO_COMPLEMENTOS!$B$4:$B$3243,PRECIOS_COMPLEMENTOS!A6,INVENTARIO_COMPLEMENTOS!$C$4:$C$3243,PRECIOS_COMPLEMENTOS!B6,INVENTARIO_COMPLEMENTOS!$E$4:$E$3243,$A50),0)))</f>
        <v>0</v>
      </c>
      <c r="E50" s="45">
        <f>IF(OR(PRECIOS_COMPLEMENTOS!A7="",$A50=""),"",IF($C$2="TODOS",IFERROR(SUMIFS(INVENTARIO_COMPLEMENTOS!$H$4:$H$3243,INVENTARIO_COMPLEMENTOS!$B$4:$B$3243,PRECIOS_COMPLEMENTOS!A7,INVENTARIO_COMPLEMENTOS!$C$4:$C$3243,PRECIOS_COMPLEMENTOS!B7,INVENTARIO_COMPLEMENTOS!$E$4:$E$3243,$A50),0),IFERROR(SUMIFS(INVENTARIO_COMPLEMENTOS!$H$4:$H$3243,INVENTARIO_COMPLEMENTOS!$A$4:$A$3243,$C$2,INVENTARIO_COMPLEMENTOS!$B$4:$B$3243,PRECIOS_COMPLEMENTOS!A7,INVENTARIO_COMPLEMENTOS!$C$4:$C$3243,PRECIOS_COMPLEMENTOS!B7,INVENTARIO_COMPLEMENTOS!$E$4:$E$3243,$A50),0)))</f>
        <v>0</v>
      </c>
      <c r="F50" s="45">
        <f>IF(OR(PRECIOS_COMPLEMENTOS!A8="",$A50=""),"",IF($C$2="TODOS",IFERROR(SUMIFS(INVENTARIO_COMPLEMENTOS!$H$4:$H$3243,INVENTARIO_COMPLEMENTOS!$B$4:$B$3243,PRECIOS_COMPLEMENTOS!A8,INVENTARIO_COMPLEMENTOS!$C$4:$C$3243,PRECIOS_COMPLEMENTOS!B8,INVENTARIO_COMPLEMENTOS!$E$4:$E$3243,$A50),0),IFERROR(SUMIFS(INVENTARIO_COMPLEMENTOS!$H$4:$H$3243,INVENTARIO_COMPLEMENTOS!$A$4:$A$3243,$C$2,INVENTARIO_COMPLEMENTOS!$B$4:$B$3243,PRECIOS_COMPLEMENTOS!A8,INVENTARIO_COMPLEMENTOS!$C$4:$C$3243,PRECIOS_COMPLEMENTOS!B8,INVENTARIO_COMPLEMENTOS!$E$4:$E$3243,$A50),0)))</f>
        <v>0</v>
      </c>
      <c r="G50" s="45">
        <f>IF(OR(PRECIOS_COMPLEMENTOS!A9="",$A50=""),"",IF($C$2="TODOS",IFERROR(SUMIFS(INVENTARIO_COMPLEMENTOS!$H$4:$H$3243,INVENTARIO_COMPLEMENTOS!$B$4:$B$3243,PRECIOS_COMPLEMENTOS!A9,INVENTARIO_COMPLEMENTOS!$C$4:$C$3243,PRECIOS_COMPLEMENTOS!B9,INVENTARIO_COMPLEMENTOS!$E$4:$E$3243,$A50),0),IFERROR(SUMIFS(INVENTARIO_COMPLEMENTOS!$H$4:$H$3243,INVENTARIO_COMPLEMENTOS!$A$4:$A$3243,$C$2,INVENTARIO_COMPLEMENTOS!$B$4:$B$3243,PRECIOS_COMPLEMENTOS!A9,INVENTARIO_COMPLEMENTOS!$C$4:$C$3243,PRECIOS_COMPLEMENTOS!B9,INVENTARIO_COMPLEMENTOS!$E$4:$E$3243,$A50),0)))</f>
        <v>0</v>
      </c>
      <c r="H50" s="45">
        <f>IF(OR(PRECIOS_COMPLEMENTOS!A10="",$A50=""),"",IF($C$2="TODOS",IFERROR(SUMIFS(INVENTARIO_COMPLEMENTOS!$H$4:$H$3243,INVENTARIO_COMPLEMENTOS!$B$4:$B$3243,PRECIOS_COMPLEMENTOS!A10,INVENTARIO_COMPLEMENTOS!$C$4:$C$3243,PRECIOS_COMPLEMENTOS!B10,INVENTARIO_COMPLEMENTOS!$E$4:$E$3243,$A50),0),IFERROR(SUMIFS(INVENTARIO_COMPLEMENTOS!$H$4:$H$3243,INVENTARIO_COMPLEMENTOS!$A$4:$A$3243,$C$2,INVENTARIO_COMPLEMENTOS!$B$4:$B$3243,PRECIOS_COMPLEMENTOS!A10,INVENTARIO_COMPLEMENTOS!$C$4:$C$3243,PRECIOS_COMPLEMENTOS!B10,INVENTARIO_COMPLEMENTOS!$E$4:$E$3243,$A50),0)))</f>
        <v>0</v>
      </c>
      <c r="I50" s="45" t="str">
        <f>IF(OR(PRECIOS_COMPLEMENTOS!A11="",$A50=""),"",IF($C$2="TODOS",IFERROR(SUMIFS(INVENTARIO_COMPLEMENTOS!$H$4:$H$3243,INVENTARIO_COMPLEMENTOS!$B$4:$B$3243,PRECIOS_COMPLEMENTOS!A11,INVENTARIO_COMPLEMENTOS!$C$4:$C$3243,PRECIOS_COMPLEMENTOS!B11,INVENTARIO_COMPLEMENTOS!$E$4:$E$3243,$A50),0),IFERROR(SUMIFS(INVENTARIO_COMPLEMENTOS!$H$4:$H$3243,INVENTARIO_COMPLEMENTOS!$A$4:$A$3243,$C$2,INVENTARIO_COMPLEMENTOS!$B$4:$B$3243,PRECIOS_COMPLEMENTOS!A11,INVENTARIO_COMPLEMENTOS!$C$4:$C$3243,PRECIOS_COMPLEMENTOS!B11,INVENTARIO_COMPLEMENTOS!$E$4:$E$3243,$A50),0)))</f>
        <v/>
      </c>
      <c r="J50" s="45" t="str">
        <f>IF(OR(PRECIOS_COMPLEMENTOS!A12="",$A50=""),"",IF($C$2="TODOS",IFERROR(SUMIFS(INVENTARIO_COMPLEMENTOS!$H$4:$H$3243,INVENTARIO_COMPLEMENTOS!$B$4:$B$3243,PRECIOS_COMPLEMENTOS!A12,INVENTARIO_COMPLEMENTOS!$C$4:$C$3243,PRECIOS_COMPLEMENTOS!B12,INVENTARIO_COMPLEMENTOS!$E$4:$E$3243,$A50),0),IFERROR(SUMIFS(INVENTARIO_COMPLEMENTOS!$H$4:$H$3243,INVENTARIO_COMPLEMENTOS!$A$4:$A$3243,$C$2,INVENTARIO_COMPLEMENTOS!$B$4:$B$3243,PRECIOS_COMPLEMENTOS!A12,INVENTARIO_COMPLEMENTOS!$C$4:$C$3243,PRECIOS_COMPLEMENTOS!B12,INVENTARIO_COMPLEMENTOS!$E$4:$E$3243,$A50),0)))</f>
        <v/>
      </c>
      <c r="K50" s="45" t="str">
        <f>IF(OR(PRECIOS_COMPLEMENTOS!A13="",$A50=""),"",IF($C$2="TODOS",IFERROR(SUMIFS(INVENTARIO_COMPLEMENTOS!$H$4:$H$3243,INVENTARIO_COMPLEMENTOS!$B$4:$B$3243,PRECIOS_COMPLEMENTOS!A13,INVENTARIO_COMPLEMENTOS!$C$4:$C$3243,PRECIOS_COMPLEMENTOS!B13,INVENTARIO_COMPLEMENTOS!$E$4:$E$3243,$A50),0),IFERROR(SUMIFS(INVENTARIO_COMPLEMENTOS!$H$4:$H$3243,INVENTARIO_COMPLEMENTOS!$A$4:$A$3243,$C$2,INVENTARIO_COMPLEMENTOS!$B$4:$B$3243,PRECIOS_COMPLEMENTOS!A13,INVENTARIO_COMPLEMENTOS!$C$4:$C$3243,PRECIOS_COMPLEMENTOS!B13,INVENTARIO_COMPLEMENTOS!$E$4:$E$3243,$A50),0)))</f>
        <v/>
      </c>
      <c r="L50" s="45" t="str">
        <f>IF(OR(PRECIOS_COMPLEMENTOS!A14="",$A50=""),"",IF($C$2="TODOS",IFERROR(SUMIFS(INVENTARIO_COMPLEMENTOS!$H$4:$H$3243,INVENTARIO_COMPLEMENTOS!$B$4:$B$3243,PRECIOS_COMPLEMENTOS!A14,INVENTARIO_COMPLEMENTOS!$C$4:$C$3243,PRECIOS_COMPLEMENTOS!B14,INVENTARIO_COMPLEMENTOS!$E$4:$E$3243,$A50),0),IFERROR(SUMIFS(INVENTARIO_COMPLEMENTOS!$H$4:$H$3243,INVENTARIO_COMPLEMENTOS!$A$4:$A$3243,$C$2,INVENTARIO_COMPLEMENTOS!$B$4:$B$3243,PRECIOS_COMPLEMENTOS!A14,INVENTARIO_COMPLEMENTOS!$C$4:$C$3243,PRECIOS_COMPLEMENTOS!B14,INVENTARIO_COMPLEMENTOS!$E$4:$E$3243,$A50),0)))</f>
        <v/>
      </c>
      <c r="M50" s="45" t="str">
        <f>IF(OR(PRECIOS_COMPLEMENTOS!A15="",$A50=""),"",IF($C$2="TODOS",IFERROR(SUMIFS(INVENTARIO_COMPLEMENTOS!$H$4:$H$3243,INVENTARIO_COMPLEMENTOS!$B$4:$B$3243,PRECIOS_COMPLEMENTOS!A15,INVENTARIO_COMPLEMENTOS!$C$4:$C$3243,PRECIOS_COMPLEMENTOS!B15,INVENTARIO_COMPLEMENTOS!$E$4:$E$3243,$A50),0),IFERROR(SUMIFS(INVENTARIO_COMPLEMENTOS!$H$4:$H$3243,INVENTARIO_COMPLEMENTOS!$A$4:$A$3243,$C$2,INVENTARIO_COMPLEMENTOS!$B$4:$B$3243,PRECIOS_COMPLEMENTOS!A15,INVENTARIO_COMPLEMENTOS!$C$4:$C$3243,PRECIOS_COMPLEMENTOS!B15,INVENTARIO_COMPLEMENTOS!$E$4:$E$3243,$A50),0)))</f>
        <v/>
      </c>
      <c r="N50" s="45" t="str">
        <f>IF(OR(PRECIOS_COMPLEMENTOS!A16="",$A50=""),"",IF($C$2="TODOS",IFERROR(SUMIFS(INVENTARIO_COMPLEMENTOS!$H$4:$H$3243,INVENTARIO_COMPLEMENTOS!$B$4:$B$3243,PRECIOS_COMPLEMENTOS!A16,INVENTARIO_COMPLEMENTOS!$C$4:$C$3243,PRECIOS_COMPLEMENTOS!B16,INVENTARIO_COMPLEMENTOS!$E$4:$E$3243,$A50),0),IFERROR(SUMIFS(INVENTARIO_COMPLEMENTOS!$H$4:$H$3243,INVENTARIO_COMPLEMENTOS!$A$4:$A$3243,$C$2,INVENTARIO_COMPLEMENTOS!$B$4:$B$3243,PRECIOS_COMPLEMENTOS!A16,INVENTARIO_COMPLEMENTOS!$C$4:$C$3243,PRECIOS_COMPLEMENTOS!B16,INVENTARIO_COMPLEMENTOS!$E$4:$E$3243,$A50),0)))</f>
        <v/>
      </c>
      <c r="O50" s="45" t="str">
        <f>IF(OR(PRECIOS_COMPLEMENTOS!A17="",$A50=""),"",IF($C$2="TODOS",IFERROR(SUMIFS(INVENTARIO_COMPLEMENTOS!$H$4:$H$3243,INVENTARIO_COMPLEMENTOS!$B$4:$B$3243,PRECIOS_COMPLEMENTOS!A17,INVENTARIO_COMPLEMENTOS!$C$4:$C$3243,PRECIOS_COMPLEMENTOS!B17,INVENTARIO_COMPLEMENTOS!$E$4:$E$3243,$A50),0),IFERROR(SUMIFS(INVENTARIO_COMPLEMENTOS!$H$4:$H$3243,INVENTARIO_COMPLEMENTOS!$A$4:$A$3243,$C$2,INVENTARIO_COMPLEMENTOS!$B$4:$B$3243,PRECIOS_COMPLEMENTOS!A17,INVENTARIO_COMPLEMENTOS!$C$4:$C$3243,PRECIOS_COMPLEMENTOS!B17,INVENTARIO_COMPLEMENTOS!$E$4:$E$3243,$A50),0)))</f>
        <v/>
      </c>
      <c r="P50" s="46">
        <f t="shared" si="3"/>
        <v>0</v>
      </c>
      <c r="Q50" s="47">
        <f>IF($A50="","",IF($C$2="TODOS",IFERROR(SUMIFS(INVENTARIO_COMPLEMENTOS!$J$4:$J$3243,INVENTARIO_COMPLEMENTOS!$E$4:$E$3243,$A50),0),IFERROR(SUMIFS(INVENTARIO_COMPLEMENTOS!$J$4:$J$3243,INVENTARIO_COMPLEMENTOS!$A$4:$A$3243,$C$2,INVENTARIO_COMPLEMENTOS!$E$4:$E$3243,$A50),0)))</f>
        <v>0</v>
      </c>
    </row>
    <row r="51" ht="15.0" customHeight="1">
      <c r="A51" s="44" t="str">
        <f>IFERROR(IF(COLORES!A15="","",COLORES!A15),"")</f>
        <v>Plomo</v>
      </c>
      <c r="B51" s="45">
        <f>IF(OR(PRECIOS_COMPLEMENTOS!A4="",$A51=""),"",IF($C$2="TODOS",IFERROR(SUMIFS(INVENTARIO_COMPLEMENTOS!$H$4:$H$3243,INVENTARIO_COMPLEMENTOS!$B$4:$B$3243,PRECIOS_COMPLEMENTOS!A4,INVENTARIO_COMPLEMENTOS!$C$4:$C$3243,PRECIOS_COMPLEMENTOS!B4,INVENTARIO_COMPLEMENTOS!$E$4:$E$3243,$A51),0),IFERROR(SUMIFS(INVENTARIO_COMPLEMENTOS!$H$4:$H$3243,INVENTARIO_COMPLEMENTOS!$A$4:$A$3243,$C$2,INVENTARIO_COMPLEMENTOS!$B$4:$B$3243,PRECIOS_COMPLEMENTOS!A4,INVENTARIO_COMPLEMENTOS!$C$4:$C$3243,PRECIOS_COMPLEMENTOS!B4,INVENTARIO_COMPLEMENTOS!$E$4:$E$3243,$A51),0)))</f>
        <v>0</v>
      </c>
      <c r="C51" s="45">
        <f>IF(OR(PRECIOS_COMPLEMENTOS!A5="",$A51=""),"",IF($C$2="TODOS",IFERROR(SUMIFS(INVENTARIO_COMPLEMENTOS!$H$4:$H$3243,INVENTARIO_COMPLEMENTOS!$B$4:$B$3243,PRECIOS_COMPLEMENTOS!A5,INVENTARIO_COMPLEMENTOS!$C$4:$C$3243,PRECIOS_COMPLEMENTOS!B5,INVENTARIO_COMPLEMENTOS!$E$4:$E$3243,$A51),0),IFERROR(SUMIFS(INVENTARIO_COMPLEMENTOS!$H$4:$H$3243,INVENTARIO_COMPLEMENTOS!$A$4:$A$3243,$C$2,INVENTARIO_COMPLEMENTOS!$B$4:$B$3243,PRECIOS_COMPLEMENTOS!A5,INVENTARIO_COMPLEMENTOS!$C$4:$C$3243,PRECIOS_COMPLEMENTOS!B5,INVENTARIO_COMPLEMENTOS!$E$4:$E$3243,$A51),0)))</f>
        <v>0</v>
      </c>
      <c r="D51" s="45">
        <f>IF(OR(PRECIOS_COMPLEMENTOS!A6="",$A51=""),"",IF($C$2="TODOS",IFERROR(SUMIFS(INVENTARIO_COMPLEMENTOS!$H$4:$H$3243,INVENTARIO_COMPLEMENTOS!$B$4:$B$3243,PRECIOS_COMPLEMENTOS!A6,INVENTARIO_COMPLEMENTOS!$C$4:$C$3243,PRECIOS_COMPLEMENTOS!B6,INVENTARIO_COMPLEMENTOS!$E$4:$E$3243,$A51),0),IFERROR(SUMIFS(INVENTARIO_COMPLEMENTOS!$H$4:$H$3243,INVENTARIO_COMPLEMENTOS!$A$4:$A$3243,$C$2,INVENTARIO_COMPLEMENTOS!$B$4:$B$3243,PRECIOS_COMPLEMENTOS!A6,INVENTARIO_COMPLEMENTOS!$C$4:$C$3243,PRECIOS_COMPLEMENTOS!B6,INVENTARIO_COMPLEMENTOS!$E$4:$E$3243,$A51),0)))</f>
        <v>0</v>
      </c>
      <c r="E51" s="45">
        <f>IF(OR(PRECIOS_COMPLEMENTOS!A7="",$A51=""),"",IF($C$2="TODOS",IFERROR(SUMIFS(INVENTARIO_COMPLEMENTOS!$H$4:$H$3243,INVENTARIO_COMPLEMENTOS!$B$4:$B$3243,PRECIOS_COMPLEMENTOS!A7,INVENTARIO_COMPLEMENTOS!$C$4:$C$3243,PRECIOS_COMPLEMENTOS!B7,INVENTARIO_COMPLEMENTOS!$E$4:$E$3243,$A51),0),IFERROR(SUMIFS(INVENTARIO_COMPLEMENTOS!$H$4:$H$3243,INVENTARIO_COMPLEMENTOS!$A$4:$A$3243,$C$2,INVENTARIO_COMPLEMENTOS!$B$4:$B$3243,PRECIOS_COMPLEMENTOS!A7,INVENTARIO_COMPLEMENTOS!$C$4:$C$3243,PRECIOS_COMPLEMENTOS!B7,INVENTARIO_COMPLEMENTOS!$E$4:$E$3243,$A51),0)))</f>
        <v>0</v>
      </c>
      <c r="F51" s="45">
        <f>IF(OR(PRECIOS_COMPLEMENTOS!A8="",$A51=""),"",IF($C$2="TODOS",IFERROR(SUMIFS(INVENTARIO_COMPLEMENTOS!$H$4:$H$3243,INVENTARIO_COMPLEMENTOS!$B$4:$B$3243,PRECIOS_COMPLEMENTOS!A8,INVENTARIO_COMPLEMENTOS!$C$4:$C$3243,PRECIOS_COMPLEMENTOS!B8,INVENTARIO_COMPLEMENTOS!$E$4:$E$3243,$A51),0),IFERROR(SUMIFS(INVENTARIO_COMPLEMENTOS!$H$4:$H$3243,INVENTARIO_COMPLEMENTOS!$A$4:$A$3243,$C$2,INVENTARIO_COMPLEMENTOS!$B$4:$B$3243,PRECIOS_COMPLEMENTOS!A8,INVENTARIO_COMPLEMENTOS!$C$4:$C$3243,PRECIOS_COMPLEMENTOS!B8,INVENTARIO_COMPLEMENTOS!$E$4:$E$3243,$A51),0)))</f>
        <v>0</v>
      </c>
      <c r="G51" s="45">
        <f>IF(OR(PRECIOS_COMPLEMENTOS!A9="",$A51=""),"",IF($C$2="TODOS",IFERROR(SUMIFS(INVENTARIO_COMPLEMENTOS!$H$4:$H$3243,INVENTARIO_COMPLEMENTOS!$B$4:$B$3243,PRECIOS_COMPLEMENTOS!A9,INVENTARIO_COMPLEMENTOS!$C$4:$C$3243,PRECIOS_COMPLEMENTOS!B9,INVENTARIO_COMPLEMENTOS!$E$4:$E$3243,$A51),0),IFERROR(SUMIFS(INVENTARIO_COMPLEMENTOS!$H$4:$H$3243,INVENTARIO_COMPLEMENTOS!$A$4:$A$3243,$C$2,INVENTARIO_COMPLEMENTOS!$B$4:$B$3243,PRECIOS_COMPLEMENTOS!A9,INVENTARIO_COMPLEMENTOS!$C$4:$C$3243,PRECIOS_COMPLEMENTOS!B9,INVENTARIO_COMPLEMENTOS!$E$4:$E$3243,$A51),0)))</f>
        <v>0</v>
      </c>
      <c r="H51" s="45">
        <f>IF(OR(PRECIOS_COMPLEMENTOS!A10="",$A51=""),"",IF($C$2="TODOS",IFERROR(SUMIFS(INVENTARIO_COMPLEMENTOS!$H$4:$H$3243,INVENTARIO_COMPLEMENTOS!$B$4:$B$3243,PRECIOS_COMPLEMENTOS!A10,INVENTARIO_COMPLEMENTOS!$C$4:$C$3243,PRECIOS_COMPLEMENTOS!B10,INVENTARIO_COMPLEMENTOS!$E$4:$E$3243,$A51),0),IFERROR(SUMIFS(INVENTARIO_COMPLEMENTOS!$H$4:$H$3243,INVENTARIO_COMPLEMENTOS!$A$4:$A$3243,$C$2,INVENTARIO_COMPLEMENTOS!$B$4:$B$3243,PRECIOS_COMPLEMENTOS!A10,INVENTARIO_COMPLEMENTOS!$C$4:$C$3243,PRECIOS_COMPLEMENTOS!B10,INVENTARIO_COMPLEMENTOS!$E$4:$E$3243,$A51),0)))</f>
        <v>0</v>
      </c>
      <c r="I51" s="45" t="str">
        <f>IF(OR(PRECIOS_COMPLEMENTOS!A11="",$A51=""),"",IF($C$2="TODOS",IFERROR(SUMIFS(INVENTARIO_COMPLEMENTOS!$H$4:$H$3243,INVENTARIO_COMPLEMENTOS!$B$4:$B$3243,PRECIOS_COMPLEMENTOS!A11,INVENTARIO_COMPLEMENTOS!$C$4:$C$3243,PRECIOS_COMPLEMENTOS!B11,INVENTARIO_COMPLEMENTOS!$E$4:$E$3243,$A51),0),IFERROR(SUMIFS(INVENTARIO_COMPLEMENTOS!$H$4:$H$3243,INVENTARIO_COMPLEMENTOS!$A$4:$A$3243,$C$2,INVENTARIO_COMPLEMENTOS!$B$4:$B$3243,PRECIOS_COMPLEMENTOS!A11,INVENTARIO_COMPLEMENTOS!$C$4:$C$3243,PRECIOS_COMPLEMENTOS!B11,INVENTARIO_COMPLEMENTOS!$E$4:$E$3243,$A51),0)))</f>
        <v/>
      </c>
      <c r="J51" s="45" t="str">
        <f>IF(OR(PRECIOS_COMPLEMENTOS!A12="",$A51=""),"",IF($C$2="TODOS",IFERROR(SUMIFS(INVENTARIO_COMPLEMENTOS!$H$4:$H$3243,INVENTARIO_COMPLEMENTOS!$B$4:$B$3243,PRECIOS_COMPLEMENTOS!A12,INVENTARIO_COMPLEMENTOS!$C$4:$C$3243,PRECIOS_COMPLEMENTOS!B12,INVENTARIO_COMPLEMENTOS!$E$4:$E$3243,$A51),0),IFERROR(SUMIFS(INVENTARIO_COMPLEMENTOS!$H$4:$H$3243,INVENTARIO_COMPLEMENTOS!$A$4:$A$3243,$C$2,INVENTARIO_COMPLEMENTOS!$B$4:$B$3243,PRECIOS_COMPLEMENTOS!A12,INVENTARIO_COMPLEMENTOS!$C$4:$C$3243,PRECIOS_COMPLEMENTOS!B12,INVENTARIO_COMPLEMENTOS!$E$4:$E$3243,$A51),0)))</f>
        <v/>
      </c>
      <c r="K51" s="45" t="str">
        <f>IF(OR(PRECIOS_COMPLEMENTOS!A13="",$A51=""),"",IF($C$2="TODOS",IFERROR(SUMIFS(INVENTARIO_COMPLEMENTOS!$H$4:$H$3243,INVENTARIO_COMPLEMENTOS!$B$4:$B$3243,PRECIOS_COMPLEMENTOS!A13,INVENTARIO_COMPLEMENTOS!$C$4:$C$3243,PRECIOS_COMPLEMENTOS!B13,INVENTARIO_COMPLEMENTOS!$E$4:$E$3243,$A51),0),IFERROR(SUMIFS(INVENTARIO_COMPLEMENTOS!$H$4:$H$3243,INVENTARIO_COMPLEMENTOS!$A$4:$A$3243,$C$2,INVENTARIO_COMPLEMENTOS!$B$4:$B$3243,PRECIOS_COMPLEMENTOS!A13,INVENTARIO_COMPLEMENTOS!$C$4:$C$3243,PRECIOS_COMPLEMENTOS!B13,INVENTARIO_COMPLEMENTOS!$E$4:$E$3243,$A51),0)))</f>
        <v/>
      </c>
      <c r="L51" s="45" t="str">
        <f>IF(OR(PRECIOS_COMPLEMENTOS!A14="",$A51=""),"",IF($C$2="TODOS",IFERROR(SUMIFS(INVENTARIO_COMPLEMENTOS!$H$4:$H$3243,INVENTARIO_COMPLEMENTOS!$B$4:$B$3243,PRECIOS_COMPLEMENTOS!A14,INVENTARIO_COMPLEMENTOS!$C$4:$C$3243,PRECIOS_COMPLEMENTOS!B14,INVENTARIO_COMPLEMENTOS!$E$4:$E$3243,$A51),0),IFERROR(SUMIFS(INVENTARIO_COMPLEMENTOS!$H$4:$H$3243,INVENTARIO_COMPLEMENTOS!$A$4:$A$3243,$C$2,INVENTARIO_COMPLEMENTOS!$B$4:$B$3243,PRECIOS_COMPLEMENTOS!A14,INVENTARIO_COMPLEMENTOS!$C$4:$C$3243,PRECIOS_COMPLEMENTOS!B14,INVENTARIO_COMPLEMENTOS!$E$4:$E$3243,$A51),0)))</f>
        <v/>
      </c>
      <c r="M51" s="45" t="str">
        <f>IF(OR(PRECIOS_COMPLEMENTOS!A15="",$A51=""),"",IF($C$2="TODOS",IFERROR(SUMIFS(INVENTARIO_COMPLEMENTOS!$H$4:$H$3243,INVENTARIO_COMPLEMENTOS!$B$4:$B$3243,PRECIOS_COMPLEMENTOS!A15,INVENTARIO_COMPLEMENTOS!$C$4:$C$3243,PRECIOS_COMPLEMENTOS!B15,INVENTARIO_COMPLEMENTOS!$E$4:$E$3243,$A51),0),IFERROR(SUMIFS(INVENTARIO_COMPLEMENTOS!$H$4:$H$3243,INVENTARIO_COMPLEMENTOS!$A$4:$A$3243,$C$2,INVENTARIO_COMPLEMENTOS!$B$4:$B$3243,PRECIOS_COMPLEMENTOS!A15,INVENTARIO_COMPLEMENTOS!$C$4:$C$3243,PRECIOS_COMPLEMENTOS!B15,INVENTARIO_COMPLEMENTOS!$E$4:$E$3243,$A51),0)))</f>
        <v/>
      </c>
      <c r="N51" s="45" t="str">
        <f>IF(OR(PRECIOS_COMPLEMENTOS!A16="",$A51=""),"",IF($C$2="TODOS",IFERROR(SUMIFS(INVENTARIO_COMPLEMENTOS!$H$4:$H$3243,INVENTARIO_COMPLEMENTOS!$B$4:$B$3243,PRECIOS_COMPLEMENTOS!A16,INVENTARIO_COMPLEMENTOS!$C$4:$C$3243,PRECIOS_COMPLEMENTOS!B16,INVENTARIO_COMPLEMENTOS!$E$4:$E$3243,$A51),0),IFERROR(SUMIFS(INVENTARIO_COMPLEMENTOS!$H$4:$H$3243,INVENTARIO_COMPLEMENTOS!$A$4:$A$3243,$C$2,INVENTARIO_COMPLEMENTOS!$B$4:$B$3243,PRECIOS_COMPLEMENTOS!A16,INVENTARIO_COMPLEMENTOS!$C$4:$C$3243,PRECIOS_COMPLEMENTOS!B16,INVENTARIO_COMPLEMENTOS!$E$4:$E$3243,$A51),0)))</f>
        <v/>
      </c>
      <c r="O51" s="45" t="str">
        <f>IF(OR(PRECIOS_COMPLEMENTOS!A17="",$A51=""),"",IF($C$2="TODOS",IFERROR(SUMIFS(INVENTARIO_COMPLEMENTOS!$H$4:$H$3243,INVENTARIO_COMPLEMENTOS!$B$4:$B$3243,PRECIOS_COMPLEMENTOS!A17,INVENTARIO_COMPLEMENTOS!$C$4:$C$3243,PRECIOS_COMPLEMENTOS!B17,INVENTARIO_COMPLEMENTOS!$E$4:$E$3243,$A51),0),IFERROR(SUMIFS(INVENTARIO_COMPLEMENTOS!$H$4:$H$3243,INVENTARIO_COMPLEMENTOS!$A$4:$A$3243,$C$2,INVENTARIO_COMPLEMENTOS!$B$4:$B$3243,PRECIOS_COMPLEMENTOS!A17,INVENTARIO_COMPLEMENTOS!$C$4:$C$3243,PRECIOS_COMPLEMENTOS!B17,INVENTARIO_COMPLEMENTOS!$E$4:$E$3243,$A51),0)))</f>
        <v/>
      </c>
      <c r="P51" s="46">
        <f t="shared" si="3"/>
        <v>0</v>
      </c>
      <c r="Q51" s="47">
        <f>IF($A51="","",IF($C$2="TODOS",IFERROR(SUMIFS(INVENTARIO_COMPLEMENTOS!$J$4:$J$3243,INVENTARIO_COMPLEMENTOS!$E$4:$E$3243,$A51),0),IFERROR(SUMIFS(INVENTARIO_COMPLEMENTOS!$J$4:$J$3243,INVENTARIO_COMPLEMENTOS!$A$4:$A$3243,$C$2,INVENTARIO_COMPLEMENTOS!$E$4:$E$3243,$A51),0)))</f>
        <v>0</v>
      </c>
    </row>
    <row r="52" ht="15.0" customHeight="1">
      <c r="A52" s="44" t="str">
        <f>IFERROR(IF(COLORES!A16="","",COLORES!A16),"")</f>
        <v>Topo</v>
      </c>
      <c r="B52" s="45">
        <f>IF(OR(PRECIOS_COMPLEMENTOS!A4="",$A52=""),"",IF($C$2="TODOS",IFERROR(SUMIFS(INVENTARIO_COMPLEMENTOS!$H$4:$H$3243,INVENTARIO_COMPLEMENTOS!$B$4:$B$3243,PRECIOS_COMPLEMENTOS!A4,INVENTARIO_COMPLEMENTOS!$C$4:$C$3243,PRECIOS_COMPLEMENTOS!B4,INVENTARIO_COMPLEMENTOS!$E$4:$E$3243,$A52),0),IFERROR(SUMIFS(INVENTARIO_COMPLEMENTOS!$H$4:$H$3243,INVENTARIO_COMPLEMENTOS!$A$4:$A$3243,$C$2,INVENTARIO_COMPLEMENTOS!$B$4:$B$3243,PRECIOS_COMPLEMENTOS!A4,INVENTARIO_COMPLEMENTOS!$C$4:$C$3243,PRECIOS_COMPLEMENTOS!B4,INVENTARIO_COMPLEMENTOS!$E$4:$E$3243,$A52),0)))</f>
        <v>0</v>
      </c>
      <c r="C52" s="45">
        <f>IF(OR(PRECIOS_COMPLEMENTOS!A5="",$A52=""),"",IF($C$2="TODOS",IFERROR(SUMIFS(INVENTARIO_COMPLEMENTOS!$H$4:$H$3243,INVENTARIO_COMPLEMENTOS!$B$4:$B$3243,PRECIOS_COMPLEMENTOS!A5,INVENTARIO_COMPLEMENTOS!$C$4:$C$3243,PRECIOS_COMPLEMENTOS!B5,INVENTARIO_COMPLEMENTOS!$E$4:$E$3243,$A52),0),IFERROR(SUMIFS(INVENTARIO_COMPLEMENTOS!$H$4:$H$3243,INVENTARIO_COMPLEMENTOS!$A$4:$A$3243,$C$2,INVENTARIO_COMPLEMENTOS!$B$4:$B$3243,PRECIOS_COMPLEMENTOS!A5,INVENTARIO_COMPLEMENTOS!$C$4:$C$3243,PRECIOS_COMPLEMENTOS!B5,INVENTARIO_COMPLEMENTOS!$E$4:$E$3243,$A52),0)))</f>
        <v>0</v>
      </c>
      <c r="D52" s="45">
        <f>IF(OR(PRECIOS_COMPLEMENTOS!A6="",$A52=""),"",IF($C$2="TODOS",IFERROR(SUMIFS(INVENTARIO_COMPLEMENTOS!$H$4:$H$3243,INVENTARIO_COMPLEMENTOS!$B$4:$B$3243,PRECIOS_COMPLEMENTOS!A6,INVENTARIO_COMPLEMENTOS!$C$4:$C$3243,PRECIOS_COMPLEMENTOS!B6,INVENTARIO_COMPLEMENTOS!$E$4:$E$3243,$A52),0),IFERROR(SUMIFS(INVENTARIO_COMPLEMENTOS!$H$4:$H$3243,INVENTARIO_COMPLEMENTOS!$A$4:$A$3243,$C$2,INVENTARIO_COMPLEMENTOS!$B$4:$B$3243,PRECIOS_COMPLEMENTOS!A6,INVENTARIO_COMPLEMENTOS!$C$4:$C$3243,PRECIOS_COMPLEMENTOS!B6,INVENTARIO_COMPLEMENTOS!$E$4:$E$3243,$A52),0)))</f>
        <v>0</v>
      </c>
      <c r="E52" s="45">
        <f>IF(OR(PRECIOS_COMPLEMENTOS!A7="",$A52=""),"",IF($C$2="TODOS",IFERROR(SUMIFS(INVENTARIO_COMPLEMENTOS!$H$4:$H$3243,INVENTARIO_COMPLEMENTOS!$B$4:$B$3243,PRECIOS_COMPLEMENTOS!A7,INVENTARIO_COMPLEMENTOS!$C$4:$C$3243,PRECIOS_COMPLEMENTOS!B7,INVENTARIO_COMPLEMENTOS!$E$4:$E$3243,$A52),0),IFERROR(SUMIFS(INVENTARIO_COMPLEMENTOS!$H$4:$H$3243,INVENTARIO_COMPLEMENTOS!$A$4:$A$3243,$C$2,INVENTARIO_COMPLEMENTOS!$B$4:$B$3243,PRECIOS_COMPLEMENTOS!A7,INVENTARIO_COMPLEMENTOS!$C$4:$C$3243,PRECIOS_COMPLEMENTOS!B7,INVENTARIO_COMPLEMENTOS!$E$4:$E$3243,$A52),0)))</f>
        <v>0</v>
      </c>
      <c r="F52" s="45">
        <f>IF(OR(PRECIOS_COMPLEMENTOS!A8="",$A52=""),"",IF($C$2="TODOS",IFERROR(SUMIFS(INVENTARIO_COMPLEMENTOS!$H$4:$H$3243,INVENTARIO_COMPLEMENTOS!$B$4:$B$3243,PRECIOS_COMPLEMENTOS!A8,INVENTARIO_COMPLEMENTOS!$C$4:$C$3243,PRECIOS_COMPLEMENTOS!B8,INVENTARIO_COMPLEMENTOS!$E$4:$E$3243,$A52),0),IFERROR(SUMIFS(INVENTARIO_COMPLEMENTOS!$H$4:$H$3243,INVENTARIO_COMPLEMENTOS!$A$4:$A$3243,$C$2,INVENTARIO_COMPLEMENTOS!$B$4:$B$3243,PRECIOS_COMPLEMENTOS!A8,INVENTARIO_COMPLEMENTOS!$C$4:$C$3243,PRECIOS_COMPLEMENTOS!B8,INVENTARIO_COMPLEMENTOS!$E$4:$E$3243,$A52),0)))</f>
        <v>0</v>
      </c>
      <c r="G52" s="45">
        <f>IF(OR(PRECIOS_COMPLEMENTOS!A9="",$A52=""),"",IF($C$2="TODOS",IFERROR(SUMIFS(INVENTARIO_COMPLEMENTOS!$H$4:$H$3243,INVENTARIO_COMPLEMENTOS!$B$4:$B$3243,PRECIOS_COMPLEMENTOS!A9,INVENTARIO_COMPLEMENTOS!$C$4:$C$3243,PRECIOS_COMPLEMENTOS!B9,INVENTARIO_COMPLEMENTOS!$E$4:$E$3243,$A52),0),IFERROR(SUMIFS(INVENTARIO_COMPLEMENTOS!$H$4:$H$3243,INVENTARIO_COMPLEMENTOS!$A$4:$A$3243,$C$2,INVENTARIO_COMPLEMENTOS!$B$4:$B$3243,PRECIOS_COMPLEMENTOS!A9,INVENTARIO_COMPLEMENTOS!$C$4:$C$3243,PRECIOS_COMPLEMENTOS!B9,INVENTARIO_COMPLEMENTOS!$E$4:$E$3243,$A52),0)))</f>
        <v>0</v>
      </c>
      <c r="H52" s="45">
        <f>IF(OR(PRECIOS_COMPLEMENTOS!A10="",$A52=""),"",IF($C$2="TODOS",IFERROR(SUMIFS(INVENTARIO_COMPLEMENTOS!$H$4:$H$3243,INVENTARIO_COMPLEMENTOS!$B$4:$B$3243,PRECIOS_COMPLEMENTOS!A10,INVENTARIO_COMPLEMENTOS!$C$4:$C$3243,PRECIOS_COMPLEMENTOS!B10,INVENTARIO_COMPLEMENTOS!$E$4:$E$3243,$A52),0),IFERROR(SUMIFS(INVENTARIO_COMPLEMENTOS!$H$4:$H$3243,INVENTARIO_COMPLEMENTOS!$A$4:$A$3243,$C$2,INVENTARIO_COMPLEMENTOS!$B$4:$B$3243,PRECIOS_COMPLEMENTOS!A10,INVENTARIO_COMPLEMENTOS!$C$4:$C$3243,PRECIOS_COMPLEMENTOS!B10,INVENTARIO_COMPLEMENTOS!$E$4:$E$3243,$A52),0)))</f>
        <v>0</v>
      </c>
      <c r="I52" s="45" t="str">
        <f>IF(OR(PRECIOS_COMPLEMENTOS!A11="",$A52=""),"",IF($C$2="TODOS",IFERROR(SUMIFS(INVENTARIO_COMPLEMENTOS!$H$4:$H$3243,INVENTARIO_COMPLEMENTOS!$B$4:$B$3243,PRECIOS_COMPLEMENTOS!A11,INVENTARIO_COMPLEMENTOS!$C$4:$C$3243,PRECIOS_COMPLEMENTOS!B11,INVENTARIO_COMPLEMENTOS!$E$4:$E$3243,$A52),0),IFERROR(SUMIFS(INVENTARIO_COMPLEMENTOS!$H$4:$H$3243,INVENTARIO_COMPLEMENTOS!$A$4:$A$3243,$C$2,INVENTARIO_COMPLEMENTOS!$B$4:$B$3243,PRECIOS_COMPLEMENTOS!A11,INVENTARIO_COMPLEMENTOS!$C$4:$C$3243,PRECIOS_COMPLEMENTOS!B11,INVENTARIO_COMPLEMENTOS!$E$4:$E$3243,$A52),0)))</f>
        <v/>
      </c>
      <c r="J52" s="45" t="str">
        <f>IF(OR(PRECIOS_COMPLEMENTOS!A12="",$A52=""),"",IF($C$2="TODOS",IFERROR(SUMIFS(INVENTARIO_COMPLEMENTOS!$H$4:$H$3243,INVENTARIO_COMPLEMENTOS!$B$4:$B$3243,PRECIOS_COMPLEMENTOS!A12,INVENTARIO_COMPLEMENTOS!$C$4:$C$3243,PRECIOS_COMPLEMENTOS!B12,INVENTARIO_COMPLEMENTOS!$E$4:$E$3243,$A52),0),IFERROR(SUMIFS(INVENTARIO_COMPLEMENTOS!$H$4:$H$3243,INVENTARIO_COMPLEMENTOS!$A$4:$A$3243,$C$2,INVENTARIO_COMPLEMENTOS!$B$4:$B$3243,PRECIOS_COMPLEMENTOS!A12,INVENTARIO_COMPLEMENTOS!$C$4:$C$3243,PRECIOS_COMPLEMENTOS!B12,INVENTARIO_COMPLEMENTOS!$E$4:$E$3243,$A52),0)))</f>
        <v/>
      </c>
      <c r="K52" s="45" t="str">
        <f>IF(OR(PRECIOS_COMPLEMENTOS!A13="",$A52=""),"",IF($C$2="TODOS",IFERROR(SUMIFS(INVENTARIO_COMPLEMENTOS!$H$4:$H$3243,INVENTARIO_COMPLEMENTOS!$B$4:$B$3243,PRECIOS_COMPLEMENTOS!A13,INVENTARIO_COMPLEMENTOS!$C$4:$C$3243,PRECIOS_COMPLEMENTOS!B13,INVENTARIO_COMPLEMENTOS!$E$4:$E$3243,$A52),0),IFERROR(SUMIFS(INVENTARIO_COMPLEMENTOS!$H$4:$H$3243,INVENTARIO_COMPLEMENTOS!$A$4:$A$3243,$C$2,INVENTARIO_COMPLEMENTOS!$B$4:$B$3243,PRECIOS_COMPLEMENTOS!A13,INVENTARIO_COMPLEMENTOS!$C$4:$C$3243,PRECIOS_COMPLEMENTOS!B13,INVENTARIO_COMPLEMENTOS!$E$4:$E$3243,$A52),0)))</f>
        <v/>
      </c>
      <c r="L52" s="45" t="str">
        <f>IF(OR(PRECIOS_COMPLEMENTOS!A14="",$A52=""),"",IF($C$2="TODOS",IFERROR(SUMIFS(INVENTARIO_COMPLEMENTOS!$H$4:$H$3243,INVENTARIO_COMPLEMENTOS!$B$4:$B$3243,PRECIOS_COMPLEMENTOS!A14,INVENTARIO_COMPLEMENTOS!$C$4:$C$3243,PRECIOS_COMPLEMENTOS!B14,INVENTARIO_COMPLEMENTOS!$E$4:$E$3243,$A52),0),IFERROR(SUMIFS(INVENTARIO_COMPLEMENTOS!$H$4:$H$3243,INVENTARIO_COMPLEMENTOS!$A$4:$A$3243,$C$2,INVENTARIO_COMPLEMENTOS!$B$4:$B$3243,PRECIOS_COMPLEMENTOS!A14,INVENTARIO_COMPLEMENTOS!$C$4:$C$3243,PRECIOS_COMPLEMENTOS!B14,INVENTARIO_COMPLEMENTOS!$E$4:$E$3243,$A52),0)))</f>
        <v/>
      </c>
      <c r="M52" s="45" t="str">
        <f>IF(OR(PRECIOS_COMPLEMENTOS!A15="",$A52=""),"",IF($C$2="TODOS",IFERROR(SUMIFS(INVENTARIO_COMPLEMENTOS!$H$4:$H$3243,INVENTARIO_COMPLEMENTOS!$B$4:$B$3243,PRECIOS_COMPLEMENTOS!A15,INVENTARIO_COMPLEMENTOS!$C$4:$C$3243,PRECIOS_COMPLEMENTOS!B15,INVENTARIO_COMPLEMENTOS!$E$4:$E$3243,$A52),0),IFERROR(SUMIFS(INVENTARIO_COMPLEMENTOS!$H$4:$H$3243,INVENTARIO_COMPLEMENTOS!$A$4:$A$3243,$C$2,INVENTARIO_COMPLEMENTOS!$B$4:$B$3243,PRECIOS_COMPLEMENTOS!A15,INVENTARIO_COMPLEMENTOS!$C$4:$C$3243,PRECIOS_COMPLEMENTOS!B15,INVENTARIO_COMPLEMENTOS!$E$4:$E$3243,$A52),0)))</f>
        <v/>
      </c>
      <c r="N52" s="45" t="str">
        <f>IF(OR(PRECIOS_COMPLEMENTOS!A16="",$A52=""),"",IF($C$2="TODOS",IFERROR(SUMIFS(INVENTARIO_COMPLEMENTOS!$H$4:$H$3243,INVENTARIO_COMPLEMENTOS!$B$4:$B$3243,PRECIOS_COMPLEMENTOS!A16,INVENTARIO_COMPLEMENTOS!$C$4:$C$3243,PRECIOS_COMPLEMENTOS!B16,INVENTARIO_COMPLEMENTOS!$E$4:$E$3243,$A52),0),IFERROR(SUMIFS(INVENTARIO_COMPLEMENTOS!$H$4:$H$3243,INVENTARIO_COMPLEMENTOS!$A$4:$A$3243,$C$2,INVENTARIO_COMPLEMENTOS!$B$4:$B$3243,PRECIOS_COMPLEMENTOS!A16,INVENTARIO_COMPLEMENTOS!$C$4:$C$3243,PRECIOS_COMPLEMENTOS!B16,INVENTARIO_COMPLEMENTOS!$E$4:$E$3243,$A52),0)))</f>
        <v/>
      </c>
      <c r="O52" s="45" t="str">
        <f>IF(OR(PRECIOS_COMPLEMENTOS!A17="",$A52=""),"",IF($C$2="TODOS",IFERROR(SUMIFS(INVENTARIO_COMPLEMENTOS!$H$4:$H$3243,INVENTARIO_COMPLEMENTOS!$B$4:$B$3243,PRECIOS_COMPLEMENTOS!A17,INVENTARIO_COMPLEMENTOS!$C$4:$C$3243,PRECIOS_COMPLEMENTOS!B17,INVENTARIO_COMPLEMENTOS!$E$4:$E$3243,$A52),0),IFERROR(SUMIFS(INVENTARIO_COMPLEMENTOS!$H$4:$H$3243,INVENTARIO_COMPLEMENTOS!$A$4:$A$3243,$C$2,INVENTARIO_COMPLEMENTOS!$B$4:$B$3243,PRECIOS_COMPLEMENTOS!A17,INVENTARIO_COMPLEMENTOS!$C$4:$C$3243,PRECIOS_COMPLEMENTOS!B17,INVENTARIO_COMPLEMENTOS!$E$4:$E$3243,$A52),0)))</f>
        <v/>
      </c>
      <c r="P52" s="46">
        <f t="shared" si="3"/>
        <v>0</v>
      </c>
      <c r="Q52" s="47">
        <f>IF($A52="","",IF($C$2="TODOS",IFERROR(SUMIFS(INVENTARIO_COMPLEMENTOS!$J$4:$J$3243,INVENTARIO_COMPLEMENTOS!$E$4:$E$3243,$A52),0),IFERROR(SUMIFS(INVENTARIO_COMPLEMENTOS!$J$4:$J$3243,INVENTARIO_COMPLEMENTOS!$A$4:$A$3243,$C$2,INVENTARIO_COMPLEMENTOS!$E$4:$E$3243,$A52),0)))</f>
        <v>0</v>
      </c>
    </row>
    <row r="53" ht="15.0" customHeight="1">
      <c r="A53" s="44" t="str">
        <f>IFERROR(IF(COLORES!A17="","",COLORES!A17),"")</f>
        <v>Vino</v>
      </c>
      <c r="B53" s="45">
        <f>IF(OR(PRECIOS_COMPLEMENTOS!A4="",$A53=""),"",IF($C$2="TODOS",IFERROR(SUMIFS(INVENTARIO_COMPLEMENTOS!$H$4:$H$3243,INVENTARIO_COMPLEMENTOS!$B$4:$B$3243,PRECIOS_COMPLEMENTOS!A4,INVENTARIO_COMPLEMENTOS!$C$4:$C$3243,PRECIOS_COMPLEMENTOS!B4,INVENTARIO_COMPLEMENTOS!$E$4:$E$3243,$A53),0),IFERROR(SUMIFS(INVENTARIO_COMPLEMENTOS!$H$4:$H$3243,INVENTARIO_COMPLEMENTOS!$A$4:$A$3243,$C$2,INVENTARIO_COMPLEMENTOS!$B$4:$B$3243,PRECIOS_COMPLEMENTOS!A4,INVENTARIO_COMPLEMENTOS!$C$4:$C$3243,PRECIOS_COMPLEMENTOS!B4,INVENTARIO_COMPLEMENTOS!$E$4:$E$3243,$A53),0)))</f>
        <v>0</v>
      </c>
      <c r="C53" s="45">
        <f>IF(OR(PRECIOS_COMPLEMENTOS!A5="",$A53=""),"",IF($C$2="TODOS",IFERROR(SUMIFS(INVENTARIO_COMPLEMENTOS!$H$4:$H$3243,INVENTARIO_COMPLEMENTOS!$B$4:$B$3243,PRECIOS_COMPLEMENTOS!A5,INVENTARIO_COMPLEMENTOS!$C$4:$C$3243,PRECIOS_COMPLEMENTOS!B5,INVENTARIO_COMPLEMENTOS!$E$4:$E$3243,$A53),0),IFERROR(SUMIFS(INVENTARIO_COMPLEMENTOS!$H$4:$H$3243,INVENTARIO_COMPLEMENTOS!$A$4:$A$3243,$C$2,INVENTARIO_COMPLEMENTOS!$B$4:$B$3243,PRECIOS_COMPLEMENTOS!A5,INVENTARIO_COMPLEMENTOS!$C$4:$C$3243,PRECIOS_COMPLEMENTOS!B5,INVENTARIO_COMPLEMENTOS!$E$4:$E$3243,$A53),0)))</f>
        <v>0</v>
      </c>
      <c r="D53" s="45">
        <f>IF(OR(PRECIOS_COMPLEMENTOS!A6="",$A53=""),"",IF($C$2="TODOS",IFERROR(SUMIFS(INVENTARIO_COMPLEMENTOS!$H$4:$H$3243,INVENTARIO_COMPLEMENTOS!$B$4:$B$3243,PRECIOS_COMPLEMENTOS!A6,INVENTARIO_COMPLEMENTOS!$C$4:$C$3243,PRECIOS_COMPLEMENTOS!B6,INVENTARIO_COMPLEMENTOS!$E$4:$E$3243,$A53),0),IFERROR(SUMIFS(INVENTARIO_COMPLEMENTOS!$H$4:$H$3243,INVENTARIO_COMPLEMENTOS!$A$4:$A$3243,$C$2,INVENTARIO_COMPLEMENTOS!$B$4:$B$3243,PRECIOS_COMPLEMENTOS!A6,INVENTARIO_COMPLEMENTOS!$C$4:$C$3243,PRECIOS_COMPLEMENTOS!B6,INVENTARIO_COMPLEMENTOS!$E$4:$E$3243,$A53),0)))</f>
        <v>0</v>
      </c>
      <c r="E53" s="45">
        <f>IF(OR(PRECIOS_COMPLEMENTOS!A7="",$A53=""),"",IF($C$2="TODOS",IFERROR(SUMIFS(INVENTARIO_COMPLEMENTOS!$H$4:$H$3243,INVENTARIO_COMPLEMENTOS!$B$4:$B$3243,PRECIOS_COMPLEMENTOS!A7,INVENTARIO_COMPLEMENTOS!$C$4:$C$3243,PRECIOS_COMPLEMENTOS!B7,INVENTARIO_COMPLEMENTOS!$E$4:$E$3243,$A53),0),IFERROR(SUMIFS(INVENTARIO_COMPLEMENTOS!$H$4:$H$3243,INVENTARIO_COMPLEMENTOS!$A$4:$A$3243,$C$2,INVENTARIO_COMPLEMENTOS!$B$4:$B$3243,PRECIOS_COMPLEMENTOS!A7,INVENTARIO_COMPLEMENTOS!$C$4:$C$3243,PRECIOS_COMPLEMENTOS!B7,INVENTARIO_COMPLEMENTOS!$E$4:$E$3243,$A53),0)))</f>
        <v>0</v>
      </c>
      <c r="F53" s="45">
        <f>IF(OR(PRECIOS_COMPLEMENTOS!A8="",$A53=""),"",IF($C$2="TODOS",IFERROR(SUMIFS(INVENTARIO_COMPLEMENTOS!$H$4:$H$3243,INVENTARIO_COMPLEMENTOS!$B$4:$B$3243,PRECIOS_COMPLEMENTOS!A8,INVENTARIO_COMPLEMENTOS!$C$4:$C$3243,PRECIOS_COMPLEMENTOS!B8,INVENTARIO_COMPLEMENTOS!$E$4:$E$3243,$A53),0),IFERROR(SUMIFS(INVENTARIO_COMPLEMENTOS!$H$4:$H$3243,INVENTARIO_COMPLEMENTOS!$A$4:$A$3243,$C$2,INVENTARIO_COMPLEMENTOS!$B$4:$B$3243,PRECIOS_COMPLEMENTOS!A8,INVENTARIO_COMPLEMENTOS!$C$4:$C$3243,PRECIOS_COMPLEMENTOS!B8,INVENTARIO_COMPLEMENTOS!$E$4:$E$3243,$A53),0)))</f>
        <v>0</v>
      </c>
      <c r="G53" s="45">
        <f>IF(OR(PRECIOS_COMPLEMENTOS!A9="",$A53=""),"",IF($C$2="TODOS",IFERROR(SUMIFS(INVENTARIO_COMPLEMENTOS!$H$4:$H$3243,INVENTARIO_COMPLEMENTOS!$B$4:$B$3243,PRECIOS_COMPLEMENTOS!A9,INVENTARIO_COMPLEMENTOS!$C$4:$C$3243,PRECIOS_COMPLEMENTOS!B9,INVENTARIO_COMPLEMENTOS!$E$4:$E$3243,$A53),0),IFERROR(SUMIFS(INVENTARIO_COMPLEMENTOS!$H$4:$H$3243,INVENTARIO_COMPLEMENTOS!$A$4:$A$3243,$C$2,INVENTARIO_COMPLEMENTOS!$B$4:$B$3243,PRECIOS_COMPLEMENTOS!A9,INVENTARIO_COMPLEMENTOS!$C$4:$C$3243,PRECIOS_COMPLEMENTOS!B9,INVENTARIO_COMPLEMENTOS!$E$4:$E$3243,$A53),0)))</f>
        <v>0</v>
      </c>
      <c r="H53" s="45">
        <f>IF(OR(PRECIOS_COMPLEMENTOS!A10="",$A53=""),"",IF($C$2="TODOS",IFERROR(SUMIFS(INVENTARIO_COMPLEMENTOS!$H$4:$H$3243,INVENTARIO_COMPLEMENTOS!$B$4:$B$3243,PRECIOS_COMPLEMENTOS!A10,INVENTARIO_COMPLEMENTOS!$C$4:$C$3243,PRECIOS_COMPLEMENTOS!B10,INVENTARIO_COMPLEMENTOS!$E$4:$E$3243,$A53),0),IFERROR(SUMIFS(INVENTARIO_COMPLEMENTOS!$H$4:$H$3243,INVENTARIO_COMPLEMENTOS!$A$4:$A$3243,$C$2,INVENTARIO_COMPLEMENTOS!$B$4:$B$3243,PRECIOS_COMPLEMENTOS!A10,INVENTARIO_COMPLEMENTOS!$C$4:$C$3243,PRECIOS_COMPLEMENTOS!B10,INVENTARIO_COMPLEMENTOS!$E$4:$E$3243,$A53),0)))</f>
        <v>0</v>
      </c>
      <c r="I53" s="45" t="str">
        <f>IF(OR(PRECIOS_COMPLEMENTOS!A11="",$A53=""),"",IF($C$2="TODOS",IFERROR(SUMIFS(INVENTARIO_COMPLEMENTOS!$H$4:$H$3243,INVENTARIO_COMPLEMENTOS!$B$4:$B$3243,PRECIOS_COMPLEMENTOS!A11,INVENTARIO_COMPLEMENTOS!$C$4:$C$3243,PRECIOS_COMPLEMENTOS!B11,INVENTARIO_COMPLEMENTOS!$E$4:$E$3243,$A53),0),IFERROR(SUMIFS(INVENTARIO_COMPLEMENTOS!$H$4:$H$3243,INVENTARIO_COMPLEMENTOS!$A$4:$A$3243,$C$2,INVENTARIO_COMPLEMENTOS!$B$4:$B$3243,PRECIOS_COMPLEMENTOS!A11,INVENTARIO_COMPLEMENTOS!$C$4:$C$3243,PRECIOS_COMPLEMENTOS!B11,INVENTARIO_COMPLEMENTOS!$E$4:$E$3243,$A53),0)))</f>
        <v/>
      </c>
      <c r="J53" s="45" t="str">
        <f>IF(OR(PRECIOS_COMPLEMENTOS!A12="",$A53=""),"",IF($C$2="TODOS",IFERROR(SUMIFS(INVENTARIO_COMPLEMENTOS!$H$4:$H$3243,INVENTARIO_COMPLEMENTOS!$B$4:$B$3243,PRECIOS_COMPLEMENTOS!A12,INVENTARIO_COMPLEMENTOS!$C$4:$C$3243,PRECIOS_COMPLEMENTOS!B12,INVENTARIO_COMPLEMENTOS!$E$4:$E$3243,$A53),0),IFERROR(SUMIFS(INVENTARIO_COMPLEMENTOS!$H$4:$H$3243,INVENTARIO_COMPLEMENTOS!$A$4:$A$3243,$C$2,INVENTARIO_COMPLEMENTOS!$B$4:$B$3243,PRECIOS_COMPLEMENTOS!A12,INVENTARIO_COMPLEMENTOS!$C$4:$C$3243,PRECIOS_COMPLEMENTOS!B12,INVENTARIO_COMPLEMENTOS!$E$4:$E$3243,$A53),0)))</f>
        <v/>
      </c>
      <c r="K53" s="45" t="str">
        <f>IF(OR(PRECIOS_COMPLEMENTOS!A13="",$A53=""),"",IF($C$2="TODOS",IFERROR(SUMIFS(INVENTARIO_COMPLEMENTOS!$H$4:$H$3243,INVENTARIO_COMPLEMENTOS!$B$4:$B$3243,PRECIOS_COMPLEMENTOS!A13,INVENTARIO_COMPLEMENTOS!$C$4:$C$3243,PRECIOS_COMPLEMENTOS!B13,INVENTARIO_COMPLEMENTOS!$E$4:$E$3243,$A53),0),IFERROR(SUMIFS(INVENTARIO_COMPLEMENTOS!$H$4:$H$3243,INVENTARIO_COMPLEMENTOS!$A$4:$A$3243,$C$2,INVENTARIO_COMPLEMENTOS!$B$4:$B$3243,PRECIOS_COMPLEMENTOS!A13,INVENTARIO_COMPLEMENTOS!$C$4:$C$3243,PRECIOS_COMPLEMENTOS!B13,INVENTARIO_COMPLEMENTOS!$E$4:$E$3243,$A53),0)))</f>
        <v/>
      </c>
      <c r="L53" s="45" t="str">
        <f>IF(OR(PRECIOS_COMPLEMENTOS!A14="",$A53=""),"",IF($C$2="TODOS",IFERROR(SUMIFS(INVENTARIO_COMPLEMENTOS!$H$4:$H$3243,INVENTARIO_COMPLEMENTOS!$B$4:$B$3243,PRECIOS_COMPLEMENTOS!A14,INVENTARIO_COMPLEMENTOS!$C$4:$C$3243,PRECIOS_COMPLEMENTOS!B14,INVENTARIO_COMPLEMENTOS!$E$4:$E$3243,$A53),0),IFERROR(SUMIFS(INVENTARIO_COMPLEMENTOS!$H$4:$H$3243,INVENTARIO_COMPLEMENTOS!$A$4:$A$3243,$C$2,INVENTARIO_COMPLEMENTOS!$B$4:$B$3243,PRECIOS_COMPLEMENTOS!A14,INVENTARIO_COMPLEMENTOS!$C$4:$C$3243,PRECIOS_COMPLEMENTOS!B14,INVENTARIO_COMPLEMENTOS!$E$4:$E$3243,$A53),0)))</f>
        <v/>
      </c>
      <c r="M53" s="45" t="str">
        <f>IF(OR(PRECIOS_COMPLEMENTOS!A15="",$A53=""),"",IF($C$2="TODOS",IFERROR(SUMIFS(INVENTARIO_COMPLEMENTOS!$H$4:$H$3243,INVENTARIO_COMPLEMENTOS!$B$4:$B$3243,PRECIOS_COMPLEMENTOS!A15,INVENTARIO_COMPLEMENTOS!$C$4:$C$3243,PRECIOS_COMPLEMENTOS!B15,INVENTARIO_COMPLEMENTOS!$E$4:$E$3243,$A53),0),IFERROR(SUMIFS(INVENTARIO_COMPLEMENTOS!$H$4:$H$3243,INVENTARIO_COMPLEMENTOS!$A$4:$A$3243,$C$2,INVENTARIO_COMPLEMENTOS!$B$4:$B$3243,PRECIOS_COMPLEMENTOS!A15,INVENTARIO_COMPLEMENTOS!$C$4:$C$3243,PRECIOS_COMPLEMENTOS!B15,INVENTARIO_COMPLEMENTOS!$E$4:$E$3243,$A53),0)))</f>
        <v/>
      </c>
      <c r="N53" s="45" t="str">
        <f>IF(OR(PRECIOS_COMPLEMENTOS!A16="",$A53=""),"",IF($C$2="TODOS",IFERROR(SUMIFS(INVENTARIO_COMPLEMENTOS!$H$4:$H$3243,INVENTARIO_COMPLEMENTOS!$B$4:$B$3243,PRECIOS_COMPLEMENTOS!A16,INVENTARIO_COMPLEMENTOS!$C$4:$C$3243,PRECIOS_COMPLEMENTOS!B16,INVENTARIO_COMPLEMENTOS!$E$4:$E$3243,$A53),0),IFERROR(SUMIFS(INVENTARIO_COMPLEMENTOS!$H$4:$H$3243,INVENTARIO_COMPLEMENTOS!$A$4:$A$3243,$C$2,INVENTARIO_COMPLEMENTOS!$B$4:$B$3243,PRECIOS_COMPLEMENTOS!A16,INVENTARIO_COMPLEMENTOS!$C$4:$C$3243,PRECIOS_COMPLEMENTOS!B16,INVENTARIO_COMPLEMENTOS!$E$4:$E$3243,$A53),0)))</f>
        <v/>
      </c>
      <c r="O53" s="45" t="str">
        <f>IF(OR(PRECIOS_COMPLEMENTOS!A17="",$A53=""),"",IF($C$2="TODOS",IFERROR(SUMIFS(INVENTARIO_COMPLEMENTOS!$H$4:$H$3243,INVENTARIO_COMPLEMENTOS!$B$4:$B$3243,PRECIOS_COMPLEMENTOS!A17,INVENTARIO_COMPLEMENTOS!$C$4:$C$3243,PRECIOS_COMPLEMENTOS!B17,INVENTARIO_COMPLEMENTOS!$E$4:$E$3243,$A53),0),IFERROR(SUMIFS(INVENTARIO_COMPLEMENTOS!$H$4:$H$3243,INVENTARIO_COMPLEMENTOS!$A$4:$A$3243,$C$2,INVENTARIO_COMPLEMENTOS!$B$4:$B$3243,PRECIOS_COMPLEMENTOS!A17,INVENTARIO_COMPLEMENTOS!$C$4:$C$3243,PRECIOS_COMPLEMENTOS!B17,INVENTARIO_COMPLEMENTOS!$E$4:$E$3243,$A53),0)))</f>
        <v/>
      </c>
      <c r="P53" s="46">
        <f t="shared" si="3"/>
        <v>0</v>
      </c>
      <c r="Q53" s="47">
        <f>IF($A53="","",IF($C$2="TODOS",IFERROR(SUMIFS(INVENTARIO_COMPLEMENTOS!$J$4:$J$3243,INVENTARIO_COMPLEMENTOS!$E$4:$E$3243,$A53),0),IFERROR(SUMIFS(INVENTARIO_COMPLEMENTOS!$J$4:$J$3243,INVENTARIO_COMPLEMENTOS!$A$4:$A$3243,$C$2,INVENTARIO_COMPLEMENTOS!$E$4:$E$3243,$A53),0)))</f>
        <v>0</v>
      </c>
    </row>
    <row r="54" ht="15.0" customHeight="1">
      <c r="A54" s="44" t="str">
        <f>IFERROR(IF(COLORES!A18="","",COLORES!A18),"")</f>
        <v>P. Rosa</v>
      </c>
      <c r="B54" s="45">
        <f>IF(OR(PRECIOS_COMPLEMENTOS!A4="",$A54=""),"",IF($C$2="TODOS",IFERROR(SUMIFS(INVENTARIO_COMPLEMENTOS!$H$4:$H$3243,INVENTARIO_COMPLEMENTOS!$B$4:$B$3243,PRECIOS_COMPLEMENTOS!A4,INVENTARIO_COMPLEMENTOS!$C$4:$C$3243,PRECIOS_COMPLEMENTOS!B4,INVENTARIO_COMPLEMENTOS!$E$4:$E$3243,$A54),0),IFERROR(SUMIFS(INVENTARIO_COMPLEMENTOS!$H$4:$H$3243,INVENTARIO_COMPLEMENTOS!$A$4:$A$3243,$C$2,INVENTARIO_COMPLEMENTOS!$B$4:$B$3243,PRECIOS_COMPLEMENTOS!A4,INVENTARIO_COMPLEMENTOS!$C$4:$C$3243,PRECIOS_COMPLEMENTOS!B4,INVENTARIO_COMPLEMENTOS!$E$4:$E$3243,$A54),0)))</f>
        <v>0</v>
      </c>
      <c r="C54" s="45">
        <f>IF(OR(PRECIOS_COMPLEMENTOS!A5="",$A54=""),"",IF($C$2="TODOS",IFERROR(SUMIFS(INVENTARIO_COMPLEMENTOS!$H$4:$H$3243,INVENTARIO_COMPLEMENTOS!$B$4:$B$3243,PRECIOS_COMPLEMENTOS!A5,INVENTARIO_COMPLEMENTOS!$C$4:$C$3243,PRECIOS_COMPLEMENTOS!B5,INVENTARIO_COMPLEMENTOS!$E$4:$E$3243,$A54),0),IFERROR(SUMIFS(INVENTARIO_COMPLEMENTOS!$H$4:$H$3243,INVENTARIO_COMPLEMENTOS!$A$4:$A$3243,$C$2,INVENTARIO_COMPLEMENTOS!$B$4:$B$3243,PRECIOS_COMPLEMENTOS!A5,INVENTARIO_COMPLEMENTOS!$C$4:$C$3243,PRECIOS_COMPLEMENTOS!B5,INVENTARIO_COMPLEMENTOS!$E$4:$E$3243,$A54),0)))</f>
        <v>0</v>
      </c>
      <c r="D54" s="45">
        <f>IF(OR(PRECIOS_COMPLEMENTOS!A6="",$A54=""),"",IF($C$2="TODOS",IFERROR(SUMIFS(INVENTARIO_COMPLEMENTOS!$H$4:$H$3243,INVENTARIO_COMPLEMENTOS!$B$4:$B$3243,PRECIOS_COMPLEMENTOS!A6,INVENTARIO_COMPLEMENTOS!$C$4:$C$3243,PRECIOS_COMPLEMENTOS!B6,INVENTARIO_COMPLEMENTOS!$E$4:$E$3243,$A54),0),IFERROR(SUMIFS(INVENTARIO_COMPLEMENTOS!$H$4:$H$3243,INVENTARIO_COMPLEMENTOS!$A$4:$A$3243,$C$2,INVENTARIO_COMPLEMENTOS!$B$4:$B$3243,PRECIOS_COMPLEMENTOS!A6,INVENTARIO_COMPLEMENTOS!$C$4:$C$3243,PRECIOS_COMPLEMENTOS!B6,INVENTARIO_COMPLEMENTOS!$E$4:$E$3243,$A54),0)))</f>
        <v>0</v>
      </c>
      <c r="E54" s="45">
        <f>IF(OR(PRECIOS_COMPLEMENTOS!A7="",$A54=""),"",IF($C$2="TODOS",IFERROR(SUMIFS(INVENTARIO_COMPLEMENTOS!$H$4:$H$3243,INVENTARIO_COMPLEMENTOS!$B$4:$B$3243,PRECIOS_COMPLEMENTOS!A7,INVENTARIO_COMPLEMENTOS!$C$4:$C$3243,PRECIOS_COMPLEMENTOS!B7,INVENTARIO_COMPLEMENTOS!$E$4:$E$3243,$A54),0),IFERROR(SUMIFS(INVENTARIO_COMPLEMENTOS!$H$4:$H$3243,INVENTARIO_COMPLEMENTOS!$A$4:$A$3243,$C$2,INVENTARIO_COMPLEMENTOS!$B$4:$B$3243,PRECIOS_COMPLEMENTOS!A7,INVENTARIO_COMPLEMENTOS!$C$4:$C$3243,PRECIOS_COMPLEMENTOS!B7,INVENTARIO_COMPLEMENTOS!$E$4:$E$3243,$A54),0)))</f>
        <v>0</v>
      </c>
      <c r="F54" s="45">
        <f>IF(OR(PRECIOS_COMPLEMENTOS!A8="",$A54=""),"",IF($C$2="TODOS",IFERROR(SUMIFS(INVENTARIO_COMPLEMENTOS!$H$4:$H$3243,INVENTARIO_COMPLEMENTOS!$B$4:$B$3243,PRECIOS_COMPLEMENTOS!A8,INVENTARIO_COMPLEMENTOS!$C$4:$C$3243,PRECIOS_COMPLEMENTOS!B8,INVENTARIO_COMPLEMENTOS!$E$4:$E$3243,$A54),0),IFERROR(SUMIFS(INVENTARIO_COMPLEMENTOS!$H$4:$H$3243,INVENTARIO_COMPLEMENTOS!$A$4:$A$3243,$C$2,INVENTARIO_COMPLEMENTOS!$B$4:$B$3243,PRECIOS_COMPLEMENTOS!A8,INVENTARIO_COMPLEMENTOS!$C$4:$C$3243,PRECIOS_COMPLEMENTOS!B8,INVENTARIO_COMPLEMENTOS!$E$4:$E$3243,$A54),0)))</f>
        <v>0</v>
      </c>
      <c r="G54" s="45">
        <f>IF(OR(PRECIOS_COMPLEMENTOS!A9="",$A54=""),"",IF($C$2="TODOS",IFERROR(SUMIFS(INVENTARIO_COMPLEMENTOS!$H$4:$H$3243,INVENTARIO_COMPLEMENTOS!$B$4:$B$3243,PRECIOS_COMPLEMENTOS!A9,INVENTARIO_COMPLEMENTOS!$C$4:$C$3243,PRECIOS_COMPLEMENTOS!B9,INVENTARIO_COMPLEMENTOS!$E$4:$E$3243,$A54),0),IFERROR(SUMIFS(INVENTARIO_COMPLEMENTOS!$H$4:$H$3243,INVENTARIO_COMPLEMENTOS!$A$4:$A$3243,$C$2,INVENTARIO_COMPLEMENTOS!$B$4:$B$3243,PRECIOS_COMPLEMENTOS!A9,INVENTARIO_COMPLEMENTOS!$C$4:$C$3243,PRECIOS_COMPLEMENTOS!B9,INVENTARIO_COMPLEMENTOS!$E$4:$E$3243,$A54),0)))</f>
        <v>0</v>
      </c>
      <c r="H54" s="45">
        <f>IF(OR(PRECIOS_COMPLEMENTOS!A10="",$A54=""),"",IF($C$2="TODOS",IFERROR(SUMIFS(INVENTARIO_COMPLEMENTOS!$H$4:$H$3243,INVENTARIO_COMPLEMENTOS!$B$4:$B$3243,PRECIOS_COMPLEMENTOS!A10,INVENTARIO_COMPLEMENTOS!$C$4:$C$3243,PRECIOS_COMPLEMENTOS!B10,INVENTARIO_COMPLEMENTOS!$E$4:$E$3243,$A54),0),IFERROR(SUMIFS(INVENTARIO_COMPLEMENTOS!$H$4:$H$3243,INVENTARIO_COMPLEMENTOS!$A$4:$A$3243,$C$2,INVENTARIO_COMPLEMENTOS!$B$4:$B$3243,PRECIOS_COMPLEMENTOS!A10,INVENTARIO_COMPLEMENTOS!$C$4:$C$3243,PRECIOS_COMPLEMENTOS!B10,INVENTARIO_COMPLEMENTOS!$E$4:$E$3243,$A54),0)))</f>
        <v>0</v>
      </c>
      <c r="I54" s="45" t="str">
        <f>IF(OR(PRECIOS_COMPLEMENTOS!A11="",$A54=""),"",IF($C$2="TODOS",IFERROR(SUMIFS(INVENTARIO_COMPLEMENTOS!$H$4:$H$3243,INVENTARIO_COMPLEMENTOS!$B$4:$B$3243,PRECIOS_COMPLEMENTOS!A11,INVENTARIO_COMPLEMENTOS!$C$4:$C$3243,PRECIOS_COMPLEMENTOS!B11,INVENTARIO_COMPLEMENTOS!$E$4:$E$3243,$A54),0),IFERROR(SUMIFS(INVENTARIO_COMPLEMENTOS!$H$4:$H$3243,INVENTARIO_COMPLEMENTOS!$A$4:$A$3243,$C$2,INVENTARIO_COMPLEMENTOS!$B$4:$B$3243,PRECIOS_COMPLEMENTOS!A11,INVENTARIO_COMPLEMENTOS!$C$4:$C$3243,PRECIOS_COMPLEMENTOS!B11,INVENTARIO_COMPLEMENTOS!$E$4:$E$3243,$A54),0)))</f>
        <v/>
      </c>
      <c r="J54" s="45" t="str">
        <f>IF(OR(PRECIOS_COMPLEMENTOS!A12="",$A54=""),"",IF($C$2="TODOS",IFERROR(SUMIFS(INVENTARIO_COMPLEMENTOS!$H$4:$H$3243,INVENTARIO_COMPLEMENTOS!$B$4:$B$3243,PRECIOS_COMPLEMENTOS!A12,INVENTARIO_COMPLEMENTOS!$C$4:$C$3243,PRECIOS_COMPLEMENTOS!B12,INVENTARIO_COMPLEMENTOS!$E$4:$E$3243,$A54),0),IFERROR(SUMIFS(INVENTARIO_COMPLEMENTOS!$H$4:$H$3243,INVENTARIO_COMPLEMENTOS!$A$4:$A$3243,$C$2,INVENTARIO_COMPLEMENTOS!$B$4:$B$3243,PRECIOS_COMPLEMENTOS!A12,INVENTARIO_COMPLEMENTOS!$C$4:$C$3243,PRECIOS_COMPLEMENTOS!B12,INVENTARIO_COMPLEMENTOS!$E$4:$E$3243,$A54),0)))</f>
        <v/>
      </c>
      <c r="K54" s="45" t="str">
        <f>IF(OR(PRECIOS_COMPLEMENTOS!A13="",$A54=""),"",IF($C$2="TODOS",IFERROR(SUMIFS(INVENTARIO_COMPLEMENTOS!$H$4:$H$3243,INVENTARIO_COMPLEMENTOS!$B$4:$B$3243,PRECIOS_COMPLEMENTOS!A13,INVENTARIO_COMPLEMENTOS!$C$4:$C$3243,PRECIOS_COMPLEMENTOS!B13,INVENTARIO_COMPLEMENTOS!$E$4:$E$3243,$A54),0),IFERROR(SUMIFS(INVENTARIO_COMPLEMENTOS!$H$4:$H$3243,INVENTARIO_COMPLEMENTOS!$A$4:$A$3243,$C$2,INVENTARIO_COMPLEMENTOS!$B$4:$B$3243,PRECIOS_COMPLEMENTOS!A13,INVENTARIO_COMPLEMENTOS!$C$4:$C$3243,PRECIOS_COMPLEMENTOS!B13,INVENTARIO_COMPLEMENTOS!$E$4:$E$3243,$A54),0)))</f>
        <v/>
      </c>
      <c r="L54" s="45" t="str">
        <f>IF(OR(PRECIOS_COMPLEMENTOS!A14="",$A54=""),"",IF($C$2="TODOS",IFERROR(SUMIFS(INVENTARIO_COMPLEMENTOS!$H$4:$H$3243,INVENTARIO_COMPLEMENTOS!$B$4:$B$3243,PRECIOS_COMPLEMENTOS!A14,INVENTARIO_COMPLEMENTOS!$C$4:$C$3243,PRECIOS_COMPLEMENTOS!B14,INVENTARIO_COMPLEMENTOS!$E$4:$E$3243,$A54),0),IFERROR(SUMIFS(INVENTARIO_COMPLEMENTOS!$H$4:$H$3243,INVENTARIO_COMPLEMENTOS!$A$4:$A$3243,$C$2,INVENTARIO_COMPLEMENTOS!$B$4:$B$3243,PRECIOS_COMPLEMENTOS!A14,INVENTARIO_COMPLEMENTOS!$C$4:$C$3243,PRECIOS_COMPLEMENTOS!B14,INVENTARIO_COMPLEMENTOS!$E$4:$E$3243,$A54),0)))</f>
        <v/>
      </c>
      <c r="M54" s="45" t="str">
        <f>IF(OR(PRECIOS_COMPLEMENTOS!A15="",$A54=""),"",IF($C$2="TODOS",IFERROR(SUMIFS(INVENTARIO_COMPLEMENTOS!$H$4:$H$3243,INVENTARIO_COMPLEMENTOS!$B$4:$B$3243,PRECIOS_COMPLEMENTOS!A15,INVENTARIO_COMPLEMENTOS!$C$4:$C$3243,PRECIOS_COMPLEMENTOS!B15,INVENTARIO_COMPLEMENTOS!$E$4:$E$3243,$A54),0),IFERROR(SUMIFS(INVENTARIO_COMPLEMENTOS!$H$4:$H$3243,INVENTARIO_COMPLEMENTOS!$A$4:$A$3243,$C$2,INVENTARIO_COMPLEMENTOS!$B$4:$B$3243,PRECIOS_COMPLEMENTOS!A15,INVENTARIO_COMPLEMENTOS!$C$4:$C$3243,PRECIOS_COMPLEMENTOS!B15,INVENTARIO_COMPLEMENTOS!$E$4:$E$3243,$A54),0)))</f>
        <v/>
      </c>
      <c r="N54" s="45" t="str">
        <f>IF(OR(PRECIOS_COMPLEMENTOS!A16="",$A54=""),"",IF($C$2="TODOS",IFERROR(SUMIFS(INVENTARIO_COMPLEMENTOS!$H$4:$H$3243,INVENTARIO_COMPLEMENTOS!$B$4:$B$3243,PRECIOS_COMPLEMENTOS!A16,INVENTARIO_COMPLEMENTOS!$C$4:$C$3243,PRECIOS_COMPLEMENTOS!B16,INVENTARIO_COMPLEMENTOS!$E$4:$E$3243,$A54),0),IFERROR(SUMIFS(INVENTARIO_COMPLEMENTOS!$H$4:$H$3243,INVENTARIO_COMPLEMENTOS!$A$4:$A$3243,$C$2,INVENTARIO_COMPLEMENTOS!$B$4:$B$3243,PRECIOS_COMPLEMENTOS!A16,INVENTARIO_COMPLEMENTOS!$C$4:$C$3243,PRECIOS_COMPLEMENTOS!B16,INVENTARIO_COMPLEMENTOS!$E$4:$E$3243,$A54),0)))</f>
        <v/>
      </c>
      <c r="O54" s="45" t="str">
        <f>IF(OR(PRECIOS_COMPLEMENTOS!A17="",$A54=""),"",IF($C$2="TODOS",IFERROR(SUMIFS(INVENTARIO_COMPLEMENTOS!$H$4:$H$3243,INVENTARIO_COMPLEMENTOS!$B$4:$B$3243,PRECIOS_COMPLEMENTOS!A17,INVENTARIO_COMPLEMENTOS!$C$4:$C$3243,PRECIOS_COMPLEMENTOS!B17,INVENTARIO_COMPLEMENTOS!$E$4:$E$3243,$A54),0),IFERROR(SUMIFS(INVENTARIO_COMPLEMENTOS!$H$4:$H$3243,INVENTARIO_COMPLEMENTOS!$A$4:$A$3243,$C$2,INVENTARIO_COMPLEMENTOS!$B$4:$B$3243,PRECIOS_COMPLEMENTOS!A17,INVENTARIO_COMPLEMENTOS!$C$4:$C$3243,PRECIOS_COMPLEMENTOS!B17,INVENTARIO_COMPLEMENTOS!$E$4:$E$3243,$A54),0)))</f>
        <v/>
      </c>
      <c r="P54" s="46">
        <f t="shared" si="3"/>
        <v>0</v>
      </c>
      <c r="Q54" s="47">
        <f>IF($A54="","",IF($C$2="TODOS",IFERROR(SUMIFS(INVENTARIO_COMPLEMENTOS!$J$4:$J$3243,INVENTARIO_COMPLEMENTOS!$E$4:$E$3243,$A54),0),IFERROR(SUMIFS(INVENTARIO_COMPLEMENTOS!$J$4:$J$3243,INVENTARIO_COMPLEMENTOS!$A$4:$A$3243,$C$2,INVENTARIO_COMPLEMENTOS!$E$4:$E$3243,$A54),0)))</f>
        <v>0</v>
      </c>
    </row>
    <row r="55" ht="15.0" customHeight="1">
      <c r="A55" s="44" t="str">
        <f>IFERROR(IF(COLORES!A19="","",COLORES!A19),"")</f>
        <v/>
      </c>
      <c r="B55" s="45" t="str">
        <f>IF(OR(PRECIOS_COMPLEMENTOS!A4="",$A55=""),"",IF($C$2="TODOS",IFERROR(SUMIFS(INVENTARIO_COMPLEMENTOS!$H$4:$H$3243,INVENTARIO_COMPLEMENTOS!$B$4:$B$3243,PRECIOS_COMPLEMENTOS!A4,INVENTARIO_COMPLEMENTOS!$C$4:$C$3243,PRECIOS_COMPLEMENTOS!B4,INVENTARIO_COMPLEMENTOS!$E$4:$E$3243,$A55),0),IFERROR(SUMIFS(INVENTARIO_COMPLEMENTOS!$H$4:$H$3243,INVENTARIO_COMPLEMENTOS!$A$4:$A$3243,$C$2,INVENTARIO_COMPLEMENTOS!$B$4:$B$3243,PRECIOS_COMPLEMENTOS!A4,INVENTARIO_COMPLEMENTOS!$C$4:$C$3243,PRECIOS_COMPLEMENTOS!B4,INVENTARIO_COMPLEMENTOS!$E$4:$E$3243,$A55),0)))</f>
        <v/>
      </c>
      <c r="C55" s="45" t="str">
        <f>IF(OR(PRECIOS_COMPLEMENTOS!A5="",$A55=""),"",IF($C$2="TODOS",IFERROR(SUMIFS(INVENTARIO_COMPLEMENTOS!$H$4:$H$3243,INVENTARIO_COMPLEMENTOS!$B$4:$B$3243,PRECIOS_COMPLEMENTOS!A5,INVENTARIO_COMPLEMENTOS!$C$4:$C$3243,PRECIOS_COMPLEMENTOS!B5,INVENTARIO_COMPLEMENTOS!$E$4:$E$3243,$A55),0),IFERROR(SUMIFS(INVENTARIO_COMPLEMENTOS!$H$4:$H$3243,INVENTARIO_COMPLEMENTOS!$A$4:$A$3243,$C$2,INVENTARIO_COMPLEMENTOS!$B$4:$B$3243,PRECIOS_COMPLEMENTOS!A5,INVENTARIO_COMPLEMENTOS!$C$4:$C$3243,PRECIOS_COMPLEMENTOS!B5,INVENTARIO_COMPLEMENTOS!$E$4:$E$3243,$A55),0)))</f>
        <v/>
      </c>
      <c r="D55" s="45" t="str">
        <f>IF(OR(PRECIOS_COMPLEMENTOS!A6="",$A55=""),"",IF($C$2="TODOS",IFERROR(SUMIFS(INVENTARIO_COMPLEMENTOS!$H$4:$H$3243,INVENTARIO_COMPLEMENTOS!$B$4:$B$3243,PRECIOS_COMPLEMENTOS!A6,INVENTARIO_COMPLEMENTOS!$C$4:$C$3243,PRECIOS_COMPLEMENTOS!B6,INVENTARIO_COMPLEMENTOS!$E$4:$E$3243,$A55),0),IFERROR(SUMIFS(INVENTARIO_COMPLEMENTOS!$H$4:$H$3243,INVENTARIO_COMPLEMENTOS!$A$4:$A$3243,$C$2,INVENTARIO_COMPLEMENTOS!$B$4:$B$3243,PRECIOS_COMPLEMENTOS!A6,INVENTARIO_COMPLEMENTOS!$C$4:$C$3243,PRECIOS_COMPLEMENTOS!B6,INVENTARIO_COMPLEMENTOS!$E$4:$E$3243,$A55),0)))</f>
        <v/>
      </c>
      <c r="E55" s="45" t="str">
        <f>IF(OR(PRECIOS_COMPLEMENTOS!A7="",$A55=""),"",IF($C$2="TODOS",IFERROR(SUMIFS(INVENTARIO_COMPLEMENTOS!$H$4:$H$3243,INVENTARIO_COMPLEMENTOS!$B$4:$B$3243,PRECIOS_COMPLEMENTOS!A7,INVENTARIO_COMPLEMENTOS!$C$4:$C$3243,PRECIOS_COMPLEMENTOS!B7,INVENTARIO_COMPLEMENTOS!$E$4:$E$3243,$A55),0),IFERROR(SUMIFS(INVENTARIO_COMPLEMENTOS!$H$4:$H$3243,INVENTARIO_COMPLEMENTOS!$A$4:$A$3243,$C$2,INVENTARIO_COMPLEMENTOS!$B$4:$B$3243,PRECIOS_COMPLEMENTOS!A7,INVENTARIO_COMPLEMENTOS!$C$4:$C$3243,PRECIOS_COMPLEMENTOS!B7,INVENTARIO_COMPLEMENTOS!$E$4:$E$3243,$A55),0)))</f>
        <v/>
      </c>
      <c r="F55" s="45" t="str">
        <f>IF(OR(PRECIOS_COMPLEMENTOS!A8="",$A55=""),"",IF($C$2="TODOS",IFERROR(SUMIFS(INVENTARIO_COMPLEMENTOS!$H$4:$H$3243,INVENTARIO_COMPLEMENTOS!$B$4:$B$3243,PRECIOS_COMPLEMENTOS!A8,INVENTARIO_COMPLEMENTOS!$C$4:$C$3243,PRECIOS_COMPLEMENTOS!B8,INVENTARIO_COMPLEMENTOS!$E$4:$E$3243,$A55),0),IFERROR(SUMIFS(INVENTARIO_COMPLEMENTOS!$H$4:$H$3243,INVENTARIO_COMPLEMENTOS!$A$4:$A$3243,$C$2,INVENTARIO_COMPLEMENTOS!$B$4:$B$3243,PRECIOS_COMPLEMENTOS!A8,INVENTARIO_COMPLEMENTOS!$C$4:$C$3243,PRECIOS_COMPLEMENTOS!B8,INVENTARIO_COMPLEMENTOS!$E$4:$E$3243,$A55),0)))</f>
        <v/>
      </c>
      <c r="G55" s="45" t="str">
        <f>IF(OR(PRECIOS_COMPLEMENTOS!A9="",$A55=""),"",IF($C$2="TODOS",IFERROR(SUMIFS(INVENTARIO_COMPLEMENTOS!$H$4:$H$3243,INVENTARIO_COMPLEMENTOS!$B$4:$B$3243,PRECIOS_COMPLEMENTOS!A9,INVENTARIO_COMPLEMENTOS!$C$4:$C$3243,PRECIOS_COMPLEMENTOS!B9,INVENTARIO_COMPLEMENTOS!$E$4:$E$3243,$A55),0),IFERROR(SUMIFS(INVENTARIO_COMPLEMENTOS!$H$4:$H$3243,INVENTARIO_COMPLEMENTOS!$A$4:$A$3243,$C$2,INVENTARIO_COMPLEMENTOS!$B$4:$B$3243,PRECIOS_COMPLEMENTOS!A9,INVENTARIO_COMPLEMENTOS!$C$4:$C$3243,PRECIOS_COMPLEMENTOS!B9,INVENTARIO_COMPLEMENTOS!$E$4:$E$3243,$A55),0)))</f>
        <v/>
      </c>
      <c r="H55" s="45" t="str">
        <f>IF(OR(PRECIOS_COMPLEMENTOS!A10="",$A55=""),"",IF($C$2="TODOS",IFERROR(SUMIFS(INVENTARIO_COMPLEMENTOS!$H$4:$H$3243,INVENTARIO_COMPLEMENTOS!$B$4:$B$3243,PRECIOS_COMPLEMENTOS!A10,INVENTARIO_COMPLEMENTOS!$C$4:$C$3243,PRECIOS_COMPLEMENTOS!B10,INVENTARIO_COMPLEMENTOS!$E$4:$E$3243,$A55),0),IFERROR(SUMIFS(INVENTARIO_COMPLEMENTOS!$H$4:$H$3243,INVENTARIO_COMPLEMENTOS!$A$4:$A$3243,$C$2,INVENTARIO_COMPLEMENTOS!$B$4:$B$3243,PRECIOS_COMPLEMENTOS!A10,INVENTARIO_COMPLEMENTOS!$C$4:$C$3243,PRECIOS_COMPLEMENTOS!B10,INVENTARIO_COMPLEMENTOS!$E$4:$E$3243,$A55),0)))</f>
        <v/>
      </c>
      <c r="I55" s="45" t="str">
        <f>IF(OR(PRECIOS_COMPLEMENTOS!A11="",$A55=""),"",IF($C$2="TODOS",IFERROR(SUMIFS(INVENTARIO_COMPLEMENTOS!$H$4:$H$3243,INVENTARIO_COMPLEMENTOS!$B$4:$B$3243,PRECIOS_COMPLEMENTOS!A11,INVENTARIO_COMPLEMENTOS!$C$4:$C$3243,PRECIOS_COMPLEMENTOS!B11,INVENTARIO_COMPLEMENTOS!$E$4:$E$3243,$A55),0),IFERROR(SUMIFS(INVENTARIO_COMPLEMENTOS!$H$4:$H$3243,INVENTARIO_COMPLEMENTOS!$A$4:$A$3243,$C$2,INVENTARIO_COMPLEMENTOS!$B$4:$B$3243,PRECIOS_COMPLEMENTOS!A11,INVENTARIO_COMPLEMENTOS!$C$4:$C$3243,PRECIOS_COMPLEMENTOS!B11,INVENTARIO_COMPLEMENTOS!$E$4:$E$3243,$A55),0)))</f>
        <v/>
      </c>
      <c r="J55" s="45" t="str">
        <f>IF(OR(PRECIOS_COMPLEMENTOS!A12="",$A55=""),"",IF($C$2="TODOS",IFERROR(SUMIFS(INVENTARIO_COMPLEMENTOS!$H$4:$H$3243,INVENTARIO_COMPLEMENTOS!$B$4:$B$3243,PRECIOS_COMPLEMENTOS!A12,INVENTARIO_COMPLEMENTOS!$C$4:$C$3243,PRECIOS_COMPLEMENTOS!B12,INVENTARIO_COMPLEMENTOS!$E$4:$E$3243,$A55),0),IFERROR(SUMIFS(INVENTARIO_COMPLEMENTOS!$H$4:$H$3243,INVENTARIO_COMPLEMENTOS!$A$4:$A$3243,$C$2,INVENTARIO_COMPLEMENTOS!$B$4:$B$3243,PRECIOS_COMPLEMENTOS!A12,INVENTARIO_COMPLEMENTOS!$C$4:$C$3243,PRECIOS_COMPLEMENTOS!B12,INVENTARIO_COMPLEMENTOS!$E$4:$E$3243,$A55),0)))</f>
        <v/>
      </c>
      <c r="K55" s="45" t="str">
        <f>IF(OR(PRECIOS_COMPLEMENTOS!A13="",$A55=""),"",IF($C$2="TODOS",IFERROR(SUMIFS(INVENTARIO_COMPLEMENTOS!$H$4:$H$3243,INVENTARIO_COMPLEMENTOS!$B$4:$B$3243,PRECIOS_COMPLEMENTOS!A13,INVENTARIO_COMPLEMENTOS!$C$4:$C$3243,PRECIOS_COMPLEMENTOS!B13,INVENTARIO_COMPLEMENTOS!$E$4:$E$3243,$A55),0),IFERROR(SUMIFS(INVENTARIO_COMPLEMENTOS!$H$4:$H$3243,INVENTARIO_COMPLEMENTOS!$A$4:$A$3243,$C$2,INVENTARIO_COMPLEMENTOS!$B$4:$B$3243,PRECIOS_COMPLEMENTOS!A13,INVENTARIO_COMPLEMENTOS!$C$4:$C$3243,PRECIOS_COMPLEMENTOS!B13,INVENTARIO_COMPLEMENTOS!$E$4:$E$3243,$A55),0)))</f>
        <v/>
      </c>
      <c r="L55" s="45" t="str">
        <f>IF(OR(PRECIOS_COMPLEMENTOS!A14="",$A55=""),"",IF($C$2="TODOS",IFERROR(SUMIFS(INVENTARIO_COMPLEMENTOS!$H$4:$H$3243,INVENTARIO_COMPLEMENTOS!$B$4:$B$3243,PRECIOS_COMPLEMENTOS!A14,INVENTARIO_COMPLEMENTOS!$C$4:$C$3243,PRECIOS_COMPLEMENTOS!B14,INVENTARIO_COMPLEMENTOS!$E$4:$E$3243,$A55),0),IFERROR(SUMIFS(INVENTARIO_COMPLEMENTOS!$H$4:$H$3243,INVENTARIO_COMPLEMENTOS!$A$4:$A$3243,$C$2,INVENTARIO_COMPLEMENTOS!$B$4:$B$3243,PRECIOS_COMPLEMENTOS!A14,INVENTARIO_COMPLEMENTOS!$C$4:$C$3243,PRECIOS_COMPLEMENTOS!B14,INVENTARIO_COMPLEMENTOS!$E$4:$E$3243,$A55),0)))</f>
        <v/>
      </c>
      <c r="M55" s="45" t="str">
        <f>IF(OR(PRECIOS_COMPLEMENTOS!A15="",$A55=""),"",IF($C$2="TODOS",IFERROR(SUMIFS(INVENTARIO_COMPLEMENTOS!$H$4:$H$3243,INVENTARIO_COMPLEMENTOS!$B$4:$B$3243,PRECIOS_COMPLEMENTOS!A15,INVENTARIO_COMPLEMENTOS!$C$4:$C$3243,PRECIOS_COMPLEMENTOS!B15,INVENTARIO_COMPLEMENTOS!$E$4:$E$3243,$A55),0),IFERROR(SUMIFS(INVENTARIO_COMPLEMENTOS!$H$4:$H$3243,INVENTARIO_COMPLEMENTOS!$A$4:$A$3243,$C$2,INVENTARIO_COMPLEMENTOS!$B$4:$B$3243,PRECIOS_COMPLEMENTOS!A15,INVENTARIO_COMPLEMENTOS!$C$4:$C$3243,PRECIOS_COMPLEMENTOS!B15,INVENTARIO_COMPLEMENTOS!$E$4:$E$3243,$A55),0)))</f>
        <v/>
      </c>
      <c r="N55" s="45" t="str">
        <f>IF(OR(PRECIOS_COMPLEMENTOS!A16="",$A55=""),"",IF($C$2="TODOS",IFERROR(SUMIFS(INVENTARIO_COMPLEMENTOS!$H$4:$H$3243,INVENTARIO_COMPLEMENTOS!$B$4:$B$3243,PRECIOS_COMPLEMENTOS!A16,INVENTARIO_COMPLEMENTOS!$C$4:$C$3243,PRECIOS_COMPLEMENTOS!B16,INVENTARIO_COMPLEMENTOS!$E$4:$E$3243,$A55),0),IFERROR(SUMIFS(INVENTARIO_COMPLEMENTOS!$H$4:$H$3243,INVENTARIO_COMPLEMENTOS!$A$4:$A$3243,$C$2,INVENTARIO_COMPLEMENTOS!$B$4:$B$3243,PRECIOS_COMPLEMENTOS!A16,INVENTARIO_COMPLEMENTOS!$C$4:$C$3243,PRECIOS_COMPLEMENTOS!B16,INVENTARIO_COMPLEMENTOS!$E$4:$E$3243,$A55),0)))</f>
        <v/>
      </c>
      <c r="O55" s="45" t="str">
        <f>IF(OR(PRECIOS_COMPLEMENTOS!A17="",$A55=""),"",IF($C$2="TODOS",IFERROR(SUMIFS(INVENTARIO_COMPLEMENTOS!$H$4:$H$3243,INVENTARIO_COMPLEMENTOS!$B$4:$B$3243,PRECIOS_COMPLEMENTOS!A17,INVENTARIO_COMPLEMENTOS!$C$4:$C$3243,PRECIOS_COMPLEMENTOS!B17,INVENTARIO_COMPLEMENTOS!$E$4:$E$3243,$A55),0),IFERROR(SUMIFS(INVENTARIO_COMPLEMENTOS!$H$4:$H$3243,INVENTARIO_COMPLEMENTOS!$A$4:$A$3243,$C$2,INVENTARIO_COMPLEMENTOS!$B$4:$B$3243,PRECIOS_COMPLEMENTOS!A17,INVENTARIO_COMPLEMENTOS!$C$4:$C$3243,PRECIOS_COMPLEMENTOS!B17,INVENTARIO_COMPLEMENTOS!$E$4:$E$3243,$A55),0)))</f>
        <v/>
      </c>
      <c r="P55" s="46">
        <f t="shared" si="3"/>
        <v>0</v>
      </c>
      <c r="Q55" s="47" t="str">
        <f>IF($A55="","",IF($C$2="TODOS",IFERROR(SUMIFS(INVENTARIO_COMPLEMENTOS!$J$4:$J$3243,INVENTARIO_COMPLEMENTOS!$E$4:$E$3243,$A55),0),IFERROR(SUMIFS(INVENTARIO_COMPLEMENTOS!$J$4:$J$3243,INVENTARIO_COMPLEMENTOS!$A$4:$A$3243,$C$2,INVENTARIO_COMPLEMENTOS!$E$4:$E$3243,$A55),0)))</f>
        <v/>
      </c>
    </row>
    <row r="56" ht="15.0" customHeight="1">
      <c r="A56" s="44" t="str">
        <f>IFERROR(IF(COLORES!A20="","",COLORES!A20),"")</f>
        <v/>
      </c>
      <c r="B56" s="45" t="str">
        <f>IF(OR(PRECIOS_COMPLEMENTOS!A4="",$A56=""),"",IF($C$2="TODOS",IFERROR(SUMIFS(INVENTARIO_COMPLEMENTOS!$H$4:$H$3243,INVENTARIO_COMPLEMENTOS!$B$4:$B$3243,PRECIOS_COMPLEMENTOS!A4,INVENTARIO_COMPLEMENTOS!$C$4:$C$3243,PRECIOS_COMPLEMENTOS!B4,INVENTARIO_COMPLEMENTOS!$E$4:$E$3243,$A56),0),IFERROR(SUMIFS(INVENTARIO_COMPLEMENTOS!$H$4:$H$3243,INVENTARIO_COMPLEMENTOS!$A$4:$A$3243,$C$2,INVENTARIO_COMPLEMENTOS!$B$4:$B$3243,PRECIOS_COMPLEMENTOS!A4,INVENTARIO_COMPLEMENTOS!$C$4:$C$3243,PRECIOS_COMPLEMENTOS!B4,INVENTARIO_COMPLEMENTOS!$E$4:$E$3243,$A56),0)))</f>
        <v/>
      </c>
      <c r="C56" s="45" t="str">
        <f>IF(OR(PRECIOS_COMPLEMENTOS!A5="",$A56=""),"",IF($C$2="TODOS",IFERROR(SUMIFS(INVENTARIO_COMPLEMENTOS!$H$4:$H$3243,INVENTARIO_COMPLEMENTOS!$B$4:$B$3243,PRECIOS_COMPLEMENTOS!A5,INVENTARIO_COMPLEMENTOS!$C$4:$C$3243,PRECIOS_COMPLEMENTOS!B5,INVENTARIO_COMPLEMENTOS!$E$4:$E$3243,$A56),0),IFERROR(SUMIFS(INVENTARIO_COMPLEMENTOS!$H$4:$H$3243,INVENTARIO_COMPLEMENTOS!$A$4:$A$3243,$C$2,INVENTARIO_COMPLEMENTOS!$B$4:$B$3243,PRECIOS_COMPLEMENTOS!A5,INVENTARIO_COMPLEMENTOS!$C$4:$C$3243,PRECIOS_COMPLEMENTOS!B5,INVENTARIO_COMPLEMENTOS!$E$4:$E$3243,$A56),0)))</f>
        <v/>
      </c>
      <c r="D56" s="45" t="str">
        <f>IF(OR(PRECIOS_COMPLEMENTOS!A6="",$A56=""),"",IF($C$2="TODOS",IFERROR(SUMIFS(INVENTARIO_COMPLEMENTOS!$H$4:$H$3243,INVENTARIO_COMPLEMENTOS!$B$4:$B$3243,PRECIOS_COMPLEMENTOS!A6,INVENTARIO_COMPLEMENTOS!$C$4:$C$3243,PRECIOS_COMPLEMENTOS!B6,INVENTARIO_COMPLEMENTOS!$E$4:$E$3243,$A56),0),IFERROR(SUMIFS(INVENTARIO_COMPLEMENTOS!$H$4:$H$3243,INVENTARIO_COMPLEMENTOS!$A$4:$A$3243,$C$2,INVENTARIO_COMPLEMENTOS!$B$4:$B$3243,PRECIOS_COMPLEMENTOS!A6,INVENTARIO_COMPLEMENTOS!$C$4:$C$3243,PRECIOS_COMPLEMENTOS!B6,INVENTARIO_COMPLEMENTOS!$E$4:$E$3243,$A56),0)))</f>
        <v/>
      </c>
      <c r="E56" s="45" t="str">
        <f>IF(OR(PRECIOS_COMPLEMENTOS!A7="",$A56=""),"",IF($C$2="TODOS",IFERROR(SUMIFS(INVENTARIO_COMPLEMENTOS!$H$4:$H$3243,INVENTARIO_COMPLEMENTOS!$B$4:$B$3243,PRECIOS_COMPLEMENTOS!A7,INVENTARIO_COMPLEMENTOS!$C$4:$C$3243,PRECIOS_COMPLEMENTOS!B7,INVENTARIO_COMPLEMENTOS!$E$4:$E$3243,$A56),0),IFERROR(SUMIFS(INVENTARIO_COMPLEMENTOS!$H$4:$H$3243,INVENTARIO_COMPLEMENTOS!$A$4:$A$3243,$C$2,INVENTARIO_COMPLEMENTOS!$B$4:$B$3243,PRECIOS_COMPLEMENTOS!A7,INVENTARIO_COMPLEMENTOS!$C$4:$C$3243,PRECIOS_COMPLEMENTOS!B7,INVENTARIO_COMPLEMENTOS!$E$4:$E$3243,$A56),0)))</f>
        <v/>
      </c>
      <c r="F56" s="45" t="str">
        <f>IF(OR(PRECIOS_COMPLEMENTOS!A8="",$A56=""),"",IF($C$2="TODOS",IFERROR(SUMIFS(INVENTARIO_COMPLEMENTOS!$H$4:$H$3243,INVENTARIO_COMPLEMENTOS!$B$4:$B$3243,PRECIOS_COMPLEMENTOS!A8,INVENTARIO_COMPLEMENTOS!$C$4:$C$3243,PRECIOS_COMPLEMENTOS!B8,INVENTARIO_COMPLEMENTOS!$E$4:$E$3243,$A56),0),IFERROR(SUMIFS(INVENTARIO_COMPLEMENTOS!$H$4:$H$3243,INVENTARIO_COMPLEMENTOS!$A$4:$A$3243,$C$2,INVENTARIO_COMPLEMENTOS!$B$4:$B$3243,PRECIOS_COMPLEMENTOS!A8,INVENTARIO_COMPLEMENTOS!$C$4:$C$3243,PRECIOS_COMPLEMENTOS!B8,INVENTARIO_COMPLEMENTOS!$E$4:$E$3243,$A56),0)))</f>
        <v/>
      </c>
      <c r="G56" s="45" t="str">
        <f>IF(OR(PRECIOS_COMPLEMENTOS!A9="",$A56=""),"",IF($C$2="TODOS",IFERROR(SUMIFS(INVENTARIO_COMPLEMENTOS!$H$4:$H$3243,INVENTARIO_COMPLEMENTOS!$B$4:$B$3243,PRECIOS_COMPLEMENTOS!A9,INVENTARIO_COMPLEMENTOS!$C$4:$C$3243,PRECIOS_COMPLEMENTOS!B9,INVENTARIO_COMPLEMENTOS!$E$4:$E$3243,$A56),0),IFERROR(SUMIFS(INVENTARIO_COMPLEMENTOS!$H$4:$H$3243,INVENTARIO_COMPLEMENTOS!$A$4:$A$3243,$C$2,INVENTARIO_COMPLEMENTOS!$B$4:$B$3243,PRECIOS_COMPLEMENTOS!A9,INVENTARIO_COMPLEMENTOS!$C$4:$C$3243,PRECIOS_COMPLEMENTOS!B9,INVENTARIO_COMPLEMENTOS!$E$4:$E$3243,$A56),0)))</f>
        <v/>
      </c>
      <c r="H56" s="45" t="str">
        <f>IF(OR(PRECIOS_COMPLEMENTOS!A10="",$A56=""),"",IF($C$2="TODOS",IFERROR(SUMIFS(INVENTARIO_COMPLEMENTOS!$H$4:$H$3243,INVENTARIO_COMPLEMENTOS!$B$4:$B$3243,PRECIOS_COMPLEMENTOS!A10,INVENTARIO_COMPLEMENTOS!$C$4:$C$3243,PRECIOS_COMPLEMENTOS!B10,INVENTARIO_COMPLEMENTOS!$E$4:$E$3243,$A56),0),IFERROR(SUMIFS(INVENTARIO_COMPLEMENTOS!$H$4:$H$3243,INVENTARIO_COMPLEMENTOS!$A$4:$A$3243,$C$2,INVENTARIO_COMPLEMENTOS!$B$4:$B$3243,PRECIOS_COMPLEMENTOS!A10,INVENTARIO_COMPLEMENTOS!$C$4:$C$3243,PRECIOS_COMPLEMENTOS!B10,INVENTARIO_COMPLEMENTOS!$E$4:$E$3243,$A56),0)))</f>
        <v/>
      </c>
      <c r="I56" s="45" t="str">
        <f>IF(OR(PRECIOS_COMPLEMENTOS!A11="",$A56=""),"",IF($C$2="TODOS",IFERROR(SUMIFS(INVENTARIO_COMPLEMENTOS!$H$4:$H$3243,INVENTARIO_COMPLEMENTOS!$B$4:$B$3243,PRECIOS_COMPLEMENTOS!A11,INVENTARIO_COMPLEMENTOS!$C$4:$C$3243,PRECIOS_COMPLEMENTOS!B11,INVENTARIO_COMPLEMENTOS!$E$4:$E$3243,$A56),0),IFERROR(SUMIFS(INVENTARIO_COMPLEMENTOS!$H$4:$H$3243,INVENTARIO_COMPLEMENTOS!$A$4:$A$3243,$C$2,INVENTARIO_COMPLEMENTOS!$B$4:$B$3243,PRECIOS_COMPLEMENTOS!A11,INVENTARIO_COMPLEMENTOS!$C$4:$C$3243,PRECIOS_COMPLEMENTOS!B11,INVENTARIO_COMPLEMENTOS!$E$4:$E$3243,$A56),0)))</f>
        <v/>
      </c>
      <c r="J56" s="45" t="str">
        <f>IF(OR(PRECIOS_COMPLEMENTOS!A12="",$A56=""),"",IF($C$2="TODOS",IFERROR(SUMIFS(INVENTARIO_COMPLEMENTOS!$H$4:$H$3243,INVENTARIO_COMPLEMENTOS!$B$4:$B$3243,PRECIOS_COMPLEMENTOS!A12,INVENTARIO_COMPLEMENTOS!$C$4:$C$3243,PRECIOS_COMPLEMENTOS!B12,INVENTARIO_COMPLEMENTOS!$E$4:$E$3243,$A56),0),IFERROR(SUMIFS(INVENTARIO_COMPLEMENTOS!$H$4:$H$3243,INVENTARIO_COMPLEMENTOS!$A$4:$A$3243,$C$2,INVENTARIO_COMPLEMENTOS!$B$4:$B$3243,PRECIOS_COMPLEMENTOS!A12,INVENTARIO_COMPLEMENTOS!$C$4:$C$3243,PRECIOS_COMPLEMENTOS!B12,INVENTARIO_COMPLEMENTOS!$E$4:$E$3243,$A56),0)))</f>
        <v/>
      </c>
      <c r="K56" s="45" t="str">
        <f>IF(OR(PRECIOS_COMPLEMENTOS!A13="",$A56=""),"",IF($C$2="TODOS",IFERROR(SUMIFS(INVENTARIO_COMPLEMENTOS!$H$4:$H$3243,INVENTARIO_COMPLEMENTOS!$B$4:$B$3243,PRECIOS_COMPLEMENTOS!A13,INVENTARIO_COMPLEMENTOS!$C$4:$C$3243,PRECIOS_COMPLEMENTOS!B13,INVENTARIO_COMPLEMENTOS!$E$4:$E$3243,$A56),0),IFERROR(SUMIFS(INVENTARIO_COMPLEMENTOS!$H$4:$H$3243,INVENTARIO_COMPLEMENTOS!$A$4:$A$3243,$C$2,INVENTARIO_COMPLEMENTOS!$B$4:$B$3243,PRECIOS_COMPLEMENTOS!A13,INVENTARIO_COMPLEMENTOS!$C$4:$C$3243,PRECIOS_COMPLEMENTOS!B13,INVENTARIO_COMPLEMENTOS!$E$4:$E$3243,$A56),0)))</f>
        <v/>
      </c>
      <c r="L56" s="45" t="str">
        <f>IF(OR(PRECIOS_COMPLEMENTOS!A14="",$A56=""),"",IF($C$2="TODOS",IFERROR(SUMIFS(INVENTARIO_COMPLEMENTOS!$H$4:$H$3243,INVENTARIO_COMPLEMENTOS!$B$4:$B$3243,PRECIOS_COMPLEMENTOS!A14,INVENTARIO_COMPLEMENTOS!$C$4:$C$3243,PRECIOS_COMPLEMENTOS!B14,INVENTARIO_COMPLEMENTOS!$E$4:$E$3243,$A56),0),IFERROR(SUMIFS(INVENTARIO_COMPLEMENTOS!$H$4:$H$3243,INVENTARIO_COMPLEMENTOS!$A$4:$A$3243,$C$2,INVENTARIO_COMPLEMENTOS!$B$4:$B$3243,PRECIOS_COMPLEMENTOS!A14,INVENTARIO_COMPLEMENTOS!$C$4:$C$3243,PRECIOS_COMPLEMENTOS!B14,INVENTARIO_COMPLEMENTOS!$E$4:$E$3243,$A56),0)))</f>
        <v/>
      </c>
      <c r="M56" s="45" t="str">
        <f>IF(OR(PRECIOS_COMPLEMENTOS!A15="",$A56=""),"",IF($C$2="TODOS",IFERROR(SUMIFS(INVENTARIO_COMPLEMENTOS!$H$4:$H$3243,INVENTARIO_COMPLEMENTOS!$B$4:$B$3243,PRECIOS_COMPLEMENTOS!A15,INVENTARIO_COMPLEMENTOS!$C$4:$C$3243,PRECIOS_COMPLEMENTOS!B15,INVENTARIO_COMPLEMENTOS!$E$4:$E$3243,$A56),0),IFERROR(SUMIFS(INVENTARIO_COMPLEMENTOS!$H$4:$H$3243,INVENTARIO_COMPLEMENTOS!$A$4:$A$3243,$C$2,INVENTARIO_COMPLEMENTOS!$B$4:$B$3243,PRECIOS_COMPLEMENTOS!A15,INVENTARIO_COMPLEMENTOS!$C$4:$C$3243,PRECIOS_COMPLEMENTOS!B15,INVENTARIO_COMPLEMENTOS!$E$4:$E$3243,$A56),0)))</f>
        <v/>
      </c>
      <c r="N56" s="45" t="str">
        <f>IF(OR(PRECIOS_COMPLEMENTOS!A16="",$A56=""),"",IF($C$2="TODOS",IFERROR(SUMIFS(INVENTARIO_COMPLEMENTOS!$H$4:$H$3243,INVENTARIO_COMPLEMENTOS!$B$4:$B$3243,PRECIOS_COMPLEMENTOS!A16,INVENTARIO_COMPLEMENTOS!$C$4:$C$3243,PRECIOS_COMPLEMENTOS!B16,INVENTARIO_COMPLEMENTOS!$E$4:$E$3243,$A56),0),IFERROR(SUMIFS(INVENTARIO_COMPLEMENTOS!$H$4:$H$3243,INVENTARIO_COMPLEMENTOS!$A$4:$A$3243,$C$2,INVENTARIO_COMPLEMENTOS!$B$4:$B$3243,PRECIOS_COMPLEMENTOS!A16,INVENTARIO_COMPLEMENTOS!$C$4:$C$3243,PRECIOS_COMPLEMENTOS!B16,INVENTARIO_COMPLEMENTOS!$E$4:$E$3243,$A56),0)))</f>
        <v/>
      </c>
      <c r="O56" s="45" t="str">
        <f>IF(OR(PRECIOS_COMPLEMENTOS!A17="",$A56=""),"",IF($C$2="TODOS",IFERROR(SUMIFS(INVENTARIO_COMPLEMENTOS!$H$4:$H$3243,INVENTARIO_COMPLEMENTOS!$B$4:$B$3243,PRECIOS_COMPLEMENTOS!A17,INVENTARIO_COMPLEMENTOS!$C$4:$C$3243,PRECIOS_COMPLEMENTOS!B17,INVENTARIO_COMPLEMENTOS!$E$4:$E$3243,$A56),0),IFERROR(SUMIFS(INVENTARIO_COMPLEMENTOS!$H$4:$H$3243,INVENTARIO_COMPLEMENTOS!$A$4:$A$3243,$C$2,INVENTARIO_COMPLEMENTOS!$B$4:$B$3243,PRECIOS_COMPLEMENTOS!A17,INVENTARIO_COMPLEMENTOS!$C$4:$C$3243,PRECIOS_COMPLEMENTOS!B17,INVENTARIO_COMPLEMENTOS!$E$4:$E$3243,$A56),0)))</f>
        <v/>
      </c>
      <c r="P56" s="46">
        <f t="shared" si="3"/>
        <v>0</v>
      </c>
      <c r="Q56" s="47" t="str">
        <f>IF($A56="","",IF($C$2="TODOS",IFERROR(SUMIFS(INVENTARIO_COMPLEMENTOS!$J$4:$J$3243,INVENTARIO_COMPLEMENTOS!$E$4:$E$3243,$A56),0),IFERROR(SUMIFS(INVENTARIO_COMPLEMENTOS!$J$4:$J$3243,INVENTARIO_COMPLEMENTOS!$A$4:$A$3243,$C$2,INVENTARIO_COMPLEMENTOS!$E$4:$E$3243,$A56),0)))</f>
        <v/>
      </c>
    </row>
    <row r="57" ht="15.0" customHeight="1">
      <c r="A57" s="44" t="str">
        <f>IFERROR(IF(COLORES!A21="","",COLORES!A21),"")</f>
        <v/>
      </c>
      <c r="B57" s="45" t="str">
        <f>IF(OR(PRECIOS_COMPLEMENTOS!A4="",$A57=""),"",IF($C$2="TODOS",IFERROR(SUMIFS(INVENTARIO_COMPLEMENTOS!$H$4:$H$3243,INVENTARIO_COMPLEMENTOS!$B$4:$B$3243,PRECIOS_COMPLEMENTOS!A4,INVENTARIO_COMPLEMENTOS!$C$4:$C$3243,PRECIOS_COMPLEMENTOS!B4,INVENTARIO_COMPLEMENTOS!$E$4:$E$3243,$A57),0),IFERROR(SUMIFS(INVENTARIO_COMPLEMENTOS!$H$4:$H$3243,INVENTARIO_COMPLEMENTOS!$A$4:$A$3243,$C$2,INVENTARIO_COMPLEMENTOS!$B$4:$B$3243,PRECIOS_COMPLEMENTOS!A4,INVENTARIO_COMPLEMENTOS!$C$4:$C$3243,PRECIOS_COMPLEMENTOS!B4,INVENTARIO_COMPLEMENTOS!$E$4:$E$3243,$A57),0)))</f>
        <v/>
      </c>
      <c r="C57" s="45" t="str">
        <f>IF(OR(PRECIOS_COMPLEMENTOS!A5="",$A57=""),"",IF($C$2="TODOS",IFERROR(SUMIFS(INVENTARIO_COMPLEMENTOS!$H$4:$H$3243,INVENTARIO_COMPLEMENTOS!$B$4:$B$3243,PRECIOS_COMPLEMENTOS!A5,INVENTARIO_COMPLEMENTOS!$C$4:$C$3243,PRECIOS_COMPLEMENTOS!B5,INVENTARIO_COMPLEMENTOS!$E$4:$E$3243,$A57),0),IFERROR(SUMIFS(INVENTARIO_COMPLEMENTOS!$H$4:$H$3243,INVENTARIO_COMPLEMENTOS!$A$4:$A$3243,$C$2,INVENTARIO_COMPLEMENTOS!$B$4:$B$3243,PRECIOS_COMPLEMENTOS!A5,INVENTARIO_COMPLEMENTOS!$C$4:$C$3243,PRECIOS_COMPLEMENTOS!B5,INVENTARIO_COMPLEMENTOS!$E$4:$E$3243,$A57),0)))</f>
        <v/>
      </c>
      <c r="D57" s="45" t="str">
        <f>IF(OR(PRECIOS_COMPLEMENTOS!A6="",$A57=""),"",IF($C$2="TODOS",IFERROR(SUMIFS(INVENTARIO_COMPLEMENTOS!$H$4:$H$3243,INVENTARIO_COMPLEMENTOS!$B$4:$B$3243,PRECIOS_COMPLEMENTOS!A6,INVENTARIO_COMPLEMENTOS!$C$4:$C$3243,PRECIOS_COMPLEMENTOS!B6,INVENTARIO_COMPLEMENTOS!$E$4:$E$3243,$A57),0),IFERROR(SUMIFS(INVENTARIO_COMPLEMENTOS!$H$4:$H$3243,INVENTARIO_COMPLEMENTOS!$A$4:$A$3243,$C$2,INVENTARIO_COMPLEMENTOS!$B$4:$B$3243,PRECIOS_COMPLEMENTOS!A6,INVENTARIO_COMPLEMENTOS!$C$4:$C$3243,PRECIOS_COMPLEMENTOS!B6,INVENTARIO_COMPLEMENTOS!$E$4:$E$3243,$A57),0)))</f>
        <v/>
      </c>
      <c r="E57" s="45" t="str">
        <f>IF(OR(PRECIOS_COMPLEMENTOS!A7="",$A57=""),"",IF($C$2="TODOS",IFERROR(SUMIFS(INVENTARIO_COMPLEMENTOS!$H$4:$H$3243,INVENTARIO_COMPLEMENTOS!$B$4:$B$3243,PRECIOS_COMPLEMENTOS!A7,INVENTARIO_COMPLEMENTOS!$C$4:$C$3243,PRECIOS_COMPLEMENTOS!B7,INVENTARIO_COMPLEMENTOS!$E$4:$E$3243,$A57),0),IFERROR(SUMIFS(INVENTARIO_COMPLEMENTOS!$H$4:$H$3243,INVENTARIO_COMPLEMENTOS!$A$4:$A$3243,$C$2,INVENTARIO_COMPLEMENTOS!$B$4:$B$3243,PRECIOS_COMPLEMENTOS!A7,INVENTARIO_COMPLEMENTOS!$C$4:$C$3243,PRECIOS_COMPLEMENTOS!B7,INVENTARIO_COMPLEMENTOS!$E$4:$E$3243,$A57),0)))</f>
        <v/>
      </c>
      <c r="F57" s="45" t="str">
        <f>IF(OR(PRECIOS_COMPLEMENTOS!A8="",$A57=""),"",IF($C$2="TODOS",IFERROR(SUMIFS(INVENTARIO_COMPLEMENTOS!$H$4:$H$3243,INVENTARIO_COMPLEMENTOS!$B$4:$B$3243,PRECIOS_COMPLEMENTOS!A8,INVENTARIO_COMPLEMENTOS!$C$4:$C$3243,PRECIOS_COMPLEMENTOS!B8,INVENTARIO_COMPLEMENTOS!$E$4:$E$3243,$A57),0),IFERROR(SUMIFS(INVENTARIO_COMPLEMENTOS!$H$4:$H$3243,INVENTARIO_COMPLEMENTOS!$A$4:$A$3243,$C$2,INVENTARIO_COMPLEMENTOS!$B$4:$B$3243,PRECIOS_COMPLEMENTOS!A8,INVENTARIO_COMPLEMENTOS!$C$4:$C$3243,PRECIOS_COMPLEMENTOS!B8,INVENTARIO_COMPLEMENTOS!$E$4:$E$3243,$A57),0)))</f>
        <v/>
      </c>
      <c r="G57" s="45" t="str">
        <f>IF(OR(PRECIOS_COMPLEMENTOS!A9="",$A57=""),"",IF($C$2="TODOS",IFERROR(SUMIFS(INVENTARIO_COMPLEMENTOS!$H$4:$H$3243,INVENTARIO_COMPLEMENTOS!$B$4:$B$3243,PRECIOS_COMPLEMENTOS!A9,INVENTARIO_COMPLEMENTOS!$C$4:$C$3243,PRECIOS_COMPLEMENTOS!B9,INVENTARIO_COMPLEMENTOS!$E$4:$E$3243,$A57),0),IFERROR(SUMIFS(INVENTARIO_COMPLEMENTOS!$H$4:$H$3243,INVENTARIO_COMPLEMENTOS!$A$4:$A$3243,$C$2,INVENTARIO_COMPLEMENTOS!$B$4:$B$3243,PRECIOS_COMPLEMENTOS!A9,INVENTARIO_COMPLEMENTOS!$C$4:$C$3243,PRECIOS_COMPLEMENTOS!B9,INVENTARIO_COMPLEMENTOS!$E$4:$E$3243,$A57),0)))</f>
        <v/>
      </c>
      <c r="H57" s="45" t="str">
        <f>IF(OR(PRECIOS_COMPLEMENTOS!A10="",$A57=""),"",IF($C$2="TODOS",IFERROR(SUMIFS(INVENTARIO_COMPLEMENTOS!$H$4:$H$3243,INVENTARIO_COMPLEMENTOS!$B$4:$B$3243,PRECIOS_COMPLEMENTOS!A10,INVENTARIO_COMPLEMENTOS!$C$4:$C$3243,PRECIOS_COMPLEMENTOS!B10,INVENTARIO_COMPLEMENTOS!$E$4:$E$3243,$A57),0),IFERROR(SUMIFS(INVENTARIO_COMPLEMENTOS!$H$4:$H$3243,INVENTARIO_COMPLEMENTOS!$A$4:$A$3243,$C$2,INVENTARIO_COMPLEMENTOS!$B$4:$B$3243,PRECIOS_COMPLEMENTOS!A10,INVENTARIO_COMPLEMENTOS!$C$4:$C$3243,PRECIOS_COMPLEMENTOS!B10,INVENTARIO_COMPLEMENTOS!$E$4:$E$3243,$A57),0)))</f>
        <v/>
      </c>
      <c r="I57" s="45" t="str">
        <f>IF(OR(PRECIOS_COMPLEMENTOS!A11="",$A57=""),"",IF($C$2="TODOS",IFERROR(SUMIFS(INVENTARIO_COMPLEMENTOS!$H$4:$H$3243,INVENTARIO_COMPLEMENTOS!$B$4:$B$3243,PRECIOS_COMPLEMENTOS!A11,INVENTARIO_COMPLEMENTOS!$C$4:$C$3243,PRECIOS_COMPLEMENTOS!B11,INVENTARIO_COMPLEMENTOS!$E$4:$E$3243,$A57),0),IFERROR(SUMIFS(INVENTARIO_COMPLEMENTOS!$H$4:$H$3243,INVENTARIO_COMPLEMENTOS!$A$4:$A$3243,$C$2,INVENTARIO_COMPLEMENTOS!$B$4:$B$3243,PRECIOS_COMPLEMENTOS!A11,INVENTARIO_COMPLEMENTOS!$C$4:$C$3243,PRECIOS_COMPLEMENTOS!B11,INVENTARIO_COMPLEMENTOS!$E$4:$E$3243,$A57),0)))</f>
        <v/>
      </c>
      <c r="J57" s="45" t="str">
        <f>IF(OR(PRECIOS_COMPLEMENTOS!A12="",$A57=""),"",IF($C$2="TODOS",IFERROR(SUMIFS(INVENTARIO_COMPLEMENTOS!$H$4:$H$3243,INVENTARIO_COMPLEMENTOS!$B$4:$B$3243,PRECIOS_COMPLEMENTOS!A12,INVENTARIO_COMPLEMENTOS!$C$4:$C$3243,PRECIOS_COMPLEMENTOS!B12,INVENTARIO_COMPLEMENTOS!$E$4:$E$3243,$A57),0),IFERROR(SUMIFS(INVENTARIO_COMPLEMENTOS!$H$4:$H$3243,INVENTARIO_COMPLEMENTOS!$A$4:$A$3243,$C$2,INVENTARIO_COMPLEMENTOS!$B$4:$B$3243,PRECIOS_COMPLEMENTOS!A12,INVENTARIO_COMPLEMENTOS!$C$4:$C$3243,PRECIOS_COMPLEMENTOS!B12,INVENTARIO_COMPLEMENTOS!$E$4:$E$3243,$A57),0)))</f>
        <v/>
      </c>
      <c r="K57" s="45" t="str">
        <f>IF(OR(PRECIOS_COMPLEMENTOS!A13="",$A57=""),"",IF($C$2="TODOS",IFERROR(SUMIFS(INVENTARIO_COMPLEMENTOS!$H$4:$H$3243,INVENTARIO_COMPLEMENTOS!$B$4:$B$3243,PRECIOS_COMPLEMENTOS!A13,INVENTARIO_COMPLEMENTOS!$C$4:$C$3243,PRECIOS_COMPLEMENTOS!B13,INVENTARIO_COMPLEMENTOS!$E$4:$E$3243,$A57),0),IFERROR(SUMIFS(INVENTARIO_COMPLEMENTOS!$H$4:$H$3243,INVENTARIO_COMPLEMENTOS!$A$4:$A$3243,$C$2,INVENTARIO_COMPLEMENTOS!$B$4:$B$3243,PRECIOS_COMPLEMENTOS!A13,INVENTARIO_COMPLEMENTOS!$C$4:$C$3243,PRECIOS_COMPLEMENTOS!B13,INVENTARIO_COMPLEMENTOS!$E$4:$E$3243,$A57),0)))</f>
        <v/>
      </c>
      <c r="L57" s="45" t="str">
        <f>IF(OR(PRECIOS_COMPLEMENTOS!A14="",$A57=""),"",IF($C$2="TODOS",IFERROR(SUMIFS(INVENTARIO_COMPLEMENTOS!$H$4:$H$3243,INVENTARIO_COMPLEMENTOS!$B$4:$B$3243,PRECIOS_COMPLEMENTOS!A14,INVENTARIO_COMPLEMENTOS!$C$4:$C$3243,PRECIOS_COMPLEMENTOS!B14,INVENTARIO_COMPLEMENTOS!$E$4:$E$3243,$A57),0),IFERROR(SUMIFS(INVENTARIO_COMPLEMENTOS!$H$4:$H$3243,INVENTARIO_COMPLEMENTOS!$A$4:$A$3243,$C$2,INVENTARIO_COMPLEMENTOS!$B$4:$B$3243,PRECIOS_COMPLEMENTOS!A14,INVENTARIO_COMPLEMENTOS!$C$4:$C$3243,PRECIOS_COMPLEMENTOS!B14,INVENTARIO_COMPLEMENTOS!$E$4:$E$3243,$A57),0)))</f>
        <v/>
      </c>
      <c r="M57" s="45" t="str">
        <f>IF(OR(PRECIOS_COMPLEMENTOS!A15="",$A57=""),"",IF($C$2="TODOS",IFERROR(SUMIFS(INVENTARIO_COMPLEMENTOS!$H$4:$H$3243,INVENTARIO_COMPLEMENTOS!$B$4:$B$3243,PRECIOS_COMPLEMENTOS!A15,INVENTARIO_COMPLEMENTOS!$C$4:$C$3243,PRECIOS_COMPLEMENTOS!B15,INVENTARIO_COMPLEMENTOS!$E$4:$E$3243,$A57),0),IFERROR(SUMIFS(INVENTARIO_COMPLEMENTOS!$H$4:$H$3243,INVENTARIO_COMPLEMENTOS!$A$4:$A$3243,$C$2,INVENTARIO_COMPLEMENTOS!$B$4:$B$3243,PRECIOS_COMPLEMENTOS!A15,INVENTARIO_COMPLEMENTOS!$C$4:$C$3243,PRECIOS_COMPLEMENTOS!B15,INVENTARIO_COMPLEMENTOS!$E$4:$E$3243,$A57),0)))</f>
        <v/>
      </c>
      <c r="N57" s="45" t="str">
        <f>IF(OR(PRECIOS_COMPLEMENTOS!A16="",$A57=""),"",IF($C$2="TODOS",IFERROR(SUMIFS(INVENTARIO_COMPLEMENTOS!$H$4:$H$3243,INVENTARIO_COMPLEMENTOS!$B$4:$B$3243,PRECIOS_COMPLEMENTOS!A16,INVENTARIO_COMPLEMENTOS!$C$4:$C$3243,PRECIOS_COMPLEMENTOS!B16,INVENTARIO_COMPLEMENTOS!$E$4:$E$3243,$A57),0),IFERROR(SUMIFS(INVENTARIO_COMPLEMENTOS!$H$4:$H$3243,INVENTARIO_COMPLEMENTOS!$A$4:$A$3243,$C$2,INVENTARIO_COMPLEMENTOS!$B$4:$B$3243,PRECIOS_COMPLEMENTOS!A16,INVENTARIO_COMPLEMENTOS!$C$4:$C$3243,PRECIOS_COMPLEMENTOS!B16,INVENTARIO_COMPLEMENTOS!$E$4:$E$3243,$A57),0)))</f>
        <v/>
      </c>
      <c r="O57" s="45" t="str">
        <f>IF(OR(PRECIOS_COMPLEMENTOS!A17="",$A57=""),"",IF($C$2="TODOS",IFERROR(SUMIFS(INVENTARIO_COMPLEMENTOS!$H$4:$H$3243,INVENTARIO_COMPLEMENTOS!$B$4:$B$3243,PRECIOS_COMPLEMENTOS!A17,INVENTARIO_COMPLEMENTOS!$C$4:$C$3243,PRECIOS_COMPLEMENTOS!B17,INVENTARIO_COMPLEMENTOS!$E$4:$E$3243,$A57),0),IFERROR(SUMIFS(INVENTARIO_COMPLEMENTOS!$H$4:$H$3243,INVENTARIO_COMPLEMENTOS!$A$4:$A$3243,$C$2,INVENTARIO_COMPLEMENTOS!$B$4:$B$3243,PRECIOS_COMPLEMENTOS!A17,INVENTARIO_COMPLEMENTOS!$C$4:$C$3243,PRECIOS_COMPLEMENTOS!B17,INVENTARIO_COMPLEMENTOS!$E$4:$E$3243,$A57),0)))</f>
        <v/>
      </c>
      <c r="P57" s="46">
        <f t="shared" si="3"/>
        <v>0</v>
      </c>
      <c r="Q57" s="47" t="str">
        <f>IF($A57="","",IF($C$2="TODOS",IFERROR(SUMIFS(INVENTARIO_COMPLEMENTOS!$J$4:$J$3243,INVENTARIO_COMPLEMENTOS!$E$4:$E$3243,$A57),0),IFERROR(SUMIFS(INVENTARIO_COMPLEMENTOS!$J$4:$J$3243,INVENTARIO_COMPLEMENTOS!$A$4:$A$3243,$C$2,INVENTARIO_COMPLEMENTOS!$E$4:$E$3243,$A57),0)))</f>
        <v/>
      </c>
    </row>
    <row r="58" ht="15.0" customHeight="1">
      <c r="A58" s="44" t="str">
        <f>IFERROR(IF(COLORES!A22="","",COLORES!A22),"")</f>
        <v/>
      </c>
      <c r="B58" s="45" t="str">
        <f>IF(OR(PRECIOS_COMPLEMENTOS!A4="",$A58=""),"",IF($C$2="TODOS",IFERROR(SUMIFS(INVENTARIO_COMPLEMENTOS!$H$4:$H$3243,INVENTARIO_COMPLEMENTOS!$B$4:$B$3243,PRECIOS_COMPLEMENTOS!A4,INVENTARIO_COMPLEMENTOS!$C$4:$C$3243,PRECIOS_COMPLEMENTOS!B4,INVENTARIO_COMPLEMENTOS!$E$4:$E$3243,$A58),0),IFERROR(SUMIFS(INVENTARIO_COMPLEMENTOS!$H$4:$H$3243,INVENTARIO_COMPLEMENTOS!$A$4:$A$3243,$C$2,INVENTARIO_COMPLEMENTOS!$B$4:$B$3243,PRECIOS_COMPLEMENTOS!A4,INVENTARIO_COMPLEMENTOS!$C$4:$C$3243,PRECIOS_COMPLEMENTOS!B4,INVENTARIO_COMPLEMENTOS!$E$4:$E$3243,$A58),0)))</f>
        <v/>
      </c>
      <c r="C58" s="45" t="str">
        <f>IF(OR(PRECIOS_COMPLEMENTOS!A5="",$A58=""),"",IF($C$2="TODOS",IFERROR(SUMIFS(INVENTARIO_COMPLEMENTOS!$H$4:$H$3243,INVENTARIO_COMPLEMENTOS!$B$4:$B$3243,PRECIOS_COMPLEMENTOS!A5,INVENTARIO_COMPLEMENTOS!$C$4:$C$3243,PRECIOS_COMPLEMENTOS!B5,INVENTARIO_COMPLEMENTOS!$E$4:$E$3243,$A58),0),IFERROR(SUMIFS(INVENTARIO_COMPLEMENTOS!$H$4:$H$3243,INVENTARIO_COMPLEMENTOS!$A$4:$A$3243,$C$2,INVENTARIO_COMPLEMENTOS!$B$4:$B$3243,PRECIOS_COMPLEMENTOS!A5,INVENTARIO_COMPLEMENTOS!$C$4:$C$3243,PRECIOS_COMPLEMENTOS!B5,INVENTARIO_COMPLEMENTOS!$E$4:$E$3243,$A58),0)))</f>
        <v/>
      </c>
      <c r="D58" s="45" t="str">
        <f>IF(OR(PRECIOS_COMPLEMENTOS!A6="",$A58=""),"",IF($C$2="TODOS",IFERROR(SUMIFS(INVENTARIO_COMPLEMENTOS!$H$4:$H$3243,INVENTARIO_COMPLEMENTOS!$B$4:$B$3243,PRECIOS_COMPLEMENTOS!A6,INVENTARIO_COMPLEMENTOS!$C$4:$C$3243,PRECIOS_COMPLEMENTOS!B6,INVENTARIO_COMPLEMENTOS!$E$4:$E$3243,$A58),0),IFERROR(SUMIFS(INVENTARIO_COMPLEMENTOS!$H$4:$H$3243,INVENTARIO_COMPLEMENTOS!$A$4:$A$3243,$C$2,INVENTARIO_COMPLEMENTOS!$B$4:$B$3243,PRECIOS_COMPLEMENTOS!A6,INVENTARIO_COMPLEMENTOS!$C$4:$C$3243,PRECIOS_COMPLEMENTOS!B6,INVENTARIO_COMPLEMENTOS!$E$4:$E$3243,$A58),0)))</f>
        <v/>
      </c>
      <c r="E58" s="45" t="str">
        <f>IF(OR(PRECIOS_COMPLEMENTOS!A7="",$A58=""),"",IF($C$2="TODOS",IFERROR(SUMIFS(INVENTARIO_COMPLEMENTOS!$H$4:$H$3243,INVENTARIO_COMPLEMENTOS!$B$4:$B$3243,PRECIOS_COMPLEMENTOS!A7,INVENTARIO_COMPLEMENTOS!$C$4:$C$3243,PRECIOS_COMPLEMENTOS!B7,INVENTARIO_COMPLEMENTOS!$E$4:$E$3243,$A58),0),IFERROR(SUMIFS(INVENTARIO_COMPLEMENTOS!$H$4:$H$3243,INVENTARIO_COMPLEMENTOS!$A$4:$A$3243,$C$2,INVENTARIO_COMPLEMENTOS!$B$4:$B$3243,PRECIOS_COMPLEMENTOS!A7,INVENTARIO_COMPLEMENTOS!$C$4:$C$3243,PRECIOS_COMPLEMENTOS!B7,INVENTARIO_COMPLEMENTOS!$E$4:$E$3243,$A58),0)))</f>
        <v/>
      </c>
      <c r="F58" s="45" t="str">
        <f>IF(OR(PRECIOS_COMPLEMENTOS!A8="",$A58=""),"",IF($C$2="TODOS",IFERROR(SUMIFS(INVENTARIO_COMPLEMENTOS!$H$4:$H$3243,INVENTARIO_COMPLEMENTOS!$B$4:$B$3243,PRECIOS_COMPLEMENTOS!A8,INVENTARIO_COMPLEMENTOS!$C$4:$C$3243,PRECIOS_COMPLEMENTOS!B8,INVENTARIO_COMPLEMENTOS!$E$4:$E$3243,$A58),0),IFERROR(SUMIFS(INVENTARIO_COMPLEMENTOS!$H$4:$H$3243,INVENTARIO_COMPLEMENTOS!$A$4:$A$3243,$C$2,INVENTARIO_COMPLEMENTOS!$B$4:$B$3243,PRECIOS_COMPLEMENTOS!A8,INVENTARIO_COMPLEMENTOS!$C$4:$C$3243,PRECIOS_COMPLEMENTOS!B8,INVENTARIO_COMPLEMENTOS!$E$4:$E$3243,$A58),0)))</f>
        <v/>
      </c>
      <c r="G58" s="45" t="str">
        <f>IF(OR(PRECIOS_COMPLEMENTOS!A9="",$A58=""),"",IF($C$2="TODOS",IFERROR(SUMIFS(INVENTARIO_COMPLEMENTOS!$H$4:$H$3243,INVENTARIO_COMPLEMENTOS!$B$4:$B$3243,PRECIOS_COMPLEMENTOS!A9,INVENTARIO_COMPLEMENTOS!$C$4:$C$3243,PRECIOS_COMPLEMENTOS!B9,INVENTARIO_COMPLEMENTOS!$E$4:$E$3243,$A58),0),IFERROR(SUMIFS(INVENTARIO_COMPLEMENTOS!$H$4:$H$3243,INVENTARIO_COMPLEMENTOS!$A$4:$A$3243,$C$2,INVENTARIO_COMPLEMENTOS!$B$4:$B$3243,PRECIOS_COMPLEMENTOS!A9,INVENTARIO_COMPLEMENTOS!$C$4:$C$3243,PRECIOS_COMPLEMENTOS!B9,INVENTARIO_COMPLEMENTOS!$E$4:$E$3243,$A58),0)))</f>
        <v/>
      </c>
      <c r="H58" s="45" t="str">
        <f>IF(OR(PRECIOS_COMPLEMENTOS!A10="",$A58=""),"",IF($C$2="TODOS",IFERROR(SUMIFS(INVENTARIO_COMPLEMENTOS!$H$4:$H$3243,INVENTARIO_COMPLEMENTOS!$B$4:$B$3243,PRECIOS_COMPLEMENTOS!A10,INVENTARIO_COMPLEMENTOS!$C$4:$C$3243,PRECIOS_COMPLEMENTOS!B10,INVENTARIO_COMPLEMENTOS!$E$4:$E$3243,$A58),0),IFERROR(SUMIFS(INVENTARIO_COMPLEMENTOS!$H$4:$H$3243,INVENTARIO_COMPLEMENTOS!$A$4:$A$3243,$C$2,INVENTARIO_COMPLEMENTOS!$B$4:$B$3243,PRECIOS_COMPLEMENTOS!A10,INVENTARIO_COMPLEMENTOS!$C$4:$C$3243,PRECIOS_COMPLEMENTOS!B10,INVENTARIO_COMPLEMENTOS!$E$4:$E$3243,$A58),0)))</f>
        <v/>
      </c>
      <c r="I58" s="45" t="str">
        <f>IF(OR(PRECIOS_COMPLEMENTOS!A11="",$A58=""),"",IF($C$2="TODOS",IFERROR(SUMIFS(INVENTARIO_COMPLEMENTOS!$H$4:$H$3243,INVENTARIO_COMPLEMENTOS!$B$4:$B$3243,PRECIOS_COMPLEMENTOS!A11,INVENTARIO_COMPLEMENTOS!$C$4:$C$3243,PRECIOS_COMPLEMENTOS!B11,INVENTARIO_COMPLEMENTOS!$E$4:$E$3243,$A58),0),IFERROR(SUMIFS(INVENTARIO_COMPLEMENTOS!$H$4:$H$3243,INVENTARIO_COMPLEMENTOS!$A$4:$A$3243,$C$2,INVENTARIO_COMPLEMENTOS!$B$4:$B$3243,PRECIOS_COMPLEMENTOS!A11,INVENTARIO_COMPLEMENTOS!$C$4:$C$3243,PRECIOS_COMPLEMENTOS!B11,INVENTARIO_COMPLEMENTOS!$E$4:$E$3243,$A58),0)))</f>
        <v/>
      </c>
      <c r="J58" s="45" t="str">
        <f>IF(OR(PRECIOS_COMPLEMENTOS!A12="",$A58=""),"",IF($C$2="TODOS",IFERROR(SUMIFS(INVENTARIO_COMPLEMENTOS!$H$4:$H$3243,INVENTARIO_COMPLEMENTOS!$B$4:$B$3243,PRECIOS_COMPLEMENTOS!A12,INVENTARIO_COMPLEMENTOS!$C$4:$C$3243,PRECIOS_COMPLEMENTOS!B12,INVENTARIO_COMPLEMENTOS!$E$4:$E$3243,$A58),0),IFERROR(SUMIFS(INVENTARIO_COMPLEMENTOS!$H$4:$H$3243,INVENTARIO_COMPLEMENTOS!$A$4:$A$3243,$C$2,INVENTARIO_COMPLEMENTOS!$B$4:$B$3243,PRECIOS_COMPLEMENTOS!A12,INVENTARIO_COMPLEMENTOS!$C$4:$C$3243,PRECIOS_COMPLEMENTOS!B12,INVENTARIO_COMPLEMENTOS!$E$4:$E$3243,$A58),0)))</f>
        <v/>
      </c>
      <c r="K58" s="45" t="str">
        <f>IF(OR(PRECIOS_COMPLEMENTOS!A13="",$A58=""),"",IF($C$2="TODOS",IFERROR(SUMIFS(INVENTARIO_COMPLEMENTOS!$H$4:$H$3243,INVENTARIO_COMPLEMENTOS!$B$4:$B$3243,PRECIOS_COMPLEMENTOS!A13,INVENTARIO_COMPLEMENTOS!$C$4:$C$3243,PRECIOS_COMPLEMENTOS!B13,INVENTARIO_COMPLEMENTOS!$E$4:$E$3243,$A58),0),IFERROR(SUMIFS(INVENTARIO_COMPLEMENTOS!$H$4:$H$3243,INVENTARIO_COMPLEMENTOS!$A$4:$A$3243,$C$2,INVENTARIO_COMPLEMENTOS!$B$4:$B$3243,PRECIOS_COMPLEMENTOS!A13,INVENTARIO_COMPLEMENTOS!$C$4:$C$3243,PRECIOS_COMPLEMENTOS!B13,INVENTARIO_COMPLEMENTOS!$E$4:$E$3243,$A58),0)))</f>
        <v/>
      </c>
      <c r="L58" s="45" t="str">
        <f>IF(OR(PRECIOS_COMPLEMENTOS!A14="",$A58=""),"",IF($C$2="TODOS",IFERROR(SUMIFS(INVENTARIO_COMPLEMENTOS!$H$4:$H$3243,INVENTARIO_COMPLEMENTOS!$B$4:$B$3243,PRECIOS_COMPLEMENTOS!A14,INVENTARIO_COMPLEMENTOS!$C$4:$C$3243,PRECIOS_COMPLEMENTOS!B14,INVENTARIO_COMPLEMENTOS!$E$4:$E$3243,$A58),0),IFERROR(SUMIFS(INVENTARIO_COMPLEMENTOS!$H$4:$H$3243,INVENTARIO_COMPLEMENTOS!$A$4:$A$3243,$C$2,INVENTARIO_COMPLEMENTOS!$B$4:$B$3243,PRECIOS_COMPLEMENTOS!A14,INVENTARIO_COMPLEMENTOS!$C$4:$C$3243,PRECIOS_COMPLEMENTOS!B14,INVENTARIO_COMPLEMENTOS!$E$4:$E$3243,$A58),0)))</f>
        <v/>
      </c>
      <c r="M58" s="45" t="str">
        <f>IF(OR(PRECIOS_COMPLEMENTOS!A15="",$A58=""),"",IF($C$2="TODOS",IFERROR(SUMIFS(INVENTARIO_COMPLEMENTOS!$H$4:$H$3243,INVENTARIO_COMPLEMENTOS!$B$4:$B$3243,PRECIOS_COMPLEMENTOS!A15,INVENTARIO_COMPLEMENTOS!$C$4:$C$3243,PRECIOS_COMPLEMENTOS!B15,INVENTARIO_COMPLEMENTOS!$E$4:$E$3243,$A58),0),IFERROR(SUMIFS(INVENTARIO_COMPLEMENTOS!$H$4:$H$3243,INVENTARIO_COMPLEMENTOS!$A$4:$A$3243,$C$2,INVENTARIO_COMPLEMENTOS!$B$4:$B$3243,PRECIOS_COMPLEMENTOS!A15,INVENTARIO_COMPLEMENTOS!$C$4:$C$3243,PRECIOS_COMPLEMENTOS!B15,INVENTARIO_COMPLEMENTOS!$E$4:$E$3243,$A58),0)))</f>
        <v/>
      </c>
      <c r="N58" s="45" t="str">
        <f>IF(OR(PRECIOS_COMPLEMENTOS!A16="",$A58=""),"",IF($C$2="TODOS",IFERROR(SUMIFS(INVENTARIO_COMPLEMENTOS!$H$4:$H$3243,INVENTARIO_COMPLEMENTOS!$B$4:$B$3243,PRECIOS_COMPLEMENTOS!A16,INVENTARIO_COMPLEMENTOS!$C$4:$C$3243,PRECIOS_COMPLEMENTOS!B16,INVENTARIO_COMPLEMENTOS!$E$4:$E$3243,$A58),0),IFERROR(SUMIFS(INVENTARIO_COMPLEMENTOS!$H$4:$H$3243,INVENTARIO_COMPLEMENTOS!$A$4:$A$3243,$C$2,INVENTARIO_COMPLEMENTOS!$B$4:$B$3243,PRECIOS_COMPLEMENTOS!A16,INVENTARIO_COMPLEMENTOS!$C$4:$C$3243,PRECIOS_COMPLEMENTOS!B16,INVENTARIO_COMPLEMENTOS!$E$4:$E$3243,$A58),0)))</f>
        <v/>
      </c>
      <c r="O58" s="45" t="str">
        <f>IF(OR(PRECIOS_COMPLEMENTOS!A17="",$A58=""),"",IF($C$2="TODOS",IFERROR(SUMIFS(INVENTARIO_COMPLEMENTOS!$H$4:$H$3243,INVENTARIO_COMPLEMENTOS!$B$4:$B$3243,PRECIOS_COMPLEMENTOS!A17,INVENTARIO_COMPLEMENTOS!$C$4:$C$3243,PRECIOS_COMPLEMENTOS!B17,INVENTARIO_COMPLEMENTOS!$E$4:$E$3243,$A58),0),IFERROR(SUMIFS(INVENTARIO_COMPLEMENTOS!$H$4:$H$3243,INVENTARIO_COMPLEMENTOS!$A$4:$A$3243,$C$2,INVENTARIO_COMPLEMENTOS!$B$4:$B$3243,PRECIOS_COMPLEMENTOS!A17,INVENTARIO_COMPLEMENTOS!$C$4:$C$3243,PRECIOS_COMPLEMENTOS!B17,INVENTARIO_COMPLEMENTOS!$E$4:$E$3243,$A58),0)))</f>
        <v/>
      </c>
      <c r="P58" s="46">
        <f t="shared" si="3"/>
        <v>0</v>
      </c>
      <c r="Q58" s="47" t="str">
        <f>IF($A58="","",IF($C$2="TODOS",IFERROR(SUMIFS(INVENTARIO_COMPLEMENTOS!$J$4:$J$3243,INVENTARIO_COMPLEMENTOS!$E$4:$E$3243,$A58),0),IFERROR(SUMIFS(INVENTARIO_COMPLEMENTOS!$J$4:$J$3243,INVENTARIO_COMPLEMENTOS!$A$4:$A$3243,$C$2,INVENTARIO_COMPLEMENTOS!$E$4:$E$3243,$A58),0)))</f>
        <v/>
      </c>
    </row>
    <row r="59" ht="15.0" customHeight="1">
      <c r="A59" s="44" t="str">
        <f>IFERROR(IF(COLORES!A23="","",COLORES!A23),"")</f>
        <v/>
      </c>
      <c r="B59" s="45" t="str">
        <f>IF(OR(PRECIOS_COMPLEMENTOS!A4="",$A59=""),"",IF($C$2="TODOS",IFERROR(SUMIFS(INVENTARIO_COMPLEMENTOS!$H$4:$H$3243,INVENTARIO_COMPLEMENTOS!$B$4:$B$3243,PRECIOS_COMPLEMENTOS!A4,INVENTARIO_COMPLEMENTOS!$C$4:$C$3243,PRECIOS_COMPLEMENTOS!B4,INVENTARIO_COMPLEMENTOS!$E$4:$E$3243,$A59),0),IFERROR(SUMIFS(INVENTARIO_COMPLEMENTOS!$H$4:$H$3243,INVENTARIO_COMPLEMENTOS!$A$4:$A$3243,$C$2,INVENTARIO_COMPLEMENTOS!$B$4:$B$3243,PRECIOS_COMPLEMENTOS!A4,INVENTARIO_COMPLEMENTOS!$C$4:$C$3243,PRECIOS_COMPLEMENTOS!B4,INVENTARIO_COMPLEMENTOS!$E$4:$E$3243,$A59),0)))</f>
        <v/>
      </c>
      <c r="C59" s="45" t="str">
        <f>IF(OR(PRECIOS_COMPLEMENTOS!A5="",$A59=""),"",IF($C$2="TODOS",IFERROR(SUMIFS(INVENTARIO_COMPLEMENTOS!$H$4:$H$3243,INVENTARIO_COMPLEMENTOS!$B$4:$B$3243,PRECIOS_COMPLEMENTOS!A5,INVENTARIO_COMPLEMENTOS!$C$4:$C$3243,PRECIOS_COMPLEMENTOS!B5,INVENTARIO_COMPLEMENTOS!$E$4:$E$3243,$A59),0),IFERROR(SUMIFS(INVENTARIO_COMPLEMENTOS!$H$4:$H$3243,INVENTARIO_COMPLEMENTOS!$A$4:$A$3243,$C$2,INVENTARIO_COMPLEMENTOS!$B$4:$B$3243,PRECIOS_COMPLEMENTOS!A5,INVENTARIO_COMPLEMENTOS!$C$4:$C$3243,PRECIOS_COMPLEMENTOS!B5,INVENTARIO_COMPLEMENTOS!$E$4:$E$3243,$A59),0)))</f>
        <v/>
      </c>
      <c r="D59" s="45" t="str">
        <f>IF(OR(PRECIOS_COMPLEMENTOS!A6="",$A59=""),"",IF($C$2="TODOS",IFERROR(SUMIFS(INVENTARIO_COMPLEMENTOS!$H$4:$H$3243,INVENTARIO_COMPLEMENTOS!$B$4:$B$3243,PRECIOS_COMPLEMENTOS!A6,INVENTARIO_COMPLEMENTOS!$C$4:$C$3243,PRECIOS_COMPLEMENTOS!B6,INVENTARIO_COMPLEMENTOS!$E$4:$E$3243,$A59),0),IFERROR(SUMIFS(INVENTARIO_COMPLEMENTOS!$H$4:$H$3243,INVENTARIO_COMPLEMENTOS!$A$4:$A$3243,$C$2,INVENTARIO_COMPLEMENTOS!$B$4:$B$3243,PRECIOS_COMPLEMENTOS!A6,INVENTARIO_COMPLEMENTOS!$C$4:$C$3243,PRECIOS_COMPLEMENTOS!B6,INVENTARIO_COMPLEMENTOS!$E$4:$E$3243,$A59),0)))</f>
        <v/>
      </c>
      <c r="E59" s="45" t="str">
        <f>IF(OR(PRECIOS_COMPLEMENTOS!A7="",$A59=""),"",IF($C$2="TODOS",IFERROR(SUMIFS(INVENTARIO_COMPLEMENTOS!$H$4:$H$3243,INVENTARIO_COMPLEMENTOS!$B$4:$B$3243,PRECIOS_COMPLEMENTOS!A7,INVENTARIO_COMPLEMENTOS!$C$4:$C$3243,PRECIOS_COMPLEMENTOS!B7,INVENTARIO_COMPLEMENTOS!$E$4:$E$3243,$A59),0),IFERROR(SUMIFS(INVENTARIO_COMPLEMENTOS!$H$4:$H$3243,INVENTARIO_COMPLEMENTOS!$A$4:$A$3243,$C$2,INVENTARIO_COMPLEMENTOS!$B$4:$B$3243,PRECIOS_COMPLEMENTOS!A7,INVENTARIO_COMPLEMENTOS!$C$4:$C$3243,PRECIOS_COMPLEMENTOS!B7,INVENTARIO_COMPLEMENTOS!$E$4:$E$3243,$A59),0)))</f>
        <v/>
      </c>
      <c r="F59" s="45" t="str">
        <f>IF(OR(PRECIOS_COMPLEMENTOS!A8="",$A59=""),"",IF($C$2="TODOS",IFERROR(SUMIFS(INVENTARIO_COMPLEMENTOS!$H$4:$H$3243,INVENTARIO_COMPLEMENTOS!$B$4:$B$3243,PRECIOS_COMPLEMENTOS!A8,INVENTARIO_COMPLEMENTOS!$C$4:$C$3243,PRECIOS_COMPLEMENTOS!B8,INVENTARIO_COMPLEMENTOS!$E$4:$E$3243,$A59),0),IFERROR(SUMIFS(INVENTARIO_COMPLEMENTOS!$H$4:$H$3243,INVENTARIO_COMPLEMENTOS!$A$4:$A$3243,$C$2,INVENTARIO_COMPLEMENTOS!$B$4:$B$3243,PRECIOS_COMPLEMENTOS!A8,INVENTARIO_COMPLEMENTOS!$C$4:$C$3243,PRECIOS_COMPLEMENTOS!B8,INVENTARIO_COMPLEMENTOS!$E$4:$E$3243,$A59),0)))</f>
        <v/>
      </c>
      <c r="G59" s="45" t="str">
        <f>IF(OR(PRECIOS_COMPLEMENTOS!A9="",$A59=""),"",IF($C$2="TODOS",IFERROR(SUMIFS(INVENTARIO_COMPLEMENTOS!$H$4:$H$3243,INVENTARIO_COMPLEMENTOS!$B$4:$B$3243,PRECIOS_COMPLEMENTOS!A9,INVENTARIO_COMPLEMENTOS!$C$4:$C$3243,PRECIOS_COMPLEMENTOS!B9,INVENTARIO_COMPLEMENTOS!$E$4:$E$3243,$A59),0),IFERROR(SUMIFS(INVENTARIO_COMPLEMENTOS!$H$4:$H$3243,INVENTARIO_COMPLEMENTOS!$A$4:$A$3243,$C$2,INVENTARIO_COMPLEMENTOS!$B$4:$B$3243,PRECIOS_COMPLEMENTOS!A9,INVENTARIO_COMPLEMENTOS!$C$4:$C$3243,PRECIOS_COMPLEMENTOS!B9,INVENTARIO_COMPLEMENTOS!$E$4:$E$3243,$A59),0)))</f>
        <v/>
      </c>
      <c r="H59" s="45" t="str">
        <f>IF(OR(PRECIOS_COMPLEMENTOS!A10="",$A59=""),"",IF($C$2="TODOS",IFERROR(SUMIFS(INVENTARIO_COMPLEMENTOS!$H$4:$H$3243,INVENTARIO_COMPLEMENTOS!$B$4:$B$3243,PRECIOS_COMPLEMENTOS!A10,INVENTARIO_COMPLEMENTOS!$C$4:$C$3243,PRECIOS_COMPLEMENTOS!B10,INVENTARIO_COMPLEMENTOS!$E$4:$E$3243,$A59),0),IFERROR(SUMIFS(INVENTARIO_COMPLEMENTOS!$H$4:$H$3243,INVENTARIO_COMPLEMENTOS!$A$4:$A$3243,$C$2,INVENTARIO_COMPLEMENTOS!$B$4:$B$3243,PRECIOS_COMPLEMENTOS!A10,INVENTARIO_COMPLEMENTOS!$C$4:$C$3243,PRECIOS_COMPLEMENTOS!B10,INVENTARIO_COMPLEMENTOS!$E$4:$E$3243,$A59),0)))</f>
        <v/>
      </c>
      <c r="I59" s="45" t="str">
        <f>IF(OR(PRECIOS_COMPLEMENTOS!A11="",$A59=""),"",IF($C$2="TODOS",IFERROR(SUMIFS(INVENTARIO_COMPLEMENTOS!$H$4:$H$3243,INVENTARIO_COMPLEMENTOS!$B$4:$B$3243,PRECIOS_COMPLEMENTOS!A11,INVENTARIO_COMPLEMENTOS!$C$4:$C$3243,PRECIOS_COMPLEMENTOS!B11,INVENTARIO_COMPLEMENTOS!$E$4:$E$3243,$A59),0),IFERROR(SUMIFS(INVENTARIO_COMPLEMENTOS!$H$4:$H$3243,INVENTARIO_COMPLEMENTOS!$A$4:$A$3243,$C$2,INVENTARIO_COMPLEMENTOS!$B$4:$B$3243,PRECIOS_COMPLEMENTOS!A11,INVENTARIO_COMPLEMENTOS!$C$4:$C$3243,PRECIOS_COMPLEMENTOS!B11,INVENTARIO_COMPLEMENTOS!$E$4:$E$3243,$A59),0)))</f>
        <v/>
      </c>
      <c r="J59" s="45" t="str">
        <f>IF(OR(PRECIOS_COMPLEMENTOS!A12="",$A59=""),"",IF($C$2="TODOS",IFERROR(SUMIFS(INVENTARIO_COMPLEMENTOS!$H$4:$H$3243,INVENTARIO_COMPLEMENTOS!$B$4:$B$3243,PRECIOS_COMPLEMENTOS!A12,INVENTARIO_COMPLEMENTOS!$C$4:$C$3243,PRECIOS_COMPLEMENTOS!B12,INVENTARIO_COMPLEMENTOS!$E$4:$E$3243,$A59),0),IFERROR(SUMIFS(INVENTARIO_COMPLEMENTOS!$H$4:$H$3243,INVENTARIO_COMPLEMENTOS!$A$4:$A$3243,$C$2,INVENTARIO_COMPLEMENTOS!$B$4:$B$3243,PRECIOS_COMPLEMENTOS!A12,INVENTARIO_COMPLEMENTOS!$C$4:$C$3243,PRECIOS_COMPLEMENTOS!B12,INVENTARIO_COMPLEMENTOS!$E$4:$E$3243,$A59),0)))</f>
        <v/>
      </c>
      <c r="K59" s="45" t="str">
        <f>IF(OR(PRECIOS_COMPLEMENTOS!A13="",$A59=""),"",IF($C$2="TODOS",IFERROR(SUMIFS(INVENTARIO_COMPLEMENTOS!$H$4:$H$3243,INVENTARIO_COMPLEMENTOS!$B$4:$B$3243,PRECIOS_COMPLEMENTOS!A13,INVENTARIO_COMPLEMENTOS!$C$4:$C$3243,PRECIOS_COMPLEMENTOS!B13,INVENTARIO_COMPLEMENTOS!$E$4:$E$3243,$A59),0),IFERROR(SUMIFS(INVENTARIO_COMPLEMENTOS!$H$4:$H$3243,INVENTARIO_COMPLEMENTOS!$A$4:$A$3243,$C$2,INVENTARIO_COMPLEMENTOS!$B$4:$B$3243,PRECIOS_COMPLEMENTOS!A13,INVENTARIO_COMPLEMENTOS!$C$4:$C$3243,PRECIOS_COMPLEMENTOS!B13,INVENTARIO_COMPLEMENTOS!$E$4:$E$3243,$A59),0)))</f>
        <v/>
      </c>
      <c r="L59" s="45" t="str">
        <f>IF(OR(PRECIOS_COMPLEMENTOS!A14="",$A59=""),"",IF($C$2="TODOS",IFERROR(SUMIFS(INVENTARIO_COMPLEMENTOS!$H$4:$H$3243,INVENTARIO_COMPLEMENTOS!$B$4:$B$3243,PRECIOS_COMPLEMENTOS!A14,INVENTARIO_COMPLEMENTOS!$C$4:$C$3243,PRECIOS_COMPLEMENTOS!B14,INVENTARIO_COMPLEMENTOS!$E$4:$E$3243,$A59),0),IFERROR(SUMIFS(INVENTARIO_COMPLEMENTOS!$H$4:$H$3243,INVENTARIO_COMPLEMENTOS!$A$4:$A$3243,$C$2,INVENTARIO_COMPLEMENTOS!$B$4:$B$3243,PRECIOS_COMPLEMENTOS!A14,INVENTARIO_COMPLEMENTOS!$C$4:$C$3243,PRECIOS_COMPLEMENTOS!B14,INVENTARIO_COMPLEMENTOS!$E$4:$E$3243,$A59),0)))</f>
        <v/>
      </c>
      <c r="M59" s="45" t="str">
        <f>IF(OR(PRECIOS_COMPLEMENTOS!A15="",$A59=""),"",IF($C$2="TODOS",IFERROR(SUMIFS(INVENTARIO_COMPLEMENTOS!$H$4:$H$3243,INVENTARIO_COMPLEMENTOS!$B$4:$B$3243,PRECIOS_COMPLEMENTOS!A15,INVENTARIO_COMPLEMENTOS!$C$4:$C$3243,PRECIOS_COMPLEMENTOS!B15,INVENTARIO_COMPLEMENTOS!$E$4:$E$3243,$A59),0),IFERROR(SUMIFS(INVENTARIO_COMPLEMENTOS!$H$4:$H$3243,INVENTARIO_COMPLEMENTOS!$A$4:$A$3243,$C$2,INVENTARIO_COMPLEMENTOS!$B$4:$B$3243,PRECIOS_COMPLEMENTOS!A15,INVENTARIO_COMPLEMENTOS!$C$4:$C$3243,PRECIOS_COMPLEMENTOS!B15,INVENTARIO_COMPLEMENTOS!$E$4:$E$3243,$A59),0)))</f>
        <v/>
      </c>
      <c r="N59" s="45" t="str">
        <f>IF(OR(PRECIOS_COMPLEMENTOS!A16="",$A59=""),"",IF($C$2="TODOS",IFERROR(SUMIFS(INVENTARIO_COMPLEMENTOS!$H$4:$H$3243,INVENTARIO_COMPLEMENTOS!$B$4:$B$3243,PRECIOS_COMPLEMENTOS!A16,INVENTARIO_COMPLEMENTOS!$C$4:$C$3243,PRECIOS_COMPLEMENTOS!B16,INVENTARIO_COMPLEMENTOS!$E$4:$E$3243,$A59),0),IFERROR(SUMIFS(INVENTARIO_COMPLEMENTOS!$H$4:$H$3243,INVENTARIO_COMPLEMENTOS!$A$4:$A$3243,$C$2,INVENTARIO_COMPLEMENTOS!$B$4:$B$3243,PRECIOS_COMPLEMENTOS!A16,INVENTARIO_COMPLEMENTOS!$C$4:$C$3243,PRECIOS_COMPLEMENTOS!B16,INVENTARIO_COMPLEMENTOS!$E$4:$E$3243,$A59),0)))</f>
        <v/>
      </c>
      <c r="O59" s="45" t="str">
        <f>IF(OR(PRECIOS_COMPLEMENTOS!A17="",$A59=""),"",IF($C$2="TODOS",IFERROR(SUMIFS(INVENTARIO_COMPLEMENTOS!$H$4:$H$3243,INVENTARIO_COMPLEMENTOS!$B$4:$B$3243,PRECIOS_COMPLEMENTOS!A17,INVENTARIO_COMPLEMENTOS!$C$4:$C$3243,PRECIOS_COMPLEMENTOS!B17,INVENTARIO_COMPLEMENTOS!$E$4:$E$3243,$A59),0),IFERROR(SUMIFS(INVENTARIO_COMPLEMENTOS!$H$4:$H$3243,INVENTARIO_COMPLEMENTOS!$A$4:$A$3243,$C$2,INVENTARIO_COMPLEMENTOS!$B$4:$B$3243,PRECIOS_COMPLEMENTOS!A17,INVENTARIO_COMPLEMENTOS!$C$4:$C$3243,PRECIOS_COMPLEMENTOS!B17,INVENTARIO_COMPLEMENTOS!$E$4:$E$3243,$A59),0)))</f>
        <v/>
      </c>
      <c r="P59" s="46">
        <f t="shared" si="3"/>
        <v>0</v>
      </c>
      <c r="Q59" s="47" t="str">
        <f>IF($A59="","",IF($C$2="TODOS",IFERROR(SUMIFS(INVENTARIO_COMPLEMENTOS!$J$4:$J$3243,INVENTARIO_COMPLEMENTOS!$E$4:$E$3243,$A59),0),IFERROR(SUMIFS(INVENTARIO_COMPLEMENTOS!$J$4:$J$3243,INVENTARIO_COMPLEMENTOS!$A$4:$A$3243,$C$2,INVENTARIO_COMPLEMENTOS!$E$4:$E$3243,$A59),0)))</f>
        <v/>
      </c>
    </row>
    <row r="60" ht="15.0" customHeight="1">
      <c r="A60" s="44" t="str">
        <f>IFERROR(IF(COLORES!A24="","",COLORES!A24),"")</f>
        <v/>
      </c>
      <c r="B60" s="45" t="str">
        <f>IF(OR(PRECIOS_COMPLEMENTOS!A4="",$A60=""),"",IF($C$2="TODOS",IFERROR(SUMIFS(INVENTARIO_COMPLEMENTOS!$H$4:$H$3243,INVENTARIO_COMPLEMENTOS!$B$4:$B$3243,PRECIOS_COMPLEMENTOS!A4,INVENTARIO_COMPLEMENTOS!$C$4:$C$3243,PRECIOS_COMPLEMENTOS!B4,INVENTARIO_COMPLEMENTOS!$E$4:$E$3243,$A60),0),IFERROR(SUMIFS(INVENTARIO_COMPLEMENTOS!$H$4:$H$3243,INVENTARIO_COMPLEMENTOS!$A$4:$A$3243,$C$2,INVENTARIO_COMPLEMENTOS!$B$4:$B$3243,PRECIOS_COMPLEMENTOS!A4,INVENTARIO_COMPLEMENTOS!$C$4:$C$3243,PRECIOS_COMPLEMENTOS!B4,INVENTARIO_COMPLEMENTOS!$E$4:$E$3243,$A60),0)))</f>
        <v/>
      </c>
      <c r="C60" s="45" t="str">
        <f>IF(OR(PRECIOS_COMPLEMENTOS!A5="",$A60=""),"",IF($C$2="TODOS",IFERROR(SUMIFS(INVENTARIO_COMPLEMENTOS!$H$4:$H$3243,INVENTARIO_COMPLEMENTOS!$B$4:$B$3243,PRECIOS_COMPLEMENTOS!A5,INVENTARIO_COMPLEMENTOS!$C$4:$C$3243,PRECIOS_COMPLEMENTOS!B5,INVENTARIO_COMPLEMENTOS!$E$4:$E$3243,$A60),0),IFERROR(SUMIFS(INVENTARIO_COMPLEMENTOS!$H$4:$H$3243,INVENTARIO_COMPLEMENTOS!$A$4:$A$3243,$C$2,INVENTARIO_COMPLEMENTOS!$B$4:$B$3243,PRECIOS_COMPLEMENTOS!A5,INVENTARIO_COMPLEMENTOS!$C$4:$C$3243,PRECIOS_COMPLEMENTOS!B5,INVENTARIO_COMPLEMENTOS!$E$4:$E$3243,$A60),0)))</f>
        <v/>
      </c>
      <c r="D60" s="45" t="str">
        <f>IF(OR(PRECIOS_COMPLEMENTOS!A6="",$A60=""),"",IF($C$2="TODOS",IFERROR(SUMIFS(INVENTARIO_COMPLEMENTOS!$H$4:$H$3243,INVENTARIO_COMPLEMENTOS!$B$4:$B$3243,PRECIOS_COMPLEMENTOS!A6,INVENTARIO_COMPLEMENTOS!$C$4:$C$3243,PRECIOS_COMPLEMENTOS!B6,INVENTARIO_COMPLEMENTOS!$E$4:$E$3243,$A60),0),IFERROR(SUMIFS(INVENTARIO_COMPLEMENTOS!$H$4:$H$3243,INVENTARIO_COMPLEMENTOS!$A$4:$A$3243,$C$2,INVENTARIO_COMPLEMENTOS!$B$4:$B$3243,PRECIOS_COMPLEMENTOS!A6,INVENTARIO_COMPLEMENTOS!$C$4:$C$3243,PRECIOS_COMPLEMENTOS!B6,INVENTARIO_COMPLEMENTOS!$E$4:$E$3243,$A60),0)))</f>
        <v/>
      </c>
      <c r="E60" s="45" t="str">
        <f>IF(OR(PRECIOS_COMPLEMENTOS!A7="",$A60=""),"",IF($C$2="TODOS",IFERROR(SUMIFS(INVENTARIO_COMPLEMENTOS!$H$4:$H$3243,INVENTARIO_COMPLEMENTOS!$B$4:$B$3243,PRECIOS_COMPLEMENTOS!A7,INVENTARIO_COMPLEMENTOS!$C$4:$C$3243,PRECIOS_COMPLEMENTOS!B7,INVENTARIO_COMPLEMENTOS!$E$4:$E$3243,$A60),0),IFERROR(SUMIFS(INVENTARIO_COMPLEMENTOS!$H$4:$H$3243,INVENTARIO_COMPLEMENTOS!$A$4:$A$3243,$C$2,INVENTARIO_COMPLEMENTOS!$B$4:$B$3243,PRECIOS_COMPLEMENTOS!A7,INVENTARIO_COMPLEMENTOS!$C$4:$C$3243,PRECIOS_COMPLEMENTOS!B7,INVENTARIO_COMPLEMENTOS!$E$4:$E$3243,$A60),0)))</f>
        <v/>
      </c>
      <c r="F60" s="45" t="str">
        <f>IF(OR(PRECIOS_COMPLEMENTOS!A8="",$A60=""),"",IF($C$2="TODOS",IFERROR(SUMIFS(INVENTARIO_COMPLEMENTOS!$H$4:$H$3243,INVENTARIO_COMPLEMENTOS!$B$4:$B$3243,PRECIOS_COMPLEMENTOS!A8,INVENTARIO_COMPLEMENTOS!$C$4:$C$3243,PRECIOS_COMPLEMENTOS!B8,INVENTARIO_COMPLEMENTOS!$E$4:$E$3243,$A60),0),IFERROR(SUMIFS(INVENTARIO_COMPLEMENTOS!$H$4:$H$3243,INVENTARIO_COMPLEMENTOS!$A$4:$A$3243,$C$2,INVENTARIO_COMPLEMENTOS!$B$4:$B$3243,PRECIOS_COMPLEMENTOS!A8,INVENTARIO_COMPLEMENTOS!$C$4:$C$3243,PRECIOS_COMPLEMENTOS!B8,INVENTARIO_COMPLEMENTOS!$E$4:$E$3243,$A60),0)))</f>
        <v/>
      </c>
      <c r="G60" s="45" t="str">
        <f>IF(OR(PRECIOS_COMPLEMENTOS!A9="",$A60=""),"",IF($C$2="TODOS",IFERROR(SUMIFS(INVENTARIO_COMPLEMENTOS!$H$4:$H$3243,INVENTARIO_COMPLEMENTOS!$B$4:$B$3243,PRECIOS_COMPLEMENTOS!A9,INVENTARIO_COMPLEMENTOS!$C$4:$C$3243,PRECIOS_COMPLEMENTOS!B9,INVENTARIO_COMPLEMENTOS!$E$4:$E$3243,$A60),0),IFERROR(SUMIFS(INVENTARIO_COMPLEMENTOS!$H$4:$H$3243,INVENTARIO_COMPLEMENTOS!$A$4:$A$3243,$C$2,INVENTARIO_COMPLEMENTOS!$B$4:$B$3243,PRECIOS_COMPLEMENTOS!A9,INVENTARIO_COMPLEMENTOS!$C$4:$C$3243,PRECIOS_COMPLEMENTOS!B9,INVENTARIO_COMPLEMENTOS!$E$4:$E$3243,$A60),0)))</f>
        <v/>
      </c>
      <c r="H60" s="45" t="str">
        <f>IF(OR(PRECIOS_COMPLEMENTOS!A10="",$A60=""),"",IF($C$2="TODOS",IFERROR(SUMIFS(INVENTARIO_COMPLEMENTOS!$H$4:$H$3243,INVENTARIO_COMPLEMENTOS!$B$4:$B$3243,PRECIOS_COMPLEMENTOS!A10,INVENTARIO_COMPLEMENTOS!$C$4:$C$3243,PRECIOS_COMPLEMENTOS!B10,INVENTARIO_COMPLEMENTOS!$E$4:$E$3243,$A60),0),IFERROR(SUMIFS(INVENTARIO_COMPLEMENTOS!$H$4:$H$3243,INVENTARIO_COMPLEMENTOS!$A$4:$A$3243,$C$2,INVENTARIO_COMPLEMENTOS!$B$4:$B$3243,PRECIOS_COMPLEMENTOS!A10,INVENTARIO_COMPLEMENTOS!$C$4:$C$3243,PRECIOS_COMPLEMENTOS!B10,INVENTARIO_COMPLEMENTOS!$E$4:$E$3243,$A60),0)))</f>
        <v/>
      </c>
      <c r="I60" s="45" t="str">
        <f>IF(OR(PRECIOS_COMPLEMENTOS!A11="",$A60=""),"",IF($C$2="TODOS",IFERROR(SUMIFS(INVENTARIO_COMPLEMENTOS!$H$4:$H$3243,INVENTARIO_COMPLEMENTOS!$B$4:$B$3243,PRECIOS_COMPLEMENTOS!A11,INVENTARIO_COMPLEMENTOS!$C$4:$C$3243,PRECIOS_COMPLEMENTOS!B11,INVENTARIO_COMPLEMENTOS!$E$4:$E$3243,$A60),0),IFERROR(SUMIFS(INVENTARIO_COMPLEMENTOS!$H$4:$H$3243,INVENTARIO_COMPLEMENTOS!$A$4:$A$3243,$C$2,INVENTARIO_COMPLEMENTOS!$B$4:$B$3243,PRECIOS_COMPLEMENTOS!A11,INVENTARIO_COMPLEMENTOS!$C$4:$C$3243,PRECIOS_COMPLEMENTOS!B11,INVENTARIO_COMPLEMENTOS!$E$4:$E$3243,$A60),0)))</f>
        <v/>
      </c>
      <c r="J60" s="45" t="str">
        <f>IF(OR(PRECIOS_COMPLEMENTOS!A12="",$A60=""),"",IF($C$2="TODOS",IFERROR(SUMIFS(INVENTARIO_COMPLEMENTOS!$H$4:$H$3243,INVENTARIO_COMPLEMENTOS!$B$4:$B$3243,PRECIOS_COMPLEMENTOS!A12,INVENTARIO_COMPLEMENTOS!$C$4:$C$3243,PRECIOS_COMPLEMENTOS!B12,INVENTARIO_COMPLEMENTOS!$E$4:$E$3243,$A60),0),IFERROR(SUMIFS(INVENTARIO_COMPLEMENTOS!$H$4:$H$3243,INVENTARIO_COMPLEMENTOS!$A$4:$A$3243,$C$2,INVENTARIO_COMPLEMENTOS!$B$4:$B$3243,PRECIOS_COMPLEMENTOS!A12,INVENTARIO_COMPLEMENTOS!$C$4:$C$3243,PRECIOS_COMPLEMENTOS!B12,INVENTARIO_COMPLEMENTOS!$E$4:$E$3243,$A60),0)))</f>
        <v/>
      </c>
      <c r="K60" s="45" t="str">
        <f>IF(OR(PRECIOS_COMPLEMENTOS!A13="",$A60=""),"",IF($C$2="TODOS",IFERROR(SUMIFS(INVENTARIO_COMPLEMENTOS!$H$4:$H$3243,INVENTARIO_COMPLEMENTOS!$B$4:$B$3243,PRECIOS_COMPLEMENTOS!A13,INVENTARIO_COMPLEMENTOS!$C$4:$C$3243,PRECIOS_COMPLEMENTOS!B13,INVENTARIO_COMPLEMENTOS!$E$4:$E$3243,$A60),0),IFERROR(SUMIFS(INVENTARIO_COMPLEMENTOS!$H$4:$H$3243,INVENTARIO_COMPLEMENTOS!$A$4:$A$3243,$C$2,INVENTARIO_COMPLEMENTOS!$B$4:$B$3243,PRECIOS_COMPLEMENTOS!A13,INVENTARIO_COMPLEMENTOS!$C$4:$C$3243,PRECIOS_COMPLEMENTOS!B13,INVENTARIO_COMPLEMENTOS!$E$4:$E$3243,$A60),0)))</f>
        <v/>
      </c>
      <c r="L60" s="45" t="str">
        <f>IF(OR(PRECIOS_COMPLEMENTOS!A14="",$A60=""),"",IF($C$2="TODOS",IFERROR(SUMIFS(INVENTARIO_COMPLEMENTOS!$H$4:$H$3243,INVENTARIO_COMPLEMENTOS!$B$4:$B$3243,PRECIOS_COMPLEMENTOS!A14,INVENTARIO_COMPLEMENTOS!$C$4:$C$3243,PRECIOS_COMPLEMENTOS!B14,INVENTARIO_COMPLEMENTOS!$E$4:$E$3243,$A60),0),IFERROR(SUMIFS(INVENTARIO_COMPLEMENTOS!$H$4:$H$3243,INVENTARIO_COMPLEMENTOS!$A$4:$A$3243,$C$2,INVENTARIO_COMPLEMENTOS!$B$4:$B$3243,PRECIOS_COMPLEMENTOS!A14,INVENTARIO_COMPLEMENTOS!$C$4:$C$3243,PRECIOS_COMPLEMENTOS!B14,INVENTARIO_COMPLEMENTOS!$E$4:$E$3243,$A60),0)))</f>
        <v/>
      </c>
      <c r="M60" s="45" t="str">
        <f>IF(OR(PRECIOS_COMPLEMENTOS!A15="",$A60=""),"",IF($C$2="TODOS",IFERROR(SUMIFS(INVENTARIO_COMPLEMENTOS!$H$4:$H$3243,INVENTARIO_COMPLEMENTOS!$B$4:$B$3243,PRECIOS_COMPLEMENTOS!A15,INVENTARIO_COMPLEMENTOS!$C$4:$C$3243,PRECIOS_COMPLEMENTOS!B15,INVENTARIO_COMPLEMENTOS!$E$4:$E$3243,$A60),0),IFERROR(SUMIFS(INVENTARIO_COMPLEMENTOS!$H$4:$H$3243,INVENTARIO_COMPLEMENTOS!$A$4:$A$3243,$C$2,INVENTARIO_COMPLEMENTOS!$B$4:$B$3243,PRECIOS_COMPLEMENTOS!A15,INVENTARIO_COMPLEMENTOS!$C$4:$C$3243,PRECIOS_COMPLEMENTOS!B15,INVENTARIO_COMPLEMENTOS!$E$4:$E$3243,$A60),0)))</f>
        <v/>
      </c>
      <c r="N60" s="45" t="str">
        <f>IF(OR(PRECIOS_COMPLEMENTOS!A16="",$A60=""),"",IF($C$2="TODOS",IFERROR(SUMIFS(INVENTARIO_COMPLEMENTOS!$H$4:$H$3243,INVENTARIO_COMPLEMENTOS!$B$4:$B$3243,PRECIOS_COMPLEMENTOS!A16,INVENTARIO_COMPLEMENTOS!$C$4:$C$3243,PRECIOS_COMPLEMENTOS!B16,INVENTARIO_COMPLEMENTOS!$E$4:$E$3243,$A60),0),IFERROR(SUMIFS(INVENTARIO_COMPLEMENTOS!$H$4:$H$3243,INVENTARIO_COMPLEMENTOS!$A$4:$A$3243,$C$2,INVENTARIO_COMPLEMENTOS!$B$4:$B$3243,PRECIOS_COMPLEMENTOS!A16,INVENTARIO_COMPLEMENTOS!$C$4:$C$3243,PRECIOS_COMPLEMENTOS!B16,INVENTARIO_COMPLEMENTOS!$E$4:$E$3243,$A60),0)))</f>
        <v/>
      </c>
      <c r="O60" s="45" t="str">
        <f>IF(OR(PRECIOS_COMPLEMENTOS!A17="",$A60=""),"",IF($C$2="TODOS",IFERROR(SUMIFS(INVENTARIO_COMPLEMENTOS!$H$4:$H$3243,INVENTARIO_COMPLEMENTOS!$B$4:$B$3243,PRECIOS_COMPLEMENTOS!A17,INVENTARIO_COMPLEMENTOS!$C$4:$C$3243,PRECIOS_COMPLEMENTOS!B17,INVENTARIO_COMPLEMENTOS!$E$4:$E$3243,$A60),0),IFERROR(SUMIFS(INVENTARIO_COMPLEMENTOS!$H$4:$H$3243,INVENTARIO_COMPLEMENTOS!$A$4:$A$3243,$C$2,INVENTARIO_COMPLEMENTOS!$B$4:$B$3243,PRECIOS_COMPLEMENTOS!A17,INVENTARIO_COMPLEMENTOS!$C$4:$C$3243,PRECIOS_COMPLEMENTOS!B17,INVENTARIO_COMPLEMENTOS!$E$4:$E$3243,$A60),0)))</f>
        <v/>
      </c>
      <c r="P60" s="46">
        <f t="shared" si="3"/>
        <v>0</v>
      </c>
      <c r="Q60" s="47" t="str">
        <f>IF($A60="","",IF($C$2="TODOS",IFERROR(SUMIFS(INVENTARIO_COMPLEMENTOS!$J$4:$J$3243,INVENTARIO_COMPLEMENTOS!$E$4:$E$3243,$A60),0),IFERROR(SUMIFS(INVENTARIO_COMPLEMENTOS!$J$4:$J$3243,INVENTARIO_COMPLEMENTOS!$A$4:$A$3243,$C$2,INVENTARIO_COMPLEMENTOS!$E$4:$E$3243,$A60),0)))</f>
        <v/>
      </c>
    </row>
    <row r="61" ht="15.0" customHeight="1">
      <c r="A61" s="44" t="str">
        <f>IFERROR(IF(COLORES!A25="","",COLORES!A25),"")</f>
        <v/>
      </c>
      <c r="B61" s="45" t="str">
        <f>IF(OR(PRECIOS_COMPLEMENTOS!A4="",$A61=""),"",IF($C$2="TODOS",IFERROR(SUMIFS(INVENTARIO_COMPLEMENTOS!$H$4:$H$3243,INVENTARIO_COMPLEMENTOS!$B$4:$B$3243,PRECIOS_COMPLEMENTOS!A4,INVENTARIO_COMPLEMENTOS!$C$4:$C$3243,PRECIOS_COMPLEMENTOS!B4,INVENTARIO_COMPLEMENTOS!$E$4:$E$3243,$A61),0),IFERROR(SUMIFS(INVENTARIO_COMPLEMENTOS!$H$4:$H$3243,INVENTARIO_COMPLEMENTOS!$A$4:$A$3243,$C$2,INVENTARIO_COMPLEMENTOS!$B$4:$B$3243,PRECIOS_COMPLEMENTOS!A4,INVENTARIO_COMPLEMENTOS!$C$4:$C$3243,PRECIOS_COMPLEMENTOS!B4,INVENTARIO_COMPLEMENTOS!$E$4:$E$3243,$A61),0)))</f>
        <v/>
      </c>
      <c r="C61" s="45" t="str">
        <f>IF(OR(PRECIOS_COMPLEMENTOS!A5="",$A61=""),"",IF($C$2="TODOS",IFERROR(SUMIFS(INVENTARIO_COMPLEMENTOS!$H$4:$H$3243,INVENTARIO_COMPLEMENTOS!$B$4:$B$3243,PRECIOS_COMPLEMENTOS!A5,INVENTARIO_COMPLEMENTOS!$C$4:$C$3243,PRECIOS_COMPLEMENTOS!B5,INVENTARIO_COMPLEMENTOS!$E$4:$E$3243,$A61),0),IFERROR(SUMIFS(INVENTARIO_COMPLEMENTOS!$H$4:$H$3243,INVENTARIO_COMPLEMENTOS!$A$4:$A$3243,$C$2,INVENTARIO_COMPLEMENTOS!$B$4:$B$3243,PRECIOS_COMPLEMENTOS!A5,INVENTARIO_COMPLEMENTOS!$C$4:$C$3243,PRECIOS_COMPLEMENTOS!B5,INVENTARIO_COMPLEMENTOS!$E$4:$E$3243,$A61),0)))</f>
        <v/>
      </c>
      <c r="D61" s="45" t="str">
        <f>IF(OR(PRECIOS_COMPLEMENTOS!A6="",$A61=""),"",IF($C$2="TODOS",IFERROR(SUMIFS(INVENTARIO_COMPLEMENTOS!$H$4:$H$3243,INVENTARIO_COMPLEMENTOS!$B$4:$B$3243,PRECIOS_COMPLEMENTOS!A6,INVENTARIO_COMPLEMENTOS!$C$4:$C$3243,PRECIOS_COMPLEMENTOS!B6,INVENTARIO_COMPLEMENTOS!$E$4:$E$3243,$A61),0),IFERROR(SUMIFS(INVENTARIO_COMPLEMENTOS!$H$4:$H$3243,INVENTARIO_COMPLEMENTOS!$A$4:$A$3243,$C$2,INVENTARIO_COMPLEMENTOS!$B$4:$B$3243,PRECIOS_COMPLEMENTOS!A6,INVENTARIO_COMPLEMENTOS!$C$4:$C$3243,PRECIOS_COMPLEMENTOS!B6,INVENTARIO_COMPLEMENTOS!$E$4:$E$3243,$A61),0)))</f>
        <v/>
      </c>
      <c r="E61" s="45" t="str">
        <f>IF(OR(PRECIOS_COMPLEMENTOS!A7="",$A61=""),"",IF($C$2="TODOS",IFERROR(SUMIFS(INVENTARIO_COMPLEMENTOS!$H$4:$H$3243,INVENTARIO_COMPLEMENTOS!$B$4:$B$3243,PRECIOS_COMPLEMENTOS!A7,INVENTARIO_COMPLEMENTOS!$C$4:$C$3243,PRECIOS_COMPLEMENTOS!B7,INVENTARIO_COMPLEMENTOS!$E$4:$E$3243,$A61),0),IFERROR(SUMIFS(INVENTARIO_COMPLEMENTOS!$H$4:$H$3243,INVENTARIO_COMPLEMENTOS!$A$4:$A$3243,$C$2,INVENTARIO_COMPLEMENTOS!$B$4:$B$3243,PRECIOS_COMPLEMENTOS!A7,INVENTARIO_COMPLEMENTOS!$C$4:$C$3243,PRECIOS_COMPLEMENTOS!B7,INVENTARIO_COMPLEMENTOS!$E$4:$E$3243,$A61),0)))</f>
        <v/>
      </c>
      <c r="F61" s="45" t="str">
        <f>IF(OR(PRECIOS_COMPLEMENTOS!A8="",$A61=""),"",IF($C$2="TODOS",IFERROR(SUMIFS(INVENTARIO_COMPLEMENTOS!$H$4:$H$3243,INVENTARIO_COMPLEMENTOS!$B$4:$B$3243,PRECIOS_COMPLEMENTOS!A8,INVENTARIO_COMPLEMENTOS!$C$4:$C$3243,PRECIOS_COMPLEMENTOS!B8,INVENTARIO_COMPLEMENTOS!$E$4:$E$3243,$A61),0),IFERROR(SUMIFS(INVENTARIO_COMPLEMENTOS!$H$4:$H$3243,INVENTARIO_COMPLEMENTOS!$A$4:$A$3243,$C$2,INVENTARIO_COMPLEMENTOS!$B$4:$B$3243,PRECIOS_COMPLEMENTOS!A8,INVENTARIO_COMPLEMENTOS!$C$4:$C$3243,PRECIOS_COMPLEMENTOS!B8,INVENTARIO_COMPLEMENTOS!$E$4:$E$3243,$A61),0)))</f>
        <v/>
      </c>
      <c r="G61" s="45" t="str">
        <f>IF(OR(PRECIOS_COMPLEMENTOS!A9="",$A61=""),"",IF($C$2="TODOS",IFERROR(SUMIFS(INVENTARIO_COMPLEMENTOS!$H$4:$H$3243,INVENTARIO_COMPLEMENTOS!$B$4:$B$3243,PRECIOS_COMPLEMENTOS!A9,INVENTARIO_COMPLEMENTOS!$C$4:$C$3243,PRECIOS_COMPLEMENTOS!B9,INVENTARIO_COMPLEMENTOS!$E$4:$E$3243,$A61),0),IFERROR(SUMIFS(INVENTARIO_COMPLEMENTOS!$H$4:$H$3243,INVENTARIO_COMPLEMENTOS!$A$4:$A$3243,$C$2,INVENTARIO_COMPLEMENTOS!$B$4:$B$3243,PRECIOS_COMPLEMENTOS!A9,INVENTARIO_COMPLEMENTOS!$C$4:$C$3243,PRECIOS_COMPLEMENTOS!B9,INVENTARIO_COMPLEMENTOS!$E$4:$E$3243,$A61),0)))</f>
        <v/>
      </c>
      <c r="H61" s="45" t="str">
        <f>IF(OR(PRECIOS_COMPLEMENTOS!A10="",$A61=""),"",IF($C$2="TODOS",IFERROR(SUMIFS(INVENTARIO_COMPLEMENTOS!$H$4:$H$3243,INVENTARIO_COMPLEMENTOS!$B$4:$B$3243,PRECIOS_COMPLEMENTOS!A10,INVENTARIO_COMPLEMENTOS!$C$4:$C$3243,PRECIOS_COMPLEMENTOS!B10,INVENTARIO_COMPLEMENTOS!$E$4:$E$3243,$A61),0),IFERROR(SUMIFS(INVENTARIO_COMPLEMENTOS!$H$4:$H$3243,INVENTARIO_COMPLEMENTOS!$A$4:$A$3243,$C$2,INVENTARIO_COMPLEMENTOS!$B$4:$B$3243,PRECIOS_COMPLEMENTOS!A10,INVENTARIO_COMPLEMENTOS!$C$4:$C$3243,PRECIOS_COMPLEMENTOS!B10,INVENTARIO_COMPLEMENTOS!$E$4:$E$3243,$A61),0)))</f>
        <v/>
      </c>
      <c r="I61" s="45" t="str">
        <f>IF(OR(PRECIOS_COMPLEMENTOS!A11="",$A61=""),"",IF($C$2="TODOS",IFERROR(SUMIFS(INVENTARIO_COMPLEMENTOS!$H$4:$H$3243,INVENTARIO_COMPLEMENTOS!$B$4:$B$3243,PRECIOS_COMPLEMENTOS!A11,INVENTARIO_COMPLEMENTOS!$C$4:$C$3243,PRECIOS_COMPLEMENTOS!B11,INVENTARIO_COMPLEMENTOS!$E$4:$E$3243,$A61),0),IFERROR(SUMIFS(INVENTARIO_COMPLEMENTOS!$H$4:$H$3243,INVENTARIO_COMPLEMENTOS!$A$4:$A$3243,$C$2,INVENTARIO_COMPLEMENTOS!$B$4:$B$3243,PRECIOS_COMPLEMENTOS!A11,INVENTARIO_COMPLEMENTOS!$C$4:$C$3243,PRECIOS_COMPLEMENTOS!B11,INVENTARIO_COMPLEMENTOS!$E$4:$E$3243,$A61),0)))</f>
        <v/>
      </c>
      <c r="J61" s="45" t="str">
        <f>IF(OR(PRECIOS_COMPLEMENTOS!A12="",$A61=""),"",IF($C$2="TODOS",IFERROR(SUMIFS(INVENTARIO_COMPLEMENTOS!$H$4:$H$3243,INVENTARIO_COMPLEMENTOS!$B$4:$B$3243,PRECIOS_COMPLEMENTOS!A12,INVENTARIO_COMPLEMENTOS!$C$4:$C$3243,PRECIOS_COMPLEMENTOS!B12,INVENTARIO_COMPLEMENTOS!$E$4:$E$3243,$A61),0),IFERROR(SUMIFS(INVENTARIO_COMPLEMENTOS!$H$4:$H$3243,INVENTARIO_COMPLEMENTOS!$A$4:$A$3243,$C$2,INVENTARIO_COMPLEMENTOS!$B$4:$B$3243,PRECIOS_COMPLEMENTOS!A12,INVENTARIO_COMPLEMENTOS!$C$4:$C$3243,PRECIOS_COMPLEMENTOS!B12,INVENTARIO_COMPLEMENTOS!$E$4:$E$3243,$A61),0)))</f>
        <v/>
      </c>
      <c r="K61" s="45" t="str">
        <f>IF(OR(PRECIOS_COMPLEMENTOS!A13="",$A61=""),"",IF($C$2="TODOS",IFERROR(SUMIFS(INVENTARIO_COMPLEMENTOS!$H$4:$H$3243,INVENTARIO_COMPLEMENTOS!$B$4:$B$3243,PRECIOS_COMPLEMENTOS!A13,INVENTARIO_COMPLEMENTOS!$C$4:$C$3243,PRECIOS_COMPLEMENTOS!B13,INVENTARIO_COMPLEMENTOS!$E$4:$E$3243,$A61),0),IFERROR(SUMIFS(INVENTARIO_COMPLEMENTOS!$H$4:$H$3243,INVENTARIO_COMPLEMENTOS!$A$4:$A$3243,$C$2,INVENTARIO_COMPLEMENTOS!$B$4:$B$3243,PRECIOS_COMPLEMENTOS!A13,INVENTARIO_COMPLEMENTOS!$C$4:$C$3243,PRECIOS_COMPLEMENTOS!B13,INVENTARIO_COMPLEMENTOS!$E$4:$E$3243,$A61),0)))</f>
        <v/>
      </c>
      <c r="L61" s="45" t="str">
        <f>IF(OR(PRECIOS_COMPLEMENTOS!A14="",$A61=""),"",IF($C$2="TODOS",IFERROR(SUMIFS(INVENTARIO_COMPLEMENTOS!$H$4:$H$3243,INVENTARIO_COMPLEMENTOS!$B$4:$B$3243,PRECIOS_COMPLEMENTOS!A14,INVENTARIO_COMPLEMENTOS!$C$4:$C$3243,PRECIOS_COMPLEMENTOS!B14,INVENTARIO_COMPLEMENTOS!$E$4:$E$3243,$A61),0),IFERROR(SUMIFS(INVENTARIO_COMPLEMENTOS!$H$4:$H$3243,INVENTARIO_COMPLEMENTOS!$A$4:$A$3243,$C$2,INVENTARIO_COMPLEMENTOS!$B$4:$B$3243,PRECIOS_COMPLEMENTOS!A14,INVENTARIO_COMPLEMENTOS!$C$4:$C$3243,PRECIOS_COMPLEMENTOS!B14,INVENTARIO_COMPLEMENTOS!$E$4:$E$3243,$A61),0)))</f>
        <v/>
      </c>
      <c r="M61" s="45" t="str">
        <f>IF(OR(PRECIOS_COMPLEMENTOS!A15="",$A61=""),"",IF($C$2="TODOS",IFERROR(SUMIFS(INVENTARIO_COMPLEMENTOS!$H$4:$H$3243,INVENTARIO_COMPLEMENTOS!$B$4:$B$3243,PRECIOS_COMPLEMENTOS!A15,INVENTARIO_COMPLEMENTOS!$C$4:$C$3243,PRECIOS_COMPLEMENTOS!B15,INVENTARIO_COMPLEMENTOS!$E$4:$E$3243,$A61),0),IFERROR(SUMIFS(INVENTARIO_COMPLEMENTOS!$H$4:$H$3243,INVENTARIO_COMPLEMENTOS!$A$4:$A$3243,$C$2,INVENTARIO_COMPLEMENTOS!$B$4:$B$3243,PRECIOS_COMPLEMENTOS!A15,INVENTARIO_COMPLEMENTOS!$C$4:$C$3243,PRECIOS_COMPLEMENTOS!B15,INVENTARIO_COMPLEMENTOS!$E$4:$E$3243,$A61),0)))</f>
        <v/>
      </c>
      <c r="N61" s="45" t="str">
        <f>IF(OR(PRECIOS_COMPLEMENTOS!A16="",$A61=""),"",IF($C$2="TODOS",IFERROR(SUMIFS(INVENTARIO_COMPLEMENTOS!$H$4:$H$3243,INVENTARIO_COMPLEMENTOS!$B$4:$B$3243,PRECIOS_COMPLEMENTOS!A16,INVENTARIO_COMPLEMENTOS!$C$4:$C$3243,PRECIOS_COMPLEMENTOS!B16,INVENTARIO_COMPLEMENTOS!$E$4:$E$3243,$A61),0),IFERROR(SUMIFS(INVENTARIO_COMPLEMENTOS!$H$4:$H$3243,INVENTARIO_COMPLEMENTOS!$A$4:$A$3243,$C$2,INVENTARIO_COMPLEMENTOS!$B$4:$B$3243,PRECIOS_COMPLEMENTOS!A16,INVENTARIO_COMPLEMENTOS!$C$4:$C$3243,PRECIOS_COMPLEMENTOS!B16,INVENTARIO_COMPLEMENTOS!$E$4:$E$3243,$A61),0)))</f>
        <v/>
      </c>
      <c r="O61" s="45" t="str">
        <f>IF(OR(PRECIOS_COMPLEMENTOS!A17="",$A61=""),"",IF($C$2="TODOS",IFERROR(SUMIFS(INVENTARIO_COMPLEMENTOS!$H$4:$H$3243,INVENTARIO_COMPLEMENTOS!$B$4:$B$3243,PRECIOS_COMPLEMENTOS!A17,INVENTARIO_COMPLEMENTOS!$C$4:$C$3243,PRECIOS_COMPLEMENTOS!B17,INVENTARIO_COMPLEMENTOS!$E$4:$E$3243,$A61),0),IFERROR(SUMIFS(INVENTARIO_COMPLEMENTOS!$H$4:$H$3243,INVENTARIO_COMPLEMENTOS!$A$4:$A$3243,$C$2,INVENTARIO_COMPLEMENTOS!$B$4:$B$3243,PRECIOS_COMPLEMENTOS!A17,INVENTARIO_COMPLEMENTOS!$C$4:$C$3243,PRECIOS_COMPLEMENTOS!B17,INVENTARIO_COMPLEMENTOS!$E$4:$E$3243,$A61),0)))</f>
        <v/>
      </c>
      <c r="P61" s="46">
        <f t="shared" si="3"/>
        <v>0</v>
      </c>
      <c r="Q61" s="47" t="str">
        <f>IF($A61="","",IF($C$2="TODOS",IFERROR(SUMIFS(INVENTARIO_COMPLEMENTOS!$J$4:$J$3243,INVENTARIO_COMPLEMENTOS!$E$4:$E$3243,$A61),0),IFERROR(SUMIFS(INVENTARIO_COMPLEMENTOS!$J$4:$J$3243,INVENTARIO_COMPLEMENTOS!$A$4:$A$3243,$C$2,INVENTARIO_COMPLEMENTOS!$E$4:$E$3243,$A61),0)))</f>
        <v/>
      </c>
    </row>
    <row r="62" ht="15.0" customHeight="1">
      <c r="A62" s="44" t="str">
        <f>IFERROR(IF(COLORES!A26="","",COLORES!A26),"")</f>
        <v/>
      </c>
      <c r="B62" s="45" t="str">
        <f>IF(OR(PRECIOS_COMPLEMENTOS!A4="",$A62=""),"",IF($C$2="TODOS",IFERROR(SUMIFS(INVENTARIO_COMPLEMENTOS!$H$4:$H$3243,INVENTARIO_COMPLEMENTOS!$B$4:$B$3243,PRECIOS_COMPLEMENTOS!A4,INVENTARIO_COMPLEMENTOS!$C$4:$C$3243,PRECIOS_COMPLEMENTOS!B4,INVENTARIO_COMPLEMENTOS!$E$4:$E$3243,$A62),0),IFERROR(SUMIFS(INVENTARIO_COMPLEMENTOS!$H$4:$H$3243,INVENTARIO_COMPLEMENTOS!$A$4:$A$3243,$C$2,INVENTARIO_COMPLEMENTOS!$B$4:$B$3243,PRECIOS_COMPLEMENTOS!A4,INVENTARIO_COMPLEMENTOS!$C$4:$C$3243,PRECIOS_COMPLEMENTOS!B4,INVENTARIO_COMPLEMENTOS!$E$4:$E$3243,$A62),0)))</f>
        <v/>
      </c>
      <c r="C62" s="45" t="str">
        <f>IF(OR(PRECIOS_COMPLEMENTOS!A5="",$A62=""),"",IF($C$2="TODOS",IFERROR(SUMIFS(INVENTARIO_COMPLEMENTOS!$H$4:$H$3243,INVENTARIO_COMPLEMENTOS!$B$4:$B$3243,PRECIOS_COMPLEMENTOS!A5,INVENTARIO_COMPLEMENTOS!$C$4:$C$3243,PRECIOS_COMPLEMENTOS!B5,INVENTARIO_COMPLEMENTOS!$E$4:$E$3243,$A62),0),IFERROR(SUMIFS(INVENTARIO_COMPLEMENTOS!$H$4:$H$3243,INVENTARIO_COMPLEMENTOS!$A$4:$A$3243,$C$2,INVENTARIO_COMPLEMENTOS!$B$4:$B$3243,PRECIOS_COMPLEMENTOS!A5,INVENTARIO_COMPLEMENTOS!$C$4:$C$3243,PRECIOS_COMPLEMENTOS!B5,INVENTARIO_COMPLEMENTOS!$E$4:$E$3243,$A62),0)))</f>
        <v/>
      </c>
      <c r="D62" s="45" t="str">
        <f>IF(OR(PRECIOS_COMPLEMENTOS!A6="",$A62=""),"",IF($C$2="TODOS",IFERROR(SUMIFS(INVENTARIO_COMPLEMENTOS!$H$4:$H$3243,INVENTARIO_COMPLEMENTOS!$B$4:$B$3243,PRECIOS_COMPLEMENTOS!A6,INVENTARIO_COMPLEMENTOS!$C$4:$C$3243,PRECIOS_COMPLEMENTOS!B6,INVENTARIO_COMPLEMENTOS!$E$4:$E$3243,$A62),0),IFERROR(SUMIFS(INVENTARIO_COMPLEMENTOS!$H$4:$H$3243,INVENTARIO_COMPLEMENTOS!$A$4:$A$3243,$C$2,INVENTARIO_COMPLEMENTOS!$B$4:$B$3243,PRECIOS_COMPLEMENTOS!A6,INVENTARIO_COMPLEMENTOS!$C$4:$C$3243,PRECIOS_COMPLEMENTOS!B6,INVENTARIO_COMPLEMENTOS!$E$4:$E$3243,$A62),0)))</f>
        <v/>
      </c>
      <c r="E62" s="45" t="str">
        <f>IF(OR(PRECIOS_COMPLEMENTOS!A7="",$A62=""),"",IF($C$2="TODOS",IFERROR(SUMIFS(INVENTARIO_COMPLEMENTOS!$H$4:$H$3243,INVENTARIO_COMPLEMENTOS!$B$4:$B$3243,PRECIOS_COMPLEMENTOS!A7,INVENTARIO_COMPLEMENTOS!$C$4:$C$3243,PRECIOS_COMPLEMENTOS!B7,INVENTARIO_COMPLEMENTOS!$E$4:$E$3243,$A62),0),IFERROR(SUMIFS(INVENTARIO_COMPLEMENTOS!$H$4:$H$3243,INVENTARIO_COMPLEMENTOS!$A$4:$A$3243,$C$2,INVENTARIO_COMPLEMENTOS!$B$4:$B$3243,PRECIOS_COMPLEMENTOS!A7,INVENTARIO_COMPLEMENTOS!$C$4:$C$3243,PRECIOS_COMPLEMENTOS!B7,INVENTARIO_COMPLEMENTOS!$E$4:$E$3243,$A62),0)))</f>
        <v/>
      </c>
      <c r="F62" s="45" t="str">
        <f>IF(OR(PRECIOS_COMPLEMENTOS!A8="",$A62=""),"",IF($C$2="TODOS",IFERROR(SUMIFS(INVENTARIO_COMPLEMENTOS!$H$4:$H$3243,INVENTARIO_COMPLEMENTOS!$B$4:$B$3243,PRECIOS_COMPLEMENTOS!A8,INVENTARIO_COMPLEMENTOS!$C$4:$C$3243,PRECIOS_COMPLEMENTOS!B8,INVENTARIO_COMPLEMENTOS!$E$4:$E$3243,$A62),0),IFERROR(SUMIFS(INVENTARIO_COMPLEMENTOS!$H$4:$H$3243,INVENTARIO_COMPLEMENTOS!$A$4:$A$3243,$C$2,INVENTARIO_COMPLEMENTOS!$B$4:$B$3243,PRECIOS_COMPLEMENTOS!A8,INVENTARIO_COMPLEMENTOS!$C$4:$C$3243,PRECIOS_COMPLEMENTOS!B8,INVENTARIO_COMPLEMENTOS!$E$4:$E$3243,$A62),0)))</f>
        <v/>
      </c>
      <c r="G62" s="45" t="str">
        <f>IF(OR(PRECIOS_COMPLEMENTOS!A9="",$A62=""),"",IF($C$2="TODOS",IFERROR(SUMIFS(INVENTARIO_COMPLEMENTOS!$H$4:$H$3243,INVENTARIO_COMPLEMENTOS!$B$4:$B$3243,PRECIOS_COMPLEMENTOS!A9,INVENTARIO_COMPLEMENTOS!$C$4:$C$3243,PRECIOS_COMPLEMENTOS!B9,INVENTARIO_COMPLEMENTOS!$E$4:$E$3243,$A62),0),IFERROR(SUMIFS(INVENTARIO_COMPLEMENTOS!$H$4:$H$3243,INVENTARIO_COMPLEMENTOS!$A$4:$A$3243,$C$2,INVENTARIO_COMPLEMENTOS!$B$4:$B$3243,PRECIOS_COMPLEMENTOS!A9,INVENTARIO_COMPLEMENTOS!$C$4:$C$3243,PRECIOS_COMPLEMENTOS!B9,INVENTARIO_COMPLEMENTOS!$E$4:$E$3243,$A62),0)))</f>
        <v/>
      </c>
      <c r="H62" s="45" t="str">
        <f>IF(OR(PRECIOS_COMPLEMENTOS!A10="",$A62=""),"",IF($C$2="TODOS",IFERROR(SUMIFS(INVENTARIO_COMPLEMENTOS!$H$4:$H$3243,INVENTARIO_COMPLEMENTOS!$B$4:$B$3243,PRECIOS_COMPLEMENTOS!A10,INVENTARIO_COMPLEMENTOS!$C$4:$C$3243,PRECIOS_COMPLEMENTOS!B10,INVENTARIO_COMPLEMENTOS!$E$4:$E$3243,$A62),0),IFERROR(SUMIFS(INVENTARIO_COMPLEMENTOS!$H$4:$H$3243,INVENTARIO_COMPLEMENTOS!$A$4:$A$3243,$C$2,INVENTARIO_COMPLEMENTOS!$B$4:$B$3243,PRECIOS_COMPLEMENTOS!A10,INVENTARIO_COMPLEMENTOS!$C$4:$C$3243,PRECIOS_COMPLEMENTOS!B10,INVENTARIO_COMPLEMENTOS!$E$4:$E$3243,$A62),0)))</f>
        <v/>
      </c>
      <c r="I62" s="45" t="str">
        <f>IF(OR(PRECIOS_COMPLEMENTOS!A11="",$A62=""),"",IF($C$2="TODOS",IFERROR(SUMIFS(INVENTARIO_COMPLEMENTOS!$H$4:$H$3243,INVENTARIO_COMPLEMENTOS!$B$4:$B$3243,PRECIOS_COMPLEMENTOS!A11,INVENTARIO_COMPLEMENTOS!$C$4:$C$3243,PRECIOS_COMPLEMENTOS!B11,INVENTARIO_COMPLEMENTOS!$E$4:$E$3243,$A62),0),IFERROR(SUMIFS(INVENTARIO_COMPLEMENTOS!$H$4:$H$3243,INVENTARIO_COMPLEMENTOS!$A$4:$A$3243,$C$2,INVENTARIO_COMPLEMENTOS!$B$4:$B$3243,PRECIOS_COMPLEMENTOS!A11,INVENTARIO_COMPLEMENTOS!$C$4:$C$3243,PRECIOS_COMPLEMENTOS!B11,INVENTARIO_COMPLEMENTOS!$E$4:$E$3243,$A62),0)))</f>
        <v/>
      </c>
      <c r="J62" s="45" t="str">
        <f>IF(OR(PRECIOS_COMPLEMENTOS!A12="",$A62=""),"",IF($C$2="TODOS",IFERROR(SUMIFS(INVENTARIO_COMPLEMENTOS!$H$4:$H$3243,INVENTARIO_COMPLEMENTOS!$B$4:$B$3243,PRECIOS_COMPLEMENTOS!A12,INVENTARIO_COMPLEMENTOS!$C$4:$C$3243,PRECIOS_COMPLEMENTOS!B12,INVENTARIO_COMPLEMENTOS!$E$4:$E$3243,$A62),0),IFERROR(SUMIFS(INVENTARIO_COMPLEMENTOS!$H$4:$H$3243,INVENTARIO_COMPLEMENTOS!$A$4:$A$3243,$C$2,INVENTARIO_COMPLEMENTOS!$B$4:$B$3243,PRECIOS_COMPLEMENTOS!A12,INVENTARIO_COMPLEMENTOS!$C$4:$C$3243,PRECIOS_COMPLEMENTOS!B12,INVENTARIO_COMPLEMENTOS!$E$4:$E$3243,$A62),0)))</f>
        <v/>
      </c>
      <c r="K62" s="45" t="str">
        <f>IF(OR(PRECIOS_COMPLEMENTOS!A13="",$A62=""),"",IF($C$2="TODOS",IFERROR(SUMIFS(INVENTARIO_COMPLEMENTOS!$H$4:$H$3243,INVENTARIO_COMPLEMENTOS!$B$4:$B$3243,PRECIOS_COMPLEMENTOS!A13,INVENTARIO_COMPLEMENTOS!$C$4:$C$3243,PRECIOS_COMPLEMENTOS!B13,INVENTARIO_COMPLEMENTOS!$E$4:$E$3243,$A62),0),IFERROR(SUMIFS(INVENTARIO_COMPLEMENTOS!$H$4:$H$3243,INVENTARIO_COMPLEMENTOS!$A$4:$A$3243,$C$2,INVENTARIO_COMPLEMENTOS!$B$4:$B$3243,PRECIOS_COMPLEMENTOS!A13,INVENTARIO_COMPLEMENTOS!$C$4:$C$3243,PRECIOS_COMPLEMENTOS!B13,INVENTARIO_COMPLEMENTOS!$E$4:$E$3243,$A62),0)))</f>
        <v/>
      </c>
      <c r="L62" s="45" t="str">
        <f>IF(OR(PRECIOS_COMPLEMENTOS!A14="",$A62=""),"",IF($C$2="TODOS",IFERROR(SUMIFS(INVENTARIO_COMPLEMENTOS!$H$4:$H$3243,INVENTARIO_COMPLEMENTOS!$B$4:$B$3243,PRECIOS_COMPLEMENTOS!A14,INVENTARIO_COMPLEMENTOS!$C$4:$C$3243,PRECIOS_COMPLEMENTOS!B14,INVENTARIO_COMPLEMENTOS!$E$4:$E$3243,$A62),0),IFERROR(SUMIFS(INVENTARIO_COMPLEMENTOS!$H$4:$H$3243,INVENTARIO_COMPLEMENTOS!$A$4:$A$3243,$C$2,INVENTARIO_COMPLEMENTOS!$B$4:$B$3243,PRECIOS_COMPLEMENTOS!A14,INVENTARIO_COMPLEMENTOS!$C$4:$C$3243,PRECIOS_COMPLEMENTOS!B14,INVENTARIO_COMPLEMENTOS!$E$4:$E$3243,$A62),0)))</f>
        <v/>
      </c>
      <c r="M62" s="45" t="str">
        <f>IF(OR(PRECIOS_COMPLEMENTOS!A15="",$A62=""),"",IF($C$2="TODOS",IFERROR(SUMIFS(INVENTARIO_COMPLEMENTOS!$H$4:$H$3243,INVENTARIO_COMPLEMENTOS!$B$4:$B$3243,PRECIOS_COMPLEMENTOS!A15,INVENTARIO_COMPLEMENTOS!$C$4:$C$3243,PRECIOS_COMPLEMENTOS!B15,INVENTARIO_COMPLEMENTOS!$E$4:$E$3243,$A62),0),IFERROR(SUMIFS(INVENTARIO_COMPLEMENTOS!$H$4:$H$3243,INVENTARIO_COMPLEMENTOS!$A$4:$A$3243,$C$2,INVENTARIO_COMPLEMENTOS!$B$4:$B$3243,PRECIOS_COMPLEMENTOS!A15,INVENTARIO_COMPLEMENTOS!$C$4:$C$3243,PRECIOS_COMPLEMENTOS!B15,INVENTARIO_COMPLEMENTOS!$E$4:$E$3243,$A62),0)))</f>
        <v/>
      </c>
      <c r="N62" s="45" t="str">
        <f>IF(OR(PRECIOS_COMPLEMENTOS!A16="",$A62=""),"",IF($C$2="TODOS",IFERROR(SUMIFS(INVENTARIO_COMPLEMENTOS!$H$4:$H$3243,INVENTARIO_COMPLEMENTOS!$B$4:$B$3243,PRECIOS_COMPLEMENTOS!A16,INVENTARIO_COMPLEMENTOS!$C$4:$C$3243,PRECIOS_COMPLEMENTOS!B16,INVENTARIO_COMPLEMENTOS!$E$4:$E$3243,$A62),0),IFERROR(SUMIFS(INVENTARIO_COMPLEMENTOS!$H$4:$H$3243,INVENTARIO_COMPLEMENTOS!$A$4:$A$3243,$C$2,INVENTARIO_COMPLEMENTOS!$B$4:$B$3243,PRECIOS_COMPLEMENTOS!A16,INVENTARIO_COMPLEMENTOS!$C$4:$C$3243,PRECIOS_COMPLEMENTOS!B16,INVENTARIO_COMPLEMENTOS!$E$4:$E$3243,$A62),0)))</f>
        <v/>
      </c>
      <c r="O62" s="45" t="str">
        <f>IF(OR(PRECIOS_COMPLEMENTOS!A17="",$A62=""),"",IF($C$2="TODOS",IFERROR(SUMIFS(INVENTARIO_COMPLEMENTOS!$H$4:$H$3243,INVENTARIO_COMPLEMENTOS!$B$4:$B$3243,PRECIOS_COMPLEMENTOS!A17,INVENTARIO_COMPLEMENTOS!$C$4:$C$3243,PRECIOS_COMPLEMENTOS!B17,INVENTARIO_COMPLEMENTOS!$E$4:$E$3243,$A62),0),IFERROR(SUMIFS(INVENTARIO_COMPLEMENTOS!$H$4:$H$3243,INVENTARIO_COMPLEMENTOS!$A$4:$A$3243,$C$2,INVENTARIO_COMPLEMENTOS!$B$4:$B$3243,PRECIOS_COMPLEMENTOS!A17,INVENTARIO_COMPLEMENTOS!$C$4:$C$3243,PRECIOS_COMPLEMENTOS!B17,INVENTARIO_COMPLEMENTOS!$E$4:$E$3243,$A62),0)))</f>
        <v/>
      </c>
      <c r="P62" s="46">
        <f t="shared" si="3"/>
        <v>0</v>
      </c>
      <c r="Q62" s="47" t="str">
        <f>IF($A62="","",IF($C$2="TODOS",IFERROR(SUMIFS(INVENTARIO_COMPLEMENTOS!$J$4:$J$3243,INVENTARIO_COMPLEMENTOS!$E$4:$E$3243,$A62),0),IFERROR(SUMIFS(INVENTARIO_COMPLEMENTOS!$J$4:$J$3243,INVENTARIO_COMPLEMENTOS!$A$4:$A$3243,$C$2,INVENTARIO_COMPLEMENTOS!$E$4:$E$3243,$A62),0)))</f>
        <v/>
      </c>
    </row>
    <row r="63" ht="15.0" customHeight="1">
      <c r="A63" s="44" t="str">
        <f>IFERROR(IF(COLORES!A27="","",COLORES!A27),"")</f>
        <v/>
      </c>
      <c r="B63" s="45" t="str">
        <f>IF(OR(PRECIOS_COMPLEMENTOS!A4="",$A63=""),"",IF($C$2="TODOS",IFERROR(SUMIFS(INVENTARIO_COMPLEMENTOS!$H$4:$H$3243,INVENTARIO_COMPLEMENTOS!$B$4:$B$3243,PRECIOS_COMPLEMENTOS!A4,INVENTARIO_COMPLEMENTOS!$C$4:$C$3243,PRECIOS_COMPLEMENTOS!B4,INVENTARIO_COMPLEMENTOS!$E$4:$E$3243,$A63),0),IFERROR(SUMIFS(INVENTARIO_COMPLEMENTOS!$H$4:$H$3243,INVENTARIO_COMPLEMENTOS!$A$4:$A$3243,$C$2,INVENTARIO_COMPLEMENTOS!$B$4:$B$3243,PRECIOS_COMPLEMENTOS!A4,INVENTARIO_COMPLEMENTOS!$C$4:$C$3243,PRECIOS_COMPLEMENTOS!B4,INVENTARIO_COMPLEMENTOS!$E$4:$E$3243,$A63),0)))</f>
        <v/>
      </c>
      <c r="C63" s="45" t="str">
        <f>IF(OR(PRECIOS_COMPLEMENTOS!A5="",$A63=""),"",IF($C$2="TODOS",IFERROR(SUMIFS(INVENTARIO_COMPLEMENTOS!$H$4:$H$3243,INVENTARIO_COMPLEMENTOS!$B$4:$B$3243,PRECIOS_COMPLEMENTOS!A5,INVENTARIO_COMPLEMENTOS!$C$4:$C$3243,PRECIOS_COMPLEMENTOS!B5,INVENTARIO_COMPLEMENTOS!$E$4:$E$3243,$A63),0),IFERROR(SUMIFS(INVENTARIO_COMPLEMENTOS!$H$4:$H$3243,INVENTARIO_COMPLEMENTOS!$A$4:$A$3243,$C$2,INVENTARIO_COMPLEMENTOS!$B$4:$B$3243,PRECIOS_COMPLEMENTOS!A5,INVENTARIO_COMPLEMENTOS!$C$4:$C$3243,PRECIOS_COMPLEMENTOS!B5,INVENTARIO_COMPLEMENTOS!$E$4:$E$3243,$A63),0)))</f>
        <v/>
      </c>
      <c r="D63" s="45" t="str">
        <f>IF(OR(PRECIOS_COMPLEMENTOS!A6="",$A63=""),"",IF($C$2="TODOS",IFERROR(SUMIFS(INVENTARIO_COMPLEMENTOS!$H$4:$H$3243,INVENTARIO_COMPLEMENTOS!$B$4:$B$3243,PRECIOS_COMPLEMENTOS!A6,INVENTARIO_COMPLEMENTOS!$C$4:$C$3243,PRECIOS_COMPLEMENTOS!B6,INVENTARIO_COMPLEMENTOS!$E$4:$E$3243,$A63),0),IFERROR(SUMIFS(INVENTARIO_COMPLEMENTOS!$H$4:$H$3243,INVENTARIO_COMPLEMENTOS!$A$4:$A$3243,$C$2,INVENTARIO_COMPLEMENTOS!$B$4:$B$3243,PRECIOS_COMPLEMENTOS!A6,INVENTARIO_COMPLEMENTOS!$C$4:$C$3243,PRECIOS_COMPLEMENTOS!B6,INVENTARIO_COMPLEMENTOS!$E$4:$E$3243,$A63),0)))</f>
        <v/>
      </c>
      <c r="E63" s="45" t="str">
        <f>IF(OR(PRECIOS_COMPLEMENTOS!A7="",$A63=""),"",IF($C$2="TODOS",IFERROR(SUMIFS(INVENTARIO_COMPLEMENTOS!$H$4:$H$3243,INVENTARIO_COMPLEMENTOS!$B$4:$B$3243,PRECIOS_COMPLEMENTOS!A7,INVENTARIO_COMPLEMENTOS!$C$4:$C$3243,PRECIOS_COMPLEMENTOS!B7,INVENTARIO_COMPLEMENTOS!$E$4:$E$3243,$A63),0),IFERROR(SUMIFS(INVENTARIO_COMPLEMENTOS!$H$4:$H$3243,INVENTARIO_COMPLEMENTOS!$A$4:$A$3243,$C$2,INVENTARIO_COMPLEMENTOS!$B$4:$B$3243,PRECIOS_COMPLEMENTOS!A7,INVENTARIO_COMPLEMENTOS!$C$4:$C$3243,PRECIOS_COMPLEMENTOS!B7,INVENTARIO_COMPLEMENTOS!$E$4:$E$3243,$A63),0)))</f>
        <v/>
      </c>
      <c r="F63" s="45" t="str">
        <f>IF(OR(PRECIOS_COMPLEMENTOS!A8="",$A63=""),"",IF($C$2="TODOS",IFERROR(SUMIFS(INVENTARIO_COMPLEMENTOS!$H$4:$H$3243,INVENTARIO_COMPLEMENTOS!$B$4:$B$3243,PRECIOS_COMPLEMENTOS!A8,INVENTARIO_COMPLEMENTOS!$C$4:$C$3243,PRECIOS_COMPLEMENTOS!B8,INVENTARIO_COMPLEMENTOS!$E$4:$E$3243,$A63),0),IFERROR(SUMIFS(INVENTARIO_COMPLEMENTOS!$H$4:$H$3243,INVENTARIO_COMPLEMENTOS!$A$4:$A$3243,$C$2,INVENTARIO_COMPLEMENTOS!$B$4:$B$3243,PRECIOS_COMPLEMENTOS!A8,INVENTARIO_COMPLEMENTOS!$C$4:$C$3243,PRECIOS_COMPLEMENTOS!B8,INVENTARIO_COMPLEMENTOS!$E$4:$E$3243,$A63),0)))</f>
        <v/>
      </c>
      <c r="G63" s="45" t="str">
        <f>IF(OR(PRECIOS_COMPLEMENTOS!A9="",$A63=""),"",IF($C$2="TODOS",IFERROR(SUMIFS(INVENTARIO_COMPLEMENTOS!$H$4:$H$3243,INVENTARIO_COMPLEMENTOS!$B$4:$B$3243,PRECIOS_COMPLEMENTOS!A9,INVENTARIO_COMPLEMENTOS!$C$4:$C$3243,PRECIOS_COMPLEMENTOS!B9,INVENTARIO_COMPLEMENTOS!$E$4:$E$3243,$A63),0),IFERROR(SUMIFS(INVENTARIO_COMPLEMENTOS!$H$4:$H$3243,INVENTARIO_COMPLEMENTOS!$A$4:$A$3243,$C$2,INVENTARIO_COMPLEMENTOS!$B$4:$B$3243,PRECIOS_COMPLEMENTOS!A9,INVENTARIO_COMPLEMENTOS!$C$4:$C$3243,PRECIOS_COMPLEMENTOS!B9,INVENTARIO_COMPLEMENTOS!$E$4:$E$3243,$A63),0)))</f>
        <v/>
      </c>
      <c r="H63" s="45" t="str">
        <f>IF(OR(PRECIOS_COMPLEMENTOS!A10="",$A63=""),"",IF($C$2="TODOS",IFERROR(SUMIFS(INVENTARIO_COMPLEMENTOS!$H$4:$H$3243,INVENTARIO_COMPLEMENTOS!$B$4:$B$3243,PRECIOS_COMPLEMENTOS!A10,INVENTARIO_COMPLEMENTOS!$C$4:$C$3243,PRECIOS_COMPLEMENTOS!B10,INVENTARIO_COMPLEMENTOS!$E$4:$E$3243,$A63),0),IFERROR(SUMIFS(INVENTARIO_COMPLEMENTOS!$H$4:$H$3243,INVENTARIO_COMPLEMENTOS!$A$4:$A$3243,$C$2,INVENTARIO_COMPLEMENTOS!$B$4:$B$3243,PRECIOS_COMPLEMENTOS!A10,INVENTARIO_COMPLEMENTOS!$C$4:$C$3243,PRECIOS_COMPLEMENTOS!B10,INVENTARIO_COMPLEMENTOS!$E$4:$E$3243,$A63),0)))</f>
        <v/>
      </c>
      <c r="I63" s="45" t="str">
        <f>IF(OR(PRECIOS_COMPLEMENTOS!A11="",$A63=""),"",IF($C$2="TODOS",IFERROR(SUMIFS(INVENTARIO_COMPLEMENTOS!$H$4:$H$3243,INVENTARIO_COMPLEMENTOS!$B$4:$B$3243,PRECIOS_COMPLEMENTOS!A11,INVENTARIO_COMPLEMENTOS!$C$4:$C$3243,PRECIOS_COMPLEMENTOS!B11,INVENTARIO_COMPLEMENTOS!$E$4:$E$3243,$A63),0),IFERROR(SUMIFS(INVENTARIO_COMPLEMENTOS!$H$4:$H$3243,INVENTARIO_COMPLEMENTOS!$A$4:$A$3243,$C$2,INVENTARIO_COMPLEMENTOS!$B$4:$B$3243,PRECIOS_COMPLEMENTOS!A11,INVENTARIO_COMPLEMENTOS!$C$4:$C$3243,PRECIOS_COMPLEMENTOS!B11,INVENTARIO_COMPLEMENTOS!$E$4:$E$3243,$A63),0)))</f>
        <v/>
      </c>
      <c r="J63" s="45" t="str">
        <f>IF(OR(PRECIOS_COMPLEMENTOS!A12="",$A63=""),"",IF($C$2="TODOS",IFERROR(SUMIFS(INVENTARIO_COMPLEMENTOS!$H$4:$H$3243,INVENTARIO_COMPLEMENTOS!$B$4:$B$3243,PRECIOS_COMPLEMENTOS!A12,INVENTARIO_COMPLEMENTOS!$C$4:$C$3243,PRECIOS_COMPLEMENTOS!B12,INVENTARIO_COMPLEMENTOS!$E$4:$E$3243,$A63),0),IFERROR(SUMIFS(INVENTARIO_COMPLEMENTOS!$H$4:$H$3243,INVENTARIO_COMPLEMENTOS!$A$4:$A$3243,$C$2,INVENTARIO_COMPLEMENTOS!$B$4:$B$3243,PRECIOS_COMPLEMENTOS!A12,INVENTARIO_COMPLEMENTOS!$C$4:$C$3243,PRECIOS_COMPLEMENTOS!B12,INVENTARIO_COMPLEMENTOS!$E$4:$E$3243,$A63),0)))</f>
        <v/>
      </c>
      <c r="K63" s="45" t="str">
        <f>IF(OR(PRECIOS_COMPLEMENTOS!A13="",$A63=""),"",IF($C$2="TODOS",IFERROR(SUMIFS(INVENTARIO_COMPLEMENTOS!$H$4:$H$3243,INVENTARIO_COMPLEMENTOS!$B$4:$B$3243,PRECIOS_COMPLEMENTOS!A13,INVENTARIO_COMPLEMENTOS!$C$4:$C$3243,PRECIOS_COMPLEMENTOS!B13,INVENTARIO_COMPLEMENTOS!$E$4:$E$3243,$A63),0),IFERROR(SUMIFS(INVENTARIO_COMPLEMENTOS!$H$4:$H$3243,INVENTARIO_COMPLEMENTOS!$A$4:$A$3243,$C$2,INVENTARIO_COMPLEMENTOS!$B$4:$B$3243,PRECIOS_COMPLEMENTOS!A13,INVENTARIO_COMPLEMENTOS!$C$4:$C$3243,PRECIOS_COMPLEMENTOS!B13,INVENTARIO_COMPLEMENTOS!$E$4:$E$3243,$A63),0)))</f>
        <v/>
      </c>
      <c r="L63" s="45" t="str">
        <f>IF(OR(PRECIOS_COMPLEMENTOS!A14="",$A63=""),"",IF($C$2="TODOS",IFERROR(SUMIFS(INVENTARIO_COMPLEMENTOS!$H$4:$H$3243,INVENTARIO_COMPLEMENTOS!$B$4:$B$3243,PRECIOS_COMPLEMENTOS!A14,INVENTARIO_COMPLEMENTOS!$C$4:$C$3243,PRECIOS_COMPLEMENTOS!B14,INVENTARIO_COMPLEMENTOS!$E$4:$E$3243,$A63),0),IFERROR(SUMIFS(INVENTARIO_COMPLEMENTOS!$H$4:$H$3243,INVENTARIO_COMPLEMENTOS!$A$4:$A$3243,$C$2,INVENTARIO_COMPLEMENTOS!$B$4:$B$3243,PRECIOS_COMPLEMENTOS!A14,INVENTARIO_COMPLEMENTOS!$C$4:$C$3243,PRECIOS_COMPLEMENTOS!B14,INVENTARIO_COMPLEMENTOS!$E$4:$E$3243,$A63),0)))</f>
        <v/>
      </c>
      <c r="M63" s="45" t="str">
        <f>IF(OR(PRECIOS_COMPLEMENTOS!A15="",$A63=""),"",IF($C$2="TODOS",IFERROR(SUMIFS(INVENTARIO_COMPLEMENTOS!$H$4:$H$3243,INVENTARIO_COMPLEMENTOS!$B$4:$B$3243,PRECIOS_COMPLEMENTOS!A15,INVENTARIO_COMPLEMENTOS!$C$4:$C$3243,PRECIOS_COMPLEMENTOS!B15,INVENTARIO_COMPLEMENTOS!$E$4:$E$3243,$A63),0),IFERROR(SUMIFS(INVENTARIO_COMPLEMENTOS!$H$4:$H$3243,INVENTARIO_COMPLEMENTOS!$A$4:$A$3243,$C$2,INVENTARIO_COMPLEMENTOS!$B$4:$B$3243,PRECIOS_COMPLEMENTOS!A15,INVENTARIO_COMPLEMENTOS!$C$4:$C$3243,PRECIOS_COMPLEMENTOS!B15,INVENTARIO_COMPLEMENTOS!$E$4:$E$3243,$A63),0)))</f>
        <v/>
      </c>
      <c r="N63" s="45" t="str">
        <f>IF(OR(PRECIOS_COMPLEMENTOS!A16="",$A63=""),"",IF($C$2="TODOS",IFERROR(SUMIFS(INVENTARIO_COMPLEMENTOS!$H$4:$H$3243,INVENTARIO_COMPLEMENTOS!$B$4:$B$3243,PRECIOS_COMPLEMENTOS!A16,INVENTARIO_COMPLEMENTOS!$C$4:$C$3243,PRECIOS_COMPLEMENTOS!B16,INVENTARIO_COMPLEMENTOS!$E$4:$E$3243,$A63),0),IFERROR(SUMIFS(INVENTARIO_COMPLEMENTOS!$H$4:$H$3243,INVENTARIO_COMPLEMENTOS!$A$4:$A$3243,$C$2,INVENTARIO_COMPLEMENTOS!$B$4:$B$3243,PRECIOS_COMPLEMENTOS!A16,INVENTARIO_COMPLEMENTOS!$C$4:$C$3243,PRECIOS_COMPLEMENTOS!B16,INVENTARIO_COMPLEMENTOS!$E$4:$E$3243,$A63),0)))</f>
        <v/>
      </c>
      <c r="O63" s="45" t="str">
        <f>IF(OR(PRECIOS_COMPLEMENTOS!A17="",$A63=""),"",IF($C$2="TODOS",IFERROR(SUMIFS(INVENTARIO_COMPLEMENTOS!$H$4:$H$3243,INVENTARIO_COMPLEMENTOS!$B$4:$B$3243,PRECIOS_COMPLEMENTOS!A17,INVENTARIO_COMPLEMENTOS!$C$4:$C$3243,PRECIOS_COMPLEMENTOS!B17,INVENTARIO_COMPLEMENTOS!$E$4:$E$3243,$A63),0),IFERROR(SUMIFS(INVENTARIO_COMPLEMENTOS!$H$4:$H$3243,INVENTARIO_COMPLEMENTOS!$A$4:$A$3243,$C$2,INVENTARIO_COMPLEMENTOS!$B$4:$B$3243,PRECIOS_COMPLEMENTOS!A17,INVENTARIO_COMPLEMENTOS!$C$4:$C$3243,PRECIOS_COMPLEMENTOS!B17,INVENTARIO_COMPLEMENTOS!$E$4:$E$3243,$A63),0)))</f>
        <v/>
      </c>
      <c r="P63" s="46">
        <f t="shared" si="3"/>
        <v>0</v>
      </c>
      <c r="Q63" s="47" t="str">
        <f>IF($A63="","",IF($C$2="TODOS",IFERROR(SUMIFS(INVENTARIO_COMPLEMENTOS!$J$4:$J$3243,INVENTARIO_COMPLEMENTOS!$E$4:$E$3243,$A63),0),IFERROR(SUMIFS(INVENTARIO_COMPLEMENTOS!$J$4:$J$3243,INVENTARIO_COMPLEMENTOS!$A$4:$A$3243,$C$2,INVENTARIO_COMPLEMENTOS!$E$4:$E$3243,$A63),0)))</f>
        <v/>
      </c>
    </row>
    <row r="64" ht="15.0" customHeight="1">
      <c r="A64" s="44" t="str">
        <f>IFERROR(IF(COLORES!A28="","",COLORES!A28),"")</f>
        <v/>
      </c>
      <c r="B64" s="45" t="str">
        <f>IF(OR(PRECIOS_COMPLEMENTOS!A4="",$A64=""),"",IF($C$2="TODOS",IFERROR(SUMIFS(INVENTARIO_COMPLEMENTOS!$H$4:$H$3243,INVENTARIO_COMPLEMENTOS!$B$4:$B$3243,PRECIOS_COMPLEMENTOS!A4,INVENTARIO_COMPLEMENTOS!$C$4:$C$3243,PRECIOS_COMPLEMENTOS!B4,INVENTARIO_COMPLEMENTOS!$E$4:$E$3243,$A64),0),IFERROR(SUMIFS(INVENTARIO_COMPLEMENTOS!$H$4:$H$3243,INVENTARIO_COMPLEMENTOS!$A$4:$A$3243,$C$2,INVENTARIO_COMPLEMENTOS!$B$4:$B$3243,PRECIOS_COMPLEMENTOS!A4,INVENTARIO_COMPLEMENTOS!$C$4:$C$3243,PRECIOS_COMPLEMENTOS!B4,INVENTARIO_COMPLEMENTOS!$E$4:$E$3243,$A64),0)))</f>
        <v/>
      </c>
      <c r="C64" s="45" t="str">
        <f>IF(OR(PRECIOS_COMPLEMENTOS!A5="",$A64=""),"",IF($C$2="TODOS",IFERROR(SUMIFS(INVENTARIO_COMPLEMENTOS!$H$4:$H$3243,INVENTARIO_COMPLEMENTOS!$B$4:$B$3243,PRECIOS_COMPLEMENTOS!A5,INVENTARIO_COMPLEMENTOS!$C$4:$C$3243,PRECIOS_COMPLEMENTOS!B5,INVENTARIO_COMPLEMENTOS!$E$4:$E$3243,$A64),0),IFERROR(SUMIFS(INVENTARIO_COMPLEMENTOS!$H$4:$H$3243,INVENTARIO_COMPLEMENTOS!$A$4:$A$3243,$C$2,INVENTARIO_COMPLEMENTOS!$B$4:$B$3243,PRECIOS_COMPLEMENTOS!A5,INVENTARIO_COMPLEMENTOS!$C$4:$C$3243,PRECIOS_COMPLEMENTOS!B5,INVENTARIO_COMPLEMENTOS!$E$4:$E$3243,$A64),0)))</f>
        <v/>
      </c>
      <c r="D64" s="45" t="str">
        <f>IF(OR(PRECIOS_COMPLEMENTOS!A6="",$A64=""),"",IF($C$2="TODOS",IFERROR(SUMIFS(INVENTARIO_COMPLEMENTOS!$H$4:$H$3243,INVENTARIO_COMPLEMENTOS!$B$4:$B$3243,PRECIOS_COMPLEMENTOS!A6,INVENTARIO_COMPLEMENTOS!$C$4:$C$3243,PRECIOS_COMPLEMENTOS!B6,INVENTARIO_COMPLEMENTOS!$E$4:$E$3243,$A64),0),IFERROR(SUMIFS(INVENTARIO_COMPLEMENTOS!$H$4:$H$3243,INVENTARIO_COMPLEMENTOS!$A$4:$A$3243,$C$2,INVENTARIO_COMPLEMENTOS!$B$4:$B$3243,PRECIOS_COMPLEMENTOS!A6,INVENTARIO_COMPLEMENTOS!$C$4:$C$3243,PRECIOS_COMPLEMENTOS!B6,INVENTARIO_COMPLEMENTOS!$E$4:$E$3243,$A64),0)))</f>
        <v/>
      </c>
      <c r="E64" s="45" t="str">
        <f>IF(OR(PRECIOS_COMPLEMENTOS!A7="",$A64=""),"",IF($C$2="TODOS",IFERROR(SUMIFS(INVENTARIO_COMPLEMENTOS!$H$4:$H$3243,INVENTARIO_COMPLEMENTOS!$B$4:$B$3243,PRECIOS_COMPLEMENTOS!A7,INVENTARIO_COMPLEMENTOS!$C$4:$C$3243,PRECIOS_COMPLEMENTOS!B7,INVENTARIO_COMPLEMENTOS!$E$4:$E$3243,$A64),0),IFERROR(SUMIFS(INVENTARIO_COMPLEMENTOS!$H$4:$H$3243,INVENTARIO_COMPLEMENTOS!$A$4:$A$3243,$C$2,INVENTARIO_COMPLEMENTOS!$B$4:$B$3243,PRECIOS_COMPLEMENTOS!A7,INVENTARIO_COMPLEMENTOS!$C$4:$C$3243,PRECIOS_COMPLEMENTOS!B7,INVENTARIO_COMPLEMENTOS!$E$4:$E$3243,$A64),0)))</f>
        <v/>
      </c>
      <c r="F64" s="45" t="str">
        <f>IF(OR(PRECIOS_COMPLEMENTOS!A8="",$A64=""),"",IF($C$2="TODOS",IFERROR(SUMIFS(INVENTARIO_COMPLEMENTOS!$H$4:$H$3243,INVENTARIO_COMPLEMENTOS!$B$4:$B$3243,PRECIOS_COMPLEMENTOS!A8,INVENTARIO_COMPLEMENTOS!$C$4:$C$3243,PRECIOS_COMPLEMENTOS!B8,INVENTARIO_COMPLEMENTOS!$E$4:$E$3243,$A64),0),IFERROR(SUMIFS(INVENTARIO_COMPLEMENTOS!$H$4:$H$3243,INVENTARIO_COMPLEMENTOS!$A$4:$A$3243,$C$2,INVENTARIO_COMPLEMENTOS!$B$4:$B$3243,PRECIOS_COMPLEMENTOS!A8,INVENTARIO_COMPLEMENTOS!$C$4:$C$3243,PRECIOS_COMPLEMENTOS!B8,INVENTARIO_COMPLEMENTOS!$E$4:$E$3243,$A64),0)))</f>
        <v/>
      </c>
      <c r="G64" s="45" t="str">
        <f>IF(OR(PRECIOS_COMPLEMENTOS!A9="",$A64=""),"",IF($C$2="TODOS",IFERROR(SUMIFS(INVENTARIO_COMPLEMENTOS!$H$4:$H$3243,INVENTARIO_COMPLEMENTOS!$B$4:$B$3243,PRECIOS_COMPLEMENTOS!A9,INVENTARIO_COMPLEMENTOS!$C$4:$C$3243,PRECIOS_COMPLEMENTOS!B9,INVENTARIO_COMPLEMENTOS!$E$4:$E$3243,$A64),0),IFERROR(SUMIFS(INVENTARIO_COMPLEMENTOS!$H$4:$H$3243,INVENTARIO_COMPLEMENTOS!$A$4:$A$3243,$C$2,INVENTARIO_COMPLEMENTOS!$B$4:$B$3243,PRECIOS_COMPLEMENTOS!A9,INVENTARIO_COMPLEMENTOS!$C$4:$C$3243,PRECIOS_COMPLEMENTOS!B9,INVENTARIO_COMPLEMENTOS!$E$4:$E$3243,$A64),0)))</f>
        <v/>
      </c>
      <c r="H64" s="45" t="str">
        <f>IF(OR(PRECIOS_COMPLEMENTOS!A10="",$A64=""),"",IF($C$2="TODOS",IFERROR(SUMIFS(INVENTARIO_COMPLEMENTOS!$H$4:$H$3243,INVENTARIO_COMPLEMENTOS!$B$4:$B$3243,PRECIOS_COMPLEMENTOS!A10,INVENTARIO_COMPLEMENTOS!$C$4:$C$3243,PRECIOS_COMPLEMENTOS!B10,INVENTARIO_COMPLEMENTOS!$E$4:$E$3243,$A64),0),IFERROR(SUMIFS(INVENTARIO_COMPLEMENTOS!$H$4:$H$3243,INVENTARIO_COMPLEMENTOS!$A$4:$A$3243,$C$2,INVENTARIO_COMPLEMENTOS!$B$4:$B$3243,PRECIOS_COMPLEMENTOS!A10,INVENTARIO_COMPLEMENTOS!$C$4:$C$3243,PRECIOS_COMPLEMENTOS!B10,INVENTARIO_COMPLEMENTOS!$E$4:$E$3243,$A64),0)))</f>
        <v/>
      </c>
      <c r="I64" s="45" t="str">
        <f>IF(OR(PRECIOS_COMPLEMENTOS!A11="",$A64=""),"",IF($C$2="TODOS",IFERROR(SUMIFS(INVENTARIO_COMPLEMENTOS!$H$4:$H$3243,INVENTARIO_COMPLEMENTOS!$B$4:$B$3243,PRECIOS_COMPLEMENTOS!A11,INVENTARIO_COMPLEMENTOS!$C$4:$C$3243,PRECIOS_COMPLEMENTOS!B11,INVENTARIO_COMPLEMENTOS!$E$4:$E$3243,$A64),0),IFERROR(SUMIFS(INVENTARIO_COMPLEMENTOS!$H$4:$H$3243,INVENTARIO_COMPLEMENTOS!$A$4:$A$3243,$C$2,INVENTARIO_COMPLEMENTOS!$B$4:$B$3243,PRECIOS_COMPLEMENTOS!A11,INVENTARIO_COMPLEMENTOS!$C$4:$C$3243,PRECIOS_COMPLEMENTOS!B11,INVENTARIO_COMPLEMENTOS!$E$4:$E$3243,$A64),0)))</f>
        <v/>
      </c>
      <c r="J64" s="45" t="str">
        <f>IF(OR(PRECIOS_COMPLEMENTOS!A12="",$A64=""),"",IF($C$2="TODOS",IFERROR(SUMIFS(INVENTARIO_COMPLEMENTOS!$H$4:$H$3243,INVENTARIO_COMPLEMENTOS!$B$4:$B$3243,PRECIOS_COMPLEMENTOS!A12,INVENTARIO_COMPLEMENTOS!$C$4:$C$3243,PRECIOS_COMPLEMENTOS!B12,INVENTARIO_COMPLEMENTOS!$E$4:$E$3243,$A64),0),IFERROR(SUMIFS(INVENTARIO_COMPLEMENTOS!$H$4:$H$3243,INVENTARIO_COMPLEMENTOS!$A$4:$A$3243,$C$2,INVENTARIO_COMPLEMENTOS!$B$4:$B$3243,PRECIOS_COMPLEMENTOS!A12,INVENTARIO_COMPLEMENTOS!$C$4:$C$3243,PRECIOS_COMPLEMENTOS!B12,INVENTARIO_COMPLEMENTOS!$E$4:$E$3243,$A64),0)))</f>
        <v/>
      </c>
      <c r="K64" s="45" t="str">
        <f>IF(OR(PRECIOS_COMPLEMENTOS!A13="",$A64=""),"",IF($C$2="TODOS",IFERROR(SUMIFS(INVENTARIO_COMPLEMENTOS!$H$4:$H$3243,INVENTARIO_COMPLEMENTOS!$B$4:$B$3243,PRECIOS_COMPLEMENTOS!A13,INVENTARIO_COMPLEMENTOS!$C$4:$C$3243,PRECIOS_COMPLEMENTOS!B13,INVENTARIO_COMPLEMENTOS!$E$4:$E$3243,$A64),0),IFERROR(SUMIFS(INVENTARIO_COMPLEMENTOS!$H$4:$H$3243,INVENTARIO_COMPLEMENTOS!$A$4:$A$3243,$C$2,INVENTARIO_COMPLEMENTOS!$B$4:$B$3243,PRECIOS_COMPLEMENTOS!A13,INVENTARIO_COMPLEMENTOS!$C$4:$C$3243,PRECIOS_COMPLEMENTOS!B13,INVENTARIO_COMPLEMENTOS!$E$4:$E$3243,$A64),0)))</f>
        <v/>
      </c>
      <c r="L64" s="45" t="str">
        <f>IF(OR(PRECIOS_COMPLEMENTOS!A14="",$A64=""),"",IF($C$2="TODOS",IFERROR(SUMIFS(INVENTARIO_COMPLEMENTOS!$H$4:$H$3243,INVENTARIO_COMPLEMENTOS!$B$4:$B$3243,PRECIOS_COMPLEMENTOS!A14,INVENTARIO_COMPLEMENTOS!$C$4:$C$3243,PRECIOS_COMPLEMENTOS!B14,INVENTARIO_COMPLEMENTOS!$E$4:$E$3243,$A64),0),IFERROR(SUMIFS(INVENTARIO_COMPLEMENTOS!$H$4:$H$3243,INVENTARIO_COMPLEMENTOS!$A$4:$A$3243,$C$2,INVENTARIO_COMPLEMENTOS!$B$4:$B$3243,PRECIOS_COMPLEMENTOS!A14,INVENTARIO_COMPLEMENTOS!$C$4:$C$3243,PRECIOS_COMPLEMENTOS!B14,INVENTARIO_COMPLEMENTOS!$E$4:$E$3243,$A64),0)))</f>
        <v/>
      </c>
      <c r="M64" s="45" t="str">
        <f>IF(OR(PRECIOS_COMPLEMENTOS!A15="",$A64=""),"",IF($C$2="TODOS",IFERROR(SUMIFS(INVENTARIO_COMPLEMENTOS!$H$4:$H$3243,INVENTARIO_COMPLEMENTOS!$B$4:$B$3243,PRECIOS_COMPLEMENTOS!A15,INVENTARIO_COMPLEMENTOS!$C$4:$C$3243,PRECIOS_COMPLEMENTOS!B15,INVENTARIO_COMPLEMENTOS!$E$4:$E$3243,$A64),0),IFERROR(SUMIFS(INVENTARIO_COMPLEMENTOS!$H$4:$H$3243,INVENTARIO_COMPLEMENTOS!$A$4:$A$3243,$C$2,INVENTARIO_COMPLEMENTOS!$B$4:$B$3243,PRECIOS_COMPLEMENTOS!A15,INVENTARIO_COMPLEMENTOS!$C$4:$C$3243,PRECIOS_COMPLEMENTOS!B15,INVENTARIO_COMPLEMENTOS!$E$4:$E$3243,$A64),0)))</f>
        <v/>
      </c>
      <c r="N64" s="45" t="str">
        <f>IF(OR(PRECIOS_COMPLEMENTOS!A16="",$A64=""),"",IF($C$2="TODOS",IFERROR(SUMIFS(INVENTARIO_COMPLEMENTOS!$H$4:$H$3243,INVENTARIO_COMPLEMENTOS!$B$4:$B$3243,PRECIOS_COMPLEMENTOS!A16,INVENTARIO_COMPLEMENTOS!$C$4:$C$3243,PRECIOS_COMPLEMENTOS!B16,INVENTARIO_COMPLEMENTOS!$E$4:$E$3243,$A64),0),IFERROR(SUMIFS(INVENTARIO_COMPLEMENTOS!$H$4:$H$3243,INVENTARIO_COMPLEMENTOS!$A$4:$A$3243,$C$2,INVENTARIO_COMPLEMENTOS!$B$4:$B$3243,PRECIOS_COMPLEMENTOS!A16,INVENTARIO_COMPLEMENTOS!$C$4:$C$3243,PRECIOS_COMPLEMENTOS!B16,INVENTARIO_COMPLEMENTOS!$E$4:$E$3243,$A64),0)))</f>
        <v/>
      </c>
      <c r="O64" s="45" t="str">
        <f>IF(OR(PRECIOS_COMPLEMENTOS!A17="",$A64=""),"",IF($C$2="TODOS",IFERROR(SUMIFS(INVENTARIO_COMPLEMENTOS!$H$4:$H$3243,INVENTARIO_COMPLEMENTOS!$B$4:$B$3243,PRECIOS_COMPLEMENTOS!A17,INVENTARIO_COMPLEMENTOS!$C$4:$C$3243,PRECIOS_COMPLEMENTOS!B17,INVENTARIO_COMPLEMENTOS!$E$4:$E$3243,$A64),0),IFERROR(SUMIFS(INVENTARIO_COMPLEMENTOS!$H$4:$H$3243,INVENTARIO_COMPLEMENTOS!$A$4:$A$3243,$C$2,INVENTARIO_COMPLEMENTOS!$B$4:$B$3243,PRECIOS_COMPLEMENTOS!A17,INVENTARIO_COMPLEMENTOS!$C$4:$C$3243,PRECIOS_COMPLEMENTOS!B17,INVENTARIO_COMPLEMENTOS!$E$4:$E$3243,$A64),0)))</f>
        <v/>
      </c>
      <c r="P64" s="46">
        <f t="shared" si="3"/>
        <v>0</v>
      </c>
      <c r="Q64" s="47" t="str">
        <f>IF($A64="","",IF($C$2="TODOS",IFERROR(SUMIFS(INVENTARIO_COMPLEMENTOS!$J$4:$J$3243,INVENTARIO_COMPLEMENTOS!$E$4:$E$3243,$A64),0),IFERROR(SUMIFS(INVENTARIO_COMPLEMENTOS!$J$4:$J$3243,INVENTARIO_COMPLEMENTOS!$A$4:$A$3243,$C$2,INVENTARIO_COMPLEMENTOS!$E$4:$E$3243,$A64),0)))</f>
        <v/>
      </c>
    </row>
    <row r="65" ht="15.0" customHeight="1">
      <c r="A65" s="44" t="str">
        <f>IFERROR(IF(COLORES!A29="","",COLORES!A29),"")</f>
        <v/>
      </c>
      <c r="B65" s="45" t="str">
        <f>IF(OR(PRECIOS_COMPLEMENTOS!A4="",$A65=""),"",IF($C$2="TODOS",IFERROR(SUMIFS(INVENTARIO_COMPLEMENTOS!$H$4:$H$3243,INVENTARIO_COMPLEMENTOS!$B$4:$B$3243,PRECIOS_COMPLEMENTOS!A4,INVENTARIO_COMPLEMENTOS!$C$4:$C$3243,PRECIOS_COMPLEMENTOS!B4,INVENTARIO_COMPLEMENTOS!$E$4:$E$3243,$A65),0),IFERROR(SUMIFS(INVENTARIO_COMPLEMENTOS!$H$4:$H$3243,INVENTARIO_COMPLEMENTOS!$A$4:$A$3243,$C$2,INVENTARIO_COMPLEMENTOS!$B$4:$B$3243,PRECIOS_COMPLEMENTOS!A4,INVENTARIO_COMPLEMENTOS!$C$4:$C$3243,PRECIOS_COMPLEMENTOS!B4,INVENTARIO_COMPLEMENTOS!$E$4:$E$3243,$A65),0)))</f>
        <v/>
      </c>
      <c r="C65" s="45" t="str">
        <f>IF(OR(PRECIOS_COMPLEMENTOS!A5="",$A65=""),"",IF($C$2="TODOS",IFERROR(SUMIFS(INVENTARIO_COMPLEMENTOS!$H$4:$H$3243,INVENTARIO_COMPLEMENTOS!$B$4:$B$3243,PRECIOS_COMPLEMENTOS!A5,INVENTARIO_COMPLEMENTOS!$C$4:$C$3243,PRECIOS_COMPLEMENTOS!B5,INVENTARIO_COMPLEMENTOS!$E$4:$E$3243,$A65),0),IFERROR(SUMIFS(INVENTARIO_COMPLEMENTOS!$H$4:$H$3243,INVENTARIO_COMPLEMENTOS!$A$4:$A$3243,$C$2,INVENTARIO_COMPLEMENTOS!$B$4:$B$3243,PRECIOS_COMPLEMENTOS!A5,INVENTARIO_COMPLEMENTOS!$C$4:$C$3243,PRECIOS_COMPLEMENTOS!B5,INVENTARIO_COMPLEMENTOS!$E$4:$E$3243,$A65),0)))</f>
        <v/>
      </c>
      <c r="D65" s="45" t="str">
        <f>IF(OR(PRECIOS_COMPLEMENTOS!A6="",$A65=""),"",IF($C$2="TODOS",IFERROR(SUMIFS(INVENTARIO_COMPLEMENTOS!$H$4:$H$3243,INVENTARIO_COMPLEMENTOS!$B$4:$B$3243,PRECIOS_COMPLEMENTOS!A6,INVENTARIO_COMPLEMENTOS!$C$4:$C$3243,PRECIOS_COMPLEMENTOS!B6,INVENTARIO_COMPLEMENTOS!$E$4:$E$3243,$A65),0),IFERROR(SUMIFS(INVENTARIO_COMPLEMENTOS!$H$4:$H$3243,INVENTARIO_COMPLEMENTOS!$A$4:$A$3243,$C$2,INVENTARIO_COMPLEMENTOS!$B$4:$B$3243,PRECIOS_COMPLEMENTOS!A6,INVENTARIO_COMPLEMENTOS!$C$4:$C$3243,PRECIOS_COMPLEMENTOS!B6,INVENTARIO_COMPLEMENTOS!$E$4:$E$3243,$A65),0)))</f>
        <v/>
      </c>
      <c r="E65" s="45" t="str">
        <f>IF(OR(PRECIOS_COMPLEMENTOS!A7="",$A65=""),"",IF($C$2="TODOS",IFERROR(SUMIFS(INVENTARIO_COMPLEMENTOS!$H$4:$H$3243,INVENTARIO_COMPLEMENTOS!$B$4:$B$3243,PRECIOS_COMPLEMENTOS!A7,INVENTARIO_COMPLEMENTOS!$C$4:$C$3243,PRECIOS_COMPLEMENTOS!B7,INVENTARIO_COMPLEMENTOS!$E$4:$E$3243,$A65),0),IFERROR(SUMIFS(INVENTARIO_COMPLEMENTOS!$H$4:$H$3243,INVENTARIO_COMPLEMENTOS!$A$4:$A$3243,$C$2,INVENTARIO_COMPLEMENTOS!$B$4:$B$3243,PRECIOS_COMPLEMENTOS!A7,INVENTARIO_COMPLEMENTOS!$C$4:$C$3243,PRECIOS_COMPLEMENTOS!B7,INVENTARIO_COMPLEMENTOS!$E$4:$E$3243,$A65),0)))</f>
        <v/>
      </c>
      <c r="F65" s="45" t="str">
        <f>IF(OR(PRECIOS_COMPLEMENTOS!A8="",$A65=""),"",IF($C$2="TODOS",IFERROR(SUMIFS(INVENTARIO_COMPLEMENTOS!$H$4:$H$3243,INVENTARIO_COMPLEMENTOS!$B$4:$B$3243,PRECIOS_COMPLEMENTOS!A8,INVENTARIO_COMPLEMENTOS!$C$4:$C$3243,PRECIOS_COMPLEMENTOS!B8,INVENTARIO_COMPLEMENTOS!$E$4:$E$3243,$A65),0),IFERROR(SUMIFS(INVENTARIO_COMPLEMENTOS!$H$4:$H$3243,INVENTARIO_COMPLEMENTOS!$A$4:$A$3243,$C$2,INVENTARIO_COMPLEMENTOS!$B$4:$B$3243,PRECIOS_COMPLEMENTOS!A8,INVENTARIO_COMPLEMENTOS!$C$4:$C$3243,PRECIOS_COMPLEMENTOS!B8,INVENTARIO_COMPLEMENTOS!$E$4:$E$3243,$A65),0)))</f>
        <v/>
      </c>
      <c r="G65" s="45" t="str">
        <f>IF(OR(PRECIOS_COMPLEMENTOS!A9="",$A65=""),"",IF($C$2="TODOS",IFERROR(SUMIFS(INVENTARIO_COMPLEMENTOS!$H$4:$H$3243,INVENTARIO_COMPLEMENTOS!$B$4:$B$3243,PRECIOS_COMPLEMENTOS!A9,INVENTARIO_COMPLEMENTOS!$C$4:$C$3243,PRECIOS_COMPLEMENTOS!B9,INVENTARIO_COMPLEMENTOS!$E$4:$E$3243,$A65),0),IFERROR(SUMIFS(INVENTARIO_COMPLEMENTOS!$H$4:$H$3243,INVENTARIO_COMPLEMENTOS!$A$4:$A$3243,$C$2,INVENTARIO_COMPLEMENTOS!$B$4:$B$3243,PRECIOS_COMPLEMENTOS!A9,INVENTARIO_COMPLEMENTOS!$C$4:$C$3243,PRECIOS_COMPLEMENTOS!B9,INVENTARIO_COMPLEMENTOS!$E$4:$E$3243,$A65),0)))</f>
        <v/>
      </c>
      <c r="H65" s="45" t="str">
        <f>IF(OR(PRECIOS_COMPLEMENTOS!A10="",$A65=""),"",IF($C$2="TODOS",IFERROR(SUMIFS(INVENTARIO_COMPLEMENTOS!$H$4:$H$3243,INVENTARIO_COMPLEMENTOS!$B$4:$B$3243,PRECIOS_COMPLEMENTOS!A10,INVENTARIO_COMPLEMENTOS!$C$4:$C$3243,PRECIOS_COMPLEMENTOS!B10,INVENTARIO_COMPLEMENTOS!$E$4:$E$3243,$A65),0),IFERROR(SUMIFS(INVENTARIO_COMPLEMENTOS!$H$4:$H$3243,INVENTARIO_COMPLEMENTOS!$A$4:$A$3243,$C$2,INVENTARIO_COMPLEMENTOS!$B$4:$B$3243,PRECIOS_COMPLEMENTOS!A10,INVENTARIO_COMPLEMENTOS!$C$4:$C$3243,PRECIOS_COMPLEMENTOS!B10,INVENTARIO_COMPLEMENTOS!$E$4:$E$3243,$A65),0)))</f>
        <v/>
      </c>
      <c r="I65" s="45" t="str">
        <f>IF(OR(PRECIOS_COMPLEMENTOS!A11="",$A65=""),"",IF($C$2="TODOS",IFERROR(SUMIFS(INVENTARIO_COMPLEMENTOS!$H$4:$H$3243,INVENTARIO_COMPLEMENTOS!$B$4:$B$3243,PRECIOS_COMPLEMENTOS!A11,INVENTARIO_COMPLEMENTOS!$C$4:$C$3243,PRECIOS_COMPLEMENTOS!B11,INVENTARIO_COMPLEMENTOS!$E$4:$E$3243,$A65),0),IFERROR(SUMIFS(INVENTARIO_COMPLEMENTOS!$H$4:$H$3243,INVENTARIO_COMPLEMENTOS!$A$4:$A$3243,$C$2,INVENTARIO_COMPLEMENTOS!$B$4:$B$3243,PRECIOS_COMPLEMENTOS!A11,INVENTARIO_COMPLEMENTOS!$C$4:$C$3243,PRECIOS_COMPLEMENTOS!B11,INVENTARIO_COMPLEMENTOS!$E$4:$E$3243,$A65),0)))</f>
        <v/>
      </c>
      <c r="J65" s="45" t="str">
        <f>IF(OR(PRECIOS_COMPLEMENTOS!A12="",$A65=""),"",IF($C$2="TODOS",IFERROR(SUMIFS(INVENTARIO_COMPLEMENTOS!$H$4:$H$3243,INVENTARIO_COMPLEMENTOS!$B$4:$B$3243,PRECIOS_COMPLEMENTOS!A12,INVENTARIO_COMPLEMENTOS!$C$4:$C$3243,PRECIOS_COMPLEMENTOS!B12,INVENTARIO_COMPLEMENTOS!$E$4:$E$3243,$A65),0),IFERROR(SUMIFS(INVENTARIO_COMPLEMENTOS!$H$4:$H$3243,INVENTARIO_COMPLEMENTOS!$A$4:$A$3243,$C$2,INVENTARIO_COMPLEMENTOS!$B$4:$B$3243,PRECIOS_COMPLEMENTOS!A12,INVENTARIO_COMPLEMENTOS!$C$4:$C$3243,PRECIOS_COMPLEMENTOS!B12,INVENTARIO_COMPLEMENTOS!$E$4:$E$3243,$A65),0)))</f>
        <v/>
      </c>
      <c r="K65" s="45" t="str">
        <f>IF(OR(PRECIOS_COMPLEMENTOS!A13="",$A65=""),"",IF($C$2="TODOS",IFERROR(SUMIFS(INVENTARIO_COMPLEMENTOS!$H$4:$H$3243,INVENTARIO_COMPLEMENTOS!$B$4:$B$3243,PRECIOS_COMPLEMENTOS!A13,INVENTARIO_COMPLEMENTOS!$C$4:$C$3243,PRECIOS_COMPLEMENTOS!B13,INVENTARIO_COMPLEMENTOS!$E$4:$E$3243,$A65),0),IFERROR(SUMIFS(INVENTARIO_COMPLEMENTOS!$H$4:$H$3243,INVENTARIO_COMPLEMENTOS!$A$4:$A$3243,$C$2,INVENTARIO_COMPLEMENTOS!$B$4:$B$3243,PRECIOS_COMPLEMENTOS!A13,INVENTARIO_COMPLEMENTOS!$C$4:$C$3243,PRECIOS_COMPLEMENTOS!B13,INVENTARIO_COMPLEMENTOS!$E$4:$E$3243,$A65),0)))</f>
        <v/>
      </c>
      <c r="L65" s="45" t="str">
        <f>IF(OR(PRECIOS_COMPLEMENTOS!A14="",$A65=""),"",IF($C$2="TODOS",IFERROR(SUMIFS(INVENTARIO_COMPLEMENTOS!$H$4:$H$3243,INVENTARIO_COMPLEMENTOS!$B$4:$B$3243,PRECIOS_COMPLEMENTOS!A14,INVENTARIO_COMPLEMENTOS!$C$4:$C$3243,PRECIOS_COMPLEMENTOS!B14,INVENTARIO_COMPLEMENTOS!$E$4:$E$3243,$A65),0),IFERROR(SUMIFS(INVENTARIO_COMPLEMENTOS!$H$4:$H$3243,INVENTARIO_COMPLEMENTOS!$A$4:$A$3243,$C$2,INVENTARIO_COMPLEMENTOS!$B$4:$B$3243,PRECIOS_COMPLEMENTOS!A14,INVENTARIO_COMPLEMENTOS!$C$4:$C$3243,PRECIOS_COMPLEMENTOS!B14,INVENTARIO_COMPLEMENTOS!$E$4:$E$3243,$A65),0)))</f>
        <v/>
      </c>
      <c r="M65" s="45" t="str">
        <f>IF(OR(PRECIOS_COMPLEMENTOS!A15="",$A65=""),"",IF($C$2="TODOS",IFERROR(SUMIFS(INVENTARIO_COMPLEMENTOS!$H$4:$H$3243,INVENTARIO_COMPLEMENTOS!$B$4:$B$3243,PRECIOS_COMPLEMENTOS!A15,INVENTARIO_COMPLEMENTOS!$C$4:$C$3243,PRECIOS_COMPLEMENTOS!B15,INVENTARIO_COMPLEMENTOS!$E$4:$E$3243,$A65),0),IFERROR(SUMIFS(INVENTARIO_COMPLEMENTOS!$H$4:$H$3243,INVENTARIO_COMPLEMENTOS!$A$4:$A$3243,$C$2,INVENTARIO_COMPLEMENTOS!$B$4:$B$3243,PRECIOS_COMPLEMENTOS!A15,INVENTARIO_COMPLEMENTOS!$C$4:$C$3243,PRECIOS_COMPLEMENTOS!B15,INVENTARIO_COMPLEMENTOS!$E$4:$E$3243,$A65),0)))</f>
        <v/>
      </c>
      <c r="N65" s="45" t="str">
        <f>IF(OR(PRECIOS_COMPLEMENTOS!A16="",$A65=""),"",IF($C$2="TODOS",IFERROR(SUMIFS(INVENTARIO_COMPLEMENTOS!$H$4:$H$3243,INVENTARIO_COMPLEMENTOS!$B$4:$B$3243,PRECIOS_COMPLEMENTOS!A16,INVENTARIO_COMPLEMENTOS!$C$4:$C$3243,PRECIOS_COMPLEMENTOS!B16,INVENTARIO_COMPLEMENTOS!$E$4:$E$3243,$A65),0),IFERROR(SUMIFS(INVENTARIO_COMPLEMENTOS!$H$4:$H$3243,INVENTARIO_COMPLEMENTOS!$A$4:$A$3243,$C$2,INVENTARIO_COMPLEMENTOS!$B$4:$B$3243,PRECIOS_COMPLEMENTOS!A16,INVENTARIO_COMPLEMENTOS!$C$4:$C$3243,PRECIOS_COMPLEMENTOS!B16,INVENTARIO_COMPLEMENTOS!$E$4:$E$3243,$A65),0)))</f>
        <v/>
      </c>
      <c r="O65" s="45" t="str">
        <f>IF(OR(PRECIOS_COMPLEMENTOS!A17="",$A65=""),"",IF($C$2="TODOS",IFERROR(SUMIFS(INVENTARIO_COMPLEMENTOS!$H$4:$H$3243,INVENTARIO_COMPLEMENTOS!$B$4:$B$3243,PRECIOS_COMPLEMENTOS!A17,INVENTARIO_COMPLEMENTOS!$C$4:$C$3243,PRECIOS_COMPLEMENTOS!B17,INVENTARIO_COMPLEMENTOS!$E$4:$E$3243,$A65),0),IFERROR(SUMIFS(INVENTARIO_COMPLEMENTOS!$H$4:$H$3243,INVENTARIO_COMPLEMENTOS!$A$4:$A$3243,$C$2,INVENTARIO_COMPLEMENTOS!$B$4:$B$3243,PRECIOS_COMPLEMENTOS!A17,INVENTARIO_COMPLEMENTOS!$C$4:$C$3243,PRECIOS_COMPLEMENTOS!B17,INVENTARIO_COMPLEMENTOS!$E$4:$E$3243,$A65),0)))</f>
        <v/>
      </c>
      <c r="P65" s="46">
        <f t="shared" si="3"/>
        <v>0</v>
      </c>
      <c r="Q65" s="47" t="str">
        <f>IF($A65="","",IF($C$2="TODOS",IFERROR(SUMIFS(INVENTARIO_COMPLEMENTOS!$J$4:$J$3243,INVENTARIO_COMPLEMENTOS!$E$4:$E$3243,$A65),0),IFERROR(SUMIFS(INVENTARIO_COMPLEMENTOS!$J$4:$J$3243,INVENTARIO_COMPLEMENTOS!$A$4:$A$3243,$C$2,INVENTARIO_COMPLEMENTOS!$E$4:$E$3243,$A65),0)))</f>
        <v/>
      </c>
    </row>
    <row r="66" ht="15.0" customHeight="1">
      <c r="A66" s="44" t="str">
        <f>IFERROR(IF(COLORES!A30="","",COLORES!A30),"")</f>
        <v/>
      </c>
      <c r="B66" s="45" t="str">
        <f>IF(OR(PRECIOS_COMPLEMENTOS!A4="",$A66=""),"",IF($C$2="TODOS",IFERROR(SUMIFS(INVENTARIO_COMPLEMENTOS!$H$4:$H$3243,INVENTARIO_COMPLEMENTOS!$B$4:$B$3243,PRECIOS_COMPLEMENTOS!A4,INVENTARIO_COMPLEMENTOS!$C$4:$C$3243,PRECIOS_COMPLEMENTOS!B4,INVENTARIO_COMPLEMENTOS!$E$4:$E$3243,$A66),0),IFERROR(SUMIFS(INVENTARIO_COMPLEMENTOS!$H$4:$H$3243,INVENTARIO_COMPLEMENTOS!$A$4:$A$3243,$C$2,INVENTARIO_COMPLEMENTOS!$B$4:$B$3243,PRECIOS_COMPLEMENTOS!A4,INVENTARIO_COMPLEMENTOS!$C$4:$C$3243,PRECIOS_COMPLEMENTOS!B4,INVENTARIO_COMPLEMENTOS!$E$4:$E$3243,$A66),0)))</f>
        <v/>
      </c>
      <c r="C66" s="45" t="str">
        <f>IF(OR(PRECIOS_COMPLEMENTOS!A5="",$A66=""),"",IF($C$2="TODOS",IFERROR(SUMIFS(INVENTARIO_COMPLEMENTOS!$H$4:$H$3243,INVENTARIO_COMPLEMENTOS!$B$4:$B$3243,PRECIOS_COMPLEMENTOS!A5,INVENTARIO_COMPLEMENTOS!$C$4:$C$3243,PRECIOS_COMPLEMENTOS!B5,INVENTARIO_COMPLEMENTOS!$E$4:$E$3243,$A66),0),IFERROR(SUMIFS(INVENTARIO_COMPLEMENTOS!$H$4:$H$3243,INVENTARIO_COMPLEMENTOS!$A$4:$A$3243,$C$2,INVENTARIO_COMPLEMENTOS!$B$4:$B$3243,PRECIOS_COMPLEMENTOS!A5,INVENTARIO_COMPLEMENTOS!$C$4:$C$3243,PRECIOS_COMPLEMENTOS!B5,INVENTARIO_COMPLEMENTOS!$E$4:$E$3243,$A66),0)))</f>
        <v/>
      </c>
      <c r="D66" s="45" t="str">
        <f>IF(OR(PRECIOS_COMPLEMENTOS!A6="",$A66=""),"",IF($C$2="TODOS",IFERROR(SUMIFS(INVENTARIO_COMPLEMENTOS!$H$4:$H$3243,INVENTARIO_COMPLEMENTOS!$B$4:$B$3243,PRECIOS_COMPLEMENTOS!A6,INVENTARIO_COMPLEMENTOS!$C$4:$C$3243,PRECIOS_COMPLEMENTOS!B6,INVENTARIO_COMPLEMENTOS!$E$4:$E$3243,$A66),0),IFERROR(SUMIFS(INVENTARIO_COMPLEMENTOS!$H$4:$H$3243,INVENTARIO_COMPLEMENTOS!$A$4:$A$3243,$C$2,INVENTARIO_COMPLEMENTOS!$B$4:$B$3243,PRECIOS_COMPLEMENTOS!A6,INVENTARIO_COMPLEMENTOS!$C$4:$C$3243,PRECIOS_COMPLEMENTOS!B6,INVENTARIO_COMPLEMENTOS!$E$4:$E$3243,$A66),0)))</f>
        <v/>
      </c>
      <c r="E66" s="45" t="str">
        <f>IF(OR(PRECIOS_COMPLEMENTOS!A7="",$A66=""),"",IF($C$2="TODOS",IFERROR(SUMIFS(INVENTARIO_COMPLEMENTOS!$H$4:$H$3243,INVENTARIO_COMPLEMENTOS!$B$4:$B$3243,PRECIOS_COMPLEMENTOS!A7,INVENTARIO_COMPLEMENTOS!$C$4:$C$3243,PRECIOS_COMPLEMENTOS!B7,INVENTARIO_COMPLEMENTOS!$E$4:$E$3243,$A66),0),IFERROR(SUMIFS(INVENTARIO_COMPLEMENTOS!$H$4:$H$3243,INVENTARIO_COMPLEMENTOS!$A$4:$A$3243,$C$2,INVENTARIO_COMPLEMENTOS!$B$4:$B$3243,PRECIOS_COMPLEMENTOS!A7,INVENTARIO_COMPLEMENTOS!$C$4:$C$3243,PRECIOS_COMPLEMENTOS!B7,INVENTARIO_COMPLEMENTOS!$E$4:$E$3243,$A66),0)))</f>
        <v/>
      </c>
      <c r="F66" s="45" t="str">
        <f>IF(OR(PRECIOS_COMPLEMENTOS!A8="",$A66=""),"",IF($C$2="TODOS",IFERROR(SUMIFS(INVENTARIO_COMPLEMENTOS!$H$4:$H$3243,INVENTARIO_COMPLEMENTOS!$B$4:$B$3243,PRECIOS_COMPLEMENTOS!A8,INVENTARIO_COMPLEMENTOS!$C$4:$C$3243,PRECIOS_COMPLEMENTOS!B8,INVENTARIO_COMPLEMENTOS!$E$4:$E$3243,$A66),0),IFERROR(SUMIFS(INVENTARIO_COMPLEMENTOS!$H$4:$H$3243,INVENTARIO_COMPLEMENTOS!$A$4:$A$3243,$C$2,INVENTARIO_COMPLEMENTOS!$B$4:$B$3243,PRECIOS_COMPLEMENTOS!A8,INVENTARIO_COMPLEMENTOS!$C$4:$C$3243,PRECIOS_COMPLEMENTOS!B8,INVENTARIO_COMPLEMENTOS!$E$4:$E$3243,$A66),0)))</f>
        <v/>
      </c>
      <c r="G66" s="45" t="str">
        <f>IF(OR(PRECIOS_COMPLEMENTOS!A9="",$A66=""),"",IF($C$2="TODOS",IFERROR(SUMIFS(INVENTARIO_COMPLEMENTOS!$H$4:$H$3243,INVENTARIO_COMPLEMENTOS!$B$4:$B$3243,PRECIOS_COMPLEMENTOS!A9,INVENTARIO_COMPLEMENTOS!$C$4:$C$3243,PRECIOS_COMPLEMENTOS!B9,INVENTARIO_COMPLEMENTOS!$E$4:$E$3243,$A66),0),IFERROR(SUMIFS(INVENTARIO_COMPLEMENTOS!$H$4:$H$3243,INVENTARIO_COMPLEMENTOS!$A$4:$A$3243,$C$2,INVENTARIO_COMPLEMENTOS!$B$4:$B$3243,PRECIOS_COMPLEMENTOS!A9,INVENTARIO_COMPLEMENTOS!$C$4:$C$3243,PRECIOS_COMPLEMENTOS!B9,INVENTARIO_COMPLEMENTOS!$E$4:$E$3243,$A66),0)))</f>
        <v/>
      </c>
      <c r="H66" s="45" t="str">
        <f>IF(OR(PRECIOS_COMPLEMENTOS!A10="",$A66=""),"",IF($C$2="TODOS",IFERROR(SUMIFS(INVENTARIO_COMPLEMENTOS!$H$4:$H$3243,INVENTARIO_COMPLEMENTOS!$B$4:$B$3243,PRECIOS_COMPLEMENTOS!A10,INVENTARIO_COMPLEMENTOS!$C$4:$C$3243,PRECIOS_COMPLEMENTOS!B10,INVENTARIO_COMPLEMENTOS!$E$4:$E$3243,$A66),0),IFERROR(SUMIFS(INVENTARIO_COMPLEMENTOS!$H$4:$H$3243,INVENTARIO_COMPLEMENTOS!$A$4:$A$3243,$C$2,INVENTARIO_COMPLEMENTOS!$B$4:$B$3243,PRECIOS_COMPLEMENTOS!A10,INVENTARIO_COMPLEMENTOS!$C$4:$C$3243,PRECIOS_COMPLEMENTOS!B10,INVENTARIO_COMPLEMENTOS!$E$4:$E$3243,$A66),0)))</f>
        <v/>
      </c>
      <c r="I66" s="45" t="str">
        <f>IF(OR(PRECIOS_COMPLEMENTOS!A11="",$A66=""),"",IF($C$2="TODOS",IFERROR(SUMIFS(INVENTARIO_COMPLEMENTOS!$H$4:$H$3243,INVENTARIO_COMPLEMENTOS!$B$4:$B$3243,PRECIOS_COMPLEMENTOS!A11,INVENTARIO_COMPLEMENTOS!$C$4:$C$3243,PRECIOS_COMPLEMENTOS!B11,INVENTARIO_COMPLEMENTOS!$E$4:$E$3243,$A66),0),IFERROR(SUMIFS(INVENTARIO_COMPLEMENTOS!$H$4:$H$3243,INVENTARIO_COMPLEMENTOS!$A$4:$A$3243,$C$2,INVENTARIO_COMPLEMENTOS!$B$4:$B$3243,PRECIOS_COMPLEMENTOS!A11,INVENTARIO_COMPLEMENTOS!$C$4:$C$3243,PRECIOS_COMPLEMENTOS!B11,INVENTARIO_COMPLEMENTOS!$E$4:$E$3243,$A66),0)))</f>
        <v/>
      </c>
      <c r="J66" s="45" t="str">
        <f>IF(OR(PRECIOS_COMPLEMENTOS!A12="",$A66=""),"",IF($C$2="TODOS",IFERROR(SUMIFS(INVENTARIO_COMPLEMENTOS!$H$4:$H$3243,INVENTARIO_COMPLEMENTOS!$B$4:$B$3243,PRECIOS_COMPLEMENTOS!A12,INVENTARIO_COMPLEMENTOS!$C$4:$C$3243,PRECIOS_COMPLEMENTOS!B12,INVENTARIO_COMPLEMENTOS!$E$4:$E$3243,$A66),0),IFERROR(SUMIFS(INVENTARIO_COMPLEMENTOS!$H$4:$H$3243,INVENTARIO_COMPLEMENTOS!$A$4:$A$3243,$C$2,INVENTARIO_COMPLEMENTOS!$B$4:$B$3243,PRECIOS_COMPLEMENTOS!A12,INVENTARIO_COMPLEMENTOS!$C$4:$C$3243,PRECIOS_COMPLEMENTOS!B12,INVENTARIO_COMPLEMENTOS!$E$4:$E$3243,$A66),0)))</f>
        <v/>
      </c>
      <c r="K66" s="45" t="str">
        <f>IF(OR(PRECIOS_COMPLEMENTOS!A13="",$A66=""),"",IF($C$2="TODOS",IFERROR(SUMIFS(INVENTARIO_COMPLEMENTOS!$H$4:$H$3243,INVENTARIO_COMPLEMENTOS!$B$4:$B$3243,PRECIOS_COMPLEMENTOS!A13,INVENTARIO_COMPLEMENTOS!$C$4:$C$3243,PRECIOS_COMPLEMENTOS!B13,INVENTARIO_COMPLEMENTOS!$E$4:$E$3243,$A66),0),IFERROR(SUMIFS(INVENTARIO_COMPLEMENTOS!$H$4:$H$3243,INVENTARIO_COMPLEMENTOS!$A$4:$A$3243,$C$2,INVENTARIO_COMPLEMENTOS!$B$4:$B$3243,PRECIOS_COMPLEMENTOS!A13,INVENTARIO_COMPLEMENTOS!$C$4:$C$3243,PRECIOS_COMPLEMENTOS!B13,INVENTARIO_COMPLEMENTOS!$E$4:$E$3243,$A66),0)))</f>
        <v/>
      </c>
      <c r="L66" s="45" t="str">
        <f>IF(OR(PRECIOS_COMPLEMENTOS!A14="",$A66=""),"",IF($C$2="TODOS",IFERROR(SUMIFS(INVENTARIO_COMPLEMENTOS!$H$4:$H$3243,INVENTARIO_COMPLEMENTOS!$B$4:$B$3243,PRECIOS_COMPLEMENTOS!A14,INVENTARIO_COMPLEMENTOS!$C$4:$C$3243,PRECIOS_COMPLEMENTOS!B14,INVENTARIO_COMPLEMENTOS!$E$4:$E$3243,$A66),0),IFERROR(SUMIFS(INVENTARIO_COMPLEMENTOS!$H$4:$H$3243,INVENTARIO_COMPLEMENTOS!$A$4:$A$3243,$C$2,INVENTARIO_COMPLEMENTOS!$B$4:$B$3243,PRECIOS_COMPLEMENTOS!A14,INVENTARIO_COMPLEMENTOS!$C$4:$C$3243,PRECIOS_COMPLEMENTOS!B14,INVENTARIO_COMPLEMENTOS!$E$4:$E$3243,$A66),0)))</f>
        <v/>
      </c>
      <c r="M66" s="45" t="str">
        <f>IF(OR(PRECIOS_COMPLEMENTOS!A15="",$A66=""),"",IF($C$2="TODOS",IFERROR(SUMIFS(INVENTARIO_COMPLEMENTOS!$H$4:$H$3243,INVENTARIO_COMPLEMENTOS!$B$4:$B$3243,PRECIOS_COMPLEMENTOS!A15,INVENTARIO_COMPLEMENTOS!$C$4:$C$3243,PRECIOS_COMPLEMENTOS!B15,INVENTARIO_COMPLEMENTOS!$E$4:$E$3243,$A66),0),IFERROR(SUMIFS(INVENTARIO_COMPLEMENTOS!$H$4:$H$3243,INVENTARIO_COMPLEMENTOS!$A$4:$A$3243,$C$2,INVENTARIO_COMPLEMENTOS!$B$4:$B$3243,PRECIOS_COMPLEMENTOS!A15,INVENTARIO_COMPLEMENTOS!$C$4:$C$3243,PRECIOS_COMPLEMENTOS!B15,INVENTARIO_COMPLEMENTOS!$E$4:$E$3243,$A66),0)))</f>
        <v/>
      </c>
      <c r="N66" s="45" t="str">
        <f>IF(OR(PRECIOS_COMPLEMENTOS!A16="",$A66=""),"",IF($C$2="TODOS",IFERROR(SUMIFS(INVENTARIO_COMPLEMENTOS!$H$4:$H$3243,INVENTARIO_COMPLEMENTOS!$B$4:$B$3243,PRECIOS_COMPLEMENTOS!A16,INVENTARIO_COMPLEMENTOS!$C$4:$C$3243,PRECIOS_COMPLEMENTOS!B16,INVENTARIO_COMPLEMENTOS!$E$4:$E$3243,$A66),0),IFERROR(SUMIFS(INVENTARIO_COMPLEMENTOS!$H$4:$H$3243,INVENTARIO_COMPLEMENTOS!$A$4:$A$3243,$C$2,INVENTARIO_COMPLEMENTOS!$B$4:$B$3243,PRECIOS_COMPLEMENTOS!A16,INVENTARIO_COMPLEMENTOS!$C$4:$C$3243,PRECIOS_COMPLEMENTOS!B16,INVENTARIO_COMPLEMENTOS!$E$4:$E$3243,$A66),0)))</f>
        <v/>
      </c>
      <c r="O66" s="45" t="str">
        <f>IF(OR(PRECIOS_COMPLEMENTOS!A17="",$A66=""),"",IF($C$2="TODOS",IFERROR(SUMIFS(INVENTARIO_COMPLEMENTOS!$H$4:$H$3243,INVENTARIO_COMPLEMENTOS!$B$4:$B$3243,PRECIOS_COMPLEMENTOS!A17,INVENTARIO_COMPLEMENTOS!$C$4:$C$3243,PRECIOS_COMPLEMENTOS!B17,INVENTARIO_COMPLEMENTOS!$E$4:$E$3243,$A66),0),IFERROR(SUMIFS(INVENTARIO_COMPLEMENTOS!$H$4:$H$3243,INVENTARIO_COMPLEMENTOS!$A$4:$A$3243,$C$2,INVENTARIO_COMPLEMENTOS!$B$4:$B$3243,PRECIOS_COMPLEMENTOS!A17,INVENTARIO_COMPLEMENTOS!$C$4:$C$3243,PRECIOS_COMPLEMENTOS!B17,INVENTARIO_COMPLEMENTOS!$E$4:$E$3243,$A66),0)))</f>
        <v/>
      </c>
      <c r="P66" s="46">
        <f t="shared" si="3"/>
        <v>0</v>
      </c>
      <c r="Q66" s="47" t="str">
        <f>IF($A66="","",IF($C$2="TODOS",IFERROR(SUMIFS(INVENTARIO_COMPLEMENTOS!$J$4:$J$3243,INVENTARIO_COMPLEMENTOS!$E$4:$E$3243,$A66),0),IFERROR(SUMIFS(INVENTARIO_COMPLEMENTOS!$J$4:$J$3243,INVENTARIO_COMPLEMENTOS!$A$4:$A$3243,$C$2,INVENTARIO_COMPLEMENTOS!$E$4:$E$3243,$A66),0)))</f>
        <v/>
      </c>
    </row>
    <row r="67" ht="15.0" customHeight="1">
      <c r="A67" s="44" t="str">
        <f>IFERROR(IF(COLORES!A31="","",COLORES!A31),"")</f>
        <v/>
      </c>
      <c r="B67" s="45" t="str">
        <f>IF(OR(PRECIOS_COMPLEMENTOS!A4="",$A67=""),"",IF($C$2="TODOS",IFERROR(SUMIFS(INVENTARIO_COMPLEMENTOS!$H$4:$H$3243,INVENTARIO_COMPLEMENTOS!$B$4:$B$3243,PRECIOS_COMPLEMENTOS!A4,INVENTARIO_COMPLEMENTOS!$C$4:$C$3243,PRECIOS_COMPLEMENTOS!B4,INVENTARIO_COMPLEMENTOS!$E$4:$E$3243,$A67),0),IFERROR(SUMIFS(INVENTARIO_COMPLEMENTOS!$H$4:$H$3243,INVENTARIO_COMPLEMENTOS!$A$4:$A$3243,$C$2,INVENTARIO_COMPLEMENTOS!$B$4:$B$3243,PRECIOS_COMPLEMENTOS!A4,INVENTARIO_COMPLEMENTOS!$C$4:$C$3243,PRECIOS_COMPLEMENTOS!B4,INVENTARIO_COMPLEMENTOS!$E$4:$E$3243,$A67),0)))</f>
        <v/>
      </c>
      <c r="C67" s="45" t="str">
        <f>IF(OR(PRECIOS_COMPLEMENTOS!A5="",$A67=""),"",IF($C$2="TODOS",IFERROR(SUMIFS(INVENTARIO_COMPLEMENTOS!$H$4:$H$3243,INVENTARIO_COMPLEMENTOS!$B$4:$B$3243,PRECIOS_COMPLEMENTOS!A5,INVENTARIO_COMPLEMENTOS!$C$4:$C$3243,PRECIOS_COMPLEMENTOS!B5,INVENTARIO_COMPLEMENTOS!$E$4:$E$3243,$A67),0),IFERROR(SUMIFS(INVENTARIO_COMPLEMENTOS!$H$4:$H$3243,INVENTARIO_COMPLEMENTOS!$A$4:$A$3243,$C$2,INVENTARIO_COMPLEMENTOS!$B$4:$B$3243,PRECIOS_COMPLEMENTOS!A5,INVENTARIO_COMPLEMENTOS!$C$4:$C$3243,PRECIOS_COMPLEMENTOS!B5,INVENTARIO_COMPLEMENTOS!$E$4:$E$3243,$A67),0)))</f>
        <v/>
      </c>
      <c r="D67" s="45" t="str">
        <f>IF(OR(PRECIOS_COMPLEMENTOS!A6="",$A67=""),"",IF($C$2="TODOS",IFERROR(SUMIFS(INVENTARIO_COMPLEMENTOS!$H$4:$H$3243,INVENTARIO_COMPLEMENTOS!$B$4:$B$3243,PRECIOS_COMPLEMENTOS!A6,INVENTARIO_COMPLEMENTOS!$C$4:$C$3243,PRECIOS_COMPLEMENTOS!B6,INVENTARIO_COMPLEMENTOS!$E$4:$E$3243,$A67),0),IFERROR(SUMIFS(INVENTARIO_COMPLEMENTOS!$H$4:$H$3243,INVENTARIO_COMPLEMENTOS!$A$4:$A$3243,$C$2,INVENTARIO_COMPLEMENTOS!$B$4:$B$3243,PRECIOS_COMPLEMENTOS!A6,INVENTARIO_COMPLEMENTOS!$C$4:$C$3243,PRECIOS_COMPLEMENTOS!B6,INVENTARIO_COMPLEMENTOS!$E$4:$E$3243,$A67),0)))</f>
        <v/>
      </c>
      <c r="E67" s="45" t="str">
        <f>IF(OR(PRECIOS_COMPLEMENTOS!A7="",$A67=""),"",IF($C$2="TODOS",IFERROR(SUMIFS(INVENTARIO_COMPLEMENTOS!$H$4:$H$3243,INVENTARIO_COMPLEMENTOS!$B$4:$B$3243,PRECIOS_COMPLEMENTOS!A7,INVENTARIO_COMPLEMENTOS!$C$4:$C$3243,PRECIOS_COMPLEMENTOS!B7,INVENTARIO_COMPLEMENTOS!$E$4:$E$3243,$A67),0),IFERROR(SUMIFS(INVENTARIO_COMPLEMENTOS!$H$4:$H$3243,INVENTARIO_COMPLEMENTOS!$A$4:$A$3243,$C$2,INVENTARIO_COMPLEMENTOS!$B$4:$B$3243,PRECIOS_COMPLEMENTOS!A7,INVENTARIO_COMPLEMENTOS!$C$4:$C$3243,PRECIOS_COMPLEMENTOS!B7,INVENTARIO_COMPLEMENTOS!$E$4:$E$3243,$A67),0)))</f>
        <v/>
      </c>
      <c r="F67" s="45" t="str">
        <f>IF(OR(PRECIOS_COMPLEMENTOS!A8="",$A67=""),"",IF($C$2="TODOS",IFERROR(SUMIFS(INVENTARIO_COMPLEMENTOS!$H$4:$H$3243,INVENTARIO_COMPLEMENTOS!$B$4:$B$3243,PRECIOS_COMPLEMENTOS!A8,INVENTARIO_COMPLEMENTOS!$C$4:$C$3243,PRECIOS_COMPLEMENTOS!B8,INVENTARIO_COMPLEMENTOS!$E$4:$E$3243,$A67),0),IFERROR(SUMIFS(INVENTARIO_COMPLEMENTOS!$H$4:$H$3243,INVENTARIO_COMPLEMENTOS!$A$4:$A$3243,$C$2,INVENTARIO_COMPLEMENTOS!$B$4:$B$3243,PRECIOS_COMPLEMENTOS!A8,INVENTARIO_COMPLEMENTOS!$C$4:$C$3243,PRECIOS_COMPLEMENTOS!B8,INVENTARIO_COMPLEMENTOS!$E$4:$E$3243,$A67),0)))</f>
        <v/>
      </c>
      <c r="G67" s="45" t="str">
        <f>IF(OR(PRECIOS_COMPLEMENTOS!A9="",$A67=""),"",IF($C$2="TODOS",IFERROR(SUMIFS(INVENTARIO_COMPLEMENTOS!$H$4:$H$3243,INVENTARIO_COMPLEMENTOS!$B$4:$B$3243,PRECIOS_COMPLEMENTOS!A9,INVENTARIO_COMPLEMENTOS!$C$4:$C$3243,PRECIOS_COMPLEMENTOS!B9,INVENTARIO_COMPLEMENTOS!$E$4:$E$3243,$A67),0),IFERROR(SUMIFS(INVENTARIO_COMPLEMENTOS!$H$4:$H$3243,INVENTARIO_COMPLEMENTOS!$A$4:$A$3243,$C$2,INVENTARIO_COMPLEMENTOS!$B$4:$B$3243,PRECIOS_COMPLEMENTOS!A9,INVENTARIO_COMPLEMENTOS!$C$4:$C$3243,PRECIOS_COMPLEMENTOS!B9,INVENTARIO_COMPLEMENTOS!$E$4:$E$3243,$A67),0)))</f>
        <v/>
      </c>
      <c r="H67" s="45" t="str">
        <f>IF(OR(PRECIOS_COMPLEMENTOS!A10="",$A67=""),"",IF($C$2="TODOS",IFERROR(SUMIFS(INVENTARIO_COMPLEMENTOS!$H$4:$H$3243,INVENTARIO_COMPLEMENTOS!$B$4:$B$3243,PRECIOS_COMPLEMENTOS!A10,INVENTARIO_COMPLEMENTOS!$C$4:$C$3243,PRECIOS_COMPLEMENTOS!B10,INVENTARIO_COMPLEMENTOS!$E$4:$E$3243,$A67),0),IFERROR(SUMIFS(INVENTARIO_COMPLEMENTOS!$H$4:$H$3243,INVENTARIO_COMPLEMENTOS!$A$4:$A$3243,$C$2,INVENTARIO_COMPLEMENTOS!$B$4:$B$3243,PRECIOS_COMPLEMENTOS!A10,INVENTARIO_COMPLEMENTOS!$C$4:$C$3243,PRECIOS_COMPLEMENTOS!B10,INVENTARIO_COMPLEMENTOS!$E$4:$E$3243,$A67),0)))</f>
        <v/>
      </c>
      <c r="I67" s="45" t="str">
        <f>IF(OR(PRECIOS_COMPLEMENTOS!A11="",$A67=""),"",IF($C$2="TODOS",IFERROR(SUMIFS(INVENTARIO_COMPLEMENTOS!$H$4:$H$3243,INVENTARIO_COMPLEMENTOS!$B$4:$B$3243,PRECIOS_COMPLEMENTOS!A11,INVENTARIO_COMPLEMENTOS!$C$4:$C$3243,PRECIOS_COMPLEMENTOS!B11,INVENTARIO_COMPLEMENTOS!$E$4:$E$3243,$A67),0),IFERROR(SUMIFS(INVENTARIO_COMPLEMENTOS!$H$4:$H$3243,INVENTARIO_COMPLEMENTOS!$A$4:$A$3243,$C$2,INVENTARIO_COMPLEMENTOS!$B$4:$B$3243,PRECIOS_COMPLEMENTOS!A11,INVENTARIO_COMPLEMENTOS!$C$4:$C$3243,PRECIOS_COMPLEMENTOS!B11,INVENTARIO_COMPLEMENTOS!$E$4:$E$3243,$A67),0)))</f>
        <v/>
      </c>
      <c r="J67" s="45" t="str">
        <f>IF(OR(PRECIOS_COMPLEMENTOS!A12="",$A67=""),"",IF($C$2="TODOS",IFERROR(SUMIFS(INVENTARIO_COMPLEMENTOS!$H$4:$H$3243,INVENTARIO_COMPLEMENTOS!$B$4:$B$3243,PRECIOS_COMPLEMENTOS!A12,INVENTARIO_COMPLEMENTOS!$C$4:$C$3243,PRECIOS_COMPLEMENTOS!B12,INVENTARIO_COMPLEMENTOS!$E$4:$E$3243,$A67),0),IFERROR(SUMIFS(INVENTARIO_COMPLEMENTOS!$H$4:$H$3243,INVENTARIO_COMPLEMENTOS!$A$4:$A$3243,$C$2,INVENTARIO_COMPLEMENTOS!$B$4:$B$3243,PRECIOS_COMPLEMENTOS!A12,INVENTARIO_COMPLEMENTOS!$C$4:$C$3243,PRECIOS_COMPLEMENTOS!B12,INVENTARIO_COMPLEMENTOS!$E$4:$E$3243,$A67),0)))</f>
        <v/>
      </c>
      <c r="K67" s="45" t="str">
        <f>IF(OR(PRECIOS_COMPLEMENTOS!A13="",$A67=""),"",IF($C$2="TODOS",IFERROR(SUMIFS(INVENTARIO_COMPLEMENTOS!$H$4:$H$3243,INVENTARIO_COMPLEMENTOS!$B$4:$B$3243,PRECIOS_COMPLEMENTOS!A13,INVENTARIO_COMPLEMENTOS!$C$4:$C$3243,PRECIOS_COMPLEMENTOS!B13,INVENTARIO_COMPLEMENTOS!$E$4:$E$3243,$A67),0),IFERROR(SUMIFS(INVENTARIO_COMPLEMENTOS!$H$4:$H$3243,INVENTARIO_COMPLEMENTOS!$A$4:$A$3243,$C$2,INVENTARIO_COMPLEMENTOS!$B$4:$B$3243,PRECIOS_COMPLEMENTOS!A13,INVENTARIO_COMPLEMENTOS!$C$4:$C$3243,PRECIOS_COMPLEMENTOS!B13,INVENTARIO_COMPLEMENTOS!$E$4:$E$3243,$A67),0)))</f>
        <v/>
      </c>
      <c r="L67" s="45" t="str">
        <f>IF(OR(PRECIOS_COMPLEMENTOS!A14="",$A67=""),"",IF($C$2="TODOS",IFERROR(SUMIFS(INVENTARIO_COMPLEMENTOS!$H$4:$H$3243,INVENTARIO_COMPLEMENTOS!$B$4:$B$3243,PRECIOS_COMPLEMENTOS!A14,INVENTARIO_COMPLEMENTOS!$C$4:$C$3243,PRECIOS_COMPLEMENTOS!B14,INVENTARIO_COMPLEMENTOS!$E$4:$E$3243,$A67),0),IFERROR(SUMIFS(INVENTARIO_COMPLEMENTOS!$H$4:$H$3243,INVENTARIO_COMPLEMENTOS!$A$4:$A$3243,$C$2,INVENTARIO_COMPLEMENTOS!$B$4:$B$3243,PRECIOS_COMPLEMENTOS!A14,INVENTARIO_COMPLEMENTOS!$C$4:$C$3243,PRECIOS_COMPLEMENTOS!B14,INVENTARIO_COMPLEMENTOS!$E$4:$E$3243,$A67),0)))</f>
        <v/>
      </c>
      <c r="M67" s="45" t="str">
        <f>IF(OR(PRECIOS_COMPLEMENTOS!A15="",$A67=""),"",IF($C$2="TODOS",IFERROR(SUMIFS(INVENTARIO_COMPLEMENTOS!$H$4:$H$3243,INVENTARIO_COMPLEMENTOS!$B$4:$B$3243,PRECIOS_COMPLEMENTOS!A15,INVENTARIO_COMPLEMENTOS!$C$4:$C$3243,PRECIOS_COMPLEMENTOS!B15,INVENTARIO_COMPLEMENTOS!$E$4:$E$3243,$A67),0),IFERROR(SUMIFS(INVENTARIO_COMPLEMENTOS!$H$4:$H$3243,INVENTARIO_COMPLEMENTOS!$A$4:$A$3243,$C$2,INVENTARIO_COMPLEMENTOS!$B$4:$B$3243,PRECIOS_COMPLEMENTOS!A15,INVENTARIO_COMPLEMENTOS!$C$4:$C$3243,PRECIOS_COMPLEMENTOS!B15,INVENTARIO_COMPLEMENTOS!$E$4:$E$3243,$A67),0)))</f>
        <v/>
      </c>
      <c r="N67" s="45" t="str">
        <f>IF(OR(PRECIOS_COMPLEMENTOS!A16="",$A67=""),"",IF($C$2="TODOS",IFERROR(SUMIFS(INVENTARIO_COMPLEMENTOS!$H$4:$H$3243,INVENTARIO_COMPLEMENTOS!$B$4:$B$3243,PRECIOS_COMPLEMENTOS!A16,INVENTARIO_COMPLEMENTOS!$C$4:$C$3243,PRECIOS_COMPLEMENTOS!B16,INVENTARIO_COMPLEMENTOS!$E$4:$E$3243,$A67),0),IFERROR(SUMIFS(INVENTARIO_COMPLEMENTOS!$H$4:$H$3243,INVENTARIO_COMPLEMENTOS!$A$4:$A$3243,$C$2,INVENTARIO_COMPLEMENTOS!$B$4:$B$3243,PRECIOS_COMPLEMENTOS!A16,INVENTARIO_COMPLEMENTOS!$C$4:$C$3243,PRECIOS_COMPLEMENTOS!B16,INVENTARIO_COMPLEMENTOS!$E$4:$E$3243,$A67),0)))</f>
        <v/>
      </c>
      <c r="O67" s="45" t="str">
        <f>IF(OR(PRECIOS_COMPLEMENTOS!A17="",$A67=""),"",IF($C$2="TODOS",IFERROR(SUMIFS(INVENTARIO_COMPLEMENTOS!$H$4:$H$3243,INVENTARIO_COMPLEMENTOS!$B$4:$B$3243,PRECIOS_COMPLEMENTOS!A17,INVENTARIO_COMPLEMENTOS!$C$4:$C$3243,PRECIOS_COMPLEMENTOS!B17,INVENTARIO_COMPLEMENTOS!$E$4:$E$3243,$A67),0),IFERROR(SUMIFS(INVENTARIO_COMPLEMENTOS!$H$4:$H$3243,INVENTARIO_COMPLEMENTOS!$A$4:$A$3243,$C$2,INVENTARIO_COMPLEMENTOS!$B$4:$B$3243,PRECIOS_COMPLEMENTOS!A17,INVENTARIO_COMPLEMENTOS!$C$4:$C$3243,PRECIOS_COMPLEMENTOS!B17,INVENTARIO_COMPLEMENTOS!$E$4:$E$3243,$A67),0)))</f>
        <v/>
      </c>
      <c r="P67" s="46">
        <f t="shared" si="3"/>
        <v>0</v>
      </c>
      <c r="Q67" s="47" t="str">
        <f>IF($A67="","",IF($C$2="TODOS",IFERROR(SUMIFS(INVENTARIO_COMPLEMENTOS!$J$4:$J$3243,INVENTARIO_COMPLEMENTOS!$E$4:$E$3243,$A67),0),IFERROR(SUMIFS(INVENTARIO_COMPLEMENTOS!$J$4:$J$3243,INVENTARIO_COMPLEMENTOS!$A$4:$A$3243,$C$2,INVENTARIO_COMPLEMENTOS!$E$4:$E$3243,$A67),0)))</f>
        <v/>
      </c>
    </row>
    <row r="68" ht="15.0" customHeight="1">
      <c r="A68" s="44" t="str">
        <f>IFERROR(IF(COLORES!A32="","",COLORES!A32),"")</f>
        <v/>
      </c>
      <c r="B68" s="45" t="str">
        <f>IF(OR(PRECIOS_COMPLEMENTOS!A4="",$A68=""),"",IF($C$2="TODOS",IFERROR(SUMIFS(INVENTARIO_COMPLEMENTOS!$H$4:$H$3243,INVENTARIO_COMPLEMENTOS!$B$4:$B$3243,PRECIOS_COMPLEMENTOS!A4,INVENTARIO_COMPLEMENTOS!$C$4:$C$3243,PRECIOS_COMPLEMENTOS!B4,INVENTARIO_COMPLEMENTOS!$E$4:$E$3243,$A68),0),IFERROR(SUMIFS(INVENTARIO_COMPLEMENTOS!$H$4:$H$3243,INVENTARIO_COMPLEMENTOS!$A$4:$A$3243,$C$2,INVENTARIO_COMPLEMENTOS!$B$4:$B$3243,PRECIOS_COMPLEMENTOS!A4,INVENTARIO_COMPLEMENTOS!$C$4:$C$3243,PRECIOS_COMPLEMENTOS!B4,INVENTARIO_COMPLEMENTOS!$E$4:$E$3243,$A68),0)))</f>
        <v/>
      </c>
      <c r="C68" s="45" t="str">
        <f>IF(OR(PRECIOS_COMPLEMENTOS!A5="",$A68=""),"",IF($C$2="TODOS",IFERROR(SUMIFS(INVENTARIO_COMPLEMENTOS!$H$4:$H$3243,INVENTARIO_COMPLEMENTOS!$B$4:$B$3243,PRECIOS_COMPLEMENTOS!A5,INVENTARIO_COMPLEMENTOS!$C$4:$C$3243,PRECIOS_COMPLEMENTOS!B5,INVENTARIO_COMPLEMENTOS!$E$4:$E$3243,$A68),0),IFERROR(SUMIFS(INVENTARIO_COMPLEMENTOS!$H$4:$H$3243,INVENTARIO_COMPLEMENTOS!$A$4:$A$3243,$C$2,INVENTARIO_COMPLEMENTOS!$B$4:$B$3243,PRECIOS_COMPLEMENTOS!A5,INVENTARIO_COMPLEMENTOS!$C$4:$C$3243,PRECIOS_COMPLEMENTOS!B5,INVENTARIO_COMPLEMENTOS!$E$4:$E$3243,$A68),0)))</f>
        <v/>
      </c>
      <c r="D68" s="45" t="str">
        <f>IF(OR(PRECIOS_COMPLEMENTOS!A6="",$A68=""),"",IF($C$2="TODOS",IFERROR(SUMIFS(INVENTARIO_COMPLEMENTOS!$H$4:$H$3243,INVENTARIO_COMPLEMENTOS!$B$4:$B$3243,PRECIOS_COMPLEMENTOS!A6,INVENTARIO_COMPLEMENTOS!$C$4:$C$3243,PRECIOS_COMPLEMENTOS!B6,INVENTARIO_COMPLEMENTOS!$E$4:$E$3243,$A68),0),IFERROR(SUMIFS(INVENTARIO_COMPLEMENTOS!$H$4:$H$3243,INVENTARIO_COMPLEMENTOS!$A$4:$A$3243,$C$2,INVENTARIO_COMPLEMENTOS!$B$4:$B$3243,PRECIOS_COMPLEMENTOS!A6,INVENTARIO_COMPLEMENTOS!$C$4:$C$3243,PRECIOS_COMPLEMENTOS!B6,INVENTARIO_COMPLEMENTOS!$E$4:$E$3243,$A68),0)))</f>
        <v/>
      </c>
      <c r="E68" s="45" t="str">
        <f>IF(OR(PRECIOS_COMPLEMENTOS!A7="",$A68=""),"",IF($C$2="TODOS",IFERROR(SUMIFS(INVENTARIO_COMPLEMENTOS!$H$4:$H$3243,INVENTARIO_COMPLEMENTOS!$B$4:$B$3243,PRECIOS_COMPLEMENTOS!A7,INVENTARIO_COMPLEMENTOS!$C$4:$C$3243,PRECIOS_COMPLEMENTOS!B7,INVENTARIO_COMPLEMENTOS!$E$4:$E$3243,$A68),0),IFERROR(SUMIFS(INVENTARIO_COMPLEMENTOS!$H$4:$H$3243,INVENTARIO_COMPLEMENTOS!$A$4:$A$3243,$C$2,INVENTARIO_COMPLEMENTOS!$B$4:$B$3243,PRECIOS_COMPLEMENTOS!A7,INVENTARIO_COMPLEMENTOS!$C$4:$C$3243,PRECIOS_COMPLEMENTOS!B7,INVENTARIO_COMPLEMENTOS!$E$4:$E$3243,$A68),0)))</f>
        <v/>
      </c>
      <c r="F68" s="45" t="str">
        <f>IF(OR(PRECIOS_COMPLEMENTOS!A8="",$A68=""),"",IF($C$2="TODOS",IFERROR(SUMIFS(INVENTARIO_COMPLEMENTOS!$H$4:$H$3243,INVENTARIO_COMPLEMENTOS!$B$4:$B$3243,PRECIOS_COMPLEMENTOS!A8,INVENTARIO_COMPLEMENTOS!$C$4:$C$3243,PRECIOS_COMPLEMENTOS!B8,INVENTARIO_COMPLEMENTOS!$E$4:$E$3243,$A68),0),IFERROR(SUMIFS(INVENTARIO_COMPLEMENTOS!$H$4:$H$3243,INVENTARIO_COMPLEMENTOS!$A$4:$A$3243,$C$2,INVENTARIO_COMPLEMENTOS!$B$4:$B$3243,PRECIOS_COMPLEMENTOS!A8,INVENTARIO_COMPLEMENTOS!$C$4:$C$3243,PRECIOS_COMPLEMENTOS!B8,INVENTARIO_COMPLEMENTOS!$E$4:$E$3243,$A68),0)))</f>
        <v/>
      </c>
      <c r="G68" s="45" t="str">
        <f>IF(OR(PRECIOS_COMPLEMENTOS!A9="",$A68=""),"",IF($C$2="TODOS",IFERROR(SUMIFS(INVENTARIO_COMPLEMENTOS!$H$4:$H$3243,INVENTARIO_COMPLEMENTOS!$B$4:$B$3243,PRECIOS_COMPLEMENTOS!A9,INVENTARIO_COMPLEMENTOS!$C$4:$C$3243,PRECIOS_COMPLEMENTOS!B9,INVENTARIO_COMPLEMENTOS!$E$4:$E$3243,$A68),0),IFERROR(SUMIFS(INVENTARIO_COMPLEMENTOS!$H$4:$H$3243,INVENTARIO_COMPLEMENTOS!$A$4:$A$3243,$C$2,INVENTARIO_COMPLEMENTOS!$B$4:$B$3243,PRECIOS_COMPLEMENTOS!A9,INVENTARIO_COMPLEMENTOS!$C$4:$C$3243,PRECIOS_COMPLEMENTOS!B9,INVENTARIO_COMPLEMENTOS!$E$4:$E$3243,$A68),0)))</f>
        <v/>
      </c>
      <c r="H68" s="45" t="str">
        <f>IF(OR(PRECIOS_COMPLEMENTOS!A10="",$A68=""),"",IF($C$2="TODOS",IFERROR(SUMIFS(INVENTARIO_COMPLEMENTOS!$H$4:$H$3243,INVENTARIO_COMPLEMENTOS!$B$4:$B$3243,PRECIOS_COMPLEMENTOS!A10,INVENTARIO_COMPLEMENTOS!$C$4:$C$3243,PRECIOS_COMPLEMENTOS!B10,INVENTARIO_COMPLEMENTOS!$E$4:$E$3243,$A68),0),IFERROR(SUMIFS(INVENTARIO_COMPLEMENTOS!$H$4:$H$3243,INVENTARIO_COMPLEMENTOS!$A$4:$A$3243,$C$2,INVENTARIO_COMPLEMENTOS!$B$4:$B$3243,PRECIOS_COMPLEMENTOS!A10,INVENTARIO_COMPLEMENTOS!$C$4:$C$3243,PRECIOS_COMPLEMENTOS!B10,INVENTARIO_COMPLEMENTOS!$E$4:$E$3243,$A68),0)))</f>
        <v/>
      </c>
      <c r="I68" s="45" t="str">
        <f>IF(OR(PRECIOS_COMPLEMENTOS!A11="",$A68=""),"",IF($C$2="TODOS",IFERROR(SUMIFS(INVENTARIO_COMPLEMENTOS!$H$4:$H$3243,INVENTARIO_COMPLEMENTOS!$B$4:$B$3243,PRECIOS_COMPLEMENTOS!A11,INVENTARIO_COMPLEMENTOS!$C$4:$C$3243,PRECIOS_COMPLEMENTOS!B11,INVENTARIO_COMPLEMENTOS!$E$4:$E$3243,$A68),0),IFERROR(SUMIFS(INVENTARIO_COMPLEMENTOS!$H$4:$H$3243,INVENTARIO_COMPLEMENTOS!$A$4:$A$3243,$C$2,INVENTARIO_COMPLEMENTOS!$B$4:$B$3243,PRECIOS_COMPLEMENTOS!A11,INVENTARIO_COMPLEMENTOS!$C$4:$C$3243,PRECIOS_COMPLEMENTOS!B11,INVENTARIO_COMPLEMENTOS!$E$4:$E$3243,$A68),0)))</f>
        <v/>
      </c>
      <c r="J68" s="45" t="str">
        <f>IF(OR(PRECIOS_COMPLEMENTOS!A12="",$A68=""),"",IF($C$2="TODOS",IFERROR(SUMIFS(INVENTARIO_COMPLEMENTOS!$H$4:$H$3243,INVENTARIO_COMPLEMENTOS!$B$4:$B$3243,PRECIOS_COMPLEMENTOS!A12,INVENTARIO_COMPLEMENTOS!$C$4:$C$3243,PRECIOS_COMPLEMENTOS!B12,INVENTARIO_COMPLEMENTOS!$E$4:$E$3243,$A68),0),IFERROR(SUMIFS(INVENTARIO_COMPLEMENTOS!$H$4:$H$3243,INVENTARIO_COMPLEMENTOS!$A$4:$A$3243,$C$2,INVENTARIO_COMPLEMENTOS!$B$4:$B$3243,PRECIOS_COMPLEMENTOS!A12,INVENTARIO_COMPLEMENTOS!$C$4:$C$3243,PRECIOS_COMPLEMENTOS!B12,INVENTARIO_COMPLEMENTOS!$E$4:$E$3243,$A68),0)))</f>
        <v/>
      </c>
      <c r="K68" s="45" t="str">
        <f>IF(OR(PRECIOS_COMPLEMENTOS!A13="",$A68=""),"",IF($C$2="TODOS",IFERROR(SUMIFS(INVENTARIO_COMPLEMENTOS!$H$4:$H$3243,INVENTARIO_COMPLEMENTOS!$B$4:$B$3243,PRECIOS_COMPLEMENTOS!A13,INVENTARIO_COMPLEMENTOS!$C$4:$C$3243,PRECIOS_COMPLEMENTOS!B13,INVENTARIO_COMPLEMENTOS!$E$4:$E$3243,$A68),0),IFERROR(SUMIFS(INVENTARIO_COMPLEMENTOS!$H$4:$H$3243,INVENTARIO_COMPLEMENTOS!$A$4:$A$3243,$C$2,INVENTARIO_COMPLEMENTOS!$B$4:$B$3243,PRECIOS_COMPLEMENTOS!A13,INVENTARIO_COMPLEMENTOS!$C$4:$C$3243,PRECIOS_COMPLEMENTOS!B13,INVENTARIO_COMPLEMENTOS!$E$4:$E$3243,$A68),0)))</f>
        <v/>
      </c>
      <c r="L68" s="45" t="str">
        <f>IF(OR(PRECIOS_COMPLEMENTOS!A14="",$A68=""),"",IF($C$2="TODOS",IFERROR(SUMIFS(INVENTARIO_COMPLEMENTOS!$H$4:$H$3243,INVENTARIO_COMPLEMENTOS!$B$4:$B$3243,PRECIOS_COMPLEMENTOS!A14,INVENTARIO_COMPLEMENTOS!$C$4:$C$3243,PRECIOS_COMPLEMENTOS!B14,INVENTARIO_COMPLEMENTOS!$E$4:$E$3243,$A68),0),IFERROR(SUMIFS(INVENTARIO_COMPLEMENTOS!$H$4:$H$3243,INVENTARIO_COMPLEMENTOS!$A$4:$A$3243,$C$2,INVENTARIO_COMPLEMENTOS!$B$4:$B$3243,PRECIOS_COMPLEMENTOS!A14,INVENTARIO_COMPLEMENTOS!$C$4:$C$3243,PRECIOS_COMPLEMENTOS!B14,INVENTARIO_COMPLEMENTOS!$E$4:$E$3243,$A68),0)))</f>
        <v/>
      </c>
      <c r="M68" s="45" t="str">
        <f>IF(OR(PRECIOS_COMPLEMENTOS!A15="",$A68=""),"",IF($C$2="TODOS",IFERROR(SUMIFS(INVENTARIO_COMPLEMENTOS!$H$4:$H$3243,INVENTARIO_COMPLEMENTOS!$B$4:$B$3243,PRECIOS_COMPLEMENTOS!A15,INVENTARIO_COMPLEMENTOS!$C$4:$C$3243,PRECIOS_COMPLEMENTOS!B15,INVENTARIO_COMPLEMENTOS!$E$4:$E$3243,$A68),0),IFERROR(SUMIFS(INVENTARIO_COMPLEMENTOS!$H$4:$H$3243,INVENTARIO_COMPLEMENTOS!$A$4:$A$3243,$C$2,INVENTARIO_COMPLEMENTOS!$B$4:$B$3243,PRECIOS_COMPLEMENTOS!A15,INVENTARIO_COMPLEMENTOS!$C$4:$C$3243,PRECIOS_COMPLEMENTOS!B15,INVENTARIO_COMPLEMENTOS!$E$4:$E$3243,$A68),0)))</f>
        <v/>
      </c>
      <c r="N68" s="45" t="str">
        <f>IF(OR(PRECIOS_COMPLEMENTOS!A16="",$A68=""),"",IF($C$2="TODOS",IFERROR(SUMIFS(INVENTARIO_COMPLEMENTOS!$H$4:$H$3243,INVENTARIO_COMPLEMENTOS!$B$4:$B$3243,PRECIOS_COMPLEMENTOS!A16,INVENTARIO_COMPLEMENTOS!$C$4:$C$3243,PRECIOS_COMPLEMENTOS!B16,INVENTARIO_COMPLEMENTOS!$E$4:$E$3243,$A68),0),IFERROR(SUMIFS(INVENTARIO_COMPLEMENTOS!$H$4:$H$3243,INVENTARIO_COMPLEMENTOS!$A$4:$A$3243,$C$2,INVENTARIO_COMPLEMENTOS!$B$4:$B$3243,PRECIOS_COMPLEMENTOS!A16,INVENTARIO_COMPLEMENTOS!$C$4:$C$3243,PRECIOS_COMPLEMENTOS!B16,INVENTARIO_COMPLEMENTOS!$E$4:$E$3243,$A68),0)))</f>
        <v/>
      </c>
      <c r="O68" s="45" t="str">
        <f>IF(OR(PRECIOS_COMPLEMENTOS!A17="",$A68=""),"",IF($C$2="TODOS",IFERROR(SUMIFS(INVENTARIO_COMPLEMENTOS!$H$4:$H$3243,INVENTARIO_COMPLEMENTOS!$B$4:$B$3243,PRECIOS_COMPLEMENTOS!A17,INVENTARIO_COMPLEMENTOS!$C$4:$C$3243,PRECIOS_COMPLEMENTOS!B17,INVENTARIO_COMPLEMENTOS!$E$4:$E$3243,$A68),0),IFERROR(SUMIFS(INVENTARIO_COMPLEMENTOS!$H$4:$H$3243,INVENTARIO_COMPLEMENTOS!$A$4:$A$3243,$C$2,INVENTARIO_COMPLEMENTOS!$B$4:$B$3243,PRECIOS_COMPLEMENTOS!A17,INVENTARIO_COMPLEMENTOS!$C$4:$C$3243,PRECIOS_COMPLEMENTOS!B17,INVENTARIO_COMPLEMENTOS!$E$4:$E$3243,$A68),0)))</f>
        <v/>
      </c>
      <c r="P68" s="46">
        <f t="shared" si="3"/>
        <v>0</v>
      </c>
      <c r="Q68" s="47" t="str">
        <f>IF($A68="","",IF($C$2="TODOS",IFERROR(SUMIFS(INVENTARIO_COMPLEMENTOS!$J$4:$J$3243,INVENTARIO_COMPLEMENTOS!$E$4:$E$3243,$A68),0),IFERROR(SUMIFS(INVENTARIO_COMPLEMENTOS!$J$4:$J$3243,INVENTARIO_COMPLEMENTOS!$A$4:$A$3243,$C$2,INVENTARIO_COMPLEMENTOS!$E$4:$E$3243,$A68),0)))</f>
        <v/>
      </c>
    </row>
    <row r="69" ht="15.0" customHeight="1">
      <c r="A69" s="44" t="str">
        <f>IFERROR(IF(COLORES!A33="","",COLORES!A33),"")</f>
        <v/>
      </c>
      <c r="B69" s="45" t="str">
        <f>IF(OR(PRECIOS_COMPLEMENTOS!A4="",$A69=""),"",IF($C$2="TODOS",IFERROR(SUMIFS(INVENTARIO_COMPLEMENTOS!$H$4:$H$3243,INVENTARIO_COMPLEMENTOS!$B$4:$B$3243,PRECIOS_COMPLEMENTOS!A4,INVENTARIO_COMPLEMENTOS!$C$4:$C$3243,PRECIOS_COMPLEMENTOS!B4,INVENTARIO_COMPLEMENTOS!$E$4:$E$3243,$A69),0),IFERROR(SUMIFS(INVENTARIO_COMPLEMENTOS!$H$4:$H$3243,INVENTARIO_COMPLEMENTOS!$A$4:$A$3243,$C$2,INVENTARIO_COMPLEMENTOS!$B$4:$B$3243,PRECIOS_COMPLEMENTOS!A4,INVENTARIO_COMPLEMENTOS!$C$4:$C$3243,PRECIOS_COMPLEMENTOS!B4,INVENTARIO_COMPLEMENTOS!$E$4:$E$3243,$A69),0)))</f>
        <v/>
      </c>
      <c r="C69" s="45" t="str">
        <f>IF(OR(PRECIOS_COMPLEMENTOS!A5="",$A69=""),"",IF($C$2="TODOS",IFERROR(SUMIFS(INVENTARIO_COMPLEMENTOS!$H$4:$H$3243,INVENTARIO_COMPLEMENTOS!$B$4:$B$3243,PRECIOS_COMPLEMENTOS!A5,INVENTARIO_COMPLEMENTOS!$C$4:$C$3243,PRECIOS_COMPLEMENTOS!B5,INVENTARIO_COMPLEMENTOS!$E$4:$E$3243,$A69),0),IFERROR(SUMIFS(INVENTARIO_COMPLEMENTOS!$H$4:$H$3243,INVENTARIO_COMPLEMENTOS!$A$4:$A$3243,$C$2,INVENTARIO_COMPLEMENTOS!$B$4:$B$3243,PRECIOS_COMPLEMENTOS!A5,INVENTARIO_COMPLEMENTOS!$C$4:$C$3243,PRECIOS_COMPLEMENTOS!B5,INVENTARIO_COMPLEMENTOS!$E$4:$E$3243,$A69),0)))</f>
        <v/>
      </c>
      <c r="D69" s="45" t="str">
        <f>IF(OR(PRECIOS_COMPLEMENTOS!A6="",$A69=""),"",IF($C$2="TODOS",IFERROR(SUMIFS(INVENTARIO_COMPLEMENTOS!$H$4:$H$3243,INVENTARIO_COMPLEMENTOS!$B$4:$B$3243,PRECIOS_COMPLEMENTOS!A6,INVENTARIO_COMPLEMENTOS!$C$4:$C$3243,PRECIOS_COMPLEMENTOS!B6,INVENTARIO_COMPLEMENTOS!$E$4:$E$3243,$A69),0),IFERROR(SUMIFS(INVENTARIO_COMPLEMENTOS!$H$4:$H$3243,INVENTARIO_COMPLEMENTOS!$A$4:$A$3243,$C$2,INVENTARIO_COMPLEMENTOS!$B$4:$B$3243,PRECIOS_COMPLEMENTOS!A6,INVENTARIO_COMPLEMENTOS!$C$4:$C$3243,PRECIOS_COMPLEMENTOS!B6,INVENTARIO_COMPLEMENTOS!$E$4:$E$3243,$A69),0)))</f>
        <v/>
      </c>
      <c r="E69" s="45" t="str">
        <f>IF(OR(PRECIOS_COMPLEMENTOS!A7="",$A69=""),"",IF($C$2="TODOS",IFERROR(SUMIFS(INVENTARIO_COMPLEMENTOS!$H$4:$H$3243,INVENTARIO_COMPLEMENTOS!$B$4:$B$3243,PRECIOS_COMPLEMENTOS!A7,INVENTARIO_COMPLEMENTOS!$C$4:$C$3243,PRECIOS_COMPLEMENTOS!B7,INVENTARIO_COMPLEMENTOS!$E$4:$E$3243,$A69),0),IFERROR(SUMIFS(INVENTARIO_COMPLEMENTOS!$H$4:$H$3243,INVENTARIO_COMPLEMENTOS!$A$4:$A$3243,$C$2,INVENTARIO_COMPLEMENTOS!$B$4:$B$3243,PRECIOS_COMPLEMENTOS!A7,INVENTARIO_COMPLEMENTOS!$C$4:$C$3243,PRECIOS_COMPLEMENTOS!B7,INVENTARIO_COMPLEMENTOS!$E$4:$E$3243,$A69),0)))</f>
        <v/>
      </c>
      <c r="F69" s="45" t="str">
        <f>IF(OR(PRECIOS_COMPLEMENTOS!A8="",$A69=""),"",IF($C$2="TODOS",IFERROR(SUMIFS(INVENTARIO_COMPLEMENTOS!$H$4:$H$3243,INVENTARIO_COMPLEMENTOS!$B$4:$B$3243,PRECIOS_COMPLEMENTOS!A8,INVENTARIO_COMPLEMENTOS!$C$4:$C$3243,PRECIOS_COMPLEMENTOS!B8,INVENTARIO_COMPLEMENTOS!$E$4:$E$3243,$A69),0),IFERROR(SUMIFS(INVENTARIO_COMPLEMENTOS!$H$4:$H$3243,INVENTARIO_COMPLEMENTOS!$A$4:$A$3243,$C$2,INVENTARIO_COMPLEMENTOS!$B$4:$B$3243,PRECIOS_COMPLEMENTOS!A8,INVENTARIO_COMPLEMENTOS!$C$4:$C$3243,PRECIOS_COMPLEMENTOS!B8,INVENTARIO_COMPLEMENTOS!$E$4:$E$3243,$A69),0)))</f>
        <v/>
      </c>
      <c r="G69" s="45" t="str">
        <f>IF(OR(PRECIOS_COMPLEMENTOS!A9="",$A69=""),"",IF($C$2="TODOS",IFERROR(SUMIFS(INVENTARIO_COMPLEMENTOS!$H$4:$H$3243,INVENTARIO_COMPLEMENTOS!$B$4:$B$3243,PRECIOS_COMPLEMENTOS!A9,INVENTARIO_COMPLEMENTOS!$C$4:$C$3243,PRECIOS_COMPLEMENTOS!B9,INVENTARIO_COMPLEMENTOS!$E$4:$E$3243,$A69),0),IFERROR(SUMIFS(INVENTARIO_COMPLEMENTOS!$H$4:$H$3243,INVENTARIO_COMPLEMENTOS!$A$4:$A$3243,$C$2,INVENTARIO_COMPLEMENTOS!$B$4:$B$3243,PRECIOS_COMPLEMENTOS!A9,INVENTARIO_COMPLEMENTOS!$C$4:$C$3243,PRECIOS_COMPLEMENTOS!B9,INVENTARIO_COMPLEMENTOS!$E$4:$E$3243,$A69),0)))</f>
        <v/>
      </c>
      <c r="H69" s="45" t="str">
        <f>IF(OR(PRECIOS_COMPLEMENTOS!A10="",$A69=""),"",IF($C$2="TODOS",IFERROR(SUMIFS(INVENTARIO_COMPLEMENTOS!$H$4:$H$3243,INVENTARIO_COMPLEMENTOS!$B$4:$B$3243,PRECIOS_COMPLEMENTOS!A10,INVENTARIO_COMPLEMENTOS!$C$4:$C$3243,PRECIOS_COMPLEMENTOS!B10,INVENTARIO_COMPLEMENTOS!$E$4:$E$3243,$A69),0),IFERROR(SUMIFS(INVENTARIO_COMPLEMENTOS!$H$4:$H$3243,INVENTARIO_COMPLEMENTOS!$A$4:$A$3243,$C$2,INVENTARIO_COMPLEMENTOS!$B$4:$B$3243,PRECIOS_COMPLEMENTOS!A10,INVENTARIO_COMPLEMENTOS!$C$4:$C$3243,PRECIOS_COMPLEMENTOS!B10,INVENTARIO_COMPLEMENTOS!$E$4:$E$3243,$A69),0)))</f>
        <v/>
      </c>
      <c r="I69" s="45" t="str">
        <f>IF(OR(PRECIOS_COMPLEMENTOS!A11="",$A69=""),"",IF($C$2="TODOS",IFERROR(SUMIFS(INVENTARIO_COMPLEMENTOS!$H$4:$H$3243,INVENTARIO_COMPLEMENTOS!$B$4:$B$3243,PRECIOS_COMPLEMENTOS!A11,INVENTARIO_COMPLEMENTOS!$C$4:$C$3243,PRECIOS_COMPLEMENTOS!B11,INVENTARIO_COMPLEMENTOS!$E$4:$E$3243,$A69),0),IFERROR(SUMIFS(INVENTARIO_COMPLEMENTOS!$H$4:$H$3243,INVENTARIO_COMPLEMENTOS!$A$4:$A$3243,$C$2,INVENTARIO_COMPLEMENTOS!$B$4:$B$3243,PRECIOS_COMPLEMENTOS!A11,INVENTARIO_COMPLEMENTOS!$C$4:$C$3243,PRECIOS_COMPLEMENTOS!B11,INVENTARIO_COMPLEMENTOS!$E$4:$E$3243,$A69),0)))</f>
        <v/>
      </c>
      <c r="J69" s="45" t="str">
        <f>IF(OR(PRECIOS_COMPLEMENTOS!A12="",$A69=""),"",IF($C$2="TODOS",IFERROR(SUMIFS(INVENTARIO_COMPLEMENTOS!$H$4:$H$3243,INVENTARIO_COMPLEMENTOS!$B$4:$B$3243,PRECIOS_COMPLEMENTOS!A12,INVENTARIO_COMPLEMENTOS!$C$4:$C$3243,PRECIOS_COMPLEMENTOS!B12,INVENTARIO_COMPLEMENTOS!$E$4:$E$3243,$A69),0),IFERROR(SUMIFS(INVENTARIO_COMPLEMENTOS!$H$4:$H$3243,INVENTARIO_COMPLEMENTOS!$A$4:$A$3243,$C$2,INVENTARIO_COMPLEMENTOS!$B$4:$B$3243,PRECIOS_COMPLEMENTOS!A12,INVENTARIO_COMPLEMENTOS!$C$4:$C$3243,PRECIOS_COMPLEMENTOS!B12,INVENTARIO_COMPLEMENTOS!$E$4:$E$3243,$A69),0)))</f>
        <v/>
      </c>
      <c r="K69" s="45" t="str">
        <f>IF(OR(PRECIOS_COMPLEMENTOS!A13="",$A69=""),"",IF($C$2="TODOS",IFERROR(SUMIFS(INVENTARIO_COMPLEMENTOS!$H$4:$H$3243,INVENTARIO_COMPLEMENTOS!$B$4:$B$3243,PRECIOS_COMPLEMENTOS!A13,INVENTARIO_COMPLEMENTOS!$C$4:$C$3243,PRECIOS_COMPLEMENTOS!B13,INVENTARIO_COMPLEMENTOS!$E$4:$E$3243,$A69),0),IFERROR(SUMIFS(INVENTARIO_COMPLEMENTOS!$H$4:$H$3243,INVENTARIO_COMPLEMENTOS!$A$4:$A$3243,$C$2,INVENTARIO_COMPLEMENTOS!$B$4:$B$3243,PRECIOS_COMPLEMENTOS!A13,INVENTARIO_COMPLEMENTOS!$C$4:$C$3243,PRECIOS_COMPLEMENTOS!B13,INVENTARIO_COMPLEMENTOS!$E$4:$E$3243,$A69),0)))</f>
        <v/>
      </c>
      <c r="L69" s="45" t="str">
        <f>IF(OR(PRECIOS_COMPLEMENTOS!A14="",$A69=""),"",IF($C$2="TODOS",IFERROR(SUMIFS(INVENTARIO_COMPLEMENTOS!$H$4:$H$3243,INVENTARIO_COMPLEMENTOS!$B$4:$B$3243,PRECIOS_COMPLEMENTOS!A14,INVENTARIO_COMPLEMENTOS!$C$4:$C$3243,PRECIOS_COMPLEMENTOS!B14,INVENTARIO_COMPLEMENTOS!$E$4:$E$3243,$A69),0),IFERROR(SUMIFS(INVENTARIO_COMPLEMENTOS!$H$4:$H$3243,INVENTARIO_COMPLEMENTOS!$A$4:$A$3243,$C$2,INVENTARIO_COMPLEMENTOS!$B$4:$B$3243,PRECIOS_COMPLEMENTOS!A14,INVENTARIO_COMPLEMENTOS!$C$4:$C$3243,PRECIOS_COMPLEMENTOS!B14,INVENTARIO_COMPLEMENTOS!$E$4:$E$3243,$A69),0)))</f>
        <v/>
      </c>
      <c r="M69" s="45" t="str">
        <f>IF(OR(PRECIOS_COMPLEMENTOS!A15="",$A69=""),"",IF($C$2="TODOS",IFERROR(SUMIFS(INVENTARIO_COMPLEMENTOS!$H$4:$H$3243,INVENTARIO_COMPLEMENTOS!$B$4:$B$3243,PRECIOS_COMPLEMENTOS!A15,INVENTARIO_COMPLEMENTOS!$C$4:$C$3243,PRECIOS_COMPLEMENTOS!B15,INVENTARIO_COMPLEMENTOS!$E$4:$E$3243,$A69),0),IFERROR(SUMIFS(INVENTARIO_COMPLEMENTOS!$H$4:$H$3243,INVENTARIO_COMPLEMENTOS!$A$4:$A$3243,$C$2,INVENTARIO_COMPLEMENTOS!$B$4:$B$3243,PRECIOS_COMPLEMENTOS!A15,INVENTARIO_COMPLEMENTOS!$C$4:$C$3243,PRECIOS_COMPLEMENTOS!B15,INVENTARIO_COMPLEMENTOS!$E$4:$E$3243,$A69),0)))</f>
        <v/>
      </c>
      <c r="N69" s="45" t="str">
        <f>IF(OR(PRECIOS_COMPLEMENTOS!A16="",$A69=""),"",IF($C$2="TODOS",IFERROR(SUMIFS(INVENTARIO_COMPLEMENTOS!$H$4:$H$3243,INVENTARIO_COMPLEMENTOS!$B$4:$B$3243,PRECIOS_COMPLEMENTOS!A16,INVENTARIO_COMPLEMENTOS!$C$4:$C$3243,PRECIOS_COMPLEMENTOS!B16,INVENTARIO_COMPLEMENTOS!$E$4:$E$3243,$A69),0),IFERROR(SUMIFS(INVENTARIO_COMPLEMENTOS!$H$4:$H$3243,INVENTARIO_COMPLEMENTOS!$A$4:$A$3243,$C$2,INVENTARIO_COMPLEMENTOS!$B$4:$B$3243,PRECIOS_COMPLEMENTOS!A16,INVENTARIO_COMPLEMENTOS!$C$4:$C$3243,PRECIOS_COMPLEMENTOS!B16,INVENTARIO_COMPLEMENTOS!$E$4:$E$3243,$A69),0)))</f>
        <v/>
      </c>
      <c r="O69" s="45" t="str">
        <f>IF(OR(PRECIOS_COMPLEMENTOS!A17="",$A69=""),"",IF($C$2="TODOS",IFERROR(SUMIFS(INVENTARIO_COMPLEMENTOS!$H$4:$H$3243,INVENTARIO_COMPLEMENTOS!$B$4:$B$3243,PRECIOS_COMPLEMENTOS!A17,INVENTARIO_COMPLEMENTOS!$C$4:$C$3243,PRECIOS_COMPLEMENTOS!B17,INVENTARIO_COMPLEMENTOS!$E$4:$E$3243,$A69),0),IFERROR(SUMIFS(INVENTARIO_COMPLEMENTOS!$H$4:$H$3243,INVENTARIO_COMPLEMENTOS!$A$4:$A$3243,$C$2,INVENTARIO_COMPLEMENTOS!$B$4:$B$3243,PRECIOS_COMPLEMENTOS!A17,INVENTARIO_COMPLEMENTOS!$C$4:$C$3243,PRECIOS_COMPLEMENTOS!B17,INVENTARIO_COMPLEMENTOS!$E$4:$E$3243,$A69),0)))</f>
        <v/>
      </c>
      <c r="P69" s="46">
        <f t="shared" si="3"/>
        <v>0</v>
      </c>
      <c r="Q69" s="47" t="str">
        <f>IF($A69="","",IF($C$2="TODOS",IFERROR(SUMIFS(INVENTARIO_COMPLEMENTOS!$J$4:$J$3243,INVENTARIO_COMPLEMENTOS!$E$4:$E$3243,$A69),0),IFERROR(SUMIFS(INVENTARIO_COMPLEMENTOS!$J$4:$J$3243,INVENTARIO_COMPLEMENTOS!$A$4:$A$3243,$C$2,INVENTARIO_COMPLEMENTOS!$E$4:$E$3243,$A69),0)))</f>
        <v/>
      </c>
    </row>
    <row r="70" ht="15.0" customHeight="1">
      <c r="A70" s="43" t="s">
        <v>115</v>
      </c>
      <c r="B70" s="48">
        <f t="shared" ref="B70:O70" si="4">SUM(B40:B69)</f>
        <v>0</v>
      </c>
      <c r="C70" s="48">
        <f t="shared" si="4"/>
        <v>0</v>
      </c>
      <c r="D70" s="48">
        <f t="shared" si="4"/>
        <v>0</v>
      </c>
      <c r="E70" s="48">
        <f t="shared" si="4"/>
        <v>0</v>
      </c>
      <c r="F70" s="48">
        <f t="shared" si="4"/>
        <v>0</v>
      </c>
      <c r="G70" s="48">
        <f t="shared" si="4"/>
        <v>0</v>
      </c>
      <c r="H70" s="48">
        <f t="shared" si="4"/>
        <v>0</v>
      </c>
      <c r="I70" s="48">
        <f t="shared" si="4"/>
        <v>0</v>
      </c>
      <c r="J70" s="48">
        <f t="shared" si="4"/>
        <v>0</v>
      </c>
      <c r="K70" s="48">
        <f t="shared" si="4"/>
        <v>0</v>
      </c>
      <c r="L70" s="48">
        <f t="shared" si="4"/>
        <v>0</v>
      </c>
      <c r="M70" s="48">
        <f t="shared" si="4"/>
        <v>0</v>
      </c>
      <c r="N70" s="48">
        <f t="shared" si="4"/>
        <v>0</v>
      </c>
      <c r="O70" s="48">
        <f t="shared" si="4"/>
        <v>0</v>
      </c>
      <c r="P70" s="49">
        <f>SUM(B70:O70)</f>
        <v>0</v>
      </c>
      <c r="Q70" s="50">
        <f>SUM(Q40:Q69)</f>
        <v>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4:O4"/>
    <mergeCell ref="A38:Q3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6.0"/>
    <col customWidth="1" min="4" max="4" width="14.0"/>
    <col customWidth="1" min="5" max="5" width="16.0"/>
    <col customWidth="1" min="6" max="7" width="14.0"/>
    <col customWidth="1" min="8" max="26" width="8.71"/>
  </cols>
  <sheetData>
    <row r="1" ht="27.75" customHeight="1">
      <c r="A1" s="54" t="s">
        <v>117</v>
      </c>
      <c r="B1" s="2"/>
      <c r="C1" s="2"/>
      <c r="D1" s="2"/>
      <c r="E1" s="2"/>
      <c r="F1" s="2"/>
      <c r="G1" s="3"/>
    </row>
    <row r="3" ht="21.75" customHeight="1">
      <c r="A3" s="55" t="s">
        <v>118</v>
      </c>
      <c r="B3" s="2"/>
      <c r="C3" s="2"/>
      <c r="D3" s="2"/>
      <c r="E3" s="2"/>
      <c r="F3" s="2"/>
      <c r="G3" s="3"/>
    </row>
    <row r="4" ht="21.75" customHeight="1">
      <c r="A4" s="42" t="s">
        <v>119</v>
      </c>
      <c r="B4" s="42" t="s">
        <v>6</v>
      </c>
      <c r="C4" s="42" t="s">
        <v>120</v>
      </c>
    </row>
    <row r="5">
      <c r="A5" s="56">
        <v>1.0</v>
      </c>
      <c r="B5" s="44" t="str">
        <f t="array" ref="B5">IFERROR(IF(LARGE($C$100:$C$149,1)&lt;=0,"—",INDEX($A$100:$A$149,MATCH(LARGE($C$100:$C$149,1),$C$100:$C$149,0))),"—")</f>
        <v>Negro</v>
      </c>
      <c r="C5" s="57">
        <f t="array" ref="C5">IFERROR(IF(LARGE($C$100:$C$149,1)&lt;=0,"",INDEX($B$100:$B$149,MATCH(LARGE($C$100:$C$149,1),$C$100:$C$149,0))),"")</f>
        <v>58400</v>
      </c>
    </row>
    <row r="6">
      <c r="A6" s="56">
        <v>2.0</v>
      </c>
      <c r="B6" s="44" t="str">
        <f t="array" ref="B6">IFERROR(IF(LARGE($C$100:$C$149,2)&lt;=0,"—",INDEX($A$100:$A$149,MATCH(LARGE($C$100:$C$149,2),$C$100:$C$149,0))),"—")</f>
        <v>Perla</v>
      </c>
      <c r="C6" s="57">
        <f t="array" ref="C6">IFERROR(IF(LARGE($C$100:$C$149,2)&lt;=0,"",INDEX($B$100:$B$149,MATCH(LARGE($C$100:$C$149,2),$C$100:$C$149,0))),"")</f>
        <v>49660</v>
      </c>
    </row>
    <row r="7">
      <c r="A7" s="56">
        <v>3.0</v>
      </c>
      <c r="B7" s="44" t="str">
        <f t="array" ref="B7">IFERROR(IF(LARGE($C$100:$C$149,3)&lt;=0,"—",INDEX($A$100:$A$149,MATCH(LARGE($C$100:$C$149,3),$C$100:$C$149,0))),"—")</f>
        <v>Azul</v>
      </c>
      <c r="C7" s="57">
        <f t="array" ref="C7">IFERROR(IF(LARGE($C$100:$C$149,3)&lt;=0,"",INDEX($B$100:$B$149,MATCH(LARGE($C$100:$C$149,3),$C$100:$C$149,0))),"")</f>
        <v>35200</v>
      </c>
    </row>
    <row r="8">
      <c r="A8" s="56">
        <v>4.0</v>
      </c>
      <c r="B8" s="44" t="str">
        <f t="array" ref="B8">IFERROR(IF(LARGE($C$100:$C$149,4)&lt;=0,"—",INDEX($A$100:$A$149,MATCH(LARGE($C$100:$C$149,4),$C$100:$C$149,0))),"—")</f>
        <v>Botella</v>
      </c>
      <c r="C8" s="57">
        <f t="array" ref="C8">IFERROR(IF(LARGE($C$100:$C$149,4)&lt;=0,"",INDEX($B$100:$B$149,MATCH(LARGE($C$100:$C$149,4),$C$100:$C$149,0))),"")</f>
        <v>21720</v>
      </c>
    </row>
    <row r="9">
      <c r="A9" s="56">
        <v>5.0</v>
      </c>
      <c r="B9" s="44" t="str">
        <f t="array" ref="B9">IFERROR(IF(LARGE($C$100:$C$149,5)&lt;=0,"—",INDEX($A$100:$A$149,MATCH(LARGE($C$100:$C$149,5),$C$100:$C$149,0))),"—")</f>
        <v>P. Rosa</v>
      </c>
      <c r="C9" s="57">
        <f t="array" ref="C9">IFERROR(IF(LARGE($C$100:$C$149,5)&lt;=0,"",INDEX($B$100:$B$149,MATCH(LARGE($C$100:$C$149,5),$C$100:$C$149,0))),"")</f>
        <v>20370</v>
      </c>
    </row>
    <row r="11" ht="21.75" customHeight="1">
      <c r="A11" s="58" t="s">
        <v>121</v>
      </c>
      <c r="B11" s="2"/>
      <c r="C11" s="2"/>
      <c r="D11" s="2"/>
      <c r="E11" s="2"/>
      <c r="F11" s="2"/>
      <c r="G11" s="3"/>
    </row>
    <row r="12" ht="21.75" customHeight="1">
      <c r="A12" s="59" t="s">
        <v>119</v>
      </c>
      <c r="B12" s="59" t="s">
        <v>4</v>
      </c>
      <c r="C12" s="59" t="s">
        <v>5</v>
      </c>
      <c r="D12" s="59" t="s">
        <v>6</v>
      </c>
      <c r="E12" s="59" t="s">
        <v>122</v>
      </c>
      <c r="F12" s="59" t="s">
        <v>123</v>
      </c>
    </row>
    <row r="13">
      <c r="A13" s="56">
        <v>1.0</v>
      </c>
      <c r="B13" s="60" t="str">
        <f t="array" ref="B13">IFERROR(INDEX($A$200:$A$249,MATCH(1,$G$200:$G$249,0)),"—")</f>
        <v>OverShark</v>
      </c>
      <c r="C13" s="60" t="str">
        <f t="array" ref="C13">IFERROR(INDEX($B$200:$B$249,MATCH(1,$G$200:$G$249,0)),"—")</f>
        <v>jersey 30/1</v>
      </c>
      <c r="D13" s="60" t="str">
        <f t="array" ref="D13">IFERROR(INDEX($C$200:$C$249,MATCH(1,$G$200:$G$249,0)),"—")</f>
        <v>Plomo</v>
      </c>
      <c r="E13" s="61">
        <f t="array" ref="E13">IFERROR(INDEX($D$200:$D$249,MATCH(1,$G$200:$G$249,0)),"")</f>
        <v>4</v>
      </c>
      <c r="F13" s="62">
        <f t="array" ref="F13">IFERROR(INDEX($E$200:$E$249,MATCH(1,$G$200:$G$249,0)),"")</f>
        <v>1920</v>
      </c>
    </row>
    <row r="14">
      <c r="A14" s="56">
        <v>2.0</v>
      </c>
      <c r="B14" s="60" t="str">
        <f t="array" ref="B14">IFERROR(INDEX($A$200:$A$249,MATCH(2,$G$200:$G$249,0)),"—")</f>
        <v>OverShark</v>
      </c>
      <c r="C14" s="60" t="str">
        <f t="array" ref="C14">IFERROR(INDEX($B$200:$B$249,MATCH(2,$G$200:$G$249,0)),"—")</f>
        <v>pique 30/1</v>
      </c>
      <c r="D14" s="60" t="str">
        <f t="array" ref="D14">IFERROR(INDEX($C$200:$C$249,MATCH(2,$G$200:$G$249,0)),"—")</f>
        <v>Melange</v>
      </c>
      <c r="E14" s="61">
        <f t="array" ref="E14">IFERROR(INDEX($D$200:$D$249,MATCH(2,$G$200:$G$249,0)),"")</f>
        <v>3</v>
      </c>
      <c r="F14" s="62">
        <f t="array" ref="F14">IFERROR(INDEX($E$200:$E$249,MATCH(2,$G$200:$G$249,0)),"")</f>
        <v>1080</v>
      </c>
    </row>
    <row r="15">
      <c r="A15" s="56">
        <v>3.0</v>
      </c>
      <c r="B15" s="60" t="str">
        <f t="array" ref="B15">IFERROR(INDEX($A$200:$A$249,MATCH(3,$G$200:$G$249,0)),"—")</f>
        <v>OverShark</v>
      </c>
      <c r="C15" s="60" t="str">
        <f t="array" ref="C15">IFERROR(INDEX($B$200:$B$249,MATCH(3,$G$200:$G$249,0)),"—")</f>
        <v>pique 30/1</v>
      </c>
      <c r="D15" s="60" t="str">
        <f t="array" ref="D15">IFERROR(INDEX($C$200:$C$249,MATCH(3,$G$200:$G$249,0)),"—")</f>
        <v>Cemento</v>
      </c>
      <c r="E15" s="61">
        <f t="array" ref="E15">IFERROR(INDEX($D$200:$D$249,MATCH(3,$G$200:$G$249,0)),"")</f>
        <v>3</v>
      </c>
      <c r="F15" s="62">
        <f t="array" ref="F15">IFERROR(INDEX($E$200:$E$249,MATCH(3,$G$200:$G$249,0)),"")</f>
        <v>1260</v>
      </c>
    </row>
    <row r="16">
      <c r="A16" s="56">
        <v>4.0</v>
      </c>
      <c r="B16" s="60" t="str">
        <f t="array" ref="B16">IFERROR(INDEX($A$200:$A$249,MATCH(4,$G$200:$G$249,0)),"—")</f>
        <v>OverShark</v>
      </c>
      <c r="C16" s="60" t="str">
        <f t="array" ref="C16">IFERROR(INDEX($B$200:$B$249,MATCH(4,$G$200:$G$249,0)),"—")</f>
        <v>wafle 30/1</v>
      </c>
      <c r="D16" s="60" t="str">
        <f t="array" ref="D16">IFERROR(INDEX($C$200:$C$249,MATCH(4,$G$200:$G$249,0)),"—")</f>
        <v>Beige</v>
      </c>
      <c r="E16" s="61">
        <f t="array" ref="E16">IFERROR(INDEX($D$200:$D$249,MATCH(4,$G$200:$G$249,0)),"")</f>
        <v>3</v>
      </c>
      <c r="F16" s="62">
        <f t="array" ref="F16">IFERROR(INDEX($E$200:$E$249,MATCH(4,$G$200:$G$249,0)),"")</f>
        <v>1350</v>
      </c>
    </row>
    <row r="17">
      <c r="A17" s="56">
        <v>5.0</v>
      </c>
      <c r="B17" s="60" t="str">
        <f t="array" ref="B17">IFERROR(INDEX($A$200:$A$249,MATCH(5,$G$200:$G$249,0)),"—")</f>
        <v>—</v>
      </c>
      <c r="C17" s="60" t="str">
        <f t="array" ref="C17">IFERROR(INDEX($B$200:$B$249,MATCH(5,$G$200:$G$249,0)),"—")</f>
        <v>—</v>
      </c>
      <c r="D17" s="60" t="str">
        <f t="array" ref="D17">IFERROR(INDEX($C$200:$C$249,MATCH(5,$G$200:$G$249,0)),"—")</f>
        <v>—</v>
      </c>
      <c r="E17" s="61" t="str">
        <f t="array" ref="E17">IFERROR(INDEX($D$200:$D$249,MATCH(5,$G$200:$G$249,0)),"")</f>
        <v/>
      </c>
      <c r="F17" s="62" t="str">
        <f t="array" ref="F17">IFERROR(INDEX($E$200:$E$249,MATCH(5,$G$200:$G$249,0)),"")</f>
        <v/>
      </c>
    </row>
    <row r="19" ht="21.75" customHeight="1">
      <c r="A19" s="63" t="s">
        <v>124</v>
      </c>
      <c r="B19" s="2"/>
      <c r="C19" s="2"/>
      <c r="D19" s="2"/>
      <c r="E19" s="2"/>
      <c r="F19" s="2"/>
      <c r="G19" s="3"/>
    </row>
    <row r="20" ht="21.75" customHeight="1">
      <c r="A20" s="64" t="s">
        <v>119</v>
      </c>
      <c r="B20" s="64" t="s">
        <v>5</v>
      </c>
      <c r="C20" s="64" t="s">
        <v>125</v>
      </c>
      <c r="D20" s="64" t="s">
        <v>126</v>
      </c>
      <c r="E20" s="64" t="s">
        <v>127</v>
      </c>
    </row>
    <row r="21" ht="15.75" customHeight="1">
      <c r="A21" s="56">
        <v>1.0</v>
      </c>
      <c r="B21" s="44" t="str">
        <f t="array" ref="B21">IFERROR(IF(LARGE($E$300:$E$314,1)&lt;=0,"—",INDEX($A$300:$A$314,MATCH(LARGE($E$300:$E$314,1),$E$300:$E$314,0))),"—")</f>
        <v>french terry 24/1</v>
      </c>
      <c r="C21" s="65">
        <f t="array" ref="C21">IFERROR(IF(LARGE($E$300:$E$314,1)&lt;=0,"",INDEX($B$300:$B$314,MATCH(LARGE($E$300:$E$314,1),$E$300:$E$314,0))),"")</f>
        <v>760</v>
      </c>
      <c r="D21" s="65">
        <f t="array" ref="D21">IFERROR(IF(LARGE($E$300:$E$314,1)&lt;=0,"",INDEX($C$300:$C$314,MATCH(LARGE($E$300:$E$314,1),$E$300:$E$314,0))),"")</f>
        <v>620</v>
      </c>
      <c r="E21" s="66">
        <f t="shared" ref="E21:E25" si="1">IFERROR(IF(C21+B21=0,0,B21/(B21+C21)),0)</f>
        <v>0</v>
      </c>
    </row>
    <row r="22" ht="15.75" customHeight="1">
      <c r="A22" s="56">
        <v>2.0</v>
      </c>
      <c r="B22" s="44" t="str">
        <f t="array" ref="B22">IFERROR(IF(LARGE($E$300:$E$314,2)&lt;=0,"—",INDEX($A$300:$A$314,MATCH(LARGE($E$300:$E$314,2),$E$300:$E$314,0))),"—")</f>
        <v>jersey 30/1</v>
      </c>
      <c r="C22" s="65">
        <f t="array" ref="C22">IFERROR(IF(LARGE($E$300:$E$314,2)&lt;=0,"",INDEX($B$300:$B$314,MATCH(LARGE($E$300:$E$314,2),$E$300:$E$314,0))),"")</f>
        <v>1760</v>
      </c>
      <c r="D22" s="65">
        <f t="array" ref="D22">IFERROR(IF(LARGE($E$300:$E$314,2)&lt;=0,"",INDEX($C$300:$C$314,MATCH(LARGE($E$300:$E$314,2),$E$300:$E$314,0))),"")</f>
        <v>2720</v>
      </c>
      <c r="E22" s="66">
        <f t="shared" si="1"/>
        <v>0</v>
      </c>
    </row>
    <row r="23" ht="15.75" customHeight="1">
      <c r="A23" s="56">
        <v>3.0</v>
      </c>
      <c r="B23" s="44" t="str">
        <f t="array" ref="B23">IFERROR(IF(LARGE($E$300:$E$314,3)&lt;=0,"—",INDEX($A$300:$A$314,MATCH(LARGE($E$300:$E$314,3),$E$300:$E$314,0))),"—")</f>
        <v>pique 30/1</v>
      </c>
      <c r="C23" s="65">
        <f t="array" ref="C23">IFERROR(IF(LARGE($E$300:$E$314,3)&lt;=0,"",INDEX($B$300:$B$314,MATCH(LARGE($E$300:$E$314,3),$E$300:$E$314,0))),"")</f>
        <v>760</v>
      </c>
      <c r="D23" s="65">
        <f t="array" ref="D23">IFERROR(IF(LARGE($E$300:$E$314,3)&lt;=0,"",INDEX($C$300:$C$314,MATCH(LARGE($E$300:$E$314,3),$E$300:$E$314,0))),"")</f>
        <v>1860</v>
      </c>
      <c r="E23" s="66">
        <f t="shared" si="1"/>
        <v>0</v>
      </c>
    </row>
    <row r="24" ht="15.75" customHeight="1">
      <c r="A24" s="56">
        <v>4.0</v>
      </c>
      <c r="B24" s="44" t="str">
        <f t="array" ref="B24">IFERROR(IF(LARGE($E$300:$E$314,4)&lt;=0,"—",INDEX($A$300:$A$314,MATCH(LARGE($E$300:$E$314,4),$E$300:$E$314,0))),"—")</f>
        <v>rib 2x1 lycrado</v>
      </c>
      <c r="C24" s="65">
        <f t="array" ref="C24">IFERROR(IF(LARGE($E$300:$E$314,4)&lt;=0,"",INDEX($B$300:$B$314,MATCH(LARGE($E$300:$E$314,4),$E$300:$E$314,0))),"")</f>
        <v>300</v>
      </c>
      <c r="D24" s="65">
        <f t="array" ref="D24">IFERROR(IF(LARGE($E$300:$E$314,4)&lt;=0,"",INDEX($C$300:$C$314,MATCH(LARGE($E$300:$E$314,4),$E$300:$E$314,0))),"")</f>
        <v>1400</v>
      </c>
      <c r="E24" s="66">
        <f t="shared" si="1"/>
        <v>0</v>
      </c>
    </row>
    <row r="25" ht="15.75" customHeight="1">
      <c r="A25" s="56">
        <v>5.0</v>
      </c>
      <c r="B25" s="44" t="str">
        <f t="array" ref="B25">IFERROR(IF(LARGE($E$300:$E$314,5)&lt;=0,"—",INDEX($A$300:$A$314,MATCH(LARGE($E$300:$E$314,5),$E$300:$E$314,0))),"—")</f>
        <v>—</v>
      </c>
      <c r="C25" s="65" t="str">
        <f t="array" ref="C25">IFERROR(IF(LARGE($E$300:$E$314,5)&lt;=0,"",INDEX($B$300:$B$314,MATCH(LARGE($E$300:$E$314,5),$E$300:$E$314,0))),"")</f>
        <v/>
      </c>
      <c r="D25" s="65" t="str">
        <f t="array" ref="D25">IFERROR(IF(LARGE($E$300:$E$314,5)&lt;=0,"",INDEX($C$300:$C$314,MATCH(LARGE($E$300:$E$314,5),$E$300:$E$314,0))),"")</f>
        <v/>
      </c>
      <c r="E25" s="66">
        <f t="shared" si="1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hidden="1" customHeight="1">
      <c r="A100" s="67" t="str">
        <f>IFERROR(IF(COLORES!A4="","",COLORES!A4),"")</f>
        <v>Negro</v>
      </c>
      <c r="B100" s="67">
        <f>IF(A100="","",SUMIF(INVENTARIO!$C$4:$C$843,A100,INVENTARIO!$H$4:$H$843))</f>
        <v>58400</v>
      </c>
      <c r="C100" s="67">
        <f t="shared" ref="C100:C149" si="2">IF(A100="","",B100-ROW()/100000)</f>
        <v>58399.999</v>
      </c>
    </row>
    <row r="101" ht="15.75" hidden="1" customHeight="1">
      <c r="A101" s="67" t="str">
        <f>IFERROR(IF(COLORES!A5="","",COLORES!A5),"")</f>
        <v>Perla</v>
      </c>
      <c r="B101" s="67">
        <f>IF(A101="","",SUMIF(INVENTARIO!$C$4:$C$843,A101,INVENTARIO!$H$4:$H$843))</f>
        <v>49660</v>
      </c>
      <c r="C101" s="67">
        <f t="shared" si="2"/>
        <v>49659.99899</v>
      </c>
    </row>
    <row r="102" ht="15.75" hidden="1" customHeight="1">
      <c r="A102" s="67" t="str">
        <f>IFERROR(IF(COLORES!A6="","",COLORES!A6),"")</f>
        <v>Blanco</v>
      </c>
      <c r="B102" s="67">
        <f>IF(A102="","",SUMIF(INVENTARIO!$C$4:$C$843,A102,INVENTARIO!$H$4:$H$843))</f>
        <v>0</v>
      </c>
      <c r="C102" s="67">
        <f t="shared" si="2"/>
        <v>-0.00102</v>
      </c>
    </row>
    <row r="103" ht="15.75" hidden="1" customHeight="1">
      <c r="A103" s="67" t="str">
        <f>IFERROR(IF(COLORES!A7="","",COLORES!A7),"")</f>
        <v>Azul</v>
      </c>
      <c r="B103" s="67">
        <f>IF(A103="","",SUMIF(INVENTARIO!$C$4:$C$843,A103,INVENTARIO!$H$4:$H$843))</f>
        <v>35200</v>
      </c>
      <c r="C103" s="67">
        <f t="shared" si="2"/>
        <v>35199.99897</v>
      </c>
    </row>
    <row r="104" ht="15.75" hidden="1" customHeight="1">
      <c r="A104" s="67" t="str">
        <f>IFERROR(IF(COLORES!A8="","",COLORES!A8),"")</f>
        <v>Beige</v>
      </c>
      <c r="B104" s="67">
        <f>IF(A104="","",SUMIF(INVENTARIO!$C$4:$C$843,A104,INVENTARIO!$H$4:$H$843))</f>
        <v>7770</v>
      </c>
      <c r="C104" s="67">
        <f t="shared" si="2"/>
        <v>7769.99896</v>
      </c>
    </row>
    <row r="105" ht="15.75" hidden="1" customHeight="1">
      <c r="A105" s="67" t="str">
        <f>IFERROR(IF(COLORES!A9="","",COLORES!A9),"")</f>
        <v>Melange</v>
      </c>
      <c r="B105" s="67">
        <f>IF(A105="","",SUMIF(INVENTARIO!$C$4:$C$843,A105,INVENTARIO!$H$4:$H$843))</f>
        <v>9060</v>
      </c>
      <c r="C105" s="67">
        <f t="shared" si="2"/>
        <v>9059.99895</v>
      </c>
    </row>
    <row r="106" ht="15.75" hidden="1" customHeight="1">
      <c r="A106" s="67" t="str">
        <f>IFERROR(IF(COLORES!A10="","",COLORES!A10),"")</f>
        <v>Botella</v>
      </c>
      <c r="B106" s="67">
        <f>IF(A106="","",SUMIF(INVENTARIO!$C$4:$C$843,A106,INVENTARIO!$H$4:$H$843))</f>
        <v>21720</v>
      </c>
      <c r="C106" s="67">
        <f t="shared" si="2"/>
        <v>21719.99894</v>
      </c>
    </row>
    <row r="107" ht="15.75" hidden="1" customHeight="1">
      <c r="A107" s="67" t="str">
        <f>IFERROR(IF(COLORES!A11="","",COLORES!A11),"")</f>
        <v>Pacay</v>
      </c>
      <c r="B107" s="67">
        <f>IF(A107="","",SUMIF(INVENTARIO!$C$4:$C$843,A107,INVENTARIO!$H$4:$H$843))</f>
        <v>14280</v>
      </c>
      <c r="C107" s="67">
        <f t="shared" si="2"/>
        <v>14279.99893</v>
      </c>
    </row>
    <row r="108" ht="15.75" hidden="1" customHeight="1">
      <c r="A108" s="67" t="str">
        <f>IFERROR(IF(COLORES!A12="","",COLORES!A12),"")</f>
        <v>Cemento</v>
      </c>
      <c r="B108" s="67">
        <f>IF(A108="","",SUMIF(INVENTARIO!$C$4:$C$843,A108,INVENTARIO!$H$4:$H$843))</f>
        <v>16410</v>
      </c>
      <c r="C108" s="67">
        <f t="shared" si="2"/>
        <v>16409.99892</v>
      </c>
    </row>
    <row r="109" ht="15.75" hidden="1" customHeight="1">
      <c r="A109" s="67" t="str">
        <f>IFERROR(IF(COLORES!A13="","",COLORES!A13),"")</f>
        <v>Camote</v>
      </c>
      <c r="B109" s="67">
        <f>IF(A109="","",SUMIF(INVENTARIO!$C$4:$C$843,A109,INVENTARIO!$H$4:$H$843))</f>
        <v>0</v>
      </c>
      <c r="C109" s="67">
        <f t="shared" si="2"/>
        <v>-0.00109</v>
      </c>
    </row>
    <row r="110" ht="15.75" hidden="1" customHeight="1">
      <c r="A110" s="67" t="str">
        <f>IFERROR(IF(COLORES!A14="","",COLORES!A14),"")</f>
        <v>Denim</v>
      </c>
      <c r="B110" s="67">
        <f>IF(A110="","",SUMIF(INVENTARIO!$C$4:$C$843,A110,INVENTARIO!$H$4:$H$843))</f>
        <v>15180</v>
      </c>
      <c r="C110" s="67">
        <f t="shared" si="2"/>
        <v>15179.9989</v>
      </c>
    </row>
    <row r="111" ht="15.75" hidden="1" customHeight="1">
      <c r="A111" s="67" t="str">
        <f>IFERROR(IF(COLORES!A15="","",COLORES!A15),"")</f>
        <v>Plomo</v>
      </c>
      <c r="B111" s="67">
        <f>IF(A111="","",SUMIF(INVENTARIO!$C$4:$C$843,A111,INVENTARIO!$H$4:$H$843))</f>
        <v>19600</v>
      </c>
      <c r="C111" s="67">
        <f t="shared" si="2"/>
        <v>19599.99889</v>
      </c>
    </row>
    <row r="112" ht="15.75" hidden="1" customHeight="1">
      <c r="A112" s="67" t="str">
        <f>IFERROR(IF(COLORES!A16="","",COLORES!A16),"")</f>
        <v>Topo</v>
      </c>
      <c r="B112" s="67">
        <f>IF(A112="","",SUMIF(INVENTARIO!$C$4:$C$843,A112,INVENTARIO!$H$4:$H$843))</f>
        <v>2700</v>
      </c>
      <c r="C112" s="67">
        <f t="shared" si="2"/>
        <v>2699.99888</v>
      </c>
    </row>
    <row r="113" ht="15.75" hidden="1" customHeight="1">
      <c r="A113" s="67" t="str">
        <f>IFERROR(IF(COLORES!A17="","",COLORES!A17),"")</f>
        <v>Vino</v>
      </c>
      <c r="B113" s="67">
        <f>IF(A113="","",SUMIF(INVENTARIO!$C$4:$C$843,A113,INVENTARIO!$H$4:$H$843))</f>
        <v>6840</v>
      </c>
      <c r="C113" s="67">
        <f t="shared" si="2"/>
        <v>6839.99887</v>
      </c>
    </row>
    <row r="114" ht="15.75" hidden="1" customHeight="1">
      <c r="A114" s="67" t="str">
        <f>IFERROR(IF(COLORES!A18="","",COLORES!A18),"")</f>
        <v>P. Rosa</v>
      </c>
      <c r="B114" s="67">
        <f>IF(A114="","",SUMIF(INVENTARIO!$C$4:$C$843,A114,INVENTARIO!$H$4:$H$843))</f>
        <v>20370</v>
      </c>
      <c r="C114" s="67">
        <f t="shared" si="2"/>
        <v>20369.99886</v>
      </c>
    </row>
    <row r="115" ht="15.75" hidden="1" customHeight="1">
      <c r="A115" s="67" t="str">
        <f>IFERROR(IF(COLORES!A19="","",COLORES!A19),"")</f>
        <v/>
      </c>
      <c r="B115" s="67" t="str">
        <f>IF(A115="","",SUMIF(INVENTARIO!$C$4:$C$843,A115,INVENTARIO!$H$4:$H$843))</f>
        <v/>
      </c>
      <c r="C115" s="67" t="str">
        <f t="shared" si="2"/>
        <v/>
      </c>
    </row>
    <row r="116" ht="15.75" hidden="1" customHeight="1">
      <c r="A116" s="67" t="str">
        <f>IFERROR(IF(COLORES!A20="","",COLORES!A20),"")</f>
        <v/>
      </c>
      <c r="B116" s="67" t="str">
        <f>IF(A116="","",SUMIF(INVENTARIO!$C$4:$C$843,A116,INVENTARIO!$H$4:$H$843))</f>
        <v/>
      </c>
      <c r="C116" s="67" t="str">
        <f t="shared" si="2"/>
        <v/>
      </c>
    </row>
    <row r="117" ht="15.75" hidden="1" customHeight="1">
      <c r="A117" s="67" t="str">
        <f>IFERROR(IF(COLORES!A21="","",COLORES!A21),"")</f>
        <v/>
      </c>
      <c r="B117" s="67" t="str">
        <f>IF(A117="","",SUMIF(INVENTARIO!$C$4:$C$843,A117,INVENTARIO!$H$4:$H$843))</f>
        <v/>
      </c>
      <c r="C117" s="67" t="str">
        <f t="shared" si="2"/>
        <v/>
      </c>
    </row>
    <row r="118" ht="15.75" hidden="1" customHeight="1">
      <c r="A118" s="67" t="str">
        <f>IFERROR(IF(COLORES!A22="","",COLORES!A22),"")</f>
        <v/>
      </c>
      <c r="B118" s="67" t="str">
        <f>IF(A118="","",SUMIF(INVENTARIO!$C$4:$C$843,A118,INVENTARIO!$H$4:$H$843))</f>
        <v/>
      </c>
      <c r="C118" s="67" t="str">
        <f t="shared" si="2"/>
        <v/>
      </c>
    </row>
    <row r="119" ht="15.75" hidden="1" customHeight="1">
      <c r="A119" s="67" t="str">
        <f>IFERROR(IF(COLORES!A23="","",COLORES!A23),"")</f>
        <v/>
      </c>
      <c r="B119" s="67" t="str">
        <f>IF(A119="","",SUMIF(INVENTARIO!$C$4:$C$843,A119,INVENTARIO!$H$4:$H$843))</f>
        <v/>
      </c>
      <c r="C119" s="67" t="str">
        <f t="shared" si="2"/>
        <v/>
      </c>
    </row>
    <row r="120" ht="15.75" hidden="1" customHeight="1">
      <c r="A120" s="67" t="str">
        <f>IFERROR(IF(COLORES!A24="","",COLORES!A24),"")</f>
        <v/>
      </c>
      <c r="B120" s="67" t="str">
        <f>IF(A120="","",SUMIF(INVENTARIO!$C$4:$C$843,A120,INVENTARIO!$H$4:$H$843))</f>
        <v/>
      </c>
      <c r="C120" s="67" t="str">
        <f t="shared" si="2"/>
        <v/>
      </c>
    </row>
    <row r="121" ht="15.75" hidden="1" customHeight="1">
      <c r="A121" s="67" t="str">
        <f>IFERROR(IF(COLORES!A25="","",COLORES!A25),"")</f>
        <v/>
      </c>
      <c r="B121" s="67" t="str">
        <f>IF(A121="","",SUMIF(INVENTARIO!$C$4:$C$843,A121,INVENTARIO!$H$4:$H$843))</f>
        <v/>
      </c>
      <c r="C121" s="67" t="str">
        <f t="shared" si="2"/>
        <v/>
      </c>
    </row>
    <row r="122" ht="15.75" hidden="1" customHeight="1">
      <c r="A122" s="67" t="str">
        <f>IFERROR(IF(COLORES!A26="","",COLORES!A26),"")</f>
        <v/>
      </c>
      <c r="B122" s="67" t="str">
        <f>IF(A122="","",SUMIF(INVENTARIO!$C$4:$C$843,A122,INVENTARIO!$H$4:$H$843))</f>
        <v/>
      </c>
      <c r="C122" s="67" t="str">
        <f t="shared" si="2"/>
        <v/>
      </c>
    </row>
    <row r="123" ht="15.75" hidden="1" customHeight="1">
      <c r="A123" s="67" t="str">
        <f>IFERROR(IF(COLORES!A27="","",COLORES!A27),"")</f>
        <v/>
      </c>
      <c r="B123" s="67" t="str">
        <f>IF(A123="","",SUMIF(INVENTARIO!$C$4:$C$843,A123,INVENTARIO!$H$4:$H$843))</f>
        <v/>
      </c>
      <c r="C123" s="67" t="str">
        <f t="shared" si="2"/>
        <v/>
      </c>
    </row>
    <row r="124" ht="15.75" hidden="1" customHeight="1">
      <c r="A124" s="67" t="str">
        <f>IFERROR(IF(COLORES!A28="","",COLORES!A28),"")</f>
        <v/>
      </c>
      <c r="B124" s="67" t="str">
        <f>IF(A124="","",SUMIF(INVENTARIO!$C$4:$C$843,A124,INVENTARIO!$H$4:$H$843))</f>
        <v/>
      </c>
      <c r="C124" s="67" t="str">
        <f t="shared" si="2"/>
        <v/>
      </c>
    </row>
    <row r="125" ht="15.75" hidden="1" customHeight="1">
      <c r="A125" s="67" t="str">
        <f>IFERROR(IF(COLORES!A29="","",COLORES!A29),"")</f>
        <v/>
      </c>
      <c r="B125" s="67" t="str">
        <f>IF(A125="","",SUMIF(INVENTARIO!$C$4:$C$843,A125,INVENTARIO!$H$4:$H$843))</f>
        <v/>
      </c>
      <c r="C125" s="67" t="str">
        <f t="shared" si="2"/>
        <v/>
      </c>
    </row>
    <row r="126" ht="15.75" hidden="1" customHeight="1">
      <c r="A126" s="67" t="str">
        <f>IFERROR(IF(COLORES!A30="","",COLORES!A30),"")</f>
        <v/>
      </c>
      <c r="B126" s="67" t="str">
        <f>IF(A126="","",SUMIF(INVENTARIO!$C$4:$C$843,A126,INVENTARIO!$H$4:$H$843))</f>
        <v/>
      </c>
      <c r="C126" s="67" t="str">
        <f t="shared" si="2"/>
        <v/>
      </c>
    </row>
    <row r="127" ht="15.75" hidden="1" customHeight="1">
      <c r="A127" s="67" t="str">
        <f>IFERROR(IF(COLORES!A31="","",COLORES!A31),"")</f>
        <v/>
      </c>
      <c r="B127" s="67" t="str">
        <f>IF(A127="","",SUMIF(INVENTARIO!$C$4:$C$843,A127,INVENTARIO!$H$4:$H$843))</f>
        <v/>
      </c>
      <c r="C127" s="67" t="str">
        <f t="shared" si="2"/>
        <v/>
      </c>
    </row>
    <row r="128" ht="15.75" hidden="1" customHeight="1">
      <c r="A128" s="67" t="str">
        <f>IFERROR(IF(COLORES!A32="","",COLORES!A32),"")</f>
        <v/>
      </c>
      <c r="B128" s="67" t="str">
        <f>IF(A128="","",SUMIF(INVENTARIO!$C$4:$C$843,A128,INVENTARIO!$H$4:$H$843))</f>
        <v/>
      </c>
      <c r="C128" s="67" t="str">
        <f t="shared" si="2"/>
        <v/>
      </c>
    </row>
    <row r="129" ht="15.75" hidden="1" customHeight="1">
      <c r="A129" s="67" t="str">
        <f>IFERROR(IF(COLORES!A33="","",COLORES!A33),"")</f>
        <v/>
      </c>
      <c r="B129" s="67" t="str">
        <f>IF(A129="","",SUMIF(INVENTARIO!$C$4:$C$843,A129,INVENTARIO!$H$4:$H$843))</f>
        <v/>
      </c>
      <c r="C129" s="67" t="str">
        <f t="shared" si="2"/>
        <v/>
      </c>
    </row>
    <row r="130" ht="15.75" hidden="1" customHeight="1">
      <c r="A130" s="67" t="str">
        <f>IFERROR(IF(COLORES!A34="","",COLORES!A34),"")</f>
        <v/>
      </c>
      <c r="B130" s="67" t="str">
        <f>IF(A130="","",SUMIF(INVENTARIO!$C$4:$C$843,A130,INVENTARIO!$H$4:$H$843))</f>
        <v/>
      </c>
      <c r="C130" s="67" t="str">
        <f t="shared" si="2"/>
        <v/>
      </c>
    </row>
    <row r="131" ht="15.75" hidden="1" customHeight="1">
      <c r="A131" s="67" t="str">
        <f>IFERROR(IF(COLORES!A35="","",COLORES!A35),"")</f>
        <v/>
      </c>
      <c r="B131" s="67" t="str">
        <f>IF(A131="","",SUMIF(INVENTARIO!$C$4:$C$843,A131,INVENTARIO!$H$4:$H$843))</f>
        <v/>
      </c>
      <c r="C131" s="67" t="str">
        <f t="shared" si="2"/>
        <v/>
      </c>
    </row>
    <row r="132" ht="15.75" hidden="1" customHeight="1">
      <c r="A132" s="67" t="str">
        <f>IFERROR(IF(COLORES!A36="","",COLORES!A36),"")</f>
        <v/>
      </c>
      <c r="B132" s="67" t="str">
        <f>IF(A132="","",SUMIF(INVENTARIO!$C$4:$C$843,A132,INVENTARIO!$H$4:$H$843))</f>
        <v/>
      </c>
      <c r="C132" s="67" t="str">
        <f t="shared" si="2"/>
        <v/>
      </c>
    </row>
    <row r="133" ht="15.75" hidden="1" customHeight="1">
      <c r="A133" s="67" t="str">
        <f>IFERROR(IF(COLORES!A37="","",COLORES!A37),"")</f>
        <v/>
      </c>
      <c r="B133" s="67" t="str">
        <f>IF(A133="","",SUMIF(INVENTARIO!$C$4:$C$843,A133,INVENTARIO!$H$4:$H$843))</f>
        <v/>
      </c>
      <c r="C133" s="67" t="str">
        <f t="shared" si="2"/>
        <v/>
      </c>
    </row>
    <row r="134" ht="15.75" hidden="1" customHeight="1">
      <c r="A134" s="67" t="str">
        <f>IFERROR(IF(COLORES!A38="","",COLORES!A38),"")</f>
        <v/>
      </c>
      <c r="B134" s="67" t="str">
        <f>IF(A134="","",SUMIF(INVENTARIO!$C$4:$C$843,A134,INVENTARIO!$H$4:$H$843))</f>
        <v/>
      </c>
      <c r="C134" s="67" t="str">
        <f t="shared" si="2"/>
        <v/>
      </c>
    </row>
    <row r="135" ht="15.75" hidden="1" customHeight="1">
      <c r="A135" s="67" t="str">
        <f>IFERROR(IF(COLORES!A39="","",COLORES!A39),"")</f>
        <v/>
      </c>
      <c r="B135" s="67" t="str">
        <f>IF(A135="","",SUMIF(INVENTARIO!$C$4:$C$843,A135,INVENTARIO!$H$4:$H$843))</f>
        <v/>
      </c>
      <c r="C135" s="67" t="str">
        <f t="shared" si="2"/>
        <v/>
      </c>
    </row>
    <row r="136" ht="15.75" hidden="1" customHeight="1">
      <c r="A136" s="67" t="str">
        <f>IFERROR(IF(COLORES!A40="","",COLORES!A40),"")</f>
        <v/>
      </c>
      <c r="B136" s="67" t="str">
        <f>IF(A136="","",SUMIF(INVENTARIO!$C$4:$C$843,A136,INVENTARIO!$H$4:$H$843))</f>
        <v/>
      </c>
      <c r="C136" s="67" t="str">
        <f t="shared" si="2"/>
        <v/>
      </c>
    </row>
    <row r="137" ht="15.75" hidden="1" customHeight="1">
      <c r="A137" s="67" t="str">
        <f>IFERROR(IF(COLORES!A41="","",COLORES!A41),"")</f>
        <v/>
      </c>
      <c r="B137" s="67" t="str">
        <f>IF(A137="","",SUMIF(INVENTARIO!$C$4:$C$843,A137,INVENTARIO!$H$4:$H$843))</f>
        <v/>
      </c>
      <c r="C137" s="67" t="str">
        <f t="shared" si="2"/>
        <v/>
      </c>
    </row>
    <row r="138" ht="15.75" hidden="1" customHeight="1">
      <c r="A138" s="67" t="str">
        <f>IFERROR(IF(COLORES!A42="","",COLORES!A42),"")</f>
        <v/>
      </c>
      <c r="B138" s="67" t="str">
        <f>IF(A138="","",SUMIF(INVENTARIO!$C$4:$C$843,A138,INVENTARIO!$H$4:$H$843))</f>
        <v/>
      </c>
      <c r="C138" s="67" t="str">
        <f t="shared" si="2"/>
        <v/>
      </c>
    </row>
    <row r="139" ht="15.75" hidden="1" customHeight="1">
      <c r="A139" s="67" t="str">
        <f>IFERROR(IF(COLORES!A43="","",COLORES!A43),"")</f>
        <v/>
      </c>
      <c r="B139" s="67" t="str">
        <f>IF(A139="","",SUMIF(INVENTARIO!$C$4:$C$843,A139,INVENTARIO!$H$4:$H$843))</f>
        <v/>
      </c>
      <c r="C139" s="67" t="str">
        <f t="shared" si="2"/>
        <v/>
      </c>
    </row>
    <row r="140" ht="15.75" hidden="1" customHeight="1">
      <c r="A140" s="67" t="str">
        <f>IFERROR(IF(COLORES!A44="","",COLORES!A44),"")</f>
        <v/>
      </c>
      <c r="B140" s="67" t="str">
        <f>IF(A140="","",SUMIF(INVENTARIO!$C$4:$C$843,A140,INVENTARIO!$H$4:$H$843))</f>
        <v/>
      </c>
      <c r="C140" s="67" t="str">
        <f t="shared" si="2"/>
        <v/>
      </c>
    </row>
    <row r="141" ht="15.75" hidden="1" customHeight="1">
      <c r="A141" s="67" t="str">
        <f>IFERROR(IF(COLORES!A45="","",COLORES!A45),"")</f>
        <v/>
      </c>
      <c r="B141" s="67" t="str">
        <f>IF(A141="","",SUMIF(INVENTARIO!$C$4:$C$843,A141,INVENTARIO!$H$4:$H$843))</f>
        <v/>
      </c>
      <c r="C141" s="67" t="str">
        <f t="shared" si="2"/>
        <v/>
      </c>
    </row>
    <row r="142" ht="15.75" hidden="1" customHeight="1">
      <c r="A142" s="67" t="str">
        <f>IFERROR(IF(COLORES!A46="","",COLORES!A46),"")</f>
        <v/>
      </c>
      <c r="B142" s="67" t="str">
        <f>IF(A142="","",SUMIF(INVENTARIO!$C$4:$C$843,A142,INVENTARIO!$H$4:$H$843))</f>
        <v/>
      </c>
      <c r="C142" s="67" t="str">
        <f t="shared" si="2"/>
        <v/>
      </c>
    </row>
    <row r="143" ht="15.75" hidden="1" customHeight="1">
      <c r="A143" s="67" t="str">
        <f>IFERROR(IF(COLORES!A47="","",COLORES!A47),"")</f>
        <v/>
      </c>
      <c r="B143" s="67" t="str">
        <f>IF(A143="","",SUMIF(INVENTARIO!$C$4:$C$843,A143,INVENTARIO!$H$4:$H$843))</f>
        <v/>
      </c>
      <c r="C143" s="67" t="str">
        <f t="shared" si="2"/>
        <v/>
      </c>
    </row>
    <row r="144" ht="15.75" hidden="1" customHeight="1">
      <c r="A144" s="67" t="str">
        <f>IFERROR(IF(COLORES!A48="","",COLORES!A48),"")</f>
        <v/>
      </c>
      <c r="B144" s="67" t="str">
        <f>IF(A144="","",SUMIF(INVENTARIO!$C$4:$C$843,A144,INVENTARIO!$H$4:$H$843))</f>
        <v/>
      </c>
      <c r="C144" s="67" t="str">
        <f t="shared" si="2"/>
        <v/>
      </c>
    </row>
    <row r="145" ht="15.75" hidden="1" customHeight="1">
      <c r="A145" s="67" t="str">
        <f>IFERROR(IF(COLORES!A49="","",COLORES!A49),"")</f>
        <v/>
      </c>
      <c r="B145" s="67" t="str">
        <f>IF(A145="","",SUMIF(INVENTARIO!$C$4:$C$843,A145,INVENTARIO!$H$4:$H$843))</f>
        <v/>
      </c>
      <c r="C145" s="67" t="str">
        <f t="shared" si="2"/>
        <v/>
      </c>
    </row>
    <row r="146" ht="15.75" hidden="1" customHeight="1">
      <c r="A146" s="67" t="str">
        <f>IFERROR(IF(COLORES!A50="","",COLORES!A50),"")</f>
        <v/>
      </c>
      <c r="B146" s="67" t="str">
        <f>IF(A146="","",SUMIF(INVENTARIO!$C$4:$C$843,A146,INVENTARIO!$H$4:$H$843))</f>
        <v/>
      </c>
      <c r="C146" s="67" t="str">
        <f t="shared" si="2"/>
        <v/>
      </c>
    </row>
    <row r="147" ht="15.75" hidden="1" customHeight="1">
      <c r="A147" s="67" t="str">
        <f>IFERROR(IF(COLORES!A51="","",COLORES!A51),"")</f>
        <v/>
      </c>
      <c r="B147" s="67" t="str">
        <f>IF(A147="","",SUMIF(INVENTARIO!$C$4:$C$843,A147,INVENTARIO!$H$4:$H$843))</f>
        <v/>
      </c>
      <c r="C147" s="67" t="str">
        <f t="shared" si="2"/>
        <v/>
      </c>
    </row>
    <row r="148" ht="15.75" hidden="1" customHeight="1">
      <c r="A148" s="67" t="str">
        <f>IFERROR(IF(COLORES!A52="","",COLORES!A52),"")</f>
        <v/>
      </c>
      <c r="B148" s="67" t="str">
        <f>IF(A148="","",SUMIF(INVENTARIO!$C$4:$C$843,A148,INVENTARIO!$H$4:$H$843))</f>
        <v/>
      </c>
      <c r="C148" s="67" t="str">
        <f t="shared" si="2"/>
        <v/>
      </c>
    </row>
    <row r="149" ht="15.75" hidden="1" customHeight="1">
      <c r="A149" s="67" t="str">
        <f>IFERROR(IF(COLORES!A53="","",COLORES!A53),"")</f>
        <v/>
      </c>
      <c r="B149" s="67" t="str">
        <f>IF(A149="","",SUMIF(INVENTARIO!$C$4:$C$843,A149,INVENTARIO!$H$4:$H$843))</f>
        <v/>
      </c>
      <c r="C149" s="67" t="str">
        <f t="shared" si="2"/>
        <v/>
      </c>
    </row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>
      <c r="A200" s="67" t="str">
        <f>IF(INVENTARIO!I4="CRÍTICO",INVENTARIO!A4,"")</f>
        <v/>
      </c>
      <c r="B200" s="67" t="str">
        <f>IF(A200="","",INVENTARIO!B4)</f>
        <v/>
      </c>
      <c r="C200" s="67" t="str">
        <f>IF(A200="","",INVENTARIO!C4)</f>
        <v/>
      </c>
      <c r="D200" s="67" t="str">
        <f>IF(A200="","",INVENTARIO!E4)</f>
        <v/>
      </c>
      <c r="E200" s="67" t="str">
        <f>IF(A200="","",INVENTARIO!H4)</f>
        <v/>
      </c>
      <c r="G200" s="67" t="str">
        <f>IF(A200="","",1)</f>
        <v/>
      </c>
    </row>
    <row r="201" ht="15.75" hidden="1" customHeight="1">
      <c r="A201" s="67" t="str">
        <f>IF(INVENTARIO!I5="CRÍTICO",INVENTARIO!A5,"")</f>
        <v/>
      </c>
      <c r="B201" s="67" t="str">
        <f>IF(A201="","",INVENTARIO!B5)</f>
        <v/>
      </c>
      <c r="C201" s="67" t="str">
        <f>IF(A201="","",INVENTARIO!C5)</f>
        <v/>
      </c>
      <c r="D201" s="67" t="str">
        <f>IF(A201="","",INVENTARIO!E5)</f>
        <v/>
      </c>
      <c r="E201" s="67" t="str">
        <f>IF(A201="","",INVENTARIO!H5)</f>
        <v/>
      </c>
      <c r="G201" s="67" t="str">
        <f t="shared" ref="G201:G249" si="3">IF(A201="","",IFERROR(MAX($G$200:G200)+1,1))</f>
        <v/>
      </c>
    </row>
    <row r="202" ht="15.75" hidden="1" customHeight="1">
      <c r="A202" s="67" t="str">
        <f>IF(INVENTARIO!I6="CRÍTICO",INVENTARIO!A6,"")</f>
        <v/>
      </c>
      <c r="B202" s="67" t="str">
        <f>IF(A202="","",INVENTARIO!B6)</f>
        <v/>
      </c>
      <c r="C202" s="67" t="str">
        <f>IF(A202="","",INVENTARIO!C6)</f>
        <v/>
      </c>
      <c r="D202" s="67" t="str">
        <f>IF(A202="","",INVENTARIO!E6)</f>
        <v/>
      </c>
      <c r="E202" s="67" t="str">
        <f>IF(A202="","",INVENTARIO!H6)</f>
        <v/>
      </c>
      <c r="G202" s="67" t="str">
        <f t="shared" si="3"/>
        <v/>
      </c>
    </row>
    <row r="203" ht="15.75" hidden="1" customHeight="1">
      <c r="A203" s="67" t="str">
        <f>IF(INVENTARIO!I7="CRÍTICO",INVENTARIO!A7,"")</f>
        <v/>
      </c>
      <c r="B203" s="67" t="str">
        <f>IF(A203="","",INVENTARIO!B7)</f>
        <v/>
      </c>
      <c r="C203" s="67" t="str">
        <f>IF(A203="","",INVENTARIO!C7)</f>
        <v/>
      </c>
      <c r="D203" s="67" t="str">
        <f>IF(A203="","",INVENTARIO!E7)</f>
        <v/>
      </c>
      <c r="E203" s="67" t="str">
        <f>IF(A203="","",INVENTARIO!H7)</f>
        <v/>
      </c>
      <c r="G203" s="67" t="str">
        <f t="shared" si="3"/>
        <v/>
      </c>
    </row>
    <row r="204" ht="15.75" hidden="1" customHeight="1">
      <c r="A204" s="67" t="str">
        <f>IF(INVENTARIO!I8="CRÍTICO",INVENTARIO!A8,"")</f>
        <v/>
      </c>
      <c r="B204" s="67" t="str">
        <f>IF(A204="","",INVENTARIO!B8)</f>
        <v/>
      </c>
      <c r="C204" s="67" t="str">
        <f>IF(A204="","",INVENTARIO!C8)</f>
        <v/>
      </c>
      <c r="D204" s="67" t="str">
        <f>IF(A204="","",INVENTARIO!E8)</f>
        <v/>
      </c>
      <c r="E204" s="67" t="str">
        <f>IF(A204="","",INVENTARIO!H8)</f>
        <v/>
      </c>
      <c r="G204" s="67" t="str">
        <f t="shared" si="3"/>
        <v/>
      </c>
    </row>
    <row r="205" ht="15.75" hidden="1" customHeight="1">
      <c r="A205" s="67" t="str">
        <f>IF(INVENTARIO!I9="CRÍTICO",INVENTARIO!A9,"")</f>
        <v/>
      </c>
      <c r="B205" s="67" t="str">
        <f>IF(A205="","",INVENTARIO!B9)</f>
        <v/>
      </c>
      <c r="C205" s="67" t="str">
        <f>IF(A205="","",INVENTARIO!C9)</f>
        <v/>
      </c>
      <c r="D205" s="67" t="str">
        <f>IF(A205="","",INVENTARIO!E9)</f>
        <v/>
      </c>
      <c r="E205" s="67" t="str">
        <f>IF(A205="","",INVENTARIO!H9)</f>
        <v/>
      </c>
      <c r="G205" s="67" t="str">
        <f t="shared" si="3"/>
        <v/>
      </c>
    </row>
    <row r="206" ht="15.75" hidden="1" customHeight="1">
      <c r="A206" s="67" t="str">
        <f>IF(INVENTARIO!I10="CRÍTICO",INVENTARIO!A10,"")</f>
        <v/>
      </c>
      <c r="B206" s="67" t="str">
        <f>IF(A206="","",INVENTARIO!B10)</f>
        <v/>
      </c>
      <c r="C206" s="67" t="str">
        <f>IF(A206="","",INVENTARIO!C10)</f>
        <v/>
      </c>
      <c r="D206" s="67" t="str">
        <f>IF(A206="","",INVENTARIO!E10)</f>
        <v/>
      </c>
      <c r="E206" s="67" t="str">
        <f>IF(A206="","",INVENTARIO!H10)</f>
        <v/>
      </c>
      <c r="G206" s="67" t="str">
        <f t="shared" si="3"/>
        <v/>
      </c>
    </row>
    <row r="207" ht="15.75" hidden="1" customHeight="1">
      <c r="A207" s="67" t="str">
        <f>IF(INVENTARIO!I11="CRÍTICO",INVENTARIO!A11,"")</f>
        <v/>
      </c>
      <c r="B207" s="67" t="str">
        <f>IF(A207="","",INVENTARIO!B11)</f>
        <v/>
      </c>
      <c r="C207" s="67" t="str">
        <f>IF(A207="","",INVENTARIO!C11)</f>
        <v/>
      </c>
      <c r="D207" s="67" t="str">
        <f>IF(A207="","",INVENTARIO!E11)</f>
        <v/>
      </c>
      <c r="E207" s="67" t="str">
        <f>IF(A207="","",INVENTARIO!H11)</f>
        <v/>
      </c>
      <c r="G207" s="67" t="str">
        <f t="shared" si="3"/>
        <v/>
      </c>
    </row>
    <row r="208" ht="15.75" hidden="1" customHeight="1">
      <c r="A208" s="67" t="str">
        <f>IF(INVENTARIO!I12="CRÍTICO",INVENTARIO!A12,"")</f>
        <v/>
      </c>
      <c r="B208" s="67" t="str">
        <f>IF(A208="","",INVENTARIO!B12)</f>
        <v/>
      </c>
      <c r="C208" s="67" t="str">
        <f>IF(A208="","",INVENTARIO!C12)</f>
        <v/>
      </c>
      <c r="D208" s="67" t="str">
        <f>IF(A208="","",INVENTARIO!E12)</f>
        <v/>
      </c>
      <c r="E208" s="67" t="str">
        <f>IF(A208="","",INVENTARIO!H12)</f>
        <v/>
      </c>
      <c r="G208" s="67" t="str">
        <f t="shared" si="3"/>
        <v/>
      </c>
    </row>
    <row r="209" ht="15.75" hidden="1" customHeight="1">
      <c r="A209" s="67" t="str">
        <f>IF(INVENTARIO!I13="CRÍTICO",INVENTARIO!A13,"")</f>
        <v/>
      </c>
      <c r="B209" s="67" t="str">
        <f>IF(A209="","",INVENTARIO!B13)</f>
        <v/>
      </c>
      <c r="C209" s="67" t="str">
        <f>IF(A209="","",INVENTARIO!C13)</f>
        <v/>
      </c>
      <c r="D209" s="67" t="str">
        <f>IF(A209="","",INVENTARIO!E13)</f>
        <v/>
      </c>
      <c r="E209" s="67" t="str">
        <f>IF(A209="","",INVENTARIO!H13)</f>
        <v/>
      </c>
      <c r="G209" s="67" t="str">
        <f t="shared" si="3"/>
        <v/>
      </c>
    </row>
    <row r="210" ht="15.75" hidden="1" customHeight="1">
      <c r="A210" s="67" t="str">
        <f>IF(INVENTARIO!I14="CRÍTICO",INVENTARIO!A14,"")</f>
        <v/>
      </c>
      <c r="B210" s="67" t="str">
        <f>IF(A210="","",INVENTARIO!B14)</f>
        <v/>
      </c>
      <c r="C210" s="67" t="str">
        <f>IF(A210="","",INVENTARIO!C14)</f>
        <v/>
      </c>
      <c r="D210" s="67" t="str">
        <f>IF(A210="","",INVENTARIO!E14)</f>
        <v/>
      </c>
      <c r="E210" s="67" t="str">
        <f>IF(A210="","",INVENTARIO!H14)</f>
        <v/>
      </c>
      <c r="G210" s="67" t="str">
        <f t="shared" si="3"/>
        <v/>
      </c>
    </row>
    <row r="211" ht="15.75" hidden="1" customHeight="1">
      <c r="A211" s="67" t="str">
        <f>IF(INVENTARIO!I15="CRÍTICO",INVENTARIO!A15,"")</f>
        <v>OverShark</v>
      </c>
      <c r="B211" s="67" t="str">
        <f>IF(A211="","",INVENTARIO!B15)</f>
        <v>jersey 30/1</v>
      </c>
      <c r="C211" s="67" t="str">
        <f>IF(A211="","",INVENTARIO!C15)</f>
        <v>Plomo</v>
      </c>
      <c r="D211" s="68">
        <f>IF(A211="","",INVENTARIO!E15)</f>
        <v>4</v>
      </c>
      <c r="E211" s="69">
        <f>IF(A211="","",INVENTARIO!H15)</f>
        <v>1920</v>
      </c>
      <c r="G211" s="67">
        <f t="shared" si="3"/>
        <v>1</v>
      </c>
    </row>
    <row r="212" ht="15.75" hidden="1" customHeight="1">
      <c r="A212" s="67" t="str">
        <f>IF(INVENTARIO!I16="CRÍTICO",INVENTARIO!A16,"")</f>
        <v/>
      </c>
      <c r="B212" s="67" t="str">
        <f>IF(A212="","",INVENTARIO!B16)</f>
        <v/>
      </c>
      <c r="C212" s="67" t="str">
        <f>IF(A212="","",INVENTARIO!C16)</f>
        <v/>
      </c>
      <c r="D212" s="67" t="str">
        <f>IF(A212="","",INVENTARIO!E16)</f>
        <v/>
      </c>
      <c r="E212" s="67" t="str">
        <f>IF(A212="","",INVENTARIO!H16)</f>
        <v/>
      </c>
      <c r="G212" s="67" t="str">
        <f t="shared" si="3"/>
        <v/>
      </c>
    </row>
    <row r="213" ht="15.75" hidden="1" customHeight="1">
      <c r="A213" s="67" t="str">
        <f>IF(INVENTARIO!I17="CRÍTICO",INVENTARIO!A17,"")</f>
        <v/>
      </c>
      <c r="B213" s="67" t="str">
        <f>IF(A213="","",INVENTARIO!B17)</f>
        <v/>
      </c>
      <c r="C213" s="67" t="str">
        <f>IF(A213="","",INVENTARIO!C17)</f>
        <v/>
      </c>
      <c r="D213" s="67" t="str">
        <f>IF(A213="","",INVENTARIO!E17)</f>
        <v/>
      </c>
      <c r="E213" s="67" t="str">
        <f>IF(A213="","",INVENTARIO!H17)</f>
        <v/>
      </c>
      <c r="G213" s="67" t="str">
        <f t="shared" si="3"/>
        <v/>
      </c>
    </row>
    <row r="214" ht="15.75" hidden="1" customHeight="1">
      <c r="A214" s="67" t="str">
        <f>IF(INVENTARIO!I18="CRÍTICO",INVENTARIO!A18,"")</f>
        <v/>
      </c>
      <c r="B214" s="67" t="str">
        <f>IF(A214="","",INVENTARIO!B18)</f>
        <v/>
      </c>
      <c r="C214" s="67" t="str">
        <f>IF(A214="","",INVENTARIO!C18)</f>
        <v/>
      </c>
      <c r="D214" s="67" t="str">
        <f>IF(A214="","",INVENTARIO!E18)</f>
        <v/>
      </c>
      <c r="E214" s="67" t="str">
        <f>IF(A214="","",INVENTARIO!H18)</f>
        <v/>
      </c>
      <c r="G214" s="67" t="str">
        <f t="shared" si="3"/>
        <v/>
      </c>
    </row>
    <row r="215" ht="15.75" hidden="1" customHeight="1">
      <c r="A215" s="67" t="str">
        <f>IF(INVENTARIO!I19="CRÍTICO",INVENTARIO!A19,"")</f>
        <v/>
      </c>
      <c r="B215" s="67" t="str">
        <f>IF(A215="","",INVENTARIO!B19)</f>
        <v/>
      </c>
      <c r="C215" s="67" t="str">
        <f>IF(A215="","",INVENTARIO!C19)</f>
        <v/>
      </c>
      <c r="D215" s="67" t="str">
        <f>IF(A215="","",INVENTARIO!E19)</f>
        <v/>
      </c>
      <c r="E215" s="67" t="str">
        <f>IF(A215="","",INVENTARIO!H19)</f>
        <v/>
      </c>
      <c r="G215" s="67" t="str">
        <f t="shared" si="3"/>
        <v/>
      </c>
    </row>
    <row r="216" ht="15.75" hidden="1" customHeight="1">
      <c r="A216" s="67" t="str">
        <f>IF(INVENTARIO!I20="CRÍTICO",INVENTARIO!A20,"")</f>
        <v/>
      </c>
      <c r="B216" s="67" t="str">
        <f>IF(A216="","",INVENTARIO!B20)</f>
        <v/>
      </c>
      <c r="C216" s="67" t="str">
        <f>IF(A216="","",INVENTARIO!C20)</f>
        <v/>
      </c>
      <c r="D216" s="67" t="str">
        <f>IF(A216="","",INVENTARIO!E20)</f>
        <v/>
      </c>
      <c r="E216" s="67" t="str">
        <f>IF(A216="","",INVENTARIO!H20)</f>
        <v/>
      </c>
      <c r="G216" s="67" t="str">
        <f t="shared" si="3"/>
        <v/>
      </c>
    </row>
    <row r="217" ht="15.75" hidden="1" customHeight="1">
      <c r="A217" s="67" t="str">
        <f>IF(INVENTARIO!I21="CRÍTICO",INVENTARIO!A21,"")</f>
        <v/>
      </c>
      <c r="B217" s="67" t="str">
        <f>IF(A217="","",INVENTARIO!B21)</f>
        <v/>
      </c>
      <c r="C217" s="67" t="str">
        <f>IF(A217="","",INVENTARIO!C21)</f>
        <v/>
      </c>
      <c r="D217" s="67" t="str">
        <f>IF(A217="","",INVENTARIO!E21)</f>
        <v/>
      </c>
      <c r="E217" s="67" t="str">
        <f>IF(A217="","",INVENTARIO!H21)</f>
        <v/>
      </c>
      <c r="G217" s="67" t="str">
        <f t="shared" si="3"/>
        <v/>
      </c>
    </row>
    <row r="218" ht="15.75" hidden="1" customHeight="1">
      <c r="A218" s="67" t="str">
        <f>IF(INVENTARIO!I22="CRÍTICO",INVENTARIO!A22,"")</f>
        <v/>
      </c>
      <c r="B218" s="67" t="str">
        <f>IF(A218="","",INVENTARIO!B22)</f>
        <v/>
      </c>
      <c r="C218" s="67" t="str">
        <f>IF(A218="","",INVENTARIO!C22)</f>
        <v/>
      </c>
      <c r="D218" s="67" t="str">
        <f>IF(A218="","",INVENTARIO!E22)</f>
        <v/>
      </c>
      <c r="E218" s="67" t="str">
        <f>IF(A218="","",INVENTARIO!H22)</f>
        <v/>
      </c>
      <c r="G218" s="67" t="str">
        <f t="shared" si="3"/>
        <v/>
      </c>
    </row>
    <row r="219" ht="15.75" hidden="1" customHeight="1">
      <c r="A219" s="67" t="str">
        <f>IF(INVENTARIO!I23="CRÍTICO",INVENTARIO!A23,"")</f>
        <v/>
      </c>
      <c r="B219" s="67" t="str">
        <f>IF(A219="","",INVENTARIO!B23)</f>
        <v/>
      </c>
      <c r="C219" s="67" t="str">
        <f>IF(A219="","",INVENTARIO!C23)</f>
        <v/>
      </c>
      <c r="D219" s="67" t="str">
        <f>IF(A219="","",INVENTARIO!E23)</f>
        <v/>
      </c>
      <c r="E219" s="67" t="str">
        <f>IF(A219="","",INVENTARIO!H23)</f>
        <v/>
      </c>
      <c r="G219" s="67" t="str">
        <f t="shared" si="3"/>
        <v/>
      </c>
    </row>
    <row r="220" ht="15.75" hidden="1" customHeight="1">
      <c r="A220" s="67" t="str">
        <f>IF(INVENTARIO!I24="CRÍTICO",INVENTARIO!A24,"")</f>
        <v/>
      </c>
      <c r="B220" s="67" t="str">
        <f>IF(A220="","",INVENTARIO!B24)</f>
        <v/>
      </c>
      <c r="C220" s="67" t="str">
        <f>IF(A220="","",INVENTARIO!C24)</f>
        <v/>
      </c>
      <c r="D220" s="67" t="str">
        <f>IF(A220="","",INVENTARIO!E24)</f>
        <v/>
      </c>
      <c r="E220" s="67" t="str">
        <f>IF(A220="","",INVENTARIO!H24)</f>
        <v/>
      </c>
      <c r="G220" s="67" t="str">
        <f t="shared" si="3"/>
        <v/>
      </c>
    </row>
    <row r="221" ht="15.75" hidden="1" customHeight="1">
      <c r="A221" s="67" t="str">
        <f>IF(INVENTARIO!I25="CRÍTICO",INVENTARIO!A25,"")</f>
        <v/>
      </c>
      <c r="B221" s="67" t="str">
        <f>IF(A221="","",INVENTARIO!B25)</f>
        <v/>
      </c>
      <c r="C221" s="67" t="str">
        <f>IF(A221="","",INVENTARIO!C25)</f>
        <v/>
      </c>
      <c r="D221" s="67" t="str">
        <f>IF(A221="","",INVENTARIO!E25)</f>
        <v/>
      </c>
      <c r="E221" s="67" t="str">
        <f>IF(A221="","",INVENTARIO!H25)</f>
        <v/>
      </c>
      <c r="G221" s="67" t="str">
        <f t="shared" si="3"/>
        <v/>
      </c>
    </row>
    <row r="222" ht="15.75" hidden="1" customHeight="1">
      <c r="A222" s="67" t="str">
        <f>IF(INVENTARIO!I26="CRÍTICO",INVENTARIO!A26,"")</f>
        <v/>
      </c>
      <c r="B222" s="67" t="str">
        <f>IF(A222="","",INVENTARIO!B26)</f>
        <v/>
      </c>
      <c r="C222" s="67" t="str">
        <f>IF(A222="","",INVENTARIO!C26)</f>
        <v/>
      </c>
      <c r="D222" s="67" t="str">
        <f>IF(A222="","",INVENTARIO!E26)</f>
        <v/>
      </c>
      <c r="E222" s="67" t="str">
        <f>IF(A222="","",INVENTARIO!H26)</f>
        <v/>
      </c>
      <c r="G222" s="67" t="str">
        <f t="shared" si="3"/>
        <v/>
      </c>
    </row>
    <row r="223" ht="15.75" hidden="1" customHeight="1">
      <c r="A223" s="67" t="str">
        <f>IF(INVENTARIO!I27="CRÍTICO",INVENTARIO!A27,"")</f>
        <v/>
      </c>
      <c r="B223" s="67" t="str">
        <f>IF(A223="","",INVENTARIO!B27)</f>
        <v/>
      </c>
      <c r="C223" s="67" t="str">
        <f>IF(A223="","",INVENTARIO!C27)</f>
        <v/>
      </c>
      <c r="D223" s="67" t="str">
        <f>IF(A223="","",INVENTARIO!E27)</f>
        <v/>
      </c>
      <c r="E223" s="67" t="str">
        <f>IF(A223="","",INVENTARIO!H27)</f>
        <v/>
      </c>
      <c r="G223" s="67" t="str">
        <f t="shared" si="3"/>
        <v/>
      </c>
    </row>
    <row r="224" ht="15.75" hidden="1" customHeight="1">
      <c r="A224" s="67" t="str">
        <f>IF(INVENTARIO!I28="CRÍTICO",INVENTARIO!A28,"")</f>
        <v/>
      </c>
      <c r="B224" s="67" t="str">
        <f>IF(A224="","",INVENTARIO!B28)</f>
        <v/>
      </c>
      <c r="C224" s="67" t="str">
        <f>IF(A224="","",INVENTARIO!C28)</f>
        <v/>
      </c>
      <c r="D224" s="67" t="str">
        <f>IF(A224="","",INVENTARIO!E28)</f>
        <v/>
      </c>
      <c r="E224" s="67" t="str">
        <f>IF(A224="","",INVENTARIO!H28)</f>
        <v/>
      </c>
      <c r="G224" s="67" t="str">
        <f t="shared" si="3"/>
        <v/>
      </c>
    </row>
    <row r="225" ht="15.75" hidden="1" customHeight="1">
      <c r="A225" s="67" t="str">
        <f>IF(INVENTARIO!I29="CRÍTICO",INVENTARIO!A29,"")</f>
        <v>OverShark</v>
      </c>
      <c r="B225" s="67" t="str">
        <f>IF(A225="","",INVENTARIO!B29)</f>
        <v>pique 30/1</v>
      </c>
      <c r="C225" s="67" t="str">
        <f>IF(A225="","",INVENTARIO!C29)</f>
        <v>Melange</v>
      </c>
      <c r="D225" s="68">
        <f>IF(A225="","",INVENTARIO!E29)</f>
        <v>3</v>
      </c>
      <c r="E225" s="69">
        <f>IF(A225="","",INVENTARIO!H29)</f>
        <v>1080</v>
      </c>
      <c r="G225" s="67">
        <f t="shared" si="3"/>
        <v>2</v>
      </c>
    </row>
    <row r="226" ht="15.75" hidden="1" customHeight="1">
      <c r="A226" s="67" t="str">
        <f>IF(INVENTARIO!I30="CRÍTICO",INVENTARIO!A30,"")</f>
        <v/>
      </c>
      <c r="B226" s="67" t="str">
        <f>IF(A226="","",INVENTARIO!B30)</f>
        <v/>
      </c>
      <c r="C226" s="67" t="str">
        <f>IF(A226="","",INVENTARIO!C30)</f>
        <v/>
      </c>
      <c r="D226" s="70" t="str">
        <f>IF(A226="","",INVENTARIO!E30)</f>
        <v/>
      </c>
      <c r="E226" s="71" t="str">
        <f>IF(A226="","",INVENTARIO!H30)</f>
        <v/>
      </c>
      <c r="G226" s="67" t="str">
        <f t="shared" si="3"/>
        <v/>
      </c>
    </row>
    <row r="227" ht="15.75" hidden="1" customHeight="1">
      <c r="A227" s="67" t="str">
        <f>IF(INVENTARIO!I31="CRÍTICO",INVENTARIO!A31,"")</f>
        <v/>
      </c>
      <c r="B227" s="67" t="str">
        <f>IF(A227="","",INVENTARIO!B31)</f>
        <v/>
      </c>
      <c r="C227" s="67" t="str">
        <f>IF(A227="","",INVENTARIO!C31)</f>
        <v/>
      </c>
      <c r="D227" s="67" t="str">
        <f>IF(A227="","",INVENTARIO!E31)</f>
        <v/>
      </c>
      <c r="E227" s="67" t="str">
        <f>IF(A227="","",INVENTARIO!H31)</f>
        <v/>
      </c>
      <c r="G227" s="67" t="str">
        <f t="shared" si="3"/>
        <v/>
      </c>
    </row>
    <row r="228" ht="15.75" hidden="1" customHeight="1">
      <c r="A228" s="67" t="str">
        <f>IF(INVENTARIO!I32="CRÍTICO",INVENTARIO!A32,"")</f>
        <v>OverShark</v>
      </c>
      <c r="B228" s="67" t="str">
        <f>IF(A228="","",INVENTARIO!B32)</f>
        <v>pique 30/1</v>
      </c>
      <c r="C228" s="67" t="str">
        <f>IF(A228="","",INVENTARIO!C32)</f>
        <v>Cemento</v>
      </c>
      <c r="D228" s="68">
        <f>IF(A228="","",INVENTARIO!E32)</f>
        <v>3</v>
      </c>
      <c r="E228" s="69">
        <f>IF(A228="","",INVENTARIO!H32)</f>
        <v>1260</v>
      </c>
      <c r="G228" s="67">
        <f t="shared" si="3"/>
        <v>3</v>
      </c>
    </row>
    <row r="229" ht="15.75" hidden="1" customHeight="1">
      <c r="A229" s="67" t="str">
        <f>IF(INVENTARIO!I33="CRÍTICO",INVENTARIO!A33,"")</f>
        <v/>
      </c>
      <c r="B229" s="67" t="str">
        <f>IF(A229="","",INVENTARIO!B33)</f>
        <v/>
      </c>
      <c r="C229" s="67" t="str">
        <f>IF(A229="","",INVENTARIO!C33)</f>
        <v/>
      </c>
      <c r="D229" s="67" t="str">
        <f>IF(A229="","",INVENTARIO!E33)</f>
        <v/>
      </c>
      <c r="E229" s="67" t="str">
        <f>IF(A229="","",INVENTARIO!H33)</f>
        <v/>
      </c>
      <c r="G229" s="67" t="str">
        <f t="shared" si="3"/>
        <v/>
      </c>
    </row>
    <row r="230" ht="15.75" hidden="1" customHeight="1">
      <c r="A230" s="67" t="str">
        <f>IF(INVENTARIO!I34="CRÍTICO",INVENTARIO!A34,"")</f>
        <v/>
      </c>
      <c r="B230" s="67" t="str">
        <f>IF(A230="","",INVENTARIO!B34)</f>
        <v/>
      </c>
      <c r="C230" s="67" t="str">
        <f>IF(A230="","",INVENTARIO!C34)</f>
        <v/>
      </c>
      <c r="D230" s="67" t="str">
        <f>IF(A230="","",INVENTARIO!E34)</f>
        <v/>
      </c>
      <c r="E230" s="67" t="str">
        <f>IF(A230="","",INVENTARIO!H34)</f>
        <v/>
      </c>
      <c r="G230" s="67" t="str">
        <f t="shared" si="3"/>
        <v/>
      </c>
    </row>
    <row r="231" ht="15.75" hidden="1" customHeight="1">
      <c r="A231" s="67" t="str">
        <f>IF(INVENTARIO!I35="CRÍTICO",INVENTARIO!A35,"")</f>
        <v/>
      </c>
      <c r="B231" s="67" t="str">
        <f>IF(A231="","",INVENTARIO!B35)</f>
        <v/>
      </c>
      <c r="C231" s="67" t="str">
        <f>IF(A231="","",INVENTARIO!C35)</f>
        <v/>
      </c>
      <c r="D231" s="67" t="str">
        <f>IF(A231="","",INVENTARIO!E35)</f>
        <v/>
      </c>
      <c r="E231" s="67" t="str">
        <f>IF(A231="","",INVENTARIO!H35)</f>
        <v/>
      </c>
      <c r="G231" s="67" t="str">
        <f t="shared" si="3"/>
        <v/>
      </c>
    </row>
    <row r="232" ht="15.75" hidden="1" customHeight="1">
      <c r="A232" s="67" t="str">
        <f>IF(INVENTARIO!I36="CRÍTICO",INVENTARIO!A36,"")</f>
        <v/>
      </c>
      <c r="B232" s="67" t="str">
        <f>IF(A232="","",INVENTARIO!B36)</f>
        <v/>
      </c>
      <c r="C232" s="67" t="str">
        <f>IF(A232="","",INVENTARIO!C36)</f>
        <v/>
      </c>
      <c r="D232" s="70" t="str">
        <f>IF(A232="","",INVENTARIO!E36)</f>
        <v/>
      </c>
      <c r="E232" s="71" t="str">
        <f>IF(A232="","",INVENTARIO!H36)</f>
        <v/>
      </c>
      <c r="G232" s="67" t="str">
        <f t="shared" si="3"/>
        <v/>
      </c>
    </row>
    <row r="233" ht="15.75" hidden="1" customHeight="1">
      <c r="A233" s="67" t="str">
        <f>IF(INVENTARIO!I37="CRÍTICO",INVENTARIO!A37,"")</f>
        <v/>
      </c>
      <c r="B233" s="67" t="str">
        <f>IF(A233="","",INVENTARIO!B37)</f>
        <v/>
      </c>
      <c r="C233" s="67" t="str">
        <f>IF(A233="","",INVENTARIO!C37)</f>
        <v/>
      </c>
      <c r="D233" s="70" t="str">
        <f>IF(A233="","",INVENTARIO!E37)</f>
        <v/>
      </c>
      <c r="E233" s="71" t="str">
        <f>IF(A233="","",INVENTARIO!H37)</f>
        <v/>
      </c>
      <c r="G233" s="67" t="str">
        <f t="shared" si="3"/>
        <v/>
      </c>
    </row>
    <row r="234" ht="15.75" hidden="1" customHeight="1">
      <c r="A234" s="67" t="str">
        <f>IF(INVENTARIO!I38="CRÍTICO",INVENTARIO!A38,"")</f>
        <v/>
      </c>
      <c r="B234" s="67" t="str">
        <f>IF(A234="","",INVENTARIO!B38)</f>
        <v/>
      </c>
      <c r="C234" s="67" t="str">
        <f>IF(A234="","",INVENTARIO!C38)</f>
        <v/>
      </c>
      <c r="D234" s="67" t="str">
        <f>IF(A234="","",INVENTARIO!E38)</f>
        <v/>
      </c>
      <c r="E234" s="67" t="str">
        <f>IF(A234="","",INVENTARIO!H38)</f>
        <v/>
      </c>
      <c r="G234" s="67" t="str">
        <f t="shared" si="3"/>
        <v/>
      </c>
    </row>
    <row r="235" ht="15.75" hidden="1" customHeight="1">
      <c r="A235" s="67" t="str">
        <f>IF(INVENTARIO!I39="CRÍTICO",INVENTARIO!A39,"")</f>
        <v/>
      </c>
      <c r="B235" s="67" t="str">
        <f>IF(A235="","",INVENTARIO!B39)</f>
        <v/>
      </c>
      <c r="C235" s="67" t="str">
        <f>IF(A235="","",INVENTARIO!C39)</f>
        <v/>
      </c>
      <c r="D235" s="67" t="str">
        <f>IF(A235="","",INVENTARIO!E39)</f>
        <v/>
      </c>
      <c r="E235" s="67" t="str">
        <f>IF(A235="","",INVENTARIO!H39)</f>
        <v/>
      </c>
      <c r="G235" s="67" t="str">
        <f t="shared" si="3"/>
        <v/>
      </c>
    </row>
    <row r="236" ht="15.75" hidden="1" customHeight="1">
      <c r="A236" s="67" t="str">
        <f>IF(INVENTARIO!I40="CRÍTICO",INVENTARIO!A40,"")</f>
        <v/>
      </c>
      <c r="B236" s="67" t="str">
        <f>IF(A236="","",INVENTARIO!B40)</f>
        <v/>
      </c>
      <c r="C236" s="67" t="str">
        <f>IF(A236="","",INVENTARIO!C40)</f>
        <v/>
      </c>
      <c r="D236" s="67" t="str">
        <f>IF(A236="","",INVENTARIO!E40)</f>
        <v/>
      </c>
      <c r="E236" s="67" t="str">
        <f>IF(A236="","",INVENTARIO!H40)</f>
        <v/>
      </c>
      <c r="G236" s="67" t="str">
        <f t="shared" si="3"/>
        <v/>
      </c>
    </row>
    <row r="237" ht="15.75" hidden="1" customHeight="1">
      <c r="A237" s="67" t="str">
        <f>IF(INVENTARIO!I41="CRÍTICO",INVENTARIO!A41,"")</f>
        <v/>
      </c>
      <c r="B237" s="67" t="str">
        <f>IF(A237="","",INVENTARIO!B41)</f>
        <v/>
      </c>
      <c r="C237" s="67" t="str">
        <f>IF(A237="","",INVENTARIO!C41)</f>
        <v/>
      </c>
      <c r="D237" s="67" t="str">
        <f>IF(A237="","",INVENTARIO!E41)</f>
        <v/>
      </c>
      <c r="E237" s="67" t="str">
        <f>IF(A237="","",INVENTARIO!H41)</f>
        <v/>
      </c>
      <c r="G237" s="67" t="str">
        <f t="shared" si="3"/>
        <v/>
      </c>
    </row>
    <row r="238" ht="15.75" hidden="1" customHeight="1">
      <c r="A238" s="67" t="str">
        <f>IF(INVENTARIO!I42="CRÍTICO",INVENTARIO!A42,"")</f>
        <v/>
      </c>
      <c r="B238" s="67" t="str">
        <f>IF(A238="","",INVENTARIO!B42)</f>
        <v/>
      </c>
      <c r="C238" s="67" t="str">
        <f>IF(A238="","",INVENTARIO!C42)</f>
        <v/>
      </c>
      <c r="D238" s="67" t="str">
        <f>IF(A238="","",INVENTARIO!E42)</f>
        <v/>
      </c>
      <c r="E238" s="67" t="str">
        <f>IF(A238="","",INVENTARIO!H42)</f>
        <v/>
      </c>
      <c r="G238" s="67" t="str">
        <f t="shared" si="3"/>
        <v/>
      </c>
    </row>
    <row r="239" ht="15.75" hidden="1" customHeight="1">
      <c r="A239" s="67" t="str">
        <f>IF(INVENTARIO!I43="CRÍTICO",INVENTARIO!A43,"")</f>
        <v/>
      </c>
      <c r="B239" s="67" t="str">
        <f>IF(A239="","",INVENTARIO!B43)</f>
        <v/>
      </c>
      <c r="C239" s="67" t="str">
        <f>IF(A239="","",INVENTARIO!C43)</f>
        <v/>
      </c>
      <c r="D239" s="67" t="str">
        <f>IF(A239="","",INVENTARIO!E43)</f>
        <v/>
      </c>
      <c r="E239" s="67" t="str">
        <f>IF(A239="","",INVENTARIO!H43)</f>
        <v/>
      </c>
      <c r="G239" s="67" t="str">
        <f t="shared" si="3"/>
        <v/>
      </c>
    </row>
    <row r="240" ht="15.75" hidden="1" customHeight="1">
      <c r="A240" s="67" t="str">
        <f>IF(INVENTARIO!I44="CRÍTICO",INVENTARIO!A44,"")</f>
        <v/>
      </c>
      <c r="B240" s="67" t="str">
        <f>IF(A240="","",INVENTARIO!B44)</f>
        <v/>
      </c>
      <c r="C240" s="67" t="str">
        <f>IF(A240="","",INVENTARIO!C44)</f>
        <v/>
      </c>
      <c r="D240" s="67" t="str">
        <f>IF(A240="","",INVENTARIO!E44)</f>
        <v/>
      </c>
      <c r="E240" s="67" t="str">
        <f>IF(A240="","",INVENTARIO!H44)</f>
        <v/>
      </c>
      <c r="G240" s="67" t="str">
        <f t="shared" si="3"/>
        <v/>
      </c>
    </row>
    <row r="241" ht="15.75" hidden="1" customHeight="1">
      <c r="A241" s="67" t="str">
        <f>IF(INVENTARIO!I45="CRÍTICO",INVENTARIO!A45,"")</f>
        <v/>
      </c>
      <c r="B241" s="67" t="str">
        <f>IF(A241="","",INVENTARIO!B45)</f>
        <v/>
      </c>
      <c r="C241" s="67" t="str">
        <f>IF(A241="","",INVENTARIO!C45)</f>
        <v/>
      </c>
      <c r="D241" s="67" t="str">
        <f>IF(A241="","",INVENTARIO!E45)</f>
        <v/>
      </c>
      <c r="E241" s="67" t="str">
        <f>IF(A241="","",INVENTARIO!H45)</f>
        <v/>
      </c>
      <c r="G241" s="67" t="str">
        <f t="shared" si="3"/>
        <v/>
      </c>
    </row>
    <row r="242" ht="15.75" hidden="1" customHeight="1">
      <c r="A242" s="67" t="str">
        <f>IF(INVENTARIO!I46="CRÍTICO",INVENTARIO!A46,"")</f>
        <v/>
      </c>
      <c r="B242" s="67" t="str">
        <f>IF(A242="","",INVENTARIO!B46)</f>
        <v/>
      </c>
      <c r="C242" s="67" t="str">
        <f>IF(A242="","",INVENTARIO!C46)</f>
        <v/>
      </c>
      <c r="D242" s="67" t="str">
        <f>IF(A242="","",INVENTARIO!E46)</f>
        <v/>
      </c>
      <c r="E242" s="67" t="str">
        <f>IF(A242="","",INVENTARIO!H46)</f>
        <v/>
      </c>
      <c r="G242" s="67" t="str">
        <f t="shared" si="3"/>
        <v/>
      </c>
    </row>
    <row r="243" ht="15.75" hidden="1" customHeight="1">
      <c r="A243" s="67" t="str">
        <f>IF(INVENTARIO!I47="CRÍTICO",INVENTARIO!A47,"")</f>
        <v/>
      </c>
      <c r="B243" s="67" t="str">
        <f>IF(A243="","",INVENTARIO!B47)</f>
        <v/>
      </c>
      <c r="C243" s="67" t="str">
        <f>IF(A243="","",INVENTARIO!C47)</f>
        <v/>
      </c>
      <c r="D243" s="67" t="str">
        <f>IF(A243="","",INVENTARIO!E47)</f>
        <v/>
      </c>
      <c r="E243" s="67" t="str">
        <f>IF(A243="","",INVENTARIO!H47)</f>
        <v/>
      </c>
      <c r="G243" s="67" t="str">
        <f t="shared" si="3"/>
        <v/>
      </c>
    </row>
    <row r="244" ht="15.75" hidden="1" customHeight="1">
      <c r="A244" s="67" t="str">
        <f>IF(INVENTARIO!I48="CRÍTICO",INVENTARIO!A48,"")</f>
        <v>OverShark</v>
      </c>
      <c r="B244" s="67" t="str">
        <f>IF(A244="","",INVENTARIO!B48)</f>
        <v>wafle 30/1</v>
      </c>
      <c r="C244" s="67" t="str">
        <f>IF(A244="","",INVENTARIO!C48)</f>
        <v>Beige</v>
      </c>
      <c r="D244" s="68">
        <f>IF(A244="","",INVENTARIO!E48)</f>
        <v>3</v>
      </c>
      <c r="E244" s="69">
        <f>IF(A244="","",INVENTARIO!H48)</f>
        <v>1350</v>
      </c>
      <c r="G244" s="67">
        <f t="shared" si="3"/>
        <v>4</v>
      </c>
    </row>
    <row r="245" ht="15.75" hidden="1" customHeight="1">
      <c r="A245" s="67" t="str">
        <f>IF(INVENTARIO!I49="CRÍTICO",INVENTARIO!A49,"")</f>
        <v/>
      </c>
      <c r="B245" s="67" t="str">
        <f>IF(A245="","",INVENTARIO!B49)</f>
        <v/>
      </c>
      <c r="C245" s="67" t="str">
        <f>IF(A245="","",INVENTARIO!C49)</f>
        <v/>
      </c>
      <c r="D245" s="67" t="str">
        <f>IF(A245="","",INVENTARIO!E49)</f>
        <v/>
      </c>
      <c r="E245" s="67" t="str">
        <f>IF(A245="","",INVENTARIO!H49)</f>
        <v/>
      </c>
      <c r="G245" s="67" t="str">
        <f t="shared" si="3"/>
        <v/>
      </c>
    </row>
    <row r="246" ht="15.75" hidden="1" customHeight="1">
      <c r="A246" s="67" t="str">
        <f>IF(INVENTARIO!I50="CRÍTICO",INVENTARIO!A50,"")</f>
        <v/>
      </c>
      <c r="B246" s="67" t="str">
        <f>IF(A246="","",INVENTARIO!B50)</f>
        <v/>
      </c>
      <c r="C246" s="67" t="str">
        <f>IF(A246="","",INVENTARIO!C50)</f>
        <v/>
      </c>
      <c r="D246" s="67" t="str">
        <f>IF(A246="","",INVENTARIO!E50)</f>
        <v/>
      </c>
      <c r="E246" s="67" t="str">
        <f>IF(A246="","",INVENTARIO!H50)</f>
        <v/>
      </c>
      <c r="G246" s="67" t="str">
        <f t="shared" si="3"/>
        <v/>
      </c>
    </row>
    <row r="247" ht="15.75" hidden="1" customHeight="1">
      <c r="A247" s="67" t="str">
        <f>IF(INVENTARIO!I51="CRÍTICO",INVENTARIO!A51,"")</f>
        <v/>
      </c>
      <c r="B247" s="67" t="str">
        <f>IF(A247="","",INVENTARIO!B51)</f>
        <v/>
      </c>
      <c r="C247" s="67" t="str">
        <f>IF(A247="","",INVENTARIO!C51)</f>
        <v/>
      </c>
      <c r="D247" s="67" t="str">
        <f>IF(A247="","",INVENTARIO!E51)</f>
        <v/>
      </c>
      <c r="E247" s="67" t="str">
        <f>IF(A247="","",INVENTARIO!H51)</f>
        <v/>
      </c>
      <c r="G247" s="67" t="str">
        <f t="shared" si="3"/>
        <v/>
      </c>
    </row>
    <row r="248" ht="15.75" hidden="1" customHeight="1">
      <c r="A248" s="67" t="str">
        <f>IF(INVENTARIO!I52="CRÍTICO",INVENTARIO!A52,"")</f>
        <v/>
      </c>
      <c r="B248" s="67" t="str">
        <f>IF(A248="","",INVENTARIO!B52)</f>
        <v/>
      </c>
      <c r="C248" s="67" t="str">
        <f>IF(A248="","",INVENTARIO!C52)</f>
        <v/>
      </c>
      <c r="D248" s="67" t="str">
        <f>IF(A248="","",INVENTARIO!E52)</f>
        <v/>
      </c>
      <c r="E248" s="67" t="str">
        <f>IF(A248="","",INVENTARIO!H52)</f>
        <v/>
      </c>
      <c r="G248" s="67" t="str">
        <f t="shared" si="3"/>
        <v/>
      </c>
    </row>
    <row r="249" ht="15.75" hidden="1" customHeight="1">
      <c r="A249" s="67" t="str">
        <f>IF(INVENTARIO!I53="CRÍTICO",INVENTARIO!A53,"")</f>
        <v/>
      </c>
      <c r="B249" s="67" t="str">
        <f>IF(A249="","",INVENTARIO!B53)</f>
        <v/>
      </c>
      <c r="C249" s="67" t="str">
        <f>IF(A249="","",INVENTARIO!C53)</f>
        <v/>
      </c>
      <c r="D249" s="67" t="str">
        <f>IF(A249="","",INVENTARIO!E53)</f>
        <v/>
      </c>
      <c r="E249" s="67" t="str">
        <f>IF(A249="","",INVENTARIO!H53)</f>
        <v/>
      </c>
      <c r="G249" s="67" t="str">
        <f t="shared" si="3"/>
        <v/>
      </c>
    </row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>
      <c r="A300" s="67" t="str">
        <f>IFERROR(IF(TELAS!A4="","",TELAS!A4),"")</f>
        <v>jersey 30/1</v>
      </c>
      <c r="B300" s="67">
        <f>IF(A300="","",SUMIFS(MOVIMIENTOS!$G$4:$G$1000,MOVIMIENTOS!$D$4:$D$1000,A300,MOVIMIENTOS!$B$4:$B$1000,"A CORTE"))</f>
        <v>1760</v>
      </c>
      <c r="C300" s="67">
        <f>IF(A300="","",SUMIF(INVENTARIO!$B$4:$B$843,A300,INVENTARIO!$F$4:$F$843))</f>
        <v>2720</v>
      </c>
      <c r="D300" s="67">
        <f t="shared" ref="D300:D314" si="4">IFERROR(IF(A300="","",B300/(B300+C300)),0)</f>
        <v>0.3928571429</v>
      </c>
      <c r="E300" s="67">
        <f t="shared" ref="E300:E314" si="5">IF(A300="","",D300-ROW()/100000)</f>
        <v>0.3898571429</v>
      </c>
    </row>
    <row r="301" ht="15.75" hidden="1" customHeight="1">
      <c r="A301" s="67" t="str">
        <f>IFERROR(IF(TELAS!A5="","",IF(COUNTIF(TELAS!$A$4:A4,TELAS!A5)&gt;0,"",TELAS!A5)),"")</f>
        <v>pique 30/1</v>
      </c>
      <c r="B301" s="67">
        <f>IF(A301="","",SUMIFS(MOVIMIENTOS!$G$4:$G$1000,MOVIMIENTOS!$D$4:$D$1000,A301,MOVIMIENTOS!$B$4:$B$1000,"A CORTE"))</f>
        <v>760</v>
      </c>
      <c r="C301" s="67">
        <f>IF(A301="","",SUMIF(INVENTARIO!$B$4:$B$843,A301,INVENTARIO!$F$4:$F$843))</f>
        <v>1860</v>
      </c>
      <c r="D301" s="67">
        <f t="shared" si="4"/>
        <v>0.2900763359</v>
      </c>
      <c r="E301" s="67">
        <f t="shared" si="5"/>
        <v>0.2870663359</v>
      </c>
    </row>
    <row r="302" ht="15.75" hidden="1" customHeight="1">
      <c r="A302" s="67" t="str">
        <f>IFERROR(IF(TELAS!A6="","",IF(COUNTIF(TELAS!$A$4:A5,TELAS!A6)&gt;0,"",TELAS!A6)),"")</f>
        <v>wafle 30/1</v>
      </c>
      <c r="B302" s="67">
        <f>IF(A302="","",SUMIFS(MOVIMIENTOS!$G$4:$G$1000,MOVIMIENTOS!$D$4:$D$1000,A302,MOVIMIENTOS!$B$4:$B$1000,"A CORTE"))</f>
        <v>0</v>
      </c>
      <c r="C302" s="67">
        <f>IF(A302="","",SUMIF(INVENTARIO!$B$4:$B$843,A302,INVENTARIO!$F$4:$F$843))</f>
        <v>3760</v>
      </c>
      <c r="D302" s="67">
        <f t="shared" si="4"/>
        <v>0</v>
      </c>
      <c r="E302" s="67">
        <f t="shared" si="5"/>
        <v>-0.00302</v>
      </c>
    </row>
    <row r="303" ht="15.75" hidden="1" customHeight="1">
      <c r="A303" s="67" t="str">
        <f>IFERROR(IF(TELAS!A7="","",IF(COUNTIF(TELAS!$A$4:A6,TELAS!A7)&gt;0,"",TELAS!A7)),"")</f>
        <v>french terry 24/1</v>
      </c>
      <c r="B303" s="67">
        <f>IF(A303="","",SUMIFS(MOVIMIENTOS!$G$4:$G$1000,MOVIMIENTOS!$D$4:$D$1000,A303,MOVIMIENTOS!$B$4:$B$1000,"A CORTE"))</f>
        <v>760</v>
      </c>
      <c r="C303" s="67">
        <f>IF(A303="","",SUMIF(INVENTARIO!$B$4:$B$843,A303,INVENTARIO!$F$4:$F$843))</f>
        <v>620</v>
      </c>
      <c r="D303" s="67">
        <f t="shared" si="4"/>
        <v>0.5507246377</v>
      </c>
      <c r="E303" s="67">
        <f t="shared" si="5"/>
        <v>0.5476946377</v>
      </c>
    </row>
    <row r="304" ht="15.75" hidden="1" customHeight="1">
      <c r="A304" s="67" t="str">
        <f>IFERROR(IF(TELAS!A8="","",IF(COUNTIF(TELAS!$A$4:A7,TELAS!A8)&gt;0,"",TELAS!A8)),"")</f>
        <v>rib 1x1</v>
      </c>
      <c r="B304" s="67">
        <f>IF(A304="","",SUMIFS(MOVIMIENTOS!$G$4:$G$1000,MOVIMIENTOS!$D$4:$D$1000,A304,MOVIMIENTOS!$B$4:$B$1000,"A CORTE"))</f>
        <v>0</v>
      </c>
      <c r="C304" s="67">
        <f>IF(A304="","",SUMIF(INVENTARIO!$B$4:$B$843,A304,INVENTARIO!$F$4:$F$843))</f>
        <v>140</v>
      </c>
      <c r="D304" s="67">
        <f t="shared" si="4"/>
        <v>0</v>
      </c>
      <c r="E304" s="67">
        <f t="shared" si="5"/>
        <v>-0.00304</v>
      </c>
    </row>
    <row r="305" ht="15.75" hidden="1" customHeight="1">
      <c r="A305" s="67" t="str">
        <f>IFERROR(IF(TELAS!A9="","",IF(COUNTIF(TELAS!$A$4:A8,TELAS!A9)&gt;0,"",TELAS!A9)),"")</f>
        <v>rib 2x1 lycrado</v>
      </c>
      <c r="B305" s="67">
        <f>IF(A305="","",SUMIFS(MOVIMIENTOS!$G$4:$G$1000,MOVIMIENTOS!$D$4:$D$1000,A305,MOVIMIENTOS!$B$4:$B$1000,"A CORTE"))</f>
        <v>300</v>
      </c>
      <c r="C305" s="67">
        <f>IF(A305="","",SUMIF(INVENTARIO!$B$4:$B$843,A305,INVENTARIO!$F$4:$F$843))</f>
        <v>1400</v>
      </c>
      <c r="D305" s="67">
        <f t="shared" si="4"/>
        <v>0.1764705882</v>
      </c>
      <c r="E305" s="67">
        <f t="shared" si="5"/>
        <v>0.1734205882</v>
      </c>
    </row>
    <row r="306" ht="15.75" hidden="1" customHeight="1">
      <c r="A306" s="67" t="str">
        <f>IFERROR(IF(TELAS!A10="","",IF(COUNTIF(TELAS!$A$4:A9,TELAS!A10)&gt;0,"",TELAS!A10)),"")</f>
        <v>jersey full lycra 30/1</v>
      </c>
      <c r="B306" s="67">
        <f>IF(A306="","",SUMIFS(MOVIMIENTOS!$G$4:$G$1000,MOVIMIENTOS!$D$4:$D$1000,A306,MOVIMIENTOS!$B$4:$B$1000,"A CORTE"))</f>
        <v>0</v>
      </c>
      <c r="C306" s="67">
        <f>IF(A306="","",SUMIF(INVENTARIO!$B$4:$B$843,A306,INVENTARIO!$F$4:$F$843))</f>
        <v>1900</v>
      </c>
      <c r="D306" s="67">
        <f t="shared" si="4"/>
        <v>0</v>
      </c>
      <c r="E306" s="67">
        <f t="shared" si="5"/>
        <v>-0.00306</v>
      </c>
    </row>
    <row r="307" ht="15.75" hidden="1" customHeight="1">
      <c r="A307" s="67" t="str">
        <f>IFERROR(IF(TELAS!A11="","",IF(COUNTIF(TELAS!$A$4:A10,TELAS!A11)&gt;0,"",TELAS!A11)),"")</f>
        <v/>
      </c>
      <c r="B307" s="67" t="str">
        <f>IF(A307="","",SUMIFS(MOVIMIENTOS!$G$4:$G$1000,MOVIMIENTOS!$D$4:$D$1000,A307,MOVIMIENTOS!$B$4:$B$1000,"A CORTE"))</f>
        <v/>
      </c>
      <c r="C307" s="67" t="str">
        <f>IF(A307="","",SUMIF(INVENTARIO!$B$4:$B$843,A307,INVENTARIO!$F$4:$F$843))</f>
        <v/>
      </c>
      <c r="D307" s="67" t="str">
        <f t="shared" si="4"/>
        <v/>
      </c>
      <c r="E307" s="67" t="str">
        <f t="shared" si="5"/>
        <v/>
      </c>
    </row>
    <row r="308" ht="15.75" hidden="1" customHeight="1">
      <c r="A308" s="67" t="str">
        <f>IFERROR(IF(TELAS!A12="","",IF(COUNTIF(TELAS!$A$4:A11,TELAS!A12)&gt;0,"",TELAS!A12)),"")</f>
        <v/>
      </c>
      <c r="B308" s="67" t="str">
        <f>IF(A308="","",SUMIFS(MOVIMIENTOS!$G$4:$G$1000,MOVIMIENTOS!$D$4:$D$1000,A308,MOVIMIENTOS!$B$4:$B$1000,"A CORTE"))</f>
        <v/>
      </c>
      <c r="C308" s="67" t="str">
        <f>IF(A308="","",SUMIF(INVENTARIO!$B$4:$B$843,A308,INVENTARIO!$F$4:$F$843))</f>
        <v/>
      </c>
      <c r="D308" s="67" t="str">
        <f t="shared" si="4"/>
        <v/>
      </c>
      <c r="E308" s="67" t="str">
        <f t="shared" si="5"/>
        <v/>
      </c>
    </row>
    <row r="309" ht="15.75" hidden="1" customHeight="1">
      <c r="A309" s="67" t="str">
        <f>IFERROR(IF(TELAS!A13="","",IF(COUNTIF(TELAS!$A$4:A12,TELAS!A13)&gt;0,"",TELAS!A13)),"")</f>
        <v/>
      </c>
      <c r="B309" s="67" t="str">
        <f>IF(A309="","",SUMIFS(MOVIMIENTOS!$G$4:$G$1000,MOVIMIENTOS!$D$4:$D$1000,A309,MOVIMIENTOS!$B$4:$B$1000,"A CORTE"))</f>
        <v/>
      </c>
      <c r="C309" s="67" t="str">
        <f>IF(A309="","",SUMIF(INVENTARIO!$B$4:$B$843,A309,INVENTARIO!$F$4:$F$843))</f>
        <v/>
      </c>
      <c r="D309" s="67" t="str">
        <f t="shared" si="4"/>
        <v/>
      </c>
      <c r="E309" s="67" t="str">
        <f t="shared" si="5"/>
        <v/>
      </c>
    </row>
    <row r="310" ht="15.75" hidden="1" customHeight="1">
      <c r="A310" s="67" t="str">
        <f>IFERROR(IF(TELAS!A14="","",IF(COUNTIF(TELAS!$A$4:A13,TELAS!A14)&gt;0,"",TELAS!A14)),"")</f>
        <v/>
      </c>
      <c r="B310" s="67" t="str">
        <f>IF(A310="","",SUMIFS(MOVIMIENTOS!$G$4:$G$1000,MOVIMIENTOS!$D$4:$D$1000,A310,MOVIMIENTOS!$B$4:$B$1000,"A CORTE"))</f>
        <v/>
      </c>
      <c r="C310" s="67" t="str">
        <f>IF(A310="","",SUMIF(INVENTARIO!$B$4:$B$843,A310,INVENTARIO!$F$4:$F$843))</f>
        <v/>
      </c>
      <c r="D310" s="67" t="str">
        <f t="shared" si="4"/>
        <v/>
      </c>
      <c r="E310" s="67" t="str">
        <f t="shared" si="5"/>
        <v/>
      </c>
    </row>
    <row r="311" ht="15.75" hidden="1" customHeight="1">
      <c r="A311" s="67" t="str">
        <f>IFERROR(IF(TELAS!A15="","",IF(COUNTIF(TELAS!$A$4:A14,TELAS!A15)&gt;0,"",TELAS!A15)),"")</f>
        <v/>
      </c>
      <c r="B311" s="67" t="str">
        <f>IF(A311="","",SUMIFS(MOVIMIENTOS!$G$4:$G$1000,MOVIMIENTOS!$D$4:$D$1000,A311,MOVIMIENTOS!$B$4:$B$1000,"A CORTE"))</f>
        <v/>
      </c>
      <c r="C311" s="67" t="str">
        <f>IF(A311="","",SUMIF(INVENTARIO!$B$4:$B$843,A311,INVENTARIO!$F$4:$F$843))</f>
        <v/>
      </c>
      <c r="D311" s="67" t="str">
        <f t="shared" si="4"/>
        <v/>
      </c>
      <c r="E311" s="67" t="str">
        <f t="shared" si="5"/>
        <v/>
      </c>
    </row>
    <row r="312" ht="15.75" hidden="1" customHeight="1">
      <c r="A312" s="67" t="str">
        <f>IFERROR(IF(TELAS!A16="","",IF(COUNTIF(TELAS!$A$4:A15,TELAS!A16)&gt;0,"",TELAS!A16)),"")</f>
        <v/>
      </c>
      <c r="B312" s="67" t="str">
        <f>IF(A312="","",SUMIFS(MOVIMIENTOS!$G$4:$G$1000,MOVIMIENTOS!$D$4:$D$1000,A312,MOVIMIENTOS!$B$4:$B$1000,"A CORTE"))</f>
        <v/>
      </c>
      <c r="C312" s="67" t="str">
        <f>IF(A312="","",SUMIF(INVENTARIO!$B$4:$B$843,A312,INVENTARIO!$F$4:$F$843))</f>
        <v/>
      </c>
      <c r="D312" s="67" t="str">
        <f t="shared" si="4"/>
        <v/>
      </c>
      <c r="E312" s="67" t="str">
        <f t="shared" si="5"/>
        <v/>
      </c>
    </row>
    <row r="313" ht="15.75" hidden="1" customHeight="1">
      <c r="A313" s="67" t="str">
        <f>IFERROR(IF(TELAS!A17="","",IF(COUNTIF(TELAS!$A$4:A16,TELAS!A17)&gt;0,"",TELAS!A17)),"")</f>
        <v/>
      </c>
      <c r="B313" s="67" t="str">
        <f>IF(A313="","",SUMIFS(MOVIMIENTOS!$G$4:$G$1000,MOVIMIENTOS!$D$4:$D$1000,A313,MOVIMIENTOS!$B$4:$B$1000,"A CORTE"))</f>
        <v/>
      </c>
      <c r="C313" s="67" t="str">
        <f>IF(A313="","",SUMIF(INVENTARIO!$B$4:$B$843,A313,INVENTARIO!$F$4:$F$843))</f>
        <v/>
      </c>
      <c r="D313" s="67" t="str">
        <f t="shared" si="4"/>
        <v/>
      </c>
      <c r="E313" s="67" t="str">
        <f t="shared" si="5"/>
        <v/>
      </c>
    </row>
    <row r="314" ht="15.75" hidden="1" customHeight="1">
      <c r="A314" s="67" t="str">
        <f>IFERROR(IF(TELAS!A18="","",IF(COUNTIF(TELAS!$A$4:A17,TELAS!A18)&gt;0,"",TELAS!A18)),"")</f>
        <v/>
      </c>
      <c r="B314" s="67" t="str">
        <f>IF(A314="","",SUMIFS(MOVIMIENTOS!$G$4:$G$1000,MOVIMIENTOS!$D$4:$D$1000,A314,MOVIMIENTOS!$B$4:$B$1000,"A CORTE"))</f>
        <v/>
      </c>
      <c r="C314" s="67" t="str">
        <f>IF(A314="","",SUMIF(INVENTARIO!$B$4:$B$843,A314,INVENTARIO!$F$4:$F$843))</f>
        <v/>
      </c>
      <c r="D314" s="67" t="str">
        <f t="shared" si="4"/>
        <v/>
      </c>
      <c r="E314" s="67" t="str">
        <f t="shared" si="5"/>
        <v/>
      </c>
    </row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3:G3"/>
    <mergeCell ref="A11:G11"/>
    <mergeCell ref="A19:G1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14.0"/>
    <col customWidth="1" min="7" max="7" width="12.0"/>
    <col customWidth="1" min="8" max="8" width="16.0"/>
    <col customWidth="1" min="9" max="26" width="8.71"/>
  </cols>
  <sheetData>
    <row r="1" ht="27.75" customHeight="1">
      <c r="A1" s="72" t="s">
        <v>128</v>
      </c>
      <c r="B1" s="2"/>
      <c r="C1" s="2"/>
      <c r="D1" s="2"/>
      <c r="E1" s="2"/>
      <c r="F1" s="2"/>
      <c r="G1" s="2"/>
      <c r="H1" s="3"/>
    </row>
    <row r="3" ht="36.0" customHeight="1">
      <c r="A3" s="73" t="s">
        <v>129</v>
      </c>
      <c r="B3" s="73" t="s">
        <v>130</v>
      </c>
      <c r="C3" s="73" t="s">
        <v>131</v>
      </c>
      <c r="D3" s="74" t="s">
        <v>132</v>
      </c>
      <c r="E3" s="73" t="s">
        <v>133</v>
      </c>
      <c r="F3" s="73" t="s">
        <v>134</v>
      </c>
      <c r="G3" s="73" t="s">
        <v>135</v>
      </c>
      <c r="H3" s="73" t="s">
        <v>136</v>
      </c>
    </row>
    <row r="4">
      <c r="A4" s="75">
        <f>EOMONTH(TODAY(),-1)+1</f>
        <v>46143</v>
      </c>
      <c r="B4" s="76">
        <f>SUMIFS(MOVIMIENTOS!$G$4:$G$1000,MOVIMIENTOS!$B$4:$B$1000,"INGRESO",MOVIMIENTOS!$A$4:$A$1000,"&gt;="&amp;$A4,MOVIMIENTOS!$A$4:$A$1000,"&lt;="&amp;EOMONTH($A4,0))</f>
        <v>15080</v>
      </c>
      <c r="C4" s="76">
        <f>SUMIFS(MOVIMIENTOS!$G$4:$G$1000,MOVIMIENTOS!$B$4:$B$1000,"A CORTE",MOVIMIENTOS!$A$4:$A$1000,"&gt;="&amp;$A4,MOVIMIENTOS!$A$4:$A$1000,"&lt;="&amp;EOMONTH($A4,0))</f>
        <v>3120</v>
      </c>
      <c r="D4" s="76">
        <f>SUMIFS(MOVIMIENTOS!$G$4:$G$1000,MOVIMIENTOS!$B$4:$B$1000,"A REPROCESO",MOVIMIENTOS!$A$4:$A$1000,"&gt;="&amp;$A4,MOVIMIENTOS!$A$4:$A$1000,"&lt;="&amp;EOMONTH($A4,0))</f>
        <v>0</v>
      </c>
      <c r="E4" s="76">
        <f>SUMIFS(MOVIMIENTOS!$G$4:$G$1000,MOVIMIENTOS!$B$4:$B$1000,"MUESTRA",MOVIMIENTOS!$A$4:$A$1000,"&gt;="&amp;$A4,MOVIMIENTOS!$A$4:$A$1000,"&lt;="&amp;EOMONTH($A4,0))</f>
        <v>0</v>
      </c>
      <c r="F4" s="76">
        <f t="shared" ref="F4:F15" si="1">C4+D4+E4</f>
        <v>3120</v>
      </c>
      <c r="G4" s="77">
        <f t="shared" ref="G4:G15" si="2">B4-F4</f>
        <v>11960</v>
      </c>
      <c r="H4" s="78">
        <f>SUMIFS(MOVIMIENTOS!$J$4:$J$1000,MOVIMIENTOS!$B$4:$B$1000,"INGRESO",MOVIMIENTOS!$A$4:$A$1000,"&gt;="&amp;$A4,MOVIMIENTOS!$A$4:$A$1000,"&lt;="&amp;EOMONTH($A4,0))</f>
        <v>343110</v>
      </c>
    </row>
    <row r="5">
      <c r="A5" s="75">
        <f>EOMONTH(TODAY(),-2)+1</f>
        <v>46113</v>
      </c>
      <c r="B5" s="76">
        <f>SUMIFS(MOVIMIENTOS!$G$4:$G$1000,MOVIMIENTOS!$B$4:$B$1000,"INGRESO",MOVIMIENTOS!$A$4:$A$1000,"&gt;="&amp;$A5,MOVIMIENTOS!$A$4:$A$1000,"&lt;="&amp;EOMONTH($A5,0))</f>
        <v>3460</v>
      </c>
      <c r="C5" s="76">
        <f>SUMIFS(MOVIMIENTOS!$G$4:$G$1000,MOVIMIENTOS!$B$4:$B$1000,"A CORTE",MOVIMIENTOS!$A$4:$A$1000,"&gt;="&amp;$A5,MOVIMIENTOS!$A$4:$A$1000,"&lt;="&amp;EOMONTH($A5,0))</f>
        <v>460</v>
      </c>
      <c r="D5" s="76">
        <f>SUMIFS(MOVIMIENTOS!$G$4:$G$1000,MOVIMIENTOS!$B$4:$B$1000,"A REPROCESO",MOVIMIENTOS!$A$4:$A$1000,"&gt;="&amp;$A5,MOVIMIENTOS!$A$4:$A$1000,"&lt;="&amp;EOMONTH($A5,0))</f>
        <v>0</v>
      </c>
      <c r="E5" s="76">
        <f>SUMIFS(MOVIMIENTOS!$G$4:$G$1000,MOVIMIENTOS!$B$4:$B$1000,"MUESTRA",MOVIMIENTOS!$A$4:$A$1000,"&gt;="&amp;$A5,MOVIMIENTOS!$A$4:$A$1000,"&lt;="&amp;EOMONTH($A5,0))</f>
        <v>0</v>
      </c>
      <c r="F5" s="76">
        <f t="shared" si="1"/>
        <v>460</v>
      </c>
      <c r="G5" s="77">
        <f t="shared" si="2"/>
        <v>3000</v>
      </c>
      <c r="H5" s="78">
        <f>SUMIFS(MOVIMIENTOS!$J$4:$J$1000,MOVIMIENTOS!$B$4:$B$1000,"INGRESO",MOVIMIENTOS!$A$4:$A$1000,"&gt;="&amp;$A5,MOVIMIENTOS!$A$4:$A$1000,"&lt;="&amp;EOMONTH($A5,0))</f>
        <v>74220</v>
      </c>
    </row>
    <row r="6">
      <c r="A6" s="75">
        <f>EOMONTH(TODAY(),-3)+1</f>
        <v>46082</v>
      </c>
      <c r="B6" s="76">
        <f>SUMIFS(MOVIMIENTOS!$G$4:$G$1000,MOVIMIENTOS!$B$4:$B$1000,"INGRESO",MOVIMIENTOS!$A$4:$A$1000,"&gt;="&amp;$A6,MOVIMIENTOS!$A$4:$A$1000,"&lt;="&amp;EOMONTH($A6,0))</f>
        <v>0</v>
      </c>
      <c r="C6" s="76">
        <f>SUMIFS(MOVIMIENTOS!$G$4:$G$1000,MOVIMIENTOS!$B$4:$B$1000,"A CORTE",MOVIMIENTOS!$A$4:$A$1000,"&gt;="&amp;$A6,MOVIMIENTOS!$A$4:$A$1000,"&lt;="&amp;EOMONTH($A6,0))</f>
        <v>0</v>
      </c>
      <c r="D6" s="76">
        <f>SUMIFS(MOVIMIENTOS!$G$4:$G$1000,MOVIMIENTOS!$B$4:$B$1000,"A REPROCESO",MOVIMIENTOS!$A$4:$A$1000,"&gt;="&amp;$A6,MOVIMIENTOS!$A$4:$A$1000,"&lt;="&amp;EOMONTH($A6,0))</f>
        <v>0</v>
      </c>
      <c r="E6" s="76">
        <f>SUMIFS(MOVIMIENTOS!$G$4:$G$1000,MOVIMIENTOS!$B$4:$B$1000,"MUESTRA",MOVIMIENTOS!$A$4:$A$1000,"&gt;="&amp;$A6,MOVIMIENTOS!$A$4:$A$1000,"&lt;="&amp;EOMONTH($A6,0))</f>
        <v>0</v>
      </c>
      <c r="F6" s="76">
        <f t="shared" si="1"/>
        <v>0</v>
      </c>
      <c r="G6" s="77">
        <f t="shared" si="2"/>
        <v>0</v>
      </c>
      <c r="H6" s="78">
        <f>SUMIFS(MOVIMIENTOS!$J$4:$J$1000,MOVIMIENTOS!$B$4:$B$1000,"INGRESO",MOVIMIENTOS!$A$4:$A$1000,"&gt;="&amp;$A6,MOVIMIENTOS!$A$4:$A$1000,"&lt;="&amp;EOMONTH($A6,0))</f>
        <v>0</v>
      </c>
    </row>
    <row r="7">
      <c r="A7" s="75">
        <f>EOMONTH(TODAY(),-4)+1</f>
        <v>46054</v>
      </c>
      <c r="B7" s="76">
        <f>SUMIFS(MOVIMIENTOS!$G$4:$G$1000,MOVIMIENTOS!$B$4:$B$1000,"INGRESO",MOVIMIENTOS!$A$4:$A$1000,"&gt;="&amp;$A7,MOVIMIENTOS!$A$4:$A$1000,"&lt;="&amp;EOMONTH($A7,0))</f>
        <v>0</v>
      </c>
      <c r="C7" s="76">
        <f>SUMIFS(MOVIMIENTOS!$G$4:$G$1000,MOVIMIENTOS!$B$4:$B$1000,"A CORTE",MOVIMIENTOS!$A$4:$A$1000,"&gt;="&amp;$A7,MOVIMIENTOS!$A$4:$A$1000,"&lt;="&amp;EOMONTH($A7,0))</f>
        <v>0</v>
      </c>
      <c r="D7" s="76">
        <f>SUMIFS(MOVIMIENTOS!$G$4:$G$1000,MOVIMIENTOS!$B$4:$B$1000,"A REPROCESO",MOVIMIENTOS!$A$4:$A$1000,"&gt;="&amp;$A7,MOVIMIENTOS!$A$4:$A$1000,"&lt;="&amp;EOMONTH($A7,0))</f>
        <v>0</v>
      </c>
      <c r="E7" s="76">
        <f>SUMIFS(MOVIMIENTOS!$G$4:$G$1000,MOVIMIENTOS!$B$4:$B$1000,"MUESTRA",MOVIMIENTOS!$A$4:$A$1000,"&gt;="&amp;$A7,MOVIMIENTOS!$A$4:$A$1000,"&lt;="&amp;EOMONTH($A7,0))</f>
        <v>0</v>
      </c>
      <c r="F7" s="76">
        <f t="shared" si="1"/>
        <v>0</v>
      </c>
      <c r="G7" s="77">
        <f t="shared" si="2"/>
        <v>0</v>
      </c>
      <c r="H7" s="78">
        <f>SUMIFS(MOVIMIENTOS!$J$4:$J$1000,MOVIMIENTOS!$B$4:$B$1000,"INGRESO",MOVIMIENTOS!$A$4:$A$1000,"&gt;="&amp;$A7,MOVIMIENTOS!$A$4:$A$1000,"&lt;="&amp;EOMONTH($A7,0))</f>
        <v>0</v>
      </c>
    </row>
    <row r="8">
      <c r="A8" s="75">
        <f>EOMONTH(TODAY(),-5)+1</f>
        <v>46023</v>
      </c>
      <c r="B8" s="76">
        <f>SUMIFS(MOVIMIENTOS!$G$4:$G$1000,MOVIMIENTOS!$B$4:$B$1000,"INGRESO",MOVIMIENTOS!$A$4:$A$1000,"&gt;="&amp;$A8,MOVIMIENTOS!$A$4:$A$1000,"&lt;="&amp;EOMONTH($A8,0))</f>
        <v>0</v>
      </c>
      <c r="C8" s="76">
        <f>SUMIFS(MOVIMIENTOS!$G$4:$G$1000,MOVIMIENTOS!$B$4:$B$1000,"A CORTE",MOVIMIENTOS!$A$4:$A$1000,"&gt;="&amp;$A8,MOVIMIENTOS!$A$4:$A$1000,"&lt;="&amp;EOMONTH($A8,0))</f>
        <v>0</v>
      </c>
      <c r="D8" s="76">
        <f>SUMIFS(MOVIMIENTOS!$G$4:$G$1000,MOVIMIENTOS!$B$4:$B$1000,"A REPROCESO",MOVIMIENTOS!$A$4:$A$1000,"&gt;="&amp;$A8,MOVIMIENTOS!$A$4:$A$1000,"&lt;="&amp;EOMONTH($A8,0))</f>
        <v>0</v>
      </c>
      <c r="E8" s="76">
        <f>SUMIFS(MOVIMIENTOS!$G$4:$G$1000,MOVIMIENTOS!$B$4:$B$1000,"MUESTRA",MOVIMIENTOS!$A$4:$A$1000,"&gt;="&amp;$A8,MOVIMIENTOS!$A$4:$A$1000,"&lt;="&amp;EOMONTH($A8,0))</f>
        <v>0</v>
      </c>
      <c r="F8" s="76">
        <f t="shared" si="1"/>
        <v>0</v>
      </c>
      <c r="G8" s="77">
        <f t="shared" si="2"/>
        <v>0</v>
      </c>
      <c r="H8" s="78">
        <f>SUMIFS(MOVIMIENTOS!$J$4:$J$1000,MOVIMIENTOS!$B$4:$B$1000,"INGRESO",MOVIMIENTOS!$A$4:$A$1000,"&gt;="&amp;$A8,MOVIMIENTOS!$A$4:$A$1000,"&lt;="&amp;EOMONTH($A8,0))</f>
        <v>0</v>
      </c>
    </row>
    <row r="9">
      <c r="A9" s="75">
        <f>EOMONTH(TODAY(),-6)+1</f>
        <v>45992</v>
      </c>
      <c r="B9" s="76">
        <f>SUMIFS(MOVIMIENTOS!$G$4:$G$1000,MOVIMIENTOS!$B$4:$B$1000,"INGRESO",MOVIMIENTOS!$A$4:$A$1000,"&gt;="&amp;$A9,MOVIMIENTOS!$A$4:$A$1000,"&lt;="&amp;EOMONTH($A9,0))</f>
        <v>0</v>
      </c>
      <c r="C9" s="76">
        <f>SUMIFS(MOVIMIENTOS!$G$4:$G$1000,MOVIMIENTOS!$B$4:$B$1000,"A CORTE",MOVIMIENTOS!$A$4:$A$1000,"&gt;="&amp;$A9,MOVIMIENTOS!$A$4:$A$1000,"&lt;="&amp;EOMONTH($A9,0))</f>
        <v>0</v>
      </c>
      <c r="D9" s="76">
        <f>SUMIFS(MOVIMIENTOS!$G$4:$G$1000,MOVIMIENTOS!$B$4:$B$1000,"A REPROCESO",MOVIMIENTOS!$A$4:$A$1000,"&gt;="&amp;$A9,MOVIMIENTOS!$A$4:$A$1000,"&lt;="&amp;EOMONTH($A9,0))</f>
        <v>0</v>
      </c>
      <c r="E9" s="76">
        <f>SUMIFS(MOVIMIENTOS!$G$4:$G$1000,MOVIMIENTOS!$B$4:$B$1000,"MUESTRA",MOVIMIENTOS!$A$4:$A$1000,"&gt;="&amp;$A9,MOVIMIENTOS!$A$4:$A$1000,"&lt;="&amp;EOMONTH($A9,0))</f>
        <v>0</v>
      </c>
      <c r="F9" s="76">
        <f t="shared" si="1"/>
        <v>0</v>
      </c>
      <c r="G9" s="77">
        <f t="shared" si="2"/>
        <v>0</v>
      </c>
      <c r="H9" s="78">
        <f>SUMIFS(MOVIMIENTOS!$J$4:$J$1000,MOVIMIENTOS!$B$4:$B$1000,"INGRESO",MOVIMIENTOS!$A$4:$A$1000,"&gt;="&amp;$A9,MOVIMIENTOS!$A$4:$A$1000,"&lt;="&amp;EOMONTH($A9,0))</f>
        <v>0</v>
      </c>
    </row>
    <row r="10">
      <c r="A10" s="75">
        <f>EOMONTH(TODAY(),-7)+1</f>
        <v>45962</v>
      </c>
      <c r="B10" s="76">
        <f>SUMIFS(MOVIMIENTOS!$G$4:$G$1000,MOVIMIENTOS!$B$4:$B$1000,"INGRESO",MOVIMIENTOS!$A$4:$A$1000,"&gt;="&amp;$A10,MOVIMIENTOS!$A$4:$A$1000,"&lt;="&amp;EOMONTH($A10,0))</f>
        <v>0</v>
      </c>
      <c r="C10" s="76">
        <f>SUMIFS(MOVIMIENTOS!$G$4:$G$1000,MOVIMIENTOS!$B$4:$B$1000,"A CORTE",MOVIMIENTOS!$A$4:$A$1000,"&gt;="&amp;$A10,MOVIMIENTOS!$A$4:$A$1000,"&lt;="&amp;EOMONTH($A10,0))</f>
        <v>0</v>
      </c>
      <c r="D10" s="76">
        <f>SUMIFS(MOVIMIENTOS!$G$4:$G$1000,MOVIMIENTOS!$B$4:$B$1000,"A REPROCESO",MOVIMIENTOS!$A$4:$A$1000,"&gt;="&amp;$A10,MOVIMIENTOS!$A$4:$A$1000,"&lt;="&amp;EOMONTH($A10,0))</f>
        <v>0</v>
      </c>
      <c r="E10" s="76">
        <f>SUMIFS(MOVIMIENTOS!$G$4:$G$1000,MOVIMIENTOS!$B$4:$B$1000,"MUESTRA",MOVIMIENTOS!$A$4:$A$1000,"&gt;="&amp;$A10,MOVIMIENTOS!$A$4:$A$1000,"&lt;="&amp;EOMONTH($A10,0))</f>
        <v>0</v>
      </c>
      <c r="F10" s="76">
        <f t="shared" si="1"/>
        <v>0</v>
      </c>
      <c r="G10" s="77">
        <f t="shared" si="2"/>
        <v>0</v>
      </c>
      <c r="H10" s="78">
        <f>SUMIFS(MOVIMIENTOS!$J$4:$J$1000,MOVIMIENTOS!$B$4:$B$1000,"INGRESO",MOVIMIENTOS!$A$4:$A$1000,"&gt;="&amp;$A10,MOVIMIENTOS!$A$4:$A$1000,"&lt;="&amp;EOMONTH($A10,0))</f>
        <v>0</v>
      </c>
    </row>
    <row r="11">
      <c r="A11" s="75">
        <f>EOMONTH(TODAY(),-8)+1</f>
        <v>45931</v>
      </c>
      <c r="B11" s="76">
        <f>SUMIFS(MOVIMIENTOS!$G$4:$G$1000,MOVIMIENTOS!$B$4:$B$1000,"INGRESO",MOVIMIENTOS!$A$4:$A$1000,"&gt;="&amp;$A11,MOVIMIENTOS!$A$4:$A$1000,"&lt;="&amp;EOMONTH($A11,0))</f>
        <v>0</v>
      </c>
      <c r="C11" s="76">
        <f>SUMIFS(MOVIMIENTOS!$G$4:$G$1000,MOVIMIENTOS!$B$4:$B$1000,"A CORTE",MOVIMIENTOS!$A$4:$A$1000,"&gt;="&amp;$A11,MOVIMIENTOS!$A$4:$A$1000,"&lt;="&amp;EOMONTH($A11,0))</f>
        <v>0</v>
      </c>
      <c r="D11" s="76">
        <f>SUMIFS(MOVIMIENTOS!$G$4:$G$1000,MOVIMIENTOS!$B$4:$B$1000,"A REPROCESO",MOVIMIENTOS!$A$4:$A$1000,"&gt;="&amp;$A11,MOVIMIENTOS!$A$4:$A$1000,"&lt;="&amp;EOMONTH($A11,0))</f>
        <v>0</v>
      </c>
      <c r="E11" s="76">
        <f>SUMIFS(MOVIMIENTOS!$G$4:$G$1000,MOVIMIENTOS!$B$4:$B$1000,"MUESTRA",MOVIMIENTOS!$A$4:$A$1000,"&gt;="&amp;$A11,MOVIMIENTOS!$A$4:$A$1000,"&lt;="&amp;EOMONTH($A11,0))</f>
        <v>0</v>
      </c>
      <c r="F11" s="76">
        <f t="shared" si="1"/>
        <v>0</v>
      </c>
      <c r="G11" s="77">
        <f t="shared" si="2"/>
        <v>0</v>
      </c>
      <c r="H11" s="78">
        <f>SUMIFS(MOVIMIENTOS!$J$4:$J$1000,MOVIMIENTOS!$B$4:$B$1000,"INGRESO",MOVIMIENTOS!$A$4:$A$1000,"&gt;="&amp;$A11,MOVIMIENTOS!$A$4:$A$1000,"&lt;="&amp;EOMONTH($A11,0))</f>
        <v>0</v>
      </c>
    </row>
    <row r="12">
      <c r="A12" s="75">
        <f>EOMONTH(TODAY(),-9)+1</f>
        <v>45901</v>
      </c>
      <c r="B12" s="76">
        <f>SUMIFS(MOVIMIENTOS!$G$4:$G$1000,MOVIMIENTOS!$B$4:$B$1000,"INGRESO",MOVIMIENTOS!$A$4:$A$1000,"&gt;="&amp;$A12,MOVIMIENTOS!$A$4:$A$1000,"&lt;="&amp;EOMONTH($A12,0))</f>
        <v>0</v>
      </c>
      <c r="C12" s="76">
        <f>SUMIFS(MOVIMIENTOS!$G$4:$G$1000,MOVIMIENTOS!$B$4:$B$1000,"A CORTE",MOVIMIENTOS!$A$4:$A$1000,"&gt;="&amp;$A12,MOVIMIENTOS!$A$4:$A$1000,"&lt;="&amp;EOMONTH($A12,0))</f>
        <v>0</v>
      </c>
      <c r="D12" s="76">
        <f>SUMIFS(MOVIMIENTOS!$G$4:$G$1000,MOVIMIENTOS!$B$4:$B$1000,"A REPROCESO",MOVIMIENTOS!$A$4:$A$1000,"&gt;="&amp;$A12,MOVIMIENTOS!$A$4:$A$1000,"&lt;="&amp;EOMONTH($A12,0))</f>
        <v>0</v>
      </c>
      <c r="E12" s="76">
        <f>SUMIFS(MOVIMIENTOS!$G$4:$G$1000,MOVIMIENTOS!$B$4:$B$1000,"MUESTRA",MOVIMIENTOS!$A$4:$A$1000,"&gt;="&amp;$A12,MOVIMIENTOS!$A$4:$A$1000,"&lt;="&amp;EOMONTH($A12,0))</f>
        <v>0</v>
      </c>
      <c r="F12" s="76">
        <f t="shared" si="1"/>
        <v>0</v>
      </c>
      <c r="G12" s="77">
        <f t="shared" si="2"/>
        <v>0</v>
      </c>
      <c r="H12" s="78">
        <f>SUMIFS(MOVIMIENTOS!$J$4:$J$1000,MOVIMIENTOS!$B$4:$B$1000,"INGRESO",MOVIMIENTOS!$A$4:$A$1000,"&gt;="&amp;$A12,MOVIMIENTOS!$A$4:$A$1000,"&lt;="&amp;EOMONTH($A12,0))</f>
        <v>0</v>
      </c>
    </row>
    <row r="13">
      <c r="A13" s="75">
        <f>EOMONTH(TODAY(),-10)+1</f>
        <v>45870</v>
      </c>
      <c r="B13" s="76">
        <f>SUMIFS(MOVIMIENTOS!$G$4:$G$1000,MOVIMIENTOS!$B$4:$B$1000,"INGRESO",MOVIMIENTOS!$A$4:$A$1000,"&gt;="&amp;$A13,MOVIMIENTOS!$A$4:$A$1000,"&lt;="&amp;EOMONTH($A13,0))</f>
        <v>0</v>
      </c>
      <c r="C13" s="76">
        <f>SUMIFS(MOVIMIENTOS!$G$4:$G$1000,MOVIMIENTOS!$B$4:$B$1000,"A CORTE",MOVIMIENTOS!$A$4:$A$1000,"&gt;="&amp;$A13,MOVIMIENTOS!$A$4:$A$1000,"&lt;="&amp;EOMONTH($A13,0))</f>
        <v>0</v>
      </c>
      <c r="D13" s="76">
        <f>SUMIFS(MOVIMIENTOS!$G$4:$G$1000,MOVIMIENTOS!$B$4:$B$1000,"A REPROCESO",MOVIMIENTOS!$A$4:$A$1000,"&gt;="&amp;$A13,MOVIMIENTOS!$A$4:$A$1000,"&lt;="&amp;EOMONTH($A13,0))</f>
        <v>0</v>
      </c>
      <c r="E13" s="76">
        <f>SUMIFS(MOVIMIENTOS!$G$4:$G$1000,MOVIMIENTOS!$B$4:$B$1000,"MUESTRA",MOVIMIENTOS!$A$4:$A$1000,"&gt;="&amp;$A13,MOVIMIENTOS!$A$4:$A$1000,"&lt;="&amp;EOMONTH($A13,0))</f>
        <v>0</v>
      </c>
      <c r="F13" s="76">
        <f t="shared" si="1"/>
        <v>0</v>
      </c>
      <c r="G13" s="77">
        <f t="shared" si="2"/>
        <v>0</v>
      </c>
      <c r="H13" s="78">
        <f>SUMIFS(MOVIMIENTOS!$J$4:$J$1000,MOVIMIENTOS!$B$4:$B$1000,"INGRESO",MOVIMIENTOS!$A$4:$A$1000,"&gt;="&amp;$A13,MOVIMIENTOS!$A$4:$A$1000,"&lt;="&amp;EOMONTH($A13,0))</f>
        <v>0</v>
      </c>
    </row>
    <row r="14">
      <c r="A14" s="75">
        <f>EOMONTH(TODAY(),-11)+1</f>
        <v>45839</v>
      </c>
      <c r="B14" s="76">
        <f>SUMIFS(MOVIMIENTOS!$G$4:$G$1000,MOVIMIENTOS!$B$4:$B$1000,"INGRESO",MOVIMIENTOS!$A$4:$A$1000,"&gt;="&amp;$A14,MOVIMIENTOS!$A$4:$A$1000,"&lt;="&amp;EOMONTH($A14,0))</f>
        <v>0</v>
      </c>
      <c r="C14" s="76">
        <f>SUMIFS(MOVIMIENTOS!$G$4:$G$1000,MOVIMIENTOS!$B$4:$B$1000,"A CORTE",MOVIMIENTOS!$A$4:$A$1000,"&gt;="&amp;$A14,MOVIMIENTOS!$A$4:$A$1000,"&lt;="&amp;EOMONTH($A14,0))</f>
        <v>0</v>
      </c>
      <c r="D14" s="76">
        <f>SUMIFS(MOVIMIENTOS!$G$4:$G$1000,MOVIMIENTOS!$B$4:$B$1000,"A REPROCESO",MOVIMIENTOS!$A$4:$A$1000,"&gt;="&amp;$A14,MOVIMIENTOS!$A$4:$A$1000,"&lt;="&amp;EOMONTH($A14,0))</f>
        <v>0</v>
      </c>
      <c r="E14" s="76">
        <f>SUMIFS(MOVIMIENTOS!$G$4:$G$1000,MOVIMIENTOS!$B$4:$B$1000,"MUESTRA",MOVIMIENTOS!$A$4:$A$1000,"&gt;="&amp;$A14,MOVIMIENTOS!$A$4:$A$1000,"&lt;="&amp;EOMONTH($A14,0))</f>
        <v>0</v>
      </c>
      <c r="F14" s="76">
        <f t="shared" si="1"/>
        <v>0</v>
      </c>
      <c r="G14" s="77">
        <f t="shared" si="2"/>
        <v>0</v>
      </c>
      <c r="H14" s="78">
        <f>SUMIFS(MOVIMIENTOS!$J$4:$J$1000,MOVIMIENTOS!$B$4:$B$1000,"INGRESO",MOVIMIENTOS!$A$4:$A$1000,"&gt;="&amp;$A14,MOVIMIENTOS!$A$4:$A$1000,"&lt;="&amp;EOMONTH($A14,0))</f>
        <v>0</v>
      </c>
    </row>
    <row r="15">
      <c r="A15" s="75">
        <f>EOMONTH(TODAY(),-12)+1</f>
        <v>45809</v>
      </c>
      <c r="B15" s="76">
        <f>SUMIFS(MOVIMIENTOS!$G$4:$G$1000,MOVIMIENTOS!$B$4:$B$1000,"INGRESO",MOVIMIENTOS!$A$4:$A$1000,"&gt;="&amp;$A15,MOVIMIENTOS!$A$4:$A$1000,"&lt;="&amp;EOMONTH($A15,0))</f>
        <v>0</v>
      </c>
      <c r="C15" s="76">
        <f>SUMIFS(MOVIMIENTOS!$G$4:$G$1000,MOVIMIENTOS!$B$4:$B$1000,"A CORTE",MOVIMIENTOS!$A$4:$A$1000,"&gt;="&amp;$A15,MOVIMIENTOS!$A$4:$A$1000,"&lt;="&amp;EOMONTH($A15,0))</f>
        <v>0</v>
      </c>
      <c r="D15" s="76">
        <f>SUMIFS(MOVIMIENTOS!$G$4:$G$1000,MOVIMIENTOS!$B$4:$B$1000,"A REPROCESO",MOVIMIENTOS!$A$4:$A$1000,"&gt;="&amp;$A15,MOVIMIENTOS!$A$4:$A$1000,"&lt;="&amp;EOMONTH($A15,0))</f>
        <v>0</v>
      </c>
      <c r="E15" s="76">
        <f>SUMIFS(MOVIMIENTOS!$G$4:$G$1000,MOVIMIENTOS!$B$4:$B$1000,"MUESTRA",MOVIMIENTOS!$A$4:$A$1000,"&gt;="&amp;$A15,MOVIMIENTOS!$A$4:$A$1000,"&lt;="&amp;EOMONTH($A15,0))</f>
        <v>0</v>
      </c>
      <c r="F15" s="76">
        <f t="shared" si="1"/>
        <v>0</v>
      </c>
      <c r="G15" s="77">
        <f t="shared" si="2"/>
        <v>0</v>
      </c>
      <c r="H15" s="78">
        <f>SUMIFS(MOVIMIENTOS!$J$4:$J$1000,MOVIMIENTOS!$B$4:$B$1000,"INGRESO",MOVIMIENTOS!$A$4:$A$1000,"&gt;="&amp;$A15,MOVIMIENTOS!$A$4:$A$1000,"&lt;="&amp;EOMONTH($A15,0))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G4:G15">
    <cfRule type="cellIs" dxfId="5" priority="1" operator="greaterThan">
      <formula>0</formula>
    </cfRule>
  </conditionalFormatting>
  <conditionalFormatting sqref="G4:G15">
    <cfRule type="cellIs" dxfId="6" priority="2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8.0"/>
    <col customWidth="1" min="4" max="5" width="12.0"/>
    <col customWidth="1" min="6" max="6" width="14.0"/>
    <col customWidth="1" min="7" max="7" width="12.0"/>
    <col customWidth="1" min="8" max="26" width="8.71"/>
  </cols>
  <sheetData>
    <row r="1" ht="27.75" customHeight="1">
      <c r="A1" s="79" t="s">
        <v>137</v>
      </c>
      <c r="B1" s="2"/>
      <c r="C1" s="2"/>
      <c r="D1" s="2"/>
      <c r="E1" s="2"/>
      <c r="F1" s="2"/>
      <c r="G1" s="3"/>
    </row>
    <row r="2">
      <c r="A2" s="4" t="s">
        <v>138</v>
      </c>
    </row>
    <row r="3" ht="21.75" customHeight="1">
      <c r="A3" s="59" t="s">
        <v>4</v>
      </c>
      <c r="B3" s="59" t="s">
        <v>5</v>
      </c>
      <c r="C3" s="59" t="s">
        <v>6</v>
      </c>
      <c r="D3" s="59" t="s">
        <v>139</v>
      </c>
      <c r="E3" s="59" t="s">
        <v>140</v>
      </c>
      <c r="F3" s="59" t="s">
        <v>120</v>
      </c>
      <c r="G3" s="59" t="s">
        <v>141</v>
      </c>
    </row>
    <row r="4">
      <c r="A4" s="80" t="str">
        <f>IF(OR(INVENTARIO!I4="CRÍTICO",INVENTARIO!I4="BAJO"),INVENTARIO!A4,"")</f>
        <v>OverShark</v>
      </c>
      <c r="B4" s="80" t="str">
        <f>IF(A4="","",INVENTARIO!B4)</f>
        <v>jersey 30/1</v>
      </c>
      <c r="C4" s="60" t="str">
        <f>IF(A4="","",INVENTARIO!C4)</f>
        <v>Negro</v>
      </c>
      <c r="D4" s="60" t="str">
        <f>IF(A4="","",INVENTARIO!D4)</f>
        <v>OSCURO</v>
      </c>
      <c r="E4" s="45">
        <f>IF(A4="","",INVENTARIO!E4)</f>
        <v>14</v>
      </c>
      <c r="F4" s="62">
        <f>IF(A4="","",INVENTARIO!H4)</f>
        <v>6720</v>
      </c>
      <c r="G4" s="81" t="str">
        <f>IF(A4="","",INVENTARIO!I4)</f>
        <v>BAJO</v>
      </c>
    </row>
    <row r="5">
      <c r="A5" s="80" t="str">
        <f>IF(OR(INVENTARIO!I5="CRÍTICO",INVENTARIO!I5="BAJO"),INVENTARIO!A5,"")</f>
        <v/>
      </c>
      <c r="B5" s="80" t="str">
        <f>IF(A5="","",INVENTARIO!B5)</f>
        <v/>
      </c>
      <c r="C5" s="60" t="str">
        <f>IF(A5="","",INVENTARIO!C5)</f>
        <v/>
      </c>
      <c r="D5" s="60" t="str">
        <f>IF(A5="","",INVENTARIO!D5)</f>
        <v/>
      </c>
      <c r="E5" s="45" t="str">
        <f>IF(A5="","",INVENTARIO!E5)</f>
        <v/>
      </c>
      <c r="F5" s="62" t="str">
        <f>IF(A5="","",INVENTARIO!H5)</f>
        <v/>
      </c>
      <c r="G5" s="81" t="str">
        <f>IF(A5="","",INVENTARIO!I5)</f>
        <v/>
      </c>
    </row>
    <row r="6">
      <c r="A6" s="80" t="str">
        <f>IF(OR(INVENTARIO!I6="CRÍTICO",INVENTARIO!I6="BAJO"),INVENTARIO!A6,"")</f>
        <v/>
      </c>
      <c r="B6" s="80" t="str">
        <f>IF(A6="","",INVENTARIO!B6)</f>
        <v/>
      </c>
      <c r="C6" s="60" t="str">
        <f>IF(A6="","",INVENTARIO!C6)</f>
        <v/>
      </c>
      <c r="D6" s="60" t="str">
        <f>IF(A6="","",INVENTARIO!D6)</f>
        <v/>
      </c>
      <c r="E6" s="45" t="str">
        <f>IF(A6="","",INVENTARIO!E6)</f>
        <v/>
      </c>
      <c r="F6" s="62" t="str">
        <f>IF(A6="","",INVENTARIO!H6)</f>
        <v/>
      </c>
      <c r="G6" s="81" t="str">
        <f>IF(A6="","",INVENTARIO!I6)</f>
        <v/>
      </c>
    </row>
    <row r="7">
      <c r="A7" s="80" t="str">
        <f>IF(OR(INVENTARIO!I7="CRÍTICO",INVENTARIO!I7="BAJO"),INVENTARIO!A7,"")</f>
        <v>OverShark</v>
      </c>
      <c r="B7" s="80" t="str">
        <f>IF(A7="","",INVENTARIO!B7)</f>
        <v>jersey 30/1</v>
      </c>
      <c r="C7" s="60" t="str">
        <f>IF(A7="","",INVENTARIO!C7)</f>
        <v>Azul</v>
      </c>
      <c r="D7" s="60" t="str">
        <f>IF(A7="","",INVENTARIO!D7)</f>
        <v>OSCURO</v>
      </c>
      <c r="E7" s="45">
        <f>IF(A7="","",INVENTARIO!E7)</f>
        <v>6</v>
      </c>
      <c r="F7" s="62">
        <f>IF(A7="","",INVENTARIO!H7)</f>
        <v>2880</v>
      </c>
      <c r="G7" s="81" t="str">
        <f>IF(A7="","",INVENTARIO!I7)</f>
        <v>BAJO</v>
      </c>
    </row>
    <row r="8">
      <c r="A8" s="80" t="str">
        <f>IF(OR(INVENTARIO!I8="CRÍTICO",INVENTARIO!I8="BAJO"),INVENTARIO!A8,"")</f>
        <v>OverShark</v>
      </c>
      <c r="B8" s="80" t="str">
        <f>IF(A8="","",INVENTARIO!B8)</f>
        <v>jersey 30/1</v>
      </c>
      <c r="C8" s="60" t="str">
        <f>IF(A8="","",INVENTARIO!C8)</f>
        <v>Beige</v>
      </c>
      <c r="D8" s="60" t="str">
        <f>IF(A8="","",INVENTARIO!D8)</f>
        <v>CLARO</v>
      </c>
      <c r="E8" s="45">
        <f>IF(A8="","",INVENTARIO!E8)</f>
        <v>8</v>
      </c>
      <c r="F8" s="62">
        <f>IF(A8="","",INVENTARIO!H8)</f>
        <v>3360</v>
      </c>
      <c r="G8" s="81" t="str">
        <f>IF(A8="","",INVENTARIO!I8)</f>
        <v>BAJO</v>
      </c>
    </row>
    <row r="9">
      <c r="A9" s="80" t="str">
        <f>IF(OR(INVENTARIO!I9="CRÍTICO",INVENTARIO!I9="BAJO"),INVENTARIO!A9,"")</f>
        <v/>
      </c>
      <c r="B9" s="80" t="str">
        <f>IF(A9="","",INVENTARIO!B9)</f>
        <v/>
      </c>
      <c r="C9" s="60" t="str">
        <f>IF(A9="","",INVENTARIO!C9)</f>
        <v/>
      </c>
      <c r="D9" s="60" t="str">
        <f>IF(A9="","",INVENTARIO!D9)</f>
        <v/>
      </c>
      <c r="E9" s="45" t="str">
        <f>IF(A9="","",INVENTARIO!E9)</f>
        <v/>
      </c>
      <c r="F9" s="62" t="str">
        <f>IF(A9="","",INVENTARIO!H9)</f>
        <v/>
      </c>
      <c r="G9" s="81" t="str">
        <f>IF(A9="","",INVENTARIO!I9)</f>
        <v/>
      </c>
    </row>
    <row r="10">
      <c r="A10" s="80" t="str">
        <f>IF(OR(INVENTARIO!I10="CRÍTICO",INVENTARIO!I10="BAJO"),INVENTARIO!A10,"")</f>
        <v>OverShark</v>
      </c>
      <c r="B10" s="80" t="str">
        <f>IF(A10="","",INVENTARIO!B10)</f>
        <v>jersey 30/1</v>
      </c>
      <c r="C10" s="60" t="str">
        <f>IF(A10="","",INVENTARIO!C10)</f>
        <v>Botella</v>
      </c>
      <c r="D10" s="60" t="str">
        <f>IF(A10="","",INVENTARIO!D10)</f>
        <v>OSCURO</v>
      </c>
      <c r="E10" s="45">
        <f>IF(A10="","",INVENTARIO!E10)</f>
        <v>9</v>
      </c>
      <c r="F10" s="62">
        <f>IF(A10="","",INVENTARIO!H10)</f>
        <v>4320</v>
      </c>
      <c r="G10" s="81" t="str">
        <f>IF(A10="","",INVENTARIO!I10)</f>
        <v>BAJO</v>
      </c>
    </row>
    <row r="11">
      <c r="A11" s="80" t="str">
        <f>IF(OR(INVENTARIO!I11="CRÍTICO",INVENTARIO!I11="BAJO"),INVENTARIO!A11,"")</f>
        <v>OverShark</v>
      </c>
      <c r="B11" s="80" t="str">
        <f>IF(A11="","",INVENTARIO!B11)</f>
        <v>jersey 30/1</v>
      </c>
      <c r="C11" s="60" t="str">
        <f>IF(A11="","",INVENTARIO!C11)</f>
        <v>Pacay</v>
      </c>
      <c r="D11" s="60" t="str">
        <f>IF(A11="","",INVENTARIO!D11)</f>
        <v>CLARO</v>
      </c>
      <c r="E11" s="45">
        <f>IF(A11="","",INVENTARIO!E11)</f>
        <v>8</v>
      </c>
      <c r="F11" s="62">
        <f>IF(A11="","",INVENTARIO!H11)</f>
        <v>3360</v>
      </c>
      <c r="G11" s="81" t="str">
        <f>IF(A11="","",INVENTARIO!I11)</f>
        <v>BAJO</v>
      </c>
    </row>
    <row r="12">
      <c r="A12" s="80" t="str">
        <f>IF(OR(INVENTARIO!I12="CRÍTICO",INVENTARIO!I12="BAJO"),INVENTARIO!A12,"")</f>
        <v/>
      </c>
      <c r="B12" s="80" t="str">
        <f>IF(A12="","",INVENTARIO!B12)</f>
        <v/>
      </c>
      <c r="C12" s="60" t="str">
        <f>IF(A12="","",INVENTARIO!C12)</f>
        <v/>
      </c>
      <c r="D12" s="60" t="str">
        <f>IF(A12="","",INVENTARIO!D12)</f>
        <v/>
      </c>
      <c r="E12" s="45" t="str">
        <f>IF(A12="","",INVENTARIO!E12)</f>
        <v/>
      </c>
      <c r="F12" s="62" t="str">
        <f>IF(A12="","",INVENTARIO!H12)</f>
        <v/>
      </c>
      <c r="G12" s="81" t="str">
        <f>IF(A12="","",INVENTARIO!I12)</f>
        <v/>
      </c>
    </row>
    <row r="13">
      <c r="A13" s="80" t="str">
        <f>IF(OR(INVENTARIO!I13="CRÍTICO",INVENTARIO!I13="BAJO"),INVENTARIO!A13,"")</f>
        <v/>
      </c>
      <c r="B13" s="80" t="str">
        <f>IF(A13="","",INVENTARIO!B13)</f>
        <v/>
      </c>
      <c r="C13" s="60" t="str">
        <f>IF(A13="","",INVENTARIO!C13)</f>
        <v/>
      </c>
      <c r="D13" s="60" t="str">
        <f>IF(A13="","",INVENTARIO!D13)</f>
        <v/>
      </c>
      <c r="E13" s="45" t="str">
        <f>IF(A13="","",INVENTARIO!E13)</f>
        <v/>
      </c>
      <c r="F13" s="62" t="str">
        <f>IF(A13="","",INVENTARIO!H13)</f>
        <v/>
      </c>
      <c r="G13" s="81" t="str">
        <f>IF(A13="","",INVENTARIO!I13)</f>
        <v/>
      </c>
    </row>
    <row r="14">
      <c r="A14" s="80" t="str">
        <f>IF(OR(INVENTARIO!I14="CRÍTICO",INVENTARIO!I14="BAJO"),INVENTARIO!A14,"")</f>
        <v>OverShark</v>
      </c>
      <c r="B14" s="80" t="str">
        <f>IF(A14="","",INVENTARIO!B14)</f>
        <v>jersey 30/1</v>
      </c>
      <c r="C14" s="60" t="str">
        <f>IF(A14="","",INVENTARIO!C14)</f>
        <v>Denim</v>
      </c>
      <c r="D14" s="60" t="str">
        <f>IF(A14="","",INVENTARIO!D14)</f>
        <v>CLARO</v>
      </c>
      <c r="E14" s="45">
        <f>IF(A14="","",INVENTARIO!E14)</f>
        <v>7</v>
      </c>
      <c r="F14" s="62">
        <f>IF(A14="","",INVENTARIO!H14)</f>
        <v>2940</v>
      </c>
      <c r="G14" s="81" t="str">
        <f>IF(A14="","",INVENTARIO!I14)</f>
        <v>BAJO</v>
      </c>
    </row>
    <row r="15">
      <c r="A15" s="80" t="str">
        <f>IF(OR(INVENTARIO!I15="CRÍTICO",INVENTARIO!I15="BAJO"),INVENTARIO!A15,"")</f>
        <v>OverShark</v>
      </c>
      <c r="B15" s="80" t="str">
        <f>IF(A15="","",INVENTARIO!B15)</f>
        <v>jersey 30/1</v>
      </c>
      <c r="C15" s="60" t="str">
        <f>IF(A15="","",INVENTARIO!C15)</f>
        <v>Plomo</v>
      </c>
      <c r="D15" s="60" t="str">
        <f>IF(A15="","",INVENTARIO!D15)</f>
        <v>OSCURO</v>
      </c>
      <c r="E15" s="45">
        <f>IF(A15="","",INVENTARIO!E15)</f>
        <v>4</v>
      </c>
      <c r="F15" s="62">
        <f>IF(A15="","",INVENTARIO!H15)</f>
        <v>1920</v>
      </c>
      <c r="G15" s="81" t="str">
        <f>IF(A15="","",INVENTARIO!I15)</f>
        <v>CRÍTICO</v>
      </c>
    </row>
    <row r="16">
      <c r="A16" s="80" t="str">
        <f>IF(OR(INVENTARIO!I16="CRÍTICO",INVENTARIO!I16="BAJO"),INVENTARIO!A16,"")</f>
        <v/>
      </c>
      <c r="B16" s="80" t="str">
        <f>IF(A16="","",INVENTARIO!B16)</f>
        <v/>
      </c>
      <c r="C16" s="60" t="str">
        <f>IF(A16="","",INVENTARIO!C16)</f>
        <v/>
      </c>
      <c r="D16" s="60" t="str">
        <f>IF(A16="","",INVENTARIO!D16)</f>
        <v/>
      </c>
      <c r="E16" s="45" t="str">
        <f>IF(A16="","",INVENTARIO!E16)</f>
        <v/>
      </c>
      <c r="F16" s="62" t="str">
        <f>IF(A16="","",INVENTARIO!H16)</f>
        <v/>
      </c>
      <c r="G16" s="81" t="str">
        <f>IF(A16="","",INVENTARIO!I16)</f>
        <v/>
      </c>
    </row>
    <row r="17">
      <c r="A17" s="80" t="str">
        <f>IF(OR(INVENTARIO!I17="CRÍTICO",INVENTARIO!I17="BAJO"),INVENTARIO!A17,"")</f>
        <v>OverShark</v>
      </c>
      <c r="B17" s="80" t="str">
        <f>IF(A17="","",INVENTARIO!B17)</f>
        <v>jersey 30/1</v>
      </c>
      <c r="C17" s="60" t="str">
        <f>IF(A17="","",INVENTARIO!C17)</f>
        <v>Vino</v>
      </c>
      <c r="D17" s="60" t="str">
        <f>IF(A17="","",INVENTARIO!D17)</f>
        <v>OSCURO</v>
      </c>
      <c r="E17" s="45">
        <f>IF(A17="","",INVENTARIO!E17)</f>
        <v>5</v>
      </c>
      <c r="F17" s="62">
        <f>IF(A17="","",INVENTARIO!H17)</f>
        <v>2400</v>
      </c>
      <c r="G17" s="81" t="str">
        <f>IF(A17="","",INVENTARIO!I17)</f>
        <v>BAJO</v>
      </c>
    </row>
    <row r="18">
      <c r="A18" s="80" t="str">
        <f>IF(OR(INVENTARIO!I18="CRÍTICO",INVENTARIO!I18="BAJO"),INVENTARIO!A18,"")</f>
        <v/>
      </c>
      <c r="B18" s="80" t="str">
        <f>IF(A18="","",INVENTARIO!B18)</f>
        <v/>
      </c>
      <c r="C18" s="60" t="str">
        <f>IF(A18="","",INVENTARIO!C18)</f>
        <v/>
      </c>
      <c r="D18" s="60" t="str">
        <f>IF(A18="","",INVENTARIO!D18)</f>
        <v/>
      </c>
      <c r="E18" s="45" t="str">
        <f>IF(A18="","",INVENTARIO!E18)</f>
        <v/>
      </c>
      <c r="F18" s="62" t="str">
        <f>IF(A18="","",INVENTARIO!H18)</f>
        <v/>
      </c>
      <c r="G18" s="81" t="str">
        <f>IF(A18="","",INVENTARIO!I18)</f>
        <v/>
      </c>
    </row>
    <row r="19">
      <c r="A19" s="80" t="str">
        <f>IF(OR(INVENTARIO!I19="CRÍTICO",INVENTARIO!I19="BAJO"),INVENTARIO!A19,"")</f>
        <v/>
      </c>
      <c r="B19" s="80" t="str">
        <f>IF(A19="","",INVENTARIO!B19)</f>
        <v/>
      </c>
      <c r="C19" s="60" t="str">
        <f>IF(A19="","",INVENTARIO!C19)</f>
        <v/>
      </c>
      <c r="D19" s="60" t="str">
        <f>IF(A19="","",INVENTARIO!D19)</f>
        <v/>
      </c>
      <c r="E19" s="45" t="str">
        <f>IF(A19="","",INVENTARIO!E19)</f>
        <v/>
      </c>
      <c r="F19" s="62" t="str">
        <f>IF(A19="","",INVENTARIO!H19)</f>
        <v/>
      </c>
      <c r="G19" s="81" t="str">
        <f>IF(A19="","",INVENTARIO!I19)</f>
        <v/>
      </c>
    </row>
    <row r="20">
      <c r="A20" s="80" t="str">
        <f>IF(OR(INVENTARIO!I20="CRÍTICO",INVENTARIO!I20="BAJO"),INVENTARIO!A20,"")</f>
        <v/>
      </c>
      <c r="B20" s="80" t="str">
        <f>IF(A20="","",INVENTARIO!B20)</f>
        <v/>
      </c>
      <c r="C20" s="60" t="str">
        <f>IF(A20="","",INVENTARIO!C20)</f>
        <v/>
      </c>
      <c r="D20" s="60" t="str">
        <f>IF(A20="","",INVENTARIO!D20)</f>
        <v/>
      </c>
      <c r="E20" s="45" t="str">
        <f>IF(A20="","",INVENTARIO!E20)</f>
        <v/>
      </c>
      <c r="F20" s="62" t="str">
        <f>IF(A20="","",INVENTARIO!H20)</f>
        <v/>
      </c>
      <c r="G20" s="81" t="str">
        <f>IF(A20="","",INVENTARIO!I20)</f>
        <v/>
      </c>
    </row>
    <row r="21" ht="15.75" customHeight="1">
      <c r="A21" s="80" t="str">
        <f>IF(OR(INVENTARIO!I21="CRÍTICO",INVENTARIO!I21="BAJO"),INVENTARIO!A21,"")</f>
        <v/>
      </c>
      <c r="B21" s="80" t="str">
        <f>IF(A21="","",INVENTARIO!B21)</f>
        <v/>
      </c>
      <c r="C21" s="60" t="str">
        <f>IF(A21="","",INVENTARIO!C21)</f>
        <v/>
      </c>
      <c r="D21" s="60" t="str">
        <f>IF(A21="","",INVENTARIO!D21)</f>
        <v/>
      </c>
      <c r="E21" s="45" t="str">
        <f>IF(A21="","",INVENTARIO!E21)</f>
        <v/>
      </c>
      <c r="F21" s="62" t="str">
        <f>IF(A21="","",INVENTARIO!H21)</f>
        <v/>
      </c>
      <c r="G21" s="81" t="str">
        <f>IF(A21="","",INVENTARIO!I21)</f>
        <v/>
      </c>
    </row>
    <row r="22" ht="15.75" customHeight="1">
      <c r="A22" s="80" t="str">
        <f>IF(OR(INVENTARIO!I22="CRÍTICO",INVENTARIO!I22="BAJO"),INVENTARIO!A22,"")</f>
        <v/>
      </c>
      <c r="B22" s="80" t="str">
        <f>IF(A22="","",INVENTARIO!B22)</f>
        <v/>
      </c>
      <c r="C22" s="60" t="str">
        <f>IF(A22="","",INVENTARIO!C22)</f>
        <v/>
      </c>
      <c r="D22" s="60" t="str">
        <f>IF(A22="","",INVENTARIO!D22)</f>
        <v/>
      </c>
      <c r="E22" s="45" t="str">
        <f>IF(A22="","",INVENTARIO!E22)</f>
        <v/>
      </c>
      <c r="F22" s="62" t="str">
        <f>IF(A22="","",INVENTARIO!H22)</f>
        <v/>
      </c>
      <c r="G22" s="81" t="str">
        <f>IF(A22="","",INVENTARIO!I22)</f>
        <v/>
      </c>
    </row>
    <row r="23" ht="15.75" customHeight="1">
      <c r="A23" s="80" t="str">
        <f>IF(OR(INVENTARIO!I23="CRÍTICO",INVENTARIO!I23="BAJO"),INVENTARIO!A23,"")</f>
        <v/>
      </c>
      <c r="B23" s="80" t="str">
        <f>IF(A23="","",INVENTARIO!B23)</f>
        <v/>
      </c>
      <c r="C23" s="60" t="str">
        <f>IF(A23="","",INVENTARIO!C23)</f>
        <v/>
      </c>
      <c r="D23" s="60" t="str">
        <f>IF(A23="","",INVENTARIO!D23)</f>
        <v/>
      </c>
      <c r="E23" s="45" t="str">
        <f>IF(A23="","",INVENTARIO!E23)</f>
        <v/>
      </c>
      <c r="F23" s="62" t="str">
        <f>IF(A23="","",INVENTARIO!H23)</f>
        <v/>
      </c>
      <c r="G23" s="81" t="str">
        <f>IF(A23="","",INVENTARIO!I23)</f>
        <v/>
      </c>
    </row>
    <row r="24" ht="15.75" customHeight="1">
      <c r="A24" s="80" t="str">
        <f>IF(OR(INVENTARIO!I24="CRÍTICO",INVENTARIO!I24="BAJO"),INVENTARIO!A24,"")</f>
        <v/>
      </c>
      <c r="B24" s="80" t="str">
        <f>IF(A24="","",INVENTARIO!B24)</f>
        <v/>
      </c>
      <c r="C24" s="60" t="str">
        <f>IF(A24="","",INVENTARIO!C24)</f>
        <v/>
      </c>
      <c r="D24" s="60" t="str">
        <f>IF(A24="","",INVENTARIO!D24)</f>
        <v/>
      </c>
      <c r="E24" s="45" t="str">
        <f>IF(A24="","",INVENTARIO!E24)</f>
        <v/>
      </c>
      <c r="F24" s="62" t="str">
        <f>IF(A24="","",INVENTARIO!H24)</f>
        <v/>
      </c>
      <c r="G24" s="81" t="str">
        <f>IF(A24="","",INVENTARIO!I24)</f>
        <v/>
      </c>
    </row>
    <row r="25" ht="15.75" customHeight="1">
      <c r="A25" s="80" t="str">
        <f>IF(OR(INVENTARIO!I25="CRÍTICO",INVENTARIO!I25="BAJO"),INVENTARIO!A25,"")</f>
        <v/>
      </c>
      <c r="B25" s="80" t="str">
        <f>IF(A25="","",INVENTARIO!B25)</f>
        <v/>
      </c>
      <c r="C25" s="60" t="str">
        <f>IF(A25="","",INVENTARIO!C25)</f>
        <v/>
      </c>
      <c r="D25" s="60" t="str">
        <f>IF(A25="","",INVENTARIO!D25)</f>
        <v/>
      </c>
      <c r="E25" s="45" t="str">
        <f>IF(A25="","",INVENTARIO!E25)</f>
        <v/>
      </c>
      <c r="F25" s="62" t="str">
        <f>IF(A25="","",INVENTARIO!H25)</f>
        <v/>
      </c>
      <c r="G25" s="81" t="str">
        <f>IF(A25="","",INVENTARIO!I25)</f>
        <v/>
      </c>
    </row>
    <row r="26" ht="15.75" customHeight="1">
      <c r="A26" s="80" t="str">
        <f>IF(OR(INVENTARIO!I26="CRÍTICO",INVENTARIO!I26="BAJO"),INVENTARIO!A26,"")</f>
        <v/>
      </c>
      <c r="B26" s="80" t="str">
        <f>IF(A26="","",INVENTARIO!B26)</f>
        <v/>
      </c>
      <c r="C26" s="60" t="str">
        <f>IF(A26="","",INVENTARIO!C26)</f>
        <v/>
      </c>
      <c r="D26" s="60" t="str">
        <f>IF(A26="","",INVENTARIO!D26)</f>
        <v/>
      </c>
      <c r="E26" s="45" t="str">
        <f>IF(A26="","",INVENTARIO!E26)</f>
        <v/>
      </c>
      <c r="F26" s="62" t="str">
        <f>IF(A26="","",INVENTARIO!H26)</f>
        <v/>
      </c>
      <c r="G26" s="81" t="str">
        <f>IF(A26="","",INVENTARIO!I26)</f>
        <v/>
      </c>
    </row>
    <row r="27" ht="15.75" customHeight="1">
      <c r="A27" s="80" t="str">
        <f>IF(OR(INVENTARIO!I27="CRÍTICO",INVENTARIO!I27="BAJO"),INVENTARIO!A27,"")</f>
        <v>OverShark</v>
      </c>
      <c r="B27" s="80" t="str">
        <f>IF(A27="","",INVENTARIO!B27)</f>
        <v>pique 30/1</v>
      </c>
      <c r="C27" s="60" t="str">
        <f>IF(A27="","",INVENTARIO!C27)</f>
        <v>Azul</v>
      </c>
      <c r="D27" s="60" t="str">
        <f>IF(A27="","",INVENTARIO!D27)</f>
        <v>OSCURO</v>
      </c>
      <c r="E27" s="45">
        <f>IF(A27="","",INVENTARIO!E27)</f>
        <v>13</v>
      </c>
      <c r="F27" s="62">
        <f>IF(A27="","",INVENTARIO!H27)</f>
        <v>6240</v>
      </c>
      <c r="G27" s="81" t="str">
        <f>IF(A27="","",INVENTARIO!I27)</f>
        <v>BAJO</v>
      </c>
    </row>
    <row r="28" ht="15.75" customHeight="1">
      <c r="A28" s="80" t="str">
        <f>IF(OR(INVENTARIO!I28="CRÍTICO",INVENTARIO!I28="BAJO"),INVENTARIO!A28,"")</f>
        <v/>
      </c>
      <c r="B28" s="80" t="str">
        <f>IF(A28="","",INVENTARIO!B28)</f>
        <v/>
      </c>
      <c r="C28" s="60" t="str">
        <f>IF(A28="","",INVENTARIO!C28)</f>
        <v/>
      </c>
      <c r="D28" s="60" t="str">
        <f>IF(A28="","",INVENTARIO!D28)</f>
        <v/>
      </c>
      <c r="E28" s="45" t="str">
        <f>IF(A28="","",INVENTARIO!E28)</f>
        <v/>
      </c>
      <c r="F28" s="62" t="str">
        <f>IF(A28="","",INVENTARIO!H28)</f>
        <v/>
      </c>
      <c r="G28" s="81" t="str">
        <f>IF(A28="","",INVENTARIO!I28)</f>
        <v/>
      </c>
    </row>
    <row r="29" ht="15.75" customHeight="1">
      <c r="A29" s="80" t="str">
        <f>IF(OR(INVENTARIO!I29="CRÍTICO",INVENTARIO!I29="BAJO"),INVENTARIO!A29,"")</f>
        <v>OverShark</v>
      </c>
      <c r="B29" s="80" t="str">
        <f>IF(A29="","",INVENTARIO!B29)</f>
        <v>pique 30/1</v>
      </c>
      <c r="C29" s="60" t="str">
        <f>IF(A29="","",INVENTARIO!C29)</f>
        <v>Melange</v>
      </c>
      <c r="D29" s="60" t="str">
        <f>IF(A29="","",INVENTARIO!D29)</f>
        <v>MELANGE</v>
      </c>
      <c r="E29" s="45">
        <f>IF(A29="","",INVENTARIO!E29)</f>
        <v>3</v>
      </c>
      <c r="F29" s="62">
        <f>IF(A29="","",INVENTARIO!H29)</f>
        <v>1080</v>
      </c>
      <c r="G29" s="81" t="str">
        <f>IF(A29="","",INVENTARIO!I29)</f>
        <v>CRÍTICO</v>
      </c>
    </row>
    <row r="30" ht="15.75" customHeight="1">
      <c r="A30" s="80" t="str">
        <f>IF(OR(INVENTARIO!I30="CRÍTICO",INVENTARIO!I30="BAJO"),INVENTARIO!A30,"")</f>
        <v/>
      </c>
      <c r="B30" s="80" t="str">
        <f>IF(A30="","",INVENTARIO!B30)</f>
        <v/>
      </c>
      <c r="C30" s="60" t="str">
        <f>IF(A30="","",INVENTARIO!C30)</f>
        <v/>
      </c>
      <c r="D30" s="60" t="str">
        <f>IF(A30="","",INVENTARIO!D30)</f>
        <v/>
      </c>
      <c r="E30" s="45" t="str">
        <f>IF(A30="","",INVENTARIO!E30)</f>
        <v/>
      </c>
      <c r="F30" s="62" t="str">
        <f>IF(A30="","",INVENTARIO!H30)</f>
        <v/>
      </c>
      <c r="G30" s="81" t="str">
        <f>IF(A30="","",INVENTARIO!I30)</f>
        <v/>
      </c>
    </row>
    <row r="31" ht="15.75" customHeight="1">
      <c r="A31" s="80" t="str">
        <f>IF(OR(INVENTARIO!I31="CRÍTICO",INVENTARIO!I31="BAJO"),INVENTARIO!A31,"")</f>
        <v>OverShark</v>
      </c>
      <c r="B31" s="80" t="str">
        <f>IF(A31="","",INVENTARIO!B31)</f>
        <v>pique 30/1</v>
      </c>
      <c r="C31" s="60" t="str">
        <f>IF(A31="","",INVENTARIO!C31)</f>
        <v>Pacay</v>
      </c>
      <c r="D31" s="60" t="str">
        <f>IF(A31="","",INVENTARIO!D31)</f>
        <v>CLARO</v>
      </c>
      <c r="E31" s="45">
        <f>IF(A31="","",INVENTARIO!E31)</f>
        <v>7</v>
      </c>
      <c r="F31" s="62">
        <f>IF(A31="","",INVENTARIO!H31)</f>
        <v>2940</v>
      </c>
      <c r="G31" s="81" t="str">
        <f>IF(A31="","",INVENTARIO!I31)</f>
        <v>BAJO</v>
      </c>
    </row>
    <row r="32" ht="15.75" customHeight="1">
      <c r="A32" s="80" t="str">
        <f>IF(OR(INVENTARIO!I32="CRÍTICO",INVENTARIO!I32="BAJO"),INVENTARIO!A32,"")</f>
        <v>OverShark</v>
      </c>
      <c r="B32" s="80" t="str">
        <f>IF(A32="","",INVENTARIO!B32)</f>
        <v>pique 30/1</v>
      </c>
      <c r="C32" s="60" t="str">
        <f>IF(A32="","",INVENTARIO!C32)</f>
        <v>Cemento</v>
      </c>
      <c r="D32" s="60" t="str">
        <f>IF(A32="","",INVENTARIO!D32)</f>
        <v>CLARO</v>
      </c>
      <c r="E32" s="45">
        <f>IF(A32="","",INVENTARIO!E32)</f>
        <v>3</v>
      </c>
      <c r="F32" s="62">
        <f>IF(A32="","",INVENTARIO!H32)</f>
        <v>1260</v>
      </c>
      <c r="G32" s="81" t="str">
        <f>IF(A32="","",INVENTARIO!I32)</f>
        <v>CRÍTICO</v>
      </c>
    </row>
    <row r="33" ht="15.75" customHeight="1">
      <c r="A33" s="80" t="str">
        <f>IF(OR(INVENTARIO!I33="CRÍTICO",INVENTARIO!I33="BAJO"),INVENTARIO!A33,"")</f>
        <v/>
      </c>
      <c r="B33" s="80" t="str">
        <f>IF(A33="","",INVENTARIO!B33)</f>
        <v/>
      </c>
      <c r="C33" s="60" t="str">
        <f>IF(A33="","",INVENTARIO!C33)</f>
        <v/>
      </c>
      <c r="D33" s="60" t="str">
        <f>IF(A33="","",INVENTARIO!D33)</f>
        <v/>
      </c>
      <c r="E33" s="45" t="str">
        <f>IF(A33="","",INVENTARIO!E33)</f>
        <v/>
      </c>
      <c r="F33" s="62" t="str">
        <f>IF(A33="","",INVENTARIO!H33)</f>
        <v/>
      </c>
      <c r="G33" s="81" t="str">
        <f>IF(A33="","",INVENTARIO!I33)</f>
        <v/>
      </c>
    </row>
    <row r="34" ht="15.75" customHeight="1">
      <c r="A34" s="80" t="str">
        <f>IF(OR(INVENTARIO!I34="CRÍTICO",INVENTARIO!I34="BAJO"),INVENTARIO!A34,"")</f>
        <v>OverShark</v>
      </c>
      <c r="B34" s="80" t="str">
        <f>IF(A34="","",INVENTARIO!B34)</f>
        <v>pique 30/1</v>
      </c>
      <c r="C34" s="60" t="str">
        <f>IF(A34="","",INVENTARIO!C34)</f>
        <v>Denim</v>
      </c>
      <c r="D34" s="60" t="str">
        <f>IF(A34="","",INVENTARIO!D34)</f>
        <v>CLARO</v>
      </c>
      <c r="E34" s="45">
        <f>IF(A34="","",INVENTARIO!E34)</f>
        <v>5</v>
      </c>
      <c r="F34" s="62">
        <f>IF(A34="","",INVENTARIO!H34)</f>
        <v>2100</v>
      </c>
      <c r="G34" s="81" t="str">
        <f>IF(A34="","",INVENTARIO!I34)</f>
        <v>BAJO</v>
      </c>
    </row>
    <row r="35" ht="15.75" customHeight="1">
      <c r="A35" s="80" t="str">
        <f>IF(OR(INVENTARIO!I35="CRÍTICO",INVENTARIO!I35="BAJO"),INVENTARIO!A35,"")</f>
        <v>OverShark</v>
      </c>
      <c r="B35" s="80" t="str">
        <f>IF(A35="","",INVENTARIO!B35)</f>
        <v>pique 30/1</v>
      </c>
      <c r="C35" s="60" t="str">
        <f>IF(A35="","",INVENTARIO!C35)</f>
        <v>Plomo</v>
      </c>
      <c r="D35" s="60" t="str">
        <f>IF(A35="","",INVENTARIO!D35)</f>
        <v>OSCURO</v>
      </c>
      <c r="E35" s="45">
        <f>IF(A35="","",INVENTARIO!E35)</f>
        <v>6</v>
      </c>
      <c r="F35" s="62">
        <f>IF(A35="","",INVENTARIO!H35)</f>
        <v>2880</v>
      </c>
      <c r="G35" s="81" t="str">
        <f>IF(A35="","",INVENTARIO!I35)</f>
        <v>BAJO</v>
      </c>
    </row>
    <row r="36" ht="15.75" customHeight="1">
      <c r="A36" s="80" t="str">
        <f>IF(OR(INVENTARIO!I36="CRÍTICO",INVENTARIO!I36="BAJO"),INVENTARIO!A36,"")</f>
        <v/>
      </c>
      <c r="B36" s="80" t="str">
        <f>IF(A36="","",INVENTARIO!B36)</f>
        <v/>
      </c>
      <c r="C36" s="60" t="str">
        <f>IF(A36="","",INVENTARIO!C36)</f>
        <v/>
      </c>
      <c r="D36" s="60" t="str">
        <f>IF(A36="","",INVENTARIO!D36)</f>
        <v/>
      </c>
      <c r="E36" s="45" t="str">
        <f>IF(A36="","",INVENTARIO!E36)</f>
        <v/>
      </c>
      <c r="F36" s="62" t="str">
        <f>IF(A36="","",INVENTARIO!H36)</f>
        <v/>
      </c>
      <c r="G36" s="81" t="str">
        <f>IF(A36="","",INVENTARIO!I36)</f>
        <v/>
      </c>
    </row>
    <row r="37" ht="15.75" customHeight="1">
      <c r="A37" s="80" t="str">
        <f>IF(OR(INVENTARIO!I37="CRÍTICO",INVENTARIO!I37="BAJO"),INVENTARIO!A37,"")</f>
        <v/>
      </c>
      <c r="B37" s="80" t="str">
        <f>IF(A37="","",INVENTARIO!B37)</f>
        <v/>
      </c>
      <c r="C37" s="60" t="str">
        <f>IF(A37="","",INVENTARIO!C37)</f>
        <v/>
      </c>
      <c r="D37" s="60" t="str">
        <f>IF(A37="","",INVENTARIO!D37)</f>
        <v/>
      </c>
      <c r="E37" s="45" t="str">
        <f>IF(A37="","",INVENTARIO!E37)</f>
        <v/>
      </c>
      <c r="F37" s="62" t="str">
        <f>IF(A37="","",INVENTARIO!H37)</f>
        <v/>
      </c>
      <c r="G37" s="81" t="str">
        <f>IF(A37="","",INVENTARIO!I37)</f>
        <v/>
      </c>
    </row>
    <row r="38" ht="15.75" customHeight="1">
      <c r="A38" s="80" t="str">
        <f>IF(OR(INVENTARIO!I38="CRÍTICO",INVENTARIO!I38="BAJO"),INVENTARIO!A38,"")</f>
        <v>OverShark</v>
      </c>
      <c r="B38" s="80" t="str">
        <f>IF(A38="","",INVENTARIO!B38)</f>
        <v>pique 30/1</v>
      </c>
      <c r="C38" s="60" t="str">
        <f>IF(A38="","",INVENTARIO!C38)</f>
        <v>P. Rosa</v>
      </c>
      <c r="D38" s="60" t="str">
        <f>IF(A38="","",INVENTARIO!D38)</f>
        <v>CLARO</v>
      </c>
      <c r="E38" s="45">
        <f>IF(A38="","",INVENTARIO!E38)</f>
        <v>5</v>
      </c>
      <c r="F38" s="62">
        <f>IF(A38="","",INVENTARIO!H38)</f>
        <v>2100</v>
      </c>
      <c r="G38" s="81" t="str">
        <f>IF(A38="","",INVENTARIO!I38)</f>
        <v>BAJO</v>
      </c>
    </row>
    <row r="39" ht="15.75" customHeight="1">
      <c r="A39" s="80" t="str">
        <f>IF(OR(INVENTARIO!I39="CRÍTICO",INVENTARIO!I39="BAJO"),INVENTARIO!A39,"")</f>
        <v/>
      </c>
      <c r="B39" s="80" t="str">
        <f>IF(A39="","",INVENTARIO!B39)</f>
        <v/>
      </c>
      <c r="C39" s="60" t="str">
        <f>IF(A39="","",INVENTARIO!C39)</f>
        <v/>
      </c>
      <c r="D39" s="60" t="str">
        <f>IF(A39="","",INVENTARIO!D39)</f>
        <v/>
      </c>
      <c r="E39" s="45" t="str">
        <f>IF(A39="","",INVENTARIO!E39)</f>
        <v/>
      </c>
      <c r="F39" s="62" t="str">
        <f>IF(A39="","",INVENTARIO!H39)</f>
        <v/>
      </c>
      <c r="G39" s="81" t="str">
        <f>IF(A39="","",INVENTARIO!I39)</f>
        <v/>
      </c>
    </row>
    <row r="40" ht="15.75" customHeight="1">
      <c r="A40" s="80" t="str">
        <f>IF(OR(INVENTARIO!I40="CRÍTICO",INVENTARIO!I40="BAJO"),INVENTARIO!A40,"")</f>
        <v/>
      </c>
      <c r="B40" s="80" t="str">
        <f>IF(A40="","",INVENTARIO!B40)</f>
        <v/>
      </c>
      <c r="C40" s="60" t="str">
        <f>IF(A40="","",INVENTARIO!C40)</f>
        <v/>
      </c>
      <c r="D40" s="60" t="str">
        <f>IF(A40="","",INVENTARIO!D40)</f>
        <v/>
      </c>
      <c r="E40" s="45" t="str">
        <f>IF(A40="","",INVENTARIO!E40)</f>
        <v/>
      </c>
      <c r="F40" s="62" t="str">
        <f>IF(A40="","",INVENTARIO!H40)</f>
        <v/>
      </c>
      <c r="G40" s="81" t="str">
        <f>IF(A40="","",INVENTARIO!I40)</f>
        <v/>
      </c>
    </row>
    <row r="41" ht="15.75" customHeight="1">
      <c r="A41" s="80" t="str">
        <f>IF(OR(INVENTARIO!I41="CRÍTICO",INVENTARIO!I41="BAJO"),INVENTARIO!A41,"")</f>
        <v/>
      </c>
      <c r="B41" s="80" t="str">
        <f>IF(A41="","",INVENTARIO!B41)</f>
        <v/>
      </c>
      <c r="C41" s="60" t="str">
        <f>IF(A41="","",INVENTARIO!C41)</f>
        <v/>
      </c>
      <c r="D41" s="60" t="str">
        <f>IF(A41="","",INVENTARIO!D41)</f>
        <v/>
      </c>
      <c r="E41" s="45" t="str">
        <f>IF(A41="","",INVENTARIO!E41)</f>
        <v/>
      </c>
      <c r="F41" s="62" t="str">
        <f>IF(A41="","",INVENTARIO!H41)</f>
        <v/>
      </c>
      <c r="G41" s="81" t="str">
        <f>IF(A41="","",INVENTARIO!I41)</f>
        <v/>
      </c>
    </row>
    <row r="42" ht="15.75" customHeight="1">
      <c r="A42" s="80" t="str">
        <f>IF(OR(INVENTARIO!I42="CRÍTICO",INVENTARIO!I42="BAJO"),INVENTARIO!A42,"")</f>
        <v/>
      </c>
      <c r="B42" s="80" t="str">
        <f>IF(A42="","",INVENTARIO!B42)</f>
        <v/>
      </c>
      <c r="C42" s="60" t="str">
        <f>IF(A42="","",INVENTARIO!C42)</f>
        <v/>
      </c>
      <c r="D42" s="60" t="str">
        <f>IF(A42="","",INVENTARIO!D42)</f>
        <v/>
      </c>
      <c r="E42" s="45" t="str">
        <f>IF(A42="","",INVENTARIO!E42)</f>
        <v/>
      </c>
      <c r="F42" s="62" t="str">
        <f>IF(A42="","",INVENTARIO!H42)</f>
        <v/>
      </c>
      <c r="G42" s="81" t="str">
        <f>IF(A42="","",INVENTARIO!I42)</f>
        <v/>
      </c>
    </row>
    <row r="43" ht="15.75" customHeight="1">
      <c r="A43" s="80" t="str">
        <f>IF(OR(INVENTARIO!I43="CRÍTICO",INVENTARIO!I43="BAJO"),INVENTARIO!A43,"")</f>
        <v/>
      </c>
      <c r="B43" s="80" t="str">
        <f>IF(A43="","",INVENTARIO!B43)</f>
        <v/>
      </c>
      <c r="C43" s="60" t="str">
        <f>IF(A43="","",INVENTARIO!C43)</f>
        <v/>
      </c>
      <c r="D43" s="60" t="str">
        <f>IF(A43="","",INVENTARIO!D43)</f>
        <v/>
      </c>
      <c r="E43" s="45" t="str">
        <f>IF(A43="","",INVENTARIO!E43)</f>
        <v/>
      </c>
      <c r="F43" s="62" t="str">
        <f>IF(A43="","",INVENTARIO!H43)</f>
        <v/>
      </c>
      <c r="G43" s="81" t="str">
        <f>IF(A43="","",INVENTARIO!I43)</f>
        <v/>
      </c>
    </row>
    <row r="44" ht="15.75" customHeight="1">
      <c r="A44" s="80" t="str">
        <f>IF(OR(INVENTARIO!I44="CRÍTICO",INVENTARIO!I44="BAJO"),INVENTARIO!A44,"")</f>
        <v/>
      </c>
      <c r="B44" s="80" t="str">
        <f>IF(A44="","",INVENTARIO!B44)</f>
        <v/>
      </c>
      <c r="C44" s="60" t="str">
        <f>IF(A44="","",INVENTARIO!C44)</f>
        <v/>
      </c>
      <c r="D44" s="60" t="str">
        <f>IF(A44="","",INVENTARIO!D44)</f>
        <v/>
      </c>
      <c r="E44" s="45" t="str">
        <f>IF(A44="","",INVENTARIO!E44)</f>
        <v/>
      </c>
      <c r="F44" s="62" t="str">
        <f>IF(A44="","",INVENTARIO!H44)</f>
        <v/>
      </c>
      <c r="G44" s="81" t="str">
        <f>IF(A44="","",INVENTARIO!I44)</f>
        <v/>
      </c>
    </row>
    <row r="45" ht="15.75" customHeight="1">
      <c r="A45" s="80" t="str">
        <f>IF(OR(INVENTARIO!I45="CRÍTICO",INVENTARIO!I45="BAJO"),INVENTARIO!A45,"")</f>
        <v/>
      </c>
      <c r="B45" s="80" t="str">
        <f>IF(A45="","",INVENTARIO!B45)</f>
        <v/>
      </c>
      <c r="C45" s="60" t="str">
        <f>IF(A45="","",INVENTARIO!C45)</f>
        <v/>
      </c>
      <c r="D45" s="60" t="str">
        <f>IF(A45="","",INVENTARIO!D45)</f>
        <v/>
      </c>
      <c r="E45" s="45" t="str">
        <f>IF(A45="","",INVENTARIO!E45)</f>
        <v/>
      </c>
      <c r="F45" s="62" t="str">
        <f>IF(A45="","",INVENTARIO!H45)</f>
        <v/>
      </c>
      <c r="G45" s="81" t="str">
        <f>IF(A45="","",INVENTARIO!I45)</f>
        <v/>
      </c>
    </row>
    <row r="46" ht="15.75" customHeight="1">
      <c r="A46" s="80" t="str">
        <f>IF(OR(INVENTARIO!I46="CRÍTICO",INVENTARIO!I46="BAJO"),INVENTARIO!A46,"")</f>
        <v/>
      </c>
      <c r="B46" s="80" t="str">
        <f>IF(A46="","",INVENTARIO!B46)</f>
        <v/>
      </c>
      <c r="C46" s="60" t="str">
        <f>IF(A46="","",INVENTARIO!C46)</f>
        <v/>
      </c>
      <c r="D46" s="60" t="str">
        <f>IF(A46="","",INVENTARIO!D46)</f>
        <v/>
      </c>
      <c r="E46" s="45" t="str">
        <f>IF(A46="","",INVENTARIO!E46)</f>
        <v/>
      </c>
      <c r="F46" s="62" t="str">
        <f>IF(A46="","",INVENTARIO!H46)</f>
        <v/>
      </c>
      <c r="G46" s="81" t="str">
        <f>IF(A46="","",INVENTARIO!I46)</f>
        <v/>
      </c>
    </row>
    <row r="47" ht="15.75" customHeight="1">
      <c r="A47" s="80" t="str">
        <f>IF(OR(INVENTARIO!I47="CRÍTICO",INVENTARIO!I47="BAJO"),INVENTARIO!A47,"")</f>
        <v/>
      </c>
      <c r="B47" s="80" t="str">
        <f>IF(A47="","",INVENTARIO!B47)</f>
        <v/>
      </c>
      <c r="C47" s="60" t="str">
        <f>IF(A47="","",INVENTARIO!C47)</f>
        <v/>
      </c>
      <c r="D47" s="60" t="str">
        <f>IF(A47="","",INVENTARIO!D47)</f>
        <v/>
      </c>
      <c r="E47" s="45" t="str">
        <f>IF(A47="","",INVENTARIO!E47)</f>
        <v/>
      </c>
      <c r="F47" s="62" t="str">
        <f>IF(A47="","",INVENTARIO!H47)</f>
        <v/>
      </c>
      <c r="G47" s="81" t="str">
        <f>IF(A47="","",INVENTARIO!I47)</f>
        <v/>
      </c>
    </row>
    <row r="48" ht="15.75" customHeight="1">
      <c r="A48" s="80" t="str">
        <f>IF(OR(INVENTARIO!I48="CRÍTICO",INVENTARIO!I48="BAJO"),INVENTARIO!A48,"")</f>
        <v>OverShark</v>
      </c>
      <c r="B48" s="80" t="str">
        <f>IF(A48="","",INVENTARIO!B48)</f>
        <v>wafle 30/1</v>
      </c>
      <c r="C48" s="60" t="str">
        <f>IF(A48="","",INVENTARIO!C48)</f>
        <v>Beige</v>
      </c>
      <c r="D48" s="60" t="str">
        <f>IF(A48="","",INVENTARIO!D48)</f>
        <v>CLARO</v>
      </c>
      <c r="E48" s="45">
        <f>IF(A48="","",INVENTARIO!E48)</f>
        <v>3</v>
      </c>
      <c r="F48" s="62">
        <f>IF(A48="","",INVENTARIO!H48)</f>
        <v>1350</v>
      </c>
      <c r="G48" s="81" t="str">
        <f>IF(A48="","",INVENTARIO!I48)</f>
        <v>CRÍTICO</v>
      </c>
    </row>
    <row r="49" ht="15.75" customHeight="1">
      <c r="A49" s="80" t="str">
        <f>IF(OR(INVENTARIO!I49="CRÍTICO",INVENTARIO!I49="BAJO"),INVENTARIO!A49,"")</f>
        <v/>
      </c>
      <c r="B49" s="80" t="str">
        <f>IF(A49="","",INVENTARIO!B49)</f>
        <v/>
      </c>
      <c r="C49" s="60" t="str">
        <f>IF(A49="","",INVENTARIO!C49)</f>
        <v/>
      </c>
      <c r="D49" s="60" t="str">
        <f>IF(A49="","",INVENTARIO!D49)</f>
        <v/>
      </c>
      <c r="E49" s="45" t="str">
        <f>IF(A49="","",INVENTARIO!E49)</f>
        <v/>
      </c>
      <c r="F49" s="62" t="str">
        <f>IF(A49="","",INVENTARIO!H49)</f>
        <v/>
      </c>
      <c r="G49" s="81" t="str">
        <f>IF(A49="","",INVENTARIO!I49)</f>
        <v/>
      </c>
    </row>
    <row r="50" ht="15.75" customHeight="1">
      <c r="A50" s="80" t="str">
        <f>IF(OR(INVENTARIO!I50="CRÍTICO",INVENTARIO!I50="BAJO"),INVENTARIO!A50,"")</f>
        <v/>
      </c>
      <c r="B50" s="80" t="str">
        <f>IF(A50="","",INVENTARIO!B50)</f>
        <v/>
      </c>
      <c r="C50" s="60" t="str">
        <f>IF(A50="","",INVENTARIO!C50)</f>
        <v/>
      </c>
      <c r="D50" s="60" t="str">
        <f>IF(A50="","",INVENTARIO!D50)</f>
        <v/>
      </c>
      <c r="E50" s="45" t="str">
        <f>IF(A50="","",INVENTARIO!E50)</f>
        <v/>
      </c>
      <c r="F50" s="62" t="str">
        <f>IF(A50="","",INVENTARIO!H50)</f>
        <v/>
      </c>
      <c r="G50" s="81" t="str">
        <f>IF(A50="","",INVENTARIO!I50)</f>
        <v/>
      </c>
    </row>
    <row r="51" ht="15.75" customHeight="1">
      <c r="A51" s="80" t="str">
        <f>IF(OR(INVENTARIO!I51="CRÍTICO",INVENTARIO!I51="BAJO"),INVENTARIO!A51,"")</f>
        <v>OverShark</v>
      </c>
      <c r="B51" s="80" t="str">
        <f>IF(A51="","",INVENTARIO!B51)</f>
        <v>wafle 30/1</v>
      </c>
      <c r="C51" s="60" t="str">
        <f>IF(A51="","",INVENTARIO!C51)</f>
        <v>Pacay</v>
      </c>
      <c r="D51" s="60" t="str">
        <f>IF(A51="","",INVENTARIO!D51)</f>
        <v>CLARO</v>
      </c>
      <c r="E51" s="45">
        <f>IF(A51="","",INVENTARIO!E51)</f>
        <v>11</v>
      </c>
      <c r="F51" s="62">
        <f>IF(A51="","",INVENTARIO!H51)</f>
        <v>4950</v>
      </c>
      <c r="G51" s="81" t="str">
        <f>IF(A51="","",INVENTARIO!I51)</f>
        <v>BAJO</v>
      </c>
    </row>
    <row r="52" ht="15.75" customHeight="1">
      <c r="A52" s="80" t="str">
        <f>IF(OR(INVENTARIO!I52="CRÍTICO",INVENTARIO!I52="BAJO"),INVENTARIO!A52,"")</f>
        <v>OverShark</v>
      </c>
      <c r="B52" s="80" t="str">
        <f>IF(A52="","",INVENTARIO!B52)</f>
        <v>wafle 30/1</v>
      </c>
      <c r="C52" s="60" t="str">
        <f>IF(A52="","",INVENTARIO!C52)</f>
        <v>Cemento</v>
      </c>
      <c r="D52" s="60" t="str">
        <f>IF(A52="","",INVENTARIO!D52)</f>
        <v>CLARO</v>
      </c>
      <c r="E52" s="45">
        <f>IF(A52="","",INVENTARIO!E52)</f>
        <v>11</v>
      </c>
      <c r="F52" s="62">
        <f>IF(A52="","",INVENTARIO!H52)</f>
        <v>4950</v>
      </c>
      <c r="G52" s="81" t="str">
        <f>IF(A52="","",INVENTARIO!I52)</f>
        <v>BAJO</v>
      </c>
    </row>
    <row r="53" ht="15.75" customHeight="1">
      <c r="A53" s="80" t="str">
        <f>IF(OR(INVENTARIO!I53="CRÍTICO",INVENTARIO!I53="BAJO"),INVENTARIO!A53,"")</f>
        <v/>
      </c>
      <c r="B53" s="80" t="str">
        <f>IF(A53="","",INVENTARIO!B53)</f>
        <v/>
      </c>
      <c r="C53" s="60" t="str">
        <f>IF(A53="","",INVENTARIO!C53)</f>
        <v/>
      </c>
      <c r="D53" s="60" t="str">
        <f>IF(A53="","",INVENTARIO!D53)</f>
        <v/>
      </c>
      <c r="E53" s="45" t="str">
        <f>IF(A53="","",INVENTARIO!E53)</f>
        <v/>
      </c>
      <c r="F53" s="62" t="str">
        <f>IF(A53="","",INVENTARIO!H53)</f>
        <v/>
      </c>
      <c r="G53" s="81" t="str">
        <f>IF(A53="","",INVENTARIO!I53)</f>
        <v/>
      </c>
    </row>
    <row r="54" ht="15.75" customHeight="1">
      <c r="A54" s="80" t="str">
        <f>IF(OR(INVENTARIO!I54="CRÍTICO",INVENTARIO!I54="BAJO"),INVENTARIO!A54,"")</f>
        <v>OverShark</v>
      </c>
      <c r="B54" s="80" t="str">
        <f>IF(A54="","",INVENTARIO!B54)</f>
        <v>wafle 30/1</v>
      </c>
      <c r="C54" s="60" t="str">
        <f>IF(A54="","",INVENTARIO!C54)</f>
        <v>Denim</v>
      </c>
      <c r="D54" s="60" t="str">
        <f>IF(A54="","",INVENTARIO!D54)</f>
        <v>CLARO</v>
      </c>
      <c r="E54" s="45">
        <f>IF(A54="","",INVENTARIO!E54)</f>
        <v>11</v>
      </c>
      <c r="F54" s="62">
        <f>IF(A54="","",INVENTARIO!H54)</f>
        <v>4950</v>
      </c>
      <c r="G54" s="81" t="str">
        <f>IF(A54="","",INVENTARIO!I54)</f>
        <v>BAJO</v>
      </c>
    </row>
    <row r="55" ht="15.75" customHeight="1">
      <c r="A55" s="80" t="str">
        <f>IF(OR(INVENTARIO!I55="CRÍTICO",INVENTARIO!I55="BAJO"),INVENTARIO!A55,"")</f>
        <v/>
      </c>
      <c r="B55" s="80" t="str">
        <f>IF(A55="","",INVENTARIO!B55)</f>
        <v/>
      </c>
      <c r="C55" s="60" t="str">
        <f>IF(A55="","",INVENTARIO!C55)</f>
        <v/>
      </c>
      <c r="D55" s="60" t="str">
        <f>IF(A55="","",INVENTARIO!D55)</f>
        <v/>
      </c>
      <c r="E55" s="45" t="str">
        <f>IF(A55="","",INVENTARIO!E55)</f>
        <v/>
      </c>
      <c r="F55" s="62" t="str">
        <f>IF(A55="","",INVENTARIO!H55)</f>
        <v/>
      </c>
      <c r="G55" s="81" t="str">
        <f>IF(A55="","",INVENTARIO!I55)</f>
        <v/>
      </c>
    </row>
    <row r="56" ht="15.75" customHeight="1">
      <c r="A56" s="80" t="str">
        <f>IF(OR(INVENTARIO!I56="CRÍTICO",INVENTARIO!I56="BAJO"),INVENTARIO!A56,"")</f>
        <v>OverShark</v>
      </c>
      <c r="B56" s="80" t="str">
        <f>IF(A56="","",INVENTARIO!B56)</f>
        <v>wafle 30/1</v>
      </c>
      <c r="C56" s="60" t="str">
        <f>IF(A56="","",INVENTARIO!C56)</f>
        <v>Topo</v>
      </c>
      <c r="D56" s="60" t="str">
        <f>IF(A56="","",INVENTARIO!D56)</f>
        <v>CLARO</v>
      </c>
      <c r="E56" s="45">
        <f>IF(A56="","",INVENTARIO!E56)</f>
        <v>6</v>
      </c>
      <c r="F56" s="62">
        <f>IF(A56="","",INVENTARIO!H56)</f>
        <v>2700</v>
      </c>
      <c r="G56" s="81" t="str">
        <f>IF(A56="","",INVENTARIO!I56)</f>
        <v>BAJO</v>
      </c>
    </row>
    <row r="57" ht="15.75" customHeight="1">
      <c r="A57" s="80" t="str">
        <f>IF(OR(INVENTARIO!I57="CRÍTICO",INVENTARIO!I57="BAJO"),INVENTARIO!A57,"")</f>
        <v/>
      </c>
      <c r="B57" s="80" t="str">
        <f>IF(A57="","",INVENTARIO!B57)</f>
        <v/>
      </c>
      <c r="C57" s="60" t="str">
        <f>IF(A57="","",INVENTARIO!C57)</f>
        <v/>
      </c>
      <c r="D57" s="60" t="str">
        <f>IF(A57="","",INVENTARIO!D57)</f>
        <v/>
      </c>
      <c r="E57" s="45" t="str">
        <f>IF(A57="","",INVENTARIO!E57)</f>
        <v/>
      </c>
      <c r="F57" s="62" t="str">
        <f>IF(A57="","",INVENTARIO!H57)</f>
        <v/>
      </c>
      <c r="G57" s="81" t="str">
        <f>IF(A57="","",INVENTARIO!I57)</f>
        <v/>
      </c>
    </row>
    <row r="58" ht="15.75" customHeight="1">
      <c r="A58" s="80" t="str">
        <f>IF(OR(INVENTARIO!I58="CRÍTICO",INVENTARIO!I58="BAJO"),INVENTARIO!A58,"")</f>
        <v/>
      </c>
      <c r="B58" s="80" t="str">
        <f>IF(A58="","",INVENTARIO!B58)</f>
        <v/>
      </c>
      <c r="C58" s="60" t="str">
        <f>IF(A58="","",INVENTARIO!C58)</f>
        <v/>
      </c>
      <c r="D58" s="60" t="str">
        <f>IF(A58="","",INVENTARIO!D58)</f>
        <v/>
      </c>
      <c r="E58" s="45" t="str">
        <f>IF(A58="","",INVENTARIO!E58)</f>
        <v/>
      </c>
      <c r="F58" s="62" t="str">
        <f>IF(A58="","",INVENTARIO!H58)</f>
        <v/>
      </c>
      <c r="G58" s="81" t="str">
        <f>IF(A58="","",INVENTARIO!I58)</f>
        <v/>
      </c>
    </row>
    <row r="59" ht="15.75" customHeight="1">
      <c r="A59" s="80" t="str">
        <f>IF(OR(INVENTARIO!I59="CRÍTICO",INVENTARIO!I59="BAJO"),INVENTARIO!A59,"")</f>
        <v/>
      </c>
      <c r="B59" s="80" t="str">
        <f>IF(A59="","",INVENTARIO!B59)</f>
        <v/>
      </c>
      <c r="C59" s="60" t="str">
        <f>IF(A59="","",INVENTARIO!C59)</f>
        <v/>
      </c>
      <c r="D59" s="60" t="str">
        <f>IF(A59="","",INVENTARIO!D59)</f>
        <v/>
      </c>
      <c r="E59" s="45" t="str">
        <f>IF(A59="","",INVENTARIO!E59)</f>
        <v/>
      </c>
      <c r="F59" s="62" t="str">
        <f>IF(A59="","",INVENTARIO!H59)</f>
        <v/>
      </c>
      <c r="G59" s="81" t="str">
        <f>IF(A59="","",INVENTARIO!I59)</f>
        <v/>
      </c>
    </row>
    <row r="60" ht="15.75" customHeight="1">
      <c r="A60" s="80" t="str">
        <f>IF(OR(INVENTARIO!I60="CRÍTICO",INVENTARIO!I60="BAJO"),INVENTARIO!A60,"")</f>
        <v/>
      </c>
      <c r="B60" s="80" t="str">
        <f>IF(A60="","",INVENTARIO!B60)</f>
        <v/>
      </c>
      <c r="C60" s="60" t="str">
        <f>IF(A60="","",INVENTARIO!C60)</f>
        <v/>
      </c>
      <c r="D60" s="60" t="str">
        <f>IF(A60="","",INVENTARIO!D60)</f>
        <v/>
      </c>
      <c r="E60" s="45" t="str">
        <f>IF(A60="","",INVENTARIO!E60)</f>
        <v/>
      </c>
      <c r="F60" s="62" t="str">
        <f>IF(A60="","",INVENTARIO!H60)</f>
        <v/>
      </c>
      <c r="G60" s="81" t="str">
        <f>IF(A60="","",INVENTARIO!I60)</f>
        <v/>
      </c>
    </row>
    <row r="61" ht="15.75" customHeight="1">
      <c r="A61" s="80" t="str">
        <f>IF(OR(INVENTARIO!I61="CRÍTICO",INVENTARIO!I61="BAJO"),INVENTARIO!A61,"")</f>
        <v/>
      </c>
      <c r="B61" s="80" t="str">
        <f>IF(A61="","",INVENTARIO!B61)</f>
        <v/>
      </c>
      <c r="C61" s="60" t="str">
        <f>IF(A61="","",INVENTARIO!C61)</f>
        <v/>
      </c>
      <c r="D61" s="60" t="str">
        <f>IF(A61="","",INVENTARIO!D61)</f>
        <v/>
      </c>
      <c r="E61" s="45" t="str">
        <f>IF(A61="","",INVENTARIO!E61)</f>
        <v/>
      </c>
      <c r="F61" s="62" t="str">
        <f>IF(A61="","",INVENTARIO!H61)</f>
        <v/>
      </c>
      <c r="G61" s="81" t="str">
        <f>IF(A61="","",INVENTARIO!I61)</f>
        <v/>
      </c>
    </row>
    <row r="62" ht="15.75" customHeight="1">
      <c r="A62" s="80" t="str">
        <f>IF(OR(INVENTARIO!I62="CRÍTICO",INVENTARIO!I62="BAJO"),INVENTARIO!A62,"")</f>
        <v/>
      </c>
      <c r="B62" s="80" t="str">
        <f>IF(A62="","",INVENTARIO!B62)</f>
        <v/>
      </c>
      <c r="C62" s="60" t="str">
        <f>IF(A62="","",INVENTARIO!C62)</f>
        <v/>
      </c>
      <c r="D62" s="60" t="str">
        <f>IF(A62="","",INVENTARIO!D62)</f>
        <v/>
      </c>
      <c r="E62" s="45" t="str">
        <f>IF(A62="","",INVENTARIO!E62)</f>
        <v/>
      </c>
      <c r="F62" s="62" t="str">
        <f>IF(A62="","",INVENTARIO!H62)</f>
        <v/>
      </c>
      <c r="G62" s="81" t="str">
        <f>IF(A62="","",INVENTARIO!I62)</f>
        <v/>
      </c>
    </row>
    <row r="63" ht="15.75" customHeight="1">
      <c r="A63" s="80" t="str">
        <f>IF(OR(INVENTARIO!I63="CRÍTICO",INVENTARIO!I63="BAJO"),INVENTARIO!A63,"")</f>
        <v/>
      </c>
      <c r="B63" s="80" t="str">
        <f>IF(A63="","",INVENTARIO!B63)</f>
        <v/>
      </c>
      <c r="C63" s="60" t="str">
        <f>IF(A63="","",INVENTARIO!C63)</f>
        <v/>
      </c>
      <c r="D63" s="60" t="str">
        <f>IF(A63="","",INVENTARIO!D63)</f>
        <v/>
      </c>
      <c r="E63" s="45" t="str">
        <f>IF(A63="","",INVENTARIO!E63)</f>
        <v/>
      </c>
      <c r="F63" s="62" t="str">
        <f>IF(A63="","",INVENTARIO!H63)</f>
        <v/>
      </c>
      <c r="G63" s="81" t="str">
        <f>IF(A63="","",INVENTARIO!I63)</f>
        <v/>
      </c>
    </row>
    <row r="64" ht="15.75" customHeight="1">
      <c r="A64" s="80" t="str">
        <f>IF(OR(INVENTARIO!I64="CRÍTICO",INVENTARIO!I64="BAJO"),INVENTARIO!A64,"")</f>
        <v/>
      </c>
      <c r="B64" s="80" t="str">
        <f>IF(A64="","",INVENTARIO!B64)</f>
        <v/>
      </c>
      <c r="C64" s="60" t="str">
        <f>IF(A64="","",INVENTARIO!C64)</f>
        <v/>
      </c>
      <c r="D64" s="60" t="str">
        <f>IF(A64="","",INVENTARIO!D64)</f>
        <v/>
      </c>
      <c r="E64" s="45" t="str">
        <f>IF(A64="","",INVENTARIO!E64)</f>
        <v/>
      </c>
      <c r="F64" s="62" t="str">
        <f>IF(A64="","",INVENTARIO!H64)</f>
        <v/>
      </c>
      <c r="G64" s="81" t="str">
        <f>IF(A64="","",INVENTARIO!I64)</f>
        <v/>
      </c>
    </row>
    <row r="65" ht="15.75" customHeight="1">
      <c r="A65" s="80" t="str">
        <f>IF(OR(INVENTARIO!I65="CRÍTICO",INVENTARIO!I65="BAJO"),INVENTARIO!A65,"")</f>
        <v/>
      </c>
      <c r="B65" s="80" t="str">
        <f>IF(A65="","",INVENTARIO!B65)</f>
        <v/>
      </c>
      <c r="C65" s="60" t="str">
        <f>IF(A65="","",INVENTARIO!C65)</f>
        <v/>
      </c>
      <c r="D65" s="60" t="str">
        <f>IF(A65="","",INVENTARIO!D65)</f>
        <v/>
      </c>
      <c r="E65" s="45" t="str">
        <f>IF(A65="","",INVENTARIO!E65)</f>
        <v/>
      </c>
      <c r="F65" s="62" t="str">
        <f>IF(A65="","",INVENTARIO!H65)</f>
        <v/>
      </c>
      <c r="G65" s="81" t="str">
        <f>IF(A65="","",INVENTARIO!I65)</f>
        <v/>
      </c>
    </row>
    <row r="66" ht="15.75" customHeight="1">
      <c r="A66" s="80" t="str">
        <f>IF(OR(INVENTARIO!I66="CRÍTICO",INVENTARIO!I66="BAJO"),INVENTARIO!A66,"")</f>
        <v/>
      </c>
      <c r="B66" s="80" t="str">
        <f>IF(A66="","",INVENTARIO!B66)</f>
        <v/>
      </c>
      <c r="C66" s="60" t="str">
        <f>IF(A66="","",INVENTARIO!C66)</f>
        <v/>
      </c>
      <c r="D66" s="60" t="str">
        <f>IF(A66="","",INVENTARIO!D66)</f>
        <v/>
      </c>
      <c r="E66" s="45" t="str">
        <f>IF(A66="","",INVENTARIO!E66)</f>
        <v/>
      </c>
      <c r="F66" s="62" t="str">
        <f>IF(A66="","",INVENTARIO!H66)</f>
        <v/>
      </c>
      <c r="G66" s="81" t="str">
        <f>IF(A66="","",INVENTARIO!I66)</f>
        <v/>
      </c>
    </row>
    <row r="67" ht="15.75" customHeight="1">
      <c r="A67" s="80" t="str">
        <f>IF(OR(INVENTARIO!I67="CRÍTICO",INVENTARIO!I67="BAJO"),INVENTARIO!A67,"")</f>
        <v/>
      </c>
      <c r="B67" s="80" t="str">
        <f>IF(A67="","",INVENTARIO!B67)</f>
        <v/>
      </c>
      <c r="C67" s="60" t="str">
        <f>IF(A67="","",INVENTARIO!C67)</f>
        <v/>
      </c>
      <c r="D67" s="60" t="str">
        <f>IF(A67="","",INVENTARIO!D67)</f>
        <v/>
      </c>
      <c r="E67" s="45" t="str">
        <f>IF(A67="","",INVENTARIO!E67)</f>
        <v/>
      </c>
      <c r="F67" s="62" t="str">
        <f>IF(A67="","",INVENTARIO!H67)</f>
        <v/>
      </c>
      <c r="G67" s="81" t="str">
        <f>IF(A67="","",INVENTARIO!I67)</f>
        <v/>
      </c>
    </row>
    <row r="68" ht="15.75" customHeight="1">
      <c r="A68" s="80" t="str">
        <f>IF(OR(INVENTARIO!I68="CRÍTICO",INVENTARIO!I68="BAJO"),INVENTARIO!A68,"")</f>
        <v/>
      </c>
      <c r="B68" s="80" t="str">
        <f>IF(A68="","",INVENTARIO!B68)</f>
        <v/>
      </c>
      <c r="C68" s="60" t="str">
        <f>IF(A68="","",INVENTARIO!C68)</f>
        <v/>
      </c>
      <c r="D68" s="60" t="str">
        <f>IF(A68="","",INVENTARIO!D68)</f>
        <v/>
      </c>
      <c r="E68" s="45" t="str">
        <f>IF(A68="","",INVENTARIO!E68)</f>
        <v/>
      </c>
      <c r="F68" s="62" t="str">
        <f>IF(A68="","",INVENTARIO!H68)</f>
        <v/>
      </c>
      <c r="G68" s="81" t="str">
        <f>IF(A68="","",INVENTARIO!I68)</f>
        <v/>
      </c>
    </row>
    <row r="69" ht="15.75" customHeight="1">
      <c r="A69" s="80" t="str">
        <f>IF(OR(INVENTARIO!I69="CRÍTICO",INVENTARIO!I69="BAJO"),INVENTARIO!A69,"")</f>
        <v/>
      </c>
      <c r="B69" s="80" t="str">
        <f>IF(A69="","",INVENTARIO!B69)</f>
        <v/>
      </c>
      <c r="C69" s="60" t="str">
        <f>IF(A69="","",INVENTARIO!C69)</f>
        <v/>
      </c>
      <c r="D69" s="60" t="str">
        <f>IF(A69="","",INVENTARIO!D69)</f>
        <v/>
      </c>
      <c r="E69" s="45" t="str">
        <f>IF(A69="","",INVENTARIO!E69)</f>
        <v/>
      </c>
      <c r="F69" s="62" t="str">
        <f>IF(A69="","",INVENTARIO!H69)</f>
        <v/>
      </c>
      <c r="G69" s="81" t="str">
        <f>IF(A69="","",INVENTARIO!I69)</f>
        <v/>
      </c>
    </row>
    <row r="70" ht="15.75" customHeight="1">
      <c r="A70" s="80" t="str">
        <f>IF(OR(INVENTARIO!I70="CRÍTICO",INVENTARIO!I70="BAJO"),INVENTARIO!A70,"")</f>
        <v/>
      </c>
      <c r="B70" s="80" t="str">
        <f>IF(A70="","",INVENTARIO!B70)</f>
        <v/>
      </c>
      <c r="C70" s="60" t="str">
        <f>IF(A70="","",INVENTARIO!C70)</f>
        <v/>
      </c>
      <c r="D70" s="60" t="str">
        <f>IF(A70="","",INVENTARIO!D70)</f>
        <v/>
      </c>
      <c r="E70" s="45" t="str">
        <f>IF(A70="","",INVENTARIO!E70)</f>
        <v/>
      </c>
      <c r="F70" s="62" t="str">
        <f>IF(A70="","",INVENTARIO!H70)</f>
        <v/>
      </c>
      <c r="G70" s="81" t="str">
        <f>IF(A70="","",INVENTARIO!I70)</f>
        <v/>
      </c>
    </row>
    <row r="71" ht="15.75" customHeight="1">
      <c r="A71" s="80" t="str">
        <f>IF(OR(INVENTARIO!I71="CRÍTICO",INVENTARIO!I71="BAJO"),INVENTARIO!A71,"")</f>
        <v/>
      </c>
      <c r="B71" s="80" t="str">
        <f>IF(A71="","",INVENTARIO!B71)</f>
        <v/>
      </c>
      <c r="C71" s="60" t="str">
        <f>IF(A71="","",INVENTARIO!C71)</f>
        <v/>
      </c>
      <c r="D71" s="60" t="str">
        <f>IF(A71="","",INVENTARIO!D71)</f>
        <v/>
      </c>
      <c r="E71" s="45" t="str">
        <f>IF(A71="","",INVENTARIO!E71)</f>
        <v/>
      </c>
      <c r="F71" s="62" t="str">
        <f>IF(A71="","",INVENTARIO!H71)</f>
        <v/>
      </c>
      <c r="G71" s="81" t="str">
        <f>IF(A71="","",INVENTARIO!I71)</f>
        <v/>
      </c>
    </row>
    <row r="72" ht="15.75" customHeight="1">
      <c r="A72" s="80" t="str">
        <f>IF(OR(INVENTARIO!I72="CRÍTICO",INVENTARIO!I72="BAJO"),INVENTARIO!A72,"")</f>
        <v/>
      </c>
      <c r="B72" s="80" t="str">
        <f>IF(A72="","",INVENTARIO!B72)</f>
        <v/>
      </c>
      <c r="C72" s="60" t="str">
        <f>IF(A72="","",INVENTARIO!C72)</f>
        <v/>
      </c>
      <c r="D72" s="60" t="str">
        <f>IF(A72="","",INVENTARIO!D72)</f>
        <v/>
      </c>
      <c r="E72" s="45" t="str">
        <f>IF(A72="","",INVENTARIO!E72)</f>
        <v/>
      </c>
      <c r="F72" s="62" t="str">
        <f>IF(A72="","",INVENTARIO!H72)</f>
        <v/>
      </c>
      <c r="G72" s="81" t="str">
        <f>IF(A72="","",INVENTARIO!I72)</f>
        <v/>
      </c>
    </row>
    <row r="73" ht="15.75" customHeight="1">
      <c r="A73" s="80" t="str">
        <f>IF(OR(INVENTARIO!I73="CRÍTICO",INVENTARIO!I73="BAJO"),INVENTARIO!A73,"")</f>
        <v/>
      </c>
      <c r="B73" s="80" t="str">
        <f>IF(A73="","",INVENTARIO!B73)</f>
        <v/>
      </c>
      <c r="C73" s="60" t="str">
        <f>IF(A73="","",INVENTARIO!C73)</f>
        <v/>
      </c>
      <c r="D73" s="60" t="str">
        <f>IF(A73="","",INVENTARIO!D73)</f>
        <v/>
      </c>
      <c r="E73" s="45" t="str">
        <f>IF(A73="","",INVENTARIO!E73)</f>
        <v/>
      </c>
      <c r="F73" s="62" t="str">
        <f>IF(A73="","",INVENTARIO!H73)</f>
        <v/>
      </c>
      <c r="G73" s="81" t="str">
        <f>IF(A73="","",INVENTARIO!I73)</f>
        <v/>
      </c>
    </row>
    <row r="74" ht="15.75" customHeight="1">
      <c r="A74" s="80" t="str">
        <f>IF(OR(INVENTARIO!I74="CRÍTICO",INVENTARIO!I74="BAJO"),INVENTARIO!A74,"")</f>
        <v/>
      </c>
      <c r="B74" s="80" t="str">
        <f>IF(A74="","",INVENTARIO!B74)</f>
        <v/>
      </c>
      <c r="C74" s="60" t="str">
        <f>IF(A74="","",INVENTARIO!C74)</f>
        <v/>
      </c>
      <c r="D74" s="60" t="str">
        <f>IF(A74="","",INVENTARIO!D74)</f>
        <v/>
      </c>
      <c r="E74" s="45" t="str">
        <f>IF(A74="","",INVENTARIO!E74)</f>
        <v/>
      </c>
      <c r="F74" s="62" t="str">
        <f>IF(A74="","",INVENTARIO!H74)</f>
        <v/>
      </c>
      <c r="G74" s="81" t="str">
        <f>IF(A74="","",INVENTARIO!I74)</f>
        <v/>
      </c>
    </row>
    <row r="75" ht="15.75" customHeight="1">
      <c r="A75" s="80" t="str">
        <f>IF(OR(INVENTARIO!I75="CRÍTICO",INVENTARIO!I75="BAJO"),INVENTARIO!A75,"")</f>
        <v/>
      </c>
      <c r="B75" s="80" t="str">
        <f>IF(A75="","",INVENTARIO!B75)</f>
        <v/>
      </c>
      <c r="C75" s="60" t="str">
        <f>IF(A75="","",INVENTARIO!C75)</f>
        <v/>
      </c>
      <c r="D75" s="60" t="str">
        <f>IF(A75="","",INVENTARIO!D75)</f>
        <v/>
      </c>
      <c r="E75" s="45" t="str">
        <f>IF(A75="","",INVENTARIO!E75)</f>
        <v/>
      </c>
      <c r="F75" s="62" t="str">
        <f>IF(A75="","",INVENTARIO!H75)</f>
        <v/>
      </c>
      <c r="G75" s="81" t="str">
        <f>IF(A75="","",INVENTARIO!I75)</f>
        <v/>
      </c>
    </row>
    <row r="76" ht="15.75" customHeight="1">
      <c r="A76" s="80" t="str">
        <f>IF(OR(INVENTARIO!I76="CRÍTICO",INVENTARIO!I76="BAJO"),INVENTARIO!A76,"")</f>
        <v/>
      </c>
      <c r="B76" s="80" t="str">
        <f>IF(A76="","",INVENTARIO!B76)</f>
        <v/>
      </c>
      <c r="C76" s="60" t="str">
        <f>IF(A76="","",INVENTARIO!C76)</f>
        <v/>
      </c>
      <c r="D76" s="60" t="str">
        <f>IF(A76="","",INVENTARIO!D76)</f>
        <v/>
      </c>
      <c r="E76" s="45" t="str">
        <f>IF(A76="","",INVENTARIO!E76)</f>
        <v/>
      </c>
      <c r="F76" s="62" t="str">
        <f>IF(A76="","",INVENTARIO!H76)</f>
        <v/>
      </c>
      <c r="G76" s="81" t="str">
        <f>IF(A76="","",INVENTARIO!I76)</f>
        <v/>
      </c>
    </row>
    <row r="77" ht="15.75" customHeight="1">
      <c r="A77" s="80" t="str">
        <f>IF(OR(INVENTARIO!I77="CRÍTICO",INVENTARIO!I77="BAJO"),INVENTARIO!A77,"")</f>
        <v/>
      </c>
      <c r="B77" s="80" t="str">
        <f>IF(A77="","",INVENTARIO!B77)</f>
        <v/>
      </c>
      <c r="C77" s="60" t="str">
        <f>IF(A77="","",INVENTARIO!C77)</f>
        <v/>
      </c>
      <c r="D77" s="60" t="str">
        <f>IF(A77="","",INVENTARIO!D77)</f>
        <v/>
      </c>
      <c r="E77" s="45" t="str">
        <f>IF(A77="","",INVENTARIO!E77)</f>
        <v/>
      </c>
      <c r="F77" s="62" t="str">
        <f>IF(A77="","",INVENTARIO!H77)</f>
        <v/>
      </c>
      <c r="G77" s="81" t="str">
        <f>IF(A77="","",INVENTARIO!I77)</f>
        <v/>
      </c>
    </row>
    <row r="78" ht="15.75" customHeight="1">
      <c r="A78" s="80" t="str">
        <f>IF(OR(INVENTARIO!I78="CRÍTICO",INVENTARIO!I78="BAJO"),INVENTARIO!A78,"")</f>
        <v/>
      </c>
      <c r="B78" s="80" t="str">
        <f>IF(A78="","",INVENTARIO!B78)</f>
        <v/>
      </c>
      <c r="C78" s="60" t="str">
        <f>IF(A78="","",INVENTARIO!C78)</f>
        <v/>
      </c>
      <c r="D78" s="60" t="str">
        <f>IF(A78="","",INVENTARIO!D78)</f>
        <v/>
      </c>
      <c r="E78" s="45" t="str">
        <f>IF(A78="","",INVENTARIO!E78)</f>
        <v/>
      </c>
      <c r="F78" s="62" t="str">
        <f>IF(A78="","",INVENTARIO!H78)</f>
        <v/>
      </c>
      <c r="G78" s="81" t="str">
        <f>IF(A78="","",INVENTARIO!I78)</f>
        <v/>
      </c>
    </row>
    <row r="79" ht="15.75" customHeight="1">
      <c r="A79" s="80" t="str">
        <f>IF(OR(INVENTARIO!I79="CRÍTICO",INVENTARIO!I79="BAJO"),INVENTARIO!A79,"")</f>
        <v/>
      </c>
      <c r="B79" s="80" t="str">
        <f>IF(A79="","",INVENTARIO!B79)</f>
        <v/>
      </c>
      <c r="C79" s="60" t="str">
        <f>IF(A79="","",INVENTARIO!C79)</f>
        <v/>
      </c>
      <c r="D79" s="60" t="str">
        <f>IF(A79="","",INVENTARIO!D79)</f>
        <v/>
      </c>
      <c r="E79" s="45" t="str">
        <f>IF(A79="","",INVENTARIO!E79)</f>
        <v/>
      </c>
      <c r="F79" s="62" t="str">
        <f>IF(A79="","",INVENTARIO!H79)</f>
        <v/>
      </c>
      <c r="G79" s="81" t="str">
        <f>IF(A79="","",INVENTARIO!I79)</f>
        <v/>
      </c>
    </row>
    <row r="80" ht="15.75" customHeight="1">
      <c r="A80" s="80" t="str">
        <f>IF(OR(INVENTARIO!I80="CRÍTICO",INVENTARIO!I80="BAJO"),INVENTARIO!A80,"")</f>
        <v/>
      </c>
      <c r="B80" s="80" t="str">
        <f>IF(A80="","",INVENTARIO!B80)</f>
        <v/>
      </c>
      <c r="C80" s="60" t="str">
        <f>IF(A80="","",INVENTARIO!C80)</f>
        <v/>
      </c>
      <c r="D80" s="60" t="str">
        <f>IF(A80="","",INVENTARIO!D80)</f>
        <v/>
      </c>
      <c r="E80" s="45" t="str">
        <f>IF(A80="","",INVENTARIO!E80)</f>
        <v/>
      </c>
      <c r="F80" s="62" t="str">
        <f>IF(A80="","",INVENTARIO!H80)</f>
        <v/>
      </c>
      <c r="G80" s="81" t="str">
        <f>IF(A80="","",INVENTARIO!I80)</f>
        <v/>
      </c>
    </row>
    <row r="81" ht="15.75" customHeight="1">
      <c r="A81" s="80" t="str">
        <f>IF(OR(INVENTARIO!I81="CRÍTICO",INVENTARIO!I81="BAJO"),INVENTARIO!A81,"")</f>
        <v/>
      </c>
      <c r="B81" s="80" t="str">
        <f>IF(A81="","",INVENTARIO!B81)</f>
        <v/>
      </c>
      <c r="C81" s="60" t="str">
        <f>IF(A81="","",INVENTARIO!C81)</f>
        <v/>
      </c>
      <c r="D81" s="60" t="str">
        <f>IF(A81="","",INVENTARIO!D81)</f>
        <v/>
      </c>
      <c r="E81" s="45" t="str">
        <f>IF(A81="","",INVENTARIO!E81)</f>
        <v/>
      </c>
      <c r="F81" s="62" t="str">
        <f>IF(A81="","",INVENTARIO!H81)</f>
        <v/>
      </c>
      <c r="G81" s="81" t="str">
        <f>IF(A81="","",INVENTARIO!I81)</f>
        <v/>
      </c>
    </row>
    <row r="82" ht="15.75" customHeight="1">
      <c r="A82" s="80" t="str">
        <f>IF(OR(INVENTARIO!I82="CRÍTICO",INVENTARIO!I82="BAJO"),INVENTARIO!A82,"")</f>
        <v/>
      </c>
      <c r="B82" s="80" t="str">
        <f>IF(A82="","",INVENTARIO!B82)</f>
        <v/>
      </c>
      <c r="C82" s="60" t="str">
        <f>IF(A82="","",INVENTARIO!C82)</f>
        <v/>
      </c>
      <c r="D82" s="60" t="str">
        <f>IF(A82="","",INVENTARIO!D82)</f>
        <v/>
      </c>
      <c r="E82" s="45" t="str">
        <f>IF(A82="","",INVENTARIO!E82)</f>
        <v/>
      </c>
      <c r="F82" s="62" t="str">
        <f>IF(A82="","",INVENTARIO!H82)</f>
        <v/>
      </c>
      <c r="G82" s="81" t="str">
        <f>IF(A82="","",INVENTARIO!I82)</f>
        <v/>
      </c>
    </row>
    <row r="83" ht="15.75" customHeight="1">
      <c r="A83" s="80" t="str">
        <f>IF(OR(INVENTARIO!I83="CRÍTICO",INVENTARIO!I83="BAJO"),INVENTARIO!A83,"")</f>
        <v/>
      </c>
      <c r="B83" s="80" t="str">
        <f>IF(A83="","",INVENTARIO!B83)</f>
        <v/>
      </c>
      <c r="C83" s="60" t="str">
        <f>IF(A83="","",INVENTARIO!C83)</f>
        <v/>
      </c>
      <c r="D83" s="60" t="str">
        <f>IF(A83="","",INVENTARIO!D83)</f>
        <v/>
      </c>
      <c r="E83" s="45" t="str">
        <f>IF(A83="","",INVENTARIO!E83)</f>
        <v/>
      </c>
      <c r="F83" s="62" t="str">
        <f>IF(A83="","",INVENTARIO!H83)</f>
        <v/>
      </c>
      <c r="G83" s="81" t="str">
        <f>IF(A83="","",INVENTARIO!I83)</f>
        <v/>
      </c>
    </row>
    <row r="84" ht="15.75" customHeight="1">
      <c r="A84" s="80" t="str">
        <f>IF(OR(INVENTARIO!I84="CRÍTICO",INVENTARIO!I84="BAJO"),INVENTARIO!A84,"")</f>
        <v>OverShark</v>
      </c>
      <c r="B84" s="80" t="str">
        <f>IF(A84="","",INVENTARIO!B84)</f>
        <v>rib 1x1</v>
      </c>
      <c r="C84" s="60" t="str">
        <f>IF(A84="","",INVENTARIO!C84)</f>
        <v>Negro</v>
      </c>
      <c r="D84" s="60" t="str">
        <f>IF(A84="","",INVENTARIO!D84)</f>
        <v>OSCURO</v>
      </c>
      <c r="E84" s="45">
        <f>IF(A84="","",INVENTARIO!E84)</f>
        <v>3</v>
      </c>
      <c r="F84" s="62">
        <f>IF(A84="","",INVENTARIO!H84)</f>
        <v>1440</v>
      </c>
      <c r="G84" s="81" t="str">
        <f>IF(A84="","",INVENTARIO!I84)</f>
        <v>CRÍTICO</v>
      </c>
    </row>
    <row r="85" ht="15.75" customHeight="1">
      <c r="A85" s="80" t="str">
        <f>IF(OR(INVENTARIO!I85="CRÍTICO",INVENTARIO!I85="BAJO"),INVENTARIO!A85,"")</f>
        <v>OverShark</v>
      </c>
      <c r="B85" s="80" t="str">
        <f>IF(A85="","",INVENTARIO!B85)</f>
        <v>rib 1x1</v>
      </c>
      <c r="C85" s="60" t="str">
        <f>IF(A85="","",INVENTARIO!C85)</f>
        <v>Perla</v>
      </c>
      <c r="D85" s="60" t="str">
        <f>IF(A85="","",INVENTARIO!D85)</f>
        <v>PPT</v>
      </c>
      <c r="E85" s="45">
        <f>IF(A85="","",INVENTARIO!E85)</f>
        <v>1</v>
      </c>
      <c r="F85" s="62">
        <f>IF(A85="","",INVENTARIO!H85)</f>
        <v>360</v>
      </c>
      <c r="G85" s="81" t="str">
        <f>IF(A85="","",INVENTARIO!I85)</f>
        <v>CRÍTICO</v>
      </c>
    </row>
    <row r="86" ht="15.75" customHeight="1">
      <c r="A86" s="80" t="str">
        <f>IF(OR(INVENTARIO!I86="CRÍTICO",INVENTARIO!I86="BAJO"),INVENTARIO!A86,"")</f>
        <v/>
      </c>
      <c r="B86" s="80" t="str">
        <f>IF(A86="","",INVENTARIO!B86)</f>
        <v/>
      </c>
      <c r="C86" s="60" t="str">
        <f>IF(A86="","",INVENTARIO!C86)</f>
        <v/>
      </c>
      <c r="D86" s="60" t="str">
        <f>IF(A86="","",INVENTARIO!D86)</f>
        <v/>
      </c>
      <c r="E86" s="45" t="str">
        <f>IF(A86="","",INVENTARIO!E86)</f>
        <v/>
      </c>
      <c r="F86" s="62" t="str">
        <f>IF(A86="","",INVENTARIO!H86)</f>
        <v/>
      </c>
      <c r="G86" s="81" t="str">
        <f>IF(A86="","",INVENTARIO!I86)</f>
        <v/>
      </c>
    </row>
    <row r="87" ht="15.75" customHeight="1">
      <c r="A87" s="80" t="str">
        <f>IF(OR(INVENTARIO!I87="CRÍTICO",INVENTARIO!I87="BAJO"),INVENTARIO!A87,"")</f>
        <v>OverShark</v>
      </c>
      <c r="B87" s="80" t="str">
        <f>IF(A87="","",INVENTARIO!B87)</f>
        <v>rib 1x1</v>
      </c>
      <c r="C87" s="60" t="str">
        <f>IF(A87="","",INVENTARIO!C87)</f>
        <v>Azul</v>
      </c>
      <c r="D87" s="60" t="str">
        <f>IF(A87="","",INVENTARIO!D87)</f>
        <v>OSCURO</v>
      </c>
      <c r="E87" s="45">
        <f>IF(A87="","",INVENTARIO!E87)</f>
        <v>1</v>
      </c>
      <c r="F87" s="62">
        <f>IF(A87="","",INVENTARIO!H87)</f>
        <v>480</v>
      </c>
      <c r="G87" s="81" t="str">
        <f>IF(A87="","",INVENTARIO!I87)</f>
        <v>CRÍTICO</v>
      </c>
    </row>
    <row r="88" ht="15.75" customHeight="1">
      <c r="A88" s="80" t="str">
        <f>IF(OR(INVENTARIO!I88="CRÍTICO",INVENTARIO!I88="BAJO"),INVENTARIO!A88,"")</f>
        <v/>
      </c>
      <c r="B88" s="80" t="str">
        <f>IF(A88="","",INVENTARIO!B88)</f>
        <v/>
      </c>
      <c r="C88" s="60" t="str">
        <f>IF(A88="","",INVENTARIO!C88)</f>
        <v/>
      </c>
      <c r="D88" s="60" t="str">
        <f>IF(A88="","",INVENTARIO!D88)</f>
        <v/>
      </c>
      <c r="E88" s="45" t="str">
        <f>IF(A88="","",INVENTARIO!E88)</f>
        <v/>
      </c>
      <c r="F88" s="62" t="str">
        <f>IF(A88="","",INVENTARIO!H88)</f>
        <v/>
      </c>
      <c r="G88" s="81" t="str">
        <f>IF(A88="","",INVENTARIO!I88)</f>
        <v/>
      </c>
    </row>
    <row r="89" ht="15.75" customHeight="1">
      <c r="A89" s="80" t="str">
        <f>IF(OR(INVENTARIO!I89="CRÍTICO",INVENTARIO!I89="BAJO"),INVENTARIO!A89,"")</f>
        <v/>
      </c>
      <c r="B89" s="80" t="str">
        <f>IF(A89="","",INVENTARIO!B89)</f>
        <v/>
      </c>
      <c r="C89" s="60" t="str">
        <f>IF(A89="","",INVENTARIO!C89)</f>
        <v/>
      </c>
      <c r="D89" s="60" t="str">
        <f>IF(A89="","",INVENTARIO!D89)</f>
        <v/>
      </c>
      <c r="E89" s="45" t="str">
        <f>IF(A89="","",INVENTARIO!E89)</f>
        <v/>
      </c>
      <c r="F89" s="62" t="str">
        <f>IF(A89="","",INVENTARIO!H89)</f>
        <v/>
      </c>
      <c r="G89" s="81" t="str">
        <f>IF(A89="","",INVENTARIO!I89)</f>
        <v/>
      </c>
    </row>
    <row r="90" ht="15.75" customHeight="1">
      <c r="A90" s="80" t="str">
        <f>IF(OR(INVENTARIO!I90="CRÍTICO",INVENTARIO!I90="BAJO"),INVENTARIO!A90,"")</f>
        <v>OverShark</v>
      </c>
      <c r="B90" s="80" t="str">
        <f>IF(A90="","",INVENTARIO!B90)</f>
        <v>rib 1x1</v>
      </c>
      <c r="C90" s="60" t="str">
        <f>IF(A90="","",INVENTARIO!C90)</f>
        <v>Botella</v>
      </c>
      <c r="D90" s="60" t="str">
        <f>IF(A90="","",INVENTARIO!D90)</f>
        <v>OSCURO</v>
      </c>
      <c r="E90" s="45">
        <f>IF(A90="","",INVENTARIO!E90)</f>
        <v>1</v>
      </c>
      <c r="F90" s="62">
        <f>IF(A90="","",INVENTARIO!H90)</f>
        <v>480</v>
      </c>
      <c r="G90" s="81" t="str">
        <f>IF(A90="","",INVENTARIO!I90)</f>
        <v>CRÍTICO</v>
      </c>
    </row>
    <row r="91" ht="15.75" customHeight="1">
      <c r="A91" s="80" t="str">
        <f>IF(OR(INVENTARIO!I91="CRÍTICO",INVENTARIO!I91="BAJO"),INVENTARIO!A91,"")</f>
        <v/>
      </c>
      <c r="B91" s="80" t="str">
        <f>IF(A91="","",INVENTARIO!B91)</f>
        <v/>
      </c>
      <c r="C91" s="60" t="str">
        <f>IF(A91="","",INVENTARIO!C91)</f>
        <v/>
      </c>
      <c r="D91" s="60" t="str">
        <f>IF(A91="","",INVENTARIO!D91)</f>
        <v/>
      </c>
      <c r="E91" s="45" t="str">
        <f>IF(A91="","",INVENTARIO!E91)</f>
        <v/>
      </c>
      <c r="F91" s="62" t="str">
        <f>IF(A91="","",INVENTARIO!H91)</f>
        <v/>
      </c>
      <c r="G91" s="81" t="str">
        <f>IF(A91="","",INVENTARIO!I91)</f>
        <v/>
      </c>
    </row>
    <row r="92" ht="15.75" customHeight="1">
      <c r="A92" s="80" t="str">
        <f>IF(OR(INVENTARIO!I92="CRÍTICO",INVENTARIO!I92="BAJO"),INVENTARIO!A92,"")</f>
        <v/>
      </c>
      <c r="B92" s="80" t="str">
        <f>IF(A92="","",INVENTARIO!B92)</f>
        <v/>
      </c>
      <c r="C92" s="60" t="str">
        <f>IF(A92="","",INVENTARIO!C92)</f>
        <v/>
      </c>
      <c r="D92" s="60" t="str">
        <f>IF(A92="","",INVENTARIO!D92)</f>
        <v/>
      </c>
      <c r="E92" s="45" t="str">
        <f>IF(A92="","",INVENTARIO!E92)</f>
        <v/>
      </c>
      <c r="F92" s="62" t="str">
        <f>IF(A92="","",INVENTARIO!H92)</f>
        <v/>
      </c>
      <c r="G92" s="81" t="str">
        <f>IF(A92="","",INVENTARIO!I92)</f>
        <v/>
      </c>
    </row>
    <row r="93" ht="15.75" customHeight="1">
      <c r="A93" s="80" t="str">
        <f>IF(OR(INVENTARIO!I93="CRÍTICO",INVENTARIO!I93="BAJO"),INVENTARIO!A93,"")</f>
        <v/>
      </c>
      <c r="B93" s="80" t="str">
        <f>IF(A93="","",INVENTARIO!B93)</f>
        <v/>
      </c>
      <c r="C93" s="60" t="str">
        <f>IF(A93="","",INVENTARIO!C93)</f>
        <v/>
      </c>
      <c r="D93" s="60" t="str">
        <f>IF(A93="","",INVENTARIO!D93)</f>
        <v/>
      </c>
      <c r="E93" s="45" t="str">
        <f>IF(A93="","",INVENTARIO!E93)</f>
        <v/>
      </c>
      <c r="F93" s="62" t="str">
        <f>IF(A93="","",INVENTARIO!H93)</f>
        <v/>
      </c>
      <c r="G93" s="81" t="str">
        <f>IF(A93="","",INVENTARIO!I93)</f>
        <v/>
      </c>
    </row>
    <row r="94" ht="15.75" customHeight="1">
      <c r="A94" s="80" t="str">
        <f>IF(OR(INVENTARIO!I94="CRÍTICO",INVENTARIO!I94="BAJO"),INVENTARIO!A94,"")</f>
        <v/>
      </c>
      <c r="B94" s="80" t="str">
        <f>IF(A94="","",INVENTARIO!B94)</f>
        <v/>
      </c>
      <c r="C94" s="60" t="str">
        <f>IF(A94="","",INVENTARIO!C94)</f>
        <v/>
      </c>
      <c r="D94" s="60" t="str">
        <f>IF(A94="","",INVENTARIO!D94)</f>
        <v/>
      </c>
      <c r="E94" s="45" t="str">
        <f>IF(A94="","",INVENTARIO!E94)</f>
        <v/>
      </c>
      <c r="F94" s="62" t="str">
        <f>IF(A94="","",INVENTARIO!H94)</f>
        <v/>
      </c>
      <c r="G94" s="81" t="str">
        <f>IF(A94="","",INVENTARIO!I94)</f>
        <v/>
      </c>
    </row>
    <row r="95" ht="15.75" customHeight="1">
      <c r="A95" s="80" t="str">
        <f>IF(OR(INVENTARIO!I95="CRÍTICO",INVENTARIO!I95="BAJO"),INVENTARIO!A95,"")</f>
        <v>OverShark</v>
      </c>
      <c r="B95" s="80" t="str">
        <f>IF(A95="","",INVENTARIO!B95)</f>
        <v>rib 1x1</v>
      </c>
      <c r="C95" s="60" t="str">
        <f>IF(A95="","",INVENTARIO!C95)</f>
        <v>Plomo</v>
      </c>
      <c r="D95" s="60" t="str">
        <f>IF(A95="","",INVENTARIO!D95)</f>
        <v>OSCURO</v>
      </c>
      <c r="E95" s="45">
        <f>IF(A95="","",INVENTARIO!E95)</f>
        <v>1</v>
      </c>
      <c r="F95" s="62">
        <f>IF(A95="","",INVENTARIO!H95)</f>
        <v>480</v>
      </c>
      <c r="G95" s="81" t="str">
        <f>IF(A95="","",INVENTARIO!I95)</f>
        <v>CRÍTICO</v>
      </c>
    </row>
    <row r="96" ht="15.75" customHeight="1">
      <c r="A96" s="80" t="str">
        <f>IF(OR(INVENTARIO!I96="CRÍTICO",INVENTARIO!I96="BAJO"),INVENTARIO!A96,"")</f>
        <v/>
      </c>
      <c r="B96" s="80" t="str">
        <f>IF(A96="","",INVENTARIO!B96)</f>
        <v/>
      </c>
      <c r="C96" s="60" t="str">
        <f>IF(A96="","",INVENTARIO!C96)</f>
        <v/>
      </c>
      <c r="D96" s="60" t="str">
        <f>IF(A96="","",INVENTARIO!D96)</f>
        <v/>
      </c>
      <c r="E96" s="45" t="str">
        <f>IF(A96="","",INVENTARIO!E96)</f>
        <v/>
      </c>
      <c r="F96" s="62" t="str">
        <f>IF(A96="","",INVENTARIO!H96)</f>
        <v/>
      </c>
      <c r="G96" s="81" t="str">
        <f>IF(A96="","",INVENTARIO!I96)</f>
        <v/>
      </c>
    </row>
    <row r="97" ht="15.75" customHeight="1">
      <c r="A97" s="80" t="str">
        <f>IF(OR(INVENTARIO!I97="CRÍTICO",INVENTARIO!I97="BAJO"),INVENTARIO!A97,"")</f>
        <v/>
      </c>
      <c r="B97" s="80" t="str">
        <f>IF(A97="","",INVENTARIO!B97)</f>
        <v/>
      </c>
      <c r="C97" s="60" t="str">
        <f>IF(A97="","",INVENTARIO!C97)</f>
        <v/>
      </c>
      <c r="D97" s="60" t="str">
        <f>IF(A97="","",INVENTARIO!D97)</f>
        <v/>
      </c>
      <c r="E97" s="45" t="str">
        <f>IF(A97="","",INVENTARIO!E97)</f>
        <v/>
      </c>
      <c r="F97" s="62" t="str">
        <f>IF(A97="","",INVENTARIO!H97)</f>
        <v/>
      </c>
      <c r="G97" s="81" t="str">
        <f>IF(A97="","",INVENTARIO!I97)</f>
        <v/>
      </c>
    </row>
    <row r="98" ht="15.75" customHeight="1">
      <c r="A98" s="80" t="str">
        <f>IF(OR(INVENTARIO!I98="CRÍTICO",INVENTARIO!I98="BAJO"),INVENTARIO!A98,"")</f>
        <v/>
      </c>
      <c r="B98" s="80" t="str">
        <f>IF(A98="","",INVENTARIO!B98)</f>
        <v/>
      </c>
      <c r="C98" s="60" t="str">
        <f>IF(A98="","",INVENTARIO!C98)</f>
        <v/>
      </c>
      <c r="D98" s="60" t="str">
        <f>IF(A98="","",INVENTARIO!D98)</f>
        <v/>
      </c>
      <c r="E98" s="45" t="str">
        <f>IF(A98="","",INVENTARIO!E98)</f>
        <v/>
      </c>
      <c r="F98" s="62" t="str">
        <f>IF(A98="","",INVENTARIO!H98)</f>
        <v/>
      </c>
      <c r="G98" s="81" t="str">
        <f>IF(A98="","",INVENTARIO!I98)</f>
        <v/>
      </c>
    </row>
    <row r="99" ht="15.75" customHeight="1">
      <c r="A99" s="80" t="str">
        <f>IF(OR(INVENTARIO!I99="CRÍTICO",INVENTARIO!I99="BAJO"),INVENTARIO!A99,"")</f>
        <v/>
      </c>
      <c r="B99" s="80" t="str">
        <f>IF(A99="","",INVENTARIO!B99)</f>
        <v/>
      </c>
      <c r="C99" s="60" t="str">
        <f>IF(A99="","",INVENTARIO!C99)</f>
        <v/>
      </c>
      <c r="D99" s="60" t="str">
        <f>IF(A99="","",INVENTARIO!D99)</f>
        <v/>
      </c>
      <c r="E99" s="45" t="str">
        <f>IF(A99="","",INVENTARIO!E99)</f>
        <v/>
      </c>
      <c r="F99" s="62" t="str">
        <f>IF(A99="","",INVENTARIO!H99)</f>
        <v/>
      </c>
      <c r="G99" s="81" t="str">
        <f>IF(A99="","",INVENTARIO!I99)</f>
        <v/>
      </c>
    </row>
    <row r="100" ht="15.75" customHeight="1">
      <c r="A100" s="80" t="str">
        <f>IF(OR(INVENTARIO!I100="CRÍTICO",INVENTARIO!I100="BAJO"),INVENTARIO!A100,"")</f>
        <v/>
      </c>
      <c r="B100" s="80" t="str">
        <f>IF(A100="","",INVENTARIO!B100)</f>
        <v/>
      </c>
      <c r="C100" s="60" t="str">
        <f>IF(A100="","",INVENTARIO!C100)</f>
        <v/>
      </c>
      <c r="D100" s="60" t="str">
        <f>IF(A100="","",INVENTARIO!D100)</f>
        <v/>
      </c>
      <c r="E100" s="45" t="str">
        <f>IF(A100="","",INVENTARIO!E100)</f>
        <v/>
      </c>
      <c r="F100" s="62" t="str">
        <f>IF(A100="","",INVENTARIO!H100)</f>
        <v/>
      </c>
      <c r="G100" s="81" t="str">
        <f>IF(A100="","",INVENTARIO!I100)</f>
        <v/>
      </c>
    </row>
    <row r="101" ht="15.75" customHeight="1">
      <c r="A101" s="80" t="str">
        <f>IF(OR(INVENTARIO!I101="CRÍTICO",INVENTARIO!I101="BAJO"),INVENTARIO!A101,"")</f>
        <v/>
      </c>
      <c r="B101" s="80" t="str">
        <f>IF(A101="","",INVENTARIO!B101)</f>
        <v/>
      </c>
      <c r="C101" s="60" t="str">
        <f>IF(A101="","",INVENTARIO!C101)</f>
        <v/>
      </c>
      <c r="D101" s="60" t="str">
        <f>IF(A101="","",INVENTARIO!D101)</f>
        <v/>
      </c>
      <c r="E101" s="45" t="str">
        <f>IF(A101="","",INVENTARIO!E101)</f>
        <v/>
      </c>
      <c r="F101" s="62" t="str">
        <f>IF(A101="","",INVENTARIO!H101)</f>
        <v/>
      </c>
      <c r="G101" s="81" t="str">
        <f>IF(A101="","",INVENTARIO!I101)</f>
        <v/>
      </c>
    </row>
    <row r="102" ht="15.75" customHeight="1">
      <c r="A102" s="80" t="str">
        <f>IF(OR(INVENTARIO!I102="CRÍTICO",INVENTARIO!I102="BAJO"),INVENTARIO!A102,"")</f>
        <v/>
      </c>
      <c r="B102" s="80" t="str">
        <f>IF(A102="","",INVENTARIO!B102)</f>
        <v/>
      </c>
      <c r="C102" s="60" t="str">
        <f>IF(A102="","",INVENTARIO!C102)</f>
        <v/>
      </c>
      <c r="D102" s="60" t="str">
        <f>IF(A102="","",INVENTARIO!D102)</f>
        <v/>
      </c>
      <c r="E102" s="45" t="str">
        <f>IF(A102="","",INVENTARIO!E102)</f>
        <v/>
      </c>
      <c r="F102" s="62" t="str">
        <f>IF(A102="","",INVENTARIO!H102)</f>
        <v/>
      </c>
      <c r="G102" s="81" t="str">
        <f>IF(A102="","",INVENTARIO!I102)</f>
        <v/>
      </c>
    </row>
    <row r="103" ht="15.75" customHeight="1">
      <c r="A103" s="80" t="str">
        <f>IF(OR(INVENTARIO!I103="CRÍTICO",INVENTARIO!I103="BAJO"),INVENTARIO!A103,"")</f>
        <v/>
      </c>
      <c r="B103" s="80" t="str">
        <f>IF(A103="","",INVENTARIO!B103)</f>
        <v/>
      </c>
      <c r="C103" s="60" t="str">
        <f>IF(A103="","",INVENTARIO!C103)</f>
        <v/>
      </c>
      <c r="D103" s="60" t="str">
        <f>IF(A103="","",INVENTARIO!D103)</f>
        <v/>
      </c>
      <c r="E103" s="45" t="str">
        <f>IF(A103="","",INVENTARIO!E103)</f>
        <v/>
      </c>
      <c r="F103" s="62" t="str">
        <f>IF(A103="","",INVENTARIO!H103)</f>
        <v/>
      </c>
      <c r="G103" s="81" t="str">
        <f>IF(A103="","",INVENTARIO!I103)</f>
        <v/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103"/>
  <mergeCells count="1">
    <mergeCell ref="A1:G1"/>
  </mergeCells>
  <conditionalFormatting sqref="G4:G103">
    <cfRule type="expression" dxfId="0" priority="1">
      <formula>G4="CRÍTICO"</formula>
    </cfRule>
  </conditionalFormatting>
  <conditionalFormatting sqref="G4:G103">
    <cfRule type="expression" dxfId="2" priority="2">
      <formula>G4="BAJO"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8.0"/>
    <col customWidth="1" min="4" max="4" width="12.0"/>
    <col customWidth="1" min="5" max="5" width="14.0"/>
    <col customWidth="1" min="6" max="6" width="16.43"/>
    <col customWidth="1" min="7" max="26" width="8.71"/>
  </cols>
  <sheetData>
    <row r="1" ht="27.75" customHeight="1">
      <c r="A1" s="82" t="s">
        <v>142</v>
      </c>
      <c r="B1" s="2"/>
      <c r="C1" s="2"/>
      <c r="D1" s="2"/>
      <c r="E1" s="2"/>
      <c r="F1" s="3"/>
    </row>
    <row r="2">
      <c r="A2" s="4" t="s">
        <v>143</v>
      </c>
    </row>
    <row r="3" ht="21.75" customHeight="1">
      <c r="A3" s="83" t="s">
        <v>4</v>
      </c>
      <c r="B3" s="83" t="s">
        <v>5</v>
      </c>
      <c r="C3" s="83" t="s">
        <v>6</v>
      </c>
      <c r="D3" s="83" t="s">
        <v>140</v>
      </c>
      <c r="E3" s="83" t="s">
        <v>120</v>
      </c>
      <c r="F3" s="83" t="s">
        <v>144</v>
      </c>
    </row>
    <row r="4">
      <c r="A4" s="80" t="str">
        <f>IF(INVENTARIO!E4&gt;0,INVENTARIO!A4,"")</f>
        <v>OverShark</v>
      </c>
      <c r="B4" s="80" t="str">
        <f>IF(A4="","",INVENTARIO!B4)</f>
        <v>jersey 30/1</v>
      </c>
      <c r="C4" s="60" t="str">
        <f>IF(A4="","",INVENTARIO!C4)</f>
        <v>Negro</v>
      </c>
      <c r="D4" s="45">
        <f>IF(A4="","",INVENTARIO!E4)</f>
        <v>14</v>
      </c>
      <c r="E4" s="62">
        <f>IF(A4="","",INVENTARIO!H4)</f>
        <v>6720</v>
      </c>
      <c r="F4" s="84" t="str">
        <f>IFERROR(IF(A4="","",_xludf.maxifs(MOVIMIENTOS!$A$4:$A$1000,MOVIMIENTOS!$C$4:$C$1000,A4,MOVIMIENTOS!$D$4:$D$1000,B4,MOVIMIENTOS!$E$4:$E$1000,C4)),"")</f>
        <v/>
      </c>
    </row>
    <row r="5">
      <c r="A5" s="80" t="str">
        <f>IF(INVENTARIO!E5&gt;0,INVENTARIO!A5,"")</f>
        <v>OverShark</v>
      </c>
      <c r="B5" s="80" t="str">
        <f>IF(A5="","",INVENTARIO!B5)</f>
        <v>jersey 30/1</v>
      </c>
      <c r="C5" s="60" t="str">
        <f>IF(A5="","",INVENTARIO!C5)</f>
        <v>Perla</v>
      </c>
      <c r="D5" s="45">
        <f>IF(A5="","",INVENTARIO!E5)</f>
        <v>43</v>
      </c>
      <c r="E5" s="62">
        <f>IF(A5="","",INVENTARIO!H5)</f>
        <v>15480</v>
      </c>
      <c r="F5" s="84" t="str">
        <f>IFERROR(IF(A5="","",_xludf.maxifs(MOVIMIENTOS!$A$4:$A$1000,MOVIMIENTOS!$C$4:$C$1000,A5,MOVIMIENTOS!$D$4:$D$1000,B5,MOVIMIENTOS!$E$4:$E$1000,C5)),"")</f>
        <v/>
      </c>
    </row>
    <row r="6">
      <c r="A6" s="80" t="str">
        <f>IF(INVENTARIO!E6&gt;0,INVENTARIO!A6,"")</f>
        <v/>
      </c>
      <c r="B6" s="80" t="str">
        <f>IF(A6="","",INVENTARIO!B6)</f>
        <v/>
      </c>
      <c r="C6" s="60" t="str">
        <f>IF(A6="","",INVENTARIO!C6)</f>
        <v/>
      </c>
      <c r="D6" s="45" t="str">
        <f>IF(A6="","",INVENTARIO!E6)</f>
        <v/>
      </c>
      <c r="E6" s="62" t="str">
        <f>IF(A6="","",INVENTARIO!H6)</f>
        <v/>
      </c>
      <c r="F6" s="84" t="str">
        <f>IFERROR(IF(A6="","",_xludf.maxifs(MOVIMIENTOS!$A$4:$A$1000,MOVIMIENTOS!$C$4:$C$1000,A6,MOVIMIENTOS!$D$4:$D$1000,B6,MOVIMIENTOS!$E$4:$E$1000,C6)),"")</f>
        <v/>
      </c>
    </row>
    <row r="7">
      <c r="A7" s="80" t="str">
        <f>IF(INVENTARIO!E7&gt;0,INVENTARIO!A7,"")</f>
        <v>OverShark</v>
      </c>
      <c r="B7" s="80" t="str">
        <f>IF(A7="","",INVENTARIO!B7)</f>
        <v>jersey 30/1</v>
      </c>
      <c r="C7" s="60" t="str">
        <f>IF(A7="","",INVENTARIO!C7)</f>
        <v>Azul</v>
      </c>
      <c r="D7" s="45">
        <f>IF(A7="","",INVENTARIO!E7)</f>
        <v>6</v>
      </c>
      <c r="E7" s="62">
        <f>IF(A7="","",INVENTARIO!H7)</f>
        <v>2880</v>
      </c>
      <c r="F7" s="84" t="str">
        <f>IFERROR(IF(A7="","",_xludf.maxifs(MOVIMIENTOS!$A$4:$A$1000,MOVIMIENTOS!$C$4:$C$1000,A7,MOVIMIENTOS!$D$4:$D$1000,B7,MOVIMIENTOS!$E$4:$E$1000,C7)),"")</f>
        <v/>
      </c>
    </row>
    <row r="8">
      <c r="A8" s="80" t="str">
        <f>IF(INVENTARIO!E8&gt;0,INVENTARIO!A8,"")</f>
        <v>OverShark</v>
      </c>
      <c r="B8" s="80" t="str">
        <f>IF(A8="","",INVENTARIO!B8)</f>
        <v>jersey 30/1</v>
      </c>
      <c r="C8" s="60" t="str">
        <f>IF(A8="","",INVENTARIO!C8)</f>
        <v>Beige</v>
      </c>
      <c r="D8" s="45">
        <f>IF(A8="","",INVENTARIO!E8)</f>
        <v>8</v>
      </c>
      <c r="E8" s="62">
        <f>IF(A8="","",INVENTARIO!H8)</f>
        <v>3360</v>
      </c>
      <c r="F8" s="84" t="str">
        <f>IFERROR(IF(A8="","",_xludf.maxifs(MOVIMIENTOS!$A$4:$A$1000,MOVIMIENTOS!$C$4:$C$1000,A8,MOVIMIENTOS!$D$4:$D$1000,B8,MOVIMIENTOS!$E$4:$E$1000,C8)),"")</f>
        <v/>
      </c>
    </row>
    <row r="9">
      <c r="A9" s="80" t="str">
        <f>IF(INVENTARIO!E9&gt;0,INVENTARIO!A9,"")</f>
        <v/>
      </c>
      <c r="B9" s="80" t="str">
        <f>IF(A9="","",INVENTARIO!B9)</f>
        <v/>
      </c>
      <c r="C9" s="60" t="str">
        <f>IF(A9="","",INVENTARIO!C9)</f>
        <v/>
      </c>
      <c r="D9" s="45" t="str">
        <f>IF(A9="","",INVENTARIO!E9)</f>
        <v/>
      </c>
      <c r="E9" s="62" t="str">
        <f>IF(A9="","",INVENTARIO!H9)</f>
        <v/>
      </c>
      <c r="F9" s="84" t="str">
        <f>IFERROR(IF(A9="","",_xludf.maxifs(MOVIMIENTOS!$A$4:$A$1000,MOVIMIENTOS!$C$4:$C$1000,A9,MOVIMIENTOS!$D$4:$D$1000,B9,MOVIMIENTOS!$E$4:$E$1000,C9)),"")</f>
        <v/>
      </c>
    </row>
    <row r="10">
      <c r="A10" s="80" t="str">
        <f>IF(INVENTARIO!E10&gt;0,INVENTARIO!A10,"")</f>
        <v>OverShark</v>
      </c>
      <c r="B10" s="80" t="str">
        <f>IF(A10="","",INVENTARIO!B10)</f>
        <v>jersey 30/1</v>
      </c>
      <c r="C10" s="60" t="str">
        <f>IF(A10="","",INVENTARIO!C10)</f>
        <v>Botella</v>
      </c>
      <c r="D10" s="45">
        <f>IF(A10="","",INVENTARIO!E10)</f>
        <v>9</v>
      </c>
      <c r="E10" s="62">
        <f>IF(A10="","",INVENTARIO!H10)</f>
        <v>4320</v>
      </c>
      <c r="F10" s="84" t="str">
        <f>IFERROR(IF(A10="","",_xludf.maxifs(MOVIMIENTOS!$A$4:$A$1000,MOVIMIENTOS!$C$4:$C$1000,A10,MOVIMIENTOS!$D$4:$D$1000,B10,MOVIMIENTOS!$E$4:$E$1000,C10)),"")</f>
        <v/>
      </c>
    </row>
    <row r="11">
      <c r="A11" s="80" t="str">
        <f>IF(INVENTARIO!E11&gt;0,INVENTARIO!A11,"")</f>
        <v>OverShark</v>
      </c>
      <c r="B11" s="80" t="str">
        <f>IF(A11="","",INVENTARIO!B11)</f>
        <v>jersey 30/1</v>
      </c>
      <c r="C11" s="60" t="str">
        <f>IF(A11="","",INVENTARIO!C11)</f>
        <v>Pacay</v>
      </c>
      <c r="D11" s="45">
        <f>IF(A11="","",INVENTARIO!E11)</f>
        <v>8</v>
      </c>
      <c r="E11" s="62">
        <f>IF(A11="","",INVENTARIO!H11)</f>
        <v>3360</v>
      </c>
      <c r="F11" s="84" t="str">
        <f>IFERROR(IF(A11="","",_xludf.maxifs(MOVIMIENTOS!$A$4:$A$1000,MOVIMIENTOS!$C$4:$C$1000,A11,MOVIMIENTOS!$D$4:$D$1000,B11,MOVIMIENTOS!$E$4:$E$1000,C11)),"")</f>
        <v/>
      </c>
    </row>
    <row r="12">
      <c r="A12" s="80" t="str">
        <f>IF(INVENTARIO!E12&gt;0,INVENTARIO!A12,"")</f>
        <v>OverShark</v>
      </c>
      <c r="B12" s="80" t="str">
        <f>IF(A12="","",INVENTARIO!B12)</f>
        <v>jersey 30/1</v>
      </c>
      <c r="C12" s="60" t="str">
        <f>IF(A12="","",INVENTARIO!C12)</f>
        <v>Cemento</v>
      </c>
      <c r="D12" s="45">
        <f>IF(A12="","",INVENTARIO!E12)</f>
        <v>16</v>
      </c>
      <c r="E12" s="62">
        <f>IF(A12="","",INVENTARIO!H12)</f>
        <v>6720</v>
      </c>
      <c r="F12" s="84" t="str">
        <f>IFERROR(IF(A12="","",_xludf.maxifs(MOVIMIENTOS!$A$4:$A$1000,MOVIMIENTOS!$C$4:$C$1000,A12,MOVIMIENTOS!$D$4:$D$1000,B12,MOVIMIENTOS!$E$4:$E$1000,C12)),"")</f>
        <v/>
      </c>
    </row>
    <row r="13">
      <c r="A13" s="80" t="str">
        <f>IF(INVENTARIO!E13&gt;0,INVENTARIO!A13,"")</f>
        <v/>
      </c>
      <c r="B13" s="80" t="str">
        <f>IF(A13="","",INVENTARIO!B13)</f>
        <v/>
      </c>
      <c r="C13" s="60" t="str">
        <f>IF(A13="","",INVENTARIO!C13)</f>
        <v/>
      </c>
      <c r="D13" s="45" t="str">
        <f>IF(A13="","",INVENTARIO!E13)</f>
        <v/>
      </c>
      <c r="E13" s="62" t="str">
        <f>IF(A13="","",INVENTARIO!H13)</f>
        <v/>
      </c>
      <c r="F13" s="84" t="str">
        <f>IFERROR(IF(A13="","",_xludf.maxifs(MOVIMIENTOS!$A$4:$A$1000,MOVIMIENTOS!$C$4:$C$1000,A13,MOVIMIENTOS!$D$4:$D$1000,B13,MOVIMIENTOS!$E$4:$E$1000,C13)),"")</f>
        <v/>
      </c>
    </row>
    <row r="14">
      <c r="A14" s="80" t="str">
        <f>IF(INVENTARIO!E14&gt;0,INVENTARIO!A14,"")</f>
        <v>OverShark</v>
      </c>
      <c r="B14" s="80" t="str">
        <f>IF(A14="","",INVENTARIO!B14)</f>
        <v>jersey 30/1</v>
      </c>
      <c r="C14" s="60" t="str">
        <f>IF(A14="","",INVENTARIO!C14)</f>
        <v>Denim</v>
      </c>
      <c r="D14" s="45">
        <f>IF(A14="","",INVENTARIO!E14)</f>
        <v>7</v>
      </c>
      <c r="E14" s="62">
        <f>IF(A14="","",INVENTARIO!H14)</f>
        <v>2940</v>
      </c>
      <c r="F14" s="84" t="str">
        <f>IFERROR(IF(A14="","",_xludf.maxifs(MOVIMIENTOS!$A$4:$A$1000,MOVIMIENTOS!$C$4:$C$1000,A14,MOVIMIENTOS!$D$4:$D$1000,B14,MOVIMIENTOS!$E$4:$E$1000,C14)),"")</f>
        <v/>
      </c>
    </row>
    <row r="15">
      <c r="A15" s="80" t="str">
        <f>IF(INVENTARIO!E15&gt;0,INVENTARIO!A15,"")</f>
        <v>OverShark</v>
      </c>
      <c r="B15" s="80" t="str">
        <f>IF(A15="","",INVENTARIO!B15)</f>
        <v>jersey 30/1</v>
      </c>
      <c r="C15" s="60" t="str">
        <f>IF(A15="","",INVENTARIO!C15)</f>
        <v>Plomo</v>
      </c>
      <c r="D15" s="45">
        <f>IF(A15="","",INVENTARIO!E15)</f>
        <v>4</v>
      </c>
      <c r="E15" s="62">
        <f>IF(A15="","",INVENTARIO!H15)</f>
        <v>1920</v>
      </c>
      <c r="F15" s="84" t="str">
        <f>IFERROR(IF(A15="","",_xludf.maxifs(MOVIMIENTOS!$A$4:$A$1000,MOVIMIENTOS!$C$4:$C$1000,A15,MOVIMIENTOS!$D$4:$D$1000,B15,MOVIMIENTOS!$E$4:$E$1000,C15)),"")</f>
        <v/>
      </c>
    </row>
    <row r="16">
      <c r="A16" s="80" t="str">
        <f>IF(INVENTARIO!E16&gt;0,INVENTARIO!A16,"")</f>
        <v/>
      </c>
      <c r="B16" s="80" t="str">
        <f>IF(A16="","",INVENTARIO!B16)</f>
        <v/>
      </c>
      <c r="C16" s="60" t="str">
        <f>IF(A16="","",INVENTARIO!C16)</f>
        <v/>
      </c>
      <c r="D16" s="45" t="str">
        <f>IF(A16="","",INVENTARIO!E16)</f>
        <v/>
      </c>
      <c r="E16" s="62" t="str">
        <f>IF(A16="","",INVENTARIO!H16)</f>
        <v/>
      </c>
      <c r="F16" s="84" t="str">
        <f>IFERROR(IF(A16="","",_xludf.maxifs(MOVIMIENTOS!$A$4:$A$1000,MOVIMIENTOS!$C$4:$C$1000,A16,MOVIMIENTOS!$D$4:$D$1000,B16,MOVIMIENTOS!$E$4:$E$1000,C16)),"")</f>
        <v/>
      </c>
    </row>
    <row r="17">
      <c r="A17" s="80" t="str">
        <f>IF(INVENTARIO!E17&gt;0,INVENTARIO!A17,"")</f>
        <v>OverShark</v>
      </c>
      <c r="B17" s="80" t="str">
        <f>IF(A17="","",INVENTARIO!B17)</f>
        <v>jersey 30/1</v>
      </c>
      <c r="C17" s="60" t="str">
        <f>IF(A17="","",INVENTARIO!C17)</f>
        <v>Vino</v>
      </c>
      <c r="D17" s="45">
        <f>IF(A17="","",INVENTARIO!E17)</f>
        <v>5</v>
      </c>
      <c r="E17" s="62">
        <f>IF(A17="","",INVENTARIO!H17)</f>
        <v>2400</v>
      </c>
      <c r="F17" s="84" t="str">
        <f>IFERROR(IF(A17="","",_xludf.maxifs(MOVIMIENTOS!$A$4:$A$1000,MOVIMIENTOS!$C$4:$C$1000,A17,MOVIMIENTOS!$D$4:$D$1000,B17,MOVIMIENTOS!$E$4:$E$1000,C17)),"")</f>
        <v/>
      </c>
    </row>
    <row r="18">
      <c r="A18" s="80" t="str">
        <f>IF(INVENTARIO!E18&gt;0,INVENTARIO!A18,"")</f>
        <v>OverShark</v>
      </c>
      <c r="B18" s="80" t="str">
        <f>IF(A18="","",INVENTARIO!B18)</f>
        <v>jersey 30/1</v>
      </c>
      <c r="C18" s="60" t="str">
        <f>IF(A18="","",INVENTARIO!C18)</f>
        <v>P. Rosa</v>
      </c>
      <c r="D18" s="45">
        <f>IF(A18="","",INVENTARIO!E18)</f>
        <v>16</v>
      </c>
      <c r="E18" s="62">
        <f>IF(A18="","",INVENTARIO!H18)</f>
        <v>6720</v>
      </c>
      <c r="F18" s="84" t="str">
        <f>IFERROR(IF(A18="","",_xludf.maxifs(MOVIMIENTOS!$A$4:$A$1000,MOVIMIENTOS!$C$4:$C$1000,A18,MOVIMIENTOS!$D$4:$D$1000,B18,MOVIMIENTOS!$E$4:$E$1000,C18)),"")</f>
        <v/>
      </c>
    </row>
    <row r="19">
      <c r="A19" s="80" t="str">
        <f>IF(INVENTARIO!E19&gt;0,INVENTARIO!A19,"")</f>
        <v/>
      </c>
      <c r="B19" s="80" t="str">
        <f>IF(A19="","",INVENTARIO!B19)</f>
        <v/>
      </c>
      <c r="C19" s="60" t="str">
        <f>IF(A19="","",INVENTARIO!C19)</f>
        <v/>
      </c>
      <c r="D19" s="45" t="str">
        <f>IF(A19="","",INVENTARIO!E19)</f>
        <v/>
      </c>
      <c r="E19" s="62" t="str">
        <f>IF(A19="","",INVENTARIO!H19)</f>
        <v/>
      </c>
      <c r="F19" s="84" t="str">
        <f>IFERROR(IF(A19="","",_xludf.maxifs(MOVIMIENTOS!$A$4:$A$1000,MOVIMIENTOS!$C$4:$C$1000,A19,MOVIMIENTOS!$D$4:$D$1000,B19,MOVIMIENTOS!$E$4:$E$1000,C19)),"")</f>
        <v/>
      </c>
    </row>
    <row r="20">
      <c r="A20" s="80" t="str">
        <f>IF(INVENTARIO!E20&gt;0,INVENTARIO!A20,"")</f>
        <v/>
      </c>
      <c r="B20" s="80" t="str">
        <f>IF(A20="","",INVENTARIO!B20)</f>
        <v/>
      </c>
      <c r="C20" s="60" t="str">
        <f>IF(A20="","",INVENTARIO!C20)</f>
        <v/>
      </c>
      <c r="D20" s="45" t="str">
        <f>IF(A20="","",INVENTARIO!E20)</f>
        <v/>
      </c>
      <c r="E20" s="62" t="str">
        <f>IF(A20="","",INVENTARIO!H20)</f>
        <v/>
      </c>
      <c r="F20" s="84" t="str">
        <f>IFERROR(IF(A20="","",_xludf.maxifs(MOVIMIENTOS!$A$4:$A$1000,MOVIMIENTOS!$C$4:$C$1000,A20,MOVIMIENTOS!$D$4:$D$1000,B20,MOVIMIENTOS!$E$4:$E$1000,C20)),"")</f>
        <v/>
      </c>
    </row>
    <row r="21" ht="15.75" customHeight="1">
      <c r="A21" s="80" t="str">
        <f>IF(INVENTARIO!E21&gt;0,INVENTARIO!A21,"")</f>
        <v/>
      </c>
      <c r="B21" s="80" t="str">
        <f>IF(A21="","",INVENTARIO!B21)</f>
        <v/>
      </c>
      <c r="C21" s="60" t="str">
        <f>IF(A21="","",INVENTARIO!C21)</f>
        <v/>
      </c>
      <c r="D21" s="45" t="str">
        <f>IF(A21="","",INVENTARIO!E21)</f>
        <v/>
      </c>
      <c r="E21" s="62" t="str">
        <f>IF(A21="","",INVENTARIO!H21)</f>
        <v/>
      </c>
      <c r="F21" s="84" t="str">
        <f>IFERROR(IF(A21="","",_xludf.maxifs(MOVIMIENTOS!$A$4:$A$1000,MOVIMIENTOS!$C$4:$C$1000,A21,MOVIMIENTOS!$D$4:$D$1000,B21,MOVIMIENTOS!$E$4:$E$1000,C21)),"")</f>
        <v/>
      </c>
    </row>
    <row r="22" ht="15.75" customHeight="1">
      <c r="A22" s="80" t="str">
        <f>IF(INVENTARIO!E22&gt;0,INVENTARIO!A22,"")</f>
        <v/>
      </c>
      <c r="B22" s="80" t="str">
        <f>IF(A22="","",INVENTARIO!B22)</f>
        <v/>
      </c>
      <c r="C22" s="60" t="str">
        <f>IF(A22="","",INVENTARIO!C22)</f>
        <v/>
      </c>
      <c r="D22" s="45" t="str">
        <f>IF(A22="","",INVENTARIO!E22)</f>
        <v/>
      </c>
      <c r="E22" s="62" t="str">
        <f>IF(A22="","",INVENTARIO!H22)</f>
        <v/>
      </c>
      <c r="F22" s="84" t="str">
        <f>IFERROR(IF(A22="","",_xludf.maxifs(MOVIMIENTOS!$A$4:$A$1000,MOVIMIENTOS!$C$4:$C$1000,A22,MOVIMIENTOS!$D$4:$D$1000,B22,MOVIMIENTOS!$E$4:$E$1000,C22)),"")</f>
        <v/>
      </c>
    </row>
    <row r="23" ht="15.75" customHeight="1">
      <c r="A23" s="80" t="str">
        <f>IF(INVENTARIO!E23&gt;0,INVENTARIO!A23,"")</f>
        <v/>
      </c>
      <c r="B23" s="80" t="str">
        <f>IF(A23="","",INVENTARIO!B23)</f>
        <v/>
      </c>
      <c r="C23" s="60" t="str">
        <f>IF(A23="","",INVENTARIO!C23)</f>
        <v/>
      </c>
      <c r="D23" s="45" t="str">
        <f>IF(A23="","",INVENTARIO!E23)</f>
        <v/>
      </c>
      <c r="E23" s="62" t="str">
        <f>IF(A23="","",INVENTARIO!H23)</f>
        <v/>
      </c>
      <c r="F23" s="84" t="str">
        <f>IFERROR(IF(A23="","",_xludf.maxifs(MOVIMIENTOS!$A$4:$A$1000,MOVIMIENTOS!$C$4:$C$1000,A23,MOVIMIENTOS!$D$4:$D$1000,B23,MOVIMIENTOS!$E$4:$E$1000,C23)),"")</f>
        <v/>
      </c>
    </row>
    <row r="24" ht="15.75" customHeight="1">
      <c r="A24" s="80" t="str">
        <f>IF(INVENTARIO!E24&gt;0,INVENTARIO!A24,"")</f>
        <v>OverShark</v>
      </c>
      <c r="B24" s="80" t="str">
        <f>IF(A24="","",INVENTARIO!B24)</f>
        <v>pique 30/1</v>
      </c>
      <c r="C24" s="60" t="str">
        <f>IF(A24="","",INVENTARIO!C24)</f>
        <v>Negro</v>
      </c>
      <c r="D24" s="45">
        <f>IF(A24="","",INVENTARIO!E24)</f>
        <v>28</v>
      </c>
      <c r="E24" s="62">
        <f>IF(A24="","",INVENTARIO!H24)</f>
        <v>13440</v>
      </c>
      <c r="F24" s="84" t="str">
        <f>IFERROR(IF(A24="","",_xludf.maxifs(MOVIMIENTOS!$A$4:$A$1000,MOVIMIENTOS!$C$4:$C$1000,A24,MOVIMIENTOS!$D$4:$D$1000,B24,MOVIMIENTOS!$E$4:$E$1000,C24)),"")</f>
        <v/>
      </c>
    </row>
    <row r="25" ht="15.75" customHeight="1">
      <c r="A25" s="80" t="str">
        <f>IF(INVENTARIO!E25&gt;0,INVENTARIO!A25,"")</f>
        <v>OverShark</v>
      </c>
      <c r="B25" s="80" t="str">
        <f>IF(A25="","",INVENTARIO!B25)</f>
        <v>pique 30/1</v>
      </c>
      <c r="C25" s="60" t="str">
        <f>IF(A25="","",INVENTARIO!C25)</f>
        <v>Perla</v>
      </c>
      <c r="D25" s="45">
        <f>IF(A25="","",INVENTARIO!E25)</f>
        <v>23</v>
      </c>
      <c r="E25" s="62">
        <f>IF(A25="","",INVENTARIO!H25)</f>
        <v>8280</v>
      </c>
      <c r="F25" s="84" t="str">
        <f>IFERROR(IF(A25="","",_xludf.maxifs(MOVIMIENTOS!$A$4:$A$1000,MOVIMIENTOS!$C$4:$C$1000,A25,MOVIMIENTOS!$D$4:$D$1000,B25,MOVIMIENTOS!$E$4:$E$1000,C25)),"")</f>
        <v/>
      </c>
    </row>
    <row r="26" ht="15.75" customHeight="1">
      <c r="A26" s="80" t="str">
        <f>IF(INVENTARIO!E26&gt;0,INVENTARIO!A26,"")</f>
        <v/>
      </c>
      <c r="B26" s="80" t="str">
        <f>IF(A26="","",INVENTARIO!B26)</f>
        <v/>
      </c>
      <c r="C26" s="60" t="str">
        <f>IF(A26="","",INVENTARIO!C26)</f>
        <v/>
      </c>
      <c r="D26" s="45" t="str">
        <f>IF(A26="","",INVENTARIO!E26)</f>
        <v/>
      </c>
      <c r="E26" s="62" t="str">
        <f>IF(A26="","",INVENTARIO!H26)</f>
        <v/>
      </c>
      <c r="F26" s="84" t="str">
        <f>IFERROR(IF(A26="","",_xludf.maxifs(MOVIMIENTOS!$A$4:$A$1000,MOVIMIENTOS!$C$4:$C$1000,A26,MOVIMIENTOS!$D$4:$D$1000,B26,MOVIMIENTOS!$E$4:$E$1000,C26)),"")</f>
        <v/>
      </c>
    </row>
    <row r="27" ht="15.75" customHeight="1">
      <c r="A27" s="80" t="str">
        <f>IF(INVENTARIO!E27&gt;0,INVENTARIO!A27,"")</f>
        <v>OverShark</v>
      </c>
      <c r="B27" s="80" t="str">
        <f>IF(A27="","",INVENTARIO!B27)</f>
        <v>pique 30/1</v>
      </c>
      <c r="C27" s="60" t="str">
        <f>IF(A27="","",INVENTARIO!C27)</f>
        <v>Azul</v>
      </c>
      <c r="D27" s="45">
        <f>IF(A27="","",INVENTARIO!E27)</f>
        <v>13</v>
      </c>
      <c r="E27" s="62">
        <f>IF(A27="","",INVENTARIO!H27)</f>
        <v>6240</v>
      </c>
      <c r="F27" s="84" t="str">
        <f>IFERROR(IF(A27="","",_xludf.maxifs(MOVIMIENTOS!$A$4:$A$1000,MOVIMIENTOS!$C$4:$C$1000,A27,MOVIMIENTOS!$D$4:$D$1000,B27,MOVIMIENTOS!$E$4:$E$1000,C27)),"")</f>
        <v/>
      </c>
    </row>
    <row r="28" ht="15.75" customHeight="1">
      <c r="A28" s="80" t="str">
        <f>IF(INVENTARIO!E28&gt;0,INVENTARIO!A28,"")</f>
        <v/>
      </c>
      <c r="B28" s="80" t="str">
        <f>IF(A28="","",INVENTARIO!B28)</f>
        <v/>
      </c>
      <c r="C28" s="60" t="str">
        <f>IF(A28="","",INVENTARIO!C28)</f>
        <v/>
      </c>
      <c r="D28" s="45" t="str">
        <f>IF(A28="","",INVENTARIO!E28)</f>
        <v/>
      </c>
      <c r="E28" s="62" t="str">
        <f>IF(A28="","",INVENTARIO!H28)</f>
        <v/>
      </c>
      <c r="F28" s="84" t="str">
        <f>IFERROR(IF(A28="","",_xludf.maxifs(MOVIMIENTOS!$A$4:$A$1000,MOVIMIENTOS!$C$4:$C$1000,A28,MOVIMIENTOS!$D$4:$D$1000,B28,MOVIMIENTOS!$E$4:$E$1000,C28)),"")</f>
        <v/>
      </c>
    </row>
    <row r="29" ht="15.75" customHeight="1">
      <c r="A29" s="80" t="str">
        <f>IF(INVENTARIO!E29&gt;0,INVENTARIO!A29,"")</f>
        <v>OverShark</v>
      </c>
      <c r="B29" s="80" t="str">
        <f>IF(A29="","",INVENTARIO!B29)</f>
        <v>pique 30/1</v>
      </c>
      <c r="C29" s="60" t="str">
        <f>IF(A29="","",INVENTARIO!C29)</f>
        <v>Melange</v>
      </c>
      <c r="D29" s="45">
        <f>IF(A29="","",INVENTARIO!E29)</f>
        <v>3</v>
      </c>
      <c r="E29" s="62">
        <f>IF(A29="","",INVENTARIO!H29)</f>
        <v>1080</v>
      </c>
      <c r="F29" s="84" t="str">
        <f>IFERROR(IF(A29="","",_xludf.maxifs(MOVIMIENTOS!$A$4:$A$1000,MOVIMIENTOS!$C$4:$C$1000,A29,MOVIMIENTOS!$D$4:$D$1000,B29,MOVIMIENTOS!$E$4:$E$1000,C29)),"")</f>
        <v/>
      </c>
    </row>
    <row r="30" ht="15.75" customHeight="1">
      <c r="A30" s="80" t="str">
        <f>IF(INVENTARIO!E30&gt;0,INVENTARIO!A30,"")</f>
        <v/>
      </c>
      <c r="B30" s="80" t="str">
        <f>IF(A30="","",INVENTARIO!B30)</f>
        <v/>
      </c>
      <c r="C30" s="60" t="str">
        <f>IF(A30="","",INVENTARIO!C30)</f>
        <v/>
      </c>
      <c r="D30" s="45" t="str">
        <f>IF(A30="","",INVENTARIO!E30)</f>
        <v/>
      </c>
      <c r="E30" s="62" t="str">
        <f>IF(A30="","",INVENTARIO!H30)</f>
        <v/>
      </c>
      <c r="F30" s="84" t="str">
        <f>IFERROR(IF(A30="","",_xludf.maxifs(MOVIMIENTOS!$A$4:$A$1000,MOVIMIENTOS!$C$4:$C$1000,A30,MOVIMIENTOS!$D$4:$D$1000,B30,MOVIMIENTOS!$E$4:$E$1000,C30)),"")</f>
        <v/>
      </c>
    </row>
    <row r="31" ht="15.75" customHeight="1">
      <c r="A31" s="80" t="str">
        <f>IF(INVENTARIO!E31&gt;0,INVENTARIO!A31,"")</f>
        <v>OverShark</v>
      </c>
      <c r="B31" s="80" t="str">
        <f>IF(A31="","",INVENTARIO!B31)</f>
        <v>pique 30/1</v>
      </c>
      <c r="C31" s="60" t="str">
        <f>IF(A31="","",INVENTARIO!C31)</f>
        <v>Pacay</v>
      </c>
      <c r="D31" s="45">
        <f>IF(A31="","",INVENTARIO!E31)</f>
        <v>7</v>
      </c>
      <c r="E31" s="62">
        <f>IF(A31="","",INVENTARIO!H31)</f>
        <v>2940</v>
      </c>
      <c r="F31" s="84" t="str">
        <f>IFERROR(IF(A31="","",_xludf.maxifs(MOVIMIENTOS!$A$4:$A$1000,MOVIMIENTOS!$C$4:$C$1000,A31,MOVIMIENTOS!$D$4:$D$1000,B31,MOVIMIENTOS!$E$4:$E$1000,C31)),"")</f>
        <v/>
      </c>
    </row>
    <row r="32" ht="15.75" customHeight="1">
      <c r="A32" s="80" t="str">
        <f>IF(INVENTARIO!E32&gt;0,INVENTARIO!A32,"")</f>
        <v>OverShark</v>
      </c>
      <c r="B32" s="80" t="str">
        <f>IF(A32="","",INVENTARIO!B32)</f>
        <v>pique 30/1</v>
      </c>
      <c r="C32" s="60" t="str">
        <f>IF(A32="","",INVENTARIO!C32)</f>
        <v>Cemento</v>
      </c>
      <c r="D32" s="45">
        <f>IF(A32="","",INVENTARIO!E32)</f>
        <v>3</v>
      </c>
      <c r="E32" s="62">
        <f>IF(A32="","",INVENTARIO!H32)</f>
        <v>1260</v>
      </c>
      <c r="F32" s="84" t="str">
        <f>IFERROR(IF(A32="","",_xludf.maxifs(MOVIMIENTOS!$A$4:$A$1000,MOVIMIENTOS!$C$4:$C$1000,A32,MOVIMIENTOS!$D$4:$D$1000,B32,MOVIMIENTOS!$E$4:$E$1000,C32)),"")</f>
        <v/>
      </c>
    </row>
    <row r="33" ht="15.75" customHeight="1">
      <c r="A33" s="80" t="str">
        <f>IF(INVENTARIO!E33&gt;0,INVENTARIO!A33,"")</f>
        <v/>
      </c>
      <c r="B33" s="80" t="str">
        <f>IF(A33="","",INVENTARIO!B33)</f>
        <v/>
      </c>
      <c r="C33" s="60" t="str">
        <f>IF(A33="","",INVENTARIO!C33)</f>
        <v/>
      </c>
      <c r="D33" s="45" t="str">
        <f>IF(A33="","",INVENTARIO!E33)</f>
        <v/>
      </c>
      <c r="E33" s="62" t="str">
        <f>IF(A33="","",INVENTARIO!H33)</f>
        <v/>
      </c>
      <c r="F33" s="84" t="str">
        <f>IFERROR(IF(A33="","",_xludf.maxifs(MOVIMIENTOS!$A$4:$A$1000,MOVIMIENTOS!$C$4:$C$1000,A33,MOVIMIENTOS!$D$4:$D$1000,B33,MOVIMIENTOS!$E$4:$E$1000,C33)),"")</f>
        <v/>
      </c>
    </row>
    <row r="34" ht="15.75" customHeight="1">
      <c r="A34" s="80" t="str">
        <f>IF(INVENTARIO!E34&gt;0,INVENTARIO!A34,"")</f>
        <v>OverShark</v>
      </c>
      <c r="B34" s="80" t="str">
        <f>IF(A34="","",INVENTARIO!B34)</f>
        <v>pique 30/1</v>
      </c>
      <c r="C34" s="60" t="str">
        <f>IF(A34="","",INVENTARIO!C34)</f>
        <v>Denim</v>
      </c>
      <c r="D34" s="45">
        <f>IF(A34="","",INVENTARIO!E34)</f>
        <v>5</v>
      </c>
      <c r="E34" s="62">
        <f>IF(A34="","",INVENTARIO!H34)</f>
        <v>2100</v>
      </c>
      <c r="F34" s="84" t="str">
        <f>IFERROR(IF(A34="","",_xludf.maxifs(MOVIMIENTOS!$A$4:$A$1000,MOVIMIENTOS!$C$4:$C$1000,A34,MOVIMIENTOS!$D$4:$D$1000,B34,MOVIMIENTOS!$E$4:$E$1000,C34)),"")</f>
        <v/>
      </c>
    </row>
    <row r="35" ht="15.75" customHeight="1">
      <c r="A35" s="80" t="str">
        <f>IF(INVENTARIO!E35&gt;0,INVENTARIO!A35,"")</f>
        <v>OverShark</v>
      </c>
      <c r="B35" s="80" t="str">
        <f>IF(A35="","",INVENTARIO!B35)</f>
        <v>pique 30/1</v>
      </c>
      <c r="C35" s="60" t="str">
        <f>IF(A35="","",INVENTARIO!C35)</f>
        <v>Plomo</v>
      </c>
      <c r="D35" s="45">
        <f>IF(A35="","",INVENTARIO!E35)</f>
        <v>6</v>
      </c>
      <c r="E35" s="62">
        <f>IF(A35="","",INVENTARIO!H35)</f>
        <v>2880</v>
      </c>
      <c r="F35" s="84" t="str">
        <f>IFERROR(IF(A35="","",_xludf.maxifs(MOVIMIENTOS!$A$4:$A$1000,MOVIMIENTOS!$C$4:$C$1000,A35,MOVIMIENTOS!$D$4:$D$1000,B35,MOVIMIENTOS!$E$4:$E$1000,C35)),"")</f>
        <v/>
      </c>
    </row>
    <row r="36" ht="15.75" customHeight="1">
      <c r="A36" s="80" t="str">
        <f>IF(INVENTARIO!E36&gt;0,INVENTARIO!A36,"")</f>
        <v/>
      </c>
      <c r="B36" s="80" t="str">
        <f>IF(A36="","",INVENTARIO!B36)</f>
        <v/>
      </c>
      <c r="C36" s="60" t="str">
        <f>IF(A36="","",INVENTARIO!C36)</f>
        <v/>
      </c>
      <c r="D36" s="45" t="str">
        <f>IF(A36="","",INVENTARIO!E36)</f>
        <v/>
      </c>
      <c r="E36" s="62" t="str">
        <f>IF(A36="","",INVENTARIO!H36)</f>
        <v/>
      </c>
      <c r="F36" s="84" t="str">
        <f>IFERROR(IF(A36="","",_xludf.maxifs(MOVIMIENTOS!$A$4:$A$1000,MOVIMIENTOS!$C$4:$C$1000,A36,MOVIMIENTOS!$D$4:$D$1000,B36,MOVIMIENTOS!$E$4:$E$1000,C36)),"")</f>
        <v/>
      </c>
    </row>
    <row r="37" ht="15.75" customHeight="1">
      <c r="A37" s="80" t="str">
        <f>IF(INVENTARIO!E37&gt;0,INVENTARIO!A37,"")</f>
        <v/>
      </c>
      <c r="B37" s="80" t="str">
        <f>IF(A37="","",INVENTARIO!B37)</f>
        <v/>
      </c>
      <c r="C37" s="60" t="str">
        <f>IF(A37="","",INVENTARIO!C37)</f>
        <v/>
      </c>
      <c r="D37" s="45" t="str">
        <f>IF(A37="","",INVENTARIO!E37)</f>
        <v/>
      </c>
      <c r="E37" s="62" t="str">
        <f>IF(A37="","",INVENTARIO!H37)</f>
        <v/>
      </c>
      <c r="F37" s="84" t="str">
        <f>IFERROR(IF(A37="","",_xludf.maxifs(MOVIMIENTOS!$A$4:$A$1000,MOVIMIENTOS!$C$4:$C$1000,A37,MOVIMIENTOS!$D$4:$D$1000,B37,MOVIMIENTOS!$E$4:$E$1000,C37)),"")</f>
        <v/>
      </c>
    </row>
    <row r="38" ht="15.75" customHeight="1">
      <c r="A38" s="80" t="str">
        <f>IF(INVENTARIO!E38&gt;0,INVENTARIO!A38,"")</f>
        <v>OverShark</v>
      </c>
      <c r="B38" s="80" t="str">
        <f>IF(A38="","",INVENTARIO!B38)</f>
        <v>pique 30/1</v>
      </c>
      <c r="C38" s="60" t="str">
        <f>IF(A38="","",INVENTARIO!C38)</f>
        <v>P. Rosa</v>
      </c>
      <c r="D38" s="45">
        <f>IF(A38="","",INVENTARIO!E38)</f>
        <v>5</v>
      </c>
      <c r="E38" s="62">
        <f>IF(A38="","",INVENTARIO!H38)</f>
        <v>2100</v>
      </c>
      <c r="F38" s="84" t="str">
        <f>IFERROR(IF(A38="","",_xludf.maxifs(MOVIMIENTOS!$A$4:$A$1000,MOVIMIENTOS!$C$4:$C$1000,A38,MOVIMIENTOS!$D$4:$D$1000,B38,MOVIMIENTOS!$E$4:$E$1000,C38)),"")</f>
        <v/>
      </c>
    </row>
    <row r="39" ht="15.75" customHeight="1">
      <c r="A39" s="80" t="str">
        <f>IF(INVENTARIO!E39&gt;0,INVENTARIO!A39,"")</f>
        <v/>
      </c>
      <c r="B39" s="80" t="str">
        <f>IF(A39="","",INVENTARIO!B39)</f>
        <v/>
      </c>
      <c r="C39" s="60" t="str">
        <f>IF(A39="","",INVENTARIO!C39)</f>
        <v/>
      </c>
      <c r="D39" s="45" t="str">
        <f>IF(A39="","",INVENTARIO!E39)</f>
        <v/>
      </c>
      <c r="E39" s="62" t="str">
        <f>IF(A39="","",INVENTARIO!H39)</f>
        <v/>
      </c>
      <c r="F39" s="84" t="str">
        <f>IFERROR(IF(A39="","",_xludf.maxifs(MOVIMIENTOS!$A$4:$A$1000,MOVIMIENTOS!$C$4:$C$1000,A39,MOVIMIENTOS!$D$4:$D$1000,B39,MOVIMIENTOS!$E$4:$E$1000,C39)),"")</f>
        <v/>
      </c>
    </row>
    <row r="40" ht="15.75" customHeight="1">
      <c r="A40" s="80" t="str">
        <f>IF(INVENTARIO!E40&gt;0,INVENTARIO!A40,"")</f>
        <v/>
      </c>
      <c r="B40" s="80" t="str">
        <f>IF(A40="","",INVENTARIO!B40)</f>
        <v/>
      </c>
      <c r="C40" s="60" t="str">
        <f>IF(A40="","",INVENTARIO!C40)</f>
        <v/>
      </c>
      <c r="D40" s="45" t="str">
        <f>IF(A40="","",INVENTARIO!E40)</f>
        <v/>
      </c>
      <c r="E40" s="62" t="str">
        <f>IF(A40="","",INVENTARIO!H40)</f>
        <v/>
      </c>
      <c r="F40" s="84" t="str">
        <f>IFERROR(IF(A40="","",_xludf.maxifs(MOVIMIENTOS!$A$4:$A$1000,MOVIMIENTOS!$C$4:$C$1000,A40,MOVIMIENTOS!$D$4:$D$1000,B40,MOVIMIENTOS!$E$4:$E$1000,C40)),"")</f>
        <v/>
      </c>
    </row>
    <row r="41" ht="15.75" customHeight="1">
      <c r="A41" s="80" t="str">
        <f>IF(INVENTARIO!E41&gt;0,INVENTARIO!A41,"")</f>
        <v/>
      </c>
      <c r="B41" s="80" t="str">
        <f>IF(A41="","",INVENTARIO!B41)</f>
        <v/>
      </c>
      <c r="C41" s="60" t="str">
        <f>IF(A41="","",INVENTARIO!C41)</f>
        <v/>
      </c>
      <c r="D41" s="45" t="str">
        <f>IF(A41="","",INVENTARIO!E41)</f>
        <v/>
      </c>
      <c r="E41" s="62" t="str">
        <f>IF(A41="","",INVENTARIO!H41)</f>
        <v/>
      </c>
      <c r="F41" s="84" t="str">
        <f>IFERROR(IF(A41="","",_xludf.maxifs(MOVIMIENTOS!$A$4:$A$1000,MOVIMIENTOS!$C$4:$C$1000,A41,MOVIMIENTOS!$D$4:$D$1000,B41,MOVIMIENTOS!$E$4:$E$1000,C41)),"")</f>
        <v/>
      </c>
    </row>
    <row r="42" ht="15.75" customHeight="1">
      <c r="A42" s="80" t="str">
        <f>IF(INVENTARIO!E42&gt;0,INVENTARIO!A42,"")</f>
        <v/>
      </c>
      <c r="B42" s="80" t="str">
        <f>IF(A42="","",INVENTARIO!B42)</f>
        <v/>
      </c>
      <c r="C42" s="60" t="str">
        <f>IF(A42="","",INVENTARIO!C42)</f>
        <v/>
      </c>
      <c r="D42" s="45" t="str">
        <f>IF(A42="","",INVENTARIO!E42)</f>
        <v/>
      </c>
      <c r="E42" s="62" t="str">
        <f>IF(A42="","",INVENTARIO!H42)</f>
        <v/>
      </c>
      <c r="F42" s="84" t="str">
        <f>IFERROR(IF(A42="","",_xludf.maxifs(MOVIMIENTOS!$A$4:$A$1000,MOVIMIENTOS!$C$4:$C$1000,A42,MOVIMIENTOS!$D$4:$D$1000,B42,MOVIMIENTOS!$E$4:$E$1000,C42)),"")</f>
        <v/>
      </c>
    </row>
    <row r="43" ht="15.75" customHeight="1">
      <c r="A43" s="80" t="str">
        <f>IF(INVENTARIO!E43&gt;0,INVENTARIO!A43,"")</f>
        <v/>
      </c>
      <c r="B43" s="80" t="str">
        <f>IF(A43="","",INVENTARIO!B43)</f>
        <v/>
      </c>
      <c r="C43" s="60" t="str">
        <f>IF(A43="","",INVENTARIO!C43)</f>
        <v/>
      </c>
      <c r="D43" s="45" t="str">
        <f>IF(A43="","",INVENTARIO!E43)</f>
        <v/>
      </c>
      <c r="E43" s="62" t="str">
        <f>IF(A43="","",INVENTARIO!H43)</f>
        <v/>
      </c>
      <c r="F43" s="84" t="str">
        <f>IFERROR(IF(A43="","",_xludf.maxifs(MOVIMIENTOS!$A$4:$A$1000,MOVIMIENTOS!$C$4:$C$1000,A43,MOVIMIENTOS!$D$4:$D$1000,B43,MOVIMIENTOS!$E$4:$E$1000,C43)),"")</f>
        <v/>
      </c>
    </row>
    <row r="44" ht="15.75" customHeight="1">
      <c r="A44" s="80" t="str">
        <f>IF(INVENTARIO!E44&gt;0,INVENTARIO!A44,"")</f>
        <v>OverShark</v>
      </c>
      <c r="B44" s="80" t="str">
        <f>IF(A44="","",INVENTARIO!B44)</f>
        <v>wafle 30/1</v>
      </c>
      <c r="C44" s="60" t="str">
        <f>IF(A44="","",INVENTARIO!C44)</f>
        <v>Negro</v>
      </c>
      <c r="D44" s="45">
        <f>IF(A44="","",INVENTARIO!E44)</f>
        <v>24</v>
      </c>
      <c r="E44" s="62">
        <f>IF(A44="","",INVENTARIO!H44)</f>
        <v>12480</v>
      </c>
      <c r="F44" s="84" t="str">
        <f>IFERROR(IF(A44="","",_xludf.maxifs(MOVIMIENTOS!$A$4:$A$1000,MOVIMIENTOS!$C$4:$C$1000,A44,MOVIMIENTOS!$D$4:$D$1000,B44,MOVIMIENTOS!$E$4:$E$1000,C44)),"")</f>
        <v/>
      </c>
    </row>
    <row r="45" ht="15.75" customHeight="1">
      <c r="A45" s="80" t="str">
        <f>IF(INVENTARIO!E45&gt;0,INVENTARIO!A45,"")</f>
        <v>OverShark</v>
      </c>
      <c r="B45" s="80" t="str">
        <f>IF(A45="","",INVENTARIO!B45)</f>
        <v>wafle 30/1</v>
      </c>
      <c r="C45" s="60" t="str">
        <f>IF(A45="","",INVENTARIO!C45)</f>
        <v>Perla</v>
      </c>
      <c r="D45" s="45">
        <f>IF(A45="","",INVENTARIO!E45)</f>
        <v>27</v>
      </c>
      <c r="E45" s="62">
        <f>IF(A45="","",INVENTARIO!H45)</f>
        <v>10260</v>
      </c>
      <c r="F45" s="84" t="str">
        <f>IFERROR(IF(A45="","",_xludf.maxifs(MOVIMIENTOS!$A$4:$A$1000,MOVIMIENTOS!$C$4:$C$1000,A45,MOVIMIENTOS!$D$4:$D$1000,B45,MOVIMIENTOS!$E$4:$E$1000,C45)),"")</f>
        <v/>
      </c>
    </row>
    <row r="46" ht="15.75" customHeight="1">
      <c r="A46" s="80" t="str">
        <f>IF(INVENTARIO!E46&gt;0,INVENTARIO!A46,"")</f>
        <v/>
      </c>
      <c r="B46" s="80" t="str">
        <f>IF(A46="","",INVENTARIO!B46)</f>
        <v/>
      </c>
      <c r="C46" s="60" t="str">
        <f>IF(A46="","",INVENTARIO!C46)</f>
        <v/>
      </c>
      <c r="D46" s="45" t="str">
        <f>IF(A46="","",INVENTARIO!E46)</f>
        <v/>
      </c>
      <c r="E46" s="62" t="str">
        <f>IF(A46="","",INVENTARIO!H46)</f>
        <v/>
      </c>
      <c r="F46" s="84" t="str">
        <f>IFERROR(IF(A46="","",_xludf.maxifs(MOVIMIENTOS!$A$4:$A$1000,MOVIMIENTOS!$C$4:$C$1000,A46,MOVIMIENTOS!$D$4:$D$1000,B46,MOVIMIENTOS!$E$4:$E$1000,C46)),"")</f>
        <v/>
      </c>
    </row>
    <row r="47" ht="15.75" customHeight="1">
      <c r="A47" s="80" t="str">
        <f>IF(INVENTARIO!E47&gt;0,INVENTARIO!A47,"")</f>
        <v>OverShark</v>
      </c>
      <c r="B47" s="80" t="str">
        <f>IF(A47="","",INVENTARIO!B47)</f>
        <v>wafle 30/1</v>
      </c>
      <c r="C47" s="60" t="str">
        <f>IF(A47="","",INVENTARIO!C47)</f>
        <v>Azul</v>
      </c>
      <c r="D47" s="45">
        <f>IF(A47="","",INVENTARIO!E47)</f>
        <v>23</v>
      </c>
      <c r="E47" s="62">
        <f>IF(A47="","",INVENTARIO!H47)</f>
        <v>11960</v>
      </c>
      <c r="F47" s="84" t="str">
        <f>IFERROR(IF(A47="","",_xludf.maxifs(MOVIMIENTOS!$A$4:$A$1000,MOVIMIENTOS!$C$4:$C$1000,A47,MOVIMIENTOS!$D$4:$D$1000,B47,MOVIMIENTOS!$E$4:$E$1000,C47)),"")</f>
        <v/>
      </c>
    </row>
    <row r="48" ht="15.75" customHeight="1">
      <c r="A48" s="80" t="str">
        <f>IF(INVENTARIO!E48&gt;0,INVENTARIO!A48,"")</f>
        <v>OverShark</v>
      </c>
      <c r="B48" s="80" t="str">
        <f>IF(A48="","",INVENTARIO!B48)</f>
        <v>wafle 30/1</v>
      </c>
      <c r="C48" s="60" t="str">
        <f>IF(A48="","",INVENTARIO!C48)</f>
        <v>Beige</v>
      </c>
      <c r="D48" s="45">
        <f>IF(A48="","",INVENTARIO!E48)</f>
        <v>3</v>
      </c>
      <c r="E48" s="62">
        <f>IF(A48="","",INVENTARIO!H48)</f>
        <v>1350</v>
      </c>
      <c r="F48" s="84" t="str">
        <f>IFERROR(IF(A48="","",_xludf.maxifs(MOVIMIENTOS!$A$4:$A$1000,MOVIMIENTOS!$C$4:$C$1000,A48,MOVIMIENTOS!$D$4:$D$1000,B48,MOVIMIENTOS!$E$4:$E$1000,C48)),"")</f>
        <v/>
      </c>
    </row>
    <row r="49" ht="15.75" customHeight="1">
      <c r="A49" s="80" t="str">
        <f>IF(INVENTARIO!E49&gt;0,INVENTARIO!A49,"")</f>
        <v>OverShark</v>
      </c>
      <c r="B49" s="80" t="str">
        <f>IF(A49="","",INVENTARIO!B49)</f>
        <v>wafle 30/1</v>
      </c>
      <c r="C49" s="60" t="str">
        <f>IF(A49="","",INVENTARIO!C49)</f>
        <v>Melange</v>
      </c>
      <c r="D49" s="45">
        <f>IF(A49="","",INVENTARIO!E49)</f>
        <v>21</v>
      </c>
      <c r="E49" s="62">
        <f>IF(A49="","",INVENTARIO!H49)</f>
        <v>7980</v>
      </c>
      <c r="F49" s="84" t="str">
        <f>IFERROR(IF(A49="","",_xludf.maxifs(MOVIMIENTOS!$A$4:$A$1000,MOVIMIENTOS!$C$4:$C$1000,A49,MOVIMIENTOS!$D$4:$D$1000,B49,MOVIMIENTOS!$E$4:$E$1000,C49)),"")</f>
        <v/>
      </c>
    </row>
    <row r="50" ht="15.75" customHeight="1">
      <c r="A50" s="80" t="str">
        <f>IF(INVENTARIO!E50&gt;0,INVENTARIO!A50,"")</f>
        <v>OverShark</v>
      </c>
      <c r="B50" s="80" t="str">
        <f>IF(A50="","",INVENTARIO!B50)</f>
        <v>wafle 30/1</v>
      </c>
      <c r="C50" s="60" t="str">
        <f>IF(A50="","",INVENTARIO!C50)</f>
        <v>Botella</v>
      </c>
      <c r="D50" s="45">
        <f>IF(A50="","",INVENTARIO!E50)</f>
        <v>17</v>
      </c>
      <c r="E50" s="62">
        <f>IF(A50="","",INVENTARIO!H50)</f>
        <v>8840</v>
      </c>
      <c r="F50" s="84" t="str">
        <f>IFERROR(IF(A50="","",_xludf.maxifs(MOVIMIENTOS!$A$4:$A$1000,MOVIMIENTOS!$C$4:$C$1000,A50,MOVIMIENTOS!$D$4:$D$1000,B50,MOVIMIENTOS!$E$4:$E$1000,C50)),"")</f>
        <v/>
      </c>
    </row>
    <row r="51" ht="15.75" customHeight="1">
      <c r="A51" s="80" t="str">
        <f>IF(INVENTARIO!E51&gt;0,INVENTARIO!A51,"")</f>
        <v>OverShark</v>
      </c>
      <c r="B51" s="80" t="str">
        <f>IF(A51="","",INVENTARIO!B51)</f>
        <v>wafle 30/1</v>
      </c>
      <c r="C51" s="60" t="str">
        <f>IF(A51="","",INVENTARIO!C51)</f>
        <v>Pacay</v>
      </c>
      <c r="D51" s="45">
        <f>IF(A51="","",INVENTARIO!E51)</f>
        <v>11</v>
      </c>
      <c r="E51" s="62">
        <f>IF(A51="","",INVENTARIO!H51)</f>
        <v>4950</v>
      </c>
      <c r="F51" s="84" t="str">
        <f>IFERROR(IF(A51="","",_xludf.maxifs(MOVIMIENTOS!$A$4:$A$1000,MOVIMIENTOS!$C$4:$C$1000,A51,MOVIMIENTOS!$D$4:$D$1000,B51,MOVIMIENTOS!$E$4:$E$1000,C51)),"")</f>
        <v/>
      </c>
    </row>
    <row r="52" ht="15.75" customHeight="1">
      <c r="A52" s="80" t="str">
        <f>IF(INVENTARIO!E52&gt;0,INVENTARIO!A52,"")</f>
        <v>OverShark</v>
      </c>
      <c r="B52" s="80" t="str">
        <f>IF(A52="","",INVENTARIO!B52)</f>
        <v>wafle 30/1</v>
      </c>
      <c r="C52" s="60" t="str">
        <f>IF(A52="","",INVENTARIO!C52)</f>
        <v>Cemento</v>
      </c>
      <c r="D52" s="45">
        <f>IF(A52="","",INVENTARIO!E52)</f>
        <v>11</v>
      </c>
      <c r="E52" s="62">
        <f>IF(A52="","",INVENTARIO!H52)</f>
        <v>4950</v>
      </c>
      <c r="F52" s="84" t="str">
        <f>IFERROR(IF(A52="","",_xludf.maxifs(MOVIMIENTOS!$A$4:$A$1000,MOVIMIENTOS!$C$4:$C$1000,A52,MOVIMIENTOS!$D$4:$D$1000,B52,MOVIMIENTOS!$E$4:$E$1000,C52)),"")</f>
        <v/>
      </c>
    </row>
    <row r="53" ht="15.75" customHeight="1">
      <c r="A53" s="80" t="str">
        <f>IF(INVENTARIO!E53&gt;0,INVENTARIO!A53,"")</f>
        <v/>
      </c>
      <c r="B53" s="80" t="str">
        <f>IF(A53="","",INVENTARIO!B53)</f>
        <v/>
      </c>
      <c r="C53" s="60" t="str">
        <f>IF(A53="","",INVENTARIO!C53)</f>
        <v/>
      </c>
      <c r="D53" s="45" t="str">
        <f>IF(A53="","",INVENTARIO!E53)</f>
        <v/>
      </c>
      <c r="E53" s="62" t="str">
        <f>IF(A53="","",INVENTARIO!H53)</f>
        <v/>
      </c>
      <c r="F53" s="84" t="str">
        <f>IFERROR(IF(A53="","",_xludf.maxifs(MOVIMIENTOS!$A$4:$A$1000,MOVIMIENTOS!$C$4:$C$1000,A53,MOVIMIENTOS!$D$4:$D$1000,B53,MOVIMIENTOS!$E$4:$E$1000,C53)),"")</f>
        <v/>
      </c>
    </row>
    <row r="54" ht="15.75" customHeight="1">
      <c r="A54" s="80" t="str">
        <f>IF(INVENTARIO!E54&gt;0,INVENTARIO!A54,"")</f>
        <v>OverShark</v>
      </c>
      <c r="B54" s="80" t="str">
        <f>IF(A54="","",INVENTARIO!B54)</f>
        <v>wafle 30/1</v>
      </c>
      <c r="C54" s="60" t="str">
        <f>IF(A54="","",INVENTARIO!C54)</f>
        <v>Denim</v>
      </c>
      <c r="D54" s="45">
        <f>IF(A54="","",INVENTARIO!E54)</f>
        <v>11</v>
      </c>
      <c r="E54" s="62">
        <f>IF(A54="","",INVENTARIO!H54)</f>
        <v>4950</v>
      </c>
      <c r="F54" s="84" t="str">
        <f>IFERROR(IF(A54="","",_xludf.maxifs(MOVIMIENTOS!$A$4:$A$1000,MOVIMIENTOS!$C$4:$C$1000,A54,MOVIMIENTOS!$D$4:$D$1000,B54,MOVIMIENTOS!$E$4:$E$1000,C54)),"")</f>
        <v/>
      </c>
    </row>
    <row r="55" ht="15.75" customHeight="1">
      <c r="A55" s="80" t="str">
        <f>IF(INVENTARIO!E55&gt;0,INVENTARIO!A55,"")</f>
        <v>OverShark</v>
      </c>
      <c r="B55" s="80" t="str">
        <f>IF(A55="","",INVENTARIO!B55)</f>
        <v>wafle 30/1</v>
      </c>
      <c r="C55" s="60" t="str">
        <f>IF(A55="","",INVENTARIO!C55)</f>
        <v>Plomo</v>
      </c>
      <c r="D55" s="45">
        <f>IF(A55="","",INVENTARIO!E55)</f>
        <v>19</v>
      </c>
      <c r="E55" s="62">
        <f>IF(A55="","",INVENTARIO!H55)</f>
        <v>9880</v>
      </c>
      <c r="F55" s="84" t="str">
        <f>IFERROR(IF(A55="","",_xludf.maxifs(MOVIMIENTOS!$A$4:$A$1000,MOVIMIENTOS!$C$4:$C$1000,A55,MOVIMIENTOS!$D$4:$D$1000,B55,MOVIMIENTOS!$E$4:$E$1000,C55)),"")</f>
        <v/>
      </c>
    </row>
    <row r="56" ht="15.75" customHeight="1">
      <c r="A56" s="80" t="str">
        <f>IF(INVENTARIO!E56&gt;0,INVENTARIO!A56,"")</f>
        <v>OverShark</v>
      </c>
      <c r="B56" s="80" t="str">
        <f>IF(A56="","",INVENTARIO!B56)</f>
        <v>wafle 30/1</v>
      </c>
      <c r="C56" s="60" t="str">
        <f>IF(A56="","",INVENTARIO!C56)</f>
        <v>Topo</v>
      </c>
      <c r="D56" s="45">
        <f>IF(A56="","",INVENTARIO!E56)</f>
        <v>6</v>
      </c>
      <c r="E56" s="62">
        <f>IF(A56="","",INVENTARIO!H56)</f>
        <v>2700</v>
      </c>
      <c r="F56" s="84" t="str">
        <f>IFERROR(IF(A56="","",_xludf.maxifs(MOVIMIENTOS!$A$4:$A$1000,MOVIMIENTOS!$C$4:$C$1000,A56,MOVIMIENTOS!$D$4:$D$1000,B56,MOVIMIENTOS!$E$4:$E$1000,C56)),"")</f>
        <v/>
      </c>
    </row>
    <row r="57" ht="15.75" customHeight="1">
      <c r="A57" s="80" t="str">
        <f>IF(INVENTARIO!E57&gt;0,INVENTARIO!A57,"")</f>
        <v/>
      </c>
      <c r="B57" s="80" t="str">
        <f>IF(A57="","",INVENTARIO!B57)</f>
        <v/>
      </c>
      <c r="C57" s="60" t="str">
        <f>IF(A57="","",INVENTARIO!C57)</f>
        <v/>
      </c>
      <c r="D57" s="45" t="str">
        <f>IF(A57="","",INVENTARIO!E57)</f>
        <v/>
      </c>
      <c r="E57" s="62" t="str">
        <f>IF(A57="","",INVENTARIO!H57)</f>
        <v/>
      </c>
      <c r="F57" s="84" t="str">
        <f>IFERROR(IF(A57="","",_xludf.maxifs(MOVIMIENTOS!$A$4:$A$1000,MOVIMIENTOS!$C$4:$C$1000,A57,MOVIMIENTOS!$D$4:$D$1000,B57,MOVIMIENTOS!$E$4:$E$1000,C57)),"")</f>
        <v/>
      </c>
    </row>
    <row r="58" ht="15.75" customHeight="1">
      <c r="A58" s="80" t="str">
        <f>IF(INVENTARIO!E58&gt;0,INVENTARIO!A58,"")</f>
        <v>OverShark</v>
      </c>
      <c r="B58" s="80" t="str">
        <f>IF(A58="","",INVENTARIO!B58)</f>
        <v>wafle 30/1</v>
      </c>
      <c r="C58" s="60" t="str">
        <f>IF(A58="","",INVENTARIO!C58)</f>
        <v>P. Rosa</v>
      </c>
      <c r="D58" s="45">
        <f>IF(A58="","",INVENTARIO!E58)</f>
        <v>15</v>
      </c>
      <c r="E58" s="62">
        <f>IF(A58="","",INVENTARIO!H58)</f>
        <v>6750</v>
      </c>
      <c r="F58" s="84" t="str">
        <f>IFERROR(IF(A58="","",_xludf.maxifs(MOVIMIENTOS!$A$4:$A$1000,MOVIMIENTOS!$C$4:$C$1000,A58,MOVIMIENTOS!$D$4:$D$1000,B58,MOVIMIENTOS!$E$4:$E$1000,C58)),"")</f>
        <v/>
      </c>
    </row>
    <row r="59" ht="15.75" customHeight="1">
      <c r="A59" s="80" t="str">
        <f>IF(INVENTARIO!E59&gt;0,INVENTARIO!A59,"")</f>
        <v/>
      </c>
      <c r="B59" s="80" t="str">
        <f>IF(A59="","",INVENTARIO!B59)</f>
        <v/>
      </c>
      <c r="C59" s="60" t="str">
        <f>IF(A59="","",INVENTARIO!C59)</f>
        <v/>
      </c>
      <c r="D59" s="45" t="str">
        <f>IF(A59="","",INVENTARIO!E59)</f>
        <v/>
      </c>
      <c r="E59" s="62" t="str">
        <f>IF(A59="","",INVENTARIO!H59)</f>
        <v/>
      </c>
      <c r="F59" s="84" t="str">
        <f>IFERROR(IF(A59="","",_xludf.maxifs(MOVIMIENTOS!$A$4:$A$1000,MOVIMIENTOS!$C$4:$C$1000,A59,MOVIMIENTOS!$D$4:$D$1000,B59,MOVIMIENTOS!$E$4:$E$1000,C59)),"")</f>
        <v/>
      </c>
    </row>
    <row r="60" ht="15.75" customHeight="1">
      <c r="A60" s="80" t="str">
        <f>IF(INVENTARIO!E60&gt;0,INVENTARIO!A60,"")</f>
        <v/>
      </c>
      <c r="B60" s="80" t="str">
        <f>IF(A60="","",INVENTARIO!B60)</f>
        <v/>
      </c>
      <c r="C60" s="60" t="str">
        <f>IF(A60="","",INVENTARIO!C60)</f>
        <v/>
      </c>
      <c r="D60" s="45" t="str">
        <f>IF(A60="","",INVENTARIO!E60)</f>
        <v/>
      </c>
      <c r="E60" s="62" t="str">
        <f>IF(A60="","",INVENTARIO!H60)</f>
        <v/>
      </c>
      <c r="F60" s="84" t="str">
        <f>IFERROR(IF(A60="","",_xludf.maxifs(MOVIMIENTOS!$A$4:$A$1000,MOVIMIENTOS!$C$4:$C$1000,A60,MOVIMIENTOS!$D$4:$D$1000,B60,MOVIMIENTOS!$E$4:$E$1000,C60)),"")</f>
        <v/>
      </c>
    </row>
    <row r="61" ht="15.75" customHeight="1">
      <c r="A61" s="80" t="str">
        <f>IF(INVENTARIO!E61&gt;0,INVENTARIO!A61,"")</f>
        <v/>
      </c>
      <c r="B61" s="80" t="str">
        <f>IF(A61="","",INVENTARIO!B61)</f>
        <v/>
      </c>
      <c r="C61" s="60" t="str">
        <f>IF(A61="","",INVENTARIO!C61)</f>
        <v/>
      </c>
      <c r="D61" s="45" t="str">
        <f>IF(A61="","",INVENTARIO!E61)</f>
        <v/>
      </c>
      <c r="E61" s="62" t="str">
        <f>IF(A61="","",INVENTARIO!H61)</f>
        <v/>
      </c>
      <c r="F61" s="84" t="str">
        <f>IFERROR(IF(A61="","",_xludf.maxifs(MOVIMIENTOS!$A$4:$A$1000,MOVIMIENTOS!$C$4:$C$1000,A61,MOVIMIENTOS!$D$4:$D$1000,B61,MOVIMIENTOS!$E$4:$E$1000,C61)),"")</f>
        <v/>
      </c>
    </row>
    <row r="62" ht="15.75" customHeight="1">
      <c r="A62" s="80" t="str">
        <f>IF(INVENTARIO!E62&gt;0,INVENTARIO!A62,"")</f>
        <v/>
      </c>
      <c r="B62" s="80" t="str">
        <f>IF(A62="","",INVENTARIO!B62)</f>
        <v/>
      </c>
      <c r="C62" s="60" t="str">
        <f>IF(A62="","",INVENTARIO!C62)</f>
        <v/>
      </c>
      <c r="D62" s="45" t="str">
        <f>IF(A62="","",INVENTARIO!E62)</f>
        <v/>
      </c>
      <c r="E62" s="62" t="str">
        <f>IF(A62="","",INVENTARIO!H62)</f>
        <v/>
      </c>
      <c r="F62" s="84" t="str">
        <f>IFERROR(IF(A62="","",_xludf.maxifs(MOVIMIENTOS!$A$4:$A$1000,MOVIMIENTOS!$C$4:$C$1000,A62,MOVIMIENTOS!$D$4:$D$1000,B62,MOVIMIENTOS!$E$4:$E$1000,C62)),"")</f>
        <v/>
      </c>
    </row>
    <row r="63" ht="15.75" customHeight="1">
      <c r="A63" s="80" t="str">
        <f>IF(INVENTARIO!E63&gt;0,INVENTARIO!A63,"")</f>
        <v/>
      </c>
      <c r="B63" s="80" t="str">
        <f>IF(A63="","",INVENTARIO!B63)</f>
        <v/>
      </c>
      <c r="C63" s="60" t="str">
        <f>IF(A63="","",INVENTARIO!C63)</f>
        <v/>
      </c>
      <c r="D63" s="45" t="str">
        <f>IF(A63="","",INVENTARIO!E63)</f>
        <v/>
      </c>
      <c r="E63" s="62" t="str">
        <f>IF(A63="","",INVENTARIO!H63)</f>
        <v/>
      </c>
      <c r="F63" s="84" t="str">
        <f>IFERROR(IF(A63="","",_xludf.maxifs(MOVIMIENTOS!$A$4:$A$1000,MOVIMIENTOS!$C$4:$C$1000,A63,MOVIMIENTOS!$D$4:$D$1000,B63,MOVIMIENTOS!$E$4:$E$1000,C63)),"")</f>
        <v/>
      </c>
    </row>
    <row r="64" ht="15.75" customHeight="1">
      <c r="A64" s="80" t="str">
        <f>IF(INVENTARIO!E64&gt;0,INVENTARIO!A64,"")</f>
        <v/>
      </c>
      <c r="B64" s="80" t="str">
        <f>IF(A64="","",INVENTARIO!B64)</f>
        <v/>
      </c>
      <c r="C64" s="60" t="str">
        <f>IF(A64="","",INVENTARIO!C64)</f>
        <v/>
      </c>
      <c r="D64" s="45" t="str">
        <f>IF(A64="","",INVENTARIO!E64)</f>
        <v/>
      </c>
      <c r="E64" s="62" t="str">
        <f>IF(A64="","",INVENTARIO!H64)</f>
        <v/>
      </c>
      <c r="F64" s="84" t="str">
        <f>IFERROR(IF(A64="","",_xludf.maxifs(MOVIMIENTOS!$A$4:$A$1000,MOVIMIENTOS!$C$4:$C$1000,A64,MOVIMIENTOS!$D$4:$D$1000,B64,MOVIMIENTOS!$E$4:$E$1000,C64)),"")</f>
        <v/>
      </c>
    </row>
    <row r="65" ht="15.75" customHeight="1">
      <c r="A65" s="80" t="str">
        <f>IF(INVENTARIO!E65&gt;0,INVENTARIO!A65,"")</f>
        <v/>
      </c>
      <c r="B65" s="80" t="str">
        <f>IF(A65="","",INVENTARIO!B65)</f>
        <v/>
      </c>
      <c r="C65" s="60" t="str">
        <f>IF(A65="","",INVENTARIO!C65)</f>
        <v/>
      </c>
      <c r="D65" s="45" t="str">
        <f>IF(A65="","",INVENTARIO!E65)</f>
        <v/>
      </c>
      <c r="E65" s="62" t="str">
        <f>IF(A65="","",INVENTARIO!H65)</f>
        <v/>
      </c>
      <c r="F65" s="84" t="str">
        <f>IFERROR(IF(A65="","",_xludf.maxifs(MOVIMIENTOS!$A$4:$A$1000,MOVIMIENTOS!$C$4:$C$1000,A65,MOVIMIENTOS!$D$4:$D$1000,B65,MOVIMIENTOS!$E$4:$E$1000,C65)),"")</f>
        <v/>
      </c>
    </row>
    <row r="66" ht="15.75" customHeight="1">
      <c r="A66" s="80" t="str">
        <f>IF(INVENTARIO!E66&gt;0,INVENTARIO!A66,"")</f>
        <v/>
      </c>
      <c r="B66" s="80" t="str">
        <f>IF(A66="","",INVENTARIO!B66)</f>
        <v/>
      </c>
      <c r="C66" s="60" t="str">
        <f>IF(A66="","",INVENTARIO!C66)</f>
        <v/>
      </c>
      <c r="D66" s="45" t="str">
        <f>IF(A66="","",INVENTARIO!E66)</f>
        <v/>
      </c>
      <c r="E66" s="62" t="str">
        <f>IF(A66="","",INVENTARIO!H66)</f>
        <v/>
      </c>
      <c r="F66" s="84" t="str">
        <f>IFERROR(IF(A66="","",_xludf.maxifs(MOVIMIENTOS!$A$4:$A$1000,MOVIMIENTOS!$C$4:$C$1000,A66,MOVIMIENTOS!$D$4:$D$1000,B66,MOVIMIENTOS!$E$4:$E$1000,C66)),"")</f>
        <v/>
      </c>
    </row>
    <row r="67" ht="15.75" customHeight="1">
      <c r="A67" s="80" t="str">
        <f>IF(INVENTARIO!E67&gt;0,INVENTARIO!A67,"")</f>
        <v/>
      </c>
      <c r="B67" s="80" t="str">
        <f>IF(A67="","",INVENTARIO!B67)</f>
        <v/>
      </c>
      <c r="C67" s="60" t="str">
        <f>IF(A67="","",INVENTARIO!C67)</f>
        <v/>
      </c>
      <c r="D67" s="45" t="str">
        <f>IF(A67="","",INVENTARIO!E67)</f>
        <v/>
      </c>
      <c r="E67" s="62" t="str">
        <f>IF(A67="","",INVENTARIO!H67)</f>
        <v/>
      </c>
      <c r="F67" s="84" t="str">
        <f>IFERROR(IF(A67="","",_xludf.maxifs(MOVIMIENTOS!$A$4:$A$1000,MOVIMIENTOS!$C$4:$C$1000,A67,MOVIMIENTOS!$D$4:$D$1000,B67,MOVIMIENTOS!$E$4:$E$1000,C67)),"")</f>
        <v/>
      </c>
    </row>
    <row r="68" ht="15.75" customHeight="1">
      <c r="A68" s="80" t="str">
        <f>IF(INVENTARIO!E68&gt;0,INVENTARIO!A68,"")</f>
        <v/>
      </c>
      <c r="B68" s="80" t="str">
        <f>IF(A68="","",INVENTARIO!B68)</f>
        <v/>
      </c>
      <c r="C68" s="60" t="str">
        <f>IF(A68="","",INVENTARIO!C68)</f>
        <v/>
      </c>
      <c r="D68" s="45" t="str">
        <f>IF(A68="","",INVENTARIO!E68)</f>
        <v/>
      </c>
      <c r="E68" s="62" t="str">
        <f>IF(A68="","",INVENTARIO!H68)</f>
        <v/>
      </c>
      <c r="F68" s="84" t="str">
        <f>IFERROR(IF(A68="","",_xludf.maxifs(MOVIMIENTOS!$A$4:$A$1000,MOVIMIENTOS!$C$4:$C$1000,A68,MOVIMIENTOS!$D$4:$D$1000,B68,MOVIMIENTOS!$E$4:$E$1000,C68)),"")</f>
        <v/>
      </c>
    </row>
    <row r="69" ht="15.75" customHeight="1">
      <c r="A69" s="80" t="str">
        <f>IF(INVENTARIO!E69&gt;0,INVENTARIO!A69,"")</f>
        <v/>
      </c>
      <c r="B69" s="80" t="str">
        <f>IF(A69="","",INVENTARIO!B69)</f>
        <v/>
      </c>
      <c r="C69" s="60" t="str">
        <f>IF(A69="","",INVENTARIO!C69)</f>
        <v/>
      </c>
      <c r="D69" s="45" t="str">
        <f>IF(A69="","",INVENTARIO!E69)</f>
        <v/>
      </c>
      <c r="E69" s="62" t="str">
        <f>IF(A69="","",INVENTARIO!H69)</f>
        <v/>
      </c>
      <c r="F69" s="84" t="str">
        <f>IFERROR(IF(A69="","",_xludf.maxifs(MOVIMIENTOS!$A$4:$A$1000,MOVIMIENTOS!$C$4:$C$1000,A69,MOVIMIENTOS!$D$4:$D$1000,B69,MOVIMIENTOS!$E$4:$E$1000,C69)),"")</f>
        <v/>
      </c>
    </row>
    <row r="70" ht="15.75" customHeight="1">
      <c r="A70" s="80" t="str">
        <f>IF(INVENTARIO!E70&gt;0,INVENTARIO!A70,"")</f>
        <v/>
      </c>
      <c r="B70" s="80" t="str">
        <f>IF(A70="","",INVENTARIO!B70)</f>
        <v/>
      </c>
      <c r="C70" s="60" t="str">
        <f>IF(A70="","",INVENTARIO!C70)</f>
        <v/>
      </c>
      <c r="D70" s="45" t="str">
        <f>IF(A70="","",INVENTARIO!E70)</f>
        <v/>
      </c>
      <c r="E70" s="62" t="str">
        <f>IF(A70="","",INVENTARIO!H70)</f>
        <v/>
      </c>
      <c r="F70" s="84" t="str">
        <f>IFERROR(IF(A70="","",_xludf.maxifs(MOVIMIENTOS!$A$4:$A$1000,MOVIMIENTOS!$C$4:$C$1000,A70,MOVIMIENTOS!$D$4:$D$1000,B70,MOVIMIENTOS!$E$4:$E$1000,C70)),"")</f>
        <v/>
      </c>
    </row>
    <row r="71" ht="15.75" customHeight="1">
      <c r="A71" s="80" t="str">
        <f>IF(INVENTARIO!E71&gt;0,INVENTARIO!A71,"")</f>
        <v/>
      </c>
      <c r="B71" s="80" t="str">
        <f>IF(A71="","",INVENTARIO!B71)</f>
        <v/>
      </c>
      <c r="C71" s="60" t="str">
        <f>IF(A71="","",INVENTARIO!C71)</f>
        <v/>
      </c>
      <c r="D71" s="45" t="str">
        <f>IF(A71="","",INVENTARIO!E71)</f>
        <v/>
      </c>
      <c r="E71" s="62" t="str">
        <f>IF(A71="","",INVENTARIO!H71)</f>
        <v/>
      </c>
      <c r="F71" s="84" t="str">
        <f>IFERROR(IF(A71="","",_xludf.maxifs(MOVIMIENTOS!$A$4:$A$1000,MOVIMIENTOS!$C$4:$C$1000,A71,MOVIMIENTOS!$D$4:$D$1000,B71,MOVIMIENTOS!$E$4:$E$1000,C71)),"")</f>
        <v/>
      </c>
    </row>
    <row r="72" ht="15.75" customHeight="1">
      <c r="A72" s="80" t="str">
        <f>IF(INVENTARIO!E72&gt;0,INVENTARIO!A72,"")</f>
        <v/>
      </c>
      <c r="B72" s="80" t="str">
        <f>IF(A72="","",INVENTARIO!B72)</f>
        <v/>
      </c>
      <c r="C72" s="60" t="str">
        <f>IF(A72="","",INVENTARIO!C72)</f>
        <v/>
      </c>
      <c r="D72" s="45" t="str">
        <f>IF(A72="","",INVENTARIO!E72)</f>
        <v/>
      </c>
      <c r="E72" s="62" t="str">
        <f>IF(A72="","",INVENTARIO!H72)</f>
        <v/>
      </c>
      <c r="F72" s="84" t="str">
        <f>IFERROR(IF(A72="","",_xludf.maxifs(MOVIMIENTOS!$A$4:$A$1000,MOVIMIENTOS!$C$4:$C$1000,A72,MOVIMIENTOS!$D$4:$D$1000,B72,MOVIMIENTOS!$E$4:$E$1000,C72)),"")</f>
        <v/>
      </c>
    </row>
    <row r="73" ht="15.75" customHeight="1">
      <c r="A73" s="80" t="str">
        <f>IF(INVENTARIO!E73&gt;0,INVENTARIO!A73,"")</f>
        <v/>
      </c>
      <c r="B73" s="80" t="str">
        <f>IF(A73="","",INVENTARIO!B73)</f>
        <v/>
      </c>
      <c r="C73" s="60" t="str">
        <f>IF(A73="","",INVENTARIO!C73)</f>
        <v/>
      </c>
      <c r="D73" s="45" t="str">
        <f>IF(A73="","",INVENTARIO!E73)</f>
        <v/>
      </c>
      <c r="E73" s="62" t="str">
        <f>IF(A73="","",INVENTARIO!H73)</f>
        <v/>
      </c>
      <c r="F73" s="84" t="str">
        <f>IFERROR(IF(A73="","",_xludf.maxifs(MOVIMIENTOS!$A$4:$A$1000,MOVIMIENTOS!$C$4:$C$1000,A73,MOVIMIENTOS!$D$4:$D$1000,B73,MOVIMIENTOS!$E$4:$E$1000,C73)),"")</f>
        <v/>
      </c>
    </row>
    <row r="74" ht="15.75" customHeight="1">
      <c r="A74" s="80" t="str">
        <f>IF(INVENTARIO!E74&gt;0,INVENTARIO!A74,"")</f>
        <v/>
      </c>
      <c r="B74" s="80" t="str">
        <f>IF(A74="","",INVENTARIO!B74)</f>
        <v/>
      </c>
      <c r="C74" s="60" t="str">
        <f>IF(A74="","",INVENTARIO!C74)</f>
        <v/>
      </c>
      <c r="D74" s="45" t="str">
        <f>IF(A74="","",INVENTARIO!E74)</f>
        <v/>
      </c>
      <c r="E74" s="62" t="str">
        <f>IF(A74="","",INVENTARIO!H74)</f>
        <v/>
      </c>
      <c r="F74" s="84" t="str">
        <f>IFERROR(IF(A74="","",_xludf.maxifs(MOVIMIENTOS!$A$4:$A$1000,MOVIMIENTOS!$C$4:$C$1000,A74,MOVIMIENTOS!$D$4:$D$1000,B74,MOVIMIENTOS!$E$4:$E$1000,C74)),"")</f>
        <v/>
      </c>
    </row>
    <row r="75" ht="15.75" customHeight="1">
      <c r="A75" s="80" t="str">
        <f>IF(INVENTARIO!E75&gt;0,INVENTARIO!A75,"")</f>
        <v/>
      </c>
      <c r="B75" s="80" t="str">
        <f>IF(A75="","",INVENTARIO!B75)</f>
        <v/>
      </c>
      <c r="C75" s="60" t="str">
        <f>IF(A75="","",INVENTARIO!C75)</f>
        <v/>
      </c>
      <c r="D75" s="45" t="str">
        <f>IF(A75="","",INVENTARIO!E75)</f>
        <v/>
      </c>
      <c r="E75" s="62" t="str">
        <f>IF(A75="","",INVENTARIO!H75)</f>
        <v/>
      </c>
      <c r="F75" s="84" t="str">
        <f>IFERROR(IF(A75="","",_xludf.maxifs(MOVIMIENTOS!$A$4:$A$1000,MOVIMIENTOS!$C$4:$C$1000,A75,MOVIMIENTOS!$D$4:$D$1000,B75,MOVIMIENTOS!$E$4:$E$1000,C75)),"")</f>
        <v/>
      </c>
    </row>
    <row r="76" ht="15.75" customHeight="1">
      <c r="A76" s="80" t="str">
        <f>IF(INVENTARIO!E76&gt;0,INVENTARIO!A76,"")</f>
        <v/>
      </c>
      <c r="B76" s="80" t="str">
        <f>IF(A76="","",INVENTARIO!B76)</f>
        <v/>
      </c>
      <c r="C76" s="60" t="str">
        <f>IF(A76="","",INVENTARIO!C76)</f>
        <v/>
      </c>
      <c r="D76" s="45" t="str">
        <f>IF(A76="","",INVENTARIO!E76)</f>
        <v/>
      </c>
      <c r="E76" s="62" t="str">
        <f>IF(A76="","",INVENTARIO!H76)</f>
        <v/>
      </c>
      <c r="F76" s="84" t="str">
        <f>IFERROR(IF(A76="","",_xludf.maxifs(MOVIMIENTOS!$A$4:$A$1000,MOVIMIENTOS!$C$4:$C$1000,A76,MOVIMIENTOS!$D$4:$D$1000,B76,MOVIMIENTOS!$E$4:$E$1000,C76)),"")</f>
        <v/>
      </c>
    </row>
    <row r="77" ht="15.75" customHeight="1">
      <c r="A77" s="80" t="str">
        <f>IF(INVENTARIO!E77&gt;0,INVENTARIO!A77,"")</f>
        <v/>
      </c>
      <c r="B77" s="80" t="str">
        <f>IF(A77="","",INVENTARIO!B77)</f>
        <v/>
      </c>
      <c r="C77" s="60" t="str">
        <f>IF(A77="","",INVENTARIO!C77)</f>
        <v/>
      </c>
      <c r="D77" s="45" t="str">
        <f>IF(A77="","",INVENTARIO!E77)</f>
        <v/>
      </c>
      <c r="E77" s="62" t="str">
        <f>IF(A77="","",INVENTARIO!H77)</f>
        <v/>
      </c>
      <c r="F77" s="84" t="str">
        <f>IFERROR(IF(A77="","",_xludf.maxifs(MOVIMIENTOS!$A$4:$A$1000,MOVIMIENTOS!$C$4:$C$1000,A77,MOVIMIENTOS!$D$4:$D$1000,B77,MOVIMIENTOS!$E$4:$E$1000,C77)),"")</f>
        <v/>
      </c>
    </row>
    <row r="78" ht="15.75" customHeight="1">
      <c r="A78" s="80" t="str">
        <f>IF(INVENTARIO!E78&gt;0,INVENTARIO!A78,"")</f>
        <v/>
      </c>
      <c r="B78" s="80" t="str">
        <f>IF(A78="","",INVENTARIO!B78)</f>
        <v/>
      </c>
      <c r="C78" s="60" t="str">
        <f>IF(A78="","",INVENTARIO!C78)</f>
        <v/>
      </c>
      <c r="D78" s="45" t="str">
        <f>IF(A78="","",INVENTARIO!E78)</f>
        <v/>
      </c>
      <c r="E78" s="62" t="str">
        <f>IF(A78="","",INVENTARIO!H78)</f>
        <v/>
      </c>
      <c r="F78" s="84" t="str">
        <f>IFERROR(IF(A78="","",_xludf.maxifs(MOVIMIENTOS!$A$4:$A$1000,MOVIMIENTOS!$C$4:$C$1000,A78,MOVIMIENTOS!$D$4:$D$1000,B78,MOVIMIENTOS!$E$4:$E$1000,C78)),"")</f>
        <v/>
      </c>
    </row>
    <row r="79" ht="15.75" customHeight="1">
      <c r="A79" s="80" t="str">
        <f>IF(INVENTARIO!E79&gt;0,INVENTARIO!A79,"")</f>
        <v/>
      </c>
      <c r="B79" s="80" t="str">
        <f>IF(A79="","",INVENTARIO!B79)</f>
        <v/>
      </c>
      <c r="C79" s="60" t="str">
        <f>IF(A79="","",INVENTARIO!C79)</f>
        <v/>
      </c>
      <c r="D79" s="45" t="str">
        <f>IF(A79="","",INVENTARIO!E79)</f>
        <v/>
      </c>
      <c r="E79" s="62" t="str">
        <f>IF(A79="","",INVENTARIO!H79)</f>
        <v/>
      </c>
      <c r="F79" s="84" t="str">
        <f>IFERROR(IF(A79="","",_xludf.maxifs(MOVIMIENTOS!$A$4:$A$1000,MOVIMIENTOS!$C$4:$C$1000,A79,MOVIMIENTOS!$D$4:$D$1000,B79,MOVIMIENTOS!$E$4:$E$1000,C79)),"")</f>
        <v/>
      </c>
    </row>
    <row r="80" ht="15.75" customHeight="1">
      <c r="A80" s="80" t="str">
        <f>IF(INVENTARIO!E80&gt;0,INVENTARIO!A80,"")</f>
        <v/>
      </c>
      <c r="B80" s="80" t="str">
        <f>IF(A80="","",INVENTARIO!B80)</f>
        <v/>
      </c>
      <c r="C80" s="60" t="str">
        <f>IF(A80="","",INVENTARIO!C80)</f>
        <v/>
      </c>
      <c r="D80" s="45" t="str">
        <f>IF(A80="","",INVENTARIO!E80)</f>
        <v/>
      </c>
      <c r="E80" s="62" t="str">
        <f>IF(A80="","",INVENTARIO!H80)</f>
        <v/>
      </c>
      <c r="F80" s="84" t="str">
        <f>IFERROR(IF(A80="","",_xludf.maxifs(MOVIMIENTOS!$A$4:$A$1000,MOVIMIENTOS!$C$4:$C$1000,A80,MOVIMIENTOS!$D$4:$D$1000,B80,MOVIMIENTOS!$E$4:$E$1000,C80)),"")</f>
        <v/>
      </c>
    </row>
    <row r="81" ht="15.75" customHeight="1">
      <c r="A81" s="80" t="str">
        <f>IF(INVENTARIO!E81&gt;0,INVENTARIO!A81,"")</f>
        <v/>
      </c>
      <c r="B81" s="80" t="str">
        <f>IF(A81="","",INVENTARIO!B81)</f>
        <v/>
      </c>
      <c r="C81" s="60" t="str">
        <f>IF(A81="","",INVENTARIO!C81)</f>
        <v/>
      </c>
      <c r="D81" s="45" t="str">
        <f>IF(A81="","",INVENTARIO!E81)</f>
        <v/>
      </c>
      <c r="E81" s="62" t="str">
        <f>IF(A81="","",INVENTARIO!H81)</f>
        <v/>
      </c>
      <c r="F81" s="84" t="str">
        <f>IFERROR(IF(A81="","",_xludf.maxifs(MOVIMIENTOS!$A$4:$A$1000,MOVIMIENTOS!$C$4:$C$1000,A81,MOVIMIENTOS!$D$4:$D$1000,B81,MOVIMIENTOS!$E$4:$E$1000,C81)),"")</f>
        <v/>
      </c>
    </row>
    <row r="82" ht="15.75" customHeight="1">
      <c r="A82" s="80" t="str">
        <f>IF(INVENTARIO!E82&gt;0,INVENTARIO!A82,"")</f>
        <v/>
      </c>
      <c r="B82" s="80" t="str">
        <f>IF(A82="","",INVENTARIO!B82)</f>
        <v/>
      </c>
      <c r="C82" s="60" t="str">
        <f>IF(A82="","",INVENTARIO!C82)</f>
        <v/>
      </c>
      <c r="D82" s="45" t="str">
        <f>IF(A82="","",INVENTARIO!E82)</f>
        <v/>
      </c>
      <c r="E82" s="62" t="str">
        <f>IF(A82="","",INVENTARIO!H82)</f>
        <v/>
      </c>
      <c r="F82" s="84" t="str">
        <f>IFERROR(IF(A82="","",_xludf.maxifs(MOVIMIENTOS!$A$4:$A$1000,MOVIMIENTOS!$C$4:$C$1000,A82,MOVIMIENTOS!$D$4:$D$1000,B82,MOVIMIENTOS!$E$4:$E$1000,C82)),"")</f>
        <v/>
      </c>
    </row>
    <row r="83" ht="15.75" customHeight="1">
      <c r="A83" s="80" t="str">
        <f>IF(INVENTARIO!E83&gt;0,INVENTARIO!A83,"")</f>
        <v/>
      </c>
      <c r="B83" s="80" t="str">
        <f>IF(A83="","",INVENTARIO!B83)</f>
        <v/>
      </c>
      <c r="C83" s="60" t="str">
        <f>IF(A83="","",INVENTARIO!C83)</f>
        <v/>
      </c>
      <c r="D83" s="45" t="str">
        <f>IF(A83="","",INVENTARIO!E83)</f>
        <v/>
      </c>
      <c r="E83" s="62" t="str">
        <f>IF(A83="","",INVENTARIO!H83)</f>
        <v/>
      </c>
      <c r="F83" s="84" t="str">
        <f>IFERROR(IF(A83="","",_xludf.maxifs(MOVIMIENTOS!$A$4:$A$1000,MOVIMIENTOS!$C$4:$C$1000,A83,MOVIMIENTOS!$D$4:$D$1000,B83,MOVIMIENTOS!$E$4:$E$1000,C83)),"")</f>
        <v/>
      </c>
    </row>
    <row r="84" ht="15.75" customHeight="1">
      <c r="A84" s="80" t="str">
        <f>IF(INVENTARIO!E84&gt;0,INVENTARIO!A84,"")</f>
        <v>OverShark</v>
      </c>
      <c r="B84" s="80" t="str">
        <f>IF(A84="","",INVENTARIO!B84)</f>
        <v>rib 1x1</v>
      </c>
      <c r="C84" s="60" t="str">
        <f>IF(A84="","",INVENTARIO!C84)</f>
        <v>Negro</v>
      </c>
      <c r="D84" s="45">
        <f>IF(A84="","",INVENTARIO!E84)</f>
        <v>3</v>
      </c>
      <c r="E84" s="62">
        <f>IF(A84="","",INVENTARIO!H84)</f>
        <v>1440</v>
      </c>
      <c r="F84" s="84" t="str">
        <f>IFERROR(IF(A84="","",_xludf.maxifs(MOVIMIENTOS!$A$4:$A$1000,MOVIMIENTOS!$C$4:$C$1000,A84,MOVIMIENTOS!$D$4:$D$1000,B84,MOVIMIENTOS!$E$4:$E$1000,C84)),"")</f>
        <v/>
      </c>
    </row>
    <row r="85" ht="15.75" customHeight="1">
      <c r="A85" s="80" t="str">
        <f>IF(INVENTARIO!E85&gt;0,INVENTARIO!A85,"")</f>
        <v>OverShark</v>
      </c>
      <c r="B85" s="80" t="str">
        <f>IF(A85="","",INVENTARIO!B85)</f>
        <v>rib 1x1</v>
      </c>
      <c r="C85" s="60" t="str">
        <f>IF(A85="","",INVENTARIO!C85)</f>
        <v>Perla</v>
      </c>
      <c r="D85" s="45">
        <f>IF(A85="","",INVENTARIO!E85)</f>
        <v>1</v>
      </c>
      <c r="E85" s="62">
        <f>IF(A85="","",INVENTARIO!H85)</f>
        <v>360</v>
      </c>
      <c r="F85" s="84" t="str">
        <f>IFERROR(IF(A85="","",_xludf.maxifs(MOVIMIENTOS!$A$4:$A$1000,MOVIMIENTOS!$C$4:$C$1000,A85,MOVIMIENTOS!$D$4:$D$1000,B85,MOVIMIENTOS!$E$4:$E$1000,C85)),"")</f>
        <v/>
      </c>
    </row>
    <row r="86" ht="15.75" customHeight="1">
      <c r="A86" s="80" t="str">
        <f>IF(INVENTARIO!E86&gt;0,INVENTARIO!A86,"")</f>
        <v/>
      </c>
      <c r="B86" s="80" t="str">
        <f>IF(A86="","",INVENTARIO!B86)</f>
        <v/>
      </c>
      <c r="C86" s="60" t="str">
        <f>IF(A86="","",INVENTARIO!C86)</f>
        <v/>
      </c>
      <c r="D86" s="45" t="str">
        <f>IF(A86="","",INVENTARIO!E86)</f>
        <v/>
      </c>
      <c r="E86" s="62" t="str">
        <f>IF(A86="","",INVENTARIO!H86)</f>
        <v/>
      </c>
      <c r="F86" s="84" t="str">
        <f>IFERROR(IF(A86="","",_xludf.maxifs(MOVIMIENTOS!$A$4:$A$1000,MOVIMIENTOS!$C$4:$C$1000,A86,MOVIMIENTOS!$D$4:$D$1000,B86,MOVIMIENTOS!$E$4:$E$1000,C86)),"")</f>
        <v/>
      </c>
    </row>
    <row r="87" ht="15.75" customHeight="1">
      <c r="A87" s="80" t="str">
        <f>IF(INVENTARIO!E87&gt;0,INVENTARIO!A87,"")</f>
        <v>OverShark</v>
      </c>
      <c r="B87" s="80" t="str">
        <f>IF(A87="","",INVENTARIO!B87)</f>
        <v>rib 1x1</v>
      </c>
      <c r="C87" s="60" t="str">
        <f>IF(A87="","",INVENTARIO!C87)</f>
        <v>Azul</v>
      </c>
      <c r="D87" s="45">
        <f>IF(A87="","",INVENTARIO!E87)</f>
        <v>1</v>
      </c>
      <c r="E87" s="62">
        <f>IF(A87="","",INVENTARIO!H87)</f>
        <v>480</v>
      </c>
      <c r="F87" s="84" t="str">
        <f>IFERROR(IF(A87="","",_xludf.maxifs(MOVIMIENTOS!$A$4:$A$1000,MOVIMIENTOS!$C$4:$C$1000,A87,MOVIMIENTOS!$D$4:$D$1000,B87,MOVIMIENTOS!$E$4:$E$1000,C87)),"")</f>
        <v/>
      </c>
    </row>
    <row r="88" ht="15.75" customHeight="1">
      <c r="A88" s="80" t="str">
        <f>IF(INVENTARIO!E88&gt;0,INVENTARIO!A88,"")</f>
        <v/>
      </c>
      <c r="B88" s="80" t="str">
        <f>IF(A88="","",INVENTARIO!B88)</f>
        <v/>
      </c>
      <c r="C88" s="60" t="str">
        <f>IF(A88="","",INVENTARIO!C88)</f>
        <v/>
      </c>
      <c r="D88" s="45" t="str">
        <f>IF(A88="","",INVENTARIO!E88)</f>
        <v/>
      </c>
      <c r="E88" s="62" t="str">
        <f>IF(A88="","",INVENTARIO!H88)</f>
        <v/>
      </c>
      <c r="F88" s="84" t="str">
        <f>IFERROR(IF(A88="","",_xludf.maxifs(MOVIMIENTOS!$A$4:$A$1000,MOVIMIENTOS!$C$4:$C$1000,A88,MOVIMIENTOS!$D$4:$D$1000,B88,MOVIMIENTOS!$E$4:$E$1000,C88)),"")</f>
        <v/>
      </c>
    </row>
    <row r="89" ht="15.75" customHeight="1">
      <c r="A89" s="80" t="str">
        <f>IF(INVENTARIO!E89&gt;0,INVENTARIO!A89,"")</f>
        <v/>
      </c>
      <c r="B89" s="80" t="str">
        <f>IF(A89="","",INVENTARIO!B89)</f>
        <v/>
      </c>
      <c r="C89" s="60" t="str">
        <f>IF(A89="","",INVENTARIO!C89)</f>
        <v/>
      </c>
      <c r="D89" s="45" t="str">
        <f>IF(A89="","",INVENTARIO!E89)</f>
        <v/>
      </c>
      <c r="E89" s="62" t="str">
        <f>IF(A89="","",INVENTARIO!H89)</f>
        <v/>
      </c>
      <c r="F89" s="84" t="str">
        <f>IFERROR(IF(A89="","",_xludf.maxifs(MOVIMIENTOS!$A$4:$A$1000,MOVIMIENTOS!$C$4:$C$1000,A89,MOVIMIENTOS!$D$4:$D$1000,B89,MOVIMIENTOS!$E$4:$E$1000,C89)),"")</f>
        <v/>
      </c>
    </row>
    <row r="90" ht="15.75" customHeight="1">
      <c r="A90" s="80" t="str">
        <f>IF(INVENTARIO!E90&gt;0,INVENTARIO!A90,"")</f>
        <v>OverShark</v>
      </c>
      <c r="B90" s="80" t="str">
        <f>IF(A90="","",INVENTARIO!B90)</f>
        <v>rib 1x1</v>
      </c>
      <c r="C90" s="60" t="str">
        <f>IF(A90="","",INVENTARIO!C90)</f>
        <v>Botella</v>
      </c>
      <c r="D90" s="45">
        <f>IF(A90="","",INVENTARIO!E90)</f>
        <v>1</v>
      </c>
      <c r="E90" s="62">
        <f>IF(A90="","",INVENTARIO!H90)</f>
        <v>480</v>
      </c>
      <c r="F90" s="84" t="str">
        <f>IFERROR(IF(A90="","",_xludf.maxifs(MOVIMIENTOS!$A$4:$A$1000,MOVIMIENTOS!$C$4:$C$1000,A90,MOVIMIENTOS!$D$4:$D$1000,B90,MOVIMIENTOS!$E$4:$E$1000,C90)),"")</f>
        <v/>
      </c>
    </row>
    <row r="91" ht="15.75" customHeight="1">
      <c r="A91" s="80" t="str">
        <f>IF(INVENTARIO!E91&gt;0,INVENTARIO!A91,"")</f>
        <v/>
      </c>
      <c r="B91" s="80" t="str">
        <f>IF(A91="","",INVENTARIO!B91)</f>
        <v/>
      </c>
      <c r="C91" s="60" t="str">
        <f>IF(A91="","",INVENTARIO!C91)</f>
        <v/>
      </c>
      <c r="D91" s="45" t="str">
        <f>IF(A91="","",INVENTARIO!E91)</f>
        <v/>
      </c>
      <c r="E91" s="62" t="str">
        <f>IF(A91="","",INVENTARIO!H91)</f>
        <v/>
      </c>
      <c r="F91" s="84" t="str">
        <f>IFERROR(IF(A91="","",_xludf.maxifs(MOVIMIENTOS!$A$4:$A$1000,MOVIMIENTOS!$C$4:$C$1000,A91,MOVIMIENTOS!$D$4:$D$1000,B91,MOVIMIENTOS!$E$4:$E$1000,C91)),"")</f>
        <v/>
      </c>
    </row>
    <row r="92" ht="15.75" customHeight="1">
      <c r="A92" s="80" t="str">
        <f>IF(INVENTARIO!E92&gt;0,INVENTARIO!A92,"")</f>
        <v/>
      </c>
      <c r="B92" s="80" t="str">
        <f>IF(A92="","",INVENTARIO!B92)</f>
        <v/>
      </c>
      <c r="C92" s="60" t="str">
        <f>IF(A92="","",INVENTARIO!C92)</f>
        <v/>
      </c>
      <c r="D92" s="45" t="str">
        <f>IF(A92="","",INVENTARIO!E92)</f>
        <v/>
      </c>
      <c r="E92" s="62" t="str">
        <f>IF(A92="","",INVENTARIO!H92)</f>
        <v/>
      </c>
      <c r="F92" s="84" t="str">
        <f>IFERROR(IF(A92="","",_xludf.maxifs(MOVIMIENTOS!$A$4:$A$1000,MOVIMIENTOS!$C$4:$C$1000,A92,MOVIMIENTOS!$D$4:$D$1000,B92,MOVIMIENTOS!$E$4:$E$1000,C92)),"")</f>
        <v/>
      </c>
    </row>
    <row r="93" ht="15.75" customHeight="1">
      <c r="A93" s="80" t="str">
        <f>IF(INVENTARIO!E93&gt;0,INVENTARIO!A93,"")</f>
        <v/>
      </c>
      <c r="B93" s="80" t="str">
        <f>IF(A93="","",INVENTARIO!B93)</f>
        <v/>
      </c>
      <c r="C93" s="60" t="str">
        <f>IF(A93="","",INVENTARIO!C93)</f>
        <v/>
      </c>
      <c r="D93" s="45" t="str">
        <f>IF(A93="","",INVENTARIO!E93)</f>
        <v/>
      </c>
      <c r="E93" s="62" t="str">
        <f>IF(A93="","",INVENTARIO!H93)</f>
        <v/>
      </c>
      <c r="F93" s="84" t="str">
        <f>IFERROR(IF(A93="","",_xludf.maxifs(MOVIMIENTOS!$A$4:$A$1000,MOVIMIENTOS!$C$4:$C$1000,A93,MOVIMIENTOS!$D$4:$D$1000,B93,MOVIMIENTOS!$E$4:$E$1000,C93)),"")</f>
        <v/>
      </c>
    </row>
    <row r="94" ht="15.75" customHeight="1">
      <c r="A94" s="80" t="str">
        <f>IF(INVENTARIO!E94&gt;0,INVENTARIO!A94,"")</f>
        <v/>
      </c>
      <c r="B94" s="80" t="str">
        <f>IF(A94="","",INVENTARIO!B94)</f>
        <v/>
      </c>
      <c r="C94" s="60" t="str">
        <f>IF(A94="","",INVENTARIO!C94)</f>
        <v/>
      </c>
      <c r="D94" s="45" t="str">
        <f>IF(A94="","",INVENTARIO!E94)</f>
        <v/>
      </c>
      <c r="E94" s="62" t="str">
        <f>IF(A94="","",INVENTARIO!H94)</f>
        <v/>
      </c>
      <c r="F94" s="84" t="str">
        <f>IFERROR(IF(A94="","",_xludf.maxifs(MOVIMIENTOS!$A$4:$A$1000,MOVIMIENTOS!$C$4:$C$1000,A94,MOVIMIENTOS!$D$4:$D$1000,B94,MOVIMIENTOS!$E$4:$E$1000,C94)),"")</f>
        <v/>
      </c>
    </row>
    <row r="95" ht="15.75" customHeight="1">
      <c r="A95" s="80" t="str">
        <f>IF(INVENTARIO!E95&gt;0,INVENTARIO!A95,"")</f>
        <v>OverShark</v>
      </c>
      <c r="B95" s="80" t="str">
        <f>IF(A95="","",INVENTARIO!B95)</f>
        <v>rib 1x1</v>
      </c>
      <c r="C95" s="60" t="str">
        <f>IF(A95="","",INVENTARIO!C95)</f>
        <v>Plomo</v>
      </c>
      <c r="D95" s="45">
        <f>IF(A95="","",INVENTARIO!E95)</f>
        <v>1</v>
      </c>
      <c r="E95" s="62">
        <f>IF(A95="","",INVENTARIO!H95)</f>
        <v>480</v>
      </c>
      <c r="F95" s="84" t="str">
        <f>IFERROR(IF(A95="","",_xludf.maxifs(MOVIMIENTOS!$A$4:$A$1000,MOVIMIENTOS!$C$4:$C$1000,A95,MOVIMIENTOS!$D$4:$D$1000,B95,MOVIMIENTOS!$E$4:$E$1000,C95)),"")</f>
        <v/>
      </c>
    </row>
    <row r="96" ht="15.75" customHeight="1">
      <c r="A96" s="80" t="str">
        <f>IF(INVENTARIO!E96&gt;0,INVENTARIO!A96,"")</f>
        <v/>
      </c>
      <c r="B96" s="80" t="str">
        <f>IF(A96="","",INVENTARIO!B96)</f>
        <v/>
      </c>
      <c r="C96" s="60" t="str">
        <f>IF(A96="","",INVENTARIO!C96)</f>
        <v/>
      </c>
      <c r="D96" s="45" t="str">
        <f>IF(A96="","",INVENTARIO!E96)</f>
        <v/>
      </c>
      <c r="E96" s="62" t="str">
        <f>IF(A96="","",INVENTARIO!H96)</f>
        <v/>
      </c>
      <c r="F96" s="84" t="str">
        <f>IFERROR(IF(A96="","",_xludf.maxifs(MOVIMIENTOS!$A$4:$A$1000,MOVIMIENTOS!$C$4:$C$1000,A96,MOVIMIENTOS!$D$4:$D$1000,B96,MOVIMIENTOS!$E$4:$E$1000,C96)),"")</f>
        <v/>
      </c>
    </row>
    <row r="97" ht="15.75" customHeight="1">
      <c r="A97" s="80" t="str">
        <f>IF(INVENTARIO!E97&gt;0,INVENTARIO!A97,"")</f>
        <v/>
      </c>
      <c r="B97" s="80" t="str">
        <f>IF(A97="","",INVENTARIO!B97)</f>
        <v/>
      </c>
      <c r="C97" s="60" t="str">
        <f>IF(A97="","",INVENTARIO!C97)</f>
        <v/>
      </c>
      <c r="D97" s="45" t="str">
        <f>IF(A97="","",INVENTARIO!E97)</f>
        <v/>
      </c>
      <c r="E97" s="62" t="str">
        <f>IF(A97="","",INVENTARIO!H97)</f>
        <v/>
      </c>
      <c r="F97" s="84" t="str">
        <f>IFERROR(IF(A97="","",_xludf.maxifs(MOVIMIENTOS!$A$4:$A$1000,MOVIMIENTOS!$C$4:$C$1000,A97,MOVIMIENTOS!$D$4:$D$1000,B97,MOVIMIENTOS!$E$4:$E$1000,C97)),"")</f>
        <v/>
      </c>
    </row>
    <row r="98" ht="15.75" customHeight="1">
      <c r="A98" s="80" t="str">
        <f>IF(INVENTARIO!E98&gt;0,INVENTARIO!A98,"")</f>
        <v/>
      </c>
      <c r="B98" s="80" t="str">
        <f>IF(A98="","",INVENTARIO!B98)</f>
        <v/>
      </c>
      <c r="C98" s="60" t="str">
        <f>IF(A98="","",INVENTARIO!C98)</f>
        <v/>
      </c>
      <c r="D98" s="45" t="str">
        <f>IF(A98="","",INVENTARIO!E98)</f>
        <v/>
      </c>
      <c r="E98" s="62" t="str">
        <f>IF(A98="","",INVENTARIO!H98)</f>
        <v/>
      </c>
      <c r="F98" s="84" t="str">
        <f>IFERROR(IF(A98="","",_xludf.maxifs(MOVIMIENTOS!$A$4:$A$1000,MOVIMIENTOS!$C$4:$C$1000,A98,MOVIMIENTOS!$D$4:$D$1000,B98,MOVIMIENTOS!$E$4:$E$1000,C98)),"")</f>
        <v/>
      </c>
    </row>
    <row r="99" ht="15.75" customHeight="1">
      <c r="A99" s="80" t="str">
        <f>IF(INVENTARIO!E99&gt;0,INVENTARIO!A99,"")</f>
        <v/>
      </c>
      <c r="B99" s="80" t="str">
        <f>IF(A99="","",INVENTARIO!B99)</f>
        <v/>
      </c>
      <c r="C99" s="60" t="str">
        <f>IF(A99="","",INVENTARIO!C99)</f>
        <v/>
      </c>
      <c r="D99" s="45" t="str">
        <f>IF(A99="","",INVENTARIO!E99)</f>
        <v/>
      </c>
      <c r="E99" s="62" t="str">
        <f>IF(A99="","",INVENTARIO!H99)</f>
        <v/>
      </c>
      <c r="F99" s="84" t="str">
        <f>IFERROR(IF(A99="","",_xludf.maxifs(MOVIMIENTOS!$A$4:$A$1000,MOVIMIENTOS!$C$4:$C$1000,A99,MOVIMIENTOS!$D$4:$D$1000,B99,MOVIMIENTOS!$E$4:$E$1000,C99)),"")</f>
        <v/>
      </c>
    </row>
    <row r="100" ht="15.75" customHeight="1">
      <c r="A100" s="80" t="str">
        <f>IF(INVENTARIO!E100&gt;0,INVENTARIO!A100,"")</f>
        <v/>
      </c>
      <c r="B100" s="80" t="str">
        <f>IF(A100="","",INVENTARIO!B100)</f>
        <v/>
      </c>
      <c r="C100" s="60" t="str">
        <f>IF(A100="","",INVENTARIO!C100)</f>
        <v/>
      </c>
      <c r="D100" s="45" t="str">
        <f>IF(A100="","",INVENTARIO!E100)</f>
        <v/>
      </c>
      <c r="E100" s="62" t="str">
        <f>IF(A100="","",INVENTARIO!H100)</f>
        <v/>
      </c>
      <c r="F100" s="84" t="str">
        <f>IFERROR(IF(A100="","",_xludf.maxifs(MOVIMIENTOS!$A$4:$A$1000,MOVIMIENTOS!$C$4:$C$1000,A100,MOVIMIENTOS!$D$4:$D$1000,B100,MOVIMIENTOS!$E$4:$E$1000,C100)),"")</f>
        <v/>
      </c>
    </row>
    <row r="101" ht="15.75" customHeight="1">
      <c r="A101" s="80" t="str">
        <f>IF(INVENTARIO!E101&gt;0,INVENTARIO!A101,"")</f>
        <v/>
      </c>
      <c r="B101" s="80" t="str">
        <f>IF(A101="","",INVENTARIO!B101)</f>
        <v/>
      </c>
      <c r="C101" s="60" t="str">
        <f>IF(A101="","",INVENTARIO!C101)</f>
        <v/>
      </c>
      <c r="D101" s="45" t="str">
        <f>IF(A101="","",INVENTARIO!E101)</f>
        <v/>
      </c>
      <c r="E101" s="62" t="str">
        <f>IF(A101="","",INVENTARIO!H101)</f>
        <v/>
      </c>
      <c r="F101" s="84" t="str">
        <f>IFERROR(IF(A101="","",_xludf.maxifs(MOVIMIENTOS!$A$4:$A$1000,MOVIMIENTOS!$C$4:$C$1000,A101,MOVIMIENTOS!$D$4:$D$1000,B101,MOVIMIENTOS!$E$4:$E$1000,C101)),"")</f>
        <v/>
      </c>
    </row>
    <row r="102" ht="15.75" customHeight="1">
      <c r="A102" s="80" t="str">
        <f>IF(INVENTARIO!E102&gt;0,INVENTARIO!A102,"")</f>
        <v/>
      </c>
      <c r="B102" s="80" t="str">
        <f>IF(A102="","",INVENTARIO!B102)</f>
        <v/>
      </c>
      <c r="C102" s="60" t="str">
        <f>IF(A102="","",INVENTARIO!C102)</f>
        <v/>
      </c>
      <c r="D102" s="45" t="str">
        <f>IF(A102="","",INVENTARIO!E102)</f>
        <v/>
      </c>
      <c r="E102" s="62" t="str">
        <f>IF(A102="","",INVENTARIO!H102)</f>
        <v/>
      </c>
      <c r="F102" s="84" t="str">
        <f>IFERROR(IF(A102="","",_xludf.maxifs(MOVIMIENTOS!$A$4:$A$1000,MOVIMIENTOS!$C$4:$C$1000,A102,MOVIMIENTOS!$D$4:$D$1000,B102,MOVIMIENTOS!$E$4:$E$1000,C102)),"")</f>
        <v/>
      </c>
    </row>
    <row r="103" ht="15.75" customHeight="1">
      <c r="A103" s="80" t="str">
        <f>IF(INVENTARIO!E103&gt;0,INVENTARIO!A103,"")</f>
        <v/>
      </c>
      <c r="B103" s="80" t="str">
        <f>IF(A103="","",INVENTARIO!B103)</f>
        <v/>
      </c>
      <c r="C103" s="60" t="str">
        <f>IF(A103="","",INVENTARIO!C103)</f>
        <v/>
      </c>
      <c r="D103" s="45" t="str">
        <f>IF(A103="","",INVENTARIO!E103)</f>
        <v/>
      </c>
      <c r="E103" s="62" t="str">
        <f>IF(A103="","",INVENTARIO!H103)</f>
        <v/>
      </c>
      <c r="F103" s="84" t="str">
        <f>IFERROR(IF(A103="","",_xludf.maxifs(MOVIMIENTOS!$A$4:$A$1000,MOVIMIENTOS!$C$4:$C$1000,A103,MOVIMIENTOS!$D$4:$D$1000,B103,MOVIMIENTOS!$E$4:$E$1000,C103)),"")</f>
        <v/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103"/>
  <mergeCells count="1">
    <mergeCell ref="A1:F1"/>
  </mergeCells>
  <conditionalFormatting sqref="F4:F103">
    <cfRule type="expression" dxfId="0" priority="1">
      <formula>AND(F4&lt;&gt;"",F4&lt;TODAY()-90)</formula>
    </cfRule>
  </conditionalFormatting>
  <conditionalFormatting sqref="F4:F103">
    <cfRule type="expression" dxfId="2" priority="2">
      <formula>AND(F4&lt;&gt;"",F4&lt;TODAY()-30,F4&gt;=TODAY()-90)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6" width="8.86"/>
  </cols>
  <sheetData>
    <row r="1" ht="27.75" customHeight="1">
      <c r="A1" s="85" t="s">
        <v>145</v>
      </c>
    </row>
    <row r="3" ht="18.0" customHeight="1">
      <c r="A3" s="86" t="s">
        <v>146</v>
      </c>
    </row>
    <row r="4" ht="18.0" customHeight="1">
      <c r="A4" s="87" t="s">
        <v>147</v>
      </c>
    </row>
    <row r="5" ht="18.0" customHeight="1">
      <c r="A5" s="87" t="s">
        <v>148</v>
      </c>
    </row>
    <row r="6" ht="18.0" customHeight="1">
      <c r="A6" s="87" t="s">
        <v>149</v>
      </c>
    </row>
    <row r="7" ht="18.0" customHeight="1">
      <c r="A7" s="87" t="s">
        <v>150</v>
      </c>
    </row>
    <row r="8" ht="18.0" customHeight="1">
      <c r="A8" s="87" t="s">
        <v>151</v>
      </c>
    </row>
    <row r="9" ht="18.0" customHeight="1">
      <c r="A9" s="87" t="s">
        <v>152</v>
      </c>
    </row>
    <row r="10" ht="18.0" customHeight="1">
      <c r="A10" s="87" t="s">
        <v>153</v>
      </c>
    </row>
    <row r="11" ht="18.0" customHeight="1">
      <c r="A11" s="87" t="s">
        <v>154</v>
      </c>
    </row>
    <row r="12" ht="18.0" customHeight="1">
      <c r="A12" s="87" t="s">
        <v>155</v>
      </c>
    </row>
    <row r="13" ht="18.0" customHeight="1">
      <c r="A13" s="87" t="s">
        <v>156</v>
      </c>
    </row>
    <row r="14" ht="18.0" customHeight="1">
      <c r="A14" s="87"/>
    </row>
    <row r="15" ht="18.0" customHeight="1">
      <c r="A15" s="86" t="s">
        <v>157</v>
      </c>
    </row>
    <row r="16" ht="18.0" customHeight="1">
      <c r="A16" s="87" t="s">
        <v>158</v>
      </c>
    </row>
    <row r="17" ht="18.0" customHeight="1">
      <c r="A17" s="87" t="s">
        <v>159</v>
      </c>
    </row>
    <row r="18" ht="18.0" customHeight="1">
      <c r="A18" s="87" t="s">
        <v>160</v>
      </c>
    </row>
    <row r="19" ht="18.0" customHeight="1">
      <c r="A19" s="87" t="s">
        <v>161</v>
      </c>
    </row>
    <row r="20" ht="18.0" customHeight="1">
      <c r="A20" s="87" t="s">
        <v>162</v>
      </c>
    </row>
    <row r="21" ht="18.0" customHeight="1">
      <c r="A21" s="87"/>
    </row>
    <row r="22" ht="18.0" customHeight="1">
      <c r="A22" s="86" t="s">
        <v>163</v>
      </c>
    </row>
    <row r="23" ht="18.0" customHeight="1">
      <c r="A23" s="87" t="s">
        <v>164</v>
      </c>
    </row>
    <row r="24" ht="18.0" customHeight="1">
      <c r="A24" s="87" t="s">
        <v>165</v>
      </c>
    </row>
    <row r="25" ht="18.0" customHeight="1">
      <c r="A25" s="87"/>
    </row>
    <row r="26" ht="18.0" customHeight="1">
      <c r="A26" s="86" t="s">
        <v>166</v>
      </c>
    </row>
    <row r="27" ht="18.0" customHeight="1">
      <c r="A27" s="87" t="s">
        <v>167</v>
      </c>
    </row>
    <row r="28" ht="18.0" customHeight="1">
      <c r="A28" s="87" t="s">
        <v>168</v>
      </c>
    </row>
    <row r="29" ht="18.0" customHeight="1">
      <c r="A29" s="87" t="s">
        <v>169</v>
      </c>
    </row>
    <row r="30" ht="18.0" customHeight="1">
      <c r="A30" s="87" t="s">
        <v>170</v>
      </c>
    </row>
    <row r="31" ht="18.0" customHeight="1">
      <c r="A31" s="87"/>
    </row>
    <row r="32" ht="18.0" customHeight="1">
      <c r="A32" s="86" t="s">
        <v>171</v>
      </c>
    </row>
    <row r="33" ht="18.0" customHeight="1">
      <c r="A33" s="87" t="s">
        <v>172</v>
      </c>
    </row>
    <row r="34" ht="18.0" customHeight="1">
      <c r="A34" s="87" t="s">
        <v>173</v>
      </c>
    </row>
    <row r="35" ht="18.0" customHeight="1">
      <c r="A35" s="87" t="s">
        <v>174</v>
      </c>
    </row>
    <row r="36" ht="18.0" customHeight="1">
      <c r="A36" s="87" t="s">
        <v>175</v>
      </c>
    </row>
    <row r="37" ht="18.0" customHeight="1">
      <c r="A37" s="87"/>
    </row>
    <row r="38" ht="18.0" customHeight="1">
      <c r="A38" s="86" t="s">
        <v>176</v>
      </c>
    </row>
    <row r="39" ht="18.0" customHeight="1">
      <c r="A39" s="87" t="s">
        <v>177</v>
      </c>
    </row>
    <row r="40" ht="18.0" customHeight="1">
      <c r="A40" s="87" t="s">
        <v>178</v>
      </c>
    </row>
    <row r="41" ht="18.0" customHeight="1">
      <c r="A41" s="87" t="s">
        <v>179</v>
      </c>
    </row>
    <row r="42" ht="18.0" customHeight="1">
      <c r="A42" s="87" t="s">
        <v>180</v>
      </c>
    </row>
    <row r="43" ht="18.0" customHeight="1">
      <c r="A43" s="87" t="s">
        <v>181</v>
      </c>
    </row>
    <row r="44" ht="18.0" customHeight="1">
      <c r="A44" s="87" t="s">
        <v>182</v>
      </c>
    </row>
    <row r="45" ht="18.0" customHeight="1">
      <c r="A45" s="87" t="s">
        <v>183</v>
      </c>
    </row>
    <row r="46" ht="18.0" customHeight="1">
      <c r="A46" s="87" t="s">
        <v>184</v>
      </c>
    </row>
    <row r="47" ht="18.0" customHeight="1">
      <c r="A47" s="87"/>
    </row>
    <row r="48" ht="18.0" customHeight="1">
      <c r="A48" s="86" t="s">
        <v>185</v>
      </c>
    </row>
    <row r="49" ht="18.0" customHeight="1">
      <c r="A49" s="87" t="s">
        <v>186</v>
      </c>
    </row>
    <row r="50" ht="18.0" customHeight="1">
      <c r="A50" s="87" t="s">
        <v>187</v>
      </c>
    </row>
    <row r="51" ht="18.0" customHeight="1">
      <c r="A51" s="87" t="s">
        <v>188</v>
      </c>
    </row>
    <row r="52" ht="18.0" customHeight="1">
      <c r="A52" s="87" t="s">
        <v>189</v>
      </c>
    </row>
    <row r="53" ht="18.0" customHeight="1">
      <c r="A53" s="87"/>
    </row>
    <row r="54" ht="18.0" customHeight="1">
      <c r="A54" s="86" t="s">
        <v>190</v>
      </c>
    </row>
    <row r="55" ht="18.0" customHeight="1">
      <c r="A55" s="87" t="s">
        <v>191</v>
      </c>
    </row>
    <row r="56" ht="18.0" customHeight="1">
      <c r="A56" s="87" t="s">
        <v>192</v>
      </c>
    </row>
    <row r="57" ht="18.0" customHeight="1">
      <c r="A57" s="87" t="s">
        <v>193</v>
      </c>
    </row>
    <row r="58" ht="18.0" customHeight="1">
      <c r="A58" s="87" t="s">
        <v>194</v>
      </c>
    </row>
    <row r="59" ht="18.0" customHeight="1">
      <c r="A59" s="87" t="s">
        <v>195</v>
      </c>
    </row>
    <row r="60" ht="18.0" customHeight="1">
      <c r="A60" s="87"/>
    </row>
    <row r="61" ht="18.0" customHeight="1">
      <c r="A61" s="86" t="s">
        <v>196</v>
      </c>
    </row>
    <row r="62" ht="18.0" customHeight="1">
      <c r="A62" s="87" t="s">
        <v>197</v>
      </c>
    </row>
    <row r="63" ht="18.0" customHeight="1">
      <c r="A63" s="87" t="s">
        <v>198</v>
      </c>
    </row>
    <row r="64" ht="18.0" customHeight="1">
      <c r="A64" s="87" t="s">
        <v>199</v>
      </c>
    </row>
    <row r="65" ht="18.0" customHeight="1">
      <c r="A65" s="87" t="s">
        <v>200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7.75" customHeight="1">
      <c r="A1" s="54" t="s">
        <v>201</v>
      </c>
      <c r="B1" s="2"/>
      <c r="C1" s="3"/>
    </row>
    <row r="3" ht="18.0" customHeight="1">
      <c r="A3" s="86" t="s">
        <v>202</v>
      </c>
    </row>
    <row r="4" ht="18.0" customHeight="1">
      <c r="A4" s="87" t="s">
        <v>203</v>
      </c>
    </row>
    <row r="5" ht="18.0" customHeight="1">
      <c r="A5" s="87" t="s">
        <v>204</v>
      </c>
    </row>
    <row r="6" ht="18.0" customHeight="1">
      <c r="A6" s="87" t="s">
        <v>205</v>
      </c>
    </row>
    <row r="7" ht="18.0" customHeight="1">
      <c r="A7" s="87" t="s">
        <v>206</v>
      </c>
    </row>
    <row r="8" ht="18.0" customHeight="1">
      <c r="A8" s="87" t="s">
        <v>207</v>
      </c>
    </row>
    <row r="9" ht="18.0" customHeight="1">
      <c r="A9" s="87" t="s">
        <v>208</v>
      </c>
    </row>
    <row r="10" ht="18.0" customHeight="1">
      <c r="A10" s="87" t="s">
        <v>209</v>
      </c>
    </row>
    <row r="11" ht="18.0" customHeight="1">
      <c r="A11" s="87" t="s">
        <v>210</v>
      </c>
    </row>
    <row r="12" ht="18.0" customHeight="1">
      <c r="A12" s="87"/>
    </row>
    <row r="13" ht="18.0" customHeight="1">
      <c r="A13" s="86" t="s">
        <v>211</v>
      </c>
    </row>
    <row r="14" ht="18.0" customHeight="1">
      <c r="A14" s="87" t="s">
        <v>212</v>
      </c>
    </row>
    <row r="15" ht="18.0" customHeight="1">
      <c r="A15" s="87" t="s">
        <v>213</v>
      </c>
    </row>
    <row r="16" ht="18.0" customHeight="1">
      <c r="A16" s="87" t="s">
        <v>214</v>
      </c>
    </row>
    <row r="17" ht="18.0" customHeight="1">
      <c r="A17" s="87" t="s">
        <v>215</v>
      </c>
    </row>
    <row r="18" ht="18.0" customHeight="1">
      <c r="A18" s="87" t="s">
        <v>216</v>
      </c>
    </row>
    <row r="19" ht="18.0" customHeight="1">
      <c r="A19" s="87" t="s">
        <v>217</v>
      </c>
    </row>
    <row r="20" ht="18.0" customHeight="1">
      <c r="A20" s="87"/>
    </row>
    <row r="21" ht="18.0" customHeight="1">
      <c r="A21" s="86" t="s">
        <v>218</v>
      </c>
    </row>
    <row r="22" ht="18.0" customHeight="1">
      <c r="A22" s="87" t="s">
        <v>219</v>
      </c>
    </row>
    <row r="23" ht="18.0" customHeight="1">
      <c r="A23" s="87" t="s">
        <v>220</v>
      </c>
    </row>
    <row r="24" ht="18.0" customHeight="1">
      <c r="A24" s="87" t="s">
        <v>221</v>
      </c>
    </row>
    <row r="25" ht="18.0" customHeight="1">
      <c r="A25" s="87" t="s">
        <v>222</v>
      </c>
    </row>
    <row r="26" ht="18.0" customHeight="1">
      <c r="A26" s="87" t="s">
        <v>223</v>
      </c>
    </row>
    <row r="27" ht="18.0" customHeight="1">
      <c r="A27" s="87" t="s">
        <v>224</v>
      </c>
    </row>
    <row r="28" ht="18.0" customHeight="1">
      <c r="A28" s="87" t="s">
        <v>225</v>
      </c>
    </row>
    <row r="29" ht="18.0" customHeight="1">
      <c r="A29" s="87" t="s">
        <v>226</v>
      </c>
    </row>
    <row r="30" ht="18.0" customHeight="1">
      <c r="A30" s="87" t="s">
        <v>227</v>
      </c>
    </row>
    <row r="31" ht="18.0" customHeight="1">
      <c r="A31" s="87" t="s">
        <v>228</v>
      </c>
    </row>
    <row r="32" ht="18.0" customHeight="1">
      <c r="A32" s="87" t="s">
        <v>229</v>
      </c>
    </row>
    <row r="33" ht="18.0" customHeight="1">
      <c r="A33" s="87" t="s">
        <v>230</v>
      </c>
    </row>
    <row r="34" ht="18.0" customHeight="1">
      <c r="A34" s="87" t="s">
        <v>231</v>
      </c>
    </row>
    <row r="35" ht="18.0" customHeight="1">
      <c r="A35" s="87" t="s">
        <v>232</v>
      </c>
    </row>
    <row r="36" ht="18.0" customHeight="1">
      <c r="A36" s="87" t="s">
        <v>233</v>
      </c>
    </row>
    <row r="37" ht="18.0" customHeight="1">
      <c r="A37" s="87" t="s">
        <v>234</v>
      </c>
    </row>
    <row r="38" ht="18.0" customHeight="1">
      <c r="A38" s="87"/>
    </row>
    <row r="39" ht="18.0" customHeight="1">
      <c r="A39" s="86" t="s">
        <v>235</v>
      </c>
    </row>
    <row r="40" ht="18.0" customHeight="1">
      <c r="A40" s="87" t="s">
        <v>236</v>
      </c>
    </row>
    <row r="41" ht="18.0" customHeight="1">
      <c r="A41" s="87" t="s">
        <v>237</v>
      </c>
    </row>
    <row r="42" ht="18.0" customHeight="1">
      <c r="A42" s="87" t="s">
        <v>238</v>
      </c>
    </row>
    <row r="43" ht="18.0" customHeight="1">
      <c r="A43" s="87"/>
    </row>
    <row r="44" ht="18.0" customHeight="1">
      <c r="A44" s="86" t="s">
        <v>239</v>
      </c>
    </row>
    <row r="45" ht="18.0" customHeight="1">
      <c r="A45" s="87" t="s">
        <v>240</v>
      </c>
    </row>
    <row r="46" ht="18.0" customHeight="1">
      <c r="A46" s="87" t="s">
        <v>241</v>
      </c>
    </row>
    <row r="47" ht="18.0" customHeight="1">
      <c r="A47" s="87" t="s">
        <v>242</v>
      </c>
    </row>
    <row r="48" ht="18.0" customHeight="1">
      <c r="A48" s="87" t="s">
        <v>243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3" width="50.0"/>
    <col customWidth="1" min="4" max="6" width="8.86"/>
  </cols>
  <sheetData>
    <row r="1" ht="27.75" customHeight="1">
      <c r="A1" s="54" t="s">
        <v>244</v>
      </c>
      <c r="B1" s="2"/>
      <c r="C1" s="3"/>
    </row>
    <row r="2" ht="15.0" customHeight="1">
      <c r="A2" s="5" t="s">
        <v>245</v>
      </c>
      <c r="B2" s="5" t="s">
        <v>246</v>
      </c>
      <c r="C2" s="5" t="s">
        <v>247</v>
      </c>
    </row>
    <row r="3" ht="15.0" customHeight="1">
      <c r="A3" s="80" t="s">
        <v>248</v>
      </c>
      <c r="B3" s="88">
        <v>20.0</v>
      </c>
      <c r="C3" s="60" t="s">
        <v>249</v>
      </c>
    </row>
    <row r="4" ht="15.0" customHeight="1">
      <c r="A4" s="80" t="s">
        <v>250</v>
      </c>
      <c r="B4" s="88">
        <v>5.0</v>
      </c>
      <c r="C4" s="60" t="s">
        <v>251</v>
      </c>
    </row>
    <row r="5" ht="15.0" customHeight="1">
      <c r="A5" s="80" t="s">
        <v>252</v>
      </c>
      <c r="B5" s="88">
        <v>15.0</v>
      </c>
      <c r="C5" s="60" t="s">
        <v>253</v>
      </c>
    </row>
    <row r="6" ht="15.0" customHeight="1">
      <c r="A6" s="80" t="s">
        <v>254</v>
      </c>
      <c r="B6" s="88" t="s">
        <v>21</v>
      </c>
      <c r="C6" s="60"/>
    </row>
    <row r="7" ht="15.0" customHeight="1">
      <c r="A7" s="80" t="s">
        <v>255</v>
      </c>
      <c r="B7" s="88" t="s">
        <v>36</v>
      </c>
      <c r="C7" s="60"/>
    </row>
    <row r="8" ht="15.0" customHeight="1">
      <c r="A8" s="80" t="s">
        <v>256</v>
      </c>
      <c r="B8" s="88">
        <v>0.15</v>
      </c>
      <c r="C8" s="60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22.0"/>
    <col customWidth="1" min="4" max="4" width="12.0"/>
    <col customWidth="1" min="5" max="5" width="28.0"/>
    <col customWidth="1" min="6" max="6" width="8.86"/>
    <col customWidth="1" min="7" max="7" width="18.0"/>
  </cols>
  <sheetData>
    <row r="1" ht="27.75" customHeight="1">
      <c r="A1" s="54" t="s">
        <v>258</v>
      </c>
      <c r="B1" s="2"/>
      <c r="C1" s="2"/>
      <c r="D1" s="2"/>
      <c r="E1" s="3"/>
    </row>
    <row r="2" ht="15.0" customHeight="1">
      <c r="A2" s="4" t="s">
        <v>259</v>
      </c>
    </row>
    <row r="3" ht="21.75" customHeight="1">
      <c r="A3" s="5" t="s">
        <v>4</v>
      </c>
      <c r="B3" s="5" t="s">
        <v>260</v>
      </c>
      <c r="C3" s="5" t="s">
        <v>261</v>
      </c>
      <c r="D3" s="5" t="s">
        <v>262</v>
      </c>
      <c r="E3" s="5" t="s">
        <v>15</v>
      </c>
      <c r="G3" s="5" t="s">
        <v>263</v>
      </c>
    </row>
    <row r="4" ht="15.0" customHeight="1">
      <c r="A4" s="89" t="s">
        <v>21</v>
      </c>
      <c r="B4" s="89"/>
      <c r="C4" s="89"/>
      <c r="D4" s="88">
        <v>1.0</v>
      </c>
      <c r="E4" s="89" t="s">
        <v>264</v>
      </c>
      <c r="G4" s="90" t="s">
        <v>110</v>
      </c>
    </row>
    <row r="5" ht="15.0" customHeight="1">
      <c r="A5" s="89" t="s">
        <v>36</v>
      </c>
      <c r="B5" s="89"/>
      <c r="C5" s="89"/>
      <c r="D5" s="88">
        <v>2.0</v>
      </c>
      <c r="E5" s="89" t="s">
        <v>264</v>
      </c>
      <c r="G5" s="91" t="str">
        <f t="shared" ref="G5:G10" si="1">IF(A4="","",A4)</f>
        <v>OverShark</v>
      </c>
    </row>
    <row r="6" ht="15.0" customHeight="1">
      <c r="A6" s="89"/>
      <c r="B6" s="89"/>
      <c r="C6" s="89"/>
      <c r="D6" s="88">
        <v>3.0</v>
      </c>
      <c r="E6" s="89" t="s">
        <v>265</v>
      </c>
      <c r="G6" s="91" t="str">
        <f t="shared" si="1"/>
        <v>Bravos</v>
      </c>
    </row>
    <row r="7" ht="15.0" customHeight="1">
      <c r="A7" s="89"/>
      <c r="B7" s="89"/>
      <c r="C7" s="89"/>
      <c r="D7" s="88">
        <v>4.0</v>
      </c>
      <c r="E7" s="89" t="s">
        <v>265</v>
      </c>
      <c r="G7" s="91" t="str">
        <f t="shared" si="1"/>
        <v/>
      </c>
    </row>
    <row r="8" ht="15.0" customHeight="1">
      <c r="A8" s="89"/>
      <c r="B8" s="89"/>
      <c r="C8" s="89"/>
      <c r="D8" s="88">
        <v>5.0</v>
      </c>
      <c r="E8" s="89" t="s">
        <v>265</v>
      </c>
      <c r="G8" s="91" t="str">
        <f t="shared" si="1"/>
        <v/>
      </c>
    </row>
    <row r="9" ht="15.0" customHeight="1">
      <c r="A9" s="89"/>
      <c r="B9" s="89"/>
      <c r="C9" s="89"/>
      <c r="D9" s="88">
        <v>6.0</v>
      </c>
      <c r="E9" s="89" t="s">
        <v>265</v>
      </c>
      <c r="G9" s="91" t="str">
        <f t="shared" si="1"/>
        <v/>
      </c>
    </row>
    <row r="10" ht="15.0" customHeight="1">
      <c r="G10" s="91" t="str">
        <f t="shared" si="1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3" width="20.0"/>
    <col customWidth="1" min="4" max="4" width="22.0"/>
    <col customWidth="1" min="5" max="5" width="30.0"/>
    <col customWidth="1" min="6" max="6" width="8.86"/>
  </cols>
  <sheetData>
    <row r="1" ht="27.75" customHeight="1">
      <c r="A1" s="54" t="s">
        <v>266</v>
      </c>
      <c r="B1" s="2"/>
      <c r="C1" s="2"/>
      <c r="D1" s="2"/>
      <c r="E1" s="3"/>
    </row>
    <row r="2" ht="15.0" customHeight="1">
      <c r="A2" s="4" t="s">
        <v>267</v>
      </c>
    </row>
    <row r="3" ht="21.75" customHeight="1">
      <c r="A3" s="5" t="s">
        <v>16</v>
      </c>
      <c r="B3" s="5" t="s">
        <v>268</v>
      </c>
      <c r="C3" s="5" t="s">
        <v>260</v>
      </c>
      <c r="D3" s="5" t="s">
        <v>261</v>
      </c>
      <c r="E3" s="5" t="s">
        <v>15</v>
      </c>
    </row>
    <row r="4" ht="15.0" customHeight="1">
      <c r="A4" s="89" t="s">
        <v>48</v>
      </c>
      <c r="B4" s="88" t="s">
        <v>269</v>
      </c>
      <c r="C4" s="89" t="s">
        <v>270</v>
      </c>
      <c r="D4" s="89" t="s">
        <v>271</v>
      </c>
      <c r="E4" s="89" t="s">
        <v>272</v>
      </c>
    </row>
    <row r="5" ht="15.0" customHeight="1">
      <c r="A5" s="89" t="s">
        <v>273</v>
      </c>
      <c r="B5" s="88" t="s">
        <v>274</v>
      </c>
      <c r="C5" s="89" t="s">
        <v>275</v>
      </c>
      <c r="D5" s="89" t="s">
        <v>276</v>
      </c>
      <c r="E5" s="89" t="s">
        <v>277</v>
      </c>
    </row>
    <row r="6" ht="15.0" customHeight="1">
      <c r="A6" s="89" t="s">
        <v>278</v>
      </c>
      <c r="B6" s="88" t="s">
        <v>279</v>
      </c>
      <c r="C6" s="89" t="s">
        <v>280</v>
      </c>
      <c r="D6" s="89" t="s">
        <v>281</v>
      </c>
      <c r="E6" s="89" t="s">
        <v>282</v>
      </c>
    </row>
    <row r="7" ht="15.0" customHeight="1">
      <c r="A7" s="89" t="s">
        <v>283</v>
      </c>
      <c r="B7" s="88" t="s">
        <v>284</v>
      </c>
      <c r="C7" s="89"/>
      <c r="D7" s="89"/>
      <c r="E7" s="89" t="s">
        <v>285</v>
      </c>
    </row>
    <row r="8" ht="15.0" customHeight="1">
      <c r="A8" s="89"/>
      <c r="B8" s="88"/>
      <c r="C8" s="89"/>
      <c r="D8" s="89"/>
      <c r="E8" s="89"/>
    </row>
    <row r="9" ht="15.0" customHeight="1">
      <c r="A9" s="89"/>
      <c r="B9" s="88"/>
      <c r="C9" s="89"/>
      <c r="D9" s="89"/>
      <c r="E9" s="89"/>
    </row>
    <row r="10" ht="15.0" customHeight="1">
      <c r="A10" s="89"/>
      <c r="B10" s="88"/>
      <c r="C10" s="89"/>
      <c r="D10" s="89"/>
      <c r="E10" s="89"/>
    </row>
    <row r="11" ht="15.0" customHeight="1">
      <c r="A11" s="89"/>
      <c r="B11" s="88"/>
      <c r="C11" s="89"/>
      <c r="D11" s="89"/>
      <c r="E11" s="89"/>
    </row>
    <row r="12" ht="15.0" customHeight="1">
      <c r="A12" s="89"/>
      <c r="B12" s="88"/>
      <c r="C12" s="89"/>
      <c r="D12" s="89"/>
      <c r="E12" s="89"/>
    </row>
    <row r="13" ht="15.0" customHeight="1">
      <c r="A13" s="89"/>
      <c r="B13" s="88"/>
      <c r="C13" s="89"/>
      <c r="D13" s="89"/>
      <c r="E13" s="89"/>
    </row>
    <row r="14" ht="15.0" customHeight="1">
      <c r="A14" s="89"/>
      <c r="B14" s="88"/>
      <c r="C14" s="89"/>
      <c r="D14" s="89"/>
      <c r="E14" s="89"/>
    </row>
    <row r="15" ht="15.0" customHeight="1">
      <c r="A15" s="89"/>
      <c r="B15" s="88"/>
      <c r="C15" s="89"/>
      <c r="D15" s="89"/>
      <c r="E15" s="89"/>
    </row>
    <row r="16" ht="15.0" customHeight="1">
      <c r="A16" s="89"/>
      <c r="B16" s="88"/>
      <c r="C16" s="89"/>
      <c r="D16" s="89"/>
      <c r="E16" s="89"/>
    </row>
    <row r="17" ht="15.0" customHeight="1">
      <c r="A17" s="89"/>
      <c r="B17" s="88"/>
      <c r="C17" s="89"/>
      <c r="D17" s="89"/>
      <c r="E17" s="89"/>
    </row>
    <row r="18" ht="15.0" customHeight="1">
      <c r="A18" s="89"/>
      <c r="B18" s="88"/>
      <c r="C18" s="89"/>
      <c r="D18" s="89"/>
      <c r="E18" s="89"/>
    </row>
    <row r="19" ht="15.0" customHeight="1">
      <c r="A19" s="89"/>
      <c r="B19" s="88"/>
      <c r="C19" s="89"/>
      <c r="D19" s="89"/>
      <c r="E19" s="89"/>
    </row>
    <row r="20" ht="15.0" customHeight="1">
      <c r="A20" s="89"/>
      <c r="B20" s="88"/>
      <c r="C20" s="89"/>
      <c r="D20" s="89"/>
      <c r="E20" s="89"/>
    </row>
    <row r="21" ht="15.75" customHeight="1">
      <c r="A21" s="89"/>
      <c r="B21" s="88"/>
      <c r="C21" s="89"/>
      <c r="D21" s="89"/>
      <c r="E21" s="89"/>
    </row>
    <row r="22" ht="15.75" customHeight="1">
      <c r="A22" s="89"/>
      <c r="B22" s="88"/>
      <c r="C22" s="89"/>
      <c r="D22" s="89"/>
      <c r="E22" s="89"/>
    </row>
    <row r="23" ht="15.75" customHeight="1">
      <c r="A23" s="89"/>
      <c r="B23" s="88"/>
      <c r="C23" s="89"/>
      <c r="D23" s="89"/>
      <c r="E23" s="89"/>
    </row>
    <row r="24" ht="15.75" customHeight="1">
      <c r="A24" s="89"/>
      <c r="B24" s="88"/>
      <c r="C24" s="89"/>
      <c r="D24" s="89"/>
      <c r="E24" s="89"/>
    </row>
    <row r="25" ht="15.75" customHeight="1">
      <c r="A25" s="89"/>
      <c r="B25" s="88"/>
      <c r="C25" s="89"/>
      <c r="D25" s="89"/>
      <c r="E25" s="89"/>
    </row>
    <row r="26" ht="15.75" customHeight="1">
      <c r="A26" s="89"/>
      <c r="B26" s="88"/>
      <c r="C26" s="89"/>
      <c r="D26" s="89"/>
      <c r="E26" s="89"/>
    </row>
    <row r="27" ht="15.75" customHeight="1">
      <c r="A27" s="89"/>
      <c r="B27" s="88"/>
      <c r="C27" s="89"/>
      <c r="D27" s="89"/>
      <c r="E27" s="89"/>
    </row>
    <row r="28" ht="15.75" customHeight="1">
      <c r="A28" s="89"/>
      <c r="B28" s="88"/>
      <c r="C28" s="89"/>
      <c r="D28" s="89"/>
      <c r="E28" s="89"/>
    </row>
    <row r="29" ht="15.75" customHeight="1">
      <c r="A29" s="89"/>
      <c r="B29" s="88"/>
      <c r="C29" s="89"/>
      <c r="D29" s="89"/>
      <c r="E29" s="89"/>
    </row>
    <row r="30" ht="15.75" customHeight="1">
      <c r="A30" s="89"/>
      <c r="B30" s="88"/>
      <c r="C30" s="89"/>
      <c r="D30" s="89"/>
      <c r="E30" s="89"/>
    </row>
    <row r="31" ht="15.75" customHeight="1">
      <c r="A31" s="89"/>
      <c r="B31" s="88"/>
      <c r="C31" s="89"/>
      <c r="D31" s="89"/>
      <c r="E31" s="89"/>
    </row>
    <row r="32" ht="15.75" customHeight="1">
      <c r="A32" s="89"/>
      <c r="B32" s="88"/>
      <c r="C32" s="89"/>
      <c r="D32" s="89"/>
      <c r="E32" s="89"/>
    </row>
    <row r="33" ht="15.75" customHeight="1">
      <c r="A33" s="89"/>
      <c r="B33" s="88"/>
      <c r="C33" s="89"/>
      <c r="D33" s="89"/>
      <c r="E33" s="89"/>
    </row>
    <row r="34" ht="15.75" customHeight="1">
      <c r="A34" s="89"/>
      <c r="B34" s="88"/>
      <c r="C34" s="89"/>
      <c r="D34" s="89"/>
      <c r="E34" s="89"/>
    </row>
    <row r="35" ht="15.75" customHeight="1">
      <c r="A35" s="89"/>
      <c r="B35" s="88"/>
      <c r="C35" s="89"/>
      <c r="D35" s="89"/>
      <c r="E35" s="89"/>
    </row>
    <row r="36" ht="15.75" customHeight="1">
      <c r="A36" s="89"/>
      <c r="B36" s="88"/>
      <c r="C36" s="89"/>
      <c r="D36" s="89"/>
      <c r="E36" s="89"/>
    </row>
    <row r="37" ht="15.75" customHeight="1">
      <c r="A37" s="89"/>
      <c r="B37" s="88"/>
      <c r="C37" s="89"/>
      <c r="D37" s="89"/>
      <c r="E37" s="89"/>
    </row>
    <row r="38" ht="15.75" customHeight="1">
      <c r="A38" s="89"/>
      <c r="B38" s="88"/>
      <c r="C38" s="89"/>
      <c r="D38" s="89"/>
      <c r="E38" s="89"/>
    </row>
    <row r="39" ht="15.75" customHeight="1">
      <c r="A39" s="89"/>
      <c r="B39" s="88"/>
      <c r="C39" s="89"/>
      <c r="D39" s="89"/>
      <c r="E39" s="89"/>
    </row>
    <row r="40" ht="15.75" customHeight="1">
      <c r="A40" s="89"/>
      <c r="B40" s="88"/>
      <c r="C40" s="89"/>
      <c r="D40" s="89"/>
      <c r="E40" s="89"/>
    </row>
    <row r="41" ht="15.75" customHeight="1">
      <c r="A41" s="89"/>
      <c r="B41" s="88"/>
      <c r="C41" s="89"/>
      <c r="D41" s="89"/>
      <c r="E41" s="89"/>
    </row>
    <row r="42" ht="15.75" customHeight="1">
      <c r="A42" s="89"/>
      <c r="B42" s="88"/>
      <c r="C42" s="89"/>
      <c r="D42" s="89"/>
      <c r="E42" s="89"/>
    </row>
    <row r="43" ht="15.75" customHeight="1">
      <c r="A43" s="89"/>
      <c r="B43" s="88"/>
      <c r="C43" s="89"/>
      <c r="D43" s="89"/>
      <c r="E43" s="89"/>
    </row>
    <row r="44" ht="15.75" customHeight="1">
      <c r="A44" s="89"/>
      <c r="B44" s="88"/>
      <c r="C44" s="89"/>
      <c r="D44" s="89"/>
      <c r="E44" s="89"/>
    </row>
    <row r="45" ht="15.75" customHeight="1">
      <c r="A45" s="89"/>
      <c r="B45" s="88"/>
      <c r="C45" s="89"/>
      <c r="D45" s="89"/>
      <c r="E45" s="89"/>
    </row>
    <row r="46" ht="15.75" customHeight="1">
      <c r="A46" s="89"/>
      <c r="B46" s="88"/>
      <c r="C46" s="89"/>
      <c r="D46" s="89"/>
      <c r="E46" s="89"/>
    </row>
    <row r="47" ht="15.75" customHeight="1">
      <c r="A47" s="89"/>
      <c r="B47" s="88"/>
      <c r="C47" s="89"/>
      <c r="D47" s="89"/>
      <c r="E47" s="89"/>
    </row>
    <row r="48" ht="15.75" customHeight="1">
      <c r="A48" s="89"/>
      <c r="B48" s="88"/>
      <c r="C48" s="89"/>
      <c r="D48" s="89"/>
      <c r="E48" s="89"/>
    </row>
    <row r="49" ht="15.75" customHeight="1">
      <c r="A49" s="89"/>
      <c r="B49" s="88"/>
      <c r="C49" s="89"/>
      <c r="D49" s="89"/>
      <c r="E49" s="89"/>
    </row>
    <row r="50" ht="15.75" customHeight="1">
      <c r="A50" s="89"/>
      <c r="B50" s="88"/>
      <c r="C50" s="89"/>
      <c r="D50" s="89"/>
      <c r="E50" s="89"/>
    </row>
    <row r="51" ht="15.75" customHeight="1">
      <c r="A51" s="89"/>
      <c r="B51" s="88"/>
      <c r="C51" s="89"/>
      <c r="D51" s="89"/>
      <c r="E51" s="89"/>
    </row>
    <row r="52" ht="15.75" customHeight="1">
      <c r="A52" s="89"/>
      <c r="B52" s="88"/>
      <c r="C52" s="89"/>
      <c r="D52" s="89"/>
      <c r="E52" s="89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3" width="24.14"/>
    <col customWidth="1" min="4" max="4" width="32.0"/>
    <col customWidth="1" min="5" max="6" width="8.86"/>
  </cols>
  <sheetData>
    <row r="1" ht="27.75" customHeight="1">
      <c r="A1" s="54" t="s">
        <v>286</v>
      </c>
      <c r="B1" s="2"/>
      <c r="C1" s="2"/>
      <c r="D1" s="3"/>
    </row>
    <row r="2" ht="15.0" customHeight="1">
      <c r="A2" s="4" t="s">
        <v>287</v>
      </c>
    </row>
    <row r="3" ht="21.75" customHeight="1">
      <c r="A3" s="5" t="s">
        <v>5</v>
      </c>
      <c r="B3" s="5" t="s">
        <v>288</v>
      </c>
      <c r="C3" s="5" t="s">
        <v>289</v>
      </c>
      <c r="D3" s="5" t="s">
        <v>15</v>
      </c>
    </row>
    <row r="4" ht="15.0" customHeight="1">
      <c r="A4" s="89" t="s">
        <v>22</v>
      </c>
      <c r="B4" s="88" t="s">
        <v>290</v>
      </c>
      <c r="C4" s="88">
        <v>20.0</v>
      </c>
      <c r="D4" s="88"/>
    </row>
    <row r="5" ht="15.0" customHeight="1">
      <c r="A5" s="89" t="s">
        <v>38</v>
      </c>
      <c r="B5" s="88" t="s">
        <v>291</v>
      </c>
      <c r="C5" s="88">
        <v>20.0</v>
      </c>
      <c r="D5" s="88"/>
    </row>
    <row r="6" ht="15.0" customHeight="1">
      <c r="A6" s="89" t="s">
        <v>41</v>
      </c>
      <c r="B6" s="88" t="s">
        <v>291</v>
      </c>
      <c r="C6" s="88">
        <v>20.0</v>
      </c>
      <c r="D6" s="88"/>
    </row>
    <row r="7" ht="15.0" customHeight="1">
      <c r="A7" s="89" t="s">
        <v>37</v>
      </c>
      <c r="B7" s="88" t="s">
        <v>291</v>
      </c>
      <c r="C7" s="92">
        <v>20.0</v>
      </c>
      <c r="D7" s="88" t="s">
        <v>292</v>
      </c>
    </row>
    <row r="8" ht="15.0" customHeight="1">
      <c r="A8" s="89" t="s">
        <v>49</v>
      </c>
      <c r="B8" s="88" t="s">
        <v>293</v>
      </c>
      <c r="C8" s="92">
        <v>20.0</v>
      </c>
      <c r="D8" s="88" t="s">
        <v>294</v>
      </c>
    </row>
    <row r="9" ht="15.0" customHeight="1">
      <c r="A9" s="89" t="s">
        <v>50</v>
      </c>
      <c r="B9" s="88" t="s">
        <v>295</v>
      </c>
      <c r="C9" s="92">
        <v>20.0</v>
      </c>
      <c r="D9" s="88" t="s">
        <v>296</v>
      </c>
    </row>
    <row r="10" ht="15.0" customHeight="1">
      <c r="A10" s="89" t="s">
        <v>47</v>
      </c>
      <c r="B10" s="88" t="s">
        <v>297</v>
      </c>
      <c r="C10" s="92">
        <v>20.0</v>
      </c>
      <c r="D10" s="88" t="s">
        <v>298</v>
      </c>
    </row>
    <row r="11" ht="15.0" customHeight="1">
      <c r="A11" s="89"/>
      <c r="B11" s="88"/>
      <c r="C11" s="92"/>
      <c r="D11" s="88"/>
    </row>
    <row r="12" ht="15.0" customHeight="1">
      <c r="A12" s="89"/>
      <c r="B12" s="88"/>
      <c r="C12" s="88"/>
      <c r="D12" s="88"/>
    </row>
    <row r="13" ht="15.0" customHeight="1">
      <c r="A13" s="89"/>
      <c r="B13" s="88"/>
      <c r="C13" s="88"/>
      <c r="D13" s="88"/>
    </row>
    <row r="14" ht="15.0" customHeight="1">
      <c r="A14" s="89"/>
      <c r="B14" s="88"/>
      <c r="C14" s="88"/>
      <c r="D14" s="88"/>
    </row>
    <row r="15" ht="15.0" customHeight="1">
      <c r="A15" s="89"/>
      <c r="B15" s="88"/>
      <c r="C15" s="88"/>
      <c r="D15" s="88"/>
    </row>
    <row r="16" ht="15.0" customHeight="1">
      <c r="A16" s="89"/>
      <c r="B16" s="88"/>
      <c r="C16" s="88"/>
      <c r="D16" s="88"/>
    </row>
    <row r="17" ht="15.0" customHeight="1">
      <c r="A17" s="89"/>
      <c r="B17" s="88"/>
      <c r="C17" s="88"/>
      <c r="D17" s="88"/>
    </row>
    <row r="18" ht="15.0" customHeight="1">
      <c r="A18" s="89"/>
      <c r="B18" s="88"/>
      <c r="C18" s="88"/>
      <c r="D18" s="88"/>
    </row>
    <row r="19" ht="15.0" customHeight="1">
      <c r="A19" s="89"/>
      <c r="B19" s="88"/>
      <c r="C19" s="88"/>
      <c r="D19" s="88"/>
    </row>
    <row r="20" ht="15.0" customHeight="1">
      <c r="A20" s="89"/>
      <c r="B20" s="88"/>
      <c r="C20" s="88"/>
      <c r="D20" s="88"/>
    </row>
    <row r="21" ht="15.75" customHeight="1">
      <c r="A21" s="89"/>
      <c r="B21" s="88"/>
      <c r="C21" s="88"/>
      <c r="D21" s="88"/>
    </row>
    <row r="22" ht="15.75" customHeight="1">
      <c r="A22" s="89"/>
      <c r="B22" s="88"/>
      <c r="C22" s="88"/>
      <c r="D22" s="88"/>
    </row>
    <row r="23" ht="15.75" customHeight="1">
      <c r="A23" s="89"/>
      <c r="B23" s="88"/>
      <c r="C23" s="88"/>
      <c r="D23" s="88"/>
    </row>
    <row r="24" ht="15.75" customHeight="1">
      <c r="A24" s="89"/>
      <c r="B24" s="88"/>
      <c r="C24" s="88"/>
      <c r="D24" s="88"/>
    </row>
    <row r="25" ht="15.75" customHeight="1">
      <c r="A25" s="89"/>
      <c r="B25" s="88"/>
      <c r="C25" s="88"/>
      <c r="D25" s="88"/>
    </row>
    <row r="26" ht="15.75" customHeight="1">
      <c r="A26" s="89"/>
      <c r="B26" s="88"/>
      <c r="C26" s="88"/>
      <c r="D26" s="88"/>
    </row>
    <row r="27" ht="15.75" customHeight="1">
      <c r="A27" s="89"/>
      <c r="B27" s="88"/>
      <c r="C27" s="88"/>
      <c r="D27" s="88"/>
    </row>
    <row r="28" ht="15.75" customHeight="1">
      <c r="A28" s="89"/>
      <c r="B28" s="88"/>
      <c r="C28" s="88"/>
      <c r="D28" s="88"/>
    </row>
    <row r="29" ht="15.75" customHeight="1">
      <c r="A29" s="89"/>
      <c r="B29" s="88"/>
      <c r="C29" s="88"/>
      <c r="D29" s="88"/>
    </row>
    <row r="30" ht="15.75" customHeight="1">
      <c r="A30" s="89"/>
      <c r="B30" s="88"/>
      <c r="C30" s="88"/>
      <c r="D30" s="88"/>
    </row>
    <row r="31" ht="15.75" customHeight="1">
      <c r="A31" s="89"/>
      <c r="B31" s="88"/>
      <c r="C31" s="88"/>
      <c r="D31" s="88"/>
    </row>
    <row r="32" ht="15.75" customHeight="1">
      <c r="A32" s="89"/>
      <c r="B32" s="88"/>
      <c r="C32" s="88"/>
      <c r="D32" s="8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11.0"/>
    <col customWidth="1" min="4" max="4" width="24.0"/>
    <col customWidth="1" min="5" max="6" width="8.86"/>
  </cols>
  <sheetData>
    <row r="1" ht="27.75" customHeight="1">
      <c r="A1" s="54" t="s">
        <v>299</v>
      </c>
      <c r="B1" s="2"/>
      <c r="C1" s="2"/>
      <c r="D1" s="3"/>
    </row>
    <row r="2" ht="15.0" customHeight="1">
      <c r="A2" s="4" t="s">
        <v>300</v>
      </c>
    </row>
    <row r="3" ht="21.75" customHeight="1">
      <c r="A3" s="5" t="s">
        <v>6</v>
      </c>
      <c r="B3" s="5" t="s">
        <v>301</v>
      </c>
      <c r="C3" s="5" t="s">
        <v>262</v>
      </c>
      <c r="D3" s="5" t="s">
        <v>15</v>
      </c>
    </row>
    <row r="4" ht="15.0" customHeight="1">
      <c r="A4" s="89" t="s">
        <v>23</v>
      </c>
      <c r="B4" s="88" t="s">
        <v>59</v>
      </c>
      <c r="C4" s="88">
        <v>1.0</v>
      </c>
      <c r="D4" s="88" t="s">
        <v>302</v>
      </c>
    </row>
    <row r="5" ht="15.0" customHeight="1">
      <c r="A5" s="89" t="s">
        <v>26</v>
      </c>
      <c r="B5" s="88" t="s">
        <v>69</v>
      </c>
      <c r="C5" s="88">
        <v>2.0</v>
      </c>
      <c r="D5" s="88" t="s">
        <v>302</v>
      </c>
    </row>
    <row r="6" ht="15.0" customHeight="1">
      <c r="A6" s="89" t="s">
        <v>303</v>
      </c>
      <c r="B6" s="88" t="s">
        <v>69</v>
      </c>
      <c r="C6" s="88">
        <v>3.0</v>
      </c>
      <c r="D6" s="88" t="s">
        <v>302</v>
      </c>
    </row>
    <row r="7" ht="15.0" customHeight="1">
      <c r="A7" s="89" t="s">
        <v>27</v>
      </c>
      <c r="B7" s="88" t="s">
        <v>59</v>
      </c>
      <c r="C7" s="88">
        <v>4.0</v>
      </c>
      <c r="D7" s="88" t="s">
        <v>302</v>
      </c>
    </row>
    <row r="8" ht="15.0" customHeight="1">
      <c r="A8" s="89" t="s">
        <v>32</v>
      </c>
      <c r="B8" s="88" t="s">
        <v>55</v>
      </c>
      <c r="C8" s="88">
        <v>5.0</v>
      </c>
      <c r="D8" s="88" t="s">
        <v>304</v>
      </c>
    </row>
    <row r="9" ht="15.0" customHeight="1">
      <c r="A9" s="89" t="s">
        <v>40</v>
      </c>
      <c r="B9" s="88" t="s">
        <v>305</v>
      </c>
      <c r="C9" s="88">
        <v>6.0</v>
      </c>
      <c r="D9" s="88" t="s">
        <v>304</v>
      </c>
    </row>
    <row r="10" ht="15.0" customHeight="1">
      <c r="A10" s="89" t="s">
        <v>28</v>
      </c>
      <c r="B10" s="88" t="s">
        <v>59</v>
      </c>
      <c r="C10" s="88">
        <v>7.0</v>
      </c>
      <c r="D10" s="88"/>
    </row>
    <row r="11" ht="15.0" customHeight="1">
      <c r="A11" s="89" t="s">
        <v>29</v>
      </c>
      <c r="B11" s="88" t="s">
        <v>55</v>
      </c>
      <c r="C11" s="88">
        <v>8.0</v>
      </c>
      <c r="D11" s="88"/>
    </row>
    <row r="12" ht="15.0" customHeight="1">
      <c r="A12" s="89" t="s">
        <v>30</v>
      </c>
      <c r="B12" s="88" t="s">
        <v>55</v>
      </c>
      <c r="C12" s="88">
        <v>9.0</v>
      </c>
      <c r="D12" s="88"/>
    </row>
    <row r="13" ht="15.0" customHeight="1">
      <c r="A13" s="89" t="s">
        <v>306</v>
      </c>
      <c r="B13" s="88" t="s">
        <v>55</v>
      </c>
      <c r="C13" s="88">
        <v>10.0</v>
      </c>
      <c r="D13" s="88"/>
    </row>
    <row r="14" ht="15.0" customHeight="1">
      <c r="A14" s="89" t="s">
        <v>34</v>
      </c>
      <c r="B14" s="88" t="s">
        <v>55</v>
      </c>
      <c r="C14" s="88">
        <v>11.0</v>
      </c>
      <c r="D14" s="88"/>
    </row>
    <row r="15" ht="15.0" customHeight="1">
      <c r="A15" s="89" t="s">
        <v>35</v>
      </c>
      <c r="B15" s="88" t="s">
        <v>59</v>
      </c>
      <c r="C15" s="88">
        <v>16.0</v>
      </c>
      <c r="D15" s="88"/>
    </row>
    <row r="16" ht="15.0" customHeight="1">
      <c r="A16" s="89" t="s">
        <v>39</v>
      </c>
      <c r="B16" s="88" t="s">
        <v>55</v>
      </c>
      <c r="C16" s="88">
        <v>13.0</v>
      </c>
      <c r="D16" s="88"/>
    </row>
    <row r="17" ht="15.0" customHeight="1">
      <c r="A17" s="89" t="s">
        <v>33</v>
      </c>
      <c r="B17" s="88" t="s">
        <v>59</v>
      </c>
      <c r="C17" s="88">
        <v>14.0</v>
      </c>
      <c r="D17" s="88"/>
    </row>
    <row r="18" ht="15.0" customHeight="1">
      <c r="A18" s="89" t="s">
        <v>31</v>
      </c>
      <c r="B18" s="88" t="s">
        <v>55</v>
      </c>
      <c r="C18" s="88">
        <v>15.0</v>
      </c>
      <c r="D18" s="88"/>
    </row>
    <row r="19" ht="15.0" customHeight="1">
      <c r="A19" s="89"/>
      <c r="B19" s="88"/>
      <c r="C19" s="88"/>
      <c r="D19" s="88"/>
    </row>
    <row r="20" ht="15.0" customHeight="1">
      <c r="A20" s="89"/>
      <c r="B20" s="88"/>
      <c r="C20" s="88"/>
      <c r="D20" s="88"/>
    </row>
    <row r="21" ht="15.75" customHeight="1">
      <c r="A21" s="89"/>
      <c r="B21" s="88"/>
      <c r="C21" s="88"/>
      <c r="D21" s="88"/>
    </row>
    <row r="22" ht="15.75" customHeight="1">
      <c r="A22" s="89"/>
      <c r="B22" s="88"/>
      <c r="C22" s="88"/>
      <c r="D22" s="88"/>
    </row>
    <row r="23" ht="15.75" customHeight="1">
      <c r="A23" s="89"/>
      <c r="B23" s="88"/>
      <c r="C23" s="88"/>
      <c r="D23" s="88"/>
    </row>
    <row r="24" ht="15.75" customHeight="1">
      <c r="A24" s="89"/>
      <c r="B24" s="88"/>
      <c r="C24" s="88"/>
      <c r="D24" s="88"/>
    </row>
    <row r="25" ht="15.75" customHeight="1">
      <c r="A25" s="89"/>
      <c r="B25" s="88"/>
      <c r="C25" s="88"/>
      <c r="D25" s="88"/>
    </row>
    <row r="26" ht="15.75" customHeight="1">
      <c r="A26" s="89"/>
      <c r="B26" s="88"/>
      <c r="C26" s="88"/>
      <c r="D26" s="88"/>
    </row>
    <row r="27" ht="15.75" customHeight="1">
      <c r="A27" s="89"/>
      <c r="B27" s="88"/>
      <c r="C27" s="88"/>
      <c r="D27" s="88"/>
    </row>
    <row r="28" ht="15.75" customHeight="1">
      <c r="A28" s="89"/>
      <c r="B28" s="88"/>
      <c r="C28" s="88"/>
      <c r="D28" s="88"/>
    </row>
    <row r="29" ht="15.75" customHeight="1">
      <c r="A29" s="89"/>
      <c r="B29" s="88"/>
      <c r="C29" s="88"/>
      <c r="D29" s="88"/>
    </row>
    <row r="30" ht="15.75" customHeight="1">
      <c r="A30" s="89"/>
      <c r="B30" s="88"/>
      <c r="C30" s="88"/>
      <c r="D30" s="88"/>
    </row>
    <row r="31" ht="15.75" customHeight="1">
      <c r="A31" s="89"/>
      <c r="B31" s="88"/>
      <c r="C31" s="88"/>
      <c r="D31" s="88"/>
    </row>
    <row r="32" ht="15.75" customHeight="1">
      <c r="A32" s="89"/>
      <c r="B32" s="88"/>
      <c r="C32" s="88"/>
      <c r="D32" s="88"/>
    </row>
    <row r="33" ht="15.75" customHeight="1">
      <c r="A33" s="89"/>
      <c r="B33" s="88"/>
      <c r="C33" s="88"/>
      <c r="D33" s="88"/>
    </row>
    <row r="34" ht="15.75" customHeight="1">
      <c r="A34" s="89"/>
      <c r="B34" s="88"/>
      <c r="C34" s="88"/>
      <c r="D34" s="88"/>
    </row>
    <row r="35" ht="15.75" customHeight="1">
      <c r="A35" s="89"/>
      <c r="B35" s="88"/>
      <c r="C35" s="88"/>
      <c r="D35" s="88"/>
    </row>
    <row r="36" ht="15.75" customHeight="1">
      <c r="A36" s="89"/>
      <c r="B36" s="88"/>
      <c r="C36" s="88"/>
      <c r="D36" s="88"/>
    </row>
    <row r="37" ht="15.75" customHeight="1">
      <c r="A37" s="89"/>
      <c r="B37" s="88"/>
      <c r="C37" s="88"/>
      <c r="D37" s="88"/>
    </row>
    <row r="38" ht="15.75" customHeight="1">
      <c r="A38" s="89"/>
      <c r="B38" s="88"/>
      <c r="C38" s="88"/>
      <c r="D38" s="88"/>
    </row>
    <row r="39" ht="15.75" customHeight="1">
      <c r="A39" s="89"/>
      <c r="B39" s="88"/>
      <c r="C39" s="88"/>
      <c r="D39" s="88"/>
    </row>
    <row r="40" ht="15.75" customHeight="1">
      <c r="A40" s="89"/>
      <c r="B40" s="88"/>
      <c r="C40" s="88"/>
      <c r="D40" s="88"/>
    </row>
    <row r="41" ht="15.75" customHeight="1">
      <c r="A41" s="89"/>
      <c r="B41" s="88"/>
      <c r="C41" s="88"/>
      <c r="D41" s="88"/>
    </row>
    <row r="42" ht="15.75" customHeight="1">
      <c r="A42" s="89"/>
      <c r="B42" s="88"/>
      <c r="C42" s="88"/>
      <c r="D42" s="88"/>
    </row>
    <row r="43" ht="15.75" customHeight="1">
      <c r="A43" s="89"/>
      <c r="B43" s="88"/>
      <c r="C43" s="88"/>
      <c r="D43" s="88"/>
    </row>
    <row r="44" ht="15.75" customHeight="1">
      <c r="A44" s="89"/>
      <c r="B44" s="88"/>
      <c r="C44" s="88"/>
      <c r="D44" s="88"/>
    </row>
    <row r="45" ht="15.75" customHeight="1">
      <c r="A45" s="89"/>
      <c r="B45" s="88"/>
      <c r="C45" s="88"/>
      <c r="D45" s="88"/>
    </row>
    <row r="46" ht="15.75" customHeight="1">
      <c r="A46" s="89"/>
      <c r="B46" s="88"/>
      <c r="C46" s="88"/>
      <c r="D46" s="88"/>
    </row>
    <row r="47" ht="15.75" customHeight="1">
      <c r="A47" s="89"/>
      <c r="B47" s="88"/>
      <c r="C47" s="88"/>
      <c r="D47" s="88"/>
    </row>
    <row r="48" ht="15.75" customHeight="1">
      <c r="A48" s="89"/>
      <c r="B48" s="88"/>
      <c r="C48" s="88"/>
      <c r="D48" s="88"/>
    </row>
    <row r="49" ht="15.75" customHeight="1">
      <c r="A49" s="89"/>
      <c r="B49" s="88"/>
      <c r="C49" s="88"/>
      <c r="D49" s="88"/>
    </row>
    <row r="50" ht="15.75" customHeight="1">
      <c r="A50" s="89"/>
      <c r="B50" s="88"/>
      <c r="C50" s="88"/>
      <c r="D50" s="88"/>
    </row>
    <row r="51" ht="15.75" customHeight="1">
      <c r="A51" s="89"/>
      <c r="B51" s="88"/>
      <c r="C51" s="88"/>
      <c r="D51" s="88"/>
    </row>
    <row r="52" ht="15.75" customHeight="1">
      <c r="A52" s="89"/>
      <c r="B52" s="88"/>
      <c r="C52" s="88"/>
      <c r="D52" s="88"/>
    </row>
    <row r="53" ht="15.75" customHeight="1">
      <c r="A53" s="89"/>
      <c r="B53" s="88"/>
      <c r="C53" s="88"/>
      <c r="D53" s="88"/>
    </row>
    <row r="54" ht="15.75" customHeight="1">
      <c r="A54" s="89"/>
      <c r="B54" s="88"/>
      <c r="C54" s="88"/>
      <c r="D54" s="88"/>
    </row>
    <row r="55" ht="15.75" customHeight="1">
      <c r="A55" s="89"/>
      <c r="B55" s="88"/>
      <c r="C55" s="88"/>
      <c r="D55" s="88"/>
    </row>
    <row r="56" ht="15.75" customHeight="1">
      <c r="A56" s="89"/>
      <c r="B56" s="88"/>
      <c r="C56" s="88"/>
      <c r="D56" s="88"/>
    </row>
    <row r="57" ht="15.75" customHeight="1">
      <c r="A57" s="89"/>
      <c r="B57" s="88"/>
      <c r="C57" s="88"/>
      <c r="D57" s="88"/>
    </row>
    <row r="58" ht="15.75" customHeight="1">
      <c r="A58" s="89"/>
      <c r="B58" s="88"/>
      <c r="C58" s="88"/>
      <c r="D58" s="88"/>
    </row>
    <row r="59" ht="15.75" customHeight="1">
      <c r="A59" s="89"/>
      <c r="B59" s="88"/>
      <c r="C59" s="88"/>
      <c r="D59" s="88"/>
    </row>
    <row r="60" ht="15.75" customHeight="1">
      <c r="A60" s="89"/>
      <c r="B60" s="88"/>
      <c r="C60" s="88"/>
      <c r="D60" s="88"/>
    </row>
    <row r="61" ht="15.75" customHeight="1">
      <c r="A61" s="89"/>
      <c r="B61" s="88"/>
      <c r="C61" s="88"/>
      <c r="D61" s="88"/>
    </row>
    <row r="62" ht="15.75" customHeight="1">
      <c r="A62" s="89"/>
      <c r="B62" s="88"/>
      <c r="C62" s="88"/>
      <c r="D62" s="88"/>
    </row>
    <row r="63" ht="15.75" customHeight="1">
      <c r="A63" s="89"/>
      <c r="B63" s="88"/>
      <c r="C63" s="88"/>
      <c r="D63" s="88"/>
    </row>
    <row r="64" ht="15.75" customHeight="1">
      <c r="A64" s="89"/>
      <c r="B64" s="88"/>
      <c r="C64" s="88"/>
      <c r="D64" s="88"/>
    </row>
    <row r="65" ht="15.75" customHeight="1">
      <c r="A65" s="89"/>
      <c r="B65" s="88"/>
      <c r="C65" s="88"/>
      <c r="D65" s="88"/>
    </row>
    <row r="66" ht="15.75" customHeight="1">
      <c r="A66" s="89"/>
      <c r="B66" s="88"/>
      <c r="C66" s="88"/>
      <c r="D66" s="88"/>
    </row>
    <row r="67" ht="15.75" customHeight="1">
      <c r="A67" s="89"/>
      <c r="B67" s="88"/>
      <c r="C67" s="88"/>
      <c r="D67" s="88"/>
    </row>
    <row r="68" ht="15.75" customHeight="1">
      <c r="A68" s="89"/>
      <c r="B68" s="88"/>
      <c r="C68" s="88"/>
      <c r="D68" s="88"/>
    </row>
    <row r="69" ht="15.75" customHeight="1">
      <c r="A69" s="89"/>
      <c r="B69" s="88"/>
      <c r="C69" s="88"/>
      <c r="D69" s="88"/>
    </row>
    <row r="70" ht="15.75" customHeight="1">
      <c r="A70" s="89"/>
      <c r="B70" s="88"/>
      <c r="C70" s="88"/>
      <c r="D70" s="88"/>
    </row>
    <row r="71" ht="15.75" customHeight="1">
      <c r="A71" s="89"/>
      <c r="B71" s="88"/>
      <c r="C71" s="88"/>
      <c r="D71" s="88"/>
    </row>
    <row r="72" ht="15.75" customHeight="1">
      <c r="A72" s="89"/>
      <c r="B72" s="88"/>
      <c r="C72" s="88"/>
      <c r="D72" s="88"/>
    </row>
    <row r="73" ht="15.75" customHeight="1">
      <c r="A73" s="89"/>
      <c r="B73" s="88"/>
      <c r="C73" s="88"/>
      <c r="D73" s="88"/>
    </row>
    <row r="74" ht="15.75" customHeight="1">
      <c r="A74" s="89"/>
      <c r="B74" s="88"/>
      <c r="C74" s="88"/>
      <c r="D74" s="88"/>
    </row>
    <row r="75" ht="15.75" customHeight="1">
      <c r="A75" s="89"/>
      <c r="B75" s="88"/>
      <c r="C75" s="88"/>
      <c r="D75" s="88"/>
    </row>
    <row r="76" ht="15.75" customHeight="1">
      <c r="A76" s="89"/>
      <c r="B76" s="88"/>
      <c r="C76" s="88"/>
      <c r="D76" s="88"/>
    </row>
    <row r="77" ht="15.75" customHeight="1">
      <c r="A77" s="89"/>
      <c r="B77" s="88"/>
      <c r="C77" s="88"/>
      <c r="D77" s="88"/>
    </row>
    <row r="78" ht="15.75" customHeight="1">
      <c r="A78" s="89"/>
      <c r="B78" s="88"/>
      <c r="C78" s="88"/>
      <c r="D78" s="88"/>
    </row>
    <row r="79" ht="15.75" customHeight="1">
      <c r="A79" s="89"/>
      <c r="B79" s="88"/>
      <c r="C79" s="88"/>
      <c r="D79" s="88"/>
    </row>
    <row r="80" ht="15.75" customHeight="1">
      <c r="A80" s="89"/>
      <c r="B80" s="88"/>
      <c r="C80" s="88"/>
      <c r="D80" s="88"/>
    </row>
    <row r="81" ht="15.75" customHeight="1">
      <c r="A81" s="89"/>
      <c r="B81" s="88"/>
      <c r="C81" s="88"/>
      <c r="D81" s="88"/>
    </row>
    <row r="82" ht="15.75" customHeight="1">
      <c r="A82" s="89"/>
      <c r="B82" s="88"/>
      <c r="C82" s="88"/>
      <c r="D82" s="88"/>
    </row>
    <row r="83" ht="15.75" customHeight="1">
      <c r="A83" s="89"/>
      <c r="B83" s="88"/>
      <c r="C83" s="88"/>
      <c r="D83" s="88"/>
    </row>
    <row r="84" ht="15.75" customHeight="1">
      <c r="A84" s="89"/>
      <c r="B84" s="88"/>
      <c r="C84" s="88"/>
      <c r="D84" s="88"/>
    </row>
    <row r="85" ht="15.75" customHeight="1">
      <c r="A85" s="89"/>
      <c r="B85" s="88"/>
      <c r="C85" s="88"/>
      <c r="D85" s="88"/>
    </row>
    <row r="86" ht="15.75" customHeight="1">
      <c r="A86" s="89"/>
      <c r="B86" s="88"/>
      <c r="C86" s="88"/>
      <c r="D86" s="88"/>
    </row>
    <row r="87" ht="15.75" customHeight="1">
      <c r="A87" s="89"/>
      <c r="B87" s="88"/>
      <c r="C87" s="88"/>
      <c r="D87" s="88"/>
    </row>
    <row r="88" ht="15.75" customHeight="1">
      <c r="A88" s="89"/>
      <c r="B88" s="88"/>
      <c r="C88" s="88"/>
      <c r="D88" s="88"/>
    </row>
    <row r="89" ht="15.75" customHeight="1">
      <c r="A89" s="89"/>
      <c r="B89" s="88"/>
      <c r="C89" s="88"/>
      <c r="D89" s="88"/>
    </row>
    <row r="90" ht="15.75" customHeight="1">
      <c r="A90" s="89"/>
      <c r="B90" s="88"/>
      <c r="C90" s="88"/>
      <c r="D90" s="88"/>
    </row>
    <row r="91" ht="15.75" customHeight="1">
      <c r="A91" s="89"/>
      <c r="B91" s="88"/>
      <c r="C91" s="88"/>
      <c r="D91" s="88"/>
    </row>
    <row r="92" ht="15.75" customHeight="1">
      <c r="A92" s="89"/>
      <c r="B92" s="88"/>
      <c r="C92" s="88"/>
      <c r="D92" s="88"/>
    </row>
    <row r="93" ht="15.75" customHeight="1">
      <c r="A93" s="89"/>
      <c r="B93" s="88"/>
      <c r="C93" s="88"/>
      <c r="D93" s="88"/>
    </row>
    <row r="94" ht="15.75" customHeight="1">
      <c r="A94" s="89"/>
      <c r="B94" s="88"/>
      <c r="C94" s="88"/>
      <c r="D94" s="88"/>
    </row>
    <row r="95" ht="15.75" customHeight="1">
      <c r="A95" s="89"/>
      <c r="B95" s="88"/>
      <c r="C95" s="88"/>
      <c r="D95" s="88"/>
    </row>
    <row r="96" ht="15.75" customHeight="1">
      <c r="A96" s="89"/>
      <c r="B96" s="88"/>
      <c r="C96" s="88"/>
      <c r="D96" s="88"/>
    </row>
    <row r="97" ht="15.75" customHeight="1">
      <c r="A97" s="89"/>
      <c r="B97" s="88"/>
      <c r="C97" s="88"/>
      <c r="D97" s="88"/>
    </row>
    <row r="98" ht="15.75" customHeight="1">
      <c r="A98" s="89"/>
      <c r="B98" s="88"/>
      <c r="C98" s="88"/>
      <c r="D98" s="88"/>
    </row>
    <row r="99" ht="15.75" customHeight="1">
      <c r="A99" s="89"/>
      <c r="B99" s="88"/>
      <c r="C99" s="88"/>
      <c r="D99" s="88"/>
    </row>
    <row r="100" ht="15.75" customHeight="1">
      <c r="A100" s="89"/>
      <c r="B100" s="88"/>
      <c r="C100" s="88"/>
      <c r="D100" s="88"/>
    </row>
    <row r="101" ht="15.75" customHeight="1">
      <c r="A101" s="89"/>
      <c r="B101" s="88"/>
      <c r="C101" s="88"/>
      <c r="D101" s="88"/>
    </row>
    <row r="102" ht="15.75" customHeight="1">
      <c r="A102" s="89"/>
      <c r="B102" s="88"/>
      <c r="C102" s="88"/>
      <c r="D102" s="8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dataValidations>
    <dataValidation type="list" allowBlank="1" sqref="B4:B102">
      <formula1>"OSCURO,CLARO,MELANGE,PPT"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8.29"/>
    <col customWidth="1" min="3" max="3" width="16.43"/>
    <col customWidth="1" min="4" max="4" width="19.43"/>
    <col customWidth="1" min="5" max="5" width="13.14"/>
    <col customWidth="1" min="6" max="6" width="30.0"/>
  </cols>
  <sheetData>
    <row r="1" ht="27.75" customHeight="1">
      <c r="A1" s="54" t="s">
        <v>307</v>
      </c>
      <c r="B1" s="2"/>
      <c r="C1" s="2"/>
      <c r="D1" s="2"/>
      <c r="E1" s="2"/>
      <c r="F1" s="3"/>
    </row>
    <row r="2" ht="15.0" customHeight="1">
      <c r="A2" s="4" t="s">
        <v>308</v>
      </c>
    </row>
    <row r="3" ht="21.75" customHeight="1">
      <c r="A3" s="5" t="s">
        <v>5</v>
      </c>
      <c r="B3" s="5" t="s">
        <v>309</v>
      </c>
      <c r="C3" s="5" t="s">
        <v>310</v>
      </c>
      <c r="D3" s="5" t="s">
        <v>311</v>
      </c>
      <c r="E3" s="5" t="s">
        <v>312</v>
      </c>
      <c r="F3" s="5" t="s">
        <v>15</v>
      </c>
    </row>
    <row r="4" ht="15.0" customHeight="1">
      <c r="A4" s="89" t="s">
        <v>22</v>
      </c>
      <c r="B4" s="93">
        <v>24.0</v>
      </c>
      <c r="C4" s="93">
        <v>21.0</v>
      </c>
      <c r="D4" s="93">
        <v>18.0</v>
      </c>
      <c r="E4" s="93">
        <v>18.0</v>
      </c>
      <c r="F4" s="88"/>
    </row>
    <row r="5" ht="15.0" customHeight="1">
      <c r="A5" s="89" t="s">
        <v>38</v>
      </c>
      <c r="B5" s="93">
        <v>24.0</v>
      </c>
      <c r="C5" s="93">
        <v>21.0</v>
      </c>
      <c r="D5" s="93">
        <v>18.0</v>
      </c>
      <c r="E5" s="93">
        <v>18.0</v>
      </c>
      <c r="F5" s="88"/>
    </row>
    <row r="6" ht="15.0" customHeight="1">
      <c r="A6" s="89" t="s">
        <v>41</v>
      </c>
      <c r="B6" s="93">
        <v>26.0</v>
      </c>
      <c r="C6" s="93">
        <v>22.5</v>
      </c>
      <c r="D6" s="93">
        <v>19.0</v>
      </c>
      <c r="E6" s="93">
        <v>19.0</v>
      </c>
      <c r="F6" s="88"/>
    </row>
    <row r="7" ht="15.0" customHeight="1">
      <c r="A7" s="89" t="s">
        <v>37</v>
      </c>
      <c r="B7" s="93">
        <v>24.0</v>
      </c>
      <c r="C7" s="93">
        <v>21.0</v>
      </c>
      <c r="D7" s="93">
        <v>18.0</v>
      </c>
      <c r="E7" s="93">
        <v>18.0</v>
      </c>
      <c r="F7" s="88"/>
    </row>
    <row r="8" ht="15.0" customHeight="1">
      <c r="A8" s="89" t="s">
        <v>49</v>
      </c>
      <c r="B8" s="93">
        <v>24.0</v>
      </c>
      <c r="C8" s="93">
        <v>21.0</v>
      </c>
      <c r="D8" s="93">
        <v>18.0</v>
      </c>
      <c r="E8" s="93">
        <v>18.0</v>
      </c>
      <c r="F8" s="88"/>
    </row>
    <row r="9" ht="15.0" customHeight="1">
      <c r="A9" s="89" t="s">
        <v>50</v>
      </c>
      <c r="B9" s="93">
        <v>24.0</v>
      </c>
      <c r="C9" s="93">
        <v>21.0</v>
      </c>
      <c r="D9" s="93">
        <v>18.0</v>
      </c>
      <c r="E9" s="93">
        <v>18.0</v>
      </c>
      <c r="F9" s="88"/>
    </row>
    <row r="10" ht="15.0" customHeight="1">
      <c r="A10" s="89" t="s">
        <v>313</v>
      </c>
      <c r="B10" s="93">
        <v>35.0</v>
      </c>
      <c r="C10" s="93">
        <v>35.0</v>
      </c>
      <c r="D10" s="93">
        <v>36.0</v>
      </c>
      <c r="E10" s="93">
        <v>38.0</v>
      </c>
      <c r="F10" s="88"/>
    </row>
    <row r="11" ht="15.0" customHeight="1">
      <c r="A11" s="94" t="s">
        <v>47</v>
      </c>
      <c r="B11" s="93">
        <v>26.0</v>
      </c>
      <c r="C11" s="93">
        <v>22.5</v>
      </c>
      <c r="D11" s="93">
        <v>19.0</v>
      </c>
      <c r="E11" s="93">
        <v>19.0</v>
      </c>
      <c r="F11" s="88"/>
    </row>
    <row r="12" ht="15.0" customHeight="1">
      <c r="A12" s="89"/>
      <c r="B12" s="93"/>
      <c r="C12" s="93"/>
      <c r="D12" s="93"/>
      <c r="E12" s="93"/>
      <c r="F12" s="88"/>
    </row>
    <row r="13" ht="15.0" customHeight="1">
      <c r="A13" s="89"/>
      <c r="B13" s="93"/>
      <c r="C13" s="93"/>
      <c r="D13" s="93"/>
      <c r="E13" s="93"/>
      <c r="F13" s="88"/>
    </row>
    <row r="14" ht="15.0" customHeight="1">
      <c r="A14" s="89"/>
      <c r="B14" s="93"/>
      <c r="C14" s="93"/>
      <c r="D14" s="93"/>
      <c r="E14" s="93"/>
      <c r="F14" s="88"/>
    </row>
    <row r="15" ht="15.0" customHeight="1">
      <c r="A15" s="89"/>
      <c r="B15" s="93"/>
      <c r="C15" s="93"/>
      <c r="D15" s="93"/>
      <c r="E15" s="93"/>
      <c r="F15" s="88"/>
    </row>
    <row r="16" ht="15.0" customHeight="1">
      <c r="A16" s="89"/>
      <c r="B16" s="93"/>
      <c r="C16" s="93"/>
      <c r="D16" s="93"/>
      <c r="E16" s="93"/>
      <c r="F16" s="88"/>
    </row>
    <row r="17" ht="15.0" customHeight="1">
      <c r="A17" s="89"/>
      <c r="B17" s="93"/>
      <c r="C17" s="93"/>
      <c r="D17" s="93"/>
      <c r="E17" s="93"/>
      <c r="F17" s="88"/>
    </row>
    <row r="18" ht="15.0" customHeight="1">
      <c r="A18" s="89"/>
      <c r="B18" s="93"/>
      <c r="C18" s="93"/>
      <c r="D18" s="93"/>
      <c r="E18" s="93"/>
      <c r="F18" s="88"/>
    </row>
    <row r="19" ht="15.0" customHeight="1">
      <c r="A19" s="89"/>
      <c r="B19" s="93"/>
      <c r="C19" s="93"/>
      <c r="D19" s="93"/>
      <c r="E19" s="93"/>
      <c r="F19" s="88"/>
    </row>
    <row r="20" ht="15.0" customHeight="1">
      <c r="A20" s="89"/>
      <c r="B20" s="93"/>
      <c r="C20" s="93"/>
      <c r="D20" s="93"/>
      <c r="E20" s="93"/>
      <c r="F20" s="88"/>
    </row>
    <row r="21" ht="15.75" customHeight="1">
      <c r="A21" s="89"/>
      <c r="B21" s="93"/>
      <c r="C21" s="93"/>
      <c r="D21" s="93"/>
      <c r="E21" s="93"/>
      <c r="F21" s="88"/>
    </row>
    <row r="22" ht="15.75" customHeight="1">
      <c r="A22" s="89"/>
      <c r="B22" s="93"/>
      <c r="C22" s="93"/>
      <c r="D22" s="93"/>
      <c r="E22" s="93"/>
      <c r="F22" s="88"/>
    </row>
    <row r="23" ht="15.75" customHeight="1">
      <c r="A23" s="89"/>
      <c r="B23" s="93"/>
      <c r="C23" s="93"/>
      <c r="D23" s="93"/>
      <c r="E23" s="93"/>
      <c r="F23" s="88"/>
    </row>
    <row r="24" ht="15.75" customHeight="1">
      <c r="A24" s="89"/>
      <c r="B24" s="93"/>
      <c r="C24" s="93"/>
      <c r="D24" s="93"/>
      <c r="E24" s="93"/>
      <c r="F24" s="88"/>
    </row>
    <row r="25" ht="15.75" customHeight="1">
      <c r="A25" s="89"/>
      <c r="B25" s="93"/>
      <c r="C25" s="93"/>
      <c r="D25" s="93"/>
      <c r="E25" s="93"/>
      <c r="F25" s="88"/>
    </row>
    <row r="26" ht="15.75" customHeight="1">
      <c r="A26" s="89"/>
      <c r="B26" s="93"/>
      <c r="C26" s="93"/>
      <c r="D26" s="93"/>
      <c r="E26" s="93"/>
      <c r="F26" s="88"/>
    </row>
    <row r="27" ht="15.75" customHeight="1">
      <c r="A27" s="89"/>
      <c r="B27" s="93"/>
      <c r="C27" s="93"/>
      <c r="D27" s="93"/>
      <c r="E27" s="93"/>
      <c r="F27" s="88"/>
    </row>
    <row r="28" ht="15.75" customHeight="1">
      <c r="A28" s="89"/>
      <c r="B28" s="93"/>
      <c r="C28" s="93"/>
      <c r="D28" s="93"/>
      <c r="E28" s="93"/>
      <c r="F28" s="88"/>
    </row>
    <row r="29" ht="15.75" customHeight="1">
      <c r="A29" s="89"/>
      <c r="B29" s="93"/>
      <c r="C29" s="93"/>
      <c r="D29" s="93"/>
      <c r="E29" s="93"/>
      <c r="F29" s="88"/>
    </row>
    <row r="30" ht="15.75" customHeight="1">
      <c r="A30" s="89"/>
      <c r="B30" s="93"/>
      <c r="C30" s="93"/>
      <c r="D30" s="93"/>
      <c r="E30" s="93"/>
      <c r="F30" s="88"/>
    </row>
    <row r="31" ht="15.75" customHeight="1">
      <c r="A31" s="89"/>
      <c r="B31" s="93"/>
      <c r="C31" s="93"/>
      <c r="D31" s="93"/>
      <c r="E31" s="93"/>
      <c r="F31" s="88"/>
    </row>
    <row r="32" ht="15.75" customHeight="1">
      <c r="A32" s="89"/>
      <c r="B32" s="93"/>
      <c r="C32" s="93"/>
      <c r="D32" s="93"/>
      <c r="E32" s="93"/>
      <c r="F32" s="8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5.43"/>
    <col customWidth="1" min="3" max="3" width="15.71"/>
    <col customWidth="1" min="4" max="4" width="16.0"/>
    <col customWidth="1" min="5" max="5" width="15.43"/>
    <col customWidth="1" min="6" max="6" width="17.0"/>
    <col customWidth="1" min="7" max="7" width="38.0"/>
    <col customWidth="1" min="8" max="8" width="22.0"/>
  </cols>
  <sheetData>
    <row r="1" ht="27.75" customHeight="1">
      <c r="A1" s="54" t="s">
        <v>314</v>
      </c>
      <c r="B1" s="2"/>
      <c r="C1" s="2"/>
      <c r="D1" s="2"/>
      <c r="E1" s="2"/>
      <c r="F1" s="2"/>
      <c r="G1" s="2"/>
      <c r="H1" s="3"/>
    </row>
    <row r="2" ht="15.0" customHeight="1">
      <c r="A2" s="4" t="s">
        <v>315</v>
      </c>
    </row>
    <row r="3" ht="25.5" customHeight="1">
      <c r="A3" s="5" t="s">
        <v>3</v>
      </c>
      <c r="B3" s="5" t="s">
        <v>99</v>
      </c>
      <c r="C3" s="5" t="s">
        <v>316</v>
      </c>
      <c r="D3" s="5" t="s">
        <v>317</v>
      </c>
      <c r="E3" s="5" t="s">
        <v>318</v>
      </c>
      <c r="F3" s="5" t="s">
        <v>319</v>
      </c>
      <c r="G3" s="5" t="s">
        <v>15</v>
      </c>
      <c r="H3" s="5" t="s">
        <v>320</v>
      </c>
    </row>
    <row r="4" ht="15.0" customHeight="1">
      <c r="A4" s="89" t="s">
        <v>321</v>
      </c>
      <c r="B4" s="89" t="s">
        <v>322</v>
      </c>
      <c r="C4" s="93">
        <v>0.0</v>
      </c>
      <c r="D4" s="93">
        <v>0.7</v>
      </c>
      <c r="E4" s="93">
        <v>0.75</v>
      </c>
      <c r="F4" s="93">
        <v>0.0</v>
      </c>
      <c r="G4" s="89" t="s">
        <v>323</v>
      </c>
      <c r="H4" s="11" t="str">
        <f t="shared" ref="H4:H17" si="1">A4&amp;"_"&amp;B4</f>
        <v>CUELLO_RECTILÍNEO</v>
      </c>
    </row>
    <row r="5" ht="15.0" customHeight="1">
      <c r="A5" s="89" t="s">
        <v>324</v>
      </c>
      <c r="B5" s="89" t="s">
        <v>322</v>
      </c>
      <c r="C5" s="93">
        <v>0.0</v>
      </c>
      <c r="D5" s="93">
        <v>0.3</v>
      </c>
      <c r="E5" s="93">
        <v>0.35</v>
      </c>
      <c r="F5" s="93">
        <v>0.0</v>
      </c>
      <c r="G5" s="89" t="s">
        <v>325</v>
      </c>
      <c r="H5" s="11" t="str">
        <f t="shared" si="1"/>
        <v>PUÑO_RECTILÍNEO</v>
      </c>
    </row>
    <row r="6" ht="15.0" customHeight="1">
      <c r="A6" s="89" t="s">
        <v>321</v>
      </c>
      <c r="B6" s="89" t="s">
        <v>326</v>
      </c>
      <c r="C6" s="93">
        <v>0.4</v>
      </c>
      <c r="D6" s="93">
        <v>0.45</v>
      </c>
      <c r="E6" s="93">
        <v>0.5</v>
      </c>
      <c r="F6" s="93">
        <v>0.55</v>
      </c>
      <c r="G6" s="89" t="s">
        <v>327</v>
      </c>
      <c r="H6" s="11" t="str">
        <f t="shared" si="1"/>
        <v>CUELLO_RIB 1x1</v>
      </c>
    </row>
    <row r="7" ht="15.0" customHeight="1">
      <c r="A7" s="89" t="s">
        <v>321</v>
      </c>
      <c r="B7" s="89" t="s">
        <v>328</v>
      </c>
      <c r="C7" s="93">
        <v>0.4</v>
      </c>
      <c r="D7" s="93">
        <v>0.4</v>
      </c>
      <c r="E7" s="93">
        <v>0.4</v>
      </c>
      <c r="F7" s="93">
        <v>0.4</v>
      </c>
      <c r="G7" s="89" t="s">
        <v>329</v>
      </c>
      <c r="H7" s="11" t="str">
        <f t="shared" si="1"/>
        <v>CUELLO_RIB 2x1</v>
      </c>
    </row>
    <row r="8" ht="15.0" customHeight="1">
      <c r="A8" s="89" t="s">
        <v>324</v>
      </c>
      <c r="B8" s="89" t="s">
        <v>328</v>
      </c>
      <c r="C8" s="93">
        <v>0.3</v>
      </c>
      <c r="D8" s="93">
        <v>0.3</v>
      </c>
      <c r="E8" s="93">
        <v>0.3</v>
      </c>
      <c r="F8" s="93">
        <v>0.3</v>
      </c>
      <c r="G8" s="89" t="s">
        <v>330</v>
      </c>
      <c r="H8" s="11" t="str">
        <f t="shared" si="1"/>
        <v>PUÑO_RIB 2x1</v>
      </c>
    </row>
    <row r="9" ht="15.0" customHeight="1">
      <c r="A9" s="89" t="s">
        <v>331</v>
      </c>
      <c r="B9" s="89" t="s">
        <v>328</v>
      </c>
      <c r="C9" s="93">
        <v>0.6</v>
      </c>
      <c r="D9" s="93">
        <v>0.6</v>
      </c>
      <c r="E9" s="93">
        <v>0.6</v>
      </c>
      <c r="F9" s="93">
        <v>0.6</v>
      </c>
      <c r="G9" s="89" t="s">
        <v>332</v>
      </c>
      <c r="H9" s="11" t="str">
        <f t="shared" si="1"/>
        <v>PRETINA_RIB 2x1</v>
      </c>
    </row>
    <row r="10" ht="15.0" customHeight="1">
      <c r="A10" s="89" t="s">
        <v>333</v>
      </c>
      <c r="B10" s="89" t="s">
        <v>334</v>
      </c>
      <c r="C10" s="93">
        <v>0.45</v>
      </c>
      <c r="D10" s="93">
        <v>0.45</v>
      </c>
      <c r="E10" s="93">
        <v>0.45</v>
      </c>
      <c r="F10" s="93">
        <v>0.45</v>
      </c>
      <c r="G10" s="89" t="s">
        <v>335</v>
      </c>
      <c r="H10" s="11" t="str">
        <f t="shared" si="1"/>
        <v>CIERRE_DIRECTO</v>
      </c>
    </row>
    <row r="11" ht="15.0" customHeight="1">
      <c r="A11" s="89"/>
      <c r="B11" s="89"/>
      <c r="C11" s="93"/>
      <c r="D11" s="93"/>
      <c r="E11" s="93"/>
      <c r="F11" s="93"/>
      <c r="G11" s="89"/>
      <c r="H11" s="11" t="str">
        <f t="shared" si="1"/>
        <v>_</v>
      </c>
    </row>
    <row r="12" ht="15.0" customHeight="1">
      <c r="A12" s="89"/>
      <c r="B12" s="89"/>
      <c r="C12" s="93"/>
      <c r="D12" s="93"/>
      <c r="E12" s="93"/>
      <c r="F12" s="93"/>
      <c r="G12" s="89"/>
      <c r="H12" s="11" t="str">
        <f t="shared" si="1"/>
        <v>_</v>
      </c>
    </row>
    <row r="13" ht="15.0" customHeight="1">
      <c r="A13" s="89"/>
      <c r="B13" s="89"/>
      <c r="C13" s="93"/>
      <c r="D13" s="93"/>
      <c r="E13" s="93"/>
      <c r="F13" s="93"/>
      <c r="G13" s="89"/>
      <c r="H13" s="11" t="str">
        <f t="shared" si="1"/>
        <v>_</v>
      </c>
    </row>
    <row r="14" ht="15.0" customHeight="1">
      <c r="A14" s="89"/>
      <c r="B14" s="89"/>
      <c r="C14" s="93"/>
      <c r="D14" s="93"/>
      <c r="E14" s="93"/>
      <c r="F14" s="93"/>
      <c r="G14" s="89"/>
      <c r="H14" s="11" t="str">
        <f t="shared" si="1"/>
        <v>_</v>
      </c>
    </row>
    <row r="15" ht="15.0" customHeight="1">
      <c r="A15" s="89"/>
      <c r="B15" s="89"/>
      <c r="C15" s="93"/>
      <c r="D15" s="93"/>
      <c r="E15" s="93"/>
      <c r="F15" s="93"/>
      <c r="G15" s="89"/>
      <c r="H15" s="11" t="str">
        <f t="shared" si="1"/>
        <v>_</v>
      </c>
    </row>
    <row r="16" ht="15.0" customHeight="1">
      <c r="A16" s="89"/>
      <c r="B16" s="89"/>
      <c r="C16" s="93"/>
      <c r="D16" s="93"/>
      <c r="E16" s="93"/>
      <c r="F16" s="93"/>
      <c r="G16" s="89"/>
      <c r="H16" s="11" t="str">
        <f t="shared" si="1"/>
        <v>_</v>
      </c>
    </row>
    <row r="17" ht="15.0" customHeight="1">
      <c r="A17" s="89"/>
      <c r="B17" s="89"/>
      <c r="C17" s="93"/>
      <c r="D17" s="93"/>
      <c r="E17" s="93"/>
      <c r="F17" s="93"/>
      <c r="G17" s="89"/>
      <c r="H17" s="11" t="str">
        <f t="shared" si="1"/>
        <v>_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A4:A17">
      <formula1>"CUELLO,PUÑO,PRETINA"</formula1>
    </dataValidation>
    <dataValidation type="list" allowBlank="1" sqref="B4:B17">
      <formula1>"RECTILÍNEO,RIB 1x1,RIB 2x1"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22.0"/>
    <col customWidth="1" min="3" max="3" width="16.0"/>
    <col customWidth="1" min="4" max="4" width="14.0"/>
    <col customWidth="1" min="5" max="5" width="22.29"/>
    <col customWidth="1" min="6" max="6" width="16.0"/>
    <col customWidth="1" min="7" max="7" width="19.71"/>
    <col customWidth="1" min="8" max="8" width="19.14"/>
    <col customWidth="1" min="9" max="9" width="22.86"/>
    <col customWidth="1" min="10" max="10" width="17.86"/>
    <col customWidth="1" min="11" max="11" width="14.0"/>
    <col customWidth="1" min="12" max="12" width="30.0"/>
    <col customWidth="1" min="13" max="13" width="8.86"/>
    <col customWidth="1" min="14" max="14" width="24.0"/>
  </cols>
  <sheetData>
    <row r="1" ht="27.75" customHeight="1">
      <c r="A1" s="54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0" customHeight="1">
      <c r="A2" s="4" t="s">
        <v>337</v>
      </c>
    </row>
    <row r="3" ht="27.75" customHeight="1">
      <c r="A3" s="5" t="s">
        <v>338</v>
      </c>
      <c r="B3" s="5" t="s">
        <v>339</v>
      </c>
      <c r="C3" s="5" t="s">
        <v>340</v>
      </c>
      <c r="D3" s="5" t="s">
        <v>341</v>
      </c>
      <c r="E3" s="5" t="s">
        <v>342</v>
      </c>
      <c r="F3" s="5" t="s">
        <v>343</v>
      </c>
      <c r="G3" s="5" t="s">
        <v>344</v>
      </c>
      <c r="H3" s="5" t="s">
        <v>345</v>
      </c>
      <c r="I3" s="5" t="s">
        <v>346</v>
      </c>
      <c r="J3" s="5" t="s">
        <v>347</v>
      </c>
      <c r="K3" s="5" t="s">
        <v>348</v>
      </c>
      <c r="L3" s="5" t="s">
        <v>15</v>
      </c>
      <c r="N3" s="95" t="s">
        <v>349</v>
      </c>
    </row>
    <row r="4" ht="15.0" customHeight="1">
      <c r="A4" s="89" t="s">
        <v>350</v>
      </c>
      <c r="B4" s="88" t="s">
        <v>22</v>
      </c>
      <c r="C4" s="96">
        <v>6.0</v>
      </c>
      <c r="D4" s="88" t="s">
        <v>326</v>
      </c>
      <c r="E4" s="97">
        <v>1.0</v>
      </c>
      <c r="F4" s="88" t="s">
        <v>351</v>
      </c>
      <c r="G4" s="97">
        <v>0.0</v>
      </c>
      <c r="H4" s="88" t="s">
        <v>351</v>
      </c>
      <c r="I4" s="97">
        <v>0.0</v>
      </c>
      <c r="J4" s="88" t="s">
        <v>351</v>
      </c>
      <c r="K4" s="97">
        <v>0.0</v>
      </c>
      <c r="L4" s="89" t="s">
        <v>352</v>
      </c>
      <c r="N4" s="98" t="s">
        <v>353</v>
      </c>
    </row>
    <row r="5" ht="15.0" customHeight="1">
      <c r="A5" s="89" t="s">
        <v>354</v>
      </c>
      <c r="B5" s="88" t="s">
        <v>41</v>
      </c>
      <c r="C5" s="96">
        <v>5.5</v>
      </c>
      <c r="D5" s="88" t="s">
        <v>351</v>
      </c>
      <c r="E5" s="97">
        <v>0.0</v>
      </c>
      <c r="F5" s="88" t="s">
        <v>351</v>
      </c>
      <c r="G5" s="97">
        <v>0.0</v>
      </c>
      <c r="H5" s="88" t="s">
        <v>351</v>
      </c>
      <c r="I5" s="97">
        <v>0.0</v>
      </c>
      <c r="J5" s="88" t="s">
        <v>351</v>
      </c>
      <c r="K5" s="97">
        <v>0.0</v>
      </c>
      <c r="L5" s="89"/>
      <c r="N5" s="67" t="str">
        <f t="shared" ref="N5:N52" si="1">IF(A4="","",A4)</f>
        <v>Polo clásico jersey</v>
      </c>
    </row>
    <row r="6" ht="15.0" customHeight="1">
      <c r="A6" s="89" t="s">
        <v>355</v>
      </c>
      <c r="B6" s="88" t="s">
        <v>22</v>
      </c>
      <c r="C6" s="96">
        <v>5.0</v>
      </c>
      <c r="D6" s="88" t="s">
        <v>326</v>
      </c>
      <c r="E6" s="97">
        <v>1.0</v>
      </c>
      <c r="F6" s="88" t="s">
        <v>351</v>
      </c>
      <c r="G6" s="97">
        <v>0.0</v>
      </c>
      <c r="H6" s="88" t="s">
        <v>351</v>
      </c>
      <c r="I6" s="97">
        <v>0.0</v>
      </c>
      <c r="J6" s="88" t="s">
        <v>351</v>
      </c>
      <c r="K6" s="97">
        <v>0.0</v>
      </c>
      <c r="L6" s="89" t="s">
        <v>352</v>
      </c>
      <c r="N6" s="67" t="str">
        <f t="shared" si="1"/>
        <v>Polo clásico wafle</v>
      </c>
    </row>
    <row r="7" ht="15.0" customHeight="1">
      <c r="A7" s="89" t="s">
        <v>356</v>
      </c>
      <c r="B7" s="88" t="s">
        <v>41</v>
      </c>
      <c r="C7" s="96">
        <v>4.5</v>
      </c>
      <c r="D7" s="88" t="s">
        <v>351</v>
      </c>
      <c r="E7" s="97">
        <v>0.0</v>
      </c>
      <c r="F7" s="88" t="s">
        <v>351</v>
      </c>
      <c r="G7" s="97">
        <v>0.0</v>
      </c>
      <c r="H7" s="88" t="s">
        <v>351</v>
      </c>
      <c r="I7" s="97">
        <v>0.0</v>
      </c>
      <c r="J7" s="88" t="s">
        <v>351</v>
      </c>
      <c r="K7" s="97">
        <v>0.0</v>
      </c>
      <c r="L7" s="89"/>
      <c r="N7" s="67" t="str">
        <f t="shared" si="1"/>
        <v>Polo manga larga jersey</v>
      </c>
    </row>
    <row r="8" ht="15.0" customHeight="1">
      <c r="A8" s="89" t="s">
        <v>357</v>
      </c>
      <c r="B8" s="88" t="s">
        <v>38</v>
      </c>
      <c r="C8" s="96">
        <v>5.0</v>
      </c>
      <c r="D8" s="88" t="s">
        <v>322</v>
      </c>
      <c r="E8" s="97">
        <v>1.0</v>
      </c>
      <c r="F8" s="88" t="s">
        <v>322</v>
      </c>
      <c r="G8" s="97">
        <v>2.0</v>
      </c>
      <c r="H8" s="88" t="s">
        <v>351</v>
      </c>
      <c r="I8" s="97">
        <v>0.0</v>
      </c>
      <c r="J8" s="88" t="s">
        <v>351</v>
      </c>
      <c r="K8" s="97">
        <v>0.0</v>
      </c>
      <c r="L8" s="89" t="s">
        <v>358</v>
      </c>
      <c r="N8" s="67" t="str">
        <f t="shared" si="1"/>
        <v>Polo manga larga wafle</v>
      </c>
    </row>
    <row r="9" ht="15.0" customHeight="1">
      <c r="A9" s="89" t="s">
        <v>359</v>
      </c>
      <c r="B9" s="88" t="s">
        <v>41</v>
      </c>
      <c r="C9" s="96">
        <v>4.5</v>
      </c>
      <c r="D9" s="88" t="s">
        <v>322</v>
      </c>
      <c r="E9" s="97">
        <v>1.0</v>
      </c>
      <c r="F9" s="88" t="s">
        <v>322</v>
      </c>
      <c r="G9" s="97">
        <v>2.0</v>
      </c>
      <c r="H9" s="88" t="s">
        <v>351</v>
      </c>
      <c r="I9" s="97">
        <v>0.0</v>
      </c>
      <c r="J9" s="88" t="s">
        <v>351</v>
      </c>
      <c r="K9" s="97">
        <v>0.0</v>
      </c>
      <c r="L9" s="89" t="s">
        <v>358</v>
      </c>
      <c r="N9" s="67" t="str">
        <f t="shared" si="1"/>
        <v>Camisero pique</v>
      </c>
    </row>
    <row r="10" ht="15.0" customHeight="1">
      <c r="A10" s="89" t="s">
        <v>360</v>
      </c>
      <c r="B10" s="88" t="s">
        <v>41</v>
      </c>
      <c r="C10" s="96">
        <v>4.0</v>
      </c>
      <c r="D10" s="88" t="s">
        <v>351</v>
      </c>
      <c r="E10" s="97">
        <v>0.0</v>
      </c>
      <c r="F10" s="88" t="s">
        <v>351</v>
      </c>
      <c r="G10" s="97">
        <v>0.0</v>
      </c>
      <c r="H10" s="88" t="s">
        <v>351</v>
      </c>
      <c r="I10" s="97">
        <v>0.0</v>
      </c>
      <c r="J10" s="88" t="s">
        <v>351</v>
      </c>
      <c r="K10" s="97">
        <v>0.0</v>
      </c>
      <c r="L10" s="89"/>
      <c r="N10" s="67" t="str">
        <f t="shared" si="1"/>
        <v>Camisero wafle</v>
      </c>
    </row>
    <row r="11" ht="15.0" customHeight="1">
      <c r="A11" s="89" t="s">
        <v>361</v>
      </c>
      <c r="B11" s="88" t="s">
        <v>22</v>
      </c>
      <c r="C11" s="96">
        <v>7.0</v>
      </c>
      <c r="D11" s="88" t="s">
        <v>328</v>
      </c>
      <c r="E11" s="97">
        <v>1.0</v>
      </c>
      <c r="F11" s="88" t="s">
        <v>351</v>
      </c>
      <c r="G11" s="97">
        <v>0.0</v>
      </c>
      <c r="H11" s="88" t="s">
        <v>351</v>
      </c>
      <c r="I11" s="97">
        <v>0.0</v>
      </c>
      <c r="J11" s="88" t="s">
        <v>351</v>
      </c>
      <c r="K11" s="97">
        <v>0.0</v>
      </c>
      <c r="L11" s="89" t="s">
        <v>362</v>
      </c>
      <c r="N11" s="67" t="str">
        <f t="shared" si="1"/>
        <v>Camisa wafle</v>
      </c>
    </row>
    <row r="12" ht="15.0" customHeight="1">
      <c r="A12" s="89" t="s">
        <v>363</v>
      </c>
      <c r="B12" s="88" t="s">
        <v>22</v>
      </c>
      <c r="C12" s="96">
        <v>6.5</v>
      </c>
      <c r="D12" s="88" t="s">
        <v>351</v>
      </c>
      <c r="E12" s="97">
        <v>0.0</v>
      </c>
      <c r="F12" s="88" t="s">
        <v>351</v>
      </c>
      <c r="G12" s="97">
        <v>0.0</v>
      </c>
      <c r="H12" s="88" t="s">
        <v>351</v>
      </c>
      <c r="I12" s="97">
        <v>0.0</v>
      </c>
      <c r="J12" s="88" t="s">
        <v>351</v>
      </c>
      <c r="K12" s="97">
        <v>0.0</v>
      </c>
      <c r="L12" s="89"/>
      <c r="N12" s="67" t="str">
        <f t="shared" si="1"/>
        <v>Top cero rib mujer</v>
      </c>
    </row>
    <row r="13" ht="15.0" customHeight="1">
      <c r="A13" s="89" t="s">
        <v>364</v>
      </c>
      <c r="B13" s="88" t="s">
        <v>37</v>
      </c>
      <c r="C13" s="96">
        <v>4.0</v>
      </c>
      <c r="D13" s="88" t="s">
        <v>351</v>
      </c>
      <c r="E13" s="97">
        <v>0.0</v>
      </c>
      <c r="F13" s="88" t="s">
        <v>328</v>
      </c>
      <c r="G13" s="97">
        <v>2.0</v>
      </c>
      <c r="H13" s="88" t="s">
        <v>328</v>
      </c>
      <c r="I13" s="97">
        <v>1.0</v>
      </c>
      <c r="J13" s="88" t="s">
        <v>334</v>
      </c>
      <c r="K13" s="97">
        <v>1.0</v>
      </c>
      <c r="L13" s="89" t="s">
        <v>365</v>
      </c>
      <c r="N13" s="67" t="str">
        <f t="shared" si="1"/>
        <v>Baby ty mc</v>
      </c>
    </row>
    <row r="14" ht="15.0" customHeight="1">
      <c r="A14" s="89" t="s">
        <v>366</v>
      </c>
      <c r="B14" s="88" t="s">
        <v>37</v>
      </c>
      <c r="C14" s="96">
        <v>4.5</v>
      </c>
      <c r="D14" s="88" t="s">
        <v>328</v>
      </c>
      <c r="E14" s="97">
        <v>1.0</v>
      </c>
      <c r="F14" s="88" t="s">
        <v>328</v>
      </c>
      <c r="G14" s="97">
        <v>2.0</v>
      </c>
      <c r="H14" s="88" t="s">
        <v>328</v>
      </c>
      <c r="I14" s="97">
        <v>1.0</v>
      </c>
      <c r="J14" s="88" t="s">
        <v>351</v>
      </c>
      <c r="K14" s="97">
        <v>0.0</v>
      </c>
      <c r="L14" s="89" t="s">
        <v>367</v>
      </c>
      <c r="N14" s="67" t="str">
        <f t="shared" si="1"/>
        <v>Polera neru</v>
      </c>
    </row>
    <row r="15" ht="15.0" customHeight="1">
      <c r="A15" s="89" t="s">
        <v>368</v>
      </c>
      <c r="B15" s="88" t="s">
        <v>38</v>
      </c>
      <c r="C15" s="96">
        <v>5.0</v>
      </c>
      <c r="D15" s="88" t="s">
        <v>326</v>
      </c>
      <c r="E15" s="97">
        <v>1.0</v>
      </c>
      <c r="F15" s="88" t="s">
        <v>351</v>
      </c>
      <c r="G15" s="97">
        <v>0.0</v>
      </c>
      <c r="H15" s="88" t="s">
        <v>351</v>
      </c>
      <c r="I15" s="97">
        <v>0.0</v>
      </c>
      <c r="J15" s="88" t="s">
        <v>351</v>
      </c>
      <c r="K15" s="97">
        <v>0.0</v>
      </c>
      <c r="L15" s="89" t="s">
        <v>369</v>
      </c>
      <c r="N15" s="67" t="str">
        <f t="shared" si="1"/>
        <v>Polera cuello redondo</v>
      </c>
    </row>
    <row r="16" ht="15.0" customHeight="1">
      <c r="A16" s="89"/>
      <c r="B16" s="88"/>
      <c r="C16" s="96"/>
      <c r="D16" s="88"/>
      <c r="E16" s="97"/>
      <c r="F16" s="88"/>
      <c r="G16" s="97"/>
      <c r="H16" s="88"/>
      <c r="I16" s="97"/>
      <c r="J16" s="88"/>
      <c r="K16" s="97"/>
      <c r="L16" s="89"/>
      <c r="N16" s="67" t="str">
        <f t="shared" si="1"/>
        <v>Pique cuello chino</v>
      </c>
    </row>
    <row r="17" ht="15.0" customHeight="1">
      <c r="A17" s="89"/>
      <c r="B17" s="88"/>
      <c r="C17" s="96"/>
      <c r="D17" s="88"/>
      <c r="E17" s="97"/>
      <c r="F17" s="88"/>
      <c r="G17" s="97"/>
      <c r="H17" s="88"/>
      <c r="I17" s="97"/>
      <c r="J17" s="88"/>
      <c r="K17" s="97"/>
      <c r="L17" s="89"/>
      <c r="N17" s="67" t="str">
        <f t="shared" si="1"/>
        <v/>
      </c>
    </row>
    <row r="18" ht="15.0" customHeight="1">
      <c r="A18" s="89"/>
      <c r="B18" s="88"/>
      <c r="C18" s="96"/>
      <c r="D18" s="88"/>
      <c r="E18" s="97"/>
      <c r="F18" s="88"/>
      <c r="G18" s="97"/>
      <c r="H18" s="88"/>
      <c r="I18" s="97"/>
      <c r="J18" s="88"/>
      <c r="K18" s="97"/>
      <c r="L18" s="89"/>
      <c r="N18" s="67" t="str">
        <f t="shared" si="1"/>
        <v/>
      </c>
    </row>
    <row r="19" ht="15.0" customHeight="1">
      <c r="A19" s="89"/>
      <c r="B19" s="88"/>
      <c r="C19" s="96"/>
      <c r="D19" s="88"/>
      <c r="E19" s="97"/>
      <c r="F19" s="88"/>
      <c r="G19" s="97"/>
      <c r="H19" s="88"/>
      <c r="I19" s="97"/>
      <c r="J19" s="88"/>
      <c r="K19" s="97"/>
      <c r="L19" s="89"/>
      <c r="N19" s="67" t="str">
        <f t="shared" si="1"/>
        <v/>
      </c>
    </row>
    <row r="20" ht="15.0" customHeight="1">
      <c r="A20" s="89"/>
      <c r="B20" s="88"/>
      <c r="C20" s="96"/>
      <c r="D20" s="88"/>
      <c r="E20" s="97"/>
      <c r="F20" s="88"/>
      <c r="G20" s="97"/>
      <c r="H20" s="88"/>
      <c r="I20" s="97"/>
      <c r="J20" s="88"/>
      <c r="K20" s="97"/>
      <c r="L20" s="89"/>
      <c r="N20" s="67" t="str">
        <f t="shared" si="1"/>
        <v/>
      </c>
    </row>
    <row r="21" ht="15.75" customHeight="1">
      <c r="A21" s="89"/>
      <c r="B21" s="88"/>
      <c r="C21" s="96"/>
      <c r="D21" s="88"/>
      <c r="E21" s="97"/>
      <c r="F21" s="88"/>
      <c r="G21" s="97"/>
      <c r="H21" s="88"/>
      <c r="I21" s="97"/>
      <c r="J21" s="88"/>
      <c r="K21" s="97"/>
      <c r="L21" s="89"/>
      <c r="N21" s="67" t="str">
        <f t="shared" si="1"/>
        <v/>
      </c>
    </row>
    <row r="22" ht="15.75" customHeight="1">
      <c r="A22" s="89"/>
      <c r="B22" s="88"/>
      <c r="C22" s="96"/>
      <c r="D22" s="88"/>
      <c r="E22" s="97"/>
      <c r="F22" s="88"/>
      <c r="G22" s="97"/>
      <c r="H22" s="88"/>
      <c r="I22" s="97"/>
      <c r="J22" s="88"/>
      <c r="K22" s="97"/>
      <c r="L22" s="89"/>
      <c r="N22" s="67" t="str">
        <f t="shared" si="1"/>
        <v/>
      </c>
    </row>
    <row r="23" ht="15.75" customHeight="1">
      <c r="A23" s="89"/>
      <c r="B23" s="88"/>
      <c r="C23" s="96"/>
      <c r="D23" s="88"/>
      <c r="E23" s="97"/>
      <c r="F23" s="88"/>
      <c r="G23" s="97"/>
      <c r="H23" s="88"/>
      <c r="I23" s="97"/>
      <c r="J23" s="88"/>
      <c r="K23" s="97"/>
      <c r="L23" s="89"/>
      <c r="N23" s="67" t="str">
        <f t="shared" si="1"/>
        <v/>
      </c>
    </row>
    <row r="24" ht="15.75" customHeight="1">
      <c r="A24" s="89"/>
      <c r="B24" s="88"/>
      <c r="C24" s="96"/>
      <c r="D24" s="88"/>
      <c r="E24" s="97"/>
      <c r="F24" s="88"/>
      <c r="G24" s="97"/>
      <c r="H24" s="88"/>
      <c r="I24" s="97"/>
      <c r="J24" s="88"/>
      <c r="K24" s="97"/>
      <c r="L24" s="89"/>
      <c r="N24" s="67" t="str">
        <f t="shared" si="1"/>
        <v/>
      </c>
    </row>
    <row r="25" ht="15.75" customHeight="1">
      <c r="A25" s="89"/>
      <c r="B25" s="88"/>
      <c r="C25" s="96"/>
      <c r="D25" s="88"/>
      <c r="E25" s="97"/>
      <c r="F25" s="88"/>
      <c r="G25" s="97"/>
      <c r="H25" s="88"/>
      <c r="I25" s="97"/>
      <c r="J25" s="88"/>
      <c r="K25" s="97"/>
      <c r="L25" s="89"/>
      <c r="N25" s="67" t="str">
        <f t="shared" si="1"/>
        <v/>
      </c>
    </row>
    <row r="26" ht="15.75" customHeight="1">
      <c r="A26" s="89"/>
      <c r="B26" s="88"/>
      <c r="C26" s="96"/>
      <c r="D26" s="88"/>
      <c r="E26" s="97"/>
      <c r="F26" s="88"/>
      <c r="G26" s="97"/>
      <c r="H26" s="88"/>
      <c r="I26" s="97"/>
      <c r="J26" s="88"/>
      <c r="K26" s="97"/>
      <c r="L26" s="89"/>
      <c r="N26" s="67" t="str">
        <f t="shared" si="1"/>
        <v/>
      </c>
    </row>
    <row r="27" ht="15.75" customHeight="1">
      <c r="A27" s="89"/>
      <c r="B27" s="88"/>
      <c r="C27" s="96"/>
      <c r="D27" s="88"/>
      <c r="E27" s="97"/>
      <c r="F27" s="88"/>
      <c r="G27" s="97"/>
      <c r="H27" s="88"/>
      <c r="I27" s="97"/>
      <c r="J27" s="88"/>
      <c r="K27" s="97"/>
      <c r="L27" s="89"/>
      <c r="N27" s="67" t="str">
        <f t="shared" si="1"/>
        <v/>
      </c>
    </row>
    <row r="28" ht="15.75" customHeight="1">
      <c r="A28" s="89"/>
      <c r="B28" s="88"/>
      <c r="C28" s="96"/>
      <c r="D28" s="88"/>
      <c r="E28" s="97"/>
      <c r="F28" s="88"/>
      <c r="G28" s="97"/>
      <c r="H28" s="88"/>
      <c r="I28" s="97"/>
      <c r="J28" s="88"/>
      <c r="K28" s="97"/>
      <c r="L28" s="89"/>
      <c r="N28" s="67" t="str">
        <f t="shared" si="1"/>
        <v/>
      </c>
    </row>
    <row r="29" ht="15.75" customHeight="1">
      <c r="A29" s="89"/>
      <c r="B29" s="88"/>
      <c r="C29" s="96"/>
      <c r="D29" s="88"/>
      <c r="E29" s="97"/>
      <c r="F29" s="88"/>
      <c r="G29" s="97"/>
      <c r="H29" s="88"/>
      <c r="I29" s="97"/>
      <c r="J29" s="88"/>
      <c r="K29" s="97"/>
      <c r="L29" s="89"/>
      <c r="N29" s="67" t="str">
        <f t="shared" si="1"/>
        <v/>
      </c>
    </row>
    <row r="30" ht="15.75" customHeight="1">
      <c r="A30" s="89"/>
      <c r="B30" s="88"/>
      <c r="C30" s="96"/>
      <c r="D30" s="88"/>
      <c r="E30" s="97"/>
      <c r="F30" s="88"/>
      <c r="G30" s="97"/>
      <c r="H30" s="88"/>
      <c r="I30" s="97"/>
      <c r="J30" s="88"/>
      <c r="K30" s="97"/>
      <c r="L30" s="89"/>
      <c r="N30" s="67" t="str">
        <f t="shared" si="1"/>
        <v/>
      </c>
    </row>
    <row r="31" ht="15.75" customHeight="1">
      <c r="A31" s="89"/>
      <c r="B31" s="88"/>
      <c r="C31" s="96"/>
      <c r="D31" s="88"/>
      <c r="E31" s="97"/>
      <c r="F31" s="88"/>
      <c r="G31" s="97"/>
      <c r="H31" s="88"/>
      <c r="I31" s="97"/>
      <c r="J31" s="88"/>
      <c r="K31" s="97"/>
      <c r="L31" s="89"/>
      <c r="N31" s="67" t="str">
        <f t="shared" si="1"/>
        <v/>
      </c>
    </row>
    <row r="32" ht="15.75" customHeight="1">
      <c r="A32" s="89"/>
      <c r="B32" s="88"/>
      <c r="C32" s="96"/>
      <c r="D32" s="88"/>
      <c r="E32" s="97"/>
      <c r="F32" s="88"/>
      <c r="G32" s="97"/>
      <c r="H32" s="88"/>
      <c r="I32" s="97"/>
      <c r="J32" s="88"/>
      <c r="K32" s="97"/>
      <c r="L32" s="89"/>
      <c r="N32" s="67" t="str">
        <f t="shared" si="1"/>
        <v/>
      </c>
    </row>
    <row r="33" ht="15.75" customHeight="1">
      <c r="A33" s="89"/>
      <c r="B33" s="88"/>
      <c r="C33" s="96"/>
      <c r="D33" s="88"/>
      <c r="E33" s="97"/>
      <c r="F33" s="88"/>
      <c r="G33" s="97"/>
      <c r="H33" s="88"/>
      <c r="I33" s="97"/>
      <c r="J33" s="88"/>
      <c r="K33" s="97"/>
      <c r="L33" s="89"/>
      <c r="N33" s="67" t="str">
        <f t="shared" si="1"/>
        <v/>
      </c>
    </row>
    <row r="34" ht="15.75" customHeight="1">
      <c r="A34" s="89"/>
      <c r="B34" s="88"/>
      <c r="C34" s="96"/>
      <c r="D34" s="88"/>
      <c r="E34" s="97"/>
      <c r="F34" s="88"/>
      <c r="G34" s="97"/>
      <c r="H34" s="88"/>
      <c r="I34" s="97"/>
      <c r="J34" s="88"/>
      <c r="K34" s="97"/>
      <c r="L34" s="89"/>
      <c r="N34" s="67" t="str">
        <f t="shared" si="1"/>
        <v/>
      </c>
    </row>
    <row r="35" ht="15.75" customHeight="1">
      <c r="A35" s="89"/>
      <c r="B35" s="88"/>
      <c r="C35" s="96"/>
      <c r="D35" s="88"/>
      <c r="E35" s="97"/>
      <c r="F35" s="88"/>
      <c r="G35" s="97"/>
      <c r="H35" s="88"/>
      <c r="I35" s="97"/>
      <c r="J35" s="88"/>
      <c r="K35" s="97"/>
      <c r="L35" s="89"/>
      <c r="N35" s="67" t="str">
        <f t="shared" si="1"/>
        <v/>
      </c>
    </row>
    <row r="36" ht="15.75" customHeight="1">
      <c r="A36" s="89"/>
      <c r="B36" s="88"/>
      <c r="C36" s="96"/>
      <c r="D36" s="88"/>
      <c r="E36" s="97"/>
      <c r="F36" s="88"/>
      <c r="G36" s="97"/>
      <c r="H36" s="88"/>
      <c r="I36" s="97"/>
      <c r="J36" s="88"/>
      <c r="K36" s="97"/>
      <c r="L36" s="89"/>
      <c r="N36" s="67" t="str">
        <f t="shared" si="1"/>
        <v/>
      </c>
    </row>
    <row r="37" ht="15.75" customHeight="1">
      <c r="A37" s="89"/>
      <c r="B37" s="88"/>
      <c r="C37" s="96"/>
      <c r="D37" s="88"/>
      <c r="E37" s="97"/>
      <c r="F37" s="88"/>
      <c r="G37" s="97"/>
      <c r="H37" s="88"/>
      <c r="I37" s="97"/>
      <c r="J37" s="88"/>
      <c r="K37" s="97"/>
      <c r="L37" s="89"/>
      <c r="N37" s="67" t="str">
        <f t="shared" si="1"/>
        <v/>
      </c>
    </row>
    <row r="38" ht="15.75" customHeight="1">
      <c r="A38" s="89"/>
      <c r="B38" s="88"/>
      <c r="C38" s="96"/>
      <c r="D38" s="88"/>
      <c r="E38" s="97"/>
      <c r="F38" s="88"/>
      <c r="G38" s="97"/>
      <c r="H38" s="88"/>
      <c r="I38" s="97"/>
      <c r="J38" s="88"/>
      <c r="K38" s="97"/>
      <c r="L38" s="89"/>
      <c r="N38" s="67" t="str">
        <f t="shared" si="1"/>
        <v/>
      </c>
    </row>
    <row r="39" ht="15.75" customHeight="1">
      <c r="A39" s="89"/>
      <c r="B39" s="88"/>
      <c r="C39" s="96"/>
      <c r="D39" s="88"/>
      <c r="E39" s="97"/>
      <c r="F39" s="88"/>
      <c r="G39" s="97"/>
      <c r="H39" s="88"/>
      <c r="I39" s="97"/>
      <c r="J39" s="88"/>
      <c r="K39" s="97"/>
      <c r="L39" s="89"/>
      <c r="N39" s="67" t="str">
        <f t="shared" si="1"/>
        <v/>
      </c>
    </row>
    <row r="40" ht="15.75" customHeight="1">
      <c r="A40" s="89"/>
      <c r="B40" s="88"/>
      <c r="C40" s="96"/>
      <c r="D40" s="88"/>
      <c r="E40" s="97"/>
      <c r="F40" s="88"/>
      <c r="G40" s="97"/>
      <c r="H40" s="88"/>
      <c r="I40" s="97"/>
      <c r="J40" s="88"/>
      <c r="K40" s="97"/>
      <c r="L40" s="89"/>
      <c r="N40" s="67" t="str">
        <f t="shared" si="1"/>
        <v/>
      </c>
    </row>
    <row r="41" ht="15.75" customHeight="1">
      <c r="A41" s="89"/>
      <c r="B41" s="88"/>
      <c r="C41" s="96"/>
      <c r="D41" s="88"/>
      <c r="E41" s="97"/>
      <c r="F41" s="88"/>
      <c r="G41" s="97"/>
      <c r="H41" s="88"/>
      <c r="I41" s="97"/>
      <c r="J41" s="88"/>
      <c r="K41" s="97"/>
      <c r="L41" s="89"/>
      <c r="N41" s="67" t="str">
        <f t="shared" si="1"/>
        <v/>
      </c>
    </row>
    <row r="42" ht="15.75" customHeight="1">
      <c r="A42" s="89"/>
      <c r="B42" s="88"/>
      <c r="C42" s="96"/>
      <c r="D42" s="88"/>
      <c r="E42" s="97"/>
      <c r="F42" s="88"/>
      <c r="G42" s="97"/>
      <c r="H42" s="88"/>
      <c r="I42" s="97"/>
      <c r="J42" s="88"/>
      <c r="K42" s="97"/>
      <c r="L42" s="89"/>
      <c r="N42" s="67" t="str">
        <f t="shared" si="1"/>
        <v/>
      </c>
    </row>
    <row r="43" ht="15.75" customHeight="1">
      <c r="A43" s="89"/>
      <c r="B43" s="88"/>
      <c r="C43" s="96"/>
      <c r="D43" s="88"/>
      <c r="E43" s="97"/>
      <c r="F43" s="88"/>
      <c r="G43" s="97"/>
      <c r="H43" s="88"/>
      <c r="I43" s="97"/>
      <c r="J43" s="88"/>
      <c r="K43" s="97"/>
      <c r="L43" s="89"/>
      <c r="N43" s="67" t="str">
        <f t="shared" si="1"/>
        <v/>
      </c>
    </row>
    <row r="44" ht="15.75" customHeight="1">
      <c r="A44" s="89"/>
      <c r="B44" s="88"/>
      <c r="C44" s="96"/>
      <c r="D44" s="88"/>
      <c r="E44" s="97"/>
      <c r="F44" s="88"/>
      <c r="G44" s="97"/>
      <c r="H44" s="88"/>
      <c r="I44" s="97"/>
      <c r="J44" s="88"/>
      <c r="K44" s="97"/>
      <c r="L44" s="89"/>
      <c r="N44" s="67" t="str">
        <f t="shared" si="1"/>
        <v/>
      </c>
    </row>
    <row r="45" ht="15.75" customHeight="1">
      <c r="A45" s="89"/>
      <c r="B45" s="88"/>
      <c r="C45" s="96"/>
      <c r="D45" s="88"/>
      <c r="E45" s="97"/>
      <c r="F45" s="88"/>
      <c r="G45" s="97"/>
      <c r="H45" s="88"/>
      <c r="I45" s="97"/>
      <c r="J45" s="88"/>
      <c r="K45" s="97"/>
      <c r="L45" s="89"/>
      <c r="N45" s="67" t="str">
        <f t="shared" si="1"/>
        <v/>
      </c>
    </row>
    <row r="46" ht="15.75" customHeight="1">
      <c r="A46" s="89"/>
      <c r="B46" s="88"/>
      <c r="C46" s="96"/>
      <c r="D46" s="88"/>
      <c r="E46" s="97"/>
      <c r="F46" s="88"/>
      <c r="G46" s="97"/>
      <c r="H46" s="88"/>
      <c r="I46" s="97"/>
      <c r="J46" s="88"/>
      <c r="K46" s="97"/>
      <c r="L46" s="89"/>
      <c r="N46" s="67" t="str">
        <f t="shared" si="1"/>
        <v/>
      </c>
    </row>
    <row r="47" ht="15.75" customHeight="1">
      <c r="A47" s="89"/>
      <c r="B47" s="88"/>
      <c r="C47" s="96"/>
      <c r="D47" s="88"/>
      <c r="E47" s="97"/>
      <c r="F47" s="88"/>
      <c r="G47" s="97"/>
      <c r="H47" s="88"/>
      <c r="I47" s="97"/>
      <c r="J47" s="88"/>
      <c r="K47" s="97"/>
      <c r="L47" s="89"/>
      <c r="N47" s="67" t="str">
        <f t="shared" si="1"/>
        <v/>
      </c>
    </row>
    <row r="48" ht="15.75" customHeight="1">
      <c r="A48" s="89"/>
      <c r="B48" s="88"/>
      <c r="C48" s="96"/>
      <c r="D48" s="88"/>
      <c r="E48" s="97"/>
      <c r="F48" s="88"/>
      <c r="G48" s="97"/>
      <c r="H48" s="88"/>
      <c r="I48" s="97"/>
      <c r="J48" s="88"/>
      <c r="K48" s="97"/>
      <c r="L48" s="89"/>
      <c r="N48" s="67" t="str">
        <f t="shared" si="1"/>
        <v/>
      </c>
    </row>
    <row r="49" ht="15.75" customHeight="1">
      <c r="A49" s="89"/>
      <c r="B49" s="88"/>
      <c r="C49" s="96"/>
      <c r="D49" s="88"/>
      <c r="E49" s="97"/>
      <c r="F49" s="88"/>
      <c r="G49" s="97"/>
      <c r="H49" s="88"/>
      <c r="I49" s="97"/>
      <c r="J49" s="88"/>
      <c r="K49" s="97"/>
      <c r="L49" s="89"/>
      <c r="N49" s="67" t="str">
        <f t="shared" si="1"/>
        <v/>
      </c>
    </row>
    <row r="50" ht="15.75" customHeight="1">
      <c r="A50" s="89"/>
      <c r="B50" s="88"/>
      <c r="C50" s="96"/>
      <c r="D50" s="88"/>
      <c r="E50" s="97"/>
      <c r="F50" s="88"/>
      <c r="G50" s="97"/>
      <c r="H50" s="88"/>
      <c r="I50" s="97"/>
      <c r="J50" s="88"/>
      <c r="K50" s="97"/>
      <c r="L50" s="89"/>
      <c r="N50" s="67" t="str">
        <f t="shared" si="1"/>
        <v/>
      </c>
    </row>
    <row r="51" ht="15.75" customHeight="1">
      <c r="A51" s="89"/>
      <c r="B51" s="88"/>
      <c r="C51" s="96"/>
      <c r="D51" s="88"/>
      <c r="E51" s="97"/>
      <c r="F51" s="88"/>
      <c r="G51" s="97"/>
      <c r="H51" s="88"/>
      <c r="I51" s="97"/>
      <c r="J51" s="88"/>
      <c r="K51" s="97"/>
      <c r="L51" s="89"/>
      <c r="N51" s="67" t="str">
        <f t="shared" si="1"/>
        <v/>
      </c>
    </row>
    <row r="52" ht="15.75" customHeight="1">
      <c r="A52" s="89"/>
      <c r="B52" s="88"/>
      <c r="C52" s="96"/>
      <c r="D52" s="88"/>
      <c r="E52" s="97"/>
      <c r="F52" s="88"/>
      <c r="G52" s="97"/>
      <c r="H52" s="88"/>
      <c r="I52" s="97"/>
      <c r="J52" s="88"/>
      <c r="K52" s="97"/>
      <c r="L52" s="89"/>
      <c r="N52" s="67" t="str">
        <f t="shared" si="1"/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D4:D52 F4:F52 H4:H52 J4:J52">
      <formula1>"RECTILÍNEO,RIB 1x1,RIB 2x1,DIRECTO,NINGUNO"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14.0"/>
    <col customWidth="1" min="4" max="4" width="11.0"/>
    <col customWidth="1" min="5" max="5" width="19.0"/>
    <col customWidth="1" min="6" max="6" width="15.71"/>
    <col customWidth="1" hidden="1" min="7" max="7" width="15.71"/>
    <col customWidth="1" hidden="1" min="8" max="8" width="14.0"/>
    <col customWidth="1" min="9" max="9" width="12.43"/>
  </cols>
  <sheetData>
    <row r="1" ht="27.75" customHeight="1">
      <c r="A1" s="99" t="s">
        <v>370</v>
      </c>
      <c r="B1" s="2"/>
      <c r="C1" s="2"/>
      <c r="D1" s="2"/>
      <c r="E1" s="2"/>
      <c r="F1" s="2"/>
      <c r="G1" s="2"/>
      <c r="H1" s="2"/>
      <c r="I1" s="3"/>
    </row>
    <row r="2" ht="15.0" customHeight="1">
      <c r="A2" s="4" t="s">
        <v>371</v>
      </c>
    </row>
    <row r="3" ht="24.0" customHeight="1">
      <c r="A3" s="5" t="s">
        <v>4</v>
      </c>
      <c r="B3" s="5" t="s">
        <v>5</v>
      </c>
      <c r="C3" s="5" t="s">
        <v>6</v>
      </c>
      <c r="D3" s="5" t="s">
        <v>139</v>
      </c>
      <c r="E3" s="5" t="s">
        <v>140</v>
      </c>
      <c r="F3" s="5" t="s">
        <v>372</v>
      </c>
      <c r="G3" s="5" t="s">
        <v>10</v>
      </c>
      <c r="H3" s="5" t="s">
        <v>120</v>
      </c>
      <c r="I3" s="5" t="s">
        <v>141</v>
      </c>
    </row>
    <row r="4" ht="15.0" customHeight="1">
      <c r="A4" s="90" t="str">
        <f>IF(CLIENTES!A4="","",CLIENTES!A4)</f>
        <v>OverShark</v>
      </c>
      <c r="B4" s="67" t="str">
        <f>TELAS!A4</f>
        <v>jersey 30/1</v>
      </c>
      <c r="C4" s="67" t="str">
        <f>COLORES!A4</f>
        <v>Negro</v>
      </c>
      <c r="D4" s="67" t="str">
        <f>COLORES!B4</f>
        <v>OSCURO</v>
      </c>
      <c r="E4" s="100">
        <f>IFERROR(SUMIFS(MOVIMIENTOS!$F$4:$F$1000,MOVIMIENTOS!$C$4:$C$1000,A4,MOVIMIENTOS!$D$4:$D$1000,B4,MOVIMIENTOS!$E$4:$E$1000,C4,MOVIMIENTOS!$B$4:$B$1000,"INGRESO")+SUMIFS(MOVIMIENTOS!$F$4:$F$1000,MOVIMIENTOS!$C$4:$C$1000,A4,MOVIMIENTOS!$D$4:$D$1000,B4,MOVIMIENTOS!$E$4:$E$1000,C4,MOVIMIENTOS!$B$4:$B$1000,"DE REPROCESO")+SUMIFS(MOVIMIENTOS!$F$4:$F$1000,MOVIMIENTOS!$C$4:$C$1000,A4,MOVIMIENTOS!$D$4:$D$1000,B4,MOVIMIENTOS!$E$4:$E$1000,C4,MOVIMIENTOS!$B$4:$B$1000,"AJUSTE+")-SUMIFS(MOVIMIENTOS!$F$4:$F$1000,MOVIMIENTOS!$C$4:$C$1000,A4,MOVIMIENTOS!$D$4:$D$1000,B4,MOVIMIENTOS!$E$4:$E$1000,C4,MOVIMIENTOS!$B$4:$B$1000,"A CORTE")-SUMIFS(MOVIMIENTOS!$F$4:$F$1000,MOVIMIENTOS!$C$4:$C$1000,A4,MOVIMIENTOS!$D$4:$D$1000,B4,MOVIMIENTOS!$E$4:$E$1000,C4,MOVIMIENTOS!$B$4:$B$1000,"A REPROCESO")-SUMIFS(MOVIMIENTOS!$F$4:$F$1000,MOVIMIENTOS!$C$4:$C$1000,A4,MOVIMIENTOS!$D$4:$D$1000,B4,MOVIMIENTOS!$E$4:$E$1000,C4,MOVIMIENTOS!$B$4:$B$1000,"MUESTRA")-SUMIFS(MOVIMIENTOS!$F$4:$F$1000,MOVIMIENTOS!$C$4:$C$1000,A4,MOVIMIENTOS!$D$4:$D$1000,B4,MOVIMIENTOS!$E$4:$E$1000,C4,MOVIMIENTOS!$B$4:$B$1000,"AJUSTE-"),0)</f>
        <v>14</v>
      </c>
      <c r="F4" s="101">
        <f>IFERROR(E4*VLOOKUP(B4,TELAS!$A$4:$C$32,3,FALSE()),0)</f>
        <v>280</v>
      </c>
      <c r="G4" s="102">
        <f>IFERROR(IF(D4="OSCURO",VLOOKUP(B4,PRECIOS!$A$4:$F$32,2,FALSE()),IF(D4="CLARO",VLOOKUP(B4,PRECIOS!$A$4:$F$32,3,FALSE()),IF(D4="MELANGE",VLOOKUP(B4,PRECIOS!$A$4:$F$32,4,FALSE()),IF(D4="PPT",VLOOKUP(B4,PRECIOS!$A$4:$F$32,5,FALSE()),0)))),0)</f>
        <v>24</v>
      </c>
      <c r="H4" s="103">
        <f t="shared" ref="H4:H843" si="1">F4*G4</f>
        <v>6720</v>
      </c>
      <c r="I4" s="104" t="str">
        <f>IF(E4&lt;0,"ERROR",IF(E4=0,"",IF(E4&lt;CONFIG!$B$4,"CRÍTICO",IF(E4&lt;CONFIG!$B$5,"BAJO","OK"))))</f>
        <v>BAJO</v>
      </c>
    </row>
    <row r="5" ht="15.0" customHeight="1">
      <c r="A5" s="90" t="str">
        <f>IF(CLIENTES!A4="","",CLIENTES!A4)</f>
        <v>OverShark</v>
      </c>
      <c r="B5" s="67" t="str">
        <f>TELAS!A4</f>
        <v>jersey 30/1</v>
      </c>
      <c r="C5" s="67" t="str">
        <f>COLORES!A5</f>
        <v>Perla</v>
      </c>
      <c r="D5" s="67" t="str">
        <f>COLORES!B5</f>
        <v>PPT</v>
      </c>
      <c r="E5" s="100">
        <f>IFERROR(SUMIFS(MOVIMIENTOS!$F$4:$F$1000,MOVIMIENTOS!$C$4:$C$1000,A5,MOVIMIENTOS!$D$4:$D$1000,B5,MOVIMIENTOS!$E$4:$E$1000,C5,MOVIMIENTOS!$B$4:$B$1000,"INGRESO")+SUMIFS(MOVIMIENTOS!$F$4:$F$1000,MOVIMIENTOS!$C$4:$C$1000,A5,MOVIMIENTOS!$D$4:$D$1000,B5,MOVIMIENTOS!$E$4:$E$1000,C5,MOVIMIENTOS!$B$4:$B$1000,"DE REPROCESO")+SUMIFS(MOVIMIENTOS!$F$4:$F$1000,MOVIMIENTOS!$C$4:$C$1000,A5,MOVIMIENTOS!$D$4:$D$1000,B5,MOVIMIENTOS!$E$4:$E$1000,C5,MOVIMIENTOS!$B$4:$B$1000,"AJUSTE+")-SUMIFS(MOVIMIENTOS!$F$4:$F$1000,MOVIMIENTOS!$C$4:$C$1000,A5,MOVIMIENTOS!$D$4:$D$1000,B5,MOVIMIENTOS!$E$4:$E$1000,C5,MOVIMIENTOS!$B$4:$B$1000,"A CORTE")-SUMIFS(MOVIMIENTOS!$F$4:$F$1000,MOVIMIENTOS!$C$4:$C$1000,A5,MOVIMIENTOS!$D$4:$D$1000,B5,MOVIMIENTOS!$E$4:$E$1000,C5,MOVIMIENTOS!$B$4:$B$1000,"A REPROCESO")-SUMIFS(MOVIMIENTOS!$F$4:$F$1000,MOVIMIENTOS!$C$4:$C$1000,A5,MOVIMIENTOS!$D$4:$D$1000,B5,MOVIMIENTOS!$E$4:$E$1000,C5,MOVIMIENTOS!$B$4:$B$1000,"MUESTRA")-SUMIFS(MOVIMIENTOS!$F$4:$F$1000,MOVIMIENTOS!$C$4:$C$1000,A5,MOVIMIENTOS!$D$4:$D$1000,B5,MOVIMIENTOS!$E$4:$E$1000,C5,MOVIMIENTOS!$B$4:$B$1000,"AJUSTE-"),0)</f>
        <v>43</v>
      </c>
      <c r="F5" s="101">
        <f>IFERROR(E5*VLOOKUP(B5,TELAS!$A$4:$C$32,3,FALSE()),0)</f>
        <v>860</v>
      </c>
      <c r="G5" s="102">
        <f>IFERROR(IF(D5="OSCURO",VLOOKUP(B5,PRECIOS!$A$4:$F$32,2,FALSE()),IF(D5="CLARO",VLOOKUP(B5,PRECIOS!$A$4:$F$32,3,FALSE()),IF(D5="MELANGE",VLOOKUP(B5,PRECIOS!$A$4:$F$32,4,FALSE()),IF(D5="PPT",VLOOKUP(B5,PRECIOS!$A$4:$F$32,5,FALSE()),0)))),0)</f>
        <v>18</v>
      </c>
      <c r="H5" s="103">
        <f t="shared" si="1"/>
        <v>15480</v>
      </c>
      <c r="I5" s="104" t="str">
        <f>IF(E5&lt;0,"ERROR",IF(E5=0,"",IF(E5&lt;CONFIG!$B$4,"CRÍTICO",IF(E5&lt;CONFIG!$B$5,"BAJO","OK"))))</f>
        <v>OK</v>
      </c>
    </row>
    <row r="6" ht="15.0" customHeight="1">
      <c r="A6" s="90" t="str">
        <f>IF(CLIENTES!A4="","",CLIENTES!A4)</f>
        <v>OverShark</v>
      </c>
      <c r="B6" s="67" t="str">
        <f>TELAS!A4</f>
        <v>jersey 30/1</v>
      </c>
      <c r="C6" s="67" t="str">
        <f>COLORES!A6</f>
        <v>Blanco</v>
      </c>
      <c r="D6" s="67" t="str">
        <f>COLORES!B6</f>
        <v>PPT</v>
      </c>
      <c r="E6" s="100">
        <f>IFERROR(SUMIFS(MOVIMIENTOS!$F$4:$F$1000,MOVIMIENTOS!$C$4:$C$1000,A6,MOVIMIENTOS!$D$4:$D$1000,B6,MOVIMIENTOS!$E$4:$E$1000,C6,MOVIMIENTOS!$B$4:$B$1000,"INGRESO")+SUMIFS(MOVIMIENTOS!$F$4:$F$1000,MOVIMIENTOS!$C$4:$C$1000,A6,MOVIMIENTOS!$D$4:$D$1000,B6,MOVIMIENTOS!$E$4:$E$1000,C6,MOVIMIENTOS!$B$4:$B$1000,"DE REPROCESO")+SUMIFS(MOVIMIENTOS!$F$4:$F$1000,MOVIMIENTOS!$C$4:$C$1000,A6,MOVIMIENTOS!$D$4:$D$1000,B6,MOVIMIENTOS!$E$4:$E$1000,C6,MOVIMIENTOS!$B$4:$B$1000,"AJUSTE+")-SUMIFS(MOVIMIENTOS!$F$4:$F$1000,MOVIMIENTOS!$C$4:$C$1000,A6,MOVIMIENTOS!$D$4:$D$1000,B6,MOVIMIENTOS!$E$4:$E$1000,C6,MOVIMIENTOS!$B$4:$B$1000,"A CORTE")-SUMIFS(MOVIMIENTOS!$F$4:$F$1000,MOVIMIENTOS!$C$4:$C$1000,A6,MOVIMIENTOS!$D$4:$D$1000,B6,MOVIMIENTOS!$E$4:$E$1000,C6,MOVIMIENTOS!$B$4:$B$1000,"A REPROCESO")-SUMIFS(MOVIMIENTOS!$F$4:$F$1000,MOVIMIENTOS!$C$4:$C$1000,A6,MOVIMIENTOS!$D$4:$D$1000,B6,MOVIMIENTOS!$E$4:$E$1000,C6,MOVIMIENTOS!$B$4:$B$1000,"MUESTRA")-SUMIFS(MOVIMIENTOS!$F$4:$F$1000,MOVIMIENTOS!$C$4:$C$1000,A6,MOVIMIENTOS!$D$4:$D$1000,B6,MOVIMIENTOS!$E$4:$E$1000,C6,MOVIMIENTOS!$B$4:$B$1000,"AJUSTE-"),0)</f>
        <v>0</v>
      </c>
      <c r="F6" s="101">
        <f>IFERROR(E6*VLOOKUP(B6,TELAS!$A$4:$C$32,3,FALSE()),0)</f>
        <v>0</v>
      </c>
      <c r="G6" s="102">
        <f>IFERROR(IF(D6="OSCURO",VLOOKUP(B6,PRECIOS!$A$4:$F$32,2,FALSE()),IF(D6="CLARO",VLOOKUP(B6,PRECIOS!$A$4:$F$32,3,FALSE()),IF(D6="MELANGE",VLOOKUP(B6,PRECIOS!$A$4:$F$32,4,FALSE()),IF(D6="PPT",VLOOKUP(B6,PRECIOS!$A$4:$F$32,5,FALSE()),0)))),0)</f>
        <v>18</v>
      </c>
      <c r="H6" s="103">
        <f t="shared" si="1"/>
        <v>0</v>
      </c>
      <c r="I6" s="104" t="str">
        <f>IF(E6&lt;0,"ERROR",IF(E6=0,"",IF(E6&lt;CONFIG!$B$4,"CRÍTICO",IF(E6&lt;CONFIG!$B$5,"BAJO","OK"))))</f>
        <v/>
      </c>
    </row>
    <row r="7" ht="15.0" customHeight="1">
      <c r="A7" s="90" t="str">
        <f>IF(CLIENTES!A4="","",CLIENTES!A4)</f>
        <v>OverShark</v>
      </c>
      <c r="B7" s="67" t="str">
        <f>TELAS!A4</f>
        <v>jersey 30/1</v>
      </c>
      <c r="C7" s="67" t="str">
        <f>COLORES!A7</f>
        <v>Azul</v>
      </c>
      <c r="D7" s="67" t="str">
        <f>COLORES!B7</f>
        <v>OSCURO</v>
      </c>
      <c r="E7" s="100">
        <f>IFERROR(SUMIFS(MOVIMIENTOS!$F$4:$F$1000,MOVIMIENTOS!$C$4:$C$1000,A7,MOVIMIENTOS!$D$4:$D$1000,B7,MOVIMIENTOS!$E$4:$E$1000,C7,MOVIMIENTOS!$B$4:$B$1000,"INGRESO")+SUMIFS(MOVIMIENTOS!$F$4:$F$1000,MOVIMIENTOS!$C$4:$C$1000,A7,MOVIMIENTOS!$D$4:$D$1000,B7,MOVIMIENTOS!$E$4:$E$1000,C7,MOVIMIENTOS!$B$4:$B$1000,"DE REPROCESO")+SUMIFS(MOVIMIENTOS!$F$4:$F$1000,MOVIMIENTOS!$C$4:$C$1000,A7,MOVIMIENTOS!$D$4:$D$1000,B7,MOVIMIENTOS!$E$4:$E$1000,C7,MOVIMIENTOS!$B$4:$B$1000,"AJUSTE+")-SUMIFS(MOVIMIENTOS!$F$4:$F$1000,MOVIMIENTOS!$C$4:$C$1000,A7,MOVIMIENTOS!$D$4:$D$1000,B7,MOVIMIENTOS!$E$4:$E$1000,C7,MOVIMIENTOS!$B$4:$B$1000,"A CORTE")-SUMIFS(MOVIMIENTOS!$F$4:$F$1000,MOVIMIENTOS!$C$4:$C$1000,A7,MOVIMIENTOS!$D$4:$D$1000,B7,MOVIMIENTOS!$E$4:$E$1000,C7,MOVIMIENTOS!$B$4:$B$1000,"A REPROCESO")-SUMIFS(MOVIMIENTOS!$F$4:$F$1000,MOVIMIENTOS!$C$4:$C$1000,A7,MOVIMIENTOS!$D$4:$D$1000,B7,MOVIMIENTOS!$E$4:$E$1000,C7,MOVIMIENTOS!$B$4:$B$1000,"MUESTRA")-SUMIFS(MOVIMIENTOS!$F$4:$F$1000,MOVIMIENTOS!$C$4:$C$1000,A7,MOVIMIENTOS!$D$4:$D$1000,B7,MOVIMIENTOS!$E$4:$E$1000,C7,MOVIMIENTOS!$B$4:$B$1000,"AJUSTE-"),0)</f>
        <v>6</v>
      </c>
      <c r="F7" s="101">
        <f>IFERROR(E7*VLOOKUP(B7,TELAS!$A$4:$C$32,3,FALSE()),0)</f>
        <v>120</v>
      </c>
      <c r="G7" s="102">
        <f>IFERROR(IF(D7="OSCURO",VLOOKUP(B7,PRECIOS!$A$4:$F$32,2,FALSE()),IF(D7="CLARO",VLOOKUP(B7,PRECIOS!$A$4:$F$32,3,FALSE()),IF(D7="MELANGE",VLOOKUP(B7,PRECIOS!$A$4:$F$32,4,FALSE()),IF(D7="PPT",VLOOKUP(B7,PRECIOS!$A$4:$F$32,5,FALSE()),0)))),0)</f>
        <v>24</v>
      </c>
      <c r="H7" s="103">
        <f t="shared" si="1"/>
        <v>2880</v>
      </c>
      <c r="I7" s="104" t="str">
        <f>IF(E7&lt;0,"ERROR",IF(E7=0,"",IF(E7&lt;CONFIG!$B$4,"CRÍTICO",IF(E7&lt;CONFIG!$B$5,"BAJO","OK"))))</f>
        <v>BAJO</v>
      </c>
    </row>
    <row r="8" ht="15.0" customHeight="1">
      <c r="A8" s="90" t="str">
        <f>IF(CLIENTES!A4="","",CLIENTES!A4)</f>
        <v>OverShark</v>
      </c>
      <c r="B8" s="67" t="str">
        <f>TELAS!A4</f>
        <v>jersey 30/1</v>
      </c>
      <c r="C8" s="67" t="str">
        <f>COLORES!A8</f>
        <v>Beige</v>
      </c>
      <c r="D8" s="67" t="str">
        <f>COLORES!B8</f>
        <v>CLARO</v>
      </c>
      <c r="E8" s="100">
        <f>IFERROR(SUMIFS(MOVIMIENTOS!$F$4:$F$1000,MOVIMIENTOS!$C$4:$C$1000,A8,MOVIMIENTOS!$D$4:$D$1000,B8,MOVIMIENTOS!$E$4:$E$1000,C8,MOVIMIENTOS!$B$4:$B$1000,"INGRESO")+SUMIFS(MOVIMIENTOS!$F$4:$F$1000,MOVIMIENTOS!$C$4:$C$1000,A8,MOVIMIENTOS!$D$4:$D$1000,B8,MOVIMIENTOS!$E$4:$E$1000,C8,MOVIMIENTOS!$B$4:$B$1000,"DE REPROCESO")+SUMIFS(MOVIMIENTOS!$F$4:$F$1000,MOVIMIENTOS!$C$4:$C$1000,A8,MOVIMIENTOS!$D$4:$D$1000,B8,MOVIMIENTOS!$E$4:$E$1000,C8,MOVIMIENTOS!$B$4:$B$1000,"AJUSTE+")-SUMIFS(MOVIMIENTOS!$F$4:$F$1000,MOVIMIENTOS!$C$4:$C$1000,A8,MOVIMIENTOS!$D$4:$D$1000,B8,MOVIMIENTOS!$E$4:$E$1000,C8,MOVIMIENTOS!$B$4:$B$1000,"A CORTE")-SUMIFS(MOVIMIENTOS!$F$4:$F$1000,MOVIMIENTOS!$C$4:$C$1000,A8,MOVIMIENTOS!$D$4:$D$1000,B8,MOVIMIENTOS!$E$4:$E$1000,C8,MOVIMIENTOS!$B$4:$B$1000,"A REPROCESO")-SUMIFS(MOVIMIENTOS!$F$4:$F$1000,MOVIMIENTOS!$C$4:$C$1000,A8,MOVIMIENTOS!$D$4:$D$1000,B8,MOVIMIENTOS!$E$4:$E$1000,C8,MOVIMIENTOS!$B$4:$B$1000,"MUESTRA")-SUMIFS(MOVIMIENTOS!$F$4:$F$1000,MOVIMIENTOS!$C$4:$C$1000,A8,MOVIMIENTOS!$D$4:$D$1000,B8,MOVIMIENTOS!$E$4:$E$1000,C8,MOVIMIENTOS!$B$4:$B$1000,"AJUSTE-"),0)</f>
        <v>8</v>
      </c>
      <c r="F8" s="101">
        <f>IFERROR(E8*VLOOKUP(B8,TELAS!$A$4:$C$32,3,FALSE()),0)</f>
        <v>160</v>
      </c>
      <c r="G8" s="102">
        <f>IFERROR(IF(D8="OSCURO",VLOOKUP(B8,PRECIOS!$A$4:$F$32,2,FALSE()),IF(D8="CLARO",VLOOKUP(B8,PRECIOS!$A$4:$F$32,3,FALSE()),IF(D8="MELANGE",VLOOKUP(B8,PRECIOS!$A$4:$F$32,4,FALSE()),IF(D8="PPT",VLOOKUP(B8,PRECIOS!$A$4:$F$32,5,FALSE()),0)))),0)</f>
        <v>21</v>
      </c>
      <c r="H8" s="103">
        <f t="shared" si="1"/>
        <v>3360</v>
      </c>
      <c r="I8" s="104" t="str">
        <f>IF(E8&lt;0,"ERROR",IF(E8=0,"",IF(E8&lt;CONFIG!$B$4,"CRÍTICO",IF(E8&lt;CONFIG!$B$5,"BAJO","OK"))))</f>
        <v>BAJO</v>
      </c>
    </row>
    <row r="9" ht="15.0" customHeight="1">
      <c r="A9" s="90" t="str">
        <f>IF(CLIENTES!A4="","",CLIENTES!A4)</f>
        <v>OverShark</v>
      </c>
      <c r="B9" s="67" t="str">
        <f>TELAS!A4</f>
        <v>jersey 30/1</v>
      </c>
      <c r="C9" s="67" t="str">
        <f>COLORES!A9</f>
        <v>Melange</v>
      </c>
      <c r="D9" s="67" t="str">
        <f>COLORES!B9</f>
        <v>MELANGE</v>
      </c>
      <c r="E9" s="100">
        <f>IFERROR(SUMIFS(MOVIMIENTOS!$F$4:$F$1000,MOVIMIENTOS!$C$4:$C$1000,A9,MOVIMIENTOS!$D$4:$D$1000,B9,MOVIMIENTOS!$E$4:$E$1000,C9,MOVIMIENTOS!$B$4:$B$1000,"INGRESO")+SUMIFS(MOVIMIENTOS!$F$4:$F$1000,MOVIMIENTOS!$C$4:$C$1000,A9,MOVIMIENTOS!$D$4:$D$1000,B9,MOVIMIENTOS!$E$4:$E$1000,C9,MOVIMIENTOS!$B$4:$B$1000,"DE REPROCESO")+SUMIFS(MOVIMIENTOS!$F$4:$F$1000,MOVIMIENTOS!$C$4:$C$1000,A9,MOVIMIENTOS!$D$4:$D$1000,B9,MOVIMIENTOS!$E$4:$E$1000,C9,MOVIMIENTOS!$B$4:$B$1000,"AJUSTE+")-SUMIFS(MOVIMIENTOS!$F$4:$F$1000,MOVIMIENTOS!$C$4:$C$1000,A9,MOVIMIENTOS!$D$4:$D$1000,B9,MOVIMIENTOS!$E$4:$E$1000,C9,MOVIMIENTOS!$B$4:$B$1000,"A CORTE")-SUMIFS(MOVIMIENTOS!$F$4:$F$1000,MOVIMIENTOS!$C$4:$C$1000,A9,MOVIMIENTOS!$D$4:$D$1000,B9,MOVIMIENTOS!$E$4:$E$1000,C9,MOVIMIENTOS!$B$4:$B$1000,"A REPROCESO")-SUMIFS(MOVIMIENTOS!$F$4:$F$1000,MOVIMIENTOS!$C$4:$C$1000,A9,MOVIMIENTOS!$D$4:$D$1000,B9,MOVIMIENTOS!$E$4:$E$1000,C9,MOVIMIENTOS!$B$4:$B$1000,"MUESTRA")-SUMIFS(MOVIMIENTOS!$F$4:$F$1000,MOVIMIENTOS!$C$4:$C$1000,A9,MOVIMIENTOS!$D$4:$D$1000,B9,MOVIMIENTOS!$E$4:$E$1000,C9,MOVIMIENTOS!$B$4:$B$1000,"AJUSTE-"),0)</f>
        <v>0</v>
      </c>
      <c r="F9" s="101">
        <f>IFERROR(E9*VLOOKUP(B9,TELAS!$A$4:$C$32,3,FALSE()),0)</f>
        <v>0</v>
      </c>
      <c r="G9" s="102">
        <f>IFERROR(IF(D9="OSCURO",VLOOKUP(B9,PRECIOS!$A$4:$F$32,2,FALSE()),IF(D9="CLARO",VLOOKUP(B9,PRECIOS!$A$4:$F$32,3,FALSE()),IF(D9="MELANGE",VLOOKUP(B9,PRECIOS!$A$4:$F$32,4,FALSE()),IF(D9="PPT",VLOOKUP(B9,PRECIOS!$A$4:$F$32,5,FALSE()),0)))),0)</f>
        <v>18</v>
      </c>
      <c r="H9" s="103">
        <f t="shared" si="1"/>
        <v>0</v>
      </c>
      <c r="I9" s="104" t="str">
        <f>IF(E9&lt;0,"ERROR",IF(E9=0,"",IF(E9&lt;CONFIG!$B$4,"CRÍTICO",IF(E9&lt;CONFIG!$B$5,"BAJO","OK"))))</f>
        <v/>
      </c>
    </row>
    <row r="10" ht="15.0" customHeight="1">
      <c r="A10" s="90" t="str">
        <f>IF(CLIENTES!A4="","",CLIENTES!A4)</f>
        <v>OverShark</v>
      </c>
      <c r="B10" s="67" t="str">
        <f>TELAS!A4</f>
        <v>jersey 30/1</v>
      </c>
      <c r="C10" s="67" t="str">
        <f>COLORES!A10</f>
        <v>Botella</v>
      </c>
      <c r="D10" s="67" t="str">
        <f>COLORES!B10</f>
        <v>OSCURO</v>
      </c>
      <c r="E10" s="100">
        <f>IFERROR(SUMIFS(MOVIMIENTOS!$F$4:$F$1000,MOVIMIENTOS!$C$4:$C$1000,A10,MOVIMIENTOS!$D$4:$D$1000,B10,MOVIMIENTOS!$E$4:$E$1000,C10,MOVIMIENTOS!$B$4:$B$1000,"INGRESO")+SUMIFS(MOVIMIENTOS!$F$4:$F$1000,MOVIMIENTOS!$C$4:$C$1000,A10,MOVIMIENTOS!$D$4:$D$1000,B10,MOVIMIENTOS!$E$4:$E$1000,C10,MOVIMIENTOS!$B$4:$B$1000,"DE REPROCESO")+SUMIFS(MOVIMIENTOS!$F$4:$F$1000,MOVIMIENTOS!$C$4:$C$1000,A10,MOVIMIENTOS!$D$4:$D$1000,B10,MOVIMIENTOS!$E$4:$E$1000,C10,MOVIMIENTOS!$B$4:$B$1000,"AJUSTE+")-SUMIFS(MOVIMIENTOS!$F$4:$F$1000,MOVIMIENTOS!$C$4:$C$1000,A10,MOVIMIENTOS!$D$4:$D$1000,B10,MOVIMIENTOS!$E$4:$E$1000,C10,MOVIMIENTOS!$B$4:$B$1000,"A CORTE")-SUMIFS(MOVIMIENTOS!$F$4:$F$1000,MOVIMIENTOS!$C$4:$C$1000,A10,MOVIMIENTOS!$D$4:$D$1000,B10,MOVIMIENTOS!$E$4:$E$1000,C10,MOVIMIENTOS!$B$4:$B$1000,"A REPROCESO")-SUMIFS(MOVIMIENTOS!$F$4:$F$1000,MOVIMIENTOS!$C$4:$C$1000,A10,MOVIMIENTOS!$D$4:$D$1000,B10,MOVIMIENTOS!$E$4:$E$1000,C10,MOVIMIENTOS!$B$4:$B$1000,"MUESTRA")-SUMIFS(MOVIMIENTOS!$F$4:$F$1000,MOVIMIENTOS!$C$4:$C$1000,A10,MOVIMIENTOS!$D$4:$D$1000,B10,MOVIMIENTOS!$E$4:$E$1000,C10,MOVIMIENTOS!$B$4:$B$1000,"AJUSTE-"),0)</f>
        <v>9</v>
      </c>
      <c r="F10" s="101">
        <f>IFERROR(E10*VLOOKUP(B10,TELAS!$A$4:$C$32,3,FALSE()),0)</f>
        <v>180</v>
      </c>
      <c r="G10" s="102">
        <f>IFERROR(IF(D10="OSCURO",VLOOKUP(B10,PRECIOS!$A$4:$F$32,2,FALSE()),IF(D10="CLARO",VLOOKUP(B10,PRECIOS!$A$4:$F$32,3,FALSE()),IF(D10="MELANGE",VLOOKUP(B10,PRECIOS!$A$4:$F$32,4,FALSE()),IF(D10="PPT",VLOOKUP(B10,PRECIOS!$A$4:$F$32,5,FALSE()),0)))),0)</f>
        <v>24</v>
      </c>
      <c r="H10" s="103">
        <f t="shared" si="1"/>
        <v>4320</v>
      </c>
      <c r="I10" s="104" t="str">
        <f>IF(E10&lt;0,"ERROR",IF(E10=0,"",IF(E10&lt;CONFIG!$B$4,"CRÍTICO",IF(E10&lt;CONFIG!$B$5,"BAJO","OK"))))</f>
        <v>BAJO</v>
      </c>
    </row>
    <row r="11" ht="15.0" customHeight="1">
      <c r="A11" s="90" t="str">
        <f>IF(CLIENTES!A4="","",CLIENTES!A4)</f>
        <v>OverShark</v>
      </c>
      <c r="B11" s="67" t="str">
        <f>TELAS!A4</f>
        <v>jersey 30/1</v>
      </c>
      <c r="C11" s="67" t="str">
        <f>COLORES!A11</f>
        <v>Pacay</v>
      </c>
      <c r="D11" s="67" t="str">
        <f>COLORES!B11</f>
        <v>CLARO</v>
      </c>
      <c r="E11" s="100">
        <f>IFERROR(SUMIFS(MOVIMIENTOS!$F$4:$F$1000,MOVIMIENTOS!$C$4:$C$1000,A11,MOVIMIENTOS!$D$4:$D$1000,B11,MOVIMIENTOS!$E$4:$E$1000,C11,MOVIMIENTOS!$B$4:$B$1000,"INGRESO")+SUMIFS(MOVIMIENTOS!$F$4:$F$1000,MOVIMIENTOS!$C$4:$C$1000,A11,MOVIMIENTOS!$D$4:$D$1000,B11,MOVIMIENTOS!$E$4:$E$1000,C11,MOVIMIENTOS!$B$4:$B$1000,"DE REPROCESO")+SUMIFS(MOVIMIENTOS!$F$4:$F$1000,MOVIMIENTOS!$C$4:$C$1000,A11,MOVIMIENTOS!$D$4:$D$1000,B11,MOVIMIENTOS!$E$4:$E$1000,C11,MOVIMIENTOS!$B$4:$B$1000,"AJUSTE+")-SUMIFS(MOVIMIENTOS!$F$4:$F$1000,MOVIMIENTOS!$C$4:$C$1000,A11,MOVIMIENTOS!$D$4:$D$1000,B11,MOVIMIENTOS!$E$4:$E$1000,C11,MOVIMIENTOS!$B$4:$B$1000,"A CORTE")-SUMIFS(MOVIMIENTOS!$F$4:$F$1000,MOVIMIENTOS!$C$4:$C$1000,A11,MOVIMIENTOS!$D$4:$D$1000,B11,MOVIMIENTOS!$E$4:$E$1000,C11,MOVIMIENTOS!$B$4:$B$1000,"A REPROCESO")-SUMIFS(MOVIMIENTOS!$F$4:$F$1000,MOVIMIENTOS!$C$4:$C$1000,A11,MOVIMIENTOS!$D$4:$D$1000,B11,MOVIMIENTOS!$E$4:$E$1000,C11,MOVIMIENTOS!$B$4:$B$1000,"MUESTRA")-SUMIFS(MOVIMIENTOS!$F$4:$F$1000,MOVIMIENTOS!$C$4:$C$1000,A11,MOVIMIENTOS!$D$4:$D$1000,B11,MOVIMIENTOS!$E$4:$E$1000,C11,MOVIMIENTOS!$B$4:$B$1000,"AJUSTE-"),0)</f>
        <v>8</v>
      </c>
      <c r="F11" s="101">
        <f>IFERROR(E11*VLOOKUP(B11,TELAS!$A$4:$C$32,3,FALSE()),0)</f>
        <v>160</v>
      </c>
      <c r="G11" s="102">
        <f>IFERROR(IF(D11="OSCURO",VLOOKUP(B11,PRECIOS!$A$4:$F$32,2,FALSE()),IF(D11="CLARO",VLOOKUP(B11,PRECIOS!$A$4:$F$32,3,FALSE()),IF(D11="MELANGE",VLOOKUP(B11,PRECIOS!$A$4:$F$32,4,FALSE()),IF(D11="PPT",VLOOKUP(B11,PRECIOS!$A$4:$F$32,5,FALSE()),0)))),0)</f>
        <v>21</v>
      </c>
      <c r="H11" s="103">
        <f t="shared" si="1"/>
        <v>3360</v>
      </c>
      <c r="I11" s="104" t="str">
        <f>IF(E11&lt;0,"ERROR",IF(E11=0,"",IF(E11&lt;CONFIG!$B$4,"CRÍTICO",IF(E11&lt;CONFIG!$B$5,"BAJO","OK"))))</f>
        <v>BAJO</v>
      </c>
    </row>
    <row r="12" ht="15.0" customHeight="1">
      <c r="A12" s="90" t="str">
        <f>IF(CLIENTES!A4="","",CLIENTES!A4)</f>
        <v>OverShark</v>
      </c>
      <c r="B12" s="67" t="str">
        <f>TELAS!A4</f>
        <v>jersey 30/1</v>
      </c>
      <c r="C12" s="67" t="str">
        <f>COLORES!A12</f>
        <v>Cemento</v>
      </c>
      <c r="D12" s="67" t="str">
        <f>COLORES!B12</f>
        <v>CLARO</v>
      </c>
      <c r="E12" s="100">
        <f>IFERROR(SUMIFS(MOVIMIENTOS!$F$4:$F$1000,MOVIMIENTOS!$C$4:$C$1000,A12,MOVIMIENTOS!$D$4:$D$1000,B12,MOVIMIENTOS!$E$4:$E$1000,C12,MOVIMIENTOS!$B$4:$B$1000,"INGRESO")+SUMIFS(MOVIMIENTOS!$F$4:$F$1000,MOVIMIENTOS!$C$4:$C$1000,A12,MOVIMIENTOS!$D$4:$D$1000,B12,MOVIMIENTOS!$E$4:$E$1000,C12,MOVIMIENTOS!$B$4:$B$1000,"DE REPROCESO")+SUMIFS(MOVIMIENTOS!$F$4:$F$1000,MOVIMIENTOS!$C$4:$C$1000,A12,MOVIMIENTOS!$D$4:$D$1000,B12,MOVIMIENTOS!$E$4:$E$1000,C12,MOVIMIENTOS!$B$4:$B$1000,"AJUSTE+")-SUMIFS(MOVIMIENTOS!$F$4:$F$1000,MOVIMIENTOS!$C$4:$C$1000,A12,MOVIMIENTOS!$D$4:$D$1000,B12,MOVIMIENTOS!$E$4:$E$1000,C12,MOVIMIENTOS!$B$4:$B$1000,"A CORTE")-SUMIFS(MOVIMIENTOS!$F$4:$F$1000,MOVIMIENTOS!$C$4:$C$1000,A12,MOVIMIENTOS!$D$4:$D$1000,B12,MOVIMIENTOS!$E$4:$E$1000,C12,MOVIMIENTOS!$B$4:$B$1000,"A REPROCESO")-SUMIFS(MOVIMIENTOS!$F$4:$F$1000,MOVIMIENTOS!$C$4:$C$1000,A12,MOVIMIENTOS!$D$4:$D$1000,B12,MOVIMIENTOS!$E$4:$E$1000,C12,MOVIMIENTOS!$B$4:$B$1000,"MUESTRA")-SUMIFS(MOVIMIENTOS!$F$4:$F$1000,MOVIMIENTOS!$C$4:$C$1000,A12,MOVIMIENTOS!$D$4:$D$1000,B12,MOVIMIENTOS!$E$4:$E$1000,C12,MOVIMIENTOS!$B$4:$B$1000,"AJUSTE-"),0)</f>
        <v>16</v>
      </c>
      <c r="F12" s="101">
        <f>IFERROR(E12*VLOOKUP(B12,TELAS!$A$4:$C$32,3,FALSE()),0)</f>
        <v>320</v>
      </c>
      <c r="G12" s="102">
        <f>IFERROR(IF(D12="OSCURO",VLOOKUP(B12,PRECIOS!$A$4:$F$32,2,FALSE()),IF(D12="CLARO",VLOOKUP(B12,PRECIOS!$A$4:$F$32,3,FALSE()),IF(D12="MELANGE",VLOOKUP(B12,PRECIOS!$A$4:$F$32,4,FALSE()),IF(D12="PPT",VLOOKUP(B12,PRECIOS!$A$4:$F$32,5,FALSE()),0)))),0)</f>
        <v>21</v>
      </c>
      <c r="H12" s="103">
        <f t="shared" si="1"/>
        <v>6720</v>
      </c>
      <c r="I12" s="104" t="str">
        <f>IF(E12&lt;0,"ERROR",IF(E12=0,"",IF(E12&lt;CONFIG!$B$4,"CRÍTICO",IF(E12&lt;CONFIG!$B$5,"BAJO","OK"))))</f>
        <v>OK</v>
      </c>
    </row>
    <row r="13" ht="15.0" customHeight="1">
      <c r="A13" s="90" t="str">
        <f>IF(CLIENTES!A4="","",CLIENTES!A4)</f>
        <v>OverShark</v>
      </c>
      <c r="B13" s="67" t="str">
        <f>TELAS!A4</f>
        <v>jersey 30/1</v>
      </c>
      <c r="C13" s="67" t="str">
        <f>COLORES!A13</f>
        <v>Camote</v>
      </c>
      <c r="D13" s="67" t="str">
        <f>COLORES!B13</f>
        <v>CLARO</v>
      </c>
      <c r="E13" s="100">
        <f>IFERROR(SUMIFS(MOVIMIENTOS!$F$4:$F$1000,MOVIMIENTOS!$C$4:$C$1000,A13,MOVIMIENTOS!$D$4:$D$1000,B13,MOVIMIENTOS!$E$4:$E$1000,C13,MOVIMIENTOS!$B$4:$B$1000,"INGRESO")+SUMIFS(MOVIMIENTOS!$F$4:$F$1000,MOVIMIENTOS!$C$4:$C$1000,A13,MOVIMIENTOS!$D$4:$D$1000,B13,MOVIMIENTOS!$E$4:$E$1000,C13,MOVIMIENTOS!$B$4:$B$1000,"DE REPROCESO")+SUMIFS(MOVIMIENTOS!$F$4:$F$1000,MOVIMIENTOS!$C$4:$C$1000,A13,MOVIMIENTOS!$D$4:$D$1000,B13,MOVIMIENTOS!$E$4:$E$1000,C13,MOVIMIENTOS!$B$4:$B$1000,"AJUSTE+")-SUMIFS(MOVIMIENTOS!$F$4:$F$1000,MOVIMIENTOS!$C$4:$C$1000,A13,MOVIMIENTOS!$D$4:$D$1000,B13,MOVIMIENTOS!$E$4:$E$1000,C13,MOVIMIENTOS!$B$4:$B$1000,"A CORTE")-SUMIFS(MOVIMIENTOS!$F$4:$F$1000,MOVIMIENTOS!$C$4:$C$1000,A13,MOVIMIENTOS!$D$4:$D$1000,B13,MOVIMIENTOS!$E$4:$E$1000,C13,MOVIMIENTOS!$B$4:$B$1000,"A REPROCESO")-SUMIFS(MOVIMIENTOS!$F$4:$F$1000,MOVIMIENTOS!$C$4:$C$1000,A13,MOVIMIENTOS!$D$4:$D$1000,B13,MOVIMIENTOS!$E$4:$E$1000,C13,MOVIMIENTOS!$B$4:$B$1000,"MUESTRA")-SUMIFS(MOVIMIENTOS!$F$4:$F$1000,MOVIMIENTOS!$C$4:$C$1000,A13,MOVIMIENTOS!$D$4:$D$1000,B13,MOVIMIENTOS!$E$4:$E$1000,C13,MOVIMIENTOS!$B$4:$B$1000,"AJUSTE-"),0)</f>
        <v>0</v>
      </c>
      <c r="F13" s="101">
        <f>IFERROR(E13*VLOOKUP(B13,TELAS!$A$4:$C$32,3,FALSE()),0)</f>
        <v>0</v>
      </c>
      <c r="G13" s="102">
        <f>IFERROR(IF(D13="OSCURO",VLOOKUP(B13,PRECIOS!$A$4:$F$32,2,FALSE()),IF(D13="CLARO",VLOOKUP(B13,PRECIOS!$A$4:$F$32,3,FALSE()),IF(D13="MELANGE",VLOOKUP(B13,PRECIOS!$A$4:$F$32,4,FALSE()),IF(D13="PPT",VLOOKUP(B13,PRECIOS!$A$4:$F$32,5,FALSE()),0)))),0)</f>
        <v>21</v>
      </c>
      <c r="H13" s="103">
        <f t="shared" si="1"/>
        <v>0</v>
      </c>
      <c r="I13" s="104" t="str">
        <f>IF(E13&lt;0,"ERROR",IF(E13=0,"",IF(E13&lt;CONFIG!$B$4,"CRÍTICO",IF(E13&lt;CONFIG!$B$5,"BAJO","OK"))))</f>
        <v/>
      </c>
    </row>
    <row r="14" ht="15.0" customHeight="1">
      <c r="A14" s="90" t="str">
        <f>IF(CLIENTES!A4="","",CLIENTES!A4)</f>
        <v>OverShark</v>
      </c>
      <c r="B14" s="67" t="str">
        <f>TELAS!A4</f>
        <v>jersey 30/1</v>
      </c>
      <c r="C14" s="67" t="str">
        <f>COLORES!A14</f>
        <v>Denim</v>
      </c>
      <c r="D14" s="67" t="str">
        <f>COLORES!B14</f>
        <v>CLARO</v>
      </c>
      <c r="E14" s="100">
        <f>IFERROR(SUMIFS(MOVIMIENTOS!$F$4:$F$1000,MOVIMIENTOS!$C$4:$C$1000,A14,MOVIMIENTOS!$D$4:$D$1000,B14,MOVIMIENTOS!$E$4:$E$1000,C14,MOVIMIENTOS!$B$4:$B$1000,"INGRESO")+SUMIFS(MOVIMIENTOS!$F$4:$F$1000,MOVIMIENTOS!$C$4:$C$1000,A14,MOVIMIENTOS!$D$4:$D$1000,B14,MOVIMIENTOS!$E$4:$E$1000,C14,MOVIMIENTOS!$B$4:$B$1000,"DE REPROCESO")+SUMIFS(MOVIMIENTOS!$F$4:$F$1000,MOVIMIENTOS!$C$4:$C$1000,A14,MOVIMIENTOS!$D$4:$D$1000,B14,MOVIMIENTOS!$E$4:$E$1000,C14,MOVIMIENTOS!$B$4:$B$1000,"AJUSTE+")-SUMIFS(MOVIMIENTOS!$F$4:$F$1000,MOVIMIENTOS!$C$4:$C$1000,A14,MOVIMIENTOS!$D$4:$D$1000,B14,MOVIMIENTOS!$E$4:$E$1000,C14,MOVIMIENTOS!$B$4:$B$1000,"A CORTE")-SUMIFS(MOVIMIENTOS!$F$4:$F$1000,MOVIMIENTOS!$C$4:$C$1000,A14,MOVIMIENTOS!$D$4:$D$1000,B14,MOVIMIENTOS!$E$4:$E$1000,C14,MOVIMIENTOS!$B$4:$B$1000,"A REPROCESO")-SUMIFS(MOVIMIENTOS!$F$4:$F$1000,MOVIMIENTOS!$C$4:$C$1000,A14,MOVIMIENTOS!$D$4:$D$1000,B14,MOVIMIENTOS!$E$4:$E$1000,C14,MOVIMIENTOS!$B$4:$B$1000,"MUESTRA")-SUMIFS(MOVIMIENTOS!$F$4:$F$1000,MOVIMIENTOS!$C$4:$C$1000,A14,MOVIMIENTOS!$D$4:$D$1000,B14,MOVIMIENTOS!$E$4:$E$1000,C14,MOVIMIENTOS!$B$4:$B$1000,"AJUSTE-"),0)</f>
        <v>7</v>
      </c>
      <c r="F14" s="101">
        <f>IFERROR(E14*VLOOKUP(B14,TELAS!$A$4:$C$32,3,FALSE()),0)</f>
        <v>140</v>
      </c>
      <c r="G14" s="102">
        <f>IFERROR(IF(D14="OSCURO",VLOOKUP(B14,PRECIOS!$A$4:$F$32,2,FALSE()),IF(D14="CLARO",VLOOKUP(B14,PRECIOS!$A$4:$F$32,3,FALSE()),IF(D14="MELANGE",VLOOKUP(B14,PRECIOS!$A$4:$F$32,4,FALSE()),IF(D14="PPT",VLOOKUP(B14,PRECIOS!$A$4:$F$32,5,FALSE()),0)))),0)</f>
        <v>21</v>
      </c>
      <c r="H14" s="103">
        <f t="shared" si="1"/>
        <v>2940</v>
      </c>
      <c r="I14" s="104" t="str">
        <f>IF(E14&lt;0,"ERROR",IF(E14=0,"",IF(E14&lt;CONFIG!$B$4,"CRÍTICO",IF(E14&lt;CONFIG!$B$5,"BAJO","OK"))))</f>
        <v>BAJO</v>
      </c>
    </row>
    <row r="15" ht="15.0" customHeight="1">
      <c r="A15" s="90" t="str">
        <f>IF(CLIENTES!A4="","",CLIENTES!A4)</f>
        <v>OverShark</v>
      </c>
      <c r="B15" s="67" t="str">
        <f>TELAS!A4</f>
        <v>jersey 30/1</v>
      </c>
      <c r="C15" s="67" t="str">
        <f>COLORES!A15</f>
        <v>Plomo</v>
      </c>
      <c r="D15" s="67" t="str">
        <f>COLORES!B15</f>
        <v>OSCURO</v>
      </c>
      <c r="E15" s="100">
        <f>IFERROR(SUMIFS(MOVIMIENTOS!$F$4:$F$1000,MOVIMIENTOS!$C$4:$C$1000,A15,MOVIMIENTOS!$D$4:$D$1000,B15,MOVIMIENTOS!$E$4:$E$1000,C15,MOVIMIENTOS!$B$4:$B$1000,"INGRESO")+SUMIFS(MOVIMIENTOS!$F$4:$F$1000,MOVIMIENTOS!$C$4:$C$1000,A15,MOVIMIENTOS!$D$4:$D$1000,B15,MOVIMIENTOS!$E$4:$E$1000,C15,MOVIMIENTOS!$B$4:$B$1000,"DE REPROCESO")+SUMIFS(MOVIMIENTOS!$F$4:$F$1000,MOVIMIENTOS!$C$4:$C$1000,A15,MOVIMIENTOS!$D$4:$D$1000,B15,MOVIMIENTOS!$E$4:$E$1000,C15,MOVIMIENTOS!$B$4:$B$1000,"AJUSTE+")-SUMIFS(MOVIMIENTOS!$F$4:$F$1000,MOVIMIENTOS!$C$4:$C$1000,A15,MOVIMIENTOS!$D$4:$D$1000,B15,MOVIMIENTOS!$E$4:$E$1000,C15,MOVIMIENTOS!$B$4:$B$1000,"A CORTE")-SUMIFS(MOVIMIENTOS!$F$4:$F$1000,MOVIMIENTOS!$C$4:$C$1000,A15,MOVIMIENTOS!$D$4:$D$1000,B15,MOVIMIENTOS!$E$4:$E$1000,C15,MOVIMIENTOS!$B$4:$B$1000,"A REPROCESO")-SUMIFS(MOVIMIENTOS!$F$4:$F$1000,MOVIMIENTOS!$C$4:$C$1000,A15,MOVIMIENTOS!$D$4:$D$1000,B15,MOVIMIENTOS!$E$4:$E$1000,C15,MOVIMIENTOS!$B$4:$B$1000,"MUESTRA")-SUMIFS(MOVIMIENTOS!$F$4:$F$1000,MOVIMIENTOS!$C$4:$C$1000,A15,MOVIMIENTOS!$D$4:$D$1000,B15,MOVIMIENTOS!$E$4:$E$1000,C15,MOVIMIENTOS!$B$4:$B$1000,"AJUSTE-"),0)</f>
        <v>4</v>
      </c>
      <c r="F15" s="101">
        <f>IFERROR(E15*VLOOKUP(B15,TELAS!$A$4:$C$32,3,FALSE()),0)</f>
        <v>80</v>
      </c>
      <c r="G15" s="102">
        <f>IFERROR(IF(D15="OSCURO",VLOOKUP(B15,PRECIOS!$A$4:$F$32,2,FALSE()),IF(D15="CLARO",VLOOKUP(B15,PRECIOS!$A$4:$F$32,3,FALSE()),IF(D15="MELANGE",VLOOKUP(B15,PRECIOS!$A$4:$F$32,4,FALSE()),IF(D15="PPT",VLOOKUP(B15,PRECIOS!$A$4:$F$32,5,FALSE()),0)))),0)</f>
        <v>24</v>
      </c>
      <c r="H15" s="103">
        <f t="shared" si="1"/>
        <v>1920</v>
      </c>
      <c r="I15" s="104" t="str">
        <f>IF(E15&lt;0,"ERROR",IF(E15=0,"",IF(E15&lt;CONFIG!$B$4,"CRÍTICO",IF(E15&lt;CONFIG!$B$5,"BAJO","OK"))))</f>
        <v>CRÍTICO</v>
      </c>
    </row>
    <row r="16" ht="15.0" customHeight="1">
      <c r="A16" s="90" t="str">
        <f>IF(CLIENTES!A4="","",CLIENTES!A4)</f>
        <v>OverShark</v>
      </c>
      <c r="B16" s="67" t="str">
        <f>TELAS!A4</f>
        <v>jersey 30/1</v>
      </c>
      <c r="C16" s="67" t="str">
        <f>COLORES!A16</f>
        <v>Topo</v>
      </c>
      <c r="D16" s="67" t="str">
        <f>COLORES!B16</f>
        <v>CLARO</v>
      </c>
      <c r="E16" s="100">
        <f>IFERROR(SUMIFS(MOVIMIENTOS!$F$4:$F$1000,MOVIMIENTOS!$C$4:$C$1000,A16,MOVIMIENTOS!$D$4:$D$1000,B16,MOVIMIENTOS!$E$4:$E$1000,C16,MOVIMIENTOS!$B$4:$B$1000,"INGRESO")+SUMIFS(MOVIMIENTOS!$F$4:$F$1000,MOVIMIENTOS!$C$4:$C$1000,A16,MOVIMIENTOS!$D$4:$D$1000,B16,MOVIMIENTOS!$E$4:$E$1000,C16,MOVIMIENTOS!$B$4:$B$1000,"DE REPROCESO")+SUMIFS(MOVIMIENTOS!$F$4:$F$1000,MOVIMIENTOS!$C$4:$C$1000,A16,MOVIMIENTOS!$D$4:$D$1000,B16,MOVIMIENTOS!$E$4:$E$1000,C16,MOVIMIENTOS!$B$4:$B$1000,"AJUSTE+")-SUMIFS(MOVIMIENTOS!$F$4:$F$1000,MOVIMIENTOS!$C$4:$C$1000,A16,MOVIMIENTOS!$D$4:$D$1000,B16,MOVIMIENTOS!$E$4:$E$1000,C16,MOVIMIENTOS!$B$4:$B$1000,"A CORTE")-SUMIFS(MOVIMIENTOS!$F$4:$F$1000,MOVIMIENTOS!$C$4:$C$1000,A16,MOVIMIENTOS!$D$4:$D$1000,B16,MOVIMIENTOS!$E$4:$E$1000,C16,MOVIMIENTOS!$B$4:$B$1000,"A REPROCESO")-SUMIFS(MOVIMIENTOS!$F$4:$F$1000,MOVIMIENTOS!$C$4:$C$1000,A16,MOVIMIENTOS!$D$4:$D$1000,B16,MOVIMIENTOS!$E$4:$E$1000,C16,MOVIMIENTOS!$B$4:$B$1000,"MUESTRA")-SUMIFS(MOVIMIENTOS!$F$4:$F$1000,MOVIMIENTOS!$C$4:$C$1000,A16,MOVIMIENTOS!$D$4:$D$1000,B16,MOVIMIENTOS!$E$4:$E$1000,C16,MOVIMIENTOS!$B$4:$B$1000,"AJUSTE-"),0)</f>
        <v>0</v>
      </c>
      <c r="F16" s="101">
        <f>IFERROR(E16*VLOOKUP(B16,TELAS!$A$4:$C$32,3,FALSE()),0)</f>
        <v>0</v>
      </c>
      <c r="G16" s="102">
        <f>IFERROR(IF(D16="OSCURO",VLOOKUP(B16,PRECIOS!$A$4:$F$32,2,FALSE()),IF(D16="CLARO",VLOOKUP(B16,PRECIOS!$A$4:$F$32,3,FALSE()),IF(D16="MELANGE",VLOOKUP(B16,PRECIOS!$A$4:$F$32,4,FALSE()),IF(D16="PPT",VLOOKUP(B16,PRECIOS!$A$4:$F$32,5,FALSE()),0)))),0)</f>
        <v>21</v>
      </c>
      <c r="H16" s="103">
        <f t="shared" si="1"/>
        <v>0</v>
      </c>
      <c r="I16" s="104" t="str">
        <f>IF(E16&lt;0,"ERROR",IF(E16=0,"",IF(E16&lt;CONFIG!$B$4,"CRÍTICO",IF(E16&lt;CONFIG!$B$5,"BAJO","OK"))))</f>
        <v/>
      </c>
    </row>
    <row r="17" ht="15.0" customHeight="1">
      <c r="A17" s="90" t="str">
        <f>IF(CLIENTES!A4="","",CLIENTES!A4)</f>
        <v>OverShark</v>
      </c>
      <c r="B17" s="67" t="str">
        <f>TELAS!A4</f>
        <v>jersey 30/1</v>
      </c>
      <c r="C17" s="67" t="str">
        <f>COLORES!A17</f>
        <v>Vino</v>
      </c>
      <c r="D17" s="67" t="str">
        <f>COLORES!B17</f>
        <v>OSCURO</v>
      </c>
      <c r="E17" s="100">
        <f>IFERROR(SUMIFS(MOVIMIENTOS!$F$4:$F$1000,MOVIMIENTOS!$C$4:$C$1000,A17,MOVIMIENTOS!$D$4:$D$1000,B17,MOVIMIENTOS!$E$4:$E$1000,C17,MOVIMIENTOS!$B$4:$B$1000,"INGRESO")+SUMIFS(MOVIMIENTOS!$F$4:$F$1000,MOVIMIENTOS!$C$4:$C$1000,A17,MOVIMIENTOS!$D$4:$D$1000,B17,MOVIMIENTOS!$E$4:$E$1000,C17,MOVIMIENTOS!$B$4:$B$1000,"DE REPROCESO")+SUMIFS(MOVIMIENTOS!$F$4:$F$1000,MOVIMIENTOS!$C$4:$C$1000,A17,MOVIMIENTOS!$D$4:$D$1000,B17,MOVIMIENTOS!$E$4:$E$1000,C17,MOVIMIENTOS!$B$4:$B$1000,"AJUSTE+")-SUMIFS(MOVIMIENTOS!$F$4:$F$1000,MOVIMIENTOS!$C$4:$C$1000,A17,MOVIMIENTOS!$D$4:$D$1000,B17,MOVIMIENTOS!$E$4:$E$1000,C17,MOVIMIENTOS!$B$4:$B$1000,"A CORTE")-SUMIFS(MOVIMIENTOS!$F$4:$F$1000,MOVIMIENTOS!$C$4:$C$1000,A17,MOVIMIENTOS!$D$4:$D$1000,B17,MOVIMIENTOS!$E$4:$E$1000,C17,MOVIMIENTOS!$B$4:$B$1000,"A REPROCESO")-SUMIFS(MOVIMIENTOS!$F$4:$F$1000,MOVIMIENTOS!$C$4:$C$1000,A17,MOVIMIENTOS!$D$4:$D$1000,B17,MOVIMIENTOS!$E$4:$E$1000,C17,MOVIMIENTOS!$B$4:$B$1000,"MUESTRA")-SUMIFS(MOVIMIENTOS!$F$4:$F$1000,MOVIMIENTOS!$C$4:$C$1000,A17,MOVIMIENTOS!$D$4:$D$1000,B17,MOVIMIENTOS!$E$4:$E$1000,C17,MOVIMIENTOS!$B$4:$B$1000,"AJUSTE-"),0)</f>
        <v>5</v>
      </c>
      <c r="F17" s="101">
        <f>IFERROR(E17*VLOOKUP(B17,TELAS!$A$4:$C$32,3,FALSE()),0)</f>
        <v>100</v>
      </c>
      <c r="G17" s="102">
        <f>IFERROR(IF(D17="OSCURO",VLOOKUP(B17,PRECIOS!$A$4:$F$32,2,FALSE()),IF(D17="CLARO",VLOOKUP(B17,PRECIOS!$A$4:$F$32,3,FALSE()),IF(D17="MELANGE",VLOOKUP(B17,PRECIOS!$A$4:$F$32,4,FALSE()),IF(D17="PPT",VLOOKUP(B17,PRECIOS!$A$4:$F$32,5,FALSE()),0)))),0)</f>
        <v>24</v>
      </c>
      <c r="H17" s="103">
        <f t="shared" si="1"/>
        <v>2400</v>
      </c>
      <c r="I17" s="104" t="str">
        <f>IF(E17&lt;0,"ERROR",IF(E17=0,"",IF(E17&lt;CONFIG!$B$4,"CRÍTICO",IF(E17&lt;CONFIG!$B$5,"BAJO","OK"))))</f>
        <v>BAJO</v>
      </c>
    </row>
    <row r="18" ht="15.0" customHeight="1">
      <c r="A18" s="90" t="str">
        <f>IF(CLIENTES!A4="","",CLIENTES!A4)</f>
        <v>OverShark</v>
      </c>
      <c r="B18" s="67" t="str">
        <f>TELAS!A4</f>
        <v>jersey 30/1</v>
      </c>
      <c r="C18" s="67" t="str">
        <f>COLORES!A18</f>
        <v>P. Rosa</v>
      </c>
      <c r="D18" s="67" t="str">
        <f>COLORES!B18</f>
        <v>CLARO</v>
      </c>
      <c r="E18" s="100">
        <f>IFERROR(SUMIFS(MOVIMIENTOS!$F$4:$F$1000,MOVIMIENTOS!$C$4:$C$1000,A18,MOVIMIENTOS!$D$4:$D$1000,B18,MOVIMIENTOS!$E$4:$E$1000,C18,MOVIMIENTOS!$B$4:$B$1000,"INGRESO")+SUMIFS(MOVIMIENTOS!$F$4:$F$1000,MOVIMIENTOS!$C$4:$C$1000,A18,MOVIMIENTOS!$D$4:$D$1000,B18,MOVIMIENTOS!$E$4:$E$1000,C18,MOVIMIENTOS!$B$4:$B$1000,"DE REPROCESO")+SUMIFS(MOVIMIENTOS!$F$4:$F$1000,MOVIMIENTOS!$C$4:$C$1000,A18,MOVIMIENTOS!$D$4:$D$1000,B18,MOVIMIENTOS!$E$4:$E$1000,C18,MOVIMIENTOS!$B$4:$B$1000,"AJUSTE+")-SUMIFS(MOVIMIENTOS!$F$4:$F$1000,MOVIMIENTOS!$C$4:$C$1000,A18,MOVIMIENTOS!$D$4:$D$1000,B18,MOVIMIENTOS!$E$4:$E$1000,C18,MOVIMIENTOS!$B$4:$B$1000,"A CORTE")-SUMIFS(MOVIMIENTOS!$F$4:$F$1000,MOVIMIENTOS!$C$4:$C$1000,A18,MOVIMIENTOS!$D$4:$D$1000,B18,MOVIMIENTOS!$E$4:$E$1000,C18,MOVIMIENTOS!$B$4:$B$1000,"A REPROCESO")-SUMIFS(MOVIMIENTOS!$F$4:$F$1000,MOVIMIENTOS!$C$4:$C$1000,A18,MOVIMIENTOS!$D$4:$D$1000,B18,MOVIMIENTOS!$E$4:$E$1000,C18,MOVIMIENTOS!$B$4:$B$1000,"MUESTRA")-SUMIFS(MOVIMIENTOS!$F$4:$F$1000,MOVIMIENTOS!$C$4:$C$1000,A18,MOVIMIENTOS!$D$4:$D$1000,B18,MOVIMIENTOS!$E$4:$E$1000,C18,MOVIMIENTOS!$B$4:$B$1000,"AJUSTE-"),0)</f>
        <v>16</v>
      </c>
      <c r="F18" s="101">
        <f>IFERROR(E18*VLOOKUP(B18,TELAS!$A$4:$C$32,3,FALSE()),0)</f>
        <v>320</v>
      </c>
      <c r="G18" s="102">
        <f>IFERROR(IF(D18="OSCURO",VLOOKUP(B18,PRECIOS!$A$4:$F$32,2,FALSE()),IF(D18="CLARO",VLOOKUP(B18,PRECIOS!$A$4:$F$32,3,FALSE()),IF(D18="MELANGE",VLOOKUP(B18,PRECIOS!$A$4:$F$32,4,FALSE()),IF(D18="PPT",VLOOKUP(B18,PRECIOS!$A$4:$F$32,5,FALSE()),0)))),0)</f>
        <v>21</v>
      </c>
      <c r="H18" s="103">
        <f t="shared" si="1"/>
        <v>6720</v>
      </c>
      <c r="I18" s="104" t="str">
        <f>IF(E18&lt;0,"ERROR",IF(E18=0,"",IF(E18&lt;CONFIG!$B$4,"CRÍTICO",IF(E18&lt;CONFIG!$B$5,"BAJO","OK"))))</f>
        <v>OK</v>
      </c>
    </row>
    <row r="19" ht="15.0" customHeight="1">
      <c r="A19" s="90" t="str">
        <f>IF(CLIENTES!A4="","",CLIENTES!A4)</f>
        <v>OverShark</v>
      </c>
      <c r="B19" s="67" t="str">
        <f>TELAS!A4</f>
        <v>jersey 30/1</v>
      </c>
      <c r="C19" s="67" t="str">
        <f>COLORES!A19</f>
        <v/>
      </c>
      <c r="D19" s="67" t="str">
        <f>COLORES!B19</f>
        <v/>
      </c>
      <c r="E19" s="100">
        <f>IFERROR(SUMIFS(MOVIMIENTOS!$F$4:$F$1000,MOVIMIENTOS!$C$4:$C$1000,A19,MOVIMIENTOS!$D$4:$D$1000,B19,MOVIMIENTOS!$E$4:$E$1000,C19,MOVIMIENTOS!$B$4:$B$1000,"INGRESO")+SUMIFS(MOVIMIENTOS!$F$4:$F$1000,MOVIMIENTOS!$C$4:$C$1000,A19,MOVIMIENTOS!$D$4:$D$1000,B19,MOVIMIENTOS!$E$4:$E$1000,C19,MOVIMIENTOS!$B$4:$B$1000,"DE REPROCESO")+SUMIFS(MOVIMIENTOS!$F$4:$F$1000,MOVIMIENTOS!$C$4:$C$1000,A19,MOVIMIENTOS!$D$4:$D$1000,B19,MOVIMIENTOS!$E$4:$E$1000,C19,MOVIMIENTOS!$B$4:$B$1000,"AJUSTE+")-SUMIFS(MOVIMIENTOS!$F$4:$F$1000,MOVIMIENTOS!$C$4:$C$1000,A19,MOVIMIENTOS!$D$4:$D$1000,B19,MOVIMIENTOS!$E$4:$E$1000,C19,MOVIMIENTOS!$B$4:$B$1000,"A CORTE")-SUMIFS(MOVIMIENTOS!$F$4:$F$1000,MOVIMIENTOS!$C$4:$C$1000,A19,MOVIMIENTOS!$D$4:$D$1000,B19,MOVIMIENTOS!$E$4:$E$1000,C19,MOVIMIENTOS!$B$4:$B$1000,"A REPROCESO")-SUMIFS(MOVIMIENTOS!$F$4:$F$1000,MOVIMIENTOS!$C$4:$C$1000,A19,MOVIMIENTOS!$D$4:$D$1000,B19,MOVIMIENTOS!$E$4:$E$1000,C19,MOVIMIENTOS!$B$4:$B$1000,"MUESTRA")-SUMIFS(MOVIMIENTOS!$F$4:$F$1000,MOVIMIENTOS!$C$4:$C$1000,A19,MOVIMIENTOS!$D$4:$D$1000,B19,MOVIMIENTOS!$E$4:$E$1000,C19,MOVIMIENTOS!$B$4:$B$1000,"AJUSTE-"),0)</f>
        <v>0</v>
      </c>
      <c r="F19" s="101">
        <f>IFERROR(E19*VLOOKUP(B19,TELAS!$A$4:$C$32,3,FALSE()),0)</f>
        <v>0</v>
      </c>
      <c r="G19" s="102">
        <f>IFERROR(IF(D19="OSCURO",VLOOKUP(B19,PRECIOS!$A$4:$F$32,2,FALSE()),IF(D19="CLARO",VLOOKUP(B19,PRECIOS!$A$4:$F$32,3,FALSE()),IF(D19="MELANGE",VLOOKUP(B19,PRECIOS!$A$4:$F$32,4,FALSE()),IF(D19="PPT",VLOOKUP(B19,PRECIOS!$A$4:$F$32,5,FALSE()),0)))),0)</f>
        <v>0</v>
      </c>
      <c r="H19" s="103">
        <f t="shared" si="1"/>
        <v>0</v>
      </c>
      <c r="I19" s="104" t="str">
        <f>IF(E19&lt;0,"ERROR",IF(E19=0,"",IF(E19&lt;CONFIG!$B$4,"CRÍTICO",IF(E19&lt;CONFIG!$B$5,"BAJO","OK"))))</f>
        <v/>
      </c>
    </row>
    <row r="20" ht="15.0" customHeight="1">
      <c r="A20" s="90" t="str">
        <f>IF(CLIENTES!A4="","",CLIENTES!A4)</f>
        <v>OverShark</v>
      </c>
      <c r="B20" s="67" t="str">
        <f>TELAS!A4</f>
        <v>jersey 30/1</v>
      </c>
      <c r="C20" s="67" t="str">
        <f>COLORES!A20</f>
        <v/>
      </c>
      <c r="D20" s="67" t="str">
        <f>COLORES!B20</f>
        <v/>
      </c>
      <c r="E20" s="100">
        <f>IFERROR(SUMIFS(MOVIMIENTOS!$F$4:$F$1000,MOVIMIENTOS!$C$4:$C$1000,A20,MOVIMIENTOS!$D$4:$D$1000,B20,MOVIMIENTOS!$E$4:$E$1000,C20,MOVIMIENTOS!$B$4:$B$1000,"INGRESO")+SUMIFS(MOVIMIENTOS!$F$4:$F$1000,MOVIMIENTOS!$C$4:$C$1000,A20,MOVIMIENTOS!$D$4:$D$1000,B20,MOVIMIENTOS!$E$4:$E$1000,C20,MOVIMIENTOS!$B$4:$B$1000,"DE REPROCESO")+SUMIFS(MOVIMIENTOS!$F$4:$F$1000,MOVIMIENTOS!$C$4:$C$1000,A20,MOVIMIENTOS!$D$4:$D$1000,B20,MOVIMIENTOS!$E$4:$E$1000,C20,MOVIMIENTOS!$B$4:$B$1000,"AJUSTE+")-SUMIFS(MOVIMIENTOS!$F$4:$F$1000,MOVIMIENTOS!$C$4:$C$1000,A20,MOVIMIENTOS!$D$4:$D$1000,B20,MOVIMIENTOS!$E$4:$E$1000,C20,MOVIMIENTOS!$B$4:$B$1000,"A CORTE")-SUMIFS(MOVIMIENTOS!$F$4:$F$1000,MOVIMIENTOS!$C$4:$C$1000,A20,MOVIMIENTOS!$D$4:$D$1000,B20,MOVIMIENTOS!$E$4:$E$1000,C20,MOVIMIENTOS!$B$4:$B$1000,"A REPROCESO")-SUMIFS(MOVIMIENTOS!$F$4:$F$1000,MOVIMIENTOS!$C$4:$C$1000,A20,MOVIMIENTOS!$D$4:$D$1000,B20,MOVIMIENTOS!$E$4:$E$1000,C20,MOVIMIENTOS!$B$4:$B$1000,"MUESTRA")-SUMIFS(MOVIMIENTOS!$F$4:$F$1000,MOVIMIENTOS!$C$4:$C$1000,A20,MOVIMIENTOS!$D$4:$D$1000,B20,MOVIMIENTOS!$E$4:$E$1000,C20,MOVIMIENTOS!$B$4:$B$1000,"AJUSTE-"),0)</f>
        <v>0</v>
      </c>
      <c r="F20" s="101">
        <f>IFERROR(E20*VLOOKUP(B20,TELAS!$A$4:$C$32,3,FALSE()),0)</f>
        <v>0</v>
      </c>
      <c r="G20" s="102">
        <f>IFERROR(IF(D20="OSCURO",VLOOKUP(B20,PRECIOS!$A$4:$F$32,2,FALSE()),IF(D20="CLARO",VLOOKUP(B20,PRECIOS!$A$4:$F$32,3,FALSE()),IF(D20="MELANGE",VLOOKUP(B20,PRECIOS!$A$4:$F$32,4,FALSE()),IF(D20="PPT",VLOOKUP(B20,PRECIOS!$A$4:$F$32,5,FALSE()),0)))),0)</f>
        <v>0</v>
      </c>
      <c r="H20" s="103">
        <f t="shared" si="1"/>
        <v>0</v>
      </c>
      <c r="I20" s="104" t="str">
        <f>IF(E20&lt;0,"ERROR",IF(E20=0,"",IF(E20&lt;CONFIG!$B$4,"CRÍTICO",IF(E20&lt;CONFIG!$B$5,"BAJO","OK"))))</f>
        <v/>
      </c>
    </row>
    <row r="21" ht="15.75" customHeight="1">
      <c r="A21" s="90" t="str">
        <f>IF(CLIENTES!A4="","",CLIENTES!A4)</f>
        <v>OverShark</v>
      </c>
      <c r="B21" s="67" t="str">
        <f>TELAS!A4</f>
        <v>jersey 30/1</v>
      </c>
      <c r="C21" s="67" t="str">
        <f>COLORES!A21</f>
        <v/>
      </c>
      <c r="D21" s="67" t="str">
        <f>COLORES!B21</f>
        <v/>
      </c>
      <c r="E21" s="100">
        <f>IFERROR(SUMIFS(MOVIMIENTOS!$F$4:$F$1000,MOVIMIENTOS!$C$4:$C$1000,A21,MOVIMIENTOS!$D$4:$D$1000,B21,MOVIMIENTOS!$E$4:$E$1000,C21,MOVIMIENTOS!$B$4:$B$1000,"INGRESO")+SUMIFS(MOVIMIENTOS!$F$4:$F$1000,MOVIMIENTOS!$C$4:$C$1000,A21,MOVIMIENTOS!$D$4:$D$1000,B21,MOVIMIENTOS!$E$4:$E$1000,C21,MOVIMIENTOS!$B$4:$B$1000,"DE REPROCESO")+SUMIFS(MOVIMIENTOS!$F$4:$F$1000,MOVIMIENTOS!$C$4:$C$1000,A21,MOVIMIENTOS!$D$4:$D$1000,B21,MOVIMIENTOS!$E$4:$E$1000,C21,MOVIMIENTOS!$B$4:$B$1000,"AJUSTE+")-SUMIFS(MOVIMIENTOS!$F$4:$F$1000,MOVIMIENTOS!$C$4:$C$1000,A21,MOVIMIENTOS!$D$4:$D$1000,B21,MOVIMIENTOS!$E$4:$E$1000,C21,MOVIMIENTOS!$B$4:$B$1000,"A CORTE")-SUMIFS(MOVIMIENTOS!$F$4:$F$1000,MOVIMIENTOS!$C$4:$C$1000,A21,MOVIMIENTOS!$D$4:$D$1000,B21,MOVIMIENTOS!$E$4:$E$1000,C21,MOVIMIENTOS!$B$4:$B$1000,"A REPROCESO")-SUMIFS(MOVIMIENTOS!$F$4:$F$1000,MOVIMIENTOS!$C$4:$C$1000,A21,MOVIMIENTOS!$D$4:$D$1000,B21,MOVIMIENTOS!$E$4:$E$1000,C21,MOVIMIENTOS!$B$4:$B$1000,"MUESTRA")-SUMIFS(MOVIMIENTOS!$F$4:$F$1000,MOVIMIENTOS!$C$4:$C$1000,A21,MOVIMIENTOS!$D$4:$D$1000,B21,MOVIMIENTOS!$E$4:$E$1000,C21,MOVIMIENTOS!$B$4:$B$1000,"AJUSTE-"),0)</f>
        <v>0</v>
      </c>
      <c r="F21" s="101">
        <f>IFERROR(E21*VLOOKUP(B21,TELAS!$A$4:$C$32,3,FALSE()),0)</f>
        <v>0</v>
      </c>
      <c r="G21" s="102">
        <f>IFERROR(IF(D21="OSCURO",VLOOKUP(B21,PRECIOS!$A$4:$F$32,2,FALSE()),IF(D21="CLARO",VLOOKUP(B21,PRECIOS!$A$4:$F$32,3,FALSE()),IF(D21="MELANGE",VLOOKUP(B21,PRECIOS!$A$4:$F$32,4,FALSE()),IF(D21="PPT",VLOOKUP(B21,PRECIOS!$A$4:$F$32,5,FALSE()),0)))),0)</f>
        <v>0</v>
      </c>
      <c r="H21" s="103">
        <f t="shared" si="1"/>
        <v>0</v>
      </c>
      <c r="I21" s="104" t="str">
        <f>IF(E21&lt;0,"ERROR",IF(E21=0,"",IF(E21&lt;CONFIG!$B$4,"CRÍTICO",IF(E21&lt;CONFIG!$B$5,"BAJO","OK"))))</f>
        <v/>
      </c>
    </row>
    <row r="22" ht="15.75" customHeight="1">
      <c r="A22" s="90" t="str">
        <f>IF(CLIENTES!A4="","",CLIENTES!A4)</f>
        <v>OverShark</v>
      </c>
      <c r="B22" s="67" t="str">
        <f>TELAS!A4</f>
        <v>jersey 30/1</v>
      </c>
      <c r="C22" s="67" t="str">
        <f>COLORES!A22</f>
        <v/>
      </c>
      <c r="D22" s="67" t="str">
        <f>COLORES!B22</f>
        <v/>
      </c>
      <c r="E22" s="100">
        <f>IFERROR(SUMIFS(MOVIMIENTOS!$F$4:$F$1000,MOVIMIENTOS!$C$4:$C$1000,A22,MOVIMIENTOS!$D$4:$D$1000,B22,MOVIMIENTOS!$E$4:$E$1000,C22,MOVIMIENTOS!$B$4:$B$1000,"INGRESO")+SUMIFS(MOVIMIENTOS!$F$4:$F$1000,MOVIMIENTOS!$C$4:$C$1000,A22,MOVIMIENTOS!$D$4:$D$1000,B22,MOVIMIENTOS!$E$4:$E$1000,C22,MOVIMIENTOS!$B$4:$B$1000,"DE REPROCESO")+SUMIFS(MOVIMIENTOS!$F$4:$F$1000,MOVIMIENTOS!$C$4:$C$1000,A22,MOVIMIENTOS!$D$4:$D$1000,B22,MOVIMIENTOS!$E$4:$E$1000,C22,MOVIMIENTOS!$B$4:$B$1000,"AJUSTE+")-SUMIFS(MOVIMIENTOS!$F$4:$F$1000,MOVIMIENTOS!$C$4:$C$1000,A22,MOVIMIENTOS!$D$4:$D$1000,B22,MOVIMIENTOS!$E$4:$E$1000,C22,MOVIMIENTOS!$B$4:$B$1000,"A CORTE")-SUMIFS(MOVIMIENTOS!$F$4:$F$1000,MOVIMIENTOS!$C$4:$C$1000,A22,MOVIMIENTOS!$D$4:$D$1000,B22,MOVIMIENTOS!$E$4:$E$1000,C22,MOVIMIENTOS!$B$4:$B$1000,"A REPROCESO")-SUMIFS(MOVIMIENTOS!$F$4:$F$1000,MOVIMIENTOS!$C$4:$C$1000,A22,MOVIMIENTOS!$D$4:$D$1000,B22,MOVIMIENTOS!$E$4:$E$1000,C22,MOVIMIENTOS!$B$4:$B$1000,"MUESTRA")-SUMIFS(MOVIMIENTOS!$F$4:$F$1000,MOVIMIENTOS!$C$4:$C$1000,A22,MOVIMIENTOS!$D$4:$D$1000,B22,MOVIMIENTOS!$E$4:$E$1000,C22,MOVIMIENTOS!$B$4:$B$1000,"AJUSTE-"),0)</f>
        <v>0</v>
      </c>
      <c r="F22" s="101">
        <f>IFERROR(E22*VLOOKUP(B22,TELAS!$A$4:$C$32,3,FALSE()),0)</f>
        <v>0</v>
      </c>
      <c r="G22" s="102">
        <f>IFERROR(IF(D22="OSCURO",VLOOKUP(B22,PRECIOS!$A$4:$F$32,2,FALSE()),IF(D22="CLARO",VLOOKUP(B22,PRECIOS!$A$4:$F$32,3,FALSE()),IF(D22="MELANGE",VLOOKUP(B22,PRECIOS!$A$4:$F$32,4,FALSE()),IF(D22="PPT",VLOOKUP(B22,PRECIOS!$A$4:$F$32,5,FALSE()),0)))),0)</f>
        <v>0</v>
      </c>
      <c r="H22" s="103">
        <f t="shared" si="1"/>
        <v>0</v>
      </c>
      <c r="I22" s="104" t="str">
        <f>IF(E22&lt;0,"ERROR",IF(E22=0,"",IF(E22&lt;CONFIG!$B$4,"CRÍTICO",IF(E22&lt;CONFIG!$B$5,"BAJO","OK"))))</f>
        <v/>
      </c>
    </row>
    <row r="23" ht="15.75" customHeight="1">
      <c r="A23" s="90" t="str">
        <f>IF(CLIENTES!A4="","",CLIENTES!A4)</f>
        <v>OverShark</v>
      </c>
      <c r="B23" s="67" t="str">
        <f>TELAS!A4</f>
        <v>jersey 30/1</v>
      </c>
      <c r="C23" s="67" t="str">
        <f>COLORES!A23</f>
        <v/>
      </c>
      <c r="D23" s="67" t="str">
        <f>COLORES!B23</f>
        <v/>
      </c>
      <c r="E23" s="100">
        <f>IFERROR(SUMIFS(MOVIMIENTOS!$F$4:$F$1000,MOVIMIENTOS!$C$4:$C$1000,A23,MOVIMIENTOS!$D$4:$D$1000,B23,MOVIMIENTOS!$E$4:$E$1000,C23,MOVIMIENTOS!$B$4:$B$1000,"INGRESO")+SUMIFS(MOVIMIENTOS!$F$4:$F$1000,MOVIMIENTOS!$C$4:$C$1000,A23,MOVIMIENTOS!$D$4:$D$1000,B23,MOVIMIENTOS!$E$4:$E$1000,C23,MOVIMIENTOS!$B$4:$B$1000,"DE REPROCESO")+SUMIFS(MOVIMIENTOS!$F$4:$F$1000,MOVIMIENTOS!$C$4:$C$1000,A23,MOVIMIENTOS!$D$4:$D$1000,B23,MOVIMIENTOS!$E$4:$E$1000,C23,MOVIMIENTOS!$B$4:$B$1000,"AJUSTE+")-SUMIFS(MOVIMIENTOS!$F$4:$F$1000,MOVIMIENTOS!$C$4:$C$1000,A23,MOVIMIENTOS!$D$4:$D$1000,B23,MOVIMIENTOS!$E$4:$E$1000,C23,MOVIMIENTOS!$B$4:$B$1000,"A CORTE")-SUMIFS(MOVIMIENTOS!$F$4:$F$1000,MOVIMIENTOS!$C$4:$C$1000,A23,MOVIMIENTOS!$D$4:$D$1000,B23,MOVIMIENTOS!$E$4:$E$1000,C23,MOVIMIENTOS!$B$4:$B$1000,"A REPROCESO")-SUMIFS(MOVIMIENTOS!$F$4:$F$1000,MOVIMIENTOS!$C$4:$C$1000,A23,MOVIMIENTOS!$D$4:$D$1000,B23,MOVIMIENTOS!$E$4:$E$1000,C23,MOVIMIENTOS!$B$4:$B$1000,"MUESTRA")-SUMIFS(MOVIMIENTOS!$F$4:$F$1000,MOVIMIENTOS!$C$4:$C$1000,A23,MOVIMIENTOS!$D$4:$D$1000,B23,MOVIMIENTOS!$E$4:$E$1000,C23,MOVIMIENTOS!$B$4:$B$1000,"AJUSTE-"),0)</f>
        <v>0</v>
      </c>
      <c r="F23" s="101">
        <f>IFERROR(E23*VLOOKUP(B23,TELAS!$A$4:$C$32,3,FALSE()),0)</f>
        <v>0</v>
      </c>
      <c r="G23" s="102">
        <f>IFERROR(IF(D23="OSCURO",VLOOKUP(B23,PRECIOS!$A$4:$F$32,2,FALSE()),IF(D23="CLARO",VLOOKUP(B23,PRECIOS!$A$4:$F$32,3,FALSE()),IF(D23="MELANGE",VLOOKUP(B23,PRECIOS!$A$4:$F$32,4,FALSE()),IF(D23="PPT",VLOOKUP(B23,PRECIOS!$A$4:$F$32,5,FALSE()),0)))),0)</f>
        <v>0</v>
      </c>
      <c r="H23" s="103">
        <f t="shared" si="1"/>
        <v>0</v>
      </c>
      <c r="I23" s="104" t="str">
        <f>IF(E23&lt;0,"ERROR",IF(E23=0,"",IF(E23&lt;CONFIG!$B$4,"CRÍTICO",IF(E23&lt;CONFIG!$B$5,"BAJO","OK"))))</f>
        <v/>
      </c>
    </row>
    <row r="24" ht="15.75" customHeight="1">
      <c r="A24" s="90" t="str">
        <f>IF(CLIENTES!A4="","",CLIENTES!A4)</f>
        <v>OverShark</v>
      </c>
      <c r="B24" s="67" t="str">
        <f>TELAS!A5</f>
        <v>pique 30/1</v>
      </c>
      <c r="C24" s="67" t="str">
        <f>COLORES!A4</f>
        <v>Negro</v>
      </c>
      <c r="D24" s="67" t="str">
        <f>COLORES!B4</f>
        <v>OSCURO</v>
      </c>
      <c r="E24" s="100">
        <f>IFERROR(SUMIFS(MOVIMIENTOS!$F$4:$F$1000,MOVIMIENTOS!$C$4:$C$1000,A24,MOVIMIENTOS!$D$4:$D$1000,B24,MOVIMIENTOS!$E$4:$E$1000,C24,MOVIMIENTOS!$B$4:$B$1000,"INGRESO")+SUMIFS(MOVIMIENTOS!$F$4:$F$1000,MOVIMIENTOS!$C$4:$C$1000,A24,MOVIMIENTOS!$D$4:$D$1000,B24,MOVIMIENTOS!$E$4:$E$1000,C24,MOVIMIENTOS!$B$4:$B$1000,"DE REPROCESO")+SUMIFS(MOVIMIENTOS!$F$4:$F$1000,MOVIMIENTOS!$C$4:$C$1000,A24,MOVIMIENTOS!$D$4:$D$1000,B24,MOVIMIENTOS!$E$4:$E$1000,C24,MOVIMIENTOS!$B$4:$B$1000,"AJUSTE+")-SUMIFS(MOVIMIENTOS!$F$4:$F$1000,MOVIMIENTOS!$C$4:$C$1000,A24,MOVIMIENTOS!$D$4:$D$1000,B24,MOVIMIENTOS!$E$4:$E$1000,C24,MOVIMIENTOS!$B$4:$B$1000,"A CORTE")-SUMIFS(MOVIMIENTOS!$F$4:$F$1000,MOVIMIENTOS!$C$4:$C$1000,A24,MOVIMIENTOS!$D$4:$D$1000,B24,MOVIMIENTOS!$E$4:$E$1000,C24,MOVIMIENTOS!$B$4:$B$1000,"A REPROCESO")-SUMIFS(MOVIMIENTOS!$F$4:$F$1000,MOVIMIENTOS!$C$4:$C$1000,A24,MOVIMIENTOS!$D$4:$D$1000,B24,MOVIMIENTOS!$E$4:$E$1000,C24,MOVIMIENTOS!$B$4:$B$1000,"MUESTRA")-SUMIFS(MOVIMIENTOS!$F$4:$F$1000,MOVIMIENTOS!$C$4:$C$1000,A24,MOVIMIENTOS!$D$4:$D$1000,B24,MOVIMIENTOS!$E$4:$E$1000,C24,MOVIMIENTOS!$B$4:$B$1000,"AJUSTE-"),0)</f>
        <v>28</v>
      </c>
      <c r="F24" s="101">
        <f>IFERROR(E24*VLOOKUP(B24,TELAS!$A$4:$C$32,3,FALSE()),0)</f>
        <v>560</v>
      </c>
      <c r="G24" s="102">
        <f>IFERROR(IF(D24="OSCURO",VLOOKUP(B24,PRECIOS!$A$4:$F$32,2,FALSE()),IF(D24="CLARO",VLOOKUP(B24,PRECIOS!$A$4:$F$32,3,FALSE()),IF(D24="MELANGE",VLOOKUP(B24,PRECIOS!$A$4:$F$32,4,FALSE()),IF(D24="PPT",VLOOKUP(B24,PRECIOS!$A$4:$F$32,5,FALSE()),0)))),0)</f>
        <v>24</v>
      </c>
      <c r="H24" s="103">
        <f t="shared" si="1"/>
        <v>13440</v>
      </c>
      <c r="I24" s="104" t="str">
        <f>IF(E24&lt;0,"ERROR",IF(E24=0,"",IF(E24&lt;CONFIG!$B$4,"CRÍTICO",IF(E24&lt;CONFIG!$B$5,"BAJO","OK"))))</f>
        <v>OK</v>
      </c>
    </row>
    <row r="25" ht="15.75" customHeight="1">
      <c r="A25" s="90" t="str">
        <f>IF(CLIENTES!A4="","",CLIENTES!A4)</f>
        <v>OverShark</v>
      </c>
      <c r="B25" s="67" t="str">
        <f>TELAS!A5</f>
        <v>pique 30/1</v>
      </c>
      <c r="C25" s="67" t="str">
        <f>COLORES!A5</f>
        <v>Perla</v>
      </c>
      <c r="D25" s="67" t="str">
        <f>COLORES!B5</f>
        <v>PPT</v>
      </c>
      <c r="E25" s="100">
        <f>IFERROR(SUMIFS(MOVIMIENTOS!$F$4:$F$1000,MOVIMIENTOS!$C$4:$C$1000,A25,MOVIMIENTOS!$D$4:$D$1000,B25,MOVIMIENTOS!$E$4:$E$1000,C25,MOVIMIENTOS!$B$4:$B$1000,"INGRESO")+SUMIFS(MOVIMIENTOS!$F$4:$F$1000,MOVIMIENTOS!$C$4:$C$1000,A25,MOVIMIENTOS!$D$4:$D$1000,B25,MOVIMIENTOS!$E$4:$E$1000,C25,MOVIMIENTOS!$B$4:$B$1000,"DE REPROCESO")+SUMIFS(MOVIMIENTOS!$F$4:$F$1000,MOVIMIENTOS!$C$4:$C$1000,A25,MOVIMIENTOS!$D$4:$D$1000,B25,MOVIMIENTOS!$E$4:$E$1000,C25,MOVIMIENTOS!$B$4:$B$1000,"AJUSTE+")-SUMIFS(MOVIMIENTOS!$F$4:$F$1000,MOVIMIENTOS!$C$4:$C$1000,A25,MOVIMIENTOS!$D$4:$D$1000,B25,MOVIMIENTOS!$E$4:$E$1000,C25,MOVIMIENTOS!$B$4:$B$1000,"A CORTE")-SUMIFS(MOVIMIENTOS!$F$4:$F$1000,MOVIMIENTOS!$C$4:$C$1000,A25,MOVIMIENTOS!$D$4:$D$1000,B25,MOVIMIENTOS!$E$4:$E$1000,C25,MOVIMIENTOS!$B$4:$B$1000,"A REPROCESO")-SUMIFS(MOVIMIENTOS!$F$4:$F$1000,MOVIMIENTOS!$C$4:$C$1000,A25,MOVIMIENTOS!$D$4:$D$1000,B25,MOVIMIENTOS!$E$4:$E$1000,C25,MOVIMIENTOS!$B$4:$B$1000,"MUESTRA")-SUMIFS(MOVIMIENTOS!$F$4:$F$1000,MOVIMIENTOS!$C$4:$C$1000,A25,MOVIMIENTOS!$D$4:$D$1000,B25,MOVIMIENTOS!$E$4:$E$1000,C25,MOVIMIENTOS!$B$4:$B$1000,"AJUSTE-"),0)</f>
        <v>23</v>
      </c>
      <c r="F25" s="101">
        <f>IFERROR(E25*VLOOKUP(B25,TELAS!$A$4:$C$32,3,FALSE()),0)</f>
        <v>460</v>
      </c>
      <c r="G25" s="102">
        <f>IFERROR(IF(D25="OSCURO",VLOOKUP(B25,PRECIOS!$A$4:$F$32,2,FALSE()),IF(D25="CLARO",VLOOKUP(B25,PRECIOS!$A$4:$F$32,3,FALSE()),IF(D25="MELANGE",VLOOKUP(B25,PRECIOS!$A$4:$F$32,4,FALSE()),IF(D25="PPT",VLOOKUP(B25,PRECIOS!$A$4:$F$32,5,FALSE()),0)))),0)</f>
        <v>18</v>
      </c>
      <c r="H25" s="103">
        <f t="shared" si="1"/>
        <v>8280</v>
      </c>
      <c r="I25" s="104" t="str">
        <f>IF(E25&lt;0,"ERROR",IF(E25=0,"",IF(E25&lt;CONFIG!$B$4,"CRÍTICO",IF(E25&lt;CONFIG!$B$5,"BAJO","OK"))))</f>
        <v>OK</v>
      </c>
    </row>
    <row r="26" ht="15.75" customHeight="1">
      <c r="A26" s="90" t="str">
        <f>IF(CLIENTES!A4="","",CLIENTES!A4)</f>
        <v>OverShark</v>
      </c>
      <c r="B26" s="67" t="str">
        <f>TELAS!A5</f>
        <v>pique 30/1</v>
      </c>
      <c r="C26" s="67" t="str">
        <f>COLORES!A6</f>
        <v>Blanco</v>
      </c>
      <c r="D26" s="67" t="str">
        <f>COLORES!B6</f>
        <v>PPT</v>
      </c>
      <c r="E26" s="100">
        <f>IFERROR(SUMIFS(MOVIMIENTOS!$F$4:$F$1000,MOVIMIENTOS!$C$4:$C$1000,A26,MOVIMIENTOS!$D$4:$D$1000,B26,MOVIMIENTOS!$E$4:$E$1000,C26,MOVIMIENTOS!$B$4:$B$1000,"INGRESO")+SUMIFS(MOVIMIENTOS!$F$4:$F$1000,MOVIMIENTOS!$C$4:$C$1000,A26,MOVIMIENTOS!$D$4:$D$1000,B26,MOVIMIENTOS!$E$4:$E$1000,C26,MOVIMIENTOS!$B$4:$B$1000,"DE REPROCESO")+SUMIFS(MOVIMIENTOS!$F$4:$F$1000,MOVIMIENTOS!$C$4:$C$1000,A26,MOVIMIENTOS!$D$4:$D$1000,B26,MOVIMIENTOS!$E$4:$E$1000,C26,MOVIMIENTOS!$B$4:$B$1000,"AJUSTE+")-SUMIFS(MOVIMIENTOS!$F$4:$F$1000,MOVIMIENTOS!$C$4:$C$1000,A26,MOVIMIENTOS!$D$4:$D$1000,B26,MOVIMIENTOS!$E$4:$E$1000,C26,MOVIMIENTOS!$B$4:$B$1000,"A CORTE")-SUMIFS(MOVIMIENTOS!$F$4:$F$1000,MOVIMIENTOS!$C$4:$C$1000,A26,MOVIMIENTOS!$D$4:$D$1000,B26,MOVIMIENTOS!$E$4:$E$1000,C26,MOVIMIENTOS!$B$4:$B$1000,"A REPROCESO")-SUMIFS(MOVIMIENTOS!$F$4:$F$1000,MOVIMIENTOS!$C$4:$C$1000,A26,MOVIMIENTOS!$D$4:$D$1000,B26,MOVIMIENTOS!$E$4:$E$1000,C26,MOVIMIENTOS!$B$4:$B$1000,"MUESTRA")-SUMIFS(MOVIMIENTOS!$F$4:$F$1000,MOVIMIENTOS!$C$4:$C$1000,A26,MOVIMIENTOS!$D$4:$D$1000,B26,MOVIMIENTOS!$E$4:$E$1000,C26,MOVIMIENTOS!$B$4:$B$1000,"AJUSTE-"),0)</f>
        <v>0</v>
      </c>
      <c r="F26" s="101">
        <f>IFERROR(E26*VLOOKUP(B26,TELAS!$A$4:$C$32,3,FALSE()),0)</f>
        <v>0</v>
      </c>
      <c r="G26" s="102">
        <f>IFERROR(IF(D26="OSCURO",VLOOKUP(B26,PRECIOS!$A$4:$F$32,2,FALSE()),IF(D26="CLARO",VLOOKUP(B26,PRECIOS!$A$4:$F$32,3,FALSE()),IF(D26="MELANGE",VLOOKUP(B26,PRECIOS!$A$4:$F$32,4,FALSE()),IF(D26="PPT",VLOOKUP(B26,PRECIOS!$A$4:$F$32,5,FALSE()),0)))),0)</f>
        <v>18</v>
      </c>
      <c r="H26" s="103">
        <f t="shared" si="1"/>
        <v>0</v>
      </c>
      <c r="I26" s="104" t="str">
        <f>IF(E26&lt;0,"ERROR",IF(E26=0,"",IF(E26&lt;CONFIG!$B$4,"CRÍTICO",IF(E26&lt;CONFIG!$B$5,"BAJO","OK"))))</f>
        <v/>
      </c>
    </row>
    <row r="27" ht="15.75" customHeight="1">
      <c r="A27" s="90" t="str">
        <f>IF(CLIENTES!A4="","",CLIENTES!A4)</f>
        <v>OverShark</v>
      </c>
      <c r="B27" s="67" t="str">
        <f>TELAS!A5</f>
        <v>pique 30/1</v>
      </c>
      <c r="C27" s="67" t="str">
        <f>COLORES!A7</f>
        <v>Azul</v>
      </c>
      <c r="D27" s="67" t="str">
        <f>COLORES!B7</f>
        <v>OSCURO</v>
      </c>
      <c r="E27" s="100">
        <f>IFERROR(SUMIFS(MOVIMIENTOS!$F$4:$F$1000,MOVIMIENTOS!$C$4:$C$1000,A27,MOVIMIENTOS!$D$4:$D$1000,B27,MOVIMIENTOS!$E$4:$E$1000,C27,MOVIMIENTOS!$B$4:$B$1000,"INGRESO")+SUMIFS(MOVIMIENTOS!$F$4:$F$1000,MOVIMIENTOS!$C$4:$C$1000,A27,MOVIMIENTOS!$D$4:$D$1000,B27,MOVIMIENTOS!$E$4:$E$1000,C27,MOVIMIENTOS!$B$4:$B$1000,"DE REPROCESO")+SUMIFS(MOVIMIENTOS!$F$4:$F$1000,MOVIMIENTOS!$C$4:$C$1000,A27,MOVIMIENTOS!$D$4:$D$1000,B27,MOVIMIENTOS!$E$4:$E$1000,C27,MOVIMIENTOS!$B$4:$B$1000,"AJUSTE+")-SUMIFS(MOVIMIENTOS!$F$4:$F$1000,MOVIMIENTOS!$C$4:$C$1000,A27,MOVIMIENTOS!$D$4:$D$1000,B27,MOVIMIENTOS!$E$4:$E$1000,C27,MOVIMIENTOS!$B$4:$B$1000,"A CORTE")-SUMIFS(MOVIMIENTOS!$F$4:$F$1000,MOVIMIENTOS!$C$4:$C$1000,A27,MOVIMIENTOS!$D$4:$D$1000,B27,MOVIMIENTOS!$E$4:$E$1000,C27,MOVIMIENTOS!$B$4:$B$1000,"A REPROCESO")-SUMIFS(MOVIMIENTOS!$F$4:$F$1000,MOVIMIENTOS!$C$4:$C$1000,A27,MOVIMIENTOS!$D$4:$D$1000,B27,MOVIMIENTOS!$E$4:$E$1000,C27,MOVIMIENTOS!$B$4:$B$1000,"MUESTRA")-SUMIFS(MOVIMIENTOS!$F$4:$F$1000,MOVIMIENTOS!$C$4:$C$1000,A27,MOVIMIENTOS!$D$4:$D$1000,B27,MOVIMIENTOS!$E$4:$E$1000,C27,MOVIMIENTOS!$B$4:$B$1000,"AJUSTE-"),0)</f>
        <v>13</v>
      </c>
      <c r="F27" s="101">
        <f>IFERROR(E27*VLOOKUP(B27,TELAS!$A$4:$C$32,3,FALSE()),0)</f>
        <v>260</v>
      </c>
      <c r="G27" s="102">
        <f>IFERROR(IF(D27="OSCURO",VLOOKUP(B27,PRECIOS!$A$4:$F$32,2,FALSE()),IF(D27="CLARO",VLOOKUP(B27,PRECIOS!$A$4:$F$32,3,FALSE()),IF(D27="MELANGE",VLOOKUP(B27,PRECIOS!$A$4:$F$32,4,FALSE()),IF(D27="PPT",VLOOKUP(B27,PRECIOS!$A$4:$F$32,5,FALSE()),0)))),0)</f>
        <v>24</v>
      </c>
      <c r="H27" s="103">
        <f t="shared" si="1"/>
        <v>6240</v>
      </c>
      <c r="I27" s="104" t="str">
        <f>IF(E27&lt;0,"ERROR",IF(E27=0,"",IF(E27&lt;CONFIG!$B$4,"CRÍTICO",IF(E27&lt;CONFIG!$B$5,"BAJO","OK"))))</f>
        <v>BAJO</v>
      </c>
    </row>
    <row r="28" ht="15.75" customHeight="1">
      <c r="A28" s="90" t="str">
        <f>IF(CLIENTES!A4="","",CLIENTES!A4)</f>
        <v>OverShark</v>
      </c>
      <c r="B28" s="67" t="str">
        <f>TELAS!A5</f>
        <v>pique 30/1</v>
      </c>
      <c r="C28" s="67" t="str">
        <f>COLORES!A8</f>
        <v>Beige</v>
      </c>
      <c r="D28" s="67" t="str">
        <f>COLORES!B8</f>
        <v>CLARO</v>
      </c>
      <c r="E28" s="100">
        <f>IFERROR(SUMIFS(MOVIMIENTOS!$F$4:$F$1000,MOVIMIENTOS!$C$4:$C$1000,A28,MOVIMIENTOS!$D$4:$D$1000,B28,MOVIMIENTOS!$E$4:$E$1000,C28,MOVIMIENTOS!$B$4:$B$1000,"INGRESO")+SUMIFS(MOVIMIENTOS!$F$4:$F$1000,MOVIMIENTOS!$C$4:$C$1000,A28,MOVIMIENTOS!$D$4:$D$1000,B28,MOVIMIENTOS!$E$4:$E$1000,C28,MOVIMIENTOS!$B$4:$B$1000,"DE REPROCESO")+SUMIFS(MOVIMIENTOS!$F$4:$F$1000,MOVIMIENTOS!$C$4:$C$1000,A28,MOVIMIENTOS!$D$4:$D$1000,B28,MOVIMIENTOS!$E$4:$E$1000,C28,MOVIMIENTOS!$B$4:$B$1000,"AJUSTE+")-SUMIFS(MOVIMIENTOS!$F$4:$F$1000,MOVIMIENTOS!$C$4:$C$1000,A28,MOVIMIENTOS!$D$4:$D$1000,B28,MOVIMIENTOS!$E$4:$E$1000,C28,MOVIMIENTOS!$B$4:$B$1000,"A CORTE")-SUMIFS(MOVIMIENTOS!$F$4:$F$1000,MOVIMIENTOS!$C$4:$C$1000,A28,MOVIMIENTOS!$D$4:$D$1000,B28,MOVIMIENTOS!$E$4:$E$1000,C28,MOVIMIENTOS!$B$4:$B$1000,"A REPROCESO")-SUMIFS(MOVIMIENTOS!$F$4:$F$1000,MOVIMIENTOS!$C$4:$C$1000,A28,MOVIMIENTOS!$D$4:$D$1000,B28,MOVIMIENTOS!$E$4:$E$1000,C28,MOVIMIENTOS!$B$4:$B$1000,"MUESTRA")-SUMIFS(MOVIMIENTOS!$F$4:$F$1000,MOVIMIENTOS!$C$4:$C$1000,A28,MOVIMIENTOS!$D$4:$D$1000,B28,MOVIMIENTOS!$E$4:$E$1000,C28,MOVIMIENTOS!$B$4:$B$1000,"AJUSTE-"),0)</f>
        <v>0</v>
      </c>
      <c r="F28" s="101">
        <f>IFERROR(E28*VLOOKUP(B28,TELAS!$A$4:$C$32,3,FALSE()),0)</f>
        <v>0</v>
      </c>
      <c r="G28" s="102">
        <f>IFERROR(IF(D28="OSCURO",VLOOKUP(B28,PRECIOS!$A$4:$F$32,2,FALSE()),IF(D28="CLARO",VLOOKUP(B28,PRECIOS!$A$4:$F$32,3,FALSE()),IF(D28="MELANGE",VLOOKUP(B28,PRECIOS!$A$4:$F$32,4,FALSE()),IF(D28="PPT",VLOOKUP(B28,PRECIOS!$A$4:$F$32,5,FALSE()),0)))),0)</f>
        <v>21</v>
      </c>
      <c r="H28" s="103">
        <f t="shared" si="1"/>
        <v>0</v>
      </c>
      <c r="I28" s="104" t="str">
        <f>IF(E28&lt;0,"ERROR",IF(E28=0,"",IF(E28&lt;CONFIG!$B$4,"CRÍTICO",IF(E28&lt;CONFIG!$B$5,"BAJO","OK"))))</f>
        <v/>
      </c>
    </row>
    <row r="29" ht="15.75" customHeight="1">
      <c r="A29" s="90" t="str">
        <f>IF(CLIENTES!A4="","",CLIENTES!A4)</f>
        <v>OverShark</v>
      </c>
      <c r="B29" s="67" t="str">
        <f>TELAS!A5</f>
        <v>pique 30/1</v>
      </c>
      <c r="C29" s="67" t="str">
        <f>COLORES!A9</f>
        <v>Melange</v>
      </c>
      <c r="D29" s="67" t="str">
        <f>COLORES!B9</f>
        <v>MELANGE</v>
      </c>
      <c r="E29" s="100">
        <f>IFERROR(SUMIFS(MOVIMIENTOS!$F$4:$F$1000,MOVIMIENTOS!$C$4:$C$1000,A29,MOVIMIENTOS!$D$4:$D$1000,B29,MOVIMIENTOS!$E$4:$E$1000,C29,MOVIMIENTOS!$B$4:$B$1000,"INGRESO")+SUMIFS(MOVIMIENTOS!$F$4:$F$1000,MOVIMIENTOS!$C$4:$C$1000,A29,MOVIMIENTOS!$D$4:$D$1000,B29,MOVIMIENTOS!$E$4:$E$1000,C29,MOVIMIENTOS!$B$4:$B$1000,"DE REPROCESO")+SUMIFS(MOVIMIENTOS!$F$4:$F$1000,MOVIMIENTOS!$C$4:$C$1000,A29,MOVIMIENTOS!$D$4:$D$1000,B29,MOVIMIENTOS!$E$4:$E$1000,C29,MOVIMIENTOS!$B$4:$B$1000,"AJUSTE+")-SUMIFS(MOVIMIENTOS!$F$4:$F$1000,MOVIMIENTOS!$C$4:$C$1000,A29,MOVIMIENTOS!$D$4:$D$1000,B29,MOVIMIENTOS!$E$4:$E$1000,C29,MOVIMIENTOS!$B$4:$B$1000,"A CORTE")-SUMIFS(MOVIMIENTOS!$F$4:$F$1000,MOVIMIENTOS!$C$4:$C$1000,A29,MOVIMIENTOS!$D$4:$D$1000,B29,MOVIMIENTOS!$E$4:$E$1000,C29,MOVIMIENTOS!$B$4:$B$1000,"A REPROCESO")-SUMIFS(MOVIMIENTOS!$F$4:$F$1000,MOVIMIENTOS!$C$4:$C$1000,A29,MOVIMIENTOS!$D$4:$D$1000,B29,MOVIMIENTOS!$E$4:$E$1000,C29,MOVIMIENTOS!$B$4:$B$1000,"MUESTRA")-SUMIFS(MOVIMIENTOS!$F$4:$F$1000,MOVIMIENTOS!$C$4:$C$1000,A29,MOVIMIENTOS!$D$4:$D$1000,B29,MOVIMIENTOS!$E$4:$E$1000,C29,MOVIMIENTOS!$B$4:$B$1000,"AJUSTE-"),0)</f>
        <v>3</v>
      </c>
      <c r="F29" s="101">
        <f>IFERROR(E29*VLOOKUP(B29,TELAS!$A$4:$C$32,3,FALSE()),0)</f>
        <v>60</v>
      </c>
      <c r="G29" s="102">
        <f>IFERROR(IF(D29="OSCURO",VLOOKUP(B29,PRECIOS!$A$4:$F$32,2,FALSE()),IF(D29="CLARO",VLOOKUP(B29,PRECIOS!$A$4:$F$32,3,FALSE()),IF(D29="MELANGE",VLOOKUP(B29,PRECIOS!$A$4:$F$32,4,FALSE()),IF(D29="PPT",VLOOKUP(B29,PRECIOS!$A$4:$F$32,5,FALSE()),0)))),0)</f>
        <v>18</v>
      </c>
      <c r="H29" s="103">
        <f t="shared" si="1"/>
        <v>1080</v>
      </c>
      <c r="I29" s="104" t="str">
        <f>IF(E29&lt;0,"ERROR",IF(E29=0,"",IF(E29&lt;CONFIG!$B$4,"CRÍTICO",IF(E29&lt;CONFIG!$B$5,"BAJO","OK"))))</f>
        <v>CRÍTICO</v>
      </c>
    </row>
    <row r="30" ht="15.75" customHeight="1">
      <c r="A30" s="90" t="str">
        <f>IF(CLIENTES!A4="","",CLIENTES!A4)</f>
        <v>OverShark</v>
      </c>
      <c r="B30" s="67" t="str">
        <f>TELAS!A5</f>
        <v>pique 30/1</v>
      </c>
      <c r="C30" s="67" t="str">
        <f>COLORES!A10</f>
        <v>Botella</v>
      </c>
      <c r="D30" s="67" t="str">
        <f>COLORES!B10</f>
        <v>OSCURO</v>
      </c>
      <c r="E30" s="100">
        <f>IFERROR(SUMIFS(MOVIMIENTOS!$F$4:$F$1000,MOVIMIENTOS!$C$4:$C$1000,A30,MOVIMIENTOS!$D$4:$D$1000,B30,MOVIMIENTOS!$E$4:$E$1000,C30,MOVIMIENTOS!$B$4:$B$1000,"INGRESO")+SUMIFS(MOVIMIENTOS!$F$4:$F$1000,MOVIMIENTOS!$C$4:$C$1000,A30,MOVIMIENTOS!$D$4:$D$1000,B30,MOVIMIENTOS!$E$4:$E$1000,C30,MOVIMIENTOS!$B$4:$B$1000,"DE REPROCESO")+SUMIFS(MOVIMIENTOS!$F$4:$F$1000,MOVIMIENTOS!$C$4:$C$1000,A30,MOVIMIENTOS!$D$4:$D$1000,B30,MOVIMIENTOS!$E$4:$E$1000,C30,MOVIMIENTOS!$B$4:$B$1000,"AJUSTE+")-SUMIFS(MOVIMIENTOS!$F$4:$F$1000,MOVIMIENTOS!$C$4:$C$1000,A30,MOVIMIENTOS!$D$4:$D$1000,B30,MOVIMIENTOS!$E$4:$E$1000,C30,MOVIMIENTOS!$B$4:$B$1000,"A CORTE")-SUMIFS(MOVIMIENTOS!$F$4:$F$1000,MOVIMIENTOS!$C$4:$C$1000,A30,MOVIMIENTOS!$D$4:$D$1000,B30,MOVIMIENTOS!$E$4:$E$1000,C30,MOVIMIENTOS!$B$4:$B$1000,"A REPROCESO")-SUMIFS(MOVIMIENTOS!$F$4:$F$1000,MOVIMIENTOS!$C$4:$C$1000,A30,MOVIMIENTOS!$D$4:$D$1000,B30,MOVIMIENTOS!$E$4:$E$1000,C30,MOVIMIENTOS!$B$4:$B$1000,"MUESTRA")-SUMIFS(MOVIMIENTOS!$F$4:$F$1000,MOVIMIENTOS!$C$4:$C$1000,A30,MOVIMIENTOS!$D$4:$D$1000,B30,MOVIMIENTOS!$E$4:$E$1000,C30,MOVIMIENTOS!$B$4:$B$1000,"AJUSTE-"),0)</f>
        <v>0</v>
      </c>
      <c r="F30" s="101">
        <f>IFERROR(E30*VLOOKUP(B30,TELAS!$A$4:$C$32,3,FALSE()),0)</f>
        <v>0</v>
      </c>
      <c r="G30" s="102">
        <f>IFERROR(IF(D30="OSCURO",VLOOKUP(B30,PRECIOS!$A$4:$F$32,2,FALSE()),IF(D30="CLARO",VLOOKUP(B30,PRECIOS!$A$4:$F$32,3,FALSE()),IF(D30="MELANGE",VLOOKUP(B30,PRECIOS!$A$4:$F$32,4,FALSE()),IF(D30="PPT",VLOOKUP(B30,PRECIOS!$A$4:$F$32,5,FALSE()),0)))),0)</f>
        <v>24</v>
      </c>
      <c r="H30" s="103">
        <f t="shared" si="1"/>
        <v>0</v>
      </c>
      <c r="I30" s="104" t="str">
        <f>IF(E30&lt;0,"ERROR",IF(E30=0,"",IF(E30&lt;CONFIG!$B$4,"CRÍTICO",IF(E30&lt;CONFIG!$B$5,"BAJO","OK"))))</f>
        <v/>
      </c>
    </row>
    <row r="31" ht="15.75" customHeight="1">
      <c r="A31" s="90" t="str">
        <f>IF(CLIENTES!A4="","",CLIENTES!A4)</f>
        <v>OverShark</v>
      </c>
      <c r="B31" s="67" t="str">
        <f>TELAS!A5</f>
        <v>pique 30/1</v>
      </c>
      <c r="C31" s="67" t="str">
        <f>COLORES!A11</f>
        <v>Pacay</v>
      </c>
      <c r="D31" s="67" t="str">
        <f>COLORES!B11</f>
        <v>CLARO</v>
      </c>
      <c r="E31" s="100">
        <f>IFERROR(SUMIFS(MOVIMIENTOS!$F$4:$F$1000,MOVIMIENTOS!$C$4:$C$1000,A31,MOVIMIENTOS!$D$4:$D$1000,B31,MOVIMIENTOS!$E$4:$E$1000,C31,MOVIMIENTOS!$B$4:$B$1000,"INGRESO")+SUMIFS(MOVIMIENTOS!$F$4:$F$1000,MOVIMIENTOS!$C$4:$C$1000,A31,MOVIMIENTOS!$D$4:$D$1000,B31,MOVIMIENTOS!$E$4:$E$1000,C31,MOVIMIENTOS!$B$4:$B$1000,"DE REPROCESO")+SUMIFS(MOVIMIENTOS!$F$4:$F$1000,MOVIMIENTOS!$C$4:$C$1000,A31,MOVIMIENTOS!$D$4:$D$1000,B31,MOVIMIENTOS!$E$4:$E$1000,C31,MOVIMIENTOS!$B$4:$B$1000,"AJUSTE+")-SUMIFS(MOVIMIENTOS!$F$4:$F$1000,MOVIMIENTOS!$C$4:$C$1000,A31,MOVIMIENTOS!$D$4:$D$1000,B31,MOVIMIENTOS!$E$4:$E$1000,C31,MOVIMIENTOS!$B$4:$B$1000,"A CORTE")-SUMIFS(MOVIMIENTOS!$F$4:$F$1000,MOVIMIENTOS!$C$4:$C$1000,A31,MOVIMIENTOS!$D$4:$D$1000,B31,MOVIMIENTOS!$E$4:$E$1000,C31,MOVIMIENTOS!$B$4:$B$1000,"A REPROCESO")-SUMIFS(MOVIMIENTOS!$F$4:$F$1000,MOVIMIENTOS!$C$4:$C$1000,A31,MOVIMIENTOS!$D$4:$D$1000,B31,MOVIMIENTOS!$E$4:$E$1000,C31,MOVIMIENTOS!$B$4:$B$1000,"MUESTRA")-SUMIFS(MOVIMIENTOS!$F$4:$F$1000,MOVIMIENTOS!$C$4:$C$1000,A31,MOVIMIENTOS!$D$4:$D$1000,B31,MOVIMIENTOS!$E$4:$E$1000,C31,MOVIMIENTOS!$B$4:$B$1000,"AJUSTE-"),0)</f>
        <v>7</v>
      </c>
      <c r="F31" s="101">
        <f>IFERROR(E31*VLOOKUP(B31,TELAS!$A$4:$C$32,3,FALSE()),0)</f>
        <v>140</v>
      </c>
      <c r="G31" s="102">
        <f>IFERROR(IF(D31="OSCURO",VLOOKUP(B31,PRECIOS!$A$4:$F$32,2,FALSE()),IF(D31="CLARO",VLOOKUP(B31,PRECIOS!$A$4:$F$32,3,FALSE()),IF(D31="MELANGE",VLOOKUP(B31,PRECIOS!$A$4:$F$32,4,FALSE()),IF(D31="PPT",VLOOKUP(B31,PRECIOS!$A$4:$F$32,5,FALSE()),0)))),0)</f>
        <v>21</v>
      </c>
      <c r="H31" s="103">
        <f t="shared" si="1"/>
        <v>2940</v>
      </c>
      <c r="I31" s="104" t="str">
        <f>IF(E31&lt;0,"ERROR",IF(E31=0,"",IF(E31&lt;CONFIG!$B$4,"CRÍTICO",IF(E31&lt;CONFIG!$B$5,"BAJO","OK"))))</f>
        <v>BAJO</v>
      </c>
    </row>
    <row r="32" ht="15.75" customHeight="1">
      <c r="A32" s="90" t="str">
        <f>IF(CLIENTES!A4="","",CLIENTES!A4)</f>
        <v>OverShark</v>
      </c>
      <c r="B32" s="67" t="str">
        <f>TELAS!A5</f>
        <v>pique 30/1</v>
      </c>
      <c r="C32" s="67" t="str">
        <f>COLORES!A12</f>
        <v>Cemento</v>
      </c>
      <c r="D32" s="67" t="str">
        <f>COLORES!B12</f>
        <v>CLARO</v>
      </c>
      <c r="E32" s="100">
        <f>IFERROR(SUMIFS(MOVIMIENTOS!$F$4:$F$1000,MOVIMIENTOS!$C$4:$C$1000,A32,MOVIMIENTOS!$D$4:$D$1000,B32,MOVIMIENTOS!$E$4:$E$1000,C32,MOVIMIENTOS!$B$4:$B$1000,"INGRESO")+SUMIFS(MOVIMIENTOS!$F$4:$F$1000,MOVIMIENTOS!$C$4:$C$1000,A32,MOVIMIENTOS!$D$4:$D$1000,B32,MOVIMIENTOS!$E$4:$E$1000,C32,MOVIMIENTOS!$B$4:$B$1000,"DE REPROCESO")+SUMIFS(MOVIMIENTOS!$F$4:$F$1000,MOVIMIENTOS!$C$4:$C$1000,A32,MOVIMIENTOS!$D$4:$D$1000,B32,MOVIMIENTOS!$E$4:$E$1000,C32,MOVIMIENTOS!$B$4:$B$1000,"AJUSTE+")-SUMIFS(MOVIMIENTOS!$F$4:$F$1000,MOVIMIENTOS!$C$4:$C$1000,A32,MOVIMIENTOS!$D$4:$D$1000,B32,MOVIMIENTOS!$E$4:$E$1000,C32,MOVIMIENTOS!$B$4:$B$1000,"A CORTE")-SUMIFS(MOVIMIENTOS!$F$4:$F$1000,MOVIMIENTOS!$C$4:$C$1000,A32,MOVIMIENTOS!$D$4:$D$1000,B32,MOVIMIENTOS!$E$4:$E$1000,C32,MOVIMIENTOS!$B$4:$B$1000,"A REPROCESO")-SUMIFS(MOVIMIENTOS!$F$4:$F$1000,MOVIMIENTOS!$C$4:$C$1000,A32,MOVIMIENTOS!$D$4:$D$1000,B32,MOVIMIENTOS!$E$4:$E$1000,C32,MOVIMIENTOS!$B$4:$B$1000,"MUESTRA")-SUMIFS(MOVIMIENTOS!$F$4:$F$1000,MOVIMIENTOS!$C$4:$C$1000,A32,MOVIMIENTOS!$D$4:$D$1000,B32,MOVIMIENTOS!$E$4:$E$1000,C32,MOVIMIENTOS!$B$4:$B$1000,"AJUSTE-"),0)</f>
        <v>3</v>
      </c>
      <c r="F32" s="101">
        <f>IFERROR(E32*VLOOKUP(B32,TELAS!$A$4:$C$32,3,FALSE()),0)</f>
        <v>60</v>
      </c>
      <c r="G32" s="102">
        <f>IFERROR(IF(D32="OSCURO",VLOOKUP(B32,PRECIOS!$A$4:$F$32,2,FALSE()),IF(D32="CLARO",VLOOKUP(B32,PRECIOS!$A$4:$F$32,3,FALSE()),IF(D32="MELANGE",VLOOKUP(B32,PRECIOS!$A$4:$F$32,4,FALSE()),IF(D32="PPT",VLOOKUP(B32,PRECIOS!$A$4:$F$32,5,FALSE()),0)))),0)</f>
        <v>21</v>
      </c>
      <c r="H32" s="103">
        <f t="shared" si="1"/>
        <v>1260</v>
      </c>
      <c r="I32" s="104" t="str">
        <f>IF(E32&lt;0,"ERROR",IF(E32=0,"",IF(E32&lt;CONFIG!$B$4,"CRÍTICO",IF(E32&lt;CONFIG!$B$5,"BAJO","OK"))))</f>
        <v>CRÍTICO</v>
      </c>
    </row>
    <row r="33" ht="15.75" customHeight="1">
      <c r="A33" s="90" t="str">
        <f>IF(CLIENTES!A4="","",CLIENTES!A4)</f>
        <v>OverShark</v>
      </c>
      <c r="B33" s="67" t="str">
        <f>TELAS!A5</f>
        <v>pique 30/1</v>
      </c>
      <c r="C33" s="67" t="str">
        <f>COLORES!A13</f>
        <v>Camote</v>
      </c>
      <c r="D33" s="67" t="str">
        <f>COLORES!B13</f>
        <v>CLARO</v>
      </c>
      <c r="E33" s="100">
        <f>IFERROR(SUMIFS(MOVIMIENTOS!$F$4:$F$1000,MOVIMIENTOS!$C$4:$C$1000,A33,MOVIMIENTOS!$D$4:$D$1000,B33,MOVIMIENTOS!$E$4:$E$1000,C33,MOVIMIENTOS!$B$4:$B$1000,"INGRESO")+SUMIFS(MOVIMIENTOS!$F$4:$F$1000,MOVIMIENTOS!$C$4:$C$1000,A33,MOVIMIENTOS!$D$4:$D$1000,B33,MOVIMIENTOS!$E$4:$E$1000,C33,MOVIMIENTOS!$B$4:$B$1000,"DE REPROCESO")+SUMIFS(MOVIMIENTOS!$F$4:$F$1000,MOVIMIENTOS!$C$4:$C$1000,A33,MOVIMIENTOS!$D$4:$D$1000,B33,MOVIMIENTOS!$E$4:$E$1000,C33,MOVIMIENTOS!$B$4:$B$1000,"AJUSTE+")-SUMIFS(MOVIMIENTOS!$F$4:$F$1000,MOVIMIENTOS!$C$4:$C$1000,A33,MOVIMIENTOS!$D$4:$D$1000,B33,MOVIMIENTOS!$E$4:$E$1000,C33,MOVIMIENTOS!$B$4:$B$1000,"A CORTE")-SUMIFS(MOVIMIENTOS!$F$4:$F$1000,MOVIMIENTOS!$C$4:$C$1000,A33,MOVIMIENTOS!$D$4:$D$1000,B33,MOVIMIENTOS!$E$4:$E$1000,C33,MOVIMIENTOS!$B$4:$B$1000,"A REPROCESO")-SUMIFS(MOVIMIENTOS!$F$4:$F$1000,MOVIMIENTOS!$C$4:$C$1000,A33,MOVIMIENTOS!$D$4:$D$1000,B33,MOVIMIENTOS!$E$4:$E$1000,C33,MOVIMIENTOS!$B$4:$B$1000,"MUESTRA")-SUMIFS(MOVIMIENTOS!$F$4:$F$1000,MOVIMIENTOS!$C$4:$C$1000,A33,MOVIMIENTOS!$D$4:$D$1000,B33,MOVIMIENTOS!$E$4:$E$1000,C33,MOVIMIENTOS!$B$4:$B$1000,"AJUSTE-"),0)</f>
        <v>0</v>
      </c>
      <c r="F33" s="101">
        <f>IFERROR(E33*VLOOKUP(B33,TELAS!$A$4:$C$32,3,FALSE()),0)</f>
        <v>0</v>
      </c>
      <c r="G33" s="102">
        <f>IFERROR(IF(D33="OSCURO",VLOOKUP(B33,PRECIOS!$A$4:$F$32,2,FALSE()),IF(D33="CLARO",VLOOKUP(B33,PRECIOS!$A$4:$F$32,3,FALSE()),IF(D33="MELANGE",VLOOKUP(B33,PRECIOS!$A$4:$F$32,4,FALSE()),IF(D33="PPT",VLOOKUP(B33,PRECIOS!$A$4:$F$32,5,FALSE()),0)))),0)</f>
        <v>21</v>
      </c>
      <c r="H33" s="103">
        <f t="shared" si="1"/>
        <v>0</v>
      </c>
      <c r="I33" s="104" t="str">
        <f>IF(E33&lt;0,"ERROR",IF(E33=0,"",IF(E33&lt;CONFIG!$B$4,"CRÍTICO",IF(E33&lt;CONFIG!$B$5,"BAJO","OK"))))</f>
        <v/>
      </c>
    </row>
    <row r="34" ht="15.75" customHeight="1">
      <c r="A34" s="90" t="str">
        <f>IF(CLIENTES!A4="","",CLIENTES!A4)</f>
        <v>OverShark</v>
      </c>
      <c r="B34" s="67" t="str">
        <f>TELAS!A5</f>
        <v>pique 30/1</v>
      </c>
      <c r="C34" s="67" t="str">
        <f>COLORES!A14</f>
        <v>Denim</v>
      </c>
      <c r="D34" s="67" t="str">
        <f>COLORES!B14</f>
        <v>CLARO</v>
      </c>
      <c r="E34" s="100">
        <f>IFERROR(SUMIFS(MOVIMIENTOS!$F$4:$F$1000,MOVIMIENTOS!$C$4:$C$1000,A34,MOVIMIENTOS!$D$4:$D$1000,B34,MOVIMIENTOS!$E$4:$E$1000,C34,MOVIMIENTOS!$B$4:$B$1000,"INGRESO")+SUMIFS(MOVIMIENTOS!$F$4:$F$1000,MOVIMIENTOS!$C$4:$C$1000,A34,MOVIMIENTOS!$D$4:$D$1000,B34,MOVIMIENTOS!$E$4:$E$1000,C34,MOVIMIENTOS!$B$4:$B$1000,"DE REPROCESO")+SUMIFS(MOVIMIENTOS!$F$4:$F$1000,MOVIMIENTOS!$C$4:$C$1000,A34,MOVIMIENTOS!$D$4:$D$1000,B34,MOVIMIENTOS!$E$4:$E$1000,C34,MOVIMIENTOS!$B$4:$B$1000,"AJUSTE+")-SUMIFS(MOVIMIENTOS!$F$4:$F$1000,MOVIMIENTOS!$C$4:$C$1000,A34,MOVIMIENTOS!$D$4:$D$1000,B34,MOVIMIENTOS!$E$4:$E$1000,C34,MOVIMIENTOS!$B$4:$B$1000,"A CORTE")-SUMIFS(MOVIMIENTOS!$F$4:$F$1000,MOVIMIENTOS!$C$4:$C$1000,A34,MOVIMIENTOS!$D$4:$D$1000,B34,MOVIMIENTOS!$E$4:$E$1000,C34,MOVIMIENTOS!$B$4:$B$1000,"A REPROCESO")-SUMIFS(MOVIMIENTOS!$F$4:$F$1000,MOVIMIENTOS!$C$4:$C$1000,A34,MOVIMIENTOS!$D$4:$D$1000,B34,MOVIMIENTOS!$E$4:$E$1000,C34,MOVIMIENTOS!$B$4:$B$1000,"MUESTRA")-SUMIFS(MOVIMIENTOS!$F$4:$F$1000,MOVIMIENTOS!$C$4:$C$1000,A34,MOVIMIENTOS!$D$4:$D$1000,B34,MOVIMIENTOS!$E$4:$E$1000,C34,MOVIMIENTOS!$B$4:$B$1000,"AJUSTE-"),0)</f>
        <v>5</v>
      </c>
      <c r="F34" s="101">
        <f>IFERROR(E34*VLOOKUP(B34,TELAS!$A$4:$C$32,3,FALSE()),0)</f>
        <v>100</v>
      </c>
      <c r="G34" s="102">
        <f>IFERROR(IF(D34="OSCURO",VLOOKUP(B34,PRECIOS!$A$4:$F$32,2,FALSE()),IF(D34="CLARO",VLOOKUP(B34,PRECIOS!$A$4:$F$32,3,FALSE()),IF(D34="MELANGE",VLOOKUP(B34,PRECIOS!$A$4:$F$32,4,FALSE()),IF(D34="PPT",VLOOKUP(B34,PRECIOS!$A$4:$F$32,5,FALSE()),0)))),0)</f>
        <v>21</v>
      </c>
      <c r="H34" s="103">
        <f t="shared" si="1"/>
        <v>2100</v>
      </c>
      <c r="I34" s="104" t="str">
        <f>IF(E34&lt;0,"ERROR",IF(E34=0,"",IF(E34&lt;CONFIG!$B$4,"CRÍTICO",IF(E34&lt;CONFIG!$B$5,"BAJO","OK"))))</f>
        <v>BAJO</v>
      </c>
    </row>
    <row r="35" ht="15.75" customHeight="1">
      <c r="A35" s="90" t="str">
        <f>IF(CLIENTES!A4="","",CLIENTES!A4)</f>
        <v>OverShark</v>
      </c>
      <c r="B35" s="67" t="str">
        <f>TELAS!A5</f>
        <v>pique 30/1</v>
      </c>
      <c r="C35" s="67" t="str">
        <f>COLORES!A15</f>
        <v>Plomo</v>
      </c>
      <c r="D35" s="67" t="str">
        <f>COLORES!B15</f>
        <v>OSCURO</v>
      </c>
      <c r="E35" s="100">
        <f>IFERROR(SUMIFS(MOVIMIENTOS!$F$4:$F$1000,MOVIMIENTOS!$C$4:$C$1000,A35,MOVIMIENTOS!$D$4:$D$1000,B35,MOVIMIENTOS!$E$4:$E$1000,C35,MOVIMIENTOS!$B$4:$B$1000,"INGRESO")+SUMIFS(MOVIMIENTOS!$F$4:$F$1000,MOVIMIENTOS!$C$4:$C$1000,A35,MOVIMIENTOS!$D$4:$D$1000,B35,MOVIMIENTOS!$E$4:$E$1000,C35,MOVIMIENTOS!$B$4:$B$1000,"DE REPROCESO")+SUMIFS(MOVIMIENTOS!$F$4:$F$1000,MOVIMIENTOS!$C$4:$C$1000,A35,MOVIMIENTOS!$D$4:$D$1000,B35,MOVIMIENTOS!$E$4:$E$1000,C35,MOVIMIENTOS!$B$4:$B$1000,"AJUSTE+")-SUMIFS(MOVIMIENTOS!$F$4:$F$1000,MOVIMIENTOS!$C$4:$C$1000,A35,MOVIMIENTOS!$D$4:$D$1000,B35,MOVIMIENTOS!$E$4:$E$1000,C35,MOVIMIENTOS!$B$4:$B$1000,"A CORTE")-SUMIFS(MOVIMIENTOS!$F$4:$F$1000,MOVIMIENTOS!$C$4:$C$1000,A35,MOVIMIENTOS!$D$4:$D$1000,B35,MOVIMIENTOS!$E$4:$E$1000,C35,MOVIMIENTOS!$B$4:$B$1000,"A REPROCESO")-SUMIFS(MOVIMIENTOS!$F$4:$F$1000,MOVIMIENTOS!$C$4:$C$1000,A35,MOVIMIENTOS!$D$4:$D$1000,B35,MOVIMIENTOS!$E$4:$E$1000,C35,MOVIMIENTOS!$B$4:$B$1000,"MUESTRA")-SUMIFS(MOVIMIENTOS!$F$4:$F$1000,MOVIMIENTOS!$C$4:$C$1000,A35,MOVIMIENTOS!$D$4:$D$1000,B35,MOVIMIENTOS!$E$4:$E$1000,C35,MOVIMIENTOS!$B$4:$B$1000,"AJUSTE-"),0)</f>
        <v>6</v>
      </c>
      <c r="F35" s="101">
        <f>IFERROR(E35*VLOOKUP(B35,TELAS!$A$4:$C$32,3,FALSE()),0)</f>
        <v>120</v>
      </c>
      <c r="G35" s="102">
        <f>IFERROR(IF(D35="OSCURO",VLOOKUP(B35,PRECIOS!$A$4:$F$32,2,FALSE()),IF(D35="CLARO",VLOOKUP(B35,PRECIOS!$A$4:$F$32,3,FALSE()),IF(D35="MELANGE",VLOOKUP(B35,PRECIOS!$A$4:$F$32,4,FALSE()),IF(D35="PPT",VLOOKUP(B35,PRECIOS!$A$4:$F$32,5,FALSE()),0)))),0)</f>
        <v>24</v>
      </c>
      <c r="H35" s="103">
        <f t="shared" si="1"/>
        <v>2880</v>
      </c>
      <c r="I35" s="104" t="str">
        <f>IF(E35&lt;0,"ERROR",IF(E35=0,"",IF(E35&lt;CONFIG!$B$4,"CRÍTICO",IF(E35&lt;CONFIG!$B$5,"BAJO","OK"))))</f>
        <v>BAJO</v>
      </c>
    </row>
    <row r="36" ht="15.75" customHeight="1">
      <c r="A36" s="90" t="str">
        <f>IF(CLIENTES!A4="","",CLIENTES!A4)</f>
        <v>OverShark</v>
      </c>
      <c r="B36" s="67" t="str">
        <f>TELAS!A5</f>
        <v>pique 30/1</v>
      </c>
      <c r="C36" s="67" t="str">
        <f>COLORES!A16</f>
        <v>Topo</v>
      </c>
      <c r="D36" s="67" t="str">
        <f>COLORES!B16</f>
        <v>CLARO</v>
      </c>
      <c r="E36" s="100">
        <f>IFERROR(SUMIFS(MOVIMIENTOS!$F$4:$F$1000,MOVIMIENTOS!$C$4:$C$1000,A36,MOVIMIENTOS!$D$4:$D$1000,B36,MOVIMIENTOS!$E$4:$E$1000,C36,MOVIMIENTOS!$B$4:$B$1000,"INGRESO")+SUMIFS(MOVIMIENTOS!$F$4:$F$1000,MOVIMIENTOS!$C$4:$C$1000,A36,MOVIMIENTOS!$D$4:$D$1000,B36,MOVIMIENTOS!$E$4:$E$1000,C36,MOVIMIENTOS!$B$4:$B$1000,"DE REPROCESO")+SUMIFS(MOVIMIENTOS!$F$4:$F$1000,MOVIMIENTOS!$C$4:$C$1000,A36,MOVIMIENTOS!$D$4:$D$1000,B36,MOVIMIENTOS!$E$4:$E$1000,C36,MOVIMIENTOS!$B$4:$B$1000,"AJUSTE+")-SUMIFS(MOVIMIENTOS!$F$4:$F$1000,MOVIMIENTOS!$C$4:$C$1000,A36,MOVIMIENTOS!$D$4:$D$1000,B36,MOVIMIENTOS!$E$4:$E$1000,C36,MOVIMIENTOS!$B$4:$B$1000,"A CORTE")-SUMIFS(MOVIMIENTOS!$F$4:$F$1000,MOVIMIENTOS!$C$4:$C$1000,A36,MOVIMIENTOS!$D$4:$D$1000,B36,MOVIMIENTOS!$E$4:$E$1000,C36,MOVIMIENTOS!$B$4:$B$1000,"A REPROCESO")-SUMIFS(MOVIMIENTOS!$F$4:$F$1000,MOVIMIENTOS!$C$4:$C$1000,A36,MOVIMIENTOS!$D$4:$D$1000,B36,MOVIMIENTOS!$E$4:$E$1000,C36,MOVIMIENTOS!$B$4:$B$1000,"MUESTRA")-SUMIFS(MOVIMIENTOS!$F$4:$F$1000,MOVIMIENTOS!$C$4:$C$1000,A36,MOVIMIENTOS!$D$4:$D$1000,B36,MOVIMIENTOS!$E$4:$E$1000,C36,MOVIMIENTOS!$B$4:$B$1000,"AJUSTE-"),0)</f>
        <v>0</v>
      </c>
      <c r="F36" s="101">
        <f>IFERROR(E36*VLOOKUP(B36,TELAS!$A$4:$C$32,3,FALSE()),0)</f>
        <v>0</v>
      </c>
      <c r="G36" s="102">
        <f>IFERROR(IF(D36="OSCURO",VLOOKUP(B36,PRECIOS!$A$4:$F$32,2,FALSE()),IF(D36="CLARO",VLOOKUP(B36,PRECIOS!$A$4:$F$32,3,FALSE()),IF(D36="MELANGE",VLOOKUP(B36,PRECIOS!$A$4:$F$32,4,FALSE()),IF(D36="PPT",VLOOKUP(B36,PRECIOS!$A$4:$F$32,5,FALSE()),0)))),0)</f>
        <v>21</v>
      </c>
      <c r="H36" s="103">
        <f t="shared" si="1"/>
        <v>0</v>
      </c>
      <c r="I36" s="104" t="str">
        <f>IF(E36&lt;0,"ERROR",IF(E36=0,"",IF(E36&lt;CONFIG!$B$4,"CRÍTICO",IF(E36&lt;CONFIG!$B$5,"BAJO","OK"))))</f>
        <v/>
      </c>
    </row>
    <row r="37" ht="15.75" customHeight="1">
      <c r="A37" s="90" t="str">
        <f>IF(CLIENTES!A4="","",CLIENTES!A4)</f>
        <v>OverShark</v>
      </c>
      <c r="B37" s="67" t="str">
        <f>TELAS!A5</f>
        <v>pique 30/1</v>
      </c>
      <c r="C37" s="67" t="str">
        <f>COLORES!A17</f>
        <v>Vino</v>
      </c>
      <c r="D37" s="67" t="str">
        <f>COLORES!B17</f>
        <v>OSCURO</v>
      </c>
      <c r="E37" s="100">
        <f>IFERROR(SUMIFS(MOVIMIENTOS!$F$4:$F$1000,MOVIMIENTOS!$C$4:$C$1000,A37,MOVIMIENTOS!$D$4:$D$1000,B37,MOVIMIENTOS!$E$4:$E$1000,C37,MOVIMIENTOS!$B$4:$B$1000,"INGRESO")+SUMIFS(MOVIMIENTOS!$F$4:$F$1000,MOVIMIENTOS!$C$4:$C$1000,A37,MOVIMIENTOS!$D$4:$D$1000,B37,MOVIMIENTOS!$E$4:$E$1000,C37,MOVIMIENTOS!$B$4:$B$1000,"DE REPROCESO")+SUMIFS(MOVIMIENTOS!$F$4:$F$1000,MOVIMIENTOS!$C$4:$C$1000,A37,MOVIMIENTOS!$D$4:$D$1000,B37,MOVIMIENTOS!$E$4:$E$1000,C37,MOVIMIENTOS!$B$4:$B$1000,"AJUSTE+")-SUMIFS(MOVIMIENTOS!$F$4:$F$1000,MOVIMIENTOS!$C$4:$C$1000,A37,MOVIMIENTOS!$D$4:$D$1000,B37,MOVIMIENTOS!$E$4:$E$1000,C37,MOVIMIENTOS!$B$4:$B$1000,"A CORTE")-SUMIFS(MOVIMIENTOS!$F$4:$F$1000,MOVIMIENTOS!$C$4:$C$1000,A37,MOVIMIENTOS!$D$4:$D$1000,B37,MOVIMIENTOS!$E$4:$E$1000,C37,MOVIMIENTOS!$B$4:$B$1000,"A REPROCESO")-SUMIFS(MOVIMIENTOS!$F$4:$F$1000,MOVIMIENTOS!$C$4:$C$1000,A37,MOVIMIENTOS!$D$4:$D$1000,B37,MOVIMIENTOS!$E$4:$E$1000,C37,MOVIMIENTOS!$B$4:$B$1000,"MUESTRA")-SUMIFS(MOVIMIENTOS!$F$4:$F$1000,MOVIMIENTOS!$C$4:$C$1000,A37,MOVIMIENTOS!$D$4:$D$1000,B37,MOVIMIENTOS!$E$4:$E$1000,C37,MOVIMIENTOS!$B$4:$B$1000,"AJUSTE-"),0)</f>
        <v>0</v>
      </c>
      <c r="F37" s="101">
        <f>IFERROR(E37*VLOOKUP(B37,TELAS!$A$4:$C$32,3,FALSE()),0)</f>
        <v>0</v>
      </c>
      <c r="G37" s="102">
        <f>IFERROR(IF(D37="OSCURO",VLOOKUP(B37,PRECIOS!$A$4:$F$32,2,FALSE()),IF(D37="CLARO",VLOOKUP(B37,PRECIOS!$A$4:$F$32,3,FALSE()),IF(D37="MELANGE",VLOOKUP(B37,PRECIOS!$A$4:$F$32,4,FALSE()),IF(D37="PPT",VLOOKUP(B37,PRECIOS!$A$4:$F$32,5,FALSE()),0)))),0)</f>
        <v>24</v>
      </c>
      <c r="H37" s="103">
        <f t="shared" si="1"/>
        <v>0</v>
      </c>
      <c r="I37" s="104" t="str">
        <f>IF(E37&lt;0,"ERROR",IF(E37=0,"",IF(E37&lt;CONFIG!$B$4,"CRÍTICO",IF(E37&lt;CONFIG!$B$5,"BAJO","OK"))))</f>
        <v/>
      </c>
    </row>
    <row r="38" ht="15.75" customHeight="1">
      <c r="A38" s="90" t="str">
        <f>IF(CLIENTES!A4="","",CLIENTES!A4)</f>
        <v>OverShark</v>
      </c>
      <c r="B38" s="67" t="str">
        <f>TELAS!A5</f>
        <v>pique 30/1</v>
      </c>
      <c r="C38" s="67" t="str">
        <f>COLORES!A18</f>
        <v>P. Rosa</v>
      </c>
      <c r="D38" s="67" t="str">
        <f>COLORES!B18</f>
        <v>CLARO</v>
      </c>
      <c r="E38" s="100">
        <f>IFERROR(SUMIFS(MOVIMIENTOS!$F$4:$F$1000,MOVIMIENTOS!$C$4:$C$1000,A38,MOVIMIENTOS!$D$4:$D$1000,B38,MOVIMIENTOS!$E$4:$E$1000,C38,MOVIMIENTOS!$B$4:$B$1000,"INGRESO")+SUMIFS(MOVIMIENTOS!$F$4:$F$1000,MOVIMIENTOS!$C$4:$C$1000,A38,MOVIMIENTOS!$D$4:$D$1000,B38,MOVIMIENTOS!$E$4:$E$1000,C38,MOVIMIENTOS!$B$4:$B$1000,"DE REPROCESO")+SUMIFS(MOVIMIENTOS!$F$4:$F$1000,MOVIMIENTOS!$C$4:$C$1000,A38,MOVIMIENTOS!$D$4:$D$1000,B38,MOVIMIENTOS!$E$4:$E$1000,C38,MOVIMIENTOS!$B$4:$B$1000,"AJUSTE+")-SUMIFS(MOVIMIENTOS!$F$4:$F$1000,MOVIMIENTOS!$C$4:$C$1000,A38,MOVIMIENTOS!$D$4:$D$1000,B38,MOVIMIENTOS!$E$4:$E$1000,C38,MOVIMIENTOS!$B$4:$B$1000,"A CORTE")-SUMIFS(MOVIMIENTOS!$F$4:$F$1000,MOVIMIENTOS!$C$4:$C$1000,A38,MOVIMIENTOS!$D$4:$D$1000,B38,MOVIMIENTOS!$E$4:$E$1000,C38,MOVIMIENTOS!$B$4:$B$1000,"A REPROCESO")-SUMIFS(MOVIMIENTOS!$F$4:$F$1000,MOVIMIENTOS!$C$4:$C$1000,A38,MOVIMIENTOS!$D$4:$D$1000,B38,MOVIMIENTOS!$E$4:$E$1000,C38,MOVIMIENTOS!$B$4:$B$1000,"MUESTRA")-SUMIFS(MOVIMIENTOS!$F$4:$F$1000,MOVIMIENTOS!$C$4:$C$1000,A38,MOVIMIENTOS!$D$4:$D$1000,B38,MOVIMIENTOS!$E$4:$E$1000,C38,MOVIMIENTOS!$B$4:$B$1000,"AJUSTE-"),0)</f>
        <v>5</v>
      </c>
      <c r="F38" s="101">
        <f>IFERROR(E38*VLOOKUP(B38,TELAS!$A$4:$C$32,3,FALSE()),0)</f>
        <v>100</v>
      </c>
      <c r="G38" s="102">
        <f>IFERROR(IF(D38="OSCURO",VLOOKUP(B38,PRECIOS!$A$4:$F$32,2,FALSE()),IF(D38="CLARO",VLOOKUP(B38,PRECIOS!$A$4:$F$32,3,FALSE()),IF(D38="MELANGE",VLOOKUP(B38,PRECIOS!$A$4:$F$32,4,FALSE()),IF(D38="PPT",VLOOKUP(B38,PRECIOS!$A$4:$F$32,5,FALSE()),0)))),0)</f>
        <v>21</v>
      </c>
      <c r="H38" s="103">
        <f t="shared" si="1"/>
        <v>2100</v>
      </c>
      <c r="I38" s="104" t="str">
        <f>IF(E38&lt;0,"ERROR",IF(E38=0,"",IF(E38&lt;CONFIG!$B$4,"CRÍTICO",IF(E38&lt;CONFIG!$B$5,"BAJO","OK"))))</f>
        <v>BAJO</v>
      </c>
    </row>
    <row r="39" ht="15.75" customHeight="1">
      <c r="A39" s="90" t="str">
        <f>IF(CLIENTES!A4="","",CLIENTES!A4)</f>
        <v>OverShark</v>
      </c>
      <c r="B39" s="67" t="str">
        <f>TELAS!A5</f>
        <v>pique 30/1</v>
      </c>
      <c r="C39" s="67" t="str">
        <f>COLORES!A19</f>
        <v/>
      </c>
      <c r="D39" s="67" t="str">
        <f>COLORES!B19</f>
        <v/>
      </c>
      <c r="E39" s="100">
        <f>IFERROR(SUMIFS(MOVIMIENTOS!$F$4:$F$1000,MOVIMIENTOS!$C$4:$C$1000,A39,MOVIMIENTOS!$D$4:$D$1000,B39,MOVIMIENTOS!$E$4:$E$1000,C39,MOVIMIENTOS!$B$4:$B$1000,"INGRESO")+SUMIFS(MOVIMIENTOS!$F$4:$F$1000,MOVIMIENTOS!$C$4:$C$1000,A39,MOVIMIENTOS!$D$4:$D$1000,B39,MOVIMIENTOS!$E$4:$E$1000,C39,MOVIMIENTOS!$B$4:$B$1000,"DE REPROCESO")+SUMIFS(MOVIMIENTOS!$F$4:$F$1000,MOVIMIENTOS!$C$4:$C$1000,A39,MOVIMIENTOS!$D$4:$D$1000,B39,MOVIMIENTOS!$E$4:$E$1000,C39,MOVIMIENTOS!$B$4:$B$1000,"AJUSTE+")-SUMIFS(MOVIMIENTOS!$F$4:$F$1000,MOVIMIENTOS!$C$4:$C$1000,A39,MOVIMIENTOS!$D$4:$D$1000,B39,MOVIMIENTOS!$E$4:$E$1000,C39,MOVIMIENTOS!$B$4:$B$1000,"A CORTE")-SUMIFS(MOVIMIENTOS!$F$4:$F$1000,MOVIMIENTOS!$C$4:$C$1000,A39,MOVIMIENTOS!$D$4:$D$1000,B39,MOVIMIENTOS!$E$4:$E$1000,C39,MOVIMIENTOS!$B$4:$B$1000,"A REPROCESO")-SUMIFS(MOVIMIENTOS!$F$4:$F$1000,MOVIMIENTOS!$C$4:$C$1000,A39,MOVIMIENTOS!$D$4:$D$1000,B39,MOVIMIENTOS!$E$4:$E$1000,C39,MOVIMIENTOS!$B$4:$B$1000,"MUESTRA")-SUMIFS(MOVIMIENTOS!$F$4:$F$1000,MOVIMIENTOS!$C$4:$C$1000,A39,MOVIMIENTOS!$D$4:$D$1000,B39,MOVIMIENTOS!$E$4:$E$1000,C39,MOVIMIENTOS!$B$4:$B$1000,"AJUSTE-"),0)</f>
        <v>0</v>
      </c>
      <c r="F39" s="101">
        <f>IFERROR(E39*VLOOKUP(B39,TELAS!$A$4:$C$32,3,FALSE()),0)</f>
        <v>0</v>
      </c>
      <c r="G39" s="102">
        <f>IFERROR(IF(D39="OSCURO",VLOOKUP(B39,PRECIOS!$A$4:$F$32,2,FALSE()),IF(D39="CLARO",VLOOKUP(B39,PRECIOS!$A$4:$F$32,3,FALSE()),IF(D39="MELANGE",VLOOKUP(B39,PRECIOS!$A$4:$F$32,4,FALSE()),IF(D39="PPT",VLOOKUP(B39,PRECIOS!$A$4:$F$32,5,FALSE()),0)))),0)</f>
        <v>0</v>
      </c>
      <c r="H39" s="103">
        <f t="shared" si="1"/>
        <v>0</v>
      </c>
      <c r="I39" s="104" t="str">
        <f>IF(E39&lt;0,"ERROR",IF(E39=0,"",IF(E39&lt;CONFIG!$B$4,"CRÍTICO",IF(E39&lt;CONFIG!$B$5,"BAJO","OK"))))</f>
        <v/>
      </c>
    </row>
    <row r="40" ht="15.75" customHeight="1">
      <c r="A40" s="90" t="str">
        <f>IF(CLIENTES!A4="","",CLIENTES!A4)</f>
        <v>OverShark</v>
      </c>
      <c r="B40" s="67" t="str">
        <f>TELAS!A5</f>
        <v>pique 30/1</v>
      </c>
      <c r="C40" s="67" t="str">
        <f>COLORES!A20</f>
        <v/>
      </c>
      <c r="D40" s="67" t="str">
        <f>COLORES!B20</f>
        <v/>
      </c>
      <c r="E40" s="100">
        <f>IFERROR(SUMIFS(MOVIMIENTOS!$F$4:$F$1000,MOVIMIENTOS!$C$4:$C$1000,A40,MOVIMIENTOS!$D$4:$D$1000,B40,MOVIMIENTOS!$E$4:$E$1000,C40,MOVIMIENTOS!$B$4:$B$1000,"INGRESO")+SUMIFS(MOVIMIENTOS!$F$4:$F$1000,MOVIMIENTOS!$C$4:$C$1000,A40,MOVIMIENTOS!$D$4:$D$1000,B40,MOVIMIENTOS!$E$4:$E$1000,C40,MOVIMIENTOS!$B$4:$B$1000,"DE REPROCESO")+SUMIFS(MOVIMIENTOS!$F$4:$F$1000,MOVIMIENTOS!$C$4:$C$1000,A40,MOVIMIENTOS!$D$4:$D$1000,B40,MOVIMIENTOS!$E$4:$E$1000,C40,MOVIMIENTOS!$B$4:$B$1000,"AJUSTE+")-SUMIFS(MOVIMIENTOS!$F$4:$F$1000,MOVIMIENTOS!$C$4:$C$1000,A40,MOVIMIENTOS!$D$4:$D$1000,B40,MOVIMIENTOS!$E$4:$E$1000,C40,MOVIMIENTOS!$B$4:$B$1000,"A CORTE")-SUMIFS(MOVIMIENTOS!$F$4:$F$1000,MOVIMIENTOS!$C$4:$C$1000,A40,MOVIMIENTOS!$D$4:$D$1000,B40,MOVIMIENTOS!$E$4:$E$1000,C40,MOVIMIENTOS!$B$4:$B$1000,"A REPROCESO")-SUMIFS(MOVIMIENTOS!$F$4:$F$1000,MOVIMIENTOS!$C$4:$C$1000,A40,MOVIMIENTOS!$D$4:$D$1000,B40,MOVIMIENTOS!$E$4:$E$1000,C40,MOVIMIENTOS!$B$4:$B$1000,"MUESTRA")-SUMIFS(MOVIMIENTOS!$F$4:$F$1000,MOVIMIENTOS!$C$4:$C$1000,A40,MOVIMIENTOS!$D$4:$D$1000,B40,MOVIMIENTOS!$E$4:$E$1000,C40,MOVIMIENTOS!$B$4:$B$1000,"AJUSTE-"),0)</f>
        <v>0</v>
      </c>
      <c r="F40" s="101">
        <f>IFERROR(E40*VLOOKUP(B40,TELAS!$A$4:$C$32,3,FALSE()),0)</f>
        <v>0</v>
      </c>
      <c r="G40" s="102">
        <f>IFERROR(IF(D40="OSCURO",VLOOKUP(B40,PRECIOS!$A$4:$F$32,2,FALSE()),IF(D40="CLARO",VLOOKUP(B40,PRECIOS!$A$4:$F$32,3,FALSE()),IF(D40="MELANGE",VLOOKUP(B40,PRECIOS!$A$4:$F$32,4,FALSE()),IF(D40="PPT",VLOOKUP(B40,PRECIOS!$A$4:$F$32,5,FALSE()),0)))),0)</f>
        <v>0</v>
      </c>
      <c r="H40" s="103">
        <f t="shared" si="1"/>
        <v>0</v>
      </c>
      <c r="I40" s="104" t="str">
        <f>IF(E40&lt;0,"ERROR",IF(E40=0,"",IF(E40&lt;CONFIG!$B$4,"CRÍTICO",IF(E40&lt;CONFIG!$B$5,"BAJO","OK"))))</f>
        <v/>
      </c>
    </row>
    <row r="41" ht="15.75" customHeight="1">
      <c r="A41" s="90" t="str">
        <f>IF(CLIENTES!A4="","",CLIENTES!A4)</f>
        <v>OverShark</v>
      </c>
      <c r="B41" s="67" t="str">
        <f>TELAS!A5</f>
        <v>pique 30/1</v>
      </c>
      <c r="C41" s="67" t="str">
        <f>COLORES!A21</f>
        <v/>
      </c>
      <c r="D41" s="67" t="str">
        <f>COLORES!B21</f>
        <v/>
      </c>
      <c r="E41" s="100">
        <f>IFERROR(SUMIFS(MOVIMIENTOS!$F$4:$F$1000,MOVIMIENTOS!$C$4:$C$1000,A41,MOVIMIENTOS!$D$4:$D$1000,B41,MOVIMIENTOS!$E$4:$E$1000,C41,MOVIMIENTOS!$B$4:$B$1000,"INGRESO")+SUMIFS(MOVIMIENTOS!$F$4:$F$1000,MOVIMIENTOS!$C$4:$C$1000,A41,MOVIMIENTOS!$D$4:$D$1000,B41,MOVIMIENTOS!$E$4:$E$1000,C41,MOVIMIENTOS!$B$4:$B$1000,"DE REPROCESO")+SUMIFS(MOVIMIENTOS!$F$4:$F$1000,MOVIMIENTOS!$C$4:$C$1000,A41,MOVIMIENTOS!$D$4:$D$1000,B41,MOVIMIENTOS!$E$4:$E$1000,C41,MOVIMIENTOS!$B$4:$B$1000,"AJUSTE+")-SUMIFS(MOVIMIENTOS!$F$4:$F$1000,MOVIMIENTOS!$C$4:$C$1000,A41,MOVIMIENTOS!$D$4:$D$1000,B41,MOVIMIENTOS!$E$4:$E$1000,C41,MOVIMIENTOS!$B$4:$B$1000,"A CORTE")-SUMIFS(MOVIMIENTOS!$F$4:$F$1000,MOVIMIENTOS!$C$4:$C$1000,A41,MOVIMIENTOS!$D$4:$D$1000,B41,MOVIMIENTOS!$E$4:$E$1000,C41,MOVIMIENTOS!$B$4:$B$1000,"A REPROCESO")-SUMIFS(MOVIMIENTOS!$F$4:$F$1000,MOVIMIENTOS!$C$4:$C$1000,A41,MOVIMIENTOS!$D$4:$D$1000,B41,MOVIMIENTOS!$E$4:$E$1000,C41,MOVIMIENTOS!$B$4:$B$1000,"MUESTRA")-SUMIFS(MOVIMIENTOS!$F$4:$F$1000,MOVIMIENTOS!$C$4:$C$1000,A41,MOVIMIENTOS!$D$4:$D$1000,B41,MOVIMIENTOS!$E$4:$E$1000,C41,MOVIMIENTOS!$B$4:$B$1000,"AJUSTE-"),0)</f>
        <v>0</v>
      </c>
      <c r="F41" s="101">
        <f>IFERROR(E41*VLOOKUP(B41,TELAS!$A$4:$C$32,3,FALSE()),0)</f>
        <v>0</v>
      </c>
      <c r="G41" s="102">
        <f>IFERROR(IF(D41="OSCURO",VLOOKUP(B41,PRECIOS!$A$4:$F$32,2,FALSE()),IF(D41="CLARO",VLOOKUP(B41,PRECIOS!$A$4:$F$32,3,FALSE()),IF(D41="MELANGE",VLOOKUP(B41,PRECIOS!$A$4:$F$32,4,FALSE()),IF(D41="PPT",VLOOKUP(B41,PRECIOS!$A$4:$F$32,5,FALSE()),0)))),0)</f>
        <v>0</v>
      </c>
      <c r="H41" s="103">
        <f t="shared" si="1"/>
        <v>0</v>
      </c>
      <c r="I41" s="104" t="str">
        <f>IF(E41&lt;0,"ERROR",IF(E41=0,"",IF(E41&lt;CONFIG!$B$4,"CRÍTICO",IF(E41&lt;CONFIG!$B$5,"BAJO","OK"))))</f>
        <v/>
      </c>
    </row>
    <row r="42" ht="15.75" customHeight="1">
      <c r="A42" s="90" t="str">
        <f>IF(CLIENTES!A4="","",CLIENTES!A4)</f>
        <v>OverShark</v>
      </c>
      <c r="B42" s="67" t="str">
        <f>TELAS!A5</f>
        <v>pique 30/1</v>
      </c>
      <c r="C42" s="67" t="str">
        <f>COLORES!A22</f>
        <v/>
      </c>
      <c r="D42" s="67" t="str">
        <f>COLORES!B22</f>
        <v/>
      </c>
      <c r="E42" s="100">
        <f>IFERROR(SUMIFS(MOVIMIENTOS!$F$4:$F$1000,MOVIMIENTOS!$C$4:$C$1000,A42,MOVIMIENTOS!$D$4:$D$1000,B42,MOVIMIENTOS!$E$4:$E$1000,C42,MOVIMIENTOS!$B$4:$B$1000,"INGRESO")+SUMIFS(MOVIMIENTOS!$F$4:$F$1000,MOVIMIENTOS!$C$4:$C$1000,A42,MOVIMIENTOS!$D$4:$D$1000,B42,MOVIMIENTOS!$E$4:$E$1000,C42,MOVIMIENTOS!$B$4:$B$1000,"DE REPROCESO")+SUMIFS(MOVIMIENTOS!$F$4:$F$1000,MOVIMIENTOS!$C$4:$C$1000,A42,MOVIMIENTOS!$D$4:$D$1000,B42,MOVIMIENTOS!$E$4:$E$1000,C42,MOVIMIENTOS!$B$4:$B$1000,"AJUSTE+")-SUMIFS(MOVIMIENTOS!$F$4:$F$1000,MOVIMIENTOS!$C$4:$C$1000,A42,MOVIMIENTOS!$D$4:$D$1000,B42,MOVIMIENTOS!$E$4:$E$1000,C42,MOVIMIENTOS!$B$4:$B$1000,"A CORTE")-SUMIFS(MOVIMIENTOS!$F$4:$F$1000,MOVIMIENTOS!$C$4:$C$1000,A42,MOVIMIENTOS!$D$4:$D$1000,B42,MOVIMIENTOS!$E$4:$E$1000,C42,MOVIMIENTOS!$B$4:$B$1000,"A REPROCESO")-SUMIFS(MOVIMIENTOS!$F$4:$F$1000,MOVIMIENTOS!$C$4:$C$1000,A42,MOVIMIENTOS!$D$4:$D$1000,B42,MOVIMIENTOS!$E$4:$E$1000,C42,MOVIMIENTOS!$B$4:$B$1000,"MUESTRA")-SUMIFS(MOVIMIENTOS!$F$4:$F$1000,MOVIMIENTOS!$C$4:$C$1000,A42,MOVIMIENTOS!$D$4:$D$1000,B42,MOVIMIENTOS!$E$4:$E$1000,C42,MOVIMIENTOS!$B$4:$B$1000,"AJUSTE-"),0)</f>
        <v>0</v>
      </c>
      <c r="F42" s="101">
        <f>IFERROR(E42*VLOOKUP(B42,TELAS!$A$4:$C$32,3,FALSE()),0)</f>
        <v>0</v>
      </c>
      <c r="G42" s="102">
        <f>IFERROR(IF(D42="OSCURO",VLOOKUP(B42,PRECIOS!$A$4:$F$32,2,FALSE()),IF(D42="CLARO",VLOOKUP(B42,PRECIOS!$A$4:$F$32,3,FALSE()),IF(D42="MELANGE",VLOOKUP(B42,PRECIOS!$A$4:$F$32,4,FALSE()),IF(D42="PPT",VLOOKUP(B42,PRECIOS!$A$4:$F$32,5,FALSE()),0)))),0)</f>
        <v>0</v>
      </c>
      <c r="H42" s="103">
        <f t="shared" si="1"/>
        <v>0</v>
      </c>
      <c r="I42" s="104" t="str">
        <f>IF(E42&lt;0,"ERROR",IF(E42=0,"",IF(E42&lt;CONFIG!$B$4,"CRÍTICO",IF(E42&lt;CONFIG!$B$5,"BAJO","OK"))))</f>
        <v/>
      </c>
    </row>
    <row r="43" ht="15.75" customHeight="1">
      <c r="A43" s="90" t="str">
        <f>IF(CLIENTES!A4="","",CLIENTES!A4)</f>
        <v>OverShark</v>
      </c>
      <c r="B43" s="67" t="str">
        <f>TELAS!A5</f>
        <v>pique 30/1</v>
      </c>
      <c r="C43" s="67" t="str">
        <f>COLORES!A23</f>
        <v/>
      </c>
      <c r="D43" s="67" t="str">
        <f>COLORES!B23</f>
        <v/>
      </c>
      <c r="E43" s="100">
        <f>IFERROR(SUMIFS(MOVIMIENTOS!$F$4:$F$1000,MOVIMIENTOS!$C$4:$C$1000,A43,MOVIMIENTOS!$D$4:$D$1000,B43,MOVIMIENTOS!$E$4:$E$1000,C43,MOVIMIENTOS!$B$4:$B$1000,"INGRESO")+SUMIFS(MOVIMIENTOS!$F$4:$F$1000,MOVIMIENTOS!$C$4:$C$1000,A43,MOVIMIENTOS!$D$4:$D$1000,B43,MOVIMIENTOS!$E$4:$E$1000,C43,MOVIMIENTOS!$B$4:$B$1000,"DE REPROCESO")+SUMIFS(MOVIMIENTOS!$F$4:$F$1000,MOVIMIENTOS!$C$4:$C$1000,A43,MOVIMIENTOS!$D$4:$D$1000,B43,MOVIMIENTOS!$E$4:$E$1000,C43,MOVIMIENTOS!$B$4:$B$1000,"AJUSTE+")-SUMIFS(MOVIMIENTOS!$F$4:$F$1000,MOVIMIENTOS!$C$4:$C$1000,A43,MOVIMIENTOS!$D$4:$D$1000,B43,MOVIMIENTOS!$E$4:$E$1000,C43,MOVIMIENTOS!$B$4:$B$1000,"A CORTE")-SUMIFS(MOVIMIENTOS!$F$4:$F$1000,MOVIMIENTOS!$C$4:$C$1000,A43,MOVIMIENTOS!$D$4:$D$1000,B43,MOVIMIENTOS!$E$4:$E$1000,C43,MOVIMIENTOS!$B$4:$B$1000,"A REPROCESO")-SUMIFS(MOVIMIENTOS!$F$4:$F$1000,MOVIMIENTOS!$C$4:$C$1000,A43,MOVIMIENTOS!$D$4:$D$1000,B43,MOVIMIENTOS!$E$4:$E$1000,C43,MOVIMIENTOS!$B$4:$B$1000,"MUESTRA")-SUMIFS(MOVIMIENTOS!$F$4:$F$1000,MOVIMIENTOS!$C$4:$C$1000,A43,MOVIMIENTOS!$D$4:$D$1000,B43,MOVIMIENTOS!$E$4:$E$1000,C43,MOVIMIENTOS!$B$4:$B$1000,"AJUSTE-"),0)</f>
        <v>0</v>
      </c>
      <c r="F43" s="101">
        <f>IFERROR(E43*VLOOKUP(B43,TELAS!$A$4:$C$32,3,FALSE()),0)</f>
        <v>0</v>
      </c>
      <c r="G43" s="102">
        <f>IFERROR(IF(D43="OSCURO",VLOOKUP(B43,PRECIOS!$A$4:$F$32,2,FALSE()),IF(D43="CLARO",VLOOKUP(B43,PRECIOS!$A$4:$F$32,3,FALSE()),IF(D43="MELANGE",VLOOKUP(B43,PRECIOS!$A$4:$F$32,4,FALSE()),IF(D43="PPT",VLOOKUP(B43,PRECIOS!$A$4:$F$32,5,FALSE()),0)))),0)</f>
        <v>0</v>
      </c>
      <c r="H43" s="103">
        <f t="shared" si="1"/>
        <v>0</v>
      </c>
      <c r="I43" s="104" t="str">
        <f>IF(E43&lt;0,"ERROR",IF(E43=0,"",IF(E43&lt;CONFIG!$B$4,"CRÍTICO",IF(E43&lt;CONFIG!$B$5,"BAJO","OK"))))</f>
        <v/>
      </c>
    </row>
    <row r="44" ht="15.75" customHeight="1">
      <c r="A44" s="90" t="str">
        <f>IF(CLIENTES!A4="","",CLIENTES!A4)</f>
        <v>OverShark</v>
      </c>
      <c r="B44" s="67" t="str">
        <f>TELAS!A6</f>
        <v>wafle 30/1</v>
      </c>
      <c r="C44" s="67" t="str">
        <f>COLORES!A4</f>
        <v>Negro</v>
      </c>
      <c r="D44" s="67" t="str">
        <f>COLORES!B4</f>
        <v>OSCURO</v>
      </c>
      <c r="E44" s="100">
        <f>IFERROR(SUMIFS(MOVIMIENTOS!$F$4:$F$1000,MOVIMIENTOS!$C$4:$C$1000,A44,MOVIMIENTOS!$D$4:$D$1000,B44,MOVIMIENTOS!$E$4:$E$1000,C44,MOVIMIENTOS!$B$4:$B$1000,"INGRESO")+SUMIFS(MOVIMIENTOS!$F$4:$F$1000,MOVIMIENTOS!$C$4:$C$1000,A44,MOVIMIENTOS!$D$4:$D$1000,B44,MOVIMIENTOS!$E$4:$E$1000,C44,MOVIMIENTOS!$B$4:$B$1000,"DE REPROCESO")+SUMIFS(MOVIMIENTOS!$F$4:$F$1000,MOVIMIENTOS!$C$4:$C$1000,A44,MOVIMIENTOS!$D$4:$D$1000,B44,MOVIMIENTOS!$E$4:$E$1000,C44,MOVIMIENTOS!$B$4:$B$1000,"AJUSTE+")-SUMIFS(MOVIMIENTOS!$F$4:$F$1000,MOVIMIENTOS!$C$4:$C$1000,A44,MOVIMIENTOS!$D$4:$D$1000,B44,MOVIMIENTOS!$E$4:$E$1000,C44,MOVIMIENTOS!$B$4:$B$1000,"A CORTE")-SUMIFS(MOVIMIENTOS!$F$4:$F$1000,MOVIMIENTOS!$C$4:$C$1000,A44,MOVIMIENTOS!$D$4:$D$1000,B44,MOVIMIENTOS!$E$4:$E$1000,C44,MOVIMIENTOS!$B$4:$B$1000,"A REPROCESO")-SUMIFS(MOVIMIENTOS!$F$4:$F$1000,MOVIMIENTOS!$C$4:$C$1000,A44,MOVIMIENTOS!$D$4:$D$1000,B44,MOVIMIENTOS!$E$4:$E$1000,C44,MOVIMIENTOS!$B$4:$B$1000,"MUESTRA")-SUMIFS(MOVIMIENTOS!$F$4:$F$1000,MOVIMIENTOS!$C$4:$C$1000,A44,MOVIMIENTOS!$D$4:$D$1000,B44,MOVIMIENTOS!$E$4:$E$1000,C44,MOVIMIENTOS!$B$4:$B$1000,"AJUSTE-"),0)</f>
        <v>24</v>
      </c>
      <c r="F44" s="101">
        <f>IFERROR(E44*VLOOKUP(B44,TELAS!$A$4:$C$32,3,FALSE()),0)</f>
        <v>480</v>
      </c>
      <c r="G44" s="102">
        <f>IFERROR(IF(D44="OSCURO",VLOOKUP(B44,PRECIOS!$A$4:$F$32,2,FALSE()),IF(D44="CLARO",VLOOKUP(B44,PRECIOS!$A$4:$F$32,3,FALSE()),IF(D44="MELANGE",VLOOKUP(B44,PRECIOS!$A$4:$F$32,4,FALSE()),IF(D44="PPT",VLOOKUP(B44,PRECIOS!$A$4:$F$32,5,FALSE()),0)))),0)</f>
        <v>26</v>
      </c>
      <c r="H44" s="103">
        <f t="shared" si="1"/>
        <v>12480</v>
      </c>
      <c r="I44" s="104" t="str">
        <f>IF(E44&lt;0,"ERROR",IF(E44=0,"",IF(E44&lt;CONFIG!$B$4,"CRÍTICO",IF(E44&lt;CONFIG!$B$5,"BAJO","OK"))))</f>
        <v>OK</v>
      </c>
    </row>
    <row r="45" ht="15.75" customHeight="1">
      <c r="A45" s="90" t="str">
        <f>IF(CLIENTES!A4="","",CLIENTES!A4)</f>
        <v>OverShark</v>
      </c>
      <c r="B45" s="67" t="str">
        <f>TELAS!A6</f>
        <v>wafle 30/1</v>
      </c>
      <c r="C45" s="67" t="str">
        <f>COLORES!A5</f>
        <v>Perla</v>
      </c>
      <c r="D45" s="67" t="str">
        <f>COLORES!B5</f>
        <v>PPT</v>
      </c>
      <c r="E45" s="100">
        <f>IFERROR(SUMIFS(MOVIMIENTOS!$F$4:$F$1000,MOVIMIENTOS!$C$4:$C$1000,A45,MOVIMIENTOS!$D$4:$D$1000,B45,MOVIMIENTOS!$E$4:$E$1000,C45,MOVIMIENTOS!$B$4:$B$1000,"INGRESO")+SUMIFS(MOVIMIENTOS!$F$4:$F$1000,MOVIMIENTOS!$C$4:$C$1000,A45,MOVIMIENTOS!$D$4:$D$1000,B45,MOVIMIENTOS!$E$4:$E$1000,C45,MOVIMIENTOS!$B$4:$B$1000,"DE REPROCESO")+SUMIFS(MOVIMIENTOS!$F$4:$F$1000,MOVIMIENTOS!$C$4:$C$1000,A45,MOVIMIENTOS!$D$4:$D$1000,B45,MOVIMIENTOS!$E$4:$E$1000,C45,MOVIMIENTOS!$B$4:$B$1000,"AJUSTE+")-SUMIFS(MOVIMIENTOS!$F$4:$F$1000,MOVIMIENTOS!$C$4:$C$1000,A45,MOVIMIENTOS!$D$4:$D$1000,B45,MOVIMIENTOS!$E$4:$E$1000,C45,MOVIMIENTOS!$B$4:$B$1000,"A CORTE")-SUMIFS(MOVIMIENTOS!$F$4:$F$1000,MOVIMIENTOS!$C$4:$C$1000,A45,MOVIMIENTOS!$D$4:$D$1000,B45,MOVIMIENTOS!$E$4:$E$1000,C45,MOVIMIENTOS!$B$4:$B$1000,"A REPROCESO")-SUMIFS(MOVIMIENTOS!$F$4:$F$1000,MOVIMIENTOS!$C$4:$C$1000,A45,MOVIMIENTOS!$D$4:$D$1000,B45,MOVIMIENTOS!$E$4:$E$1000,C45,MOVIMIENTOS!$B$4:$B$1000,"MUESTRA")-SUMIFS(MOVIMIENTOS!$F$4:$F$1000,MOVIMIENTOS!$C$4:$C$1000,A45,MOVIMIENTOS!$D$4:$D$1000,B45,MOVIMIENTOS!$E$4:$E$1000,C45,MOVIMIENTOS!$B$4:$B$1000,"AJUSTE-"),0)</f>
        <v>27</v>
      </c>
      <c r="F45" s="101">
        <f>IFERROR(E45*VLOOKUP(B45,TELAS!$A$4:$C$32,3,FALSE()),0)</f>
        <v>540</v>
      </c>
      <c r="G45" s="102">
        <f>IFERROR(IF(D45="OSCURO",VLOOKUP(B45,PRECIOS!$A$4:$F$32,2,FALSE()),IF(D45="CLARO",VLOOKUP(B45,PRECIOS!$A$4:$F$32,3,FALSE()),IF(D45="MELANGE",VLOOKUP(B45,PRECIOS!$A$4:$F$32,4,FALSE()),IF(D45="PPT",VLOOKUP(B45,PRECIOS!$A$4:$F$32,5,FALSE()),0)))),0)</f>
        <v>19</v>
      </c>
      <c r="H45" s="103">
        <f t="shared" si="1"/>
        <v>10260</v>
      </c>
      <c r="I45" s="104" t="str">
        <f>IF(E45&lt;0,"ERROR",IF(E45=0,"",IF(E45&lt;CONFIG!$B$4,"CRÍTICO",IF(E45&lt;CONFIG!$B$5,"BAJO","OK"))))</f>
        <v>OK</v>
      </c>
    </row>
    <row r="46" ht="15.75" customHeight="1">
      <c r="A46" s="90" t="str">
        <f>IF(CLIENTES!A4="","",CLIENTES!A4)</f>
        <v>OverShark</v>
      </c>
      <c r="B46" s="67" t="str">
        <f>TELAS!A6</f>
        <v>wafle 30/1</v>
      </c>
      <c r="C46" s="67" t="str">
        <f>COLORES!A6</f>
        <v>Blanco</v>
      </c>
      <c r="D46" s="67" t="str">
        <f>COLORES!B6</f>
        <v>PPT</v>
      </c>
      <c r="E46" s="100">
        <f>IFERROR(SUMIFS(MOVIMIENTOS!$F$4:$F$1000,MOVIMIENTOS!$C$4:$C$1000,A46,MOVIMIENTOS!$D$4:$D$1000,B46,MOVIMIENTOS!$E$4:$E$1000,C46,MOVIMIENTOS!$B$4:$B$1000,"INGRESO")+SUMIFS(MOVIMIENTOS!$F$4:$F$1000,MOVIMIENTOS!$C$4:$C$1000,A46,MOVIMIENTOS!$D$4:$D$1000,B46,MOVIMIENTOS!$E$4:$E$1000,C46,MOVIMIENTOS!$B$4:$B$1000,"DE REPROCESO")+SUMIFS(MOVIMIENTOS!$F$4:$F$1000,MOVIMIENTOS!$C$4:$C$1000,A46,MOVIMIENTOS!$D$4:$D$1000,B46,MOVIMIENTOS!$E$4:$E$1000,C46,MOVIMIENTOS!$B$4:$B$1000,"AJUSTE+")-SUMIFS(MOVIMIENTOS!$F$4:$F$1000,MOVIMIENTOS!$C$4:$C$1000,A46,MOVIMIENTOS!$D$4:$D$1000,B46,MOVIMIENTOS!$E$4:$E$1000,C46,MOVIMIENTOS!$B$4:$B$1000,"A CORTE")-SUMIFS(MOVIMIENTOS!$F$4:$F$1000,MOVIMIENTOS!$C$4:$C$1000,A46,MOVIMIENTOS!$D$4:$D$1000,B46,MOVIMIENTOS!$E$4:$E$1000,C46,MOVIMIENTOS!$B$4:$B$1000,"A REPROCESO")-SUMIFS(MOVIMIENTOS!$F$4:$F$1000,MOVIMIENTOS!$C$4:$C$1000,A46,MOVIMIENTOS!$D$4:$D$1000,B46,MOVIMIENTOS!$E$4:$E$1000,C46,MOVIMIENTOS!$B$4:$B$1000,"MUESTRA")-SUMIFS(MOVIMIENTOS!$F$4:$F$1000,MOVIMIENTOS!$C$4:$C$1000,A46,MOVIMIENTOS!$D$4:$D$1000,B46,MOVIMIENTOS!$E$4:$E$1000,C46,MOVIMIENTOS!$B$4:$B$1000,"AJUSTE-"),0)</f>
        <v>0</v>
      </c>
      <c r="F46" s="101">
        <f>IFERROR(E46*VLOOKUP(B46,TELAS!$A$4:$C$32,3,FALSE()),0)</f>
        <v>0</v>
      </c>
      <c r="G46" s="102">
        <f>IFERROR(IF(D46="OSCURO",VLOOKUP(B46,PRECIOS!$A$4:$F$32,2,FALSE()),IF(D46="CLARO",VLOOKUP(B46,PRECIOS!$A$4:$F$32,3,FALSE()),IF(D46="MELANGE",VLOOKUP(B46,PRECIOS!$A$4:$F$32,4,FALSE()),IF(D46="PPT",VLOOKUP(B46,PRECIOS!$A$4:$F$32,5,FALSE()),0)))),0)</f>
        <v>19</v>
      </c>
      <c r="H46" s="103">
        <f t="shared" si="1"/>
        <v>0</v>
      </c>
      <c r="I46" s="104" t="str">
        <f>IF(E46&lt;0,"ERROR",IF(E46=0,"",IF(E46&lt;CONFIG!$B$4,"CRÍTICO",IF(E46&lt;CONFIG!$B$5,"BAJO","OK"))))</f>
        <v/>
      </c>
    </row>
    <row r="47" ht="15.75" customHeight="1">
      <c r="A47" s="90" t="str">
        <f>IF(CLIENTES!A4="","",CLIENTES!A4)</f>
        <v>OverShark</v>
      </c>
      <c r="B47" s="67" t="str">
        <f>TELAS!A6</f>
        <v>wafle 30/1</v>
      </c>
      <c r="C47" s="67" t="str">
        <f>COLORES!A7</f>
        <v>Azul</v>
      </c>
      <c r="D47" s="67" t="str">
        <f>COLORES!B7</f>
        <v>OSCURO</v>
      </c>
      <c r="E47" s="100">
        <f>IFERROR(SUMIFS(MOVIMIENTOS!$F$4:$F$1000,MOVIMIENTOS!$C$4:$C$1000,A47,MOVIMIENTOS!$D$4:$D$1000,B47,MOVIMIENTOS!$E$4:$E$1000,C47,MOVIMIENTOS!$B$4:$B$1000,"INGRESO")+SUMIFS(MOVIMIENTOS!$F$4:$F$1000,MOVIMIENTOS!$C$4:$C$1000,A47,MOVIMIENTOS!$D$4:$D$1000,B47,MOVIMIENTOS!$E$4:$E$1000,C47,MOVIMIENTOS!$B$4:$B$1000,"DE REPROCESO")+SUMIFS(MOVIMIENTOS!$F$4:$F$1000,MOVIMIENTOS!$C$4:$C$1000,A47,MOVIMIENTOS!$D$4:$D$1000,B47,MOVIMIENTOS!$E$4:$E$1000,C47,MOVIMIENTOS!$B$4:$B$1000,"AJUSTE+")-SUMIFS(MOVIMIENTOS!$F$4:$F$1000,MOVIMIENTOS!$C$4:$C$1000,A47,MOVIMIENTOS!$D$4:$D$1000,B47,MOVIMIENTOS!$E$4:$E$1000,C47,MOVIMIENTOS!$B$4:$B$1000,"A CORTE")-SUMIFS(MOVIMIENTOS!$F$4:$F$1000,MOVIMIENTOS!$C$4:$C$1000,A47,MOVIMIENTOS!$D$4:$D$1000,B47,MOVIMIENTOS!$E$4:$E$1000,C47,MOVIMIENTOS!$B$4:$B$1000,"A REPROCESO")-SUMIFS(MOVIMIENTOS!$F$4:$F$1000,MOVIMIENTOS!$C$4:$C$1000,A47,MOVIMIENTOS!$D$4:$D$1000,B47,MOVIMIENTOS!$E$4:$E$1000,C47,MOVIMIENTOS!$B$4:$B$1000,"MUESTRA")-SUMIFS(MOVIMIENTOS!$F$4:$F$1000,MOVIMIENTOS!$C$4:$C$1000,A47,MOVIMIENTOS!$D$4:$D$1000,B47,MOVIMIENTOS!$E$4:$E$1000,C47,MOVIMIENTOS!$B$4:$B$1000,"AJUSTE-"),0)</f>
        <v>23</v>
      </c>
      <c r="F47" s="101">
        <f>IFERROR(E47*VLOOKUP(B47,TELAS!$A$4:$C$32,3,FALSE()),0)</f>
        <v>460</v>
      </c>
      <c r="G47" s="102">
        <f>IFERROR(IF(D47="OSCURO",VLOOKUP(B47,PRECIOS!$A$4:$F$32,2,FALSE()),IF(D47="CLARO",VLOOKUP(B47,PRECIOS!$A$4:$F$32,3,FALSE()),IF(D47="MELANGE",VLOOKUP(B47,PRECIOS!$A$4:$F$32,4,FALSE()),IF(D47="PPT",VLOOKUP(B47,PRECIOS!$A$4:$F$32,5,FALSE()),0)))),0)</f>
        <v>26</v>
      </c>
      <c r="H47" s="103">
        <f t="shared" si="1"/>
        <v>11960</v>
      </c>
      <c r="I47" s="104" t="str">
        <f>IF(E47&lt;0,"ERROR",IF(E47=0,"",IF(E47&lt;CONFIG!$B$4,"CRÍTICO",IF(E47&lt;CONFIG!$B$5,"BAJO","OK"))))</f>
        <v>OK</v>
      </c>
    </row>
    <row r="48" ht="15.75" customHeight="1">
      <c r="A48" s="90" t="str">
        <f>IF(CLIENTES!A4="","",CLIENTES!A4)</f>
        <v>OverShark</v>
      </c>
      <c r="B48" s="67" t="str">
        <f>TELAS!A6</f>
        <v>wafle 30/1</v>
      </c>
      <c r="C48" s="67" t="str">
        <f>COLORES!A8</f>
        <v>Beige</v>
      </c>
      <c r="D48" s="67" t="str">
        <f>COLORES!B8</f>
        <v>CLARO</v>
      </c>
      <c r="E48" s="100">
        <f>IFERROR(SUMIFS(MOVIMIENTOS!$F$4:$F$1000,MOVIMIENTOS!$C$4:$C$1000,A48,MOVIMIENTOS!$D$4:$D$1000,B48,MOVIMIENTOS!$E$4:$E$1000,C48,MOVIMIENTOS!$B$4:$B$1000,"INGRESO")+SUMIFS(MOVIMIENTOS!$F$4:$F$1000,MOVIMIENTOS!$C$4:$C$1000,A48,MOVIMIENTOS!$D$4:$D$1000,B48,MOVIMIENTOS!$E$4:$E$1000,C48,MOVIMIENTOS!$B$4:$B$1000,"DE REPROCESO")+SUMIFS(MOVIMIENTOS!$F$4:$F$1000,MOVIMIENTOS!$C$4:$C$1000,A48,MOVIMIENTOS!$D$4:$D$1000,B48,MOVIMIENTOS!$E$4:$E$1000,C48,MOVIMIENTOS!$B$4:$B$1000,"AJUSTE+")-SUMIFS(MOVIMIENTOS!$F$4:$F$1000,MOVIMIENTOS!$C$4:$C$1000,A48,MOVIMIENTOS!$D$4:$D$1000,B48,MOVIMIENTOS!$E$4:$E$1000,C48,MOVIMIENTOS!$B$4:$B$1000,"A CORTE")-SUMIFS(MOVIMIENTOS!$F$4:$F$1000,MOVIMIENTOS!$C$4:$C$1000,A48,MOVIMIENTOS!$D$4:$D$1000,B48,MOVIMIENTOS!$E$4:$E$1000,C48,MOVIMIENTOS!$B$4:$B$1000,"A REPROCESO")-SUMIFS(MOVIMIENTOS!$F$4:$F$1000,MOVIMIENTOS!$C$4:$C$1000,A48,MOVIMIENTOS!$D$4:$D$1000,B48,MOVIMIENTOS!$E$4:$E$1000,C48,MOVIMIENTOS!$B$4:$B$1000,"MUESTRA")-SUMIFS(MOVIMIENTOS!$F$4:$F$1000,MOVIMIENTOS!$C$4:$C$1000,A48,MOVIMIENTOS!$D$4:$D$1000,B48,MOVIMIENTOS!$E$4:$E$1000,C48,MOVIMIENTOS!$B$4:$B$1000,"AJUSTE-"),0)</f>
        <v>3</v>
      </c>
      <c r="F48" s="101">
        <f>IFERROR(E48*VLOOKUP(B48,TELAS!$A$4:$C$32,3,FALSE()),0)</f>
        <v>60</v>
      </c>
      <c r="G48" s="102">
        <f>IFERROR(IF(D48="OSCURO",VLOOKUP(B48,PRECIOS!$A$4:$F$32,2,FALSE()),IF(D48="CLARO",VLOOKUP(B48,PRECIOS!$A$4:$F$32,3,FALSE()),IF(D48="MELANGE",VLOOKUP(B48,PRECIOS!$A$4:$F$32,4,FALSE()),IF(D48="PPT",VLOOKUP(B48,PRECIOS!$A$4:$F$32,5,FALSE()),0)))),0)</f>
        <v>22.5</v>
      </c>
      <c r="H48" s="103">
        <f t="shared" si="1"/>
        <v>1350</v>
      </c>
      <c r="I48" s="104" t="str">
        <f>IF(E48&lt;0,"ERROR",IF(E48=0,"",IF(E48&lt;CONFIG!$B$4,"CRÍTICO",IF(E48&lt;CONFIG!$B$5,"BAJO","OK"))))</f>
        <v>CRÍTICO</v>
      </c>
    </row>
    <row r="49" ht="15.75" customHeight="1">
      <c r="A49" s="90" t="str">
        <f>IF(CLIENTES!A4="","",CLIENTES!A4)</f>
        <v>OverShark</v>
      </c>
      <c r="B49" s="67" t="str">
        <f>TELAS!A6</f>
        <v>wafle 30/1</v>
      </c>
      <c r="C49" s="67" t="str">
        <f>COLORES!A9</f>
        <v>Melange</v>
      </c>
      <c r="D49" s="67" t="str">
        <f>COLORES!B9</f>
        <v>MELANGE</v>
      </c>
      <c r="E49" s="100">
        <f>IFERROR(SUMIFS(MOVIMIENTOS!$F$4:$F$1000,MOVIMIENTOS!$C$4:$C$1000,A49,MOVIMIENTOS!$D$4:$D$1000,B49,MOVIMIENTOS!$E$4:$E$1000,C49,MOVIMIENTOS!$B$4:$B$1000,"INGRESO")+SUMIFS(MOVIMIENTOS!$F$4:$F$1000,MOVIMIENTOS!$C$4:$C$1000,A49,MOVIMIENTOS!$D$4:$D$1000,B49,MOVIMIENTOS!$E$4:$E$1000,C49,MOVIMIENTOS!$B$4:$B$1000,"DE REPROCESO")+SUMIFS(MOVIMIENTOS!$F$4:$F$1000,MOVIMIENTOS!$C$4:$C$1000,A49,MOVIMIENTOS!$D$4:$D$1000,B49,MOVIMIENTOS!$E$4:$E$1000,C49,MOVIMIENTOS!$B$4:$B$1000,"AJUSTE+")-SUMIFS(MOVIMIENTOS!$F$4:$F$1000,MOVIMIENTOS!$C$4:$C$1000,A49,MOVIMIENTOS!$D$4:$D$1000,B49,MOVIMIENTOS!$E$4:$E$1000,C49,MOVIMIENTOS!$B$4:$B$1000,"A CORTE")-SUMIFS(MOVIMIENTOS!$F$4:$F$1000,MOVIMIENTOS!$C$4:$C$1000,A49,MOVIMIENTOS!$D$4:$D$1000,B49,MOVIMIENTOS!$E$4:$E$1000,C49,MOVIMIENTOS!$B$4:$B$1000,"A REPROCESO")-SUMIFS(MOVIMIENTOS!$F$4:$F$1000,MOVIMIENTOS!$C$4:$C$1000,A49,MOVIMIENTOS!$D$4:$D$1000,B49,MOVIMIENTOS!$E$4:$E$1000,C49,MOVIMIENTOS!$B$4:$B$1000,"MUESTRA")-SUMIFS(MOVIMIENTOS!$F$4:$F$1000,MOVIMIENTOS!$C$4:$C$1000,A49,MOVIMIENTOS!$D$4:$D$1000,B49,MOVIMIENTOS!$E$4:$E$1000,C49,MOVIMIENTOS!$B$4:$B$1000,"AJUSTE-"),0)</f>
        <v>21</v>
      </c>
      <c r="F49" s="101">
        <f>IFERROR(E49*VLOOKUP(B49,TELAS!$A$4:$C$32,3,FALSE()),0)</f>
        <v>420</v>
      </c>
      <c r="G49" s="102">
        <f>IFERROR(IF(D49="OSCURO",VLOOKUP(B49,PRECIOS!$A$4:$F$32,2,FALSE()),IF(D49="CLARO",VLOOKUP(B49,PRECIOS!$A$4:$F$32,3,FALSE()),IF(D49="MELANGE",VLOOKUP(B49,PRECIOS!$A$4:$F$32,4,FALSE()),IF(D49="PPT",VLOOKUP(B49,PRECIOS!$A$4:$F$32,5,FALSE()),0)))),0)</f>
        <v>19</v>
      </c>
      <c r="H49" s="103">
        <f t="shared" si="1"/>
        <v>7980</v>
      </c>
      <c r="I49" s="104" t="str">
        <f>IF(E49&lt;0,"ERROR",IF(E49=0,"",IF(E49&lt;CONFIG!$B$4,"CRÍTICO",IF(E49&lt;CONFIG!$B$5,"BAJO","OK"))))</f>
        <v>OK</v>
      </c>
    </row>
    <row r="50" ht="15.75" customHeight="1">
      <c r="A50" s="90" t="str">
        <f>IF(CLIENTES!A4="","",CLIENTES!A4)</f>
        <v>OverShark</v>
      </c>
      <c r="B50" s="67" t="str">
        <f>TELAS!A6</f>
        <v>wafle 30/1</v>
      </c>
      <c r="C50" s="67" t="str">
        <f>COLORES!A10</f>
        <v>Botella</v>
      </c>
      <c r="D50" s="67" t="str">
        <f>COLORES!B10</f>
        <v>OSCURO</v>
      </c>
      <c r="E50" s="100">
        <f>IFERROR(SUMIFS(MOVIMIENTOS!$F$4:$F$1000,MOVIMIENTOS!$C$4:$C$1000,A50,MOVIMIENTOS!$D$4:$D$1000,B50,MOVIMIENTOS!$E$4:$E$1000,C50,MOVIMIENTOS!$B$4:$B$1000,"INGRESO")+SUMIFS(MOVIMIENTOS!$F$4:$F$1000,MOVIMIENTOS!$C$4:$C$1000,A50,MOVIMIENTOS!$D$4:$D$1000,B50,MOVIMIENTOS!$E$4:$E$1000,C50,MOVIMIENTOS!$B$4:$B$1000,"DE REPROCESO")+SUMIFS(MOVIMIENTOS!$F$4:$F$1000,MOVIMIENTOS!$C$4:$C$1000,A50,MOVIMIENTOS!$D$4:$D$1000,B50,MOVIMIENTOS!$E$4:$E$1000,C50,MOVIMIENTOS!$B$4:$B$1000,"AJUSTE+")-SUMIFS(MOVIMIENTOS!$F$4:$F$1000,MOVIMIENTOS!$C$4:$C$1000,A50,MOVIMIENTOS!$D$4:$D$1000,B50,MOVIMIENTOS!$E$4:$E$1000,C50,MOVIMIENTOS!$B$4:$B$1000,"A CORTE")-SUMIFS(MOVIMIENTOS!$F$4:$F$1000,MOVIMIENTOS!$C$4:$C$1000,A50,MOVIMIENTOS!$D$4:$D$1000,B50,MOVIMIENTOS!$E$4:$E$1000,C50,MOVIMIENTOS!$B$4:$B$1000,"A REPROCESO")-SUMIFS(MOVIMIENTOS!$F$4:$F$1000,MOVIMIENTOS!$C$4:$C$1000,A50,MOVIMIENTOS!$D$4:$D$1000,B50,MOVIMIENTOS!$E$4:$E$1000,C50,MOVIMIENTOS!$B$4:$B$1000,"MUESTRA")-SUMIFS(MOVIMIENTOS!$F$4:$F$1000,MOVIMIENTOS!$C$4:$C$1000,A50,MOVIMIENTOS!$D$4:$D$1000,B50,MOVIMIENTOS!$E$4:$E$1000,C50,MOVIMIENTOS!$B$4:$B$1000,"AJUSTE-"),0)</f>
        <v>17</v>
      </c>
      <c r="F50" s="101">
        <f>IFERROR(E50*VLOOKUP(B50,TELAS!$A$4:$C$32,3,FALSE()),0)</f>
        <v>340</v>
      </c>
      <c r="G50" s="102">
        <f>IFERROR(IF(D50="OSCURO",VLOOKUP(B50,PRECIOS!$A$4:$F$32,2,FALSE()),IF(D50="CLARO",VLOOKUP(B50,PRECIOS!$A$4:$F$32,3,FALSE()),IF(D50="MELANGE",VLOOKUP(B50,PRECIOS!$A$4:$F$32,4,FALSE()),IF(D50="PPT",VLOOKUP(B50,PRECIOS!$A$4:$F$32,5,FALSE()),0)))),0)</f>
        <v>26</v>
      </c>
      <c r="H50" s="103">
        <f t="shared" si="1"/>
        <v>8840</v>
      </c>
      <c r="I50" s="104" t="str">
        <f>IF(E50&lt;0,"ERROR",IF(E50=0,"",IF(E50&lt;CONFIG!$B$4,"CRÍTICO",IF(E50&lt;CONFIG!$B$5,"BAJO","OK"))))</f>
        <v>OK</v>
      </c>
    </row>
    <row r="51" ht="15.75" customHeight="1">
      <c r="A51" s="90" t="str">
        <f>IF(CLIENTES!A4="","",CLIENTES!A4)</f>
        <v>OverShark</v>
      </c>
      <c r="B51" s="67" t="str">
        <f>TELAS!A6</f>
        <v>wafle 30/1</v>
      </c>
      <c r="C51" s="67" t="str">
        <f>COLORES!A11</f>
        <v>Pacay</v>
      </c>
      <c r="D51" s="67" t="str">
        <f>COLORES!B11</f>
        <v>CLARO</v>
      </c>
      <c r="E51" s="100">
        <f>IFERROR(SUMIFS(MOVIMIENTOS!$F$4:$F$1000,MOVIMIENTOS!$C$4:$C$1000,A51,MOVIMIENTOS!$D$4:$D$1000,B51,MOVIMIENTOS!$E$4:$E$1000,C51,MOVIMIENTOS!$B$4:$B$1000,"INGRESO")+SUMIFS(MOVIMIENTOS!$F$4:$F$1000,MOVIMIENTOS!$C$4:$C$1000,A51,MOVIMIENTOS!$D$4:$D$1000,B51,MOVIMIENTOS!$E$4:$E$1000,C51,MOVIMIENTOS!$B$4:$B$1000,"DE REPROCESO")+SUMIFS(MOVIMIENTOS!$F$4:$F$1000,MOVIMIENTOS!$C$4:$C$1000,A51,MOVIMIENTOS!$D$4:$D$1000,B51,MOVIMIENTOS!$E$4:$E$1000,C51,MOVIMIENTOS!$B$4:$B$1000,"AJUSTE+")-SUMIFS(MOVIMIENTOS!$F$4:$F$1000,MOVIMIENTOS!$C$4:$C$1000,A51,MOVIMIENTOS!$D$4:$D$1000,B51,MOVIMIENTOS!$E$4:$E$1000,C51,MOVIMIENTOS!$B$4:$B$1000,"A CORTE")-SUMIFS(MOVIMIENTOS!$F$4:$F$1000,MOVIMIENTOS!$C$4:$C$1000,A51,MOVIMIENTOS!$D$4:$D$1000,B51,MOVIMIENTOS!$E$4:$E$1000,C51,MOVIMIENTOS!$B$4:$B$1000,"A REPROCESO")-SUMIFS(MOVIMIENTOS!$F$4:$F$1000,MOVIMIENTOS!$C$4:$C$1000,A51,MOVIMIENTOS!$D$4:$D$1000,B51,MOVIMIENTOS!$E$4:$E$1000,C51,MOVIMIENTOS!$B$4:$B$1000,"MUESTRA")-SUMIFS(MOVIMIENTOS!$F$4:$F$1000,MOVIMIENTOS!$C$4:$C$1000,A51,MOVIMIENTOS!$D$4:$D$1000,B51,MOVIMIENTOS!$E$4:$E$1000,C51,MOVIMIENTOS!$B$4:$B$1000,"AJUSTE-"),0)</f>
        <v>11</v>
      </c>
      <c r="F51" s="101">
        <f>IFERROR(E51*VLOOKUP(B51,TELAS!$A$4:$C$32,3,FALSE()),0)</f>
        <v>220</v>
      </c>
      <c r="G51" s="102">
        <f>IFERROR(IF(D51="OSCURO",VLOOKUP(B51,PRECIOS!$A$4:$F$32,2,FALSE()),IF(D51="CLARO",VLOOKUP(B51,PRECIOS!$A$4:$F$32,3,FALSE()),IF(D51="MELANGE",VLOOKUP(B51,PRECIOS!$A$4:$F$32,4,FALSE()),IF(D51="PPT",VLOOKUP(B51,PRECIOS!$A$4:$F$32,5,FALSE()),0)))),0)</f>
        <v>22.5</v>
      </c>
      <c r="H51" s="103">
        <f t="shared" si="1"/>
        <v>4950</v>
      </c>
      <c r="I51" s="104" t="str">
        <f>IF(E51&lt;0,"ERROR",IF(E51=0,"",IF(E51&lt;CONFIG!$B$4,"CRÍTICO",IF(E51&lt;CONFIG!$B$5,"BAJO","OK"))))</f>
        <v>BAJO</v>
      </c>
    </row>
    <row r="52" ht="15.75" customHeight="1">
      <c r="A52" s="90" t="str">
        <f>IF(CLIENTES!A4="","",CLIENTES!A4)</f>
        <v>OverShark</v>
      </c>
      <c r="B52" s="67" t="str">
        <f>TELAS!A6</f>
        <v>wafle 30/1</v>
      </c>
      <c r="C52" s="67" t="str">
        <f>COLORES!A12</f>
        <v>Cemento</v>
      </c>
      <c r="D52" s="67" t="str">
        <f>COLORES!B12</f>
        <v>CLARO</v>
      </c>
      <c r="E52" s="100">
        <f>IFERROR(SUMIFS(MOVIMIENTOS!$F$4:$F$1000,MOVIMIENTOS!$C$4:$C$1000,A52,MOVIMIENTOS!$D$4:$D$1000,B52,MOVIMIENTOS!$E$4:$E$1000,C52,MOVIMIENTOS!$B$4:$B$1000,"INGRESO")+SUMIFS(MOVIMIENTOS!$F$4:$F$1000,MOVIMIENTOS!$C$4:$C$1000,A52,MOVIMIENTOS!$D$4:$D$1000,B52,MOVIMIENTOS!$E$4:$E$1000,C52,MOVIMIENTOS!$B$4:$B$1000,"DE REPROCESO")+SUMIFS(MOVIMIENTOS!$F$4:$F$1000,MOVIMIENTOS!$C$4:$C$1000,A52,MOVIMIENTOS!$D$4:$D$1000,B52,MOVIMIENTOS!$E$4:$E$1000,C52,MOVIMIENTOS!$B$4:$B$1000,"AJUSTE+")-SUMIFS(MOVIMIENTOS!$F$4:$F$1000,MOVIMIENTOS!$C$4:$C$1000,A52,MOVIMIENTOS!$D$4:$D$1000,B52,MOVIMIENTOS!$E$4:$E$1000,C52,MOVIMIENTOS!$B$4:$B$1000,"A CORTE")-SUMIFS(MOVIMIENTOS!$F$4:$F$1000,MOVIMIENTOS!$C$4:$C$1000,A52,MOVIMIENTOS!$D$4:$D$1000,B52,MOVIMIENTOS!$E$4:$E$1000,C52,MOVIMIENTOS!$B$4:$B$1000,"A REPROCESO")-SUMIFS(MOVIMIENTOS!$F$4:$F$1000,MOVIMIENTOS!$C$4:$C$1000,A52,MOVIMIENTOS!$D$4:$D$1000,B52,MOVIMIENTOS!$E$4:$E$1000,C52,MOVIMIENTOS!$B$4:$B$1000,"MUESTRA")-SUMIFS(MOVIMIENTOS!$F$4:$F$1000,MOVIMIENTOS!$C$4:$C$1000,A52,MOVIMIENTOS!$D$4:$D$1000,B52,MOVIMIENTOS!$E$4:$E$1000,C52,MOVIMIENTOS!$B$4:$B$1000,"AJUSTE-"),0)</f>
        <v>11</v>
      </c>
      <c r="F52" s="101">
        <f>IFERROR(E52*VLOOKUP(B52,TELAS!$A$4:$C$32,3,FALSE()),0)</f>
        <v>220</v>
      </c>
      <c r="G52" s="102">
        <f>IFERROR(IF(D52="OSCURO",VLOOKUP(B52,PRECIOS!$A$4:$F$32,2,FALSE()),IF(D52="CLARO",VLOOKUP(B52,PRECIOS!$A$4:$F$32,3,FALSE()),IF(D52="MELANGE",VLOOKUP(B52,PRECIOS!$A$4:$F$32,4,FALSE()),IF(D52="PPT",VLOOKUP(B52,PRECIOS!$A$4:$F$32,5,FALSE()),0)))),0)</f>
        <v>22.5</v>
      </c>
      <c r="H52" s="103">
        <f t="shared" si="1"/>
        <v>4950</v>
      </c>
      <c r="I52" s="104" t="str">
        <f>IF(E52&lt;0,"ERROR",IF(E52=0,"",IF(E52&lt;CONFIG!$B$4,"CRÍTICO",IF(E52&lt;CONFIG!$B$5,"BAJO","OK"))))</f>
        <v>BAJO</v>
      </c>
    </row>
    <row r="53" ht="15.75" customHeight="1">
      <c r="A53" s="90" t="str">
        <f>IF(CLIENTES!A4="","",CLIENTES!A4)</f>
        <v>OverShark</v>
      </c>
      <c r="B53" s="67" t="str">
        <f>TELAS!A6</f>
        <v>wafle 30/1</v>
      </c>
      <c r="C53" s="67" t="str">
        <f>COLORES!A13</f>
        <v>Camote</v>
      </c>
      <c r="D53" s="67" t="str">
        <f>COLORES!B13</f>
        <v>CLARO</v>
      </c>
      <c r="E53" s="100">
        <f>IFERROR(SUMIFS(MOVIMIENTOS!$F$4:$F$1000,MOVIMIENTOS!$C$4:$C$1000,A53,MOVIMIENTOS!$D$4:$D$1000,B53,MOVIMIENTOS!$E$4:$E$1000,C53,MOVIMIENTOS!$B$4:$B$1000,"INGRESO")+SUMIFS(MOVIMIENTOS!$F$4:$F$1000,MOVIMIENTOS!$C$4:$C$1000,A53,MOVIMIENTOS!$D$4:$D$1000,B53,MOVIMIENTOS!$E$4:$E$1000,C53,MOVIMIENTOS!$B$4:$B$1000,"DE REPROCESO")+SUMIFS(MOVIMIENTOS!$F$4:$F$1000,MOVIMIENTOS!$C$4:$C$1000,A53,MOVIMIENTOS!$D$4:$D$1000,B53,MOVIMIENTOS!$E$4:$E$1000,C53,MOVIMIENTOS!$B$4:$B$1000,"AJUSTE+")-SUMIFS(MOVIMIENTOS!$F$4:$F$1000,MOVIMIENTOS!$C$4:$C$1000,A53,MOVIMIENTOS!$D$4:$D$1000,B53,MOVIMIENTOS!$E$4:$E$1000,C53,MOVIMIENTOS!$B$4:$B$1000,"A CORTE")-SUMIFS(MOVIMIENTOS!$F$4:$F$1000,MOVIMIENTOS!$C$4:$C$1000,A53,MOVIMIENTOS!$D$4:$D$1000,B53,MOVIMIENTOS!$E$4:$E$1000,C53,MOVIMIENTOS!$B$4:$B$1000,"A REPROCESO")-SUMIFS(MOVIMIENTOS!$F$4:$F$1000,MOVIMIENTOS!$C$4:$C$1000,A53,MOVIMIENTOS!$D$4:$D$1000,B53,MOVIMIENTOS!$E$4:$E$1000,C53,MOVIMIENTOS!$B$4:$B$1000,"MUESTRA")-SUMIFS(MOVIMIENTOS!$F$4:$F$1000,MOVIMIENTOS!$C$4:$C$1000,A53,MOVIMIENTOS!$D$4:$D$1000,B53,MOVIMIENTOS!$E$4:$E$1000,C53,MOVIMIENTOS!$B$4:$B$1000,"AJUSTE-"),0)</f>
        <v>0</v>
      </c>
      <c r="F53" s="101">
        <f>IFERROR(E53*VLOOKUP(B53,TELAS!$A$4:$C$32,3,FALSE()),0)</f>
        <v>0</v>
      </c>
      <c r="G53" s="102">
        <f>IFERROR(IF(D53="OSCURO",VLOOKUP(B53,PRECIOS!$A$4:$F$32,2,FALSE()),IF(D53="CLARO",VLOOKUP(B53,PRECIOS!$A$4:$F$32,3,FALSE()),IF(D53="MELANGE",VLOOKUP(B53,PRECIOS!$A$4:$F$32,4,FALSE()),IF(D53="PPT",VLOOKUP(B53,PRECIOS!$A$4:$F$32,5,FALSE()),0)))),0)</f>
        <v>22.5</v>
      </c>
      <c r="H53" s="103">
        <f t="shared" si="1"/>
        <v>0</v>
      </c>
      <c r="I53" s="104" t="str">
        <f>IF(E53&lt;0,"ERROR",IF(E53=0,"",IF(E53&lt;CONFIG!$B$4,"CRÍTICO",IF(E53&lt;CONFIG!$B$5,"BAJO","OK"))))</f>
        <v/>
      </c>
    </row>
    <row r="54" ht="15.75" customHeight="1">
      <c r="A54" s="90" t="str">
        <f>IF(CLIENTES!A4="","",CLIENTES!A4)</f>
        <v>OverShark</v>
      </c>
      <c r="B54" s="67" t="str">
        <f>TELAS!A6</f>
        <v>wafle 30/1</v>
      </c>
      <c r="C54" s="67" t="str">
        <f>COLORES!A14</f>
        <v>Denim</v>
      </c>
      <c r="D54" s="67" t="str">
        <f>COLORES!B14</f>
        <v>CLARO</v>
      </c>
      <c r="E54" s="100">
        <f>IFERROR(SUMIFS(MOVIMIENTOS!$F$4:$F$1000,MOVIMIENTOS!$C$4:$C$1000,A54,MOVIMIENTOS!$D$4:$D$1000,B54,MOVIMIENTOS!$E$4:$E$1000,C54,MOVIMIENTOS!$B$4:$B$1000,"INGRESO")+SUMIFS(MOVIMIENTOS!$F$4:$F$1000,MOVIMIENTOS!$C$4:$C$1000,A54,MOVIMIENTOS!$D$4:$D$1000,B54,MOVIMIENTOS!$E$4:$E$1000,C54,MOVIMIENTOS!$B$4:$B$1000,"DE REPROCESO")+SUMIFS(MOVIMIENTOS!$F$4:$F$1000,MOVIMIENTOS!$C$4:$C$1000,A54,MOVIMIENTOS!$D$4:$D$1000,B54,MOVIMIENTOS!$E$4:$E$1000,C54,MOVIMIENTOS!$B$4:$B$1000,"AJUSTE+")-SUMIFS(MOVIMIENTOS!$F$4:$F$1000,MOVIMIENTOS!$C$4:$C$1000,A54,MOVIMIENTOS!$D$4:$D$1000,B54,MOVIMIENTOS!$E$4:$E$1000,C54,MOVIMIENTOS!$B$4:$B$1000,"A CORTE")-SUMIFS(MOVIMIENTOS!$F$4:$F$1000,MOVIMIENTOS!$C$4:$C$1000,A54,MOVIMIENTOS!$D$4:$D$1000,B54,MOVIMIENTOS!$E$4:$E$1000,C54,MOVIMIENTOS!$B$4:$B$1000,"A REPROCESO")-SUMIFS(MOVIMIENTOS!$F$4:$F$1000,MOVIMIENTOS!$C$4:$C$1000,A54,MOVIMIENTOS!$D$4:$D$1000,B54,MOVIMIENTOS!$E$4:$E$1000,C54,MOVIMIENTOS!$B$4:$B$1000,"MUESTRA")-SUMIFS(MOVIMIENTOS!$F$4:$F$1000,MOVIMIENTOS!$C$4:$C$1000,A54,MOVIMIENTOS!$D$4:$D$1000,B54,MOVIMIENTOS!$E$4:$E$1000,C54,MOVIMIENTOS!$B$4:$B$1000,"AJUSTE-"),0)</f>
        <v>11</v>
      </c>
      <c r="F54" s="101">
        <f>IFERROR(E54*VLOOKUP(B54,TELAS!$A$4:$C$32,3,FALSE()),0)</f>
        <v>220</v>
      </c>
      <c r="G54" s="102">
        <f>IFERROR(IF(D54="OSCURO",VLOOKUP(B54,PRECIOS!$A$4:$F$32,2,FALSE()),IF(D54="CLARO",VLOOKUP(B54,PRECIOS!$A$4:$F$32,3,FALSE()),IF(D54="MELANGE",VLOOKUP(B54,PRECIOS!$A$4:$F$32,4,FALSE()),IF(D54="PPT",VLOOKUP(B54,PRECIOS!$A$4:$F$32,5,FALSE()),0)))),0)</f>
        <v>22.5</v>
      </c>
      <c r="H54" s="103">
        <f t="shared" si="1"/>
        <v>4950</v>
      </c>
      <c r="I54" s="104" t="str">
        <f>IF(E54&lt;0,"ERROR",IF(E54=0,"",IF(E54&lt;CONFIG!$B$4,"CRÍTICO",IF(E54&lt;CONFIG!$B$5,"BAJO","OK"))))</f>
        <v>BAJO</v>
      </c>
    </row>
    <row r="55" ht="15.75" customHeight="1">
      <c r="A55" s="90" t="str">
        <f>IF(CLIENTES!A4="","",CLIENTES!A4)</f>
        <v>OverShark</v>
      </c>
      <c r="B55" s="67" t="str">
        <f>TELAS!A6</f>
        <v>wafle 30/1</v>
      </c>
      <c r="C55" s="67" t="str">
        <f>COLORES!A15</f>
        <v>Plomo</v>
      </c>
      <c r="D55" s="67" t="str">
        <f>COLORES!B15</f>
        <v>OSCURO</v>
      </c>
      <c r="E55" s="100">
        <f>IFERROR(SUMIFS(MOVIMIENTOS!$F$4:$F$1000,MOVIMIENTOS!$C$4:$C$1000,A55,MOVIMIENTOS!$D$4:$D$1000,B55,MOVIMIENTOS!$E$4:$E$1000,C55,MOVIMIENTOS!$B$4:$B$1000,"INGRESO")+SUMIFS(MOVIMIENTOS!$F$4:$F$1000,MOVIMIENTOS!$C$4:$C$1000,A55,MOVIMIENTOS!$D$4:$D$1000,B55,MOVIMIENTOS!$E$4:$E$1000,C55,MOVIMIENTOS!$B$4:$B$1000,"DE REPROCESO")+SUMIFS(MOVIMIENTOS!$F$4:$F$1000,MOVIMIENTOS!$C$4:$C$1000,A55,MOVIMIENTOS!$D$4:$D$1000,B55,MOVIMIENTOS!$E$4:$E$1000,C55,MOVIMIENTOS!$B$4:$B$1000,"AJUSTE+")-SUMIFS(MOVIMIENTOS!$F$4:$F$1000,MOVIMIENTOS!$C$4:$C$1000,A55,MOVIMIENTOS!$D$4:$D$1000,B55,MOVIMIENTOS!$E$4:$E$1000,C55,MOVIMIENTOS!$B$4:$B$1000,"A CORTE")-SUMIFS(MOVIMIENTOS!$F$4:$F$1000,MOVIMIENTOS!$C$4:$C$1000,A55,MOVIMIENTOS!$D$4:$D$1000,B55,MOVIMIENTOS!$E$4:$E$1000,C55,MOVIMIENTOS!$B$4:$B$1000,"A REPROCESO")-SUMIFS(MOVIMIENTOS!$F$4:$F$1000,MOVIMIENTOS!$C$4:$C$1000,A55,MOVIMIENTOS!$D$4:$D$1000,B55,MOVIMIENTOS!$E$4:$E$1000,C55,MOVIMIENTOS!$B$4:$B$1000,"MUESTRA")-SUMIFS(MOVIMIENTOS!$F$4:$F$1000,MOVIMIENTOS!$C$4:$C$1000,A55,MOVIMIENTOS!$D$4:$D$1000,B55,MOVIMIENTOS!$E$4:$E$1000,C55,MOVIMIENTOS!$B$4:$B$1000,"AJUSTE-"),0)</f>
        <v>19</v>
      </c>
      <c r="F55" s="101">
        <f>IFERROR(E55*VLOOKUP(B55,TELAS!$A$4:$C$32,3,FALSE()),0)</f>
        <v>380</v>
      </c>
      <c r="G55" s="102">
        <f>IFERROR(IF(D55="OSCURO",VLOOKUP(B55,PRECIOS!$A$4:$F$32,2,FALSE()),IF(D55="CLARO",VLOOKUP(B55,PRECIOS!$A$4:$F$32,3,FALSE()),IF(D55="MELANGE",VLOOKUP(B55,PRECIOS!$A$4:$F$32,4,FALSE()),IF(D55="PPT",VLOOKUP(B55,PRECIOS!$A$4:$F$32,5,FALSE()),0)))),0)</f>
        <v>26</v>
      </c>
      <c r="H55" s="103">
        <f t="shared" si="1"/>
        <v>9880</v>
      </c>
      <c r="I55" s="104" t="str">
        <f>IF(E55&lt;0,"ERROR",IF(E55=0,"",IF(E55&lt;CONFIG!$B$4,"CRÍTICO",IF(E55&lt;CONFIG!$B$5,"BAJO","OK"))))</f>
        <v>OK</v>
      </c>
    </row>
    <row r="56" ht="15.75" customHeight="1">
      <c r="A56" s="90" t="str">
        <f>IF(CLIENTES!A4="","",CLIENTES!A4)</f>
        <v>OverShark</v>
      </c>
      <c r="B56" s="67" t="str">
        <f>TELAS!A6</f>
        <v>wafle 30/1</v>
      </c>
      <c r="C56" s="67" t="str">
        <f>COLORES!A16</f>
        <v>Topo</v>
      </c>
      <c r="D56" s="67" t="str">
        <f>COLORES!B16</f>
        <v>CLARO</v>
      </c>
      <c r="E56" s="100">
        <f>IFERROR(SUMIFS(MOVIMIENTOS!$F$4:$F$1000,MOVIMIENTOS!$C$4:$C$1000,A56,MOVIMIENTOS!$D$4:$D$1000,B56,MOVIMIENTOS!$E$4:$E$1000,C56,MOVIMIENTOS!$B$4:$B$1000,"INGRESO")+SUMIFS(MOVIMIENTOS!$F$4:$F$1000,MOVIMIENTOS!$C$4:$C$1000,A56,MOVIMIENTOS!$D$4:$D$1000,B56,MOVIMIENTOS!$E$4:$E$1000,C56,MOVIMIENTOS!$B$4:$B$1000,"DE REPROCESO")+SUMIFS(MOVIMIENTOS!$F$4:$F$1000,MOVIMIENTOS!$C$4:$C$1000,A56,MOVIMIENTOS!$D$4:$D$1000,B56,MOVIMIENTOS!$E$4:$E$1000,C56,MOVIMIENTOS!$B$4:$B$1000,"AJUSTE+")-SUMIFS(MOVIMIENTOS!$F$4:$F$1000,MOVIMIENTOS!$C$4:$C$1000,A56,MOVIMIENTOS!$D$4:$D$1000,B56,MOVIMIENTOS!$E$4:$E$1000,C56,MOVIMIENTOS!$B$4:$B$1000,"A CORTE")-SUMIFS(MOVIMIENTOS!$F$4:$F$1000,MOVIMIENTOS!$C$4:$C$1000,A56,MOVIMIENTOS!$D$4:$D$1000,B56,MOVIMIENTOS!$E$4:$E$1000,C56,MOVIMIENTOS!$B$4:$B$1000,"A REPROCESO")-SUMIFS(MOVIMIENTOS!$F$4:$F$1000,MOVIMIENTOS!$C$4:$C$1000,A56,MOVIMIENTOS!$D$4:$D$1000,B56,MOVIMIENTOS!$E$4:$E$1000,C56,MOVIMIENTOS!$B$4:$B$1000,"MUESTRA")-SUMIFS(MOVIMIENTOS!$F$4:$F$1000,MOVIMIENTOS!$C$4:$C$1000,A56,MOVIMIENTOS!$D$4:$D$1000,B56,MOVIMIENTOS!$E$4:$E$1000,C56,MOVIMIENTOS!$B$4:$B$1000,"AJUSTE-"),0)</f>
        <v>6</v>
      </c>
      <c r="F56" s="101">
        <f>IFERROR(E56*VLOOKUP(B56,TELAS!$A$4:$C$32,3,FALSE()),0)</f>
        <v>120</v>
      </c>
      <c r="G56" s="102">
        <f>IFERROR(IF(D56="OSCURO",VLOOKUP(B56,PRECIOS!$A$4:$F$32,2,FALSE()),IF(D56="CLARO",VLOOKUP(B56,PRECIOS!$A$4:$F$32,3,FALSE()),IF(D56="MELANGE",VLOOKUP(B56,PRECIOS!$A$4:$F$32,4,FALSE()),IF(D56="PPT",VLOOKUP(B56,PRECIOS!$A$4:$F$32,5,FALSE()),0)))),0)</f>
        <v>22.5</v>
      </c>
      <c r="H56" s="103">
        <f t="shared" si="1"/>
        <v>2700</v>
      </c>
      <c r="I56" s="104" t="str">
        <f>IF(E56&lt;0,"ERROR",IF(E56=0,"",IF(E56&lt;CONFIG!$B$4,"CRÍTICO",IF(E56&lt;CONFIG!$B$5,"BAJO","OK"))))</f>
        <v>BAJO</v>
      </c>
    </row>
    <row r="57" ht="15.75" customHeight="1">
      <c r="A57" s="90" t="str">
        <f>IF(CLIENTES!A4="","",CLIENTES!A4)</f>
        <v>OverShark</v>
      </c>
      <c r="B57" s="67" t="str">
        <f>TELAS!A6</f>
        <v>wafle 30/1</v>
      </c>
      <c r="C57" s="67" t="str">
        <f>COLORES!A17</f>
        <v>Vino</v>
      </c>
      <c r="D57" s="67" t="str">
        <f>COLORES!B17</f>
        <v>OSCURO</v>
      </c>
      <c r="E57" s="100">
        <f>IFERROR(SUMIFS(MOVIMIENTOS!$F$4:$F$1000,MOVIMIENTOS!$C$4:$C$1000,A57,MOVIMIENTOS!$D$4:$D$1000,B57,MOVIMIENTOS!$E$4:$E$1000,C57,MOVIMIENTOS!$B$4:$B$1000,"INGRESO")+SUMIFS(MOVIMIENTOS!$F$4:$F$1000,MOVIMIENTOS!$C$4:$C$1000,A57,MOVIMIENTOS!$D$4:$D$1000,B57,MOVIMIENTOS!$E$4:$E$1000,C57,MOVIMIENTOS!$B$4:$B$1000,"DE REPROCESO")+SUMIFS(MOVIMIENTOS!$F$4:$F$1000,MOVIMIENTOS!$C$4:$C$1000,A57,MOVIMIENTOS!$D$4:$D$1000,B57,MOVIMIENTOS!$E$4:$E$1000,C57,MOVIMIENTOS!$B$4:$B$1000,"AJUSTE+")-SUMIFS(MOVIMIENTOS!$F$4:$F$1000,MOVIMIENTOS!$C$4:$C$1000,A57,MOVIMIENTOS!$D$4:$D$1000,B57,MOVIMIENTOS!$E$4:$E$1000,C57,MOVIMIENTOS!$B$4:$B$1000,"A CORTE")-SUMIFS(MOVIMIENTOS!$F$4:$F$1000,MOVIMIENTOS!$C$4:$C$1000,A57,MOVIMIENTOS!$D$4:$D$1000,B57,MOVIMIENTOS!$E$4:$E$1000,C57,MOVIMIENTOS!$B$4:$B$1000,"A REPROCESO")-SUMIFS(MOVIMIENTOS!$F$4:$F$1000,MOVIMIENTOS!$C$4:$C$1000,A57,MOVIMIENTOS!$D$4:$D$1000,B57,MOVIMIENTOS!$E$4:$E$1000,C57,MOVIMIENTOS!$B$4:$B$1000,"MUESTRA")-SUMIFS(MOVIMIENTOS!$F$4:$F$1000,MOVIMIENTOS!$C$4:$C$1000,A57,MOVIMIENTOS!$D$4:$D$1000,B57,MOVIMIENTOS!$E$4:$E$1000,C57,MOVIMIENTOS!$B$4:$B$1000,"AJUSTE-"),0)</f>
        <v>0</v>
      </c>
      <c r="F57" s="101">
        <f>IFERROR(E57*VLOOKUP(B57,TELAS!$A$4:$C$32,3,FALSE()),0)</f>
        <v>0</v>
      </c>
      <c r="G57" s="102">
        <f>IFERROR(IF(D57="OSCURO",VLOOKUP(B57,PRECIOS!$A$4:$F$32,2,FALSE()),IF(D57="CLARO",VLOOKUP(B57,PRECIOS!$A$4:$F$32,3,FALSE()),IF(D57="MELANGE",VLOOKUP(B57,PRECIOS!$A$4:$F$32,4,FALSE()),IF(D57="PPT",VLOOKUP(B57,PRECIOS!$A$4:$F$32,5,FALSE()),0)))),0)</f>
        <v>26</v>
      </c>
      <c r="H57" s="103">
        <f t="shared" si="1"/>
        <v>0</v>
      </c>
      <c r="I57" s="104" t="str">
        <f>IF(E57&lt;0,"ERROR",IF(E57=0,"",IF(E57&lt;CONFIG!$B$4,"CRÍTICO",IF(E57&lt;CONFIG!$B$5,"BAJO","OK"))))</f>
        <v/>
      </c>
    </row>
    <row r="58" ht="15.75" customHeight="1">
      <c r="A58" s="90" t="str">
        <f>IF(CLIENTES!A4="","",CLIENTES!A4)</f>
        <v>OverShark</v>
      </c>
      <c r="B58" s="67" t="str">
        <f>TELAS!A6</f>
        <v>wafle 30/1</v>
      </c>
      <c r="C58" s="67" t="str">
        <f>COLORES!A18</f>
        <v>P. Rosa</v>
      </c>
      <c r="D58" s="67" t="str">
        <f>COLORES!B18</f>
        <v>CLARO</v>
      </c>
      <c r="E58" s="100">
        <f>IFERROR(SUMIFS(MOVIMIENTOS!$F$4:$F$1000,MOVIMIENTOS!$C$4:$C$1000,A58,MOVIMIENTOS!$D$4:$D$1000,B58,MOVIMIENTOS!$E$4:$E$1000,C58,MOVIMIENTOS!$B$4:$B$1000,"INGRESO")+SUMIFS(MOVIMIENTOS!$F$4:$F$1000,MOVIMIENTOS!$C$4:$C$1000,A58,MOVIMIENTOS!$D$4:$D$1000,B58,MOVIMIENTOS!$E$4:$E$1000,C58,MOVIMIENTOS!$B$4:$B$1000,"DE REPROCESO")+SUMIFS(MOVIMIENTOS!$F$4:$F$1000,MOVIMIENTOS!$C$4:$C$1000,A58,MOVIMIENTOS!$D$4:$D$1000,B58,MOVIMIENTOS!$E$4:$E$1000,C58,MOVIMIENTOS!$B$4:$B$1000,"AJUSTE+")-SUMIFS(MOVIMIENTOS!$F$4:$F$1000,MOVIMIENTOS!$C$4:$C$1000,A58,MOVIMIENTOS!$D$4:$D$1000,B58,MOVIMIENTOS!$E$4:$E$1000,C58,MOVIMIENTOS!$B$4:$B$1000,"A CORTE")-SUMIFS(MOVIMIENTOS!$F$4:$F$1000,MOVIMIENTOS!$C$4:$C$1000,A58,MOVIMIENTOS!$D$4:$D$1000,B58,MOVIMIENTOS!$E$4:$E$1000,C58,MOVIMIENTOS!$B$4:$B$1000,"A REPROCESO")-SUMIFS(MOVIMIENTOS!$F$4:$F$1000,MOVIMIENTOS!$C$4:$C$1000,A58,MOVIMIENTOS!$D$4:$D$1000,B58,MOVIMIENTOS!$E$4:$E$1000,C58,MOVIMIENTOS!$B$4:$B$1000,"MUESTRA")-SUMIFS(MOVIMIENTOS!$F$4:$F$1000,MOVIMIENTOS!$C$4:$C$1000,A58,MOVIMIENTOS!$D$4:$D$1000,B58,MOVIMIENTOS!$E$4:$E$1000,C58,MOVIMIENTOS!$B$4:$B$1000,"AJUSTE-"),0)</f>
        <v>15</v>
      </c>
      <c r="F58" s="101">
        <f>IFERROR(E58*VLOOKUP(B58,TELAS!$A$4:$C$32,3,FALSE()),0)</f>
        <v>300</v>
      </c>
      <c r="G58" s="102">
        <f>IFERROR(IF(D58="OSCURO",VLOOKUP(B58,PRECIOS!$A$4:$F$32,2,FALSE()),IF(D58="CLARO",VLOOKUP(B58,PRECIOS!$A$4:$F$32,3,FALSE()),IF(D58="MELANGE",VLOOKUP(B58,PRECIOS!$A$4:$F$32,4,FALSE()),IF(D58="PPT",VLOOKUP(B58,PRECIOS!$A$4:$F$32,5,FALSE()),0)))),0)</f>
        <v>22.5</v>
      </c>
      <c r="H58" s="103">
        <f t="shared" si="1"/>
        <v>6750</v>
      </c>
      <c r="I58" s="104" t="str">
        <f>IF(E58&lt;0,"ERROR",IF(E58=0,"",IF(E58&lt;CONFIG!$B$4,"CRÍTICO",IF(E58&lt;CONFIG!$B$5,"BAJO","OK"))))</f>
        <v>OK</v>
      </c>
    </row>
    <row r="59" ht="15.75" customHeight="1">
      <c r="A59" s="90" t="str">
        <f>IF(CLIENTES!A4="","",CLIENTES!A4)</f>
        <v>OverShark</v>
      </c>
      <c r="B59" s="67" t="str">
        <f>TELAS!A6</f>
        <v>wafle 30/1</v>
      </c>
      <c r="C59" s="67" t="str">
        <f>COLORES!A19</f>
        <v/>
      </c>
      <c r="D59" s="67" t="str">
        <f>COLORES!B19</f>
        <v/>
      </c>
      <c r="E59" s="100">
        <f>IFERROR(SUMIFS(MOVIMIENTOS!$F$4:$F$1000,MOVIMIENTOS!$C$4:$C$1000,A59,MOVIMIENTOS!$D$4:$D$1000,B59,MOVIMIENTOS!$E$4:$E$1000,C59,MOVIMIENTOS!$B$4:$B$1000,"INGRESO")+SUMIFS(MOVIMIENTOS!$F$4:$F$1000,MOVIMIENTOS!$C$4:$C$1000,A59,MOVIMIENTOS!$D$4:$D$1000,B59,MOVIMIENTOS!$E$4:$E$1000,C59,MOVIMIENTOS!$B$4:$B$1000,"DE REPROCESO")+SUMIFS(MOVIMIENTOS!$F$4:$F$1000,MOVIMIENTOS!$C$4:$C$1000,A59,MOVIMIENTOS!$D$4:$D$1000,B59,MOVIMIENTOS!$E$4:$E$1000,C59,MOVIMIENTOS!$B$4:$B$1000,"AJUSTE+")-SUMIFS(MOVIMIENTOS!$F$4:$F$1000,MOVIMIENTOS!$C$4:$C$1000,A59,MOVIMIENTOS!$D$4:$D$1000,B59,MOVIMIENTOS!$E$4:$E$1000,C59,MOVIMIENTOS!$B$4:$B$1000,"A CORTE")-SUMIFS(MOVIMIENTOS!$F$4:$F$1000,MOVIMIENTOS!$C$4:$C$1000,A59,MOVIMIENTOS!$D$4:$D$1000,B59,MOVIMIENTOS!$E$4:$E$1000,C59,MOVIMIENTOS!$B$4:$B$1000,"A REPROCESO")-SUMIFS(MOVIMIENTOS!$F$4:$F$1000,MOVIMIENTOS!$C$4:$C$1000,A59,MOVIMIENTOS!$D$4:$D$1000,B59,MOVIMIENTOS!$E$4:$E$1000,C59,MOVIMIENTOS!$B$4:$B$1000,"MUESTRA")-SUMIFS(MOVIMIENTOS!$F$4:$F$1000,MOVIMIENTOS!$C$4:$C$1000,A59,MOVIMIENTOS!$D$4:$D$1000,B59,MOVIMIENTOS!$E$4:$E$1000,C59,MOVIMIENTOS!$B$4:$B$1000,"AJUSTE-"),0)</f>
        <v>0</v>
      </c>
      <c r="F59" s="101">
        <f>IFERROR(E59*VLOOKUP(B59,TELAS!$A$4:$C$32,3,FALSE()),0)</f>
        <v>0</v>
      </c>
      <c r="G59" s="102">
        <f>IFERROR(IF(D59="OSCURO",VLOOKUP(B59,PRECIOS!$A$4:$F$32,2,FALSE()),IF(D59="CLARO",VLOOKUP(B59,PRECIOS!$A$4:$F$32,3,FALSE()),IF(D59="MELANGE",VLOOKUP(B59,PRECIOS!$A$4:$F$32,4,FALSE()),IF(D59="PPT",VLOOKUP(B59,PRECIOS!$A$4:$F$32,5,FALSE()),0)))),0)</f>
        <v>0</v>
      </c>
      <c r="H59" s="103">
        <f t="shared" si="1"/>
        <v>0</v>
      </c>
      <c r="I59" s="104" t="str">
        <f>IF(E59&lt;0,"ERROR",IF(E59=0,"",IF(E59&lt;CONFIG!$B$4,"CRÍTICO",IF(E59&lt;CONFIG!$B$5,"BAJO","OK"))))</f>
        <v/>
      </c>
    </row>
    <row r="60" ht="15.75" customHeight="1">
      <c r="A60" s="90" t="str">
        <f>IF(CLIENTES!A4="","",CLIENTES!A4)</f>
        <v>OverShark</v>
      </c>
      <c r="B60" s="67" t="str">
        <f>TELAS!A6</f>
        <v>wafle 30/1</v>
      </c>
      <c r="C60" s="67" t="str">
        <f>COLORES!A20</f>
        <v/>
      </c>
      <c r="D60" s="67" t="str">
        <f>COLORES!B20</f>
        <v/>
      </c>
      <c r="E60" s="100">
        <f>IFERROR(SUMIFS(MOVIMIENTOS!$F$4:$F$1000,MOVIMIENTOS!$C$4:$C$1000,A60,MOVIMIENTOS!$D$4:$D$1000,B60,MOVIMIENTOS!$E$4:$E$1000,C60,MOVIMIENTOS!$B$4:$B$1000,"INGRESO")+SUMIFS(MOVIMIENTOS!$F$4:$F$1000,MOVIMIENTOS!$C$4:$C$1000,A60,MOVIMIENTOS!$D$4:$D$1000,B60,MOVIMIENTOS!$E$4:$E$1000,C60,MOVIMIENTOS!$B$4:$B$1000,"DE REPROCESO")+SUMIFS(MOVIMIENTOS!$F$4:$F$1000,MOVIMIENTOS!$C$4:$C$1000,A60,MOVIMIENTOS!$D$4:$D$1000,B60,MOVIMIENTOS!$E$4:$E$1000,C60,MOVIMIENTOS!$B$4:$B$1000,"AJUSTE+")-SUMIFS(MOVIMIENTOS!$F$4:$F$1000,MOVIMIENTOS!$C$4:$C$1000,A60,MOVIMIENTOS!$D$4:$D$1000,B60,MOVIMIENTOS!$E$4:$E$1000,C60,MOVIMIENTOS!$B$4:$B$1000,"A CORTE")-SUMIFS(MOVIMIENTOS!$F$4:$F$1000,MOVIMIENTOS!$C$4:$C$1000,A60,MOVIMIENTOS!$D$4:$D$1000,B60,MOVIMIENTOS!$E$4:$E$1000,C60,MOVIMIENTOS!$B$4:$B$1000,"A REPROCESO")-SUMIFS(MOVIMIENTOS!$F$4:$F$1000,MOVIMIENTOS!$C$4:$C$1000,A60,MOVIMIENTOS!$D$4:$D$1000,B60,MOVIMIENTOS!$E$4:$E$1000,C60,MOVIMIENTOS!$B$4:$B$1000,"MUESTRA")-SUMIFS(MOVIMIENTOS!$F$4:$F$1000,MOVIMIENTOS!$C$4:$C$1000,A60,MOVIMIENTOS!$D$4:$D$1000,B60,MOVIMIENTOS!$E$4:$E$1000,C60,MOVIMIENTOS!$B$4:$B$1000,"AJUSTE-"),0)</f>
        <v>0</v>
      </c>
      <c r="F60" s="101">
        <f>IFERROR(E60*VLOOKUP(B60,TELAS!$A$4:$C$32,3,FALSE()),0)</f>
        <v>0</v>
      </c>
      <c r="G60" s="102">
        <f>IFERROR(IF(D60="OSCURO",VLOOKUP(B60,PRECIOS!$A$4:$F$32,2,FALSE()),IF(D60="CLARO",VLOOKUP(B60,PRECIOS!$A$4:$F$32,3,FALSE()),IF(D60="MELANGE",VLOOKUP(B60,PRECIOS!$A$4:$F$32,4,FALSE()),IF(D60="PPT",VLOOKUP(B60,PRECIOS!$A$4:$F$32,5,FALSE()),0)))),0)</f>
        <v>0</v>
      </c>
      <c r="H60" s="103">
        <f t="shared" si="1"/>
        <v>0</v>
      </c>
      <c r="I60" s="104" t="str">
        <f>IF(E60&lt;0,"ERROR",IF(E60=0,"",IF(E60&lt;CONFIG!$B$4,"CRÍTICO",IF(E60&lt;CONFIG!$B$5,"BAJO","OK"))))</f>
        <v/>
      </c>
    </row>
    <row r="61" ht="15.75" customHeight="1">
      <c r="A61" s="90" t="str">
        <f>IF(CLIENTES!A4="","",CLIENTES!A4)</f>
        <v>OverShark</v>
      </c>
      <c r="B61" s="67" t="str">
        <f>TELAS!A6</f>
        <v>wafle 30/1</v>
      </c>
      <c r="C61" s="67" t="str">
        <f>COLORES!A21</f>
        <v/>
      </c>
      <c r="D61" s="67" t="str">
        <f>COLORES!B21</f>
        <v/>
      </c>
      <c r="E61" s="100">
        <f>IFERROR(SUMIFS(MOVIMIENTOS!$F$4:$F$1000,MOVIMIENTOS!$C$4:$C$1000,A61,MOVIMIENTOS!$D$4:$D$1000,B61,MOVIMIENTOS!$E$4:$E$1000,C61,MOVIMIENTOS!$B$4:$B$1000,"INGRESO")+SUMIFS(MOVIMIENTOS!$F$4:$F$1000,MOVIMIENTOS!$C$4:$C$1000,A61,MOVIMIENTOS!$D$4:$D$1000,B61,MOVIMIENTOS!$E$4:$E$1000,C61,MOVIMIENTOS!$B$4:$B$1000,"DE REPROCESO")+SUMIFS(MOVIMIENTOS!$F$4:$F$1000,MOVIMIENTOS!$C$4:$C$1000,A61,MOVIMIENTOS!$D$4:$D$1000,B61,MOVIMIENTOS!$E$4:$E$1000,C61,MOVIMIENTOS!$B$4:$B$1000,"AJUSTE+")-SUMIFS(MOVIMIENTOS!$F$4:$F$1000,MOVIMIENTOS!$C$4:$C$1000,A61,MOVIMIENTOS!$D$4:$D$1000,B61,MOVIMIENTOS!$E$4:$E$1000,C61,MOVIMIENTOS!$B$4:$B$1000,"A CORTE")-SUMIFS(MOVIMIENTOS!$F$4:$F$1000,MOVIMIENTOS!$C$4:$C$1000,A61,MOVIMIENTOS!$D$4:$D$1000,B61,MOVIMIENTOS!$E$4:$E$1000,C61,MOVIMIENTOS!$B$4:$B$1000,"A REPROCESO")-SUMIFS(MOVIMIENTOS!$F$4:$F$1000,MOVIMIENTOS!$C$4:$C$1000,A61,MOVIMIENTOS!$D$4:$D$1000,B61,MOVIMIENTOS!$E$4:$E$1000,C61,MOVIMIENTOS!$B$4:$B$1000,"MUESTRA")-SUMIFS(MOVIMIENTOS!$F$4:$F$1000,MOVIMIENTOS!$C$4:$C$1000,A61,MOVIMIENTOS!$D$4:$D$1000,B61,MOVIMIENTOS!$E$4:$E$1000,C61,MOVIMIENTOS!$B$4:$B$1000,"AJUSTE-"),0)</f>
        <v>0</v>
      </c>
      <c r="F61" s="101">
        <f>IFERROR(E61*VLOOKUP(B61,TELAS!$A$4:$C$32,3,FALSE()),0)</f>
        <v>0</v>
      </c>
      <c r="G61" s="102">
        <f>IFERROR(IF(D61="OSCURO",VLOOKUP(B61,PRECIOS!$A$4:$F$32,2,FALSE()),IF(D61="CLARO",VLOOKUP(B61,PRECIOS!$A$4:$F$32,3,FALSE()),IF(D61="MELANGE",VLOOKUP(B61,PRECIOS!$A$4:$F$32,4,FALSE()),IF(D61="PPT",VLOOKUP(B61,PRECIOS!$A$4:$F$32,5,FALSE()),0)))),0)</f>
        <v>0</v>
      </c>
      <c r="H61" s="103">
        <f t="shared" si="1"/>
        <v>0</v>
      </c>
      <c r="I61" s="104" t="str">
        <f>IF(E61&lt;0,"ERROR",IF(E61=0,"",IF(E61&lt;CONFIG!$B$4,"CRÍTICO",IF(E61&lt;CONFIG!$B$5,"BAJO","OK"))))</f>
        <v/>
      </c>
    </row>
    <row r="62" ht="15.75" customHeight="1">
      <c r="A62" s="90" t="str">
        <f>IF(CLIENTES!A4="","",CLIENTES!A4)</f>
        <v>OverShark</v>
      </c>
      <c r="B62" s="67" t="str">
        <f>TELAS!A6</f>
        <v>wafle 30/1</v>
      </c>
      <c r="C62" s="67" t="str">
        <f>COLORES!A22</f>
        <v/>
      </c>
      <c r="D62" s="67" t="str">
        <f>COLORES!B22</f>
        <v/>
      </c>
      <c r="E62" s="100">
        <f>IFERROR(SUMIFS(MOVIMIENTOS!$F$4:$F$1000,MOVIMIENTOS!$C$4:$C$1000,A62,MOVIMIENTOS!$D$4:$D$1000,B62,MOVIMIENTOS!$E$4:$E$1000,C62,MOVIMIENTOS!$B$4:$B$1000,"INGRESO")+SUMIFS(MOVIMIENTOS!$F$4:$F$1000,MOVIMIENTOS!$C$4:$C$1000,A62,MOVIMIENTOS!$D$4:$D$1000,B62,MOVIMIENTOS!$E$4:$E$1000,C62,MOVIMIENTOS!$B$4:$B$1000,"DE REPROCESO")+SUMIFS(MOVIMIENTOS!$F$4:$F$1000,MOVIMIENTOS!$C$4:$C$1000,A62,MOVIMIENTOS!$D$4:$D$1000,B62,MOVIMIENTOS!$E$4:$E$1000,C62,MOVIMIENTOS!$B$4:$B$1000,"AJUSTE+")-SUMIFS(MOVIMIENTOS!$F$4:$F$1000,MOVIMIENTOS!$C$4:$C$1000,A62,MOVIMIENTOS!$D$4:$D$1000,B62,MOVIMIENTOS!$E$4:$E$1000,C62,MOVIMIENTOS!$B$4:$B$1000,"A CORTE")-SUMIFS(MOVIMIENTOS!$F$4:$F$1000,MOVIMIENTOS!$C$4:$C$1000,A62,MOVIMIENTOS!$D$4:$D$1000,B62,MOVIMIENTOS!$E$4:$E$1000,C62,MOVIMIENTOS!$B$4:$B$1000,"A REPROCESO")-SUMIFS(MOVIMIENTOS!$F$4:$F$1000,MOVIMIENTOS!$C$4:$C$1000,A62,MOVIMIENTOS!$D$4:$D$1000,B62,MOVIMIENTOS!$E$4:$E$1000,C62,MOVIMIENTOS!$B$4:$B$1000,"MUESTRA")-SUMIFS(MOVIMIENTOS!$F$4:$F$1000,MOVIMIENTOS!$C$4:$C$1000,A62,MOVIMIENTOS!$D$4:$D$1000,B62,MOVIMIENTOS!$E$4:$E$1000,C62,MOVIMIENTOS!$B$4:$B$1000,"AJUSTE-"),0)</f>
        <v>0</v>
      </c>
      <c r="F62" s="101">
        <f>IFERROR(E62*VLOOKUP(B62,TELAS!$A$4:$C$32,3,FALSE()),0)</f>
        <v>0</v>
      </c>
      <c r="G62" s="102">
        <f>IFERROR(IF(D62="OSCURO",VLOOKUP(B62,PRECIOS!$A$4:$F$32,2,FALSE()),IF(D62="CLARO",VLOOKUP(B62,PRECIOS!$A$4:$F$32,3,FALSE()),IF(D62="MELANGE",VLOOKUP(B62,PRECIOS!$A$4:$F$32,4,FALSE()),IF(D62="PPT",VLOOKUP(B62,PRECIOS!$A$4:$F$32,5,FALSE()),0)))),0)</f>
        <v>0</v>
      </c>
      <c r="H62" s="103">
        <f t="shared" si="1"/>
        <v>0</v>
      </c>
      <c r="I62" s="104" t="str">
        <f>IF(E62&lt;0,"ERROR",IF(E62=0,"",IF(E62&lt;CONFIG!$B$4,"CRÍTICO",IF(E62&lt;CONFIG!$B$5,"BAJO","OK"))))</f>
        <v/>
      </c>
    </row>
    <row r="63" ht="15.75" customHeight="1">
      <c r="A63" s="90" t="str">
        <f>IF(CLIENTES!A4="","",CLIENTES!A4)</f>
        <v>OverShark</v>
      </c>
      <c r="B63" s="67" t="str">
        <f>TELAS!A6</f>
        <v>wafle 30/1</v>
      </c>
      <c r="C63" s="67" t="str">
        <f>COLORES!A23</f>
        <v/>
      </c>
      <c r="D63" s="67" t="str">
        <f>COLORES!B23</f>
        <v/>
      </c>
      <c r="E63" s="100">
        <f>IFERROR(SUMIFS(MOVIMIENTOS!$F$4:$F$1000,MOVIMIENTOS!$C$4:$C$1000,A63,MOVIMIENTOS!$D$4:$D$1000,B63,MOVIMIENTOS!$E$4:$E$1000,C63,MOVIMIENTOS!$B$4:$B$1000,"INGRESO")+SUMIFS(MOVIMIENTOS!$F$4:$F$1000,MOVIMIENTOS!$C$4:$C$1000,A63,MOVIMIENTOS!$D$4:$D$1000,B63,MOVIMIENTOS!$E$4:$E$1000,C63,MOVIMIENTOS!$B$4:$B$1000,"DE REPROCESO")+SUMIFS(MOVIMIENTOS!$F$4:$F$1000,MOVIMIENTOS!$C$4:$C$1000,A63,MOVIMIENTOS!$D$4:$D$1000,B63,MOVIMIENTOS!$E$4:$E$1000,C63,MOVIMIENTOS!$B$4:$B$1000,"AJUSTE+")-SUMIFS(MOVIMIENTOS!$F$4:$F$1000,MOVIMIENTOS!$C$4:$C$1000,A63,MOVIMIENTOS!$D$4:$D$1000,B63,MOVIMIENTOS!$E$4:$E$1000,C63,MOVIMIENTOS!$B$4:$B$1000,"A CORTE")-SUMIFS(MOVIMIENTOS!$F$4:$F$1000,MOVIMIENTOS!$C$4:$C$1000,A63,MOVIMIENTOS!$D$4:$D$1000,B63,MOVIMIENTOS!$E$4:$E$1000,C63,MOVIMIENTOS!$B$4:$B$1000,"A REPROCESO")-SUMIFS(MOVIMIENTOS!$F$4:$F$1000,MOVIMIENTOS!$C$4:$C$1000,A63,MOVIMIENTOS!$D$4:$D$1000,B63,MOVIMIENTOS!$E$4:$E$1000,C63,MOVIMIENTOS!$B$4:$B$1000,"MUESTRA")-SUMIFS(MOVIMIENTOS!$F$4:$F$1000,MOVIMIENTOS!$C$4:$C$1000,A63,MOVIMIENTOS!$D$4:$D$1000,B63,MOVIMIENTOS!$E$4:$E$1000,C63,MOVIMIENTOS!$B$4:$B$1000,"AJUSTE-"),0)</f>
        <v>0</v>
      </c>
      <c r="F63" s="101">
        <f>IFERROR(E63*VLOOKUP(B63,TELAS!$A$4:$C$32,3,FALSE()),0)</f>
        <v>0</v>
      </c>
      <c r="G63" s="102">
        <f>IFERROR(IF(D63="OSCURO",VLOOKUP(B63,PRECIOS!$A$4:$F$32,2,FALSE()),IF(D63="CLARO",VLOOKUP(B63,PRECIOS!$A$4:$F$32,3,FALSE()),IF(D63="MELANGE",VLOOKUP(B63,PRECIOS!$A$4:$F$32,4,FALSE()),IF(D63="PPT",VLOOKUP(B63,PRECIOS!$A$4:$F$32,5,FALSE()),0)))),0)</f>
        <v>0</v>
      </c>
      <c r="H63" s="103">
        <f t="shared" si="1"/>
        <v>0</v>
      </c>
      <c r="I63" s="104" t="str">
        <f>IF(E63&lt;0,"ERROR",IF(E63=0,"",IF(E63&lt;CONFIG!$B$4,"CRÍTICO",IF(E63&lt;CONFIG!$B$5,"BAJO","OK"))))</f>
        <v/>
      </c>
    </row>
    <row r="64" ht="15.75" customHeight="1">
      <c r="A64" s="90" t="str">
        <f>IF(CLIENTES!A4="","",CLIENTES!A4)</f>
        <v>OverShark</v>
      </c>
      <c r="B64" s="67" t="str">
        <f>TELAS!A7</f>
        <v>french terry 24/1</v>
      </c>
      <c r="C64" s="67" t="str">
        <f>COLORES!A4</f>
        <v>Negro</v>
      </c>
      <c r="D64" s="67" t="str">
        <f>COLORES!B4</f>
        <v>OSCURO</v>
      </c>
      <c r="E64" s="100">
        <f>IFERROR(SUMIFS(MOVIMIENTOS!$F$4:$F$1000,MOVIMIENTOS!$C$4:$C$1000,A64,MOVIMIENTOS!$D$4:$D$1000,B64,MOVIMIENTOS!$E$4:$E$1000,C64,MOVIMIENTOS!$B$4:$B$1000,"INGRESO")+SUMIFS(MOVIMIENTOS!$F$4:$F$1000,MOVIMIENTOS!$C$4:$C$1000,A64,MOVIMIENTOS!$D$4:$D$1000,B64,MOVIMIENTOS!$E$4:$E$1000,C64,MOVIMIENTOS!$B$4:$B$1000,"DE REPROCESO")+SUMIFS(MOVIMIENTOS!$F$4:$F$1000,MOVIMIENTOS!$C$4:$C$1000,A64,MOVIMIENTOS!$D$4:$D$1000,B64,MOVIMIENTOS!$E$4:$E$1000,C64,MOVIMIENTOS!$B$4:$B$1000,"AJUSTE+")-SUMIFS(MOVIMIENTOS!$F$4:$F$1000,MOVIMIENTOS!$C$4:$C$1000,A64,MOVIMIENTOS!$D$4:$D$1000,B64,MOVIMIENTOS!$E$4:$E$1000,C64,MOVIMIENTOS!$B$4:$B$1000,"A CORTE")-SUMIFS(MOVIMIENTOS!$F$4:$F$1000,MOVIMIENTOS!$C$4:$C$1000,A64,MOVIMIENTOS!$D$4:$D$1000,B64,MOVIMIENTOS!$E$4:$E$1000,C64,MOVIMIENTOS!$B$4:$B$1000,"A REPROCESO")-SUMIFS(MOVIMIENTOS!$F$4:$F$1000,MOVIMIENTOS!$C$4:$C$1000,A64,MOVIMIENTOS!$D$4:$D$1000,B64,MOVIMIENTOS!$E$4:$E$1000,C64,MOVIMIENTOS!$B$4:$B$1000,"MUESTRA")-SUMIFS(MOVIMIENTOS!$F$4:$F$1000,MOVIMIENTOS!$C$4:$C$1000,A64,MOVIMIENTOS!$D$4:$D$1000,B64,MOVIMIENTOS!$E$4:$E$1000,C64,MOVIMIENTOS!$B$4:$B$1000,"AJUSTE-"),0)</f>
        <v>0</v>
      </c>
      <c r="F64" s="101">
        <f>IFERROR(E64*VLOOKUP(B64,TELAS!$A$4:$C$32,3,FALSE()),0)</f>
        <v>0</v>
      </c>
      <c r="G64" s="102">
        <f>IFERROR(IF(D64="OSCURO",VLOOKUP(B64,PRECIOS!$A$4:$F$32,2,FALSE()),IF(D64="CLARO",VLOOKUP(B64,PRECIOS!$A$4:$F$32,3,FALSE()),IF(D64="MELANGE",VLOOKUP(B64,PRECIOS!$A$4:$F$32,4,FALSE()),IF(D64="PPT",VLOOKUP(B64,PRECIOS!$A$4:$F$32,5,FALSE()),0)))),0)</f>
        <v>24</v>
      </c>
      <c r="H64" s="103">
        <f t="shared" si="1"/>
        <v>0</v>
      </c>
      <c r="I64" s="104" t="str">
        <f>IF(E64&lt;0,"ERROR",IF(E64=0,"",IF(E64&lt;CONFIG!$B$4,"CRÍTICO",IF(E64&lt;CONFIG!$B$5,"BAJO","OK"))))</f>
        <v/>
      </c>
    </row>
    <row r="65" ht="15.75" customHeight="1">
      <c r="A65" s="90" t="str">
        <f>IF(CLIENTES!A4="","",CLIENTES!A4)</f>
        <v>OverShark</v>
      </c>
      <c r="B65" s="67" t="str">
        <f>TELAS!A7</f>
        <v>french terry 24/1</v>
      </c>
      <c r="C65" s="67" t="str">
        <f>COLORES!A5</f>
        <v>Perla</v>
      </c>
      <c r="D65" s="67" t="str">
        <f>COLORES!B5</f>
        <v>PPT</v>
      </c>
      <c r="E65" s="100">
        <f>IFERROR(SUMIFS(MOVIMIENTOS!$F$4:$F$1000,MOVIMIENTOS!$C$4:$C$1000,A65,MOVIMIENTOS!$D$4:$D$1000,B65,MOVIMIENTOS!$E$4:$E$1000,C65,MOVIMIENTOS!$B$4:$B$1000,"INGRESO")+SUMIFS(MOVIMIENTOS!$F$4:$F$1000,MOVIMIENTOS!$C$4:$C$1000,A65,MOVIMIENTOS!$D$4:$D$1000,B65,MOVIMIENTOS!$E$4:$E$1000,C65,MOVIMIENTOS!$B$4:$B$1000,"DE REPROCESO")+SUMIFS(MOVIMIENTOS!$F$4:$F$1000,MOVIMIENTOS!$C$4:$C$1000,A65,MOVIMIENTOS!$D$4:$D$1000,B65,MOVIMIENTOS!$E$4:$E$1000,C65,MOVIMIENTOS!$B$4:$B$1000,"AJUSTE+")-SUMIFS(MOVIMIENTOS!$F$4:$F$1000,MOVIMIENTOS!$C$4:$C$1000,A65,MOVIMIENTOS!$D$4:$D$1000,B65,MOVIMIENTOS!$E$4:$E$1000,C65,MOVIMIENTOS!$B$4:$B$1000,"A CORTE")-SUMIFS(MOVIMIENTOS!$F$4:$F$1000,MOVIMIENTOS!$C$4:$C$1000,A65,MOVIMIENTOS!$D$4:$D$1000,B65,MOVIMIENTOS!$E$4:$E$1000,C65,MOVIMIENTOS!$B$4:$B$1000,"A REPROCESO")-SUMIFS(MOVIMIENTOS!$F$4:$F$1000,MOVIMIENTOS!$C$4:$C$1000,A65,MOVIMIENTOS!$D$4:$D$1000,B65,MOVIMIENTOS!$E$4:$E$1000,C65,MOVIMIENTOS!$B$4:$B$1000,"MUESTRA")-SUMIFS(MOVIMIENTOS!$F$4:$F$1000,MOVIMIENTOS!$C$4:$C$1000,A65,MOVIMIENTOS!$D$4:$D$1000,B65,MOVIMIENTOS!$E$4:$E$1000,C65,MOVIMIENTOS!$B$4:$B$1000,"AJUSTE-"),0)</f>
        <v>0</v>
      </c>
      <c r="F65" s="101">
        <f>IFERROR(E65*VLOOKUP(B65,TELAS!$A$4:$C$32,3,FALSE()),0)</f>
        <v>0</v>
      </c>
      <c r="G65" s="102">
        <f>IFERROR(IF(D65="OSCURO",VLOOKUP(B65,PRECIOS!$A$4:$F$32,2,FALSE()),IF(D65="CLARO",VLOOKUP(B65,PRECIOS!$A$4:$F$32,3,FALSE()),IF(D65="MELANGE",VLOOKUP(B65,PRECIOS!$A$4:$F$32,4,FALSE()),IF(D65="PPT",VLOOKUP(B65,PRECIOS!$A$4:$F$32,5,FALSE()),0)))),0)</f>
        <v>18</v>
      </c>
      <c r="H65" s="103">
        <f t="shared" si="1"/>
        <v>0</v>
      </c>
      <c r="I65" s="104" t="str">
        <f>IF(E65&lt;0,"ERROR",IF(E65=0,"",IF(E65&lt;CONFIG!$B$4,"CRÍTICO",IF(E65&lt;CONFIG!$B$5,"BAJO","OK"))))</f>
        <v/>
      </c>
    </row>
    <row r="66" ht="15.75" customHeight="1">
      <c r="A66" s="90" t="str">
        <f>IF(CLIENTES!A4="","",CLIENTES!A4)</f>
        <v>OverShark</v>
      </c>
      <c r="B66" s="67" t="str">
        <f>TELAS!A7</f>
        <v>french terry 24/1</v>
      </c>
      <c r="C66" s="67" t="str">
        <f>COLORES!A6</f>
        <v>Blanco</v>
      </c>
      <c r="D66" s="67" t="str">
        <f>COLORES!B6</f>
        <v>PPT</v>
      </c>
      <c r="E66" s="100">
        <f>IFERROR(SUMIFS(MOVIMIENTOS!$F$4:$F$1000,MOVIMIENTOS!$C$4:$C$1000,A66,MOVIMIENTOS!$D$4:$D$1000,B66,MOVIMIENTOS!$E$4:$E$1000,C66,MOVIMIENTOS!$B$4:$B$1000,"INGRESO")+SUMIFS(MOVIMIENTOS!$F$4:$F$1000,MOVIMIENTOS!$C$4:$C$1000,A66,MOVIMIENTOS!$D$4:$D$1000,B66,MOVIMIENTOS!$E$4:$E$1000,C66,MOVIMIENTOS!$B$4:$B$1000,"DE REPROCESO")+SUMIFS(MOVIMIENTOS!$F$4:$F$1000,MOVIMIENTOS!$C$4:$C$1000,A66,MOVIMIENTOS!$D$4:$D$1000,B66,MOVIMIENTOS!$E$4:$E$1000,C66,MOVIMIENTOS!$B$4:$B$1000,"AJUSTE+")-SUMIFS(MOVIMIENTOS!$F$4:$F$1000,MOVIMIENTOS!$C$4:$C$1000,A66,MOVIMIENTOS!$D$4:$D$1000,B66,MOVIMIENTOS!$E$4:$E$1000,C66,MOVIMIENTOS!$B$4:$B$1000,"A CORTE")-SUMIFS(MOVIMIENTOS!$F$4:$F$1000,MOVIMIENTOS!$C$4:$C$1000,A66,MOVIMIENTOS!$D$4:$D$1000,B66,MOVIMIENTOS!$E$4:$E$1000,C66,MOVIMIENTOS!$B$4:$B$1000,"A REPROCESO")-SUMIFS(MOVIMIENTOS!$F$4:$F$1000,MOVIMIENTOS!$C$4:$C$1000,A66,MOVIMIENTOS!$D$4:$D$1000,B66,MOVIMIENTOS!$E$4:$E$1000,C66,MOVIMIENTOS!$B$4:$B$1000,"MUESTRA")-SUMIFS(MOVIMIENTOS!$F$4:$F$1000,MOVIMIENTOS!$C$4:$C$1000,A66,MOVIMIENTOS!$D$4:$D$1000,B66,MOVIMIENTOS!$E$4:$E$1000,C66,MOVIMIENTOS!$B$4:$B$1000,"AJUSTE-"),0)</f>
        <v>0</v>
      </c>
      <c r="F66" s="101">
        <f>IFERROR(E66*VLOOKUP(B66,TELAS!$A$4:$C$32,3,FALSE()),0)</f>
        <v>0</v>
      </c>
      <c r="G66" s="102">
        <f>IFERROR(IF(D66="OSCURO",VLOOKUP(B66,PRECIOS!$A$4:$F$32,2,FALSE()),IF(D66="CLARO",VLOOKUP(B66,PRECIOS!$A$4:$F$32,3,FALSE()),IF(D66="MELANGE",VLOOKUP(B66,PRECIOS!$A$4:$F$32,4,FALSE()),IF(D66="PPT",VLOOKUP(B66,PRECIOS!$A$4:$F$32,5,FALSE()),0)))),0)</f>
        <v>18</v>
      </c>
      <c r="H66" s="103">
        <f t="shared" si="1"/>
        <v>0</v>
      </c>
      <c r="I66" s="104" t="str">
        <f>IF(E66&lt;0,"ERROR",IF(E66=0,"",IF(E66&lt;CONFIG!$B$4,"CRÍTICO",IF(E66&lt;CONFIG!$B$5,"BAJO","OK"))))</f>
        <v/>
      </c>
    </row>
    <row r="67" ht="15.75" customHeight="1">
      <c r="A67" s="90" t="str">
        <f>IF(CLIENTES!A4="","",CLIENTES!A4)</f>
        <v>OverShark</v>
      </c>
      <c r="B67" s="67" t="str">
        <f>TELAS!A7</f>
        <v>french terry 24/1</v>
      </c>
      <c r="C67" s="67" t="str">
        <f>COLORES!A7</f>
        <v>Azul</v>
      </c>
      <c r="D67" s="67" t="str">
        <f>COLORES!B7</f>
        <v>OSCURO</v>
      </c>
      <c r="E67" s="100">
        <f>IFERROR(SUMIFS(MOVIMIENTOS!$F$4:$F$1000,MOVIMIENTOS!$C$4:$C$1000,A67,MOVIMIENTOS!$D$4:$D$1000,B67,MOVIMIENTOS!$E$4:$E$1000,C67,MOVIMIENTOS!$B$4:$B$1000,"INGRESO")+SUMIFS(MOVIMIENTOS!$F$4:$F$1000,MOVIMIENTOS!$C$4:$C$1000,A67,MOVIMIENTOS!$D$4:$D$1000,B67,MOVIMIENTOS!$E$4:$E$1000,C67,MOVIMIENTOS!$B$4:$B$1000,"DE REPROCESO")+SUMIFS(MOVIMIENTOS!$F$4:$F$1000,MOVIMIENTOS!$C$4:$C$1000,A67,MOVIMIENTOS!$D$4:$D$1000,B67,MOVIMIENTOS!$E$4:$E$1000,C67,MOVIMIENTOS!$B$4:$B$1000,"AJUSTE+")-SUMIFS(MOVIMIENTOS!$F$4:$F$1000,MOVIMIENTOS!$C$4:$C$1000,A67,MOVIMIENTOS!$D$4:$D$1000,B67,MOVIMIENTOS!$E$4:$E$1000,C67,MOVIMIENTOS!$B$4:$B$1000,"A CORTE")-SUMIFS(MOVIMIENTOS!$F$4:$F$1000,MOVIMIENTOS!$C$4:$C$1000,A67,MOVIMIENTOS!$D$4:$D$1000,B67,MOVIMIENTOS!$E$4:$E$1000,C67,MOVIMIENTOS!$B$4:$B$1000,"A REPROCESO")-SUMIFS(MOVIMIENTOS!$F$4:$F$1000,MOVIMIENTOS!$C$4:$C$1000,A67,MOVIMIENTOS!$D$4:$D$1000,B67,MOVIMIENTOS!$E$4:$E$1000,C67,MOVIMIENTOS!$B$4:$B$1000,"MUESTRA")-SUMIFS(MOVIMIENTOS!$F$4:$F$1000,MOVIMIENTOS!$C$4:$C$1000,A67,MOVIMIENTOS!$D$4:$D$1000,B67,MOVIMIENTOS!$E$4:$E$1000,C67,MOVIMIENTOS!$B$4:$B$1000,"AJUSTE-"),0)</f>
        <v>0</v>
      </c>
      <c r="F67" s="101">
        <f>IFERROR(E67*VLOOKUP(B67,TELAS!$A$4:$C$32,3,FALSE()),0)</f>
        <v>0</v>
      </c>
      <c r="G67" s="102">
        <f>IFERROR(IF(D67="OSCURO",VLOOKUP(B67,PRECIOS!$A$4:$F$32,2,FALSE()),IF(D67="CLARO",VLOOKUP(B67,PRECIOS!$A$4:$F$32,3,FALSE()),IF(D67="MELANGE",VLOOKUP(B67,PRECIOS!$A$4:$F$32,4,FALSE()),IF(D67="PPT",VLOOKUP(B67,PRECIOS!$A$4:$F$32,5,FALSE()),0)))),0)</f>
        <v>24</v>
      </c>
      <c r="H67" s="103">
        <f t="shared" si="1"/>
        <v>0</v>
      </c>
      <c r="I67" s="104" t="str">
        <f>IF(E67&lt;0,"ERROR",IF(E67=0,"",IF(E67&lt;CONFIG!$B$4,"CRÍTICO",IF(E67&lt;CONFIG!$B$5,"BAJO","OK"))))</f>
        <v/>
      </c>
    </row>
    <row r="68" ht="15.75" customHeight="1">
      <c r="A68" s="90" t="str">
        <f>IF(CLIENTES!A4="","",CLIENTES!A4)</f>
        <v>OverShark</v>
      </c>
      <c r="B68" s="67" t="str">
        <f>TELAS!A7</f>
        <v>french terry 24/1</v>
      </c>
      <c r="C68" s="67" t="str">
        <f>COLORES!A8</f>
        <v>Beige</v>
      </c>
      <c r="D68" s="67" t="str">
        <f>COLORES!B8</f>
        <v>CLARO</v>
      </c>
      <c r="E68" s="100">
        <f>IFERROR(SUMIFS(MOVIMIENTOS!$F$4:$F$1000,MOVIMIENTOS!$C$4:$C$1000,A68,MOVIMIENTOS!$D$4:$D$1000,B68,MOVIMIENTOS!$E$4:$E$1000,C68,MOVIMIENTOS!$B$4:$B$1000,"INGRESO")+SUMIFS(MOVIMIENTOS!$F$4:$F$1000,MOVIMIENTOS!$C$4:$C$1000,A68,MOVIMIENTOS!$D$4:$D$1000,B68,MOVIMIENTOS!$E$4:$E$1000,C68,MOVIMIENTOS!$B$4:$B$1000,"DE REPROCESO")+SUMIFS(MOVIMIENTOS!$F$4:$F$1000,MOVIMIENTOS!$C$4:$C$1000,A68,MOVIMIENTOS!$D$4:$D$1000,B68,MOVIMIENTOS!$E$4:$E$1000,C68,MOVIMIENTOS!$B$4:$B$1000,"AJUSTE+")-SUMIFS(MOVIMIENTOS!$F$4:$F$1000,MOVIMIENTOS!$C$4:$C$1000,A68,MOVIMIENTOS!$D$4:$D$1000,B68,MOVIMIENTOS!$E$4:$E$1000,C68,MOVIMIENTOS!$B$4:$B$1000,"A CORTE")-SUMIFS(MOVIMIENTOS!$F$4:$F$1000,MOVIMIENTOS!$C$4:$C$1000,A68,MOVIMIENTOS!$D$4:$D$1000,B68,MOVIMIENTOS!$E$4:$E$1000,C68,MOVIMIENTOS!$B$4:$B$1000,"A REPROCESO")-SUMIFS(MOVIMIENTOS!$F$4:$F$1000,MOVIMIENTOS!$C$4:$C$1000,A68,MOVIMIENTOS!$D$4:$D$1000,B68,MOVIMIENTOS!$E$4:$E$1000,C68,MOVIMIENTOS!$B$4:$B$1000,"MUESTRA")-SUMIFS(MOVIMIENTOS!$F$4:$F$1000,MOVIMIENTOS!$C$4:$C$1000,A68,MOVIMIENTOS!$D$4:$D$1000,B68,MOVIMIENTOS!$E$4:$E$1000,C68,MOVIMIENTOS!$B$4:$B$1000,"AJUSTE-"),0)</f>
        <v>0</v>
      </c>
      <c r="F68" s="101">
        <f>IFERROR(E68*VLOOKUP(B68,TELAS!$A$4:$C$32,3,FALSE()),0)</f>
        <v>0</v>
      </c>
      <c r="G68" s="102">
        <f>IFERROR(IF(D68="OSCURO",VLOOKUP(B68,PRECIOS!$A$4:$F$32,2,FALSE()),IF(D68="CLARO",VLOOKUP(B68,PRECIOS!$A$4:$F$32,3,FALSE()),IF(D68="MELANGE",VLOOKUP(B68,PRECIOS!$A$4:$F$32,4,FALSE()),IF(D68="PPT",VLOOKUP(B68,PRECIOS!$A$4:$F$32,5,FALSE()),0)))),0)</f>
        <v>21</v>
      </c>
      <c r="H68" s="103">
        <f t="shared" si="1"/>
        <v>0</v>
      </c>
      <c r="I68" s="104" t="str">
        <f>IF(E68&lt;0,"ERROR",IF(E68=0,"",IF(E68&lt;CONFIG!$B$4,"CRÍTICO",IF(E68&lt;CONFIG!$B$5,"BAJO","OK"))))</f>
        <v/>
      </c>
    </row>
    <row r="69" ht="15.75" customHeight="1">
      <c r="A69" s="90" t="str">
        <f>IF(CLIENTES!A4="","",CLIENTES!A4)</f>
        <v>OverShark</v>
      </c>
      <c r="B69" s="67" t="str">
        <f>TELAS!A7</f>
        <v>french terry 24/1</v>
      </c>
      <c r="C69" s="67" t="str">
        <f>COLORES!A9</f>
        <v>Melange</v>
      </c>
      <c r="D69" s="67" t="str">
        <f>COLORES!B9</f>
        <v>MELANGE</v>
      </c>
      <c r="E69" s="100">
        <f>IFERROR(SUMIFS(MOVIMIENTOS!$F$4:$F$1000,MOVIMIENTOS!$C$4:$C$1000,A69,MOVIMIENTOS!$D$4:$D$1000,B69,MOVIMIENTOS!$E$4:$E$1000,C69,MOVIMIENTOS!$B$4:$B$1000,"INGRESO")+SUMIFS(MOVIMIENTOS!$F$4:$F$1000,MOVIMIENTOS!$C$4:$C$1000,A69,MOVIMIENTOS!$D$4:$D$1000,B69,MOVIMIENTOS!$E$4:$E$1000,C69,MOVIMIENTOS!$B$4:$B$1000,"DE REPROCESO")+SUMIFS(MOVIMIENTOS!$F$4:$F$1000,MOVIMIENTOS!$C$4:$C$1000,A69,MOVIMIENTOS!$D$4:$D$1000,B69,MOVIMIENTOS!$E$4:$E$1000,C69,MOVIMIENTOS!$B$4:$B$1000,"AJUSTE+")-SUMIFS(MOVIMIENTOS!$F$4:$F$1000,MOVIMIENTOS!$C$4:$C$1000,A69,MOVIMIENTOS!$D$4:$D$1000,B69,MOVIMIENTOS!$E$4:$E$1000,C69,MOVIMIENTOS!$B$4:$B$1000,"A CORTE")-SUMIFS(MOVIMIENTOS!$F$4:$F$1000,MOVIMIENTOS!$C$4:$C$1000,A69,MOVIMIENTOS!$D$4:$D$1000,B69,MOVIMIENTOS!$E$4:$E$1000,C69,MOVIMIENTOS!$B$4:$B$1000,"A REPROCESO")-SUMIFS(MOVIMIENTOS!$F$4:$F$1000,MOVIMIENTOS!$C$4:$C$1000,A69,MOVIMIENTOS!$D$4:$D$1000,B69,MOVIMIENTOS!$E$4:$E$1000,C69,MOVIMIENTOS!$B$4:$B$1000,"MUESTRA")-SUMIFS(MOVIMIENTOS!$F$4:$F$1000,MOVIMIENTOS!$C$4:$C$1000,A69,MOVIMIENTOS!$D$4:$D$1000,B69,MOVIMIENTOS!$E$4:$E$1000,C69,MOVIMIENTOS!$B$4:$B$1000,"AJUSTE-"),0)</f>
        <v>0</v>
      </c>
      <c r="F69" s="101">
        <f>IFERROR(E69*VLOOKUP(B69,TELAS!$A$4:$C$32,3,FALSE()),0)</f>
        <v>0</v>
      </c>
      <c r="G69" s="102">
        <f>IFERROR(IF(D69="OSCURO",VLOOKUP(B69,PRECIOS!$A$4:$F$32,2,FALSE()),IF(D69="CLARO",VLOOKUP(B69,PRECIOS!$A$4:$F$32,3,FALSE()),IF(D69="MELANGE",VLOOKUP(B69,PRECIOS!$A$4:$F$32,4,FALSE()),IF(D69="PPT",VLOOKUP(B69,PRECIOS!$A$4:$F$32,5,FALSE()),0)))),0)</f>
        <v>18</v>
      </c>
      <c r="H69" s="103">
        <f t="shared" si="1"/>
        <v>0</v>
      </c>
      <c r="I69" s="104" t="str">
        <f>IF(E69&lt;0,"ERROR",IF(E69=0,"",IF(E69&lt;CONFIG!$B$4,"CRÍTICO",IF(E69&lt;CONFIG!$B$5,"BAJO","OK"))))</f>
        <v/>
      </c>
    </row>
    <row r="70" ht="15.75" customHeight="1">
      <c r="A70" s="90" t="str">
        <f>IF(CLIENTES!A4="","",CLIENTES!A4)</f>
        <v>OverShark</v>
      </c>
      <c r="B70" s="67" t="str">
        <f>TELAS!A7</f>
        <v>french terry 24/1</v>
      </c>
      <c r="C70" s="67" t="str">
        <f>COLORES!A10</f>
        <v>Botella</v>
      </c>
      <c r="D70" s="67" t="str">
        <f>COLORES!B10</f>
        <v>OSCURO</v>
      </c>
      <c r="E70" s="100">
        <f>IFERROR(SUMIFS(MOVIMIENTOS!$F$4:$F$1000,MOVIMIENTOS!$C$4:$C$1000,A70,MOVIMIENTOS!$D$4:$D$1000,B70,MOVIMIENTOS!$E$4:$E$1000,C70,MOVIMIENTOS!$B$4:$B$1000,"INGRESO")+SUMIFS(MOVIMIENTOS!$F$4:$F$1000,MOVIMIENTOS!$C$4:$C$1000,A70,MOVIMIENTOS!$D$4:$D$1000,B70,MOVIMIENTOS!$E$4:$E$1000,C70,MOVIMIENTOS!$B$4:$B$1000,"DE REPROCESO")+SUMIFS(MOVIMIENTOS!$F$4:$F$1000,MOVIMIENTOS!$C$4:$C$1000,A70,MOVIMIENTOS!$D$4:$D$1000,B70,MOVIMIENTOS!$E$4:$E$1000,C70,MOVIMIENTOS!$B$4:$B$1000,"AJUSTE+")-SUMIFS(MOVIMIENTOS!$F$4:$F$1000,MOVIMIENTOS!$C$4:$C$1000,A70,MOVIMIENTOS!$D$4:$D$1000,B70,MOVIMIENTOS!$E$4:$E$1000,C70,MOVIMIENTOS!$B$4:$B$1000,"A CORTE")-SUMIFS(MOVIMIENTOS!$F$4:$F$1000,MOVIMIENTOS!$C$4:$C$1000,A70,MOVIMIENTOS!$D$4:$D$1000,B70,MOVIMIENTOS!$E$4:$E$1000,C70,MOVIMIENTOS!$B$4:$B$1000,"A REPROCESO")-SUMIFS(MOVIMIENTOS!$F$4:$F$1000,MOVIMIENTOS!$C$4:$C$1000,A70,MOVIMIENTOS!$D$4:$D$1000,B70,MOVIMIENTOS!$E$4:$E$1000,C70,MOVIMIENTOS!$B$4:$B$1000,"MUESTRA")-SUMIFS(MOVIMIENTOS!$F$4:$F$1000,MOVIMIENTOS!$C$4:$C$1000,A70,MOVIMIENTOS!$D$4:$D$1000,B70,MOVIMIENTOS!$E$4:$E$1000,C70,MOVIMIENTOS!$B$4:$B$1000,"AJUSTE-"),0)</f>
        <v>0</v>
      </c>
      <c r="F70" s="101">
        <f>IFERROR(E70*VLOOKUP(B70,TELAS!$A$4:$C$32,3,FALSE()),0)</f>
        <v>0</v>
      </c>
      <c r="G70" s="102">
        <f>IFERROR(IF(D70="OSCURO",VLOOKUP(B70,PRECIOS!$A$4:$F$32,2,FALSE()),IF(D70="CLARO",VLOOKUP(B70,PRECIOS!$A$4:$F$32,3,FALSE()),IF(D70="MELANGE",VLOOKUP(B70,PRECIOS!$A$4:$F$32,4,FALSE()),IF(D70="PPT",VLOOKUP(B70,PRECIOS!$A$4:$F$32,5,FALSE()),0)))),0)</f>
        <v>24</v>
      </c>
      <c r="H70" s="103">
        <f t="shared" si="1"/>
        <v>0</v>
      </c>
      <c r="I70" s="104" t="str">
        <f>IF(E70&lt;0,"ERROR",IF(E70=0,"",IF(E70&lt;CONFIG!$B$4,"CRÍTICO",IF(E70&lt;CONFIG!$B$5,"BAJO","OK"))))</f>
        <v/>
      </c>
    </row>
    <row r="71" ht="15.75" customHeight="1">
      <c r="A71" s="90" t="str">
        <f>IF(CLIENTES!A4="","",CLIENTES!A4)</f>
        <v>OverShark</v>
      </c>
      <c r="B71" s="67" t="str">
        <f>TELAS!A7</f>
        <v>french terry 24/1</v>
      </c>
      <c r="C71" s="67" t="str">
        <f>COLORES!A11</f>
        <v>Pacay</v>
      </c>
      <c r="D71" s="67" t="str">
        <f>COLORES!B11</f>
        <v>CLARO</v>
      </c>
      <c r="E71" s="100">
        <f>IFERROR(SUMIFS(MOVIMIENTOS!$F$4:$F$1000,MOVIMIENTOS!$C$4:$C$1000,A71,MOVIMIENTOS!$D$4:$D$1000,B71,MOVIMIENTOS!$E$4:$E$1000,C71,MOVIMIENTOS!$B$4:$B$1000,"INGRESO")+SUMIFS(MOVIMIENTOS!$F$4:$F$1000,MOVIMIENTOS!$C$4:$C$1000,A71,MOVIMIENTOS!$D$4:$D$1000,B71,MOVIMIENTOS!$E$4:$E$1000,C71,MOVIMIENTOS!$B$4:$B$1000,"DE REPROCESO")+SUMIFS(MOVIMIENTOS!$F$4:$F$1000,MOVIMIENTOS!$C$4:$C$1000,A71,MOVIMIENTOS!$D$4:$D$1000,B71,MOVIMIENTOS!$E$4:$E$1000,C71,MOVIMIENTOS!$B$4:$B$1000,"AJUSTE+")-SUMIFS(MOVIMIENTOS!$F$4:$F$1000,MOVIMIENTOS!$C$4:$C$1000,A71,MOVIMIENTOS!$D$4:$D$1000,B71,MOVIMIENTOS!$E$4:$E$1000,C71,MOVIMIENTOS!$B$4:$B$1000,"A CORTE")-SUMIFS(MOVIMIENTOS!$F$4:$F$1000,MOVIMIENTOS!$C$4:$C$1000,A71,MOVIMIENTOS!$D$4:$D$1000,B71,MOVIMIENTOS!$E$4:$E$1000,C71,MOVIMIENTOS!$B$4:$B$1000,"A REPROCESO")-SUMIFS(MOVIMIENTOS!$F$4:$F$1000,MOVIMIENTOS!$C$4:$C$1000,A71,MOVIMIENTOS!$D$4:$D$1000,B71,MOVIMIENTOS!$E$4:$E$1000,C71,MOVIMIENTOS!$B$4:$B$1000,"MUESTRA")-SUMIFS(MOVIMIENTOS!$F$4:$F$1000,MOVIMIENTOS!$C$4:$C$1000,A71,MOVIMIENTOS!$D$4:$D$1000,B71,MOVIMIENTOS!$E$4:$E$1000,C71,MOVIMIENTOS!$B$4:$B$1000,"AJUSTE-"),0)</f>
        <v>0</v>
      </c>
      <c r="F71" s="101">
        <f>IFERROR(E71*VLOOKUP(B71,TELAS!$A$4:$C$32,3,FALSE()),0)</f>
        <v>0</v>
      </c>
      <c r="G71" s="102">
        <f>IFERROR(IF(D71="OSCURO",VLOOKUP(B71,PRECIOS!$A$4:$F$32,2,FALSE()),IF(D71="CLARO",VLOOKUP(B71,PRECIOS!$A$4:$F$32,3,FALSE()),IF(D71="MELANGE",VLOOKUP(B71,PRECIOS!$A$4:$F$32,4,FALSE()),IF(D71="PPT",VLOOKUP(B71,PRECIOS!$A$4:$F$32,5,FALSE()),0)))),0)</f>
        <v>21</v>
      </c>
      <c r="H71" s="103">
        <f t="shared" si="1"/>
        <v>0</v>
      </c>
      <c r="I71" s="104" t="str">
        <f>IF(E71&lt;0,"ERROR",IF(E71=0,"",IF(E71&lt;CONFIG!$B$4,"CRÍTICO",IF(E71&lt;CONFIG!$B$5,"BAJO","OK"))))</f>
        <v/>
      </c>
    </row>
    <row r="72" ht="15.75" customHeight="1">
      <c r="A72" s="90" t="str">
        <f>IF(CLIENTES!A4="","",CLIENTES!A4)</f>
        <v>OverShark</v>
      </c>
      <c r="B72" s="67" t="str">
        <f>TELAS!A7</f>
        <v>french terry 24/1</v>
      </c>
      <c r="C72" s="67" t="str">
        <f>COLORES!A12</f>
        <v>Cemento</v>
      </c>
      <c r="D72" s="67" t="str">
        <f>COLORES!B12</f>
        <v>CLARO</v>
      </c>
      <c r="E72" s="100">
        <f>IFERROR(SUMIFS(MOVIMIENTOS!$F$4:$F$1000,MOVIMIENTOS!$C$4:$C$1000,A72,MOVIMIENTOS!$D$4:$D$1000,B72,MOVIMIENTOS!$E$4:$E$1000,C72,MOVIMIENTOS!$B$4:$B$1000,"INGRESO")+SUMIFS(MOVIMIENTOS!$F$4:$F$1000,MOVIMIENTOS!$C$4:$C$1000,A72,MOVIMIENTOS!$D$4:$D$1000,B72,MOVIMIENTOS!$E$4:$E$1000,C72,MOVIMIENTOS!$B$4:$B$1000,"DE REPROCESO")+SUMIFS(MOVIMIENTOS!$F$4:$F$1000,MOVIMIENTOS!$C$4:$C$1000,A72,MOVIMIENTOS!$D$4:$D$1000,B72,MOVIMIENTOS!$E$4:$E$1000,C72,MOVIMIENTOS!$B$4:$B$1000,"AJUSTE+")-SUMIFS(MOVIMIENTOS!$F$4:$F$1000,MOVIMIENTOS!$C$4:$C$1000,A72,MOVIMIENTOS!$D$4:$D$1000,B72,MOVIMIENTOS!$E$4:$E$1000,C72,MOVIMIENTOS!$B$4:$B$1000,"A CORTE")-SUMIFS(MOVIMIENTOS!$F$4:$F$1000,MOVIMIENTOS!$C$4:$C$1000,A72,MOVIMIENTOS!$D$4:$D$1000,B72,MOVIMIENTOS!$E$4:$E$1000,C72,MOVIMIENTOS!$B$4:$B$1000,"A REPROCESO")-SUMIFS(MOVIMIENTOS!$F$4:$F$1000,MOVIMIENTOS!$C$4:$C$1000,A72,MOVIMIENTOS!$D$4:$D$1000,B72,MOVIMIENTOS!$E$4:$E$1000,C72,MOVIMIENTOS!$B$4:$B$1000,"MUESTRA")-SUMIFS(MOVIMIENTOS!$F$4:$F$1000,MOVIMIENTOS!$C$4:$C$1000,A72,MOVIMIENTOS!$D$4:$D$1000,B72,MOVIMIENTOS!$E$4:$E$1000,C72,MOVIMIENTOS!$B$4:$B$1000,"AJUSTE-"),0)</f>
        <v>0</v>
      </c>
      <c r="F72" s="101">
        <f>IFERROR(E72*VLOOKUP(B72,TELAS!$A$4:$C$32,3,FALSE()),0)</f>
        <v>0</v>
      </c>
      <c r="G72" s="102">
        <f>IFERROR(IF(D72="OSCURO",VLOOKUP(B72,PRECIOS!$A$4:$F$32,2,FALSE()),IF(D72="CLARO",VLOOKUP(B72,PRECIOS!$A$4:$F$32,3,FALSE()),IF(D72="MELANGE",VLOOKUP(B72,PRECIOS!$A$4:$F$32,4,FALSE()),IF(D72="PPT",VLOOKUP(B72,PRECIOS!$A$4:$F$32,5,FALSE()),0)))),0)</f>
        <v>21</v>
      </c>
      <c r="H72" s="103">
        <f t="shared" si="1"/>
        <v>0</v>
      </c>
      <c r="I72" s="104" t="str">
        <f>IF(E72&lt;0,"ERROR",IF(E72=0,"",IF(E72&lt;CONFIG!$B$4,"CRÍTICO",IF(E72&lt;CONFIG!$B$5,"BAJO","OK"))))</f>
        <v/>
      </c>
    </row>
    <row r="73" ht="15.75" customHeight="1">
      <c r="A73" s="90" t="str">
        <f>IF(CLIENTES!A4="","",CLIENTES!A4)</f>
        <v>OverShark</v>
      </c>
      <c r="B73" s="67" t="str">
        <f>TELAS!A7</f>
        <v>french terry 24/1</v>
      </c>
      <c r="C73" s="67" t="str">
        <f>COLORES!A13</f>
        <v>Camote</v>
      </c>
      <c r="D73" s="67" t="str">
        <f>COLORES!B13</f>
        <v>CLARO</v>
      </c>
      <c r="E73" s="100">
        <f>IFERROR(SUMIFS(MOVIMIENTOS!$F$4:$F$1000,MOVIMIENTOS!$C$4:$C$1000,A73,MOVIMIENTOS!$D$4:$D$1000,B73,MOVIMIENTOS!$E$4:$E$1000,C73,MOVIMIENTOS!$B$4:$B$1000,"INGRESO")+SUMIFS(MOVIMIENTOS!$F$4:$F$1000,MOVIMIENTOS!$C$4:$C$1000,A73,MOVIMIENTOS!$D$4:$D$1000,B73,MOVIMIENTOS!$E$4:$E$1000,C73,MOVIMIENTOS!$B$4:$B$1000,"DE REPROCESO")+SUMIFS(MOVIMIENTOS!$F$4:$F$1000,MOVIMIENTOS!$C$4:$C$1000,A73,MOVIMIENTOS!$D$4:$D$1000,B73,MOVIMIENTOS!$E$4:$E$1000,C73,MOVIMIENTOS!$B$4:$B$1000,"AJUSTE+")-SUMIFS(MOVIMIENTOS!$F$4:$F$1000,MOVIMIENTOS!$C$4:$C$1000,A73,MOVIMIENTOS!$D$4:$D$1000,B73,MOVIMIENTOS!$E$4:$E$1000,C73,MOVIMIENTOS!$B$4:$B$1000,"A CORTE")-SUMIFS(MOVIMIENTOS!$F$4:$F$1000,MOVIMIENTOS!$C$4:$C$1000,A73,MOVIMIENTOS!$D$4:$D$1000,B73,MOVIMIENTOS!$E$4:$E$1000,C73,MOVIMIENTOS!$B$4:$B$1000,"A REPROCESO")-SUMIFS(MOVIMIENTOS!$F$4:$F$1000,MOVIMIENTOS!$C$4:$C$1000,A73,MOVIMIENTOS!$D$4:$D$1000,B73,MOVIMIENTOS!$E$4:$E$1000,C73,MOVIMIENTOS!$B$4:$B$1000,"MUESTRA")-SUMIFS(MOVIMIENTOS!$F$4:$F$1000,MOVIMIENTOS!$C$4:$C$1000,A73,MOVIMIENTOS!$D$4:$D$1000,B73,MOVIMIENTOS!$E$4:$E$1000,C73,MOVIMIENTOS!$B$4:$B$1000,"AJUSTE-"),0)</f>
        <v>0</v>
      </c>
      <c r="F73" s="101">
        <f>IFERROR(E73*VLOOKUP(B73,TELAS!$A$4:$C$32,3,FALSE()),0)</f>
        <v>0</v>
      </c>
      <c r="G73" s="102">
        <f>IFERROR(IF(D73="OSCURO",VLOOKUP(B73,PRECIOS!$A$4:$F$32,2,FALSE()),IF(D73="CLARO",VLOOKUP(B73,PRECIOS!$A$4:$F$32,3,FALSE()),IF(D73="MELANGE",VLOOKUP(B73,PRECIOS!$A$4:$F$32,4,FALSE()),IF(D73="PPT",VLOOKUP(B73,PRECIOS!$A$4:$F$32,5,FALSE()),0)))),0)</f>
        <v>21</v>
      </c>
      <c r="H73" s="103">
        <f t="shared" si="1"/>
        <v>0</v>
      </c>
      <c r="I73" s="104" t="str">
        <f>IF(E73&lt;0,"ERROR",IF(E73=0,"",IF(E73&lt;CONFIG!$B$4,"CRÍTICO",IF(E73&lt;CONFIG!$B$5,"BAJO","OK"))))</f>
        <v/>
      </c>
    </row>
    <row r="74" ht="15.75" customHeight="1">
      <c r="A74" s="90" t="str">
        <f>IF(CLIENTES!A4="","",CLIENTES!A4)</f>
        <v>OverShark</v>
      </c>
      <c r="B74" s="67" t="str">
        <f>TELAS!A7</f>
        <v>french terry 24/1</v>
      </c>
      <c r="C74" s="67" t="str">
        <f>COLORES!A14</f>
        <v>Denim</v>
      </c>
      <c r="D74" s="67" t="str">
        <f>COLORES!B14</f>
        <v>CLARO</v>
      </c>
      <c r="E74" s="100">
        <f>IFERROR(SUMIFS(MOVIMIENTOS!$F$4:$F$1000,MOVIMIENTOS!$C$4:$C$1000,A74,MOVIMIENTOS!$D$4:$D$1000,B74,MOVIMIENTOS!$E$4:$E$1000,C74,MOVIMIENTOS!$B$4:$B$1000,"INGRESO")+SUMIFS(MOVIMIENTOS!$F$4:$F$1000,MOVIMIENTOS!$C$4:$C$1000,A74,MOVIMIENTOS!$D$4:$D$1000,B74,MOVIMIENTOS!$E$4:$E$1000,C74,MOVIMIENTOS!$B$4:$B$1000,"DE REPROCESO")+SUMIFS(MOVIMIENTOS!$F$4:$F$1000,MOVIMIENTOS!$C$4:$C$1000,A74,MOVIMIENTOS!$D$4:$D$1000,B74,MOVIMIENTOS!$E$4:$E$1000,C74,MOVIMIENTOS!$B$4:$B$1000,"AJUSTE+")-SUMIFS(MOVIMIENTOS!$F$4:$F$1000,MOVIMIENTOS!$C$4:$C$1000,A74,MOVIMIENTOS!$D$4:$D$1000,B74,MOVIMIENTOS!$E$4:$E$1000,C74,MOVIMIENTOS!$B$4:$B$1000,"A CORTE")-SUMIFS(MOVIMIENTOS!$F$4:$F$1000,MOVIMIENTOS!$C$4:$C$1000,A74,MOVIMIENTOS!$D$4:$D$1000,B74,MOVIMIENTOS!$E$4:$E$1000,C74,MOVIMIENTOS!$B$4:$B$1000,"A REPROCESO")-SUMIFS(MOVIMIENTOS!$F$4:$F$1000,MOVIMIENTOS!$C$4:$C$1000,A74,MOVIMIENTOS!$D$4:$D$1000,B74,MOVIMIENTOS!$E$4:$E$1000,C74,MOVIMIENTOS!$B$4:$B$1000,"MUESTRA")-SUMIFS(MOVIMIENTOS!$F$4:$F$1000,MOVIMIENTOS!$C$4:$C$1000,A74,MOVIMIENTOS!$D$4:$D$1000,B74,MOVIMIENTOS!$E$4:$E$1000,C74,MOVIMIENTOS!$B$4:$B$1000,"AJUSTE-"),0)</f>
        <v>0</v>
      </c>
      <c r="F74" s="101">
        <f>IFERROR(E74*VLOOKUP(B74,TELAS!$A$4:$C$32,3,FALSE()),0)</f>
        <v>0</v>
      </c>
      <c r="G74" s="102">
        <f>IFERROR(IF(D74="OSCURO",VLOOKUP(B74,PRECIOS!$A$4:$F$32,2,FALSE()),IF(D74="CLARO",VLOOKUP(B74,PRECIOS!$A$4:$F$32,3,FALSE()),IF(D74="MELANGE",VLOOKUP(B74,PRECIOS!$A$4:$F$32,4,FALSE()),IF(D74="PPT",VLOOKUP(B74,PRECIOS!$A$4:$F$32,5,FALSE()),0)))),0)</f>
        <v>21</v>
      </c>
      <c r="H74" s="103">
        <f t="shared" si="1"/>
        <v>0</v>
      </c>
      <c r="I74" s="104" t="str">
        <f>IF(E74&lt;0,"ERROR",IF(E74=0,"",IF(E74&lt;CONFIG!$B$4,"CRÍTICO",IF(E74&lt;CONFIG!$B$5,"BAJO","OK"))))</f>
        <v/>
      </c>
    </row>
    <row r="75" ht="15.75" customHeight="1">
      <c r="A75" s="90" t="str">
        <f>IF(CLIENTES!A4="","",CLIENTES!A4)</f>
        <v>OverShark</v>
      </c>
      <c r="B75" s="67" t="str">
        <f>TELAS!A7</f>
        <v>french terry 24/1</v>
      </c>
      <c r="C75" s="67" t="str">
        <f>COLORES!A15</f>
        <v>Plomo</v>
      </c>
      <c r="D75" s="67" t="str">
        <f>COLORES!B15</f>
        <v>OSCURO</v>
      </c>
      <c r="E75" s="100">
        <f>IFERROR(SUMIFS(MOVIMIENTOS!$F$4:$F$1000,MOVIMIENTOS!$C$4:$C$1000,A75,MOVIMIENTOS!$D$4:$D$1000,B75,MOVIMIENTOS!$E$4:$E$1000,C75,MOVIMIENTOS!$B$4:$B$1000,"INGRESO")+SUMIFS(MOVIMIENTOS!$F$4:$F$1000,MOVIMIENTOS!$C$4:$C$1000,A75,MOVIMIENTOS!$D$4:$D$1000,B75,MOVIMIENTOS!$E$4:$E$1000,C75,MOVIMIENTOS!$B$4:$B$1000,"DE REPROCESO")+SUMIFS(MOVIMIENTOS!$F$4:$F$1000,MOVIMIENTOS!$C$4:$C$1000,A75,MOVIMIENTOS!$D$4:$D$1000,B75,MOVIMIENTOS!$E$4:$E$1000,C75,MOVIMIENTOS!$B$4:$B$1000,"AJUSTE+")-SUMIFS(MOVIMIENTOS!$F$4:$F$1000,MOVIMIENTOS!$C$4:$C$1000,A75,MOVIMIENTOS!$D$4:$D$1000,B75,MOVIMIENTOS!$E$4:$E$1000,C75,MOVIMIENTOS!$B$4:$B$1000,"A CORTE")-SUMIFS(MOVIMIENTOS!$F$4:$F$1000,MOVIMIENTOS!$C$4:$C$1000,A75,MOVIMIENTOS!$D$4:$D$1000,B75,MOVIMIENTOS!$E$4:$E$1000,C75,MOVIMIENTOS!$B$4:$B$1000,"A REPROCESO")-SUMIFS(MOVIMIENTOS!$F$4:$F$1000,MOVIMIENTOS!$C$4:$C$1000,A75,MOVIMIENTOS!$D$4:$D$1000,B75,MOVIMIENTOS!$E$4:$E$1000,C75,MOVIMIENTOS!$B$4:$B$1000,"MUESTRA")-SUMIFS(MOVIMIENTOS!$F$4:$F$1000,MOVIMIENTOS!$C$4:$C$1000,A75,MOVIMIENTOS!$D$4:$D$1000,B75,MOVIMIENTOS!$E$4:$E$1000,C75,MOVIMIENTOS!$B$4:$B$1000,"AJUSTE-"),0)</f>
        <v>0</v>
      </c>
      <c r="F75" s="101">
        <f>IFERROR(E75*VLOOKUP(B75,TELAS!$A$4:$C$32,3,FALSE()),0)</f>
        <v>0</v>
      </c>
      <c r="G75" s="102">
        <f>IFERROR(IF(D75="OSCURO",VLOOKUP(B75,PRECIOS!$A$4:$F$32,2,FALSE()),IF(D75="CLARO",VLOOKUP(B75,PRECIOS!$A$4:$F$32,3,FALSE()),IF(D75="MELANGE",VLOOKUP(B75,PRECIOS!$A$4:$F$32,4,FALSE()),IF(D75="PPT",VLOOKUP(B75,PRECIOS!$A$4:$F$32,5,FALSE()),0)))),0)</f>
        <v>24</v>
      </c>
      <c r="H75" s="103">
        <f t="shared" si="1"/>
        <v>0</v>
      </c>
      <c r="I75" s="104" t="str">
        <f>IF(E75&lt;0,"ERROR",IF(E75=0,"",IF(E75&lt;CONFIG!$B$4,"CRÍTICO",IF(E75&lt;CONFIG!$B$5,"BAJO","OK"))))</f>
        <v/>
      </c>
    </row>
    <row r="76" ht="15.75" customHeight="1">
      <c r="A76" s="90" t="str">
        <f>IF(CLIENTES!A4="","",CLIENTES!A4)</f>
        <v>OverShark</v>
      </c>
      <c r="B76" s="67" t="str">
        <f>TELAS!A7</f>
        <v>french terry 24/1</v>
      </c>
      <c r="C76" s="67" t="str">
        <f>COLORES!A16</f>
        <v>Topo</v>
      </c>
      <c r="D76" s="67" t="str">
        <f>COLORES!B16</f>
        <v>CLARO</v>
      </c>
      <c r="E76" s="100">
        <f>IFERROR(SUMIFS(MOVIMIENTOS!$F$4:$F$1000,MOVIMIENTOS!$C$4:$C$1000,A76,MOVIMIENTOS!$D$4:$D$1000,B76,MOVIMIENTOS!$E$4:$E$1000,C76,MOVIMIENTOS!$B$4:$B$1000,"INGRESO")+SUMIFS(MOVIMIENTOS!$F$4:$F$1000,MOVIMIENTOS!$C$4:$C$1000,A76,MOVIMIENTOS!$D$4:$D$1000,B76,MOVIMIENTOS!$E$4:$E$1000,C76,MOVIMIENTOS!$B$4:$B$1000,"DE REPROCESO")+SUMIFS(MOVIMIENTOS!$F$4:$F$1000,MOVIMIENTOS!$C$4:$C$1000,A76,MOVIMIENTOS!$D$4:$D$1000,B76,MOVIMIENTOS!$E$4:$E$1000,C76,MOVIMIENTOS!$B$4:$B$1000,"AJUSTE+")-SUMIFS(MOVIMIENTOS!$F$4:$F$1000,MOVIMIENTOS!$C$4:$C$1000,A76,MOVIMIENTOS!$D$4:$D$1000,B76,MOVIMIENTOS!$E$4:$E$1000,C76,MOVIMIENTOS!$B$4:$B$1000,"A CORTE")-SUMIFS(MOVIMIENTOS!$F$4:$F$1000,MOVIMIENTOS!$C$4:$C$1000,A76,MOVIMIENTOS!$D$4:$D$1000,B76,MOVIMIENTOS!$E$4:$E$1000,C76,MOVIMIENTOS!$B$4:$B$1000,"A REPROCESO")-SUMIFS(MOVIMIENTOS!$F$4:$F$1000,MOVIMIENTOS!$C$4:$C$1000,A76,MOVIMIENTOS!$D$4:$D$1000,B76,MOVIMIENTOS!$E$4:$E$1000,C76,MOVIMIENTOS!$B$4:$B$1000,"MUESTRA")-SUMIFS(MOVIMIENTOS!$F$4:$F$1000,MOVIMIENTOS!$C$4:$C$1000,A76,MOVIMIENTOS!$D$4:$D$1000,B76,MOVIMIENTOS!$E$4:$E$1000,C76,MOVIMIENTOS!$B$4:$B$1000,"AJUSTE-"),0)</f>
        <v>0</v>
      </c>
      <c r="F76" s="101">
        <f>IFERROR(E76*VLOOKUP(B76,TELAS!$A$4:$C$32,3,FALSE()),0)</f>
        <v>0</v>
      </c>
      <c r="G76" s="102">
        <f>IFERROR(IF(D76="OSCURO",VLOOKUP(B76,PRECIOS!$A$4:$F$32,2,FALSE()),IF(D76="CLARO",VLOOKUP(B76,PRECIOS!$A$4:$F$32,3,FALSE()),IF(D76="MELANGE",VLOOKUP(B76,PRECIOS!$A$4:$F$32,4,FALSE()),IF(D76="PPT",VLOOKUP(B76,PRECIOS!$A$4:$F$32,5,FALSE()),0)))),0)</f>
        <v>21</v>
      </c>
      <c r="H76" s="103">
        <f t="shared" si="1"/>
        <v>0</v>
      </c>
      <c r="I76" s="104" t="str">
        <f>IF(E76&lt;0,"ERROR",IF(E76=0,"",IF(E76&lt;CONFIG!$B$4,"CRÍTICO",IF(E76&lt;CONFIG!$B$5,"BAJO","OK"))))</f>
        <v/>
      </c>
    </row>
    <row r="77" ht="15.75" customHeight="1">
      <c r="A77" s="90" t="str">
        <f>IF(CLIENTES!A4="","",CLIENTES!A4)</f>
        <v>OverShark</v>
      </c>
      <c r="B77" s="67" t="str">
        <f>TELAS!A7</f>
        <v>french terry 24/1</v>
      </c>
      <c r="C77" s="67" t="str">
        <f>COLORES!A17</f>
        <v>Vino</v>
      </c>
      <c r="D77" s="67" t="str">
        <f>COLORES!B17</f>
        <v>OSCURO</v>
      </c>
      <c r="E77" s="100">
        <f>IFERROR(SUMIFS(MOVIMIENTOS!$F$4:$F$1000,MOVIMIENTOS!$C$4:$C$1000,A77,MOVIMIENTOS!$D$4:$D$1000,B77,MOVIMIENTOS!$E$4:$E$1000,C77,MOVIMIENTOS!$B$4:$B$1000,"INGRESO")+SUMIFS(MOVIMIENTOS!$F$4:$F$1000,MOVIMIENTOS!$C$4:$C$1000,A77,MOVIMIENTOS!$D$4:$D$1000,B77,MOVIMIENTOS!$E$4:$E$1000,C77,MOVIMIENTOS!$B$4:$B$1000,"DE REPROCESO")+SUMIFS(MOVIMIENTOS!$F$4:$F$1000,MOVIMIENTOS!$C$4:$C$1000,A77,MOVIMIENTOS!$D$4:$D$1000,B77,MOVIMIENTOS!$E$4:$E$1000,C77,MOVIMIENTOS!$B$4:$B$1000,"AJUSTE+")-SUMIFS(MOVIMIENTOS!$F$4:$F$1000,MOVIMIENTOS!$C$4:$C$1000,A77,MOVIMIENTOS!$D$4:$D$1000,B77,MOVIMIENTOS!$E$4:$E$1000,C77,MOVIMIENTOS!$B$4:$B$1000,"A CORTE")-SUMIFS(MOVIMIENTOS!$F$4:$F$1000,MOVIMIENTOS!$C$4:$C$1000,A77,MOVIMIENTOS!$D$4:$D$1000,B77,MOVIMIENTOS!$E$4:$E$1000,C77,MOVIMIENTOS!$B$4:$B$1000,"A REPROCESO")-SUMIFS(MOVIMIENTOS!$F$4:$F$1000,MOVIMIENTOS!$C$4:$C$1000,A77,MOVIMIENTOS!$D$4:$D$1000,B77,MOVIMIENTOS!$E$4:$E$1000,C77,MOVIMIENTOS!$B$4:$B$1000,"MUESTRA")-SUMIFS(MOVIMIENTOS!$F$4:$F$1000,MOVIMIENTOS!$C$4:$C$1000,A77,MOVIMIENTOS!$D$4:$D$1000,B77,MOVIMIENTOS!$E$4:$E$1000,C77,MOVIMIENTOS!$B$4:$B$1000,"AJUSTE-"),0)</f>
        <v>0</v>
      </c>
      <c r="F77" s="101">
        <f>IFERROR(E77*VLOOKUP(B77,TELAS!$A$4:$C$32,3,FALSE()),0)</f>
        <v>0</v>
      </c>
      <c r="G77" s="102">
        <f>IFERROR(IF(D77="OSCURO",VLOOKUP(B77,PRECIOS!$A$4:$F$32,2,FALSE()),IF(D77="CLARO",VLOOKUP(B77,PRECIOS!$A$4:$F$32,3,FALSE()),IF(D77="MELANGE",VLOOKUP(B77,PRECIOS!$A$4:$F$32,4,FALSE()),IF(D77="PPT",VLOOKUP(B77,PRECIOS!$A$4:$F$32,5,FALSE()),0)))),0)</f>
        <v>24</v>
      </c>
      <c r="H77" s="103">
        <f t="shared" si="1"/>
        <v>0</v>
      </c>
      <c r="I77" s="104" t="str">
        <f>IF(E77&lt;0,"ERROR",IF(E77=0,"",IF(E77&lt;CONFIG!$B$4,"CRÍTICO",IF(E77&lt;CONFIG!$B$5,"BAJO","OK"))))</f>
        <v/>
      </c>
    </row>
    <row r="78" ht="15.75" customHeight="1">
      <c r="A78" s="90" t="str">
        <f>IF(CLIENTES!A4="","",CLIENTES!A4)</f>
        <v>OverShark</v>
      </c>
      <c r="B78" s="67" t="str">
        <f>TELAS!A7</f>
        <v>french terry 24/1</v>
      </c>
      <c r="C78" s="67" t="str">
        <f>COLORES!A18</f>
        <v>P. Rosa</v>
      </c>
      <c r="D78" s="67" t="str">
        <f>COLORES!B18</f>
        <v>CLARO</v>
      </c>
      <c r="E78" s="100">
        <f>IFERROR(SUMIFS(MOVIMIENTOS!$F$4:$F$1000,MOVIMIENTOS!$C$4:$C$1000,A78,MOVIMIENTOS!$D$4:$D$1000,B78,MOVIMIENTOS!$E$4:$E$1000,C78,MOVIMIENTOS!$B$4:$B$1000,"INGRESO")+SUMIFS(MOVIMIENTOS!$F$4:$F$1000,MOVIMIENTOS!$C$4:$C$1000,A78,MOVIMIENTOS!$D$4:$D$1000,B78,MOVIMIENTOS!$E$4:$E$1000,C78,MOVIMIENTOS!$B$4:$B$1000,"DE REPROCESO")+SUMIFS(MOVIMIENTOS!$F$4:$F$1000,MOVIMIENTOS!$C$4:$C$1000,A78,MOVIMIENTOS!$D$4:$D$1000,B78,MOVIMIENTOS!$E$4:$E$1000,C78,MOVIMIENTOS!$B$4:$B$1000,"AJUSTE+")-SUMIFS(MOVIMIENTOS!$F$4:$F$1000,MOVIMIENTOS!$C$4:$C$1000,A78,MOVIMIENTOS!$D$4:$D$1000,B78,MOVIMIENTOS!$E$4:$E$1000,C78,MOVIMIENTOS!$B$4:$B$1000,"A CORTE")-SUMIFS(MOVIMIENTOS!$F$4:$F$1000,MOVIMIENTOS!$C$4:$C$1000,A78,MOVIMIENTOS!$D$4:$D$1000,B78,MOVIMIENTOS!$E$4:$E$1000,C78,MOVIMIENTOS!$B$4:$B$1000,"A REPROCESO")-SUMIFS(MOVIMIENTOS!$F$4:$F$1000,MOVIMIENTOS!$C$4:$C$1000,A78,MOVIMIENTOS!$D$4:$D$1000,B78,MOVIMIENTOS!$E$4:$E$1000,C78,MOVIMIENTOS!$B$4:$B$1000,"MUESTRA")-SUMIFS(MOVIMIENTOS!$F$4:$F$1000,MOVIMIENTOS!$C$4:$C$1000,A78,MOVIMIENTOS!$D$4:$D$1000,B78,MOVIMIENTOS!$E$4:$E$1000,C78,MOVIMIENTOS!$B$4:$B$1000,"AJUSTE-"),0)</f>
        <v>0</v>
      </c>
      <c r="F78" s="101">
        <f>IFERROR(E78*VLOOKUP(B78,TELAS!$A$4:$C$32,3,FALSE()),0)</f>
        <v>0</v>
      </c>
      <c r="G78" s="102">
        <f>IFERROR(IF(D78="OSCURO",VLOOKUP(B78,PRECIOS!$A$4:$F$32,2,FALSE()),IF(D78="CLARO",VLOOKUP(B78,PRECIOS!$A$4:$F$32,3,FALSE()),IF(D78="MELANGE",VLOOKUP(B78,PRECIOS!$A$4:$F$32,4,FALSE()),IF(D78="PPT",VLOOKUP(B78,PRECIOS!$A$4:$F$32,5,FALSE()),0)))),0)</f>
        <v>21</v>
      </c>
      <c r="H78" s="103">
        <f t="shared" si="1"/>
        <v>0</v>
      </c>
      <c r="I78" s="104" t="str">
        <f>IF(E78&lt;0,"ERROR",IF(E78=0,"",IF(E78&lt;CONFIG!$B$4,"CRÍTICO",IF(E78&lt;CONFIG!$B$5,"BAJO","OK"))))</f>
        <v/>
      </c>
    </row>
    <row r="79" ht="15.75" customHeight="1">
      <c r="A79" s="90" t="str">
        <f>IF(CLIENTES!A4="","",CLIENTES!A4)</f>
        <v>OverShark</v>
      </c>
      <c r="B79" s="67" t="str">
        <f>TELAS!A7</f>
        <v>french terry 24/1</v>
      </c>
      <c r="C79" s="67" t="str">
        <f>COLORES!A19</f>
        <v/>
      </c>
      <c r="D79" s="67" t="str">
        <f>COLORES!B19</f>
        <v/>
      </c>
      <c r="E79" s="100">
        <f>IFERROR(SUMIFS(MOVIMIENTOS!$F$4:$F$1000,MOVIMIENTOS!$C$4:$C$1000,A79,MOVIMIENTOS!$D$4:$D$1000,B79,MOVIMIENTOS!$E$4:$E$1000,C79,MOVIMIENTOS!$B$4:$B$1000,"INGRESO")+SUMIFS(MOVIMIENTOS!$F$4:$F$1000,MOVIMIENTOS!$C$4:$C$1000,A79,MOVIMIENTOS!$D$4:$D$1000,B79,MOVIMIENTOS!$E$4:$E$1000,C79,MOVIMIENTOS!$B$4:$B$1000,"DE REPROCESO")+SUMIFS(MOVIMIENTOS!$F$4:$F$1000,MOVIMIENTOS!$C$4:$C$1000,A79,MOVIMIENTOS!$D$4:$D$1000,B79,MOVIMIENTOS!$E$4:$E$1000,C79,MOVIMIENTOS!$B$4:$B$1000,"AJUSTE+")-SUMIFS(MOVIMIENTOS!$F$4:$F$1000,MOVIMIENTOS!$C$4:$C$1000,A79,MOVIMIENTOS!$D$4:$D$1000,B79,MOVIMIENTOS!$E$4:$E$1000,C79,MOVIMIENTOS!$B$4:$B$1000,"A CORTE")-SUMIFS(MOVIMIENTOS!$F$4:$F$1000,MOVIMIENTOS!$C$4:$C$1000,A79,MOVIMIENTOS!$D$4:$D$1000,B79,MOVIMIENTOS!$E$4:$E$1000,C79,MOVIMIENTOS!$B$4:$B$1000,"A REPROCESO")-SUMIFS(MOVIMIENTOS!$F$4:$F$1000,MOVIMIENTOS!$C$4:$C$1000,A79,MOVIMIENTOS!$D$4:$D$1000,B79,MOVIMIENTOS!$E$4:$E$1000,C79,MOVIMIENTOS!$B$4:$B$1000,"MUESTRA")-SUMIFS(MOVIMIENTOS!$F$4:$F$1000,MOVIMIENTOS!$C$4:$C$1000,A79,MOVIMIENTOS!$D$4:$D$1000,B79,MOVIMIENTOS!$E$4:$E$1000,C79,MOVIMIENTOS!$B$4:$B$1000,"AJUSTE-"),0)</f>
        <v>0</v>
      </c>
      <c r="F79" s="101">
        <f>IFERROR(E79*VLOOKUP(B79,TELAS!$A$4:$C$32,3,FALSE()),0)</f>
        <v>0</v>
      </c>
      <c r="G79" s="102">
        <f>IFERROR(IF(D79="OSCURO",VLOOKUP(B79,PRECIOS!$A$4:$F$32,2,FALSE()),IF(D79="CLARO",VLOOKUP(B79,PRECIOS!$A$4:$F$32,3,FALSE()),IF(D79="MELANGE",VLOOKUP(B79,PRECIOS!$A$4:$F$32,4,FALSE()),IF(D79="PPT",VLOOKUP(B79,PRECIOS!$A$4:$F$32,5,FALSE()),0)))),0)</f>
        <v>0</v>
      </c>
      <c r="H79" s="103">
        <f t="shared" si="1"/>
        <v>0</v>
      </c>
      <c r="I79" s="104" t="str">
        <f>IF(E79&lt;0,"ERROR",IF(E79=0,"",IF(E79&lt;CONFIG!$B$4,"CRÍTICO",IF(E79&lt;CONFIG!$B$5,"BAJO","OK"))))</f>
        <v/>
      </c>
    </row>
    <row r="80" ht="15.75" customHeight="1">
      <c r="A80" s="90" t="str">
        <f>IF(CLIENTES!A4="","",CLIENTES!A4)</f>
        <v>OverShark</v>
      </c>
      <c r="B80" s="67" t="str">
        <f>TELAS!A7</f>
        <v>french terry 24/1</v>
      </c>
      <c r="C80" s="67" t="str">
        <f>COLORES!A20</f>
        <v/>
      </c>
      <c r="D80" s="67" t="str">
        <f>COLORES!B20</f>
        <v/>
      </c>
      <c r="E80" s="100">
        <f>IFERROR(SUMIFS(MOVIMIENTOS!$F$4:$F$1000,MOVIMIENTOS!$C$4:$C$1000,A80,MOVIMIENTOS!$D$4:$D$1000,B80,MOVIMIENTOS!$E$4:$E$1000,C80,MOVIMIENTOS!$B$4:$B$1000,"INGRESO")+SUMIFS(MOVIMIENTOS!$F$4:$F$1000,MOVIMIENTOS!$C$4:$C$1000,A80,MOVIMIENTOS!$D$4:$D$1000,B80,MOVIMIENTOS!$E$4:$E$1000,C80,MOVIMIENTOS!$B$4:$B$1000,"DE REPROCESO")+SUMIFS(MOVIMIENTOS!$F$4:$F$1000,MOVIMIENTOS!$C$4:$C$1000,A80,MOVIMIENTOS!$D$4:$D$1000,B80,MOVIMIENTOS!$E$4:$E$1000,C80,MOVIMIENTOS!$B$4:$B$1000,"AJUSTE+")-SUMIFS(MOVIMIENTOS!$F$4:$F$1000,MOVIMIENTOS!$C$4:$C$1000,A80,MOVIMIENTOS!$D$4:$D$1000,B80,MOVIMIENTOS!$E$4:$E$1000,C80,MOVIMIENTOS!$B$4:$B$1000,"A CORTE")-SUMIFS(MOVIMIENTOS!$F$4:$F$1000,MOVIMIENTOS!$C$4:$C$1000,A80,MOVIMIENTOS!$D$4:$D$1000,B80,MOVIMIENTOS!$E$4:$E$1000,C80,MOVIMIENTOS!$B$4:$B$1000,"A REPROCESO")-SUMIFS(MOVIMIENTOS!$F$4:$F$1000,MOVIMIENTOS!$C$4:$C$1000,A80,MOVIMIENTOS!$D$4:$D$1000,B80,MOVIMIENTOS!$E$4:$E$1000,C80,MOVIMIENTOS!$B$4:$B$1000,"MUESTRA")-SUMIFS(MOVIMIENTOS!$F$4:$F$1000,MOVIMIENTOS!$C$4:$C$1000,A80,MOVIMIENTOS!$D$4:$D$1000,B80,MOVIMIENTOS!$E$4:$E$1000,C80,MOVIMIENTOS!$B$4:$B$1000,"AJUSTE-"),0)</f>
        <v>0</v>
      </c>
      <c r="F80" s="101">
        <f>IFERROR(E80*VLOOKUP(B80,TELAS!$A$4:$C$32,3,FALSE()),0)</f>
        <v>0</v>
      </c>
      <c r="G80" s="102">
        <f>IFERROR(IF(D80="OSCURO",VLOOKUP(B80,PRECIOS!$A$4:$F$32,2,FALSE()),IF(D80="CLARO",VLOOKUP(B80,PRECIOS!$A$4:$F$32,3,FALSE()),IF(D80="MELANGE",VLOOKUP(B80,PRECIOS!$A$4:$F$32,4,FALSE()),IF(D80="PPT",VLOOKUP(B80,PRECIOS!$A$4:$F$32,5,FALSE()),0)))),0)</f>
        <v>0</v>
      </c>
      <c r="H80" s="103">
        <f t="shared" si="1"/>
        <v>0</v>
      </c>
      <c r="I80" s="104" t="str">
        <f>IF(E80&lt;0,"ERROR",IF(E80=0,"",IF(E80&lt;CONFIG!$B$4,"CRÍTICO",IF(E80&lt;CONFIG!$B$5,"BAJO","OK"))))</f>
        <v/>
      </c>
    </row>
    <row r="81" ht="15.75" customHeight="1">
      <c r="A81" s="90" t="str">
        <f>IF(CLIENTES!A4="","",CLIENTES!A4)</f>
        <v>OverShark</v>
      </c>
      <c r="B81" s="67" t="str">
        <f>TELAS!A7</f>
        <v>french terry 24/1</v>
      </c>
      <c r="C81" s="67" t="str">
        <f>COLORES!A21</f>
        <v/>
      </c>
      <c r="D81" s="67" t="str">
        <f>COLORES!B21</f>
        <v/>
      </c>
      <c r="E81" s="100">
        <f>IFERROR(SUMIFS(MOVIMIENTOS!$F$4:$F$1000,MOVIMIENTOS!$C$4:$C$1000,A81,MOVIMIENTOS!$D$4:$D$1000,B81,MOVIMIENTOS!$E$4:$E$1000,C81,MOVIMIENTOS!$B$4:$B$1000,"INGRESO")+SUMIFS(MOVIMIENTOS!$F$4:$F$1000,MOVIMIENTOS!$C$4:$C$1000,A81,MOVIMIENTOS!$D$4:$D$1000,B81,MOVIMIENTOS!$E$4:$E$1000,C81,MOVIMIENTOS!$B$4:$B$1000,"DE REPROCESO")+SUMIFS(MOVIMIENTOS!$F$4:$F$1000,MOVIMIENTOS!$C$4:$C$1000,A81,MOVIMIENTOS!$D$4:$D$1000,B81,MOVIMIENTOS!$E$4:$E$1000,C81,MOVIMIENTOS!$B$4:$B$1000,"AJUSTE+")-SUMIFS(MOVIMIENTOS!$F$4:$F$1000,MOVIMIENTOS!$C$4:$C$1000,A81,MOVIMIENTOS!$D$4:$D$1000,B81,MOVIMIENTOS!$E$4:$E$1000,C81,MOVIMIENTOS!$B$4:$B$1000,"A CORTE")-SUMIFS(MOVIMIENTOS!$F$4:$F$1000,MOVIMIENTOS!$C$4:$C$1000,A81,MOVIMIENTOS!$D$4:$D$1000,B81,MOVIMIENTOS!$E$4:$E$1000,C81,MOVIMIENTOS!$B$4:$B$1000,"A REPROCESO")-SUMIFS(MOVIMIENTOS!$F$4:$F$1000,MOVIMIENTOS!$C$4:$C$1000,A81,MOVIMIENTOS!$D$4:$D$1000,B81,MOVIMIENTOS!$E$4:$E$1000,C81,MOVIMIENTOS!$B$4:$B$1000,"MUESTRA")-SUMIFS(MOVIMIENTOS!$F$4:$F$1000,MOVIMIENTOS!$C$4:$C$1000,A81,MOVIMIENTOS!$D$4:$D$1000,B81,MOVIMIENTOS!$E$4:$E$1000,C81,MOVIMIENTOS!$B$4:$B$1000,"AJUSTE-"),0)</f>
        <v>0</v>
      </c>
      <c r="F81" s="101">
        <f>IFERROR(E81*VLOOKUP(B81,TELAS!$A$4:$C$32,3,FALSE()),0)</f>
        <v>0</v>
      </c>
      <c r="G81" s="102">
        <f>IFERROR(IF(D81="OSCURO",VLOOKUP(B81,PRECIOS!$A$4:$F$32,2,FALSE()),IF(D81="CLARO",VLOOKUP(B81,PRECIOS!$A$4:$F$32,3,FALSE()),IF(D81="MELANGE",VLOOKUP(B81,PRECIOS!$A$4:$F$32,4,FALSE()),IF(D81="PPT",VLOOKUP(B81,PRECIOS!$A$4:$F$32,5,FALSE()),0)))),0)</f>
        <v>0</v>
      </c>
      <c r="H81" s="103">
        <f t="shared" si="1"/>
        <v>0</v>
      </c>
      <c r="I81" s="104" t="str">
        <f>IF(E81&lt;0,"ERROR",IF(E81=0,"",IF(E81&lt;CONFIG!$B$4,"CRÍTICO",IF(E81&lt;CONFIG!$B$5,"BAJO","OK"))))</f>
        <v/>
      </c>
    </row>
    <row r="82" ht="15.75" customHeight="1">
      <c r="A82" s="90" t="str">
        <f>IF(CLIENTES!A4="","",CLIENTES!A4)</f>
        <v>OverShark</v>
      </c>
      <c r="B82" s="67" t="str">
        <f>TELAS!A7</f>
        <v>french terry 24/1</v>
      </c>
      <c r="C82" s="67" t="str">
        <f>COLORES!A22</f>
        <v/>
      </c>
      <c r="D82" s="67" t="str">
        <f>COLORES!B22</f>
        <v/>
      </c>
      <c r="E82" s="100">
        <f>IFERROR(SUMIFS(MOVIMIENTOS!$F$4:$F$1000,MOVIMIENTOS!$C$4:$C$1000,A82,MOVIMIENTOS!$D$4:$D$1000,B82,MOVIMIENTOS!$E$4:$E$1000,C82,MOVIMIENTOS!$B$4:$B$1000,"INGRESO")+SUMIFS(MOVIMIENTOS!$F$4:$F$1000,MOVIMIENTOS!$C$4:$C$1000,A82,MOVIMIENTOS!$D$4:$D$1000,B82,MOVIMIENTOS!$E$4:$E$1000,C82,MOVIMIENTOS!$B$4:$B$1000,"DE REPROCESO")+SUMIFS(MOVIMIENTOS!$F$4:$F$1000,MOVIMIENTOS!$C$4:$C$1000,A82,MOVIMIENTOS!$D$4:$D$1000,B82,MOVIMIENTOS!$E$4:$E$1000,C82,MOVIMIENTOS!$B$4:$B$1000,"AJUSTE+")-SUMIFS(MOVIMIENTOS!$F$4:$F$1000,MOVIMIENTOS!$C$4:$C$1000,A82,MOVIMIENTOS!$D$4:$D$1000,B82,MOVIMIENTOS!$E$4:$E$1000,C82,MOVIMIENTOS!$B$4:$B$1000,"A CORTE")-SUMIFS(MOVIMIENTOS!$F$4:$F$1000,MOVIMIENTOS!$C$4:$C$1000,A82,MOVIMIENTOS!$D$4:$D$1000,B82,MOVIMIENTOS!$E$4:$E$1000,C82,MOVIMIENTOS!$B$4:$B$1000,"A REPROCESO")-SUMIFS(MOVIMIENTOS!$F$4:$F$1000,MOVIMIENTOS!$C$4:$C$1000,A82,MOVIMIENTOS!$D$4:$D$1000,B82,MOVIMIENTOS!$E$4:$E$1000,C82,MOVIMIENTOS!$B$4:$B$1000,"MUESTRA")-SUMIFS(MOVIMIENTOS!$F$4:$F$1000,MOVIMIENTOS!$C$4:$C$1000,A82,MOVIMIENTOS!$D$4:$D$1000,B82,MOVIMIENTOS!$E$4:$E$1000,C82,MOVIMIENTOS!$B$4:$B$1000,"AJUSTE-"),0)</f>
        <v>0</v>
      </c>
      <c r="F82" s="101">
        <f>IFERROR(E82*VLOOKUP(B82,TELAS!$A$4:$C$32,3,FALSE()),0)</f>
        <v>0</v>
      </c>
      <c r="G82" s="102">
        <f>IFERROR(IF(D82="OSCURO",VLOOKUP(B82,PRECIOS!$A$4:$F$32,2,FALSE()),IF(D82="CLARO",VLOOKUP(B82,PRECIOS!$A$4:$F$32,3,FALSE()),IF(D82="MELANGE",VLOOKUP(B82,PRECIOS!$A$4:$F$32,4,FALSE()),IF(D82="PPT",VLOOKUP(B82,PRECIOS!$A$4:$F$32,5,FALSE()),0)))),0)</f>
        <v>0</v>
      </c>
      <c r="H82" s="103">
        <f t="shared" si="1"/>
        <v>0</v>
      </c>
      <c r="I82" s="104" t="str">
        <f>IF(E82&lt;0,"ERROR",IF(E82=0,"",IF(E82&lt;CONFIG!$B$4,"CRÍTICO",IF(E82&lt;CONFIG!$B$5,"BAJO","OK"))))</f>
        <v/>
      </c>
    </row>
    <row r="83" ht="15.75" customHeight="1">
      <c r="A83" s="90" t="str">
        <f>IF(CLIENTES!A4="","",CLIENTES!A4)</f>
        <v>OverShark</v>
      </c>
      <c r="B83" s="67" t="str">
        <f>TELAS!A7</f>
        <v>french terry 24/1</v>
      </c>
      <c r="C83" s="67" t="str">
        <f>COLORES!A23</f>
        <v/>
      </c>
      <c r="D83" s="67" t="str">
        <f>COLORES!B23</f>
        <v/>
      </c>
      <c r="E83" s="100">
        <f>IFERROR(SUMIFS(MOVIMIENTOS!$F$4:$F$1000,MOVIMIENTOS!$C$4:$C$1000,A83,MOVIMIENTOS!$D$4:$D$1000,B83,MOVIMIENTOS!$E$4:$E$1000,C83,MOVIMIENTOS!$B$4:$B$1000,"INGRESO")+SUMIFS(MOVIMIENTOS!$F$4:$F$1000,MOVIMIENTOS!$C$4:$C$1000,A83,MOVIMIENTOS!$D$4:$D$1000,B83,MOVIMIENTOS!$E$4:$E$1000,C83,MOVIMIENTOS!$B$4:$B$1000,"DE REPROCESO")+SUMIFS(MOVIMIENTOS!$F$4:$F$1000,MOVIMIENTOS!$C$4:$C$1000,A83,MOVIMIENTOS!$D$4:$D$1000,B83,MOVIMIENTOS!$E$4:$E$1000,C83,MOVIMIENTOS!$B$4:$B$1000,"AJUSTE+")-SUMIFS(MOVIMIENTOS!$F$4:$F$1000,MOVIMIENTOS!$C$4:$C$1000,A83,MOVIMIENTOS!$D$4:$D$1000,B83,MOVIMIENTOS!$E$4:$E$1000,C83,MOVIMIENTOS!$B$4:$B$1000,"A CORTE")-SUMIFS(MOVIMIENTOS!$F$4:$F$1000,MOVIMIENTOS!$C$4:$C$1000,A83,MOVIMIENTOS!$D$4:$D$1000,B83,MOVIMIENTOS!$E$4:$E$1000,C83,MOVIMIENTOS!$B$4:$B$1000,"A REPROCESO")-SUMIFS(MOVIMIENTOS!$F$4:$F$1000,MOVIMIENTOS!$C$4:$C$1000,A83,MOVIMIENTOS!$D$4:$D$1000,B83,MOVIMIENTOS!$E$4:$E$1000,C83,MOVIMIENTOS!$B$4:$B$1000,"MUESTRA")-SUMIFS(MOVIMIENTOS!$F$4:$F$1000,MOVIMIENTOS!$C$4:$C$1000,A83,MOVIMIENTOS!$D$4:$D$1000,B83,MOVIMIENTOS!$E$4:$E$1000,C83,MOVIMIENTOS!$B$4:$B$1000,"AJUSTE-"),0)</f>
        <v>0</v>
      </c>
      <c r="F83" s="101">
        <f>IFERROR(E83*VLOOKUP(B83,TELAS!$A$4:$C$32,3,FALSE()),0)</f>
        <v>0</v>
      </c>
      <c r="G83" s="102">
        <f>IFERROR(IF(D83="OSCURO",VLOOKUP(B83,PRECIOS!$A$4:$F$32,2,FALSE()),IF(D83="CLARO",VLOOKUP(B83,PRECIOS!$A$4:$F$32,3,FALSE()),IF(D83="MELANGE",VLOOKUP(B83,PRECIOS!$A$4:$F$32,4,FALSE()),IF(D83="PPT",VLOOKUP(B83,PRECIOS!$A$4:$F$32,5,FALSE()),0)))),0)</f>
        <v>0</v>
      </c>
      <c r="H83" s="103">
        <f t="shared" si="1"/>
        <v>0</v>
      </c>
      <c r="I83" s="104" t="str">
        <f>IF(E83&lt;0,"ERROR",IF(E83=0,"",IF(E83&lt;CONFIG!$B$4,"CRÍTICO",IF(E83&lt;CONFIG!$B$5,"BAJO","OK"))))</f>
        <v/>
      </c>
    </row>
    <row r="84" ht="15.75" customHeight="1">
      <c r="A84" s="90" t="str">
        <f>IF(CLIENTES!A4="","",CLIENTES!A4)</f>
        <v>OverShark</v>
      </c>
      <c r="B84" s="67" t="str">
        <f>TELAS!A8</f>
        <v>rib 1x1</v>
      </c>
      <c r="C84" s="67" t="str">
        <f>COLORES!A4</f>
        <v>Negro</v>
      </c>
      <c r="D84" s="67" t="str">
        <f>COLORES!B4</f>
        <v>OSCURO</v>
      </c>
      <c r="E84" s="100">
        <f>IFERROR(SUMIFS(MOVIMIENTOS!$F$4:$F$1000,MOVIMIENTOS!$C$4:$C$1000,A84,MOVIMIENTOS!$D$4:$D$1000,B84,MOVIMIENTOS!$E$4:$E$1000,C84,MOVIMIENTOS!$B$4:$B$1000,"INGRESO")+SUMIFS(MOVIMIENTOS!$F$4:$F$1000,MOVIMIENTOS!$C$4:$C$1000,A84,MOVIMIENTOS!$D$4:$D$1000,B84,MOVIMIENTOS!$E$4:$E$1000,C84,MOVIMIENTOS!$B$4:$B$1000,"DE REPROCESO")+SUMIFS(MOVIMIENTOS!$F$4:$F$1000,MOVIMIENTOS!$C$4:$C$1000,A84,MOVIMIENTOS!$D$4:$D$1000,B84,MOVIMIENTOS!$E$4:$E$1000,C84,MOVIMIENTOS!$B$4:$B$1000,"AJUSTE+")-SUMIFS(MOVIMIENTOS!$F$4:$F$1000,MOVIMIENTOS!$C$4:$C$1000,A84,MOVIMIENTOS!$D$4:$D$1000,B84,MOVIMIENTOS!$E$4:$E$1000,C84,MOVIMIENTOS!$B$4:$B$1000,"A CORTE")-SUMIFS(MOVIMIENTOS!$F$4:$F$1000,MOVIMIENTOS!$C$4:$C$1000,A84,MOVIMIENTOS!$D$4:$D$1000,B84,MOVIMIENTOS!$E$4:$E$1000,C84,MOVIMIENTOS!$B$4:$B$1000,"A REPROCESO")-SUMIFS(MOVIMIENTOS!$F$4:$F$1000,MOVIMIENTOS!$C$4:$C$1000,A84,MOVIMIENTOS!$D$4:$D$1000,B84,MOVIMIENTOS!$E$4:$E$1000,C84,MOVIMIENTOS!$B$4:$B$1000,"MUESTRA")-SUMIFS(MOVIMIENTOS!$F$4:$F$1000,MOVIMIENTOS!$C$4:$C$1000,A84,MOVIMIENTOS!$D$4:$D$1000,B84,MOVIMIENTOS!$E$4:$E$1000,C84,MOVIMIENTOS!$B$4:$B$1000,"AJUSTE-"),0)</f>
        <v>3</v>
      </c>
      <c r="F84" s="101">
        <f>IFERROR(E84*VLOOKUP(B84,TELAS!$A$4:$C$32,3,FALSE()),0)</f>
        <v>60</v>
      </c>
      <c r="G84" s="102">
        <f>IFERROR(IF(D84="OSCURO",VLOOKUP(B84,PRECIOS!$A$4:$F$32,2,FALSE()),IF(D84="CLARO",VLOOKUP(B84,PRECIOS!$A$4:$F$32,3,FALSE()),IF(D84="MELANGE",VLOOKUP(B84,PRECIOS!$A$4:$F$32,4,FALSE()),IF(D84="PPT",VLOOKUP(B84,PRECIOS!$A$4:$F$32,5,FALSE()),0)))),0)</f>
        <v>24</v>
      </c>
      <c r="H84" s="103">
        <f t="shared" si="1"/>
        <v>1440</v>
      </c>
      <c r="I84" s="104" t="str">
        <f>IF(E84&lt;0,"ERROR",IF(E84=0,"",IF(E84&lt;CONFIG!$B$4,"CRÍTICO",IF(E84&lt;CONFIG!$B$5,"BAJO","OK"))))</f>
        <v>CRÍTICO</v>
      </c>
    </row>
    <row r="85" ht="15.75" customHeight="1">
      <c r="A85" s="90" t="str">
        <f>IF(CLIENTES!A4="","",CLIENTES!A4)</f>
        <v>OverShark</v>
      </c>
      <c r="B85" s="67" t="str">
        <f>TELAS!A8</f>
        <v>rib 1x1</v>
      </c>
      <c r="C85" s="67" t="str">
        <f>COLORES!A5</f>
        <v>Perla</v>
      </c>
      <c r="D85" s="67" t="str">
        <f>COLORES!B5</f>
        <v>PPT</v>
      </c>
      <c r="E85" s="100">
        <f>IFERROR(SUMIFS(MOVIMIENTOS!$F$4:$F$1000,MOVIMIENTOS!$C$4:$C$1000,A85,MOVIMIENTOS!$D$4:$D$1000,B85,MOVIMIENTOS!$E$4:$E$1000,C85,MOVIMIENTOS!$B$4:$B$1000,"INGRESO")+SUMIFS(MOVIMIENTOS!$F$4:$F$1000,MOVIMIENTOS!$C$4:$C$1000,A85,MOVIMIENTOS!$D$4:$D$1000,B85,MOVIMIENTOS!$E$4:$E$1000,C85,MOVIMIENTOS!$B$4:$B$1000,"DE REPROCESO")+SUMIFS(MOVIMIENTOS!$F$4:$F$1000,MOVIMIENTOS!$C$4:$C$1000,A85,MOVIMIENTOS!$D$4:$D$1000,B85,MOVIMIENTOS!$E$4:$E$1000,C85,MOVIMIENTOS!$B$4:$B$1000,"AJUSTE+")-SUMIFS(MOVIMIENTOS!$F$4:$F$1000,MOVIMIENTOS!$C$4:$C$1000,A85,MOVIMIENTOS!$D$4:$D$1000,B85,MOVIMIENTOS!$E$4:$E$1000,C85,MOVIMIENTOS!$B$4:$B$1000,"A CORTE")-SUMIFS(MOVIMIENTOS!$F$4:$F$1000,MOVIMIENTOS!$C$4:$C$1000,A85,MOVIMIENTOS!$D$4:$D$1000,B85,MOVIMIENTOS!$E$4:$E$1000,C85,MOVIMIENTOS!$B$4:$B$1000,"A REPROCESO")-SUMIFS(MOVIMIENTOS!$F$4:$F$1000,MOVIMIENTOS!$C$4:$C$1000,A85,MOVIMIENTOS!$D$4:$D$1000,B85,MOVIMIENTOS!$E$4:$E$1000,C85,MOVIMIENTOS!$B$4:$B$1000,"MUESTRA")-SUMIFS(MOVIMIENTOS!$F$4:$F$1000,MOVIMIENTOS!$C$4:$C$1000,A85,MOVIMIENTOS!$D$4:$D$1000,B85,MOVIMIENTOS!$E$4:$E$1000,C85,MOVIMIENTOS!$B$4:$B$1000,"AJUSTE-"),0)</f>
        <v>1</v>
      </c>
      <c r="F85" s="101">
        <f>IFERROR(E85*VLOOKUP(B85,TELAS!$A$4:$C$32,3,FALSE()),0)</f>
        <v>20</v>
      </c>
      <c r="G85" s="102">
        <f>IFERROR(IF(D85="OSCURO",VLOOKUP(B85,PRECIOS!$A$4:$F$32,2,FALSE()),IF(D85="CLARO",VLOOKUP(B85,PRECIOS!$A$4:$F$32,3,FALSE()),IF(D85="MELANGE",VLOOKUP(B85,PRECIOS!$A$4:$F$32,4,FALSE()),IF(D85="PPT",VLOOKUP(B85,PRECIOS!$A$4:$F$32,5,FALSE()),0)))),0)</f>
        <v>18</v>
      </c>
      <c r="H85" s="103">
        <f t="shared" si="1"/>
        <v>360</v>
      </c>
      <c r="I85" s="104" t="str">
        <f>IF(E85&lt;0,"ERROR",IF(E85=0,"",IF(E85&lt;CONFIG!$B$4,"CRÍTICO",IF(E85&lt;CONFIG!$B$5,"BAJO","OK"))))</f>
        <v>CRÍTICO</v>
      </c>
    </row>
    <row r="86" ht="15.75" customHeight="1">
      <c r="A86" s="90" t="str">
        <f>IF(CLIENTES!A4="","",CLIENTES!A4)</f>
        <v>OverShark</v>
      </c>
      <c r="B86" s="67" t="str">
        <f>TELAS!A8</f>
        <v>rib 1x1</v>
      </c>
      <c r="C86" s="67" t="str">
        <f>COLORES!A6</f>
        <v>Blanco</v>
      </c>
      <c r="D86" s="67" t="str">
        <f>COLORES!B6</f>
        <v>PPT</v>
      </c>
      <c r="E86" s="100">
        <f>IFERROR(SUMIFS(MOVIMIENTOS!$F$4:$F$1000,MOVIMIENTOS!$C$4:$C$1000,A86,MOVIMIENTOS!$D$4:$D$1000,B86,MOVIMIENTOS!$E$4:$E$1000,C86,MOVIMIENTOS!$B$4:$B$1000,"INGRESO")+SUMIFS(MOVIMIENTOS!$F$4:$F$1000,MOVIMIENTOS!$C$4:$C$1000,A86,MOVIMIENTOS!$D$4:$D$1000,B86,MOVIMIENTOS!$E$4:$E$1000,C86,MOVIMIENTOS!$B$4:$B$1000,"DE REPROCESO")+SUMIFS(MOVIMIENTOS!$F$4:$F$1000,MOVIMIENTOS!$C$4:$C$1000,A86,MOVIMIENTOS!$D$4:$D$1000,B86,MOVIMIENTOS!$E$4:$E$1000,C86,MOVIMIENTOS!$B$4:$B$1000,"AJUSTE+")-SUMIFS(MOVIMIENTOS!$F$4:$F$1000,MOVIMIENTOS!$C$4:$C$1000,A86,MOVIMIENTOS!$D$4:$D$1000,B86,MOVIMIENTOS!$E$4:$E$1000,C86,MOVIMIENTOS!$B$4:$B$1000,"A CORTE")-SUMIFS(MOVIMIENTOS!$F$4:$F$1000,MOVIMIENTOS!$C$4:$C$1000,A86,MOVIMIENTOS!$D$4:$D$1000,B86,MOVIMIENTOS!$E$4:$E$1000,C86,MOVIMIENTOS!$B$4:$B$1000,"A REPROCESO")-SUMIFS(MOVIMIENTOS!$F$4:$F$1000,MOVIMIENTOS!$C$4:$C$1000,A86,MOVIMIENTOS!$D$4:$D$1000,B86,MOVIMIENTOS!$E$4:$E$1000,C86,MOVIMIENTOS!$B$4:$B$1000,"MUESTRA")-SUMIFS(MOVIMIENTOS!$F$4:$F$1000,MOVIMIENTOS!$C$4:$C$1000,A86,MOVIMIENTOS!$D$4:$D$1000,B86,MOVIMIENTOS!$E$4:$E$1000,C86,MOVIMIENTOS!$B$4:$B$1000,"AJUSTE-"),0)</f>
        <v>0</v>
      </c>
      <c r="F86" s="101">
        <f>IFERROR(E86*VLOOKUP(B86,TELAS!$A$4:$C$32,3,FALSE()),0)</f>
        <v>0</v>
      </c>
      <c r="G86" s="102">
        <f>IFERROR(IF(D86="OSCURO",VLOOKUP(B86,PRECIOS!$A$4:$F$32,2,FALSE()),IF(D86="CLARO",VLOOKUP(B86,PRECIOS!$A$4:$F$32,3,FALSE()),IF(D86="MELANGE",VLOOKUP(B86,PRECIOS!$A$4:$F$32,4,FALSE()),IF(D86="PPT",VLOOKUP(B86,PRECIOS!$A$4:$F$32,5,FALSE()),0)))),0)</f>
        <v>18</v>
      </c>
      <c r="H86" s="103">
        <f t="shared" si="1"/>
        <v>0</v>
      </c>
      <c r="I86" s="104" t="str">
        <f>IF(E86&lt;0,"ERROR",IF(E86=0,"",IF(E86&lt;CONFIG!$B$4,"CRÍTICO",IF(E86&lt;CONFIG!$B$5,"BAJO","OK"))))</f>
        <v/>
      </c>
    </row>
    <row r="87" ht="15.75" customHeight="1">
      <c r="A87" s="90" t="str">
        <f>IF(CLIENTES!A4="","",CLIENTES!A4)</f>
        <v>OverShark</v>
      </c>
      <c r="B87" s="67" t="str">
        <f>TELAS!A8</f>
        <v>rib 1x1</v>
      </c>
      <c r="C87" s="67" t="str">
        <f>COLORES!A7</f>
        <v>Azul</v>
      </c>
      <c r="D87" s="67" t="str">
        <f>COLORES!B7</f>
        <v>OSCURO</v>
      </c>
      <c r="E87" s="100">
        <f>IFERROR(SUMIFS(MOVIMIENTOS!$F$4:$F$1000,MOVIMIENTOS!$C$4:$C$1000,A87,MOVIMIENTOS!$D$4:$D$1000,B87,MOVIMIENTOS!$E$4:$E$1000,C87,MOVIMIENTOS!$B$4:$B$1000,"INGRESO")+SUMIFS(MOVIMIENTOS!$F$4:$F$1000,MOVIMIENTOS!$C$4:$C$1000,A87,MOVIMIENTOS!$D$4:$D$1000,B87,MOVIMIENTOS!$E$4:$E$1000,C87,MOVIMIENTOS!$B$4:$B$1000,"DE REPROCESO")+SUMIFS(MOVIMIENTOS!$F$4:$F$1000,MOVIMIENTOS!$C$4:$C$1000,A87,MOVIMIENTOS!$D$4:$D$1000,B87,MOVIMIENTOS!$E$4:$E$1000,C87,MOVIMIENTOS!$B$4:$B$1000,"AJUSTE+")-SUMIFS(MOVIMIENTOS!$F$4:$F$1000,MOVIMIENTOS!$C$4:$C$1000,A87,MOVIMIENTOS!$D$4:$D$1000,B87,MOVIMIENTOS!$E$4:$E$1000,C87,MOVIMIENTOS!$B$4:$B$1000,"A CORTE")-SUMIFS(MOVIMIENTOS!$F$4:$F$1000,MOVIMIENTOS!$C$4:$C$1000,A87,MOVIMIENTOS!$D$4:$D$1000,B87,MOVIMIENTOS!$E$4:$E$1000,C87,MOVIMIENTOS!$B$4:$B$1000,"A REPROCESO")-SUMIFS(MOVIMIENTOS!$F$4:$F$1000,MOVIMIENTOS!$C$4:$C$1000,A87,MOVIMIENTOS!$D$4:$D$1000,B87,MOVIMIENTOS!$E$4:$E$1000,C87,MOVIMIENTOS!$B$4:$B$1000,"MUESTRA")-SUMIFS(MOVIMIENTOS!$F$4:$F$1000,MOVIMIENTOS!$C$4:$C$1000,A87,MOVIMIENTOS!$D$4:$D$1000,B87,MOVIMIENTOS!$E$4:$E$1000,C87,MOVIMIENTOS!$B$4:$B$1000,"AJUSTE-"),0)</f>
        <v>1</v>
      </c>
      <c r="F87" s="101">
        <f>IFERROR(E87*VLOOKUP(B87,TELAS!$A$4:$C$32,3,FALSE()),0)</f>
        <v>20</v>
      </c>
      <c r="G87" s="102">
        <f>IFERROR(IF(D87="OSCURO",VLOOKUP(B87,PRECIOS!$A$4:$F$32,2,FALSE()),IF(D87="CLARO",VLOOKUP(B87,PRECIOS!$A$4:$F$32,3,FALSE()),IF(D87="MELANGE",VLOOKUP(B87,PRECIOS!$A$4:$F$32,4,FALSE()),IF(D87="PPT",VLOOKUP(B87,PRECIOS!$A$4:$F$32,5,FALSE()),0)))),0)</f>
        <v>24</v>
      </c>
      <c r="H87" s="103">
        <f t="shared" si="1"/>
        <v>480</v>
      </c>
      <c r="I87" s="104" t="str">
        <f>IF(E87&lt;0,"ERROR",IF(E87=0,"",IF(E87&lt;CONFIG!$B$4,"CRÍTICO",IF(E87&lt;CONFIG!$B$5,"BAJO","OK"))))</f>
        <v>CRÍTICO</v>
      </c>
    </row>
    <row r="88" ht="15.75" customHeight="1">
      <c r="A88" s="90" t="str">
        <f>IF(CLIENTES!A4="","",CLIENTES!A4)</f>
        <v>OverShark</v>
      </c>
      <c r="B88" s="67" t="str">
        <f>TELAS!A8</f>
        <v>rib 1x1</v>
      </c>
      <c r="C88" s="67" t="str">
        <f>COLORES!A8</f>
        <v>Beige</v>
      </c>
      <c r="D88" s="67" t="str">
        <f>COLORES!B8</f>
        <v>CLARO</v>
      </c>
      <c r="E88" s="100">
        <f>IFERROR(SUMIFS(MOVIMIENTOS!$F$4:$F$1000,MOVIMIENTOS!$C$4:$C$1000,A88,MOVIMIENTOS!$D$4:$D$1000,B88,MOVIMIENTOS!$E$4:$E$1000,C88,MOVIMIENTOS!$B$4:$B$1000,"INGRESO")+SUMIFS(MOVIMIENTOS!$F$4:$F$1000,MOVIMIENTOS!$C$4:$C$1000,A88,MOVIMIENTOS!$D$4:$D$1000,B88,MOVIMIENTOS!$E$4:$E$1000,C88,MOVIMIENTOS!$B$4:$B$1000,"DE REPROCESO")+SUMIFS(MOVIMIENTOS!$F$4:$F$1000,MOVIMIENTOS!$C$4:$C$1000,A88,MOVIMIENTOS!$D$4:$D$1000,B88,MOVIMIENTOS!$E$4:$E$1000,C88,MOVIMIENTOS!$B$4:$B$1000,"AJUSTE+")-SUMIFS(MOVIMIENTOS!$F$4:$F$1000,MOVIMIENTOS!$C$4:$C$1000,A88,MOVIMIENTOS!$D$4:$D$1000,B88,MOVIMIENTOS!$E$4:$E$1000,C88,MOVIMIENTOS!$B$4:$B$1000,"A CORTE")-SUMIFS(MOVIMIENTOS!$F$4:$F$1000,MOVIMIENTOS!$C$4:$C$1000,A88,MOVIMIENTOS!$D$4:$D$1000,B88,MOVIMIENTOS!$E$4:$E$1000,C88,MOVIMIENTOS!$B$4:$B$1000,"A REPROCESO")-SUMIFS(MOVIMIENTOS!$F$4:$F$1000,MOVIMIENTOS!$C$4:$C$1000,A88,MOVIMIENTOS!$D$4:$D$1000,B88,MOVIMIENTOS!$E$4:$E$1000,C88,MOVIMIENTOS!$B$4:$B$1000,"MUESTRA")-SUMIFS(MOVIMIENTOS!$F$4:$F$1000,MOVIMIENTOS!$C$4:$C$1000,A88,MOVIMIENTOS!$D$4:$D$1000,B88,MOVIMIENTOS!$E$4:$E$1000,C88,MOVIMIENTOS!$B$4:$B$1000,"AJUSTE-"),0)</f>
        <v>0</v>
      </c>
      <c r="F88" s="101">
        <f>IFERROR(E88*VLOOKUP(B88,TELAS!$A$4:$C$32,3,FALSE()),0)</f>
        <v>0</v>
      </c>
      <c r="G88" s="102">
        <f>IFERROR(IF(D88="OSCURO",VLOOKUP(B88,PRECIOS!$A$4:$F$32,2,FALSE()),IF(D88="CLARO",VLOOKUP(B88,PRECIOS!$A$4:$F$32,3,FALSE()),IF(D88="MELANGE",VLOOKUP(B88,PRECIOS!$A$4:$F$32,4,FALSE()),IF(D88="PPT",VLOOKUP(B88,PRECIOS!$A$4:$F$32,5,FALSE()),0)))),0)</f>
        <v>21</v>
      </c>
      <c r="H88" s="103">
        <f t="shared" si="1"/>
        <v>0</v>
      </c>
      <c r="I88" s="104" t="str">
        <f>IF(E88&lt;0,"ERROR",IF(E88=0,"",IF(E88&lt;CONFIG!$B$4,"CRÍTICO",IF(E88&lt;CONFIG!$B$5,"BAJO","OK"))))</f>
        <v/>
      </c>
    </row>
    <row r="89" ht="15.75" customHeight="1">
      <c r="A89" s="90" t="str">
        <f>IF(CLIENTES!A4="","",CLIENTES!A4)</f>
        <v>OverShark</v>
      </c>
      <c r="B89" s="67" t="str">
        <f>TELAS!A8</f>
        <v>rib 1x1</v>
      </c>
      <c r="C89" s="67" t="str">
        <f>COLORES!A9</f>
        <v>Melange</v>
      </c>
      <c r="D89" s="67" t="str">
        <f>COLORES!B9</f>
        <v>MELANGE</v>
      </c>
      <c r="E89" s="100">
        <f>IFERROR(SUMIFS(MOVIMIENTOS!$F$4:$F$1000,MOVIMIENTOS!$C$4:$C$1000,A89,MOVIMIENTOS!$D$4:$D$1000,B89,MOVIMIENTOS!$E$4:$E$1000,C89,MOVIMIENTOS!$B$4:$B$1000,"INGRESO")+SUMIFS(MOVIMIENTOS!$F$4:$F$1000,MOVIMIENTOS!$C$4:$C$1000,A89,MOVIMIENTOS!$D$4:$D$1000,B89,MOVIMIENTOS!$E$4:$E$1000,C89,MOVIMIENTOS!$B$4:$B$1000,"DE REPROCESO")+SUMIFS(MOVIMIENTOS!$F$4:$F$1000,MOVIMIENTOS!$C$4:$C$1000,A89,MOVIMIENTOS!$D$4:$D$1000,B89,MOVIMIENTOS!$E$4:$E$1000,C89,MOVIMIENTOS!$B$4:$B$1000,"AJUSTE+")-SUMIFS(MOVIMIENTOS!$F$4:$F$1000,MOVIMIENTOS!$C$4:$C$1000,A89,MOVIMIENTOS!$D$4:$D$1000,B89,MOVIMIENTOS!$E$4:$E$1000,C89,MOVIMIENTOS!$B$4:$B$1000,"A CORTE")-SUMIFS(MOVIMIENTOS!$F$4:$F$1000,MOVIMIENTOS!$C$4:$C$1000,A89,MOVIMIENTOS!$D$4:$D$1000,B89,MOVIMIENTOS!$E$4:$E$1000,C89,MOVIMIENTOS!$B$4:$B$1000,"A REPROCESO")-SUMIFS(MOVIMIENTOS!$F$4:$F$1000,MOVIMIENTOS!$C$4:$C$1000,A89,MOVIMIENTOS!$D$4:$D$1000,B89,MOVIMIENTOS!$E$4:$E$1000,C89,MOVIMIENTOS!$B$4:$B$1000,"MUESTRA")-SUMIFS(MOVIMIENTOS!$F$4:$F$1000,MOVIMIENTOS!$C$4:$C$1000,A89,MOVIMIENTOS!$D$4:$D$1000,B89,MOVIMIENTOS!$E$4:$E$1000,C89,MOVIMIENTOS!$B$4:$B$1000,"AJUSTE-"),0)</f>
        <v>0</v>
      </c>
      <c r="F89" s="101">
        <f>IFERROR(E89*VLOOKUP(B89,TELAS!$A$4:$C$32,3,FALSE()),0)</f>
        <v>0</v>
      </c>
      <c r="G89" s="102">
        <f>IFERROR(IF(D89="OSCURO",VLOOKUP(B89,PRECIOS!$A$4:$F$32,2,FALSE()),IF(D89="CLARO",VLOOKUP(B89,PRECIOS!$A$4:$F$32,3,FALSE()),IF(D89="MELANGE",VLOOKUP(B89,PRECIOS!$A$4:$F$32,4,FALSE()),IF(D89="PPT",VLOOKUP(B89,PRECIOS!$A$4:$F$32,5,FALSE()),0)))),0)</f>
        <v>18</v>
      </c>
      <c r="H89" s="103">
        <f t="shared" si="1"/>
        <v>0</v>
      </c>
      <c r="I89" s="104" t="str">
        <f>IF(E89&lt;0,"ERROR",IF(E89=0,"",IF(E89&lt;CONFIG!$B$4,"CRÍTICO",IF(E89&lt;CONFIG!$B$5,"BAJO","OK"))))</f>
        <v/>
      </c>
    </row>
    <row r="90" ht="15.75" customHeight="1">
      <c r="A90" s="90" t="str">
        <f>IF(CLIENTES!A4="","",CLIENTES!A4)</f>
        <v>OverShark</v>
      </c>
      <c r="B90" s="67" t="str">
        <f>TELAS!A8</f>
        <v>rib 1x1</v>
      </c>
      <c r="C90" s="67" t="str">
        <f>COLORES!A10</f>
        <v>Botella</v>
      </c>
      <c r="D90" s="67" t="str">
        <f>COLORES!B10</f>
        <v>OSCURO</v>
      </c>
      <c r="E90" s="100">
        <f>IFERROR(SUMIFS(MOVIMIENTOS!$F$4:$F$1000,MOVIMIENTOS!$C$4:$C$1000,A90,MOVIMIENTOS!$D$4:$D$1000,B90,MOVIMIENTOS!$E$4:$E$1000,C90,MOVIMIENTOS!$B$4:$B$1000,"INGRESO")+SUMIFS(MOVIMIENTOS!$F$4:$F$1000,MOVIMIENTOS!$C$4:$C$1000,A90,MOVIMIENTOS!$D$4:$D$1000,B90,MOVIMIENTOS!$E$4:$E$1000,C90,MOVIMIENTOS!$B$4:$B$1000,"DE REPROCESO")+SUMIFS(MOVIMIENTOS!$F$4:$F$1000,MOVIMIENTOS!$C$4:$C$1000,A90,MOVIMIENTOS!$D$4:$D$1000,B90,MOVIMIENTOS!$E$4:$E$1000,C90,MOVIMIENTOS!$B$4:$B$1000,"AJUSTE+")-SUMIFS(MOVIMIENTOS!$F$4:$F$1000,MOVIMIENTOS!$C$4:$C$1000,A90,MOVIMIENTOS!$D$4:$D$1000,B90,MOVIMIENTOS!$E$4:$E$1000,C90,MOVIMIENTOS!$B$4:$B$1000,"A CORTE")-SUMIFS(MOVIMIENTOS!$F$4:$F$1000,MOVIMIENTOS!$C$4:$C$1000,A90,MOVIMIENTOS!$D$4:$D$1000,B90,MOVIMIENTOS!$E$4:$E$1000,C90,MOVIMIENTOS!$B$4:$B$1000,"A REPROCESO")-SUMIFS(MOVIMIENTOS!$F$4:$F$1000,MOVIMIENTOS!$C$4:$C$1000,A90,MOVIMIENTOS!$D$4:$D$1000,B90,MOVIMIENTOS!$E$4:$E$1000,C90,MOVIMIENTOS!$B$4:$B$1000,"MUESTRA")-SUMIFS(MOVIMIENTOS!$F$4:$F$1000,MOVIMIENTOS!$C$4:$C$1000,A90,MOVIMIENTOS!$D$4:$D$1000,B90,MOVIMIENTOS!$E$4:$E$1000,C90,MOVIMIENTOS!$B$4:$B$1000,"AJUSTE-"),0)</f>
        <v>1</v>
      </c>
      <c r="F90" s="101">
        <f>IFERROR(E90*VLOOKUP(B90,TELAS!$A$4:$C$32,3,FALSE()),0)</f>
        <v>20</v>
      </c>
      <c r="G90" s="102">
        <f>IFERROR(IF(D90="OSCURO",VLOOKUP(B90,PRECIOS!$A$4:$F$32,2,FALSE()),IF(D90="CLARO",VLOOKUP(B90,PRECIOS!$A$4:$F$32,3,FALSE()),IF(D90="MELANGE",VLOOKUP(B90,PRECIOS!$A$4:$F$32,4,FALSE()),IF(D90="PPT",VLOOKUP(B90,PRECIOS!$A$4:$F$32,5,FALSE()),0)))),0)</f>
        <v>24</v>
      </c>
      <c r="H90" s="103">
        <f t="shared" si="1"/>
        <v>480</v>
      </c>
      <c r="I90" s="104" t="str">
        <f>IF(E90&lt;0,"ERROR",IF(E90=0,"",IF(E90&lt;CONFIG!$B$4,"CRÍTICO",IF(E90&lt;CONFIG!$B$5,"BAJO","OK"))))</f>
        <v>CRÍTICO</v>
      </c>
    </row>
    <row r="91" ht="15.75" customHeight="1">
      <c r="A91" s="90" t="str">
        <f>IF(CLIENTES!A4="","",CLIENTES!A4)</f>
        <v>OverShark</v>
      </c>
      <c r="B91" s="67" t="str">
        <f>TELAS!A8</f>
        <v>rib 1x1</v>
      </c>
      <c r="C91" s="67" t="str">
        <f>COLORES!A11</f>
        <v>Pacay</v>
      </c>
      <c r="D91" s="67" t="str">
        <f>COLORES!B11</f>
        <v>CLARO</v>
      </c>
      <c r="E91" s="100">
        <f>IFERROR(SUMIFS(MOVIMIENTOS!$F$4:$F$1000,MOVIMIENTOS!$C$4:$C$1000,A91,MOVIMIENTOS!$D$4:$D$1000,B91,MOVIMIENTOS!$E$4:$E$1000,C91,MOVIMIENTOS!$B$4:$B$1000,"INGRESO")+SUMIFS(MOVIMIENTOS!$F$4:$F$1000,MOVIMIENTOS!$C$4:$C$1000,A91,MOVIMIENTOS!$D$4:$D$1000,B91,MOVIMIENTOS!$E$4:$E$1000,C91,MOVIMIENTOS!$B$4:$B$1000,"DE REPROCESO")+SUMIFS(MOVIMIENTOS!$F$4:$F$1000,MOVIMIENTOS!$C$4:$C$1000,A91,MOVIMIENTOS!$D$4:$D$1000,B91,MOVIMIENTOS!$E$4:$E$1000,C91,MOVIMIENTOS!$B$4:$B$1000,"AJUSTE+")-SUMIFS(MOVIMIENTOS!$F$4:$F$1000,MOVIMIENTOS!$C$4:$C$1000,A91,MOVIMIENTOS!$D$4:$D$1000,B91,MOVIMIENTOS!$E$4:$E$1000,C91,MOVIMIENTOS!$B$4:$B$1000,"A CORTE")-SUMIFS(MOVIMIENTOS!$F$4:$F$1000,MOVIMIENTOS!$C$4:$C$1000,A91,MOVIMIENTOS!$D$4:$D$1000,B91,MOVIMIENTOS!$E$4:$E$1000,C91,MOVIMIENTOS!$B$4:$B$1000,"A REPROCESO")-SUMIFS(MOVIMIENTOS!$F$4:$F$1000,MOVIMIENTOS!$C$4:$C$1000,A91,MOVIMIENTOS!$D$4:$D$1000,B91,MOVIMIENTOS!$E$4:$E$1000,C91,MOVIMIENTOS!$B$4:$B$1000,"MUESTRA")-SUMIFS(MOVIMIENTOS!$F$4:$F$1000,MOVIMIENTOS!$C$4:$C$1000,A91,MOVIMIENTOS!$D$4:$D$1000,B91,MOVIMIENTOS!$E$4:$E$1000,C91,MOVIMIENTOS!$B$4:$B$1000,"AJUSTE-"),0)</f>
        <v>0</v>
      </c>
      <c r="F91" s="101">
        <f>IFERROR(E91*VLOOKUP(B91,TELAS!$A$4:$C$32,3,FALSE()),0)</f>
        <v>0</v>
      </c>
      <c r="G91" s="102">
        <f>IFERROR(IF(D91="OSCURO",VLOOKUP(B91,PRECIOS!$A$4:$F$32,2,FALSE()),IF(D91="CLARO",VLOOKUP(B91,PRECIOS!$A$4:$F$32,3,FALSE()),IF(D91="MELANGE",VLOOKUP(B91,PRECIOS!$A$4:$F$32,4,FALSE()),IF(D91="PPT",VLOOKUP(B91,PRECIOS!$A$4:$F$32,5,FALSE()),0)))),0)</f>
        <v>21</v>
      </c>
      <c r="H91" s="103">
        <f t="shared" si="1"/>
        <v>0</v>
      </c>
      <c r="I91" s="104" t="str">
        <f>IF(E91&lt;0,"ERROR",IF(E91=0,"",IF(E91&lt;CONFIG!$B$4,"CRÍTICO",IF(E91&lt;CONFIG!$B$5,"BAJO","OK"))))</f>
        <v/>
      </c>
    </row>
    <row r="92" ht="15.75" customHeight="1">
      <c r="A92" s="90" t="str">
        <f>IF(CLIENTES!A4="","",CLIENTES!A4)</f>
        <v>OverShark</v>
      </c>
      <c r="B92" s="67" t="str">
        <f>TELAS!A8</f>
        <v>rib 1x1</v>
      </c>
      <c r="C92" s="67" t="str">
        <f>COLORES!A12</f>
        <v>Cemento</v>
      </c>
      <c r="D92" s="67" t="str">
        <f>COLORES!B12</f>
        <v>CLARO</v>
      </c>
      <c r="E92" s="100">
        <f>IFERROR(SUMIFS(MOVIMIENTOS!$F$4:$F$1000,MOVIMIENTOS!$C$4:$C$1000,A92,MOVIMIENTOS!$D$4:$D$1000,B92,MOVIMIENTOS!$E$4:$E$1000,C92,MOVIMIENTOS!$B$4:$B$1000,"INGRESO")+SUMIFS(MOVIMIENTOS!$F$4:$F$1000,MOVIMIENTOS!$C$4:$C$1000,A92,MOVIMIENTOS!$D$4:$D$1000,B92,MOVIMIENTOS!$E$4:$E$1000,C92,MOVIMIENTOS!$B$4:$B$1000,"DE REPROCESO")+SUMIFS(MOVIMIENTOS!$F$4:$F$1000,MOVIMIENTOS!$C$4:$C$1000,A92,MOVIMIENTOS!$D$4:$D$1000,B92,MOVIMIENTOS!$E$4:$E$1000,C92,MOVIMIENTOS!$B$4:$B$1000,"AJUSTE+")-SUMIFS(MOVIMIENTOS!$F$4:$F$1000,MOVIMIENTOS!$C$4:$C$1000,A92,MOVIMIENTOS!$D$4:$D$1000,B92,MOVIMIENTOS!$E$4:$E$1000,C92,MOVIMIENTOS!$B$4:$B$1000,"A CORTE")-SUMIFS(MOVIMIENTOS!$F$4:$F$1000,MOVIMIENTOS!$C$4:$C$1000,A92,MOVIMIENTOS!$D$4:$D$1000,B92,MOVIMIENTOS!$E$4:$E$1000,C92,MOVIMIENTOS!$B$4:$B$1000,"A REPROCESO")-SUMIFS(MOVIMIENTOS!$F$4:$F$1000,MOVIMIENTOS!$C$4:$C$1000,A92,MOVIMIENTOS!$D$4:$D$1000,B92,MOVIMIENTOS!$E$4:$E$1000,C92,MOVIMIENTOS!$B$4:$B$1000,"MUESTRA")-SUMIFS(MOVIMIENTOS!$F$4:$F$1000,MOVIMIENTOS!$C$4:$C$1000,A92,MOVIMIENTOS!$D$4:$D$1000,B92,MOVIMIENTOS!$E$4:$E$1000,C92,MOVIMIENTOS!$B$4:$B$1000,"AJUSTE-"),0)</f>
        <v>0</v>
      </c>
      <c r="F92" s="101">
        <f>IFERROR(E92*VLOOKUP(B92,TELAS!$A$4:$C$32,3,FALSE()),0)</f>
        <v>0</v>
      </c>
      <c r="G92" s="102">
        <f>IFERROR(IF(D92="OSCURO",VLOOKUP(B92,PRECIOS!$A$4:$F$32,2,FALSE()),IF(D92="CLARO",VLOOKUP(B92,PRECIOS!$A$4:$F$32,3,FALSE()),IF(D92="MELANGE",VLOOKUP(B92,PRECIOS!$A$4:$F$32,4,FALSE()),IF(D92="PPT",VLOOKUP(B92,PRECIOS!$A$4:$F$32,5,FALSE()),0)))),0)</f>
        <v>21</v>
      </c>
      <c r="H92" s="103">
        <f t="shared" si="1"/>
        <v>0</v>
      </c>
      <c r="I92" s="104" t="str">
        <f>IF(E92&lt;0,"ERROR",IF(E92=0,"",IF(E92&lt;CONFIG!$B$4,"CRÍTICO",IF(E92&lt;CONFIG!$B$5,"BAJO","OK"))))</f>
        <v/>
      </c>
    </row>
    <row r="93" ht="15.75" customHeight="1">
      <c r="A93" s="90" t="str">
        <f>IF(CLIENTES!A4="","",CLIENTES!A4)</f>
        <v>OverShark</v>
      </c>
      <c r="B93" s="67" t="str">
        <f>TELAS!A8</f>
        <v>rib 1x1</v>
      </c>
      <c r="C93" s="67" t="str">
        <f>COLORES!A13</f>
        <v>Camote</v>
      </c>
      <c r="D93" s="67" t="str">
        <f>COLORES!B13</f>
        <v>CLARO</v>
      </c>
      <c r="E93" s="100">
        <f>IFERROR(SUMIFS(MOVIMIENTOS!$F$4:$F$1000,MOVIMIENTOS!$C$4:$C$1000,A93,MOVIMIENTOS!$D$4:$D$1000,B93,MOVIMIENTOS!$E$4:$E$1000,C93,MOVIMIENTOS!$B$4:$B$1000,"INGRESO")+SUMIFS(MOVIMIENTOS!$F$4:$F$1000,MOVIMIENTOS!$C$4:$C$1000,A93,MOVIMIENTOS!$D$4:$D$1000,B93,MOVIMIENTOS!$E$4:$E$1000,C93,MOVIMIENTOS!$B$4:$B$1000,"DE REPROCESO")+SUMIFS(MOVIMIENTOS!$F$4:$F$1000,MOVIMIENTOS!$C$4:$C$1000,A93,MOVIMIENTOS!$D$4:$D$1000,B93,MOVIMIENTOS!$E$4:$E$1000,C93,MOVIMIENTOS!$B$4:$B$1000,"AJUSTE+")-SUMIFS(MOVIMIENTOS!$F$4:$F$1000,MOVIMIENTOS!$C$4:$C$1000,A93,MOVIMIENTOS!$D$4:$D$1000,B93,MOVIMIENTOS!$E$4:$E$1000,C93,MOVIMIENTOS!$B$4:$B$1000,"A CORTE")-SUMIFS(MOVIMIENTOS!$F$4:$F$1000,MOVIMIENTOS!$C$4:$C$1000,A93,MOVIMIENTOS!$D$4:$D$1000,B93,MOVIMIENTOS!$E$4:$E$1000,C93,MOVIMIENTOS!$B$4:$B$1000,"A REPROCESO")-SUMIFS(MOVIMIENTOS!$F$4:$F$1000,MOVIMIENTOS!$C$4:$C$1000,A93,MOVIMIENTOS!$D$4:$D$1000,B93,MOVIMIENTOS!$E$4:$E$1000,C93,MOVIMIENTOS!$B$4:$B$1000,"MUESTRA")-SUMIFS(MOVIMIENTOS!$F$4:$F$1000,MOVIMIENTOS!$C$4:$C$1000,A93,MOVIMIENTOS!$D$4:$D$1000,B93,MOVIMIENTOS!$E$4:$E$1000,C93,MOVIMIENTOS!$B$4:$B$1000,"AJUSTE-"),0)</f>
        <v>0</v>
      </c>
      <c r="F93" s="101">
        <f>IFERROR(E93*VLOOKUP(B93,TELAS!$A$4:$C$32,3,FALSE()),0)</f>
        <v>0</v>
      </c>
      <c r="G93" s="102">
        <f>IFERROR(IF(D93="OSCURO",VLOOKUP(B93,PRECIOS!$A$4:$F$32,2,FALSE()),IF(D93="CLARO",VLOOKUP(B93,PRECIOS!$A$4:$F$32,3,FALSE()),IF(D93="MELANGE",VLOOKUP(B93,PRECIOS!$A$4:$F$32,4,FALSE()),IF(D93="PPT",VLOOKUP(B93,PRECIOS!$A$4:$F$32,5,FALSE()),0)))),0)</f>
        <v>21</v>
      </c>
      <c r="H93" s="103">
        <f t="shared" si="1"/>
        <v>0</v>
      </c>
      <c r="I93" s="104" t="str">
        <f>IF(E93&lt;0,"ERROR",IF(E93=0,"",IF(E93&lt;CONFIG!$B$4,"CRÍTICO",IF(E93&lt;CONFIG!$B$5,"BAJO","OK"))))</f>
        <v/>
      </c>
    </row>
    <row r="94" ht="15.75" customHeight="1">
      <c r="A94" s="90" t="str">
        <f>IF(CLIENTES!A4="","",CLIENTES!A4)</f>
        <v>OverShark</v>
      </c>
      <c r="B94" s="67" t="str">
        <f>TELAS!A8</f>
        <v>rib 1x1</v>
      </c>
      <c r="C94" s="67" t="str">
        <f>COLORES!A14</f>
        <v>Denim</v>
      </c>
      <c r="D94" s="67" t="str">
        <f>COLORES!B14</f>
        <v>CLARO</v>
      </c>
      <c r="E94" s="100">
        <f>IFERROR(SUMIFS(MOVIMIENTOS!$F$4:$F$1000,MOVIMIENTOS!$C$4:$C$1000,A94,MOVIMIENTOS!$D$4:$D$1000,B94,MOVIMIENTOS!$E$4:$E$1000,C94,MOVIMIENTOS!$B$4:$B$1000,"INGRESO")+SUMIFS(MOVIMIENTOS!$F$4:$F$1000,MOVIMIENTOS!$C$4:$C$1000,A94,MOVIMIENTOS!$D$4:$D$1000,B94,MOVIMIENTOS!$E$4:$E$1000,C94,MOVIMIENTOS!$B$4:$B$1000,"DE REPROCESO")+SUMIFS(MOVIMIENTOS!$F$4:$F$1000,MOVIMIENTOS!$C$4:$C$1000,A94,MOVIMIENTOS!$D$4:$D$1000,B94,MOVIMIENTOS!$E$4:$E$1000,C94,MOVIMIENTOS!$B$4:$B$1000,"AJUSTE+")-SUMIFS(MOVIMIENTOS!$F$4:$F$1000,MOVIMIENTOS!$C$4:$C$1000,A94,MOVIMIENTOS!$D$4:$D$1000,B94,MOVIMIENTOS!$E$4:$E$1000,C94,MOVIMIENTOS!$B$4:$B$1000,"A CORTE")-SUMIFS(MOVIMIENTOS!$F$4:$F$1000,MOVIMIENTOS!$C$4:$C$1000,A94,MOVIMIENTOS!$D$4:$D$1000,B94,MOVIMIENTOS!$E$4:$E$1000,C94,MOVIMIENTOS!$B$4:$B$1000,"A REPROCESO")-SUMIFS(MOVIMIENTOS!$F$4:$F$1000,MOVIMIENTOS!$C$4:$C$1000,A94,MOVIMIENTOS!$D$4:$D$1000,B94,MOVIMIENTOS!$E$4:$E$1000,C94,MOVIMIENTOS!$B$4:$B$1000,"MUESTRA")-SUMIFS(MOVIMIENTOS!$F$4:$F$1000,MOVIMIENTOS!$C$4:$C$1000,A94,MOVIMIENTOS!$D$4:$D$1000,B94,MOVIMIENTOS!$E$4:$E$1000,C94,MOVIMIENTOS!$B$4:$B$1000,"AJUSTE-"),0)</f>
        <v>0</v>
      </c>
      <c r="F94" s="101">
        <f>IFERROR(E94*VLOOKUP(B94,TELAS!$A$4:$C$32,3,FALSE()),0)</f>
        <v>0</v>
      </c>
      <c r="G94" s="102">
        <f>IFERROR(IF(D94="OSCURO",VLOOKUP(B94,PRECIOS!$A$4:$F$32,2,FALSE()),IF(D94="CLARO",VLOOKUP(B94,PRECIOS!$A$4:$F$32,3,FALSE()),IF(D94="MELANGE",VLOOKUP(B94,PRECIOS!$A$4:$F$32,4,FALSE()),IF(D94="PPT",VLOOKUP(B94,PRECIOS!$A$4:$F$32,5,FALSE()),0)))),0)</f>
        <v>21</v>
      </c>
      <c r="H94" s="103">
        <f t="shared" si="1"/>
        <v>0</v>
      </c>
      <c r="I94" s="104" t="str">
        <f>IF(E94&lt;0,"ERROR",IF(E94=0,"",IF(E94&lt;CONFIG!$B$4,"CRÍTICO",IF(E94&lt;CONFIG!$B$5,"BAJO","OK"))))</f>
        <v/>
      </c>
    </row>
    <row r="95" ht="15.75" customHeight="1">
      <c r="A95" s="90" t="str">
        <f>IF(CLIENTES!A4="","",CLIENTES!A4)</f>
        <v>OverShark</v>
      </c>
      <c r="B95" s="67" t="str">
        <f>TELAS!A8</f>
        <v>rib 1x1</v>
      </c>
      <c r="C95" s="67" t="str">
        <f>COLORES!A15</f>
        <v>Plomo</v>
      </c>
      <c r="D95" s="67" t="str">
        <f>COLORES!B15</f>
        <v>OSCURO</v>
      </c>
      <c r="E95" s="100">
        <f>IFERROR(SUMIFS(MOVIMIENTOS!$F$4:$F$1000,MOVIMIENTOS!$C$4:$C$1000,A95,MOVIMIENTOS!$D$4:$D$1000,B95,MOVIMIENTOS!$E$4:$E$1000,C95,MOVIMIENTOS!$B$4:$B$1000,"INGRESO")+SUMIFS(MOVIMIENTOS!$F$4:$F$1000,MOVIMIENTOS!$C$4:$C$1000,A95,MOVIMIENTOS!$D$4:$D$1000,B95,MOVIMIENTOS!$E$4:$E$1000,C95,MOVIMIENTOS!$B$4:$B$1000,"DE REPROCESO")+SUMIFS(MOVIMIENTOS!$F$4:$F$1000,MOVIMIENTOS!$C$4:$C$1000,A95,MOVIMIENTOS!$D$4:$D$1000,B95,MOVIMIENTOS!$E$4:$E$1000,C95,MOVIMIENTOS!$B$4:$B$1000,"AJUSTE+")-SUMIFS(MOVIMIENTOS!$F$4:$F$1000,MOVIMIENTOS!$C$4:$C$1000,A95,MOVIMIENTOS!$D$4:$D$1000,B95,MOVIMIENTOS!$E$4:$E$1000,C95,MOVIMIENTOS!$B$4:$B$1000,"A CORTE")-SUMIFS(MOVIMIENTOS!$F$4:$F$1000,MOVIMIENTOS!$C$4:$C$1000,A95,MOVIMIENTOS!$D$4:$D$1000,B95,MOVIMIENTOS!$E$4:$E$1000,C95,MOVIMIENTOS!$B$4:$B$1000,"A REPROCESO")-SUMIFS(MOVIMIENTOS!$F$4:$F$1000,MOVIMIENTOS!$C$4:$C$1000,A95,MOVIMIENTOS!$D$4:$D$1000,B95,MOVIMIENTOS!$E$4:$E$1000,C95,MOVIMIENTOS!$B$4:$B$1000,"MUESTRA")-SUMIFS(MOVIMIENTOS!$F$4:$F$1000,MOVIMIENTOS!$C$4:$C$1000,A95,MOVIMIENTOS!$D$4:$D$1000,B95,MOVIMIENTOS!$E$4:$E$1000,C95,MOVIMIENTOS!$B$4:$B$1000,"AJUSTE-"),0)</f>
        <v>1</v>
      </c>
      <c r="F95" s="101">
        <f>IFERROR(E95*VLOOKUP(B95,TELAS!$A$4:$C$32,3,FALSE()),0)</f>
        <v>20</v>
      </c>
      <c r="G95" s="102">
        <f>IFERROR(IF(D95="OSCURO",VLOOKUP(B95,PRECIOS!$A$4:$F$32,2,FALSE()),IF(D95="CLARO",VLOOKUP(B95,PRECIOS!$A$4:$F$32,3,FALSE()),IF(D95="MELANGE",VLOOKUP(B95,PRECIOS!$A$4:$F$32,4,FALSE()),IF(D95="PPT",VLOOKUP(B95,PRECIOS!$A$4:$F$32,5,FALSE()),0)))),0)</f>
        <v>24</v>
      </c>
      <c r="H95" s="103">
        <f t="shared" si="1"/>
        <v>480</v>
      </c>
      <c r="I95" s="104" t="str">
        <f>IF(E95&lt;0,"ERROR",IF(E95=0,"",IF(E95&lt;CONFIG!$B$4,"CRÍTICO",IF(E95&lt;CONFIG!$B$5,"BAJO","OK"))))</f>
        <v>CRÍTICO</v>
      </c>
    </row>
    <row r="96" ht="15.75" customHeight="1">
      <c r="A96" s="90" t="str">
        <f>IF(CLIENTES!A4="","",CLIENTES!A4)</f>
        <v>OverShark</v>
      </c>
      <c r="B96" s="67" t="str">
        <f>TELAS!A8</f>
        <v>rib 1x1</v>
      </c>
      <c r="C96" s="67" t="str">
        <f>COLORES!A16</f>
        <v>Topo</v>
      </c>
      <c r="D96" s="67" t="str">
        <f>COLORES!B16</f>
        <v>CLARO</v>
      </c>
      <c r="E96" s="100">
        <f>IFERROR(SUMIFS(MOVIMIENTOS!$F$4:$F$1000,MOVIMIENTOS!$C$4:$C$1000,A96,MOVIMIENTOS!$D$4:$D$1000,B96,MOVIMIENTOS!$E$4:$E$1000,C96,MOVIMIENTOS!$B$4:$B$1000,"INGRESO")+SUMIFS(MOVIMIENTOS!$F$4:$F$1000,MOVIMIENTOS!$C$4:$C$1000,A96,MOVIMIENTOS!$D$4:$D$1000,B96,MOVIMIENTOS!$E$4:$E$1000,C96,MOVIMIENTOS!$B$4:$B$1000,"DE REPROCESO")+SUMIFS(MOVIMIENTOS!$F$4:$F$1000,MOVIMIENTOS!$C$4:$C$1000,A96,MOVIMIENTOS!$D$4:$D$1000,B96,MOVIMIENTOS!$E$4:$E$1000,C96,MOVIMIENTOS!$B$4:$B$1000,"AJUSTE+")-SUMIFS(MOVIMIENTOS!$F$4:$F$1000,MOVIMIENTOS!$C$4:$C$1000,A96,MOVIMIENTOS!$D$4:$D$1000,B96,MOVIMIENTOS!$E$4:$E$1000,C96,MOVIMIENTOS!$B$4:$B$1000,"A CORTE")-SUMIFS(MOVIMIENTOS!$F$4:$F$1000,MOVIMIENTOS!$C$4:$C$1000,A96,MOVIMIENTOS!$D$4:$D$1000,B96,MOVIMIENTOS!$E$4:$E$1000,C96,MOVIMIENTOS!$B$4:$B$1000,"A REPROCESO")-SUMIFS(MOVIMIENTOS!$F$4:$F$1000,MOVIMIENTOS!$C$4:$C$1000,A96,MOVIMIENTOS!$D$4:$D$1000,B96,MOVIMIENTOS!$E$4:$E$1000,C96,MOVIMIENTOS!$B$4:$B$1000,"MUESTRA")-SUMIFS(MOVIMIENTOS!$F$4:$F$1000,MOVIMIENTOS!$C$4:$C$1000,A96,MOVIMIENTOS!$D$4:$D$1000,B96,MOVIMIENTOS!$E$4:$E$1000,C96,MOVIMIENTOS!$B$4:$B$1000,"AJUSTE-"),0)</f>
        <v>0</v>
      </c>
      <c r="F96" s="101">
        <f>IFERROR(E96*VLOOKUP(B96,TELAS!$A$4:$C$32,3,FALSE()),0)</f>
        <v>0</v>
      </c>
      <c r="G96" s="102">
        <f>IFERROR(IF(D96="OSCURO",VLOOKUP(B96,PRECIOS!$A$4:$F$32,2,FALSE()),IF(D96="CLARO",VLOOKUP(B96,PRECIOS!$A$4:$F$32,3,FALSE()),IF(D96="MELANGE",VLOOKUP(B96,PRECIOS!$A$4:$F$32,4,FALSE()),IF(D96="PPT",VLOOKUP(B96,PRECIOS!$A$4:$F$32,5,FALSE()),0)))),0)</f>
        <v>21</v>
      </c>
      <c r="H96" s="103">
        <f t="shared" si="1"/>
        <v>0</v>
      </c>
      <c r="I96" s="104" t="str">
        <f>IF(E96&lt;0,"ERROR",IF(E96=0,"",IF(E96&lt;CONFIG!$B$4,"CRÍTICO",IF(E96&lt;CONFIG!$B$5,"BAJO","OK"))))</f>
        <v/>
      </c>
    </row>
    <row r="97" ht="15.75" customHeight="1">
      <c r="A97" s="90" t="str">
        <f>IF(CLIENTES!A4="","",CLIENTES!A4)</f>
        <v>OverShark</v>
      </c>
      <c r="B97" s="67" t="str">
        <f>TELAS!A8</f>
        <v>rib 1x1</v>
      </c>
      <c r="C97" s="67" t="str">
        <f>COLORES!A17</f>
        <v>Vino</v>
      </c>
      <c r="D97" s="67" t="str">
        <f>COLORES!B17</f>
        <v>OSCURO</v>
      </c>
      <c r="E97" s="100">
        <f>IFERROR(SUMIFS(MOVIMIENTOS!$F$4:$F$1000,MOVIMIENTOS!$C$4:$C$1000,A97,MOVIMIENTOS!$D$4:$D$1000,B97,MOVIMIENTOS!$E$4:$E$1000,C97,MOVIMIENTOS!$B$4:$B$1000,"INGRESO")+SUMIFS(MOVIMIENTOS!$F$4:$F$1000,MOVIMIENTOS!$C$4:$C$1000,A97,MOVIMIENTOS!$D$4:$D$1000,B97,MOVIMIENTOS!$E$4:$E$1000,C97,MOVIMIENTOS!$B$4:$B$1000,"DE REPROCESO")+SUMIFS(MOVIMIENTOS!$F$4:$F$1000,MOVIMIENTOS!$C$4:$C$1000,A97,MOVIMIENTOS!$D$4:$D$1000,B97,MOVIMIENTOS!$E$4:$E$1000,C97,MOVIMIENTOS!$B$4:$B$1000,"AJUSTE+")-SUMIFS(MOVIMIENTOS!$F$4:$F$1000,MOVIMIENTOS!$C$4:$C$1000,A97,MOVIMIENTOS!$D$4:$D$1000,B97,MOVIMIENTOS!$E$4:$E$1000,C97,MOVIMIENTOS!$B$4:$B$1000,"A CORTE")-SUMIFS(MOVIMIENTOS!$F$4:$F$1000,MOVIMIENTOS!$C$4:$C$1000,A97,MOVIMIENTOS!$D$4:$D$1000,B97,MOVIMIENTOS!$E$4:$E$1000,C97,MOVIMIENTOS!$B$4:$B$1000,"A REPROCESO")-SUMIFS(MOVIMIENTOS!$F$4:$F$1000,MOVIMIENTOS!$C$4:$C$1000,A97,MOVIMIENTOS!$D$4:$D$1000,B97,MOVIMIENTOS!$E$4:$E$1000,C97,MOVIMIENTOS!$B$4:$B$1000,"MUESTRA")-SUMIFS(MOVIMIENTOS!$F$4:$F$1000,MOVIMIENTOS!$C$4:$C$1000,A97,MOVIMIENTOS!$D$4:$D$1000,B97,MOVIMIENTOS!$E$4:$E$1000,C97,MOVIMIENTOS!$B$4:$B$1000,"AJUSTE-"),0)</f>
        <v>0</v>
      </c>
      <c r="F97" s="101">
        <f>IFERROR(E97*VLOOKUP(B97,TELAS!$A$4:$C$32,3,FALSE()),0)</f>
        <v>0</v>
      </c>
      <c r="G97" s="102">
        <f>IFERROR(IF(D97="OSCURO",VLOOKUP(B97,PRECIOS!$A$4:$F$32,2,FALSE()),IF(D97="CLARO",VLOOKUP(B97,PRECIOS!$A$4:$F$32,3,FALSE()),IF(D97="MELANGE",VLOOKUP(B97,PRECIOS!$A$4:$F$32,4,FALSE()),IF(D97="PPT",VLOOKUP(B97,PRECIOS!$A$4:$F$32,5,FALSE()),0)))),0)</f>
        <v>24</v>
      </c>
      <c r="H97" s="103">
        <f t="shared" si="1"/>
        <v>0</v>
      </c>
      <c r="I97" s="104" t="str">
        <f>IF(E97&lt;0,"ERROR",IF(E97=0,"",IF(E97&lt;CONFIG!$B$4,"CRÍTICO",IF(E97&lt;CONFIG!$B$5,"BAJO","OK"))))</f>
        <v/>
      </c>
    </row>
    <row r="98" ht="15.75" customHeight="1">
      <c r="A98" s="90" t="str">
        <f>IF(CLIENTES!A4="","",CLIENTES!A4)</f>
        <v>OverShark</v>
      </c>
      <c r="B98" s="67" t="str">
        <f>TELAS!A8</f>
        <v>rib 1x1</v>
      </c>
      <c r="C98" s="67" t="str">
        <f>COLORES!A18</f>
        <v>P. Rosa</v>
      </c>
      <c r="D98" s="67" t="str">
        <f>COLORES!B18</f>
        <v>CLARO</v>
      </c>
      <c r="E98" s="100">
        <f>IFERROR(SUMIFS(MOVIMIENTOS!$F$4:$F$1000,MOVIMIENTOS!$C$4:$C$1000,A98,MOVIMIENTOS!$D$4:$D$1000,B98,MOVIMIENTOS!$E$4:$E$1000,C98,MOVIMIENTOS!$B$4:$B$1000,"INGRESO")+SUMIFS(MOVIMIENTOS!$F$4:$F$1000,MOVIMIENTOS!$C$4:$C$1000,A98,MOVIMIENTOS!$D$4:$D$1000,B98,MOVIMIENTOS!$E$4:$E$1000,C98,MOVIMIENTOS!$B$4:$B$1000,"DE REPROCESO")+SUMIFS(MOVIMIENTOS!$F$4:$F$1000,MOVIMIENTOS!$C$4:$C$1000,A98,MOVIMIENTOS!$D$4:$D$1000,B98,MOVIMIENTOS!$E$4:$E$1000,C98,MOVIMIENTOS!$B$4:$B$1000,"AJUSTE+")-SUMIFS(MOVIMIENTOS!$F$4:$F$1000,MOVIMIENTOS!$C$4:$C$1000,A98,MOVIMIENTOS!$D$4:$D$1000,B98,MOVIMIENTOS!$E$4:$E$1000,C98,MOVIMIENTOS!$B$4:$B$1000,"A CORTE")-SUMIFS(MOVIMIENTOS!$F$4:$F$1000,MOVIMIENTOS!$C$4:$C$1000,A98,MOVIMIENTOS!$D$4:$D$1000,B98,MOVIMIENTOS!$E$4:$E$1000,C98,MOVIMIENTOS!$B$4:$B$1000,"A REPROCESO")-SUMIFS(MOVIMIENTOS!$F$4:$F$1000,MOVIMIENTOS!$C$4:$C$1000,A98,MOVIMIENTOS!$D$4:$D$1000,B98,MOVIMIENTOS!$E$4:$E$1000,C98,MOVIMIENTOS!$B$4:$B$1000,"MUESTRA")-SUMIFS(MOVIMIENTOS!$F$4:$F$1000,MOVIMIENTOS!$C$4:$C$1000,A98,MOVIMIENTOS!$D$4:$D$1000,B98,MOVIMIENTOS!$E$4:$E$1000,C98,MOVIMIENTOS!$B$4:$B$1000,"AJUSTE-"),0)</f>
        <v>0</v>
      </c>
      <c r="F98" s="101">
        <f>IFERROR(E98*VLOOKUP(B98,TELAS!$A$4:$C$32,3,FALSE()),0)</f>
        <v>0</v>
      </c>
      <c r="G98" s="102">
        <f>IFERROR(IF(D98="OSCURO",VLOOKUP(B98,PRECIOS!$A$4:$F$32,2,FALSE()),IF(D98="CLARO",VLOOKUP(B98,PRECIOS!$A$4:$F$32,3,FALSE()),IF(D98="MELANGE",VLOOKUP(B98,PRECIOS!$A$4:$F$32,4,FALSE()),IF(D98="PPT",VLOOKUP(B98,PRECIOS!$A$4:$F$32,5,FALSE()),0)))),0)</f>
        <v>21</v>
      </c>
      <c r="H98" s="103">
        <f t="shared" si="1"/>
        <v>0</v>
      </c>
      <c r="I98" s="104" t="str">
        <f>IF(E98&lt;0,"ERROR",IF(E98=0,"",IF(E98&lt;CONFIG!$B$4,"CRÍTICO",IF(E98&lt;CONFIG!$B$5,"BAJO","OK"))))</f>
        <v/>
      </c>
    </row>
    <row r="99" ht="15.75" customHeight="1">
      <c r="A99" s="90" t="str">
        <f>IF(CLIENTES!A4="","",CLIENTES!A4)</f>
        <v>OverShark</v>
      </c>
      <c r="B99" s="67" t="str">
        <f>TELAS!A8</f>
        <v>rib 1x1</v>
      </c>
      <c r="C99" s="67" t="str">
        <f>COLORES!A19</f>
        <v/>
      </c>
      <c r="D99" s="67" t="str">
        <f>COLORES!B19</f>
        <v/>
      </c>
      <c r="E99" s="100">
        <f>IFERROR(SUMIFS(MOVIMIENTOS!$F$4:$F$1000,MOVIMIENTOS!$C$4:$C$1000,A99,MOVIMIENTOS!$D$4:$D$1000,B99,MOVIMIENTOS!$E$4:$E$1000,C99,MOVIMIENTOS!$B$4:$B$1000,"INGRESO")+SUMIFS(MOVIMIENTOS!$F$4:$F$1000,MOVIMIENTOS!$C$4:$C$1000,A99,MOVIMIENTOS!$D$4:$D$1000,B99,MOVIMIENTOS!$E$4:$E$1000,C99,MOVIMIENTOS!$B$4:$B$1000,"DE REPROCESO")+SUMIFS(MOVIMIENTOS!$F$4:$F$1000,MOVIMIENTOS!$C$4:$C$1000,A99,MOVIMIENTOS!$D$4:$D$1000,B99,MOVIMIENTOS!$E$4:$E$1000,C99,MOVIMIENTOS!$B$4:$B$1000,"AJUSTE+")-SUMIFS(MOVIMIENTOS!$F$4:$F$1000,MOVIMIENTOS!$C$4:$C$1000,A99,MOVIMIENTOS!$D$4:$D$1000,B99,MOVIMIENTOS!$E$4:$E$1000,C99,MOVIMIENTOS!$B$4:$B$1000,"A CORTE")-SUMIFS(MOVIMIENTOS!$F$4:$F$1000,MOVIMIENTOS!$C$4:$C$1000,A99,MOVIMIENTOS!$D$4:$D$1000,B99,MOVIMIENTOS!$E$4:$E$1000,C99,MOVIMIENTOS!$B$4:$B$1000,"A REPROCESO")-SUMIFS(MOVIMIENTOS!$F$4:$F$1000,MOVIMIENTOS!$C$4:$C$1000,A99,MOVIMIENTOS!$D$4:$D$1000,B99,MOVIMIENTOS!$E$4:$E$1000,C99,MOVIMIENTOS!$B$4:$B$1000,"MUESTRA")-SUMIFS(MOVIMIENTOS!$F$4:$F$1000,MOVIMIENTOS!$C$4:$C$1000,A99,MOVIMIENTOS!$D$4:$D$1000,B99,MOVIMIENTOS!$E$4:$E$1000,C99,MOVIMIENTOS!$B$4:$B$1000,"AJUSTE-"),0)</f>
        <v>0</v>
      </c>
      <c r="F99" s="101">
        <f>IFERROR(E99*VLOOKUP(B99,TELAS!$A$4:$C$32,3,FALSE()),0)</f>
        <v>0</v>
      </c>
      <c r="G99" s="102">
        <f>IFERROR(IF(D99="OSCURO",VLOOKUP(B99,PRECIOS!$A$4:$F$32,2,FALSE()),IF(D99="CLARO",VLOOKUP(B99,PRECIOS!$A$4:$F$32,3,FALSE()),IF(D99="MELANGE",VLOOKUP(B99,PRECIOS!$A$4:$F$32,4,FALSE()),IF(D99="PPT",VLOOKUP(B99,PRECIOS!$A$4:$F$32,5,FALSE()),0)))),0)</f>
        <v>0</v>
      </c>
      <c r="H99" s="103">
        <f t="shared" si="1"/>
        <v>0</v>
      </c>
      <c r="I99" s="104" t="str">
        <f>IF(E99&lt;0,"ERROR",IF(E99=0,"",IF(E99&lt;CONFIG!$B$4,"CRÍTICO",IF(E99&lt;CONFIG!$B$5,"BAJO","OK"))))</f>
        <v/>
      </c>
    </row>
    <row r="100" ht="15.75" customHeight="1">
      <c r="A100" s="90" t="str">
        <f>IF(CLIENTES!A4="","",CLIENTES!A4)</f>
        <v>OverShark</v>
      </c>
      <c r="B100" s="67" t="str">
        <f>TELAS!A8</f>
        <v>rib 1x1</v>
      </c>
      <c r="C100" s="67" t="str">
        <f>COLORES!A20</f>
        <v/>
      </c>
      <c r="D100" s="67" t="str">
        <f>COLORES!B20</f>
        <v/>
      </c>
      <c r="E100" s="100">
        <f>IFERROR(SUMIFS(MOVIMIENTOS!$F$4:$F$1000,MOVIMIENTOS!$C$4:$C$1000,A100,MOVIMIENTOS!$D$4:$D$1000,B100,MOVIMIENTOS!$E$4:$E$1000,C100,MOVIMIENTOS!$B$4:$B$1000,"INGRESO")+SUMIFS(MOVIMIENTOS!$F$4:$F$1000,MOVIMIENTOS!$C$4:$C$1000,A100,MOVIMIENTOS!$D$4:$D$1000,B100,MOVIMIENTOS!$E$4:$E$1000,C100,MOVIMIENTOS!$B$4:$B$1000,"DE REPROCESO")+SUMIFS(MOVIMIENTOS!$F$4:$F$1000,MOVIMIENTOS!$C$4:$C$1000,A100,MOVIMIENTOS!$D$4:$D$1000,B100,MOVIMIENTOS!$E$4:$E$1000,C100,MOVIMIENTOS!$B$4:$B$1000,"AJUSTE+")-SUMIFS(MOVIMIENTOS!$F$4:$F$1000,MOVIMIENTOS!$C$4:$C$1000,A100,MOVIMIENTOS!$D$4:$D$1000,B100,MOVIMIENTOS!$E$4:$E$1000,C100,MOVIMIENTOS!$B$4:$B$1000,"A CORTE")-SUMIFS(MOVIMIENTOS!$F$4:$F$1000,MOVIMIENTOS!$C$4:$C$1000,A100,MOVIMIENTOS!$D$4:$D$1000,B100,MOVIMIENTOS!$E$4:$E$1000,C100,MOVIMIENTOS!$B$4:$B$1000,"A REPROCESO")-SUMIFS(MOVIMIENTOS!$F$4:$F$1000,MOVIMIENTOS!$C$4:$C$1000,A100,MOVIMIENTOS!$D$4:$D$1000,B100,MOVIMIENTOS!$E$4:$E$1000,C100,MOVIMIENTOS!$B$4:$B$1000,"MUESTRA")-SUMIFS(MOVIMIENTOS!$F$4:$F$1000,MOVIMIENTOS!$C$4:$C$1000,A100,MOVIMIENTOS!$D$4:$D$1000,B100,MOVIMIENTOS!$E$4:$E$1000,C100,MOVIMIENTOS!$B$4:$B$1000,"AJUSTE-"),0)</f>
        <v>0</v>
      </c>
      <c r="F100" s="101">
        <f>IFERROR(E100*VLOOKUP(B100,TELAS!$A$4:$C$32,3,FALSE()),0)</f>
        <v>0</v>
      </c>
      <c r="G100" s="102">
        <f>IFERROR(IF(D100="OSCURO",VLOOKUP(B100,PRECIOS!$A$4:$F$32,2,FALSE()),IF(D100="CLARO",VLOOKUP(B100,PRECIOS!$A$4:$F$32,3,FALSE()),IF(D100="MELANGE",VLOOKUP(B100,PRECIOS!$A$4:$F$32,4,FALSE()),IF(D100="PPT",VLOOKUP(B100,PRECIOS!$A$4:$F$32,5,FALSE()),0)))),0)</f>
        <v>0</v>
      </c>
      <c r="H100" s="103">
        <f t="shared" si="1"/>
        <v>0</v>
      </c>
      <c r="I100" s="104" t="str">
        <f>IF(E100&lt;0,"ERROR",IF(E100=0,"",IF(E100&lt;CONFIG!$B$4,"CRÍTICO",IF(E100&lt;CONFIG!$B$5,"BAJO","OK"))))</f>
        <v/>
      </c>
    </row>
    <row r="101" ht="15.75" customHeight="1">
      <c r="A101" s="90" t="str">
        <f>IF(CLIENTES!A4="","",CLIENTES!A4)</f>
        <v>OverShark</v>
      </c>
      <c r="B101" s="67" t="str">
        <f>TELAS!A8</f>
        <v>rib 1x1</v>
      </c>
      <c r="C101" s="67" t="str">
        <f>COLORES!A21</f>
        <v/>
      </c>
      <c r="D101" s="67" t="str">
        <f>COLORES!B21</f>
        <v/>
      </c>
      <c r="E101" s="100">
        <f>IFERROR(SUMIFS(MOVIMIENTOS!$F$4:$F$1000,MOVIMIENTOS!$C$4:$C$1000,A101,MOVIMIENTOS!$D$4:$D$1000,B101,MOVIMIENTOS!$E$4:$E$1000,C101,MOVIMIENTOS!$B$4:$B$1000,"INGRESO")+SUMIFS(MOVIMIENTOS!$F$4:$F$1000,MOVIMIENTOS!$C$4:$C$1000,A101,MOVIMIENTOS!$D$4:$D$1000,B101,MOVIMIENTOS!$E$4:$E$1000,C101,MOVIMIENTOS!$B$4:$B$1000,"DE REPROCESO")+SUMIFS(MOVIMIENTOS!$F$4:$F$1000,MOVIMIENTOS!$C$4:$C$1000,A101,MOVIMIENTOS!$D$4:$D$1000,B101,MOVIMIENTOS!$E$4:$E$1000,C101,MOVIMIENTOS!$B$4:$B$1000,"AJUSTE+")-SUMIFS(MOVIMIENTOS!$F$4:$F$1000,MOVIMIENTOS!$C$4:$C$1000,A101,MOVIMIENTOS!$D$4:$D$1000,B101,MOVIMIENTOS!$E$4:$E$1000,C101,MOVIMIENTOS!$B$4:$B$1000,"A CORTE")-SUMIFS(MOVIMIENTOS!$F$4:$F$1000,MOVIMIENTOS!$C$4:$C$1000,A101,MOVIMIENTOS!$D$4:$D$1000,B101,MOVIMIENTOS!$E$4:$E$1000,C101,MOVIMIENTOS!$B$4:$B$1000,"A REPROCESO")-SUMIFS(MOVIMIENTOS!$F$4:$F$1000,MOVIMIENTOS!$C$4:$C$1000,A101,MOVIMIENTOS!$D$4:$D$1000,B101,MOVIMIENTOS!$E$4:$E$1000,C101,MOVIMIENTOS!$B$4:$B$1000,"MUESTRA")-SUMIFS(MOVIMIENTOS!$F$4:$F$1000,MOVIMIENTOS!$C$4:$C$1000,A101,MOVIMIENTOS!$D$4:$D$1000,B101,MOVIMIENTOS!$E$4:$E$1000,C101,MOVIMIENTOS!$B$4:$B$1000,"AJUSTE-"),0)</f>
        <v>0</v>
      </c>
      <c r="F101" s="101">
        <f>IFERROR(E101*VLOOKUP(B101,TELAS!$A$4:$C$32,3,FALSE()),0)</f>
        <v>0</v>
      </c>
      <c r="G101" s="102">
        <f>IFERROR(IF(D101="OSCURO",VLOOKUP(B101,PRECIOS!$A$4:$F$32,2,FALSE()),IF(D101="CLARO",VLOOKUP(B101,PRECIOS!$A$4:$F$32,3,FALSE()),IF(D101="MELANGE",VLOOKUP(B101,PRECIOS!$A$4:$F$32,4,FALSE()),IF(D101="PPT",VLOOKUP(B101,PRECIOS!$A$4:$F$32,5,FALSE()),0)))),0)</f>
        <v>0</v>
      </c>
      <c r="H101" s="103">
        <f t="shared" si="1"/>
        <v>0</v>
      </c>
      <c r="I101" s="104" t="str">
        <f>IF(E101&lt;0,"ERROR",IF(E101=0,"",IF(E101&lt;CONFIG!$B$4,"CRÍTICO",IF(E101&lt;CONFIG!$B$5,"BAJO","OK"))))</f>
        <v/>
      </c>
    </row>
    <row r="102" ht="15.75" customHeight="1">
      <c r="A102" s="90" t="str">
        <f>IF(CLIENTES!A4="","",CLIENTES!A4)</f>
        <v>OverShark</v>
      </c>
      <c r="B102" s="67" t="str">
        <f>TELAS!A8</f>
        <v>rib 1x1</v>
      </c>
      <c r="C102" s="67" t="str">
        <f>COLORES!A22</f>
        <v/>
      </c>
      <c r="D102" s="67" t="str">
        <f>COLORES!B22</f>
        <v/>
      </c>
      <c r="E102" s="100">
        <f>IFERROR(SUMIFS(MOVIMIENTOS!$F$4:$F$1000,MOVIMIENTOS!$C$4:$C$1000,A102,MOVIMIENTOS!$D$4:$D$1000,B102,MOVIMIENTOS!$E$4:$E$1000,C102,MOVIMIENTOS!$B$4:$B$1000,"INGRESO")+SUMIFS(MOVIMIENTOS!$F$4:$F$1000,MOVIMIENTOS!$C$4:$C$1000,A102,MOVIMIENTOS!$D$4:$D$1000,B102,MOVIMIENTOS!$E$4:$E$1000,C102,MOVIMIENTOS!$B$4:$B$1000,"DE REPROCESO")+SUMIFS(MOVIMIENTOS!$F$4:$F$1000,MOVIMIENTOS!$C$4:$C$1000,A102,MOVIMIENTOS!$D$4:$D$1000,B102,MOVIMIENTOS!$E$4:$E$1000,C102,MOVIMIENTOS!$B$4:$B$1000,"AJUSTE+")-SUMIFS(MOVIMIENTOS!$F$4:$F$1000,MOVIMIENTOS!$C$4:$C$1000,A102,MOVIMIENTOS!$D$4:$D$1000,B102,MOVIMIENTOS!$E$4:$E$1000,C102,MOVIMIENTOS!$B$4:$B$1000,"A CORTE")-SUMIFS(MOVIMIENTOS!$F$4:$F$1000,MOVIMIENTOS!$C$4:$C$1000,A102,MOVIMIENTOS!$D$4:$D$1000,B102,MOVIMIENTOS!$E$4:$E$1000,C102,MOVIMIENTOS!$B$4:$B$1000,"A REPROCESO")-SUMIFS(MOVIMIENTOS!$F$4:$F$1000,MOVIMIENTOS!$C$4:$C$1000,A102,MOVIMIENTOS!$D$4:$D$1000,B102,MOVIMIENTOS!$E$4:$E$1000,C102,MOVIMIENTOS!$B$4:$B$1000,"MUESTRA")-SUMIFS(MOVIMIENTOS!$F$4:$F$1000,MOVIMIENTOS!$C$4:$C$1000,A102,MOVIMIENTOS!$D$4:$D$1000,B102,MOVIMIENTOS!$E$4:$E$1000,C102,MOVIMIENTOS!$B$4:$B$1000,"AJUSTE-"),0)</f>
        <v>0</v>
      </c>
      <c r="F102" s="101">
        <f>IFERROR(E102*VLOOKUP(B102,TELAS!$A$4:$C$32,3,FALSE()),0)</f>
        <v>0</v>
      </c>
      <c r="G102" s="102">
        <f>IFERROR(IF(D102="OSCURO",VLOOKUP(B102,PRECIOS!$A$4:$F$32,2,FALSE()),IF(D102="CLARO",VLOOKUP(B102,PRECIOS!$A$4:$F$32,3,FALSE()),IF(D102="MELANGE",VLOOKUP(B102,PRECIOS!$A$4:$F$32,4,FALSE()),IF(D102="PPT",VLOOKUP(B102,PRECIOS!$A$4:$F$32,5,FALSE()),0)))),0)</f>
        <v>0</v>
      </c>
      <c r="H102" s="103">
        <f t="shared" si="1"/>
        <v>0</v>
      </c>
      <c r="I102" s="104" t="str">
        <f>IF(E102&lt;0,"ERROR",IF(E102=0,"",IF(E102&lt;CONFIG!$B$4,"CRÍTICO",IF(E102&lt;CONFIG!$B$5,"BAJO","OK"))))</f>
        <v/>
      </c>
    </row>
    <row r="103" ht="15.75" customHeight="1">
      <c r="A103" s="90" t="str">
        <f>IF(CLIENTES!A4="","",CLIENTES!A4)</f>
        <v>OverShark</v>
      </c>
      <c r="B103" s="67" t="str">
        <f>TELAS!A8</f>
        <v>rib 1x1</v>
      </c>
      <c r="C103" s="67" t="str">
        <f>COLORES!A23</f>
        <v/>
      </c>
      <c r="D103" s="67" t="str">
        <f>COLORES!B23</f>
        <v/>
      </c>
      <c r="E103" s="100">
        <f>IFERROR(SUMIFS(MOVIMIENTOS!$F$4:$F$1000,MOVIMIENTOS!$C$4:$C$1000,A103,MOVIMIENTOS!$D$4:$D$1000,B103,MOVIMIENTOS!$E$4:$E$1000,C103,MOVIMIENTOS!$B$4:$B$1000,"INGRESO")+SUMIFS(MOVIMIENTOS!$F$4:$F$1000,MOVIMIENTOS!$C$4:$C$1000,A103,MOVIMIENTOS!$D$4:$D$1000,B103,MOVIMIENTOS!$E$4:$E$1000,C103,MOVIMIENTOS!$B$4:$B$1000,"DE REPROCESO")+SUMIFS(MOVIMIENTOS!$F$4:$F$1000,MOVIMIENTOS!$C$4:$C$1000,A103,MOVIMIENTOS!$D$4:$D$1000,B103,MOVIMIENTOS!$E$4:$E$1000,C103,MOVIMIENTOS!$B$4:$B$1000,"AJUSTE+")-SUMIFS(MOVIMIENTOS!$F$4:$F$1000,MOVIMIENTOS!$C$4:$C$1000,A103,MOVIMIENTOS!$D$4:$D$1000,B103,MOVIMIENTOS!$E$4:$E$1000,C103,MOVIMIENTOS!$B$4:$B$1000,"A CORTE")-SUMIFS(MOVIMIENTOS!$F$4:$F$1000,MOVIMIENTOS!$C$4:$C$1000,A103,MOVIMIENTOS!$D$4:$D$1000,B103,MOVIMIENTOS!$E$4:$E$1000,C103,MOVIMIENTOS!$B$4:$B$1000,"A REPROCESO")-SUMIFS(MOVIMIENTOS!$F$4:$F$1000,MOVIMIENTOS!$C$4:$C$1000,A103,MOVIMIENTOS!$D$4:$D$1000,B103,MOVIMIENTOS!$E$4:$E$1000,C103,MOVIMIENTOS!$B$4:$B$1000,"MUESTRA")-SUMIFS(MOVIMIENTOS!$F$4:$F$1000,MOVIMIENTOS!$C$4:$C$1000,A103,MOVIMIENTOS!$D$4:$D$1000,B103,MOVIMIENTOS!$E$4:$E$1000,C103,MOVIMIENTOS!$B$4:$B$1000,"AJUSTE-"),0)</f>
        <v>0</v>
      </c>
      <c r="F103" s="101">
        <f>IFERROR(E103*VLOOKUP(B103,TELAS!$A$4:$C$32,3,FALSE()),0)</f>
        <v>0</v>
      </c>
      <c r="G103" s="102">
        <f>IFERROR(IF(D103="OSCURO",VLOOKUP(B103,PRECIOS!$A$4:$F$32,2,FALSE()),IF(D103="CLARO",VLOOKUP(B103,PRECIOS!$A$4:$F$32,3,FALSE()),IF(D103="MELANGE",VLOOKUP(B103,PRECIOS!$A$4:$F$32,4,FALSE()),IF(D103="PPT",VLOOKUP(B103,PRECIOS!$A$4:$F$32,5,FALSE()),0)))),0)</f>
        <v>0</v>
      </c>
      <c r="H103" s="103">
        <f t="shared" si="1"/>
        <v>0</v>
      </c>
      <c r="I103" s="104" t="str">
        <f>IF(E103&lt;0,"ERROR",IF(E103=0,"",IF(E103&lt;CONFIG!$B$4,"CRÍTICO",IF(E103&lt;CONFIG!$B$5,"BAJO","OK"))))</f>
        <v/>
      </c>
    </row>
    <row r="104" ht="15.75" customHeight="1">
      <c r="A104" s="90" t="str">
        <f>IF(CLIENTES!A4="","",CLIENTES!A4)</f>
        <v>OverShark</v>
      </c>
      <c r="B104" s="67" t="str">
        <f>TELAS!A9</f>
        <v>rib 2x1 lycrado</v>
      </c>
      <c r="C104" s="67" t="str">
        <f>COLORES!A4</f>
        <v>Negro</v>
      </c>
      <c r="D104" s="67" t="str">
        <f>COLORES!B4</f>
        <v>OSCURO</v>
      </c>
      <c r="E104" s="100">
        <f>IFERROR(SUMIFS(MOVIMIENTOS!$F$4:$F$1000,MOVIMIENTOS!$C$4:$C$1000,A104,MOVIMIENTOS!$D$4:$D$1000,B104,MOVIMIENTOS!$E$4:$E$1000,C104,MOVIMIENTOS!$B$4:$B$1000,"INGRESO")+SUMIFS(MOVIMIENTOS!$F$4:$F$1000,MOVIMIENTOS!$C$4:$C$1000,A104,MOVIMIENTOS!$D$4:$D$1000,B104,MOVIMIENTOS!$E$4:$E$1000,C104,MOVIMIENTOS!$B$4:$B$1000,"DE REPROCESO")+SUMIFS(MOVIMIENTOS!$F$4:$F$1000,MOVIMIENTOS!$C$4:$C$1000,A104,MOVIMIENTOS!$D$4:$D$1000,B104,MOVIMIENTOS!$E$4:$E$1000,C104,MOVIMIENTOS!$B$4:$B$1000,"AJUSTE+")-SUMIFS(MOVIMIENTOS!$F$4:$F$1000,MOVIMIENTOS!$C$4:$C$1000,A104,MOVIMIENTOS!$D$4:$D$1000,B104,MOVIMIENTOS!$E$4:$E$1000,C104,MOVIMIENTOS!$B$4:$B$1000,"A CORTE")-SUMIFS(MOVIMIENTOS!$F$4:$F$1000,MOVIMIENTOS!$C$4:$C$1000,A104,MOVIMIENTOS!$D$4:$D$1000,B104,MOVIMIENTOS!$E$4:$E$1000,C104,MOVIMIENTOS!$B$4:$B$1000,"A REPROCESO")-SUMIFS(MOVIMIENTOS!$F$4:$F$1000,MOVIMIENTOS!$C$4:$C$1000,A104,MOVIMIENTOS!$D$4:$D$1000,B104,MOVIMIENTOS!$E$4:$E$1000,C104,MOVIMIENTOS!$B$4:$B$1000,"MUESTRA")-SUMIFS(MOVIMIENTOS!$F$4:$F$1000,MOVIMIENTOS!$C$4:$C$1000,A104,MOVIMIENTOS!$D$4:$D$1000,B104,MOVIMIENTOS!$E$4:$E$1000,C104,MOVIMIENTOS!$B$4:$B$1000,"AJUSTE-"),0)</f>
        <v>14</v>
      </c>
      <c r="F104" s="101">
        <f>IFERROR(E104*VLOOKUP(B104,TELAS!$A$4:$C$32,3,FALSE()),0)</f>
        <v>280</v>
      </c>
      <c r="G104" s="102">
        <f>IFERROR(IF(D104="OSCURO",VLOOKUP(B104,PRECIOS!$A$4:$F$32,2,FALSE()),IF(D104="CLARO",VLOOKUP(B104,PRECIOS!$A$4:$F$32,3,FALSE()),IF(D104="MELANGE",VLOOKUP(B104,PRECIOS!$A$4:$F$32,4,FALSE()),IF(D104="PPT",VLOOKUP(B104,PRECIOS!$A$4:$F$32,5,FALSE()),0)))),0)</f>
        <v>24</v>
      </c>
      <c r="H104" s="103">
        <f t="shared" si="1"/>
        <v>6720</v>
      </c>
      <c r="I104" s="104" t="str">
        <f>IF(E104&lt;0,"ERROR",IF(E104=0,"",IF(E104&lt;CONFIG!$B$4,"CRÍTICO",IF(E104&lt;CONFIG!$B$5,"BAJO","OK"))))</f>
        <v>BAJO</v>
      </c>
    </row>
    <row r="105" ht="15.75" customHeight="1">
      <c r="A105" s="90" t="str">
        <f>IF(CLIENTES!A4="","",CLIENTES!A4)</f>
        <v>OverShark</v>
      </c>
      <c r="B105" s="67" t="str">
        <f>TELAS!A9</f>
        <v>rib 2x1 lycrado</v>
      </c>
      <c r="C105" s="67" t="str">
        <f>COLORES!A5</f>
        <v>Perla</v>
      </c>
      <c r="D105" s="67" t="str">
        <f>COLORES!B5</f>
        <v>PPT</v>
      </c>
      <c r="E105" s="100">
        <f>IFERROR(SUMIFS(MOVIMIENTOS!$F$4:$F$1000,MOVIMIENTOS!$C$4:$C$1000,A105,MOVIMIENTOS!$D$4:$D$1000,B105,MOVIMIENTOS!$E$4:$E$1000,C105,MOVIMIENTOS!$B$4:$B$1000,"INGRESO")+SUMIFS(MOVIMIENTOS!$F$4:$F$1000,MOVIMIENTOS!$C$4:$C$1000,A105,MOVIMIENTOS!$D$4:$D$1000,B105,MOVIMIENTOS!$E$4:$E$1000,C105,MOVIMIENTOS!$B$4:$B$1000,"DE REPROCESO")+SUMIFS(MOVIMIENTOS!$F$4:$F$1000,MOVIMIENTOS!$C$4:$C$1000,A105,MOVIMIENTOS!$D$4:$D$1000,B105,MOVIMIENTOS!$E$4:$E$1000,C105,MOVIMIENTOS!$B$4:$B$1000,"AJUSTE+")-SUMIFS(MOVIMIENTOS!$F$4:$F$1000,MOVIMIENTOS!$C$4:$C$1000,A105,MOVIMIENTOS!$D$4:$D$1000,B105,MOVIMIENTOS!$E$4:$E$1000,C105,MOVIMIENTOS!$B$4:$B$1000,"A CORTE")-SUMIFS(MOVIMIENTOS!$F$4:$F$1000,MOVIMIENTOS!$C$4:$C$1000,A105,MOVIMIENTOS!$D$4:$D$1000,B105,MOVIMIENTOS!$E$4:$E$1000,C105,MOVIMIENTOS!$B$4:$B$1000,"A REPROCESO")-SUMIFS(MOVIMIENTOS!$F$4:$F$1000,MOVIMIENTOS!$C$4:$C$1000,A105,MOVIMIENTOS!$D$4:$D$1000,B105,MOVIMIENTOS!$E$4:$E$1000,C105,MOVIMIENTOS!$B$4:$B$1000,"MUESTRA")-SUMIFS(MOVIMIENTOS!$F$4:$F$1000,MOVIMIENTOS!$C$4:$C$1000,A105,MOVIMIENTOS!$D$4:$D$1000,B105,MOVIMIENTOS!$E$4:$E$1000,C105,MOVIMIENTOS!$B$4:$B$1000,"AJUSTE-"),0)</f>
        <v>12</v>
      </c>
      <c r="F105" s="101">
        <f>IFERROR(E105*VLOOKUP(B105,TELAS!$A$4:$C$32,3,FALSE()),0)</f>
        <v>240</v>
      </c>
      <c r="G105" s="102">
        <f>IFERROR(IF(D105="OSCURO",VLOOKUP(B105,PRECIOS!$A$4:$F$32,2,FALSE()),IF(D105="CLARO",VLOOKUP(B105,PRECIOS!$A$4:$F$32,3,FALSE()),IF(D105="MELANGE",VLOOKUP(B105,PRECIOS!$A$4:$F$32,4,FALSE()),IF(D105="PPT",VLOOKUP(B105,PRECIOS!$A$4:$F$32,5,FALSE()),0)))),0)</f>
        <v>18</v>
      </c>
      <c r="H105" s="103">
        <f t="shared" si="1"/>
        <v>4320</v>
      </c>
      <c r="I105" s="104" t="str">
        <f>IF(E105&lt;0,"ERROR",IF(E105=0,"",IF(E105&lt;CONFIG!$B$4,"CRÍTICO",IF(E105&lt;CONFIG!$B$5,"BAJO","OK"))))</f>
        <v>BAJO</v>
      </c>
    </row>
    <row r="106" ht="15.75" customHeight="1">
      <c r="A106" s="90" t="str">
        <f>IF(CLIENTES!A4="","",CLIENTES!A4)</f>
        <v>OverShark</v>
      </c>
      <c r="B106" s="67" t="str">
        <f>TELAS!A9</f>
        <v>rib 2x1 lycrado</v>
      </c>
      <c r="C106" s="67" t="str">
        <f>COLORES!A6</f>
        <v>Blanco</v>
      </c>
      <c r="D106" s="67" t="str">
        <f>COLORES!B6</f>
        <v>PPT</v>
      </c>
      <c r="E106" s="100">
        <f>IFERROR(SUMIFS(MOVIMIENTOS!$F$4:$F$1000,MOVIMIENTOS!$C$4:$C$1000,A106,MOVIMIENTOS!$D$4:$D$1000,B106,MOVIMIENTOS!$E$4:$E$1000,C106,MOVIMIENTOS!$B$4:$B$1000,"INGRESO")+SUMIFS(MOVIMIENTOS!$F$4:$F$1000,MOVIMIENTOS!$C$4:$C$1000,A106,MOVIMIENTOS!$D$4:$D$1000,B106,MOVIMIENTOS!$E$4:$E$1000,C106,MOVIMIENTOS!$B$4:$B$1000,"DE REPROCESO")+SUMIFS(MOVIMIENTOS!$F$4:$F$1000,MOVIMIENTOS!$C$4:$C$1000,A106,MOVIMIENTOS!$D$4:$D$1000,B106,MOVIMIENTOS!$E$4:$E$1000,C106,MOVIMIENTOS!$B$4:$B$1000,"AJUSTE+")-SUMIFS(MOVIMIENTOS!$F$4:$F$1000,MOVIMIENTOS!$C$4:$C$1000,A106,MOVIMIENTOS!$D$4:$D$1000,B106,MOVIMIENTOS!$E$4:$E$1000,C106,MOVIMIENTOS!$B$4:$B$1000,"A CORTE")-SUMIFS(MOVIMIENTOS!$F$4:$F$1000,MOVIMIENTOS!$C$4:$C$1000,A106,MOVIMIENTOS!$D$4:$D$1000,B106,MOVIMIENTOS!$E$4:$E$1000,C106,MOVIMIENTOS!$B$4:$B$1000,"A REPROCESO")-SUMIFS(MOVIMIENTOS!$F$4:$F$1000,MOVIMIENTOS!$C$4:$C$1000,A106,MOVIMIENTOS!$D$4:$D$1000,B106,MOVIMIENTOS!$E$4:$E$1000,C106,MOVIMIENTOS!$B$4:$B$1000,"MUESTRA")-SUMIFS(MOVIMIENTOS!$F$4:$F$1000,MOVIMIENTOS!$C$4:$C$1000,A106,MOVIMIENTOS!$D$4:$D$1000,B106,MOVIMIENTOS!$E$4:$E$1000,C106,MOVIMIENTOS!$B$4:$B$1000,"AJUSTE-"),0)</f>
        <v>0</v>
      </c>
      <c r="F106" s="101">
        <f>IFERROR(E106*VLOOKUP(B106,TELAS!$A$4:$C$32,3,FALSE()),0)</f>
        <v>0</v>
      </c>
      <c r="G106" s="102">
        <f>IFERROR(IF(D106="OSCURO",VLOOKUP(B106,PRECIOS!$A$4:$F$32,2,FALSE()),IF(D106="CLARO",VLOOKUP(B106,PRECIOS!$A$4:$F$32,3,FALSE()),IF(D106="MELANGE",VLOOKUP(B106,PRECIOS!$A$4:$F$32,4,FALSE()),IF(D106="PPT",VLOOKUP(B106,PRECIOS!$A$4:$F$32,5,FALSE()),0)))),0)</f>
        <v>18</v>
      </c>
      <c r="H106" s="103">
        <f t="shared" si="1"/>
        <v>0</v>
      </c>
      <c r="I106" s="104" t="str">
        <f>IF(E106&lt;0,"ERROR",IF(E106=0,"",IF(E106&lt;CONFIG!$B$4,"CRÍTICO",IF(E106&lt;CONFIG!$B$5,"BAJO","OK"))))</f>
        <v/>
      </c>
    </row>
    <row r="107" ht="15.75" customHeight="1">
      <c r="A107" s="90" t="str">
        <f>IF(CLIENTES!A4="","",CLIENTES!A4)</f>
        <v>OverShark</v>
      </c>
      <c r="B107" s="67" t="str">
        <f>TELAS!A9</f>
        <v>rib 2x1 lycrado</v>
      </c>
      <c r="C107" s="67" t="str">
        <f>COLORES!A7</f>
        <v>Azul</v>
      </c>
      <c r="D107" s="67" t="str">
        <f>COLORES!B7</f>
        <v>OSCURO</v>
      </c>
      <c r="E107" s="100">
        <f>IFERROR(SUMIFS(MOVIMIENTOS!$F$4:$F$1000,MOVIMIENTOS!$C$4:$C$1000,A107,MOVIMIENTOS!$D$4:$D$1000,B107,MOVIMIENTOS!$E$4:$E$1000,C107,MOVIMIENTOS!$B$4:$B$1000,"INGRESO")+SUMIFS(MOVIMIENTOS!$F$4:$F$1000,MOVIMIENTOS!$C$4:$C$1000,A107,MOVIMIENTOS!$D$4:$D$1000,B107,MOVIMIENTOS!$E$4:$E$1000,C107,MOVIMIENTOS!$B$4:$B$1000,"DE REPROCESO")+SUMIFS(MOVIMIENTOS!$F$4:$F$1000,MOVIMIENTOS!$C$4:$C$1000,A107,MOVIMIENTOS!$D$4:$D$1000,B107,MOVIMIENTOS!$E$4:$E$1000,C107,MOVIMIENTOS!$B$4:$B$1000,"AJUSTE+")-SUMIFS(MOVIMIENTOS!$F$4:$F$1000,MOVIMIENTOS!$C$4:$C$1000,A107,MOVIMIENTOS!$D$4:$D$1000,B107,MOVIMIENTOS!$E$4:$E$1000,C107,MOVIMIENTOS!$B$4:$B$1000,"A CORTE")-SUMIFS(MOVIMIENTOS!$F$4:$F$1000,MOVIMIENTOS!$C$4:$C$1000,A107,MOVIMIENTOS!$D$4:$D$1000,B107,MOVIMIENTOS!$E$4:$E$1000,C107,MOVIMIENTOS!$B$4:$B$1000,"A REPROCESO")-SUMIFS(MOVIMIENTOS!$F$4:$F$1000,MOVIMIENTOS!$C$4:$C$1000,A107,MOVIMIENTOS!$D$4:$D$1000,B107,MOVIMIENTOS!$E$4:$E$1000,C107,MOVIMIENTOS!$B$4:$B$1000,"MUESTRA")-SUMIFS(MOVIMIENTOS!$F$4:$F$1000,MOVIMIENTOS!$C$4:$C$1000,A107,MOVIMIENTOS!$D$4:$D$1000,B107,MOVIMIENTOS!$E$4:$E$1000,C107,MOVIMIENTOS!$B$4:$B$1000,"AJUSTE-"),0)</f>
        <v>10</v>
      </c>
      <c r="F107" s="101">
        <f>IFERROR(E107*VLOOKUP(B107,TELAS!$A$4:$C$32,3,FALSE()),0)</f>
        <v>200</v>
      </c>
      <c r="G107" s="102">
        <f>IFERROR(IF(D107="OSCURO",VLOOKUP(B107,PRECIOS!$A$4:$F$32,2,FALSE()),IF(D107="CLARO",VLOOKUP(B107,PRECIOS!$A$4:$F$32,3,FALSE()),IF(D107="MELANGE",VLOOKUP(B107,PRECIOS!$A$4:$F$32,4,FALSE()),IF(D107="PPT",VLOOKUP(B107,PRECIOS!$A$4:$F$32,5,FALSE()),0)))),0)</f>
        <v>24</v>
      </c>
      <c r="H107" s="103">
        <f t="shared" si="1"/>
        <v>4800</v>
      </c>
      <c r="I107" s="104" t="str">
        <f>IF(E107&lt;0,"ERROR",IF(E107=0,"",IF(E107&lt;CONFIG!$B$4,"CRÍTICO",IF(E107&lt;CONFIG!$B$5,"BAJO","OK"))))</f>
        <v>BAJO</v>
      </c>
    </row>
    <row r="108" ht="15.75" customHeight="1">
      <c r="A108" s="90" t="str">
        <f>IF(CLIENTES!A4="","",CLIENTES!A4)</f>
        <v>OverShark</v>
      </c>
      <c r="B108" s="67" t="str">
        <f>TELAS!A9</f>
        <v>rib 2x1 lycrado</v>
      </c>
      <c r="C108" s="67" t="str">
        <f>COLORES!A8</f>
        <v>Beige</v>
      </c>
      <c r="D108" s="67" t="str">
        <f>COLORES!B8</f>
        <v>CLARO</v>
      </c>
      <c r="E108" s="100">
        <f>IFERROR(SUMIFS(MOVIMIENTOS!$F$4:$F$1000,MOVIMIENTOS!$C$4:$C$1000,A108,MOVIMIENTOS!$D$4:$D$1000,B108,MOVIMIENTOS!$E$4:$E$1000,C108,MOVIMIENTOS!$B$4:$B$1000,"INGRESO")+SUMIFS(MOVIMIENTOS!$F$4:$F$1000,MOVIMIENTOS!$C$4:$C$1000,A108,MOVIMIENTOS!$D$4:$D$1000,B108,MOVIMIENTOS!$E$4:$E$1000,C108,MOVIMIENTOS!$B$4:$B$1000,"DE REPROCESO")+SUMIFS(MOVIMIENTOS!$F$4:$F$1000,MOVIMIENTOS!$C$4:$C$1000,A108,MOVIMIENTOS!$D$4:$D$1000,B108,MOVIMIENTOS!$E$4:$E$1000,C108,MOVIMIENTOS!$B$4:$B$1000,"AJUSTE+")-SUMIFS(MOVIMIENTOS!$F$4:$F$1000,MOVIMIENTOS!$C$4:$C$1000,A108,MOVIMIENTOS!$D$4:$D$1000,B108,MOVIMIENTOS!$E$4:$E$1000,C108,MOVIMIENTOS!$B$4:$B$1000,"A CORTE")-SUMIFS(MOVIMIENTOS!$F$4:$F$1000,MOVIMIENTOS!$C$4:$C$1000,A108,MOVIMIENTOS!$D$4:$D$1000,B108,MOVIMIENTOS!$E$4:$E$1000,C108,MOVIMIENTOS!$B$4:$B$1000,"A REPROCESO")-SUMIFS(MOVIMIENTOS!$F$4:$F$1000,MOVIMIENTOS!$C$4:$C$1000,A108,MOVIMIENTOS!$D$4:$D$1000,B108,MOVIMIENTOS!$E$4:$E$1000,C108,MOVIMIENTOS!$B$4:$B$1000,"MUESTRA")-SUMIFS(MOVIMIENTOS!$F$4:$F$1000,MOVIMIENTOS!$C$4:$C$1000,A108,MOVIMIENTOS!$D$4:$D$1000,B108,MOVIMIENTOS!$E$4:$E$1000,C108,MOVIMIENTOS!$B$4:$B$1000,"AJUSTE-"),0)</f>
        <v>4</v>
      </c>
      <c r="F108" s="101">
        <f>IFERROR(E108*VLOOKUP(B108,TELAS!$A$4:$C$32,3,FALSE()),0)</f>
        <v>80</v>
      </c>
      <c r="G108" s="102">
        <f>IFERROR(IF(D108="OSCURO",VLOOKUP(B108,PRECIOS!$A$4:$F$32,2,FALSE()),IF(D108="CLARO",VLOOKUP(B108,PRECIOS!$A$4:$F$32,3,FALSE()),IF(D108="MELANGE",VLOOKUP(B108,PRECIOS!$A$4:$F$32,4,FALSE()),IF(D108="PPT",VLOOKUP(B108,PRECIOS!$A$4:$F$32,5,FALSE()),0)))),0)</f>
        <v>21</v>
      </c>
      <c r="H108" s="103">
        <f t="shared" si="1"/>
        <v>1680</v>
      </c>
      <c r="I108" s="104" t="str">
        <f>IF(E108&lt;0,"ERROR",IF(E108=0,"",IF(E108&lt;CONFIG!$B$4,"CRÍTICO",IF(E108&lt;CONFIG!$B$5,"BAJO","OK"))))</f>
        <v>CRÍTICO</v>
      </c>
    </row>
    <row r="109" ht="15.75" customHeight="1">
      <c r="A109" s="90" t="str">
        <f>IF(CLIENTES!A4="","",CLIENTES!A4)</f>
        <v>OverShark</v>
      </c>
      <c r="B109" s="67" t="str">
        <f>TELAS!A9</f>
        <v>rib 2x1 lycrado</v>
      </c>
      <c r="C109" s="67" t="str">
        <f>COLORES!A9</f>
        <v>Melange</v>
      </c>
      <c r="D109" s="67" t="str">
        <f>COLORES!B9</f>
        <v>MELANGE</v>
      </c>
      <c r="E109" s="100">
        <f>IFERROR(SUMIFS(MOVIMIENTOS!$F$4:$F$1000,MOVIMIENTOS!$C$4:$C$1000,A109,MOVIMIENTOS!$D$4:$D$1000,B109,MOVIMIENTOS!$E$4:$E$1000,C109,MOVIMIENTOS!$B$4:$B$1000,"INGRESO")+SUMIFS(MOVIMIENTOS!$F$4:$F$1000,MOVIMIENTOS!$C$4:$C$1000,A109,MOVIMIENTOS!$D$4:$D$1000,B109,MOVIMIENTOS!$E$4:$E$1000,C109,MOVIMIENTOS!$B$4:$B$1000,"DE REPROCESO")+SUMIFS(MOVIMIENTOS!$F$4:$F$1000,MOVIMIENTOS!$C$4:$C$1000,A109,MOVIMIENTOS!$D$4:$D$1000,B109,MOVIMIENTOS!$E$4:$E$1000,C109,MOVIMIENTOS!$B$4:$B$1000,"AJUSTE+")-SUMIFS(MOVIMIENTOS!$F$4:$F$1000,MOVIMIENTOS!$C$4:$C$1000,A109,MOVIMIENTOS!$D$4:$D$1000,B109,MOVIMIENTOS!$E$4:$E$1000,C109,MOVIMIENTOS!$B$4:$B$1000,"A CORTE")-SUMIFS(MOVIMIENTOS!$F$4:$F$1000,MOVIMIENTOS!$C$4:$C$1000,A109,MOVIMIENTOS!$D$4:$D$1000,B109,MOVIMIENTOS!$E$4:$E$1000,C109,MOVIMIENTOS!$B$4:$B$1000,"A REPROCESO")-SUMIFS(MOVIMIENTOS!$F$4:$F$1000,MOVIMIENTOS!$C$4:$C$1000,A109,MOVIMIENTOS!$D$4:$D$1000,B109,MOVIMIENTOS!$E$4:$E$1000,C109,MOVIMIENTOS!$B$4:$B$1000,"MUESTRA")-SUMIFS(MOVIMIENTOS!$F$4:$F$1000,MOVIMIENTOS!$C$4:$C$1000,A109,MOVIMIENTOS!$D$4:$D$1000,B109,MOVIMIENTOS!$E$4:$E$1000,C109,MOVIMIENTOS!$B$4:$B$1000,"AJUSTE-"),0)</f>
        <v>0</v>
      </c>
      <c r="F109" s="101">
        <f>IFERROR(E109*VLOOKUP(B109,TELAS!$A$4:$C$32,3,FALSE()),0)</f>
        <v>0</v>
      </c>
      <c r="G109" s="102">
        <f>IFERROR(IF(D109="OSCURO",VLOOKUP(B109,PRECIOS!$A$4:$F$32,2,FALSE()),IF(D109="CLARO",VLOOKUP(B109,PRECIOS!$A$4:$F$32,3,FALSE()),IF(D109="MELANGE",VLOOKUP(B109,PRECIOS!$A$4:$F$32,4,FALSE()),IF(D109="PPT",VLOOKUP(B109,PRECIOS!$A$4:$F$32,5,FALSE()),0)))),0)</f>
        <v>18</v>
      </c>
      <c r="H109" s="103">
        <f t="shared" si="1"/>
        <v>0</v>
      </c>
      <c r="I109" s="104" t="str">
        <f>IF(E109&lt;0,"ERROR",IF(E109=0,"",IF(E109&lt;CONFIG!$B$4,"CRÍTICO",IF(E109&lt;CONFIG!$B$5,"BAJO","OK"))))</f>
        <v/>
      </c>
    </row>
    <row r="110" ht="15.75" customHeight="1">
      <c r="A110" s="90" t="str">
        <f>IF(CLIENTES!A4="","",CLIENTES!A4)</f>
        <v>OverShark</v>
      </c>
      <c r="B110" s="67" t="str">
        <f>TELAS!A9</f>
        <v>rib 2x1 lycrado</v>
      </c>
      <c r="C110" s="67" t="str">
        <f>COLORES!A10</f>
        <v>Botella</v>
      </c>
      <c r="D110" s="67" t="str">
        <f>COLORES!B10</f>
        <v>OSCURO</v>
      </c>
      <c r="E110" s="100">
        <f>IFERROR(SUMIFS(MOVIMIENTOS!$F$4:$F$1000,MOVIMIENTOS!$C$4:$C$1000,A110,MOVIMIENTOS!$D$4:$D$1000,B110,MOVIMIENTOS!$E$4:$E$1000,C110,MOVIMIENTOS!$B$4:$B$1000,"INGRESO")+SUMIFS(MOVIMIENTOS!$F$4:$F$1000,MOVIMIENTOS!$C$4:$C$1000,A110,MOVIMIENTOS!$D$4:$D$1000,B110,MOVIMIENTOS!$E$4:$E$1000,C110,MOVIMIENTOS!$B$4:$B$1000,"DE REPROCESO")+SUMIFS(MOVIMIENTOS!$F$4:$F$1000,MOVIMIENTOS!$C$4:$C$1000,A110,MOVIMIENTOS!$D$4:$D$1000,B110,MOVIMIENTOS!$E$4:$E$1000,C110,MOVIMIENTOS!$B$4:$B$1000,"AJUSTE+")-SUMIFS(MOVIMIENTOS!$F$4:$F$1000,MOVIMIENTOS!$C$4:$C$1000,A110,MOVIMIENTOS!$D$4:$D$1000,B110,MOVIMIENTOS!$E$4:$E$1000,C110,MOVIMIENTOS!$B$4:$B$1000,"A CORTE")-SUMIFS(MOVIMIENTOS!$F$4:$F$1000,MOVIMIENTOS!$C$4:$C$1000,A110,MOVIMIENTOS!$D$4:$D$1000,B110,MOVIMIENTOS!$E$4:$E$1000,C110,MOVIMIENTOS!$B$4:$B$1000,"A REPROCESO")-SUMIFS(MOVIMIENTOS!$F$4:$F$1000,MOVIMIENTOS!$C$4:$C$1000,A110,MOVIMIENTOS!$D$4:$D$1000,B110,MOVIMIENTOS!$E$4:$E$1000,C110,MOVIMIENTOS!$B$4:$B$1000,"MUESTRA")-SUMIFS(MOVIMIENTOS!$F$4:$F$1000,MOVIMIENTOS!$C$4:$C$1000,A110,MOVIMIENTOS!$D$4:$D$1000,B110,MOVIMIENTOS!$E$4:$E$1000,C110,MOVIMIENTOS!$B$4:$B$1000,"AJUSTE-"),0)</f>
        <v>8</v>
      </c>
      <c r="F110" s="101">
        <f>IFERROR(E110*VLOOKUP(B110,TELAS!$A$4:$C$32,3,FALSE()),0)</f>
        <v>160</v>
      </c>
      <c r="G110" s="102">
        <f>IFERROR(IF(D110="OSCURO",VLOOKUP(B110,PRECIOS!$A$4:$F$32,2,FALSE()),IF(D110="CLARO",VLOOKUP(B110,PRECIOS!$A$4:$F$32,3,FALSE()),IF(D110="MELANGE",VLOOKUP(B110,PRECIOS!$A$4:$F$32,4,FALSE()),IF(D110="PPT",VLOOKUP(B110,PRECIOS!$A$4:$F$32,5,FALSE()),0)))),0)</f>
        <v>24</v>
      </c>
      <c r="H110" s="103">
        <f t="shared" si="1"/>
        <v>3840</v>
      </c>
      <c r="I110" s="104" t="str">
        <f>IF(E110&lt;0,"ERROR",IF(E110=0,"",IF(E110&lt;CONFIG!$B$4,"CRÍTICO",IF(E110&lt;CONFIG!$B$5,"BAJO","OK"))))</f>
        <v>BAJO</v>
      </c>
    </row>
    <row r="111" ht="15.75" customHeight="1">
      <c r="A111" s="90" t="str">
        <f>IF(CLIENTES!A4="","",CLIENTES!A4)</f>
        <v>OverShark</v>
      </c>
      <c r="B111" s="67" t="str">
        <f>TELAS!A9</f>
        <v>rib 2x1 lycrado</v>
      </c>
      <c r="C111" s="67" t="str">
        <f>COLORES!A11</f>
        <v>Pacay</v>
      </c>
      <c r="D111" s="67" t="str">
        <f>COLORES!B11</f>
        <v>CLARO</v>
      </c>
      <c r="E111" s="100">
        <f>IFERROR(SUMIFS(MOVIMIENTOS!$F$4:$F$1000,MOVIMIENTOS!$C$4:$C$1000,A111,MOVIMIENTOS!$D$4:$D$1000,B111,MOVIMIENTOS!$E$4:$E$1000,C111,MOVIMIENTOS!$B$4:$B$1000,"INGRESO")+SUMIFS(MOVIMIENTOS!$F$4:$F$1000,MOVIMIENTOS!$C$4:$C$1000,A111,MOVIMIENTOS!$D$4:$D$1000,B111,MOVIMIENTOS!$E$4:$E$1000,C111,MOVIMIENTOS!$B$4:$B$1000,"DE REPROCESO")+SUMIFS(MOVIMIENTOS!$F$4:$F$1000,MOVIMIENTOS!$C$4:$C$1000,A111,MOVIMIENTOS!$D$4:$D$1000,B111,MOVIMIENTOS!$E$4:$E$1000,C111,MOVIMIENTOS!$B$4:$B$1000,"AJUSTE+")-SUMIFS(MOVIMIENTOS!$F$4:$F$1000,MOVIMIENTOS!$C$4:$C$1000,A111,MOVIMIENTOS!$D$4:$D$1000,B111,MOVIMIENTOS!$E$4:$E$1000,C111,MOVIMIENTOS!$B$4:$B$1000,"A CORTE")-SUMIFS(MOVIMIENTOS!$F$4:$F$1000,MOVIMIENTOS!$C$4:$C$1000,A111,MOVIMIENTOS!$D$4:$D$1000,B111,MOVIMIENTOS!$E$4:$E$1000,C111,MOVIMIENTOS!$B$4:$B$1000,"A REPROCESO")-SUMIFS(MOVIMIENTOS!$F$4:$F$1000,MOVIMIENTOS!$C$4:$C$1000,A111,MOVIMIENTOS!$D$4:$D$1000,B111,MOVIMIENTOS!$E$4:$E$1000,C111,MOVIMIENTOS!$B$4:$B$1000,"MUESTRA")-SUMIFS(MOVIMIENTOS!$F$4:$F$1000,MOVIMIENTOS!$C$4:$C$1000,A111,MOVIMIENTOS!$D$4:$D$1000,B111,MOVIMIENTOS!$E$4:$E$1000,C111,MOVIMIENTOS!$B$4:$B$1000,"AJUSTE-"),0)</f>
        <v>4</v>
      </c>
      <c r="F111" s="101">
        <f>IFERROR(E111*VLOOKUP(B111,TELAS!$A$4:$C$32,3,FALSE()),0)</f>
        <v>80</v>
      </c>
      <c r="G111" s="102">
        <f>IFERROR(IF(D111="OSCURO",VLOOKUP(B111,PRECIOS!$A$4:$F$32,2,FALSE()),IF(D111="CLARO",VLOOKUP(B111,PRECIOS!$A$4:$F$32,3,FALSE()),IF(D111="MELANGE",VLOOKUP(B111,PRECIOS!$A$4:$F$32,4,FALSE()),IF(D111="PPT",VLOOKUP(B111,PRECIOS!$A$4:$F$32,5,FALSE()),0)))),0)</f>
        <v>21</v>
      </c>
      <c r="H111" s="103">
        <f t="shared" si="1"/>
        <v>1680</v>
      </c>
      <c r="I111" s="104" t="str">
        <f>IF(E111&lt;0,"ERROR",IF(E111=0,"",IF(E111&lt;CONFIG!$B$4,"CRÍTICO",IF(E111&lt;CONFIG!$B$5,"BAJO","OK"))))</f>
        <v>CRÍTICO</v>
      </c>
    </row>
    <row r="112" ht="15.75" customHeight="1">
      <c r="A112" s="90" t="str">
        <f>IF(CLIENTES!A4="","",CLIENTES!A4)</f>
        <v>OverShark</v>
      </c>
      <c r="B112" s="67" t="str">
        <f>TELAS!A9</f>
        <v>rib 2x1 lycrado</v>
      </c>
      <c r="C112" s="67" t="str">
        <f>COLORES!A12</f>
        <v>Cemento</v>
      </c>
      <c r="D112" s="67" t="str">
        <f>COLORES!B12</f>
        <v>CLARO</v>
      </c>
      <c r="E112" s="100">
        <f>IFERROR(SUMIFS(MOVIMIENTOS!$F$4:$F$1000,MOVIMIENTOS!$C$4:$C$1000,A112,MOVIMIENTOS!$D$4:$D$1000,B112,MOVIMIENTOS!$E$4:$E$1000,C112,MOVIMIENTOS!$B$4:$B$1000,"INGRESO")+SUMIFS(MOVIMIENTOS!$F$4:$F$1000,MOVIMIENTOS!$C$4:$C$1000,A112,MOVIMIENTOS!$D$4:$D$1000,B112,MOVIMIENTOS!$E$4:$E$1000,C112,MOVIMIENTOS!$B$4:$B$1000,"DE REPROCESO")+SUMIFS(MOVIMIENTOS!$F$4:$F$1000,MOVIMIENTOS!$C$4:$C$1000,A112,MOVIMIENTOS!$D$4:$D$1000,B112,MOVIMIENTOS!$E$4:$E$1000,C112,MOVIMIENTOS!$B$4:$B$1000,"AJUSTE+")-SUMIFS(MOVIMIENTOS!$F$4:$F$1000,MOVIMIENTOS!$C$4:$C$1000,A112,MOVIMIENTOS!$D$4:$D$1000,B112,MOVIMIENTOS!$E$4:$E$1000,C112,MOVIMIENTOS!$B$4:$B$1000,"A CORTE")-SUMIFS(MOVIMIENTOS!$F$4:$F$1000,MOVIMIENTOS!$C$4:$C$1000,A112,MOVIMIENTOS!$D$4:$D$1000,B112,MOVIMIENTOS!$E$4:$E$1000,C112,MOVIMIENTOS!$B$4:$B$1000,"A REPROCESO")-SUMIFS(MOVIMIENTOS!$F$4:$F$1000,MOVIMIENTOS!$C$4:$C$1000,A112,MOVIMIENTOS!$D$4:$D$1000,B112,MOVIMIENTOS!$E$4:$E$1000,C112,MOVIMIENTOS!$B$4:$B$1000,"MUESTRA")-SUMIFS(MOVIMIENTOS!$F$4:$F$1000,MOVIMIENTOS!$C$4:$C$1000,A112,MOVIMIENTOS!$D$4:$D$1000,B112,MOVIMIENTOS!$E$4:$E$1000,C112,MOVIMIENTOS!$B$4:$B$1000,"AJUSTE-"),0)</f>
        <v>6</v>
      </c>
      <c r="F112" s="101">
        <f>IFERROR(E112*VLOOKUP(B112,TELAS!$A$4:$C$32,3,FALSE()),0)</f>
        <v>120</v>
      </c>
      <c r="G112" s="102">
        <f>IFERROR(IF(D112="OSCURO",VLOOKUP(B112,PRECIOS!$A$4:$F$32,2,FALSE()),IF(D112="CLARO",VLOOKUP(B112,PRECIOS!$A$4:$F$32,3,FALSE()),IF(D112="MELANGE",VLOOKUP(B112,PRECIOS!$A$4:$F$32,4,FALSE()),IF(D112="PPT",VLOOKUP(B112,PRECIOS!$A$4:$F$32,5,FALSE()),0)))),0)</f>
        <v>21</v>
      </c>
      <c r="H112" s="103">
        <f t="shared" si="1"/>
        <v>2520</v>
      </c>
      <c r="I112" s="104" t="str">
        <f>IF(E112&lt;0,"ERROR",IF(E112=0,"",IF(E112&lt;CONFIG!$B$4,"CRÍTICO",IF(E112&lt;CONFIG!$B$5,"BAJO","OK"))))</f>
        <v>BAJO</v>
      </c>
    </row>
    <row r="113" ht="15.75" customHeight="1">
      <c r="A113" s="90" t="str">
        <f>IF(CLIENTES!A4="","",CLIENTES!A4)</f>
        <v>OverShark</v>
      </c>
      <c r="B113" s="67" t="str">
        <f>TELAS!A9</f>
        <v>rib 2x1 lycrado</v>
      </c>
      <c r="C113" s="67" t="str">
        <f>COLORES!A13</f>
        <v>Camote</v>
      </c>
      <c r="D113" s="67" t="str">
        <f>COLORES!B13</f>
        <v>CLARO</v>
      </c>
      <c r="E113" s="100">
        <f>IFERROR(SUMIFS(MOVIMIENTOS!$F$4:$F$1000,MOVIMIENTOS!$C$4:$C$1000,A113,MOVIMIENTOS!$D$4:$D$1000,B113,MOVIMIENTOS!$E$4:$E$1000,C113,MOVIMIENTOS!$B$4:$B$1000,"INGRESO")+SUMIFS(MOVIMIENTOS!$F$4:$F$1000,MOVIMIENTOS!$C$4:$C$1000,A113,MOVIMIENTOS!$D$4:$D$1000,B113,MOVIMIENTOS!$E$4:$E$1000,C113,MOVIMIENTOS!$B$4:$B$1000,"DE REPROCESO")+SUMIFS(MOVIMIENTOS!$F$4:$F$1000,MOVIMIENTOS!$C$4:$C$1000,A113,MOVIMIENTOS!$D$4:$D$1000,B113,MOVIMIENTOS!$E$4:$E$1000,C113,MOVIMIENTOS!$B$4:$B$1000,"AJUSTE+")-SUMIFS(MOVIMIENTOS!$F$4:$F$1000,MOVIMIENTOS!$C$4:$C$1000,A113,MOVIMIENTOS!$D$4:$D$1000,B113,MOVIMIENTOS!$E$4:$E$1000,C113,MOVIMIENTOS!$B$4:$B$1000,"A CORTE")-SUMIFS(MOVIMIENTOS!$F$4:$F$1000,MOVIMIENTOS!$C$4:$C$1000,A113,MOVIMIENTOS!$D$4:$D$1000,B113,MOVIMIENTOS!$E$4:$E$1000,C113,MOVIMIENTOS!$B$4:$B$1000,"A REPROCESO")-SUMIFS(MOVIMIENTOS!$F$4:$F$1000,MOVIMIENTOS!$C$4:$C$1000,A113,MOVIMIENTOS!$D$4:$D$1000,B113,MOVIMIENTOS!$E$4:$E$1000,C113,MOVIMIENTOS!$B$4:$B$1000,"MUESTRA")-SUMIFS(MOVIMIENTOS!$F$4:$F$1000,MOVIMIENTOS!$C$4:$C$1000,A113,MOVIMIENTOS!$D$4:$D$1000,B113,MOVIMIENTOS!$E$4:$E$1000,C113,MOVIMIENTOS!$B$4:$B$1000,"AJUSTE-"),0)</f>
        <v>0</v>
      </c>
      <c r="F113" s="101">
        <f>IFERROR(E113*VLOOKUP(B113,TELAS!$A$4:$C$32,3,FALSE()),0)</f>
        <v>0</v>
      </c>
      <c r="G113" s="102">
        <f>IFERROR(IF(D113="OSCURO",VLOOKUP(B113,PRECIOS!$A$4:$F$32,2,FALSE()),IF(D113="CLARO",VLOOKUP(B113,PRECIOS!$A$4:$F$32,3,FALSE()),IF(D113="MELANGE",VLOOKUP(B113,PRECIOS!$A$4:$F$32,4,FALSE()),IF(D113="PPT",VLOOKUP(B113,PRECIOS!$A$4:$F$32,5,FALSE()),0)))),0)</f>
        <v>21</v>
      </c>
      <c r="H113" s="103">
        <f t="shared" si="1"/>
        <v>0</v>
      </c>
      <c r="I113" s="104" t="str">
        <f>IF(E113&lt;0,"ERROR",IF(E113=0,"",IF(E113&lt;CONFIG!$B$4,"CRÍTICO",IF(E113&lt;CONFIG!$B$5,"BAJO","OK"))))</f>
        <v/>
      </c>
    </row>
    <row r="114" ht="15.75" customHeight="1">
      <c r="A114" s="90" t="str">
        <f>IF(CLIENTES!A4="","",CLIENTES!A4)</f>
        <v>OverShark</v>
      </c>
      <c r="B114" s="67" t="str">
        <f>TELAS!A9</f>
        <v>rib 2x1 lycrado</v>
      </c>
      <c r="C114" s="67" t="str">
        <f>COLORES!A14</f>
        <v>Denim</v>
      </c>
      <c r="D114" s="67" t="str">
        <f>COLORES!B14</f>
        <v>CLARO</v>
      </c>
      <c r="E114" s="100">
        <f>IFERROR(SUMIFS(MOVIMIENTOS!$F$4:$F$1000,MOVIMIENTOS!$C$4:$C$1000,A114,MOVIMIENTOS!$D$4:$D$1000,B114,MOVIMIENTOS!$E$4:$E$1000,C114,MOVIMIENTOS!$B$4:$B$1000,"INGRESO")+SUMIFS(MOVIMIENTOS!$F$4:$F$1000,MOVIMIENTOS!$C$4:$C$1000,A114,MOVIMIENTOS!$D$4:$D$1000,B114,MOVIMIENTOS!$E$4:$E$1000,C114,MOVIMIENTOS!$B$4:$B$1000,"DE REPROCESO")+SUMIFS(MOVIMIENTOS!$F$4:$F$1000,MOVIMIENTOS!$C$4:$C$1000,A114,MOVIMIENTOS!$D$4:$D$1000,B114,MOVIMIENTOS!$E$4:$E$1000,C114,MOVIMIENTOS!$B$4:$B$1000,"AJUSTE+")-SUMIFS(MOVIMIENTOS!$F$4:$F$1000,MOVIMIENTOS!$C$4:$C$1000,A114,MOVIMIENTOS!$D$4:$D$1000,B114,MOVIMIENTOS!$E$4:$E$1000,C114,MOVIMIENTOS!$B$4:$B$1000,"A CORTE")-SUMIFS(MOVIMIENTOS!$F$4:$F$1000,MOVIMIENTOS!$C$4:$C$1000,A114,MOVIMIENTOS!$D$4:$D$1000,B114,MOVIMIENTOS!$E$4:$E$1000,C114,MOVIMIENTOS!$B$4:$B$1000,"A REPROCESO")-SUMIFS(MOVIMIENTOS!$F$4:$F$1000,MOVIMIENTOS!$C$4:$C$1000,A114,MOVIMIENTOS!$D$4:$D$1000,B114,MOVIMIENTOS!$E$4:$E$1000,C114,MOVIMIENTOS!$B$4:$B$1000,"MUESTRA")-SUMIFS(MOVIMIENTOS!$F$4:$F$1000,MOVIMIENTOS!$C$4:$C$1000,A114,MOVIMIENTOS!$D$4:$D$1000,B114,MOVIMIENTOS!$E$4:$E$1000,C114,MOVIMIENTOS!$B$4:$B$1000,"AJUSTE-"),0)</f>
        <v>7</v>
      </c>
      <c r="F114" s="101">
        <f>IFERROR(E114*VLOOKUP(B114,TELAS!$A$4:$C$32,3,FALSE()),0)</f>
        <v>140</v>
      </c>
      <c r="G114" s="102">
        <f>IFERROR(IF(D114="OSCURO",VLOOKUP(B114,PRECIOS!$A$4:$F$32,2,FALSE()),IF(D114="CLARO",VLOOKUP(B114,PRECIOS!$A$4:$F$32,3,FALSE()),IF(D114="MELANGE",VLOOKUP(B114,PRECIOS!$A$4:$F$32,4,FALSE()),IF(D114="PPT",VLOOKUP(B114,PRECIOS!$A$4:$F$32,5,FALSE()),0)))),0)</f>
        <v>21</v>
      </c>
      <c r="H114" s="103">
        <f t="shared" si="1"/>
        <v>2940</v>
      </c>
      <c r="I114" s="104" t="str">
        <f>IF(E114&lt;0,"ERROR",IF(E114=0,"",IF(E114&lt;CONFIG!$B$4,"CRÍTICO",IF(E114&lt;CONFIG!$B$5,"BAJO","OK"))))</f>
        <v>BAJO</v>
      </c>
    </row>
    <row r="115" ht="15.75" customHeight="1">
      <c r="A115" s="90" t="str">
        <f>IF(CLIENTES!A4="","",CLIENTES!A4)</f>
        <v>OverShark</v>
      </c>
      <c r="B115" s="67" t="str">
        <f>TELAS!A9</f>
        <v>rib 2x1 lycrado</v>
      </c>
      <c r="C115" s="67" t="str">
        <f>COLORES!A15</f>
        <v>Plomo</v>
      </c>
      <c r="D115" s="67" t="str">
        <f>COLORES!B15</f>
        <v>OSCURO</v>
      </c>
      <c r="E115" s="100">
        <f>IFERROR(SUMIFS(MOVIMIENTOS!$F$4:$F$1000,MOVIMIENTOS!$C$4:$C$1000,A115,MOVIMIENTOS!$D$4:$D$1000,B115,MOVIMIENTOS!$E$4:$E$1000,C115,MOVIMIENTOS!$B$4:$B$1000,"INGRESO")+SUMIFS(MOVIMIENTOS!$F$4:$F$1000,MOVIMIENTOS!$C$4:$C$1000,A115,MOVIMIENTOS!$D$4:$D$1000,B115,MOVIMIENTOS!$E$4:$E$1000,C115,MOVIMIENTOS!$B$4:$B$1000,"DE REPROCESO")+SUMIFS(MOVIMIENTOS!$F$4:$F$1000,MOVIMIENTOS!$C$4:$C$1000,A115,MOVIMIENTOS!$D$4:$D$1000,B115,MOVIMIENTOS!$E$4:$E$1000,C115,MOVIMIENTOS!$B$4:$B$1000,"AJUSTE+")-SUMIFS(MOVIMIENTOS!$F$4:$F$1000,MOVIMIENTOS!$C$4:$C$1000,A115,MOVIMIENTOS!$D$4:$D$1000,B115,MOVIMIENTOS!$E$4:$E$1000,C115,MOVIMIENTOS!$B$4:$B$1000,"A CORTE")-SUMIFS(MOVIMIENTOS!$F$4:$F$1000,MOVIMIENTOS!$C$4:$C$1000,A115,MOVIMIENTOS!$D$4:$D$1000,B115,MOVIMIENTOS!$E$4:$E$1000,C115,MOVIMIENTOS!$B$4:$B$1000,"A REPROCESO")-SUMIFS(MOVIMIENTOS!$F$4:$F$1000,MOVIMIENTOS!$C$4:$C$1000,A115,MOVIMIENTOS!$D$4:$D$1000,B115,MOVIMIENTOS!$E$4:$E$1000,C115,MOVIMIENTOS!$B$4:$B$1000,"MUESTRA")-SUMIFS(MOVIMIENTOS!$F$4:$F$1000,MOVIMIENTOS!$C$4:$C$1000,A115,MOVIMIENTOS!$D$4:$D$1000,B115,MOVIMIENTOS!$E$4:$E$1000,C115,MOVIMIENTOS!$B$4:$B$1000,"AJUSTE-"),0)</f>
        <v>8</v>
      </c>
      <c r="F115" s="101">
        <f>IFERROR(E115*VLOOKUP(B115,TELAS!$A$4:$C$32,3,FALSE()),0)</f>
        <v>160</v>
      </c>
      <c r="G115" s="102">
        <f>IFERROR(IF(D115="OSCURO",VLOOKUP(B115,PRECIOS!$A$4:$F$32,2,FALSE()),IF(D115="CLARO",VLOOKUP(B115,PRECIOS!$A$4:$F$32,3,FALSE()),IF(D115="MELANGE",VLOOKUP(B115,PRECIOS!$A$4:$F$32,4,FALSE()),IF(D115="PPT",VLOOKUP(B115,PRECIOS!$A$4:$F$32,5,FALSE()),0)))),0)</f>
        <v>24</v>
      </c>
      <c r="H115" s="103">
        <f t="shared" si="1"/>
        <v>3840</v>
      </c>
      <c r="I115" s="104" t="str">
        <f>IF(E115&lt;0,"ERROR",IF(E115=0,"",IF(E115&lt;CONFIG!$B$4,"CRÍTICO",IF(E115&lt;CONFIG!$B$5,"BAJO","OK"))))</f>
        <v>BAJO</v>
      </c>
    </row>
    <row r="116" ht="15.75" customHeight="1">
      <c r="A116" s="90" t="str">
        <f>IF(CLIENTES!A4="","",CLIENTES!A4)</f>
        <v>OverShark</v>
      </c>
      <c r="B116" s="67" t="str">
        <f>TELAS!A9</f>
        <v>rib 2x1 lycrado</v>
      </c>
      <c r="C116" s="67" t="str">
        <f>COLORES!A16</f>
        <v>Topo</v>
      </c>
      <c r="D116" s="67" t="str">
        <f>COLORES!B16</f>
        <v>CLARO</v>
      </c>
      <c r="E116" s="100">
        <f>IFERROR(SUMIFS(MOVIMIENTOS!$F$4:$F$1000,MOVIMIENTOS!$C$4:$C$1000,A116,MOVIMIENTOS!$D$4:$D$1000,B116,MOVIMIENTOS!$E$4:$E$1000,C116,MOVIMIENTOS!$B$4:$B$1000,"INGRESO")+SUMIFS(MOVIMIENTOS!$F$4:$F$1000,MOVIMIENTOS!$C$4:$C$1000,A116,MOVIMIENTOS!$D$4:$D$1000,B116,MOVIMIENTOS!$E$4:$E$1000,C116,MOVIMIENTOS!$B$4:$B$1000,"DE REPROCESO")+SUMIFS(MOVIMIENTOS!$F$4:$F$1000,MOVIMIENTOS!$C$4:$C$1000,A116,MOVIMIENTOS!$D$4:$D$1000,B116,MOVIMIENTOS!$E$4:$E$1000,C116,MOVIMIENTOS!$B$4:$B$1000,"AJUSTE+")-SUMIFS(MOVIMIENTOS!$F$4:$F$1000,MOVIMIENTOS!$C$4:$C$1000,A116,MOVIMIENTOS!$D$4:$D$1000,B116,MOVIMIENTOS!$E$4:$E$1000,C116,MOVIMIENTOS!$B$4:$B$1000,"A CORTE")-SUMIFS(MOVIMIENTOS!$F$4:$F$1000,MOVIMIENTOS!$C$4:$C$1000,A116,MOVIMIENTOS!$D$4:$D$1000,B116,MOVIMIENTOS!$E$4:$E$1000,C116,MOVIMIENTOS!$B$4:$B$1000,"A REPROCESO")-SUMIFS(MOVIMIENTOS!$F$4:$F$1000,MOVIMIENTOS!$C$4:$C$1000,A116,MOVIMIENTOS!$D$4:$D$1000,B116,MOVIMIENTOS!$E$4:$E$1000,C116,MOVIMIENTOS!$B$4:$B$1000,"MUESTRA")-SUMIFS(MOVIMIENTOS!$F$4:$F$1000,MOVIMIENTOS!$C$4:$C$1000,A116,MOVIMIENTOS!$D$4:$D$1000,B116,MOVIMIENTOS!$E$4:$E$1000,C116,MOVIMIENTOS!$B$4:$B$1000,"AJUSTE-"),0)</f>
        <v>0</v>
      </c>
      <c r="F116" s="101">
        <f>IFERROR(E116*VLOOKUP(B116,TELAS!$A$4:$C$32,3,FALSE()),0)</f>
        <v>0</v>
      </c>
      <c r="G116" s="102">
        <f>IFERROR(IF(D116="OSCURO",VLOOKUP(B116,PRECIOS!$A$4:$F$32,2,FALSE()),IF(D116="CLARO",VLOOKUP(B116,PRECIOS!$A$4:$F$32,3,FALSE()),IF(D116="MELANGE",VLOOKUP(B116,PRECIOS!$A$4:$F$32,4,FALSE()),IF(D116="PPT",VLOOKUP(B116,PRECIOS!$A$4:$F$32,5,FALSE()),0)))),0)</f>
        <v>21</v>
      </c>
      <c r="H116" s="103">
        <f t="shared" si="1"/>
        <v>0</v>
      </c>
      <c r="I116" s="104" t="str">
        <f>IF(E116&lt;0,"ERROR",IF(E116=0,"",IF(E116&lt;CONFIG!$B$4,"CRÍTICO",IF(E116&lt;CONFIG!$B$5,"BAJO","OK"))))</f>
        <v/>
      </c>
    </row>
    <row r="117" ht="15.75" customHeight="1">
      <c r="A117" s="90" t="str">
        <f>IF(CLIENTES!A4="","",CLIENTES!A4)</f>
        <v>OverShark</v>
      </c>
      <c r="B117" s="67" t="str">
        <f>TELAS!A9</f>
        <v>rib 2x1 lycrado</v>
      </c>
      <c r="C117" s="67" t="str">
        <f>COLORES!A17</f>
        <v>Vino</v>
      </c>
      <c r="D117" s="67" t="str">
        <f>COLORES!B17</f>
        <v>OSCURO</v>
      </c>
      <c r="E117" s="100">
        <f>IFERROR(SUMIFS(MOVIMIENTOS!$F$4:$F$1000,MOVIMIENTOS!$C$4:$C$1000,A117,MOVIMIENTOS!$D$4:$D$1000,B117,MOVIMIENTOS!$E$4:$E$1000,C117,MOVIMIENTOS!$B$4:$B$1000,"INGRESO")+SUMIFS(MOVIMIENTOS!$F$4:$F$1000,MOVIMIENTOS!$C$4:$C$1000,A117,MOVIMIENTOS!$D$4:$D$1000,B117,MOVIMIENTOS!$E$4:$E$1000,C117,MOVIMIENTOS!$B$4:$B$1000,"DE REPROCESO")+SUMIFS(MOVIMIENTOS!$F$4:$F$1000,MOVIMIENTOS!$C$4:$C$1000,A117,MOVIMIENTOS!$D$4:$D$1000,B117,MOVIMIENTOS!$E$4:$E$1000,C117,MOVIMIENTOS!$B$4:$B$1000,"AJUSTE+")-SUMIFS(MOVIMIENTOS!$F$4:$F$1000,MOVIMIENTOS!$C$4:$C$1000,A117,MOVIMIENTOS!$D$4:$D$1000,B117,MOVIMIENTOS!$E$4:$E$1000,C117,MOVIMIENTOS!$B$4:$B$1000,"A CORTE")-SUMIFS(MOVIMIENTOS!$F$4:$F$1000,MOVIMIENTOS!$C$4:$C$1000,A117,MOVIMIENTOS!$D$4:$D$1000,B117,MOVIMIENTOS!$E$4:$E$1000,C117,MOVIMIENTOS!$B$4:$B$1000,"A REPROCESO")-SUMIFS(MOVIMIENTOS!$F$4:$F$1000,MOVIMIENTOS!$C$4:$C$1000,A117,MOVIMIENTOS!$D$4:$D$1000,B117,MOVIMIENTOS!$E$4:$E$1000,C117,MOVIMIENTOS!$B$4:$B$1000,"MUESTRA")-SUMIFS(MOVIMIENTOS!$F$4:$F$1000,MOVIMIENTOS!$C$4:$C$1000,A117,MOVIMIENTOS!$D$4:$D$1000,B117,MOVIMIENTOS!$E$4:$E$1000,C117,MOVIMIENTOS!$B$4:$B$1000,"AJUSTE-"),0)</f>
        <v>7</v>
      </c>
      <c r="F117" s="101">
        <f>IFERROR(E117*VLOOKUP(B117,TELAS!$A$4:$C$32,3,FALSE()),0)</f>
        <v>140</v>
      </c>
      <c r="G117" s="102">
        <f>IFERROR(IF(D117="OSCURO",VLOOKUP(B117,PRECIOS!$A$4:$F$32,2,FALSE()),IF(D117="CLARO",VLOOKUP(B117,PRECIOS!$A$4:$F$32,3,FALSE()),IF(D117="MELANGE",VLOOKUP(B117,PRECIOS!$A$4:$F$32,4,FALSE()),IF(D117="PPT",VLOOKUP(B117,PRECIOS!$A$4:$F$32,5,FALSE()),0)))),0)</f>
        <v>24</v>
      </c>
      <c r="H117" s="103">
        <f t="shared" si="1"/>
        <v>3360</v>
      </c>
      <c r="I117" s="104" t="str">
        <f>IF(E117&lt;0,"ERROR",IF(E117=0,"",IF(E117&lt;CONFIG!$B$4,"CRÍTICO",IF(E117&lt;CONFIG!$B$5,"BAJO","OK"))))</f>
        <v>BAJO</v>
      </c>
    </row>
    <row r="118" ht="15.75" customHeight="1">
      <c r="A118" s="90" t="str">
        <f>IF(CLIENTES!A4="","",CLIENTES!A4)</f>
        <v>OverShark</v>
      </c>
      <c r="B118" s="67" t="str">
        <f>TELAS!A9</f>
        <v>rib 2x1 lycrado</v>
      </c>
      <c r="C118" s="67" t="str">
        <f>COLORES!A18</f>
        <v>P. Rosa</v>
      </c>
      <c r="D118" s="67" t="str">
        <f>COLORES!B18</f>
        <v>CLARO</v>
      </c>
      <c r="E118" s="100">
        <f>IFERROR(SUMIFS(MOVIMIENTOS!$F$4:$F$1000,MOVIMIENTOS!$C$4:$C$1000,A118,MOVIMIENTOS!$D$4:$D$1000,B118,MOVIMIENTOS!$E$4:$E$1000,C118,MOVIMIENTOS!$B$4:$B$1000,"INGRESO")+SUMIFS(MOVIMIENTOS!$F$4:$F$1000,MOVIMIENTOS!$C$4:$C$1000,A118,MOVIMIENTOS!$D$4:$D$1000,B118,MOVIMIENTOS!$E$4:$E$1000,C118,MOVIMIENTOS!$B$4:$B$1000,"DE REPROCESO")+SUMIFS(MOVIMIENTOS!$F$4:$F$1000,MOVIMIENTOS!$C$4:$C$1000,A118,MOVIMIENTOS!$D$4:$D$1000,B118,MOVIMIENTOS!$E$4:$E$1000,C118,MOVIMIENTOS!$B$4:$B$1000,"AJUSTE+")-SUMIFS(MOVIMIENTOS!$F$4:$F$1000,MOVIMIENTOS!$C$4:$C$1000,A118,MOVIMIENTOS!$D$4:$D$1000,B118,MOVIMIENTOS!$E$4:$E$1000,C118,MOVIMIENTOS!$B$4:$B$1000,"A CORTE")-SUMIFS(MOVIMIENTOS!$F$4:$F$1000,MOVIMIENTOS!$C$4:$C$1000,A118,MOVIMIENTOS!$D$4:$D$1000,B118,MOVIMIENTOS!$E$4:$E$1000,C118,MOVIMIENTOS!$B$4:$B$1000,"A REPROCESO")-SUMIFS(MOVIMIENTOS!$F$4:$F$1000,MOVIMIENTOS!$C$4:$C$1000,A118,MOVIMIENTOS!$D$4:$D$1000,B118,MOVIMIENTOS!$E$4:$E$1000,C118,MOVIMIENTOS!$B$4:$B$1000,"MUESTRA")-SUMIFS(MOVIMIENTOS!$F$4:$F$1000,MOVIMIENTOS!$C$4:$C$1000,A118,MOVIMIENTOS!$D$4:$D$1000,B118,MOVIMIENTOS!$E$4:$E$1000,C118,MOVIMIENTOS!$B$4:$B$1000,"AJUSTE-"),0)</f>
        <v>5</v>
      </c>
      <c r="F118" s="101">
        <f>IFERROR(E118*VLOOKUP(B118,TELAS!$A$4:$C$32,3,FALSE()),0)</f>
        <v>100</v>
      </c>
      <c r="G118" s="102">
        <f>IFERROR(IF(D118="OSCURO",VLOOKUP(B118,PRECIOS!$A$4:$F$32,2,FALSE()),IF(D118="CLARO",VLOOKUP(B118,PRECIOS!$A$4:$F$32,3,FALSE()),IF(D118="MELANGE",VLOOKUP(B118,PRECIOS!$A$4:$F$32,4,FALSE()),IF(D118="PPT",VLOOKUP(B118,PRECIOS!$A$4:$F$32,5,FALSE()),0)))),0)</f>
        <v>21</v>
      </c>
      <c r="H118" s="103">
        <f t="shared" si="1"/>
        <v>2100</v>
      </c>
      <c r="I118" s="104" t="str">
        <f>IF(E118&lt;0,"ERROR",IF(E118=0,"",IF(E118&lt;CONFIG!$B$4,"CRÍTICO",IF(E118&lt;CONFIG!$B$5,"BAJO","OK"))))</f>
        <v>BAJO</v>
      </c>
    </row>
    <row r="119" ht="15.75" customHeight="1">
      <c r="A119" s="90" t="str">
        <f>IF(CLIENTES!A4="","",CLIENTES!A4)</f>
        <v>OverShark</v>
      </c>
      <c r="B119" s="67" t="str">
        <f>TELAS!A9</f>
        <v>rib 2x1 lycrado</v>
      </c>
      <c r="C119" s="67" t="str">
        <f>COLORES!A19</f>
        <v/>
      </c>
      <c r="D119" s="67" t="str">
        <f>COLORES!B19</f>
        <v/>
      </c>
      <c r="E119" s="100">
        <f>IFERROR(SUMIFS(MOVIMIENTOS!$F$4:$F$1000,MOVIMIENTOS!$C$4:$C$1000,A119,MOVIMIENTOS!$D$4:$D$1000,B119,MOVIMIENTOS!$E$4:$E$1000,C119,MOVIMIENTOS!$B$4:$B$1000,"INGRESO")+SUMIFS(MOVIMIENTOS!$F$4:$F$1000,MOVIMIENTOS!$C$4:$C$1000,A119,MOVIMIENTOS!$D$4:$D$1000,B119,MOVIMIENTOS!$E$4:$E$1000,C119,MOVIMIENTOS!$B$4:$B$1000,"DE REPROCESO")+SUMIFS(MOVIMIENTOS!$F$4:$F$1000,MOVIMIENTOS!$C$4:$C$1000,A119,MOVIMIENTOS!$D$4:$D$1000,B119,MOVIMIENTOS!$E$4:$E$1000,C119,MOVIMIENTOS!$B$4:$B$1000,"AJUSTE+")-SUMIFS(MOVIMIENTOS!$F$4:$F$1000,MOVIMIENTOS!$C$4:$C$1000,A119,MOVIMIENTOS!$D$4:$D$1000,B119,MOVIMIENTOS!$E$4:$E$1000,C119,MOVIMIENTOS!$B$4:$B$1000,"A CORTE")-SUMIFS(MOVIMIENTOS!$F$4:$F$1000,MOVIMIENTOS!$C$4:$C$1000,A119,MOVIMIENTOS!$D$4:$D$1000,B119,MOVIMIENTOS!$E$4:$E$1000,C119,MOVIMIENTOS!$B$4:$B$1000,"A REPROCESO")-SUMIFS(MOVIMIENTOS!$F$4:$F$1000,MOVIMIENTOS!$C$4:$C$1000,A119,MOVIMIENTOS!$D$4:$D$1000,B119,MOVIMIENTOS!$E$4:$E$1000,C119,MOVIMIENTOS!$B$4:$B$1000,"MUESTRA")-SUMIFS(MOVIMIENTOS!$F$4:$F$1000,MOVIMIENTOS!$C$4:$C$1000,A119,MOVIMIENTOS!$D$4:$D$1000,B119,MOVIMIENTOS!$E$4:$E$1000,C119,MOVIMIENTOS!$B$4:$B$1000,"AJUSTE-"),0)</f>
        <v>0</v>
      </c>
      <c r="F119" s="101">
        <f>IFERROR(E119*VLOOKUP(B119,TELAS!$A$4:$C$32,3,FALSE()),0)</f>
        <v>0</v>
      </c>
      <c r="G119" s="102">
        <f>IFERROR(IF(D119="OSCURO",VLOOKUP(B119,PRECIOS!$A$4:$F$32,2,FALSE()),IF(D119="CLARO",VLOOKUP(B119,PRECIOS!$A$4:$F$32,3,FALSE()),IF(D119="MELANGE",VLOOKUP(B119,PRECIOS!$A$4:$F$32,4,FALSE()),IF(D119="PPT",VLOOKUP(B119,PRECIOS!$A$4:$F$32,5,FALSE()),0)))),0)</f>
        <v>0</v>
      </c>
      <c r="H119" s="103">
        <f t="shared" si="1"/>
        <v>0</v>
      </c>
      <c r="I119" s="104" t="str">
        <f>IF(E119&lt;0,"ERROR",IF(E119=0,"",IF(E119&lt;CONFIG!$B$4,"CRÍTICO",IF(E119&lt;CONFIG!$B$5,"BAJO","OK"))))</f>
        <v/>
      </c>
    </row>
    <row r="120" ht="15.75" customHeight="1">
      <c r="A120" s="90" t="str">
        <f>IF(CLIENTES!A4="","",CLIENTES!A4)</f>
        <v>OverShark</v>
      </c>
      <c r="B120" s="67" t="str">
        <f>TELAS!A9</f>
        <v>rib 2x1 lycrado</v>
      </c>
      <c r="C120" s="67" t="str">
        <f>COLORES!A20</f>
        <v/>
      </c>
      <c r="D120" s="67" t="str">
        <f>COLORES!B20</f>
        <v/>
      </c>
      <c r="E120" s="100">
        <f>IFERROR(SUMIFS(MOVIMIENTOS!$F$4:$F$1000,MOVIMIENTOS!$C$4:$C$1000,A120,MOVIMIENTOS!$D$4:$D$1000,B120,MOVIMIENTOS!$E$4:$E$1000,C120,MOVIMIENTOS!$B$4:$B$1000,"INGRESO")+SUMIFS(MOVIMIENTOS!$F$4:$F$1000,MOVIMIENTOS!$C$4:$C$1000,A120,MOVIMIENTOS!$D$4:$D$1000,B120,MOVIMIENTOS!$E$4:$E$1000,C120,MOVIMIENTOS!$B$4:$B$1000,"DE REPROCESO")+SUMIFS(MOVIMIENTOS!$F$4:$F$1000,MOVIMIENTOS!$C$4:$C$1000,A120,MOVIMIENTOS!$D$4:$D$1000,B120,MOVIMIENTOS!$E$4:$E$1000,C120,MOVIMIENTOS!$B$4:$B$1000,"AJUSTE+")-SUMIFS(MOVIMIENTOS!$F$4:$F$1000,MOVIMIENTOS!$C$4:$C$1000,A120,MOVIMIENTOS!$D$4:$D$1000,B120,MOVIMIENTOS!$E$4:$E$1000,C120,MOVIMIENTOS!$B$4:$B$1000,"A CORTE")-SUMIFS(MOVIMIENTOS!$F$4:$F$1000,MOVIMIENTOS!$C$4:$C$1000,A120,MOVIMIENTOS!$D$4:$D$1000,B120,MOVIMIENTOS!$E$4:$E$1000,C120,MOVIMIENTOS!$B$4:$B$1000,"A REPROCESO")-SUMIFS(MOVIMIENTOS!$F$4:$F$1000,MOVIMIENTOS!$C$4:$C$1000,A120,MOVIMIENTOS!$D$4:$D$1000,B120,MOVIMIENTOS!$E$4:$E$1000,C120,MOVIMIENTOS!$B$4:$B$1000,"MUESTRA")-SUMIFS(MOVIMIENTOS!$F$4:$F$1000,MOVIMIENTOS!$C$4:$C$1000,A120,MOVIMIENTOS!$D$4:$D$1000,B120,MOVIMIENTOS!$E$4:$E$1000,C120,MOVIMIENTOS!$B$4:$B$1000,"AJUSTE-"),0)</f>
        <v>0</v>
      </c>
      <c r="F120" s="101">
        <f>IFERROR(E120*VLOOKUP(B120,TELAS!$A$4:$C$32,3,FALSE()),0)</f>
        <v>0</v>
      </c>
      <c r="G120" s="102">
        <f>IFERROR(IF(D120="OSCURO",VLOOKUP(B120,PRECIOS!$A$4:$F$32,2,FALSE()),IF(D120="CLARO",VLOOKUP(B120,PRECIOS!$A$4:$F$32,3,FALSE()),IF(D120="MELANGE",VLOOKUP(B120,PRECIOS!$A$4:$F$32,4,FALSE()),IF(D120="PPT",VLOOKUP(B120,PRECIOS!$A$4:$F$32,5,FALSE()),0)))),0)</f>
        <v>0</v>
      </c>
      <c r="H120" s="103">
        <f t="shared" si="1"/>
        <v>0</v>
      </c>
      <c r="I120" s="104" t="str">
        <f>IF(E120&lt;0,"ERROR",IF(E120=0,"",IF(E120&lt;CONFIG!$B$4,"CRÍTICO",IF(E120&lt;CONFIG!$B$5,"BAJO","OK"))))</f>
        <v/>
      </c>
    </row>
    <row r="121" ht="15.75" customHeight="1">
      <c r="A121" s="90" t="str">
        <f>IF(CLIENTES!A4="","",CLIENTES!A4)</f>
        <v>OverShark</v>
      </c>
      <c r="B121" s="67" t="str">
        <f>TELAS!A9</f>
        <v>rib 2x1 lycrado</v>
      </c>
      <c r="C121" s="67" t="str">
        <f>COLORES!A21</f>
        <v/>
      </c>
      <c r="D121" s="67" t="str">
        <f>COLORES!B21</f>
        <v/>
      </c>
      <c r="E121" s="100">
        <f>IFERROR(SUMIFS(MOVIMIENTOS!$F$4:$F$1000,MOVIMIENTOS!$C$4:$C$1000,A121,MOVIMIENTOS!$D$4:$D$1000,B121,MOVIMIENTOS!$E$4:$E$1000,C121,MOVIMIENTOS!$B$4:$B$1000,"INGRESO")+SUMIFS(MOVIMIENTOS!$F$4:$F$1000,MOVIMIENTOS!$C$4:$C$1000,A121,MOVIMIENTOS!$D$4:$D$1000,B121,MOVIMIENTOS!$E$4:$E$1000,C121,MOVIMIENTOS!$B$4:$B$1000,"DE REPROCESO")+SUMIFS(MOVIMIENTOS!$F$4:$F$1000,MOVIMIENTOS!$C$4:$C$1000,A121,MOVIMIENTOS!$D$4:$D$1000,B121,MOVIMIENTOS!$E$4:$E$1000,C121,MOVIMIENTOS!$B$4:$B$1000,"AJUSTE+")-SUMIFS(MOVIMIENTOS!$F$4:$F$1000,MOVIMIENTOS!$C$4:$C$1000,A121,MOVIMIENTOS!$D$4:$D$1000,B121,MOVIMIENTOS!$E$4:$E$1000,C121,MOVIMIENTOS!$B$4:$B$1000,"A CORTE")-SUMIFS(MOVIMIENTOS!$F$4:$F$1000,MOVIMIENTOS!$C$4:$C$1000,A121,MOVIMIENTOS!$D$4:$D$1000,B121,MOVIMIENTOS!$E$4:$E$1000,C121,MOVIMIENTOS!$B$4:$B$1000,"A REPROCESO")-SUMIFS(MOVIMIENTOS!$F$4:$F$1000,MOVIMIENTOS!$C$4:$C$1000,A121,MOVIMIENTOS!$D$4:$D$1000,B121,MOVIMIENTOS!$E$4:$E$1000,C121,MOVIMIENTOS!$B$4:$B$1000,"MUESTRA")-SUMIFS(MOVIMIENTOS!$F$4:$F$1000,MOVIMIENTOS!$C$4:$C$1000,A121,MOVIMIENTOS!$D$4:$D$1000,B121,MOVIMIENTOS!$E$4:$E$1000,C121,MOVIMIENTOS!$B$4:$B$1000,"AJUSTE-"),0)</f>
        <v>0</v>
      </c>
      <c r="F121" s="101">
        <f>IFERROR(E121*VLOOKUP(B121,TELAS!$A$4:$C$32,3,FALSE()),0)</f>
        <v>0</v>
      </c>
      <c r="G121" s="102">
        <f>IFERROR(IF(D121="OSCURO",VLOOKUP(B121,PRECIOS!$A$4:$F$32,2,FALSE()),IF(D121="CLARO",VLOOKUP(B121,PRECIOS!$A$4:$F$32,3,FALSE()),IF(D121="MELANGE",VLOOKUP(B121,PRECIOS!$A$4:$F$32,4,FALSE()),IF(D121="PPT",VLOOKUP(B121,PRECIOS!$A$4:$F$32,5,FALSE()),0)))),0)</f>
        <v>0</v>
      </c>
      <c r="H121" s="103">
        <f t="shared" si="1"/>
        <v>0</v>
      </c>
      <c r="I121" s="104" t="str">
        <f>IF(E121&lt;0,"ERROR",IF(E121=0,"",IF(E121&lt;CONFIG!$B$4,"CRÍTICO",IF(E121&lt;CONFIG!$B$5,"BAJO","OK"))))</f>
        <v/>
      </c>
    </row>
    <row r="122" ht="15.75" customHeight="1">
      <c r="A122" s="90" t="str">
        <f>IF(CLIENTES!A4="","",CLIENTES!A4)</f>
        <v>OverShark</v>
      </c>
      <c r="B122" s="67" t="str">
        <f>TELAS!A9</f>
        <v>rib 2x1 lycrado</v>
      </c>
      <c r="C122" s="67" t="str">
        <f>COLORES!A22</f>
        <v/>
      </c>
      <c r="D122" s="67" t="str">
        <f>COLORES!B22</f>
        <v/>
      </c>
      <c r="E122" s="100">
        <f>IFERROR(SUMIFS(MOVIMIENTOS!$F$4:$F$1000,MOVIMIENTOS!$C$4:$C$1000,A122,MOVIMIENTOS!$D$4:$D$1000,B122,MOVIMIENTOS!$E$4:$E$1000,C122,MOVIMIENTOS!$B$4:$B$1000,"INGRESO")+SUMIFS(MOVIMIENTOS!$F$4:$F$1000,MOVIMIENTOS!$C$4:$C$1000,A122,MOVIMIENTOS!$D$4:$D$1000,B122,MOVIMIENTOS!$E$4:$E$1000,C122,MOVIMIENTOS!$B$4:$B$1000,"DE REPROCESO")+SUMIFS(MOVIMIENTOS!$F$4:$F$1000,MOVIMIENTOS!$C$4:$C$1000,A122,MOVIMIENTOS!$D$4:$D$1000,B122,MOVIMIENTOS!$E$4:$E$1000,C122,MOVIMIENTOS!$B$4:$B$1000,"AJUSTE+")-SUMIFS(MOVIMIENTOS!$F$4:$F$1000,MOVIMIENTOS!$C$4:$C$1000,A122,MOVIMIENTOS!$D$4:$D$1000,B122,MOVIMIENTOS!$E$4:$E$1000,C122,MOVIMIENTOS!$B$4:$B$1000,"A CORTE")-SUMIFS(MOVIMIENTOS!$F$4:$F$1000,MOVIMIENTOS!$C$4:$C$1000,A122,MOVIMIENTOS!$D$4:$D$1000,B122,MOVIMIENTOS!$E$4:$E$1000,C122,MOVIMIENTOS!$B$4:$B$1000,"A REPROCESO")-SUMIFS(MOVIMIENTOS!$F$4:$F$1000,MOVIMIENTOS!$C$4:$C$1000,A122,MOVIMIENTOS!$D$4:$D$1000,B122,MOVIMIENTOS!$E$4:$E$1000,C122,MOVIMIENTOS!$B$4:$B$1000,"MUESTRA")-SUMIFS(MOVIMIENTOS!$F$4:$F$1000,MOVIMIENTOS!$C$4:$C$1000,A122,MOVIMIENTOS!$D$4:$D$1000,B122,MOVIMIENTOS!$E$4:$E$1000,C122,MOVIMIENTOS!$B$4:$B$1000,"AJUSTE-"),0)</f>
        <v>0</v>
      </c>
      <c r="F122" s="101">
        <f>IFERROR(E122*VLOOKUP(B122,TELAS!$A$4:$C$32,3,FALSE()),0)</f>
        <v>0</v>
      </c>
      <c r="G122" s="102">
        <f>IFERROR(IF(D122="OSCURO",VLOOKUP(B122,PRECIOS!$A$4:$F$32,2,FALSE()),IF(D122="CLARO",VLOOKUP(B122,PRECIOS!$A$4:$F$32,3,FALSE()),IF(D122="MELANGE",VLOOKUP(B122,PRECIOS!$A$4:$F$32,4,FALSE()),IF(D122="PPT",VLOOKUP(B122,PRECIOS!$A$4:$F$32,5,FALSE()),0)))),0)</f>
        <v>0</v>
      </c>
      <c r="H122" s="103">
        <f t="shared" si="1"/>
        <v>0</v>
      </c>
      <c r="I122" s="104" t="str">
        <f>IF(E122&lt;0,"ERROR",IF(E122=0,"",IF(E122&lt;CONFIG!$B$4,"CRÍTICO",IF(E122&lt;CONFIG!$B$5,"BAJO","OK"))))</f>
        <v/>
      </c>
    </row>
    <row r="123" ht="15.75" customHeight="1">
      <c r="A123" s="90" t="str">
        <f>IF(CLIENTES!A4="","",CLIENTES!A4)</f>
        <v>OverShark</v>
      </c>
      <c r="B123" s="67" t="str">
        <f>TELAS!A9</f>
        <v>rib 2x1 lycrado</v>
      </c>
      <c r="C123" s="67" t="str">
        <f>COLORES!A23</f>
        <v/>
      </c>
      <c r="D123" s="67" t="str">
        <f>COLORES!B23</f>
        <v/>
      </c>
      <c r="E123" s="100">
        <f>IFERROR(SUMIFS(MOVIMIENTOS!$F$4:$F$1000,MOVIMIENTOS!$C$4:$C$1000,A123,MOVIMIENTOS!$D$4:$D$1000,B123,MOVIMIENTOS!$E$4:$E$1000,C123,MOVIMIENTOS!$B$4:$B$1000,"INGRESO")+SUMIFS(MOVIMIENTOS!$F$4:$F$1000,MOVIMIENTOS!$C$4:$C$1000,A123,MOVIMIENTOS!$D$4:$D$1000,B123,MOVIMIENTOS!$E$4:$E$1000,C123,MOVIMIENTOS!$B$4:$B$1000,"DE REPROCESO")+SUMIFS(MOVIMIENTOS!$F$4:$F$1000,MOVIMIENTOS!$C$4:$C$1000,A123,MOVIMIENTOS!$D$4:$D$1000,B123,MOVIMIENTOS!$E$4:$E$1000,C123,MOVIMIENTOS!$B$4:$B$1000,"AJUSTE+")-SUMIFS(MOVIMIENTOS!$F$4:$F$1000,MOVIMIENTOS!$C$4:$C$1000,A123,MOVIMIENTOS!$D$4:$D$1000,B123,MOVIMIENTOS!$E$4:$E$1000,C123,MOVIMIENTOS!$B$4:$B$1000,"A CORTE")-SUMIFS(MOVIMIENTOS!$F$4:$F$1000,MOVIMIENTOS!$C$4:$C$1000,A123,MOVIMIENTOS!$D$4:$D$1000,B123,MOVIMIENTOS!$E$4:$E$1000,C123,MOVIMIENTOS!$B$4:$B$1000,"A REPROCESO")-SUMIFS(MOVIMIENTOS!$F$4:$F$1000,MOVIMIENTOS!$C$4:$C$1000,A123,MOVIMIENTOS!$D$4:$D$1000,B123,MOVIMIENTOS!$E$4:$E$1000,C123,MOVIMIENTOS!$B$4:$B$1000,"MUESTRA")-SUMIFS(MOVIMIENTOS!$F$4:$F$1000,MOVIMIENTOS!$C$4:$C$1000,A123,MOVIMIENTOS!$D$4:$D$1000,B123,MOVIMIENTOS!$E$4:$E$1000,C123,MOVIMIENTOS!$B$4:$B$1000,"AJUSTE-"),0)</f>
        <v>0</v>
      </c>
      <c r="F123" s="101">
        <f>IFERROR(E123*VLOOKUP(B123,TELAS!$A$4:$C$32,3,FALSE()),0)</f>
        <v>0</v>
      </c>
      <c r="G123" s="102">
        <f>IFERROR(IF(D123="OSCURO",VLOOKUP(B123,PRECIOS!$A$4:$F$32,2,FALSE()),IF(D123="CLARO",VLOOKUP(B123,PRECIOS!$A$4:$F$32,3,FALSE()),IF(D123="MELANGE",VLOOKUP(B123,PRECIOS!$A$4:$F$32,4,FALSE()),IF(D123="PPT",VLOOKUP(B123,PRECIOS!$A$4:$F$32,5,FALSE()),0)))),0)</f>
        <v>0</v>
      </c>
      <c r="H123" s="103">
        <f t="shared" si="1"/>
        <v>0</v>
      </c>
      <c r="I123" s="104" t="str">
        <f>IF(E123&lt;0,"ERROR",IF(E123=0,"",IF(E123&lt;CONFIG!$B$4,"CRÍTICO",IF(E123&lt;CONFIG!$B$5,"BAJO","OK"))))</f>
        <v/>
      </c>
    </row>
    <row r="124" ht="15.75" customHeight="1">
      <c r="A124" s="90" t="str">
        <f>IF(CLIENTES!A4="","",CLIENTES!A4)</f>
        <v>OverShark</v>
      </c>
      <c r="B124" s="67" t="str">
        <f>TELAS!A10</f>
        <v>jersey full lycra 30/1</v>
      </c>
      <c r="C124" s="67" t="str">
        <f>COLORES!A4</f>
        <v>Negro</v>
      </c>
      <c r="D124" s="67" t="str">
        <f>COLORES!B4</f>
        <v>OSCURO</v>
      </c>
      <c r="E124" s="100">
        <f>IFERROR(SUMIFS(MOVIMIENTOS!$F$4:$F$1000,MOVIMIENTOS!$C$4:$C$1000,A124,MOVIMIENTOS!$D$4:$D$1000,B124,MOVIMIENTOS!$E$4:$E$1000,C124,MOVIMIENTOS!$B$4:$B$1000,"INGRESO")+SUMIFS(MOVIMIENTOS!$F$4:$F$1000,MOVIMIENTOS!$C$4:$C$1000,A124,MOVIMIENTOS!$D$4:$D$1000,B124,MOVIMIENTOS!$E$4:$E$1000,C124,MOVIMIENTOS!$B$4:$B$1000,"DE REPROCESO")+SUMIFS(MOVIMIENTOS!$F$4:$F$1000,MOVIMIENTOS!$C$4:$C$1000,A124,MOVIMIENTOS!$D$4:$D$1000,B124,MOVIMIENTOS!$E$4:$E$1000,C124,MOVIMIENTOS!$B$4:$B$1000,"AJUSTE+")-SUMIFS(MOVIMIENTOS!$F$4:$F$1000,MOVIMIENTOS!$C$4:$C$1000,A124,MOVIMIENTOS!$D$4:$D$1000,B124,MOVIMIENTOS!$E$4:$E$1000,C124,MOVIMIENTOS!$B$4:$B$1000,"A CORTE")-SUMIFS(MOVIMIENTOS!$F$4:$F$1000,MOVIMIENTOS!$C$4:$C$1000,A124,MOVIMIENTOS!$D$4:$D$1000,B124,MOVIMIENTOS!$E$4:$E$1000,C124,MOVIMIENTOS!$B$4:$B$1000,"A REPROCESO")-SUMIFS(MOVIMIENTOS!$F$4:$F$1000,MOVIMIENTOS!$C$4:$C$1000,A124,MOVIMIENTOS!$D$4:$D$1000,B124,MOVIMIENTOS!$E$4:$E$1000,C124,MOVIMIENTOS!$B$4:$B$1000,"MUESTRA")-SUMIFS(MOVIMIENTOS!$F$4:$F$1000,MOVIMIENTOS!$C$4:$C$1000,A124,MOVIMIENTOS!$D$4:$D$1000,B124,MOVIMIENTOS!$E$4:$E$1000,C124,MOVIMIENTOS!$B$4:$B$1000,"AJUSTE-"),0)</f>
        <v>32</v>
      </c>
      <c r="F124" s="101">
        <f>IFERROR(E124*VLOOKUP(B124,TELAS!$A$4:$C$32,3,FALSE()),0)</f>
        <v>640</v>
      </c>
      <c r="G124" s="102">
        <f>IFERROR(IF(D124="OSCURO",VLOOKUP(B124,PRECIOS!$A$4:$F$32,2,FALSE()),IF(D124="CLARO",VLOOKUP(B124,PRECIOS!$A$4:$F$32,3,FALSE()),IF(D124="MELANGE",VLOOKUP(B124,PRECIOS!$A$4:$F$32,4,FALSE()),IF(D124="PPT",VLOOKUP(B124,PRECIOS!$A$4:$F$32,5,FALSE()),0)))),0)</f>
        <v>26</v>
      </c>
      <c r="H124" s="103">
        <f t="shared" si="1"/>
        <v>16640</v>
      </c>
      <c r="I124" s="104" t="str">
        <f>IF(E124&lt;0,"ERROR",IF(E124=0,"",IF(E124&lt;CONFIG!$B$4,"CRÍTICO",IF(E124&lt;CONFIG!$B$5,"BAJO","OK"))))</f>
        <v>OK</v>
      </c>
    </row>
    <row r="125" ht="15.75" customHeight="1">
      <c r="A125" s="90" t="str">
        <f>IF(CLIENTES!A4="","",CLIENTES!A4)</f>
        <v>OverShark</v>
      </c>
      <c r="B125" s="67" t="str">
        <f>TELAS!A10</f>
        <v>jersey full lycra 30/1</v>
      </c>
      <c r="C125" s="67" t="str">
        <f>COLORES!A5</f>
        <v>Perla</v>
      </c>
      <c r="D125" s="67" t="str">
        <f>COLORES!B5</f>
        <v>PPT</v>
      </c>
      <c r="E125" s="100">
        <f>IFERROR(SUMIFS(MOVIMIENTOS!$F$4:$F$1000,MOVIMIENTOS!$C$4:$C$1000,A125,MOVIMIENTOS!$D$4:$D$1000,B125,MOVIMIENTOS!$E$4:$E$1000,C125,MOVIMIENTOS!$B$4:$B$1000,"INGRESO")+SUMIFS(MOVIMIENTOS!$F$4:$F$1000,MOVIMIENTOS!$C$4:$C$1000,A125,MOVIMIENTOS!$D$4:$D$1000,B125,MOVIMIENTOS!$E$4:$E$1000,C125,MOVIMIENTOS!$B$4:$B$1000,"DE REPROCESO")+SUMIFS(MOVIMIENTOS!$F$4:$F$1000,MOVIMIENTOS!$C$4:$C$1000,A125,MOVIMIENTOS!$D$4:$D$1000,B125,MOVIMIENTOS!$E$4:$E$1000,C125,MOVIMIENTOS!$B$4:$B$1000,"AJUSTE+")-SUMIFS(MOVIMIENTOS!$F$4:$F$1000,MOVIMIENTOS!$C$4:$C$1000,A125,MOVIMIENTOS!$D$4:$D$1000,B125,MOVIMIENTOS!$E$4:$E$1000,C125,MOVIMIENTOS!$B$4:$B$1000,"A CORTE")-SUMIFS(MOVIMIENTOS!$F$4:$F$1000,MOVIMIENTOS!$C$4:$C$1000,A125,MOVIMIENTOS!$D$4:$D$1000,B125,MOVIMIENTOS!$E$4:$E$1000,C125,MOVIMIENTOS!$B$4:$B$1000,"A REPROCESO")-SUMIFS(MOVIMIENTOS!$F$4:$F$1000,MOVIMIENTOS!$C$4:$C$1000,A125,MOVIMIENTOS!$D$4:$D$1000,B125,MOVIMIENTOS!$E$4:$E$1000,C125,MOVIMIENTOS!$B$4:$B$1000,"MUESTRA")-SUMIFS(MOVIMIENTOS!$F$4:$F$1000,MOVIMIENTOS!$C$4:$C$1000,A125,MOVIMIENTOS!$D$4:$D$1000,B125,MOVIMIENTOS!$E$4:$E$1000,C125,MOVIMIENTOS!$B$4:$B$1000,"AJUSTE-"),0)</f>
        <v>8</v>
      </c>
      <c r="F125" s="101">
        <f>IFERROR(E125*VLOOKUP(B125,TELAS!$A$4:$C$32,3,FALSE()),0)</f>
        <v>160</v>
      </c>
      <c r="G125" s="102">
        <f>IFERROR(IF(D125="OSCURO",VLOOKUP(B125,PRECIOS!$A$4:$F$32,2,FALSE()),IF(D125="CLARO",VLOOKUP(B125,PRECIOS!$A$4:$F$32,3,FALSE()),IF(D125="MELANGE",VLOOKUP(B125,PRECIOS!$A$4:$F$32,4,FALSE()),IF(D125="PPT",VLOOKUP(B125,PRECIOS!$A$4:$F$32,5,FALSE()),0)))),0)</f>
        <v>19</v>
      </c>
      <c r="H125" s="103">
        <f t="shared" si="1"/>
        <v>3040</v>
      </c>
      <c r="I125" s="104" t="str">
        <f>IF(E125&lt;0,"ERROR",IF(E125=0,"",IF(E125&lt;CONFIG!$B$4,"CRÍTICO",IF(E125&lt;CONFIG!$B$5,"BAJO","OK"))))</f>
        <v>BAJO</v>
      </c>
    </row>
    <row r="126" ht="15.75" customHeight="1">
      <c r="A126" s="90" t="str">
        <f>IF(CLIENTES!A4="","",CLIENTES!A4)</f>
        <v>OverShark</v>
      </c>
      <c r="B126" s="67" t="str">
        <f>TELAS!A10</f>
        <v>jersey full lycra 30/1</v>
      </c>
      <c r="C126" s="67" t="str">
        <f>COLORES!A6</f>
        <v>Blanco</v>
      </c>
      <c r="D126" s="67" t="str">
        <f>COLORES!B6</f>
        <v>PPT</v>
      </c>
      <c r="E126" s="100">
        <f>IFERROR(SUMIFS(MOVIMIENTOS!$F$4:$F$1000,MOVIMIENTOS!$C$4:$C$1000,A126,MOVIMIENTOS!$D$4:$D$1000,B126,MOVIMIENTOS!$E$4:$E$1000,C126,MOVIMIENTOS!$B$4:$B$1000,"INGRESO")+SUMIFS(MOVIMIENTOS!$F$4:$F$1000,MOVIMIENTOS!$C$4:$C$1000,A126,MOVIMIENTOS!$D$4:$D$1000,B126,MOVIMIENTOS!$E$4:$E$1000,C126,MOVIMIENTOS!$B$4:$B$1000,"DE REPROCESO")+SUMIFS(MOVIMIENTOS!$F$4:$F$1000,MOVIMIENTOS!$C$4:$C$1000,A126,MOVIMIENTOS!$D$4:$D$1000,B126,MOVIMIENTOS!$E$4:$E$1000,C126,MOVIMIENTOS!$B$4:$B$1000,"AJUSTE+")-SUMIFS(MOVIMIENTOS!$F$4:$F$1000,MOVIMIENTOS!$C$4:$C$1000,A126,MOVIMIENTOS!$D$4:$D$1000,B126,MOVIMIENTOS!$E$4:$E$1000,C126,MOVIMIENTOS!$B$4:$B$1000,"A CORTE")-SUMIFS(MOVIMIENTOS!$F$4:$F$1000,MOVIMIENTOS!$C$4:$C$1000,A126,MOVIMIENTOS!$D$4:$D$1000,B126,MOVIMIENTOS!$E$4:$E$1000,C126,MOVIMIENTOS!$B$4:$B$1000,"A REPROCESO")-SUMIFS(MOVIMIENTOS!$F$4:$F$1000,MOVIMIENTOS!$C$4:$C$1000,A126,MOVIMIENTOS!$D$4:$D$1000,B126,MOVIMIENTOS!$E$4:$E$1000,C126,MOVIMIENTOS!$B$4:$B$1000,"MUESTRA")-SUMIFS(MOVIMIENTOS!$F$4:$F$1000,MOVIMIENTOS!$C$4:$C$1000,A126,MOVIMIENTOS!$D$4:$D$1000,B126,MOVIMIENTOS!$E$4:$E$1000,C126,MOVIMIENTOS!$B$4:$B$1000,"AJUSTE-"),0)</f>
        <v>0</v>
      </c>
      <c r="F126" s="101">
        <f>IFERROR(E126*VLOOKUP(B126,TELAS!$A$4:$C$32,3,FALSE()),0)</f>
        <v>0</v>
      </c>
      <c r="G126" s="102">
        <f>IFERROR(IF(D126="OSCURO",VLOOKUP(B126,PRECIOS!$A$4:$F$32,2,FALSE()),IF(D126="CLARO",VLOOKUP(B126,PRECIOS!$A$4:$F$32,3,FALSE()),IF(D126="MELANGE",VLOOKUP(B126,PRECIOS!$A$4:$F$32,4,FALSE()),IF(D126="PPT",VLOOKUP(B126,PRECIOS!$A$4:$F$32,5,FALSE()),0)))),0)</f>
        <v>19</v>
      </c>
      <c r="H126" s="103">
        <f t="shared" si="1"/>
        <v>0</v>
      </c>
      <c r="I126" s="104" t="str">
        <f>IF(E126&lt;0,"ERROR",IF(E126=0,"",IF(E126&lt;CONFIG!$B$4,"CRÍTICO",IF(E126&lt;CONFIG!$B$5,"BAJO","OK"))))</f>
        <v/>
      </c>
    </row>
    <row r="127" ht="15.75" customHeight="1">
      <c r="A127" s="90" t="str">
        <f>IF(CLIENTES!A4="","",CLIENTES!A4)</f>
        <v>OverShark</v>
      </c>
      <c r="B127" s="67" t="str">
        <f>TELAS!A10</f>
        <v>jersey full lycra 30/1</v>
      </c>
      <c r="C127" s="67" t="str">
        <f>COLORES!A7</f>
        <v>Azul</v>
      </c>
      <c r="D127" s="67" t="str">
        <f>COLORES!B7</f>
        <v>OSCURO</v>
      </c>
      <c r="E127" s="100">
        <f>IFERROR(SUMIFS(MOVIMIENTOS!$F$4:$F$1000,MOVIMIENTOS!$C$4:$C$1000,A127,MOVIMIENTOS!$D$4:$D$1000,B127,MOVIMIENTOS!$E$4:$E$1000,C127,MOVIMIENTOS!$B$4:$B$1000,"INGRESO")+SUMIFS(MOVIMIENTOS!$F$4:$F$1000,MOVIMIENTOS!$C$4:$C$1000,A127,MOVIMIENTOS!$D$4:$D$1000,B127,MOVIMIENTOS!$E$4:$E$1000,C127,MOVIMIENTOS!$B$4:$B$1000,"DE REPROCESO")+SUMIFS(MOVIMIENTOS!$F$4:$F$1000,MOVIMIENTOS!$C$4:$C$1000,A127,MOVIMIENTOS!$D$4:$D$1000,B127,MOVIMIENTOS!$E$4:$E$1000,C127,MOVIMIENTOS!$B$4:$B$1000,"AJUSTE+")-SUMIFS(MOVIMIENTOS!$F$4:$F$1000,MOVIMIENTOS!$C$4:$C$1000,A127,MOVIMIENTOS!$D$4:$D$1000,B127,MOVIMIENTOS!$E$4:$E$1000,C127,MOVIMIENTOS!$B$4:$B$1000,"A CORTE")-SUMIFS(MOVIMIENTOS!$F$4:$F$1000,MOVIMIENTOS!$C$4:$C$1000,A127,MOVIMIENTOS!$D$4:$D$1000,B127,MOVIMIENTOS!$E$4:$E$1000,C127,MOVIMIENTOS!$B$4:$B$1000,"A REPROCESO")-SUMIFS(MOVIMIENTOS!$F$4:$F$1000,MOVIMIENTOS!$C$4:$C$1000,A127,MOVIMIENTOS!$D$4:$D$1000,B127,MOVIMIENTOS!$E$4:$E$1000,C127,MOVIMIENTOS!$B$4:$B$1000,"MUESTRA")-SUMIFS(MOVIMIENTOS!$F$4:$F$1000,MOVIMIENTOS!$C$4:$C$1000,A127,MOVIMIENTOS!$D$4:$D$1000,B127,MOVIMIENTOS!$E$4:$E$1000,C127,MOVIMIENTOS!$B$4:$B$1000,"AJUSTE-"),0)</f>
        <v>17</v>
      </c>
      <c r="F127" s="101">
        <f>IFERROR(E127*VLOOKUP(B127,TELAS!$A$4:$C$32,3,FALSE()),0)</f>
        <v>340</v>
      </c>
      <c r="G127" s="102">
        <f>IFERROR(IF(D127="OSCURO",VLOOKUP(B127,PRECIOS!$A$4:$F$32,2,FALSE()),IF(D127="CLARO",VLOOKUP(B127,PRECIOS!$A$4:$F$32,3,FALSE()),IF(D127="MELANGE",VLOOKUP(B127,PRECIOS!$A$4:$F$32,4,FALSE()),IF(D127="PPT",VLOOKUP(B127,PRECIOS!$A$4:$F$32,5,FALSE()),0)))),0)</f>
        <v>26</v>
      </c>
      <c r="H127" s="103">
        <f t="shared" si="1"/>
        <v>8840</v>
      </c>
      <c r="I127" s="104" t="str">
        <f>IF(E127&lt;0,"ERROR",IF(E127=0,"",IF(E127&lt;CONFIG!$B$4,"CRÍTICO",IF(E127&lt;CONFIG!$B$5,"BAJO","OK"))))</f>
        <v>OK</v>
      </c>
    </row>
    <row r="128" ht="15.75" customHeight="1">
      <c r="A128" s="90" t="str">
        <f>IF(CLIENTES!A4="","",CLIENTES!A4)</f>
        <v>OverShark</v>
      </c>
      <c r="B128" s="67" t="str">
        <f>TELAS!A10</f>
        <v>jersey full lycra 30/1</v>
      </c>
      <c r="C128" s="67" t="str">
        <f>COLORES!A8</f>
        <v>Beige</v>
      </c>
      <c r="D128" s="67" t="str">
        <f>COLORES!B8</f>
        <v>CLARO</v>
      </c>
      <c r="E128" s="100">
        <f>IFERROR(SUMIFS(MOVIMIENTOS!$F$4:$F$1000,MOVIMIENTOS!$C$4:$C$1000,A128,MOVIMIENTOS!$D$4:$D$1000,B128,MOVIMIENTOS!$E$4:$E$1000,C128,MOVIMIENTOS!$B$4:$B$1000,"INGRESO")+SUMIFS(MOVIMIENTOS!$F$4:$F$1000,MOVIMIENTOS!$C$4:$C$1000,A128,MOVIMIENTOS!$D$4:$D$1000,B128,MOVIMIENTOS!$E$4:$E$1000,C128,MOVIMIENTOS!$B$4:$B$1000,"DE REPROCESO")+SUMIFS(MOVIMIENTOS!$F$4:$F$1000,MOVIMIENTOS!$C$4:$C$1000,A128,MOVIMIENTOS!$D$4:$D$1000,B128,MOVIMIENTOS!$E$4:$E$1000,C128,MOVIMIENTOS!$B$4:$B$1000,"AJUSTE+")-SUMIFS(MOVIMIENTOS!$F$4:$F$1000,MOVIMIENTOS!$C$4:$C$1000,A128,MOVIMIENTOS!$D$4:$D$1000,B128,MOVIMIENTOS!$E$4:$E$1000,C128,MOVIMIENTOS!$B$4:$B$1000,"A CORTE")-SUMIFS(MOVIMIENTOS!$F$4:$F$1000,MOVIMIENTOS!$C$4:$C$1000,A128,MOVIMIENTOS!$D$4:$D$1000,B128,MOVIMIENTOS!$E$4:$E$1000,C128,MOVIMIENTOS!$B$4:$B$1000,"A REPROCESO")-SUMIFS(MOVIMIENTOS!$F$4:$F$1000,MOVIMIENTOS!$C$4:$C$1000,A128,MOVIMIENTOS!$D$4:$D$1000,B128,MOVIMIENTOS!$E$4:$E$1000,C128,MOVIMIENTOS!$B$4:$B$1000,"MUESTRA")-SUMIFS(MOVIMIENTOS!$F$4:$F$1000,MOVIMIENTOS!$C$4:$C$1000,A128,MOVIMIENTOS!$D$4:$D$1000,B128,MOVIMIENTOS!$E$4:$E$1000,C128,MOVIMIENTOS!$B$4:$B$1000,"AJUSTE-"),0)</f>
        <v>4</v>
      </c>
      <c r="F128" s="101">
        <f>IFERROR(E128*VLOOKUP(B128,TELAS!$A$4:$C$32,3,FALSE()),0)</f>
        <v>80</v>
      </c>
      <c r="G128" s="102">
        <f>IFERROR(IF(D128="OSCURO",VLOOKUP(B128,PRECIOS!$A$4:$F$32,2,FALSE()),IF(D128="CLARO",VLOOKUP(B128,PRECIOS!$A$4:$F$32,3,FALSE()),IF(D128="MELANGE",VLOOKUP(B128,PRECIOS!$A$4:$F$32,4,FALSE()),IF(D128="PPT",VLOOKUP(B128,PRECIOS!$A$4:$F$32,5,FALSE()),0)))),0)</f>
        <v>22.5</v>
      </c>
      <c r="H128" s="103">
        <f t="shared" si="1"/>
        <v>1800</v>
      </c>
      <c r="I128" s="104" t="str">
        <f>IF(E128&lt;0,"ERROR",IF(E128=0,"",IF(E128&lt;CONFIG!$B$4,"CRÍTICO",IF(E128&lt;CONFIG!$B$5,"BAJO","OK"))))</f>
        <v>CRÍTICO</v>
      </c>
    </row>
    <row r="129" ht="15.75" customHeight="1">
      <c r="A129" s="90" t="str">
        <f>IF(CLIENTES!A4="","",CLIENTES!A4)</f>
        <v>OverShark</v>
      </c>
      <c r="B129" s="67" t="str">
        <f>TELAS!A10</f>
        <v>jersey full lycra 30/1</v>
      </c>
      <c r="C129" s="67" t="str">
        <f>COLORES!A9</f>
        <v>Melange</v>
      </c>
      <c r="D129" s="67" t="str">
        <f>COLORES!B9</f>
        <v>MELANGE</v>
      </c>
      <c r="E129" s="100">
        <f>IFERROR(SUMIFS(MOVIMIENTOS!$F$4:$F$1000,MOVIMIENTOS!$C$4:$C$1000,A129,MOVIMIENTOS!$D$4:$D$1000,B129,MOVIMIENTOS!$E$4:$E$1000,C129,MOVIMIENTOS!$B$4:$B$1000,"INGRESO")+SUMIFS(MOVIMIENTOS!$F$4:$F$1000,MOVIMIENTOS!$C$4:$C$1000,A129,MOVIMIENTOS!$D$4:$D$1000,B129,MOVIMIENTOS!$E$4:$E$1000,C129,MOVIMIENTOS!$B$4:$B$1000,"DE REPROCESO")+SUMIFS(MOVIMIENTOS!$F$4:$F$1000,MOVIMIENTOS!$C$4:$C$1000,A129,MOVIMIENTOS!$D$4:$D$1000,B129,MOVIMIENTOS!$E$4:$E$1000,C129,MOVIMIENTOS!$B$4:$B$1000,"AJUSTE+")-SUMIFS(MOVIMIENTOS!$F$4:$F$1000,MOVIMIENTOS!$C$4:$C$1000,A129,MOVIMIENTOS!$D$4:$D$1000,B129,MOVIMIENTOS!$E$4:$E$1000,C129,MOVIMIENTOS!$B$4:$B$1000,"A CORTE")-SUMIFS(MOVIMIENTOS!$F$4:$F$1000,MOVIMIENTOS!$C$4:$C$1000,A129,MOVIMIENTOS!$D$4:$D$1000,B129,MOVIMIENTOS!$E$4:$E$1000,C129,MOVIMIENTOS!$B$4:$B$1000,"A REPROCESO")-SUMIFS(MOVIMIENTOS!$F$4:$F$1000,MOVIMIENTOS!$C$4:$C$1000,A129,MOVIMIENTOS!$D$4:$D$1000,B129,MOVIMIENTOS!$E$4:$E$1000,C129,MOVIMIENTOS!$B$4:$B$1000,"MUESTRA")-SUMIFS(MOVIMIENTOS!$F$4:$F$1000,MOVIMIENTOS!$C$4:$C$1000,A129,MOVIMIENTOS!$D$4:$D$1000,B129,MOVIMIENTOS!$E$4:$E$1000,C129,MOVIMIENTOS!$B$4:$B$1000,"AJUSTE-"),0)</f>
        <v>0</v>
      </c>
      <c r="F129" s="101">
        <f>IFERROR(E129*VLOOKUP(B129,TELAS!$A$4:$C$32,3,FALSE()),0)</f>
        <v>0</v>
      </c>
      <c r="G129" s="102">
        <f>IFERROR(IF(D129="OSCURO",VLOOKUP(B129,PRECIOS!$A$4:$F$32,2,FALSE()),IF(D129="CLARO",VLOOKUP(B129,PRECIOS!$A$4:$F$32,3,FALSE()),IF(D129="MELANGE",VLOOKUP(B129,PRECIOS!$A$4:$F$32,4,FALSE()),IF(D129="PPT",VLOOKUP(B129,PRECIOS!$A$4:$F$32,5,FALSE()),0)))),0)</f>
        <v>19</v>
      </c>
      <c r="H129" s="103">
        <f t="shared" si="1"/>
        <v>0</v>
      </c>
      <c r="I129" s="104" t="str">
        <f>IF(E129&lt;0,"ERROR",IF(E129=0,"",IF(E129&lt;CONFIG!$B$4,"CRÍTICO",IF(E129&lt;CONFIG!$B$5,"BAJO","OK"))))</f>
        <v/>
      </c>
    </row>
    <row r="130" ht="15.75" customHeight="1">
      <c r="A130" s="90" t="str">
        <f>IF(CLIENTES!A4="","",CLIENTES!A4)</f>
        <v>OverShark</v>
      </c>
      <c r="B130" s="67" t="str">
        <f>TELAS!A10</f>
        <v>jersey full lycra 30/1</v>
      </c>
      <c r="C130" s="67" t="str">
        <f>COLORES!A10</f>
        <v>Botella</v>
      </c>
      <c r="D130" s="67" t="str">
        <f>COLORES!B10</f>
        <v>OSCURO</v>
      </c>
      <c r="E130" s="100">
        <f>IFERROR(SUMIFS(MOVIMIENTOS!$F$4:$F$1000,MOVIMIENTOS!$C$4:$C$1000,A130,MOVIMIENTOS!$D$4:$D$1000,B130,MOVIMIENTOS!$E$4:$E$1000,C130,MOVIMIENTOS!$B$4:$B$1000,"INGRESO")+SUMIFS(MOVIMIENTOS!$F$4:$F$1000,MOVIMIENTOS!$C$4:$C$1000,A130,MOVIMIENTOS!$D$4:$D$1000,B130,MOVIMIENTOS!$E$4:$E$1000,C130,MOVIMIENTOS!$B$4:$B$1000,"DE REPROCESO")+SUMIFS(MOVIMIENTOS!$F$4:$F$1000,MOVIMIENTOS!$C$4:$C$1000,A130,MOVIMIENTOS!$D$4:$D$1000,B130,MOVIMIENTOS!$E$4:$E$1000,C130,MOVIMIENTOS!$B$4:$B$1000,"AJUSTE+")-SUMIFS(MOVIMIENTOS!$F$4:$F$1000,MOVIMIENTOS!$C$4:$C$1000,A130,MOVIMIENTOS!$D$4:$D$1000,B130,MOVIMIENTOS!$E$4:$E$1000,C130,MOVIMIENTOS!$B$4:$B$1000,"A CORTE")-SUMIFS(MOVIMIENTOS!$F$4:$F$1000,MOVIMIENTOS!$C$4:$C$1000,A130,MOVIMIENTOS!$D$4:$D$1000,B130,MOVIMIENTOS!$E$4:$E$1000,C130,MOVIMIENTOS!$B$4:$B$1000,"A REPROCESO")-SUMIFS(MOVIMIENTOS!$F$4:$F$1000,MOVIMIENTOS!$C$4:$C$1000,A130,MOVIMIENTOS!$D$4:$D$1000,B130,MOVIMIENTOS!$E$4:$E$1000,C130,MOVIMIENTOS!$B$4:$B$1000,"MUESTRA")-SUMIFS(MOVIMIENTOS!$F$4:$F$1000,MOVIMIENTOS!$C$4:$C$1000,A130,MOVIMIENTOS!$D$4:$D$1000,B130,MOVIMIENTOS!$E$4:$E$1000,C130,MOVIMIENTOS!$B$4:$B$1000,"AJUSTE-"),0)</f>
        <v>10</v>
      </c>
      <c r="F130" s="101">
        <f>IFERROR(E130*VLOOKUP(B130,TELAS!$A$4:$C$32,3,FALSE()),0)</f>
        <v>200</v>
      </c>
      <c r="G130" s="102">
        <f>IFERROR(IF(D130="OSCURO",VLOOKUP(B130,PRECIOS!$A$4:$F$32,2,FALSE()),IF(D130="CLARO",VLOOKUP(B130,PRECIOS!$A$4:$F$32,3,FALSE()),IF(D130="MELANGE",VLOOKUP(B130,PRECIOS!$A$4:$F$32,4,FALSE()),IF(D130="PPT",VLOOKUP(B130,PRECIOS!$A$4:$F$32,5,FALSE()),0)))),0)</f>
        <v>26</v>
      </c>
      <c r="H130" s="103">
        <f t="shared" si="1"/>
        <v>5200</v>
      </c>
      <c r="I130" s="104" t="str">
        <f>IF(E130&lt;0,"ERROR",IF(E130=0,"",IF(E130&lt;CONFIG!$B$4,"CRÍTICO",IF(E130&lt;CONFIG!$B$5,"BAJO","OK"))))</f>
        <v>BAJO</v>
      </c>
    </row>
    <row r="131" ht="15.75" customHeight="1">
      <c r="A131" s="90" t="str">
        <f>IF(CLIENTES!A4="","",CLIENTES!A4)</f>
        <v>OverShark</v>
      </c>
      <c r="B131" s="67" t="str">
        <f>TELAS!A10</f>
        <v>jersey full lycra 30/1</v>
      </c>
      <c r="C131" s="67" t="str">
        <f>COLORES!A11</f>
        <v>Pacay</v>
      </c>
      <c r="D131" s="67" t="str">
        <f>COLORES!B11</f>
        <v>CLARO</v>
      </c>
      <c r="E131" s="100">
        <f>IFERROR(SUMIFS(MOVIMIENTOS!$F$4:$F$1000,MOVIMIENTOS!$C$4:$C$1000,A131,MOVIMIENTOS!$D$4:$D$1000,B131,MOVIMIENTOS!$E$4:$E$1000,C131,MOVIMIENTOS!$B$4:$B$1000,"INGRESO")+SUMIFS(MOVIMIENTOS!$F$4:$F$1000,MOVIMIENTOS!$C$4:$C$1000,A131,MOVIMIENTOS!$D$4:$D$1000,B131,MOVIMIENTOS!$E$4:$E$1000,C131,MOVIMIENTOS!$B$4:$B$1000,"DE REPROCESO")+SUMIFS(MOVIMIENTOS!$F$4:$F$1000,MOVIMIENTOS!$C$4:$C$1000,A131,MOVIMIENTOS!$D$4:$D$1000,B131,MOVIMIENTOS!$E$4:$E$1000,C131,MOVIMIENTOS!$B$4:$B$1000,"AJUSTE+")-SUMIFS(MOVIMIENTOS!$F$4:$F$1000,MOVIMIENTOS!$C$4:$C$1000,A131,MOVIMIENTOS!$D$4:$D$1000,B131,MOVIMIENTOS!$E$4:$E$1000,C131,MOVIMIENTOS!$B$4:$B$1000,"A CORTE")-SUMIFS(MOVIMIENTOS!$F$4:$F$1000,MOVIMIENTOS!$C$4:$C$1000,A131,MOVIMIENTOS!$D$4:$D$1000,B131,MOVIMIENTOS!$E$4:$E$1000,C131,MOVIMIENTOS!$B$4:$B$1000,"A REPROCESO")-SUMIFS(MOVIMIENTOS!$F$4:$F$1000,MOVIMIENTOS!$C$4:$C$1000,A131,MOVIMIENTOS!$D$4:$D$1000,B131,MOVIMIENTOS!$E$4:$E$1000,C131,MOVIMIENTOS!$B$4:$B$1000,"MUESTRA")-SUMIFS(MOVIMIENTOS!$F$4:$F$1000,MOVIMIENTOS!$C$4:$C$1000,A131,MOVIMIENTOS!$D$4:$D$1000,B131,MOVIMIENTOS!$E$4:$E$1000,C131,MOVIMIENTOS!$B$4:$B$1000,"AJUSTE-"),0)</f>
        <v>3</v>
      </c>
      <c r="F131" s="101">
        <f>IFERROR(E131*VLOOKUP(B131,TELAS!$A$4:$C$32,3,FALSE()),0)</f>
        <v>60</v>
      </c>
      <c r="G131" s="102">
        <f>IFERROR(IF(D131="OSCURO",VLOOKUP(B131,PRECIOS!$A$4:$F$32,2,FALSE()),IF(D131="CLARO",VLOOKUP(B131,PRECIOS!$A$4:$F$32,3,FALSE()),IF(D131="MELANGE",VLOOKUP(B131,PRECIOS!$A$4:$F$32,4,FALSE()),IF(D131="PPT",VLOOKUP(B131,PRECIOS!$A$4:$F$32,5,FALSE()),0)))),0)</f>
        <v>22.5</v>
      </c>
      <c r="H131" s="103">
        <f t="shared" si="1"/>
        <v>1350</v>
      </c>
      <c r="I131" s="104" t="str">
        <f>IF(E131&lt;0,"ERROR",IF(E131=0,"",IF(E131&lt;CONFIG!$B$4,"CRÍTICO",IF(E131&lt;CONFIG!$B$5,"BAJO","OK"))))</f>
        <v>CRÍTICO</v>
      </c>
    </row>
    <row r="132" ht="15.75" customHeight="1">
      <c r="A132" s="90" t="str">
        <f>IF(CLIENTES!A4="","",CLIENTES!A4)</f>
        <v>OverShark</v>
      </c>
      <c r="B132" s="67" t="str">
        <f>TELAS!A10</f>
        <v>jersey full lycra 30/1</v>
      </c>
      <c r="C132" s="67" t="str">
        <f>COLORES!A12</f>
        <v>Cemento</v>
      </c>
      <c r="D132" s="67" t="str">
        <f>COLORES!B12</f>
        <v>CLARO</v>
      </c>
      <c r="E132" s="100">
        <f>IFERROR(SUMIFS(MOVIMIENTOS!$F$4:$F$1000,MOVIMIENTOS!$C$4:$C$1000,A132,MOVIMIENTOS!$D$4:$D$1000,B132,MOVIMIENTOS!$E$4:$E$1000,C132,MOVIMIENTOS!$B$4:$B$1000,"INGRESO")+SUMIFS(MOVIMIENTOS!$F$4:$F$1000,MOVIMIENTOS!$C$4:$C$1000,A132,MOVIMIENTOS!$D$4:$D$1000,B132,MOVIMIENTOS!$E$4:$E$1000,C132,MOVIMIENTOS!$B$4:$B$1000,"DE REPROCESO")+SUMIFS(MOVIMIENTOS!$F$4:$F$1000,MOVIMIENTOS!$C$4:$C$1000,A132,MOVIMIENTOS!$D$4:$D$1000,B132,MOVIMIENTOS!$E$4:$E$1000,C132,MOVIMIENTOS!$B$4:$B$1000,"AJUSTE+")-SUMIFS(MOVIMIENTOS!$F$4:$F$1000,MOVIMIENTOS!$C$4:$C$1000,A132,MOVIMIENTOS!$D$4:$D$1000,B132,MOVIMIENTOS!$E$4:$E$1000,C132,MOVIMIENTOS!$B$4:$B$1000,"A CORTE")-SUMIFS(MOVIMIENTOS!$F$4:$F$1000,MOVIMIENTOS!$C$4:$C$1000,A132,MOVIMIENTOS!$D$4:$D$1000,B132,MOVIMIENTOS!$E$4:$E$1000,C132,MOVIMIENTOS!$B$4:$B$1000,"A REPROCESO")-SUMIFS(MOVIMIENTOS!$F$4:$F$1000,MOVIMIENTOS!$C$4:$C$1000,A132,MOVIMIENTOS!$D$4:$D$1000,B132,MOVIMIENTOS!$E$4:$E$1000,C132,MOVIMIENTOS!$B$4:$B$1000,"MUESTRA")-SUMIFS(MOVIMIENTOS!$F$4:$F$1000,MOVIMIENTOS!$C$4:$C$1000,A132,MOVIMIENTOS!$D$4:$D$1000,B132,MOVIMIENTOS!$E$4:$E$1000,C132,MOVIMIENTOS!$B$4:$B$1000,"AJUSTE-"),0)</f>
        <v>4</v>
      </c>
      <c r="F132" s="101">
        <f>IFERROR(E132*VLOOKUP(B132,TELAS!$A$4:$C$32,3,FALSE()),0)</f>
        <v>80</v>
      </c>
      <c r="G132" s="102">
        <f>IFERROR(IF(D132="OSCURO",VLOOKUP(B132,PRECIOS!$A$4:$F$32,2,FALSE()),IF(D132="CLARO",VLOOKUP(B132,PRECIOS!$A$4:$F$32,3,FALSE()),IF(D132="MELANGE",VLOOKUP(B132,PRECIOS!$A$4:$F$32,4,FALSE()),IF(D132="PPT",VLOOKUP(B132,PRECIOS!$A$4:$F$32,5,FALSE()),0)))),0)</f>
        <v>22.5</v>
      </c>
      <c r="H132" s="103">
        <f t="shared" si="1"/>
        <v>1800</v>
      </c>
      <c r="I132" s="104" t="str">
        <f>IF(E132&lt;0,"ERROR",IF(E132=0,"",IF(E132&lt;CONFIG!$B$4,"CRÍTICO",IF(E132&lt;CONFIG!$B$5,"BAJO","OK"))))</f>
        <v>CRÍTICO</v>
      </c>
    </row>
    <row r="133" ht="15.75" customHeight="1">
      <c r="A133" s="90" t="str">
        <f>IF(CLIENTES!A4="","",CLIENTES!A4)</f>
        <v>OverShark</v>
      </c>
      <c r="B133" s="67" t="str">
        <f>TELAS!A10</f>
        <v>jersey full lycra 30/1</v>
      </c>
      <c r="C133" s="67" t="str">
        <f>COLORES!A13</f>
        <v>Camote</v>
      </c>
      <c r="D133" s="67" t="str">
        <f>COLORES!B13</f>
        <v>CLARO</v>
      </c>
      <c r="E133" s="100">
        <f>IFERROR(SUMIFS(MOVIMIENTOS!$F$4:$F$1000,MOVIMIENTOS!$C$4:$C$1000,A133,MOVIMIENTOS!$D$4:$D$1000,B133,MOVIMIENTOS!$E$4:$E$1000,C133,MOVIMIENTOS!$B$4:$B$1000,"INGRESO")+SUMIFS(MOVIMIENTOS!$F$4:$F$1000,MOVIMIENTOS!$C$4:$C$1000,A133,MOVIMIENTOS!$D$4:$D$1000,B133,MOVIMIENTOS!$E$4:$E$1000,C133,MOVIMIENTOS!$B$4:$B$1000,"DE REPROCESO")+SUMIFS(MOVIMIENTOS!$F$4:$F$1000,MOVIMIENTOS!$C$4:$C$1000,A133,MOVIMIENTOS!$D$4:$D$1000,B133,MOVIMIENTOS!$E$4:$E$1000,C133,MOVIMIENTOS!$B$4:$B$1000,"AJUSTE+")-SUMIFS(MOVIMIENTOS!$F$4:$F$1000,MOVIMIENTOS!$C$4:$C$1000,A133,MOVIMIENTOS!$D$4:$D$1000,B133,MOVIMIENTOS!$E$4:$E$1000,C133,MOVIMIENTOS!$B$4:$B$1000,"A CORTE")-SUMIFS(MOVIMIENTOS!$F$4:$F$1000,MOVIMIENTOS!$C$4:$C$1000,A133,MOVIMIENTOS!$D$4:$D$1000,B133,MOVIMIENTOS!$E$4:$E$1000,C133,MOVIMIENTOS!$B$4:$B$1000,"A REPROCESO")-SUMIFS(MOVIMIENTOS!$F$4:$F$1000,MOVIMIENTOS!$C$4:$C$1000,A133,MOVIMIENTOS!$D$4:$D$1000,B133,MOVIMIENTOS!$E$4:$E$1000,C133,MOVIMIENTOS!$B$4:$B$1000,"MUESTRA")-SUMIFS(MOVIMIENTOS!$F$4:$F$1000,MOVIMIENTOS!$C$4:$C$1000,A133,MOVIMIENTOS!$D$4:$D$1000,B133,MOVIMIENTOS!$E$4:$E$1000,C133,MOVIMIENTOS!$B$4:$B$1000,"AJUSTE-"),0)</f>
        <v>0</v>
      </c>
      <c r="F133" s="101">
        <f>IFERROR(E133*VLOOKUP(B133,TELAS!$A$4:$C$32,3,FALSE()),0)</f>
        <v>0</v>
      </c>
      <c r="G133" s="102">
        <f>IFERROR(IF(D133="OSCURO",VLOOKUP(B133,PRECIOS!$A$4:$F$32,2,FALSE()),IF(D133="CLARO",VLOOKUP(B133,PRECIOS!$A$4:$F$32,3,FALSE()),IF(D133="MELANGE",VLOOKUP(B133,PRECIOS!$A$4:$F$32,4,FALSE()),IF(D133="PPT",VLOOKUP(B133,PRECIOS!$A$4:$F$32,5,FALSE()),0)))),0)</f>
        <v>22.5</v>
      </c>
      <c r="H133" s="103">
        <f t="shared" si="1"/>
        <v>0</v>
      </c>
      <c r="I133" s="104" t="str">
        <f>IF(E133&lt;0,"ERROR",IF(E133=0,"",IF(E133&lt;CONFIG!$B$4,"CRÍTICO",IF(E133&lt;CONFIG!$B$5,"BAJO","OK"))))</f>
        <v/>
      </c>
    </row>
    <row r="134" ht="15.75" customHeight="1">
      <c r="A134" s="90" t="str">
        <f>IF(CLIENTES!A4="","",CLIENTES!A4)</f>
        <v>OverShark</v>
      </c>
      <c r="B134" s="67" t="str">
        <f>TELAS!A10</f>
        <v>jersey full lycra 30/1</v>
      </c>
      <c r="C134" s="67" t="str">
        <f>COLORES!A14</f>
        <v>Denim</v>
      </c>
      <c r="D134" s="67" t="str">
        <f>COLORES!B14</f>
        <v>CLARO</v>
      </c>
      <c r="E134" s="100">
        <f>IFERROR(SUMIFS(MOVIMIENTOS!$F$4:$F$1000,MOVIMIENTOS!$C$4:$C$1000,A134,MOVIMIENTOS!$D$4:$D$1000,B134,MOVIMIENTOS!$E$4:$E$1000,C134,MOVIMIENTOS!$B$4:$B$1000,"INGRESO")+SUMIFS(MOVIMIENTOS!$F$4:$F$1000,MOVIMIENTOS!$C$4:$C$1000,A134,MOVIMIENTOS!$D$4:$D$1000,B134,MOVIMIENTOS!$E$4:$E$1000,C134,MOVIMIENTOS!$B$4:$B$1000,"DE REPROCESO")+SUMIFS(MOVIMIENTOS!$F$4:$F$1000,MOVIMIENTOS!$C$4:$C$1000,A134,MOVIMIENTOS!$D$4:$D$1000,B134,MOVIMIENTOS!$E$4:$E$1000,C134,MOVIMIENTOS!$B$4:$B$1000,"AJUSTE+")-SUMIFS(MOVIMIENTOS!$F$4:$F$1000,MOVIMIENTOS!$C$4:$C$1000,A134,MOVIMIENTOS!$D$4:$D$1000,B134,MOVIMIENTOS!$E$4:$E$1000,C134,MOVIMIENTOS!$B$4:$B$1000,"A CORTE")-SUMIFS(MOVIMIENTOS!$F$4:$F$1000,MOVIMIENTOS!$C$4:$C$1000,A134,MOVIMIENTOS!$D$4:$D$1000,B134,MOVIMIENTOS!$E$4:$E$1000,C134,MOVIMIENTOS!$B$4:$B$1000,"A REPROCESO")-SUMIFS(MOVIMIENTOS!$F$4:$F$1000,MOVIMIENTOS!$C$4:$C$1000,A134,MOVIMIENTOS!$D$4:$D$1000,B134,MOVIMIENTOS!$E$4:$E$1000,C134,MOVIMIENTOS!$B$4:$B$1000,"MUESTRA")-SUMIFS(MOVIMIENTOS!$F$4:$F$1000,MOVIMIENTOS!$C$4:$C$1000,A134,MOVIMIENTOS!$D$4:$D$1000,B134,MOVIMIENTOS!$E$4:$E$1000,C134,MOVIMIENTOS!$B$4:$B$1000,"AJUSTE-"),0)</f>
        <v>5</v>
      </c>
      <c r="F134" s="101">
        <f>IFERROR(E134*VLOOKUP(B134,TELAS!$A$4:$C$32,3,FALSE()),0)</f>
        <v>100</v>
      </c>
      <c r="G134" s="102">
        <f>IFERROR(IF(D134="OSCURO",VLOOKUP(B134,PRECIOS!$A$4:$F$32,2,FALSE()),IF(D134="CLARO",VLOOKUP(B134,PRECIOS!$A$4:$F$32,3,FALSE()),IF(D134="MELANGE",VLOOKUP(B134,PRECIOS!$A$4:$F$32,4,FALSE()),IF(D134="PPT",VLOOKUP(B134,PRECIOS!$A$4:$F$32,5,FALSE()),0)))),0)</f>
        <v>22.5</v>
      </c>
      <c r="H134" s="103">
        <f t="shared" si="1"/>
        <v>2250</v>
      </c>
      <c r="I134" s="104" t="str">
        <f>IF(E134&lt;0,"ERROR",IF(E134=0,"",IF(E134&lt;CONFIG!$B$4,"CRÍTICO",IF(E134&lt;CONFIG!$B$5,"BAJO","OK"))))</f>
        <v>BAJO</v>
      </c>
    </row>
    <row r="135" ht="15.75" customHeight="1">
      <c r="A135" s="90" t="str">
        <f>IF(CLIENTES!A4="","",CLIENTES!A4)</f>
        <v>OverShark</v>
      </c>
      <c r="B135" s="67" t="str">
        <f>TELAS!A10</f>
        <v>jersey full lycra 30/1</v>
      </c>
      <c r="C135" s="67" t="str">
        <f>COLORES!A15</f>
        <v>Plomo</v>
      </c>
      <c r="D135" s="67" t="str">
        <f>COLORES!B15</f>
        <v>OSCURO</v>
      </c>
      <c r="E135" s="100">
        <f>IFERROR(SUMIFS(MOVIMIENTOS!$F$4:$F$1000,MOVIMIENTOS!$C$4:$C$1000,A135,MOVIMIENTOS!$D$4:$D$1000,B135,MOVIMIENTOS!$E$4:$E$1000,C135,MOVIMIENTOS!$B$4:$B$1000,"INGRESO")+SUMIFS(MOVIMIENTOS!$F$4:$F$1000,MOVIMIENTOS!$C$4:$C$1000,A135,MOVIMIENTOS!$D$4:$D$1000,B135,MOVIMIENTOS!$E$4:$E$1000,C135,MOVIMIENTOS!$B$4:$B$1000,"DE REPROCESO")+SUMIFS(MOVIMIENTOS!$F$4:$F$1000,MOVIMIENTOS!$C$4:$C$1000,A135,MOVIMIENTOS!$D$4:$D$1000,B135,MOVIMIENTOS!$E$4:$E$1000,C135,MOVIMIENTOS!$B$4:$B$1000,"AJUSTE+")-SUMIFS(MOVIMIENTOS!$F$4:$F$1000,MOVIMIENTOS!$C$4:$C$1000,A135,MOVIMIENTOS!$D$4:$D$1000,B135,MOVIMIENTOS!$E$4:$E$1000,C135,MOVIMIENTOS!$B$4:$B$1000,"A CORTE")-SUMIFS(MOVIMIENTOS!$F$4:$F$1000,MOVIMIENTOS!$C$4:$C$1000,A135,MOVIMIENTOS!$D$4:$D$1000,B135,MOVIMIENTOS!$E$4:$E$1000,C135,MOVIMIENTOS!$B$4:$B$1000,"A REPROCESO")-SUMIFS(MOVIMIENTOS!$F$4:$F$1000,MOVIMIENTOS!$C$4:$C$1000,A135,MOVIMIENTOS!$D$4:$D$1000,B135,MOVIMIENTOS!$E$4:$E$1000,C135,MOVIMIENTOS!$B$4:$B$1000,"MUESTRA")-SUMIFS(MOVIMIENTOS!$F$4:$F$1000,MOVIMIENTOS!$C$4:$C$1000,A135,MOVIMIENTOS!$D$4:$D$1000,B135,MOVIMIENTOS!$E$4:$E$1000,C135,MOVIMIENTOS!$B$4:$B$1000,"AJUSTE-"),0)</f>
        <v>3</v>
      </c>
      <c r="F135" s="101">
        <f>IFERROR(E135*VLOOKUP(B135,TELAS!$A$4:$C$32,3,FALSE()),0)</f>
        <v>60</v>
      </c>
      <c r="G135" s="102">
        <f>IFERROR(IF(D135="OSCURO",VLOOKUP(B135,PRECIOS!$A$4:$F$32,2,FALSE()),IF(D135="CLARO",VLOOKUP(B135,PRECIOS!$A$4:$F$32,3,FALSE()),IF(D135="MELANGE",VLOOKUP(B135,PRECIOS!$A$4:$F$32,4,FALSE()),IF(D135="PPT",VLOOKUP(B135,PRECIOS!$A$4:$F$32,5,FALSE()),0)))),0)</f>
        <v>26</v>
      </c>
      <c r="H135" s="103">
        <f t="shared" si="1"/>
        <v>1560</v>
      </c>
      <c r="I135" s="104" t="str">
        <f>IF(E135&lt;0,"ERROR",IF(E135=0,"",IF(E135&lt;CONFIG!$B$4,"CRÍTICO",IF(E135&lt;CONFIG!$B$5,"BAJO","OK"))))</f>
        <v>CRÍTICO</v>
      </c>
    </row>
    <row r="136" ht="15.75" customHeight="1">
      <c r="A136" s="90" t="str">
        <f>IF(CLIENTES!A4="","",CLIENTES!A4)</f>
        <v>OverShark</v>
      </c>
      <c r="B136" s="67" t="str">
        <f>TELAS!A10</f>
        <v>jersey full lycra 30/1</v>
      </c>
      <c r="C136" s="67" t="str">
        <f>COLORES!A16</f>
        <v>Topo</v>
      </c>
      <c r="D136" s="67" t="str">
        <f>COLORES!B16</f>
        <v>CLARO</v>
      </c>
      <c r="E136" s="100">
        <f>IFERROR(SUMIFS(MOVIMIENTOS!$F$4:$F$1000,MOVIMIENTOS!$C$4:$C$1000,A136,MOVIMIENTOS!$D$4:$D$1000,B136,MOVIMIENTOS!$E$4:$E$1000,C136,MOVIMIENTOS!$B$4:$B$1000,"INGRESO")+SUMIFS(MOVIMIENTOS!$F$4:$F$1000,MOVIMIENTOS!$C$4:$C$1000,A136,MOVIMIENTOS!$D$4:$D$1000,B136,MOVIMIENTOS!$E$4:$E$1000,C136,MOVIMIENTOS!$B$4:$B$1000,"DE REPROCESO")+SUMIFS(MOVIMIENTOS!$F$4:$F$1000,MOVIMIENTOS!$C$4:$C$1000,A136,MOVIMIENTOS!$D$4:$D$1000,B136,MOVIMIENTOS!$E$4:$E$1000,C136,MOVIMIENTOS!$B$4:$B$1000,"AJUSTE+")-SUMIFS(MOVIMIENTOS!$F$4:$F$1000,MOVIMIENTOS!$C$4:$C$1000,A136,MOVIMIENTOS!$D$4:$D$1000,B136,MOVIMIENTOS!$E$4:$E$1000,C136,MOVIMIENTOS!$B$4:$B$1000,"A CORTE")-SUMIFS(MOVIMIENTOS!$F$4:$F$1000,MOVIMIENTOS!$C$4:$C$1000,A136,MOVIMIENTOS!$D$4:$D$1000,B136,MOVIMIENTOS!$E$4:$E$1000,C136,MOVIMIENTOS!$B$4:$B$1000,"A REPROCESO")-SUMIFS(MOVIMIENTOS!$F$4:$F$1000,MOVIMIENTOS!$C$4:$C$1000,A136,MOVIMIENTOS!$D$4:$D$1000,B136,MOVIMIENTOS!$E$4:$E$1000,C136,MOVIMIENTOS!$B$4:$B$1000,"MUESTRA")-SUMIFS(MOVIMIENTOS!$F$4:$F$1000,MOVIMIENTOS!$C$4:$C$1000,A136,MOVIMIENTOS!$D$4:$D$1000,B136,MOVIMIENTOS!$E$4:$E$1000,C136,MOVIMIENTOS!$B$4:$B$1000,"AJUSTE-"),0)</f>
        <v>0</v>
      </c>
      <c r="F136" s="101">
        <f>IFERROR(E136*VLOOKUP(B136,TELAS!$A$4:$C$32,3,FALSE()),0)</f>
        <v>0</v>
      </c>
      <c r="G136" s="102">
        <f>IFERROR(IF(D136="OSCURO",VLOOKUP(B136,PRECIOS!$A$4:$F$32,2,FALSE()),IF(D136="CLARO",VLOOKUP(B136,PRECIOS!$A$4:$F$32,3,FALSE()),IF(D136="MELANGE",VLOOKUP(B136,PRECIOS!$A$4:$F$32,4,FALSE()),IF(D136="PPT",VLOOKUP(B136,PRECIOS!$A$4:$F$32,5,FALSE()),0)))),0)</f>
        <v>22.5</v>
      </c>
      <c r="H136" s="103">
        <f t="shared" si="1"/>
        <v>0</v>
      </c>
      <c r="I136" s="104" t="str">
        <f>IF(E136&lt;0,"ERROR",IF(E136=0,"",IF(E136&lt;CONFIG!$B$4,"CRÍTICO",IF(E136&lt;CONFIG!$B$5,"BAJO","OK"))))</f>
        <v/>
      </c>
    </row>
    <row r="137" ht="15.75" customHeight="1">
      <c r="A137" s="90" t="str">
        <f>IF(CLIENTES!A4="","",CLIENTES!A4)</f>
        <v>OverShark</v>
      </c>
      <c r="B137" s="67" t="str">
        <f>TELAS!A10</f>
        <v>jersey full lycra 30/1</v>
      </c>
      <c r="C137" s="67" t="str">
        <f>COLORES!A17</f>
        <v>Vino</v>
      </c>
      <c r="D137" s="67" t="str">
        <f>COLORES!B17</f>
        <v>OSCURO</v>
      </c>
      <c r="E137" s="100">
        <f>IFERROR(SUMIFS(MOVIMIENTOS!$F$4:$F$1000,MOVIMIENTOS!$C$4:$C$1000,A137,MOVIMIENTOS!$D$4:$D$1000,B137,MOVIMIENTOS!$E$4:$E$1000,C137,MOVIMIENTOS!$B$4:$B$1000,"INGRESO")+SUMIFS(MOVIMIENTOS!$F$4:$F$1000,MOVIMIENTOS!$C$4:$C$1000,A137,MOVIMIENTOS!$D$4:$D$1000,B137,MOVIMIENTOS!$E$4:$E$1000,C137,MOVIMIENTOS!$B$4:$B$1000,"DE REPROCESO")+SUMIFS(MOVIMIENTOS!$F$4:$F$1000,MOVIMIENTOS!$C$4:$C$1000,A137,MOVIMIENTOS!$D$4:$D$1000,B137,MOVIMIENTOS!$E$4:$E$1000,C137,MOVIMIENTOS!$B$4:$B$1000,"AJUSTE+")-SUMIFS(MOVIMIENTOS!$F$4:$F$1000,MOVIMIENTOS!$C$4:$C$1000,A137,MOVIMIENTOS!$D$4:$D$1000,B137,MOVIMIENTOS!$E$4:$E$1000,C137,MOVIMIENTOS!$B$4:$B$1000,"A CORTE")-SUMIFS(MOVIMIENTOS!$F$4:$F$1000,MOVIMIENTOS!$C$4:$C$1000,A137,MOVIMIENTOS!$D$4:$D$1000,B137,MOVIMIENTOS!$E$4:$E$1000,C137,MOVIMIENTOS!$B$4:$B$1000,"A REPROCESO")-SUMIFS(MOVIMIENTOS!$F$4:$F$1000,MOVIMIENTOS!$C$4:$C$1000,A137,MOVIMIENTOS!$D$4:$D$1000,B137,MOVIMIENTOS!$E$4:$E$1000,C137,MOVIMIENTOS!$B$4:$B$1000,"MUESTRA")-SUMIFS(MOVIMIENTOS!$F$4:$F$1000,MOVIMIENTOS!$C$4:$C$1000,A137,MOVIMIENTOS!$D$4:$D$1000,B137,MOVIMIENTOS!$E$4:$E$1000,C137,MOVIMIENTOS!$B$4:$B$1000,"AJUSTE-"),0)</f>
        <v>3</v>
      </c>
      <c r="F137" s="101">
        <f>IFERROR(E137*VLOOKUP(B137,TELAS!$A$4:$C$32,3,FALSE()),0)</f>
        <v>60</v>
      </c>
      <c r="G137" s="102">
        <f>IFERROR(IF(D137="OSCURO",VLOOKUP(B137,PRECIOS!$A$4:$F$32,2,FALSE()),IF(D137="CLARO",VLOOKUP(B137,PRECIOS!$A$4:$F$32,3,FALSE()),IF(D137="MELANGE",VLOOKUP(B137,PRECIOS!$A$4:$F$32,4,FALSE()),IF(D137="PPT",VLOOKUP(B137,PRECIOS!$A$4:$F$32,5,FALSE()),0)))),0)</f>
        <v>26</v>
      </c>
      <c r="H137" s="103">
        <f t="shared" si="1"/>
        <v>1560</v>
      </c>
      <c r="I137" s="104" t="str">
        <f>IF(E137&lt;0,"ERROR",IF(E137=0,"",IF(E137&lt;CONFIG!$B$4,"CRÍTICO",IF(E137&lt;CONFIG!$B$5,"BAJO","OK"))))</f>
        <v>CRÍTICO</v>
      </c>
    </row>
    <row r="138" ht="15.75" customHeight="1">
      <c r="A138" s="90" t="str">
        <f>IF(CLIENTES!A4="","",CLIENTES!A4)</f>
        <v>OverShark</v>
      </c>
      <c r="B138" s="67" t="str">
        <f>TELAS!A10</f>
        <v>jersey full lycra 30/1</v>
      </c>
      <c r="C138" s="67" t="str">
        <f>COLORES!A18</f>
        <v>P. Rosa</v>
      </c>
      <c r="D138" s="67" t="str">
        <f>COLORES!B18</f>
        <v>CLARO</v>
      </c>
      <c r="E138" s="100">
        <f>IFERROR(SUMIFS(MOVIMIENTOS!$F$4:$F$1000,MOVIMIENTOS!$C$4:$C$1000,A138,MOVIMIENTOS!$D$4:$D$1000,B138,MOVIMIENTOS!$E$4:$E$1000,C138,MOVIMIENTOS!$B$4:$B$1000,"INGRESO")+SUMIFS(MOVIMIENTOS!$F$4:$F$1000,MOVIMIENTOS!$C$4:$C$1000,A138,MOVIMIENTOS!$D$4:$D$1000,B138,MOVIMIENTOS!$E$4:$E$1000,C138,MOVIMIENTOS!$B$4:$B$1000,"DE REPROCESO")+SUMIFS(MOVIMIENTOS!$F$4:$F$1000,MOVIMIENTOS!$C$4:$C$1000,A138,MOVIMIENTOS!$D$4:$D$1000,B138,MOVIMIENTOS!$E$4:$E$1000,C138,MOVIMIENTOS!$B$4:$B$1000,"AJUSTE+")-SUMIFS(MOVIMIENTOS!$F$4:$F$1000,MOVIMIENTOS!$C$4:$C$1000,A138,MOVIMIENTOS!$D$4:$D$1000,B138,MOVIMIENTOS!$E$4:$E$1000,C138,MOVIMIENTOS!$B$4:$B$1000,"A CORTE")-SUMIFS(MOVIMIENTOS!$F$4:$F$1000,MOVIMIENTOS!$C$4:$C$1000,A138,MOVIMIENTOS!$D$4:$D$1000,B138,MOVIMIENTOS!$E$4:$E$1000,C138,MOVIMIENTOS!$B$4:$B$1000,"A REPROCESO")-SUMIFS(MOVIMIENTOS!$F$4:$F$1000,MOVIMIENTOS!$C$4:$C$1000,A138,MOVIMIENTOS!$D$4:$D$1000,B138,MOVIMIENTOS!$E$4:$E$1000,C138,MOVIMIENTOS!$B$4:$B$1000,"MUESTRA")-SUMIFS(MOVIMIENTOS!$F$4:$F$1000,MOVIMIENTOS!$C$4:$C$1000,A138,MOVIMIENTOS!$D$4:$D$1000,B138,MOVIMIENTOS!$E$4:$E$1000,C138,MOVIMIENTOS!$B$4:$B$1000,"AJUSTE-"),0)</f>
        <v>6</v>
      </c>
      <c r="F138" s="101">
        <f>IFERROR(E138*VLOOKUP(B138,TELAS!$A$4:$C$32,3,FALSE()),0)</f>
        <v>120</v>
      </c>
      <c r="G138" s="102">
        <f>IFERROR(IF(D138="OSCURO",VLOOKUP(B138,PRECIOS!$A$4:$F$32,2,FALSE()),IF(D138="CLARO",VLOOKUP(B138,PRECIOS!$A$4:$F$32,3,FALSE()),IF(D138="MELANGE",VLOOKUP(B138,PRECIOS!$A$4:$F$32,4,FALSE()),IF(D138="PPT",VLOOKUP(B138,PRECIOS!$A$4:$F$32,5,FALSE()),0)))),0)</f>
        <v>22.5</v>
      </c>
      <c r="H138" s="103">
        <f t="shared" si="1"/>
        <v>2700</v>
      </c>
      <c r="I138" s="104" t="str">
        <f>IF(E138&lt;0,"ERROR",IF(E138=0,"",IF(E138&lt;CONFIG!$B$4,"CRÍTICO",IF(E138&lt;CONFIG!$B$5,"BAJO","OK"))))</f>
        <v>BAJO</v>
      </c>
    </row>
    <row r="139" ht="15.75" customHeight="1">
      <c r="A139" s="90" t="str">
        <f>IF(CLIENTES!A4="","",CLIENTES!A4)</f>
        <v>OverShark</v>
      </c>
      <c r="B139" s="67" t="str">
        <f>TELAS!A10</f>
        <v>jersey full lycra 30/1</v>
      </c>
      <c r="C139" s="67" t="str">
        <f>COLORES!A19</f>
        <v/>
      </c>
      <c r="D139" s="67" t="str">
        <f>COLORES!B19</f>
        <v/>
      </c>
      <c r="E139" s="100">
        <f>IFERROR(SUMIFS(MOVIMIENTOS!$F$4:$F$1000,MOVIMIENTOS!$C$4:$C$1000,A139,MOVIMIENTOS!$D$4:$D$1000,B139,MOVIMIENTOS!$E$4:$E$1000,C139,MOVIMIENTOS!$B$4:$B$1000,"INGRESO")+SUMIFS(MOVIMIENTOS!$F$4:$F$1000,MOVIMIENTOS!$C$4:$C$1000,A139,MOVIMIENTOS!$D$4:$D$1000,B139,MOVIMIENTOS!$E$4:$E$1000,C139,MOVIMIENTOS!$B$4:$B$1000,"DE REPROCESO")+SUMIFS(MOVIMIENTOS!$F$4:$F$1000,MOVIMIENTOS!$C$4:$C$1000,A139,MOVIMIENTOS!$D$4:$D$1000,B139,MOVIMIENTOS!$E$4:$E$1000,C139,MOVIMIENTOS!$B$4:$B$1000,"AJUSTE+")-SUMIFS(MOVIMIENTOS!$F$4:$F$1000,MOVIMIENTOS!$C$4:$C$1000,A139,MOVIMIENTOS!$D$4:$D$1000,B139,MOVIMIENTOS!$E$4:$E$1000,C139,MOVIMIENTOS!$B$4:$B$1000,"A CORTE")-SUMIFS(MOVIMIENTOS!$F$4:$F$1000,MOVIMIENTOS!$C$4:$C$1000,A139,MOVIMIENTOS!$D$4:$D$1000,B139,MOVIMIENTOS!$E$4:$E$1000,C139,MOVIMIENTOS!$B$4:$B$1000,"A REPROCESO")-SUMIFS(MOVIMIENTOS!$F$4:$F$1000,MOVIMIENTOS!$C$4:$C$1000,A139,MOVIMIENTOS!$D$4:$D$1000,B139,MOVIMIENTOS!$E$4:$E$1000,C139,MOVIMIENTOS!$B$4:$B$1000,"MUESTRA")-SUMIFS(MOVIMIENTOS!$F$4:$F$1000,MOVIMIENTOS!$C$4:$C$1000,A139,MOVIMIENTOS!$D$4:$D$1000,B139,MOVIMIENTOS!$E$4:$E$1000,C139,MOVIMIENTOS!$B$4:$B$1000,"AJUSTE-"),0)</f>
        <v>0</v>
      </c>
      <c r="F139" s="101">
        <f>IFERROR(E139*VLOOKUP(B139,TELAS!$A$4:$C$32,3,FALSE()),0)</f>
        <v>0</v>
      </c>
      <c r="G139" s="102">
        <f>IFERROR(IF(D139="OSCURO",VLOOKUP(B139,PRECIOS!$A$4:$F$32,2,FALSE()),IF(D139="CLARO",VLOOKUP(B139,PRECIOS!$A$4:$F$32,3,FALSE()),IF(D139="MELANGE",VLOOKUP(B139,PRECIOS!$A$4:$F$32,4,FALSE()),IF(D139="PPT",VLOOKUP(B139,PRECIOS!$A$4:$F$32,5,FALSE()),0)))),0)</f>
        <v>0</v>
      </c>
      <c r="H139" s="103">
        <f t="shared" si="1"/>
        <v>0</v>
      </c>
      <c r="I139" s="104" t="str">
        <f>IF(E139&lt;0,"ERROR",IF(E139=0,"",IF(E139&lt;CONFIG!$B$4,"CRÍTICO",IF(E139&lt;CONFIG!$B$5,"BAJO","OK"))))</f>
        <v/>
      </c>
    </row>
    <row r="140" ht="15.75" customHeight="1">
      <c r="A140" s="90" t="str">
        <f>IF(CLIENTES!A4="","",CLIENTES!A4)</f>
        <v>OverShark</v>
      </c>
      <c r="B140" s="67" t="str">
        <f>TELAS!A10</f>
        <v>jersey full lycra 30/1</v>
      </c>
      <c r="C140" s="67" t="str">
        <f>COLORES!A20</f>
        <v/>
      </c>
      <c r="D140" s="67" t="str">
        <f>COLORES!B20</f>
        <v/>
      </c>
      <c r="E140" s="100">
        <f>IFERROR(SUMIFS(MOVIMIENTOS!$F$4:$F$1000,MOVIMIENTOS!$C$4:$C$1000,A140,MOVIMIENTOS!$D$4:$D$1000,B140,MOVIMIENTOS!$E$4:$E$1000,C140,MOVIMIENTOS!$B$4:$B$1000,"INGRESO")+SUMIFS(MOVIMIENTOS!$F$4:$F$1000,MOVIMIENTOS!$C$4:$C$1000,A140,MOVIMIENTOS!$D$4:$D$1000,B140,MOVIMIENTOS!$E$4:$E$1000,C140,MOVIMIENTOS!$B$4:$B$1000,"DE REPROCESO")+SUMIFS(MOVIMIENTOS!$F$4:$F$1000,MOVIMIENTOS!$C$4:$C$1000,A140,MOVIMIENTOS!$D$4:$D$1000,B140,MOVIMIENTOS!$E$4:$E$1000,C140,MOVIMIENTOS!$B$4:$B$1000,"AJUSTE+")-SUMIFS(MOVIMIENTOS!$F$4:$F$1000,MOVIMIENTOS!$C$4:$C$1000,A140,MOVIMIENTOS!$D$4:$D$1000,B140,MOVIMIENTOS!$E$4:$E$1000,C140,MOVIMIENTOS!$B$4:$B$1000,"A CORTE")-SUMIFS(MOVIMIENTOS!$F$4:$F$1000,MOVIMIENTOS!$C$4:$C$1000,A140,MOVIMIENTOS!$D$4:$D$1000,B140,MOVIMIENTOS!$E$4:$E$1000,C140,MOVIMIENTOS!$B$4:$B$1000,"A REPROCESO")-SUMIFS(MOVIMIENTOS!$F$4:$F$1000,MOVIMIENTOS!$C$4:$C$1000,A140,MOVIMIENTOS!$D$4:$D$1000,B140,MOVIMIENTOS!$E$4:$E$1000,C140,MOVIMIENTOS!$B$4:$B$1000,"MUESTRA")-SUMIFS(MOVIMIENTOS!$F$4:$F$1000,MOVIMIENTOS!$C$4:$C$1000,A140,MOVIMIENTOS!$D$4:$D$1000,B140,MOVIMIENTOS!$E$4:$E$1000,C140,MOVIMIENTOS!$B$4:$B$1000,"AJUSTE-"),0)</f>
        <v>0</v>
      </c>
      <c r="F140" s="101">
        <f>IFERROR(E140*VLOOKUP(B140,TELAS!$A$4:$C$32,3,FALSE()),0)</f>
        <v>0</v>
      </c>
      <c r="G140" s="102">
        <f>IFERROR(IF(D140="OSCURO",VLOOKUP(B140,PRECIOS!$A$4:$F$32,2,FALSE()),IF(D140="CLARO",VLOOKUP(B140,PRECIOS!$A$4:$F$32,3,FALSE()),IF(D140="MELANGE",VLOOKUP(B140,PRECIOS!$A$4:$F$32,4,FALSE()),IF(D140="PPT",VLOOKUP(B140,PRECIOS!$A$4:$F$32,5,FALSE()),0)))),0)</f>
        <v>0</v>
      </c>
      <c r="H140" s="103">
        <f t="shared" si="1"/>
        <v>0</v>
      </c>
      <c r="I140" s="104" t="str">
        <f>IF(E140&lt;0,"ERROR",IF(E140=0,"",IF(E140&lt;CONFIG!$B$4,"CRÍTICO",IF(E140&lt;CONFIG!$B$5,"BAJO","OK"))))</f>
        <v/>
      </c>
    </row>
    <row r="141" ht="15.75" customHeight="1">
      <c r="A141" s="90" t="str">
        <f>IF(CLIENTES!A4="","",CLIENTES!A4)</f>
        <v>OverShark</v>
      </c>
      <c r="B141" s="67" t="str">
        <f>TELAS!A10</f>
        <v>jersey full lycra 30/1</v>
      </c>
      <c r="C141" s="67" t="str">
        <f>COLORES!A21</f>
        <v/>
      </c>
      <c r="D141" s="67" t="str">
        <f>COLORES!B21</f>
        <v/>
      </c>
      <c r="E141" s="100">
        <f>IFERROR(SUMIFS(MOVIMIENTOS!$F$4:$F$1000,MOVIMIENTOS!$C$4:$C$1000,A141,MOVIMIENTOS!$D$4:$D$1000,B141,MOVIMIENTOS!$E$4:$E$1000,C141,MOVIMIENTOS!$B$4:$B$1000,"INGRESO")+SUMIFS(MOVIMIENTOS!$F$4:$F$1000,MOVIMIENTOS!$C$4:$C$1000,A141,MOVIMIENTOS!$D$4:$D$1000,B141,MOVIMIENTOS!$E$4:$E$1000,C141,MOVIMIENTOS!$B$4:$B$1000,"DE REPROCESO")+SUMIFS(MOVIMIENTOS!$F$4:$F$1000,MOVIMIENTOS!$C$4:$C$1000,A141,MOVIMIENTOS!$D$4:$D$1000,B141,MOVIMIENTOS!$E$4:$E$1000,C141,MOVIMIENTOS!$B$4:$B$1000,"AJUSTE+")-SUMIFS(MOVIMIENTOS!$F$4:$F$1000,MOVIMIENTOS!$C$4:$C$1000,A141,MOVIMIENTOS!$D$4:$D$1000,B141,MOVIMIENTOS!$E$4:$E$1000,C141,MOVIMIENTOS!$B$4:$B$1000,"A CORTE")-SUMIFS(MOVIMIENTOS!$F$4:$F$1000,MOVIMIENTOS!$C$4:$C$1000,A141,MOVIMIENTOS!$D$4:$D$1000,B141,MOVIMIENTOS!$E$4:$E$1000,C141,MOVIMIENTOS!$B$4:$B$1000,"A REPROCESO")-SUMIFS(MOVIMIENTOS!$F$4:$F$1000,MOVIMIENTOS!$C$4:$C$1000,A141,MOVIMIENTOS!$D$4:$D$1000,B141,MOVIMIENTOS!$E$4:$E$1000,C141,MOVIMIENTOS!$B$4:$B$1000,"MUESTRA")-SUMIFS(MOVIMIENTOS!$F$4:$F$1000,MOVIMIENTOS!$C$4:$C$1000,A141,MOVIMIENTOS!$D$4:$D$1000,B141,MOVIMIENTOS!$E$4:$E$1000,C141,MOVIMIENTOS!$B$4:$B$1000,"AJUSTE-"),0)</f>
        <v>0</v>
      </c>
      <c r="F141" s="101">
        <f>IFERROR(E141*VLOOKUP(B141,TELAS!$A$4:$C$32,3,FALSE()),0)</f>
        <v>0</v>
      </c>
      <c r="G141" s="102">
        <f>IFERROR(IF(D141="OSCURO",VLOOKUP(B141,PRECIOS!$A$4:$F$32,2,FALSE()),IF(D141="CLARO",VLOOKUP(B141,PRECIOS!$A$4:$F$32,3,FALSE()),IF(D141="MELANGE",VLOOKUP(B141,PRECIOS!$A$4:$F$32,4,FALSE()),IF(D141="PPT",VLOOKUP(B141,PRECIOS!$A$4:$F$32,5,FALSE()),0)))),0)</f>
        <v>0</v>
      </c>
      <c r="H141" s="103">
        <f t="shared" si="1"/>
        <v>0</v>
      </c>
      <c r="I141" s="104" t="str">
        <f>IF(E141&lt;0,"ERROR",IF(E141=0,"",IF(E141&lt;CONFIG!$B$4,"CRÍTICO",IF(E141&lt;CONFIG!$B$5,"BAJO","OK"))))</f>
        <v/>
      </c>
    </row>
    <row r="142" ht="15.75" customHeight="1">
      <c r="A142" s="90" t="str">
        <f>IF(CLIENTES!A4="","",CLIENTES!A4)</f>
        <v>OverShark</v>
      </c>
      <c r="B142" s="67" t="str">
        <f>TELAS!A10</f>
        <v>jersey full lycra 30/1</v>
      </c>
      <c r="C142" s="67" t="str">
        <f>COLORES!A22</f>
        <v/>
      </c>
      <c r="D142" s="67" t="str">
        <f>COLORES!B22</f>
        <v/>
      </c>
      <c r="E142" s="100">
        <f>IFERROR(SUMIFS(MOVIMIENTOS!$F$4:$F$1000,MOVIMIENTOS!$C$4:$C$1000,A142,MOVIMIENTOS!$D$4:$D$1000,B142,MOVIMIENTOS!$E$4:$E$1000,C142,MOVIMIENTOS!$B$4:$B$1000,"INGRESO")+SUMIFS(MOVIMIENTOS!$F$4:$F$1000,MOVIMIENTOS!$C$4:$C$1000,A142,MOVIMIENTOS!$D$4:$D$1000,B142,MOVIMIENTOS!$E$4:$E$1000,C142,MOVIMIENTOS!$B$4:$B$1000,"DE REPROCESO")+SUMIFS(MOVIMIENTOS!$F$4:$F$1000,MOVIMIENTOS!$C$4:$C$1000,A142,MOVIMIENTOS!$D$4:$D$1000,B142,MOVIMIENTOS!$E$4:$E$1000,C142,MOVIMIENTOS!$B$4:$B$1000,"AJUSTE+")-SUMIFS(MOVIMIENTOS!$F$4:$F$1000,MOVIMIENTOS!$C$4:$C$1000,A142,MOVIMIENTOS!$D$4:$D$1000,B142,MOVIMIENTOS!$E$4:$E$1000,C142,MOVIMIENTOS!$B$4:$B$1000,"A CORTE")-SUMIFS(MOVIMIENTOS!$F$4:$F$1000,MOVIMIENTOS!$C$4:$C$1000,A142,MOVIMIENTOS!$D$4:$D$1000,B142,MOVIMIENTOS!$E$4:$E$1000,C142,MOVIMIENTOS!$B$4:$B$1000,"A REPROCESO")-SUMIFS(MOVIMIENTOS!$F$4:$F$1000,MOVIMIENTOS!$C$4:$C$1000,A142,MOVIMIENTOS!$D$4:$D$1000,B142,MOVIMIENTOS!$E$4:$E$1000,C142,MOVIMIENTOS!$B$4:$B$1000,"MUESTRA")-SUMIFS(MOVIMIENTOS!$F$4:$F$1000,MOVIMIENTOS!$C$4:$C$1000,A142,MOVIMIENTOS!$D$4:$D$1000,B142,MOVIMIENTOS!$E$4:$E$1000,C142,MOVIMIENTOS!$B$4:$B$1000,"AJUSTE-"),0)</f>
        <v>0</v>
      </c>
      <c r="F142" s="101">
        <f>IFERROR(E142*VLOOKUP(B142,TELAS!$A$4:$C$32,3,FALSE()),0)</f>
        <v>0</v>
      </c>
      <c r="G142" s="102">
        <f>IFERROR(IF(D142="OSCURO",VLOOKUP(B142,PRECIOS!$A$4:$F$32,2,FALSE()),IF(D142="CLARO",VLOOKUP(B142,PRECIOS!$A$4:$F$32,3,FALSE()),IF(D142="MELANGE",VLOOKUP(B142,PRECIOS!$A$4:$F$32,4,FALSE()),IF(D142="PPT",VLOOKUP(B142,PRECIOS!$A$4:$F$32,5,FALSE()),0)))),0)</f>
        <v>0</v>
      </c>
      <c r="H142" s="103">
        <f t="shared" si="1"/>
        <v>0</v>
      </c>
      <c r="I142" s="104" t="str">
        <f>IF(E142&lt;0,"ERROR",IF(E142=0,"",IF(E142&lt;CONFIG!$B$4,"CRÍTICO",IF(E142&lt;CONFIG!$B$5,"BAJO","OK"))))</f>
        <v/>
      </c>
    </row>
    <row r="143" ht="15.75" customHeight="1">
      <c r="A143" s="90" t="str">
        <f>IF(CLIENTES!A4="","",CLIENTES!A4)</f>
        <v>OverShark</v>
      </c>
      <c r="B143" s="67" t="str">
        <f>TELAS!A10</f>
        <v>jersey full lycra 30/1</v>
      </c>
      <c r="C143" s="67" t="str">
        <f>COLORES!A23</f>
        <v/>
      </c>
      <c r="D143" s="67" t="str">
        <f>COLORES!B23</f>
        <v/>
      </c>
      <c r="E143" s="100">
        <f>IFERROR(SUMIFS(MOVIMIENTOS!$F$4:$F$1000,MOVIMIENTOS!$C$4:$C$1000,A143,MOVIMIENTOS!$D$4:$D$1000,B143,MOVIMIENTOS!$E$4:$E$1000,C143,MOVIMIENTOS!$B$4:$B$1000,"INGRESO")+SUMIFS(MOVIMIENTOS!$F$4:$F$1000,MOVIMIENTOS!$C$4:$C$1000,A143,MOVIMIENTOS!$D$4:$D$1000,B143,MOVIMIENTOS!$E$4:$E$1000,C143,MOVIMIENTOS!$B$4:$B$1000,"DE REPROCESO")+SUMIFS(MOVIMIENTOS!$F$4:$F$1000,MOVIMIENTOS!$C$4:$C$1000,A143,MOVIMIENTOS!$D$4:$D$1000,B143,MOVIMIENTOS!$E$4:$E$1000,C143,MOVIMIENTOS!$B$4:$B$1000,"AJUSTE+")-SUMIFS(MOVIMIENTOS!$F$4:$F$1000,MOVIMIENTOS!$C$4:$C$1000,A143,MOVIMIENTOS!$D$4:$D$1000,B143,MOVIMIENTOS!$E$4:$E$1000,C143,MOVIMIENTOS!$B$4:$B$1000,"A CORTE")-SUMIFS(MOVIMIENTOS!$F$4:$F$1000,MOVIMIENTOS!$C$4:$C$1000,A143,MOVIMIENTOS!$D$4:$D$1000,B143,MOVIMIENTOS!$E$4:$E$1000,C143,MOVIMIENTOS!$B$4:$B$1000,"A REPROCESO")-SUMIFS(MOVIMIENTOS!$F$4:$F$1000,MOVIMIENTOS!$C$4:$C$1000,A143,MOVIMIENTOS!$D$4:$D$1000,B143,MOVIMIENTOS!$E$4:$E$1000,C143,MOVIMIENTOS!$B$4:$B$1000,"MUESTRA")-SUMIFS(MOVIMIENTOS!$F$4:$F$1000,MOVIMIENTOS!$C$4:$C$1000,A143,MOVIMIENTOS!$D$4:$D$1000,B143,MOVIMIENTOS!$E$4:$E$1000,C143,MOVIMIENTOS!$B$4:$B$1000,"AJUSTE-"),0)</f>
        <v>0</v>
      </c>
      <c r="F143" s="101">
        <f>IFERROR(E143*VLOOKUP(B143,TELAS!$A$4:$C$32,3,FALSE()),0)</f>
        <v>0</v>
      </c>
      <c r="G143" s="102">
        <f>IFERROR(IF(D143="OSCURO",VLOOKUP(B143,PRECIOS!$A$4:$F$32,2,FALSE()),IF(D143="CLARO",VLOOKUP(B143,PRECIOS!$A$4:$F$32,3,FALSE()),IF(D143="MELANGE",VLOOKUP(B143,PRECIOS!$A$4:$F$32,4,FALSE()),IF(D143="PPT",VLOOKUP(B143,PRECIOS!$A$4:$F$32,5,FALSE()),0)))),0)</f>
        <v>0</v>
      </c>
      <c r="H143" s="103">
        <f t="shared" si="1"/>
        <v>0</v>
      </c>
      <c r="I143" s="104" t="str">
        <f>IF(E143&lt;0,"ERROR",IF(E143=0,"",IF(E143&lt;CONFIG!$B$4,"CRÍTICO",IF(E143&lt;CONFIG!$B$5,"BAJO","OK"))))</f>
        <v/>
      </c>
    </row>
    <row r="144" ht="15.75" customHeight="1">
      <c r="A144" s="90" t="str">
        <f>IF(CLIENTES!A5="","",CLIENTES!A5)</f>
        <v>Bravos</v>
      </c>
      <c r="B144" s="67" t="str">
        <f>TELAS!A4</f>
        <v>jersey 30/1</v>
      </c>
      <c r="C144" s="67" t="str">
        <f>COLORES!A4</f>
        <v>Negro</v>
      </c>
      <c r="D144" s="67" t="str">
        <f>COLORES!B4</f>
        <v>OSCURO</v>
      </c>
      <c r="E144" s="100">
        <f>IFERROR(SUMIFS(MOVIMIENTOS!$F$4:$F$1000,MOVIMIENTOS!$C$4:$C$1000,A144,MOVIMIENTOS!$D$4:$D$1000,B144,MOVIMIENTOS!$E$4:$E$1000,C144,MOVIMIENTOS!$B$4:$B$1000,"INGRESO")+SUMIFS(MOVIMIENTOS!$F$4:$F$1000,MOVIMIENTOS!$C$4:$C$1000,A144,MOVIMIENTOS!$D$4:$D$1000,B144,MOVIMIENTOS!$E$4:$E$1000,C144,MOVIMIENTOS!$B$4:$B$1000,"DE REPROCESO")+SUMIFS(MOVIMIENTOS!$F$4:$F$1000,MOVIMIENTOS!$C$4:$C$1000,A144,MOVIMIENTOS!$D$4:$D$1000,B144,MOVIMIENTOS!$E$4:$E$1000,C144,MOVIMIENTOS!$B$4:$B$1000,"AJUSTE+")-SUMIFS(MOVIMIENTOS!$F$4:$F$1000,MOVIMIENTOS!$C$4:$C$1000,A144,MOVIMIENTOS!$D$4:$D$1000,B144,MOVIMIENTOS!$E$4:$E$1000,C144,MOVIMIENTOS!$B$4:$B$1000,"A CORTE")-SUMIFS(MOVIMIENTOS!$F$4:$F$1000,MOVIMIENTOS!$C$4:$C$1000,A144,MOVIMIENTOS!$D$4:$D$1000,B144,MOVIMIENTOS!$E$4:$E$1000,C144,MOVIMIENTOS!$B$4:$B$1000,"A REPROCESO")-SUMIFS(MOVIMIENTOS!$F$4:$F$1000,MOVIMIENTOS!$C$4:$C$1000,A144,MOVIMIENTOS!$D$4:$D$1000,B144,MOVIMIENTOS!$E$4:$E$1000,C144,MOVIMIENTOS!$B$4:$B$1000,"MUESTRA")-SUMIFS(MOVIMIENTOS!$F$4:$F$1000,MOVIMIENTOS!$C$4:$C$1000,A144,MOVIMIENTOS!$D$4:$D$1000,B144,MOVIMIENTOS!$E$4:$E$1000,C144,MOVIMIENTOS!$B$4:$B$1000,"AJUSTE-"),0)</f>
        <v>0</v>
      </c>
      <c r="F144" s="101">
        <f>IFERROR(E144*VLOOKUP(B144,TELAS!$A$4:$C$32,3,FALSE()),0)</f>
        <v>0</v>
      </c>
      <c r="G144" s="102">
        <f>IFERROR(IF(D144="OSCURO",VLOOKUP(B144,PRECIOS!$A$4:$F$32,2,FALSE()),IF(D144="CLARO",VLOOKUP(B144,PRECIOS!$A$4:$F$32,3,FALSE()),IF(D144="MELANGE",VLOOKUP(B144,PRECIOS!$A$4:$F$32,4,FALSE()),IF(D144="PPT",VLOOKUP(B144,PRECIOS!$A$4:$F$32,5,FALSE()),0)))),0)</f>
        <v>24</v>
      </c>
      <c r="H144" s="103">
        <f t="shared" si="1"/>
        <v>0</v>
      </c>
      <c r="I144" s="104" t="str">
        <f>IF(E144&lt;0,"ERROR",IF(E144=0,"",IF(E144&lt;CONFIG!$B$4,"CRÍTICO",IF(E144&lt;CONFIG!$B$5,"BAJO","OK"))))</f>
        <v/>
      </c>
    </row>
    <row r="145" ht="15.75" customHeight="1">
      <c r="A145" s="90" t="str">
        <f>IF(CLIENTES!A5="","",CLIENTES!A5)</f>
        <v>Bravos</v>
      </c>
      <c r="B145" s="67" t="str">
        <f>TELAS!A4</f>
        <v>jersey 30/1</v>
      </c>
      <c r="C145" s="67" t="str">
        <f>COLORES!A5</f>
        <v>Perla</v>
      </c>
      <c r="D145" s="67" t="str">
        <f>COLORES!B5</f>
        <v>PPT</v>
      </c>
      <c r="E145" s="100">
        <f>IFERROR(SUMIFS(MOVIMIENTOS!$F$4:$F$1000,MOVIMIENTOS!$C$4:$C$1000,A145,MOVIMIENTOS!$D$4:$D$1000,B145,MOVIMIENTOS!$E$4:$E$1000,C145,MOVIMIENTOS!$B$4:$B$1000,"INGRESO")+SUMIFS(MOVIMIENTOS!$F$4:$F$1000,MOVIMIENTOS!$C$4:$C$1000,A145,MOVIMIENTOS!$D$4:$D$1000,B145,MOVIMIENTOS!$E$4:$E$1000,C145,MOVIMIENTOS!$B$4:$B$1000,"DE REPROCESO")+SUMIFS(MOVIMIENTOS!$F$4:$F$1000,MOVIMIENTOS!$C$4:$C$1000,A145,MOVIMIENTOS!$D$4:$D$1000,B145,MOVIMIENTOS!$E$4:$E$1000,C145,MOVIMIENTOS!$B$4:$B$1000,"AJUSTE+")-SUMIFS(MOVIMIENTOS!$F$4:$F$1000,MOVIMIENTOS!$C$4:$C$1000,A145,MOVIMIENTOS!$D$4:$D$1000,B145,MOVIMIENTOS!$E$4:$E$1000,C145,MOVIMIENTOS!$B$4:$B$1000,"A CORTE")-SUMIFS(MOVIMIENTOS!$F$4:$F$1000,MOVIMIENTOS!$C$4:$C$1000,A145,MOVIMIENTOS!$D$4:$D$1000,B145,MOVIMIENTOS!$E$4:$E$1000,C145,MOVIMIENTOS!$B$4:$B$1000,"A REPROCESO")-SUMIFS(MOVIMIENTOS!$F$4:$F$1000,MOVIMIENTOS!$C$4:$C$1000,A145,MOVIMIENTOS!$D$4:$D$1000,B145,MOVIMIENTOS!$E$4:$E$1000,C145,MOVIMIENTOS!$B$4:$B$1000,"MUESTRA")-SUMIFS(MOVIMIENTOS!$F$4:$F$1000,MOVIMIENTOS!$C$4:$C$1000,A145,MOVIMIENTOS!$D$4:$D$1000,B145,MOVIMIENTOS!$E$4:$E$1000,C145,MOVIMIENTOS!$B$4:$B$1000,"AJUSTE-"),0)</f>
        <v>0</v>
      </c>
      <c r="F145" s="101">
        <f>IFERROR(E145*VLOOKUP(B145,TELAS!$A$4:$C$32,3,FALSE()),0)</f>
        <v>0</v>
      </c>
      <c r="G145" s="102">
        <f>IFERROR(IF(D145="OSCURO",VLOOKUP(B145,PRECIOS!$A$4:$F$32,2,FALSE()),IF(D145="CLARO",VLOOKUP(B145,PRECIOS!$A$4:$F$32,3,FALSE()),IF(D145="MELANGE",VLOOKUP(B145,PRECIOS!$A$4:$F$32,4,FALSE()),IF(D145="PPT",VLOOKUP(B145,PRECIOS!$A$4:$F$32,5,FALSE()),0)))),0)</f>
        <v>18</v>
      </c>
      <c r="H145" s="103">
        <f t="shared" si="1"/>
        <v>0</v>
      </c>
      <c r="I145" s="104" t="str">
        <f>IF(E145&lt;0,"ERROR",IF(E145=0,"",IF(E145&lt;CONFIG!$B$4,"CRÍTICO",IF(E145&lt;CONFIG!$B$5,"BAJO","OK"))))</f>
        <v/>
      </c>
    </row>
    <row r="146" ht="15.75" customHeight="1">
      <c r="A146" s="90" t="str">
        <f>IF(CLIENTES!A5="","",CLIENTES!A5)</f>
        <v>Bravos</v>
      </c>
      <c r="B146" s="67" t="str">
        <f>TELAS!A4</f>
        <v>jersey 30/1</v>
      </c>
      <c r="C146" s="67" t="str">
        <f>COLORES!A6</f>
        <v>Blanco</v>
      </c>
      <c r="D146" s="67" t="str">
        <f>COLORES!B6</f>
        <v>PPT</v>
      </c>
      <c r="E146" s="100">
        <f>IFERROR(SUMIFS(MOVIMIENTOS!$F$4:$F$1000,MOVIMIENTOS!$C$4:$C$1000,A146,MOVIMIENTOS!$D$4:$D$1000,B146,MOVIMIENTOS!$E$4:$E$1000,C146,MOVIMIENTOS!$B$4:$B$1000,"INGRESO")+SUMIFS(MOVIMIENTOS!$F$4:$F$1000,MOVIMIENTOS!$C$4:$C$1000,A146,MOVIMIENTOS!$D$4:$D$1000,B146,MOVIMIENTOS!$E$4:$E$1000,C146,MOVIMIENTOS!$B$4:$B$1000,"DE REPROCESO")+SUMIFS(MOVIMIENTOS!$F$4:$F$1000,MOVIMIENTOS!$C$4:$C$1000,A146,MOVIMIENTOS!$D$4:$D$1000,B146,MOVIMIENTOS!$E$4:$E$1000,C146,MOVIMIENTOS!$B$4:$B$1000,"AJUSTE+")-SUMIFS(MOVIMIENTOS!$F$4:$F$1000,MOVIMIENTOS!$C$4:$C$1000,A146,MOVIMIENTOS!$D$4:$D$1000,B146,MOVIMIENTOS!$E$4:$E$1000,C146,MOVIMIENTOS!$B$4:$B$1000,"A CORTE")-SUMIFS(MOVIMIENTOS!$F$4:$F$1000,MOVIMIENTOS!$C$4:$C$1000,A146,MOVIMIENTOS!$D$4:$D$1000,B146,MOVIMIENTOS!$E$4:$E$1000,C146,MOVIMIENTOS!$B$4:$B$1000,"A REPROCESO")-SUMIFS(MOVIMIENTOS!$F$4:$F$1000,MOVIMIENTOS!$C$4:$C$1000,A146,MOVIMIENTOS!$D$4:$D$1000,B146,MOVIMIENTOS!$E$4:$E$1000,C146,MOVIMIENTOS!$B$4:$B$1000,"MUESTRA")-SUMIFS(MOVIMIENTOS!$F$4:$F$1000,MOVIMIENTOS!$C$4:$C$1000,A146,MOVIMIENTOS!$D$4:$D$1000,B146,MOVIMIENTOS!$E$4:$E$1000,C146,MOVIMIENTOS!$B$4:$B$1000,"AJUSTE-"),0)</f>
        <v>0</v>
      </c>
      <c r="F146" s="101">
        <f>IFERROR(E146*VLOOKUP(B146,TELAS!$A$4:$C$32,3,FALSE()),0)</f>
        <v>0</v>
      </c>
      <c r="G146" s="102">
        <f>IFERROR(IF(D146="OSCURO",VLOOKUP(B146,PRECIOS!$A$4:$F$32,2,FALSE()),IF(D146="CLARO",VLOOKUP(B146,PRECIOS!$A$4:$F$32,3,FALSE()),IF(D146="MELANGE",VLOOKUP(B146,PRECIOS!$A$4:$F$32,4,FALSE()),IF(D146="PPT",VLOOKUP(B146,PRECIOS!$A$4:$F$32,5,FALSE()),0)))),0)</f>
        <v>18</v>
      </c>
      <c r="H146" s="103">
        <f t="shared" si="1"/>
        <v>0</v>
      </c>
      <c r="I146" s="104" t="str">
        <f>IF(E146&lt;0,"ERROR",IF(E146=0,"",IF(E146&lt;CONFIG!$B$4,"CRÍTICO",IF(E146&lt;CONFIG!$B$5,"BAJO","OK"))))</f>
        <v/>
      </c>
    </row>
    <row r="147" ht="15.75" customHeight="1">
      <c r="A147" s="90" t="str">
        <f>IF(CLIENTES!A5="","",CLIENTES!A5)</f>
        <v>Bravos</v>
      </c>
      <c r="B147" s="67" t="str">
        <f>TELAS!A4</f>
        <v>jersey 30/1</v>
      </c>
      <c r="C147" s="67" t="str">
        <f>COLORES!A7</f>
        <v>Azul</v>
      </c>
      <c r="D147" s="67" t="str">
        <f>COLORES!B7</f>
        <v>OSCURO</v>
      </c>
      <c r="E147" s="100">
        <f>IFERROR(SUMIFS(MOVIMIENTOS!$F$4:$F$1000,MOVIMIENTOS!$C$4:$C$1000,A147,MOVIMIENTOS!$D$4:$D$1000,B147,MOVIMIENTOS!$E$4:$E$1000,C147,MOVIMIENTOS!$B$4:$B$1000,"INGRESO")+SUMIFS(MOVIMIENTOS!$F$4:$F$1000,MOVIMIENTOS!$C$4:$C$1000,A147,MOVIMIENTOS!$D$4:$D$1000,B147,MOVIMIENTOS!$E$4:$E$1000,C147,MOVIMIENTOS!$B$4:$B$1000,"DE REPROCESO")+SUMIFS(MOVIMIENTOS!$F$4:$F$1000,MOVIMIENTOS!$C$4:$C$1000,A147,MOVIMIENTOS!$D$4:$D$1000,B147,MOVIMIENTOS!$E$4:$E$1000,C147,MOVIMIENTOS!$B$4:$B$1000,"AJUSTE+")-SUMIFS(MOVIMIENTOS!$F$4:$F$1000,MOVIMIENTOS!$C$4:$C$1000,A147,MOVIMIENTOS!$D$4:$D$1000,B147,MOVIMIENTOS!$E$4:$E$1000,C147,MOVIMIENTOS!$B$4:$B$1000,"A CORTE")-SUMIFS(MOVIMIENTOS!$F$4:$F$1000,MOVIMIENTOS!$C$4:$C$1000,A147,MOVIMIENTOS!$D$4:$D$1000,B147,MOVIMIENTOS!$E$4:$E$1000,C147,MOVIMIENTOS!$B$4:$B$1000,"A REPROCESO")-SUMIFS(MOVIMIENTOS!$F$4:$F$1000,MOVIMIENTOS!$C$4:$C$1000,A147,MOVIMIENTOS!$D$4:$D$1000,B147,MOVIMIENTOS!$E$4:$E$1000,C147,MOVIMIENTOS!$B$4:$B$1000,"MUESTRA")-SUMIFS(MOVIMIENTOS!$F$4:$F$1000,MOVIMIENTOS!$C$4:$C$1000,A147,MOVIMIENTOS!$D$4:$D$1000,B147,MOVIMIENTOS!$E$4:$E$1000,C147,MOVIMIENTOS!$B$4:$B$1000,"AJUSTE-"),0)</f>
        <v>0</v>
      </c>
      <c r="F147" s="101">
        <f>IFERROR(E147*VLOOKUP(B147,TELAS!$A$4:$C$32,3,FALSE()),0)</f>
        <v>0</v>
      </c>
      <c r="G147" s="102">
        <f>IFERROR(IF(D147="OSCURO",VLOOKUP(B147,PRECIOS!$A$4:$F$32,2,FALSE()),IF(D147="CLARO",VLOOKUP(B147,PRECIOS!$A$4:$F$32,3,FALSE()),IF(D147="MELANGE",VLOOKUP(B147,PRECIOS!$A$4:$F$32,4,FALSE()),IF(D147="PPT",VLOOKUP(B147,PRECIOS!$A$4:$F$32,5,FALSE()),0)))),0)</f>
        <v>24</v>
      </c>
      <c r="H147" s="103">
        <f t="shared" si="1"/>
        <v>0</v>
      </c>
      <c r="I147" s="104" t="str">
        <f>IF(E147&lt;0,"ERROR",IF(E147=0,"",IF(E147&lt;CONFIG!$B$4,"CRÍTICO",IF(E147&lt;CONFIG!$B$5,"BAJO","OK"))))</f>
        <v/>
      </c>
    </row>
    <row r="148" ht="15.75" customHeight="1">
      <c r="A148" s="90" t="str">
        <f>IF(CLIENTES!A5="","",CLIENTES!A5)</f>
        <v>Bravos</v>
      </c>
      <c r="B148" s="67" t="str">
        <f>TELAS!A4</f>
        <v>jersey 30/1</v>
      </c>
      <c r="C148" s="67" t="str">
        <f>COLORES!A8</f>
        <v>Beige</v>
      </c>
      <c r="D148" s="67" t="str">
        <f>COLORES!B8</f>
        <v>CLARO</v>
      </c>
      <c r="E148" s="100">
        <f>IFERROR(SUMIFS(MOVIMIENTOS!$F$4:$F$1000,MOVIMIENTOS!$C$4:$C$1000,A148,MOVIMIENTOS!$D$4:$D$1000,B148,MOVIMIENTOS!$E$4:$E$1000,C148,MOVIMIENTOS!$B$4:$B$1000,"INGRESO")+SUMIFS(MOVIMIENTOS!$F$4:$F$1000,MOVIMIENTOS!$C$4:$C$1000,A148,MOVIMIENTOS!$D$4:$D$1000,B148,MOVIMIENTOS!$E$4:$E$1000,C148,MOVIMIENTOS!$B$4:$B$1000,"DE REPROCESO")+SUMIFS(MOVIMIENTOS!$F$4:$F$1000,MOVIMIENTOS!$C$4:$C$1000,A148,MOVIMIENTOS!$D$4:$D$1000,B148,MOVIMIENTOS!$E$4:$E$1000,C148,MOVIMIENTOS!$B$4:$B$1000,"AJUSTE+")-SUMIFS(MOVIMIENTOS!$F$4:$F$1000,MOVIMIENTOS!$C$4:$C$1000,A148,MOVIMIENTOS!$D$4:$D$1000,B148,MOVIMIENTOS!$E$4:$E$1000,C148,MOVIMIENTOS!$B$4:$B$1000,"A CORTE")-SUMIFS(MOVIMIENTOS!$F$4:$F$1000,MOVIMIENTOS!$C$4:$C$1000,A148,MOVIMIENTOS!$D$4:$D$1000,B148,MOVIMIENTOS!$E$4:$E$1000,C148,MOVIMIENTOS!$B$4:$B$1000,"A REPROCESO")-SUMIFS(MOVIMIENTOS!$F$4:$F$1000,MOVIMIENTOS!$C$4:$C$1000,A148,MOVIMIENTOS!$D$4:$D$1000,B148,MOVIMIENTOS!$E$4:$E$1000,C148,MOVIMIENTOS!$B$4:$B$1000,"MUESTRA")-SUMIFS(MOVIMIENTOS!$F$4:$F$1000,MOVIMIENTOS!$C$4:$C$1000,A148,MOVIMIENTOS!$D$4:$D$1000,B148,MOVIMIENTOS!$E$4:$E$1000,C148,MOVIMIENTOS!$B$4:$B$1000,"AJUSTE-"),0)</f>
        <v>0</v>
      </c>
      <c r="F148" s="101">
        <f>IFERROR(E148*VLOOKUP(B148,TELAS!$A$4:$C$32,3,FALSE()),0)</f>
        <v>0</v>
      </c>
      <c r="G148" s="102">
        <f>IFERROR(IF(D148="OSCURO",VLOOKUP(B148,PRECIOS!$A$4:$F$32,2,FALSE()),IF(D148="CLARO",VLOOKUP(B148,PRECIOS!$A$4:$F$32,3,FALSE()),IF(D148="MELANGE",VLOOKUP(B148,PRECIOS!$A$4:$F$32,4,FALSE()),IF(D148="PPT",VLOOKUP(B148,PRECIOS!$A$4:$F$32,5,FALSE()),0)))),0)</f>
        <v>21</v>
      </c>
      <c r="H148" s="103">
        <f t="shared" si="1"/>
        <v>0</v>
      </c>
      <c r="I148" s="104" t="str">
        <f>IF(E148&lt;0,"ERROR",IF(E148=0,"",IF(E148&lt;CONFIG!$B$4,"CRÍTICO",IF(E148&lt;CONFIG!$B$5,"BAJO","OK"))))</f>
        <v/>
      </c>
    </row>
    <row r="149" ht="15.75" customHeight="1">
      <c r="A149" s="90" t="str">
        <f>IF(CLIENTES!A5="","",CLIENTES!A5)</f>
        <v>Bravos</v>
      </c>
      <c r="B149" s="67" t="str">
        <f>TELAS!A4</f>
        <v>jersey 30/1</v>
      </c>
      <c r="C149" s="67" t="str">
        <f>COLORES!A9</f>
        <v>Melange</v>
      </c>
      <c r="D149" s="67" t="str">
        <f>COLORES!B9</f>
        <v>MELANGE</v>
      </c>
      <c r="E149" s="100">
        <f>IFERROR(SUMIFS(MOVIMIENTOS!$F$4:$F$1000,MOVIMIENTOS!$C$4:$C$1000,A149,MOVIMIENTOS!$D$4:$D$1000,B149,MOVIMIENTOS!$E$4:$E$1000,C149,MOVIMIENTOS!$B$4:$B$1000,"INGRESO")+SUMIFS(MOVIMIENTOS!$F$4:$F$1000,MOVIMIENTOS!$C$4:$C$1000,A149,MOVIMIENTOS!$D$4:$D$1000,B149,MOVIMIENTOS!$E$4:$E$1000,C149,MOVIMIENTOS!$B$4:$B$1000,"DE REPROCESO")+SUMIFS(MOVIMIENTOS!$F$4:$F$1000,MOVIMIENTOS!$C$4:$C$1000,A149,MOVIMIENTOS!$D$4:$D$1000,B149,MOVIMIENTOS!$E$4:$E$1000,C149,MOVIMIENTOS!$B$4:$B$1000,"AJUSTE+")-SUMIFS(MOVIMIENTOS!$F$4:$F$1000,MOVIMIENTOS!$C$4:$C$1000,A149,MOVIMIENTOS!$D$4:$D$1000,B149,MOVIMIENTOS!$E$4:$E$1000,C149,MOVIMIENTOS!$B$4:$B$1000,"A CORTE")-SUMIFS(MOVIMIENTOS!$F$4:$F$1000,MOVIMIENTOS!$C$4:$C$1000,A149,MOVIMIENTOS!$D$4:$D$1000,B149,MOVIMIENTOS!$E$4:$E$1000,C149,MOVIMIENTOS!$B$4:$B$1000,"A REPROCESO")-SUMIFS(MOVIMIENTOS!$F$4:$F$1000,MOVIMIENTOS!$C$4:$C$1000,A149,MOVIMIENTOS!$D$4:$D$1000,B149,MOVIMIENTOS!$E$4:$E$1000,C149,MOVIMIENTOS!$B$4:$B$1000,"MUESTRA")-SUMIFS(MOVIMIENTOS!$F$4:$F$1000,MOVIMIENTOS!$C$4:$C$1000,A149,MOVIMIENTOS!$D$4:$D$1000,B149,MOVIMIENTOS!$E$4:$E$1000,C149,MOVIMIENTOS!$B$4:$B$1000,"AJUSTE-"),0)</f>
        <v>0</v>
      </c>
      <c r="F149" s="101">
        <f>IFERROR(E149*VLOOKUP(B149,TELAS!$A$4:$C$32,3,FALSE()),0)</f>
        <v>0</v>
      </c>
      <c r="G149" s="102">
        <f>IFERROR(IF(D149="OSCURO",VLOOKUP(B149,PRECIOS!$A$4:$F$32,2,FALSE()),IF(D149="CLARO",VLOOKUP(B149,PRECIOS!$A$4:$F$32,3,FALSE()),IF(D149="MELANGE",VLOOKUP(B149,PRECIOS!$A$4:$F$32,4,FALSE()),IF(D149="PPT",VLOOKUP(B149,PRECIOS!$A$4:$F$32,5,FALSE()),0)))),0)</f>
        <v>18</v>
      </c>
      <c r="H149" s="103">
        <f t="shared" si="1"/>
        <v>0</v>
      </c>
      <c r="I149" s="104" t="str">
        <f>IF(E149&lt;0,"ERROR",IF(E149=0,"",IF(E149&lt;CONFIG!$B$4,"CRÍTICO",IF(E149&lt;CONFIG!$B$5,"BAJO","OK"))))</f>
        <v/>
      </c>
    </row>
    <row r="150" ht="15.75" customHeight="1">
      <c r="A150" s="90" t="str">
        <f>IF(CLIENTES!A5="","",CLIENTES!A5)</f>
        <v>Bravos</v>
      </c>
      <c r="B150" s="67" t="str">
        <f>TELAS!A4</f>
        <v>jersey 30/1</v>
      </c>
      <c r="C150" s="67" t="str">
        <f>COLORES!A10</f>
        <v>Botella</v>
      </c>
      <c r="D150" s="67" t="str">
        <f>COLORES!B10</f>
        <v>OSCURO</v>
      </c>
      <c r="E150" s="100">
        <f>IFERROR(SUMIFS(MOVIMIENTOS!$F$4:$F$1000,MOVIMIENTOS!$C$4:$C$1000,A150,MOVIMIENTOS!$D$4:$D$1000,B150,MOVIMIENTOS!$E$4:$E$1000,C150,MOVIMIENTOS!$B$4:$B$1000,"INGRESO")+SUMIFS(MOVIMIENTOS!$F$4:$F$1000,MOVIMIENTOS!$C$4:$C$1000,A150,MOVIMIENTOS!$D$4:$D$1000,B150,MOVIMIENTOS!$E$4:$E$1000,C150,MOVIMIENTOS!$B$4:$B$1000,"DE REPROCESO")+SUMIFS(MOVIMIENTOS!$F$4:$F$1000,MOVIMIENTOS!$C$4:$C$1000,A150,MOVIMIENTOS!$D$4:$D$1000,B150,MOVIMIENTOS!$E$4:$E$1000,C150,MOVIMIENTOS!$B$4:$B$1000,"AJUSTE+")-SUMIFS(MOVIMIENTOS!$F$4:$F$1000,MOVIMIENTOS!$C$4:$C$1000,A150,MOVIMIENTOS!$D$4:$D$1000,B150,MOVIMIENTOS!$E$4:$E$1000,C150,MOVIMIENTOS!$B$4:$B$1000,"A CORTE")-SUMIFS(MOVIMIENTOS!$F$4:$F$1000,MOVIMIENTOS!$C$4:$C$1000,A150,MOVIMIENTOS!$D$4:$D$1000,B150,MOVIMIENTOS!$E$4:$E$1000,C150,MOVIMIENTOS!$B$4:$B$1000,"A REPROCESO")-SUMIFS(MOVIMIENTOS!$F$4:$F$1000,MOVIMIENTOS!$C$4:$C$1000,A150,MOVIMIENTOS!$D$4:$D$1000,B150,MOVIMIENTOS!$E$4:$E$1000,C150,MOVIMIENTOS!$B$4:$B$1000,"MUESTRA")-SUMIFS(MOVIMIENTOS!$F$4:$F$1000,MOVIMIENTOS!$C$4:$C$1000,A150,MOVIMIENTOS!$D$4:$D$1000,B150,MOVIMIENTOS!$E$4:$E$1000,C150,MOVIMIENTOS!$B$4:$B$1000,"AJUSTE-"),0)</f>
        <v>0</v>
      </c>
      <c r="F150" s="101">
        <f>IFERROR(E150*VLOOKUP(B150,TELAS!$A$4:$C$32,3,FALSE()),0)</f>
        <v>0</v>
      </c>
      <c r="G150" s="102">
        <f>IFERROR(IF(D150="OSCURO",VLOOKUP(B150,PRECIOS!$A$4:$F$32,2,FALSE()),IF(D150="CLARO",VLOOKUP(B150,PRECIOS!$A$4:$F$32,3,FALSE()),IF(D150="MELANGE",VLOOKUP(B150,PRECIOS!$A$4:$F$32,4,FALSE()),IF(D150="PPT",VLOOKUP(B150,PRECIOS!$A$4:$F$32,5,FALSE()),0)))),0)</f>
        <v>24</v>
      </c>
      <c r="H150" s="103">
        <f t="shared" si="1"/>
        <v>0</v>
      </c>
      <c r="I150" s="104" t="str">
        <f>IF(E150&lt;0,"ERROR",IF(E150=0,"",IF(E150&lt;CONFIG!$B$4,"CRÍTICO",IF(E150&lt;CONFIG!$B$5,"BAJO","OK"))))</f>
        <v/>
      </c>
    </row>
    <row r="151" ht="15.75" customHeight="1">
      <c r="A151" s="90" t="str">
        <f>IF(CLIENTES!A5="","",CLIENTES!A5)</f>
        <v>Bravos</v>
      </c>
      <c r="B151" s="67" t="str">
        <f>TELAS!A4</f>
        <v>jersey 30/1</v>
      </c>
      <c r="C151" s="67" t="str">
        <f>COLORES!A11</f>
        <v>Pacay</v>
      </c>
      <c r="D151" s="67" t="str">
        <f>COLORES!B11</f>
        <v>CLARO</v>
      </c>
      <c r="E151" s="100">
        <f>IFERROR(SUMIFS(MOVIMIENTOS!$F$4:$F$1000,MOVIMIENTOS!$C$4:$C$1000,A151,MOVIMIENTOS!$D$4:$D$1000,B151,MOVIMIENTOS!$E$4:$E$1000,C151,MOVIMIENTOS!$B$4:$B$1000,"INGRESO")+SUMIFS(MOVIMIENTOS!$F$4:$F$1000,MOVIMIENTOS!$C$4:$C$1000,A151,MOVIMIENTOS!$D$4:$D$1000,B151,MOVIMIENTOS!$E$4:$E$1000,C151,MOVIMIENTOS!$B$4:$B$1000,"DE REPROCESO")+SUMIFS(MOVIMIENTOS!$F$4:$F$1000,MOVIMIENTOS!$C$4:$C$1000,A151,MOVIMIENTOS!$D$4:$D$1000,B151,MOVIMIENTOS!$E$4:$E$1000,C151,MOVIMIENTOS!$B$4:$B$1000,"AJUSTE+")-SUMIFS(MOVIMIENTOS!$F$4:$F$1000,MOVIMIENTOS!$C$4:$C$1000,A151,MOVIMIENTOS!$D$4:$D$1000,B151,MOVIMIENTOS!$E$4:$E$1000,C151,MOVIMIENTOS!$B$4:$B$1000,"A CORTE")-SUMIFS(MOVIMIENTOS!$F$4:$F$1000,MOVIMIENTOS!$C$4:$C$1000,A151,MOVIMIENTOS!$D$4:$D$1000,B151,MOVIMIENTOS!$E$4:$E$1000,C151,MOVIMIENTOS!$B$4:$B$1000,"A REPROCESO")-SUMIFS(MOVIMIENTOS!$F$4:$F$1000,MOVIMIENTOS!$C$4:$C$1000,A151,MOVIMIENTOS!$D$4:$D$1000,B151,MOVIMIENTOS!$E$4:$E$1000,C151,MOVIMIENTOS!$B$4:$B$1000,"MUESTRA")-SUMIFS(MOVIMIENTOS!$F$4:$F$1000,MOVIMIENTOS!$C$4:$C$1000,A151,MOVIMIENTOS!$D$4:$D$1000,B151,MOVIMIENTOS!$E$4:$E$1000,C151,MOVIMIENTOS!$B$4:$B$1000,"AJUSTE-"),0)</f>
        <v>0</v>
      </c>
      <c r="F151" s="101">
        <f>IFERROR(E151*VLOOKUP(B151,TELAS!$A$4:$C$32,3,FALSE()),0)</f>
        <v>0</v>
      </c>
      <c r="G151" s="102">
        <f>IFERROR(IF(D151="OSCURO",VLOOKUP(B151,PRECIOS!$A$4:$F$32,2,FALSE()),IF(D151="CLARO",VLOOKUP(B151,PRECIOS!$A$4:$F$32,3,FALSE()),IF(D151="MELANGE",VLOOKUP(B151,PRECIOS!$A$4:$F$32,4,FALSE()),IF(D151="PPT",VLOOKUP(B151,PRECIOS!$A$4:$F$32,5,FALSE()),0)))),0)</f>
        <v>21</v>
      </c>
      <c r="H151" s="103">
        <f t="shared" si="1"/>
        <v>0</v>
      </c>
      <c r="I151" s="104" t="str">
        <f>IF(E151&lt;0,"ERROR",IF(E151=0,"",IF(E151&lt;CONFIG!$B$4,"CRÍTICO",IF(E151&lt;CONFIG!$B$5,"BAJO","OK"))))</f>
        <v/>
      </c>
    </row>
    <row r="152" ht="15.75" customHeight="1">
      <c r="A152" s="90" t="str">
        <f>IF(CLIENTES!A5="","",CLIENTES!A5)</f>
        <v>Bravos</v>
      </c>
      <c r="B152" s="67" t="str">
        <f>TELAS!A4</f>
        <v>jersey 30/1</v>
      </c>
      <c r="C152" s="67" t="str">
        <f>COLORES!A12</f>
        <v>Cemento</v>
      </c>
      <c r="D152" s="67" t="str">
        <f>COLORES!B12</f>
        <v>CLARO</v>
      </c>
      <c r="E152" s="100">
        <f>IFERROR(SUMIFS(MOVIMIENTOS!$F$4:$F$1000,MOVIMIENTOS!$C$4:$C$1000,A152,MOVIMIENTOS!$D$4:$D$1000,B152,MOVIMIENTOS!$E$4:$E$1000,C152,MOVIMIENTOS!$B$4:$B$1000,"INGRESO")+SUMIFS(MOVIMIENTOS!$F$4:$F$1000,MOVIMIENTOS!$C$4:$C$1000,A152,MOVIMIENTOS!$D$4:$D$1000,B152,MOVIMIENTOS!$E$4:$E$1000,C152,MOVIMIENTOS!$B$4:$B$1000,"DE REPROCESO")+SUMIFS(MOVIMIENTOS!$F$4:$F$1000,MOVIMIENTOS!$C$4:$C$1000,A152,MOVIMIENTOS!$D$4:$D$1000,B152,MOVIMIENTOS!$E$4:$E$1000,C152,MOVIMIENTOS!$B$4:$B$1000,"AJUSTE+")-SUMIFS(MOVIMIENTOS!$F$4:$F$1000,MOVIMIENTOS!$C$4:$C$1000,A152,MOVIMIENTOS!$D$4:$D$1000,B152,MOVIMIENTOS!$E$4:$E$1000,C152,MOVIMIENTOS!$B$4:$B$1000,"A CORTE")-SUMIFS(MOVIMIENTOS!$F$4:$F$1000,MOVIMIENTOS!$C$4:$C$1000,A152,MOVIMIENTOS!$D$4:$D$1000,B152,MOVIMIENTOS!$E$4:$E$1000,C152,MOVIMIENTOS!$B$4:$B$1000,"A REPROCESO")-SUMIFS(MOVIMIENTOS!$F$4:$F$1000,MOVIMIENTOS!$C$4:$C$1000,A152,MOVIMIENTOS!$D$4:$D$1000,B152,MOVIMIENTOS!$E$4:$E$1000,C152,MOVIMIENTOS!$B$4:$B$1000,"MUESTRA")-SUMIFS(MOVIMIENTOS!$F$4:$F$1000,MOVIMIENTOS!$C$4:$C$1000,A152,MOVIMIENTOS!$D$4:$D$1000,B152,MOVIMIENTOS!$E$4:$E$1000,C152,MOVIMIENTOS!$B$4:$B$1000,"AJUSTE-"),0)</f>
        <v>0</v>
      </c>
      <c r="F152" s="101">
        <f>IFERROR(E152*VLOOKUP(B152,TELAS!$A$4:$C$32,3,FALSE()),0)</f>
        <v>0</v>
      </c>
      <c r="G152" s="102">
        <f>IFERROR(IF(D152="OSCURO",VLOOKUP(B152,PRECIOS!$A$4:$F$32,2,FALSE()),IF(D152="CLARO",VLOOKUP(B152,PRECIOS!$A$4:$F$32,3,FALSE()),IF(D152="MELANGE",VLOOKUP(B152,PRECIOS!$A$4:$F$32,4,FALSE()),IF(D152="PPT",VLOOKUP(B152,PRECIOS!$A$4:$F$32,5,FALSE()),0)))),0)</f>
        <v>21</v>
      </c>
      <c r="H152" s="103">
        <f t="shared" si="1"/>
        <v>0</v>
      </c>
      <c r="I152" s="104" t="str">
        <f>IF(E152&lt;0,"ERROR",IF(E152=0,"",IF(E152&lt;CONFIG!$B$4,"CRÍTICO",IF(E152&lt;CONFIG!$B$5,"BAJO","OK"))))</f>
        <v/>
      </c>
    </row>
    <row r="153" ht="15.75" customHeight="1">
      <c r="A153" s="90" t="str">
        <f>IF(CLIENTES!A5="","",CLIENTES!A5)</f>
        <v>Bravos</v>
      </c>
      <c r="B153" s="67" t="str">
        <f>TELAS!A4</f>
        <v>jersey 30/1</v>
      </c>
      <c r="C153" s="67" t="str">
        <f>COLORES!A13</f>
        <v>Camote</v>
      </c>
      <c r="D153" s="67" t="str">
        <f>COLORES!B13</f>
        <v>CLARO</v>
      </c>
      <c r="E153" s="100">
        <f>IFERROR(SUMIFS(MOVIMIENTOS!$F$4:$F$1000,MOVIMIENTOS!$C$4:$C$1000,A153,MOVIMIENTOS!$D$4:$D$1000,B153,MOVIMIENTOS!$E$4:$E$1000,C153,MOVIMIENTOS!$B$4:$B$1000,"INGRESO")+SUMIFS(MOVIMIENTOS!$F$4:$F$1000,MOVIMIENTOS!$C$4:$C$1000,A153,MOVIMIENTOS!$D$4:$D$1000,B153,MOVIMIENTOS!$E$4:$E$1000,C153,MOVIMIENTOS!$B$4:$B$1000,"DE REPROCESO")+SUMIFS(MOVIMIENTOS!$F$4:$F$1000,MOVIMIENTOS!$C$4:$C$1000,A153,MOVIMIENTOS!$D$4:$D$1000,B153,MOVIMIENTOS!$E$4:$E$1000,C153,MOVIMIENTOS!$B$4:$B$1000,"AJUSTE+")-SUMIFS(MOVIMIENTOS!$F$4:$F$1000,MOVIMIENTOS!$C$4:$C$1000,A153,MOVIMIENTOS!$D$4:$D$1000,B153,MOVIMIENTOS!$E$4:$E$1000,C153,MOVIMIENTOS!$B$4:$B$1000,"A CORTE")-SUMIFS(MOVIMIENTOS!$F$4:$F$1000,MOVIMIENTOS!$C$4:$C$1000,A153,MOVIMIENTOS!$D$4:$D$1000,B153,MOVIMIENTOS!$E$4:$E$1000,C153,MOVIMIENTOS!$B$4:$B$1000,"A REPROCESO")-SUMIFS(MOVIMIENTOS!$F$4:$F$1000,MOVIMIENTOS!$C$4:$C$1000,A153,MOVIMIENTOS!$D$4:$D$1000,B153,MOVIMIENTOS!$E$4:$E$1000,C153,MOVIMIENTOS!$B$4:$B$1000,"MUESTRA")-SUMIFS(MOVIMIENTOS!$F$4:$F$1000,MOVIMIENTOS!$C$4:$C$1000,A153,MOVIMIENTOS!$D$4:$D$1000,B153,MOVIMIENTOS!$E$4:$E$1000,C153,MOVIMIENTOS!$B$4:$B$1000,"AJUSTE-"),0)</f>
        <v>0</v>
      </c>
      <c r="F153" s="101">
        <f>IFERROR(E153*VLOOKUP(B153,TELAS!$A$4:$C$32,3,FALSE()),0)</f>
        <v>0</v>
      </c>
      <c r="G153" s="102">
        <f>IFERROR(IF(D153="OSCURO",VLOOKUP(B153,PRECIOS!$A$4:$F$32,2,FALSE()),IF(D153="CLARO",VLOOKUP(B153,PRECIOS!$A$4:$F$32,3,FALSE()),IF(D153="MELANGE",VLOOKUP(B153,PRECIOS!$A$4:$F$32,4,FALSE()),IF(D153="PPT",VLOOKUP(B153,PRECIOS!$A$4:$F$32,5,FALSE()),0)))),0)</f>
        <v>21</v>
      </c>
      <c r="H153" s="103">
        <f t="shared" si="1"/>
        <v>0</v>
      </c>
      <c r="I153" s="104" t="str">
        <f>IF(E153&lt;0,"ERROR",IF(E153=0,"",IF(E153&lt;CONFIG!$B$4,"CRÍTICO",IF(E153&lt;CONFIG!$B$5,"BAJO","OK"))))</f>
        <v/>
      </c>
    </row>
    <row r="154" ht="15.75" customHeight="1">
      <c r="A154" s="90" t="str">
        <f>IF(CLIENTES!A5="","",CLIENTES!A5)</f>
        <v>Bravos</v>
      </c>
      <c r="B154" s="67" t="str">
        <f>TELAS!A4</f>
        <v>jersey 30/1</v>
      </c>
      <c r="C154" s="67" t="str">
        <f>COLORES!A14</f>
        <v>Denim</v>
      </c>
      <c r="D154" s="67" t="str">
        <f>COLORES!B14</f>
        <v>CLARO</v>
      </c>
      <c r="E154" s="100">
        <f>IFERROR(SUMIFS(MOVIMIENTOS!$F$4:$F$1000,MOVIMIENTOS!$C$4:$C$1000,A154,MOVIMIENTOS!$D$4:$D$1000,B154,MOVIMIENTOS!$E$4:$E$1000,C154,MOVIMIENTOS!$B$4:$B$1000,"INGRESO")+SUMIFS(MOVIMIENTOS!$F$4:$F$1000,MOVIMIENTOS!$C$4:$C$1000,A154,MOVIMIENTOS!$D$4:$D$1000,B154,MOVIMIENTOS!$E$4:$E$1000,C154,MOVIMIENTOS!$B$4:$B$1000,"DE REPROCESO")+SUMIFS(MOVIMIENTOS!$F$4:$F$1000,MOVIMIENTOS!$C$4:$C$1000,A154,MOVIMIENTOS!$D$4:$D$1000,B154,MOVIMIENTOS!$E$4:$E$1000,C154,MOVIMIENTOS!$B$4:$B$1000,"AJUSTE+")-SUMIFS(MOVIMIENTOS!$F$4:$F$1000,MOVIMIENTOS!$C$4:$C$1000,A154,MOVIMIENTOS!$D$4:$D$1000,B154,MOVIMIENTOS!$E$4:$E$1000,C154,MOVIMIENTOS!$B$4:$B$1000,"A CORTE")-SUMIFS(MOVIMIENTOS!$F$4:$F$1000,MOVIMIENTOS!$C$4:$C$1000,A154,MOVIMIENTOS!$D$4:$D$1000,B154,MOVIMIENTOS!$E$4:$E$1000,C154,MOVIMIENTOS!$B$4:$B$1000,"A REPROCESO")-SUMIFS(MOVIMIENTOS!$F$4:$F$1000,MOVIMIENTOS!$C$4:$C$1000,A154,MOVIMIENTOS!$D$4:$D$1000,B154,MOVIMIENTOS!$E$4:$E$1000,C154,MOVIMIENTOS!$B$4:$B$1000,"MUESTRA")-SUMIFS(MOVIMIENTOS!$F$4:$F$1000,MOVIMIENTOS!$C$4:$C$1000,A154,MOVIMIENTOS!$D$4:$D$1000,B154,MOVIMIENTOS!$E$4:$E$1000,C154,MOVIMIENTOS!$B$4:$B$1000,"AJUSTE-"),0)</f>
        <v>0</v>
      </c>
      <c r="F154" s="101">
        <f>IFERROR(E154*VLOOKUP(B154,TELAS!$A$4:$C$32,3,FALSE()),0)</f>
        <v>0</v>
      </c>
      <c r="G154" s="102">
        <f>IFERROR(IF(D154="OSCURO",VLOOKUP(B154,PRECIOS!$A$4:$F$32,2,FALSE()),IF(D154="CLARO",VLOOKUP(B154,PRECIOS!$A$4:$F$32,3,FALSE()),IF(D154="MELANGE",VLOOKUP(B154,PRECIOS!$A$4:$F$32,4,FALSE()),IF(D154="PPT",VLOOKUP(B154,PRECIOS!$A$4:$F$32,5,FALSE()),0)))),0)</f>
        <v>21</v>
      </c>
      <c r="H154" s="103">
        <f t="shared" si="1"/>
        <v>0</v>
      </c>
      <c r="I154" s="104" t="str">
        <f>IF(E154&lt;0,"ERROR",IF(E154=0,"",IF(E154&lt;CONFIG!$B$4,"CRÍTICO",IF(E154&lt;CONFIG!$B$5,"BAJO","OK"))))</f>
        <v/>
      </c>
    </row>
    <row r="155" ht="15.75" customHeight="1">
      <c r="A155" s="90" t="str">
        <f>IF(CLIENTES!A5="","",CLIENTES!A5)</f>
        <v>Bravos</v>
      </c>
      <c r="B155" s="67" t="str">
        <f>TELAS!A4</f>
        <v>jersey 30/1</v>
      </c>
      <c r="C155" s="67" t="str">
        <f>COLORES!A15</f>
        <v>Plomo</v>
      </c>
      <c r="D155" s="67" t="str">
        <f>COLORES!B15</f>
        <v>OSCURO</v>
      </c>
      <c r="E155" s="100">
        <f>IFERROR(SUMIFS(MOVIMIENTOS!$F$4:$F$1000,MOVIMIENTOS!$C$4:$C$1000,A155,MOVIMIENTOS!$D$4:$D$1000,B155,MOVIMIENTOS!$E$4:$E$1000,C155,MOVIMIENTOS!$B$4:$B$1000,"INGRESO")+SUMIFS(MOVIMIENTOS!$F$4:$F$1000,MOVIMIENTOS!$C$4:$C$1000,A155,MOVIMIENTOS!$D$4:$D$1000,B155,MOVIMIENTOS!$E$4:$E$1000,C155,MOVIMIENTOS!$B$4:$B$1000,"DE REPROCESO")+SUMIFS(MOVIMIENTOS!$F$4:$F$1000,MOVIMIENTOS!$C$4:$C$1000,A155,MOVIMIENTOS!$D$4:$D$1000,B155,MOVIMIENTOS!$E$4:$E$1000,C155,MOVIMIENTOS!$B$4:$B$1000,"AJUSTE+")-SUMIFS(MOVIMIENTOS!$F$4:$F$1000,MOVIMIENTOS!$C$4:$C$1000,A155,MOVIMIENTOS!$D$4:$D$1000,B155,MOVIMIENTOS!$E$4:$E$1000,C155,MOVIMIENTOS!$B$4:$B$1000,"A CORTE")-SUMIFS(MOVIMIENTOS!$F$4:$F$1000,MOVIMIENTOS!$C$4:$C$1000,A155,MOVIMIENTOS!$D$4:$D$1000,B155,MOVIMIENTOS!$E$4:$E$1000,C155,MOVIMIENTOS!$B$4:$B$1000,"A REPROCESO")-SUMIFS(MOVIMIENTOS!$F$4:$F$1000,MOVIMIENTOS!$C$4:$C$1000,A155,MOVIMIENTOS!$D$4:$D$1000,B155,MOVIMIENTOS!$E$4:$E$1000,C155,MOVIMIENTOS!$B$4:$B$1000,"MUESTRA")-SUMIFS(MOVIMIENTOS!$F$4:$F$1000,MOVIMIENTOS!$C$4:$C$1000,A155,MOVIMIENTOS!$D$4:$D$1000,B155,MOVIMIENTOS!$E$4:$E$1000,C155,MOVIMIENTOS!$B$4:$B$1000,"AJUSTE-"),0)</f>
        <v>0</v>
      </c>
      <c r="F155" s="101">
        <f>IFERROR(E155*VLOOKUP(B155,TELAS!$A$4:$C$32,3,FALSE()),0)</f>
        <v>0</v>
      </c>
      <c r="G155" s="102">
        <f>IFERROR(IF(D155="OSCURO",VLOOKUP(B155,PRECIOS!$A$4:$F$32,2,FALSE()),IF(D155="CLARO",VLOOKUP(B155,PRECIOS!$A$4:$F$32,3,FALSE()),IF(D155="MELANGE",VLOOKUP(B155,PRECIOS!$A$4:$F$32,4,FALSE()),IF(D155="PPT",VLOOKUP(B155,PRECIOS!$A$4:$F$32,5,FALSE()),0)))),0)</f>
        <v>24</v>
      </c>
      <c r="H155" s="103">
        <f t="shared" si="1"/>
        <v>0</v>
      </c>
      <c r="I155" s="104" t="str">
        <f>IF(E155&lt;0,"ERROR",IF(E155=0,"",IF(E155&lt;CONFIG!$B$4,"CRÍTICO",IF(E155&lt;CONFIG!$B$5,"BAJO","OK"))))</f>
        <v/>
      </c>
    </row>
    <row r="156" ht="15.75" customHeight="1">
      <c r="A156" s="90" t="str">
        <f>IF(CLIENTES!A5="","",CLIENTES!A5)</f>
        <v>Bravos</v>
      </c>
      <c r="B156" s="67" t="str">
        <f>TELAS!A4</f>
        <v>jersey 30/1</v>
      </c>
      <c r="C156" s="67" t="str">
        <f>COLORES!A16</f>
        <v>Topo</v>
      </c>
      <c r="D156" s="67" t="str">
        <f>COLORES!B16</f>
        <v>CLARO</v>
      </c>
      <c r="E156" s="100">
        <f>IFERROR(SUMIFS(MOVIMIENTOS!$F$4:$F$1000,MOVIMIENTOS!$C$4:$C$1000,A156,MOVIMIENTOS!$D$4:$D$1000,B156,MOVIMIENTOS!$E$4:$E$1000,C156,MOVIMIENTOS!$B$4:$B$1000,"INGRESO")+SUMIFS(MOVIMIENTOS!$F$4:$F$1000,MOVIMIENTOS!$C$4:$C$1000,A156,MOVIMIENTOS!$D$4:$D$1000,B156,MOVIMIENTOS!$E$4:$E$1000,C156,MOVIMIENTOS!$B$4:$B$1000,"DE REPROCESO")+SUMIFS(MOVIMIENTOS!$F$4:$F$1000,MOVIMIENTOS!$C$4:$C$1000,A156,MOVIMIENTOS!$D$4:$D$1000,B156,MOVIMIENTOS!$E$4:$E$1000,C156,MOVIMIENTOS!$B$4:$B$1000,"AJUSTE+")-SUMIFS(MOVIMIENTOS!$F$4:$F$1000,MOVIMIENTOS!$C$4:$C$1000,A156,MOVIMIENTOS!$D$4:$D$1000,B156,MOVIMIENTOS!$E$4:$E$1000,C156,MOVIMIENTOS!$B$4:$B$1000,"A CORTE")-SUMIFS(MOVIMIENTOS!$F$4:$F$1000,MOVIMIENTOS!$C$4:$C$1000,A156,MOVIMIENTOS!$D$4:$D$1000,B156,MOVIMIENTOS!$E$4:$E$1000,C156,MOVIMIENTOS!$B$4:$B$1000,"A REPROCESO")-SUMIFS(MOVIMIENTOS!$F$4:$F$1000,MOVIMIENTOS!$C$4:$C$1000,A156,MOVIMIENTOS!$D$4:$D$1000,B156,MOVIMIENTOS!$E$4:$E$1000,C156,MOVIMIENTOS!$B$4:$B$1000,"MUESTRA")-SUMIFS(MOVIMIENTOS!$F$4:$F$1000,MOVIMIENTOS!$C$4:$C$1000,A156,MOVIMIENTOS!$D$4:$D$1000,B156,MOVIMIENTOS!$E$4:$E$1000,C156,MOVIMIENTOS!$B$4:$B$1000,"AJUSTE-"),0)</f>
        <v>0</v>
      </c>
      <c r="F156" s="101">
        <f>IFERROR(E156*VLOOKUP(B156,TELAS!$A$4:$C$32,3,FALSE()),0)</f>
        <v>0</v>
      </c>
      <c r="G156" s="102">
        <f>IFERROR(IF(D156="OSCURO",VLOOKUP(B156,PRECIOS!$A$4:$F$32,2,FALSE()),IF(D156="CLARO",VLOOKUP(B156,PRECIOS!$A$4:$F$32,3,FALSE()),IF(D156="MELANGE",VLOOKUP(B156,PRECIOS!$A$4:$F$32,4,FALSE()),IF(D156="PPT",VLOOKUP(B156,PRECIOS!$A$4:$F$32,5,FALSE()),0)))),0)</f>
        <v>21</v>
      </c>
      <c r="H156" s="103">
        <f t="shared" si="1"/>
        <v>0</v>
      </c>
      <c r="I156" s="104" t="str">
        <f>IF(E156&lt;0,"ERROR",IF(E156=0,"",IF(E156&lt;CONFIG!$B$4,"CRÍTICO",IF(E156&lt;CONFIG!$B$5,"BAJO","OK"))))</f>
        <v/>
      </c>
    </row>
    <row r="157" ht="15.75" customHeight="1">
      <c r="A157" s="90" t="str">
        <f>IF(CLIENTES!A5="","",CLIENTES!A5)</f>
        <v>Bravos</v>
      </c>
      <c r="B157" s="67" t="str">
        <f>TELAS!A4</f>
        <v>jersey 30/1</v>
      </c>
      <c r="C157" s="67" t="str">
        <f>COLORES!A17</f>
        <v>Vino</v>
      </c>
      <c r="D157" s="67" t="str">
        <f>COLORES!B17</f>
        <v>OSCURO</v>
      </c>
      <c r="E157" s="100">
        <f>IFERROR(SUMIFS(MOVIMIENTOS!$F$4:$F$1000,MOVIMIENTOS!$C$4:$C$1000,A157,MOVIMIENTOS!$D$4:$D$1000,B157,MOVIMIENTOS!$E$4:$E$1000,C157,MOVIMIENTOS!$B$4:$B$1000,"INGRESO")+SUMIFS(MOVIMIENTOS!$F$4:$F$1000,MOVIMIENTOS!$C$4:$C$1000,A157,MOVIMIENTOS!$D$4:$D$1000,B157,MOVIMIENTOS!$E$4:$E$1000,C157,MOVIMIENTOS!$B$4:$B$1000,"DE REPROCESO")+SUMIFS(MOVIMIENTOS!$F$4:$F$1000,MOVIMIENTOS!$C$4:$C$1000,A157,MOVIMIENTOS!$D$4:$D$1000,B157,MOVIMIENTOS!$E$4:$E$1000,C157,MOVIMIENTOS!$B$4:$B$1000,"AJUSTE+")-SUMIFS(MOVIMIENTOS!$F$4:$F$1000,MOVIMIENTOS!$C$4:$C$1000,A157,MOVIMIENTOS!$D$4:$D$1000,B157,MOVIMIENTOS!$E$4:$E$1000,C157,MOVIMIENTOS!$B$4:$B$1000,"A CORTE")-SUMIFS(MOVIMIENTOS!$F$4:$F$1000,MOVIMIENTOS!$C$4:$C$1000,A157,MOVIMIENTOS!$D$4:$D$1000,B157,MOVIMIENTOS!$E$4:$E$1000,C157,MOVIMIENTOS!$B$4:$B$1000,"A REPROCESO")-SUMIFS(MOVIMIENTOS!$F$4:$F$1000,MOVIMIENTOS!$C$4:$C$1000,A157,MOVIMIENTOS!$D$4:$D$1000,B157,MOVIMIENTOS!$E$4:$E$1000,C157,MOVIMIENTOS!$B$4:$B$1000,"MUESTRA")-SUMIFS(MOVIMIENTOS!$F$4:$F$1000,MOVIMIENTOS!$C$4:$C$1000,A157,MOVIMIENTOS!$D$4:$D$1000,B157,MOVIMIENTOS!$E$4:$E$1000,C157,MOVIMIENTOS!$B$4:$B$1000,"AJUSTE-"),0)</f>
        <v>0</v>
      </c>
      <c r="F157" s="101">
        <f>IFERROR(E157*VLOOKUP(B157,TELAS!$A$4:$C$32,3,FALSE()),0)</f>
        <v>0</v>
      </c>
      <c r="G157" s="102">
        <f>IFERROR(IF(D157="OSCURO",VLOOKUP(B157,PRECIOS!$A$4:$F$32,2,FALSE()),IF(D157="CLARO",VLOOKUP(B157,PRECIOS!$A$4:$F$32,3,FALSE()),IF(D157="MELANGE",VLOOKUP(B157,PRECIOS!$A$4:$F$32,4,FALSE()),IF(D157="PPT",VLOOKUP(B157,PRECIOS!$A$4:$F$32,5,FALSE()),0)))),0)</f>
        <v>24</v>
      </c>
      <c r="H157" s="103">
        <f t="shared" si="1"/>
        <v>0</v>
      </c>
      <c r="I157" s="104" t="str">
        <f>IF(E157&lt;0,"ERROR",IF(E157=0,"",IF(E157&lt;CONFIG!$B$4,"CRÍTICO",IF(E157&lt;CONFIG!$B$5,"BAJO","OK"))))</f>
        <v/>
      </c>
    </row>
    <row r="158" ht="15.75" customHeight="1">
      <c r="A158" s="90" t="str">
        <f>IF(CLIENTES!A5="","",CLIENTES!A5)</f>
        <v>Bravos</v>
      </c>
      <c r="B158" s="67" t="str">
        <f>TELAS!A4</f>
        <v>jersey 30/1</v>
      </c>
      <c r="C158" s="67" t="str">
        <f>COLORES!A18</f>
        <v>P. Rosa</v>
      </c>
      <c r="D158" s="67" t="str">
        <f>COLORES!B18</f>
        <v>CLARO</v>
      </c>
      <c r="E158" s="100">
        <f>IFERROR(SUMIFS(MOVIMIENTOS!$F$4:$F$1000,MOVIMIENTOS!$C$4:$C$1000,A158,MOVIMIENTOS!$D$4:$D$1000,B158,MOVIMIENTOS!$E$4:$E$1000,C158,MOVIMIENTOS!$B$4:$B$1000,"INGRESO")+SUMIFS(MOVIMIENTOS!$F$4:$F$1000,MOVIMIENTOS!$C$4:$C$1000,A158,MOVIMIENTOS!$D$4:$D$1000,B158,MOVIMIENTOS!$E$4:$E$1000,C158,MOVIMIENTOS!$B$4:$B$1000,"DE REPROCESO")+SUMIFS(MOVIMIENTOS!$F$4:$F$1000,MOVIMIENTOS!$C$4:$C$1000,A158,MOVIMIENTOS!$D$4:$D$1000,B158,MOVIMIENTOS!$E$4:$E$1000,C158,MOVIMIENTOS!$B$4:$B$1000,"AJUSTE+")-SUMIFS(MOVIMIENTOS!$F$4:$F$1000,MOVIMIENTOS!$C$4:$C$1000,A158,MOVIMIENTOS!$D$4:$D$1000,B158,MOVIMIENTOS!$E$4:$E$1000,C158,MOVIMIENTOS!$B$4:$B$1000,"A CORTE")-SUMIFS(MOVIMIENTOS!$F$4:$F$1000,MOVIMIENTOS!$C$4:$C$1000,A158,MOVIMIENTOS!$D$4:$D$1000,B158,MOVIMIENTOS!$E$4:$E$1000,C158,MOVIMIENTOS!$B$4:$B$1000,"A REPROCESO")-SUMIFS(MOVIMIENTOS!$F$4:$F$1000,MOVIMIENTOS!$C$4:$C$1000,A158,MOVIMIENTOS!$D$4:$D$1000,B158,MOVIMIENTOS!$E$4:$E$1000,C158,MOVIMIENTOS!$B$4:$B$1000,"MUESTRA")-SUMIFS(MOVIMIENTOS!$F$4:$F$1000,MOVIMIENTOS!$C$4:$C$1000,A158,MOVIMIENTOS!$D$4:$D$1000,B158,MOVIMIENTOS!$E$4:$E$1000,C158,MOVIMIENTOS!$B$4:$B$1000,"AJUSTE-"),0)</f>
        <v>0</v>
      </c>
      <c r="F158" s="101">
        <f>IFERROR(E158*VLOOKUP(B158,TELAS!$A$4:$C$32,3,FALSE()),0)</f>
        <v>0</v>
      </c>
      <c r="G158" s="102">
        <f>IFERROR(IF(D158="OSCURO",VLOOKUP(B158,PRECIOS!$A$4:$F$32,2,FALSE()),IF(D158="CLARO",VLOOKUP(B158,PRECIOS!$A$4:$F$32,3,FALSE()),IF(D158="MELANGE",VLOOKUP(B158,PRECIOS!$A$4:$F$32,4,FALSE()),IF(D158="PPT",VLOOKUP(B158,PRECIOS!$A$4:$F$32,5,FALSE()),0)))),0)</f>
        <v>21</v>
      </c>
      <c r="H158" s="103">
        <f t="shared" si="1"/>
        <v>0</v>
      </c>
      <c r="I158" s="104" t="str">
        <f>IF(E158&lt;0,"ERROR",IF(E158=0,"",IF(E158&lt;CONFIG!$B$4,"CRÍTICO",IF(E158&lt;CONFIG!$B$5,"BAJO","OK"))))</f>
        <v/>
      </c>
    </row>
    <row r="159" ht="15.75" customHeight="1">
      <c r="A159" s="90" t="str">
        <f>IF(CLIENTES!A5="","",CLIENTES!A5)</f>
        <v>Bravos</v>
      </c>
      <c r="B159" s="67" t="str">
        <f>TELAS!A4</f>
        <v>jersey 30/1</v>
      </c>
      <c r="C159" s="67" t="str">
        <f>COLORES!A19</f>
        <v/>
      </c>
      <c r="D159" s="67" t="str">
        <f>COLORES!B19</f>
        <v/>
      </c>
      <c r="E159" s="100">
        <f>IFERROR(SUMIFS(MOVIMIENTOS!$F$4:$F$1000,MOVIMIENTOS!$C$4:$C$1000,A159,MOVIMIENTOS!$D$4:$D$1000,B159,MOVIMIENTOS!$E$4:$E$1000,C159,MOVIMIENTOS!$B$4:$B$1000,"INGRESO")+SUMIFS(MOVIMIENTOS!$F$4:$F$1000,MOVIMIENTOS!$C$4:$C$1000,A159,MOVIMIENTOS!$D$4:$D$1000,B159,MOVIMIENTOS!$E$4:$E$1000,C159,MOVIMIENTOS!$B$4:$B$1000,"DE REPROCESO")+SUMIFS(MOVIMIENTOS!$F$4:$F$1000,MOVIMIENTOS!$C$4:$C$1000,A159,MOVIMIENTOS!$D$4:$D$1000,B159,MOVIMIENTOS!$E$4:$E$1000,C159,MOVIMIENTOS!$B$4:$B$1000,"AJUSTE+")-SUMIFS(MOVIMIENTOS!$F$4:$F$1000,MOVIMIENTOS!$C$4:$C$1000,A159,MOVIMIENTOS!$D$4:$D$1000,B159,MOVIMIENTOS!$E$4:$E$1000,C159,MOVIMIENTOS!$B$4:$B$1000,"A CORTE")-SUMIFS(MOVIMIENTOS!$F$4:$F$1000,MOVIMIENTOS!$C$4:$C$1000,A159,MOVIMIENTOS!$D$4:$D$1000,B159,MOVIMIENTOS!$E$4:$E$1000,C159,MOVIMIENTOS!$B$4:$B$1000,"A REPROCESO")-SUMIFS(MOVIMIENTOS!$F$4:$F$1000,MOVIMIENTOS!$C$4:$C$1000,A159,MOVIMIENTOS!$D$4:$D$1000,B159,MOVIMIENTOS!$E$4:$E$1000,C159,MOVIMIENTOS!$B$4:$B$1000,"MUESTRA")-SUMIFS(MOVIMIENTOS!$F$4:$F$1000,MOVIMIENTOS!$C$4:$C$1000,A159,MOVIMIENTOS!$D$4:$D$1000,B159,MOVIMIENTOS!$E$4:$E$1000,C159,MOVIMIENTOS!$B$4:$B$1000,"AJUSTE-"),0)</f>
        <v>0</v>
      </c>
      <c r="F159" s="101">
        <f>IFERROR(E159*VLOOKUP(B159,TELAS!$A$4:$C$32,3,FALSE()),0)</f>
        <v>0</v>
      </c>
      <c r="G159" s="102">
        <f>IFERROR(IF(D159="OSCURO",VLOOKUP(B159,PRECIOS!$A$4:$F$32,2,FALSE()),IF(D159="CLARO",VLOOKUP(B159,PRECIOS!$A$4:$F$32,3,FALSE()),IF(D159="MELANGE",VLOOKUP(B159,PRECIOS!$A$4:$F$32,4,FALSE()),IF(D159="PPT",VLOOKUP(B159,PRECIOS!$A$4:$F$32,5,FALSE()),0)))),0)</f>
        <v>0</v>
      </c>
      <c r="H159" s="103">
        <f t="shared" si="1"/>
        <v>0</v>
      </c>
      <c r="I159" s="104" t="str">
        <f>IF(E159&lt;0,"ERROR",IF(E159=0,"",IF(E159&lt;CONFIG!$B$4,"CRÍTICO",IF(E159&lt;CONFIG!$B$5,"BAJO","OK"))))</f>
        <v/>
      </c>
    </row>
    <row r="160" ht="15.75" customHeight="1">
      <c r="A160" s="90" t="str">
        <f>IF(CLIENTES!A5="","",CLIENTES!A5)</f>
        <v>Bravos</v>
      </c>
      <c r="B160" s="67" t="str">
        <f>TELAS!A4</f>
        <v>jersey 30/1</v>
      </c>
      <c r="C160" s="67" t="str">
        <f>COLORES!A20</f>
        <v/>
      </c>
      <c r="D160" s="67" t="str">
        <f>COLORES!B20</f>
        <v/>
      </c>
      <c r="E160" s="100">
        <f>IFERROR(SUMIFS(MOVIMIENTOS!$F$4:$F$1000,MOVIMIENTOS!$C$4:$C$1000,A160,MOVIMIENTOS!$D$4:$D$1000,B160,MOVIMIENTOS!$E$4:$E$1000,C160,MOVIMIENTOS!$B$4:$B$1000,"INGRESO")+SUMIFS(MOVIMIENTOS!$F$4:$F$1000,MOVIMIENTOS!$C$4:$C$1000,A160,MOVIMIENTOS!$D$4:$D$1000,B160,MOVIMIENTOS!$E$4:$E$1000,C160,MOVIMIENTOS!$B$4:$B$1000,"DE REPROCESO")+SUMIFS(MOVIMIENTOS!$F$4:$F$1000,MOVIMIENTOS!$C$4:$C$1000,A160,MOVIMIENTOS!$D$4:$D$1000,B160,MOVIMIENTOS!$E$4:$E$1000,C160,MOVIMIENTOS!$B$4:$B$1000,"AJUSTE+")-SUMIFS(MOVIMIENTOS!$F$4:$F$1000,MOVIMIENTOS!$C$4:$C$1000,A160,MOVIMIENTOS!$D$4:$D$1000,B160,MOVIMIENTOS!$E$4:$E$1000,C160,MOVIMIENTOS!$B$4:$B$1000,"A CORTE")-SUMIFS(MOVIMIENTOS!$F$4:$F$1000,MOVIMIENTOS!$C$4:$C$1000,A160,MOVIMIENTOS!$D$4:$D$1000,B160,MOVIMIENTOS!$E$4:$E$1000,C160,MOVIMIENTOS!$B$4:$B$1000,"A REPROCESO")-SUMIFS(MOVIMIENTOS!$F$4:$F$1000,MOVIMIENTOS!$C$4:$C$1000,A160,MOVIMIENTOS!$D$4:$D$1000,B160,MOVIMIENTOS!$E$4:$E$1000,C160,MOVIMIENTOS!$B$4:$B$1000,"MUESTRA")-SUMIFS(MOVIMIENTOS!$F$4:$F$1000,MOVIMIENTOS!$C$4:$C$1000,A160,MOVIMIENTOS!$D$4:$D$1000,B160,MOVIMIENTOS!$E$4:$E$1000,C160,MOVIMIENTOS!$B$4:$B$1000,"AJUSTE-"),0)</f>
        <v>0</v>
      </c>
      <c r="F160" s="101">
        <f>IFERROR(E160*VLOOKUP(B160,TELAS!$A$4:$C$32,3,FALSE()),0)</f>
        <v>0</v>
      </c>
      <c r="G160" s="102">
        <f>IFERROR(IF(D160="OSCURO",VLOOKUP(B160,PRECIOS!$A$4:$F$32,2,FALSE()),IF(D160="CLARO",VLOOKUP(B160,PRECIOS!$A$4:$F$32,3,FALSE()),IF(D160="MELANGE",VLOOKUP(B160,PRECIOS!$A$4:$F$32,4,FALSE()),IF(D160="PPT",VLOOKUP(B160,PRECIOS!$A$4:$F$32,5,FALSE()),0)))),0)</f>
        <v>0</v>
      </c>
      <c r="H160" s="103">
        <f t="shared" si="1"/>
        <v>0</v>
      </c>
      <c r="I160" s="104" t="str">
        <f>IF(E160&lt;0,"ERROR",IF(E160=0,"",IF(E160&lt;CONFIG!$B$4,"CRÍTICO",IF(E160&lt;CONFIG!$B$5,"BAJO","OK"))))</f>
        <v/>
      </c>
    </row>
    <row r="161" ht="15.75" customHeight="1">
      <c r="A161" s="90" t="str">
        <f>IF(CLIENTES!A5="","",CLIENTES!A5)</f>
        <v>Bravos</v>
      </c>
      <c r="B161" s="67" t="str">
        <f>TELAS!A4</f>
        <v>jersey 30/1</v>
      </c>
      <c r="C161" s="67" t="str">
        <f>COLORES!A21</f>
        <v/>
      </c>
      <c r="D161" s="67" t="str">
        <f>COLORES!B21</f>
        <v/>
      </c>
      <c r="E161" s="100">
        <f>IFERROR(SUMIFS(MOVIMIENTOS!$F$4:$F$1000,MOVIMIENTOS!$C$4:$C$1000,A161,MOVIMIENTOS!$D$4:$D$1000,B161,MOVIMIENTOS!$E$4:$E$1000,C161,MOVIMIENTOS!$B$4:$B$1000,"INGRESO")+SUMIFS(MOVIMIENTOS!$F$4:$F$1000,MOVIMIENTOS!$C$4:$C$1000,A161,MOVIMIENTOS!$D$4:$D$1000,B161,MOVIMIENTOS!$E$4:$E$1000,C161,MOVIMIENTOS!$B$4:$B$1000,"DE REPROCESO")+SUMIFS(MOVIMIENTOS!$F$4:$F$1000,MOVIMIENTOS!$C$4:$C$1000,A161,MOVIMIENTOS!$D$4:$D$1000,B161,MOVIMIENTOS!$E$4:$E$1000,C161,MOVIMIENTOS!$B$4:$B$1000,"AJUSTE+")-SUMIFS(MOVIMIENTOS!$F$4:$F$1000,MOVIMIENTOS!$C$4:$C$1000,A161,MOVIMIENTOS!$D$4:$D$1000,B161,MOVIMIENTOS!$E$4:$E$1000,C161,MOVIMIENTOS!$B$4:$B$1000,"A CORTE")-SUMIFS(MOVIMIENTOS!$F$4:$F$1000,MOVIMIENTOS!$C$4:$C$1000,A161,MOVIMIENTOS!$D$4:$D$1000,B161,MOVIMIENTOS!$E$4:$E$1000,C161,MOVIMIENTOS!$B$4:$B$1000,"A REPROCESO")-SUMIFS(MOVIMIENTOS!$F$4:$F$1000,MOVIMIENTOS!$C$4:$C$1000,A161,MOVIMIENTOS!$D$4:$D$1000,B161,MOVIMIENTOS!$E$4:$E$1000,C161,MOVIMIENTOS!$B$4:$B$1000,"MUESTRA")-SUMIFS(MOVIMIENTOS!$F$4:$F$1000,MOVIMIENTOS!$C$4:$C$1000,A161,MOVIMIENTOS!$D$4:$D$1000,B161,MOVIMIENTOS!$E$4:$E$1000,C161,MOVIMIENTOS!$B$4:$B$1000,"AJUSTE-"),0)</f>
        <v>0</v>
      </c>
      <c r="F161" s="101">
        <f>IFERROR(E161*VLOOKUP(B161,TELAS!$A$4:$C$32,3,FALSE()),0)</f>
        <v>0</v>
      </c>
      <c r="G161" s="102">
        <f>IFERROR(IF(D161="OSCURO",VLOOKUP(B161,PRECIOS!$A$4:$F$32,2,FALSE()),IF(D161="CLARO",VLOOKUP(B161,PRECIOS!$A$4:$F$32,3,FALSE()),IF(D161="MELANGE",VLOOKUP(B161,PRECIOS!$A$4:$F$32,4,FALSE()),IF(D161="PPT",VLOOKUP(B161,PRECIOS!$A$4:$F$32,5,FALSE()),0)))),0)</f>
        <v>0</v>
      </c>
      <c r="H161" s="103">
        <f t="shared" si="1"/>
        <v>0</v>
      </c>
      <c r="I161" s="104" t="str">
        <f>IF(E161&lt;0,"ERROR",IF(E161=0,"",IF(E161&lt;CONFIG!$B$4,"CRÍTICO",IF(E161&lt;CONFIG!$B$5,"BAJO","OK"))))</f>
        <v/>
      </c>
    </row>
    <row r="162" ht="15.75" customHeight="1">
      <c r="A162" s="90" t="str">
        <f>IF(CLIENTES!A5="","",CLIENTES!A5)</f>
        <v>Bravos</v>
      </c>
      <c r="B162" s="67" t="str">
        <f>TELAS!A4</f>
        <v>jersey 30/1</v>
      </c>
      <c r="C162" s="67" t="str">
        <f>COLORES!A22</f>
        <v/>
      </c>
      <c r="D162" s="67" t="str">
        <f>COLORES!B22</f>
        <v/>
      </c>
      <c r="E162" s="100">
        <f>IFERROR(SUMIFS(MOVIMIENTOS!$F$4:$F$1000,MOVIMIENTOS!$C$4:$C$1000,A162,MOVIMIENTOS!$D$4:$D$1000,B162,MOVIMIENTOS!$E$4:$E$1000,C162,MOVIMIENTOS!$B$4:$B$1000,"INGRESO")+SUMIFS(MOVIMIENTOS!$F$4:$F$1000,MOVIMIENTOS!$C$4:$C$1000,A162,MOVIMIENTOS!$D$4:$D$1000,B162,MOVIMIENTOS!$E$4:$E$1000,C162,MOVIMIENTOS!$B$4:$B$1000,"DE REPROCESO")+SUMIFS(MOVIMIENTOS!$F$4:$F$1000,MOVIMIENTOS!$C$4:$C$1000,A162,MOVIMIENTOS!$D$4:$D$1000,B162,MOVIMIENTOS!$E$4:$E$1000,C162,MOVIMIENTOS!$B$4:$B$1000,"AJUSTE+")-SUMIFS(MOVIMIENTOS!$F$4:$F$1000,MOVIMIENTOS!$C$4:$C$1000,A162,MOVIMIENTOS!$D$4:$D$1000,B162,MOVIMIENTOS!$E$4:$E$1000,C162,MOVIMIENTOS!$B$4:$B$1000,"A CORTE")-SUMIFS(MOVIMIENTOS!$F$4:$F$1000,MOVIMIENTOS!$C$4:$C$1000,A162,MOVIMIENTOS!$D$4:$D$1000,B162,MOVIMIENTOS!$E$4:$E$1000,C162,MOVIMIENTOS!$B$4:$B$1000,"A REPROCESO")-SUMIFS(MOVIMIENTOS!$F$4:$F$1000,MOVIMIENTOS!$C$4:$C$1000,A162,MOVIMIENTOS!$D$4:$D$1000,B162,MOVIMIENTOS!$E$4:$E$1000,C162,MOVIMIENTOS!$B$4:$B$1000,"MUESTRA")-SUMIFS(MOVIMIENTOS!$F$4:$F$1000,MOVIMIENTOS!$C$4:$C$1000,A162,MOVIMIENTOS!$D$4:$D$1000,B162,MOVIMIENTOS!$E$4:$E$1000,C162,MOVIMIENTOS!$B$4:$B$1000,"AJUSTE-"),0)</f>
        <v>0</v>
      </c>
      <c r="F162" s="101">
        <f>IFERROR(E162*VLOOKUP(B162,TELAS!$A$4:$C$32,3,FALSE()),0)</f>
        <v>0</v>
      </c>
      <c r="G162" s="102">
        <f>IFERROR(IF(D162="OSCURO",VLOOKUP(B162,PRECIOS!$A$4:$F$32,2,FALSE()),IF(D162="CLARO",VLOOKUP(B162,PRECIOS!$A$4:$F$32,3,FALSE()),IF(D162="MELANGE",VLOOKUP(B162,PRECIOS!$A$4:$F$32,4,FALSE()),IF(D162="PPT",VLOOKUP(B162,PRECIOS!$A$4:$F$32,5,FALSE()),0)))),0)</f>
        <v>0</v>
      </c>
      <c r="H162" s="103">
        <f t="shared" si="1"/>
        <v>0</v>
      </c>
      <c r="I162" s="104" t="str">
        <f>IF(E162&lt;0,"ERROR",IF(E162=0,"",IF(E162&lt;CONFIG!$B$4,"CRÍTICO",IF(E162&lt;CONFIG!$B$5,"BAJO","OK"))))</f>
        <v/>
      </c>
    </row>
    <row r="163" ht="15.75" customHeight="1">
      <c r="A163" s="90" t="str">
        <f>IF(CLIENTES!A5="","",CLIENTES!A5)</f>
        <v>Bravos</v>
      </c>
      <c r="B163" s="67" t="str">
        <f>TELAS!A4</f>
        <v>jersey 30/1</v>
      </c>
      <c r="C163" s="67" t="str">
        <f>COLORES!A23</f>
        <v/>
      </c>
      <c r="D163" s="67" t="str">
        <f>COLORES!B23</f>
        <v/>
      </c>
      <c r="E163" s="100">
        <f>IFERROR(SUMIFS(MOVIMIENTOS!$F$4:$F$1000,MOVIMIENTOS!$C$4:$C$1000,A163,MOVIMIENTOS!$D$4:$D$1000,B163,MOVIMIENTOS!$E$4:$E$1000,C163,MOVIMIENTOS!$B$4:$B$1000,"INGRESO")+SUMIFS(MOVIMIENTOS!$F$4:$F$1000,MOVIMIENTOS!$C$4:$C$1000,A163,MOVIMIENTOS!$D$4:$D$1000,B163,MOVIMIENTOS!$E$4:$E$1000,C163,MOVIMIENTOS!$B$4:$B$1000,"DE REPROCESO")+SUMIFS(MOVIMIENTOS!$F$4:$F$1000,MOVIMIENTOS!$C$4:$C$1000,A163,MOVIMIENTOS!$D$4:$D$1000,B163,MOVIMIENTOS!$E$4:$E$1000,C163,MOVIMIENTOS!$B$4:$B$1000,"AJUSTE+")-SUMIFS(MOVIMIENTOS!$F$4:$F$1000,MOVIMIENTOS!$C$4:$C$1000,A163,MOVIMIENTOS!$D$4:$D$1000,B163,MOVIMIENTOS!$E$4:$E$1000,C163,MOVIMIENTOS!$B$4:$B$1000,"A CORTE")-SUMIFS(MOVIMIENTOS!$F$4:$F$1000,MOVIMIENTOS!$C$4:$C$1000,A163,MOVIMIENTOS!$D$4:$D$1000,B163,MOVIMIENTOS!$E$4:$E$1000,C163,MOVIMIENTOS!$B$4:$B$1000,"A REPROCESO")-SUMIFS(MOVIMIENTOS!$F$4:$F$1000,MOVIMIENTOS!$C$4:$C$1000,A163,MOVIMIENTOS!$D$4:$D$1000,B163,MOVIMIENTOS!$E$4:$E$1000,C163,MOVIMIENTOS!$B$4:$B$1000,"MUESTRA")-SUMIFS(MOVIMIENTOS!$F$4:$F$1000,MOVIMIENTOS!$C$4:$C$1000,A163,MOVIMIENTOS!$D$4:$D$1000,B163,MOVIMIENTOS!$E$4:$E$1000,C163,MOVIMIENTOS!$B$4:$B$1000,"AJUSTE-"),0)</f>
        <v>0</v>
      </c>
      <c r="F163" s="101">
        <f>IFERROR(E163*VLOOKUP(B163,TELAS!$A$4:$C$32,3,FALSE()),0)</f>
        <v>0</v>
      </c>
      <c r="G163" s="102">
        <f>IFERROR(IF(D163="OSCURO",VLOOKUP(B163,PRECIOS!$A$4:$F$32,2,FALSE()),IF(D163="CLARO",VLOOKUP(B163,PRECIOS!$A$4:$F$32,3,FALSE()),IF(D163="MELANGE",VLOOKUP(B163,PRECIOS!$A$4:$F$32,4,FALSE()),IF(D163="PPT",VLOOKUP(B163,PRECIOS!$A$4:$F$32,5,FALSE()),0)))),0)</f>
        <v>0</v>
      </c>
      <c r="H163" s="103">
        <f t="shared" si="1"/>
        <v>0</v>
      </c>
      <c r="I163" s="104" t="str">
        <f>IF(E163&lt;0,"ERROR",IF(E163=0,"",IF(E163&lt;CONFIG!$B$4,"CRÍTICO",IF(E163&lt;CONFIG!$B$5,"BAJO","OK"))))</f>
        <v/>
      </c>
    </row>
    <row r="164" ht="15.75" customHeight="1">
      <c r="A164" s="90" t="str">
        <f>IF(CLIENTES!A5="","",CLIENTES!A5)</f>
        <v>Bravos</v>
      </c>
      <c r="B164" s="67" t="str">
        <f>TELAS!A5</f>
        <v>pique 30/1</v>
      </c>
      <c r="C164" s="67" t="str">
        <f>COLORES!A4</f>
        <v>Negro</v>
      </c>
      <c r="D164" s="67" t="str">
        <f>COLORES!B4</f>
        <v>OSCURO</v>
      </c>
      <c r="E164" s="100">
        <f>IFERROR(SUMIFS(MOVIMIENTOS!$F$4:$F$1000,MOVIMIENTOS!$C$4:$C$1000,A164,MOVIMIENTOS!$D$4:$D$1000,B164,MOVIMIENTOS!$E$4:$E$1000,C164,MOVIMIENTOS!$B$4:$B$1000,"INGRESO")+SUMIFS(MOVIMIENTOS!$F$4:$F$1000,MOVIMIENTOS!$C$4:$C$1000,A164,MOVIMIENTOS!$D$4:$D$1000,B164,MOVIMIENTOS!$E$4:$E$1000,C164,MOVIMIENTOS!$B$4:$B$1000,"DE REPROCESO")+SUMIFS(MOVIMIENTOS!$F$4:$F$1000,MOVIMIENTOS!$C$4:$C$1000,A164,MOVIMIENTOS!$D$4:$D$1000,B164,MOVIMIENTOS!$E$4:$E$1000,C164,MOVIMIENTOS!$B$4:$B$1000,"AJUSTE+")-SUMIFS(MOVIMIENTOS!$F$4:$F$1000,MOVIMIENTOS!$C$4:$C$1000,A164,MOVIMIENTOS!$D$4:$D$1000,B164,MOVIMIENTOS!$E$4:$E$1000,C164,MOVIMIENTOS!$B$4:$B$1000,"A CORTE")-SUMIFS(MOVIMIENTOS!$F$4:$F$1000,MOVIMIENTOS!$C$4:$C$1000,A164,MOVIMIENTOS!$D$4:$D$1000,B164,MOVIMIENTOS!$E$4:$E$1000,C164,MOVIMIENTOS!$B$4:$B$1000,"A REPROCESO")-SUMIFS(MOVIMIENTOS!$F$4:$F$1000,MOVIMIENTOS!$C$4:$C$1000,A164,MOVIMIENTOS!$D$4:$D$1000,B164,MOVIMIENTOS!$E$4:$E$1000,C164,MOVIMIENTOS!$B$4:$B$1000,"MUESTRA")-SUMIFS(MOVIMIENTOS!$F$4:$F$1000,MOVIMIENTOS!$C$4:$C$1000,A164,MOVIMIENTOS!$D$4:$D$1000,B164,MOVIMIENTOS!$E$4:$E$1000,C164,MOVIMIENTOS!$B$4:$B$1000,"AJUSTE-"),0)</f>
        <v>0</v>
      </c>
      <c r="F164" s="101">
        <f>IFERROR(E164*VLOOKUP(B164,TELAS!$A$4:$C$32,3,FALSE()),0)</f>
        <v>0</v>
      </c>
      <c r="G164" s="102">
        <f>IFERROR(IF(D164="OSCURO",VLOOKUP(B164,PRECIOS!$A$4:$F$32,2,FALSE()),IF(D164="CLARO",VLOOKUP(B164,PRECIOS!$A$4:$F$32,3,FALSE()),IF(D164="MELANGE",VLOOKUP(B164,PRECIOS!$A$4:$F$32,4,FALSE()),IF(D164="PPT",VLOOKUP(B164,PRECIOS!$A$4:$F$32,5,FALSE()),0)))),0)</f>
        <v>24</v>
      </c>
      <c r="H164" s="103">
        <f t="shared" si="1"/>
        <v>0</v>
      </c>
      <c r="I164" s="104" t="str">
        <f>IF(E164&lt;0,"ERROR",IF(E164=0,"",IF(E164&lt;CONFIG!$B$4,"CRÍTICO",IF(E164&lt;CONFIG!$B$5,"BAJO","OK"))))</f>
        <v/>
      </c>
    </row>
    <row r="165" ht="15.75" customHeight="1">
      <c r="A165" s="90" t="str">
        <f>IF(CLIENTES!A5="","",CLIENTES!A5)</f>
        <v>Bravos</v>
      </c>
      <c r="B165" s="67" t="str">
        <f>TELAS!A5</f>
        <v>pique 30/1</v>
      </c>
      <c r="C165" s="67" t="str">
        <f>COLORES!A5</f>
        <v>Perla</v>
      </c>
      <c r="D165" s="67" t="str">
        <f>COLORES!B5</f>
        <v>PPT</v>
      </c>
      <c r="E165" s="100">
        <f>IFERROR(SUMIFS(MOVIMIENTOS!$F$4:$F$1000,MOVIMIENTOS!$C$4:$C$1000,A165,MOVIMIENTOS!$D$4:$D$1000,B165,MOVIMIENTOS!$E$4:$E$1000,C165,MOVIMIENTOS!$B$4:$B$1000,"INGRESO")+SUMIFS(MOVIMIENTOS!$F$4:$F$1000,MOVIMIENTOS!$C$4:$C$1000,A165,MOVIMIENTOS!$D$4:$D$1000,B165,MOVIMIENTOS!$E$4:$E$1000,C165,MOVIMIENTOS!$B$4:$B$1000,"DE REPROCESO")+SUMIFS(MOVIMIENTOS!$F$4:$F$1000,MOVIMIENTOS!$C$4:$C$1000,A165,MOVIMIENTOS!$D$4:$D$1000,B165,MOVIMIENTOS!$E$4:$E$1000,C165,MOVIMIENTOS!$B$4:$B$1000,"AJUSTE+")-SUMIFS(MOVIMIENTOS!$F$4:$F$1000,MOVIMIENTOS!$C$4:$C$1000,A165,MOVIMIENTOS!$D$4:$D$1000,B165,MOVIMIENTOS!$E$4:$E$1000,C165,MOVIMIENTOS!$B$4:$B$1000,"A CORTE")-SUMIFS(MOVIMIENTOS!$F$4:$F$1000,MOVIMIENTOS!$C$4:$C$1000,A165,MOVIMIENTOS!$D$4:$D$1000,B165,MOVIMIENTOS!$E$4:$E$1000,C165,MOVIMIENTOS!$B$4:$B$1000,"A REPROCESO")-SUMIFS(MOVIMIENTOS!$F$4:$F$1000,MOVIMIENTOS!$C$4:$C$1000,A165,MOVIMIENTOS!$D$4:$D$1000,B165,MOVIMIENTOS!$E$4:$E$1000,C165,MOVIMIENTOS!$B$4:$B$1000,"MUESTRA")-SUMIFS(MOVIMIENTOS!$F$4:$F$1000,MOVIMIENTOS!$C$4:$C$1000,A165,MOVIMIENTOS!$D$4:$D$1000,B165,MOVIMIENTOS!$E$4:$E$1000,C165,MOVIMIENTOS!$B$4:$B$1000,"AJUSTE-"),0)</f>
        <v>0</v>
      </c>
      <c r="F165" s="101">
        <f>IFERROR(E165*VLOOKUP(B165,TELAS!$A$4:$C$32,3,FALSE()),0)</f>
        <v>0</v>
      </c>
      <c r="G165" s="102">
        <f>IFERROR(IF(D165="OSCURO",VLOOKUP(B165,PRECIOS!$A$4:$F$32,2,FALSE()),IF(D165="CLARO",VLOOKUP(B165,PRECIOS!$A$4:$F$32,3,FALSE()),IF(D165="MELANGE",VLOOKUP(B165,PRECIOS!$A$4:$F$32,4,FALSE()),IF(D165="PPT",VLOOKUP(B165,PRECIOS!$A$4:$F$32,5,FALSE()),0)))),0)</f>
        <v>18</v>
      </c>
      <c r="H165" s="103">
        <f t="shared" si="1"/>
        <v>0</v>
      </c>
      <c r="I165" s="104" t="str">
        <f>IF(E165&lt;0,"ERROR",IF(E165=0,"",IF(E165&lt;CONFIG!$B$4,"CRÍTICO",IF(E165&lt;CONFIG!$B$5,"BAJO","OK"))))</f>
        <v/>
      </c>
    </row>
    <row r="166" ht="15.75" customHeight="1">
      <c r="A166" s="90" t="str">
        <f>IF(CLIENTES!A5="","",CLIENTES!A5)</f>
        <v>Bravos</v>
      </c>
      <c r="B166" s="67" t="str">
        <f>TELAS!A5</f>
        <v>pique 30/1</v>
      </c>
      <c r="C166" s="67" t="str">
        <f>COLORES!A6</f>
        <v>Blanco</v>
      </c>
      <c r="D166" s="67" t="str">
        <f>COLORES!B6</f>
        <v>PPT</v>
      </c>
      <c r="E166" s="100">
        <f>IFERROR(SUMIFS(MOVIMIENTOS!$F$4:$F$1000,MOVIMIENTOS!$C$4:$C$1000,A166,MOVIMIENTOS!$D$4:$D$1000,B166,MOVIMIENTOS!$E$4:$E$1000,C166,MOVIMIENTOS!$B$4:$B$1000,"INGRESO")+SUMIFS(MOVIMIENTOS!$F$4:$F$1000,MOVIMIENTOS!$C$4:$C$1000,A166,MOVIMIENTOS!$D$4:$D$1000,B166,MOVIMIENTOS!$E$4:$E$1000,C166,MOVIMIENTOS!$B$4:$B$1000,"DE REPROCESO")+SUMIFS(MOVIMIENTOS!$F$4:$F$1000,MOVIMIENTOS!$C$4:$C$1000,A166,MOVIMIENTOS!$D$4:$D$1000,B166,MOVIMIENTOS!$E$4:$E$1000,C166,MOVIMIENTOS!$B$4:$B$1000,"AJUSTE+")-SUMIFS(MOVIMIENTOS!$F$4:$F$1000,MOVIMIENTOS!$C$4:$C$1000,A166,MOVIMIENTOS!$D$4:$D$1000,B166,MOVIMIENTOS!$E$4:$E$1000,C166,MOVIMIENTOS!$B$4:$B$1000,"A CORTE")-SUMIFS(MOVIMIENTOS!$F$4:$F$1000,MOVIMIENTOS!$C$4:$C$1000,A166,MOVIMIENTOS!$D$4:$D$1000,B166,MOVIMIENTOS!$E$4:$E$1000,C166,MOVIMIENTOS!$B$4:$B$1000,"A REPROCESO")-SUMIFS(MOVIMIENTOS!$F$4:$F$1000,MOVIMIENTOS!$C$4:$C$1000,A166,MOVIMIENTOS!$D$4:$D$1000,B166,MOVIMIENTOS!$E$4:$E$1000,C166,MOVIMIENTOS!$B$4:$B$1000,"MUESTRA")-SUMIFS(MOVIMIENTOS!$F$4:$F$1000,MOVIMIENTOS!$C$4:$C$1000,A166,MOVIMIENTOS!$D$4:$D$1000,B166,MOVIMIENTOS!$E$4:$E$1000,C166,MOVIMIENTOS!$B$4:$B$1000,"AJUSTE-"),0)</f>
        <v>0</v>
      </c>
      <c r="F166" s="101">
        <f>IFERROR(E166*VLOOKUP(B166,TELAS!$A$4:$C$32,3,FALSE()),0)</f>
        <v>0</v>
      </c>
      <c r="G166" s="102">
        <f>IFERROR(IF(D166="OSCURO",VLOOKUP(B166,PRECIOS!$A$4:$F$32,2,FALSE()),IF(D166="CLARO",VLOOKUP(B166,PRECIOS!$A$4:$F$32,3,FALSE()),IF(D166="MELANGE",VLOOKUP(B166,PRECIOS!$A$4:$F$32,4,FALSE()),IF(D166="PPT",VLOOKUP(B166,PRECIOS!$A$4:$F$32,5,FALSE()),0)))),0)</f>
        <v>18</v>
      </c>
      <c r="H166" s="103">
        <f t="shared" si="1"/>
        <v>0</v>
      </c>
      <c r="I166" s="104" t="str">
        <f>IF(E166&lt;0,"ERROR",IF(E166=0,"",IF(E166&lt;CONFIG!$B$4,"CRÍTICO",IF(E166&lt;CONFIG!$B$5,"BAJO","OK"))))</f>
        <v/>
      </c>
    </row>
    <row r="167" ht="15.75" customHeight="1">
      <c r="A167" s="90" t="str">
        <f>IF(CLIENTES!A5="","",CLIENTES!A5)</f>
        <v>Bravos</v>
      </c>
      <c r="B167" s="67" t="str">
        <f>TELAS!A5</f>
        <v>pique 30/1</v>
      </c>
      <c r="C167" s="67" t="str">
        <f>COLORES!A7</f>
        <v>Azul</v>
      </c>
      <c r="D167" s="67" t="str">
        <f>COLORES!B7</f>
        <v>OSCURO</v>
      </c>
      <c r="E167" s="100">
        <f>IFERROR(SUMIFS(MOVIMIENTOS!$F$4:$F$1000,MOVIMIENTOS!$C$4:$C$1000,A167,MOVIMIENTOS!$D$4:$D$1000,B167,MOVIMIENTOS!$E$4:$E$1000,C167,MOVIMIENTOS!$B$4:$B$1000,"INGRESO")+SUMIFS(MOVIMIENTOS!$F$4:$F$1000,MOVIMIENTOS!$C$4:$C$1000,A167,MOVIMIENTOS!$D$4:$D$1000,B167,MOVIMIENTOS!$E$4:$E$1000,C167,MOVIMIENTOS!$B$4:$B$1000,"DE REPROCESO")+SUMIFS(MOVIMIENTOS!$F$4:$F$1000,MOVIMIENTOS!$C$4:$C$1000,A167,MOVIMIENTOS!$D$4:$D$1000,B167,MOVIMIENTOS!$E$4:$E$1000,C167,MOVIMIENTOS!$B$4:$B$1000,"AJUSTE+")-SUMIFS(MOVIMIENTOS!$F$4:$F$1000,MOVIMIENTOS!$C$4:$C$1000,A167,MOVIMIENTOS!$D$4:$D$1000,B167,MOVIMIENTOS!$E$4:$E$1000,C167,MOVIMIENTOS!$B$4:$B$1000,"A CORTE")-SUMIFS(MOVIMIENTOS!$F$4:$F$1000,MOVIMIENTOS!$C$4:$C$1000,A167,MOVIMIENTOS!$D$4:$D$1000,B167,MOVIMIENTOS!$E$4:$E$1000,C167,MOVIMIENTOS!$B$4:$B$1000,"A REPROCESO")-SUMIFS(MOVIMIENTOS!$F$4:$F$1000,MOVIMIENTOS!$C$4:$C$1000,A167,MOVIMIENTOS!$D$4:$D$1000,B167,MOVIMIENTOS!$E$4:$E$1000,C167,MOVIMIENTOS!$B$4:$B$1000,"MUESTRA")-SUMIFS(MOVIMIENTOS!$F$4:$F$1000,MOVIMIENTOS!$C$4:$C$1000,A167,MOVIMIENTOS!$D$4:$D$1000,B167,MOVIMIENTOS!$E$4:$E$1000,C167,MOVIMIENTOS!$B$4:$B$1000,"AJUSTE-"),0)</f>
        <v>0</v>
      </c>
      <c r="F167" s="101">
        <f>IFERROR(E167*VLOOKUP(B167,TELAS!$A$4:$C$32,3,FALSE()),0)</f>
        <v>0</v>
      </c>
      <c r="G167" s="102">
        <f>IFERROR(IF(D167="OSCURO",VLOOKUP(B167,PRECIOS!$A$4:$F$32,2,FALSE()),IF(D167="CLARO",VLOOKUP(B167,PRECIOS!$A$4:$F$32,3,FALSE()),IF(D167="MELANGE",VLOOKUP(B167,PRECIOS!$A$4:$F$32,4,FALSE()),IF(D167="PPT",VLOOKUP(B167,PRECIOS!$A$4:$F$32,5,FALSE()),0)))),0)</f>
        <v>24</v>
      </c>
      <c r="H167" s="103">
        <f t="shared" si="1"/>
        <v>0</v>
      </c>
      <c r="I167" s="104" t="str">
        <f>IF(E167&lt;0,"ERROR",IF(E167=0,"",IF(E167&lt;CONFIG!$B$4,"CRÍTICO",IF(E167&lt;CONFIG!$B$5,"BAJO","OK"))))</f>
        <v/>
      </c>
    </row>
    <row r="168" ht="15.75" customHeight="1">
      <c r="A168" s="90" t="str">
        <f>IF(CLIENTES!A5="","",CLIENTES!A5)</f>
        <v>Bravos</v>
      </c>
      <c r="B168" s="67" t="str">
        <f>TELAS!A5</f>
        <v>pique 30/1</v>
      </c>
      <c r="C168" s="67" t="str">
        <f>COLORES!A8</f>
        <v>Beige</v>
      </c>
      <c r="D168" s="67" t="str">
        <f>COLORES!B8</f>
        <v>CLARO</v>
      </c>
      <c r="E168" s="100">
        <f>IFERROR(SUMIFS(MOVIMIENTOS!$F$4:$F$1000,MOVIMIENTOS!$C$4:$C$1000,A168,MOVIMIENTOS!$D$4:$D$1000,B168,MOVIMIENTOS!$E$4:$E$1000,C168,MOVIMIENTOS!$B$4:$B$1000,"INGRESO")+SUMIFS(MOVIMIENTOS!$F$4:$F$1000,MOVIMIENTOS!$C$4:$C$1000,A168,MOVIMIENTOS!$D$4:$D$1000,B168,MOVIMIENTOS!$E$4:$E$1000,C168,MOVIMIENTOS!$B$4:$B$1000,"DE REPROCESO")+SUMIFS(MOVIMIENTOS!$F$4:$F$1000,MOVIMIENTOS!$C$4:$C$1000,A168,MOVIMIENTOS!$D$4:$D$1000,B168,MOVIMIENTOS!$E$4:$E$1000,C168,MOVIMIENTOS!$B$4:$B$1000,"AJUSTE+")-SUMIFS(MOVIMIENTOS!$F$4:$F$1000,MOVIMIENTOS!$C$4:$C$1000,A168,MOVIMIENTOS!$D$4:$D$1000,B168,MOVIMIENTOS!$E$4:$E$1000,C168,MOVIMIENTOS!$B$4:$B$1000,"A CORTE")-SUMIFS(MOVIMIENTOS!$F$4:$F$1000,MOVIMIENTOS!$C$4:$C$1000,A168,MOVIMIENTOS!$D$4:$D$1000,B168,MOVIMIENTOS!$E$4:$E$1000,C168,MOVIMIENTOS!$B$4:$B$1000,"A REPROCESO")-SUMIFS(MOVIMIENTOS!$F$4:$F$1000,MOVIMIENTOS!$C$4:$C$1000,A168,MOVIMIENTOS!$D$4:$D$1000,B168,MOVIMIENTOS!$E$4:$E$1000,C168,MOVIMIENTOS!$B$4:$B$1000,"MUESTRA")-SUMIFS(MOVIMIENTOS!$F$4:$F$1000,MOVIMIENTOS!$C$4:$C$1000,A168,MOVIMIENTOS!$D$4:$D$1000,B168,MOVIMIENTOS!$E$4:$E$1000,C168,MOVIMIENTOS!$B$4:$B$1000,"AJUSTE-"),0)</f>
        <v>0</v>
      </c>
      <c r="F168" s="101">
        <f>IFERROR(E168*VLOOKUP(B168,TELAS!$A$4:$C$32,3,FALSE()),0)</f>
        <v>0</v>
      </c>
      <c r="G168" s="102">
        <f>IFERROR(IF(D168="OSCURO",VLOOKUP(B168,PRECIOS!$A$4:$F$32,2,FALSE()),IF(D168="CLARO",VLOOKUP(B168,PRECIOS!$A$4:$F$32,3,FALSE()),IF(D168="MELANGE",VLOOKUP(B168,PRECIOS!$A$4:$F$32,4,FALSE()),IF(D168="PPT",VLOOKUP(B168,PRECIOS!$A$4:$F$32,5,FALSE()),0)))),0)</f>
        <v>21</v>
      </c>
      <c r="H168" s="103">
        <f t="shared" si="1"/>
        <v>0</v>
      </c>
      <c r="I168" s="104" t="str">
        <f>IF(E168&lt;0,"ERROR",IF(E168=0,"",IF(E168&lt;CONFIG!$B$4,"CRÍTICO",IF(E168&lt;CONFIG!$B$5,"BAJO","OK"))))</f>
        <v/>
      </c>
    </row>
    <row r="169" ht="15.75" customHeight="1">
      <c r="A169" s="90" t="str">
        <f>IF(CLIENTES!A5="","",CLIENTES!A5)</f>
        <v>Bravos</v>
      </c>
      <c r="B169" s="67" t="str">
        <f>TELAS!A5</f>
        <v>pique 30/1</v>
      </c>
      <c r="C169" s="67" t="str">
        <f>COLORES!A9</f>
        <v>Melange</v>
      </c>
      <c r="D169" s="67" t="str">
        <f>COLORES!B9</f>
        <v>MELANGE</v>
      </c>
      <c r="E169" s="100">
        <f>IFERROR(SUMIFS(MOVIMIENTOS!$F$4:$F$1000,MOVIMIENTOS!$C$4:$C$1000,A169,MOVIMIENTOS!$D$4:$D$1000,B169,MOVIMIENTOS!$E$4:$E$1000,C169,MOVIMIENTOS!$B$4:$B$1000,"INGRESO")+SUMIFS(MOVIMIENTOS!$F$4:$F$1000,MOVIMIENTOS!$C$4:$C$1000,A169,MOVIMIENTOS!$D$4:$D$1000,B169,MOVIMIENTOS!$E$4:$E$1000,C169,MOVIMIENTOS!$B$4:$B$1000,"DE REPROCESO")+SUMIFS(MOVIMIENTOS!$F$4:$F$1000,MOVIMIENTOS!$C$4:$C$1000,A169,MOVIMIENTOS!$D$4:$D$1000,B169,MOVIMIENTOS!$E$4:$E$1000,C169,MOVIMIENTOS!$B$4:$B$1000,"AJUSTE+")-SUMIFS(MOVIMIENTOS!$F$4:$F$1000,MOVIMIENTOS!$C$4:$C$1000,A169,MOVIMIENTOS!$D$4:$D$1000,B169,MOVIMIENTOS!$E$4:$E$1000,C169,MOVIMIENTOS!$B$4:$B$1000,"A CORTE")-SUMIFS(MOVIMIENTOS!$F$4:$F$1000,MOVIMIENTOS!$C$4:$C$1000,A169,MOVIMIENTOS!$D$4:$D$1000,B169,MOVIMIENTOS!$E$4:$E$1000,C169,MOVIMIENTOS!$B$4:$B$1000,"A REPROCESO")-SUMIFS(MOVIMIENTOS!$F$4:$F$1000,MOVIMIENTOS!$C$4:$C$1000,A169,MOVIMIENTOS!$D$4:$D$1000,B169,MOVIMIENTOS!$E$4:$E$1000,C169,MOVIMIENTOS!$B$4:$B$1000,"MUESTRA")-SUMIFS(MOVIMIENTOS!$F$4:$F$1000,MOVIMIENTOS!$C$4:$C$1000,A169,MOVIMIENTOS!$D$4:$D$1000,B169,MOVIMIENTOS!$E$4:$E$1000,C169,MOVIMIENTOS!$B$4:$B$1000,"AJUSTE-"),0)</f>
        <v>0</v>
      </c>
      <c r="F169" s="101">
        <f>IFERROR(E169*VLOOKUP(B169,TELAS!$A$4:$C$32,3,FALSE()),0)</f>
        <v>0</v>
      </c>
      <c r="G169" s="102">
        <f>IFERROR(IF(D169="OSCURO",VLOOKUP(B169,PRECIOS!$A$4:$F$32,2,FALSE()),IF(D169="CLARO",VLOOKUP(B169,PRECIOS!$A$4:$F$32,3,FALSE()),IF(D169="MELANGE",VLOOKUP(B169,PRECIOS!$A$4:$F$32,4,FALSE()),IF(D169="PPT",VLOOKUP(B169,PRECIOS!$A$4:$F$32,5,FALSE()),0)))),0)</f>
        <v>18</v>
      </c>
      <c r="H169" s="103">
        <f t="shared" si="1"/>
        <v>0</v>
      </c>
      <c r="I169" s="104" t="str">
        <f>IF(E169&lt;0,"ERROR",IF(E169=0,"",IF(E169&lt;CONFIG!$B$4,"CRÍTICO",IF(E169&lt;CONFIG!$B$5,"BAJO","OK"))))</f>
        <v/>
      </c>
    </row>
    <row r="170" ht="15.75" customHeight="1">
      <c r="A170" s="90" t="str">
        <f>IF(CLIENTES!A5="","",CLIENTES!A5)</f>
        <v>Bravos</v>
      </c>
      <c r="B170" s="67" t="str">
        <f>TELAS!A5</f>
        <v>pique 30/1</v>
      </c>
      <c r="C170" s="67" t="str">
        <f>COLORES!A10</f>
        <v>Botella</v>
      </c>
      <c r="D170" s="67" t="str">
        <f>COLORES!B10</f>
        <v>OSCURO</v>
      </c>
      <c r="E170" s="100">
        <f>IFERROR(SUMIFS(MOVIMIENTOS!$F$4:$F$1000,MOVIMIENTOS!$C$4:$C$1000,A170,MOVIMIENTOS!$D$4:$D$1000,B170,MOVIMIENTOS!$E$4:$E$1000,C170,MOVIMIENTOS!$B$4:$B$1000,"INGRESO")+SUMIFS(MOVIMIENTOS!$F$4:$F$1000,MOVIMIENTOS!$C$4:$C$1000,A170,MOVIMIENTOS!$D$4:$D$1000,B170,MOVIMIENTOS!$E$4:$E$1000,C170,MOVIMIENTOS!$B$4:$B$1000,"DE REPROCESO")+SUMIFS(MOVIMIENTOS!$F$4:$F$1000,MOVIMIENTOS!$C$4:$C$1000,A170,MOVIMIENTOS!$D$4:$D$1000,B170,MOVIMIENTOS!$E$4:$E$1000,C170,MOVIMIENTOS!$B$4:$B$1000,"AJUSTE+")-SUMIFS(MOVIMIENTOS!$F$4:$F$1000,MOVIMIENTOS!$C$4:$C$1000,A170,MOVIMIENTOS!$D$4:$D$1000,B170,MOVIMIENTOS!$E$4:$E$1000,C170,MOVIMIENTOS!$B$4:$B$1000,"A CORTE")-SUMIFS(MOVIMIENTOS!$F$4:$F$1000,MOVIMIENTOS!$C$4:$C$1000,A170,MOVIMIENTOS!$D$4:$D$1000,B170,MOVIMIENTOS!$E$4:$E$1000,C170,MOVIMIENTOS!$B$4:$B$1000,"A REPROCESO")-SUMIFS(MOVIMIENTOS!$F$4:$F$1000,MOVIMIENTOS!$C$4:$C$1000,A170,MOVIMIENTOS!$D$4:$D$1000,B170,MOVIMIENTOS!$E$4:$E$1000,C170,MOVIMIENTOS!$B$4:$B$1000,"MUESTRA")-SUMIFS(MOVIMIENTOS!$F$4:$F$1000,MOVIMIENTOS!$C$4:$C$1000,A170,MOVIMIENTOS!$D$4:$D$1000,B170,MOVIMIENTOS!$E$4:$E$1000,C170,MOVIMIENTOS!$B$4:$B$1000,"AJUSTE-"),0)</f>
        <v>0</v>
      </c>
      <c r="F170" s="101">
        <f>IFERROR(E170*VLOOKUP(B170,TELAS!$A$4:$C$32,3,FALSE()),0)</f>
        <v>0</v>
      </c>
      <c r="G170" s="102">
        <f>IFERROR(IF(D170="OSCURO",VLOOKUP(B170,PRECIOS!$A$4:$F$32,2,FALSE()),IF(D170="CLARO",VLOOKUP(B170,PRECIOS!$A$4:$F$32,3,FALSE()),IF(D170="MELANGE",VLOOKUP(B170,PRECIOS!$A$4:$F$32,4,FALSE()),IF(D170="PPT",VLOOKUP(B170,PRECIOS!$A$4:$F$32,5,FALSE()),0)))),0)</f>
        <v>24</v>
      </c>
      <c r="H170" s="103">
        <f t="shared" si="1"/>
        <v>0</v>
      </c>
      <c r="I170" s="104" t="str">
        <f>IF(E170&lt;0,"ERROR",IF(E170=0,"",IF(E170&lt;CONFIG!$B$4,"CRÍTICO",IF(E170&lt;CONFIG!$B$5,"BAJO","OK"))))</f>
        <v/>
      </c>
    </row>
    <row r="171" ht="15.75" customHeight="1">
      <c r="A171" s="90" t="str">
        <f>IF(CLIENTES!A5="","",CLIENTES!A5)</f>
        <v>Bravos</v>
      </c>
      <c r="B171" s="67" t="str">
        <f>TELAS!A5</f>
        <v>pique 30/1</v>
      </c>
      <c r="C171" s="67" t="str">
        <f>COLORES!A11</f>
        <v>Pacay</v>
      </c>
      <c r="D171" s="67" t="str">
        <f>COLORES!B11</f>
        <v>CLARO</v>
      </c>
      <c r="E171" s="100">
        <f>IFERROR(SUMIFS(MOVIMIENTOS!$F$4:$F$1000,MOVIMIENTOS!$C$4:$C$1000,A171,MOVIMIENTOS!$D$4:$D$1000,B171,MOVIMIENTOS!$E$4:$E$1000,C171,MOVIMIENTOS!$B$4:$B$1000,"INGRESO")+SUMIFS(MOVIMIENTOS!$F$4:$F$1000,MOVIMIENTOS!$C$4:$C$1000,A171,MOVIMIENTOS!$D$4:$D$1000,B171,MOVIMIENTOS!$E$4:$E$1000,C171,MOVIMIENTOS!$B$4:$B$1000,"DE REPROCESO")+SUMIFS(MOVIMIENTOS!$F$4:$F$1000,MOVIMIENTOS!$C$4:$C$1000,A171,MOVIMIENTOS!$D$4:$D$1000,B171,MOVIMIENTOS!$E$4:$E$1000,C171,MOVIMIENTOS!$B$4:$B$1000,"AJUSTE+")-SUMIFS(MOVIMIENTOS!$F$4:$F$1000,MOVIMIENTOS!$C$4:$C$1000,A171,MOVIMIENTOS!$D$4:$D$1000,B171,MOVIMIENTOS!$E$4:$E$1000,C171,MOVIMIENTOS!$B$4:$B$1000,"A CORTE")-SUMIFS(MOVIMIENTOS!$F$4:$F$1000,MOVIMIENTOS!$C$4:$C$1000,A171,MOVIMIENTOS!$D$4:$D$1000,B171,MOVIMIENTOS!$E$4:$E$1000,C171,MOVIMIENTOS!$B$4:$B$1000,"A REPROCESO")-SUMIFS(MOVIMIENTOS!$F$4:$F$1000,MOVIMIENTOS!$C$4:$C$1000,A171,MOVIMIENTOS!$D$4:$D$1000,B171,MOVIMIENTOS!$E$4:$E$1000,C171,MOVIMIENTOS!$B$4:$B$1000,"MUESTRA")-SUMIFS(MOVIMIENTOS!$F$4:$F$1000,MOVIMIENTOS!$C$4:$C$1000,A171,MOVIMIENTOS!$D$4:$D$1000,B171,MOVIMIENTOS!$E$4:$E$1000,C171,MOVIMIENTOS!$B$4:$B$1000,"AJUSTE-"),0)</f>
        <v>0</v>
      </c>
      <c r="F171" s="101">
        <f>IFERROR(E171*VLOOKUP(B171,TELAS!$A$4:$C$32,3,FALSE()),0)</f>
        <v>0</v>
      </c>
      <c r="G171" s="102">
        <f>IFERROR(IF(D171="OSCURO",VLOOKUP(B171,PRECIOS!$A$4:$F$32,2,FALSE()),IF(D171="CLARO",VLOOKUP(B171,PRECIOS!$A$4:$F$32,3,FALSE()),IF(D171="MELANGE",VLOOKUP(B171,PRECIOS!$A$4:$F$32,4,FALSE()),IF(D171="PPT",VLOOKUP(B171,PRECIOS!$A$4:$F$32,5,FALSE()),0)))),0)</f>
        <v>21</v>
      </c>
      <c r="H171" s="103">
        <f t="shared" si="1"/>
        <v>0</v>
      </c>
      <c r="I171" s="104" t="str">
        <f>IF(E171&lt;0,"ERROR",IF(E171=0,"",IF(E171&lt;CONFIG!$B$4,"CRÍTICO",IF(E171&lt;CONFIG!$B$5,"BAJO","OK"))))</f>
        <v/>
      </c>
    </row>
    <row r="172" ht="15.75" customHeight="1">
      <c r="A172" s="90" t="str">
        <f>IF(CLIENTES!A5="","",CLIENTES!A5)</f>
        <v>Bravos</v>
      </c>
      <c r="B172" s="67" t="str">
        <f>TELAS!A5</f>
        <v>pique 30/1</v>
      </c>
      <c r="C172" s="67" t="str">
        <f>COLORES!A12</f>
        <v>Cemento</v>
      </c>
      <c r="D172" s="67" t="str">
        <f>COLORES!B12</f>
        <v>CLARO</v>
      </c>
      <c r="E172" s="100">
        <f>IFERROR(SUMIFS(MOVIMIENTOS!$F$4:$F$1000,MOVIMIENTOS!$C$4:$C$1000,A172,MOVIMIENTOS!$D$4:$D$1000,B172,MOVIMIENTOS!$E$4:$E$1000,C172,MOVIMIENTOS!$B$4:$B$1000,"INGRESO")+SUMIFS(MOVIMIENTOS!$F$4:$F$1000,MOVIMIENTOS!$C$4:$C$1000,A172,MOVIMIENTOS!$D$4:$D$1000,B172,MOVIMIENTOS!$E$4:$E$1000,C172,MOVIMIENTOS!$B$4:$B$1000,"DE REPROCESO")+SUMIFS(MOVIMIENTOS!$F$4:$F$1000,MOVIMIENTOS!$C$4:$C$1000,A172,MOVIMIENTOS!$D$4:$D$1000,B172,MOVIMIENTOS!$E$4:$E$1000,C172,MOVIMIENTOS!$B$4:$B$1000,"AJUSTE+")-SUMIFS(MOVIMIENTOS!$F$4:$F$1000,MOVIMIENTOS!$C$4:$C$1000,A172,MOVIMIENTOS!$D$4:$D$1000,B172,MOVIMIENTOS!$E$4:$E$1000,C172,MOVIMIENTOS!$B$4:$B$1000,"A CORTE")-SUMIFS(MOVIMIENTOS!$F$4:$F$1000,MOVIMIENTOS!$C$4:$C$1000,A172,MOVIMIENTOS!$D$4:$D$1000,B172,MOVIMIENTOS!$E$4:$E$1000,C172,MOVIMIENTOS!$B$4:$B$1000,"A REPROCESO")-SUMIFS(MOVIMIENTOS!$F$4:$F$1000,MOVIMIENTOS!$C$4:$C$1000,A172,MOVIMIENTOS!$D$4:$D$1000,B172,MOVIMIENTOS!$E$4:$E$1000,C172,MOVIMIENTOS!$B$4:$B$1000,"MUESTRA")-SUMIFS(MOVIMIENTOS!$F$4:$F$1000,MOVIMIENTOS!$C$4:$C$1000,A172,MOVIMIENTOS!$D$4:$D$1000,B172,MOVIMIENTOS!$E$4:$E$1000,C172,MOVIMIENTOS!$B$4:$B$1000,"AJUSTE-"),0)</f>
        <v>0</v>
      </c>
      <c r="F172" s="101">
        <f>IFERROR(E172*VLOOKUP(B172,TELAS!$A$4:$C$32,3,FALSE()),0)</f>
        <v>0</v>
      </c>
      <c r="G172" s="102">
        <f>IFERROR(IF(D172="OSCURO",VLOOKUP(B172,PRECIOS!$A$4:$F$32,2,FALSE()),IF(D172="CLARO",VLOOKUP(B172,PRECIOS!$A$4:$F$32,3,FALSE()),IF(D172="MELANGE",VLOOKUP(B172,PRECIOS!$A$4:$F$32,4,FALSE()),IF(D172="PPT",VLOOKUP(B172,PRECIOS!$A$4:$F$32,5,FALSE()),0)))),0)</f>
        <v>21</v>
      </c>
      <c r="H172" s="103">
        <f t="shared" si="1"/>
        <v>0</v>
      </c>
      <c r="I172" s="104" t="str">
        <f>IF(E172&lt;0,"ERROR",IF(E172=0,"",IF(E172&lt;CONFIG!$B$4,"CRÍTICO",IF(E172&lt;CONFIG!$B$5,"BAJO","OK"))))</f>
        <v/>
      </c>
    </row>
    <row r="173" ht="15.75" customHeight="1">
      <c r="A173" s="90" t="str">
        <f>IF(CLIENTES!A5="","",CLIENTES!A5)</f>
        <v>Bravos</v>
      </c>
      <c r="B173" s="67" t="str">
        <f>TELAS!A5</f>
        <v>pique 30/1</v>
      </c>
      <c r="C173" s="67" t="str">
        <f>COLORES!A13</f>
        <v>Camote</v>
      </c>
      <c r="D173" s="67" t="str">
        <f>COLORES!B13</f>
        <v>CLARO</v>
      </c>
      <c r="E173" s="100">
        <f>IFERROR(SUMIFS(MOVIMIENTOS!$F$4:$F$1000,MOVIMIENTOS!$C$4:$C$1000,A173,MOVIMIENTOS!$D$4:$D$1000,B173,MOVIMIENTOS!$E$4:$E$1000,C173,MOVIMIENTOS!$B$4:$B$1000,"INGRESO")+SUMIFS(MOVIMIENTOS!$F$4:$F$1000,MOVIMIENTOS!$C$4:$C$1000,A173,MOVIMIENTOS!$D$4:$D$1000,B173,MOVIMIENTOS!$E$4:$E$1000,C173,MOVIMIENTOS!$B$4:$B$1000,"DE REPROCESO")+SUMIFS(MOVIMIENTOS!$F$4:$F$1000,MOVIMIENTOS!$C$4:$C$1000,A173,MOVIMIENTOS!$D$4:$D$1000,B173,MOVIMIENTOS!$E$4:$E$1000,C173,MOVIMIENTOS!$B$4:$B$1000,"AJUSTE+")-SUMIFS(MOVIMIENTOS!$F$4:$F$1000,MOVIMIENTOS!$C$4:$C$1000,A173,MOVIMIENTOS!$D$4:$D$1000,B173,MOVIMIENTOS!$E$4:$E$1000,C173,MOVIMIENTOS!$B$4:$B$1000,"A CORTE")-SUMIFS(MOVIMIENTOS!$F$4:$F$1000,MOVIMIENTOS!$C$4:$C$1000,A173,MOVIMIENTOS!$D$4:$D$1000,B173,MOVIMIENTOS!$E$4:$E$1000,C173,MOVIMIENTOS!$B$4:$B$1000,"A REPROCESO")-SUMIFS(MOVIMIENTOS!$F$4:$F$1000,MOVIMIENTOS!$C$4:$C$1000,A173,MOVIMIENTOS!$D$4:$D$1000,B173,MOVIMIENTOS!$E$4:$E$1000,C173,MOVIMIENTOS!$B$4:$B$1000,"MUESTRA")-SUMIFS(MOVIMIENTOS!$F$4:$F$1000,MOVIMIENTOS!$C$4:$C$1000,A173,MOVIMIENTOS!$D$4:$D$1000,B173,MOVIMIENTOS!$E$4:$E$1000,C173,MOVIMIENTOS!$B$4:$B$1000,"AJUSTE-"),0)</f>
        <v>0</v>
      </c>
      <c r="F173" s="101">
        <f>IFERROR(E173*VLOOKUP(B173,TELAS!$A$4:$C$32,3,FALSE()),0)</f>
        <v>0</v>
      </c>
      <c r="G173" s="102">
        <f>IFERROR(IF(D173="OSCURO",VLOOKUP(B173,PRECIOS!$A$4:$F$32,2,FALSE()),IF(D173="CLARO",VLOOKUP(B173,PRECIOS!$A$4:$F$32,3,FALSE()),IF(D173="MELANGE",VLOOKUP(B173,PRECIOS!$A$4:$F$32,4,FALSE()),IF(D173="PPT",VLOOKUP(B173,PRECIOS!$A$4:$F$32,5,FALSE()),0)))),0)</f>
        <v>21</v>
      </c>
      <c r="H173" s="103">
        <f t="shared" si="1"/>
        <v>0</v>
      </c>
      <c r="I173" s="104" t="str">
        <f>IF(E173&lt;0,"ERROR",IF(E173=0,"",IF(E173&lt;CONFIG!$B$4,"CRÍTICO",IF(E173&lt;CONFIG!$B$5,"BAJO","OK"))))</f>
        <v/>
      </c>
    </row>
    <row r="174" ht="15.75" customHeight="1">
      <c r="A174" s="90" t="str">
        <f>IF(CLIENTES!A5="","",CLIENTES!A5)</f>
        <v>Bravos</v>
      </c>
      <c r="B174" s="67" t="str">
        <f>TELAS!A5</f>
        <v>pique 30/1</v>
      </c>
      <c r="C174" s="67" t="str">
        <f>COLORES!A14</f>
        <v>Denim</v>
      </c>
      <c r="D174" s="67" t="str">
        <f>COLORES!B14</f>
        <v>CLARO</v>
      </c>
      <c r="E174" s="100">
        <f>IFERROR(SUMIFS(MOVIMIENTOS!$F$4:$F$1000,MOVIMIENTOS!$C$4:$C$1000,A174,MOVIMIENTOS!$D$4:$D$1000,B174,MOVIMIENTOS!$E$4:$E$1000,C174,MOVIMIENTOS!$B$4:$B$1000,"INGRESO")+SUMIFS(MOVIMIENTOS!$F$4:$F$1000,MOVIMIENTOS!$C$4:$C$1000,A174,MOVIMIENTOS!$D$4:$D$1000,B174,MOVIMIENTOS!$E$4:$E$1000,C174,MOVIMIENTOS!$B$4:$B$1000,"DE REPROCESO")+SUMIFS(MOVIMIENTOS!$F$4:$F$1000,MOVIMIENTOS!$C$4:$C$1000,A174,MOVIMIENTOS!$D$4:$D$1000,B174,MOVIMIENTOS!$E$4:$E$1000,C174,MOVIMIENTOS!$B$4:$B$1000,"AJUSTE+")-SUMIFS(MOVIMIENTOS!$F$4:$F$1000,MOVIMIENTOS!$C$4:$C$1000,A174,MOVIMIENTOS!$D$4:$D$1000,B174,MOVIMIENTOS!$E$4:$E$1000,C174,MOVIMIENTOS!$B$4:$B$1000,"A CORTE")-SUMIFS(MOVIMIENTOS!$F$4:$F$1000,MOVIMIENTOS!$C$4:$C$1000,A174,MOVIMIENTOS!$D$4:$D$1000,B174,MOVIMIENTOS!$E$4:$E$1000,C174,MOVIMIENTOS!$B$4:$B$1000,"A REPROCESO")-SUMIFS(MOVIMIENTOS!$F$4:$F$1000,MOVIMIENTOS!$C$4:$C$1000,A174,MOVIMIENTOS!$D$4:$D$1000,B174,MOVIMIENTOS!$E$4:$E$1000,C174,MOVIMIENTOS!$B$4:$B$1000,"MUESTRA")-SUMIFS(MOVIMIENTOS!$F$4:$F$1000,MOVIMIENTOS!$C$4:$C$1000,A174,MOVIMIENTOS!$D$4:$D$1000,B174,MOVIMIENTOS!$E$4:$E$1000,C174,MOVIMIENTOS!$B$4:$B$1000,"AJUSTE-"),0)</f>
        <v>0</v>
      </c>
      <c r="F174" s="101">
        <f>IFERROR(E174*VLOOKUP(B174,TELAS!$A$4:$C$32,3,FALSE()),0)</f>
        <v>0</v>
      </c>
      <c r="G174" s="102">
        <f>IFERROR(IF(D174="OSCURO",VLOOKUP(B174,PRECIOS!$A$4:$F$32,2,FALSE()),IF(D174="CLARO",VLOOKUP(B174,PRECIOS!$A$4:$F$32,3,FALSE()),IF(D174="MELANGE",VLOOKUP(B174,PRECIOS!$A$4:$F$32,4,FALSE()),IF(D174="PPT",VLOOKUP(B174,PRECIOS!$A$4:$F$32,5,FALSE()),0)))),0)</f>
        <v>21</v>
      </c>
      <c r="H174" s="103">
        <f t="shared" si="1"/>
        <v>0</v>
      </c>
      <c r="I174" s="104" t="str">
        <f>IF(E174&lt;0,"ERROR",IF(E174=0,"",IF(E174&lt;CONFIG!$B$4,"CRÍTICO",IF(E174&lt;CONFIG!$B$5,"BAJO","OK"))))</f>
        <v/>
      </c>
    </row>
    <row r="175" ht="15.75" customHeight="1">
      <c r="A175" s="90" t="str">
        <f>IF(CLIENTES!A5="","",CLIENTES!A5)</f>
        <v>Bravos</v>
      </c>
      <c r="B175" s="67" t="str">
        <f>TELAS!A5</f>
        <v>pique 30/1</v>
      </c>
      <c r="C175" s="67" t="str">
        <f>COLORES!A15</f>
        <v>Plomo</v>
      </c>
      <c r="D175" s="67" t="str">
        <f>COLORES!B15</f>
        <v>OSCURO</v>
      </c>
      <c r="E175" s="100">
        <f>IFERROR(SUMIFS(MOVIMIENTOS!$F$4:$F$1000,MOVIMIENTOS!$C$4:$C$1000,A175,MOVIMIENTOS!$D$4:$D$1000,B175,MOVIMIENTOS!$E$4:$E$1000,C175,MOVIMIENTOS!$B$4:$B$1000,"INGRESO")+SUMIFS(MOVIMIENTOS!$F$4:$F$1000,MOVIMIENTOS!$C$4:$C$1000,A175,MOVIMIENTOS!$D$4:$D$1000,B175,MOVIMIENTOS!$E$4:$E$1000,C175,MOVIMIENTOS!$B$4:$B$1000,"DE REPROCESO")+SUMIFS(MOVIMIENTOS!$F$4:$F$1000,MOVIMIENTOS!$C$4:$C$1000,A175,MOVIMIENTOS!$D$4:$D$1000,B175,MOVIMIENTOS!$E$4:$E$1000,C175,MOVIMIENTOS!$B$4:$B$1000,"AJUSTE+")-SUMIFS(MOVIMIENTOS!$F$4:$F$1000,MOVIMIENTOS!$C$4:$C$1000,A175,MOVIMIENTOS!$D$4:$D$1000,B175,MOVIMIENTOS!$E$4:$E$1000,C175,MOVIMIENTOS!$B$4:$B$1000,"A CORTE")-SUMIFS(MOVIMIENTOS!$F$4:$F$1000,MOVIMIENTOS!$C$4:$C$1000,A175,MOVIMIENTOS!$D$4:$D$1000,B175,MOVIMIENTOS!$E$4:$E$1000,C175,MOVIMIENTOS!$B$4:$B$1000,"A REPROCESO")-SUMIFS(MOVIMIENTOS!$F$4:$F$1000,MOVIMIENTOS!$C$4:$C$1000,A175,MOVIMIENTOS!$D$4:$D$1000,B175,MOVIMIENTOS!$E$4:$E$1000,C175,MOVIMIENTOS!$B$4:$B$1000,"MUESTRA")-SUMIFS(MOVIMIENTOS!$F$4:$F$1000,MOVIMIENTOS!$C$4:$C$1000,A175,MOVIMIENTOS!$D$4:$D$1000,B175,MOVIMIENTOS!$E$4:$E$1000,C175,MOVIMIENTOS!$B$4:$B$1000,"AJUSTE-"),0)</f>
        <v>0</v>
      </c>
      <c r="F175" s="101">
        <f>IFERROR(E175*VLOOKUP(B175,TELAS!$A$4:$C$32,3,FALSE()),0)</f>
        <v>0</v>
      </c>
      <c r="G175" s="102">
        <f>IFERROR(IF(D175="OSCURO",VLOOKUP(B175,PRECIOS!$A$4:$F$32,2,FALSE()),IF(D175="CLARO",VLOOKUP(B175,PRECIOS!$A$4:$F$32,3,FALSE()),IF(D175="MELANGE",VLOOKUP(B175,PRECIOS!$A$4:$F$32,4,FALSE()),IF(D175="PPT",VLOOKUP(B175,PRECIOS!$A$4:$F$32,5,FALSE()),0)))),0)</f>
        <v>24</v>
      </c>
      <c r="H175" s="103">
        <f t="shared" si="1"/>
        <v>0</v>
      </c>
      <c r="I175" s="104" t="str">
        <f>IF(E175&lt;0,"ERROR",IF(E175=0,"",IF(E175&lt;CONFIG!$B$4,"CRÍTICO",IF(E175&lt;CONFIG!$B$5,"BAJO","OK"))))</f>
        <v/>
      </c>
    </row>
    <row r="176" ht="15.75" customHeight="1">
      <c r="A176" s="90" t="str">
        <f>IF(CLIENTES!A5="","",CLIENTES!A5)</f>
        <v>Bravos</v>
      </c>
      <c r="B176" s="67" t="str">
        <f>TELAS!A5</f>
        <v>pique 30/1</v>
      </c>
      <c r="C176" s="67" t="str">
        <f>COLORES!A16</f>
        <v>Topo</v>
      </c>
      <c r="D176" s="67" t="str">
        <f>COLORES!B16</f>
        <v>CLARO</v>
      </c>
      <c r="E176" s="100">
        <f>IFERROR(SUMIFS(MOVIMIENTOS!$F$4:$F$1000,MOVIMIENTOS!$C$4:$C$1000,A176,MOVIMIENTOS!$D$4:$D$1000,B176,MOVIMIENTOS!$E$4:$E$1000,C176,MOVIMIENTOS!$B$4:$B$1000,"INGRESO")+SUMIFS(MOVIMIENTOS!$F$4:$F$1000,MOVIMIENTOS!$C$4:$C$1000,A176,MOVIMIENTOS!$D$4:$D$1000,B176,MOVIMIENTOS!$E$4:$E$1000,C176,MOVIMIENTOS!$B$4:$B$1000,"DE REPROCESO")+SUMIFS(MOVIMIENTOS!$F$4:$F$1000,MOVIMIENTOS!$C$4:$C$1000,A176,MOVIMIENTOS!$D$4:$D$1000,B176,MOVIMIENTOS!$E$4:$E$1000,C176,MOVIMIENTOS!$B$4:$B$1000,"AJUSTE+")-SUMIFS(MOVIMIENTOS!$F$4:$F$1000,MOVIMIENTOS!$C$4:$C$1000,A176,MOVIMIENTOS!$D$4:$D$1000,B176,MOVIMIENTOS!$E$4:$E$1000,C176,MOVIMIENTOS!$B$4:$B$1000,"A CORTE")-SUMIFS(MOVIMIENTOS!$F$4:$F$1000,MOVIMIENTOS!$C$4:$C$1000,A176,MOVIMIENTOS!$D$4:$D$1000,B176,MOVIMIENTOS!$E$4:$E$1000,C176,MOVIMIENTOS!$B$4:$B$1000,"A REPROCESO")-SUMIFS(MOVIMIENTOS!$F$4:$F$1000,MOVIMIENTOS!$C$4:$C$1000,A176,MOVIMIENTOS!$D$4:$D$1000,B176,MOVIMIENTOS!$E$4:$E$1000,C176,MOVIMIENTOS!$B$4:$B$1000,"MUESTRA")-SUMIFS(MOVIMIENTOS!$F$4:$F$1000,MOVIMIENTOS!$C$4:$C$1000,A176,MOVIMIENTOS!$D$4:$D$1000,B176,MOVIMIENTOS!$E$4:$E$1000,C176,MOVIMIENTOS!$B$4:$B$1000,"AJUSTE-"),0)</f>
        <v>0</v>
      </c>
      <c r="F176" s="101">
        <f>IFERROR(E176*VLOOKUP(B176,TELAS!$A$4:$C$32,3,FALSE()),0)</f>
        <v>0</v>
      </c>
      <c r="G176" s="102">
        <f>IFERROR(IF(D176="OSCURO",VLOOKUP(B176,PRECIOS!$A$4:$F$32,2,FALSE()),IF(D176="CLARO",VLOOKUP(B176,PRECIOS!$A$4:$F$32,3,FALSE()),IF(D176="MELANGE",VLOOKUP(B176,PRECIOS!$A$4:$F$32,4,FALSE()),IF(D176="PPT",VLOOKUP(B176,PRECIOS!$A$4:$F$32,5,FALSE()),0)))),0)</f>
        <v>21</v>
      </c>
      <c r="H176" s="103">
        <f t="shared" si="1"/>
        <v>0</v>
      </c>
      <c r="I176" s="104" t="str">
        <f>IF(E176&lt;0,"ERROR",IF(E176=0,"",IF(E176&lt;CONFIG!$B$4,"CRÍTICO",IF(E176&lt;CONFIG!$B$5,"BAJO","OK"))))</f>
        <v/>
      </c>
    </row>
    <row r="177" ht="15.75" customHeight="1">
      <c r="A177" s="90" t="str">
        <f>IF(CLIENTES!A5="","",CLIENTES!A5)</f>
        <v>Bravos</v>
      </c>
      <c r="B177" s="67" t="str">
        <f>TELAS!A5</f>
        <v>pique 30/1</v>
      </c>
      <c r="C177" s="67" t="str">
        <f>COLORES!A17</f>
        <v>Vino</v>
      </c>
      <c r="D177" s="67" t="str">
        <f>COLORES!B17</f>
        <v>OSCURO</v>
      </c>
      <c r="E177" s="100">
        <f>IFERROR(SUMIFS(MOVIMIENTOS!$F$4:$F$1000,MOVIMIENTOS!$C$4:$C$1000,A177,MOVIMIENTOS!$D$4:$D$1000,B177,MOVIMIENTOS!$E$4:$E$1000,C177,MOVIMIENTOS!$B$4:$B$1000,"INGRESO")+SUMIFS(MOVIMIENTOS!$F$4:$F$1000,MOVIMIENTOS!$C$4:$C$1000,A177,MOVIMIENTOS!$D$4:$D$1000,B177,MOVIMIENTOS!$E$4:$E$1000,C177,MOVIMIENTOS!$B$4:$B$1000,"DE REPROCESO")+SUMIFS(MOVIMIENTOS!$F$4:$F$1000,MOVIMIENTOS!$C$4:$C$1000,A177,MOVIMIENTOS!$D$4:$D$1000,B177,MOVIMIENTOS!$E$4:$E$1000,C177,MOVIMIENTOS!$B$4:$B$1000,"AJUSTE+")-SUMIFS(MOVIMIENTOS!$F$4:$F$1000,MOVIMIENTOS!$C$4:$C$1000,A177,MOVIMIENTOS!$D$4:$D$1000,B177,MOVIMIENTOS!$E$4:$E$1000,C177,MOVIMIENTOS!$B$4:$B$1000,"A CORTE")-SUMIFS(MOVIMIENTOS!$F$4:$F$1000,MOVIMIENTOS!$C$4:$C$1000,A177,MOVIMIENTOS!$D$4:$D$1000,B177,MOVIMIENTOS!$E$4:$E$1000,C177,MOVIMIENTOS!$B$4:$B$1000,"A REPROCESO")-SUMIFS(MOVIMIENTOS!$F$4:$F$1000,MOVIMIENTOS!$C$4:$C$1000,A177,MOVIMIENTOS!$D$4:$D$1000,B177,MOVIMIENTOS!$E$4:$E$1000,C177,MOVIMIENTOS!$B$4:$B$1000,"MUESTRA")-SUMIFS(MOVIMIENTOS!$F$4:$F$1000,MOVIMIENTOS!$C$4:$C$1000,A177,MOVIMIENTOS!$D$4:$D$1000,B177,MOVIMIENTOS!$E$4:$E$1000,C177,MOVIMIENTOS!$B$4:$B$1000,"AJUSTE-"),0)</f>
        <v>0</v>
      </c>
      <c r="F177" s="101">
        <f>IFERROR(E177*VLOOKUP(B177,TELAS!$A$4:$C$32,3,FALSE()),0)</f>
        <v>0</v>
      </c>
      <c r="G177" s="102">
        <f>IFERROR(IF(D177="OSCURO",VLOOKUP(B177,PRECIOS!$A$4:$F$32,2,FALSE()),IF(D177="CLARO",VLOOKUP(B177,PRECIOS!$A$4:$F$32,3,FALSE()),IF(D177="MELANGE",VLOOKUP(B177,PRECIOS!$A$4:$F$32,4,FALSE()),IF(D177="PPT",VLOOKUP(B177,PRECIOS!$A$4:$F$32,5,FALSE()),0)))),0)</f>
        <v>24</v>
      </c>
      <c r="H177" s="103">
        <f t="shared" si="1"/>
        <v>0</v>
      </c>
      <c r="I177" s="104" t="str">
        <f>IF(E177&lt;0,"ERROR",IF(E177=0,"",IF(E177&lt;CONFIG!$B$4,"CRÍTICO",IF(E177&lt;CONFIG!$B$5,"BAJO","OK"))))</f>
        <v/>
      </c>
    </row>
    <row r="178" ht="15.75" customHeight="1">
      <c r="A178" s="90" t="str">
        <f>IF(CLIENTES!A5="","",CLIENTES!A5)</f>
        <v>Bravos</v>
      </c>
      <c r="B178" s="67" t="str">
        <f>TELAS!A5</f>
        <v>pique 30/1</v>
      </c>
      <c r="C178" s="67" t="str">
        <f>COLORES!A18</f>
        <v>P. Rosa</v>
      </c>
      <c r="D178" s="67" t="str">
        <f>COLORES!B18</f>
        <v>CLARO</v>
      </c>
      <c r="E178" s="100">
        <f>IFERROR(SUMIFS(MOVIMIENTOS!$F$4:$F$1000,MOVIMIENTOS!$C$4:$C$1000,A178,MOVIMIENTOS!$D$4:$D$1000,B178,MOVIMIENTOS!$E$4:$E$1000,C178,MOVIMIENTOS!$B$4:$B$1000,"INGRESO")+SUMIFS(MOVIMIENTOS!$F$4:$F$1000,MOVIMIENTOS!$C$4:$C$1000,A178,MOVIMIENTOS!$D$4:$D$1000,B178,MOVIMIENTOS!$E$4:$E$1000,C178,MOVIMIENTOS!$B$4:$B$1000,"DE REPROCESO")+SUMIFS(MOVIMIENTOS!$F$4:$F$1000,MOVIMIENTOS!$C$4:$C$1000,A178,MOVIMIENTOS!$D$4:$D$1000,B178,MOVIMIENTOS!$E$4:$E$1000,C178,MOVIMIENTOS!$B$4:$B$1000,"AJUSTE+")-SUMIFS(MOVIMIENTOS!$F$4:$F$1000,MOVIMIENTOS!$C$4:$C$1000,A178,MOVIMIENTOS!$D$4:$D$1000,B178,MOVIMIENTOS!$E$4:$E$1000,C178,MOVIMIENTOS!$B$4:$B$1000,"A CORTE")-SUMIFS(MOVIMIENTOS!$F$4:$F$1000,MOVIMIENTOS!$C$4:$C$1000,A178,MOVIMIENTOS!$D$4:$D$1000,B178,MOVIMIENTOS!$E$4:$E$1000,C178,MOVIMIENTOS!$B$4:$B$1000,"A REPROCESO")-SUMIFS(MOVIMIENTOS!$F$4:$F$1000,MOVIMIENTOS!$C$4:$C$1000,A178,MOVIMIENTOS!$D$4:$D$1000,B178,MOVIMIENTOS!$E$4:$E$1000,C178,MOVIMIENTOS!$B$4:$B$1000,"MUESTRA")-SUMIFS(MOVIMIENTOS!$F$4:$F$1000,MOVIMIENTOS!$C$4:$C$1000,A178,MOVIMIENTOS!$D$4:$D$1000,B178,MOVIMIENTOS!$E$4:$E$1000,C178,MOVIMIENTOS!$B$4:$B$1000,"AJUSTE-"),0)</f>
        <v>0</v>
      </c>
      <c r="F178" s="101">
        <f>IFERROR(E178*VLOOKUP(B178,TELAS!$A$4:$C$32,3,FALSE()),0)</f>
        <v>0</v>
      </c>
      <c r="G178" s="102">
        <f>IFERROR(IF(D178="OSCURO",VLOOKUP(B178,PRECIOS!$A$4:$F$32,2,FALSE()),IF(D178="CLARO",VLOOKUP(B178,PRECIOS!$A$4:$F$32,3,FALSE()),IF(D178="MELANGE",VLOOKUP(B178,PRECIOS!$A$4:$F$32,4,FALSE()),IF(D178="PPT",VLOOKUP(B178,PRECIOS!$A$4:$F$32,5,FALSE()),0)))),0)</f>
        <v>21</v>
      </c>
      <c r="H178" s="103">
        <f t="shared" si="1"/>
        <v>0</v>
      </c>
      <c r="I178" s="104" t="str">
        <f>IF(E178&lt;0,"ERROR",IF(E178=0,"",IF(E178&lt;CONFIG!$B$4,"CRÍTICO",IF(E178&lt;CONFIG!$B$5,"BAJO","OK"))))</f>
        <v/>
      </c>
    </row>
    <row r="179" ht="15.75" customHeight="1">
      <c r="A179" s="90" t="str">
        <f>IF(CLIENTES!A5="","",CLIENTES!A5)</f>
        <v>Bravos</v>
      </c>
      <c r="B179" s="67" t="str">
        <f>TELAS!A5</f>
        <v>pique 30/1</v>
      </c>
      <c r="C179" s="67" t="str">
        <f>COLORES!A19</f>
        <v/>
      </c>
      <c r="D179" s="67" t="str">
        <f>COLORES!B19</f>
        <v/>
      </c>
      <c r="E179" s="100">
        <f>IFERROR(SUMIFS(MOVIMIENTOS!$F$4:$F$1000,MOVIMIENTOS!$C$4:$C$1000,A179,MOVIMIENTOS!$D$4:$D$1000,B179,MOVIMIENTOS!$E$4:$E$1000,C179,MOVIMIENTOS!$B$4:$B$1000,"INGRESO")+SUMIFS(MOVIMIENTOS!$F$4:$F$1000,MOVIMIENTOS!$C$4:$C$1000,A179,MOVIMIENTOS!$D$4:$D$1000,B179,MOVIMIENTOS!$E$4:$E$1000,C179,MOVIMIENTOS!$B$4:$B$1000,"DE REPROCESO")+SUMIFS(MOVIMIENTOS!$F$4:$F$1000,MOVIMIENTOS!$C$4:$C$1000,A179,MOVIMIENTOS!$D$4:$D$1000,B179,MOVIMIENTOS!$E$4:$E$1000,C179,MOVIMIENTOS!$B$4:$B$1000,"AJUSTE+")-SUMIFS(MOVIMIENTOS!$F$4:$F$1000,MOVIMIENTOS!$C$4:$C$1000,A179,MOVIMIENTOS!$D$4:$D$1000,B179,MOVIMIENTOS!$E$4:$E$1000,C179,MOVIMIENTOS!$B$4:$B$1000,"A CORTE")-SUMIFS(MOVIMIENTOS!$F$4:$F$1000,MOVIMIENTOS!$C$4:$C$1000,A179,MOVIMIENTOS!$D$4:$D$1000,B179,MOVIMIENTOS!$E$4:$E$1000,C179,MOVIMIENTOS!$B$4:$B$1000,"A REPROCESO")-SUMIFS(MOVIMIENTOS!$F$4:$F$1000,MOVIMIENTOS!$C$4:$C$1000,A179,MOVIMIENTOS!$D$4:$D$1000,B179,MOVIMIENTOS!$E$4:$E$1000,C179,MOVIMIENTOS!$B$4:$B$1000,"MUESTRA")-SUMIFS(MOVIMIENTOS!$F$4:$F$1000,MOVIMIENTOS!$C$4:$C$1000,A179,MOVIMIENTOS!$D$4:$D$1000,B179,MOVIMIENTOS!$E$4:$E$1000,C179,MOVIMIENTOS!$B$4:$B$1000,"AJUSTE-"),0)</f>
        <v>0</v>
      </c>
      <c r="F179" s="101">
        <f>IFERROR(E179*VLOOKUP(B179,TELAS!$A$4:$C$32,3,FALSE()),0)</f>
        <v>0</v>
      </c>
      <c r="G179" s="102">
        <f>IFERROR(IF(D179="OSCURO",VLOOKUP(B179,PRECIOS!$A$4:$F$32,2,FALSE()),IF(D179="CLARO",VLOOKUP(B179,PRECIOS!$A$4:$F$32,3,FALSE()),IF(D179="MELANGE",VLOOKUP(B179,PRECIOS!$A$4:$F$32,4,FALSE()),IF(D179="PPT",VLOOKUP(B179,PRECIOS!$A$4:$F$32,5,FALSE()),0)))),0)</f>
        <v>0</v>
      </c>
      <c r="H179" s="103">
        <f t="shared" si="1"/>
        <v>0</v>
      </c>
      <c r="I179" s="104" t="str">
        <f>IF(E179&lt;0,"ERROR",IF(E179=0,"",IF(E179&lt;CONFIG!$B$4,"CRÍTICO",IF(E179&lt;CONFIG!$B$5,"BAJO","OK"))))</f>
        <v/>
      </c>
    </row>
    <row r="180" ht="15.75" customHeight="1">
      <c r="A180" s="90" t="str">
        <f>IF(CLIENTES!A5="","",CLIENTES!A5)</f>
        <v>Bravos</v>
      </c>
      <c r="B180" s="67" t="str">
        <f>TELAS!A5</f>
        <v>pique 30/1</v>
      </c>
      <c r="C180" s="67" t="str">
        <f>COLORES!A20</f>
        <v/>
      </c>
      <c r="D180" s="67" t="str">
        <f>COLORES!B20</f>
        <v/>
      </c>
      <c r="E180" s="100">
        <f>IFERROR(SUMIFS(MOVIMIENTOS!$F$4:$F$1000,MOVIMIENTOS!$C$4:$C$1000,A180,MOVIMIENTOS!$D$4:$D$1000,B180,MOVIMIENTOS!$E$4:$E$1000,C180,MOVIMIENTOS!$B$4:$B$1000,"INGRESO")+SUMIFS(MOVIMIENTOS!$F$4:$F$1000,MOVIMIENTOS!$C$4:$C$1000,A180,MOVIMIENTOS!$D$4:$D$1000,B180,MOVIMIENTOS!$E$4:$E$1000,C180,MOVIMIENTOS!$B$4:$B$1000,"DE REPROCESO")+SUMIFS(MOVIMIENTOS!$F$4:$F$1000,MOVIMIENTOS!$C$4:$C$1000,A180,MOVIMIENTOS!$D$4:$D$1000,B180,MOVIMIENTOS!$E$4:$E$1000,C180,MOVIMIENTOS!$B$4:$B$1000,"AJUSTE+")-SUMIFS(MOVIMIENTOS!$F$4:$F$1000,MOVIMIENTOS!$C$4:$C$1000,A180,MOVIMIENTOS!$D$4:$D$1000,B180,MOVIMIENTOS!$E$4:$E$1000,C180,MOVIMIENTOS!$B$4:$B$1000,"A CORTE")-SUMIFS(MOVIMIENTOS!$F$4:$F$1000,MOVIMIENTOS!$C$4:$C$1000,A180,MOVIMIENTOS!$D$4:$D$1000,B180,MOVIMIENTOS!$E$4:$E$1000,C180,MOVIMIENTOS!$B$4:$B$1000,"A REPROCESO")-SUMIFS(MOVIMIENTOS!$F$4:$F$1000,MOVIMIENTOS!$C$4:$C$1000,A180,MOVIMIENTOS!$D$4:$D$1000,B180,MOVIMIENTOS!$E$4:$E$1000,C180,MOVIMIENTOS!$B$4:$B$1000,"MUESTRA")-SUMIFS(MOVIMIENTOS!$F$4:$F$1000,MOVIMIENTOS!$C$4:$C$1000,A180,MOVIMIENTOS!$D$4:$D$1000,B180,MOVIMIENTOS!$E$4:$E$1000,C180,MOVIMIENTOS!$B$4:$B$1000,"AJUSTE-"),0)</f>
        <v>0</v>
      </c>
      <c r="F180" s="101">
        <f>IFERROR(E180*VLOOKUP(B180,TELAS!$A$4:$C$32,3,FALSE()),0)</f>
        <v>0</v>
      </c>
      <c r="G180" s="102">
        <f>IFERROR(IF(D180="OSCURO",VLOOKUP(B180,PRECIOS!$A$4:$F$32,2,FALSE()),IF(D180="CLARO",VLOOKUP(B180,PRECIOS!$A$4:$F$32,3,FALSE()),IF(D180="MELANGE",VLOOKUP(B180,PRECIOS!$A$4:$F$32,4,FALSE()),IF(D180="PPT",VLOOKUP(B180,PRECIOS!$A$4:$F$32,5,FALSE()),0)))),0)</f>
        <v>0</v>
      </c>
      <c r="H180" s="103">
        <f t="shared" si="1"/>
        <v>0</v>
      </c>
      <c r="I180" s="104" t="str">
        <f>IF(E180&lt;0,"ERROR",IF(E180=0,"",IF(E180&lt;CONFIG!$B$4,"CRÍTICO",IF(E180&lt;CONFIG!$B$5,"BAJO","OK"))))</f>
        <v/>
      </c>
    </row>
    <row r="181" ht="15.75" customHeight="1">
      <c r="A181" s="90" t="str">
        <f>IF(CLIENTES!A5="","",CLIENTES!A5)</f>
        <v>Bravos</v>
      </c>
      <c r="B181" s="67" t="str">
        <f>TELAS!A5</f>
        <v>pique 30/1</v>
      </c>
      <c r="C181" s="67" t="str">
        <f>COLORES!A21</f>
        <v/>
      </c>
      <c r="D181" s="67" t="str">
        <f>COLORES!B21</f>
        <v/>
      </c>
      <c r="E181" s="100">
        <f>IFERROR(SUMIFS(MOVIMIENTOS!$F$4:$F$1000,MOVIMIENTOS!$C$4:$C$1000,A181,MOVIMIENTOS!$D$4:$D$1000,B181,MOVIMIENTOS!$E$4:$E$1000,C181,MOVIMIENTOS!$B$4:$B$1000,"INGRESO")+SUMIFS(MOVIMIENTOS!$F$4:$F$1000,MOVIMIENTOS!$C$4:$C$1000,A181,MOVIMIENTOS!$D$4:$D$1000,B181,MOVIMIENTOS!$E$4:$E$1000,C181,MOVIMIENTOS!$B$4:$B$1000,"DE REPROCESO")+SUMIFS(MOVIMIENTOS!$F$4:$F$1000,MOVIMIENTOS!$C$4:$C$1000,A181,MOVIMIENTOS!$D$4:$D$1000,B181,MOVIMIENTOS!$E$4:$E$1000,C181,MOVIMIENTOS!$B$4:$B$1000,"AJUSTE+")-SUMIFS(MOVIMIENTOS!$F$4:$F$1000,MOVIMIENTOS!$C$4:$C$1000,A181,MOVIMIENTOS!$D$4:$D$1000,B181,MOVIMIENTOS!$E$4:$E$1000,C181,MOVIMIENTOS!$B$4:$B$1000,"A CORTE")-SUMIFS(MOVIMIENTOS!$F$4:$F$1000,MOVIMIENTOS!$C$4:$C$1000,A181,MOVIMIENTOS!$D$4:$D$1000,B181,MOVIMIENTOS!$E$4:$E$1000,C181,MOVIMIENTOS!$B$4:$B$1000,"A REPROCESO")-SUMIFS(MOVIMIENTOS!$F$4:$F$1000,MOVIMIENTOS!$C$4:$C$1000,A181,MOVIMIENTOS!$D$4:$D$1000,B181,MOVIMIENTOS!$E$4:$E$1000,C181,MOVIMIENTOS!$B$4:$B$1000,"MUESTRA")-SUMIFS(MOVIMIENTOS!$F$4:$F$1000,MOVIMIENTOS!$C$4:$C$1000,A181,MOVIMIENTOS!$D$4:$D$1000,B181,MOVIMIENTOS!$E$4:$E$1000,C181,MOVIMIENTOS!$B$4:$B$1000,"AJUSTE-"),0)</f>
        <v>0</v>
      </c>
      <c r="F181" s="101">
        <f>IFERROR(E181*VLOOKUP(B181,TELAS!$A$4:$C$32,3,FALSE()),0)</f>
        <v>0</v>
      </c>
      <c r="G181" s="102">
        <f>IFERROR(IF(D181="OSCURO",VLOOKUP(B181,PRECIOS!$A$4:$F$32,2,FALSE()),IF(D181="CLARO",VLOOKUP(B181,PRECIOS!$A$4:$F$32,3,FALSE()),IF(D181="MELANGE",VLOOKUP(B181,PRECIOS!$A$4:$F$32,4,FALSE()),IF(D181="PPT",VLOOKUP(B181,PRECIOS!$A$4:$F$32,5,FALSE()),0)))),0)</f>
        <v>0</v>
      </c>
      <c r="H181" s="103">
        <f t="shared" si="1"/>
        <v>0</v>
      </c>
      <c r="I181" s="104" t="str">
        <f>IF(E181&lt;0,"ERROR",IF(E181=0,"",IF(E181&lt;CONFIG!$B$4,"CRÍTICO",IF(E181&lt;CONFIG!$B$5,"BAJO","OK"))))</f>
        <v/>
      </c>
    </row>
    <row r="182" ht="15.75" customHeight="1">
      <c r="A182" s="90" t="str">
        <f>IF(CLIENTES!A5="","",CLIENTES!A5)</f>
        <v>Bravos</v>
      </c>
      <c r="B182" s="67" t="str">
        <f>TELAS!A5</f>
        <v>pique 30/1</v>
      </c>
      <c r="C182" s="67" t="str">
        <f>COLORES!A22</f>
        <v/>
      </c>
      <c r="D182" s="67" t="str">
        <f>COLORES!B22</f>
        <v/>
      </c>
      <c r="E182" s="100">
        <f>IFERROR(SUMIFS(MOVIMIENTOS!$F$4:$F$1000,MOVIMIENTOS!$C$4:$C$1000,A182,MOVIMIENTOS!$D$4:$D$1000,B182,MOVIMIENTOS!$E$4:$E$1000,C182,MOVIMIENTOS!$B$4:$B$1000,"INGRESO")+SUMIFS(MOVIMIENTOS!$F$4:$F$1000,MOVIMIENTOS!$C$4:$C$1000,A182,MOVIMIENTOS!$D$4:$D$1000,B182,MOVIMIENTOS!$E$4:$E$1000,C182,MOVIMIENTOS!$B$4:$B$1000,"DE REPROCESO")+SUMIFS(MOVIMIENTOS!$F$4:$F$1000,MOVIMIENTOS!$C$4:$C$1000,A182,MOVIMIENTOS!$D$4:$D$1000,B182,MOVIMIENTOS!$E$4:$E$1000,C182,MOVIMIENTOS!$B$4:$B$1000,"AJUSTE+")-SUMIFS(MOVIMIENTOS!$F$4:$F$1000,MOVIMIENTOS!$C$4:$C$1000,A182,MOVIMIENTOS!$D$4:$D$1000,B182,MOVIMIENTOS!$E$4:$E$1000,C182,MOVIMIENTOS!$B$4:$B$1000,"A CORTE")-SUMIFS(MOVIMIENTOS!$F$4:$F$1000,MOVIMIENTOS!$C$4:$C$1000,A182,MOVIMIENTOS!$D$4:$D$1000,B182,MOVIMIENTOS!$E$4:$E$1000,C182,MOVIMIENTOS!$B$4:$B$1000,"A REPROCESO")-SUMIFS(MOVIMIENTOS!$F$4:$F$1000,MOVIMIENTOS!$C$4:$C$1000,A182,MOVIMIENTOS!$D$4:$D$1000,B182,MOVIMIENTOS!$E$4:$E$1000,C182,MOVIMIENTOS!$B$4:$B$1000,"MUESTRA")-SUMIFS(MOVIMIENTOS!$F$4:$F$1000,MOVIMIENTOS!$C$4:$C$1000,A182,MOVIMIENTOS!$D$4:$D$1000,B182,MOVIMIENTOS!$E$4:$E$1000,C182,MOVIMIENTOS!$B$4:$B$1000,"AJUSTE-"),0)</f>
        <v>0</v>
      </c>
      <c r="F182" s="101">
        <f>IFERROR(E182*VLOOKUP(B182,TELAS!$A$4:$C$32,3,FALSE()),0)</f>
        <v>0</v>
      </c>
      <c r="G182" s="102">
        <f>IFERROR(IF(D182="OSCURO",VLOOKUP(B182,PRECIOS!$A$4:$F$32,2,FALSE()),IF(D182="CLARO",VLOOKUP(B182,PRECIOS!$A$4:$F$32,3,FALSE()),IF(D182="MELANGE",VLOOKUP(B182,PRECIOS!$A$4:$F$32,4,FALSE()),IF(D182="PPT",VLOOKUP(B182,PRECIOS!$A$4:$F$32,5,FALSE()),0)))),0)</f>
        <v>0</v>
      </c>
      <c r="H182" s="103">
        <f t="shared" si="1"/>
        <v>0</v>
      </c>
      <c r="I182" s="104" t="str">
        <f>IF(E182&lt;0,"ERROR",IF(E182=0,"",IF(E182&lt;CONFIG!$B$4,"CRÍTICO",IF(E182&lt;CONFIG!$B$5,"BAJO","OK"))))</f>
        <v/>
      </c>
    </row>
    <row r="183" ht="15.75" customHeight="1">
      <c r="A183" s="90" t="str">
        <f>IF(CLIENTES!A5="","",CLIENTES!A5)</f>
        <v>Bravos</v>
      </c>
      <c r="B183" s="67" t="str">
        <f>TELAS!A5</f>
        <v>pique 30/1</v>
      </c>
      <c r="C183" s="67" t="str">
        <f>COLORES!A23</f>
        <v/>
      </c>
      <c r="D183" s="67" t="str">
        <f>COLORES!B23</f>
        <v/>
      </c>
      <c r="E183" s="100">
        <f>IFERROR(SUMIFS(MOVIMIENTOS!$F$4:$F$1000,MOVIMIENTOS!$C$4:$C$1000,A183,MOVIMIENTOS!$D$4:$D$1000,B183,MOVIMIENTOS!$E$4:$E$1000,C183,MOVIMIENTOS!$B$4:$B$1000,"INGRESO")+SUMIFS(MOVIMIENTOS!$F$4:$F$1000,MOVIMIENTOS!$C$4:$C$1000,A183,MOVIMIENTOS!$D$4:$D$1000,B183,MOVIMIENTOS!$E$4:$E$1000,C183,MOVIMIENTOS!$B$4:$B$1000,"DE REPROCESO")+SUMIFS(MOVIMIENTOS!$F$4:$F$1000,MOVIMIENTOS!$C$4:$C$1000,A183,MOVIMIENTOS!$D$4:$D$1000,B183,MOVIMIENTOS!$E$4:$E$1000,C183,MOVIMIENTOS!$B$4:$B$1000,"AJUSTE+")-SUMIFS(MOVIMIENTOS!$F$4:$F$1000,MOVIMIENTOS!$C$4:$C$1000,A183,MOVIMIENTOS!$D$4:$D$1000,B183,MOVIMIENTOS!$E$4:$E$1000,C183,MOVIMIENTOS!$B$4:$B$1000,"A CORTE")-SUMIFS(MOVIMIENTOS!$F$4:$F$1000,MOVIMIENTOS!$C$4:$C$1000,A183,MOVIMIENTOS!$D$4:$D$1000,B183,MOVIMIENTOS!$E$4:$E$1000,C183,MOVIMIENTOS!$B$4:$B$1000,"A REPROCESO")-SUMIFS(MOVIMIENTOS!$F$4:$F$1000,MOVIMIENTOS!$C$4:$C$1000,A183,MOVIMIENTOS!$D$4:$D$1000,B183,MOVIMIENTOS!$E$4:$E$1000,C183,MOVIMIENTOS!$B$4:$B$1000,"MUESTRA")-SUMIFS(MOVIMIENTOS!$F$4:$F$1000,MOVIMIENTOS!$C$4:$C$1000,A183,MOVIMIENTOS!$D$4:$D$1000,B183,MOVIMIENTOS!$E$4:$E$1000,C183,MOVIMIENTOS!$B$4:$B$1000,"AJUSTE-"),0)</f>
        <v>0</v>
      </c>
      <c r="F183" s="101">
        <f>IFERROR(E183*VLOOKUP(B183,TELAS!$A$4:$C$32,3,FALSE()),0)</f>
        <v>0</v>
      </c>
      <c r="G183" s="102">
        <f>IFERROR(IF(D183="OSCURO",VLOOKUP(B183,PRECIOS!$A$4:$F$32,2,FALSE()),IF(D183="CLARO",VLOOKUP(B183,PRECIOS!$A$4:$F$32,3,FALSE()),IF(D183="MELANGE",VLOOKUP(B183,PRECIOS!$A$4:$F$32,4,FALSE()),IF(D183="PPT",VLOOKUP(B183,PRECIOS!$A$4:$F$32,5,FALSE()),0)))),0)</f>
        <v>0</v>
      </c>
      <c r="H183" s="103">
        <f t="shared" si="1"/>
        <v>0</v>
      </c>
      <c r="I183" s="104" t="str">
        <f>IF(E183&lt;0,"ERROR",IF(E183=0,"",IF(E183&lt;CONFIG!$B$4,"CRÍTICO",IF(E183&lt;CONFIG!$B$5,"BAJO","OK"))))</f>
        <v/>
      </c>
    </row>
    <row r="184" ht="15.75" customHeight="1">
      <c r="A184" s="90" t="str">
        <f>IF(CLIENTES!A5="","",CLIENTES!A5)</f>
        <v>Bravos</v>
      </c>
      <c r="B184" s="67" t="str">
        <f>TELAS!A6</f>
        <v>wafle 30/1</v>
      </c>
      <c r="C184" s="67" t="str">
        <f>COLORES!A4</f>
        <v>Negro</v>
      </c>
      <c r="D184" s="67" t="str">
        <f>COLORES!B4</f>
        <v>OSCURO</v>
      </c>
      <c r="E184" s="100">
        <f>IFERROR(SUMIFS(MOVIMIENTOS!$F$4:$F$1000,MOVIMIENTOS!$C$4:$C$1000,A184,MOVIMIENTOS!$D$4:$D$1000,B184,MOVIMIENTOS!$E$4:$E$1000,C184,MOVIMIENTOS!$B$4:$B$1000,"INGRESO")+SUMIFS(MOVIMIENTOS!$F$4:$F$1000,MOVIMIENTOS!$C$4:$C$1000,A184,MOVIMIENTOS!$D$4:$D$1000,B184,MOVIMIENTOS!$E$4:$E$1000,C184,MOVIMIENTOS!$B$4:$B$1000,"DE REPROCESO")+SUMIFS(MOVIMIENTOS!$F$4:$F$1000,MOVIMIENTOS!$C$4:$C$1000,A184,MOVIMIENTOS!$D$4:$D$1000,B184,MOVIMIENTOS!$E$4:$E$1000,C184,MOVIMIENTOS!$B$4:$B$1000,"AJUSTE+")-SUMIFS(MOVIMIENTOS!$F$4:$F$1000,MOVIMIENTOS!$C$4:$C$1000,A184,MOVIMIENTOS!$D$4:$D$1000,B184,MOVIMIENTOS!$E$4:$E$1000,C184,MOVIMIENTOS!$B$4:$B$1000,"A CORTE")-SUMIFS(MOVIMIENTOS!$F$4:$F$1000,MOVIMIENTOS!$C$4:$C$1000,A184,MOVIMIENTOS!$D$4:$D$1000,B184,MOVIMIENTOS!$E$4:$E$1000,C184,MOVIMIENTOS!$B$4:$B$1000,"A REPROCESO")-SUMIFS(MOVIMIENTOS!$F$4:$F$1000,MOVIMIENTOS!$C$4:$C$1000,A184,MOVIMIENTOS!$D$4:$D$1000,B184,MOVIMIENTOS!$E$4:$E$1000,C184,MOVIMIENTOS!$B$4:$B$1000,"MUESTRA")-SUMIFS(MOVIMIENTOS!$F$4:$F$1000,MOVIMIENTOS!$C$4:$C$1000,A184,MOVIMIENTOS!$D$4:$D$1000,B184,MOVIMIENTOS!$E$4:$E$1000,C184,MOVIMIENTOS!$B$4:$B$1000,"AJUSTE-"),0)</f>
        <v>0</v>
      </c>
      <c r="F184" s="101">
        <f>IFERROR(E184*VLOOKUP(B184,TELAS!$A$4:$C$32,3,FALSE()),0)</f>
        <v>0</v>
      </c>
      <c r="G184" s="102">
        <f>IFERROR(IF(D184="OSCURO",VLOOKUP(B184,PRECIOS!$A$4:$F$32,2,FALSE()),IF(D184="CLARO",VLOOKUP(B184,PRECIOS!$A$4:$F$32,3,FALSE()),IF(D184="MELANGE",VLOOKUP(B184,PRECIOS!$A$4:$F$32,4,FALSE()),IF(D184="PPT",VLOOKUP(B184,PRECIOS!$A$4:$F$32,5,FALSE()),0)))),0)</f>
        <v>26</v>
      </c>
      <c r="H184" s="103">
        <f t="shared" si="1"/>
        <v>0</v>
      </c>
      <c r="I184" s="104" t="str">
        <f>IF(E184&lt;0,"ERROR",IF(E184=0,"",IF(E184&lt;CONFIG!$B$4,"CRÍTICO",IF(E184&lt;CONFIG!$B$5,"BAJO","OK"))))</f>
        <v/>
      </c>
    </row>
    <row r="185" ht="15.75" customHeight="1">
      <c r="A185" s="90" t="str">
        <f>IF(CLIENTES!A5="","",CLIENTES!A5)</f>
        <v>Bravos</v>
      </c>
      <c r="B185" s="67" t="str">
        <f>TELAS!A6</f>
        <v>wafle 30/1</v>
      </c>
      <c r="C185" s="67" t="str">
        <f>COLORES!A5</f>
        <v>Perla</v>
      </c>
      <c r="D185" s="67" t="str">
        <f>COLORES!B5</f>
        <v>PPT</v>
      </c>
      <c r="E185" s="100">
        <f>IFERROR(SUMIFS(MOVIMIENTOS!$F$4:$F$1000,MOVIMIENTOS!$C$4:$C$1000,A185,MOVIMIENTOS!$D$4:$D$1000,B185,MOVIMIENTOS!$E$4:$E$1000,C185,MOVIMIENTOS!$B$4:$B$1000,"INGRESO")+SUMIFS(MOVIMIENTOS!$F$4:$F$1000,MOVIMIENTOS!$C$4:$C$1000,A185,MOVIMIENTOS!$D$4:$D$1000,B185,MOVIMIENTOS!$E$4:$E$1000,C185,MOVIMIENTOS!$B$4:$B$1000,"DE REPROCESO")+SUMIFS(MOVIMIENTOS!$F$4:$F$1000,MOVIMIENTOS!$C$4:$C$1000,A185,MOVIMIENTOS!$D$4:$D$1000,B185,MOVIMIENTOS!$E$4:$E$1000,C185,MOVIMIENTOS!$B$4:$B$1000,"AJUSTE+")-SUMIFS(MOVIMIENTOS!$F$4:$F$1000,MOVIMIENTOS!$C$4:$C$1000,A185,MOVIMIENTOS!$D$4:$D$1000,B185,MOVIMIENTOS!$E$4:$E$1000,C185,MOVIMIENTOS!$B$4:$B$1000,"A CORTE")-SUMIFS(MOVIMIENTOS!$F$4:$F$1000,MOVIMIENTOS!$C$4:$C$1000,A185,MOVIMIENTOS!$D$4:$D$1000,B185,MOVIMIENTOS!$E$4:$E$1000,C185,MOVIMIENTOS!$B$4:$B$1000,"A REPROCESO")-SUMIFS(MOVIMIENTOS!$F$4:$F$1000,MOVIMIENTOS!$C$4:$C$1000,A185,MOVIMIENTOS!$D$4:$D$1000,B185,MOVIMIENTOS!$E$4:$E$1000,C185,MOVIMIENTOS!$B$4:$B$1000,"MUESTRA")-SUMIFS(MOVIMIENTOS!$F$4:$F$1000,MOVIMIENTOS!$C$4:$C$1000,A185,MOVIMIENTOS!$D$4:$D$1000,B185,MOVIMIENTOS!$E$4:$E$1000,C185,MOVIMIENTOS!$B$4:$B$1000,"AJUSTE-"),0)</f>
        <v>0</v>
      </c>
      <c r="F185" s="101">
        <f>IFERROR(E185*VLOOKUP(B185,TELAS!$A$4:$C$32,3,FALSE()),0)</f>
        <v>0</v>
      </c>
      <c r="G185" s="102">
        <f>IFERROR(IF(D185="OSCURO",VLOOKUP(B185,PRECIOS!$A$4:$F$32,2,FALSE()),IF(D185="CLARO",VLOOKUP(B185,PRECIOS!$A$4:$F$32,3,FALSE()),IF(D185="MELANGE",VLOOKUP(B185,PRECIOS!$A$4:$F$32,4,FALSE()),IF(D185="PPT",VLOOKUP(B185,PRECIOS!$A$4:$F$32,5,FALSE()),0)))),0)</f>
        <v>19</v>
      </c>
      <c r="H185" s="103">
        <f t="shared" si="1"/>
        <v>0</v>
      </c>
      <c r="I185" s="104" t="str">
        <f>IF(E185&lt;0,"ERROR",IF(E185=0,"",IF(E185&lt;CONFIG!$B$4,"CRÍTICO",IF(E185&lt;CONFIG!$B$5,"BAJO","OK"))))</f>
        <v/>
      </c>
    </row>
    <row r="186" ht="15.75" customHeight="1">
      <c r="A186" s="90" t="str">
        <f>IF(CLIENTES!A5="","",CLIENTES!A5)</f>
        <v>Bravos</v>
      </c>
      <c r="B186" s="67" t="str">
        <f>TELAS!A6</f>
        <v>wafle 30/1</v>
      </c>
      <c r="C186" s="67" t="str">
        <f>COLORES!A6</f>
        <v>Blanco</v>
      </c>
      <c r="D186" s="67" t="str">
        <f>COLORES!B6</f>
        <v>PPT</v>
      </c>
      <c r="E186" s="100">
        <f>IFERROR(SUMIFS(MOVIMIENTOS!$F$4:$F$1000,MOVIMIENTOS!$C$4:$C$1000,A186,MOVIMIENTOS!$D$4:$D$1000,B186,MOVIMIENTOS!$E$4:$E$1000,C186,MOVIMIENTOS!$B$4:$B$1000,"INGRESO")+SUMIFS(MOVIMIENTOS!$F$4:$F$1000,MOVIMIENTOS!$C$4:$C$1000,A186,MOVIMIENTOS!$D$4:$D$1000,B186,MOVIMIENTOS!$E$4:$E$1000,C186,MOVIMIENTOS!$B$4:$B$1000,"DE REPROCESO")+SUMIFS(MOVIMIENTOS!$F$4:$F$1000,MOVIMIENTOS!$C$4:$C$1000,A186,MOVIMIENTOS!$D$4:$D$1000,B186,MOVIMIENTOS!$E$4:$E$1000,C186,MOVIMIENTOS!$B$4:$B$1000,"AJUSTE+")-SUMIFS(MOVIMIENTOS!$F$4:$F$1000,MOVIMIENTOS!$C$4:$C$1000,A186,MOVIMIENTOS!$D$4:$D$1000,B186,MOVIMIENTOS!$E$4:$E$1000,C186,MOVIMIENTOS!$B$4:$B$1000,"A CORTE")-SUMIFS(MOVIMIENTOS!$F$4:$F$1000,MOVIMIENTOS!$C$4:$C$1000,A186,MOVIMIENTOS!$D$4:$D$1000,B186,MOVIMIENTOS!$E$4:$E$1000,C186,MOVIMIENTOS!$B$4:$B$1000,"A REPROCESO")-SUMIFS(MOVIMIENTOS!$F$4:$F$1000,MOVIMIENTOS!$C$4:$C$1000,A186,MOVIMIENTOS!$D$4:$D$1000,B186,MOVIMIENTOS!$E$4:$E$1000,C186,MOVIMIENTOS!$B$4:$B$1000,"MUESTRA")-SUMIFS(MOVIMIENTOS!$F$4:$F$1000,MOVIMIENTOS!$C$4:$C$1000,A186,MOVIMIENTOS!$D$4:$D$1000,B186,MOVIMIENTOS!$E$4:$E$1000,C186,MOVIMIENTOS!$B$4:$B$1000,"AJUSTE-"),0)</f>
        <v>0</v>
      </c>
      <c r="F186" s="101">
        <f>IFERROR(E186*VLOOKUP(B186,TELAS!$A$4:$C$32,3,FALSE()),0)</f>
        <v>0</v>
      </c>
      <c r="G186" s="102">
        <f>IFERROR(IF(D186="OSCURO",VLOOKUP(B186,PRECIOS!$A$4:$F$32,2,FALSE()),IF(D186="CLARO",VLOOKUP(B186,PRECIOS!$A$4:$F$32,3,FALSE()),IF(D186="MELANGE",VLOOKUP(B186,PRECIOS!$A$4:$F$32,4,FALSE()),IF(D186="PPT",VLOOKUP(B186,PRECIOS!$A$4:$F$32,5,FALSE()),0)))),0)</f>
        <v>19</v>
      </c>
      <c r="H186" s="103">
        <f t="shared" si="1"/>
        <v>0</v>
      </c>
      <c r="I186" s="104" t="str">
        <f>IF(E186&lt;0,"ERROR",IF(E186=0,"",IF(E186&lt;CONFIG!$B$4,"CRÍTICO",IF(E186&lt;CONFIG!$B$5,"BAJO","OK"))))</f>
        <v/>
      </c>
    </row>
    <row r="187" ht="15.75" customHeight="1">
      <c r="A187" s="90" t="str">
        <f>IF(CLIENTES!A5="","",CLIENTES!A5)</f>
        <v>Bravos</v>
      </c>
      <c r="B187" s="67" t="str">
        <f>TELAS!A6</f>
        <v>wafle 30/1</v>
      </c>
      <c r="C187" s="67" t="str">
        <f>COLORES!A7</f>
        <v>Azul</v>
      </c>
      <c r="D187" s="67" t="str">
        <f>COLORES!B7</f>
        <v>OSCURO</v>
      </c>
      <c r="E187" s="100">
        <f>IFERROR(SUMIFS(MOVIMIENTOS!$F$4:$F$1000,MOVIMIENTOS!$C$4:$C$1000,A187,MOVIMIENTOS!$D$4:$D$1000,B187,MOVIMIENTOS!$E$4:$E$1000,C187,MOVIMIENTOS!$B$4:$B$1000,"INGRESO")+SUMIFS(MOVIMIENTOS!$F$4:$F$1000,MOVIMIENTOS!$C$4:$C$1000,A187,MOVIMIENTOS!$D$4:$D$1000,B187,MOVIMIENTOS!$E$4:$E$1000,C187,MOVIMIENTOS!$B$4:$B$1000,"DE REPROCESO")+SUMIFS(MOVIMIENTOS!$F$4:$F$1000,MOVIMIENTOS!$C$4:$C$1000,A187,MOVIMIENTOS!$D$4:$D$1000,B187,MOVIMIENTOS!$E$4:$E$1000,C187,MOVIMIENTOS!$B$4:$B$1000,"AJUSTE+")-SUMIFS(MOVIMIENTOS!$F$4:$F$1000,MOVIMIENTOS!$C$4:$C$1000,A187,MOVIMIENTOS!$D$4:$D$1000,B187,MOVIMIENTOS!$E$4:$E$1000,C187,MOVIMIENTOS!$B$4:$B$1000,"A CORTE")-SUMIFS(MOVIMIENTOS!$F$4:$F$1000,MOVIMIENTOS!$C$4:$C$1000,A187,MOVIMIENTOS!$D$4:$D$1000,B187,MOVIMIENTOS!$E$4:$E$1000,C187,MOVIMIENTOS!$B$4:$B$1000,"A REPROCESO")-SUMIFS(MOVIMIENTOS!$F$4:$F$1000,MOVIMIENTOS!$C$4:$C$1000,A187,MOVIMIENTOS!$D$4:$D$1000,B187,MOVIMIENTOS!$E$4:$E$1000,C187,MOVIMIENTOS!$B$4:$B$1000,"MUESTRA")-SUMIFS(MOVIMIENTOS!$F$4:$F$1000,MOVIMIENTOS!$C$4:$C$1000,A187,MOVIMIENTOS!$D$4:$D$1000,B187,MOVIMIENTOS!$E$4:$E$1000,C187,MOVIMIENTOS!$B$4:$B$1000,"AJUSTE-"),0)</f>
        <v>0</v>
      </c>
      <c r="F187" s="101">
        <f>IFERROR(E187*VLOOKUP(B187,TELAS!$A$4:$C$32,3,FALSE()),0)</f>
        <v>0</v>
      </c>
      <c r="G187" s="102">
        <f>IFERROR(IF(D187="OSCURO",VLOOKUP(B187,PRECIOS!$A$4:$F$32,2,FALSE()),IF(D187="CLARO",VLOOKUP(B187,PRECIOS!$A$4:$F$32,3,FALSE()),IF(D187="MELANGE",VLOOKUP(B187,PRECIOS!$A$4:$F$32,4,FALSE()),IF(D187="PPT",VLOOKUP(B187,PRECIOS!$A$4:$F$32,5,FALSE()),0)))),0)</f>
        <v>26</v>
      </c>
      <c r="H187" s="103">
        <f t="shared" si="1"/>
        <v>0</v>
      </c>
      <c r="I187" s="104" t="str">
        <f>IF(E187&lt;0,"ERROR",IF(E187=0,"",IF(E187&lt;CONFIG!$B$4,"CRÍTICO",IF(E187&lt;CONFIG!$B$5,"BAJO","OK"))))</f>
        <v/>
      </c>
    </row>
    <row r="188" ht="15.75" customHeight="1">
      <c r="A188" s="90" t="str">
        <f>IF(CLIENTES!A5="","",CLIENTES!A5)</f>
        <v>Bravos</v>
      </c>
      <c r="B188" s="67" t="str">
        <f>TELAS!A6</f>
        <v>wafle 30/1</v>
      </c>
      <c r="C188" s="67" t="str">
        <f>COLORES!A8</f>
        <v>Beige</v>
      </c>
      <c r="D188" s="67" t="str">
        <f>COLORES!B8</f>
        <v>CLARO</v>
      </c>
      <c r="E188" s="100">
        <f>IFERROR(SUMIFS(MOVIMIENTOS!$F$4:$F$1000,MOVIMIENTOS!$C$4:$C$1000,A188,MOVIMIENTOS!$D$4:$D$1000,B188,MOVIMIENTOS!$E$4:$E$1000,C188,MOVIMIENTOS!$B$4:$B$1000,"INGRESO")+SUMIFS(MOVIMIENTOS!$F$4:$F$1000,MOVIMIENTOS!$C$4:$C$1000,A188,MOVIMIENTOS!$D$4:$D$1000,B188,MOVIMIENTOS!$E$4:$E$1000,C188,MOVIMIENTOS!$B$4:$B$1000,"DE REPROCESO")+SUMIFS(MOVIMIENTOS!$F$4:$F$1000,MOVIMIENTOS!$C$4:$C$1000,A188,MOVIMIENTOS!$D$4:$D$1000,B188,MOVIMIENTOS!$E$4:$E$1000,C188,MOVIMIENTOS!$B$4:$B$1000,"AJUSTE+")-SUMIFS(MOVIMIENTOS!$F$4:$F$1000,MOVIMIENTOS!$C$4:$C$1000,A188,MOVIMIENTOS!$D$4:$D$1000,B188,MOVIMIENTOS!$E$4:$E$1000,C188,MOVIMIENTOS!$B$4:$B$1000,"A CORTE")-SUMIFS(MOVIMIENTOS!$F$4:$F$1000,MOVIMIENTOS!$C$4:$C$1000,A188,MOVIMIENTOS!$D$4:$D$1000,B188,MOVIMIENTOS!$E$4:$E$1000,C188,MOVIMIENTOS!$B$4:$B$1000,"A REPROCESO")-SUMIFS(MOVIMIENTOS!$F$4:$F$1000,MOVIMIENTOS!$C$4:$C$1000,A188,MOVIMIENTOS!$D$4:$D$1000,B188,MOVIMIENTOS!$E$4:$E$1000,C188,MOVIMIENTOS!$B$4:$B$1000,"MUESTRA")-SUMIFS(MOVIMIENTOS!$F$4:$F$1000,MOVIMIENTOS!$C$4:$C$1000,A188,MOVIMIENTOS!$D$4:$D$1000,B188,MOVIMIENTOS!$E$4:$E$1000,C188,MOVIMIENTOS!$B$4:$B$1000,"AJUSTE-"),0)</f>
        <v>0</v>
      </c>
      <c r="F188" s="101">
        <f>IFERROR(E188*VLOOKUP(B188,TELAS!$A$4:$C$32,3,FALSE()),0)</f>
        <v>0</v>
      </c>
      <c r="G188" s="102">
        <f>IFERROR(IF(D188="OSCURO",VLOOKUP(B188,PRECIOS!$A$4:$F$32,2,FALSE()),IF(D188="CLARO",VLOOKUP(B188,PRECIOS!$A$4:$F$32,3,FALSE()),IF(D188="MELANGE",VLOOKUP(B188,PRECIOS!$A$4:$F$32,4,FALSE()),IF(D188="PPT",VLOOKUP(B188,PRECIOS!$A$4:$F$32,5,FALSE()),0)))),0)</f>
        <v>22.5</v>
      </c>
      <c r="H188" s="103">
        <f t="shared" si="1"/>
        <v>0</v>
      </c>
      <c r="I188" s="104" t="str">
        <f>IF(E188&lt;0,"ERROR",IF(E188=0,"",IF(E188&lt;CONFIG!$B$4,"CRÍTICO",IF(E188&lt;CONFIG!$B$5,"BAJO","OK"))))</f>
        <v/>
      </c>
    </row>
    <row r="189" ht="15.75" customHeight="1">
      <c r="A189" s="90" t="str">
        <f>IF(CLIENTES!A5="","",CLIENTES!A5)</f>
        <v>Bravos</v>
      </c>
      <c r="B189" s="67" t="str">
        <f>TELAS!A6</f>
        <v>wafle 30/1</v>
      </c>
      <c r="C189" s="67" t="str">
        <f>COLORES!A9</f>
        <v>Melange</v>
      </c>
      <c r="D189" s="67" t="str">
        <f>COLORES!B9</f>
        <v>MELANGE</v>
      </c>
      <c r="E189" s="100">
        <f>IFERROR(SUMIFS(MOVIMIENTOS!$F$4:$F$1000,MOVIMIENTOS!$C$4:$C$1000,A189,MOVIMIENTOS!$D$4:$D$1000,B189,MOVIMIENTOS!$E$4:$E$1000,C189,MOVIMIENTOS!$B$4:$B$1000,"INGRESO")+SUMIFS(MOVIMIENTOS!$F$4:$F$1000,MOVIMIENTOS!$C$4:$C$1000,A189,MOVIMIENTOS!$D$4:$D$1000,B189,MOVIMIENTOS!$E$4:$E$1000,C189,MOVIMIENTOS!$B$4:$B$1000,"DE REPROCESO")+SUMIFS(MOVIMIENTOS!$F$4:$F$1000,MOVIMIENTOS!$C$4:$C$1000,A189,MOVIMIENTOS!$D$4:$D$1000,B189,MOVIMIENTOS!$E$4:$E$1000,C189,MOVIMIENTOS!$B$4:$B$1000,"AJUSTE+")-SUMIFS(MOVIMIENTOS!$F$4:$F$1000,MOVIMIENTOS!$C$4:$C$1000,A189,MOVIMIENTOS!$D$4:$D$1000,B189,MOVIMIENTOS!$E$4:$E$1000,C189,MOVIMIENTOS!$B$4:$B$1000,"A CORTE")-SUMIFS(MOVIMIENTOS!$F$4:$F$1000,MOVIMIENTOS!$C$4:$C$1000,A189,MOVIMIENTOS!$D$4:$D$1000,B189,MOVIMIENTOS!$E$4:$E$1000,C189,MOVIMIENTOS!$B$4:$B$1000,"A REPROCESO")-SUMIFS(MOVIMIENTOS!$F$4:$F$1000,MOVIMIENTOS!$C$4:$C$1000,A189,MOVIMIENTOS!$D$4:$D$1000,B189,MOVIMIENTOS!$E$4:$E$1000,C189,MOVIMIENTOS!$B$4:$B$1000,"MUESTRA")-SUMIFS(MOVIMIENTOS!$F$4:$F$1000,MOVIMIENTOS!$C$4:$C$1000,A189,MOVIMIENTOS!$D$4:$D$1000,B189,MOVIMIENTOS!$E$4:$E$1000,C189,MOVIMIENTOS!$B$4:$B$1000,"AJUSTE-"),0)</f>
        <v>0</v>
      </c>
      <c r="F189" s="101">
        <f>IFERROR(E189*VLOOKUP(B189,TELAS!$A$4:$C$32,3,FALSE()),0)</f>
        <v>0</v>
      </c>
      <c r="G189" s="102">
        <f>IFERROR(IF(D189="OSCURO",VLOOKUP(B189,PRECIOS!$A$4:$F$32,2,FALSE()),IF(D189="CLARO",VLOOKUP(B189,PRECIOS!$A$4:$F$32,3,FALSE()),IF(D189="MELANGE",VLOOKUP(B189,PRECIOS!$A$4:$F$32,4,FALSE()),IF(D189="PPT",VLOOKUP(B189,PRECIOS!$A$4:$F$32,5,FALSE()),0)))),0)</f>
        <v>19</v>
      </c>
      <c r="H189" s="103">
        <f t="shared" si="1"/>
        <v>0</v>
      </c>
      <c r="I189" s="104" t="str">
        <f>IF(E189&lt;0,"ERROR",IF(E189=0,"",IF(E189&lt;CONFIG!$B$4,"CRÍTICO",IF(E189&lt;CONFIG!$B$5,"BAJO","OK"))))</f>
        <v/>
      </c>
    </row>
    <row r="190" ht="15.75" customHeight="1">
      <c r="A190" s="90" t="str">
        <f>IF(CLIENTES!A5="","",CLIENTES!A5)</f>
        <v>Bravos</v>
      </c>
      <c r="B190" s="67" t="str">
        <f>TELAS!A6</f>
        <v>wafle 30/1</v>
      </c>
      <c r="C190" s="67" t="str">
        <f>COLORES!A10</f>
        <v>Botella</v>
      </c>
      <c r="D190" s="67" t="str">
        <f>COLORES!B10</f>
        <v>OSCURO</v>
      </c>
      <c r="E190" s="100">
        <f>IFERROR(SUMIFS(MOVIMIENTOS!$F$4:$F$1000,MOVIMIENTOS!$C$4:$C$1000,A190,MOVIMIENTOS!$D$4:$D$1000,B190,MOVIMIENTOS!$E$4:$E$1000,C190,MOVIMIENTOS!$B$4:$B$1000,"INGRESO")+SUMIFS(MOVIMIENTOS!$F$4:$F$1000,MOVIMIENTOS!$C$4:$C$1000,A190,MOVIMIENTOS!$D$4:$D$1000,B190,MOVIMIENTOS!$E$4:$E$1000,C190,MOVIMIENTOS!$B$4:$B$1000,"DE REPROCESO")+SUMIFS(MOVIMIENTOS!$F$4:$F$1000,MOVIMIENTOS!$C$4:$C$1000,A190,MOVIMIENTOS!$D$4:$D$1000,B190,MOVIMIENTOS!$E$4:$E$1000,C190,MOVIMIENTOS!$B$4:$B$1000,"AJUSTE+")-SUMIFS(MOVIMIENTOS!$F$4:$F$1000,MOVIMIENTOS!$C$4:$C$1000,A190,MOVIMIENTOS!$D$4:$D$1000,B190,MOVIMIENTOS!$E$4:$E$1000,C190,MOVIMIENTOS!$B$4:$B$1000,"A CORTE")-SUMIFS(MOVIMIENTOS!$F$4:$F$1000,MOVIMIENTOS!$C$4:$C$1000,A190,MOVIMIENTOS!$D$4:$D$1000,B190,MOVIMIENTOS!$E$4:$E$1000,C190,MOVIMIENTOS!$B$4:$B$1000,"A REPROCESO")-SUMIFS(MOVIMIENTOS!$F$4:$F$1000,MOVIMIENTOS!$C$4:$C$1000,A190,MOVIMIENTOS!$D$4:$D$1000,B190,MOVIMIENTOS!$E$4:$E$1000,C190,MOVIMIENTOS!$B$4:$B$1000,"MUESTRA")-SUMIFS(MOVIMIENTOS!$F$4:$F$1000,MOVIMIENTOS!$C$4:$C$1000,A190,MOVIMIENTOS!$D$4:$D$1000,B190,MOVIMIENTOS!$E$4:$E$1000,C190,MOVIMIENTOS!$B$4:$B$1000,"AJUSTE-"),0)</f>
        <v>0</v>
      </c>
      <c r="F190" s="101">
        <f>IFERROR(E190*VLOOKUP(B190,TELAS!$A$4:$C$32,3,FALSE()),0)</f>
        <v>0</v>
      </c>
      <c r="G190" s="102">
        <f>IFERROR(IF(D190="OSCURO",VLOOKUP(B190,PRECIOS!$A$4:$F$32,2,FALSE()),IF(D190="CLARO",VLOOKUP(B190,PRECIOS!$A$4:$F$32,3,FALSE()),IF(D190="MELANGE",VLOOKUP(B190,PRECIOS!$A$4:$F$32,4,FALSE()),IF(D190="PPT",VLOOKUP(B190,PRECIOS!$A$4:$F$32,5,FALSE()),0)))),0)</f>
        <v>26</v>
      </c>
      <c r="H190" s="103">
        <f t="shared" si="1"/>
        <v>0</v>
      </c>
      <c r="I190" s="104" t="str">
        <f>IF(E190&lt;0,"ERROR",IF(E190=0,"",IF(E190&lt;CONFIG!$B$4,"CRÍTICO",IF(E190&lt;CONFIG!$B$5,"BAJO","OK"))))</f>
        <v/>
      </c>
    </row>
    <row r="191" ht="15.75" customHeight="1">
      <c r="A191" s="90" t="str">
        <f>IF(CLIENTES!A5="","",CLIENTES!A5)</f>
        <v>Bravos</v>
      </c>
      <c r="B191" s="67" t="str">
        <f>TELAS!A6</f>
        <v>wafle 30/1</v>
      </c>
      <c r="C191" s="67" t="str">
        <f>COLORES!A11</f>
        <v>Pacay</v>
      </c>
      <c r="D191" s="67" t="str">
        <f>COLORES!B11</f>
        <v>CLARO</v>
      </c>
      <c r="E191" s="100">
        <f>IFERROR(SUMIFS(MOVIMIENTOS!$F$4:$F$1000,MOVIMIENTOS!$C$4:$C$1000,A191,MOVIMIENTOS!$D$4:$D$1000,B191,MOVIMIENTOS!$E$4:$E$1000,C191,MOVIMIENTOS!$B$4:$B$1000,"INGRESO")+SUMIFS(MOVIMIENTOS!$F$4:$F$1000,MOVIMIENTOS!$C$4:$C$1000,A191,MOVIMIENTOS!$D$4:$D$1000,B191,MOVIMIENTOS!$E$4:$E$1000,C191,MOVIMIENTOS!$B$4:$B$1000,"DE REPROCESO")+SUMIFS(MOVIMIENTOS!$F$4:$F$1000,MOVIMIENTOS!$C$4:$C$1000,A191,MOVIMIENTOS!$D$4:$D$1000,B191,MOVIMIENTOS!$E$4:$E$1000,C191,MOVIMIENTOS!$B$4:$B$1000,"AJUSTE+")-SUMIFS(MOVIMIENTOS!$F$4:$F$1000,MOVIMIENTOS!$C$4:$C$1000,A191,MOVIMIENTOS!$D$4:$D$1000,B191,MOVIMIENTOS!$E$4:$E$1000,C191,MOVIMIENTOS!$B$4:$B$1000,"A CORTE")-SUMIFS(MOVIMIENTOS!$F$4:$F$1000,MOVIMIENTOS!$C$4:$C$1000,A191,MOVIMIENTOS!$D$4:$D$1000,B191,MOVIMIENTOS!$E$4:$E$1000,C191,MOVIMIENTOS!$B$4:$B$1000,"A REPROCESO")-SUMIFS(MOVIMIENTOS!$F$4:$F$1000,MOVIMIENTOS!$C$4:$C$1000,A191,MOVIMIENTOS!$D$4:$D$1000,B191,MOVIMIENTOS!$E$4:$E$1000,C191,MOVIMIENTOS!$B$4:$B$1000,"MUESTRA")-SUMIFS(MOVIMIENTOS!$F$4:$F$1000,MOVIMIENTOS!$C$4:$C$1000,A191,MOVIMIENTOS!$D$4:$D$1000,B191,MOVIMIENTOS!$E$4:$E$1000,C191,MOVIMIENTOS!$B$4:$B$1000,"AJUSTE-"),0)</f>
        <v>0</v>
      </c>
      <c r="F191" s="101">
        <f>IFERROR(E191*VLOOKUP(B191,TELAS!$A$4:$C$32,3,FALSE()),0)</f>
        <v>0</v>
      </c>
      <c r="G191" s="102">
        <f>IFERROR(IF(D191="OSCURO",VLOOKUP(B191,PRECIOS!$A$4:$F$32,2,FALSE()),IF(D191="CLARO",VLOOKUP(B191,PRECIOS!$A$4:$F$32,3,FALSE()),IF(D191="MELANGE",VLOOKUP(B191,PRECIOS!$A$4:$F$32,4,FALSE()),IF(D191="PPT",VLOOKUP(B191,PRECIOS!$A$4:$F$32,5,FALSE()),0)))),0)</f>
        <v>22.5</v>
      </c>
      <c r="H191" s="103">
        <f t="shared" si="1"/>
        <v>0</v>
      </c>
      <c r="I191" s="104" t="str">
        <f>IF(E191&lt;0,"ERROR",IF(E191=0,"",IF(E191&lt;CONFIG!$B$4,"CRÍTICO",IF(E191&lt;CONFIG!$B$5,"BAJO","OK"))))</f>
        <v/>
      </c>
    </row>
    <row r="192" ht="15.75" customHeight="1">
      <c r="A192" s="90" t="str">
        <f>IF(CLIENTES!A5="","",CLIENTES!A5)</f>
        <v>Bravos</v>
      </c>
      <c r="B192" s="67" t="str">
        <f>TELAS!A6</f>
        <v>wafle 30/1</v>
      </c>
      <c r="C192" s="67" t="str">
        <f>COLORES!A12</f>
        <v>Cemento</v>
      </c>
      <c r="D192" s="67" t="str">
        <f>COLORES!B12</f>
        <v>CLARO</v>
      </c>
      <c r="E192" s="100">
        <f>IFERROR(SUMIFS(MOVIMIENTOS!$F$4:$F$1000,MOVIMIENTOS!$C$4:$C$1000,A192,MOVIMIENTOS!$D$4:$D$1000,B192,MOVIMIENTOS!$E$4:$E$1000,C192,MOVIMIENTOS!$B$4:$B$1000,"INGRESO")+SUMIFS(MOVIMIENTOS!$F$4:$F$1000,MOVIMIENTOS!$C$4:$C$1000,A192,MOVIMIENTOS!$D$4:$D$1000,B192,MOVIMIENTOS!$E$4:$E$1000,C192,MOVIMIENTOS!$B$4:$B$1000,"DE REPROCESO")+SUMIFS(MOVIMIENTOS!$F$4:$F$1000,MOVIMIENTOS!$C$4:$C$1000,A192,MOVIMIENTOS!$D$4:$D$1000,B192,MOVIMIENTOS!$E$4:$E$1000,C192,MOVIMIENTOS!$B$4:$B$1000,"AJUSTE+")-SUMIFS(MOVIMIENTOS!$F$4:$F$1000,MOVIMIENTOS!$C$4:$C$1000,A192,MOVIMIENTOS!$D$4:$D$1000,B192,MOVIMIENTOS!$E$4:$E$1000,C192,MOVIMIENTOS!$B$4:$B$1000,"A CORTE")-SUMIFS(MOVIMIENTOS!$F$4:$F$1000,MOVIMIENTOS!$C$4:$C$1000,A192,MOVIMIENTOS!$D$4:$D$1000,B192,MOVIMIENTOS!$E$4:$E$1000,C192,MOVIMIENTOS!$B$4:$B$1000,"A REPROCESO")-SUMIFS(MOVIMIENTOS!$F$4:$F$1000,MOVIMIENTOS!$C$4:$C$1000,A192,MOVIMIENTOS!$D$4:$D$1000,B192,MOVIMIENTOS!$E$4:$E$1000,C192,MOVIMIENTOS!$B$4:$B$1000,"MUESTRA")-SUMIFS(MOVIMIENTOS!$F$4:$F$1000,MOVIMIENTOS!$C$4:$C$1000,A192,MOVIMIENTOS!$D$4:$D$1000,B192,MOVIMIENTOS!$E$4:$E$1000,C192,MOVIMIENTOS!$B$4:$B$1000,"AJUSTE-"),0)</f>
        <v>0</v>
      </c>
      <c r="F192" s="101">
        <f>IFERROR(E192*VLOOKUP(B192,TELAS!$A$4:$C$32,3,FALSE()),0)</f>
        <v>0</v>
      </c>
      <c r="G192" s="102">
        <f>IFERROR(IF(D192="OSCURO",VLOOKUP(B192,PRECIOS!$A$4:$F$32,2,FALSE()),IF(D192="CLARO",VLOOKUP(B192,PRECIOS!$A$4:$F$32,3,FALSE()),IF(D192="MELANGE",VLOOKUP(B192,PRECIOS!$A$4:$F$32,4,FALSE()),IF(D192="PPT",VLOOKUP(B192,PRECIOS!$A$4:$F$32,5,FALSE()),0)))),0)</f>
        <v>22.5</v>
      </c>
      <c r="H192" s="103">
        <f t="shared" si="1"/>
        <v>0</v>
      </c>
      <c r="I192" s="104" t="str">
        <f>IF(E192&lt;0,"ERROR",IF(E192=0,"",IF(E192&lt;CONFIG!$B$4,"CRÍTICO",IF(E192&lt;CONFIG!$B$5,"BAJO","OK"))))</f>
        <v/>
      </c>
    </row>
    <row r="193" ht="15.75" customHeight="1">
      <c r="A193" s="90" t="str">
        <f>IF(CLIENTES!A5="","",CLIENTES!A5)</f>
        <v>Bravos</v>
      </c>
      <c r="B193" s="67" t="str">
        <f>TELAS!A6</f>
        <v>wafle 30/1</v>
      </c>
      <c r="C193" s="67" t="str">
        <f>COLORES!A13</f>
        <v>Camote</v>
      </c>
      <c r="D193" s="67" t="str">
        <f>COLORES!B13</f>
        <v>CLARO</v>
      </c>
      <c r="E193" s="100">
        <f>IFERROR(SUMIFS(MOVIMIENTOS!$F$4:$F$1000,MOVIMIENTOS!$C$4:$C$1000,A193,MOVIMIENTOS!$D$4:$D$1000,B193,MOVIMIENTOS!$E$4:$E$1000,C193,MOVIMIENTOS!$B$4:$B$1000,"INGRESO")+SUMIFS(MOVIMIENTOS!$F$4:$F$1000,MOVIMIENTOS!$C$4:$C$1000,A193,MOVIMIENTOS!$D$4:$D$1000,B193,MOVIMIENTOS!$E$4:$E$1000,C193,MOVIMIENTOS!$B$4:$B$1000,"DE REPROCESO")+SUMIFS(MOVIMIENTOS!$F$4:$F$1000,MOVIMIENTOS!$C$4:$C$1000,A193,MOVIMIENTOS!$D$4:$D$1000,B193,MOVIMIENTOS!$E$4:$E$1000,C193,MOVIMIENTOS!$B$4:$B$1000,"AJUSTE+")-SUMIFS(MOVIMIENTOS!$F$4:$F$1000,MOVIMIENTOS!$C$4:$C$1000,A193,MOVIMIENTOS!$D$4:$D$1000,B193,MOVIMIENTOS!$E$4:$E$1000,C193,MOVIMIENTOS!$B$4:$B$1000,"A CORTE")-SUMIFS(MOVIMIENTOS!$F$4:$F$1000,MOVIMIENTOS!$C$4:$C$1000,A193,MOVIMIENTOS!$D$4:$D$1000,B193,MOVIMIENTOS!$E$4:$E$1000,C193,MOVIMIENTOS!$B$4:$B$1000,"A REPROCESO")-SUMIFS(MOVIMIENTOS!$F$4:$F$1000,MOVIMIENTOS!$C$4:$C$1000,A193,MOVIMIENTOS!$D$4:$D$1000,B193,MOVIMIENTOS!$E$4:$E$1000,C193,MOVIMIENTOS!$B$4:$B$1000,"MUESTRA")-SUMIFS(MOVIMIENTOS!$F$4:$F$1000,MOVIMIENTOS!$C$4:$C$1000,A193,MOVIMIENTOS!$D$4:$D$1000,B193,MOVIMIENTOS!$E$4:$E$1000,C193,MOVIMIENTOS!$B$4:$B$1000,"AJUSTE-"),0)</f>
        <v>0</v>
      </c>
      <c r="F193" s="101">
        <f>IFERROR(E193*VLOOKUP(B193,TELAS!$A$4:$C$32,3,FALSE()),0)</f>
        <v>0</v>
      </c>
      <c r="G193" s="102">
        <f>IFERROR(IF(D193="OSCURO",VLOOKUP(B193,PRECIOS!$A$4:$F$32,2,FALSE()),IF(D193="CLARO",VLOOKUP(B193,PRECIOS!$A$4:$F$32,3,FALSE()),IF(D193="MELANGE",VLOOKUP(B193,PRECIOS!$A$4:$F$32,4,FALSE()),IF(D193="PPT",VLOOKUP(B193,PRECIOS!$A$4:$F$32,5,FALSE()),0)))),0)</f>
        <v>22.5</v>
      </c>
      <c r="H193" s="103">
        <f t="shared" si="1"/>
        <v>0</v>
      </c>
      <c r="I193" s="104" t="str">
        <f>IF(E193&lt;0,"ERROR",IF(E193=0,"",IF(E193&lt;CONFIG!$B$4,"CRÍTICO",IF(E193&lt;CONFIG!$B$5,"BAJO","OK"))))</f>
        <v/>
      </c>
    </row>
    <row r="194" ht="15.75" customHeight="1">
      <c r="A194" s="90" t="str">
        <f>IF(CLIENTES!A5="","",CLIENTES!A5)</f>
        <v>Bravos</v>
      </c>
      <c r="B194" s="67" t="str">
        <f>TELAS!A6</f>
        <v>wafle 30/1</v>
      </c>
      <c r="C194" s="67" t="str">
        <f>COLORES!A14</f>
        <v>Denim</v>
      </c>
      <c r="D194" s="67" t="str">
        <f>COLORES!B14</f>
        <v>CLARO</v>
      </c>
      <c r="E194" s="100">
        <f>IFERROR(SUMIFS(MOVIMIENTOS!$F$4:$F$1000,MOVIMIENTOS!$C$4:$C$1000,A194,MOVIMIENTOS!$D$4:$D$1000,B194,MOVIMIENTOS!$E$4:$E$1000,C194,MOVIMIENTOS!$B$4:$B$1000,"INGRESO")+SUMIFS(MOVIMIENTOS!$F$4:$F$1000,MOVIMIENTOS!$C$4:$C$1000,A194,MOVIMIENTOS!$D$4:$D$1000,B194,MOVIMIENTOS!$E$4:$E$1000,C194,MOVIMIENTOS!$B$4:$B$1000,"DE REPROCESO")+SUMIFS(MOVIMIENTOS!$F$4:$F$1000,MOVIMIENTOS!$C$4:$C$1000,A194,MOVIMIENTOS!$D$4:$D$1000,B194,MOVIMIENTOS!$E$4:$E$1000,C194,MOVIMIENTOS!$B$4:$B$1000,"AJUSTE+")-SUMIFS(MOVIMIENTOS!$F$4:$F$1000,MOVIMIENTOS!$C$4:$C$1000,A194,MOVIMIENTOS!$D$4:$D$1000,B194,MOVIMIENTOS!$E$4:$E$1000,C194,MOVIMIENTOS!$B$4:$B$1000,"A CORTE")-SUMIFS(MOVIMIENTOS!$F$4:$F$1000,MOVIMIENTOS!$C$4:$C$1000,A194,MOVIMIENTOS!$D$4:$D$1000,B194,MOVIMIENTOS!$E$4:$E$1000,C194,MOVIMIENTOS!$B$4:$B$1000,"A REPROCESO")-SUMIFS(MOVIMIENTOS!$F$4:$F$1000,MOVIMIENTOS!$C$4:$C$1000,A194,MOVIMIENTOS!$D$4:$D$1000,B194,MOVIMIENTOS!$E$4:$E$1000,C194,MOVIMIENTOS!$B$4:$B$1000,"MUESTRA")-SUMIFS(MOVIMIENTOS!$F$4:$F$1000,MOVIMIENTOS!$C$4:$C$1000,A194,MOVIMIENTOS!$D$4:$D$1000,B194,MOVIMIENTOS!$E$4:$E$1000,C194,MOVIMIENTOS!$B$4:$B$1000,"AJUSTE-"),0)</f>
        <v>0</v>
      </c>
      <c r="F194" s="101">
        <f>IFERROR(E194*VLOOKUP(B194,TELAS!$A$4:$C$32,3,FALSE()),0)</f>
        <v>0</v>
      </c>
      <c r="G194" s="102">
        <f>IFERROR(IF(D194="OSCURO",VLOOKUP(B194,PRECIOS!$A$4:$F$32,2,FALSE()),IF(D194="CLARO",VLOOKUP(B194,PRECIOS!$A$4:$F$32,3,FALSE()),IF(D194="MELANGE",VLOOKUP(B194,PRECIOS!$A$4:$F$32,4,FALSE()),IF(D194="PPT",VLOOKUP(B194,PRECIOS!$A$4:$F$32,5,FALSE()),0)))),0)</f>
        <v>22.5</v>
      </c>
      <c r="H194" s="103">
        <f t="shared" si="1"/>
        <v>0</v>
      </c>
      <c r="I194" s="104" t="str">
        <f>IF(E194&lt;0,"ERROR",IF(E194=0,"",IF(E194&lt;CONFIG!$B$4,"CRÍTICO",IF(E194&lt;CONFIG!$B$5,"BAJO","OK"))))</f>
        <v/>
      </c>
    </row>
    <row r="195" ht="15.75" customHeight="1">
      <c r="A195" s="90" t="str">
        <f>IF(CLIENTES!A5="","",CLIENTES!A5)</f>
        <v>Bravos</v>
      </c>
      <c r="B195" s="67" t="str">
        <f>TELAS!A6</f>
        <v>wafle 30/1</v>
      </c>
      <c r="C195" s="67" t="str">
        <f>COLORES!A15</f>
        <v>Plomo</v>
      </c>
      <c r="D195" s="67" t="str">
        <f>COLORES!B15</f>
        <v>OSCURO</v>
      </c>
      <c r="E195" s="100">
        <f>IFERROR(SUMIFS(MOVIMIENTOS!$F$4:$F$1000,MOVIMIENTOS!$C$4:$C$1000,A195,MOVIMIENTOS!$D$4:$D$1000,B195,MOVIMIENTOS!$E$4:$E$1000,C195,MOVIMIENTOS!$B$4:$B$1000,"INGRESO")+SUMIFS(MOVIMIENTOS!$F$4:$F$1000,MOVIMIENTOS!$C$4:$C$1000,A195,MOVIMIENTOS!$D$4:$D$1000,B195,MOVIMIENTOS!$E$4:$E$1000,C195,MOVIMIENTOS!$B$4:$B$1000,"DE REPROCESO")+SUMIFS(MOVIMIENTOS!$F$4:$F$1000,MOVIMIENTOS!$C$4:$C$1000,A195,MOVIMIENTOS!$D$4:$D$1000,B195,MOVIMIENTOS!$E$4:$E$1000,C195,MOVIMIENTOS!$B$4:$B$1000,"AJUSTE+")-SUMIFS(MOVIMIENTOS!$F$4:$F$1000,MOVIMIENTOS!$C$4:$C$1000,A195,MOVIMIENTOS!$D$4:$D$1000,B195,MOVIMIENTOS!$E$4:$E$1000,C195,MOVIMIENTOS!$B$4:$B$1000,"A CORTE")-SUMIFS(MOVIMIENTOS!$F$4:$F$1000,MOVIMIENTOS!$C$4:$C$1000,A195,MOVIMIENTOS!$D$4:$D$1000,B195,MOVIMIENTOS!$E$4:$E$1000,C195,MOVIMIENTOS!$B$4:$B$1000,"A REPROCESO")-SUMIFS(MOVIMIENTOS!$F$4:$F$1000,MOVIMIENTOS!$C$4:$C$1000,A195,MOVIMIENTOS!$D$4:$D$1000,B195,MOVIMIENTOS!$E$4:$E$1000,C195,MOVIMIENTOS!$B$4:$B$1000,"MUESTRA")-SUMIFS(MOVIMIENTOS!$F$4:$F$1000,MOVIMIENTOS!$C$4:$C$1000,A195,MOVIMIENTOS!$D$4:$D$1000,B195,MOVIMIENTOS!$E$4:$E$1000,C195,MOVIMIENTOS!$B$4:$B$1000,"AJUSTE-"),0)</f>
        <v>0</v>
      </c>
      <c r="F195" s="101">
        <f>IFERROR(E195*VLOOKUP(B195,TELAS!$A$4:$C$32,3,FALSE()),0)</f>
        <v>0</v>
      </c>
      <c r="G195" s="102">
        <f>IFERROR(IF(D195="OSCURO",VLOOKUP(B195,PRECIOS!$A$4:$F$32,2,FALSE()),IF(D195="CLARO",VLOOKUP(B195,PRECIOS!$A$4:$F$32,3,FALSE()),IF(D195="MELANGE",VLOOKUP(B195,PRECIOS!$A$4:$F$32,4,FALSE()),IF(D195="PPT",VLOOKUP(B195,PRECIOS!$A$4:$F$32,5,FALSE()),0)))),0)</f>
        <v>26</v>
      </c>
      <c r="H195" s="103">
        <f t="shared" si="1"/>
        <v>0</v>
      </c>
      <c r="I195" s="104" t="str">
        <f>IF(E195&lt;0,"ERROR",IF(E195=0,"",IF(E195&lt;CONFIG!$B$4,"CRÍTICO",IF(E195&lt;CONFIG!$B$5,"BAJO","OK"))))</f>
        <v/>
      </c>
    </row>
    <row r="196" ht="15.75" customHeight="1">
      <c r="A196" s="90" t="str">
        <f>IF(CLIENTES!A5="","",CLIENTES!A5)</f>
        <v>Bravos</v>
      </c>
      <c r="B196" s="67" t="str">
        <f>TELAS!A6</f>
        <v>wafle 30/1</v>
      </c>
      <c r="C196" s="67" t="str">
        <f>COLORES!A16</f>
        <v>Topo</v>
      </c>
      <c r="D196" s="67" t="str">
        <f>COLORES!B16</f>
        <v>CLARO</v>
      </c>
      <c r="E196" s="100">
        <f>IFERROR(SUMIFS(MOVIMIENTOS!$F$4:$F$1000,MOVIMIENTOS!$C$4:$C$1000,A196,MOVIMIENTOS!$D$4:$D$1000,B196,MOVIMIENTOS!$E$4:$E$1000,C196,MOVIMIENTOS!$B$4:$B$1000,"INGRESO")+SUMIFS(MOVIMIENTOS!$F$4:$F$1000,MOVIMIENTOS!$C$4:$C$1000,A196,MOVIMIENTOS!$D$4:$D$1000,B196,MOVIMIENTOS!$E$4:$E$1000,C196,MOVIMIENTOS!$B$4:$B$1000,"DE REPROCESO")+SUMIFS(MOVIMIENTOS!$F$4:$F$1000,MOVIMIENTOS!$C$4:$C$1000,A196,MOVIMIENTOS!$D$4:$D$1000,B196,MOVIMIENTOS!$E$4:$E$1000,C196,MOVIMIENTOS!$B$4:$B$1000,"AJUSTE+")-SUMIFS(MOVIMIENTOS!$F$4:$F$1000,MOVIMIENTOS!$C$4:$C$1000,A196,MOVIMIENTOS!$D$4:$D$1000,B196,MOVIMIENTOS!$E$4:$E$1000,C196,MOVIMIENTOS!$B$4:$B$1000,"A CORTE")-SUMIFS(MOVIMIENTOS!$F$4:$F$1000,MOVIMIENTOS!$C$4:$C$1000,A196,MOVIMIENTOS!$D$4:$D$1000,B196,MOVIMIENTOS!$E$4:$E$1000,C196,MOVIMIENTOS!$B$4:$B$1000,"A REPROCESO")-SUMIFS(MOVIMIENTOS!$F$4:$F$1000,MOVIMIENTOS!$C$4:$C$1000,A196,MOVIMIENTOS!$D$4:$D$1000,B196,MOVIMIENTOS!$E$4:$E$1000,C196,MOVIMIENTOS!$B$4:$B$1000,"MUESTRA")-SUMIFS(MOVIMIENTOS!$F$4:$F$1000,MOVIMIENTOS!$C$4:$C$1000,A196,MOVIMIENTOS!$D$4:$D$1000,B196,MOVIMIENTOS!$E$4:$E$1000,C196,MOVIMIENTOS!$B$4:$B$1000,"AJUSTE-"),0)</f>
        <v>0</v>
      </c>
      <c r="F196" s="101">
        <f>IFERROR(E196*VLOOKUP(B196,TELAS!$A$4:$C$32,3,FALSE()),0)</f>
        <v>0</v>
      </c>
      <c r="G196" s="102">
        <f>IFERROR(IF(D196="OSCURO",VLOOKUP(B196,PRECIOS!$A$4:$F$32,2,FALSE()),IF(D196="CLARO",VLOOKUP(B196,PRECIOS!$A$4:$F$32,3,FALSE()),IF(D196="MELANGE",VLOOKUP(B196,PRECIOS!$A$4:$F$32,4,FALSE()),IF(D196="PPT",VLOOKUP(B196,PRECIOS!$A$4:$F$32,5,FALSE()),0)))),0)</f>
        <v>22.5</v>
      </c>
      <c r="H196" s="103">
        <f t="shared" si="1"/>
        <v>0</v>
      </c>
      <c r="I196" s="104" t="str">
        <f>IF(E196&lt;0,"ERROR",IF(E196=0,"",IF(E196&lt;CONFIG!$B$4,"CRÍTICO",IF(E196&lt;CONFIG!$B$5,"BAJO","OK"))))</f>
        <v/>
      </c>
    </row>
    <row r="197" ht="15.75" customHeight="1">
      <c r="A197" s="90" t="str">
        <f>IF(CLIENTES!A5="","",CLIENTES!A5)</f>
        <v>Bravos</v>
      </c>
      <c r="B197" s="67" t="str">
        <f>TELAS!A6</f>
        <v>wafle 30/1</v>
      </c>
      <c r="C197" s="67" t="str">
        <f>COLORES!A17</f>
        <v>Vino</v>
      </c>
      <c r="D197" s="67" t="str">
        <f>COLORES!B17</f>
        <v>OSCURO</v>
      </c>
      <c r="E197" s="100">
        <f>IFERROR(SUMIFS(MOVIMIENTOS!$F$4:$F$1000,MOVIMIENTOS!$C$4:$C$1000,A197,MOVIMIENTOS!$D$4:$D$1000,B197,MOVIMIENTOS!$E$4:$E$1000,C197,MOVIMIENTOS!$B$4:$B$1000,"INGRESO")+SUMIFS(MOVIMIENTOS!$F$4:$F$1000,MOVIMIENTOS!$C$4:$C$1000,A197,MOVIMIENTOS!$D$4:$D$1000,B197,MOVIMIENTOS!$E$4:$E$1000,C197,MOVIMIENTOS!$B$4:$B$1000,"DE REPROCESO")+SUMIFS(MOVIMIENTOS!$F$4:$F$1000,MOVIMIENTOS!$C$4:$C$1000,A197,MOVIMIENTOS!$D$4:$D$1000,B197,MOVIMIENTOS!$E$4:$E$1000,C197,MOVIMIENTOS!$B$4:$B$1000,"AJUSTE+")-SUMIFS(MOVIMIENTOS!$F$4:$F$1000,MOVIMIENTOS!$C$4:$C$1000,A197,MOVIMIENTOS!$D$4:$D$1000,B197,MOVIMIENTOS!$E$4:$E$1000,C197,MOVIMIENTOS!$B$4:$B$1000,"A CORTE")-SUMIFS(MOVIMIENTOS!$F$4:$F$1000,MOVIMIENTOS!$C$4:$C$1000,A197,MOVIMIENTOS!$D$4:$D$1000,B197,MOVIMIENTOS!$E$4:$E$1000,C197,MOVIMIENTOS!$B$4:$B$1000,"A REPROCESO")-SUMIFS(MOVIMIENTOS!$F$4:$F$1000,MOVIMIENTOS!$C$4:$C$1000,A197,MOVIMIENTOS!$D$4:$D$1000,B197,MOVIMIENTOS!$E$4:$E$1000,C197,MOVIMIENTOS!$B$4:$B$1000,"MUESTRA")-SUMIFS(MOVIMIENTOS!$F$4:$F$1000,MOVIMIENTOS!$C$4:$C$1000,A197,MOVIMIENTOS!$D$4:$D$1000,B197,MOVIMIENTOS!$E$4:$E$1000,C197,MOVIMIENTOS!$B$4:$B$1000,"AJUSTE-"),0)</f>
        <v>0</v>
      </c>
      <c r="F197" s="101">
        <f>IFERROR(E197*VLOOKUP(B197,TELAS!$A$4:$C$32,3,FALSE()),0)</f>
        <v>0</v>
      </c>
      <c r="G197" s="102">
        <f>IFERROR(IF(D197="OSCURO",VLOOKUP(B197,PRECIOS!$A$4:$F$32,2,FALSE()),IF(D197="CLARO",VLOOKUP(B197,PRECIOS!$A$4:$F$32,3,FALSE()),IF(D197="MELANGE",VLOOKUP(B197,PRECIOS!$A$4:$F$32,4,FALSE()),IF(D197="PPT",VLOOKUP(B197,PRECIOS!$A$4:$F$32,5,FALSE()),0)))),0)</f>
        <v>26</v>
      </c>
      <c r="H197" s="103">
        <f t="shared" si="1"/>
        <v>0</v>
      </c>
      <c r="I197" s="104" t="str">
        <f>IF(E197&lt;0,"ERROR",IF(E197=0,"",IF(E197&lt;CONFIG!$B$4,"CRÍTICO",IF(E197&lt;CONFIG!$B$5,"BAJO","OK"))))</f>
        <v/>
      </c>
    </row>
    <row r="198" ht="15.75" customHeight="1">
      <c r="A198" s="90" t="str">
        <f>IF(CLIENTES!A5="","",CLIENTES!A5)</f>
        <v>Bravos</v>
      </c>
      <c r="B198" s="67" t="str">
        <f>TELAS!A6</f>
        <v>wafle 30/1</v>
      </c>
      <c r="C198" s="67" t="str">
        <f>COLORES!A18</f>
        <v>P. Rosa</v>
      </c>
      <c r="D198" s="67" t="str">
        <f>COLORES!B18</f>
        <v>CLARO</v>
      </c>
      <c r="E198" s="100">
        <f>IFERROR(SUMIFS(MOVIMIENTOS!$F$4:$F$1000,MOVIMIENTOS!$C$4:$C$1000,A198,MOVIMIENTOS!$D$4:$D$1000,B198,MOVIMIENTOS!$E$4:$E$1000,C198,MOVIMIENTOS!$B$4:$B$1000,"INGRESO")+SUMIFS(MOVIMIENTOS!$F$4:$F$1000,MOVIMIENTOS!$C$4:$C$1000,A198,MOVIMIENTOS!$D$4:$D$1000,B198,MOVIMIENTOS!$E$4:$E$1000,C198,MOVIMIENTOS!$B$4:$B$1000,"DE REPROCESO")+SUMIFS(MOVIMIENTOS!$F$4:$F$1000,MOVIMIENTOS!$C$4:$C$1000,A198,MOVIMIENTOS!$D$4:$D$1000,B198,MOVIMIENTOS!$E$4:$E$1000,C198,MOVIMIENTOS!$B$4:$B$1000,"AJUSTE+")-SUMIFS(MOVIMIENTOS!$F$4:$F$1000,MOVIMIENTOS!$C$4:$C$1000,A198,MOVIMIENTOS!$D$4:$D$1000,B198,MOVIMIENTOS!$E$4:$E$1000,C198,MOVIMIENTOS!$B$4:$B$1000,"A CORTE")-SUMIFS(MOVIMIENTOS!$F$4:$F$1000,MOVIMIENTOS!$C$4:$C$1000,A198,MOVIMIENTOS!$D$4:$D$1000,B198,MOVIMIENTOS!$E$4:$E$1000,C198,MOVIMIENTOS!$B$4:$B$1000,"A REPROCESO")-SUMIFS(MOVIMIENTOS!$F$4:$F$1000,MOVIMIENTOS!$C$4:$C$1000,A198,MOVIMIENTOS!$D$4:$D$1000,B198,MOVIMIENTOS!$E$4:$E$1000,C198,MOVIMIENTOS!$B$4:$B$1000,"MUESTRA")-SUMIFS(MOVIMIENTOS!$F$4:$F$1000,MOVIMIENTOS!$C$4:$C$1000,A198,MOVIMIENTOS!$D$4:$D$1000,B198,MOVIMIENTOS!$E$4:$E$1000,C198,MOVIMIENTOS!$B$4:$B$1000,"AJUSTE-"),0)</f>
        <v>0</v>
      </c>
      <c r="F198" s="101">
        <f>IFERROR(E198*VLOOKUP(B198,TELAS!$A$4:$C$32,3,FALSE()),0)</f>
        <v>0</v>
      </c>
      <c r="G198" s="102">
        <f>IFERROR(IF(D198="OSCURO",VLOOKUP(B198,PRECIOS!$A$4:$F$32,2,FALSE()),IF(D198="CLARO",VLOOKUP(B198,PRECIOS!$A$4:$F$32,3,FALSE()),IF(D198="MELANGE",VLOOKUP(B198,PRECIOS!$A$4:$F$32,4,FALSE()),IF(D198="PPT",VLOOKUP(B198,PRECIOS!$A$4:$F$32,5,FALSE()),0)))),0)</f>
        <v>22.5</v>
      </c>
      <c r="H198" s="103">
        <f t="shared" si="1"/>
        <v>0</v>
      </c>
      <c r="I198" s="104" t="str">
        <f>IF(E198&lt;0,"ERROR",IF(E198=0,"",IF(E198&lt;CONFIG!$B$4,"CRÍTICO",IF(E198&lt;CONFIG!$B$5,"BAJO","OK"))))</f>
        <v/>
      </c>
    </row>
    <row r="199" ht="15.75" customHeight="1">
      <c r="A199" s="90" t="str">
        <f>IF(CLIENTES!A5="","",CLIENTES!A5)</f>
        <v>Bravos</v>
      </c>
      <c r="B199" s="67" t="str">
        <f>TELAS!A6</f>
        <v>wafle 30/1</v>
      </c>
      <c r="C199" s="67" t="str">
        <f>COLORES!A19</f>
        <v/>
      </c>
      <c r="D199" s="67" t="str">
        <f>COLORES!B19</f>
        <v/>
      </c>
      <c r="E199" s="100">
        <f>IFERROR(SUMIFS(MOVIMIENTOS!$F$4:$F$1000,MOVIMIENTOS!$C$4:$C$1000,A199,MOVIMIENTOS!$D$4:$D$1000,B199,MOVIMIENTOS!$E$4:$E$1000,C199,MOVIMIENTOS!$B$4:$B$1000,"INGRESO")+SUMIFS(MOVIMIENTOS!$F$4:$F$1000,MOVIMIENTOS!$C$4:$C$1000,A199,MOVIMIENTOS!$D$4:$D$1000,B199,MOVIMIENTOS!$E$4:$E$1000,C199,MOVIMIENTOS!$B$4:$B$1000,"DE REPROCESO")+SUMIFS(MOVIMIENTOS!$F$4:$F$1000,MOVIMIENTOS!$C$4:$C$1000,A199,MOVIMIENTOS!$D$4:$D$1000,B199,MOVIMIENTOS!$E$4:$E$1000,C199,MOVIMIENTOS!$B$4:$B$1000,"AJUSTE+")-SUMIFS(MOVIMIENTOS!$F$4:$F$1000,MOVIMIENTOS!$C$4:$C$1000,A199,MOVIMIENTOS!$D$4:$D$1000,B199,MOVIMIENTOS!$E$4:$E$1000,C199,MOVIMIENTOS!$B$4:$B$1000,"A CORTE")-SUMIFS(MOVIMIENTOS!$F$4:$F$1000,MOVIMIENTOS!$C$4:$C$1000,A199,MOVIMIENTOS!$D$4:$D$1000,B199,MOVIMIENTOS!$E$4:$E$1000,C199,MOVIMIENTOS!$B$4:$B$1000,"A REPROCESO")-SUMIFS(MOVIMIENTOS!$F$4:$F$1000,MOVIMIENTOS!$C$4:$C$1000,A199,MOVIMIENTOS!$D$4:$D$1000,B199,MOVIMIENTOS!$E$4:$E$1000,C199,MOVIMIENTOS!$B$4:$B$1000,"MUESTRA")-SUMIFS(MOVIMIENTOS!$F$4:$F$1000,MOVIMIENTOS!$C$4:$C$1000,A199,MOVIMIENTOS!$D$4:$D$1000,B199,MOVIMIENTOS!$E$4:$E$1000,C199,MOVIMIENTOS!$B$4:$B$1000,"AJUSTE-"),0)</f>
        <v>0</v>
      </c>
      <c r="F199" s="101">
        <f>IFERROR(E199*VLOOKUP(B199,TELAS!$A$4:$C$32,3,FALSE()),0)</f>
        <v>0</v>
      </c>
      <c r="G199" s="102">
        <f>IFERROR(IF(D199="OSCURO",VLOOKUP(B199,PRECIOS!$A$4:$F$32,2,FALSE()),IF(D199="CLARO",VLOOKUP(B199,PRECIOS!$A$4:$F$32,3,FALSE()),IF(D199="MELANGE",VLOOKUP(B199,PRECIOS!$A$4:$F$32,4,FALSE()),IF(D199="PPT",VLOOKUP(B199,PRECIOS!$A$4:$F$32,5,FALSE()),0)))),0)</f>
        <v>0</v>
      </c>
      <c r="H199" s="103">
        <f t="shared" si="1"/>
        <v>0</v>
      </c>
      <c r="I199" s="104" t="str">
        <f>IF(E199&lt;0,"ERROR",IF(E199=0,"",IF(E199&lt;CONFIG!$B$4,"CRÍTICO",IF(E199&lt;CONFIG!$B$5,"BAJO","OK"))))</f>
        <v/>
      </c>
    </row>
    <row r="200" ht="15.75" customHeight="1">
      <c r="A200" s="90" t="str">
        <f>IF(CLIENTES!A5="","",CLIENTES!A5)</f>
        <v>Bravos</v>
      </c>
      <c r="B200" s="67" t="str">
        <f>TELAS!A6</f>
        <v>wafle 30/1</v>
      </c>
      <c r="C200" s="67" t="str">
        <f>COLORES!A20</f>
        <v/>
      </c>
      <c r="D200" s="67" t="str">
        <f>COLORES!B20</f>
        <v/>
      </c>
      <c r="E200" s="100">
        <f>IFERROR(SUMIFS(MOVIMIENTOS!$F$4:$F$1000,MOVIMIENTOS!$C$4:$C$1000,A200,MOVIMIENTOS!$D$4:$D$1000,B200,MOVIMIENTOS!$E$4:$E$1000,C200,MOVIMIENTOS!$B$4:$B$1000,"INGRESO")+SUMIFS(MOVIMIENTOS!$F$4:$F$1000,MOVIMIENTOS!$C$4:$C$1000,A200,MOVIMIENTOS!$D$4:$D$1000,B200,MOVIMIENTOS!$E$4:$E$1000,C200,MOVIMIENTOS!$B$4:$B$1000,"DE REPROCESO")+SUMIFS(MOVIMIENTOS!$F$4:$F$1000,MOVIMIENTOS!$C$4:$C$1000,A200,MOVIMIENTOS!$D$4:$D$1000,B200,MOVIMIENTOS!$E$4:$E$1000,C200,MOVIMIENTOS!$B$4:$B$1000,"AJUSTE+")-SUMIFS(MOVIMIENTOS!$F$4:$F$1000,MOVIMIENTOS!$C$4:$C$1000,A200,MOVIMIENTOS!$D$4:$D$1000,B200,MOVIMIENTOS!$E$4:$E$1000,C200,MOVIMIENTOS!$B$4:$B$1000,"A CORTE")-SUMIFS(MOVIMIENTOS!$F$4:$F$1000,MOVIMIENTOS!$C$4:$C$1000,A200,MOVIMIENTOS!$D$4:$D$1000,B200,MOVIMIENTOS!$E$4:$E$1000,C200,MOVIMIENTOS!$B$4:$B$1000,"A REPROCESO")-SUMIFS(MOVIMIENTOS!$F$4:$F$1000,MOVIMIENTOS!$C$4:$C$1000,A200,MOVIMIENTOS!$D$4:$D$1000,B200,MOVIMIENTOS!$E$4:$E$1000,C200,MOVIMIENTOS!$B$4:$B$1000,"MUESTRA")-SUMIFS(MOVIMIENTOS!$F$4:$F$1000,MOVIMIENTOS!$C$4:$C$1000,A200,MOVIMIENTOS!$D$4:$D$1000,B200,MOVIMIENTOS!$E$4:$E$1000,C200,MOVIMIENTOS!$B$4:$B$1000,"AJUSTE-"),0)</f>
        <v>0</v>
      </c>
      <c r="F200" s="101">
        <f>IFERROR(E200*VLOOKUP(B200,TELAS!$A$4:$C$32,3,FALSE()),0)</f>
        <v>0</v>
      </c>
      <c r="G200" s="102">
        <f>IFERROR(IF(D200="OSCURO",VLOOKUP(B200,PRECIOS!$A$4:$F$32,2,FALSE()),IF(D200="CLARO",VLOOKUP(B200,PRECIOS!$A$4:$F$32,3,FALSE()),IF(D200="MELANGE",VLOOKUP(B200,PRECIOS!$A$4:$F$32,4,FALSE()),IF(D200="PPT",VLOOKUP(B200,PRECIOS!$A$4:$F$32,5,FALSE()),0)))),0)</f>
        <v>0</v>
      </c>
      <c r="H200" s="103">
        <f t="shared" si="1"/>
        <v>0</v>
      </c>
      <c r="I200" s="104" t="str">
        <f>IF(E200&lt;0,"ERROR",IF(E200=0,"",IF(E200&lt;CONFIG!$B$4,"CRÍTICO",IF(E200&lt;CONFIG!$B$5,"BAJO","OK"))))</f>
        <v/>
      </c>
    </row>
    <row r="201" ht="15.75" customHeight="1">
      <c r="A201" s="90" t="str">
        <f>IF(CLIENTES!A5="","",CLIENTES!A5)</f>
        <v>Bravos</v>
      </c>
      <c r="B201" s="67" t="str">
        <f>TELAS!A6</f>
        <v>wafle 30/1</v>
      </c>
      <c r="C201" s="67" t="str">
        <f>COLORES!A21</f>
        <v/>
      </c>
      <c r="D201" s="67" t="str">
        <f>COLORES!B21</f>
        <v/>
      </c>
      <c r="E201" s="100">
        <f>IFERROR(SUMIFS(MOVIMIENTOS!$F$4:$F$1000,MOVIMIENTOS!$C$4:$C$1000,A201,MOVIMIENTOS!$D$4:$D$1000,B201,MOVIMIENTOS!$E$4:$E$1000,C201,MOVIMIENTOS!$B$4:$B$1000,"INGRESO")+SUMIFS(MOVIMIENTOS!$F$4:$F$1000,MOVIMIENTOS!$C$4:$C$1000,A201,MOVIMIENTOS!$D$4:$D$1000,B201,MOVIMIENTOS!$E$4:$E$1000,C201,MOVIMIENTOS!$B$4:$B$1000,"DE REPROCESO")+SUMIFS(MOVIMIENTOS!$F$4:$F$1000,MOVIMIENTOS!$C$4:$C$1000,A201,MOVIMIENTOS!$D$4:$D$1000,B201,MOVIMIENTOS!$E$4:$E$1000,C201,MOVIMIENTOS!$B$4:$B$1000,"AJUSTE+")-SUMIFS(MOVIMIENTOS!$F$4:$F$1000,MOVIMIENTOS!$C$4:$C$1000,A201,MOVIMIENTOS!$D$4:$D$1000,B201,MOVIMIENTOS!$E$4:$E$1000,C201,MOVIMIENTOS!$B$4:$B$1000,"A CORTE")-SUMIFS(MOVIMIENTOS!$F$4:$F$1000,MOVIMIENTOS!$C$4:$C$1000,A201,MOVIMIENTOS!$D$4:$D$1000,B201,MOVIMIENTOS!$E$4:$E$1000,C201,MOVIMIENTOS!$B$4:$B$1000,"A REPROCESO")-SUMIFS(MOVIMIENTOS!$F$4:$F$1000,MOVIMIENTOS!$C$4:$C$1000,A201,MOVIMIENTOS!$D$4:$D$1000,B201,MOVIMIENTOS!$E$4:$E$1000,C201,MOVIMIENTOS!$B$4:$B$1000,"MUESTRA")-SUMIFS(MOVIMIENTOS!$F$4:$F$1000,MOVIMIENTOS!$C$4:$C$1000,A201,MOVIMIENTOS!$D$4:$D$1000,B201,MOVIMIENTOS!$E$4:$E$1000,C201,MOVIMIENTOS!$B$4:$B$1000,"AJUSTE-"),0)</f>
        <v>0</v>
      </c>
      <c r="F201" s="101">
        <f>IFERROR(E201*VLOOKUP(B201,TELAS!$A$4:$C$32,3,FALSE()),0)</f>
        <v>0</v>
      </c>
      <c r="G201" s="102">
        <f>IFERROR(IF(D201="OSCURO",VLOOKUP(B201,PRECIOS!$A$4:$F$32,2,FALSE()),IF(D201="CLARO",VLOOKUP(B201,PRECIOS!$A$4:$F$32,3,FALSE()),IF(D201="MELANGE",VLOOKUP(B201,PRECIOS!$A$4:$F$32,4,FALSE()),IF(D201="PPT",VLOOKUP(B201,PRECIOS!$A$4:$F$32,5,FALSE()),0)))),0)</f>
        <v>0</v>
      </c>
      <c r="H201" s="103">
        <f t="shared" si="1"/>
        <v>0</v>
      </c>
      <c r="I201" s="104" t="str">
        <f>IF(E201&lt;0,"ERROR",IF(E201=0,"",IF(E201&lt;CONFIG!$B$4,"CRÍTICO",IF(E201&lt;CONFIG!$B$5,"BAJO","OK"))))</f>
        <v/>
      </c>
    </row>
    <row r="202" ht="15.75" customHeight="1">
      <c r="A202" s="90" t="str">
        <f>IF(CLIENTES!A5="","",CLIENTES!A5)</f>
        <v>Bravos</v>
      </c>
      <c r="B202" s="67" t="str">
        <f>TELAS!A6</f>
        <v>wafle 30/1</v>
      </c>
      <c r="C202" s="67" t="str">
        <f>COLORES!A22</f>
        <v/>
      </c>
      <c r="D202" s="67" t="str">
        <f>COLORES!B22</f>
        <v/>
      </c>
      <c r="E202" s="100">
        <f>IFERROR(SUMIFS(MOVIMIENTOS!$F$4:$F$1000,MOVIMIENTOS!$C$4:$C$1000,A202,MOVIMIENTOS!$D$4:$D$1000,B202,MOVIMIENTOS!$E$4:$E$1000,C202,MOVIMIENTOS!$B$4:$B$1000,"INGRESO")+SUMIFS(MOVIMIENTOS!$F$4:$F$1000,MOVIMIENTOS!$C$4:$C$1000,A202,MOVIMIENTOS!$D$4:$D$1000,B202,MOVIMIENTOS!$E$4:$E$1000,C202,MOVIMIENTOS!$B$4:$B$1000,"DE REPROCESO")+SUMIFS(MOVIMIENTOS!$F$4:$F$1000,MOVIMIENTOS!$C$4:$C$1000,A202,MOVIMIENTOS!$D$4:$D$1000,B202,MOVIMIENTOS!$E$4:$E$1000,C202,MOVIMIENTOS!$B$4:$B$1000,"AJUSTE+")-SUMIFS(MOVIMIENTOS!$F$4:$F$1000,MOVIMIENTOS!$C$4:$C$1000,A202,MOVIMIENTOS!$D$4:$D$1000,B202,MOVIMIENTOS!$E$4:$E$1000,C202,MOVIMIENTOS!$B$4:$B$1000,"A CORTE")-SUMIFS(MOVIMIENTOS!$F$4:$F$1000,MOVIMIENTOS!$C$4:$C$1000,A202,MOVIMIENTOS!$D$4:$D$1000,B202,MOVIMIENTOS!$E$4:$E$1000,C202,MOVIMIENTOS!$B$4:$B$1000,"A REPROCESO")-SUMIFS(MOVIMIENTOS!$F$4:$F$1000,MOVIMIENTOS!$C$4:$C$1000,A202,MOVIMIENTOS!$D$4:$D$1000,B202,MOVIMIENTOS!$E$4:$E$1000,C202,MOVIMIENTOS!$B$4:$B$1000,"MUESTRA")-SUMIFS(MOVIMIENTOS!$F$4:$F$1000,MOVIMIENTOS!$C$4:$C$1000,A202,MOVIMIENTOS!$D$4:$D$1000,B202,MOVIMIENTOS!$E$4:$E$1000,C202,MOVIMIENTOS!$B$4:$B$1000,"AJUSTE-"),0)</f>
        <v>0</v>
      </c>
      <c r="F202" s="101">
        <f>IFERROR(E202*VLOOKUP(B202,TELAS!$A$4:$C$32,3,FALSE()),0)</f>
        <v>0</v>
      </c>
      <c r="G202" s="102">
        <f>IFERROR(IF(D202="OSCURO",VLOOKUP(B202,PRECIOS!$A$4:$F$32,2,FALSE()),IF(D202="CLARO",VLOOKUP(B202,PRECIOS!$A$4:$F$32,3,FALSE()),IF(D202="MELANGE",VLOOKUP(B202,PRECIOS!$A$4:$F$32,4,FALSE()),IF(D202="PPT",VLOOKUP(B202,PRECIOS!$A$4:$F$32,5,FALSE()),0)))),0)</f>
        <v>0</v>
      </c>
      <c r="H202" s="103">
        <f t="shared" si="1"/>
        <v>0</v>
      </c>
      <c r="I202" s="104" t="str">
        <f>IF(E202&lt;0,"ERROR",IF(E202=0,"",IF(E202&lt;CONFIG!$B$4,"CRÍTICO",IF(E202&lt;CONFIG!$B$5,"BAJO","OK"))))</f>
        <v/>
      </c>
    </row>
    <row r="203" ht="15.75" customHeight="1">
      <c r="A203" s="90" t="str">
        <f>IF(CLIENTES!A5="","",CLIENTES!A5)</f>
        <v>Bravos</v>
      </c>
      <c r="B203" s="67" t="str">
        <f>TELAS!A6</f>
        <v>wafle 30/1</v>
      </c>
      <c r="C203" s="67" t="str">
        <f>COLORES!A23</f>
        <v/>
      </c>
      <c r="D203" s="67" t="str">
        <f>COLORES!B23</f>
        <v/>
      </c>
      <c r="E203" s="100">
        <f>IFERROR(SUMIFS(MOVIMIENTOS!$F$4:$F$1000,MOVIMIENTOS!$C$4:$C$1000,A203,MOVIMIENTOS!$D$4:$D$1000,B203,MOVIMIENTOS!$E$4:$E$1000,C203,MOVIMIENTOS!$B$4:$B$1000,"INGRESO")+SUMIFS(MOVIMIENTOS!$F$4:$F$1000,MOVIMIENTOS!$C$4:$C$1000,A203,MOVIMIENTOS!$D$4:$D$1000,B203,MOVIMIENTOS!$E$4:$E$1000,C203,MOVIMIENTOS!$B$4:$B$1000,"DE REPROCESO")+SUMIFS(MOVIMIENTOS!$F$4:$F$1000,MOVIMIENTOS!$C$4:$C$1000,A203,MOVIMIENTOS!$D$4:$D$1000,B203,MOVIMIENTOS!$E$4:$E$1000,C203,MOVIMIENTOS!$B$4:$B$1000,"AJUSTE+")-SUMIFS(MOVIMIENTOS!$F$4:$F$1000,MOVIMIENTOS!$C$4:$C$1000,A203,MOVIMIENTOS!$D$4:$D$1000,B203,MOVIMIENTOS!$E$4:$E$1000,C203,MOVIMIENTOS!$B$4:$B$1000,"A CORTE")-SUMIFS(MOVIMIENTOS!$F$4:$F$1000,MOVIMIENTOS!$C$4:$C$1000,A203,MOVIMIENTOS!$D$4:$D$1000,B203,MOVIMIENTOS!$E$4:$E$1000,C203,MOVIMIENTOS!$B$4:$B$1000,"A REPROCESO")-SUMIFS(MOVIMIENTOS!$F$4:$F$1000,MOVIMIENTOS!$C$4:$C$1000,A203,MOVIMIENTOS!$D$4:$D$1000,B203,MOVIMIENTOS!$E$4:$E$1000,C203,MOVIMIENTOS!$B$4:$B$1000,"MUESTRA")-SUMIFS(MOVIMIENTOS!$F$4:$F$1000,MOVIMIENTOS!$C$4:$C$1000,A203,MOVIMIENTOS!$D$4:$D$1000,B203,MOVIMIENTOS!$E$4:$E$1000,C203,MOVIMIENTOS!$B$4:$B$1000,"AJUSTE-"),0)</f>
        <v>0</v>
      </c>
      <c r="F203" s="101">
        <f>IFERROR(E203*VLOOKUP(B203,TELAS!$A$4:$C$32,3,FALSE()),0)</f>
        <v>0</v>
      </c>
      <c r="G203" s="102">
        <f>IFERROR(IF(D203="OSCURO",VLOOKUP(B203,PRECIOS!$A$4:$F$32,2,FALSE()),IF(D203="CLARO",VLOOKUP(B203,PRECIOS!$A$4:$F$32,3,FALSE()),IF(D203="MELANGE",VLOOKUP(B203,PRECIOS!$A$4:$F$32,4,FALSE()),IF(D203="PPT",VLOOKUP(B203,PRECIOS!$A$4:$F$32,5,FALSE()),0)))),0)</f>
        <v>0</v>
      </c>
      <c r="H203" s="103">
        <f t="shared" si="1"/>
        <v>0</v>
      </c>
      <c r="I203" s="104" t="str">
        <f>IF(E203&lt;0,"ERROR",IF(E203=0,"",IF(E203&lt;CONFIG!$B$4,"CRÍTICO",IF(E203&lt;CONFIG!$B$5,"BAJO","OK"))))</f>
        <v/>
      </c>
    </row>
    <row r="204" ht="15.75" customHeight="1">
      <c r="A204" s="90" t="str">
        <f>IF(CLIENTES!A5="","",CLIENTES!A5)</f>
        <v>Bravos</v>
      </c>
      <c r="B204" s="67" t="str">
        <f>TELAS!A7</f>
        <v>french terry 24/1</v>
      </c>
      <c r="C204" s="67" t="str">
        <f>COLORES!A4</f>
        <v>Negro</v>
      </c>
      <c r="D204" s="67" t="str">
        <f>COLORES!B4</f>
        <v>OSCURO</v>
      </c>
      <c r="E204" s="100">
        <f>IFERROR(SUMIFS(MOVIMIENTOS!$F$4:$F$1000,MOVIMIENTOS!$C$4:$C$1000,A204,MOVIMIENTOS!$D$4:$D$1000,B204,MOVIMIENTOS!$E$4:$E$1000,C204,MOVIMIENTOS!$B$4:$B$1000,"INGRESO")+SUMIFS(MOVIMIENTOS!$F$4:$F$1000,MOVIMIENTOS!$C$4:$C$1000,A204,MOVIMIENTOS!$D$4:$D$1000,B204,MOVIMIENTOS!$E$4:$E$1000,C204,MOVIMIENTOS!$B$4:$B$1000,"DE REPROCESO")+SUMIFS(MOVIMIENTOS!$F$4:$F$1000,MOVIMIENTOS!$C$4:$C$1000,A204,MOVIMIENTOS!$D$4:$D$1000,B204,MOVIMIENTOS!$E$4:$E$1000,C204,MOVIMIENTOS!$B$4:$B$1000,"AJUSTE+")-SUMIFS(MOVIMIENTOS!$F$4:$F$1000,MOVIMIENTOS!$C$4:$C$1000,A204,MOVIMIENTOS!$D$4:$D$1000,B204,MOVIMIENTOS!$E$4:$E$1000,C204,MOVIMIENTOS!$B$4:$B$1000,"A CORTE")-SUMIFS(MOVIMIENTOS!$F$4:$F$1000,MOVIMIENTOS!$C$4:$C$1000,A204,MOVIMIENTOS!$D$4:$D$1000,B204,MOVIMIENTOS!$E$4:$E$1000,C204,MOVIMIENTOS!$B$4:$B$1000,"A REPROCESO")-SUMIFS(MOVIMIENTOS!$F$4:$F$1000,MOVIMIENTOS!$C$4:$C$1000,A204,MOVIMIENTOS!$D$4:$D$1000,B204,MOVIMIENTOS!$E$4:$E$1000,C204,MOVIMIENTOS!$B$4:$B$1000,"MUESTRA")-SUMIFS(MOVIMIENTOS!$F$4:$F$1000,MOVIMIENTOS!$C$4:$C$1000,A204,MOVIMIENTOS!$D$4:$D$1000,B204,MOVIMIENTOS!$E$4:$E$1000,C204,MOVIMIENTOS!$B$4:$B$1000,"AJUSTE-"),0)</f>
        <v>7</v>
      </c>
      <c r="F204" s="101">
        <f>IFERROR(E204*VLOOKUP(B204,TELAS!$A$4:$C$32,3,FALSE()),0)</f>
        <v>140</v>
      </c>
      <c r="G204" s="102">
        <f>IFERROR(IF(D204="OSCURO",VLOOKUP(B204,PRECIOS!$A$4:$F$32,2,FALSE()),IF(D204="CLARO",VLOOKUP(B204,PRECIOS!$A$4:$F$32,3,FALSE()),IF(D204="MELANGE",VLOOKUP(B204,PRECIOS!$A$4:$F$32,4,FALSE()),IF(D204="PPT",VLOOKUP(B204,PRECIOS!$A$4:$F$32,5,FALSE()),0)))),0)</f>
        <v>24</v>
      </c>
      <c r="H204" s="103">
        <f t="shared" si="1"/>
        <v>3360</v>
      </c>
      <c r="I204" s="104" t="str">
        <f>IF(E204&lt;0,"ERROR",IF(E204=0,"",IF(E204&lt;CONFIG!$B$4,"CRÍTICO",IF(E204&lt;CONFIG!$B$5,"BAJO","OK"))))</f>
        <v>BAJO</v>
      </c>
    </row>
    <row r="205" ht="15.75" customHeight="1">
      <c r="A205" s="90" t="str">
        <f>IF(CLIENTES!A5="","",CLIENTES!A5)</f>
        <v>Bravos</v>
      </c>
      <c r="B205" s="67" t="str">
        <f>TELAS!A7</f>
        <v>french terry 24/1</v>
      </c>
      <c r="C205" s="67" t="str">
        <f>COLORES!A5</f>
        <v>Perla</v>
      </c>
      <c r="D205" s="67" t="str">
        <f>COLORES!B5</f>
        <v>PPT</v>
      </c>
      <c r="E205" s="100">
        <f>IFERROR(SUMIFS(MOVIMIENTOS!$F$4:$F$1000,MOVIMIENTOS!$C$4:$C$1000,A205,MOVIMIENTOS!$D$4:$D$1000,B205,MOVIMIENTOS!$E$4:$E$1000,C205,MOVIMIENTOS!$B$4:$B$1000,"INGRESO")+SUMIFS(MOVIMIENTOS!$F$4:$F$1000,MOVIMIENTOS!$C$4:$C$1000,A205,MOVIMIENTOS!$D$4:$D$1000,B205,MOVIMIENTOS!$E$4:$E$1000,C205,MOVIMIENTOS!$B$4:$B$1000,"DE REPROCESO")+SUMIFS(MOVIMIENTOS!$F$4:$F$1000,MOVIMIENTOS!$C$4:$C$1000,A205,MOVIMIENTOS!$D$4:$D$1000,B205,MOVIMIENTOS!$E$4:$E$1000,C205,MOVIMIENTOS!$B$4:$B$1000,"AJUSTE+")-SUMIFS(MOVIMIENTOS!$F$4:$F$1000,MOVIMIENTOS!$C$4:$C$1000,A205,MOVIMIENTOS!$D$4:$D$1000,B205,MOVIMIENTOS!$E$4:$E$1000,C205,MOVIMIENTOS!$B$4:$B$1000,"A CORTE")-SUMIFS(MOVIMIENTOS!$F$4:$F$1000,MOVIMIENTOS!$C$4:$C$1000,A205,MOVIMIENTOS!$D$4:$D$1000,B205,MOVIMIENTOS!$E$4:$E$1000,C205,MOVIMIENTOS!$B$4:$B$1000,"A REPROCESO")-SUMIFS(MOVIMIENTOS!$F$4:$F$1000,MOVIMIENTOS!$C$4:$C$1000,A205,MOVIMIENTOS!$D$4:$D$1000,B205,MOVIMIENTOS!$E$4:$E$1000,C205,MOVIMIENTOS!$B$4:$B$1000,"MUESTRA")-SUMIFS(MOVIMIENTOS!$F$4:$F$1000,MOVIMIENTOS!$C$4:$C$1000,A205,MOVIMIENTOS!$D$4:$D$1000,B205,MOVIMIENTOS!$E$4:$E$1000,C205,MOVIMIENTOS!$B$4:$B$1000,"AJUSTE-"),0)</f>
        <v>24</v>
      </c>
      <c r="F205" s="101">
        <f>IFERROR(E205*VLOOKUP(B205,TELAS!$A$4:$C$32,3,FALSE()),0)</f>
        <v>480</v>
      </c>
      <c r="G205" s="102">
        <f>IFERROR(IF(D205="OSCURO",VLOOKUP(B205,PRECIOS!$A$4:$F$32,2,FALSE()),IF(D205="CLARO",VLOOKUP(B205,PRECIOS!$A$4:$F$32,3,FALSE()),IF(D205="MELANGE",VLOOKUP(B205,PRECIOS!$A$4:$F$32,4,FALSE()),IF(D205="PPT",VLOOKUP(B205,PRECIOS!$A$4:$F$32,5,FALSE()),0)))),0)</f>
        <v>18</v>
      </c>
      <c r="H205" s="103">
        <f t="shared" si="1"/>
        <v>8640</v>
      </c>
      <c r="I205" s="104" t="str">
        <f>IF(E205&lt;0,"ERROR",IF(E205=0,"",IF(E205&lt;CONFIG!$B$4,"CRÍTICO",IF(E205&lt;CONFIG!$B$5,"BAJO","OK"))))</f>
        <v>OK</v>
      </c>
    </row>
    <row r="206" ht="15.75" customHeight="1">
      <c r="A206" s="90" t="str">
        <f>IF(CLIENTES!A5="","",CLIENTES!A5)</f>
        <v>Bravos</v>
      </c>
      <c r="B206" s="67" t="str">
        <f>TELAS!A7</f>
        <v>french terry 24/1</v>
      </c>
      <c r="C206" s="67" t="str">
        <f>COLORES!A6</f>
        <v>Blanco</v>
      </c>
      <c r="D206" s="67" t="str">
        <f>COLORES!B6</f>
        <v>PPT</v>
      </c>
      <c r="E206" s="100">
        <f>IFERROR(SUMIFS(MOVIMIENTOS!$F$4:$F$1000,MOVIMIENTOS!$C$4:$C$1000,A206,MOVIMIENTOS!$D$4:$D$1000,B206,MOVIMIENTOS!$E$4:$E$1000,C206,MOVIMIENTOS!$B$4:$B$1000,"INGRESO")+SUMIFS(MOVIMIENTOS!$F$4:$F$1000,MOVIMIENTOS!$C$4:$C$1000,A206,MOVIMIENTOS!$D$4:$D$1000,B206,MOVIMIENTOS!$E$4:$E$1000,C206,MOVIMIENTOS!$B$4:$B$1000,"DE REPROCESO")+SUMIFS(MOVIMIENTOS!$F$4:$F$1000,MOVIMIENTOS!$C$4:$C$1000,A206,MOVIMIENTOS!$D$4:$D$1000,B206,MOVIMIENTOS!$E$4:$E$1000,C206,MOVIMIENTOS!$B$4:$B$1000,"AJUSTE+")-SUMIFS(MOVIMIENTOS!$F$4:$F$1000,MOVIMIENTOS!$C$4:$C$1000,A206,MOVIMIENTOS!$D$4:$D$1000,B206,MOVIMIENTOS!$E$4:$E$1000,C206,MOVIMIENTOS!$B$4:$B$1000,"A CORTE")-SUMIFS(MOVIMIENTOS!$F$4:$F$1000,MOVIMIENTOS!$C$4:$C$1000,A206,MOVIMIENTOS!$D$4:$D$1000,B206,MOVIMIENTOS!$E$4:$E$1000,C206,MOVIMIENTOS!$B$4:$B$1000,"A REPROCESO")-SUMIFS(MOVIMIENTOS!$F$4:$F$1000,MOVIMIENTOS!$C$4:$C$1000,A206,MOVIMIENTOS!$D$4:$D$1000,B206,MOVIMIENTOS!$E$4:$E$1000,C206,MOVIMIENTOS!$B$4:$B$1000,"MUESTRA")-SUMIFS(MOVIMIENTOS!$F$4:$F$1000,MOVIMIENTOS!$C$4:$C$1000,A206,MOVIMIENTOS!$D$4:$D$1000,B206,MOVIMIENTOS!$E$4:$E$1000,C206,MOVIMIENTOS!$B$4:$B$1000,"AJUSTE-"),0)</f>
        <v>0</v>
      </c>
      <c r="F206" s="101">
        <f>IFERROR(E206*VLOOKUP(B206,TELAS!$A$4:$C$32,3,FALSE()),0)</f>
        <v>0</v>
      </c>
      <c r="G206" s="102">
        <f>IFERROR(IF(D206="OSCURO",VLOOKUP(B206,PRECIOS!$A$4:$F$32,2,FALSE()),IF(D206="CLARO",VLOOKUP(B206,PRECIOS!$A$4:$F$32,3,FALSE()),IF(D206="MELANGE",VLOOKUP(B206,PRECIOS!$A$4:$F$32,4,FALSE()),IF(D206="PPT",VLOOKUP(B206,PRECIOS!$A$4:$F$32,5,FALSE()),0)))),0)</f>
        <v>18</v>
      </c>
      <c r="H206" s="103">
        <f t="shared" si="1"/>
        <v>0</v>
      </c>
      <c r="I206" s="104" t="str">
        <f>IF(E206&lt;0,"ERROR",IF(E206=0,"",IF(E206&lt;CONFIG!$B$4,"CRÍTICO",IF(E206&lt;CONFIG!$B$5,"BAJO","OK"))))</f>
        <v/>
      </c>
    </row>
    <row r="207" ht="15.75" customHeight="1">
      <c r="A207" s="90" t="str">
        <f>IF(CLIENTES!A5="","",CLIENTES!A5)</f>
        <v>Bravos</v>
      </c>
      <c r="B207" s="67" t="str">
        <f>TELAS!A7</f>
        <v>french terry 24/1</v>
      </c>
      <c r="C207" s="67" t="str">
        <f>COLORES!A7</f>
        <v>Azul</v>
      </c>
      <c r="D207" s="67" t="str">
        <f>COLORES!B7</f>
        <v>OSCURO</v>
      </c>
      <c r="E207" s="100">
        <f>IFERROR(SUMIFS(MOVIMIENTOS!$F$4:$F$1000,MOVIMIENTOS!$C$4:$C$1000,A207,MOVIMIENTOS!$D$4:$D$1000,B207,MOVIMIENTOS!$E$4:$E$1000,C207,MOVIMIENTOS!$B$4:$B$1000,"INGRESO")+SUMIFS(MOVIMIENTOS!$F$4:$F$1000,MOVIMIENTOS!$C$4:$C$1000,A207,MOVIMIENTOS!$D$4:$D$1000,B207,MOVIMIENTOS!$E$4:$E$1000,C207,MOVIMIENTOS!$B$4:$B$1000,"DE REPROCESO")+SUMIFS(MOVIMIENTOS!$F$4:$F$1000,MOVIMIENTOS!$C$4:$C$1000,A207,MOVIMIENTOS!$D$4:$D$1000,B207,MOVIMIENTOS!$E$4:$E$1000,C207,MOVIMIENTOS!$B$4:$B$1000,"AJUSTE+")-SUMIFS(MOVIMIENTOS!$F$4:$F$1000,MOVIMIENTOS!$C$4:$C$1000,A207,MOVIMIENTOS!$D$4:$D$1000,B207,MOVIMIENTOS!$E$4:$E$1000,C207,MOVIMIENTOS!$B$4:$B$1000,"A CORTE")-SUMIFS(MOVIMIENTOS!$F$4:$F$1000,MOVIMIENTOS!$C$4:$C$1000,A207,MOVIMIENTOS!$D$4:$D$1000,B207,MOVIMIENTOS!$E$4:$E$1000,C207,MOVIMIENTOS!$B$4:$B$1000,"A REPROCESO")-SUMIFS(MOVIMIENTOS!$F$4:$F$1000,MOVIMIENTOS!$C$4:$C$1000,A207,MOVIMIENTOS!$D$4:$D$1000,B207,MOVIMIENTOS!$E$4:$E$1000,C207,MOVIMIENTOS!$B$4:$B$1000,"MUESTRA")-SUMIFS(MOVIMIENTOS!$F$4:$F$1000,MOVIMIENTOS!$C$4:$C$1000,A207,MOVIMIENTOS!$D$4:$D$1000,B207,MOVIMIENTOS!$E$4:$E$1000,C207,MOVIMIENTOS!$B$4:$B$1000,"AJUSTE-"),0)</f>
        <v>0</v>
      </c>
      <c r="F207" s="101">
        <f>IFERROR(E207*VLOOKUP(B207,TELAS!$A$4:$C$32,3,FALSE()),0)</f>
        <v>0</v>
      </c>
      <c r="G207" s="102">
        <f>IFERROR(IF(D207="OSCURO",VLOOKUP(B207,PRECIOS!$A$4:$F$32,2,FALSE()),IF(D207="CLARO",VLOOKUP(B207,PRECIOS!$A$4:$F$32,3,FALSE()),IF(D207="MELANGE",VLOOKUP(B207,PRECIOS!$A$4:$F$32,4,FALSE()),IF(D207="PPT",VLOOKUP(B207,PRECIOS!$A$4:$F$32,5,FALSE()),0)))),0)</f>
        <v>24</v>
      </c>
      <c r="H207" s="103">
        <f t="shared" si="1"/>
        <v>0</v>
      </c>
      <c r="I207" s="104" t="str">
        <f>IF(E207&lt;0,"ERROR",IF(E207=0,"",IF(E207&lt;CONFIG!$B$4,"CRÍTICO",IF(E207&lt;CONFIG!$B$5,"BAJO","OK"))))</f>
        <v/>
      </c>
    </row>
    <row r="208" ht="15.75" customHeight="1">
      <c r="A208" s="90" t="str">
        <f>IF(CLIENTES!A5="","",CLIENTES!A5)</f>
        <v>Bravos</v>
      </c>
      <c r="B208" s="67" t="str">
        <f>TELAS!A7</f>
        <v>french terry 24/1</v>
      </c>
      <c r="C208" s="67" t="str">
        <f>COLORES!A8</f>
        <v>Beige</v>
      </c>
      <c r="D208" s="67" t="str">
        <f>COLORES!B8</f>
        <v>CLARO</v>
      </c>
      <c r="E208" s="100">
        <f>IFERROR(SUMIFS(MOVIMIENTOS!$F$4:$F$1000,MOVIMIENTOS!$C$4:$C$1000,A208,MOVIMIENTOS!$D$4:$D$1000,B208,MOVIMIENTOS!$E$4:$E$1000,C208,MOVIMIENTOS!$B$4:$B$1000,"INGRESO")+SUMIFS(MOVIMIENTOS!$F$4:$F$1000,MOVIMIENTOS!$C$4:$C$1000,A208,MOVIMIENTOS!$D$4:$D$1000,B208,MOVIMIENTOS!$E$4:$E$1000,C208,MOVIMIENTOS!$B$4:$B$1000,"DE REPROCESO")+SUMIFS(MOVIMIENTOS!$F$4:$F$1000,MOVIMIENTOS!$C$4:$C$1000,A208,MOVIMIENTOS!$D$4:$D$1000,B208,MOVIMIENTOS!$E$4:$E$1000,C208,MOVIMIENTOS!$B$4:$B$1000,"AJUSTE+")-SUMIFS(MOVIMIENTOS!$F$4:$F$1000,MOVIMIENTOS!$C$4:$C$1000,A208,MOVIMIENTOS!$D$4:$D$1000,B208,MOVIMIENTOS!$E$4:$E$1000,C208,MOVIMIENTOS!$B$4:$B$1000,"A CORTE")-SUMIFS(MOVIMIENTOS!$F$4:$F$1000,MOVIMIENTOS!$C$4:$C$1000,A208,MOVIMIENTOS!$D$4:$D$1000,B208,MOVIMIENTOS!$E$4:$E$1000,C208,MOVIMIENTOS!$B$4:$B$1000,"A REPROCESO")-SUMIFS(MOVIMIENTOS!$F$4:$F$1000,MOVIMIENTOS!$C$4:$C$1000,A208,MOVIMIENTOS!$D$4:$D$1000,B208,MOVIMIENTOS!$E$4:$E$1000,C208,MOVIMIENTOS!$B$4:$B$1000,"MUESTRA")-SUMIFS(MOVIMIENTOS!$F$4:$F$1000,MOVIMIENTOS!$C$4:$C$1000,A208,MOVIMIENTOS!$D$4:$D$1000,B208,MOVIMIENTOS!$E$4:$E$1000,C208,MOVIMIENTOS!$B$4:$B$1000,"AJUSTE-"),0)</f>
        <v>0</v>
      </c>
      <c r="F208" s="101">
        <f>IFERROR(E208*VLOOKUP(B208,TELAS!$A$4:$C$32,3,FALSE()),0)</f>
        <v>0</v>
      </c>
      <c r="G208" s="102">
        <f>IFERROR(IF(D208="OSCURO",VLOOKUP(B208,PRECIOS!$A$4:$F$32,2,FALSE()),IF(D208="CLARO",VLOOKUP(B208,PRECIOS!$A$4:$F$32,3,FALSE()),IF(D208="MELANGE",VLOOKUP(B208,PRECIOS!$A$4:$F$32,4,FALSE()),IF(D208="PPT",VLOOKUP(B208,PRECIOS!$A$4:$F$32,5,FALSE()),0)))),0)</f>
        <v>21</v>
      </c>
      <c r="H208" s="103">
        <f t="shared" si="1"/>
        <v>0</v>
      </c>
      <c r="I208" s="104" t="str">
        <f>IF(E208&lt;0,"ERROR",IF(E208=0,"",IF(E208&lt;CONFIG!$B$4,"CRÍTICO",IF(E208&lt;CONFIG!$B$5,"BAJO","OK"))))</f>
        <v/>
      </c>
    </row>
    <row r="209" ht="15.75" customHeight="1">
      <c r="A209" s="90" t="str">
        <f>IF(CLIENTES!A5="","",CLIENTES!A5)</f>
        <v>Bravos</v>
      </c>
      <c r="B209" s="67" t="str">
        <f>TELAS!A7</f>
        <v>french terry 24/1</v>
      </c>
      <c r="C209" s="67" t="str">
        <f>COLORES!A9</f>
        <v>Melange</v>
      </c>
      <c r="D209" s="67" t="str">
        <f>COLORES!B9</f>
        <v>MELANGE</v>
      </c>
      <c r="E209" s="100">
        <f>IFERROR(SUMIFS(MOVIMIENTOS!$F$4:$F$1000,MOVIMIENTOS!$C$4:$C$1000,A209,MOVIMIENTOS!$D$4:$D$1000,B209,MOVIMIENTOS!$E$4:$E$1000,C209,MOVIMIENTOS!$B$4:$B$1000,"INGRESO")+SUMIFS(MOVIMIENTOS!$F$4:$F$1000,MOVIMIENTOS!$C$4:$C$1000,A209,MOVIMIENTOS!$D$4:$D$1000,B209,MOVIMIENTOS!$E$4:$E$1000,C209,MOVIMIENTOS!$B$4:$B$1000,"DE REPROCESO")+SUMIFS(MOVIMIENTOS!$F$4:$F$1000,MOVIMIENTOS!$C$4:$C$1000,A209,MOVIMIENTOS!$D$4:$D$1000,B209,MOVIMIENTOS!$E$4:$E$1000,C209,MOVIMIENTOS!$B$4:$B$1000,"AJUSTE+")-SUMIFS(MOVIMIENTOS!$F$4:$F$1000,MOVIMIENTOS!$C$4:$C$1000,A209,MOVIMIENTOS!$D$4:$D$1000,B209,MOVIMIENTOS!$E$4:$E$1000,C209,MOVIMIENTOS!$B$4:$B$1000,"A CORTE")-SUMIFS(MOVIMIENTOS!$F$4:$F$1000,MOVIMIENTOS!$C$4:$C$1000,A209,MOVIMIENTOS!$D$4:$D$1000,B209,MOVIMIENTOS!$E$4:$E$1000,C209,MOVIMIENTOS!$B$4:$B$1000,"A REPROCESO")-SUMIFS(MOVIMIENTOS!$F$4:$F$1000,MOVIMIENTOS!$C$4:$C$1000,A209,MOVIMIENTOS!$D$4:$D$1000,B209,MOVIMIENTOS!$E$4:$E$1000,C209,MOVIMIENTOS!$B$4:$B$1000,"MUESTRA")-SUMIFS(MOVIMIENTOS!$F$4:$F$1000,MOVIMIENTOS!$C$4:$C$1000,A209,MOVIMIENTOS!$D$4:$D$1000,B209,MOVIMIENTOS!$E$4:$E$1000,C209,MOVIMIENTOS!$B$4:$B$1000,"AJUSTE-"),0)</f>
        <v>0</v>
      </c>
      <c r="F209" s="101">
        <f>IFERROR(E209*VLOOKUP(B209,TELAS!$A$4:$C$32,3,FALSE()),0)</f>
        <v>0</v>
      </c>
      <c r="G209" s="102">
        <f>IFERROR(IF(D209="OSCURO",VLOOKUP(B209,PRECIOS!$A$4:$F$32,2,FALSE()),IF(D209="CLARO",VLOOKUP(B209,PRECIOS!$A$4:$F$32,3,FALSE()),IF(D209="MELANGE",VLOOKUP(B209,PRECIOS!$A$4:$F$32,4,FALSE()),IF(D209="PPT",VLOOKUP(B209,PRECIOS!$A$4:$F$32,5,FALSE()),0)))),0)</f>
        <v>18</v>
      </c>
      <c r="H209" s="103">
        <f t="shared" si="1"/>
        <v>0</v>
      </c>
      <c r="I209" s="104" t="str">
        <f>IF(E209&lt;0,"ERROR",IF(E209=0,"",IF(E209&lt;CONFIG!$B$4,"CRÍTICO",IF(E209&lt;CONFIG!$B$5,"BAJO","OK"))))</f>
        <v/>
      </c>
    </row>
    <row r="210" ht="15.75" customHeight="1">
      <c r="A210" s="90" t="str">
        <f>IF(CLIENTES!A5="","",CLIENTES!A5)</f>
        <v>Bravos</v>
      </c>
      <c r="B210" s="67" t="str">
        <f>TELAS!A7</f>
        <v>french terry 24/1</v>
      </c>
      <c r="C210" s="67" t="str">
        <f>COLORES!A10</f>
        <v>Botella</v>
      </c>
      <c r="D210" s="67" t="str">
        <f>COLORES!B10</f>
        <v>OSCURO</v>
      </c>
      <c r="E210" s="100">
        <f>IFERROR(SUMIFS(MOVIMIENTOS!$F$4:$F$1000,MOVIMIENTOS!$C$4:$C$1000,A210,MOVIMIENTOS!$D$4:$D$1000,B210,MOVIMIENTOS!$E$4:$E$1000,C210,MOVIMIENTOS!$B$4:$B$1000,"INGRESO")+SUMIFS(MOVIMIENTOS!$F$4:$F$1000,MOVIMIENTOS!$C$4:$C$1000,A210,MOVIMIENTOS!$D$4:$D$1000,B210,MOVIMIENTOS!$E$4:$E$1000,C210,MOVIMIENTOS!$B$4:$B$1000,"DE REPROCESO")+SUMIFS(MOVIMIENTOS!$F$4:$F$1000,MOVIMIENTOS!$C$4:$C$1000,A210,MOVIMIENTOS!$D$4:$D$1000,B210,MOVIMIENTOS!$E$4:$E$1000,C210,MOVIMIENTOS!$B$4:$B$1000,"AJUSTE+")-SUMIFS(MOVIMIENTOS!$F$4:$F$1000,MOVIMIENTOS!$C$4:$C$1000,A210,MOVIMIENTOS!$D$4:$D$1000,B210,MOVIMIENTOS!$E$4:$E$1000,C210,MOVIMIENTOS!$B$4:$B$1000,"A CORTE")-SUMIFS(MOVIMIENTOS!$F$4:$F$1000,MOVIMIENTOS!$C$4:$C$1000,A210,MOVIMIENTOS!$D$4:$D$1000,B210,MOVIMIENTOS!$E$4:$E$1000,C210,MOVIMIENTOS!$B$4:$B$1000,"A REPROCESO")-SUMIFS(MOVIMIENTOS!$F$4:$F$1000,MOVIMIENTOS!$C$4:$C$1000,A210,MOVIMIENTOS!$D$4:$D$1000,B210,MOVIMIENTOS!$E$4:$E$1000,C210,MOVIMIENTOS!$B$4:$B$1000,"MUESTRA")-SUMIFS(MOVIMIENTOS!$F$4:$F$1000,MOVIMIENTOS!$C$4:$C$1000,A210,MOVIMIENTOS!$D$4:$D$1000,B210,MOVIMIENTOS!$E$4:$E$1000,C210,MOVIMIENTOS!$B$4:$B$1000,"AJUSTE-"),0)</f>
        <v>0</v>
      </c>
      <c r="F210" s="101">
        <f>IFERROR(E210*VLOOKUP(B210,TELAS!$A$4:$C$32,3,FALSE()),0)</f>
        <v>0</v>
      </c>
      <c r="G210" s="102">
        <f>IFERROR(IF(D210="OSCURO",VLOOKUP(B210,PRECIOS!$A$4:$F$32,2,FALSE()),IF(D210="CLARO",VLOOKUP(B210,PRECIOS!$A$4:$F$32,3,FALSE()),IF(D210="MELANGE",VLOOKUP(B210,PRECIOS!$A$4:$F$32,4,FALSE()),IF(D210="PPT",VLOOKUP(B210,PRECIOS!$A$4:$F$32,5,FALSE()),0)))),0)</f>
        <v>24</v>
      </c>
      <c r="H210" s="103">
        <f t="shared" si="1"/>
        <v>0</v>
      </c>
      <c r="I210" s="104" t="str">
        <f>IF(E210&lt;0,"ERROR",IF(E210=0,"",IF(E210&lt;CONFIG!$B$4,"CRÍTICO",IF(E210&lt;CONFIG!$B$5,"BAJO","OK"))))</f>
        <v/>
      </c>
    </row>
    <row r="211" ht="15.75" customHeight="1">
      <c r="A211" s="90" t="str">
        <f>IF(CLIENTES!A5="","",CLIENTES!A5)</f>
        <v>Bravos</v>
      </c>
      <c r="B211" s="67" t="str">
        <f>TELAS!A7</f>
        <v>french terry 24/1</v>
      </c>
      <c r="C211" s="67" t="str">
        <f>COLORES!A11</f>
        <v>Pacay</v>
      </c>
      <c r="D211" s="67" t="str">
        <f>COLORES!B11</f>
        <v>CLARO</v>
      </c>
      <c r="E211" s="100">
        <f>IFERROR(SUMIFS(MOVIMIENTOS!$F$4:$F$1000,MOVIMIENTOS!$C$4:$C$1000,A211,MOVIMIENTOS!$D$4:$D$1000,B211,MOVIMIENTOS!$E$4:$E$1000,C211,MOVIMIENTOS!$B$4:$B$1000,"INGRESO")+SUMIFS(MOVIMIENTOS!$F$4:$F$1000,MOVIMIENTOS!$C$4:$C$1000,A211,MOVIMIENTOS!$D$4:$D$1000,B211,MOVIMIENTOS!$E$4:$E$1000,C211,MOVIMIENTOS!$B$4:$B$1000,"DE REPROCESO")+SUMIFS(MOVIMIENTOS!$F$4:$F$1000,MOVIMIENTOS!$C$4:$C$1000,A211,MOVIMIENTOS!$D$4:$D$1000,B211,MOVIMIENTOS!$E$4:$E$1000,C211,MOVIMIENTOS!$B$4:$B$1000,"AJUSTE+")-SUMIFS(MOVIMIENTOS!$F$4:$F$1000,MOVIMIENTOS!$C$4:$C$1000,A211,MOVIMIENTOS!$D$4:$D$1000,B211,MOVIMIENTOS!$E$4:$E$1000,C211,MOVIMIENTOS!$B$4:$B$1000,"A CORTE")-SUMIFS(MOVIMIENTOS!$F$4:$F$1000,MOVIMIENTOS!$C$4:$C$1000,A211,MOVIMIENTOS!$D$4:$D$1000,B211,MOVIMIENTOS!$E$4:$E$1000,C211,MOVIMIENTOS!$B$4:$B$1000,"A REPROCESO")-SUMIFS(MOVIMIENTOS!$F$4:$F$1000,MOVIMIENTOS!$C$4:$C$1000,A211,MOVIMIENTOS!$D$4:$D$1000,B211,MOVIMIENTOS!$E$4:$E$1000,C211,MOVIMIENTOS!$B$4:$B$1000,"MUESTRA")-SUMIFS(MOVIMIENTOS!$F$4:$F$1000,MOVIMIENTOS!$C$4:$C$1000,A211,MOVIMIENTOS!$D$4:$D$1000,B211,MOVIMIENTOS!$E$4:$E$1000,C211,MOVIMIENTOS!$B$4:$B$1000,"AJUSTE-"),0)</f>
        <v>0</v>
      </c>
      <c r="F211" s="101">
        <f>IFERROR(E211*VLOOKUP(B211,TELAS!$A$4:$C$32,3,FALSE()),0)</f>
        <v>0</v>
      </c>
      <c r="G211" s="102">
        <f>IFERROR(IF(D211="OSCURO",VLOOKUP(B211,PRECIOS!$A$4:$F$32,2,FALSE()),IF(D211="CLARO",VLOOKUP(B211,PRECIOS!$A$4:$F$32,3,FALSE()),IF(D211="MELANGE",VLOOKUP(B211,PRECIOS!$A$4:$F$32,4,FALSE()),IF(D211="PPT",VLOOKUP(B211,PRECIOS!$A$4:$F$32,5,FALSE()),0)))),0)</f>
        <v>21</v>
      </c>
      <c r="H211" s="103">
        <f t="shared" si="1"/>
        <v>0</v>
      </c>
      <c r="I211" s="104" t="str">
        <f>IF(E211&lt;0,"ERROR",IF(E211=0,"",IF(E211&lt;CONFIG!$B$4,"CRÍTICO",IF(E211&lt;CONFIG!$B$5,"BAJO","OK"))))</f>
        <v/>
      </c>
    </row>
    <row r="212" ht="15.75" customHeight="1">
      <c r="A212" s="90" t="str">
        <f>IF(CLIENTES!A5="","",CLIENTES!A5)</f>
        <v>Bravos</v>
      </c>
      <c r="B212" s="67" t="str">
        <f>TELAS!A7</f>
        <v>french terry 24/1</v>
      </c>
      <c r="C212" s="67" t="str">
        <f>COLORES!A12</f>
        <v>Cemento</v>
      </c>
      <c r="D212" s="67" t="str">
        <f>COLORES!B12</f>
        <v>CLARO</v>
      </c>
      <c r="E212" s="100">
        <f>IFERROR(SUMIFS(MOVIMIENTOS!$F$4:$F$1000,MOVIMIENTOS!$C$4:$C$1000,A212,MOVIMIENTOS!$D$4:$D$1000,B212,MOVIMIENTOS!$E$4:$E$1000,C212,MOVIMIENTOS!$B$4:$B$1000,"INGRESO")+SUMIFS(MOVIMIENTOS!$F$4:$F$1000,MOVIMIENTOS!$C$4:$C$1000,A212,MOVIMIENTOS!$D$4:$D$1000,B212,MOVIMIENTOS!$E$4:$E$1000,C212,MOVIMIENTOS!$B$4:$B$1000,"DE REPROCESO")+SUMIFS(MOVIMIENTOS!$F$4:$F$1000,MOVIMIENTOS!$C$4:$C$1000,A212,MOVIMIENTOS!$D$4:$D$1000,B212,MOVIMIENTOS!$E$4:$E$1000,C212,MOVIMIENTOS!$B$4:$B$1000,"AJUSTE+")-SUMIFS(MOVIMIENTOS!$F$4:$F$1000,MOVIMIENTOS!$C$4:$C$1000,A212,MOVIMIENTOS!$D$4:$D$1000,B212,MOVIMIENTOS!$E$4:$E$1000,C212,MOVIMIENTOS!$B$4:$B$1000,"A CORTE")-SUMIFS(MOVIMIENTOS!$F$4:$F$1000,MOVIMIENTOS!$C$4:$C$1000,A212,MOVIMIENTOS!$D$4:$D$1000,B212,MOVIMIENTOS!$E$4:$E$1000,C212,MOVIMIENTOS!$B$4:$B$1000,"A REPROCESO")-SUMIFS(MOVIMIENTOS!$F$4:$F$1000,MOVIMIENTOS!$C$4:$C$1000,A212,MOVIMIENTOS!$D$4:$D$1000,B212,MOVIMIENTOS!$E$4:$E$1000,C212,MOVIMIENTOS!$B$4:$B$1000,"MUESTRA")-SUMIFS(MOVIMIENTOS!$F$4:$F$1000,MOVIMIENTOS!$C$4:$C$1000,A212,MOVIMIENTOS!$D$4:$D$1000,B212,MOVIMIENTOS!$E$4:$E$1000,C212,MOVIMIENTOS!$B$4:$B$1000,"AJUSTE-"),0)</f>
        <v>0</v>
      </c>
      <c r="F212" s="101">
        <f>IFERROR(E212*VLOOKUP(B212,TELAS!$A$4:$C$32,3,FALSE()),0)</f>
        <v>0</v>
      </c>
      <c r="G212" s="102">
        <f>IFERROR(IF(D212="OSCURO",VLOOKUP(B212,PRECIOS!$A$4:$F$32,2,FALSE()),IF(D212="CLARO",VLOOKUP(B212,PRECIOS!$A$4:$F$32,3,FALSE()),IF(D212="MELANGE",VLOOKUP(B212,PRECIOS!$A$4:$F$32,4,FALSE()),IF(D212="PPT",VLOOKUP(B212,PRECIOS!$A$4:$F$32,5,FALSE()),0)))),0)</f>
        <v>21</v>
      </c>
      <c r="H212" s="103">
        <f t="shared" si="1"/>
        <v>0</v>
      </c>
      <c r="I212" s="104" t="str">
        <f>IF(E212&lt;0,"ERROR",IF(E212=0,"",IF(E212&lt;CONFIG!$B$4,"CRÍTICO",IF(E212&lt;CONFIG!$B$5,"BAJO","OK"))))</f>
        <v/>
      </c>
    </row>
    <row r="213" ht="15.75" customHeight="1">
      <c r="A213" s="90" t="str">
        <f>IF(CLIENTES!A5="","",CLIENTES!A5)</f>
        <v>Bravos</v>
      </c>
      <c r="B213" s="67" t="str">
        <f>TELAS!A7</f>
        <v>french terry 24/1</v>
      </c>
      <c r="C213" s="67" t="str">
        <f>COLORES!A13</f>
        <v>Camote</v>
      </c>
      <c r="D213" s="67" t="str">
        <f>COLORES!B13</f>
        <v>CLARO</v>
      </c>
      <c r="E213" s="100">
        <f>IFERROR(SUMIFS(MOVIMIENTOS!$F$4:$F$1000,MOVIMIENTOS!$C$4:$C$1000,A213,MOVIMIENTOS!$D$4:$D$1000,B213,MOVIMIENTOS!$E$4:$E$1000,C213,MOVIMIENTOS!$B$4:$B$1000,"INGRESO")+SUMIFS(MOVIMIENTOS!$F$4:$F$1000,MOVIMIENTOS!$C$4:$C$1000,A213,MOVIMIENTOS!$D$4:$D$1000,B213,MOVIMIENTOS!$E$4:$E$1000,C213,MOVIMIENTOS!$B$4:$B$1000,"DE REPROCESO")+SUMIFS(MOVIMIENTOS!$F$4:$F$1000,MOVIMIENTOS!$C$4:$C$1000,A213,MOVIMIENTOS!$D$4:$D$1000,B213,MOVIMIENTOS!$E$4:$E$1000,C213,MOVIMIENTOS!$B$4:$B$1000,"AJUSTE+")-SUMIFS(MOVIMIENTOS!$F$4:$F$1000,MOVIMIENTOS!$C$4:$C$1000,A213,MOVIMIENTOS!$D$4:$D$1000,B213,MOVIMIENTOS!$E$4:$E$1000,C213,MOVIMIENTOS!$B$4:$B$1000,"A CORTE")-SUMIFS(MOVIMIENTOS!$F$4:$F$1000,MOVIMIENTOS!$C$4:$C$1000,A213,MOVIMIENTOS!$D$4:$D$1000,B213,MOVIMIENTOS!$E$4:$E$1000,C213,MOVIMIENTOS!$B$4:$B$1000,"A REPROCESO")-SUMIFS(MOVIMIENTOS!$F$4:$F$1000,MOVIMIENTOS!$C$4:$C$1000,A213,MOVIMIENTOS!$D$4:$D$1000,B213,MOVIMIENTOS!$E$4:$E$1000,C213,MOVIMIENTOS!$B$4:$B$1000,"MUESTRA")-SUMIFS(MOVIMIENTOS!$F$4:$F$1000,MOVIMIENTOS!$C$4:$C$1000,A213,MOVIMIENTOS!$D$4:$D$1000,B213,MOVIMIENTOS!$E$4:$E$1000,C213,MOVIMIENTOS!$B$4:$B$1000,"AJUSTE-"),0)</f>
        <v>0</v>
      </c>
      <c r="F213" s="101">
        <f>IFERROR(E213*VLOOKUP(B213,TELAS!$A$4:$C$32,3,FALSE()),0)</f>
        <v>0</v>
      </c>
      <c r="G213" s="102">
        <f>IFERROR(IF(D213="OSCURO",VLOOKUP(B213,PRECIOS!$A$4:$F$32,2,FALSE()),IF(D213="CLARO",VLOOKUP(B213,PRECIOS!$A$4:$F$32,3,FALSE()),IF(D213="MELANGE",VLOOKUP(B213,PRECIOS!$A$4:$F$32,4,FALSE()),IF(D213="PPT",VLOOKUP(B213,PRECIOS!$A$4:$F$32,5,FALSE()),0)))),0)</f>
        <v>21</v>
      </c>
      <c r="H213" s="103">
        <f t="shared" si="1"/>
        <v>0</v>
      </c>
      <c r="I213" s="104" t="str">
        <f>IF(E213&lt;0,"ERROR",IF(E213=0,"",IF(E213&lt;CONFIG!$B$4,"CRÍTICO",IF(E213&lt;CONFIG!$B$5,"BAJO","OK"))))</f>
        <v/>
      </c>
    </row>
    <row r="214" ht="15.75" customHeight="1">
      <c r="A214" s="90" t="str">
        <f>IF(CLIENTES!A5="","",CLIENTES!A5)</f>
        <v>Bravos</v>
      </c>
      <c r="B214" s="67" t="str">
        <f>TELAS!A7</f>
        <v>french terry 24/1</v>
      </c>
      <c r="C214" s="67" t="str">
        <f>COLORES!A14</f>
        <v>Denim</v>
      </c>
      <c r="D214" s="67" t="str">
        <f>COLORES!B14</f>
        <v>CLARO</v>
      </c>
      <c r="E214" s="100">
        <f>IFERROR(SUMIFS(MOVIMIENTOS!$F$4:$F$1000,MOVIMIENTOS!$C$4:$C$1000,A214,MOVIMIENTOS!$D$4:$D$1000,B214,MOVIMIENTOS!$E$4:$E$1000,C214,MOVIMIENTOS!$B$4:$B$1000,"INGRESO")+SUMIFS(MOVIMIENTOS!$F$4:$F$1000,MOVIMIENTOS!$C$4:$C$1000,A214,MOVIMIENTOS!$D$4:$D$1000,B214,MOVIMIENTOS!$E$4:$E$1000,C214,MOVIMIENTOS!$B$4:$B$1000,"DE REPROCESO")+SUMIFS(MOVIMIENTOS!$F$4:$F$1000,MOVIMIENTOS!$C$4:$C$1000,A214,MOVIMIENTOS!$D$4:$D$1000,B214,MOVIMIENTOS!$E$4:$E$1000,C214,MOVIMIENTOS!$B$4:$B$1000,"AJUSTE+")-SUMIFS(MOVIMIENTOS!$F$4:$F$1000,MOVIMIENTOS!$C$4:$C$1000,A214,MOVIMIENTOS!$D$4:$D$1000,B214,MOVIMIENTOS!$E$4:$E$1000,C214,MOVIMIENTOS!$B$4:$B$1000,"A CORTE")-SUMIFS(MOVIMIENTOS!$F$4:$F$1000,MOVIMIENTOS!$C$4:$C$1000,A214,MOVIMIENTOS!$D$4:$D$1000,B214,MOVIMIENTOS!$E$4:$E$1000,C214,MOVIMIENTOS!$B$4:$B$1000,"A REPROCESO")-SUMIFS(MOVIMIENTOS!$F$4:$F$1000,MOVIMIENTOS!$C$4:$C$1000,A214,MOVIMIENTOS!$D$4:$D$1000,B214,MOVIMIENTOS!$E$4:$E$1000,C214,MOVIMIENTOS!$B$4:$B$1000,"MUESTRA")-SUMIFS(MOVIMIENTOS!$F$4:$F$1000,MOVIMIENTOS!$C$4:$C$1000,A214,MOVIMIENTOS!$D$4:$D$1000,B214,MOVIMIENTOS!$E$4:$E$1000,C214,MOVIMIENTOS!$B$4:$B$1000,"AJUSTE-"),0)</f>
        <v>0</v>
      </c>
      <c r="F214" s="101">
        <f>IFERROR(E214*VLOOKUP(B214,TELAS!$A$4:$C$32,3,FALSE()),0)</f>
        <v>0</v>
      </c>
      <c r="G214" s="102">
        <f>IFERROR(IF(D214="OSCURO",VLOOKUP(B214,PRECIOS!$A$4:$F$32,2,FALSE()),IF(D214="CLARO",VLOOKUP(B214,PRECIOS!$A$4:$F$32,3,FALSE()),IF(D214="MELANGE",VLOOKUP(B214,PRECIOS!$A$4:$F$32,4,FALSE()),IF(D214="PPT",VLOOKUP(B214,PRECIOS!$A$4:$F$32,5,FALSE()),0)))),0)</f>
        <v>21</v>
      </c>
      <c r="H214" s="103">
        <f t="shared" si="1"/>
        <v>0</v>
      </c>
      <c r="I214" s="104" t="str">
        <f>IF(E214&lt;0,"ERROR",IF(E214=0,"",IF(E214&lt;CONFIG!$B$4,"CRÍTICO",IF(E214&lt;CONFIG!$B$5,"BAJO","OK"))))</f>
        <v/>
      </c>
    </row>
    <row r="215" ht="15.75" customHeight="1">
      <c r="A215" s="90" t="str">
        <f>IF(CLIENTES!A5="","",CLIENTES!A5)</f>
        <v>Bravos</v>
      </c>
      <c r="B215" s="67" t="str">
        <f>TELAS!A7</f>
        <v>french terry 24/1</v>
      </c>
      <c r="C215" s="67" t="str">
        <f>COLORES!A15</f>
        <v>Plomo</v>
      </c>
      <c r="D215" s="67" t="str">
        <f>COLORES!B15</f>
        <v>OSCURO</v>
      </c>
      <c r="E215" s="100">
        <f>IFERROR(SUMIFS(MOVIMIENTOS!$F$4:$F$1000,MOVIMIENTOS!$C$4:$C$1000,A215,MOVIMIENTOS!$D$4:$D$1000,B215,MOVIMIENTOS!$E$4:$E$1000,C215,MOVIMIENTOS!$B$4:$B$1000,"INGRESO")+SUMIFS(MOVIMIENTOS!$F$4:$F$1000,MOVIMIENTOS!$C$4:$C$1000,A215,MOVIMIENTOS!$D$4:$D$1000,B215,MOVIMIENTOS!$E$4:$E$1000,C215,MOVIMIENTOS!$B$4:$B$1000,"DE REPROCESO")+SUMIFS(MOVIMIENTOS!$F$4:$F$1000,MOVIMIENTOS!$C$4:$C$1000,A215,MOVIMIENTOS!$D$4:$D$1000,B215,MOVIMIENTOS!$E$4:$E$1000,C215,MOVIMIENTOS!$B$4:$B$1000,"AJUSTE+")-SUMIFS(MOVIMIENTOS!$F$4:$F$1000,MOVIMIENTOS!$C$4:$C$1000,A215,MOVIMIENTOS!$D$4:$D$1000,B215,MOVIMIENTOS!$E$4:$E$1000,C215,MOVIMIENTOS!$B$4:$B$1000,"A CORTE")-SUMIFS(MOVIMIENTOS!$F$4:$F$1000,MOVIMIENTOS!$C$4:$C$1000,A215,MOVIMIENTOS!$D$4:$D$1000,B215,MOVIMIENTOS!$E$4:$E$1000,C215,MOVIMIENTOS!$B$4:$B$1000,"A REPROCESO")-SUMIFS(MOVIMIENTOS!$F$4:$F$1000,MOVIMIENTOS!$C$4:$C$1000,A215,MOVIMIENTOS!$D$4:$D$1000,B215,MOVIMIENTOS!$E$4:$E$1000,C215,MOVIMIENTOS!$B$4:$B$1000,"MUESTRA")-SUMIFS(MOVIMIENTOS!$F$4:$F$1000,MOVIMIENTOS!$C$4:$C$1000,A215,MOVIMIENTOS!$D$4:$D$1000,B215,MOVIMIENTOS!$E$4:$E$1000,C215,MOVIMIENTOS!$B$4:$B$1000,"AJUSTE-"),0)</f>
        <v>0</v>
      </c>
      <c r="F215" s="101">
        <f>IFERROR(E215*VLOOKUP(B215,TELAS!$A$4:$C$32,3,FALSE()),0)</f>
        <v>0</v>
      </c>
      <c r="G215" s="102">
        <f>IFERROR(IF(D215="OSCURO",VLOOKUP(B215,PRECIOS!$A$4:$F$32,2,FALSE()),IF(D215="CLARO",VLOOKUP(B215,PRECIOS!$A$4:$F$32,3,FALSE()),IF(D215="MELANGE",VLOOKUP(B215,PRECIOS!$A$4:$F$32,4,FALSE()),IF(D215="PPT",VLOOKUP(B215,PRECIOS!$A$4:$F$32,5,FALSE()),0)))),0)</f>
        <v>24</v>
      </c>
      <c r="H215" s="103">
        <f t="shared" si="1"/>
        <v>0</v>
      </c>
      <c r="I215" s="104" t="str">
        <f>IF(E215&lt;0,"ERROR",IF(E215=0,"",IF(E215&lt;CONFIG!$B$4,"CRÍTICO",IF(E215&lt;CONFIG!$B$5,"BAJO","OK"))))</f>
        <v/>
      </c>
    </row>
    <row r="216" ht="15.75" customHeight="1">
      <c r="A216" s="90" t="str">
        <f>IF(CLIENTES!A5="","",CLIENTES!A5)</f>
        <v>Bravos</v>
      </c>
      <c r="B216" s="67" t="str">
        <f>TELAS!A7</f>
        <v>french terry 24/1</v>
      </c>
      <c r="C216" s="67" t="str">
        <f>COLORES!A16</f>
        <v>Topo</v>
      </c>
      <c r="D216" s="67" t="str">
        <f>COLORES!B16</f>
        <v>CLARO</v>
      </c>
      <c r="E216" s="100">
        <f>IFERROR(SUMIFS(MOVIMIENTOS!$F$4:$F$1000,MOVIMIENTOS!$C$4:$C$1000,A216,MOVIMIENTOS!$D$4:$D$1000,B216,MOVIMIENTOS!$E$4:$E$1000,C216,MOVIMIENTOS!$B$4:$B$1000,"INGRESO")+SUMIFS(MOVIMIENTOS!$F$4:$F$1000,MOVIMIENTOS!$C$4:$C$1000,A216,MOVIMIENTOS!$D$4:$D$1000,B216,MOVIMIENTOS!$E$4:$E$1000,C216,MOVIMIENTOS!$B$4:$B$1000,"DE REPROCESO")+SUMIFS(MOVIMIENTOS!$F$4:$F$1000,MOVIMIENTOS!$C$4:$C$1000,A216,MOVIMIENTOS!$D$4:$D$1000,B216,MOVIMIENTOS!$E$4:$E$1000,C216,MOVIMIENTOS!$B$4:$B$1000,"AJUSTE+")-SUMIFS(MOVIMIENTOS!$F$4:$F$1000,MOVIMIENTOS!$C$4:$C$1000,A216,MOVIMIENTOS!$D$4:$D$1000,B216,MOVIMIENTOS!$E$4:$E$1000,C216,MOVIMIENTOS!$B$4:$B$1000,"A CORTE")-SUMIFS(MOVIMIENTOS!$F$4:$F$1000,MOVIMIENTOS!$C$4:$C$1000,A216,MOVIMIENTOS!$D$4:$D$1000,B216,MOVIMIENTOS!$E$4:$E$1000,C216,MOVIMIENTOS!$B$4:$B$1000,"A REPROCESO")-SUMIFS(MOVIMIENTOS!$F$4:$F$1000,MOVIMIENTOS!$C$4:$C$1000,A216,MOVIMIENTOS!$D$4:$D$1000,B216,MOVIMIENTOS!$E$4:$E$1000,C216,MOVIMIENTOS!$B$4:$B$1000,"MUESTRA")-SUMIFS(MOVIMIENTOS!$F$4:$F$1000,MOVIMIENTOS!$C$4:$C$1000,A216,MOVIMIENTOS!$D$4:$D$1000,B216,MOVIMIENTOS!$E$4:$E$1000,C216,MOVIMIENTOS!$B$4:$B$1000,"AJUSTE-"),0)</f>
        <v>0</v>
      </c>
      <c r="F216" s="101">
        <f>IFERROR(E216*VLOOKUP(B216,TELAS!$A$4:$C$32,3,FALSE()),0)</f>
        <v>0</v>
      </c>
      <c r="G216" s="102">
        <f>IFERROR(IF(D216="OSCURO",VLOOKUP(B216,PRECIOS!$A$4:$F$32,2,FALSE()),IF(D216="CLARO",VLOOKUP(B216,PRECIOS!$A$4:$F$32,3,FALSE()),IF(D216="MELANGE",VLOOKUP(B216,PRECIOS!$A$4:$F$32,4,FALSE()),IF(D216="PPT",VLOOKUP(B216,PRECIOS!$A$4:$F$32,5,FALSE()),0)))),0)</f>
        <v>21</v>
      </c>
      <c r="H216" s="103">
        <f t="shared" si="1"/>
        <v>0</v>
      </c>
      <c r="I216" s="104" t="str">
        <f>IF(E216&lt;0,"ERROR",IF(E216=0,"",IF(E216&lt;CONFIG!$B$4,"CRÍTICO",IF(E216&lt;CONFIG!$B$5,"BAJO","OK"))))</f>
        <v/>
      </c>
    </row>
    <row r="217" ht="15.75" customHeight="1">
      <c r="A217" s="90" t="str">
        <f>IF(CLIENTES!A5="","",CLIENTES!A5)</f>
        <v>Bravos</v>
      </c>
      <c r="B217" s="67" t="str">
        <f>TELAS!A7</f>
        <v>french terry 24/1</v>
      </c>
      <c r="C217" s="67" t="str">
        <f>COLORES!A17</f>
        <v>Vino</v>
      </c>
      <c r="D217" s="67" t="str">
        <f>COLORES!B17</f>
        <v>OSCURO</v>
      </c>
      <c r="E217" s="100">
        <f>IFERROR(SUMIFS(MOVIMIENTOS!$F$4:$F$1000,MOVIMIENTOS!$C$4:$C$1000,A217,MOVIMIENTOS!$D$4:$D$1000,B217,MOVIMIENTOS!$E$4:$E$1000,C217,MOVIMIENTOS!$B$4:$B$1000,"INGRESO")+SUMIFS(MOVIMIENTOS!$F$4:$F$1000,MOVIMIENTOS!$C$4:$C$1000,A217,MOVIMIENTOS!$D$4:$D$1000,B217,MOVIMIENTOS!$E$4:$E$1000,C217,MOVIMIENTOS!$B$4:$B$1000,"DE REPROCESO")+SUMIFS(MOVIMIENTOS!$F$4:$F$1000,MOVIMIENTOS!$C$4:$C$1000,A217,MOVIMIENTOS!$D$4:$D$1000,B217,MOVIMIENTOS!$E$4:$E$1000,C217,MOVIMIENTOS!$B$4:$B$1000,"AJUSTE+")-SUMIFS(MOVIMIENTOS!$F$4:$F$1000,MOVIMIENTOS!$C$4:$C$1000,A217,MOVIMIENTOS!$D$4:$D$1000,B217,MOVIMIENTOS!$E$4:$E$1000,C217,MOVIMIENTOS!$B$4:$B$1000,"A CORTE")-SUMIFS(MOVIMIENTOS!$F$4:$F$1000,MOVIMIENTOS!$C$4:$C$1000,A217,MOVIMIENTOS!$D$4:$D$1000,B217,MOVIMIENTOS!$E$4:$E$1000,C217,MOVIMIENTOS!$B$4:$B$1000,"A REPROCESO")-SUMIFS(MOVIMIENTOS!$F$4:$F$1000,MOVIMIENTOS!$C$4:$C$1000,A217,MOVIMIENTOS!$D$4:$D$1000,B217,MOVIMIENTOS!$E$4:$E$1000,C217,MOVIMIENTOS!$B$4:$B$1000,"MUESTRA")-SUMIFS(MOVIMIENTOS!$F$4:$F$1000,MOVIMIENTOS!$C$4:$C$1000,A217,MOVIMIENTOS!$D$4:$D$1000,B217,MOVIMIENTOS!$E$4:$E$1000,C217,MOVIMIENTOS!$B$4:$B$1000,"AJUSTE-"),0)</f>
        <v>0</v>
      </c>
      <c r="F217" s="101">
        <f>IFERROR(E217*VLOOKUP(B217,TELAS!$A$4:$C$32,3,FALSE()),0)</f>
        <v>0</v>
      </c>
      <c r="G217" s="102">
        <f>IFERROR(IF(D217="OSCURO",VLOOKUP(B217,PRECIOS!$A$4:$F$32,2,FALSE()),IF(D217="CLARO",VLOOKUP(B217,PRECIOS!$A$4:$F$32,3,FALSE()),IF(D217="MELANGE",VLOOKUP(B217,PRECIOS!$A$4:$F$32,4,FALSE()),IF(D217="PPT",VLOOKUP(B217,PRECIOS!$A$4:$F$32,5,FALSE()),0)))),0)</f>
        <v>24</v>
      </c>
      <c r="H217" s="103">
        <f t="shared" si="1"/>
        <v>0</v>
      </c>
      <c r="I217" s="104" t="str">
        <f>IF(E217&lt;0,"ERROR",IF(E217=0,"",IF(E217&lt;CONFIG!$B$4,"CRÍTICO",IF(E217&lt;CONFIG!$B$5,"BAJO","OK"))))</f>
        <v/>
      </c>
    </row>
    <row r="218" ht="15.75" customHeight="1">
      <c r="A218" s="90" t="str">
        <f>IF(CLIENTES!A5="","",CLIENTES!A5)</f>
        <v>Bravos</v>
      </c>
      <c r="B218" s="67" t="str">
        <f>TELAS!A7</f>
        <v>french terry 24/1</v>
      </c>
      <c r="C218" s="67" t="str">
        <f>COLORES!A18</f>
        <v>P. Rosa</v>
      </c>
      <c r="D218" s="67" t="str">
        <f>COLORES!B18</f>
        <v>CLARO</v>
      </c>
      <c r="E218" s="100">
        <f>IFERROR(SUMIFS(MOVIMIENTOS!$F$4:$F$1000,MOVIMIENTOS!$C$4:$C$1000,A218,MOVIMIENTOS!$D$4:$D$1000,B218,MOVIMIENTOS!$E$4:$E$1000,C218,MOVIMIENTOS!$B$4:$B$1000,"INGRESO")+SUMIFS(MOVIMIENTOS!$F$4:$F$1000,MOVIMIENTOS!$C$4:$C$1000,A218,MOVIMIENTOS!$D$4:$D$1000,B218,MOVIMIENTOS!$E$4:$E$1000,C218,MOVIMIENTOS!$B$4:$B$1000,"DE REPROCESO")+SUMIFS(MOVIMIENTOS!$F$4:$F$1000,MOVIMIENTOS!$C$4:$C$1000,A218,MOVIMIENTOS!$D$4:$D$1000,B218,MOVIMIENTOS!$E$4:$E$1000,C218,MOVIMIENTOS!$B$4:$B$1000,"AJUSTE+")-SUMIFS(MOVIMIENTOS!$F$4:$F$1000,MOVIMIENTOS!$C$4:$C$1000,A218,MOVIMIENTOS!$D$4:$D$1000,B218,MOVIMIENTOS!$E$4:$E$1000,C218,MOVIMIENTOS!$B$4:$B$1000,"A CORTE")-SUMIFS(MOVIMIENTOS!$F$4:$F$1000,MOVIMIENTOS!$C$4:$C$1000,A218,MOVIMIENTOS!$D$4:$D$1000,B218,MOVIMIENTOS!$E$4:$E$1000,C218,MOVIMIENTOS!$B$4:$B$1000,"A REPROCESO")-SUMIFS(MOVIMIENTOS!$F$4:$F$1000,MOVIMIENTOS!$C$4:$C$1000,A218,MOVIMIENTOS!$D$4:$D$1000,B218,MOVIMIENTOS!$E$4:$E$1000,C218,MOVIMIENTOS!$B$4:$B$1000,"MUESTRA")-SUMIFS(MOVIMIENTOS!$F$4:$F$1000,MOVIMIENTOS!$C$4:$C$1000,A218,MOVIMIENTOS!$D$4:$D$1000,B218,MOVIMIENTOS!$E$4:$E$1000,C218,MOVIMIENTOS!$B$4:$B$1000,"AJUSTE-"),0)</f>
        <v>0</v>
      </c>
      <c r="F218" s="101">
        <f>IFERROR(E218*VLOOKUP(B218,TELAS!$A$4:$C$32,3,FALSE()),0)</f>
        <v>0</v>
      </c>
      <c r="G218" s="102">
        <f>IFERROR(IF(D218="OSCURO",VLOOKUP(B218,PRECIOS!$A$4:$F$32,2,FALSE()),IF(D218="CLARO",VLOOKUP(B218,PRECIOS!$A$4:$F$32,3,FALSE()),IF(D218="MELANGE",VLOOKUP(B218,PRECIOS!$A$4:$F$32,4,FALSE()),IF(D218="PPT",VLOOKUP(B218,PRECIOS!$A$4:$F$32,5,FALSE()),0)))),0)</f>
        <v>21</v>
      </c>
      <c r="H218" s="103">
        <f t="shared" si="1"/>
        <v>0</v>
      </c>
      <c r="I218" s="104" t="str">
        <f>IF(E218&lt;0,"ERROR",IF(E218=0,"",IF(E218&lt;CONFIG!$B$4,"CRÍTICO",IF(E218&lt;CONFIG!$B$5,"BAJO","OK"))))</f>
        <v/>
      </c>
    </row>
    <row r="219" ht="15.75" customHeight="1">
      <c r="A219" s="90" t="str">
        <f>IF(CLIENTES!A5="","",CLIENTES!A5)</f>
        <v>Bravos</v>
      </c>
      <c r="B219" s="67" t="str">
        <f>TELAS!A7</f>
        <v>french terry 24/1</v>
      </c>
      <c r="C219" s="67" t="str">
        <f>COLORES!A19</f>
        <v/>
      </c>
      <c r="D219" s="67" t="str">
        <f>COLORES!B19</f>
        <v/>
      </c>
      <c r="E219" s="100">
        <f>IFERROR(SUMIFS(MOVIMIENTOS!$F$4:$F$1000,MOVIMIENTOS!$C$4:$C$1000,A219,MOVIMIENTOS!$D$4:$D$1000,B219,MOVIMIENTOS!$E$4:$E$1000,C219,MOVIMIENTOS!$B$4:$B$1000,"INGRESO")+SUMIFS(MOVIMIENTOS!$F$4:$F$1000,MOVIMIENTOS!$C$4:$C$1000,A219,MOVIMIENTOS!$D$4:$D$1000,B219,MOVIMIENTOS!$E$4:$E$1000,C219,MOVIMIENTOS!$B$4:$B$1000,"DE REPROCESO")+SUMIFS(MOVIMIENTOS!$F$4:$F$1000,MOVIMIENTOS!$C$4:$C$1000,A219,MOVIMIENTOS!$D$4:$D$1000,B219,MOVIMIENTOS!$E$4:$E$1000,C219,MOVIMIENTOS!$B$4:$B$1000,"AJUSTE+")-SUMIFS(MOVIMIENTOS!$F$4:$F$1000,MOVIMIENTOS!$C$4:$C$1000,A219,MOVIMIENTOS!$D$4:$D$1000,B219,MOVIMIENTOS!$E$4:$E$1000,C219,MOVIMIENTOS!$B$4:$B$1000,"A CORTE")-SUMIFS(MOVIMIENTOS!$F$4:$F$1000,MOVIMIENTOS!$C$4:$C$1000,A219,MOVIMIENTOS!$D$4:$D$1000,B219,MOVIMIENTOS!$E$4:$E$1000,C219,MOVIMIENTOS!$B$4:$B$1000,"A REPROCESO")-SUMIFS(MOVIMIENTOS!$F$4:$F$1000,MOVIMIENTOS!$C$4:$C$1000,A219,MOVIMIENTOS!$D$4:$D$1000,B219,MOVIMIENTOS!$E$4:$E$1000,C219,MOVIMIENTOS!$B$4:$B$1000,"MUESTRA")-SUMIFS(MOVIMIENTOS!$F$4:$F$1000,MOVIMIENTOS!$C$4:$C$1000,A219,MOVIMIENTOS!$D$4:$D$1000,B219,MOVIMIENTOS!$E$4:$E$1000,C219,MOVIMIENTOS!$B$4:$B$1000,"AJUSTE-"),0)</f>
        <v>0</v>
      </c>
      <c r="F219" s="101">
        <f>IFERROR(E219*VLOOKUP(B219,TELAS!$A$4:$C$32,3,FALSE()),0)</f>
        <v>0</v>
      </c>
      <c r="G219" s="102">
        <f>IFERROR(IF(D219="OSCURO",VLOOKUP(B219,PRECIOS!$A$4:$F$32,2,FALSE()),IF(D219="CLARO",VLOOKUP(B219,PRECIOS!$A$4:$F$32,3,FALSE()),IF(D219="MELANGE",VLOOKUP(B219,PRECIOS!$A$4:$F$32,4,FALSE()),IF(D219="PPT",VLOOKUP(B219,PRECIOS!$A$4:$F$32,5,FALSE()),0)))),0)</f>
        <v>0</v>
      </c>
      <c r="H219" s="103">
        <f t="shared" si="1"/>
        <v>0</v>
      </c>
      <c r="I219" s="104" t="str">
        <f>IF(E219&lt;0,"ERROR",IF(E219=0,"",IF(E219&lt;CONFIG!$B$4,"CRÍTICO",IF(E219&lt;CONFIG!$B$5,"BAJO","OK"))))</f>
        <v/>
      </c>
    </row>
    <row r="220" ht="15.75" customHeight="1">
      <c r="A220" s="90" t="str">
        <f>IF(CLIENTES!A5="","",CLIENTES!A5)</f>
        <v>Bravos</v>
      </c>
      <c r="B220" s="67" t="str">
        <f>TELAS!A7</f>
        <v>french terry 24/1</v>
      </c>
      <c r="C220" s="67" t="str">
        <f>COLORES!A20</f>
        <v/>
      </c>
      <c r="D220" s="67" t="str">
        <f>COLORES!B20</f>
        <v/>
      </c>
      <c r="E220" s="100">
        <f>IFERROR(SUMIFS(MOVIMIENTOS!$F$4:$F$1000,MOVIMIENTOS!$C$4:$C$1000,A220,MOVIMIENTOS!$D$4:$D$1000,B220,MOVIMIENTOS!$E$4:$E$1000,C220,MOVIMIENTOS!$B$4:$B$1000,"INGRESO")+SUMIFS(MOVIMIENTOS!$F$4:$F$1000,MOVIMIENTOS!$C$4:$C$1000,A220,MOVIMIENTOS!$D$4:$D$1000,B220,MOVIMIENTOS!$E$4:$E$1000,C220,MOVIMIENTOS!$B$4:$B$1000,"DE REPROCESO")+SUMIFS(MOVIMIENTOS!$F$4:$F$1000,MOVIMIENTOS!$C$4:$C$1000,A220,MOVIMIENTOS!$D$4:$D$1000,B220,MOVIMIENTOS!$E$4:$E$1000,C220,MOVIMIENTOS!$B$4:$B$1000,"AJUSTE+")-SUMIFS(MOVIMIENTOS!$F$4:$F$1000,MOVIMIENTOS!$C$4:$C$1000,A220,MOVIMIENTOS!$D$4:$D$1000,B220,MOVIMIENTOS!$E$4:$E$1000,C220,MOVIMIENTOS!$B$4:$B$1000,"A CORTE")-SUMIFS(MOVIMIENTOS!$F$4:$F$1000,MOVIMIENTOS!$C$4:$C$1000,A220,MOVIMIENTOS!$D$4:$D$1000,B220,MOVIMIENTOS!$E$4:$E$1000,C220,MOVIMIENTOS!$B$4:$B$1000,"A REPROCESO")-SUMIFS(MOVIMIENTOS!$F$4:$F$1000,MOVIMIENTOS!$C$4:$C$1000,A220,MOVIMIENTOS!$D$4:$D$1000,B220,MOVIMIENTOS!$E$4:$E$1000,C220,MOVIMIENTOS!$B$4:$B$1000,"MUESTRA")-SUMIFS(MOVIMIENTOS!$F$4:$F$1000,MOVIMIENTOS!$C$4:$C$1000,A220,MOVIMIENTOS!$D$4:$D$1000,B220,MOVIMIENTOS!$E$4:$E$1000,C220,MOVIMIENTOS!$B$4:$B$1000,"AJUSTE-"),0)</f>
        <v>0</v>
      </c>
      <c r="F220" s="101">
        <f>IFERROR(E220*VLOOKUP(B220,TELAS!$A$4:$C$32,3,FALSE()),0)</f>
        <v>0</v>
      </c>
      <c r="G220" s="102">
        <f>IFERROR(IF(D220="OSCURO",VLOOKUP(B220,PRECIOS!$A$4:$F$32,2,FALSE()),IF(D220="CLARO",VLOOKUP(B220,PRECIOS!$A$4:$F$32,3,FALSE()),IF(D220="MELANGE",VLOOKUP(B220,PRECIOS!$A$4:$F$32,4,FALSE()),IF(D220="PPT",VLOOKUP(B220,PRECIOS!$A$4:$F$32,5,FALSE()),0)))),0)</f>
        <v>0</v>
      </c>
      <c r="H220" s="103">
        <f t="shared" si="1"/>
        <v>0</v>
      </c>
      <c r="I220" s="104" t="str">
        <f>IF(E220&lt;0,"ERROR",IF(E220=0,"",IF(E220&lt;CONFIG!$B$4,"CRÍTICO",IF(E220&lt;CONFIG!$B$5,"BAJO","OK"))))</f>
        <v/>
      </c>
    </row>
    <row r="221" ht="15.75" customHeight="1">
      <c r="A221" s="90" t="str">
        <f>IF(CLIENTES!A5="","",CLIENTES!A5)</f>
        <v>Bravos</v>
      </c>
      <c r="B221" s="67" t="str">
        <f>TELAS!A7</f>
        <v>french terry 24/1</v>
      </c>
      <c r="C221" s="67" t="str">
        <f>COLORES!A21</f>
        <v/>
      </c>
      <c r="D221" s="67" t="str">
        <f>COLORES!B21</f>
        <v/>
      </c>
      <c r="E221" s="100">
        <f>IFERROR(SUMIFS(MOVIMIENTOS!$F$4:$F$1000,MOVIMIENTOS!$C$4:$C$1000,A221,MOVIMIENTOS!$D$4:$D$1000,B221,MOVIMIENTOS!$E$4:$E$1000,C221,MOVIMIENTOS!$B$4:$B$1000,"INGRESO")+SUMIFS(MOVIMIENTOS!$F$4:$F$1000,MOVIMIENTOS!$C$4:$C$1000,A221,MOVIMIENTOS!$D$4:$D$1000,B221,MOVIMIENTOS!$E$4:$E$1000,C221,MOVIMIENTOS!$B$4:$B$1000,"DE REPROCESO")+SUMIFS(MOVIMIENTOS!$F$4:$F$1000,MOVIMIENTOS!$C$4:$C$1000,A221,MOVIMIENTOS!$D$4:$D$1000,B221,MOVIMIENTOS!$E$4:$E$1000,C221,MOVIMIENTOS!$B$4:$B$1000,"AJUSTE+")-SUMIFS(MOVIMIENTOS!$F$4:$F$1000,MOVIMIENTOS!$C$4:$C$1000,A221,MOVIMIENTOS!$D$4:$D$1000,B221,MOVIMIENTOS!$E$4:$E$1000,C221,MOVIMIENTOS!$B$4:$B$1000,"A CORTE")-SUMIFS(MOVIMIENTOS!$F$4:$F$1000,MOVIMIENTOS!$C$4:$C$1000,A221,MOVIMIENTOS!$D$4:$D$1000,B221,MOVIMIENTOS!$E$4:$E$1000,C221,MOVIMIENTOS!$B$4:$B$1000,"A REPROCESO")-SUMIFS(MOVIMIENTOS!$F$4:$F$1000,MOVIMIENTOS!$C$4:$C$1000,A221,MOVIMIENTOS!$D$4:$D$1000,B221,MOVIMIENTOS!$E$4:$E$1000,C221,MOVIMIENTOS!$B$4:$B$1000,"MUESTRA")-SUMIFS(MOVIMIENTOS!$F$4:$F$1000,MOVIMIENTOS!$C$4:$C$1000,A221,MOVIMIENTOS!$D$4:$D$1000,B221,MOVIMIENTOS!$E$4:$E$1000,C221,MOVIMIENTOS!$B$4:$B$1000,"AJUSTE-"),0)</f>
        <v>0</v>
      </c>
      <c r="F221" s="101">
        <f>IFERROR(E221*VLOOKUP(B221,TELAS!$A$4:$C$32,3,FALSE()),0)</f>
        <v>0</v>
      </c>
      <c r="G221" s="102">
        <f>IFERROR(IF(D221="OSCURO",VLOOKUP(B221,PRECIOS!$A$4:$F$32,2,FALSE()),IF(D221="CLARO",VLOOKUP(B221,PRECIOS!$A$4:$F$32,3,FALSE()),IF(D221="MELANGE",VLOOKUP(B221,PRECIOS!$A$4:$F$32,4,FALSE()),IF(D221="PPT",VLOOKUP(B221,PRECIOS!$A$4:$F$32,5,FALSE()),0)))),0)</f>
        <v>0</v>
      </c>
      <c r="H221" s="103">
        <f t="shared" si="1"/>
        <v>0</v>
      </c>
      <c r="I221" s="104" t="str">
        <f>IF(E221&lt;0,"ERROR",IF(E221=0,"",IF(E221&lt;CONFIG!$B$4,"CRÍTICO",IF(E221&lt;CONFIG!$B$5,"BAJO","OK"))))</f>
        <v/>
      </c>
    </row>
    <row r="222" ht="15.75" customHeight="1">
      <c r="A222" s="90" t="str">
        <f>IF(CLIENTES!A5="","",CLIENTES!A5)</f>
        <v>Bravos</v>
      </c>
      <c r="B222" s="67" t="str">
        <f>TELAS!A7</f>
        <v>french terry 24/1</v>
      </c>
      <c r="C222" s="67" t="str">
        <f>COLORES!A22</f>
        <v/>
      </c>
      <c r="D222" s="67" t="str">
        <f>COLORES!B22</f>
        <v/>
      </c>
      <c r="E222" s="100">
        <f>IFERROR(SUMIFS(MOVIMIENTOS!$F$4:$F$1000,MOVIMIENTOS!$C$4:$C$1000,A222,MOVIMIENTOS!$D$4:$D$1000,B222,MOVIMIENTOS!$E$4:$E$1000,C222,MOVIMIENTOS!$B$4:$B$1000,"INGRESO")+SUMIFS(MOVIMIENTOS!$F$4:$F$1000,MOVIMIENTOS!$C$4:$C$1000,A222,MOVIMIENTOS!$D$4:$D$1000,B222,MOVIMIENTOS!$E$4:$E$1000,C222,MOVIMIENTOS!$B$4:$B$1000,"DE REPROCESO")+SUMIFS(MOVIMIENTOS!$F$4:$F$1000,MOVIMIENTOS!$C$4:$C$1000,A222,MOVIMIENTOS!$D$4:$D$1000,B222,MOVIMIENTOS!$E$4:$E$1000,C222,MOVIMIENTOS!$B$4:$B$1000,"AJUSTE+")-SUMIFS(MOVIMIENTOS!$F$4:$F$1000,MOVIMIENTOS!$C$4:$C$1000,A222,MOVIMIENTOS!$D$4:$D$1000,B222,MOVIMIENTOS!$E$4:$E$1000,C222,MOVIMIENTOS!$B$4:$B$1000,"A CORTE")-SUMIFS(MOVIMIENTOS!$F$4:$F$1000,MOVIMIENTOS!$C$4:$C$1000,A222,MOVIMIENTOS!$D$4:$D$1000,B222,MOVIMIENTOS!$E$4:$E$1000,C222,MOVIMIENTOS!$B$4:$B$1000,"A REPROCESO")-SUMIFS(MOVIMIENTOS!$F$4:$F$1000,MOVIMIENTOS!$C$4:$C$1000,A222,MOVIMIENTOS!$D$4:$D$1000,B222,MOVIMIENTOS!$E$4:$E$1000,C222,MOVIMIENTOS!$B$4:$B$1000,"MUESTRA")-SUMIFS(MOVIMIENTOS!$F$4:$F$1000,MOVIMIENTOS!$C$4:$C$1000,A222,MOVIMIENTOS!$D$4:$D$1000,B222,MOVIMIENTOS!$E$4:$E$1000,C222,MOVIMIENTOS!$B$4:$B$1000,"AJUSTE-"),0)</f>
        <v>0</v>
      </c>
      <c r="F222" s="101">
        <f>IFERROR(E222*VLOOKUP(B222,TELAS!$A$4:$C$32,3,FALSE()),0)</f>
        <v>0</v>
      </c>
      <c r="G222" s="102">
        <f>IFERROR(IF(D222="OSCURO",VLOOKUP(B222,PRECIOS!$A$4:$F$32,2,FALSE()),IF(D222="CLARO",VLOOKUP(B222,PRECIOS!$A$4:$F$32,3,FALSE()),IF(D222="MELANGE",VLOOKUP(B222,PRECIOS!$A$4:$F$32,4,FALSE()),IF(D222="PPT",VLOOKUP(B222,PRECIOS!$A$4:$F$32,5,FALSE()),0)))),0)</f>
        <v>0</v>
      </c>
      <c r="H222" s="103">
        <f t="shared" si="1"/>
        <v>0</v>
      </c>
      <c r="I222" s="104" t="str">
        <f>IF(E222&lt;0,"ERROR",IF(E222=0,"",IF(E222&lt;CONFIG!$B$4,"CRÍTICO",IF(E222&lt;CONFIG!$B$5,"BAJO","OK"))))</f>
        <v/>
      </c>
    </row>
    <row r="223" ht="15.75" customHeight="1">
      <c r="A223" s="90" t="str">
        <f>IF(CLIENTES!A5="","",CLIENTES!A5)</f>
        <v>Bravos</v>
      </c>
      <c r="B223" s="67" t="str">
        <f>TELAS!A7</f>
        <v>french terry 24/1</v>
      </c>
      <c r="C223" s="67" t="str">
        <f>COLORES!A23</f>
        <v/>
      </c>
      <c r="D223" s="67" t="str">
        <f>COLORES!B23</f>
        <v/>
      </c>
      <c r="E223" s="100">
        <f>IFERROR(SUMIFS(MOVIMIENTOS!$F$4:$F$1000,MOVIMIENTOS!$C$4:$C$1000,A223,MOVIMIENTOS!$D$4:$D$1000,B223,MOVIMIENTOS!$E$4:$E$1000,C223,MOVIMIENTOS!$B$4:$B$1000,"INGRESO")+SUMIFS(MOVIMIENTOS!$F$4:$F$1000,MOVIMIENTOS!$C$4:$C$1000,A223,MOVIMIENTOS!$D$4:$D$1000,B223,MOVIMIENTOS!$E$4:$E$1000,C223,MOVIMIENTOS!$B$4:$B$1000,"DE REPROCESO")+SUMIFS(MOVIMIENTOS!$F$4:$F$1000,MOVIMIENTOS!$C$4:$C$1000,A223,MOVIMIENTOS!$D$4:$D$1000,B223,MOVIMIENTOS!$E$4:$E$1000,C223,MOVIMIENTOS!$B$4:$B$1000,"AJUSTE+")-SUMIFS(MOVIMIENTOS!$F$4:$F$1000,MOVIMIENTOS!$C$4:$C$1000,A223,MOVIMIENTOS!$D$4:$D$1000,B223,MOVIMIENTOS!$E$4:$E$1000,C223,MOVIMIENTOS!$B$4:$B$1000,"A CORTE")-SUMIFS(MOVIMIENTOS!$F$4:$F$1000,MOVIMIENTOS!$C$4:$C$1000,A223,MOVIMIENTOS!$D$4:$D$1000,B223,MOVIMIENTOS!$E$4:$E$1000,C223,MOVIMIENTOS!$B$4:$B$1000,"A REPROCESO")-SUMIFS(MOVIMIENTOS!$F$4:$F$1000,MOVIMIENTOS!$C$4:$C$1000,A223,MOVIMIENTOS!$D$4:$D$1000,B223,MOVIMIENTOS!$E$4:$E$1000,C223,MOVIMIENTOS!$B$4:$B$1000,"MUESTRA")-SUMIFS(MOVIMIENTOS!$F$4:$F$1000,MOVIMIENTOS!$C$4:$C$1000,A223,MOVIMIENTOS!$D$4:$D$1000,B223,MOVIMIENTOS!$E$4:$E$1000,C223,MOVIMIENTOS!$B$4:$B$1000,"AJUSTE-"),0)</f>
        <v>0</v>
      </c>
      <c r="F223" s="101">
        <f>IFERROR(E223*VLOOKUP(B223,TELAS!$A$4:$C$32,3,FALSE()),0)</f>
        <v>0</v>
      </c>
      <c r="G223" s="102">
        <f>IFERROR(IF(D223="OSCURO",VLOOKUP(B223,PRECIOS!$A$4:$F$32,2,FALSE()),IF(D223="CLARO",VLOOKUP(B223,PRECIOS!$A$4:$F$32,3,FALSE()),IF(D223="MELANGE",VLOOKUP(B223,PRECIOS!$A$4:$F$32,4,FALSE()),IF(D223="PPT",VLOOKUP(B223,PRECIOS!$A$4:$F$32,5,FALSE()),0)))),0)</f>
        <v>0</v>
      </c>
      <c r="H223" s="103">
        <f t="shared" si="1"/>
        <v>0</v>
      </c>
      <c r="I223" s="104" t="str">
        <f>IF(E223&lt;0,"ERROR",IF(E223=0,"",IF(E223&lt;CONFIG!$B$4,"CRÍTICO",IF(E223&lt;CONFIG!$B$5,"BAJO","OK"))))</f>
        <v/>
      </c>
    </row>
    <row r="224" ht="15.75" customHeight="1">
      <c r="A224" s="90" t="str">
        <f>IF(CLIENTES!A5="","",CLIENTES!A5)</f>
        <v>Bravos</v>
      </c>
      <c r="B224" s="67" t="str">
        <f>TELAS!A8</f>
        <v>rib 1x1</v>
      </c>
      <c r="C224" s="67" t="str">
        <f>COLORES!A4</f>
        <v>Negro</v>
      </c>
      <c r="D224" s="67" t="str">
        <f>COLORES!B4</f>
        <v>OSCURO</v>
      </c>
      <c r="E224" s="100">
        <f>IFERROR(SUMIFS(MOVIMIENTOS!$F$4:$F$1000,MOVIMIENTOS!$C$4:$C$1000,A224,MOVIMIENTOS!$D$4:$D$1000,B224,MOVIMIENTOS!$E$4:$E$1000,C224,MOVIMIENTOS!$B$4:$B$1000,"INGRESO")+SUMIFS(MOVIMIENTOS!$F$4:$F$1000,MOVIMIENTOS!$C$4:$C$1000,A224,MOVIMIENTOS!$D$4:$D$1000,B224,MOVIMIENTOS!$E$4:$E$1000,C224,MOVIMIENTOS!$B$4:$B$1000,"DE REPROCESO")+SUMIFS(MOVIMIENTOS!$F$4:$F$1000,MOVIMIENTOS!$C$4:$C$1000,A224,MOVIMIENTOS!$D$4:$D$1000,B224,MOVIMIENTOS!$E$4:$E$1000,C224,MOVIMIENTOS!$B$4:$B$1000,"AJUSTE+")-SUMIFS(MOVIMIENTOS!$F$4:$F$1000,MOVIMIENTOS!$C$4:$C$1000,A224,MOVIMIENTOS!$D$4:$D$1000,B224,MOVIMIENTOS!$E$4:$E$1000,C224,MOVIMIENTOS!$B$4:$B$1000,"A CORTE")-SUMIFS(MOVIMIENTOS!$F$4:$F$1000,MOVIMIENTOS!$C$4:$C$1000,A224,MOVIMIENTOS!$D$4:$D$1000,B224,MOVIMIENTOS!$E$4:$E$1000,C224,MOVIMIENTOS!$B$4:$B$1000,"A REPROCESO")-SUMIFS(MOVIMIENTOS!$F$4:$F$1000,MOVIMIENTOS!$C$4:$C$1000,A224,MOVIMIENTOS!$D$4:$D$1000,B224,MOVIMIENTOS!$E$4:$E$1000,C224,MOVIMIENTOS!$B$4:$B$1000,"MUESTRA")-SUMIFS(MOVIMIENTOS!$F$4:$F$1000,MOVIMIENTOS!$C$4:$C$1000,A224,MOVIMIENTOS!$D$4:$D$1000,B224,MOVIMIENTOS!$E$4:$E$1000,C224,MOVIMIENTOS!$B$4:$B$1000,"AJUSTE-"),0)</f>
        <v>0</v>
      </c>
      <c r="F224" s="101">
        <f>IFERROR(E224*VLOOKUP(B224,TELAS!$A$4:$C$32,3,FALSE()),0)</f>
        <v>0</v>
      </c>
      <c r="G224" s="102">
        <f>IFERROR(IF(D224="OSCURO",VLOOKUP(B224,PRECIOS!$A$4:$F$32,2,FALSE()),IF(D224="CLARO",VLOOKUP(B224,PRECIOS!$A$4:$F$32,3,FALSE()),IF(D224="MELANGE",VLOOKUP(B224,PRECIOS!$A$4:$F$32,4,FALSE()),IF(D224="PPT",VLOOKUP(B224,PRECIOS!$A$4:$F$32,5,FALSE()),0)))),0)</f>
        <v>24</v>
      </c>
      <c r="H224" s="103">
        <f t="shared" si="1"/>
        <v>0</v>
      </c>
      <c r="I224" s="104" t="str">
        <f>IF(E224&lt;0,"ERROR",IF(E224=0,"",IF(E224&lt;CONFIG!$B$4,"CRÍTICO",IF(E224&lt;CONFIG!$B$5,"BAJO","OK"))))</f>
        <v/>
      </c>
    </row>
    <row r="225" ht="15.75" customHeight="1">
      <c r="A225" s="90" t="str">
        <f>IF(CLIENTES!A5="","",CLIENTES!A5)</f>
        <v>Bravos</v>
      </c>
      <c r="B225" s="67" t="str">
        <f>TELAS!A8</f>
        <v>rib 1x1</v>
      </c>
      <c r="C225" s="67" t="str">
        <f>COLORES!A5</f>
        <v>Perla</v>
      </c>
      <c r="D225" s="67" t="str">
        <f>COLORES!B5</f>
        <v>PPT</v>
      </c>
      <c r="E225" s="100">
        <f>IFERROR(SUMIFS(MOVIMIENTOS!$F$4:$F$1000,MOVIMIENTOS!$C$4:$C$1000,A225,MOVIMIENTOS!$D$4:$D$1000,B225,MOVIMIENTOS!$E$4:$E$1000,C225,MOVIMIENTOS!$B$4:$B$1000,"INGRESO")+SUMIFS(MOVIMIENTOS!$F$4:$F$1000,MOVIMIENTOS!$C$4:$C$1000,A225,MOVIMIENTOS!$D$4:$D$1000,B225,MOVIMIENTOS!$E$4:$E$1000,C225,MOVIMIENTOS!$B$4:$B$1000,"DE REPROCESO")+SUMIFS(MOVIMIENTOS!$F$4:$F$1000,MOVIMIENTOS!$C$4:$C$1000,A225,MOVIMIENTOS!$D$4:$D$1000,B225,MOVIMIENTOS!$E$4:$E$1000,C225,MOVIMIENTOS!$B$4:$B$1000,"AJUSTE+")-SUMIFS(MOVIMIENTOS!$F$4:$F$1000,MOVIMIENTOS!$C$4:$C$1000,A225,MOVIMIENTOS!$D$4:$D$1000,B225,MOVIMIENTOS!$E$4:$E$1000,C225,MOVIMIENTOS!$B$4:$B$1000,"A CORTE")-SUMIFS(MOVIMIENTOS!$F$4:$F$1000,MOVIMIENTOS!$C$4:$C$1000,A225,MOVIMIENTOS!$D$4:$D$1000,B225,MOVIMIENTOS!$E$4:$E$1000,C225,MOVIMIENTOS!$B$4:$B$1000,"A REPROCESO")-SUMIFS(MOVIMIENTOS!$F$4:$F$1000,MOVIMIENTOS!$C$4:$C$1000,A225,MOVIMIENTOS!$D$4:$D$1000,B225,MOVIMIENTOS!$E$4:$E$1000,C225,MOVIMIENTOS!$B$4:$B$1000,"MUESTRA")-SUMIFS(MOVIMIENTOS!$F$4:$F$1000,MOVIMIENTOS!$C$4:$C$1000,A225,MOVIMIENTOS!$D$4:$D$1000,B225,MOVIMIENTOS!$E$4:$E$1000,C225,MOVIMIENTOS!$B$4:$B$1000,"AJUSTE-"),0)</f>
        <v>0</v>
      </c>
      <c r="F225" s="101">
        <f>IFERROR(E225*VLOOKUP(B225,TELAS!$A$4:$C$32,3,FALSE()),0)</f>
        <v>0</v>
      </c>
      <c r="G225" s="102">
        <f>IFERROR(IF(D225="OSCURO",VLOOKUP(B225,PRECIOS!$A$4:$F$32,2,FALSE()),IF(D225="CLARO",VLOOKUP(B225,PRECIOS!$A$4:$F$32,3,FALSE()),IF(D225="MELANGE",VLOOKUP(B225,PRECIOS!$A$4:$F$32,4,FALSE()),IF(D225="PPT",VLOOKUP(B225,PRECIOS!$A$4:$F$32,5,FALSE()),0)))),0)</f>
        <v>18</v>
      </c>
      <c r="H225" s="103">
        <f t="shared" si="1"/>
        <v>0</v>
      </c>
      <c r="I225" s="104" t="str">
        <f>IF(E225&lt;0,"ERROR",IF(E225=0,"",IF(E225&lt;CONFIG!$B$4,"CRÍTICO",IF(E225&lt;CONFIG!$B$5,"BAJO","OK"))))</f>
        <v/>
      </c>
    </row>
    <row r="226" ht="15.75" customHeight="1">
      <c r="A226" s="90" t="str">
        <f>IF(CLIENTES!A5="","",CLIENTES!A5)</f>
        <v>Bravos</v>
      </c>
      <c r="B226" s="67" t="str">
        <f>TELAS!A8</f>
        <v>rib 1x1</v>
      </c>
      <c r="C226" s="67" t="str">
        <f>COLORES!A6</f>
        <v>Blanco</v>
      </c>
      <c r="D226" s="67" t="str">
        <f>COLORES!B6</f>
        <v>PPT</v>
      </c>
      <c r="E226" s="100">
        <f>IFERROR(SUMIFS(MOVIMIENTOS!$F$4:$F$1000,MOVIMIENTOS!$C$4:$C$1000,A226,MOVIMIENTOS!$D$4:$D$1000,B226,MOVIMIENTOS!$E$4:$E$1000,C226,MOVIMIENTOS!$B$4:$B$1000,"INGRESO")+SUMIFS(MOVIMIENTOS!$F$4:$F$1000,MOVIMIENTOS!$C$4:$C$1000,A226,MOVIMIENTOS!$D$4:$D$1000,B226,MOVIMIENTOS!$E$4:$E$1000,C226,MOVIMIENTOS!$B$4:$B$1000,"DE REPROCESO")+SUMIFS(MOVIMIENTOS!$F$4:$F$1000,MOVIMIENTOS!$C$4:$C$1000,A226,MOVIMIENTOS!$D$4:$D$1000,B226,MOVIMIENTOS!$E$4:$E$1000,C226,MOVIMIENTOS!$B$4:$B$1000,"AJUSTE+")-SUMIFS(MOVIMIENTOS!$F$4:$F$1000,MOVIMIENTOS!$C$4:$C$1000,A226,MOVIMIENTOS!$D$4:$D$1000,B226,MOVIMIENTOS!$E$4:$E$1000,C226,MOVIMIENTOS!$B$4:$B$1000,"A CORTE")-SUMIFS(MOVIMIENTOS!$F$4:$F$1000,MOVIMIENTOS!$C$4:$C$1000,A226,MOVIMIENTOS!$D$4:$D$1000,B226,MOVIMIENTOS!$E$4:$E$1000,C226,MOVIMIENTOS!$B$4:$B$1000,"A REPROCESO")-SUMIFS(MOVIMIENTOS!$F$4:$F$1000,MOVIMIENTOS!$C$4:$C$1000,A226,MOVIMIENTOS!$D$4:$D$1000,B226,MOVIMIENTOS!$E$4:$E$1000,C226,MOVIMIENTOS!$B$4:$B$1000,"MUESTRA")-SUMIFS(MOVIMIENTOS!$F$4:$F$1000,MOVIMIENTOS!$C$4:$C$1000,A226,MOVIMIENTOS!$D$4:$D$1000,B226,MOVIMIENTOS!$E$4:$E$1000,C226,MOVIMIENTOS!$B$4:$B$1000,"AJUSTE-"),0)</f>
        <v>0</v>
      </c>
      <c r="F226" s="101">
        <f>IFERROR(E226*VLOOKUP(B226,TELAS!$A$4:$C$32,3,FALSE()),0)</f>
        <v>0</v>
      </c>
      <c r="G226" s="102">
        <f>IFERROR(IF(D226="OSCURO",VLOOKUP(B226,PRECIOS!$A$4:$F$32,2,FALSE()),IF(D226="CLARO",VLOOKUP(B226,PRECIOS!$A$4:$F$32,3,FALSE()),IF(D226="MELANGE",VLOOKUP(B226,PRECIOS!$A$4:$F$32,4,FALSE()),IF(D226="PPT",VLOOKUP(B226,PRECIOS!$A$4:$F$32,5,FALSE()),0)))),0)</f>
        <v>18</v>
      </c>
      <c r="H226" s="103">
        <f t="shared" si="1"/>
        <v>0</v>
      </c>
      <c r="I226" s="104" t="str">
        <f>IF(E226&lt;0,"ERROR",IF(E226=0,"",IF(E226&lt;CONFIG!$B$4,"CRÍTICO",IF(E226&lt;CONFIG!$B$5,"BAJO","OK"))))</f>
        <v/>
      </c>
    </row>
    <row r="227" ht="15.75" customHeight="1">
      <c r="A227" s="90" t="str">
        <f>IF(CLIENTES!A5="","",CLIENTES!A5)</f>
        <v>Bravos</v>
      </c>
      <c r="B227" s="67" t="str">
        <f>TELAS!A8</f>
        <v>rib 1x1</v>
      </c>
      <c r="C227" s="67" t="str">
        <f>COLORES!A7</f>
        <v>Azul</v>
      </c>
      <c r="D227" s="67" t="str">
        <f>COLORES!B7</f>
        <v>OSCURO</v>
      </c>
      <c r="E227" s="100">
        <f>IFERROR(SUMIFS(MOVIMIENTOS!$F$4:$F$1000,MOVIMIENTOS!$C$4:$C$1000,A227,MOVIMIENTOS!$D$4:$D$1000,B227,MOVIMIENTOS!$E$4:$E$1000,C227,MOVIMIENTOS!$B$4:$B$1000,"INGRESO")+SUMIFS(MOVIMIENTOS!$F$4:$F$1000,MOVIMIENTOS!$C$4:$C$1000,A227,MOVIMIENTOS!$D$4:$D$1000,B227,MOVIMIENTOS!$E$4:$E$1000,C227,MOVIMIENTOS!$B$4:$B$1000,"DE REPROCESO")+SUMIFS(MOVIMIENTOS!$F$4:$F$1000,MOVIMIENTOS!$C$4:$C$1000,A227,MOVIMIENTOS!$D$4:$D$1000,B227,MOVIMIENTOS!$E$4:$E$1000,C227,MOVIMIENTOS!$B$4:$B$1000,"AJUSTE+")-SUMIFS(MOVIMIENTOS!$F$4:$F$1000,MOVIMIENTOS!$C$4:$C$1000,A227,MOVIMIENTOS!$D$4:$D$1000,B227,MOVIMIENTOS!$E$4:$E$1000,C227,MOVIMIENTOS!$B$4:$B$1000,"A CORTE")-SUMIFS(MOVIMIENTOS!$F$4:$F$1000,MOVIMIENTOS!$C$4:$C$1000,A227,MOVIMIENTOS!$D$4:$D$1000,B227,MOVIMIENTOS!$E$4:$E$1000,C227,MOVIMIENTOS!$B$4:$B$1000,"A REPROCESO")-SUMIFS(MOVIMIENTOS!$F$4:$F$1000,MOVIMIENTOS!$C$4:$C$1000,A227,MOVIMIENTOS!$D$4:$D$1000,B227,MOVIMIENTOS!$E$4:$E$1000,C227,MOVIMIENTOS!$B$4:$B$1000,"MUESTRA")-SUMIFS(MOVIMIENTOS!$F$4:$F$1000,MOVIMIENTOS!$C$4:$C$1000,A227,MOVIMIENTOS!$D$4:$D$1000,B227,MOVIMIENTOS!$E$4:$E$1000,C227,MOVIMIENTOS!$B$4:$B$1000,"AJUSTE-"),0)</f>
        <v>0</v>
      </c>
      <c r="F227" s="101">
        <f>IFERROR(E227*VLOOKUP(B227,TELAS!$A$4:$C$32,3,FALSE()),0)</f>
        <v>0</v>
      </c>
      <c r="G227" s="102">
        <f>IFERROR(IF(D227="OSCURO",VLOOKUP(B227,PRECIOS!$A$4:$F$32,2,FALSE()),IF(D227="CLARO",VLOOKUP(B227,PRECIOS!$A$4:$F$32,3,FALSE()),IF(D227="MELANGE",VLOOKUP(B227,PRECIOS!$A$4:$F$32,4,FALSE()),IF(D227="PPT",VLOOKUP(B227,PRECIOS!$A$4:$F$32,5,FALSE()),0)))),0)</f>
        <v>24</v>
      </c>
      <c r="H227" s="103">
        <f t="shared" si="1"/>
        <v>0</v>
      </c>
      <c r="I227" s="104" t="str">
        <f>IF(E227&lt;0,"ERROR",IF(E227=0,"",IF(E227&lt;CONFIG!$B$4,"CRÍTICO",IF(E227&lt;CONFIG!$B$5,"BAJO","OK"))))</f>
        <v/>
      </c>
    </row>
    <row r="228" ht="15.75" customHeight="1">
      <c r="A228" s="90" t="str">
        <f>IF(CLIENTES!A5="","",CLIENTES!A5)</f>
        <v>Bravos</v>
      </c>
      <c r="B228" s="67" t="str">
        <f>TELAS!A8</f>
        <v>rib 1x1</v>
      </c>
      <c r="C228" s="67" t="str">
        <f>COLORES!A8</f>
        <v>Beige</v>
      </c>
      <c r="D228" s="67" t="str">
        <f>COLORES!B8</f>
        <v>CLARO</v>
      </c>
      <c r="E228" s="100">
        <f>IFERROR(SUMIFS(MOVIMIENTOS!$F$4:$F$1000,MOVIMIENTOS!$C$4:$C$1000,A228,MOVIMIENTOS!$D$4:$D$1000,B228,MOVIMIENTOS!$E$4:$E$1000,C228,MOVIMIENTOS!$B$4:$B$1000,"INGRESO")+SUMIFS(MOVIMIENTOS!$F$4:$F$1000,MOVIMIENTOS!$C$4:$C$1000,A228,MOVIMIENTOS!$D$4:$D$1000,B228,MOVIMIENTOS!$E$4:$E$1000,C228,MOVIMIENTOS!$B$4:$B$1000,"DE REPROCESO")+SUMIFS(MOVIMIENTOS!$F$4:$F$1000,MOVIMIENTOS!$C$4:$C$1000,A228,MOVIMIENTOS!$D$4:$D$1000,B228,MOVIMIENTOS!$E$4:$E$1000,C228,MOVIMIENTOS!$B$4:$B$1000,"AJUSTE+")-SUMIFS(MOVIMIENTOS!$F$4:$F$1000,MOVIMIENTOS!$C$4:$C$1000,A228,MOVIMIENTOS!$D$4:$D$1000,B228,MOVIMIENTOS!$E$4:$E$1000,C228,MOVIMIENTOS!$B$4:$B$1000,"A CORTE")-SUMIFS(MOVIMIENTOS!$F$4:$F$1000,MOVIMIENTOS!$C$4:$C$1000,A228,MOVIMIENTOS!$D$4:$D$1000,B228,MOVIMIENTOS!$E$4:$E$1000,C228,MOVIMIENTOS!$B$4:$B$1000,"A REPROCESO")-SUMIFS(MOVIMIENTOS!$F$4:$F$1000,MOVIMIENTOS!$C$4:$C$1000,A228,MOVIMIENTOS!$D$4:$D$1000,B228,MOVIMIENTOS!$E$4:$E$1000,C228,MOVIMIENTOS!$B$4:$B$1000,"MUESTRA")-SUMIFS(MOVIMIENTOS!$F$4:$F$1000,MOVIMIENTOS!$C$4:$C$1000,A228,MOVIMIENTOS!$D$4:$D$1000,B228,MOVIMIENTOS!$E$4:$E$1000,C228,MOVIMIENTOS!$B$4:$B$1000,"AJUSTE-"),0)</f>
        <v>0</v>
      </c>
      <c r="F228" s="101">
        <f>IFERROR(E228*VLOOKUP(B228,TELAS!$A$4:$C$32,3,FALSE()),0)</f>
        <v>0</v>
      </c>
      <c r="G228" s="102">
        <f>IFERROR(IF(D228="OSCURO",VLOOKUP(B228,PRECIOS!$A$4:$F$32,2,FALSE()),IF(D228="CLARO",VLOOKUP(B228,PRECIOS!$A$4:$F$32,3,FALSE()),IF(D228="MELANGE",VLOOKUP(B228,PRECIOS!$A$4:$F$32,4,FALSE()),IF(D228="PPT",VLOOKUP(B228,PRECIOS!$A$4:$F$32,5,FALSE()),0)))),0)</f>
        <v>21</v>
      </c>
      <c r="H228" s="103">
        <f t="shared" si="1"/>
        <v>0</v>
      </c>
      <c r="I228" s="104" t="str">
        <f>IF(E228&lt;0,"ERROR",IF(E228=0,"",IF(E228&lt;CONFIG!$B$4,"CRÍTICO",IF(E228&lt;CONFIG!$B$5,"BAJO","OK"))))</f>
        <v/>
      </c>
    </row>
    <row r="229" ht="15.75" customHeight="1">
      <c r="A229" s="90" t="str">
        <f>IF(CLIENTES!A5="","",CLIENTES!A5)</f>
        <v>Bravos</v>
      </c>
      <c r="B229" s="67" t="str">
        <f>TELAS!A8</f>
        <v>rib 1x1</v>
      </c>
      <c r="C229" s="67" t="str">
        <f>COLORES!A9</f>
        <v>Melange</v>
      </c>
      <c r="D229" s="67" t="str">
        <f>COLORES!B9</f>
        <v>MELANGE</v>
      </c>
      <c r="E229" s="100">
        <f>IFERROR(SUMIFS(MOVIMIENTOS!$F$4:$F$1000,MOVIMIENTOS!$C$4:$C$1000,A229,MOVIMIENTOS!$D$4:$D$1000,B229,MOVIMIENTOS!$E$4:$E$1000,C229,MOVIMIENTOS!$B$4:$B$1000,"INGRESO")+SUMIFS(MOVIMIENTOS!$F$4:$F$1000,MOVIMIENTOS!$C$4:$C$1000,A229,MOVIMIENTOS!$D$4:$D$1000,B229,MOVIMIENTOS!$E$4:$E$1000,C229,MOVIMIENTOS!$B$4:$B$1000,"DE REPROCESO")+SUMIFS(MOVIMIENTOS!$F$4:$F$1000,MOVIMIENTOS!$C$4:$C$1000,A229,MOVIMIENTOS!$D$4:$D$1000,B229,MOVIMIENTOS!$E$4:$E$1000,C229,MOVIMIENTOS!$B$4:$B$1000,"AJUSTE+")-SUMIFS(MOVIMIENTOS!$F$4:$F$1000,MOVIMIENTOS!$C$4:$C$1000,A229,MOVIMIENTOS!$D$4:$D$1000,B229,MOVIMIENTOS!$E$4:$E$1000,C229,MOVIMIENTOS!$B$4:$B$1000,"A CORTE")-SUMIFS(MOVIMIENTOS!$F$4:$F$1000,MOVIMIENTOS!$C$4:$C$1000,A229,MOVIMIENTOS!$D$4:$D$1000,B229,MOVIMIENTOS!$E$4:$E$1000,C229,MOVIMIENTOS!$B$4:$B$1000,"A REPROCESO")-SUMIFS(MOVIMIENTOS!$F$4:$F$1000,MOVIMIENTOS!$C$4:$C$1000,A229,MOVIMIENTOS!$D$4:$D$1000,B229,MOVIMIENTOS!$E$4:$E$1000,C229,MOVIMIENTOS!$B$4:$B$1000,"MUESTRA")-SUMIFS(MOVIMIENTOS!$F$4:$F$1000,MOVIMIENTOS!$C$4:$C$1000,A229,MOVIMIENTOS!$D$4:$D$1000,B229,MOVIMIENTOS!$E$4:$E$1000,C229,MOVIMIENTOS!$B$4:$B$1000,"AJUSTE-"),0)</f>
        <v>0</v>
      </c>
      <c r="F229" s="101">
        <f>IFERROR(E229*VLOOKUP(B229,TELAS!$A$4:$C$32,3,FALSE()),0)</f>
        <v>0</v>
      </c>
      <c r="G229" s="102">
        <f>IFERROR(IF(D229="OSCURO",VLOOKUP(B229,PRECIOS!$A$4:$F$32,2,FALSE()),IF(D229="CLARO",VLOOKUP(B229,PRECIOS!$A$4:$F$32,3,FALSE()),IF(D229="MELANGE",VLOOKUP(B229,PRECIOS!$A$4:$F$32,4,FALSE()),IF(D229="PPT",VLOOKUP(B229,PRECIOS!$A$4:$F$32,5,FALSE()),0)))),0)</f>
        <v>18</v>
      </c>
      <c r="H229" s="103">
        <f t="shared" si="1"/>
        <v>0</v>
      </c>
      <c r="I229" s="104" t="str">
        <f>IF(E229&lt;0,"ERROR",IF(E229=0,"",IF(E229&lt;CONFIG!$B$4,"CRÍTICO",IF(E229&lt;CONFIG!$B$5,"BAJO","OK"))))</f>
        <v/>
      </c>
    </row>
    <row r="230" ht="15.75" customHeight="1">
      <c r="A230" s="90" t="str">
        <f>IF(CLIENTES!A5="","",CLIENTES!A5)</f>
        <v>Bravos</v>
      </c>
      <c r="B230" s="67" t="str">
        <f>TELAS!A8</f>
        <v>rib 1x1</v>
      </c>
      <c r="C230" s="67" t="str">
        <f>COLORES!A10</f>
        <v>Botella</v>
      </c>
      <c r="D230" s="67" t="str">
        <f>COLORES!B10</f>
        <v>OSCURO</v>
      </c>
      <c r="E230" s="100">
        <f>IFERROR(SUMIFS(MOVIMIENTOS!$F$4:$F$1000,MOVIMIENTOS!$C$4:$C$1000,A230,MOVIMIENTOS!$D$4:$D$1000,B230,MOVIMIENTOS!$E$4:$E$1000,C230,MOVIMIENTOS!$B$4:$B$1000,"INGRESO")+SUMIFS(MOVIMIENTOS!$F$4:$F$1000,MOVIMIENTOS!$C$4:$C$1000,A230,MOVIMIENTOS!$D$4:$D$1000,B230,MOVIMIENTOS!$E$4:$E$1000,C230,MOVIMIENTOS!$B$4:$B$1000,"DE REPROCESO")+SUMIFS(MOVIMIENTOS!$F$4:$F$1000,MOVIMIENTOS!$C$4:$C$1000,A230,MOVIMIENTOS!$D$4:$D$1000,B230,MOVIMIENTOS!$E$4:$E$1000,C230,MOVIMIENTOS!$B$4:$B$1000,"AJUSTE+")-SUMIFS(MOVIMIENTOS!$F$4:$F$1000,MOVIMIENTOS!$C$4:$C$1000,A230,MOVIMIENTOS!$D$4:$D$1000,B230,MOVIMIENTOS!$E$4:$E$1000,C230,MOVIMIENTOS!$B$4:$B$1000,"A CORTE")-SUMIFS(MOVIMIENTOS!$F$4:$F$1000,MOVIMIENTOS!$C$4:$C$1000,A230,MOVIMIENTOS!$D$4:$D$1000,B230,MOVIMIENTOS!$E$4:$E$1000,C230,MOVIMIENTOS!$B$4:$B$1000,"A REPROCESO")-SUMIFS(MOVIMIENTOS!$F$4:$F$1000,MOVIMIENTOS!$C$4:$C$1000,A230,MOVIMIENTOS!$D$4:$D$1000,B230,MOVIMIENTOS!$E$4:$E$1000,C230,MOVIMIENTOS!$B$4:$B$1000,"MUESTRA")-SUMIFS(MOVIMIENTOS!$F$4:$F$1000,MOVIMIENTOS!$C$4:$C$1000,A230,MOVIMIENTOS!$D$4:$D$1000,B230,MOVIMIENTOS!$E$4:$E$1000,C230,MOVIMIENTOS!$B$4:$B$1000,"AJUSTE-"),0)</f>
        <v>0</v>
      </c>
      <c r="F230" s="101">
        <f>IFERROR(E230*VLOOKUP(B230,TELAS!$A$4:$C$32,3,FALSE()),0)</f>
        <v>0</v>
      </c>
      <c r="G230" s="102">
        <f>IFERROR(IF(D230="OSCURO",VLOOKUP(B230,PRECIOS!$A$4:$F$32,2,FALSE()),IF(D230="CLARO",VLOOKUP(B230,PRECIOS!$A$4:$F$32,3,FALSE()),IF(D230="MELANGE",VLOOKUP(B230,PRECIOS!$A$4:$F$32,4,FALSE()),IF(D230="PPT",VLOOKUP(B230,PRECIOS!$A$4:$F$32,5,FALSE()),0)))),0)</f>
        <v>24</v>
      </c>
      <c r="H230" s="103">
        <f t="shared" si="1"/>
        <v>0</v>
      </c>
      <c r="I230" s="104" t="str">
        <f>IF(E230&lt;0,"ERROR",IF(E230=0,"",IF(E230&lt;CONFIG!$B$4,"CRÍTICO",IF(E230&lt;CONFIG!$B$5,"BAJO","OK"))))</f>
        <v/>
      </c>
    </row>
    <row r="231" ht="15.75" customHeight="1">
      <c r="A231" s="90" t="str">
        <f>IF(CLIENTES!A5="","",CLIENTES!A5)</f>
        <v>Bravos</v>
      </c>
      <c r="B231" s="67" t="str">
        <f>TELAS!A8</f>
        <v>rib 1x1</v>
      </c>
      <c r="C231" s="67" t="str">
        <f>COLORES!A11</f>
        <v>Pacay</v>
      </c>
      <c r="D231" s="67" t="str">
        <f>COLORES!B11</f>
        <v>CLARO</v>
      </c>
      <c r="E231" s="100">
        <f>IFERROR(SUMIFS(MOVIMIENTOS!$F$4:$F$1000,MOVIMIENTOS!$C$4:$C$1000,A231,MOVIMIENTOS!$D$4:$D$1000,B231,MOVIMIENTOS!$E$4:$E$1000,C231,MOVIMIENTOS!$B$4:$B$1000,"INGRESO")+SUMIFS(MOVIMIENTOS!$F$4:$F$1000,MOVIMIENTOS!$C$4:$C$1000,A231,MOVIMIENTOS!$D$4:$D$1000,B231,MOVIMIENTOS!$E$4:$E$1000,C231,MOVIMIENTOS!$B$4:$B$1000,"DE REPROCESO")+SUMIFS(MOVIMIENTOS!$F$4:$F$1000,MOVIMIENTOS!$C$4:$C$1000,A231,MOVIMIENTOS!$D$4:$D$1000,B231,MOVIMIENTOS!$E$4:$E$1000,C231,MOVIMIENTOS!$B$4:$B$1000,"AJUSTE+")-SUMIFS(MOVIMIENTOS!$F$4:$F$1000,MOVIMIENTOS!$C$4:$C$1000,A231,MOVIMIENTOS!$D$4:$D$1000,B231,MOVIMIENTOS!$E$4:$E$1000,C231,MOVIMIENTOS!$B$4:$B$1000,"A CORTE")-SUMIFS(MOVIMIENTOS!$F$4:$F$1000,MOVIMIENTOS!$C$4:$C$1000,A231,MOVIMIENTOS!$D$4:$D$1000,B231,MOVIMIENTOS!$E$4:$E$1000,C231,MOVIMIENTOS!$B$4:$B$1000,"A REPROCESO")-SUMIFS(MOVIMIENTOS!$F$4:$F$1000,MOVIMIENTOS!$C$4:$C$1000,A231,MOVIMIENTOS!$D$4:$D$1000,B231,MOVIMIENTOS!$E$4:$E$1000,C231,MOVIMIENTOS!$B$4:$B$1000,"MUESTRA")-SUMIFS(MOVIMIENTOS!$F$4:$F$1000,MOVIMIENTOS!$C$4:$C$1000,A231,MOVIMIENTOS!$D$4:$D$1000,B231,MOVIMIENTOS!$E$4:$E$1000,C231,MOVIMIENTOS!$B$4:$B$1000,"AJUSTE-"),0)</f>
        <v>0</v>
      </c>
      <c r="F231" s="101">
        <f>IFERROR(E231*VLOOKUP(B231,TELAS!$A$4:$C$32,3,FALSE()),0)</f>
        <v>0</v>
      </c>
      <c r="G231" s="102">
        <f>IFERROR(IF(D231="OSCURO",VLOOKUP(B231,PRECIOS!$A$4:$F$32,2,FALSE()),IF(D231="CLARO",VLOOKUP(B231,PRECIOS!$A$4:$F$32,3,FALSE()),IF(D231="MELANGE",VLOOKUP(B231,PRECIOS!$A$4:$F$32,4,FALSE()),IF(D231="PPT",VLOOKUP(B231,PRECIOS!$A$4:$F$32,5,FALSE()),0)))),0)</f>
        <v>21</v>
      </c>
      <c r="H231" s="103">
        <f t="shared" si="1"/>
        <v>0</v>
      </c>
      <c r="I231" s="104" t="str">
        <f>IF(E231&lt;0,"ERROR",IF(E231=0,"",IF(E231&lt;CONFIG!$B$4,"CRÍTICO",IF(E231&lt;CONFIG!$B$5,"BAJO","OK"))))</f>
        <v/>
      </c>
    </row>
    <row r="232" ht="15.75" customHeight="1">
      <c r="A232" s="90" t="str">
        <f>IF(CLIENTES!A5="","",CLIENTES!A5)</f>
        <v>Bravos</v>
      </c>
      <c r="B232" s="67" t="str">
        <f>TELAS!A8</f>
        <v>rib 1x1</v>
      </c>
      <c r="C232" s="67" t="str">
        <f>COLORES!A12</f>
        <v>Cemento</v>
      </c>
      <c r="D232" s="67" t="str">
        <f>COLORES!B12</f>
        <v>CLARO</v>
      </c>
      <c r="E232" s="100">
        <f>IFERROR(SUMIFS(MOVIMIENTOS!$F$4:$F$1000,MOVIMIENTOS!$C$4:$C$1000,A232,MOVIMIENTOS!$D$4:$D$1000,B232,MOVIMIENTOS!$E$4:$E$1000,C232,MOVIMIENTOS!$B$4:$B$1000,"INGRESO")+SUMIFS(MOVIMIENTOS!$F$4:$F$1000,MOVIMIENTOS!$C$4:$C$1000,A232,MOVIMIENTOS!$D$4:$D$1000,B232,MOVIMIENTOS!$E$4:$E$1000,C232,MOVIMIENTOS!$B$4:$B$1000,"DE REPROCESO")+SUMIFS(MOVIMIENTOS!$F$4:$F$1000,MOVIMIENTOS!$C$4:$C$1000,A232,MOVIMIENTOS!$D$4:$D$1000,B232,MOVIMIENTOS!$E$4:$E$1000,C232,MOVIMIENTOS!$B$4:$B$1000,"AJUSTE+")-SUMIFS(MOVIMIENTOS!$F$4:$F$1000,MOVIMIENTOS!$C$4:$C$1000,A232,MOVIMIENTOS!$D$4:$D$1000,B232,MOVIMIENTOS!$E$4:$E$1000,C232,MOVIMIENTOS!$B$4:$B$1000,"A CORTE")-SUMIFS(MOVIMIENTOS!$F$4:$F$1000,MOVIMIENTOS!$C$4:$C$1000,A232,MOVIMIENTOS!$D$4:$D$1000,B232,MOVIMIENTOS!$E$4:$E$1000,C232,MOVIMIENTOS!$B$4:$B$1000,"A REPROCESO")-SUMIFS(MOVIMIENTOS!$F$4:$F$1000,MOVIMIENTOS!$C$4:$C$1000,A232,MOVIMIENTOS!$D$4:$D$1000,B232,MOVIMIENTOS!$E$4:$E$1000,C232,MOVIMIENTOS!$B$4:$B$1000,"MUESTRA")-SUMIFS(MOVIMIENTOS!$F$4:$F$1000,MOVIMIENTOS!$C$4:$C$1000,A232,MOVIMIENTOS!$D$4:$D$1000,B232,MOVIMIENTOS!$E$4:$E$1000,C232,MOVIMIENTOS!$B$4:$B$1000,"AJUSTE-"),0)</f>
        <v>0</v>
      </c>
      <c r="F232" s="101">
        <f>IFERROR(E232*VLOOKUP(B232,TELAS!$A$4:$C$32,3,FALSE()),0)</f>
        <v>0</v>
      </c>
      <c r="G232" s="102">
        <f>IFERROR(IF(D232="OSCURO",VLOOKUP(B232,PRECIOS!$A$4:$F$32,2,FALSE()),IF(D232="CLARO",VLOOKUP(B232,PRECIOS!$A$4:$F$32,3,FALSE()),IF(D232="MELANGE",VLOOKUP(B232,PRECIOS!$A$4:$F$32,4,FALSE()),IF(D232="PPT",VLOOKUP(B232,PRECIOS!$A$4:$F$32,5,FALSE()),0)))),0)</f>
        <v>21</v>
      </c>
      <c r="H232" s="103">
        <f t="shared" si="1"/>
        <v>0</v>
      </c>
      <c r="I232" s="104" t="str">
        <f>IF(E232&lt;0,"ERROR",IF(E232=0,"",IF(E232&lt;CONFIG!$B$4,"CRÍTICO",IF(E232&lt;CONFIG!$B$5,"BAJO","OK"))))</f>
        <v/>
      </c>
    </row>
    <row r="233" ht="15.75" customHeight="1">
      <c r="A233" s="90" t="str">
        <f>IF(CLIENTES!A5="","",CLIENTES!A5)</f>
        <v>Bravos</v>
      </c>
      <c r="B233" s="67" t="str">
        <f>TELAS!A8</f>
        <v>rib 1x1</v>
      </c>
      <c r="C233" s="67" t="str">
        <f>COLORES!A13</f>
        <v>Camote</v>
      </c>
      <c r="D233" s="67" t="str">
        <f>COLORES!B13</f>
        <v>CLARO</v>
      </c>
      <c r="E233" s="100">
        <f>IFERROR(SUMIFS(MOVIMIENTOS!$F$4:$F$1000,MOVIMIENTOS!$C$4:$C$1000,A233,MOVIMIENTOS!$D$4:$D$1000,B233,MOVIMIENTOS!$E$4:$E$1000,C233,MOVIMIENTOS!$B$4:$B$1000,"INGRESO")+SUMIFS(MOVIMIENTOS!$F$4:$F$1000,MOVIMIENTOS!$C$4:$C$1000,A233,MOVIMIENTOS!$D$4:$D$1000,B233,MOVIMIENTOS!$E$4:$E$1000,C233,MOVIMIENTOS!$B$4:$B$1000,"DE REPROCESO")+SUMIFS(MOVIMIENTOS!$F$4:$F$1000,MOVIMIENTOS!$C$4:$C$1000,A233,MOVIMIENTOS!$D$4:$D$1000,B233,MOVIMIENTOS!$E$4:$E$1000,C233,MOVIMIENTOS!$B$4:$B$1000,"AJUSTE+")-SUMIFS(MOVIMIENTOS!$F$4:$F$1000,MOVIMIENTOS!$C$4:$C$1000,A233,MOVIMIENTOS!$D$4:$D$1000,B233,MOVIMIENTOS!$E$4:$E$1000,C233,MOVIMIENTOS!$B$4:$B$1000,"A CORTE")-SUMIFS(MOVIMIENTOS!$F$4:$F$1000,MOVIMIENTOS!$C$4:$C$1000,A233,MOVIMIENTOS!$D$4:$D$1000,B233,MOVIMIENTOS!$E$4:$E$1000,C233,MOVIMIENTOS!$B$4:$B$1000,"A REPROCESO")-SUMIFS(MOVIMIENTOS!$F$4:$F$1000,MOVIMIENTOS!$C$4:$C$1000,A233,MOVIMIENTOS!$D$4:$D$1000,B233,MOVIMIENTOS!$E$4:$E$1000,C233,MOVIMIENTOS!$B$4:$B$1000,"MUESTRA")-SUMIFS(MOVIMIENTOS!$F$4:$F$1000,MOVIMIENTOS!$C$4:$C$1000,A233,MOVIMIENTOS!$D$4:$D$1000,B233,MOVIMIENTOS!$E$4:$E$1000,C233,MOVIMIENTOS!$B$4:$B$1000,"AJUSTE-"),0)</f>
        <v>0</v>
      </c>
      <c r="F233" s="101">
        <f>IFERROR(E233*VLOOKUP(B233,TELAS!$A$4:$C$32,3,FALSE()),0)</f>
        <v>0</v>
      </c>
      <c r="G233" s="102">
        <f>IFERROR(IF(D233="OSCURO",VLOOKUP(B233,PRECIOS!$A$4:$F$32,2,FALSE()),IF(D233="CLARO",VLOOKUP(B233,PRECIOS!$A$4:$F$32,3,FALSE()),IF(D233="MELANGE",VLOOKUP(B233,PRECIOS!$A$4:$F$32,4,FALSE()),IF(D233="PPT",VLOOKUP(B233,PRECIOS!$A$4:$F$32,5,FALSE()),0)))),0)</f>
        <v>21</v>
      </c>
      <c r="H233" s="103">
        <f t="shared" si="1"/>
        <v>0</v>
      </c>
      <c r="I233" s="104" t="str">
        <f>IF(E233&lt;0,"ERROR",IF(E233=0,"",IF(E233&lt;CONFIG!$B$4,"CRÍTICO",IF(E233&lt;CONFIG!$B$5,"BAJO","OK"))))</f>
        <v/>
      </c>
    </row>
    <row r="234" ht="15.75" customHeight="1">
      <c r="A234" s="90" t="str">
        <f>IF(CLIENTES!A5="","",CLIENTES!A5)</f>
        <v>Bravos</v>
      </c>
      <c r="B234" s="67" t="str">
        <f>TELAS!A8</f>
        <v>rib 1x1</v>
      </c>
      <c r="C234" s="67" t="str">
        <f>COLORES!A14</f>
        <v>Denim</v>
      </c>
      <c r="D234" s="67" t="str">
        <f>COLORES!B14</f>
        <v>CLARO</v>
      </c>
      <c r="E234" s="100">
        <f>IFERROR(SUMIFS(MOVIMIENTOS!$F$4:$F$1000,MOVIMIENTOS!$C$4:$C$1000,A234,MOVIMIENTOS!$D$4:$D$1000,B234,MOVIMIENTOS!$E$4:$E$1000,C234,MOVIMIENTOS!$B$4:$B$1000,"INGRESO")+SUMIFS(MOVIMIENTOS!$F$4:$F$1000,MOVIMIENTOS!$C$4:$C$1000,A234,MOVIMIENTOS!$D$4:$D$1000,B234,MOVIMIENTOS!$E$4:$E$1000,C234,MOVIMIENTOS!$B$4:$B$1000,"DE REPROCESO")+SUMIFS(MOVIMIENTOS!$F$4:$F$1000,MOVIMIENTOS!$C$4:$C$1000,A234,MOVIMIENTOS!$D$4:$D$1000,B234,MOVIMIENTOS!$E$4:$E$1000,C234,MOVIMIENTOS!$B$4:$B$1000,"AJUSTE+")-SUMIFS(MOVIMIENTOS!$F$4:$F$1000,MOVIMIENTOS!$C$4:$C$1000,A234,MOVIMIENTOS!$D$4:$D$1000,B234,MOVIMIENTOS!$E$4:$E$1000,C234,MOVIMIENTOS!$B$4:$B$1000,"A CORTE")-SUMIFS(MOVIMIENTOS!$F$4:$F$1000,MOVIMIENTOS!$C$4:$C$1000,A234,MOVIMIENTOS!$D$4:$D$1000,B234,MOVIMIENTOS!$E$4:$E$1000,C234,MOVIMIENTOS!$B$4:$B$1000,"A REPROCESO")-SUMIFS(MOVIMIENTOS!$F$4:$F$1000,MOVIMIENTOS!$C$4:$C$1000,A234,MOVIMIENTOS!$D$4:$D$1000,B234,MOVIMIENTOS!$E$4:$E$1000,C234,MOVIMIENTOS!$B$4:$B$1000,"MUESTRA")-SUMIFS(MOVIMIENTOS!$F$4:$F$1000,MOVIMIENTOS!$C$4:$C$1000,A234,MOVIMIENTOS!$D$4:$D$1000,B234,MOVIMIENTOS!$E$4:$E$1000,C234,MOVIMIENTOS!$B$4:$B$1000,"AJUSTE-"),0)</f>
        <v>0</v>
      </c>
      <c r="F234" s="101">
        <f>IFERROR(E234*VLOOKUP(B234,TELAS!$A$4:$C$32,3,FALSE()),0)</f>
        <v>0</v>
      </c>
      <c r="G234" s="102">
        <f>IFERROR(IF(D234="OSCURO",VLOOKUP(B234,PRECIOS!$A$4:$F$32,2,FALSE()),IF(D234="CLARO",VLOOKUP(B234,PRECIOS!$A$4:$F$32,3,FALSE()),IF(D234="MELANGE",VLOOKUP(B234,PRECIOS!$A$4:$F$32,4,FALSE()),IF(D234="PPT",VLOOKUP(B234,PRECIOS!$A$4:$F$32,5,FALSE()),0)))),0)</f>
        <v>21</v>
      </c>
      <c r="H234" s="103">
        <f t="shared" si="1"/>
        <v>0</v>
      </c>
      <c r="I234" s="104" t="str">
        <f>IF(E234&lt;0,"ERROR",IF(E234=0,"",IF(E234&lt;CONFIG!$B$4,"CRÍTICO",IF(E234&lt;CONFIG!$B$5,"BAJO","OK"))))</f>
        <v/>
      </c>
    </row>
    <row r="235" ht="15.75" customHeight="1">
      <c r="A235" s="90" t="str">
        <f>IF(CLIENTES!A5="","",CLIENTES!A5)</f>
        <v>Bravos</v>
      </c>
      <c r="B235" s="67" t="str">
        <f>TELAS!A8</f>
        <v>rib 1x1</v>
      </c>
      <c r="C235" s="67" t="str">
        <f>COLORES!A15</f>
        <v>Plomo</v>
      </c>
      <c r="D235" s="67" t="str">
        <f>COLORES!B15</f>
        <v>OSCURO</v>
      </c>
      <c r="E235" s="100">
        <f>IFERROR(SUMIFS(MOVIMIENTOS!$F$4:$F$1000,MOVIMIENTOS!$C$4:$C$1000,A235,MOVIMIENTOS!$D$4:$D$1000,B235,MOVIMIENTOS!$E$4:$E$1000,C235,MOVIMIENTOS!$B$4:$B$1000,"INGRESO")+SUMIFS(MOVIMIENTOS!$F$4:$F$1000,MOVIMIENTOS!$C$4:$C$1000,A235,MOVIMIENTOS!$D$4:$D$1000,B235,MOVIMIENTOS!$E$4:$E$1000,C235,MOVIMIENTOS!$B$4:$B$1000,"DE REPROCESO")+SUMIFS(MOVIMIENTOS!$F$4:$F$1000,MOVIMIENTOS!$C$4:$C$1000,A235,MOVIMIENTOS!$D$4:$D$1000,B235,MOVIMIENTOS!$E$4:$E$1000,C235,MOVIMIENTOS!$B$4:$B$1000,"AJUSTE+")-SUMIFS(MOVIMIENTOS!$F$4:$F$1000,MOVIMIENTOS!$C$4:$C$1000,A235,MOVIMIENTOS!$D$4:$D$1000,B235,MOVIMIENTOS!$E$4:$E$1000,C235,MOVIMIENTOS!$B$4:$B$1000,"A CORTE")-SUMIFS(MOVIMIENTOS!$F$4:$F$1000,MOVIMIENTOS!$C$4:$C$1000,A235,MOVIMIENTOS!$D$4:$D$1000,B235,MOVIMIENTOS!$E$4:$E$1000,C235,MOVIMIENTOS!$B$4:$B$1000,"A REPROCESO")-SUMIFS(MOVIMIENTOS!$F$4:$F$1000,MOVIMIENTOS!$C$4:$C$1000,A235,MOVIMIENTOS!$D$4:$D$1000,B235,MOVIMIENTOS!$E$4:$E$1000,C235,MOVIMIENTOS!$B$4:$B$1000,"MUESTRA")-SUMIFS(MOVIMIENTOS!$F$4:$F$1000,MOVIMIENTOS!$C$4:$C$1000,A235,MOVIMIENTOS!$D$4:$D$1000,B235,MOVIMIENTOS!$E$4:$E$1000,C235,MOVIMIENTOS!$B$4:$B$1000,"AJUSTE-"),0)</f>
        <v>0</v>
      </c>
      <c r="F235" s="101">
        <f>IFERROR(E235*VLOOKUP(B235,TELAS!$A$4:$C$32,3,FALSE()),0)</f>
        <v>0</v>
      </c>
      <c r="G235" s="102">
        <f>IFERROR(IF(D235="OSCURO",VLOOKUP(B235,PRECIOS!$A$4:$F$32,2,FALSE()),IF(D235="CLARO",VLOOKUP(B235,PRECIOS!$A$4:$F$32,3,FALSE()),IF(D235="MELANGE",VLOOKUP(B235,PRECIOS!$A$4:$F$32,4,FALSE()),IF(D235="PPT",VLOOKUP(B235,PRECIOS!$A$4:$F$32,5,FALSE()),0)))),0)</f>
        <v>24</v>
      </c>
      <c r="H235" s="103">
        <f t="shared" si="1"/>
        <v>0</v>
      </c>
      <c r="I235" s="104" t="str">
        <f>IF(E235&lt;0,"ERROR",IF(E235=0,"",IF(E235&lt;CONFIG!$B$4,"CRÍTICO",IF(E235&lt;CONFIG!$B$5,"BAJO","OK"))))</f>
        <v/>
      </c>
    </row>
    <row r="236" ht="15.75" customHeight="1">
      <c r="A236" s="90" t="str">
        <f>IF(CLIENTES!A5="","",CLIENTES!A5)</f>
        <v>Bravos</v>
      </c>
      <c r="B236" s="67" t="str">
        <f>TELAS!A8</f>
        <v>rib 1x1</v>
      </c>
      <c r="C236" s="67" t="str">
        <f>COLORES!A16</f>
        <v>Topo</v>
      </c>
      <c r="D236" s="67" t="str">
        <f>COLORES!B16</f>
        <v>CLARO</v>
      </c>
      <c r="E236" s="100">
        <f>IFERROR(SUMIFS(MOVIMIENTOS!$F$4:$F$1000,MOVIMIENTOS!$C$4:$C$1000,A236,MOVIMIENTOS!$D$4:$D$1000,B236,MOVIMIENTOS!$E$4:$E$1000,C236,MOVIMIENTOS!$B$4:$B$1000,"INGRESO")+SUMIFS(MOVIMIENTOS!$F$4:$F$1000,MOVIMIENTOS!$C$4:$C$1000,A236,MOVIMIENTOS!$D$4:$D$1000,B236,MOVIMIENTOS!$E$4:$E$1000,C236,MOVIMIENTOS!$B$4:$B$1000,"DE REPROCESO")+SUMIFS(MOVIMIENTOS!$F$4:$F$1000,MOVIMIENTOS!$C$4:$C$1000,A236,MOVIMIENTOS!$D$4:$D$1000,B236,MOVIMIENTOS!$E$4:$E$1000,C236,MOVIMIENTOS!$B$4:$B$1000,"AJUSTE+")-SUMIFS(MOVIMIENTOS!$F$4:$F$1000,MOVIMIENTOS!$C$4:$C$1000,A236,MOVIMIENTOS!$D$4:$D$1000,B236,MOVIMIENTOS!$E$4:$E$1000,C236,MOVIMIENTOS!$B$4:$B$1000,"A CORTE")-SUMIFS(MOVIMIENTOS!$F$4:$F$1000,MOVIMIENTOS!$C$4:$C$1000,A236,MOVIMIENTOS!$D$4:$D$1000,B236,MOVIMIENTOS!$E$4:$E$1000,C236,MOVIMIENTOS!$B$4:$B$1000,"A REPROCESO")-SUMIFS(MOVIMIENTOS!$F$4:$F$1000,MOVIMIENTOS!$C$4:$C$1000,A236,MOVIMIENTOS!$D$4:$D$1000,B236,MOVIMIENTOS!$E$4:$E$1000,C236,MOVIMIENTOS!$B$4:$B$1000,"MUESTRA")-SUMIFS(MOVIMIENTOS!$F$4:$F$1000,MOVIMIENTOS!$C$4:$C$1000,A236,MOVIMIENTOS!$D$4:$D$1000,B236,MOVIMIENTOS!$E$4:$E$1000,C236,MOVIMIENTOS!$B$4:$B$1000,"AJUSTE-"),0)</f>
        <v>0</v>
      </c>
      <c r="F236" s="101">
        <f>IFERROR(E236*VLOOKUP(B236,TELAS!$A$4:$C$32,3,FALSE()),0)</f>
        <v>0</v>
      </c>
      <c r="G236" s="102">
        <f>IFERROR(IF(D236="OSCURO",VLOOKUP(B236,PRECIOS!$A$4:$F$32,2,FALSE()),IF(D236="CLARO",VLOOKUP(B236,PRECIOS!$A$4:$F$32,3,FALSE()),IF(D236="MELANGE",VLOOKUP(B236,PRECIOS!$A$4:$F$32,4,FALSE()),IF(D236="PPT",VLOOKUP(B236,PRECIOS!$A$4:$F$32,5,FALSE()),0)))),0)</f>
        <v>21</v>
      </c>
      <c r="H236" s="103">
        <f t="shared" si="1"/>
        <v>0</v>
      </c>
      <c r="I236" s="104" t="str">
        <f>IF(E236&lt;0,"ERROR",IF(E236=0,"",IF(E236&lt;CONFIG!$B$4,"CRÍTICO",IF(E236&lt;CONFIG!$B$5,"BAJO","OK"))))</f>
        <v/>
      </c>
    </row>
    <row r="237" ht="15.75" customHeight="1">
      <c r="A237" s="90" t="str">
        <f>IF(CLIENTES!A5="","",CLIENTES!A5)</f>
        <v>Bravos</v>
      </c>
      <c r="B237" s="67" t="str">
        <f>TELAS!A8</f>
        <v>rib 1x1</v>
      </c>
      <c r="C237" s="67" t="str">
        <f>COLORES!A17</f>
        <v>Vino</v>
      </c>
      <c r="D237" s="67" t="str">
        <f>COLORES!B17</f>
        <v>OSCURO</v>
      </c>
      <c r="E237" s="100">
        <f>IFERROR(SUMIFS(MOVIMIENTOS!$F$4:$F$1000,MOVIMIENTOS!$C$4:$C$1000,A237,MOVIMIENTOS!$D$4:$D$1000,B237,MOVIMIENTOS!$E$4:$E$1000,C237,MOVIMIENTOS!$B$4:$B$1000,"INGRESO")+SUMIFS(MOVIMIENTOS!$F$4:$F$1000,MOVIMIENTOS!$C$4:$C$1000,A237,MOVIMIENTOS!$D$4:$D$1000,B237,MOVIMIENTOS!$E$4:$E$1000,C237,MOVIMIENTOS!$B$4:$B$1000,"DE REPROCESO")+SUMIFS(MOVIMIENTOS!$F$4:$F$1000,MOVIMIENTOS!$C$4:$C$1000,A237,MOVIMIENTOS!$D$4:$D$1000,B237,MOVIMIENTOS!$E$4:$E$1000,C237,MOVIMIENTOS!$B$4:$B$1000,"AJUSTE+")-SUMIFS(MOVIMIENTOS!$F$4:$F$1000,MOVIMIENTOS!$C$4:$C$1000,A237,MOVIMIENTOS!$D$4:$D$1000,B237,MOVIMIENTOS!$E$4:$E$1000,C237,MOVIMIENTOS!$B$4:$B$1000,"A CORTE")-SUMIFS(MOVIMIENTOS!$F$4:$F$1000,MOVIMIENTOS!$C$4:$C$1000,A237,MOVIMIENTOS!$D$4:$D$1000,B237,MOVIMIENTOS!$E$4:$E$1000,C237,MOVIMIENTOS!$B$4:$B$1000,"A REPROCESO")-SUMIFS(MOVIMIENTOS!$F$4:$F$1000,MOVIMIENTOS!$C$4:$C$1000,A237,MOVIMIENTOS!$D$4:$D$1000,B237,MOVIMIENTOS!$E$4:$E$1000,C237,MOVIMIENTOS!$B$4:$B$1000,"MUESTRA")-SUMIFS(MOVIMIENTOS!$F$4:$F$1000,MOVIMIENTOS!$C$4:$C$1000,A237,MOVIMIENTOS!$D$4:$D$1000,B237,MOVIMIENTOS!$E$4:$E$1000,C237,MOVIMIENTOS!$B$4:$B$1000,"AJUSTE-"),0)</f>
        <v>0</v>
      </c>
      <c r="F237" s="101">
        <f>IFERROR(E237*VLOOKUP(B237,TELAS!$A$4:$C$32,3,FALSE()),0)</f>
        <v>0</v>
      </c>
      <c r="G237" s="102">
        <f>IFERROR(IF(D237="OSCURO",VLOOKUP(B237,PRECIOS!$A$4:$F$32,2,FALSE()),IF(D237="CLARO",VLOOKUP(B237,PRECIOS!$A$4:$F$32,3,FALSE()),IF(D237="MELANGE",VLOOKUP(B237,PRECIOS!$A$4:$F$32,4,FALSE()),IF(D237="PPT",VLOOKUP(B237,PRECIOS!$A$4:$F$32,5,FALSE()),0)))),0)</f>
        <v>24</v>
      </c>
      <c r="H237" s="103">
        <f t="shared" si="1"/>
        <v>0</v>
      </c>
      <c r="I237" s="104" t="str">
        <f>IF(E237&lt;0,"ERROR",IF(E237=0,"",IF(E237&lt;CONFIG!$B$4,"CRÍTICO",IF(E237&lt;CONFIG!$B$5,"BAJO","OK"))))</f>
        <v/>
      </c>
    </row>
    <row r="238" ht="15.75" customHeight="1">
      <c r="A238" s="90" t="str">
        <f>IF(CLIENTES!A5="","",CLIENTES!A5)</f>
        <v>Bravos</v>
      </c>
      <c r="B238" s="67" t="str">
        <f>TELAS!A8</f>
        <v>rib 1x1</v>
      </c>
      <c r="C238" s="67" t="str">
        <f>COLORES!A18</f>
        <v>P. Rosa</v>
      </c>
      <c r="D238" s="67" t="str">
        <f>COLORES!B18</f>
        <v>CLARO</v>
      </c>
      <c r="E238" s="100">
        <f>IFERROR(SUMIFS(MOVIMIENTOS!$F$4:$F$1000,MOVIMIENTOS!$C$4:$C$1000,A238,MOVIMIENTOS!$D$4:$D$1000,B238,MOVIMIENTOS!$E$4:$E$1000,C238,MOVIMIENTOS!$B$4:$B$1000,"INGRESO")+SUMIFS(MOVIMIENTOS!$F$4:$F$1000,MOVIMIENTOS!$C$4:$C$1000,A238,MOVIMIENTOS!$D$4:$D$1000,B238,MOVIMIENTOS!$E$4:$E$1000,C238,MOVIMIENTOS!$B$4:$B$1000,"DE REPROCESO")+SUMIFS(MOVIMIENTOS!$F$4:$F$1000,MOVIMIENTOS!$C$4:$C$1000,A238,MOVIMIENTOS!$D$4:$D$1000,B238,MOVIMIENTOS!$E$4:$E$1000,C238,MOVIMIENTOS!$B$4:$B$1000,"AJUSTE+")-SUMIFS(MOVIMIENTOS!$F$4:$F$1000,MOVIMIENTOS!$C$4:$C$1000,A238,MOVIMIENTOS!$D$4:$D$1000,B238,MOVIMIENTOS!$E$4:$E$1000,C238,MOVIMIENTOS!$B$4:$B$1000,"A CORTE")-SUMIFS(MOVIMIENTOS!$F$4:$F$1000,MOVIMIENTOS!$C$4:$C$1000,A238,MOVIMIENTOS!$D$4:$D$1000,B238,MOVIMIENTOS!$E$4:$E$1000,C238,MOVIMIENTOS!$B$4:$B$1000,"A REPROCESO")-SUMIFS(MOVIMIENTOS!$F$4:$F$1000,MOVIMIENTOS!$C$4:$C$1000,A238,MOVIMIENTOS!$D$4:$D$1000,B238,MOVIMIENTOS!$E$4:$E$1000,C238,MOVIMIENTOS!$B$4:$B$1000,"MUESTRA")-SUMIFS(MOVIMIENTOS!$F$4:$F$1000,MOVIMIENTOS!$C$4:$C$1000,A238,MOVIMIENTOS!$D$4:$D$1000,B238,MOVIMIENTOS!$E$4:$E$1000,C238,MOVIMIENTOS!$B$4:$B$1000,"AJUSTE-"),0)</f>
        <v>0</v>
      </c>
      <c r="F238" s="101">
        <f>IFERROR(E238*VLOOKUP(B238,TELAS!$A$4:$C$32,3,FALSE()),0)</f>
        <v>0</v>
      </c>
      <c r="G238" s="102">
        <f>IFERROR(IF(D238="OSCURO",VLOOKUP(B238,PRECIOS!$A$4:$F$32,2,FALSE()),IF(D238="CLARO",VLOOKUP(B238,PRECIOS!$A$4:$F$32,3,FALSE()),IF(D238="MELANGE",VLOOKUP(B238,PRECIOS!$A$4:$F$32,4,FALSE()),IF(D238="PPT",VLOOKUP(B238,PRECIOS!$A$4:$F$32,5,FALSE()),0)))),0)</f>
        <v>21</v>
      </c>
      <c r="H238" s="103">
        <f t="shared" si="1"/>
        <v>0</v>
      </c>
      <c r="I238" s="104" t="str">
        <f>IF(E238&lt;0,"ERROR",IF(E238=0,"",IF(E238&lt;CONFIG!$B$4,"CRÍTICO",IF(E238&lt;CONFIG!$B$5,"BAJO","OK"))))</f>
        <v/>
      </c>
    </row>
    <row r="239" ht="15.75" customHeight="1">
      <c r="A239" s="90" t="str">
        <f>IF(CLIENTES!A5="","",CLIENTES!A5)</f>
        <v>Bravos</v>
      </c>
      <c r="B239" s="67" t="str">
        <f>TELAS!A8</f>
        <v>rib 1x1</v>
      </c>
      <c r="C239" s="67" t="str">
        <f>COLORES!A19</f>
        <v/>
      </c>
      <c r="D239" s="67" t="str">
        <f>COLORES!B19</f>
        <v/>
      </c>
      <c r="E239" s="100">
        <f>IFERROR(SUMIFS(MOVIMIENTOS!$F$4:$F$1000,MOVIMIENTOS!$C$4:$C$1000,A239,MOVIMIENTOS!$D$4:$D$1000,B239,MOVIMIENTOS!$E$4:$E$1000,C239,MOVIMIENTOS!$B$4:$B$1000,"INGRESO")+SUMIFS(MOVIMIENTOS!$F$4:$F$1000,MOVIMIENTOS!$C$4:$C$1000,A239,MOVIMIENTOS!$D$4:$D$1000,B239,MOVIMIENTOS!$E$4:$E$1000,C239,MOVIMIENTOS!$B$4:$B$1000,"DE REPROCESO")+SUMIFS(MOVIMIENTOS!$F$4:$F$1000,MOVIMIENTOS!$C$4:$C$1000,A239,MOVIMIENTOS!$D$4:$D$1000,B239,MOVIMIENTOS!$E$4:$E$1000,C239,MOVIMIENTOS!$B$4:$B$1000,"AJUSTE+")-SUMIFS(MOVIMIENTOS!$F$4:$F$1000,MOVIMIENTOS!$C$4:$C$1000,A239,MOVIMIENTOS!$D$4:$D$1000,B239,MOVIMIENTOS!$E$4:$E$1000,C239,MOVIMIENTOS!$B$4:$B$1000,"A CORTE")-SUMIFS(MOVIMIENTOS!$F$4:$F$1000,MOVIMIENTOS!$C$4:$C$1000,A239,MOVIMIENTOS!$D$4:$D$1000,B239,MOVIMIENTOS!$E$4:$E$1000,C239,MOVIMIENTOS!$B$4:$B$1000,"A REPROCESO")-SUMIFS(MOVIMIENTOS!$F$4:$F$1000,MOVIMIENTOS!$C$4:$C$1000,A239,MOVIMIENTOS!$D$4:$D$1000,B239,MOVIMIENTOS!$E$4:$E$1000,C239,MOVIMIENTOS!$B$4:$B$1000,"MUESTRA")-SUMIFS(MOVIMIENTOS!$F$4:$F$1000,MOVIMIENTOS!$C$4:$C$1000,A239,MOVIMIENTOS!$D$4:$D$1000,B239,MOVIMIENTOS!$E$4:$E$1000,C239,MOVIMIENTOS!$B$4:$B$1000,"AJUSTE-"),0)</f>
        <v>0</v>
      </c>
      <c r="F239" s="101">
        <f>IFERROR(E239*VLOOKUP(B239,TELAS!$A$4:$C$32,3,FALSE()),0)</f>
        <v>0</v>
      </c>
      <c r="G239" s="102">
        <f>IFERROR(IF(D239="OSCURO",VLOOKUP(B239,PRECIOS!$A$4:$F$32,2,FALSE()),IF(D239="CLARO",VLOOKUP(B239,PRECIOS!$A$4:$F$32,3,FALSE()),IF(D239="MELANGE",VLOOKUP(B239,PRECIOS!$A$4:$F$32,4,FALSE()),IF(D239="PPT",VLOOKUP(B239,PRECIOS!$A$4:$F$32,5,FALSE()),0)))),0)</f>
        <v>0</v>
      </c>
      <c r="H239" s="103">
        <f t="shared" si="1"/>
        <v>0</v>
      </c>
      <c r="I239" s="104" t="str">
        <f>IF(E239&lt;0,"ERROR",IF(E239=0,"",IF(E239&lt;CONFIG!$B$4,"CRÍTICO",IF(E239&lt;CONFIG!$B$5,"BAJO","OK"))))</f>
        <v/>
      </c>
    </row>
    <row r="240" ht="15.75" customHeight="1">
      <c r="A240" s="90" t="str">
        <f>IF(CLIENTES!A5="","",CLIENTES!A5)</f>
        <v>Bravos</v>
      </c>
      <c r="B240" s="67" t="str">
        <f>TELAS!A8</f>
        <v>rib 1x1</v>
      </c>
      <c r="C240" s="67" t="str">
        <f>COLORES!A20</f>
        <v/>
      </c>
      <c r="D240" s="67" t="str">
        <f>COLORES!B20</f>
        <v/>
      </c>
      <c r="E240" s="100">
        <f>IFERROR(SUMIFS(MOVIMIENTOS!$F$4:$F$1000,MOVIMIENTOS!$C$4:$C$1000,A240,MOVIMIENTOS!$D$4:$D$1000,B240,MOVIMIENTOS!$E$4:$E$1000,C240,MOVIMIENTOS!$B$4:$B$1000,"INGRESO")+SUMIFS(MOVIMIENTOS!$F$4:$F$1000,MOVIMIENTOS!$C$4:$C$1000,A240,MOVIMIENTOS!$D$4:$D$1000,B240,MOVIMIENTOS!$E$4:$E$1000,C240,MOVIMIENTOS!$B$4:$B$1000,"DE REPROCESO")+SUMIFS(MOVIMIENTOS!$F$4:$F$1000,MOVIMIENTOS!$C$4:$C$1000,A240,MOVIMIENTOS!$D$4:$D$1000,B240,MOVIMIENTOS!$E$4:$E$1000,C240,MOVIMIENTOS!$B$4:$B$1000,"AJUSTE+")-SUMIFS(MOVIMIENTOS!$F$4:$F$1000,MOVIMIENTOS!$C$4:$C$1000,A240,MOVIMIENTOS!$D$4:$D$1000,B240,MOVIMIENTOS!$E$4:$E$1000,C240,MOVIMIENTOS!$B$4:$B$1000,"A CORTE")-SUMIFS(MOVIMIENTOS!$F$4:$F$1000,MOVIMIENTOS!$C$4:$C$1000,A240,MOVIMIENTOS!$D$4:$D$1000,B240,MOVIMIENTOS!$E$4:$E$1000,C240,MOVIMIENTOS!$B$4:$B$1000,"A REPROCESO")-SUMIFS(MOVIMIENTOS!$F$4:$F$1000,MOVIMIENTOS!$C$4:$C$1000,A240,MOVIMIENTOS!$D$4:$D$1000,B240,MOVIMIENTOS!$E$4:$E$1000,C240,MOVIMIENTOS!$B$4:$B$1000,"MUESTRA")-SUMIFS(MOVIMIENTOS!$F$4:$F$1000,MOVIMIENTOS!$C$4:$C$1000,A240,MOVIMIENTOS!$D$4:$D$1000,B240,MOVIMIENTOS!$E$4:$E$1000,C240,MOVIMIENTOS!$B$4:$B$1000,"AJUSTE-"),0)</f>
        <v>0</v>
      </c>
      <c r="F240" s="101">
        <f>IFERROR(E240*VLOOKUP(B240,TELAS!$A$4:$C$32,3,FALSE()),0)</f>
        <v>0</v>
      </c>
      <c r="G240" s="102">
        <f>IFERROR(IF(D240="OSCURO",VLOOKUP(B240,PRECIOS!$A$4:$F$32,2,FALSE()),IF(D240="CLARO",VLOOKUP(B240,PRECIOS!$A$4:$F$32,3,FALSE()),IF(D240="MELANGE",VLOOKUP(B240,PRECIOS!$A$4:$F$32,4,FALSE()),IF(D240="PPT",VLOOKUP(B240,PRECIOS!$A$4:$F$32,5,FALSE()),0)))),0)</f>
        <v>0</v>
      </c>
      <c r="H240" s="103">
        <f t="shared" si="1"/>
        <v>0</v>
      </c>
      <c r="I240" s="104" t="str">
        <f>IF(E240&lt;0,"ERROR",IF(E240=0,"",IF(E240&lt;CONFIG!$B$4,"CRÍTICO",IF(E240&lt;CONFIG!$B$5,"BAJO","OK"))))</f>
        <v/>
      </c>
    </row>
    <row r="241" ht="15.75" customHeight="1">
      <c r="A241" s="90" t="str">
        <f>IF(CLIENTES!A5="","",CLIENTES!A5)</f>
        <v>Bravos</v>
      </c>
      <c r="B241" s="67" t="str">
        <f>TELAS!A8</f>
        <v>rib 1x1</v>
      </c>
      <c r="C241" s="67" t="str">
        <f>COLORES!A21</f>
        <v/>
      </c>
      <c r="D241" s="67" t="str">
        <f>COLORES!B21</f>
        <v/>
      </c>
      <c r="E241" s="100">
        <f>IFERROR(SUMIFS(MOVIMIENTOS!$F$4:$F$1000,MOVIMIENTOS!$C$4:$C$1000,A241,MOVIMIENTOS!$D$4:$D$1000,B241,MOVIMIENTOS!$E$4:$E$1000,C241,MOVIMIENTOS!$B$4:$B$1000,"INGRESO")+SUMIFS(MOVIMIENTOS!$F$4:$F$1000,MOVIMIENTOS!$C$4:$C$1000,A241,MOVIMIENTOS!$D$4:$D$1000,B241,MOVIMIENTOS!$E$4:$E$1000,C241,MOVIMIENTOS!$B$4:$B$1000,"DE REPROCESO")+SUMIFS(MOVIMIENTOS!$F$4:$F$1000,MOVIMIENTOS!$C$4:$C$1000,A241,MOVIMIENTOS!$D$4:$D$1000,B241,MOVIMIENTOS!$E$4:$E$1000,C241,MOVIMIENTOS!$B$4:$B$1000,"AJUSTE+")-SUMIFS(MOVIMIENTOS!$F$4:$F$1000,MOVIMIENTOS!$C$4:$C$1000,A241,MOVIMIENTOS!$D$4:$D$1000,B241,MOVIMIENTOS!$E$4:$E$1000,C241,MOVIMIENTOS!$B$4:$B$1000,"A CORTE")-SUMIFS(MOVIMIENTOS!$F$4:$F$1000,MOVIMIENTOS!$C$4:$C$1000,A241,MOVIMIENTOS!$D$4:$D$1000,B241,MOVIMIENTOS!$E$4:$E$1000,C241,MOVIMIENTOS!$B$4:$B$1000,"A REPROCESO")-SUMIFS(MOVIMIENTOS!$F$4:$F$1000,MOVIMIENTOS!$C$4:$C$1000,A241,MOVIMIENTOS!$D$4:$D$1000,B241,MOVIMIENTOS!$E$4:$E$1000,C241,MOVIMIENTOS!$B$4:$B$1000,"MUESTRA")-SUMIFS(MOVIMIENTOS!$F$4:$F$1000,MOVIMIENTOS!$C$4:$C$1000,A241,MOVIMIENTOS!$D$4:$D$1000,B241,MOVIMIENTOS!$E$4:$E$1000,C241,MOVIMIENTOS!$B$4:$B$1000,"AJUSTE-"),0)</f>
        <v>0</v>
      </c>
      <c r="F241" s="101">
        <f>IFERROR(E241*VLOOKUP(B241,TELAS!$A$4:$C$32,3,FALSE()),0)</f>
        <v>0</v>
      </c>
      <c r="G241" s="102">
        <f>IFERROR(IF(D241="OSCURO",VLOOKUP(B241,PRECIOS!$A$4:$F$32,2,FALSE()),IF(D241="CLARO",VLOOKUP(B241,PRECIOS!$A$4:$F$32,3,FALSE()),IF(D241="MELANGE",VLOOKUP(B241,PRECIOS!$A$4:$F$32,4,FALSE()),IF(D241="PPT",VLOOKUP(B241,PRECIOS!$A$4:$F$32,5,FALSE()),0)))),0)</f>
        <v>0</v>
      </c>
      <c r="H241" s="103">
        <f t="shared" si="1"/>
        <v>0</v>
      </c>
      <c r="I241" s="104" t="str">
        <f>IF(E241&lt;0,"ERROR",IF(E241=0,"",IF(E241&lt;CONFIG!$B$4,"CRÍTICO",IF(E241&lt;CONFIG!$B$5,"BAJO","OK"))))</f>
        <v/>
      </c>
    </row>
    <row r="242" ht="15.75" customHeight="1">
      <c r="A242" s="90" t="str">
        <f>IF(CLIENTES!A5="","",CLIENTES!A5)</f>
        <v>Bravos</v>
      </c>
      <c r="B242" s="67" t="str">
        <f>TELAS!A8</f>
        <v>rib 1x1</v>
      </c>
      <c r="C242" s="67" t="str">
        <f>COLORES!A22</f>
        <v/>
      </c>
      <c r="D242" s="67" t="str">
        <f>COLORES!B22</f>
        <v/>
      </c>
      <c r="E242" s="100">
        <f>IFERROR(SUMIFS(MOVIMIENTOS!$F$4:$F$1000,MOVIMIENTOS!$C$4:$C$1000,A242,MOVIMIENTOS!$D$4:$D$1000,B242,MOVIMIENTOS!$E$4:$E$1000,C242,MOVIMIENTOS!$B$4:$B$1000,"INGRESO")+SUMIFS(MOVIMIENTOS!$F$4:$F$1000,MOVIMIENTOS!$C$4:$C$1000,A242,MOVIMIENTOS!$D$4:$D$1000,B242,MOVIMIENTOS!$E$4:$E$1000,C242,MOVIMIENTOS!$B$4:$B$1000,"DE REPROCESO")+SUMIFS(MOVIMIENTOS!$F$4:$F$1000,MOVIMIENTOS!$C$4:$C$1000,A242,MOVIMIENTOS!$D$4:$D$1000,B242,MOVIMIENTOS!$E$4:$E$1000,C242,MOVIMIENTOS!$B$4:$B$1000,"AJUSTE+")-SUMIFS(MOVIMIENTOS!$F$4:$F$1000,MOVIMIENTOS!$C$4:$C$1000,A242,MOVIMIENTOS!$D$4:$D$1000,B242,MOVIMIENTOS!$E$4:$E$1000,C242,MOVIMIENTOS!$B$4:$B$1000,"A CORTE")-SUMIFS(MOVIMIENTOS!$F$4:$F$1000,MOVIMIENTOS!$C$4:$C$1000,A242,MOVIMIENTOS!$D$4:$D$1000,B242,MOVIMIENTOS!$E$4:$E$1000,C242,MOVIMIENTOS!$B$4:$B$1000,"A REPROCESO")-SUMIFS(MOVIMIENTOS!$F$4:$F$1000,MOVIMIENTOS!$C$4:$C$1000,A242,MOVIMIENTOS!$D$4:$D$1000,B242,MOVIMIENTOS!$E$4:$E$1000,C242,MOVIMIENTOS!$B$4:$B$1000,"MUESTRA")-SUMIFS(MOVIMIENTOS!$F$4:$F$1000,MOVIMIENTOS!$C$4:$C$1000,A242,MOVIMIENTOS!$D$4:$D$1000,B242,MOVIMIENTOS!$E$4:$E$1000,C242,MOVIMIENTOS!$B$4:$B$1000,"AJUSTE-"),0)</f>
        <v>0</v>
      </c>
      <c r="F242" s="101">
        <f>IFERROR(E242*VLOOKUP(B242,TELAS!$A$4:$C$32,3,FALSE()),0)</f>
        <v>0</v>
      </c>
      <c r="G242" s="102">
        <f>IFERROR(IF(D242="OSCURO",VLOOKUP(B242,PRECIOS!$A$4:$F$32,2,FALSE()),IF(D242="CLARO",VLOOKUP(B242,PRECIOS!$A$4:$F$32,3,FALSE()),IF(D242="MELANGE",VLOOKUP(B242,PRECIOS!$A$4:$F$32,4,FALSE()),IF(D242="PPT",VLOOKUP(B242,PRECIOS!$A$4:$F$32,5,FALSE()),0)))),0)</f>
        <v>0</v>
      </c>
      <c r="H242" s="103">
        <f t="shared" si="1"/>
        <v>0</v>
      </c>
      <c r="I242" s="104" t="str">
        <f>IF(E242&lt;0,"ERROR",IF(E242=0,"",IF(E242&lt;CONFIG!$B$4,"CRÍTICO",IF(E242&lt;CONFIG!$B$5,"BAJO","OK"))))</f>
        <v/>
      </c>
    </row>
    <row r="243" ht="15.75" customHeight="1">
      <c r="A243" s="90" t="str">
        <f>IF(CLIENTES!A5="","",CLIENTES!A5)</f>
        <v>Bravos</v>
      </c>
      <c r="B243" s="67" t="str">
        <f>TELAS!A8</f>
        <v>rib 1x1</v>
      </c>
      <c r="C243" s="67" t="str">
        <f>COLORES!A23</f>
        <v/>
      </c>
      <c r="D243" s="67" t="str">
        <f>COLORES!B23</f>
        <v/>
      </c>
      <c r="E243" s="100">
        <f>IFERROR(SUMIFS(MOVIMIENTOS!$F$4:$F$1000,MOVIMIENTOS!$C$4:$C$1000,A243,MOVIMIENTOS!$D$4:$D$1000,B243,MOVIMIENTOS!$E$4:$E$1000,C243,MOVIMIENTOS!$B$4:$B$1000,"INGRESO")+SUMIFS(MOVIMIENTOS!$F$4:$F$1000,MOVIMIENTOS!$C$4:$C$1000,A243,MOVIMIENTOS!$D$4:$D$1000,B243,MOVIMIENTOS!$E$4:$E$1000,C243,MOVIMIENTOS!$B$4:$B$1000,"DE REPROCESO")+SUMIFS(MOVIMIENTOS!$F$4:$F$1000,MOVIMIENTOS!$C$4:$C$1000,A243,MOVIMIENTOS!$D$4:$D$1000,B243,MOVIMIENTOS!$E$4:$E$1000,C243,MOVIMIENTOS!$B$4:$B$1000,"AJUSTE+")-SUMIFS(MOVIMIENTOS!$F$4:$F$1000,MOVIMIENTOS!$C$4:$C$1000,A243,MOVIMIENTOS!$D$4:$D$1000,B243,MOVIMIENTOS!$E$4:$E$1000,C243,MOVIMIENTOS!$B$4:$B$1000,"A CORTE")-SUMIFS(MOVIMIENTOS!$F$4:$F$1000,MOVIMIENTOS!$C$4:$C$1000,A243,MOVIMIENTOS!$D$4:$D$1000,B243,MOVIMIENTOS!$E$4:$E$1000,C243,MOVIMIENTOS!$B$4:$B$1000,"A REPROCESO")-SUMIFS(MOVIMIENTOS!$F$4:$F$1000,MOVIMIENTOS!$C$4:$C$1000,A243,MOVIMIENTOS!$D$4:$D$1000,B243,MOVIMIENTOS!$E$4:$E$1000,C243,MOVIMIENTOS!$B$4:$B$1000,"MUESTRA")-SUMIFS(MOVIMIENTOS!$F$4:$F$1000,MOVIMIENTOS!$C$4:$C$1000,A243,MOVIMIENTOS!$D$4:$D$1000,B243,MOVIMIENTOS!$E$4:$E$1000,C243,MOVIMIENTOS!$B$4:$B$1000,"AJUSTE-"),0)</f>
        <v>0</v>
      </c>
      <c r="F243" s="101">
        <f>IFERROR(E243*VLOOKUP(B243,TELAS!$A$4:$C$32,3,FALSE()),0)</f>
        <v>0</v>
      </c>
      <c r="G243" s="102">
        <f>IFERROR(IF(D243="OSCURO",VLOOKUP(B243,PRECIOS!$A$4:$F$32,2,FALSE()),IF(D243="CLARO",VLOOKUP(B243,PRECIOS!$A$4:$F$32,3,FALSE()),IF(D243="MELANGE",VLOOKUP(B243,PRECIOS!$A$4:$F$32,4,FALSE()),IF(D243="PPT",VLOOKUP(B243,PRECIOS!$A$4:$F$32,5,FALSE()),0)))),0)</f>
        <v>0</v>
      </c>
      <c r="H243" s="103">
        <f t="shared" si="1"/>
        <v>0</v>
      </c>
      <c r="I243" s="104" t="str">
        <f>IF(E243&lt;0,"ERROR",IF(E243=0,"",IF(E243&lt;CONFIG!$B$4,"CRÍTICO",IF(E243&lt;CONFIG!$B$5,"BAJO","OK"))))</f>
        <v/>
      </c>
    </row>
    <row r="244" ht="15.75" customHeight="1">
      <c r="A244" s="90" t="str">
        <f>IF(CLIENTES!A5="","",CLIENTES!A5)</f>
        <v>Bravos</v>
      </c>
      <c r="B244" s="67" t="str">
        <f>TELAS!A9</f>
        <v>rib 2x1 lycrado</v>
      </c>
      <c r="C244" s="67" t="str">
        <f>COLORES!A4</f>
        <v>Negro</v>
      </c>
      <c r="D244" s="67" t="str">
        <f>COLORES!B4</f>
        <v>OSCURO</v>
      </c>
      <c r="E244" s="100">
        <f>IFERROR(SUMIFS(MOVIMIENTOS!$F$4:$F$1000,MOVIMIENTOS!$C$4:$C$1000,A244,MOVIMIENTOS!$D$4:$D$1000,B244,MOVIMIENTOS!$E$4:$E$1000,C244,MOVIMIENTOS!$B$4:$B$1000,"INGRESO")+SUMIFS(MOVIMIENTOS!$F$4:$F$1000,MOVIMIENTOS!$C$4:$C$1000,A244,MOVIMIENTOS!$D$4:$D$1000,B244,MOVIMIENTOS!$E$4:$E$1000,C244,MOVIMIENTOS!$B$4:$B$1000,"DE REPROCESO")+SUMIFS(MOVIMIENTOS!$F$4:$F$1000,MOVIMIENTOS!$C$4:$C$1000,A244,MOVIMIENTOS!$D$4:$D$1000,B244,MOVIMIENTOS!$E$4:$E$1000,C244,MOVIMIENTOS!$B$4:$B$1000,"AJUSTE+")-SUMIFS(MOVIMIENTOS!$F$4:$F$1000,MOVIMIENTOS!$C$4:$C$1000,A244,MOVIMIENTOS!$D$4:$D$1000,B244,MOVIMIENTOS!$E$4:$E$1000,C244,MOVIMIENTOS!$B$4:$B$1000,"A CORTE")-SUMIFS(MOVIMIENTOS!$F$4:$F$1000,MOVIMIENTOS!$C$4:$C$1000,A244,MOVIMIENTOS!$D$4:$D$1000,B244,MOVIMIENTOS!$E$4:$E$1000,C244,MOVIMIENTOS!$B$4:$B$1000,"A REPROCESO")-SUMIFS(MOVIMIENTOS!$F$4:$F$1000,MOVIMIENTOS!$C$4:$C$1000,A244,MOVIMIENTOS!$D$4:$D$1000,B244,MOVIMIENTOS!$E$4:$E$1000,C244,MOVIMIENTOS!$B$4:$B$1000,"MUESTRA")-SUMIFS(MOVIMIENTOS!$F$4:$F$1000,MOVIMIENTOS!$C$4:$C$1000,A244,MOVIMIENTOS!$D$4:$D$1000,B244,MOVIMIENTOS!$E$4:$E$1000,C244,MOVIMIENTOS!$B$4:$B$1000,"AJUSTE-"),0)</f>
        <v>-5</v>
      </c>
      <c r="F244" s="101">
        <f>IFERROR(E244*VLOOKUP(B244,TELAS!$A$4:$C$32,3,FALSE()),0)</f>
        <v>-100</v>
      </c>
      <c r="G244" s="102">
        <f>IFERROR(IF(D244="OSCURO",VLOOKUP(B244,PRECIOS!$A$4:$F$32,2,FALSE()),IF(D244="CLARO",VLOOKUP(B244,PRECIOS!$A$4:$F$32,3,FALSE()),IF(D244="MELANGE",VLOOKUP(B244,PRECIOS!$A$4:$F$32,4,FALSE()),IF(D244="PPT",VLOOKUP(B244,PRECIOS!$A$4:$F$32,5,FALSE()),0)))),0)</f>
        <v>24</v>
      </c>
      <c r="H244" s="103">
        <f t="shared" si="1"/>
        <v>-2400</v>
      </c>
      <c r="I244" s="104" t="str">
        <f>IF(E244&lt;0,"ERROR",IF(E244=0,"",IF(E244&lt;CONFIG!$B$4,"CRÍTICO",IF(E244&lt;CONFIG!$B$5,"BAJO","OK"))))</f>
        <v>ERROR</v>
      </c>
    </row>
    <row r="245" ht="15.75" customHeight="1">
      <c r="A245" s="90" t="str">
        <f>IF(CLIENTES!A5="","",CLIENTES!A5)</f>
        <v>Bravos</v>
      </c>
      <c r="B245" s="67" t="str">
        <f>TELAS!A9</f>
        <v>rib 2x1 lycrado</v>
      </c>
      <c r="C245" s="67" t="str">
        <f>COLORES!A5</f>
        <v>Perla</v>
      </c>
      <c r="D245" s="67" t="str">
        <f>COLORES!B5</f>
        <v>PPT</v>
      </c>
      <c r="E245" s="100">
        <f>IFERROR(SUMIFS(MOVIMIENTOS!$F$4:$F$1000,MOVIMIENTOS!$C$4:$C$1000,A245,MOVIMIENTOS!$D$4:$D$1000,B245,MOVIMIENTOS!$E$4:$E$1000,C245,MOVIMIENTOS!$B$4:$B$1000,"INGRESO")+SUMIFS(MOVIMIENTOS!$F$4:$F$1000,MOVIMIENTOS!$C$4:$C$1000,A245,MOVIMIENTOS!$D$4:$D$1000,B245,MOVIMIENTOS!$E$4:$E$1000,C245,MOVIMIENTOS!$B$4:$B$1000,"DE REPROCESO")+SUMIFS(MOVIMIENTOS!$F$4:$F$1000,MOVIMIENTOS!$C$4:$C$1000,A245,MOVIMIENTOS!$D$4:$D$1000,B245,MOVIMIENTOS!$E$4:$E$1000,C245,MOVIMIENTOS!$B$4:$B$1000,"AJUSTE+")-SUMIFS(MOVIMIENTOS!$F$4:$F$1000,MOVIMIENTOS!$C$4:$C$1000,A245,MOVIMIENTOS!$D$4:$D$1000,B245,MOVIMIENTOS!$E$4:$E$1000,C245,MOVIMIENTOS!$B$4:$B$1000,"A CORTE")-SUMIFS(MOVIMIENTOS!$F$4:$F$1000,MOVIMIENTOS!$C$4:$C$1000,A245,MOVIMIENTOS!$D$4:$D$1000,B245,MOVIMIENTOS!$E$4:$E$1000,C245,MOVIMIENTOS!$B$4:$B$1000,"A REPROCESO")-SUMIFS(MOVIMIENTOS!$F$4:$F$1000,MOVIMIENTOS!$C$4:$C$1000,A245,MOVIMIENTOS!$D$4:$D$1000,B245,MOVIMIENTOS!$E$4:$E$1000,C245,MOVIMIENTOS!$B$4:$B$1000,"MUESTRA")-SUMIFS(MOVIMIENTOS!$F$4:$F$1000,MOVIMIENTOS!$C$4:$C$1000,A245,MOVIMIENTOS!$D$4:$D$1000,B245,MOVIMIENTOS!$E$4:$E$1000,C245,MOVIMIENTOS!$B$4:$B$1000,"AJUSTE-"),0)</f>
        <v>-2</v>
      </c>
      <c r="F245" s="101">
        <f>IFERROR(E245*VLOOKUP(B245,TELAS!$A$4:$C$32,3,FALSE()),0)</f>
        <v>-40</v>
      </c>
      <c r="G245" s="102">
        <f>IFERROR(IF(D245="OSCURO",VLOOKUP(B245,PRECIOS!$A$4:$F$32,2,FALSE()),IF(D245="CLARO",VLOOKUP(B245,PRECIOS!$A$4:$F$32,3,FALSE()),IF(D245="MELANGE",VLOOKUP(B245,PRECIOS!$A$4:$F$32,4,FALSE()),IF(D245="PPT",VLOOKUP(B245,PRECIOS!$A$4:$F$32,5,FALSE()),0)))),0)</f>
        <v>18</v>
      </c>
      <c r="H245" s="103">
        <f t="shared" si="1"/>
        <v>-720</v>
      </c>
      <c r="I245" s="104" t="str">
        <f>IF(E245&lt;0,"ERROR",IF(E245=0,"",IF(E245&lt;CONFIG!$B$4,"CRÍTICO",IF(E245&lt;CONFIG!$B$5,"BAJO","OK"))))</f>
        <v>ERROR</v>
      </c>
    </row>
    <row r="246" ht="15.75" customHeight="1">
      <c r="A246" s="90" t="str">
        <f>IF(CLIENTES!A5="","",CLIENTES!A5)</f>
        <v>Bravos</v>
      </c>
      <c r="B246" s="67" t="str">
        <f>TELAS!A9</f>
        <v>rib 2x1 lycrado</v>
      </c>
      <c r="C246" s="67" t="str">
        <f>COLORES!A6</f>
        <v>Blanco</v>
      </c>
      <c r="D246" s="67" t="str">
        <f>COLORES!B6</f>
        <v>PPT</v>
      </c>
      <c r="E246" s="100">
        <f>IFERROR(SUMIFS(MOVIMIENTOS!$F$4:$F$1000,MOVIMIENTOS!$C$4:$C$1000,A246,MOVIMIENTOS!$D$4:$D$1000,B246,MOVIMIENTOS!$E$4:$E$1000,C246,MOVIMIENTOS!$B$4:$B$1000,"INGRESO")+SUMIFS(MOVIMIENTOS!$F$4:$F$1000,MOVIMIENTOS!$C$4:$C$1000,A246,MOVIMIENTOS!$D$4:$D$1000,B246,MOVIMIENTOS!$E$4:$E$1000,C246,MOVIMIENTOS!$B$4:$B$1000,"DE REPROCESO")+SUMIFS(MOVIMIENTOS!$F$4:$F$1000,MOVIMIENTOS!$C$4:$C$1000,A246,MOVIMIENTOS!$D$4:$D$1000,B246,MOVIMIENTOS!$E$4:$E$1000,C246,MOVIMIENTOS!$B$4:$B$1000,"AJUSTE+")-SUMIFS(MOVIMIENTOS!$F$4:$F$1000,MOVIMIENTOS!$C$4:$C$1000,A246,MOVIMIENTOS!$D$4:$D$1000,B246,MOVIMIENTOS!$E$4:$E$1000,C246,MOVIMIENTOS!$B$4:$B$1000,"A CORTE")-SUMIFS(MOVIMIENTOS!$F$4:$F$1000,MOVIMIENTOS!$C$4:$C$1000,A246,MOVIMIENTOS!$D$4:$D$1000,B246,MOVIMIENTOS!$E$4:$E$1000,C246,MOVIMIENTOS!$B$4:$B$1000,"A REPROCESO")-SUMIFS(MOVIMIENTOS!$F$4:$F$1000,MOVIMIENTOS!$C$4:$C$1000,A246,MOVIMIENTOS!$D$4:$D$1000,B246,MOVIMIENTOS!$E$4:$E$1000,C246,MOVIMIENTOS!$B$4:$B$1000,"MUESTRA")-SUMIFS(MOVIMIENTOS!$F$4:$F$1000,MOVIMIENTOS!$C$4:$C$1000,A246,MOVIMIENTOS!$D$4:$D$1000,B246,MOVIMIENTOS!$E$4:$E$1000,C246,MOVIMIENTOS!$B$4:$B$1000,"AJUSTE-"),0)</f>
        <v>0</v>
      </c>
      <c r="F246" s="101">
        <f>IFERROR(E246*VLOOKUP(B246,TELAS!$A$4:$C$32,3,FALSE()),0)</f>
        <v>0</v>
      </c>
      <c r="G246" s="102">
        <f>IFERROR(IF(D246="OSCURO",VLOOKUP(B246,PRECIOS!$A$4:$F$32,2,FALSE()),IF(D246="CLARO",VLOOKUP(B246,PRECIOS!$A$4:$F$32,3,FALSE()),IF(D246="MELANGE",VLOOKUP(B246,PRECIOS!$A$4:$F$32,4,FALSE()),IF(D246="PPT",VLOOKUP(B246,PRECIOS!$A$4:$F$32,5,FALSE()),0)))),0)</f>
        <v>18</v>
      </c>
      <c r="H246" s="103">
        <f t="shared" si="1"/>
        <v>0</v>
      </c>
      <c r="I246" s="104" t="str">
        <f>IF(E246&lt;0,"ERROR",IF(E246=0,"",IF(E246&lt;CONFIG!$B$4,"CRÍTICO",IF(E246&lt;CONFIG!$B$5,"BAJO","OK"))))</f>
        <v/>
      </c>
    </row>
    <row r="247" ht="15.75" customHeight="1">
      <c r="A247" s="90" t="str">
        <f>IF(CLIENTES!A5="","",CLIENTES!A5)</f>
        <v>Bravos</v>
      </c>
      <c r="B247" s="67" t="str">
        <f>TELAS!A9</f>
        <v>rib 2x1 lycrado</v>
      </c>
      <c r="C247" s="67" t="str">
        <f>COLORES!A7</f>
        <v>Azul</v>
      </c>
      <c r="D247" s="67" t="str">
        <f>COLORES!B7</f>
        <v>OSCURO</v>
      </c>
      <c r="E247" s="100">
        <f>IFERROR(SUMIFS(MOVIMIENTOS!$F$4:$F$1000,MOVIMIENTOS!$C$4:$C$1000,A247,MOVIMIENTOS!$D$4:$D$1000,B247,MOVIMIENTOS!$E$4:$E$1000,C247,MOVIMIENTOS!$B$4:$B$1000,"INGRESO")+SUMIFS(MOVIMIENTOS!$F$4:$F$1000,MOVIMIENTOS!$C$4:$C$1000,A247,MOVIMIENTOS!$D$4:$D$1000,B247,MOVIMIENTOS!$E$4:$E$1000,C247,MOVIMIENTOS!$B$4:$B$1000,"DE REPROCESO")+SUMIFS(MOVIMIENTOS!$F$4:$F$1000,MOVIMIENTOS!$C$4:$C$1000,A247,MOVIMIENTOS!$D$4:$D$1000,B247,MOVIMIENTOS!$E$4:$E$1000,C247,MOVIMIENTOS!$B$4:$B$1000,"AJUSTE+")-SUMIFS(MOVIMIENTOS!$F$4:$F$1000,MOVIMIENTOS!$C$4:$C$1000,A247,MOVIMIENTOS!$D$4:$D$1000,B247,MOVIMIENTOS!$E$4:$E$1000,C247,MOVIMIENTOS!$B$4:$B$1000,"A CORTE")-SUMIFS(MOVIMIENTOS!$F$4:$F$1000,MOVIMIENTOS!$C$4:$C$1000,A247,MOVIMIENTOS!$D$4:$D$1000,B247,MOVIMIENTOS!$E$4:$E$1000,C247,MOVIMIENTOS!$B$4:$B$1000,"A REPROCESO")-SUMIFS(MOVIMIENTOS!$F$4:$F$1000,MOVIMIENTOS!$C$4:$C$1000,A247,MOVIMIENTOS!$D$4:$D$1000,B247,MOVIMIENTOS!$E$4:$E$1000,C247,MOVIMIENTOS!$B$4:$B$1000,"MUESTRA")-SUMIFS(MOVIMIENTOS!$F$4:$F$1000,MOVIMIENTOS!$C$4:$C$1000,A247,MOVIMIENTOS!$D$4:$D$1000,B247,MOVIMIENTOS!$E$4:$E$1000,C247,MOVIMIENTOS!$B$4:$B$1000,"AJUSTE-"),0)</f>
        <v>0</v>
      </c>
      <c r="F247" s="101">
        <f>IFERROR(E247*VLOOKUP(B247,TELAS!$A$4:$C$32,3,FALSE()),0)</f>
        <v>0</v>
      </c>
      <c r="G247" s="102">
        <f>IFERROR(IF(D247="OSCURO",VLOOKUP(B247,PRECIOS!$A$4:$F$32,2,FALSE()),IF(D247="CLARO",VLOOKUP(B247,PRECIOS!$A$4:$F$32,3,FALSE()),IF(D247="MELANGE",VLOOKUP(B247,PRECIOS!$A$4:$F$32,4,FALSE()),IF(D247="PPT",VLOOKUP(B247,PRECIOS!$A$4:$F$32,5,FALSE()),0)))),0)</f>
        <v>24</v>
      </c>
      <c r="H247" s="103">
        <f t="shared" si="1"/>
        <v>0</v>
      </c>
      <c r="I247" s="104" t="str">
        <f>IF(E247&lt;0,"ERROR",IF(E247=0,"",IF(E247&lt;CONFIG!$B$4,"CRÍTICO",IF(E247&lt;CONFIG!$B$5,"BAJO","OK"))))</f>
        <v/>
      </c>
    </row>
    <row r="248" ht="15.75" customHeight="1">
      <c r="A248" s="90" t="str">
        <f>IF(CLIENTES!A5="","",CLIENTES!A5)</f>
        <v>Bravos</v>
      </c>
      <c r="B248" s="67" t="str">
        <f>TELAS!A9</f>
        <v>rib 2x1 lycrado</v>
      </c>
      <c r="C248" s="67" t="str">
        <f>COLORES!A8</f>
        <v>Beige</v>
      </c>
      <c r="D248" s="67" t="str">
        <f>COLORES!B8</f>
        <v>CLARO</v>
      </c>
      <c r="E248" s="100">
        <f>IFERROR(SUMIFS(MOVIMIENTOS!$F$4:$F$1000,MOVIMIENTOS!$C$4:$C$1000,A248,MOVIMIENTOS!$D$4:$D$1000,B248,MOVIMIENTOS!$E$4:$E$1000,C248,MOVIMIENTOS!$B$4:$B$1000,"INGRESO")+SUMIFS(MOVIMIENTOS!$F$4:$F$1000,MOVIMIENTOS!$C$4:$C$1000,A248,MOVIMIENTOS!$D$4:$D$1000,B248,MOVIMIENTOS!$E$4:$E$1000,C248,MOVIMIENTOS!$B$4:$B$1000,"DE REPROCESO")+SUMIFS(MOVIMIENTOS!$F$4:$F$1000,MOVIMIENTOS!$C$4:$C$1000,A248,MOVIMIENTOS!$D$4:$D$1000,B248,MOVIMIENTOS!$E$4:$E$1000,C248,MOVIMIENTOS!$B$4:$B$1000,"AJUSTE+")-SUMIFS(MOVIMIENTOS!$F$4:$F$1000,MOVIMIENTOS!$C$4:$C$1000,A248,MOVIMIENTOS!$D$4:$D$1000,B248,MOVIMIENTOS!$E$4:$E$1000,C248,MOVIMIENTOS!$B$4:$B$1000,"A CORTE")-SUMIFS(MOVIMIENTOS!$F$4:$F$1000,MOVIMIENTOS!$C$4:$C$1000,A248,MOVIMIENTOS!$D$4:$D$1000,B248,MOVIMIENTOS!$E$4:$E$1000,C248,MOVIMIENTOS!$B$4:$B$1000,"A REPROCESO")-SUMIFS(MOVIMIENTOS!$F$4:$F$1000,MOVIMIENTOS!$C$4:$C$1000,A248,MOVIMIENTOS!$D$4:$D$1000,B248,MOVIMIENTOS!$E$4:$E$1000,C248,MOVIMIENTOS!$B$4:$B$1000,"MUESTRA")-SUMIFS(MOVIMIENTOS!$F$4:$F$1000,MOVIMIENTOS!$C$4:$C$1000,A248,MOVIMIENTOS!$D$4:$D$1000,B248,MOVIMIENTOS!$E$4:$E$1000,C248,MOVIMIENTOS!$B$4:$B$1000,"AJUSTE-"),0)</f>
        <v>-1</v>
      </c>
      <c r="F248" s="101">
        <f>IFERROR(E248*VLOOKUP(B248,TELAS!$A$4:$C$32,3,FALSE()),0)</f>
        <v>-20</v>
      </c>
      <c r="G248" s="102">
        <f>IFERROR(IF(D248="OSCURO",VLOOKUP(B248,PRECIOS!$A$4:$F$32,2,FALSE()),IF(D248="CLARO",VLOOKUP(B248,PRECIOS!$A$4:$F$32,3,FALSE()),IF(D248="MELANGE",VLOOKUP(B248,PRECIOS!$A$4:$F$32,4,FALSE()),IF(D248="PPT",VLOOKUP(B248,PRECIOS!$A$4:$F$32,5,FALSE()),0)))),0)</f>
        <v>21</v>
      </c>
      <c r="H248" s="103">
        <f t="shared" si="1"/>
        <v>-420</v>
      </c>
      <c r="I248" s="104" t="str">
        <f>IF(E248&lt;0,"ERROR",IF(E248=0,"",IF(E248&lt;CONFIG!$B$4,"CRÍTICO",IF(E248&lt;CONFIG!$B$5,"BAJO","OK"))))</f>
        <v>ERROR</v>
      </c>
    </row>
    <row r="249" ht="15.75" customHeight="1">
      <c r="A249" s="90" t="str">
        <f>IF(CLIENTES!A5="","",CLIENTES!A5)</f>
        <v>Bravos</v>
      </c>
      <c r="B249" s="67" t="str">
        <f>TELAS!A9</f>
        <v>rib 2x1 lycrado</v>
      </c>
      <c r="C249" s="67" t="str">
        <f>COLORES!A9</f>
        <v>Melange</v>
      </c>
      <c r="D249" s="67" t="str">
        <f>COLORES!B9</f>
        <v>MELANGE</v>
      </c>
      <c r="E249" s="100">
        <f>IFERROR(SUMIFS(MOVIMIENTOS!$F$4:$F$1000,MOVIMIENTOS!$C$4:$C$1000,A249,MOVIMIENTOS!$D$4:$D$1000,B249,MOVIMIENTOS!$E$4:$E$1000,C249,MOVIMIENTOS!$B$4:$B$1000,"INGRESO")+SUMIFS(MOVIMIENTOS!$F$4:$F$1000,MOVIMIENTOS!$C$4:$C$1000,A249,MOVIMIENTOS!$D$4:$D$1000,B249,MOVIMIENTOS!$E$4:$E$1000,C249,MOVIMIENTOS!$B$4:$B$1000,"DE REPROCESO")+SUMIFS(MOVIMIENTOS!$F$4:$F$1000,MOVIMIENTOS!$C$4:$C$1000,A249,MOVIMIENTOS!$D$4:$D$1000,B249,MOVIMIENTOS!$E$4:$E$1000,C249,MOVIMIENTOS!$B$4:$B$1000,"AJUSTE+")-SUMIFS(MOVIMIENTOS!$F$4:$F$1000,MOVIMIENTOS!$C$4:$C$1000,A249,MOVIMIENTOS!$D$4:$D$1000,B249,MOVIMIENTOS!$E$4:$E$1000,C249,MOVIMIENTOS!$B$4:$B$1000,"A CORTE")-SUMIFS(MOVIMIENTOS!$F$4:$F$1000,MOVIMIENTOS!$C$4:$C$1000,A249,MOVIMIENTOS!$D$4:$D$1000,B249,MOVIMIENTOS!$E$4:$E$1000,C249,MOVIMIENTOS!$B$4:$B$1000,"A REPROCESO")-SUMIFS(MOVIMIENTOS!$F$4:$F$1000,MOVIMIENTOS!$C$4:$C$1000,A249,MOVIMIENTOS!$D$4:$D$1000,B249,MOVIMIENTOS!$E$4:$E$1000,C249,MOVIMIENTOS!$B$4:$B$1000,"MUESTRA")-SUMIFS(MOVIMIENTOS!$F$4:$F$1000,MOVIMIENTOS!$C$4:$C$1000,A249,MOVIMIENTOS!$D$4:$D$1000,B249,MOVIMIENTOS!$E$4:$E$1000,C249,MOVIMIENTOS!$B$4:$B$1000,"AJUSTE-"),0)</f>
        <v>0</v>
      </c>
      <c r="F249" s="101">
        <f>IFERROR(E249*VLOOKUP(B249,TELAS!$A$4:$C$32,3,FALSE()),0)</f>
        <v>0</v>
      </c>
      <c r="G249" s="102">
        <f>IFERROR(IF(D249="OSCURO",VLOOKUP(B249,PRECIOS!$A$4:$F$32,2,FALSE()),IF(D249="CLARO",VLOOKUP(B249,PRECIOS!$A$4:$F$32,3,FALSE()),IF(D249="MELANGE",VLOOKUP(B249,PRECIOS!$A$4:$F$32,4,FALSE()),IF(D249="PPT",VLOOKUP(B249,PRECIOS!$A$4:$F$32,5,FALSE()),0)))),0)</f>
        <v>18</v>
      </c>
      <c r="H249" s="103">
        <f t="shared" si="1"/>
        <v>0</v>
      </c>
      <c r="I249" s="104" t="str">
        <f>IF(E249&lt;0,"ERROR",IF(E249=0,"",IF(E249&lt;CONFIG!$B$4,"CRÍTICO",IF(E249&lt;CONFIG!$B$5,"BAJO","OK"))))</f>
        <v/>
      </c>
    </row>
    <row r="250" ht="15.75" customHeight="1">
      <c r="A250" s="90" t="str">
        <f>IF(CLIENTES!A5="","",CLIENTES!A5)</f>
        <v>Bravos</v>
      </c>
      <c r="B250" s="67" t="str">
        <f>TELAS!A9</f>
        <v>rib 2x1 lycrado</v>
      </c>
      <c r="C250" s="67" t="str">
        <f>COLORES!A10</f>
        <v>Botella</v>
      </c>
      <c r="D250" s="67" t="str">
        <f>COLORES!B10</f>
        <v>OSCURO</v>
      </c>
      <c r="E250" s="100">
        <f>IFERROR(SUMIFS(MOVIMIENTOS!$F$4:$F$1000,MOVIMIENTOS!$C$4:$C$1000,A250,MOVIMIENTOS!$D$4:$D$1000,B250,MOVIMIENTOS!$E$4:$E$1000,C250,MOVIMIENTOS!$B$4:$B$1000,"INGRESO")+SUMIFS(MOVIMIENTOS!$F$4:$F$1000,MOVIMIENTOS!$C$4:$C$1000,A250,MOVIMIENTOS!$D$4:$D$1000,B250,MOVIMIENTOS!$E$4:$E$1000,C250,MOVIMIENTOS!$B$4:$B$1000,"DE REPROCESO")+SUMIFS(MOVIMIENTOS!$F$4:$F$1000,MOVIMIENTOS!$C$4:$C$1000,A250,MOVIMIENTOS!$D$4:$D$1000,B250,MOVIMIENTOS!$E$4:$E$1000,C250,MOVIMIENTOS!$B$4:$B$1000,"AJUSTE+")-SUMIFS(MOVIMIENTOS!$F$4:$F$1000,MOVIMIENTOS!$C$4:$C$1000,A250,MOVIMIENTOS!$D$4:$D$1000,B250,MOVIMIENTOS!$E$4:$E$1000,C250,MOVIMIENTOS!$B$4:$B$1000,"A CORTE")-SUMIFS(MOVIMIENTOS!$F$4:$F$1000,MOVIMIENTOS!$C$4:$C$1000,A250,MOVIMIENTOS!$D$4:$D$1000,B250,MOVIMIENTOS!$E$4:$E$1000,C250,MOVIMIENTOS!$B$4:$B$1000,"A REPROCESO")-SUMIFS(MOVIMIENTOS!$F$4:$F$1000,MOVIMIENTOS!$C$4:$C$1000,A250,MOVIMIENTOS!$D$4:$D$1000,B250,MOVIMIENTOS!$E$4:$E$1000,C250,MOVIMIENTOS!$B$4:$B$1000,"MUESTRA")-SUMIFS(MOVIMIENTOS!$F$4:$F$1000,MOVIMIENTOS!$C$4:$C$1000,A250,MOVIMIENTOS!$D$4:$D$1000,B250,MOVIMIENTOS!$E$4:$E$1000,C250,MOVIMIENTOS!$B$4:$B$1000,"AJUSTE-"),0)</f>
        <v>-2</v>
      </c>
      <c r="F250" s="101">
        <f>IFERROR(E250*VLOOKUP(B250,TELAS!$A$4:$C$32,3,FALSE()),0)</f>
        <v>-40</v>
      </c>
      <c r="G250" s="102">
        <f>IFERROR(IF(D250="OSCURO",VLOOKUP(B250,PRECIOS!$A$4:$F$32,2,FALSE()),IF(D250="CLARO",VLOOKUP(B250,PRECIOS!$A$4:$F$32,3,FALSE()),IF(D250="MELANGE",VLOOKUP(B250,PRECIOS!$A$4:$F$32,4,FALSE()),IF(D250="PPT",VLOOKUP(B250,PRECIOS!$A$4:$F$32,5,FALSE()),0)))),0)</f>
        <v>24</v>
      </c>
      <c r="H250" s="103">
        <f t="shared" si="1"/>
        <v>-960</v>
      </c>
      <c r="I250" s="104" t="str">
        <f>IF(E250&lt;0,"ERROR",IF(E250=0,"",IF(E250&lt;CONFIG!$B$4,"CRÍTICO",IF(E250&lt;CONFIG!$B$5,"BAJO","OK"))))</f>
        <v>ERROR</v>
      </c>
    </row>
    <row r="251" ht="15.75" customHeight="1">
      <c r="A251" s="90" t="str">
        <f>IF(CLIENTES!A5="","",CLIENTES!A5)</f>
        <v>Bravos</v>
      </c>
      <c r="B251" s="67" t="str">
        <f>TELAS!A9</f>
        <v>rib 2x1 lycrado</v>
      </c>
      <c r="C251" s="67" t="str">
        <f>COLORES!A11</f>
        <v>Pacay</v>
      </c>
      <c r="D251" s="67" t="str">
        <f>COLORES!B11</f>
        <v>CLARO</v>
      </c>
      <c r="E251" s="100">
        <f>IFERROR(SUMIFS(MOVIMIENTOS!$F$4:$F$1000,MOVIMIENTOS!$C$4:$C$1000,A251,MOVIMIENTOS!$D$4:$D$1000,B251,MOVIMIENTOS!$E$4:$E$1000,C251,MOVIMIENTOS!$B$4:$B$1000,"INGRESO")+SUMIFS(MOVIMIENTOS!$F$4:$F$1000,MOVIMIENTOS!$C$4:$C$1000,A251,MOVIMIENTOS!$D$4:$D$1000,B251,MOVIMIENTOS!$E$4:$E$1000,C251,MOVIMIENTOS!$B$4:$B$1000,"DE REPROCESO")+SUMIFS(MOVIMIENTOS!$F$4:$F$1000,MOVIMIENTOS!$C$4:$C$1000,A251,MOVIMIENTOS!$D$4:$D$1000,B251,MOVIMIENTOS!$E$4:$E$1000,C251,MOVIMIENTOS!$B$4:$B$1000,"AJUSTE+")-SUMIFS(MOVIMIENTOS!$F$4:$F$1000,MOVIMIENTOS!$C$4:$C$1000,A251,MOVIMIENTOS!$D$4:$D$1000,B251,MOVIMIENTOS!$E$4:$E$1000,C251,MOVIMIENTOS!$B$4:$B$1000,"A CORTE")-SUMIFS(MOVIMIENTOS!$F$4:$F$1000,MOVIMIENTOS!$C$4:$C$1000,A251,MOVIMIENTOS!$D$4:$D$1000,B251,MOVIMIENTOS!$E$4:$E$1000,C251,MOVIMIENTOS!$B$4:$B$1000,"A REPROCESO")-SUMIFS(MOVIMIENTOS!$F$4:$F$1000,MOVIMIENTOS!$C$4:$C$1000,A251,MOVIMIENTOS!$D$4:$D$1000,B251,MOVIMIENTOS!$E$4:$E$1000,C251,MOVIMIENTOS!$B$4:$B$1000,"MUESTRA")-SUMIFS(MOVIMIENTOS!$F$4:$F$1000,MOVIMIENTOS!$C$4:$C$1000,A251,MOVIMIENTOS!$D$4:$D$1000,B251,MOVIMIENTOS!$E$4:$E$1000,C251,MOVIMIENTOS!$B$4:$B$1000,"AJUSTE-"),0)</f>
        <v>0</v>
      </c>
      <c r="F251" s="101">
        <f>IFERROR(E251*VLOOKUP(B251,TELAS!$A$4:$C$32,3,FALSE()),0)</f>
        <v>0</v>
      </c>
      <c r="G251" s="102">
        <f>IFERROR(IF(D251="OSCURO",VLOOKUP(B251,PRECIOS!$A$4:$F$32,2,FALSE()),IF(D251="CLARO",VLOOKUP(B251,PRECIOS!$A$4:$F$32,3,FALSE()),IF(D251="MELANGE",VLOOKUP(B251,PRECIOS!$A$4:$F$32,4,FALSE()),IF(D251="PPT",VLOOKUP(B251,PRECIOS!$A$4:$F$32,5,FALSE()),0)))),0)</f>
        <v>21</v>
      </c>
      <c r="H251" s="103">
        <f t="shared" si="1"/>
        <v>0</v>
      </c>
      <c r="I251" s="104" t="str">
        <f>IF(E251&lt;0,"ERROR",IF(E251=0,"",IF(E251&lt;CONFIG!$B$4,"CRÍTICO",IF(E251&lt;CONFIG!$B$5,"BAJO","OK"))))</f>
        <v/>
      </c>
    </row>
    <row r="252" ht="15.75" customHeight="1">
      <c r="A252" s="90" t="str">
        <f>IF(CLIENTES!A5="","",CLIENTES!A5)</f>
        <v>Bravos</v>
      </c>
      <c r="B252" s="67" t="str">
        <f>TELAS!A9</f>
        <v>rib 2x1 lycrado</v>
      </c>
      <c r="C252" s="67" t="str">
        <f>COLORES!A12</f>
        <v>Cemento</v>
      </c>
      <c r="D252" s="67" t="str">
        <f>COLORES!B12</f>
        <v>CLARO</v>
      </c>
      <c r="E252" s="100">
        <f>IFERROR(SUMIFS(MOVIMIENTOS!$F$4:$F$1000,MOVIMIENTOS!$C$4:$C$1000,A252,MOVIMIENTOS!$D$4:$D$1000,B252,MOVIMIENTOS!$E$4:$E$1000,C252,MOVIMIENTOS!$B$4:$B$1000,"INGRESO")+SUMIFS(MOVIMIENTOS!$F$4:$F$1000,MOVIMIENTOS!$C$4:$C$1000,A252,MOVIMIENTOS!$D$4:$D$1000,B252,MOVIMIENTOS!$E$4:$E$1000,C252,MOVIMIENTOS!$B$4:$B$1000,"DE REPROCESO")+SUMIFS(MOVIMIENTOS!$F$4:$F$1000,MOVIMIENTOS!$C$4:$C$1000,A252,MOVIMIENTOS!$D$4:$D$1000,B252,MOVIMIENTOS!$E$4:$E$1000,C252,MOVIMIENTOS!$B$4:$B$1000,"AJUSTE+")-SUMIFS(MOVIMIENTOS!$F$4:$F$1000,MOVIMIENTOS!$C$4:$C$1000,A252,MOVIMIENTOS!$D$4:$D$1000,B252,MOVIMIENTOS!$E$4:$E$1000,C252,MOVIMIENTOS!$B$4:$B$1000,"A CORTE")-SUMIFS(MOVIMIENTOS!$F$4:$F$1000,MOVIMIENTOS!$C$4:$C$1000,A252,MOVIMIENTOS!$D$4:$D$1000,B252,MOVIMIENTOS!$E$4:$E$1000,C252,MOVIMIENTOS!$B$4:$B$1000,"A REPROCESO")-SUMIFS(MOVIMIENTOS!$F$4:$F$1000,MOVIMIENTOS!$C$4:$C$1000,A252,MOVIMIENTOS!$D$4:$D$1000,B252,MOVIMIENTOS!$E$4:$E$1000,C252,MOVIMIENTOS!$B$4:$B$1000,"MUESTRA")-SUMIFS(MOVIMIENTOS!$F$4:$F$1000,MOVIMIENTOS!$C$4:$C$1000,A252,MOVIMIENTOS!$D$4:$D$1000,B252,MOVIMIENTOS!$E$4:$E$1000,C252,MOVIMIENTOS!$B$4:$B$1000,"AJUSTE-"),0)</f>
        <v>-2</v>
      </c>
      <c r="F252" s="101">
        <f>IFERROR(E252*VLOOKUP(B252,TELAS!$A$4:$C$32,3,FALSE()),0)</f>
        <v>-40</v>
      </c>
      <c r="G252" s="102">
        <f>IFERROR(IF(D252="OSCURO",VLOOKUP(B252,PRECIOS!$A$4:$F$32,2,FALSE()),IF(D252="CLARO",VLOOKUP(B252,PRECIOS!$A$4:$F$32,3,FALSE()),IF(D252="MELANGE",VLOOKUP(B252,PRECIOS!$A$4:$F$32,4,FALSE()),IF(D252="PPT",VLOOKUP(B252,PRECIOS!$A$4:$F$32,5,FALSE()),0)))),0)</f>
        <v>21</v>
      </c>
      <c r="H252" s="103">
        <f t="shared" si="1"/>
        <v>-840</v>
      </c>
      <c r="I252" s="104" t="str">
        <f>IF(E252&lt;0,"ERROR",IF(E252=0,"",IF(E252&lt;CONFIG!$B$4,"CRÍTICO",IF(E252&lt;CONFIG!$B$5,"BAJO","OK"))))</f>
        <v>ERROR</v>
      </c>
    </row>
    <row r="253" ht="15.75" customHeight="1">
      <c r="A253" s="90" t="str">
        <f>IF(CLIENTES!A5="","",CLIENTES!A5)</f>
        <v>Bravos</v>
      </c>
      <c r="B253" s="67" t="str">
        <f>TELAS!A9</f>
        <v>rib 2x1 lycrado</v>
      </c>
      <c r="C253" s="67" t="str">
        <f>COLORES!A13</f>
        <v>Camote</v>
      </c>
      <c r="D253" s="67" t="str">
        <f>COLORES!B13</f>
        <v>CLARO</v>
      </c>
      <c r="E253" s="100">
        <f>IFERROR(SUMIFS(MOVIMIENTOS!$F$4:$F$1000,MOVIMIENTOS!$C$4:$C$1000,A253,MOVIMIENTOS!$D$4:$D$1000,B253,MOVIMIENTOS!$E$4:$E$1000,C253,MOVIMIENTOS!$B$4:$B$1000,"INGRESO")+SUMIFS(MOVIMIENTOS!$F$4:$F$1000,MOVIMIENTOS!$C$4:$C$1000,A253,MOVIMIENTOS!$D$4:$D$1000,B253,MOVIMIENTOS!$E$4:$E$1000,C253,MOVIMIENTOS!$B$4:$B$1000,"DE REPROCESO")+SUMIFS(MOVIMIENTOS!$F$4:$F$1000,MOVIMIENTOS!$C$4:$C$1000,A253,MOVIMIENTOS!$D$4:$D$1000,B253,MOVIMIENTOS!$E$4:$E$1000,C253,MOVIMIENTOS!$B$4:$B$1000,"AJUSTE+")-SUMIFS(MOVIMIENTOS!$F$4:$F$1000,MOVIMIENTOS!$C$4:$C$1000,A253,MOVIMIENTOS!$D$4:$D$1000,B253,MOVIMIENTOS!$E$4:$E$1000,C253,MOVIMIENTOS!$B$4:$B$1000,"A CORTE")-SUMIFS(MOVIMIENTOS!$F$4:$F$1000,MOVIMIENTOS!$C$4:$C$1000,A253,MOVIMIENTOS!$D$4:$D$1000,B253,MOVIMIENTOS!$E$4:$E$1000,C253,MOVIMIENTOS!$B$4:$B$1000,"A REPROCESO")-SUMIFS(MOVIMIENTOS!$F$4:$F$1000,MOVIMIENTOS!$C$4:$C$1000,A253,MOVIMIENTOS!$D$4:$D$1000,B253,MOVIMIENTOS!$E$4:$E$1000,C253,MOVIMIENTOS!$B$4:$B$1000,"MUESTRA")-SUMIFS(MOVIMIENTOS!$F$4:$F$1000,MOVIMIENTOS!$C$4:$C$1000,A253,MOVIMIENTOS!$D$4:$D$1000,B253,MOVIMIENTOS!$E$4:$E$1000,C253,MOVIMIENTOS!$B$4:$B$1000,"AJUSTE-"),0)</f>
        <v>0</v>
      </c>
      <c r="F253" s="101">
        <f>IFERROR(E253*VLOOKUP(B253,TELAS!$A$4:$C$32,3,FALSE()),0)</f>
        <v>0</v>
      </c>
      <c r="G253" s="102">
        <f>IFERROR(IF(D253="OSCURO",VLOOKUP(B253,PRECIOS!$A$4:$F$32,2,FALSE()),IF(D253="CLARO",VLOOKUP(B253,PRECIOS!$A$4:$F$32,3,FALSE()),IF(D253="MELANGE",VLOOKUP(B253,PRECIOS!$A$4:$F$32,4,FALSE()),IF(D253="PPT",VLOOKUP(B253,PRECIOS!$A$4:$F$32,5,FALSE()),0)))),0)</f>
        <v>21</v>
      </c>
      <c r="H253" s="103">
        <f t="shared" si="1"/>
        <v>0</v>
      </c>
      <c r="I253" s="104" t="str">
        <f>IF(E253&lt;0,"ERROR",IF(E253=0,"",IF(E253&lt;CONFIG!$B$4,"CRÍTICO",IF(E253&lt;CONFIG!$B$5,"BAJO","OK"))))</f>
        <v/>
      </c>
    </row>
    <row r="254" ht="15.75" customHeight="1">
      <c r="A254" s="90" t="str">
        <f>IF(CLIENTES!A5="","",CLIENTES!A5)</f>
        <v>Bravos</v>
      </c>
      <c r="B254" s="67" t="str">
        <f>TELAS!A9</f>
        <v>rib 2x1 lycrado</v>
      </c>
      <c r="C254" s="67" t="str">
        <f>COLORES!A14</f>
        <v>Denim</v>
      </c>
      <c r="D254" s="67" t="str">
        <f>COLORES!B14</f>
        <v>CLARO</v>
      </c>
      <c r="E254" s="100">
        <f>IFERROR(SUMIFS(MOVIMIENTOS!$F$4:$F$1000,MOVIMIENTOS!$C$4:$C$1000,A254,MOVIMIENTOS!$D$4:$D$1000,B254,MOVIMIENTOS!$E$4:$E$1000,C254,MOVIMIENTOS!$B$4:$B$1000,"INGRESO")+SUMIFS(MOVIMIENTOS!$F$4:$F$1000,MOVIMIENTOS!$C$4:$C$1000,A254,MOVIMIENTOS!$D$4:$D$1000,B254,MOVIMIENTOS!$E$4:$E$1000,C254,MOVIMIENTOS!$B$4:$B$1000,"DE REPROCESO")+SUMIFS(MOVIMIENTOS!$F$4:$F$1000,MOVIMIENTOS!$C$4:$C$1000,A254,MOVIMIENTOS!$D$4:$D$1000,B254,MOVIMIENTOS!$E$4:$E$1000,C254,MOVIMIENTOS!$B$4:$B$1000,"AJUSTE+")-SUMIFS(MOVIMIENTOS!$F$4:$F$1000,MOVIMIENTOS!$C$4:$C$1000,A254,MOVIMIENTOS!$D$4:$D$1000,B254,MOVIMIENTOS!$E$4:$E$1000,C254,MOVIMIENTOS!$B$4:$B$1000,"A CORTE")-SUMIFS(MOVIMIENTOS!$F$4:$F$1000,MOVIMIENTOS!$C$4:$C$1000,A254,MOVIMIENTOS!$D$4:$D$1000,B254,MOVIMIENTOS!$E$4:$E$1000,C254,MOVIMIENTOS!$B$4:$B$1000,"A REPROCESO")-SUMIFS(MOVIMIENTOS!$F$4:$F$1000,MOVIMIENTOS!$C$4:$C$1000,A254,MOVIMIENTOS!$D$4:$D$1000,B254,MOVIMIENTOS!$E$4:$E$1000,C254,MOVIMIENTOS!$B$4:$B$1000,"MUESTRA")-SUMIFS(MOVIMIENTOS!$F$4:$F$1000,MOVIMIENTOS!$C$4:$C$1000,A254,MOVIMIENTOS!$D$4:$D$1000,B254,MOVIMIENTOS!$E$4:$E$1000,C254,MOVIMIENTOS!$B$4:$B$1000,"AJUSTE-"),0)</f>
        <v>0</v>
      </c>
      <c r="F254" s="101">
        <f>IFERROR(E254*VLOOKUP(B254,TELAS!$A$4:$C$32,3,FALSE()),0)</f>
        <v>0</v>
      </c>
      <c r="G254" s="102">
        <f>IFERROR(IF(D254="OSCURO",VLOOKUP(B254,PRECIOS!$A$4:$F$32,2,FALSE()),IF(D254="CLARO",VLOOKUP(B254,PRECIOS!$A$4:$F$32,3,FALSE()),IF(D254="MELANGE",VLOOKUP(B254,PRECIOS!$A$4:$F$32,4,FALSE()),IF(D254="PPT",VLOOKUP(B254,PRECIOS!$A$4:$F$32,5,FALSE()),0)))),0)</f>
        <v>21</v>
      </c>
      <c r="H254" s="103">
        <f t="shared" si="1"/>
        <v>0</v>
      </c>
      <c r="I254" s="104" t="str">
        <f>IF(E254&lt;0,"ERROR",IF(E254=0,"",IF(E254&lt;CONFIG!$B$4,"CRÍTICO",IF(E254&lt;CONFIG!$B$5,"BAJO","OK"))))</f>
        <v/>
      </c>
    </row>
    <row r="255" ht="15.75" customHeight="1">
      <c r="A255" s="90" t="str">
        <f>IF(CLIENTES!A5="","",CLIENTES!A5)</f>
        <v>Bravos</v>
      </c>
      <c r="B255" s="67" t="str">
        <f>TELAS!A9</f>
        <v>rib 2x1 lycrado</v>
      </c>
      <c r="C255" s="67" t="str">
        <f>COLORES!A15</f>
        <v>Plomo</v>
      </c>
      <c r="D255" s="67" t="str">
        <f>COLORES!B15</f>
        <v>OSCURO</v>
      </c>
      <c r="E255" s="100">
        <f>IFERROR(SUMIFS(MOVIMIENTOS!$F$4:$F$1000,MOVIMIENTOS!$C$4:$C$1000,A255,MOVIMIENTOS!$D$4:$D$1000,B255,MOVIMIENTOS!$E$4:$E$1000,C255,MOVIMIENTOS!$B$4:$B$1000,"INGRESO")+SUMIFS(MOVIMIENTOS!$F$4:$F$1000,MOVIMIENTOS!$C$4:$C$1000,A255,MOVIMIENTOS!$D$4:$D$1000,B255,MOVIMIENTOS!$E$4:$E$1000,C255,MOVIMIENTOS!$B$4:$B$1000,"DE REPROCESO")+SUMIFS(MOVIMIENTOS!$F$4:$F$1000,MOVIMIENTOS!$C$4:$C$1000,A255,MOVIMIENTOS!$D$4:$D$1000,B255,MOVIMIENTOS!$E$4:$E$1000,C255,MOVIMIENTOS!$B$4:$B$1000,"AJUSTE+")-SUMIFS(MOVIMIENTOS!$F$4:$F$1000,MOVIMIENTOS!$C$4:$C$1000,A255,MOVIMIENTOS!$D$4:$D$1000,B255,MOVIMIENTOS!$E$4:$E$1000,C255,MOVIMIENTOS!$B$4:$B$1000,"A CORTE")-SUMIFS(MOVIMIENTOS!$F$4:$F$1000,MOVIMIENTOS!$C$4:$C$1000,A255,MOVIMIENTOS!$D$4:$D$1000,B255,MOVIMIENTOS!$E$4:$E$1000,C255,MOVIMIENTOS!$B$4:$B$1000,"A REPROCESO")-SUMIFS(MOVIMIENTOS!$F$4:$F$1000,MOVIMIENTOS!$C$4:$C$1000,A255,MOVIMIENTOS!$D$4:$D$1000,B255,MOVIMIENTOS!$E$4:$E$1000,C255,MOVIMIENTOS!$B$4:$B$1000,"MUESTRA")-SUMIFS(MOVIMIENTOS!$F$4:$F$1000,MOVIMIENTOS!$C$4:$C$1000,A255,MOVIMIENTOS!$D$4:$D$1000,B255,MOVIMIENTOS!$E$4:$E$1000,C255,MOVIMIENTOS!$B$4:$B$1000,"AJUSTE-"),0)</f>
        <v>-2</v>
      </c>
      <c r="F255" s="101">
        <f>IFERROR(E255*VLOOKUP(B255,TELAS!$A$4:$C$32,3,FALSE()),0)</f>
        <v>-40</v>
      </c>
      <c r="G255" s="102">
        <f>IFERROR(IF(D255="OSCURO",VLOOKUP(B255,PRECIOS!$A$4:$F$32,2,FALSE()),IF(D255="CLARO",VLOOKUP(B255,PRECIOS!$A$4:$F$32,3,FALSE()),IF(D255="MELANGE",VLOOKUP(B255,PRECIOS!$A$4:$F$32,4,FALSE()),IF(D255="PPT",VLOOKUP(B255,PRECIOS!$A$4:$F$32,5,FALSE()),0)))),0)</f>
        <v>24</v>
      </c>
      <c r="H255" s="103">
        <f t="shared" si="1"/>
        <v>-960</v>
      </c>
      <c r="I255" s="104" t="str">
        <f>IF(E255&lt;0,"ERROR",IF(E255=0,"",IF(E255&lt;CONFIG!$B$4,"CRÍTICO",IF(E255&lt;CONFIG!$B$5,"BAJO","OK"))))</f>
        <v>ERROR</v>
      </c>
    </row>
    <row r="256" ht="15.75" customHeight="1">
      <c r="A256" s="90" t="str">
        <f>IF(CLIENTES!A5="","",CLIENTES!A5)</f>
        <v>Bravos</v>
      </c>
      <c r="B256" s="67" t="str">
        <f>TELAS!A9</f>
        <v>rib 2x1 lycrado</v>
      </c>
      <c r="C256" s="67" t="str">
        <f>COLORES!A16</f>
        <v>Topo</v>
      </c>
      <c r="D256" s="67" t="str">
        <f>COLORES!B16</f>
        <v>CLARO</v>
      </c>
      <c r="E256" s="100">
        <f>IFERROR(SUMIFS(MOVIMIENTOS!$F$4:$F$1000,MOVIMIENTOS!$C$4:$C$1000,A256,MOVIMIENTOS!$D$4:$D$1000,B256,MOVIMIENTOS!$E$4:$E$1000,C256,MOVIMIENTOS!$B$4:$B$1000,"INGRESO")+SUMIFS(MOVIMIENTOS!$F$4:$F$1000,MOVIMIENTOS!$C$4:$C$1000,A256,MOVIMIENTOS!$D$4:$D$1000,B256,MOVIMIENTOS!$E$4:$E$1000,C256,MOVIMIENTOS!$B$4:$B$1000,"DE REPROCESO")+SUMIFS(MOVIMIENTOS!$F$4:$F$1000,MOVIMIENTOS!$C$4:$C$1000,A256,MOVIMIENTOS!$D$4:$D$1000,B256,MOVIMIENTOS!$E$4:$E$1000,C256,MOVIMIENTOS!$B$4:$B$1000,"AJUSTE+")-SUMIFS(MOVIMIENTOS!$F$4:$F$1000,MOVIMIENTOS!$C$4:$C$1000,A256,MOVIMIENTOS!$D$4:$D$1000,B256,MOVIMIENTOS!$E$4:$E$1000,C256,MOVIMIENTOS!$B$4:$B$1000,"A CORTE")-SUMIFS(MOVIMIENTOS!$F$4:$F$1000,MOVIMIENTOS!$C$4:$C$1000,A256,MOVIMIENTOS!$D$4:$D$1000,B256,MOVIMIENTOS!$E$4:$E$1000,C256,MOVIMIENTOS!$B$4:$B$1000,"A REPROCESO")-SUMIFS(MOVIMIENTOS!$F$4:$F$1000,MOVIMIENTOS!$C$4:$C$1000,A256,MOVIMIENTOS!$D$4:$D$1000,B256,MOVIMIENTOS!$E$4:$E$1000,C256,MOVIMIENTOS!$B$4:$B$1000,"MUESTRA")-SUMIFS(MOVIMIENTOS!$F$4:$F$1000,MOVIMIENTOS!$C$4:$C$1000,A256,MOVIMIENTOS!$D$4:$D$1000,B256,MOVIMIENTOS!$E$4:$E$1000,C256,MOVIMIENTOS!$B$4:$B$1000,"AJUSTE-"),0)</f>
        <v>0</v>
      </c>
      <c r="F256" s="101">
        <f>IFERROR(E256*VLOOKUP(B256,TELAS!$A$4:$C$32,3,FALSE()),0)</f>
        <v>0</v>
      </c>
      <c r="G256" s="102">
        <f>IFERROR(IF(D256="OSCURO",VLOOKUP(B256,PRECIOS!$A$4:$F$32,2,FALSE()),IF(D256="CLARO",VLOOKUP(B256,PRECIOS!$A$4:$F$32,3,FALSE()),IF(D256="MELANGE",VLOOKUP(B256,PRECIOS!$A$4:$F$32,4,FALSE()),IF(D256="PPT",VLOOKUP(B256,PRECIOS!$A$4:$F$32,5,FALSE()),0)))),0)</f>
        <v>21</v>
      </c>
      <c r="H256" s="103">
        <f t="shared" si="1"/>
        <v>0</v>
      </c>
      <c r="I256" s="104" t="str">
        <f>IF(E256&lt;0,"ERROR",IF(E256=0,"",IF(E256&lt;CONFIG!$B$4,"CRÍTICO",IF(E256&lt;CONFIG!$B$5,"BAJO","OK"))))</f>
        <v/>
      </c>
    </row>
    <row r="257" ht="15.75" customHeight="1">
      <c r="A257" s="90" t="str">
        <f>IF(CLIENTES!A5="","",CLIENTES!A5)</f>
        <v>Bravos</v>
      </c>
      <c r="B257" s="67" t="str">
        <f>TELAS!A9</f>
        <v>rib 2x1 lycrado</v>
      </c>
      <c r="C257" s="67" t="str">
        <f>COLORES!A17</f>
        <v>Vino</v>
      </c>
      <c r="D257" s="67" t="str">
        <f>COLORES!B17</f>
        <v>OSCURO</v>
      </c>
      <c r="E257" s="100">
        <f>IFERROR(SUMIFS(MOVIMIENTOS!$F$4:$F$1000,MOVIMIENTOS!$C$4:$C$1000,A257,MOVIMIENTOS!$D$4:$D$1000,B257,MOVIMIENTOS!$E$4:$E$1000,C257,MOVIMIENTOS!$B$4:$B$1000,"INGRESO")+SUMIFS(MOVIMIENTOS!$F$4:$F$1000,MOVIMIENTOS!$C$4:$C$1000,A257,MOVIMIENTOS!$D$4:$D$1000,B257,MOVIMIENTOS!$E$4:$E$1000,C257,MOVIMIENTOS!$B$4:$B$1000,"DE REPROCESO")+SUMIFS(MOVIMIENTOS!$F$4:$F$1000,MOVIMIENTOS!$C$4:$C$1000,A257,MOVIMIENTOS!$D$4:$D$1000,B257,MOVIMIENTOS!$E$4:$E$1000,C257,MOVIMIENTOS!$B$4:$B$1000,"AJUSTE+")-SUMIFS(MOVIMIENTOS!$F$4:$F$1000,MOVIMIENTOS!$C$4:$C$1000,A257,MOVIMIENTOS!$D$4:$D$1000,B257,MOVIMIENTOS!$E$4:$E$1000,C257,MOVIMIENTOS!$B$4:$B$1000,"A CORTE")-SUMIFS(MOVIMIENTOS!$F$4:$F$1000,MOVIMIENTOS!$C$4:$C$1000,A257,MOVIMIENTOS!$D$4:$D$1000,B257,MOVIMIENTOS!$E$4:$E$1000,C257,MOVIMIENTOS!$B$4:$B$1000,"A REPROCESO")-SUMIFS(MOVIMIENTOS!$F$4:$F$1000,MOVIMIENTOS!$C$4:$C$1000,A257,MOVIMIENTOS!$D$4:$D$1000,B257,MOVIMIENTOS!$E$4:$E$1000,C257,MOVIMIENTOS!$B$4:$B$1000,"MUESTRA")-SUMIFS(MOVIMIENTOS!$F$4:$F$1000,MOVIMIENTOS!$C$4:$C$1000,A257,MOVIMIENTOS!$D$4:$D$1000,B257,MOVIMIENTOS!$E$4:$E$1000,C257,MOVIMIENTOS!$B$4:$B$1000,"AJUSTE-"),0)</f>
        <v>-1</v>
      </c>
      <c r="F257" s="101">
        <f>IFERROR(E257*VLOOKUP(B257,TELAS!$A$4:$C$32,3,FALSE()),0)</f>
        <v>-20</v>
      </c>
      <c r="G257" s="102">
        <f>IFERROR(IF(D257="OSCURO",VLOOKUP(B257,PRECIOS!$A$4:$F$32,2,FALSE()),IF(D257="CLARO",VLOOKUP(B257,PRECIOS!$A$4:$F$32,3,FALSE()),IF(D257="MELANGE",VLOOKUP(B257,PRECIOS!$A$4:$F$32,4,FALSE()),IF(D257="PPT",VLOOKUP(B257,PRECIOS!$A$4:$F$32,5,FALSE()),0)))),0)</f>
        <v>24</v>
      </c>
      <c r="H257" s="103">
        <f t="shared" si="1"/>
        <v>-480</v>
      </c>
      <c r="I257" s="104" t="str">
        <f>IF(E257&lt;0,"ERROR",IF(E257=0,"",IF(E257&lt;CONFIG!$B$4,"CRÍTICO",IF(E257&lt;CONFIG!$B$5,"BAJO","OK"))))</f>
        <v>ERROR</v>
      </c>
    </row>
    <row r="258" ht="15.75" customHeight="1">
      <c r="A258" s="90" t="str">
        <f>IF(CLIENTES!A5="","",CLIENTES!A5)</f>
        <v>Bravos</v>
      </c>
      <c r="B258" s="67" t="str">
        <f>TELAS!A9</f>
        <v>rib 2x1 lycrado</v>
      </c>
      <c r="C258" s="67" t="str">
        <f>COLORES!A18</f>
        <v>P. Rosa</v>
      </c>
      <c r="D258" s="67" t="str">
        <f>COLORES!B18</f>
        <v>CLARO</v>
      </c>
      <c r="E258" s="100">
        <f>IFERROR(SUMIFS(MOVIMIENTOS!$F$4:$F$1000,MOVIMIENTOS!$C$4:$C$1000,A258,MOVIMIENTOS!$D$4:$D$1000,B258,MOVIMIENTOS!$E$4:$E$1000,C258,MOVIMIENTOS!$B$4:$B$1000,"INGRESO")+SUMIFS(MOVIMIENTOS!$F$4:$F$1000,MOVIMIENTOS!$C$4:$C$1000,A258,MOVIMIENTOS!$D$4:$D$1000,B258,MOVIMIENTOS!$E$4:$E$1000,C258,MOVIMIENTOS!$B$4:$B$1000,"DE REPROCESO")+SUMIFS(MOVIMIENTOS!$F$4:$F$1000,MOVIMIENTOS!$C$4:$C$1000,A258,MOVIMIENTOS!$D$4:$D$1000,B258,MOVIMIENTOS!$E$4:$E$1000,C258,MOVIMIENTOS!$B$4:$B$1000,"AJUSTE+")-SUMIFS(MOVIMIENTOS!$F$4:$F$1000,MOVIMIENTOS!$C$4:$C$1000,A258,MOVIMIENTOS!$D$4:$D$1000,B258,MOVIMIENTOS!$E$4:$E$1000,C258,MOVIMIENTOS!$B$4:$B$1000,"A CORTE")-SUMIFS(MOVIMIENTOS!$F$4:$F$1000,MOVIMIENTOS!$C$4:$C$1000,A258,MOVIMIENTOS!$D$4:$D$1000,B258,MOVIMIENTOS!$E$4:$E$1000,C258,MOVIMIENTOS!$B$4:$B$1000,"A REPROCESO")-SUMIFS(MOVIMIENTOS!$F$4:$F$1000,MOVIMIENTOS!$C$4:$C$1000,A258,MOVIMIENTOS!$D$4:$D$1000,B258,MOVIMIENTOS!$E$4:$E$1000,C258,MOVIMIENTOS!$B$4:$B$1000,"MUESTRA")-SUMIFS(MOVIMIENTOS!$F$4:$F$1000,MOVIMIENTOS!$C$4:$C$1000,A258,MOVIMIENTOS!$D$4:$D$1000,B258,MOVIMIENTOS!$E$4:$E$1000,C258,MOVIMIENTOS!$B$4:$B$1000,"AJUSTE-"),0)</f>
        <v>0</v>
      </c>
      <c r="F258" s="101">
        <f>IFERROR(E258*VLOOKUP(B258,TELAS!$A$4:$C$32,3,FALSE()),0)</f>
        <v>0</v>
      </c>
      <c r="G258" s="102">
        <f>IFERROR(IF(D258="OSCURO",VLOOKUP(B258,PRECIOS!$A$4:$F$32,2,FALSE()),IF(D258="CLARO",VLOOKUP(B258,PRECIOS!$A$4:$F$32,3,FALSE()),IF(D258="MELANGE",VLOOKUP(B258,PRECIOS!$A$4:$F$32,4,FALSE()),IF(D258="PPT",VLOOKUP(B258,PRECIOS!$A$4:$F$32,5,FALSE()),0)))),0)</f>
        <v>21</v>
      </c>
      <c r="H258" s="103">
        <f t="shared" si="1"/>
        <v>0</v>
      </c>
      <c r="I258" s="104" t="str">
        <f>IF(E258&lt;0,"ERROR",IF(E258=0,"",IF(E258&lt;CONFIG!$B$4,"CRÍTICO",IF(E258&lt;CONFIG!$B$5,"BAJO","OK"))))</f>
        <v/>
      </c>
    </row>
    <row r="259" ht="15.75" customHeight="1">
      <c r="A259" s="90" t="str">
        <f>IF(CLIENTES!A5="","",CLIENTES!A5)</f>
        <v>Bravos</v>
      </c>
      <c r="B259" s="67" t="str">
        <f>TELAS!A9</f>
        <v>rib 2x1 lycrado</v>
      </c>
      <c r="C259" s="67" t="str">
        <f>COLORES!A19</f>
        <v/>
      </c>
      <c r="D259" s="67" t="str">
        <f>COLORES!B19</f>
        <v/>
      </c>
      <c r="E259" s="100">
        <f>IFERROR(SUMIFS(MOVIMIENTOS!$F$4:$F$1000,MOVIMIENTOS!$C$4:$C$1000,A259,MOVIMIENTOS!$D$4:$D$1000,B259,MOVIMIENTOS!$E$4:$E$1000,C259,MOVIMIENTOS!$B$4:$B$1000,"INGRESO")+SUMIFS(MOVIMIENTOS!$F$4:$F$1000,MOVIMIENTOS!$C$4:$C$1000,A259,MOVIMIENTOS!$D$4:$D$1000,B259,MOVIMIENTOS!$E$4:$E$1000,C259,MOVIMIENTOS!$B$4:$B$1000,"DE REPROCESO")+SUMIFS(MOVIMIENTOS!$F$4:$F$1000,MOVIMIENTOS!$C$4:$C$1000,A259,MOVIMIENTOS!$D$4:$D$1000,B259,MOVIMIENTOS!$E$4:$E$1000,C259,MOVIMIENTOS!$B$4:$B$1000,"AJUSTE+")-SUMIFS(MOVIMIENTOS!$F$4:$F$1000,MOVIMIENTOS!$C$4:$C$1000,A259,MOVIMIENTOS!$D$4:$D$1000,B259,MOVIMIENTOS!$E$4:$E$1000,C259,MOVIMIENTOS!$B$4:$B$1000,"A CORTE")-SUMIFS(MOVIMIENTOS!$F$4:$F$1000,MOVIMIENTOS!$C$4:$C$1000,A259,MOVIMIENTOS!$D$4:$D$1000,B259,MOVIMIENTOS!$E$4:$E$1000,C259,MOVIMIENTOS!$B$4:$B$1000,"A REPROCESO")-SUMIFS(MOVIMIENTOS!$F$4:$F$1000,MOVIMIENTOS!$C$4:$C$1000,A259,MOVIMIENTOS!$D$4:$D$1000,B259,MOVIMIENTOS!$E$4:$E$1000,C259,MOVIMIENTOS!$B$4:$B$1000,"MUESTRA")-SUMIFS(MOVIMIENTOS!$F$4:$F$1000,MOVIMIENTOS!$C$4:$C$1000,A259,MOVIMIENTOS!$D$4:$D$1000,B259,MOVIMIENTOS!$E$4:$E$1000,C259,MOVIMIENTOS!$B$4:$B$1000,"AJUSTE-"),0)</f>
        <v>0</v>
      </c>
      <c r="F259" s="101">
        <f>IFERROR(E259*VLOOKUP(B259,TELAS!$A$4:$C$32,3,FALSE()),0)</f>
        <v>0</v>
      </c>
      <c r="G259" s="102">
        <f>IFERROR(IF(D259="OSCURO",VLOOKUP(B259,PRECIOS!$A$4:$F$32,2,FALSE()),IF(D259="CLARO",VLOOKUP(B259,PRECIOS!$A$4:$F$32,3,FALSE()),IF(D259="MELANGE",VLOOKUP(B259,PRECIOS!$A$4:$F$32,4,FALSE()),IF(D259="PPT",VLOOKUP(B259,PRECIOS!$A$4:$F$32,5,FALSE()),0)))),0)</f>
        <v>0</v>
      </c>
      <c r="H259" s="103">
        <f t="shared" si="1"/>
        <v>0</v>
      </c>
      <c r="I259" s="104" t="str">
        <f>IF(E259&lt;0,"ERROR",IF(E259=0,"",IF(E259&lt;CONFIG!$B$4,"CRÍTICO",IF(E259&lt;CONFIG!$B$5,"BAJO","OK"))))</f>
        <v/>
      </c>
    </row>
    <row r="260" ht="15.75" customHeight="1">
      <c r="A260" s="90" t="str">
        <f>IF(CLIENTES!A5="","",CLIENTES!A5)</f>
        <v>Bravos</v>
      </c>
      <c r="B260" s="67" t="str">
        <f>TELAS!A9</f>
        <v>rib 2x1 lycrado</v>
      </c>
      <c r="C260" s="67" t="str">
        <f>COLORES!A20</f>
        <v/>
      </c>
      <c r="D260" s="67" t="str">
        <f>COLORES!B20</f>
        <v/>
      </c>
      <c r="E260" s="100">
        <f>IFERROR(SUMIFS(MOVIMIENTOS!$F$4:$F$1000,MOVIMIENTOS!$C$4:$C$1000,A260,MOVIMIENTOS!$D$4:$D$1000,B260,MOVIMIENTOS!$E$4:$E$1000,C260,MOVIMIENTOS!$B$4:$B$1000,"INGRESO")+SUMIFS(MOVIMIENTOS!$F$4:$F$1000,MOVIMIENTOS!$C$4:$C$1000,A260,MOVIMIENTOS!$D$4:$D$1000,B260,MOVIMIENTOS!$E$4:$E$1000,C260,MOVIMIENTOS!$B$4:$B$1000,"DE REPROCESO")+SUMIFS(MOVIMIENTOS!$F$4:$F$1000,MOVIMIENTOS!$C$4:$C$1000,A260,MOVIMIENTOS!$D$4:$D$1000,B260,MOVIMIENTOS!$E$4:$E$1000,C260,MOVIMIENTOS!$B$4:$B$1000,"AJUSTE+")-SUMIFS(MOVIMIENTOS!$F$4:$F$1000,MOVIMIENTOS!$C$4:$C$1000,A260,MOVIMIENTOS!$D$4:$D$1000,B260,MOVIMIENTOS!$E$4:$E$1000,C260,MOVIMIENTOS!$B$4:$B$1000,"A CORTE")-SUMIFS(MOVIMIENTOS!$F$4:$F$1000,MOVIMIENTOS!$C$4:$C$1000,A260,MOVIMIENTOS!$D$4:$D$1000,B260,MOVIMIENTOS!$E$4:$E$1000,C260,MOVIMIENTOS!$B$4:$B$1000,"A REPROCESO")-SUMIFS(MOVIMIENTOS!$F$4:$F$1000,MOVIMIENTOS!$C$4:$C$1000,A260,MOVIMIENTOS!$D$4:$D$1000,B260,MOVIMIENTOS!$E$4:$E$1000,C260,MOVIMIENTOS!$B$4:$B$1000,"MUESTRA")-SUMIFS(MOVIMIENTOS!$F$4:$F$1000,MOVIMIENTOS!$C$4:$C$1000,A260,MOVIMIENTOS!$D$4:$D$1000,B260,MOVIMIENTOS!$E$4:$E$1000,C260,MOVIMIENTOS!$B$4:$B$1000,"AJUSTE-"),0)</f>
        <v>0</v>
      </c>
      <c r="F260" s="101">
        <f>IFERROR(E260*VLOOKUP(B260,TELAS!$A$4:$C$32,3,FALSE()),0)</f>
        <v>0</v>
      </c>
      <c r="G260" s="102">
        <f>IFERROR(IF(D260="OSCURO",VLOOKUP(B260,PRECIOS!$A$4:$F$32,2,FALSE()),IF(D260="CLARO",VLOOKUP(B260,PRECIOS!$A$4:$F$32,3,FALSE()),IF(D260="MELANGE",VLOOKUP(B260,PRECIOS!$A$4:$F$32,4,FALSE()),IF(D260="PPT",VLOOKUP(B260,PRECIOS!$A$4:$F$32,5,FALSE()),0)))),0)</f>
        <v>0</v>
      </c>
      <c r="H260" s="103">
        <f t="shared" si="1"/>
        <v>0</v>
      </c>
      <c r="I260" s="104" t="str">
        <f>IF(E260&lt;0,"ERROR",IF(E260=0,"",IF(E260&lt;CONFIG!$B$4,"CRÍTICO",IF(E260&lt;CONFIG!$B$5,"BAJO","OK"))))</f>
        <v/>
      </c>
    </row>
    <row r="261" ht="15.75" customHeight="1">
      <c r="A261" s="90" t="str">
        <f>IF(CLIENTES!A5="","",CLIENTES!A5)</f>
        <v>Bravos</v>
      </c>
      <c r="B261" s="67" t="str">
        <f>TELAS!A9</f>
        <v>rib 2x1 lycrado</v>
      </c>
      <c r="C261" s="67" t="str">
        <f>COLORES!A21</f>
        <v/>
      </c>
      <c r="D261" s="67" t="str">
        <f>COLORES!B21</f>
        <v/>
      </c>
      <c r="E261" s="100">
        <f>IFERROR(SUMIFS(MOVIMIENTOS!$F$4:$F$1000,MOVIMIENTOS!$C$4:$C$1000,A261,MOVIMIENTOS!$D$4:$D$1000,B261,MOVIMIENTOS!$E$4:$E$1000,C261,MOVIMIENTOS!$B$4:$B$1000,"INGRESO")+SUMIFS(MOVIMIENTOS!$F$4:$F$1000,MOVIMIENTOS!$C$4:$C$1000,A261,MOVIMIENTOS!$D$4:$D$1000,B261,MOVIMIENTOS!$E$4:$E$1000,C261,MOVIMIENTOS!$B$4:$B$1000,"DE REPROCESO")+SUMIFS(MOVIMIENTOS!$F$4:$F$1000,MOVIMIENTOS!$C$4:$C$1000,A261,MOVIMIENTOS!$D$4:$D$1000,B261,MOVIMIENTOS!$E$4:$E$1000,C261,MOVIMIENTOS!$B$4:$B$1000,"AJUSTE+")-SUMIFS(MOVIMIENTOS!$F$4:$F$1000,MOVIMIENTOS!$C$4:$C$1000,A261,MOVIMIENTOS!$D$4:$D$1000,B261,MOVIMIENTOS!$E$4:$E$1000,C261,MOVIMIENTOS!$B$4:$B$1000,"A CORTE")-SUMIFS(MOVIMIENTOS!$F$4:$F$1000,MOVIMIENTOS!$C$4:$C$1000,A261,MOVIMIENTOS!$D$4:$D$1000,B261,MOVIMIENTOS!$E$4:$E$1000,C261,MOVIMIENTOS!$B$4:$B$1000,"A REPROCESO")-SUMIFS(MOVIMIENTOS!$F$4:$F$1000,MOVIMIENTOS!$C$4:$C$1000,A261,MOVIMIENTOS!$D$4:$D$1000,B261,MOVIMIENTOS!$E$4:$E$1000,C261,MOVIMIENTOS!$B$4:$B$1000,"MUESTRA")-SUMIFS(MOVIMIENTOS!$F$4:$F$1000,MOVIMIENTOS!$C$4:$C$1000,A261,MOVIMIENTOS!$D$4:$D$1000,B261,MOVIMIENTOS!$E$4:$E$1000,C261,MOVIMIENTOS!$B$4:$B$1000,"AJUSTE-"),0)</f>
        <v>0</v>
      </c>
      <c r="F261" s="101">
        <f>IFERROR(E261*VLOOKUP(B261,TELAS!$A$4:$C$32,3,FALSE()),0)</f>
        <v>0</v>
      </c>
      <c r="G261" s="102">
        <f>IFERROR(IF(D261="OSCURO",VLOOKUP(B261,PRECIOS!$A$4:$F$32,2,FALSE()),IF(D261="CLARO",VLOOKUP(B261,PRECIOS!$A$4:$F$32,3,FALSE()),IF(D261="MELANGE",VLOOKUP(B261,PRECIOS!$A$4:$F$32,4,FALSE()),IF(D261="PPT",VLOOKUP(B261,PRECIOS!$A$4:$F$32,5,FALSE()),0)))),0)</f>
        <v>0</v>
      </c>
      <c r="H261" s="103">
        <f t="shared" si="1"/>
        <v>0</v>
      </c>
      <c r="I261" s="104" t="str">
        <f>IF(E261&lt;0,"ERROR",IF(E261=0,"",IF(E261&lt;CONFIG!$B$4,"CRÍTICO",IF(E261&lt;CONFIG!$B$5,"BAJO","OK"))))</f>
        <v/>
      </c>
    </row>
    <row r="262" ht="15.75" customHeight="1">
      <c r="A262" s="90" t="str">
        <f>IF(CLIENTES!A5="","",CLIENTES!A5)</f>
        <v>Bravos</v>
      </c>
      <c r="B262" s="67" t="str">
        <f>TELAS!A9</f>
        <v>rib 2x1 lycrado</v>
      </c>
      <c r="C262" s="67" t="str">
        <f>COLORES!A22</f>
        <v/>
      </c>
      <c r="D262" s="67" t="str">
        <f>COLORES!B22</f>
        <v/>
      </c>
      <c r="E262" s="100">
        <f>IFERROR(SUMIFS(MOVIMIENTOS!$F$4:$F$1000,MOVIMIENTOS!$C$4:$C$1000,A262,MOVIMIENTOS!$D$4:$D$1000,B262,MOVIMIENTOS!$E$4:$E$1000,C262,MOVIMIENTOS!$B$4:$B$1000,"INGRESO")+SUMIFS(MOVIMIENTOS!$F$4:$F$1000,MOVIMIENTOS!$C$4:$C$1000,A262,MOVIMIENTOS!$D$4:$D$1000,B262,MOVIMIENTOS!$E$4:$E$1000,C262,MOVIMIENTOS!$B$4:$B$1000,"DE REPROCESO")+SUMIFS(MOVIMIENTOS!$F$4:$F$1000,MOVIMIENTOS!$C$4:$C$1000,A262,MOVIMIENTOS!$D$4:$D$1000,B262,MOVIMIENTOS!$E$4:$E$1000,C262,MOVIMIENTOS!$B$4:$B$1000,"AJUSTE+")-SUMIFS(MOVIMIENTOS!$F$4:$F$1000,MOVIMIENTOS!$C$4:$C$1000,A262,MOVIMIENTOS!$D$4:$D$1000,B262,MOVIMIENTOS!$E$4:$E$1000,C262,MOVIMIENTOS!$B$4:$B$1000,"A CORTE")-SUMIFS(MOVIMIENTOS!$F$4:$F$1000,MOVIMIENTOS!$C$4:$C$1000,A262,MOVIMIENTOS!$D$4:$D$1000,B262,MOVIMIENTOS!$E$4:$E$1000,C262,MOVIMIENTOS!$B$4:$B$1000,"A REPROCESO")-SUMIFS(MOVIMIENTOS!$F$4:$F$1000,MOVIMIENTOS!$C$4:$C$1000,A262,MOVIMIENTOS!$D$4:$D$1000,B262,MOVIMIENTOS!$E$4:$E$1000,C262,MOVIMIENTOS!$B$4:$B$1000,"MUESTRA")-SUMIFS(MOVIMIENTOS!$F$4:$F$1000,MOVIMIENTOS!$C$4:$C$1000,A262,MOVIMIENTOS!$D$4:$D$1000,B262,MOVIMIENTOS!$E$4:$E$1000,C262,MOVIMIENTOS!$B$4:$B$1000,"AJUSTE-"),0)</f>
        <v>0</v>
      </c>
      <c r="F262" s="101">
        <f>IFERROR(E262*VLOOKUP(B262,TELAS!$A$4:$C$32,3,FALSE()),0)</f>
        <v>0</v>
      </c>
      <c r="G262" s="102">
        <f>IFERROR(IF(D262="OSCURO",VLOOKUP(B262,PRECIOS!$A$4:$F$32,2,FALSE()),IF(D262="CLARO",VLOOKUP(B262,PRECIOS!$A$4:$F$32,3,FALSE()),IF(D262="MELANGE",VLOOKUP(B262,PRECIOS!$A$4:$F$32,4,FALSE()),IF(D262="PPT",VLOOKUP(B262,PRECIOS!$A$4:$F$32,5,FALSE()),0)))),0)</f>
        <v>0</v>
      </c>
      <c r="H262" s="103">
        <f t="shared" si="1"/>
        <v>0</v>
      </c>
      <c r="I262" s="104" t="str">
        <f>IF(E262&lt;0,"ERROR",IF(E262=0,"",IF(E262&lt;CONFIG!$B$4,"CRÍTICO",IF(E262&lt;CONFIG!$B$5,"BAJO","OK"))))</f>
        <v/>
      </c>
    </row>
    <row r="263" ht="15.75" customHeight="1">
      <c r="A263" s="90" t="str">
        <f>IF(CLIENTES!A5="","",CLIENTES!A5)</f>
        <v>Bravos</v>
      </c>
      <c r="B263" s="67" t="str">
        <f>TELAS!A9</f>
        <v>rib 2x1 lycrado</v>
      </c>
      <c r="C263" s="67" t="str">
        <f>COLORES!A23</f>
        <v/>
      </c>
      <c r="D263" s="67" t="str">
        <f>COLORES!B23</f>
        <v/>
      </c>
      <c r="E263" s="100">
        <f>IFERROR(SUMIFS(MOVIMIENTOS!$F$4:$F$1000,MOVIMIENTOS!$C$4:$C$1000,A263,MOVIMIENTOS!$D$4:$D$1000,B263,MOVIMIENTOS!$E$4:$E$1000,C263,MOVIMIENTOS!$B$4:$B$1000,"INGRESO")+SUMIFS(MOVIMIENTOS!$F$4:$F$1000,MOVIMIENTOS!$C$4:$C$1000,A263,MOVIMIENTOS!$D$4:$D$1000,B263,MOVIMIENTOS!$E$4:$E$1000,C263,MOVIMIENTOS!$B$4:$B$1000,"DE REPROCESO")+SUMIFS(MOVIMIENTOS!$F$4:$F$1000,MOVIMIENTOS!$C$4:$C$1000,A263,MOVIMIENTOS!$D$4:$D$1000,B263,MOVIMIENTOS!$E$4:$E$1000,C263,MOVIMIENTOS!$B$4:$B$1000,"AJUSTE+")-SUMIFS(MOVIMIENTOS!$F$4:$F$1000,MOVIMIENTOS!$C$4:$C$1000,A263,MOVIMIENTOS!$D$4:$D$1000,B263,MOVIMIENTOS!$E$4:$E$1000,C263,MOVIMIENTOS!$B$4:$B$1000,"A CORTE")-SUMIFS(MOVIMIENTOS!$F$4:$F$1000,MOVIMIENTOS!$C$4:$C$1000,A263,MOVIMIENTOS!$D$4:$D$1000,B263,MOVIMIENTOS!$E$4:$E$1000,C263,MOVIMIENTOS!$B$4:$B$1000,"A REPROCESO")-SUMIFS(MOVIMIENTOS!$F$4:$F$1000,MOVIMIENTOS!$C$4:$C$1000,A263,MOVIMIENTOS!$D$4:$D$1000,B263,MOVIMIENTOS!$E$4:$E$1000,C263,MOVIMIENTOS!$B$4:$B$1000,"MUESTRA")-SUMIFS(MOVIMIENTOS!$F$4:$F$1000,MOVIMIENTOS!$C$4:$C$1000,A263,MOVIMIENTOS!$D$4:$D$1000,B263,MOVIMIENTOS!$E$4:$E$1000,C263,MOVIMIENTOS!$B$4:$B$1000,"AJUSTE-"),0)</f>
        <v>0</v>
      </c>
      <c r="F263" s="101">
        <f>IFERROR(E263*VLOOKUP(B263,TELAS!$A$4:$C$32,3,FALSE()),0)</f>
        <v>0</v>
      </c>
      <c r="G263" s="102">
        <f>IFERROR(IF(D263="OSCURO",VLOOKUP(B263,PRECIOS!$A$4:$F$32,2,FALSE()),IF(D263="CLARO",VLOOKUP(B263,PRECIOS!$A$4:$F$32,3,FALSE()),IF(D263="MELANGE",VLOOKUP(B263,PRECIOS!$A$4:$F$32,4,FALSE()),IF(D263="PPT",VLOOKUP(B263,PRECIOS!$A$4:$F$32,5,FALSE()),0)))),0)</f>
        <v>0</v>
      </c>
      <c r="H263" s="103">
        <f t="shared" si="1"/>
        <v>0</v>
      </c>
      <c r="I263" s="104" t="str">
        <f>IF(E263&lt;0,"ERROR",IF(E263=0,"",IF(E263&lt;CONFIG!$B$4,"CRÍTICO",IF(E263&lt;CONFIG!$B$5,"BAJO","OK"))))</f>
        <v/>
      </c>
    </row>
    <row r="264" ht="15.75" customHeight="1">
      <c r="A264" s="90" t="str">
        <f>IF(CLIENTES!A5="","",CLIENTES!A5)</f>
        <v>Bravos</v>
      </c>
      <c r="B264" s="67" t="str">
        <f>TELAS!A10</f>
        <v>jersey full lycra 30/1</v>
      </c>
      <c r="C264" s="67" t="str">
        <f>COLORES!A4</f>
        <v>Negro</v>
      </c>
      <c r="D264" s="67" t="str">
        <f>COLORES!B4</f>
        <v>OSCURO</v>
      </c>
      <c r="E264" s="100">
        <f>IFERROR(SUMIFS(MOVIMIENTOS!$F$4:$F$1000,MOVIMIENTOS!$C$4:$C$1000,A264,MOVIMIENTOS!$D$4:$D$1000,B264,MOVIMIENTOS!$E$4:$E$1000,C264,MOVIMIENTOS!$B$4:$B$1000,"INGRESO")+SUMIFS(MOVIMIENTOS!$F$4:$F$1000,MOVIMIENTOS!$C$4:$C$1000,A264,MOVIMIENTOS!$D$4:$D$1000,B264,MOVIMIENTOS!$E$4:$E$1000,C264,MOVIMIENTOS!$B$4:$B$1000,"DE REPROCESO")+SUMIFS(MOVIMIENTOS!$F$4:$F$1000,MOVIMIENTOS!$C$4:$C$1000,A264,MOVIMIENTOS!$D$4:$D$1000,B264,MOVIMIENTOS!$E$4:$E$1000,C264,MOVIMIENTOS!$B$4:$B$1000,"AJUSTE+")-SUMIFS(MOVIMIENTOS!$F$4:$F$1000,MOVIMIENTOS!$C$4:$C$1000,A264,MOVIMIENTOS!$D$4:$D$1000,B264,MOVIMIENTOS!$E$4:$E$1000,C264,MOVIMIENTOS!$B$4:$B$1000,"A CORTE")-SUMIFS(MOVIMIENTOS!$F$4:$F$1000,MOVIMIENTOS!$C$4:$C$1000,A264,MOVIMIENTOS!$D$4:$D$1000,B264,MOVIMIENTOS!$E$4:$E$1000,C264,MOVIMIENTOS!$B$4:$B$1000,"A REPROCESO")-SUMIFS(MOVIMIENTOS!$F$4:$F$1000,MOVIMIENTOS!$C$4:$C$1000,A264,MOVIMIENTOS!$D$4:$D$1000,B264,MOVIMIENTOS!$E$4:$E$1000,C264,MOVIMIENTOS!$B$4:$B$1000,"MUESTRA")-SUMIFS(MOVIMIENTOS!$F$4:$F$1000,MOVIMIENTOS!$C$4:$C$1000,A264,MOVIMIENTOS!$D$4:$D$1000,B264,MOVIMIENTOS!$E$4:$E$1000,C264,MOVIMIENTOS!$B$4:$B$1000,"AJUSTE-"),0)</f>
        <v>0</v>
      </c>
      <c r="F264" s="101">
        <f>IFERROR(E264*VLOOKUP(B264,TELAS!$A$4:$C$32,3,FALSE()),0)</f>
        <v>0</v>
      </c>
      <c r="G264" s="102">
        <f>IFERROR(IF(D264="OSCURO",VLOOKUP(B264,PRECIOS!$A$4:$F$32,2,FALSE()),IF(D264="CLARO",VLOOKUP(B264,PRECIOS!$A$4:$F$32,3,FALSE()),IF(D264="MELANGE",VLOOKUP(B264,PRECIOS!$A$4:$F$32,4,FALSE()),IF(D264="PPT",VLOOKUP(B264,PRECIOS!$A$4:$F$32,5,FALSE()),0)))),0)</f>
        <v>26</v>
      </c>
      <c r="H264" s="103">
        <f t="shared" si="1"/>
        <v>0</v>
      </c>
      <c r="I264" s="104" t="str">
        <f>IF(E264&lt;0,"ERROR",IF(E264=0,"",IF(E264&lt;CONFIG!$B$4,"CRÍTICO",IF(E264&lt;CONFIG!$B$5,"BAJO","OK"))))</f>
        <v/>
      </c>
    </row>
    <row r="265" ht="15.75" customHeight="1">
      <c r="A265" s="90" t="str">
        <f>IF(CLIENTES!A5="","",CLIENTES!A5)</f>
        <v>Bravos</v>
      </c>
      <c r="B265" s="67" t="str">
        <f>TELAS!A10</f>
        <v>jersey full lycra 30/1</v>
      </c>
      <c r="C265" s="67" t="str">
        <f>COLORES!A5</f>
        <v>Perla</v>
      </c>
      <c r="D265" s="67" t="str">
        <f>COLORES!B5</f>
        <v>PPT</v>
      </c>
      <c r="E265" s="100">
        <f>IFERROR(SUMIFS(MOVIMIENTOS!$F$4:$F$1000,MOVIMIENTOS!$C$4:$C$1000,A265,MOVIMIENTOS!$D$4:$D$1000,B265,MOVIMIENTOS!$E$4:$E$1000,C265,MOVIMIENTOS!$B$4:$B$1000,"INGRESO")+SUMIFS(MOVIMIENTOS!$F$4:$F$1000,MOVIMIENTOS!$C$4:$C$1000,A265,MOVIMIENTOS!$D$4:$D$1000,B265,MOVIMIENTOS!$E$4:$E$1000,C265,MOVIMIENTOS!$B$4:$B$1000,"DE REPROCESO")+SUMIFS(MOVIMIENTOS!$F$4:$F$1000,MOVIMIENTOS!$C$4:$C$1000,A265,MOVIMIENTOS!$D$4:$D$1000,B265,MOVIMIENTOS!$E$4:$E$1000,C265,MOVIMIENTOS!$B$4:$B$1000,"AJUSTE+")-SUMIFS(MOVIMIENTOS!$F$4:$F$1000,MOVIMIENTOS!$C$4:$C$1000,A265,MOVIMIENTOS!$D$4:$D$1000,B265,MOVIMIENTOS!$E$4:$E$1000,C265,MOVIMIENTOS!$B$4:$B$1000,"A CORTE")-SUMIFS(MOVIMIENTOS!$F$4:$F$1000,MOVIMIENTOS!$C$4:$C$1000,A265,MOVIMIENTOS!$D$4:$D$1000,B265,MOVIMIENTOS!$E$4:$E$1000,C265,MOVIMIENTOS!$B$4:$B$1000,"A REPROCESO")-SUMIFS(MOVIMIENTOS!$F$4:$F$1000,MOVIMIENTOS!$C$4:$C$1000,A265,MOVIMIENTOS!$D$4:$D$1000,B265,MOVIMIENTOS!$E$4:$E$1000,C265,MOVIMIENTOS!$B$4:$B$1000,"MUESTRA")-SUMIFS(MOVIMIENTOS!$F$4:$F$1000,MOVIMIENTOS!$C$4:$C$1000,A265,MOVIMIENTOS!$D$4:$D$1000,B265,MOVIMIENTOS!$E$4:$E$1000,C265,MOVIMIENTOS!$B$4:$B$1000,"AJUSTE-"),0)</f>
        <v>0</v>
      </c>
      <c r="F265" s="101">
        <f>IFERROR(E265*VLOOKUP(B265,TELAS!$A$4:$C$32,3,FALSE()),0)</f>
        <v>0</v>
      </c>
      <c r="G265" s="102">
        <f>IFERROR(IF(D265="OSCURO",VLOOKUP(B265,PRECIOS!$A$4:$F$32,2,FALSE()),IF(D265="CLARO",VLOOKUP(B265,PRECIOS!$A$4:$F$32,3,FALSE()),IF(D265="MELANGE",VLOOKUP(B265,PRECIOS!$A$4:$F$32,4,FALSE()),IF(D265="PPT",VLOOKUP(B265,PRECIOS!$A$4:$F$32,5,FALSE()),0)))),0)</f>
        <v>19</v>
      </c>
      <c r="H265" s="103">
        <f t="shared" si="1"/>
        <v>0</v>
      </c>
      <c r="I265" s="104" t="str">
        <f>IF(E265&lt;0,"ERROR",IF(E265=0,"",IF(E265&lt;CONFIG!$B$4,"CRÍTICO",IF(E265&lt;CONFIG!$B$5,"BAJO","OK"))))</f>
        <v/>
      </c>
    </row>
    <row r="266" ht="15.75" customHeight="1">
      <c r="A266" s="90" t="str">
        <f>IF(CLIENTES!A5="","",CLIENTES!A5)</f>
        <v>Bravos</v>
      </c>
      <c r="B266" s="67" t="str">
        <f>TELAS!A10</f>
        <v>jersey full lycra 30/1</v>
      </c>
      <c r="C266" s="67" t="str">
        <f>COLORES!A6</f>
        <v>Blanco</v>
      </c>
      <c r="D266" s="67" t="str">
        <f>COLORES!B6</f>
        <v>PPT</v>
      </c>
      <c r="E266" s="100">
        <f>IFERROR(SUMIFS(MOVIMIENTOS!$F$4:$F$1000,MOVIMIENTOS!$C$4:$C$1000,A266,MOVIMIENTOS!$D$4:$D$1000,B266,MOVIMIENTOS!$E$4:$E$1000,C266,MOVIMIENTOS!$B$4:$B$1000,"INGRESO")+SUMIFS(MOVIMIENTOS!$F$4:$F$1000,MOVIMIENTOS!$C$4:$C$1000,A266,MOVIMIENTOS!$D$4:$D$1000,B266,MOVIMIENTOS!$E$4:$E$1000,C266,MOVIMIENTOS!$B$4:$B$1000,"DE REPROCESO")+SUMIFS(MOVIMIENTOS!$F$4:$F$1000,MOVIMIENTOS!$C$4:$C$1000,A266,MOVIMIENTOS!$D$4:$D$1000,B266,MOVIMIENTOS!$E$4:$E$1000,C266,MOVIMIENTOS!$B$4:$B$1000,"AJUSTE+")-SUMIFS(MOVIMIENTOS!$F$4:$F$1000,MOVIMIENTOS!$C$4:$C$1000,A266,MOVIMIENTOS!$D$4:$D$1000,B266,MOVIMIENTOS!$E$4:$E$1000,C266,MOVIMIENTOS!$B$4:$B$1000,"A CORTE")-SUMIFS(MOVIMIENTOS!$F$4:$F$1000,MOVIMIENTOS!$C$4:$C$1000,A266,MOVIMIENTOS!$D$4:$D$1000,B266,MOVIMIENTOS!$E$4:$E$1000,C266,MOVIMIENTOS!$B$4:$B$1000,"A REPROCESO")-SUMIFS(MOVIMIENTOS!$F$4:$F$1000,MOVIMIENTOS!$C$4:$C$1000,A266,MOVIMIENTOS!$D$4:$D$1000,B266,MOVIMIENTOS!$E$4:$E$1000,C266,MOVIMIENTOS!$B$4:$B$1000,"MUESTRA")-SUMIFS(MOVIMIENTOS!$F$4:$F$1000,MOVIMIENTOS!$C$4:$C$1000,A266,MOVIMIENTOS!$D$4:$D$1000,B266,MOVIMIENTOS!$E$4:$E$1000,C266,MOVIMIENTOS!$B$4:$B$1000,"AJUSTE-"),0)</f>
        <v>0</v>
      </c>
      <c r="F266" s="101">
        <f>IFERROR(E266*VLOOKUP(B266,TELAS!$A$4:$C$32,3,FALSE()),0)</f>
        <v>0</v>
      </c>
      <c r="G266" s="102">
        <f>IFERROR(IF(D266="OSCURO",VLOOKUP(B266,PRECIOS!$A$4:$F$32,2,FALSE()),IF(D266="CLARO",VLOOKUP(B266,PRECIOS!$A$4:$F$32,3,FALSE()),IF(D266="MELANGE",VLOOKUP(B266,PRECIOS!$A$4:$F$32,4,FALSE()),IF(D266="PPT",VLOOKUP(B266,PRECIOS!$A$4:$F$32,5,FALSE()),0)))),0)</f>
        <v>19</v>
      </c>
      <c r="H266" s="103">
        <f t="shared" si="1"/>
        <v>0</v>
      </c>
      <c r="I266" s="104" t="str">
        <f>IF(E266&lt;0,"ERROR",IF(E266=0,"",IF(E266&lt;CONFIG!$B$4,"CRÍTICO",IF(E266&lt;CONFIG!$B$5,"BAJO","OK"))))</f>
        <v/>
      </c>
    </row>
    <row r="267" ht="15.75" customHeight="1">
      <c r="A267" s="90" t="str">
        <f>IF(CLIENTES!A5="","",CLIENTES!A5)</f>
        <v>Bravos</v>
      </c>
      <c r="B267" s="67" t="str">
        <f>TELAS!A10</f>
        <v>jersey full lycra 30/1</v>
      </c>
      <c r="C267" s="67" t="str">
        <f>COLORES!A7</f>
        <v>Azul</v>
      </c>
      <c r="D267" s="67" t="str">
        <f>COLORES!B7</f>
        <v>OSCURO</v>
      </c>
      <c r="E267" s="100">
        <f>IFERROR(SUMIFS(MOVIMIENTOS!$F$4:$F$1000,MOVIMIENTOS!$C$4:$C$1000,A267,MOVIMIENTOS!$D$4:$D$1000,B267,MOVIMIENTOS!$E$4:$E$1000,C267,MOVIMIENTOS!$B$4:$B$1000,"INGRESO")+SUMIFS(MOVIMIENTOS!$F$4:$F$1000,MOVIMIENTOS!$C$4:$C$1000,A267,MOVIMIENTOS!$D$4:$D$1000,B267,MOVIMIENTOS!$E$4:$E$1000,C267,MOVIMIENTOS!$B$4:$B$1000,"DE REPROCESO")+SUMIFS(MOVIMIENTOS!$F$4:$F$1000,MOVIMIENTOS!$C$4:$C$1000,A267,MOVIMIENTOS!$D$4:$D$1000,B267,MOVIMIENTOS!$E$4:$E$1000,C267,MOVIMIENTOS!$B$4:$B$1000,"AJUSTE+")-SUMIFS(MOVIMIENTOS!$F$4:$F$1000,MOVIMIENTOS!$C$4:$C$1000,A267,MOVIMIENTOS!$D$4:$D$1000,B267,MOVIMIENTOS!$E$4:$E$1000,C267,MOVIMIENTOS!$B$4:$B$1000,"A CORTE")-SUMIFS(MOVIMIENTOS!$F$4:$F$1000,MOVIMIENTOS!$C$4:$C$1000,A267,MOVIMIENTOS!$D$4:$D$1000,B267,MOVIMIENTOS!$E$4:$E$1000,C267,MOVIMIENTOS!$B$4:$B$1000,"A REPROCESO")-SUMIFS(MOVIMIENTOS!$F$4:$F$1000,MOVIMIENTOS!$C$4:$C$1000,A267,MOVIMIENTOS!$D$4:$D$1000,B267,MOVIMIENTOS!$E$4:$E$1000,C267,MOVIMIENTOS!$B$4:$B$1000,"MUESTRA")-SUMIFS(MOVIMIENTOS!$F$4:$F$1000,MOVIMIENTOS!$C$4:$C$1000,A267,MOVIMIENTOS!$D$4:$D$1000,B267,MOVIMIENTOS!$E$4:$E$1000,C267,MOVIMIENTOS!$B$4:$B$1000,"AJUSTE-"),0)</f>
        <v>0</v>
      </c>
      <c r="F267" s="101">
        <f>IFERROR(E267*VLOOKUP(B267,TELAS!$A$4:$C$32,3,FALSE()),0)</f>
        <v>0</v>
      </c>
      <c r="G267" s="102">
        <f>IFERROR(IF(D267="OSCURO",VLOOKUP(B267,PRECIOS!$A$4:$F$32,2,FALSE()),IF(D267="CLARO",VLOOKUP(B267,PRECIOS!$A$4:$F$32,3,FALSE()),IF(D267="MELANGE",VLOOKUP(B267,PRECIOS!$A$4:$F$32,4,FALSE()),IF(D267="PPT",VLOOKUP(B267,PRECIOS!$A$4:$F$32,5,FALSE()),0)))),0)</f>
        <v>26</v>
      </c>
      <c r="H267" s="103">
        <f t="shared" si="1"/>
        <v>0</v>
      </c>
      <c r="I267" s="104" t="str">
        <f>IF(E267&lt;0,"ERROR",IF(E267=0,"",IF(E267&lt;CONFIG!$B$4,"CRÍTICO",IF(E267&lt;CONFIG!$B$5,"BAJO","OK"))))</f>
        <v/>
      </c>
    </row>
    <row r="268" ht="15.75" customHeight="1">
      <c r="A268" s="90" t="str">
        <f>IF(CLIENTES!A5="","",CLIENTES!A5)</f>
        <v>Bravos</v>
      </c>
      <c r="B268" s="67" t="str">
        <f>TELAS!A10</f>
        <v>jersey full lycra 30/1</v>
      </c>
      <c r="C268" s="67" t="str">
        <f>COLORES!A8</f>
        <v>Beige</v>
      </c>
      <c r="D268" s="67" t="str">
        <f>COLORES!B8</f>
        <v>CLARO</v>
      </c>
      <c r="E268" s="100">
        <f>IFERROR(SUMIFS(MOVIMIENTOS!$F$4:$F$1000,MOVIMIENTOS!$C$4:$C$1000,A268,MOVIMIENTOS!$D$4:$D$1000,B268,MOVIMIENTOS!$E$4:$E$1000,C268,MOVIMIENTOS!$B$4:$B$1000,"INGRESO")+SUMIFS(MOVIMIENTOS!$F$4:$F$1000,MOVIMIENTOS!$C$4:$C$1000,A268,MOVIMIENTOS!$D$4:$D$1000,B268,MOVIMIENTOS!$E$4:$E$1000,C268,MOVIMIENTOS!$B$4:$B$1000,"DE REPROCESO")+SUMIFS(MOVIMIENTOS!$F$4:$F$1000,MOVIMIENTOS!$C$4:$C$1000,A268,MOVIMIENTOS!$D$4:$D$1000,B268,MOVIMIENTOS!$E$4:$E$1000,C268,MOVIMIENTOS!$B$4:$B$1000,"AJUSTE+")-SUMIFS(MOVIMIENTOS!$F$4:$F$1000,MOVIMIENTOS!$C$4:$C$1000,A268,MOVIMIENTOS!$D$4:$D$1000,B268,MOVIMIENTOS!$E$4:$E$1000,C268,MOVIMIENTOS!$B$4:$B$1000,"A CORTE")-SUMIFS(MOVIMIENTOS!$F$4:$F$1000,MOVIMIENTOS!$C$4:$C$1000,A268,MOVIMIENTOS!$D$4:$D$1000,B268,MOVIMIENTOS!$E$4:$E$1000,C268,MOVIMIENTOS!$B$4:$B$1000,"A REPROCESO")-SUMIFS(MOVIMIENTOS!$F$4:$F$1000,MOVIMIENTOS!$C$4:$C$1000,A268,MOVIMIENTOS!$D$4:$D$1000,B268,MOVIMIENTOS!$E$4:$E$1000,C268,MOVIMIENTOS!$B$4:$B$1000,"MUESTRA")-SUMIFS(MOVIMIENTOS!$F$4:$F$1000,MOVIMIENTOS!$C$4:$C$1000,A268,MOVIMIENTOS!$D$4:$D$1000,B268,MOVIMIENTOS!$E$4:$E$1000,C268,MOVIMIENTOS!$B$4:$B$1000,"AJUSTE-"),0)</f>
        <v>0</v>
      </c>
      <c r="F268" s="101">
        <f>IFERROR(E268*VLOOKUP(B268,TELAS!$A$4:$C$32,3,FALSE()),0)</f>
        <v>0</v>
      </c>
      <c r="G268" s="102">
        <f>IFERROR(IF(D268="OSCURO",VLOOKUP(B268,PRECIOS!$A$4:$F$32,2,FALSE()),IF(D268="CLARO",VLOOKUP(B268,PRECIOS!$A$4:$F$32,3,FALSE()),IF(D268="MELANGE",VLOOKUP(B268,PRECIOS!$A$4:$F$32,4,FALSE()),IF(D268="PPT",VLOOKUP(B268,PRECIOS!$A$4:$F$32,5,FALSE()),0)))),0)</f>
        <v>22.5</v>
      </c>
      <c r="H268" s="103">
        <f t="shared" si="1"/>
        <v>0</v>
      </c>
      <c r="I268" s="104" t="str">
        <f>IF(E268&lt;0,"ERROR",IF(E268=0,"",IF(E268&lt;CONFIG!$B$4,"CRÍTICO",IF(E268&lt;CONFIG!$B$5,"BAJO","OK"))))</f>
        <v/>
      </c>
    </row>
    <row r="269" ht="15.75" customHeight="1">
      <c r="A269" s="90" t="str">
        <f>IF(CLIENTES!A5="","",CLIENTES!A5)</f>
        <v>Bravos</v>
      </c>
      <c r="B269" s="67" t="str">
        <f>TELAS!A10</f>
        <v>jersey full lycra 30/1</v>
      </c>
      <c r="C269" s="67" t="str">
        <f>COLORES!A9</f>
        <v>Melange</v>
      </c>
      <c r="D269" s="67" t="str">
        <f>COLORES!B9</f>
        <v>MELANGE</v>
      </c>
      <c r="E269" s="100">
        <f>IFERROR(SUMIFS(MOVIMIENTOS!$F$4:$F$1000,MOVIMIENTOS!$C$4:$C$1000,A269,MOVIMIENTOS!$D$4:$D$1000,B269,MOVIMIENTOS!$E$4:$E$1000,C269,MOVIMIENTOS!$B$4:$B$1000,"INGRESO")+SUMIFS(MOVIMIENTOS!$F$4:$F$1000,MOVIMIENTOS!$C$4:$C$1000,A269,MOVIMIENTOS!$D$4:$D$1000,B269,MOVIMIENTOS!$E$4:$E$1000,C269,MOVIMIENTOS!$B$4:$B$1000,"DE REPROCESO")+SUMIFS(MOVIMIENTOS!$F$4:$F$1000,MOVIMIENTOS!$C$4:$C$1000,A269,MOVIMIENTOS!$D$4:$D$1000,B269,MOVIMIENTOS!$E$4:$E$1000,C269,MOVIMIENTOS!$B$4:$B$1000,"AJUSTE+")-SUMIFS(MOVIMIENTOS!$F$4:$F$1000,MOVIMIENTOS!$C$4:$C$1000,A269,MOVIMIENTOS!$D$4:$D$1000,B269,MOVIMIENTOS!$E$4:$E$1000,C269,MOVIMIENTOS!$B$4:$B$1000,"A CORTE")-SUMIFS(MOVIMIENTOS!$F$4:$F$1000,MOVIMIENTOS!$C$4:$C$1000,A269,MOVIMIENTOS!$D$4:$D$1000,B269,MOVIMIENTOS!$E$4:$E$1000,C269,MOVIMIENTOS!$B$4:$B$1000,"A REPROCESO")-SUMIFS(MOVIMIENTOS!$F$4:$F$1000,MOVIMIENTOS!$C$4:$C$1000,A269,MOVIMIENTOS!$D$4:$D$1000,B269,MOVIMIENTOS!$E$4:$E$1000,C269,MOVIMIENTOS!$B$4:$B$1000,"MUESTRA")-SUMIFS(MOVIMIENTOS!$F$4:$F$1000,MOVIMIENTOS!$C$4:$C$1000,A269,MOVIMIENTOS!$D$4:$D$1000,B269,MOVIMIENTOS!$E$4:$E$1000,C269,MOVIMIENTOS!$B$4:$B$1000,"AJUSTE-"),0)</f>
        <v>0</v>
      </c>
      <c r="F269" s="101">
        <f>IFERROR(E269*VLOOKUP(B269,TELAS!$A$4:$C$32,3,FALSE()),0)</f>
        <v>0</v>
      </c>
      <c r="G269" s="102">
        <f>IFERROR(IF(D269="OSCURO",VLOOKUP(B269,PRECIOS!$A$4:$F$32,2,FALSE()),IF(D269="CLARO",VLOOKUP(B269,PRECIOS!$A$4:$F$32,3,FALSE()),IF(D269="MELANGE",VLOOKUP(B269,PRECIOS!$A$4:$F$32,4,FALSE()),IF(D269="PPT",VLOOKUP(B269,PRECIOS!$A$4:$F$32,5,FALSE()),0)))),0)</f>
        <v>19</v>
      </c>
      <c r="H269" s="103">
        <f t="shared" si="1"/>
        <v>0</v>
      </c>
      <c r="I269" s="104" t="str">
        <f>IF(E269&lt;0,"ERROR",IF(E269=0,"",IF(E269&lt;CONFIG!$B$4,"CRÍTICO",IF(E269&lt;CONFIG!$B$5,"BAJO","OK"))))</f>
        <v/>
      </c>
    </row>
    <row r="270" ht="15.75" customHeight="1">
      <c r="A270" s="90" t="str">
        <f>IF(CLIENTES!A5="","",CLIENTES!A5)</f>
        <v>Bravos</v>
      </c>
      <c r="B270" s="67" t="str">
        <f>TELAS!A10</f>
        <v>jersey full lycra 30/1</v>
      </c>
      <c r="C270" s="67" t="str">
        <f>COLORES!A10</f>
        <v>Botella</v>
      </c>
      <c r="D270" s="67" t="str">
        <f>COLORES!B10</f>
        <v>OSCURO</v>
      </c>
      <c r="E270" s="100">
        <f>IFERROR(SUMIFS(MOVIMIENTOS!$F$4:$F$1000,MOVIMIENTOS!$C$4:$C$1000,A270,MOVIMIENTOS!$D$4:$D$1000,B270,MOVIMIENTOS!$E$4:$E$1000,C270,MOVIMIENTOS!$B$4:$B$1000,"INGRESO")+SUMIFS(MOVIMIENTOS!$F$4:$F$1000,MOVIMIENTOS!$C$4:$C$1000,A270,MOVIMIENTOS!$D$4:$D$1000,B270,MOVIMIENTOS!$E$4:$E$1000,C270,MOVIMIENTOS!$B$4:$B$1000,"DE REPROCESO")+SUMIFS(MOVIMIENTOS!$F$4:$F$1000,MOVIMIENTOS!$C$4:$C$1000,A270,MOVIMIENTOS!$D$4:$D$1000,B270,MOVIMIENTOS!$E$4:$E$1000,C270,MOVIMIENTOS!$B$4:$B$1000,"AJUSTE+")-SUMIFS(MOVIMIENTOS!$F$4:$F$1000,MOVIMIENTOS!$C$4:$C$1000,A270,MOVIMIENTOS!$D$4:$D$1000,B270,MOVIMIENTOS!$E$4:$E$1000,C270,MOVIMIENTOS!$B$4:$B$1000,"A CORTE")-SUMIFS(MOVIMIENTOS!$F$4:$F$1000,MOVIMIENTOS!$C$4:$C$1000,A270,MOVIMIENTOS!$D$4:$D$1000,B270,MOVIMIENTOS!$E$4:$E$1000,C270,MOVIMIENTOS!$B$4:$B$1000,"A REPROCESO")-SUMIFS(MOVIMIENTOS!$F$4:$F$1000,MOVIMIENTOS!$C$4:$C$1000,A270,MOVIMIENTOS!$D$4:$D$1000,B270,MOVIMIENTOS!$E$4:$E$1000,C270,MOVIMIENTOS!$B$4:$B$1000,"MUESTRA")-SUMIFS(MOVIMIENTOS!$F$4:$F$1000,MOVIMIENTOS!$C$4:$C$1000,A270,MOVIMIENTOS!$D$4:$D$1000,B270,MOVIMIENTOS!$E$4:$E$1000,C270,MOVIMIENTOS!$B$4:$B$1000,"AJUSTE-"),0)</f>
        <v>0</v>
      </c>
      <c r="F270" s="101">
        <f>IFERROR(E270*VLOOKUP(B270,TELAS!$A$4:$C$32,3,FALSE()),0)</f>
        <v>0</v>
      </c>
      <c r="G270" s="102">
        <f>IFERROR(IF(D270="OSCURO",VLOOKUP(B270,PRECIOS!$A$4:$F$32,2,FALSE()),IF(D270="CLARO",VLOOKUP(B270,PRECIOS!$A$4:$F$32,3,FALSE()),IF(D270="MELANGE",VLOOKUP(B270,PRECIOS!$A$4:$F$32,4,FALSE()),IF(D270="PPT",VLOOKUP(B270,PRECIOS!$A$4:$F$32,5,FALSE()),0)))),0)</f>
        <v>26</v>
      </c>
      <c r="H270" s="103">
        <f t="shared" si="1"/>
        <v>0</v>
      </c>
      <c r="I270" s="104" t="str">
        <f>IF(E270&lt;0,"ERROR",IF(E270=0,"",IF(E270&lt;CONFIG!$B$4,"CRÍTICO",IF(E270&lt;CONFIG!$B$5,"BAJO","OK"))))</f>
        <v/>
      </c>
    </row>
    <row r="271" ht="15.75" customHeight="1">
      <c r="A271" s="90" t="str">
        <f>IF(CLIENTES!A5="","",CLIENTES!A5)</f>
        <v>Bravos</v>
      </c>
      <c r="B271" s="67" t="str">
        <f>TELAS!A10</f>
        <v>jersey full lycra 30/1</v>
      </c>
      <c r="C271" s="67" t="str">
        <f>COLORES!A11</f>
        <v>Pacay</v>
      </c>
      <c r="D271" s="67" t="str">
        <f>COLORES!B11</f>
        <v>CLARO</v>
      </c>
      <c r="E271" s="100">
        <f>IFERROR(SUMIFS(MOVIMIENTOS!$F$4:$F$1000,MOVIMIENTOS!$C$4:$C$1000,A271,MOVIMIENTOS!$D$4:$D$1000,B271,MOVIMIENTOS!$E$4:$E$1000,C271,MOVIMIENTOS!$B$4:$B$1000,"INGRESO")+SUMIFS(MOVIMIENTOS!$F$4:$F$1000,MOVIMIENTOS!$C$4:$C$1000,A271,MOVIMIENTOS!$D$4:$D$1000,B271,MOVIMIENTOS!$E$4:$E$1000,C271,MOVIMIENTOS!$B$4:$B$1000,"DE REPROCESO")+SUMIFS(MOVIMIENTOS!$F$4:$F$1000,MOVIMIENTOS!$C$4:$C$1000,A271,MOVIMIENTOS!$D$4:$D$1000,B271,MOVIMIENTOS!$E$4:$E$1000,C271,MOVIMIENTOS!$B$4:$B$1000,"AJUSTE+")-SUMIFS(MOVIMIENTOS!$F$4:$F$1000,MOVIMIENTOS!$C$4:$C$1000,A271,MOVIMIENTOS!$D$4:$D$1000,B271,MOVIMIENTOS!$E$4:$E$1000,C271,MOVIMIENTOS!$B$4:$B$1000,"A CORTE")-SUMIFS(MOVIMIENTOS!$F$4:$F$1000,MOVIMIENTOS!$C$4:$C$1000,A271,MOVIMIENTOS!$D$4:$D$1000,B271,MOVIMIENTOS!$E$4:$E$1000,C271,MOVIMIENTOS!$B$4:$B$1000,"A REPROCESO")-SUMIFS(MOVIMIENTOS!$F$4:$F$1000,MOVIMIENTOS!$C$4:$C$1000,A271,MOVIMIENTOS!$D$4:$D$1000,B271,MOVIMIENTOS!$E$4:$E$1000,C271,MOVIMIENTOS!$B$4:$B$1000,"MUESTRA")-SUMIFS(MOVIMIENTOS!$F$4:$F$1000,MOVIMIENTOS!$C$4:$C$1000,A271,MOVIMIENTOS!$D$4:$D$1000,B271,MOVIMIENTOS!$E$4:$E$1000,C271,MOVIMIENTOS!$B$4:$B$1000,"AJUSTE-"),0)</f>
        <v>0</v>
      </c>
      <c r="F271" s="101">
        <f>IFERROR(E271*VLOOKUP(B271,TELAS!$A$4:$C$32,3,FALSE()),0)</f>
        <v>0</v>
      </c>
      <c r="G271" s="102">
        <f>IFERROR(IF(D271="OSCURO",VLOOKUP(B271,PRECIOS!$A$4:$F$32,2,FALSE()),IF(D271="CLARO",VLOOKUP(B271,PRECIOS!$A$4:$F$32,3,FALSE()),IF(D271="MELANGE",VLOOKUP(B271,PRECIOS!$A$4:$F$32,4,FALSE()),IF(D271="PPT",VLOOKUP(B271,PRECIOS!$A$4:$F$32,5,FALSE()),0)))),0)</f>
        <v>22.5</v>
      </c>
      <c r="H271" s="103">
        <f t="shared" si="1"/>
        <v>0</v>
      </c>
      <c r="I271" s="104" t="str">
        <f>IF(E271&lt;0,"ERROR",IF(E271=0,"",IF(E271&lt;CONFIG!$B$4,"CRÍTICO",IF(E271&lt;CONFIG!$B$5,"BAJO","OK"))))</f>
        <v/>
      </c>
    </row>
    <row r="272" ht="15.75" customHeight="1">
      <c r="A272" s="90" t="str">
        <f>IF(CLIENTES!A5="","",CLIENTES!A5)</f>
        <v>Bravos</v>
      </c>
      <c r="B272" s="67" t="str">
        <f>TELAS!A10</f>
        <v>jersey full lycra 30/1</v>
      </c>
      <c r="C272" s="67" t="str">
        <f>COLORES!A12</f>
        <v>Cemento</v>
      </c>
      <c r="D272" s="67" t="str">
        <f>COLORES!B12</f>
        <v>CLARO</v>
      </c>
      <c r="E272" s="100">
        <f>IFERROR(SUMIFS(MOVIMIENTOS!$F$4:$F$1000,MOVIMIENTOS!$C$4:$C$1000,A272,MOVIMIENTOS!$D$4:$D$1000,B272,MOVIMIENTOS!$E$4:$E$1000,C272,MOVIMIENTOS!$B$4:$B$1000,"INGRESO")+SUMIFS(MOVIMIENTOS!$F$4:$F$1000,MOVIMIENTOS!$C$4:$C$1000,A272,MOVIMIENTOS!$D$4:$D$1000,B272,MOVIMIENTOS!$E$4:$E$1000,C272,MOVIMIENTOS!$B$4:$B$1000,"DE REPROCESO")+SUMIFS(MOVIMIENTOS!$F$4:$F$1000,MOVIMIENTOS!$C$4:$C$1000,A272,MOVIMIENTOS!$D$4:$D$1000,B272,MOVIMIENTOS!$E$4:$E$1000,C272,MOVIMIENTOS!$B$4:$B$1000,"AJUSTE+")-SUMIFS(MOVIMIENTOS!$F$4:$F$1000,MOVIMIENTOS!$C$4:$C$1000,A272,MOVIMIENTOS!$D$4:$D$1000,B272,MOVIMIENTOS!$E$4:$E$1000,C272,MOVIMIENTOS!$B$4:$B$1000,"A CORTE")-SUMIFS(MOVIMIENTOS!$F$4:$F$1000,MOVIMIENTOS!$C$4:$C$1000,A272,MOVIMIENTOS!$D$4:$D$1000,B272,MOVIMIENTOS!$E$4:$E$1000,C272,MOVIMIENTOS!$B$4:$B$1000,"A REPROCESO")-SUMIFS(MOVIMIENTOS!$F$4:$F$1000,MOVIMIENTOS!$C$4:$C$1000,A272,MOVIMIENTOS!$D$4:$D$1000,B272,MOVIMIENTOS!$E$4:$E$1000,C272,MOVIMIENTOS!$B$4:$B$1000,"MUESTRA")-SUMIFS(MOVIMIENTOS!$F$4:$F$1000,MOVIMIENTOS!$C$4:$C$1000,A272,MOVIMIENTOS!$D$4:$D$1000,B272,MOVIMIENTOS!$E$4:$E$1000,C272,MOVIMIENTOS!$B$4:$B$1000,"AJUSTE-"),0)</f>
        <v>0</v>
      </c>
      <c r="F272" s="101">
        <f>IFERROR(E272*VLOOKUP(B272,TELAS!$A$4:$C$32,3,FALSE()),0)</f>
        <v>0</v>
      </c>
      <c r="G272" s="102">
        <f>IFERROR(IF(D272="OSCURO",VLOOKUP(B272,PRECIOS!$A$4:$F$32,2,FALSE()),IF(D272="CLARO",VLOOKUP(B272,PRECIOS!$A$4:$F$32,3,FALSE()),IF(D272="MELANGE",VLOOKUP(B272,PRECIOS!$A$4:$F$32,4,FALSE()),IF(D272="PPT",VLOOKUP(B272,PRECIOS!$A$4:$F$32,5,FALSE()),0)))),0)</f>
        <v>22.5</v>
      </c>
      <c r="H272" s="103">
        <f t="shared" si="1"/>
        <v>0</v>
      </c>
      <c r="I272" s="104" t="str">
        <f>IF(E272&lt;0,"ERROR",IF(E272=0,"",IF(E272&lt;CONFIG!$B$4,"CRÍTICO",IF(E272&lt;CONFIG!$B$5,"BAJO","OK"))))</f>
        <v/>
      </c>
    </row>
    <row r="273" ht="15.75" customHeight="1">
      <c r="A273" s="90" t="str">
        <f>IF(CLIENTES!A5="","",CLIENTES!A5)</f>
        <v>Bravos</v>
      </c>
      <c r="B273" s="67" t="str">
        <f>TELAS!A10</f>
        <v>jersey full lycra 30/1</v>
      </c>
      <c r="C273" s="67" t="str">
        <f>COLORES!A13</f>
        <v>Camote</v>
      </c>
      <c r="D273" s="67" t="str">
        <f>COLORES!B13</f>
        <v>CLARO</v>
      </c>
      <c r="E273" s="100">
        <f>IFERROR(SUMIFS(MOVIMIENTOS!$F$4:$F$1000,MOVIMIENTOS!$C$4:$C$1000,A273,MOVIMIENTOS!$D$4:$D$1000,B273,MOVIMIENTOS!$E$4:$E$1000,C273,MOVIMIENTOS!$B$4:$B$1000,"INGRESO")+SUMIFS(MOVIMIENTOS!$F$4:$F$1000,MOVIMIENTOS!$C$4:$C$1000,A273,MOVIMIENTOS!$D$4:$D$1000,B273,MOVIMIENTOS!$E$4:$E$1000,C273,MOVIMIENTOS!$B$4:$B$1000,"DE REPROCESO")+SUMIFS(MOVIMIENTOS!$F$4:$F$1000,MOVIMIENTOS!$C$4:$C$1000,A273,MOVIMIENTOS!$D$4:$D$1000,B273,MOVIMIENTOS!$E$4:$E$1000,C273,MOVIMIENTOS!$B$4:$B$1000,"AJUSTE+")-SUMIFS(MOVIMIENTOS!$F$4:$F$1000,MOVIMIENTOS!$C$4:$C$1000,A273,MOVIMIENTOS!$D$4:$D$1000,B273,MOVIMIENTOS!$E$4:$E$1000,C273,MOVIMIENTOS!$B$4:$B$1000,"A CORTE")-SUMIFS(MOVIMIENTOS!$F$4:$F$1000,MOVIMIENTOS!$C$4:$C$1000,A273,MOVIMIENTOS!$D$4:$D$1000,B273,MOVIMIENTOS!$E$4:$E$1000,C273,MOVIMIENTOS!$B$4:$B$1000,"A REPROCESO")-SUMIFS(MOVIMIENTOS!$F$4:$F$1000,MOVIMIENTOS!$C$4:$C$1000,A273,MOVIMIENTOS!$D$4:$D$1000,B273,MOVIMIENTOS!$E$4:$E$1000,C273,MOVIMIENTOS!$B$4:$B$1000,"MUESTRA")-SUMIFS(MOVIMIENTOS!$F$4:$F$1000,MOVIMIENTOS!$C$4:$C$1000,A273,MOVIMIENTOS!$D$4:$D$1000,B273,MOVIMIENTOS!$E$4:$E$1000,C273,MOVIMIENTOS!$B$4:$B$1000,"AJUSTE-"),0)</f>
        <v>0</v>
      </c>
      <c r="F273" s="101">
        <f>IFERROR(E273*VLOOKUP(B273,TELAS!$A$4:$C$32,3,FALSE()),0)</f>
        <v>0</v>
      </c>
      <c r="G273" s="102">
        <f>IFERROR(IF(D273="OSCURO",VLOOKUP(B273,PRECIOS!$A$4:$F$32,2,FALSE()),IF(D273="CLARO",VLOOKUP(B273,PRECIOS!$A$4:$F$32,3,FALSE()),IF(D273="MELANGE",VLOOKUP(B273,PRECIOS!$A$4:$F$32,4,FALSE()),IF(D273="PPT",VLOOKUP(B273,PRECIOS!$A$4:$F$32,5,FALSE()),0)))),0)</f>
        <v>22.5</v>
      </c>
      <c r="H273" s="103">
        <f t="shared" si="1"/>
        <v>0</v>
      </c>
      <c r="I273" s="104" t="str">
        <f>IF(E273&lt;0,"ERROR",IF(E273=0,"",IF(E273&lt;CONFIG!$B$4,"CRÍTICO",IF(E273&lt;CONFIG!$B$5,"BAJO","OK"))))</f>
        <v/>
      </c>
    </row>
    <row r="274" ht="15.75" customHeight="1">
      <c r="A274" s="90" t="str">
        <f>IF(CLIENTES!A5="","",CLIENTES!A5)</f>
        <v>Bravos</v>
      </c>
      <c r="B274" s="67" t="str">
        <f>TELAS!A10</f>
        <v>jersey full lycra 30/1</v>
      </c>
      <c r="C274" s="67" t="str">
        <f>COLORES!A14</f>
        <v>Denim</v>
      </c>
      <c r="D274" s="67" t="str">
        <f>COLORES!B14</f>
        <v>CLARO</v>
      </c>
      <c r="E274" s="100">
        <f>IFERROR(SUMIFS(MOVIMIENTOS!$F$4:$F$1000,MOVIMIENTOS!$C$4:$C$1000,A274,MOVIMIENTOS!$D$4:$D$1000,B274,MOVIMIENTOS!$E$4:$E$1000,C274,MOVIMIENTOS!$B$4:$B$1000,"INGRESO")+SUMIFS(MOVIMIENTOS!$F$4:$F$1000,MOVIMIENTOS!$C$4:$C$1000,A274,MOVIMIENTOS!$D$4:$D$1000,B274,MOVIMIENTOS!$E$4:$E$1000,C274,MOVIMIENTOS!$B$4:$B$1000,"DE REPROCESO")+SUMIFS(MOVIMIENTOS!$F$4:$F$1000,MOVIMIENTOS!$C$4:$C$1000,A274,MOVIMIENTOS!$D$4:$D$1000,B274,MOVIMIENTOS!$E$4:$E$1000,C274,MOVIMIENTOS!$B$4:$B$1000,"AJUSTE+")-SUMIFS(MOVIMIENTOS!$F$4:$F$1000,MOVIMIENTOS!$C$4:$C$1000,A274,MOVIMIENTOS!$D$4:$D$1000,B274,MOVIMIENTOS!$E$4:$E$1000,C274,MOVIMIENTOS!$B$4:$B$1000,"A CORTE")-SUMIFS(MOVIMIENTOS!$F$4:$F$1000,MOVIMIENTOS!$C$4:$C$1000,A274,MOVIMIENTOS!$D$4:$D$1000,B274,MOVIMIENTOS!$E$4:$E$1000,C274,MOVIMIENTOS!$B$4:$B$1000,"A REPROCESO")-SUMIFS(MOVIMIENTOS!$F$4:$F$1000,MOVIMIENTOS!$C$4:$C$1000,A274,MOVIMIENTOS!$D$4:$D$1000,B274,MOVIMIENTOS!$E$4:$E$1000,C274,MOVIMIENTOS!$B$4:$B$1000,"MUESTRA")-SUMIFS(MOVIMIENTOS!$F$4:$F$1000,MOVIMIENTOS!$C$4:$C$1000,A274,MOVIMIENTOS!$D$4:$D$1000,B274,MOVIMIENTOS!$E$4:$E$1000,C274,MOVIMIENTOS!$B$4:$B$1000,"AJUSTE-"),0)</f>
        <v>0</v>
      </c>
      <c r="F274" s="101">
        <f>IFERROR(E274*VLOOKUP(B274,TELAS!$A$4:$C$32,3,FALSE()),0)</f>
        <v>0</v>
      </c>
      <c r="G274" s="102">
        <f>IFERROR(IF(D274="OSCURO",VLOOKUP(B274,PRECIOS!$A$4:$F$32,2,FALSE()),IF(D274="CLARO",VLOOKUP(B274,PRECIOS!$A$4:$F$32,3,FALSE()),IF(D274="MELANGE",VLOOKUP(B274,PRECIOS!$A$4:$F$32,4,FALSE()),IF(D274="PPT",VLOOKUP(B274,PRECIOS!$A$4:$F$32,5,FALSE()),0)))),0)</f>
        <v>22.5</v>
      </c>
      <c r="H274" s="103">
        <f t="shared" si="1"/>
        <v>0</v>
      </c>
      <c r="I274" s="104" t="str">
        <f>IF(E274&lt;0,"ERROR",IF(E274=0,"",IF(E274&lt;CONFIG!$B$4,"CRÍTICO",IF(E274&lt;CONFIG!$B$5,"BAJO","OK"))))</f>
        <v/>
      </c>
    </row>
    <row r="275" ht="15.75" customHeight="1">
      <c r="A275" s="90" t="str">
        <f>IF(CLIENTES!A5="","",CLIENTES!A5)</f>
        <v>Bravos</v>
      </c>
      <c r="B275" s="67" t="str">
        <f>TELAS!A10</f>
        <v>jersey full lycra 30/1</v>
      </c>
      <c r="C275" s="67" t="str">
        <f>COLORES!A15</f>
        <v>Plomo</v>
      </c>
      <c r="D275" s="67" t="str">
        <f>COLORES!B15</f>
        <v>OSCURO</v>
      </c>
      <c r="E275" s="100">
        <f>IFERROR(SUMIFS(MOVIMIENTOS!$F$4:$F$1000,MOVIMIENTOS!$C$4:$C$1000,A275,MOVIMIENTOS!$D$4:$D$1000,B275,MOVIMIENTOS!$E$4:$E$1000,C275,MOVIMIENTOS!$B$4:$B$1000,"INGRESO")+SUMIFS(MOVIMIENTOS!$F$4:$F$1000,MOVIMIENTOS!$C$4:$C$1000,A275,MOVIMIENTOS!$D$4:$D$1000,B275,MOVIMIENTOS!$E$4:$E$1000,C275,MOVIMIENTOS!$B$4:$B$1000,"DE REPROCESO")+SUMIFS(MOVIMIENTOS!$F$4:$F$1000,MOVIMIENTOS!$C$4:$C$1000,A275,MOVIMIENTOS!$D$4:$D$1000,B275,MOVIMIENTOS!$E$4:$E$1000,C275,MOVIMIENTOS!$B$4:$B$1000,"AJUSTE+")-SUMIFS(MOVIMIENTOS!$F$4:$F$1000,MOVIMIENTOS!$C$4:$C$1000,A275,MOVIMIENTOS!$D$4:$D$1000,B275,MOVIMIENTOS!$E$4:$E$1000,C275,MOVIMIENTOS!$B$4:$B$1000,"A CORTE")-SUMIFS(MOVIMIENTOS!$F$4:$F$1000,MOVIMIENTOS!$C$4:$C$1000,A275,MOVIMIENTOS!$D$4:$D$1000,B275,MOVIMIENTOS!$E$4:$E$1000,C275,MOVIMIENTOS!$B$4:$B$1000,"A REPROCESO")-SUMIFS(MOVIMIENTOS!$F$4:$F$1000,MOVIMIENTOS!$C$4:$C$1000,A275,MOVIMIENTOS!$D$4:$D$1000,B275,MOVIMIENTOS!$E$4:$E$1000,C275,MOVIMIENTOS!$B$4:$B$1000,"MUESTRA")-SUMIFS(MOVIMIENTOS!$F$4:$F$1000,MOVIMIENTOS!$C$4:$C$1000,A275,MOVIMIENTOS!$D$4:$D$1000,B275,MOVIMIENTOS!$E$4:$E$1000,C275,MOVIMIENTOS!$B$4:$B$1000,"AJUSTE-"),0)</f>
        <v>0</v>
      </c>
      <c r="F275" s="101">
        <f>IFERROR(E275*VLOOKUP(B275,TELAS!$A$4:$C$32,3,FALSE()),0)</f>
        <v>0</v>
      </c>
      <c r="G275" s="102">
        <f>IFERROR(IF(D275="OSCURO",VLOOKUP(B275,PRECIOS!$A$4:$F$32,2,FALSE()),IF(D275="CLARO",VLOOKUP(B275,PRECIOS!$A$4:$F$32,3,FALSE()),IF(D275="MELANGE",VLOOKUP(B275,PRECIOS!$A$4:$F$32,4,FALSE()),IF(D275="PPT",VLOOKUP(B275,PRECIOS!$A$4:$F$32,5,FALSE()),0)))),0)</f>
        <v>26</v>
      </c>
      <c r="H275" s="103">
        <f t="shared" si="1"/>
        <v>0</v>
      </c>
      <c r="I275" s="104" t="str">
        <f>IF(E275&lt;0,"ERROR",IF(E275=0,"",IF(E275&lt;CONFIG!$B$4,"CRÍTICO",IF(E275&lt;CONFIG!$B$5,"BAJO","OK"))))</f>
        <v/>
      </c>
    </row>
    <row r="276" ht="15.75" customHeight="1">
      <c r="A276" s="90" t="str">
        <f>IF(CLIENTES!A5="","",CLIENTES!A5)</f>
        <v>Bravos</v>
      </c>
      <c r="B276" s="67" t="str">
        <f>TELAS!A10</f>
        <v>jersey full lycra 30/1</v>
      </c>
      <c r="C276" s="67" t="str">
        <f>COLORES!A16</f>
        <v>Topo</v>
      </c>
      <c r="D276" s="67" t="str">
        <f>COLORES!B16</f>
        <v>CLARO</v>
      </c>
      <c r="E276" s="100">
        <f>IFERROR(SUMIFS(MOVIMIENTOS!$F$4:$F$1000,MOVIMIENTOS!$C$4:$C$1000,A276,MOVIMIENTOS!$D$4:$D$1000,B276,MOVIMIENTOS!$E$4:$E$1000,C276,MOVIMIENTOS!$B$4:$B$1000,"INGRESO")+SUMIFS(MOVIMIENTOS!$F$4:$F$1000,MOVIMIENTOS!$C$4:$C$1000,A276,MOVIMIENTOS!$D$4:$D$1000,B276,MOVIMIENTOS!$E$4:$E$1000,C276,MOVIMIENTOS!$B$4:$B$1000,"DE REPROCESO")+SUMIFS(MOVIMIENTOS!$F$4:$F$1000,MOVIMIENTOS!$C$4:$C$1000,A276,MOVIMIENTOS!$D$4:$D$1000,B276,MOVIMIENTOS!$E$4:$E$1000,C276,MOVIMIENTOS!$B$4:$B$1000,"AJUSTE+")-SUMIFS(MOVIMIENTOS!$F$4:$F$1000,MOVIMIENTOS!$C$4:$C$1000,A276,MOVIMIENTOS!$D$4:$D$1000,B276,MOVIMIENTOS!$E$4:$E$1000,C276,MOVIMIENTOS!$B$4:$B$1000,"A CORTE")-SUMIFS(MOVIMIENTOS!$F$4:$F$1000,MOVIMIENTOS!$C$4:$C$1000,A276,MOVIMIENTOS!$D$4:$D$1000,B276,MOVIMIENTOS!$E$4:$E$1000,C276,MOVIMIENTOS!$B$4:$B$1000,"A REPROCESO")-SUMIFS(MOVIMIENTOS!$F$4:$F$1000,MOVIMIENTOS!$C$4:$C$1000,A276,MOVIMIENTOS!$D$4:$D$1000,B276,MOVIMIENTOS!$E$4:$E$1000,C276,MOVIMIENTOS!$B$4:$B$1000,"MUESTRA")-SUMIFS(MOVIMIENTOS!$F$4:$F$1000,MOVIMIENTOS!$C$4:$C$1000,A276,MOVIMIENTOS!$D$4:$D$1000,B276,MOVIMIENTOS!$E$4:$E$1000,C276,MOVIMIENTOS!$B$4:$B$1000,"AJUSTE-"),0)</f>
        <v>0</v>
      </c>
      <c r="F276" s="101">
        <f>IFERROR(E276*VLOOKUP(B276,TELAS!$A$4:$C$32,3,FALSE()),0)</f>
        <v>0</v>
      </c>
      <c r="G276" s="102">
        <f>IFERROR(IF(D276="OSCURO",VLOOKUP(B276,PRECIOS!$A$4:$F$32,2,FALSE()),IF(D276="CLARO",VLOOKUP(B276,PRECIOS!$A$4:$F$32,3,FALSE()),IF(D276="MELANGE",VLOOKUP(B276,PRECIOS!$A$4:$F$32,4,FALSE()),IF(D276="PPT",VLOOKUP(B276,PRECIOS!$A$4:$F$32,5,FALSE()),0)))),0)</f>
        <v>22.5</v>
      </c>
      <c r="H276" s="103">
        <f t="shared" si="1"/>
        <v>0</v>
      </c>
      <c r="I276" s="104" t="str">
        <f>IF(E276&lt;0,"ERROR",IF(E276=0,"",IF(E276&lt;CONFIG!$B$4,"CRÍTICO",IF(E276&lt;CONFIG!$B$5,"BAJO","OK"))))</f>
        <v/>
      </c>
    </row>
    <row r="277" ht="15.75" customHeight="1">
      <c r="A277" s="90" t="str">
        <f>IF(CLIENTES!A5="","",CLIENTES!A5)</f>
        <v>Bravos</v>
      </c>
      <c r="B277" s="67" t="str">
        <f>TELAS!A10</f>
        <v>jersey full lycra 30/1</v>
      </c>
      <c r="C277" s="67" t="str">
        <f>COLORES!A17</f>
        <v>Vino</v>
      </c>
      <c r="D277" s="67" t="str">
        <f>COLORES!B17</f>
        <v>OSCURO</v>
      </c>
      <c r="E277" s="100">
        <f>IFERROR(SUMIFS(MOVIMIENTOS!$F$4:$F$1000,MOVIMIENTOS!$C$4:$C$1000,A277,MOVIMIENTOS!$D$4:$D$1000,B277,MOVIMIENTOS!$E$4:$E$1000,C277,MOVIMIENTOS!$B$4:$B$1000,"INGRESO")+SUMIFS(MOVIMIENTOS!$F$4:$F$1000,MOVIMIENTOS!$C$4:$C$1000,A277,MOVIMIENTOS!$D$4:$D$1000,B277,MOVIMIENTOS!$E$4:$E$1000,C277,MOVIMIENTOS!$B$4:$B$1000,"DE REPROCESO")+SUMIFS(MOVIMIENTOS!$F$4:$F$1000,MOVIMIENTOS!$C$4:$C$1000,A277,MOVIMIENTOS!$D$4:$D$1000,B277,MOVIMIENTOS!$E$4:$E$1000,C277,MOVIMIENTOS!$B$4:$B$1000,"AJUSTE+")-SUMIFS(MOVIMIENTOS!$F$4:$F$1000,MOVIMIENTOS!$C$4:$C$1000,A277,MOVIMIENTOS!$D$4:$D$1000,B277,MOVIMIENTOS!$E$4:$E$1000,C277,MOVIMIENTOS!$B$4:$B$1000,"A CORTE")-SUMIFS(MOVIMIENTOS!$F$4:$F$1000,MOVIMIENTOS!$C$4:$C$1000,A277,MOVIMIENTOS!$D$4:$D$1000,B277,MOVIMIENTOS!$E$4:$E$1000,C277,MOVIMIENTOS!$B$4:$B$1000,"A REPROCESO")-SUMIFS(MOVIMIENTOS!$F$4:$F$1000,MOVIMIENTOS!$C$4:$C$1000,A277,MOVIMIENTOS!$D$4:$D$1000,B277,MOVIMIENTOS!$E$4:$E$1000,C277,MOVIMIENTOS!$B$4:$B$1000,"MUESTRA")-SUMIFS(MOVIMIENTOS!$F$4:$F$1000,MOVIMIENTOS!$C$4:$C$1000,A277,MOVIMIENTOS!$D$4:$D$1000,B277,MOVIMIENTOS!$E$4:$E$1000,C277,MOVIMIENTOS!$B$4:$B$1000,"AJUSTE-"),0)</f>
        <v>0</v>
      </c>
      <c r="F277" s="101">
        <f>IFERROR(E277*VLOOKUP(B277,TELAS!$A$4:$C$32,3,FALSE()),0)</f>
        <v>0</v>
      </c>
      <c r="G277" s="102">
        <f>IFERROR(IF(D277="OSCURO",VLOOKUP(B277,PRECIOS!$A$4:$F$32,2,FALSE()),IF(D277="CLARO",VLOOKUP(B277,PRECIOS!$A$4:$F$32,3,FALSE()),IF(D277="MELANGE",VLOOKUP(B277,PRECIOS!$A$4:$F$32,4,FALSE()),IF(D277="PPT",VLOOKUP(B277,PRECIOS!$A$4:$F$32,5,FALSE()),0)))),0)</f>
        <v>26</v>
      </c>
      <c r="H277" s="103">
        <f t="shared" si="1"/>
        <v>0</v>
      </c>
      <c r="I277" s="104" t="str">
        <f>IF(E277&lt;0,"ERROR",IF(E277=0,"",IF(E277&lt;CONFIG!$B$4,"CRÍTICO",IF(E277&lt;CONFIG!$B$5,"BAJO","OK"))))</f>
        <v/>
      </c>
    </row>
    <row r="278" ht="15.75" customHeight="1">
      <c r="A278" s="90" t="str">
        <f>IF(CLIENTES!A5="","",CLIENTES!A5)</f>
        <v>Bravos</v>
      </c>
      <c r="B278" s="67" t="str">
        <f>TELAS!A10</f>
        <v>jersey full lycra 30/1</v>
      </c>
      <c r="C278" s="67" t="str">
        <f>COLORES!A18</f>
        <v>P. Rosa</v>
      </c>
      <c r="D278" s="67" t="str">
        <f>COLORES!B18</f>
        <v>CLARO</v>
      </c>
      <c r="E278" s="100">
        <f>IFERROR(SUMIFS(MOVIMIENTOS!$F$4:$F$1000,MOVIMIENTOS!$C$4:$C$1000,A278,MOVIMIENTOS!$D$4:$D$1000,B278,MOVIMIENTOS!$E$4:$E$1000,C278,MOVIMIENTOS!$B$4:$B$1000,"INGRESO")+SUMIFS(MOVIMIENTOS!$F$4:$F$1000,MOVIMIENTOS!$C$4:$C$1000,A278,MOVIMIENTOS!$D$4:$D$1000,B278,MOVIMIENTOS!$E$4:$E$1000,C278,MOVIMIENTOS!$B$4:$B$1000,"DE REPROCESO")+SUMIFS(MOVIMIENTOS!$F$4:$F$1000,MOVIMIENTOS!$C$4:$C$1000,A278,MOVIMIENTOS!$D$4:$D$1000,B278,MOVIMIENTOS!$E$4:$E$1000,C278,MOVIMIENTOS!$B$4:$B$1000,"AJUSTE+")-SUMIFS(MOVIMIENTOS!$F$4:$F$1000,MOVIMIENTOS!$C$4:$C$1000,A278,MOVIMIENTOS!$D$4:$D$1000,B278,MOVIMIENTOS!$E$4:$E$1000,C278,MOVIMIENTOS!$B$4:$B$1000,"A CORTE")-SUMIFS(MOVIMIENTOS!$F$4:$F$1000,MOVIMIENTOS!$C$4:$C$1000,A278,MOVIMIENTOS!$D$4:$D$1000,B278,MOVIMIENTOS!$E$4:$E$1000,C278,MOVIMIENTOS!$B$4:$B$1000,"A REPROCESO")-SUMIFS(MOVIMIENTOS!$F$4:$F$1000,MOVIMIENTOS!$C$4:$C$1000,A278,MOVIMIENTOS!$D$4:$D$1000,B278,MOVIMIENTOS!$E$4:$E$1000,C278,MOVIMIENTOS!$B$4:$B$1000,"MUESTRA")-SUMIFS(MOVIMIENTOS!$F$4:$F$1000,MOVIMIENTOS!$C$4:$C$1000,A278,MOVIMIENTOS!$D$4:$D$1000,B278,MOVIMIENTOS!$E$4:$E$1000,C278,MOVIMIENTOS!$B$4:$B$1000,"AJUSTE-"),0)</f>
        <v>0</v>
      </c>
      <c r="F278" s="101">
        <f>IFERROR(E278*VLOOKUP(B278,TELAS!$A$4:$C$32,3,FALSE()),0)</f>
        <v>0</v>
      </c>
      <c r="G278" s="102">
        <f>IFERROR(IF(D278="OSCURO",VLOOKUP(B278,PRECIOS!$A$4:$F$32,2,FALSE()),IF(D278="CLARO",VLOOKUP(B278,PRECIOS!$A$4:$F$32,3,FALSE()),IF(D278="MELANGE",VLOOKUP(B278,PRECIOS!$A$4:$F$32,4,FALSE()),IF(D278="PPT",VLOOKUP(B278,PRECIOS!$A$4:$F$32,5,FALSE()),0)))),0)</f>
        <v>22.5</v>
      </c>
      <c r="H278" s="103">
        <f t="shared" si="1"/>
        <v>0</v>
      </c>
      <c r="I278" s="104" t="str">
        <f>IF(E278&lt;0,"ERROR",IF(E278=0,"",IF(E278&lt;CONFIG!$B$4,"CRÍTICO",IF(E278&lt;CONFIG!$B$5,"BAJO","OK"))))</f>
        <v/>
      </c>
    </row>
    <row r="279" ht="15.75" customHeight="1">
      <c r="A279" s="90" t="str">
        <f>IF(CLIENTES!A5="","",CLIENTES!A5)</f>
        <v>Bravos</v>
      </c>
      <c r="B279" s="67" t="str">
        <f>TELAS!A10</f>
        <v>jersey full lycra 30/1</v>
      </c>
      <c r="C279" s="67" t="str">
        <f>COLORES!A19</f>
        <v/>
      </c>
      <c r="D279" s="67" t="str">
        <f>COLORES!B19</f>
        <v/>
      </c>
      <c r="E279" s="100">
        <f>IFERROR(SUMIFS(MOVIMIENTOS!$F$4:$F$1000,MOVIMIENTOS!$C$4:$C$1000,A279,MOVIMIENTOS!$D$4:$D$1000,B279,MOVIMIENTOS!$E$4:$E$1000,C279,MOVIMIENTOS!$B$4:$B$1000,"INGRESO")+SUMIFS(MOVIMIENTOS!$F$4:$F$1000,MOVIMIENTOS!$C$4:$C$1000,A279,MOVIMIENTOS!$D$4:$D$1000,B279,MOVIMIENTOS!$E$4:$E$1000,C279,MOVIMIENTOS!$B$4:$B$1000,"DE REPROCESO")+SUMIFS(MOVIMIENTOS!$F$4:$F$1000,MOVIMIENTOS!$C$4:$C$1000,A279,MOVIMIENTOS!$D$4:$D$1000,B279,MOVIMIENTOS!$E$4:$E$1000,C279,MOVIMIENTOS!$B$4:$B$1000,"AJUSTE+")-SUMIFS(MOVIMIENTOS!$F$4:$F$1000,MOVIMIENTOS!$C$4:$C$1000,A279,MOVIMIENTOS!$D$4:$D$1000,B279,MOVIMIENTOS!$E$4:$E$1000,C279,MOVIMIENTOS!$B$4:$B$1000,"A CORTE")-SUMIFS(MOVIMIENTOS!$F$4:$F$1000,MOVIMIENTOS!$C$4:$C$1000,A279,MOVIMIENTOS!$D$4:$D$1000,B279,MOVIMIENTOS!$E$4:$E$1000,C279,MOVIMIENTOS!$B$4:$B$1000,"A REPROCESO")-SUMIFS(MOVIMIENTOS!$F$4:$F$1000,MOVIMIENTOS!$C$4:$C$1000,A279,MOVIMIENTOS!$D$4:$D$1000,B279,MOVIMIENTOS!$E$4:$E$1000,C279,MOVIMIENTOS!$B$4:$B$1000,"MUESTRA")-SUMIFS(MOVIMIENTOS!$F$4:$F$1000,MOVIMIENTOS!$C$4:$C$1000,A279,MOVIMIENTOS!$D$4:$D$1000,B279,MOVIMIENTOS!$E$4:$E$1000,C279,MOVIMIENTOS!$B$4:$B$1000,"AJUSTE-"),0)</f>
        <v>0</v>
      </c>
      <c r="F279" s="101">
        <f>IFERROR(E279*VLOOKUP(B279,TELAS!$A$4:$C$32,3,FALSE()),0)</f>
        <v>0</v>
      </c>
      <c r="G279" s="102">
        <f>IFERROR(IF(D279="OSCURO",VLOOKUP(B279,PRECIOS!$A$4:$F$32,2,FALSE()),IF(D279="CLARO",VLOOKUP(B279,PRECIOS!$A$4:$F$32,3,FALSE()),IF(D279="MELANGE",VLOOKUP(B279,PRECIOS!$A$4:$F$32,4,FALSE()),IF(D279="PPT",VLOOKUP(B279,PRECIOS!$A$4:$F$32,5,FALSE()),0)))),0)</f>
        <v>0</v>
      </c>
      <c r="H279" s="103">
        <f t="shared" si="1"/>
        <v>0</v>
      </c>
      <c r="I279" s="104" t="str">
        <f>IF(E279&lt;0,"ERROR",IF(E279=0,"",IF(E279&lt;CONFIG!$B$4,"CRÍTICO",IF(E279&lt;CONFIG!$B$5,"BAJO","OK"))))</f>
        <v/>
      </c>
    </row>
    <row r="280" ht="15.75" customHeight="1">
      <c r="A280" s="90" t="str">
        <f>IF(CLIENTES!A5="","",CLIENTES!A5)</f>
        <v>Bravos</v>
      </c>
      <c r="B280" s="67" t="str">
        <f>TELAS!A10</f>
        <v>jersey full lycra 30/1</v>
      </c>
      <c r="C280" s="67" t="str">
        <f>COLORES!A20</f>
        <v/>
      </c>
      <c r="D280" s="67" t="str">
        <f>COLORES!B20</f>
        <v/>
      </c>
      <c r="E280" s="100">
        <f>IFERROR(SUMIFS(MOVIMIENTOS!$F$4:$F$1000,MOVIMIENTOS!$C$4:$C$1000,A280,MOVIMIENTOS!$D$4:$D$1000,B280,MOVIMIENTOS!$E$4:$E$1000,C280,MOVIMIENTOS!$B$4:$B$1000,"INGRESO")+SUMIFS(MOVIMIENTOS!$F$4:$F$1000,MOVIMIENTOS!$C$4:$C$1000,A280,MOVIMIENTOS!$D$4:$D$1000,B280,MOVIMIENTOS!$E$4:$E$1000,C280,MOVIMIENTOS!$B$4:$B$1000,"DE REPROCESO")+SUMIFS(MOVIMIENTOS!$F$4:$F$1000,MOVIMIENTOS!$C$4:$C$1000,A280,MOVIMIENTOS!$D$4:$D$1000,B280,MOVIMIENTOS!$E$4:$E$1000,C280,MOVIMIENTOS!$B$4:$B$1000,"AJUSTE+")-SUMIFS(MOVIMIENTOS!$F$4:$F$1000,MOVIMIENTOS!$C$4:$C$1000,A280,MOVIMIENTOS!$D$4:$D$1000,B280,MOVIMIENTOS!$E$4:$E$1000,C280,MOVIMIENTOS!$B$4:$B$1000,"A CORTE")-SUMIFS(MOVIMIENTOS!$F$4:$F$1000,MOVIMIENTOS!$C$4:$C$1000,A280,MOVIMIENTOS!$D$4:$D$1000,B280,MOVIMIENTOS!$E$4:$E$1000,C280,MOVIMIENTOS!$B$4:$B$1000,"A REPROCESO")-SUMIFS(MOVIMIENTOS!$F$4:$F$1000,MOVIMIENTOS!$C$4:$C$1000,A280,MOVIMIENTOS!$D$4:$D$1000,B280,MOVIMIENTOS!$E$4:$E$1000,C280,MOVIMIENTOS!$B$4:$B$1000,"MUESTRA")-SUMIFS(MOVIMIENTOS!$F$4:$F$1000,MOVIMIENTOS!$C$4:$C$1000,A280,MOVIMIENTOS!$D$4:$D$1000,B280,MOVIMIENTOS!$E$4:$E$1000,C280,MOVIMIENTOS!$B$4:$B$1000,"AJUSTE-"),0)</f>
        <v>0</v>
      </c>
      <c r="F280" s="101">
        <f>IFERROR(E280*VLOOKUP(B280,TELAS!$A$4:$C$32,3,FALSE()),0)</f>
        <v>0</v>
      </c>
      <c r="G280" s="102">
        <f>IFERROR(IF(D280="OSCURO",VLOOKUP(B280,PRECIOS!$A$4:$F$32,2,FALSE()),IF(D280="CLARO",VLOOKUP(B280,PRECIOS!$A$4:$F$32,3,FALSE()),IF(D280="MELANGE",VLOOKUP(B280,PRECIOS!$A$4:$F$32,4,FALSE()),IF(D280="PPT",VLOOKUP(B280,PRECIOS!$A$4:$F$32,5,FALSE()),0)))),0)</f>
        <v>0</v>
      </c>
      <c r="H280" s="103">
        <f t="shared" si="1"/>
        <v>0</v>
      </c>
      <c r="I280" s="104" t="str">
        <f>IF(E280&lt;0,"ERROR",IF(E280=0,"",IF(E280&lt;CONFIG!$B$4,"CRÍTICO",IF(E280&lt;CONFIG!$B$5,"BAJO","OK"))))</f>
        <v/>
      </c>
    </row>
    <row r="281" ht="15.75" customHeight="1">
      <c r="A281" s="90" t="str">
        <f>IF(CLIENTES!A5="","",CLIENTES!A5)</f>
        <v>Bravos</v>
      </c>
      <c r="B281" s="67" t="str">
        <f>TELAS!A10</f>
        <v>jersey full lycra 30/1</v>
      </c>
      <c r="C281" s="67" t="str">
        <f>COLORES!A21</f>
        <v/>
      </c>
      <c r="D281" s="67" t="str">
        <f>COLORES!B21</f>
        <v/>
      </c>
      <c r="E281" s="100">
        <f>IFERROR(SUMIFS(MOVIMIENTOS!$F$4:$F$1000,MOVIMIENTOS!$C$4:$C$1000,A281,MOVIMIENTOS!$D$4:$D$1000,B281,MOVIMIENTOS!$E$4:$E$1000,C281,MOVIMIENTOS!$B$4:$B$1000,"INGRESO")+SUMIFS(MOVIMIENTOS!$F$4:$F$1000,MOVIMIENTOS!$C$4:$C$1000,A281,MOVIMIENTOS!$D$4:$D$1000,B281,MOVIMIENTOS!$E$4:$E$1000,C281,MOVIMIENTOS!$B$4:$B$1000,"DE REPROCESO")+SUMIFS(MOVIMIENTOS!$F$4:$F$1000,MOVIMIENTOS!$C$4:$C$1000,A281,MOVIMIENTOS!$D$4:$D$1000,B281,MOVIMIENTOS!$E$4:$E$1000,C281,MOVIMIENTOS!$B$4:$B$1000,"AJUSTE+")-SUMIFS(MOVIMIENTOS!$F$4:$F$1000,MOVIMIENTOS!$C$4:$C$1000,A281,MOVIMIENTOS!$D$4:$D$1000,B281,MOVIMIENTOS!$E$4:$E$1000,C281,MOVIMIENTOS!$B$4:$B$1000,"A CORTE")-SUMIFS(MOVIMIENTOS!$F$4:$F$1000,MOVIMIENTOS!$C$4:$C$1000,A281,MOVIMIENTOS!$D$4:$D$1000,B281,MOVIMIENTOS!$E$4:$E$1000,C281,MOVIMIENTOS!$B$4:$B$1000,"A REPROCESO")-SUMIFS(MOVIMIENTOS!$F$4:$F$1000,MOVIMIENTOS!$C$4:$C$1000,A281,MOVIMIENTOS!$D$4:$D$1000,B281,MOVIMIENTOS!$E$4:$E$1000,C281,MOVIMIENTOS!$B$4:$B$1000,"MUESTRA")-SUMIFS(MOVIMIENTOS!$F$4:$F$1000,MOVIMIENTOS!$C$4:$C$1000,A281,MOVIMIENTOS!$D$4:$D$1000,B281,MOVIMIENTOS!$E$4:$E$1000,C281,MOVIMIENTOS!$B$4:$B$1000,"AJUSTE-"),0)</f>
        <v>0</v>
      </c>
      <c r="F281" s="101">
        <f>IFERROR(E281*VLOOKUP(B281,TELAS!$A$4:$C$32,3,FALSE()),0)</f>
        <v>0</v>
      </c>
      <c r="G281" s="102">
        <f>IFERROR(IF(D281="OSCURO",VLOOKUP(B281,PRECIOS!$A$4:$F$32,2,FALSE()),IF(D281="CLARO",VLOOKUP(B281,PRECIOS!$A$4:$F$32,3,FALSE()),IF(D281="MELANGE",VLOOKUP(B281,PRECIOS!$A$4:$F$32,4,FALSE()),IF(D281="PPT",VLOOKUP(B281,PRECIOS!$A$4:$F$32,5,FALSE()),0)))),0)</f>
        <v>0</v>
      </c>
      <c r="H281" s="103">
        <f t="shared" si="1"/>
        <v>0</v>
      </c>
      <c r="I281" s="104" t="str">
        <f>IF(E281&lt;0,"ERROR",IF(E281=0,"",IF(E281&lt;CONFIG!$B$4,"CRÍTICO",IF(E281&lt;CONFIG!$B$5,"BAJO","OK"))))</f>
        <v/>
      </c>
    </row>
    <row r="282" ht="15.75" customHeight="1">
      <c r="A282" s="90" t="str">
        <f>IF(CLIENTES!A5="","",CLIENTES!A5)</f>
        <v>Bravos</v>
      </c>
      <c r="B282" s="67" t="str">
        <f>TELAS!A10</f>
        <v>jersey full lycra 30/1</v>
      </c>
      <c r="C282" s="67" t="str">
        <f>COLORES!A22</f>
        <v/>
      </c>
      <c r="D282" s="67" t="str">
        <f>COLORES!B22</f>
        <v/>
      </c>
      <c r="E282" s="100">
        <f>IFERROR(SUMIFS(MOVIMIENTOS!$F$4:$F$1000,MOVIMIENTOS!$C$4:$C$1000,A282,MOVIMIENTOS!$D$4:$D$1000,B282,MOVIMIENTOS!$E$4:$E$1000,C282,MOVIMIENTOS!$B$4:$B$1000,"INGRESO")+SUMIFS(MOVIMIENTOS!$F$4:$F$1000,MOVIMIENTOS!$C$4:$C$1000,A282,MOVIMIENTOS!$D$4:$D$1000,B282,MOVIMIENTOS!$E$4:$E$1000,C282,MOVIMIENTOS!$B$4:$B$1000,"DE REPROCESO")+SUMIFS(MOVIMIENTOS!$F$4:$F$1000,MOVIMIENTOS!$C$4:$C$1000,A282,MOVIMIENTOS!$D$4:$D$1000,B282,MOVIMIENTOS!$E$4:$E$1000,C282,MOVIMIENTOS!$B$4:$B$1000,"AJUSTE+")-SUMIFS(MOVIMIENTOS!$F$4:$F$1000,MOVIMIENTOS!$C$4:$C$1000,A282,MOVIMIENTOS!$D$4:$D$1000,B282,MOVIMIENTOS!$E$4:$E$1000,C282,MOVIMIENTOS!$B$4:$B$1000,"A CORTE")-SUMIFS(MOVIMIENTOS!$F$4:$F$1000,MOVIMIENTOS!$C$4:$C$1000,A282,MOVIMIENTOS!$D$4:$D$1000,B282,MOVIMIENTOS!$E$4:$E$1000,C282,MOVIMIENTOS!$B$4:$B$1000,"A REPROCESO")-SUMIFS(MOVIMIENTOS!$F$4:$F$1000,MOVIMIENTOS!$C$4:$C$1000,A282,MOVIMIENTOS!$D$4:$D$1000,B282,MOVIMIENTOS!$E$4:$E$1000,C282,MOVIMIENTOS!$B$4:$B$1000,"MUESTRA")-SUMIFS(MOVIMIENTOS!$F$4:$F$1000,MOVIMIENTOS!$C$4:$C$1000,A282,MOVIMIENTOS!$D$4:$D$1000,B282,MOVIMIENTOS!$E$4:$E$1000,C282,MOVIMIENTOS!$B$4:$B$1000,"AJUSTE-"),0)</f>
        <v>0</v>
      </c>
      <c r="F282" s="101">
        <f>IFERROR(E282*VLOOKUP(B282,TELAS!$A$4:$C$32,3,FALSE()),0)</f>
        <v>0</v>
      </c>
      <c r="G282" s="102">
        <f>IFERROR(IF(D282="OSCURO",VLOOKUP(B282,PRECIOS!$A$4:$F$32,2,FALSE()),IF(D282="CLARO",VLOOKUP(B282,PRECIOS!$A$4:$F$32,3,FALSE()),IF(D282="MELANGE",VLOOKUP(B282,PRECIOS!$A$4:$F$32,4,FALSE()),IF(D282="PPT",VLOOKUP(B282,PRECIOS!$A$4:$F$32,5,FALSE()),0)))),0)</f>
        <v>0</v>
      </c>
      <c r="H282" s="103">
        <f t="shared" si="1"/>
        <v>0</v>
      </c>
      <c r="I282" s="104" t="str">
        <f>IF(E282&lt;0,"ERROR",IF(E282=0,"",IF(E282&lt;CONFIG!$B$4,"CRÍTICO",IF(E282&lt;CONFIG!$B$5,"BAJO","OK"))))</f>
        <v/>
      </c>
    </row>
    <row r="283" ht="15.75" customHeight="1">
      <c r="A283" s="90" t="str">
        <f>IF(CLIENTES!A5="","",CLIENTES!A5)</f>
        <v>Bravos</v>
      </c>
      <c r="B283" s="67" t="str">
        <f>TELAS!A10</f>
        <v>jersey full lycra 30/1</v>
      </c>
      <c r="C283" s="67" t="str">
        <f>COLORES!A23</f>
        <v/>
      </c>
      <c r="D283" s="67" t="str">
        <f>COLORES!B23</f>
        <v/>
      </c>
      <c r="E283" s="100">
        <f>IFERROR(SUMIFS(MOVIMIENTOS!$F$4:$F$1000,MOVIMIENTOS!$C$4:$C$1000,A283,MOVIMIENTOS!$D$4:$D$1000,B283,MOVIMIENTOS!$E$4:$E$1000,C283,MOVIMIENTOS!$B$4:$B$1000,"INGRESO")+SUMIFS(MOVIMIENTOS!$F$4:$F$1000,MOVIMIENTOS!$C$4:$C$1000,A283,MOVIMIENTOS!$D$4:$D$1000,B283,MOVIMIENTOS!$E$4:$E$1000,C283,MOVIMIENTOS!$B$4:$B$1000,"DE REPROCESO")+SUMIFS(MOVIMIENTOS!$F$4:$F$1000,MOVIMIENTOS!$C$4:$C$1000,A283,MOVIMIENTOS!$D$4:$D$1000,B283,MOVIMIENTOS!$E$4:$E$1000,C283,MOVIMIENTOS!$B$4:$B$1000,"AJUSTE+")-SUMIFS(MOVIMIENTOS!$F$4:$F$1000,MOVIMIENTOS!$C$4:$C$1000,A283,MOVIMIENTOS!$D$4:$D$1000,B283,MOVIMIENTOS!$E$4:$E$1000,C283,MOVIMIENTOS!$B$4:$B$1000,"A CORTE")-SUMIFS(MOVIMIENTOS!$F$4:$F$1000,MOVIMIENTOS!$C$4:$C$1000,A283,MOVIMIENTOS!$D$4:$D$1000,B283,MOVIMIENTOS!$E$4:$E$1000,C283,MOVIMIENTOS!$B$4:$B$1000,"A REPROCESO")-SUMIFS(MOVIMIENTOS!$F$4:$F$1000,MOVIMIENTOS!$C$4:$C$1000,A283,MOVIMIENTOS!$D$4:$D$1000,B283,MOVIMIENTOS!$E$4:$E$1000,C283,MOVIMIENTOS!$B$4:$B$1000,"MUESTRA")-SUMIFS(MOVIMIENTOS!$F$4:$F$1000,MOVIMIENTOS!$C$4:$C$1000,A283,MOVIMIENTOS!$D$4:$D$1000,B283,MOVIMIENTOS!$E$4:$E$1000,C283,MOVIMIENTOS!$B$4:$B$1000,"AJUSTE-"),0)</f>
        <v>0</v>
      </c>
      <c r="F283" s="101">
        <f>IFERROR(E283*VLOOKUP(B283,TELAS!$A$4:$C$32,3,FALSE()),0)</f>
        <v>0</v>
      </c>
      <c r="G283" s="102">
        <f>IFERROR(IF(D283="OSCURO",VLOOKUP(B283,PRECIOS!$A$4:$F$32,2,FALSE()),IF(D283="CLARO",VLOOKUP(B283,PRECIOS!$A$4:$F$32,3,FALSE()),IF(D283="MELANGE",VLOOKUP(B283,PRECIOS!$A$4:$F$32,4,FALSE()),IF(D283="PPT",VLOOKUP(B283,PRECIOS!$A$4:$F$32,5,FALSE()),0)))),0)</f>
        <v>0</v>
      </c>
      <c r="H283" s="103">
        <f t="shared" si="1"/>
        <v>0</v>
      </c>
      <c r="I283" s="104" t="str">
        <f>IF(E283&lt;0,"ERROR",IF(E283=0,"",IF(E283&lt;CONFIG!$B$4,"CRÍTICO",IF(E283&lt;CONFIG!$B$5,"BAJO","OK"))))</f>
        <v/>
      </c>
    </row>
    <row r="284" ht="15.75" customHeight="1">
      <c r="A284" s="90" t="str">
        <f>IF(CLIENTES!A6="","",CLIENTES!A6)</f>
        <v/>
      </c>
      <c r="B284" s="67" t="str">
        <f>TELAS!A4</f>
        <v>jersey 30/1</v>
      </c>
      <c r="C284" s="67" t="str">
        <f>COLORES!A4</f>
        <v>Negro</v>
      </c>
      <c r="D284" s="67" t="str">
        <f>COLORES!B4</f>
        <v>OSCURO</v>
      </c>
      <c r="E284" s="100">
        <f>IFERROR(SUMIFS(MOVIMIENTOS!$F$4:$F$1000,MOVIMIENTOS!$C$4:$C$1000,A284,MOVIMIENTOS!$D$4:$D$1000,B284,MOVIMIENTOS!$E$4:$E$1000,C284,MOVIMIENTOS!$B$4:$B$1000,"INGRESO")+SUMIFS(MOVIMIENTOS!$F$4:$F$1000,MOVIMIENTOS!$C$4:$C$1000,A284,MOVIMIENTOS!$D$4:$D$1000,B284,MOVIMIENTOS!$E$4:$E$1000,C284,MOVIMIENTOS!$B$4:$B$1000,"DE REPROCESO")+SUMIFS(MOVIMIENTOS!$F$4:$F$1000,MOVIMIENTOS!$C$4:$C$1000,A284,MOVIMIENTOS!$D$4:$D$1000,B284,MOVIMIENTOS!$E$4:$E$1000,C284,MOVIMIENTOS!$B$4:$B$1000,"AJUSTE+")-SUMIFS(MOVIMIENTOS!$F$4:$F$1000,MOVIMIENTOS!$C$4:$C$1000,A284,MOVIMIENTOS!$D$4:$D$1000,B284,MOVIMIENTOS!$E$4:$E$1000,C284,MOVIMIENTOS!$B$4:$B$1000,"A CORTE")-SUMIFS(MOVIMIENTOS!$F$4:$F$1000,MOVIMIENTOS!$C$4:$C$1000,A284,MOVIMIENTOS!$D$4:$D$1000,B284,MOVIMIENTOS!$E$4:$E$1000,C284,MOVIMIENTOS!$B$4:$B$1000,"A REPROCESO")-SUMIFS(MOVIMIENTOS!$F$4:$F$1000,MOVIMIENTOS!$C$4:$C$1000,A284,MOVIMIENTOS!$D$4:$D$1000,B284,MOVIMIENTOS!$E$4:$E$1000,C284,MOVIMIENTOS!$B$4:$B$1000,"MUESTRA")-SUMIFS(MOVIMIENTOS!$F$4:$F$1000,MOVIMIENTOS!$C$4:$C$1000,A284,MOVIMIENTOS!$D$4:$D$1000,B284,MOVIMIENTOS!$E$4:$E$1000,C284,MOVIMIENTOS!$B$4:$B$1000,"AJUSTE-"),0)</f>
        <v>0</v>
      </c>
      <c r="F284" s="101">
        <f>IFERROR(E284*VLOOKUP(B284,TELAS!$A$4:$C$32,3,FALSE()),0)</f>
        <v>0</v>
      </c>
      <c r="G284" s="102">
        <f>IFERROR(IF(D284="OSCURO",VLOOKUP(B284,PRECIOS!$A$4:$F$32,2,FALSE()),IF(D284="CLARO",VLOOKUP(B284,PRECIOS!$A$4:$F$32,3,FALSE()),IF(D284="MELANGE",VLOOKUP(B284,PRECIOS!$A$4:$F$32,4,FALSE()),IF(D284="PPT",VLOOKUP(B284,PRECIOS!$A$4:$F$32,5,FALSE()),0)))),0)</f>
        <v>24</v>
      </c>
      <c r="H284" s="103">
        <f t="shared" si="1"/>
        <v>0</v>
      </c>
      <c r="I284" s="104" t="str">
        <f>IF(E284&lt;0,"ERROR",IF(E284=0,"",IF(E284&lt;CONFIG!$B$4,"CRÍTICO",IF(E284&lt;CONFIG!$B$5,"BAJO","OK"))))</f>
        <v/>
      </c>
    </row>
    <row r="285" ht="15.75" customHeight="1">
      <c r="A285" s="90" t="str">
        <f>IF(CLIENTES!A6="","",CLIENTES!A6)</f>
        <v/>
      </c>
      <c r="B285" s="67" t="str">
        <f>TELAS!A4</f>
        <v>jersey 30/1</v>
      </c>
      <c r="C285" s="67" t="str">
        <f>COLORES!A5</f>
        <v>Perla</v>
      </c>
      <c r="D285" s="67" t="str">
        <f>COLORES!B5</f>
        <v>PPT</v>
      </c>
      <c r="E285" s="100">
        <f>IFERROR(SUMIFS(MOVIMIENTOS!$F$4:$F$1000,MOVIMIENTOS!$C$4:$C$1000,A285,MOVIMIENTOS!$D$4:$D$1000,B285,MOVIMIENTOS!$E$4:$E$1000,C285,MOVIMIENTOS!$B$4:$B$1000,"INGRESO")+SUMIFS(MOVIMIENTOS!$F$4:$F$1000,MOVIMIENTOS!$C$4:$C$1000,A285,MOVIMIENTOS!$D$4:$D$1000,B285,MOVIMIENTOS!$E$4:$E$1000,C285,MOVIMIENTOS!$B$4:$B$1000,"DE REPROCESO")+SUMIFS(MOVIMIENTOS!$F$4:$F$1000,MOVIMIENTOS!$C$4:$C$1000,A285,MOVIMIENTOS!$D$4:$D$1000,B285,MOVIMIENTOS!$E$4:$E$1000,C285,MOVIMIENTOS!$B$4:$B$1000,"AJUSTE+")-SUMIFS(MOVIMIENTOS!$F$4:$F$1000,MOVIMIENTOS!$C$4:$C$1000,A285,MOVIMIENTOS!$D$4:$D$1000,B285,MOVIMIENTOS!$E$4:$E$1000,C285,MOVIMIENTOS!$B$4:$B$1000,"A CORTE")-SUMIFS(MOVIMIENTOS!$F$4:$F$1000,MOVIMIENTOS!$C$4:$C$1000,A285,MOVIMIENTOS!$D$4:$D$1000,B285,MOVIMIENTOS!$E$4:$E$1000,C285,MOVIMIENTOS!$B$4:$B$1000,"A REPROCESO")-SUMIFS(MOVIMIENTOS!$F$4:$F$1000,MOVIMIENTOS!$C$4:$C$1000,A285,MOVIMIENTOS!$D$4:$D$1000,B285,MOVIMIENTOS!$E$4:$E$1000,C285,MOVIMIENTOS!$B$4:$B$1000,"MUESTRA")-SUMIFS(MOVIMIENTOS!$F$4:$F$1000,MOVIMIENTOS!$C$4:$C$1000,A285,MOVIMIENTOS!$D$4:$D$1000,B285,MOVIMIENTOS!$E$4:$E$1000,C285,MOVIMIENTOS!$B$4:$B$1000,"AJUSTE-"),0)</f>
        <v>0</v>
      </c>
      <c r="F285" s="101">
        <f>IFERROR(E285*VLOOKUP(B285,TELAS!$A$4:$C$32,3,FALSE()),0)</f>
        <v>0</v>
      </c>
      <c r="G285" s="102">
        <f>IFERROR(IF(D285="OSCURO",VLOOKUP(B285,PRECIOS!$A$4:$F$32,2,FALSE()),IF(D285="CLARO",VLOOKUP(B285,PRECIOS!$A$4:$F$32,3,FALSE()),IF(D285="MELANGE",VLOOKUP(B285,PRECIOS!$A$4:$F$32,4,FALSE()),IF(D285="PPT",VLOOKUP(B285,PRECIOS!$A$4:$F$32,5,FALSE()),0)))),0)</f>
        <v>18</v>
      </c>
      <c r="H285" s="103">
        <f t="shared" si="1"/>
        <v>0</v>
      </c>
      <c r="I285" s="104" t="str">
        <f>IF(E285&lt;0,"ERROR",IF(E285=0,"",IF(E285&lt;CONFIG!$B$4,"CRÍTICO",IF(E285&lt;CONFIG!$B$5,"BAJO","OK"))))</f>
        <v/>
      </c>
    </row>
    <row r="286" ht="15.75" customHeight="1">
      <c r="A286" s="90" t="str">
        <f>IF(CLIENTES!A6="","",CLIENTES!A6)</f>
        <v/>
      </c>
      <c r="B286" s="67" t="str">
        <f>TELAS!A4</f>
        <v>jersey 30/1</v>
      </c>
      <c r="C286" s="67" t="str">
        <f>COLORES!A6</f>
        <v>Blanco</v>
      </c>
      <c r="D286" s="67" t="str">
        <f>COLORES!B6</f>
        <v>PPT</v>
      </c>
      <c r="E286" s="100">
        <f>IFERROR(SUMIFS(MOVIMIENTOS!$F$4:$F$1000,MOVIMIENTOS!$C$4:$C$1000,A286,MOVIMIENTOS!$D$4:$D$1000,B286,MOVIMIENTOS!$E$4:$E$1000,C286,MOVIMIENTOS!$B$4:$B$1000,"INGRESO")+SUMIFS(MOVIMIENTOS!$F$4:$F$1000,MOVIMIENTOS!$C$4:$C$1000,A286,MOVIMIENTOS!$D$4:$D$1000,B286,MOVIMIENTOS!$E$4:$E$1000,C286,MOVIMIENTOS!$B$4:$B$1000,"DE REPROCESO")+SUMIFS(MOVIMIENTOS!$F$4:$F$1000,MOVIMIENTOS!$C$4:$C$1000,A286,MOVIMIENTOS!$D$4:$D$1000,B286,MOVIMIENTOS!$E$4:$E$1000,C286,MOVIMIENTOS!$B$4:$B$1000,"AJUSTE+")-SUMIFS(MOVIMIENTOS!$F$4:$F$1000,MOVIMIENTOS!$C$4:$C$1000,A286,MOVIMIENTOS!$D$4:$D$1000,B286,MOVIMIENTOS!$E$4:$E$1000,C286,MOVIMIENTOS!$B$4:$B$1000,"A CORTE")-SUMIFS(MOVIMIENTOS!$F$4:$F$1000,MOVIMIENTOS!$C$4:$C$1000,A286,MOVIMIENTOS!$D$4:$D$1000,B286,MOVIMIENTOS!$E$4:$E$1000,C286,MOVIMIENTOS!$B$4:$B$1000,"A REPROCESO")-SUMIFS(MOVIMIENTOS!$F$4:$F$1000,MOVIMIENTOS!$C$4:$C$1000,A286,MOVIMIENTOS!$D$4:$D$1000,B286,MOVIMIENTOS!$E$4:$E$1000,C286,MOVIMIENTOS!$B$4:$B$1000,"MUESTRA")-SUMIFS(MOVIMIENTOS!$F$4:$F$1000,MOVIMIENTOS!$C$4:$C$1000,A286,MOVIMIENTOS!$D$4:$D$1000,B286,MOVIMIENTOS!$E$4:$E$1000,C286,MOVIMIENTOS!$B$4:$B$1000,"AJUSTE-"),0)</f>
        <v>0</v>
      </c>
      <c r="F286" s="101">
        <f>IFERROR(E286*VLOOKUP(B286,TELAS!$A$4:$C$32,3,FALSE()),0)</f>
        <v>0</v>
      </c>
      <c r="G286" s="102">
        <f>IFERROR(IF(D286="OSCURO",VLOOKUP(B286,PRECIOS!$A$4:$F$32,2,FALSE()),IF(D286="CLARO",VLOOKUP(B286,PRECIOS!$A$4:$F$32,3,FALSE()),IF(D286="MELANGE",VLOOKUP(B286,PRECIOS!$A$4:$F$32,4,FALSE()),IF(D286="PPT",VLOOKUP(B286,PRECIOS!$A$4:$F$32,5,FALSE()),0)))),0)</f>
        <v>18</v>
      </c>
      <c r="H286" s="103">
        <f t="shared" si="1"/>
        <v>0</v>
      </c>
      <c r="I286" s="104" t="str">
        <f>IF(E286&lt;0,"ERROR",IF(E286=0,"",IF(E286&lt;CONFIG!$B$4,"CRÍTICO",IF(E286&lt;CONFIG!$B$5,"BAJO","OK"))))</f>
        <v/>
      </c>
    </row>
    <row r="287" ht="15.75" customHeight="1">
      <c r="A287" s="90" t="str">
        <f>IF(CLIENTES!A6="","",CLIENTES!A6)</f>
        <v/>
      </c>
      <c r="B287" s="67" t="str">
        <f>TELAS!A4</f>
        <v>jersey 30/1</v>
      </c>
      <c r="C287" s="67" t="str">
        <f>COLORES!A7</f>
        <v>Azul</v>
      </c>
      <c r="D287" s="67" t="str">
        <f>COLORES!B7</f>
        <v>OSCURO</v>
      </c>
      <c r="E287" s="100">
        <f>IFERROR(SUMIFS(MOVIMIENTOS!$F$4:$F$1000,MOVIMIENTOS!$C$4:$C$1000,A287,MOVIMIENTOS!$D$4:$D$1000,B287,MOVIMIENTOS!$E$4:$E$1000,C287,MOVIMIENTOS!$B$4:$B$1000,"INGRESO")+SUMIFS(MOVIMIENTOS!$F$4:$F$1000,MOVIMIENTOS!$C$4:$C$1000,A287,MOVIMIENTOS!$D$4:$D$1000,B287,MOVIMIENTOS!$E$4:$E$1000,C287,MOVIMIENTOS!$B$4:$B$1000,"DE REPROCESO")+SUMIFS(MOVIMIENTOS!$F$4:$F$1000,MOVIMIENTOS!$C$4:$C$1000,A287,MOVIMIENTOS!$D$4:$D$1000,B287,MOVIMIENTOS!$E$4:$E$1000,C287,MOVIMIENTOS!$B$4:$B$1000,"AJUSTE+")-SUMIFS(MOVIMIENTOS!$F$4:$F$1000,MOVIMIENTOS!$C$4:$C$1000,A287,MOVIMIENTOS!$D$4:$D$1000,B287,MOVIMIENTOS!$E$4:$E$1000,C287,MOVIMIENTOS!$B$4:$B$1000,"A CORTE")-SUMIFS(MOVIMIENTOS!$F$4:$F$1000,MOVIMIENTOS!$C$4:$C$1000,A287,MOVIMIENTOS!$D$4:$D$1000,B287,MOVIMIENTOS!$E$4:$E$1000,C287,MOVIMIENTOS!$B$4:$B$1000,"A REPROCESO")-SUMIFS(MOVIMIENTOS!$F$4:$F$1000,MOVIMIENTOS!$C$4:$C$1000,A287,MOVIMIENTOS!$D$4:$D$1000,B287,MOVIMIENTOS!$E$4:$E$1000,C287,MOVIMIENTOS!$B$4:$B$1000,"MUESTRA")-SUMIFS(MOVIMIENTOS!$F$4:$F$1000,MOVIMIENTOS!$C$4:$C$1000,A287,MOVIMIENTOS!$D$4:$D$1000,B287,MOVIMIENTOS!$E$4:$E$1000,C287,MOVIMIENTOS!$B$4:$B$1000,"AJUSTE-"),0)</f>
        <v>0</v>
      </c>
      <c r="F287" s="101">
        <f>IFERROR(E287*VLOOKUP(B287,TELAS!$A$4:$C$32,3,FALSE()),0)</f>
        <v>0</v>
      </c>
      <c r="G287" s="102">
        <f>IFERROR(IF(D287="OSCURO",VLOOKUP(B287,PRECIOS!$A$4:$F$32,2,FALSE()),IF(D287="CLARO",VLOOKUP(B287,PRECIOS!$A$4:$F$32,3,FALSE()),IF(D287="MELANGE",VLOOKUP(B287,PRECIOS!$A$4:$F$32,4,FALSE()),IF(D287="PPT",VLOOKUP(B287,PRECIOS!$A$4:$F$32,5,FALSE()),0)))),0)</f>
        <v>24</v>
      </c>
      <c r="H287" s="103">
        <f t="shared" si="1"/>
        <v>0</v>
      </c>
      <c r="I287" s="104" t="str">
        <f>IF(E287&lt;0,"ERROR",IF(E287=0,"",IF(E287&lt;CONFIG!$B$4,"CRÍTICO",IF(E287&lt;CONFIG!$B$5,"BAJO","OK"))))</f>
        <v/>
      </c>
    </row>
    <row r="288" ht="15.75" customHeight="1">
      <c r="A288" s="90" t="str">
        <f>IF(CLIENTES!A6="","",CLIENTES!A6)</f>
        <v/>
      </c>
      <c r="B288" s="67" t="str">
        <f>TELAS!A4</f>
        <v>jersey 30/1</v>
      </c>
      <c r="C288" s="67" t="str">
        <f>COLORES!A8</f>
        <v>Beige</v>
      </c>
      <c r="D288" s="67" t="str">
        <f>COLORES!B8</f>
        <v>CLARO</v>
      </c>
      <c r="E288" s="100">
        <f>IFERROR(SUMIFS(MOVIMIENTOS!$F$4:$F$1000,MOVIMIENTOS!$C$4:$C$1000,A288,MOVIMIENTOS!$D$4:$D$1000,B288,MOVIMIENTOS!$E$4:$E$1000,C288,MOVIMIENTOS!$B$4:$B$1000,"INGRESO")+SUMIFS(MOVIMIENTOS!$F$4:$F$1000,MOVIMIENTOS!$C$4:$C$1000,A288,MOVIMIENTOS!$D$4:$D$1000,B288,MOVIMIENTOS!$E$4:$E$1000,C288,MOVIMIENTOS!$B$4:$B$1000,"DE REPROCESO")+SUMIFS(MOVIMIENTOS!$F$4:$F$1000,MOVIMIENTOS!$C$4:$C$1000,A288,MOVIMIENTOS!$D$4:$D$1000,B288,MOVIMIENTOS!$E$4:$E$1000,C288,MOVIMIENTOS!$B$4:$B$1000,"AJUSTE+")-SUMIFS(MOVIMIENTOS!$F$4:$F$1000,MOVIMIENTOS!$C$4:$C$1000,A288,MOVIMIENTOS!$D$4:$D$1000,B288,MOVIMIENTOS!$E$4:$E$1000,C288,MOVIMIENTOS!$B$4:$B$1000,"A CORTE")-SUMIFS(MOVIMIENTOS!$F$4:$F$1000,MOVIMIENTOS!$C$4:$C$1000,A288,MOVIMIENTOS!$D$4:$D$1000,B288,MOVIMIENTOS!$E$4:$E$1000,C288,MOVIMIENTOS!$B$4:$B$1000,"A REPROCESO")-SUMIFS(MOVIMIENTOS!$F$4:$F$1000,MOVIMIENTOS!$C$4:$C$1000,A288,MOVIMIENTOS!$D$4:$D$1000,B288,MOVIMIENTOS!$E$4:$E$1000,C288,MOVIMIENTOS!$B$4:$B$1000,"MUESTRA")-SUMIFS(MOVIMIENTOS!$F$4:$F$1000,MOVIMIENTOS!$C$4:$C$1000,A288,MOVIMIENTOS!$D$4:$D$1000,B288,MOVIMIENTOS!$E$4:$E$1000,C288,MOVIMIENTOS!$B$4:$B$1000,"AJUSTE-"),0)</f>
        <v>0</v>
      </c>
      <c r="F288" s="101">
        <f>IFERROR(E288*VLOOKUP(B288,TELAS!$A$4:$C$32,3,FALSE()),0)</f>
        <v>0</v>
      </c>
      <c r="G288" s="102">
        <f>IFERROR(IF(D288="OSCURO",VLOOKUP(B288,PRECIOS!$A$4:$F$32,2,FALSE()),IF(D288="CLARO",VLOOKUP(B288,PRECIOS!$A$4:$F$32,3,FALSE()),IF(D288="MELANGE",VLOOKUP(B288,PRECIOS!$A$4:$F$32,4,FALSE()),IF(D288="PPT",VLOOKUP(B288,PRECIOS!$A$4:$F$32,5,FALSE()),0)))),0)</f>
        <v>21</v>
      </c>
      <c r="H288" s="103">
        <f t="shared" si="1"/>
        <v>0</v>
      </c>
      <c r="I288" s="104" t="str">
        <f>IF(E288&lt;0,"ERROR",IF(E288=0,"",IF(E288&lt;CONFIG!$B$4,"CRÍTICO",IF(E288&lt;CONFIG!$B$5,"BAJO","OK"))))</f>
        <v/>
      </c>
    </row>
    <row r="289" ht="15.75" customHeight="1">
      <c r="A289" s="90" t="str">
        <f>IF(CLIENTES!A6="","",CLIENTES!A6)</f>
        <v/>
      </c>
      <c r="B289" s="67" t="str">
        <f>TELAS!A4</f>
        <v>jersey 30/1</v>
      </c>
      <c r="C289" s="67" t="str">
        <f>COLORES!A9</f>
        <v>Melange</v>
      </c>
      <c r="D289" s="67" t="str">
        <f>COLORES!B9</f>
        <v>MELANGE</v>
      </c>
      <c r="E289" s="100">
        <f>IFERROR(SUMIFS(MOVIMIENTOS!$F$4:$F$1000,MOVIMIENTOS!$C$4:$C$1000,A289,MOVIMIENTOS!$D$4:$D$1000,B289,MOVIMIENTOS!$E$4:$E$1000,C289,MOVIMIENTOS!$B$4:$B$1000,"INGRESO")+SUMIFS(MOVIMIENTOS!$F$4:$F$1000,MOVIMIENTOS!$C$4:$C$1000,A289,MOVIMIENTOS!$D$4:$D$1000,B289,MOVIMIENTOS!$E$4:$E$1000,C289,MOVIMIENTOS!$B$4:$B$1000,"DE REPROCESO")+SUMIFS(MOVIMIENTOS!$F$4:$F$1000,MOVIMIENTOS!$C$4:$C$1000,A289,MOVIMIENTOS!$D$4:$D$1000,B289,MOVIMIENTOS!$E$4:$E$1000,C289,MOVIMIENTOS!$B$4:$B$1000,"AJUSTE+")-SUMIFS(MOVIMIENTOS!$F$4:$F$1000,MOVIMIENTOS!$C$4:$C$1000,A289,MOVIMIENTOS!$D$4:$D$1000,B289,MOVIMIENTOS!$E$4:$E$1000,C289,MOVIMIENTOS!$B$4:$B$1000,"A CORTE")-SUMIFS(MOVIMIENTOS!$F$4:$F$1000,MOVIMIENTOS!$C$4:$C$1000,A289,MOVIMIENTOS!$D$4:$D$1000,B289,MOVIMIENTOS!$E$4:$E$1000,C289,MOVIMIENTOS!$B$4:$B$1000,"A REPROCESO")-SUMIFS(MOVIMIENTOS!$F$4:$F$1000,MOVIMIENTOS!$C$4:$C$1000,A289,MOVIMIENTOS!$D$4:$D$1000,B289,MOVIMIENTOS!$E$4:$E$1000,C289,MOVIMIENTOS!$B$4:$B$1000,"MUESTRA")-SUMIFS(MOVIMIENTOS!$F$4:$F$1000,MOVIMIENTOS!$C$4:$C$1000,A289,MOVIMIENTOS!$D$4:$D$1000,B289,MOVIMIENTOS!$E$4:$E$1000,C289,MOVIMIENTOS!$B$4:$B$1000,"AJUSTE-"),0)</f>
        <v>0</v>
      </c>
      <c r="F289" s="101">
        <f>IFERROR(E289*VLOOKUP(B289,TELAS!$A$4:$C$32,3,FALSE()),0)</f>
        <v>0</v>
      </c>
      <c r="G289" s="102">
        <f>IFERROR(IF(D289="OSCURO",VLOOKUP(B289,PRECIOS!$A$4:$F$32,2,FALSE()),IF(D289="CLARO",VLOOKUP(B289,PRECIOS!$A$4:$F$32,3,FALSE()),IF(D289="MELANGE",VLOOKUP(B289,PRECIOS!$A$4:$F$32,4,FALSE()),IF(D289="PPT",VLOOKUP(B289,PRECIOS!$A$4:$F$32,5,FALSE()),0)))),0)</f>
        <v>18</v>
      </c>
      <c r="H289" s="103">
        <f t="shared" si="1"/>
        <v>0</v>
      </c>
      <c r="I289" s="104" t="str">
        <f>IF(E289&lt;0,"ERROR",IF(E289=0,"",IF(E289&lt;CONFIG!$B$4,"CRÍTICO",IF(E289&lt;CONFIG!$B$5,"BAJO","OK"))))</f>
        <v/>
      </c>
    </row>
    <row r="290" ht="15.75" customHeight="1">
      <c r="A290" s="90" t="str">
        <f>IF(CLIENTES!A6="","",CLIENTES!A6)</f>
        <v/>
      </c>
      <c r="B290" s="67" t="str">
        <f>TELAS!A4</f>
        <v>jersey 30/1</v>
      </c>
      <c r="C290" s="67" t="str">
        <f>COLORES!A10</f>
        <v>Botella</v>
      </c>
      <c r="D290" s="67" t="str">
        <f>COLORES!B10</f>
        <v>OSCURO</v>
      </c>
      <c r="E290" s="100">
        <f>IFERROR(SUMIFS(MOVIMIENTOS!$F$4:$F$1000,MOVIMIENTOS!$C$4:$C$1000,A290,MOVIMIENTOS!$D$4:$D$1000,B290,MOVIMIENTOS!$E$4:$E$1000,C290,MOVIMIENTOS!$B$4:$B$1000,"INGRESO")+SUMIFS(MOVIMIENTOS!$F$4:$F$1000,MOVIMIENTOS!$C$4:$C$1000,A290,MOVIMIENTOS!$D$4:$D$1000,B290,MOVIMIENTOS!$E$4:$E$1000,C290,MOVIMIENTOS!$B$4:$B$1000,"DE REPROCESO")+SUMIFS(MOVIMIENTOS!$F$4:$F$1000,MOVIMIENTOS!$C$4:$C$1000,A290,MOVIMIENTOS!$D$4:$D$1000,B290,MOVIMIENTOS!$E$4:$E$1000,C290,MOVIMIENTOS!$B$4:$B$1000,"AJUSTE+")-SUMIFS(MOVIMIENTOS!$F$4:$F$1000,MOVIMIENTOS!$C$4:$C$1000,A290,MOVIMIENTOS!$D$4:$D$1000,B290,MOVIMIENTOS!$E$4:$E$1000,C290,MOVIMIENTOS!$B$4:$B$1000,"A CORTE")-SUMIFS(MOVIMIENTOS!$F$4:$F$1000,MOVIMIENTOS!$C$4:$C$1000,A290,MOVIMIENTOS!$D$4:$D$1000,B290,MOVIMIENTOS!$E$4:$E$1000,C290,MOVIMIENTOS!$B$4:$B$1000,"A REPROCESO")-SUMIFS(MOVIMIENTOS!$F$4:$F$1000,MOVIMIENTOS!$C$4:$C$1000,A290,MOVIMIENTOS!$D$4:$D$1000,B290,MOVIMIENTOS!$E$4:$E$1000,C290,MOVIMIENTOS!$B$4:$B$1000,"MUESTRA")-SUMIFS(MOVIMIENTOS!$F$4:$F$1000,MOVIMIENTOS!$C$4:$C$1000,A290,MOVIMIENTOS!$D$4:$D$1000,B290,MOVIMIENTOS!$E$4:$E$1000,C290,MOVIMIENTOS!$B$4:$B$1000,"AJUSTE-"),0)</f>
        <v>0</v>
      </c>
      <c r="F290" s="101">
        <f>IFERROR(E290*VLOOKUP(B290,TELAS!$A$4:$C$32,3,FALSE()),0)</f>
        <v>0</v>
      </c>
      <c r="G290" s="102">
        <f>IFERROR(IF(D290="OSCURO",VLOOKUP(B290,PRECIOS!$A$4:$F$32,2,FALSE()),IF(D290="CLARO",VLOOKUP(B290,PRECIOS!$A$4:$F$32,3,FALSE()),IF(D290="MELANGE",VLOOKUP(B290,PRECIOS!$A$4:$F$32,4,FALSE()),IF(D290="PPT",VLOOKUP(B290,PRECIOS!$A$4:$F$32,5,FALSE()),0)))),0)</f>
        <v>24</v>
      </c>
      <c r="H290" s="103">
        <f t="shared" si="1"/>
        <v>0</v>
      </c>
      <c r="I290" s="104" t="str">
        <f>IF(E290&lt;0,"ERROR",IF(E290=0,"",IF(E290&lt;CONFIG!$B$4,"CRÍTICO",IF(E290&lt;CONFIG!$B$5,"BAJO","OK"))))</f>
        <v/>
      </c>
    </row>
    <row r="291" ht="15.75" customHeight="1">
      <c r="A291" s="90" t="str">
        <f>IF(CLIENTES!A6="","",CLIENTES!A6)</f>
        <v/>
      </c>
      <c r="B291" s="67" t="str">
        <f>TELAS!A4</f>
        <v>jersey 30/1</v>
      </c>
      <c r="C291" s="67" t="str">
        <f>COLORES!A11</f>
        <v>Pacay</v>
      </c>
      <c r="D291" s="67" t="str">
        <f>COLORES!B11</f>
        <v>CLARO</v>
      </c>
      <c r="E291" s="100">
        <f>IFERROR(SUMIFS(MOVIMIENTOS!$F$4:$F$1000,MOVIMIENTOS!$C$4:$C$1000,A291,MOVIMIENTOS!$D$4:$D$1000,B291,MOVIMIENTOS!$E$4:$E$1000,C291,MOVIMIENTOS!$B$4:$B$1000,"INGRESO")+SUMIFS(MOVIMIENTOS!$F$4:$F$1000,MOVIMIENTOS!$C$4:$C$1000,A291,MOVIMIENTOS!$D$4:$D$1000,B291,MOVIMIENTOS!$E$4:$E$1000,C291,MOVIMIENTOS!$B$4:$B$1000,"DE REPROCESO")+SUMIFS(MOVIMIENTOS!$F$4:$F$1000,MOVIMIENTOS!$C$4:$C$1000,A291,MOVIMIENTOS!$D$4:$D$1000,B291,MOVIMIENTOS!$E$4:$E$1000,C291,MOVIMIENTOS!$B$4:$B$1000,"AJUSTE+")-SUMIFS(MOVIMIENTOS!$F$4:$F$1000,MOVIMIENTOS!$C$4:$C$1000,A291,MOVIMIENTOS!$D$4:$D$1000,B291,MOVIMIENTOS!$E$4:$E$1000,C291,MOVIMIENTOS!$B$4:$B$1000,"A CORTE")-SUMIFS(MOVIMIENTOS!$F$4:$F$1000,MOVIMIENTOS!$C$4:$C$1000,A291,MOVIMIENTOS!$D$4:$D$1000,B291,MOVIMIENTOS!$E$4:$E$1000,C291,MOVIMIENTOS!$B$4:$B$1000,"A REPROCESO")-SUMIFS(MOVIMIENTOS!$F$4:$F$1000,MOVIMIENTOS!$C$4:$C$1000,A291,MOVIMIENTOS!$D$4:$D$1000,B291,MOVIMIENTOS!$E$4:$E$1000,C291,MOVIMIENTOS!$B$4:$B$1000,"MUESTRA")-SUMIFS(MOVIMIENTOS!$F$4:$F$1000,MOVIMIENTOS!$C$4:$C$1000,A291,MOVIMIENTOS!$D$4:$D$1000,B291,MOVIMIENTOS!$E$4:$E$1000,C291,MOVIMIENTOS!$B$4:$B$1000,"AJUSTE-"),0)</f>
        <v>0</v>
      </c>
      <c r="F291" s="101">
        <f>IFERROR(E291*VLOOKUP(B291,TELAS!$A$4:$C$32,3,FALSE()),0)</f>
        <v>0</v>
      </c>
      <c r="G291" s="102">
        <f>IFERROR(IF(D291="OSCURO",VLOOKUP(B291,PRECIOS!$A$4:$F$32,2,FALSE()),IF(D291="CLARO",VLOOKUP(B291,PRECIOS!$A$4:$F$32,3,FALSE()),IF(D291="MELANGE",VLOOKUP(B291,PRECIOS!$A$4:$F$32,4,FALSE()),IF(D291="PPT",VLOOKUP(B291,PRECIOS!$A$4:$F$32,5,FALSE()),0)))),0)</f>
        <v>21</v>
      </c>
      <c r="H291" s="103">
        <f t="shared" si="1"/>
        <v>0</v>
      </c>
      <c r="I291" s="104" t="str">
        <f>IF(E291&lt;0,"ERROR",IF(E291=0,"",IF(E291&lt;CONFIG!$B$4,"CRÍTICO",IF(E291&lt;CONFIG!$B$5,"BAJO","OK"))))</f>
        <v/>
      </c>
    </row>
    <row r="292" ht="15.75" customHeight="1">
      <c r="A292" s="90" t="str">
        <f>IF(CLIENTES!A6="","",CLIENTES!A6)</f>
        <v/>
      </c>
      <c r="B292" s="67" t="str">
        <f>TELAS!A4</f>
        <v>jersey 30/1</v>
      </c>
      <c r="C292" s="67" t="str">
        <f>COLORES!A12</f>
        <v>Cemento</v>
      </c>
      <c r="D292" s="67" t="str">
        <f>COLORES!B12</f>
        <v>CLARO</v>
      </c>
      <c r="E292" s="100">
        <f>IFERROR(SUMIFS(MOVIMIENTOS!$F$4:$F$1000,MOVIMIENTOS!$C$4:$C$1000,A292,MOVIMIENTOS!$D$4:$D$1000,B292,MOVIMIENTOS!$E$4:$E$1000,C292,MOVIMIENTOS!$B$4:$B$1000,"INGRESO")+SUMIFS(MOVIMIENTOS!$F$4:$F$1000,MOVIMIENTOS!$C$4:$C$1000,A292,MOVIMIENTOS!$D$4:$D$1000,B292,MOVIMIENTOS!$E$4:$E$1000,C292,MOVIMIENTOS!$B$4:$B$1000,"DE REPROCESO")+SUMIFS(MOVIMIENTOS!$F$4:$F$1000,MOVIMIENTOS!$C$4:$C$1000,A292,MOVIMIENTOS!$D$4:$D$1000,B292,MOVIMIENTOS!$E$4:$E$1000,C292,MOVIMIENTOS!$B$4:$B$1000,"AJUSTE+")-SUMIFS(MOVIMIENTOS!$F$4:$F$1000,MOVIMIENTOS!$C$4:$C$1000,A292,MOVIMIENTOS!$D$4:$D$1000,B292,MOVIMIENTOS!$E$4:$E$1000,C292,MOVIMIENTOS!$B$4:$B$1000,"A CORTE")-SUMIFS(MOVIMIENTOS!$F$4:$F$1000,MOVIMIENTOS!$C$4:$C$1000,A292,MOVIMIENTOS!$D$4:$D$1000,B292,MOVIMIENTOS!$E$4:$E$1000,C292,MOVIMIENTOS!$B$4:$B$1000,"A REPROCESO")-SUMIFS(MOVIMIENTOS!$F$4:$F$1000,MOVIMIENTOS!$C$4:$C$1000,A292,MOVIMIENTOS!$D$4:$D$1000,B292,MOVIMIENTOS!$E$4:$E$1000,C292,MOVIMIENTOS!$B$4:$B$1000,"MUESTRA")-SUMIFS(MOVIMIENTOS!$F$4:$F$1000,MOVIMIENTOS!$C$4:$C$1000,A292,MOVIMIENTOS!$D$4:$D$1000,B292,MOVIMIENTOS!$E$4:$E$1000,C292,MOVIMIENTOS!$B$4:$B$1000,"AJUSTE-"),0)</f>
        <v>0</v>
      </c>
      <c r="F292" s="101">
        <f>IFERROR(E292*VLOOKUP(B292,TELAS!$A$4:$C$32,3,FALSE()),0)</f>
        <v>0</v>
      </c>
      <c r="G292" s="102">
        <f>IFERROR(IF(D292="OSCURO",VLOOKUP(B292,PRECIOS!$A$4:$F$32,2,FALSE()),IF(D292="CLARO",VLOOKUP(B292,PRECIOS!$A$4:$F$32,3,FALSE()),IF(D292="MELANGE",VLOOKUP(B292,PRECIOS!$A$4:$F$32,4,FALSE()),IF(D292="PPT",VLOOKUP(B292,PRECIOS!$A$4:$F$32,5,FALSE()),0)))),0)</f>
        <v>21</v>
      </c>
      <c r="H292" s="103">
        <f t="shared" si="1"/>
        <v>0</v>
      </c>
      <c r="I292" s="104" t="str">
        <f>IF(E292&lt;0,"ERROR",IF(E292=0,"",IF(E292&lt;CONFIG!$B$4,"CRÍTICO",IF(E292&lt;CONFIG!$B$5,"BAJO","OK"))))</f>
        <v/>
      </c>
    </row>
    <row r="293" ht="15.75" customHeight="1">
      <c r="A293" s="90" t="str">
        <f>IF(CLIENTES!A6="","",CLIENTES!A6)</f>
        <v/>
      </c>
      <c r="B293" s="67" t="str">
        <f>TELAS!A4</f>
        <v>jersey 30/1</v>
      </c>
      <c r="C293" s="67" t="str">
        <f>COLORES!A13</f>
        <v>Camote</v>
      </c>
      <c r="D293" s="67" t="str">
        <f>COLORES!B13</f>
        <v>CLARO</v>
      </c>
      <c r="E293" s="100">
        <f>IFERROR(SUMIFS(MOVIMIENTOS!$F$4:$F$1000,MOVIMIENTOS!$C$4:$C$1000,A293,MOVIMIENTOS!$D$4:$D$1000,B293,MOVIMIENTOS!$E$4:$E$1000,C293,MOVIMIENTOS!$B$4:$B$1000,"INGRESO")+SUMIFS(MOVIMIENTOS!$F$4:$F$1000,MOVIMIENTOS!$C$4:$C$1000,A293,MOVIMIENTOS!$D$4:$D$1000,B293,MOVIMIENTOS!$E$4:$E$1000,C293,MOVIMIENTOS!$B$4:$B$1000,"DE REPROCESO")+SUMIFS(MOVIMIENTOS!$F$4:$F$1000,MOVIMIENTOS!$C$4:$C$1000,A293,MOVIMIENTOS!$D$4:$D$1000,B293,MOVIMIENTOS!$E$4:$E$1000,C293,MOVIMIENTOS!$B$4:$B$1000,"AJUSTE+")-SUMIFS(MOVIMIENTOS!$F$4:$F$1000,MOVIMIENTOS!$C$4:$C$1000,A293,MOVIMIENTOS!$D$4:$D$1000,B293,MOVIMIENTOS!$E$4:$E$1000,C293,MOVIMIENTOS!$B$4:$B$1000,"A CORTE")-SUMIFS(MOVIMIENTOS!$F$4:$F$1000,MOVIMIENTOS!$C$4:$C$1000,A293,MOVIMIENTOS!$D$4:$D$1000,B293,MOVIMIENTOS!$E$4:$E$1000,C293,MOVIMIENTOS!$B$4:$B$1000,"A REPROCESO")-SUMIFS(MOVIMIENTOS!$F$4:$F$1000,MOVIMIENTOS!$C$4:$C$1000,A293,MOVIMIENTOS!$D$4:$D$1000,B293,MOVIMIENTOS!$E$4:$E$1000,C293,MOVIMIENTOS!$B$4:$B$1000,"MUESTRA")-SUMIFS(MOVIMIENTOS!$F$4:$F$1000,MOVIMIENTOS!$C$4:$C$1000,A293,MOVIMIENTOS!$D$4:$D$1000,B293,MOVIMIENTOS!$E$4:$E$1000,C293,MOVIMIENTOS!$B$4:$B$1000,"AJUSTE-"),0)</f>
        <v>0</v>
      </c>
      <c r="F293" s="101">
        <f>IFERROR(E293*VLOOKUP(B293,TELAS!$A$4:$C$32,3,FALSE()),0)</f>
        <v>0</v>
      </c>
      <c r="G293" s="102">
        <f>IFERROR(IF(D293="OSCURO",VLOOKUP(B293,PRECIOS!$A$4:$F$32,2,FALSE()),IF(D293="CLARO",VLOOKUP(B293,PRECIOS!$A$4:$F$32,3,FALSE()),IF(D293="MELANGE",VLOOKUP(B293,PRECIOS!$A$4:$F$32,4,FALSE()),IF(D293="PPT",VLOOKUP(B293,PRECIOS!$A$4:$F$32,5,FALSE()),0)))),0)</f>
        <v>21</v>
      </c>
      <c r="H293" s="103">
        <f t="shared" si="1"/>
        <v>0</v>
      </c>
      <c r="I293" s="104" t="str">
        <f>IF(E293&lt;0,"ERROR",IF(E293=0,"",IF(E293&lt;CONFIG!$B$4,"CRÍTICO",IF(E293&lt;CONFIG!$B$5,"BAJO","OK"))))</f>
        <v/>
      </c>
    </row>
    <row r="294" ht="15.75" customHeight="1">
      <c r="A294" s="90" t="str">
        <f>IF(CLIENTES!A6="","",CLIENTES!A6)</f>
        <v/>
      </c>
      <c r="B294" s="67" t="str">
        <f>TELAS!A4</f>
        <v>jersey 30/1</v>
      </c>
      <c r="C294" s="67" t="str">
        <f>COLORES!A14</f>
        <v>Denim</v>
      </c>
      <c r="D294" s="67" t="str">
        <f>COLORES!B14</f>
        <v>CLARO</v>
      </c>
      <c r="E294" s="100">
        <f>IFERROR(SUMIFS(MOVIMIENTOS!$F$4:$F$1000,MOVIMIENTOS!$C$4:$C$1000,A294,MOVIMIENTOS!$D$4:$D$1000,B294,MOVIMIENTOS!$E$4:$E$1000,C294,MOVIMIENTOS!$B$4:$B$1000,"INGRESO")+SUMIFS(MOVIMIENTOS!$F$4:$F$1000,MOVIMIENTOS!$C$4:$C$1000,A294,MOVIMIENTOS!$D$4:$D$1000,B294,MOVIMIENTOS!$E$4:$E$1000,C294,MOVIMIENTOS!$B$4:$B$1000,"DE REPROCESO")+SUMIFS(MOVIMIENTOS!$F$4:$F$1000,MOVIMIENTOS!$C$4:$C$1000,A294,MOVIMIENTOS!$D$4:$D$1000,B294,MOVIMIENTOS!$E$4:$E$1000,C294,MOVIMIENTOS!$B$4:$B$1000,"AJUSTE+")-SUMIFS(MOVIMIENTOS!$F$4:$F$1000,MOVIMIENTOS!$C$4:$C$1000,A294,MOVIMIENTOS!$D$4:$D$1000,B294,MOVIMIENTOS!$E$4:$E$1000,C294,MOVIMIENTOS!$B$4:$B$1000,"A CORTE")-SUMIFS(MOVIMIENTOS!$F$4:$F$1000,MOVIMIENTOS!$C$4:$C$1000,A294,MOVIMIENTOS!$D$4:$D$1000,B294,MOVIMIENTOS!$E$4:$E$1000,C294,MOVIMIENTOS!$B$4:$B$1000,"A REPROCESO")-SUMIFS(MOVIMIENTOS!$F$4:$F$1000,MOVIMIENTOS!$C$4:$C$1000,A294,MOVIMIENTOS!$D$4:$D$1000,B294,MOVIMIENTOS!$E$4:$E$1000,C294,MOVIMIENTOS!$B$4:$B$1000,"MUESTRA")-SUMIFS(MOVIMIENTOS!$F$4:$F$1000,MOVIMIENTOS!$C$4:$C$1000,A294,MOVIMIENTOS!$D$4:$D$1000,B294,MOVIMIENTOS!$E$4:$E$1000,C294,MOVIMIENTOS!$B$4:$B$1000,"AJUSTE-"),0)</f>
        <v>0</v>
      </c>
      <c r="F294" s="101">
        <f>IFERROR(E294*VLOOKUP(B294,TELAS!$A$4:$C$32,3,FALSE()),0)</f>
        <v>0</v>
      </c>
      <c r="G294" s="102">
        <f>IFERROR(IF(D294="OSCURO",VLOOKUP(B294,PRECIOS!$A$4:$F$32,2,FALSE()),IF(D294="CLARO",VLOOKUP(B294,PRECIOS!$A$4:$F$32,3,FALSE()),IF(D294="MELANGE",VLOOKUP(B294,PRECIOS!$A$4:$F$32,4,FALSE()),IF(D294="PPT",VLOOKUP(B294,PRECIOS!$A$4:$F$32,5,FALSE()),0)))),0)</f>
        <v>21</v>
      </c>
      <c r="H294" s="103">
        <f t="shared" si="1"/>
        <v>0</v>
      </c>
      <c r="I294" s="104" t="str">
        <f>IF(E294&lt;0,"ERROR",IF(E294=0,"",IF(E294&lt;CONFIG!$B$4,"CRÍTICO",IF(E294&lt;CONFIG!$B$5,"BAJO","OK"))))</f>
        <v/>
      </c>
    </row>
    <row r="295" ht="15.75" customHeight="1">
      <c r="A295" s="90" t="str">
        <f>IF(CLIENTES!A6="","",CLIENTES!A6)</f>
        <v/>
      </c>
      <c r="B295" s="67" t="str">
        <f>TELAS!A4</f>
        <v>jersey 30/1</v>
      </c>
      <c r="C295" s="67" t="str">
        <f>COLORES!A15</f>
        <v>Plomo</v>
      </c>
      <c r="D295" s="67" t="str">
        <f>COLORES!B15</f>
        <v>OSCURO</v>
      </c>
      <c r="E295" s="100">
        <f>IFERROR(SUMIFS(MOVIMIENTOS!$F$4:$F$1000,MOVIMIENTOS!$C$4:$C$1000,A295,MOVIMIENTOS!$D$4:$D$1000,B295,MOVIMIENTOS!$E$4:$E$1000,C295,MOVIMIENTOS!$B$4:$B$1000,"INGRESO")+SUMIFS(MOVIMIENTOS!$F$4:$F$1000,MOVIMIENTOS!$C$4:$C$1000,A295,MOVIMIENTOS!$D$4:$D$1000,B295,MOVIMIENTOS!$E$4:$E$1000,C295,MOVIMIENTOS!$B$4:$B$1000,"DE REPROCESO")+SUMIFS(MOVIMIENTOS!$F$4:$F$1000,MOVIMIENTOS!$C$4:$C$1000,A295,MOVIMIENTOS!$D$4:$D$1000,B295,MOVIMIENTOS!$E$4:$E$1000,C295,MOVIMIENTOS!$B$4:$B$1000,"AJUSTE+")-SUMIFS(MOVIMIENTOS!$F$4:$F$1000,MOVIMIENTOS!$C$4:$C$1000,A295,MOVIMIENTOS!$D$4:$D$1000,B295,MOVIMIENTOS!$E$4:$E$1000,C295,MOVIMIENTOS!$B$4:$B$1000,"A CORTE")-SUMIFS(MOVIMIENTOS!$F$4:$F$1000,MOVIMIENTOS!$C$4:$C$1000,A295,MOVIMIENTOS!$D$4:$D$1000,B295,MOVIMIENTOS!$E$4:$E$1000,C295,MOVIMIENTOS!$B$4:$B$1000,"A REPROCESO")-SUMIFS(MOVIMIENTOS!$F$4:$F$1000,MOVIMIENTOS!$C$4:$C$1000,A295,MOVIMIENTOS!$D$4:$D$1000,B295,MOVIMIENTOS!$E$4:$E$1000,C295,MOVIMIENTOS!$B$4:$B$1000,"MUESTRA")-SUMIFS(MOVIMIENTOS!$F$4:$F$1000,MOVIMIENTOS!$C$4:$C$1000,A295,MOVIMIENTOS!$D$4:$D$1000,B295,MOVIMIENTOS!$E$4:$E$1000,C295,MOVIMIENTOS!$B$4:$B$1000,"AJUSTE-"),0)</f>
        <v>0</v>
      </c>
      <c r="F295" s="101">
        <f>IFERROR(E295*VLOOKUP(B295,TELAS!$A$4:$C$32,3,FALSE()),0)</f>
        <v>0</v>
      </c>
      <c r="G295" s="102">
        <f>IFERROR(IF(D295="OSCURO",VLOOKUP(B295,PRECIOS!$A$4:$F$32,2,FALSE()),IF(D295="CLARO",VLOOKUP(B295,PRECIOS!$A$4:$F$32,3,FALSE()),IF(D295="MELANGE",VLOOKUP(B295,PRECIOS!$A$4:$F$32,4,FALSE()),IF(D295="PPT",VLOOKUP(B295,PRECIOS!$A$4:$F$32,5,FALSE()),0)))),0)</f>
        <v>24</v>
      </c>
      <c r="H295" s="103">
        <f t="shared" si="1"/>
        <v>0</v>
      </c>
      <c r="I295" s="104" t="str">
        <f>IF(E295&lt;0,"ERROR",IF(E295=0,"",IF(E295&lt;CONFIG!$B$4,"CRÍTICO",IF(E295&lt;CONFIG!$B$5,"BAJO","OK"))))</f>
        <v/>
      </c>
    </row>
    <row r="296" ht="15.75" customHeight="1">
      <c r="A296" s="90" t="str">
        <f>IF(CLIENTES!A6="","",CLIENTES!A6)</f>
        <v/>
      </c>
      <c r="B296" s="67" t="str">
        <f>TELAS!A4</f>
        <v>jersey 30/1</v>
      </c>
      <c r="C296" s="67" t="str">
        <f>COLORES!A16</f>
        <v>Topo</v>
      </c>
      <c r="D296" s="67" t="str">
        <f>COLORES!B16</f>
        <v>CLARO</v>
      </c>
      <c r="E296" s="100">
        <f>IFERROR(SUMIFS(MOVIMIENTOS!$F$4:$F$1000,MOVIMIENTOS!$C$4:$C$1000,A296,MOVIMIENTOS!$D$4:$D$1000,B296,MOVIMIENTOS!$E$4:$E$1000,C296,MOVIMIENTOS!$B$4:$B$1000,"INGRESO")+SUMIFS(MOVIMIENTOS!$F$4:$F$1000,MOVIMIENTOS!$C$4:$C$1000,A296,MOVIMIENTOS!$D$4:$D$1000,B296,MOVIMIENTOS!$E$4:$E$1000,C296,MOVIMIENTOS!$B$4:$B$1000,"DE REPROCESO")+SUMIFS(MOVIMIENTOS!$F$4:$F$1000,MOVIMIENTOS!$C$4:$C$1000,A296,MOVIMIENTOS!$D$4:$D$1000,B296,MOVIMIENTOS!$E$4:$E$1000,C296,MOVIMIENTOS!$B$4:$B$1000,"AJUSTE+")-SUMIFS(MOVIMIENTOS!$F$4:$F$1000,MOVIMIENTOS!$C$4:$C$1000,A296,MOVIMIENTOS!$D$4:$D$1000,B296,MOVIMIENTOS!$E$4:$E$1000,C296,MOVIMIENTOS!$B$4:$B$1000,"A CORTE")-SUMIFS(MOVIMIENTOS!$F$4:$F$1000,MOVIMIENTOS!$C$4:$C$1000,A296,MOVIMIENTOS!$D$4:$D$1000,B296,MOVIMIENTOS!$E$4:$E$1000,C296,MOVIMIENTOS!$B$4:$B$1000,"A REPROCESO")-SUMIFS(MOVIMIENTOS!$F$4:$F$1000,MOVIMIENTOS!$C$4:$C$1000,A296,MOVIMIENTOS!$D$4:$D$1000,B296,MOVIMIENTOS!$E$4:$E$1000,C296,MOVIMIENTOS!$B$4:$B$1000,"MUESTRA")-SUMIFS(MOVIMIENTOS!$F$4:$F$1000,MOVIMIENTOS!$C$4:$C$1000,A296,MOVIMIENTOS!$D$4:$D$1000,B296,MOVIMIENTOS!$E$4:$E$1000,C296,MOVIMIENTOS!$B$4:$B$1000,"AJUSTE-"),0)</f>
        <v>0</v>
      </c>
      <c r="F296" s="101">
        <f>IFERROR(E296*VLOOKUP(B296,TELAS!$A$4:$C$32,3,FALSE()),0)</f>
        <v>0</v>
      </c>
      <c r="G296" s="102">
        <f>IFERROR(IF(D296="OSCURO",VLOOKUP(B296,PRECIOS!$A$4:$F$32,2,FALSE()),IF(D296="CLARO",VLOOKUP(B296,PRECIOS!$A$4:$F$32,3,FALSE()),IF(D296="MELANGE",VLOOKUP(B296,PRECIOS!$A$4:$F$32,4,FALSE()),IF(D296="PPT",VLOOKUP(B296,PRECIOS!$A$4:$F$32,5,FALSE()),0)))),0)</f>
        <v>21</v>
      </c>
      <c r="H296" s="103">
        <f t="shared" si="1"/>
        <v>0</v>
      </c>
      <c r="I296" s="104" t="str">
        <f>IF(E296&lt;0,"ERROR",IF(E296=0,"",IF(E296&lt;CONFIG!$B$4,"CRÍTICO",IF(E296&lt;CONFIG!$B$5,"BAJO","OK"))))</f>
        <v/>
      </c>
    </row>
    <row r="297" ht="15.75" customHeight="1">
      <c r="A297" s="90" t="str">
        <f>IF(CLIENTES!A6="","",CLIENTES!A6)</f>
        <v/>
      </c>
      <c r="B297" s="67" t="str">
        <f>TELAS!A4</f>
        <v>jersey 30/1</v>
      </c>
      <c r="C297" s="67" t="str">
        <f>COLORES!A17</f>
        <v>Vino</v>
      </c>
      <c r="D297" s="67" t="str">
        <f>COLORES!B17</f>
        <v>OSCURO</v>
      </c>
      <c r="E297" s="100">
        <f>IFERROR(SUMIFS(MOVIMIENTOS!$F$4:$F$1000,MOVIMIENTOS!$C$4:$C$1000,A297,MOVIMIENTOS!$D$4:$D$1000,B297,MOVIMIENTOS!$E$4:$E$1000,C297,MOVIMIENTOS!$B$4:$B$1000,"INGRESO")+SUMIFS(MOVIMIENTOS!$F$4:$F$1000,MOVIMIENTOS!$C$4:$C$1000,A297,MOVIMIENTOS!$D$4:$D$1000,B297,MOVIMIENTOS!$E$4:$E$1000,C297,MOVIMIENTOS!$B$4:$B$1000,"DE REPROCESO")+SUMIFS(MOVIMIENTOS!$F$4:$F$1000,MOVIMIENTOS!$C$4:$C$1000,A297,MOVIMIENTOS!$D$4:$D$1000,B297,MOVIMIENTOS!$E$4:$E$1000,C297,MOVIMIENTOS!$B$4:$B$1000,"AJUSTE+")-SUMIFS(MOVIMIENTOS!$F$4:$F$1000,MOVIMIENTOS!$C$4:$C$1000,A297,MOVIMIENTOS!$D$4:$D$1000,B297,MOVIMIENTOS!$E$4:$E$1000,C297,MOVIMIENTOS!$B$4:$B$1000,"A CORTE")-SUMIFS(MOVIMIENTOS!$F$4:$F$1000,MOVIMIENTOS!$C$4:$C$1000,A297,MOVIMIENTOS!$D$4:$D$1000,B297,MOVIMIENTOS!$E$4:$E$1000,C297,MOVIMIENTOS!$B$4:$B$1000,"A REPROCESO")-SUMIFS(MOVIMIENTOS!$F$4:$F$1000,MOVIMIENTOS!$C$4:$C$1000,A297,MOVIMIENTOS!$D$4:$D$1000,B297,MOVIMIENTOS!$E$4:$E$1000,C297,MOVIMIENTOS!$B$4:$B$1000,"MUESTRA")-SUMIFS(MOVIMIENTOS!$F$4:$F$1000,MOVIMIENTOS!$C$4:$C$1000,A297,MOVIMIENTOS!$D$4:$D$1000,B297,MOVIMIENTOS!$E$4:$E$1000,C297,MOVIMIENTOS!$B$4:$B$1000,"AJUSTE-"),0)</f>
        <v>0</v>
      </c>
      <c r="F297" s="101">
        <f>IFERROR(E297*VLOOKUP(B297,TELAS!$A$4:$C$32,3,FALSE()),0)</f>
        <v>0</v>
      </c>
      <c r="G297" s="102">
        <f>IFERROR(IF(D297="OSCURO",VLOOKUP(B297,PRECIOS!$A$4:$F$32,2,FALSE()),IF(D297="CLARO",VLOOKUP(B297,PRECIOS!$A$4:$F$32,3,FALSE()),IF(D297="MELANGE",VLOOKUP(B297,PRECIOS!$A$4:$F$32,4,FALSE()),IF(D297="PPT",VLOOKUP(B297,PRECIOS!$A$4:$F$32,5,FALSE()),0)))),0)</f>
        <v>24</v>
      </c>
      <c r="H297" s="103">
        <f t="shared" si="1"/>
        <v>0</v>
      </c>
      <c r="I297" s="104" t="str">
        <f>IF(E297&lt;0,"ERROR",IF(E297=0,"",IF(E297&lt;CONFIG!$B$4,"CRÍTICO",IF(E297&lt;CONFIG!$B$5,"BAJO","OK"))))</f>
        <v/>
      </c>
    </row>
    <row r="298" ht="15.75" customHeight="1">
      <c r="A298" s="90" t="str">
        <f>IF(CLIENTES!A6="","",CLIENTES!A6)</f>
        <v/>
      </c>
      <c r="B298" s="67" t="str">
        <f>TELAS!A4</f>
        <v>jersey 30/1</v>
      </c>
      <c r="C298" s="67" t="str">
        <f>COLORES!A18</f>
        <v>P. Rosa</v>
      </c>
      <c r="D298" s="67" t="str">
        <f>COLORES!B18</f>
        <v>CLARO</v>
      </c>
      <c r="E298" s="100">
        <f>IFERROR(SUMIFS(MOVIMIENTOS!$F$4:$F$1000,MOVIMIENTOS!$C$4:$C$1000,A298,MOVIMIENTOS!$D$4:$D$1000,B298,MOVIMIENTOS!$E$4:$E$1000,C298,MOVIMIENTOS!$B$4:$B$1000,"INGRESO")+SUMIFS(MOVIMIENTOS!$F$4:$F$1000,MOVIMIENTOS!$C$4:$C$1000,A298,MOVIMIENTOS!$D$4:$D$1000,B298,MOVIMIENTOS!$E$4:$E$1000,C298,MOVIMIENTOS!$B$4:$B$1000,"DE REPROCESO")+SUMIFS(MOVIMIENTOS!$F$4:$F$1000,MOVIMIENTOS!$C$4:$C$1000,A298,MOVIMIENTOS!$D$4:$D$1000,B298,MOVIMIENTOS!$E$4:$E$1000,C298,MOVIMIENTOS!$B$4:$B$1000,"AJUSTE+")-SUMIFS(MOVIMIENTOS!$F$4:$F$1000,MOVIMIENTOS!$C$4:$C$1000,A298,MOVIMIENTOS!$D$4:$D$1000,B298,MOVIMIENTOS!$E$4:$E$1000,C298,MOVIMIENTOS!$B$4:$B$1000,"A CORTE")-SUMIFS(MOVIMIENTOS!$F$4:$F$1000,MOVIMIENTOS!$C$4:$C$1000,A298,MOVIMIENTOS!$D$4:$D$1000,B298,MOVIMIENTOS!$E$4:$E$1000,C298,MOVIMIENTOS!$B$4:$B$1000,"A REPROCESO")-SUMIFS(MOVIMIENTOS!$F$4:$F$1000,MOVIMIENTOS!$C$4:$C$1000,A298,MOVIMIENTOS!$D$4:$D$1000,B298,MOVIMIENTOS!$E$4:$E$1000,C298,MOVIMIENTOS!$B$4:$B$1000,"MUESTRA")-SUMIFS(MOVIMIENTOS!$F$4:$F$1000,MOVIMIENTOS!$C$4:$C$1000,A298,MOVIMIENTOS!$D$4:$D$1000,B298,MOVIMIENTOS!$E$4:$E$1000,C298,MOVIMIENTOS!$B$4:$B$1000,"AJUSTE-"),0)</f>
        <v>0</v>
      </c>
      <c r="F298" s="101">
        <f>IFERROR(E298*VLOOKUP(B298,TELAS!$A$4:$C$32,3,FALSE()),0)</f>
        <v>0</v>
      </c>
      <c r="G298" s="102">
        <f>IFERROR(IF(D298="OSCURO",VLOOKUP(B298,PRECIOS!$A$4:$F$32,2,FALSE()),IF(D298="CLARO",VLOOKUP(B298,PRECIOS!$A$4:$F$32,3,FALSE()),IF(D298="MELANGE",VLOOKUP(B298,PRECIOS!$A$4:$F$32,4,FALSE()),IF(D298="PPT",VLOOKUP(B298,PRECIOS!$A$4:$F$32,5,FALSE()),0)))),0)</f>
        <v>21</v>
      </c>
      <c r="H298" s="103">
        <f t="shared" si="1"/>
        <v>0</v>
      </c>
      <c r="I298" s="104" t="str">
        <f>IF(E298&lt;0,"ERROR",IF(E298=0,"",IF(E298&lt;CONFIG!$B$4,"CRÍTICO",IF(E298&lt;CONFIG!$B$5,"BAJO","OK"))))</f>
        <v/>
      </c>
    </row>
    <row r="299" ht="15.75" customHeight="1">
      <c r="A299" s="90" t="str">
        <f>IF(CLIENTES!A6="","",CLIENTES!A6)</f>
        <v/>
      </c>
      <c r="B299" s="67" t="str">
        <f>TELAS!A4</f>
        <v>jersey 30/1</v>
      </c>
      <c r="C299" s="67" t="str">
        <f>COLORES!A19</f>
        <v/>
      </c>
      <c r="D299" s="67" t="str">
        <f>COLORES!B19</f>
        <v/>
      </c>
      <c r="E299" s="100">
        <f>IFERROR(SUMIFS(MOVIMIENTOS!$F$4:$F$1000,MOVIMIENTOS!$C$4:$C$1000,A299,MOVIMIENTOS!$D$4:$D$1000,B299,MOVIMIENTOS!$E$4:$E$1000,C299,MOVIMIENTOS!$B$4:$B$1000,"INGRESO")+SUMIFS(MOVIMIENTOS!$F$4:$F$1000,MOVIMIENTOS!$C$4:$C$1000,A299,MOVIMIENTOS!$D$4:$D$1000,B299,MOVIMIENTOS!$E$4:$E$1000,C299,MOVIMIENTOS!$B$4:$B$1000,"DE REPROCESO")+SUMIFS(MOVIMIENTOS!$F$4:$F$1000,MOVIMIENTOS!$C$4:$C$1000,A299,MOVIMIENTOS!$D$4:$D$1000,B299,MOVIMIENTOS!$E$4:$E$1000,C299,MOVIMIENTOS!$B$4:$B$1000,"AJUSTE+")-SUMIFS(MOVIMIENTOS!$F$4:$F$1000,MOVIMIENTOS!$C$4:$C$1000,A299,MOVIMIENTOS!$D$4:$D$1000,B299,MOVIMIENTOS!$E$4:$E$1000,C299,MOVIMIENTOS!$B$4:$B$1000,"A CORTE")-SUMIFS(MOVIMIENTOS!$F$4:$F$1000,MOVIMIENTOS!$C$4:$C$1000,A299,MOVIMIENTOS!$D$4:$D$1000,B299,MOVIMIENTOS!$E$4:$E$1000,C299,MOVIMIENTOS!$B$4:$B$1000,"A REPROCESO")-SUMIFS(MOVIMIENTOS!$F$4:$F$1000,MOVIMIENTOS!$C$4:$C$1000,A299,MOVIMIENTOS!$D$4:$D$1000,B299,MOVIMIENTOS!$E$4:$E$1000,C299,MOVIMIENTOS!$B$4:$B$1000,"MUESTRA")-SUMIFS(MOVIMIENTOS!$F$4:$F$1000,MOVIMIENTOS!$C$4:$C$1000,A299,MOVIMIENTOS!$D$4:$D$1000,B299,MOVIMIENTOS!$E$4:$E$1000,C299,MOVIMIENTOS!$B$4:$B$1000,"AJUSTE-"),0)</f>
        <v>0</v>
      </c>
      <c r="F299" s="101">
        <f>IFERROR(E299*VLOOKUP(B299,TELAS!$A$4:$C$32,3,FALSE()),0)</f>
        <v>0</v>
      </c>
      <c r="G299" s="102">
        <f>IFERROR(IF(D299="OSCURO",VLOOKUP(B299,PRECIOS!$A$4:$F$32,2,FALSE()),IF(D299="CLARO",VLOOKUP(B299,PRECIOS!$A$4:$F$32,3,FALSE()),IF(D299="MELANGE",VLOOKUP(B299,PRECIOS!$A$4:$F$32,4,FALSE()),IF(D299="PPT",VLOOKUP(B299,PRECIOS!$A$4:$F$32,5,FALSE()),0)))),0)</f>
        <v>0</v>
      </c>
      <c r="H299" s="103">
        <f t="shared" si="1"/>
        <v>0</v>
      </c>
      <c r="I299" s="104" t="str">
        <f>IF(E299&lt;0,"ERROR",IF(E299=0,"",IF(E299&lt;CONFIG!$B$4,"CRÍTICO",IF(E299&lt;CONFIG!$B$5,"BAJO","OK"))))</f>
        <v/>
      </c>
    </row>
    <row r="300" ht="15.75" customHeight="1">
      <c r="A300" s="90" t="str">
        <f>IF(CLIENTES!A6="","",CLIENTES!A6)</f>
        <v/>
      </c>
      <c r="B300" s="67" t="str">
        <f>TELAS!A4</f>
        <v>jersey 30/1</v>
      </c>
      <c r="C300" s="67" t="str">
        <f>COLORES!A20</f>
        <v/>
      </c>
      <c r="D300" s="67" t="str">
        <f>COLORES!B20</f>
        <v/>
      </c>
      <c r="E300" s="100">
        <f>IFERROR(SUMIFS(MOVIMIENTOS!$F$4:$F$1000,MOVIMIENTOS!$C$4:$C$1000,A300,MOVIMIENTOS!$D$4:$D$1000,B300,MOVIMIENTOS!$E$4:$E$1000,C300,MOVIMIENTOS!$B$4:$B$1000,"INGRESO")+SUMIFS(MOVIMIENTOS!$F$4:$F$1000,MOVIMIENTOS!$C$4:$C$1000,A300,MOVIMIENTOS!$D$4:$D$1000,B300,MOVIMIENTOS!$E$4:$E$1000,C300,MOVIMIENTOS!$B$4:$B$1000,"DE REPROCESO")+SUMIFS(MOVIMIENTOS!$F$4:$F$1000,MOVIMIENTOS!$C$4:$C$1000,A300,MOVIMIENTOS!$D$4:$D$1000,B300,MOVIMIENTOS!$E$4:$E$1000,C300,MOVIMIENTOS!$B$4:$B$1000,"AJUSTE+")-SUMIFS(MOVIMIENTOS!$F$4:$F$1000,MOVIMIENTOS!$C$4:$C$1000,A300,MOVIMIENTOS!$D$4:$D$1000,B300,MOVIMIENTOS!$E$4:$E$1000,C300,MOVIMIENTOS!$B$4:$B$1000,"A CORTE")-SUMIFS(MOVIMIENTOS!$F$4:$F$1000,MOVIMIENTOS!$C$4:$C$1000,A300,MOVIMIENTOS!$D$4:$D$1000,B300,MOVIMIENTOS!$E$4:$E$1000,C300,MOVIMIENTOS!$B$4:$B$1000,"A REPROCESO")-SUMIFS(MOVIMIENTOS!$F$4:$F$1000,MOVIMIENTOS!$C$4:$C$1000,A300,MOVIMIENTOS!$D$4:$D$1000,B300,MOVIMIENTOS!$E$4:$E$1000,C300,MOVIMIENTOS!$B$4:$B$1000,"MUESTRA")-SUMIFS(MOVIMIENTOS!$F$4:$F$1000,MOVIMIENTOS!$C$4:$C$1000,A300,MOVIMIENTOS!$D$4:$D$1000,B300,MOVIMIENTOS!$E$4:$E$1000,C300,MOVIMIENTOS!$B$4:$B$1000,"AJUSTE-"),0)</f>
        <v>0</v>
      </c>
      <c r="F300" s="101">
        <f>IFERROR(E300*VLOOKUP(B300,TELAS!$A$4:$C$32,3,FALSE()),0)</f>
        <v>0</v>
      </c>
      <c r="G300" s="102">
        <f>IFERROR(IF(D300="OSCURO",VLOOKUP(B300,PRECIOS!$A$4:$F$32,2,FALSE()),IF(D300="CLARO",VLOOKUP(B300,PRECIOS!$A$4:$F$32,3,FALSE()),IF(D300="MELANGE",VLOOKUP(B300,PRECIOS!$A$4:$F$32,4,FALSE()),IF(D300="PPT",VLOOKUP(B300,PRECIOS!$A$4:$F$32,5,FALSE()),0)))),0)</f>
        <v>0</v>
      </c>
      <c r="H300" s="103">
        <f t="shared" si="1"/>
        <v>0</v>
      </c>
      <c r="I300" s="104" t="str">
        <f>IF(E300&lt;0,"ERROR",IF(E300=0,"",IF(E300&lt;CONFIG!$B$4,"CRÍTICO",IF(E300&lt;CONFIG!$B$5,"BAJO","OK"))))</f>
        <v/>
      </c>
    </row>
    <row r="301" ht="15.75" customHeight="1">
      <c r="A301" s="90" t="str">
        <f>IF(CLIENTES!A6="","",CLIENTES!A6)</f>
        <v/>
      </c>
      <c r="B301" s="67" t="str">
        <f>TELAS!A4</f>
        <v>jersey 30/1</v>
      </c>
      <c r="C301" s="67" t="str">
        <f>COLORES!A21</f>
        <v/>
      </c>
      <c r="D301" s="67" t="str">
        <f>COLORES!B21</f>
        <v/>
      </c>
      <c r="E301" s="100">
        <f>IFERROR(SUMIFS(MOVIMIENTOS!$F$4:$F$1000,MOVIMIENTOS!$C$4:$C$1000,A301,MOVIMIENTOS!$D$4:$D$1000,B301,MOVIMIENTOS!$E$4:$E$1000,C301,MOVIMIENTOS!$B$4:$B$1000,"INGRESO")+SUMIFS(MOVIMIENTOS!$F$4:$F$1000,MOVIMIENTOS!$C$4:$C$1000,A301,MOVIMIENTOS!$D$4:$D$1000,B301,MOVIMIENTOS!$E$4:$E$1000,C301,MOVIMIENTOS!$B$4:$B$1000,"DE REPROCESO")+SUMIFS(MOVIMIENTOS!$F$4:$F$1000,MOVIMIENTOS!$C$4:$C$1000,A301,MOVIMIENTOS!$D$4:$D$1000,B301,MOVIMIENTOS!$E$4:$E$1000,C301,MOVIMIENTOS!$B$4:$B$1000,"AJUSTE+")-SUMIFS(MOVIMIENTOS!$F$4:$F$1000,MOVIMIENTOS!$C$4:$C$1000,A301,MOVIMIENTOS!$D$4:$D$1000,B301,MOVIMIENTOS!$E$4:$E$1000,C301,MOVIMIENTOS!$B$4:$B$1000,"A CORTE")-SUMIFS(MOVIMIENTOS!$F$4:$F$1000,MOVIMIENTOS!$C$4:$C$1000,A301,MOVIMIENTOS!$D$4:$D$1000,B301,MOVIMIENTOS!$E$4:$E$1000,C301,MOVIMIENTOS!$B$4:$B$1000,"A REPROCESO")-SUMIFS(MOVIMIENTOS!$F$4:$F$1000,MOVIMIENTOS!$C$4:$C$1000,A301,MOVIMIENTOS!$D$4:$D$1000,B301,MOVIMIENTOS!$E$4:$E$1000,C301,MOVIMIENTOS!$B$4:$B$1000,"MUESTRA")-SUMIFS(MOVIMIENTOS!$F$4:$F$1000,MOVIMIENTOS!$C$4:$C$1000,A301,MOVIMIENTOS!$D$4:$D$1000,B301,MOVIMIENTOS!$E$4:$E$1000,C301,MOVIMIENTOS!$B$4:$B$1000,"AJUSTE-"),0)</f>
        <v>0</v>
      </c>
      <c r="F301" s="101">
        <f>IFERROR(E301*VLOOKUP(B301,TELAS!$A$4:$C$32,3,FALSE()),0)</f>
        <v>0</v>
      </c>
      <c r="G301" s="102">
        <f>IFERROR(IF(D301="OSCURO",VLOOKUP(B301,PRECIOS!$A$4:$F$32,2,FALSE()),IF(D301="CLARO",VLOOKUP(B301,PRECIOS!$A$4:$F$32,3,FALSE()),IF(D301="MELANGE",VLOOKUP(B301,PRECIOS!$A$4:$F$32,4,FALSE()),IF(D301="PPT",VLOOKUP(B301,PRECIOS!$A$4:$F$32,5,FALSE()),0)))),0)</f>
        <v>0</v>
      </c>
      <c r="H301" s="103">
        <f t="shared" si="1"/>
        <v>0</v>
      </c>
      <c r="I301" s="104" t="str">
        <f>IF(E301&lt;0,"ERROR",IF(E301=0,"",IF(E301&lt;CONFIG!$B$4,"CRÍTICO",IF(E301&lt;CONFIG!$B$5,"BAJO","OK"))))</f>
        <v/>
      </c>
    </row>
    <row r="302" ht="15.75" customHeight="1">
      <c r="A302" s="90" t="str">
        <f>IF(CLIENTES!A6="","",CLIENTES!A6)</f>
        <v/>
      </c>
      <c r="B302" s="67" t="str">
        <f>TELAS!A4</f>
        <v>jersey 30/1</v>
      </c>
      <c r="C302" s="67" t="str">
        <f>COLORES!A22</f>
        <v/>
      </c>
      <c r="D302" s="67" t="str">
        <f>COLORES!B22</f>
        <v/>
      </c>
      <c r="E302" s="100">
        <f>IFERROR(SUMIFS(MOVIMIENTOS!$F$4:$F$1000,MOVIMIENTOS!$C$4:$C$1000,A302,MOVIMIENTOS!$D$4:$D$1000,B302,MOVIMIENTOS!$E$4:$E$1000,C302,MOVIMIENTOS!$B$4:$B$1000,"INGRESO")+SUMIFS(MOVIMIENTOS!$F$4:$F$1000,MOVIMIENTOS!$C$4:$C$1000,A302,MOVIMIENTOS!$D$4:$D$1000,B302,MOVIMIENTOS!$E$4:$E$1000,C302,MOVIMIENTOS!$B$4:$B$1000,"DE REPROCESO")+SUMIFS(MOVIMIENTOS!$F$4:$F$1000,MOVIMIENTOS!$C$4:$C$1000,A302,MOVIMIENTOS!$D$4:$D$1000,B302,MOVIMIENTOS!$E$4:$E$1000,C302,MOVIMIENTOS!$B$4:$B$1000,"AJUSTE+")-SUMIFS(MOVIMIENTOS!$F$4:$F$1000,MOVIMIENTOS!$C$4:$C$1000,A302,MOVIMIENTOS!$D$4:$D$1000,B302,MOVIMIENTOS!$E$4:$E$1000,C302,MOVIMIENTOS!$B$4:$B$1000,"A CORTE")-SUMIFS(MOVIMIENTOS!$F$4:$F$1000,MOVIMIENTOS!$C$4:$C$1000,A302,MOVIMIENTOS!$D$4:$D$1000,B302,MOVIMIENTOS!$E$4:$E$1000,C302,MOVIMIENTOS!$B$4:$B$1000,"A REPROCESO")-SUMIFS(MOVIMIENTOS!$F$4:$F$1000,MOVIMIENTOS!$C$4:$C$1000,A302,MOVIMIENTOS!$D$4:$D$1000,B302,MOVIMIENTOS!$E$4:$E$1000,C302,MOVIMIENTOS!$B$4:$B$1000,"MUESTRA")-SUMIFS(MOVIMIENTOS!$F$4:$F$1000,MOVIMIENTOS!$C$4:$C$1000,A302,MOVIMIENTOS!$D$4:$D$1000,B302,MOVIMIENTOS!$E$4:$E$1000,C302,MOVIMIENTOS!$B$4:$B$1000,"AJUSTE-"),0)</f>
        <v>0</v>
      </c>
      <c r="F302" s="101">
        <f>IFERROR(E302*VLOOKUP(B302,TELAS!$A$4:$C$32,3,FALSE()),0)</f>
        <v>0</v>
      </c>
      <c r="G302" s="102">
        <f>IFERROR(IF(D302="OSCURO",VLOOKUP(B302,PRECIOS!$A$4:$F$32,2,FALSE()),IF(D302="CLARO",VLOOKUP(B302,PRECIOS!$A$4:$F$32,3,FALSE()),IF(D302="MELANGE",VLOOKUP(B302,PRECIOS!$A$4:$F$32,4,FALSE()),IF(D302="PPT",VLOOKUP(B302,PRECIOS!$A$4:$F$32,5,FALSE()),0)))),0)</f>
        <v>0</v>
      </c>
      <c r="H302" s="103">
        <f t="shared" si="1"/>
        <v>0</v>
      </c>
      <c r="I302" s="104" t="str">
        <f>IF(E302&lt;0,"ERROR",IF(E302=0,"",IF(E302&lt;CONFIG!$B$4,"CRÍTICO",IF(E302&lt;CONFIG!$B$5,"BAJO","OK"))))</f>
        <v/>
      </c>
    </row>
    <row r="303" ht="15.75" customHeight="1">
      <c r="A303" s="90" t="str">
        <f>IF(CLIENTES!A6="","",CLIENTES!A6)</f>
        <v/>
      </c>
      <c r="B303" s="67" t="str">
        <f>TELAS!A4</f>
        <v>jersey 30/1</v>
      </c>
      <c r="C303" s="67" t="str">
        <f>COLORES!A23</f>
        <v/>
      </c>
      <c r="D303" s="67" t="str">
        <f>COLORES!B23</f>
        <v/>
      </c>
      <c r="E303" s="100">
        <f>IFERROR(SUMIFS(MOVIMIENTOS!$F$4:$F$1000,MOVIMIENTOS!$C$4:$C$1000,A303,MOVIMIENTOS!$D$4:$D$1000,B303,MOVIMIENTOS!$E$4:$E$1000,C303,MOVIMIENTOS!$B$4:$B$1000,"INGRESO")+SUMIFS(MOVIMIENTOS!$F$4:$F$1000,MOVIMIENTOS!$C$4:$C$1000,A303,MOVIMIENTOS!$D$4:$D$1000,B303,MOVIMIENTOS!$E$4:$E$1000,C303,MOVIMIENTOS!$B$4:$B$1000,"DE REPROCESO")+SUMIFS(MOVIMIENTOS!$F$4:$F$1000,MOVIMIENTOS!$C$4:$C$1000,A303,MOVIMIENTOS!$D$4:$D$1000,B303,MOVIMIENTOS!$E$4:$E$1000,C303,MOVIMIENTOS!$B$4:$B$1000,"AJUSTE+")-SUMIFS(MOVIMIENTOS!$F$4:$F$1000,MOVIMIENTOS!$C$4:$C$1000,A303,MOVIMIENTOS!$D$4:$D$1000,B303,MOVIMIENTOS!$E$4:$E$1000,C303,MOVIMIENTOS!$B$4:$B$1000,"A CORTE")-SUMIFS(MOVIMIENTOS!$F$4:$F$1000,MOVIMIENTOS!$C$4:$C$1000,A303,MOVIMIENTOS!$D$4:$D$1000,B303,MOVIMIENTOS!$E$4:$E$1000,C303,MOVIMIENTOS!$B$4:$B$1000,"A REPROCESO")-SUMIFS(MOVIMIENTOS!$F$4:$F$1000,MOVIMIENTOS!$C$4:$C$1000,A303,MOVIMIENTOS!$D$4:$D$1000,B303,MOVIMIENTOS!$E$4:$E$1000,C303,MOVIMIENTOS!$B$4:$B$1000,"MUESTRA")-SUMIFS(MOVIMIENTOS!$F$4:$F$1000,MOVIMIENTOS!$C$4:$C$1000,A303,MOVIMIENTOS!$D$4:$D$1000,B303,MOVIMIENTOS!$E$4:$E$1000,C303,MOVIMIENTOS!$B$4:$B$1000,"AJUSTE-"),0)</f>
        <v>0</v>
      </c>
      <c r="F303" s="101">
        <f>IFERROR(E303*VLOOKUP(B303,TELAS!$A$4:$C$32,3,FALSE()),0)</f>
        <v>0</v>
      </c>
      <c r="G303" s="102">
        <f>IFERROR(IF(D303="OSCURO",VLOOKUP(B303,PRECIOS!$A$4:$F$32,2,FALSE()),IF(D303="CLARO",VLOOKUP(B303,PRECIOS!$A$4:$F$32,3,FALSE()),IF(D303="MELANGE",VLOOKUP(B303,PRECIOS!$A$4:$F$32,4,FALSE()),IF(D303="PPT",VLOOKUP(B303,PRECIOS!$A$4:$F$32,5,FALSE()),0)))),0)</f>
        <v>0</v>
      </c>
      <c r="H303" s="103">
        <f t="shared" si="1"/>
        <v>0</v>
      </c>
      <c r="I303" s="104" t="str">
        <f>IF(E303&lt;0,"ERROR",IF(E303=0,"",IF(E303&lt;CONFIG!$B$4,"CRÍTICO",IF(E303&lt;CONFIG!$B$5,"BAJO","OK"))))</f>
        <v/>
      </c>
    </row>
    <row r="304" ht="15.75" customHeight="1">
      <c r="A304" s="90" t="str">
        <f>IF(CLIENTES!A6="","",CLIENTES!A6)</f>
        <v/>
      </c>
      <c r="B304" s="67" t="str">
        <f>TELAS!A5</f>
        <v>pique 30/1</v>
      </c>
      <c r="C304" s="67" t="str">
        <f>COLORES!A4</f>
        <v>Negro</v>
      </c>
      <c r="D304" s="67" t="str">
        <f>COLORES!B4</f>
        <v>OSCURO</v>
      </c>
      <c r="E304" s="100">
        <f>IFERROR(SUMIFS(MOVIMIENTOS!$F$4:$F$1000,MOVIMIENTOS!$C$4:$C$1000,A304,MOVIMIENTOS!$D$4:$D$1000,B304,MOVIMIENTOS!$E$4:$E$1000,C304,MOVIMIENTOS!$B$4:$B$1000,"INGRESO")+SUMIFS(MOVIMIENTOS!$F$4:$F$1000,MOVIMIENTOS!$C$4:$C$1000,A304,MOVIMIENTOS!$D$4:$D$1000,B304,MOVIMIENTOS!$E$4:$E$1000,C304,MOVIMIENTOS!$B$4:$B$1000,"DE REPROCESO")+SUMIFS(MOVIMIENTOS!$F$4:$F$1000,MOVIMIENTOS!$C$4:$C$1000,A304,MOVIMIENTOS!$D$4:$D$1000,B304,MOVIMIENTOS!$E$4:$E$1000,C304,MOVIMIENTOS!$B$4:$B$1000,"AJUSTE+")-SUMIFS(MOVIMIENTOS!$F$4:$F$1000,MOVIMIENTOS!$C$4:$C$1000,A304,MOVIMIENTOS!$D$4:$D$1000,B304,MOVIMIENTOS!$E$4:$E$1000,C304,MOVIMIENTOS!$B$4:$B$1000,"A CORTE")-SUMIFS(MOVIMIENTOS!$F$4:$F$1000,MOVIMIENTOS!$C$4:$C$1000,A304,MOVIMIENTOS!$D$4:$D$1000,B304,MOVIMIENTOS!$E$4:$E$1000,C304,MOVIMIENTOS!$B$4:$B$1000,"A REPROCESO")-SUMIFS(MOVIMIENTOS!$F$4:$F$1000,MOVIMIENTOS!$C$4:$C$1000,A304,MOVIMIENTOS!$D$4:$D$1000,B304,MOVIMIENTOS!$E$4:$E$1000,C304,MOVIMIENTOS!$B$4:$B$1000,"MUESTRA")-SUMIFS(MOVIMIENTOS!$F$4:$F$1000,MOVIMIENTOS!$C$4:$C$1000,A304,MOVIMIENTOS!$D$4:$D$1000,B304,MOVIMIENTOS!$E$4:$E$1000,C304,MOVIMIENTOS!$B$4:$B$1000,"AJUSTE-"),0)</f>
        <v>0</v>
      </c>
      <c r="F304" s="101">
        <f>IFERROR(E304*VLOOKUP(B304,TELAS!$A$4:$C$32,3,FALSE()),0)</f>
        <v>0</v>
      </c>
      <c r="G304" s="102">
        <f>IFERROR(IF(D304="OSCURO",VLOOKUP(B304,PRECIOS!$A$4:$F$32,2,FALSE()),IF(D304="CLARO",VLOOKUP(B304,PRECIOS!$A$4:$F$32,3,FALSE()),IF(D304="MELANGE",VLOOKUP(B304,PRECIOS!$A$4:$F$32,4,FALSE()),IF(D304="PPT",VLOOKUP(B304,PRECIOS!$A$4:$F$32,5,FALSE()),0)))),0)</f>
        <v>24</v>
      </c>
      <c r="H304" s="103">
        <f t="shared" si="1"/>
        <v>0</v>
      </c>
      <c r="I304" s="104" t="str">
        <f>IF(E304&lt;0,"ERROR",IF(E304=0,"",IF(E304&lt;CONFIG!$B$4,"CRÍTICO",IF(E304&lt;CONFIG!$B$5,"BAJO","OK"))))</f>
        <v/>
      </c>
    </row>
    <row r="305" ht="15.75" customHeight="1">
      <c r="A305" s="90" t="str">
        <f>IF(CLIENTES!A6="","",CLIENTES!A6)</f>
        <v/>
      </c>
      <c r="B305" s="67" t="str">
        <f>TELAS!A5</f>
        <v>pique 30/1</v>
      </c>
      <c r="C305" s="67" t="str">
        <f>COLORES!A5</f>
        <v>Perla</v>
      </c>
      <c r="D305" s="67" t="str">
        <f>COLORES!B5</f>
        <v>PPT</v>
      </c>
      <c r="E305" s="100">
        <f>IFERROR(SUMIFS(MOVIMIENTOS!$F$4:$F$1000,MOVIMIENTOS!$C$4:$C$1000,A305,MOVIMIENTOS!$D$4:$D$1000,B305,MOVIMIENTOS!$E$4:$E$1000,C305,MOVIMIENTOS!$B$4:$B$1000,"INGRESO")+SUMIFS(MOVIMIENTOS!$F$4:$F$1000,MOVIMIENTOS!$C$4:$C$1000,A305,MOVIMIENTOS!$D$4:$D$1000,B305,MOVIMIENTOS!$E$4:$E$1000,C305,MOVIMIENTOS!$B$4:$B$1000,"DE REPROCESO")+SUMIFS(MOVIMIENTOS!$F$4:$F$1000,MOVIMIENTOS!$C$4:$C$1000,A305,MOVIMIENTOS!$D$4:$D$1000,B305,MOVIMIENTOS!$E$4:$E$1000,C305,MOVIMIENTOS!$B$4:$B$1000,"AJUSTE+")-SUMIFS(MOVIMIENTOS!$F$4:$F$1000,MOVIMIENTOS!$C$4:$C$1000,A305,MOVIMIENTOS!$D$4:$D$1000,B305,MOVIMIENTOS!$E$4:$E$1000,C305,MOVIMIENTOS!$B$4:$B$1000,"A CORTE")-SUMIFS(MOVIMIENTOS!$F$4:$F$1000,MOVIMIENTOS!$C$4:$C$1000,A305,MOVIMIENTOS!$D$4:$D$1000,B305,MOVIMIENTOS!$E$4:$E$1000,C305,MOVIMIENTOS!$B$4:$B$1000,"A REPROCESO")-SUMIFS(MOVIMIENTOS!$F$4:$F$1000,MOVIMIENTOS!$C$4:$C$1000,A305,MOVIMIENTOS!$D$4:$D$1000,B305,MOVIMIENTOS!$E$4:$E$1000,C305,MOVIMIENTOS!$B$4:$B$1000,"MUESTRA")-SUMIFS(MOVIMIENTOS!$F$4:$F$1000,MOVIMIENTOS!$C$4:$C$1000,A305,MOVIMIENTOS!$D$4:$D$1000,B305,MOVIMIENTOS!$E$4:$E$1000,C305,MOVIMIENTOS!$B$4:$B$1000,"AJUSTE-"),0)</f>
        <v>0</v>
      </c>
      <c r="F305" s="101">
        <f>IFERROR(E305*VLOOKUP(B305,TELAS!$A$4:$C$32,3,FALSE()),0)</f>
        <v>0</v>
      </c>
      <c r="G305" s="102">
        <f>IFERROR(IF(D305="OSCURO",VLOOKUP(B305,PRECIOS!$A$4:$F$32,2,FALSE()),IF(D305="CLARO",VLOOKUP(B305,PRECIOS!$A$4:$F$32,3,FALSE()),IF(D305="MELANGE",VLOOKUP(B305,PRECIOS!$A$4:$F$32,4,FALSE()),IF(D305="PPT",VLOOKUP(B305,PRECIOS!$A$4:$F$32,5,FALSE()),0)))),0)</f>
        <v>18</v>
      </c>
      <c r="H305" s="103">
        <f t="shared" si="1"/>
        <v>0</v>
      </c>
      <c r="I305" s="104" t="str">
        <f>IF(E305&lt;0,"ERROR",IF(E305=0,"",IF(E305&lt;CONFIG!$B$4,"CRÍTICO",IF(E305&lt;CONFIG!$B$5,"BAJO","OK"))))</f>
        <v/>
      </c>
    </row>
    <row r="306" ht="15.75" customHeight="1">
      <c r="A306" s="90" t="str">
        <f>IF(CLIENTES!A6="","",CLIENTES!A6)</f>
        <v/>
      </c>
      <c r="B306" s="67" t="str">
        <f>TELAS!A5</f>
        <v>pique 30/1</v>
      </c>
      <c r="C306" s="67" t="str">
        <f>COLORES!A6</f>
        <v>Blanco</v>
      </c>
      <c r="D306" s="67" t="str">
        <f>COLORES!B6</f>
        <v>PPT</v>
      </c>
      <c r="E306" s="100">
        <f>IFERROR(SUMIFS(MOVIMIENTOS!$F$4:$F$1000,MOVIMIENTOS!$C$4:$C$1000,A306,MOVIMIENTOS!$D$4:$D$1000,B306,MOVIMIENTOS!$E$4:$E$1000,C306,MOVIMIENTOS!$B$4:$B$1000,"INGRESO")+SUMIFS(MOVIMIENTOS!$F$4:$F$1000,MOVIMIENTOS!$C$4:$C$1000,A306,MOVIMIENTOS!$D$4:$D$1000,B306,MOVIMIENTOS!$E$4:$E$1000,C306,MOVIMIENTOS!$B$4:$B$1000,"DE REPROCESO")+SUMIFS(MOVIMIENTOS!$F$4:$F$1000,MOVIMIENTOS!$C$4:$C$1000,A306,MOVIMIENTOS!$D$4:$D$1000,B306,MOVIMIENTOS!$E$4:$E$1000,C306,MOVIMIENTOS!$B$4:$B$1000,"AJUSTE+")-SUMIFS(MOVIMIENTOS!$F$4:$F$1000,MOVIMIENTOS!$C$4:$C$1000,A306,MOVIMIENTOS!$D$4:$D$1000,B306,MOVIMIENTOS!$E$4:$E$1000,C306,MOVIMIENTOS!$B$4:$B$1000,"A CORTE")-SUMIFS(MOVIMIENTOS!$F$4:$F$1000,MOVIMIENTOS!$C$4:$C$1000,A306,MOVIMIENTOS!$D$4:$D$1000,B306,MOVIMIENTOS!$E$4:$E$1000,C306,MOVIMIENTOS!$B$4:$B$1000,"A REPROCESO")-SUMIFS(MOVIMIENTOS!$F$4:$F$1000,MOVIMIENTOS!$C$4:$C$1000,A306,MOVIMIENTOS!$D$4:$D$1000,B306,MOVIMIENTOS!$E$4:$E$1000,C306,MOVIMIENTOS!$B$4:$B$1000,"MUESTRA")-SUMIFS(MOVIMIENTOS!$F$4:$F$1000,MOVIMIENTOS!$C$4:$C$1000,A306,MOVIMIENTOS!$D$4:$D$1000,B306,MOVIMIENTOS!$E$4:$E$1000,C306,MOVIMIENTOS!$B$4:$B$1000,"AJUSTE-"),0)</f>
        <v>0</v>
      </c>
      <c r="F306" s="101">
        <f>IFERROR(E306*VLOOKUP(B306,TELAS!$A$4:$C$32,3,FALSE()),0)</f>
        <v>0</v>
      </c>
      <c r="G306" s="102">
        <f>IFERROR(IF(D306="OSCURO",VLOOKUP(B306,PRECIOS!$A$4:$F$32,2,FALSE()),IF(D306="CLARO",VLOOKUP(B306,PRECIOS!$A$4:$F$32,3,FALSE()),IF(D306="MELANGE",VLOOKUP(B306,PRECIOS!$A$4:$F$32,4,FALSE()),IF(D306="PPT",VLOOKUP(B306,PRECIOS!$A$4:$F$32,5,FALSE()),0)))),0)</f>
        <v>18</v>
      </c>
      <c r="H306" s="103">
        <f t="shared" si="1"/>
        <v>0</v>
      </c>
      <c r="I306" s="104" t="str">
        <f>IF(E306&lt;0,"ERROR",IF(E306=0,"",IF(E306&lt;CONFIG!$B$4,"CRÍTICO",IF(E306&lt;CONFIG!$B$5,"BAJO","OK"))))</f>
        <v/>
      </c>
    </row>
    <row r="307" ht="15.75" customHeight="1">
      <c r="A307" s="90" t="str">
        <f>IF(CLIENTES!A6="","",CLIENTES!A6)</f>
        <v/>
      </c>
      <c r="B307" s="67" t="str">
        <f>TELAS!A5</f>
        <v>pique 30/1</v>
      </c>
      <c r="C307" s="67" t="str">
        <f>COLORES!A7</f>
        <v>Azul</v>
      </c>
      <c r="D307" s="67" t="str">
        <f>COLORES!B7</f>
        <v>OSCURO</v>
      </c>
      <c r="E307" s="100">
        <f>IFERROR(SUMIFS(MOVIMIENTOS!$F$4:$F$1000,MOVIMIENTOS!$C$4:$C$1000,A307,MOVIMIENTOS!$D$4:$D$1000,B307,MOVIMIENTOS!$E$4:$E$1000,C307,MOVIMIENTOS!$B$4:$B$1000,"INGRESO")+SUMIFS(MOVIMIENTOS!$F$4:$F$1000,MOVIMIENTOS!$C$4:$C$1000,A307,MOVIMIENTOS!$D$4:$D$1000,B307,MOVIMIENTOS!$E$4:$E$1000,C307,MOVIMIENTOS!$B$4:$B$1000,"DE REPROCESO")+SUMIFS(MOVIMIENTOS!$F$4:$F$1000,MOVIMIENTOS!$C$4:$C$1000,A307,MOVIMIENTOS!$D$4:$D$1000,B307,MOVIMIENTOS!$E$4:$E$1000,C307,MOVIMIENTOS!$B$4:$B$1000,"AJUSTE+")-SUMIFS(MOVIMIENTOS!$F$4:$F$1000,MOVIMIENTOS!$C$4:$C$1000,A307,MOVIMIENTOS!$D$4:$D$1000,B307,MOVIMIENTOS!$E$4:$E$1000,C307,MOVIMIENTOS!$B$4:$B$1000,"A CORTE")-SUMIFS(MOVIMIENTOS!$F$4:$F$1000,MOVIMIENTOS!$C$4:$C$1000,A307,MOVIMIENTOS!$D$4:$D$1000,B307,MOVIMIENTOS!$E$4:$E$1000,C307,MOVIMIENTOS!$B$4:$B$1000,"A REPROCESO")-SUMIFS(MOVIMIENTOS!$F$4:$F$1000,MOVIMIENTOS!$C$4:$C$1000,A307,MOVIMIENTOS!$D$4:$D$1000,B307,MOVIMIENTOS!$E$4:$E$1000,C307,MOVIMIENTOS!$B$4:$B$1000,"MUESTRA")-SUMIFS(MOVIMIENTOS!$F$4:$F$1000,MOVIMIENTOS!$C$4:$C$1000,A307,MOVIMIENTOS!$D$4:$D$1000,B307,MOVIMIENTOS!$E$4:$E$1000,C307,MOVIMIENTOS!$B$4:$B$1000,"AJUSTE-"),0)</f>
        <v>0</v>
      </c>
      <c r="F307" s="101">
        <f>IFERROR(E307*VLOOKUP(B307,TELAS!$A$4:$C$32,3,FALSE()),0)</f>
        <v>0</v>
      </c>
      <c r="G307" s="102">
        <f>IFERROR(IF(D307="OSCURO",VLOOKUP(B307,PRECIOS!$A$4:$F$32,2,FALSE()),IF(D307="CLARO",VLOOKUP(B307,PRECIOS!$A$4:$F$32,3,FALSE()),IF(D307="MELANGE",VLOOKUP(B307,PRECIOS!$A$4:$F$32,4,FALSE()),IF(D307="PPT",VLOOKUP(B307,PRECIOS!$A$4:$F$32,5,FALSE()),0)))),0)</f>
        <v>24</v>
      </c>
      <c r="H307" s="103">
        <f t="shared" si="1"/>
        <v>0</v>
      </c>
      <c r="I307" s="104" t="str">
        <f>IF(E307&lt;0,"ERROR",IF(E307=0,"",IF(E307&lt;CONFIG!$B$4,"CRÍTICO",IF(E307&lt;CONFIG!$B$5,"BAJO","OK"))))</f>
        <v/>
      </c>
    </row>
    <row r="308" ht="15.75" customHeight="1">
      <c r="A308" s="90" t="str">
        <f>IF(CLIENTES!A6="","",CLIENTES!A6)</f>
        <v/>
      </c>
      <c r="B308" s="67" t="str">
        <f>TELAS!A5</f>
        <v>pique 30/1</v>
      </c>
      <c r="C308" s="67" t="str">
        <f>COLORES!A8</f>
        <v>Beige</v>
      </c>
      <c r="D308" s="67" t="str">
        <f>COLORES!B8</f>
        <v>CLARO</v>
      </c>
      <c r="E308" s="100">
        <f>IFERROR(SUMIFS(MOVIMIENTOS!$F$4:$F$1000,MOVIMIENTOS!$C$4:$C$1000,A308,MOVIMIENTOS!$D$4:$D$1000,B308,MOVIMIENTOS!$E$4:$E$1000,C308,MOVIMIENTOS!$B$4:$B$1000,"INGRESO")+SUMIFS(MOVIMIENTOS!$F$4:$F$1000,MOVIMIENTOS!$C$4:$C$1000,A308,MOVIMIENTOS!$D$4:$D$1000,B308,MOVIMIENTOS!$E$4:$E$1000,C308,MOVIMIENTOS!$B$4:$B$1000,"DE REPROCESO")+SUMIFS(MOVIMIENTOS!$F$4:$F$1000,MOVIMIENTOS!$C$4:$C$1000,A308,MOVIMIENTOS!$D$4:$D$1000,B308,MOVIMIENTOS!$E$4:$E$1000,C308,MOVIMIENTOS!$B$4:$B$1000,"AJUSTE+")-SUMIFS(MOVIMIENTOS!$F$4:$F$1000,MOVIMIENTOS!$C$4:$C$1000,A308,MOVIMIENTOS!$D$4:$D$1000,B308,MOVIMIENTOS!$E$4:$E$1000,C308,MOVIMIENTOS!$B$4:$B$1000,"A CORTE")-SUMIFS(MOVIMIENTOS!$F$4:$F$1000,MOVIMIENTOS!$C$4:$C$1000,A308,MOVIMIENTOS!$D$4:$D$1000,B308,MOVIMIENTOS!$E$4:$E$1000,C308,MOVIMIENTOS!$B$4:$B$1000,"A REPROCESO")-SUMIFS(MOVIMIENTOS!$F$4:$F$1000,MOVIMIENTOS!$C$4:$C$1000,A308,MOVIMIENTOS!$D$4:$D$1000,B308,MOVIMIENTOS!$E$4:$E$1000,C308,MOVIMIENTOS!$B$4:$B$1000,"MUESTRA")-SUMIFS(MOVIMIENTOS!$F$4:$F$1000,MOVIMIENTOS!$C$4:$C$1000,A308,MOVIMIENTOS!$D$4:$D$1000,B308,MOVIMIENTOS!$E$4:$E$1000,C308,MOVIMIENTOS!$B$4:$B$1000,"AJUSTE-"),0)</f>
        <v>0</v>
      </c>
      <c r="F308" s="101">
        <f>IFERROR(E308*VLOOKUP(B308,TELAS!$A$4:$C$32,3,FALSE()),0)</f>
        <v>0</v>
      </c>
      <c r="G308" s="102">
        <f>IFERROR(IF(D308="OSCURO",VLOOKUP(B308,PRECIOS!$A$4:$F$32,2,FALSE()),IF(D308="CLARO",VLOOKUP(B308,PRECIOS!$A$4:$F$32,3,FALSE()),IF(D308="MELANGE",VLOOKUP(B308,PRECIOS!$A$4:$F$32,4,FALSE()),IF(D308="PPT",VLOOKUP(B308,PRECIOS!$A$4:$F$32,5,FALSE()),0)))),0)</f>
        <v>21</v>
      </c>
      <c r="H308" s="103">
        <f t="shared" si="1"/>
        <v>0</v>
      </c>
      <c r="I308" s="104" t="str">
        <f>IF(E308&lt;0,"ERROR",IF(E308=0,"",IF(E308&lt;CONFIG!$B$4,"CRÍTICO",IF(E308&lt;CONFIG!$B$5,"BAJO","OK"))))</f>
        <v/>
      </c>
    </row>
    <row r="309" ht="15.75" customHeight="1">
      <c r="A309" s="90" t="str">
        <f>IF(CLIENTES!A6="","",CLIENTES!A6)</f>
        <v/>
      </c>
      <c r="B309" s="67" t="str">
        <f>TELAS!A5</f>
        <v>pique 30/1</v>
      </c>
      <c r="C309" s="67" t="str">
        <f>COLORES!A9</f>
        <v>Melange</v>
      </c>
      <c r="D309" s="67" t="str">
        <f>COLORES!B9</f>
        <v>MELANGE</v>
      </c>
      <c r="E309" s="100">
        <f>IFERROR(SUMIFS(MOVIMIENTOS!$F$4:$F$1000,MOVIMIENTOS!$C$4:$C$1000,A309,MOVIMIENTOS!$D$4:$D$1000,B309,MOVIMIENTOS!$E$4:$E$1000,C309,MOVIMIENTOS!$B$4:$B$1000,"INGRESO")+SUMIFS(MOVIMIENTOS!$F$4:$F$1000,MOVIMIENTOS!$C$4:$C$1000,A309,MOVIMIENTOS!$D$4:$D$1000,B309,MOVIMIENTOS!$E$4:$E$1000,C309,MOVIMIENTOS!$B$4:$B$1000,"DE REPROCESO")+SUMIFS(MOVIMIENTOS!$F$4:$F$1000,MOVIMIENTOS!$C$4:$C$1000,A309,MOVIMIENTOS!$D$4:$D$1000,B309,MOVIMIENTOS!$E$4:$E$1000,C309,MOVIMIENTOS!$B$4:$B$1000,"AJUSTE+")-SUMIFS(MOVIMIENTOS!$F$4:$F$1000,MOVIMIENTOS!$C$4:$C$1000,A309,MOVIMIENTOS!$D$4:$D$1000,B309,MOVIMIENTOS!$E$4:$E$1000,C309,MOVIMIENTOS!$B$4:$B$1000,"A CORTE")-SUMIFS(MOVIMIENTOS!$F$4:$F$1000,MOVIMIENTOS!$C$4:$C$1000,A309,MOVIMIENTOS!$D$4:$D$1000,B309,MOVIMIENTOS!$E$4:$E$1000,C309,MOVIMIENTOS!$B$4:$B$1000,"A REPROCESO")-SUMIFS(MOVIMIENTOS!$F$4:$F$1000,MOVIMIENTOS!$C$4:$C$1000,A309,MOVIMIENTOS!$D$4:$D$1000,B309,MOVIMIENTOS!$E$4:$E$1000,C309,MOVIMIENTOS!$B$4:$B$1000,"MUESTRA")-SUMIFS(MOVIMIENTOS!$F$4:$F$1000,MOVIMIENTOS!$C$4:$C$1000,A309,MOVIMIENTOS!$D$4:$D$1000,B309,MOVIMIENTOS!$E$4:$E$1000,C309,MOVIMIENTOS!$B$4:$B$1000,"AJUSTE-"),0)</f>
        <v>0</v>
      </c>
      <c r="F309" s="101">
        <f>IFERROR(E309*VLOOKUP(B309,TELAS!$A$4:$C$32,3,FALSE()),0)</f>
        <v>0</v>
      </c>
      <c r="G309" s="102">
        <f>IFERROR(IF(D309="OSCURO",VLOOKUP(B309,PRECIOS!$A$4:$F$32,2,FALSE()),IF(D309="CLARO",VLOOKUP(B309,PRECIOS!$A$4:$F$32,3,FALSE()),IF(D309="MELANGE",VLOOKUP(B309,PRECIOS!$A$4:$F$32,4,FALSE()),IF(D309="PPT",VLOOKUP(B309,PRECIOS!$A$4:$F$32,5,FALSE()),0)))),0)</f>
        <v>18</v>
      </c>
      <c r="H309" s="103">
        <f t="shared" si="1"/>
        <v>0</v>
      </c>
      <c r="I309" s="104" t="str">
        <f>IF(E309&lt;0,"ERROR",IF(E309=0,"",IF(E309&lt;CONFIG!$B$4,"CRÍTICO",IF(E309&lt;CONFIG!$B$5,"BAJO","OK"))))</f>
        <v/>
      </c>
    </row>
    <row r="310" ht="15.75" customHeight="1">
      <c r="A310" s="90" t="str">
        <f>IF(CLIENTES!A6="","",CLIENTES!A6)</f>
        <v/>
      </c>
      <c r="B310" s="67" t="str">
        <f>TELAS!A5</f>
        <v>pique 30/1</v>
      </c>
      <c r="C310" s="67" t="str">
        <f>COLORES!A10</f>
        <v>Botella</v>
      </c>
      <c r="D310" s="67" t="str">
        <f>COLORES!B10</f>
        <v>OSCURO</v>
      </c>
      <c r="E310" s="100">
        <f>IFERROR(SUMIFS(MOVIMIENTOS!$F$4:$F$1000,MOVIMIENTOS!$C$4:$C$1000,A310,MOVIMIENTOS!$D$4:$D$1000,B310,MOVIMIENTOS!$E$4:$E$1000,C310,MOVIMIENTOS!$B$4:$B$1000,"INGRESO")+SUMIFS(MOVIMIENTOS!$F$4:$F$1000,MOVIMIENTOS!$C$4:$C$1000,A310,MOVIMIENTOS!$D$4:$D$1000,B310,MOVIMIENTOS!$E$4:$E$1000,C310,MOVIMIENTOS!$B$4:$B$1000,"DE REPROCESO")+SUMIFS(MOVIMIENTOS!$F$4:$F$1000,MOVIMIENTOS!$C$4:$C$1000,A310,MOVIMIENTOS!$D$4:$D$1000,B310,MOVIMIENTOS!$E$4:$E$1000,C310,MOVIMIENTOS!$B$4:$B$1000,"AJUSTE+")-SUMIFS(MOVIMIENTOS!$F$4:$F$1000,MOVIMIENTOS!$C$4:$C$1000,A310,MOVIMIENTOS!$D$4:$D$1000,B310,MOVIMIENTOS!$E$4:$E$1000,C310,MOVIMIENTOS!$B$4:$B$1000,"A CORTE")-SUMIFS(MOVIMIENTOS!$F$4:$F$1000,MOVIMIENTOS!$C$4:$C$1000,A310,MOVIMIENTOS!$D$4:$D$1000,B310,MOVIMIENTOS!$E$4:$E$1000,C310,MOVIMIENTOS!$B$4:$B$1000,"A REPROCESO")-SUMIFS(MOVIMIENTOS!$F$4:$F$1000,MOVIMIENTOS!$C$4:$C$1000,A310,MOVIMIENTOS!$D$4:$D$1000,B310,MOVIMIENTOS!$E$4:$E$1000,C310,MOVIMIENTOS!$B$4:$B$1000,"MUESTRA")-SUMIFS(MOVIMIENTOS!$F$4:$F$1000,MOVIMIENTOS!$C$4:$C$1000,A310,MOVIMIENTOS!$D$4:$D$1000,B310,MOVIMIENTOS!$E$4:$E$1000,C310,MOVIMIENTOS!$B$4:$B$1000,"AJUSTE-"),0)</f>
        <v>0</v>
      </c>
      <c r="F310" s="101">
        <f>IFERROR(E310*VLOOKUP(B310,TELAS!$A$4:$C$32,3,FALSE()),0)</f>
        <v>0</v>
      </c>
      <c r="G310" s="102">
        <f>IFERROR(IF(D310="OSCURO",VLOOKUP(B310,PRECIOS!$A$4:$F$32,2,FALSE()),IF(D310="CLARO",VLOOKUP(B310,PRECIOS!$A$4:$F$32,3,FALSE()),IF(D310="MELANGE",VLOOKUP(B310,PRECIOS!$A$4:$F$32,4,FALSE()),IF(D310="PPT",VLOOKUP(B310,PRECIOS!$A$4:$F$32,5,FALSE()),0)))),0)</f>
        <v>24</v>
      </c>
      <c r="H310" s="103">
        <f t="shared" si="1"/>
        <v>0</v>
      </c>
      <c r="I310" s="104" t="str">
        <f>IF(E310&lt;0,"ERROR",IF(E310=0,"",IF(E310&lt;CONFIG!$B$4,"CRÍTICO",IF(E310&lt;CONFIG!$B$5,"BAJO","OK"))))</f>
        <v/>
      </c>
    </row>
    <row r="311" ht="15.75" customHeight="1">
      <c r="A311" s="90" t="str">
        <f>IF(CLIENTES!A6="","",CLIENTES!A6)</f>
        <v/>
      </c>
      <c r="B311" s="67" t="str">
        <f>TELAS!A5</f>
        <v>pique 30/1</v>
      </c>
      <c r="C311" s="67" t="str">
        <f>COLORES!A11</f>
        <v>Pacay</v>
      </c>
      <c r="D311" s="67" t="str">
        <f>COLORES!B11</f>
        <v>CLARO</v>
      </c>
      <c r="E311" s="100">
        <f>IFERROR(SUMIFS(MOVIMIENTOS!$F$4:$F$1000,MOVIMIENTOS!$C$4:$C$1000,A311,MOVIMIENTOS!$D$4:$D$1000,B311,MOVIMIENTOS!$E$4:$E$1000,C311,MOVIMIENTOS!$B$4:$B$1000,"INGRESO")+SUMIFS(MOVIMIENTOS!$F$4:$F$1000,MOVIMIENTOS!$C$4:$C$1000,A311,MOVIMIENTOS!$D$4:$D$1000,B311,MOVIMIENTOS!$E$4:$E$1000,C311,MOVIMIENTOS!$B$4:$B$1000,"DE REPROCESO")+SUMIFS(MOVIMIENTOS!$F$4:$F$1000,MOVIMIENTOS!$C$4:$C$1000,A311,MOVIMIENTOS!$D$4:$D$1000,B311,MOVIMIENTOS!$E$4:$E$1000,C311,MOVIMIENTOS!$B$4:$B$1000,"AJUSTE+")-SUMIFS(MOVIMIENTOS!$F$4:$F$1000,MOVIMIENTOS!$C$4:$C$1000,A311,MOVIMIENTOS!$D$4:$D$1000,B311,MOVIMIENTOS!$E$4:$E$1000,C311,MOVIMIENTOS!$B$4:$B$1000,"A CORTE")-SUMIFS(MOVIMIENTOS!$F$4:$F$1000,MOVIMIENTOS!$C$4:$C$1000,A311,MOVIMIENTOS!$D$4:$D$1000,B311,MOVIMIENTOS!$E$4:$E$1000,C311,MOVIMIENTOS!$B$4:$B$1000,"A REPROCESO")-SUMIFS(MOVIMIENTOS!$F$4:$F$1000,MOVIMIENTOS!$C$4:$C$1000,A311,MOVIMIENTOS!$D$4:$D$1000,B311,MOVIMIENTOS!$E$4:$E$1000,C311,MOVIMIENTOS!$B$4:$B$1000,"MUESTRA")-SUMIFS(MOVIMIENTOS!$F$4:$F$1000,MOVIMIENTOS!$C$4:$C$1000,A311,MOVIMIENTOS!$D$4:$D$1000,B311,MOVIMIENTOS!$E$4:$E$1000,C311,MOVIMIENTOS!$B$4:$B$1000,"AJUSTE-"),0)</f>
        <v>0</v>
      </c>
      <c r="F311" s="101">
        <f>IFERROR(E311*VLOOKUP(B311,TELAS!$A$4:$C$32,3,FALSE()),0)</f>
        <v>0</v>
      </c>
      <c r="G311" s="102">
        <f>IFERROR(IF(D311="OSCURO",VLOOKUP(B311,PRECIOS!$A$4:$F$32,2,FALSE()),IF(D311="CLARO",VLOOKUP(B311,PRECIOS!$A$4:$F$32,3,FALSE()),IF(D311="MELANGE",VLOOKUP(B311,PRECIOS!$A$4:$F$32,4,FALSE()),IF(D311="PPT",VLOOKUP(B311,PRECIOS!$A$4:$F$32,5,FALSE()),0)))),0)</f>
        <v>21</v>
      </c>
      <c r="H311" s="103">
        <f t="shared" si="1"/>
        <v>0</v>
      </c>
      <c r="I311" s="104" t="str">
        <f>IF(E311&lt;0,"ERROR",IF(E311=0,"",IF(E311&lt;CONFIG!$B$4,"CRÍTICO",IF(E311&lt;CONFIG!$B$5,"BAJO","OK"))))</f>
        <v/>
      </c>
    </row>
    <row r="312" ht="15.75" customHeight="1">
      <c r="A312" s="90" t="str">
        <f>IF(CLIENTES!A6="","",CLIENTES!A6)</f>
        <v/>
      </c>
      <c r="B312" s="67" t="str">
        <f>TELAS!A5</f>
        <v>pique 30/1</v>
      </c>
      <c r="C312" s="67" t="str">
        <f>COLORES!A12</f>
        <v>Cemento</v>
      </c>
      <c r="D312" s="67" t="str">
        <f>COLORES!B12</f>
        <v>CLARO</v>
      </c>
      <c r="E312" s="100">
        <f>IFERROR(SUMIFS(MOVIMIENTOS!$F$4:$F$1000,MOVIMIENTOS!$C$4:$C$1000,A312,MOVIMIENTOS!$D$4:$D$1000,B312,MOVIMIENTOS!$E$4:$E$1000,C312,MOVIMIENTOS!$B$4:$B$1000,"INGRESO")+SUMIFS(MOVIMIENTOS!$F$4:$F$1000,MOVIMIENTOS!$C$4:$C$1000,A312,MOVIMIENTOS!$D$4:$D$1000,B312,MOVIMIENTOS!$E$4:$E$1000,C312,MOVIMIENTOS!$B$4:$B$1000,"DE REPROCESO")+SUMIFS(MOVIMIENTOS!$F$4:$F$1000,MOVIMIENTOS!$C$4:$C$1000,A312,MOVIMIENTOS!$D$4:$D$1000,B312,MOVIMIENTOS!$E$4:$E$1000,C312,MOVIMIENTOS!$B$4:$B$1000,"AJUSTE+")-SUMIFS(MOVIMIENTOS!$F$4:$F$1000,MOVIMIENTOS!$C$4:$C$1000,A312,MOVIMIENTOS!$D$4:$D$1000,B312,MOVIMIENTOS!$E$4:$E$1000,C312,MOVIMIENTOS!$B$4:$B$1000,"A CORTE")-SUMIFS(MOVIMIENTOS!$F$4:$F$1000,MOVIMIENTOS!$C$4:$C$1000,A312,MOVIMIENTOS!$D$4:$D$1000,B312,MOVIMIENTOS!$E$4:$E$1000,C312,MOVIMIENTOS!$B$4:$B$1000,"A REPROCESO")-SUMIFS(MOVIMIENTOS!$F$4:$F$1000,MOVIMIENTOS!$C$4:$C$1000,A312,MOVIMIENTOS!$D$4:$D$1000,B312,MOVIMIENTOS!$E$4:$E$1000,C312,MOVIMIENTOS!$B$4:$B$1000,"MUESTRA")-SUMIFS(MOVIMIENTOS!$F$4:$F$1000,MOVIMIENTOS!$C$4:$C$1000,A312,MOVIMIENTOS!$D$4:$D$1000,B312,MOVIMIENTOS!$E$4:$E$1000,C312,MOVIMIENTOS!$B$4:$B$1000,"AJUSTE-"),0)</f>
        <v>0</v>
      </c>
      <c r="F312" s="101">
        <f>IFERROR(E312*VLOOKUP(B312,TELAS!$A$4:$C$32,3,FALSE()),0)</f>
        <v>0</v>
      </c>
      <c r="G312" s="102">
        <f>IFERROR(IF(D312="OSCURO",VLOOKUP(B312,PRECIOS!$A$4:$F$32,2,FALSE()),IF(D312="CLARO",VLOOKUP(B312,PRECIOS!$A$4:$F$32,3,FALSE()),IF(D312="MELANGE",VLOOKUP(B312,PRECIOS!$A$4:$F$32,4,FALSE()),IF(D312="PPT",VLOOKUP(B312,PRECIOS!$A$4:$F$32,5,FALSE()),0)))),0)</f>
        <v>21</v>
      </c>
      <c r="H312" s="103">
        <f t="shared" si="1"/>
        <v>0</v>
      </c>
      <c r="I312" s="104" t="str">
        <f>IF(E312&lt;0,"ERROR",IF(E312=0,"",IF(E312&lt;CONFIG!$B$4,"CRÍTICO",IF(E312&lt;CONFIG!$B$5,"BAJO","OK"))))</f>
        <v/>
      </c>
    </row>
    <row r="313" ht="15.75" customHeight="1">
      <c r="A313" s="90" t="str">
        <f>IF(CLIENTES!A6="","",CLIENTES!A6)</f>
        <v/>
      </c>
      <c r="B313" s="67" t="str">
        <f>TELAS!A5</f>
        <v>pique 30/1</v>
      </c>
      <c r="C313" s="67" t="str">
        <f>COLORES!A13</f>
        <v>Camote</v>
      </c>
      <c r="D313" s="67" t="str">
        <f>COLORES!B13</f>
        <v>CLARO</v>
      </c>
      <c r="E313" s="100">
        <f>IFERROR(SUMIFS(MOVIMIENTOS!$F$4:$F$1000,MOVIMIENTOS!$C$4:$C$1000,A313,MOVIMIENTOS!$D$4:$D$1000,B313,MOVIMIENTOS!$E$4:$E$1000,C313,MOVIMIENTOS!$B$4:$B$1000,"INGRESO")+SUMIFS(MOVIMIENTOS!$F$4:$F$1000,MOVIMIENTOS!$C$4:$C$1000,A313,MOVIMIENTOS!$D$4:$D$1000,B313,MOVIMIENTOS!$E$4:$E$1000,C313,MOVIMIENTOS!$B$4:$B$1000,"DE REPROCESO")+SUMIFS(MOVIMIENTOS!$F$4:$F$1000,MOVIMIENTOS!$C$4:$C$1000,A313,MOVIMIENTOS!$D$4:$D$1000,B313,MOVIMIENTOS!$E$4:$E$1000,C313,MOVIMIENTOS!$B$4:$B$1000,"AJUSTE+")-SUMIFS(MOVIMIENTOS!$F$4:$F$1000,MOVIMIENTOS!$C$4:$C$1000,A313,MOVIMIENTOS!$D$4:$D$1000,B313,MOVIMIENTOS!$E$4:$E$1000,C313,MOVIMIENTOS!$B$4:$B$1000,"A CORTE")-SUMIFS(MOVIMIENTOS!$F$4:$F$1000,MOVIMIENTOS!$C$4:$C$1000,A313,MOVIMIENTOS!$D$4:$D$1000,B313,MOVIMIENTOS!$E$4:$E$1000,C313,MOVIMIENTOS!$B$4:$B$1000,"A REPROCESO")-SUMIFS(MOVIMIENTOS!$F$4:$F$1000,MOVIMIENTOS!$C$4:$C$1000,A313,MOVIMIENTOS!$D$4:$D$1000,B313,MOVIMIENTOS!$E$4:$E$1000,C313,MOVIMIENTOS!$B$4:$B$1000,"MUESTRA")-SUMIFS(MOVIMIENTOS!$F$4:$F$1000,MOVIMIENTOS!$C$4:$C$1000,A313,MOVIMIENTOS!$D$4:$D$1000,B313,MOVIMIENTOS!$E$4:$E$1000,C313,MOVIMIENTOS!$B$4:$B$1000,"AJUSTE-"),0)</f>
        <v>0</v>
      </c>
      <c r="F313" s="101">
        <f>IFERROR(E313*VLOOKUP(B313,TELAS!$A$4:$C$32,3,FALSE()),0)</f>
        <v>0</v>
      </c>
      <c r="G313" s="102">
        <f>IFERROR(IF(D313="OSCURO",VLOOKUP(B313,PRECIOS!$A$4:$F$32,2,FALSE()),IF(D313="CLARO",VLOOKUP(B313,PRECIOS!$A$4:$F$32,3,FALSE()),IF(D313="MELANGE",VLOOKUP(B313,PRECIOS!$A$4:$F$32,4,FALSE()),IF(D313="PPT",VLOOKUP(B313,PRECIOS!$A$4:$F$32,5,FALSE()),0)))),0)</f>
        <v>21</v>
      </c>
      <c r="H313" s="103">
        <f t="shared" si="1"/>
        <v>0</v>
      </c>
      <c r="I313" s="104" t="str">
        <f>IF(E313&lt;0,"ERROR",IF(E313=0,"",IF(E313&lt;CONFIG!$B$4,"CRÍTICO",IF(E313&lt;CONFIG!$B$5,"BAJO","OK"))))</f>
        <v/>
      </c>
    </row>
    <row r="314" ht="15.75" customHeight="1">
      <c r="A314" s="90" t="str">
        <f>IF(CLIENTES!A6="","",CLIENTES!A6)</f>
        <v/>
      </c>
      <c r="B314" s="67" t="str">
        <f>TELAS!A5</f>
        <v>pique 30/1</v>
      </c>
      <c r="C314" s="67" t="str">
        <f>COLORES!A14</f>
        <v>Denim</v>
      </c>
      <c r="D314" s="67" t="str">
        <f>COLORES!B14</f>
        <v>CLARO</v>
      </c>
      <c r="E314" s="100">
        <f>IFERROR(SUMIFS(MOVIMIENTOS!$F$4:$F$1000,MOVIMIENTOS!$C$4:$C$1000,A314,MOVIMIENTOS!$D$4:$D$1000,B314,MOVIMIENTOS!$E$4:$E$1000,C314,MOVIMIENTOS!$B$4:$B$1000,"INGRESO")+SUMIFS(MOVIMIENTOS!$F$4:$F$1000,MOVIMIENTOS!$C$4:$C$1000,A314,MOVIMIENTOS!$D$4:$D$1000,B314,MOVIMIENTOS!$E$4:$E$1000,C314,MOVIMIENTOS!$B$4:$B$1000,"DE REPROCESO")+SUMIFS(MOVIMIENTOS!$F$4:$F$1000,MOVIMIENTOS!$C$4:$C$1000,A314,MOVIMIENTOS!$D$4:$D$1000,B314,MOVIMIENTOS!$E$4:$E$1000,C314,MOVIMIENTOS!$B$4:$B$1000,"AJUSTE+")-SUMIFS(MOVIMIENTOS!$F$4:$F$1000,MOVIMIENTOS!$C$4:$C$1000,A314,MOVIMIENTOS!$D$4:$D$1000,B314,MOVIMIENTOS!$E$4:$E$1000,C314,MOVIMIENTOS!$B$4:$B$1000,"A CORTE")-SUMIFS(MOVIMIENTOS!$F$4:$F$1000,MOVIMIENTOS!$C$4:$C$1000,A314,MOVIMIENTOS!$D$4:$D$1000,B314,MOVIMIENTOS!$E$4:$E$1000,C314,MOVIMIENTOS!$B$4:$B$1000,"A REPROCESO")-SUMIFS(MOVIMIENTOS!$F$4:$F$1000,MOVIMIENTOS!$C$4:$C$1000,A314,MOVIMIENTOS!$D$4:$D$1000,B314,MOVIMIENTOS!$E$4:$E$1000,C314,MOVIMIENTOS!$B$4:$B$1000,"MUESTRA")-SUMIFS(MOVIMIENTOS!$F$4:$F$1000,MOVIMIENTOS!$C$4:$C$1000,A314,MOVIMIENTOS!$D$4:$D$1000,B314,MOVIMIENTOS!$E$4:$E$1000,C314,MOVIMIENTOS!$B$4:$B$1000,"AJUSTE-"),0)</f>
        <v>0</v>
      </c>
      <c r="F314" s="101">
        <f>IFERROR(E314*VLOOKUP(B314,TELAS!$A$4:$C$32,3,FALSE()),0)</f>
        <v>0</v>
      </c>
      <c r="G314" s="102">
        <f>IFERROR(IF(D314="OSCURO",VLOOKUP(B314,PRECIOS!$A$4:$F$32,2,FALSE()),IF(D314="CLARO",VLOOKUP(B314,PRECIOS!$A$4:$F$32,3,FALSE()),IF(D314="MELANGE",VLOOKUP(B314,PRECIOS!$A$4:$F$32,4,FALSE()),IF(D314="PPT",VLOOKUP(B314,PRECIOS!$A$4:$F$32,5,FALSE()),0)))),0)</f>
        <v>21</v>
      </c>
      <c r="H314" s="103">
        <f t="shared" si="1"/>
        <v>0</v>
      </c>
      <c r="I314" s="104" t="str">
        <f>IF(E314&lt;0,"ERROR",IF(E314=0,"",IF(E314&lt;CONFIG!$B$4,"CRÍTICO",IF(E314&lt;CONFIG!$B$5,"BAJO","OK"))))</f>
        <v/>
      </c>
    </row>
    <row r="315" ht="15.75" customHeight="1">
      <c r="A315" s="90" t="str">
        <f>IF(CLIENTES!A6="","",CLIENTES!A6)</f>
        <v/>
      </c>
      <c r="B315" s="67" t="str">
        <f>TELAS!A5</f>
        <v>pique 30/1</v>
      </c>
      <c r="C315" s="67" t="str">
        <f>COLORES!A15</f>
        <v>Plomo</v>
      </c>
      <c r="D315" s="67" t="str">
        <f>COLORES!B15</f>
        <v>OSCURO</v>
      </c>
      <c r="E315" s="100">
        <f>IFERROR(SUMIFS(MOVIMIENTOS!$F$4:$F$1000,MOVIMIENTOS!$C$4:$C$1000,A315,MOVIMIENTOS!$D$4:$D$1000,B315,MOVIMIENTOS!$E$4:$E$1000,C315,MOVIMIENTOS!$B$4:$B$1000,"INGRESO")+SUMIFS(MOVIMIENTOS!$F$4:$F$1000,MOVIMIENTOS!$C$4:$C$1000,A315,MOVIMIENTOS!$D$4:$D$1000,B315,MOVIMIENTOS!$E$4:$E$1000,C315,MOVIMIENTOS!$B$4:$B$1000,"DE REPROCESO")+SUMIFS(MOVIMIENTOS!$F$4:$F$1000,MOVIMIENTOS!$C$4:$C$1000,A315,MOVIMIENTOS!$D$4:$D$1000,B315,MOVIMIENTOS!$E$4:$E$1000,C315,MOVIMIENTOS!$B$4:$B$1000,"AJUSTE+")-SUMIFS(MOVIMIENTOS!$F$4:$F$1000,MOVIMIENTOS!$C$4:$C$1000,A315,MOVIMIENTOS!$D$4:$D$1000,B315,MOVIMIENTOS!$E$4:$E$1000,C315,MOVIMIENTOS!$B$4:$B$1000,"A CORTE")-SUMIFS(MOVIMIENTOS!$F$4:$F$1000,MOVIMIENTOS!$C$4:$C$1000,A315,MOVIMIENTOS!$D$4:$D$1000,B315,MOVIMIENTOS!$E$4:$E$1000,C315,MOVIMIENTOS!$B$4:$B$1000,"A REPROCESO")-SUMIFS(MOVIMIENTOS!$F$4:$F$1000,MOVIMIENTOS!$C$4:$C$1000,A315,MOVIMIENTOS!$D$4:$D$1000,B315,MOVIMIENTOS!$E$4:$E$1000,C315,MOVIMIENTOS!$B$4:$B$1000,"MUESTRA")-SUMIFS(MOVIMIENTOS!$F$4:$F$1000,MOVIMIENTOS!$C$4:$C$1000,A315,MOVIMIENTOS!$D$4:$D$1000,B315,MOVIMIENTOS!$E$4:$E$1000,C315,MOVIMIENTOS!$B$4:$B$1000,"AJUSTE-"),0)</f>
        <v>0</v>
      </c>
      <c r="F315" s="101">
        <f>IFERROR(E315*VLOOKUP(B315,TELAS!$A$4:$C$32,3,FALSE()),0)</f>
        <v>0</v>
      </c>
      <c r="G315" s="102">
        <f>IFERROR(IF(D315="OSCURO",VLOOKUP(B315,PRECIOS!$A$4:$F$32,2,FALSE()),IF(D315="CLARO",VLOOKUP(B315,PRECIOS!$A$4:$F$32,3,FALSE()),IF(D315="MELANGE",VLOOKUP(B315,PRECIOS!$A$4:$F$32,4,FALSE()),IF(D315="PPT",VLOOKUP(B315,PRECIOS!$A$4:$F$32,5,FALSE()),0)))),0)</f>
        <v>24</v>
      </c>
      <c r="H315" s="103">
        <f t="shared" si="1"/>
        <v>0</v>
      </c>
      <c r="I315" s="104" t="str">
        <f>IF(E315&lt;0,"ERROR",IF(E315=0,"",IF(E315&lt;CONFIG!$B$4,"CRÍTICO",IF(E315&lt;CONFIG!$B$5,"BAJO","OK"))))</f>
        <v/>
      </c>
    </row>
    <row r="316" ht="15.75" customHeight="1">
      <c r="A316" s="90" t="str">
        <f>IF(CLIENTES!A6="","",CLIENTES!A6)</f>
        <v/>
      </c>
      <c r="B316" s="67" t="str">
        <f>TELAS!A5</f>
        <v>pique 30/1</v>
      </c>
      <c r="C316" s="67" t="str">
        <f>COLORES!A16</f>
        <v>Topo</v>
      </c>
      <c r="D316" s="67" t="str">
        <f>COLORES!B16</f>
        <v>CLARO</v>
      </c>
      <c r="E316" s="100">
        <f>IFERROR(SUMIFS(MOVIMIENTOS!$F$4:$F$1000,MOVIMIENTOS!$C$4:$C$1000,A316,MOVIMIENTOS!$D$4:$D$1000,B316,MOVIMIENTOS!$E$4:$E$1000,C316,MOVIMIENTOS!$B$4:$B$1000,"INGRESO")+SUMIFS(MOVIMIENTOS!$F$4:$F$1000,MOVIMIENTOS!$C$4:$C$1000,A316,MOVIMIENTOS!$D$4:$D$1000,B316,MOVIMIENTOS!$E$4:$E$1000,C316,MOVIMIENTOS!$B$4:$B$1000,"DE REPROCESO")+SUMIFS(MOVIMIENTOS!$F$4:$F$1000,MOVIMIENTOS!$C$4:$C$1000,A316,MOVIMIENTOS!$D$4:$D$1000,B316,MOVIMIENTOS!$E$4:$E$1000,C316,MOVIMIENTOS!$B$4:$B$1000,"AJUSTE+")-SUMIFS(MOVIMIENTOS!$F$4:$F$1000,MOVIMIENTOS!$C$4:$C$1000,A316,MOVIMIENTOS!$D$4:$D$1000,B316,MOVIMIENTOS!$E$4:$E$1000,C316,MOVIMIENTOS!$B$4:$B$1000,"A CORTE")-SUMIFS(MOVIMIENTOS!$F$4:$F$1000,MOVIMIENTOS!$C$4:$C$1000,A316,MOVIMIENTOS!$D$4:$D$1000,B316,MOVIMIENTOS!$E$4:$E$1000,C316,MOVIMIENTOS!$B$4:$B$1000,"A REPROCESO")-SUMIFS(MOVIMIENTOS!$F$4:$F$1000,MOVIMIENTOS!$C$4:$C$1000,A316,MOVIMIENTOS!$D$4:$D$1000,B316,MOVIMIENTOS!$E$4:$E$1000,C316,MOVIMIENTOS!$B$4:$B$1000,"MUESTRA")-SUMIFS(MOVIMIENTOS!$F$4:$F$1000,MOVIMIENTOS!$C$4:$C$1000,A316,MOVIMIENTOS!$D$4:$D$1000,B316,MOVIMIENTOS!$E$4:$E$1000,C316,MOVIMIENTOS!$B$4:$B$1000,"AJUSTE-"),0)</f>
        <v>0</v>
      </c>
      <c r="F316" s="101">
        <f>IFERROR(E316*VLOOKUP(B316,TELAS!$A$4:$C$32,3,FALSE()),0)</f>
        <v>0</v>
      </c>
      <c r="G316" s="102">
        <f>IFERROR(IF(D316="OSCURO",VLOOKUP(B316,PRECIOS!$A$4:$F$32,2,FALSE()),IF(D316="CLARO",VLOOKUP(B316,PRECIOS!$A$4:$F$32,3,FALSE()),IF(D316="MELANGE",VLOOKUP(B316,PRECIOS!$A$4:$F$32,4,FALSE()),IF(D316="PPT",VLOOKUP(B316,PRECIOS!$A$4:$F$32,5,FALSE()),0)))),0)</f>
        <v>21</v>
      </c>
      <c r="H316" s="103">
        <f t="shared" si="1"/>
        <v>0</v>
      </c>
      <c r="I316" s="104" t="str">
        <f>IF(E316&lt;0,"ERROR",IF(E316=0,"",IF(E316&lt;CONFIG!$B$4,"CRÍTICO",IF(E316&lt;CONFIG!$B$5,"BAJO","OK"))))</f>
        <v/>
      </c>
    </row>
    <row r="317" ht="15.75" customHeight="1">
      <c r="A317" s="90" t="str">
        <f>IF(CLIENTES!A6="","",CLIENTES!A6)</f>
        <v/>
      </c>
      <c r="B317" s="67" t="str">
        <f>TELAS!A5</f>
        <v>pique 30/1</v>
      </c>
      <c r="C317" s="67" t="str">
        <f>COLORES!A17</f>
        <v>Vino</v>
      </c>
      <c r="D317" s="67" t="str">
        <f>COLORES!B17</f>
        <v>OSCURO</v>
      </c>
      <c r="E317" s="100">
        <f>IFERROR(SUMIFS(MOVIMIENTOS!$F$4:$F$1000,MOVIMIENTOS!$C$4:$C$1000,A317,MOVIMIENTOS!$D$4:$D$1000,B317,MOVIMIENTOS!$E$4:$E$1000,C317,MOVIMIENTOS!$B$4:$B$1000,"INGRESO")+SUMIFS(MOVIMIENTOS!$F$4:$F$1000,MOVIMIENTOS!$C$4:$C$1000,A317,MOVIMIENTOS!$D$4:$D$1000,B317,MOVIMIENTOS!$E$4:$E$1000,C317,MOVIMIENTOS!$B$4:$B$1000,"DE REPROCESO")+SUMIFS(MOVIMIENTOS!$F$4:$F$1000,MOVIMIENTOS!$C$4:$C$1000,A317,MOVIMIENTOS!$D$4:$D$1000,B317,MOVIMIENTOS!$E$4:$E$1000,C317,MOVIMIENTOS!$B$4:$B$1000,"AJUSTE+")-SUMIFS(MOVIMIENTOS!$F$4:$F$1000,MOVIMIENTOS!$C$4:$C$1000,A317,MOVIMIENTOS!$D$4:$D$1000,B317,MOVIMIENTOS!$E$4:$E$1000,C317,MOVIMIENTOS!$B$4:$B$1000,"A CORTE")-SUMIFS(MOVIMIENTOS!$F$4:$F$1000,MOVIMIENTOS!$C$4:$C$1000,A317,MOVIMIENTOS!$D$4:$D$1000,B317,MOVIMIENTOS!$E$4:$E$1000,C317,MOVIMIENTOS!$B$4:$B$1000,"A REPROCESO")-SUMIFS(MOVIMIENTOS!$F$4:$F$1000,MOVIMIENTOS!$C$4:$C$1000,A317,MOVIMIENTOS!$D$4:$D$1000,B317,MOVIMIENTOS!$E$4:$E$1000,C317,MOVIMIENTOS!$B$4:$B$1000,"MUESTRA")-SUMIFS(MOVIMIENTOS!$F$4:$F$1000,MOVIMIENTOS!$C$4:$C$1000,A317,MOVIMIENTOS!$D$4:$D$1000,B317,MOVIMIENTOS!$E$4:$E$1000,C317,MOVIMIENTOS!$B$4:$B$1000,"AJUSTE-"),0)</f>
        <v>0</v>
      </c>
      <c r="F317" s="101">
        <f>IFERROR(E317*VLOOKUP(B317,TELAS!$A$4:$C$32,3,FALSE()),0)</f>
        <v>0</v>
      </c>
      <c r="G317" s="102">
        <f>IFERROR(IF(D317="OSCURO",VLOOKUP(B317,PRECIOS!$A$4:$F$32,2,FALSE()),IF(D317="CLARO",VLOOKUP(B317,PRECIOS!$A$4:$F$32,3,FALSE()),IF(D317="MELANGE",VLOOKUP(B317,PRECIOS!$A$4:$F$32,4,FALSE()),IF(D317="PPT",VLOOKUP(B317,PRECIOS!$A$4:$F$32,5,FALSE()),0)))),0)</f>
        <v>24</v>
      </c>
      <c r="H317" s="103">
        <f t="shared" si="1"/>
        <v>0</v>
      </c>
      <c r="I317" s="104" t="str">
        <f>IF(E317&lt;0,"ERROR",IF(E317=0,"",IF(E317&lt;CONFIG!$B$4,"CRÍTICO",IF(E317&lt;CONFIG!$B$5,"BAJO","OK"))))</f>
        <v/>
      </c>
    </row>
    <row r="318" ht="15.75" customHeight="1">
      <c r="A318" s="90" t="str">
        <f>IF(CLIENTES!A6="","",CLIENTES!A6)</f>
        <v/>
      </c>
      <c r="B318" s="67" t="str">
        <f>TELAS!A5</f>
        <v>pique 30/1</v>
      </c>
      <c r="C318" s="67" t="str">
        <f>COLORES!A18</f>
        <v>P. Rosa</v>
      </c>
      <c r="D318" s="67" t="str">
        <f>COLORES!B18</f>
        <v>CLARO</v>
      </c>
      <c r="E318" s="100">
        <f>IFERROR(SUMIFS(MOVIMIENTOS!$F$4:$F$1000,MOVIMIENTOS!$C$4:$C$1000,A318,MOVIMIENTOS!$D$4:$D$1000,B318,MOVIMIENTOS!$E$4:$E$1000,C318,MOVIMIENTOS!$B$4:$B$1000,"INGRESO")+SUMIFS(MOVIMIENTOS!$F$4:$F$1000,MOVIMIENTOS!$C$4:$C$1000,A318,MOVIMIENTOS!$D$4:$D$1000,B318,MOVIMIENTOS!$E$4:$E$1000,C318,MOVIMIENTOS!$B$4:$B$1000,"DE REPROCESO")+SUMIFS(MOVIMIENTOS!$F$4:$F$1000,MOVIMIENTOS!$C$4:$C$1000,A318,MOVIMIENTOS!$D$4:$D$1000,B318,MOVIMIENTOS!$E$4:$E$1000,C318,MOVIMIENTOS!$B$4:$B$1000,"AJUSTE+")-SUMIFS(MOVIMIENTOS!$F$4:$F$1000,MOVIMIENTOS!$C$4:$C$1000,A318,MOVIMIENTOS!$D$4:$D$1000,B318,MOVIMIENTOS!$E$4:$E$1000,C318,MOVIMIENTOS!$B$4:$B$1000,"A CORTE")-SUMIFS(MOVIMIENTOS!$F$4:$F$1000,MOVIMIENTOS!$C$4:$C$1000,A318,MOVIMIENTOS!$D$4:$D$1000,B318,MOVIMIENTOS!$E$4:$E$1000,C318,MOVIMIENTOS!$B$4:$B$1000,"A REPROCESO")-SUMIFS(MOVIMIENTOS!$F$4:$F$1000,MOVIMIENTOS!$C$4:$C$1000,A318,MOVIMIENTOS!$D$4:$D$1000,B318,MOVIMIENTOS!$E$4:$E$1000,C318,MOVIMIENTOS!$B$4:$B$1000,"MUESTRA")-SUMIFS(MOVIMIENTOS!$F$4:$F$1000,MOVIMIENTOS!$C$4:$C$1000,A318,MOVIMIENTOS!$D$4:$D$1000,B318,MOVIMIENTOS!$E$4:$E$1000,C318,MOVIMIENTOS!$B$4:$B$1000,"AJUSTE-"),0)</f>
        <v>0</v>
      </c>
      <c r="F318" s="101">
        <f>IFERROR(E318*VLOOKUP(B318,TELAS!$A$4:$C$32,3,FALSE()),0)</f>
        <v>0</v>
      </c>
      <c r="G318" s="102">
        <f>IFERROR(IF(D318="OSCURO",VLOOKUP(B318,PRECIOS!$A$4:$F$32,2,FALSE()),IF(D318="CLARO",VLOOKUP(B318,PRECIOS!$A$4:$F$32,3,FALSE()),IF(D318="MELANGE",VLOOKUP(B318,PRECIOS!$A$4:$F$32,4,FALSE()),IF(D318="PPT",VLOOKUP(B318,PRECIOS!$A$4:$F$32,5,FALSE()),0)))),0)</f>
        <v>21</v>
      </c>
      <c r="H318" s="103">
        <f t="shared" si="1"/>
        <v>0</v>
      </c>
      <c r="I318" s="104" t="str">
        <f>IF(E318&lt;0,"ERROR",IF(E318=0,"",IF(E318&lt;CONFIG!$B$4,"CRÍTICO",IF(E318&lt;CONFIG!$B$5,"BAJO","OK"))))</f>
        <v/>
      </c>
    </row>
    <row r="319" ht="15.75" customHeight="1">
      <c r="A319" s="90" t="str">
        <f>IF(CLIENTES!A6="","",CLIENTES!A6)</f>
        <v/>
      </c>
      <c r="B319" s="67" t="str">
        <f>TELAS!A5</f>
        <v>pique 30/1</v>
      </c>
      <c r="C319" s="67" t="str">
        <f>COLORES!A19</f>
        <v/>
      </c>
      <c r="D319" s="67" t="str">
        <f>COLORES!B19</f>
        <v/>
      </c>
      <c r="E319" s="100">
        <f>IFERROR(SUMIFS(MOVIMIENTOS!$F$4:$F$1000,MOVIMIENTOS!$C$4:$C$1000,A319,MOVIMIENTOS!$D$4:$D$1000,B319,MOVIMIENTOS!$E$4:$E$1000,C319,MOVIMIENTOS!$B$4:$B$1000,"INGRESO")+SUMIFS(MOVIMIENTOS!$F$4:$F$1000,MOVIMIENTOS!$C$4:$C$1000,A319,MOVIMIENTOS!$D$4:$D$1000,B319,MOVIMIENTOS!$E$4:$E$1000,C319,MOVIMIENTOS!$B$4:$B$1000,"DE REPROCESO")+SUMIFS(MOVIMIENTOS!$F$4:$F$1000,MOVIMIENTOS!$C$4:$C$1000,A319,MOVIMIENTOS!$D$4:$D$1000,B319,MOVIMIENTOS!$E$4:$E$1000,C319,MOVIMIENTOS!$B$4:$B$1000,"AJUSTE+")-SUMIFS(MOVIMIENTOS!$F$4:$F$1000,MOVIMIENTOS!$C$4:$C$1000,A319,MOVIMIENTOS!$D$4:$D$1000,B319,MOVIMIENTOS!$E$4:$E$1000,C319,MOVIMIENTOS!$B$4:$B$1000,"A CORTE")-SUMIFS(MOVIMIENTOS!$F$4:$F$1000,MOVIMIENTOS!$C$4:$C$1000,A319,MOVIMIENTOS!$D$4:$D$1000,B319,MOVIMIENTOS!$E$4:$E$1000,C319,MOVIMIENTOS!$B$4:$B$1000,"A REPROCESO")-SUMIFS(MOVIMIENTOS!$F$4:$F$1000,MOVIMIENTOS!$C$4:$C$1000,A319,MOVIMIENTOS!$D$4:$D$1000,B319,MOVIMIENTOS!$E$4:$E$1000,C319,MOVIMIENTOS!$B$4:$B$1000,"MUESTRA")-SUMIFS(MOVIMIENTOS!$F$4:$F$1000,MOVIMIENTOS!$C$4:$C$1000,A319,MOVIMIENTOS!$D$4:$D$1000,B319,MOVIMIENTOS!$E$4:$E$1000,C319,MOVIMIENTOS!$B$4:$B$1000,"AJUSTE-"),0)</f>
        <v>0</v>
      </c>
      <c r="F319" s="101">
        <f>IFERROR(E319*VLOOKUP(B319,TELAS!$A$4:$C$32,3,FALSE()),0)</f>
        <v>0</v>
      </c>
      <c r="G319" s="102">
        <f>IFERROR(IF(D319="OSCURO",VLOOKUP(B319,PRECIOS!$A$4:$F$32,2,FALSE()),IF(D319="CLARO",VLOOKUP(B319,PRECIOS!$A$4:$F$32,3,FALSE()),IF(D319="MELANGE",VLOOKUP(B319,PRECIOS!$A$4:$F$32,4,FALSE()),IF(D319="PPT",VLOOKUP(B319,PRECIOS!$A$4:$F$32,5,FALSE()),0)))),0)</f>
        <v>0</v>
      </c>
      <c r="H319" s="103">
        <f t="shared" si="1"/>
        <v>0</v>
      </c>
      <c r="I319" s="104" t="str">
        <f>IF(E319&lt;0,"ERROR",IF(E319=0,"",IF(E319&lt;CONFIG!$B$4,"CRÍTICO",IF(E319&lt;CONFIG!$B$5,"BAJO","OK"))))</f>
        <v/>
      </c>
    </row>
    <row r="320" ht="15.75" customHeight="1">
      <c r="A320" s="90" t="str">
        <f>IF(CLIENTES!A6="","",CLIENTES!A6)</f>
        <v/>
      </c>
      <c r="B320" s="67" t="str">
        <f>TELAS!A5</f>
        <v>pique 30/1</v>
      </c>
      <c r="C320" s="67" t="str">
        <f>COLORES!A20</f>
        <v/>
      </c>
      <c r="D320" s="67" t="str">
        <f>COLORES!B20</f>
        <v/>
      </c>
      <c r="E320" s="100">
        <f>IFERROR(SUMIFS(MOVIMIENTOS!$F$4:$F$1000,MOVIMIENTOS!$C$4:$C$1000,A320,MOVIMIENTOS!$D$4:$D$1000,B320,MOVIMIENTOS!$E$4:$E$1000,C320,MOVIMIENTOS!$B$4:$B$1000,"INGRESO")+SUMIFS(MOVIMIENTOS!$F$4:$F$1000,MOVIMIENTOS!$C$4:$C$1000,A320,MOVIMIENTOS!$D$4:$D$1000,B320,MOVIMIENTOS!$E$4:$E$1000,C320,MOVIMIENTOS!$B$4:$B$1000,"DE REPROCESO")+SUMIFS(MOVIMIENTOS!$F$4:$F$1000,MOVIMIENTOS!$C$4:$C$1000,A320,MOVIMIENTOS!$D$4:$D$1000,B320,MOVIMIENTOS!$E$4:$E$1000,C320,MOVIMIENTOS!$B$4:$B$1000,"AJUSTE+")-SUMIFS(MOVIMIENTOS!$F$4:$F$1000,MOVIMIENTOS!$C$4:$C$1000,A320,MOVIMIENTOS!$D$4:$D$1000,B320,MOVIMIENTOS!$E$4:$E$1000,C320,MOVIMIENTOS!$B$4:$B$1000,"A CORTE")-SUMIFS(MOVIMIENTOS!$F$4:$F$1000,MOVIMIENTOS!$C$4:$C$1000,A320,MOVIMIENTOS!$D$4:$D$1000,B320,MOVIMIENTOS!$E$4:$E$1000,C320,MOVIMIENTOS!$B$4:$B$1000,"A REPROCESO")-SUMIFS(MOVIMIENTOS!$F$4:$F$1000,MOVIMIENTOS!$C$4:$C$1000,A320,MOVIMIENTOS!$D$4:$D$1000,B320,MOVIMIENTOS!$E$4:$E$1000,C320,MOVIMIENTOS!$B$4:$B$1000,"MUESTRA")-SUMIFS(MOVIMIENTOS!$F$4:$F$1000,MOVIMIENTOS!$C$4:$C$1000,A320,MOVIMIENTOS!$D$4:$D$1000,B320,MOVIMIENTOS!$E$4:$E$1000,C320,MOVIMIENTOS!$B$4:$B$1000,"AJUSTE-"),0)</f>
        <v>0</v>
      </c>
      <c r="F320" s="101">
        <f>IFERROR(E320*VLOOKUP(B320,TELAS!$A$4:$C$32,3,FALSE()),0)</f>
        <v>0</v>
      </c>
      <c r="G320" s="102">
        <f>IFERROR(IF(D320="OSCURO",VLOOKUP(B320,PRECIOS!$A$4:$F$32,2,FALSE()),IF(D320="CLARO",VLOOKUP(B320,PRECIOS!$A$4:$F$32,3,FALSE()),IF(D320="MELANGE",VLOOKUP(B320,PRECIOS!$A$4:$F$32,4,FALSE()),IF(D320="PPT",VLOOKUP(B320,PRECIOS!$A$4:$F$32,5,FALSE()),0)))),0)</f>
        <v>0</v>
      </c>
      <c r="H320" s="103">
        <f t="shared" si="1"/>
        <v>0</v>
      </c>
      <c r="I320" s="104" t="str">
        <f>IF(E320&lt;0,"ERROR",IF(E320=0,"",IF(E320&lt;CONFIG!$B$4,"CRÍTICO",IF(E320&lt;CONFIG!$B$5,"BAJO","OK"))))</f>
        <v/>
      </c>
    </row>
    <row r="321" ht="15.75" customHeight="1">
      <c r="A321" s="90" t="str">
        <f>IF(CLIENTES!A6="","",CLIENTES!A6)</f>
        <v/>
      </c>
      <c r="B321" s="67" t="str">
        <f>TELAS!A5</f>
        <v>pique 30/1</v>
      </c>
      <c r="C321" s="67" t="str">
        <f>COLORES!A21</f>
        <v/>
      </c>
      <c r="D321" s="67" t="str">
        <f>COLORES!B21</f>
        <v/>
      </c>
      <c r="E321" s="100">
        <f>IFERROR(SUMIFS(MOVIMIENTOS!$F$4:$F$1000,MOVIMIENTOS!$C$4:$C$1000,A321,MOVIMIENTOS!$D$4:$D$1000,B321,MOVIMIENTOS!$E$4:$E$1000,C321,MOVIMIENTOS!$B$4:$B$1000,"INGRESO")+SUMIFS(MOVIMIENTOS!$F$4:$F$1000,MOVIMIENTOS!$C$4:$C$1000,A321,MOVIMIENTOS!$D$4:$D$1000,B321,MOVIMIENTOS!$E$4:$E$1000,C321,MOVIMIENTOS!$B$4:$B$1000,"DE REPROCESO")+SUMIFS(MOVIMIENTOS!$F$4:$F$1000,MOVIMIENTOS!$C$4:$C$1000,A321,MOVIMIENTOS!$D$4:$D$1000,B321,MOVIMIENTOS!$E$4:$E$1000,C321,MOVIMIENTOS!$B$4:$B$1000,"AJUSTE+")-SUMIFS(MOVIMIENTOS!$F$4:$F$1000,MOVIMIENTOS!$C$4:$C$1000,A321,MOVIMIENTOS!$D$4:$D$1000,B321,MOVIMIENTOS!$E$4:$E$1000,C321,MOVIMIENTOS!$B$4:$B$1000,"A CORTE")-SUMIFS(MOVIMIENTOS!$F$4:$F$1000,MOVIMIENTOS!$C$4:$C$1000,A321,MOVIMIENTOS!$D$4:$D$1000,B321,MOVIMIENTOS!$E$4:$E$1000,C321,MOVIMIENTOS!$B$4:$B$1000,"A REPROCESO")-SUMIFS(MOVIMIENTOS!$F$4:$F$1000,MOVIMIENTOS!$C$4:$C$1000,A321,MOVIMIENTOS!$D$4:$D$1000,B321,MOVIMIENTOS!$E$4:$E$1000,C321,MOVIMIENTOS!$B$4:$B$1000,"MUESTRA")-SUMIFS(MOVIMIENTOS!$F$4:$F$1000,MOVIMIENTOS!$C$4:$C$1000,A321,MOVIMIENTOS!$D$4:$D$1000,B321,MOVIMIENTOS!$E$4:$E$1000,C321,MOVIMIENTOS!$B$4:$B$1000,"AJUSTE-"),0)</f>
        <v>0</v>
      </c>
      <c r="F321" s="101">
        <f>IFERROR(E321*VLOOKUP(B321,TELAS!$A$4:$C$32,3,FALSE()),0)</f>
        <v>0</v>
      </c>
      <c r="G321" s="102">
        <f>IFERROR(IF(D321="OSCURO",VLOOKUP(B321,PRECIOS!$A$4:$F$32,2,FALSE()),IF(D321="CLARO",VLOOKUP(B321,PRECIOS!$A$4:$F$32,3,FALSE()),IF(D321="MELANGE",VLOOKUP(B321,PRECIOS!$A$4:$F$32,4,FALSE()),IF(D321="PPT",VLOOKUP(B321,PRECIOS!$A$4:$F$32,5,FALSE()),0)))),0)</f>
        <v>0</v>
      </c>
      <c r="H321" s="103">
        <f t="shared" si="1"/>
        <v>0</v>
      </c>
      <c r="I321" s="104" t="str">
        <f>IF(E321&lt;0,"ERROR",IF(E321=0,"",IF(E321&lt;CONFIG!$B$4,"CRÍTICO",IF(E321&lt;CONFIG!$B$5,"BAJO","OK"))))</f>
        <v/>
      </c>
    </row>
    <row r="322" ht="15.75" customHeight="1">
      <c r="A322" s="90" t="str">
        <f>IF(CLIENTES!A6="","",CLIENTES!A6)</f>
        <v/>
      </c>
      <c r="B322" s="67" t="str">
        <f>TELAS!A5</f>
        <v>pique 30/1</v>
      </c>
      <c r="C322" s="67" t="str">
        <f>COLORES!A22</f>
        <v/>
      </c>
      <c r="D322" s="67" t="str">
        <f>COLORES!B22</f>
        <v/>
      </c>
      <c r="E322" s="100">
        <f>IFERROR(SUMIFS(MOVIMIENTOS!$F$4:$F$1000,MOVIMIENTOS!$C$4:$C$1000,A322,MOVIMIENTOS!$D$4:$D$1000,B322,MOVIMIENTOS!$E$4:$E$1000,C322,MOVIMIENTOS!$B$4:$B$1000,"INGRESO")+SUMIFS(MOVIMIENTOS!$F$4:$F$1000,MOVIMIENTOS!$C$4:$C$1000,A322,MOVIMIENTOS!$D$4:$D$1000,B322,MOVIMIENTOS!$E$4:$E$1000,C322,MOVIMIENTOS!$B$4:$B$1000,"DE REPROCESO")+SUMIFS(MOVIMIENTOS!$F$4:$F$1000,MOVIMIENTOS!$C$4:$C$1000,A322,MOVIMIENTOS!$D$4:$D$1000,B322,MOVIMIENTOS!$E$4:$E$1000,C322,MOVIMIENTOS!$B$4:$B$1000,"AJUSTE+")-SUMIFS(MOVIMIENTOS!$F$4:$F$1000,MOVIMIENTOS!$C$4:$C$1000,A322,MOVIMIENTOS!$D$4:$D$1000,B322,MOVIMIENTOS!$E$4:$E$1000,C322,MOVIMIENTOS!$B$4:$B$1000,"A CORTE")-SUMIFS(MOVIMIENTOS!$F$4:$F$1000,MOVIMIENTOS!$C$4:$C$1000,A322,MOVIMIENTOS!$D$4:$D$1000,B322,MOVIMIENTOS!$E$4:$E$1000,C322,MOVIMIENTOS!$B$4:$B$1000,"A REPROCESO")-SUMIFS(MOVIMIENTOS!$F$4:$F$1000,MOVIMIENTOS!$C$4:$C$1000,A322,MOVIMIENTOS!$D$4:$D$1000,B322,MOVIMIENTOS!$E$4:$E$1000,C322,MOVIMIENTOS!$B$4:$B$1000,"MUESTRA")-SUMIFS(MOVIMIENTOS!$F$4:$F$1000,MOVIMIENTOS!$C$4:$C$1000,A322,MOVIMIENTOS!$D$4:$D$1000,B322,MOVIMIENTOS!$E$4:$E$1000,C322,MOVIMIENTOS!$B$4:$B$1000,"AJUSTE-"),0)</f>
        <v>0</v>
      </c>
      <c r="F322" s="101">
        <f>IFERROR(E322*VLOOKUP(B322,TELAS!$A$4:$C$32,3,FALSE()),0)</f>
        <v>0</v>
      </c>
      <c r="G322" s="102">
        <f>IFERROR(IF(D322="OSCURO",VLOOKUP(B322,PRECIOS!$A$4:$F$32,2,FALSE()),IF(D322="CLARO",VLOOKUP(B322,PRECIOS!$A$4:$F$32,3,FALSE()),IF(D322="MELANGE",VLOOKUP(B322,PRECIOS!$A$4:$F$32,4,FALSE()),IF(D322="PPT",VLOOKUP(B322,PRECIOS!$A$4:$F$32,5,FALSE()),0)))),0)</f>
        <v>0</v>
      </c>
      <c r="H322" s="103">
        <f t="shared" si="1"/>
        <v>0</v>
      </c>
      <c r="I322" s="104" t="str">
        <f>IF(E322&lt;0,"ERROR",IF(E322=0,"",IF(E322&lt;CONFIG!$B$4,"CRÍTICO",IF(E322&lt;CONFIG!$B$5,"BAJO","OK"))))</f>
        <v/>
      </c>
    </row>
    <row r="323" ht="15.75" customHeight="1">
      <c r="A323" s="90" t="str">
        <f>IF(CLIENTES!A6="","",CLIENTES!A6)</f>
        <v/>
      </c>
      <c r="B323" s="67" t="str">
        <f>TELAS!A5</f>
        <v>pique 30/1</v>
      </c>
      <c r="C323" s="67" t="str">
        <f>COLORES!A23</f>
        <v/>
      </c>
      <c r="D323" s="67" t="str">
        <f>COLORES!B23</f>
        <v/>
      </c>
      <c r="E323" s="100">
        <f>IFERROR(SUMIFS(MOVIMIENTOS!$F$4:$F$1000,MOVIMIENTOS!$C$4:$C$1000,A323,MOVIMIENTOS!$D$4:$D$1000,B323,MOVIMIENTOS!$E$4:$E$1000,C323,MOVIMIENTOS!$B$4:$B$1000,"INGRESO")+SUMIFS(MOVIMIENTOS!$F$4:$F$1000,MOVIMIENTOS!$C$4:$C$1000,A323,MOVIMIENTOS!$D$4:$D$1000,B323,MOVIMIENTOS!$E$4:$E$1000,C323,MOVIMIENTOS!$B$4:$B$1000,"DE REPROCESO")+SUMIFS(MOVIMIENTOS!$F$4:$F$1000,MOVIMIENTOS!$C$4:$C$1000,A323,MOVIMIENTOS!$D$4:$D$1000,B323,MOVIMIENTOS!$E$4:$E$1000,C323,MOVIMIENTOS!$B$4:$B$1000,"AJUSTE+")-SUMIFS(MOVIMIENTOS!$F$4:$F$1000,MOVIMIENTOS!$C$4:$C$1000,A323,MOVIMIENTOS!$D$4:$D$1000,B323,MOVIMIENTOS!$E$4:$E$1000,C323,MOVIMIENTOS!$B$4:$B$1000,"A CORTE")-SUMIFS(MOVIMIENTOS!$F$4:$F$1000,MOVIMIENTOS!$C$4:$C$1000,A323,MOVIMIENTOS!$D$4:$D$1000,B323,MOVIMIENTOS!$E$4:$E$1000,C323,MOVIMIENTOS!$B$4:$B$1000,"A REPROCESO")-SUMIFS(MOVIMIENTOS!$F$4:$F$1000,MOVIMIENTOS!$C$4:$C$1000,A323,MOVIMIENTOS!$D$4:$D$1000,B323,MOVIMIENTOS!$E$4:$E$1000,C323,MOVIMIENTOS!$B$4:$B$1000,"MUESTRA")-SUMIFS(MOVIMIENTOS!$F$4:$F$1000,MOVIMIENTOS!$C$4:$C$1000,A323,MOVIMIENTOS!$D$4:$D$1000,B323,MOVIMIENTOS!$E$4:$E$1000,C323,MOVIMIENTOS!$B$4:$B$1000,"AJUSTE-"),0)</f>
        <v>0</v>
      </c>
      <c r="F323" s="101">
        <f>IFERROR(E323*VLOOKUP(B323,TELAS!$A$4:$C$32,3,FALSE()),0)</f>
        <v>0</v>
      </c>
      <c r="G323" s="102">
        <f>IFERROR(IF(D323="OSCURO",VLOOKUP(B323,PRECIOS!$A$4:$F$32,2,FALSE()),IF(D323="CLARO",VLOOKUP(B323,PRECIOS!$A$4:$F$32,3,FALSE()),IF(D323="MELANGE",VLOOKUP(B323,PRECIOS!$A$4:$F$32,4,FALSE()),IF(D323="PPT",VLOOKUP(B323,PRECIOS!$A$4:$F$32,5,FALSE()),0)))),0)</f>
        <v>0</v>
      </c>
      <c r="H323" s="103">
        <f t="shared" si="1"/>
        <v>0</v>
      </c>
      <c r="I323" s="104" t="str">
        <f>IF(E323&lt;0,"ERROR",IF(E323=0,"",IF(E323&lt;CONFIG!$B$4,"CRÍTICO",IF(E323&lt;CONFIG!$B$5,"BAJO","OK"))))</f>
        <v/>
      </c>
    </row>
    <row r="324" ht="15.75" customHeight="1">
      <c r="A324" s="90" t="str">
        <f>IF(CLIENTES!A6="","",CLIENTES!A6)</f>
        <v/>
      </c>
      <c r="B324" s="67" t="str">
        <f>TELAS!A6</f>
        <v>wafle 30/1</v>
      </c>
      <c r="C324" s="67" t="str">
        <f>COLORES!A4</f>
        <v>Negro</v>
      </c>
      <c r="D324" s="67" t="str">
        <f>COLORES!B4</f>
        <v>OSCURO</v>
      </c>
      <c r="E324" s="100">
        <f>IFERROR(SUMIFS(MOVIMIENTOS!$F$4:$F$1000,MOVIMIENTOS!$C$4:$C$1000,A324,MOVIMIENTOS!$D$4:$D$1000,B324,MOVIMIENTOS!$E$4:$E$1000,C324,MOVIMIENTOS!$B$4:$B$1000,"INGRESO")+SUMIFS(MOVIMIENTOS!$F$4:$F$1000,MOVIMIENTOS!$C$4:$C$1000,A324,MOVIMIENTOS!$D$4:$D$1000,B324,MOVIMIENTOS!$E$4:$E$1000,C324,MOVIMIENTOS!$B$4:$B$1000,"DE REPROCESO")+SUMIFS(MOVIMIENTOS!$F$4:$F$1000,MOVIMIENTOS!$C$4:$C$1000,A324,MOVIMIENTOS!$D$4:$D$1000,B324,MOVIMIENTOS!$E$4:$E$1000,C324,MOVIMIENTOS!$B$4:$B$1000,"AJUSTE+")-SUMIFS(MOVIMIENTOS!$F$4:$F$1000,MOVIMIENTOS!$C$4:$C$1000,A324,MOVIMIENTOS!$D$4:$D$1000,B324,MOVIMIENTOS!$E$4:$E$1000,C324,MOVIMIENTOS!$B$4:$B$1000,"A CORTE")-SUMIFS(MOVIMIENTOS!$F$4:$F$1000,MOVIMIENTOS!$C$4:$C$1000,A324,MOVIMIENTOS!$D$4:$D$1000,B324,MOVIMIENTOS!$E$4:$E$1000,C324,MOVIMIENTOS!$B$4:$B$1000,"A REPROCESO")-SUMIFS(MOVIMIENTOS!$F$4:$F$1000,MOVIMIENTOS!$C$4:$C$1000,A324,MOVIMIENTOS!$D$4:$D$1000,B324,MOVIMIENTOS!$E$4:$E$1000,C324,MOVIMIENTOS!$B$4:$B$1000,"MUESTRA")-SUMIFS(MOVIMIENTOS!$F$4:$F$1000,MOVIMIENTOS!$C$4:$C$1000,A324,MOVIMIENTOS!$D$4:$D$1000,B324,MOVIMIENTOS!$E$4:$E$1000,C324,MOVIMIENTOS!$B$4:$B$1000,"AJUSTE-"),0)</f>
        <v>0</v>
      </c>
      <c r="F324" s="101">
        <f>IFERROR(E324*VLOOKUP(B324,TELAS!$A$4:$C$32,3,FALSE()),0)</f>
        <v>0</v>
      </c>
      <c r="G324" s="102">
        <f>IFERROR(IF(D324="OSCURO",VLOOKUP(B324,PRECIOS!$A$4:$F$32,2,FALSE()),IF(D324="CLARO",VLOOKUP(B324,PRECIOS!$A$4:$F$32,3,FALSE()),IF(D324="MELANGE",VLOOKUP(B324,PRECIOS!$A$4:$F$32,4,FALSE()),IF(D324="PPT",VLOOKUP(B324,PRECIOS!$A$4:$F$32,5,FALSE()),0)))),0)</f>
        <v>26</v>
      </c>
      <c r="H324" s="103">
        <f t="shared" si="1"/>
        <v>0</v>
      </c>
      <c r="I324" s="104" t="str">
        <f>IF(E324&lt;0,"ERROR",IF(E324=0,"",IF(E324&lt;CONFIG!$B$4,"CRÍTICO",IF(E324&lt;CONFIG!$B$5,"BAJO","OK"))))</f>
        <v/>
      </c>
    </row>
    <row r="325" ht="15.75" customHeight="1">
      <c r="A325" s="90" t="str">
        <f>IF(CLIENTES!A6="","",CLIENTES!A6)</f>
        <v/>
      </c>
      <c r="B325" s="67" t="str">
        <f>TELAS!A6</f>
        <v>wafle 30/1</v>
      </c>
      <c r="C325" s="67" t="str">
        <f>COLORES!A5</f>
        <v>Perla</v>
      </c>
      <c r="D325" s="67" t="str">
        <f>COLORES!B5</f>
        <v>PPT</v>
      </c>
      <c r="E325" s="100">
        <f>IFERROR(SUMIFS(MOVIMIENTOS!$F$4:$F$1000,MOVIMIENTOS!$C$4:$C$1000,A325,MOVIMIENTOS!$D$4:$D$1000,B325,MOVIMIENTOS!$E$4:$E$1000,C325,MOVIMIENTOS!$B$4:$B$1000,"INGRESO")+SUMIFS(MOVIMIENTOS!$F$4:$F$1000,MOVIMIENTOS!$C$4:$C$1000,A325,MOVIMIENTOS!$D$4:$D$1000,B325,MOVIMIENTOS!$E$4:$E$1000,C325,MOVIMIENTOS!$B$4:$B$1000,"DE REPROCESO")+SUMIFS(MOVIMIENTOS!$F$4:$F$1000,MOVIMIENTOS!$C$4:$C$1000,A325,MOVIMIENTOS!$D$4:$D$1000,B325,MOVIMIENTOS!$E$4:$E$1000,C325,MOVIMIENTOS!$B$4:$B$1000,"AJUSTE+")-SUMIFS(MOVIMIENTOS!$F$4:$F$1000,MOVIMIENTOS!$C$4:$C$1000,A325,MOVIMIENTOS!$D$4:$D$1000,B325,MOVIMIENTOS!$E$4:$E$1000,C325,MOVIMIENTOS!$B$4:$B$1000,"A CORTE")-SUMIFS(MOVIMIENTOS!$F$4:$F$1000,MOVIMIENTOS!$C$4:$C$1000,A325,MOVIMIENTOS!$D$4:$D$1000,B325,MOVIMIENTOS!$E$4:$E$1000,C325,MOVIMIENTOS!$B$4:$B$1000,"A REPROCESO")-SUMIFS(MOVIMIENTOS!$F$4:$F$1000,MOVIMIENTOS!$C$4:$C$1000,A325,MOVIMIENTOS!$D$4:$D$1000,B325,MOVIMIENTOS!$E$4:$E$1000,C325,MOVIMIENTOS!$B$4:$B$1000,"MUESTRA")-SUMIFS(MOVIMIENTOS!$F$4:$F$1000,MOVIMIENTOS!$C$4:$C$1000,A325,MOVIMIENTOS!$D$4:$D$1000,B325,MOVIMIENTOS!$E$4:$E$1000,C325,MOVIMIENTOS!$B$4:$B$1000,"AJUSTE-"),0)</f>
        <v>0</v>
      </c>
      <c r="F325" s="101">
        <f>IFERROR(E325*VLOOKUP(B325,TELAS!$A$4:$C$32,3,FALSE()),0)</f>
        <v>0</v>
      </c>
      <c r="G325" s="102">
        <f>IFERROR(IF(D325="OSCURO",VLOOKUP(B325,PRECIOS!$A$4:$F$32,2,FALSE()),IF(D325="CLARO",VLOOKUP(B325,PRECIOS!$A$4:$F$32,3,FALSE()),IF(D325="MELANGE",VLOOKUP(B325,PRECIOS!$A$4:$F$32,4,FALSE()),IF(D325="PPT",VLOOKUP(B325,PRECIOS!$A$4:$F$32,5,FALSE()),0)))),0)</f>
        <v>19</v>
      </c>
      <c r="H325" s="103">
        <f t="shared" si="1"/>
        <v>0</v>
      </c>
      <c r="I325" s="104" t="str">
        <f>IF(E325&lt;0,"ERROR",IF(E325=0,"",IF(E325&lt;CONFIG!$B$4,"CRÍTICO",IF(E325&lt;CONFIG!$B$5,"BAJO","OK"))))</f>
        <v/>
      </c>
    </row>
    <row r="326" ht="15.75" customHeight="1">
      <c r="A326" s="90" t="str">
        <f>IF(CLIENTES!A6="","",CLIENTES!A6)</f>
        <v/>
      </c>
      <c r="B326" s="67" t="str">
        <f>TELAS!A6</f>
        <v>wafle 30/1</v>
      </c>
      <c r="C326" s="67" t="str">
        <f>COLORES!A6</f>
        <v>Blanco</v>
      </c>
      <c r="D326" s="67" t="str">
        <f>COLORES!B6</f>
        <v>PPT</v>
      </c>
      <c r="E326" s="100">
        <f>IFERROR(SUMIFS(MOVIMIENTOS!$F$4:$F$1000,MOVIMIENTOS!$C$4:$C$1000,A326,MOVIMIENTOS!$D$4:$D$1000,B326,MOVIMIENTOS!$E$4:$E$1000,C326,MOVIMIENTOS!$B$4:$B$1000,"INGRESO")+SUMIFS(MOVIMIENTOS!$F$4:$F$1000,MOVIMIENTOS!$C$4:$C$1000,A326,MOVIMIENTOS!$D$4:$D$1000,B326,MOVIMIENTOS!$E$4:$E$1000,C326,MOVIMIENTOS!$B$4:$B$1000,"DE REPROCESO")+SUMIFS(MOVIMIENTOS!$F$4:$F$1000,MOVIMIENTOS!$C$4:$C$1000,A326,MOVIMIENTOS!$D$4:$D$1000,B326,MOVIMIENTOS!$E$4:$E$1000,C326,MOVIMIENTOS!$B$4:$B$1000,"AJUSTE+")-SUMIFS(MOVIMIENTOS!$F$4:$F$1000,MOVIMIENTOS!$C$4:$C$1000,A326,MOVIMIENTOS!$D$4:$D$1000,B326,MOVIMIENTOS!$E$4:$E$1000,C326,MOVIMIENTOS!$B$4:$B$1000,"A CORTE")-SUMIFS(MOVIMIENTOS!$F$4:$F$1000,MOVIMIENTOS!$C$4:$C$1000,A326,MOVIMIENTOS!$D$4:$D$1000,B326,MOVIMIENTOS!$E$4:$E$1000,C326,MOVIMIENTOS!$B$4:$B$1000,"A REPROCESO")-SUMIFS(MOVIMIENTOS!$F$4:$F$1000,MOVIMIENTOS!$C$4:$C$1000,A326,MOVIMIENTOS!$D$4:$D$1000,B326,MOVIMIENTOS!$E$4:$E$1000,C326,MOVIMIENTOS!$B$4:$B$1000,"MUESTRA")-SUMIFS(MOVIMIENTOS!$F$4:$F$1000,MOVIMIENTOS!$C$4:$C$1000,A326,MOVIMIENTOS!$D$4:$D$1000,B326,MOVIMIENTOS!$E$4:$E$1000,C326,MOVIMIENTOS!$B$4:$B$1000,"AJUSTE-"),0)</f>
        <v>0</v>
      </c>
      <c r="F326" s="101">
        <f>IFERROR(E326*VLOOKUP(B326,TELAS!$A$4:$C$32,3,FALSE()),0)</f>
        <v>0</v>
      </c>
      <c r="G326" s="102">
        <f>IFERROR(IF(D326="OSCURO",VLOOKUP(B326,PRECIOS!$A$4:$F$32,2,FALSE()),IF(D326="CLARO",VLOOKUP(B326,PRECIOS!$A$4:$F$32,3,FALSE()),IF(D326="MELANGE",VLOOKUP(B326,PRECIOS!$A$4:$F$32,4,FALSE()),IF(D326="PPT",VLOOKUP(B326,PRECIOS!$A$4:$F$32,5,FALSE()),0)))),0)</f>
        <v>19</v>
      </c>
      <c r="H326" s="103">
        <f t="shared" si="1"/>
        <v>0</v>
      </c>
      <c r="I326" s="104" t="str">
        <f>IF(E326&lt;0,"ERROR",IF(E326=0,"",IF(E326&lt;CONFIG!$B$4,"CRÍTICO",IF(E326&lt;CONFIG!$B$5,"BAJO","OK"))))</f>
        <v/>
      </c>
    </row>
    <row r="327" ht="15.75" customHeight="1">
      <c r="A327" s="90" t="str">
        <f>IF(CLIENTES!A6="","",CLIENTES!A6)</f>
        <v/>
      </c>
      <c r="B327" s="67" t="str">
        <f>TELAS!A6</f>
        <v>wafle 30/1</v>
      </c>
      <c r="C327" s="67" t="str">
        <f>COLORES!A7</f>
        <v>Azul</v>
      </c>
      <c r="D327" s="67" t="str">
        <f>COLORES!B7</f>
        <v>OSCURO</v>
      </c>
      <c r="E327" s="100">
        <f>IFERROR(SUMIFS(MOVIMIENTOS!$F$4:$F$1000,MOVIMIENTOS!$C$4:$C$1000,A327,MOVIMIENTOS!$D$4:$D$1000,B327,MOVIMIENTOS!$E$4:$E$1000,C327,MOVIMIENTOS!$B$4:$B$1000,"INGRESO")+SUMIFS(MOVIMIENTOS!$F$4:$F$1000,MOVIMIENTOS!$C$4:$C$1000,A327,MOVIMIENTOS!$D$4:$D$1000,B327,MOVIMIENTOS!$E$4:$E$1000,C327,MOVIMIENTOS!$B$4:$B$1000,"DE REPROCESO")+SUMIFS(MOVIMIENTOS!$F$4:$F$1000,MOVIMIENTOS!$C$4:$C$1000,A327,MOVIMIENTOS!$D$4:$D$1000,B327,MOVIMIENTOS!$E$4:$E$1000,C327,MOVIMIENTOS!$B$4:$B$1000,"AJUSTE+")-SUMIFS(MOVIMIENTOS!$F$4:$F$1000,MOVIMIENTOS!$C$4:$C$1000,A327,MOVIMIENTOS!$D$4:$D$1000,B327,MOVIMIENTOS!$E$4:$E$1000,C327,MOVIMIENTOS!$B$4:$B$1000,"A CORTE")-SUMIFS(MOVIMIENTOS!$F$4:$F$1000,MOVIMIENTOS!$C$4:$C$1000,A327,MOVIMIENTOS!$D$4:$D$1000,B327,MOVIMIENTOS!$E$4:$E$1000,C327,MOVIMIENTOS!$B$4:$B$1000,"A REPROCESO")-SUMIFS(MOVIMIENTOS!$F$4:$F$1000,MOVIMIENTOS!$C$4:$C$1000,A327,MOVIMIENTOS!$D$4:$D$1000,B327,MOVIMIENTOS!$E$4:$E$1000,C327,MOVIMIENTOS!$B$4:$B$1000,"MUESTRA")-SUMIFS(MOVIMIENTOS!$F$4:$F$1000,MOVIMIENTOS!$C$4:$C$1000,A327,MOVIMIENTOS!$D$4:$D$1000,B327,MOVIMIENTOS!$E$4:$E$1000,C327,MOVIMIENTOS!$B$4:$B$1000,"AJUSTE-"),0)</f>
        <v>0</v>
      </c>
      <c r="F327" s="101">
        <f>IFERROR(E327*VLOOKUP(B327,TELAS!$A$4:$C$32,3,FALSE()),0)</f>
        <v>0</v>
      </c>
      <c r="G327" s="102">
        <f>IFERROR(IF(D327="OSCURO",VLOOKUP(B327,PRECIOS!$A$4:$F$32,2,FALSE()),IF(D327="CLARO",VLOOKUP(B327,PRECIOS!$A$4:$F$32,3,FALSE()),IF(D327="MELANGE",VLOOKUP(B327,PRECIOS!$A$4:$F$32,4,FALSE()),IF(D327="PPT",VLOOKUP(B327,PRECIOS!$A$4:$F$32,5,FALSE()),0)))),0)</f>
        <v>26</v>
      </c>
      <c r="H327" s="103">
        <f t="shared" si="1"/>
        <v>0</v>
      </c>
      <c r="I327" s="104" t="str">
        <f>IF(E327&lt;0,"ERROR",IF(E327=0,"",IF(E327&lt;CONFIG!$B$4,"CRÍTICO",IF(E327&lt;CONFIG!$B$5,"BAJO","OK"))))</f>
        <v/>
      </c>
    </row>
    <row r="328" ht="15.75" customHeight="1">
      <c r="A328" s="90" t="str">
        <f>IF(CLIENTES!A6="","",CLIENTES!A6)</f>
        <v/>
      </c>
      <c r="B328" s="67" t="str">
        <f>TELAS!A6</f>
        <v>wafle 30/1</v>
      </c>
      <c r="C328" s="67" t="str">
        <f>COLORES!A8</f>
        <v>Beige</v>
      </c>
      <c r="D328" s="67" t="str">
        <f>COLORES!B8</f>
        <v>CLARO</v>
      </c>
      <c r="E328" s="100">
        <f>IFERROR(SUMIFS(MOVIMIENTOS!$F$4:$F$1000,MOVIMIENTOS!$C$4:$C$1000,A328,MOVIMIENTOS!$D$4:$D$1000,B328,MOVIMIENTOS!$E$4:$E$1000,C328,MOVIMIENTOS!$B$4:$B$1000,"INGRESO")+SUMIFS(MOVIMIENTOS!$F$4:$F$1000,MOVIMIENTOS!$C$4:$C$1000,A328,MOVIMIENTOS!$D$4:$D$1000,B328,MOVIMIENTOS!$E$4:$E$1000,C328,MOVIMIENTOS!$B$4:$B$1000,"DE REPROCESO")+SUMIFS(MOVIMIENTOS!$F$4:$F$1000,MOVIMIENTOS!$C$4:$C$1000,A328,MOVIMIENTOS!$D$4:$D$1000,B328,MOVIMIENTOS!$E$4:$E$1000,C328,MOVIMIENTOS!$B$4:$B$1000,"AJUSTE+")-SUMIFS(MOVIMIENTOS!$F$4:$F$1000,MOVIMIENTOS!$C$4:$C$1000,A328,MOVIMIENTOS!$D$4:$D$1000,B328,MOVIMIENTOS!$E$4:$E$1000,C328,MOVIMIENTOS!$B$4:$B$1000,"A CORTE")-SUMIFS(MOVIMIENTOS!$F$4:$F$1000,MOVIMIENTOS!$C$4:$C$1000,A328,MOVIMIENTOS!$D$4:$D$1000,B328,MOVIMIENTOS!$E$4:$E$1000,C328,MOVIMIENTOS!$B$4:$B$1000,"A REPROCESO")-SUMIFS(MOVIMIENTOS!$F$4:$F$1000,MOVIMIENTOS!$C$4:$C$1000,A328,MOVIMIENTOS!$D$4:$D$1000,B328,MOVIMIENTOS!$E$4:$E$1000,C328,MOVIMIENTOS!$B$4:$B$1000,"MUESTRA")-SUMIFS(MOVIMIENTOS!$F$4:$F$1000,MOVIMIENTOS!$C$4:$C$1000,A328,MOVIMIENTOS!$D$4:$D$1000,B328,MOVIMIENTOS!$E$4:$E$1000,C328,MOVIMIENTOS!$B$4:$B$1000,"AJUSTE-"),0)</f>
        <v>0</v>
      </c>
      <c r="F328" s="101">
        <f>IFERROR(E328*VLOOKUP(B328,TELAS!$A$4:$C$32,3,FALSE()),0)</f>
        <v>0</v>
      </c>
      <c r="G328" s="102">
        <f>IFERROR(IF(D328="OSCURO",VLOOKUP(B328,PRECIOS!$A$4:$F$32,2,FALSE()),IF(D328="CLARO",VLOOKUP(B328,PRECIOS!$A$4:$F$32,3,FALSE()),IF(D328="MELANGE",VLOOKUP(B328,PRECIOS!$A$4:$F$32,4,FALSE()),IF(D328="PPT",VLOOKUP(B328,PRECIOS!$A$4:$F$32,5,FALSE()),0)))),0)</f>
        <v>22.5</v>
      </c>
      <c r="H328" s="103">
        <f t="shared" si="1"/>
        <v>0</v>
      </c>
      <c r="I328" s="104" t="str">
        <f>IF(E328&lt;0,"ERROR",IF(E328=0,"",IF(E328&lt;CONFIG!$B$4,"CRÍTICO",IF(E328&lt;CONFIG!$B$5,"BAJO","OK"))))</f>
        <v/>
      </c>
    </row>
    <row r="329" ht="15.75" customHeight="1">
      <c r="A329" s="90" t="str">
        <f>IF(CLIENTES!A6="","",CLIENTES!A6)</f>
        <v/>
      </c>
      <c r="B329" s="67" t="str">
        <f>TELAS!A6</f>
        <v>wafle 30/1</v>
      </c>
      <c r="C329" s="67" t="str">
        <f>COLORES!A9</f>
        <v>Melange</v>
      </c>
      <c r="D329" s="67" t="str">
        <f>COLORES!B9</f>
        <v>MELANGE</v>
      </c>
      <c r="E329" s="100">
        <f>IFERROR(SUMIFS(MOVIMIENTOS!$F$4:$F$1000,MOVIMIENTOS!$C$4:$C$1000,A329,MOVIMIENTOS!$D$4:$D$1000,B329,MOVIMIENTOS!$E$4:$E$1000,C329,MOVIMIENTOS!$B$4:$B$1000,"INGRESO")+SUMIFS(MOVIMIENTOS!$F$4:$F$1000,MOVIMIENTOS!$C$4:$C$1000,A329,MOVIMIENTOS!$D$4:$D$1000,B329,MOVIMIENTOS!$E$4:$E$1000,C329,MOVIMIENTOS!$B$4:$B$1000,"DE REPROCESO")+SUMIFS(MOVIMIENTOS!$F$4:$F$1000,MOVIMIENTOS!$C$4:$C$1000,A329,MOVIMIENTOS!$D$4:$D$1000,B329,MOVIMIENTOS!$E$4:$E$1000,C329,MOVIMIENTOS!$B$4:$B$1000,"AJUSTE+")-SUMIFS(MOVIMIENTOS!$F$4:$F$1000,MOVIMIENTOS!$C$4:$C$1000,A329,MOVIMIENTOS!$D$4:$D$1000,B329,MOVIMIENTOS!$E$4:$E$1000,C329,MOVIMIENTOS!$B$4:$B$1000,"A CORTE")-SUMIFS(MOVIMIENTOS!$F$4:$F$1000,MOVIMIENTOS!$C$4:$C$1000,A329,MOVIMIENTOS!$D$4:$D$1000,B329,MOVIMIENTOS!$E$4:$E$1000,C329,MOVIMIENTOS!$B$4:$B$1000,"A REPROCESO")-SUMIFS(MOVIMIENTOS!$F$4:$F$1000,MOVIMIENTOS!$C$4:$C$1000,A329,MOVIMIENTOS!$D$4:$D$1000,B329,MOVIMIENTOS!$E$4:$E$1000,C329,MOVIMIENTOS!$B$4:$B$1000,"MUESTRA")-SUMIFS(MOVIMIENTOS!$F$4:$F$1000,MOVIMIENTOS!$C$4:$C$1000,A329,MOVIMIENTOS!$D$4:$D$1000,B329,MOVIMIENTOS!$E$4:$E$1000,C329,MOVIMIENTOS!$B$4:$B$1000,"AJUSTE-"),0)</f>
        <v>0</v>
      </c>
      <c r="F329" s="101">
        <f>IFERROR(E329*VLOOKUP(B329,TELAS!$A$4:$C$32,3,FALSE()),0)</f>
        <v>0</v>
      </c>
      <c r="G329" s="102">
        <f>IFERROR(IF(D329="OSCURO",VLOOKUP(B329,PRECIOS!$A$4:$F$32,2,FALSE()),IF(D329="CLARO",VLOOKUP(B329,PRECIOS!$A$4:$F$32,3,FALSE()),IF(D329="MELANGE",VLOOKUP(B329,PRECIOS!$A$4:$F$32,4,FALSE()),IF(D329="PPT",VLOOKUP(B329,PRECIOS!$A$4:$F$32,5,FALSE()),0)))),0)</f>
        <v>19</v>
      </c>
      <c r="H329" s="103">
        <f t="shared" si="1"/>
        <v>0</v>
      </c>
      <c r="I329" s="104" t="str">
        <f>IF(E329&lt;0,"ERROR",IF(E329=0,"",IF(E329&lt;CONFIG!$B$4,"CRÍTICO",IF(E329&lt;CONFIG!$B$5,"BAJO","OK"))))</f>
        <v/>
      </c>
    </row>
    <row r="330" ht="15.75" customHeight="1">
      <c r="A330" s="90" t="str">
        <f>IF(CLIENTES!A6="","",CLIENTES!A6)</f>
        <v/>
      </c>
      <c r="B330" s="67" t="str">
        <f>TELAS!A6</f>
        <v>wafle 30/1</v>
      </c>
      <c r="C330" s="67" t="str">
        <f>COLORES!A10</f>
        <v>Botella</v>
      </c>
      <c r="D330" s="67" t="str">
        <f>COLORES!B10</f>
        <v>OSCURO</v>
      </c>
      <c r="E330" s="100">
        <f>IFERROR(SUMIFS(MOVIMIENTOS!$F$4:$F$1000,MOVIMIENTOS!$C$4:$C$1000,A330,MOVIMIENTOS!$D$4:$D$1000,B330,MOVIMIENTOS!$E$4:$E$1000,C330,MOVIMIENTOS!$B$4:$B$1000,"INGRESO")+SUMIFS(MOVIMIENTOS!$F$4:$F$1000,MOVIMIENTOS!$C$4:$C$1000,A330,MOVIMIENTOS!$D$4:$D$1000,B330,MOVIMIENTOS!$E$4:$E$1000,C330,MOVIMIENTOS!$B$4:$B$1000,"DE REPROCESO")+SUMIFS(MOVIMIENTOS!$F$4:$F$1000,MOVIMIENTOS!$C$4:$C$1000,A330,MOVIMIENTOS!$D$4:$D$1000,B330,MOVIMIENTOS!$E$4:$E$1000,C330,MOVIMIENTOS!$B$4:$B$1000,"AJUSTE+")-SUMIFS(MOVIMIENTOS!$F$4:$F$1000,MOVIMIENTOS!$C$4:$C$1000,A330,MOVIMIENTOS!$D$4:$D$1000,B330,MOVIMIENTOS!$E$4:$E$1000,C330,MOVIMIENTOS!$B$4:$B$1000,"A CORTE")-SUMIFS(MOVIMIENTOS!$F$4:$F$1000,MOVIMIENTOS!$C$4:$C$1000,A330,MOVIMIENTOS!$D$4:$D$1000,B330,MOVIMIENTOS!$E$4:$E$1000,C330,MOVIMIENTOS!$B$4:$B$1000,"A REPROCESO")-SUMIFS(MOVIMIENTOS!$F$4:$F$1000,MOVIMIENTOS!$C$4:$C$1000,A330,MOVIMIENTOS!$D$4:$D$1000,B330,MOVIMIENTOS!$E$4:$E$1000,C330,MOVIMIENTOS!$B$4:$B$1000,"MUESTRA")-SUMIFS(MOVIMIENTOS!$F$4:$F$1000,MOVIMIENTOS!$C$4:$C$1000,A330,MOVIMIENTOS!$D$4:$D$1000,B330,MOVIMIENTOS!$E$4:$E$1000,C330,MOVIMIENTOS!$B$4:$B$1000,"AJUSTE-"),0)</f>
        <v>0</v>
      </c>
      <c r="F330" s="101">
        <f>IFERROR(E330*VLOOKUP(B330,TELAS!$A$4:$C$32,3,FALSE()),0)</f>
        <v>0</v>
      </c>
      <c r="G330" s="102">
        <f>IFERROR(IF(D330="OSCURO",VLOOKUP(B330,PRECIOS!$A$4:$F$32,2,FALSE()),IF(D330="CLARO",VLOOKUP(B330,PRECIOS!$A$4:$F$32,3,FALSE()),IF(D330="MELANGE",VLOOKUP(B330,PRECIOS!$A$4:$F$32,4,FALSE()),IF(D330="PPT",VLOOKUP(B330,PRECIOS!$A$4:$F$32,5,FALSE()),0)))),0)</f>
        <v>26</v>
      </c>
      <c r="H330" s="103">
        <f t="shared" si="1"/>
        <v>0</v>
      </c>
      <c r="I330" s="104" t="str">
        <f>IF(E330&lt;0,"ERROR",IF(E330=0,"",IF(E330&lt;CONFIG!$B$4,"CRÍTICO",IF(E330&lt;CONFIG!$B$5,"BAJO","OK"))))</f>
        <v/>
      </c>
    </row>
    <row r="331" ht="15.75" customHeight="1">
      <c r="A331" s="90" t="str">
        <f>IF(CLIENTES!A6="","",CLIENTES!A6)</f>
        <v/>
      </c>
      <c r="B331" s="67" t="str">
        <f>TELAS!A6</f>
        <v>wafle 30/1</v>
      </c>
      <c r="C331" s="67" t="str">
        <f>COLORES!A11</f>
        <v>Pacay</v>
      </c>
      <c r="D331" s="67" t="str">
        <f>COLORES!B11</f>
        <v>CLARO</v>
      </c>
      <c r="E331" s="100">
        <f>IFERROR(SUMIFS(MOVIMIENTOS!$F$4:$F$1000,MOVIMIENTOS!$C$4:$C$1000,A331,MOVIMIENTOS!$D$4:$D$1000,B331,MOVIMIENTOS!$E$4:$E$1000,C331,MOVIMIENTOS!$B$4:$B$1000,"INGRESO")+SUMIFS(MOVIMIENTOS!$F$4:$F$1000,MOVIMIENTOS!$C$4:$C$1000,A331,MOVIMIENTOS!$D$4:$D$1000,B331,MOVIMIENTOS!$E$4:$E$1000,C331,MOVIMIENTOS!$B$4:$B$1000,"DE REPROCESO")+SUMIFS(MOVIMIENTOS!$F$4:$F$1000,MOVIMIENTOS!$C$4:$C$1000,A331,MOVIMIENTOS!$D$4:$D$1000,B331,MOVIMIENTOS!$E$4:$E$1000,C331,MOVIMIENTOS!$B$4:$B$1000,"AJUSTE+")-SUMIFS(MOVIMIENTOS!$F$4:$F$1000,MOVIMIENTOS!$C$4:$C$1000,A331,MOVIMIENTOS!$D$4:$D$1000,B331,MOVIMIENTOS!$E$4:$E$1000,C331,MOVIMIENTOS!$B$4:$B$1000,"A CORTE")-SUMIFS(MOVIMIENTOS!$F$4:$F$1000,MOVIMIENTOS!$C$4:$C$1000,A331,MOVIMIENTOS!$D$4:$D$1000,B331,MOVIMIENTOS!$E$4:$E$1000,C331,MOVIMIENTOS!$B$4:$B$1000,"A REPROCESO")-SUMIFS(MOVIMIENTOS!$F$4:$F$1000,MOVIMIENTOS!$C$4:$C$1000,A331,MOVIMIENTOS!$D$4:$D$1000,B331,MOVIMIENTOS!$E$4:$E$1000,C331,MOVIMIENTOS!$B$4:$B$1000,"MUESTRA")-SUMIFS(MOVIMIENTOS!$F$4:$F$1000,MOVIMIENTOS!$C$4:$C$1000,A331,MOVIMIENTOS!$D$4:$D$1000,B331,MOVIMIENTOS!$E$4:$E$1000,C331,MOVIMIENTOS!$B$4:$B$1000,"AJUSTE-"),0)</f>
        <v>0</v>
      </c>
      <c r="F331" s="101">
        <f>IFERROR(E331*VLOOKUP(B331,TELAS!$A$4:$C$32,3,FALSE()),0)</f>
        <v>0</v>
      </c>
      <c r="G331" s="102">
        <f>IFERROR(IF(D331="OSCURO",VLOOKUP(B331,PRECIOS!$A$4:$F$32,2,FALSE()),IF(D331="CLARO",VLOOKUP(B331,PRECIOS!$A$4:$F$32,3,FALSE()),IF(D331="MELANGE",VLOOKUP(B331,PRECIOS!$A$4:$F$32,4,FALSE()),IF(D331="PPT",VLOOKUP(B331,PRECIOS!$A$4:$F$32,5,FALSE()),0)))),0)</f>
        <v>22.5</v>
      </c>
      <c r="H331" s="103">
        <f t="shared" si="1"/>
        <v>0</v>
      </c>
      <c r="I331" s="104" t="str">
        <f>IF(E331&lt;0,"ERROR",IF(E331=0,"",IF(E331&lt;CONFIG!$B$4,"CRÍTICO",IF(E331&lt;CONFIG!$B$5,"BAJO","OK"))))</f>
        <v/>
      </c>
    </row>
    <row r="332" ht="15.75" customHeight="1">
      <c r="A332" s="90" t="str">
        <f>IF(CLIENTES!A6="","",CLIENTES!A6)</f>
        <v/>
      </c>
      <c r="B332" s="67" t="str">
        <f>TELAS!A6</f>
        <v>wafle 30/1</v>
      </c>
      <c r="C332" s="67" t="str">
        <f>COLORES!A12</f>
        <v>Cemento</v>
      </c>
      <c r="D332" s="67" t="str">
        <f>COLORES!B12</f>
        <v>CLARO</v>
      </c>
      <c r="E332" s="100">
        <f>IFERROR(SUMIFS(MOVIMIENTOS!$F$4:$F$1000,MOVIMIENTOS!$C$4:$C$1000,A332,MOVIMIENTOS!$D$4:$D$1000,B332,MOVIMIENTOS!$E$4:$E$1000,C332,MOVIMIENTOS!$B$4:$B$1000,"INGRESO")+SUMIFS(MOVIMIENTOS!$F$4:$F$1000,MOVIMIENTOS!$C$4:$C$1000,A332,MOVIMIENTOS!$D$4:$D$1000,B332,MOVIMIENTOS!$E$4:$E$1000,C332,MOVIMIENTOS!$B$4:$B$1000,"DE REPROCESO")+SUMIFS(MOVIMIENTOS!$F$4:$F$1000,MOVIMIENTOS!$C$4:$C$1000,A332,MOVIMIENTOS!$D$4:$D$1000,B332,MOVIMIENTOS!$E$4:$E$1000,C332,MOVIMIENTOS!$B$4:$B$1000,"AJUSTE+")-SUMIFS(MOVIMIENTOS!$F$4:$F$1000,MOVIMIENTOS!$C$4:$C$1000,A332,MOVIMIENTOS!$D$4:$D$1000,B332,MOVIMIENTOS!$E$4:$E$1000,C332,MOVIMIENTOS!$B$4:$B$1000,"A CORTE")-SUMIFS(MOVIMIENTOS!$F$4:$F$1000,MOVIMIENTOS!$C$4:$C$1000,A332,MOVIMIENTOS!$D$4:$D$1000,B332,MOVIMIENTOS!$E$4:$E$1000,C332,MOVIMIENTOS!$B$4:$B$1000,"A REPROCESO")-SUMIFS(MOVIMIENTOS!$F$4:$F$1000,MOVIMIENTOS!$C$4:$C$1000,A332,MOVIMIENTOS!$D$4:$D$1000,B332,MOVIMIENTOS!$E$4:$E$1000,C332,MOVIMIENTOS!$B$4:$B$1000,"MUESTRA")-SUMIFS(MOVIMIENTOS!$F$4:$F$1000,MOVIMIENTOS!$C$4:$C$1000,A332,MOVIMIENTOS!$D$4:$D$1000,B332,MOVIMIENTOS!$E$4:$E$1000,C332,MOVIMIENTOS!$B$4:$B$1000,"AJUSTE-"),0)</f>
        <v>0</v>
      </c>
      <c r="F332" s="101">
        <f>IFERROR(E332*VLOOKUP(B332,TELAS!$A$4:$C$32,3,FALSE()),0)</f>
        <v>0</v>
      </c>
      <c r="G332" s="102">
        <f>IFERROR(IF(D332="OSCURO",VLOOKUP(B332,PRECIOS!$A$4:$F$32,2,FALSE()),IF(D332="CLARO",VLOOKUP(B332,PRECIOS!$A$4:$F$32,3,FALSE()),IF(D332="MELANGE",VLOOKUP(B332,PRECIOS!$A$4:$F$32,4,FALSE()),IF(D332="PPT",VLOOKUP(B332,PRECIOS!$A$4:$F$32,5,FALSE()),0)))),0)</f>
        <v>22.5</v>
      </c>
      <c r="H332" s="103">
        <f t="shared" si="1"/>
        <v>0</v>
      </c>
      <c r="I332" s="104" t="str">
        <f>IF(E332&lt;0,"ERROR",IF(E332=0,"",IF(E332&lt;CONFIG!$B$4,"CRÍTICO",IF(E332&lt;CONFIG!$B$5,"BAJO","OK"))))</f>
        <v/>
      </c>
    </row>
    <row r="333" ht="15.75" customHeight="1">
      <c r="A333" s="90" t="str">
        <f>IF(CLIENTES!A6="","",CLIENTES!A6)</f>
        <v/>
      </c>
      <c r="B333" s="67" t="str">
        <f>TELAS!A6</f>
        <v>wafle 30/1</v>
      </c>
      <c r="C333" s="67" t="str">
        <f>COLORES!A13</f>
        <v>Camote</v>
      </c>
      <c r="D333" s="67" t="str">
        <f>COLORES!B13</f>
        <v>CLARO</v>
      </c>
      <c r="E333" s="100">
        <f>IFERROR(SUMIFS(MOVIMIENTOS!$F$4:$F$1000,MOVIMIENTOS!$C$4:$C$1000,A333,MOVIMIENTOS!$D$4:$D$1000,B333,MOVIMIENTOS!$E$4:$E$1000,C333,MOVIMIENTOS!$B$4:$B$1000,"INGRESO")+SUMIFS(MOVIMIENTOS!$F$4:$F$1000,MOVIMIENTOS!$C$4:$C$1000,A333,MOVIMIENTOS!$D$4:$D$1000,B333,MOVIMIENTOS!$E$4:$E$1000,C333,MOVIMIENTOS!$B$4:$B$1000,"DE REPROCESO")+SUMIFS(MOVIMIENTOS!$F$4:$F$1000,MOVIMIENTOS!$C$4:$C$1000,A333,MOVIMIENTOS!$D$4:$D$1000,B333,MOVIMIENTOS!$E$4:$E$1000,C333,MOVIMIENTOS!$B$4:$B$1000,"AJUSTE+")-SUMIFS(MOVIMIENTOS!$F$4:$F$1000,MOVIMIENTOS!$C$4:$C$1000,A333,MOVIMIENTOS!$D$4:$D$1000,B333,MOVIMIENTOS!$E$4:$E$1000,C333,MOVIMIENTOS!$B$4:$B$1000,"A CORTE")-SUMIFS(MOVIMIENTOS!$F$4:$F$1000,MOVIMIENTOS!$C$4:$C$1000,A333,MOVIMIENTOS!$D$4:$D$1000,B333,MOVIMIENTOS!$E$4:$E$1000,C333,MOVIMIENTOS!$B$4:$B$1000,"A REPROCESO")-SUMIFS(MOVIMIENTOS!$F$4:$F$1000,MOVIMIENTOS!$C$4:$C$1000,A333,MOVIMIENTOS!$D$4:$D$1000,B333,MOVIMIENTOS!$E$4:$E$1000,C333,MOVIMIENTOS!$B$4:$B$1000,"MUESTRA")-SUMIFS(MOVIMIENTOS!$F$4:$F$1000,MOVIMIENTOS!$C$4:$C$1000,A333,MOVIMIENTOS!$D$4:$D$1000,B333,MOVIMIENTOS!$E$4:$E$1000,C333,MOVIMIENTOS!$B$4:$B$1000,"AJUSTE-"),0)</f>
        <v>0</v>
      </c>
      <c r="F333" s="101">
        <f>IFERROR(E333*VLOOKUP(B333,TELAS!$A$4:$C$32,3,FALSE()),0)</f>
        <v>0</v>
      </c>
      <c r="G333" s="102">
        <f>IFERROR(IF(D333="OSCURO",VLOOKUP(B333,PRECIOS!$A$4:$F$32,2,FALSE()),IF(D333="CLARO",VLOOKUP(B333,PRECIOS!$A$4:$F$32,3,FALSE()),IF(D333="MELANGE",VLOOKUP(B333,PRECIOS!$A$4:$F$32,4,FALSE()),IF(D333="PPT",VLOOKUP(B333,PRECIOS!$A$4:$F$32,5,FALSE()),0)))),0)</f>
        <v>22.5</v>
      </c>
      <c r="H333" s="103">
        <f t="shared" si="1"/>
        <v>0</v>
      </c>
      <c r="I333" s="104" t="str">
        <f>IF(E333&lt;0,"ERROR",IF(E333=0,"",IF(E333&lt;CONFIG!$B$4,"CRÍTICO",IF(E333&lt;CONFIG!$B$5,"BAJO","OK"))))</f>
        <v/>
      </c>
    </row>
    <row r="334" ht="15.75" customHeight="1">
      <c r="A334" s="90" t="str">
        <f>IF(CLIENTES!A6="","",CLIENTES!A6)</f>
        <v/>
      </c>
      <c r="B334" s="67" t="str">
        <f>TELAS!A6</f>
        <v>wafle 30/1</v>
      </c>
      <c r="C334" s="67" t="str">
        <f>COLORES!A14</f>
        <v>Denim</v>
      </c>
      <c r="D334" s="67" t="str">
        <f>COLORES!B14</f>
        <v>CLARO</v>
      </c>
      <c r="E334" s="100">
        <f>IFERROR(SUMIFS(MOVIMIENTOS!$F$4:$F$1000,MOVIMIENTOS!$C$4:$C$1000,A334,MOVIMIENTOS!$D$4:$D$1000,B334,MOVIMIENTOS!$E$4:$E$1000,C334,MOVIMIENTOS!$B$4:$B$1000,"INGRESO")+SUMIFS(MOVIMIENTOS!$F$4:$F$1000,MOVIMIENTOS!$C$4:$C$1000,A334,MOVIMIENTOS!$D$4:$D$1000,B334,MOVIMIENTOS!$E$4:$E$1000,C334,MOVIMIENTOS!$B$4:$B$1000,"DE REPROCESO")+SUMIFS(MOVIMIENTOS!$F$4:$F$1000,MOVIMIENTOS!$C$4:$C$1000,A334,MOVIMIENTOS!$D$4:$D$1000,B334,MOVIMIENTOS!$E$4:$E$1000,C334,MOVIMIENTOS!$B$4:$B$1000,"AJUSTE+")-SUMIFS(MOVIMIENTOS!$F$4:$F$1000,MOVIMIENTOS!$C$4:$C$1000,A334,MOVIMIENTOS!$D$4:$D$1000,B334,MOVIMIENTOS!$E$4:$E$1000,C334,MOVIMIENTOS!$B$4:$B$1000,"A CORTE")-SUMIFS(MOVIMIENTOS!$F$4:$F$1000,MOVIMIENTOS!$C$4:$C$1000,A334,MOVIMIENTOS!$D$4:$D$1000,B334,MOVIMIENTOS!$E$4:$E$1000,C334,MOVIMIENTOS!$B$4:$B$1000,"A REPROCESO")-SUMIFS(MOVIMIENTOS!$F$4:$F$1000,MOVIMIENTOS!$C$4:$C$1000,A334,MOVIMIENTOS!$D$4:$D$1000,B334,MOVIMIENTOS!$E$4:$E$1000,C334,MOVIMIENTOS!$B$4:$B$1000,"MUESTRA")-SUMIFS(MOVIMIENTOS!$F$4:$F$1000,MOVIMIENTOS!$C$4:$C$1000,A334,MOVIMIENTOS!$D$4:$D$1000,B334,MOVIMIENTOS!$E$4:$E$1000,C334,MOVIMIENTOS!$B$4:$B$1000,"AJUSTE-"),0)</f>
        <v>0</v>
      </c>
      <c r="F334" s="101">
        <f>IFERROR(E334*VLOOKUP(B334,TELAS!$A$4:$C$32,3,FALSE()),0)</f>
        <v>0</v>
      </c>
      <c r="G334" s="102">
        <f>IFERROR(IF(D334="OSCURO",VLOOKUP(B334,PRECIOS!$A$4:$F$32,2,FALSE()),IF(D334="CLARO",VLOOKUP(B334,PRECIOS!$A$4:$F$32,3,FALSE()),IF(D334="MELANGE",VLOOKUP(B334,PRECIOS!$A$4:$F$32,4,FALSE()),IF(D334="PPT",VLOOKUP(B334,PRECIOS!$A$4:$F$32,5,FALSE()),0)))),0)</f>
        <v>22.5</v>
      </c>
      <c r="H334" s="103">
        <f t="shared" si="1"/>
        <v>0</v>
      </c>
      <c r="I334" s="104" t="str">
        <f>IF(E334&lt;0,"ERROR",IF(E334=0,"",IF(E334&lt;CONFIG!$B$4,"CRÍTICO",IF(E334&lt;CONFIG!$B$5,"BAJO","OK"))))</f>
        <v/>
      </c>
    </row>
    <row r="335" ht="15.75" customHeight="1">
      <c r="A335" s="90" t="str">
        <f>IF(CLIENTES!A6="","",CLIENTES!A6)</f>
        <v/>
      </c>
      <c r="B335" s="67" t="str">
        <f>TELAS!A6</f>
        <v>wafle 30/1</v>
      </c>
      <c r="C335" s="67" t="str">
        <f>COLORES!A15</f>
        <v>Plomo</v>
      </c>
      <c r="D335" s="67" t="str">
        <f>COLORES!B15</f>
        <v>OSCURO</v>
      </c>
      <c r="E335" s="100">
        <f>IFERROR(SUMIFS(MOVIMIENTOS!$F$4:$F$1000,MOVIMIENTOS!$C$4:$C$1000,A335,MOVIMIENTOS!$D$4:$D$1000,B335,MOVIMIENTOS!$E$4:$E$1000,C335,MOVIMIENTOS!$B$4:$B$1000,"INGRESO")+SUMIFS(MOVIMIENTOS!$F$4:$F$1000,MOVIMIENTOS!$C$4:$C$1000,A335,MOVIMIENTOS!$D$4:$D$1000,B335,MOVIMIENTOS!$E$4:$E$1000,C335,MOVIMIENTOS!$B$4:$B$1000,"DE REPROCESO")+SUMIFS(MOVIMIENTOS!$F$4:$F$1000,MOVIMIENTOS!$C$4:$C$1000,A335,MOVIMIENTOS!$D$4:$D$1000,B335,MOVIMIENTOS!$E$4:$E$1000,C335,MOVIMIENTOS!$B$4:$B$1000,"AJUSTE+")-SUMIFS(MOVIMIENTOS!$F$4:$F$1000,MOVIMIENTOS!$C$4:$C$1000,A335,MOVIMIENTOS!$D$4:$D$1000,B335,MOVIMIENTOS!$E$4:$E$1000,C335,MOVIMIENTOS!$B$4:$B$1000,"A CORTE")-SUMIFS(MOVIMIENTOS!$F$4:$F$1000,MOVIMIENTOS!$C$4:$C$1000,A335,MOVIMIENTOS!$D$4:$D$1000,B335,MOVIMIENTOS!$E$4:$E$1000,C335,MOVIMIENTOS!$B$4:$B$1000,"A REPROCESO")-SUMIFS(MOVIMIENTOS!$F$4:$F$1000,MOVIMIENTOS!$C$4:$C$1000,A335,MOVIMIENTOS!$D$4:$D$1000,B335,MOVIMIENTOS!$E$4:$E$1000,C335,MOVIMIENTOS!$B$4:$B$1000,"MUESTRA")-SUMIFS(MOVIMIENTOS!$F$4:$F$1000,MOVIMIENTOS!$C$4:$C$1000,A335,MOVIMIENTOS!$D$4:$D$1000,B335,MOVIMIENTOS!$E$4:$E$1000,C335,MOVIMIENTOS!$B$4:$B$1000,"AJUSTE-"),0)</f>
        <v>0</v>
      </c>
      <c r="F335" s="101">
        <f>IFERROR(E335*VLOOKUP(B335,TELAS!$A$4:$C$32,3,FALSE()),0)</f>
        <v>0</v>
      </c>
      <c r="G335" s="102">
        <f>IFERROR(IF(D335="OSCURO",VLOOKUP(B335,PRECIOS!$A$4:$F$32,2,FALSE()),IF(D335="CLARO",VLOOKUP(B335,PRECIOS!$A$4:$F$32,3,FALSE()),IF(D335="MELANGE",VLOOKUP(B335,PRECIOS!$A$4:$F$32,4,FALSE()),IF(D335="PPT",VLOOKUP(B335,PRECIOS!$A$4:$F$32,5,FALSE()),0)))),0)</f>
        <v>26</v>
      </c>
      <c r="H335" s="103">
        <f t="shared" si="1"/>
        <v>0</v>
      </c>
      <c r="I335" s="104" t="str">
        <f>IF(E335&lt;0,"ERROR",IF(E335=0,"",IF(E335&lt;CONFIG!$B$4,"CRÍTICO",IF(E335&lt;CONFIG!$B$5,"BAJO","OK"))))</f>
        <v/>
      </c>
    </row>
    <row r="336" ht="15.75" customHeight="1">
      <c r="A336" s="90" t="str">
        <f>IF(CLIENTES!A6="","",CLIENTES!A6)</f>
        <v/>
      </c>
      <c r="B336" s="67" t="str">
        <f>TELAS!A6</f>
        <v>wafle 30/1</v>
      </c>
      <c r="C336" s="67" t="str">
        <f>COLORES!A16</f>
        <v>Topo</v>
      </c>
      <c r="D336" s="67" t="str">
        <f>COLORES!B16</f>
        <v>CLARO</v>
      </c>
      <c r="E336" s="100">
        <f>IFERROR(SUMIFS(MOVIMIENTOS!$F$4:$F$1000,MOVIMIENTOS!$C$4:$C$1000,A336,MOVIMIENTOS!$D$4:$D$1000,B336,MOVIMIENTOS!$E$4:$E$1000,C336,MOVIMIENTOS!$B$4:$B$1000,"INGRESO")+SUMIFS(MOVIMIENTOS!$F$4:$F$1000,MOVIMIENTOS!$C$4:$C$1000,A336,MOVIMIENTOS!$D$4:$D$1000,B336,MOVIMIENTOS!$E$4:$E$1000,C336,MOVIMIENTOS!$B$4:$B$1000,"DE REPROCESO")+SUMIFS(MOVIMIENTOS!$F$4:$F$1000,MOVIMIENTOS!$C$4:$C$1000,A336,MOVIMIENTOS!$D$4:$D$1000,B336,MOVIMIENTOS!$E$4:$E$1000,C336,MOVIMIENTOS!$B$4:$B$1000,"AJUSTE+")-SUMIFS(MOVIMIENTOS!$F$4:$F$1000,MOVIMIENTOS!$C$4:$C$1000,A336,MOVIMIENTOS!$D$4:$D$1000,B336,MOVIMIENTOS!$E$4:$E$1000,C336,MOVIMIENTOS!$B$4:$B$1000,"A CORTE")-SUMIFS(MOVIMIENTOS!$F$4:$F$1000,MOVIMIENTOS!$C$4:$C$1000,A336,MOVIMIENTOS!$D$4:$D$1000,B336,MOVIMIENTOS!$E$4:$E$1000,C336,MOVIMIENTOS!$B$4:$B$1000,"A REPROCESO")-SUMIFS(MOVIMIENTOS!$F$4:$F$1000,MOVIMIENTOS!$C$4:$C$1000,A336,MOVIMIENTOS!$D$4:$D$1000,B336,MOVIMIENTOS!$E$4:$E$1000,C336,MOVIMIENTOS!$B$4:$B$1000,"MUESTRA")-SUMIFS(MOVIMIENTOS!$F$4:$F$1000,MOVIMIENTOS!$C$4:$C$1000,A336,MOVIMIENTOS!$D$4:$D$1000,B336,MOVIMIENTOS!$E$4:$E$1000,C336,MOVIMIENTOS!$B$4:$B$1000,"AJUSTE-"),0)</f>
        <v>0</v>
      </c>
      <c r="F336" s="101">
        <f>IFERROR(E336*VLOOKUP(B336,TELAS!$A$4:$C$32,3,FALSE()),0)</f>
        <v>0</v>
      </c>
      <c r="G336" s="102">
        <f>IFERROR(IF(D336="OSCURO",VLOOKUP(B336,PRECIOS!$A$4:$F$32,2,FALSE()),IF(D336="CLARO",VLOOKUP(B336,PRECIOS!$A$4:$F$32,3,FALSE()),IF(D336="MELANGE",VLOOKUP(B336,PRECIOS!$A$4:$F$32,4,FALSE()),IF(D336="PPT",VLOOKUP(B336,PRECIOS!$A$4:$F$32,5,FALSE()),0)))),0)</f>
        <v>22.5</v>
      </c>
      <c r="H336" s="103">
        <f t="shared" si="1"/>
        <v>0</v>
      </c>
      <c r="I336" s="104" t="str">
        <f>IF(E336&lt;0,"ERROR",IF(E336=0,"",IF(E336&lt;CONFIG!$B$4,"CRÍTICO",IF(E336&lt;CONFIG!$B$5,"BAJO","OK"))))</f>
        <v/>
      </c>
    </row>
    <row r="337" ht="15.75" customHeight="1">
      <c r="A337" s="90" t="str">
        <f>IF(CLIENTES!A6="","",CLIENTES!A6)</f>
        <v/>
      </c>
      <c r="B337" s="67" t="str">
        <f>TELAS!A6</f>
        <v>wafle 30/1</v>
      </c>
      <c r="C337" s="67" t="str">
        <f>COLORES!A17</f>
        <v>Vino</v>
      </c>
      <c r="D337" s="67" t="str">
        <f>COLORES!B17</f>
        <v>OSCURO</v>
      </c>
      <c r="E337" s="100">
        <f>IFERROR(SUMIFS(MOVIMIENTOS!$F$4:$F$1000,MOVIMIENTOS!$C$4:$C$1000,A337,MOVIMIENTOS!$D$4:$D$1000,B337,MOVIMIENTOS!$E$4:$E$1000,C337,MOVIMIENTOS!$B$4:$B$1000,"INGRESO")+SUMIFS(MOVIMIENTOS!$F$4:$F$1000,MOVIMIENTOS!$C$4:$C$1000,A337,MOVIMIENTOS!$D$4:$D$1000,B337,MOVIMIENTOS!$E$4:$E$1000,C337,MOVIMIENTOS!$B$4:$B$1000,"DE REPROCESO")+SUMIFS(MOVIMIENTOS!$F$4:$F$1000,MOVIMIENTOS!$C$4:$C$1000,A337,MOVIMIENTOS!$D$4:$D$1000,B337,MOVIMIENTOS!$E$4:$E$1000,C337,MOVIMIENTOS!$B$4:$B$1000,"AJUSTE+")-SUMIFS(MOVIMIENTOS!$F$4:$F$1000,MOVIMIENTOS!$C$4:$C$1000,A337,MOVIMIENTOS!$D$4:$D$1000,B337,MOVIMIENTOS!$E$4:$E$1000,C337,MOVIMIENTOS!$B$4:$B$1000,"A CORTE")-SUMIFS(MOVIMIENTOS!$F$4:$F$1000,MOVIMIENTOS!$C$4:$C$1000,A337,MOVIMIENTOS!$D$4:$D$1000,B337,MOVIMIENTOS!$E$4:$E$1000,C337,MOVIMIENTOS!$B$4:$B$1000,"A REPROCESO")-SUMIFS(MOVIMIENTOS!$F$4:$F$1000,MOVIMIENTOS!$C$4:$C$1000,A337,MOVIMIENTOS!$D$4:$D$1000,B337,MOVIMIENTOS!$E$4:$E$1000,C337,MOVIMIENTOS!$B$4:$B$1000,"MUESTRA")-SUMIFS(MOVIMIENTOS!$F$4:$F$1000,MOVIMIENTOS!$C$4:$C$1000,A337,MOVIMIENTOS!$D$4:$D$1000,B337,MOVIMIENTOS!$E$4:$E$1000,C337,MOVIMIENTOS!$B$4:$B$1000,"AJUSTE-"),0)</f>
        <v>0</v>
      </c>
      <c r="F337" s="101">
        <f>IFERROR(E337*VLOOKUP(B337,TELAS!$A$4:$C$32,3,FALSE()),0)</f>
        <v>0</v>
      </c>
      <c r="G337" s="102">
        <f>IFERROR(IF(D337="OSCURO",VLOOKUP(B337,PRECIOS!$A$4:$F$32,2,FALSE()),IF(D337="CLARO",VLOOKUP(B337,PRECIOS!$A$4:$F$32,3,FALSE()),IF(D337="MELANGE",VLOOKUP(B337,PRECIOS!$A$4:$F$32,4,FALSE()),IF(D337="PPT",VLOOKUP(B337,PRECIOS!$A$4:$F$32,5,FALSE()),0)))),0)</f>
        <v>26</v>
      </c>
      <c r="H337" s="103">
        <f t="shared" si="1"/>
        <v>0</v>
      </c>
      <c r="I337" s="104" t="str">
        <f>IF(E337&lt;0,"ERROR",IF(E337=0,"",IF(E337&lt;CONFIG!$B$4,"CRÍTICO",IF(E337&lt;CONFIG!$B$5,"BAJO","OK"))))</f>
        <v/>
      </c>
    </row>
    <row r="338" ht="15.75" customHeight="1">
      <c r="A338" s="90" t="str">
        <f>IF(CLIENTES!A6="","",CLIENTES!A6)</f>
        <v/>
      </c>
      <c r="B338" s="67" t="str">
        <f>TELAS!A6</f>
        <v>wafle 30/1</v>
      </c>
      <c r="C338" s="67" t="str">
        <f>COLORES!A18</f>
        <v>P. Rosa</v>
      </c>
      <c r="D338" s="67" t="str">
        <f>COLORES!B18</f>
        <v>CLARO</v>
      </c>
      <c r="E338" s="100">
        <f>IFERROR(SUMIFS(MOVIMIENTOS!$F$4:$F$1000,MOVIMIENTOS!$C$4:$C$1000,A338,MOVIMIENTOS!$D$4:$D$1000,B338,MOVIMIENTOS!$E$4:$E$1000,C338,MOVIMIENTOS!$B$4:$B$1000,"INGRESO")+SUMIFS(MOVIMIENTOS!$F$4:$F$1000,MOVIMIENTOS!$C$4:$C$1000,A338,MOVIMIENTOS!$D$4:$D$1000,B338,MOVIMIENTOS!$E$4:$E$1000,C338,MOVIMIENTOS!$B$4:$B$1000,"DE REPROCESO")+SUMIFS(MOVIMIENTOS!$F$4:$F$1000,MOVIMIENTOS!$C$4:$C$1000,A338,MOVIMIENTOS!$D$4:$D$1000,B338,MOVIMIENTOS!$E$4:$E$1000,C338,MOVIMIENTOS!$B$4:$B$1000,"AJUSTE+")-SUMIFS(MOVIMIENTOS!$F$4:$F$1000,MOVIMIENTOS!$C$4:$C$1000,A338,MOVIMIENTOS!$D$4:$D$1000,B338,MOVIMIENTOS!$E$4:$E$1000,C338,MOVIMIENTOS!$B$4:$B$1000,"A CORTE")-SUMIFS(MOVIMIENTOS!$F$4:$F$1000,MOVIMIENTOS!$C$4:$C$1000,A338,MOVIMIENTOS!$D$4:$D$1000,B338,MOVIMIENTOS!$E$4:$E$1000,C338,MOVIMIENTOS!$B$4:$B$1000,"A REPROCESO")-SUMIFS(MOVIMIENTOS!$F$4:$F$1000,MOVIMIENTOS!$C$4:$C$1000,A338,MOVIMIENTOS!$D$4:$D$1000,B338,MOVIMIENTOS!$E$4:$E$1000,C338,MOVIMIENTOS!$B$4:$B$1000,"MUESTRA")-SUMIFS(MOVIMIENTOS!$F$4:$F$1000,MOVIMIENTOS!$C$4:$C$1000,A338,MOVIMIENTOS!$D$4:$D$1000,B338,MOVIMIENTOS!$E$4:$E$1000,C338,MOVIMIENTOS!$B$4:$B$1000,"AJUSTE-"),0)</f>
        <v>0</v>
      </c>
      <c r="F338" s="101">
        <f>IFERROR(E338*VLOOKUP(B338,TELAS!$A$4:$C$32,3,FALSE()),0)</f>
        <v>0</v>
      </c>
      <c r="G338" s="102">
        <f>IFERROR(IF(D338="OSCURO",VLOOKUP(B338,PRECIOS!$A$4:$F$32,2,FALSE()),IF(D338="CLARO",VLOOKUP(B338,PRECIOS!$A$4:$F$32,3,FALSE()),IF(D338="MELANGE",VLOOKUP(B338,PRECIOS!$A$4:$F$32,4,FALSE()),IF(D338="PPT",VLOOKUP(B338,PRECIOS!$A$4:$F$32,5,FALSE()),0)))),0)</f>
        <v>22.5</v>
      </c>
      <c r="H338" s="103">
        <f t="shared" si="1"/>
        <v>0</v>
      </c>
      <c r="I338" s="104" t="str">
        <f>IF(E338&lt;0,"ERROR",IF(E338=0,"",IF(E338&lt;CONFIG!$B$4,"CRÍTICO",IF(E338&lt;CONFIG!$B$5,"BAJO","OK"))))</f>
        <v/>
      </c>
    </row>
    <row r="339" ht="15.75" customHeight="1">
      <c r="A339" s="90" t="str">
        <f>IF(CLIENTES!A6="","",CLIENTES!A6)</f>
        <v/>
      </c>
      <c r="B339" s="67" t="str">
        <f>TELAS!A6</f>
        <v>wafle 30/1</v>
      </c>
      <c r="C339" s="67" t="str">
        <f>COLORES!A19</f>
        <v/>
      </c>
      <c r="D339" s="67" t="str">
        <f>COLORES!B19</f>
        <v/>
      </c>
      <c r="E339" s="100">
        <f>IFERROR(SUMIFS(MOVIMIENTOS!$F$4:$F$1000,MOVIMIENTOS!$C$4:$C$1000,A339,MOVIMIENTOS!$D$4:$D$1000,B339,MOVIMIENTOS!$E$4:$E$1000,C339,MOVIMIENTOS!$B$4:$B$1000,"INGRESO")+SUMIFS(MOVIMIENTOS!$F$4:$F$1000,MOVIMIENTOS!$C$4:$C$1000,A339,MOVIMIENTOS!$D$4:$D$1000,B339,MOVIMIENTOS!$E$4:$E$1000,C339,MOVIMIENTOS!$B$4:$B$1000,"DE REPROCESO")+SUMIFS(MOVIMIENTOS!$F$4:$F$1000,MOVIMIENTOS!$C$4:$C$1000,A339,MOVIMIENTOS!$D$4:$D$1000,B339,MOVIMIENTOS!$E$4:$E$1000,C339,MOVIMIENTOS!$B$4:$B$1000,"AJUSTE+")-SUMIFS(MOVIMIENTOS!$F$4:$F$1000,MOVIMIENTOS!$C$4:$C$1000,A339,MOVIMIENTOS!$D$4:$D$1000,B339,MOVIMIENTOS!$E$4:$E$1000,C339,MOVIMIENTOS!$B$4:$B$1000,"A CORTE")-SUMIFS(MOVIMIENTOS!$F$4:$F$1000,MOVIMIENTOS!$C$4:$C$1000,A339,MOVIMIENTOS!$D$4:$D$1000,B339,MOVIMIENTOS!$E$4:$E$1000,C339,MOVIMIENTOS!$B$4:$B$1000,"A REPROCESO")-SUMIFS(MOVIMIENTOS!$F$4:$F$1000,MOVIMIENTOS!$C$4:$C$1000,A339,MOVIMIENTOS!$D$4:$D$1000,B339,MOVIMIENTOS!$E$4:$E$1000,C339,MOVIMIENTOS!$B$4:$B$1000,"MUESTRA")-SUMIFS(MOVIMIENTOS!$F$4:$F$1000,MOVIMIENTOS!$C$4:$C$1000,A339,MOVIMIENTOS!$D$4:$D$1000,B339,MOVIMIENTOS!$E$4:$E$1000,C339,MOVIMIENTOS!$B$4:$B$1000,"AJUSTE-"),0)</f>
        <v>0</v>
      </c>
      <c r="F339" s="101">
        <f>IFERROR(E339*VLOOKUP(B339,TELAS!$A$4:$C$32,3,FALSE()),0)</f>
        <v>0</v>
      </c>
      <c r="G339" s="102">
        <f>IFERROR(IF(D339="OSCURO",VLOOKUP(B339,PRECIOS!$A$4:$F$32,2,FALSE()),IF(D339="CLARO",VLOOKUP(B339,PRECIOS!$A$4:$F$32,3,FALSE()),IF(D339="MELANGE",VLOOKUP(B339,PRECIOS!$A$4:$F$32,4,FALSE()),IF(D339="PPT",VLOOKUP(B339,PRECIOS!$A$4:$F$32,5,FALSE()),0)))),0)</f>
        <v>0</v>
      </c>
      <c r="H339" s="103">
        <f t="shared" si="1"/>
        <v>0</v>
      </c>
      <c r="I339" s="104" t="str">
        <f>IF(E339&lt;0,"ERROR",IF(E339=0,"",IF(E339&lt;CONFIG!$B$4,"CRÍTICO",IF(E339&lt;CONFIG!$B$5,"BAJO","OK"))))</f>
        <v/>
      </c>
    </row>
    <row r="340" ht="15.75" customHeight="1">
      <c r="A340" s="90" t="str">
        <f>IF(CLIENTES!A6="","",CLIENTES!A6)</f>
        <v/>
      </c>
      <c r="B340" s="67" t="str">
        <f>TELAS!A6</f>
        <v>wafle 30/1</v>
      </c>
      <c r="C340" s="67" t="str">
        <f>COLORES!A20</f>
        <v/>
      </c>
      <c r="D340" s="67" t="str">
        <f>COLORES!B20</f>
        <v/>
      </c>
      <c r="E340" s="100">
        <f>IFERROR(SUMIFS(MOVIMIENTOS!$F$4:$F$1000,MOVIMIENTOS!$C$4:$C$1000,A340,MOVIMIENTOS!$D$4:$D$1000,B340,MOVIMIENTOS!$E$4:$E$1000,C340,MOVIMIENTOS!$B$4:$B$1000,"INGRESO")+SUMIFS(MOVIMIENTOS!$F$4:$F$1000,MOVIMIENTOS!$C$4:$C$1000,A340,MOVIMIENTOS!$D$4:$D$1000,B340,MOVIMIENTOS!$E$4:$E$1000,C340,MOVIMIENTOS!$B$4:$B$1000,"DE REPROCESO")+SUMIFS(MOVIMIENTOS!$F$4:$F$1000,MOVIMIENTOS!$C$4:$C$1000,A340,MOVIMIENTOS!$D$4:$D$1000,B340,MOVIMIENTOS!$E$4:$E$1000,C340,MOVIMIENTOS!$B$4:$B$1000,"AJUSTE+")-SUMIFS(MOVIMIENTOS!$F$4:$F$1000,MOVIMIENTOS!$C$4:$C$1000,A340,MOVIMIENTOS!$D$4:$D$1000,B340,MOVIMIENTOS!$E$4:$E$1000,C340,MOVIMIENTOS!$B$4:$B$1000,"A CORTE")-SUMIFS(MOVIMIENTOS!$F$4:$F$1000,MOVIMIENTOS!$C$4:$C$1000,A340,MOVIMIENTOS!$D$4:$D$1000,B340,MOVIMIENTOS!$E$4:$E$1000,C340,MOVIMIENTOS!$B$4:$B$1000,"A REPROCESO")-SUMIFS(MOVIMIENTOS!$F$4:$F$1000,MOVIMIENTOS!$C$4:$C$1000,A340,MOVIMIENTOS!$D$4:$D$1000,B340,MOVIMIENTOS!$E$4:$E$1000,C340,MOVIMIENTOS!$B$4:$B$1000,"MUESTRA")-SUMIFS(MOVIMIENTOS!$F$4:$F$1000,MOVIMIENTOS!$C$4:$C$1000,A340,MOVIMIENTOS!$D$4:$D$1000,B340,MOVIMIENTOS!$E$4:$E$1000,C340,MOVIMIENTOS!$B$4:$B$1000,"AJUSTE-"),0)</f>
        <v>0</v>
      </c>
      <c r="F340" s="101">
        <f>IFERROR(E340*VLOOKUP(B340,TELAS!$A$4:$C$32,3,FALSE()),0)</f>
        <v>0</v>
      </c>
      <c r="G340" s="102">
        <f>IFERROR(IF(D340="OSCURO",VLOOKUP(B340,PRECIOS!$A$4:$F$32,2,FALSE()),IF(D340="CLARO",VLOOKUP(B340,PRECIOS!$A$4:$F$32,3,FALSE()),IF(D340="MELANGE",VLOOKUP(B340,PRECIOS!$A$4:$F$32,4,FALSE()),IF(D340="PPT",VLOOKUP(B340,PRECIOS!$A$4:$F$32,5,FALSE()),0)))),0)</f>
        <v>0</v>
      </c>
      <c r="H340" s="103">
        <f t="shared" si="1"/>
        <v>0</v>
      </c>
      <c r="I340" s="104" t="str">
        <f>IF(E340&lt;0,"ERROR",IF(E340=0,"",IF(E340&lt;CONFIG!$B$4,"CRÍTICO",IF(E340&lt;CONFIG!$B$5,"BAJO","OK"))))</f>
        <v/>
      </c>
    </row>
    <row r="341" ht="15.75" customHeight="1">
      <c r="A341" s="90" t="str">
        <f>IF(CLIENTES!A6="","",CLIENTES!A6)</f>
        <v/>
      </c>
      <c r="B341" s="67" t="str">
        <f>TELAS!A6</f>
        <v>wafle 30/1</v>
      </c>
      <c r="C341" s="67" t="str">
        <f>COLORES!A21</f>
        <v/>
      </c>
      <c r="D341" s="67" t="str">
        <f>COLORES!B21</f>
        <v/>
      </c>
      <c r="E341" s="100">
        <f>IFERROR(SUMIFS(MOVIMIENTOS!$F$4:$F$1000,MOVIMIENTOS!$C$4:$C$1000,A341,MOVIMIENTOS!$D$4:$D$1000,B341,MOVIMIENTOS!$E$4:$E$1000,C341,MOVIMIENTOS!$B$4:$B$1000,"INGRESO")+SUMIFS(MOVIMIENTOS!$F$4:$F$1000,MOVIMIENTOS!$C$4:$C$1000,A341,MOVIMIENTOS!$D$4:$D$1000,B341,MOVIMIENTOS!$E$4:$E$1000,C341,MOVIMIENTOS!$B$4:$B$1000,"DE REPROCESO")+SUMIFS(MOVIMIENTOS!$F$4:$F$1000,MOVIMIENTOS!$C$4:$C$1000,A341,MOVIMIENTOS!$D$4:$D$1000,B341,MOVIMIENTOS!$E$4:$E$1000,C341,MOVIMIENTOS!$B$4:$B$1000,"AJUSTE+")-SUMIFS(MOVIMIENTOS!$F$4:$F$1000,MOVIMIENTOS!$C$4:$C$1000,A341,MOVIMIENTOS!$D$4:$D$1000,B341,MOVIMIENTOS!$E$4:$E$1000,C341,MOVIMIENTOS!$B$4:$B$1000,"A CORTE")-SUMIFS(MOVIMIENTOS!$F$4:$F$1000,MOVIMIENTOS!$C$4:$C$1000,A341,MOVIMIENTOS!$D$4:$D$1000,B341,MOVIMIENTOS!$E$4:$E$1000,C341,MOVIMIENTOS!$B$4:$B$1000,"A REPROCESO")-SUMIFS(MOVIMIENTOS!$F$4:$F$1000,MOVIMIENTOS!$C$4:$C$1000,A341,MOVIMIENTOS!$D$4:$D$1000,B341,MOVIMIENTOS!$E$4:$E$1000,C341,MOVIMIENTOS!$B$4:$B$1000,"MUESTRA")-SUMIFS(MOVIMIENTOS!$F$4:$F$1000,MOVIMIENTOS!$C$4:$C$1000,A341,MOVIMIENTOS!$D$4:$D$1000,B341,MOVIMIENTOS!$E$4:$E$1000,C341,MOVIMIENTOS!$B$4:$B$1000,"AJUSTE-"),0)</f>
        <v>0</v>
      </c>
      <c r="F341" s="101">
        <f>IFERROR(E341*VLOOKUP(B341,TELAS!$A$4:$C$32,3,FALSE()),0)</f>
        <v>0</v>
      </c>
      <c r="G341" s="102">
        <f>IFERROR(IF(D341="OSCURO",VLOOKUP(B341,PRECIOS!$A$4:$F$32,2,FALSE()),IF(D341="CLARO",VLOOKUP(B341,PRECIOS!$A$4:$F$32,3,FALSE()),IF(D341="MELANGE",VLOOKUP(B341,PRECIOS!$A$4:$F$32,4,FALSE()),IF(D341="PPT",VLOOKUP(B341,PRECIOS!$A$4:$F$32,5,FALSE()),0)))),0)</f>
        <v>0</v>
      </c>
      <c r="H341" s="103">
        <f t="shared" si="1"/>
        <v>0</v>
      </c>
      <c r="I341" s="104" t="str">
        <f>IF(E341&lt;0,"ERROR",IF(E341=0,"",IF(E341&lt;CONFIG!$B$4,"CRÍTICO",IF(E341&lt;CONFIG!$B$5,"BAJO","OK"))))</f>
        <v/>
      </c>
    </row>
    <row r="342" ht="15.75" customHeight="1">
      <c r="A342" s="90" t="str">
        <f>IF(CLIENTES!A6="","",CLIENTES!A6)</f>
        <v/>
      </c>
      <c r="B342" s="67" t="str">
        <f>TELAS!A6</f>
        <v>wafle 30/1</v>
      </c>
      <c r="C342" s="67" t="str">
        <f>COLORES!A22</f>
        <v/>
      </c>
      <c r="D342" s="67" t="str">
        <f>COLORES!B22</f>
        <v/>
      </c>
      <c r="E342" s="100">
        <f>IFERROR(SUMIFS(MOVIMIENTOS!$F$4:$F$1000,MOVIMIENTOS!$C$4:$C$1000,A342,MOVIMIENTOS!$D$4:$D$1000,B342,MOVIMIENTOS!$E$4:$E$1000,C342,MOVIMIENTOS!$B$4:$B$1000,"INGRESO")+SUMIFS(MOVIMIENTOS!$F$4:$F$1000,MOVIMIENTOS!$C$4:$C$1000,A342,MOVIMIENTOS!$D$4:$D$1000,B342,MOVIMIENTOS!$E$4:$E$1000,C342,MOVIMIENTOS!$B$4:$B$1000,"DE REPROCESO")+SUMIFS(MOVIMIENTOS!$F$4:$F$1000,MOVIMIENTOS!$C$4:$C$1000,A342,MOVIMIENTOS!$D$4:$D$1000,B342,MOVIMIENTOS!$E$4:$E$1000,C342,MOVIMIENTOS!$B$4:$B$1000,"AJUSTE+")-SUMIFS(MOVIMIENTOS!$F$4:$F$1000,MOVIMIENTOS!$C$4:$C$1000,A342,MOVIMIENTOS!$D$4:$D$1000,B342,MOVIMIENTOS!$E$4:$E$1000,C342,MOVIMIENTOS!$B$4:$B$1000,"A CORTE")-SUMIFS(MOVIMIENTOS!$F$4:$F$1000,MOVIMIENTOS!$C$4:$C$1000,A342,MOVIMIENTOS!$D$4:$D$1000,B342,MOVIMIENTOS!$E$4:$E$1000,C342,MOVIMIENTOS!$B$4:$B$1000,"A REPROCESO")-SUMIFS(MOVIMIENTOS!$F$4:$F$1000,MOVIMIENTOS!$C$4:$C$1000,A342,MOVIMIENTOS!$D$4:$D$1000,B342,MOVIMIENTOS!$E$4:$E$1000,C342,MOVIMIENTOS!$B$4:$B$1000,"MUESTRA")-SUMIFS(MOVIMIENTOS!$F$4:$F$1000,MOVIMIENTOS!$C$4:$C$1000,A342,MOVIMIENTOS!$D$4:$D$1000,B342,MOVIMIENTOS!$E$4:$E$1000,C342,MOVIMIENTOS!$B$4:$B$1000,"AJUSTE-"),0)</f>
        <v>0</v>
      </c>
      <c r="F342" s="101">
        <f>IFERROR(E342*VLOOKUP(B342,TELAS!$A$4:$C$32,3,FALSE()),0)</f>
        <v>0</v>
      </c>
      <c r="G342" s="102">
        <f>IFERROR(IF(D342="OSCURO",VLOOKUP(B342,PRECIOS!$A$4:$F$32,2,FALSE()),IF(D342="CLARO",VLOOKUP(B342,PRECIOS!$A$4:$F$32,3,FALSE()),IF(D342="MELANGE",VLOOKUP(B342,PRECIOS!$A$4:$F$32,4,FALSE()),IF(D342="PPT",VLOOKUP(B342,PRECIOS!$A$4:$F$32,5,FALSE()),0)))),0)</f>
        <v>0</v>
      </c>
      <c r="H342" s="103">
        <f t="shared" si="1"/>
        <v>0</v>
      </c>
      <c r="I342" s="104" t="str">
        <f>IF(E342&lt;0,"ERROR",IF(E342=0,"",IF(E342&lt;CONFIG!$B$4,"CRÍTICO",IF(E342&lt;CONFIG!$B$5,"BAJO","OK"))))</f>
        <v/>
      </c>
    </row>
    <row r="343" ht="15.75" customHeight="1">
      <c r="A343" s="90" t="str">
        <f>IF(CLIENTES!A6="","",CLIENTES!A6)</f>
        <v/>
      </c>
      <c r="B343" s="67" t="str">
        <f>TELAS!A6</f>
        <v>wafle 30/1</v>
      </c>
      <c r="C343" s="67" t="str">
        <f>COLORES!A23</f>
        <v/>
      </c>
      <c r="D343" s="67" t="str">
        <f>COLORES!B23</f>
        <v/>
      </c>
      <c r="E343" s="100">
        <f>IFERROR(SUMIFS(MOVIMIENTOS!$F$4:$F$1000,MOVIMIENTOS!$C$4:$C$1000,A343,MOVIMIENTOS!$D$4:$D$1000,B343,MOVIMIENTOS!$E$4:$E$1000,C343,MOVIMIENTOS!$B$4:$B$1000,"INGRESO")+SUMIFS(MOVIMIENTOS!$F$4:$F$1000,MOVIMIENTOS!$C$4:$C$1000,A343,MOVIMIENTOS!$D$4:$D$1000,B343,MOVIMIENTOS!$E$4:$E$1000,C343,MOVIMIENTOS!$B$4:$B$1000,"DE REPROCESO")+SUMIFS(MOVIMIENTOS!$F$4:$F$1000,MOVIMIENTOS!$C$4:$C$1000,A343,MOVIMIENTOS!$D$4:$D$1000,B343,MOVIMIENTOS!$E$4:$E$1000,C343,MOVIMIENTOS!$B$4:$B$1000,"AJUSTE+")-SUMIFS(MOVIMIENTOS!$F$4:$F$1000,MOVIMIENTOS!$C$4:$C$1000,A343,MOVIMIENTOS!$D$4:$D$1000,B343,MOVIMIENTOS!$E$4:$E$1000,C343,MOVIMIENTOS!$B$4:$B$1000,"A CORTE")-SUMIFS(MOVIMIENTOS!$F$4:$F$1000,MOVIMIENTOS!$C$4:$C$1000,A343,MOVIMIENTOS!$D$4:$D$1000,B343,MOVIMIENTOS!$E$4:$E$1000,C343,MOVIMIENTOS!$B$4:$B$1000,"A REPROCESO")-SUMIFS(MOVIMIENTOS!$F$4:$F$1000,MOVIMIENTOS!$C$4:$C$1000,A343,MOVIMIENTOS!$D$4:$D$1000,B343,MOVIMIENTOS!$E$4:$E$1000,C343,MOVIMIENTOS!$B$4:$B$1000,"MUESTRA")-SUMIFS(MOVIMIENTOS!$F$4:$F$1000,MOVIMIENTOS!$C$4:$C$1000,A343,MOVIMIENTOS!$D$4:$D$1000,B343,MOVIMIENTOS!$E$4:$E$1000,C343,MOVIMIENTOS!$B$4:$B$1000,"AJUSTE-"),0)</f>
        <v>0</v>
      </c>
      <c r="F343" s="101">
        <f>IFERROR(E343*VLOOKUP(B343,TELAS!$A$4:$C$32,3,FALSE()),0)</f>
        <v>0</v>
      </c>
      <c r="G343" s="102">
        <f>IFERROR(IF(D343="OSCURO",VLOOKUP(B343,PRECIOS!$A$4:$F$32,2,FALSE()),IF(D343="CLARO",VLOOKUP(B343,PRECIOS!$A$4:$F$32,3,FALSE()),IF(D343="MELANGE",VLOOKUP(B343,PRECIOS!$A$4:$F$32,4,FALSE()),IF(D343="PPT",VLOOKUP(B343,PRECIOS!$A$4:$F$32,5,FALSE()),0)))),0)</f>
        <v>0</v>
      </c>
      <c r="H343" s="103">
        <f t="shared" si="1"/>
        <v>0</v>
      </c>
      <c r="I343" s="104" t="str">
        <f>IF(E343&lt;0,"ERROR",IF(E343=0,"",IF(E343&lt;CONFIG!$B$4,"CRÍTICO",IF(E343&lt;CONFIG!$B$5,"BAJO","OK"))))</f>
        <v/>
      </c>
    </row>
    <row r="344" ht="15.75" customHeight="1">
      <c r="A344" s="90" t="str">
        <f>IF(CLIENTES!A6="","",CLIENTES!A6)</f>
        <v/>
      </c>
      <c r="B344" s="67" t="str">
        <f>TELAS!A7</f>
        <v>french terry 24/1</v>
      </c>
      <c r="C344" s="67" t="str">
        <f>COLORES!A4</f>
        <v>Negro</v>
      </c>
      <c r="D344" s="67" t="str">
        <f>COLORES!B4</f>
        <v>OSCURO</v>
      </c>
      <c r="E344" s="100">
        <f>IFERROR(SUMIFS(MOVIMIENTOS!$F$4:$F$1000,MOVIMIENTOS!$C$4:$C$1000,A344,MOVIMIENTOS!$D$4:$D$1000,B344,MOVIMIENTOS!$E$4:$E$1000,C344,MOVIMIENTOS!$B$4:$B$1000,"INGRESO")+SUMIFS(MOVIMIENTOS!$F$4:$F$1000,MOVIMIENTOS!$C$4:$C$1000,A344,MOVIMIENTOS!$D$4:$D$1000,B344,MOVIMIENTOS!$E$4:$E$1000,C344,MOVIMIENTOS!$B$4:$B$1000,"DE REPROCESO")+SUMIFS(MOVIMIENTOS!$F$4:$F$1000,MOVIMIENTOS!$C$4:$C$1000,A344,MOVIMIENTOS!$D$4:$D$1000,B344,MOVIMIENTOS!$E$4:$E$1000,C344,MOVIMIENTOS!$B$4:$B$1000,"AJUSTE+")-SUMIFS(MOVIMIENTOS!$F$4:$F$1000,MOVIMIENTOS!$C$4:$C$1000,A344,MOVIMIENTOS!$D$4:$D$1000,B344,MOVIMIENTOS!$E$4:$E$1000,C344,MOVIMIENTOS!$B$4:$B$1000,"A CORTE")-SUMIFS(MOVIMIENTOS!$F$4:$F$1000,MOVIMIENTOS!$C$4:$C$1000,A344,MOVIMIENTOS!$D$4:$D$1000,B344,MOVIMIENTOS!$E$4:$E$1000,C344,MOVIMIENTOS!$B$4:$B$1000,"A REPROCESO")-SUMIFS(MOVIMIENTOS!$F$4:$F$1000,MOVIMIENTOS!$C$4:$C$1000,A344,MOVIMIENTOS!$D$4:$D$1000,B344,MOVIMIENTOS!$E$4:$E$1000,C344,MOVIMIENTOS!$B$4:$B$1000,"MUESTRA")-SUMIFS(MOVIMIENTOS!$F$4:$F$1000,MOVIMIENTOS!$C$4:$C$1000,A344,MOVIMIENTOS!$D$4:$D$1000,B344,MOVIMIENTOS!$E$4:$E$1000,C344,MOVIMIENTOS!$B$4:$B$1000,"AJUSTE-"),0)</f>
        <v>0</v>
      </c>
      <c r="F344" s="101">
        <f>IFERROR(E344*VLOOKUP(B344,TELAS!$A$4:$C$32,3,FALSE()),0)</f>
        <v>0</v>
      </c>
      <c r="G344" s="102">
        <f>IFERROR(IF(D344="OSCURO",VLOOKUP(B344,PRECIOS!$A$4:$F$32,2,FALSE()),IF(D344="CLARO",VLOOKUP(B344,PRECIOS!$A$4:$F$32,3,FALSE()),IF(D344="MELANGE",VLOOKUP(B344,PRECIOS!$A$4:$F$32,4,FALSE()),IF(D344="PPT",VLOOKUP(B344,PRECIOS!$A$4:$F$32,5,FALSE()),0)))),0)</f>
        <v>24</v>
      </c>
      <c r="H344" s="103">
        <f t="shared" si="1"/>
        <v>0</v>
      </c>
      <c r="I344" s="104" t="str">
        <f>IF(E344&lt;0,"ERROR",IF(E344=0,"",IF(E344&lt;CONFIG!$B$4,"CRÍTICO",IF(E344&lt;CONFIG!$B$5,"BAJO","OK"))))</f>
        <v/>
      </c>
    </row>
    <row r="345" ht="15.75" customHeight="1">
      <c r="A345" s="90" t="str">
        <f>IF(CLIENTES!A6="","",CLIENTES!A6)</f>
        <v/>
      </c>
      <c r="B345" s="67" t="str">
        <f>TELAS!A7</f>
        <v>french terry 24/1</v>
      </c>
      <c r="C345" s="67" t="str">
        <f>COLORES!A5</f>
        <v>Perla</v>
      </c>
      <c r="D345" s="67" t="str">
        <f>COLORES!B5</f>
        <v>PPT</v>
      </c>
      <c r="E345" s="100">
        <f>IFERROR(SUMIFS(MOVIMIENTOS!$F$4:$F$1000,MOVIMIENTOS!$C$4:$C$1000,A345,MOVIMIENTOS!$D$4:$D$1000,B345,MOVIMIENTOS!$E$4:$E$1000,C345,MOVIMIENTOS!$B$4:$B$1000,"INGRESO")+SUMIFS(MOVIMIENTOS!$F$4:$F$1000,MOVIMIENTOS!$C$4:$C$1000,A345,MOVIMIENTOS!$D$4:$D$1000,B345,MOVIMIENTOS!$E$4:$E$1000,C345,MOVIMIENTOS!$B$4:$B$1000,"DE REPROCESO")+SUMIFS(MOVIMIENTOS!$F$4:$F$1000,MOVIMIENTOS!$C$4:$C$1000,A345,MOVIMIENTOS!$D$4:$D$1000,B345,MOVIMIENTOS!$E$4:$E$1000,C345,MOVIMIENTOS!$B$4:$B$1000,"AJUSTE+")-SUMIFS(MOVIMIENTOS!$F$4:$F$1000,MOVIMIENTOS!$C$4:$C$1000,A345,MOVIMIENTOS!$D$4:$D$1000,B345,MOVIMIENTOS!$E$4:$E$1000,C345,MOVIMIENTOS!$B$4:$B$1000,"A CORTE")-SUMIFS(MOVIMIENTOS!$F$4:$F$1000,MOVIMIENTOS!$C$4:$C$1000,A345,MOVIMIENTOS!$D$4:$D$1000,B345,MOVIMIENTOS!$E$4:$E$1000,C345,MOVIMIENTOS!$B$4:$B$1000,"A REPROCESO")-SUMIFS(MOVIMIENTOS!$F$4:$F$1000,MOVIMIENTOS!$C$4:$C$1000,A345,MOVIMIENTOS!$D$4:$D$1000,B345,MOVIMIENTOS!$E$4:$E$1000,C345,MOVIMIENTOS!$B$4:$B$1000,"MUESTRA")-SUMIFS(MOVIMIENTOS!$F$4:$F$1000,MOVIMIENTOS!$C$4:$C$1000,A345,MOVIMIENTOS!$D$4:$D$1000,B345,MOVIMIENTOS!$E$4:$E$1000,C345,MOVIMIENTOS!$B$4:$B$1000,"AJUSTE-"),0)</f>
        <v>0</v>
      </c>
      <c r="F345" s="101">
        <f>IFERROR(E345*VLOOKUP(B345,TELAS!$A$4:$C$32,3,FALSE()),0)</f>
        <v>0</v>
      </c>
      <c r="G345" s="102">
        <f>IFERROR(IF(D345="OSCURO",VLOOKUP(B345,PRECIOS!$A$4:$F$32,2,FALSE()),IF(D345="CLARO",VLOOKUP(B345,PRECIOS!$A$4:$F$32,3,FALSE()),IF(D345="MELANGE",VLOOKUP(B345,PRECIOS!$A$4:$F$32,4,FALSE()),IF(D345="PPT",VLOOKUP(B345,PRECIOS!$A$4:$F$32,5,FALSE()),0)))),0)</f>
        <v>18</v>
      </c>
      <c r="H345" s="103">
        <f t="shared" si="1"/>
        <v>0</v>
      </c>
      <c r="I345" s="104" t="str">
        <f>IF(E345&lt;0,"ERROR",IF(E345=0,"",IF(E345&lt;CONFIG!$B$4,"CRÍTICO",IF(E345&lt;CONFIG!$B$5,"BAJO","OK"))))</f>
        <v/>
      </c>
    </row>
    <row r="346" ht="15.75" customHeight="1">
      <c r="A346" s="90" t="str">
        <f>IF(CLIENTES!A6="","",CLIENTES!A6)</f>
        <v/>
      </c>
      <c r="B346" s="67" t="str">
        <f>TELAS!A7</f>
        <v>french terry 24/1</v>
      </c>
      <c r="C346" s="67" t="str">
        <f>COLORES!A6</f>
        <v>Blanco</v>
      </c>
      <c r="D346" s="67" t="str">
        <f>COLORES!B6</f>
        <v>PPT</v>
      </c>
      <c r="E346" s="100">
        <f>IFERROR(SUMIFS(MOVIMIENTOS!$F$4:$F$1000,MOVIMIENTOS!$C$4:$C$1000,A346,MOVIMIENTOS!$D$4:$D$1000,B346,MOVIMIENTOS!$E$4:$E$1000,C346,MOVIMIENTOS!$B$4:$B$1000,"INGRESO")+SUMIFS(MOVIMIENTOS!$F$4:$F$1000,MOVIMIENTOS!$C$4:$C$1000,A346,MOVIMIENTOS!$D$4:$D$1000,B346,MOVIMIENTOS!$E$4:$E$1000,C346,MOVIMIENTOS!$B$4:$B$1000,"DE REPROCESO")+SUMIFS(MOVIMIENTOS!$F$4:$F$1000,MOVIMIENTOS!$C$4:$C$1000,A346,MOVIMIENTOS!$D$4:$D$1000,B346,MOVIMIENTOS!$E$4:$E$1000,C346,MOVIMIENTOS!$B$4:$B$1000,"AJUSTE+")-SUMIFS(MOVIMIENTOS!$F$4:$F$1000,MOVIMIENTOS!$C$4:$C$1000,A346,MOVIMIENTOS!$D$4:$D$1000,B346,MOVIMIENTOS!$E$4:$E$1000,C346,MOVIMIENTOS!$B$4:$B$1000,"A CORTE")-SUMIFS(MOVIMIENTOS!$F$4:$F$1000,MOVIMIENTOS!$C$4:$C$1000,A346,MOVIMIENTOS!$D$4:$D$1000,B346,MOVIMIENTOS!$E$4:$E$1000,C346,MOVIMIENTOS!$B$4:$B$1000,"A REPROCESO")-SUMIFS(MOVIMIENTOS!$F$4:$F$1000,MOVIMIENTOS!$C$4:$C$1000,A346,MOVIMIENTOS!$D$4:$D$1000,B346,MOVIMIENTOS!$E$4:$E$1000,C346,MOVIMIENTOS!$B$4:$B$1000,"MUESTRA")-SUMIFS(MOVIMIENTOS!$F$4:$F$1000,MOVIMIENTOS!$C$4:$C$1000,A346,MOVIMIENTOS!$D$4:$D$1000,B346,MOVIMIENTOS!$E$4:$E$1000,C346,MOVIMIENTOS!$B$4:$B$1000,"AJUSTE-"),0)</f>
        <v>0</v>
      </c>
      <c r="F346" s="101">
        <f>IFERROR(E346*VLOOKUP(B346,TELAS!$A$4:$C$32,3,FALSE()),0)</f>
        <v>0</v>
      </c>
      <c r="G346" s="102">
        <f>IFERROR(IF(D346="OSCURO",VLOOKUP(B346,PRECIOS!$A$4:$F$32,2,FALSE()),IF(D346="CLARO",VLOOKUP(B346,PRECIOS!$A$4:$F$32,3,FALSE()),IF(D346="MELANGE",VLOOKUP(B346,PRECIOS!$A$4:$F$32,4,FALSE()),IF(D346="PPT",VLOOKUP(B346,PRECIOS!$A$4:$F$32,5,FALSE()),0)))),0)</f>
        <v>18</v>
      </c>
      <c r="H346" s="103">
        <f t="shared" si="1"/>
        <v>0</v>
      </c>
      <c r="I346" s="104" t="str">
        <f>IF(E346&lt;0,"ERROR",IF(E346=0,"",IF(E346&lt;CONFIG!$B$4,"CRÍTICO",IF(E346&lt;CONFIG!$B$5,"BAJO","OK"))))</f>
        <v/>
      </c>
    </row>
    <row r="347" ht="15.75" customHeight="1">
      <c r="A347" s="90" t="str">
        <f>IF(CLIENTES!A6="","",CLIENTES!A6)</f>
        <v/>
      </c>
      <c r="B347" s="67" t="str">
        <f>TELAS!A7</f>
        <v>french terry 24/1</v>
      </c>
      <c r="C347" s="67" t="str">
        <f>COLORES!A7</f>
        <v>Azul</v>
      </c>
      <c r="D347" s="67" t="str">
        <f>COLORES!B7</f>
        <v>OSCURO</v>
      </c>
      <c r="E347" s="100">
        <f>IFERROR(SUMIFS(MOVIMIENTOS!$F$4:$F$1000,MOVIMIENTOS!$C$4:$C$1000,A347,MOVIMIENTOS!$D$4:$D$1000,B347,MOVIMIENTOS!$E$4:$E$1000,C347,MOVIMIENTOS!$B$4:$B$1000,"INGRESO")+SUMIFS(MOVIMIENTOS!$F$4:$F$1000,MOVIMIENTOS!$C$4:$C$1000,A347,MOVIMIENTOS!$D$4:$D$1000,B347,MOVIMIENTOS!$E$4:$E$1000,C347,MOVIMIENTOS!$B$4:$B$1000,"DE REPROCESO")+SUMIFS(MOVIMIENTOS!$F$4:$F$1000,MOVIMIENTOS!$C$4:$C$1000,A347,MOVIMIENTOS!$D$4:$D$1000,B347,MOVIMIENTOS!$E$4:$E$1000,C347,MOVIMIENTOS!$B$4:$B$1000,"AJUSTE+")-SUMIFS(MOVIMIENTOS!$F$4:$F$1000,MOVIMIENTOS!$C$4:$C$1000,A347,MOVIMIENTOS!$D$4:$D$1000,B347,MOVIMIENTOS!$E$4:$E$1000,C347,MOVIMIENTOS!$B$4:$B$1000,"A CORTE")-SUMIFS(MOVIMIENTOS!$F$4:$F$1000,MOVIMIENTOS!$C$4:$C$1000,A347,MOVIMIENTOS!$D$4:$D$1000,B347,MOVIMIENTOS!$E$4:$E$1000,C347,MOVIMIENTOS!$B$4:$B$1000,"A REPROCESO")-SUMIFS(MOVIMIENTOS!$F$4:$F$1000,MOVIMIENTOS!$C$4:$C$1000,A347,MOVIMIENTOS!$D$4:$D$1000,B347,MOVIMIENTOS!$E$4:$E$1000,C347,MOVIMIENTOS!$B$4:$B$1000,"MUESTRA")-SUMIFS(MOVIMIENTOS!$F$4:$F$1000,MOVIMIENTOS!$C$4:$C$1000,A347,MOVIMIENTOS!$D$4:$D$1000,B347,MOVIMIENTOS!$E$4:$E$1000,C347,MOVIMIENTOS!$B$4:$B$1000,"AJUSTE-"),0)</f>
        <v>0</v>
      </c>
      <c r="F347" s="101">
        <f>IFERROR(E347*VLOOKUP(B347,TELAS!$A$4:$C$32,3,FALSE()),0)</f>
        <v>0</v>
      </c>
      <c r="G347" s="102">
        <f>IFERROR(IF(D347="OSCURO",VLOOKUP(B347,PRECIOS!$A$4:$F$32,2,FALSE()),IF(D347="CLARO",VLOOKUP(B347,PRECIOS!$A$4:$F$32,3,FALSE()),IF(D347="MELANGE",VLOOKUP(B347,PRECIOS!$A$4:$F$32,4,FALSE()),IF(D347="PPT",VLOOKUP(B347,PRECIOS!$A$4:$F$32,5,FALSE()),0)))),0)</f>
        <v>24</v>
      </c>
      <c r="H347" s="103">
        <f t="shared" si="1"/>
        <v>0</v>
      </c>
      <c r="I347" s="104" t="str">
        <f>IF(E347&lt;0,"ERROR",IF(E347=0,"",IF(E347&lt;CONFIG!$B$4,"CRÍTICO",IF(E347&lt;CONFIG!$B$5,"BAJO","OK"))))</f>
        <v/>
      </c>
    </row>
    <row r="348" ht="15.75" customHeight="1">
      <c r="A348" s="90" t="str">
        <f>IF(CLIENTES!A6="","",CLIENTES!A6)</f>
        <v/>
      </c>
      <c r="B348" s="67" t="str">
        <f>TELAS!A7</f>
        <v>french terry 24/1</v>
      </c>
      <c r="C348" s="67" t="str">
        <f>COLORES!A8</f>
        <v>Beige</v>
      </c>
      <c r="D348" s="67" t="str">
        <f>COLORES!B8</f>
        <v>CLARO</v>
      </c>
      <c r="E348" s="100">
        <f>IFERROR(SUMIFS(MOVIMIENTOS!$F$4:$F$1000,MOVIMIENTOS!$C$4:$C$1000,A348,MOVIMIENTOS!$D$4:$D$1000,B348,MOVIMIENTOS!$E$4:$E$1000,C348,MOVIMIENTOS!$B$4:$B$1000,"INGRESO")+SUMIFS(MOVIMIENTOS!$F$4:$F$1000,MOVIMIENTOS!$C$4:$C$1000,A348,MOVIMIENTOS!$D$4:$D$1000,B348,MOVIMIENTOS!$E$4:$E$1000,C348,MOVIMIENTOS!$B$4:$B$1000,"DE REPROCESO")+SUMIFS(MOVIMIENTOS!$F$4:$F$1000,MOVIMIENTOS!$C$4:$C$1000,A348,MOVIMIENTOS!$D$4:$D$1000,B348,MOVIMIENTOS!$E$4:$E$1000,C348,MOVIMIENTOS!$B$4:$B$1000,"AJUSTE+")-SUMIFS(MOVIMIENTOS!$F$4:$F$1000,MOVIMIENTOS!$C$4:$C$1000,A348,MOVIMIENTOS!$D$4:$D$1000,B348,MOVIMIENTOS!$E$4:$E$1000,C348,MOVIMIENTOS!$B$4:$B$1000,"A CORTE")-SUMIFS(MOVIMIENTOS!$F$4:$F$1000,MOVIMIENTOS!$C$4:$C$1000,A348,MOVIMIENTOS!$D$4:$D$1000,B348,MOVIMIENTOS!$E$4:$E$1000,C348,MOVIMIENTOS!$B$4:$B$1000,"A REPROCESO")-SUMIFS(MOVIMIENTOS!$F$4:$F$1000,MOVIMIENTOS!$C$4:$C$1000,A348,MOVIMIENTOS!$D$4:$D$1000,B348,MOVIMIENTOS!$E$4:$E$1000,C348,MOVIMIENTOS!$B$4:$B$1000,"MUESTRA")-SUMIFS(MOVIMIENTOS!$F$4:$F$1000,MOVIMIENTOS!$C$4:$C$1000,A348,MOVIMIENTOS!$D$4:$D$1000,B348,MOVIMIENTOS!$E$4:$E$1000,C348,MOVIMIENTOS!$B$4:$B$1000,"AJUSTE-"),0)</f>
        <v>0</v>
      </c>
      <c r="F348" s="101">
        <f>IFERROR(E348*VLOOKUP(B348,TELAS!$A$4:$C$32,3,FALSE()),0)</f>
        <v>0</v>
      </c>
      <c r="G348" s="102">
        <f>IFERROR(IF(D348="OSCURO",VLOOKUP(B348,PRECIOS!$A$4:$F$32,2,FALSE()),IF(D348="CLARO",VLOOKUP(B348,PRECIOS!$A$4:$F$32,3,FALSE()),IF(D348="MELANGE",VLOOKUP(B348,PRECIOS!$A$4:$F$32,4,FALSE()),IF(D348="PPT",VLOOKUP(B348,PRECIOS!$A$4:$F$32,5,FALSE()),0)))),0)</f>
        <v>21</v>
      </c>
      <c r="H348" s="103">
        <f t="shared" si="1"/>
        <v>0</v>
      </c>
      <c r="I348" s="104" t="str">
        <f>IF(E348&lt;0,"ERROR",IF(E348=0,"",IF(E348&lt;CONFIG!$B$4,"CRÍTICO",IF(E348&lt;CONFIG!$B$5,"BAJO","OK"))))</f>
        <v/>
      </c>
    </row>
    <row r="349" ht="15.75" customHeight="1">
      <c r="A349" s="90" t="str">
        <f>IF(CLIENTES!A6="","",CLIENTES!A6)</f>
        <v/>
      </c>
      <c r="B349" s="67" t="str">
        <f>TELAS!A7</f>
        <v>french terry 24/1</v>
      </c>
      <c r="C349" s="67" t="str">
        <f>COLORES!A9</f>
        <v>Melange</v>
      </c>
      <c r="D349" s="67" t="str">
        <f>COLORES!B9</f>
        <v>MELANGE</v>
      </c>
      <c r="E349" s="100">
        <f>IFERROR(SUMIFS(MOVIMIENTOS!$F$4:$F$1000,MOVIMIENTOS!$C$4:$C$1000,A349,MOVIMIENTOS!$D$4:$D$1000,B349,MOVIMIENTOS!$E$4:$E$1000,C349,MOVIMIENTOS!$B$4:$B$1000,"INGRESO")+SUMIFS(MOVIMIENTOS!$F$4:$F$1000,MOVIMIENTOS!$C$4:$C$1000,A349,MOVIMIENTOS!$D$4:$D$1000,B349,MOVIMIENTOS!$E$4:$E$1000,C349,MOVIMIENTOS!$B$4:$B$1000,"DE REPROCESO")+SUMIFS(MOVIMIENTOS!$F$4:$F$1000,MOVIMIENTOS!$C$4:$C$1000,A349,MOVIMIENTOS!$D$4:$D$1000,B349,MOVIMIENTOS!$E$4:$E$1000,C349,MOVIMIENTOS!$B$4:$B$1000,"AJUSTE+")-SUMIFS(MOVIMIENTOS!$F$4:$F$1000,MOVIMIENTOS!$C$4:$C$1000,A349,MOVIMIENTOS!$D$4:$D$1000,B349,MOVIMIENTOS!$E$4:$E$1000,C349,MOVIMIENTOS!$B$4:$B$1000,"A CORTE")-SUMIFS(MOVIMIENTOS!$F$4:$F$1000,MOVIMIENTOS!$C$4:$C$1000,A349,MOVIMIENTOS!$D$4:$D$1000,B349,MOVIMIENTOS!$E$4:$E$1000,C349,MOVIMIENTOS!$B$4:$B$1000,"A REPROCESO")-SUMIFS(MOVIMIENTOS!$F$4:$F$1000,MOVIMIENTOS!$C$4:$C$1000,A349,MOVIMIENTOS!$D$4:$D$1000,B349,MOVIMIENTOS!$E$4:$E$1000,C349,MOVIMIENTOS!$B$4:$B$1000,"MUESTRA")-SUMIFS(MOVIMIENTOS!$F$4:$F$1000,MOVIMIENTOS!$C$4:$C$1000,A349,MOVIMIENTOS!$D$4:$D$1000,B349,MOVIMIENTOS!$E$4:$E$1000,C349,MOVIMIENTOS!$B$4:$B$1000,"AJUSTE-"),0)</f>
        <v>0</v>
      </c>
      <c r="F349" s="101">
        <f>IFERROR(E349*VLOOKUP(B349,TELAS!$A$4:$C$32,3,FALSE()),0)</f>
        <v>0</v>
      </c>
      <c r="G349" s="102">
        <f>IFERROR(IF(D349="OSCURO",VLOOKUP(B349,PRECIOS!$A$4:$F$32,2,FALSE()),IF(D349="CLARO",VLOOKUP(B349,PRECIOS!$A$4:$F$32,3,FALSE()),IF(D349="MELANGE",VLOOKUP(B349,PRECIOS!$A$4:$F$32,4,FALSE()),IF(D349="PPT",VLOOKUP(B349,PRECIOS!$A$4:$F$32,5,FALSE()),0)))),0)</f>
        <v>18</v>
      </c>
      <c r="H349" s="103">
        <f t="shared" si="1"/>
        <v>0</v>
      </c>
      <c r="I349" s="104" t="str">
        <f>IF(E349&lt;0,"ERROR",IF(E349=0,"",IF(E349&lt;CONFIG!$B$4,"CRÍTICO",IF(E349&lt;CONFIG!$B$5,"BAJO","OK"))))</f>
        <v/>
      </c>
    </row>
    <row r="350" ht="15.75" customHeight="1">
      <c r="A350" s="90" t="str">
        <f>IF(CLIENTES!A6="","",CLIENTES!A6)</f>
        <v/>
      </c>
      <c r="B350" s="67" t="str">
        <f>TELAS!A7</f>
        <v>french terry 24/1</v>
      </c>
      <c r="C350" s="67" t="str">
        <f>COLORES!A10</f>
        <v>Botella</v>
      </c>
      <c r="D350" s="67" t="str">
        <f>COLORES!B10</f>
        <v>OSCURO</v>
      </c>
      <c r="E350" s="100">
        <f>IFERROR(SUMIFS(MOVIMIENTOS!$F$4:$F$1000,MOVIMIENTOS!$C$4:$C$1000,A350,MOVIMIENTOS!$D$4:$D$1000,B350,MOVIMIENTOS!$E$4:$E$1000,C350,MOVIMIENTOS!$B$4:$B$1000,"INGRESO")+SUMIFS(MOVIMIENTOS!$F$4:$F$1000,MOVIMIENTOS!$C$4:$C$1000,A350,MOVIMIENTOS!$D$4:$D$1000,B350,MOVIMIENTOS!$E$4:$E$1000,C350,MOVIMIENTOS!$B$4:$B$1000,"DE REPROCESO")+SUMIFS(MOVIMIENTOS!$F$4:$F$1000,MOVIMIENTOS!$C$4:$C$1000,A350,MOVIMIENTOS!$D$4:$D$1000,B350,MOVIMIENTOS!$E$4:$E$1000,C350,MOVIMIENTOS!$B$4:$B$1000,"AJUSTE+")-SUMIFS(MOVIMIENTOS!$F$4:$F$1000,MOVIMIENTOS!$C$4:$C$1000,A350,MOVIMIENTOS!$D$4:$D$1000,B350,MOVIMIENTOS!$E$4:$E$1000,C350,MOVIMIENTOS!$B$4:$B$1000,"A CORTE")-SUMIFS(MOVIMIENTOS!$F$4:$F$1000,MOVIMIENTOS!$C$4:$C$1000,A350,MOVIMIENTOS!$D$4:$D$1000,B350,MOVIMIENTOS!$E$4:$E$1000,C350,MOVIMIENTOS!$B$4:$B$1000,"A REPROCESO")-SUMIFS(MOVIMIENTOS!$F$4:$F$1000,MOVIMIENTOS!$C$4:$C$1000,A350,MOVIMIENTOS!$D$4:$D$1000,B350,MOVIMIENTOS!$E$4:$E$1000,C350,MOVIMIENTOS!$B$4:$B$1000,"MUESTRA")-SUMIFS(MOVIMIENTOS!$F$4:$F$1000,MOVIMIENTOS!$C$4:$C$1000,A350,MOVIMIENTOS!$D$4:$D$1000,B350,MOVIMIENTOS!$E$4:$E$1000,C350,MOVIMIENTOS!$B$4:$B$1000,"AJUSTE-"),0)</f>
        <v>0</v>
      </c>
      <c r="F350" s="101">
        <f>IFERROR(E350*VLOOKUP(B350,TELAS!$A$4:$C$32,3,FALSE()),0)</f>
        <v>0</v>
      </c>
      <c r="G350" s="102">
        <f>IFERROR(IF(D350="OSCURO",VLOOKUP(B350,PRECIOS!$A$4:$F$32,2,FALSE()),IF(D350="CLARO",VLOOKUP(B350,PRECIOS!$A$4:$F$32,3,FALSE()),IF(D350="MELANGE",VLOOKUP(B350,PRECIOS!$A$4:$F$32,4,FALSE()),IF(D350="PPT",VLOOKUP(B350,PRECIOS!$A$4:$F$32,5,FALSE()),0)))),0)</f>
        <v>24</v>
      </c>
      <c r="H350" s="103">
        <f t="shared" si="1"/>
        <v>0</v>
      </c>
      <c r="I350" s="104" t="str">
        <f>IF(E350&lt;0,"ERROR",IF(E350=0,"",IF(E350&lt;CONFIG!$B$4,"CRÍTICO",IF(E350&lt;CONFIG!$B$5,"BAJO","OK"))))</f>
        <v/>
      </c>
    </row>
    <row r="351" ht="15.75" customHeight="1">
      <c r="A351" s="90" t="str">
        <f>IF(CLIENTES!A6="","",CLIENTES!A6)</f>
        <v/>
      </c>
      <c r="B351" s="67" t="str">
        <f>TELAS!A7</f>
        <v>french terry 24/1</v>
      </c>
      <c r="C351" s="67" t="str">
        <f>COLORES!A11</f>
        <v>Pacay</v>
      </c>
      <c r="D351" s="67" t="str">
        <f>COLORES!B11</f>
        <v>CLARO</v>
      </c>
      <c r="E351" s="100">
        <f>IFERROR(SUMIFS(MOVIMIENTOS!$F$4:$F$1000,MOVIMIENTOS!$C$4:$C$1000,A351,MOVIMIENTOS!$D$4:$D$1000,B351,MOVIMIENTOS!$E$4:$E$1000,C351,MOVIMIENTOS!$B$4:$B$1000,"INGRESO")+SUMIFS(MOVIMIENTOS!$F$4:$F$1000,MOVIMIENTOS!$C$4:$C$1000,A351,MOVIMIENTOS!$D$4:$D$1000,B351,MOVIMIENTOS!$E$4:$E$1000,C351,MOVIMIENTOS!$B$4:$B$1000,"DE REPROCESO")+SUMIFS(MOVIMIENTOS!$F$4:$F$1000,MOVIMIENTOS!$C$4:$C$1000,A351,MOVIMIENTOS!$D$4:$D$1000,B351,MOVIMIENTOS!$E$4:$E$1000,C351,MOVIMIENTOS!$B$4:$B$1000,"AJUSTE+")-SUMIFS(MOVIMIENTOS!$F$4:$F$1000,MOVIMIENTOS!$C$4:$C$1000,A351,MOVIMIENTOS!$D$4:$D$1000,B351,MOVIMIENTOS!$E$4:$E$1000,C351,MOVIMIENTOS!$B$4:$B$1000,"A CORTE")-SUMIFS(MOVIMIENTOS!$F$4:$F$1000,MOVIMIENTOS!$C$4:$C$1000,A351,MOVIMIENTOS!$D$4:$D$1000,B351,MOVIMIENTOS!$E$4:$E$1000,C351,MOVIMIENTOS!$B$4:$B$1000,"A REPROCESO")-SUMIFS(MOVIMIENTOS!$F$4:$F$1000,MOVIMIENTOS!$C$4:$C$1000,A351,MOVIMIENTOS!$D$4:$D$1000,B351,MOVIMIENTOS!$E$4:$E$1000,C351,MOVIMIENTOS!$B$4:$B$1000,"MUESTRA")-SUMIFS(MOVIMIENTOS!$F$4:$F$1000,MOVIMIENTOS!$C$4:$C$1000,A351,MOVIMIENTOS!$D$4:$D$1000,B351,MOVIMIENTOS!$E$4:$E$1000,C351,MOVIMIENTOS!$B$4:$B$1000,"AJUSTE-"),0)</f>
        <v>0</v>
      </c>
      <c r="F351" s="101">
        <f>IFERROR(E351*VLOOKUP(B351,TELAS!$A$4:$C$32,3,FALSE()),0)</f>
        <v>0</v>
      </c>
      <c r="G351" s="102">
        <f>IFERROR(IF(D351="OSCURO",VLOOKUP(B351,PRECIOS!$A$4:$F$32,2,FALSE()),IF(D351="CLARO",VLOOKUP(B351,PRECIOS!$A$4:$F$32,3,FALSE()),IF(D351="MELANGE",VLOOKUP(B351,PRECIOS!$A$4:$F$32,4,FALSE()),IF(D351="PPT",VLOOKUP(B351,PRECIOS!$A$4:$F$32,5,FALSE()),0)))),0)</f>
        <v>21</v>
      </c>
      <c r="H351" s="103">
        <f t="shared" si="1"/>
        <v>0</v>
      </c>
      <c r="I351" s="104" t="str">
        <f>IF(E351&lt;0,"ERROR",IF(E351=0,"",IF(E351&lt;CONFIG!$B$4,"CRÍTICO",IF(E351&lt;CONFIG!$B$5,"BAJO","OK"))))</f>
        <v/>
      </c>
    </row>
    <row r="352" ht="15.75" customHeight="1">
      <c r="A352" s="90" t="str">
        <f>IF(CLIENTES!A6="","",CLIENTES!A6)</f>
        <v/>
      </c>
      <c r="B352" s="67" t="str">
        <f>TELAS!A7</f>
        <v>french terry 24/1</v>
      </c>
      <c r="C352" s="67" t="str">
        <f>COLORES!A12</f>
        <v>Cemento</v>
      </c>
      <c r="D352" s="67" t="str">
        <f>COLORES!B12</f>
        <v>CLARO</v>
      </c>
      <c r="E352" s="100">
        <f>IFERROR(SUMIFS(MOVIMIENTOS!$F$4:$F$1000,MOVIMIENTOS!$C$4:$C$1000,A352,MOVIMIENTOS!$D$4:$D$1000,B352,MOVIMIENTOS!$E$4:$E$1000,C352,MOVIMIENTOS!$B$4:$B$1000,"INGRESO")+SUMIFS(MOVIMIENTOS!$F$4:$F$1000,MOVIMIENTOS!$C$4:$C$1000,A352,MOVIMIENTOS!$D$4:$D$1000,B352,MOVIMIENTOS!$E$4:$E$1000,C352,MOVIMIENTOS!$B$4:$B$1000,"DE REPROCESO")+SUMIFS(MOVIMIENTOS!$F$4:$F$1000,MOVIMIENTOS!$C$4:$C$1000,A352,MOVIMIENTOS!$D$4:$D$1000,B352,MOVIMIENTOS!$E$4:$E$1000,C352,MOVIMIENTOS!$B$4:$B$1000,"AJUSTE+")-SUMIFS(MOVIMIENTOS!$F$4:$F$1000,MOVIMIENTOS!$C$4:$C$1000,A352,MOVIMIENTOS!$D$4:$D$1000,B352,MOVIMIENTOS!$E$4:$E$1000,C352,MOVIMIENTOS!$B$4:$B$1000,"A CORTE")-SUMIFS(MOVIMIENTOS!$F$4:$F$1000,MOVIMIENTOS!$C$4:$C$1000,A352,MOVIMIENTOS!$D$4:$D$1000,B352,MOVIMIENTOS!$E$4:$E$1000,C352,MOVIMIENTOS!$B$4:$B$1000,"A REPROCESO")-SUMIFS(MOVIMIENTOS!$F$4:$F$1000,MOVIMIENTOS!$C$4:$C$1000,A352,MOVIMIENTOS!$D$4:$D$1000,B352,MOVIMIENTOS!$E$4:$E$1000,C352,MOVIMIENTOS!$B$4:$B$1000,"MUESTRA")-SUMIFS(MOVIMIENTOS!$F$4:$F$1000,MOVIMIENTOS!$C$4:$C$1000,A352,MOVIMIENTOS!$D$4:$D$1000,B352,MOVIMIENTOS!$E$4:$E$1000,C352,MOVIMIENTOS!$B$4:$B$1000,"AJUSTE-"),0)</f>
        <v>0</v>
      </c>
      <c r="F352" s="101">
        <f>IFERROR(E352*VLOOKUP(B352,TELAS!$A$4:$C$32,3,FALSE()),0)</f>
        <v>0</v>
      </c>
      <c r="G352" s="102">
        <f>IFERROR(IF(D352="OSCURO",VLOOKUP(B352,PRECIOS!$A$4:$F$32,2,FALSE()),IF(D352="CLARO",VLOOKUP(B352,PRECIOS!$A$4:$F$32,3,FALSE()),IF(D352="MELANGE",VLOOKUP(B352,PRECIOS!$A$4:$F$32,4,FALSE()),IF(D352="PPT",VLOOKUP(B352,PRECIOS!$A$4:$F$32,5,FALSE()),0)))),0)</f>
        <v>21</v>
      </c>
      <c r="H352" s="103">
        <f t="shared" si="1"/>
        <v>0</v>
      </c>
      <c r="I352" s="104" t="str">
        <f>IF(E352&lt;0,"ERROR",IF(E352=0,"",IF(E352&lt;CONFIG!$B$4,"CRÍTICO",IF(E352&lt;CONFIG!$B$5,"BAJO","OK"))))</f>
        <v/>
      </c>
    </row>
    <row r="353" ht="15.75" customHeight="1">
      <c r="A353" s="90" t="str">
        <f>IF(CLIENTES!A6="","",CLIENTES!A6)</f>
        <v/>
      </c>
      <c r="B353" s="67" t="str">
        <f>TELAS!A7</f>
        <v>french terry 24/1</v>
      </c>
      <c r="C353" s="67" t="str">
        <f>COLORES!A13</f>
        <v>Camote</v>
      </c>
      <c r="D353" s="67" t="str">
        <f>COLORES!B13</f>
        <v>CLARO</v>
      </c>
      <c r="E353" s="100">
        <f>IFERROR(SUMIFS(MOVIMIENTOS!$F$4:$F$1000,MOVIMIENTOS!$C$4:$C$1000,A353,MOVIMIENTOS!$D$4:$D$1000,B353,MOVIMIENTOS!$E$4:$E$1000,C353,MOVIMIENTOS!$B$4:$B$1000,"INGRESO")+SUMIFS(MOVIMIENTOS!$F$4:$F$1000,MOVIMIENTOS!$C$4:$C$1000,A353,MOVIMIENTOS!$D$4:$D$1000,B353,MOVIMIENTOS!$E$4:$E$1000,C353,MOVIMIENTOS!$B$4:$B$1000,"DE REPROCESO")+SUMIFS(MOVIMIENTOS!$F$4:$F$1000,MOVIMIENTOS!$C$4:$C$1000,A353,MOVIMIENTOS!$D$4:$D$1000,B353,MOVIMIENTOS!$E$4:$E$1000,C353,MOVIMIENTOS!$B$4:$B$1000,"AJUSTE+")-SUMIFS(MOVIMIENTOS!$F$4:$F$1000,MOVIMIENTOS!$C$4:$C$1000,A353,MOVIMIENTOS!$D$4:$D$1000,B353,MOVIMIENTOS!$E$4:$E$1000,C353,MOVIMIENTOS!$B$4:$B$1000,"A CORTE")-SUMIFS(MOVIMIENTOS!$F$4:$F$1000,MOVIMIENTOS!$C$4:$C$1000,A353,MOVIMIENTOS!$D$4:$D$1000,B353,MOVIMIENTOS!$E$4:$E$1000,C353,MOVIMIENTOS!$B$4:$B$1000,"A REPROCESO")-SUMIFS(MOVIMIENTOS!$F$4:$F$1000,MOVIMIENTOS!$C$4:$C$1000,A353,MOVIMIENTOS!$D$4:$D$1000,B353,MOVIMIENTOS!$E$4:$E$1000,C353,MOVIMIENTOS!$B$4:$B$1000,"MUESTRA")-SUMIFS(MOVIMIENTOS!$F$4:$F$1000,MOVIMIENTOS!$C$4:$C$1000,A353,MOVIMIENTOS!$D$4:$D$1000,B353,MOVIMIENTOS!$E$4:$E$1000,C353,MOVIMIENTOS!$B$4:$B$1000,"AJUSTE-"),0)</f>
        <v>0</v>
      </c>
      <c r="F353" s="101">
        <f>IFERROR(E353*VLOOKUP(B353,TELAS!$A$4:$C$32,3,FALSE()),0)</f>
        <v>0</v>
      </c>
      <c r="G353" s="102">
        <f>IFERROR(IF(D353="OSCURO",VLOOKUP(B353,PRECIOS!$A$4:$F$32,2,FALSE()),IF(D353="CLARO",VLOOKUP(B353,PRECIOS!$A$4:$F$32,3,FALSE()),IF(D353="MELANGE",VLOOKUP(B353,PRECIOS!$A$4:$F$32,4,FALSE()),IF(D353="PPT",VLOOKUP(B353,PRECIOS!$A$4:$F$32,5,FALSE()),0)))),0)</f>
        <v>21</v>
      </c>
      <c r="H353" s="103">
        <f t="shared" si="1"/>
        <v>0</v>
      </c>
      <c r="I353" s="104" t="str">
        <f>IF(E353&lt;0,"ERROR",IF(E353=0,"",IF(E353&lt;CONFIG!$B$4,"CRÍTICO",IF(E353&lt;CONFIG!$B$5,"BAJO","OK"))))</f>
        <v/>
      </c>
    </row>
    <row r="354" ht="15.75" customHeight="1">
      <c r="A354" s="90" t="str">
        <f>IF(CLIENTES!A6="","",CLIENTES!A6)</f>
        <v/>
      </c>
      <c r="B354" s="67" t="str">
        <f>TELAS!A7</f>
        <v>french terry 24/1</v>
      </c>
      <c r="C354" s="67" t="str">
        <f>COLORES!A14</f>
        <v>Denim</v>
      </c>
      <c r="D354" s="67" t="str">
        <f>COLORES!B14</f>
        <v>CLARO</v>
      </c>
      <c r="E354" s="100">
        <f>IFERROR(SUMIFS(MOVIMIENTOS!$F$4:$F$1000,MOVIMIENTOS!$C$4:$C$1000,A354,MOVIMIENTOS!$D$4:$D$1000,B354,MOVIMIENTOS!$E$4:$E$1000,C354,MOVIMIENTOS!$B$4:$B$1000,"INGRESO")+SUMIFS(MOVIMIENTOS!$F$4:$F$1000,MOVIMIENTOS!$C$4:$C$1000,A354,MOVIMIENTOS!$D$4:$D$1000,B354,MOVIMIENTOS!$E$4:$E$1000,C354,MOVIMIENTOS!$B$4:$B$1000,"DE REPROCESO")+SUMIFS(MOVIMIENTOS!$F$4:$F$1000,MOVIMIENTOS!$C$4:$C$1000,A354,MOVIMIENTOS!$D$4:$D$1000,B354,MOVIMIENTOS!$E$4:$E$1000,C354,MOVIMIENTOS!$B$4:$B$1000,"AJUSTE+")-SUMIFS(MOVIMIENTOS!$F$4:$F$1000,MOVIMIENTOS!$C$4:$C$1000,A354,MOVIMIENTOS!$D$4:$D$1000,B354,MOVIMIENTOS!$E$4:$E$1000,C354,MOVIMIENTOS!$B$4:$B$1000,"A CORTE")-SUMIFS(MOVIMIENTOS!$F$4:$F$1000,MOVIMIENTOS!$C$4:$C$1000,A354,MOVIMIENTOS!$D$4:$D$1000,B354,MOVIMIENTOS!$E$4:$E$1000,C354,MOVIMIENTOS!$B$4:$B$1000,"A REPROCESO")-SUMIFS(MOVIMIENTOS!$F$4:$F$1000,MOVIMIENTOS!$C$4:$C$1000,A354,MOVIMIENTOS!$D$4:$D$1000,B354,MOVIMIENTOS!$E$4:$E$1000,C354,MOVIMIENTOS!$B$4:$B$1000,"MUESTRA")-SUMIFS(MOVIMIENTOS!$F$4:$F$1000,MOVIMIENTOS!$C$4:$C$1000,A354,MOVIMIENTOS!$D$4:$D$1000,B354,MOVIMIENTOS!$E$4:$E$1000,C354,MOVIMIENTOS!$B$4:$B$1000,"AJUSTE-"),0)</f>
        <v>0</v>
      </c>
      <c r="F354" s="101">
        <f>IFERROR(E354*VLOOKUP(B354,TELAS!$A$4:$C$32,3,FALSE()),0)</f>
        <v>0</v>
      </c>
      <c r="G354" s="102">
        <f>IFERROR(IF(D354="OSCURO",VLOOKUP(B354,PRECIOS!$A$4:$F$32,2,FALSE()),IF(D354="CLARO",VLOOKUP(B354,PRECIOS!$A$4:$F$32,3,FALSE()),IF(D354="MELANGE",VLOOKUP(B354,PRECIOS!$A$4:$F$32,4,FALSE()),IF(D354="PPT",VLOOKUP(B354,PRECIOS!$A$4:$F$32,5,FALSE()),0)))),0)</f>
        <v>21</v>
      </c>
      <c r="H354" s="103">
        <f t="shared" si="1"/>
        <v>0</v>
      </c>
      <c r="I354" s="104" t="str">
        <f>IF(E354&lt;0,"ERROR",IF(E354=0,"",IF(E354&lt;CONFIG!$B$4,"CRÍTICO",IF(E354&lt;CONFIG!$B$5,"BAJO","OK"))))</f>
        <v/>
      </c>
    </row>
    <row r="355" ht="15.75" customHeight="1">
      <c r="A355" s="90" t="str">
        <f>IF(CLIENTES!A6="","",CLIENTES!A6)</f>
        <v/>
      </c>
      <c r="B355" s="67" t="str">
        <f>TELAS!A7</f>
        <v>french terry 24/1</v>
      </c>
      <c r="C355" s="67" t="str">
        <f>COLORES!A15</f>
        <v>Plomo</v>
      </c>
      <c r="D355" s="67" t="str">
        <f>COLORES!B15</f>
        <v>OSCURO</v>
      </c>
      <c r="E355" s="100">
        <f>IFERROR(SUMIFS(MOVIMIENTOS!$F$4:$F$1000,MOVIMIENTOS!$C$4:$C$1000,A355,MOVIMIENTOS!$D$4:$D$1000,B355,MOVIMIENTOS!$E$4:$E$1000,C355,MOVIMIENTOS!$B$4:$B$1000,"INGRESO")+SUMIFS(MOVIMIENTOS!$F$4:$F$1000,MOVIMIENTOS!$C$4:$C$1000,A355,MOVIMIENTOS!$D$4:$D$1000,B355,MOVIMIENTOS!$E$4:$E$1000,C355,MOVIMIENTOS!$B$4:$B$1000,"DE REPROCESO")+SUMIFS(MOVIMIENTOS!$F$4:$F$1000,MOVIMIENTOS!$C$4:$C$1000,A355,MOVIMIENTOS!$D$4:$D$1000,B355,MOVIMIENTOS!$E$4:$E$1000,C355,MOVIMIENTOS!$B$4:$B$1000,"AJUSTE+")-SUMIFS(MOVIMIENTOS!$F$4:$F$1000,MOVIMIENTOS!$C$4:$C$1000,A355,MOVIMIENTOS!$D$4:$D$1000,B355,MOVIMIENTOS!$E$4:$E$1000,C355,MOVIMIENTOS!$B$4:$B$1000,"A CORTE")-SUMIFS(MOVIMIENTOS!$F$4:$F$1000,MOVIMIENTOS!$C$4:$C$1000,A355,MOVIMIENTOS!$D$4:$D$1000,B355,MOVIMIENTOS!$E$4:$E$1000,C355,MOVIMIENTOS!$B$4:$B$1000,"A REPROCESO")-SUMIFS(MOVIMIENTOS!$F$4:$F$1000,MOVIMIENTOS!$C$4:$C$1000,A355,MOVIMIENTOS!$D$4:$D$1000,B355,MOVIMIENTOS!$E$4:$E$1000,C355,MOVIMIENTOS!$B$4:$B$1000,"MUESTRA")-SUMIFS(MOVIMIENTOS!$F$4:$F$1000,MOVIMIENTOS!$C$4:$C$1000,A355,MOVIMIENTOS!$D$4:$D$1000,B355,MOVIMIENTOS!$E$4:$E$1000,C355,MOVIMIENTOS!$B$4:$B$1000,"AJUSTE-"),0)</f>
        <v>0</v>
      </c>
      <c r="F355" s="101">
        <f>IFERROR(E355*VLOOKUP(B355,TELAS!$A$4:$C$32,3,FALSE()),0)</f>
        <v>0</v>
      </c>
      <c r="G355" s="102">
        <f>IFERROR(IF(D355="OSCURO",VLOOKUP(B355,PRECIOS!$A$4:$F$32,2,FALSE()),IF(D355="CLARO",VLOOKUP(B355,PRECIOS!$A$4:$F$32,3,FALSE()),IF(D355="MELANGE",VLOOKUP(B355,PRECIOS!$A$4:$F$32,4,FALSE()),IF(D355="PPT",VLOOKUP(B355,PRECIOS!$A$4:$F$32,5,FALSE()),0)))),0)</f>
        <v>24</v>
      </c>
      <c r="H355" s="103">
        <f t="shared" si="1"/>
        <v>0</v>
      </c>
      <c r="I355" s="104" t="str">
        <f>IF(E355&lt;0,"ERROR",IF(E355=0,"",IF(E355&lt;CONFIG!$B$4,"CRÍTICO",IF(E355&lt;CONFIG!$B$5,"BAJO","OK"))))</f>
        <v/>
      </c>
    </row>
    <row r="356" ht="15.75" customHeight="1">
      <c r="A356" s="90" t="str">
        <f>IF(CLIENTES!A6="","",CLIENTES!A6)</f>
        <v/>
      </c>
      <c r="B356" s="67" t="str">
        <f>TELAS!A7</f>
        <v>french terry 24/1</v>
      </c>
      <c r="C356" s="67" t="str">
        <f>COLORES!A16</f>
        <v>Topo</v>
      </c>
      <c r="D356" s="67" t="str">
        <f>COLORES!B16</f>
        <v>CLARO</v>
      </c>
      <c r="E356" s="100">
        <f>IFERROR(SUMIFS(MOVIMIENTOS!$F$4:$F$1000,MOVIMIENTOS!$C$4:$C$1000,A356,MOVIMIENTOS!$D$4:$D$1000,B356,MOVIMIENTOS!$E$4:$E$1000,C356,MOVIMIENTOS!$B$4:$B$1000,"INGRESO")+SUMIFS(MOVIMIENTOS!$F$4:$F$1000,MOVIMIENTOS!$C$4:$C$1000,A356,MOVIMIENTOS!$D$4:$D$1000,B356,MOVIMIENTOS!$E$4:$E$1000,C356,MOVIMIENTOS!$B$4:$B$1000,"DE REPROCESO")+SUMIFS(MOVIMIENTOS!$F$4:$F$1000,MOVIMIENTOS!$C$4:$C$1000,A356,MOVIMIENTOS!$D$4:$D$1000,B356,MOVIMIENTOS!$E$4:$E$1000,C356,MOVIMIENTOS!$B$4:$B$1000,"AJUSTE+")-SUMIFS(MOVIMIENTOS!$F$4:$F$1000,MOVIMIENTOS!$C$4:$C$1000,A356,MOVIMIENTOS!$D$4:$D$1000,B356,MOVIMIENTOS!$E$4:$E$1000,C356,MOVIMIENTOS!$B$4:$B$1000,"A CORTE")-SUMIFS(MOVIMIENTOS!$F$4:$F$1000,MOVIMIENTOS!$C$4:$C$1000,A356,MOVIMIENTOS!$D$4:$D$1000,B356,MOVIMIENTOS!$E$4:$E$1000,C356,MOVIMIENTOS!$B$4:$B$1000,"A REPROCESO")-SUMIFS(MOVIMIENTOS!$F$4:$F$1000,MOVIMIENTOS!$C$4:$C$1000,A356,MOVIMIENTOS!$D$4:$D$1000,B356,MOVIMIENTOS!$E$4:$E$1000,C356,MOVIMIENTOS!$B$4:$B$1000,"MUESTRA")-SUMIFS(MOVIMIENTOS!$F$4:$F$1000,MOVIMIENTOS!$C$4:$C$1000,A356,MOVIMIENTOS!$D$4:$D$1000,B356,MOVIMIENTOS!$E$4:$E$1000,C356,MOVIMIENTOS!$B$4:$B$1000,"AJUSTE-"),0)</f>
        <v>0</v>
      </c>
      <c r="F356" s="101">
        <f>IFERROR(E356*VLOOKUP(B356,TELAS!$A$4:$C$32,3,FALSE()),0)</f>
        <v>0</v>
      </c>
      <c r="G356" s="102">
        <f>IFERROR(IF(D356="OSCURO",VLOOKUP(B356,PRECIOS!$A$4:$F$32,2,FALSE()),IF(D356="CLARO",VLOOKUP(B356,PRECIOS!$A$4:$F$32,3,FALSE()),IF(D356="MELANGE",VLOOKUP(B356,PRECIOS!$A$4:$F$32,4,FALSE()),IF(D356="PPT",VLOOKUP(B356,PRECIOS!$A$4:$F$32,5,FALSE()),0)))),0)</f>
        <v>21</v>
      </c>
      <c r="H356" s="103">
        <f t="shared" si="1"/>
        <v>0</v>
      </c>
      <c r="I356" s="104" t="str">
        <f>IF(E356&lt;0,"ERROR",IF(E356=0,"",IF(E356&lt;CONFIG!$B$4,"CRÍTICO",IF(E356&lt;CONFIG!$B$5,"BAJO","OK"))))</f>
        <v/>
      </c>
    </row>
    <row r="357" ht="15.75" customHeight="1">
      <c r="A357" s="90" t="str">
        <f>IF(CLIENTES!A6="","",CLIENTES!A6)</f>
        <v/>
      </c>
      <c r="B357" s="67" t="str">
        <f>TELAS!A7</f>
        <v>french terry 24/1</v>
      </c>
      <c r="C357" s="67" t="str">
        <f>COLORES!A17</f>
        <v>Vino</v>
      </c>
      <c r="D357" s="67" t="str">
        <f>COLORES!B17</f>
        <v>OSCURO</v>
      </c>
      <c r="E357" s="100">
        <f>IFERROR(SUMIFS(MOVIMIENTOS!$F$4:$F$1000,MOVIMIENTOS!$C$4:$C$1000,A357,MOVIMIENTOS!$D$4:$D$1000,B357,MOVIMIENTOS!$E$4:$E$1000,C357,MOVIMIENTOS!$B$4:$B$1000,"INGRESO")+SUMIFS(MOVIMIENTOS!$F$4:$F$1000,MOVIMIENTOS!$C$4:$C$1000,A357,MOVIMIENTOS!$D$4:$D$1000,B357,MOVIMIENTOS!$E$4:$E$1000,C357,MOVIMIENTOS!$B$4:$B$1000,"DE REPROCESO")+SUMIFS(MOVIMIENTOS!$F$4:$F$1000,MOVIMIENTOS!$C$4:$C$1000,A357,MOVIMIENTOS!$D$4:$D$1000,B357,MOVIMIENTOS!$E$4:$E$1000,C357,MOVIMIENTOS!$B$4:$B$1000,"AJUSTE+")-SUMIFS(MOVIMIENTOS!$F$4:$F$1000,MOVIMIENTOS!$C$4:$C$1000,A357,MOVIMIENTOS!$D$4:$D$1000,B357,MOVIMIENTOS!$E$4:$E$1000,C357,MOVIMIENTOS!$B$4:$B$1000,"A CORTE")-SUMIFS(MOVIMIENTOS!$F$4:$F$1000,MOVIMIENTOS!$C$4:$C$1000,A357,MOVIMIENTOS!$D$4:$D$1000,B357,MOVIMIENTOS!$E$4:$E$1000,C357,MOVIMIENTOS!$B$4:$B$1000,"A REPROCESO")-SUMIFS(MOVIMIENTOS!$F$4:$F$1000,MOVIMIENTOS!$C$4:$C$1000,A357,MOVIMIENTOS!$D$4:$D$1000,B357,MOVIMIENTOS!$E$4:$E$1000,C357,MOVIMIENTOS!$B$4:$B$1000,"MUESTRA")-SUMIFS(MOVIMIENTOS!$F$4:$F$1000,MOVIMIENTOS!$C$4:$C$1000,A357,MOVIMIENTOS!$D$4:$D$1000,B357,MOVIMIENTOS!$E$4:$E$1000,C357,MOVIMIENTOS!$B$4:$B$1000,"AJUSTE-"),0)</f>
        <v>0</v>
      </c>
      <c r="F357" s="101">
        <f>IFERROR(E357*VLOOKUP(B357,TELAS!$A$4:$C$32,3,FALSE()),0)</f>
        <v>0</v>
      </c>
      <c r="G357" s="102">
        <f>IFERROR(IF(D357="OSCURO",VLOOKUP(B357,PRECIOS!$A$4:$F$32,2,FALSE()),IF(D357="CLARO",VLOOKUP(B357,PRECIOS!$A$4:$F$32,3,FALSE()),IF(D357="MELANGE",VLOOKUP(B357,PRECIOS!$A$4:$F$32,4,FALSE()),IF(D357="PPT",VLOOKUP(B357,PRECIOS!$A$4:$F$32,5,FALSE()),0)))),0)</f>
        <v>24</v>
      </c>
      <c r="H357" s="103">
        <f t="shared" si="1"/>
        <v>0</v>
      </c>
      <c r="I357" s="104" t="str">
        <f>IF(E357&lt;0,"ERROR",IF(E357=0,"",IF(E357&lt;CONFIG!$B$4,"CRÍTICO",IF(E357&lt;CONFIG!$B$5,"BAJO","OK"))))</f>
        <v/>
      </c>
    </row>
    <row r="358" ht="15.75" customHeight="1">
      <c r="A358" s="90" t="str">
        <f>IF(CLIENTES!A6="","",CLIENTES!A6)</f>
        <v/>
      </c>
      <c r="B358" s="67" t="str">
        <f>TELAS!A7</f>
        <v>french terry 24/1</v>
      </c>
      <c r="C358" s="67" t="str">
        <f>COLORES!A18</f>
        <v>P. Rosa</v>
      </c>
      <c r="D358" s="67" t="str">
        <f>COLORES!B18</f>
        <v>CLARO</v>
      </c>
      <c r="E358" s="100">
        <f>IFERROR(SUMIFS(MOVIMIENTOS!$F$4:$F$1000,MOVIMIENTOS!$C$4:$C$1000,A358,MOVIMIENTOS!$D$4:$D$1000,B358,MOVIMIENTOS!$E$4:$E$1000,C358,MOVIMIENTOS!$B$4:$B$1000,"INGRESO")+SUMIFS(MOVIMIENTOS!$F$4:$F$1000,MOVIMIENTOS!$C$4:$C$1000,A358,MOVIMIENTOS!$D$4:$D$1000,B358,MOVIMIENTOS!$E$4:$E$1000,C358,MOVIMIENTOS!$B$4:$B$1000,"DE REPROCESO")+SUMIFS(MOVIMIENTOS!$F$4:$F$1000,MOVIMIENTOS!$C$4:$C$1000,A358,MOVIMIENTOS!$D$4:$D$1000,B358,MOVIMIENTOS!$E$4:$E$1000,C358,MOVIMIENTOS!$B$4:$B$1000,"AJUSTE+")-SUMIFS(MOVIMIENTOS!$F$4:$F$1000,MOVIMIENTOS!$C$4:$C$1000,A358,MOVIMIENTOS!$D$4:$D$1000,B358,MOVIMIENTOS!$E$4:$E$1000,C358,MOVIMIENTOS!$B$4:$B$1000,"A CORTE")-SUMIFS(MOVIMIENTOS!$F$4:$F$1000,MOVIMIENTOS!$C$4:$C$1000,A358,MOVIMIENTOS!$D$4:$D$1000,B358,MOVIMIENTOS!$E$4:$E$1000,C358,MOVIMIENTOS!$B$4:$B$1000,"A REPROCESO")-SUMIFS(MOVIMIENTOS!$F$4:$F$1000,MOVIMIENTOS!$C$4:$C$1000,A358,MOVIMIENTOS!$D$4:$D$1000,B358,MOVIMIENTOS!$E$4:$E$1000,C358,MOVIMIENTOS!$B$4:$B$1000,"MUESTRA")-SUMIFS(MOVIMIENTOS!$F$4:$F$1000,MOVIMIENTOS!$C$4:$C$1000,A358,MOVIMIENTOS!$D$4:$D$1000,B358,MOVIMIENTOS!$E$4:$E$1000,C358,MOVIMIENTOS!$B$4:$B$1000,"AJUSTE-"),0)</f>
        <v>0</v>
      </c>
      <c r="F358" s="101">
        <f>IFERROR(E358*VLOOKUP(B358,TELAS!$A$4:$C$32,3,FALSE()),0)</f>
        <v>0</v>
      </c>
      <c r="G358" s="102">
        <f>IFERROR(IF(D358="OSCURO",VLOOKUP(B358,PRECIOS!$A$4:$F$32,2,FALSE()),IF(D358="CLARO",VLOOKUP(B358,PRECIOS!$A$4:$F$32,3,FALSE()),IF(D358="MELANGE",VLOOKUP(B358,PRECIOS!$A$4:$F$32,4,FALSE()),IF(D358="PPT",VLOOKUP(B358,PRECIOS!$A$4:$F$32,5,FALSE()),0)))),0)</f>
        <v>21</v>
      </c>
      <c r="H358" s="103">
        <f t="shared" si="1"/>
        <v>0</v>
      </c>
      <c r="I358" s="104" t="str">
        <f>IF(E358&lt;0,"ERROR",IF(E358=0,"",IF(E358&lt;CONFIG!$B$4,"CRÍTICO",IF(E358&lt;CONFIG!$B$5,"BAJO","OK"))))</f>
        <v/>
      </c>
    </row>
    <row r="359" ht="15.75" customHeight="1">
      <c r="A359" s="90" t="str">
        <f>IF(CLIENTES!A6="","",CLIENTES!A6)</f>
        <v/>
      </c>
      <c r="B359" s="67" t="str">
        <f>TELAS!A7</f>
        <v>french terry 24/1</v>
      </c>
      <c r="C359" s="67" t="str">
        <f>COLORES!A19</f>
        <v/>
      </c>
      <c r="D359" s="67" t="str">
        <f>COLORES!B19</f>
        <v/>
      </c>
      <c r="E359" s="100">
        <f>IFERROR(SUMIFS(MOVIMIENTOS!$F$4:$F$1000,MOVIMIENTOS!$C$4:$C$1000,A359,MOVIMIENTOS!$D$4:$D$1000,B359,MOVIMIENTOS!$E$4:$E$1000,C359,MOVIMIENTOS!$B$4:$B$1000,"INGRESO")+SUMIFS(MOVIMIENTOS!$F$4:$F$1000,MOVIMIENTOS!$C$4:$C$1000,A359,MOVIMIENTOS!$D$4:$D$1000,B359,MOVIMIENTOS!$E$4:$E$1000,C359,MOVIMIENTOS!$B$4:$B$1000,"DE REPROCESO")+SUMIFS(MOVIMIENTOS!$F$4:$F$1000,MOVIMIENTOS!$C$4:$C$1000,A359,MOVIMIENTOS!$D$4:$D$1000,B359,MOVIMIENTOS!$E$4:$E$1000,C359,MOVIMIENTOS!$B$4:$B$1000,"AJUSTE+")-SUMIFS(MOVIMIENTOS!$F$4:$F$1000,MOVIMIENTOS!$C$4:$C$1000,A359,MOVIMIENTOS!$D$4:$D$1000,B359,MOVIMIENTOS!$E$4:$E$1000,C359,MOVIMIENTOS!$B$4:$B$1000,"A CORTE")-SUMIFS(MOVIMIENTOS!$F$4:$F$1000,MOVIMIENTOS!$C$4:$C$1000,A359,MOVIMIENTOS!$D$4:$D$1000,B359,MOVIMIENTOS!$E$4:$E$1000,C359,MOVIMIENTOS!$B$4:$B$1000,"A REPROCESO")-SUMIFS(MOVIMIENTOS!$F$4:$F$1000,MOVIMIENTOS!$C$4:$C$1000,A359,MOVIMIENTOS!$D$4:$D$1000,B359,MOVIMIENTOS!$E$4:$E$1000,C359,MOVIMIENTOS!$B$4:$B$1000,"MUESTRA")-SUMIFS(MOVIMIENTOS!$F$4:$F$1000,MOVIMIENTOS!$C$4:$C$1000,A359,MOVIMIENTOS!$D$4:$D$1000,B359,MOVIMIENTOS!$E$4:$E$1000,C359,MOVIMIENTOS!$B$4:$B$1000,"AJUSTE-"),0)</f>
        <v>0</v>
      </c>
      <c r="F359" s="101">
        <f>IFERROR(E359*VLOOKUP(B359,TELAS!$A$4:$C$32,3,FALSE()),0)</f>
        <v>0</v>
      </c>
      <c r="G359" s="102">
        <f>IFERROR(IF(D359="OSCURO",VLOOKUP(B359,PRECIOS!$A$4:$F$32,2,FALSE()),IF(D359="CLARO",VLOOKUP(B359,PRECIOS!$A$4:$F$32,3,FALSE()),IF(D359="MELANGE",VLOOKUP(B359,PRECIOS!$A$4:$F$32,4,FALSE()),IF(D359="PPT",VLOOKUP(B359,PRECIOS!$A$4:$F$32,5,FALSE()),0)))),0)</f>
        <v>0</v>
      </c>
      <c r="H359" s="103">
        <f t="shared" si="1"/>
        <v>0</v>
      </c>
      <c r="I359" s="104" t="str">
        <f>IF(E359&lt;0,"ERROR",IF(E359=0,"",IF(E359&lt;CONFIG!$B$4,"CRÍTICO",IF(E359&lt;CONFIG!$B$5,"BAJO","OK"))))</f>
        <v/>
      </c>
    </row>
    <row r="360" ht="15.75" customHeight="1">
      <c r="A360" s="90" t="str">
        <f>IF(CLIENTES!A6="","",CLIENTES!A6)</f>
        <v/>
      </c>
      <c r="B360" s="67" t="str">
        <f>TELAS!A7</f>
        <v>french terry 24/1</v>
      </c>
      <c r="C360" s="67" t="str">
        <f>COLORES!A20</f>
        <v/>
      </c>
      <c r="D360" s="67" t="str">
        <f>COLORES!B20</f>
        <v/>
      </c>
      <c r="E360" s="100">
        <f>IFERROR(SUMIFS(MOVIMIENTOS!$F$4:$F$1000,MOVIMIENTOS!$C$4:$C$1000,A360,MOVIMIENTOS!$D$4:$D$1000,B360,MOVIMIENTOS!$E$4:$E$1000,C360,MOVIMIENTOS!$B$4:$B$1000,"INGRESO")+SUMIFS(MOVIMIENTOS!$F$4:$F$1000,MOVIMIENTOS!$C$4:$C$1000,A360,MOVIMIENTOS!$D$4:$D$1000,B360,MOVIMIENTOS!$E$4:$E$1000,C360,MOVIMIENTOS!$B$4:$B$1000,"DE REPROCESO")+SUMIFS(MOVIMIENTOS!$F$4:$F$1000,MOVIMIENTOS!$C$4:$C$1000,A360,MOVIMIENTOS!$D$4:$D$1000,B360,MOVIMIENTOS!$E$4:$E$1000,C360,MOVIMIENTOS!$B$4:$B$1000,"AJUSTE+")-SUMIFS(MOVIMIENTOS!$F$4:$F$1000,MOVIMIENTOS!$C$4:$C$1000,A360,MOVIMIENTOS!$D$4:$D$1000,B360,MOVIMIENTOS!$E$4:$E$1000,C360,MOVIMIENTOS!$B$4:$B$1000,"A CORTE")-SUMIFS(MOVIMIENTOS!$F$4:$F$1000,MOVIMIENTOS!$C$4:$C$1000,A360,MOVIMIENTOS!$D$4:$D$1000,B360,MOVIMIENTOS!$E$4:$E$1000,C360,MOVIMIENTOS!$B$4:$B$1000,"A REPROCESO")-SUMIFS(MOVIMIENTOS!$F$4:$F$1000,MOVIMIENTOS!$C$4:$C$1000,A360,MOVIMIENTOS!$D$4:$D$1000,B360,MOVIMIENTOS!$E$4:$E$1000,C360,MOVIMIENTOS!$B$4:$B$1000,"MUESTRA")-SUMIFS(MOVIMIENTOS!$F$4:$F$1000,MOVIMIENTOS!$C$4:$C$1000,A360,MOVIMIENTOS!$D$4:$D$1000,B360,MOVIMIENTOS!$E$4:$E$1000,C360,MOVIMIENTOS!$B$4:$B$1000,"AJUSTE-"),0)</f>
        <v>0</v>
      </c>
      <c r="F360" s="101">
        <f>IFERROR(E360*VLOOKUP(B360,TELAS!$A$4:$C$32,3,FALSE()),0)</f>
        <v>0</v>
      </c>
      <c r="G360" s="102">
        <f>IFERROR(IF(D360="OSCURO",VLOOKUP(B360,PRECIOS!$A$4:$F$32,2,FALSE()),IF(D360="CLARO",VLOOKUP(B360,PRECIOS!$A$4:$F$32,3,FALSE()),IF(D360="MELANGE",VLOOKUP(B360,PRECIOS!$A$4:$F$32,4,FALSE()),IF(D360="PPT",VLOOKUP(B360,PRECIOS!$A$4:$F$32,5,FALSE()),0)))),0)</f>
        <v>0</v>
      </c>
      <c r="H360" s="103">
        <f t="shared" si="1"/>
        <v>0</v>
      </c>
      <c r="I360" s="104" t="str">
        <f>IF(E360&lt;0,"ERROR",IF(E360=0,"",IF(E360&lt;CONFIG!$B$4,"CRÍTICO",IF(E360&lt;CONFIG!$B$5,"BAJO","OK"))))</f>
        <v/>
      </c>
    </row>
    <row r="361" ht="15.75" customHeight="1">
      <c r="A361" s="90" t="str">
        <f>IF(CLIENTES!A6="","",CLIENTES!A6)</f>
        <v/>
      </c>
      <c r="B361" s="67" t="str">
        <f>TELAS!A7</f>
        <v>french terry 24/1</v>
      </c>
      <c r="C361" s="67" t="str">
        <f>COLORES!A21</f>
        <v/>
      </c>
      <c r="D361" s="67" t="str">
        <f>COLORES!B21</f>
        <v/>
      </c>
      <c r="E361" s="100">
        <f>IFERROR(SUMIFS(MOVIMIENTOS!$F$4:$F$1000,MOVIMIENTOS!$C$4:$C$1000,A361,MOVIMIENTOS!$D$4:$D$1000,B361,MOVIMIENTOS!$E$4:$E$1000,C361,MOVIMIENTOS!$B$4:$B$1000,"INGRESO")+SUMIFS(MOVIMIENTOS!$F$4:$F$1000,MOVIMIENTOS!$C$4:$C$1000,A361,MOVIMIENTOS!$D$4:$D$1000,B361,MOVIMIENTOS!$E$4:$E$1000,C361,MOVIMIENTOS!$B$4:$B$1000,"DE REPROCESO")+SUMIFS(MOVIMIENTOS!$F$4:$F$1000,MOVIMIENTOS!$C$4:$C$1000,A361,MOVIMIENTOS!$D$4:$D$1000,B361,MOVIMIENTOS!$E$4:$E$1000,C361,MOVIMIENTOS!$B$4:$B$1000,"AJUSTE+")-SUMIFS(MOVIMIENTOS!$F$4:$F$1000,MOVIMIENTOS!$C$4:$C$1000,A361,MOVIMIENTOS!$D$4:$D$1000,B361,MOVIMIENTOS!$E$4:$E$1000,C361,MOVIMIENTOS!$B$4:$B$1000,"A CORTE")-SUMIFS(MOVIMIENTOS!$F$4:$F$1000,MOVIMIENTOS!$C$4:$C$1000,A361,MOVIMIENTOS!$D$4:$D$1000,B361,MOVIMIENTOS!$E$4:$E$1000,C361,MOVIMIENTOS!$B$4:$B$1000,"A REPROCESO")-SUMIFS(MOVIMIENTOS!$F$4:$F$1000,MOVIMIENTOS!$C$4:$C$1000,A361,MOVIMIENTOS!$D$4:$D$1000,B361,MOVIMIENTOS!$E$4:$E$1000,C361,MOVIMIENTOS!$B$4:$B$1000,"MUESTRA")-SUMIFS(MOVIMIENTOS!$F$4:$F$1000,MOVIMIENTOS!$C$4:$C$1000,A361,MOVIMIENTOS!$D$4:$D$1000,B361,MOVIMIENTOS!$E$4:$E$1000,C361,MOVIMIENTOS!$B$4:$B$1000,"AJUSTE-"),0)</f>
        <v>0</v>
      </c>
      <c r="F361" s="101">
        <f>IFERROR(E361*VLOOKUP(B361,TELAS!$A$4:$C$32,3,FALSE()),0)</f>
        <v>0</v>
      </c>
      <c r="G361" s="102">
        <f>IFERROR(IF(D361="OSCURO",VLOOKUP(B361,PRECIOS!$A$4:$F$32,2,FALSE()),IF(D361="CLARO",VLOOKUP(B361,PRECIOS!$A$4:$F$32,3,FALSE()),IF(D361="MELANGE",VLOOKUP(B361,PRECIOS!$A$4:$F$32,4,FALSE()),IF(D361="PPT",VLOOKUP(B361,PRECIOS!$A$4:$F$32,5,FALSE()),0)))),0)</f>
        <v>0</v>
      </c>
      <c r="H361" s="103">
        <f t="shared" si="1"/>
        <v>0</v>
      </c>
      <c r="I361" s="104" t="str">
        <f>IF(E361&lt;0,"ERROR",IF(E361=0,"",IF(E361&lt;CONFIG!$B$4,"CRÍTICO",IF(E361&lt;CONFIG!$B$5,"BAJO","OK"))))</f>
        <v/>
      </c>
    </row>
    <row r="362" ht="15.75" customHeight="1">
      <c r="A362" s="90" t="str">
        <f>IF(CLIENTES!A6="","",CLIENTES!A6)</f>
        <v/>
      </c>
      <c r="B362" s="67" t="str">
        <f>TELAS!A7</f>
        <v>french terry 24/1</v>
      </c>
      <c r="C362" s="67" t="str">
        <f>COLORES!A22</f>
        <v/>
      </c>
      <c r="D362" s="67" t="str">
        <f>COLORES!B22</f>
        <v/>
      </c>
      <c r="E362" s="100">
        <f>IFERROR(SUMIFS(MOVIMIENTOS!$F$4:$F$1000,MOVIMIENTOS!$C$4:$C$1000,A362,MOVIMIENTOS!$D$4:$D$1000,B362,MOVIMIENTOS!$E$4:$E$1000,C362,MOVIMIENTOS!$B$4:$B$1000,"INGRESO")+SUMIFS(MOVIMIENTOS!$F$4:$F$1000,MOVIMIENTOS!$C$4:$C$1000,A362,MOVIMIENTOS!$D$4:$D$1000,B362,MOVIMIENTOS!$E$4:$E$1000,C362,MOVIMIENTOS!$B$4:$B$1000,"DE REPROCESO")+SUMIFS(MOVIMIENTOS!$F$4:$F$1000,MOVIMIENTOS!$C$4:$C$1000,A362,MOVIMIENTOS!$D$4:$D$1000,B362,MOVIMIENTOS!$E$4:$E$1000,C362,MOVIMIENTOS!$B$4:$B$1000,"AJUSTE+")-SUMIFS(MOVIMIENTOS!$F$4:$F$1000,MOVIMIENTOS!$C$4:$C$1000,A362,MOVIMIENTOS!$D$4:$D$1000,B362,MOVIMIENTOS!$E$4:$E$1000,C362,MOVIMIENTOS!$B$4:$B$1000,"A CORTE")-SUMIFS(MOVIMIENTOS!$F$4:$F$1000,MOVIMIENTOS!$C$4:$C$1000,A362,MOVIMIENTOS!$D$4:$D$1000,B362,MOVIMIENTOS!$E$4:$E$1000,C362,MOVIMIENTOS!$B$4:$B$1000,"A REPROCESO")-SUMIFS(MOVIMIENTOS!$F$4:$F$1000,MOVIMIENTOS!$C$4:$C$1000,A362,MOVIMIENTOS!$D$4:$D$1000,B362,MOVIMIENTOS!$E$4:$E$1000,C362,MOVIMIENTOS!$B$4:$B$1000,"MUESTRA")-SUMIFS(MOVIMIENTOS!$F$4:$F$1000,MOVIMIENTOS!$C$4:$C$1000,A362,MOVIMIENTOS!$D$4:$D$1000,B362,MOVIMIENTOS!$E$4:$E$1000,C362,MOVIMIENTOS!$B$4:$B$1000,"AJUSTE-"),0)</f>
        <v>0</v>
      </c>
      <c r="F362" s="101">
        <f>IFERROR(E362*VLOOKUP(B362,TELAS!$A$4:$C$32,3,FALSE()),0)</f>
        <v>0</v>
      </c>
      <c r="G362" s="102">
        <f>IFERROR(IF(D362="OSCURO",VLOOKUP(B362,PRECIOS!$A$4:$F$32,2,FALSE()),IF(D362="CLARO",VLOOKUP(B362,PRECIOS!$A$4:$F$32,3,FALSE()),IF(D362="MELANGE",VLOOKUP(B362,PRECIOS!$A$4:$F$32,4,FALSE()),IF(D362="PPT",VLOOKUP(B362,PRECIOS!$A$4:$F$32,5,FALSE()),0)))),0)</f>
        <v>0</v>
      </c>
      <c r="H362" s="103">
        <f t="shared" si="1"/>
        <v>0</v>
      </c>
      <c r="I362" s="104" t="str">
        <f>IF(E362&lt;0,"ERROR",IF(E362=0,"",IF(E362&lt;CONFIG!$B$4,"CRÍTICO",IF(E362&lt;CONFIG!$B$5,"BAJO","OK"))))</f>
        <v/>
      </c>
    </row>
    <row r="363" ht="15.75" customHeight="1">
      <c r="A363" s="90" t="str">
        <f>IF(CLIENTES!A6="","",CLIENTES!A6)</f>
        <v/>
      </c>
      <c r="B363" s="67" t="str">
        <f>TELAS!A7</f>
        <v>french terry 24/1</v>
      </c>
      <c r="C363" s="67" t="str">
        <f>COLORES!A23</f>
        <v/>
      </c>
      <c r="D363" s="67" t="str">
        <f>COLORES!B23</f>
        <v/>
      </c>
      <c r="E363" s="100">
        <f>IFERROR(SUMIFS(MOVIMIENTOS!$F$4:$F$1000,MOVIMIENTOS!$C$4:$C$1000,A363,MOVIMIENTOS!$D$4:$D$1000,B363,MOVIMIENTOS!$E$4:$E$1000,C363,MOVIMIENTOS!$B$4:$B$1000,"INGRESO")+SUMIFS(MOVIMIENTOS!$F$4:$F$1000,MOVIMIENTOS!$C$4:$C$1000,A363,MOVIMIENTOS!$D$4:$D$1000,B363,MOVIMIENTOS!$E$4:$E$1000,C363,MOVIMIENTOS!$B$4:$B$1000,"DE REPROCESO")+SUMIFS(MOVIMIENTOS!$F$4:$F$1000,MOVIMIENTOS!$C$4:$C$1000,A363,MOVIMIENTOS!$D$4:$D$1000,B363,MOVIMIENTOS!$E$4:$E$1000,C363,MOVIMIENTOS!$B$4:$B$1000,"AJUSTE+")-SUMIFS(MOVIMIENTOS!$F$4:$F$1000,MOVIMIENTOS!$C$4:$C$1000,A363,MOVIMIENTOS!$D$4:$D$1000,B363,MOVIMIENTOS!$E$4:$E$1000,C363,MOVIMIENTOS!$B$4:$B$1000,"A CORTE")-SUMIFS(MOVIMIENTOS!$F$4:$F$1000,MOVIMIENTOS!$C$4:$C$1000,A363,MOVIMIENTOS!$D$4:$D$1000,B363,MOVIMIENTOS!$E$4:$E$1000,C363,MOVIMIENTOS!$B$4:$B$1000,"A REPROCESO")-SUMIFS(MOVIMIENTOS!$F$4:$F$1000,MOVIMIENTOS!$C$4:$C$1000,A363,MOVIMIENTOS!$D$4:$D$1000,B363,MOVIMIENTOS!$E$4:$E$1000,C363,MOVIMIENTOS!$B$4:$B$1000,"MUESTRA")-SUMIFS(MOVIMIENTOS!$F$4:$F$1000,MOVIMIENTOS!$C$4:$C$1000,A363,MOVIMIENTOS!$D$4:$D$1000,B363,MOVIMIENTOS!$E$4:$E$1000,C363,MOVIMIENTOS!$B$4:$B$1000,"AJUSTE-"),0)</f>
        <v>0</v>
      </c>
      <c r="F363" s="101">
        <f>IFERROR(E363*VLOOKUP(B363,TELAS!$A$4:$C$32,3,FALSE()),0)</f>
        <v>0</v>
      </c>
      <c r="G363" s="102">
        <f>IFERROR(IF(D363="OSCURO",VLOOKUP(B363,PRECIOS!$A$4:$F$32,2,FALSE()),IF(D363="CLARO",VLOOKUP(B363,PRECIOS!$A$4:$F$32,3,FALSE()),IF(D363="MELANGE",VLOOKUP(B363,PRECIOS!$A$4:$F$32,4,FALSE()),IF(D363="PPT",VLOOKUP(B363,PRECIOS!$A$4:$F$32,5,FALSE()),0)))),0)</f>
        <v>0</v>
      </c>
      <c r="H363" s="103">
        <f t="shared" si="1"/>
        <v>0</v>
      </c>
      <c r="I363" s="104" t="str">
        <f>IF(E363&lt;0,"ERROR",IF(E363=0,"",IF(E363&lt;CONFIG!$B$4,"CRÍTICO",IF(E363&lt;CONFIG!$B$5,"BAJO","OK"))))</f>
        <v/>
      </c>
    </row>
    <row r="364" ht="15.75" customHeight="1">
      <c r="A364" s="90" t="str">
        <f>IF(CLIENTES!A6="","",CLIENTES!A6)</f>
        <v/>
      </c>
      <c r="B364" s="67" t="str">
        <f>TELAS!A8</f>
        <v>rib 1x1</v>
      </c>
      <c r="C364" s="67" t="str">
        <f>COLORES!A4</f>
        <v>Negro</v>
      </c>
      <c r="D364" s="67" t="str">
        <f>COLORES!B4</f>
        <v>OSCURO</v>
      </c>
      <c r="E364" s="100">
        <f>IFERROR(SUMIFS(MOVIMIENTOS!$F$4:$F$1000,MOVIMIENTOS!$C$4:$C$1000,A364,MOVIMIENTOS!$D$4:$D$1000,B364,MOVIMIENTOS!$E$4:$E$1000,C364,MOVIMIENTOS!$B$4:$B$1000,"INGRESO")+SUMIFS(MOVIMIENTOS!$F$4:$F$1000,MOVIMIENTOS!$C$4:$C$1000,A364,MOVIMIENTOS!$D$4:$D$1000,B364,MOVIMIENTOS!$E$4:$E$1000,C364,MOVIMIENTOS!$B$4:$B$1000,"DE REPROCESO")+SUMIFS(MOVIMIENTOS!$F$4:$F$1000,MOVIMIENTOS!$C$4:$C$1000,A364,MOVIMIENTOS!$D$4:$D$1000,B364,MOVIMIENTOS!$E$4:$E$1000,C364,MOVIMIENTOS!$B$4:$B$1000,"AJUSTE+")-SUMIFS(MOVIMIENTOS!$F$4:$F$1000,MOVIMIENTOS!$C$4:$C$1000,A364,MOVIMIENTOS!$D$4:$D$1000,B364,MOVIMIENTOS!$E$4:$E$1000,C364,MOVIMIENTOS!$B$4:$B$1000,"A CORTE")-SUMIFS(MOVIMIENTOS!$F$4:$F$1000,MOVIMIENTOS!$C$4:$C$1000,A364,MOVIMIENTOS!$D$4:$D$1000,B364,MOVIMIENTOS!$E$4:$E$1000,C364,MOVIMIENTOS!$B$4:$B$1000,"A REPROCESO")-SUMIFS(MOVIMIENTOS!$F$4:$F$1000,MOVIMIENTOS!$C$4:$C$1000,A364,MOVIMIENTOS!$D$4:$D$1000,B364,MOVIMIENTOS!$E$4:$E$1000,C364,MOVIMIENTOS!$B$4:$B$1000,"MUESTRA")-SUMIFS(MOVIMIENTOS!$F$4:$F$1000,MOVIMIENTOS!$C$4:$C$1000,A364,MOVIMIENTOS!$D$4:$D$1000,B364,MOVIMIENTOS!$E$4:$E$1000,C364,MOVIMIENTOS!$B$4:$B$1000,"AJUSTE-"),0)</f>
        <v>0</v>
      </c>
      <c r="F364" s="101">
        <f>IFERROR(E364*VLOOKUP(B364,TELAS!$A$4:$C$32,3,FALSE()),0)</f>
        <v>0</v>
      </c>
      <c r="G364" s="102">
        <f>IFERROR(IF(D364="OSCURO",VLOOKUP(B364,PRECIOS!$A$4:$F$32,2,FALSE()),IF(D364="CLARO",VLOOKUP(B364,PRECIOS!$A$4:$F$32,3,FALSE()),IF(D364="MELANGE",VLOOKUP(B364,PRECIOS!$A$4:$F$32,4,FALSE()),IF(D364="PPT",VLOOKUP(B364,PRECIOS!$A$4:$F$32,5,FALSE()),0)))),0)</f>
        <v>24</v>
      </c>
      <c r="H364" s="103">
        <f t="shared" si="1"/>
        <v>0</v>
      </c>
      <c r="I364" s="104" t="str">
        <f>IF(E364&lt;0,"ERROR",IF(E364=0,"",IF(E364&lt;CONFIG!$B$4,"CRÍTICO",IF(E364&lt;CONFIG!$B$5,"BAJO","OK"))))</f>
        <v/>
      </c>
    </row>
    <row r="365" ht="15.75" customHeight="1">
      <c r="A365" s="90" t="str">
        <f>IF(CLIENTES!A6="","",CLIENTES!A6)</f>
        <v/>
      </c>
      <c r="B365" s="67" t="str">
        <f>TELAS!A8</f>
        <v>rib 1x1</v>
      </c>
      <c r="C365" s="67" t="str">
        <f>COLORES!A5</f>
        <v>Perla</v>
      </c>
      <c r="D365" s="67" t="str">
        <f>COLORES!B5</f>
        <v>PPT</v>
      </c>
      <c r="E365" s="100">
        <f>IFERROR(SUMIFS(MOVIMIENTOS!$F$4:$F$1000,MOVIMIENTOS!$C$4:$C$1000,A365,MOVIMIENTOS!$D$4:$D$1000,B365,MOVIMIENTOS!$E$4:$E$1000,C365,MOVIMIENTOS!$B$4:$B$1000,"INGRESO")+SUMIFS(MOVIMIENTOS!$F$4:$F$1000,MOVIMIENTOS!$C$4:$C$1000,A365,MOVIMIENTOS!$D$4:$D$1000,B365,MOVIMIENTOS!$E$4:$E$1000,C365,MOVIMIENTOS!$B$4:$B$1000,"DE REPROCESO")+SUMIFS(MOVIMIENTOS!$F$4:$F$1000,MOVIMIENTOS!$C$4:$C$1000,A365,MOVIMIENTOS!$D$4:$D$1000,B365,MOVIMIENTOS!$E$4:$E$1000,C365,MOVIMIENTOS!$B$4:$B$1000,"AJUSTE+")-SUMIFS(MOVIMIENTOS!$F$4:$F$1000,MOVIMIENTOS!$C$4:$C$1000,A365,MOVIMIENTOS!$D$4:$D$1000,B365,MOVIMIENTOS!$E$4:$E$1000,C365,MOVIMIENTOS!$B$4:$B$1000,"A CORTE")-SUMIFS(MOVIMIENTOS!$F$4:$F$1000,MOVIMIENTOS!$C$4:$C$1000,A365,MOVIMIENTOS!$D$4:$D$1000,B365,MOVIMIENTOS!$E$4:$E$1000,C365,MOVIMIENTOS!$B$4:$B$1000,"A REPROCESO")-SUMIFS(MOVIMIENTOS!$F$4:$F$1000,MOVIMIENTOS!$C$4:$C$1000,A365,MOVIMIENTOS!$D$4:$D$1000,B365,MOVIMIENTOS!$E$4:$E$1000,C365,MOVIMIENTOS!$B$4:$B$1000,"MUESTRA")-SUMIFS(MOVIMIENTOS!$F$4:$F$1000,MOVIMIENTOS!$C$4:$C$1000,A365,MOVIMIENTOS!$D$4:$D$1000,B365,MOVIMIENTOS!$E$4:$E$1000,C365,MOVIMIENTOS!$B$4:$B$1000,"AJUSTE-"),0)</f>
        <v>0</v>
      </c>
      <c r="F365" s="101">
        <f>IFERROR(E365*VLOOKUP(B365,TELAS!$A$4:$C$32,3,FALSE()),0)</f>
        <v>0</v>
      </c>
      <c r="G365" s="102">
        <f>IFERROR(IF(D365="OSCURO",VLOOKUP(B365,PRECIOS!$A$4:$F$32,2,FALSE()),IF(D365="CLARO",VLOOKUP(B365,PRECIOS!$A$4:$F$32,3,FALSE()),IF(D365="MELANGE",VLOOKUP(B365,PRECIOS!$A$4:$F$32,4,FALSE()),IF(D365="PPT",VLOOKUP(B365,PRECIOS!$A$4:$F$32,5,FALSE()),0)))),0)</f>
        <v>18</v>
      </c>
      <c r="H365" s="103">
        <f t="shared" si="1"/>
        <v>0</v>
      </c>
      <c r="I365" s="104" t="str">
        <f>IF(E365&lt;0,"ERROR",IF(E365=0,"",IF(E365&lt;CONFIG!$B$4,"CRÍTICO",IF(E365&lt;CONFIG!$B$5,"BAJO","OK"))))</f>
        <v/>
      </c>
    </row>
    <row r="366" ht="15.75" customHeight="1">
      <c r="A366" s="90" t="str">
        <f>IF(CLIENTES!A6="","",CLIENTES!A6)</f>
        <v/>
      </c>
      <c r="B366" s="67" t="str">
        <f>TELAS!A8</f>
        <v>rib 1x1</v>
      </c>
      <c r="C366" s="67" t="str">
        <f>COLORES!A6</f>
        <v>Blanco</v>
      </c>
      <c r="D366" s="67" t="str">
        <f>COLORES!B6</f>
        <v>PPT</v>
      </c>
      <c r="E366" s="100">
        <f>IFERROR(SUMIFS(MOVIMIENTOS!$F$4:$F$1000,MOVIMIENTOS!$C$4:$C$1000,A366,MOVIMIENTOS!$D$4:$D$1000,B366,MOVIMIENTOS!$E$4:$E$1000,C366,MOVIMIENTOS!$B$4:$B$1000,"INGRESO")+SUMIFS(MOVIMIENTOS!$F$4:$F$1000,MOVIMIENTOS!$C$4:$C$1000,A366,MOVIMIENTOS!$D$4:$D$1000,B366,MOVIMIENTOS!$E$4:$E$1000,C366,MOVIMIENTOS!$B$4:$B$1000,"DE REPROCESO")+SUMIFS(MOVIMIENTOS!$F$4:$F$1000,MOVIMIENTOS!$C$4:$C$1000,A366,MOVIMIENTOS!$D$4:$D$1000,B366,MOVIMIENTOS!$E$4:$E$1000,C366,MOVIMIENTOS!$B$4:$B$1000,"AJUSTE+")-SUMIFS(MOVIMIENTOS!$F$4:$F$1000,MOVIMIENTOS!$C$4:$C$1000,A366,MOVIMIENTOS!$D$4:$D$1000,B366,MOVIMIENTOS!$E$4:$E$1000,C366,MOVIMIENTOS!$B$4:$B$1000,"A CORTE")-SUMIFS(MOVIMIENTOS!$F$4:$F$1000,MOVIMIENTOS!$C$4:$C$1000,A366,MOVIMIENTOS!$D$4:$D$1000,B366,MOVIMIENTOS!$E$4:$E$1000,C366,MOVIMIENTOS!$B$4:$B$1000,"A REPROCESO")-SUMIFS(MOVIMIENTOS!$F$4:$F$1000,MOVIMIENTOS!$C$4:$C$1000,A366,MOVIMIENTOS!$D$4:$D$1000,B366,MOVIMIENTOS!$E$4:$E$1000,C366,MOVIMIENTOS!$B$4:$B$1000,"MUESTRA")-SUMIFS(MOVIMIENTOS!$F$4:$F$1000,MOVIMIENTOS!$C$4:$C$1000,A366,MOVIMIENTOS!$D$4:$D$1000,B366,MOVIMIENTOS!$E$4:$E$1000,C366,MOVIMIENTOS!$B$4:$B$1000,"AJUSTE-"),0)</f>
        <v>0</v>
      </c>
      <c r="F366" s="101">
        <f>IFERROR(E366*VLOOKUP(B366,TELAS!$A$4:$C$32,3,FALSE()),0)</f>
        <v>0</v>
      </c>
      <c r="G366" s="102">
        <f>IFERROR(IF(D366="OSCURO",VLOOKUP(B366,PRECIOS!$A$4:$F$32,2,FALSE()),IF(D366="CLARO",VLOOKUP(B366,PRECIOS!$A$4:$F$32,3,FALSE()),IF(D366="MELANGE",VLOOKUP(B366,PRECIOS!$A$4:$F$32,4,FALSE()),IF(D366="PPT",VLOOKUP(B366,PRECIOS!$A$4:$F$32,5,FALSE()),0)))),0)</f>
        <v>18</v>
      </c>
      <c r="H366" s="103">
        <f t="shared" si="1"/>
        <v>0</v>
      </c>
      <c r="I366" s="104" t="str">
        <f>IF(E366&lt;0,"ERROR",IF(E366=0,"",IF(E366&lt;CONFIG!$B$4,"CRÍTICO",IF(E366&lt;CONFIG!$B$5,"BAJO","OK"))))</f>
        <v/>
      </c>
    </row>
    <row r="367" ht="15.75" customHeight="1">
      <c r="A367" s="90" t="str">
        <f>IF(CLIENTES!A6="","",CLIENTES!A6)</f>
        <v/>
      </c>
      <c r="B367" s="67" t="str">
        <f>TELAS!A8</f>
        <v>rib 1x1</v>
      </c>
      <c r="C367" s="67" t="str">
        <f>COLORES!A7</f>
        <v>Azul</v>
      </c>
      <c r="D367" s="67" t="str">
        <f>COLORES!B7</f>
        <v>OSCURO</v>
      </c>
      <c r="E367" s="100">
        <f>IFERROR(SUMIFS(MOVIMIENTOS!$F$4:$F$1000,MOVIMIENTOS!$C$4:$C$1000,A367,MOVIMIENTOS!$D$4:$D$1000,B367,MOVIMIENTOS!$E$4:$E$1000,C367,MOVIMIENTOS!$B$4:$B$1000,"INGRESO")+SUMIFS(MOVIMIENTOS!$F$4:$F$1000,MOVIMIENTOS!$C$4:$C$1000,A367,MOVIMIENTOS!$D$4:$D$1000,B367,MOVIMIENTOS!$E$4:$E$1000,C367,MOVIMIENTOS!$B$4:$B$1000,"DE REPROCESO")+SUMIFS(MOVIMIENTOS!$F$4:$F$1000,MOVIMIENTOS!$C$4:$C$1000,A367,MOVIMIENTOS!$D$4:$D$1000,B367,MOVIMIENTOS!$E$4:$E$1000,C367,MOVIMIENTOS!$B$4:$B$1000,"AJUSTE+")-SUMIFS(MOVIMIENTOS!$F$4:$F$1000,MOVIMIENTOS!$C$4:$C$1000,A367,MOVIMIENTOS!$D$4:$D$1000,B367,MOVIMIENTOS!$E$4:$E$1000,C367,MOVIMIENTOS!$B$4:$B$1000,"A CORTE")-SUMIFS(MOVIMIENTOS!$F$4:$F$1000,MOVIMIENTOS!$C$4:$C$1000,A367,MOVIMIENTOS!$D$4:$D$1000,B367,MOVIMIENTOS!$E$4:$E$1000,C367,MOVIMIENTOS!$B$4:$B$1000,"A REPROCESO")-SUMIFS(MOVIMIENTOS!$F$4:$F$1000,MOVIMIENTOS!$C$4:$C$1000,A367,MOVIMIENTOS!$D$4:$D$1000,B367,MOVIMIENTOS!$E$4:$E$1000,C367,MOVIMIENTOS!$B$4:$B$1000,"MUESTRA")-SUMIFS(MOVIMIENTOS!$F$4:$F$1000,MOVIMIENTOS!$C$4:$C$1000,A367,MOVIMIENTOS!$D$4:$D$1000,B367,MOVIMIENTOS!$E$4:$E$1000,C367,MOVIMIENTOS!$B$4:$B$1000,"AJUSTE-"),0)</f>
        <v>0</v>
      </c>
      <c r="F367" s="101">
        <f>IFERROR(E367*VLOOKUP(B367,TELAS!$A$4:$C$32,3,FALSE()),0)</f>
        <v>0</v>
      </c>
      <c r="G367" s="102">
        <f>IFERROR(IF(D367="OSCURO",VLOOKUP(B367,PRECIOS!$A$4:$F$32,2,FALSE()),IF(D367="CLARO",VLOOKUP(B367,PRECIOS!$A$4:$F$32,3,FALSE()),IF(D367="MELANGE",VLOOKUP(B367,PRECIOS!$A$4:$F$32,4,FALSE()),IF(D367="PPT",VLOOKUP(B367,PRECIOS!$A$4:$F$32,5,FALSE()),0)))),0)</f>
        <v>24</v>
      </c>
      <c r="H367" s="103">
        <f t="shared" si="1"/>
        <v>0</v>
      </c>
      <c r="I367" s="104" t="str">
        <f>IF(E367&lt;0,"ERROR",IF(E367=0,"",IF(E367&lt;CONFIG!$B$4,"CRÍTICO",IF(E367&lt;CONFIG!$B$5,"BAJO","OK"))))</f>
        <v/>
      </c>
    </row>
    <row r="368" ht="15.75" customHeight="1">
      <c r="A368" s="90" t="str">
        <f>IF(CLIENTES!A6="","",CLIENTES!A6)</f>
        <v/>
      </c>
      <c r="B368" s="67" t="str">
        <f>TELAS!A8</f>
        <v>rib 1x1</v>
      </c>
      <c r="C368" s="67" t="str">
        <f>COLORES!A8</f>
        <v>Beige</v>
      </c>
      <c r="D368" s="67" t="str">
        <f>COLORES!B8</f>
        <v>CLARO</v>
      </c>
      <c r="E368" s="100">
        <f>IFERROR(SUMIFS(MOVIMIENTOS!$F$4:$F$1000,MOVIMIENTOS!$C$4:$C$1000,A368,MOVIMIENTOS!$D$4:$D$1000,B368,MOVIMIENTOS!$E$4:$E$1000,C368,MOVIMIENTOS!$B$4:$B$1000,"INGRESO")+SUMIFS(MOVIMIENTOS!$F$4:$F$1000,MOVIMIENTOS!$C$4:$C$1000,A368,MOVIMIENTOS!$D$4:$D$1000,B368,MOVIMIENTOS!$E$4:$E$1000,C368,MOVIMIENTOS!$B$4:$B$1000,"DE REPROCESO")+SUMIFS(MOVIMIENTOS!$F$4:$F$1000,MOVIMIENTOS!$C$4:$C$1000,A368,MOVIMIENTOS!$D$4:$D$1000,B368,MOVIMIENTOS!$E$4:$E$1000,C368,MOVIMIENTOS!$B$4:$B$1000,"AJUSTE+")-SUMIFS(MOVIMIENTOS!$F$4:$F$1000,MOVIMIENTOS!$C$4:$C$1000,A368,MOVIMIENTOS!$D$4:$D$1000,B368,MOVIMIENTOS!$E$4:$E$1000,C368,MOVIMIENTOS!$B$4:$B$1000,"A CORTE")-SUMIFS(MOVIMIENTOS!$F$4:$F$1000,MOVIMIENTOS!$C$4:$C$1000,A368,MOVIMIENTOS!$D$4:$D$1000,B368,MOVIMIENTOS!$E$4:$E$1000,C368,MOVIMIENTOS!$B$4:$B$1000,"A REPROCESO")-SUMIFS(MOVIMIENTOS!$F$4:$F$1000,MOVIMIENTOS!$C$4:$C$1000,A368,MOVIMIENTOS!$D$4:$D$1000,B368,MOVIMIENTOS!$E$4:$E$1000,C368,MOVIMIENTOS!$B$4:$B$1000,"MUESTRA")-SUMIFS(MOVIMIENTOS!$F$4:$F$1000,MOVIMIENTOS!$C$4:$C$1000,A368,MOVIMIENTOS!$D$4:$D$1000,B368,MOVIMIENTOS!$E$4:$E$1000,C368,MOVIMIENTOS!$B$4:$B$1000,"AJUSTE-"),0)</f>
        <v>0</v>
      </c>
      <c r="F368" s="101">
        <f>IFERROR(E368*VLOOKUP(B368,TELAS!$A$4:$C$32,3,FALSE()),0)</f>
        <v>0</v>
      </c>
      <c r="G368" s="102">
        <f>IFERROR(IF(D368="OSCURO",VLOOKUP(B368,PRECIOS!$A$4:$F$32,2,FALSE()),IF(D368="CLARO",VLOOKUP(B368,PRECIOS!$A$4:$F$32,3,FALSE()),IF(D368="MELANGE",VLOOKUP(B368,PRECIOS!$A$4:$F$32,4,FALSE()),IF(D368="PPT",VLOOKUP(B368,PRECIOS!$A$4:$F$32,5,FALSE()),0)))),0)</f>
        <v>21</v>
      </c>
      <c r="H368" s="103">
        <f t="shared" si="1"/>
        <v>0</v>
      </c>
      <c r="I368" s="104" t="str">
        <f>IF(E368&lt;0,"ERROR",IF(E368=0,"",IF(E368&lt;CONFIG!$B$4,"CRÍTICO",IF(E368&lt;CONFIG!$B$5,"BAJO","OK"))))</f>
        <v/>
      </c>
    </row>
    <row r="369" ht="15.75" customHeight="1">
      <c r="A369" s="90" t="str">
        <f>IF(CLIENTES!A6="","",CLIENTES!A6)</f>
        <v/>
      </c>
      <c r="B369" s="67" t="str">
        <f>TELAS!A8</f>
        <v>rib 1x1</v>
      </c>
      <c r="C369" s="67" t="str">
        <f>COLORES!A9</f>
        <v>Melange</v>
      </c>
      <c r="D369" s="67" t="str">
        <f>COLORES!B9</f>
        <v>MELANGE</v>
      </c>
      <c r="E369" s="100">
        <f>IFERROR(SUMIFS(MOVIMIENTOS!$F$4:$F$1000,MOVIMIENTOS!$C$4:$C$1000,A369,MOVIMIENTOS!$D$4:$D$1000,B369,MOVIMIENTOS!$E$4:$E$1000,C369,MOVIMIENTOS!$B$4:$B$1000,"INGRESO")+SUMIFS(MOVIMIENTOS!$F$4:$F$1000,MOVIMIENTOS!$C$4:$C$1000,A369,MOVIMIENTOS!$D$4:$D$1000,B369,MOVIMIENTOS!$E$4:$E$1000,C369,MOVIMIENTOS!$B$4:$B$1000,"DE REPROCESO")+SUMIFS(MOVIMIENTOS!$F$4:$F$1000,MOVIMIENTOS!$C$4:$C$1000,A369,MOVIMIENTOS!$D$4:$D$1000,B369,MOVIMIENTOS!$E$4:$E$1000,C369,MOVIMIENTOS!$B$4:$B$1000,"AJUSTE+")-SUMIFS(MOVIMIENTOS!$F$4:$F$1000,MOVIMIENTOS!$C$4:$C$1000,A369,MOVIMIENTOS!$D$4:$D$1000,B369,MOVIMIENTOS!$E$4:$E$1000,C369,MOVIMIENTOS!$B$4:$B$1000,"A CORTE")-SUMIFS(MOVIMIENTOS!$F$4:$F$1000,MOVIMIENTOS!$C$4:$C$1000,A369,MOVIMIENTOS!$D$4:$D$1000,B369,MOVIMIENTOS!$E$4:$E$1000,C369,MOVIMIENTOS!$B$4:$B$1000,"A REPROCESO")-SUMIFS(MOVIMIENTOS!$F$4:$F$1000,MOVIMIENTOS!$C$4:$C$1000,A369,MOVIMIENTOS!$D$4:$D$1000,B369,MOVIMIENTOS!$E$4:$E$1000,C369,MOVIMIENTOS!$B$4:$B$1000,"MUESTRA")-SUMIFS(MOVIMIENTOS!$F$4:$F$1000,MOVIMIENTOS!$C$4:$C$1000,A369,MOVIMIENTOS!$D$4:$D$1000,B369,MOVIMIENTOS!$E$4:$E$1000,C369,MOVIMIENTOS!$B$4:$B$1000,"AJUSTE-"),0)</f>
        <v>0</v>
      </c>
      <c r="F369" s="101">
        <f>IFERROR(E369*VLOOKUP(B369,TELAS!$A$4:$C$32,3,FALSE()),0)</f>
        <v>0</v>
      </c>
      <c r="G369" s="102">
        <f>IFERROR(IF(D369="OSCURO",VLOOKUP(B369,PRECIOS!$A$4:$F$32,2,FALSE()),IF(D369="CLARO",VLOOKUP(B369,PRECIOS!$A$4:$F$32,3,FALSE()),IF(D369="MELANGE",VLOOKUP(B369,PRECIOS!$A$4:$F$32,4,FALSE()),IF(D369="PPT",VLOOKUP(B369,PRECIOS!$A$4:$F$32,5,FALSE()),0)))),0)</f>
        <v>18</v>
      </c>
      <c r="H369" s="103">
        <f t="shared" si="1"/>
        <v>0</v>
      </c>
      <c r="I369" s="104" t="str">
        <f>IF(E369&lt;0,"ERROR",IF(E369=0,"",IF(E369&lt;CONFIG!$B$4,"CRÍTICO",IF(E369&lt;CONFIG!$B$5,"BAJO","OK"))))</f>
        <v/>
      </c>
    </row>
    <row r="370" ht="15.75" customHeight="1">
      <c r="A370" s="90" t="str">
        <f>IF(CLIENTES!A6="","",CLIENTES!A6)</f>
        <v/>
      </c>
      <c r="B370" s="67" t="str">
        <f>TELAS!A8</f>
        <v>rib 1x1</v>
      </c>
      <c r="C370" s="67" t="str">
        <f>COLORES!A10</f>
        <v>Botella</v>
      </c>
      <c r="D370" s="67" t="str">
        <f>COLORES!B10</f>
        <v>OSCURO</v>
      </c>
      <c r="E370" s="100">
        <f>IFERROR(SUMIFS(MOVIMIENTOS!$F$4:$F$1000,MOVIMIENTOS!$C$4:$C$1000,A370,MOVIMIENTOS!$D$4:$D$1000,B370,MOVIMIENTOS!$E$4:$E$1000,C370,MOVIMIENTOS!$B$4:$B$1000,"INGRESO")+SUMIFS(MOVIMIENTOS!$F$4:$F$1000,MOVIMIENTOS!$C$4:$C$1000,A370,MOVIMIENTOS!$D$4:$D$1000,B370,MOVIMIENTOS!$E$4:$E$1000,C370,MOVIMIENTOS!$B$4:$B$1000,"DE REPROCESO")+SUMIFS(MOVIMIENTOS!$F$4:$F$1000,MOVIMIENTOS!$C$4:$C$1000,A370,MOVIMIENTOS!$D$4:$D$1000,B370,MOVIMIENTOS!$E$4:$E$1000,C370,MOVIMIENTOS!$B$4:$B$1000,"AJUSTE+")-SUMIFS(MOVIMIENTOS!$F$4:$F$1000,MOVIMIENTOS!$C$4:$C$1000,A370,MOVIMIENTOS!$D$4:$D$1000,B370,MOVIMIENTOS!$E$4:$E$1000,C370,MOVIMIENTOS!$B$4:$B$1000,"A CORTE")-SUMIFS(MOVIMIENTOS!$F$4:$F$1000,MOVIMIENTOS!$C$4:$C$1000,A370,MOVIMIENTOS!$D$4:$D$1000,B370,MOVIMIENTOS!$E$4:$E$1000,C370,MOVIMIENTOS!$B$4:$B$1000,"A REPROCESO")-SUMIFS(MOVIMIENTOS!$F$4:$F$1000,MOVIMIENTOS!$C$4:$C$1000,A370,MOVIMIENTOS!$D$4:$D$1000,B370,MOVIMIENTOS!$E$4:$E$1000,C370,MOVIMIENTOS!$B$4:$B$1000,"MUESTRA")-SUMIFS(MOVIMIENTOS!$F$4:$F$1000,MOVIMIENTOS!$C$4:$C$1000,A370,MOVIMIENTOS!$D$4:$D$1000,B370,MOVIMIENTOS!$E$4:$E$1000,C370,MOVIMIENTOS!$B$4:$B$1000,"AJUSTE-"),0)</f>
        <v>0</v>
      </c>
      <c r="F370" s="101">
        <f>IFERROR(E370*VLOOKUP(B370,TELAS!$A$4:$C$32,3,FALSE()),0)</f>
        <v>0</v>
      </c>
      <c r="G370" s="102">
        <f>IFERROR(IF(D370="OSCURO",VLOOKUP(B370,PRECIOS!$A$4:$F$32,2,FALSE()),IF(D370="CLARO",VLOOKUP(B370,PRECIOS!$A$4:$F$32,3,FALSE()),IF(D370="MELANGE",VLOOKUP(B370,PRECIOS!$A$4:$F$32,4,FALSE()),IF(D370="PPT",VLOOKUP(B370,PRECIOS!$A$4:$F$32,5,FALSE()),0)))),0)</f>
        <v>24</v>
      </c>
      <c r="H370" s="103">
        <f t="shared" si="1"/>
        <v>0</v>
      </c>
      <c r="I370" s="104" t="str">
        <f>IF(E370&lt;0,"ERROR",IF(E370=0,"",IF(E370&lt;CONFIG!$B$4,"CRÍTICO",IF(E370&lt;CONFIG!$B$5,"BAJO","OK"))))</f>
        <v/>
      </c>
    </row>
    <row r="371" ht="15.75" customHeight="1">
      <c r="A371" s="90" t="str">
        <f>IF(CLIENTES!A6="","",CLIENTES!A6)</f>
        <v/>
      </c>
      <c r="B371" s="67" t="str">
        <f>TELAS!A8</f>
        <v>rib 1x1</v>
      </c>
      <c r="C371" s="67" t="str">
        <f>COLORES!A11</f>
        <v>Pacay</v>
      </c>
      <c r="D371" s="67" t="str">
        <f>COLORES!B11</f>
        <v>CLARO</v>
      </c>
      <c r="E371" s="100">
        <f>IFERROR(SUMIFS(MOVIMIENTOS!$F$4:$F$1000,MOVIMIENTOS!$C$4:$C$1000,A371,MOVIMIENTOS!$D$4:$D$1000,B371,MOVIMIENTOS!$E$4:$E$1000,C371,MOVIMIENTOS!$B$4:$B$1000,"INGRESO")+SUMIFS(MOVIMIENTOS!$F$4:$F$1000,MOVIMIENTOS!$C$4:$C$1000,A371,MOVIMIENTOS!$D$4:$D$1000,B371,MOVIMIENTOS!$E$4:$E$1000,C371,MOVIMIENTOS!$B$4:$B$1000,"DE REPROCESO")+SUMIFS(MOVIMIENTOS!$F$4:$F$1000,MOVIMIENTOS!$C$4:$C$1000,A371,MOVIMIENTOS!$D$4:$D$1000,B371,MOVIMIENTOS!$E$4:$E$1000,C371,MOVIMIENTOS!$B$4:$B$1000,"AJUSTE+")-SUMIFS(MOVIMIENTOS!$F$4:$F$1000,MOVIMIENTOS!$C$4:$C$1000,A371,MOVIMIENTOS!$D$4:$D$1000,B371,MOVIMIENTOS!$E$4:$E$1000,C371,MOVIMIENTOS!$B$4:$B$1000,"A CORTE")-SUMIFS(MOVIMIENTOS!$F$4:$F$1000,MOVIMIENTOS!$C$4:$C$1000,A371,MOVIMIENTOS!$D$4:$D$1000,B371,MOVIMIENTOS!$E$4:$E$1000,C371,MOVIMIENTOS!$B$4:$B$1000,"A REPROCESO")-SUMIFS(MOVIMIENTOS!$F$4:$F$1000,MOVIMIENTOS!$C$4:$C$1000,A371,MOVIMIENTOS!$D$4:$D$1000,B371,MOVIMIENTOS!$E$4:$E$1000,C371,MOVIMIENTOS!$B$4:$B$1000,"MUESTRA")-SUMIFS(MOVIMIENTOS!$F$4:$F$1000,MOVIMIENTOS!$C$4:$C$1000,A371,MOVIMIENTOS!$D$4:$D$1000,B371,MOVIMIENTOS!$E$4:$E$1000,C371,MOVIMIENTOS!$B$4:$B$1000,"AJUSTE-"),0)</f>
        <v>0</v>
      </c>
      <c r="F371" s="101">
        <f>IFERROR(E371*VLOOKUP(B371,TELAS!$A$4:$C$32,3,FALSE()),0)</f>
        <v>0</v>
      </c>
      <c r="G371" s="102">
        <f>IFERROR(IF(D371="OSCURO",VLOOKUP(B371,PRECIOS!$A$4:$F$32,2,FALSE()),IF(D371="CLARO",VLOOKUP(B371,PRECIOS!$A$4:$F$32,3,FALSE()),IF(D371="MELANGE",VLOOKUP(B371,PRECIOS!$A$4:$F$32,4,FALSE()),IF(D371="PPT",VLOOKUP(B371,PRECIOS!$A$4:$F$32,5,FALSE()),0)))),0)</f>
        <v>21</v>
      </c>
      <c r="H371" s="103">
        <f t="shared" si="1"/>
        <v>0</v>
      </c>
      <c r="I371" s="104" t="str">
        <f>IF(E371&lt;0,"ERROR",IF(E371=0,"",IF(E371&lt;CONFIG!$B$4,"CRÍTICO",IF(E371&lt;CONFIG!$B$5,"BAJO","OK"))))</f>
        <v/>
      </c>
    </row>
    <row r="372" ht="15.75" customHeight="1">
      <c r="A372" s="90" t="str">
        <f>IF(CLIENTES!A6="","",CLIENTES!A6)</f>
        <v/>
      </c>
      <c r="B372" s="67" t="str">
        <f>TELAS!A8</f>
        <v>rib 1x1</v>
      </c>
      <c r="C372" s="67" t="str">
        <f>COLORES!A12</f>
        <v>Cemento</v>
      </c>
      <c r="D372" s="67" t="str">
        <f>COLORES!B12</f>
        <v>CLARO</v>
      </c>
      <c r="E372" s="100">
        <f>IFERROR(SUMIFS(MOVIMIENTOS!$F$4:$F$1000,MOVIMIENTOS!$C$4:$C$1000,A372,MOVIMIENTOS!$D$4:$D$1000,B372,MOVIMIENTOS!$E$4:$E$1000,C372,MOVIMIENTOS!$B$4:$B$1000,"INGRESO")+SUMIFS(MOVIMIENTOS!$F$4:$F$1000,MOVIMIENTOS!$C$4:$C$1000,A372,MOVIMIENTOS!$D$4:$D$1000,B372,MOVIMIENTOS!$E$4:$E$1000,C372,MOVIMIENTOS!$B$4:$B$1000,"DE REPROCESO")+SUMIFS(MOVIMIENTOS!$F$4:$F$1000,MOVIMIENTOS!$C$4:$C$1000,A372,MOVIMIENTOS!$D$4:$D$1000,B372,MOVIMIENTOS!$E$4:$E$1000,C372,MOVIMIENTOS!$B$4:$B$1000,"AJUSTE+")-SUMIFS(MOVIMIENTOS!$F$4:$F$1000,MOVIMIENTOS!$C$4:$C$1000,A372,MOVIMIENTOS!$D$4:$D$1000,B372,MOVIMIENTOS!$E$4:$E$1000,C372,MOVIMIENTOS!$B$4:$B$1000,"A CORTE")-SUMIFS(MOVIMIENTOS!$F$4:$F$1000,MOVIMIENTOS!$C$4:$C$1000,A372,MOVIMIENTOS!$D$4:$D$1000,B372,MOVIMIENTOS!$E$4:$E$1000,C372,MOVIMIENTOS!$B$4:$B$1000,"A REPROCESO")-SUMIFS(MOVIMIENTOS!$F$4:$F$1000,MOVIMIENTOS!$C$4:$C$1000,A372,MOVIMIENTOS!$D$4:$D$1000,B372,MOVIMIENTOS!$E$4:$E$1000,C372,MOVIMIENTOS!$B$4:$B$1000,"MUESTRA")-SUMIFS(MOVIMIENTOS!$F$4:$F$1000,MOVIMIENTOS!$C$4:$C$1000,A372,MOVIMIENTOS!$D$4:$D$1000,B372,MOVIMIENTOS!$E$4:$E$1000,C372,MOVIMIENTOS!$B$4:$B$1000,"AJUSTE-"),0)</f>
        <v>0</v>
      </c>
      <c r="F372" s="101">
        <f>IFERROR(E372*VLOOKUP(B372,TELAS!$A$4:$C$32,3,FALSE()),0)</f>
        <v>0</v>
      </c>
      <c r="G372" s="102">
        <f>IFERROR(IF(D372="OSCURO",VLOOKUP(B372,PRECIOS!$A$4:$F$32,2,FALSE()),IF(D372="CLARO",VLOOKUP(B372,PRECIOS!$A$4:$F$32,3,FALSE()),IF(D372="MELANGE",VLOOKUP(B372,PRECIOS!$A$4:$F$32,4,FALSE()),IF(D372="PPT",VLOOKUP(B372,PRECIOS!$A$4:$F$32,5,FALSE()),0)))),0)</f>
        <v>21</v>
      </c>
      <c r="H372" s="103">
        <f t="shared" si="1"/>
        <v>0</v>
      </c>
      <c r="I372" s="104" t="str">
        <f>IF(E372&lt;0,"ERROR",IF(E372=0,"",IF(E372&lt;CONFIG!$B$4,"CRÍTICO",IF(E372&lt;CONFIG!$B$5,"BAJO","OK"))))</f>
        <v/>
      </c>
    </row>
    <row r="373" ht="15.75" customHeight="1">
      <c r="A373" s="90" t="str">
        <f>IF(CLIENTES!A6="","",CLIENTES!A6)</f>
        <v/>
      </c>
      <c r="B373" s="67" t="str">
        <f>TELAS!A8</f>
        <v>rib 1x1</v>
      </c>
      <c r="C373" s="67" t="str">
        <f>COLORES!A13</f>
        <v>Camote</v>
      </c>
      <c r="D373" s="67" t="str">
        <f>COLORES!B13</f>
        <v>CLARO</v>
      </c>
      <c r="E373" s="100">
        <f>IFERROR(SUMIFS(MOVIMIENTOS!$F$4:$F$1000,MOVIMIENTOS!$C$4:$C$1000,A373,MOVIMIENTOS!$D$4:$D$1000,B373,MOVIMIENTOS!$E$4:$E$1000,C373,MOVIMIENTOS!$B$4:$B$1000,"INGRESO")+SUMIFS(MOVIMIENTOS!$F$4:$F$1000,MOVIMIENTOS!$C$4:$C$1000,A373,MOVIMIENTOS!$D$4:$D$1000,B373,MOVIMIENTOS!$E$4:$E$1000,C373,MOVIMIENTOS!$B$4:$B$1000,"DE REPROCESO")+SUMIFS(MOVIMIENTOS!$F$4:$F$1000,MOVIMIENTOS!$C$4:$C$1000,A373,MOVIMIENTOS!$D$4:$D$1000,B373,MOVIMIENTOS!$E$4:$E$1000,C373,MOVIMIENTOS!$B$4:$B$1000,"AJUSTE+")-SUMIFS(MOVIMIENTOS!$F$4:$F$1000,MOVIMIENTOS!$C$4:$C$1000,A373,MOVIMIENTOS!$D$4:$D$1000,B373,MOVIMIENTOS!$E$4:$E$1000,C373,MOVIMIENTOS!$B$4:$B$1000,"A CORTE")-SUMIFS(MOVIMIENTOS!$F$4:$F$1000,MOVIMIENTOS!$C$4:$C$1000,A373,MOVIMIENTOS!$D$4:$D$1000,B373,MOVIMIENTOS!$E$4:$E$1000,C373,MOVIMIENTOS!$B$4:$B$1000,"A REPROCESO")-SUMIFS(MOVIMIENTOS!$F$4:$F$1000,MOVIMIENTOS!$C$4:$C$1000,A373,MOVIMIENTOS!$D$4:$D$1000,B373,MOVIMIENTOS!$E$4:$E$1000,C373,MOVIMIENTOS!$B$4:$B$1000,"MUESTRA")-SUMIFS(MOVIMIENTOS!$F$4:$F$1000,MOVIMIENTOS!$C$4:$C$1000,A373,MOVIMIENTOS!$D$4:$D$1000,B373,MOVIMIENTOS!$E$4:$E$1000,C373,MOVIMIENTOS!$B$4:$B$1000,"AJUSTE-"),0)</f>
        <v>0</v>
      </c>
      <c r="F373" s="101">
        <f>IFERROR(E373*VLOOKUP(B373,TELAS!$A$4:$C$32,3,FALSE()),0)</f>
        <v>0</v>
      </c>
      <c r="G373" s="102">
        <f>IFERROR(IF(D373="OSCURO",VLOOKUP(B373,PRECIOS!$A$4:$F$32,2,FALSE()),IF(D373="CLARO",VLOOKUP(B373,PRECIOS!$A$4:$F$32,3,FALSE()),IF(D373="MELANGE",VLOOKUP(B373,PRECIOS!$A$4:$F$32,4,FALSE()),IF(D373="PPT",VLOOKUP(B373,PRECIOS!$A$4:$F$32,5,FALSE()),0)))),0)</f>
        <v>21</v>
      </c>
      <c r="H373" s="103">
        <f t="shared" si="1"/>
        <v>0</v>
      </c>
      <c r="I373" s="104" t="str">
        <f>IF(E373&lt;0,"ERROR",IF(E373=0,"",IF(E373&lt;CONFIG!$B$4,"CRÍTICO",IF(E373&lt;CONFIG!$B$5,"BAJO","OK"))))</f>
        <v/>
      </c>
    </row>
    <row r="374" ht="15.75" customHeight="1">
      <c r="A374" s="90" t="str">
        <f>IF(CLIENTES!A6="","",CLIENTES!A6)</f>
        <v/>
      </c>
      <c r="B374" s="67" t="str">
        <f>TELAS!A8</f>
        <v>rib 1x1</v>
      </c>
      <c r="C374" s="67" t="str">
        <f>COLORES!A14</f>
        <v>Denim</v>
      </c>
      <c r="D374" s="67" t="str">
        <f>COLORES!B14</f>
        <v>CLARO</v>
      </c>
      <c r="E374" s="100">
        <f>IFERROR(SUMIFS(MOVIMIENTOS!$F$4:$F$1000,MOVIMIENTOS!$C$4:$C$1000,A374,MOVIMIENTOS!$D$4:$D$1000,B374,MOVIMIENTOS!$E$4:$E$1000,C374,MOVIMIENTOS!$B$4:$B$1000,"INGRESO")+SUMIFS(MOVIMIENTOS!$F$4:$F$1000,MOVIMIENTOS!$C$4:$C$1000,A374,MOVIMIENTOS!$D$4:$D$1000,B374,MOVIMIENTOS!$E$4:$E$1000,C374,MOVIMIENTOS!$B$4:$B$1000,"DE REPROCESO")+SUMIFS(MOVIMIENTOS!$F$4:$F$1000,MOVIMIENTOS!$C$4:$C$1000,A374,MOVIMIENTOS!$D$4:$D$1000,B374,MOVIMIENTOS!$E$4:$E$1000,C374,MOVIMIENTOS!$B$4:$B$1000,"AJUSTE+")-SUMIFS(MOVIMIENTOS!$F$4:$F$1000,MOVIMIENTOS!$C$4:$C$1000,A374,MOVIMIENTOS!$D$4:$D$1000,B374,MOVIMIENTOS!$E$4:$E$1000,C374,MOVIMIENTOS!$B$4:$B$1000,"A CORTE")-SUMIFS(MOVIMIENTOS!$F$4:$F$1000,MOVIMIENTOS!$C$4:$C$1000,A374,MOVIMIENTOS!$D$4:$D$1000,B374,MOVIMIENTOS!$E$4:$E$1000,C374,MOVIMIENTOS!$B$4:$B$1000,"A REPROCESO")-SUMIFS(MOVIMIENTOS!$F$4:$F$1000,MOVIMIENTOS!$C$4:$C$1000,A374,MOVIMIENTOS!$D$4:$D$1000,B374,MOVIMIENTOS!$E$4:$E$1000,C374,MOVIMIENTOS!$B$4:$B$1000,"MUESTRA")-SUMIFS(MOVIMIENTOS!$F$4:$F$1000,MOVIMIENTOS!$C$4:$C$1000,A374,MOVIMIENTOS!$D$4:$D$1000,B374,MOVIMIENTOS!$E$4:$E$1000,C374,MOVIMIENTOS!$B$4:$B$1000,"AJUSTE-"),0)</f>
        <v>0</v>
      </c>
      <c r="F374" s="101">
        <f>IFERROR(E374*VLOOKUP(B374,TELAS!$A$4:$C$32,3,FALSE()),0)</f>
        <v>0</v>
      </c>
      <c r="G374" s="102">
        <f>IFERROR(IF(D374="OSCURO",VLOOKUP(B374,PRECIOS!$A$4:$F$32,2,FALSE()),IF(D374="CLARO",VLOOKUP(B374,PRECIOS!$A$4:$F$32,3,FALSE()),IF(D374="MELANGE",VLOOKUP(B374,PRECIOS!$A$4:$F$32,4,FALSE()),IF(D374="PPT",VLOOKUP(B374,PRECIOS!$A$4:$F$32,5,FALSE()),0)))),0)</f>
        <v>21</v>
      </c>
      <c r="H374" s="103">
        <f t="shared" si="1"/>
        <v>0</v>
      </c>
      <c r="I374" s="104" t="str">
        <f>IF(E374&lt;0,"ERROR",IF(E374=0,"",IF(E374&lt;CONFIG!$B$4,"CRÍTICO",IF(E374&lt;CONFIG!$B$5,"BAJO","OK"))))</f>
        <v/>
      </c>
    </row>
    <row r="375" ht="15.75" customHeight="1">
      <c r="A375" s="90" t="str">
        <f>IF(CLIENTES!A6="","",CLIENTES!A6)</f>
        <v/>
      </c>
      <c r="B375" s="67" t="str">
        <f>TELAS!A8</f>
        <v>rib 1x1</v>
      </c>
      <c r="C375" s="67" t="str">
        <f>COLORES!A15</f>
        <v>Plomo</v>
      </c>
      <c r="D375" s="67" t="str">
        <f>COLORES!B15</f>
        <v>OSCURO</v>
      </c>
      <c r="E375" s="100">
        <f>IFERROR(SUMIFS(MOVIMIENTOS!$F$4:$F$1000,MOVIMIENTOS!$C$4:$C$1000,A375,MOVIMIENTOS!$D$4:$D$1000,B375,MOVIMIENTOS!$E$4:$E$1000,C375,MOVIMIENTOS!$B$4:$B$1000,"INGRESO")+SUMIFS(MOVIMIENTOS!$F$4:$F$1000,MOVIMIENTOS!$C$4:$C$1000,A375,MOVIMIENTOS!$D$4:$D$1000,B375,MOVIMIENTOS!$E$4:$E$1000,C375,MOVIMIENTOS!$B$4:$B$1000,"DE REPROCESO")+SUMIFS(MOVIMIENTOS!$F$4:$F$1000,MOVIMIENTOS!$C$4:$C$1000,A375,MOVIMIENTOS!$D$4:$D$1000,B375,MOVIMIENTOS!$E$4:$E$1000,C375,MOVIMIENTOS!$B$4:$B$1000,"AJUSTE+")-SUMIFS(MOVIMIENTOS!$F$4:$F$1000,MOVIMIENTOS!$C$4:$C$1000,A375,MOVIMIENTOS!$D$4:$D$1000,B375,MOVIMIENTOS!$E$4:$E$1000,C375,MOVIMIENTOS!$B$4:$B$1000,"A CORTE")-SUMIFS(MOVIMIENTOS!$F$4:$F$1000,MOVIMIENTOS!$C$4:$C$1000,A375,MOVIMIENTOS!$D$4:$D$1000,B375,MOVIMIENTOS!$E$4:$E$1000,C375,MOVIMIENTOS!$B$4:$B$1000,"A REPROCESO")-SUMIFS(MOVIMIENTOS!$F$4:$F$1000,MOVIMIENTOS!$C$4:$C$1000,A375,MOVIMIENTOS!$D$4:$D$1000,B375,MOVIMIENTOS!$E$4:$E$1000,C375,MOVIMIENTOS!$B$4:$B$1000,"MUESTRA")-SUMIFS(MOVIMIENTOS!$F$4:$F$1000,MOVIMIENTOS!$C$4:$C$1000,A375,MOVIMIENTOS!$D$4:$D$1000,B375,MOVIMIENTOS!$E$4:$E$1000,C375,MOVIMIENTOS!$B$4:$B$1000,"AJUSTE-"),0)</f>
        <v>0</v>
      </c>
      <c r="F375" s="101">
        <f>IFERROR(E375*VLOOKUP(B375,TELAS!$A$4:$C$32,3,FALSE()),0)</f>
        <v>0</v>
      </c>
      <c r="G375" s="102">
        <f>IFERROR(IF(D375="OSCURO",VLOOKUP(B375,PRECIOS!$A$4:$F$32,2,FALSE()),IF(D375="CLARO",VLOOKUP(B375,PRECIOS!$A$4:$F$32,3,FALSE()),IF(D375="MELANGE",VLOOKUP(B375,PRECIOS!$A$4:$F$32,4,FALSE()),IF(D375="PPT",VLOOKUP(B375,PRECIOS!$A$4:$F$32,5,FALSE()),0)))),0)</f>
        <v>24</v>
      </c>
      <c r="H375" s="103">
        <f t="shared" si="1"/>
        <v>0</v>
      </c>
      <c r="I375" s="104" t="str">
        <f>IF(E375&lt;0,"ERROR",IF(E375=0,"",IF(E375&lt;CONFIG!$B$4,"CRÍTICO",IF(E375&lt;CONFIG!$B$5,"BAJO","OK"))))</f>
        <v/>
      </c>
    </row>
    <row r="376" ht="15.75" customHeight="1">
      <c r="A376" s="90" t="str">
        <f>IF(CLIENTES!A6="","",CLIENTES!A6)</f>
        <v/>
      </c>
      <c r="B376" s="67" t="str">
        <f>TELAS!A8</f>
        <v>rib 1x1</v>
      </c>
      <c r="C376" s="67" t="str">
        <f>COLORES!A16</f>
        <v>Topo</v>
      </c>
      <c r="D376" s="67" t="str">
        <f>COLORES!B16</f>
        <v>CLARO</v>
      </c>
      <c r="E376" s="100">
        <f>IFERROR(SUMIFS(MOVIMIENTOS!$F$4:$F$1000,MOVIMIENTOS!$C$4:$C$1000,A376,MOVIMIENTOS!$D$4:$D$1000,B376,MOVIMIENTOS!$E$4:$E$1000,C376,MOVIMIENTOS!$B$4:$B$1000,"INGRESO")+SUMIFS(MOVIMIENTOS!$F$4:$F$1000,MOVIMIENTOS!$C$4:$C$1000,A376,MOVIMIENTOS!$D$4:$D$1000,B376,MOVIMIENTOS!$E$4:$E$1000,C376,MOVIMIENTOS!$B$4:$B$1000,"DE REPROCESO")+SUMIFS(MOVIMIENTOS!$F$4:$F$1000,MOVIMIENTOS!$C$4:$C$1000,A376,MOVIMIENTOS!$D$4:$D$1000,B376,MOVIMIENTOS!$E$4:$E$1000,C376,MOVIMIENTOS!$B$4:$B$1000,"AJUSTE+")-SUMIFS(MOVIMIENTOS!$F$4:$F$1000,MOVIMIENTOS!$C$4:$C$1000,A376,MOVIMIENTOS!$D$4:$D$1000,B376,MOVIMIENTOS!$E$4:$E$1000,C376,MOVIMIENTOS!$B$4:$B$1000,"A CORTE")-SUMIFS(MOVIMIENTOS!$F$4:$F$1000,MOVIMIENTOS!$C$4:$C$1000,A376,MOVIMIENTOS!$D$4:$D$1000,B376,MOVIMIENTOS!$E$4:$E$1000,C376,MOVIMIENTOS!$B$4:$B$1000,"A REPROCESO")-SUMIFS(MOVIMIENTOS!$F$4:$F$1000,MOVIMIENTOS!$C$4:$C$1000,A376,MOVIMIENTOS!$D$4:$D$1000,B376,MOVIMIENTOS!$E$4:$E$1000,C376,MOVIMIENTOS!$B$4:$B$1000,"MUESTRA")-SUMIFS(MOVIMIENTOS!$F$4:$F$1000,MOVIMIENTOS!$C$4:$C$1000,A376,MOVIMIENTOS!$D$4:$D$1000,B376,MOVIMIENTOS!$E$4:$E$1000,C376,MOVIMIENTOS!$B$4:$B$1000,"AJUSTE-"),0)</f>
        <v>0</v>
      </c>
      <c r="F376" s="101">
        <f>IFERROR(E376*VLOOKUP(B376,TELAS!$A$4:$C$32,3,FALSE()),0)</f>
        <v>0</v>
      </c>
      <c r="G376" s="102">
        <f>IFERROR(IF(D376="OSCURO",VLOOKUP(B376,PRECIOS!$A$4:$F$32,2,FALSE()),IF(D376="CLARO",VLOOKUP(B376,PRECIOS!$A$4:$F$32,3,FALSE()),IF(D376="MELANGE",VLOOKUP(B376,PRECIOS!$A$4:$F$32,4,FALSE()),IF(D376="PPT",VLOOKUP(B376,PRECIOS!$A$4:$F$32,5,FALSE()),0)))),0)</f>
        <v>21</v>
      </c>
      <c r="H376" s="103">
        <f t="shared" si="1"/>
        <v>0</v>
      </c>
      <c r="I376" s="104" t="str">
        <f>IF(E376&lt;0,"ERROR",IF(E376=0,"",IF(E376&lt;CONFIG!$B$4,"CRÍTICO",IF(E376&lt;CONFIG!$B$5,"BAJO","OK"))))</f>
        <v/>
      </c>
    </row>
    <row r="377" ht="15.75" customHeight="1">
      <c r="A377" s="90" t="str">
        <f>IF(CLIENTES!A6="","",CLIENTES!A6)</f>
        <v/>
      </c>
      <c r="B377" s="67" t="str">
        <f>TELAS!A8</f>
        <v>rib 1x1</v>
      </c>
      <c r="C377" s="67" t="str">
        <f>COLORES!A17</f>
        <v>Vino</v>
      </c>
      <c r="D377" s="67" t="str">
        <f>COLORES!B17</f>
        <v>OSCURO</v>
      </c>
      <c r="E377" s="100">
        <f>IFERROR(SUMIFS(MOVIMIENTOS!$F$4:$F$1000,MOVIMIENTOS!$C$4:$C$1000,A377,MOVIMIENTOS!$D$4:$D$1000,B377,MOVIMIENTOS!$E$4:$E$1000,C377,MOVIMIENTOS!$B$4:$B$1000,"INGRESO")+SUMIFS(MOVIMIENTOS!$F$4:$F$1000,MOVIMIENTOS!$C$4:$C$1000,A377,MOVIMIENTOS!$D$4:$D$1000,B377,MOVIMIENTOS!$E$4:$E$1000,C377,MOVIMIENTOS!$B$4:$B$1000,"DE REPROCESO")+SUMIFS(MOVIMIENTOS!$F$4:$F$1000,MOVIMIENTOS!$C$4:$C$1000,A377,MOVIMIENTOS!$D$4:$D$1000,B377,MOVIMIENTOS!$E$4:$E$1000,C377,MOVIMIENTOS!$B$4:$B$1000,"AJUSTE+")-SUMIFS(MOVIMIENTOS!$F$4:$F$1000,MOVIMIENTOS!$C$4:$C$1000,A377,MOVIMIENTOS!$D$4:$D$1000,B377,MOVIMIENTOS!$E$4:$E$1000,C377,MOVIMIENTOS!$B$4:$B$1000,"A CORTE")-SUMIFS(MOVIMIENTOS!$F$4:$F$1000,MOVIMIENTOS!$C$4:$C$1000,A377,MOVIMIENTOS!$D$4:$D$1000,B377,MOVIMIENTOS!$E$4:$E$1000,C377,MOVIMIENTOS!$B$4:$B$1000,"A REPROCESO")-SUMIFS(MOVIMIENTOS!$F$4:$F$1000,MOVIMIENTOS!$C$4:$C$1000,A377,MOVIMIENTOS!$D$4:$D$1000,B377,MOVIMIENTOS!$E$4:$E$1000,C377,MOVIMIENTOS!$B$4:$B$1000,"MUESTRA")-SUMIFS(MOVIMIENTOS!$F$4:$F$1000,MOVIMIENTOS!$C$4:$C$1000,A377,MOVIMIENTOS!$D$4:$D$1000,B377,MOVIMIENTOS!$E$4:$E$1000,C377,MOVIMIENTOS!$B$4:$B$1000,"AJUSTE-"),0)</f>
        <v>0</v>
      </c>
      <c r="F377" s="101">
        <f>IFERROR(E377*VLOOKUP(B377,TELAS!$A$4:$C$32,3,FALSE()),0)</f>
        <v>0</v>
      </c>
      <c r="G377" s="102">
        <f>IFERROR(IF(D377="OSCURO",VLOOKUP(B377,PRECIOS!$A$4:$F$32,2,FALSE()),IF(D377="CLARO",VLOOKUP(B377,PRECIOS!$A$4:$F$32,3,FALSE()),IF(D377="MELANGE",VLOOKUP(B377,PRECIOS!$A$4:$F$32,4,FALSE()),IF(D377="PPT",VLOOKUP(B377,PRECIOS!$A$4:$F$32,5,FALSE()),0)))),0)</f>
        <v>24</v>
      </c>
      <c r="H377" s="103">
        <f t="shared" si="1"/>
        <v>0</v>
      </c>
      <c r="I377" s="104" t="str">
        <f>IF(E377&lt;0,"ERROR",IF(E377=0,"",IF(E377&lt;CONFIG!$B$4,"CRÍTICO",IF(E377&lt;CONFIG!$B$5,"BAJO","OK"))))</f>
        <v/>
      </c>
    </row>
    <row r="378" ht="15.75" customHeight="1">
      <c r="A378" s="90" t="str">
        <f>IF(CLIENTES!A6="","",CLIENTES!A6)</f>
        <v/>
      </c>
      <c r="B378" s="67" t="str">
        <f>TELAS!A8</f>
        <v>rib 1x1</v>
      </c>
      <c r="C378" s="67" t="str">
        <f>COLORES!A18</f>
        <v>P. Rosa</v>
      </c>
      <c r="D378" s="67" t="str">
        <f>COLORES!B18</f>
        <v>CLARO</v>
      </c>
      <c r="E378" s="100">
        <f>IFERROR(SUMIFS(MOVIMIENTOS!$F$4:$F$1000,MOVIMIENTOS!$C$4:$C$1000,A378,MOVIMIENTOS!$D$4:$D$1000,B378,MOVIMIENTOS!$E$4:$E$1000,C378,MOVIMIENTOS!$B$4:$B$1000,"INGRESO")+SUMIFS(MOVIMIENTOS!$F$4:$F$1000,MOVIMIENTOS!$C$4:$C$1000,A378,MOVIMIENTOS!$D$4:$D$1000,B378,MOVIMIENTOS!$E$4:$E$1000,C378,MOVIMIENTOS!$B$4:$B$1000,"DE REPROCESO")+SUMIFS(MOVIMIENTOS!$F$4:$F$1000,MOVIMIENTOS!$C$4:$C$1000,A378,MOVIMIENTOS!$D$4:$D$1000,B378,MOVIMIENTOS!$E$4:$E$1000,C378,MOVIMIENTOS!$B$4:$B$1000,"AJUSTE+")-SUMIFS(MOVIMIENTOS!$F$4:$F$1000,MOVIMIENTOS!$C$4:$C$1000,A378,MOVIMIENTOS!$D$4:$D$1000,B378,MOVIMIENTOS!$E$4:$E$1000,C378,MOVIMIENTOS!$B$4:$B$1000,"A CORTE")-SUMIFS(MOVIMIENTOS!$F$4:$F$1000,MOVIMIENTOS!$C$4:$C$1000,A378,MOVIMIENTOS!$D$4:$D$1000,B378,MOVIMIENTOS!$E$4:$E$1000,C378,MOVIMIENTOS!$B$4:$B$1000,"A REPROCESO")-SUMIFS(MOVIMIENTOS!$F$4:$F$1000,MOVIMIENTOS!$C$4:$C$1000,A378,MOVIMIENTOS!$D$4:$D$1000,B378,MOVIMIENTOS!$E$4:$E$1000,C378,MOVIMIENTOS!$B$4:$B$1000,"MUESTRA")-SUMIFS(MOVIMIENTOS!$F$4:$F$1000,MOVIMIENTOS!$C$4:$C$1000,A378,MOVIMIENTOS!$D$4:$D$1000,B378,MOVIMIENTOS!$E$4:$E$1000,C378,MOVIMIENTOS!$B$4:$B$1000,"AJUSTE-"),0)</f>
        <v>0</v>
      </c>
      <c r="F378" s="101">
        <f>IFERROR(E378*VLOOKUP(B378,TELAS!$A$4:$C$32,3,FALSE()),0)</f>
        <v>0</v>
      </c>
      <c r="G378" s="102">
        <f>IFERROR(IF(D378="OSCURO",VLOOKUP(B378,PRECIOS!$A$4:$F$32,2,FALSE()),IF(D378="CLARO",VLOOKUP(B378,PRECIOS!$A$4:$F$32,3,FALSE()),IF(D378="MELANGE",VLOOKUP(B378,PRECIOS!$A$4:$F$32,4,FALSE()),IF(D378="PPT",VLOOKUP(B378,PRECIOS!$A$4:$F$32,5,FALSE()),0)))),0)</f>
        <v>21</v>
      </c>
      <c r="H378" s="103">
        <f t="shared" si="1"/>
        <v>0</v>
      </c>
      <c r="I378" s="104" t="str">
        <f>IF(E378&lt;0,"ERROR",IF(E378=0,"",IF(E378&lt;CONFIG!$B$4,"CRÍTICO",IF(E378&lt;CONFIG!$B$5,"BAJO","OK"))))</f>
        <v/>
      </c>
    </row>
    <row r="379" ht="15.75" customHeight="1">
      <c r="A379" s="90" t="str">
        <f>IF(CLIENTES!A6="","",CLIENTES!A6)</f>
        <v/>
      </c>
      <c r="B379" s="67" t="str">
        <f>TELAS!A8</f>
        <v>rib 1x1</v>
      </c>
      <c r="C379" s="67" t="str">
        <f>COLORES!A19</f>
        <v/>
      </c>
      <c r="D379" s="67" t="str">
        <f>COLORES!B19</f>
        <v/>
      </c>
      <c r="E379" s="100">
        <f>IFERROR(SUMIFS(MOVIMIENTOS!$F$4:$F$1000,MOVIMIENTOS!$C$4:$C$1000,A379,MOVIMIENTOS!$D$4:$D$1000,B379,MOVIMIENTOS!$E$4:$E$1000,C379,MOVIMIENTOS!$B$4:$B$1000,"INGRESO")+SUMIFS(MOVIMIENTOS!$F$4:$F$1000,MOVIMIENTOS!$C$4:$C$1000,A379,MOVIMIENTOS!$D$4:$D$1000,B379,MOVIMIENTOS!$E$4:$E$1000,C379,MOVIMIENTOS!$B$4:$B$1000,"DE REPROCESO")+SUMIFS(MOVIMIENTOS!$F$4:$F$1000,MOVIMIENTOS!$C$4:$C$1000,A379,MOVIMIENTOS!$D$4:$D$1000,B379,MOVIMIENTOS!$E$4:$E$1000,C379,MOVIMIENTOS!$B$4:$B$1000,"AJUSTE+")-SUMIFS(MOVIMIENTOS!$F$4:$F$1000,MOVIMIENTOS!$C$4:$C$1000,A379,MOVIMIENTOS!$D$4:$D$1000,B379,MOVIMIENTOS!$E$4:$E$1000,C379,MOVIMIENTOS!$B$4:$B$1000,"A CORTE")-SUMIFS(MOVIMIENTOS!$F$4:$F$1000,MOVIMIENTOS!$C$4:$C$1000,A379,MOVIMIENTOS!$D$4:$D$1000,B379,MOVIMIENTOS!$E$4:$E$1000,C379,MOVIMIENTOS!$B$4:$B$1000,"A REPROCESO")-SUMIFS(MOVIMIENTOS!$F$4:$F$1000,MOVIMIENTOS!$C$4:$C$1000,A379,MOVIMIENTOS!$D$4:$D$1000,B379,MOVIMIENTOS!$E$4:$E$1000,C379,MOVIMIENTOS!$B$4:$B$1000,"MUESTRA")-SUMIFS(MOVIMIENTOS!$F$4:$F$1000,MOVIMIENTOS!$C$4:$C$1000,A379,MOVIMIENTOS!$D$4:$D$1000,B379,MOVIMIENTOS!$E$4:$E$1000,C379,MOVIMIENTOS!$B$4:$B$1000,"AJUSTE-"),0)</f>
        <v>0</v>
      </c>
      <c r="F379" s="101">
        <f>IFERROR(E379*VLOOKUP(B379,TELAS!$A$4:$C$32,3,FALSE()),0)</f>
        <v>0</v>
      </c>
      <c r="G379" s="102">
        <f>IFERROR(IF(D379="OSCURO",VLOOKUP(B379,PRECIOS!$A$4:$F$32,2,FALSE()),IF(D379="CLARO",VLOOKUP(B379,PRECIOS!$A$4:$F$32,3,FALSE()),IF(D379="MELANGE",VLOOKUP(B379,PRECIOS!$A$4:$F$32,4,FALSE()),IF(D379="PPT",VLOOKUP(B379,PRECIOS!$A$4:$F$32,5,FALSE()),0)))),0)</f>
        <v>0</v>
      </c>
      <c r="H379" s="103">
        <f t="shared" si="1"/>
        <v>0</v>
      </c>
      <c r="I379" s="104" t="str">
        <f>IF(E379&lt;0,"ERROR",IF(E379=0,"",IF(E379&lt;CONFIG!$B$4,"CRÍTICO",IF(E379&lt;CONFIG!$B$5,"BAJO","OK"))))</f>
        <v/>
      </c>
    </row>
    <row r="380" ht="15.75" customHeight="1">
      <c r="A380" s="90" t="str">
        <f>IF(CLIENTES!A6="","",CLIENTES!A6)</f>
        <v/>
      </c>
      <c r="B380" s="67" t="str">
        <f>TELAS!A8</f>
        <v>rib 1x1</v>
      </c>
      <c r="C380" s="67" t="str">
        <f>COLORES!A20</f>
        <v/>
      </c>
      <c r="D380" s="67" t="str">
        <f>COLORES!B20</f>
        <v/>
      </c>
      <c r="E380" s="100">
        <f>IFERROR(SUMIFS(MOVIMIENTOS!$F$4:$F$1000,MOVIMIENTOS!$C$4:$C$1000,A380,MOVIMIENTOS!$D$4:$D$1000,B380,MOVIMIENTOS!$E$4:$E$1000,C380,MOVIMIENTOS!$B$4:$B$1000,"INGRESO")+SUMIFS(MOVIMIENTOS!$F$4:$F$1000,MOVIMIENTOS!$C$4:$C$1000,A380,MOVIMIENTOS!$D$4:$D$1000,B380,MOVIMIENTOS!$E$4:$E$1000,C380,MOVIMIENTOS!$B$4:$B$1000,"DE REPROCESO")+SUMIFS(MOVIMIENTOS!$F$4:$F$1000,MOVIMIENTOS!$C$4:$C$1000,A380,MOVIMIENTOS!$D$4:$D$1000,B380,MOVIMIENTOS!$E$4:$E$1000,C380,MOVIMIENTOS!$B$4:$B$1000,"AJUSTE+")-SUMIFS(MOVIMIENTOS!$F$4:$F$1000,MOVIMIENTOS!$C$4:$C$1000,A380,MOVIMIENTOS!$D$4:$D$1000,B380,MOVIMIENTOS!$E$4:$E$1000,C380,MOVIMIENTOS!$B$4:$B$1000,"A CORTE")-SUMIFS(MOVIMIENTOS!$F$4:$F$1000,MOVIMIENTOS!$C$4:$C$1000,A380,MOVIMIENTOS!$D$4:$D$1000,B380,MOVIMIENTOS!$E$4:$E$1000,C380,MOVIMIENTOS!$B$4:$B$1000,"A REPROCESO")-SUMIFS(MOVIMIENTOS!$F$4:$F$1000,MOVIMIENTOS!$C$4:$C$1000,A380,MOVIMIENTOS!$D$4:$D$1000,B380,MOVIMIENTOS!$E$4:$E$1000,C380,MOVIMIENTOS!$B$4:$B$1000,"MUESTRA")-SUMIFS(MOVIMIENTOS!$F$4:$F$1000,MOVIMIENTOS!$C$4:$C$1000,A380,MOVIMIENTOS!$D$4:$D$1000,B380,MOVIMIENTOS!$E$4:$E$1000,C380,MOVIMIENTOS!$B$4:$B$1000,"AJUSTE-"),0)</f>
        <v>0</v>
      </c>
      <c r="F380" s="101">
        <f>IFERROR(E380*VLOOKUP(B380,TELAS!$A$4:$C$32,3,FALSE()),0)</f>
        <v>0</v>
      </c>
      <c r="G380" s="102">
        <f>IFERROR(IF(D380="OSCURO",VLOOKUP(B380,PRECIOS!$A$4:$F$32,2,FALSE()),IF(D380="CLARO",VLOOKUP(B380,PRECIOS!$A$4:$F$32,3,FALSE()),IF(D380="MELANGE",VLOOKUP(B380,PRECIOS!$A$4:$F$32,4,FALSE()),IF(D380="PPT",VLOOKUP(B380,PRECIOS!$A$4:$F$32,5,FALSE()),0)))),0)</f>
        <v>0</v>
      </c>
      <c r="H380" s="103">
        <f t="shared" si="1"/>
        <v>0</v>
      </c>
      <c r="I380" s="104" t="str">
        <f>IF(E380&lt;0,"ERROR",IF(E380=0,"",IF(E380&lt;CONFIG!$B$4,"CRÍTICO",IF(E380&lt;CONFIG!$B$5,"BAJO","OK"))))</f>
        <v/>
      </c>
    </row>
    <row r="381" ht="15.75" customHeight="1">
      <c r="A381" s="90" t="str">
        <f>IF(CLIENTES!A6="","",CLIENTES!A6)</f>
        <v/>
      </c>
      <c r="B381" s="67" t="str">
        <f>TELAS!A8</f>
        <v>rib 1x1</v>
      </c>
      <c r="C381" s="67" t="str">
        <f>COLORES!A21</f>
        <v/>
      </c>
      <c r="D381" s="67" t="str">
        <f>COLORES!B21</f>
        <v/>
      </c>
      <c r="E381" s="100">
        <f>IFERROR(SUMIFS(MOVIMIENTOS!$F$4:$F$1000,MOVIMIENTOS!$C$4:$C$1000,A381,MOVIMIENTOS!$D$4:$D$1000,B381,MOVIMIENTOS!$E$4:$E$1000,C381,MOVIMIENTOS!$B$4:$B$1000,"INGRESO")+SUMIFS(MOVIMIENTOS!$F$4:$F$1000,MOVIMIENTOS!$C$4:$C$1000,A381,MOVIMIENTOS!$D$4:$D$1000,B381,MOVIMIENTOS!$E$4:$E$1000,C381,MOVIMIENTOS!$B$4:$B$1000,"DE REPROCESO")+SUMIFS(MOVIMIENTOS!$F$4:$F$1000,MOVIMIENTOS!$C$4:$C$1000,A381,MOVIMIENTOS!$D$4:$D$1000,B381,MOVIMIENTOS!$E$4:$E$1000,C381,MOVIMIENTOS!$B$4:$B$1000,"AJUSTE+")-SUMIFS(MOVIMIENTOS!$F$4:$F$1000,MOVIMIENTOS!$C$4:$C$1000,A381,MOVIMIENTOS!$D$4:$D$1000,B381,MOVIMIENTOS!$E$4:$E$1000,C381,MOVIMIENTOS!$B$4:$B$1000,"A CORTE")-SUMIFS(MOVIMIENTOS!$F$4:$F$1000,MOVIMIENTOS!$C$4:$C$1000,A381,MOVIMIENTOS!$D$4:$D$1000,B381,MOVIMIENTOS!$E$4:$E$1000,C381,MOVIMIENTOS!$B$4:$B$1000,"A REPROCESO")-SUMIFS(MOVIMIENTOS!$F$4:$F$1000,MOVIMIENTOS!$C$4:$C$1000,A381,MOVIMIENTOS!$D$4:$D$1000,B381,MOVIMIENTOS!$E$4:$E$1000,C381,MOVIMIENTOS!$B$4:$B$1000,"MUESTRA")-SUMIFS(MOVIMIENTOS!$F$4:$F$1000,MOVIMIENTOS!$C$4:$C$1000,A381,MOVIMIENTOS!$D$4:$D$1000,B381,MOVIMIENTOS!$E$4:$E$1000,C381,MOVIMIENTOS!$B$4:$B$1000,"AJUSTE-"),0)</f>
        <v>0</v>
      </c>
      <c r="F381" s="101">
        <f>IFERROR(E381*VLOOKUP(B381,TELAS!$A$4:$C$32,3,FALSE()),0)</f>
        <v>0</v>
      </c>
      <c r="G381" s="102">
        <f>IFERROR(IF(D381="OSCURO",VLOOKUP(B381,PRECIOS!$A$4:$F$32,2,FALSE()),IF(D381="CLARO",VLOOKUP(B381,PRECIOS!$A$4:$F$32,3,FALSE()),IF(D381="MELANGE",VLOOKUP(B381,PRECIOS!$A$4:$F$32,4,FALSE()),IF(D381="PPT",VLOOKUP(B381,PRECIOS!$A$4:$F$32,5,FALSE()),0)))),0)</f>
        <v>0</v>
      </c>
      <c r="H381" s="103">
        <f t="shared" si="1"/>
        <v>0</v>
      </c>
      <c r="I381" s="104" t="str">
        <f>IF(E381&lt;0,"ERROR",IF(E381=0,"",IF(E381&lt;CONFIG!$B$4,"CRÍTICO",IF(E381&lt;CONFIG!$B$5,"BAJO","OK"))))</f>
        <v/>
      </c>
    </row>
    <row r="382" ht="15.75" customHeight="1">
      <c r="A382" s="90" t="str">
        <f>IF(CLIENTES!A6="","",CLIENTES!A6)</f>
        <v/>
      </c>
      <c r="B382" s="67" t="str">
        <f>TELAS!A8</f>
        <v>rib 1x1</v>
      </c>
      <c r="C382" s="67" t="str">
        <f>COLORES!A22</f>
        <v/>
      </c>
      <c r="D382" s="67" t="str">
        <f>COLORES!B22</f>
        <v/>
      </c>
      <c r="E382" s="100">
        <f>IFERROR(SUMIFS(MOVIMIENTOS!$F$4:$F$1000,MOVIMIENTOS!$C$4:$C$1000,A382,MOVIMIENTOS!$D$4:$D$1000,B382,MOVIMIENTOS!$E$4:$E$1000,C382,MOVIMIENTOS!$B$4:$B$1000,"INGRESO")+SUMIFS(MOVIMIENTOS!$F$4:$F$1000,MOVIMIENTOS!$C$4:$C$1000,A382,MOVIMIENTOS!$D$4:$D$1000,B382,MOVIMIENTOS!$E$4:$E$1000,C382,MOVIMIENTOS!$B$4:$B$1000,"DE REPROCESO")+SUMIFS(MOVIMIENTOS!$F$4:$F$1000,MOVIMIENTOS!$C$4:$C$1000,A382,MOVIMIENTOS!$D$4:$D$1000,B382,MOVIMIENTOS!$E$4:$E$1000,C382,MOVIMIENTOS!$B$4:$B$1000,"AJUSTE+")-SUMIFS(MOVIMIENTOS!$F$4:$F$1000,MOVIMIENTOS!$C$4:$C$1000,A382,MOVIMIENTOS!$D$4:$D$1000,B382,MOVIMIENTOS!$E$4:$E$1000,C382,MOVIMIENTOS!$B$4:$B$1000,"A CORTE")-SUMIFS(MOVIMIENTOS!$F$4:$F$1000,MOVIMIENTOS!$C$4:$C$1000,A382,MOVIMIENTOS!$D$4:$D$1000,B382,MOVIMIENTOS!$E$4:$E$1000,C382,MOVIMIENTOS!$B$4:$B$1000,"A REPROCESO")-SUMIFS(MOVIMIENTOS!$F$4:$F$1000,MOVIMIENTOS!$C$4:$C$1000,A382,MOVIMIENTOS!$D$4:$D$1000,B382,MOVIMIENTOS!$E$4:$E$1000,C382,MOVIMIENTOS!$B$4:$B$1000,"MUESTRA")-SUMIFS(MOVIMIENTOS!$F$4:$F$1000,MOVIMIENTOS!$C$4:$C$1000,A382,MOVIMIENTOS!$D$4:$D$1000,B382,MOVIMIENTOS!$E$4:$E$1000,C382,MOVIMIENTOS!$B$4:$B$1000,"AJUSTE-"),0)</f>
        <v>0</v>
      </c>
      <c r="F382" s="101">
        <f>IFERROR(E382*VLOOKUP(B382,TELAS!$A$4:$C$32,3,FALSE()),0)</f>
        <v>0</v>
      </c>
      <c r="G382" s="102">
        <f>IFERROR(IF(D382="OSCURO",VLOOKUP(B382,PRECIOS!$A$4:$F$32,2,FALSE()),IF(D382="CLARO",VLOOKUP(B382,PRECIOS!$A$4:$F$32,3,FALSE()),IF(D382="MELANGE",VLOOKUP(B382,PRECIOS!$A$4:$F$32,4,FALSE()),IF(D382="PPT",VLOOKUP(B382,PRECIOS!$A$4:$F$32,5,FALSE()),0)))),0)</f>
        <v>0</v>
      </c>
      <c r="H382" s="103">
        <f t="shared" si="1"/>
        <v>0</v>
      </c>
      <c r="I382" s="104" t="str">
        <f>IF(E382&lt;0,"ERROR",IF(E382=0,"",IF(E382&lt;CONFIG!$B$4,"CRÍTICO",IF(E382&lt;CONFIG!$B$5,"BAJO","OK"))))</f>
        <v/>
      </c>
    </row>
    <row r="383" ht="15.75" customHeight="1">
      <c r="A383" s="90" t="str">
        <f>IF(CLIENTES!A6="","",CLIENTES!A6)</f>
        <v/>
      </c>
      <c r="B383" s="67" t="str">
        <f>TELAS!A8</f>
        <v>rib 1x1</v>
      </c>
      <c r="C383" s="67" t="str">
        <f>COLORES!A23</f>
        <v/>
      </c>
      <c r="D383" s="67" t="str">
        <f>COLORES!B23</f>
        <v/>
      </c>
      <c r="E383" s="100">
        <f>IFERROR(SUMIFS(MOVIMIENTOS!$F$4:$F$1000,MOVIMIENTOS!$C$4:$C$1000,A383,MOVIMIENTOS!$D$4:$D$1000,B383,MOVIMIENTOS!$E$4:$E$1000,C383,MOVIMIENTOS!$B$4:$B$1000,"INGRESO")+SUMIFS(MOVIMIENTOS!$F$4:$F$1000,MOVIMIENTOS!$C$4:$C$1000,A383,MOVIMIENTOS!$D$4:$D$1000,B383,MOVIMIENTOS!$E$4:$E$1000,C383,MOVIMIENTOS!$B$4:$B$1000,"DE REPROCESO")+SUMIFS(MOVIMIENTOS!$F$4:$F$1000,MOVIMIENTOS!$C$4:$C$1000,A383,MOVIMIENTOS!$D$4:$D$1000,B383,MOVIMIENTOS!$E$4:$E$1000,C383,MOVIMIENTOS!$B$4:$B$1000,"AJUSTE+")-SUMIFS(MOVIMIENTOS!$F$4:$F$1000,MOVIMIENTOS!$C$4:$C$1000,A383,MOVIMIENTOS!$D$4:$D$1000,B383,MOVIMIENTOS!$E$4:$E$1000,C383,MOVIMIENTOS!$B$4:$B$1000,"A CORTE")-SUMIFS(MOVIMIENTOS!$F$4:$F$1000,MOVIMIENTOS!$C$4:$C$1000,A383,MOVIMIENTOS!$D$4:$D$1000,B383,MOVIMIENTOS!$E$4:$E$1000,C383,MOVIMIENTOS!$B$4:$B$1000,"A REPROCESO")-SUMIFS(MOVIMIENTOS!$F$4:$F$1000,MOVIMIENTOS!$C$4:$C$1000,A383,MOVIMIENTOS!$D$4:$D$1000,B383,MOVIMIENTOS!$E$4:$E$1000,C383,MOVIMIENTOS!$B$4:$B$1000,"MUESTRA")-SUMIFS(MOVIMIENTOS!$F$4:$F$1000,MOVIMIENTOS!$C$4:$C$1000,A383,MOVIMIENTOS!$D$4:$D$1000,B383,MOVIMIENTOS!$E$4:$E$1000,C383,MOVIMIENTOS!$B$4:$B$1000,"AJUSTE-"),0)</f>
        <v>0</v>
      </c>
      <c r="F383" s="101">
        <f>IFERROR(E383*VLOOKUP(B383,TELAS!$A$4:$C$32,3,FALSE()),0)</f>
        <v>0</v>
      </c>
      <c r="G383" s="102">
        <f>IFERROR(IF(D383="OSCURO",VLOOKUP(B383,PRECIOS!$A$4:$F$32,2,FALSE()),IF(D383="CLARO",VLOOKUP(B383,PRECIOS!$A$4:$F$32,3,FALSE()),IF(D383="MELANGE",VLOOKUP(B383,PRECIOS!$A$4:$F$32,4,FALSE()),IF(D383="PPT",VLOOKUP(B383,PRECIOS!$A$4:$F$32,5,FALSE()),0)))),0)</f>
        <v>0</v>
      </c>
      <c r="H383" s="103">
        <f t="shared" si="1"/>
        <v>0</v>
      </c>
      <c r="I383" s="104" t="str">
        <f>IF(E383&lt;0,"ERROR",IF(E383=0,"",IF(E383&lt;CONFIG!$B$4,"CRÍTICO",IF(E383&lt;CONFIG!$B$5,"BAJO","OK"))))</f>
        <v/>
      </c>
    </row>
    <row r="384" ht="15.75" customHeight="1">
      <c r="A384" s="90" t="str">
        <f>IF(CLIENTES!A6="","",CLIENTES!A6)</f>
        <v/>
      </c>
      <c r="B384" s="67" t="str">
        <f>TELAS!A9</f>
        <v>rib 2x1 lycrado</v>
      </c>
      <c r="C384" s="67" t="str">
        <f>COLORES!A4</f>
        <v>Negro</v>
      </c>
      <c r="D384" s="67" t="str">
        <f>COLORES!B4</f>
        <v>OSCURO</v>
      </c>
      <c r="E384" s="100">
        <f>IFERROR(SUMIFS(MOVIMIENTOS!$F$4:$F$1000,MOVIMIENTOS!$C$4:$C$1000,A384,MOVIMIENTOS!$D$4:$D$1000,B384,MOVIMIENTOS!$E$4:$E$1000,C384,MOVIMIENTOS!$B$4:$B$1000,"INGRESO")+SUMIFS(MOVIMIENTOS!$F$4:$F$1000,MOVIMIENTOS!$C$4:$C$1000,A384,MOVIMIENTOS!$D$4:$D$1000,B384,MOVIMIENTOS!$E$4:$E$1000,C384,MOVIMIENTOS!$B$4:$B$1000,"DE REPROCESO")+SUMIFS(MOVIMIENTOS!$F$4:$F$1000,MOVIMIENTOS!$C$4:$C$1000,A384,MOVIMIENTOS!$D$4:$D$1000,B384,MOVIMIENTOS!$E$4:$E$1000,C384,MOVIMIENTOS!$B$4:$B$1000,"AJUSTE+")-SUMIFS(MOVIMIENTOS!$F$4:$F$1000,MOVIMIENTOS!$C$4:$C$1000,A384,MOVIMIENTOS!$D$4:$D$1000,B384,MOVIMIENTOS!$E$4:$E$1000,C384,MOVIMIENTOS!$B$4:$B$1000,"A CORTE")-SUMIFS(MOVIMIENTOS!$F$4:$F$1000,MOVIMIENTOS!$C$4:$C$1000,A384,MOVIMIENTOS!$D$4:$D$1000,B384,MOVIMIENTOS!$E$4:$E$1000,C384,MOVIMIENTOS!$B$4:$B$1000,"A REPROCESO")-SUMIFS(MOVIMIENTOS!$F$4:$F$1000,MOVIMIENTOS!$C$4:$C$1000,A384,MOVIMIENTOS!$D$4:$D$1000,B384,MOVIMIENTOS!$E$4:$E$1000,C384,MOVIMIENTOS!$B$4:$B$1000,"MUESTRA")-SUMIFS(MOVIMIENTOS!$F$4:$F$1000,MOVIMIENTOS!$C$4:$C$1000,A384,MOVIMIENTOS!$D$4:$D$1000,B384,MOVIMIENTOS!$E$4:$E$1000,C384,MOVIMIENTOS!$B$4:$B$1000,"AJUSTE-"),0)</f>
        <v>0</v>
      </c>
      <c r="F384" s="101">
        <f>IFERROR(E384*VLOOKUP(B384,TELAS!$A$4:$C$32,3,FALSE()),0)</f>
        <v>0</v>
      </c>
      <c r="G384" s="102">
        <f>IFERROR(IF(D384="OSCURO",VLOOKUP(B384,PRECIOS!$A$4:$F$32,2,FALSE()),IF(D384="CLARO",VLOOKUP(B384,PRECIOS!$A$4:$F$32,3,FALSE()),IF(D384="MELANGE",VLOOKUP(B384,PRECIOS!$A$4:$F$32,4,FALSE()),IF(D384="PPT",VLOOKUP(B384,PRECIOS!$A$4:$F$32,5,FALSE()),0)))),0)</f>
        <v>24</v>
      </c>
      <c r="H384" s="103">
        <f t="shared" si="1"/>
        <v>0</v>
      </c>
      <c r="I384" s="104" t="str">
        <f>IF(E384&lt;0,"ERROR",IF(E384=0,"",IF(E384&lt;CONFIG!$B$4,"CRÍTICO",IF(E384&lt;CONFIG!$B$5,"BAJO","OK"))))</f>
        <v/>
      </c>
    </row>
    <row r="385" ht="15.75" customHeight="1">
      <c r="A385" s="90" t="str">
        <f>IF(CLIENTES!A6="","",CLIENTES!A6)</f>
        <v/>
      </c>
      <c r="B385" s="67" t="str">
        <f>TELAS!A9</f>
        <v>rib 2x1 lycrado</v>
      </c>
      <c r="C385" s="67" t="str">
        <f>COLORES!A5</f>
        <v>Perla</v>
      </c>
      <c r="D385" s="67" t="str">
        <f>COLORES!B5</f>
        <v>PPT</v>
      </c>
      <c r="E385" s="100">
        <f>IFERROR(SUMIFS(MOVIMIENTOS!$F$4:$F$1000,MOVIMIENTOS!$C$4:$C$1000,A385,MOVIMIENTOS!$D$4:$D$1000,B385,MOVIMIENTOS!$E$4:$E$1000,C385,MOVIMIENTOS!$B$4:$B$1000,"INGRESO")+SUMIFS(MOVIMIENTOS!$F$4:$F$1000,MOVIMIENTOS!$C$4:$C$1000,A385,MOVIMIENTOS!$D$4:$D$1000,B385,MOVIMIENTOS!$E$4:$E$1000,C385,MOVIMIENTOS!$B$4:$B$1000,"DE REPROCESO")+SUMIFS(MOVIMIENTOS!$F$4:$F$1000,MOVIMIENTOS!$C$4:$C$1000,A385,MOVIMIENTOS!$D$4:$D$1000,B385,MOVIMIENTOS!$E$4:$E$1000,C385,MOVIMIENTOS!$B$4:$B$1000,"AJUSTE+")-SUMIFS(MOVIMIENTOS!$F$4:$F$1000,MOVIMIENTOS!$C$4:$C$1000,A385,MOVIMIENTOS!$D$4:$D$1000,B385,MOVIMIENTOS!$E$4:$E$1000,C385,MOVIMIENTOS!$B$4:$B$1000,"A CORTE")-SUMIFS(MOVIMIENTOS!$F$4:$F$1000,MOVIMIENTOS!$C$4:$C$1000,A385,MOVIMIENTOS!$D$4:$D$1000,B385,MOVIMIENTOS!$E$4:$E$1000,C385,MOVIMIENTOS!$B$4:$B$1000,"A REPROCESO")-SUMIFS(MOVIMIENTOS!$F$4:$F$1000,MOVIMIENTOS!$C$4:$C$1000,A385,MOVIMIENTOS!$D$4:$D$1000,B385,MOVIMIENTOS!$E$4:$E$1000,C385,MOVIMIENTOS!$B$4:$B$1000,"MUESTRA")-SUMIFS(MOVIMIENTOS!$F$4:$F$1000,MOVIMIENTOS!$C$4:$C$1000,A385,MOVIMIENTOS!$D$4:$D$1000,B385,MOVIMIENTOS!$E$4:$E$1000,C385,MOVIMIENTOS!$B$4:$B$1000,"AJUSTE-"),0)</f>
        <v>0</v>
      </c>
      <c r="F385" s="101">
        <f>IFERROR(E385*VLOOKUP(B385,TELAS!$A$4:$C$32,3,FALSE()),0)</f>
        <v>0</v>
      </c>
      <c r="G385" s="102">
        <f>IFERROR(IF(D385="OSCURO",VLOOKUP(B385,PRECIOS!$A$4:$F$32,2,FALSE()),IF(D385="CLARO",VLOOKUP(B385,PRECIOS!$A$4:$F$32,3,FALSE()),IF(D385="MELANGE",VLOOKUP(B385,PRECIOS!$A$4:$F$32,4,FALSE()),IF(D385="PPT",VLOOKUP(B385,PRECIOS!$A$4:$F$32,5,FALSE()),0)))),0)</f>
        <v>18</v>
      </c>
      <c r="H385" s="103">
        <f t="shared" si="1"/>
        <v>0</v>
      </c>
      <c r="I385" s="104" t="str">
        <f>IF(E385&lt;0,"ERROR",IF(E385=0,"",IF(E385&lt;CONFIG!$B$4,"CRÍTICO",IF(E385&lt;CONFIG!$B$5,"BAJO","OK"))))</f>
        <v/>
      </c>
    </row>
    <row r="386" ht="15.75" customHeight="1">
      <c r="A386" s="90" t="str">
        <f>IF(CLIENTES!A6="","",CLIENTES!A6)</f>
        <v/>
      </c>
      <c r="B386" s="67" t="str">
        <f>TELAS!A9</f>
        <v>rib 2x1 lycrado</v>
      </c>
      <c r="C386" s="67" t="str">
        <f>COLORES!A6</f>
        <v>Blanco</v>
      </c>
      <c r="D386" s="67" t="str">
        <f>COLORES!B6</f>
        <v>PPT</v>
      </c>
      <c r="E386" s="100">
        <f>IFERROR(SUMIFS(MOVIMIENTOS!$F$4:$F$1000,MOVIMIENTOS!$C$4:$C$1000,A386,MOVIMIENTOS!$D$4:$D$1000,B386,MOVIMIENTOS!$E$4:$E$1000,C386,MOVIMIENTOS!$B$4:$B$1000,"INGRESO")+SUMIFS(MOVIMIENTOS!$F$4:$F$1000,MOVIMIENTOS!$C$4:$C$1000,A386,MOVIMIENTOS!$D$4:$D$1000,B386,MOVIMIENTOS!$E$4:$E$1000,C386,MOVIMIENTOS!$B$4:$B$1000,"DE REPROCESO")+SUMIFS(MOVIMIENTOS!$F$4:$F$1000,MOVIMIENTOS!$C$4:$C$1000,A386,MOVIMIENTOS!$D$4:$D$1000,B386,MOVIMIENTOS!$E$4:$E$1000,C386,MOVIMIENTOS!$B$4:$B$1000,"AJUSTE+")-SUMIFS(MOVIMIENTOS!$F$4:$F$1000,MOVIMIENTOS!$C$4:$C$1000,A386,MOVIMIENTOS!$D$4:$D$1000,B386,MOVIMIENTOS!$E$4:$E$1000,C386,MOVIMIENTOS!$B$4:$B$1000,"A CORTE")-SUMIFS(MOVIMIENTOS!$F$4:$F$1000,MOVIMIENTOS!$C$4:$C$1000,A386,MOVIMIENTOS!$D$4:$D$1000,B386,MOVIMIENTOS!$E$4:$E$1000,C386,MOVIMIENTOS!$B$4:$B$1000,"A REPROCESO")-SUMIFS(MOVIMIENTOS!$F$4:$F$1000,MOVIMIENTOS!$C$4:$C$1000,A386,MOVIMIENTOS!$D$4:$D$1000,B386,MOVIMIENTOS!$E$4:$E$1000,C386,MOVIMIENTOS!$B$4:$B$1000,"MUESTRA")-SUMIFS(MOVIMIENTOS!$F$4:$F$1000,MOVIMIENTOS!$C$4:$C$1000,A386,MOVIMIENTOS!$D$4:$D$1000,B386,MOVIMIENTOS!$E$4:$E$1000,C386,MOVIMIENTOS!$B$4:$B$1000,"AJUSTE-"),0)</f>
        <v>0</v>
      </c>
      <c r="F386" s="101">
        <f>IFERROR(E386*VLOOKUP(B386,TELAS!$A$4:$C$32,3,FALSE()),0)</f>
        <v>0</v>
      </c>
      <c r="G386" s="102">
        <f>IFERROR(IF(D386="OSCURO",VLOOKUP(B386,PRECIOS!$A$4:$F$32,2,FALSE()),IF(D386="CLARO",VLOOKUP(B386,PRECIOS!$A$4:$F$32,3,FALSE()),IF(D386="MELANGE",VLOOKUP(B386,PRECIOS!$A$4:$F$32,4,FALSE()),IF(D386="PPT",VLOOKUP(B386,PRECIOS!$A$4:$F$32,5,FALSE()),0)))),0)</f>
        <v>18</v>
      </c>
      <c r="H386" s="103">
        <f t="shared" si="1"/>
        <v>0</v>
      </c>
      <c r="I386" s="104" t="str">
        <f>IF(E386&lt;0,"ERROR",IF(E386=0,"",IF(E386&lt;CONFIG!$B$4,"CRÍTICO",IF(E386&lt;CONFIG!$B$5,"BAJO","OK"))))</f>
        <v/>
      </c>
    </row>
    <row r="387" ht="15.75" customHeight="1">
      <c r="A387" s="90" t="str">
        <f>IF(CLIENTES!A6="","",CLIENTES!A6)</f>
        <v/>
      </c>
      <c r="B387" s="67" t="str">
        <f>TELAS!A9</f>
        <v>rib 2x1 lycrado</v>
      </c>
      <c r="C387" s="67" t="str">
        <f>COLORES!A7</f>
        <v>Azul</v>
      </c>
      <c r="D387" s="67" t="str">
        <f>COLORES!B7</f>
        <v>OSCURO</v>
      </c>
      <c r="E387" s="100">
        <f>IFERROR(SUMIFS(MOVIMIENTOS!$F$4:$F$1000,MOVIMIENTOS!$C$4:$C$1000,A387,MOVIMIENTOS!$D$4:$D$1000,B387,MOVIMIENTOS!$E$4:$E$1000,C387,MOVIMIENTOS!$B$4:$B$1000,"INGRESO")+SUMIFS(MOVIMIENTOS!$F$4:$F$1000,MOVIMIENTOS!$C$4:$C$1000,A387,MOVIMIENTOS!$D$4:$D$1000,B387,MOVIMIENTOS!$E$4:$E$1000,C387,MOVIMIENTOS!$B$4:$B$1000,"DE REPROCESO")+SUMIFS(MOVIMIENTOS!$F$4:$F$1000,MOVIMIENTOS!$C$4:$C$1000,A387,MOVIMIENTOS!$D$4:$D$1000,B387,MOVIMIENTOS!$E$4:$E$1000,C387,MOVIMIENTOS!$B$4:$B$1000,"AJUSTE+")-SUMIFS(MOVIMIENTOS!$F$4:$F$1000,MOVIMIENTOS!$C$4:$C$1000,A387,MOVIMIENTOS!$D$4:$D$1000,B387,MOVIMIENTOS!$E$4:$E$1000,C387,MOVIMIENTOS!$B$4:$B$1000,"A CORTE")-SUMIFS(MOVIMIENTOS!$F$4:$F$1000,MOVIMIENTOS!$C$4:$C$1000,A387,MOVIMIENTOS!$D$4:$D$1000,B387,MOVIMIENTOS!$E$4:$E$1000,C387,MOVIMIENTOS!$B$4:$B$1000,"A REPROCESO")-SUMIFS(MOVIMIENTOS!$F$4:$F$1000,MOVIMIENTOS!$C$4:$C$1000,A387,MOVIMIENTOS!$D$4:$D$1000,B387,MOVIMIENTOS!$E$4:$E$1000,C387,MOVIMIENTOS!$B$4:$B$1000,"MUESTRA")-SUMIFS(MOVIMIENTOS!$F$4:$F$1000,MOVIMIENTOS!$C$4:$C$1000,A387,MOVIMIENTOS!$D$4:$D$1000,B387,MOVIMIENTOS!$E$4:$E$1000,C387,MOVIMIENTOS!$B$4:$B$1000,"AJUSTE-"),0)</f>
        <v>0</v>
      </c>
      <c r="F387" s="101">
        <f>IFERROR(E387*VLOOKUP(B387,TELAS!$A$4:$C$32,3,FALSE()),0)</f>
        <v>0</v>
      </c>
      <c r="G387" s="102">
        <f>IFERROR(IF(D387="OSCURO",VLOOKUP(B387,PRECIOS!$A$4:$F$32,2,FALSE()),IF(D387="CLARO",VLOOKUP(B387,PRECIOS!$A$4:$F$32,3,FALSE()),IF(D387="MELANGE",VLOOKUP(B387,PRECIOS!$A$4:$F$32,4,FALSE()),IF(D387="PPT",VLOOKUP(B387,PRECIOS!$A$4:$F$32,5,FALSE()),0)))),0)</f>
        <v>24</v>
      </c>
      <c r="H387" s="103">
        <f t="shared" si="1"/>
        <v>0</v>
      </c>
      <c r="I387" s="104" t="str">
        <f>IF(E387&lt;0,"ERROR",IF(E387=0,"",IF(E387&lt;CONFIG!$B$4,"CRÍTICO",IF(E387&lt;CONFIG!$B$5,"BAJO","OK"))))</f>
        <v/>
      </c>
    </row>
    <row r="388" ht="15.75" customHeight="1">
      <c r="A388" s="90" t="str">
        <f>IF(CLIENTES!A6="","",CLIENTES!A6)</f>
        <v/>
      </c>
      <c r="B388" s="67" t="str">
        <f>TELAS!A9</f>
        <v>rib 2x1 lycrado</v>
      </c>
      <c r="C388" s="67" t="str">
        <f>COLORES!A8</f>
        <v>Beige</v>
      </c>
      <c r="D388" s="67" t="str">
        <f>COLORES!B8</f>
        <v>CLARO</v>
      </c>
      <c r="E388" s="100">
        <f>IFERROR(SUMIFS(MOVIMIENTOS!$F$4:$F$1000,MOVIMIENTOS!$C$4:$C$1000,A388,MOVIMIENTOS!$D$4:$D$1000,B388,MOVIMIENTOS!$E$4:$E$1000,C388,MOVIMIENTOS!$B$4:$B$1000,"INGRESO")+SUMIFS(MOVIMIENTOS!$F$4:$F$1000,MOVIMIENTOS!$C$4:$C$1000,A388,MOVIMIENTOS!$D$4:$D$1000,B388,MOVIMIENTOS!$E$4:$E$1000,C388,MOVIMIENTOS!$B$4:$B$1000,"DE REPROCESO")+SUMIFS(MOVIMIENTOS!$F$4:$F$1000,MOVIMIENTOS!$C$4:$C$1000,A388,MOVIMIENTOS!$D$4:$D$1000,B388,MOVIMIENTOS!$E$4:$E$1000,C388,MOVIMIENTOS!$B$4:$B$1000,"AJUSTE+")-SUMIFS(MOVIMIENTOS!$F$4:$F$1000,MOVIMIENTOS!$C$4:$C$1000,A388,MOVIMIENTOS!$D$4:$D$1000,B388,MOVIMIENTOS!$E$4:$E$1000,C388,MOVIMIENTOS!$B$4:$B$1000,"A CORTE")-SUMIFS(MOVIMIENTOS!$F$4:$F$1000,MOVIMIENTOS!$C$4:$C$1000,A388,MOVIMIENTOS!$D$4:$D$1000,B388,MOVIMIENTOS!$E$4:$E$1000,C388,MOVIMIENTOS!$B$4:$B$1000,"A REPROCESO")-SUMIFS(MOVIMIENTOS!$F$4:$F$1000,MOVIMIENTOS!$C$4:$C$1000,A388,MOVIMIENTOS!$D$4:$D$1000,B388,MOVIMIENTOS!$E$4:$E$1000,C388,MOVIMIENTOS!$B$4:$B$1000,"MUESTRA")-SUMIFS(MOVIMIENTOS!$F$4:$F$1000,MOVIMIENTOS!$C$4:$C$1000,A388,MOVIMIENTOS!$D$4:$D$1000,B388,MOVIMIENTOS!$E$4:$E$1000,C388,MOVIMIENTOS!$B$4:$B$1000,"AJUSTE-"),0)</f>
        <v>0</v>
      </c>
      <c r="F388" s="101">
        <f>IFERROR(E388*VLOOKUP(B388,TELAS!$A$4:$C$32,3,FALSE()),0)</f>
        <v>0</v>
      </c>
      <c r="G388" s="102">
        <f>IFERROR(IF(D388="OSCURO",VLOOKUP(B388,PRECIOS!$A$4:$F$32,2,FALSE()),IF(D388="CLARO",VLOOKUP(B388,PRECIOS!$A$4:$F$32,3,FALSE()),IF(D388="MELANGE",VLOOKUP(B388,PRECIOS!$A$4:$F$32,4,FALSE()),IF(D388="PPT",VLOOKUP(B388,PRECIOS!$A$4:$F$32,5,FALSE()),0)))),0)</f>
        <v>21</v>
      </c>
      <c r="H388" s="103">
        <f t="shared" si="1"/>
        <v>0</v>
      </c>
      <c r="I388" s="104" t="str">
        <f>IF(E388&lt;0,"ERROR",IF(E388=0,"",IF(E388&lt;CONFIG!$B$4,"CRÍTICO",IF(E388&lt;CONFIG!$B$5,"BAJO","OK"))))</f>
        <v/>
      </c>
    </row>
    <row r="389" ht="15.75" customHeight="1">
      <c r="A389" s="90" t="str">
        <f>IF(CLIENTES!A6="","",CLIENTES!A6)</f>
        <v/>
      </c>
      <c r="B389" s="67" t="str">
        <f>TELAS!A9</f>
        <v>rib 2x1 lycrado</v>
      </c>
      <c r="C389" s="67" t="str">
        <f>COLORES!A9</f>
        <v>Melange</v>
      </c>
      <c r="D389" s="67" t="str">
        <f>COLORES!B9</f>
        <v>MELANGE</v>
      </c>
      <c r="E389" s="100">
        <f>IFERROR(SUMIFS(MOVIMIENTOS!$F$4:$F$1000,MOVIMIENTOS!$C$4:$C$1000,A389,MOVIMIENTOS!$D$4:$D$1000,B389,MOVIMIENTOS!$E$4:$E$1000,C389,MOVIMIENTOS!$B$4:$B$1000,"INGRESO")+SUMIFS(MOVIMIENTOS!$F$4:$F$1000,MOVIMIENTOS!$C$4:$C$1000,A389,MOVIMIENTOS!$D$4:$D$1000,B389,MOVIMIENTOS!$E$4:$E$1000,C389,MOVIMIENTOS!$B$4:$B$1000,"DE REPROCESO")+SUMIFS(MOVIMIENTOS!$F$4:$F$1000,MOVIMIENTOS!$C$4:$C$1000,A389,MOVIMIENTOS!$D$4:$D$1000,B389,MOVIMIENTOS!$E$4:$E$1000,C389,MOVIMIENTOS!$B$4:$B$1000,"AJUSTE+")-SUMIFS(MOVIMIENTOS!$F$4:$F$1000,MOVIMIENTOS!$C$4:$C$1000,A389,MOVIMIENTOS!$D$4:$D$1000,B389,MOVIMIENTOS!$E$4:$E$1000,C389,MOVIMIENTOS!$B$4:$B$1000,"A CORTE")-SUMIFS(MOVIMIENTOS!$F$4:$F$1000,MOVIMIENTOS!$C$4:$C$1000,A389,MOVIMIENTOS!$D$4:$D$1000,B389,MOVIMIENTOS!$E$4:$E$1000,C389,MOVIMIENTOS!$B$4:$B$1000,"A REPROCESO")-SUMIFS(MOVIMIENTOS!$F$4:$F$1000,MOVIMIENTOS!$C$4:$C$1000,A389,MOVIMIENTOS!$D$4:$D$1000,B389,MOVIMIENTOS!$E$4:$E$1000,C389,MOVIMIENTOS!$B$4:$B$1000,"MUESTRA")-SUMIFS(MOVIMIENTOS!$F$4:$F$1000,MOVIMIENTOS!$C$4:$C$1000,A389,MOVIMIENTOS!$D$4:$D$1000,B389,MOVIMIENTOS!$E$4:$E$1000,C389,MOVIMIENTOS!$B$4:$B$1000,"AJUSTE-"),0)</f>
        <v>0</v>
      </c>
      <c r="F389" s="101">
        <f>IFERROR(E389*VLOOKUP(B389,TELAS!$A$4:$C$32,3,FALSE()),0)</f>
        <v>0</v>
      </c>
      <c r="G389" s="102">
        <f>IFERROR(IF(D389="OSCURO",VLOOKUP(B389,PRECIOS!$A$4:$F$32,2,FALSE()),IF(D389="CLARO",VLOOKUP(B389,PRECIOS!$A$4:$F$32,3,FALSE()),IF(D389="MELANGE",VLOOKUP(B389,PRECIOS!$A$4:$F$32,4,FALSE()),IF(D389="PPT",VLOOKUP(B389,PRECIOS!$A$4:$F$32,5,FALSE()),0)))),0)</f>
        <v>18</v>
      </c>
      <c r="H389" s="103">
        <f t="shared" si="1"/>
        <v>0</v>
      </c>
      <c r="I389" s="104" t="str">
        <f>IF(E389&lt;0,"ERROR",IF(E389=0,"",IF(E389&lt;CONFIG!$B$4,"CRÍTICO",IF(E389&lt;CONFIG!$B$5,"BAJO","OK"))))</f>
        <v/>
      </c>
    </row>
    <row r="390" ht="15.75" customHeight="1">
      <c r="A390" s="90" t="str">
        <f>IF(CLIENTES!A6="","",CLIENTES!A6)</f>
        <v/>
      </c>
      <c r="B390" s="67" t="str">
        <f>TELAS!A9</f>
        <v>rib 2x1 lycrado</v>
      </c>
      <c r="C390" s="67" t="str">
        <f>COLORES!A10</f>
        <v>Botella</v>
      </c>
      <c r="D390" s="67" t="str">
        <f>COLORES!B10</f>
        <v>OSCURO</v>
      </c>
      <c r="E390" s="100">
        <f>IFERROR(SUMIFS(MOVIMIENTOS!$F$4:$F$1000,MOVIMIENTOS!$C$4:$C$1000,A390,MOVIMIENTOS!$D$4:$D$1000,B390,MOVIMIENTOS!$E$4:$E$1000,C390,MOVIMIENTOS!$B$4:$B$1000,"INGRESO")+SUMIFS(MOVIMIENTOS!$F$4:$F$1000,MOVIMIENTOS!$C$4:$C$1000,A390,MOVIMIENTOS!$D$4:$D$1000,B390,MOVIMIENTOS!$E$4:$E$1000,C390,MOVIMIENTOS!$B$4:$B$1000,"DE REPROCESO")+SUMIFS(MOVIMIENTOS!$F$4:$F$1000,MOVIMIENTOS!$C$4:$C$1000,A390,MOVIMIENTOS!$D$4:$D$1000,B390,MOVIMIENTOS!$E$4:$E$1000,C390,MOVIMIENTOS!$B$4:$B$1000,"AJUSTE+")-SUMIFS(MOVIMIENTOS!$F$4:$F$1000,MOVIMIENTOS!$C$4:$C$1000,A390,MOVIMIENTOS!$D$4:$D$1000,B390,MOVIMIENTOS!$E$4:$E$1000,C390,MOVIMIENTOS!$B$4:$B$1000,"A CORTE")-SUMIFS(MOVIMIENTOS!$F$4:$F$1000,MOVIMIENTOS!$C$4:$C$1000,A390,MOVIMIENTOS!$D$4:$D$1000,B390,MOVIMIENTOS!$E$4:$E$1000,C390,MOVIMIENTOS!$B$4:$B$1000,"A REPROCESO")-SUMIFS(MOVIMIENTOS!$F$4:$F$1000,MOVIMIENTOS!$C$4:$C$1000,A390,MOVIMIENTOS!$D$4:$D$1000,B390,MOVIMIENTOS!$E$4:$E$1000,C390,MOVIMIENTOS!$B$4:$B$1000,"MUESTRA")-SUMIFS(MOVIMIENTOS!$F$4:$F$1000,MOVIMIENTOS!$C$4:$C$1000,A390,MOVIMIENTOS!$D$4:$D$1000,B390,MOVIMIENTOS!$E$4:$E$1000,C390,MOVIMIENTOS!$B$4:$B$1000,"AJUSTE-"),0)</f>
        <v>0</v>
      </c>
      <c r="F390" s="101">
        <f>IFERROR(E390*VLOOKUP(B390,TELAS!$A$4:$C$32,3,FALSE()),0)</f>
        <v>0</v>
      </c>
      <c r="G390" s="102">
        <f>IFERROR(IF(D390="OSCURO",VLOOKUP(B390,PRECIOS!$A$4:$F$32,2,FALSE()),IF(D390="CLARO",VLOOKUP(B390,PRECIOS!$A$4:$F$32,3,FALSE()),IF(D390="MELANGE",VLOOKUP(B390,PRECIOS!$A$4:$F$32,4,FALSE()),IF(D390="PPT",VLOOKUP(B390,PRECIOS!$A$4:$F$32,5,FALSE()),0)))),0)</f>
        <v>24</v>
      </c>
      <c r="H390" s="103">
        <f t="shared" si="1"/>
        <v>0</v>
      </c>
      <c r="I390" s="104" t="str">
        <f>IF(E390&lt;0,"ERROR",IF(E390=0,"",IF(E390&lt;CONFIG!$B$4,"CRÍTICO",IF(E390&lt;CONFIG!$B$5,"BAJO","OK"))))</f>
        <v/>
      </c>
    </row>
    <row r="391" ht="15.75" customHeight="1">
      <c r="A391" s="90" t="str">
        <f>IF(CLIENTES!A6="","",CLIENTES!A6)</f>
        <v/>
      </c>
      <c r="B391" s="67" t="str">
        <f>TELAS!A9</f>
        <v>rib 2x1 lycrado</v>
      </c>
      <c r="C391" s="67" t="str">
        <f>COLORES!A11</f>
        <v>Pacay</v>
      </c>
      <c r="D391" s="67" t="str">
        <f>COLORES!B11</f>
        <v>CLARO</v>
      </c>
      <c r="E391" s="100">
        <f>IFERROR(SUMIFS(MOVIMIENTOS!$F$4:$F$1000,MOVIMIENTOS!$C$4:$C$1000,A391,MOVIMIENTOS!$D$4:$D$1000,B391,MOVIMIENTOS!$E$4:$E$1000,C391,MOVIMIENTOS!$B$4:$B$1000,"INGRESO")+SUMIFS(MOVIMIENTOS!$F$4:$F$1000,MOVIMIENTOS!$C$4:$C$1000,A391,MOVIMIENTOS!$D$4:$D$1000,B391,MOVIMIENTOS!$E$4:$E$1000,C391,MOVIMIENTOS!$B$4:$B$1000,"DE REPROCESO")+SUMIFS(MOVIMIENTOS!$F$4:$F$1000,MOVIMIENTOS!$C$4:$C$1000,A391,MOVIMIENTOS!$D$4:$D$1000,B391,MOVIMIENTOS!$E$4:$E$1000,C391,MOVIMIENTOS!$B$4:$B$1000,"AJUSTE+")-SUMIFS(MOVIMIENTOS!$F$4:$F$1000,MOVIMIENTOS!$C$4:$C$1000,A391,MOVIMIENTOS!$D$4:$D$1000,B391,MOVIMIENTOS!$E$4:$E$1000,C391,MOVIMIENTOS!$B$4:$B$1000,"A CORTE")-SUMIFS(MOVIMIENTOS!$F$4:$F$1000,MOVIMIENTOS!$C$4:$C$1000,A391,MOVIMIENTOS!$D$4:$D$1000,B391,MOVIMIENTOS!$E$4:$E$1000,C391,MOVIMIENTOS!$B$4:$B$1000,"A REPROCESO")-SUMIFS(MOVIMIENTOS!$F$4:$F$1000,MOVIMIENTOS!$C$4:$C$1000,A391,MOVIMIENTOS!$D$4:$D$1000,B391,MOVIMIENTOS!$E$4:$E$1000,C391,MOVIMIENTOS!$B$4:$B$1000,"MUESTRA")-SUMIFS(MOVIMIENTOS!$F$4:$F$1000,MOVIMIENTOS!$C$4:$C$1000,A391,MOVIMIENTOS!$D$4:$D$1000,B391,MOVIMIENTOS!$E$4:$E$1000,C391,MOVIMIENTOS!$B$4:$B$1000,"AJUSTE-"),0)</f>
        <v>0</v>
      </c>
      <c r="F391" s="101">
        <f>IFERROR(E391*VLOOKUP(B391,TELAS!$A$4:$C$32,3,FALSE()),0)</f>
        <v>0</v>
      </c>
      <c r="G391" s="102">
        <f>IFERROR(IF(D391="OSCURO",VLOOKUP(B391,PRECIOS!$A$4:$F$32,2,FALSE()),IF(D391="CLARO",VLOOKUP(B391,PRECIOS!$A$4:$F$32,3,FALSE()),IF(D391="MELANGE",VLOOKUP(B391,PRECIOS!$A$4:$F$32,4,FALSE()),IF(D391="PPT",VLOOKUP(B391,PRECIOS!$A$4:$F$32,5,FALSE()),0)))),0)</f>
        <v>21</v>
      </c>
      <c r="H391" s="103">
        <f t="shared" si="1"/>
        <v>0</v>
      </c>
      <c r="I391" s="104" t="str">
        <f>IF(E391&lt;0,"ERROR",IF(E391=0,"",IF(E391&lt;CONFIG!$B$4,"CRÍTICO",IF(E391&lt;CONFIG!$B$5,"BAJO","OK"))))</f>
        <v/>
      </c>
    </row>
    <row r="392" ht="15.75" customHeight="1">
      <c r="A392" s="90" t="str">
        <f>IF(CLIENTES!A6="","",CLIENTES!A6)</f>
        <v/>
      </c>
      <c r="B392" s="67" t="str">
        <f>TELAS!A9</f>
        <v>rib 2x1 lycrado</v>
      </c>
      <c r="C392" s="67" t="str">
        <f>COLORES!A12</f>
        <v>Cemento</v>
      </c>
      <c r="D392" s="67" t="str">
        <f>COLORES!B12</f>
        <v>CLARO</v>
      </c>
      <c r="E392" s="100">
        <f>IFERROR(SUMIFS(MOVIMIENTOS!$F$4:$F$1000,MOVIMIENTOS!$C$4:$C$1000,A392,MOVIMIENTOS!$D$4:$D$1000,B392,MOVIMIENTOS!$E$4:$E$1000,C392,MOVIMIENTOS!$B$4:$B$1000,"INGRESO")+SUMIFS(MOVIMIENTOS!$F$4:$F$1000,MOVIMIENTOS!$C$4:$C$1000,A392,MOVIMIENTOS!$D$4:$D$1000,B392,MOVIMIENTOS!$E$4:$E$1000,C392,MOVIMIENTOS!$B$4:$B$1000,"DE REPROCESO")+SUMIFS(MOVIMIENTOS!$F$4:$F$1000,MOVIMIENTOS!$C$4:$C$1000,A392,MOVIMIENTOS!$D$4:$D$1000,B392,MOVIMIENTOS!$E$4:$E$1000,C392,MOVIMIENTOS!$B$4:$B$1000,"AJUSTE+")-SUMIFS(MOVIMIENTOS!$F$4:$F$1000,MOVIMIENTOS!$C$4:$C$1000,A392,MOVIMIENTOS!$D$4:$D$1000,B392,MOVIMIENTOS!$E$4:$E$1000,C392,MOVIMIENTOS!$B$4:$B$1000,"A CORTE")-SUMIFS(MOVIMIENTOS!$F$4:$F$1000,MOVIMIENTOS!$C$4:$C$1000,A392,MOVIMIENTOS!$D$4:$D$1000,B392,MOVIMIENTOS!$E$4:$E$1000,C392,MOVIMIENTOS!$B$4:$B$1000,"A REPROCESO")-SUMIFS(MOVIMIENTOS!$F$4:$F$1000,MOVIMIENTOS!$C$4:$C$1000,A392,MOVIMIENTOS!$D$4:$D$1000,B392,MOVIMIENTOS!$E$4:$E$1000,C392,MOVIMIENTOS!$B$4:$B$1000,"MUESTRA")-SUMIFS(MOVIMIENTOS!$F$4:$F$1000,MOVIMIENTOS!$C$4:$C$1000,A392,MOVIMIENTOS!$D$4:$D$1000,B392,MOVIMIENTOS!$E$4:$E$1000,C392,MOVIMIENTOS!$B$4:$B$1000,"AJUSTE-"),0)</f>
        <v>0</v>
      </c>
      <c r="F392" s="101">
        <f>IFERROR(E392*VLOOKUP(B392,TELAS!$A$4:$C$32,3,FALSE()),0)</f>
        <v>0</v>
      </c>
      <c r="G392" s="102">
        <f>IFERROR(IF(D392="OSCURO",VLOOKUP(B392,PRECIOS!$A$4:$F$32,2,FALSE()),IF(D392="CLARO",VLOOKUP(B392,PRECIOS!$A$4:$F$32,3,FALSE()),IF(D392="MELANGE",VLOOKUP(B392,PRECIOS!$A$4:$F$32,4,FALSE()),IF(D392="PPT",VLOOKUP(B392,PRECIOS!$A$4:$F$32,5,FALSE()),0)))),0)</f>
        <v>21</v>
      </c>
      <c r="H392" s="103">
        <f t="shared" si="1"/>
        <v>0</v>
      </c>
      <c r="I392" s="104" t="str">
        <f>IF(E392&lt;0,"ERROR",IF(E392=0,"",IF(E392&lt;CONFIG!$B$4,"CRÍTICO",IF(E392&lt;CONFIG!$B$5,"BAJO","OK"))))</f>
        <v/>
      </c>
    </row>
    <row r="393" ht="15.75" customHeight="1">
      <c r="A393" s="90" t="str">
        <f>IF(CLIENTES!A6="","",CLIENTES!A6)</f>
        <v/>
      </c>
      <c r="B393" s="67" t="str">
        <f>TELAS!A9</f>
        <v>rib 2x1 lycrado</v>
      </c>
      <c r="C393" s="67" t="str">
        <f>COLORES!A13</f>
        <v>Camote</v>
      </c>
      <c r="D393" s="67" t="str">
        <f>COLORES!B13</f>
        <v>CLARO</v>
      </c>
      <c r="E393" s="100">
        <f>IFERROR(SUMIFS(MOVIMIENTOS!$F$4:$F$1000,MOVIMIENTOS!$C$4:$C$1000,A393,MOVIMIENTOS!$D$4:$D$1000,B393,MOVIMIENTOS!$E$4:$E$1000,C393,MOVIMIENTOS!$B$4:$B$1000,"INGRESO")+SUMIFS(MOVIMIENTOS!$F$4:$F$1000,MOVIMIENTOS!$C$4:$C$1000,A393,MOVIMIENTOS!$D$4:$D$1000,B393,MOVIMIENTOS!$E$4:$E$1000,C393,MOVIMIENTOS!$B$4:$B$1000,"DE REPROCESO")+SUMIFS(MOVIMIENTOS!$F$4:$F$1000,MOVIMIENTOS!$C$4:$C$1000,A393,MOVIMIENTOS!$D$4:$D$1000,B393,MOVIMIENTOS!$E$4:$E$1000,C393,MOVIMIENTOS!$B$4:$B$1000,"AJUSTE+")-SUMIFS(MOVIMIENTOS!$F$4:$F$1000,MOVIMIENTOS!$C$4:$C$1000,A393,MOVIMIENTOS!$D$4:$D$1000,B393,MOVIMIENTOS!$E$4:$E$1000,C393,MOVIMIENTOS!$B$4:$B$1000,"A CORTE")-SUMIFS(MOVIMIENTOS!$F$4:$F$1000,MOVIMIENTOS!$C$4:$C$1000,A393,MOVIMIENTOS!$D$4:$D$1000,B393,MOVIMIENTOS!$E$4:$E$1000,C393,MOVIMIENTOS!$B$4:$B$1000,"A REPROCESO")-SUMIFS(MOVIMIENTOS!$F$4:$F$1000,MOVIMIENTOS!$C$4:$C$1000,A393,MOVIMIENTOS!$D$4:$D$1000,B393,MOVIMIENTOS!$E$4:$E$1000,C393,MOVIMIENTOS!$B$4:$B$1000,"MUESTRA")-SUMIFS(MOVIMIENTOS!$F$4:$F$1000,MOVIMIENTOS!$C$4:$C$1000,A393,MOVIMIENTOS!$D$4:$D$1000,B393,MOVIMIENTOS!$E$4:$E$1000,C393,MOVIMIENTOS!$B$4:$B$1000,"AJUSTE-"),0)</f>
        <v>0</v>
      </c>
      <c r="F393" s="101">
        <f>IFERROR(E393*VLOOKUP(B393,TELAS!$A$4:$C$32,3,FALSE()),0)</f>
        <v>0</v>
      </c>
      <c r="G393" s="102">
        <f>IFERROR(IF(D393="OSCURO",VLOOKUP(B393,PRECIOS!$A$4:$F$32,2,FALSE()),IF(D393="CLARO",VLOOKUP(B393,PRECIOS!$A$4:$F$32,3,FALSE()),IF(D393="MELANGE",VLOOKUP(B393,PRECIOS!$A$4:$F$32,4,FALSE()),IF(D393="PPT",VLOOKUP(B393,PRECIOS!$A$4:$F$32,5,FALSE()),0)))),0)</f>
        <v>21</v>
      </c>
      <c r="H393" s="103">
        <f t="shared" si="1"/>
        <v>0</v>
      </c>
      <c r="I393" s="104" t="str">
        <f>IF(E393&lt;0,"ERROR",IF(E393=0,"",IF(E393&lt;CONFIG!$B$4,"CRÍTICO",IF(E393&lt;CONFIG!$B$5,"BAJO","OK"))))</f>
        <v/>
      </c>
    </row>
    <row r="394" ht="15.75" customHeight="1">
      <c r="A394" s="90" t="str">
        <f>IF(CLIENTES!A6="","",CLIENTES!A6)</f>
        <v/>
      </c>
      <c r="B394" s="67" t="str">
        <f>TELAS!A9</f>
        <v>rib 2x1 lycrado</v>
      </c>
      <c r="C394" s="67" t="str">
        <f>COLORES!A14</f>
        <v>Denim</v>
      </c>
      <c r="D394" s="67" t="str">
        <f>COLORES!B14</f>
        <v>CLARO</v>
      </c>
      <c r="E394" s="100">
        <f>IFERROR(SUMIFS(MOVIMIENTOS!$F$4:$F$1000,MOVIMIENTOS!$C$4:$C$1000,A394,MOVIMIENTOS!$D$4:$D$1000,B394,MOVIMIENTOS!$E$4:$E$1000,C394,MOVIMIENTOS!$B$4:$B$1000,"INGRESO")+SUMIFS(MOVIMIENTOS!$F$4:$F$1000,MOVIMIENTOS!$C$4:$C$1000,A394,MOVIMIENTOS!$D$4:$D$1000,B394,MOVIMIENTOS!$E$4:$E$1000,C394,MOVIMIENTOS!$B$4:$B$1000,"DE REPROCESO")+SUMIFS(MOVIMIENTOS!$F$4:$F$1000,MOVIMIENTOS!$C$4:$C$1000,A394,MOVIMIENTOS!$D$4:$D$1000,B394,MOVIMIENTOS!$E$4:$E$1000,C394,MOVIMIENTOS!$B$4:$B$1000,"AJUSTE+")-SUMIFS(MOVIMIENTOS!$F$4:$F$1000,MOVIMIENTOS!$C$4:$C$1000,A394,MOVIMIENTOS!$D$4:$D$1000,B394,MOVIMIENTOS!$E$4:$E$1000,C394,MOVIMIENTOS!$B$4:$B$1000,"A CORTE")-SUMIFS(MOVIMIENTOS!$F$4:$F$1000,MOVIMIENTOS!$C$4:$C$1000,A394,MOVIMIENTOS!$D$4:$D$1000,B394,MOVIMIENTOS!$E$4:$E$1000,C394,MOVIMIENTOS!$B$4:$B$1000,"A REPROCESO")-SUMIFS(MOVIMIENTOS!$F$4:$F$1000,MOVIMIENTOS!$C$4:$C$1000,A394,MOVIMIENTOS!$D$4:$D$1000,B394,MOVIMIENTOS!$E$4:$E$1000,C394,MOVIMIENTOS!$B$4:$B$1000,"MUESTRA")-SUMIFS(MOVIMIENTOS!$F$4:$F$1000,MOVIMIENTOS!$C$4:$C$1000,A394,MOVIMIENTOS!$D$4:$D$1000,B394,MOVIMIENTOS!$E$4:$E$1000,C394,MOVIMIENTOS!$B$4:$B$1000,"AJUSTE-"),0)</f>
        <v>0</v>
      </c>
      <c r="F394" s="101">
        <f>IFERROR(E394*VLOOKUP(B394,TELAS!$A$4:$C$32,3,FALSE()),0)</f>
        <v>0</v>
      </c>
      <c r="G394" s="102">
        <f>IFERROR(IF(D394="OSCURO",VLOOKUP(B394,PRECIOS!$A$4:$F$32,2,FALSE()),IF(D394="CLARO",VLOOKUP(B394,PRECIOS!$A$4:$F$32,3,FALSE()),IF(D394="MELANGE",VLOOKUP(B394,PRECIOS!$A$4:$F$32,4,FALSE()),IF(D394="PPT",VLOOKUP(B394,PRECIOS!$A$4:$F$32,5,FALSE()),0)))),0)</f>
        <v>21</v>
      </c>
      <c r="H394" s="103">
        <f t="shared" si="1"/>
        <v>0</v>
      </c>
      <c r="I394" s="104" t="str">
        <f>IF(E394&lt;0,"ERROR",IF(E394=0,"",IF(E394&lt;CONFIG!$B$4,"CRÍTICO",IF(E394&lt;CONFIG!$B$5,"BAJO","OK"))))</f>
        <v/>
      </c>
    </row>
    <row r="395" ht="15.75" customHeight="1">
      <c r="A395" s="90" t="str">
        <f>IF(CLIENTES!A6="","",CLIENTES!A6)</f>
        <v/>
      </c>
      <c r="B395" s="67" t="str">
        <f>TELAS!A9</f>
        <v>rib 2x1 lycrado</v>
      </c>
      <c r="C395" s="67" t="str">
        <f>COLORES!A15</f>
        <v>Plomo</v>
      </c>
      <c r="D395" s="67" t="str">
        <f>COLORES!B15</f>
        <v>OSCURO</v>
      </c>
      <c r="E395" s="100">
        <f>IFERROR(SUMIFS(MOVIMIENTOS!$F$4:$F$1000,MOVIMIENTOS!$C$4:$C$1000,A395,MOVIMIENTOS!$D$4:$D$1000,B395,MOVIMIENTOS!$E$4:$E$1000,C395,MOVIMIENTOS!$B$4:$B$1000,"INGRESO")+SUMIFS(MOVIMIENTOS!$F$4:$F$1000,MOVIMIENTOS!$C$4:$C$1000,A395,MOVIMIENTOS!$D$4:$D$1000,B395,MOVIMIENTOS!$E$4:$E$1000,C395,MOVIMIENTOS!$B$4:$B$1000,"DE REPROCESO")+SUMIFS(MOVIMIENTOS!$F$4:$F$1000,MOVIMIENTOS!$C$4:$C$1000,A395,MOVIMIENTOS!$D$4:$D$1000,B395,MOVIMIENTOS!$E$4:$E$1000,C395,MOVIMIENTOS!$B$4:$B$1000,"AJUSTE+")-SUMIFS(MOVIMIENTOS!$F$4:$F$1000,MOVIMIENTOS!$C$4:$C$1000,A395,MOVIMIENTOS!$D$4:$D$1000,B395,MOVIMIENTOS!$E$4:$E$1000,C395,MOVIMIENTOS!$B$4:$B$1000,"A CORTE")-SUMIFS(MOVIMIENTOS!$F$4:$F$1000,MOVIMIENTOS!$C$4:$C$1000,A395,MOVIMIENTOS!$D$4:$D$1000,B395,MOVIMIENTOS!$E$4:$E$1000,C395,MOVIMIENTOS!$B$4:$B$1000,"A REPROCESO")-SUMIFS(MOVIMIENTOS!$F$4:$F$1000,MOVIMIENTOS!$C$4:$C$1000,A395,MOVIMIENTOS!$D$4:$D$1000,B395,MOVIMIENTOS!$E$4:$E$1000,C395,MOVIMIENTOS!$B$4:$B$1000,"MUESTRA")-SUMIFS(MOVIMIENTOS!$F$4:$F$1000,MOVIMIENTOS!$C$4:$C$1000,A395,MOVIMIENTOS!$D$4:$D$1000,B395,MOVIMIENTOS!$E$4:$E$1000,C395,MOVIMIENTOS!$B$4:$B$1000,"AJUSTE-"),0)</f>
        <v>0</v>
      </c>
      <c r="F395" s="101">
        <f>IFERROR(E395*VLOOKUP(B395,TELAS!$A$4:$C$32,3,FALSE()),0)</f>
        <v>0</v>
      </c>
      <c r="G395" s="102">
        <f>IFERROR(IF(D395="OSCURO",VLOOKUP(B395,PRECIOS!$A$4:$F$32,2,FALSE()),IF(D395="CLARO",VLOOKUP(B395,PRECIOS!$A$4:$F$32,3,FALSE()),IF(D395="MELANGE",VLOOKUP(B395,PRECIOS!$A$4:$F$32,4,FALSE()),IF(D395="PPT",VLOOKUP(B395,PRECIOS!$A$4:$F$32,5,FALSE()),0)))),0)</f>
        <v>24</v>
      </c>
      <c r="H395" s="103">
        <f t="shared" si="1"/>
        <v>0</v>
      </c>
      <c r="I395" s="104" t="str">
        <f>IF(E395&lt;0,"ERROR",IF(E395=0,"",IF(E395&lt;CONFIG!$B$4,"CRÍTICO",IF(E395&lt;CONFIG!$B$5,"BAJO","OK"))))</f>
        <v/>
      </c>
    </row>
    <row r="396" ht="15.75" customHeight="1">
      <c r="A396" s="90" t="str">
        <f>IF(CLIENTES!A6="","",CLIENTES!A6)</f>
        <v/>
      </c>
      <c r="B396" s="67" t="str">
        <f>TELAS!A9</f>
        <v>rib 2x1 lycrado</v>
      </c>
      <c r="C396" s="67" t="str">
        <f>COLORES!A16</f>
        <v>Topo</v>
      </c>
      <c r="D396" s="67" t="str">
        <f>COLORES!B16</f>
        <v>CLARO</v>
      </c>
      <c r="E396" s="100">
        <f>IFERROR(SUMIFS(MOVIMIENTOS!$F$4:$F$1000,MOVIMIENTOS!$C$4:$C$1000,A396,MOVIMIENTOS!$D$4:$D$1000,B396,MOVIMIENTOS!$E$4:$E$1000,C396,MOVIMIENTOS!$B$4:$B$1000,"INGRESO")+SUMIFS(MOVIMIENTOS!$F$4:$F$1000,MOVIMIENTOS!$C$4:$C$1000,A396,MOVIMIENTOS!$D$4:$D$1000,B396,MOVIMIENTOS!$E$4:$E$1000,C396,MOVIMIENTOS!$B$4:$B$1000,"DE REPROCESO")+SUMIFS(MOVIMIENTOS!$F$4:$F$1000,MOVIMIENTOS!$C$4:$C$1000,A396,MOVIMIENTOS!$D$4:$D$1000,B396,MOVIMIENTOS!$E$4:$E$1000,C396,MOVIMIENTOS!$B$4:$B$1000,"AJUSTE+")-SUMIFS(MOVIMIENTOS!$F$4:$F$1000,MOVIMIENTOS!$C$4:$C$1000,A396,MOVIMIENTOS!$D$4:$D$1000,B396,MOVIMIENTOS!$E$4:$E$1000,C396,MOVIMIENTOS!$B$4:$B$1000,"A CORTE")-SUMIFS(MOVIMIENTOS!$F$4:$F$1000,MOVIMIENTOS!$C$4:$C$1000,A396,MOVIMIENTOS!$D$4:$D$1000,B396,MOVIMIENTOS!$E$4:$E$1000,C396,MOVIMIENTOS!$B$4:$B$1000,"A REPROCESO")-SUMIFS(MOVIMIENTOS!$F$4:$F$1000,MOVIMIENTOS!$C$4:$C$1000,A396,MOVIMIENTOS!$D$4:$D$1000,B396,MOVIMIENTOS!$E$4:$E$1000,C396,MOVIMIENTOS!$B$4:$B$1000,"MUESTRA")-SUMIFS(MOVIMIENTOS!$F$4:$F$1000,MOVIMIENTOS!$C$4:$C$1000,A396,MOVIMIENTOS!$D$4:$D$1000,B396,MOVIMIENTOS!$E$4:$E$1000,C396,MOVIMIENTOS!$B$4:$B$1000,"AJUSTE-"),0)</f>
        <v>0</v>
      </c>
      <c r="F396" s="101">
        <f>IFERROR(E396*VLOOKUP(B396,TELAS!$A$4:$C$32,3,FALSE()),0)</f>
        <v>0</v>
      </c>
      <c r="G396" s="102">
        <f>IFERROR(IF(D396="OSCURO",VLOOKUP(B396,PRECIOS!$A$4:$F$32,2,FALSE()),IF(D396="CLARO",VLOOKUP(B396,PRECIOS!$A$4:$F$32,3,FALSE()),IF(D396="MELANGE",VLOOKUP(B396,PRECIOS!$A$4:$F$32,4,FALSE()),IF(D396="PPT",VLOOKUP(B396,PRECIOS!$A$4:$F$32,5,FALSE()),0)))),0)</f>
        <v>21</v>
      </c>
      <c r="H396" s="103">
        <f t="shared" si="1"/>
        <v>0</v>
      </c>
      <c r="I396" s="104" t="str">
        <f>IF(E396&lt;0,"ERROR",IF(E396=0,"",IF(E396&lt;CONFIG!$B$4,"CRÍTICO",IF(E396&lt;CONFIG!$B$5,"BAJO","OK"))))</f>
        <v/>
      </c>
    </row>
    <row r="397" ht="15.75" customHeight="1">
      <c r="A397" s="90" t="str">
        <f>IF(CLIENTES!A6="","",CLIENTES!A6)</f>
        <v/>
      </c>
      <c r="B397" s="67" t="str">
        <f>TELAS!A9</f>
        <v>rib 2x1 lycrado</v>
      </c>
      <c r="C397" s="67" t="str">
        <f>COLORES!A17</f>
        <v>Vino</v>
      </c>
      <c r="D397" s="67" t="str">
        <f>COLORES!B17</f>
        <v>OSCURO</v>
      </c>
      <c r="E397" s="100">
        <f>IFERROR(SUMIFS(MOVIMIENTOS!$F$4:$F$1000,MOVIMIENTOS!$C$4:$C$1000,A397,MOVIMIENTOS!$D$4:$D$1000,B397,MOVIMIENTOS!$E$4:$E$1000,C397,MOVIMIENTOS!$B$4:$B$1000,"INGRESO")+SUMIFS(MOVIMIENTOS!$F$4:$F$1000,MOVIMIENTOS!$C$4:$C$1000,A397,MOVIMIENTOS!$D$4:$D$1000,B397,MOVIMIENTOS!$E$4:$E$1000,C397,MOVIMIENTOS!$B$4:$B$1000,"DE REPROCESO")+SUMIFS(MOVIMIENTOS!$F$4:$F$1000,MOVIMIENTOS!$C$4:$C$1000,A397,MOVIMIENTOS!$D$4:$D$1000,B397,MOVIMIENTOS!$E$4:$E$1000,C397,MOVIMIENTOS!$B$4:$B$1000,"AJUSTE+")-SUMIFS(MOVIMIENTOS!$F$4:$F$1000,MOVIMIENTOS!$C$4:$C$1000,A397,MOVIMIENTOS!$D$4:$D$1000,B397,MOVIMIENTOS!$E$4:$E$1000,C397,MOVIMIENTOS!$B$4:$B$1000,"A CORTE")-SUMIFS(MOVIMIENTOS!$F$4:$F$1000,MOVIMIENTOS!$C$4:$C$1000,A397,MOVIMIENTOS!$D$4:$D$1000,B397,MOVIMIENTOS!$E$4:$E$1000,C397,MOVIMIENTOS!$B$4:$B$1000,"A REPROCESO")-SUMIFS(MOVIMIENTOS!$F$4:$F$1000,MOVIMIENTOS!$C$4:$C$1000,A397,MOVIMIENTOS!$D$4:$D$1000,B397,MOVIMIENTOS!$E$4:$E$1000,C397,MOVIMIENTOS!$B$4:$B$1000,"MUESTRA")-SUMIFS(MOVIMIENTOS!$F$4:$F$1000,MOVIMIENTOS!$C$4:$C$1000,A397,MOVIMIENTOS!$D$4:$D$1000,B397,MOVIMIENTOS!$E$4:$E$1000,C397,MOVIMIENTOS!$B$4:$B$1000,"AJUSTE-"),0)</f>
        <v>0</v>
      </c>
      <c r="F397" s="101">
        <f>IFERROR(E397*VLOOKUP(B397,TELAS!$A$4:$C$32,3,FALSE()),0)</f>
        <v>0</v>
      </c>
      <c r="G397" s="102">
        <f>IFERROR(IF(D397="OSCURO",VLOOKUP(B397,PRECIOS!$A$4:$F$32,2,FALSE()),IF(D397="CLARO",VLOOKUP(B397,PRECIOS!$A$4:$F$32,3,FALSE()),IF(D397="MELANGE",VLOOKUP(B397,PRECIOS!$A$4:$F$32,4,FALSE()),IF(D397="PPT",VLOOKUP(B397,PRECIOS!$A$4:$F$32,5,FALSE()),0)))),0)</f>
        <v>24</v>
      </c>
      <c r="H397" s="103">
        <f t="shared" si="1"/>
        <v>0</v>
      </c>
      <c r="I397" s="104" t="str">
        <f>IF(E397&lt;0,"ERROR",IF(E397=0,"",IF(E397&lt;CONFIG!$B$4,"CRÍTICO",IF(E397&lt;CONFIG!$B$5,"BAJO","OK"))))</f>
        <v/>
      </c>
    </row>
    <row r="398" ht="15.75" customHeight="1">
      <c r="A398" s="90" t="str">
        <f>IF(CLIENTES!A6="","",CLIENTES!A6)</f>
        <v/>
      </c>
      <c r="B398" s="67" t="str">
        <f>TELAS!A9</f>
        <v>rib 2x1 lycrado</v>
      </c>
      <c r="C398" s="67" t="str">
        <f>COLORES!A18</f>
        <v>P. Rosa</v>
      </c>
      <c r="D398" s="67" t="str">
        <f>COLORES!B18</f>
        <v>CLARO</v>
      </c>
      <c r="E398" s="100">
        <f>IFERROR(SUMIFS(MOVIMIENTOS!$F$4:$F$1000,MOVIMIENTOS!$C$4:$C$1000,A398,MOVIMIENTOS!$D$4:$D$1000,B398,MOVIMIENTOS!$E$4:$E$1000,C398,MOVIMIENTOS!$B$4:$B$1000,"INGRESO")+SUMIFS(MOVIMIENTOS!$F$4:$F$1000,MOVIMIENTOS!$C$4:$C$1000,A398,MOVIMIENTOS!$D$4:$D$1000,B398,MOVIMIENTOS!$E$4:$E$1000,C398,MOVIMIENTOS!$B$4:$B$1000,"DE REPROCESO")+SUMIFS(MOVIMIENTOS!$F$4:$F$1000,MOVIMIENTOS!$C$4:$C$1000,A398,MOVIMIENTOS!$D$4:$D$1000,B398,MOVIMIENTOS!$E$4:$E$1000,C398,MOVIMIENTOS!$B$4:$B$1000,"AJUSTE+")-SUMIFS(MOVIMIENTOS!$F$4:$F$1000,MOVIMIENTOS!$C$4:$C$1000,A398,MOVIMIENTOS!$D$4:$D$1000,B398,MOVIMIENTOS!$E$4:$E$1000,C398,MOVIMIENTOS!$B$4:$B$1000,"A CORTE")-SUMIFS(MOVIMIENTOS!$F$4:$F$1000,MOVIMIENTOS!$C$4:$C$1000,A398,MOVIMIENTOS!$D$4:$D$1000,B398,MOVIMIENTOS!$E$4:$E$1000,C398,MOVIMIENTOS!$B$4:$B$1000,"A REPROCESO")-SUMIFS(MOVIMIENTOS!$F$4:$F$1000,MOVIMIENTOS!$C$4:$C$1000,A398,MOVIMIENTOS!$D$4:$D$1000,B398,MOVIMIENTOS!$E$4:$E$1000,C398,MOVIMIENTOS!$B$4:$B$1000,"MUESTRA")-SUMIFS(MOVIMIENTOS!$F$4:$F$1000,MOVIMIENTOS!$C$4:$C$1000,A398,MOVIMIENTOS!$D$4:$D$1000,B398,MOVIMIENTOS!$E$4:$E$1000,C398,MOVIMIENTOS!$B$4:$B$1000,"AJUSTE-"),0)</f>
        <v>0</v>
      </c>
      <c r="F398" s="101">
        <f>IFERROR(E398*VLOOKUP(B398,TELAS!$A$4:$C$32,3,FALSE()),0)</f>
        <v>0</v>
      </c>
      <c r="G398" s="102">
        <f>IFERROR(IF(D398="OSCURO",VLOOKUP(B398,PRECIOS!$A$4:$F$32,2,FALSE()),IF(D398="CLARO",VLOOKUP(B398,PRECIOS!$A$4:$F$32,3,FALSE()),IF(D398="MELANGE",VLOOKUP(B398,PRECIOS!$A$4:$F$32,4,FALSE()),IF(D398="PPT",VLOOKUP(B398,PRECIOS!$A$4:$F$32,5,FALSE()),0)))),0)</f>
        <v>21</v>
      </c>
      <c r="H398" s="103">
        <f t="shared" si="1"/>
        <v>0</v>
      </c>
      <c r="I398" s="104" t="str">
        <f>IF(E398&lt;0,"ERROR",IF(E398=0,"",IF(E398&lt;CONFIG!$B$4,"CRÍTICO",IF(E398&lt;CONFIG!$B$5,"BAJO","OK"))))</f>
        <v/>
      </c>
    </row>
    <row r="399" ht="15.75" customHeight="1">
      <c r="A399" s="90" t="str">
        <f>IF(CLIENTES!A6="","",CLIENTES!A6)</f>
        <v/>
      </c>
      <c r="B399" s="67" t="str">
        <f>TELAS!A9</f>
        <v>rib 2x1 lycrado</v>
      </c>
      <c r="C399" s="67" t="str">
        <f>COLORES!A19</f>
        <v/>
      </c>
      <c r="D399" s="67" t="str">
        <f>COLORES!B19</f>
        <v/>
      </c>
      <c r="E399" s="100">
        <f>IFERROR(SUMIFS(MOVIMIENTOS!$F$4:$F$1000,MOVIMIENTOS!$C$4:$C$1000,A399,MOVIMIENTOS!$D$4:$D$1000,B399,MOVIMIENTOS!$E$4:$E$1000,C399,MOVIMIENTOS!$B$4:$B$1000,"INGRESO")+SUMIFS(MOVIMIENTOS!$F$4:$F$1000,MOVIMIENTOS!$C$4:$C$1000,A399,MOVIMIENTOS!$D$4:$D$1000,B399,MOVIMIENTOS!$E$4:$E$1000,C399,MOVIMIENTOS!$B$4:$B$1000,"DE REPROCESO")+SUMIFS(MOVIMIENTOS!$F$4:$F$1000,MOVIMIENTOS!$C$4:$C$1000,A399,MOVIMIENTOS!$D$4:$D$1000,B399,MOVIMIENTOS!$E$4:$E$1000,C399,MOVIMIENTOS!$B$4:$B$1000,"AJUSTE+")-SUMIFS(MOVIMIENTOS!$F$4:$F$1000,MOVIMIENTOS!$C$4:$C$1000,A399,MOVIMIENTOS!$D$4:$D$1000,B399,MOVIMIENTOS!$E$4:$E$1000,C399,MOVIMIENTOS!$B$4:$B$1000,"A CORTE")-SUMIFS(MOVIMIENTOS!$F$4:$F$1000,MOVIMIENTOS!$C$4:$C$1000,A399,MOVIMIENTOS!$D$4:$D$1000,B399,MOVIMIENTOS!$E$4:$E$1000,C399,MOVIMIENTOS!$B$4:$B$1000,"A REPROCESO")-SUMIFS(MOVIMIENTOS!$F$4:$F$1000,MOVIMIENTOS!$C$4:$C$1000,A399,MOVIMIENTOS!$D$4:$D$1000,B399,MOVIMIENTOS!$E$4:$E$1000,C399,MOVIMIENTOS!$B$4:$B$1000,"MUESTRA")-SUMIFS(MOVIMIENTOS!$F$4:$F$1000,MOVIMIENTOS!$C$4:$C$1000,A399,MOVIMIENTOS!$D$4:$D$1000,B399,MOVIMIENTOS!$E$4:$E$1000,C399,MOVIMIENTOS!$B$4:$B$1000,"AJUSTE-"),0)</f>
        <v>0</v>
      </c>
      <c r="F399" s="101">
        <f>IFERROR(E399*VLOOKUP(B399,TELAS!$A$4:$C$32,3,FALSE()),0)</f>
        <v>0</v>
      </c>
      <c r="G399" s="102">
        <f>IFERROR(IF(D399="OSCURO",VLOOKUP(B399,PRECIOS!$A$4:$F$32,2,FALSE()),IF(D399="CLARO",VLOOKUP(B399,PRECIOS!$A$4:$F$32,3,FALSE()),IF(D399="MELANGE",VLOOKUP(B399,PRECIOS!$A$4:$F$32,4,FALSE()),IF(D399="PPT",VLOOKUP(B399,PRECIOS!$A$4:$F$32,5,FALSE()),0)))),0)</f>
        <v>0</v>
      </c>
      <c r="H399" s="103">
        <f t="shared" si="1"/>
        <v>0</v>
      </c>
      <c r="I399" s="104" t="str">
        <f>IF(E399&lt;0,"ERROR",IF(E399=0,"",IF(E399&lt;CONFIG!$B$4,"CRÍTICO",IF(E399&lt;CONFIG!$B$5,"BAJO","OK"))))</f>
        <v/>
      </c>
    </row>
    <row r="400" ht="15.75" customHeight="1">
      <c r="A400" s="90" t="str">
        <f>IF(CLIENTES!A6="","",CLIENTES!A6)</f>
        <v/>
      </c>
      <c r="B400" s="67" t="str">
        <f>TELAS!A9</f>
        <v>rib 2x1 lycrado</v>
      </c>
      <c r="C400" s="67" t="str">
        <f>COLORES!A20</f>
        <v/>
      </c>
      <c r="D400" s="67" t="str">
        <f>COLORES!B20</f>
        <v/>
      </c>
      <c r="E400" s="100">
        <f>IFERROR(SUMIFS(MOVIMIENTOS!$F$4:$F$1000,MOVIMIENTOS!$C$4:$C$1000,A400,MOVIMIENTOS!$D$4:$D$1000,B400,MOVIMIENTOS!$E$4:$E$1000,C400,MOVIMIENTOS!$B$4:$B$1000,"INGRESO")+SUMIFS(MOVIMIENTOS!$F$4:$F$1000,MOVIMIENTOS!$C$4:$C$1000,A400,MOVIMIENTOS!$D$4:$D$1000,B400,MOVIMIENTOS!$E$4:$E$1000,C400,MOVIMIENTOS!$B$4:$B$1000,"DE REPROCESO")+SUMIFS(MOVIMIENTOS!$F$4:$F$1000,MOVIMIENTOS!$C$4:$C$1000,A400,MOVIMIENTOS!$D$4:$D$1000,B400,MOVIMIENTOS!$E$4:$E$1000,C400,MOVIMIENTOS!$B$4:$B$1000,"AJUSTE+")-SUMIFS(MOVIMIENTOS!$F$4:$F$1000,MOVIMIENTOS!$C$4:$C$1000,A400,MOVIMIENTOS!$D$4:$D$1000,B400,MOVIMIENTOS!$E$4:$E$1000,C400,MOVIMIENTOS!$B$4:$B$1000,"A CORTE")-SUMIFS(MOVIMIENTOS!$F$4:$F$1000,MOVIMIENTOS!$C$4:$C$1000,A400,MOVIMIENTOS!$D$4:$D$1000,B400,MOVIMIENTOS!$E$4:$E$1000,C400,MOVIMIENTOS!$B$4:$B$1000,"A REPROCESO")-SUMIFS(MOVIMIENTOS!$F$4:$F$1000,MOVIMIENTOS!$C$4:$C$1000,A400,MOVIMIENTOS!$D$4:$D$1000,B400,MOVIMIENTOS!$E$4:$E$1000,C400,MOVIMIENTOS!$B$4:$B$1000,"MUESTRA")-SUMIFS(MOVIMIENTOS!$F$4:$F$1000,MOVIMIENTOS!$C$4:$C$1000,A400,MOVIMIENTOS!$D$4:$D$1000,B400,MOVIMIENTOS!$E$4:$E$1000,C400,MOVIMIENTOS!$B$4:$B$1000,"AJUSTE-"),0)</f>
        <v>0</v>
      </c>
      <c r="F400" s="101">
        <f>IFERROR(E400*VLOOKUP(B400,TELAS!$A$4:$C$32,3,FALSE()),0)</f>
        <v>0</v>
      </c>
      <c r="G400" s="102">
        <f>IFERROR(IF(D400="OSCURO",VLOOKUP(B400,PRECIOS!$A$4:$F$32,2,FALSE()),IF(D400="CLARO",VLOOKUP(B400,PRECIOS!$A$4:$F$32,3,FALSE()),IF(D400="MELANGE",VLOOKUP(B400,PRECIOS!$A$4:$F$32,4,FALSE()),IF(D400="PPT",VLOOKUP(B400,PRECIOS!$A$4:$F$32,5,FALSE()),0)))),0)</f>
        <v>0</v>
      </c>
      <c r="H400" s="103">
        <f t="shared" si="1"/>
        <v>0</v>
      </c>
      <c r="I400" s="104" t="str">
        <f>IF(E400&lt;0,"ERROR",IF(E400=0,"",IF(E400&lt;CONFIG!$B$4,"CRÍTICO",IF(E400&lt;CONFIG!$B$5,"BAJO","OK"))))</f>
        <v/>
      </c>
    </row>
    <row r="401" ht="15.75" customHeight="1">
      <c r="A401" s="90" t="str">
        <f>IF(CLIENTES!A6="","",CLIENTES!A6)</f>
        <v/>
      </c>
      <c r="B401" s="67" t="str">
        <f>TELAS!A9</f>
        <v>rib 2x1 lycrado</v>
      </c>
      <c r="C401" s="67" t="str">
        <f>COLORES!A21</f>
        <v/>
      </c>
      <c r="D401" s="67" t="str">
        <f>COLORES!B21</f>
        <v/>
      </c>
      <c r="E401" s="100">
        <f>IFERROR(SUMIFS(MOVIMIENTOS!$F$4:$F$1000,MOVIMIENTOS!$C$4:$C$1000,A401,MOVIMIENTOS!$D$4:$D$1000,B401,MOVIMIENTOS!$E$4:$E$1000,C401,MOVIMIENTOS!$B$4:$B$1000,"INGRESO")+SUMIFS(MOVIMIENTOS!$F$4:$F$1000,MOVIMIENTOS!$C$4:$C$1000,A401,MOVIMIENTOS!$D$4:$D$1000,B401,MOVIMIENTOS!$E$4:$E$1000,C401,MOVIMIENTOS!$B$4:$B$1000,"DE REPROCESO")+SUMIFS(MOVIMIENTOS!$F$4:$F$1000,MOVIMIENTOS!$C$4:$C$1000,A401,MOVIMIENTOS!$D$4:$D$1000,B401,MOVIMIENTOS!$E$4:$E$1000,C401,MOVIMIENTOS!$B$4:$B$1000,"AJUSTE+")-SUMIFS(MOVIMIENTOS!$F$4:$F$1000,MOVIMIENTOS!$C$4:$C$1000,A401,MOVIMIENTOS!$D$4:$D$1000,B401,MOVIMIENTOS!$E$4:$E$1000,C401,MOVIMIENTOS!$B$4:$B$1000,"A CORTE")-SUMIFS(MOVIMIENTOS!$F$4:$F$1000,MOVIMIENTOS!$C$4:$C$1000,A401,MOVIMIENTOS!$D$4:$D$1000,B401,MOVIMIENTOS!$E$4:$E$1000,C401,MOVIMIENTOS!$B$4:$B$1000,"A REPROCESO")-SUMIFS(MOVIMIENTOS!$F$4:$F$1000,MOVIMIENTOS!$C$4:$C$1000,A401,MOVIMIENTOS!$D$4:$D$1000,B401,MOVIMIENTOS!$E$4:$E$1000,C401,MOVIMIENTOS!$B$4:$B$1000,"MUESTRA")-SUMIFS(MOVIMIENTOS!$F$4:$F$1000,MOVIMIENTOS!$C$4:$C$1000,A401,MOVIMIENTOS!$D$4:$D$1000,B401,MOVIMIENTOS!$E$4:$E$1000,C401,MOVIMIENTOS!$B$4:$B$1000,"AJUSTE-"),0)</f>
        <v>0</v>
      </c>
      <c r="F401" s="101">
        <f>IFERROR(E401*VLOOKUP(B401,TELAS!$A$4:$C$32,3,FALSE()),0)</f>
        <v>0</v>
      </c>
      <c r="G401" s="102">
        <f>IFERROR(IF(D401="OSCURO",VLOOKUP(B401,PRECIOS!$A$4:$F$32,2,FALSE()),IF(D401="CLARO",VLOOKUP(B401,PRECIOS!$A$4:$F$32,3,FALSE()),IF(D401="MELANGE",VLOOKUP(B401,PRECIOS!$A$4:$F$32,4,FALSE()),IF(D401="PPT",VLOOKUP(B401,PRECIOS!$A$4:$F$32,5,FALSE()),0)))),0)</f>
        <v>0</v>
      </c>
      <c r="H401" s="103">
        <f t="shared" si="1"/>
        <v>0</v>
      </c>
      <c r="I401" s="104" t="str">
        <f>IF(E401&lt;0,"ERROR",IF(E401=0,"",IF(E401&lt;CONFIG!$B$4,"CRÍTICO",IF(E401&lt;CONFIG!$B$5,"BAJO","OK"))))</f>
        <v/>
      </c>
    </row>
    <row r="402" ht="15.75" customHeight="1">
      <c r="A402" s="90" t="str">
        <f>IF(CLIENTES!A6="","",CLIENTES!A6)</f>
        <v/>
      </c>
      <c r="B402" s="67" t="str">
        <f>TELAS!A9</f>
        <v>rib 2x1 lycrado</v>
      </c>
      <c r="C402" s="67" t="str">
        <f>COLORES!A22</f>
        <v/>
      </c>
      <c r="D402" s="67" t="str">
        <f>COLORES!B22</f>
        <v/>
      </c>
      <c r="E402" s="100">
        <f>IFERROR(SUMIFS(MOVIMIENTOS!$F$4:$F$1000,MOVIMIENTOS!$C$4:$C$1000,A402,MOVIMIENTOS!$D$4:$D$1000,B402,MOVIMIENTOS!$E$4:$E$1000,C402,MOVIMIENTOS!$B$4:$B$1000,"INGRESO")+SUMIFS(MOVIMIENTOS!$F$4:$F$1000,MOVIMIENTOS!$C$4:$C$1000,A402,MOVIMIENTOS!$D$4:$D$1000,B402,MOVIMIENTOS!$E$4:$E$1000,C402,MOVIMIENTOS!$B$4:$B$1000,"DE REPROCESO")+SUMIFS(MOVIMIENTOS!$F$4:$F$1000,MOVIMIENTOS!$C$4:$C$1000,A402,MOVIMIENTOS!$D$4:$D$1000,B402,MOVIMIENTOS!$E$4:$E$1000,C402,MOVIMIENTOS!$B$4:$B$1000,"AJUSTE+")-SUMIFS(MOVIMIENTOS!$F$4:$F$1000,MOVIMIENTOS!$C$4:$C$1000,A402,MOVIMIENTOS!$D$4:$D$1000,B402,MOVIMIENTOS!$E$4:$E$1000,C402,MOVIMIENTOS!$B$4:$B$1000,"A CORTE")-SUMIFS(MOVIMIENTOS!$F$4:$F$1000,MOVIMIENTOS!$C$4:$C$1000,A402,MOVIMIENTOS!$D$4:$D$1000,B402,MOVIMIENTOS!$E$4:$E$1000,C402,MOVIMIENTOS!$B$4:$B$1000,"A REPROCESO")-SUMIFS(MOVIMIENTOS!$F$4:$F$1000,MOVIMIENTOS!$C$4:$C$1000,A402,MOVIMIENTOS!$D$4:$D$1000,B402,MOVIMIENTOS!$E$4:$E$1000,C402,MOVIMIENTOS!$B$4:$B$1000,"MUESTRA")-SUMIFS(MOVIMIENTOS!$F$4:$F$1000,MOVIMIENTOS!$C$4:$C$1000,A402,MOVIMIENTOS!$D$4:$D$1000,B402,MOVIMIENTOS!$E$4:$E$1000,C402,MOVIMIENTOS!$B$4:$B$1000,"AJUSTE-"),0)</f>
        <v>0</v>
      </c>
      <c r="F402" s="101">
        <f>IFERROR(E402*VLOOKUP(B402,TELAS!$A$4:$C$32,3,FALSE()),0)</f>
        <v>0</v>
      </c>
      <c r="G402" s="102">
        <f>IFERROR(IF(D402="OSCURO",VLOOKUP(B402,PRECIOS!$A$4:$F$32,2,FALSE()),IF(D402="CLARO",VLOOKUP(B402,PRECIOS!$A$4:$F$32,3,FALSE()),IF(D402="MELANGE",VLOOKUP(B402,PRECIOS!$A$4:$F$32,4,FALSE()),IF(D402="PPT",VLOOKUP(B402,PRECIOS!$A$4:$F$32,5,FALSE()),0)))),0)</f>
        <v>0</v>
      </c>
      <c r="H402" s="103">
        <f t="shared" si="1"/>
        <v>0</v>
      </c>
      <c r="I402" s="104" t="str">
        <f>IF(E402&lt;0,"ERROR",IF(E402=0,"",IF(E402&lt;CONFIG!$B$4,"CRÍTICO",IF(E402&lt;CONFIG!$B$5,"BAJO","OK"))))</f>
        <v/>
      </c>
    </row>
    <row r="403" ht="15.75" customHeight="1">
      <c r="A403" s="90" t="str">
        <f>IF(CLIENTES!A6="","",CLIENTES!A6)</f>
        <v/>
      </c>
      <c r="B403" s="67" t="str">
        <f>TELAS!A9</f>
        <v>rib 2x1 lycrado</v>
      </c>
      <c r="C403" s="67" t="str">
        <f>COLORES!A23</f>
        <v/>
      </c>
      <c r="D403" s="67" t="str">
        <f>COLORES!B23</f>
        <v/>
      </c>
      <c r="E403" s="100">
        <f>IFERROR(SUMIFS(MOVIMIENTOS!$F$4:$F$1000,MOVIMIENTOS!$C$4:$C$1000,A403,MOVIMIENTOS!$D$4:$D$1000,B403,MOVIMIENTOS!$E$4:$E$1000,C403,MOVIMIENTOS!$B$4:$B$1000,"INGRESO")+SUMIFS(MOVIMIENTOS!$F$4:$F$1000,MOVIMIENTOS!$C$4:$C$1000,A403,MOVIMIENTOS!$D$4:$D$1000,B403,MOVIMIENTOS!$E$4:$E$1000,C403,MOVIMIENTOS!$B$4:$B$1000,"DE REPROCESO")+SUMIFS(MOVIMIENTOS!$F$4:$F$1000,MOVIMIENTOS!$C$4:$C$1000,A403,MOVIMIENTOS!$D$4:$D$1000,B403,MOVIMIENTOS!$E$4:$E$1000,C403,MOVIMIENTOS!$B$4:$B$1000,"AJUSTE+")-SUMIFS(MOVIMIENTOS!$F$4:$F$1000,MOVIMIENTOS!$C$4:$C$1000,A403,MOVIMIENTOS!$D$4:$D$1000,B403,MOVIMIENTOS!$E$4:$E$1000,C403,MOVIMIENTOS!$B$4:$B$1000,"A CORTE")-SUMIFS(MOVIMIENTOS!$F$4:$F$1000,MOVIMIENTOS!$C$4:$C$1000,A403,MOVIMIENTOS!$D$4:$D$1000,B403,MOVIMIENTOS!$E$4:$E$1000,C403,MOVIMIENTOS!$B$4:$B$1000,"A REPROCESO")-SUMIFS(MOVIMIENTOS!$F$4:$F$1000,MOVIMIENTOS!$C$4:$C$1000,A403,MOVIMIENTOS!$D$4:$D$1000,B403,MOVIMIENTOS!$E$4:$E$1000,C403,MOVIMIENTOS!$B$4:$B$1000,"MUESTRA")-SUMIFS(MOVIMIENTOS!$F$4:$F$1000,MOVIMIENTOS!$C$4:$C$1000,A403,MOVIMIENTOS!$D$4:$D$1000,B403,MOVIMIENTOS!$E$4:$E$1000,C403,MOVIMIENTOS!$B$4:$B$1000,"AJUSTE-"),0)</f>
        <v>0</v>
      </c>
      <c r="F403" s="101">
        <f>IFERROR(E403*VLOOKUP(B403,TELAS!$A$4:$C$32,3,FALSE()),0)</f>
        <v>0</v>
      </c>
      <c r="G403" s="102">
        <f>IFERROR(IF(D403="OSCURO",VLOOKUP(B403,PRECIOS!$A$4:$F$32,2,FALSE()),IF(D403="CLARO",VLOOKUP(B403,PRECIOS!$A$4:$F$32,3,FALSE()),IF(D403="MELANGE",VLOOKUP(B403,PRECIOS!$A$4:$F$32,4,FALSE()),IF(D403="PPT",VLOOKUP(B403,PRECIOS!$A$4:$F$32,5,FALSE()),0)))),0)</f>
        <v>0</v>
      </c>
      <c r="H403" s="103">
        <f t="shared" si="1"/>
        <v>0</v>
      </c>
      <c r="I403" s="104" t="str">
        <f>IF(E403&lt;0,"ERROR",IF(E403=0,"",IF(E403&lt;CONFIG!$B$4,"CRÍTICO",IF(E403&lt;CONFIG!$B$5,"BAJO","OK"))))</f>
        <v/>
      </c>
    </row>
    <row r="404" ht="15.75" customHeight="1">
      <c r="A404" s="90" t="str">
        <f>IF(CLIENTES!A6="","",CLIENTES!A6)</f>
        <v/>
      </c>
      <c r="B404" s="67" t="str">
        <f>TELAS!A10</f>
        <v>jersey full lycra 30/1</v>
      </c>
      <c r="C404" s="67" t="str">
        <f>COLORES!A4</f>
        <v>Negro</v>
      </c>
      <c r="D404" s="67" t="str">
        <f>COLORES!B4</f>
        <v>OSCURO</v>
      </c>
      <c r="E404" s="100">
        <f>IFERROR(SUMIFS(MOVIMIENTOS!$F$4:$F$1000,MOVIMIENTOS!$C$4:$C$1000,A404,MOVIMIENTOS!$D$4:$D$1000,B404,MOVIMIENTOS!$E$4:$E$1000,C404,MOVIMIENTOS!$B$4:$B$1000,"INGRESO")+SUMIFS(MOVIMIENTOS!$F$4:$F$1000,MOVIMIENTOS!$C$4:$C$1000,A404,MOVIMIENTOS!$D$4:$D$1000,B404,MOVIMIENTOS!$E$4:$E$1000,C404,MOVIMIENTOS!$B$4:$B$1000,"DE REPROCESO")+SUMIFS(MOVIMIENTOS!$F$4:$F$1000,MOVIMIENTOS!$C$4:$C$1000,A404,MOVIMIENTOS!$D$4:$D$1000,B404,MOVIMIENTOS!$E$4:$E$1000,C404,MOVIMIENTOS!$B$4:$B$1000,"AJUSTE+")-SUMIFS(MOVIMIENTOS!$F$4:$F$1000,MOVIMIENTOS!$C$4:$C$1000,A404,MOVIMIENTOS!$D$4:$D$1000,B404,MOVIMIENTOS!$E$4:$E$1000,C404,MOVIMIENTOS!$B$4:$B$1000,"A CORTE")-SUMIFS(MOVIMIENTOS!$F$4:$F$1000,MOVIMIENTOS!$C$4:$C$1000,A404,MOVIMIENTOS!$D$4:$D$1000,B404,MOVIMIENTOS!$E$4:$E$1000,C404,MOVIMIENTOS!$B$4:$B$1000,"A REPROCESO")-SUMIFS(MOVIMIENTOS!$F$4:$F$1000,MOVIMIENTOS!$C$4:$C$1000,A404,MOVIMIENTOS!$D$4:$D$1000,B404,MOVIMIENTOS!$E$4:$E$1000,C404,MOVIMIENTOS!$B$4:$B$1000,"MUESTRA")-SUMIFS(MOVIMIENTOS!$F$4:$F$1000,MOVIMIENTOS!$C$4:$C$1000,A404,MOVIMIENTOS!$D$4:$D$1000,B404,MOVIMIENTOS!$E$4:$E$1000,C404,MOVIMIENTOS!$B$4:$B$1000,"AJUSTE-"),0)</f>
        <v>0</v>
      </c>
      <c r="F404" s="101">
        <f>IFERROR(E404*VLOOKUP(B404,TELAS!$A$4:$C$32,3,FALSE()),0)</f>
        <v>0</v>
      </c>
      <c r="G404" s="102">
        <f>IFERROR(IF(D404="OSCURO",VLOOKUP(B404,PRECIOS!$A$4:$F$32,2,FALSE()),IF(D404="CLARO",VLOOKUP(B404,PRECIOS!$A$4:$F$32,3,FALSE()),IF(D404="MELANGE",VLOOKUP(B404,PRECIOS!$A$4:$F$32,4,FALSE()),IF(D404="PPT",VLOOKUP(B404,PRECIOS!$A$4:$F$32,5,FALSE()),0)))),0)</f>
        <v>26</v>
      </c>
      <c r="H404" s="103">
        <f t="shared" si="1"/>
        <v>0</v>
      </c>
      <c r="I404" s="104" t="str">
        <f>IF(E404&lt;0,"ERROR",IF(E404=0,"",IF(E404&lt;CONFIG!$B$4,"CRÍTICO",IF(E404&lt;CONFIG!$B$5,"BAJO","OK"))))</f>
        <v/>
      </c>
    </row>
    <row r="405" ht="15.75" customHeight="1">
      <c r="A405" s="90" t="str">
        <f>IF(CLIENTES!A6="","",CLIENTES!A6)</f>
        <v/>
      </c>
      <c r="B405" s="67" t="str">
        <f>TELAS!A10</f>
        <v>jersey full lycra 30/1</v>
      </c>
      <c r="C405" s="67" t="str">
        <f>COLORES!A5</f>
        <v>Perla</v>
      </c>
      <c r="D405" s="67" t="str">
        <f>COLORES!B5</f>
        <v>PPT</v>
      </c>
      <c r="E405" s="100">
        <f>IFERROR(SUMIFS(MOVIMIENTOS!$F$4:$F$1000,MOVIMIENTOS!$C$4:$C$1000,A405,MOVIMIENTOS!$D$4:$D$1000,B405,MOVIMIENTOS!$E$4:$E$1000,C405,MOVIMIENTOS!$B$4:$B$1000,"INGRESO")+SUMIFS(MOVIMIENTOS!$F$4:$F$1000,MOVIMIENTOS!$C$4:$C$1000,A405,MOVIMIENTOS!$D$4:$D$1000,B405,MOVIMIENTOS!$E$4:$E$1000,C405,MOVIMIENTOS!$B$4:$B$1000,"DE REPROCESO")+SUMIFS(MOVIMIENTOS!$F$4:$F$1000,MOVIMIENTOS!$C$4:$C$1000,A405,MOVIMIENTOS!$D$4:$D$1000,B405,MOVIMIENTOS!$E$4:$E$1000,C405,MOVIMIENTOS!$B$4:$B$1000,"AJUSTE+")-SUMIFS(MOVIMIENTOS!$F$4:$F$1000,MOVIMIENTOS!$C$4:$C$1000,A405,MOVIMIENTOS!$D$4:$D$1000,B405,MOVIMIENTOS!$E$4:$E$1000,C405,MOVIMIENTOS!$B$4:$B$1000,"A CORTE")-SUMIFS(MOVIMIENTOS!$F$4:$F$1000,MOVIMIENTOS!$C$4:$C$1000,A405,MOVIMIENTOS!$D$4:$D$1000,B405,MOVIMIENTOS!$E$4:$E$1000,C405,MOVIMIENTOS!$B$4:$B$1000,"A REPROCESO")-SUMIFS(MOVIMIENTOS!$F$4:$F$1000,MOVIMIENTOS!$C$4:$C$1000,A405,MOVIMIENTOS!$D$4:$D$1000,B405,MOVIMIENTOS!$E$4:$E$1000,C405,MOVIMIENTOS!$B$4:$B$1000,"MUESTRA")-SUMIFS(MOVIMIENTOS!$F$4:$F$1000,MOVIMIENTOS!$C$4:$C$1000,A405,MOVIMIENTOS!$D$4:$D$1000,B405,MOVIMIENTOS!$E$4:$E$1000,C405,MOVIMIENTOS!$B$4:$B$1000,"AJUSTE-"),0)</f>
        <v>0</v>
      </c>
      <c r="F405" s="101">
        <f>IFERROR(E405*VLOOKUP(B405,TELAS!$A$4:$C$32,3,FALSE()),0)</f>
        <v>0</v>
      </c>
      <c r="G405" s="102">
        <f>IFERROR(IF(D405="OSCURO",VLOOKUP(B405,PRECIOS!$A$4:$F$32,2,FALSE()),IF(D405="CLARO",VLOOKUP(B405,PRECIOS!$A$4:$F$32,3,FALSE()),IF(D405="MELANGE",VLOOKUP(B405,PRECIOS!$A$4:$F$32,4,FALSE()),IF(D405="PPT",VLOOKUP(B405,PRECIOS!$A$4:$F$32,5,FALSE()),0)))),0)</f>
        <v>19</v>
      </c>
      <c r="H405" s="103">
        <f t="shared" si="1"/>
        <v>0</v>
      </c>
      <c r="I405" s="104" t="str">
        <f>IF(E405&lt;0,"ERROR",IF(E405=0,"",IF(E405&lt;CONFIG!$B$4,"CRÍTICO",IF(E405&lt;CONFIG!$B$5,"BAJO","OK"))))</f>
        <v/>
      </c>
    </row>
    <row r="406" ht="15.75" customHeight="1">
      <c r="A406" s="90" t="str">
        <f>IF(CLIENTES!A6="","",CLIENTES!A6)</f>
        <v/>
      </c>
      <c r="B406" s="67" t="str">
        <f>TELAS!A10</f>
        <v>jersey full lycra 30/1</v>
      </c>
      <c r="C406" s="67" t="str">
        <f>COLORES!A6</f>
        <v>Blanco</v>
      </c>
      <c r="D406" s="67" t="str">
        <f>COLORES!B6</f>
        <v>PPT</v>
      </c>
      <c r="E406" s="100">
        <f>IFERROR(SUMIFS(MOVIMIENTOS!$F$4:$F$1000,MOVIMIENTOS!$C$4:$C$1000,A406,MOVIMIENTOS!$D$4:$D$1000,B406,MOVIMIENTOS!$E$4:$E$1000,C406,MOVIMIENTOS!$B$4:$B$1000,"INGRESO")+SUMIFS(MOVIMIENTOS!$F$4:$F$1000,MOVIMIENTOS!$C$4:$C$1000,A406,MOVIMIENTOS!$D$4:$D$1000,B406,MOVIMIENTOS!$E$4:$E$1000,C406,MOVIMIENTOS!$B$4:$B$1000,"DE REPROCESO")+SUMIFS(MOVIMIENTOS!$F$4:$F$1000,MOVIMIENTOS!$C$4:$C$1000,A406,MOVIMIENTOS!$D$4:$D$1000,B406,MOVIMIENTOS!$E$4:$E$1000,C406,MOVIMIENTOS!$B$4:$B$1000,"AJUSTE+")-SUMIFS(MOVIMIENTOS!$F$4:$F$1000,MOVIMIENTOS!$C$4:$C$1000,A406,MOVIMIENTOS!$D$4:$D$1000,B406,MOVIMIENTOS!$E$4:$E$1000,C406,MOVIMIENTOS!$B$4:$B$1000,"A CORTE")-SUMIFS(MOVIMIENTOS!$F$4:$F$1000,MOVIMIENTOS!$C$4:$C$1000,A406,MOVIMIENTOS!$D$4:$D$1000,B406,MOVIMIENTOS!$E$4:$E$1000,C406,MOVIMIENTOS!$B$4:$B$1000,"A REPROCESO")-SUMIFS(MOVIMIENTOS!$F$4:$F$1000,MOVIMIENTOS!$C$4:$C$1000,A406,MOVIMIENTOS!$D$4:$D$1000,B406,MOVIMIENTOS!$E$4:$E$1000,C406,MOVIMIENTOS!$B$4:$B$1000,"MUESTRA")-SUMIFS(MOVIMIENTOS!$F$4:$F$1000,MOVIMIENTOS!$C$4:$C$1000,A406,MOVIMIENTOS!$D$4:$D$1000,B406,MOVIMIENTOS!$E$4:$E$1000,C406,MOVIMIENTOS!$B$4:$B$1000,"AJUSTE-"),0)</f>
        <v>0</v>
      </c>
      <c r="F406" s="101">
        <f>IFERROR(E406*VLOOKUP(B406,TELAS!$A$4:$C$32,3,FALSE()),0)</f>
        <v>0</v>
      </c>
      <c r="G406" s="102">
        <f>IFERROR(IF(D406="OSCURO",VLOOKUP(B406,PRECIOS!$A$4:$F$32,2,FALSE()),IF(D406="CLARO",VLOOKUP(B406,PRECIOS!$A$4:$F$32,3,FALSE()),IF(D406="MELANGE",VLOOKUP(B406,PRECIOS!$A$4:$F$32,4,FALSE()),IF(D406="PPT",VLOOKUP(B406,PRECIOS!$A$4:$F$32,5,FALSE()),0)))),0)</f>
        <v>19</v>
      </c>
      <c r="H406" s="103">
        <f t="shared" si="1"/>
        <v>0</v>
      </c>
      <c r="I406" s="104" t="str">
        <f>IF(E406&lt;0,"ERROR",IF(E406=0,"",IF(E406&lt;CONFIG!$B$4,"CRÍTICO",IF(E406&lt;CONFIG!$B$5,"BAJO","OK"))))</f>
        <v/>
      </c>
    </row>
    <row r="407" ht="15.75" customHeight="1">
      <c r="A407" s="90" t="str">
        <f>IF(CLIENTES!A6="","",CLIENTES!A6)</f>
        <v/>
      </c>
      <c r="B407" s="67" t="str">
        <f>TELAS!A10</f>
        <v>jersey full lycra 30/1</v>
      </c>
      <c r="C407" s="67" t="str">
        <f>COLORES!A7</f>
        <v>Azul</v>
      </c>
      <c r="D407" s="67" t="str">
        <f>COLORES!B7</f>
        <v>OSCURO</v>
      </c>
      <c r="E407" s="100">
        <f>IFERROR(SUMIFS(MOVIMIENTOS!$F$4:$F$1000,MOVIMIENTOS!$C$4:$C$1000,A407,MOVIMIENTOS!$D$4:$D$1000,B407,MOVIMIENTOS!$E$4:$E$1000,C407,MOVIMIENTOS!$B$4:$B$1000,"INGRESO")+SUMIFS(MOVIMIENTOS!$F$4:$F$1000,MOVIMIENTOS!$C$4:$C$1000,A407,MOVIMIENTOS!$D$4:$D$1000,B407,MOVIMIENTOS!$E$4:$E$1000,C407,MOVIMIENTOS!$B$4:$B$1000,"DE REPROCESO")+SUMIFS(MOVIMIENTOS!$F$4:$F$1000,MOVIMIENTOS!$C$4:$C$1000,A407,MOVIMIENTOS!$D$4:$D$1000,B407,MOVIMIENTOS!$E$4:$E$1000,C407,MOVIMIENTOS!$B$4:$B$1000,"AJUSTE+")-SUMIFS(MOVIMIENTOS!$F$4:$F$1000,MOVIMIENTOS!$C$4:$C$1000,A407,MOVIMIENTOS!$D$4:$D$1000,B407,MOVIMIENTOS!$E$4:$E$1000,C407,MOVIMIENTOS!$B$4:$B$1000,"A CORTE")-SUMIFS(MOVIMIENTOS!$F$4:$F$1000,MOVIMIENTOS!$C$4:$C$1000,A407,MOVIMIENTOS!$D$4:$D$1000,B407,MOVIMIENTOS!$E$4:$E$1000,C407,MOVIMIENTOS!$B$4:$B$1000,"A REPROCESO")-SUMIFS(MOVIMIENTOS!$F$4:$F$1000,MOVIMIENTOS!$C$4:$C$1000,A407,MOVIMIENTOS!$D$4:$D$1000,B407,MOVIMIENTOS!$E$4:$E$1000,C407,MOVIMIENTOS!$B$4:$B$1000,"MUESTRA")-SUMIFS(MOVIMIENTOS!$F$4:$F$1000,MOVIMIENTOS!$C$4:$C$1000,A407,MOVIMIENTOS!$D$4:$D$1000,B407,MOVIMIENTOS!$E$4:$E$1000,C407,MOVIMIENTOS!$B$4:$B$1000,"AJUSTE-"),0)</f>
        <v>0</v>
      </c>
      <c r="F407" s="101">
        <f>IFERROR(E407*VLOOKUP(B407,TELAS!$A$4:$C$32,3,FALSE()),0)</f>
        <v>0</v>
      </c>
      <c r="G407" s="102">
        <f>IFERROR(IF(D407="OSCURO",VLOOKUP(B407,PRECIOS!$A$4:$F$32,2,FALSE()),IF(D407="CLARO",VLOOKUP(B407,PRECIOS!$A$4:$F$32,3,FALSE()),IF(D407="MELANGE",VLOOKUP(B407,PRECIOS!$A$4:$F$32,4,FALSE()),IF(D407="PPT",VLOOKUP(B407,PRECIOS!$A$4:$F$32,5,FALSE()),0)))),0)</f>
        <v>26</v>
      </c>
      <c r="H407" s="103">
        <f t="shared" si="1"/>
        <v>0</v>
      </c>
      <c r="I407" s="104" t="str">
        <f>IF(E407&lt;0,"ERROR",IF(E407=0,"",IF(E407&lt;CONFIG!$B$4,"CRÍTICO",IF(E407&lt;CONFIG!$B$5,"BAJO","OK"))))</f>
        <v/>
      </c>
    </row>
    <row r="408" ht="15.75" customHeight="1">
      <c r="A408" s="90" t="str">
        <f>IF(CLIENTES!A6="","",CLIENTES!A6)</f>
        <v/>
      </c>
      <c r="B408" s="67" t="str">
        <f>TELAS!A10</f>
        <v>jersey full lycra 30/1</v>
      </c>
      <c r="C408" s="67" t="str">
        <f>COLORES!A8</f>
        <v>Beige</v>
      </c>
      <c r="D408" s="67" t="str">
        <f>COLORES!B8</f>
        <v>CLARO</v>
      </c>
      <c r="E408" s="100">
        <f>IFERROR(SUMIFS(MOVIMIENTOS!$F$4:$F$1000,MOVIMIENTOS!$C$4:$C$1000,A408,MOVIMIENTOS!$D$4:$D$1000,B408,MOVIMIENTOS!$E$4:$E$1000,C408,MOVIMIENTOS!$B$4:$B$1000,"INGRESO")+SUMIFS(MOVIMIENTOS!$F$4:$F$1000,MOVIMIENTOS!$C$4:$C$1000,A408,MOVIMIENTOS!$D$4:$D$1000,B408,MOVIMIENTOS!$E$4:$E$1000,C408,MOVIMIENTOS!$B$4:$B$1000,"DE REPROCESO")+SUMIFS(MOVIMIENTOS!$F$4:$F$1000,MOVIMIENTOS!$C$4:$C$1000,A408,MOVIMIENTOS!$D$4:$D$1000,B408,MOVIMIENTOS!$E$4:$E$1000,C408,MOVIMIENTOS!$B$4:$B$1000,"AJUSTE+")-SUMIFS(MOVIMIENTOS!$F$4:$F$1000,MOVIMIENTOS!$C$4:$C$1000,A408,MOVIMIENTOS!$D$4:$D$1000,B408,MOVIMIENTOS!$E$4:$E$1000,C408,MOVIMIENTOS!$B$4:$B$1000,"A CORTE")-SUMIFS(MOVIMIENTOS!$F$4:$F$1000,MOVIMIENTOS!$C$4:$C$1000,A408,MOVIMIENTOS!$D$4:$D$1000,B408,MOVIMIENTOS!$E$4:$E$1000,C408,MOVIMIENTOS!$B$4:$B$1000,"A REPROCESO")-SUMIFS(MOVIMIENTOS!$F$4:$F$1000,MOVIMIENTOS!$C$4:$C$1000,A408,MOVIMIENTOS!$D$4:$D$1000,B408,MOVIMIENTOS!$E$4:$E$1000,C408,MOVIMIENTOS!$B$4:$B$1000,"MUESTRA")-SUMIFS(MOVIMIENTOS!$F$4:$F$1000,MOVIMIENTOS!$C$4:$C$1000,A408,MOVIMIENTOS!$D$4:$D$1000,B408,MOVIMIENTOS!$E$4:$E$1000,C408,MOVIMIENTOS!$B$4:$B$1000,"AJUSTE-"),0)</f>
        <v>0</v>
      </c>
      <c r="F408" s="101">
        <f>IFERROR(E408*VLOOKUP(B408,TELAS!$A$4:$C$32,3,FALSE()),0)</f>
        <v>0</v>
      </c>
      <c r="G408" s="102">
        <f>IFERROR(IF(D408="OSCURO",VLOOKUP(B408,PRECIOS!$A$4:$F$32,2,FALSE()),IF(D408="CLARO",VLOOKUP(B408,PRECIOS!$A$4:$F$32,3,FALSE()),IF(D408="MELANGE",VLOOKUP(B408,PRECIOS!$A$4:$F$32,4,FALSE()),IF(D408="PPT",VLOOKUP(B408,PRECIOS!$A$4:$F$32,5,FALSE()),0)))),0)</f>
        <v>22.5</v>
      </c>
      <c r="H408" s="103">
        <f t="shared" si="1"/>
        <v>0</v>
      </c>
      <c r="I408" s="104" t="str">
        <f>IF(E408&lt;0,"ERROR",IF(E408=0,"",IF(E408&lt;CONFIG!$B$4,"CRÍTICO",IF(E408&lt;CONFIG!$B$5,"BAJO","OK"))))</f>
        <v/>
      </c>
    </row>
    <row r="409" ht="15.75" customHeight="1">
      <c r="A409" s="90" t="str">
        <f>IF(CLIENTES!A6="","",CLIENTES!A6)</f>
        <v/>
      </c>
      <c r="B409" s="67" t="str">
        <f>TELAS!A10</f>
        <v>jersey full lycra 30/1</v>
      </c>
      <c r="C409" s="67" t="str">
        <f>COLORES!A9</f>
        <v>Melange</v>
      </c>
      <c r="D409" s="67" t="str">
        <f>COLORES!B9</f>
        <v>MELANGE</v>
      </c>
      <c r="E409" s="100">
        <f>IFERROR(SUMIFS(MOVIMIENTOS!$F$4:$F$1000,MOVIMIENTOS!$C$4:$C$1000,A409,MOVIMIENTOS!$D$4:$D$1000,B409,MOVIMIENTOS!$E$4:$E$1000,C409,MOVIMIENTOS!$B$4:$B$1000,"INGRESO")+SUMIFS(MOVIMIENTOS!$F$4:$F$1000,MOVIMIENTOS!$C$4:$C$1000,A409,MOVIMIENTOS!$D$4:$D$1000,B409,MOVIMIENTOS!$E$4:$E$1000,C409,MOVIMIENTOS!$B$4:$B$1000,"DE REPROCESO")+SUMIFS(MOVIMIENTOS!$F$4:$F$1000,MOVIMIENTOS!$C$4:$C$1000,A409,MOVIMIENTOS!$D$4:$D$1000,B409,MOVIMIENTOS!$E$4:$E$1000,C409,MOVIMIENTOS!$B$4:$B$1000,"AJUSTE+")-SUMIFS(MOVIMIENTOS!$F$4:$F$1000,MOVIMIENTOS!$C$4:$C$1000,A409,MOVIMIENTOS!$D$4:$D$1000,B409,MOVIMIENTOS!$E$4:$E$1000,C409,MOVIMIENTOS!$B$4:$B$1000,"A CORTE")-SUMIFS(MOVIMIENTOS!$F$4:$F$1000,MOVIMIENTOS!$C$4:$C$1000,A409,MOVIMIENTOS!$D$4:$D$1000,B409,MOVIMIENTOS!$E$4:$E$1000,C409,MOVIMIENTOS!$B$4:$B$1000,"A REPROCESO")-SUMIFS(MOVIMIENTOS!$F$4:$F$1000,MOVIMIENTOS!$C$4:$C$1000,A409,MOVIMIENTOS!$D$4:$D$1000,B409,MOVIMIENTOS!$E$4:$E$1000,C409,MOVIMIENTOS!$B$4:$B$1000,"MUESTRA")-SUMIFS(MOVIMIENTOS!$F$4:$F$1000,MOVIMIENTOS!$C$4:$C$1000,A409,MOVIMIENTOS!$D$4:$D$1000,B409,MOVIMIENTOS!$E$4:$E$1000,C409,MOVIMIENTOS!$B$4:$B$1000,"AJUSTE-"),0)</f>
        <v>0</v>
      </c>
      <c r="F409" s="101">
        <f>IFERROR(E409*VLOOKUP(B409,TELAS!$A$4:$C$32,3,FALSE()),0)</f>
        <v>0</v>
      </c>
      <c r="G409" s="102">
        <f>IFERROR(IF(D409="OSCURO",VLOOKUP(B409,PRECIOS!$A$4:$F$32,2,FALSE()),IF(D409="CLARO",VLOOKUP(B409,PRECIOS!$A$4:$F$32,3,FALSE()),IF(D409="MELANGE",VLOOKUP(B409,PRECIOS!$A$4:$F$32,4,FALSE()),IF(D409="PPT",VLOOKUP(B409,PRECIOS!$A$4:$F$32,5,FALSE()),0)))),0)</f>
        <v>19</v>
      </c>
      <c r="H409" s="103">
        <f t="shared" si="1"/>
        <v>0</v>
      </c>
      <c r="I409" s="104" t="str">
        <f>IF(E409&lt;0,"ERROR",IF(E409=0,"",IF(E409&lt;CONFIG!$B$4,"CRÍTICO",IF(E409&lt;CONFIG!$B$5,"BAJO","OK"))))</f>
        <v/>
      </c>
    </row>
    <row r="410" ht="15.75" customHeight="1">
      <c r="A410" s="90" t="str">
        <f>IF(CLIENTES!A6="","",CLIENTES!A6)</f>
        <v/>
      </c>
      <c r="B410" s="67" t="str">
        <f>TELAS!A10</f>
        <v>jersey full lycra 30/1</v>
      </c>
      <c r="C410" s="67" t="str">
        <f>COLORES!A10</f>
        <v>Botella</v>
      </c>
      <c r="D410" s="67" t="str">
        <f>COLORES!B10</f>
        <v>OSCURO</v>
      </c>
      <c r="E410" s="100">
        <f>IFERROR(SUMIFS(MOVIMIENTOS!$F$4:$F$1000,MOVIMIENTOS!$C$4:$C$1000,A410,MOVIMIENTOS!$D$4:$D$1000,B410,MOVIMIENTOS!$E$4:$E$1000,C410,MOVIMIENTOS!$B$4:$B$1000,"INGRESO")+SUMIFS(MOVIMIENTOS!$F$4:$F$1000,MOVIMIENTOS!$C$4:$C$1000,A410,MOVIMIENTOS!$D$4:$D$1000,B410,MOVIMIENTOS!$E$4:$E$1000,C410,MOVIMIENTOS!$B$4:$B$1000,"DE REPROCESO")+SUMIFS(MOVIMIENTOS!$F$4:$F$1000,MOVIMIENTOS!$C$4:$C$1000,A410,MOVIMIENTOS!$D$4:$D$1000,B410,MOVIMIENTOS!$E$4:$E$1000,C410,MOVIMIENTOS!$B$4:$B$1000,"AJUSTE+")-SUMIFS(MOVIMIENTOS!$F$4:$F$1000,MOVIMIENTOS!$C$4:$C$1000,A410,MOVIMIENTOS!$D$4:$D$1000,B410,MOVIMIENTOS!$E$4:$E$1000,C410,MOVIMIENTOS!$B$4:$B$1000,"A CORTE")-SUMIFS(MOVIMIENTOS!$F$4:$F$1000,MOVIMIENTOS!$C$4:$C$1000,A410,MOVIMIENTOS!$D$4:$D$1000,B410,MOVIMIENTOS!$E$4:$E$1000,C410,MOVIMIENTOS!$B$4:$B$1000,"A REPROCESO")-SUMIFS(MOVIMIENTOS!$F$4:$F$1000,MOVIMIENTOS!$C$4:$C$1000,A410,MOVIMIENTOS!$D$4:$D$1000,B410,MOVIMIENTOS!$E$4:$E$1000,C410,MOVIMIENTOS!$B$4:$B$1000,"MUESTRA")-SUMIFS(MOVIMIENTOS!$F$4:$F$1000,MOVIMIENTOS!$C$4:$C$1000,A410,MOVIMIENTOS!$D$4:$D$1000,B410,MOVIMIENTOS!$E$4:$E$1000,C410,MOVIMIENTOS!$B$4:$B$1000,"AJUSTE-"),0)</f>
        <v>0</v>
      </c>
      <c r="F410" s="101">
        <f>IFERROR(E410*VLOOKUP(B410,TELAS!$A$4:$C$32,3,FALSE()),0)</f>
        <v>0</v>
      </c>
      <c r="G410" s="102">
        <f>IFERROR(IF(D410="OSCURO",VLOOKUP(B410,PRECIOS!$A$4:$F$32,2,FALSE()),IF(D410="CLARO",VLOOKUP(B410,PRECIOS!$A$4:$F$32,3,FALSE()),IF(D410="MELANGE",VLOOKUP(B410,PRECIOS!$A$4:$F$32,4,FALSE()),IF(D410="PPT",VLOOKUP(B410,PRECIOS!$A$4:$F$32,5,FALSE()),0)))),0)</f>
        <v>26</v>
      </c>
      <c r="H410" s="103">
        <f t="shared" si="1"/>
        <v>0</v>
      </c>
      <c r="I410" s="104" t="str">
        <f>IF(E410&lt;0,"ERROR",IF(E410=0,"",IF(E410&lt;CONFIG!$B$4,"CRÍTICO",IF(E410&lt;CONFIG!$B$5,"BAJO","OK"))))</f>
        <v/>
      </c>
    </row>
    <row r="411" ht="15.75" customHeight="1">
      <c r="A411" s="90" t="str">
        <f>IF(CLIENTES!A6="","",CLIENTES!A6)</f>
        <v/>
      </c>
      <c r="B411" s="67" t="str">
        <f>TELAS!A10</f>
        <v>jersey full lycra 30/1</v>
      </c>
      <c r="C411" s="67" t="str">
        <f>COLORES!A11</f>
        <v>Pacay</v>
      </c>
      <c r="D411" s="67" t="str">
        <f>COLORES!B11</f>
        <v>CLARO</v>
      </c>
      <c r="E411" s="100">
        <f>IFERROR(SUMIFS(MOVIMIENTOS!$F$4:$F$1000,MOVIMIENTOS!$C$4:$C$1000,A411,MOVIMIENTOS!$D$4:$D$1000,B411,MOVIMIENTOS!$E$4:$E$1000,C411,MOVIMIENTOS!$B$4:$B$1000,"INGRESO")+SUMIFS(MOVIMIENTOS!$F$4:$F$1000,MOVIMIENTOS!$C$4:$C$1000,A411,MOVIMIENTOS!$D$4:$D$1000,B411,MOVIMIENTOS!$E$4:$E$1000,C411,MOVIMIENTOS!$B$4:$B$1000,"DE REPROCESO")+SUMIFS(MOVIMIENTOS!$F$4:$F$1000,MOVIMIENTOS!$C$4:$C$1000,A411,MOVIMIENTOS!$D$4:$D$1000,B411,MOVIMIENTOS!$E$4:$E$1000,C411,MOVIMIENTOS!$B$4:$B$1000,"AJUSTE+")-SUMIFS(MOVIMIENTOS!$F$4:$F$1000,MOVIMIENTOS!$C$4:$C$1000,A411,MOVIMIENTOS!$D$4:$D$1000,B411,MOVIMIENTOS!$E$4:$E$1000,C411,MOVIMIENTOS!$B$4:$B$1000,"A CORTE")-SUMIFS(MOVIMIENTOS!$F$4:$F$1000,MOVIMIENTOS!$C$4:$C$1000,A411,MOVIMIENTOS!$D$4:$D$1000,B411,MOVIMIENTOS!$E$4:$E$1000,C411,MOVIMIENTOS!$B$4:$B$1000,"A REPROCESO")-SUMIFS(MOVIMIENTOS!$F$4:$F$1000,MOVIMIENTOS!$C$4:$C$1000,A411,MOVIMIENTOS!$D$4:$D$1000,B411,MOVIMIENTOS!$E$4:$E$1000,C411,MOVIMIENTOS!$B$4:$B$1000,"MUESTRA")-SUMIFS(MOVIMIENTOS!$F$4:$F$1000,MOVIMIENTOS!$C$4:$C$1000,A411,MOVIMIENTOS!$D$4:$D$1000,B411,MOVIMIENTOS!$E$4:$E$1000,C411,MOVIMIENTOS!$B$4:$B$1000,"AJUSTE-"),0)</f>
        <v>0</v>
      </c>
      <c r="F411" s="101">
        <f>IFERROR(E411*VLOOKUP(B411,TELAS!$A$4:$C$32,3,FALSE()),0)</f>
        <v>0</v>
      </c>
      <c r="G411" s="102">
        <f>IFERROR(IF(D411="OSCURO",VLOOKUP(B411,PRECIOS!$A$4:$F$32,2,FALSE()),IF(D411="CLARO",VLOOKUP(B411,PRECIOS!$A$4:$F$32,3,FALSE()),IF(D411="MELANGE",VLOOKUP(B411,PRECIOS!$A$4:$F$32,4,FALSE()),IF(D411="PPT",VLOOKUP(B411,PRECIOS!$A$4:$F$32,5,FALSE()),0)))),0)</f>
        <v>22.5</v>
      </c>
      <c r="H411" s="103">
        <f t="shared" si="1"/>
        <v>0</v>
      </c>
      <c r="I411" s="104" t="str">
        <f>IF(E411&lt;0,"ERROR",IF(E411=0,"",IF(E411&lt;CONFIG!$B$4,"CRÍTICO",IF(E411&lt;CONFIG!$B$5,"BAJO","OK"))))</f>
        <v/>
      </c>
    </row>
    <row r="412" ht="15.75" customHeight="1">
      <c r="A412" s="90" t="str">
        <f>IF(CLIENTES!A6="","",CLIENTES!A6)</f>
        <v/>
      </c>
      <c r="B412" s="67" t="str">
        <f>TELAS!A10</f>
        <v>jersey full lycra 30/1</v>
      </c>
      <c r="C412" s="67" t="str">
        <f>COLORES!A12</f>
        <v>Cemento</v>
      </c>
      <c r="D412" s="67" t="str">
        <f>COLORES!B12</f>
        <v>CLARO</v>
      </c>
      <c r="E412" s="100">
        <f>IFERROR(SUMIFS(MOVIMIENTOS!$F$4:$F$1000,MOVIMIENTOS!$C$4:$C$1000,A412,MOVIMIENTOS!$D$4:$D$1000,B412,MOVIMIENTOS!$E$4:$E$1000,C412,MOVIMIENTOS!$B$4:$B$1000,"INGRESO")+SUMIFS(MOVIMIENTOS!$F$4:$F$1000,MOVIMIENTOS!$C$4:$C$1000,A412,MOVIMIENTOS!$D$4:$D$1000,B412,MOVIMIENTOS!$E$4:$E$1000,C412,MOVIMIENTOS!$B$4:$B$1000,"DE REPROCESO")+SUMIFS(MOVIMIENTOS!$F$4:$F$1000,MOVIMIENTOS!$C$4:$C$1000,A412,MOVIMIENTOS!$D$4:$D$1000,B412,MOVIMIENTOS!$E$4:$E$1000,C412,MOVIMIENTOS!$B$4:$B$1000,"AJUSTE+")-SUMIFS(MOVIMIENTOS!$F$4:$F$1000,MOVIMIENTOS!$C$4:$C$1000,A412,MOVIMIENTOS!$D$4:$D$1000,B412,MOVIMIENTOS!$E$4:$E$1000,C412,MOVIMIENTOS!$B$4:$B$1000,"A CORTE")-SUMIFS(MOVIMIENTOS!$F$4:$F$1000,MOVIMIENTOS!$C$4:$C$1000,A412,MOVIMIENTOS!$D$4:$D$1000,B412,MOVIMIENTOS!$E$4:$E$1000,C412,MOVIMIENTOS!$B$4:$B$1000,"A REPROCESO")-SUMIFS(MOVIMIENTOS!$F$4:$F$1000,MOVIMIENTOS!$C$4:$C$1000,A412,MOVIMIENTOS!$D$4:$D$1000,B412,MOVIMIENTOS!$E$4:$E$1000,C412,MOVIMIENTOS!$B$4:$B$1000,"MUESTRA")-SUMIFS(MOVIMIENTOS!$F$4:$F$1000,MOVIMIENTOS!$C$4:$C$1000,A412,MOVIMIENTOS!$D$4:$D$1000,B412,MOVIMIENTOS!$E$4:$E$1000,C412,MOVIMIENTOS!$B$4:$B$1000,"AJUSTE-"),0)</f>
        <v>0</v>
      </c>
      <c r="F412" s="101">
        <f>IFERROR(E412*VLOOKUP(B412,TELAS!$A$4:$C$32,3,FALSE()),0)</f>
        <v>0</v>
      </c>
      <c r="G412" s="102">
        <f>IFERROR(IF(D412="OSCURO",VLOOKUP(B412,PRECIOS!$A$4:$F$32,2,FALSE()),IF(D412="CLARO",VLOOKUP(B412,PRECIOS!$A$4:$F$32,3,FALSE()),IF(D412="MELANGE",VLOOKUP(B412,PRECIOS!$A$4:$F$32,4,FALSE()),IF(D412="PPT",VLOOKUP(B412,PRECIOS!$A$4:$F$32,5,FALSE()),0)))),0)</f>
        <v>22.5</v>
      </c>
      <c r="H412" s="103">
        <f t="shared" si="1"/>
        <v>0</v>
      </c>
      <c r="I412" s="104" t="str">
        <f>IF(E412&lt;0,"ERROR",IF(E412=0,"",IF(E412&lt;CONFIG!$B$4,"CRÍTICO",IF(E412&lt;CONFIG!$B$5,"BAJO","OK"))))</f>
        <v/>
      </c>
    </row>
    <row r="413" ht="15.75" customHeight="1">
      <c r="A413" s="90" t="str">
        <f>IF(CLIENTES!A6="","",CLIENTES!A6)</f>
        <v/>
      </c>
      <c r="B413" s="67" t="str">
        <f>TELAS!A10</f>
        <v>jersey full lycra 30/1</v>
      </c>
      <c r="C413" s="67" t="str">
        <f>COLORES!A13</f>
        <v>Camote</v>
      </c>
      <c r="D413" s="67" t="str">
        <f>COLORES!B13</f>
        <v>CLARO</v>
      </c>
      <c r="E413" s="100">
        <f>IFERROR(SUMIFS(MOVIMIENTOS!$F$4:$F$1000,MOVIMIENTOS!$C$4:$C$1000,A413,MOVIMIENTOS!$D$4:$D$1000,B413,MOVIMIENTOS!$E$4:$E$1000,C413,MOVIMIENTOS!$B$4:$B$1000,"INGRESO")+SUMIFS(MOVIMIENTOS!$F$4:$F$1000,MOVIMIENTOS!$C$4:$C$1000,A413,MOVIMIENTOS!$D$4:$D$1000,B413,MOVIMIENTOS!$E$4:$E$1000,C413,MOVIMIENTOS!$B$4:$B$1000,"DE REPROCESO")+SUMIFS(MOVIMIENTOS!$F$4:$F$1000,MOVIMIENTOS!$C$4:$C$1000,A413,MOVIMIENTOS!$D$4:$D$1000,B413,MOVIMIENTOS!$E$4:$E$1000,C413,MOVIMIENTOS!$B$4:$B$1000,"AJUSTE+")-SUMIFS(MOVIMIENTOS!$F$4:$F$1000,MOVIMIENTOS!$C$4:$C$1000,A413,MOVIMIENTOS!$D$4:$D$1000,B413,MOVIMIENTOS!$E$4:$E$1000,C413,MOVIMIENTOS!$B$4:$B$1000,"A CORTE")-SUMIFS(MOVIMIENTOS!$F$4:$F$1000,MOVIMIENTOS!$C$4:$C$1000,A413,MOVIMIENTOS!$D$4:$D$1000,B413,MOVIMIENTOS!$E$4:$E$1000,C413,MOVIMIENTOS!$B$4:$B$1000,"A REPROCESO")-SUMIFS(MOVIMIENTOS!$F$4:$F$1000,MOVIMIENTOS!$C$4:$C$1000,A413,MOVIMIENTOS!$D$4:$D$1000,B413,MOVIMIENTOS!$E$4:$E$1000,C413,MOVIMIENTOS!$B$4:$B$1000,"MUESTRA")-SUMIFS(MOVIMIENTOS!$F$4:$F$1000,MOVIMIENTOS!$C$4:$C$1000,A413,MOVIMIENTOS!$D$4:$D$1000,B413,MOVIMIENTOS!$E$4:$E$1000,C413,MOVIMIENTOS!$B$4:$B$1000,"AJUSTE-"),0)</f>
        <v>0</v>
      </c>
      <c r="F413" s="101">
        <f>IFERROR(E413*VLOOKUP(B413,TELAS!$A$4:$C$32,3,FALSE()),0)</f>
        <v>0</v>
      </c>
      <c r="G413" s="102">
        <f>IFERROR(IF(D413="OSCURO",VLOOKUP(B413,PRECIOS!$A$4:$F$32,2,FALSE()),IF(D413="CLARO",VLOOKUP(B413,PRECIOS!$A$4:$F$32,3,FALSE()),IF(D413="MELANGE",VLOOKUP(B413,PRECIOS!$A$4:$F$32,4,FALSE()),IF(D413="PPT",VLOOKUP(B413,PRECIOS!$A$4:$F$32,5,FALSE()),0)))),0)</f>
        <v>22.5</v>
      </c>
      <c r="H413" s="103">
        <f t="shared" si="1"/>
        <v>0</v>
      </c>
      <c r="I413" s="104" t="str">
        <f>IF(E413&lt;0,"ERROR",IF(E413=0,"",IF(E413&lt;CONFIG!$B$4,"CRÍTICO",IF(E413&lt;CONFIG!$B$5,"BAJO","OK"))))</f>
        <v/>
      </c>
    </row>
    <row r="414" ht="15.75" customHeight="1">
      <c r="A414" s="90" t="str">
        <f>IF(CLIENTES!A6="","",CLIENTES!A6)</f>
        <v/>
      </c>
      <c r="B414" s="67" t="str">
        <f>TELAS!A10</f>
        <v>jersey full lycra 30/1</v>
      </c>
      <c r="C414" s="67" t="str">
        <f>COLORES!A14</f>
        <v>Denim</v>
      </c>
      <c r="D414" s="67" t="str">
        <f>COLORES!B14</f>
        <v>CLARO</v>
      </c>
      <c r="E414" s="100">
        <f>IFERROR(SUMIFS(MOVIMIENTOS!$F$4:$F$1000,MOVIMIENTOS!$C$4:$C$1000,A414,MOVIMIENTOS!$D$4:$D$1000,B414,MOVIMIENTOS!$E$4:$E$1000,C414,MOVIMIENTOS!$B$4:$B$1000,"INGRESO")+SUMIFS(MOVIMIENTOS!$F$4:$F$1000,MOVIMIENTOS!$C$4:$C$1000,A414,MOVIMIENTOS!$D$4:$D$1000,B414,MOVIMIENTOS!$E$4:$E$1000,C414,MOVIMIENTOS!$B$4:$B$1000,"DE REPROCESO")+SUMIFS(MOVIMIENTOS!$F$4:$F$1000,MOVIMIENTOS!$C$4:$C$1000,A414,MOVIMIENTOS!$D$4:$D$1000,B414,MOVIMIENTOS!$E$4:$E$1000,C414,MOVIMIENTOS!$B$4:$B$1000,"AJUSTE+")-SUMIFS(MOVIMIENTOS!$F$4:$F$1000,MOVIMIENTOS!$C$4:$C$1000,A414,MOVIMIENTOS!$D$4:$D$1000,B414,MOVIMIENTOS!$E$4:$E$1000,C414,MOVIMIENTOS!$B$4:$B$1000,"A CORTE")-SUMIFS(MOVIMIENTOS!$F$4:$F$1000,MOVIMIENTOS!$C$4:$C$1000,A414,MOVIMIENTOS!$D$4:$D$1000,B414,MOVIMIENTOS!$E$4:$E$1000,C414,MOVIMIENTOS!$B$4:$B$1000,"A REPROCESO")-SUMIFS(MOVIMIENTOS!$F$4:$F$1000,MOVIMIENTOS!$C$4:$C$1000,A414,MOVIMIENTOS!$D$4:$D$1000,B414,MOVIMIENTOS!$E$4:$E$1000,C414,MOVIMIENTOS!$B$4:$B$1000,"MUESTRA")-SUMIFS(MOVIMIENTOS!$F$4:$F$1000,MOVIMIENTOS!$C$4:$C$1000,A414,MOVIMIENTOS!$D$4:$D$1000,B414,MOVIMIENTOS!$E$4:$E$1000,C414,MOVIMIENTOS!$B$4:$B$1000,"AJUSTE-"),0)</f>
        <v>0</v>
      </c>
      <c r="F414" s="101">
        <f>IFERROR(E414*VLOOKUP(B414,TELAS!$A$4:$C$32,3,FALSE()),0)</f>
        <v>0</v>
      </c>
      <c r="G414" s="102">
        <f>IFERROR(IF(D414="OSCURO",VLOOKUP(B414,PRECIOS!$A$4:$F$32,2,FALSE()),IF(D414="CLARO",VLOOKUP(B414,PRECIOS!$A$4:$F$32,3,FALSE()),IF(D414="MELANGE",VLOOKUP(B414,PRECIOS!$A$4:$F$32,4,FALSE()),IF(D414="PPT",VLOOKUP(B414,PRECIOS!$A$4:$F$32,5,FALSE()),0)))),0)</f>
        <v>22.5</v>
      </c>
      <c r="H414" s="103">
        <f t="shared" si="1"/>
        <v>0</v>
      </c>
      <c r="I414" s="104" t="str">
        <f>IF(E414&lt;0,"ERROR",IF(E414=0,"",IF(E414&lt;CONFIG!$B$4,"CRÍTICO",IF(E414&lt;CONFIG!$B$5,"BAJO","OK"))))</f>
        <v/>
      </c>
    </row>
    <row r="415" ht="15.75" customHeight="1">
      <c r="A415" s="90" t="str">
        <f>IF(CLIENTES!A6="","",CLIENTES!A6)</f>
        <v/>
      </c>
      <c r="B415" s="67" t="str">
        <f>TELAS!A10</f>
        <v>jersey full lycra 30/1</v>
      </c>
      <c r="C415" s="67" t="str">
        <f>COLORES!A15</f>
        <v>Plomo</v>
      </c>
      <c r="D415" s="67" t="str">
        <f>COLORES!B15</f>
        <v>OSCURO</v>
      </c>
      <c r="E415" s="100">
        <f>IFERROR(SUMIFS(MOVIMIENTOS!$F$4:$F$1000,MOVIMIENTOS!$C$4:$C$1000,A415,MOVIMIENTOS!$D$4:$D$1000,B415,MOVIMIENTOS!$E$4:$E$1000,C415,MOVIMIENTOS!$B$4:$B$1000,"INGRESO")+SUMIFS(MOVIMIENTOS!$F$4:$F$1000,MOVIMIENTOS!$C$4:$C$1000,A415,MOVIMIENTOS!$D$4:$D$1000,B415,MOVIMIENTOS!$E$4:$E$1000,C415,MOVIMIENTOS!$B$4:$B$1000,"DE REPROCESO")+SUMIFS(MOVIMIENTOS!$F$4:$F$1000,MOVIMIENTOS!$C$4:$C$1000,A415,MOVIMIENTOS!$D$4:$D$1000,B415,MOVIMIENTOS!$E$4:$E$1000,C415,MOVIMIENTOS!$B$4:$B$1000,"AJUSTE+")-SUMIFS(MOVIMIENTOS!$F$4:$F$1000,MOVIMIENTOS!$C$4:$C$1000,A415,MOVIMIENTOS!$D$4:$D$1000,B415,MOVIMIENTOS!$E$4:$E$1000,C415,MOVIMIENTOS!$B$4:$B$1000,"A CORTE")-SUMIFS(MOVIMIENTOS!$F$4:$F$1000,MOVIMIENTOS!$C$4:$C$1000,A415,MOVIMIENTOS!$D$4:$D$1000,B415,MOVIMIENTOS!$E$4:$E$1000,C415,MOVIMIENTOS!$B$4:$B$1000,"A REPROCESO")-SUMIFS(MOVIMIENTOS!$F$4:$F$1000,MOVIMIENTOS!$C$4:$C$1000,A415,MOVIMIENTOS!$D$4:$D$1000,B415,MOVIMIENTOS!$E$4:$E$1000,C415,MOVIMIENTOS!$B$4:$B$1000,"MUESTRA")-SUMIFS(MOVIMIENTOS!$F$4:$F$1000,MOVIMIENTOS!$C$4:$C$1000,A415,MOVIMIENTOS!$D$4:$D$1000,B415,MOVIMIENTOS!$E$4:$E$1000,C415,MOVIMIENTOS!$B$4:$B$1000,"AJUSTE-"),0)</f>
        <v>0</v>
      </c>
      <c r="F415" s="101">
        <f>IFERROR(E415*VLOOKUP(B415,TELAS!$A$4:$C$32,3,FALSE()),0)</f>
        <v>0</v>
      </c>
      <c r="G415" s="102">
        <f>IFERROR(IF(D415="OSCURO",VLOOKUP(B415,PRECIOS!$A$4:$F$32,2,FALSE()),IF(D415="CLARO",VLOOKUP(B415,PRECIOS!$A$4:$F$32,3,FALSE()),IF(D415="MELANGE",VLOOKUP(B415,PRECIOS!$A$4:$F$32,4,FALSE()),IF(D415="PPT",VLOOKUP(B415,PRECIOS!$A$4:$F$32,5,FALSE()),0)))),0)</f>
        <v>26</v>
      </c>
      <c r="H415" s="103">
        <f t="shared" si="1"/>
        <v>0</v>
      </c>
      <c r="I415" s="104" t="str">
        <f>IF(E415&lt;0,"ERROR",IF(E415=0,"",IF(E415&lt;CONFIG!$B$4,"CRÍTICO",IF(E415&lt;CONFIG!$B$5,"BAJO","OK"))))</f>
        <v/>
      </c>
    </row>
    <row r="416" ht="15.75" customHeight="1">
      <c r="A416" s="90" t="str">
        <f>IF(CLIENTES!A6="","",CLIENTES!A6)</f>
        <v/>
      </c>
      <c r="B416" s="67" t="str">
        <f>TELAS!A10</f>
        <v>jersey full lycra 30/1</v>
      </c>
      <c r="C416" s="67" t="str">
        <f>COLORES!A16</f>
        <v>Topo</v>
      </c>
      <c r="D416" s="67" t="str">
        <f>COLORES!B16</f>
        <v>CLARO</v>
      </c>
      <c r="E416" s="100">
        <f>IFERROR(SUMIFS(MOVIMIENTOS!$F$4:$F$1000,MOVIMIENTOS!$C$4:$C$1000,A416,MOVIMIENTOS!$D$4:$D$1000,B416,MOVIMIENTOS!$E$4:$E$1000,C416,MOVIMIENTOS!$B$4:$B$1000,"INGRESO")+SUMIFS(MOVIMIENTOS!$F$4:$F$1000,MOVIMIENTOS!$C$4:$C$1000,A416,MOVIMIENTOS!$D$4:$D$1000,B416,MOVIMIENTOS!$E$4:$E$1000,C416,MOVIMIENTOS!$B$4:$B$1000,"DE REPROCESO")+SUMIFS(MOVIMIENTOS!$F$4:$F$1000,MOVIMIENTOS!$C$4:$C$1000,A416,MOVIMIENTOS!$D$4:$D$1000,B416,MOVIMIENTOS!$E$4:$E$1000,C416,MOVIMIENTOS!$B$4:$B$1000,"AJUSTE+")-SUMIFS(MOVIMIENTOS!$F$4:$F$1000,MOVIMIENTOS!$C$4:$C$1000,A416,MOVIMIENTOS!$D$4:$D$1000,B416,MOVIMIENTOS!$E$4:$E$1000,C416,MOVIMIENTOS!$B$4:$B$1000,"A CORTE")-SUMIFS(MOVIMIENTOS!$F$4:$F$1000,MOVIMIENTOS!$C$4:$C$1000,A416,MOVIMIENTOS!$D$4:$D$1000,B416,MOVIMIENTOS!$E$4:$E$1000,C416,MOVIMIENTOS!$B$4:$B$1000,"A REPROCESO")-SUMIFS(MOVIMIENTOS!$F$4:$F$1000,MOVIMIENTOS!$C$4:$C$1000,A416,MOVIMIENTOS!$D$4:$D$1000,B416,MOVIMIENTOS!$E$4:$E$1000,C416,MOVIMIENTOS!$B$4:$B$1000,"MUESTRA")-SUMIFS(MOVIMIENTOS!$F$4:$F$1000,MOVIMIENTOS!$C$4:$C$1000,A416,MOVIMIENTOS!$D$4:$D$1000,B416,MOVIMIENTOS!$E$4:$E$1000,C416,MOVIMIENTOS!$B$4:$B$1000,"AJUSTE-"),0)</f>
        <v>0</v>
      </c>
      <c r="F416" s="101">
        <f>IFERROR(E416*VLOOKUP(B416,TELAS!$A$4:$C$32,3,FALSE()),0)</f>
        <v>0</v>
      </c>
      <c r="G416" s="102">
        <f>IFERROR(IF(D416="OSCURO",VLOOKUP(B416,PRECIOS!$A$4:$F$32,2,FALSE()),IF(D416="CLARO",VLOOKUP(B416,PRECIOS!$A$4:$F$32,3,FALSE()),IF(D416="MELANGE",VLOOKUP(B416,PRECIOS!$A$4:$F$32,4,FALSE()),IF(D416="PPT",VLOOKUP(B416,PRECIOS!$A$4:$F$32,5,FALSE()),0)))),0)</f>
        <v>22.5</v>
      </c>
      <c r="H416" s="103">
        <f t="shared" si="1"/>
        <v>0</v>
      </c>
      <c r="I416" s="104" t="str">
        <f>IF(E416&lt;0,"ERROR",IF(E416=0,"",IF(E416&lt;CONFIG!$B$4,"CRÍTICO",IF(E416&lt;CONFIG!$B$5,"BAJO","OK"))))</f>
        <v/>
      </c>
    </row>
    <row r="417" ht="15.75" customHeight="1">
      <c r="A417" s="90" t="str">
        <f>IF(CLIENTES!A6="","",CLIENTES!A6)</f>
        <v/>
      </c>
      <c r="B417" s="67" t="str">
        <f>TELAS!A10</f>
        <v>jersey full lycra 30/1</v>
      </c>
      <c r="C417" s="67" t="str">
        <f>COLORES!A17</f>
        <v>Vino</v>
      </c>
      <c r="D417" s="67" t="str">
        <f>COLORES!B17</f>
        <v>OSCURO</v>
      </c>
      <c r="E417" s="100">
        <f>IFERROR(SUMIFS(MOVIMIENTOS!$F$4:$F$1000,MOVIMIENTOS!$C$4:$C$1000,A417,MOVIMIENTOS!$D$4:$D$1000,B417,MOVIMIENTOS!$E$4:$E$1000,C417,MOVIMIENTOS!$B$4:$B$1000,"INGRESO")+SUMIFS(MOVIMIENTOS!$F$4:$F$1000,MOVIMIENTOS!$C$4:$C$1000,A417,MOVIMIENTOS!$D$4:$D$1000,B417,MOVIMIENTOS!$E$4:$E$1000,C417,MOVIMIENTOS!$B$4:$B$1000,"DE REPROCESO")+SUMIFS(MOVIMIENTOS!$F$4:$F$1000,MOVIMIENTOS!$C$4:$C$1000,A417,MOVIMIENTOS!$D$4:$D$1000,B417,MOVIMIENTOS!$E$4:$E$1000,C417,MOVIMIENTOS!$B$4:$B$1000,"AJUSTE+")-SUMIFS(MOVIMIENTOS!$F$4:$F$1000,MOVIMIENTOS!$C$4:$C$1000,A417,MOVIMIENTOS!$D$4:$D$1000,B417,MOVIMIENTOS!$E$4:$E$1000,C417,MOVIMIENTOS!$B$4:$B$1000,"A CORTE")-SUMIFS(MOVIMIENTOS!$F$4:$F$1000,MOVIMIENTOS!$C$4:$C$1000,A417,MOVIMIENTOS!$D$4:$D$1000,B417,MOVIMIENTOS!$E$4:$E$1000,C417,MOVIMIENTOS!$B$4:$B$1000,"A REPROCESO")-SUMIFS(MOVIMIENTOS!$F$4:$F$1000,MOVIMIENTOS!$C$4:$C$1000,A417,MOVIMIENTOS!$D$4:$D$1000,B417,MOVIMIENTOS!$E$4:$E$1000,C417,MOVIMIENTOS!$B$4:$B$1000,"MUESTRA")-SUMIFS(MOVIMIENTOS!$F$4:$F$1000,MOVIMIENTOS!$C$4:$C$1000,A417,MOVIMIENTOS!$D$4:$D$1000,B417,MOVIMIENTOS!$E$4:$E$1000,C417,MOVIMIENTOS!$B$4:$B$1000,"AJUSTE-"),0)</f>
        <v>0</v>
      </c>
      <c r="F417" s="101">
        <f>IFERROR(E417*VLOOKUP(B417,TELAS!$A$4:$C$32,3,FALSE()),0)</f>
        <v>0</v>
      </c>
      <c r="G417" s="102">
        <f>IFERROR(IF(D417="OSCURO",VLOOKUP(B417,PRECIOS!$A$4:$F$32,2,FALSE()),IF(D417="CLARO",VLOOKUP(B417,PRECIOS!$A$4:$F$32,3,FALSE()),IF(D417="MELANGE",VLOOKUP(B417,PRECIOS!$A$4:$F$32,4,FALSE()),IF(D417="PPT",VLOOKUP(B417,PRECIOS!$A$4:$F$32,5,FALSE()),0)))),0)</f>
        <v>26</v>
      </c>
      <c r="H417" s="103">
        <f t="shared" si="1"/>
        <v>0</v>
      </c>
      <c r="I417" s="104" t="str">
        <f>IF(E417&lt;0,"ERROR",IF(E417=0,"",IF(E417&lt;CONFIG!$B$4,"CRÍTICO",IF(E417&lt;CONFIG!$B$5,"BAJO","OK"))))</f>
        <v/>
      </c>
    </row>
    <row r="418" ht="15.75" customHeight="1">
      <c r="A418" s="90" t="str">
        <f>IF(CLIENTES!A6="","",CLIENTES!A6)</f>
        <v/>
      </c>
      <c r="B418" s="67" t="str">
        <f>TELAS!A10</f>
        <v>jersey full lycra 30/1</v>
      </c>
      <c r="C418" s="67" t="str">
        <f>COLORES!A18</f>
        <v>P. Rosa</v>
      </c>
      <c r="D418" s="67" t="str">
        <f>COLORES!B18</f>
        <v>CLARO</v>
      </c>
      <c r="E418" s="100">
        <f>IFERROR(SUMIFS(MOVIMIENTOS!$F$4:$F$1000,MOVIMIENTOS!$C$4:$C$1000,A418,MOVIMIENTOS!$D$4:$D$1000,B418,MOVIMIENTOS!$E$4:$E$1000,C418,MOVIMIENTOS!$B$4:$B$1000,"INGRESO")+SUMIFS(MOVIMIENTOS!$F$4:$F$1000,MOVIMIENTOS!$C$4:$C$1000,A418,MOVIMIENTOS!$D$4:$D$1000,B418,MOVIMIENTOS!$E$4:$E$1000,C418,MOVIMIENTOS!$B$4:$B$1000,"DE REPROCESO")+SUMIFS(MOVIMIENTOS!$F$4:$F$1000,MOVIMIENTOS!$C$4:$C$1000,A418,MOVIMIENTOS!$D$4:$D$1000,B418,MOVIMIENTOS!$E$4:$E$1000,C418,MOVIMIENTOS!$B$4:$B$1000,"AJUSTE+")-SUMIFS(MOVIMIENTOS!$F$4:$F$1000,MOVIMIENTOS!$C$4:$C$1000,A418,MOVIMIENTOS!$D$4:$D$1000,B418,MOVIMIENTOS!$E$4:$E$1000,C418,MOVIMIENTOS!$B$4:$B$1000,"A CORTE")-SUMIFS(MOVIMIENTOS!$F$4:$F$1000,MOVIMIENTOS!$C$4:$C$1000,A418,MOVIMIENTOS!$D$4:$D$1000,B418,MOVIMIENTOS!$E$4:$E$1000,C418,MOVIMIENTOS!$B$4:$B$1000,"A REPROCESO")-SUMIFS(MOVIMIENTOS!$F$4:$F$1000,MOVIMIENTOS!$C$4:$C$1000,A418,MOVIMIENTOS!$D$4:$D$1000,B418,MOVIMIENTOS!$E$4:$E$1000,C418,MOVIMIENTOS!$B$4:$B$1000,"MUESTRA")-SUMIFS(MOVIMIENTOS!$F$4:$F$1000,MOVIMIENTOS!$C$4:$C$1000,A418,MOVIMIENTOS!$D$4:$D$1000,B418,MOVIMIENTOS!$E$4:$E$1000,C418,MOVIMIENTOS!$B$4:$B$1000,"AJUSTE-"),0)</f>
        <v>0</v>
      </c>
      <c r="F418" s="101">
        <f>IFERROR(E418*VLOOKUP(B418,TELAS!$A$4:$C$32,3,FALSE()),0)</f>
        <v>0</v>
      </c>
      <c r="G418" s="102">
        <f>IFERROR(IF(D418="OSCURO",VLOOKUP(B418,PRECIOS!$A$4:$F$32,2,FALSE()),IF(D418="CLARO",VLOOKUP(B418,PRECIOS!$A$4:$F$32,3,FALSE()),IF(D418="MELANGE",VLOOKUP(B418,PRECIOS!$A$4:$F$32,4,FALSE()),IF(D418="PPT",VLOOKUP(B418,PRECIOS!$A$4:$F$32,5,FALSE()),0)))),0)</f>
        <v>22.5</v>
      </c>
      <c r="H418" s="103">
        <f t="shared" si="1"/>
        <v>0</v>
      </c>
      <c r="I418" s="104" t="str">
        <f>IF(E418&lt;0,"ERROR",IF(E418=0,"",IF(E418&lt;CONFIG!$B$4,"CRÍTICO",IF(E418&lt;CONFIG!$B$5,"BAJO","OK"))))</f>
        <v/>
      </c>
    </row>
    <row r="419" ht="15.75" customHeight="1">
      <c r="A419" s="90" t="str">
        <f>IF(CLIENTES!A6="","",CLIENTES!A6)</f>
        <v/>
      </c>
      <c r="B419" s="67" t="str">
        <f>TELAS!A10</f>
        <v>jersey full lycra 30/1</v>
      </c>
      <c r="C419" s="67" t="str">
        <f>COLORES!A19</f>
        <v/>
      </c>
      <c r="D419" s="67" t="str">
        <f>COLORES!B19</f>
        <v/>
      </c>
      <c r="E419" s="100">
        <f>IFERROR(SUMIFS(MOVIMIENTOS!$F$4:$F$1000,MOVIMIENTOS!$C$4:$C$1000,A419,MOVIMIENTOS!$D$4:$D$1000,B419,MOVIMIENTOS!$E$4:$E$1000,C419,MOVIMIENTOS!$B$4:$B$1000,"INGRESO")+SUMIFS(MOVIMIENTOS!$F$4:$F$1000,MOVIMIENTOS!$C$4:$C$1000,A419,MOVIMIENTOS!$D$4:$D$1000,B419,MOVIMIENTOS!$E$4:$E$1000,C419,MOVIMIENTOS!$B$4:$B$1000,"DE REPROCESO")+SUMIFS(MOVIMIENTOS!$F$4:$F$1000,MOVIMIENTOS!$C$4:$C$1000,A419,MOVIMIENTOS!$D$4:$D$1000,B419,MOVIMIENTOS!$E$4:$E$1000,C419,MOVIMIENTOS!$B$4:$B$1000,"AJUSTE+")-SUMIFS(MOVIMIENTOS!$F$4:$F$1000,MOVIMIENTOS!$C$4:$C$1000,A419,MOVIMIENTOS!$D$4:$D$1000,B419,MOVIMIENTOS!$E$4:$E$1000,C419,MOVIMIENTOS!$B$4:$B$1000,"A CORTE")-SUMIFS(MOVIMIENTOS!$F$4:$F$1000,MOVIMIENTOS!$C$4:$C$1000,A419,MOVIMIENTOS!$D$4:$D$1000,B419,MOVIMIENTOS!$E$4:$E$1000,C419,MOVIMIENTOS!$B$4:$B$1000,"A REPROCESO")-SUMIFS(MOVIMIENTOS!$F$4:$F$1000,MOVIMIENTOS!$C$4:$C$1000,A419,MOVIMIENTOS!$D$4:$D$1000,B419,MOVIMIENTOS!$E$4:$E$1000,C419,MOVIMIENTOS!$B$4:$B$1000,"MUESTRA")-SUMIFS(MOVIMIENTOS!$F$4:$F$1000,MOVIMIENTOS!$C$4:$C$1000,A419,MOVIMIENTOS!$D$4:$D$1000,B419,MOVIMIENTOS!$E$4:$E$1000,C419,MOVIMIENTOS!$B$4:$B$1000,"AJUSTE-"),0)</f>
        <v>0</v>
      </c>
      <c r="F419" s="101">
        <f>IFERROR(E419*VLOOKUP(B419,TELAS!$A$4:$C$32,3,FALSE()),0)</f>
        <v>0</v>
      </c>
      <c r="G419" s="102">
        <f>IFERROR(IF(D419="OSCURO",VLOOKUP(B419,PRECIOS!$A$4:$F$32,2,FALSE()),IF(D419="CLARO",VLOOKUP(B419,PRECIOS!$A$4:$F$32,3,FALSE()),IF(D419="MELANGE",VLOOKUP(B419,PRECIOS!$A$4:$F$32,4,FALSE()),IF(D419="PPT",VLOOKUP(B419,PRECIOS!$A$4:$F$32,5,FALSE()),0)))),0)</f>
        <v>0</v>
      </c>
      <c r="H419" s="103">
        <f t="shared" si="1"/>
        <v>0</v>
      </c>
      <c r="I419" s="104" t="str">
        <f>IF(E419&lt;0,"ERROR",IF(E419=0,"",IF(E419&lt;CONFIG!$B$4,"CRÍTICO",IF(E419&lt;CONFIG!$B$5,"BAJO","OK"))))</f>
        <v/>
      </c>
    </row>
    <row r="420" ht="15.75" customHeight="1">
      <c r="A420" s="90" t="str">
        <f>IF(CLIENTES!A6="","",CLIENTES!A6)</f>
        <v/>
      </c>
      <c r="B420" s="67" t="str">
        <f>TELAS!A10</f>
        <v>jersey full lycra 30/1</v>
      </c>
      <c r="C420" s="67" t="str">
        <f>COLORES!A20</f>
        <v/>
      </c>
      <c r="D420" s="67" t="str">
        <f>COLORES!B20</f>
        <v/>
      </c>
      <c r="E420" s="100">
        <f>IFERROR(SUMIFS(MOVIMIENTOS!$F$4:$F$1000,MOVIMIENTOS!$C$4:$C$1000,A420,MOVIMIENTOS!$D$4:$D$1000,B420,MOVIMIENTOS!$E$4:$E$1000,C420,MOVIMIENTOS!$B$4:$B$1000,"INGRESO")+SUMIFS(MOVIMIENTOS!$F$4:$F$1000,MOVIMIENTOS!$C$4:$C$1000,A420,MOVIMIENTOS!$D$4:$D$1000,B420,MOVIMIENTOS!$E$4:$E$1000,C420,MOVIMIENTOS!$B$4:$B$1000,"DE REPROCESO")+SUMIFS(MOVIMIENTOS!$F$4:$F$1000,MOVIMIENTOS!$C$4:$C$1000,A420,MOVIMIENTOS!$D$4:$D$1000,B420,MOVIMIENTOS!$E$4:$E$1000,C420,MOVIMIENTOS!$B$4:$B$1000,"AJUSTE+")-SUMIFS(MOVIMIENTOS!$F$4:$F$1000,MOVIMIENTOS!$C$4:$C$1000,A420,MOVIMIENTOS!$D$4:$D$1000,B420,MOVIMIENTOS!$E$4:$E$1000,C420,MOVIMIENTOS!$B$4:$B$1000,"A CORTE")-SUMIFS(MOVIMIENTOS!$F$4:$F$1000,MOVIMIENTOS!$C$4:$C$1000,A420,MOVIMIENTOS!$D$4:$D$1000,B420,MOVIMIENTOS!$E$4:$E$1000,C420,MOVIMIENTOS!$B$4:$B$1000,"A REPROCESO")-SUMIFS(MOVIMIENTOS!$F$4:$F$1000,MOVIMIENTOS!$C$4:$C$1000,A420,MOVIMIENTOS!$D$4:$D$1000,B420,MOVIMIENTOS!$E$4:$E$1000,C420,MOVIMIENTOS!$B$4:$B$1000,"MUESTRA")-SUMIFS(MOVIMIENTOS!$F$4:$F$1000,MOVIMIENTOS!$C$4:$C$1000,A420,MOVIMIENTOS!$D$4:$D$1000,B420,MOVIMIENTOS!$E$4:$E$1000,C420,MOVIMIENTOS!$B$4:$B$1000,"AJUSTE-"),0)</f>
        <v>0</v>
      </c>
      <c r="F420" s="101">
        <f>IFERROR(E420*VLOOKUP(B420,TELAS!$A$4:$C$32,3,FALSE()),0)</f>
        <v>0</v>
      </c>
      <c r="G420" s="102">
        <f>IFERROR(IF(D420="OSCURO",VLOOKUP(B420,PRECIOS!$A$4:$F$32,2,FALSE()),IF(D420="CLARO",VLOOKUP(B420,PRECIOS!$A$4:$F$32,3,FALSE()),IF(D420="MELANGE",VLOOKUP(B420,PRECIOS!$A$4:$F$32,4,FALSE()),IF(D420="PPT",VLOOKUP(B420,PRECIOS!$A$4:$F$32,5,FALSE()),0)))),0)</f>
        <v>0</v>
      </c>
      <c r="H420" s="103">
        <f t="shared" si="1"/>
        <v>0</v>
      </c>
      <c r="I420" s="104" t="str">
        <f>IF(E420&lt;0,"ERROR",IF(E420=0,"",IF(E420&lt;CONFIG!$B$4,"CRÍTICO",IF(E420&lt;CONFIG!$B$5,"BAJO","OK"))))</f>
        <v/>
      </c>
    </row>
    <row r="421" ht="15.75" customHeight="1">
      <c r="A421" s="90" t="str">
        <f>IF(CLIENTES!A6="","",CLIENTES!A6)</f>
        <v/>
      </c>
      <c r="B421" s="67" t="str">
        <f>TELAS!A10</f>
        <v>jersey full lycra 30/1</v>
      </c>
      <c r="C421" s="67" t="str">
        <f>COLORES!A21</f>
        <v/>
      </c>
      <c r="D421" s="67" t="str">
        <f>COLORES!B21</f>
        <v/>
      </c>
      <c r="E421" s="100">
        <f>IFERROR(SUMIFS(MOVIMIENTOS!$F$4:$F$1000,MOVIMIENTOS!$C$4:$C$1000,A421,MOVIMIENTOS!$D$4:$D$1000,B421,MOVIMIENTOS!$E$4:$E$1000,C421,MOVIMIENTOS!$B$4:$B$1000,"INGRESO")+SUMIFS(MOVIMIENTOS!$F$4:$F$1000,MOVIMIENTOS!$C$4:$C$1000,A421,MOVIMIENTOS!$D$4:$D$1000,B421,MOVIMIENTOS!$E$4:$E$1000,C421,MOVIMIENTOS!$B$4:$B$1000,"DE REPROCESO")+SUMIFS(MOVIMIENTOS!$F$4:$F$1000,MOVIMIENTOS!$C$4:$C$1000,A421,MOVIMIENTOS!$D$4:$D$1000,B421,MOVIMIENTOS!$E$4:$E$1000,C421,MOVIMIENTOS!$B$4:$B$1000,"AJUSTE+")-SUMIFS(MOVIMIENTOS!$F$4:$F$1000,MOVIMIENTOS!$C$4:$C$1000,A421,MOVIMIENTOS!$D$4:$D$1000,B421,MOVIMIENTOS!$E$4:$E$1000,C421,MOVIMIENTOS!$B$4:$B$1000,"A CORTE")-SUMIFS(MOVIMIENTOS!$F$4:$F$1000,MOVIMIENTOS!$C$4:$C$1000,A421,MOVIMIENTOS!$D$4:$D$1000,B421,MOVIMIENTOS!$E$4:$E$1000,C421,MOVIMIENTOS!$B$4:$B$1000,"A REPROCESO")-SUMIFS(MOVIMIENTOS!$F$4:$F$1000,MOVIMIENTOS!$C$4:$C$1000,A421,MOVIMIENTOS!$D$4:$D$1000,B421,MOVIMIENTOS!$E$4:$E$1000,C421,MOVIMIENTOS!$B$4:$B$1000,"MUESTRA")-SUMIFS(MOVIMIENTOS!$F$4:$F$1000,MOVIMIENTOS!$C$4:$C$1000,A421,MOVIMIENTOS!$D$4:$D$1000,B421,MOVIMIENTOS!$E$4:$E$1000,C421,MOVIMIENTOS!$B$4:$B$1000,"AJUSTE-"),0)</f>
        <v>0</v>
      </c>
      <c r="F421" s="101">
        <f>IFERROR(E421*VLOOKUP(B421,TELAS!$A$4:$C$32,3,FALSE()),0)</f>
        <v>0</v>
      </c>
      <c r="G421" s="102">
        <f>IFERROR(IF(D421="OSCURO",VLOOKUP(B421,PRECIOS!$A$4:$F$32,2,FALSE()),IF(D421="CLARO",VLOOKUP(B421,PRECIOS!$A$4:$F$32,3,FALSE()),IF(D421="MELANGE",VLOOKUP(B421,PRECIOS!$A$4:$F$32,4,FALSE()),IF(D421="PPT",VLOOKUP(B421,PRECIOS!$A$4:$F$32,5,FALSE()),0)))),0)</f>
        <v>0</v>
      </c>
      <c r="H421" s="103">
        <f t="shared" si="1"/>
        <v>0</v>
      </c>
      <c r="I421" s="104" t="str">
        <f>IF(E421&lt;0,"ERROR",IF(E421=0,"",IF(E421&lt;CONFIG!$B$4,"CRÍTICO",IF(E421&lt;CONFIG!$B$5,"BAJO","OK"))))</f>
        <v/>
      </c>
    </row>
    <row r="422" ht="15.75" customHeight="1">
      <c r="A422" s="90" t="str">
        <f>IF(CLIENTES!A6="","",CLIENTES!A6)</f>
        <v/>
      </c>
      <c r="B422" s="67" t="str">
        <f>TELAS!A10</f>
        <v>jersey full lycra 30/1</v>
      </c>
      <c r="C422" s="67" t="str">
        <f>COLORES!A22</f>
        <v/>
      </c>
      <c r="D422" s="67" t="str">
        <f>COLORES!B22</f>
        <v/>
      </c>
      <c r="E422" s="100">
        <f>IFERROR(SUMIFS(MOVIMIENTOS!$F$4:$F$1000,MOVIMIENTOS!$C$4:$C$1000,A422,MOVIMIENTOS!$D$4:$D$1000,B422,MOVIMIENTOS!$E$4:$E$1000,C422,MOVIMIENTOS!$B$4:$B$1000,"INGRESO")+SUMIFS(MOVIMIENTOS!$F$4:$F$1000,MOVIMIENTOS!$C$4:$C$1000,A422,MOVIMIENTOS!$D$4:$D$1000,B422,MOVIMIENTOS!$E$4:$E$1000,C422,MOVIMIENTOS!$B$4:$B$1000,"DE REPROCESO")+SUMIFS(MOVIMIENTOS!$F$4:$F$1000,MOVIMIENTOS!$C$4:$C$1000,A422,MOVIMIENTOS!$D$4:$D$1000,B422,MOVIMIENTOS!$E$4:$E$1000,C422,MOVIMIENTOS!$B$4:$B$1000,"AJUSTE+")-SUMIFS(MOVIMIENTOS!$F$4:$F$1000,MOVIMIENTOS!$C$4:$C$1000,A422,MOVIMIENTOS!$D$4:$D$1000,B422,MOVIMIENTOS!$E$4:$E$1000,C422,MOVIMIENTOS!$B$4:$B$1000,"A CORTE")-SUMIFS(MOVIMIENTOS!$F$4:$F$1000,MOVIMIENTOS!$C$4:$C$1000,A422,MOVIMIENTOS!$D$4:$D$1000,B422,MOVIMIENTOS!$E$4:$E$1000,C422,MOVIMIENTOS!$B$4:$B$1000,"A REPROCESO")-SUMIFS(MOVIMIENTOS!$F$4:$F$1000,MOVIMIENTOS!$C$4:$C$1000,A422,MOVIMIENTOS!$D$4:$D$1000,B422,MOVIMIENTOS!$E$4:$E$1000,C422,MOVIMIENTOS!$B$4:$B$1000,"MUESTRA")-SUMIFS(MOVIMIENTOS!$F$4:$F$1000,MOVIMIENTOS!$C$4:$C$1000,A422,MOVIMIENTOS!$D$4:$D$1000,B422,MOVIMIENTOS!$E$4:$E$1000,C422,MOVIMIENTOS!$B$4:$B$1000,"AJUSTE-"),0)</f>
        <v>0</v>
      </c>
      <c r="F422" s="101">
        <f>IFERROR(E422*VLOOKUP(B422,TELAS!$A$4:$C$32,3,FALSE()),0)</f>
        <v>0</v>
      </c>
      <c r="G422" s="102">
        <f>IFERROR(IF(D422="OSCURO",VLOOKUP(B422,PRECIOS!$A$4:$F$32,2,FALSE()),IF(D422="CLARO",VLOOKUP(B422,PRECIOS!$A$4:$F$32,3,FALSE()),IF(D422="MELANGE",VLOOKUP(B422,PRECIOS!$A$4:$F$32,4,FALSE()),IF(D422="PPT",VLOOKUP(B422,PRECIOS!$A$4:$F$32,5,FALSE()),0)))),0)</f>
        <v>0</v>
      </c>
      <c r="H422" s="103">
        <f t="shared" si="1"/>
        <v>0</v>
      </c>
      <c r="I422" s="104" t="str">
        <f>IF(E422&lt;0,"ERROR",IF(E422=0,"",IF(E422&lt;CONFIG!$B$4,"CRÍTICO",IF(E422&lt;CONFIG!$B$5,"BAJO","OK"))))</f>
        <v/>
      </c>
    </row>
    <row r="423" ht="15.75" customHeight="1">
      <c r="A423" s="90" t="str">
        <f>IF(CLIENTES!A6="","",CLIENTES!A6)</f>
        <v/>
      </c>
      <c r="B423" s="67" t="str">
        <f>TELAS!A10</f>
        <v>jersey full lycra 30/1</v>
      </c>
      <c r="C423" s="67" t="str">
        <f>COLORES!A23</f>
        <v/>
      </c>
      <c r="D423" s="67" t="str">
        <f>COLORES!B23</f>
        <v/>
      </c>
      <c r="E423" s="100">
        <f>IFERROR(SUMIFS(MOVIMIENTOS!$F$4:$F$1000,MOVIMIENTOS!$C$4:$C$1000,A423,MOVIMIENTOS!$D$4:$D$1000,B423,MOVIMIENTOS!$E$4:$E$1000,C423,MOVIMIENTOS!$B$4:$B$1000,"INGRESO")+SUMIFS(MOVIMIENTOS!$F$4:$F$1000,MOVIMIENTOS!$C$4:$C$1000,A423,MOVIMIENTOS!$D$4:$D$1000,B423,MOVIMIENTOS!$E$4:$E$1000,C423,MOVIMIENTOS!$B$4:$B$1000,"DE REPROCESO")+SUMIFS(MOVIMIENTOS!$F$4:$F$1000,MOVIMIENTOS!$C$4:$C$1000,A423,MOVIMIENTOS!$D$4:$D$1000,B423,MOVIMIENTOS!$E$4:$E$1000,C423,MOVIMIENTOS!$B$4:$B$1000,"AJUSTE+")-SUMIFS(MOVIMIENTOS!$F$4:$F$1000,MOVIMIENTOS!$C$4:$C$1000,A423,MOVIMIENTOS!$D$4:$D$1000,B423,MOVIMIENTOS!$E$4:$E$1000,C423,MOVIMIENTOS!$B$4:$B$1000,"A CORTE")-SUMIFS(MOVIMIENTOS!$F$4:$F$1000,MOVIMIENTOS!$C$4:$C$1000,A423,MOVIMIENTOS!$D$4:$D$1000,B423,MOVIMIENTOS!$E$4:$E$1000,C423,MOVIMIENTOS!$B$4:$B$1000,"A REPROCESO")-SUMIFS(MOVIMIENTOS!$F$4:$F$1000,MOVIMIENTOS!$C$4:$C$1000,A423,MOVIMIENTOS!$D$4:$D$1000,B423,MOVIMIENTOS!$E$4:$E$1000,C423,MOVIMIENTOS!$B$4:$B$1000,"MUESTRA")-SUMIFS(MOVIMIENTOS!$F$4:$F$1000,MOVIMIENTOS!$C$4:$C$1000,A423,MOVIMIENTOS!$D$4:$D$1000,B423,MOVIMIENTOS!$E$4:$E$1000,C423,MOVIMIENTOS!$B$4:$B$1000,"AJUSTE-"),0)</f>
        <v>0</v>
      </c>
      <c r="F423" s="101">
        <f>IFERROR(E423*VLOOKUP(B423,TELAS!$A$4:$C$32,3,FALSE()),0)</f>
        <v>0</v>
      </c>
      <c r="G423" s="102">
        <f>IFERROR(IF(D423="OSCURO",VLOOKUP(B423,PRECIOS!$A$4:$F$32,2,FALSE()),IF(D423="CLARO",VLOOKUP(B423,PRECIOS!$A$4:$F$32,3,FALSE()),IF(D423="MELANGE",VLOOKUP(B423,PRECIOS!$A$4:$F$32,4,FALSE()),IF(D423="PPT",VLOOKUP(B423,PRECIOS!$A$4:$F$32,5,FALSE()),0)))),0)</f>
        <v>0</v>
      </c>
      <c r="H423" s="103">
        <f t="shared" si="1"/>
        <v>0</v>
      </c>
      <c r="I423" s="104" t="str">
        <f>IF(E423&lt;0,"ERROR",IF(E423=0,"",IF(E423&lt;CONFIG!$B$4,"CRÍTICO",IF(E423&lt;CONFIG!$B$5,"BAJO","OK"))))</f>
        <v/>
      </c>
    </row>
    <row r="424" ht="15.75" customHeight="1">
      <c r="A424" s="90" t="str">
        <f>IF(CLIENTES!A7="","",CLIENTES!A7)</f>
        <v/>
      </c>
      <c r="B424" s="67" t="str">
        <f>TELAS!A4</f>
        <v>jersey 30/1</v>
      </c>
      <c r="C424" s="67" t="str">
        <f>COLORES!A4</f>
        <v>Negro</v>
      </c>
      <c r="D424" s="67" t="str">
        <f>COLORES!B4</f>
        <v>OSCURO</v>
      </c>
      <c r="E424" s="100">
        <f>IFERROR(SUMIFS(MOVIMIENTOS!$F$4:$F$1000,MOVIMIENTOS!$C$4:$C$1000,A424,MOVIMIENTOS!$D$4:$D$1000,B424,MOVIMIENTOS!$E$4:$E$1000,C424,MOVIMIENTOS!$B$4:$B$1000,"INGRESO")+SUMIFS(MOVIMIENTOS!$F$4:$F$1000,MOVIMIENTOS!$C$4:$C$1000,A424,MOVIMIENTOS!$D$4:$D$1000,B424,MOVIMIENTOS!$E$4:$E$1000,C424,MOVIMIENTOS!$B$4:$B$1000,"DE REPROCESO")+SUMIFS(MOVIMIENTOS!$F$4:$F$1000,MOVIMIENTOS!$C$4:$C$1000,A424,MOVIMIENTOS!$D$4:$D$1000,B424,MOVIMIENTOS!$E$4:$E$1000,C424,MOVIMIENTOS!$B$4:$B$1000,"AJUSTE+")-SUMIFS(MOVIMIENTOS!$F$4:$F$1000,MOVIMIENTOS!$C$4:$C$1000,A424,MOVIMIENTOS!$D$4:$D$1000,B424,MOVIMIENTOS!$E$4:$E$1000,C424,MOVIMIENTOS!$B$4:$B$1000,"A CORTE")-SUMIFS(MOVIMIENTOS!$F$4:$F$1000,MOVIMIENTOS!$C$4:$C$1000,A424,MOVIMIENTOS!$D$4:$D$1000,B424,MOVIMIENTOS!$E$4:$E$1000,C424,MOVIMIENTOS!$B$4:$B$1000,"A REPROCESO")-SUMIFS(MOVIMIENTOS!$F$4:$F$1000,MOVIMIENTOS!$C$4:$C$1000,A424,MOVIMIENTOS!$D$4:$D$1000,B424,MOVIMIENTOS!$E$4:$E$1000,C424,MOVIMIENTOS!$B$4:$B$1000,"MUESTRA")-SUMIFS(MOVIMIENTOS!$F$4:$F$1000,MOVIMIENTOS!$C$4:$C$1000,A424,MOVIMIENTOS!$D$4:$D$1000,B424,MOVIMIENTOS!$E$4:$E$1000,C424,MOVIMIENTOS!$B$4:$B$1000,"AJUSTE-"),0)</f>
        <v>0</v>
      </c>
      <c r="F424" s="101">
        <f>IFERROR(E424*VLOOKUP(B424,TELAS!$A$4:$C$32,3,FALSE()),0)</f>
        <v>0</v>
      </c>
      <c r="G424" s="102">
        <f>IFERROR(IF(D424="OSCURO",VLOOKUP(B424,PRECIOS!$A$4:$F$32,2,FALSE()),IF(D424="CLARO",VLOOKUP(B424,PRECIOS!$A$4:$F$32,3,FALSE()),IF(D424="MELANGE",VLOOKUP(B424,PRECIOS!$A$4:$F$32,4,FALSE()),IF(D424="PPT",VLOOKUP(B424,PRECIOS!$A$4:$F$32,5,FALSE()),0)))),0)</f>
        <v>24</v>
      </c>
      <c r="H424" s="103">
        <f t="shared" si="1"/>
        <v>0</v>
      </c>
      <c r="I424" s="104" t="str">
        <f>IF(E424&lt;0,"ERROR",IF(E424=0,"",IF(E424&lt;CONFIG!$B$4,"CRÍTICO",IF(E424&lt;CONFIG!$B$5,"BAJO","OK"))))</f>
        <v/>
      </c>
    </row>
    <row r="425" ht="15.75" customHeight="1">
      <c r="A425" s="90" t="str">
        <f>IF(CLIENTES!A7="","",CLIENTES!A7)</f>
        <v/>
      </c>
      <c r="B425" s="67" t="str">
        <f>TELAS!A4</f>
        <v>jersey 30/1</v>
      </c>
      <c r="C425" s="67" t="str">
        <f>COLORES!A5</f>
        <v>Perla</v>
      </c>
      <c r="D425" s="67" t="str">
        <f>COLORES!B5</f>
        <v>PPT</v>
      </c>
      <c r="E425" s="100">
        <f>IFERROR(SUMIFS(MOVIMIENTOS!$F$4:$F$1000,MOVIMIENTOS!$C$4:$C$1000,A425,MOVIMIENTOS!$D$4:$D$1000,B425,MOVIMIENTOS!$E$4:$E$1000,C425,MOVIMIENTOS!$B$4:$B$1000,"INGRESO")+SUMIFS(MOVIMIENTOS!$F$4:$F$1000,MOVIMIENTOS!$C$4:$C$1000,A425,MOVIMIENTOS!$D$4:$D$1000,B425,MOVIMIENTOS!$E$4:$E$1000,C425,MOVIMIENTOS!$B$4:$B$1000,"DE REPROCESO")+SUMIFS(MOVIMIENTOS!$F$4:$F$1000,MOVIMIENTOS!$C$4:$C$1000,A425,MOVIMIENTOS!$D$4:$D$1000,B425,MOVIMIENTOS!$E$4:$E$1000,C425,MOVIMIENTOS!$B$4:$B$1000,"AJUSTE+")-SUMIFS(MOVIMIENTOS!$F$4:$F$1000,MOVIMIENTOS!$C$4:$C$1000,A425,MOVIMIENTOS!$D$4:$D$1000,B425,MOVIMIENTOS!$E$4:$E$1000,C425,MOVIMIENTOS!$B$4:$B$1000,"A CORTE")-SUMIFS(MOVIMIENTOS!$F$4:$F$1000,MOVIMIENTOS!$C$4:$C$1000,A425,MOVIMIENTOS!$D$4:$D$1000,B425,MOVIMIENTOS!$E$4:$E$1000,C425,MOVIMIENTOS!$B$4:$B$1000,"A REPROCESO")-SUMIFS(MOVIMIENTOS!$F$4:$F$1000,MOVIMIENTOS!$C$4:$C$1000,A425,MOVIMIENTOS!$D$4:$D$1000,B425,MOVIMIENTOS!$E$4:$E$1000,C425,MOVIMIENTOS!$B$4:$B$1000,"MUESTRA")-SUMIFS(MOVIMIENTOS!$F$4:$F$1000,MOVIMIENTOS!$C$4:$C$1000,A425,MOVIMIENTOS!$D$4:$D$1000,B425,MOVIMIENTOS!$E$4:$E$1000,C425,MOVIMIENTOS!$B$4:$B$1000,"AJUSTE-"),0)</f>
        <v>0</v>
      </c>
      <c r="F425" s="101">
        <f>IFERROR(E425*VLOOKUP(B425,TELAS!$A$4:$C$32,3,FALSE()),0)</f>
        <v>0</v>
      </c>
      <c r="G425" s="102">
        <f>IFERROR(IF(D425="OSCURO",VLOOKUP(B425,PRECIOS!$A$4:$F$32,2,FALSE()),IF(D425="CLARO",VLOOKUP(B425,PRECIOS!$A$4:$F$32,3,FALSE()),IF(D425="MELANGE",VLOOKUP(B425,PRECIOS!$A$4:$F$32,4,FALSE()),IF(D425="PPT",VLOOKUP(B425,PRECIOS!$A$4:$F$32,5,FALSE()),0)))),0)</f>
        <v>18</v>
      </c>
      <c r="H425" s="103">
        <f t="shared" si="1"/>
        <v>0</v>
      </c>
      <c r="I425" s="104" t="str">
        <f>IF(E425&lt;0,"ERROR",IF(E425=0,"",IF(E425&lt;CONFIG!$B$4,"CRÍTICO",IF(E425&lt;CONFIG!$B$5,"BAJO","OK"))))</f>
        <v/>
      </c>
    </row>
    <row r="426" ht="15.75" customHeight="1">
      <c r="A426" s="90" t="str">
        <f>IF(CLIENTES!A7="","",CLIENTES!A7)</f>
        <v/>
      </c>
      <c r="B426" s="67" t="str">
        <f>TELAS!A4</f>
        <v>jersey 30/1</v>
      </c>
      <c r="C426" s="67" t="str">
        <f>COLORES!A6</f>
        <v>Blanco</v>
      </c>
      <c r="D426" s="67" t="str">
        <f>COLORES!B6</f>
        <v>PPT</v>
      </c>
      <c r="E426" s="100">
        <f>IFERROR(SUMIFS(MOVIMIENTOS!$F$4:$F$1000,MOVIMIENTOS!$C$4:$C$1000,A426,MOVIMIENTOS!$D$4:$D$1000,B426,MOVIMIENTOS!$E$4:$E$1000,C426,MOVIMIENTOS!$B$4:$B$1000,"INGRESO")+SUMIFS(MOVIMIENTOS!$F$4:$F$1000,MOVIMIENTOS!$C$4:$C$1000,A426,MOVIMIENTOS!$D$4:$D$1000,B426,MOVIMIENTOS!$E$4:$E$1000,C426,MOVIMIENTOS!$B$4:$B$1000,"DE REPROCESO")+SUMIFS(MOVIMIENTOS!$F$4:$F$1000,MOVIMIENTOS!$C$4:$C$1000,A426,MOVIMIENTOS!$D$4:$D$1000,B426,MOVIMIENTOS!$E$4:$E$1000,C426,MOVIMIENTOS!$B$4:$B$1000,"AJUSTE+")-SUMIFS(MOVIMIENTOS!$F$4:$F$1000,MOVIMIENTOS!$C$4:$C$1000,A426,MOVIMIENTOS!$D$4:$D$1000,B426,MOVIMIENTOS!$E$4:$E$1000,C426,MOVIMIENTOS!$B$4:$B$1000,"A CORTE")-SUMIFS(MOVIMIENTOS!$F$4:$F$1000,MOVIMIENTOS!$C$4:$C$1000,A426,MOVIMIENTOS!$D$4:$D$1000,B426,MOVIMIENTOS!$E$4:$E$1000,C426,MOVIMIENTOS!$B$4:$B$1000,"A REPROCESO")-SUMIFS(MOVIMIENTOS!$F$4:$F$1000,MOVIMIENTOS!$C$4:$C$1000,A426,MOVIMIENTOS!$D$4:$D$1000,B426,MOVIMIENTOS!$E$4:$E$1000,C426,MOVIMIENTOS!$B$4:$B$1000,"MUESTRA")-SUMIFS(MOVIMIENTOS!$F$4:$F$1000,MOVIMIENTOS!$C$4:$C$1000,A426,MOVIMIENTOS!$D$4:$D$1000,B426,MOVIMIENTOS!$E$4:$E$1000,C426,MOVIMIENTOS!$B$4:$B$1000,"AJUSTE-"),0)</f>
        <v>0</v>
      </c>
      <c r="F426" s="101">
        <f>IFERROR(E426*VLOOKUP(B426,TELAS!$A$4:$C$32,3,FALSE()),0)</f>
        <v>0</v>
      </c>
      <c r="G426" s="102">
        <f>IFERROR(IF(D426="OSCURO",VLOOKUP(B426,PRECIOS!$A$4:$F$32,2,FALSE()),IF(D426="CLARO",VLOOKUP(B426,PRECIOS!$A$4:$F$32,3,FALSE()),IF(D426="MELANGE",VLOOKUP(B426,PRECIOS!$A$4:$F$32,4,FALSE()),IF(D426="PPT",VLOOKUP(B426,PRECIOS!$A$4:$F$32,5,FALSE()),0)))),0)</f>
        <v>18</v>
      </c>
      <c r="H426" s="103">
        <f t="shared" si="1"/>
        <v>0</v>
      </c>
      <c r="I426" s="104" t="str">
        <f>IF(E426&lt;0,"ERROR",IF(E426=0,"",IF(E426&lt;CONFIG!$B$4,"CRÍTICO",IF(E426&lt;CONFIG!$B$5,"BAJO","OK"))))</f>
        <v/>
      </c>
    </row>
    <row r="427" ht="15.75" customHeight="1">
      <c r="A427" s="90" t="str">
        <f>IF(CLIENTES!A7="","",CLIENTES!A7)</f>
        <v/>
      </c>
      <c r="B427" s="67" t="str">
        <f>TELAS!A4</f>
        <v>jersey 30/1</v>
      </c>
      <c r="C427" s="67" t="str">
        <f>COLORES!A7</f>
        <v>Azul</v>
      </c>
      <c r="D427" s="67" t="str">
        <f>COLORES!B7</f>
        <v>OSCURO</v>
      </c>
      <c r="E427" s="100">
        <f>IFERROR(SUMIFS(MOVIMIENTOS!$F$4:$F$1000,MOVIMIENTOS!$C$4:$C$1000,A427,MOVIMIENTOS!$D$4:$D$1000,B427,MOVIMIENTOS!$E$4:$E$1000,C427,MOVIMIENTOS!$B$4:$B$1000,"INGRESO")+SUMIFS(MOVIMIENTOS!$F$4:$F$1000,MOVIMIENTOS!$C$4:$C$1000,A427,MOVIMIENTOS!$D$4:$D$1000,B427,MOVIMIENTOS!$E$4:$E$1000,C427,MOVIMIENTOS!$B$4:$B$1000,"DE REPROCESO")+SUMIFS(MOVIMIENTOS!$F$4:$F$1000,MOVIMIENTOS!$C$4:$C$1000,A427,MOVIMIENTOS!$D$4:$D$1000,B427,MOVIMIENTOS!$E$4:$E$1000,C427,MOVIMIENTOS!$B$4:$B$1000,"AJUSTE+")-SUMIFS(MOVIMIENTOS!$F$4:$F$1000,MOVIMIENTOS!$C$4:$C$1000,A427,MOVIMIENTOS!$D$4:$D$1000,B427,MOVIMIENTOS!$E$4:$E$1000,C427,MOVIMIENTOS!$B$4:$B$1000,"A CORTE")-SUMIFS(MOVIMIENTOS!$F$4:$F$1000,MOVIMIENTOS!$C$4:$C$1000,A427,MOVIMIENTOS!$D$4:$D$1000,B427,MOVIMIENTOS!$E$4:$E$1000,C427,MOVIMIENTOS!$B$4:$B$1000,"A REPROCESO")-SUMIFS(MOVIMIENTOS!$F$4:$F$1000,MOVIMIENTOS!$C$4:$C$1000,A427,MOVIMIENTOS!$D$4:$D$1000,B427,MOVIMIENTOS!$E$4:$E$1000,C427,MOVIMIENTOS!$B$4:$B$1000,"MUESTRA")-SUMIFS(MOVIMIENTOS!$F$4:$F$1000,MOVIMIENTOS!$C$4:$C$1000,A427,MOVIMIENTOS!$D$4:$D$1000,B427,MOVIMIENTOS!$E$4:$E$1000,C427,MOVIMIENTOS!$B$4:$B$1000,"AJUSTE-"),0)</f>
        <v>0</v>
      </c>
      <c r="F427" s="101">
        <f>IFERROR(E427*VLOOKUP(B427,TELAS!$A$4:$C$32,3,FALSE()),0)</f>
        <v>0</v>
      </c>
      <c r="G427" s="102">
        <f>IFERROR(IF(D427="OSCURO",VLOOKUP(B427,PRECIOS!$A$4:$F$32,2,FALSE()),IF(D427="CLARO",VLOOKUP(B427,PRECIOS!$A$4:$F$32,3,FALSE()),IF(D427="MELANGE",VLOOKUP(B427,PRECIOS!$A$4:$F$32,4,FALSE()),IF(D427="PPT",VLOOKUP(B427,PRECIOS!$A$4:$F$32,5,FALSE()),0)))),0)</f>
        <v>24</v>
      </c>
      <c r="H427" s="103">
        <f t="shared" si="1"/>
        <v>0</v>
      </c>
      <c r="I427" s="104" t="str">
        <f>IF(E427&lt;0,"ERROR",IF(E427=0,"",IF(E427&lt;CONFIG!$B$4,"CRÍTICO",IF(E427&lt;CONFIG!$B$5,"BAJO","OK"))))</f>
        <v/>
      </c>
    </row>
    <row r="428" ht="15.75" customHeight="1">
      <c r="A428" s="90" t="str">
        <f>IF(CLIENTES!A7="","",CLIENTES!A7)</f>
        <v/>
      </c>
      <c r="B428" s="67" t="str">
        <f>TELAS!A4</f>
        <v>jersey 30/1</v>
      </c>
      <c r="C428" s="67" t="str">
        <f>COLORES!A8</f>
        <v>Beige</v>
      </c>
      <c r="D428" s="67" t="str">
        <f>COLORES!B8</f>
        <v>CLARO</v>
      </c>
      <c r="E428" s="100">
        <f>IFERROR(SUMIFS(MOVIMIENTOS!$F$4:$F$1000,MOVIMIENTOS!$C$4:$C$1000,A428,MOVIMIENTOS!$D$4:$D$1000,B428,MOVIMIENTOS!$E$4:$E$1000,C428,MOVIMIENTOS!$B$4:$B$1000,"INGRESO")+SUMIFS(MOVIMIENTOS!$F$4:$F$1000,MOVIMIENTOS!$C$4:$C$1000,A428,MOVIMIENTOS!$D$4:$D$1000,B428,MOVIMIENTOS!$E$4:$E$1000,C428,MOVIMIENTOS!$B$4:$B$1000,"DE REPROCESO")+SUMIFS(MOVIMIENTOS!$F$4:$F$1000,MOVIMIENTOS!$C$4:$C$1000,A428,MOVIMIENTOS!$D$4:$D$1000,B428,MOVIMIENTOS!$E$4:$E$1000,C428,MOVIMIENTOS!$B$4:$B$1000,"AJUSTE+")-SUMIFS(MOVIMIENTOS!$F$4:$F$1000,MOVIMIENTOS!$C$4:$C$1000,A428,MOVIMIENTOS!$D$4:$D$1000,B428,MOVIMIENTOS!$E$4:$E$1000,C428,MOVIMIENTOS!$B$4:$B$1000,"A CORTE")-SUMIFS(MOVIMIENTOS!$F$4:$F$1000,MOVIMIENTOS!$C$4:$C$1000,A428,MOVIMIENTOS!$D$4:$D$1000,B428,MOVIMIENTOS!$E$4:$E$1000,C428,MOVIMIENTOS!$B$4:$B$1000,"A REPROCESO")-SUMIFS(MOVIMIENTOS!$F$4:$F$1000,MOVIMIENTOS!$C$4:$C$1000,A428,MOVIMIENTOS!$D$4:$D$1000,B428,MOVIMIENTOS!$E$4:$E$1000,C428,MOVIMIENTOS!$B$4:$B$1000,"MUESTRA")-SUMIFS(MOVIMIENTOS!$F$4:$F$1000,MOVIMIENTOS!$C$4:$C$1000,A428,MOVIMIENTOS!$D$4:$D$1000,B428,MOVIMIENTOS!$E$4:$E$1000,C428,MOVIMIENTOS!$B$4:$B$1000,"AJUSTE-"),0)</f>
        <v>0</v>
      </c>
      <c r="F428" s="101">
        <f>IFERROR(E428*VLOOKUP(B428,TELAS!$A$4:$C$32,3,FALSE()),0)</f>
        <v>0</v>
      </c>
      <c r="G428" s="102">
        <f>IFERROR(IF(D428="OSCURO",VLOOKUP(B428,PRECIOS!$A$4:$F$32,2,FALSE()),IF(D428="CLARO",VLOOKUP(B428,PRECIOS!$A$4:$F$32,3,FALSE()),IF(D428="MELANGE",VLOOKUP(B428,PRECIOS!$A$4:$F$32,4,FALSE()),IF(D428="PPT",VLOOKUP(B428,PRECIOS!$A$4:$F$32,5,FALSE()),0)))),0)</f>
        <v>21</v>
      </c>
      <c r="H428" s="103">
        <f t="shared" si="1"/>
        <v>0</v>
      </c>
      <c r="I428" s="104" t="str">
        <f>IF(E428&lt;0,"ERROR",IF(E428=0,"",IF(E428&lt;CONFIG!$B$4,"CRÍTICO",IF(E428&lt;CONFIG!$B$5,"BAJO","OK"))))</f>
        <v/>
      </c>
    </row>
    <row r="429" ht="15.75" customHeight="1">
      <c r="A429" s="90" t="str">
        <f>IF(CLIENTES!A7="","",CLIENTES!A7)</f>
        <v/>
      </c>
      <c r="B429" s="67" t="str">
        <f>TELAS!A4</f>
        <v>jersey 30/1</v>
      </c>
      <c r="C429" s="67" t="str">
        <f>COLORES!A9</f>
        <v>Melange</v>
      </c>
      <c r="D429" s="67" t="str">
        <f>COLORES!B9</f>
        <v>MELANGE</v>
      </c>
      <c r="E429" s="100">
        <f>IFERROR(SUMIFS(MOVIMIENTOS!$F$4:$F$1000,MOVIMIENTOS!$C$4:$C$1000,A429,MOVIMIENTOS!$D$4:$D$1000,B429,MOVIMIENTOS!$E$4:$E$1000,C429,MOVIMIENTOS!$B$4:$B$1000,"INGRESO")+SUMIFS(MOVIMIENTOS!$F$4:$F$1000,MOVIMIENTOS!$C$4:$C$1000,A429,MOVIMIENTOS!$D$4:$D$1000,B429,MOVIMIENTOS!$E$4:$E$1000,C429,MOVIMIENTOS!$B$4:$B$1000,"DE REPROCESO")+SUMIFS(MOVIMIENTOS!$F$4:$F$1000,MOVIMIENTOS!$C$4:$C$1000,A429,MOVIMIENTOS!$D$4:$D$1000,B429,MOVIMIENTOS!$E$4:$E$1000,C429,MOVIMIENTOS!$B$4:$B$1000,"AJUSTE+")-SUMIFS(MOVIMIENTOS!$F$4:$F$1000,MOVIMIENTOS!$C$4:$C$1000,A429,MOVIMIENTOS!$D$4:$D$1000,B429,MOVIMIENTOS!$E$4:$E$1000,C429,MOVIMIENTOS!$B$4:$B$1000,"A CORTE")-SUMIFS(MOVIMIENTOS!$F$4:$F$1000,MOVIMIENTOS!$C$4:$C$1000,A429,MOVIMIENTOS!$D$4:$D$1000,B429,MOVIMIENTOS!$E$4:$E$1000,C429,MOVIMIENTOS!$B$4:$B$1000,"A REPROCESO")-SUMIFS(MOVIMIENTOS!$F$4:$F$1000,MOVIMIENTOS!$C$4:$C$1000,A429,MOVIMIENTOS!$D$4:$D$1000,B429,MOVIMIENTOS!$E$4:$E$1000,C429,MOVIMIENTOS!$B$4:$B$1000,"MUESTRA")-SUMIFS(MOVIMIENTOS!$F$4:$F$1000,MOVIMIENTOS!$C$4:$C$1000,A429,MOVIMIENTOS!$D$4:$D$1000,B429,MOVIMIENTOS!$E$4:$E$1000,C429,MOVIMIENTOS!$B$4:$B$1000,"AJUSTE-"),0)</f>
        <v>0</v>
      </c>
      <c r="F429" s="101">
        <f>IFERROR(E429*VLOOKUP(B429,TELAS!$A$4:$C$32,3,FALSE()),0)</f>
        <v>0</v>
      </c>
      <c r="G429" s="102">
        <f>IFERROR(IF(D429="OSCURO",VLOOKUP(B429,PRECIOS!$A$4:$F$32,2,FALSE()),IF(D429="CLARO",VLOOKUP(B429,PRECIOS!$A$4:$F$32,3,FALSE()),IF(D429="MELANGE",VLOOKUP(B429,PRECIOS!$A$4:$F$32,4,FALSE()),IF(D429="PPT",VLOOKUP(B429,PRECIOS!$A$4:$F$32,5,FALSE()),0)))),0)</f>
        <v>18</v>
      </c>
      <c r="H429" s="103">
        <f t="shared" si="1"/>
        <v>0</v>
      </c>
      <c r="I429" s="104" t="str">
        <f>IF(E429&lt;0,"ERROR",IF(E429=0,"",IF(E429&lt;CONFIG!$B$4,"CRÍTICO",IF(E429&lt;CONFIG!$B$5,"BAJO","OK"))))</f>
        <v/>
      </c>
    </row>
    <row r="430" ht="15.75" customHeight="1">
      <c r="A430" s="90" t="str">
        <f>IF(CLIENTES!A7="","",CLIENTES!A7)</f>
        <v/>
      </c>
      <c r="B430" s="67" t="str">
        <f>TELAS!A4</f>
        <v>jersey 30/1</v>
      </c>
      <c r="C430" s="67" t="str">
        <f>COLORES!A10</f>
        <v>Botella</v>
      </c>
      <c r="D430" s="67" t="str">
        <f>COLORES!B10</f>
        <v>OSCURO</v>
      </c>
      <c r="E430" s="100">
        <f>IFERROR(SUMIFS(MOVIMIENTOS!$F$4:$F$1000,MOVIMIENTOS!$C$4:$C$1000,A430,MOVIMIENTOS!$D$4:$D$1000,B430,MOVIMIENTOS!$E$4:$E$1000,C430,MOVIMIENTOS!$B$4:$B$1000,"INGRESO")+SUMIFS(MOVIMIENTOS!$F$4:$F$1000,MOVIMIENTOS!$C$4:$C$1000,A430,MOVIMIENTOS!$D$4:$D$1000,B430,MOVIMIENTOS!$E$4:$E$1000,C430,MOVIMIENTOS!$B$4:$B$1000,"DE REPROCESO")+SUMIFS(MOVIMIENTOS!$F$4:$F$1000,MOVIMIENTOS!$C$4:$C$1000,A430,MOVIMIENTOS!$D$4:$D$1000,B430,MOVIMIENTOS!$E$4:$E$1000,C430,MOVIMIENTOS!$B$4:$B$1000,"AJUSTE+")-SUMIFS(MOVIMIENTOS!$F$4:$F$1000,MOVIMIENTOS!$C$4:$C$1000,A430,MOVIMIENTOS!$D$4:$D$1000,B430,MOVIMIENTOS!$E$4:$E$1000,C430,MOVIMIENTOS!$B$4:$B$1000,"A CORTE")-SUMIFS(MOVIMIENTOS!$F$4:$F$1000,MOVIMIENTOS!$C$4:$C$1000,A430,MOVIMIENTOS!$D$4:$D$1000,B430,MOVIMIENTOS!$E$4:$E$1000,C430,MOVIMIENTOS!$B$4:$B$1000,"A REPROCESO")-SUMIFS(MOVIMIENTOS!$F$4:$F$1000,MOVIMIENTOS!$C$4:$C$1000,A430,MOVIMIENTOS!$D$4:$D$1000,B430,MOVIMIENTOS!$E$4:$E$1000,C430,MOVIMIENTOS!$B$4:$B$1000,"MUESTRA")-SUMIFS(MOVIMIENTOS!$F$4:$F$1000,MOVIMIENTOS!$C$4:$C$1000,A430,MOVIMIENTOS!$D$4:$D$1000,B430,MOVIMIENTOS!$E$4:$E$1000,C430,MOVIMIENTOS!$B$4:$B$1000,"AJUSTE-"),0)</f>
        <v>0</v>
      </c>
      <c r="F430" s="101">
        <f>IFERROR(E430*VLOOKUP(B430,TELAS!$A$4:$C$32,3,FALSE()),0)</f>
        <v>0</v>
      </c>
      <c r="G430" s="102">
        <f>IFERROR(IF(D430="OSCURO",VLOOKUP(B430,PRECIOS!$A$4:$F$32,2,FALSE()),IF(D430="CLARO",VLOOKUP(B430,PRECIOS!$A$4:$F$32,3,FALSE()),IF(D430="MELANGE",VLOOKUP(B430,PRECIOS!$A$4:$F$32,4,FALSE()),IF(D430="PPT",VLOOKUP(B430,PRECIOS!$A$4:$F$32,5,FALSE()),0)))),0)</f>
        <v>24</v>
      </c>
      <c r="H430" s="103">
        <f t="shared" si="1"/>
        <v>0</v>
      </c>
      <c r="I430" s="104" t="str">
        <f>IF(E430&lt;0,"ERROR",IF(E430=0,"",IF(E430&lt;CONFIG!$B$4,"CRÍTICO",IF(E430&lt;CONFIG!$B$5,"BAJO","OK"))))</f>
        <v/>
      </c>
    </row>
    <row r="431" ht="15.75" customHeight="1">
      <c r="A431" s="90" t="str">
        <f>IF(CLIENTES!A7="","",CLIENTES!A7)</f>
        <v/>
      </c>
      <c r="B431" s="67" t="str">
        <f>TELAS!A4</f>
        <v>jersey 30/1</v>
      </c>
      <c r="C431" s="67" t="str">
        <f>COLORES!A11</f>
        <v>Pacay</v>
      </c>
      <c r="D431" s="67" t="str">
        <f>COLORES!B11</f>
        <v>CLARO</v>
      </c>
      <c r="E431" s="100">
        <f>IFERROR(SUMIFS(MOVIMIENTOS!$F$4:$F$1000,MOVIMIENTOS!$C$4:$C$1000,A431,MOVIMIENTOS!$D$4:$D$1000,B431,MOVIMIENTOS!$E$4:$E$1000,C431,MOVIMIENTOS!$B$4:$B$1000,"INGRESO")+SUMIFS(MOVIMIENTOS!$F$4:$F$1000,MOVIMIENTOS!$C$4:$C$1000,A431,MOVIMIENTOS!$D$4:$D$1000,B431,MOVIMIENTOS!$E$4:$E$1000,C431,MOVIMIENTOS!$B$4:$B$1000,"DE REPROCESO")+SUMIFS(MOVIMIENTOS!$F$4:$F$1000,MOVIMIENTOS!$C$4:$C$1000,A431,MOVIMIENTOS!$D$4:$D$1000,B431,MOVIMIENTOS!$E$4:$E$1000,C431,MOVIMIENTOS!$B$4:$B$1000,"AJUSTE+")-SUMIFS(MOVIMIENTOS!$F$4:$F$1000,MOVIMIENTOS!$C$4:$C$1000,A431,MOVIMIENTOS!$D$4:$D$1000,B431,MOVIMIENTOS!$E$4:$E$1000,C431,MOVIMIENTOS!$B$4:$B$1000,"A CORTE")-SUMIFS(MOVIMIENTOS!$F$4:$F$1000,MOVIMIENTOS!$C$4:$C$1000,A431,MOVIMIENTOS!$D$4:$D$1000,B431,MOVIMIENTOS!$E$4:$E$1000,C431,MOVIMIENTOS!$B$4:$B$1000,"A REPROCESO")-SUMIFS(MOVIMIENTOS!$F$4:$F$1000,MOVIMIENTOS!$C$4:$C$1000,A431,MOVIMIENTOS!$D$4:$D$1000,B431,MOVIMIENTOS!$E$4:$E$1000,C431,MOVIMIENTOS!$B$4:$B$1000,"MUESTRA")-SUMIFS(MOVIMIENTOS!$F$4:$F$1000,MOVIMIENTOS!$C$4:$C$1000,A431,MOVIMIENTOS!$D$4:$D$1000,B431,MOVIMIENTOS!$E$4:$E$1000,C431,MOVIMIENTOS!$B$4:$B$1000,"AJUSTE-"),0)</f>
        <v>0</v>
      </c>
      <c r="F431" s="101">
        <f>IFERROR(E431*VLOOKUP(B431,TELAS!$A$4:$C$32,3,FALSE()),0)</f>
        <v>0</v>
      </c>
      <c r="G431" s="102">
        <f>IFERROR(IF(D431="OSCURO",VLOOKUP(B431,PRECIOS!$A$4:$F$32,2,FALSE()),IF(D431="CLARO",VLOOKUP(B431,PRECIOS!$A$4:$F$32,3,FALSE()),IF(D431="MELANGE",VLOOKUP(B431,PRECIOS!$A$4:$F$32,4,FALSE()),IF(D431="PPT",VLOOKUP(B431,PRECIOS!$A$4:$F$32,5,FALSE()),0)))),0)</f>
        <v>21</v>
      </c>
      <c r="H431" s="103">
        <f t="shared" si="1"/>
        <v>0</v>
      </c>
      <c r="I431" s="104" t="str">
        <f>IF(E431&lt;0,"ERROR",IF(E431=0,"",IF(E431&lt;CONFIG!$B$4,"CRÍTICO",IF(E431&lt;CONFIG!$B$5,"BAJO","OK"))))</f>
        <v/>
      </c>
    </row>
    <row r="432" ht="15.75" customHeight="1">
      <c r="A432" s="90" t="str">
        <f>IF(CLIENTES!A7="","",CLIENTES!A7)</f>
        <v/>
      </c>
      <c r="B432" s="67" t="str">
        <f>TELAS!A4</f>
        <v>jersey 30/1</v>
      </c>
      <c r="C432" s="67" t="str">
        <f>COLORES!A12</f>
        <v>Cemento</v>
      </c>
      <c r="D432" s="67" t="str">
        <f>COLORES!B12</f>
        <v>CLARO</v>
      </c>
      <c r="E432" s="100">
        <f>IFERROR(SUMIFS(MOVIMIENTOS!$F$4:$F$1000,MOVIMIENTOS!$C$4:$C$1000,A432,MOVIMIENTOS!$D$4:$D$1000,B432,MOVIMIENTOS!$E$4:$E$1000,C432,MOVIMIENTOS!$B$4:$B$1000,"INGRESO")+SUMIFS(MOVIMIENTOS!$F$4:$F$1000,MOVIMIENTOS!$C$4:$C$1000,A432,MOVIMIENTOS!$D$4:$D$1000,B432,MOVIMIENTOS!$E$4:$E$1000,C432,MOVIMIENTOS!$B$4:$B$1000,"DE REPROCESO")+SUMIFS(MOVIMIENTOS!$F$4:$F$1000,MOVIMIENTOS!$C$4:$C$1000,A432,MOVIMIENTOS!$D$4:$D$1000,B432,MOVIMIENTOS!$E$4:$E$1000,C432,MOVIMIENTOS!$B$4:$B$1000,"AJUSTE+")-SUMIFS(MOVIMIENTOS!$F$4:$F$1000,MOVIMIENTOS!$C$4:$C$1000,A432,MOVIMIENTOS!$D$4:$D$1000,B432,MOVIMIENTOS!$E$4:$E$1000,C432,MOVIMIENTOS!$B$4:$B$1000,"A CORTE")-SUMIFS(MOVIMIENTOS!$F$4:$F$1000,MOVIMIENTOS!$C$4:$C$1000,A432,MOVIMIENTOS!$D$4:$D$1000,B432,MOVIMIENTOS!$E$4:$E$1000,C432,MOVIMIENTOS!$B$4:$B$1000,"A REPROCESO")-SUMIFS(MOVIMIENTOS!$F$4:$F$1000,MOVIMIENTOS!$C$4:$C$1000,A432,MOVIMIENTOS!$D$4:$D$1000,B432,MOVIMIENTOS!$E$4:$E$1000,C432,MOVIMIENTOS!$B$4:$B$1000,"MUESTRA")-SUMIFS(MOVIMIENTOS!$F$4:$F$1000,MOVIMIENTOS!$C$4:$C$1000,A432,MOVIMIENTOS!$D$4:$D$1000,B432,MOVIMIENTOS!$E$4:$E$1000,C432,MOVIMIENTOS!$B$4:$B$1000,"AJUSTE-"),0)</f>
        <v>0</v>
      </c>
      <c r="F432" s="101">
        <f>IFERROR(E432*VLOOKUP(B432,TELAS!$A$4:$C$32,3,FALSE()),0)</f>
        <v>0</v>
      </c>
      <c r="G432" s="102">
        <f>IFERROR(IF(D432="OSCURO",VLOOKUP(B432,PRECIOS!$A$4:$F$32,2,FALSE()),IF(D432="CLARO",VLOOKUP(B432,PRECIOS!$A$4:$F$32,3,FALSE()),IF(D432="MELANGE",VLOOKUP(B432,PRECIOS!$A$4:$F$32,4,FALSE()),IF(D432="PPT",VLOOKUP(B432,PRECIOS!$A$4:$F$32,5,FALSE()),0)))),0)</f>
        <v>21</v>
      </c>
      <c r="H432" s="103">
        <f t="shared" si="1"/>
        <v>0</v>
      </c>
      <c r="I432" s="104" t="str">
        <f>IF(E432&lt;0,"ERROR",IF(E432=0,"",IF(E432&lt;CONFIG!$B$4,"CRÍTICO",IF(E432&lt;CONFIG!$B$5,"BAJO","OK"))))</f>
        <v/>
      </c>
    </row>
    <row r="433" ht="15.75" customHeight="1">
      <c r="A433" s="90" t="str">
        <f>IF(CLIENTES!A7="","",CLIENTES!A7)</f>
        <v/>
      </c>
      <c r="B433" s="67" t="str">
        <f>TELAS!A4</f>
        <v>jersey 30/1</v>
      </c>
      <c r="C433" s="67" t="str">
        <f>COLORES!A13</f>
        <v>Camote</v>
      </c>
      <c r="D433" s="67" t="str">
        <f>COLORES!B13</f>
        <v>CLARO</v>
      </c>
      <c r="E433" s="100">
        <f>IFERROR(SUMIFS(MOVIMIENTOS!$F$4:$F$1000,MOVIMIENTOS!$C$4:$C$1000,A433,MOVIMIENTOS!$D$4:$D$1000,B433,MOVIMIENTOS!$E$4:$E$1000,C433,MOVIMIENTOS!$B$4:$B$1000,"INGRESO")+SUMIFS(MOVIMIENTOS!$F$4:$F$1000,MOVIMIENTOS!$C$4:$C$1000,A433,MOVIMIENTOS!$D$4:$D$1000,B433,MOVIMIENTOS!$E$4:$E$1000,C433,MOVIMIENTOS!$B$4:$B$1000,"DE REPROCESO")+SUMIFS(MOVIMIENTOS!$F$4:$F$1000,MOVIMIENTOS!$C$4:$C$1000,A433,MOVIMIENTOS!$D$4:$D$1000,B433,MOVIMIENTOS!$E$4:$E$1000,C433,MOVIMIENTOS!$B$4:$B$1000,"AJUSTE+")-SUMIFS(MOVIMIENTOS!$F$4:$F$1000,MOVIMIENTOS!$C$4:$C$1000,A433,MOVIMIENTOS!$D$4:$D$1000,B433,MOVIMIENTOS!$E$4:$E$1000,C433,MOVIMIENTOS!$B$4:$B$1000,"A CORTE")-SUMIFS(MOVIMIENTOS!$F$4:$F$1000,MOVIMIENTOS!$C$4:$C$1000,A433,MOVIMIENTOS!$D$4:$D$1000,B433,MOVIMIENTOS!$E$4:$E$1000,C433,MOVIMIENTOS!$B$4:$B$1000,"A REPROCESO")-SUMIFS(MOVIMIENTOS!$F$4:$F$1000,MOVIMIENTOS!$C$4:$C$1000,A433,MOVIMIENTOS!$D$4:$D$1000,B433,MOVIMIENTOS!$E$4:$E$1000,C433,MOVIMIENTOS!$B$4:$B$1000,"MUESTRA")-SUMIFS(MOVIMIENTOS!$F$4:$F$1000,MOVIMIENTOS!$C$4:$C$1000,A433,MOVIMIENTOS!$D$4:$D$1000,B433,MOVIMIENTOS!$E$4:$E$1000,C433,MOVIMIENTOS!$B$4:$B$1000,"AJUSTE-"),0)</f>
        <v>0</v>
      </c>
      <c r="F433" s="101">
        <f>IFERROR(E433*VLOOKUP(B433,TELAS!$A$4:$C$32,3,FALSE()),0)</f>
        <v>0</v>
      </c>
      <c r="G433" s="102">
        <f>IFERROR(IF(D433="OSCURO",VLOOKUP(B433,PRECIOS!$A$4:$F$32,2,FALSE()),IF(D433="CLARO",VLOOKUP(B433,PRECIOS!$A$4:$F$32,3,FALSE()),IF(D433="MELANGE",VLOOKUP(B433,PRECIOS!$A$4:$F$32,4,FALSE()),IF(D433="PPT",VLOOKUP(B433,PRECIOS!$A$4:$F$32,5,FALSE()),0)))),0)</f>
        <v>21</v>
      </c>
      <c r="H433" s="103">
        <f t="shared" si="1"/>
        <v>0</v>
      </c>
      <c r="I433" s="104" t="str">
        <f>IF(E433&lt;0,"ERROR",IF(E433=0,"",IF(E433&lt;CONFIG!$B$4,"CRÍTICO",IF(E433&lt;CONFIG!$B$5,"BAJO","OK"))))</f>
        <v/>
      </c>
    </row>
    <row r="434" ht="15.75" customHeight="1">
      <c r="A434" s="90" t="str">
        <f>IF(CLIENTES!A7="","",CLIENTES!A7)</f>
        <v/>
      </c>
      <c r="B434" s="67" t="str">
        <f>TELAS!A4</f>
        <v>jersey 30/1</v>
      </c>
      <c r="C434" s="67" t="str">
        <f>COLORES!A14</f>
        <v>Denim</v>
      </c>
      <c r="D434" s="67" t="str">
        <f>COLORES!B14</f>
        <v>CLARO</v>
      </c>
      <c r="E434" s="100">
        <f>IFERROR(SUMIFS(MOVIMIENTOS!$F$4:$F$1000,MOVIMIENTOS!$C$4:$C$1000,A434,MOVIMIENTOS!$D$4:$D$1000,B434,MOVIMIENTOS!$E$4:$E$1000,C434,MOVIMIENTOS!$B$4:$B$1000,"INGRESO")+SUMIFS(MOVIMIENTOS!$F$4:$F$1000,MOVIMIENTOS!$C$4:$C$1000,A434,MOVIMIENTOS!$D$4:$D$1000,B434,MOVIMIENTOS!$E$4:$E$1000,C434,MOVIMIENTOS!$B$4:$B$1000,"DE REPROCESO")+SUMIFS(MOVIMIENTOS!$F$4:$F$1000,MOVIMIENTOS!$C$4:$C$1000,A434,MOVIMIENTOS!$D$4:$D$1000,B434,MOVIMIENTOS!$E$4:$E$1000,C434,MOVIMIENTOS!$B$4:$B$1000,"AJUSTE+")-SUMIFS(MOVIMIENTOS!$F$4:$F$1000,MOVIMIENTOS!$C$4:$C$1000,A434,MOVIMIENTOS!$D$4:$D$1000,B434,MOVIMIENTOS!$E$4:$E$1000,C434,MOVIMIENTOS!$B$4:$B$1000,"A CORTE")-SUMIFS(MOVIMIENTOS!$F$4:$F$1000,MOVIMIENTOS!$C$4:$C$1000,A434,MOVIMIENTOS!$D$4:$D$1000,B434,MOVIMIENTOS!$E$4:$E$1000,C434,MOVIMIENTOS!$B$4:$B$1000,"A REPROCESO")-SUMIFS(MOVIMIENTOS!$F$4:$F$1000,MOVIMIENTOS!$C$4:$C$1000,A434,MOVIMIENTOS!$D$4:$D$1000,B434,MOVIMIENTOS!$E$4:$E$1000,C434,MOVIMIENTOS!$B$4:$B$1000,"MUESTRA")-SUMIFS(MOVIMIENTOS!$F$4:$F$1000,MOVIMIENTOS!$C$4:$C$1000,A434,MOVIMIENTOS!$D$4:$D$1000,B434,MOVIMIENTOS!$E$4:$E$1000,C434,MOVIMIENTOS!$B$4:$B$1000,"AJUSTE-"),0)</f>
        <v>0</v>
      </c>
      <c r="F434" s="101">
        <f>IFERROR(E434*VLOOKUP(B434,TELAS!$A$4:$C$32,3,FALSE()),0)</f>
        <v>0</v>
      </c>
      <c r="G434" s="102">
        <f>IFERROR(IF(D434="OSCURO",VLOOKUP(B434,PRECIOS!$A$4:$F$32,2,FALSE()),IF(D434="CLARO",VLOOKUP(B434,PRECIOS!$A$4:$F$32,3,FALSE()),IF(D434="MELANGE",VLOOKUP(B434,PRECIOS!$A$4:$F$32,4,FALSE()),IF(D434="PPT",VLOOKUP(B434,PRECIOS!$A$4:$F$32,5,FALSE()),0)))),0)</f>
        <v>21</v>
      </c>
      <c r="H434" s="103">
        <f t="shared" si="1"/>
        <v>0</v>
      </c>
      <c r="I434" s="104" t="str">
        <f>IF(E434&lt;0,"ERROR",IF(E434=0,"",IF(E434&lt;CONFIG!$B$4,"CRÍTICO",IF(E434&lt;CONFIG!$B$5,"BAJO","OK"))))</f>
        <v/>
      </c>
    </row>
    <row r="435" ht="15.75" customHeight="1">
      <c r="A435" s="90" t="str">
        <f>IF(CLIENTES!A7="","",CLIENTES!A7)</f>
        <v/>
      </c>
      <c r="B435" s="67" t="str">
        <f>TELAS!A4</f>
        <v>jersey 30/1</v>
      </c>
      <c r="C435" s="67" t="str">
        <f>COLORES!A15</f>
        <v>Plomo</v>
      </c>
      <c r="D435" s="67" t="str">
        <f>COLORES!B15</f>
        <v>OSCURO</v>
      </c>
      <c r="E435" s="100">
        <f>IFERROR(SUMIFS(MOVIMIENTOS!$F$4:$F$1000,MOVIMIENTOS!$C$4:$C$1000,A435,MOVIMIENTOS!$D$4:$D$1000,B435,MOVIMIENTOS!$E$4:$E$1000,C435,MOVIMIENTOS!$B$4:$B$1000,"INGRESO")+SUMIFS(MOVIMIENTOS!$F$4:$F$1000,MOVIMIENTOS!$C$4:$C$1000,A435,MOVIMIENTOS!$D$4:$D$1000,B435,MOVIMIENTOS!$E$4:$E$1000,C435,MOVIMIENTOS!$B$4:$B$1000,"DE REPROCESO")+SUMIFS(MOVIMIENTOS!$F$4:$F$1000,MOVIMIENTOS!$C$4:$C$1000,A435,MOVIMIENTOS!$D$4:$D$1000,B435,MOVIMIENTOS!$E$4:$E$1000,C435,MOVIMIENTOS!$B$4:$B$1000,"AJUSTE+")-SUMIFS(MOVIMIENTOS!$F$4:$F$1000,MOVIMIENTOS!$C$4:$C$1000,A435,MOVIMIENTOS!$D$4:$D$1000,B435,MOVIMIENTOS!$E$4:$E$1000,C435,MOVIMIENTOS!$B$4:$B$1000,"A CORTE")-SUMIFS(MOVIMIENTOS!$F$4:$F$1000,MOVIMIENTOS!$C$4:$C$1000,A435,MOVIMIENTOS!$D$4:$D$1000,B435,MOVIMIENTOS!$E$4:$E$1000,C435,MOVIMIENTOS!$B$4:$B$1000,"A REPROCESO")-SUMIFS(MOVIMIENTOS!$F$4:$F$1000,MOVIMIENTOS!$C$4:$C$1000,A435,MOVIMIENTOS!$D$4:$D$1000,B435,MOVIMIENTOS!$E$4:$E$1000,C435,MOVIMIENTOS!$B$4:$B$1000,"MUESTRA")-SUMIFS(MOVIMIENTOS!$F$4:$F$1000,MOVIMIENTOS!$C$4:$C$1000,A435,MOVIMIENTOS!$D$4:$D$1000,B435,MOVIMIENTOS!$E$4:$E$1000,C435,MOVIMIENTOS!$B$4:$B$1000,"AJUSTE-"),0)</f>
        <v>0</v>
      </c>
      <c r="F435" s="101">
        <f>IFERROR(E435*VLOOKUP(B435,TELAS!$A$4:$C$32,3,FALSE()),0)</f>
        <v>0</v>
      </c>
      <c r="G435" s="102">
        <f>IFERROR(IF(D435="OSCURO",VLOOKUP(B435,PRECIOS!$A$4:$F$32,2,FALSE()),IF(D435="CLARO",VLOOKUP(B435,PRECIOS!$A$4:$F$32,3,FALSE()),IF(D435="MELANGE",VLOOKUP(B435,PRECIOS!$A$4:$F$32,4,FALSE()),IF(D435="PPT",VLOOKUP(B435,PRECIOS!$A$4:$F$32,5,FALSE()),0)))),0)</f>
        <v>24</v>
      </c>
      <c r="H435" s="103">
        <f t="shared" si="1"/>
        <v>0</v>
      </c>
      <c r="I435" s="104" t="str">
        <f>IF(E435&lt;0,"ERROR",IF(E435=0,"",IF(E435&lt;CONFIG!$B$4,"CRÍTICO",IF(E435&lt;CONFIG!$B$5,"BAJO","OK"))))</f>
        <v/>
      </c>
    </row>
    <row r="436" ht="15.75" customHeight="1">
      <c r="A436" s="90" t="str">
        <f>IF(CLIENTES!A7="","",CLIENTES!A7)</f>
        <v/>
      </c>
      <c r="B436" s="67" t="str">
        <f>TELAS!A4</f>
        <v>jersey 30/1</v>
      </c>
      <c r="C436" s="67" t="str">
        <f>COLORES!A16</f>
        <v>Topo</v>
      </c>
      <c r="D436" s="67" t="str">
        <f>COLORES!B16</f>
        <v>CLARO</v>
      </c>
      <c r="E436" s="100">
        <f>IFERROR(SUMIFS(MOVIMIENTOS!$F$4:$F$1000,MOVIMIENTOS!$C$4:$C$1000,A436,MOVIMIENTOS!$D$4:$D$1000,B436,MOVIMIENTOS!$E$4:$E$1000,C436,MOVIMIENTOS!$B$4:$B$1000,"INGRESO")+SUMIFS(MOVIMIENTOS!$F$4:$F$1000,MOVIMIENTOS!$C$4:$C$1000,A436,MOVIMIENTOS!$D$4:$D$1000,B436,MOVIMIENTOS!$E$4:$E$1000,C436,MOVIMIENTOS!$B$4:$B$1000,"DE REPROCESO")+SUMIFS(MOVIMIENTOS!$F$4:$F$1000,MOVIMIENTOS!$C$4:$C$1000,A436,MOVIMIENTOS!$D$4:$D$1000,B436,MOVIMIENTOS!$E$4:$E$1000,C436,MOVIMIENTOS!$B$4:$B$1000,"AJUSTE+")-SUMIFS(MOVIMIENTOS!$F$4:$F$1000,MOVIMIENTOS!$C$4:$C$1000,A436,MOVIMIENTOS!$D$4:$D$1000,B436,MOVIMIENTOS!$E$4:$E$1000,C436,MOVIMIENTOS!$B$4:$B$1000,"A CORTE")-SUMIFS(MOVIMIENTOS!$F$4:$F$1000,MOVIMIENTOS!$C$4:$C$1000,A436,MOVIMIENTOS!$D$4:$D$1000,B436,MOVIMIENTOS!$E$4:$E$1000,C436,MOVIMIENTOS!$B$4:$B$1000,"A REPROCESO")-SUMIFS(MOVIMIENTOS!$F$4:$F$1000,MOVIMIENTOS!$C$4:$C$1000,A436,MOVIMIENTOS!$D$4:$D$1000,B436,MOVIMIENTOS!$E$4:$E$1000,C436,MOVIMIENTOS!$B$4:$B$1000,"MUESTRA")-SUMIFS(MOVIMIENTOS!$F$4:$F$1000,MOVIMIENTOS!$C$4:$C$1000,A436,MOVIMIENTOS!$D$4:$D$1000,B436,MOVIMIENTOS!$E$4:$E$1000,C436,MOVIMIENTOS!$B$4:$B$1000,"AJUSTE-"),0)</f>
        <v>0</v>
      </c>
      <c r="F436" s="101">
        <f>IFERROR(E436*VLOOKUP(B436,TELAS!$A$4:$C$32,3,FALSE()),0)</f>
        <v>0</v>
      </c>
      <c r="G436" s="102">
        <f>IFERROR(IF(D436="OSCURO",VLOOKUP(B436,PRECIOS!$A$4:$F$32,2,FALSE()),IF(D436="CLARO",VLOOKUP(B436,PRECIOS!$A$4:$F$32,3,FALSE()),IF(D436="MELANGE",VLOOKUP(B436,PRECIOS!$A$4:$F$32,4,FALSE()),IF(D436="PPT",VLOOKUP(B436,PRECIOS!$A$4:$F$32,5,FALSE()),0)))),0)</f>
        <v>21</v>
      </c>
      <c r="H436" s="103">
        <f t="shared" si="1"/>
        <v>0</v>
      </c>
      <c r="I436" s="104" t="str">
        <f>IF(E436&lt;0,"ERROR",IF(E436=0,"",IF(E436&lt;CONFIG!$B$4,"CRÍTICO",IF(E436&lt;CONFIG!$B$5,"BAJO","OK"))))</f>
        <v/>
      </c>
    </row>
    <row r="437" ht="15.75" customHeight="1">
      <c r="A437" s="90" t="str">
        <f>IF(CLIENTES!A7="","",CLIENTES!A7)</f>
        <v/>
      </c>
      <c r="B437" s="67" t="str">
        <f>TELAS!A4</f>
        <v>jersey 30/1</v>
      </c>
      <c r="C437" s="67" t="str">
        <f>COLORES!A17</f>
        <v>Vino</v>
      </c>
      <c r="D437" s="67" t="str">
        <f>COLORES!B17</f>
        <v>OSCURO</v>
      </c>
      <c r="E437" s="100">
        <f>IFERROR(SUMIFS(MOVIMIENTOS!$F$4:$F$1000,MOVIMIENTOS!$C$4:$C$1000,A437,MOVIMIENTOS!$D$4:$D$1000,B437,MOVIMIENTOS!$E$4:$E$1000,C437,MOVIMIENTOS!$B$4:$B$1000,"INGRESO")+SUMIFS(MOVIMIENTOS!$F$4:$F$1000,MOVIMIENTOS!$C$4:$C$1000,A437,MOVIMIENTOS!$D$4:$D$1000,B437,MOVIMIENTOS!$E$4:$E$1000,C437,MOVIMIENTOS!$B$4:$B$1000,"DE REPROCESO")+SUMIFS(MOVIMIENTOS!$F$4:$F$1000,MOVIMIENTOS!$C$4:$C$1000,A437,MOVIMIENTOS!$D$4:$D$1000,B437,MOVIMIENTOS!$E$4:$E$1000,C437,MOVIMIENTOS!$B$4:$B$1000,"AJUSTE+")-SUMIFS(MOVIMIENTOS!$F$4:$F$1000,MOVIMIENTOS!$C$4:$C$1000,A437,MOVIMIENTOS!$D$4:$D$1000,B437,MOVIMIENTOS!$E$4:$E$1000,C437,MOVIMIENTOS!$B$4:$B$1000,"A CORTE")-SUMIFS(MOVIMIENTOS!$F$4:$F$1000,MOVIMIENTOS!$C$4:$C$1000,A437,MOVIMIENTOS!$D$4:$D$1000,B437,MOVIMIENTOS!$E$4:$E$1000,C437,MOVIMIENTOS!$B$4:$B$1000,"A REPROCESO")-SUMIFS(MOVIMIENTOS!$F$4:$F$1000,MOVIMIENTOS!$C$4:$C$1000,A437,MOVIMIENTOS!$D$4:$D$1000,B437,MOVIMIENTOS!$E$4:$E$1000,C437,MOVIMIENTOS!$B$4:$B$1000,"MUESTRA")-SUMIFS(MOVIMIENTOS!$F$4:$F$1000,MOVIMIENTOS!$C$4:$C$1000,A437,MOVIMIENTOS!$D$4:$D$1000,B437,MOVIMIENTOS!$E$4:$E$1000,C437,MOVIMIENTOS!$B$4:$B$1000,"AJUSTE-"),0)</f>
        <v>0</v>
      </c>
      <c r="F437" s="101">
        <f>IFERROR(E437*VLOOKUP(B437,TELAS!$A$4:$C$32,3,FALSE()),0)</f>
        <v>0</v>
      </c>
      <c r="G437" s="102">
        <f>IFERROR(IF(D437="OSCURO",VLOOKUP(B437,PRECIOS!$A$4:$F$32,2,FALSE()),IF(D437="CLARO",VLOOKUP(B437,PRECIOS!$A$4:$F$32,3,FALSE()),IF(D437="MELANGE",VLOOKUP(B437,PRECIOS!$A$4:$F$32,4,FALSE()),IF(D437="PPT",VLOOKUP(B437,PRECIOS!$A$4:$F$32,5,FALSE()),0)))),0)</f>
        <v>24</v>
      </c>
      <c r="H437" s="103">
        <f t="shared" si="1"/>
        <v>0</v>
      </c>
      <c r="I437" s="104" t="str">
        <f>IF(E437&lt;0,"ERROR",IF(E437=0,"",IF(E437&lt;CONFIG!$B$4,"CRÍTICO",IF(E437&lt;CONFIG!$B$5,"BAJO","OK"))))</f>
        <v/>
      </c>
    </row>
    <row r="438" ht="15.75" customHeight="1">
      <c r="A438" s="90" t="str">
        <f>IF(CLIENTES!A7="","",CLIENTES!A7)</f>
        <v/>
      </c>
      <c r="B438" s="67" t="str">
        <f>TELAS!A4</f>
        <v>jersey 30/1</v>
      </c>
      <c r="C438" s="67" t="str">
        <f>COLORES!A18</f>
        <v>P. Rosa</v>
      </c>
      <c r="D438" s="67" t="str">
        <f>COLORES!B18</f>
        <v>CLARO</v>
      </c>
      <c r="E438" s="100">
        <f>IFERROR(SUMIFS(MOVIMIENTOS!$F$4:$F$1000,MOVIMIENTOS!$C$4:$C$1000,A438,MOVIMIENTOS!$D$4:$D$1000,B438,MOVIMIENTOS!$E$4:$E$1000,C438,MOVIMIENTOS!$B$4:$B$1000,"INGRESO")+SUMIFS(MOVIMIENTOS!$F$4:$F$1000,MOVIMIENTOS!$C$4:$C$1000,A438,MOVIMIENTOS!$D$4:$D$1000,B438,MOVIMIENTOS!$E$4:$E$1000,C438,MOVIMIENTOS!$B$4:$B$1000,"DE REPROCESO")+SUMIFS(MOVIMIENTOS!$F$4:$F$1000,MOVIMIENTOS!$C$4:$C$1000,A438,MOVIMIENTOS!$D$4:$D$1000,B438,MOVIMIENTOS!$E$4:$E$1000,C438,MOVIMIENTOS!$B$4:$B$1000,"AJUSTE+")-SUMIFS(MOVIMIENTOS!$F$4:$F$1000,MOVIMIENTOS!$C$4:$C$1000,A438,MOVIMIENTOS!$D$4:$D$1000,B438,MOVIMIENTOS!$E$4:$E$1000,C438,MOVIMIENTOS!$B$4:$B$1000,"A CORTE")-SUMIFS(MOVIMIENTOS!$F$4:$F$1000,MOVIMIENTOS!$C$4:$C$1000,A438,MOVIMIENTOS!$D$4:$D$1000,B438,MOVIMIENTOS!$E$4:$E$1000,C438,MOVIMIENTOS!$B$4:$B$1000,"A REPROCESO")-SUMIFS(MOVIMIENTOS!$F$4:$F$1000,MOVIMIENTOS!$C$4:$C$1000,A438,MOVIMIENTOS!$D$4:$D$1000,B438,MOVIMIENTOS!$E$4:$E$1000,C438,MOVIMIENTOS!$B$4:$B$1000,"MUESTRA")-SUMIFS(MOVIMIENTOS!$F$4:$F$1000,MOVIMIENTOS!$C$4:$C$1000,A438,MOVIMIENTOS!$D$4:$D$1000,B438,MOVIMIENTOS!$E$4:$E$1000,C438,MOVIMIENTOS!$B$4:$B$1000,"AJUSTE-"),0)</f>
        <v>0</v>
      </c>
      <c r="F438" s="101">
        <f>IFERROR(E438*VLOOKUP(B438,TELAS!$A$4:$C$32,3,FALSE()),0)</f>
        <v>0</v>
      </c>
      <c r="G438" s="102">
        <f>IFERROR(IF(D438="OSCURO",VLOOKUP(B438,PRECIOS!$A$4:$F$32,2,FALSE()),IF(D438="CLARO",VLOOKUP(B438,PRECIOS!$A$4:$F$32,3,FALSE()),IF(D438="MELANGE",VLOOKUP(B438,PRECIOS!$A$4:$F$32,4,FALSE()),IF(D438="PPT",VLOOKUP(B438,PRECIOS!$A$4:$F$32,5,FALSE()),0)))),0)</f>
        <v>21</v>
      </c>
      <c r="H438" s="103">
        <f t="shared" si="1"/>
        <v>0</v>
      </c>
      <c r="I438" s="104" t="str">
        <f>IF(E438&lt;0,"ERROR",IF(E438=0,"",IF(E438&lt;CONFIG!$B$4,"CRÍTICO",IF(E438&lt;CONFIG!$B$5,"BAJO","OK"))))</f>
        <v/>
      </c>
    </row>
    <row r="439" ht="15.75" customHeight="1">
      <c r="A439" s="90" t="str">
        <f>IF(CLIENTES!A7="","",CLIENTES!A7)</f>
        <v/>
      </c>
      <c r="B439" s="67" t="str">
        <f>TELAS!A4</f>
        <v>jersey 30/1</v>
      </c>
      <c r="C439" s="67" t="str">
        <f>COLORES!A19</f>
        <v/>
      </c>
      <c r="D439" s="67" t="str">
        <f>COLORES!B19</f>
        <v/>
      </c>
      <c r="E439" s="100">
        <f>IFERROR(SUMIFS(MOVIMIENTOS!$F$4:$F$1000,MOVIMIENTOS!$C$4:$C$1000,A439,MOVIMIENTOS!$D$4:$D$1000,B439,MOVIMIENTOS!$E$4:$E$1000,C439,MOVIMIENTOS!$B$4:$B$1000,"INGRESO")+SUMIFS(MOVIMIENTOS!$F$4:$F$1000,MOVIMIENTOS!$C$4:$C$1000,A439,MOVIMIENTOS!$D$4:$D$1000,B439,MOVIMIENTOS!$E$4:$E$1000,C439,MOVIMIENTOS!$B$4:$B$1000,"DE REPROCESO")+SUMIFS(MOVIMIENTOS!$F$4:$F$1000,MOVIMIENTOS!$C$4:$C$1000,A439,MOVIMIENTOS!$D$4:$D$1000,B439,MOVIMIENTOS!$E$4:$E$1000,C439,MOVIMIENTOS!$B$4:$B$1000,"AJUSTE+")-SUMIFS(MOVIMIENTOS!$F$4:$F$1000,MOVIMIENTOS!$C$4:$C$1000,A439,MOVIMIENTOS!$D$4:$D$1000,B439,MOVIMIENTOS!$E$4:$E$1000,C439,MOVIMIENTOS!$B$4:$B$1000,"A CORTE")-SUMIFS(MOVIMIENTOS!$F$4:$F$1000,MOVIMIENTOS!$C$4:$C$1000,A439,MOVIMIENTOS!$D$4:$D$1000,B439,MOVIMIENTOS!$E$4:$E$1000,C439,MOVIMIENTOS!$B$4:$B$1000,"A REPROCESO")-SUMIFS(MOVIMIENTOS!$F$4:$F$1000,MOVIMIENTOS!$C$4:$C$1000,A439,MOVIMIENTOS!$D$4:$D$1000,B439,MOVIMIENTOS!$E$4:$E$1000,C439,MOVIMIENTOS!$B$4:$B$1000,"MUESTRA")-SUMIFS(MOVIMIENTOS!$F$4:$F$1000,MOVIMIENTOS!$C$4:$C$1000,A439,MOVIMIENTOS!$D$4:$D$1000,B439,MOVIMIENTOS!$E$4:$E$1000,C439,MOVIMIENTOS!$B$4:$B$1000,"AJUSTE-"),0)</f>
        <v>0</v>
      </c>
      <c r="F439" s="101">
        <f>IFERROR(E439*VLOOKUP(B439,TELAS!$A$4:$C$32,3,FALSE()),0)</f>
        <v>0</v>
      </c>
      <c r="G439" s="102">
        <f>IFERROR(IF(D439="OSCURO",VLOOKUP(B439,PRECIOS!$A$4:$F$32,2,FALSE()),IF(D439="CLARO",VLOOKUP(B439,PRECIOS!$A$4:$F$32,3,FALSE()),IF(D439="MELANGE",VLOOKUP(B439,PRECIOS!$A$4:$F$32,4,FALSE()),IF(D439="PPT",VLOOKUP(B439,PRECIOS!$A$4:$F$32,5,FALSE()),0)))),0)</f>
        <v>0</v>
      </c>
      <c r="H439" s="103">
        <f t="shared" si="1"/>
        <v>0</v>
      </c>
      <c r="I439" s="104" t="str">
        <f>IF(E439&lt;0,"ERROR",IF(E439=0,"",IF(E439&lt;CONFIG!$B$4,"CRÍTICO",IF(E439&lt;CONFIG!$B$5,"BAJO","OK"))))</f>
        <v/>
      </c>
    </row>
    <row r="440" ht="15.75" customHeight="1">
      <c r="A440" s="90" t="str">
        <f>IF(CLIENTES!A7="","",CLIENTES!A7)</f>
        <v/>
      </c>
      <c r="B440" s="67" t="str">
        <f>TELAS!A4</f>
        <v>jersey 30/1</v>
      </c>
      <c r="C440" s="67" t="str">
        <f>COLORES!A20</f>
        <v/>
      </c>
      <c r="D440" s="67" t="str">
        <f>COLORES!B20</f>
        <v/>
      </c>
      <c r="E440" s="100">
        <f>IFERROR(SUMIFS(MOVIMIENTOS!$F$4:$F$1000,MOVIMIENTOS!$C$4:$C$1000,A440,MOVIMIENTOS!$D$4:$D$1000,B440,MOVIMIENTOS!$E$4:$E$1000,C440,MOVIMIENTOS!$B$4:$B$1000,"INGRESO")+SUMIFS(MOVIMIENTOS!$F$4:$F$1000,MOVIMIENTOS!$C$4:$C$1000,A440,MOVIMIENTOS!$D$4:$D$1000,B440,MOVIMIENTOS!$E$4:$E$1000,C440,MOVIMIENTOS!$B$4:$B$1000,"DE REPROCESO")+SUMIFS(MOVIMIENTOS!$F$4:$F$1000,MOVIMIENTOS!$C$4:$C$1000,A440,MOVIMIENTOS!$D$4:$D$1000,B440,MOVIMIENTOS!$E$4:$E$1000,C440,MOVIMIENTOS!$B$4:$B$1000,"AJUSTE+")-SUMIFS(MOVIMIENTOS!$F$4:$F$1000,MOVIMIENTOS!$C$4:$C$1000,A440,MOVIMIENTOS!$D$4:$D$1000,B440,MOVIMIENTOS!$E$4:$E$1000,C440,MOVIMIENTOS!$B$4:$B$1000,"A CORTE")-SUMIFS(MOVIMIENTOS!$F$4:$F$1000,MOVIMIENTOS!$C$4:$C$1000,A440,MOVIMIENTOS!$D$4:$D$1000,B440,MOVIMIENTOS!$E$4:$E$1000,C440,MOVIMIENTOS!$B$4:$B$1000,"A REPROCESO")-SUMIFS(MOVIMIENTOS!$F$4:$F$1000,MOVIMIENTOS!$C$4:$C$1000,A440,MOVIMIENTOS!$D$4:$D$1000,B440,MOVIMIENTOS!$E$4:$E$1000,C440,MOVIMIENTOS!$B$4:$B$1000,"MUESTRA")-SUMIFS(MOVIMIENTOS!$F$4:$F$1000,MOVIMIENTOS!$C$4:$C$1000,A440,MOVIMIENTOS!$D$4:$D$1000,B440,MOVIMIENTOS!$E$4:$E$1000,C440,MOVIMIENTOS!$B$4:$B$1000,"AJUSTE-"),0)</f>
        <v>0</v>
      </c>
      <c r="F440" s="101">
        <f>IFERROR(E440*VLOOKUP(B440,TELAS!$A$4:$C$32,3,FALSE()),0)</f>
        <v>0</v>
      </c>
      <c r="G440" s="102">
        <f>IFERROR(IF(D440="OSCURO",VLOOKUP(B440,PRECIOS!$A$4:$F$32,2,FALSE()),IF(D440="CLARO",VLOOKUP(B440,PRECIOS!$A$4:$F$32,3,FALSE()),IF(D440="MELANGE",VLOOKUP(B440,PRECIOS!$A$4:$F$32,4,FALSE()),IF(D440="PPT",VLOOKUP(B440,PRECIOS!$A$4:$F$32,5,FALSE()),0)))),0)</f>
        <v>0</v>
      </c>
      <c r="H440" s="103">
        <f t="shared" si="1"/>
        <v>0</v>
      </c>
      <c r="I440" s="104" t="str">
        <f>IF(E440&lt;0,"ERROR",IF(E440=0,"",IF(E440&lt;CONFIG!$B$4,"CRÍTICO",IF(E440&lt;CONFIG!$B$5,"BAJO","OK"))))</f>
        <v/>
      </c>
    </row>
    <row r="441" ht="15.75" customHeight="1">
      <c r="A441" s="90" t="str">
        <f>IF(CLIENTES!A7="","",CLIENTES!A7)</f>
        <v/>
      </c>
      <c r="B441" s="67" t="str">
        <f>TELAS!A4</f>
        <v>jersey 30/1</v>
      </c>
      <c r="C441" s="67" t="str">
        <f>COLORES!A21</f>
        <v/>
      </c>
      <c r="D441" s="67" t="str">
        <f>COLORES!B21</f>
        <v/>
      </c>
      <c r="E441" s="100">
        <f>IFERROR(SUMIFS(MOVIMIENTOS!$F$4:$F$1000,MOVIMIENTOS!$C$4:$C$1000,A441,MOVIMIENTOS!$D$4:$D$1000,B441,MOVIMIENTOS!$E$4:$E$1000,C441,MOVIMIENTOS!$B$4:$B$1000,"INGRESO")+SUMIFS(MOVIMIENTOS!$F$4:$F$1000,MOVIMIENTOS!$C$4:$C$1000,A441,MOVIMIENTOS!$D$4:$D$1000,B441,MOVIMIENTOS!$E$4:$E$1000,C441,MOVIMIENTOS!$B$4:$B$1000,"DE REPROCESO")+SUMIFS(MOVIMIENTOS!$F$4:$F$1000,MOVIMIENTOS!$C$4:$C$1000,A441,MOVIMIENTOS!$D$4:$D$1000,B441,MOVIMIENTOS!$E$4:$E$1000,C441,MOVIMIENTOS!$B$4:$B$1000,"AJUSTE+")-SUMIFS(MOVIMIENTOS!$F$4:$F$1000,MOVIMIENTOS!$C$4:$C$1000,A441,MOVIMIENTOS!$D$4:$D$1000,B441,MOVIMIENTOS!$E$4:$E$1000,C441,MOVIMIENTOS!$B$4:$B$1000,"A CORTE")-SUMIFS(MOVIMIENTOS!$F$4:$F$1000,MOVIMIENTOS!$C$4:$C$1000,A441,MOVIMIENTOS!$D$4:$D$1000,B441,MOVIMIENTOS!$E$4:$E$1000,C441,MOVIMIENTOS!$B$4:$B$1000,"A REPROCESO")-SUMIFS(MOVIMIENTOS!$F$4:$F$1000,MOVIMIENTOS!$C$4:$C$1000,A441,MOVIMIENTOS!$D$4:$D$1000,B441,MOVIMIENTOS!$E$4:$E$1000,C441,MOVIMIENTOS!$B$4:$B$1000,"MUESTRA")-SUMIFS(MOVIMIENTOS!$F$4:$F$1000,MOVIMIENTOS!$C$4:$C$1000,A441,MOVIMIENTOS!$D$4:$D$1000,B441,MOVIMIENTOS!$E$4:$E$1000,C441,MOVIMIENTOS!$B$4:$B$1000,"AJUSTE-"),0)</f>
        <v>0</v>
      </c>
      <c r="F441" s="101">
        <f>IFERROR(E441*VLOOKUP(B441,TELAS!$A$4:$C$32,3,FALSE()),0)</f>
        <v>0</v>
      </c>
      <c r="G441" s="102">
        <f>IFERROR(IF(D441="OSCURO",VLOOKUP(B441,PRECIOS!$A$4:$F$32,2,FALSE()),IF(D441="CLARO",VLOOKUP(B441,PRECIOS!$A$4:$F$32,3,FALSE()),IF(D441="MELANGE",VLOOKUP(B441,PRECIOS!$A$4:$F$32,4,FALSE()),IF(D441="PPT",VLOOKUP(B441,PRECIOS!$A$4:$F$32,5,FALSE()),0)))),0)</f>
        <v>0</v>
      </c>
      <c r="H441" s="103">
        <f t="shared" si="1"/>
        <v>0</v>
      </c>
      <c r="I441" s="104" t="str">
        <f>IF(E441&lt;0,"ERROR",IF(E441=0,"",IF(E441&lt;CONFIG!$B$4,"CRÍTICO",IF(E441&lt;CONFIG!$B$5,"BAJO","OK"))))</f>
        <v/>
      </c>
    </row>
    <row r="442" ht="15.75" customHeight="1">
      <c r="A442" s="90" t="str">
        <f>IF(CLIENTES!A7="","",CLIENTES!A7)</f>
        <v/>
      </c>
      <c r="B442" s="67" t="str">
        <f>TELAS!A4</f>
        <v>jersey 30/1</v>
      </c>
      <c r="C442" s="67" t="str">
        <f>COLORES!A22</f>
        <v/>
      </c>
      <c r="D442" s="67" t="str">
        <f>COLORES!B22</f>
        <v/>
      </c>
      <c r="E442" s="100">
        <f>IFERROR(SUMIFS(MOVIMIENTOS!$F$4:$F$1000,MOVIMIENTOS!$C$4:$C$1000,A442,MOVIMIENTOS!$D$4:$D$1000,B442,MOVIMIENTOS!$E$4:$E$1000,C442,MOVIMIENTOS!$B$4:$B$1000,"INGRESO")+SUMIFS(MOVIMIENTOS!$F$4:$F$1000,MOVIMIENTOS!$C$4:$C$1000,A442,MOVIMIENTOS!$D$4:$D$1000,B442,MOVIMIENTOS!$E$4:$E$1000,C442,MOVIMIENTOS!$B$4:$B$1000,"DE REPROCESO")+SUMIFS(MOVIMIENTOS!$F$4:$F$1000,MOVIMIENTOS!$C$4:$C$1000,A442,MOVIMIENTOS!$D$4:$D$1000,B442,MOVIMIENTOS!$E$4:$E$1000,C442,MOVIMIENTOS!$B$4:$B$1000,"AJUSTE+")-SUMIFS(MOVIMIENTOS!$F$4:$F$1000,MOVIMIENTOS!$C$4:$C$1000,A442,MOVIMIENTOS!$D$4:$D$1000,B442,MOVIMIENTOS!$E$4:$E$1000,C442,MOVIMIENTOS!$B$4:$B$1000,"A CORTE")-SUMIFS(MOVIMIENTOS!$F$4:$F$1000,MOVIMIENTOS!$C$4:$C$1000,A442,MOVIMIENTOS!$D$4:$D$1000,B442,MOVIMIENTOS!$E$4:$E$1000,C442,MOVIMIENTOS!$B$4:$B$1000,"A REPROCESO")-SUMIFS(MOVIMIENTOS!$F$4:$F$1000,MOVIMIENTOS!$C$4:$C$1000,A442,MOVIMIENTOS!$D$4:$D$1000,B442,MOVIMIENTOS!$E$4:$E$1000,C442,MOVIMIENTOS!$B$4:$B$1000,"MUESTRA")-SUMIFS(MOVIMIENTOS!$F$4:$F$1000,MOVIMIENTOS!$C$4:$C$1000,A442,MOVIMIENTOS!$D$4:$D$1000,B442,MOVIMIENTOS!$E$4:$E$1000,C442,MOVIMIENTOS!$B$4:$B$1000,"AJUSTE-"),0)</f>
        <v>0</v>
      </c>
      <c r="F442" s="101">
        <f>IFERROR(E442*VLOOKUP(B442,TELAS!$A$4:$C$32,3,FALSE()),0)</f>
        <v>0</v>
      </c>
      <c r="G442" s="102">
        <f>IFERROR(IF(D442="OSCURO",VLOOKUP(B442,PRECIOS!$A$4:$F$32,2,FALSE()),IF(D442="CLARO",VLOOKUP(B442,PRECIOS!$A$4:$F$32,3,FALSE()),IF(D442="MELANGE",VLOOKUP(B442,PRECIOS!$A$4:$F$32,4,FALSE()),IF(D442="PPT",VLOOKUP(B442,PRECIOS!$A$4:$F$32,5,FALSE()),0)))),0)</f>
        <v>0</v>
      </c>
      <c r="H442" s="103">
        <f t="shared" si="1"/>
        <v>0</v>
      </c>
      <c r="I442" s="104" t="str">
        <f>IF(E442&lt;0,"ERROR",IF(E442=0,"",IF(E442&lt;CONFIG!$B$4,"CRÍTICO",IF(E442&lt;CONFIG!$B$5,"BAJO","OK"))))</f>
        <v/>
      </c>
    </row>
    <row r="443" ht="15.75" customHeight="1">
      <c r="A443" s="90" t="str">
        <f>IF(CLIENTES!A7="","",CLIENTES!A7)</f>
        <v/>
      </c>
      <c r="B443" s="67" t="str">
        <f>TELAS!A4</f>
        <v>jersey 30/1</v>
      </c>
      <c r="C443" s="67" t="str">
        <f>COLORES!A23</f>
        <v/>
      </c>
      <c r="D443" s="67" t="str">
        <f>COLORES!B23</f>
        <v/>
      </c>
      <c r="E443" s="100">
        <f>IFERROR(SUMIFS(MOVIMIENTOS!$F$4:$F$1000,MOVIMIENTOS!$C$4:$C$1000,A443,MOVIMIENTOS!$D$4:$D$1000,B443,MOVIMIENTOS!$E$4:$E$1000,C443,MOVIMIENTOS!$B$4:$B$1000,"INGRESO")+SUMIFS(MOVIMIENTOS!$F$4:$F$1000,MOVIMIENTOS!$C$4:$C$1000,A443,MOVIMIENTOS!$D$4:$D$1000,B443,MOVIMIENTOS!$E$4:$E$1000,C443,MOVIMIENTOS!$B$4:$B$1000,"DE REPROCESO")+SUMIFS(MOVIMIENTOS!$F$4:$F$1000,MOVIMIENTOS!$C$4:$C$1000,A443,MOVIMIENTOS!$D$4:$D$1000,B443,MOVIMIENTOS!$E$4:$E$1000,C443,MOVIMIENTOS!$B$4:$B$1000,"AJUSTE+")-SUMIFS(MOVIMIENTOS!$F$4:$F$1000,MOVIMIENTOS!$C$4:$C$1000,A443,MOVIMIENTOS!$D$4:$D$1000,B443,MOVIMIENTOS!$E$4:$E$1000,C443,MOVIMIENTOS!$B$4:$B$1000,"A CORTE")-SUMIFS(MOVIMIENTOS!$F$4:$F$1000,MOVIMIENTOS!$C$4:$C$1000,A443,MOVIMIENTOS!$D$4:$D$1000,B443,MOVIMIENTOS!$E$4:$E$1000,C443,MOVIMIENTOS!$B$4:$B$1000,"A REPROCESO")-SUMIFS(MOVIMIENTOS!$F$4:$F$1000,MOVIMIENTOS!$C$4:$C$1000,A443,MOVIMIENTOS!$D$4:$D$1000,B443,MOVIMIENTOS!$E$4:$E$1000,C443,MOVIMIENTOS!$B$4:$B$1000,"MUESTRA")-SUMIFS(MOVIMIENTOS!$F$4:$F$1000,MOVIMIENTOS!$C$4:$C$1000,A443,MOVIMIENTOS!$D$4:$D$1000,B443,MOVIMIENTOS!$E$4:$E$1000,C443,MOVIMIENTOS!$B$4:$B$1000,"AJUSTE-"),0)</f>
        <v>0</v>
      </c>
      <c r="F443" s="101">
        <f>IFERROR(E443*VLOOKUP(B443,TELAS!$A$4:$C$32,3,FALSE()),0)</f>
        <v>0</v>
      </c>
      <c r="G443" s="102">
        <f>IFERROR(IF(D443="OSCURO",VLOOKUP(B443,PRECIOS!$A$4:$F$32,2,FALSE()),IF(D443="CLARO",VLOOKUP(B443,PRECIOS!$A$4:$F$32,3,FALSE()),IF(D443="MELANGE",VLOOKUP(B443,PRECIOS!$A$4:$F$32,4,FALSE()),IF(D443="PPT",VLOOKUP(B443,PRECIOS!$A$4:$F$32,5,FALSE()),0)))),0)</f>
        <v>0</v>
      </c>
      <c r="H443" s="103">
        <f t="shared" si="1"/>
        <v>0</v>
      </c>
      <c r="I443" s="104" t="str">
        <f>IF(E443&lt;0,"ERROR",IF(E443=0,"",IF(E443&lt;CONFIG!$B$4,"CRÍTICO",IF(E443&lt;CONFIG!$B$5,"BAJO","OK"))))</f>
        <v/>
      </c>
    </row>
    <row r="444" ht="15.75" customHeight="1">
      <c r="A444" s="90" t="str">
        <f>IF(CLIENTES!A7="","",CLIENTES!A7)</f>
        <v/>
      </c>
      <c r="B444" s="67" t="str">
        <f>TELAS!A5</f>
        <v>pique 30/1</v>
      </c>
      <c r="C444" s="67" t="str">
        <f>COLORES!A4</f>
        <v>Negro</v>
      </c>
      <c r="D444" s="67" t="str">
        <f>COLORES!B4</f>
        <v>OSCURO</v>
      </c>
      <c r="E444" s="100">
        <f>IFERROR(SUMIFS(MOVIMIENTOS!$F$4:$F$1000,MOVIMIENTOS!$C$4:$C$1000,A444,MOVIMIENTOS!$D$4:$D$1000,B444,MOVIMIENTOS!$E$4:$E$1000,C444,MOVIMIENTOS!$B$4:$B$1000,"INGRESO")+SUMIFS(MOVIMIENTOS!$F$4:$F$1000,MOVIMIENTOS!$C$4:$C$1000,A444,MOVIMIENTOS!$D$4:$D$1000,B444,MOVIMIENTOS!$E$4:$E$1000,C444,MOVIMIENTOS!$B$4:$B$1000,"DE REPROCESO")+SUMIFS(MOVIMIENTOS!$F$4:$F$1000,MOVIMIENTOS!$C$4:$C$1000,A444,MOVIMIENTOS!$D$4:$D$1000,B444,MOVIMIENTOS!$E$4:$E$1000,C444,MOVIMIENTOS!$B$4:$B$1000,"AJUSTE+")-SUMIFS(MOVIMIENTOS!$F$4:$F$1000,MOVIMIENTOS!$C$4:$C$1000,A444,MOVIMIENTOS!$D$4:$D$1000,B444,MOVIMIENTOS!$E$4:$E$1000,C444,MOVIMIENTOS!$B$4:$B$1000,"A CORTE")-SUMIFS(MOVIMIENTOS!$F$4:$F$1000,MOVIMIENTOS!$C$4:$C$1000,A444,MOVIMIENTOS!$D$4:$D$1000,B444,MOVIMIENTOS!$E$4:$E$1000,C444,MOVIMIENTOS!$B$4:$B$1000,"A REPROCESO")-SUMIFS(MOVIMIENTOS!$F$4:$F$1000,MOVIMIENTOS!$C$4:$C$1000,A444,MOVIMIENTOS!$D$4:$D$1000,B444,MOVIMIENTOS!$E$4:$E$1000,C444,MOVIMIENTOS!$B$4:$B$1000,"MUESTRA")-SUMIFS(MOVIMIENTOS!$F$4:$F$1000,MOVIMIENTOS!$C$4:$C$1000,A444,MOVIMIENTOS!$D$4:$D$1000,B444,MOVIMIENTOS!$E$4:$E$1000,C444,MOVIMIENTOS!$B$4:$B$1000,"AJUSTE-"),0)</f>
        <v>0</v>
      </c>
      <c r="F444" s="101">
        <f>IFERROR(E444*VLOOKUP(B444,TELAS!$A$4:$C$32,3,FALSE()),0)</f>
        <v>0</v>
      </c>
      <c r="G444" s="102">
        <f>IFERROR(IF(D444="OSCURO",VLOOKUP(B444,PRECIOS!$A$4:$F$32,2,FALSE()),IF(D444="CLARO",VLOOKUP(B444,PRECIOS!$A$4:$F$32,3,FALSE()),IF(D444="MELANGE",VLOOKUP(B444,PRECIOS!$A$4:$F$32,4,FALSE()),IF(D444="PPT",VLOOKUP(B444,PRECIOS!$A$4:$F$32,5,FALSE()),0)))),0)</f>
        <v>24</v>
      </c>
      <c r="H444" s="103">
        <f t="shared" si="1"/>
        <v>0</v>
      </c>
      <c r="I444" s="104" t="str">
        <f>IF(E444&lt;0,"ERROR",IF(E444=0,"",IF(E444&lt;CONFIG!$B$4,"CRÍTICO",IF(E444&lt;CONFIG!$B$5,"BAJO","OK"))))</f>
        <v/>
      </c>
    </row>
    <row r="445" ht="15.75" customHeight="1">
      <c r="A445" s="90" t="str">
        <f>IF(CLIENTES!A7="","",CLIENTES!A7)</f>
        <v/>
      </c>
      <c r="B445" s="67" t="str">
        <f>TELAS!A5</f>
        <v>pique 30/1</v>
      </c>
      <c r="C445" s="67" t="str">
        <f>COLORES!A5</f>
        <v>Perla</v>
      </c>
      <c r="D445" s="67" t="str">
        <f>COLORES!B5</f>
        <v>PPT</v>
      </c>
      <c r="E445" s="100">
        <f>IFERROR(SUMIFS(MOVIMIENTOS!$F$4:$F$1000,MOVIMIENTOS!$C$4:$C$1000,A445,MOVIMIENTOS!$D$4:$D$1000,B445,MOVIMIENTOS!$E$4:$E$1000,C445,MOVIMIENTOS!$B$4:$B$1000,"INGRESO")+SUMIFS(MOVIMIENTOS!$F$4:$F$1000,MOVIMIENTOS!$C$4:$C$1000,A445,MOVIMIENTOS!$D$4:$D$1000,B445,MOVIMIENTOS!$E$4:$E$1000,C445,MOVIMIENTOS!$B$4:$B$1000,"DE REPROCESO")+SUMIFS(MOVIMIENTOS!$F$4:$F$1000,MOVIMIENTOS!$C$4:$C$1000,A445,MOVIMIENTOS!$D$4:$D$1000,B445,MOVIMIENTOS!$E$4:$E$1000,C445,MOVIMIENTOS!$B$4:$B$1000,"AJUSTE+")-SUMIFS(MOVIMIENTOS!$F$4:$F$1000,MOVIMIENTOS!$C$4:$C$1000,A445,MOVIMIENTOS!$D$4:$D$1000,B445,MOVIMIENTOS!$E$4:$E$1000,C445,MOVIMIENTOS!$B$4:$B$1000,"A CORTE")-SUMIFS(MOVIMIENTOS!$F$4:$F$1000,MOVIMIENTOS!$C$4:$C$1000,A445,MOVIMIENTOS!$D$4:$D$1000,B445,MOVIMIENTOS!$E$4:$E$1000,C445,MOVIMIENTOS!$B$4:$B$1000,"A REPROCESO")-SUMIFS(MOVIMIENTOS!$F$4:$F$1000,MOVIMIENTOS!$C$4:$C$1000,A445,MOVIMIENTOS!$D$4:$D$1000,B445,MOVIMIENTOS!$E$4:$E$1000,C445,MOVIMIENTOS!$B$4:$B$1000,"MUESTRA")-SUMIFS(MOVIMIENTOS!$F$4:$F$1000,MOVIMIENTOS!$C$4:$C$1000,A445,MOVIMIENTOS!$D$4:$D$1000,B445,MOVIMIENTOS!$E$4:$E$1000,C445,MOVIMIENTOS!$B$4:$B$1000,"AJUSTE-"),0)</f>
        <v>0</v>
      </c>
      <c r="F445" s="101">
        <f>IFERROR(E445*VLOOKUP(B445,TELAS!$A$4:$C$32,3,FALSE()),0)</f>
        <v>0</v>
      </c>
      <c r="G445" s="102">
        <f>IFERROR(IF(D445="OSCURO",VLOOKUP(B445,PRECIOS!$A$4:$F$32,2,FALSE()),IF(D445="CLARO",VLOOKUP(B445,PRECIOS!$A$4:$F$32,3,FALSE()),IF(D445="MELANGE",VLOOKUP(B445,PRECIOS!$A$4:$F$32,4,FALSE()),IF(D445="PPT",VLOOKUP(B445,PRECIOS!$A$4:$F$32,5,FALSE()),0)))),0)</f>
        <v>18</v>
      </c>
      <c r="H445" s="103">
        <f t="shared" si="1"/>
        <v>0</v>
      </c>
      <c r="I445" s="104" t="str">
        <f>IF(E445&lt;0,"ERROR",IF(E445=0,"",IF(E445&lt;CONFIG!$B$4,"CRÍTICO",IF(E445&lt;CONFIG!$B$5,"BAJO","OK"))))</f>
        <v/>
      </c>
    </row>
    <row r="446" ht="15.75" customHeight="1">
      <c r="A446" s="90" t="str">
        <f>IF(CLIENTES!A7="","",CLIENTES!A7)</f>
        <v/>
      </c>
      <c r="B446" s="67" t="str">
        <f>TELAS!A5</f>
        <v>pique 30/1</v>
      </c>
      <c r="C446" s="67" t="str">
        <f>COLORES!A6</f>
        <v>Blanco</v>
      </c>
      <c r="D446" s="67" t="str">
        <f>COLORES!B6</f>
        <v>PPT</v>
      </c>
      <c r="E446" s="100">
        <f>IFERROR(SUMIFS(MOVIMIENTOS!$F$4:$F$1000,MOVIMIENTOS!$C$4:$C$1000,A446,MOVIMIENTOS!$D$4:$D$1000,B446,MOVIMIENTOS!$E$4:$E$1000,C446,MOVIMIENTOS!$B$4:$B$1000,"INGRESO")+SUMIFS(MOVIMIENTOS!$F$4:$F$1000,MOVIMIENTOS!$C$4:$C$1000,A446,MOVIMIENTOS!$D$4:$D$1000,B446,MOVIMIENTOS!$E$4:$E$1000,C446,MOVIMIENTOS!$B$4:$B$1000,"DE REPROCESO")+SUMIFS(MOVIMIENTOS!$F$4:$F$1000,MOVIMIENTOS!$C$4:$C$1000,A446,MOVIMIENTOS!$D$4:$D$1000,B446,MOVIMIENTOS!$E$4:$E$1000,C446,MOVIMIENTOS!$B$4:$B$1000,"AJUSTE+")-SUMIFS(MOVIMIENTOS!$F$4:$F$1000,MOVIMIENTOS!$C$4:$C$1000,A446,MOVIMIENTOS!$D$4:$D$1000,B446,MOVIMIENTOS!$E$4:$E$1000,C446,MOVIMIENTOS!$B$4:$B$1000,"A CORTE")-SUMIFS(MOVIMIENTOS!$F$4:$F$1000,MOVIMIENTOS!$C$4:$C$1000,A446,MOVIMIENTOS!$D$4:$D$1000,B446,MOVIMIENTOS!$E$4:$E$1000,C446,MOVIMIENTOS!$B$4:$B$1000,"A REPROCESO")-SUMIFS(MOVIMIENTOS!$F$4:$F$1000,MOVIMIENTOS!$C$4:$C$1000,A446,MOVIMIENTOS!$D$4:$D$1000,B446,MOVIMIENTOS!$E$4:$E$1000,C446,MOVIMIENTOS!$B$4:$B$1000,"MUESTRA")-SUMIFS(MOVIMIENTOS!$F$4:$F$1000,MOVIMIENTOS!$C$4:$C$1000,A446,MOVIMIENTOS!$D$4:$D$1000,B446,MOVIMIENTOS!$E$4:$E$1000,C446,MOVIMIENTOS!$B$4:$B$1000,"AJUSTE-"),0)</f>
        <v>0</v>
      </c>
      <c r="F446" s="101">
        <f>IFERROR(E446*VLOOKUP(B446,TELAS!$A$4:$C$32,3,FALSE()),0)</f>
        <v>0</v>
      </c>
      <c r="G446" s="102">
        <f>IFERROR(IF(D446="OSCURO",VLOOKUP(B446,PRECIOS!$A$4:$F$32,2,FALSE()),IF(D446="CLARO",VLOOKUP(B446,PRECIOS!$A$4:$F$32,3,FALSE()),IF(D446="MELANGE",VLOOKUP(B446,PRECIOS!$A$4:$F$32,4,FALSE()),IF(D446="PPT",VLOOKUP(B446,PRECIOS!$A$4:$F$32,5,FALSE()),0)))),0)</f>
        <v>18</v>
      </c>
      <c r="H446" s="103">
        <f t="shared" si="1"/>
        <v>0</v>
      </c>
      <c r="I446" s="104" t="str">
        <f>IF(E446&lt;0,"ERROR",IF(E446=0,"",IF(E446&lt;CONFIG!$B$4,"CRÍTICO",IF(E446&lt;CONFIG!$B$5,"BAJO","OK"))))</f>
        <v/>
      </c>
    </row>
    <row r="447" ht="15.75" customHeight="1">
      <c r="A447" s="90" t="str">
        <f>IF(CLIENTES!A7="","",CLIENTES!A7)</f>
        <v/>
      </c>
      <c r="B447" s="67" t="str">
        <f>TELAS!A5</f>
        <v>pique 30/1</v>
      </c>
      <c r="C447" s="67" t="str">
        <f>COLORES!A7</f>
        <v>Azul</v>
      </c>
      <c r="D447" s="67" t="str">
        <f>COLORES!B7</f>
        <v>OSCURO</v>
      </c>
      <c r="E447" s="100">
        <f>IFERROR(SUMIFS(MOVIMIENTOS!$F$4:$F$1000,MOVIMIENTOS!$C$4:$C$1000,A447,MOVIMIENTOS!$D$4:$D$1000,B447,MOVIMIENTOS!$E$4:$E$1000,C447,MOVIMIENTOS!$B$4:$B$1000,"INGRESO")+SUMIFS(MOVIMIENTOS!$F$4:$F$1000,MOVIMIENTOS!$C$4:$C$1000,A447,MOVIMIENTOS!$D$4:$D$1000,B447,MOVIMIENTOS!$E$4:$E$1000,C447,MOVIMIENTOS!$B$4:$B$1000,"DE REPROCESO")+SUMIFS(MOVIMIENTOS!$F$4:$F$1000,MOVIMIENTOS!$C$4:$C$1000,A447,MOVIMIENTOS!$D$4:$D$1000,B447,MOVIMIENTOS!$E$4:$E$1000,C447,MOVIMIENTOS!$B$4:$B$1000,"AJUSTE+")-SUMIFS(MOVIMIENTOS!$F$4:$F$1000,MOVIMIENTOS!$C$4:$C$1000,A447,MOVIMIENTOS!$D$4:$D$1000,B447,MOVIMIENTOS!$E$4:$E$1000,C447,MOVIMIENTOS!$B$4:$B$1000,"A CORTE")-SUMIFS(MOVIMIENTOS!$F$4:$F$1000,MOVIMIENTOS!$C$4:$C$1000,A447,MOVIMIENTOS!$D$4:$D$1000,B447,MOVIMIENTOS!$E$4:$E$1000,C447,MOVIMIENTOS!$B$4:$B$1000,"A REPROCESO")-SUMIFS(MOVIMIENTOS!$F$4:$F$1000,MOVIMIENTOS!$C$4:$C$1000,A447,MOVIMIENTOS!$D$4:$D$1000,B447,MOVIMIENTOS!$E$4:$E$1000,C447,MOVIMIENTOS!$B$4:$B$1000,"MUESTRA")-SUMIFS(MOVIMIENTOS!$F$4:$F$1000,MOVIMIENTOS!$C$4:$C$1000,A447,MOVIMIENTOS!$D$4:$D$1000,B447,MOVIMIENTOS!$E$4:$E$1000,C447,MOVIMIENTOS!$B$4:$B$1000,"AJUSTE-"),0)</f>
        <v>0</v>
      </c>
      <c r="F447" s="101">
        <f>IFERROR(E447*VLOOKUP(B447,TELAS!$A$4:$C$32,3,FALSE()),0)</f>
        <v>0</v>
      </c>
      <c r="G447" s="102">
        <f>IFERROR(IF(D447="OSCURO",VLOOKUP(B447,PRECIOS!$A$4:$F$32,2,FALSE()),IF(D447="CLARO",VLOOKUP(B447,PRECIOS!$A$4:$F$32,3,FALSE()),IF(D447="MELANGE",VLOOKUP(B447,PRECIOS!$A$4:$F$32,4,FALSE()),IF(D447="PPT",VLOOKUP(B447,PRECIOS!$A$4:$F$32,5,FALSE()),0)))),0)</f>
        <v>24</v>
      </c>
      <c r="H447" s="103">
        <f t="shared" si="1"/>
        <v>0</v>
      </c>
      <c r="I447" s="104" t="str">
        <f>IF(E447&lt;0,"ERROR",IF(E447=0,"",IF(E447&lt;CONFIG!$B$4,"CRÍTICO",IF(E447&lt;CONFIG!$B$5,"BAJO","OK"))))</f>
        <v/>
      </c>
    </row>
    <row r="448" ht="15.75" customHeight="1">
      <c r="A448" s="90" t="str">
        <f>IF(CLIENTES!A7="","",CLIENTES!A7)</f>
        <v/>
      </c>
      <c r="B448" s="67" t="str">
        <f>TELAS!A5</f>
        <v>pique 30/1</v>
      </c>
      <c r="C448" s="67" t="str">
        <f>COLORES!A8</f>
        <v>Beige</v>
      </c>
      <c r="D448" s="67" t="str">
        <f>COLORES!B8</f>
        <v>CLARO</v>
      </c>
      <c r="E448" s="100">
        <f>IFERROR(SUMIFS(MOVIMIENTOS!$F$4:$F$1000,MOVIMIENTOS!$C$4:$C$1000,A448,MOVIMIENTOS!$D$4:$D$1000,B448,MOVIMIENTOS!$E$4:$E$1000,C448,MOVIMIENTOS!$B$4:$B$1000,"INGRESO")+SUMIFS(MOVIMIENTOS!$F$4:$F$1000,MOVIMIENTOS!$C$4:$C$1000,A448,MOVIMIENTOS!$D$4:$D$1000,B448,MOVIMIENTOS!$E$4:$E$1000,C448,MOVIMIENTOS!$B$4:$B$1000,"DE REPROCESO")+SUMIFS(MOVIMIENTOS!$F$4:$F$1000,MOVIMIENTOS!$C$4:$C$1000,A448,MOVIMIENTOS!$D$4:$D$1000,B448,MOVIMIENTOS!$E$4:$E$1000,C448,MOVIMIENTOS!$B$4:$B$1000,"AJUSTE+")-SUMIFS(MOVIMIENTOS!$F$4:$F$1000,MOVIMIENTOS!$C$4:$C$1000,A448,MOVIMIENTOS!$D$4:$D$1000,B448,MOVIMIENTOS!$E$4:$E$1000,C448,MOVIMIENTOS!$B$4:$B$1000,"A CORTE")-SUMIFS(MOVIMIENTOS!$F$4:$F$1000,MOVIMIENTOS!$C$4:$C$1000,A448,MOVIMIENTOS!$D$4:$D$1000,B448,MOVIMIENTOS!$E$4:$E$1000,C448,MOVIMIENTOS!$B$4:$B$1000,"A REPROCESO")-SUMIFS(MOVIMIENTOS!$F$4:$F$1000,MOVIMIENTOS!$C$4:$C$1000,A448,MOVIMIENTOS!$D$4:$D$1000,B448,MOVIMIENTOS!$E$4:$E$1000,C448,MOVIMIENTOS!$B$4:$B$1000,"MUESTRA")-SUMIFS(MOVIMIENTOS!$F$4:$F$1000,MOVIMIENTOS!$C$4:$C$1000,A448,MOVIMIENTOS!$D$4:$D$1000,B448,MOVIMIENTOS!$E$4:$E$1000,C448,MOVIMIENTOS!$B$4:$B$1000,"AJUSTE-"),0)</f>
        <v>0</v>
      </c>
      <c r="F448" s="101">
        <f>IFERROR(E448*VLOOKUP(B448,TELAS!$A$4:$C$32,3,FALSE()),0)</f>
        <v>0</v>
      </c>
      <c r="G448" s="102">
        <f>IFERROR(IF(D448="OSCURO",VLOOKUP(B448,PRECIOS!$A$4:$F$32,2,FALSE()),IF(D448="CLARO",VLOOKUP(B448,PRECIOS!$A$4:$F$32,3,FALSE()),IF(D448="MELANGE",VLOOKUP(B448,PRECIOS!$A$4:$F$32,4,FALSE()),IF(D448="PPT",VLOOKUP(B448,PRECIOS!$A$4:$F$32,5,FALSE()),0)))),0)</f>
        <v>21</v>
      </c>
      <c r="H448" s="103">
        <f t="shared" si="1"/>
        <v>0</v>
      </c>
      <c r="I448" s="104" t="str">
        <f>IF(E448&lt;0,"ERROR",IF(E448=0,"",IF(E448&lt;CONFIG!$B$4,"CRÍTICO",IF(E448&lt;CONFIG!$B$5,"BAJO","OK"))))</f>
        <v/>
      </c>
    </row>
    <row r="449" ht="15.75" customHeight="1">
      <c r="A449" s="90" t="str">
        <f>IF(CLIENTES!A7="","",CLIENTES!A7)</f>
        <v/>
      </c>
      <c r="B449" s="67" t="str">
        <f>TELAS!A5</f>
        <v>pique 30/1</v>
      </c>
      <c r="C449" s="67" t="str">
        <f>COLORES!A9</f>
        <v>Melange</v>
      </c>
      <c r="D449" s="67" t="str">
        <f>COLORES!B9</f>
        <v>MELANGE</v>
      </c>
      <c r="E449" s="100">
        <f>IFERROR(SUMIFS(MOVIMIENTOS!$F$4:$F$1000,MOVIMIENTOS!$C$4:$C$1000,A449,MOVIMIENTOS!$D$4:$D$1000,B449,MOVIMIENTOS!$E$4:$E$1000,C449,MOVIMIENTOS!$B$4:$B$1000,"INGRESO")+SUMIFS(MOVIMIENTOS!$F$4:$F$1000,MOVIMIENTOS!$C$4:$C$1000,A449,MOVIMIENTOS!$D$4:$D$1000,B449,MOVIMIENTOS!$E$4:$E$1000,C449,MOVIMIENTOS!$B$4:$B$1000,"DE REPROCESO")+SUMIFS(MOVIMIENTOS!$F$4:$F$1000,MOVIMIENTOS!$C$4:$C$1000,A449,MOVIMIENTOS!$D$4:$D$1000,B449,MOVIMIENTOS!$E$4:$E$1000,C449,MOVIMIENTOS!$B$4:$B$1000,"AJUSTE+")-SUMIFS(MOVIMIENTOS!$F$4:$F$1000,MOVIMIENTOS!$C$4:$C$1000,A449,MOVIMIENTOS!$D$4:$D$1000,B449,MOVIMIENTOS!$E$4:$E$1000,C449,MOVIMIENTOS!$B$4:$B$1000,"A CORTE")-SUMIFS(MOVIMIENTOS!$F$4:$F$1000,MOVIMIENTOS!$C$4:$C$1000,A449,MOVIMIENTOS!$D$4:$D$1000,B449,MOVIMIENTOS!$E$4:$E$1000,C449,MOVIMIENTOS!$B$4:$B$1000,"A REPROCESO")-SUMIFS(MOVIMIENTOS!$F$4:$F$1000,MOVIMIENTOS!$C$4:$C$1000,A449,MOVIMIENTOS!$D$4:$D$1000,B449,MOVIMIENTOS!$E$4:$E$1000,C449,MOVIMIENTOS!$B$4:$B$1000,"MUESTRA")-SUMIFS(MOVIMIENTOS!$F$4:$F$1000,MOVIMIENTOS!$C$4:$C$1000,A449,MOVIMIENTOS!$D$4:$D$1000,B449,MOVIMIENTOS!$E$4:$E$1000,C449,MOVIMIENTOS!$B$4:$B$1000,"AJUSTE-"),0)</f>
        <v>0</v>
      </c>
      <c r="F449" s="101">
        <f>IFERROR(E449*VLOOKUP(B449,TELAS!$A$4:$C$32,3,FALSE()),0)</f>
        <v>0</v>
      </c>
      <c r="G449" s="102">
        <f>IFERROR(IF(D449="OSCURO",VLOOKUP(B449,PRECIOS!$A$4:$F$32,2,FALSE()),IF(D449="CLARO",VLOOKUP(B449,PRECIOS!$A$4:$F$32,3,FALSE()),IF(D449="MELANGE",VLOOKUP(B449,PRECIOS!$A$4:$F$32,4,FALSE()),IF(D449="PPT",VLOOKUP(B449,PRECIOS!$A$4:$F$32,5,FALSE()),0)))),0)</f>
        <v>18</v>
      </c>
      <c r="H449" s="103">
        <f t="shared" si="1"/>
        <v>0</v>
      </c>
      <c r="I449" s="104" t="str">
        <f>IF(E449&lt;0,"ERROR",IF(E449=0,"",IF(E449&lt;CONFIG!$B$4,"CRÍTICO",IF(E449&lt;CONFIG!$B$5,"BAJO","OK"))))</f>
        <v/>
      </c>
    </row>
    <row r="450" ht="15.75" customHeight="1">
      <c r="A450" s="90" t="str">
        <f>IF(CLIENTES!A7="","",CLIENTES!A7)</f>
        <v/>
      </c>
      <c r="B450" s="67" t="str">
        <f>TELAS!A5</f>
        <v>pique 30/1</v>
      </c>
      <c r="C450" s="67" t="str">
        <f>COLORES!A10</f>
        <v>Botella</v>
      </c>
      <c r="D450" s="67" t="str">
        <f>COLORES!B10</f>
        <v>OSCURO</v>
      </c>
      <c r="E450" s="100">
        <f>IFERROR(SUMIFS(MOVIMIENTOS!$F$4:$F$1000,MOVIMIENTOS!$C$4:$C$1000,A450,MOVIMIENTOS!$D$4:$D$1000,B450,MOVIMIENTOS!$E$4:$E$1000,C450,MOVIMIENTOS!$B$4:$B$1000,"INGRESO")+SUMIFS(MOVIMIENTOS!$F$4:$F$1000,MOVIMIENTOS!$C$4:$C$1000,A450,MOVIMIENTOS!$D$4:$D$1000,B450,MOVIMIENTOS!$E$4:$E$1000,C450,MOVIMIENTOS!$B$4:$B$1000,"DE REPROCESO")+SUMIFS(MOVIMIENTOS!$F$4:$F$1000,MOVIMIENTOS!$C$4:$C$1000,A450,MOVIMIENTOS!$D$4:$D$1000,B450,MOVIMIENTOS!$E$4:$E$1000,C450,MOVIMIENTOS!$B$4:$B$1000,"AJUSTE+")-SUMIFS(MOVIMIENTOS!$F$4:$F$1000,MOVIMIENTOS!$C$4:$C$1000,A450,MOVIMIENTOS!$D$4:$D$1000,B450,MOVIMIENTOS!$E$4:$E$1000,C450,MOVIMIENTOS!$B$4:$B$1000,"A CORTE")-SUMIFS(MOVIMIENTOS!$F$4:$F$1000,MOVIMIENTOS!$C$4:$C$1000,A450,MOVIMIENTOS!$D$4:$D$1000,B450,MOVIMIENTOS!$E$4:$E$1000,C450,MOVIMIENTOS!$B$4:$B$1000,"A REPROCESO")-SUMIFS(MOVIMIENTOS!$F$4:$F$1000,MOVIMIENTOS!$C$4:$C$1000,A450,MOVIMIENTOS!$D$4:$D$1000,B450,MOVIMIENTOS!$E$4:$E$1000,C450,MOVIMIENTOS!$B$4:$B$1000,"MUESTRA")-SUMIFS(MOVIMIENTOS!$F$4:$F$1000,MOVIMIENTOS!$C$4:$C$1000,A450,MOVIMIENTOS!$D$4:$D$1000,B450,MOVIMIENTOS!$E$4:$E$1000,C450,MOVIMIENTOS!$B$4:$B$1000,"AJUSTE-"),0)</f>
        <v>0</v>
      </c>
      <c r="F450" s="101">
        <f>IFERROR(E450*VLOOKUP(B450,TELAS!$A$4:$C$32,3,FALSE()),0)</f>
        <v>0</v>
      </c>
      <c r="G450" s="102">
        <f>IFERROR(IF(D450="OSCURO",VLOOKUP(B450,PRECIOS!$A$4:$F$32,2,FALSE()),IF(D450="CLARO",VLOOKUP(B450,PRECIOS!$A$4:$F$32,3,FALSE()),IF(D450="MELANGE",VLOOKUP(B450,PRECIOS!$A$4:$F$32,4,FALSE()),IF(D450="PPT",VLOOKUP(B450,PRECIOS!$A$4:$F$32,5,FALSE()),0)))),0)</f>
        <v>24</v>
      </c>
      <c r="H450" s="103">
        <f t="shared" si="1"/>
        <v>0</v>
      </c>
      <c r="I450" s="104" t="str">
        <f>IF(E450&lt;0,"ERROR",IF(E450=0,"",IF(E450&lt;CONFIG!$B$4,"CRÍTICO",IF(E450&lt;CONFIG!$B$5,"BAJO","OK"))))</f>
        <v/>
      </c>
    </row>
    <row r="451" ht="15.75" customHeight="1">
      <c r="A451" s="90" t="str">
        <f>IF(CLIENTES!A7="","",CLIENTES!A7)</f>
        <v/>
      </c>
      <c r="B451" s="67" t="str">
        <f>TELAS!A5</f>
        <v>pique 30/1</v>
      </c>
      <c r="C451" s="67" t="str">
        <f>COLORES!A11</f>
        <v>Pacay</v>
      </c>
      <c r="D451" s="67" t="str">
        <f>COLORES!B11</f>
        <v>CLARO</v>
      </c>
      <c r="E451" s="100">
        <f>IFERROR(SUMIFS(MOVIMIENTOS!$F$4:$F$1000,MOVIMIENTOS!$C$4:$C$1000,A451,MOVIMIENTOS!$D$4:$D$1000,B451,MOVIMIENTOS!$E$4:$E$1000,C451,MOVIMIENTOS!$B$4:$B$1000,"INGRESO")+SUMIFS(MOVIMIENTOS!$F$4:$F$1000,MOVIMIENTOS!$C$4:$C$1000,A451,MOVIMIENTOS!$D$4:$D$1000,B451,MOVIMIENTOS!$E$4:$E$1000,C451,MOVIMIENTOS!$B$4:$B$1000,"DE REPROCESO")+SUMIFS(MOVIMIENTOS!$F$4:$F$1000,MOVIMIENTOS!$C$4:$C$1000,A451,MOVIMIENTOS!$D$4:$D$1000,B451,MOVIMIENTOS!$E$4:$E$1000,C451,MOVIMIENTOS!$B$4:$B$1000,"AJUSTE+")-SUMIFS(MOVIMIENTOS!$F$4:$F$1000,MOVIMIENTOS!$C$4:$C$1000,A451,MOVIMIENTOS!$D$4:$D$1000,B451,MOVIMIENTOS!$E$4:$E$1000,C451,MOVIMIENTOS!$B$4:$B$1000,"A CORTE")-SUMIFS(MOVIMIENTOS!$F$4:$F$1000,MOVIMIENTOS!$C$4:$C$1000,A451,MOVIMIENTOS!$D$4:$D$1000,B451,MOVIMIENTOS!$E$4:$E$1000,C451,MOVIMIENTOS!$B$4:$B$1000,"A REPROCESO")-SUMIFS(MOVIMIENTOS!$F$4:$F$1000,MOVIMIENTOS!$C$4:$C$1000,A451,MOVIMIENTOS!$D$4:$D$1000,B451,MOVIMIENTOS!$E$4:$E$1000,C451,MOVIMIENTOS!$B$4:$B$1000,"MUESTRA")-SUMIFS(MOVIMIENTOS!$F$4:$F$1000,MOVIMIENTOS!$C$4:$C$1000,A451,MOVIMIENTOS!$D$4:$D$1000,B451,MOVIMIENTOS!$E$4:$E$1000,C451,MOVIMIENTOS!$B$4:$B$1000,"AJUSTE-"),0)</f>
        <v>0</v>
      </c>
      <c r="F451" s="101">
        <f>IFERROR(E451*VLOOKUP(B451,TELAS!$A$4:$C$32,3,FALSE()),0)</f>
        <v>0</v>
      </c>
      <c r="G451" s="102">
        <f>IFERROR(IF(D451="OSCURO",VLOOKUP(B451,PRECIOS!$A$4:$F$32,2,FALSE()),IF(D451="CLARO",VLOOKUP(B451,PRECIOS!$A$4:$F$32,3,FALSE()),IF(D451="MELANGE",VLOOKUP(B451,PRECIOS!$A$4:$F$32,4,FALSE()),IF(D451="PPT",VLOOKUP(B451,PRECIOS!$A$4:$F$32,5,FALSE()),0)))),0)</f>
        <v>21</v>
      </c>
      <c r="H451" s="103">
        <f t="shared" si="1"/>
        <v>0</v>
      </c>
      <c r="I451" s="104" t="str">
        <f>IF(E451&lt;0,"ERROR",IF(E451=0,"",IF(E451&lt;CONFIG!$B$4,"CRÍTICO",IF(E451&lt;CONFIG!$B$5,"BAJO","OK"))))</f>
        <v/>
      </c>
    </row>
    <row r="452" ht="15.75" customHeight="1">
      <c r="A452" s="90" t="str">
        <f>IF(CLIENTES!A7="","",CLIENTES!A7)</f>
        <v/>
      </c>
      <c r="B452" s="67" t="str">
        <f>TELAS!A5</f>
        <v>pique 30/1</v>
      </c>
      <c r="C452" s="67" t="str">
        <f>COLORES!A12</f>
        <v>Cemento</v>
      </c>
      <c r="D452" s="67" t="str">
        <f>COLORES!B12</f>
        <v>CLARO</v>
      </c>
      <c r="E452" s="100">
        <f>IFERROR(SUMIFS(MOVIMIENTOS!$F$4:$F$1000,MOVIMIENTOS!$C$4:$C$1000,A452,MOVIMIENTOS!$D$4:$D$1000,B452,MOVIMIENTOS!$E$4:$E$1000,C452,MOVIMIENTOS!$B$4:$B$1000,"INGRESO")+SUMIFS(MOVIMIENTOS!$F$4:$F$1000,MOVIMIENTOS!$C$4:$C$1000,A452,MOVIMIENTOS!$D$4:$D$1000,B452,MOVIMIENTOS!$E$4:$E$1000,C452,MOVIMIENTOS!$B$4:$B$1000,"DE REPROCESO")+SUMIFS(MOVIMIENTOS!$F$4:$F$1000,MOVIMIENTOS!$C$4:$C$1000,A452,MOVIMIENTOS!$D$4:$D$1000,B452,MOVIMIENTOS!$E$4:$E$1000,C452,MOVIMIENTOS!$B$4:$B$1000,"AJUSTE+")-SUMIFS(MOVIMIENTOS!$F$4:$F$1000,MOVIMIENTOS!$C$4:$C$1000,A452,MOVIMIENTOS!$D$4:$D$1000,B452,MOVIMIENTOS!$E$4:$E$1000,C452,MOVIMIENTOS!$B$4:$B$1000,"A CORTE")-SUMIFS(MOVIMIENTOS!$F$4:$F$1000,MOVIMIENTOS!$C$4:$C$1000,A452,MOVIMIENTOS!$D$4:$D$1000,B452,MOVIMIENTOS!$E$4:$E$1000,C452,MOVIMIENTOS!$B$4:$B$1000,"A REPROCESO")-SUMIFS(MOVIMIENTOS!$F$4:$F$1000,MOVIMIENTOS!$C$4:$C$1000,A452,MOVIMIENTOS!$D$4:$D$1000,B452,MOVIMIENTOS!$E$4:$E$1000,C452,MOVIMIENTOS!$B$4:$B$1000,"MUESTRA")-SUMIFS(MOVIMIENTOS!$F$4:$F$1000,MOVIMIENTOS!$C$4:$C$1000,A452,MOVIMIENTOS!$D$4:$D$1000,B452,MOVIMIENTOS!$E$4:$E$1000,C452,MOVIMIENTOS!$B$4:$B$1000,"AJUSTE-"),0)</f>
        <v>0</v>
      </c>
      <c r="F452" s="101">
        <f>IFERROR(E452*VLOOKUP(B452,TELAS!$A$4:$C$32,3,FALSE()),0)</f>
        <v>0</v>
      </c>
      <c r="G452" s="102">
        <f>IFERROR(IF(D452="OSCURO",VLOOKUP(B452,PRECIOS!$A$4:$F$32,2,FALSE()),IF(D452="CLARO",VLOOKUP(B452,PRECIOS!$A$4:$F$32,3,FALSE()),IF(D452="MELANGE",VLOOKUP(B452,PRECIOS!$A$4:$F$32,4,FALSE()),IF(D452="PPT",VLOOKUP(B452,PRECIOS!$A$4:$F$32,5,FALSE()),0)))),0)</f>
        <v>21</v>
      </c>
      <c r="H452" s="103">
        <f t="shared" si="1"/>
        <v>0</v>
      </c>
      <c r="I452" s="104" t="str">
        <f>IF(E452&lt;0,"ERROR",IF(E452=0,"",IF(E452&lt;CONFIG!$B$4,"CRÍTICO",IF(E452&lt;CONFIG!$B$5,"BAJO","OK"))))</f>
        <v/>
      </c>
    </row>
    <row r="453" ht="15.75" customHeight="1">
      <c r="A453" s="90" t="str">
        <f>IF(CLIENTES!A7="","",CLIENTES!A7)</f>
        <v/>
      </c>
      <c r="B453" s="67" t="str">
        <f>TELAS!A5</f>
        <v>pique 30/1</v>
      </c>
      <c r="C453" s="67" t="str">
        <f>COLORES!A13</f>
        <v>Camote</v>
      </c>
      <c r="D453" s="67" t="str">
        <f>COLORES!B13</f>
        <v>CLARO</v>
      </c>
      <c r="E453" s="100">
        <f>IFERROR(SUMIFS(MOVIMIENTOS!$F$4:$F$1000,MOVIMIENTOS!$C$4:$C$1000,A453,MOVIMIENTOS!$D$4:$D$1000,B453,MOVIMIENTOS!$E$4:$E$1000,C453,MOVIMIENTOS!$B$4:$B$1000,"INGRESO")+SUMIFS(MOVIMIENTOS!$F$4:$F$1000,MOVIMIENTOS!$C$4:$C$1000,A453,MOVIMIENTOS!$D$4:$D$1000,B453,MOVIMIENTOS!$E$4:$E$1000,C453,MOVIMIENTOS!$B$4:$B$1000,"DE REPROCESO")+SUMIFS(MOVIMIENTOS!$F$4:$F$1000,MOVIMIENTOS!$C$4:$C$1000,A453,MOVIMIENTOS!$D$4:$D$1000,B453,MOVIMIENTOS!$E$4:$E$1000,C453,MOVIMIENTOS!$B$4:$B$1000,"AJUSTE+")-SUMIFS(MOVIMIENTOS!$F$4:$F$1000,MOVIMIENTOS!$C$4:$C$1000,A453,MOVIMIENTOS!$D$4:$D$1000,B453,MOVIMIENTOS!$E$4:$E$1000,C453,MOVIMIENTOS!$B$4:$B$1000,"A CORTE")-SUMIFS(MOVIMIENTOS!$F$4:$F$1000,MOVIMIENTOS!$C$4:$C$1000,A453,MOVIMIENTOS!$D$4:$D$1000,B453,MOVIMIENTOS!$E$4:$E$1000,C453,MOVIMIENTOS!$B$4:$B$1000,"A REPROCESO")-SUMIFS(MOVIMIENTOS!$F$4:$F$1000,MOVIMIENTOS!$C$4:$C$1000,A453,MOVIMIENTOS!$D$4:$D$1000,B453,MOVIMIENTOS!$E$4:$E$1000,C453,MOVIMIENTOS!$B$4:$B$1000,"MUESTRA")-SUMIFS(MOVIMIENTOS!$F$4:$F$1000,MOVIMIENTOS!$C$4:$C$1000,A453,MOVIMIENTOS!$D$4:$D$1000,B453,MOVIMIENTOS!$E$4:$E$1000,C453,MOVIMIENTOS!$B$4:$B$1000,"AJUSTE-"),0)</f>
        <v>0</v>
      </c>
      <c r="F453" s="101">
        <f>IFERROR(E453*VLOOKUP(B453,TELAS!$A$4:$C$32,3,FALSE()),0)</f>
        <v>0</v>
      </c>
      <c r="G453" s="102">
        <f>IFERROR(IF(D453="OSCURO",VLOOKUP(B453,PRECIOS!$A$4:$F$32,2,FALSE()),IF(D453="CLARO",VLOOKUP(B453,PRECIOS!$A$4:$F$32,3,FALSE()),IF(D453="MELANGE",VLOOKUP(B453,PRECIOS!$A$4:$F$32,4,FALSE()),IF(D453="PPT",VLOOKUP(B453,PRECIOS!$A$4:$F$32,5,FALSE()),0)))),0)</f>
        <v>21</v>
      </c>
      <c r="H453" s="103">
        <f t="shared" si="1"/>
        <v>0</v>
      </c>
      <c r="I453" s="104" t="str">
        <f>IF(E453&lt;0,"ERROR",IF(E453=0,"",IF(E453&lt;CONFIG!$B$4,"CRÍTICO",IF(E453&lt;CONFIG!$B$5,"BAJO","OK"))))</f>
        <v/>
      </c>
    </row>
    <row r="454" ht="15.75" customHeight="1">
      <c r="A454" s="90" t="str">
        <f>IF(CLIENTES!A7="","",CLIENTES!A7)</f>
        <v/>
      </c>
      <c r="B454" s="67" t="str">
        <f>TELAS!A5</f>
        <v>pique 30/1</v>
      </c>
      <c r="C454" s="67" t="str">
        <f>COLORES!A14</f>
        <v>Denim</v>
      </c>
      <c r="D454" s="67" t="str">
        <f>COLORES!B14</f>
        <v>CLARO</v>
      </c>
      <c r="E454" s="100">
        <f>IFERROR(SUMIFS(MOVIMIENTOS!$F$4:$F$1000,MOVIMIENTOS!$C$4:$C$1000,A454,MOVIMIENTOS!$D$4:$D$1000,B454,MOVIMIENTOS!$E$4:$E$1000,C454,MOVIMIENTOS!$B$4:$B$1000,"INGRESO")+SUMIFS(MOVIMIENTOS!$F$4:$F$1000,MOVIMIENTOS!$C$4:$C$1000,A454,MOVIMIENTOS!$D$4:$D$1000,B454,MOVIMIENTOS!$E$4:$E$1000,C454,MOVIMIENTOS!$B$4:$B$1000,"DE REPROCESO")+SUMIFS(MOVIMIENTOS!$F$4:$F$1000,MOVIMIENTOS!$C$4:$C$1000,A454,MOVIMIENTOS!$D$4:$D$1000,B454,MOVIMIENTOS!$E$4:$E$1000,C454,MOVIMIENTOS!$B$4:$B$1000,"AJUSTE+")-SUMIFS(MOVIMIENTOS!$F$4:$F$1000,MOVIMIENTOS!$C$4:$C$1000,A454,MOVIMIENTOS!$D$4:$D$1000,B454,MOVIMIENTOS!$E$4:$E$1000,C454,MOVIMIENTOS!$B$4:$B$1000,"A CORTE")-SUMIFS(MOVIMIENTOS!$F$4:$F$1000,MOVIMIENTOS!$C$4:$C$1000,A454,MOVIMIENTOS!$D$4:$D$1000,B454,MOVIMIENTOS!$E$4:$E$1000,C454,MOVIMIENTOS!$B$4:$B$1000,"A REPROCESO")-SUMIFS(MOVIMIENTOS!$F$4:$F$1000,MOVIMIENTOS!$C$4:$C$1000,A454,MOVIMIENTOS!$D$4:$D$1000,B454,MOVIMIENTOS!$E$4:$E$1000,C454,MOVIMIENTOS!$B$4:$B$1000,"MUESTRA")-SUMIFS(MOVIMIENTOS!$F$4:$F$1000,MOVIMIENTOS!$C$4:$C$1000,A454,MOVIMIENTOS!$D$4:$D$1000,B454,MOVIMIENTOS!$E$4:$E$1000,C454,MOVIMIENTOS!$B$4:$B$1000,"AJUSTE-"),0)</f>
        <v>0</v>
      </c>
      <c r="F454" s="101">
        <f>IFERROR(E454*VLOOKUP(B454,TELAS!$A$4:$C$32,3,FALSE()),0)</f>
        <v>0</v>
      </c>
      <c r="G454" s="102">
        <f>IFERROR(IF(D454="OSCURO",VLOOKUP(B454,PRECIOS!$A$4:$F$32,2,FALSE()),IF(D454="CLARO",VLOOKUP(B454,PRECIOS!$A$4:$F$32,3,FALSE()),IF(D454="MELANGE",VLOOKUP(B454,PRECIOS!$A$4:$F$32,4,FALSE()),IF(D454="PPT",VLOOKUP(B454,PRECIOS!$A$4:$F$32,5,FALSE()),0)))),0)</f>
        <v>21</v>
      </c>
      <c r="H454" s="103">
        <f t="shared" si="1"/>
        <v>0</v>
      </c>
      <c r="I454" s="104" t="str">
        <f>IF(E454&lt;0,"ERROR",IF(E454=0,"",IF(E454&lt;CONFIG!$B$4,"CRÍTICO",IF(E454&lt;CONFIG!$B$5,"BAJO","OK"))))</f>
        <v/>
      </c>
    </row>
    <row r="455" ht="15.75" customHeight="1">
      <c r="A455" s="90" t="str">
        <f>IF(CLIENTES!A7="","",CLIENTES!A7)</f>
        <v/>
      </c>
      <c r="B455" s="67" t="str">
        <f>TELAS!A5</f>
        <v>pique 30/1</v>
      </c>
      <c r="C455" s="67" t="str">
        <f>COLORES!A15</f>
        <v>Plomo</v>
      </c>
      <c r="D455" s="67" t="str">
        <f>COLORES!B15</f>
        <v>OSCURO</v>
      </c>
      <c r="E455" s="100">
        <f>IFERROR(SUMIFS(MOVIMIENTOS!$F$4:$F$1000,MOVIMIENTOS!$C$4:$C$1000,A455,MOVIMIENTOS!$D$4:$D$1000,B455,MOVIMIENTOS!$E$4:$E$1000,C455,MOVIMIENTOS!$B$4:$B$1000,"INGRESO")+SUMIFS(MOVIMIENTOS!$F$4:$F$1000,MOVIMIENTOS!$C$4:$C$1000,A455,MOVIMIENTOS!$D$4:$D$1000,B455,MOVIMIENTOS!$E$4:$E$1000,C455,MOVIMIENTOS!$B$4:$B$1000,"DE REPROCESO")+SUMIFS(MOVIMIENTOS!$F$4:$F$1000,MOVIMIENTOS!$C$4:$C$1000,A455,MOVIMIENTOS!$D$4:$D$1000,B455,MOVIMIENTOS!$E$4:$E$1000,C455,MOVIMIENTOS!$B$4:$B$1000,"AJUSTE+")-SUMIFS(MOVIMIENTOS!$F$4:$F$1000,MOVIMIENTOS!$C$4:$C$1000,A455,MOVIMIENTOS!$D$4:$D$1000,B455,MOVIMIENTOS!$E$4:$E$1000,C455,MOVIMIENTOS!$B$4:$B$1000,"A CORTE")-SUMIFS(MOVIMIENTOS!$F$4:$F$1000,MOVIMIENTOS!$C$4:$C$1000,A455,MOVIMIENTOS!$D$4:$D$1000,B455,MOVIMIENTOS!$E$4:$E$1000,C455,MOVIMIENTOS!$B$4:$B$1000,"A REPROCESO")-SUMIFS(MOVIMIENTOS!$F$4:$F$1000,MOVIMIENTOS!$C$4:$C$1000,A455,MOVIMIENTOS!$D$4:$D$1000,B455,MOVIMIENTOS!$E$4:$E$1000,C455,MOVIMIENTOS!$B$4:$B$1000,"MUESTRA")-SUMIFS(MOVIMIENTOS!$F$4:$F$1000,MOVIMIENTOS!$C$4:$C$1000,A455,MOVIMIENTOS!$D$4:$D$1000,B455,MOVIMIENTOS!$E$4:$E$1000,C455,MOVIMIENTOS!$B$4:$B$1000,"AJUSTE-"),0)</f>
        <v>0</v>
      </c>
      <c r="F455" s="101">
        <f>IFERROR(E455*VLOOKUP(B455,TELAS!$A$4:$C$32,3,FALSE()),0)</f>
        <v>0</v>
      </c>
      <c r="G455" s="102">
        <f>IFERROR(IF(D455="OSCURO",VLOOKUP(B455,PRECIOS!$A$4:$F$32,2,FALSE()),IF(D455="CLARO",VLOOKUP(B455,PRECIOS!$A$4:$F$32,3,FALSE()),IF(D455="MELANGE",VLOOKUP(B455,PRECIOS!$A$4:$F$32,4,FALSE()),IF(D455="PPT",VLOOKUP(B455,PRECIOS!$A$4:$F$32,5,FALSE()),0)))),0)</f>
        <v>24</v>
      </c>
      <c r="H455" s="103">
        <f t="shared" si="1"/>
        <v>0</v>
      </c>
      <c r="I455" s="104" t="str">
        <f>IF(E455&lt;0,"ERROR",IF(E455=0,"",IF(E455&lt;CONFIG!$B$4,"CRÍTICO",IF(E455&lt;CONFIG!$B$5,"BAJO","OK"))))</f>
        <v/>
      </c>
    </row>
    <row r="456" ht="15.75" customHeight="1">
      <c r="A456" s="90" t="str">
        <f>IF(CLIENTES!A7="","",CLIENTES!A7)</f>
        <v/>
      </c>
      <c r="B456" s="67" t="str">
        <f>TELAS!A5</f>
        <v>pique 30/1</v>
      </c>
      <c r="C456" s="67" t="str">
        <f>COLORES!A16</f>
        <v>Topo</v>
      </c>
      <c r="D456" s="67" t="str">
        <f>COLORES!B16</f>
        <v>CLARO</v>
      </c>
      <c r="E456" s="100">
        <f>IFERROR(SUMIFS(MOVIMIENTOS!$F$4:$F$1000,MOVIMIENTOS!$C$4:$C$1000,A456,MOVIMIENTOS!$D$4:$D$1000,B456,MOVIMIENTOS!$E$4:$E$1000,C456,MOVIMIENTOS!$B$4:$B$1000,"INGRESO")+SUMIFS(MOVIMIENTOS!$F$4:$F$1000,MOVIMIENTOS!$C$4:$C$1000,A456,MOVIMIENTOS!$D$4:$D$1000,B456,MOVIMIENTOS!$E$4:$E$1000,C456,MOVIMIENTOS!$B$4:$B$1000,"DE REPROCESO")+SUMIFS(MOVIMIENTOS!$F$4:$F$1000,MOVIMIENTOS!$C$4:$C$1000,A456,MOVIMIENTOS!$D$4:$D$1000,B456,MOVIMIENTOS!$E$4:$E$1000,C456,MOVIMIENTOS!$B$4:$B$1000,"AJUSTE+")-SUMIFS(MOVIMIENTOS!$F$4:$F$1000,MOVIMIENTOS!$C$4:$C$1000,A456,MOVIMIENTOS!$D$4:$D$1000,B456,MOVIMIENTOS!$E$4:$E$1000,C456,MOVIMIENTOS!$B$4:$B$1000,"A CORTE")-SUMIFS(MOVIMIENTOS!$F$4:$F$1000,MOVIMIENTOS!$C$4:$C$1000,A456,MOVIMIENTOS!$D$4:$D$1000,B456,MOVIMIENTOS!$E$4:$E$1000,C456,MOVIMIENTOS!$B$4:$B$1000,"A REPROCESO")-SUMIFS(MOVIMIENTOS!$F$4:$F$1000,MOVIMIENTOS!$C$4:$C$1000,A456,MOVIMIENTOS!$D$4:$D$1000,B456,MOVIMIENTOS!$E$4:$E$1000,C456,MOVIMIENTOS!$B$4:$B$1000,"MUESTRA")-SUMIFS(MOVIMIENTOS!$F$4:$F$1000,MOVIMIENTOS!$C$4:$C$1000,A456,MOVIMIENTOS!$D$4:$D$1000,B456,MOVIMIENTOS!$E$4:$E$1000,C456,MOVIMIENTOS!$B$4:$B$1000,"AJUSTE-"),0)</f>
        <v>0</v>
      </c>
      <c r="F456" s="101">
        <f>IFERROR(E456*VLOOKUP(B456,TELAS!$A$4:$C$32,3,FALSE()),0)</f>
        <v>0</v>
      </c>
      <c r="G456" s="102">
        <f>IFERROR(IF(D456="OSCURO",VLOOKUP(B456,PRECIOS!$A$4:$F$32,2,FALSE()),IF(D456="CLARO",VLOOKUP(B456,PRECIOS!$A$4:$F$32,3,FALSE()),IF(D456="MELANGE",VLOOKUP(B456,PRECIOS!$A$4:$F$32,4,FALSE()),IF(D456="PPT",VLOOKUP(B456,PRECIOS!$A$4:$F$32,5,FALSE()),0)))),0)</f>
        <v>21</v>
      </c>
      <c r="H456" s="103">
        <f t="shared" si="1"/>
        <v>0</v>
      </c>
      <c r="I456" s="104" t="str">
        <f>IF(E456&lt;0,"ERROR",IF(E456=0,"",IF(E456&lt;CONFIG!$B$4,"CRÍTICO",IF(E456&lt;CONFIG!$B$5,"BAJO","OK"))))</f>
        <v/>
      </c>
    </row>
    <row r="457" ht="15.75" customHeight="1">
      <c r="A457" s="90" t="str">
        <f>IF(CLIENTES!A7="","",CLIENTES!A7)</f>
        <v/>
      </c>
      <c r="B457" s="67" t="str">
        <f>TELAS!A5</f>
        <v>pique 30/1</v>
      </c>
      <c r="C457" s="67" t="str">
        <f>COLORES!A17</f>
        <v>Vino</v>
      </c>
      <c r="D457" s="67" t="str">
        <f>COLORES!B17</f>
        <v>OSCURO</v>
      </c>
      <c r="E457" s="100">
        <f>IFERROR(SUMIFS(MOVIMIENTOS!$F$4:$F$1000,MOVIMIENTOS!$C$4:$C$1000,A457,MOVIMIENTOS!$D$4:$D$1000,B457,MOVIMIENTOS!$E$4:$E$1000,C457,MOVIMIENTOS!$B$4:$B$1000,"INGRESO")+SUMIFS(MOVIMIENTOS!$F$4:$F$1000,MOVIMIENTOS!$C$4:$C$1000,A457,MOVIMIENTOS!$D$4:$D$1000,B457,MOVIMIENTOS!$E$4:$E$1000,C457,MOVIMIENTOS!$B$4:$B$1000,"DE REPROCESO")+SUMIFS(MOVIMIENTOS!$F$4:$F$1000,MOVIMIENTOS!$C$4:$C$1000,A457,MOVIMIENTOS!$D$4:$D$1000,B457,MOVIMIENTOS!$E$4:$E$1000,C457,MOVIMIENTOS!$B$4:$B$1000,"AJUSTE+")-SUMIFS(MOVIMIENTOS!$F$4:$F$1000,MOVIMIENTOS!$C$4:$C$1000,A457,MOVIMIENTOS!$D$4:$D$1000,B457,MOVIMIENTOS!$E$4:$E$1000,C457,MOVIMIENTOS!$B$4:$B$1000,"A CORTE")-SUMIFS(MOVIMIENTOS!$F$4:$F$1000,MOVIMIENTOS!$C$4:$C$1000,A457,MOVIMIENTOS!$D$4:$D$1000,B457,MOVIMIENTOS!$E$4:$E$1000,C457,MOVIMIENTOS!$B$4:$B$1000,"A REPROCESO")-SUMIFS(MOVIMIENTOS!$F$4:$F$1000,MOVIMIENTOS!$C$4:$C$1000,A457,MOVIMIENTOS!$D$4:$D$1000,B457,MOVIMIENTOS!$E$4:$E$1000,C457,MOVIMIENTOS!$B$4:$B$1000,"MUESTRA")-SUMIFS(MOVIMIENTOS!$F$4:$F$1000,MOVIMIENTOS!$C$4:$C$1000,A457,MOVIMIENTOS!$D$4:$D$1000,B457,MOVIMIENTOS!$E$4:$E$1000,C457,MOVIMIENTOS!$B$4:$B$1000,"AJUSTE-"),0)</f>
        <v>0</v>
      </c>
      <c r="F457" s="101">
        <f>IFERROR(E457*VLOOKUP(B457,TELAS!$A$4:$C$32,3,FALSE()),0)</f>
        <v>0</v>
      </c>
      <c r="G457" s="102">
        <f>IFERROR(IF(D457="OSCURO",VLOOKUP(B457,PRECIOS!$A$4:$F$32,2,FALSE()),IF(D457="CLARO",VLOOKUP(B457,PRECIOS!$A$4:$F$32,3,FALSE()),IF(D457="MELANGE",VLOOKUP(B457,PRECIOS!$A$4:$F$32,4,FALSE()),IF(D457="PPT",VLOOKUP(B457,PRECIOS!$A$4:$F$32,5,FALSE()),0)))),0)</f>
        <v>24</v>
      </c>
      <c r="H457" s="103">
        <f t="shared" si="1"/>
        <v>0</v>
      </c>
      <c r="I457" s="104" t="str">
        <f>IF(E457&lt;0,"ERROR",IF(E457=0,"",IF(E457&lt;CONFIG!$B$4,"CRÍTICO",IF(E457&lt;CONFIG!$B$5,"BAJO","OK"))))</f>
        <v/>
      </c>
    </row>
    <row r="458" ht="15.75" customHeight="1">
      <c r="A458" s="90" t="str">
        <f>IF(CLIENTES!A7="","",CLIENTES!A7)</f>
        <v/>
      </c>
      <c r="B458" s="67" t="str">
        <f>TELAS!A5</f>
        <v>pique 30/1</v>
      </c>
      <c r="C458" s="67" t="str">
        <f>COLORES!A18</f>
        <v>P. Rosa</v>
      </c>
      <c r="D458" s="67" t="str">
        <f>COLORES!B18</f>
        <v>CLARO</v>
      </c>
      <c r="E458" s="100">
        <f>IFERROR(SUMIFS(MOVIMIENTOS!$F$4:$F$1000,MOVIMIENTOS!$C$4:$C$1000,A458,MOVIMIENTOS!$D$4:$D$1000,B458,MOVIMIENTOS!$E$4:$E$1000,C458,MOVIMIENTOS!$B$4:$B$1000,"INGRESO")+SUMIFS(MOVIMIENTOS!$F$4:$F$1000,MOVIMIENTOS!$C$4:$C$1000,A458,MOVIMIENTOS!$D$4:$D$1000,B458,MOVIMIENTOS!$E$4:$E$1000,C458,MOVIMIENTOS!$B$4:$B$1000,"DE REPROCESO")+SUMIFS(MOVIMIENTOS!$F$4:$F$1000,MOVIMIENTOS!$C$4:$C$1000,A458,MOVIMIENTOS!$D$4:$D$1000,B458,MOVIMIENTOS!$E$4:$E$1000,C458,MOVIMIENTOS!$B$4:$B$1000,"AJUSTE+")-SUMIFS(MOVIMIENTOS!$F$4:$F$1000,MOVIMIENTOS!$C$4:$C$1000,A458,MOVIMIENTOS!$D$4:$D$1000,B458,MOVIMIENTOS!$E$4:$E$1000,C458,MOVIMIENTOS!$B$4:$B$1000,"A CORTE")-SUMIFS(MOVIMIENTOS!$F$4:$F$1000,MOVIMIENTOS!$C$4:$C$1000,A458,MOVIMIENTOS!$D$4:$D$1000,B458,MOVIMIENTOS!$E$4:$E$1000,C458,MOVIMIENTOS!$B$4:$B$1000,"A REPROCESO")-SUMIFS(MOVIMIENTOS!$F$4:$F$1000,MOVIMIENTOS!$C$4:$C$1000,A458,MOVIMIENTOS!$D$4:$D$1000,B458,MOVIMIENTOS!$E$4:$E$1000,C458,MOVIMIENTOS!$B$4:$B$1000,"MUESTRA")-SUMIFS(MOVIMIENTOS!$F$4:$F$1000,MOVIMIENTOS!$C$4:$C$1000,A458,MOVIMIENTOS!$D$4:$D$1000,B458,MOVIMIENTOS!$E$4:$E$1000,C458,MOVIMIENTOS!$B$4:$B$1000,"AJUSTE-"),0)</f>
        <v>0</v>
      </c>
      <c r="F458" s="101">
        <f>IFERROR(E458*VLOOKUP(B458,TELAS!$A$4:$C$32,3,FALSE()),0)</f>
        <v>0</v>
      </c>
      <c r="G458" s="102">
        <f>IFERROR(IF(D458="OSCURO",VLOOKUP(B458,PRECIOS!$A$4:$F$32,2,FALSE()),IF(D458="CLARO",VLOOKUP(B458,PRECIOS!$A$4:$F$32,3,FALSE()),IF(D458="MELANGE",VLOOKUP(B458,PRECIOS!$A$4:$F$32,4,FALSE()),IF(D458="PPT",VLOOKUP(B458,PRECIOS!$A$4:$F$32,5,FALSE()),0)))),0)</f>
        <v>21</v>
      </c>
      <c r="H458" s="103">
        <f t="shared" si="1"/>
        <v>0</v>
      </c>
      <c r="I458" s="104" t="str">
        <f>IF(E458&lt;0,"ERROR",IF(E458=0,"",IF(E458&lt;CONFIG!$B$4,"CRÍTICO",IF(E458&lt;CONFIG!$B$5,"BAJO","OK"))))</f>
        <v/>
      </c>
    </row>
    <row r="459" ht="15.75" customHeight="1">
      <c r="A459" s="90" t="str">
        <f>IF(CLIENTES!A7="","",CLIENTES!A7)</f>
        <v/>
      </c>
      <c r="B459" s="67" t="str">
        <f>TELAS!A5</f>
        <v>pique 30/1</v>
      </c>
      <c r="C459" s="67" t="str">
        <f>COLORES!A19</f>
        <v/>
      </c>
      <c r="D459" s="67" t="str">
        <f>COLORES!B19</f>
        <v/>
      </c>
      <c r="E459" s="100">
        <f>IFERROR(SUMIFS(MOVIMIENTOS!$F$4:$F$1000,MOVIMIENTOS!$C$4:$C$1000,A459,MOVIMIENTOS!$D$4:$D$1000,B459,MOVIMIENTOS!$E$4:$E$1000,C459,MOVIMIENTOS!$B$4:$B$1000,"INGRESO")+SUMIFS(MOVIMIENTOS!$F$4:$F$1000,MOVIMIENTOS!$C$4:$C$1000,A459,MOVIMIENTOS!$D$4:$D$1000,B459,MOVIMIENTOS!$E$4:$E$1000,C459,MOVIMIENTOS!$B$4:$B$1000,"DE REPROCESO")+SUMIFS(MOVIMIENTOS!$F$4:$F$1000,MOVIMIENTOS!$C$4:$C$1000,A459,MOVIMIENTOS!$D$4:$D$1000,B459,MOVIMIENTOS!$E$4:$E$1000,C459,MOVIMIENTOS!$B$4:$B$1000,"AJUSTE+")-SUMIFS(MOVIMIENTOS!$F$4:$F$1000,MOVIMIENTOS!$C$4:$C$1000,A459,MOVIMIENTOS!$D$4:$D$1000,B459,MOVIMIENTOS!$E$4:$E$1000,C459,MOVIMIENTOS!$B$4:$B$1000,"A CORTE")-SUMIFS(MOVIMIENTOS!$F$4:$F$1000,MOVIMIENTOS!$C$4:$C$1000,A459,MOVIMIENTOS!$D$4:$D$1000,B459,MOVIMIENTOS!$E$4:$E$1000,C459,MOVIMIENTOS!$B$4:$B$1000,"A REPROCESO")-SUMIFS(MOVIMIENTOS!$F$4:$F$1000,MOVIMIENTOS!$C$4:$C$1000,A459,MOVIMIENTOS!$D$4:$D$1000,B459,MOVIMIENTOS!$E$4:$E$1000,C459,MOVIMIENTOS!$B$4:$B$1000,"MUESTRA")-SUMIFS(MOVIMIENTOS!$F$4:$F$1000,MOVIMIENTOS!$C$4:$C$1000,A459,MOVIMIENTOS!$D$4:$D$1000,B459,MOVIMIENTOS!$E$4:$E$1000,C459,MOVIMIENTOS!$B$4:$B$1000,"AJUSTE-"),0)</f>
        <v>0</v>
      </c>
      <c r="F459" s="101">
        <f>IFERROR(E459*VLOOKUP(B459,TELAS!$A$4:$C$32,3,FALSE()),0)</f>
        <v>0</v>
      </c>
      <c r="G459" s="102">
        <f>IFERROR(IF(D459="OSCURO",VLOOKUP(B459,PRECIOS!$A$4:$F$32,2,FALSE()),IF(D459="CLARO",VLOOKUP(B459,PRECIOS!$A$4:$F$32,3,FALSE()),IF(D459="MELANGE",VLOOKUP(B459,PRECIOS!$A$4:$F$32,4,FALSE()),IF(D459="PPT",VLOOKUP(B459,PRECIOS!$A$4:$F$32,5,FALSE()),0)))),0)</f>
        <v>0</v>
      </c>
      <c r="H459" s="103">
        <f t="shared" si="1"/>
        <v>0</v>
      </c>
      <c r="I459" s="104" t="str">
        <f>IF(E459&lt;0,"ERROR",IF(E459=0,"",IF(E459&lt;CONFIG!$B$4,"CRÍTICO",IF(E459&lt;CONFIG!$B$5,"BAJO","OK"))))</f>
        <v/>
      </c>
    </row>
    <row r="460" ht="15.75" customHeight="1">
      <c r="A460" s="90" t="str">
        <f>IF(CLIENTES!A7="","",CLIENTES!A7)</f>
        <v/>
      </c>
      <c r="B460" s="67" t="str">
        <f>TELAS!A5</f>
        <v>pique 30/1</v>
      </c>
      <c r="C460" s="67" t="str">
        <f>COLORES!A20</f>
        <v/>
      </c>
      <c r="D460" s="67" t="str">
        <f>COLORES!B20</f>
        <v/>
      </c>
      <c r="E460" s="100">
        <f>IFERROR(SUMIFS(MOVIMIENTOS!$F$4:$F$1000,MOVIMIENTOS!$C$4:$C$1000,A460,MOVIMIENTOS!$D$4:$D$1000,B460,MOVIMIENTOS!$E$4:$E$1000,C460,MOVIMIENTOS!$B$4:$B$1000,"INGRESO")+SUMIFS(MOVIMIENTOS!$F$4:$F$1000,MOVIMIENTOS!$C$4:$C$1000,A460,MOVIMIENTOS!$D$4:$D$1000,B460,MOVIMIENTOS!$E$4:$E$1000,C460,MOVIMIENTOS!$B$4:$B$1000,"DE REPROCESO")+SUMIFS(MOVIMIENTOS!$F$4:$F$1000,MOVIMIENTOS!$C$4:$C$1000,A460,MOVIMIENTOS!$D$4:$D$1000,B460,MOVIMIENTOS!$E$4:$E$1000,C460,MOVIMIENTOS!$B$4:$B$1000,"AJUSTE+")-SUMIFS(MOVIMIENTOS!$F$4:$F$1000,MOVIMIENTOS!$C$4:$C$1000,A460,MOVIMIENTOS!$D$4:$D$1000,B460,MOVIMIENTOS!$E$4:$E$1000,C460,MOVIMIENTOS!$B$4:$B$1000,"A CORTE")-SUMIFS(MOVIMIENTOS!$F$4:$F$1000,MOVIMIENTOS!$C$4:$C$1000,A460,MOVIMIENTOS!$D$4:$D$1000,B460,MOVIMIENTOS!$E$4:$E$1000,C460,MOVIMIENTOS!$B$4:$B$1000,"A REPROCESO")-SUMIFS(MOVIMIENTOS!$F$4:$F$1000,MOVIMIENTOS!$C$4:$C$1000,A460,MOVIMIENTOS!$D$4:$D$1000,B460,MOVIMIENTOS!$E$4:$E$1000,C460,MOVIMIENTOS!$B$4:$B$1000,"MUESTRA")-SUMIFS(MOVIMIENTOS!$F$4:$F$1000,MOVIMIENTOS!$C$4:$C$1000,A460,MOVIMIENTOS!$D$4:$D$1000,B460,MOVIMIENTOS!$E$4:$E$1000,C460,MOVIMIENTOS!$B$4:$B$1000,"AJUSTE-"),0)</f>
        <v>0</v>
      </c>
      <c r="F460" s="101">
        <f>IFERROR(E460*VLOOKUP(B460,TELAS!$A$4:$C$32,3,FALSE()),0)</f>
        <v>0</v>
      </c>
      <c r="G460" s="102">
        <f>IFERROR(IF(D460="OSCURO",VLOOKUP(B460,PRECIOS!$A$4:$F$32,2,FALSE()),IF(D460="CLARO",VLOOKUP(B460,PRECIOS!$A$4:$F$32,3,FALSE()),IF(D460="MELANGE",VLOOKUP(B460,PRECIOS!$A$4:$F$32,4,FALSE()),IF(D460="PPT",VLOOKUP(B460,PRECIOS!$A$4:$F$32,5,FALSE()),0)))),0)</f>
        <v>0</v>
      </c>
      <c r="H460" s="103">
        <f t="shared" si="1"/>
        <v>0</v>
      </c>
      <c r="I460" s="104" t="str">
        <f>IF(E460&lt;0,"ERROR",IF(E460=0,"",IF(E460&lt;CONFIG!$B$4,"CRÍTICO",IF(E460&lt;CONFIG!$B$5,"BAJO","OK"))))</f>
        <v/>
      </c>
    </row>
    <row r="461" ht="15.75" customHeight="1">
      <c r="A461" s="90" t="str">
        <f>IF(CLIENTES!A7="","",CLIENTES!A7)</f>
        <v/>
      </c>
      <c r="B461" s="67" t="str">
        <f>TELAS!A5</f>
        <v>pique 30/1</v>
      </c>
      <c r="C461" s="67" t="str">
        <f>COLORES!A21</f>
        <v/>
      </c>
      <c r="D461" s="67" t="str">
        <f>COLORES!B21</f>
        <v/>
      </c>
      <c r="E461" s="100">
        <f>IFERROR(SUMIFS(MOVIMIENTOS!$F$4:$F$1000,MOVIMIENTOS!$C$4:$C$1000,A461,MOVIMIENTOS!$D$4:$D$1000,B461,MOVIMIENTOS!$E$4:$E$1000,C461,MOVIMIENTOS!$B$4:$B$1000,"INGRESO")+SUMIFS(MOVIMIENTOS!$F$4:$F$1000,MOVIMIENTOS!$C$4:$C$1000,A461,MOVIMIENTOS!$D$4:$D$1000,B461,MOVIMIENTOS!$E$4:$E$1000,C461,MOVIMIENTOS!$B$4:$B$1000,"DE REPROCESO")+SUMIFS(MOVIMIENTOS!$F$4:$F$1000,MOVIMIENTOS!$C$4:$C$1000,A461,MOVIMIENTOS!$D$4:$D$1000,B461,MOVIMIENTOS!$E$4:$E$1000,C461,MOVIMIENTOS!$B$4:$B$1000,"AJUSTE+")-SUMIFS(MOVIMIENTOS!$F$4:$F$1000,MOVIMIENTOS!$C$4:$C$1000,A461,MOVIMIENTOS!$D$4:$D$1000,B461,MOVIMIENTOS!$E$4:$E$1000,C461,MOVIMIENTOS!$B$4:$B$1000,"A CORTE")-SUMIFS(MOVIMIENTOS!$F$4:$F$1000,MOVIMIENTOS!$C$4:$C$1000,A461,MOVIMIENTOS!$D$4:$D$1000,B461,MOVIMIENTOS!$E$4:$E$1000,C461,MOVIMIENTOS!$B$4:$B$1000,"A REPROCESO")-SUMIFS(MOVIMIENTOS!$F$4:$F$1000,MOVIMIENTOS!$C$4:$C$1000,A461,MOVIMIENTOS!$D$4:$D$1000,B461,MOVIMIENTOS!$E$4:$E$1000,C461,MOVIMIENTOS!$B$4:$B$1000,"MUESTRA")-SUMIFS(MOVIMIENTOS!$F$4:$F$1000,MOVIMIENTOS!$C$4:$C$1000,A461,MOVIMIENTOS!$D$4:$D$1000,B461,MOVIMIENTOS!$E$4:$E$1000,C461,MOVIMIENTOS!$B$4:$B$1000,"AJUSTE-"),0)</f>
        <v>0</v>
      </c>
      <c r="F461" s="101">
        <f>IFERROR(E461*VLOOKUP(B461,TELAS!$A$4:$C$32,3,FALSE()),0)</f>
        <v>0</v>
      </c>
      <c r="G461" s="102">
        <f>IFERROR(IF(D461="OSCURO",VLOOKUP(B461,PRECIOS!$A$4:$F$32,2,FALSE()),IF(D461="CLARO",VLOOKUP(B461,PRECIOS!$A$4:$F$32,3,FALSE()),IF(D461="MELANGE",VLOOKUP(B461,PRECIOS!$A$4:$F$32,4,FALSE()),IF(D461="PPT",VLOOKUP(B461,PRECIOS!$A$4:$F$32,5,FALSE()),0)))),0)</f>
        <v>0</v>
      </c>
      <c r="H461" s="103">
        <f t="shared" si="1"/>
        <v>0</v>
      </c>
      <c r="I461" s="104" t="str">
        <f>IF(E461&lt;0,"ERROR",IF(E461=0,"",IF(E461&lt;CONFIG!$B$4,"CRÍTICO",IF(E461&lt;CONFIG!$B$5,"BAJO","OK"))))</f>
        <v/>
      </c>
    </row>
    <row r="462" ht="15.75" customHeight="1">
      <c r="A462" s="90" t="str">
        <f>IF(CLIENTES!A7="","",CLIENTES!A7)</f>
        <v/>
      </c>
      <c r="B462" s="67" t="str">
        <f>TELAS!A5</f>
        <v>pique 30/1</v>
      </c>
      <c r="C462" s="67" t="str">
        <f>COLORES!A22</f>
        <v/>
      </c>
      <c r="D462" s="67" t="str">
        <f>COLORES!B22</f>
        <v/>
      </c>
      <c r="E462" s="100">
        <f>IFERROR(SUMIFS(MOVIMIENTOS!$F$4:$F$1000,MOVIMIENTOS!$C$4:$C$1000,A462,MOVIMIENTOS!$D$4:$D$1000,B462,MOVIMIENTOS!$E$4:$E$1000,C462,MOVIMIENTOS!$B$4:$B$1000,"INGRESO")+SUMIFS(MOVIMIENTOS!$F$4:$F$1000,MOVIMIENTOS!$C$4:$C$1000,A462,MOVIMIENTOS!$D$4:$D$1000,B462,MOVIMIENTOS!$E$4:$E$1000,C462,MOVIMIENTOS!$B$4:$B$1000,"DE REPROCESO")+SUMIFS(MOVIMIENTOS!$F$4:$F$1000,MOVIMIENTOS!$C$4:$C$1000,A462,MOVIMIENTOS!$D$4:$D$1000,B462,MOVIMIENTOS!$E$4:$E$1000,C462,MOVIMIENTOS!$B$4:$B$1000,"AJUSTE+")-SUMIFS(MOVIMIENTOS!$F$4:$F$1000,MOVIMIENTOS!$C$4:$C$1000,A462,MOVIMIENTOS!$D$4:$D$1000,B462,MOVIMIENTOS!$E$4:$E$1000,C462,MOVIMIENTOS!$B$4:$B$1000,"A CORTE")-SUMIFS(MOVIMIENTOS!$F$4:$F$1000,MOVIMIENTOS!$C$4:$C$1000,A462,MOVIMIENTOS!$D$4:$D$1000,B462,MOVIMIENTOS!$E$4:$E$1000,C462,MOVIMIENTOS!$B$4:$B$1000,"A REPROCESO")-SUMIFS(MOVIMIENTOS!$F$4:$F$1000,MOVIMIENTOS!$C$4:$C$1000,A462,MOVIMIENTOS!$D$4:$D$1000,B462,MOVIMIENTOS!$E$4:$E$1000,C462,MOVIMIENTOS!$B$4:$B$1000,"MUESTRA")-SUMIFS(MOVIMIENTOS!$F$4:$F$1000,MOVIMIENTOS!$C$4:$C$1000,A462,MOVIMIENTOS!$D$4:$D$1000,B462,MOVIMIENTOS!$E$4:$E$1000,C462,MOVIMIENTOS!$B$4:$B$1000,"AJUSTE-"),0)</f>
        <v>0</v>
      </c>
      <c r="F462" s="101">
        <f>IFERROR(E462*VLOOKUP(B462,TELAS!$A$4:$C$32,3,FALSE()),0)</f>
        <v>0</v>
      </c>
      <c r="G462" s="102">
        <f>IFERROR(IF(D462="OSCURO",VLOOKUP(B462,PRECIOS!$A$4:$F$32,2,FALSE()),IF(D462="CLARO",VLOOKUP(B462,PRECIOS!$A$4:$F$32,3,FALSE()),IF(D462="MELANGE",VLOOKUP(B462,PRECIOS!$A$4:$F$32,4,FALSE()),IF(D462="PPT",VLOOKUP(B462,PRECIOS!$A$4:$F$32,5,FALSE()),0)))),0)</f>
        <v>0</v>
      </c>
      <c r="H462" s="103">
        <f t="shared" si="1"/>
        <v>0</v>
      </c>
      <c r="I462" s="104" t="str">
        <f>IF(E462&lt;0,"ERROR",IF(E462=0,"",IF(E462&lt;CONFIG!$B$4,"CRÍTICO",IF(E462&lt;CONFIG!$B$5,"BAJO","OK"))))</f>
        <v/>
      </c>
    </row>
    <row r="463" ht="15.75" customHeight="1">
      <c r="A463" s="90" t="str">
        <f>IF(CLIENTES!A7="","",CLIENTES!A7)</f>
        <v/>
      </c>
      <c r="B463" s="67" t="str">
        <f>TELAS!A5</f>
        <v>pique 30/1</v>
      </c>
      <c r="C463" s="67" t="str">
        <f>COLORES!A23</f>
        <v/>
      </c>
      <c r="D463" s="67" t="str">
        <f>COLORES!B23</f>
        <v/>
      </c>
      <c r="E463" s="100">
        <f>IFERROR(SUMIFS(MOVIMIENTOS!$F$4:$F$1000,MOVIMIENTOS!$C$4:$C$1000,A463,MOVIMIENTOS!$D$4:$D$1000,B463,MOVIMIENTOS!$E$4:$E$1000,C463,MOVIMIENTOS!$B$4:$B$1000,"INGRESO")+SUMIFS(MOVIMIENTOS!$F$4:$F$1000,MOVIMIENTOS!$C$4:$C$1000,A463,MOVIMIENTOS!$D$4:$D$1000,B463,MOVIMIENTOS!$E$4:$E$1000,C463,MOVIMIENTOS!$B$4:$B$1000,"DE REPROCESO")+SUMIFS(MOVIMIENTOS!$F$4:$F$1000,MOVIMIENTOS!$C$4:$C$1000,A463,MOVIMIENTOS!$D$4:$D$1000,B463,MOVIMIENTOS!$E$4:$E$1000,C463,MOVIMIENTOS!$B$4:$B$1000,"AJUSTE+")-SUMIFS(MOVIMIENTOS!$F$4:$F$1000,MOVIMIENTOS!$C$4:$C$1000,A463,MOVIMIENTOS!$D$4:$D$1000,B463,MOVIMIENTOS!$E$4:$E$1000,C463,MOVIMIENTOS!$B$4:$B$1000,"A CORTE")-SUMIFS(MOVIMIENTOS!$F$4:$F$1000,MOVIMIENTOS!$C$4:$C$1000,A463,MOVIMIENTOS!$D$4:$D$1000,B463,MOVIMIENTOS!$E$4:$E$1000,C463,MOVIMIENTOS!$B$4:$B$1000,"A REPROCESO")-SUMIFS(MOVIMIENTOS!$F$4:$F$1000,MOVIMIENTOS!$C$4:$C$1000,A463,MOVIMIENTOS!$D$4:$D$1000,B463,MOVIMIENTOS!$E$4:$E$1000,C463,MOVIMIENTOS!$B$4:$B$1000,"MUESTRA")-SUMIFS(MOVIMIENTOS!$F$4:$F$1000,MOVIMIENTOS!$C$4:$C$1000,A463,MOVIMIENTOS!$D$4:$D$1000,B463,MOVIMIENTOS!$E$4:$E$1000,C463,MOVIMIENTOS!$B$4:$B$1000,"AJUSTE-"),0)</f>
        <v>0</v>
      </c>
      <c r="F463" s="101">
        <f>IFERROR(E463*VLOOKUP(B463,TELAS!$A$4:$C$32,3,FALSE()),0)</f>
        <v>0</v>
      </c>
      <c r="G463" s="102">
        <f>IFERROR(IF(D463="OSCURO",VLOOKUP(B463,PRECIOS!$A$4:$F$32,2,FALSE()),IF(D463="CLARO",VLOOKUP(B463,PRECIOS!$A$4:$F$32,3,FALSE()),IF(D463="MELANGE",VLOOKUP(B463,PRECIOS!$A$4:$F$32,4,FALSE()),IF(D463="PPT",VLOOKUP(B463,PRECIOS!$A$4:$F$32,5,FALSE()),0)))),0)</f>
        <v>0</v>
      </c>
      <c r="H463" s="103">
        <f t="shared" si="1"/>
        <v>0</v>
      </c>
      <c r="I463" s="104" t="str">
        <f>IF(E463&lt;0,"ERROR",IF(E463=0,"",IF(E463&lt;CONFIG!$B$4,"CRÍTICO",IF(E463&lt;CONFIG!$B$5,"BAJO","OK"))))</f>
        <v/>
      </c>
    </row>
    <row r="464" ht="15.75" customHeight="1">
      <c r="A464" s="90" t="str">
        <f>IF(CLIENTES!A7="","",CLIENTES!A7)</f>
        <v/>
      </c>
      <c r="B464" s="67" t="str">
        <f>TELAS!A6</f>
        <v>wafle 30/1</v>
      </c>
      <c r="C464" s="67" t="str">
        <f>COLORES!A4</f>
        <v>Negro</v>
      </c>
      <c r="D464" s="67" t="str">
        <f>COLORES!B4</f>
        <v>OSCURO</v>
      </c>
      <c r="E464" s="100">
        <f>IFERROR(SUMIFS(MOVIMIENTOS!$F$4:$F$1000,MOVIMIENTOS!$C$4:$C$1000,A464,MOVIMIENTOS!$D$4:$D$1000,B464,MOVIMIENTOS!$E$4:$E$1000,C464,MOVIMIENTOS!$B$4:$B$1000,"INGRESO")+SUMIFS(MOVIMIENTOS!$F$4:$F$1000,MOVIMIENTOS!$C$4:$C$1000,A464,MOVIMIENTOS!$D$4:$D$1000,B464,MOVIMIENTOS!$E$4:$E$1000,C464,MOVIMIENTOS!$B$4:$B$1000,"DE REPROCESO")+SUMIFS(MOVIMIENTOS!$F$4:$F$1000,MOVIMIENTOS!$C$4:$C$1000,A464,MOVIMIENTOS!$D$4:$D$1000,B464,MOVIMIENTOS!$E$4:$E$1000,C464,MOVIMIENTOS!$B$4:$B$1000,"AJUSTE+")-SUMIFS(MOVIMIENTOS!$F$4:$F$1000,MOVIMIENTOS!$C$4:$C$1000,A464,MOVIMIENTOS!$D$4:$D$1000,B464,MOVIMIENTOS!$E$4:$E$1000,C464,MOVIMIENTOS!$B$4:$B$1000,"A CORTE")-SUMIFS(MOVIMIENTOS!$F$4:$F$1000,MOVIMIENTOS!$C$4:$C$1000,A464,MOVIMIENTOS!$D$4:$D$1000,B464,MOVIMIENTOS!$E$4:$E$1000,C464,MOVIMIENTOS!$B$4:$B$1000,"A REPROCESO")-SUMIFS(MOVIMIENTOS!$F$4:$F$1000,MOVIMIENTOS!$C$4:$C$1000,A464,MOVIMIENTOS!$D$4:$D$1000,B464,MOVIMIENTOS!$E$4:$E$1000,C464,MOVIMIENTOS!$B$4:$B$1000,"MUESTRA")-SUMIFS(MOVIMIENTOS!$F$4:$F$1000,MOVIMIENTOS!$C$4:$C$1000,A464,MOVIMIENTOS!$D$4:$D$1000,B464,MOVIMIENTOS!$E$4:$E$1000,C464,MOVIMIENTOS!$B$4:$B$1000,"AJUSTE-"),0)</f>
        <v>0</v>
      </c>
      <c r="F464" s="101">
        <f>IFERROR(E464*VLOOKUP(B464,TELAS!$A$4:$C$32,3,FALSE()),0)</f>
        <v>0</v>
      </c>
      <c r="G464" s="102">
        <f>IFERROR(IF(D464="OSCURO",VLOOKUP(B464,PRECIOS!$A$4:$F$32,2,FALSE()),IF(D464="CLARO",VLOOKUP(B464,PRECIOS!$A$4:$F$32,3,FALSE()),IF(D464="MELANGE",VLOOKUP(B464,PRECIOS!$A$4:$F$32,4,FALSE()),IF(D464="PPT",VLOOKUP(B464,PRECIOS!$A$4:$F$32,5,FALSE()),0)))),0)</f>
        <v>26</v>
      </c>
      <c r="H464" s="103">
        <f t="shared" si="1"/>
        <v>0</v>
      </c>
      <c r="I464" s="104" t="str">
        <f>IF(E464&lt;0,"ERROR",IF(E464=0,"",IF(E464&lt;CONFIG!$B$4,"CRÍTICO",IF(E464&lt;CONFIG!$B$5,"BAJO","OK"))))</f>
        <v/>
      </c>
    </row>
    <row r="465" ht="15.75" customHeight="1">
      <c r="A465" s="90" t="str">
        <f>IF(CLIENTES!A7="","",CLIENTES!A7)</f>
        <v/>
      </c>
      <c r="B465" s="67" t="str">
        <f>TELAS!A6</f>
        <v>wafle 30/1</v>
      </c>
      <c r="C465" s="67" t="str">
        <f>COLORES!A5</f>
        <v>Perla</v>
      </c>
      <c r="D465" s="67" t="str">
        <f>COLORES!B5</f>
        <v>PPT</v>
      </c>
      <c r="E465" s="100">
        <f>IFERROR(SUMIFS(MOVIMIENTOS!$F$4:$F$1000,MOVIMIENTOS!$C$4:$C$1000,A465,MOVIMIENTOS!$D$4:$D$1000,B465,MOVIMIENTOS!$E$4:$E$1000,C465,MOVIMIENTOS!$B$4:$B$1000,"INGRESO")+SUMIFS(MOVIMIENTOS!$F$4:$F$1000,MOVIMIENTOS!$C$4:$C$1000,A465,MOVIMIENTOS!$D$4:$D$1000,B465,MOVIMIENTOS!$E$4:$E$1000,C465,MOVIMIENTOS!$B$4:$B$1000,"DE REPROCESO")+SUMIFS(MOVIMIENTOS!$F$4:$F$1000,MOVIMIENTOS!$C$4:$C$1000,A465,MOVIMIENTOS!$D$4:$D$1000,B465,MOVIMIENTOS!$E$4:$E$1000,C465,MOVIMIENTOS!$B$4:$B$1000,"AJUSTE+")-SUMIFS(MOVIMIENTOS!$F$4:$F$1000,MOVIMIENTOS!$C$4:$C$1000,A465,MOVIMIENTOS!$D$4:$D$1000,B465,MOVIMIENTOS!$E$4:$E$1000,C465,MOVIMIENTOS!$B$4:$B$1000,"A CORTE")-SUMIFS(MOVIMIENTOS!$F$4:$F$1000,MOVIMIENTOS!$C$4:$C$1000,A465,MOVIMIENTOS!$D$4:$D$1000,B465,MOVIMIENTOS!$E$4:$E$1000,C465,MOVIMIENTOS!$B$4:$B$1000,"A REPROCESO")-SUMIFS(MOVIMIENTOS!$F$4:$F$1000,MOVIMIENTOS!$C$4:$C$1000,A465,MOVIMIENTOS!$D$4:$D$1000,B465,MOVIMIENTOS!$E$4:$E$1000,C465,MOVIMIENTOS!$B$4:$B$1000,"MUESTRA")-SUMIFS(MOVIMIENTOS!$F$4:$F$1000,MOVIMIENTOS!$C$4:$C$1000,A465,MOVIMIENTOS!$D$4:$D$1000,B465,MOVIMIENTOS!$E$4:$E$1000,C465,MOVIMIENTOS!$B$4:$B$1000,"AJUSTE-"),0)</f>
        <v>0</v>
      </c>
      <c r="F465" s="101">
        <f>IFERROR(E465*VLOOKUP(B465,TELAS!$A$4:$C$32,3,FALSE()),0)</f>
        <v>0</v>
      </c>
      <c r="G465" s="102">
        <f>IFERROR(IF(D465="OSCURO",VLOOKUP(B465,PRECIOS!$A$4:$F$32,2,FALSE()),IF(D465="CLARO",VLOOKUP(B465,PRECIOS!$A$4:$F$32,3,FALSE()),IF(D465="MELANGE",VLOOKUP(B465,PRECIOS!$A$4:$F$32,4,FALSE()),IF(D465="PPT",VLOOKUP(B465,PRECIOS!$A$4:$F$32,5,FALSE()),0)))),0)</f>
        <v>19</v>
      </c>
      <c r="H465" s="103">
        <f t="shared" si="1"/>
        <v>0</v>
      </c>
      <c r="I465" s="104" t="str">
        <f>IF(E465&lt;0,"ERROR",IF(E465=0,"",IF(E465&lt;CONFIG!$B$4,"CRÍTICO",IF(E465&lt;CONFIG!$B$5,"BAJO","OK"))))</f>
        <v/>
      </c>
    </row>
    <row r="466" ht="15.75" customHeight="1">
      <c r="A466" s="90" t="str">
        <f>IF(CLIENTES!A7="","",CLIENTES!A7)</f>
        <v/>
      </c>
      <c r="B466" s="67" t="str">
        <f>TELAS!A6</f>
        <v>wafle 30/1</v>
      </c>
      <c r="C466" s="67" t="str">
        <f>COLORES!A6</f>
        <v>Blanco</v>
      </c>
      <c r="D466" s="67" t="str">
        <f>COLORES!B6</f>
        <v>PPT</v>
      </c>
      <c r="E466" s="100">
        <f>IFERROR(SUMIFS(MOVIMIENTOS!$F$4:$F$1000,MOVIMIENTOS!$C$4:$C$1000,A466,MOVIMIENTOS!$D$4:$D$1000,B466,MOVIMIENTOS!$E$4:$E$1000,C466,MOVIMIENTOS!$B$4:$B$1000,"INGRESO")+SUMIFS(MOVIMIENTOS!$F$4:$F$1000,MOVIMIENTOS!$C$4:$C$1000,A466,MOVIMIENTOS!$D$4:$D$1000,B466,MOVIMIENTOS!$E$4:$E$1000,C466,MOVIMIENTOS!$B$4:$B$1000,"DE REPROCESO")+SUMIFS(MOVIMIENTOS!$F$4:$F$1000,MOVIMIENTOS!$C$4:$C$1000,A466,MOVIMIENTOS!$D$4:$D$1000,B466,MOVIMIENTOS!$E$4:$E$1000,C466,MOVIMIENTOS!$B$4:$B$1000,"AJUSTE+")-SUMIFS(MOVIMIENTOS!$F$4:$F$1000,MOVIMIENTOS!$C$4:$C$1000,A466,MOVIMIENTOS!$D$4:$D$1000,B466,MOVIMIENTOS!$E$4:$E$1000,C466,MOVIMIENTOS!$B$4:$B$1000,"A CORTE")-SUMIFS(MOVIMIENTOS!$F$4:$F$1000,MOVIMIENTOS!$C$4:$C$1000,A466,MOVIMIENTOS!$D$4:$D$1000,B466,MOVIMIENTOS!$E$4:$E$1000,C466,MOVIMIENTOS!$B$4:$B$1000,"A REPROCESO")-SUMIFS(MOVIMIENTOS!$F$4:$F$1000,MOVIMIENTOS!$C$4:$C$1000,A466,MOVIMIENTOS!$D$4:$D$1000,B466,MOVIMIENTOS!$E$4:$E$1000,C466,MOVIMIENTOS!$B$4:$B$1000,"MUESTRA")-SUMIFS(MOVIMIENTOS!$F$4:$F$1000,MOVIMIENTOS!$C$4:$C$1000,A466,MOVIMIENTOS!$D$4:$D$1000,B466,MOVIMIENTOS!$E$4:$E$1000,C466,MOVIMIENTOS!$B$4:$B$1000,"AJUSTE-"),0)</f>
        <v>0</v>
      </c>
      <c r="F466" s="101">
        <f>IFERROR(E466*VLOOKUP(B466,TELAS!$A$4:$C$32,3,FALSE()),0)</f>
        <v>0</v>
      </c>
      <c r="G466" s="102">
        <f>IFERROR(IF(D466="OSCURO",VLOOKUP(B466,PRECIOS!$A$4:$F$32,2,FALSE()),IF(D466="CLARO",VLOOKUP(B466,PRECIOS!$A$4:$F$32,3,FALSE()),IF(D466="MELANGE",VLOOKUP(B466,PRECIOS!$A$4:$F$32,4,FALSE()),IF(D466="PPT",VLOOKUP(B466,PRECIOS!$A$4:$F$32,5,FALSE()),0)))),0)</f>
        <v>19</v>
      </c>
      <c r="H466" s="103">
        <f t="shared" si="1"/>
        <v>0</v>
      </c>
      <c r="I466" s="104" t="str">
        <f>IF(E466&lt;0,"ERROR",IF(E466=0,"",IF(E466&lt;CONFIG!$B$4,"CRÍTICO",IF(E466&lt;CONFIG!$B$5,"BAJO","OK"))))</f>
        <v/>
      </c>
    </row>
    <row r="467" ht="15.75" customHeight="1">
      <c r="A467" s="90" t="str">
        <f>IF(CLIENTES!A7="","",CLIENTES!A7)</f>
        <v/>
      </c>
      <c r="B467" s="67" t="str">
        <f>TELAS!A6</f>
        <v>wafle 30/1</v>
      </c>
      <c r="C467" s="67" t="str">
        <f>COLORES!A7</f>
        <v>Azul</v>
      </c>
      <c r="D467" s="67" t="str">
        <f>COLORES!B7</f>
        <v>OSCURO</v>
      </c>
      <c r="E467" s="100">
        <f>IFERROR(SUMIFS(MOVIMIENTOS!$F$4:$F$1000,MOVIMIENTOS!$C$4:$C$1000,A467,MOVIMIENTOS!$D$4:$D$1000,B467,MOVIMIENTOS!$E$4:$E$1000,C467,MOVIMIENTOS!$B$4:$B$1000,"INGRESO")+SUMIFS(MOVIMIENTOS!$F$4:$F$1000,MOVIMIENTOS!$C$4:$C$1000,A467,MOVIMIENTOS!$D$4:$D$1000,B467,MOVIMIENTOS!$E$4:$E$1000,C467,MOVIMIENTOS!$B$4:$B$1000,"DE REPROCESO")+SUMIFS(MOVIMIENTOS!$F$4:$F$1000,MOVIMIENTOS!$C$4:$C$1000,A467,MOVIMIENTOS!$D$4:$D$1000,B467,MOVIMIENTOS!$E$4:$E$1000,C467,MOVIMIENTOS!$B$4:$B$1000,"AJUSTE+")-SUMIFS(MOVIMIENTOS!$F$4:$F$1000,MOVIMIENTOS!$C$4:$C$1000,A467,MOVIMIENTOS!$D$4:$D$1000,B467,MOVIMIENTOS!$E$4:$E$1000,C467,MOVIMIENTOS!$B$4:$B$1000,"A CORTE")-SUMIFS(MOVIMIENTOS!$F$4:$F$1000,MOVIMIENTOS!$C$4:$C$1000,A467,MOVIMIENTOS!$D$4:$D$1000,B467,MOVIMIENTOS!$E$4:$E$1000,C467,MOVIMIENTOS!$B$4:$B$1000,"A REPROCESO")-SUMIFS(MOVIMIENTOS!$F$4:$F$1000,MOVIMIENTOS!$C$4:$C$1000,A467,MOVIMIENTOS!$D$4:$D$1000,B467,MOVIMIENTOS!$E$4:$E$1000,C467,MOVIMIENTOS!$B$4:$B$1000,"MUESTRA")-SUMIFS(MOVIMIENTOS!$F$4:$F$1000,MOVIMIENTOS!$C$4:$C$1000,A467,MOVIMIENTOS!$D$4:$D$1000,B467,MOVIMIENTOS!$E$4:$E$1000,C467,MOVIMIENTOS!$B$4:$B$1000,"AJUSTE-"),0)</f>
        <v>0</v>
      </c>
      <c r="F467" s="101">
        <f>IFERROR(E467*VLOOKUP(B467,TELAS!$A$4:$C$32,3,FALSE()),0)</f>
        <v>0</v>
      </c>
      <c r="G467" s="102">
        <f>IFERROR(IF(D467="OSCURO",VLOOKUP(B467,PRECIOS!$A$4:$F$32,2,FALSE()),IF(D467="CLARO",VLOOKUP(B467,PRECIOS!$A$4:$F$32,3,FALSE()),IF(D467="MELANGE",VLOOKUP(B467,PRECIOS!$A$4:$F$32,4,FALSE()),IF(D467="PPT",VLOOKUP(B467,PRECIOS!$A$4:$F$32,5,FALSE()),0)))),0)</f>
        <v>26</v>
      </c>
      <c r="H467" s="103">
        <f t="shared" si="1"/>
        <v>0</v>
      </c>
      <c r="I467" s="104" t="str">
        <f>IF(E467&lt;0,"ERROR",IF(E467=0,"",IF(E467&lt;CONFIG!$B$4,"CRÍTICO",IF(E467&lt;CONFIG!$B$5,"BAJO","OK"))))</f>
        <v/>
      </c>
    </row>
    <row r="468" ht="15.75" customHeight="1">
      <c r="A468" s="90" t="str">
        <f>IF(CLIENTES!A7="","",CLIENTES!A7)</f>
        <v/>
      </c>
      <c r="B468" s="67" t="str">
        <f>TELAS!A6</f>
        <v>wafle 30/1</v>
      </c>
      <c r="C468" s="67" t="str">
        <f>COLORES!A8</f>
        <v>Beige</v>
      </c>
      <c r="D468" s="67" t="str">
        <f>COLORES!B8</f>
        <v>CLARO</v>
      </c>
      <c r="E468" s="100">
        <f>IFERROR(SUMIFS(MOVIMIENTOS!$F$4:$F$1000,MOVIMIENTOS!$C$4:$C$1000,A468,MOVIMIENTOS!$D$4:$D$1000,B468,MOVIMIENTOS!$E$4:$E$1000,C468,MOVIMIENTOS!$B$4:$B$1000,"INGRESO")+SUMIFS(MOVIMIENTOS!$F$4:$F$1000,MOVIMIENTOS!$C$4:$C$1000,A468,MOVIMIENTOS!$D$4:$D$1000,B468,MOVIMIENTOS!$E$4:$E$1000,C468,MOVIMIENTOS!$B$4:$B$1000,"DE REPROCESO")+SUMIFS(MOVIMIENTOS!$F$4:$F$1000,MOVIMIENTOS!$C$4:$C$1000,A468,MOVIMIENTOS!$D$4:$D$1000,B468,MOVIMIENTOS!$E$4:$E$1000,C468,MOVIMIENTOS!$B$4:$B$1000,"AJUSTE+")-SUMIFS(MOVIMIENTOS!$F$4:$F$1000,MOVIMIENTOS!$C$4:$C$1000,A468,MOVIMIENTOS!$D$4:$D$1000,B468,MOVIMIENTOS!$E$4:$E$1000,C468,MOVIMIENTOS!$B$4:$B$1000,"A CORTE")-SUMIFS(MOVIMIENTOS!$F$4:$F$1000,MOVIMIENTOS!$C$4:$C$1000,A468,MOVIMIENTOS!$D$4:$D$1000,B468,MOVIMIENTOS!$E$4:$E$1000,C468,MOVIMIENTOS!$B$4:$B$1000,"A REPROCESO")-SUMIFS(MOVIMIENTOS!$F$4:$F$1000,MOVIMIENTOS!$C$4:$C$1000,A468,MOVIMIENTOS!$D$4:$D$1000,B468,MOVIMIENTOS!$E$4:$E$1000,C468,MOVIMIENTOS!$B$4:$B$1000,"MUESTRA")-SUMIFS(MOVIMIENTOS!$F$4:$F$1000,MOVIMIENTOS!$C$4:$C$1000,A468,MOVIMIENTOS!$D$4:$D$1000,B468,MOVIMIENTOS!$E$4:$E$1000,C468,MOVIMIENTOS!$B$4:$B$1000,"AJUSTE-"),0)</f>
        <v>0</v>
      </c>
      <c r="F468" s="101">
        <f>IFERROR(E468*VLOOKUP(B468,TELAS!$A$4:$C$32,3,FALSE()),0)</f>
        <v>0</v>
      </c>
      <c r="G468" s="102">
        <f>IFERROR(IF(D468="OSCURO",VLOOKUP(B468,PRECIOS!$A$4:$F$32,2,FALSE()),IF(D468="CLARO",VLOOKUP(B468,PRECIOS!$A$4:$F$32,3,FALSE()),IF(D468="MELANGE",VLOOKUP(B468,PRECIOS!$A$4:$F$32,4,FALSE()),IF(D468="PPT",VLOOKUP(B468,PRECIOS!$A$4:$F$32,5,FALSE()),0)))),0)</f>
        <v>22.5</v>
      </c>
      <c r="H468" s="103">
        <f t="shared" si="1"/>
        <v>0</v>
      </c>
      <c r="I468" s="104" t="str">
        <f>IF(E468&lt;0,"ERROR",IF(E468=0,"",IF(E468&lt;CONFIG!$B$4,"CRÍTICO",IF(E468&lt;CONFIG!$B$5,"BAJO","OK"))))</f>
        <v/>
      </c>
    </row>
    <row r="469" ht="15.75" customHeight="1">
      <c r="A469" s="90" t="str">
        <f>IF(CLIENTES!A7="","",CLIENTES!A7)</f>
        <v/>
      </c>
      <c r="B469" s="67" t="str">
        <f>TELAS!A6</f>
        <v>wafle 30/1</v>
      </c>
      <c r="C469" s="67" t="str">
        <f>COLORES!A9</f>
        <v>Melange</v>
      </c>
      <c r="D469" s="67" t="str">
        <f>COLORES!B9</f>
        <v>MELANGE</v>
      </c>
      <c r="E469" s="100">
        <f>IFERROR(SUMIFS(MOVIMIENTOS!$F$4:$F$1000,MOVIMIENTOS!$C$4:$C$1000,A469,MOVIMIENTOS!$D$4:$D$1000,B469,MOVIMIENTOS!$E$4:$E$1000,C469,MOVIMIENTOS!$B$4:$B$1000,"INGRESO")+SUMIFS(MOVIMIENTOS!$F$4:$F$1000,MOVIMIENTOS!$C$4:$C$1000,A469,MOVIMIENTOS!$D$4:$D$1000,B469,MOVIMIENTOS!$E$4:$E$1000,C469,MOVIMIENTOS!$B$4:$B$1000,"DE REPROCESO")+SUMIFS(MOVIMIENTOS!$F$4:$F$1000,MOVIMIENTOS!$C$4:$C$1000,A469,MOVIMIENTOS!$D$4:$D$1000,B469,MOVIMIENTOS!$E$4:$E$1000,C469,MOVIMIENTOS!$B$4:$B$1000,"AJUSTE+")-SUMIFS(MOVIMIENTOS!$F$4:$F$1000,MOVIMIENTOS!$C$4:$C$1000,A469,MOVIMIENTOS!$D$4:$D$1000,B469,MOVIMIENTOS!$E$4:$E$1000,C469,MOVIMIENTOS!$B$4:$B$1000,"A CORTE")-SUMIFS(MOVIMIENTOS!$F$4:$F$1000,MOVIMIENTOS!$C$4:$C$1000,A469,MOVIMIENTOS!$D$4:$D$1000,B469,MOVIMIENTOS!$E$4:$E$1000,C469,MOVIMIENTOS!$B$4:$B$1000,"A REPROCESO")-SUMIFS(MOVIMIENTOS!$F$4:$F$1000,MOVIMIENTOS!$C$4:$C$1000,A469,MOVIMIENTOS!$D$4:$D$1000,B469,MOVIMIENTOS!$E$4:$E$1000,C469,MOVIMIENTOS!$B$4:$B$1000,"MUESTRA")-SUMIFS(MOVIMIENTOS!$F$4:$F$1000,MOVIMIENTOS!$C$4:$C$1000,A469,MOVIMIENTOS!$D$4:$D$1000,B469,MOVIMIENTOS!$E$4:$E$1000,C469,MOVIMIENTOS!$B$4:$B$1000,"AJUSTE-"),0)</f>
        <v>0</v>
      </c>
      <c r="F469" s="101">
        <f>IFERROR(E469*VLOOKUP(B469,TELAS!$A$4:$C$32,3,FALSE()),0)</f>
        <v>0</v>
      </c>
      <c r="G469" s="102">
        <f>IFERROR(IF(D469="OSCURO",VLOOKUP(B469,PRECIOS!$A$4:$F$32,2,FALSE()),IF(D469="CLARO",VLOOKUP(B469,PRECIOS!$A$4:$F$32,3,FALSE()),IF(D469="MELANGE",VLOOKUP(B469,PRECIOS!$A$4:$F$32,4,FALSE()),IF(D469="PPT",VLOOKUP(B469,PRECIOS!$A$4:$F$32,5,FALSE()),0)))),0)</f>
        <v>19</v>
      </c>
      <c r="H469" s="103">
        <f t="shared" si="1"/>
        <v>0</v>
      </c>
      <c r="I469" s="104" t="str">
        <f>IF(E469&lt;0,"ERROR",IF(E469=0,"",IF(E469&lt;CONFIG!$B$4,"CRÍTICO",IF(E469&lt;CONFIG!$B$5,"BAJO","OK"))))</f>
        <v/>
      </c>
    </row>
    <row r="470" ht="15.75" customHeight="1">
      <c r="A470" s="90" t="str">
        <f>IF(CLIENTES!A7="","",CLIENTES!A7)</f>
        <v/>
      </c>
      <c r="B470" s="67" t="str">
        <f>TELAS!A6</f>
        <v>wafle 30/1</v>
      </c>
      <c r="C470" s="67" t="str">
        <f>COLORES!A10</f>
        <v>Botella</v>
      </c>
      <c r="D470" s="67" t="str">
        <f>COLORES!B10</f>
        <v>OSCURO</v>
      </c>
      <c r="E470" s="100">
        <f>IFERROR(SUMIFS(MOVIMIENTOS!$F$4:$F$1000,MOVIMIENTOS!$C$4:$C$1000,A470,MOVIMIENTOS!$D$4:$D$1000,B470,MOVIMIENTOS!$E$4:$E$1000,C470,MOVIMIENTOS!$B$4:$B$1000,"INGRESO")+SUMIFS(MOVIMIENTOS!$F$4:$F$1000,MOVIMIENTOS!$C$4:$C$1000,A470,MOVIMIENTOS!$D$4:$D$1000,B470,MOVIMIENTOS!$E$4:$E$1000,C470,MOVIMIENTOS!$B$4:$B$1000,"DE REPROCESO")+SUMIFS(MOVIMIENTOS!$F$4:$F$1000,MOVIMIENTOS!$C$4:$C$1000,A470,MOVIMIENTOS!$D$4:$D$1000,B470,MOVIMIENTOS!$E$4:$E$1000,C470,MOVIMIENTOS!$B$4:$B$1000,"AJUSTE+")-SUMIFS(MOVIMIENTOS!$F$4:$F$1000,MOVIMIENTOS!$C$4:$C$1000,A470,MOVIMIENTOS!$D$4:$D$1000,B470,MOVIMIENTOS!$E$4:$E$1000,C470,MOVIMIENTOS!$B$4:$B$1000,"A CORTE")-SUMIFS(MOVIMIENTOS!$F$4:$F$1000,MOVIMIENTOS!$C$4:$C$1000,A470,MOVIMIENTOS!$D$4:$D$1000,B470,MOVIMIENTOS!$E$4:$E$1000,C470,MOVIMIENTOS!$B$4:$B$1000,"A REPROCESO")-SUMIFS(MOVIMIENTOS!$F$4:$F$1000,MOVIMIENTOS!$C$4:$C$1000,A470,MOVIMIENTOS!$D$4:$D$1000,B470,MOVIMIENTOS!$E$4:$E$1000,C470,MOVIMIENTOS!$B$4:$B$1000,"MUESTRA")-SUMIFS(MOVIMIENTOS!$F$4:$F$1000,MOVIMIENTOS!$C$4:$C$1000,A470,MOVIMIENTOS!$D$4:$D$1000,B470,MOVIMIENTOS!$E$4:$E$1000,C470,MOVIMIENTOS!$B$4:$B$1000,"AJUSTE-"),0)</f>
        <v>0</v>
      </c>
      <c r="F470" s="101">
        <f>IFERROR(E470*VLOOKUP(B470,TELAS!$A$4:$C$32,3,FALSE()),0)</f>
        <v>0</v>
      </c>
      <c r="G470" s="102">
        <f>IFERROR(IF(D470="OSCURO",VLOOKUP(B470,PRECIOS!$A$4:$F$32,2,FALSE()),IF(D470="CLARO",VLOOKUP(B470,PRECIOS!$A$4:$F$32,3,FALSE()),IF(D470="MELANGE",VLOOKUP(B470,PRECIOS!$A$4:$F$32,4,FALSE()),IF(D470="PPT",VLOOKUP(B470,PRECIOS!$A$4:$F$32,5,FALSE()),0)))),0)</f>
        <v>26</v>
      </c>
      <c r="H470" s="103">
        <f t="shared" si="1"/>
        <v>0</v>
      </c>
      <c r="I470" s="104" t="str">
        <f>IF(E470&lt;0,"ERROR",IF(E470=0,"",IF(E470&lt;CONFIG!$B$4,"CRÍTICO",IF(E470&lt;CONFIG!$B$5,"BAJO","OK"))))</f>
        <v/>
      </c>
    </row>
    <row r="471" ht="15.75" customHeight="1">
      <c r="A471" s="90" t="str">
        <f>IF(CLIENTES!A7="","",CLIENTES!A7)</f>
        <v/>
      </c>
      <c r="B471" s="67" t="str">
        <f>TELAS!A6</f>
        <v>wafle 30/1</v>
      </c>
      <c r="C471" s="67" t="str">
        <f>COLORES!A11</f>
        <v>Pacay</v>
      </c>
      <c r="D471" s="67" t="str">
        <f>COLORES!B11</f>
        <v>CLARO</v>
      </c>
      <c r="E471" s="100">
        <f>IFERROR(SUMIFS(MOVIMIENTOS!$F$4:$F$1000,MOVIMIENTOS!$C$4:$C$1000,A471,MOVIMIENTOS!$D$4:$D$1000,B471,MOVIMIENTOS!$E$4:$E$1000,C471,MOVIMIENTOS!$B$4:$B$1000,"INGRESO")+SUMIFS(MOVIMIENTOS!$F$4:$F$1000,MOVIMIENTOS!$C$4:$C$1000,A471,MOVIMIENTOS!$D$4:$D$1000,B471,MOVIMIENTOS!$E$4:$E$1000,C471,MOVIMIENTOS!$B$4:$B$1000,"DE REPROCESO")+SUMIFS(MOVIMIENTOS!$F$4:$F$1000,MOVIMIENTOS!$C$4:$C$1000,A471,MOVIMIENTOS!$D$4:$D$1000,B471,MOVIMIENTOS!$E$4:$E$1000,C471,MOVIMIENTOS!$B$4:$B$1000,"AJUSTE+")-SUMIFS(MOVIMIENTOS!$F$4:$F$1000,MOVIMIENTOS!$C$4:$C$1000,A471,MOVIMIENTOS!$D$4:$D$1000,B471,MOVIMIENTOS!$E$4:$E$1000,C471,MOVIMIENTOS!$B$4:$B$1000,"A CORTE")-SUMIFS(MOVIMIENTOS!$F$4:$F$1000,MOVIMIENTOS!$C$4:$C$1000,A471,MOVIMIENTOS!$D$4:$D$1000,B471,MOVIMIENTOS!$E$4:$E$1000,C471,MOVIMIENTOS!$B$4:$B$1000,"A REPROCESO")-SUMIFS(MOVIMIENTOS!$F$4:$F$1000,MOVIMIENTOS!$C$4:$C$1000,A471,MOVIMIENTOS!$D$4:$D$1000,B471,MOVIMIENTOS!$E$4:$E$1000,C471,MOVIMIENTOS!$B$4:$B$1000,"MUESTRA")-SUMIFS(MOVIMIENTOS!$F$4:$F$1000,MOVIMIENTOS!$C$4:$C$1000,A471,MOVIMIENTOS!$D$4:$D$1000,B471,MOVIMIENTOS!$E$4:$E$1000,C471,MOVIMIENTOS!$B$4:$B$1000,"AJUSTE-"),0)</f>
        <v>0</v>
      </c>
      <c r="F471" s="101">
        <f>IFERROR(E471*VLOOKUP(B471,TELAS!$A$4:$C$32,3,FALSE()),0)</f>
        <v>0</v>
      </c>
      <c r="G471" s="102">
        <f>IFERROR(IF(D471="OSCURO",VLOOKUP(B471,PRECIOS!$A$4:$F$32,2,FALSE()),IF(D471="CLARO",VLOOKUP(B471,PRECIOS!$A$4:$F$32,3,FALSE()),IF(D471="MELANGE",VLOOKUP(B471,PRECIOS!$A$4:$F$32,4,FALSE()),IF(D471="PPT",VLOOKUP(B471,PRECIOS!$A$4:$F$32,5,FALSE()),0)))),0)</f>
        <v>22.5</v>
      </c>
      <c r="H471" s="103">
        <f t="shared" si="1"/>
        <v>0</v>
      </c>
      <c r="I471" s="104" t="str">
        <f>IF(E471&lt;0,"ERROR",IF(E471=0,"",IF(E471&lt;CONFIG!$B$4,"CRÍTICO",IF(E471&lt;CONFIG!$B$5,"BAJO","OK"))))</f>
        <v/>
      </c>
    </row>
    <row r="472" ht="15.75" customHeight="1">
      <c r="A472" s="90" t="str">
        <f>IF(CLIENTES!A7="","",CLIENTES!A7)</f>
        <v/>
      </c>
      <c r="B472" s="67" t="str">
        <f>TELAS!A6</f>
        <v>wafle 30/1</v>
      </c>
      <c r="C472" s="67" t="str">
        <f>COLORES!A12</f>
        <v>Cemento</v>
      </c>
      <c r="D472" s="67" t="str">
        <f>COLORES!B12</f>
        <v>CLARO</v>
      </c>
      <c r="E472" s="100">
        <f>IFERROR(SUMIFS(MOVIMIENTOS!$F$4:$F$1000,MOVIMIENTOS!$C$4:$C$1000,A472,MOVIMIENTOS!$D$4:$D$1000,B472,MOVIMIENTOS!$E$4:$E$1000,C472,MOVIMIENTOS!$B$4:$B$1000,"INGRESO")+SUMIFS(MOVIMIENTOS!$F$4:$F$1000,MOVIMIENTOS!$C$4:$C$1000,A472,MOVIMIENTOS!$D$4:$D$1000,B472,MOVIMIENTOS!$E$4:$E$1000,C472,MOVIMIENTOS!$B$4:$B$1000,"DE REPROCESO")+SUMIFS(MOVIMIENTOS!$F$4:$F$1000,MOVIMIENTOS!$C$4:$C$1000,A472,MOVIMIENTOS!$D$4:$D$1000,B472,MOVIMIENTOS!$E$4:$E$1000,C472,MOVIMIENTOS!$B$4:$B$1000,"AJUSTE+")-SUMIFS(MOVIMIENTOS!$F$4:$F$1000,MOVIMIENTOS!$C$4:$C$1000,A472,MOVIMIENTOS!$D$4:$D$1000,B472,MOVIMIENTOS!$E$4:$E$1000,C472,MOVIMIENTOS!$B$4:$B$1000,"A CORTE")-SUMIFS(MOVIMIENTOS!$F$4:$F$1000,MOVIMIENTOS!$C$4:$C$1000,A472,MOVIMIENTOS!$D$4:$D$1000,B472,MOVIMIENTOS!$E$4:$E$1000,C472,MOVIMIENTOS!$B$4:$B$1000,"A REPROCESO")-SUMIFS(MOVIMIENTOS!$F$4:$F$1000,MOVIMIENTOS!$C$4:$C$1000,A472,MOVIMIENTOS!$D$4:$D$1000,B472,MOVIMIENTOS!$E$4:$E$1000,C472,MOVIMIENTOS!$B$4:$B$1000,"MUESTRA")-SUMIFS(MOVIMIENTOS!$F$4:$F$1000,MOVIMIENTOS!$C$4:$C$1000,A472,MOVIMIENTOS!$D$4:$D$1000,B472,MOVIMIENTOS!$E$4:$E$1000,C472,MOVIMIENTOS!$B$4:$B$1000,"AJUSTE-"),0)</f>
        <v>0</v>
      </c>
      <c r="F472" s="101">
        <f>IFERROR(E472*VLOOKUP(B472,TELAS!$A$4:$C$32,3,FALSE()),0)</f>
        <v>0</v>
      </c>
      <c r="G472" s="102">
        <f>IFERROR(IF(D472="OSCURO",VLOOKUP(B472,PRECIOS!$A$4:$F$32,2,FALSE()),IF(D472="CLARO",VLOOKUP(B472,PRECIOS!$A$4:$F$32,3,FALSE()),IF(D472="MELANGE",VLOOKUP(B472,PRECIOS!$A$4:$F$32,4,FALSE()),IF(D472="PPT",VLOOKUP(B472,PRECIOS!$A$4:$F$32,5,FALSE()),0)))),0)</f>
        <v>22.5</v>
      </c>
      <c r="H472" s="103">
        <f t="shared" si="1"/>
        <v>0</v>
      </c>
      <c r="I472" s="104" t="str">
        <f>IF(E472&lt;0,"ERROR",IF(E472=0,"",IF(E472&lt;CONFIG!$B$4,"CRÍTICO",IF(E472&lt;CONFIG!$B$5,"BAJO","OK"))))</f>
        <v/>
      </c>
    </row>
    <row r="473" ht="15.75" customHeight="1">
      <c r="A473" s="90" t="str">
        <f>IF(CLIENTES!A7="","",CLIENTES!A7)</f>
        <v/>
      </c>
      <c r="B473" s="67" t="str">
        <f>TELAS!A6</f>
        <v>wafle 30/1</v>
      </c>
      <c r="C473" s="67" t="str">
        <f>COLORES!A13</f>
        <v>Camote</v>
      </c>
      <c r="D473" s="67" t="str">
        <f>COLORES!B13</f>
        <v>CLARO</v>
      </c>
      <c r="E473" s="100">
        <f>IFERROR(SUMIFS(MOVIMIENTOS!$F$4:$F$1000,MOVIMIENTOS!$C$4:$C$1000,A473,MOVIMIENTOS!$D$4:$D$1000,B473,MOVIMIENTOS!$E$4:$E$1000,C473,MOVIMIENTOS!$B$4:$B$1000,"INGRESO")+SUMIFS(MOVIMIENTOS!$F$4:$F$1000,MOVIMIENTOS!$C$4:$C$1000,A473,MOVIMIENTOS!$D$4:$D$1000,B473,MOVIMIENTOS!$E$4:$E$1000,C473,MOVIMIENTOS!$B$4:$B$1000,"DE REPROCESO")+SUMIFS(MOVIMIENTOS!$F$4:$F$1000,MOVIMIENTOS!$C$4:$C$1000,A473,MOVIMIENTOS!$D$4:$D$1000,B473,MOVIMIENTOS!$E$4:$E$1000,C473,MOVIMIENTOS!$B$4:$B$1000,"AJUSTE+")-SUMIFS(MOVIMIENTOS!$F$4:$F$1000,MOVIMIENTOS!$C$4:$C$1000,A473,MOVIMIENTOS!$D$4:$D$1000,B473,MOVIMIENTOS!$E$4:$E$1000,C473,MOVIMIENTOS!$B$4:$B$1000,"A CORTE")-SUMIFS(MOVIMIENTOS!$F$4:$F$1000,MOVIMIENTOS!$C$4:$C$1000,A473,MOVIMIENTOS!$D$4:$D$1000,B473,MOVIMIENTOS!$E$4:$E$1000,C473,MOVIMIENTOS!$B$4:$B$1000,"A REPROCESO")-SUMIFS(MOVIMIENTOS!$F$4:$F$1000,MOVIMIENTOS!$C$4:$C$1000,A473,MOVIMIENTOS!$D$4:$D$1000,B473,MOVIMIENTOS!$E$4:$E$1000,C473,MOVIMIENTOS!$B$4:$B$1000,"MUESTRA")-SUMIFS(MOVIMIENTOS!$F$4:$F$1000,MOVIMIENTOS!$C$4:$C$1000,A473,MOVIMIENTOS!$D$4:$D$1000,B473,MOVIMIENTOS!$E$4:$E$1000,C473,MOVIMIENTOS!$B$4:$B$1000,"AJUSTE-"),0)</f>
        <v>0</v>
      </c>
      <c r="F473" s="101">
        <f>IFERROR(E473*VLOOKUP(B473,TELAS!$A$4:$C$32,3,FALSE()),0)</f>
        <v>0</v>
      </c>
      <c r="G473" s="102">
        <f>IFERROR(IF(D473="OSCURO",VLOOKUP(B473,PRECIOS!$A$4:$F$32,2,FALSE()),IF(D473="CLARO",VLOOKUP(B473,PRECIOS!$A$4:$F$32,3,FALSE()),IF(D473="MELANGE",VLOOKUP(B473,PRECIOS!$A$4:$F$32,4,FALSE()),IF(D473="PPT",VLOOKUP(B473,PRECIOS!$A$4:$F$32,5,FALSE()),0)))),0)</f>
        <v>22.5</v>
      </c>
      <c r="H473" s="103">
        <f t="shared" si="1"/>
        <v>0</v>
      </c>
      <c r="I473" s="104" t="str">
        <f>IF(E473&lt;0,"ERROR",IF(E473=0,"",IF(E473&lt;CONFIG!$B$4,"CRÍTICO",IF(E473&lt;CONFIG!$B$5,"BAJO","OK"))))</f>
        <v/>
      </c>
    </row>
    <row r="474" ht="15.75" customHeight="1">
      <c r="A474" s="90" t="str">
        <f>IF(CLIENTES!A7="","",CLIENTES!A7)</f>
        <v/>
      </c>
      <c r="B474" s="67" t="str">
        <f>TELAS!A6</f>
        <v>wafle 30/1</v>
      </c>
      <c r="C474" s="67" t="str">
        <f>COLORES!A14</f>
        <v>Denim</v>
      </c>
      <c r="D474" s="67" t="str">
        <f>COLORES!B14</f>
        <v>CLARO</v>
      </c>
      <c r="E474" s="100">
        <f>IFERROR(SUMIFS(MOVIMIENTOS!$F$4:$F$1000,MOVIMIENTOS!$C$4:$C$1000,A474,MOVIMIENTOS!$D$4:$D$1000,B474,MOVIMIENTOS!$E$4:$E$1000,C474,MOVIMIENTOS!$B$4:$B$1000,"INGRESO")+SUMIFS(MOVIMIENTOS!$F$4:$F$1000,MOVIMIENTOS!$C$4:$C$1000,A474,MOVIMIENTOS!$D$4:$D$1000,B474,MOVIMIENTOS!$E$4:$E$1000,C474,MOVIMIENTOS!$B$4:$B$1000,"DE REPROCESO")+SUMIFS(MOVIMIENTOS!$F$4:$F$1000,MOVIMIENTOS!$C$4:$C$1000,A474,MOVIMIENTOS!$D$4:$D$1000,B474,MOVIMIENTOS!$E$4:$E$1000,C474,MOVIMIENTOS!$B$4:$B$1000,"AJUSTE+")-SUMIFS(MOVIMIENTOS!$F$4:$F$1000,MOVIMIENTOS!$C$4:$C$1000,A474,MOVIMIENTOS!$D$4:$D$1000,B474,MOVIMIENTOS!$E$4:$E$1000,C474,MOVIMIENTOS!$B$4:$B$1000,"A CORTE")-SUMIFS(MOVIMIENTOS!$F$4:$F$1000,MOVIMIENTOS!$C$4:$C$1000,A474,MOVIMIENTOS!$D$4:$D$1000,B474,MOVIMIENTOS!$E$4:$E$1000,C474,MOVIMIENTOS!$B$4:$B$1000,"A REPROCESO")-SUMIFS(MOVIMIENTOS!$F$4:$F$1000,MOVIMIENTOS!$C$4:$C$1000,A474,MOVIMIENTOS!$D$4:$D$1000,B474,MOVIMIENTOS!$E$4:$E$1000,C474,MOVIMIENTOS!$B$4:$B$1000,"MUESTRA")-SUMIFS(MOVIMIENTOS!$F$4:$F$1000,MOVIMIENTOS!$C$4:$C$1000,A474,MOVIMIENTOS!$D$4:$D$1000,B474,MOVIMIENTOS!$E$4:$E$1000,C474,MOVIMIENTOS!$B$4:$B$1000,"AJUSTE-"),0)</f>
        <v>0</v>
      </c>
      <c r="F474" s="101">
        <f>IFERROR(E474*VLOOKUP(B474,TELAS!$A$4:$C$32,3,FALSE()),0)</f>
        <v>0</v>
      </c>
      <c r="G474" s="102">
        <f>IFERROR(IF(D474="OSCURO",VLOOKUP(B474,PRECIOS!$A$4:$F$32,2,FALSE()),IF(D474="CLARO",VLOOKUP(B474,PRECIOS!$A$4:$F$32,3,FALSE()),IF(D474="MELANGE",VLOOKUP(B474,PRECIOS!$A$4:$F$32,4,FALSE()),IF(D474="PPT",VLOOKUP(B474,PRECIOS!$A$4:$F$32,5,FALSE()),0)))),0)</f>
        <v>22.5</v>
      </c>
      <c r="H474" s="103">
        <f t="shared" si="1"/>
        <v>0</v>
      </c>
      <c r="I474" s="104" t="str">
        <f>IF(E474&lt;0,"ERROR",IF(E474=0,"",IF(E474&lt;CONFIG!$B$4,"CRÍTICO",IF(E474&lt;CONFIG!$B$5,"BAJO","OK"))))</f>
        <v/>
      </c>
    </row>
    <row r="475" ht="15.75" customHeight="1">
      <c r="A475" s="90" t="str">
        <f>IF(CLIENTES!A7="","",CLIENTES!A7)</f>
        <v/>
      </c>
      <c r="B475" s="67" t="str">
        <f>TELAS!A6</f>
        <v>wafle 30/1</v>
      </c>
      <c r="C475" s="67" t="str">
        <f>COLORES!A15</f>
        <v>Plomo</v>
      </c>
      <c r="D475" s="67" t="str">
        <f>COLORES!B15</f>
        <v>OSCURO</v>
      </c>
      <c r="E475" s="100">
        <f>IFERROR(SUMIFS(MOVIMIENTOS!$F$4:$F$1000,MOVIMIENTOS!$C$4:$C$1000,A475,MOVIMIENTOS!$D$4:$D$1000,B475,MOVIMIENTOS!$E$4:$E$1000,C475,MOVIMIENTOS!$B$4:$B$1000,"INGRESO")+SUMIFS(MOVIMIENTOS!$F$4:$F$1000,MOVIMIENTOS!$C$4:$C$1000,A475,MOVIMIENTOS!$D$4:$D$1000,B475,MOVIMIENTOS!$E$4:$E$1000,C475,MOVIMIENTOS!$B$4:$B$1000,"DE REPROCESO")+SUMIFS(MOVIMIENTOS!$F$4:$F$1000,MOVIMIENTOS!$C$4:$C$1000,A475,MOVIMIENTOS!$D$4:$D$1000,B475,MOVIMIENTOS!$E$4:$E$1000,C475,MOVIMIENTOS!$B$4:$B$1000,"AJUSTE+")-SUMIFS(MOVIMIENTOS!$F$4:$F$1000,MOVIMIENTOS!$C$4:$C$1000,A475,MOVIMIENTOS!$D$4:$D$1000,B475,MOVIMIENTOS!$E$4:$E$1000,C475,MOVIMIENTOS!$B$4:$B$1000,"A CORTE")-SUMIFS(MOVIMIENTOS!$F$4:$F$1000,MOVIMIENTOS!$C$4:$C$1000,A475,MOVIMIENTOS!$D$4:$D$1000,B475,MOVIMIENTOS!$E$4:$E$1000,C475,MOVIMIENTOS!$B$4:$B$1000,"A REPROCESO")-SUMIFS(MOVIMIENTOS!$F$4:$F$1000,MOVIMIENTOS!$C$4:$C$1000,A475,MOVIMIENTOS!$D$4:$D$1000,B475,MOVIMIENTOS!$E$4:$E$1000,C475,MOVIMIENTOS!$B$4:$B$1000,"MUESTRA")-SUMIFS(MOVIMIENTOS!$F$4:$F$1000,MOVIMIENTOS!$C$4:$C$1000,A475,MOVIMIENTOS!$D$4:$D$1000,B475,MOVIMIENTOS!$E$4:$E$1000,C475,MOVIMIENTOS!$B$4:$B$1000,"AJUSTE-"),0)</f>
        <v>0</v>
      </c>
      <c r="F475" s="101">
        <f>IFERROR(E475*VLOOKUP(B475,TELAS!$A$4:$C$32,3,FALSE()),0)</f>
        <v>0</v>
      </c>
      <c r="G475" s="102">
        <f>IFERROR(IF(D475="OSCURO",VLOOKUP(B475,PRECIOS!$A$4:$F$32,2,FALSE()),IF(D475="CLARO",VLOOKUP(B475,PRECIOS!$A$4:$F$32,3,FALSE()),IF(D475="MELANGE",VLOOKUP(B475,PRECIOS!$A$4:$F$32,4,FALSE()),IF(D475="PPT",VLOOKUP(B475,PRECIOS!$A$4:$F$32,5,FALSE()),0)))),0)</f>
        <v>26</v>
      </c>
      <c r="H475" s="103">
        <f t="shared" si="1"/>
        <v>0</v>
      </c>
      <c r="I475" s="104" t="str">
        <f>IF(E475&lt;0,"ERROR",IF(E475=0,"",IF(E475&lt;CONFIG!$B$4,"CRÍTICO",IF(E475&lt;CONFIG!$B$5,"BAJO","OK"))))</f>
        <v/>
      </c>
    </row>
    <row r="476" ht="15.75" customHeight="1">
      <c r="A476" s="90" t="str">
        <f>IF(CLIENTES!A7="","",CLIENTES!A7)</f>
        <v/>
      </c>
      <c r="B476" s="67" t="str">
        <f>TELAS!A6</f>
        <v>wafle 30/1</v>
      </c>
      <c r="C476" s="67" t="str">
        <f>COLORES!A16</f>
        <v>Topo</v>
      </c>
      <c r="D476" s="67" t="str">
        <f>COLORES!B16</f>
        <v>CLARO</v>
      </c>
      <c r="E476" s="100">
        <f>IFERROR(SUMIFS(MOVIMIENTOS!$F$4:$F$1000,MOVIMIENTOS!$C$4:$C$1000,A476,MOVIMIENTOS!$D$4:$D$1000,B476,MOVIMIENTOS!$E$4:$E$1000,C476,MOVIMIENTOS!$B$4:$B$1000,"INGRESO")+SUMIFS(MOVIMIENTOS!$F$4:$F$1000,MOVIMIENTOS!$C$4:$C$1000,A476,MOVIMIENTOS!$D$4:$D$1000,B476,MOVIMIENTOS!$E$4:$E$1000,C476,MOVIMIENTOS!$B$4:$B$1000,"DE REPROCESO")+SUMIFS(MOVIMIENTOS!$F$4:$F$1000,MOVIMIENTOS!$C$4:$C$1000,A476,MOVIMIENTOS!$D$4:$D$1000,B476,MOVIMIENTOS!$E$4:$E$1000,C476,MOVIMIENTOS!$B$4:$B$1000,"AJUSTE+")-SUMIFS(MOVIMIENTOS!$F$4:$F$1000,MOVIMIENTOS!$C$4:$C$1000,A476,MOVIMIENTOS!$D$4:$D$1000,B476,MOVIMIENTOS!$E$4:$E$1000,C476,MOVIMIENTOS!$B$4:$B$1000,"A CORTE")-SUMIFS(MOVIMIENTOS!$F$4:$F$1000,MOVIMIENTOS!$C$4:$C$1000,A476,MOVIMIENTOS!$D$4:$D$1000,B476,MOVIMIENTOS!$E$4:$E$1000,C476,MOVIMIENTOS!$B$4:$B$1000,"A REPROCESO")-SUMIFS(MOVIMIENTOS!$F$4:$F$1000,MOVIMIENTOS!$C$4:$C$1000,A476,MOVIMIENTOS!$D$4:$D$1000,B476,MOVIMIENTOS!$E$4:$E$1000,C476,MOVIMIENTOS!$B$4:$B$1000,"MUESTRA")-SUMIFS(MOVIMIENTOS!$F$4:$F$1000,MOVIMIENTOS!$C$4:$C$1000,A476,MOVIMIENTOS!$D$4:$D$1000,B476,MOVIMIENTOS!$E$4:$E$1000,C476,MOVIMIENTOS!$B$4:$B$1000,"AJUSTE-"),0)</f>
        <v>0</v>
      </c>
      <c r="F476" s="101">
        <f>IFERROR(E476*VLOOKUP(B476,TELAS!$A$4:$C$32,3,FALSE()),0)</f>
        <v>0</v>
      </c>
      <c r="G476" s="102">
        <f>IFERROR(IF(D476="OSCURO",VLOOKUP(B476,PRECIOS!$A$4:$F$32,2,FALSE()),IF(D476="CLARO",VLOOKUP(B476,PRECIOS!$A$4:$F$32,3,FALSE()),IF(D476="MELANGE",VLOOKUP(B476,PRECIOS!$A$4:$F$32,4,FALSE()),IF(D476="PPT",VLOOKUP(B476,PRECIOS!$A$4:$F$32,5,FALSE()),0)))),0)</f>
        <v>22.5</v>
      </c>
      <c r="H476" s="103">
        <f t="shared" si="1"/>
        <v>0</v>
      </c>
      <c r="I476" s="104" t="str">
        <f>IF(E476&lt;0,"ERROR",IF(E476=0,"",IF(E476&lt;CONFIG!$B$4,"CRÍTICO",IF(E476&lt;CONFIG!$B$5,"BAJO","OK"))))</f>
        <v/>
      </c>
    </row>
    <row r="477" ht="15.75" customHeight="1">
      <c r="A477" s="90" t="str">
        <f>IF(CLIENTES!A7="","",CLIENTES!A7)</f>
        <v/>
      </c>
      <c r="B477" s="67" t="str">
        <f>TELAS!A6</f>
        <v>wafle 30/1</v>
      </c>
      <c r="C477" s="67" t="str">
        <f>COLORES!A17</f>
        <v>Vino</v>
      </c>
      <c r="D477" s="67" t="str">
        <f>COLORES!B17</f>
        <v>OSCURO</v>
      </c>
      <c r="E477" s="100">
        <f>IFERROR(SUMIFS(MOVIMIENTOS!$F$4:$F$1000,MOVIMIENTOS!$C$4:$C$1000,A477,MOVIMIENTOS!$D$4:$D$1000,B477,MOVIMIENTOS!$E$4:$E$1000,C477,MOVIMIENTOS!$B$4:$B$1000,"INGRESO")+SUMIFS(MOVIMIENTOS!$F$4:$F$1000,MOVIMIENTOS!$C$4:$C$1000,A477,MOVIMIENTOS!$D$4:$D$1000,B477,MOVIMIENTOS!$E$4:$E$1000,C477,MOVIMIENTOS!$B$4:$B$1000,"DE REPROCESO")+SUMIFS(MOVIMIENTOS!$F$4:$F$1000,MOVIMIENTOS!$C$4:$C$1000,A477,MOVIMIENTOS!$D$4:$D$1000,B477,MOVIMIENTOS!$E$4:$E$1000,C477,MOVIMIENTOS!$B$4:$B$1000,"AJUSTE+")-SUMIFS(MOVIMIENTOS!$F$4:$F$1000,MOVIMIENTOS!$C$4:$C$1000,A477,MOVIMIENTOS!$D$4:$D$1000,B477,MOVIMIENTOS!$E$4:$E$1000,C477,MOVIMIENTOS!$B$4:$B$1000,"A CORTE")-SUMIFS(MOVIMIENTOS!$F$4:$F$1000,MOVIMIENTOS!$C$4:$C$1000,A477,MOVIMIENTOS!$D$4:$D$1000,B477,MOVIMIENTOS!$E$4:$E$1000,C477,MOVIMIENTOS!$B$4:$B$1000,"A REPROCESO")-SUMIFS(MOVIMIENTOS!$F$4:$F$1000,MOVIMIENTOS!$C$4:$C$1000,A477,MOVIMIENTOS!$D$4:$D$1000,B477,MOVIMIENTOS!$E$4:$E$1000,C477,MOVIMIENTOS!$B$4:$B$1000,"MUESTRA")-SUMIFS(MOVIMIENTOS!$F$4:$F$1000,MOVIMIENTOS!$C$4:$C$1000,A477,MOVIMIENTOS!$D$4:$D$1000,B477,MOVIMIENTOS!$E$4:$E$1000,C477,MOVIMIENTOS!$B$4:$B$1000,"AJUSTE-"),0)</f>
        <v>0</v>
      </c>
      <c r="F477" s="101">
        <f>IFERROR(E477*VLOOKUP(B477,TELAS!$A$4:$C$32,3,FALSE()),0)</f>
        <v>0</v>
      </c>
      <c r="G477" s="102">
        <f>IFERROR(IF(D477="OSCURO",VLOOKUP(B477,PRECIOS!$A$4:$F$32,2,FALSE()),IF(D477="CLARO",VLOOKUP(B477,PRECIOS!$A$4:$F$32,3,FALSE()),IF(D477="MELANGE",VLOOKUP(B477,PRECIOS!$A$4:$F$32,4,FALSE()),IF(D477="PPT",VLOOKUP(B477,PRECIOS!$A$4:$F$32,5,FALSE()),0)))),0)</f>
        <v>26</v>
      </c>
      <c r="H477" s="103">
        <f t="shared" si="1"/>
        <v>0</v>
      </c>
      <c r="I477" s="104" t="str">
        <f>IF(E477&lt;0,"ERROR",IF(E477=0,"",IF(E477&lt;CONFIG!$B$4,"CRÍTICO",IF(E477&lt;CONFIG!$B$5,"BAJO","OK"))))</f>
        <v/>
      </c>
    </row>
    <row r="478" ht="15.75" customHeight="1">
      <c r="A478" s="90" t="str">
        <f>IF(CLIENTES!A7="","",CLIENTES!A7)</f>
        <v/>
      </c>
      <c r="B478" s="67" t="str">
        <f>TELAS!A6</f>
        <v>wafle 30/1</v>
      </c>
      <c r="C478" s="67" t="str">
        <f>COLORES!A18</f>
        <v>P. Rosa</v>
      </c>
      <c r="D478" s="67" t="str">
        <f>COLORES!B18</f>
        <v>CLARO</v>
      </c>
      <c r="E478" s="100">
        <f>IFERROR(SUMIFS(MOVIMIENTOS!$F$4:$F$1000,MOVIMIENTOS!$C$4:$C$1000,A478,MOVIMIENTOS!$D$4:$D$1000,B478,MOVIMIENTOS!$E$4:$E$1000,C478,MOVIMIENTOS!$B$4:$B$1000,"INGRESO")+SUMIFS(MOVIMIENTOS!$F$4:$F$1000,MOVIMIENTOS!$C$4:$C$1000,A478,MOVIMIENTOS!$D$4:$D$1000,B478,MOVIMIENTOS!$E$4:$E$1000,C478,MOVIMIENTOS!$B$4:$B$1000,"DE REPROCESO")+SUMIFS(MOVIMIENTOS!$F$4:$F$1000,MOVIMIENTOS!$C$4:$C$1000,A478,MOVIMIENTOS!$D$4:$D$1000,B478,MOVIMIENTOS!$E$4:$E$1000,C478,MOVIMIENTOS!$B$4:$B$1000,"AJUSTE+")-SUMIFS(MOVIMIENTOS!$F$4:$F$1000,MOVIMIENTOS!$C$4:$C$1000,A478,MOVIMIENTOS!$D$4:$D$1000,B478,MOVIMIENTOS!$E$4:$E$1000,C478,MOVIMIENTOS!$B$4:$B$1000,"A CORTE")-SUMIFS(MOVIMIENTOS!$F$4:$F$1000,MOVIMIENTOS!$C$4:$C$1000,A478,MOVIMIENTOS!$D$4:$D$1000,B478,MOVIMIENTOS!$E$4:$E$1000,C478,MOVIMIENTOS!$B$4:$B$1000,"A REPROCESO")-SUMIFS(MOVIMIENTOS!$F$4:$F$1000,MOVIMIENTOS!$C$4:$C$1000,A478,MOVIMIENTOS!$D$4:$D$1000,B478,MOVIMIENTOS!$E$4:$E$1000,C478,MOVIMIENTOS!$B$4:$B$1000,"MUESTRA")-SUMIFS(MOVIMIENTOS!$F$4:$F$1000,MOVIMIENTOS!$C$4:$C$1000,A478,MOVIMIENTOS!$D$4:$D$1000,B478,MOVIMIENTOS!$E$4:$E$1000,C478,MOVIMIENTOS!$B$4:$B$1000,"AJUSTE-"),0)</f>
        <v>0</v>
      </c>
      <c r="F478" s="101">
        <f>IFERROR(E478*VLOOKUP(B478,TELAS!$A$4:$C$32,3,FALSE()),0)</f>
        <v>0</v>
      </c>
      <c r="G478" s="102">
        <f>IFERROR(IF(D478="OSCURO",VLOOKUP(B478,PRECIOS!$A$4:$F$32,2,FALSE()),IF(D478="CLARO",VLOOKUP(B478,PRECIOS!$A$4:$F$32,3,FALSE()),IF(D478="MELANGE",VLOOKUP(B478,PRECIOS!$A$4:$F$32,4,FALSE()),IF(D478="PPT",VLOOKUP(B478,PRECIOS!$A$4:$F$32,5,FALSE()),0)))),0)</f>
        <v>22.5</v>
      </c>
      <c r="H478" s="103">
        <f t="shared" si="1"/>
        <v>0</v>
      </c>
      <c r="I478" s="104" t="str">
        <f>IF(E478&lt;0,"ERROR",IF(E478=0,"",IF(E478&lt;CONFIG!$B$4,"CRÍTICO",IF(E478&lt;CONFIG!$B$5,"BAJO","OK"))))</f>
        <v/>
      </c>
    </row>
    <row r="479" ht="15.75" customHeight="1">
      <c r="A479" s="90" t="str">
        <f>IF(CLIENTES!A7="","",CLIENTES!A7)</f>
        <v/>
      </c>
      <c r="B479" s="67" t="str">
        <f>TELAS!A6</f>
        <v>wafle 30/1</v>
      </c>
      <c r="C479" s="67" t="str">
        <f>COLORES!A19</f>
        <v/>
      </c>
      <c r="D479" s="67" t="str">
        <f>COLORES!B19</f>
        <v/>
      </c>
      <c r="E479" s="100">
        <f>IFERROR(SUMIFS(MOVIMIENTOS!$F$4:$F$1000,MOVIMIENTOS!$C$4:$C$1000,A479,MOVIMIENTOS!$D$4:$D$1000,B479,MOVIMIENTOS!$E$4:$E$1000,C479,MOVIMIENTOS!$B$4:$B$1000,"INGRESO")+SUMIFS(MOVIMIENTOS!$F$4:$F$1000,MOVIMIENTOS!$C$4:$C$1000,A479,MOVIMIENTOS!$D$4:$D$1000,B479,MOVIMIENTOS!$E$4:$E$1000,C479,MOVIMIENTOS!$B$4:$B$1000,"DE REPROCESO")+SUMIFS(MOVIMIENTOS!$F$4:$F$1000,MOVIMIENTOS!$C$4:$C$1000,A479,MOVIMIENTOS!$D$4:$D$1000,B479,MOVIMIENTOS!$E$4:$E$1000,C479,MOVIMIENTOS!$B$4:$B$1000,"AJUSTE+")-SUMIFS(MOVIMIENTOS!$F$4:$F$1000,MOVIMIENTOS!$C$4:$C$1000,A479,MOVIMIENTOS!$D$4:$D$1000,B479,MOVIMIENTOS!$E$4:$E$1000,C479,MOVIMIENTOS!$B$4:$B$1000,"A CORTE")-SUMIFS(MOVIMIENTOS!$F$4:$F$1000,MOVIMIENTOS!$C$4:$C$1000,A479,MOVIMIENTOS!$D$4:$D$1000,B479,MOVIMIENTOS!$E$4:$E$1000,C479,MOVIMIENTOS!$B$4:$B$1000,"A REPROCESO")-SUMIFS(MOVIMIENTOS!$F$4:$F$1000,MOVIMIENTOS!$C$4:$C$1000,A479,MOVIMIENTOS!$D$4:$D$1000,B479,MOVIMIENTOS!$E$4:$E$1000,C479,MOVIMIENTOS!$B$4:$B$1000,"MUESTRA")-SUMIFS(MOVIMIENTOS!$F$4:$F$1000,MOVIMIENTOS!$C$4:$C$1000,A479,MOVIMIENTOS!$D$4:$D$1000,B479,MOVIMIENTOS!$E$4:$E$1000,C479,MOVIMIENTOS!$B$4:$B$1000,"AJUSTE-"),0)</f>
        <v>0</v>
      </c>
      <c r="F479" s="101">
        <f>IFERROR(E479*VLOOKUP(B479,TELAS!$A$4:$C$32,3,FALSE()),0)</f>
        <v>0</v>
      </c>
      <c r="G479" s="102">
        <f>IFERROR(IF(D479="OSCURO",VLOOKUP(B479,PRECIOS!$A$4:$F$32,2,FALSE()),IF(D479="CLARO",VLOOKUP(B479,PRECIOS!$A$4:$F$32,3,FALSE()),IF(D479="MELANGE",VLOOKUP(B479,PRECIOS!$A$4:$F$32,4,FALSE()),IF(D479="PPT",VLOOKUP(B479,PRECIOS!$A$4:$F$32,5,FALSE()),0)))),0)</f>
        <v>0</v>
      </c>
      <c r="H479" s="103">
        <f t="shared" si="1"/>
        <v>0</v>
      </c>
      <c r="I479" s="104" t="str">
        <f>IF(E479&lt;0,"ERROR",IF(E479=0,"",IF(E479&lt;CONFIG!$B$4,"CRÍTICO",IF(E479&lt;CONFIG!$B$5,"BAJO","OK"))))</f>
        <v/>
      </c>
    </row>
    <row r="480" ht="15.75" customHeight="1">
      <c r="A480" s="90" t="str">
        <f>IF(CLIENTES!A7="","",CLIENTES!A7)</f>
        <v/>
      </c>
      <c r="B480" s="67" t="str">
        <f>TELAS!A6</f>
        <v>wafle 30/1</v>
      </c>
      <c r="C480" s="67" t="str">
        <f>COLORES!A20</f>
        <v/>
      </c>
      <c r="D480" s="67" t="str">
        <f>COLORES!B20</f>
        <v/>
      </c>
      <c r="E480" s="100">
        <f>IFERROR(SUMIFS(MOVIMIENTOS!$F$4:$F$1000,MOVIMIENTOS!$C$4:$C$1000,A480,MOVIMIENTOS!$D$4:$D$1000,B480,MOVIMIENTOS!$E$4:$E$1000,C480,MOVIMIENTOS!$B$4:$B$1000,"INGRESO")+SUMIFS(MOVIMIENTOS!$F$4:$F$1000,MOVIMIENTOS!$C$4:$C$1000,A480,MOVIMIENTOS!$D$4:$D$1000,B480,MOVIMIENTOS!$E$4:$E$1000,C480,MOVIMIENTOS!$B$4:$B$1000,"DE REPROCESO")+SUMIFS(MOVIMIENTOS!$F$4:$F$1000,MOVIMIENTOS!$C$4:$C$1000,A480,MOVIMIENTOS!$D$4:$D$1000,B480,MOVIMIENTOS!$E$4:$E$1000,C480,MOVIMIENTOS!$B$4:$B$1000,"AJUSTE+")-SUMIFS(MOVIMIENTOS!$F$4:$F$1000,MOVIMIENTOS!$C$4:$C$1000,A480,MOVIMIENTOS!$D$4:$D$1000,B480,MOVIMIENTOS!$E$4:$E$1000,C480,MOVIMIENTOS!$B$4:$B$1000,"A CORTE")-SUMIFS(MOVIMIENTOS!$F$4:$F$1000,MOVIMIENTOS!$C$4:$C$1000,A480,MOVIMIENTOS!$D$4:$D$1000,B480,MOVIMIENTOS!$E$4:$E$1000,C480,MOVIMIENTOS!$B$4:$B$1000,"A REPROCESO")-SUMIFS(MOVIMIENTOS!$F$4:$F$1000,MOVIMIENTOS!$C$4:$C$1000,A480,MOVIMIENTOS!$D$4:$D$1000,B480,MOVIMIENTOS!$E$4:$E$1000,C480,MOVIMIENTOS!$B$4:$B$1000,"MUESTRA")-SUMIFS(MOVIMIENTOS!$F$4:$F$1000,MOVIMIENTOS!$C$4:$C$1000,A480,MOVIMIENTOS!$D$4:$D$1000,B480,MOVIMIENTOS!$E$4:$E$1000,C480,MOVIMIENTOS!$B$4:$B$1000,"AJUSTE-"),0)</f>
        <v>0</v>
      </c>
      <c r="F480" s="101">
        <f>IFERROR(E480*VLOOKUP(B480,TELAS!$A$4:$C$32,3,FALSE()),0)</f>
        <v>0</v>
      </c>
      <c r="G480" s="102">
        <f>IFERROR(IF(D480="OSCURO",VLOOKUP(B480,PRECIOS!$A$4:$F$32,2,FALSE()),IF(D480="CLARO",VLOOKUP(B480,PRECIOS!$A$4:$F$32,3,FALSE()),IF(D480="MELANGE",VLOOKUP(B480,PRECIOS!$A$4:$F$32,4,FALSE()),IF(D480="PPT",VLOOKUP(B480,PRECIOS!$A$4:$F$32,5,FALSE()),0)))),0)</f>
        <v>0</v>
      </c>
      <c r="H480" s="103">
        <f t="shared" si="1"/>
        <v>0</v>
      </c>
      <c r="I480" s="104" t="str">
        <f>IF(E480&lt;0,"ERROR",IF(E480=0,"",IF(E480&lt;CONFIG!$B$4,"CRÍTICO",IF(E480&lt;CONFIG!$B$5,"BAJO","OK"))))</f>
        <v/>
      </c>
    </row>
    <row r="481" ht="15.75" customHeight="1">
      <c r="A481" s="90" t="str">
        <f>IF(CLIENTES!A7="","",CLIENTES!A7)</f>
        <v/>
      </c>
      <c r="B481" s="67" t="str">
        <f>TELAS!A6</f>
        <v>wafle 30/1</v>
      </c>
      <c r="C481" s="67" t="str">
        <f>COLORES!A21</f>
        <v/>
      </c>
      <c r="D481" s="67" t="str">
        <f>COLORES!B21</f>
        <v/>
      </c>
      <c r="E481" s="100">
        <f>IFERROR(SUMIFS(MOVIMIENTOS!$F$4:$F$1000,MOVIMIENTOS!$C$4:$C$1000,A481,MOVIMIENTOS!$D$4:$D$1000,B481,MOVIMIENTOS!$E$4:$E$1000,C481,MOVIMIENTOS!$B$4:$B$1000,"INGRESO")+SUMIFS(MOVIMIENTOS!$F$4:$F$1000,MOVIMIENTOS!$C$4:$C$1000,A481,MOVIMIENTOS!$D$4:$D$1000,B481,MOVIMIENTOS!$E$4:$E$1000,C481,MOVIMIENTOS!$B$4:$B$1000,"DE REPROCESO")+SUMIFS(MOVIMIENTOS!$F$4:$F$1000,MOVIMIENTOS!$C$4:$C$1000,A481,MOVIMIENTOS!$D$4:$D$1000,B481,MOVIMIENTOS!$E$4:$E$1000,C481,MOVIMIENTOS!$B$4:$B$1000,"AJUSTE+")-SUMIFS(MOVIMIENTOS!$F$4:$F$1000,MOVIMIENTOS!$C$4:$C$1000,A481,MOVIMIENTOS!$D$4:$D$1000,B481,MOVIMIENTOS!$E$4:$E$1000,C481,MOVIMIENTOS!$B$4:$B$1000,"A CORTE")-SUMIFS(MOVIMIENTOS!$F$4:$F$1000,MOVIMIENTOS!$C$4:$C$1000,A481,MOVIMIENTOS!$D$4:$D$1000,B481,MOVIMIENTOS!$E$4:$E$1000,C481,MOVIMIENTOS!$B$4:$B$1000,"A REPROCESO")-SUMIFS(MOVIMIENTOS!$F$4:$F$1000,MOVIMIENTOS!$C$4:$C$1000,A481,MOVIMIENTOS!$D$4:$D$1000,B481,MOVIMIENTOS!$E$4:$E$1000,C481,MOVIMIENTOS!$B$4:$B$1000,"MUESTRA")-SUMIFS(MOVIMIENTOS!$F$4:$F$1000,MOVIMIENTOS!$C$4:$C$1000,A481,MOVIMIENTOS!$D$4:$D$1000,B481,MOVIMIENTOS!$E$4:$E$1000,C481,MOVIMIENTOS!$B$4:$B$1000,"AJUSTE-"),0)</f>
        <v>0</v>
      </c>
      <c r="F481" s="101">
        <f>IFERROR(E481*VLOOKUP(B481,TELAS!$A$4:$C$32,3,FALSE()),0)</f>
        <v>0</v>
      </c>
      <c r="G481" s="102">
        <f>IFERROR(IF(D481="OSCURO",VLOOKUP(B481,PRECIOS!$A$4:$F$32,2,FALSE()),IF(D481="CLARO",VLOOKUP(B481,PRECIOS!$A$4:$F$32,3,FALSE()),IF(D481="MELANGE",VLOOKUP(B481,PRECIOS!$A$4:$F$32,4,FALSE()),IF(D481="PPT",VLOOKUP(B481,PRECIOS!$A$4:$F$32,5,FALSE()),0)))),0)</f>
        <v>0</v>
      </c>
      <c r="H481" s="103">
        <f t="shared" si="1"/>
        <v>0</v>
      </c>
      <c r="I481" s="104" t="str">
        <f>IF(E481&lt;0,"ERROR",IF(E481=0,"",IF(E481&lt;CONFIG!$B$4,"CRÍTICO",IF(E481&lt;CONFIG!$B$5,"BAJO","OK"))))</f>
        <v/>
      </c>
    </row>
    <row r="482" ht="15.75" customHeight="1">
      <c r="A482" s="90" t="str">
        <f>IF(CLIENTES!A7="","",CLIENTES!A7)</f>
        <v/>
      </c>
      <c r="B482" s="67" t="str">
        <f>TELAS!A6</f>
        <v>wafle 30/1</v>
      </c>
      <c r="C482" s="67" t="str">
        <f>COLORES!A22</f>
        <v/>
      </c>
      <c r="D482" s="67" t="str">
        <f>COLORES!B22</f>
        <v/>
      </c>
      <c r="E482" s="100">
        <f>IFERROR(SUMIFS(MOVIMIENTOS!$F$4:$F$1000,MOVIMIENTOS!$C$4:$C$1000,A482,MOVIMIENTOS!$D$4:$D$1000,B482,MOVIMIENTOS!$E$4:$E$1000,C482,MOVIMIENTOS!$B$4:$B$1000,"INGRESO")+SUMIFS(MOVIMIENTOS!$F$4:$F$1000,MOVIMIENTOS!$C$4:$C$1000,A482,MOVIMIENTOS!$D$4:$D$1000,B482,MOVIMIENTOS!$E$4:$E$1000,C482,MOVIMIENTOS!$B$4:$B$1000,"DE REPROCESO")+SUMIFS(MOVIMIENTOS!$F$4:$F$1000,MOVIMIENTOS!$C$4:$C$1000,A482,MOVIMIENTOS!$D$4:$D$1000,B482,MOVIMIENTOS!$E$4:$E$1000,C482,MOVIMIENTOS!$B$4:$B$1000,"AJUSTE+")-SUMIFS(MOVIMIENTOS!$F$4:$F$1000,MOVIMIENTOS!$C$4:$C$1000,A482,MOVIMIENTOS!$D$4:$D$1000,B482,MOVIMIENTOS!$E$4:$E$1000,C482,MOVIMIENTOS!$B$4:$B$1000,"A CORTE")-SUMIFS(MOVIMIENTOS!$F$4:$F$1000,MOVIMIENTOS!$C$4:$C$1000,A482,MOVIMIENTOS!$D$4:$D$1000,B482,MOVIMIENTOS!$E$4:$E$1000,C482,MOVIMIENTOS!$B$4:$B$1000,"A REPROCESO")-SUMIFS(MOVIMIENTOS!$F$4:$F$1000,MOVIMIENTOS!$C$4:$C$1000,A482,MOVIMIENTOS!$D$4:$D$1000,B482,MOVIMIENTOS!$E$4:$E$1000,C482,MOVIMIENTOS!$B$4:$B$1000,"MUESTRA")-SUMIFS(MOVIMIENTOS!$F$4:$F$1000,MOVIMIENTOS!$C$4:$C$1000,A482,MOVIMIENTOS!$D$4:$D$1000,B482,MOVIMIENTOS!$E$4:$E$1000,C482,MOVIMIENTOS!$B$4:$B$1000,"AJUSTE-"),0)</f>
        <v>0</v>
      </c>
      <c r="F482" s="101">
        <f>IFERROR(E482*VLOOKUP(B482,TELAS!$A$4:$C$32,3,FALSE()),0)</f>
        <v>0</v>
      </c>
      <c r="G482" s="102">
        <f>IFERROR(IF(D482="OSCURO",VLOOKUP(B482,PRECIOS!$A$4:$F$32,2,FALSE()),IF(D482="CLARO",VLOOKUP(B482,PRECIOS!$A$4:$F$32,3,FALSE()),IF(D482="MELANGE",VLOOKUP(B482,PRECIOS!$A$4:$F$32,4,FALSE()),IF(D482="PPT",VLOOKUP(B482,PRECIOS!$A$4:$F$32,5,FALSE()),0)))),0)</f>
        <v>0</v>
      </c>
      <c r="H482" s="103">
        <f t="shared" si="1"/>
        <v>0</v>
      </c>
      <c r="I482" s="104" t="str">
        <f>IF(E482&lt;0,"ERROR",IF(E482=0,"",IF(E482&lt;CONFIG!$B$4,"CRÍTICO",IF(E482&lt;CONFIG!$B$5,"BAJO","OK"))))</f>
        <v/>
      </c>
    </row>
    <row r="483" ht="15.75" customHeight="1">
      <c r="A483" s="90" t="str">
        <f>IF(CLIENTES!A7="","",CLIENTES!A7)</f>
        <v/>
      </c>
      <c r="B483" s="67" t="str">
        <f>TELAS!A6</f>
        <v>wafle 30/1</v>
      </c>
      <c r="C483" s="67" t="str">
        <f>COLORES!A23</f>
        <v/>
      </c>
      <c r="D483" s="67" t="str">
        <f>COLORES!B23</f>
        <v/>
      </c>
      <c r="E483" s="100">
        <f>IFERROR(SUMIFS(MOVIMIENTOS!$F$4:$F$1000,MOVIMIENTOS!$C$4:$C$1000,A483,MOVIMIENTOS!$D$4:$D$1000,B483,MOVIMIENTOS!$E$4:$E$1000,C483,MOVIMIENTOS!$B$4:$B$1000,"INGRESO")+SUMIFS(MOVIMIENTOS!$F$4:$F$1000,MOVIMIENTOS!$C$4:$C$1000,A483,MOVIMIENTOS!$D$4:$D$1000,B483,MOVIMIENTOS!$E$4:$E$1000,C483,MOVIMIENTOS!$B$4:$B$1000,"DE REPROCESO")+SUMIFS(MOVIMIENTOS!$F$4:$F$1000,MOVIMIENTOS!$C$4:$C$1000,A483,MOVIMIENTOS!$D$4:$D$1000,B483,MOVIMIENTOS!$E$4:$E$1000,C483,MOVIMIENTOS!$B$4:$B$1000,"AJUSTE+")-SUMIFS(MOVIMIENTOS!$F$4:$F$1000,MOVIMIENTOS!$C$4:$C$1000,A483,MOVIMIENTOS!$D$4:$D$1000,B483,MOVIMIENTOS!$E$4:$E$1000,C483,MOVIMIENTOS!$B$4:$B$1000,"A CORTE")-SUMIFS(MOVIMIENTOS!$F$4:$F$1000,MOVIMIENTOS!$C$4:$C$1000,A483,MOVIMIENTOS!$D$4:$D$1000,B483,MOVIMIENTOS!$E$4:$E$1000,C483,MOVIMIENTOS!$B$4:$B$1000,"A REPROCESO")-SUMIFS(MOVIMIENTOS!$F$4:$F$1000,MOVIMIENTOS!$C$4:$C$1000,A483,MOVIMIENTOS!$D$4:$D$1000,B483,MOVIMIENTOS!$E$4:$E$1000,C483,MOVIMIENTOS!$B$4:$B$1000,"MUESTRA")-SUMIFS(MOVIMIENTOS!$F$4:$F$1000,MOVIMIENTOS!$C$4:$C$1000,A483,MOVIMIENTOS!$D$4:$D$1000,B483,MOVIMIENTOS!$E$4:$E$1000,C483,MOVIMIENTOS!$B$4:$B$1000,"AJUSTE-"),0)</f>
        <v>0</v>
      </c>
      <c r="F483" s="101">
        <f>IFERROR(E483*VLOOKUP(B483,TELAS!$A$4:$C$32,3,FALSE()),0)</f>
        <v>0</v>
      </c>
      <c r="G483" s="102">
        <f>IFERROR(IF(D483="OSCURO",VLOOKUP(B483,PRECIOS!$A$4:$F$32,2,FALSE()),IF(D483="CLARO",VLOOKUP(B483,PRECIOS!$A$4:$F$32,3,FALSE()),IF(D483="MELANGE",VLOOKUP(B483,PRECIOS!$A$4:$F$32,4,FALSE()),IF(D483="PPT",VLOOKUP(B483,PRECIOS!$A$4:$F$32,5,FALSE()),0)))),0)</f>
        <v>0</v>
      </c>
      <c r="H483" s="103">
        <f t="shared" si="1"/>
        <v>0</v>
      </c>
      <c r="I483" s="104" t="str">
        <f>IF(E483&lt;0,"ERROR",IF(E483=0,"",IF(E483&lt;CONFIG!$B$4,"CRÍTICO",IF(E483&lt;CONFIG!$B$5,"BAJO","OK"))))</f>
        <v/>
      </c>
    </row>
    <row r="484" ht="15.75" customHeight="1">
      <c r="A484" s="90" t="str">
        <f>IF(CLIENTES!A7="","",CLIENTES!A7)</f>
        <v/>
      </c>
      <c r="B484" s="67" t="str">
        <f>TELAS!A7</f>
        <v>french terry 24/1</v>
      </c>
      <c r="C484" s="67" t="str">
        <f>COLORES!A4</f>
        <v>Negro</v>
      </c>
      <c r="D484" s="67" t="str">
        <f>COLORES!B4</f>
        <v>OSCURO</v>
      </c>
      <c r="E484" s="100">
        <f>IFERROR(SUMIFS(MOVIMIENTOS!$F$4:$F$1000,MOVIMIENTOS!$C$4:$C$1000,A484,MOVIMIENTOS!$D$4:$D$1000,B484,MOVIMIENTOS!$E$4:$E$1000,C484,MOVIMIENTOS!$B$4:$B$1000,"INGRESO")+SUMIFS(MOVIMIENTOS!$F$4:$F$1000,MOVIMIENTOS!$C$4:$C$1000,A484,MOVIMIENTOS!$D$4:$D$1000,B484,MOVIMIENTOS!$E$4:$E$1000,C484,MOVIMIENTOS!$B$4:$B$1000,"DE REPROCESO")+SUMIFS(MOVIMIENTOS!$F$4:$F$1000,MOVIMIENTOS!$C$4:$C$1000,A484,MOVIMIENTOS!$D$4:$D$1000,B484,MOVIMIENTOS!$E$4:$E$1000,C484,MOVIMIENTOS!$B$4:$B$1000,"AJUSTE+")-SUMIFS(MOVIMIENTOS!$F$4:$F$1000,MOVIMIENTOS!$C$4:$C$1000,A484,MOVIMIENTOS!$D$4:$D$1000,B484,MOVIMIENTOS!$E$4:$E$1000,C484,MOVIMIENTOS!$B$4:$B$1000,"A CORTE")-SUMIFS(MOVIMIENTOS!$F$4:$F$1000,MOVIMIENTOS!$C$4:$C$1000,A484,MOVIMIENTOS!$D$4:$D$1000,B484,MOVIMIENTOS!$E$4:$E$1000,C484,MOVIMIENTOS!$B$4:$B$1000,"A REPROCESO")-SUMIFS(MOVIMIENTOS!$F$4:$F$1000,MOVIMIENTOS!$C$4:$C$1000,A484,MOVIMIENTOS!$D$4:$D$1000,B484,MOVIMIENTOS!$E$4:$E$1000,C484,MOVIMIENTOS!$B$4:$B$1000,"MUESTRA")-SUMIFS(MOVIMIENTOS!$F$4:$F$1000,MOVIMIENTOS!$C$4:$C$1000,A484,MOVIMIENTOS!$D$4:$D$1000,B484,MOVIMIENTOS!$E$4:$E$1000,C484,MOVIMIENTOS!$B$4:$B$1000,"AJUSTE-"),0)</f>
        <v>0</v>
      </c>
      <c r="F484" s="101">
        <f>IFERROR(E484*VLOOKUP(B484,TELAS!$A$4:$C$32,3,FALSE()),0)</f>
        <v>0</v>
      </c>
      <c r="G484" s="102">
        <f>IFERROR(IF(D484="OSCURO",VLOOKUP(B484,PRECIOS!$A$4:$F$32,2,FALSE()),IF(D484="CLARO",VLOOKUP(B484,PRECIOS!$A$4:$F$32,3,FALSE()),IF(D484="MELANGE",VLOOKUP(B484,PRECIOS!$A$4:$F$32,4,FALSE()),IF(D484="PPT",VLOOKUP(B484,PRECIOS!$A$4:$F$32,5,FALSE()),0)))),0)</f>
        <v>24</v>
      </c>
      <c r="H484" s="103">
        <f t="shared" si="1"/>
        <v>0</v>
      </c>
      <c r="I484" s="104" t="str">
        <f>IF(E484&lt;0,"ERROR",IF(E484=0,"",IF(E484&lt;CONFIG!$B$4,"CRÍTICO",IF(E484&lt;CONFIG!$B$5,"BAJO","OK"))))</f>
        <v/>
      </c>
    </row>
    <row r="485" ht="15.75" customHeight="1">
      <c r="A485" s="90" t="str">
        <f>IF(CLIENTES!A7="","",CLIENTES!A7)</f>
        <v/>
      </c>
      <c r="B485" s="67" t="str">
        <f>TELAS!A7</f>
        <v>french terry 24/1</v>
      </c>
      <c r="C485" s="67" t="str">
        <f>COLORES!A5</f>
        <v>Perla</v>
      </c>
      <c r="D485" s="67" t="str">
        <f>COLORES!B5</f>
        <v>PPT</v>
      </c>
      <c r="E485" s="100">
        <f>IFERROR(SUMIFS(MOVIMIENTOS!$F$4:$F$1000,MOVIMIENTOS!$C$4:$C$1000,A485,MOVIMIENTOS!$D$4:$D$1000,B485,MOVIMIENTOS!$E$4:$E$1000,C485,MOVIMIENTOS!$B$4:$B$1000,"INGRESO")+SUMIFS(MOVIMIENTOS!$F$4:$F$1000,MOVIMIENTOS!$C$4:$C$1000,A485,MOVIMIENTOS!$D$4:$D$1000,B485,MOVIMIENTOS!$E$4:$E$1000,C485,MOVIMIENTOS!$B$4:$B$1000,"DE REPROCESO")+SUMIFS(MOVIMIENTOS!$F$4:$F$1000,MOVIMIENTOS!$C$4:$C$1000,A485,MOVIMIENTOS!$D$4:$D$1000,B485,MOVIMIENTOS!$E$4:$E$1000,C485,MOVIMIENTOS!$B$4:$B$1000,"AJUSTE+")-SUMIFS(MOVIMIENTOS!$F$4:$F$1000,MOVIMIENTOS!$C$4:$C$1000,A485,MOVIMIENTOS!$D$4:$D$1000,B485,MOVIMIENTOS!$E$4:$E$1000,C485,MOVIMIENTOS!$B$4:$B$1000,"A CORTE")-SUMIFS(MOVIMIENTOS!$F$4:$F$1000,MOVIMIENTOS!$C$4:$C$1000,A485,MOVIMIENTOS!$D$4:$D$1000,B485,MOVIMIENTOS!$E$4:$E$1000,C485,MOVIMIENTOS!$B$4:$B$1000,"A REPROCESO")-SUMIFS(MOVIMIENTOS!$F$4:$F$1000,MOVIMIENTOS!$C$4:$C$1000,A485,MOVIMIENTOS!$D$4:$D$1000,B485,MOVIMIENTOS!$E$4:$E$1000,C485,MOVIMIENTOS!$B$4:$B$1000,"MUESTRA")-SUMIFS(MOVIMIENTOS!$F$4:$F$1000,MOVIMIENTOS!$C$4:$C$1000,A485,MOVIMIENTOS!$D$4:$D$1000,B485,MOVIMIENTOS!$E$4:$E$1000,C485,MOVIMIENTOS!$B$4:$B$1000,"AJUSTE-"),0)</f>
        <v>0</v>
      </c>
      <c r="F485" s="101">
        <f>IFERROR(E485*VLOOKUP(B485,TELAS!$A$4:$C$32,3,FALSE()),0)</f>
        <v>0</v>
      </c>
      <c r="G485" s="102">
        <f>IFERROR(IF(D485="OSCURO",VLOOKUP(B485,PRECIOS!$A$4:$F$32,2,FALSE()),IF(D485="CLARO",VLOOKUP(B485,PRECIOS!$A$4:$F$32,3,FALSE()),IF(D485="MELANGE",VLOOKUP(B485,PRECIOS!$A$4:$F$32,4,FALSE()),IF(D485="PPT",VLOOKUP(B485,PRECIOS!$A$4:$F$32,5,FALSE()),0)))),0)</f>
        <v>18</v>
      </c>
      <c r="H485" s="103">
        <f t="shared" si="1"/>
        <v>0</v>
      </c>
      <c r="I485" s="104" t="str">
        <f>IF(E485&lt;0,"ERROR",IF(E485=0,"",IF(E485&lt;CONFIG!$B$4,"CRÍTICO",IF(E485&lt;CONFIG!$B$5,"BAJO","OK"))))</f>
        <v/>
      </c>
    </row>
    <row r="486" ht="15.75" customHeight="1">
      <c r="A486" s="90" t="str">
        <f>IF(CLIENTES!A7="","",CLIENTES!A7)</f>
        <v/>
      </c>
      <c r="B486" s="67" t="str">
        <f>TELAS!A7</f>
        <v>french terry 24/1</v>
      </c>
      <c r="C486" s="67" t="str">
        <f>COLORES!A6</f>
        <v>Blanco</v>
      </c>
      <c r="D486" s="67" t="str">
        <f>COLORES!B6</f>
        <v>PPT</v>
      </c>
      <c r="E486" s="100">
        <f>IFERROR(SUMIFS(MOVIMIENTOS!$F$4:$F$1000,MOVIMIENTOS!$C$4:$C$1000,A486,MOVIMIENTOS!$D$4:$D$1000,B486,MOVIMIENTOS!$E$4:$E$1000,C486,MOVIMIENTOS!$B$4:$B$1000,"INGRESO")+SUMIFS(MOVIMIENTOS!$F$4:$F$1000,MOVIMIENTOS!$C$4:$C$1000,A486,MOVIMIENTOS!$D$4:$D$1000,B486,MOVIMIENTOS!$E$4:$E$1000,C486,MOVIMIENTOS!$B$4:$B$1000,"DE REPROCESO")+SUMIFS(MOVIMIENTOS!$F$4:$F$1000,MOVIMIENTOS!$C$4:$C$1000,A486,MOVIMIENTOS!$D$4:$D$1000,B486,MOVIMIENTOS!$E$4:$E$1000,C486,MOVIMIENTOS!$B$4:$B$1000,"AJUSTE+")-SUMIFS(MOVIMIENTOS!$F$4:$F$1000,MOVIMIENTOS!$C$4:$C$1000,A486,MOVIMIENTOS!$D$4:$D$1000,B486,MOVIMIENTOS!$E$4:$E$1000,C486,MOVIMIENTOS!$B$4:$B$1000,"A CORTE")-SUMIFS(MOVIMIENTOS!$F$4:$F$1000,MOVIMIENTOS!$C$4:$C$1000,A486,MOVIMIENTOS!$D$4:$D$1000,B486,MOVIMIENTOS!$E$4:$E$1000,C486,MOVIMIENTOS!$B$4:$B$1000,"A REPROCESO")-SUMIFS(MOVIMIENTOS!$F$4:$F$1000,MOVIMIENTOS!$C$4:$C$1000,A486,MOVIMIENTOS!$D$4:$D$1000,B486,MOVIMIENTOS!$E$4:$E$1000,C486,MOVIMIENTOS!$B$4:$B$1000,"MUESTRA")-SUMIFS(MOVIMIENTOS!$F$4:$F$1000,MOVIMIENTOS!$C$4:$C$1000,A486,MOVIMIENTOS!$D$4:$D$1000,B486,MOVIMIENTOS!$E$4:$E$1000,C486,MOVIMIENTOS!$B$4:$B$1000,"AJUSTE-"),0)</f>
        <v>0</v>
      </c>
      <c r="F486" s="101">
        <f>IFERROR(E486*VLOOKUP(B486,TELAS!$A$4:$C$32,3,FALSE()),0)</f>
        <v>0</v>
      </c>
      <c r="G486" s="102">
        <f>IFERROR(IF(D486="OSCURO",VLOOKUP(B486,PRECIOS!$A$4:$F$32,2,FALSE()),IF(D486="CLARO",VLOOKUP(B486,PRECIOS!$A$4:$F$32,3,FALSE()),IF(D486="MELANGE",VLOOKUP(B486,PRECIOS!$A$4:$F$32,4,FALSE()),IF(D486="PPT",VLOOKUP(B486,PRECIOS!$A$4:$F$32,5,FALSE()),0)))),0)</f>
        <v>18</v>
      </c>
      <c r="H486" s="103">
        <f t="shared" si="1"/>
        <v>0</v>
      </c>
      <c r="I486" s="104" t="str">
        <f>IF(E486&lt;0,"ERROR",IF(E486=0,"",IF(E486&lt;CONFIG!$B$4,"CRÍTICO",IF(E486&lt;CONFIG!$B$5,"BAJO","OK"))))</f>
        <v/>
      </c>
    </row>
    <row r="487" ht="15.75" customHeight="1">
      <c r="A487" s="90" t="str">
        <f>IF(CLIENTES!A7="","",CLIENTES!A7)</f>
        <v/>
      </c>
      <c r="B487" s="67" t="str">
        <f>TELAS!A7</f>
        <v>french terry 24/1</v>
      </c>
      <c r="C487" s="67" t="str">
        <f>COLORES!A7</f>
        <v>Azul</v>
      </c>
      <c r="D487" s="67" t="str">
        <f>COLORES!B7</f>
        <v>OSCURO</v>
      </c>
      <c r="E487" s="100">
        <f>IFERROR(SUMIFS(MOVIMIENTOS!$F$4:$F$1000,MOVIMIENTOS!$C$4:$C$1000,A487,MOVIMIENTOS!$D$4:$D$1000,B487,MOVIMIENTOS!$E$4:$E$1000,C487,MOVIMIENTOS!$B$4:$B$1000,"INGRESO")+SUMIFS(MOVIMIENTOS!$F$4:$F$1000,MOVIMIENTOS!$C$4:$C$1000,A487,MOVIMIENTOS!$D$4:$D$1000,B487,MOVIMIENTOS!$E$4:$E$1000,C487,MOVIMIENTOS!$B$4:$B$1000,"DE REPROCESO")+SUMIFS(MOVIMIENTOS!$F$4:$F$1000,MOVIMIENTOS!$C$4:$C$1000,A487,MOVIMIENTOS!$D$4:$D$1000,B487,MOVIMIENTOS!$E$4:$E$1000,C487,MOVIMIENTOS!$B$4:$B$1000,"AJUSTE+")-SUMIFS(MOVIMIENTOS!$F$4:$F$1000,MOVIMIENTOS!$C$4:$C$1000,A487,MOVIMIENTOS!$D$4:$D$1000,B487,MOVIMIENTOS!$E$4:$E$1000,C487,MOVIMIENTOS!$B$4:$B$1000,"A CORTE")-SUMIFS(MOVIMIENTOS!$F$4:$F$1000,MOVIMIENTOS!$C$4:$C$1000,A487,MOVIMIENTOS!$D$4:$D$1000,B487,MOVIMIENTOS!$E$4:$E$1000,C487,MOVIMIENTOS!$B$4:$B$1000,"A REPROCESO")-SUMIFS(MOVIMIENTOS!$F$4:$F$1000,MOVIMIENTOS!$C$4:$C$1000,A487,MOVIMIENTOS!$D$4:$D$1000,B487,MOVIMIENTOS!$E$4:$E$1000,C487,MOVIMIENTOS!$B$4:$B$1000,"MUESTRA")-SUMIFS(MOVIMIENTOS!$F$4:$F$1000,MOVIMIENTOS!$C$4:$C$1000,A487,MOVIMIENTOS!$D$4:$D$1000,B487,MOVIMIENTOS!$E$4:$E$1000,C487,MOVIMIENTOS!$B$4:$B$1000,"AJUSTE-"),0)</f>
        <v>0</v>
      </c>
      <c r="F487" s="101">
        <f>IFERROR(E487*VLOOKUP(B487,TELAS!$A$4:$C$32,3,FALSE()),0)</f>
        <v>0</v>
      </c>
      <c r="G487" s="102">
        <f>IFERROR(IF(D487="OSCURO",VLOOKUP(B487,PRECIOS!$A$4:$F$32,2,FALSE()),IF(D487="CLARO",VLOOKUP(B487,PRECIOS!$A$4:$F$32,3,FALSE()),IF(D487="MELANGE",VLOOKUP(B487,PRECIOS!$A$4:$F$32,4,FALSE()),IF(D487="PPT",VLOOKUP(B487,PRECIOS!$A$4:$F$32,5,FALSE()),0)))),0)</f>
        <v>24</v>
      </c>
      <c r="H487" s="103">
        <f t="shared" si="1"/>
        <v>0</v>
      </c>
      <c r="I487" s="104" t="str">
        <f>IF(E487&lt;0,"ERROR",IF(E487=0,"",IF(E487&lt;CONFIG!$B$4,"CRÍTICO",IF(E487&lt;CONFIG!$B$5,"BAJO","OK"))))</f>
        <v/>
      </c>
    </row>
    <row r="488" ht="15.75" customHeight="1">
      <c r="A488" s="90" t="str">
        <f>IF(CLIENTES!A7="","",CLIENTES!A7)</f>
        <v/>
      </c>
      <c r="B488" s="67" t="str">
        <f>TELAS!A7</f>
        <v>french terry 24/1</v>
      </c>
      <c r="C488" s="67" t="str">
        <f>COLORES!A8</f>
        <v>Beige</v>
      </c>
      <c r="D488" s="67" t="str">
        <f>COLORES!B8</f>
        <v>CLARO</v>
      </c>
      <c r="E488" s="100">
        <f>IFERROR(SUMIFS(MOVIMIENTOS!$F$4:$F$1000,MOVIMIENTOS!$C$4:$C$1000,A488,MOVIMIENTOS!$D$4:$D$1000,B488,MOVIMIENTOS!$E$4:$E$1000,C488,MOVIMIENTOS!$B$4:$B$1000,"INGRESO")+SUMIFS(MOVIMIENTOS!$F$4:$F$1000,MOVIMIENTOS!$C$4:$C$1000,A488,MOVIMIENTOS!$D$4:$D$1000,B488,MOVIMIENTOS!$E$4:$E$1000,C488,MOVIMIENTOS!$B$4:$B$1000,"DE REPROCESO")+SUMIFS(MOVIMIENTOS!$F$4:$F$1000,MOVIMIENTOS!$C$4:$C$1000,A488,MOVIMIENTOS!$D$4:$D$1000,B488,MOVIMIENTOS!$E$4:$E$1000,C488,MOVIMIENTOS!$B$4:$B$1000,"AJUSTE+")-SUMIFS(MOVIMIENTOS!$F$4:$F$1000,MOVIMIENTOS!$C$4:$C$1000,A488,MOVIMIENTOS!$D$4:$D$1000,B488,MOVIMIENTOS!$E$4:$E$1000,C488,MOVIMIENTOS!$B$4:$B$1000,"A CORTE")-SUMIFS(MOVIMIENTOS!$F$4:$F$1000,MOVIMIENTOS!$C$4:$C$1000,A488,MOVIMIENTOS!$D$4:$D$1000,B488,MOVIMIENTOS!$E$4:$E$1000,C488,MOVIMIENTOS!$B$4:$B$1000,"A REPROCESO")-SUMIFS(MOVIMIENTOS!$F$4:$F$1000,MOVIMIENTOS!$C$4:$C$1000,A488,MOVIMIENTOS!$D$4:$D$1000,B488,MOVIMIENTOS!$E$4:$E$1000,C488,MOVIMIENTOS!$B$4:$B$1000,"MUESTRA")-SUMIFS(MOVIMIENTOS!$F$4:$F$1000,MOVIMIENTOS!$C$4:$C$1000,A488,MOVIMIENTOS!$D$4:$D$1000,B488,MOVIMIENTOS!$E$4:$E$1000,C488,MOVIMIENTOS!$B$4:$B$1000,"AJUSTE-"),0)</f>
        <v>0</v>
      </c>
      <c r="F488" s="101">
        <f>IFERROR(E488*VLOOKUP(B488,TELAS!$A$4:$C$32,3,FALSE()),0)</f>
        <v>0</v>
      </c>
      <c r="G488" s="102">
        <f>IFERROR(IF(D488="OSCURO",VLOOKUP(B488,PRECIOS!$A$4:$F$32,2,FALSE()),IF(D488="CLARO",VLOOKUP(B488,PRECIOS!$A$4:$F$32,3,FALSE()),IF(D488="MELANGE",VLOOKUP(B488,PRECIOS!$A$4:$F$32,4,FALSE()),IF(D488="PPT",VLOOKUP(B488,PRECIOS!$A$4:$F$32,5,FALSE()),0)))),0)</f>
        <v>21</v>
      </c>
      <c r="H488" s="103">
        <f t="shared" si="1"/>
        <v>0</v>
      </c>
      <c r="I488" s="104" t="str">
        <f>IF(E488&lt;0,"ERROR",IF(E488=0,"",IF(E488&lt;CONFIG!$B$4,"CRÍTICO",IF(E488&lt;CONFIG!$B$5,"BAJO","OK"))))</f>
        <v/>
      </c>
    </row>
    <row r="489" ht="15.75" customHeight="1">
      <c r="A489" s="90" t="str">
        <f>IF(CLIENTES!A7="","",CLIENTES!A7)</f>
        <v/>
      </c>
      <c r="B489" s="67" t="str">
        <f>TELAS!A7</f>
        <v>french terry 24/1</v>
      </c>
      <c r="C489" s="67" t="str">
        <f>COLORES!A9</f>
        <v>Melange</v>
      </c>
      <c r="D489" s="67" t="str">
        <f>COLORES!B9</f>
        <v>MELANGE</v>
      </c>
      <c r="E489" s="100">
        <f>IFERROR(SUMIFS(MOVIMIENTOS!$F$4:$F$1000,MOVIMIENTOS!$C$4:$C$1000,A489,MOVIMIENTOS!$D$4:$D$1000,B489,MOVIMIENTOS!$E$4:$E$1000,C489,MOVIMIENTOS!$B$4:$B$1000,"INGRESO")+SUMIFS(MOVIMIENTOS!$F$4:$F$1000,MOVIMIENTOS!$C$4:$C$1000,A489,MOVIMIENTOS!$D$4:$D$1000,B489,MOVIMIENTOS!$E$4:$E$1000,C489,MOVIMIENTOS!$B$4:$B$1000,"DE REPROCESO")+SUMIFS(MOVIMIENTOS!$F$4:$F$1000,MOVIMIENTOS!$C$4:$C$1000,A489,MOVIMIENTOS!$D$4:$D$1000,B489,MOVIMIENTOS!$E$4:$E$1000,C489,MOVIMIENTOS!$B$4:$B$1000,"AJUSTE+")-SUMIFS(MOVIMIENTOS!$F$4:$F$1000,MOVIMIENTOS!$C$4:$C$1000,A489,MOVIMIENTOS!$D$4:$D$1000,B489,MOVIMIENTOS!$E$4:$E$1000,C489,MOVIMIENTOS!$B$4:$B$1000,"A CORTE")-SUMIFS(MOVIMIENTOS!$F$4:$F$1000,MOVIMIENTOS!$C$4:$C$1000,A489,MOVIMIENTOS!$D$4:$D$1000,B489,MOVIMIENTOS!$E$4:$E$1000,C489,MOVIMIENTOS!$B$4:$B$1000,"A REPROCESO")-SUMIFS(MOVIMIENTOS!$F$4:$F$1000,MOVIMIENTOS!$C$4:$C$1000,A489,MOVIMIENTOS!$D$4:$D$1000,B489,MOVIMIENTOS!$E$4:$E$1000,C489,MOVIMIENTOS!$B$4:$B$1000,"MUESTRA")-SUMIFS(MOVIMIENTOS!$F$4:$F$1000,MOVIMIENTOS!$C$4:$C$1000,A489,MOVIMIENTOS!$D$4:$D$1000,B489,MOVIMIENTOS!$E$4:$E$1000,C489,MOVIMIENTOS!$B$4:$B$1000,"AJUSTE-"),0)</f>
        <v>0</v>
      </c>
      <c r="F489" s="101">
        <f>IFERROR(E489*VLOOKUP(B489,TELAS!$A$4:$C$32,3,FALSE()),0)</f>
        <v>0</v>
      </c>
      <c r="G489" s="102">
        <f>IFERROR(IF(D489="OSCURO",VLOOKUP(B489,PRECIOS!$A$4:$F$32,2,FALSE()),IF(D489="CLARO",VLOOKUP(B489,PRECIOS!$A$4:$F$32,3,FALSE()),IF(D489="MELANGE",VLOOKUP(B489,PRECIOS!$A$4:$F$32,4,FALSE()),IF(D489="PPT",VLOOKUP(B489,PRECIOS!$A$4:$F$32,5,FALSE()),0)))),0)</f>
        <v>18</v>
      </c>
      <c r="H489" s="103">
        <f t="shared" si="1"/>
        <v>0</v>
      </c>
      <c r="I489" s="104" t="str">
        <f>IF(E489&lt;0,"ERROR",IF(E489=0,"",IF(E489&lt;CONFIG!$B$4,"CRÍTICO",IF(E489&lt;CONFIG!$B$5,"BAJO","OK"))))</f>
        <v/>
      </c>
    </row>
    <row r="490" ht="15.75" customHeight="1">
      <c r="A490" s="90" t="str">
        <f>IF(CLIENTES!A7="","",CLIENTES!A7)</f>
        <v/>
      </c>
      <c r="B490" s="67" t="str">
        <f>TELAS!A7</f>
        <v>french terry 24/1</v>
      </c>
      <c r="C490" s="67" t="str">
        <f>COLORES!A10</f>
        <v>Botella</v>
      </c>
      <c r="D490" s="67" t="str">
        <f>COLORES!B10</f>
        <v>OSCURO</v>
      </c>
      <c r="E490" s="100">
        <f>IFERROR(SUMIFS(MOVIMIENTOS!$F$4:$F$1000,MOVIMIENTOS!$C$4:$C$1000,A490,MOVIMIENTOS!$D$4:$D$1000,B490,MOVIMIENTOS!$E$4:$E$1000,C490,MOVIMIENTOS!$B$4:$B$1000,"INGRESO")+SUMIFS(MOVIMIENTOS!$F$4:$F$1000,MOVIMIENTOS!$C$4:$C$1000,A490,MOVIMIENTOS!$D$4:$D$1000,B490,MOVIMIENTOS!$E$4:$E$1000,C490,MOVIMIENTOS!$B$4:$B$1000,"DE REPROCESO")+SUMIFS(MOVIMIENTOS!$F$4:$F$1000,MOVIMIENTOS!$C$4:$C$1000,A490,MOVIMIENTOS!$D$4:$D$1000,B490,MOVIMIENTOS!$E$4:$E$1000,C490,MOVIMIENTOS!$B$4:$B$1000,"AJUSTE+")-SUMIFS(MOVIMIENTOS!$F$4:$F$1000,MOVIMIENTOS!$C$4:$C$1000,A490,MOVIMIENTOS!$D$4:$D$1000,B490,MOVIMIENTOS!$E$4:$E$1000,C490,MOVIMIENTOS!$B$4:$B$1000,"A CORTE")-SUMIFS(MOVIMIENTOS!$F$4:$F$1000,MOVIMIENTOS!$C$4:$C$1000,A490,MOVIMIENTOS!$D$4:$D$1000,B490,MOVIMIENTOS!$E$4:$E$1000,C490,MOVIMIENTOS!$B$4:$B$1000,"A REPROCESO")-SUMIFS(MOVIMIENTOS!$F$4:$F$1000,MOVIMIENTOS!$C$4:$C$1000,A490,MOVIMIENTOS!$D$4:$D$1000,B490,MOVIMIENTOS!$E$4:$E$1000,C490,MOVIMIENTOS!$B$4:$B$1000,"MUESTRA")-SUMIFS(MOVIMIENTOS!$F$4:$F$1000,MOVIMIENTOS!$C$4:$C$1000,A490,MOVIMIENTOS!$D$4:$D$1000,B490,MOVIMIENTOS!$E$4:$E$1000,C490,MOVIMIENTOS!$B$4:$B$1000,"AJUSTE-"),0)</f>
        <v>0</v>
      </c>
      <c r="F490" s="101">
        <f>IFERROR(E490*VLOOKUP(B490,TELAS!$A$4:$C$32,3,FALSE()),0)</f>
        <v>0</v>
      </c>
      <c r="G490" s="102">
        <f>IFERROR(IF(D490="OSCURO",VLOOKUP(B490,PRECIOS!$A$4:$F$32,2,FALSE()),IF(D490="CLARO",VLOOKUP(B490,PRECIOS!$A$4:$F$32,3,FALSE()),IF(D490="MELANGE",VLOOKUP(B490,PRECIOS!$A$4:$F$32,4,FALSE()),IF(D490="PPT",VLOOKUP(B490,PRECIOS!$A$4:$F$32,5,FALSE()),0)))),0)</f>
        <v>24</v>
      </c>
      <c r="H490" s="103">
        <f t="shared" si="1"/>
        <v>0</v>
      </c>
      <c r="I490" s="104" t="str">
        <f>IF(E490&lt;0,"ERROR",IF(E490=0,"",IF(E490&lt;CONFIG!$B$4,"CRÍTICO",IF(E490&lt;CONFIG!$B$5,"BAJO","OK"))))</f>
        <v/>
      </c>
    </row>
    <row r="491" ht="15.75" customHeight="1">
      <c r="A491" s="90" t="str">
        <f>IF(CLIENTES!A7="","",CLIENTES!A7)</f>
        <v/>
      </c>
      <c r="B491" s="67" t="str">
        <f>TELAS!A7</f>
        <v>french terry 24/1</v>
      </c>
      <c r="C491" s="67" t="str">
        <f>COLORES!A11</f>
        <v>Pacay</v>
      </c>
      <c r="D491" s="67" t="str">
        <f>COLORES!B11</f>
        <v>CLARO</v>
      </c>
      <c r="E491" s="100">
        <f>IFERROR(SUMIFS(MOVIMIENTOS!$F$4:$F$1000,MOVIMIENTOS!$C$4:$C$1000,A491,MOVIMIENTOS!$D$4:$D$1000,B491,MOVIMIENTOS!$E$4:$E$1000,C491,MOVIMIENTOS!$B$4:$B$1000,"INGRESO")+SUMIFS(MOVIMIENTOS!$F$4:$F$1000,MOVIMIENTOS!$C$4:$C$1000,A491,MOVIMIENTOS!$D$4:$D$1000,B491,MOVIMIENTOS!$E$4:$E$1000,C491,MOVIMIENTOS!$B$4:$B$1000,"DE REPROCESO")+SUMIFS(MOVIMIENTOS!$F$4:$F$1000,MOVIMIENTOS!$C$4:$C$1000,A491,MOVIMIENTOS!$D$4:$D$1000,B491,MOVIMIENTOS!$E$4:$E$1000,C491,MOVIMIENTOS!$B$4:$B$1000,"AJUSTE+")-SUMIFS(MOVIMIENTOS!$F$4:$F$1000,MOVIMIENTOS!$C$4:$C$1000,A491,MOVIMIENTOS!$D$4:$D$1000,B491,MOVIMIENTOS!$E$4:$E$1000,C491,MOVIMIENTOS!$B$4:$B$1000,"A CORTE")-SUMIFS(MOVIMIENTOS!$F$4:$F$1000,MOVIMIENTOS!$C$4:$C$1000,A491,MOVIMIENTOS!$D$4:$D$1000,B491,MOVIMIENTOS!$E$4:$E$1000,C491,MOVIMIENTOS!$B$4:$B$1000,"A REPROCESO")-SUMIFS(MOVIMIENTOS!$F$4:$F$1000,MOVIMIENTOS!$C$4:$C$1000,A491,MOVIMIENTOS!$D$4:$D$1000,B491,MOVIMIENTOS!$E$4:$E$1000,C491,MOVIMIENTOS!$B$4:$B$1000,"MUESTRA")-SUMIFS(MOVIMIENTOS!$F$4:$F$1000,MOVIMIENTOS!$C$4:$C$1000,A491,MOVIMIENTOS!$D$4:$D$1000,B491,MOVIMIENTOS!$E$4:$E$1000,C491,MOVIMIENTOS!$B$4:$B$1000,"AJUSTE-"),0)</f>
        <v>0</v>
      </c>
      <c r="F491" s="101">
        <f>IFERROR(E491*VLOOKUP(B491,TELAS!$A$4:$C$32,3,FALSE()),0)</f>
        <v>0</v>
      </c>
      <c r="G491" s="102">
        <f>IFERROR(IF(D491="OSCURO",VLOOKUP(B491,PRECIOS!$A$4:$F$32,2,FALSE()),IF(D491="CLARO",VLOOKUP(B491,PRECIOS!$A$4:$F$32,3,FALSE()),IF(D491="MELANGE",VLOOKUP(B491,PRECIOS!$A$4:$F$32,4,FALSE()),IF(D491="PPT",VLOOKUP(B491,PRECIOS!$A$4:$F$32,5,FALSE()),0)))),0)</f>
        <v>21</v>
      </c>
      <c r="H491" s="103">
        <f t="shared" si="1"/>
        <v>0</v>
      </c>
      <c r="I491" s="104" t="str">
        <f>IF(E491&lt;0,"ERROR",IF(E491=0,"",IF(E491&lt;CONFIG!$B$4,"CRÍTICO",IF(E491&lt;CONFIG!$B$5,"BAJO","OK"))))</f>
        <v/>
      </c>
    </row>
    <row r="492" ht="15.75" customHeight="1">
      <c r="A492" s="90" t="str">
        <f>IF(CLIENTES!A7="","",CLIENTES!A7)</f>
        <v/>
      </c>
      <c r="B492" s="67" t="str">
        <f>TELAS!A7</f>
        <v>french terry 24/1</v>
      </c>
      <c r="C492" s="67" t="str">
        <f>COLORES!A12</f>
        <v>Cemento</v>
      </c>
      <c r="D492" s="67" t="str">
        <f>COLORES!B12</f>
        <v>CLARO</v>
      </c>
      <c r="E492" s="100">
        <f>IFERROR(SUMIFS(MOVIMIENTOS!$F$4:$F$1000,MOVIMIENTOS!$C$4:$C$1000,A492,MOVIMIENTOS!$D$4:$D$1000,B492,MOVIMIENTOS!$E$4:$E$1000,C492,MOVIMIENTOS!$B$4:$B$1000,"INGRESO")+SUMIFS(MOVIMIENTOS!$F$4:$F$1000,MOVIMIENTOS!$C$4:$C$1000,A492,MOVIMIENTOS!$D$4:$D$1000,B492,MOVIMIENTOS!$E$4:$E$1000,C492,MOVIMIENTOS!$B$4:$B$1000,"DE REPROCESO")+SUMIFS(MOVIMIENTOS!$F$4:$F$1000,MOVIMIENTOS!$C$4:$C$1000,A492,MOVIMIENTOS!$D$4:$D$1000,B492,MOVIMIENTOS!$E$4:$E$1000,C492,MOVIMIENTOS!$B$4:$B$1000,"AJUSTE+")-SUMIFS(MOVIMIENTOS!$F$4:$F$1000,MOVIMIENTOS!$C$4:$C$1000,A492,MOVIMIENTOS!$D$4:$D$1000,B492,MOVIMIENTOS!$E$4:$E$1000,C492,MOVIMIENTOS!$B$4:$B$1000,"A CORTE")-SUMIFS(MOVIMIENTOS!$F$4:$F$1000,MOVIMIENTOS!$C$4:$C$1000,A492,MOVIMIENTOS!$D$4:$D$1000,B492,MOVIMIENTOS!$E$4:$E$1000,C492,MOVIMIENTOS!$B$4:$B$1000,"A REPROCESO")-SUMIFS(MOVIMIENTOS!$F$4:$F$1000,MOVIMIENTOS!$C$4:$C$1000,A492,MOVIMIENTOS!$D$4:$D$1000,B492,MOVIMIENTOS!$E$4:$E$1000,C492,MOVIMIENTOS!$B$4:$B$1000,"MUESTRA")-SUMIFS(MOVIMIENTOS!$F$4:$F$1000,MOVIMIENTOS!$C$4:$C$1000,A492,MOVIMIENTOS!$D$4:$D$1000,B492,MOVIMIENTOS!$E$4:$E$1000,C492,MOVIMIENTOS!$B$4:$B$1000,"AJUSTE-"),0)</f>
        <v>0</v>
      </c>
      <c r="F492" s="101">
        <f>IFERROR(E492*VLOOKUP(B492,TELAS!$A$4:$C$32,3,FALSE()),0)</f>
        <v>0</v>
      </c>
      <c r="G492" s="102">
        <f>IFERROR(IF(D492="OSCURO",VLOOKUP(B492,PRECIOS!$A$4:$F$32,2,FALSE()),IF(D492="CLARO",VLOOKUP(B492,PRECIOS!$A$4:$F$32,3,FALSE()),IF(D492="MELANGE",VLOOKUP(B492,PRECIOS!$A$4:$F$32,4,FALSE()),IF(D492="PPT",VLOOKUP(B492,PRECIOS!$A$4:$F$32,5,FALSE()),0)))),0)</f>
        <v>21</v>
      </c>
      <c r="H492" s="103">
        <f t="shared" si="1"/>
        <v>0</v>
      </c>
      <c r="I492" s="104" t="str">
        <f>IF(E492&lt;0,"ERROR",IF(E492=0,"",IF(E492&lt;CONFIG!$B$4,"CRÍTICO",IF(E492&lt;CONFIG!$B$5,"BAJO","OK"))))</f>
        <v/>
      </c>
    </row>
    <row r="493" ht="15.75" customHeight="1">
      <c r="A493" s="90" t="str">
        <f>IF(CLIENTES!A7="","",CLIENTES!A7)</f>
        <v/>
      </c>
      <c r="B493" s="67" t="str">
        <f>TELAS!A7</f>
        <v>french terry 24/1</v>
      </c>
      <c r="C493" s="67" t="str">
        <f>COLORES!A13</f>
        <v>Camote</v>
      </c>
      <c r="D493" s="67" t="str">
        <f>COLORES!B13</f>
        <v>CLARO</v>
      </c>
      <c r="E493" s="100">
        <f>IFERROR(SUMIFS(MOVIMIENTOS!$F$4:$F$1000,MOVIMIENTOS!$C$4:$C$1000,A493,MOVIMIENTOS!$D$4:$D$1000,B493,MOVIMIENTOS!$E$4:$E$1000,C493,MOVIMIENTOS!$B$4:$B$1000,"INGRESO")+SUMIFS(MOVIMIENTOS!$F$4:$F$1000,MOVIMIENTOS!$C$4:$C$1000,A493,MOVIMIENTOS!$D$4:$D$1000,B493,MOVIMIENTOS!$E$4:$E$1000,C493,MOVIMIENTOS!$B$4:$B$1000,"DE REPROCESO")+SUMIFS(MOVIMIENTOS!$F$4:$F$1000,MOVIMIENTOS!$C$4:$C$1000,A493,MOVIMIENTOS!$D$4:$D$1000,B493,MOVIMIENTOS!$E$4:$E$1000,C493,MOVIMIENTOS!$B$4:$B$1000,"AJUSTE+")-SUMIFS(MOVIMIENTOS!$F$4:$F$1000,MOVIMIENTOS!$C$4:$C$1000,A493,MOVIMIENTOS!$D$4:$D$1000,B493,MOVIMIENTOS!$E$4:$E$1000,C493,MOVIMIENTOS!$B$4:$B$1000,"A CORTE")-SUMIFS(MOVIMIENTOS!$F$4:$F$1000,MOVIMIENTOS!$C$4:$C$1000,A493,MOVIMIENTOS!$D$4:$D$1000,B493,MOVIMIENTOS!$E$4:$E$1000,C493,MOVIMIENTOS!$B$4:$B$1000,"A REPROCESO")-SUMIFS(MOVIMIENTOS!$F$4:$F$1000,MOVIMIENTOS!$C$4:$C$1000,A493,MOVIMIENTOS!$D$4:$D$1000,B493,MOVIMIENTOS!$E$4:$E$1000,C493,MOVIMIENTOS!$B$4:$B$1000,"MUESTRA")-SUMIFS(MOVIMIENTOS!$F$4:$F$1000,MOVIMIENTOS!$C$4:$C$1000,A493,MOVIMIENTOS!$D$4:$D$1000,B493,MOVIMIENTOS!$E$4:$E$1000,C493,MOVIMIENTOS!$B$4:$B$1000,"AJUSTE-"),0)</f>
        <v>0</v>
      </c>
      <c r="F493" s="101">
        <f>IFERROR(E493*VLOOKUP(B493,TELAS!$A$4:$C$32,3,FALSE()),0)</f>
        <v>0</v>
      </c>
      <c r="G493" s="102">
        <f>IFERROR(IF(D493="OSCURO",VLOOKUP(B493,PRECIOS!$A$4:$F$32,2,FALSE()),IF(D493="CLARO",VLOOKUP(B493,PRECIOS!$A$4:$F$32,3,FALSE()),IF(D493="MELANGE",VLOOKUP(B493,PRECIOS!$A$4:$F$32,4,FALSE()),IF(D493="PPT",VLOOKUP(B493,PRECIOS!$A$4:$F$32,5,FALSE()),0)))),0)</f>
        <v>21</v>
      </c>
      <c r="H493" s="103">
        <f t="shared" si="1"/>
        <v>0</v>
      </c>
      <c r="I493" s="104" t="str">
        <f>IF(E493&lt;0,"ERROR",IF(E493=0,"",IF(E493&lt;CONFIG!$B$4,"CRÍTICO",IF(E493&lt;CONFIG!$B$5,"BAJO","OK"))))</f>
        <v/>
      </c>
    </row>
    <row r="494" ht="15.75" customHeight="1">
      <c r="A494" s="90" t="str">
        <f>IF(CLIENTES!A7="","",CLIENTES!A7)</f>
        <v/>
      </c>
      <c r="B494" s="67" t="str">
        <f>TELAS!A7</f>
        <v>french terry 24/1</v>
      </c>
      <c r="C494" s="67" t="str">
        <f>COLORES!A14</f>
        <v>Denim</v>
      </c>
      <c r="D494" s="67" t="str">
        <f>COLORES!B14</f>
        <v>CLARO</v>
      </c>
      <c r="E494" s="100">
        <f>IFERROR(SUMIFS(MOVIMIENTOS!$F$4:$F$1000,MOVIMIENTOS!$C$4:$C$1000,A494,MOVIMIENTOS!$D$4:$D$1000,B494,MOVIMIENTOS!$E$4:$E$1000,C494,MOVIMIENTOS!$B$4:$B$1000,"INGRESO")+SUMIFS(MOVIMIENTOS!$F$4:$F$1000,MOVIMIENTOS!$C$4:$C$1000,A494,MOVIMIENTOS!$D$4:$D$1000,B494,MOVIMIENTOS!$E$4:$E$1000,C494,MOVIMIENTOS!$B$4:$B$1000,"DE REPROCESO")+SUMIFS(MOVIMIENTOS!$F$4:$F$1000,MOVIMIENTOS!$C$4:$C$1000,A494,MOVIMIENTOS!$D$4:$D$1000,B494,MOVIMIENTOS!$E$4:$E$1000,C494,MOVIMIENTOS!$B$4:$B$1000,"AJUSTE+")-SUMIFS(MOVIMIENTOS!$F$4:$F$1000,MOVIMIENTOS!$C$4:$C$1000,A494,MOVIMIENTOS!$D$4:$D$1000,B494,MOVIMIENTOS!$E$4:$E$1000,C494,MOVIMIENTOS!$B$4:$B$1000,"A CORTE")-SUMIFS(MOVIMIENTOS!$F$4:$F$1000,MOVIMIENTOS!$C$4:$C$1000,A494,MOVIMIENTOS!$D$4:$D$1000,B494,MOVIMIENTOS!$E$4:$E$1000,C494,MOVIMIENTOS!$B$4:$B$1000,"A REPROCESO")-SUMIFS(MOVIMIENTOS!$F$4:$F$1000,MOVIMIENTOS!$C$4:$C$1000,A494,MOVIMIENTOS!$D$4:$D$1000,B494,MOVIMIENTOS!$E$4:$E$1000,C494,MOVIMIENTOS!$B$4:$B$1000,"MUESTRA")-SUMIFS(MOVIMIENTOS!$F$4:$F$1000,MOVIMIENTOS!$C$4:$C$1000,A494,MOVIMIENTOS!$D$4:$D$1000,B494,MOVIMIENTOS!$E$4:$E$1000,C494,MOVIMIENTOS!$B$4:$B$1000,"AJUSTE-"),0)</f>
        <v>0</v>
      </c>
      <c r="F494" s="101">
        <f>IFERROR(E494*VLOOKUP(B494,TELAS!$A$4:$C$32,3,FALSE()),0)</f>
        <v>0</v>
      </c>
      <c r="G494" s="102">
        <f>IFERROR(IF(D494="OSCURO",VLOOKUP(B494,PRECIOS!$A$4:$F$32,2,FALSE()),IF(D494="CLARO",VLOOKUP(B494,PRECIOS!$A$4:$F$32,3,FALSE()),IF(D494="MELANGE",VLOOKUP(B494,PRECIOS!$A$4:$F$32,4,FALSE()),IF(D494="PPT",VLOOKUP(B494,PRECIOS!$A$4:$F$32,5,FALSE()),0)))),0)</f>
        <v>21</v>
      </c>
      <c r="H494" s="103">
        <f t="shared" si="1"/>
        <v>0</v>
      </c>
      <c r="I494" s="104" t="str">
        <f>IF(E494&lt;0,"ERROR",IF(E494=0,"",IF(E494&lt;CONFIG!$B$4,"CRÍTICO",IF(E494&lt;CONFIG!$B$5,"BAJO","OK"))))</f>
        <v/>
      </c>
    </row>
    <row r="495" ht="15.75" customHeight="1">
      <c r="A495" s="90" t="str">
        <f>IF(CLIENTES!A7="","",CLIENTES!A7)</f>
        <v/>
      </c>
      <c r="B495" s="67" t="str">
        <f>TELAS!A7</f>
        <v>french terry 24/1</v>
      </c>
      <c r="C495" s="67" t="str">
        <f>COLORES!A15</f>
        <v>Plomo</v>
      </c>
      <c r="D495" s="67" t="str">
        <f>COLORES!B15</f>
        <v>OSCURO</v>
      </c>
      <c r="E495" s="100">
        <f>IFERROR(SUMIFS(MOVIMIENTOS!$F$4:$F$1000,MOVIMIENTOS!$C$4:$C$1000,A495,MOVIMIENTOS!$D$4:$D$1000,B495,MOVIMIENTOS!$E$4:$E$1000,C495,MOVIMIENTOS!$B$4:$B$1000,"INGRESO")+SUMIFS(MOVIMIENTOS!$F$4:$F$1000,MOVIMIENTOS!$C$4:$C$1000,A495,MOVIMIENTOS!$D$4:$D$1000,B495,MOVIMIENTOS!$E$4:$E$1000,C495,MOVIMIENTOS!$B$4:$B$1000,"DE REPROCESO")+SUMIFS(MOVIMIENTOS!$F$4:$F$1000,MOVIMIENTOS!$C$4:$C$1000,A495,MOVIMIENTOS!$D$4:$D$1000,B495,MOVIMIENTOS!$E$4:$E$1000,C495,MOVIMIENTOS!$B$4:$B$1000,"AJUSTE+")-SUMIFS(MOVIMIENTOS!$F$4:$F$1000,MOVIMIENTOS!$C$4:$C$1000,A495,MOVIMIENTOS!$D$4:$D$1000,B495,MOVIMIENTOS!$E$4:$E$1000,C495,MOVIMIENTOS!$B$4:$B$1000,"A CORTE")-SUMIFS(MOVIMIENTOS!$F$4:$F$1000,MOVIMIENTOS!$C$4:$C$1000,A495,MOVIMIENTOS!$D$4:$D$1000,B495,MOVIMIENTOS!$E$4:$E$1000,C495,MOVIMIENTOS!$B$4:$B$1000,"A REPROCESO")-SUMIFS(MOVIMIENTOS!$F$4:$F$1000,MOVIMIENTOS!$C$4:$C$1000,A495,MOVIMIENTOS!$D$4:$D$1000,B495,MOVIMIENTOS!$E$4:$E$1000,C495,MOVIMIENTOS!$B$4:$B$1000,"MUESTRA")-SUMIFS(MOVIMIENTOS!$F$4:$F$1000,MOVIMIENTOS!$C$4:$C$1000,A495,MOVIMIENTOS!$D$4:$D$1000,B495,MOVIMIENTOS!$E$4:$E$1000,C495,MOVIMIENTOS!$B$4:$B$1000,"AJUSTE-"),0)</f>
        <v>0</v>
      </c>
      <c r="F495" s="101">
        <f>IFERROR(E495*VLOOKUP(B495,TELAS!$A$4:$C$32,3,FALSE()),0)</f>
        <v>0</v>
      </c>
      <c r="G495" s="102">
        <f>IFERROR(IF(D495="OSCURO",VLOOKUP(B495,PRECIOS!$A$4:$F$32,2,FALSE()),IF(D495="CLARO",VLOOKUP(B495,PRECIOS!$A$4:$F$32,3,FALSE()),IF(D495="MELANGE",VLOOKUP(B495,PRECIOS!$A$4:$F$32,4,FALSE()),IF(D495="PPT",VLOOKUP(B495,PRECIOS!$A$4:$F$32,5,FALSE()),0)))),0)</f>
        <v>24</v>
      </c>
      <c r="H495" s="103">
        <f t="shared" si="1"/>
        <v>0</v>
      </c>
      <c r="I495" s="104" t="str">
        <f>IF(E495&lt;0,"ERROR",IF(E495=0,"",IF(E495&lt;CONFIG!$B$4,"CRÍTICO",IF(E495&lt;CONFIG!$B$5,"BAJO","OK"))))</f>
        <v/>
      </c>
    </row>
    <row r="496" ht="15.75" customHeight="1">
      <c r="A496" s="90" t="str">
        <f>IF(CLIENTES!A7="","",CLIENTES!A7)</f>
        <v/>
      </c>
      <c r="B496" s="67" t="str">
        <f>TELAS!A7</f>
        <v>french terry 24/1</v>
      </c>
      <c r="C496" s="67" t="str">
        <f>COLORES!A16</f>
        <v>Topo</v>
      </c>
      <c r="D496" s="67" t="str">
        <f>COLORES!B16</f>
        <v>CLARO</v>
      </c>
      <c r="E496" s="100">
        <f>IFERROR(SUMIFS(MOVIMIENTOS!$F$4:$F$1000,MOVIMIENTOS!$C$4:$C$1000,A496,MOVIMIENTOS!$D$4:$D$1000,B496,MOVIMIENTOS!$E$4:$E$1000,C496,MOVIMIENTOS!$B$4:$B$1000,"INGRESO")+SUMIFS(MOVIMIENTOS!$F$4:$F$1000,MOVIMIENTOS!$C$4:$C$1000,A496,MOVIMIENTOS!$D$4:$D$1000,B496,MOVIMIENTOS!$E$4:$E$1000,C496,MOVIMIENTOS!$B$4:$B$1000,"DE REPROCESO")+SUMIFS(MOVIMIENTOS!$F$4:$F$1000,MOVIMIENTOS!$C$4:$C$1000,A496,MOVIMIENTOS!$D$4:$D$1000,B496,MOVIMIENTOS!$E$4:$E$1000,C496,MOVIMIENTOS!$B$4:$B$1000,"AJUSTE+")-SUMIFS(MOVIMIENTOS!$F$4:$F$1000,MOVIMIENTOS!$C$4:$C$1000,A496,MOVIMIENTOS!$D$4:$D$1000,B496,MOVIMIENTOS!$E$4:$E$1000,C496,MOVIMIENTOS!$B$4:$B$1000,"A CORTE")-SUMIFS(MOVIMIENTOS!$F$4:$F$1000,MOVIMIENTOS!$C$4:$C$1000,A496,MOVIMIENTOS!$D$4:$D$1000,B496,MOVIMIENTOS!$E$4:$E$1000,C496,MOVIMIENTOS!$B$4:$B$1000,"A REPROCESO")-SUMIFS(MOVIMIENTOS!$F$4:$F$1000,MOVIMIENTOS!$C$4:$C$1000,A496,MOVIMIENTOS!$D$4:$D$1000,B496,MOVIMIENTOS!$E$4:$E$1000,C496,MOVIMIENTOS!$B$4:$B$1000,"MUESTRA")-SUMIFS(MOVIMIENTOS!$F$4:$F$1000,MOVIMIENTOS!$C$4:$C$1000,A496,MOVIMIENTOS!$D$4:$D$1000,B496,MOVIMIENTOS!$E$4:$E$1000,C496,MOVIMIENTOS!$B$4:$B$1000,"AJUSTE-"),0)</f>
        <v>0</v>
      </c>
      <c r="F496" s="101">
        <f>IFERROR(E496*VLOOKUP(B496,TELAS!$A$4:$C$32,3,FALSE()),0)</f>
        <v>0</v>
      </c>
      <c r="G496" s="102">
        <f>IFERROR(IF(D496="OSCURO",VLOOKUP(B496,PRECIOS!$A$4:$F$32,2,FALSE()),IF(D496="CLARO",VLOOKUP(B496,PRECIOS!$A$4:$F$32,3,FALSE()),IF(D496="MELANGE",VLOOKUP(B496,PRECIOS!$A$4:$F$32,4,FALSE()),IF(D496="PPT",VLOOKUP(B496,PRECIOS!$A$4:$F$32,5,FALSE()),0)))),0)</f>
        <v>21</v>
      </c>
      <c r="H496" s="103">
        <f t="shared" si="1"/>
        <v>0</v>
      </c>
      <c r="I496" s="104" t="str">
        <f>IF(E496&lt;0,"ERROR",IF(E496=0,"",IF(E496&lt;CONFIG!$B$4,"CRÍTICO",IF(E496&lt;CONFIG!$B$5,"BAJO","OK"))))</f>
        <v/>
      </c>
    </row>
    <row r="497" ht="15.75" customHeight="1">
      <c r="A497" s="90" t="str">
        <f>IF(CLIENTES!A7="","",CLIENTES!A7)</f>
        <v/>
      </c>
      <c r="B497" s="67" t="str">
        <f>TELAS!A7</f>
        <v>french terry 24/1</v>
      </c>
      <c r="C497" s="67" t="str">
        <f>COLORES!A17</f>
        <v>Vino</v>
      </c>
      <c r="D497" s="67" t="str">
        <f>COLORES!B17</f>
        <v>OSCURO</v>
      </c>
      <c r="E497" s="100">
        <f>IFERROR(SUMIFS(MOVIMIENTOS!$F$4:$F$1000,MOVIMIENTOS!$C$4:$C$1000,A497,MOVIMIENTOS!$D$4:$D$1000,B497,MOVIMIENTOS!$E$4:$E$1000,C497,MOVIMIENTOS!$B$4:$B$1000,"INGRESO")+SUMIFS(MOVIMIENTOS!$F$4:$F$1000,MOVIMIENTOS!$C$4:$C$1000,A497,MOVIMIENTOS!$D$4:$D$1000,B497,MOVIMIENTOS!$E$4:$E$1000,C497,MOVIMIENTOS!$B$4:$B$1000,"DE REPROCESO")+SUMIFS(MOVIMIENTOS!$F$4:$F$1000,MOVIMIENTOS!$C$4:$C$1000,A497,MOVIMIENTOS!$D$4:$D$1000,B497,MOVIMIENTOS!$E$4:$E$1000,C497,MOVIMIENTOS!$B$4:$B$1000,"AJUSTE+")-SUMIFS(MOVIMIENTOS!$F$4:$F$1000,MOVIMIENTOS!$C$4:$C$1000,A497,MOVIMIENTOS!$D$4:$D$1000,B497,MOVIMIENTOS!$E$4:$E$1000,C497,MOVIMIENTOS!$B$4:$B$1000,"A CORTE")-SUMIFS(MOVIMIENTOS!$F$4:$F$1000,MOVIMIENTOS!$C$4:$C$1000,A497,MOVIMIENTOS!$D$4:$D$1000,B497,MOVIMIENTOS!$E$4:$E$1000,C497,MOVIMIENTOS!$B$4:$B$1000,"A REPROCESO")-SUMIFS(MOVIMIENTOS!$F$4:$F$1000,MOVIMIENTOS!$C$4:$C$1000,A497,MOVIMIENTOS!$D$4:$D$1000,B497,MOVIMIENTOS!$E$4:$E$1000,C497,MOVIMIENTOS!$B$4:$B$1000,"MUESTRA")-SUMIFS(MOVIMIENTOS!$F$4:$F$1000,MOVIMIENTOS!$C$4:$C$1000,A497,MOVIMIENTOS!$D$4:$D$1000,B497,MOVIMIENTOS!$E$4:$E$1000,C497,MOVIMIENTOS!$B$4:$B$1000,"AJUSTE-"),0)</f>
        <v>0</v>
      </c>
      <c r="F497" s="101">
        <f>IFERROR(E497*VLOOKUP(B497,TELAS!$A$4:$C$32,3,FALSE()),0)</f>
        <v>0</v>
      </c>
      <c r="G497" s="102">
        <f>IFERROR(IF(D497="OSCURO",VLOOKUP(B497,PRECIOS!$A$4:$F$32,2,FALSE()),IF(D497="CLARO",VLOOKUP(B497,PRECIOS!$A$4:$F$32,3,FALSE()),IF(D497="MELANGE",VLOOKUP(B497,PRECIOS!$A$4:$F$32,4,FALSE()),IF(D497="PPT",VLOOKUP(B497,PRECIOS!$A$4:$F$32,5,FALSE()),0)))),0)</f>
        <v>24</v>
      </c>
      <c r="H497" s="103">
        <f t="shared" si="1"/>
        <v>0</v>
      </c>
      <c r="I497" s="104" t="str">
        <f>IF(E497&lt;0,"ERROR",IF(E497=0,"",IF(E497&lt;CONFIG!$B$4,"CRÍTICO",IF(E497&lt;CONFIG!$B$5,"BAJO","OK"))))</f>
        <v/>
      </c>
    </row>
    <row r="498" ht="15.75" customHeight="1">
      <c r="A498" s="90" t="str">
        <f>IF(CLIENTES!A7="","",CLIENTES!A7)</f>
        <v/>
      </c>
      <c r="B498" s="67" t="str">
        <f>TELAS!A7</f>
        <v>french terry 24/1</v>
      </c>
      <c r="C498" s="67" t="str">
        <f>COLORES!A18</f>
        <v>P. Rosa</v>
      </c>
      <c r="D498" s="67" t="str">
        <f>COLORES!B18</f>
        <v>CLARO</v>
      </c>
      <c r="E498" s="100">
        <f>IFERROR(SUMIFS(MOVIMIENTOS!$F$4:$F$1000,MOVIMIENTOS!$C$4:$C$1000,A498,MOVIMIENTOS!$D$4:$D$1000,B498,MOVIMIENTOS!$E$4:$E$1000,C498,MOVIMIENTOS!$B$4:$B$1000,"INGRESO")+SUMIFS(MOVIMIENTOS!$F$4:$F$1000,MOVIMIENTOS!$C$4:$C$1000,A498,MOVIMIENTOS!$D$4:$D$1000,B498,MOVIMIENTOS!$E$4:$E$1000,C498,MOVIMIENTOS!$B$4:$B$1000,"DE REPROCESO")+SUMIFS(MOVIMIENTOS!$F$4:$F$1000,MOVIMIENTOS!$C$4:$C$1000,A498,MOVIMIENTOS!$D$4:$D$1000,B498,MOVIMIENTOS!$E$4:$E$1000,C498,MOVIMIENTOS!$B$4:$B$1000,"AJUSTE+")-SUMIFS(MOVIMIENTOS!$F$4:$F$1000,MOVIMIENTOS!$C$4:$C$1000,A498,MOVIMIENTOS!$D$4:$D$1000,B498,MOVIMIENTOS!$E$4:$E$1000,C498,MOVIMIENTOS!$B$4:$B$1000,"A CORTE")-SUMIFS(MOVIMIENTOS!$F$4:$F$1000,MOVIMIENTOS!$C$4:$C$1000,A498,MOVIMIENTOS!$D$4:$D$1000,B498,MOVIMIENTOS!$E$4:$E$1000,C498,MOVIMIENTOS!$B$4:$B$1000,"A REPROCESO")-SUMIFS(MOVIMIENTOS!$F$4:$F$1000,MOVIMIENTOS!$C$4:$C$1000,A498,MOVIMIENTOS!$D$4:$D$1000,B498,MOVIMIENTOS!$E$4:$E$1000,C498,MOVIMIENTOS!$B$4:$B$1000,"MUESTRA")-SUMIFS(MOVIMIENTOS!$F$4:$F$1000,MOVIMIENTOS!$C$4:$C$1000,A498,MOVIMIENTOS!$D$4:$D$1000,B498,MOVIMIENTOS!$E$4:$E$1000,C498,MOVIMIENTOS!$B$4:$B$1000,"AJUSTE-"),0)</f>
        <v>0</v>
      </c>
      <c r="F498" s="101">
        <f>IFERROR(E498*VLOOKUP(B498,TELAS!$A$4:$C$32,3,FALSE()),0)</f>
        <v>0</v>
      </c>
      <c r="G498" s="102">
        <f>IFERROR(IF(D498="OSCURO",VLOOKUP(B498,PRECIOS!$A$4:$F$32,2,FALSE()),IF(D498="CLARO",VLOOKUP(B498,PRECIOS!$A$4:$F$32,3,FALSE()),IF(D498="MELANGE",VLOOKUP(B498,PRECIOS!$A$4:$F$32,4,FALSE()),IF(D498="PPT",VLOOKUP(B498,PRECIOS!$A$4:$F$32,5,FALSE()),0)))),0)</f>
        <v>21</v>
      </c>
      <c r="H498" s="103">
        <f t="shared" si="1"/>
        <v>0</v>
      </c>
      <c r="I498" s="104" t="str">
        <f>IF(E498&lt;0,"ERROR",IF(E498=0,"",IF(E498&lt;CONFIG!$B$4,"CRÍTICO",IF(E498&lt;CONFIG!$B$5,"BAJO","OK"))))</f>
        <v/>
      </c>
    </row>
    <row r="499" ht="15.75" customHeight="1">
      <c r="A499" s="90" t="str">
        <f>IF(CLIENTES!A7="","",CLIENTES!A7)</f>
        <v/>
      </c>
      <c r="B499" s="67" t="str">
        <f>TELAS!A7</f>
        <v>french terry 24/1</v>
      </c>
      <c r="C499" s="67" t="str">
        <f>COLORES!A19</f>
        <v/>
      </c>
      <c r="D499" s="67" t="str">
        <f>COLORES!B19</f>
        <v/>
      </c>
      <c r="E499" s="100">
        <f>IFERROR(SUMIFS(MOVIMIENTOS!$F$4:$F$1000,MOVIMIENTOS!$C$4:$C$1000,A499,MOVIMIENTOS!$D$4:$D$1000,B499,MOVIMIENTOS!$E$4:$E$1000,C499,MOVIMIENTOS!$B$4:$B$1000,"INGRESO")+SUMIFS(MOVIMIENTOS!$F$4:$F$1000,MOVIMIENTOS!$C$4:$C$1000,A499,MOVIMIENTOS!$D$4:$D$1000,B499,MOVIMIENTOS!$E$4:$E$1000,C499,MOVIMIENTOS!$B$4:$B$1000,"DE REPROCESO")+SUMIFS(MOVIMIENTOS!$F$4:$F$1000,MOVIMIENTOS!$C$4:$C$1000,A499,MOVIMIENTOS!$D$4:$D$1000,B499,MOVIMIENTOS!$E$4:$E$1000,C499,MOVIMIENTOS!$B$4:$B$1000,"AJUSTE+")-SUMIFS(MOVIMIENTOS!$F$4:$F$1000,MOVIMIENTOS!$C$4:$C$1000,A499,MOVIMIENTOS!$D$4:$D$1000,B499,MOVIMIENTOS!$E$4:$E$1000,C499,MOVIMIENTOS!$B$4:$B$1000,"A CORTE")-SUMIFS(MOVIMIENTOS!$F$4:$F$1000,MOVIMIENTOS!$C$4:$C$1000,A499,MOVIMIENTOS!$D$4:$D$1000,B499,MOVIMIENTOS!$E$4:$E$1000,C499,MOVIMIENTOS!$B$4:$B$1000,"A REPROCESO")-SUMIFS(MOVIMIENTOS!$F$4:$F$1000,MOVIMIENTOS!$C$4:$C$1000,A499,MOVIMIENTOS!$D$4:$D$1000,B499,MOVIMIENTOS!$E$4:$E$1000,C499,MOVIMIENTOS!$B$4:$B$1000,"MUESTRA")-SUMIFS(MOVIMIENTOS!$F$4:$F$1000,MOVIMIENTOS!$C$4:$C$1000,A499,MOVIMIENTOS!$D$4:$D$1000,B499,MOVIMIENTOS!$E$4:$E$1000,C499,MOVIMIENTOS!$B$4:$B$1000,"AJUSTE-"),0)</f>
        <v>0</v>
      </c>
      <c r="F499" s="101">
        <f>IFERROR(E499*VLOOKUP(B499,TELAS!$A$4:$C$32,3,FALSE()),0)</f>
        <v>0</v>
      </c>
      <c r="G499" s="102">
        <f>IFERROR(IF(D499="OSCURO",VLOOKUP(B499,PRECIOS!$A$4:$F$32,2,FALSE()),IF(D499="CLARO",VLOOKUP(B499,PRECIOS!$A$4:$F$32,3,FALSE()),IF(D499="MELANGE",VLOOKUP(B499,PRECIOS!$A$4:$F$32,4,FALSE()),IF(D499="PPT",VLOOKUP(B499,PRECIOS!$A$4:$F$32,5,FALSE()),0)))),0)</f>
        <v>0</v>
      </c>
      <c r="H499" s="103">
        <f t="shared" si="1"/>
        <v>0</v>
      </c>
      <c r="I499" s="104" t="str">
        <f>IF(E499&lt;0,"ERROR",IF(E499=0,"",IF(E499&lt;CONFIG!$B$4,"CRÍTICO",IF(E499&lt;CONFIG!$B$5,"BAJO","OK"))))</f>
        <v/>
      </c>
    </row>
    <row r="500" ht="15.75" customHeight="1">
      <c r="A500" s="90" t="str">
        <f>IF(CLIENTES!A7="","",CLIENTES!A7)</f>
        <v/>
      </c>
      <c r="B500" s="67" t="str">
        <f>TELAS!A7</f>
        <v>french terry 24/1</v>
      </c>
      <c r="C500" s="67" t="str">
        <f>COLORES!A20</f>
        <v/>
      </c>
      <c r="D500" s="67" t="str">
        <f>COLORES!B20</f>
        <v/>
      </c>
      <c r="E500" s="100">
        <f>IFERROR(SUMIFS(MOVIMIENTOS!$F$4:$F$1000,MOVIMIENTOS!$C$4:$C$1000,A500,MOVIMIENTOS!$D$4:$D$1000,B500,MOVIMIENTOS!$E$4:$E$1000,C500,MOVIMIENTOS!$B$4:$B$1000,"INGRESO")+SUMIFS(MOVIMIENTOS!$F$4:$F$1000,MOVIMIENTOS!$C$4:$C$1000,A500,MOVIMIENTOS!$D$4:$D$1000,B500,MOVIMIENTOS!$E$4:$E$1000,C500,MOVIMIENTOS!$B$4:$B$1000,"DE REPROCESO")+SUMIFS(MOVIMIENTOS!$F$4:$F$1000,MOVIMIENTOS!$C$4:$C$1000,A500,MOVIMIENTOS!$D$4:$D$1000,B500,MOVIMIENTOS!$E$4:$E$1000,C500,MOVIMIENTOS!$B$4:$B$1000,"AJUSTE+")-SUMIFS(MOVIMIENTOS!$F$4:$F$1000,MOVIMIENTOS!$C$4:$C$1000,A500,MOVIMIENTOS!$D$4:$D$1000,B500,MOVIMIENTOS!$E$4:$E$1000,C500,MOVIMIENTOS!$B$4:$B$1000,"A CORTE")-SUMIFS(MOVIMIENTOS!$F$4:$F$1000,MOVIMIENTOS!$C$4:$C$1000,A500,MOVIMIENTOS!$D$4:$D$1000,B500,MOVIMIENTOS!$E$4:$E$1000,C500,MOVIMIENTOS!$B$4:$B$1000,"A REPROCESO")-SUMIFS(MOVIMIENTOS!$F$4:$F$1000,MOVIMIENTOS!$C$4:$C$1000,A500,MOVIMIENTOS!$D$4:$D$1000,B500,MOVIMIENTOS!$E$4:$E$1000,C500,MOVIMIENTOS!$B$4:$B$1000,"MUESTRA")-SUMIFS(MOVIMIENTOS!$F$4:$F$1000,MOVIMIENTOS!$C$4:$C$1000,A500,MOVIMIENTOS!$D$4:$D$1000,B500,MOVIMIENTOS!$E$4:$E$1000,C500,MOVIMIENTOS!$B$4:$B$1000,"AJUSTE-"),0)</f>
        <v>0</v>
      </c>
      <c r="F500" s="101">
        <f>IFERROR(E500*VLOOKUP(B500,TELAS!$A$4:$C$32,3,FALSE()),0)</f>
        <v>0</v>
      </c>
      <c r="G500" s="102">
        <f>IFERROR(IF(D500="OSCURO",VLOOKUP(B500,PRECIOS!$A$4:$F$32,2,FALSE()),IF(D500="CLARO",VLOOKUP(B500,PRECIOS!$A$4:$F$32,3,FALSE()),IF(D500="MELANGE",VLOOKUP(B500,PRECIOS!$A$4:$F$32,4,FALSE()),IF(D500="PPT",VLOOKUP(B500,PRECIOS!$A$4:$F$32,5,FALSE()),0)))),0)</f>
        <v>0</v>
      </c>
      <c r="H500" s="103">
        <f t="shared" si="1"/>
        <v>0</v>
      </c>
      <c r="I500" s="104" t="str">
        <f>IF(E500&lt;0,"ERROR",IF(E500=0,"",IF(E500&lt;CONFIG!$B$4,"CRÍTICO",IF(E500&lt;CONFIG!$B$5,"BAJO","OK"))))</f>
        <v/>
      </c>
    </row>
    <row r="501" ht="15.75" customHeight="1">
      <c r="A501" s="90" t="str">
        <f>IF(CLIENTES!A7="","",CLIENTES!A7)</f>
        <v/>
      </c>
      <c r="B501" s="67" t="str">
        <f>TELAS!A7</f>
        <v>french terry 24/1</v>
      </c>
      <c r="C501" s="67" t="str">
        <f>COLORES!A21</f>
        <v/>
      </c>
      <c r="D501" s="67" t="str">
        <f>COLORES!B21</f>
        <v/>
      </c>
      <c r="E501" s="100">
        <f>IFERROR(SUMIFS(MOVIMIENTOS!$F$4:$F$1000,MOVIMIENTOS!$C$4:$C$1000,A501,MOVIMIENTOS!$D$4:$D$1000,B501,MOVIMIENTOS!$E$4:$E$1000,C501,MOVIMIENTOS!$B$4:$B$1000,"INGRESO")+SUMIFS(MOVIMIENTOS!$F$4:$F$1000,MOVIMIENTOS!$C$4:$C$1000,A501,MOVIMIENTOS!$D$4:$D$1000,B501,MOVIMIENTOS!$E$4:$E$1000,C501,MOVIMIENTOS!$B$4:$B$1000,"DE REPROCESO")+SUMIFS(MOVIMIENTOS!$F$4:$F$1000,MOVIMIENTOS!$C$4:$C$1000,A501,MOVIMIENTOS!$D$4:$D$1000,B501,MOVIMIENTOS!$E$4:$E$1000,C501,MOVIMIENTOS!$B$4:$B$1000,"AJUSTE+")-SUMIFS(MOVIMIENTOS!$F$4:$F$1000,MOVIMIENTOS!$C$4:$C$1000,A501,MOVIMIENTOS!$D$4:$D$1000,B501,MOVIMIENTOS!$E$4:$E$1000,C501,MOVIMIENTOS!$B$4:$B$1000,"A CORTE")-SUMIFS(MOVIMIENTOS!$F$4:$F$1000,MOVIMIENTOS!$C$4:$C$1000,A501,MOVIMIENTOS!$D$4:$D$1000,B501,MOVIMIENTOS!$E$4:$E$1000,C501,MOVIMIENTOS!$B$4:$B$1000,"A REPROCESO")-SUMIFS(MOVIMIENTOS!$F$4:$F$1000,MOVIMIENTOS!$C$4:$C$1000,A501,MOVIMIENTOS!$D$4:$D$1000,B501,MOVIMIENTOS!$E$4:$E$1000,C501,MOVIMIENTOS!$B$4:$B$1000,"MUESTRA")-SUMIFS(MOVIMIENTOS!$F$4:$F$1000,MOVIMIENTOS!$C$4:$C$1000,A501,MOVIMIENTOS!$D$4:$D$1000,B501,MOVIMIENTOS!$E$4:$E$1000,C501,MOVIMIENTOS!$B$4:$B$1000,"AJUSTE-"),0)</f>
        <v>0</v>
      </c>
      <c r="F501" s="101">
        <f>IFERROR(E501*VLOOKUP(B501,TELAS!$A$4:$C$32,3,FALSE()),0)</f>
        <v>0</v>
      </c>
      <c r="G501" s="102">
        <f>IFERROR(IF(D501="OSCURO",VLOOKUP(B501,PRECIOS!$A$4:$F$32,2,FALSE()),IF(D501="CLARO",VLOOKUP(B501,PRECIOS!$A$4:$F$32,3,FALSE()),IF(D501="MELANGE",VLOOKUP(B501,PRECIOS!$A$4:$F$32,4,FALSE()),IF(D501="PPT",VLOOKUP(B501,PRECIOS!$A$4:$F$32,5,FALSE()),0)))),0)</f>
        <v>0</v>
      </c>
      <c r="H501" s="103">
        <f t="shared" si="1"/>
        <v>0</v>
      </c>
      <c r="I501" s="104" t="str">
        <f>IF(E501&lt;0,"ERROR",IF(E501=0,"",IF(E501&lt;CONFIG!$B$4,"CRÍTICO",IF(E501&lt;CONFIG!$B$5,"BAJO","OK"))))</f>
        <v/>
      </c>
    </row>
    <row r="502" ht="15.75" customHeight="1">
      <c r="A502" s="90" t="str">
        <f>IF(CLIENTES!A7="","",CLIENTES!A7)</f>
        <v/>
      </c>
      <c r="B502" s="67" t="str">
        <f>TELAS!A7</f>
        <v>french terry 24/1</v>
      </c>
      <c r="C502" s="67" t="str">
        <f>COLORES!A22</f>
        <v/>
      </c>
      <c r="D502" s="67" t="str">
        <f>COLORES!B22</f>
        <v/>
      </c>
      <c r="E502" s="100">
        <f>IFERROR(SUMIFS(MOVIMIENTOS!$F$4:$F$1000,MOVIMIENTOS!$C$4:$C$1000,A502,MOVIMIENTOS!$D$4:$D$1000,B502,MOVIMIENTOS!$E$4:$E$1000,C502,MOVIMIENTOS!$B$4:$B$1000,"INGRESO")+SUMIFS(MOVIMIENTOS!$F$4:$F$1000,MOVIMIENTOS!$C$4:$C$1000,A502,MOVIMIENTOS!$D$4:$D$1000,B502,MOVIMIENTOS!$E$4:$E$1000,C502,MOVIMIENTOS!$B$4:$B$1000,"DE REPROCESO")+SUMIFS(MOVIMIENTOS!$F$4:$F$1000,MOVIMIENTOS!$C$4:$C$1000,A502,MOVIMIENTOS!$D$4:$D$1000,B502,MOVIMIENTOS!$E$4:$E$1000,C502,MOVIMIENTOS!$B$4:$B$1000,"AJUSTE+")-SUMIFS(MOVIMIENTOS!$F$4:$F$1000,MOVIMIENTOS!$C$4:$C$1000,A502,MOVIMIENTOS!$D$4:$D$1000,B502,MOVIMIENTOS!$E$4:$E$1000,C502,MOVIMIENTOS!$B$4:$B$1000,"A CORTE")-SUMIFS(MOVIMIENTOS!$F$4:$F$1000,MOVIMIENTOS!$C$4:$C$1000,A502,MOVIMIENTOS!$D$4:$D$1000,B502,MOVIMIENTOS!$E$4:$E$1000,C502,MOVIMIENTOS!$B$4:$B$1000,"A REPROCESO")-SUMIFS(MOVIMIENTOS!$F$4:$F$1000,MOVIMIENTOS!$C$4:$C$1000,A502,MOVIMIENTOS!$D$4:$D$1000,B502,MOVIMIENTOS!$E$4:$E$1000,C502,MOVIMIENTOS!$B$4:$B$1000,"MUESTRA")-SUMIFS(MOVIMIENTOS!$F$4:$F$1000,MOVIMIENTOS!$C$4:$C$1000,A502,MOVIMIENTOS!$D$4:$D$1000,B502,MOVIMIENTOS!$E$4:$E$1000,C502,MOVIMIENTOS!$B$4:$B$1000,"AJUSTE-"),0)</f>
        <v>0</v>
      </c>
      <c r="F502" s="101">
        <f>IFERROR(E502*VLOOKUP(B502,TELAS!$A$4:$C$32,3,FALSE()),0)</f>
        <v>0</v>
      </c>
      <c r="G502" s="102">
        <f>IFERROR(IF(D502="OSCURO",VLOOKUP(B502,PRECIOS!$A$4:$F$32,2,FALSE()),IF(D502="CLARO",VLOOKUP(B502,PRECIOS!$A$4:$F$32,3,FALSE()),IF(D502="MELANGE",VLOOKUP(B502,PRECIOS!$A$4:$F$32,4,FALSE()),IF(D502="PPT",VLOOKUP(B502,PRECIOS!$A$4:$F$32,5,FALSE()),0)))),0)</f>
        <v>0</v>
      </c>
      <c r="H502" s="103">
        <f t="shared" si="1"/>
        <v>0</v>
      </c>
      <c r="I502" s="104" t="str">
        <f>IF(E502&lt;0,"ERROR",IF(E502=0,"",IF(E502&lt;CONFIG!$B$4,"CRÍTICO",IF(E502&lt;CONFIG!$B$5,"BAJO","OK"))))</f>
        <v/>
      </c>
    </row>
    <row r="503" ht="15.75" customHeight="1">
      <c r="A503" s="90" t="str">
        <f>IF(CLIENTES!A7="","",CLIENTES!A7)</f>
        <v/>
      </c>
      <c r="B503" s="67" t="str">
        <f>TELAS!A7</f>
        <v>french terry 24/1</v>
      </c>
      <c r="C503" s="67" t="str">
        <f>COLORES!A23</f>
        <v/>
      </c>
      <c r="D503" s="67" t="str">
        <f>COLORES!B23</f>
        <v/>
      </c>
      <c r="E503" s="100">
        <f>IFERROR(SUMIFS(MOVIMIENTOS!$F$4:$F$1000,MOVIMIENTOS!$C$4:$C$1000,A503,MOVIMIENTOS!$D$4:$D$1000,B503,MOVIMIENTOS!$E$4:$E$1000,C503,MOVIMIENTOS!$B$4:$B$1000,"INGRESO")+SUMIFS(MOVIMIENTOS!$F$4:$F$1000,MOVIMIENTOS!$C$4:$C$1000,A503,MOVIMIENTOS!$D$4:$D$1000,B503,MOVIMIENTOS!$E$4:$E$1000,C503,MOVIMIENTOS!$B$4:$B$1000,"DE REPROCESO")+SUMIFS(MOVIMIENTOS!$F$4:$F$1000,MOVIMIENTOS!$C$4:$C$1000,A503,MOVIMIENTOS!$D$4:$D$1000,B503,MOVIMIENTOS!$E$4:$E$1000,C503,MOVIMIENTOS!$B$4:$B$1000,"AJUSTE+")-SUMIFS(MOVIMIENTOS!$F$4:$F$1000,MOVIMIENTOS!$C$4:$C$1000,A503,MOVIMIENTOS!$D$4:$D$1000,B503,MOVIMIENTOS!$E$4:$E$1000,C503,MOVIMIENTOS!$B$4:$B$1000,"A CORTE")-SUMIFS(MOVIMIENTOS!$F$4:$F$1000,MOVIMIENTOS!$C$4:$C$1000,A503,MOVIMIENTOS!$D$4:$D$1000,B503,MOVIMIENTOS!$E$4:$E$1000,C503,MOVIMIENTOS!$B$4:$B$1000,"A REPROCESO")-SUMIFS(MOVIMIENTOS!$F$4:$F$1000,MOVIMIENTOS!$C$4:$C$1000,A503,MOVIMIENTOS!$D$4:$D$1000,B503,MOVIMIENTOS!$E$4:$E$1000,C503,MOVIMIENTOS!$B$4:$B$1000,"MUESTRA")-SUMIFS(MOVIMIENTOS!$F$4:$F$1000,MOVIMIENTOS!$C$4:$C$1000,A503,MOVIMIENTOS!$D$4:$D$1000,B503,MOVIMIENTOS!$E$4:$E$1000,C503,MOVIMIENTOS!$B$4:$B$1000,"AJUSTE-"),0)</f>
        <v>0</v>
      </c>
      <c r="F503" s="101">
        <f>IFERROR(E503*VLOOKUP(B503,TELAS!$A$4:$C$32,3,FALSE()),0)</f>
        <v>0</v>
      </c>
      <c r="G503" s="102">
        <f>IFERROR(IF(D503="OSCURO",VLOOKUP(B503,PRECIOS!$A$4:$F$32,2,FALSE()),IF(D503="CLARO",VLOOKUP(B503,PRECIOS!$A$4:$F$32,3,FALSE()),IF(D503="MELANGE",VLOOKUP(B503,PRECIOS!$A$4:$F$32,4,FALSE()),IF(D503="PPT",VLOOKUP(B503,PRECIOS!$A$4:$F$32,5,FALSE()),0)))),0)</f>
        <v>0</v>
      </c>
      <c r="H503" s="103">
        <f t="shared" si="1"/>
        <v>0</v>
      </c>
      <c r="I503" s="104" t="str">
        <f>IF(E503&lt;0,"ERROR",IF(E503=0,"",IF(E503&lt;CONFIG!$B$4,"CRÍTICO",IF(E503&lt;CONFIG!$B$5,"BAJO","OK"))))</f>
        <v/>
      </c>
    </row>
    <row r="504" ht="15.75" customHeight="1">
      <c r="A504" s="90" t="str">
        <f>IF(CLIENTES!A7="","",CLIENTES!A7)</f>
        <v/>
      </c>
      <c r="B504" s="67" t="str">
        <f>TELAS!A8</f>
        <v>rib 1x1</v>
      </c>
      <c r="C504" s="67" t="str">
        <f>COLORES!A4</f>
        <v>Negro</v>
      </c>
      <c r="D504" s="67" t="str">
        <f>COLORES!B4</f>
        <v>OSCURO</v>
      </c>
      <c r="E504" s="100">
        <f>IFERROR(SUMIFS(MOVIMIENTOS!$F$4:$F$1000,MOVIMIENTOS!$C$4:$C$1000,A504,MOVIMIENTOS!$D$4:$D$1000,B504,MOVIMIENTOS!$E$4:$E$1000,C504,MOVIMIENTOS!$B$4:$B$1000,"INGRESO")+SUMIFS(MOVIMIENTOS!$F$4:$F$1000,MOVIMIENTOS!$C$4:$C$1000,A504,MOVIMIENTOS!$D$4:$D$1000,B504,MOVIMIENTOS!$E$4:$E$1000,C504,MOVIMIENTOS!$B$4:$B$1000,"DE REPROCESO")+SUMIFS(MOVIMIENTOS!$F$4:$F$1000,MOVIMIENTOS!$C$4:$C$1000,A504,MOVIMIENTOS!$D$4:$D$1000,B504,MOVIMIENTOS!$E$4:$E$1000,C504,MOVIMIENTOS!$B$4:$B$1000,"AJUSTE+")-SUMIFS(MOVIMIENTOS!$F$4:$F$1000,MOVIMIENTOS!$C$4:$C$1000,A504,MOVIMIENTOS!$D$4:$D$1000,B504,MOVIMIENTOS!$E$4:$E$1000,C504,MOVIMIENTOS!$B$4:$B$1000,"A CORTE")-SUMIFS(MOVIMIENTOS!$F$4:$F$1000,MOVIMIENTOS!$C$4:$C$1000,A504,MOVIMIENTOS!$D$4:$D$1000,B504,MOVIMIENTOS!$E$4:$E$1000,C504,MOVIMIENTOS!$B$4:$B$1000,"A REPROCESO")-SUMIFS(MOVIMIENTOS!$F$4:$F$1000,MOVIMIENTOS!$C$4:$C$1000,A504,MOVIMIENTOS!$D$4:$D$1000,B504,MOVIMIENTOS!$E$4:$E$1000,C504,MOVIMIENTOS!$B$4:$B$1000,"MUESTRA")-SUMIFS(MOVIMIENTOS!$F$4:$F$1000,MOVIMIENTOS!$C$4:$C$1000,A504,MOVIMIENTOS!$D$4:$D$1000,B504,MOVIMIENTOS!$E$4:$E$1000,C504,MOVIMIENTOS!$B$4:$B$1000,"AJUSTE-"),0)</f>
        <v>0</v>
      </c>
      <c r="F504" s="101">
        <f>IFERROR(E504*VLOOKUP(B504,TELAS!$A$4:$C$32,3,FALSE()),0)</f>
        <v>0</v>
      </c>
      <c r="G504" s="102">
        <f>IFERROR(IF(D504="OSCURO",VLOOKUP(B504,PRECIOS!$A$4:$F$32,2,FALSE()),IF(D504="CLARO",VLOOKUP(B504,PRECIOS!$A$4:$F$32,3,FALSE()),IF(D504="MELANGE",VLOOKUP(B504,PRECIOS!$A$4:$F$32,4,FALSE()),IF(D504="PPT",VLOOKUP(B504,PRECIOS!$A$4:$F$32,5,FALSE()),0)))),0)</f>
        <v>24</v>
      </c>
      <c r="H504" s="103">
        <f t="shared" si="1"/>
        <v>0</v>
      </c>
      <c r="I504" s="104" t="str">
        <f>IF(E504&lt;0,"ERROR",IF(E504=0,"",IF(E504&lt;CONFIG!$B$4,"CRÍTICO",IF(E504&lt;CONFIG!$B$5,"BAJO","OK"))))</f>
        <v/>
      </c>
    </row>
    <row r="505" ht="15.75" customHeight="1">
      <c r="A505" s="90" t="str">
        <f>IF(CLIENTES!A7="","",CLIENTES!A7)</f>
        <v/>
      </c>
      <c r="B505" s="67" t="str">
        <f>TELAS!A8</f>
        <v>rib 1x1</v>
      </c>
      <c r="C505" s="67" t="str">
        <f>COLORES!A5</f>
        <v>Perla</v>
      </c>
      <c r="D505" s="67" t="str">
        <f>COLORES!B5</f>
        <v>PPT</v>
      </c>
      <c r="E505" s="100">
        <f>IFERROR(SUMIFS(MOVIMIENTOS!$F$4:$F$1000,MOVIMIENTOS!$C$4:$C$1000,A505,MOVIMIENTOS!$D$4:$D$1000,B505,MOVIMIENTOS!$E$4:$E$1000,C505,MOVIMIENTOS!$B$4:$B$1000,"INGRESO")+SUMIFS(MOVIMIENTOS!$F$4:$F$1000,MOVIMIENTOS!$C$4:$C$1000,A505,MOVIMIENTOS!$D$4:$D$1000,B505,MOVIMIENTOS!$E$4:$E$1000,C505,MOVIMIENTOS!$B$4:$B$1000,"DE REPROCESO")+SUMIFS(MOVIMIENTOS!$F$4:$F$1000,MOVIMIENTOS!$C$4:$C$1000,A505,MOVIMIENTOS!$D$4:$D$1000,B505,MOVIMIENTOS!$E$4:$E$1000,C505,MOVIMIENTOS!$B$4:$B$1000,"AJUSTE+")-SUMIFS(MOVIMIENTOS!$F$4:$F$1000,MOVIMIENTOS!$C$4:$C$1000,A505,MOVIMIENTOS!$D$4:$D$1000,B505,MOVIMIENTOS!$E$4:$E$1000,C505,MOVIMIENTOS!$B$4:$B$1000,"A CORTE")-SUMIFS(MOVIMIENTOS!$F$4:$F$1000,MOVIMIENTOS!$C$4:$C$1000,A505,MOVIMIENTOS!$D$4:$D$1000,B505,MOVIMIENTOS!$E$4:$E$1000,C505,MOVIMIENTOS!$B$4:$B$1000,"A REPROCESO")-SUMIFS(MOVIMIENTOS!$F$4:$F$1000,MOVIMIENTOS!$C$4:$C$1000,A505,MOVIMIENTOS!$D$4:$D$1000,B505,MOVIMIENTOS!$E$4:$E$1000,C505,MOVIMIENTOS!$B$4:$B$1000,"MUESTRA")-SUMIFS(MOVIMIENTOS!$F$4:$F$1000,MOVIMIENTOS!$C$4:$C$1000,A505,MOVIMIENTOS!$D$4:$D$1000,B505,MOVIMIENTOS!$E$4:$E$1000,C505,MOVIMIENTOS!$B$4:$B$1000,"AJUSTE-"),0)</f>
        <v>0</v>
      </c>
      <c r="F505" s="101">
        <f>IFERROR(E505*VLOOKUP(B505,TELAS!$A$4:$C$32,3,FALSE()),0)</f>
        <v>0</v>
      </c>
      <c r="G505" s="102">
        <f>IFERROR(IF(D505="OSCURO",VLOOKUP(B505,PRECIOS!$A$4:$F$32,2,FALSE()),IF(D505="CLARO",VLOOKUP(B505,PRECIOS!$A$4:$F$32,3,FALSE()),IF(D505="MELANGE",VLOOKUP(B505,PRECIOS!$A$4:$F$32,4,FALSE()),IF(D505="PPT",VLOOKUP(B505,PRECIOS!$A$4:$F$32,5,FALSE()),0)))),0)</f>
        <v>18</v>
      </c>
      <c r="H505" s="103">
        <f t="shared" si="1"/>
        <v>0</v>
      </c>
      <c r="I505" s="104" t="str">
        <f>IF(E505&lt;0,"ERROR",IF(E505=0,"",IF(E505&lt;CONFIG!$B$4,"CRÍTICO",IF(E505&lt;CONFIG!$B$5,"BAJO","OK"))))</f>
        <v/>
      </c>
    </row>
    <row r="506" ht="15.75" customHeight="1">
      <c r="A506" s="90" t="str">
        <f>IF(CLIENTES!A7="","",CLIENTES!A7)</f>
        <v/>
      </c>
      <c r="B506" s="67" t="str">
        <f>TELAS!A8</f>
        <v>rib 1x1</v>
      </c>
      <c r="C506" s="67" t="str">
        <f>COLORES!A6</f>
        <v>Blanco</v>
      </c>
      <c r="D506" s="67" t="str">
        <f>COLORES!B6</f>
        <v>PPT</v>
      </c>
      <c r="E506" s="100">
        <f>IFERROR(SUMIFS(MOVIMIENTOS!$F$4:$F$1000,MOVIMIENTOS!$C$4:$C$1000,A506,MOVIMIENTOS!$D$4:$D$1000,B506,MOVIMIENTOS!$E$4:$E$1000,C506,MOVIMIENTOS!$B$4:$B$1000,"INGRESO")+SUMIFS(MOVIMIENTOS!$F$4:$F$1000,MOVIMIENTOS!$C$4:$C$1000,A506,MOVIMIENTOS!$D$4:$D$1000,B506,MOVIMIENTOS!$E$4:$E$1000,C506,MOVIMIENTOS!$B$4:$B$1000,"DE REPROCESO")+SUMIFS(MOVIMIENTOS!$F$4:$F$1000,MOVIMIENTOS!$C$4:$C$1000,A506,MOVIMIENTOS!$D$4:$D$1000,B506,MOVIMIENTOS!$E$4:$E$1000,C506,MOVIMIENTOS!$B$4:$B$1000,"AJUSTE+")-SUMIFS(MOVIMIENTOS!$F$4:$F$1000,MOVIMIENTOS!$C$4:$C$1000,A506,MOVIMIENTOS!$D$4:$D$1000,B506,MOVIMIENTOS!$E$4:$E$1000,C506,MOVIMIENTOS!$B$4:$B$1000,"A CORTE")-SUMIFS(MOVIMIENTOS!$F$4:$F$1000,MOVIMIENTOS!$C$4:$C$1000,A506,MOVIMIENTOS!$D$4:$D$1000,B506,MOVIMIENTOS!$E$4:$E$1000,C506,MOVIMIENTOS!$B$4:$B$1000,"A REPROCESO")-SUMIFS(MOVIMIENTOS!$F$4:$F$1000,MOVIMIENTOS!$C$4:$C$1000,A506,MOVIMIENTOS!$D$4:$D$1000,B506,MOVIMIENTOS!$E$4:$E$1000,C506,MOVIMIENTOS!$B$4:$B$1000,"MUESTRA")-SUMIFS(MOVIMIENTOS!$F$4:$F$1000,MOVIMIENTOS!$C$4:$C$1000,A506,MOVIMIENTOS!$D$4:$D$1000,B506,MOVIMIENTOS!$E$4:$E$1000,C506,MOVIMIENTOS!$B$4:$B$1000,"AJUSTE-"),0)</f>
        <v>0</v>
      </c>
      <c r="F506" s="101">
        <f>IFERROR(E506*VLOOKUP(B506,TELAS!$A$4:$C$32,3,FALSE()),0)</f>
        <v>0</v>
      </c>
      <c r="G506" s="102">
        <f>IFERROR(IF(D506="OSCURO",VLOOKUP(B506,PRECIOS!$A$4:$F$32,2,FALSE()),IF(D506="CLARO",VLOOKUP(B506,PRECIOS!$A$4:$F$32,3,FALSE()),IF(D506="MELANGE",VLOOKUP(B506,PRECIOS!$A$4:$F$32,4,FALSE()),IF(D506="PPT",VLOOKUP(B506,PRECIOS!$A$4:$F$32,5,FALSE()),0)))),0)</f>
        <v>18</v>
      </c>
      <c r="H506" s="103">
        <f t="shared" si="1"/>
        <v>0</v>
      </c>
      <c r="I506" s="104" t="str">
        <f>IF(E506&lt;0,"ERROR",IF(E506=0,"",IF(E506&lt;CONFIG!$B$4,"CRÍTICO",IF(E506&lt;CONFIG!$B$5,"BAJO","OK"))))</f>
        <v/>
      </c>
    </row>
    <row r="507" ht="15.75" customHeight="1">
      <c r="A507" s="90" t="str">
        <f>IF(CLIENTES!A7="","",CLIENTES!A7)</f>
        <v/>
      </c>
      <c r="B507" s="67" t="str">
        <f>TELAS!A8</f>
        <v>rib 1x1</v>
      </c>
      <c r="C507" s="67" t="str">
        <f>COLORES!A7</f>
        <v>Azul</v>
      </c>
      <c r="D507" s="67" t="str">
        <f>COLORES!B7</f>
        <v>OSCURO</v>
      </c>
      <c r="E507" s="100">
        <f>IFERROR(SUMIFS(MOVIMIENTOS!$F$4:$F$1000,MOVIMIENTOS!$C$4:$C$1000,A507,MOVIMIENTOS!$D$4:$D$1000,B507,MOVIMIENTOS!$E$4:$E$1000,C507,MOVIMIENTOS!$B$4:$B$1000,"INGRESO")+SUMIFS(MOVIMIENTOS!$F$4:$F$1000,MOVIMIENTOS!$C$4:$C$1000,A507,MOVIMIENTOS!$D$4:$D$1000,B507,MOVIMIENTOS!$E$4:$E$1000,C507,MOVIMIENTOS!$B$4:$B$1000,"DE REPROCESO")+SUMIFS(MOVIMIENTOS!$F$4:$F$1000,MOVIMIENTOS!$C$4:$C$1000,A507,MOVIMIENTOS!$D$4:$D$1000,B507,MOVIMIENTOS!$E$4:$E$1000,C507,MOVIMIENTOS!$B$4:$B$1000,"AJUSTE+")-SUMIFS(MOVIMIENTOS!$F$4:$F$1000,MOVIMIENTOS!$C$4:$C$1000,A507,MOVIMIENTOS!$D$4:$D$1000,B507,MOVIMIENTOS!$E$4:$E$1000,C507,MOVIMIENTOS!$B$4:$B$1000,"A CORTE")-SUMIFS(MOVIMIENTOS!$F$4:$F$1000,MOVIMIENTOS!$C$4:$C$1000,A507,MOVIMIENTOS!$D$4:$D$1000,B507,MOVIMIENTOS!$E$4:$E$1000,C507,MOVIMIENTOS!$B$4:$B$1000,"A REPROCESO")-SUMIFS(MOVIMIENTOS!$F$4:$F$1000,MOVIMIENTOS!$C$4:$C$1000,A507,MOVIMIENTOS!$D$4:$D$1000,B507,MOVIMIENTOS!$E$4:$E$1000,C507,MOVIMIENTOS!$B$4:$B$1000,"MUESTRA")-SUMIFS(MOVIMIENTOS!$F$4:$F$1000,MOVIMIENTOS!$C$4:$C$1000,A507,MOVIMIENTOS!$D$4:$D$1000,B507,MOVIMIENTOS!$E$4:$E$1000,C507,MOVIMIENTOS!$B$4:$B$1000,"AJUSTE-"),0)</f>
        <v>0</v>
      </c>
      <c r="F507" s="101">
        <f>IFERROR(E507*VLOOKUP(B507,TELAS!$A$4:$C$32,3,FALSE()),0)</f>
        <v>0</v>
      </c>
      <c r="G507" s="102">
        <f>IFERROR(IF(D507="OSCURO",VLOOKUP(B507,PRECIOS!$A$4:$F$32,2,FALSE()),IF(D507="CLARO",VLOOKUP(B507,PRECIOS!$A$4:$F$32,3,FALSE()),IF(D507="MELANGE",VLOOKUP(B507,PRECIOS!$A$4:$F$32,4,FALSE()),IF(D507="PPT",VLOOKUP(B507,PRECIOS!$A$4:$F$32,5,FALSE()),0)))),0)</f>
        <v>24</v>
      </c>
      <c r="H507" s="103">
        <f t="shared" si="1"/>
        <v>0</v>
      </c>
      <c r="I507" s="104" t="str">
        <f>IF(E507&lt;0,"ERROR",IF(E507=0,"",IF(E507&lt;CONFIG!$B$4,"CRÍTICO",IF(E507&lt;CONFIG!$B$5,"BAJO","OK"))))</f>
        <v/>
      </c>
    </row>
    <row r="508" ht="15.75" customHeight="1">
      <c r="A508" s="90" t="str">
        <f>IF(CLIENTES!A7="","",CLIENTES!A7)</f>
        <v/>
      </c>
      <c r="B508" s="67" t="str">
        <f>TELAS!A8</f>
        <v>rib 1x1</v>
      </c>
      <c r="C508" s="67" t="str">
        <f>COLORES!A8</f>
        <v>Beige</v>
      </c>
      <c r="D508" s="67" t="str">
        <f>COLORES!B8</f>
        <v>CLARO</v>
      </c>
      <c r="E508" s="100">
        <f>IFERROR(SUMIFS(MOVIMIENTOS!$F$4:$F$1000,MOVIMIENTOS!$C$4:$C$1000,A508,MOVIMIENTOS!$D$4:$D$1000,B508,MOVIMIENTOS!$E$4:$E$1000,C508,MOVIMIENTOS!$B$4:$B$1000,"INGRESO")+SUMIFS(MOVIMIENTOS!$F$4:$F$1000,MOVIMIENTOS!$C$4:$C$1000,A508,MOVIMIENTOS!$D$4:$D$1000,B508,MOVIMIENTOS!$E$4:$E$1000,C508,MOVIMIENTOS!$B$4:$B$1000,"DE REPROCESO")+SUMIFS(MOVIMIENTOS!$F$4:$F$1000,MOVIMIENTOS!$C$4:$C$1000,A508,MOVIMIENTOS!$D$4:$D$1000,B508,MOVIMIENTOS!$E$4:$E$1000,C508,MOVIMIENTOS!$B$4:$B$1000,"AJUSTE+")-SUMIFS(MOVIMIENTOS!$F$4:$F$1000,MOVIMIENTOS!$C$4:$C$1000,A508,MOVIMIENTOS!$D$4:$D$1000,B508,MOVIMIENTOS!$E$4:$E$1000,C508,MOVIMIENTOS!$B$4:$B$1000,"A CORTE")-SUMIFS(MOVIMIENTOS!$F$4:$F$1000,MOVIMIENTOS!$C$4:$C$1000,A508,MOVIMIENTOS!$D$4:$D$1000,B508,MOVIMIENTOS!$E$4:$E$1000,C508,MOVIMIENTOS!$B$4:$B$1000,"A REPROCESO")-SUMIFS(MOVIMIENTOS!$F$4:$F$1000,MOVIMIENTOS!$C$4:$C$1000,A508,MOVIMIENTOS!$D$4:$D$1000,B508,MOVIMIENTOS!$E$4:$E$1000,C508,MOVIMIENTOS!$B$4:$B$1000,"MUESTRA")-SUMIFS(MOVIMIENTOS!$F$4:$F$1000,MOVIMIENTOS!$C$4:$C$1000,A508,MOVIMIENTOS!$D$4:$D$1000,B508,MOVIMIENTOS!$E$4:$E$1000,C508,MOVIMIENTOS!$B$4:$B$1000,"AJUSTE-"),0)</f>
        <v>0</v>
      </c>
      <c r="F508" s="101">
        <f>IFERROR(E508*VLOOKUP(B508,TELAS!$A$4:$C$32,3,FALSE()),0)</f>
        <v>0</v>
      </c>
      <c r="G508" s="102">
        <f>IFERROR(IF(D508="OSCURO",VLOOKUP(B508,PRECIOS!$A$4:$F$32,2,FALSE()),IF(D508="CLARO",VLOOKUP(B508,PRECIOS!$A$4:$F$32,3,FALSE()),IF(D508="MELANGE",VLOOKUP(B508,PRECIOS!$A$4:$F$32,4,FALSE()),IF(D508="PPT",VLOOKUP(B508,PRECIOS!$A$4:$F$32,5,FALSE()),0)))),0)</f>
        <v>21</v>
      </c>
      <c r="H508" s="103">
        <f t="shared" si="1"/>
        <v>0</v>
      </c>
      <c r="I508" s="104" t="str">
        <f>IF(E508&lt;0,"ERROR",IF(E508=0,"",IF(E508&lt;CONFIG!$B$4,"CRÍTICO",IF(E508&lt;CONFIG!$B$5,"BAJO","OK"))))</f>
        <v/>
      </c>
    </row>
    <row r="509" ht="15.75" customHeight="1">
      <c r="A509" s="90" t="str">
        <f>IF(CLIENTES!A7="","",CLIENTES!A7)</f>
        <v/>
      </c>
      <c r="B509" s="67" t="str">
        <f>TELAS!A8</f>
        <v>rib 1x1</v>
      </c>
      <c r="C509" s="67" t="str">
        <f>COLORES!A9</f>
        <v>Melange</v>
      </c>
      <c r="D509" s="67" t="str">
        <f>COLORES!B9</f>
        <v>MELANGE</v>
      </c>
      <c r="E509" s="100">
        <f>IFERROR(SUMIFS(MOVIMIENTOS!$F$4:$F$1000,MOVIMIENTOS!$C$4:$C$1000,A509,MOVIMIENTOS!$D$4:$D$1000,B509,MOVIMIENTOS!$E$4:$E$1000,C509,MOVIMIENTOS!$B$4:$B$1000,"INGRESO")+SUMIFS(MOVIMIENTOS!$F$4:$F$1000,MOVIMIENTOS!$C$4:$C$1000,A509,MOVIMIENTOS!$D$4:$D$1000,B509,MOVIMIENTOS!$E$4:$E$1000,C509,MOVIMIENTOS!$B$4:$B$1000,"DE REPROCESO")+SUMIFS(MOVIMIENTOS!$F$4:$F$1000,MOVIMIENTOS!$C$4:$C$1000,A509,MOVIMIENTOS!$D$4:$D$1000,B509,MOVIMIENTOS!$E$4:$E$1000,C509,MOVIMIENTOS!$B$4:$B$1000,"AJUSTE+")-SUMIFS(MOVIMIENTOS!$F$4:$F$1000,MOVIMIENTOS!$C$4:$C$1000,A509,MOVIMIENTOS!$D$4:$D$1000,B509,MOVIMIENTOS!$E$4:$E$1000,C509,MOVIMIENTOS!$B$4:$B$1000,"A CORTE")-SUMIFS(MOVIMIENTOS!$F$4:$F$1000,MOVIMIENTOS!$C$4:$C$1000,A509,MOVIMIENTOS!$D$4:$D$1000,B509,MOVIMIENTOS!$E$4:$E$1000,C509,MOVIMIENTOS!$B$4:$B$1000,"A REPROCESO")-SUMIFS(MOVIMIENTOS!$F$4:$F$1000,MOVIMIENTOS!$C$4:$C$1000,A509,MOVIMIENTOS!$D$4:$D$1000,B509,MOVIMIENTOS!$E$4:$E$1000,C509,MOVIMIENTOS!$B$4:$B$1000,"MUESTRA")-SUMIFS(MOVIMIENTOS!$F$4:$F$1000,MOVIMIENTOS!$C$4:$C$1000,A509,MOVIMIENTOS!$D$4:$D$1000,B509,MOVIMIENTOS!$E$4:$E$1000,C509,MOVIMIENTOS!$B$4:$B$1000,"AJUSTE-"),0)</f>
        <v>0</v>
      </c>
      <c r="F509" s="101">
        <f>IFERROR(E509*VLOOKUP(B509,TELAS!$A$4:$C$32,3,FALSE()),0)</f>
        <v>0</v>
      </c>
      <c r="G509" s="102">
        <f>IFERROR(IF(D509="OSCURO",VLOOKUP(B509,PRECIOS!$A$4:$F$32,2,FALSE()),IF(D509="CLARO",VLOOKUP(B509,PRECIOS!$A$4:$F$32,3,FALSE()),IF(D509="MELANGE",VLOOKUP(B509,PRECIOS!$A$4:$F$32,4,FALSE()),IF(D509="PPT",VLOOKUP(B509,PRECIOS!$A$4:$F$32,5,FALSE()),0)))),0)</f>
        <v>18</v>
      </c>
      <c r="H509" s="103">
        <f t="shared" si="1"/>
        <v>0</v>
      </c>
      <c r="I509" s="104" t="str">
        <f>IF(E509&lt;0,"ERROR",IF(E509=0,"",IF(E509&lt;CONFIG!$B$4,"CRÍTICO",IF(E509&lt;CONFIG!$B$5,"BAJO","OK"))))</f>
        <v/>
      </c>
    </row>
    <row r="510" ht="15.75" customHeight="1">
      <c r="A510" s="90" t="str">
        <f>IF(CLIENTES!A7="","",CLIENTES!A7)</f>
        <v/>
      </c>
      <c r="B510" s="67" t="str">
        <f>TELAS!A8</f>
        <v>rib 1x1</v>
      </c>
      <c r="C510" s="67" t="str">
        <f>COLORES!A10</f>
        <v>Botella</v>
      </c>
      <c r="D510" s="67" t="str">
        <f>COLORES!B10</f>
        <v>OSCURO</v>
      </c>
      <c r="E510" s="100">
        <f>IFERROR(SUMIFS(MOVIMIENTOS!$F$4:$F$1000,MOVIMIENTOS!$C$4:$C$1000,A510,MOVIMIENTOS!$D$4:$D$1000,B510,MOVIMIENTOS!$E$4:$E$1000,C510,MOVIMIENTOS!$B$4:$B$1000,"INGRESO")+SUMIFS(MOVIMIENTOS!$F$4:$F$1000,MOVIMIENTOS!$C$4:$C$1000,A510,MOVIMIENTOS!$D$4:$D$1000,B510,MOVIMIENTOS!$E$4:$E$1000,C510,MOVIMIENTOS!$B$4:$B$1000,"DE REPROCESO")+SUMIFS(MOVIMIENTOS!$F$4:$F$1000,MOVIMIENTOS!$C$4:$C$1000,A510,MOVIMIENTOS!$D$4:$D$1000,B510,MOVIMIENTOS!$E$4:$E$1000,C510,MOVIMIENTOS!$B$4:$B$1000,"AJUSTE+")-SUMIFS(MOVIMIENTOS!$F$4:$F$1000,MOVIMIENTOS!$C$4:$C$1000,A510,MOVIMIENTOS!$D$4:$D$1000,B510,MOVIMIENTOS!$E$4:$E$1000,C510,MOVIMIENTOS!$B$4:$B$1000,"A CORTE")-SUMIFS(MOVIMIENTOS!$F$4:$F$1000,MOVIMIENTOS!$C$4:$C$1000,A510,MOVIMIENTOS!$D$4:$D$1000,B510,MOVIMIENTOS!$E$4:$E$1000,C510,MOVIMIENTOS!$B$4:$B$1000,"A REPROCESO")-SUMIFS(MOVIMIENTOS!$F$4:$F$1000,MOVIMIENTOS!$C$4:$C$1000,A510,MOVIMIENTOS!$D$4:$D$1000,B510,MOVIMIENTOS!$E$4:$E$1000,C510,MOVIMIENTOS!$B$4:$B$1000,"MUESTRA")-SUMIFS(MOVIMIENTOS!$F$4:$F$1000,MOVIMIENTOS!$C$4:$C$1000,A510,MOVIMIENTOS!$D$4:$D$1000,B510,MOVIMIENTOS!$E$4:$E$1000,C510,MOVIMIENTOS!$B$4:$B$1000,"AJUSTE-"),0)</f>
        <v>0</v>
      </c>
      <c r="F510" s="101">
        <f>IFERROR(E510*VLOOKUP(B510,TELAS!$A$4:$C$32,3,FALSE()),0)</f>
        <v>0</v>
      </c>
      <c r="G510" s="102">
        <f>IFERROR(IF(D510="OSCURO",VLOOKUP(B510,PRECIOS!$A$4:$F$32,2,FALSE()),IF(D510="CLARO",VLOOKUP(B510,PRECIOS!$A$4:$F$32,3,FALSE()),IF(D510="MELANGE",VLOOKUP(B510,PRECIOS!$A$4:$F$32,4,FALSE()),IF(D510="PPT",VLOOKUP(B510,PRECIOS!$A$4:$F$32,5,FALSE()),0)))),0)</f>
        <v>24</v>
      </c>
      <c r="H510" s="103">
        <f t="shared" si="1"/>
        <v>0</v>
      </c>
      <c r="I510" s="104" t="str">
        <f>IF(E510&lt;0,"ERROR",IF(E510=0,"",IF(E510&lt;CONFIG!$B$4,"CRÍTICO",IF(E510&lt;CONFIG!$B$5,"BAJO","OK"))))</f>
        <v/>
      </c>
    </row>
    <row r="511" ht="15.75" customHeight="1">
      <c r="A511" s="90" t="str">
        <f>IF(CLIENTES!A7="","",CLIENTES!A7)</f>
        <v/>
      </c>
      <c r="B511" s="67" t="str">
        <f>TELAS!A8</f>
        <v>rib 1x1</v>
      </c>
      <c r="C511" s="67" t="str">
        <f>COLORES!A11</f>
        <v>Pacay</v>
      </c>
      <c r="D511" s="67" t="str">
        <f>COLORES!B11</f>
        <v>CLARO</v>
      </c>
      <c r="E511" s="100">
        <f>IFERROR(SUMIFS(MOVIMIENTOS!$F$4:$F$1000,MOVIMIENTOS!$C$4:$C$1000,A511,MOVIMIENTOS!$D$4:$D$1000,B511,MOVIMIENTOS!$E$4:$E$1000,C511,MOVIMIENTOS!$B$4:$B$1000,"INGRESO")+SUMIFS(MOVIMIENTOS!$F$4:$F$1000,MOVIMIENTOS!$C$4:$C$1000,A511,MOVIMIENTOS!$D$4:$D$1000,B511,MOVIMIENTOS!$E$4:$E$1000,C511,MOVIMIENTOS!$B$4:$B$1000,"DE REPROCESO")+SUMIFS(MOVIMIENTOS!$F$4:$F$1000,MOVIMIENTOS!$C$4:$C$1000,A511,MOVIMIENTOS!$D$4:$D$1000,B511,MOVIMIENTOS!$E$4:$E$1000,C511,MOVIMIENTOS!$B$4:$B$1000,"AJUSTE+")-SUMIFS(MOVIMIENTOS!$F$4:$F$1000,MOVIMIENTOS!$C$4:$C$1000,A511,MOVIMIENTOS!$D$4:$D$1000,B511,MOVIMIENTOS!$E$4:$E$1000,C511,MOVIMIENTOS!$B$4:$B$1000,"A CORTE")-SUMIFS(MOVIMIENTOS!$F$4:$F$1000,MOVIMIENTOS!$C$4:$C$1000,A511,MOVIMIENTOS!$D$4:$D$1000,B511,MOVIMIENTOS!$E$4:$E$1000,C511,MOVIMIENTOS!$B$4:$B$1000,"A REPROCESO")-SUMIFS(MOVIMIENTOS!$F$4:$F$1000,MOVIMIENTOS!$C$4:$C$1000,A511,MOVIMIENTOS!$D$4:$D$1000,B511,MOVIMIENTOS!$E$4:$E$1000,C511,MOVIMIENTOS!$B$4:$B$1000,"MUESTRA")-SUMIFS(MOVIMIENTOS!$F$4:$F$1000,MOVIMIENTOS!$C$4:$C$1000,A511,MOVIMIENTOS!$D$4:$D$1000,B511,MOVIMIENTOS!$E$4:$E$1000,C511,MOVIMIENTOS!$B$4:$B$1000,"AJUSTE-"),0)</f>
        <v>0</v>
      </c>
      <c r="F511" s="101">
        <f>IFERROR(E511*VLOOKUP(B511,TELAS!$A$4:$C$32,3,FALSE()),0)</f>
        <v>0</v>
      </c>
      <c r="G511" s="102">
        <f>IFERROR(IF(D511="OSCURO",VLOOKUP(B511,PRECIOS!$A$4:$F$32,2,FALSE()),IF(D511="CLARO",VLOOKUP(B511,PRECIOS!$A$4:$F$32,3,FALSE()),IF(D511="MELANGE",VLOOKUP(B511,PRECIOS!$A$4:$F$32,4,FALSE()),IF(D511="PPT",VLOOKUP(B511,PRECIOS!$A$4:$F$32,5,FALSE()),0)))),0)</f>
        <v>21</v>
      </c>
      <c r="H511" s="103">
        <f t="shared" si="1"/>
        <v>0</v>
      </c>
      <c r="I511" s="104" t="str">
        <f>IF(E511&lt;0,"ERROR",IF(E511=0,"",IF(E511&lt;CONFIG!$B$4,"CRÍTICO",IF(E511&lt;CONFIG!$B$5,"BAJO","OK"))))</f>
        <v/>
      </c>
    </row>
    <row r="512" ht="15.75" customHeight="1">
      <c r="A512" s="90" t="str">
        <f>IF(CLIENTES!A7="","",CLIENTES!A7)</f>
        <v/>
      </c>
      <c r="B512" s="67" t="str">
        <f>TELAS!A8</f>
        <v>rib 1x1</v>
      </c>
      <c r="C512" s="67" t="str">
        <f>COLORES!A12</f>
        <v>Cemento</v>
      </c>
      <c r="D512" s="67" t="str">
        <f>COLORES!B12</f>
        <v>CLARO</v>
      </c>
      <c r="E512" s="100">
        <f>IFERROR(SUMIFS(MOVIMIENTOS!$F$4:$F$1000,MOVIMIENTOS!$C$4:$C$1000,A512,MOVIMIENTOS!$D$4:$D$1000,B512,MOVIMIENTOS!$E$4:$E$1000,C512,MOVIMIENTOS!$B$4:$B$1000,"INGRESO")+SUMIFS(MOVIMIENTOS!$F$4:$F$1000,MOVIMIENTOS!$C$4:$C$1000,A512,MOVIMIENTOS!$D$4:$D$1000,B512,MOVIMIENTOS!$E$4:$E$1000,C512,MOVIMIENTOS!$B$4:$B$1000,"DE REPROCESO")+SUMIFS(MOVIMIENTOS!$F$4:$F$1000,MOVIMIENTOS!$C$4:$C$1000,A512,MOVIMIENTOS!$D$4:$D$1000,B512,MOVIMIENTOS!$E$4:$E$1000,C512,MOVIMIENTOS!$B$4:$B$1000,"AJUSTE+")-SUMIFS(MOVIMIENTOS!$F$4:$F$1000,MOVIMIENTOS!$C$4:$C$1000,A512,MOVIMIENTOS!$D$4:$D$1000,B512,MOVIMIENTOS!$E$4:$E$1000,C512,MOVIMIENTOS!$B$4:$B$1000,"A CORTE")-SUMIFS(MOVIMIENTOS!$F$4:$F$1000,MOVIMIENTOS!$C$4:$C$1000,A512,MOVIMIENTOS!$D$4:$D$1000,B512,MOVIMIENTOS!$E$4:$E$1000,C512,MOVIMIENTOS!$B$4:$B$1000,"A REPROCESO")-SUMIFS(MOVIMIENTOS!$F$4:$F$1000,MOVIMIENTOS!$C$4:$C$1000,A512,MOVIMIENTOS!$D$4:$D$1000,B512,MOVIMIENTOS!$E$4:$E$1000,C512,MOVIMIENTOS!$B$4:$B$1000,"MUESTRA")-SUMIFS(MOVIMIENTOS!$F$4:$F$1000,MOVIMIENTOS!$C$4:$C$1000,A512,MOVIMIENTOS!$D$4:$D$1000,B512,MOVIMIENTOS!$E$4:$E$1000,C512,MOVIMIENTOS!$B$4:$B$1000,"AJUSTE-"),0)</f>
        <v>0</v>
      </c>
      <c r="F512" s="101">
        <f>IFERROR(E512*VLOOKUP(B512,TELAS!$A$4:$C$32,3,FALSE()),0)</f>
        <v>0</v>
      </c>
      <c r="G512" s="102">
        <f>IFERROR(IF(D512="OSCURO",VLOOKUP(B512,PRECIOS!$A$4:$F$32,2,FALSE()),IF(D512="CLARO",VLOOKUP(B512,PRECIOS!$A$4:$F$32,3,FALSE()),IF(D512="MELANGE",VLOOKUP(B512,PRECIOS!$A$4:$F$32,4,FALSE()),IF(D512="PPT",VLOOKUP(B512,PRECIOS!$A$4:$F$32,5,FALSE()),0)))),0)</f>
        <v>21</v>
      </c>
      <c r="H512" s="103">
        <f t="shared" si="1"/>
        <v>0</v>
      </c>
      <c r="I512" s="104" t="str">
        <f>IF(E512&lt;0,"ERROR",IF(E512=0,"",IF(E512&lt;CONFIG!$B$4,"CRÍTICO",IF(E512&lt;CONFIG!$B$5,"BAJO","OK"))))</f>
        <v/>
      </c>
    </row>
    <row r="513" ht="15.75" customHeight="1">
      <c r="A513" s="90" t="str">
        <f>IF(CLIENTES!A7="","",CLIENTES!A7)</f>
        <v/>
      </c>
      <c r="B513" s="67" t="str">
        <f>TELAS!A8</f>
        <v>rib 1x1</v>
      </c>
      <c r="C513" s="67" t="str">
        <f>COLORES!A13</f>
        <v>Camote</v>
      </c>
      <c r="D513" s="67" t="str">
        <f>COLORES!B13</f>
        <v>CLARO</v>
      </c>
      <c r="E513" s="100">
        <f>IFERROR(SUMIFS(MOVIMIENTOS!$F$4:$F$1000,MOVIMIENTOS!$C$4:$C$1000,A513,MOVIMIENTOS!$D$4:$D$1000,B513,MOVIMIENTOS!$E$4:$E$1000,C513,MOVIMIENTOS!$B$4:$B$1000,"INGRESO")+SUMIFS(MOVIMIENTOS!$F$4:$F$1000,MOVIMIENTOS!$C$4:$C$1000,A513,MOVIMIENTOS!$D$4:$D$1000,B513,MOVIMIENTOS!$E$4:$E$1000,C513,MOVIMIENTOS!$B$4:$B$1000,"DE REPROCESO")+SUMIFS(MOVIMIENTOS!$F$4:$F$1000,MOVIMIENTOS!$C$4:$C$1000,A513,MOVIMIENTOS!$D$4:$D$1000,B513,MOVIMIENTOS!$E$4:$E$1000,C513,MOVIMIENTOS!$B$4:$B$1000,"AJUSTE+")-SUMIFS(MOVIMIENTOS!$F$4:$F$1000,MOVIMIENTOS!$C$4:$C$1000,A513,MOVIMIENTOS!$D$4:$D$1000,B513,MOVIMIENTOS!$E$4:$E$1000,C513,MOVIMIENTOS!$B$4:$B$1000,"A CORTE")-SUMIFS(MOVIMIENTOS!$F$4:$F$1000,MOVIMIENTOS!$C$4:$C$1000,A513,MOVIMIENTOS!$D$4:$D$1000,B513,MOVIMIENTOS!$E$4:$E$1000,C513,MOVIMIENTOS!$B$4:$B$1000,"A REPROCESO")-SUMIFS(MOVIMIENTOS!$F$4:$F$1000,MOVIMIENTOS!$C$4:$C$1000,A513,MOVIMIENTOS!$D$4:$D$1000,B513,MOVIMIENTOS!$E$4:$E$1000,C513,MOVIMIENTOS!$B$4:$B$1000,"MUESTRA")-SUMIFS(MOVIMIENTOS!$F$4:$F$1000,MOVIMIENTOS!$C$4:$C$1000,A513,MOVIMIENTOS!$D$4:$D$1000,B513,MOVIMIENTOS!$E$4:$E$1000,C513,MOVIMIENTOS!$B$4:$B$1000,"AJUSTE-"),0)</f>
        <v>0</v>
      </c>
      <c r="F513" s="101">
        <f>IFERROR(E513*VLOOKUP(B513,TELAS!$A$4:$C$32,3,FALSE()),0)</f>
        <v>0</v>
      </c>
      <c r="G513" s="102">
        <f>IFERROR(IF(D513="OSCURO",VLOOKUP(B513,PRECIOS!$A$4:$F$32,2,FALSE()),IF(D513="CLARO",VLOOKUP(B513,PRECIOS!$A$4:$F$32,3,FALSE()),IF(D513="MELANGE",VLOOKUP(B513,PRECIOS!$A$4:$F$32,4,FALSE()),IF(D513="PPT",VLOOKUP(B513,PRECIOS!$A$4:$F$32,5,FALSE()),0)))),0)</f>
        <v>21</v>
      </c>
      <c r="H513" s="103">
        <f t="shared" si="1"/>
        <v>0</v>
      </c>
      <c r="I513" s="104" t="str">
        <f>IF(E513&lt;0,"ERROR",IF(E513=0,"",IF(E513&lt;CONFIG!$B$4,"CRÍTICO",IF(E513&lt;CONFIG!$B$5,"BAJO","OK"))))</f>
        <v/>
      </c>
    </row>
    <row r="514" ht="15.75" customHeight="1">
      <c r="A514" s="90" t="str">
        <f>IF(CLIENTES!A7="","",CLIENTES!A7)</f>
        <v/>
      </c>
      <c r="B514" s="67" t="str">
        <f>TELAS!A8</f>
        <v>rib 1x1</v>
      </c>
      <c r="C514" s="67" t="str">
        <f>COLORES!A14</f>
        <v>Denim</v>
      </c>
      <c r="D514" s="67" t="str">
        <f>COLORES!B14</f>
        <v>CLARO</v>
      </c>
      <c r="E514" s="100">
        <f>IFERROR(SUMIFS(MOVIMIENTOS!$F$4:$F$1000,MOVIMIENTOS!$C$4:$C$1000,A514,MOVIMIENTOS!$D$4:$D$1000,B514,MOVIMIENTOS!$E$4:$E$1000,C514,MOVIMIENTOS!$B$4:$B$1000,"INGRESO")+SUMIFS(MOVIMIENTOS!$F$4:$F$1000,MOVIMIENTOS!$C$4:$C$1000,A514,MOVIMIENTOS!$D$4:$D$1000,B514,MOVIMIENTOS!$E$4:$E$1000,C514,MOVIMIENTOS!$B$4:$B$1000,"DE REPROCESO")+SUMIFS(MOVIMIENTOS!$F$4:$F$1000,MOVIMIENTOS!$C$4:$C$1000,A514,MOVIMIENTOS!$D$4:$D$1000,B514,MOVIMIENTOS!$E$4:$E$1000,C514,MOVIMIENTOS!$B$4:$B$1000,"AJUSTE+")-SUMIFS(MOVIMIENTOS!$F$4:$F$1000,MOVIMIENTOS!$C$4:$C$1000,A514,MOVIMIENTOS!$D$4:$D$1000,B514,MOVIMIENTOS!$E$4:$E$1000,C514,MOVIMIENTOS!$B$4:$B$1000,"A CORTE")-SUMIFS(MOVIMIENTOS!$F$4:$F$1000,MOVIMIENTOS!$C$4:$C$1000,A514,MOVIMIENTOS!$D$4:$D$1000,B514,MOVIMIENTOS!$E$4:$E$1000,C514,MOVIMIENTOS!$B$4:$B$1000,"A REPROCESO")-SUMIFS(MOVIMIENTOS!$F$4:$F$1000,MOVIMIENTOS!$C$4:$C$1000,A514,MOVIMIENTOS!$D$4:$D$1000,B514,MOVIMIENTOS!$E$4:$E$1000,C514,MOVIMIENTOS!$B$4:$B$1000,"MUESTRA")-SUMIFS(MOVIMIENTOS!$F$4:$F$1000,MOVIMIENTOS!$C$4:$C$1000,A514,MOVIMIENTOS!$D$4:$D$1000,B514,MOVIMIENTOS!$E$4:$E$1000,C514,MOVIMIENTOS!$B$4:$B$1000,"AJUSTE-"),0)</f>
        <v>0</v>
      </c>
      <c r="F514" s="101">
        <f>IFERROR(E514*VLOOKUP(B514,TELAS!$A$4:$C$32,3,FALSE()),0)</f>
        <v>0</v>
      </c>
      <c r="G514" s="102">
        <f>IFERROR(IF(D514="OSCURO",VLOOKUP(B514,PRECIOS!$A$4:$F$32,2,FALSE()),IF(D514="CLARO",VLOOKUP(B514,PRECIOS!$A$4:$F$32,3,FALSE()),IF(D514="MELANGE",VLOOKUP(B514,PRECIOS!$A$4:$F$32,4,FALSE()),IF(D514="PPT",VLOOKUP(B514,PRECIOS!$A$4:$F$32,5,FALSE()),0)))),0)</f>
        <v>21</v>
      </c>
      <c r="H514" s="103">
        <f t="shared" si="1"/>
        <v>0</v>
      </c>
      <c r="I514" s="104" t="str">
        <f>IF(E514&lt;0,"ERROR",IF(E514=0,"",IF(E514&lt;CONFIG!$B$4,"CRÍTICO",IF(E514&lt;CONFIG!$B$5,"BAJO","OK"))))</f>
        <v/>
      </c>
    </row>
    <row r="515" ht="15.75" customHeight="1">
      <c r="A515" s="90" t="str">
        <f>IF(CLIENTES!A7="","",CLIENTES!A7)</f>
        <v/>
      </c>
      <c r="B515" s="67" t="str">
        <f>TELAS!A8</f>
        <v>rib 1x1</v>
      </c>
      <c r="C515" s="67" t="str">
        <f>COLORES!A15</f>
        <v>Plomo</v>
      </c>
      <c r="D515" s="67" t="str">
        <f>COLORES!B15</f>
        <v>OSCURO</v>
      </c>
      <c r="E515" s="100">
        <f>IFERROR(SUMIFS(MOVIMIENTOS!$F$4:$F$1000,MOVIMIENTOS!$C$4:$C$1000,A515,MOVIMIENTOS!$D$4:$D$1000,B515,MOVIMIENTOS!$E$4:$E$1000,C515,MOVIMIENTOS!$B$4:$B$1000,"INGRESO")+SUMIFS(MOVIMIENTOS!$F$4:$F$1000,MOVIMIENTOS!$C$4:$C$1000,A515,MOVIMIENTOS!$D$4:$D$1000,B515,MOVIMIENTOS!$E$4:$E$1000,C515,MOVIMIENTOS!$B$4:$B$1000,"DE REPROCESO")+SUMIFS(MOVIMIENTOS!$F$4:$F$1000,MOVIMIENTOS!$C$4:$C$1000,A515,MOVIMIENTOS!$D$4:$D$1000,B515,MOVIMIENTOS!$E$4:$E$1000,C515,MOVIMIENTOS!$B$4:$B$1000,"AJUSTE+")-SUMIFS(MOVIMIENTOS!$F$4:$F$1000,MOVIMIENTOS!$C$4:$C$1000,A515,MOVIMIENTOS!$D$4:$D$1000,B515,MOVIMIENTOS!$E$4:$E$1000,C515,MOVIMIENTOS!$B$4:$B$1000,"A CORTE")-SUMIFS(MOVIMIENTOS!$F$4:$F$1000,MOVIMIENTOS!$C$4:$C$1000,A515,MOVIMIENTOS!$D$4:$D$1000,B515,MOVIMIENTOS!$E$4:$E$1000,C515,MOVIMIENTOS!$B$4:$B$1000,"A REPROCESO")-SUMIFS(MOVIMIENTOS!$F$4:$F$1000,MOVIMIENTOS!$C$4:$C$1000,A515,MOVIMIENTOS!$D$4:$D$1000,B515,MOVIMIENTOS!$E$4:$E$1000,C515,MOVIMIENTOS!$B$4:$B$1000,"MUESTRA")-SUMIFS(MOVIMIENTOS!$F$4:$F$1000,MOVIMIENTOS!$C$4:$C$1000,A515,MOVIMIENTOS!$D$4:$D$1000,B515,MOVIMIENTOS!$E$4:$E$1000,C515,MOVIMIENTOS!$B$4:$B$1000,"AJUSTE-"),0)</f>
        <v>0</v>
      </c>
      <c r="F515" s="101">
        <f>IFERROR(E515*VLOOKUP(B515,TELAS!$A$4:$C$32,3,FALSE()),0)</f>
        <v>0</v>
      </c>
      <c r="G515" s="102">
        <f>IFERROR(IF(D515="OSCURO",VLOOKUP(B515,PRECIOS!$A$4:$F$32,2,FALSE()),IF(D515="CLARO",VLOOKUP(B515,PRECIOS!$A$4:$F$32,3,FALSE()),IF(D515="MELANGE",VLOOKUP(B515,PRECIOS!$A$4:$F$32,4,FALSE()),IF(D515="PPT",VLOOKUP(B515,PRECIOS!$A$4:$F$32,5,FALSE()),0)))),0)</f>
        <v>24</v>
      </c>
      <c r="H515" s="103">
        <f t="shared" si="1"/>
        <v>0</v>
      </c>
      <c r="I515" s="104" t="str">
        <f>IF(E515&lt;0,"ERROR",IF(E515=0,"",IF(E515&lt;CONFIG!$B$4,"CRÍTICO",IF(E515&lt;CONFIG!$B$5,"BAJO","OK"))))</f>
        <v/>
      </c>
    </row>
    <row r="516" ht="15.75" customHeight="1">
      <c r="A516" s="90" t="str">
        <f>IF(CLIENTES!A7="","",CLIENTES!A7)</f>
        <v/>
      </c>
      <c r="B516" s="67" t="str">
        <f>TELAS!A8</f>
        <v>rib 1x1</v>
      </c>
      <c r="C516" s="67" t="str">
        <f>COLORES!A16</f>
        <v>Topo</v>
      </c>
      <c r="D516" s="67" t="str">
        <f>COLORES!B16</f>
        <v>CLARO</v>
      </c>
      <c r="E516" s="100">
        <f>IFERROR(SUMIFS(MOVIMIENTOS!$F$4:$F$1000,MOVIMIENTOS!$C$4:$C$1000,A516,MOVIMIENTOS!$D$4:$D$1000,B516,MOVIMIENTOS!$E$4:$E$1000,C516,MOVIMIENTOS!$B$4:$B$1000,"INGRESO")+SUMIFS(MOVIMIENTOS!$F$4:$F$1000,MOVIMIENTOS!$C$4:$C$1000,A516,MOVIMIENTOS!$D$4:$D$1000,B516,MOVIMIENTOS!$E$4:$E$1000,C516,MOVIMIENTOS!$B$4:$B$1000,"DE REPROCESO")+SUMIFS(MOVIMIENTOS!$F$4:$F$1000,MOVIMIENTOS!$C$4:$C$1000,A516,MOVIMIENTOS!$D$4:$D$1000,B516,MOVIMIENTOS!$E$4:$E$1000,C516,MOVIMIENTOS!$B$4:$B$1000,"AJUSTE+")-SUMIFS(MOVIMIENTOS!$F$4:$F$1000,MOVIMIENTOS!$C$4:$C$1000,A516,MOVIMIENTOS!$D$4:$D$1000,B516,MOVIMIENTOS!$E$4:$E$1000,C516,MOVIMIENTOS!$B$4:$B$1000,"A CORTE")-SUMIFS(MOVIMIENTOS!$F$4:$F$1000,MOVIMIENTOS!$C$4:$C$1000,A516,MOVIMIENTOS!$D$4:$D$1000,B516,MOVIMIENTOS!$E$4:$E$1000,C516,MOVIMIENTOS!$B$4:$B$1000,"A REPROCESO")-SUMIFS(MOVIMIENTOS!$F$4:$F$1000,MOVIMIENTOS!$C$4:$C$1000,A516,MOVIMIENTOS!$D$4:$D$1000,B516,MOVIMIENTOS!$E$4:$E$1000,C516,MOVIMIENTOS!$B$4:$B$1000,"MUESTRA")-SUMIFS(MOVIMIENTOS!$F$4:$F$1000,MOVIMIENTOS!$C$4:$C$1000,A516,MOVIMIENTOS!$D$4:$D$1000,B516,MOVIMIENTOS!$E$4:$E$1000,C516,MOVIMIENTOS!$B$4:$B$1000,"AJUSTE-"),0)</f>
        <v>0</v>
      </c>
      <c r="F516" s="101">
        <f>IFERROR(E516*VLOOKUP(B516,TELAS!$A$4:$C$32,3,FALSE()),0)</f>
        <v>0</v>
      </c>
      <c r="G516" s="102">
        <f>IFERROR(IF(D516="OSCURO",VLOOKUP(B516,PRECIOS!$A$4:$F$32,2,FALSE()),IF(D516="CLARO",VLOOKUP(B516,PRECIOS!$A$4:$F$32,3,FALSE()),IF(D516="MELANGE",VLOOKUP(B516,PRECIOS!$A$4:$F$32,4,FALSE()),IF(D516="PPT",VLOOKUP(B516,PRECIOS!$A$4:$F$32,5,FALSE()),0)))),0)</f>
        <v>21</v>
      </c>
      <c r="H516" s="103">
        <f t="shared" si="1"/>
        <v>0</v>
      </c>
      <c r="I516" s="104" t="str">
        <f>IF(E516&lt;0,"ERROR",IF(E516=0,"",IF(E516&lt;CONFIG!$B$4,"CRÍTICO",IF(E516&lt;CONFIG!$B$5,"BAJO","OK"))))</f>
        <v/>
      </c>
    </row>
    <row r="517" ht="15.75" customHeight="1">
      <c r="A517" s="90" t="str">
        <f>IF(CLIENTES!A7="","",CLIENTES!A7)</f>
        <v/>
      </c>
      <c r="B517" s="67" t="str">
        <f>TELAS!A8</f>
        <v>rib 1x1</v>
      </c>
      <c r="C517" s="67" t="str">
        <f>COLORES!A17</f>
        <v>Vino</v>
      </c>
      <c r="D517" s="67" t="str">
        <f>COLORES!B17</f>
        <v>OSCURO</v>
      </c>
      <c r="E517" s="100">
        <f>IFERROR(SUMIFS(MOVIMIENTOS!$F$4:$F$1000,MOVIMIENTOS!$C$4:$C$1000,A517,MOVIMIENTOS!$D$4:$D$1000,B517,MOVIMIENTOS!$E$4:$E$1000,C517,MOVIMIENTOS!$B$4:$B$1000,"INGRESO")+SUMIFS(MOVIMIENTOS!$F$4:$F$1000,MOVIMIENTOS!$C$4:$C$1000,A517,MOVIMIENTOS!$D$4:$D$1000,B517,MOVIMIENTOS!$E$4:$E$1000,C517,MOVIMIENTOS!$B$4:$B$1000,"DE REPROCESO")+SUMIFS(MOVIMIENTOS!$F$4:$F$1000,MOVIMIENTOS!$C$4:$C$1000,A517,MOVIMIENTOS!$D$4:$D$1000,B517,MOVIMIENTOS!$E$4:$E$1000,C517,MOVIMIENTOS!$B$4:$B$1000,"AJUSTE+")-SUMIFS(MOVIMIENTOS!$F$4:$F$1000,MOVIMIENTOS!$C$4:$C$1000,A517,MOVIMIENTOS!$D$4:$D$1000,B517,MOVIMIENTOS!$E$4:$E$1000,C517,MOVIMIENTOS!$B$4:$B$1000,"A CORTE")-SUMIFS(MOVIMIENTOS!$F$4:$F$1000,MOVIMIENTOS!$C$4:$C$1000,A517,MOVIMIENTOS!$D$4:$D$1000,B517,MOVIMIENTOS!$E$4:$E$1000,C517,MOVIMIENTOS!$B$4:$B$1000,"A REPROCESO")-SUMIFS(MOVIMIENTOS!$F$4:$F$1000,MOVIMIENTOS!$C$4:$C$1000,A517,MOVIMIENTOS!$D$4:$D$1000,B517,MOVIMIENTOS!$E$4:$E$1000,C517,MOVIMIENTOS!$B$4:$B$1000,"MUESTRA")-SUMIFS(MOVIMIENTOS!$F$4:$F$1000,MOVIMIENTOS!$C$4:$C$1000,A517,MOVIMIENTOS!$D$4:$D$1000,B517,MOVIMIENTOS!$E$4:$E$1000,C517,MOVIMIENTOS!$B$4:$B$1000,"AJUSTE-"),0)</f>
        <v>0</v>
      </c>
      <c r="F517" s="101">
        <f>IFERROR(E517*VLOOKUP(B517,TELAS!$A$4:$C$32,3,FALSE()),0)</f>
        <v>0</v>
      </c>
      <c r="G517" s="102">
        <f>IFERROR(IF(D517="OSCURO",VLOOKUP(B517,PRECIOS!$A$4:$F$32,2,FALSE()),IF(D517="CLARO",VLOOKUP(B517,PRECIOS!$A$4:$F$32,3,FALSE()),IF(D517="MELANGE",VLOOKUP(B517,PRECIOS!$A$4:$F$32,4,FALSE()),IF(D517="PPT",VLOOKUP(B517,PRECIOS!$A$4:$F$32,5,FALSE()),0)))),0)</f>
        <v>24</v>
      </c>
      <c r="H517" s="103">
        <f t="shared" si="1"/>
        <v>0</v>
      </c>
      <c r="I517" s="104" t="str">
        <f>IF(E517&lt;0,"ERROR",IF(E517=0,"",IF(E517&lt;CONFIG!$B$4,"CRÍTICO",IF(E517&lt;CONFIG!$B$5,"BAJO","OK"))))</f>
        <v/>
      </c>
    </row>
    <row r="518" ht="15.75" customHeight="1">
      <c r="A518" s="90" t="str">
        <f>IF(CLIENTES!A7="","",CLIENTES!A7)</f>
        <v/>
      </c>
      <c r="B518" s="67" t="str">
        <f>TELAS!A8</f>
        <v>rib 1x1</v>
      </c>
      <c r="C518" s="67" t="str">
        <f>COLORES!A18</f>
        <v>P. Rosa</v>
      </c>
      <c r="D518" s="67" t="str">
        <f>COLORES!B18</f>
        <v>CLARO</v>
      </c>
      <c r="E518" s="100">
        <f>IFERROR(SUMIFS(MOVIMIENTOS!$F$4:$F$1000,MOVIMIENTOS!$C$4:$C$1000,A518,MOVIMIENTOS!$D$4:$D$1000,B518,MOVIMIENTOS!$E$4:$E$1000,C518,MOVIMIENTOS!$B$4:$B$1000,"INGRESO")+SUMIFS(MOVIMIENTOS!$F$4:$F$1000,MOVIMIENTOS!$C$4:$C$1000,A518,MOVIMIENTOS!$D$4:$D$1000,B518,MOVIMIENTOS!$E$4:$E$1000,C518,MOVIMIENTOS!$B$4:$B$1000,"DE REPROCESO")+SUMIFS(MOVIMIENTOS!$F$4:$F$1000,MOVIMIENTOS!$C$4:$C$1000,A518,MOVIMIENTOS!$D$4:$D$1000,B518,MOVIMIENTOS!$E$4:$E$1000,C518,MOVIMIENTOS!$B$4:$B$1000,"AJUSTE+")-SUMIFS(MOVIMIENTOS!$F$4:$F$1000,MOVIMIENTOS!$C$4:$C$1000,A518,MOVIMIENTOS!$D$4:$D$1000,B518,MOVIMIENTOS!$E$4:$E$1000,C518,MOVIMIENTOS!$B$4:$B$1000,"A CORTE")-SUMIFS(MOVIMIENTOS!$F$4:$F$1000,MOVIMIENTOS!$C$4:$C$1000,A518,MOVIMIENTOS!$D$4:$D$1000,B518,MOVIMIENTOS!$E$4:$E$1000,C518,MOVIMIENTOS!$B$4:$B$1000,"A REPROCESO")-SUMIFS(MOVIMIENTOS!$F$4:$F$1000,MOVIMIENTOS!$C$4:$C$1000,A518,MOVIMIENTOS!$D$4:$D$1000,B518,MOVIMIENTOS!$E$4:$E$1000,C518,MOVIMIENTOS!$B$4:$B$1000,"MUESTRA")-SUMIFS(MOVIMIENTOS!$F$4:$F$1000,MOVIMIENTOS!$C$4:$C$1000,A518,MOVIMIENTOS!$D$4:$D$1000,B518,MOVIMIENTOS!$E$4:$E$1000,C518,MOVIMIENTOS!$B$4:$B$1000,"AJUSTE-"),0)</f>
        <v>0</v>
      </c>
      <c r="F518" s="101">
        <f>IFERROR(E518*VLOOKUP(B518,TELAS!$A$4:$C$32,3,FALSE()),0)</f>
        <v>0</v>
      </c>
      <c r="G518" s="102">
        <f>IFERROR(IF(D518="OSCURO",VLOOKUP(B518,PRECIOS!$A$4:$F$32,2,FALSE()),IF(D518="CLARO",VLOOKUP(B518,PRECIOS!$A$4:$F$32,3,FALSE()),IF(D518="MELANGE",VLOOKUP(B518,PRECIOS!$A$4:$F$32,4,FALSE()),IF(D518="PPT",VLOOKUP(B518,PRECIOS!$A$4:$F$32,5,FALSE()),0)))),0)</f>
        <v>21</v>
      </c>
      <c r="H518" s="103">
        <f t="shared" si="1"/>
        <v>0</v>
      </c>
      <c r="I518" s="104" t="str">
        <f>IF(E518&lt;0,"ERROR",IF(E518=0,"",IF(E518&lt;CONFIG!$B$4,"CRÍTICO",IF(E518&lt;CONFIG!$B$5,"BAJO","OK"))))</f>
        <v/>
      </c>
    </row>
    <row r="519" ht="15.75" customHeight="1">
      <c r="A519" s="90" t="str">
        <f>IF(CLIENTES!A7="","",CLIENTES!A7)</f>
        <v/>
      </c>
      <c r="B519" s="67" t="str">
        <f>TELAS!A8</f>
        <v>rib 1x1</v>
      </c>
      <c r="C519" s="67" t="str">
        <f>COLORES!A19</f>
        <v/>
      </c>
      <c r="D519" s="67" t="str">
        <f>COLORES!B19</f>
        <v/>
      </c>
      <c r="E519" s="100">
        <f>IFERROR(SUMIFS(MOVIMIENTOS!$F$4:$F$1000,MOVIMIENTOS!$C$4:$C$1000,A519,MOVIMIENTOS!$D$4:$D$1000,B519,MOVIMIENTOS!$E$4:$E$1000,C519,MOVIMIENTOS!$B$4:$B$1000,"INGRESO")+SUMIFS(MOVIMIENTOS!$F$4:$F$1000,MOVIMIENTOS!$C$4:$C$1000,A519,MOVIMIENTOS!$D$4:$D$1000,B519,MOVIMIENTOS!$E$4:$E$1000,C519,MOVIMIENTOS!$B$4:$B$1000,"DE REPROCESO")+SUMIFS(MOVIMIENTOS!$F$4:$F$1000,MOVIMIENTOS!$C$4:$C$1000,A519,MOVIMIENTOS!$D$4:$D$1000,B519,MOVIMIENTOS!$E$4:$E$1000,C519,MOVIMIENTOS!$B$4:$B$1000,"AJUSTE+")-SUMIFS(MOVIMIENTOS!$F$4:$F$1000,MOVIMIENTOS!$C$4:$C$1000,A519,MOVIMIENTOS!$D$4:$D$1000,B519,MOVIMIENTOS!$E$4:$E$1000,C519,MOVIMIENTOS!$B$4:$B$1000,"A CORTE")-SUMIFS(MOVIMIENTOS!$F$4:$F$1000,MOVIMIENTOS!$C$4:$C$1000,A519,MOVIMIENTOS!$D$4:$D$1000,B519,MOVIMIENTOS!$E$4:$E$1000,C519,MOVIMIENTOS!$B$4:$B$1000,"A REPROCESO")-SUMIFS(MOVIMIENTOS!$F$4:$F$1000,MOVIMIENTOS!$C$4:$C$1000,A519,MOVIMIENTOS!$D$4:$D$1000,B519,MOVIMIENTOS!$E$4:$E$1000,C519,MOVIMIENTOS!$B$4:$B$1000,"MUESTRA")-SUMIFS(MOVIMIENTOS!$F$4:$F$1000,MOVIMIENTOS!$C$4:$C$1000,A519,MOVIMIENTOS!$D$4:$D$1000,B519,MOVIMIENTOS!$E$4:$E$1000,C519,MOVIMIENTOS!$B$4:$B$1000,"AJUSTE-"),0)</f>
        <v>0</v>
      </c>
      <c r="F519" s="101">
        <f>IFERROR(E519*VLOOKUP(B519,TELAS!$A$4:$C$32,3,FALSE()),0)</f>
        <v>0</v>
      </c>
      <c r="G519" s="102">
        <f>IFERROR(IF(D519="OSCURO",VLOOKUP(B519,PRECIOS!$A$4:$F$32,2,FALSE()),IF(D519="CLARO",VLOOKUP(B519,PRECIOS!$A$4:$F$32,3,FALSE()),IF(D519="MELANGE",VLOOKUP(B519,PRECIOS!$A$4:$F$32,4,FALSE()),IF(D519="PPT",VLOOKUP(B519,PRECIOS!$A$4:$F$32,5,FALSE()),0)))),0)</f>
        <v>0</v>
      </c>
      <c r="H519" s="103">
        <f t="shared" si="1"/>
        <v>0</v>
      </c>
      <c r="I519" s="104" t="str">
        <f>IF(E519&lt;0,"ERROR",IF(E519=0,"",IF(E519&lt;CONFIG!$B$4,"CRÍTICO",IF(E519&lt;CONFIG!$B$5,"BAJO","OK"))))</f>
        <v/>
      </c>
    </row>
    <row r="520" ht="15.75" customHeight="1">
      <c r="A520" s="90" t="str">
        <f>IF(CLIENTES!A7="","",CLIENTES!A7)</f>
        <v/>
      </c>
      <c r="B520" s="67" t="str">
        <f>TELAS!A8</f>
        <v>rib 1x1</v>
      </c>
      <c r="C520" s="67" t="str">
        <f>COLORES!A20</f>
        <v/>
      </c>
      <c r="D520" s="67" t="str">
        <f>COLORES!B20</f>
        <v/>
      </c>
      <c r="E520" s="100">
        <f>IFERROR(SUMIFS(MOVIMIENTOS!$F$4:$F$1000,MOVIMIENTOS!$C$4:$C$1000,A520,MOVIMIENTOS!$D$4:$D$1000,B520,MOVIMIENTOS!$E$4:$E$1000,C520,MOVIMIENTOS!$B$4:$B$1000,"INGRESO")+SUMIFS(MOVIMIENTOS!$F$4:$F$1000,MOVIMIENTOS!$C$4:$C$1000,A520,MOVIMIENTOS!$D$4:$D$1000,B520,MOVIMIENTOS!$E$4:$E$1000,C520,MOVIMIENTOS!$B$4:$B$1000,"DE REPROCESO")+SUMIFS(MOVIMIENTOS!$F$4:$F$1000,MOVIMIENTOS!$C$4:$C$1000,A520,MOVIMIENTOS!$D$4:$D$1000,B520,MOVIMIENTOS!$E$4:$E$1000,C520,MOVIMIENTOS!$B$4:$B$1000,"AJUSTE+")-SUMIFS(MOVIMIENTOS!$F$4:$F$1000,MOVIMIENTOS!$C$4:$C$1000,A520,MOVIMIENTOS!$D$4:$D$1000,B520,MOVIMIENTOS!$E$4:$E$1000,C520,MOVIMIENTOS!$B$4:$B$1000,"A CORTE")-SUMIFS(MOVIMIENTOS!$F$4:$F$1000,MOVIMIENTOS!$C$4:$C$1000,A520,MOVIMIENTOS!$D$4:$D$1000,B520,MOVIMIENTOS!$E$4:$E$1000,C520,MOVIMIENTOS!$B$4:$B$1000,"A REPROCESO")-SUMIFS(MOVIMIENTOS!$F$4:$F$1000,MOVIMIENTOS!$C$4:$C$1000,A520,MOVIMIENTOS!$D$4:$D$1000,B520,MOVIMIENTOS!$E$4:$E$1000,C520,MOVIMIENTOS!$B$4:$B$1000,"MUESTRA")-SUMIFS(MOVIMIENTOS!$F$4:$F$1000,MOVIMIENTOS!$C$4:$C$1000,A520,MOVIMIENTOS!$D$4:$D$1000,B520,MOVIMIENTOS!$E$4:$E$1000,C520,MOVIMIENTOS!$B$4:$B$1000,"AJUSTE-"),0)</f>
        <v>0</v>
      </c>
      <c r="F520" s="101">
        <f>IFERROR(E520*VLOOKUP(B520,TELAS!$A$4:$C$32,3,FALSE()),0)</f>
        <v>0</v>
      </c>
      <c r="G520" s="102">
        <f>IFERROR(IF(D520="OSCURO",VLOOKUP(B520,PRECIOS!$A$4:$F$32,2,FALSE()),IF(D520="CLARO",VLOOKUP(B520,PRECIOS!$A$4:$F$32,3,FALSE()),IF(D520="MELANGE",VLOOKUP(B520,PRECIOS!$A$4:$F$32,4,FALSE()),IF(D520="PPT",VLOOKUP(B520,PRECIOS!$A$4:$F$32,5,FALSE()),0)))),0)</f>
        <v>0</v>
      </c>
      <c r="H520" s="103">
        <f t="shared" si="1"/>
        <v>0</v>
      </c>
      <c r="I520" s="104" t="str">
        <f>IF(E520&lt;0,"ERROR",IF(E520=0,"",IF(E520&lt;CONFIG!$B$4,"CRÍTICO",IF(E520&lt;CONFIG!$B$5,"BAJO","OK"))))</f>
        <v/>
      </c>
    </row>
    <row r="521" ht="15.75" customHeight="1">
      <c r="A521" s="90" t="str">
        <f>IF(CLIENTES!A7="","",CLIENTES!A7)</f>
        <v/>
      </c>
      <c r="B521" s="67" t="str">
        <f>TELAS!A8</f>
        <v>rib 1x1</v>
      </c>
      <c r="C521" s="67" t="str">
        <f>COLORES!A21</f>
        <v/>
      </c>
      <c r="D521" s="67" t="str">
        <f>COLORES!B21</f>
        <v/>
      </c>
      <c r="E521" s="100">
        <f>IFERROR(SUMIFS(MOVIMIENTOS!$F$4:$F$1000,MOVIMIENTOS!$C$4:$C$1000,A521,MOVIMIENTOS!$D$4:$D$1000,B521,MOVIMIENTOS!$E$4:$E$1000,C521,MOVIMIENTOS!$B$4:$B$1000,"INGRESO")+SUMIFS(MOVIMIENTOS!$F$4:$F$1000,MOVIMIENTOS!$C$4:$C$1000,A521,MOVIMIENTOS!$D$4:$D$1000,B521,MOVIMIENTOS!$E$4:$E$1000,C521,MOVIMIENTOS!$B$4:$B$1000,"DE REPROCESO")+SUMIFS(MOVIMIENTOS!$F$4:$F$1000,MOVIMIENTOS!$C$4:$C$1000,A521,MOVIMIENTOS!$D$4:$D$1000,B521,MOVIMIENTOS!$E$4:$E$1000,C521,MOVIMIENTOS!$B$4:$B$1000,"AJUSTE+")-SUMIFS(MOVIMIENTOS!$F$4:$F$1000,MOVIMIENTOS!$C$4:$C$1000,A521,MOVIMIENTOS!$D$4:$D$1000,B521,MOVIMIENTOS!$E$4:$E$1000,C521,MOVIMIENTOS!$B$4:$B$1000,"A CORTE")-SUMIFS(MOVIMIENTOS!$F$4:$F$1000,MOVIMIENTOS!$C$4:$C$1000,A521,MOVIMIENTOS!$D$4:$D$1000,B521,MOVIMIENTOS!$E$4:$E$1000,C521,MOVIMIENTOS!$B$4:$B$1000,"A REPROCESO")-SUMIFS(MOVIMIENTOS!$F$4:$F$1000,MOVIMIENTOS!$C$4:$C$1000,A521,MOVIMIENTOS!$D$4:$D$1000,B521,MOVIMIENTOS!$E$4:$E$1000,C521,MOVIMIENTOS!$B$4:$B$1000,"MUESTRA")-SUMIFS(MOVIMIENTOS!$F$4:$F$1000,MOVIMIENTOS!$C$4:$C$1000,A521,MOVIMIENTOS!$D$4:$D$1000,B521,MOVIMIENTOS!$E$4:$E$1000,C521,MOVIMIENTOS!$B$4:$B$1000,"AJUSTE-"),0)</f>
        <v>0</v>
      </c>
      <c r="F521" s="101">
        <f>IFERROR(E521*VLOOKUP(B521,TELAS!$A$4:$C$32,3,FALSE()),0)</f>
        <v>0</v>
      </c>
      <c r="G521" s="102">
        <f>IFERROR(IF(D521="OSCURO",VLOOKUP(B521,PRECIOS!$A$4:$F$32,2,FALSE()),IF(D521="CLARO",VLOOKUP(B521,PRECIOS!$A$4:$F$32,3,FALSE()),IF(D521="MELANGE",VLOOKUP(B521,PRECIOS!$A$4:$F$32,4,FALSE()),IF(D521="PPT",VLOOKUP(B521,PRECIOS!$A$4:$F$32,5,FALSE()),0)))),0)</f>
        <v>0</v>
      </c>
      <c r="H521" s="103">
        <f t="shared" si="1"/>
        <v>0</v>
      </c>
      <c r="I521" s="104" t="str">
        <f>IF(E521&lt;0,"ERROR",IF(E521=0,"",IF(E521&lt;CONFIG!$B$4,"CRÍTICO",IF(E521&lt;CONFIG!$B$5,"BAJO","OK"))))</f>
        <v/>
      </c>
    </row>
    <row r="522" ht="15.75" customHeight="1">
      <c r="A522" s="90" t="str">
        <f>IF(CLIENTES!A7="","",CLIENTES!A7)</f>
        <v/>
      </c>
      <c r="B522" s="67" t="str">
        <f>TELAS!A8</f>
        <v>rib 1x1</v>
      </c>
      <c r="C522" s="67" t="str">
        <f>COLORES!A22</f>
        <v/>
      </c>
      <c r="D522" s="67" t="str">
        <f>COLORES!B22</f>
        <v/>
      </c>
      <c r="E522" s="100">
        <f>IFERROR(SUMIFS(MOVIMIENTOS!$F$4:$F$1000,MOVIMIENTOS!$C$4:$C$1000,A522,MOVIMIENTOS!$D$4:$D$1000,B522,MOVIMIENTOS!$E$4:$E$1000,C522,MOVIMIENTOS!$B$4:$B$1000,"INGRESO")+SUMIFS(MOVIMIENTOS!$F$4:$F$1000,MOVIMIENTOS!$C$4:$C$1000,A522,MOVIMIENTOS!$D$4:$D$1000,B522,MOVIMIENTOS!$E$4:$E$1000,C522,MOVIMIENTOS!$B$4:$B$1000,"DE REPROCESO")+SUMIFS(MOVIMIENTOS!$F$4:$F$1000,MOVIMIENTOS!$C$4:$C$1000,A522,MOVIMIENTOS!$D$4:$D$1000,B522,MOVIMIENTOS!$E$4:$E$1000,C522,MOVIMIENTOS!$B$4:$B$1000,"AJUSTE+")-SUMIFS(MOVIMIENTOS!$F$4:$F$1000,MOVIMIENTOS!$C$4:$C$1000,A522,MOVIMIENTOS!$D$4:$D$1000,B522,MOVIMIENTOS!$E$4:$E$1000,C522,MOVIMIENTOS!$B$4:$B$1000,"A CORTE")-SUMIFS(MOVIMIENTOS!$F$4:$F$1000,MOVIMIENTOS!$C$4:$C$1000,A522,MOVIMIENTOS!$D$4:$D$1000,B522,MOVIMIENTOS!$E$4:$E$1000,C522,MOVIMIENTOS!$B$4:$B$1000,"A REPROCESO")-SUMIFS(MOVIMIENTOS!$F$4:$F$1000,MOVIMIENTOS!$C$4:$C$1000,A522,MOVIMIENTOS!$D$4:$D$1000,B522,MOVIMIENTOS!$E$4:$E$1000,C522,MOVIMIENTOS!$B$4:$B$1000,"MUESTRA")-SUMIFS(MOVIMIENTOS!$F$4:$F$1000,MOVIMIENTOS!$C$4:$C$1000,A522,MOVIMIENTOS!$D$4:$D$1000,B522,MOVIMIENTOS!$E$4:$E$1000,C522,MOVIMIENTOS!$B$4:$B$1000,"AJUSTE-"),0)</f>
        <v>0</v>
      </c>
      <c r="F522" s="101">
        <f>IFERROR(E522*VLOOKUP(B522,TELAS!$A$4:$C$32,3,FALSE()),0)</f>
        <v>0</v>
      </c>
      <c r="G522" s="102">
        <f>IFERROR(IF(D522="OSCURO",VLOOKUP(B522,PRECIOS!$A$4:$F$32,2,FALSE()),IF(D522="CLARO",VLOOKUP(B522,PRECIOS!$A$4:$F$32,3,FALSE()),IF(D522="MELANGE",VLOOKUP(B522,PRECIOS!$A$4:$F$32,4,FALSE()),IF(D522="PPT",VLOOKUP(B522,PRECIOS!$A$4:$F$32,5,FALSE()),0)))),0)</f>
        <v>0</v>
      </c>
      <c r="H522" s="103">
        <f t="shared" si="1"/>
        <v>0</v>
      </c>
      <c r="I522" s="104" t="str">
        <f>IF(E522&lt;0,"ERROR",IF(E522=0,"",IF(E522&lt;CONFIG!$B$4,"CRÍTICO",IF(E522&lt;CONFIG!$B$5,"BAJO","OK"))))</f>
        <v/>
      </c>
    </row>
    <row r="523" ht="15.75" customHeight="1">
      <c r="A523" s="90" t="str">
        <f>IF(CLIENTES!A7="","",CLIENTES!A7)</f>
        <v/>
      </c>
      <c r="B523" s="67" t="str">
        <f>TELAS!A8</f>
        <v>rib 1x1</v>
      </c>
      <c r="C523" s="67" t="str">
        <f>COLORES!A23</f>
        <v/>
      </c>
      <c r="D523" s="67" t="str">
        <f>COLORES!B23</f>
        <v/>
      </c>
      <c r="E523" s="100">
        <f>IFERROR(SUMIFS(MOVIMIENTOS!$F$4:$F$1000,MOVIMIENTOS!$C$4:$C$1000,A523,MOVIMIENTOS!$D$4:$D$1000,B523,MOVIMIENTOS!$E$4:$E$1000,C523,MOVIMIENTOS!$B$4:$B$1000,"INGRESO")+SUMIFS(MOVIMIENTOS!$F$4:$F$1000,MOVIMIENTOS!$C$4:$C$1000,A523,MOVIMIENTOS!$D$4:$D$1000,B523,MOVIMIENTOS!$E$4:$E$1000,C523,MOVIMIENTOS!$B$4:$B$1000,"DE REPROCESO")+SUMIFS(MOVIMIENTOS!$F$4:$F$1000,MOVIMIENTOS!$C$4:$C$1000,A523,MOVIMIENTOS!$D$4:$D$1000,B523,MOVIMIENTOS!$E$4:$E$1000,C523,MOVIMIENTOS!$B$4:$B$1000,"AJUSTE+")-SUMIFS(MOVIMIENTOS!$F$4:$F$1000,MOVIMIENTOS!$C$4:$C$1000,A523,MOVIMIENTOS!$D$4:$D$1000,B523,MOVIMIENTOS!$E$4:$E$1000,C523,MOVIMIENTOS!$B$4:$B$1000,"A CORTE")-SUMIFS(MOVIMIENTOS!$F$4:$F$1000,MOVIMIENTOS!$C$4:$C$1000,A523,MOVIMIENTOS!$D$4:$D$1000,B523,MOVIMIENTOS!$E$4:$E$1000,C523,MOVIMIENTOS!$B$4:$B$1000,"A REPROCESO")-SUMIFS(MOVIMIENTOS!$F$4:$F$1000,MOVIMIENTOS!$C$4:$C$1000,A523,MOVIMIENTOS!$D$4:$D$1000,B523,MOVIMIENTOS!$E$4:$E$1000,C523,MOVIMIENTOS!$B$4:$B$1000,"MUESTRA")-SUMIFS(MOVIMIENTOS!$F$4:$F$1000,MOVIMIENTOS!$C$4:$C$1000,A523,MOVIMIENTOS!$D$4:$D$1000,B523,MOVIMIENTOS!$E$4:$E$1000,C523,MOVIMIENTOS!$B$4:$B$1000,"AJUSTE-"),0)</f>
        <v>0</v>
      </c>
      <c r="F523" s="101">
        <f>IFERROR(E523*VLOOKUP(B523,TELAS!$A$4:$C$32,3,FALSE()),0)</f>
        <v>0</v>
      </c>
      <c r="G523" s="102">
        <f>IFERROR(IF(D523="OSCURO",VLOOKUP(B523,PRECIOS!$A$4:$F$32,2,FALSE()),IF(D523="CLARO",VLOOKUP(B523,PRECIOS!$A$4:$F$32,3,FALSE()),IF(D523="MELANGE",VLOOKUP(B523,PRECIOS!$A$4:$F$32,4,FALSE()),IF(D523="PPT",VLOOKUP(B523,PRECIOS!$A$4:$F$32,5,FALSE()),0)))),0)</f>
        <v>0</v>
      </c>
      <c r="H523" s="103">
        <f t="shared" si="1"/>
        <v>0</v>
      </c>
      <c r="I523" s="104" t="str">
        <f>IF(E523&lt;0,"ERROR",IF(E523=0,"",IF(E523&lt;CONFIG!$B$4,"CRÍTICO",IF(E523&lt;CONFIG!$B$5,"BAJO","OK"))))</f>
        <v/>
      </c>
    </row>
    <row r="524" ht="15.75" customHeight="1">
      <c r="A524" s="90" t="str">
        <f>IF(CLIENTES!A7="","",CLIENTES!A7)</f>
        <v/>
      </c>
      <c r="B524" s="67" t="str">
        <f>TELAS!A9</f>
        <v>rib 2x1 lycrado</v>
      </c>
      <c r="C524" s="67" t="str">
        <f>COLORES!A4</f>
        <v>Negro</v>
      </c>
      <c r="D524" s="67" t="str">
        <f>COLORES!B4</f>
        <v>OSCURO</v>
      </c>
      <c r="E524" s="100">
        <f>IFERROR(SUMIFS(MOVIMIENTOS!$F$4:$F$1000,MOVIMIENTOS!$C$4:$C$1000,A524,MOVIMIENTOS!$D$4:$D$1000,B524,MOVIMIENTOS!$E$4:$E$1000,C524,MOVIMIENTOS!$B$4:$B$1000,"INGRESO")+SUMIFS(MOVIMIENTOS!$F$4:$F$1000,MOVIMIENTOS!$C$4:$C$1000,A524,MOVIMIENTOS!$D$4:$D$1000,B524,MOVIMIENTOS!$E$4:$E$1000,C524,MOVIMIENTOS!$B$4:$B$1000,"DE REPROCESO")+SUMIFS(MOVIMIENTOS!$F$4:$F$1000,MOVIMIENTOS!$C$4:$C$1000,A524,MOVIMIENTOS!$D$4:$D$1000,B524,MOVIMIENTOS!$E$4:$E$1000,C524,MOVIMIENTOS!$B$4:$B$1000,"AJUSTE+")-SUMIFS(MOVIMIENTOS!$F$4:$F$1000,MOVIMIENTOS!$C$4:$C$1000,A524,MOVIMIENTOS!$D$4:$D$1000,B524,MOVIMIENTOS!$E$4:$E$1000,C524,MOVIMIENTOS!$B$4:$B$1000,"A CORTE")-SUMIFS(MOVIMIENTOS!$F$4:$F$1000,MOVIMIENTOS!$C$4:$C$1000,A524,MOVIMIENTOS!$D$4:$D$1000,B524,MOVIMIENTOS!$E$4:$E$1000,C524,MOVIMIENTOS!$B$4:$B$1000,"A REPROCESO")-SUMIFS(MOVIMIENTOS!$F$4:$F$1000,MOVIMIENTOS!$C$4:$C$1000,A524,MOVIMIENTOS!$D$4:$D$1000,B524,MOVIMIENTOS!$E$4:$E$1000,C524,MOVIMIENTOS!$B$4:$B$1000,"MUESTRA")-SUMIFS(MOVIMIENTOS!$F$4:$F$1000,MOVIMIENTOS!$C$4:$C$1000,A524,MOVIMIENTOS!$D$4:$D$1000,B524,MOVIMIENTOS!$E$4:$E$1000,C524,MOVIMIENTOS!$B$4:$B$1000,"AJUSTE-"),0)</f>
        <v>0</v>
      </c>
      <c r="F524" s="101">
        <f>IFERROR(E524*VLOOKUP(B524,TELAS!$A$4:$C$32,3,FALSE()),0)</f>
        <v>0</v>
      </c>
      <c r="G524" s="102">
        <f>IFERROR(IF(D524="OSCURO",VLOOKUP(B524,PRECIOS!$A$4:$F$32,2,FALSE()),IF(D524="CLARO",VLOOKUP(B524,PRECIOS!$A$4:$F$32,3,FALSE()),IF(D524="MELANGE",VLOOKUP(B524,PRECIOS!$A$4:$F$32,4,FALSE()),IF(D524="PPT",VLOOKUP(B524,PRECIOS!$A$4:$F$32,5,FALSE()),0)))),0)</f>
        <v>24</v>
      </c>
      <c r="H524" s="103">
        <f t="shared" si="1"/>
        <v>0</v>
      </c>
      <c r="I524" s="104" t="str">
        <f>IF(E524&lt;0,"ERROR",IF(E524=0,"",IF(E524&lt;CONFIG!$B$4,"CRÍTICO",IF(E524&lt;CONFIG!$B$5,"BAJO","OK"))))</f>
        <v/>
      </c>
    </row>
    <row r="525" ht="15.75" customHeight="1">
      <c r="A525" s="90" t="str">
        <f>IF(CLIENTES!A7="","",CLIENTES!A7)</f>
        <v/>
      </c>
      <c r="B525" s="67" t="str">
        <f>TELAS!A9</f>
        <v>rib 2x1 lycrado</v>
      </c>
      <c r="C525" s="67" t="str">
        <f>COLORES!A5</f>
        <v>Perla</v>
      </c>
      <c r="D525" s="67" t="str">
        <f>COLORES!B5</f>
        <v>PPT</v>
      </c>
      <c r="E525" s="100">
        <f>IFERROR(SUMIFS(MOVIMIENTOS!$F$4:$F$1000,MOVIMIENTOS!$C$4:$C$1000,A525,MOVIMIENTOS!$D$4:$D$1000,B525,MOVIMIENTOS!$E$4:$E$1000,C525,MOVIMIENTOS!$B$4:$B$1000,"INGRESO")+SUMIFS(MOVIMIENTOS!$F$4:$F$1000,MOVIMIENTOS!$C$4:$C$1000,A525,MOVIMIENTOS!$D$4:$D$1000,B525,MOVIMIENTOS!$E$4:$E$1000,C525,MOVIMIENTOS!$B$4:$B$1000,"DE REPROCESO")+SUMIFS(MOVIMIENTOS!$F$4:$F$1000,MOVIMIENTOS!$C$4:$C$1000,A525,MOVIMIENTOS!$D$4:$D$1000,B525,MOVIMIENTOS!$E$4:$E$1000,C525,MOVIMIENTOS!$B$4:$B$1000,"AJUSTE+")-SUMIFS(MOVIMIENTOS!$F$4:$F$1000,MOVIMIENTOS!$C$4:$C$1000,A525,MOVIMIENTOS!$D$4:$D$1000,B525,MOVIMIENTOS!$E$4:$E$1000,C525,MOVIMIENTOS!$B$4:$B$1000,"A CORTE")-SUMIFS(MOVIMIENTOS!$F$4:$F$1000,MOVIMIENTOS!$C$4:$C$1000,A525,MOVIMIENTOS!$D$4:$D$1000,B525,MOVIMIENTOS!$E$4:$E$1000,C525,MOVIMIENTOS!$B$4:$B$1000,"A REPROCESO")-SUMIFS(MOVIMIENTOS!$F$4:$F$1000,MOVIMIENTOS!$C$4:$C$1000,A525,MOVIMIENTOS!$D$4:$D$1000,B525,MOVIMIENTOS!$E$4:$E$1000,C525,MOVIMIENTOS!$B$4:$B$1000,"MUESTRA")-SUMIFS(MOVIMIENTOS!$F$4:$F$1000,MOVIMIENTOS!$C$4:$C$1000,A525,MOVIMIENTOS!$D$4:$D$1000,B525,MOVIMIENTOS!$E$4:$E$1000,C525,MOVIMIENTOS!$B$4:$B$1000,"AJUSTE-"),0)</f>
        <v>0</v>
      </c>
      <c r="F525" s="101">
        <f>IFERROR(E525*VLOOKUP(B525,TELAS!$A$4:$C$32,3,FALSE()),0)</f>
        <v>0</v>
      </c>
      <c r="G525" s="102">
        <f>IFERROR(IF(D525="OSCURO",VLOOKUP(B525,PRECIOS!$A$4:$F$32,2,FALSE()),IF(D525="CLARO",VLOOKUP(B525,PRECIOS!$A$4:$F$32,3,FALSE()),IF(D525="MELANGE",VLOOKUP(B525,PRECIOS!$A$4:$F$32,4,FALSE()),IF(D525="PPT",VLOOKUP(B525,PRECIOS!$A$4:$F$32,5,FALSE()),0)))),0)</f>
        <v>18</v>
      </c>
      <c r="H525" s="103">
        <f t="shared" si="1"/>
        <v>0</v>
      </c>
      <c r="I525" s="104" t="str">
        <f>IF(E525&lt;0,"ERROR",IF(E525=0,"",IF(E525&lt;CONFIG!$B$4,"CRÍTICO",IF(E525&lt;CONFIG!$B$5,"BAJO","OK"))))</f>
        <v/>
      </c>
    </row>
    <row r="526" ht="15.75" customHeight="1">
      <c r="A526" s="90" t="str">
        <f>IF(CLIENTES!A7="","",CLIENTES!A7)</f>
        <v/>
      </c>
      <c r="B526" s="67" t="str">
        <f>TELAS!A9</f>
        <v>rib 2x1 lycrado</v>
      </c>
      <c r="C526" s="67" t="str">
        <f>COLORES!A6</f>
        <v>Blanco</v>
      </c>
      <c r="D526" s="67" t="str">
        <f>COLORES!B6</f>
        <v>PPT</v>
      </c>
      <c r="E526" s="100">
        <f>IFERROR(SUMIFS(MOVIMIENTOS!$F$4:$F$1000,MOVIMIENTOS!$C$4:$C$1000,A526,MOVIMIENTOS!$D$4:$D$1000,B526,MOVIMIENTOS!$E$4:$E$1000,C526,MOVIMIENTOS!$B$4:$B$1000,"INGRESO")+SUMIFS(MOVIMIENTOS!$F$4:$F$1000,MOVIMIENTOS!$C$4:$C$1000,A526,MOVIMIENTOS!$D$4:$D$1000,B526,MOVIMIENTOS!$E$4:$E$1000,C526,MOVIMIENTOS!$B$4:$B$1000,"DE REPROCESO")+SUMIFS(MOVIMIENTOS!$F$4:$F$1000,MOVIMIENTOS!$C$4:$C$1000,A526,MOVIMIENTOS!$D$4:$D$1000,B526,MOVIMIENTOS!$E$4:$E$1000,C526,MOVIMIENTOS!$B$4:$B$1000,"AJUSTE+")-SUMIFS(MOVIMIENTOS!$F$4:$F$1000,MOVIMIENTOS!$C$4:$C$1000,A526,MOVIMIENTOS!$D$4:$D$1000,B526,MOVIMIENTOS!$E$4:$E$1000,C526,MOVIMIENTOS!$B$4:$B$1000,"A CORTE")-SUMIFS(MOVIMIENTOS!$F$4:$F$1000,MOVIMIENTOS!$C$4:$C$1000,A526,MOVIMIENTOS!$D$4:$D$1000,B526,MOVIMIENTOS!$E$4:$E$1000,C526,MOVIMIENTOS!$B$4:$B$1000,"A REPROCESO")-SUMIFS(MOVIMIENTOS!$F$4:$F$1000,MOVIMIENTOS!$C$4:$C$1000,A526,MOVIMIENTOS!$D$4:$D$1000,B526,MOVIMIENTOS!$E$4:$E$1000,C526,MOVIMIENTOS!$B$4:$B$1000,"MUESTRA")-SUMIFS(MOVIMIENTOS!$F$4:$F$1000,MOVIMIENTOS!$C$4:$C$1000,A526,MOVIMIENTOS!$D$4:$D$1000,B526,MOVIMIENTOS!$E$4:$E$1000,C526,MOVIMIENTOS!$B$4:$B$1000,"AJUSTE-"),0)</f>
        <v>0</v>
      </c>
      <c r="F526" s="101">
        <f>IFERROR(E526*VLOOKUP(B526,TELAS!$A$4:$C$32,3,FALSE()),0)</f>
        <v>0</v>
      </c>
      <c r="G526" s="102">
        <f>IFERROR(IF(D526="OSCURO",VLOOKUP(B526,PRECIOS!$A$4:$F$32,2,FALSE()),IF(D526="CLARO",VLOOKUP(B526,PRECIOS!$A$4:$F$32,3,FALSE()),IF(D526="MELANGE",VLOOKUP(B526,PRECIOS!$A$4:$F$32,4,FALSE()),IF(D526="PPT",VLOOKUP(B526,PRECIOS!$A$4:$F$32,5,FALSE()),0)))),0)</f>
        <v>18</v>
      </c>
      <c r="H526" s="103">
        <f t="shared" si="1"/>
        <v>0</v>
      </c>
      <c r="I526" s="104" t="str">
        <f>IF(E526&lt;0,"ERROR",IF(E526=0,"",IF(E526&lt;CONFIG!$B$4,"CRÍTICO",IF(E526&lt;CONFIG!$B$5,"BAJO","OK"))))</f>
        <v/>
      </c>
    </row>
    <row r="527" ht="15.75" customHeight="1">
      <c r="A527" s="90" t="str">
        <f>IF(CLIENTES!A7="","",CLIENTES!A7)</f>
        <v/>
      </c>
      <c r="B527" s="67" t="str">
        <f>TELAS!A9</f>
        <v>rib 2x1 lycrado</v>
      </c>
      <c r="C527" s="67" t="str">
        <f>COLORES!A7</f>
        <v>Azul</v>
      </c>
      <c r="D527" s="67" t="str">
        <f>COLORES!B7</f>
        <v>OSCURO</v>
      </c>
      <c r="E527" s="100">
        <f>IFERROR(SUMIFS(MOVIMIENTOS!$F$4:$F$1000,MOVIMIENTOS!$C$4:$C$1000,A527,MOVIMIENTOS!$D$4:$D$1000,B527,MOVIMIENTOS!$E$4:$E$1000,C527,MOVIMIENTOS!$B$4:$B$1000,"INGRESO")+SUMIFS(MOVIMIENTOS!$F$4:$F$1000,MOVIMIENTOS!$C$4:$C$1000,A527,MOVIMIENTOS!$D$4:$D$1000,B527,MOVIMIENTOS!$E$4:$E$1000,C527,MOVIMIENTOS!$B$4:$B$1000,"DE REPROCESO")+SUMIFS(MOVIMIENTOS!$F$4:$F$1000,MOVIMIENTOS!$C$4:$C$1000,A527,MOVIMIENTOS!$D$4:$D$1000,B527,MOVIMIENTOS!$E$4:$E$1000,C527,MOVIMIENTOS!$B$4:$B$1000,"AJUSTE+")-SUMIFS(MOVIMIENTOS!$F$4:$F$1000,MOVIMIENTOS!$C$4:$C$1000,A527,MOVIMIENTOS!$D$4:$D$1000,B527,MOVIMIENTOS!$E$4:$E$1000,C527,MOVIMIENTOS!$B$4:$B$1000,"A CORTE")-SUMIFS(MOVIMIENTOS!$F$4:$F$1000,MOVIMIENTOS!$C$4:$C$1000,A527,MOVIMIENTOS!$D$4:$D$1000,B527,MOVIMIENTOS!$E$4:$E$1000,C527,MOVIMIENTOS!$B$4:$B$1000,"A REPROCESO")-SUMIFS(MOVIMIENTOS!$F$4:$F$1000,MOVIMIENTOS!$C$4:$C$1000,A527,MOVIMIENTOS!$D$4:$D$1000,B527,MOVIMIENTOS!$E$4:$E$1000,C527,MOVIMIENTOS!$B$4:$B$1000,"MUESTRA")-SUMIFS(MOVIMIENTOS!$F$4:$F$1000,MOVIMIENTOS!$C$4:$C$1000,A527,MOVIMIENTOS!$D$4:$D$1000,B527,MOVIMIENTOS!$E$4:$E$1000,C527,MOVIMIENTOS!$B$4:$B$1000,"AJUSTE-"),0)</f>
        <v>0</v>
      </c>
      <c r="F527" s="101">
        <f>IFERROR(E527*VLOOKUP(B527,TELAS!$A$4:$C$32,3,FALSE()),0)</f>
        <v>0</v>
      </c>
      <c r="G527" s="102">
        <f>IFERROR(IF(D527="OSCURO",VLOOKUP(B527,PRECIOS!$A$4:$F$32,2,FALSE()),IF(D527="CLARO",VLOOKUP(B527,PRECIOS!$A$4:$F$32,3,FALSE()),IF(D527="MELANGE",VLOOKUP(B527,PRECIOS!$A$4:$F$32,4,FALSE()),IF(D527="PPT",VLOOKUP(B527,PRECIOS!$A$4:$F$32,5,FALSE()),0)))),0)</f>
        <v>24</v>
      </c>
      <c r="H527" s="103">
        <f t="shared" si="1"/>
        <v>0</v>
      </c>
      <c r="I527" s="104" t="str">
        <f>IF(E527&lt;0,"ERROR",IF(E527=0,"",IF(E527&lt;CONFIG!$B$4,"CRÍTICO",IF(E527&lt;CONFIG!$B$5,"BAJO","OK"))))</f>
        <v/>
      </c>
    </row>
    <row r="528" ht="15.75" customHeight="1">
      <c r="A528" s="90" t="str">
        <f>IF(CLIENTES!A7="","",CLIENTES!A7)</f>
        <v/>
      </c>
      <c r="B528" s="67" t="str">
        <f>TELAS!A9</f>
        <v>rib 2x1 lycrado</v>
      </c>
      <c r="C528" s="67" t="str">
        <f>COLORES!A8</f>
        <v>Beige</v>
      </c>
      <c r="D528" s="67" t="str">
        <f>COLORES!B8</f>
        <v>CLARO</v>
      </c>
      <c r="E528" s="100">
        <f>IFERROR(SUMIFS(MOVIMIENTOS!$F$4:$F$1000,MOVIMIENTOS!$C$4:$C$1000,A528,MOVIMIENTOS!$D$4:$D$1000,B528,MOVIMIENTOS!$E$4:$E$1000,C528,MOVIMIENTOS!$B$4:$B$1000,"INGRESO")+SUMIFS(MOVIMIENTOS!$F$4:$F$1000,MOVIMIENTOS!$C$4:$C$1000,A528,MOVIMIENTOS!$D$4:$D$1000,B528,MOVIMIENTOS!$E$4:$E$1000,C528,MOVIMIENTOS!$B$4:$B$1000,"DE REPROCESO")+SUMIFS(MOVIMIENTOS!$F$4:$F$1000,MOVIMIENTOS!$C$4:$C$1000,A528,MOVIMIENTOS!$D$4:$D$1000,B528,MOVIMIENTOS!$E$4:$E$1000,C528,MOVIMIENTOS!$B$4:$B$1000,"AJUSTE+")-SUMIFS(MOVIMIENTOS!$F$4:$F$1000,MOVIMIENTOS!$C$4:$C$1000,A528,MOVIMIENTOS!$D$4:$D$1000,B528,MOVIMIENTOS!$E$4:$E$1000,C528,MOVIMIENTOS!$B$4:$B$1000,"A CORTE")-SUMIFS(MOVIMIENTOS!$F$4:$F$1000,MOVIMIENTOS!$C$4:$C$1000,A528,MOVIMIENTOS!$D$4:$D$1000,B528,MOVIMIENTOS!$E$4:$E$1000,C528,MOVIMIENTOS!$B$4:$B$1000,"A REPROCESO")-SUMIFS(MOVIMIENTOS!$F$4:$F$1000,MOVIMIENTOS!$C$4:$C$1000,A528,MOVIMIENTOS!$D$4:$D$1000,B528,MOVIMIENTOS!$E$4:$E$1000,C528,MOVIMIENTOS!$B$4:$B$1000,"MUESTRA")-SUMIFS(MOVIMIENTOS!$F$4:$F$1000,MOVIMIENTOS!$C$4:$C$1000,A528,MOVIMIENTOS!$D$4:$D$1000,B528,MOVIMIENTOS!$E$4:$E$1000,C528,MOVIMIENTOS!$B$4:$B$1000,"AJUSTE-"),0)</f>
        <v>0</v>
      </c>
      <c r="F528" s="101">
        <f>IFERROR(E528*VLOOKUP(B528,TELAS!$A$4:$C$32,3,FALSE()),0)</f>
        <v>0</v>
      </c>
      <c r="G528" s="102">
        <f>IFERROR(IF(D528="OSCURO",VLOOKUP(B528,PRECIOS!$A$4:$F$32,2,FALSE()),IF(D528="CLARO",VLOOKUP(B528,PRECIOS!$A$4:$F$32,3,FALSE()),IF(D528="MELANGE",VLOOKUP(B528,PRECIOS!$A$4:$F$32,4,FALSE()),IF(D528="PPT",VLOOKUP(B528,PRECIOS!$A$4:$F$32,5,FALSE()),0)))),0)</f>
        <v>21</v>
      </c>
      <c r="H528" s="103">
        <f t="shared" si="1"/>
        <v>0</v>
      </c>
      <c r="I528" s="104" t="str">
        <f>IF(E528&lt;0,"ERROR",IF(E528=0,"",IF(E528&lt;CONFIG!$B$4,"CRÍTICO",IF(E528&lt;CONFIG!$B$5,"BAJO","OK"))))</f>
        <v/>
      </c>
    </row>
    <row r="529" ht="15.75" customHeight="1">
      <c r="A529" s="90" t="str">
        <f>IF(CLIENTES!A7="","",CLIENTES!A7)</f>
        <v/>
      </c>
      <c r="B529" s="67" t="str">
        <f>TELAS!A9</f>
        <v>rib 2x1 lycrado</v>
      </c>
      <c r="C529" s="67" t="str">
        <f>COLORES!A9</f>
        <v>Melange</v>
      </c>
      <c r="D529" s="67" t="str">
        <f>COLORES!B9</f>
        <v>MELANGE</v>
      </c>
      <c r="E529" s="100">
        <f>IFERROR(SUMIFS(MOVIMIENTOS!$F$4:$F$1000,MOVIMIENTOS!$C$4:$C$1000,A529,MOVIMIENTOS!$D$4:$D$1000,B529,MOVIMIENTOS!$E$4:$E$1000,C529,MOVIMIENTOS!$B$4:$B$1000,"INGRESO")+SUMIFS(MOVIMIENTOS!$F$4:$F$1000,MOVIMIENTOS!$C$4:$C$1000,A529,MOVIMIENTOS!$D$4:$D$1000,B529,MOVIMIENTOS!$E$4:$E$1000,C529,MOVIMIENTOS!$B$4:$B$1000,"DE REPROCESO")+SUMIFS(MOVIMIENTOS!$F$4:$F$1000,MOVIMIENTOS!$C$4:$C$1000,A529,MOVIMIENTOS!$D$4:$D$1000,B529,MOVIMIENTOS!$E$4:$E$1000,C529,MOVIMIENTOS!$B$4:$B$1000,"AJUSTE+")-SUMIFS(MOVIMIENTOS!$F$4:$F$1000,MOVIMIENTOS!$C$4:$C$1000,A529,MOVIMIENTOS!$D$4:$D$1000,B529,MOVIMIENTOS!$E$4:$E$1000,C529,MOVIMIENTOS!$B$4:$B$1000,"A CORTE")-SUMIFS(MOVIMIENTOS!$F$4:$F$1000,MOVIMIENTOS!$C$4:$C$1000,A529,MOVIMIENTOS!$D$4:$D$1000,B529,MOVIMIENTOS!$E$4:$E$1000,C529,MOVIMIENTOS!$B$4:$B$1000,"A REPROCESO")-SUMIFS(MOVIMIENTOS!$F$4:$F$1000,MOVIMIENTOS!$C$4:$C$1000,A529,MOVIMIENTOS!$D$4:$D$1000,B529,MOVIMIENTOS!$E$4:$E$1000,C529,MOVIMIENTOS!$B$4:$B$1000,"MUESTRA")-SUMIFS(MOVIMIENTOS!$F$4:$F$1000,MOVIMIENTOS!$C$4:$C$1000,A529,MOVIMIENTOS!$D$4:$D$1000,B529,MOVIMIENTOS!$E$4:$E$1000,C529,MOVIMIENTOS!$B$4:$B$1000,"AJUSTE-"),0)</f>
        <v>0</v>
      </c>
      <c r="F529" s="101">
        <f>IFERROR(E529*VLOOKUP(B529,TELAS!$A$4:$C$32,3,FALSE()),0)</f>
        <v>0</v>
      </c>
      <c r="G529" s="102">
        <f>IFERROR(IF(D529="OSCURO",VLOOKUP(B529,PRECIOS!$A$4:$F$32,2,FALSE()),IF(D529="CLARO",VLOOKUP(B529,PRECIOS!$A$4:$F$32,3,FALSE()),IF(D529="MELANGE",VLOOKUP(B529,PRECIOS!$A$4:$F$32,4,FALSE()),IF(D529="PPT",VLOOKUP(B529,PRECIOS!$A$4:$F$32,5,FALSE()),0)))),0)</f>
        <v>18</v>
      </c>
      <c r="H529" s="103">
        <f t="shared" si="1"/>
        <v>0</v>
      </c>
      <c r="I529" s="104" t="str">
        <f>IF(E529&lt;0,"ERROR",IF(E529=0,"",IF(E529&lt;CONFIG!$B$4,"CRÍTICO",IF(E529&lt;CONFIG!$B$5,"BAJO","OK"))))</f>
        <v/>
      </c>
    </row>
    <row r="530" ht="15.75" customHeight="1">
      <c r="A530" s="90" t="str">
        <f>IF(CLIENTES!A7="","",CLIENTES!A7)</f>
        <v/>
      </c>
      <c r="B530" s="67" t="str">
        <f>TELAS!A9</f>
        <v>rib 2x1 lycrado</v>
      </c>
      <c r="C530" s="67" t="str">
        <f>COLORES!A10</f>
        <v>Botella</v>
      </c>
      <c r="D530" s="67" t="str">
        <f>COLORES!B10</f>
        <v>OSCURO</v>
      </c>
      <c r="E530" s="100">
        <f>IFERROR(SUMIFS(MOVIMIENTOS!$F$4:$F$1000,MOVIMIENTOS!$C$4:$C$1000,A530,MOVIMIENTOS!$D$4:$D$1000,B530,MOVIMIENTOS!$E$4:$E$1000,C530,MOVIMIENTOS!$B$4:$B$1000,"INGRESO")+SUMIFS(MOVIMIENTOS!$F$4:$F$1000,MOVIMIENTOS!$C$4:$C$1000,A530,MOVIMIENTOS!$D$4:$D$1000,B530,MOVIMIENTOS!$E$4:$E$1000,C530,MOVIMIENTOS!$B$4:$B$1000,"DE REPROCESO")+SUMIFS(MOVIMIENTOS!$F$4:$F$1000,MOVIMIENTOS!$C$4:$C$1000,A530,MOVIMIENTOS!$D$4:$D$1000,B530,MOVIMIENTOS!$E$4:$E$1000,C530,MOVIMIENTOS!$B$4:$B$1000,"AJUSTE+")-SUMIFS(MOVIMIENTOS!$F$4:$F$1000,MOVIMIENTOS!$C$4:$C$1000,A530,MOVIMIENTOS!$D$4:$D$1000,B530,MOVIMIENTOS!$E$4:$E$1000,C530,MOVIMIENTOS!$B$4:$B$1000,"A CORTE")-SUMIFS(MOVIMIENTOS!$F$4:$F$1000,MOVIMIENTOS!$C$4:$C$1000,A530,MOVIMIENTOS!$D$4:$D$1000,B530,MOVIMIENTOS!$E$4:$E$1000,C530,MOVIMIENTOS!$B$4:$B$1000,"A REPROCESO")-SUMIFS(MOVIMIENTOS!$F$4:$F$1000,MOVIMIENTOS!$C$4:$C$1000,A530,MOVIMIENTOS!$D$4:$D$1000,B530,MOVIMIENTOS!$E$4:$E$1000,C530,MOVIMIENTOS!$B$4:$B$1000,"MUESTRA")-SUMIFS(MOVIMIENTOS!$F$4:$F$1000,MOVIMIENTOS!$C$4:$C$1000,A530,MOVIMIENTOS!$D$4:$D$1000,B530,MOVIMIENTOS!$E$4:$E$1000,C530,MOVIMIENTOS!$B$4:$B$1000,"AJUSTE-"),0)</f>
        <v>0</v>
      </c>
      <c r="F530" s="101">
        <f>IFERROR(E530*VLOOKUP(B530,TELAS!$A$4:$C$32,3,FALSE()),0)</f>
        <v>0</v>
      </c>
      <c r="G530" s="102">
        <f>IFERROR(IF(D530="OSCURO",VLOOKUP(B530,PRECIOS!$A$4:$F$32,2,FALSE()),IF(D530="CLARO",VLOOKUP(B530,PRECIOS!$A$4:$F$32,3,FALSE()),IF(D530="MELANGE",VLOOKUP(B530,PRECIOS!$A$4:$F$32,4,FALSE()),IF(D530="PPT",VLOOKUP(B530,PRECIOS!$A$4:$F$32,5,FALSE()),0)))),0)</f>
        <v>24</v>
      </c>
      <c r="H530" s="103">
        <f t="shared" si="1"/>
        <v>0</v>
      </c>
      <c r="I530" s="104" t="str">
        <f>IF(E530&lt;0,"ERROR",IF(E530=0,"",IF(E530&lt;CONFIG!$B$4,"CRÍTICO",IF(E530&lt;CONFIG!$B$5,"BAJO","OK"))))</f>
        <v/>
      </c>
    </row>
    <row r="531" ht="15.75" customHeight="1">
      <c r="A531" s="90" t="str">
        <f>IF(CLIENTES!A7="","",CLIENTES!A7)</f>
        <v/>
      </c>
      <c r="B531" s="67" t="str">
        <f>TELAS!A9</f>
        <v>rib 2x1 lycrado</v>
      </c>
      <c r="C531" s="67" t="str">
        <f>COLORES!A11</f>
        <v>Pacay</v>
      </c>
      <c r="D531" s="67" t="str">
        <f>COLORES!B11</f>
        <v>CLARO</v>
      </c>
      <c r="E531" s="100">
        <f>IFERROR(SUMIFS(MOVIMIENTOS!$F$4:$F$1000,MOVIMIENTOS!$C$4:$C$1000,A531,MOVIMIENTOS!$D$4:$D$1000,B531,MOVIMIENTOS!$E$4:$E$1000,C531,MOVIMIENTOS!$B$4:$B$1000,"INGRESO")+SUMIFS(MOVIMIENTOS!$F$4:$F$1000,MOVIMIENTOS!$C$4:$C$1000,A531,MOVIMIENTOS!$D$4:$D$1000,B531,MOVIMIENTOS!$E$4:$E$1000,C531,MOVIMIENTOS!$B$4:$B$1000,"DE REPROCESO")+SUMIFS(MOVIMIENTOS!$F$4:$F$1000,MOVIMIENTOS!$C$4:$C$1000,A531,MOVIMIENTOS!$D$4:$D$1000,B531,MOVIMIENTOS!$E$4:$E$1000,C531,MOVIMIENTOS!$B$4:$B$1000,"AJUSTE+")-SUMIFS(MOVIMIENTOS!$F$4:$F$1000,MOVIMIENTOS!$C$4:$C$1000,A531,MOVIMIENTOS!$D$4:$D$1000,B531,MOVIMIENTOS!$E$4:$E$1000,C531,MOVIMIENTOS!$B$4:$B$1000,"A CORTE")-SUMIFS(MOVIMIENTOS!$F$4:$F$1000,MOVIMIENTOS!$C$4:$C$1000,A531,MOVIMIENTOS!$D$4:$D$1000,B531,MOVIMIENTOS!$E$4:$E$1000,C531,MOVIMIENTOS!$B$4:$B$1000,"A REPROCESO")-SUMIFS(MOVIMIENTOS!$F$4:$F$1000,MOVIMIENTOS!$C$4:$C$1000,A531,MOVIMIENTOS!$D$4:$D$1000,B531,MOVIMIENTOS!$E$4:$E$1000,C531,MOVIMIENTOS!$B$4:$B$1000,"MUESTRA")-SUMIFS(MOVIMIENTOS!$F$4:$F$1000,MOVIMIENTOS!$C$4:$C$1000,A531,MOVIMIENTOS!$D$4:$D$1000,B531,MOVIMIENTOS!$E$4:$E$1000,C531,MOVIMIENTOS!$B$4:$B$1000,"AJUSTE-"),0)</f>
        <v>0</v>
      </c>
      <c r="F531" s="101">
        <f>IFERROR(E531*VLOOKUP(B531,TELAS!$A$4:$C$32,3,FALSE()),0)</f>
        <v>0</v>
      </c>
      <c r="G531" s="102">
        <f>IFERROR(IF(D531="OSCURO",VLOOKUP(B531,PRECIOS!$A$4:$F$32,2,FALSE()),IF(D531="CLARO",VLOOKUP(B531,PRECIOS!$A$4:$F$32,3,FALSE()),IF(D531="MELANGE",VLOOKUP(B531,PRECIOS!$A$4:$F$32,4,FALSE()),IF(D531="PPT",VLOOKUP(B531,PRECIOS!$A$4:$F$32,5,FALSE()),0)))),0)</f>
        <v>21</v>
      </c>
      <c r="H531" s="103">
        <f t="shared" si="1"/>
        <v>0</v>
      </c>
      <c r="I531" s="104" t="str">
        <f>IF(E531&lt;0,"ERROR",IF(E531=0,"",IF(E531&lt;CONFIG!$B$4,"CRÍTICO",IF(E531&lt;CONFIG!$B$5,"BAJO","OK"))))</f>
        <v/>
      </c>
    </row>
    <row r="532" ht="15.75" customHeight="1">
      <c r="A532" s="90" t="str">
        <f>IF(CLIENTES!A7="","",CLIENTES!A7)</f>
        <v/>
      </c>
      <c r="B532" s="67" t="str">
        <f>TELAS!A9</f>
        <v>rib 2x1 lycrado</v>
      </c>
      <c r="C532" s="67" t="str">
        <f>COLORES!A12</f>
        <v>Cemento</v>
      </c>
      <c r="D532" s="67" t="str">
        <f>COLORES!B12</f>
        <v>CLARO</v>
      </c>
      <c r="E532" s="100">
        <f>IFERROR(SUMIFS(MOVIMIENTOS!$F$4:$F$1000,MOVIMIENTOS!$C$4:$C$1000,A532,MOVIMIENTOS!$D$4:$D$1000,B532,MOVIMIENTOS!$E$4:$E$1000,C532,MOVIMIENTOS!$B$4:$B$1000,"INGRESO")+SUMIFS(MOVIMIENTOS!$F$4:$F$1000,MOVIMIENTOS!$C$4:$C$1000,A532,MOVIMIENTOS!$D$4:$D$1000,B532,MOVIMIENTOS!$E$4:$E$1000,C532,MOVIMIENTOS!$B$4:$B$1000,"DE REPROCESO")+SUMIFS(MOVIMIENTOS!$F$4:$F$1000,MOVIMIENTOS!$C$4:$C$1000,A532,MOVIMIENTOS!$D$4:$D$1000,B532,MOVIMIENTOS!$E$4:$E$1000,C532,MOVIMIENTOS!$B$4:$B$1000,"AJUSTE+")-SUMIFS(MOVIMIENTOS!$F$4:$F$1000,MOVIMIENTOS!$C$4:$C$1000,A532,MOVIMIENTOS!$D$4:$D$1000,B532,MOVIMIENTOS!$E$4:$E$1000,C532,MOVIMIENTOS!$B$4:$B$1000,"A CORTE")-SUMIFS(MOVIMIENTOS!$F$4:$F$1000,MOVIMIENTOS!$C$4:$C$1000,A532,MOVIMIENTOS!$D$4:$D$1000,B532,MOVIMIENTOS!$E$4:$E$1000,C532,MOVIMIENTOS!$B$4:$B$1000,"A REPROCESO")-SUMIFS(MOVIMIENTOS!$F$4:$F$1000,MOVIMIENTOS!$C$4:$C$1000,A532,MOVIMIENTOS!$D$4:$D$1000,B532,MOVIMIENTOS!$E$4:$E$1000,C532,MOVIMIENTOS!$B$4:$B$1000,"MUESTRA")-SUMIFS(MOVIMIENTOS!$F$4:$F$1000,MOVIMIENTOS!$C$4:$C$1000,A532,MOVIMIENTOS!$D$4:$D$1000,B532,MOVIMIENTOS!$E$4:$E$1000,C532,MOVIMIENTOS!$B$4:$B$1000,"AJUSTE-"),0)</f>
        <v>0</v>
      </c>
      <c r="F532" s="101">
        <f>IFERROR(E532*VLOOKUP(B532,TELAS!$A$4:$C$32,3,FALSE()),0)</f>
        <v>0</v>
      </c>
      <c r="G532" s="102">
        <f>IFERROR(IF(D532="OSCURO",VLOOKUP(B532,PRECIOS!$A$4:$F$32,2,FALSE()),IF(D532="CLARO",VLOOKUP(B532,PRECIOS!$A$4:$F$32,3,FALSE()),IF(D532="MELANGE",VLOOKUP(B532,PRECIOS!$A$4:$F$32,4,FALSE()),IF(D532="PPT",VLOOKUP(B532,PRECIOS!$A$4:$F$32,5,FALSE()),0)))),0)</f>
        <v>21</v>
      </c>
      <c r="H532" s="103">
        <f t="shared" si="1"/>
        <v>0</v>
      </c>
      <c r="I532" s="104" t="str">
        <f>IF(E532&lt;0,"ERROR",IF(E532=0,"",IF(E532&lt;CONFIG!$B$4,"CRÍTICO",IF(E532&lt;CONFIG!$B$5,"BAJO","OK"))))</f>
        <v/>
      </c>
    </row>
    <row r="533" ht="15.75" customHeight="1">
      <c r="A533" s="90" t="str">
        <f>IF(CLIENTES!A7="","",CLIENTES!A7)</f>
        <v/>
      </c>
      <c r="B533" s="67" t="str">
        <f>TELAS!A9</f>
        <v>rib 2x1 lycrado</v>
      </c>
      <c r="C533" s="67" t="str">
        <f>COLORES!A13</f>
        <v>Camote</v>
      </c>
      <c r="D533" s="67" t="str">
        <f>COLORES!B13</f>
        <v>CLARO</v>
      </c>
      <c r="E533" s="100">
        <f>IFERROR(SUMIFS(MOVIMIENTOS!$F$4:$F$1000,MOVIMIENTOS!$C$4:$C$1000,A533,MOVIMIENTOS!$D$4:$D$1000,B533,MOVIMIENTOS!$E$4:$E$1000,C533,MOVIMIENTOS!$B$4:$B$1000,"INGRESO")+SUMIFS(MOVIMIENTOS!$F$4:$F$1000,MOVIMIENTOS!$C$4:$C$1000,A533,MOVIMIENTOS!$D$4:$D$1000,B533,MOVIMIENTOS!$E$4:$E$1000,C533,MOVIMIENTOS!$B$4:$B$1000,"DE REPROCESO")+SUMIFS(MOVIMIENTOS!$F$4:$F$1000,MOVIMIENTOS!$C$4:$C$1000,A533,MOVIMIENTOS!$D$4:$D$1000,B533,MOVIMIENTOS!$E$4:$E$1000,C533,MOVIMIENTOS!$B$4:$B$1000,"AJUSTE+")-SUMIFS(MOVIMIENTOS!$F$4:$F$1000,MOVIMIENTOS!$C$4:$C$1000,A533,MOVIMIENTOS!$D$4:$D$1000,B533,MOVIMIENTOS!$E$4:$E$1000,C533,MOVIMIENTOS!$B$4:$B$1000,"A CORTE")-SUMIFS(MOVIMIENTOS!$F$4:$F$1000,MOVIMIENTOS!$C$4:$C$1000,A533,MOVIMIENTOS!$D$4:$D$1000,B533,MOVIMIENTOS!$E$4:$E$1000,C533,MOVIMIENTOS!$B$4:$B$1000,"A REPROCESO")-SUMIFS(MOVIMIENTOS!$F$4:$F$1000,MOVIMIENTOS!$C$4:$C$1000,A533,MOVIMIENTOS!$D$4:$D$1000,B533,MOVIMIENTOS!$E$4:$E$1000,C533,MOVIMIENTOS!$B$4:$B$1000,"MUESTRA")-SUMIFS(MOVIMIENTOS!$F$4:$F$1000,MOVIMIENTOS!$C$4:$C$1000,A533,MOVIMIENTOS!$D$4:$D$1000,B533,MOVIMIENTOS!$E$4:$E$1000,C533,MOVIMIENTOS!$B$4:$B$1000,"AJUSTE-"),0)</f>
        <v>0</v>
      </c>
      <c r="F533" s="101">
        <f>IFERROR(E533*VLOOKUP(B533,TELAS!$A$4:$C$32,3,FALSE()),0)</f>
        <v>0</v>
      </c>
      <c r="G533" s="102">
        <f>IFERROR(IF(D533="OSCURO",VLOOKUP(B533,PRECIOS!$A$4:$F$32,2,FALSE()),IF(D533="CLARO",VLOOKUP(B533,PRECIOS!$A$4:$F$32,3,FALSE()),IF(D533="MELANGE",VLOOKUP(B533,PRECIOS!$A$4:$F$32,4,FALSE()),IF(D533="PPT",VLOOKUP(B533,PRECIOS!$A$4:$F$32,5,FALSE()),0)))),0)</f>
        <v>21</v>
      </c>
      <c r="H533" s="103">
        <f t="shared" si="1"/>
        <v>0</v>
      </c>
      <c r="I533" s="104" t="str">
        <f>IF(E533&lt;0,"ERROR",IF(E533=0,"",IF(E533&lt;CONFIG!$B$4,"CRÍTICO",IF(E533&lt;CONFIG!$B$5,"BAJO","OK"))))</f>
        <v/>
      </c>
    </row>
    <row r="534" ht="15.75" customHeight="1">
      <c r="A534" s="90" t="str">
        <f>IF(CLIENTES!A7="","",CLIENTES!A7)</f>
        <v/>
      </c>
      <c r="B534" s="67" t="str">
        <f>TELAS!A9</f>
        <v>rib 2x1 lycrado</v>
      </c>
      <c r="C534" s="67" t="str">
        <f>COLORES!A14</f>
        <v>Denim</v>
      </c>
      <c r="D534" s="67" t="str">
        <f>COLORES!B14</f>
        <v>CLARO</v>
      </c>
      <c r="E534" s="100">
        <f>IFERROR(SUMIFS(MOVIMIENTOS!$F$4:$F$1000,MOVIMIENTOS!$C$4:$C$1000,A534,MOVIMIENTOS!$D$4:$D$1000,B534,MOVIMIENTOS!$E$4:$E$1000,C534,MOVIMIENTOS!$B$4:$B$1000,"INGRESO")+SUMIFS(MOVIMIENTOS!$F$4:$F$1000,MOVIMIENTOS!$C$4:$C$1000,A534,MOVIMIENTOS!$D$4:$D$1000,B534,MOVIMIENTOS!$E$4:$E$1000,C534,MOVIMIENTOS!$B$4:$B$1000,"DE REPROCESO")+SUMIFS(MOVIMIENTOS!$F$4:$F$1000,MOVIMIENTOS!$C$4:$C$1000,A534,MOVIMIENTOS!$D$4:$D$1000,B534,MOVIMIENTOS!$E$4:$E$1000,C534,MOVIMIENTOS!$B$4:$B$1000,"AJUSTE+")-SUMIFS(MOVIMIENTOS!$F$4:$F$1000,MOVIMIENTOS!$C$4:$C$1000,A534,MOVIMIENTOS!$D$4:$D$1000,B534,MOVIMIENTOS!$E$4:$E$1000,C534,MOVIMIENTOS!$B$4:$B$1000,"A CORTE")-SUMIFS(MOVIMIENTOS!$F$4:$F$1000,MOVIMIENTOS!$C$4:$C$1000,A534,MOVIMIENTOS!$D$4:$D$1000,B534,MOVIMIENTOS!$E$4:$E$1000,C534,MOVIMIENTOS!$B$4:$B$1000,"A REPROCESO")-SUMIFS(MOVIMIENTOS!$F$4:$F$1000,MOVIMIENTOS!$C$4:$C$1000,A534,MOVIMIENTOS!$D$4:$D$1000,B534,MOVIMIENTOS!$E$4:$E$1000,C534,MOVIMIENTOS!$B$4:$B$1000,"MUESTRA")-SUMIFS(MOVIMIENTOS!$F$4:$F$1000,MOVIMIENTOS!$C$4:$C$1000,A534,MOVIMIENTOS!$D$4:$D$1000,B534,MOVIMIENTOS!$E$4:$E$1000,C534,MOVIMIENTOS!$B$4:$B$1000,"AJUSTE-"),0)</f>
        <v>0</v>
      </c>
      <c r="F534" s="101">
        <f>IFERROR(E534*VLOOKUP(B534,TELAS!$A$4:$C$32,3,FALSE()),0)</f>
        <v>0</v>
      </c>
      <c r="G534" s="102">
        <f>IFERROR(IF(D534="OSCURO",VLOOKUP(B534,PRECIOS!$A$4:$F$32,2,FALSE()),IF(D534="CLARO",VLOOKUP(B534,PRECIOS!$A$4:$F$32,3,FALSE()),IF(D534="MELANGE",VLOOKUP(B534,PRECIOS!$A$4:$F$32,4,FALSE()),IF(D534="PPT",VLOOKUP(B534,PRECIOS!$A$4:$F$32,5,FALSE()),0)))),0)</f>
        <v>21</v>
      </c>
      <c r="H534" s="103">
        <f t="shared" si="1"/>
        <v>0</v>
      </c>
      <c r="I534" s="104" t="str">
        <f>IF(E534&lt;0,"ERROR",IF(E534=0,"",IF(E534&lt;CONFIG!$B$4,"CRÍTICO",IF(E534&lt;CONFIG!$B$5,"BAJO","OK"))))</f>
        <v/>
      </c>
    </row>
    <row r="535" ht="15.75" customHeight="1">
      <c r="A535" s="90" t="str">
        <f>IF(CLIENTES!A7="","",CLIENTES!A7)</f>
        <v/>
      </c>
      <c r="B535" s="67" t="str">
        <f>TELAS!A9</f>
        <v>rib 2x1 lycrado</v>
      </c>
      <c r="C535" s="67" t="str">
        <f>COLORES!A15</f>
        <v>Plomo</v>
      </c>
      <c r="D535" s="67" t="str">
        <f>COLORES!B15</f>
        <v>OSCURO</v>
      </c>
      <c r="E535" s="100">
        <f>IFERROR(SUMIFS(MOVIMIENTOS!$F$4:$F$1000,MOVIMIENTOS!$C$4:$C$1000,A535,MOVIMIENTOS!$D$4:$D$1000,B535,MOVIMIENTOS!$E$4:$E$1000,C535,MOVIMIENTOS!$B$4:$B$1000,"INGRESO")+SUMIFS(MOVIMIENTOS!$F$4:$F$1000,MOVIMIENTOS!$C$4:$C$1000,A535,MOVIMIENTOS!$D$4:$D$1000,B535,MOVIMIENTOS!$E$4:$E$1000,C535,MOVIMIENTOS!$B$4:$B$1000,"DE REPROCESO")+SUMIFS(MOVIMIENTOS!$F$4:$F$1000,MOVIMIENTOS!$C$4:$C$1000,A535,MOVIMIENTOS!$D$4:$D$1000,B535,MOVIMIENTOS!$E$4:$E$1000,C535,MOVIMIENTOS!$B$4:$B$1000,"AJUSTE+")-SUMIFS(MOVIMIENTOS!$F$4:$F$1000,MOVIMIENTOS!$C$4:$C$1000,A535,MOVIMIENTOS!$D$4:$D$1000,B535,MOVIMIENTOS!$E$4:$E$1000,C535,MOVIMIENTOS!$B$4:$B$1000,"A CORTE")-SUMIFS(MOVIMIENTOS!$F$4:$F$1000,MOVIMIENTOS!$C$4:$C$1000,A535,MOVIMIENTOS!$D$4:$D$1000,B535,MOVIMIENTOS!$E$4:$E$1000,C535,MOVIMIENTOS!$B$4:$B$1000,"A REPROCESO")-SUMIFS(MOVIMIENTOS!$F$4:$F$1000,MOVIMIENTOS!$C$4:$C$1000,A535,MOVIMIENTOS!$D$4:$D$1000,B535,MOVIMIENTOS!$E$4:$E$1000,C535,MOVIMIENTOS!$B$4:$B$1000,"MUESTRA")-SUMIFS(MOVIMIENTOS!$F$4:$F$1000,MOVIMIENTOS!$C$4:$C$1000,A535,MOVIMIENTOS!$D$4:$D$1000,B535,MOVIMIENTOS!$E$4:$E$1000,C535,MOVIMIENTOS!$B$4:$B$1000,"AJUSTE-"),0)</f>
        <v>0</v>
      </c>
      <c r="F535" s="101">
        <f>IFERROR(E535*VLOOKUP(B535,TELAS!$A$4:$C$32,3,FALSE()),0)</f>
        <v>0</v>
      </c>
      <c r="G535" s="102">
        <f>IFERROR(IF(D535="OSCURO",VLOOKUP(B535,PRECIOS!$A$4:$F$32,2,FALSE()),IF(D535="CLARO",VLOOKUP(B535,PRECIOS!$A$4:$F$32,3,FALSE()),IF(D535="MELANGE",VLOOKUP(B535,PRECIOS!$A$4:$F$32,4,FALSE()),IF(D535="PPT",VLOOKUP(B535,PRECIOS!$A$4:$F$32,5,FALSE()),0)))),0)</f>
        <v>24</v>
      </c>
      <c r="H535" s="103">
        <f t="shared" si="1"/>
        <v>0</v>
      </c>
      <c r="I535" s="104" t="str">
        <f>IF(E535&lt;0,"ERROR",IF(E535=0,"",IF(E535&lt;CONFIG!$B$4,"CRÍTICO",IF(E535&lt;CONFIG!$B$5,"BAJO","OK"))))</f>
        <v/>
      </c>
    </row>
    <row r="536" ht="15.75" customHeight="1">
      <c r="A536" s="90" t="str">
        <f>IF(CLIENTES!A7="","",CLIENTES!A7)</f>
        <v/>
      </c>
      <c r="B536" s="67" t="str">
        <f>TELAS!A9</f>
        <v>rib 2x1 lycrado</v>
      </c>
      <c r="C536" s="67" t="str">
        <f>COLORES!A16</f>
        <v>Topo</v>
      </c>
      <c r="D536" s="67" t="str">
        <f>COLORES!B16</f>
        <v>CLARO</v>
      </c>
      <c r="E536" s="100">
        <f>IFERROR(SUMIFS(MOVIMIENTOS!$F$4:$F$1000,MOVIMIENTOS!$C$4:$C$1000,A536,MOVIMIENTOS!$D$4:$D$1000,B536,MOVIMIENTOS!$E$4:$E$1000,C536,MOVIMIENTOS!$B$4:$B$1000,"INGRESO")+SUMIFS(MOVIMIENTOS!$F$4:$F$1000,MOVIMIENTOS!$C$4:$C$1000,A536,MOVIMIENTOS!$D$4:$D$1000,B536,MOVIMIENTOS!$E$4:$E$1000,C536,MOVIMIENTOS!$B$4:$B$1000,"DE REPROCESO")+SUMIFS(MOVIMIENTOS!$F$4:$F$1000,MOVIMIENTOS!$C$4:$C$1000,A536,MOVIMIENTOS!$D$4:$D$1000,B536,MOVIMIENTOS!$E$4:$E$1000,C536,MOVIMIENTOS!$B$4:$B$1000,"AJUSTE+")-SUMIFS(MOVIMIENTOS!$F$4:$F$1000,MOVIMIENTOS!$C$4:$C$1000,A536,MOVIMIENTOS!$D$4:$D$1000,B536,MOVIMIENTOS!$E$4:$E$1000,C536,MOVIMIENTOS!$B$4:$B$1000,"A CORTE")-SUMIFS(MOVIMIENTOS!$F$4:$F$1000,MOVIMIENTOS!$C$4:$C$1000,A536,MOVIMIENTOS!$D$4:$D$1000,B536,MOVIMIENTOS!$E$4:$E$1000,C536,MOVIMIENTOS!$B$4:$B$1000,"A REPROCESO")-SUMIFS(MOVIMIENTOS!$F$4:$F$1000,MOVIMIENTOS!$C$4:$C$1000,A536,MOVIMIENTOS!$D$4:$D$1000,B536,MOVIMIENTOS!$E$4:$E$1000,C536,MOVIMIENTOS!$B$4:$B$1000,"MUESTRA")-SUMIFS(MOVIMIENTOS!$F$4:$F$1000,MOVIMIENTOS!$C$4:$C$1000,A536,MOVIMIENTOS!$D$4:$D$1000,B536,MOVIMIENTOS!$E$4:$E$1000,C536,MOVIMIENTOS!$B$4:$B$1000,"AJUSTE-"),0)</f>
        <v>0</v>
      </c>
      <c r="F536" s="101">
        <f>IFERROR(E536*VLOOKUP(B536,TELAS!$A$4:$C$32,3,FALSE()),0)</f>
        <v>0</v>
      </c>
      <c r="G536" s="102">
        <f>IFERROR(IF(D536="OSCURO",VLOOKUP(B536,PRECIOS!$A$4:$F$32,2,FALSE()),IF(D536="CLARO",VLOOKUP(B536,PRECIOS!$A$4:$F$32,3,FALSE()),IF(D536="MELANGE",VLOOKUP(B536,PRECIOS!$A$4:$F$32,4,FALSE()),IF(D536="PPT",VLOOKUP(B536,PRECIOS!$A$4:$F$32,5,FALSE()),0)))),0)</f>
        <v>21</v>
      </c>
      <c r="H536" s="103">
        <f t="shared" si="1"/>
        <v>0</v>
      </c>
      <c r="I536" s="104" t="str">
        <f>IF(E536&lt;0,"ERROR",IF(E536=0,"",IF(E536&lt;CONFIG!$B$4,"CRÍTICO",IF(E536&lt;CONFIG!$B$5,"BAJO","OK"))))</f>
        <v/>
      </c>
    </row>
    <row r="537" ht="15.75" customHeight="1">
      <c r="A537" s="90" t="str">
        <f>IF(CLIENTES!A7="","",CLIENTES!A7)</f>
        <v/>
      </c>
      <c r="B537" s="67" t="str">
        <f>TELAS!A9</f>
        <v>rib 2x1 lycrado</v>
      </c>
      <c r="C537" s="67" t="str">
        <f>COLORES!A17</f>
        <v>Vino</v>
      </c>
      <c r="D537" s="67" t="str">
        <f>COLORES!B17</f>
        <v>OSCURO</v>
      </c>
      <c r="E537" s="100">
        <f>IFERROR(SUMIFS(MOVIMIENTOS!$F$4:$F$1000,MOVIMIENTOS!$C$4:$C$1000,A537,MOVIMIENTOS!$D$4:$D$1000,B537,MOVIMIENTOS!$E$4:$E$1000,C537,MOVIMIENTOS!$B$4:$B$1000,"INGRESO")+SUMIFS(MOVIMIENTOS!$F$4:$F$1000,MOVIMIENTOS!$C$4:$C$1000,A537,MOVIMIENTOS!$D$4:$D$1000,B537,MOVIMIENTOS!$E$4:$E$1000,C537,MOVIMIENTOS!$B$4:$B$1000,"DE REPROCESO")+SUMIFS(MOVIMIENTOS!$F$4:$F$1000,MOVIMIENTOS!$C$4:$C$1000,A537,MOVIMIENTOS!$D$4:$D$1000,B537,MOVIMIENTOS!$E$4:$E$1000,C537,MOVIMIENTOS!$B$4:$B$1000,"AJUSTE+")-SUMIFS(MOVIMIENTOS!$F$4:$F$1000,MOVIMIENTOS!$C$4:$C$1000,A537,MOVIMIENTOS!$D$4:$D$1000,B537,MOVIMIENTOS!$E$4:$E$1000,C537,MOVIMIENTOS!$B$4:$B$1000,"A CORTE")-SUMIFS(MOVIMIENTOS!$F$4:$F$1000,MOVIMIENTOS!$C$4:$C$1000,A537,MOVIMIENTOS!$D$4:$D$1000,B537,MOVIMIENTOS!$E$4:$E$1000,C537,MOVIMIENTOS!$B$4:$B$1000,"A REPROCESO")-SUMIFS(MOVIMIENTOS!$F$4:$F$1000,MOVIMIENTOS!$C$4:$C$1000,A537,MOVIMIENTOS!$D$4:$D$1000,B537,MOVIMIENTOS!$E$4:$E$1000,C537,MOVIMIENTOS!$B$4:$B$1000,"MUESTRA")-SUMIFS(MOVIMIENTOS!$F$4:$F$1000,MOVIMIENTOS!$C$4:$C$1000,A537,MOVIMIENTOS!$D$4:$D$1000,B537,MOVIMIENTOS!$E$4:$E$1000,C537,MOVIMIENTOS!$B$4:$B$1000,"AJUSTE-"),0)</f>
        <v>0</v>
      </c>
      <c r="F537" s="101">
        <f>IFERROR(E537*VLOOKUP(B537,TELAS!$A$4:$C$32,3,FALSE()),0)</f>
        <v>0</v>
      </c>
      <c r="G537" s="102">
        <f>IFERROR(IF(D537="OSCURO",VLOOKUP(B537,PRECIOS!$A$4:$F$32,2,FALSE()),IF(D537="CLARO",VLOOKUP(B537,PRECIOS!$A$4:$F$32,3,FALSE()),IF(D537="MELANGE",VLOOKUP(B537,PRECIOS!$A$4:$F$32,4,FALSE()),IF(D537="PPT",VLOOKUP(B537,PRECIOS!$A$4:$F$32,5,FALSE()),0)))),0)</f>
        <v>24</v>
      </c>
      <c r="H537" s="103">
        <f t="shared" si="1"/>
        <v>0</v>
      </c>
      <c r="I537" s="104" t="str">
        <f>IF(E537&lt;0,"ERROR",IF(E537=0,"",IF(E537&lt;CONFIG!$B$4,"CRÍTICO",IF(E537&lt;CONFIG!$B$5,"BAJO","OK"))))</f>
        <v/>
      </c>
    </row>
    <row r="538" ht="15.75" customHeight="1">
      <c r="A538" s="90" t="str">
        <f>IF(CLIENTES!A7="","",CLIENTES!A7)</f>
        <v/>
      </c>
      <c r="B538" s="67" t="str">
        <f>TELAS!A9</f>
        <v>rib 2x1 lycrado</v>
      </c>
      <c r="C538" s="67" t="str">
        <f>COLORES!A18</f>
        <v>P. Rosa</v>
      </c>
      <c r="D538" s="67" t="str">
        <f>COLORES!B18</f>
        <v>CLARO</v>
      </c>
      <c r="E538" s="100">
        <f>IFERROR(SUMIFS(MOVIMIENTOS!$F$4:$F$1000,MOVIMIENTOS!$C$4:$C$1000,A538,MOVIMIENTOS!$D$4:$D$1000,B538,MOVIMIENTOS!$E$4:$E$1000,C538,MOVIMIENTOS!$B$4:$B$1000,"INGRESO")+SUMIFS(MOVIMIENTOS!$F$4:$F$1000,MOVIMIENTOS!$C$4:$C$1000,A538,MOVIMIENTOS!$D$4:$D$1000,B538,MOVIMIENTOS!$E$4:$E$1000,C538,MOVIMIENTOS!$B$4:$B$1000,"DE REPROCESO")+SUMIFS(MOVIMIENTOS!$F$4:$F$1000,MOVIMIENTOS!$C$4:$C$1000,A538,MOVIMIENTOS!$D$4:$D$1000,B538,MOVIMIENTOS!$E$4:$E$1000,C538,MOVIMIENTOS!$B$4:$B$1000,"AJUSTE+")-SUMIFS(MOVIMIENTOS!$F$4:$F$1000,MOVIMIENTOS!$C$4:$C$1000,A538,MOVIMIENTOS!$D$4:$D$1000,B538,MOVIMIENTOS!$E$4:$E$1000,C538,MOVIMIENTOS!$B$4:$B$1000,"A CORTE")-SUMIFS(MOVIMIENTOS!$F$4:$F$1000,MOVIMIENTOS!$C$4:$C$1000,A538,MOVIMIENTOS!$D$4:$D$1000,B538,MOVIMIENTOS!$E$4:$E$1000,C538,MOVIMIENTOS!$B$4:$B$1000,"A REPROCESO")-SUMIFS(MOVIMIENTOS!$F$4:$F$1000,MOVIMIENTOS!$C$4:$C$1000,A538,MOVIMIENTOS!$D$4:$D$1000,B538,MOVIMIENTOS!$E$4:$E$1000,C538,MOVIMIENTOS!$B$4:$B$1000,"MUESTRA")-SUMIFS(MOVIMIENTOS!$F$4:$F$1000,MOVIMIENTOS!$C$4:$C$1000,A538,MOVIMIENTOS!$D$4:$D$1000,B538,MOVIMIENTOS!$E$4:$E$1000,C538,MOVIMIENTOS!$B$4:$B$1000,"AJUSTE-"),0)</f>
        <v>0</v>
      </c>
      <c r="F538" s="101">
        <f>IFERROR(E538*VLOOKUP(B538,TELAS!$A$4:$C$32,3,FALSE()),0)</f>
        <v>0</v>
      </c>
      <c r="G538" s="102">
        <f>IFERROR(IF(D538="OSCURO",VLOOKUP(B538,PRECIOS!$A$4:$F$32,2,FALSE()),IF(D538="CLARO",VLOOKUP(B538,PRECIOS!$A$4:$F$32,3,FALSE()),IF(D538="MELANGE",VLOOKUP(B538,PRECIOS!$A$4:$F$32,4,FALSE()),IF(D538="PPT",VLOOKUP(B538,PRECIOS!$A$4:$F$32,5,FALSE()),0)))),0)</f>
        <v>21</v>
      </c>
      <c r="H538" s="103">
        <f t="shared" si="1"/>
        <v>0</v>
      </c>
      <c r="I538" s="104" t="str">
        <f>IF(E538&lt;0,"ERROR",IF(E538=0,"",IF(E538&lt;CONFIG!$B$4,"CRÍTICO",IF(E538&lt;CONFIG!$B$5,"BAJO","OK"))))</f>
        <v/>
      </c>
    </row>
    <row r="539" ht="15.75" customHeight="1">
      <c r="A539" s="90" t="str">
        <f>IF(CLIENTES!A7="","",CLIENTES!A7)</f>
        <v/>
      </c>
      <c r="B539" s="67" t="str">
        <f>TELAS!A9</f>
        <v>rib 2x1 lycrado</v>
      </c>
      <c r="C539" s="67" t="str">
        <f>COLORES!A19</f>
        <v/>
      </c>
      <c r="D539" s="67" t="str">
        <f>COLORES!B19</f>
        <v/>
      </c>
      <c r="E539" s="100">
        <f>IFERROR(SUMIFS(MOVIMIENTOS!$F$4:$F$1000,MOVIMIENTOS!$C$4:$C$1000,A539,MOVIMIENTOS!$D$4:$D$1000,B539,MOVIMIENTOS!$E$4:$E$1000,C539,MOVIMIENTOS!$B$4:$B$1000,"INGRESO")+SUMIFS(MOVIMIENTOS!$F$4:$F$1000,MOVIMIENTOS!$C$4:$C$1000,A539,MOVIMIENTOS!$D$4:$D$1000,B539,MOVIMIENTOS!$E$4:$E$1000,C539,MOVIMIENTOS!$B$4:$B$1000,"DE REPROCESO")+SUMIFS(MOVIMIENTOS!$F$4:$F$1000,MOVIMIENTOS!$C$4:$C$1000,A539,MOVIMIENTOS!$D$4:$D$1000,B539,MOVIMIENTOS!$E$4:$E$1000,C539,MOVIMIENTOS!$B$4:$B$1000,"AJUSTE+")-SUMIFS(MOVIMIENTOS!$F$4:$F$1000,MOVIMIENTOS!$C$4:$C$1000,A539,MOVIMIENTOS!$D$4:$D$1000,B539,MOVIMIENTOS!$E$4:$E$1000,C539,MOVIMIENTOS!$B$4:$B$1000,"A CORTE")-SUMIFS(MOVIMIENTOS!$F$4:$F$1000,MOVIMIENTOS!$C$4:$C$1000,A539,MOVIMIENTOS!$D$4:$D$1000,B539,MOVIMIENTOS!$E$4:$E$1000,C539,MOVIMIENTOS!$B$4:$B$1000,"A REPROCESO")-SUMIFS(MOVIMIENTOS!$F$4:$F$1000,MOVIMIENTOS!$C$4:$C$1000,A539,MOVIMIENTOS!$D$4:$D$1000,B539,MOVIMIENTOS!$E$4:$E$1000,C539,MOVIMIENTOS!$B$4:$B$1000,"MUESTRA")-SUMIFS(MOVIMIENTOS!$F$4:$F$1000,MOVIMIENTOS!$C$4:$C$1000,A539,MOVIMIENTOS!$D$4:$D$1000,B539,MOVIMIENTOS!$E$4:$E$1000,C539,MOVIMIENTOS!$B$4:$B$1000,"AJUSTE-"),0)</f>
        <v>0</v>
      </c>
      <c r="F539" s="101">
        <f>IFERROR(E539*VLOOKUP(B539,TELAS!$A$4:$C$32,3,FALSE()),0)</f>
        <v>0</v>
      </c>
      <c r="G539" s="102">
        <f>IFERROR(IF(D539="OSCURO",VLOOKUP(B539,PRECIOS!$A$4:$F$32,2,FALSE()),IF(D539="CLARO",VLOOKUP(B539,PRECIOS!$A$4:$F$32,3,FALSE()),IF(D539="MELANGE",VLOOKUP(B539,PRECIOS!$A$4:$F$32,4,FALSE()),IF(D539="PPT",VLOOKUP(B539,PRECIOS!$A$4:$F$32,5,FALSE()),0)))),0)</f>
        <v>0</v>
      </c>
      <c r="H539" s="103">
        <f t="shared" si="1"/>
        <v>0</v>
      </c>
      <c r="I539" s="104" t="str">
        <f>IF(E539&lt;0,"ERROR",IF(E539=0,"",IF(E539&lt;CONFIG!$B$4,"CRÍTICO",IF(E539&lt;CONFIG!$B$5,"BAJO","OK"))))</f>
        <v/>
      </c>
    </row>
    <row r="540" ht="15.75" customHeight="1">
      <c r="A540" s="90" t="str">
        <f>IF(CLIENTES!A7="","",CLIENTES!A7)</f>
        <v/>
      </c>
      <c r="B540" s="67" t="str">
        <f>TELAS!A9</f>
        <v>rib 2x1 lycrado</v>
      </c>
      <c r="C540" s="67" t="str">
        <f>COLORES!A20</f>
        <v/>
      </c>
      <c r="D540" s="67" t="str">
        <f>COLORES!B20</f>
        <v/>
      </c>
      <c r="E540" s="100">
        <f>IFERROR(SUMIFS(MOVIMIENTOS!$F$4:$F$1000,MOVIMIENTOS!$C$4:$C$1000,A540,MOVIMIENTOS!$D$4:$D$1000,B540,MOVIMIENTOS!$E$4:$E$1000,C540,MOVIMIENTOS!$B$4:$B$1000,"INGRESO")+SUMIFS(MOVIMIENTOS!$F$4:$F$1000,MOVIMIENTOS!$C$4:$C$1000,A540,MOVIMIENTOS!$D$4:$D$1000,B540,MOVIMIENTOS!$E$4:$E$1000,C540,MOVIMIENTOS!$B$4:$B$1000,"DE REPROCESO")+SUMIFS(MOVIMIENTOS!$F$4:$F$1000,MOVIMIENTOS!$C$4:$C$1000,A540,MOVIMIENTOS!$D$4:$D$1000,B540,MOVIMIENTOS!$E$4:$E$1000,C540,MOVIMIENTOS!$B$4:$B$1000,"AJUSTE+")-SUMIFS(MOVIMIENTOS!$F$4:$F$1000,MOVIMIENTOS!$C$4:$C$1000,A540,MOVIMIENTOS!$D$4:$D$1000,B540,MOVIMIENTOS!$E$4:$E$1000,C540,MOVIMIENTOS!$B$4:$B$1000,"A CORTE")-SUMIFS(MOVIMIENTOS!$F$4:$F$1000,MOVIMIENTOS!$C$4:$C$1000,A540,MOVIMIENTOS!$D$4:$D$1000,B540,MOVIMIENTOS!$E$4:$E$1000,C540,MOVIMIENTOS!$B$4:$B$1000,"A REPROCESO")-SUMIFS(MOVIMIENTOS!$F$4:$F$1000,MOVIMIENTOS!$C$4:$C$1000,A540,MOVIMIENTOS!$D$4:$D$1000,B540,MOVIMIENTOS!$E$4:$E$1000,C540,MOVIMIENTOS!$B$4:$B$1000,"MUESTRA")-SUMIFS(MOVIMIENTOS!$F$4:$F$1000,MOVIMIENTOS!$C$4:$C$1000,A540,MOVIMIENTOS!$D$4:$D$1000,B540,MOVIMIENTOS!$E$4:$E$1000,C540,MOVIMIENTOS!$B$4:$B$1000,"AJUSTE-"),0)</f>
        <v>0</v>
      </c>
      <c r="F540" s="101">
        <f>IFERROR(E540*VLOOKUP(B540,TELAS!$A$4:$C$32,3,FALSE()),0)</f>
        <v>0</v>
      </c>
      <c r="G540" s="102">
        <f>IFERROR(IF(D540="OSCURO",VLOOKUP(B540,PRECIOS!$A$4:$F$32,2,FALSE()),IF(D540="CLARO",VLOOKUP(B540,PRECIOS!$A$4:$F$32,3,FALSE()),IF(D540="MELANGE",VLOOKUP(B540,PRECIOS!$A$4:$F$32,4,FALSE()),IF(D540="PPT",VLOOKUP(B540,PRECIOS!$A$4:$F$32,5,FALSE()),0)))),0)</f>
        <v>0</v>
      </c>
      <c r="H540" s="103">
        <f t="shared" si="1"/>
        <v>0</v>
      </c>
      <c r="I540" s="104" t="str">
        <f>IF(E540&lt;0,"ERROR",IF(E540=0,"",IF(E540&lt;CONFIG!$B$4,"CRÍTICO",IF(E540&lt;CONFIG!$B$5,"BAJO","OK"))))</f>
        <v/>
      </c>
    </row>
    <row r="541" ht="15.75" customHeight="1">
      <c r="A541" s="90" t="str">
        <f>IF(CLIENTES!A7="","",CLIENTES!A7)</f>
        <v/>
      </c>
      <c r="B541" s="67" t="str">
        <f>TELAS!A9</f>
        <v>rib 2x1 lycrado</v>
      </c>
      <c r="C541" s="67" t="str">
        <f>COLORES!A21</f>
        <v/>
      </c>
      <c r="D541" s="67" t="str">
        <f>COLORES!B21</f>
        <v/>
      </c>
      <c r="E541" s="100">
        <f>IFERROR(SUMIFS(MOVIMIENTOS!$F$4:$F$1000,MOVIMIENTOS!$C$4:$C$1000,A541,MOVIMIENTOS!$D$4:$D$1000,B541,MOVIMIENTOS!$E$4:$E$1000,C541,MOVIMIENTOS!$B$4:$B$1000,"INGRESO")+SUMIFS(MOVIMIENTOS!$F$4:$F$1000,MOVIMIENTOS!$C$4:$C$1000,A541,MOVIMIENTOS!$D$4:$D$1000,B541,MOVIMIENTOS!$E$4:$E$1000,C541,MOVIMIENTOS!$B$4:$B$1000,"DE REPROCESO")+SUMIFS(MOVIMIENTOS!$F$4:$F$1000,MOVIMIENTOS!$C$4:$C$1000,A541,MOVIMIENTOS!$D$4:$D$1000,B541,MOVIMIENTOS!$E$4:$E$1000,C541,MOVIMIENTOS!$B$4:$B$1000,"AJUSTE+")-SUMIFS(MOVIMIENTOS!$F$4:$F$1000,MOVIMIENTOS!$C$4:$C$1000,A541,MOVIMIENTOS!$D$4:$D$1000,B541,MOVIMIENTOS!$E$4:$E$1000,C541,MOVIMIENTOS!$B$4:$B$1000,"A CORTE")-SUMIFS(MOVIMIENTOS!$F$4:$F$1000,MOVIMIENTOS!$C$4:$C$1000,A541,MOVIMIENTOS!$D$4:$D$1000,B541,MOVIMIENTOS!$E$4:$E$1000,C541,MOVIMIENTOS!$B$4:$B$1000,"A REPROCESO")-SUMIFS(MOVIMIENTOS!$F$4:$F$1000,MOVIMIENTOS!$C$4:$C$1000,A541,MOVIMIENTOS!$D$4:$D$1000,B541,MOVIMIENTOS!$E$4:$E$1000,C541,MOVIMIENTOS!$B$4:$B$1000,"MUESTRA")-SUMIFS(MOVIMIENTOS!$F$4:$F$1000,MOVIMIENTOS!$C$4:$C$1000,A541,MOVIMIENTOS!$D$4:$D$1000,B541,MOVIMIENTOS!$E$4:$E$1000,C541,MOVIMIENTOS!$B$4:$B$1000,"AJUSTE-"),0)</f>
        <v>0</v>
      </c>
      <c r="F541" s="101">
        <f>IFERROR(E541*VLOOKUP(B541,TELAS!$A$4:$C$32,3,FALSE()),0)</f>
        <v>0</v>
      </c>
      <c r="G541" s="102">
        <f>IFERROR(IF(D541="OSCURO",VLOOKUP(B541,PRECIOS!$A$4:$F$32,2,FALSE()),IF(D541="CLARO",VLOOKUP(B541,PRECIOS!$A$4:$F$32,3,FALSE()),IF(D541="MELANGE",VLOOKUP(B541,PRECIOS!$A$4:$F$32,4,FALSE()),IF(D541="PPT",VLOOKUP(B541,PRECIOS!$A$4:$F$32,5,FALSE()),0)))),0)</f>
        <v>0</v>
      </c>
      <c r="H541" s="103">
        <f t="shared" si="1"/>
        <v>0</v>
      </c>
      <c r="I541" s="104" t="str">
        <f>IF(E541&lt;0,"ERROR",IF(E541=0,"",IF(E541&lt;CONFIG!$B$4,"CRÍTICO",IF(E541&lt;CONFIG!$B$5,"BAJO","OK"))))</f>
        <v/>
      </c>
    </row>
    <row r="542" ht="15.75" customHeight="1">
      <c r="A542" s="90" t="str">
        <f>IF(CLIENTES!A7="","",CLIENTES!A7)</f>
        <v/>
      </c>
      <c r="B542" s="67" t="str">
        <f>TELAS!A9</f>
        <v>rib 2x1 lycrado</v>
      </c>
      <c r="C542" s="67" t="str">
        <f>COLORES!A22</f>
        <v/>
      </c>
      <c r="D542" s="67" t="str">
        <f>COLORES!B22</f>
        <v/>
      </c>
      <c r="E542" s="100">
        <f>IFERROR(SUMIFS(MOVIMIENTOS!$F$4:$F$1000,MOVIMIENTOS!$C$4:$C$1000,A542,MOVIMIENTOS!$D$4:$D$1000,B542,MOVIMIENTOS!$E$4:$E$1000,C542,MOVIMIENTOS!$B$4:$B$1000,"INGRESO")+SUMIFS(MOVIMIENTOS!$F$4:$F$1000,MOVIMIENTOS!$C$4:$C$1000,A542,MOVIMIENTOS!$D$4:$D$1000,B542,MOVIMIENTOS!$E$4:$E$1000,C542,MOVIMIENTOS!$B$4:$B$1000,"DE REPROCESO")+SUMIFS(MOVIMIENTOS!$F$4:$F$1000,MOVIMIENTOS!$C$4:$C$1000,A542,MOVIMIENTOS!$D$4:$D$1000,B542,MOVIMIENTOS!$E$4:$E$1000,C542,MOVIMIENTOS!$B$4:$B$1000,"AJUSTE+")-SUMIFS(MOVIMIENTOS!$F$4:$F$1000,MOVIMIENTOS!$C$4:$C$1000,A542,MOVIMIENTOS!$D$4:$D$1000,B542,MOVIMIENTOS!$E$4:$E$1000,C542,MOVIMIENTOS!$B$4:$B$1000,"A CORTE")-SUMIFS(MOVIMIENTOS!$F$4:$F$1000,MOVIMIENTOS!$C$4:$C$1000,A542,MOVIMIENTOS!$D$4:$D$1000,B542,MOVIMIENTOS!$E$4:$E$1000,C542,MOVIMIENTOS!$B$4:$B$1000,"A REPROCESO")-SUMIFS(MOVIMIENTOS!$F$4:$F$1000,MOVIMIENTOS!$C$4:$C$1000,A542,MOVIMIENTOS!$D$4:$D$1000,B542,MOVIMIENTOS!$E$4:$E$1000,C542,MOVIMIENTOS!$B$4:$B$1000,"MUESTRA")-SUMIFS(MOVIMIENTOS!$F$4:$F$1000,MOVIMIENTOS!$C$4:$C$1000,A542,MOVIMIENTOS!$D$4:$D$1000,B542,MOVIMIENTOS!$E$4:$E$1000,C542,MOVIMIENTOS!$B$4:$B$1000,"AJUSTE-"),0)</f>
        <v>0</v>
      </c>
      <c r="F542" s="101">
        <f>IFERROR(E542*VLOOKUP(B542,TELAS!$A$4:$C$32,3,FALSE()),0)</f>
        <v>0</v>
      </c>
      <c r="G542" s="102">
        <f>IFERROR(IF(D542="OSCURO",VLOOKUP(B542,PRECIOS!$A$4:$F$32,2,FALSE()),IF(D542="CLARO",VLOOKUP(B542,PRECIOS!$A$4:$F$32,3,FALSE()),IF(D542="MELANGE",VLOOKUP(B542,PRECIOS!$A$4:$F$32,4,FALSE()),IF(D542="PPT",VLOOKUP(B542,PRECIOS!$A$4:$F$32,5,FALSE()),0)))),0)</f>
        <v>0</v>
      </c>
      <c r="H542" s="103">
        <f t="shared" si="1"/>
        <v>0</v>
      </c>
      <c r="I542" s="104" t="str">
        <f>IF(E542&lt;0,"ERROR",IF(E542=0,"",IF(E542&lt;CONFIG!$B$4,"CRÍTICO",IF(E542&lt;CONFIG!$B$5,"BAJO","OK"))))</f>
        <v/>
      </c>
    </row>
    <row r="543" ht="15.75" customHeight="1">
      <c r="A543" s="90" t="str">
        <f>IF(CLIENTES!A7="","",CLIENTES!A7)</f>
        <v/>
      </c>
      <c r="B543" s="67" t="str">
        <f>TELAS!A9</f>
        <v>rib 2x1 lycrado</v>
      </c>
      <c r="C543" s="67" t="str">
        <f>COLORES!A23</f>
        <v/>
      </c>
      <c r="D543" s="67" t="str">
        <f>COLORES!B23</f>
        <v/>
      </c>
      <c r="E543" s="100">
        <f>IFERROR(SUMIFS(MOVIMIENTOS!$F$4:$F$1000,MOVIMIENTOS!$C$4:$C$1000,A543,MOVIMIENTOS!$D$4:$D$1000,B543,MOVIMIENTOS!$E$4:$E$1000,C543,MOVIMIENTOS!$B$4:$B$1000,"INGRESO")+SUMIFS(MOVIMIENTOS!$F$4:$F$1000,MOVIMIENTOS!$C$4:$C$1000,A543,MOVIMIENTOS!$D$4:$D$1000,B543,MOVIMIENTOS!$E$4:$E$1000,C543,MOVIMIENTOS!$B$4:$B$1000,"DE REPROCESO")+SUMIFS(MOVIMIENTOS!$F$4:$F$1000,MOVIMIENTOS!$C$4:$C$1000,A543,MOVIMIENTOS!$D$4:$D$1000,B543,MOVIMIENTOS!$E$4:$E$1000,C543,MOVIMIENTOS!$B$4:$B$1000,"AJUSTE+")-SUMIFS(MOVIMIENTOS!$F$4:$F$1000,MOVIMIENTOS!$C$4:$C$1000,A543,MOVIMIENTOS!$D$4:$D$1000,B543,MOVIMIENTOS!$E$4:$E$1000,C543,MOVIMIENTOS!$B$4:$B$1000,"A CORTE")-SUMIFS(MOVIMIENTOS!$F$4:$F$1000,MOVIMIENTOS!$C$4:$C$1000,A543,MOVIMIENTOS!$D$4:$D$1000,B543,MOVIMIENTOS!$E$4:$E$1000,C543,MOVIMIENTOS!$B$4:$B$1000,"A REPROCESO")-SUMIFS(MOVIMIENTOS!$F$4:$F$1000,MOVIMIENTOS!$C$4:$C$1000,A543,MOVIMIENTOS!$D$4:$D$1000,B543,MOVIMIENTOS!$E$4:$E$1000,C543,MOVIMIENTOS!$B$4:$B$1000,"MUESTRA")-SUMIFS(MOVIMIENTOS!$F$4:$F$1000,MOVIMIENTOS!$C$4:$C$1000,A543,MOVIMIENTOS!$D$4:$D$1000,B543,MOVIMIENTOS!$E$4:$E$1000,C543,MOVIMIENTOS!$B$4:$B$1000,"AJUSTE-"),0)</f>
        <v>0</v>
      </c>
      <c r="F543" s="101">
        <f>IFERROR(E543*VLOOKUP(B543,TELAS!$A$4:$C$32,3,FALSE()),0)</f>
        <v>0</v>
      </c>
      <c r="G543" s="102">
        <f>IFERROR(IF(D543="OSCURO",VLOOKUP(B543,PRECIOS!$A$4:$F$32,2,FALSE()),IF(D543="CLARO",VLOOKUP(B543,PRECIOS!$A$4:$F$32,3,FALSE()),IF(D543="MELANGE",VLOOKUP(B543,PRECIOS!$A$4:$F$32,4,FALSE()),IF(D543="PPT",VLOOKUP(B543,PRECIOS!$A$4:$F$32,5,FALSE()),0)))),0)</f>
        <v>0</v>
      </c>
      <c r="H543" s="103">
        <f t="shared" si="1"/>
        <v>0</v>
      </c>
      <c r="I543" s="104" t="str">
        <f>IF(E543&lt;0,"ERROR",IF(E543=0,"",IF(E543&lt;CONFIG!$B$4,"CRÍTICO",IF(E543&lt;CONFIG!$B$5,"BAJO","OK"))))</f>
        <v/>
      </c>
    </row>
    <row r="544" ht="15.75" customHeight="1">
      <c r="A544" s="90" t="str">
        <f>IF(CLIENTES!A7="","",CLIENTES!A7)</f>
        <v/>
      </c>
      <c r="B544" s="67" t="str">
        <f>TELAS!A10</f>
        <v>jersey full lycra 30/1</v>
      </c>
      <c r="C544" s="67" t="str">
        <f>COLORES!A4</f>
        <v>Negro</v>
      </c>
      <c r="D544" s="67" t="str">
        <f>COLORES!B4</f>
        <v>OSCURO</v>
      </c>
      <c r="E544" s="100">
        <f>IFERROR(SUMIFS(MOVIMIENTOS!$F$4:$F$1000,MOVIMIENTOS!$C$4:$C$1000,A544,MOVIMIENTOS!$D$4:$D$1000,B544,MOVIMIENTOS!$E$4:$E$1000,C544,MOVIMIENTOS!$B$4:$B$1000,"INGRESO")+SUMIFS(MOVIMIENTOS!$F$4:$F$1000,MOVIMIENTOS!$C$4:$C$1000,A544,MOVIMIENTOS!$D$4:$D$1000,B544,MOVIMIENTOS!$E$4:$E$1000,C544,MOVIMIENTOS!$B$4:$B$1000,"DE REPROCESO")+SUMIFS(MOVIMIENTOS!$F$4:$F$1000,MOVIMIENTOS!$C$4:$C$1000,A544,MOVIMIENTOS!$D$4:$D$1000,B544,MOVIMIENTOS!$E$4:$E$1000,C544,MOVIMIENTOS!$B$4:$B$1000,"AJUSTE+")-SUMIFS(MOVIMIENTOS!$F$4:$F$1000,MOVIMIENTOS!$C$4:$C$1000,A544,MOVIMIENTOS!$D$4:$D$1000,B544,MOVIMIENTOS!$E$4:$E$1000,C544,MOVIMIENTOS!$B$4:$B$1000,"A CORTE")-SUMIFS(MOVIMIENTOS!$F$4:$F$1000,MOVIMIENTOS!$C$4:$C$1000,A544,MOVIMIENTOS!$D$4:$D$1000,B544,MOVIMIENTOS!$E$4:$E$1000,C544,MOVIMIENTOS!$B$4:$B$1000,"A REPROCESO")-SUMIFS(MOVIMIENTOS!$F$4:$F$1000,MOVIMIENTOS!$C$4:$C$1000,A544,MOVIMIENTOS!$D$4:$D$1000,B544,MOVIMIENTOS!$E$4:$E$1000,C544,MOVIMIENTOS!$B$4:$B$1000,"MUESTRA")-SUMIFS(MOVIMIENTOS!$F$4:$F$1000,MOVIMIENTOS!$C$4:$C$1000,A544,MOVIMIENTOS!$D$4:$D$1000,B544,MOVIMIENTOS!$E$4:$E$1000,C544,MOVIMIENTOS!$B$4:$B$1000,"AJUSTE-"),0)</f>
        <v>0</v>
      </c>
      <c r="F544" s="101">
        <f>IFERROR(E544*VLOOKUP(B544,TELAS!$A$4:$C$32,3,FALSE()),0)</f>
        <v>0</v>
      </c>
      <c r="G544" s="102">
        <f>IFERROR(IF(D544="OSCURO",VLOOKUP(B544,PRECIOS!$A$4:$F$32,2,FALSE()),IF(D544="CLARO",VLOOKUP(B544,PRECIOS!$A$4:$F$32,3,FALSE()),IF(D544="MELANGE",VLOOKUP(B544,PRECIOS!$A$4:$F$32,4,FALSE()),IF(D544="PPT",VLOOKUP(B544,PRECIOS!$A$4:$F$32,5,FALSE()),0)))),0)</f>
        <v>26</v>
      </c>
      <c r="H544" s="103">
        <f t="shared" si="1"/>
        <v>0</v>
      </c>
      <c r="I544" s="104" t="str">
        <f>IF(E544&lt;0,"ERROR",IF(E544=0,"",IF(E544&lt;CONFIG!$B$4,"CRÍTICO",IF(E544&lt;CONFIG!$B$5,"BAJO","OK"))))</f>
        <v/>
      </c>
    </row>
    <row r="545" ht="15.75" customHeight="1">
      <c r="A545" s="90" t="str">
        <f>IF(CLIENTES!A7="","",CLIENTES!A7)</f>
        <v/>
      </c>
      <c r="B545" s="67" t="str">
        <f>TELAS!A10</f>
        <v>jersey full lycra 30/1</v>
      </c>
      <c r="C545" s="67" t="str">
        <f>COLORES!A5</f>
        <v>Perla</v>
      </c>
      <c r="D545" s="67" t="str">
        <f>COLORES!B5</f>
        <v>PPT</v>
      </c>
      <c r="E545" s="100">
        <f>IFERROR(SUMIFS(MOVIMIENTOS!$F$4:$F$1000,MOVIMIENTOS!$C$4:$C$1000,A545,MOVIMIENTOS!$D$4:$D$1000,B545,MOVIMIENTOS!$E$4:$E$1000,C545,MOVIMIENTOS!$B$4:$B$1000,"INGRESO")+SUMIFS(MOVIMIENTOS!$F$4:$F$1000,MOVIMIENTOS!$C$4:$C$1000,A545,MOVIMIENTOS!$D$4:$D$1000,B545,MOVIMIENTOS!$E$4:$E$1000,C545,MOVIMIENTOS!$B$4:$B$1000,"DE REPROCESO")+SUMIFS(MOVIMIENTOS!$F$4:$F$1000,MOVIMIENTOS!$C$4:$C$1000,A545,MOVIMIENTOS!$D$4:$D$1000,B545,MOVIMIENTOS!$E$4:$E$1000,C545,MOVIMIENTOS!$B$4:$B$1000,"AJUSTE+")-SUMIFS(MOVIMIENTOS!$F$4:$F$1000,MOVIMIENTOS!$C$4:$C$1000,A545,MOVIMIENTOS!$D$4:$D$1000,B545,MOVIMIENTOS!$E$4:$E$1000,C545,MOVIMIENTOS!$B$4:$B$1000,"A CORTE")-SUMIFS(MOVIMIENTOS!$F$4:$F$1000,MOVIMIENTOS!$C$4:$C$1000,A545,MOVIMIENTOS!$D$4:$D$1000,B545,MOVIMIENTOS!$E$4:$E$1000,C545,MOVIMIENTOS!$B$4:$B$1000,"A REPROCESO")-SUMIFS(MOVIMIENTOS!$F$4:$F$1000,MOVIMIENTOS!$C$4:$C$1000,A545,MOVIMIENTOS!$D$4:$D$1000,B545,MOVIMIENTOS!$E$4:$E$1000,C545,MOVIMIENTOS!$B$4:$B$1000,"MUESTRA")-SUMIFS(MOVIMIENTOS!$F$4:$F$1000,MOVIMIENTOS!$C$4:$C$1000,A545,MOVIMIENTOS!$D$4:$D$1000,B545,MOVIMIENTOS!$E$4:$E$1000,C545,MOVIMIENTOS!$B$4:$B$1000,"AJUSTE-"),0)</f>
        <v>0</v>
      </c>
      <c r="F545" s="101">
        <f>IFERROR(E545*VLOOKUP(B545,TELAS!$A$4:$C$32,3,FALSE()),0)</f>
        <v>0</v>
      </c>
      <c r="G545" s="102">
        <f>IFERROR(IF(D545="OSCURO",VLOOKUP(B545,PRECIOS!$A$4:$F$32,2,FALSE()),IF(D545="CLARO",VLOOKUP(B545,PRECIOS!$A$4:$F$32,3,FALSE()),IF(D545="MELANGE",VLOOKUP(B545,PRECIOS!$A$4:$F$32,4,FALSE()),IF(D545="PPT",VLOOKUP(B545,PRECIOS!$A$4:$F$32,5,FALSE()),0)))),0)</f>
        <v>19</v>
      </c>
      <c r="H545" s="103">
        <f t="shared" si="1"/>
        <v>0</v>
      </c>
      <c r="I545" s="104" t="str">
        <f>IF(E545&lt;0,"ERROR",IF(E545=0,"",IF(E545&lt;CONFIG!$B$4,"CRÍTICO",IF(E545&lt;CONFIG!$B$5,"BAJO","OK"))))</f>
        <v/>
      </c>
    </row>
    <row r="546" ht="15.75" customHeight="1">
      <c r="A546" s="90" t="str">
        <f>IF(CLIENTES!A7="","",CLIENTES!A7)</f>
        <v/>
      </c>
      <c r="B546" s="67" t="str">
        <f>TELAS!A10</f>
        <v>jersey full lycra 30/1</v>
      </c>
      <c r="C546" s="67" t="str">
        <f>COLORES!A6</f>
        <v>Blanco</v>
      </c>
      <c r="D546" s="67" t="str">
        <f>COLORES!B6</f>
        <v>PPT</v>
      </c>
      <c r="E546" s="100">
        <f>IFERROR(SUMIFS(MOVIMIENTOS!$F$4:$F$1000,MOVIMIENTOS!$C$4:$C$1000,A546,MOVIMIENTOS!$D$4:$D$1000,B546,MOVIMIENTOS!$E$4:$E$1000,C546,MOVIMIENTOS!$B$4:$B$1000,"INGRESO")+SUMIFS(MOVIMIENTOS!$F$4:$F$1000,MOVIMIENTOS!$C$4:$C$1000,A546,MOVIMIENTOS!$D$4:$D$1000,B546,MOVIMIENTOS!$E$4:$E$1000,C546,MOVIMIENTOS!$B$4:$B$1000,"DE REPROCESO")+SUMIFS(MOVIMIENTOS!$F$4:$F$1000,MOVIMIENTOS!$C$4:$C$1000,A546,MOVIMIENTOS!$D$4:$D$1000,B546,MOVIMIENTOS!$E$4:$E$1000,C546,MOVIMIENTOS!$B$4:$B$1000,"AJUSTE+")-SUMIFS(MOVIMIENTOS!$F$4:$F$1000,MOVIMIENTOS!$C$4:$C$1000,A546,MOVIMIENTOS!$D$4:$D$1000,B546,MOVIMIENTOS!$E$4:$E$1000,C546,MOVIMIENTOS!$B$4:$B$1000,"A CORTE")-SUMIFS(MOVIMIENTOS!$F$4:$F$1000,MOVIMIENTOS!$C$4:$C$1000,A546,MOVIMIENTOS!$D$4:$D$1000,B546,MOVIMIENTOS!$E$4:$E$1000,C546,MOVIMIENTOS!$B$4:$B$1000,"A REPROCESO")-SUMIFS(MOVIMIENTOS!$F$4:$F$1000,MOVIMIENTOS!$C$4:$C$1000,A546,MOVIMIENTOS!$D$4:$D$1000,B546,MOVIMIENTOS!$E$4:$E$1000,C546,MOVIMIENTOS!$B$4:$B$1000,"MUESTRA")-SUMIFS(MOVIMIENTOS!$F$4:$F$1000,MOVIMIENTOS!$C$4:$C$1000,A546,MOVIMIENTOS!$D$4:$D$1000,B546,MOVIMIENTOS!$E$4:$E$1000,C546,MOVIMIENTOS!$B$4:$B$1000,"AJUSTE-"),0)</f>
        <v>0</v>
      </c>
      <c r="F546" s="101">
        <f>IFERROR(E546*VLOOKUP(B546,TELAS!$A$4:$C$32,3,FALSE()),0)</f>
        <v>0</v>
      </c>
      <c r="G546" s="102">
        <f>IFERROR(IF(D546="OSCURO",VLOOKUP(B546,PRECIOS!$A$4:$F$32,2,FALSE()),IF(D546="CLARO",VLOOKUP(B546,PRECIOS!$A$4:$F$32,3,FALSE()),IF(D546="MELANGE",VLOOKUP(B546,PRECIOS!$A$4:$F$32,4,FALSE()),IF(D546="PPT",VLOOKUP(B546,PRECIOS!$A$4:$F$32,5,FALSE()),0)))),0)</f>
        <v>19</v>
      </c>
      <c r="H546" s="103">
        <f t="shared" si="1"/>
        <v>0</v>
      </c>
      <c r="I546" s="104" t="str">
        <f>IF(E546&lt;0,"ERROR",IF(E546=0,"",IF(E546&lt;CONFIG!$B$4,"CRÍTICO",IF(E546&lt;CONFIG!$B$5,"BAJO","OK"))))</f>
        <v/>
      </c>
    </row>
    <row r="547" ht="15.75" customHeight="1">
      <c r="A547" s="90" t="str">
        <f>IF(CLIENTES!A7="","",CLIENTES!A7)</f>
        <v/>
      </c>
      <c r="B547" s="67" t="str">
        <f>TELAS!A10</f>
        <v>jersey full lycra 30/1</v>
      </c>
      <c r="C547" s="67" t="str">
        <f>COLORES!A7</f>
        <v>Azul</v>
      </c>
      <c r="D547" s="67" t="str">
        <f>COLORES!B7</f>
        <v>OSCURO</v>
      </c>
      <c r="E547" s="100">
        <f>IFERROR(SUMIFS(MOVIMIENTOS!$F$4:$F$1000,MOVIMIENTOS!$C$4:$C$1000,A547,MOVIMIENTOS!$D$4:$D$1000,B547,MOVIMIENTOS!$E$4:$E$1000,C547,MOVIMIENTOS!$B$4:$B$1000,"INGRESO")+SUMIFS(MOVIMIENTOS!$F$4:$F$1000,MOVIMIENTOS!$C$4:$C$1000,A547,MOVIMIENTOS!$D$4:$D$1000,B547,MOVIMIENTOS!$E$4:$E$1000,C547,MOVIMIENTOS!$B$4:$B$1000,"DE REPROCESO")+SUMIFS(MOVIMIENTOS!$F$4:$F$1000,MOVIMIENTOS!$C$4:$C$1000,A547,MOVIMIENTOS!$D$4:$D$1000,B547,MOVIMIENTOS!$E$4:$E$1000,C547,MOVIMIENTOS!$B$4:$B$1000,"AJUSTE+")-SUMIFS(MOVIMIENTOS!$F$4:$F$1000,MOVIMIENTOS!$C$4:$C$1000,A547,MOVIMIENTOS!$D$4:$D$1000,B547,MOVIMIENTOS!$E$4:$E$1000,C547,MOVIMIENTOS!$B$4:$B$1000,"A CORTE")-SUMIFS(MOVIMIENTOS!$F$4:$F$1000,MOVIMIENTOS!$C$4:$C$1000,A547,MOVIMIENTOS!$D$4:$D$1000,B547,MOVIMIENTOS!$E$4:$E$1000,C547,MOVIMIENTOS!$B$4:$B$1000,"A REPROCESO")-SUMIFS(MOVIMIENTOS!$F$4:$F$1000,MOVIMIENTOS!$C$4:$C$1000,A547,MOVIMIENTOS!$D$4:$D$1000,B547,MOVIMIENTOS!$E$4:$E$1000,C547,MOVIMIENTOS!$B$4:$B$1000,"MUESTRA")-SUMIFS(MOVIMIENTOS!$F$4:$F$1000,MOVIMIENTOS!$C$4:$C$1000,A547,MOVIMIENTOS!$D$4:$D$1000,B547,MOVIMIENTOS!$E$4:$E$1000,C547,MOVIMIENTOS!$B$4:$B$1000,"AJUSTE-"),0)</f>
        <v>0</v>
      </c>
      <c r="F547" s="101">
        <f>IFERROR(E547*VLOOKUP(B547,TELAS!$A$4:$C$32,3,FALSE()),0)</f>
        <v>0</v>
      </c>
      <c r="G547" s="102">
        <f>IFERROR(IF(D547="OSCURO",VLOOKUP(B547,PRECIOS!$A$4:$F$32,2,FALSE()),IF(D547="CLARO",VLOOKUP(B547,PRECIOS!$A$4:$F$32,3,FALSE()),IF(D547="MELANGE",VLOOKUP(B547,PRECIOS!$A$4:$F$32,4,FALSE()),IF(D547="PPT",VLOOKUP(B547,PRECIOS!$A$4:$F$32,5,FALSE()),0)))),0)</f>
        <v>26</v>
      </c>
      <c r="H547" s="103">
        <f t="shared" si="1"/>
        <v>0</v>
      </c>
      <c r="I547" s="104" t="str">
        <f>IF(E547&lt;0,"ERROR",IF(E547=0,"",IF(E547&lt;CONFIG!$B$4,"CRÍTICO",IF(E547&lt;CONFIG!$B$5,"BAJO","OK"))))</f>
        <v/>
      </c>
    </row>
    <row r="548" ht="15.75" customHeight="1">
      <c r="A548" s="90" t="str">
        <f>IF(CLIENTES!A7="","",CLIENTES!A7)</f>
        <v/>
      </c>
      <c r="B548" s="67" t="str">
        <f>TELAS!A10</f>
        <v>jersey full lycra 30/1</v>
      </c>
      <c r="C548" s="67" t="str">
        <f>COLORES!A8</f>
        <v>Beige</v>
      </c>
      <c r="D548" s="67" t="str">
        <f>COLORES!B8</f>
        <v>CLARO</v>
      </c>
      <c r="E548" s="100">
        <f>IFERROR(SUMIFS(MOVIMIENTOS!$F$4:$F$1000,MOVIMIENTOS!$C$4:$C$1000,A548,MOVIMIENTOS!$D$4:$D$1000,B548,MOVIMIENTOS!$E$4:$E$1000,C548,MOVIMIENTOS!$B$4:$B$1000,"INGRESO")+SUMIFS(MOVIMIENTOS!$F$4:$F$1000,MOVIMIENTOS!$C$4:$C$1000,A548,MOVIMIENTOS!$D$4:$D$1000,B548,MOVIMIENTOS!$E$4:$E$1000,C548,MOVIMIENTOS!$B$4:$B$1000,"DE REPROCESO")+SUMIFS(MOVIMIENTOS!$F$4:$F$1000,MOVIMIENTOS!$C$4:$C$1000,A548,MOVIMIENTOS!$D$4:$D$1000,B548,MOVIMIENTOS!$E$4:$E$1000,C548,MOVIMIENTOS!$B$4:$B$1000,"AJUSTE+")-SUMIFS(MOVIMIENTOS!$F$4:$F$1000,MOVIMIENTOS!$C$4:$C$1000,A548,MOVIMIENTOS!$D$4:$D$1000,B548,MOVIMIENTOS!$E$4:$E$1000,C548,MOVIMIENTOS!$B$4:$B$1000,"A CORTE")-SUMIFS(MOVIMIENTOS!$F$4:$F$1000,MOVIMIENTOS!$C$4:$C$1000,A548,MOVIMIENTOS!$D$4:$D$1000,B548,MOVIMIENTOS!$E$4:$E$1000,C548,MOVIMIENTOS!$B$4:$B$1000,"A REPROCESO")-SUMIFS(MOVIMIENTOS!$F$4:$F$1000,MOVIMIENTOS!$C$4:$C$1000,A548,MOVIMIENTOS!$D$4:$D$1000,B548,MOVIMIENTOS!$E$4:$E$1000,C548,MOVIMIENTOS!$B$4:$B$1000,"MUESTRA")-SUMIFS(MOVIMIENTOS!$F$4:$F$1000,MOVIMIENTOS!$C$4:$C$1000,A548,MOVIMIENTOS!$D$4:$D$1000,B548,MOVIMIENTOS!$E$4:$E$1000,C548,MOVIMIENTOS!$B$4:$B$1000,"AJUSTE-"),0)</f>
        <v>0</v>
      </c>
      <c r="F548" s="101">
        <f>IFERROR(E548*VLOOKUP(B548,TELAS!$A$4:$C$32,3,FALSE()),0)</f>
        <v>0</v>
      </c>
      <c r="G548" s="102">
        <f>IFERROR(IF(D548="OSCURO",VLOOKUP(B548,PRECIOS!$A$4:$F$32,2,FALSE()),IF(D548="CLARO",VLOOKUP(B548,PRECIOS!$A$4:$F$32,3,FALSE()),IF(D548="MELANGE",VLOOKUP(B548,PRECIOS!$A$4:$F$32,4,FALSE()),IF(D548="PPT",VLOOKUP(B548,PRECIOS!$A$4:$F$32,5,FALSE()),0)))),0)</f>
        <v>22.5</v>
      </c>
      <c r="H548" s="103">
        <f t="shared" si="1"/>
        <v>0</v>
      </c>
      <c r="I548" s="104" t="str">
        <f>IF(E548&lt;0,"ERROR",IF(E548=0,"",IF(E548&lt;CONFIG!$B$4,"CRÍTICO",IF(E548&lt;CONFIG!$B$5,"BAJO","OK"))))</f>
        <v/>
      </c>
    </row>
    <row r="549" ht="15.75" customHeight="1">
      <c r="A549" s="90" t="str">
        <f>IF(CLIENTES!A7="","",CLIENTES!A7)</f>
        <v/>
      </c>
      <c r="B549" s="67" t="str">
        <f>TELAS!A10</f>
        <v>jersey full lycra 30/1</v>
      </c>
      <c r="C549" s="67" t="str">
        <f>COLORES!A9</f>
        <v>Melange</v>
      </c>
      <c r="D549" s="67" t="str">
        <f>COLORES!B9</f>
        <v>MELANGE</v>
      </c>
      <c r="E549" s="100">
        <f>IFERROR(SUMIFS(MOVIMIENTOS!$F$4:$F$1000,MOVIMIENTOS!$C$4:$C$1000,A549,MOVIMIENTOS!$D$4:$D$1000,B549,MOVIMIENTOS!$E$4:$E$1000,C549,MOVIMIENTOS!$B$4:$B$1000,"INGRESO")+SUMIFS(MOVIMIENTOS!$F$4:$F$1000,MOVIMIENTOS!$C$4:$C$1000,A549,MOVIMIENTOS!$D$4:$D$1000,B549,MOVIMIENTOS!$E$4:$E$1000,C549,MOVIMIENTOS!$B$4:$B$1000,"DE REPROCESO")+SUMIFS(MOVIMIENTOS!$F$4:$F$1000,MOVIMIENTOS!$C$4:$C$1000,A549,MOVIMIENTOS!$D$4:$D$1000,B549,MOVIMIENTOS!$E$4:$E$1000,C549,MOVIMIENTOS!$B$4:$B$1000,"AJUSTE+")-SUMIFS(MOVIMIENTOS!$F$4:$F$1000,MOVIMIENTOS!$C$4:$C$1000,A549,MOVIMIENTOS!$D$4:$D$1000,B549,MOVIMIENTOS!$E$4:$E$1000,C549,MOVIMIENTOS!$B$4:$B$1000,"A CORTE")-SUMIFS(MOVIMIENTOS!$F$4:$F$1000,MOVIMIENTOS!$C$4:$C$1000,A549,MOVIMIENTOS!$D$4:$D$1000,B549,MOVIMIENTOS!$E$4:$E$1000,C549,MOVIMIENTOS!$B$4:$B$1000,"A REPROCESO")-SUMIFS(MOVIMIENTOS!$F$4:$F$1000,MOVIMIENTOS!$C$4:$C$1000,A549,MOVIMIENTOS!$D$4:$D$1000,B549,MOVIMIENTOS!$E$4:$E$1000,C549,MOVIMIENTOS!$B$4:$B$1000,"MUESTRA")-SUMIFS(MOVIMIENTOS!$F$4:$F$1000,MOVIMIENTOS!$C$4:$C$1000,A549,MOVIMIENTOS!$D$4:$D$1000,B549,MOVIMIENTOS!$E$4:$E$1000,C549,MOVIMIENTOS!$B$4:$B$1000,"AJUSTE-"),0)</f>
        <v>0</v>
      </c>
      <c r="F549" s="101">
        <f>IFERROR(E549*VLOOKUP(B549,TELAS!$A$4:$C$32,3,FALSE()),0)</f>
        <v>0</v>
      </c>
      <c r="G549" s="102">
        <f>IFERROR(IF(D549="OSCURO",VLOOKUP(B549,PRECIOS!$A$4:$F$32,2,FALSE()),IF(D549="CLARO",VLOOKUP(B549,PRECIOS!$A$4:$F$32,3,FALSE()),IF(D549="MELANGE",VLOOKUP(B549,PRECIOS!$A$4:$F$32,4,FALSE()),IF(D549="PPT",VLOOKUP(B549,PRECIOS!$A$4:$F$32,5,FALSE()),0)))),0)</f>
        <v>19</v>
      </c>
      <c r="H549" s="103">
        <f t="shared" si="1"/>
        <v>0</v>
      </c>
      <c r="I549" s="104" t="str">
        <f>IF(E549&lt;0,"ERROR",IF(E549=0,"",IF(E549&lt;CONFIG!$B$4,"CRÍTICO",IF(E549&lt;CONFIG!$B$5,"BAJO","OK"))))</f>
        <v/>
      </c>
    </row>
    <row r="550" ht="15.75" customHeight="1">
      <c r="A550" s="90" t="str">
        <f>IF(CLIENTES!A7="","",CLIENTES!A7)</f>
        <v/>
      </c>
      <c r="B550" s="67" t="str">
        <f>TELAS!A10</f>
        <v>jersey full lycra 30/1</v>
      </c>
      <c r="C550" s="67" t="str">
        <f>COLORES!A10</f>
        <v>Botella</v>
      </c>
      <c r="D550" s="67" t="str">
        <f>COLORES!B10</f>
        <v>OSCURO</v>
      </c>
      <c r="E550" s="100">
        <f>IFERROR(SUMIFS(MOVIMIENTOS!$F$4:$F$1000,MOVIMIENTOS!$C$4:$C$1000,A550,MOVIMIENTOS!$D$4:$D$1000,B550,MOVIMIENTOS!$E$4:$E$1000,C550,MOVIMIENTOS!$B$4:$B$1000,"INGRESO")+SUMIFS(MOVIMIENTOS!$F$4:$F$1000,MOVIMIENTOS!$C$4:$C$1000,A550,MOVIMIENTOS!$D$4:$D$1000,B550,MOVIMIENTOS!$E$4:$E$1000,C550,MOVIMIENTOS!$B$4:$B$1000,"DE REPROCESO")+SUMIFS(MOVIMIENTOS!$F$4:$F$1000,MOVIMIENTOS!$C$4:$C$1000,A550,MOVIMIENTOS!$D$4:$D$1000,B550,MOVIMIENTOS!$E$4:$E$1000,C550,MOVIMIENTOS!$B$4:$B$1000,"AJUSTE+")-SUMIFS(MOVIMIENTOS!$F$4:$F$1000,MOVIMIENTOS!$C$4:$C$1000,A550,MOVIMIENTOS!$D$4:$D$1000,B550,MOVIMIENTOS!$E$4:$E$1000,C550,MOVIMIENTOS!$B$4:$B$1000,"A CORTE")-SUMIFS(MOVIMIENTOS!$F$4:$F$1000,MOVIMIENTOS!$C$4:$C$1000,A550,MOVIMIENTOS!$D$4:$D$1000,B550,MOVIMIENTOS!$E$4:$E$1000,C550,MOVIMIENTOS!$B$4:$B$1000,"A REPROCESO")-SUMIFS(MOVIMIENTOS!$F$4:$F$1000,MOVIMIENTOS!$C$4:$C$1000,A550,MOVIMIENTOS!$D$4:$D$1000,B550,MOVIMIENTOS!$E$4:$E$1000,C550,MOVIMIENTOS!$B$4:$B$1000,"MUESTRA")-SUMIFS(MOVIMIENTOS!$F$4:$F$1000,MOVIMIENTOS!$C$4:$C$1000,A550,MOVIMIENTOS!$D$4:$D$1000,B550,MOVIMIENTOS!$E$4:$E$1000,C550,MOVIMIENTOS!$B$4:$B$1000,"AJUSTE-"),0)</f>
        <v>0</v>
      </c>
      <c r="F550" s="101">
        <f>IFERROR(E550*VLOOKUP(B550,TELAS!$A$4:$C$32,3,FALSE()),0)</f>
        <v>0</v>
      </c>
      <c r="G550" s="102">
        <f>IFERROR(IF(D550="OSCURO",VLOOKUP(B550,PRECIOS!$A$4:$F$32,2,FALSE()),IF(D550="CLARO",VLOOKUP(B550,PRECIOS!$A$4:$F$32,3,FALSE()),IF(D550="MELANGE",VLOOKUP(B550,PRECIOS!$A$4:$F$32,4,FALSE()),IF(D550="PPT",VLOOKUP(B550,PRECIOS!$A$4:$F$32,5,FALSE()),0)))),0)</f>
        <v>26</v>
      </c>
      <c r="H550" s="103">
        <f t="shared" si="1"/>
        <v>0</v>
      </c>
      <c r="I550" s="104" t="str">
        <f>IF(E550&lt;0,"ERROR",IF(E550=0,"",IF(E550&lt;CONFIG!$B$4,"CRÍTICO",IF(E550&lt;CONFIG!$B$5,"BAJO","OK"))))</f>
        <v/>
      </c>
    </row>
    <row r="551" ht="15.75" customHeight="1">
      <c r="A551" s="90" t="str">
        <f>IF(CLIENTES!A7="","",CLIENTES!A7)</f>
        <v/>
      </c>
      <c r="B551" s="67" t="str">
        <f>TELAS!A10</f>
        <v>jersey full lycra 30/1</v>
      </c>
      <c r="C551" s="67" t="str">
        <f>COLORES!A11</f>
        <v>Pacay</v>
      </c>
      <c r="D551" s="67" t="str">
        <f>COLORES!B11</f>
        <v>CLARO</v>
      </c>
      <c r="E551" s="100">
        <f>IFERROR(SUMIFS(MOVIMIENTOS!$F$4:$F$1000,MOVIMIENTOS!$C$4:$C$1000,A551,MOVIMIENTOS!$D$4:$D$1000,B551,MOVIMIENTOS!$E$4:$E$1000,C551,MOVIMIENTOS!$B$4:$B$1000,"INGRESO")+SUMIFS(MOVIMIENTOS!$F$4:$F$1000,MOVIMIENTOS!$C$4:$C$1000,A551,MOVIMIENTOS!$D$4:$D$1000,B551,MOVIMIENTOS!$E$4:$E$1000,C551,MOVIMIENTOS!$B$4:$B$1000,"DE REPROCESO")+SUMIFS(MOVIMIENTOS!$F$4:$F$1000,MOVIMIENTOS!$C$4:$C$1000,A551,MOVIMIENTOS!$D$4:$D$1000,B551,MOVIMIENTOS!$E$4:$E$1000,C551,MOVIMIENTOS!$B$4:$B$1000,"AJUSTE+")-SUMIFS(MOVIMIENTOS!$F$4:$F$1000,MOVIMIENTOS!$C$4:$C$1000,A551,MOVIMIENTOS!$D$4:$D$1000,B551,MOVIMIENTOS!$E$4:$E$1000,C551,MOVIMIENTOS!$B$4:$B$1000,"A CORTE")-SUMIFS(MOVIMIENTOS!$F$4:$F$1000,MOVIMIENTOS!$C$4:$C$1000,A551,MOVIMIENTOS!$D$4:$D$1000,B551,MOVIMIENTOS!$E$4:$E$1000,C551,MOVIMIENTOS!$B$4:$B$1000,"A REPROCESO")-SUMIFS(MOVIMIENTOS!$F$4:$F$1000,MOVIMIENTOS!$C$4:$C$1000,A551,MOVIMIENTOS!$D$4:$D$1000,B551,MOVIMIENTOS!$E$4:$E$1000,C551,MOVIMIENTOS!$B$4:$B$1000,"MUESTRA")-SUMIFS(MOVIMIENTOS!$F$4:$F$1000,MOVIMIENTOS!$C$4:$C$1000,A551,MOVIMIENTOS!$D$4:$D$1000,B551,MOVIMIENTOS!$E$4:$E$1000,C551,MOVIMIENTOS!$B$4:$B$1000,"AJUSTE-"),0)</f>
        <v>0</v>
      </c>
      <c r="F551" s="101">
        <f>IFERROR(E551*VLOOKUP(B551,TELAS!$A$4:$C$32,3,FALSE()),0)</f>
        <v>0</v>
      </c>
      <c r="G551" s="102">
        <f>IFERROR(IF(D551="OSCURO",VLOOKUP(B551,PRECIOS!$A$4:$F$32,2,FALSE()),IF(D551="CLARO",VLOOKUP(B551,PRECIOS!$A$4:$F$32,3,FALSE()),IF(D551="MELANGE",VLOOKUP(B551,PRECIOS!$A$4:$F$32,4,FALSE()),IF(D551="PPT",VLOOKUP(B551,PRECIOS!$A$4:$F$32,5,FALSE()),0)))),0)</f>
        <v>22.5</v>
      </c>
      <c r="H551" s="103">
        <f t="shared" si="1"/>
        <v>0</v>
      </c>
      <c r="I551" s="104" t="str">
        <f>IF(E551&lt;0,"ERROR",IF(E551=0,"",IF(E551&lt;CONFIG!$B$4,"CRÍTICO",IF(E551&lt;CONFIG!$B$5,"BAJO","OK"))))</f>
        <v/>
      </c>
    </row>
    <row r="552" ht="15.75" customHeight="1">
      <c r="A552" s="90" t="str">
        <f>IF(CLIENTES!A7="","",CLIENTES!A7)</f>
        <v/>
      </c>
      <c r="B552" s="67" t="str">
        <f>TELAS!A10</f>
        <v>jersey full lycra 30/1</v>
      </c>
      <c r="C552" s="67" t="str">
        <f>COLORES!A12</f>
        <v>Cemento</v>
      </c>
      <c r="D552" s="67" t="str">
        <f>COLORES!B12</f>
        <v>CLARO</v>
      </c>
      <c r="E552" s="100">
        <f>IFERROR(SUMIFS(MOVIMIENTOS!$F$4:$F$1000,MOVIMIENTOS!$C$4:$C$1000,A552,MOVIMIENTOS!$D$4:$D$1000,B552,MOVIMIENTOS!$E$4:$E$1000,C552,MOVIMIENTOS!$B$4:$B$1000,"INGRESO")+SUMIFS(MOVIMIENTOS!$F$4:$F$1000,MOVIMIENTOS!$C$4:$C$1000,A552,MOVIMIENTOS!$D$4:$D$1000,B552,MOVIMIENTOS!$E$4:$E$1000,C552,MOVIMIENTOS!$B$4:$B$1000,"DE REPROCESO")+SUMIFS(MOVIMIENTOS!$F$4:$F$1000,MOVIMIENTOS!$C$4:$C$1000,A552,MOVIMIENTOS!$D$4:$D$1000,B552,MOVIMIENTOS!$E$4:$E$1000,C552,MOVIMIENTOS!$B$4:$B$1000,"AJUSTE+")-SUMIFS(MOVIMIENTOS!$F$4:$F$1000,MOVIMIENTOS!$C$4:$C$1000,A552,MOVIMIENTOS!$D$4:$D$1000,B552,MOVIMIENTOS!$E$4:$E$1000,C552,MOVIMIENTOS!$B$4:$B$1000,"A CORTE")-SUMIFS(MOVIMIENTOS!$F$4:$F$1000,MOVIMIENTOS!$C$4:$C$1000,A552,MOVIMIENTOS!$D$4:$D$1000,B552,MOVIMIENTOS!$E$4:$E$1000,C552,MOVIMIENTOS!$B$4:$B$1000,"A REPROCESO")-SUMIFS(MOVIMIENTOS!$F$4:$F$1000,MOVIMIENTOS!$C$4:$C$1000,A552,MOVIMIENTOS!$D$4:$D$1000,B552,MOVIMIENTOS!$E$4:$E$1000,C552,MOVIMIENTOS!$B$4:$B$1000,"MUESTRA")-SUMIFS(MOVIMIENTOS!$F$4:$F$1000,MOVIMIENTOS!$C$4:$C$1000,A552,MOVIMIENTOS!$D$4:$D$1000,B552,MOVIMIENTOS!$E$4:$E$1000,C552,MOVIMIENTOS!$B$4:$B$1000,"AJUSTE-"),0)</f>
        <v>0</v>
      </c>
      <c r="F552" s="101">
        <f>IFERROR(E552*VLOOKUP(B552,TELAS!$A$4:$C$32,3,FALSE()),0)</f>
        <v>0</v>
      </c>
      <c r="G552" s="102">
        <f>IFERROR(IF(D552="OSCURO",VLOOKUP(B552,PRECIOS!$A$4:$F$32,2,FALSE()),IF(D552="CLARO",VLOOKUP(B552,PRECIOS!$A$4:$F$32,3,FALSE()),IF(D552="MELANGE",VLOOKUP(B552,PRECIOS!$A$4:$F$32,4,FALSE()),IF(D552="PPT",VLOOKUP(B552,PRECIOS!$A$4:$F$32,5,FALSE()),0)))),0)</f>
        <v>22.5</v>
      </c>
      <c r="H552" s="103">
        <f t="shared" si="1"/>
        <v>0</v>
      </c>
      <c r="I552" s="104" t="str">
        <f>IF(E552&lt;0,"ERROR",IF(E552=0,"",IF(E552&lt;CONFIG!$B$4,"CRÍTICO",IF(E552&lt;CONFIG!$B$5,"BAJO","OK"))))</f>
        <v/>
      </c>
    </row>
    <row r="553" ht="15.75" customHeight="1">
      <c r="A553" s="90" t="str">
        <f>IF(CLIENTES!A7="","",CLIENTES!A7)</f>
        <v/>
      </c>
      <c r="B553" s="67" t="str">
        <f>TELAS!A10</f>
        <v>jersey full lycra 30/1</v>
      </c>
      <c r="C553" s="67" t="str">
        <f>COLORES!A13</f>
        <v>Camote</v>
      </c>
      <c r="D553" s="67" t="str">
        <f>COLORES!B13</f>
        <v>CLARO</v>
      </c>
      <c r="E553" s="100">
        <f>IFERROR(SUMIFS(MOVIMIENTOS!$F$4:$F$1000,MOVIMIENTOS!$C$4:$C$1000,A553,MOVIMIENTOS!$D$4:$D$1000,B553,MOVIMIENTOS!$E$4:$E$1000,C553,MOVIMIENTOS!$B$4:$B$1000,"INGRESO")+SUMIFS(MOVIMIENTOS!$F$4:$F$1000,MOVIMIENTOS!$C$4:$C$1000,A553,MOVIMIENTOS!$D$4:$D$1000,B553,MOVIMIENTOS!$E$4:$E$1000,C553,MOVIMIENTOS!$B$4:$B$1000,"DE REPROCESO")+SUMIFS(MOVIMIENTOS!$F$4:$F$1000,MOVIMIENTOS!$C$4:$C$1000,A553,MOVIMIENTOS!$D$4:$D$1000,B553,MOVIMIENTOS!$E$4:$E$1000,C553,MOVIMIENTOS!$B$4:$B$1000,"AJUSTE+")-SUMIFS(MOVIMIENTOS!$F$4:$F$1000,MOVIMIENTOS!$C$4:$C$1000,A553,MOVIMIENTOS!$D$4:$D$1000,B553,MOVIMIENTOS!$E$4:$E$1000,C553,MOVIMIENTOS!$B$4:$B$1000,"A CORTE")-SUMIFS(MOVIMIENTOS!$F$4:$F$1000,MOVIMIENTOS!$C$4:$C$1000,A553,MOVIMIENTOS!$D$4:$D$1000,B553,MOVIMIENTOS!$E$4:$E$1000,C553,MOVIMIENTOS!$B$4:$B$1000,"A REPROCESO")-SUMIFS(MOVIMIENTOS!$F$4:$F$1000,MOVIMIENTOS!$C$4:$C$1000,A553,MOVIMIENTOS!$D$4:$D$1000,B553,MOVIMIENTOS!$E$4:$E$1000,C553,MOVIMIENTOS!$B$4:$B$1000,"MUESTRA")-SUMIFS(MOVIMIENTOS!$F$4:$F$1000,MOVIMIENTOS!$C$4:$C$1000,A553,MOVIMIENTOS!$D$4:$D$1000,B553,MOVIMIENTOS!$E$4:$E$1000,C553,MOVIMIENTOS!$B$4:$B$1000,"AJUSTE-"),0)</f>
        <v>0</v>
      </c>
      <c r="F553" s="101">
        <f>IFERROR(E553*VLOOKUP(B553,TELAS!$A$4:$C$32,3,FALSE()),0)</f>
        <v>0</v>
      </c>
      <c r="G553" s="102">
        <f>IFERROR(IF(D553="OSCURO",VLOOKUP(B553,PRECIOS!$A$4:$F$32,2,FALSE()),IF(D553="CLARO",VLOOKUP(B553,PRECIOS!$A$4:$F$32,3,FALSE()),IF(D553="MELANGE",VLOOKUP(B553,PRECIOS!$A$4:$F$32,4,FALSE()),IF(D553="PPT",VLOOKUP(B553,PRECIOS!$A$4:$F$32,5,FALSE()),0)))),0)</f>
        <v>22.5</v>
      </c>
      <c r="H553" s="103">
        <f t="shared" si="1"/>
        <v>0</v>
      </c>
      <c r="I553" s="104" t="str">
        <f>IF(E553&lt;0,"ERROR",IF(E553=0,"",IF(E553&lt;CONFIG!$B$4,"CRÍTICO",IF(E553&lt;CONFIG!$B$5,"BAJO","OK"))))</f>
        <v/>
      </c>
    </row>
    <row r="554" ht="15.75" customHeight="1">
      <c r="A554" s="90" t="str">
        <f>IF(CLIENTES!A7="","",CLIENTES!A7)</f>
        <v/>
      </c>
      <c r="B554" s="67" t="str">
        <f>TELAS!A10</f>
        <v>jersey full lycra 30/1</v>
      </c>
      <c r="C554" s="67" t="str">
        <f>COLORES!A14</f>
        <v>Denim</v>
      </c>
      <c r="D554" s="67" t="str">
        <f>COLORES!B14</f>
        <v>CLARO</v>
      </c>
      <c r="E554" s="100">
        <f>IFERROR(SUMIFS(MOVIMIENTOS!$F$4:$F$1000,MOVIMIENTOS!$C$4:$C$1000,A554,MOVIMIENTOS!$D$4:$D$1000,B554,MOVIMIENTOS!$E$4:$E$1000,C554,MOVIMIENTOS!$B$4:$B$1000,"INGRESO")+SUMIFS(MOVIMIENTOS!$F$4:$F$1000,MOVIMIENTOS!$C$4:$C$1000,A554,MOVIMIENTOS!$D$4:$D$1000,B554,MOVIMIENTOS!$E$4:$E$1000,C554,MOVIMIENTOS!$B$4:$B$1000,"DE REPROCESO")+SUMIFS(MOVIMIENTOS!$F$4:$F$1000,MOVIMIENTOS!$C$4:$C$1000,A554,MOVIMIENTOS!$D$4:$D$1000,B554,MOVIMIENTOS!$E$4:$E$1000,C554,MOVIMIENTOS!$B$4:$B$1000,"AJUSTE+")-SUMIFS(MOVIMIENTOS!$F$4:$F$1000,MOVIMIENTOS!$C$4:$C$1000,A554,MOVIMIENTOS!$D$4:$D$1000,B554,MOVIMIENTOS!$E$4:$E$1000,C554,MOVIMIENTOS!$B$4:$B$1000,"A CORTE")-SUMIFS(MOVIMIENTOS!$F$4:$F$1000,MOVIMIENTOS!$C$4:$C$1000,A554,MOVIMIENTOS!$D$4:$D$1000,B554,MOVIMIENTOS!$E$4:$E$1000,C554,MOVIMIENTOS!$B$4:$B$1000,"A REPROCESO")-SUMIFS(MOVIMIENTOS!$F$4:$F$1000,MOVIMIENTOS!$C$4:$C$1000,A554,MOVIMIENTOS!$D$4:$D$1000,B554,MOVIMIENTOS!$E$4:$E$1000,C554,MOVIMIENTOS!$B$4:$B$1000,"MUESTRA")-SUMIFS(MOVIMIENTOS!$F$4:$F$1000,MOVIMIENTOS!$C$4:$C$1000,A554,MOVIMIENTOS!$D$4:$D$1000,B554,MOVIMIENTOS!$E$4:$E$1000,C554,MOVIMIENTOS!$B$4:$B$1000,"AJUSTE-"),0)</f>
        <v>0</v>
      </c>
      <c r="F554" s="101">
        <f>IFERROR(E554*VLOOKUP(B554,TELAS!$A$4:$C$32,3,FALSE()),0)</f>
        <v>0</v>
      </c>
      <c r="G554" s="102">
        <f>IFERROR(IF(D554="OSCURO",VLOOKUP(B554,PRECIOS!$A$4:$F$32,2,FALSE()),IF(D554="CLARO",VLOOKUP(B554,PRECIOS!$A$4:$F$32,3,FALSE()),IF(D554="MELANGE",VLOOKUP(B554,PRECIOS!$A$4:$F$32,4,FALSE()),IF(D554="PPT",VLOOKUP(B554,PRECIOS!$A$4:$F$32,5,FALSE()),0)))),0)</f>
        <v>22.5</v>
      </c>
      <c r="H554" s="103">
        <f t="shared" si="1"/>
        <v>0</v>
      </c>
      <c r="I554" s="104" t="str">
        <f>IF(E554&lt;0,"ERROR",IF(E554=0,"",IF(E554&lt;CONFIG!$B$4,"CRÍTICO",IF(E554&lt;CONFIG!$B$5,"BAJO","OK"))))</f>
        <v/>
      </c>
    </row>
    <row r="555" ht="15.75" customHeight="1">
      <c r="A555" s="90" t="str">
        <f>IF(CLIENTES!A7="","",CLIENTES!A7)</f>
        <v/>
      </c>
      <c r="B555" s="67" t="str">
        <f>TELAS!A10</f>
        <v>jersey full lycra 30/1</v>
      </c>
      <c r="C555" s="67" t="str">
        <f>COLORES!A15</f>
        <v>Plomo</v>
      </c>
      <c r="D555" s="67" t="str">
        <f>COLORES!B15</f>
        <v>OSCURO</v>
      </c>
      <c r="E555" s="100">
        <f>IFERROR(SUMIFS(MOVIMIENTOS!$F$4:$F$1000,MOVIMIENTOS!$C$4:$C$1000,A555,MOVIMIENTOS!$D$4:$D$1000,B555,MOVIMIENTOS!$E$4:$E$1000,C555,MOVIMIENTOS!$B$4:$B$1000,"INGRESO")+SUMIFS(MOVIMIENTOS!$F$4:$F$1000,MOVIMIENTOS!$C$4:$C$1000,A555,MOVIMIENTOS!$D$4:$D$1000,B555,MOVIMIENTOS!$E$4:$E$1000,C555,MOVIMIENTOS!$B$4:$B$1000,"DE REPROCESO")+SUMIFS(MOVIMIENTOS!$F$4:$F$1000,MOVIMIENTOS!$C$4:$C$1000,A555,MOVIMIENTOS!$D$4:$D$1000,B555,MOVIMIENTOS!$E$4:$E$1000,C555,MOVIMIENTOS!$B$4:$B$1000,"AJUSTE+")-SUMIFS(MOVIMIENTOS!$F$4:$F$1000,MOVIMIENTOS!$C$4:$C$1000,A555,MOVIMIENTOS!$D$4:$D$1000,B555,MOVIMIENTOS!$E$4:$E$1000,C555,MOVIMIENTOS!$B$4:$B$1000,"A CORTE")-SUMIFS(MOVIMIENTOS!$F$4:$F$1000,MOVIMIENTOS!$C$4:$C$1000,A555,MOVIMIENTOS!$D$4:$D$1000,B555,MOVIMIENTOS!$E$4:$E$1000,C555,MOVIMIENTOS!$B$4:$B$1000,"A REPROCESO")-SUMIFS(MOVIMIENTOS!$F$4:$F$1000,MOVIMIENTOS!$C$4:$C$1000,A555,MOVIMIENTOS!$D$4:$D$1000,B555,MOVIMIENTOS!$E$4:$E$1000,C555,MOVIMIENTOS!$B$4:$B$1000,"MUESTRA")-SUMIFS(MOVIMIENTOS!$F$4:$F$1000,MOVIMIENTOS!$C$4:$C$1000,A555,MOVIMIENTOS!$D$4:$D$1000,B555,MOVIMIENTOS!$E$4:$E$1000,C555,MOVIMIENTOS!$B$4:$B$1000,"AJUSTE-"),0)</f>
        <v>0</v>
      </c>
      <c r="F555" s="101">
        <f>IFERROR(E555*VLOOKUP(B555,TELAS!$A$4:$C$32,3,FALSE()),0)</f>
        <v>0</v>
      </c>
      <c r="G555" s="102">
        <f>IFERROR(IF(D555="OSCURO",VLOOKUP(B555,PRECIOS!$A$4:$F$32,2,FALSE()),IF(D555="CLARO",VLOOKUP(B555,PRECIOS!$A$4:$F$32,3,FALSE()),IF(D555="MELANGE",VLOOKUP(B555,PRECIOS!$A$4:$F$32,4,FALSE()),IF(D555="PPT",VLOOKUP(B555,PRECIOS!$A$4:$F$32,5,FALSE()),0)))),0)</f>
        <v>26</v>
      </c>
      <c r="H555" s="103">
        <f t="shared" si="1"/>
        <v>0</v>
      </c>
      <c r="I555" s="104" t="str">
        <f>IF(E555&lt;0,"ERROR",IF(E555=0,"",IF(E555&lt;CONFIG!$B$4,"CRÍTICO",IF(E555&lt;CONFIG!$B$5,"BAJO","OK"))))</f>
        <v/>
      </c>
    </row>
    <row r="556" ht="15.75" customHeight="1">
      <c r="A556" s="90" t="str">
        <f>IF(CLIENTES!A7="","",CLIENTES!A7)</f>
        <v/>
      </c>
      <c r="B556" s="67" t="str">
        <f>TELAS!A10</f>
        <v>jersey full lycra 30/1</v>
      </c>
      <c r="C556" s="67" t="str">
        <f>COLORES!A16</f>
        <v>Topo</v>
      </c>
      <c r="D556" s="67" t="str">
        <f>COLORES!B16</f>
        <v>CLARO</v>
      </c>
      <c r="E556" s="100">
        <f>IFERROR(SUMIFS(MOVIMIENTOS!$F$4:$F$1000,MOVIMIENTOS!$C$4:$C$1000,A556,MOVIMIENTOS!$D$4:$D$1000,B556,MOVIMIENTOS!$E$4:$E$1000,C556,MOVIMIENTOS!$B$4:$B$1000,"INGRESO")+SUMIFS(MOVIMIENTOS!$F$4:$F$1000,MOVIMIENTOS!$C$4:$C$1000,A556,MOVIMIENTOS!$D$4:$D$1000,B556,MOVIMIENTOS!$E$4:$E$1000,C556,MOVIMIENTOS!$B$4:$B$1000,"DE REPROCESO")+SUMIFS(MOVIMIENTOS!$F$4:$F$1000,MOVIMIENTOS!$C$4:$C$1000,A556,MOVIMIENTOS!$D$4:$D$1000,B556,MOVIMIENTOS!$E$4:$E$1000,C556,MOVIMIENTOS!$B$4:$B$1000,"AJUSTE+")-SUMIFS(MOVIMIENTOS!$F$4:$F$1000,MOVIMIENTOS!$C$4:$C$1000,A556,MOVIMIENTOS!$D$4:$D$1000,B556,MOVIMIENTOS!$E$4:$E$1000,C556,MOVIMIENTOS!$B$4:$B$1000,"A CORTE")-SUMIFS(MOVIMIENTOS!$F$4:$F$1000,MOVIMIENTOS!$C$4:$C$1000,A556,MOVIMIENTOS!$D$4:$D$1000,B556,MOVIMIENTOS!$E$4:$E$1000,C556,MOVIMIENTOS!$B$4:$B$1000,"A REPROCESO")-SUMIFS(MOVIMIENTOS!$F$4:$F$1000,MOVIMIENTOS!$C$4:$C$1000,A556,MOVIMIENTOS!$D$4:$D$1000,B556,MOVIMIENTOS!$E$4:$E$1000,C556,MOVIMIENTOS!$B$4:$B$1000,"MUESTRA")-SUMIFS(MOVIMIENTOS!$F$4:$F$1000,MOVIMIENTOS!$C$4:$C$1000,A556,MOVIMIENTOS!$D$4:$D$1000,B556,MOVIMIENTOS!$E$4:$E$1000,C556,MOVIMIENTOS!$B$4:$B$1000,"AJUSTE-"),0)</f>
        <v>0</v>
      </c>
      <c r="F556" s="101">
        <f>IFERROR(E556*VLOOKUP(B556,TELAS!$A$4:$C$32,3,FALSE()),0)</f>
        <v>0</v>
      </c>
      <c r="G556" s="102">
        <f>IFERROR(IF(D556="OSCURO",VLOOKUP(B556,PRECIOS!$A$4:$F$32,2,FALSE()),IF(D556="CLARO",VLOOKUP(B556,PRECIOS!$A$4:$F$32,3,FALSE()),IF(D556="MELANGE",VLOOKUP(B556,PRECIOS!$A$4:$F$32,4,FALSE()),IF(D556="PPT",VLOOKUP(B556,PRECIOS!$A$4:$F$32,5,FALSE()),0)))),0)</f>
        <v>22.5</v>
      </c>
      <c r="H556" s="103">
        <f t="shared" si="1"/>
        <v>0</v>
      </c>
      <c r="I556" s="104" t="str">
        <f>IF(E556&lt;0,"ERROR",IF(E556=0,"",IF(E556&lt;CONFIG!$B$4,"CRÍTICO",IF(E556&lt;CONFIG!$B$5,"BAJO","OK"))))</f>
        <v/>
      </c>
    </row>
    <row r="557" ht="15.75" customHeight="1">
      <c r="A557" s="90" t="str">
        <f>IF(CLIENTES!A7="","",CLIENTES!A7)</f>
        <v/>
      </c>
      <c r="B557" s="67" t="str">
        <f>TELAS!A10</f>
        <v>jersey full lycra 30/1</v>
      </c>
      <c r="C557" s="67" t="str">
        <f>COLORES!A17</f>
        <v>Vino</v>
      </c>
      <c r="D557" s="67" t="str">
        <f>COLORES!B17</f>
        <v>OSCURO</v>
      </c>
      <c r="E557" s="100">
        <f>IFERROR(SUMIFS(MOVIMIENTOS!$F$4:$F$1000,MOVIMIENTOS!$C$4:$C$1000,A557,MOVIMIENTOS!$D$4:$D$1000,B557,MOVIMIENTOS!$E$4:$E$1000,C557,MOVIMIENTOS!$B$4:$B$1000,"INGRESO")+SUMIFS(MOVIMIENTOS!$F$4:$F$1000,MOVIMIENTOS!$C$4:$C$1000,A557,MOVIMIENTOS!$D$4:$D$1000,B557,MOVIMIENTOS!$E$4:$E$1000,C557,MOVIMIENTOS!$B$4:$B$1000,"DE REPROCESO")+SUMIFS(MOVIMIENTOS!$F$4:$F$1000,MOVIMIENTOS!$C$4:$C$1000,A557,MOVIMIENTOS!$D$4:$D$1000,B557,MOVIMIENTOS!$E$4:$E$1000,C557,MOVIMIENTOS!$B$4:$B$1000,"AJUSTE+")-SUMIFS(MOVIMIENTOS!$F$4:$F$1000,MOVIMIENTOS!$C$4:$C$1000,A557,MOVIMIENTOS!$D$4:$D$1000,B557,MOVIMIENTOS!$E$4:$E$1000,C557,MOVIMIENTOS!$B$4:$B$1000,"A CORTE")-SUMIFS(MOVIMIENTOS!$F$4:$F$1000,MOVIMIENTOS!$C$4:$C$1000,A557,MOVIMIENTOS!$D$4:$D$1000,B557,MOVIMIENTOS!$E$4:$E$1000,C557,MOVIMIENTOS!$B$4:$B$1000,"A REPROCESO")-SUMIFS(MOVIMIENTOS!$F$4:$F$1000,MOVIMIENTOS!$C$4:$C$1000,A557,MOVIMIENTOS!$D$4:$D$1000,B557,MOVIMIENTOS!$E$4:$E$1000,C557,MOVIMIENTOS!$B$4:$B$1000,"MUESTRA")-SUMIFS(MOVIMIENTOS!$F$4:$F$1000,MOVIMIENTOS!$C$4:$C$1000,A557,MOVIMIENTOS!$D$4:$D$1000,B557,MOVIMIENTOS!$E$4:$E$1000,C557,MOVIMIENTOS!$B$4:$B$1000,"AJUSTE-"),0)</f>
        <v>0</v>
      </c>
      <c r="F557" s="101">
        <f>IFERROR(E557*VLOOKUP(B557,TELAS!$A$4:$C$32,3,FALSE()),0)</f>
        <v>0</v>
      </c>
      <c r="G557" s="102">
        <f>IFERROR(IF(D557="OSCURO",VLOOKUP(B557,PRECIOS!$A$4:$F$32,2,FALSE()),IF(D557="CLARO",VLOOKUP(B557,PRECIOS!$A$4:$F$32,3,FALSE()),IF(D557="MELANGE",VLOOKUP(B557,PRECIOS!$A$4:$F$32,4,FALSE()),IF(D557="PPT",VLOOKUP(B557,PRECIOS!$A$4:$F$32,5,FALSE()),0)))),0)</f>
        <v>26</v>
      </c>
      <c r="H557" s="103">
        <f t="shared" si="1"/>
        <v>0</v>
      </c>
      <c r="I557" s="104" t="str">
        <f>IF(E557&lt;0,"ERROR",IF(E557=0,"",IF(E557&lt;CONFIG!$B$4,"CRÍTICO",IF(E557&lt;CONFIG!$B$5,"BAJO","OK"))))</f>
        <v/>
      </c>
    </row>
    <row r="558" ht="15.75" customHeight="1">
      <c r="A558" s="90" t="str">
        <f>IF(CLIENTES!A7="","",CLIENTES!A7)</f>
        <v/>
      </c>
      <c r="B558" s="67" t="str">
        <f>TELAS!A10</f>
        <v>jersey full lycra 30/1</v>
      </c>
      <c r="C558" s="67" t="str">
        <f>COLORES!A18</f>
        <v>P. Rosa</v>
      </c>
      <c r="D558" s="67" t="str">
        <f>COLORES!B18</f>
        <v>CLARO</v>
      </c>
      <c r="E558" s="100">
        <f>IFERROR(SUMIFS(MOVIMIENTOS!$F$4:$F$1000,MOVIMIENTOS!$C$4:$C$1000,A558,MOVIMIENTOS!$D$4:$D$1000,B558,MOVIMIENTOS!$E$4:$E$1000,C558,MOVIMIENTOS!$B$4:$B$1000,"INGRESO")+SUMIFS(MOVIMIENTOS!$F$4:$F$1000,MOVIMIENTOS!$C$4:$C$1000,A558,MOVIMIENTOS!$D$4:$D$1000,B558,MOVIMIENTOS!$E$4:$E$1000,C558,MOVIMIENTOS!$B$4:$B$1000,"DE REPROCESO")+SUMIFS(MOVIMIENTOS!$F$4:$F$1000,MOVIMIENTOS!$C$4:$C$1000,A558,MOVIMIENTOS!$D$4:$D$1000,B558,MOVIMIENTOS!$E$4:$E$1000,C558,MOVIMIENTOS!$B$4:$B$1000,"AJUSTE+")-SUMIFS(MOVIMIENTOS!$F$4:$F$1000,MOVIMIENTOS!$C$4:$C$1000,A558,MOVIMIENTOS!$D$4:$D$1000,B558,MOVIMIENTOS!$E$4:$E$1000,C558,MOVIMIENTOS!$B$4:$B$1000,"A CORTE")-SUMIFS(MOVIMIENTOS!$F$4:$F$1000,MOVIMIENTOS!$C$4:$C$1000,A558,MOVIMIENTOS!$D$4:$D$1000,B558,MOVIMIENTOS!$E$4:$E$1000,C558,MOVIMIENTOS!$B$4:$B$1000,"A REPROCESO")-SUMIFS(MOVIMIENTOS!$F$4:$F$1000,MOVIMIENTOS!$C$4:$C$1000,A558,MOVIMIENTOS!$D$4:$D$1000,B558,MOVIMIENTOS!$E$4:$E$1000,C558,MOVIMIENTOS!$B$4:$B$1000,"MUESTRA")-SUMIFS(MOVIMIENTOS!$F$4:$F$1000,MOVIMIENTOS!$C$4:$C$1000,A558,MOVIMIENTOS!$D$4:$D$1000,B558,MOVIMIENTOS!$E$4:$E$1000,C558,MOVIMIENTOS!$B$4:$B$1000,"AJUSTE-"),0)</f>
        <v>0</v>
      </c>
      <c r="F558" s="101">
        <f>IFERROR(E558*VLOOKUP(B558,TELAS!$A$4:$C$32,3,FALSE()),0)</f>
        <v>0</v>
      </c>
      <c r="G558" s="102">
        <f>IFERROR(IF(D558="OSCURO",VLOOKUP(B558,PRECIOS!$A$4:$F$32,2,FALSE()),IF(D558="CLARO",VLOOKUP(B558,PRECIOS!$A$4:$F$32,3,FALSE()),IF(D558="MELANGE",VLOOKUP(B558,PRECIOS!$A$4:$F$32,4,FALSE()),IF(D558="PPT",VLOOKUP(B558,PRECIOS!$A$4:$F$32,5,FALSE()),0)))),0)</f>
        <v>22.5</v>
      </c>
      <c r="H558" s="103">
        <f t="shared" si="1"/>
        <v>0</v>
      </c>
      <c r="I558" s="104" t="str">
        <f>IF(E558&lt;0,"ERROR",IF(E558=0,"",IF(E558&lt;CONFIG!$B$4,"CRÍTICO",IF(E558&lt;CONFIG!$B$5,"BAJO","OK"))))</f>
        <v/>
      </c>
    </row>
    <row r="559" ht="15.75" customHeight="1">
      <c r="A559" s="90" t="str">
        <f>IF(CLIENTES!A7="","",CLIENTES!A7)</f>
        <v/>
      </c>
      <c r="B559" s="67" t="str">
        <f>TELAS!A10</f>
        <v>jersey full lycra 30/1</v>
      </c>
      <c r="C559" s="67" t="str">
        <f>COLORES!A19</f>
        <v/>
      </c>
      <c r="D559" s="67" t="str">
        <f>COLORES!B19</f>
        <v/>
      </c>
      <c r="E559" s="100">
        <f>IFERROR(SUMIFS(MOVIMIENTOS!$F$4:$F$1000,MOVIMIENTOS!$C$4:$C$1000,A559,MOVIMIENTOS!$D$4:$D$1000,B559,MOVIMIENTOS!$E$4:$E$1000,C559,MOVIMIENTOS!$B$4:$B$1000,"INGRESO")+SUMIFS(MOVIMIENTOS!$F$4:$F$1000,MOVIMIENTOS!$C$4:$C$1000,A559,MOVIMIENTOS!$D$4:$D$1000,B559,MOVIMIENTOS!$E$4:$E$1000,C559,MOVIMIENTOS!$B$4:$B$1000,"DE REPROCESO")+SUMIFS(MOVIMIENTOS!$F$4:$F$1000,MOVIMIENTOS!$C$4:$C$1000,A559,MOVIMIENTOS!$D$4:$D$1000,B559,MOVIMIENTOS!$E$4:$E$1000,C559,MOVIMIENTOS!$B$4:$B$1000,"AJUSTE+")-SUMIFS(MOVIMIENTOS!$F$4:$F$1000,MOVIMIENTOS!$C$4:$C$1000,A559,MOVIMIENTOS!$D$4:$D$1000,B559,MOVIMIENTOS!$E$4:$E$1000,C559,MOVIMIENTOS!$B$4:$B$1000,"A CORTE")-SUMIFS(MOVIMIENTOS!$F$4:$F$1000,MOVIMIENTOS!$C$4:$C$1000,A559,MOVIMIENTOS!$D$4:$D$1000,B559,MOVIMIENTOS!$E$4:$E$1000,C559,MOVIMIENTOS!$B$4:$B$1000,"A REPROCESO")-SUMIFS(MOVIMIENTOS!$F$4:$F$1000,MOVIMIENTOS!$C$4:$C$1000,A559,MOVIMIENTOS!$D$4:$D$1000,B559,MOVIMIENTOS!$E$4:$E$1000,C559,MOVIMIENTOS!$B$4:$B$1000,"MUESTRA")-SUMIFS(MOVIMIENTOS!$F$4:$F$1000,MOVIMIENTOS!$C$4:$C$1000,A559,MOVIMIENTOS!$D$4:$D$1000,B559,MOVIMIENTOS!$E$4:$E$1000,C559,MOVIMIENTOS!$B$4:$B$1000,"AJUSTE-"),0)</f>
        <v>0</v>
      </c>
      <c r="F559" s="101">
        <f>IFERROR(E559*VLOOKUP(B559,TELAS!$A$4:$C$32,3,FALSE()),0)</f>
        <v>0</v>
      </c>
      <c r="G559" s="102">
        <f>IFERROR(IF(D559="OSCURO",VLOOKUP(B559,PRECIOS!$A$4:$F$32,2,FALSE()),IF(D559="CLARO",VLOOKUP(B559,PRECIOS!$A$4:$F$32,3,FALSE()),IF(D559="MELANGE",VLOOKUP(B559,PRECIOS!$A$4:$F$32,4,FALSE()),IF(D559="PPT",VLOOKUP(B559,PRECIOS!$A$4:$F$32,5,FALSE()),0)))),0)</f>
        <v>0</v>
      </c>
      <c r="H559" s="103">
        <f t="shared" si="1"/>
        <v>0</v>
      </c>
      <c r="I559" s="104" t="str">
        <f>IF(E559&lt;0,"ERROR",IF(E559=0,"",IF(E559&lt;CONFIG!$B$4,"CRÍTICO",IF(E559&lt;CONFIG!$B$5,"BAJO","OK"))))</f>
        <v/>
      </c>
    </row>
    <row r="560" ht="15.75" customHeight="1">
      <c r="A560" s="90" t="str">
        <f>IF(CLIENTES!A7="","",CLIENTES!A7)</f>
        <v/>
      </c>
      <c r="B560" s="67" t="str">
        <f>TELAS!A10</f>
        <v>jersey full lycra 30/1</v>
      </c>
      <c r="C560" s="67" t="str">
        <f>COLORES!A20</f>
        <v/>
      </c>
      <c r="D560" s="67" t="str">
        <f>COLORES!B20</f>
        <v/>
      </c>
      <c r="E560" s="100">
        <f>IFERROR(SUMIFS(MOVIMIENTOS!$F$4:$F$1000,MOVIMIENTOS!$C$4:$C$1000,A560,MOVIMIENTOS!$D$4:$D$1000,B560,MOVIMIENTOS!$E$4:$E$1000,C560,MOVIMIENTOS!$B$4:$B$1000,"INGRESO")+SUMIFS(MOVIMIENTOS!$F$4:$F$1000,MOVIMIENTOS!$C$4:$C$1000,A560,MOVIMIENTOS!$D$4:$D$1000,B560,MOVIMIENTOS!$E$4:$E$1000,C560,MOVIMIENTOS!$B$4:$B$1000,"DE REPROCESO")+SUMIFS(MOVIMIENTOS!$F$4:$F$1000,MOVIMIENTOS!$C$4:$C$1000,A560,MOVIMIENTOS!$D$4:$D$1000,B560,MOVIMIENTOS!$E$4:$E$1000,C560,MOVIMIENTOS!$B$4:$B$1000,"AJUSTE+")-SUMIFS(MOVIMIENTOS!$F$4:$F$1000,MOVIMIENTOS!$C$4:$C$1000,A560,MOVIMIENTOS!$D$4:$D$1000,B560,MOVIMIENTOS!$E$4:$E$1000,C560,MOVIMIENTOS!$B$4:$B$1000,"A CORTE")-SUMIFS(MOVIMIENTOS!$F$4:$F$1000,MOVIMIENTOS!$C$4:$C$1000,A560,MOVIMIENTOS!$D$4:$D$1000,B560,MOVIMIENTOS!$E$4:$E$1000,C560,MOVIMIENTOS!$B$4:$B$1000,"A REPROCESO")-SUMIFS(MOVIMIENTOS!$F$4:$F$1000,MOVIMIENTOS!$C$4:$C$1000,A560,MOVIMIENTOS!$D$4:$D$1000,B560,MOVIMIENTOS!$E$4:$E$1000,C560,MOVIMIENTOS!$B$4:$B$1000,"MUESTRA")-SUMIFS(MOVIMIENTOS!$F$4:$F$1000,MOVIMIENTOS!$C$4:$C$1000,A560,MOVIMIENTOS!$D$4:$D$1000,B560,MOVIMIENTOS!$E$4:$E$1000,C560,MOVIMIENTOS!$B$4:$B$1000,"AJUSTE-"),0)</f>
        <v>0</v>
      </c>
      <c r="F560" s="101">
        <f>IFERROR(E560*VLOOKUP(B560,TELAS!$A$4:$C$32,3,FALSE()),0)</f>
        <v>0</v>
      </c>
      <c r="G560" s="102">
        <f>IFERROR(IF(D560="OSCURO",VLOOKUP(B560,PRECIOS!$A$4:$F$32,2,FALSE()),IF(D560="CLARO",VLOOKUP(B560,PRECIOS!$A$4:$F$32,3,FALSE()),IF(D560="MELANGE",VLOOKUP(B560,PRECIOS!$A$4:$F$32,4,FALSE()),IF(D560="PPT",VLOOKUP(B560,PRECIOS!$A$4:$F$32,5,FALSE()),0)))),0)</f>
        <v>0</v>
      </c>
      <c r="H560" s="103">
        <f t="shared" si="1"/>
        <v>0</v>
      </c>
      <c r="I560" s="104" t="str">
        <f>IF(E560&lt;0,"ERROR",IF(E560=0,"",IF(E560&lt;CONFIG!$B$4,"CRÍTICO",IF(E560&lt;CONFIG!$B$5,"BAJO","OK"))))</f>
        <v/>
      </c>
    </row>
    <row r="561" ht="15.75" customHeight="1">
      <c r="A561" s="90" t="str">
        <f>IF(CLIENTES!A7="","",CLIENTES!A7)</f>
        <v/>
      </c>
      <c r="B561" s="67" t="str">
        <f>TELAS!A10</f>
        <v>jersey full lycra 30/1</v>
      </c>
      <c r="C561" s="67" t="str">
        <f>COLORES!A21</f>
        <v/>
      </c>
      <c r="D561" s="67" t="str">
        <f>COLORES!B21</f>
        <v/>
      </c>
      <c r="E561" s="100">
        <f>IFERROR(SUMIFS(MOVIMIENTOS!$F$4:$F$1000,MOVIMIENTOS!$C$4:$C$1000,A561,MOVIMIENTOS!$D$4:$D$1000,B561,MOVIMIENTOS!$E$4:$E$1000,C561,MOVIMIENTOS!$B$4:$B$1000,"INGRESO")+SUMIFS(MOVIMIENTOS!$F$4:$F$1000,MOVIMIENTOS!$C$4:$C$1000,A561,MOVIMIENTOS!$D$4:$D$1000,B561,MOVIMIENTOS!$E$4:$E$1000,C561,MOVIMIENTOS!$B$4:$B$1000,"DE REPROCESO")+SUMIFS(MOVIMIENTOS!$F$4:$F$1000,MOVIMIENTOS!$C$4:$C$1000,A561,MOVIMIENTOS!$D$4:$D$1000,B561,MOVIMIENTOS!$E$4:$E$1000,C561,MOVIMIENTOS!$B$4:$B$1000,"AJUSTE+")-SUMIFS(MOVIMIENTOS!$F$4:$F$1000,MOVIMIENTOS!$C$4:$C$1000,A561,MOVIMIENTOS!$D$4:$D$1000,B561,MOVIMIENTOS!$E$4:$E$1000,C561,MOVIMIENTOS!$B$4:$B$1000,"A CORTE")-SUMIFS(MOVIMIENTOS!$F$4:$F$1000,MOVIMIENTOS!$C$4:$C$1000,A561,MOVIMIENTOS!$D$4:$D$1000,B561,MOVIMIENTOS!$E$4:$E$1000,C561,MOVIMIENTOS!$B$4:$B$1000,"A REPROCESO")-SUMIFS(MOVIMIENTOS!$F$4:$F$1000,MOVIMIENTOS!$C$4:$C$1000,A561,MOVIMIENTOS!$D$4:$D$1000,B561,MOVIMIENTOS!$E$4:$E$1000,C561,MOVIMIENTOS!$B$4:$B$1000,"MUESTRA")-SUMIFS(MOVIMIENTOS!$F$4:$F$1000,MOVIMIENTOS!$C$4:$C$1000,A561,MOVIMIENTOS!$D$4:$D$1000,B561,MOVIMIENTOS!$E$4:$E$1000,C561,MOVIMIENTOS!$B$4:$B$1000,"AJUSTE-"),0)</f>
        <v>0</v>
      </c>
      <c r="F561" s="101">
        <f>IFERROR(E561*VLOOKUP(B561,TELAS!$A$4:$C$32,3,FALSE()),0)</f>
        <v>0</v>
      </c>
      <c r="G561" s="102">
        <f>IFERROR(IF(D561="OSCURO",VLOOKUP(B561,PRECIOS!$A$4:$F$32,2,FALSE()),IF(D561="CLARO",VLOOKUP(B561,PRECIOS!$A$4:$F$32,3,FALSE()),IF(D561="MELANGE",VLOOKUP(B561,PRECIOS!$A$4:$F$32,4,FALSE()),IF(D561="PPT",VLOOKUP(B561,PRECIOS!$A$4:$F$32,5,FALSE()),0)))),0)</f>
        <v>0</v>
      </c>
      <c r="H561" s="103">
        <f t="shared" si="1"/>
        <v>0</v>
      </c>
      <c r="I561" s="104" t="str">
        <f>IF(E561&lt;0,"ERROR",IF(E561=0,"",IF(E561&lt;CONFIG!$B$4,"CRÍTICO",IF(E561&lt;CONFIG!$B$5,"BAJO","OK"))))</f>
        <v/>
      </c>
    </row>
    <row r="562" ht="15.75" customHeight="1">
      <c r="A562" s="90" t="str">
        <f>IF(CLIENTES!A7="","",CLIENTES!A7)</f>
        <v/>
      </c>
      <c r="B562" s="67" t="str">
        <f>TELAS!A10</f>
        <v>jersey full lycra 30/1</v>
      </c>
      <c r="C562" s="67" t="str">
        <f>COLORES!A22</f>
        <v/>
      </c>
      <c r="D562" s="67" t="str">
        <f>COLORES!B22</f>
        <v/>
      </c>
      <c r="E562" s="100">
        <f>IFERROR(SUMIFS(MOVIMIENTOS!$F$4:$F$1000,MOVIMIENTOS!$C$4:$C$1000,A562,MOVIMIENTOS!$D$4:$D$1000,B562,MOVIMIENTOS!$E$4:$E$1000,C562,MOVIMIENTOS!$B$4:$B$1000,"INGRESO")+SUMIFS(MOVIMIENTOS!$F$4:$F$1000,MOVIMIENTOS!$C$4:$C$1000,A562,MOVIMIENTOS!$D$4:$D$1000,B562,MOVIMIENTOS!$E$4:$E$1000,C562,MOVIMIENTOS!$B$4:$B$1000,"DE REPROCESO")+SUMIFS(MOVIMIENTOS!$F$4:$F$1000,MOVIMIENTOS!$C$4:$C$1000,A562,MOVIMIENTOS!$D$4:$D$1000,B562,MOVIMIENTOS!$E$4:$E$1000,C562,MOVIMIENTOS!$B$4:$B$1000,"AJUSTE+")-SUMIFS(MOVIMIENTOS!$F$4:$F$1000,MOVIMIENTOS!$C$4:$C$1000,A562,MOVIMIENTOS!$D$4:$D$1000,B562,MOVIMIENTOS!$E$4:$E$1000,C562,MOVIMIENTOS!$B$4:$B$1000,"A CORTE")-SUMIFS(MOVIMIENTOS!$F$4:$F$1000,MOVIMIENTOS!$C$4:$C$1000,A562,MOVIMIENTOS!$D$4:$D$1000,B562,MOVIMIENTOS!$E$4:$E$1000,C562,MOVIMIENTOS!$B$4:$B$1000,"A REPROCESO")-SUMIFS(MOVIMIENTOS!$F$4:$F$1000,MOVIMIENTOS!$C$4:$C$1000,A562,MOVIMIENTOS!$D$4:$D$1000,B562,MOVIMIENTOS!$E$4:$E$1000,C562,MOVIMIENTOS!$B$4:$B$1000,"MUESTRA")-SUMIFS(MOVIMIENTOS!$F$4:$F$1000,MOVIMIENTOS!$C$4:$C$1000,A562,MOVIMIENTOS!$D$4:$D$1000,B562,MOVIMIENTOS!$E$4:$E$1000,C562,MOVIMIENTOS!$B$4:$B$1000,"AJUSTE-"),0)</f>
        <v>0</v>
      </c>
      <c r="F562" s="101">
        <f>IFERROR(E562*VLOOKUP(B562,TELAS!$A$4:$C$32,3,FALSE()),0)</f>
        <v>0</v>
      </c>
      <c r="G562" s="102">
        <f>IFERROR(IF(D562="OSCURO",VLOOKUP(B562,PRECIOS!$A$4:$F$32,2,FALSE()),IF(D562="CLARO",VLOOKUP(B562,PRECIOS!$A$4:$F$32,3,FALSE()),IF(D562="MELANGE",VLOOKUP(B562,PRECIOS!$A$4:$F$32,4,FALSE()),IF(D562="PPT",VLOOKUP(B562,PRECIOS!$A$4:$F$32,5,FALSE()),0)))),0)</f>
        <v>0</v>
      </c>
      <c r="H562" s="103">
        <f t="shared" si="1"/>
        <v>0</v>
      </c>
      <c r="I562" s="104" t="str">
        <f>IF(E562&lt;0,"ERROR",IF(E562=0,"",IF(E562&lt;CONFIG!$B$4,"CRÍTICO",IF(E562&lt;CONFIG!$B$5,"BAJO","OK"))))</f>
        <v/>
      </c>
    </row>
    <row r="563" ht="15.75" customHeight="1">
      <c r="A563" s="90" t="str">
        <f>IF(CLIENTES!A7="","",CLIENTES!A7)</f>
        <v/>
      </c>
      <c r="B563" s="67" t="str">
        <f>TELAS!A10</f>
        <v>jersey full lycra 30/1</v>
      </c>
      <c r="C563" s="67" t="str">
        <f>COLORES!A23</f>
        <v/>
      </c>
      <c r="D563" s="67" t="str">
        <f>COLORES!B23</f>
        <v/>
      </c>
      <c r="E563" s="100">
        <f>IFERROR(SUMIFS(MOVIMIENTOS!$F$4:$F$1000,MOVIMIENTOS!$C$4:$C$1000,A563,MOVIMIENTOS!$D$4:$D$1000,B563,MOVIMIENTOS!$E$4:$E$1000,C563,MOVIMIENTOS!$B$4:$B$1000,"INGRESO")+SUMIFS(MOVIMIENTOS!$F$4:$F$1000,MOVIMIENTOS!$C$4:$C$1000,A563,MOVIMIENTOS!$D$4:$D$1000,B563,MOVIMIENTOS!$E$4:$E$1000,C563,MOVIMIENTOS!$B$4:$B$1000,"DE REPROCESO")+SUMIFS(MOVIMIENTOS!$F$4:$F$1000,MOVIMIENTOS!$C$4:$C$1000,A563,MOVIMIENTOS!$D$4:$D$1000,B563,MOVIMIENTOS!$E$4:$E$1000,C563,MOVIMIENTOS!$B$4:$B$1000,"AJUSTE+")-SUMIFS(MOVIMIENTOS!$F$4:$F$1000,MOVIMIENTOS!$C$4:$C$1000,A563,MOVIMIENTOS!$D$4:$D$1000,B563,MOVIMIENTOS!$E$4:$E$1000,C563,MOVIMIENTOS!$B$4:$B$1000,"A CORTE")-SUMIFS(MOVIMIENTOS!$F$4:$F$1000,MOVIMIENTOS!$C$4:$C$1000,A563,MOVIMIENTOS!$D$4:$D$1000,B563,MOVIMIENTOS!$E$4:$E$1000,C563,MOVIMIENTOS!$B$4:$B$1000,"A REPROCESO")-SUMIFS(MOVIMIENTOS!$F$4:$F$1000,MOVIMIENTOS!$C$4:$C$1000,A563,MOVIMIENTOS!$D$4:$D$1000,B563,MOVIMIENTOS!$E$4:$E$1000,C563,MOVIMIENTOS!$B$4:$B$1000,"MUESTRA")-SUMIFS(MOVIMIENTOS!$F$4:$F$1000,MOVIMIENTOS!$C$4:$C$1000,A563,MOVIMIENTOS!$D$4:$D$1000,B563,MOVIMIENTOS!$E$4:$E$1000,C563,MOVIMIENTOS!$B$4:$B$1000,"AJUSTE-"),0)</f>
        <v>0</v>
      </c>
      <c r="F563" s="101">
        <f>IFERROR(E563*VLOOKUP(B563,TELAS!$A$4:$C$32,3,FALSE()),0)</f>
        <v>0</v>
      </c>
      <c r="G563" s="102">
        <f>IFERROR(IF(D563="OSCURO",VLOOKUP(B563,PRECIOS!$A$4:$F$32,2,FALSE()),IF(D563="CLARO",VLOOKUP(B563,PRECIOS!$A$4:$F$32,3,FALSE()),IF(D563="MELANGE",VLOOKUP(B563,PRECIOS!$A$4:$F$32,4,FALSE()),IF(D563="PPT",VLOOKUP(B563,PRECIOS!$A$4:$F$32,5,FALSE()),0)))),0)</f>
        <v>0</v>
      </c>
      <c r="H563" s="103">
        <f t="shared" si="1"/>
        <v>0</v>
      </c>
      <c r="I563" s="104" t="str">
        <f>IF(E563&lt;0,"ERROR",IF(E563=0,"",IF(E563&lt;CONFIG!$B$4,"CRÍTICO",IF(E563&lt;CONFIG!$B$5,"BAJO","OK"))))</f>
        <v/>
      </c>
    </row>
    <row r="564" ht="15.75" customHeight="1">
      <c r="A564" s="90" t="str">
        <f>IF(CLIENTES!A8="","",CLIENTES!A8)</f>
        <v/>
      </c>
      <c r="B564" s="67" t="str">
        <f>TELAS!A4</f>
        <v>jersey 30/1</v>
      </c>
      <c r="C564" s="67" t="str">
        <f>COLORES!A4</f>
        <v>Negro</v>
      </c>
      <c r="D564" s="67" t="str">
        <f>COLORES!B4</f>
        <v>OSCURO</v>
      </c>
      <c r="E564" s="100">
        <f>IFERROR(SUMIFS(MOVIMIENTOS!$F$4:$F$1000,MOVIMIENTOS!$C$4:$C$1000,A564,MOVIMIENTOS!$D$4:$D$1000,B564,MOVIMIENTOS!$E$4:$E$1000,C564,MOVIMIENTOS!$B$4:$B$1000,"INGRESO")+SUMIFS(MOVIMIENTOS!$F$4:$F$1000,MOVIMIENTOS!$C$4:$C$1000,A564,MOVIMIENTOS!$D$4:$D$1000,B564,MOVIMIENTOS!$E$4:$E$1000,C564,MOVIMIENTOS!$B$4:$B$1000,"DE REPROCESO")+SUMIFS(MOVIMIENTOS!$F$4:$F$1000,MOVIMIENTOS!$C$4:$C$1000,A564,MOVIMIENTOS!$D$4:$D$1000,B564,MOVIMIENTOS!$E$4:$E$1000,C564,MOVIMIENTOS!$B$4:$B$1000,"AJUSTE+")-SUMIFS(MOVIMIENTOS!$F$4:$F$1000,MOVIMIENTOS!$C$4:$C$1000,A564,MOVIMIENTOS!$D$4:$D$1000,B564,MOVIMIENTOS!$E$4:$E$1000,C564,MOVIMIENTOS!$B$4:$B$1000,"A CORTE")-SUMIFS(MOVIMIENTOS!$F$4:$F$1000,MOVIMIENTOS!$C$4:$C$1000,A564,MOVIMIENTOS!$D$4:$D$1000,B564,MOVIMIENTOS!$E$4:$E$1000,C564,MOVIMIENTOS!$B$4:$B$1000,"A REPROCESO")-SUMIFS(MOVIMIENTOS!$F$4:$F$1000,MOVIMIENTOS!$C$4:$C$1000,A564,MOVIMIENTOS!$D$4:$D$1000,B564,MOVIMIENTOS!$E$4:$E$1000,C564,MOVIMIENTOS!$B$4:$B$1000,"MUESTRA")-SUMIFS(MOVIMIENTOS!$F$4:$F$1000,MOVIMIENTOS!$C$4:$C$1000,A564,MOVIMIENTOS!$D$4:$D$1000,B564,MOVIMIENTOS!$E$4:$E$1000,C564,MOVIMIENTOS!$B$4:$B$1000,"AJUSTE-"),0)</f>
        <v>0</v>
      </c>
      <c r="F564" s="101">
        <f>IFERROR(E564*VLOOKUP(B564,TELAS!$A$4:$C$32,3,FALSE()),0)</f>
        <v>0</v>
      </c>
      <c r="G564" s="102">
        <f>IFERROR(IF(D564="OSCURO",VLOOKUP(B564,PRECIOS!$A$4:$F$32,2,FALSE()),IF(D564="CLARO",VLOOKUP(B564,PRECIOS!$A$4:$F$32,3,FALSE()),IF(D564="MELANGE",VLOOKUP(B564,PRECIOS!$A$4:$F$32,4,FALSE()),IF(D564="PPT",VLOOKUP(B564,PRECIOS!$A$4:$F$32,5,FALSE()),0)))),0)</f>
        <v>24</v>
      </c>
      <c r="H564" s="103">
        <f t="shared" si="1"/>
        <v>0</v>
      </c>
      <c r="I564" s="104" t="str">
        <f>IF(E564&lt;0,"ERROR",IF(E564=0,"",IF(E564&lt;CONFIG!$B$4,"CRÍTICO",IF(E564&lt;CONFIG!$B$5,"BAJO","OK"))))</f>
        <v/>
      </c>
    </row>
    <row r="565" ht="15.75" customHeight="1">
      <c r="A565" s="90" t="str">
        <f>IF(CLIENTES!A8="","",CLIENTES!A8)</f>
        <v/>
      </c>
      <c r="B565" s="67" t="str">
        <f>TELAS!A4</f>
        <v>jersey 30/1</v>
      </c>
      <c r="C565" s="67" t="str">
        <f>COLORES!A5</f>
        <v>Perla</v>
      </c>
      <c r="D565" s="67" t="str">
        <f>COLORES!B5</f>
        <v>PPT</v>
      </c>
      <c r="E565" s="100">
        <f>IFERROR(SUMIFS(MOVIMIENTOS!$F$4:$F$1000,MOVIMIENTOS!$C$4:$C$1000,A565,MOVIMIENTOS!$D$4:$D$1000,B565,MOVIMIENTOS!$E$4:$E$1000,C565,MOVIMIENTOS!$B$4:$B$1000,"INGRESO")+SUMIFS(MOVIMIENTOS!$F$4:$F$1000,MOVIMIENTOS!$C$4:$C$1000,A565,MOVIMIENTOS!$D$4:$D$1000,B565,MOVIMIENTOS!$E$4:$E$1000,C565,MOVIMIENTOS!$B$4:$B$1000,"DE REPROCESO")+SUMIFS(MOVIMIENTOS!$F$4:$F$1000,MOVIMIENTOS!$C$4:$C$1000,A565,MOVIMIENTOS!$D$4:$D$1000,B565,MOVIMIENTOS!$E$4:$E$1000,C565,MOVIMIENTOS!$B$4:$B$1000,"AJUSTE+")-SUMIFS(MOVIMIENTOS!$F$4:$F$1000,MOVIMIENTOS!$C$4:$C$1000,A565,MOVIMIENTOS!$D$4:$D$1000,B565,MOVIMIENTOS!$E$4:$E$1000,C565,MOVIMIENTOS!$B$4:$B$1000,"A CORTE")-SUMIFS(MOVIMIENTOS!$F$4:$F$1000,MOVIMIENTOS!$C$4:$C$1000,A565,MOVIMIENTOS!$D$4:$D$1000,B565,MOVIMIENTOS!$E$4:$E$1000,C565,MOVIMIENTOS!$B$4:$B$1000,"A REPROCESO")-SUMIFS(MOVIMIENTOS!$F$4:$F$1000,MOVIMIENTOS!$C$4:$C$1000,A565,MOVIMIENTOS!$D$4:$D$1000,B565,MOVIMIENTOS!$E$4:$E$1000,C565,MOVIMIENTOS!$B$4:$B$1000,"MUESTRA")-SUMIFS(MOVIMIENTOS!$F$4:$F$1000,MOVIMIENTOS!$C$4:$C$1000,A565,MOVIMIENTOS!$D$4:$D$1000,B565,MOVIMIENTOS!$E$4:$E$1000,C565,MOVIMIENTOS!$B$4:$B$1000,"AJUSTE-"),0)</f>
        <v>0</v>
      </c>
      <c r="F565" s="101">
        <f>IFERROR(E565*VLOOKUP(B565,TELAS!$A$4:$C$32,3,FALSE()),0)</f>
        <v>0</v>
      </c>
      <c r="G565" s="102">
        <f>IFERROR(IF(D565="OSCURO",VLOOKUP(B565,PRECIOS!$A$4:$F$32,2,FALSE()),IF(D565="CLARO",VLOOKUP(B565,PRECIOS!$A$4:$F$32,3,FALSE()),IF(D565="MELANGE",VLOOKUP(B565,PRECIOS!$A$4:$F$32,4,FALSE()),IF(D565="PPT",VLOOKUP(B565,PRECIOS!$A$4:$F$32,5,FALSE()),0)))),0)</f>
        <v>18</v>
      </c>
      <c r="H565" s="103">
        <f t="shared" si="1"/>
        <v>0</v>
      </c>
      <c r="I565" s="104" t="str">
        <f>IF(E565&lt;0,"ERROR",IF(E565=0,"",IF(E565&lt;CONFIG!$B$4,"CRÍTICO",IF(E565&lt;CONFIG!$B$5,"BAJO","OK"))))</f>
        <v/>
      </c>
    </row>
    <row r="566" ht="15.75" customHeight="1">
      <c r="A566" s="90" t="str">
        <f>IF(CLIENTES!A8="","",CLIENTES!A8)</f>
        <v/>
      </c>
      <c r="B566" s="67" t="str">
        <f>TELAS!A4</f>
        <v>jersey 30/1</v>
      </c>
      <c r="C566" s="67" t="str">
        <f>COLORES!A6</f>
        <v>Blanco</v>
      </c>
      <c r="D566" s="67" t="str">
        <f>COLORES!B6</f>
        <v>PPT</v>
      </c>
      <c r="E566" s="100">
        <f>IFERROR(SUMIFS(MOVIMIENTOS!$F$4:$F$1000,MOVIMIENTOS!$C$4:$C$1000,A566,MOVIMIENTOS!$D$4:$D$1000,B566,MOVIMIENTOS!$E$4:$E$1000,C566,MOVIMIENTOS!$B$4:$B$1000,"INGRESO")+SUMIFS(MOVIMIENTOS!$F$4:$F$1000,MOVIMIENTOS!$C$4:$C$1000,A566,MOVIMIENTOS!$D$4:$D$1000,B566,MOVIMIENTOS!$E$4:$E$1000,C566,MOVIMIENTOS!$B$4:$B$1000,"DE REPROCESO")+SUMIFS(MOVIMIENTOS!$F$4:$F$1000,MOVIMIENTOS!$C$4:$C$1000,A566,MOVIMIENTOS!$D$4:$D$1000,B566,MOVIMIENTOS!$E$4:$E$1000,C566,MOVIMIENTOS!$B$4:$B$1000,"AJUSTE+")-SUMIFS(MOVIMIENTOS!$F$4:$F$1000,MOVIMIENTOS!$C$4:$C$1000,A566,MOVIMIENTOS!$D$4:$D$1000,B566,MOVIMIENTOS!$E$4:$E$1000,C566,MOVIMIENTOS!$B$4:$B$1000,"A CORTE")-SUMIFS(MOVIMIENTOS!$F$4:$F$1000,MOVIMIENTOS!$C$4:$C$1000,A566,MOVIMIENTOS!$D$4:$D$1000,B566,MOVIMIENTOS!$E$4:$E$1000,C566,MOVIMIENTOS!$B$4:$B$1000,"A REPROCESO")-SUMIFS(MOVIMIENTOS!$F$4:$F$1000,MOVIMIENTOS!$C$4:$C$1000,A566,MOVIMIENTOS!$D$4:$D$1000,B566,MOVIMIENTOS!$E$4:$E$1000,C566,MOVIMIENTOS!$B$4:$B$1000,"MUESTRA")-SUMIFS(MOVIMIENTOS!$F$4:$F$1000,MOVIMIENTOS!$C$4:$C$1000,A566,MOVIMIENTOS!$D$4:$D$1000,B566,MOVIMIENTOS!$E$4:$E$1000,C566,MOVIMIENTOS!$B$4:$B$1000,"AJUSTE-"),0)</f>
        <v>0</v>
      </c>
      <c r="F566" s="101">
        <f>IFERROR(E566*VLOOKUP(B566,TELAS!$A$4:$C$32,3,FALSE()),0)</f>
        <v>0</v>
      </c>
      <c r="G566" s="102">
        <f>IFERROR(IF(D566="OSCURO",VLOOKUP(B566,PRECIOS!$A$4:$F$32,2,FALSE()),IF(D566="CLARO",VLOOKUP(B566,PRECIOS!$A$4:$F$32,3,FALSE()),IF(D566="MELANGE",VLOOKUP(B566,PRECIOS!$A$4:$F$32,4,FALSE()),IF(D566="PPT",VLOOKUP(B566,PRECIOS!$A$4:$F$32,5,FALSE()),0)))),0)</f>
        <v>18</v>
      </c>
      <c r="H566" s="103">
        <f t="shared" si="1"/>
        <v>0</v>
      </c>
      <c r="I566" s="104" t="str">
        <f>IF(E566&lt;0,"ERROR",IF(E566=0,"",IF(E566&lt;CONFIG!$B$4,"CRÍTICO",IF(E566&lt;CONFIG!$B$5,"BAJO","OK"))))</f>
        <v/>
      </c>
    </row>
    <row r="567" ht="15.75" customHeight="1">
      <c r="A567" s="90" t="str">
        <f>IF(CLIENTES!A8="","",CLIENTES!A8)</f>
        <v/>
      </c>
      <c r="B567" s="67" t="str">
        <f>TELAS!A4</f>
        <v>jersey 30/1</v>
      </c>
      <c r="C567" s="67" t="str">
        <f>COLORES!A7</f>
        <v>Azul</v>
      </c>
      <c r="D567" s="67" t="str">
        <f>COLORES!B7</f>
        <v>OSCURO</v>
      </c>
      <c r="E567" s="100">
        <f>IFERROR(SUMIFS(MOVIMIENTOS!$F$4:$F$1000,MOVIMIENTOS!$C$4:$C$1000,A567,MOVIMIENTOS!$D$4:$D$1000,B567,MOVIMIENTOS!$E$4:$E$1000,C567,MOVIMIENTOS!$B$4:$B$1000,"INGRESO")+SUMIFS(MOVIMIENTOS!$F$4:$F$1000,MOVIMIENTOS!$C$4:$C$1000,A567,MOVIMIENTOS!$D$4:$D$1000,B567,MOVIMIENTOS!$E$4:$E$1000,C567,MOVIMIENTOS!$B$4:$B$1000,"DE REPROCESO")+SUMIFS(MOVIMIENTOS!$F$4:$F$1000,MOVIMIENTOS!$C$4:$C$1000,A567,MOVIMIENTOS!$D$4:$D$1000,B567,MOVIMIENTOS!$E$4:$E$1000,C567,MOVIMIENTOS!$B$4:$B$1000,"AJUSTE+")-SUMIFS(MOVIMIENTOS!$F$4:$F$1000,MOVIMIENTOS!$C$4:$C$1000,A567,MOVIMIENTOS!$D$4:$D$1000,B567,MOVIMIENTOS!$E$4:$E$1000,C567,MOVIMIENTOS!$B$4:$B$1000,"A CORTE")-SUMIFS(MOVIMIENTOS!$F$4:$F$1000,MOVIMIENTOS!$C$4:$C$1000,A567,MOVIMIENTOS!$D$4:$D$1000,B567,MOVIMIENTOS!$E$4:$E$1000,C567,MOVIMIENTOS!$B$4:$B$1000,"A REPROCESO")-SUMIFS(MOVIMIENTOS!$F$4:$F$1000,MOVIMIENTOS!$C$4:$C$1000,A567,MOVIMIENTOS!$D$4:$D$1000,B567,MOVIMIENTOS!$E$4:$E$1000,C567,MOVIMIENTOS!$B$4:$B$1000,"MUESTRA")-SUMIFS(MOVIMIENTOS!$F$4:$F$1000,MOVIMIENTOS!$C$4:$C$1000,A567,MOVIMIENTOS!$D$4:$D$1000,B567,MOVIMIENTOS!$E$4:$E$1000,C567,MOVIMIENTOS!$B$4:$B$1000,"AJUSTE-"),0)</f>
        <v>0</v>
      </c>
      <c r="F567" s="101">
        <f>IFERROR(E567*VLOOKUP(B567,TELAS!$A$4:$C$32,3,FALSE()),0)</f>
        <v>0</v>
      </c>
      <c r="G567" s="102">
        <f>IFERROR(IF(D567="OSCURO",VLOOKUP(B567,PRECIOS!$A$4:$F$32,2,FALSE()),IF(D567="CLARO",VLOOKUP(B567,PRECIOS!$A$4:$F$32,3,FALSE()),IF(D567="MELANGE",VLOOKUP(B567,PRECIOS!$A$4:$F$32,4,FALSE()),IF(D567="PPT",VLOOKUP(B567,PRECIOS!$A$4:$F$32,5,FALSE()),0)))),0)</f>
        <v>24</v>
      </c>
      <c r="H567" s="103">
        <f t="shared" si="1"/>
        <v>0</v>
      </c>
      <c r="I567" s="104" t="str">
        <f>IF(E567&lt;0,"ERROR",IF(E567=0,"",IF(E567&lt;CONFIG!$B$4,"CRÍTICO",IF(E567&lt;CONFIG!$B$5,"BAJO","OK"))))</f>
        <v/>
      </c>
    </row>
    <row r="568" ht="15.75" customHeight="1">
      <c r="A568" s="90" t="str">
        <f>IF(CLIENTES!A8="","",CLIENTES!A8)</f>
        <v/>
      </c>
      <c r="B568" s="67" t="str">
        <f>TELAS!A4</f>
        <v>jersey 30/1</v>
      </c>
      <c r="C568" s="67" t="str">
        <f>COLORES!A8</f>
        <v>Beige</v>
      </c>
      <c r="D568" s="67" t="str">
        <f>COLORES!B8</f>
        <v>CLARO</v>
      </c>
      <c r="E568" s="100">
        <f>IFERROR(SUMIFS(MOVIMIENTOS!$F$4:$F$1000,MOVIMIENTOS!$C$4:$C$1000,A568,MOVIMIENTOS!$D$4:$D$1000,B568,MOVIMIENTOS!$E$4:$E$1000,C568,MOVIMIENTOS!$B$4:$B$1000,"INGRESO")+SUMIFS(MOVIMIENTOS!$F$4:$F$1000,MOVIMIENTOS!$C$4:$C$1000,A568,MOVIMIENTOS!$D$4:$D$1000,B568,MOVIMIENTOS!$E$4:$E$1000,C568,MOVIMIENTOS!$B$4:$B$1000,"DE REPROCESO")+SUMIFS(MOVIMIENTOS!$F$4:$F$1000,MOVIMIENTOS!$C$4:$C$1000,A568,MOVIMIENTOS!$D$4:$D$1000,B568,MOVIMIENTOS!$E$4:$E$1000,C568,MOVIMIENTOS!$B$4:$B$1000,"AJUSTE+")-SUMIFS(MOVIMIENTOS!$F$4:$F$1000,MOVIMIENTOS!$C$4:$C$1000,A568,MOVIMIENTOS!$D$4:$D$1000,B568,MOVIMIENTOS!$E$4:$E$1000,C568,MOVIMIENTOS!$B$4:$B$1000,"A CORTE")-SUMIFS(MOVIMIENTOS!$F$4:$F$1000,MOVIMIENTOS!$C$4:$C$1000,A568,MOVIMIENTOS!$D$4:$D$1000,B568,MOVIMIENTOS!$E$4:$E$1000,C568,MOVIMIENTOS!$B$4:$B$1000,"A REPROCESO")-SUMIFS(MOVIMIENTOS!$F$4:$F$1000,MOVIMIENTOS!$C$4:$C$1000,A568,MOVIMIENTOS!$D$4:$D$1000,B568,MOVIMIENTOS!$E$4:$E$1000,C568,MOVIMIENTOS!$B$4:$B$1000,"MUESTRA")-SUMIFS(MOVIMIENTOS!$F$4:$F$1000,MOVIMIENTOS!$C$4:$C$1000,A568,MOVIMIENTOS!$D$4:$D$1000,B568,MOVIMIENTOS!$E$4:$E$1000,C568,MOVIMIENTOS!$B$4:$B$1000,"AJUSTE-"),0)</f>
        <v>0</v>
      </c>
      <c r="F568" s="101">
        <f>IFERROR(E568*VLOOKUP(B568,TELAS!$A$4:$C$32,3,FALSE()),0)</f>
        <v>0</v>
      </c>
      <c r="G568" s="102">
        <f>IFERROR(IF(D568="OSCURO",VLOOKUP(B568,PRECIOS!$A$4:$F$32,2,FALSE()),IF(D568="CLARO",VLOOKUP(B568,PRECIOS!$A$4:$F$32,3,FALSE()),IF(D568="MELANGE",VLOOKUP(B568,PRECIOS!$A$4:$F$32,4,FALSE()),IF(D568="PPT",VLOOKUP(B568,PRECIOS!$A$4:$F$32,5,FALSE()),0)))),0)</f>
        <v>21</v>
      </c>
      <c r="H568" s="103">
        <f t="shared" si="1"/>
        <v>0</v>
      </c>
      <c r="I568" s="104" t="str">
        <f>IF(E568&lt;0,"ERROR",IF(E568=0,"",IF(E568&lt;CONFIG!$B$4,"CRÍTICO",IF(E568&lt;CONFIG!$B$5,"BAJO","OK"))))</f>
        <v/>
      </c>
    </row>
    <row r="569" ht="15.75" customHeight="1">
      <c r="A569" s="90" t="str">
        <f>IF(CLIENTES!A8="","",CLIENTES!A8)</f>
        <v/>
      </c>
      <c r="B569" s="67" t="str">
        <f>TELAS!A4</f>
        <v>jersey 30/1</v>
      </c>
      <c r="C569" s="67" t="str">
        <f>COLORES!A9</f>
        <v>Melange</v>
      </c>
      <c r="D569" s="67" t="str">
        <f>COLORES!B9</f>
        <v>MELANGE</v>
      </c>
      <c r="E569" s="100">
        <f>IFERROR(SUMIFS(MOVIMIENTOS!$F$4:$F$1000,MOVIMIENTOS!$C$4:$C$1000,A569,MOVIMIENTOS!$D$4:$D$1000,B569,MOVIMIENTOS!$E$4:$E$1000,C569,MOVIMIENTOS!$B$4:$B$1000,"INGRESO")+SUMIFS(MOVIMIENTOS!$F$4:$F$1000,MOVIMIENTOS!$C$4:$C$1000,A569,MOVIMIENTOS!$D$4:$D$1000,B569,MOVIMIENTOS!$E$4:$E$1000,C569,MOVIMIENTOS!$B$4:$B$1000,"DE REPROCESO")+SUMIFS(MOVIMIENTOS!$F$4:$F$1000,MOVIMIENTOS!$C$4:$C$1000,A569,MOVIMIENTOS!$D$4:$D$1000,B569,MOVIMIENTOS!$E$4:$E$1000,C569,MOVIMIENTOS!$B$4:$B$1000,"AJUSTE+")-SUMIFS(MOVIMIENTOS!$F$4:$F$1000,MOVIMIENTOS!$C$4:$C$1000,A569,MOVIMIENTOS!$D$4:$D$1000,B569,MOVIMIENTOS!$E$4:$E$1000,C569,MOVIMIENTOS!$B$4:$B$1000,"A CORTE")-SUMIFS(MOVIMIENTOS!$F$4:$F$1000,MOVIMIENTOS!$C$4:$C$1000,A569,MOVIMIENTOS!$D$4:$D$1000,B569,MOVIMIENTOS!$E$4:$E$1000,C569,MOVIMIENTOS!$B$4:$B$1000,"A REPROCESO")-SUMIFS(MOVIMIENTOS!$F$4:$F$1000,MOVIMIENTOS!$C$4:$C$1000,A569,MOVIMIENTOS!$D$4:$D$1000,B569,MOVIMIENTOS!$E$4:$E$1000,C569,MOVIMIENTOS!$B$4:$B$1000,"MUESTRA")-SUMIFS(MOVIMIENTOS!$F$4:$F$1000,MOVIMIENTOS!$C$4:$C$1000,A569,MOVIMIENTOS!$D$4:$D$1000,B569,MOVIMIENTOS!$E$4:$E$1000,C569,MOVIMIENTOS!$B$4:$B$1000,"AJUSTE-"),0)</f>
        <v>0</v>
      </c>
      <c r="F569" s="101">
        <f>IFERROR(E569*VLOOKUP(B569,TELAS!$A$4:$C$32,3,FALSE()),0)</f>
        <v>0</v>
      </c>
      <c r="G569" s="102">
        <f>IFERROR(IF(D569="OSCURO",VLOOKUP(B569,PRECIOS!$A$4:$F$32,2,FALSE()),IF(D569="CLARO",VLOOKUP(B569,PRECIOS!$A$4:$F$32,3,FALSE()),IF(D569="MELANGE",VLOOKUP(B569,PRECIOS!$A$4:$F$32,4,FALSE()),IF(D569="PPT",VLOOKUP(B569,PRECIOS!$A$4:$F$32,5,FALSE()),0)))),0)</f>
        <v>18</v>
      </c>
      <c r="H569" s="103">
        <f t="shared" si="1"/>
        <v>0</v>
      </c>
      <c r="I569" s="104" t="str">
        <f>IF(E569&lt;0,"ERROR",IF(E569=0,"",IF(E569&lt;CONFIG!$B$4,"CRÍTICO",IF(E569&lt;CONFIG!$B$5,"BAJO","OK"))))</f>
        <v/>
      </c>
    </row>
    <row r="570" ht="15.75" customHeight="1">
      <c r="A570" s="90" t="str">
        <f>IF(CLIENTES!A8="","",CLIENTES!A8)</f>
        <v/>
      </c>
      <c r="B570" s="67" t="str">
        <f>TELAS!A4</f>
        <v>jersey 30/1</v>
      </c>
      <c r="C570" s="67" t="str">
        <f>COLORES!A10</f>
        <v>Botella</v>
      </c>
      <c r="D570" s="67" t="str">
        <f>COLORES!B10</f>
        <v>OSCURO</v>
      </c>
      <c r="E570" s="100">
        <f>IFERROR(SUMIFS(MOVIMIENTOS!$F$4:$F$1000,MOVIMIENTOS!$C$4:$C$1000,A570,MOVIMIENTOS!$D$4:$D$1000,B570,MOVIMIENTOS!$E$4:$E$1000,C570,MOVIMIENTOS!$B$4:$B$1000,"INGRESO")+SUMIFS(MOVIMIENTOS!$F$4:$F$1000,MOVIMIENTOS!$C$4:$C$1000,A570,MOVIMIENTOS!$D$4:$D$1000,B570,MOVIMIENTOS!$E$4:$E$1000,C570,MOVIMIENTOS!$B$4:$B$1000,"DE REPROCESO")+SUMIFS(MOVIMIENTOS!$F$4:$F$1000,MOVIMIENTOS!$C$4:$C$1000,A570,MOVIMIENTOS!$D$4:$D$1000,B570,MOVIMIENTOS!$E$4:$E$1000,C570,MOVIMIENTOS!$B$4:$B$1000,"AJUSTE+")-SUMIFS(MOVIMIENTOS!$F$4:$F$1000,MOVIMIENTOS!$C$4:$C$1000,A570,MOVIMIENTOS!$D$4:$D$1000,B570,MOVIMIENTOS!$E$4:$E$1000,C570,MOVIMIENTOS!$B$4:$B$1000,"A CORTE")-SUMIFS(MOVIMIENTOS!$F$4:$F$1000,MOVIMIENTOS!$C$4:$C$1000,A570,MOVIMIENTOS!$D$4:$D$1000,B570,MOVIMIENTOS!$E$4:$E$1000,C570,MOVIMIENTOS!$B$4:$B$1000,"A REPROCESO")-SUMIFS(MOVIMIENTOS!$F$4:$F$1000,MOVIMIENTOS!$C$4:$C$1000,A570,MOVIMIENTOS!$D$4:$D$1000,B570,MOVIMIENTOS!$E$4:$E$1000,C570,MOVIMIENTOS!$B$4:$B$1000,"MUESTRA")-SUMIFS(MOVIMIENTOS!$F$4:$F$1000,MOVIMIENTOS!$C$4:$C$1000,A570,MOVIMIENTOS!$D$4:$D$1000,B570,MOVIMIENTOS!$E$4:$E$1000,C570,MOVIMIENTOS!$B$4:$B$1000,"AJUSTE-"),0)</f>
        <v>0</v>
      </c>
      <c r="F570" s="101">
        <f>IFERROR(E570*VLOOKUP(B570,TELAS!$A$4:$C$32,3,FALSE()),0)</f>
        <v>0</v>
      </c>
      <c r="G570" s="102">
        <f>IFERROR(IF(D570="OSCURO",VLOOKUP(B570,PRECIOS!$A$4:$F$32,2,FALSE()),IF(D570="CLARO",VLOOKUP(B570,PRECIOS!$A$4:$F$32,3,FALSE()),IF(D570="MELANGE",VLOOKUP(B570,PRECIOS!$A$4:$F$32,4,FALSE()),IF(D570="PPT",VLOOKUP(B570,PRECIOS!$A$4:$F$32,5,FALSE()),0)))),0)</f>
        <v>24</v>
      </c>
      <c r="H570" s="103">
        <f t="shared" si="1"/>
        <v>0</v>
      </c>
      <c r="I570" s="104" t="str">
        <f>IF(E570&lt;0,"ERROR",IF(E570=0,"",IF(E570&lt;CONFIG!$B$4,"CRÍTICO",IF(E570&lt;CONFIG!$B$5,"BAJO","OK"))))</f>
        <v/>
      </c>
    </row>
    <row r="571" ht="15.75" customHeight="1">
      <c r="A571" s="90" t="str">
        <f>IF(CLIENTES!A8="","",CLIENTES!A8)</f>
        <v/>
      </c>
      <c r="B571" s="67" t="str">
        <f>TELAS!A4</f>
        <v>jersey 30/1</v>
      </c>
      <c r="C571" s="67" t="str">
        <f>COLORES!A11</f>
        <v>Pacay</v>
      </c>
      <c r="D571" s="67" t="str">
        <f>COLORES!B11</f>
        <v>CLARO</v>
      </c>
      <c r="E571" s="100">
        <f>IFERROR(SUMIFS(MOVIMIENTOS!$F$4:$F$1000,MOVIMIENTOS!$C$4:$C$1000,A571,MOVIMIENTOS!$D$4:$D$1000,B571,MOVIMIENTOS!$E$4:$E$1000,C571,MOVIMIENTOS!$B$4:$B$1000,"INGRESO")+SUMIFS(MOVIMIENTOS!$F$4:$F$1000,MOVIMIENTOS!$C$4:$C$1000,A571,MOVIMIENTOS!$D$4:$D$1000,B571,MOVIMIENTOS!$E$4:$E$1000,C571,MOVIMIENTOS!$B$4:$B$1000,"DE REPROCESO")+SUMIFS(MOVIMIENTOS!$F$4:$F$1000,MOVIMIENTOS!$C$4:$C$1000,A571,MOVIMIENTOS!$D$4:$D$1000,B571,MOVIMIENTOS!$E$4:$E$1000,C571,MOVIMIENTOS!$B$4:$B$1000,"AJUSTE+")-SUMIFS(MOVIMIENTOS!$F$4:$F$1000,MOVIMIENTOS!$C$4:$C$1000,A571,MOVIMIENTOS!$D$4:$D$1000,B571,MOVIMIENTOS!$E$4:$E$1000,C571,MOVIMIENTOS!$B$4:$B$1000,"A CORTE")-SUMIFS(MOVIMIENTOS!$F$4:$F$1000,MOVIMIENTOS!$C$4:$C$1000,A571,MOVIMIENTOS!$D$4:$D$1000,B571,MOVIMIENTOS!$E$4:$E$1000,C571,MOVIMIENTOS!$B$4:$B$1000,"A REPROCESO")-SUMIFS(MOVIMIENTOS!$F$4:$F$1000,MOVIMIENTOS!$C$4:$C$1000,A571,MOVIMIENTOS!$D$4:$D$1000,B571,MOVIMIENTOS!$E$4:$E$1000,C571,MOVIMIENTOS!$B$4:$B$1000,"MUESTRA")-SUMIFS(MOVIMIENTOS!$F$4:$F$1000,MOVIMIENTOS!$C$4:$C$1000,A571,MOVIMIENTOS!$D$4:$D$1000,B571,MOVIMIENTOS!$E$4:$E$1000,C571,MOVIMIENTOS!$B$4:$B$1000,"AJUSTE-"),0)</f>
        <v>0</v>
      </c>
      <c r="F571" s="101">
        <f>IFERROR(E571*VLOOKUP(B571,TELAS!$A$4:$C$32,3,FALSE()),0)</f>
        <v>0</v>
      </c>
      <c r="G571" s="102">
        <f>IFERROR(IF(D571="OSCURO",VLOOKUP(B571,PRECIOS!$A$4:$F$32,2,FALSE()),IF(D571="CLARO",VLOOKUP(B571,PRECIOS!$A$4:$F$32,3,FALSE()),IF(D571="MELANGE",VLOOKUP(B571,PRECIOS!$A$4:$F$32,4,FALSE()),IF(D571="PPT",VLOOKUP(B571,PRECIOS!$A$4:$F$32,5,FALSE()),0)))),0)</f>
        <v>21</v>
      </c>
      <c r="H571" s="103">
        <f t="shared" si="1"/>
        <v>0</v>
      </c>
      <c r="I571" s="104" t="str">
        <f>IF(E571&lt;0,"ERROR",IF(E571=0,"",IF(E571&lt;CONFIG!$B$4,"CRÍTICO",IF(E571&lt;CONFIG!$B$5,"BAJO","OK"))))</f>
        <v/>
      </c>
    </row>
    <row r="572" ht="15.75" customHeight="1">
      <c r="A572" s="90" t="str">
        <f>IF(CLIENTES!A8="","",CLIENTES!A8)</f>
        <v/>
      </c>
      <c r="B572" s="67" t="str">
        <f>TELAS!A4</f>
        <v>jersey 30/1</v>
      </c>
      <c r="C572" s="67" t="str">
        <f>COLORES!A12</f>
        <v>Cemento</v>
      </c>
      <c r="D572" s="67" t="str">
        <f>COLORES!B12</f>
        <v>CLARO</v>
      </c>
      <c r="E572" s="100">
        <f>IFERROR(SUMIFS(MOVIMIENTOS!$F$4:$F$1000,MOVIMIENTOS!$C$4:$C$1000,A572,MOVIMIENTOS!$D$4:$D$1000,B572,MOVIMIENTOS!$E$4:$E$1000,C572,MOVIMIENTOS!$B$4:$B$1000,"INGRESO")+SUMIFS(MOVIMIENTOS!$F$4:$F$1000,MOVIMIENTOS!$C$4:$C$1000,A572,MOVIMIENTOS!$D$4:$D$1000,B572,MOVIMIENTOS!$E$4:$E$1000,C572,MOVIMIENTOS!$B$4:$B$1000,"DE REPROCESO")+SUMIFS(MOVIMIENTOS!$F$4:$F$1000,MOVIMIENTOS!$C$4:$C$1000,A572,MOVIMIENTOS!$D$4:$D$1000,B572,MOVIMIENTOS!$E$4:$E$1000,C572,MOVIMIENTOS!$B$4:$B$1000,"AJUSTE+")-SUMIFS(MOVIMIENTOS!$F$4:$F$1000,MOVIMIENTOS!$C$4:$C$1000,A572,MOVIMIENTOS!$D$4:$D$1000,B572,MOVIMIENTOS!$E$4:$E$1000,C572,MOVIMIENTOS!$B$4:$B$1000,"A CORTE")-SUMIFS(MOVIMIENTOS!$F$4:$F$1000,MOVIMIENTOS!$C$4:$C$1000,A572,MOVIMIENTOS!$D$4:$D$1000,B572,MOVIMIENTOS!$E$4:$E$1000,C572,MOVIMIENTOS!$B$4:$B$1000,"A REPROCESO")-SUMIFS(MOVIMIENTOS!$F$4:$F$1000,MOVIMIENTOS!$C$4:$C$1000,A572,MOVIMIENTOS!$D$4:$D$1000,B572,MOVIMIENTOS!$E$4:$E$1000,C572,MOVIMIENTOS!$B$4:$B$1000,"MUESTRA")-SUMIFS(MOVIMIENTOS!$F$4:$F$1000,MOVIMIENTOS!$C$4:$C$1000,A572,MOVIMIENTOS!$D$4:$D$1000,B572,MOVIMIENTOS!$E$4:$E$1000,C572,MOVIMIENTOS!$B$4:$B$1000,"AJUSTE-"),0)</f>
        <v>0</v>
      </c>
      <c r="F572" s="101">
        <f>IFERROR(E572*VLOOKUP(B572,TELAS!$A$4:$C$32,3,FALSE()),0)</f>
        <v>0</v>
      </c>
      <c r="G572" s="102">
        <f>IFERROR(IF(D572="OSCURO",VLOOKUP(B572,PRECIOS!$A$4:$F$32,2,FALSE()),IF(D572="CLARO",VLOOKUP(B572,PRECIOS!$A$4:$F$32,3,FALSE()),IF(D572="MELANGE",VLOOKUP(B572,PRECIOS!$A$4:$F$32,4,FALSE()),IF(D572="PPT",VLOOKUP(B572,PRECIOS!$A$4:$F$32,5,FALSE()),0)))),0)</f>
        <v>21</v>
      </c>
      <c r="H572" s="103">
        <f t="shared" si="1"/>
        <v>0</v>
      </c>
      <c r="I572" s="104" t="str">
        <f>IF(E572&lt;0,"ERROR",IF(E572=0,"",IF(E572&lt;CONFIG!$B$4,"CRÍTICO",IF(E572&lt;CONFIG!$B$5,"BAJO","OK"))))</f>
        <v/>
      </c>
    </row>
    <row r="573" ht="15.75" customHeight="1">
      <c r="A573" s="90" t="str">
        <f>IF(CLIENTES!A8="","",CLIENTES!A8)</f>
        <v/>
      </c>
      <c r="B573" s="67" t="str">
        <f>TELAS!A4</f>
        <v>jersey 30/1</v>
      </c>
      <c r="C573" s="67" t="str">
        <f>COLORES!A13</f>
        <v>Camote</v>
      </c>
      <c r="D573" s="67" t="str">
        <f>COLORES!B13</f>
        <v>CLARO</v>
      </c>
      <c r="E573" s="100">
        <f>IFERROR(SUMIFS(MOVIMIENTOS!$F$4:$F$1000,MOVIMIENTOS!$C$4:$C$1000,A573,MOVIMIENTOS!$D$4:$D$1000,B573,MOVIMIENTOS!$E$4:$E$1000,C573,MOVIMIENTOS!$B$4:$B$1000,"INGRESO")+SUMIFS(MOVIMIENTOS!$F$4:$F$1000,MOVIMIENTOS!$C$4:$C$1000,A573,MOVIMIENTOS!$D$4:$D$1000,B573,MOVIMIENTOS!$E$4:$E$1000,C573,MOVIMIENTOS!$B$4:$B$1000,"DE REPROCESO")+SUMIFS(MOVIMIENTOS!$F$4:$F$1000,MOVIMIENTOS!$C$4:$C$1000,A573,MOVIMIENTOS!$D$4:$D$1000,B573,MOVIMIENTOS!$E$4:$E$1000,C573,MOVIMIENTOS!$B$4:$B$1000,"AJUSTE+")-SUMIFS(MOVIMIENTOS!$F$4:$F$1000,MOVIMIENTOS!$C$4:$C$1000,A573,MOVIMIENTOS!$D$4:$D$1000,B573,MOVIMIENTOS!$E$4:$E$1000,C573,MOVIMIENTOS!$B$4:$B$1000,"A CORTE")-SUMIFS(MOVIMIENTOS!$F$4:$F$1000,MOVIMIENTOS!$C$4:$C$1000,A573,MOVIMIENTOS!$D$4:$D$1000,B573,MOVIMIENTOS!$E$4:$E$1000,C573,MOVIMIENTOS!$B$4:$B$1000,"A REPROCESO")-SUMIFS(MOVIMIENTOS!$F$4:$F$1000,MOVIMIENTOS!$C$4:$C$1000,A573,MOVIMIENTOS!$D$4:$D$1000,B573,MOVIMIENTOS!$E$4:$E$1000,C573,MOVIMIENTOS!$B$4:$B$1000,"MUESTRA")-SUMIFS(MOVIMIENTOS!$F$4:$F$1000,MOVIMIENTOS!$C$4:$C$1000,A573,MOVIMIENTOS!$D$4:$D$1000,B573,MOVIMIENTOS!$E$4:$E$1000,C573,MOVIMIENTOS!$B$4:$B$1000,"AJUSTE-"),0)</f>
        <v>0</v>
      </c>
      <c r="F573" s="101">
        <f>IFERROR(E573*VLOOKUP(B573,TELAS!$A$4:$C$32,3,FALSE()),0)</f>
        <v>0</v>
      </c>
      <c r="G573" s="102">
        <f>IFERROR(IF(D573="OSCURO",VLOOKUP(B573,PRECIOS!$A$4:$F$32,2,FALSE()),IF(D573="CLARO",VLOOKUP(B573,PRECIOS!$A$4:$F$32,3,FALSE()),IF(D573="MELANGE",VLOOKUP(B573,PRECIOS!$A$4:$F$32,4,FALSE()),IF(D573="PPT",VLOOKUP(B573,PRECIOS!$A$4:$F$32,5,FALSE()),0)))),0)</f>
        <v>21</v>
      </c>
      <c r="H573" s="103">
        <f t="shared" si="1"/>
        <v>0</v>
      </c>
      <c r="I573" s="104" t="str">
        <f>IF(E573&lt;0,"ERROR",IF(E573=0,"",IF(E573&lt;CONFIG!$B$4,"CRÍTICO",IF(E573&lt;CONFIG!$B$5,"BAJO","OK"))))</f>
        <v/>
      </c>
    </row>
    <row r="574" ht="15.75" customHeight="1">
      <c r="A574" s="90" t="str">
        <f>IF(CLIENTES!A8="","",CLIENTES!A8)</f>
        <v/>
      </c>
      <c r="B574" s="67" t="str">
        <f>TELAS!A4</f>
        <v>jersey 30/1</v>
      </c>
      <c r="C574" s="67" t="str">
        <f>COLORES!A14</f>
        <v>Denim</v>
      </c>
      <c r="D574" s="67" t="str">
        <f>COLORES!B14</f>
        <v>CLARO</v>
      </c>
      <c r="E574" s="100">
        <f>IFERROR(SUMIFS(MOVIMIENTOS!$F$4:$F$1000,MOVIMIENTOS!$C$4:$C$1000,A574,MOVIMIENTOS!$D$4:$D$1000,B574,MOVIMIENTOS!$E$4:$E$1000,C574,MOVIMIENTOS!$B$4:$B$1000,"INGRESO")+SUMIFS(MOVIMIENTOS!$F$4:$F$1000,MOVIMIENTOS!$C$4:$C$1000,A574,MOVIMIENTOS!$D$4:$D$1000,B574,MOVIMIENTOS!$E$4:$E$1000,C574,MOVIMIENTOS!$B$4:$B$1000,"DE REPROCESO")+SUMIFS(MOVIMIENTOS!$F$4:$F$1000,MOVIMIENTOS!$C$4:$C$1000,A574,MOVIMIENTOS!$D$4:$D$1000,B574,MOVIMIENTOS!$E$4:$E$1000,C574,MOVIMIENTOS!$B$4:$B$1000,"AJUSTE+")-SUMIFS(MOVIMIENTOS!$F$4:$F$1000,MOVIMIENTOS!$C$4:$C$1000,A574,MOVIMIENTOS!$D$4:$D$1000,B574,MOVIMIENTOS!$E$4:$E$1000,C574,MOVIMIENTOS!$B$4:$B$1000,"A CORTE")-SUMIFS(MOVIMIENTOS!$F$4:$F$1000,MOVIMIENTOS!$C$4:$C$1000,A574,MOVIMIENTOS!$D$4:$D$1000,B574,MOVIMIENTOS!$E$4:$E$1000,C574,MOVIMIENTOS!$B$4:$B$1000,"A REPROCESO")-SUMIFS(MOVIMIENTOS!$F$4:$F$1000,MOVIMIENTOS!$C$4:$C$1000,A574,MOVIMIENTOS!$D$4:$D$1000,B574,MOVIMIENTOS!$E$4:$E$1000,C574,MOVIMIENTOS!$B$4:$B$1000,"MUESTRA")-SUMIFS(MOVIMIENTOS!$F$4:$F$1000,MOVIMIENTOS!$C$4:$C$1000,A574,MOVIMIENTOS!$D$4:$D$1000,B574,MOVIMIENTOS!$E$4:$E$1000,C574,MOVIMIENTOS!$B$4:$B$1000,"AJUSTE-"),0)</f>
        <v>0</v>
      </c>
      <c r="F574" s="101">
        <f>IFERROR(E574*VLOOKUP(B574,TELAS!$A$4:$C$32,3,FALSE()),0)</f>
        <v>0</v>
      </c>
      <c r="G574" s="102">
        <f>IFERROR(IF(D574="OSCURO",VLOOKUP(B574,PRECIOS!$A$4:$F$32,2,FALSE()),IF(D574="CLARO",VLOOKUP(B574,PRECIOS!$A$4:$F$32,3,FALSE()),IF(D574="MELANGE",VLOOKUP(B574,PRECIOS!$A$4:$F$32,4,FALSE()),IF(D574="PPT",VLOOKUP(B574,PRECIOS!$A$4:$F$32,5,FALSE()),0)))),0)</f>
        <v>21</v>
      </c>
      <c r="H574" s="103">
        <f t="shared" si="1"/>
        <v>0</v>
      </c>
      <c r="I574" s="104" t="str">
        <f>IF(E574&lt;0,"ERROR",IF(E574=0,"",IF(E574&lt;CONFIG!$B$4,"CRÍTICO",IF(E574&lt;CONFIG!$B$5,"BAJO","OK"))))</f>
        <v/>
      </c>
    </row>
    <row r="575" ht="15.75" customHeight="1">
      <c r="A575" s="90" t="str">
        <f>IF(CLIENTES!A8="","",CLIENTES!A8)</f>
        <v/>
      </c>
      <c r="B575" s="67" t="str">
        <f>TELAS!A4</f>
        <v>jersey 30/1</v>
      </c>
      <c r="C575" s="67" t="str">
        <f>COLORES!A15</f>
        <v>Plomo</v>
      </c>
      <c r="D575" s="67" t="str">
        <f>COLORES!B15</f>
        <v>OSCURO</v>
      </c>
      <c r="E575" s="100">
        <f>IFERROR(SUMIFS(MOVIMIENTOS!$F$4:$F$1000,MOVIMIENTOS!$C$4:$C$1000,A575,MOVIMIENTOS!$D$4:$D$1000,B575,MOVIMIENTOS!$E$4:$E$1000,C575,MOVIMIENTOS!$B$4:$B$1000,"INGRESO")+SUMIFS(MOVIMIENTOS!$F$4:$F$1000,MOVIMIENTOS!$C$4:$C$1000,A575,MOVIMIENTOS!$D$4:$D$1000,B575,MOVIMIENTOS!$E$4:$E$1000,C575,MOVIMIENTOS!$B$4:$B$1000,"DE REPROCESO")+SUMIFS(MOVIMIENTOS!$F$4:$F$1000,MOVIMIENTOS!$C$4:$C$1000,A575,MOVIMIENTOS!$D$4:$D$1000,B575,MOVIMIENTOS!$E$4:$E$1000,C575,MOVIMIENTOS!$B$4:$B$1000,"AJUSTE+")-SUMIFS(MOVIMIENTOS!$F$4:$F$1000,MOVIMIENTOS!$C$4:$C$1000,A575,MOVIMIENTOS!$D$4:$D$1000,B575,MOVIMIENTOS!$E$4:$E$1000,C575,MOVIMIENTOS!$B$4:$B$1000,"A CORTE")-SUMIFS(MOVIMIENTOS!$F$4:$F$1000,MOVIMIENTOS!$C$4:$C$1000,A575,MOVIMIENTOS!$D$4:$D$1000,B575,MOVIMIENTOS!$E$4:$E$1000,C575,MOVIMIENTOS!$B$4:$B$1000,"A REPROCESO")-SUMIFS(MOVIMIENTOS!$F$4:$F$1000,MOVIMIENTOS!$C$4:$C$1000,A575,MOVIMIENTOS!$D$4:$D$1000,B575,MOVIMIENTOS!$E$4:$E$1000,C575,MOVIMIENTOS!$B$4:$B$1000,"MUESTRA")-SUMIFS(MOVIMIENTOS!$F$4:$F$1000,MOVIMIENTOS!$C$4:$C$1000,A575,MOVIMIENTOS!$D$4:$D$1000,B575,MOVIMIENTOS!$E$4:$E$1000,C575,MOVIMIENTOS!$B$4:$B$1000,"AJUSTE-"),0)</f>
        <v>0</v>
      </c>
      <c r="F575" s="101">
        <f>IFERROR(E575*VLOOKUP(B575,TELAS!$A$4:$C$32,3,FALSE()),0)</f>
        <v>0</v>
      </c>
      <c r="G575" s="102">
        <f>IFERROR(IF(D575="OSCURO",VLOOKUP(B575,PRECIOS!$A$4:$F$32,2,FALSE()),IF(D575="CLARO",VLOOKUP(B575,PRECIOS!$A$4:$F$32,3,FALSE()),IF(D575="MELANGE",VLOOKUP(B575,PRECIOS!$A$4:$F$32,4,FALSE()),IF(D575="PPT",VLOOKUP(B575,PRECIOS!$A$4:$F$32,5,FALSE()),0)))),0)</f>
        <v>24</v>
      </c>
      <c r="H575" s="103">
        <f t="shared" si="1"/>
        <v>0</v>
      </c>
      <c r="I575" s="104" t="str">
        <f>IF(E575&lt;0,"ERROR",IF(E575=0,"",IF(E575&lt;CONFIG!$B$4,"CRÍTICO",IF(E575&lt;CONFIG!$B$5,"BAJO","OK"))))</f>
        <v/>
      </c>
    </row>
    <row r="576" ht="15.75" customHeight="1">
      <c r="A576" s="90" t="str">
        <f>IF(CLIENTES!A8="","",CLIENTES!A8)</f>
        <v/>
      </c>
      <c r="B576" s="67" t="str">
        <f>TELAS!A4</f>
        <v>jersey 30/1</v>
      </c>
      <c r="C576" s="67" t="str">
        <f>COLORES!A16</f>
        <v>Topo</v>
      </c>
      <c r="D576" s="67" t="str">
        <f>COLORES!B16</f>
        <v>CLARO</v>
      </c>
      <c r="E576" s="100">
        <f>IFERROR(SUMIFS(MOVIMIENTOS!$F$4:$F$1000,MOVIMIENTOS!$C$4:$C$1000,A576,MOVIMIENTOS!$D$4:$D$1000,B576,MOVIMIENTOS!$E$4:$E$1000,C576,MOVIMIENTOS!$B$4:$B$1000,"INGRESO")+SUMIFS(MOVIMIENTOS!$F$4:$F$1000,MOVIMIENTOS!$C$4:$C$1000,A576,MOVIMIENTOS!$D$4:$D$1000,B576,MOVIMIENTOS!$E$4:$E$1000,C576,MOVIMIENTOS!$B$4:$B$1000,"DE REPROCESO")+SUMIFS(MOVIMIENTOS!$F$4:$F$1000,MOVIMIENTOS!$C$4:$C$1000,A576,MOVIMIENTOS!$D$4:$D$1000,B576,MOVIMIENTOS!$E$4:$E$1000,C576,MOVIMIENTOS!$B$4:$B$1000,"AJUSTE+")-SUMIFS(MOVIMIENTOS!$F$4:$F$1000,MOVIMIENTOS!$C$4:$C$1000,A576,MOVIMIENTOS!$D$4:$D$1000,B576,MOVIMIENTOS!$E$4:$E$1000,C576,MOVIMIENTOS!$B$4:$B$1000,"A CORTE")-SUMIFS(MOVIMIENTOS!$F$4:$F$1000,MOVIMIENTOS!$C$4:$C$1000,A576,MOVIMIENTOS!$D$4:$D$1000,B576,MOVIMIENTOS!$E$4:$E$1000,C576,MOVIMIENTOS!$B$4:$B$1000,"A REPROCESO")-SUMIFS(MOVIMIENTOS!$F$4:$F$1000,MOVIMIENTOS!$C$4:$C$1000,A576,MOVIMIENTOS!$D$4:$D$1000,B576,MOVIMIENTOS!$E$4:$E$1000,C576,MOVIMIENTOS!$B$4:$B$1000,"MUESTRA")-SUMIFS(MOVIMIENTOS!$F$4:$F$1000,MOVIMIENTOS!$C$4:$C$1000,A576,MOVIMIENTOS!$D$4:$D$1000,B576,MOVIMIENTOS!$E$4:$E$1000,C576,MOVIMIENTOS!$B$4:$B$1000,"AJUSTE-"),0)</f>
        <v>0</v>
      </c>
      <c r="F576" s="101">
        <f>IFERROR(E576*VLOOKUP(B576,TELAS!$A$4:$C$32,3,FALSE()),0)</f>
        <v>0</v>
      </c>
      <c r="G576" s="102">
        <f>IFERROR(IF(D576="OSCURO",VLOOKUP(B576,PRECIOS!$A$4:$F$32,2,FALSE()),IF(D576="CLARO",VLOOKUP(B576,PRECIOS!$A$4:$F$32,3,FALSE()),IF(D576="MELANGE",VLOOKUP(B576,PRECIOS!$A$4:$F$32,4,FALSE()),IF(D576="PPT",VLOOKUP(B576,PRECIOS!$A$4:$F$32,5,FALSE()),0)))),0)</f>
        <v>21</v>
      </c>
      <c r="H576" s="103">
        <f t="shared" si="1"/>
        <v>0</v>
      </c>
      <c r="I576" s="104" t="str">
        <f>IF(E576&lt;0,"ERROR",IF(E576=0,"",IF(E576&lt;CONFIG!$B$4,"CRÍTICO",IF(E576&lt;CONFIG!$B$5,"BAJO","OK"))))</f>
        <v/>
      </c>
    </row>
    <row r="577" ht="15.75" customHeight="1">
      <c r="A577" s="90" t="str">
        <f>IF(CLIENTES!A8="","",CLIENTES!A8)</f>
        <v/>
      </c>
      <c r="B577" s="67" t="str">
        <f>TELAS!A4</f>
        <v>jersey 30/1</v>
      </c>
      <c r="C577" s="67" t="str">
        <f>COLORES!A17</f>
        <v>Vino</v>
      </c>
      <c r="D577" s="67" t="str">
        <f>COLORES!B17</f>
        <v>OSCURO</v>
      </c>
      <c r="E577" s="100">
        <f>IFERROR(SUMIFS(MOVIMIENTOS!$F$4:$F$1000,MOVIMIENTOS!$C$4:$C$1000,A577,MOVIMIENTOS!$D$4:$D$1000,B577,MOVIMIENTOS!$E$4:$E$1000,C577,MOVIMIENTOS!$B$4:$B$1000,"INGRESO")+SUMIFS(MOVIMIENTOS!$F$4:$F$1000,MOVIMIENTOS!$C$4:$C$1000,A577,MOVIMIENTOS!$D$4:$D$1000,B577,MOVIMIENTOS!$E$4:$E$1000,C577,MOVIMIENTOS!$B$4:$B$1000,"DE REPROCESO")+SUMIFS(MOVIMIENTOS!$F$4:$F$1000,MOVIMIENTOS!$C$4:$C$1000,A577,MOVIMIENTOS!$D$4:$D$1000,B577,MOVIMIENTOS!$E$4:$E$1000,C577,MOVIMIENTOS!$B$4:$B$1000,"AJUSTE+")-SUMIFS(MOVIMIENTOS!$F$4:$F$1000,MOVIMIENTOS!$C$4:$C$1000,A577,MOVIMIENTOS!$D$4:$D$1000,B577,MOVIMIENTOS!$E$4:$E$1000,C577,MOVIMIENTOS!$B$4:$B$1000,"A CORTE")-SUMIFS(MOVIMIENTOS!$F$4:$F$1000,MOVIMIENTOS!$C$4:$C$1000,A577,MOVIMIENTOS!$D$4:$D$1000,B577,MOVIMIENTOS!$E$4:$E$1000,C577,MOVIMIENTOS!$B$4:$B$1000,"A REPROCESO")-SUMIFS(MOVIMIENTOS!$F$4:$F$1000,MOVIMIENTOS!$C$4:$C$1000,A577,MOVIMIENTOS!$D$4:$D$1000,B577,MOVIMIENTOS!$E$4:$E$1000,C577,MOVIMIENTOS!$B$4:$B$1000,"MUESTRA")-SUMIFS(MOVIMIENTOS!$F$4:$F$1000,MOVIMIENTOS!$C$4:$C$1000,A577,MOVIMIENTOS!$D$4:$D$1000,B577,MOVIMIENTOS!$E$4:$E$1000,C577,MOVIMIENTOS!$B$4:$B$1000,"AJUSTE-"),0)</f>
        <v>0</v>
      </c>
      <c r="F577" s="101">
        <f>IFERROR(E577*VLOOKUP(B577,TELAS!$A$4:$C$32,3,FALSE()),0)</f>
        <v>0</v>
      </c>
      <c r="G577" s="102">
        <f>IFERROR(IF(D577="OSCURO",VLOOKUP(B577,PRECIOS!$A$4:$F$32,2,FALSE()),IF(D577="CLARO",VLOOKUP(B577,PRECIOS!$A$4:$F$32,3,FALSE()),IF(D577="MELANGE",VLOOKUP(B577,PRECIOS!$A$4:$F$32,4,FALSE()),IF(D577="PPT",VLOOKUP(B577,PRECIOS!$A$4:$F$32,5,FALSE()),0)))),0)</f>
        <v>24</v>
      </c>
      <c r="H577" s="103">
        <f t="shared" si="1"/>
        <v>0</v>
      </c>
      <c r="I577" s="104" t="str">
        <f>IF(E577&lt;0,"ERROR",IF(E577=0,"",IF(E577&lt;CONFIG!$B$4,"CRÍTICO",IF(E577&lt;CONFIG!$B$5,"BAJO","OK"))))</f>
        <v/>
      </c>
    </row>
    <row r="578" ht="15.75" customHeight="1">
      <c r="A578" s="90" t="str">
        <f>IF(CLIENTES!A8="","",CLIENTES!A8)</f>
        <v/>
      </c>
      <c r="B578" s="67" t="str">
        <f>TELAS!A4</f>
        <v>jersey 30/1</v>
      </c>
      <c r="C578" s="67" t="str">
        <f>COLORES!A18</f>
        <v>P. Rosa</v>
      </c>
      <c r="D578" s="67" t="str">
        <f>COLORES!B18</f>
        <v>CLARO</v>
      </c>
      <c r="E578" s="100">
        <f>IFERROR(SUMIFS(MOVIMIENTOS!$F$4:$F$1000,MOVIMIENTOS!$C$4:$C$1000,A578,MOVIMIENTOS!$D$4:$D$1000,B578,MOVIMIENTOS!$E$4:$E$1000,C578,MOVIMIENTOS!$B$4:$B$1000,"INGRESO")+SUMIFS(MOVIMIENTOS!$F$4:$F$1000,MOVIMIENTOS!$C$4:$C$1000,A578,MOVIMIENTOS!$D$4:$D$1000,B578,MOVIMIENTOS!$E$4:$E$1000,C578,MOVIMIENTOS!$B$4:$B$1000,"DE REPROCESO")+SUMIFS(MOVIMIENTOS!$F$4:$F$1000,MOVIMIENTOS!$C$4:$C$1000,A578,MOVIMIENTOS!$D$4:$D$1000,B578,MOVIMIENTOS!$E$4:$E$1000,C578,MOVIMIENTOS!$B$4:$B$1000,"AJUSTE+")-SUMIFS(MOVIMIENTOS!$F$4:$F$1000,MOVIMIENTOS!$C$4:$C$1000,A578,MOVIMIENTOS!$D$4:$D$1000,B578,MOVIMIENTOS!$E$4:$E$1000,C578,MOVIMIENTOS!$B$4:$B$1000,"A CORTE")-SUMIFS(MOVIMIENTOS!$F$4:$F$1000,MOVIMIENTOS!$C$4:$C$1000,A578,MOVIMIENTOS!$D$4:$D$1000,B578,MOVIMIENTOS!$E$4:$E$1000,C578,MOVIMIENTOS!$B$4:$B$1000,"A REPROCESO")-SUMIFS(MOVIMIENTOS!$F$4:$F$1000,MOVIMIENTOS!$C$4:$C$1000,A578,MOVIMIENTOS!$D$4:$D$1000,B578,MOVIMIENTOS!$E$4:$E$1000,C578,MOVIMIENTOS!$B$4:$B$1000,"MUESTRA")-SUMIFS(MOVIMIENTOS!$F$4:$F$1000,MOVIMIENTOS!$C$4:$C$1000,A578,MOVIMIENTOS!$D$4:$D$1000,B578,MOVIMIENTOS!$E$4:$E$1000,C578,MOVIMIENTOS!$B$4:$B$1000,"AJUSTE-"),0)</f>
        <v>0</v>
      </c>
      <c r="F578" s="101">
        <f>IFERROR(E578*VLOOKUP(B578,TELAS!$A$4:$C$32,3,FALSE()),0)</f>
        <v>0</v>
      </c>
      <c r="G578" s="102">
        <f>IFERROR(IF(D578="OSCURO",VLOOKUP(B578,PRECIOS!$A$4:$F$32,2,FALSE()),IF(D578="CLARO",VLOOKUP(B578,PRECIOS!$A$4:$F$32,3,FALSE()),IF(D578="MELANGE",VLOOKUP(B578,PRECIOS!$A$4:$F$32,4,FALSE()),IF(D578="PPT",VLOOKUP(B578,PRECIOS!$A$4:$F$32,5,FALSE()),0)))),0)</f>
        <v>21</v>
      </c>
      <c r="H578" s="103">
        <f t="shared" si="1"/>
        <v>0</v>
      </c>
      <c r="I578" s="104" t="str">
        <f>IF(E578&lt;0,"ERROR",IF(E578=0,"",IF(E578&lt;CONFIG!$B$4,"CRÍTICO",IF(E578&lt;CONFIG!$B$5,"BAJO","OK"))))</f>
        <v/>
      </c>
    </row>
    <row r="579" ht="15.75" customHeight="1">
      <c r="A579" s="90" t="str">
        <f>IF(CLIENTES!A8="","",CLIENTES!A8)</f>
        <v/>
      </c>
      <c r="B579" s="67" t="str">
        <f>TELAS!A4</f>
        <v>jersey 30/1</v>
      </c>
      <c r="C579" s="67" t="str">
        <f>COLORES!A19</f>
        <v/>
      </c>
      <c r="D579" s="67" t="str">
        <f>COLORES!B19</f>
        <v/>
      </c>
      <c r="E579" s="100">
        <f>IFERROR(SUMIFS(MOVIMIENTOS!$F$4:$F$1000,MOVIMIENTOS!$C$4:$C$1000,A579,MOVIMIENTOS!$D$4:$D$1000,B579,MOVIMIENTOS!$E$4:$E$1000,C579,MOVIMIENTOS!$B$4:$B$1000,"INGRESO")+SUMIFS(MOVIMIENTOS!$F$4:$F$1000,MOVIMIENTOS!$C$4:$C$1000,A579,MOVIMIENTOS!$D$4:$D$1000,B579,MOVIMIENTOS!$E$4:$E$1000,C579,MOVIMIENTOS!$B$4:$B$1000,"DE REPROCESO")+SUMIFS(MOVIMIENTOS!$F$4:$F$1000,MOVIMIENTOS!$C$4:$C$1000,A579,MOVIMIENTOS!$D$4:$D$1000,B579,MOVIMIENTOS!$E$4:$E$1000,C579,MOVIMIENTOS!$B$4:$B$1000,"AJUSTE+")-SUMIFS(MOVIMIENTOS!$F$4:$F$1000,MOVIMIENTOS!$C$4:$C$1000,A579,MOVIMIENTOS!$D$4:$D$1000,B579,MOVIMIENTOS!$E$4:$E$1000,C579,MOVIMIENTOS!$B$4:$B$1000,"A CORTE")-SUMIFS(MOVIMIENTOS!$F$4:$F$1000,MOVIMIENTOS!$C$4:$C$1000,A579,MOVIMIENTOS!$D$4:$D$1000,B579,MOVIMIENTOS!$E$4:$E$1000,C579,MOVIMIENTOS!$B$4:$B$1000,"A REPROCESO")-SUMIFS(MOVIMIENTOS!$F$4:$F$1000,MOVIMIENTOS!$C$4:$C$1000,A579,MOVIMIENTOS!$D$4:$D$1000,B579,MOVIMIENTOS!$E$4:$E$1000,C579,MOVIMIENTOS!$B$4:$B$1000,"MUESTRA")-SUMIFS(MOVIMIENTOS!$F$4:$F$1000,MOVIMIENTOS!$C$4:$C$1000,A579,MOVIMIENTOS!$D$4:$D$1000,B579,MOVIMIENTOS!$E$4:$E$1000,C579,MOVIMIENTOS!$B$4:$B$1000,"AJUSTE-"),0)</f>
        <v>0</v>
      </c>
      <c r="F579" s="101">
        <f>IFERROR(E579*VLOOKUP(B579,TELAS!$A$4:$C$32,3,FALSE()),0)</f>
        <v>0</v>
      </c>
      <c r="G579" s="102">
        <f>IFERROR(IF(D579="OSCURO",VLOOKUP(B579,PRECIOS!$A$4:$F$32,2,FALSE()),IF(D579="CLARO",VLOOKUP(B579,PRECIOS!$A$4:$F$32,3,FALSE()),IF(D579="MELANGE",VLOOKUP(B579,PRECIOS!$A$4:$F$32,4,FALSE()),IF(D579="PPT",VLOOKUP(B579,PRECIOS!$A$4:$F$32,5,FALSE()),0)))),0)</f>
        <v>0</v>
      </c>
      <c r="H579" s="103">
        <f t="shared" si="1"/>
        <v>0</v>
      </c>
      <c r="I579" s="104" t="str">
        <f>IF(E579&lt;0,"ERROR",IF(E579=0,"",IF(E579&lt;CONFIG!$B$4,"CRÍTICO",IF(E579&lt;CONFIG!$B$5,"BAJO","OK"))))</f>
        <v/>
      </c>
    </row>
    <row r="580" ht="15.75" customHeight="1">
      <c r="A580" s="90" t="str">
        <f>IF(CLIENTES!A8="","",CLIENTES!A8)</f>
        <v/>
      </c>
      <c r="B580" s="67" t="str">
        <f>TELAS!A4</f>
        <v>jersey 30/1</v>
      </c>
      <c r="C580" s="67" t="str">
        <f>COLORES!A20</f>
        <v/>
      </c>
      <c r="D580" s="67" t="str">
        <f>COLORES!B20</f>
        <v/>
      </c>
      <c r="E580" s="100">
        <f>IFERROR(SUMIFS(MOVIMIENTOS!$F$4:$F$1000,MOVIMIENTOS!$C$4:$C$1000,A580,MOVIMIENTOS!$D$4:$D$1000,B580,MOVIMIENTOS!$E$4:$E$1000,C580,MOVIMIENTOS!$B$4:$B$1000,"INGRESO")+SUMIFS(MOVIMIENTOS!$F$4:$F$1000,MOVIMIENTOS!$C$4:$C$1000,A580,MOVIMIENTOS!$D$4:$D$1000,B580,MOVIMIENTOS!$E$4:$E$1000,C580,MOVIMIENTOS!$B$4:$B$1000,"DE REPROCESO")+SUMIFS(MOVIMIENTOS!$F$4:$F$1000,MOVIMIENTOS!$C$4:$C$1000,A580,MOVIMIENTOS!$D$4:$D$1000,B580,MOVIMIENTOS!$E$4:$E$1000,C580,MOVIMIENTOS!$B$4:$B$1000,"AJUSTE+")-SUMIFS(MOVIMIENTOS!$F$4:$F$1000,MOVIMIENTOS!$C$4:$C$1000,A580,MOVIMIENTOS!$D$4:$D$1000,B580,MOVIMIENTOS!$E$4:$E$1000,C580,MOVIMIENTOS!$B$4:$B$1000,"A CORTE")-SUMIFS(MOVIMIENTOS!$F$4:$F$1000,MOVIMIENTOS!$C$4:$C$1000,A580,MOVIMIENTOS!$D$4:$D$1000,B580,MOVIMIENTOS!$E$4:$E$1000,C580,MOVIMIENTOS!$B$4:$B$1000,"A REPROCESO")-SUMIFS(MOVIMIENTOS!$F$4:$F$1000,MOVIMIENTOS!$C$4:$C$1000,A580,MOVIMIENTOS!$D$4:$D$1000,B580,MOVIMIENTOS!$E$4:$E$1000,C580,MOVIMIENTOS!$B$4:$B$1000,"MUESTRA")-SUMIFS(MOVIMIENTOS!$F$4:$F$1000,MOVIMIENTOS!$C$4:$C$1000,A580,MOVIMIENTOS!$D$4:$D$1000,B580,MOVIMIENTOS!$E$4:$E$1000,C580,MOVIMIENTOS!$B$4:$B$1000,"AJUSTE-"),0)</f>
        <v>0</v>
      </c>
      <c r="F580" s="101">
        <f>IFERROR(E580*VLOOKUP(B580,TELAS!$A$4:$C$32,3,FALSE()),0)</f>
        <v>0</v>
      </c>
      <c r="G580" s="102">
        <f>IFERROR(IF(D580="OSCURO",VLOOKUP(B580,PRECIOS!$A$4:$F$32,2,FALSE()),IF(D580="CLARO",VLOOKUP(B580,PRECIOS!$A$4:$F$32,3,FALSE()),IF(D580="MELANGE",VLOOKUP(B580,PRECIOS!$A$4:$F$32,4,FALSE()),IF(D580="PPT",VLOOKUP(B580,PRECIOS!$A$4:$F$32,5,FALSE()),0)))),0)</f>
        <v>0</v>
      </c>
      <c r="H580" s="103">
        <f t="shared" si="1"/>
        <v>0</v>
      </c>
      <c r="I580" s="104" t="str">
        <f>IF(E580&lt;0,"ERROR",IF(E580=0,"",IF(E580&lt;CONFIG!$B$4,"CRÍTICO",IF(E580&lt;CONFIG!$B$5,"BAJO","OK"))))</f>
        <v/>
      </c>
    </row>
    <row r="581" ht="15.75" customHeight="1">
      <c r="A581" s="90" t="str">
        <f>IF(CLIENTES!A8="","",CLIENTES!A8)</f>
        <v/>
      </c>
      <c r="B581" s="67" t="str">
        <f>TELAS!A4</f>
        <v>jersey 30/1</v>
      </c>
      <c r="C581" s="67" t="str">
        <f>COLORES!A21</f>
        <v/>
      </c>
      <c r="D581" s="67" t="str">
        <f>COLORES!B21</f>
        <v/>
      </c>
      <c r="E581" s="100">
        <f>IFERROR(SUMIFS(MOVIMIENTOS!$F$4:$F$1000,MOVIMIENTOS!$C$4:$C$1000,A581,MOVIMIENTOS!$D$4:$D$1000,B581,MOVIMIENTOS!$E$4:$E$1000,C581,MOVIMIENTOS!$B$4:$B$1000,"INGRESO")+SUMIFS(MOVIMIENTOS!$F$4:$F$1000,MOVIMIENTOS!$C$4:$C$1000,A581,MOVIMIENTOS!$D$4:$D$1000,B581,MOVIMIENTOS!$E$4:$E$1000,C581,MOVIMIENTOS!$B$4:$B$1000,"DE REPROCESO")+SUMIFS(MOVIMIENTOS!$F$4:$F$1000,MOVIMIENTOS!$C$4:$C$1000,A581,MOVIMIENTOS!$D$4:$D$1000,B581,MOVIMIENTOS!$E$4:$E$1000,C581,MOVIMIENTOS!$B$4:$B$1000,"AJUSTE+")-SUMIFS(MOVIMIENTOS!$F$4:$F$1000,MOVIMIENTOS!$C$4:$C$1000,A581,MOVIMIENTOS!$D$4:$D$1000,B581,MOVIMIENTOS!$E$4:$E$1000,C581,MOVIMIENTOS!$B$4:$B$1000,"A CORTE")-SUMIFS(MOVIMIENTOS!$F$4:$F$1000,MOVIMIENTOS!$C$4:$C$1000,A581,MOVIMIENTOS!$D$4:$D$1000,B581,MOVIMIENTOS!$E$4:$E$1000,C581,MOVIMIENTOS!$B$4:$B$1000,"A REPROCESO")-SUMIFS(MOVIMIENTOS!$F$4:$F$1000,MOVIMIENTOS!$C$4:$C$1000,A581,MOVIMIENTOS!$D$4:$D$1000,B581,MOVIMIENTOS!$E$4:$E$1000,C581,MOVIMIENTOS!$B$4:$B$1000,"MUESTRA")-SUMIFS(MOVIMIENTOS!$F$4:$F$1000,MOVIMIENTOS!$C$4:$C$1000,A581,MOVIMIENTOS!$D$4:$D$1000,B581,MOVIMIENTOS!$E$4:$E$1000,C581,MOVIMIENTOS!$B$4:$B$1000,"AJUSTE-"),0)</f>
        <v>0</v>
      </c>
      <c r="F581" s="101">
        <f>IFERROR(E581*VLOOKUP(B581,TELAS!$A$4:$C$32,3,FALSE()),0)</f>
        <v>0</v>
      </c>
      <c r="G581" s="102">
        <f>IFERROR(IF(D581="OSCURO",VLOOKUP(B581,PRECIOS!$A$4:$F$32,2,FALSE()),IF(D581="CLARO",VLOOKUP(B581,PRECIOS!$A$4:$F$32,3,FALSE()),IF(D581="MELANGE",VLOOKUP(B581,PRECIOS!$A$4:$F$32,4,FALSE()),IF(D581="PPT",VLOOKUP(B581,PRECIOS!$A$4:$F$32,5,FALSE()),0)))),0)</f>
        <v>0</v>
      </c>
      <c r="H581" s="103">
        <f t="shared" si="1"/>
        <v>0</v>
      </c>
      <c r="I581" s="104" t="str">
        <f>IF(E581&lt;0,"ERROR",IF(E581=0,"",IF(E581&lt;CONFIG!$B$4,"CRÍTICO",IF(E581&lt;CONFIG!$B$5,"BAJO","OK"))))</f>
        <v/>
      </c>
    </row>
    <row r="582" ht="15.75" customHeight="1">
      <c r="A582" s="90" t="str">
        <f>IF(CLIENTES!A8="","",CLIENTES!A8)</f>
        <v/>
      </c>
      <c r="B582" s="67" t="str">
        <f>TELAS!A4</f>
        <v>jersey 30/1</v>
      </c>
      <c r="C582" s="67" t="str">
        <f>COLORES!A22</f>
        <v/>
      </c>
      <c r="D582" s="67" t="str">
        <f>COLORES!B22</f>
        <v/>
      </c>
      <c r="E582" s="100">
        <f>IFERROR(SUMIFS(MOVIMIENTOS!$F$4:$F$1000,MOVIMIENTOS!$C$4:$C$1000,A582,MOVIMIENTOS!$D$4:$D$1000,B582,MOVIMIENTOS!$E$4:$E$1000,C582,MOVIMIENTOS!$B$4:$B$1000,"INGRESO")+SUMIFS(MOVIMIENTOS!$F$4:$F$1000,MOVIMIENTOS!$C$4:$C$1000,A582,MOVIMIENTOS!$D$4:$D$1000,B582,MOVIMIENTOS!$E$4:$E$1000,C582,MOVIMIENTOS!$B$4:$B$1000,"DE REPROCESO")+SUMIFS(MOVIMIENTOS!$F$4:$F$1000,MOVIMIENTOS!$C$4:$C$1000,A582,MOVIMIENTOS!$D$4:$D$1000,B582,MOVIMIENTOS!$E$4:$E$1000,C582,MOVIMIENTOS!$B$4:$B$1000,"AJUSTE+")-SUMIFS(MOVIMIENTOS!$F$4:$F$1000,MOVIMIENTOS!$C$4:$C$1000,A582,MOVIMIENTOS!$D$4:$D$1000,B582,MOVIMIENTOS!$E$4:$E$1000,C582,MOVIMIENTOS!$B$4:$B$1000,"A CORTE")-SUMIFS(MOVIMIENTOS!$F$4:$F$1000,MOVIMIENTOS!$C$4:$C$1000,A582,MOVIMIENTOS!$D$4:$D$1000,B582,MOVIMIENTOS!$E$4:$E$1000,C582,MOVIMIENTOS!$B$4:$B$1000,"A REPROCESO")-SUMIFS(MOVIMIENTOS!$F$4:$F$1000,MOVIMIENTOS!$C$4:$C$1000,A582,MOVIMIENTOS!$D$4:$D$1000,B582,MOVIMIENTOS!$E$4:$E$1000,C582,MOVIMIENTOS!$B$4:$B$1000,"MUESTRA")-SUMIFS(MOVIMIENTOS!$F$4:$F$1000,MOVIMIENTOS!$C$4:$C$1000,A582,MOVIMIENTOS!$D$4:$D$1000,B582,MOVIMIENTOS!$E$4:$E$1000,C582,MOVIMIENTOS!$B$4:$B$1000,"AJUSTE-"),0)</f>
        <v>0</v>
      </c>
      <c r="F582" s="101">
        <f>IFERROR(E582*VLOOKUP(B582,TELAS!$A$4:$C$32,3,FALSE()),0)</f>
        <v>0</v>
      </c>
      <c r="G582" s="102">
        <f>IFERROR(IF(D582="OSCURO",VLOOKUP(B582,PRECIOS!$A$4:$F$32,2,FALSE()),IF(D582="CLARO",VLOOKUP(B582,PRECIOS!$A$4:$F$32,3,FALSE()),IF(D582="MELANGE",VLOOKUP(B582,PRECIOS!$A$4:$F$32,4,FALSE()),IF(D582="PPT",VLOOKUP(B582,PRECIOS!$A$4:$F$32,5,FALSE()),0)))),0)</f>
        <v>0</v>
      </c>
      <c r="H582" s="103">
        <f t="shared" si="1"/>
        <v>0</v>
      </c>
      <c r="I582" s="104" t="str">
        <f>IF(E582&lt;0,"ERROR",IF(E582=0,"",IF(E582&lt;CONFIG!$B$4,"CRÍTICO",IF(E582&lt;CONFIG!$B$5,"BAJO","OK"))))</f>
        <v/>
      </c>
    </row>
    <row r="583" ht="15.75" customHeight="1">
      <c r="A583" s="90" t="str">
        <f>IF(CLIENTES!A8="","",CLIENTES!A8)</f>
        <v/>
      </c>
      <c r="B583" s="67" t="str">
        <f>TELAS!A4</f>
        <v>jersey 30/1</v>
      </c>
      <c r="C583" s="67" t="str">
        <f>COLORES!A23</f>
        <v/>
      </c>
      <c r="D583" s="67" t="str">
        <f>COLORES!B23</f>
        <v/>
      </c>
      <c r="E583" s="100">
        <f>IFERROR(SUMIFS(MOVIMIENTOS!$F$4:$F$1000,MOVIMIENTOS!$C$4:$C$1000,A583,MOVIMIENTOS!$D$4:$D$1000,B583,MOVIMIENTOS!$E$4:$E$1000,C583,MOVIMIENTOS!$B$4:$B$1000,"INGRESO")+SUMIFS(MOVIMIENTOS!$F$4:$F$1000,MOVIMIENTOS!$C$4:$C$1000,A583,MOVIMIENTOS!$D$4:$D$1000,B583,MOVIMIENTOS!$E$4:$E$1000,C583,MOVIMIENTOS!$B$4:$B$1000,"DE REPROCESO")+SUMIFS(MOVIMIENTOS!$F$4:$F$1000,MOVIMIENTOS!$C$4:$C$1000,A583,MOVIMIENTOS!$D$4:$D$1000,B583,MOVIMIENTOS!$E$4:$E$1000,C583,MOVIMIENTOS!$B$4:$B$1000,"AJUSTE+")-SUMIFS(MOVIMIENTOS!$F$4:$F$1000,MOVIMIENTOS!$C$4:$C$1000,A583,MOVIMIENTOS!$D$4:$D$1000,B583,MOVIMIENTOS!$E$4:$E$1000,C583,MOVIMIENTOS!$B$4:$B$1000,"A CORTE")-SUMIFS(MOVIMIENTOS!$F$4:$F$1000,MOVIMIENTOS!$C$4:$C$1000,A583,MOVIMIENTOS!$D$4:$D$1000,B583,MOVIMIENTOS!$E$4:$E$1000,C583,MOVIMIENTOS!$B$4:$B$1000,"A REPROCESO")-SUMIFS(MOVIMIENTOS!$F$4:$F$1000,MOVIMIENTOS!$C$4:$C$1000,A583,MOVIMIENTOS!$D$4:$D$1000,B583,MOVIMIENTOS!$E$4:$E$1000,C583,MOVIMIENTOS!$B$4:$B$1000,"MUESTRA")-SUMIFS(MOVIMIENTOS!$F$4:$F$1000,MOVIMIENTOS!$C$4:$C$1000,A583,MOVIMIENTOS!$D$4:$D$1000,B583,MOVIMIENTOS!$E$4:$E$1000,C583,MOVIMIENTOS!$B$4:$B$1000,"AJUSTE-"),0)</f>
        <v>0</v>
      </c>
      <c r="F583" s="101">
        <f>IFERROR(E583*VLOOKUP(B583,TELAS!$A$4:$C$32,3,FALSE()),0)</f>
        <v>0</v>
      </c>
      <c r="G583" s="102">
        <f>IFERROR(IF(D583="OSCURO",VLOOKUP(B583,PRECIOS!$A$4:$F$32,2,FALSE()),IF(D583="CLARO",VLOOKUP(B583,PRECIOS!$A$4:$F$32,3,FALSE()),IF(D583="MELANGE",VLOOKUP(B583,PRECIOS!$A$4:$F$32,4,FALSE()),IF(D583="PPT",VLOOKUP(B583,PRECIOS!$A$4:$F$32,5,FALSE()),0)))),0)</f>
        <v>0</v>
      </c>
      <c r="H583" s="103">
        <f t="shared" si="1"/>
        <v>0</v>
      </c>
      <c r="I583" s="104" t="str">
        <f>IF(E583&lt;0,"ERROR",IF(E583=0,"",IF(E583&lt;CONFIG!$B$4,"CRÍTICO",IF(E583&lt;CONFIG!$B$5,"BAJO","OK"))))</f>
        <v/>
      </c>
    </row>
    <row r="584" ht="15.75" customHeight="1">
      <c r="A584" s="90" t="str">
        <f>IF(CLIENTES!A8="","",CLIENTES!A8)</f>
        <v/>
      </c>
      <c r="B584" s="67" t="str">
        <f>TELAS!A5</f>
        <v>pique 30/1</v>
      </c>
      <c r="C584" s="67" t="str">
        <f>COLORES!A4</f>
        <v>Negro</v>
      </c>
      <c r="D584" s="67" t="str">
        <f>COLORES!B4</f>
        <v>OSCURO</v>
      </c>
      <c r="E584" s="100">
        <f>IFERROR(SUMIFS(MOVIMIENTOS!$F$4:$F$1000,MOVIMIENTOS!$C$4:$C$1000,A584,MOVIMIENTOS!$D$4:$D$1000,B584,MOVIMIENTOS!$E$4:$E$1000,C584,MOVIMIENTOS!$B$4:$B$1000,"INGRESO")+SUMIFS(MOVIMIENTOS!$F$4:$F$1000,MOVIMIENTOS!$C$4:$C$1000,A584,MOVIMIENTOS!$D$4:$D$1000,B584,MOVIMIENTOS!$E$4:$E$1000,C584,MOVIMIENTOS!$B$4:$B$1000,"DE REPROCESO")+SUMIFS(MOVIMIENTOS!$F$4:$F$1000,MOVIMIENTOS!$C$4:$C$1000,A584,MOVIMIENTOS!$D$4:$D$1000,B584,MOVIMIENTOS!$E$4:$E$1000,C584,MOVIMIENTOS!$B$4:$B$1000,"AJUSTE+")-SUMIFS(MOVIMIENTOS!$F$4:$F$1000,MOVIMIENTOS!$C$4:$C$1000,A584,MOVIMIENTOS!$D$4:$D$1000,B584,MOVIMIENTOS!$E$4:$E$1000,C584,MOVIMIENTOS!$B$4:$B$1000,"A CORTE")-SUMIFS(MOVIMIENTOS!$F$4:$F$1000,MOVIMIENTOS!$C$4:$C$1000,A584,MOVIMIENTOS!$D$4:$D$1000,B584,MOVIMIENTOS!$E$4:$E$1000,C584,MOVIMIENTOS!$B$4:$B$1000,"A REPROCESO")-SUMIFS(MOVIMIENTOS!$F$4:$F$1000,MOVIMIENTOS!$C$4:$C$1000,A584,MOVIMIENTOS!$D$4:$D$1000,B584,MOVIMIENTOS!$E$4:$E$1000,C584,MOVIMIENTOS!$B$4:$B$1000,"MUESTRA")-SUMIFS(MOVIMIENTOS!$F$4:$F$1000,MOVIMIENTOS!$C$4:$C$1000,A584,MOVIMIENTOS!$D$4:$D$1000,B584,MOVIMIENTOS!$E$4:$E$1000,C584,MOVIMIENTOS!$B$4:$B$1000,"AJUSTE-"),0)</f>
        <v>0</v>
      </c>
      <c r="F584" s="101">
        <f>IFERROR(E584*VLOOKUP(B584,TELAS!$A$4:$C$32,3,FALSE()),0)</f>
        <v>0</v>
      </c>
      <c r="G584" s="102">
        <f>IFERROR(IF(D584="OSCURO",VLOOKUP(B584,PRECIOS!$A$4:$F$32,2,FALSE()),IF(D584="CLARO",VLOOKUP(B584,PRECIOS!$A$4:$F$32,3,FALSE()),IF(D584="MELANGE",VLOOKUP(B584,PRECIOS!$A$4:$F$32,4,FALSE()),IF(D584="PPT",VLOOKUP(B584,PRECIOS!$A$4:$F$32,5,FALSE()),0)))),0)</f>
        <v>24</v>
      </c>
      <c r="H584" s="103">
        <f t="shared" si="1"/>
        <v>0</v>
      </c>
      <c r="I584" s="104" t="str">
        <f>IF(E584&lt;0,"ERROR",IF(E584=0,"",IF(E584&lt;CONFIG!$B$4,"CRÍTICO",IF(E584&lt;CONFIG!$B$5,"BAJO","OK"))))</f>
        <v/>
      </c>
    </row>
    <row r="585" ht="15.75" customHeight="1">
      <c r="A585" s="90" t="str">
        <f>IF(CLIENTES!A8="","",CLIENTES!A8)</f>
        <v/>
      </c>
      <c r="B585" s="67" t="str">
        <f>TELAS!A5</f>
        <v>pique 30/1</v>
      </c>
      <c r="C585" s="67" t="str">
        <f>COLORES!A5</f>
        <v>Perla</v>
      </c>
      <c r="D585" s="67" t="str">
        <f>COLORES!B5</f>
        <v>PPT</v>
      </c>
      <c r="E585" s="100">
        <f>IFERROR(SUMIFS(MOVIMIENTOS!$F$4:$F$1000,MOVIMIENTOS!$C$4:$C$1000,A585,MOVIMIENTOS!$D$4:$D$1000,B585,MOVIMIENTOS!$E$4:$E$1000,C585,MOVIMIENTOS!$B$4:$B$1000,"INGRESO")+SUMIFS(MOVIMIENTOS!$F$4:$F$1000,MOVIMIENTOS!$C$4:$C$1000,A585,MOVIMIENTOS!$D$4:$D$1000,B585,MOVIMIENTOS!$E$4:$E$1000,C585,MOVIMIENTOS!$B$4:$B$1000,"DE REPROCESO")+SUMIFS(MOVIMIENTOS!$F$4:$F$1000,MOVIMIENTOS!$C$4:$C$1000,A585,MOVIMIENTOS!$D$4:$D$1000,B585,MOVIMIENTOS!$E$4:$E$1000,C585,MOVIMIENTOS!$B$4:$B$1000,"AJUSTE+")-SUMIFS(MOVIMIENTOS!$F$4:$F$1000,MOVIMIENTOS!$C$4:$C$1000,A585,MOVIMIENTOS!$D$4:$D$1000,B585,MOVIMIENTOS!$E$4:$E$1000,C585,MOVIMIENTOS!$B$4:$B$1000,"A CORTE")-SUMIFS(MOVIMIENTOS!$F$4:$F$1000,MOVIMIENTOS!$C$4:$C$1000,A585,MOVIMIENTOS!$D$4:$D$1000,B585,MOVIMIENTOS!$E$4:$E$1000,C585,MOVIMIENTOS!$B$4:$B$1000,"A REPROCESO")-SUMIFS(MOVIMIENTOS!$F$4:$F$1000,MOVIMIENTOS!$C$4:$C$1000,A585,MOVIMIENTOS!$D$4:$D$1000,B585,MOVIMIENTOS!$E$4:$E$1000,C585,MOVIMIENTOS!$B$4:$B$1000,"MUESTRA")-SUMIFS(MOVIMIENTOS!$F$4:$F$1000,MOVIMIENTOS!$C$4:$C$1000,A585,MOVIMIENTOS!$D$4:$D$1000,B585,MOVIMIENTOS!$E$4:$E$1000,C585,MOVIMIENTOS!$B$4:$B$1000,"AJUSTE-"),0)</f>
        <v>0</v>
      </c>
      <c r="F585" s="101">
        <f>IFERROR(E585*VLOOKUP(B585,TELAS!$A$4:$C$32,3,FALSE()),0)</f>
        <v>0</v>
      </c>
      <c r="G585" s="102">
        <f>IFERROR(IF(D585="OSCURO",VLOOKUP(B585,PRECIOS!$A$4:$F$32,2,FALSE()),IF(D585="CLARO",VLOOKUP(B585,PRECIOS!$A$4:$F$32,3,FALSE()),IF(D585="MELANGE",VLOOKUP(B585,PRECIOS!$A$4:$F$32,4,FALSE()),IF(D585="PPT",VLOOKUP(B585,PRECIOS!$A$4:$F$32,5,FALSE()),0)))),0)</f>
        <v>18</v>
      </c>
      <c r="H585" s="103">
        <f t="shared" si="1"/>
        <v>0</v>
      </c>
      <c r="I585" s="104" t="str">
        <f>IF(E585&lt;0,"ERROR",IF(E585=0,"",IF(E585&lt;CONFIG!$B$4,"CRÍTICO",IF(E585&lt;CONFIG!$B$5,"BAJO","OK"))))</f>
        <v/>
      </c>
    </row>
    <row r="586" ht="15.75" customHeight="1">
      <c r="A586" s="90" t="str">
        <f>IF(CLIENTES!A8="","",CLIENTES!A8)</f>
        <v/>
      </c>
      <c r="B586" s="67" t="str">
        <f>TELAS!A5</f>
        <v>pique 30/1</v>
      </c>
      <c r="C586" s="67" t="str">
        <f>COLORES!A6</f>
        <v>Blanco</v>
      </c>
      <c r="D586" s="67" t="str">
        <f>COLORES!B6</f>
        <v>PPT</v>
      </c>
      <c r="E586" s="100">
        <f>IFERROR(SUMIFS(MOVIMIENTOS!$F$4:$F$1000,MOVIMIENTOS!$C$4:$C$1000,A586,MOVIMIENTOS!$D$4:$D$1000,B586,MOVIMIENTOS!$E$4:$E$1000,C586,MOVIMIENTOS!$B$4:$B$1000,"INGRESO")+SUMIFS(MOVIMIENTOS!$F$4:$F$1000,MOVIMIENTOS!$C$4:$C$1000,A586,MOVIMIENTOS!$D$4:$D$1000,B586,MOVIMIENTOS!$E$4:$E$1000,C586,MOVIMIENTOS!$B$4:$B$1000,"DE REPROCESO")+SUMIFS(MOVIMIENTOS!$F$4:$F$1000,MOVIMIENTOS!$C$4:$C$1000,A586,MOVIMIENTOS!$D$4:$D$1000,B586,MOVIMIENTOS!$E$4:$E$1000,C586,MOVIMIENTOS!$B$4:$B$1000,"AJUSTE+")-SUMIFS(MOVIMIENTOS!$F$4:$F$1000,MOVIMIENTOS!$C$4:$C$1000,A586,MOVIMIENTOS!$D$4:$D$1000,B586,MOVIMIENTOS!$E$4:$E$1000,C586,MOVIMIENTOS!$B$4:$B$1000,"A CORTE")-SUMIFS(MOVIMIENTOS!$F$4:$F$1000,MOVIMIENTOS!$C$4:$C$1000,A586,MOVIMIENTOS!$D$4:$D$1000,B586,MOVIMIENTOS!$E$4:$E$1000,C586,MOVIMIENTOS!$B$4:$B$1000,"A REPROCESO")-SUMIFS(MOVIMIENTOS!$F$4:$F$1000,MOVIMIENTOS!$C$4:$C$1000,A586,MOVIMIENTOS!$D$4:$D$1000,B586,MOVIMIENTOS!$E$4:$E$1000,C586,MOVIMIENTOS!$B$4:$B$1000,"MUESTRA")-SUMIFS(MOVIMIENTOS!$F$4:$F$1000,MOVIMIENTOS!$C$4:$C$1000,A586,MOVIMIENTOS!$D$4:$D$1000,B586,MOVIMIENTOS!$E$4:$E$1000,C586,MOVIMIENTOS!$B$4:$B$1000,"AJUSTE-"),0)</f>
        <v>0</v>
      </c>
      <c r="F586" s="101">
        <f>IFERROR(E586*VLOOKUP(B586,TELAS!$A$4:$C$32,3,FALSE()),0)</f>
        <v>0</v>
      </c>
      <c r="G586" s="102">
        <f>IFERROR(IF(D586="OSCURO",VLOOKUP(B586,PRECIOS!$A$4:$F$32,2,FALSE()),IF(D586="CLARO",VLOOKUP(B586,PRECIOS!$A$4:$F$32,3,FALSE()),IF(D586="MELANGE",VLOOKUP(B586,PRECIOS!$A$4:$F$32,4,FALSE()),IF(D586="PPT",VLOOKUP(B586,PRECIOS!$A$4:$F$32,5,FALSE()),0)))),0)</f>
        <v>18</v>
      </c>
      <c r="H586" s="103">
        <f t="shared" si="1"/>
        <v>0</v>
      </c>
      <c r="I586" s="104" t="str">
        <f>IF(E586&lt;0,"ERROR",IF(E586=0,"",IF(E586&lt;CONFIG!$B$4,"CRÍTICO",IF(E586&lt;CONFIG!$B$5,"BAJO","OK"))))</f>
        <v/>
      </c>
    </row>
    <row r="587" ht="15.75" customHeight="1">
      <c r="A587" s="90" t="str">
        <f>IF(CLIENTES!A8="","",CLIENTES!A8)</f>
        <v/>
      </c>
      <c r="B587" s="67" t="str">
        <f>TELAS!A5</f>
        <v>pique 30/1</v>
      </c>
      <c r="C587" s="67" t="str">
        <f>COLORES!A7</f>
        <v>Azul</v>
      </c>
      <c r="D587" s="67" t="str">
        <f>COLORES!B7</f>
        <v>OSCURO</v>
      </c>
      <c r="E587" s="100">
        <f>IFERROR(SUMIFS(MOVIMIENTOS!$F$4:$F$1000,MOVIMIENTOS!$C$4:$C$1000,A587,MOVIMIENTOS!$D$4:$D$1000,B587,MOVIMIENTOS!$E$4:$E$1000,C587,MOVIMIENTOS!$B$4:$B$1000,"INGRESO")+SUMIFS(MOVIMIENTOS!$F$4:$F$1000,MOVIMIENTOS!$C$4:$C$1000,A587,MOVIMIENTOS!$D$4:$D$1000,B587,MOVIMIENTOS!$E$4:$E$1000,C587,MOVIMIENTOS!$B$4:$B$1000,"DE REPROCESO")+SUMIFS(MOVIMIENTOS!$F$4:$F$1000,MOVIMIENTOS!$C$4:$C$1000,A587,MOVIMIENTOS!$D$4:$D$1000,B587,MOVIMIENTOS!$E$4:$E$1000,C587,MOVIMIENTOS!$B$4:$B$1000,"AJUSTE+")-SUMIFS(MOVIMIENTOS!$F$4:$F$1000,MOVIMIENTOS!$C$4:$C$1000,A587,MOVIMIENTOS!$D$4:$D$1000,B587,MOVIMIENTOS!$E$4:$E$1000,C587,MOVIMIENTOS!$B$4:$B$1000,"A CORTE")-SUMIFS(MOVIMIENTOS!$F$4:$F$1000,MOVIMIENTOS!$C$4:$C$1000,A587,MOVIMIENTOS!$D$4:$D$1000,B587,MOVIMIENTOS!$E$4:$E$1000,C587,MOVIMIENTOS!$B$4:$B$1000,"A REPROCESO")-SUMIFS(MOVIMIENTOS!$F$4:$F$1000,MOVIMIENTOS!$C$4:$C$1000,A587,MOVIMIENTOS!$D$4:$D$1000,B587,MOVIMIENTOS!$E$4:$E$1000,C587,MOVIMIENTOS!$B$4:$B$1000,"MUESTRA")-SUMIFS(MOVIMIENTOS!$F$4:$F$1000,MOVIMIENTOS!$C$4:$C$1000,A587,MOVIMIENTOS!$D$4:$D$1000,B587,MOVIMIENTOS!$E$4:$E$1000,C587,MOVIMIENTOS!$B$4:$B$1000,"AJUSTE-"),0)</f>
        <v>0</v>
      </c>
      <c r="F587" s="101">
        <f>IFERROR(E587*VLOOKUP(B587,TELAS!$A$4:$C$32,3,FALSE()),0)</f>
        <v>0</v>
      </c>
      <c r="G587" s="102">
        <f>IFERROR(IF(D587="OSCURO",VLOOKUP(B587,PRECIOS!$A$4:$F$32,2,FALSE()),IF(D587="CLARO",VLOOKUP(B587,PRECIOS!$A$4:$F$32,3,FALSE()),IF(D587="MELANGE",VLOOKUP(B587,PRECIOS!$A$4:$F$32,4,FALSE()),IF(D587="PPT",VLOOKUP(B587,PRECIOS!$A$4:$F$32,5,FALSE()),0)))),0)</f>
        <v>24</v>
      </c>
      <c r="H587" s="103">
        <f t="shared" si="1"/>
        <v>0</v>
      </c>
      <c r="I587" s="104" t="str">
        <f>IF(E587&lt;0,"ERROR",IF(E587=0,"",IF(E587&lt;CONFIG!$B$4,"CRÍTICO",IF(E587&lt;CONFIG!$B$5,"BAJO","OK"))))</f>
        <v/>
      </c>
    </row>
    <row r="588" ht="15.75" customHeight="1">
      <c r="A588" s="90" t="str">
        <f>IF(CLIENTES!A8="","",CLIENTES!A8)</f>
        <v/>
      </c>
      <c r="B588" s="67" t="str">
        <f>TELAS!A5</f>
        <v>pique 30/1</v>
      </c>
      <c r="C588" s="67" t="str">
        <f>COLORES!A8</f>
        <v>Beige</v>
      </c>
      <c r="D588" s="67" t="str">
        <f>COLORES!B8</f>
        <v>CLARO</v>
      </c>
      <c r="E588" s="100">
        <f>IFERROR(SUMIFS(MOVIMIENTOS!$F$4:$F$1000,MOVIMIENTOS!$C$4:$C$1000,A588,MOVIMIENTOS!$D$4:$D$1000,B588,MOVIMIENTOS!$E$4:$E$1000,C588,MOVIMIENTOS!$B$4:$B$1000,"INGRESO")+SUMIFS(MOVIMIENTOS!$F$4:$F$1000,MOVIMIENTOS!$C$4:$C$1000,A588,MOVIMIENTOS!$D$4:$D$1000,B588,MOVIMIENTOS!$E$4:$E$1000,C588,MOVIMIENTOS!$B$4:$B$1000,"DE REPROCESO")+SUMIFS(MOVIMIENTOS!$F$4:$F$1000,MOVIMIENTOS!$C$4:$C$1000,A588,MOVIMIENTOS!$D$4:$D$1000,B588,MOVIMIENTOS!$E$4:$E$1000,C588,MOVIMIENTOS!$B$4:$B$1000,"AJUSTE+")-SUMIFS(MOVIMIENTOS!$F$4:$F$1000,MOVIMIENTOS!$C$4:$C$1000,A588,MOVIMIENTOS!$D$4:$D$1000,B588,MOVIMIENTOS!$E$4:$E$1000,C588,MOVIMIENTOS!$B$4:$B$1000,"A CORTE")-SUMIFS(MOVIMIENTOS!$F$4:$F$1000,MOVIMIENTOS!$C$4:$C$1000,A588,MOVIMIENTOS!$D$4:$D$1000,B588,MOVIMIENTOS!$E$4:$E$1000,C588,MOVIMIENTOS!$B$4:$B$1000,"A REPROCESO")-SUMIFS(MOVIMIENTOS!$F$4:$F$1000,MOVIMIENTOS!$C$4:$C$1000,A588,MOVIMIENTOS!$D$4:$D$1000,B588,MOVIMIENTOS!$E$4:$E$1000,C588,MOVIMIENTOS!$B$4:$B$1000,"MUESTRA")-SUMIFS(MOVIMIENTOS!$F$4:$F$1000,MOVIMIENTOS!$C$4:$C$1000,A588,MOVIMIENTOS!$D$4:$D$1000,B588,MOVIMIENTOS!$E$4:$E$1000,C588,MOVIMIENTOS!$B$4:$B$1000,"AJUSTE-"),0)</f>
        <v>0</v>
      </c>
      <c r="F588" s="101">
        <f>IFERROR(E588*VLOOKUP(B588,TELAS!$A$4:$C$32,3,FALSE()),0)</f>
        <v>0</v>
      </c>
      <c r="G588" s="102">
        <f>IFERROR(IF(D588="OSCURO",VLOOKUP(B588,PRECIOS!$A$4:$F$32,2,FALSE()),IF(D588="CLARO",VLOOKUP(B588,PRECIOS!$A$4:$F$32,3,FALSE()),IF(D588="MELANGE",VLOOKUP(B588,PRECIOS!$A$4:$F$32,4,FALSE()),IF(D588="PPT",VLOOKUP(B588,PRECIOS!$A$4:$F$32,5,FALSE()),0)))),0)</f>
        <v>21</v>
      </c>
      <c r="H588" s="103">
        <f t="shared" si="1"/>
        <v>0</v>
      </c>
      <c r="I588" s="104" t="str">
        <f>IF(E588&lt;0,"ERROR",IF(E588=0,"",IF(E588&lt;CONFIG!$B$4,"CRÍTICO",IF(E588&lt;CONFIG!$B$5,"BAJO","OK"))))</f>
        <v/>
      </c>
    </row>
    <row r="589" ht="15.75" customHeight="1">
      <c r="A589" s="90" t="str">
        <f>IF(CLIENTES!A8="","",CLIENTES!A8)</f>
        <v/>
      </c>
      <c r="B589" s="67" t="str">
        <f>TELAS!A5</f>
        <v>pique 30/1</v>
      </c>
      <c r="C589" s="67" t="str">
        <f>COLORES!A9</f>
        <v>Melange</v>
      </c>
      <c r="D589" s="67" t="str">
        <f>COLORES!B9</f>
        <v>MELANGE</v>
      </c>
      <c r="E589" s="100">
        <f>IFERROR(SUMIFS(MOVIMIENTOS!$F$4:$F$1000,MOVIMIENTOS!$C$4:$C$1000,A589,MOVIMIENTOS!$D$4:$D$1000,B589,MOVIMIENTOS!$E$4:$E$1000,C589,MOVIMIENTOS!$B$4:$B$1000,"INGRESO")+SUMIFS(MOVIMIENTOS!$F$4:$F$1000,MOVIMIENTOS!$C$4:$C$1000,A589,MOVIMIENTOS!$D$4:$D$1000,B589,MOVIMIENTOS!$E$4:$E$1000,C589,MOVIMIENTOS!$B$4:$B$1000,"DE REPROCESO")+SUMIFS(MOVIMIENTOS!$F$4:$F$1000,MOVIMIENTOS!$C$4:$C$1000,A589,MOVIMIENTOS!$D$4:$D$1000,B589,MOVIMIENTOS!$E$4:$E$1000,C589,MOVIMIENTOS!$B$4:$B$1000,"AJUSTE+")-SUMIFS(MOVIMIENTOS!$F$4:$F$1000,MOVIMIENTOS!$C$4:$C$1000,A589,MOVIMIENTOS!$D$4:$D$1000,B589,MOVIMIENTOS!$E$4:$E$1000,C589,MOVIMIENTOS!$B$4:$B$1000,"A CORTE")-SUMIFS(MOVIMIENTOS!$F$4:$F$1000,MOVIMIENTOS!$C$4:$C$1000,A589,MOVIMIENTOS!$D$4:$D$1000,B589,MOVIMIENTOS!$E$4:$E$1000,C589,MOVIMIENTOS!$B$4:$B$1000,"A REPROCESO")-SUMIFS(MOVIMIENTOS!$F$4:$F$1000,MOVIMIENTOS!$C$4:$C$1000,A589,MOVIMIENTOS!$D$4:$D$1000,B589,MOVIMIENTOS!$E$4:$E$1000,C589,MOVIMIENTOS!$B$4:$B$1000,"MUESTRA")-SUMIFS(MOVIMIENTOS!$F$4:$F$1000,MOVIMIENTOS!$C$4:$C$1000,A589,MOVIMIENTOS!$D$4:$D$1000,B589,MOVIMIENTOS!$E$4:$E$1000,C589,MOVIMIENTOS!$B$4:$B$1000,"AJUSTE-"),0)</f>
        <v>0</v>
      </c>
      <c r="F589" s="101">
        <f>IFERROR(E589*VLOOKUP(B589,TELAS!$A$4:$C$32,3,FALSE()),0)</f>
        <v>0</v>
      </c>
      <c r="G589" s="102">
        <f>IFERROR(IF(D589="OSCURO",VLOOKUP(B589,PRECIOS!$A$4:$F$32,2,FALSE()),IF(D589="CLARO",VLOOKUP(B589,PRECIOS!$A$4:$F$32,3,FALSE()),IF(D589="MELANGE",VLOOKUP(B589,PRECIOS!$A$4:$F$32,4,FALSE()),IF(D589="PPT",VLOOKUP(B589,PRECIOS!$A$4:$F$32,5,FALSE()),0)))),0)</f>
        <v>18</v>
      </c>
      <c r="H589" s="103">
        <f t="shared" si="1"/>
        <v>0</v>
      </c>
      <c r="I589" s="104" t="str">
        <f>IF(E589&lt;0,"ERROR",IF(E589=0,"",IF(E589&lt;CONFIG!$B$4,"CRÍTICO",IF(E589&lt;CONFIG!$B$5,"BAJO","OK"))))</f>
        <v/>
      </c>
    </row>
    <row r="590" ht="15.75" customHeight="1">
      <c r="A590" s="90" t="str">
        <f>IF(CLIENTES!A8="","",CLIENTES!A8)</f>
        <v/>
      </c>
      <c r="B590" s="67" t="str">
        <f>TELAS!A5</f>
        <v>pique 30/1</v>
      </c>
      <c r="C590" s="67" t="str">
        <f>COLORES!A10</f>
        <v>Botella</v>
      </c>
      <c r="D590" s="67" t="str">
        <f>COLORES!B10</f>
        <v>OSCURO</v>
      </c>
      <c r="E590" s="100">
        <f>IFERROR(SUMIFS(MOVIMIENTOS!$F$4:$F$1000,MOVIMIENTOS!$C$4:$C$1000,A590,MOVIMIENTOS!$D$4:$D$1000,B590,MOVIMIENTOS!$E$4:$E$1000,C590,MOVIMIENTOS!$B$4:$B$1000,"INGRESO")+SUMIFS(MOVIMIENTOS!$F$4:$F$1000,MOVIMIENTOS!$C$4:$C$1000,A590,MOVIMIENTOS!$D$4:$D$1000,B590,MOVIMIENTOS!$E$4:$E$1000,C590,MOVIMIENTOS!$B$4:$B$1000,"DE REPROCESO")+SUMIFS(MOVIMIENTOS!$F$4:$F$1000,MOVIMIENTOS!$C$4:$C$1000,A590,MOVIMIENTOS!$D$4:$D$1000,B590,MOVIMIENTOS!$E$4:$E$1000,C590,MOVIMIENTOS!$B$4:$B$1000,"AJUSTE+")-SUMIFS(MOVIMIENTOS!$F$4:$F$1000,MOVIMIENTOS!$C$4:$C$1000,A590,MOVIMIENTOS!$D$4:$D$1000,B590,MOVIMIENTOS!$E$4:$E$1000,C590,MOVIMIENTOS!$B$4:$B$1000,"A CORTE")-SUMIFS(MOVIMIENTOS!$F$4:$F$1000,MOVIMIENTOS!$C$4:$C$1000,A590,MOVIMIENTOS!$D$4:$D$1000,B590,MOVIMIENTOS!$E$4:$E$1000,C590,MOVIMIENTOS!$B$4:$B$1000,"A REPROCESO")-SUMIFS(MOVIMIENTOS!$F$4:$F$1000,MOVIMIENTOS!$C$4:$C$1000,A590,MOVIMIENTOS!$D$4:$D$1000,B590,MOVIMIENTOS!$E$4:$E$1000,C590,MOVIMIENTOS!$B$4:$B$1000,"MUESTRA")-SUMIFS(MOVIMIENTOS!$F$4:$F$1000,MOVIMIENTOS!$C$4:$C$1000,A590,MOVIMIENTOS!$D$4:$D$1000,B590,MOVIMIENTOS!$E$4:$E$1000,C590,MOVIMIENTOS!$B$4:$B$1000,"AJUSTE-"),0)</f>
        <v>0</v>
      </c>
      <c r="F590" s="101">
        <f>IFERROR(E590*VLOOKUP(B590,TELAS!$A$4:$C$32,3,FALSE()),0)</f>
        <v>0</v>
      </c>
      <c r="G590" s="102">
        <f>IFERROR(IF(D590="OSCURO",VLOOKUP(B590,PRECIOS!$A$4:$F$32,2,FALSE()),IF(D590="CLARO",VLOOKUP(B590,PRECIOS!$A$4:$F$32,3,FALSE()),IF(D590="MELANGE",VLOOKUP(B590,PRECIOS!$A$4:$F$32,4,FALSE()),IF(D590="PPT",VLOOKUP(B590,PRECIOS!$A$4:$F$32,5,FALSE()),0)))),0)</f>
        <v>24</v>
      </c>
      <c r="H590" s="103">
        <f t="shared" si="1"/>
        <v>0</v>
      </c>
      <c r="I590" s="104" t="str">
        <f>IF(E590&lt;0,"ERROR",IF(E590=0,"",IF(E590&lt;CONFIG!$B$4,"CRÍTICO",IF(E590&lt;CONFIG!$B$5,"BAJO","OK"))))</f>
        <v/>
      </c>
    </row>
    <row r="591" ht="15.75" customHeight="1">
      <c r="A591" s="90" t="str">
        <f>IF(CLIENTES!A8="","",CLIENTES!A8)</f>
        <v/>
      </c>
      <c r="B591" s="67" t="str">
        <f>TELAS!A5</f>
        <v>pique 30/1</v>
      </c>
      <c r="C591" s="67" t="str">
        <f>COLORES!A11</f>
        <v>Pacay</v>
      </c>
      <c r="D591" s="67" t="str">
        <f>COLORES!B11</f>
        <v>CLARO</v>
      </c>
      <c r="E591" s="100">
        <f>IFERROR(SUMIFS(MOVIMIENTOS!$F$4:$F$1000,MOVIMIENTOS!$C$4:$C$1000,A591,MOVIMIENTOS!$D$4:$D$1000,B591,MOVIMIENTOS!$E$4:$E$1000,C591,MOVIMIENTOS!$B$4:$B$1000,"INGRESO")+SUMIFS(MOVIMIENTOS!$F$4:$F$1000,MOVIMIENTOS!$C$4:$C$1000,A591,MOVIMIENTOS!$D$4:$D$1000,B591,MOVIMIENTOS!$E$4:$E$1000,C591,MOVIMIENTOS!$B$4:$B$1000,"DE REPROCESO")+SUMIFS(MOVIMIENTOS!$F$4:$F$1000,MOVIMIENTOS!$C$4:$C$1000,A591,MOVIMIENTOS!$D$4:$D$1000,B591,MOVIMIENTOS!$E$4:$E$1000,C591,MOVIMIENTOS!$B$4:$B$1000,"AJUSTE+")-SUMIFS(MOVIMIENTOS!$F$4:$F$1000,MOVIMIENTOS!$C$4:$C$1000,A591,MOVIMIENTOS!$D$4:$D$1000,B591,MOVIMIENTOS!$E$4:$E$1000,C591,MOVIMIENTOS!$B$4:$B$1000,"A CORTE")-SUMIFS(MOVIMIENTOS!$F$4:$F$1000,MOVIMIENTOS!$C$4:$C$1000,A591,MOVIMIENTOS!$D$4:$D$1000,B591,MOVIMIENTOS!$E$4:$E$1000,C591,MOVIMIENTOS!$B$4:$B$1000,"A REPROCESO")-SUMIFS(MOVIMIENTOS!$F$4:$F$1000,MOVIMIENTOS!$C$4:$C$1000,A591,MOVIMIENTOS!$D$4:$D$1000,B591,MOVIMIENTOS!$E$4:$E$1000,C591,MOVIMIENTOS!$B$4:$B$1000,"MUESTRA")-SUMIFS(MOVIMIENTOS!$F$4:$F$1000,MOVIMIENTOS!$C$4:$C$1000,A591,MOVIMIENTOS!$D$4:$D$1000,B591,MOVIMIENTOS!$E$4:$E$1000,C591,MOVIMIENTOS!$B$4:$B$1000,"AJUSTE-"),0)</f>
        <v>0</v>
      </c>
      <c r="F591" s="101">
        <f>IFERROR(E591*VLOOKUP(B591,TELAS!$A$4:$C$32,3,FALSE()),0)</f>
        <v>0</v>
      </c>
      <c r="G591" s="102">
        <f>IFERROR(IF(D591="OSCURO",VLOOKUP(B591,PRECIOS!$A$4:$F$32,2,FALSE()),IF(D591="CLARO",VLOOKUP(B591,PRECIOS!$A$4:$F$32,3,FALSE()),IF(D591="MELANGE",VLOOKUP(B591,PRECIOS!$A$4:$F$32,4,FALSE()),IF(D591="PPT",VLOOKUP(B591,PRECIOS!$A$4:$F$32,5,FALSE()),0)))),0)</f>
        <v>21</v>
      </c>
      <c r="H591" s="103">
        <f t="shared" si="1"/>
        <v>0</v>
      </c>
      <c r="I591" s="104" t="str">
        <f>IF(E591&lt;0,"ERROR",IF(E591=0,"",IF(E591&lt;CONFIG!$B$4,"CRÍTICO",IF(E591&lt;CONFIG!$B$5,"BAJO","OK"))))</f>
        <v/>
      </c>
    </row>
    <row r="592" ht="15.75" customHeight="1">
      <c r="A592" s="90" t="str">
        <f>IF(CLIENTES!A8="","",CLIENTES!A8)</f>
        <v/>
      </c>
      <c r="B592" s="67" t="str">
        <f>TELAS!A5</f>
        <v>pique 30/1</v>
      </c>
      <c r="C592" s="67" t="str">
        <f>COLORES!A12</f>
        <v>Cemento</v>
      </c>
      <c r="D592" s="67" t="str">
        <f>COLORES!B12</f>
        <v>CLARO</v>
      </c>
      <c r="E592" s="100">
        <f>IFERROR(SUMIFS(MOVIMIENTOS!$F$4:$F$1000,MOVIMIENTOS!$C$4:$C$1000,A592,MOVIMIENTOS!$D$4:$D$1000,B592,MOVIMIENTOS!$E$4:$E$1000,C592,MOVIMIENTOS!$B$4:$B$1000,"INGRESO")+SUMIFS(MOVIMIENTOS!$F$4:$F$1000,MOVIMIENTOS!$C$4:$C$1000,A592,MOVIMIENTOS!$D$4:$D$1000,B592,MOVIMIENTOS!$E$4:$E$1000,C592,MOVIMIENTOS!$B$4:$B$1000,"DE REPROCESO")+SUMIFS(MOVIMIENTOS!$F$4:$F$1000,MOVIMIENTOS!$C$4:$C$1000,A592,MOVIMIENTOS!$D$4:$D$1000,B592,MOVIMIENTOS!$E$4:$E$1000,C592,MOVIMIENTOS!$B$4:$B$1000,"AJUSTE+")-SUMIFS(MOVIMIENTOS!$F$4:$F$1000,MOVIMIENTOS!$C$4:$C$1000,A592,MOVIMIENTOS!$D$4:$D$1000,B592,MOVIMIENTOS!$E$4:$E$1000,C592,MOVIMIENTOS!$B$4:$B$1000,"A CORTE")-SUMIFS(MOVIMIENTOS!$F$4:$F$1000,MOVIMIENTOS!$C$4:$C$1000,A592,MOVIMIENTOS!$D$4:$D$1000,B592,MOVIMIENTOS!$E$4:$E$1000,C592,MOVIMIENTOS!$B$4:$B$1000,"A REPROCESO")-SUMIFS(MOVIMIENTOS!$F$4:$F$1000,MOVIMIENTOS!$C$4:$C$1000,A592,MOVIMIENTOS!$D$4:$D$1000,B592,MOVIMIENTOS!$E$4:$E$1000,C592,MOVIMIENTOS!$B$4:$B$1000,"MUESTRA")-SUMIFS(MOVIMIENTOS!$F$4:$F$1000,MOVIMIENTOS!$C$4:$C$1000,A592,MOVIMIENTOS!$D$4:$D$1000,B592,MOVIMIENTOS!$E$4:$E$1000,C592,MOVIMIENTOS!$B$4:$B$1000,"AJUSTE-"),0)</f>
        <v>0</v>
      </c>
      <c r="F592" s="101">
        <f>IFERROR(E592*VLOOKUP(B592,TELAS!$A$4:$C$32,3,FALSE()),0)</f>
        <v>0</v>
      </c>
      <c r="G592" s="102">
        <f>IFERROR(IF(D592="OSCURO",VLOOKUP(B592,PRECIOS!$A$4:$F$32,2,FALSE()),IF(D592="CLARO",VLOOKUP(B592,PRECIOS!$A$4:$F$32,3,FALSE()),IF(D592="MELANGE",VLOOKUP(B592,PRECIOS!$A$4:$F$32,4,FALSE()),IF(D592="PPT",VLOOKUP(B592,PRECIOS!$A$4:$F$32,5,FALSE()),0)))),0)</f>
        <v>21</v>
      </c>
      <c r="H592" s="103">
        <f t="shared" si="1"/>
        <v>0</v>
      </c>
      <c r="I592" s="104" t="str">
        <f>IF(E592&lt;0,"ERROR",IF(E592=0,"",IF(E592&lt;CONFIG!$B$4,"CRÍTICO",IF(E592&lt;CONFIG!$B$5,"BAJO","OK"))))</f>
        <v/>
      </c>
    </row>
    <row r="593" ht="15.75" customHeight="1">
      <c r="A593" s="90" t="str">
        <f>IF(CLIENTES!A8="","",CLIENTES!A8)</f>
        <v/>
      </c>
      <c r="B593" s="67" t="str">
        <f>TELAS!A5</f>
        <v>pique 30/1</v>
      </c>
      <c r="C593" s="67" t="str">
        <f>COLORES!A13</f>
        <v>Camote</v>
      </c>
      <c r="D593" s="67" t="str">
        <f>COLORES!B13</f>
        <v>CLARO</v>
      </c>
      <c r="E593" s="100">
        <f>IFERROR(SUMIFS(MOVIMIENTOS!$F$4:$F$1000,MOVIMIENTOS!$C$4:$C$1000,A593,MOVIMIENTOS!$D$4:$D$1000,B593,MOVIMIENTOS!$E$4:$E$1000,C593,MOVIMIENTOS!$B$4:$B$1000,"INGRESO")+SUMIFS(MOVIMIENTOS!$F$4:$F$1000,MOVIMIENTOS!$C$4:$C$1000,A593,MOVIMIENTOS!$D$4:$D$1000,B593,MOVIMIENTOS!$E$4:$E$1000,C593,MOVIMIENTOS!$B$4:$B$1000,"DE REPROCESO")+SUMIFS(MOVIMIENTOS!$F$4:$F$1000,MOVIMIENTOS!$C$4:$C$1000,A593,MOVIMIENTOS!$D$4:$D$1000,B593,MOVIMIENTOS!$E$4:$E$1000,C593,MOVIMIENTOS!$B$4:$B$1000,"AJUSTE+")-SUMIFS(MOVIMIENTOS!$F$4:$F$1000,MOVIMIENTOS!$C$4:$C$1000,A593,MOVIMIENTOS!$D$4:$D$1000,B593,MOVIMIENTOS!$E$4:$E$1000,C593,MOVIMIENTOS!$B$4:$B$1000,"A CORTE")-SUMIFS(MOVIMIENTOS!$F$4:$F$1000,MOVIMIENTOS!$C$4:$C$1000,A593,MOVIMIENTOS!$D$4:$D$1000,B593,MOVIMIENTOS!$E$4:$E$1000,C593,MOVIMIENTOS!$B$4:$B$1000,"A REPROCESO")-SUMIFS(MOVIMIENTOS!$F$4:$F$1000,MOVIMIENTOS!$C$4:$C$1000,A593,MOVIMIENTOS!$D$4:$D$1000,B593,MOVIMIENTOS!$E$4:$E$1000,C593,MOVIMIENTOS!$B$4:$B$1000,"MUESTRA")-SUMIFS(MOVIMIENTOS!$F$4:$F$1000,MOVIMIENTOS!$C$4:$C$1000,A593,MOVIMIENTOS!$D$4:$D$1000,B593,MOVIMIENTOS!$E$4:$E$1000,C593,MOVIMIENTOS!$B$4:$B$1000,"AJUSTE-"),0)</f>
        <v>0</v>
      </c>
      <c r="F593" s="101">
        <f>IFERROR(E593*VLOOKUP(B593,TELAS!$A$4:$C$32,3,FALSE()),0)</f>
        <v>0</v>
      </c>
      <c r="G593" s="102">
        <f>IFERROR(IF(D593="OSCURO",VLOOKUP(B593,PRECIOS!$A$4:$F$32,2,FALSE()),IF(D593="CLARO",VLOOKUP(B593,PRECIOS!$A$4:$F$32,3,FALSE()),IF(D593="MELANGE",VLOOKUP(B593,PRECIOS!$A$4:$F$32,4,FALSE()),IF(D593="PPT",VLOOKUP(B593,PRECIOS!$A$4:$F$32,5,FALSE()),0)))),0)</f>
        <v>21</v>
      </c>
      <c r="H593" s="103">
        <f t="shared" si="1"/>
        <v>0</v>
      </c>
      <c r="I593" s="104" t="str">
        <f>IF(E593&lt;0,"ERROR",IF(E593=0,"",IF(E593&lt;CONFIG!$B$4,"CRÍTICO",IF(E593&lt;CONFIG!$B$5,"BAJO","OK"))))</f>
        <v/>
      </c>
    </row>
    <row r="594" ht="15.75" customHeight="1">
      <c r="A594" s="90" t="str">
        <f>IF(CLIENTES!A8="","",CLIENTES!A8)</f>
        <v/>
      </c>
      <c r="B594" s="67" t="str">
        <f>TELAS!A5</f>
        <v>pique 30/1</v>
      </c>
      <c r="C594" s="67" t="str">
        <f>COLORES!A14</f>
        <v>Denim</v>
      </c>
      <c r="D594" s="67" t="str">
        <f>COLORES!B14</f>
        <v>CLARO</v>
      </c>
      <c r="E594" s="100">
        <f>IFERROR(SUMIFS(MOVIMIENTOS!$F$4:$F$1000,MOVIMIENTOS!$C$4:$C$1000,A594,MOVIMIENTOS!$D$4:$D$1000,B594,MOVIMIENTOS!$E$4:$E$1000,C594,MOVIMIENTOS!$B$4:$B$1000,"INGRESO")+SUMIFS(MOVIMIENTOS!$F$4:$F$1000,MOVIMIENTOS!$C$4:$C$1000,A594,MOVIMIENTOS!$D$4:$D$1000,B594,MOVIMIENTOS!$E$4:$E$1000,C594,MOVIMIENTOS!$B$4:$B$1000,"DE REPROCESO")+SUMIFS(MOVIMIENTOS!$F$4:$F$1000,MOVIMIENTOS!$C$4:$C$1000,A594,MOVIMIENTOS!$D$4:$D$1000,B594,MOVIMIENTOS!$E$4:$E$1000,C594,MOVIMIENTOS!$B$4:$B$1000,"AJUSTE+")-SUMIFS(MOVIMIENTOS!$F$4:$F$1000,MOVIMIENTOS!$C$4:$C$1000,A594,MOVIMIENTOS!$D$4:$D$1000,B594,MOVIMIENTOS!$E$4:$E$1000,C594,MOVIMIENTOS!$B$4:$B$1000,"A CORTE")-SUMIFS(MOVIMIENTOS!$F$4:$F$1000,MOVIMIENTOS!$C$4:$C$1000,A594,MOVIMIENTOS!$D$4:$D$1000,B594,MOVIMIENTOS!$E$4:$E$1000,C594,MOVIMIENTOS!$B$4:$B$1000,"A REPROCESO")-SUMIFS(MOVIMIENTOS!$F$4:$F$1000,MOVIMIENTOS!$C$4:$C$1000,A594,MOVIMIENTOS!$D$4:$D$1000,B594,MOVIMIENTOS!$E$4:$E$1000,C594,MOVIMIENTOS!$B$4:$B$1000,"MUESTRA")-SUMIFS(MOVIMIENTOS!$F$4:$F$1000,MOVIMIENTOS!$C$4:$C$1000,A594,MOVIMIENTOS!$D$4:$D$1000,B594,MOVIMIENTOS!$E$4:$E$1000,C594,MOVIMIENTOS!$B$4:$B$1000,"AJUSTE-"),0)</f>
        <v>0</v>
      </c>
      <c r="F594" s="101">
        <f>IFERROR(E594*VLOOKUP(B594,TELAS!$A$4:$C$32,3,FALSE()),0)</f>
        <v>0</v>
      </c>
      <c r="G594" s="102">
        <f>IFERROR(IF(D594="OSCURO",VLOOKUP(B594,PRECIOS!$A$4:$F$32,2,FALSE()),IF(D594="CLARO",VLOOKUP(B594,PRECIOS!$A$4:$F$32,3,FALSE()),IF(D594="MELANGE",VLOOKUP(B594,PRECIOS!$A$4:$F$32,4,FALSE()),IF(D594="PPT",VLOOKUP(B594,PRECIOS!$A$4:$F$32,5,FALSE()),0)))),0)</f>
        <v>21</v>
      </c>
      <c r="H594" s="103">
        <f t="shared" si="1"/>
        <v>0</v>
      </c>
      <c r="I594" s="104" t="str">
        <f>IF(E594&lt;0,"ERROR",IF(E594=0,"",IF(E594&lt;CONFIG!$B$4,"CRÍTICO",IF(E594&lt;CONFIG!$B$5,"BAJO","OK"))))</f>
        <v/>
      </c>
    </row>
    <row r="595" ht="15.75" customHeight="1">
      <c r="A595" s="90" t="str">
        <f>IF(CLIENTES!A8="","",CLIENTES!A8)</f>
        <v/>
      </c>
      <c r="B595" s="67" t="str">
        <f>TELAS!A5</f>
        <v>pique 30/1</v>
      </c>
      <c r="C595" s="67" t="str">
        <f>COLORES!A15</f>
        <v>Plomo</v>
      </c>
      <c r="D595" s="67" t="str">
        <f>COLORES!B15</f>
        <v>OSCURO</v>
      </c>
      <c r="E595" s="100">
        <f>IFERROR(SUMIFS(MOVIMIENTOS!$F$4:$F$1000,MOVIMIENTOS!$C$4:$C$1000,A595,MOVIMIENTOS!$D$4:$D$1000,B595,MOVIMIENTOS!$E$4:$E$1000,C595,MOVIMIENTOS!$B$4:$B$1000,"INGRESO")+SUMIFS(MOVIMIENTOS!$F$4:$F$1000,MOVIMIENTOS!$C$4:$C$1000,A595,MOVIMIENTOS!$D$4:$D$1000,B595,MOVIMIENTOS!$E$4:$E$1000,C595,MOVIMIENTOS!$B$4:$B$1000,"DE REPROCESO")+SUMIFS(MOVIMIENTOS!$F$4:$F$1000,MOVIMIENTOS!$C$4:$C$1000,A595,MOVIMIENTOS!$D$4:$D$1000,B595,MOVIMIENTOS!$E$4:$E$1000,C595,MOVIMIENTOS!$B$4:$B$1000,"AJUSTE+")-SUMIFS(MOVIMIENTOS!$F$4:$F$1000,MOVIMIENTOS!$C$4:$C$1000,A595,MOVIMIENTOS!$D$4:$D$1000,B595,MOVIMIENTOS!$E$4:$E$1000,C595,MOVIMIENTOS!$B$4:$B$1000,"A CORTE")-SUMIFS(MOVIMIENTOS!$F$4:$F$1000,MOVIMIENTOS!$C$4:$C$1000,A595,MOVIMIENTOS!$D$4:$D$1000,B595,MOVIMIENTOS!$E$4:$E$1000,C595,MOVIMIENTOS!$B$4:$B$1000,"A REPROCESO")-SUMIFS(MOVIMIENTOS!$F$4:$F$1000,MOVIMIENTOS!$C$4:$C$1000,A595,MOVIMIENTOS!$D$4:$D$1000,B595,MOVIMIENTOS!$E$4:$E$1000,C595,MOVIMIENTOS!$B$4:$B$1000,"MUESTRA")-SUMIFS(MOVIMIENTOS!$F$4:$F$1000,MOVIMIENTOS!$C$4:$C$1000,A595,MOVIMIENTOS!$D$4:$D$1000,B595,MOVIMIENTOS!$E$4:$E$1000,C595,MOVIMIENTOS!$B$4:$B$1000,"AJUSTE-"),0)</f>
        <v>0</v>
      </c>
      <c r="F595" s="101">
        <f>IFERROR(E595*VLOOKUP(B595,TELAS!$A$4:$C$32,3,FALSE()),0)</f>
        <v>0</v>
      </c>
      <c r="G595" s="102">
        <f>IFERROR(IF(D595="OSCURO",VLOOKUP(B595,PRECIOS!$A$4:$F$32,2,FALSE()),IF(D595="CLARO",VLOOKUP(B595,PRECIOS!$A$4:$F$32,3,FALSE()),IF(D595="MELANGE",VLOOKUP(B595,PRECIOS!$A$4:$F$32,4,FALSE()),IF(D595="PPT",VLOOKUP(B595,PRECIOS!$A$4:$F$32,5,FALSE()),0)))),0)</f>
        <v>24</v>
      </c>
      <c r="H595" s="103">
        <f t="shared" si="1"/>
        <v>0</v>
      </c>
      <c r="I595" s="104" t="str">
        <f>IF(E595&lt;0,"ERROR",IF(E595=0,"",IF(E595&lt;CONFIG!$B$4,"CRÍTICO",IF(E595&lt;CONFIG!$B$5,"BAJO","OK"))))</f>
        <v/>
      </c>
    </row>
    <row r="596" ht="15.75" customHeight="1">
      <c r="A596" s="90" t="str">
        <f>IF(CLIENTES!A8="","",CLIENTES!A8)</f>
        <v/>
      </c>
      <c r="B596" s="67" t="str">
        <f>TELAS!A5</f>
        <v>pique 30/1</v>
      </c>
      <c r="C596" s="67" t="str">
        <f>COLORES!A16</f>
        <v>Topo</v>
      </c>
      <c r="D596" s="67" t="str">
        <f>COLORES!B16</f>
        <v>CLARO</v>
      </c>
      <c r="E596" s="100">
        <f>IFERROR(SUMIFS(MOVIMIENTOS!$F$4:$F$1000,MOVIMIENTOS!$C$4:$C$1000,A596,MOVIMIENTOS!$D$4:$D$1000,B596,MOVIMIENTOS!$E$4:$E$1000,C596,MOVIMIENTOS!$B$4:$B$1000,"INGRESO")+SUMIFS(MOVIMIENTOS!$F$4:$F$1000,MOVIMIENTOS!$C$4:$C$1000,A596,MOVIMIENTOS!$D$4:$D$1000,B596,MOVIMIENTOS!$E$4:$E$1000,C596,MOVIMIENTOS!$B$4:$B$1000,"DE REPROCESO")+SUMIFS(MOVIMIENTOS!$F$4:$F$1000,MOVIMIENTOS!$C$4:$C$1000,A596,MOVIMIENTOS!$D$4:$D$1000,B596,MOVIMIENTOS!$E$4:$E$1000,C596,MOVIMIENTOS!$B$4:$B$1000,"AJUSTE+")-SUMIFS(MOVIMIENTOS!$F$4:$F$1000,MOVIMIENTOS!$C$4:$C$1000,A596,MOVIMIENTOS!$D$4:$D$1000,B596,MOVIMIENTOS!$E$4:$E$1000,C596,MOVIMIENTOS!$B$4:$B$1000,"A CORTE")-SUMIFS(MOVIMIENTOS!$F$4:$F$1000,MOVIMIENTOS!$C$4:$C$1000,A596,MOVIMIENTOS!$D$4:$D$1000,B596,MOVIMIENTOS!$E$4:$E$1000,C596,MOVIMIENTOS!$B$4:$B$1000,"A REPROCESO")-SUMIFS(MOVIMIENTOS!$F$4:$F$1000,MOVIMIENTOS!$C$4:$C$1000,A596,MOVIMIENTOS!$D$4:$D$1000,B596,MOVIMIENTOS!$E$4:$E$1000,C596,MOVIMIENTOS!$B$4:$B$1000,"MUESTRA")-SUMIFS(MOVIMIENTOS!$F$4:$F$1000,MOVIMIENTOS!$C$4:$C$1000,A596,MOVIMIENTOS!$D$4:$D$1000,B596,MOVIMIENTOS!$E$4:$E$1000,C596,MOVIMIENTOS!$B$4:$B$1000,"AJUSTE-"),0)</f>
        <v>0</v>
      </c>
      <c r="F596" s="101">
        <f>IFERROR(E596*VLOOKUP(B596,TELAS!$A$4:$C$32,3,FALSE()),0)</f>
        <v>0</v>
      </c>
      <c r="G596" s="102">
        <f>IFERROR(IF(D596="OSCURO",VLOOKUP(B596,PRECIOS!$A$4:$F$32,2,FALSE()),IF(D596="CLARO",VLOOKUP(B596,PRECIOS!$A$4:$F$32,3,FALSE()),IF(D596="MELANGE",VLOOKUP(B596,PRECIOS!$A$4:$F$32,4,FALSE()),IF(D596="PPT",VLOOKUP(B596,PRECIOS!$A$4:$F$32,5,FALSE()),0)))),0)</f>
        <v>21</v>
      </c>
      <c r="H596" s="103">
        <f t="shared" si="1"/>
        <v>0</v>
      </c>
      <c r="I596" s="104" t="str">
        <f>IF(E596&lt;0,"ERROR",IF(E596=0,"",IF(E596&lt;CONFIG!$B$4,"CRÍTICO",IF(E596&lt;CONFIG!$B$5,"BAJO","OK"))))</f>
        <v/>
      </c>
    </row>
    <row r="597" ht="15.75" customHeight="1">
      <c r="A597" s="90" t="str">
        <f>IF(CLIENTES!A8="","",CLIENTES!A8)</f>
        <v/>
      </c>
      <c r="B597" s="67" t="str">
        <f>TELAS!A5</f>
        <v>pique 30/1</v>
      </c>
      <c r="C597" s="67" t="str">
        <f>COLORES!A17</f>
        <v>Vino</v>
      </c>
      <c r="D597" s="67" t="str">
        <f>COLORES!B17</f>
        <v>OSCURO</v>
      </c>
      <c r="E597" s="100">
        <f>IFERROR(SUMIFS(MOVIMIENTOS!$F$4:$F$1000,MOVIMIENTOS!$C$4:$C$1000,A597,MOVIMIENTOS!$D$4:$D$1000,B597,MOVIMIENTOS!$E$4:$E$1000,C597,MOVIMIENTOS!$B$4:$B$1000,"INGRESO")+SUMIFS(MOVIMIENTOS!$F$4:$F$1000,MOVIMIENTOS!$C$4:$C$1000,A597,MOVIMIENTOS!$D$4:$D$1000,B597,MOVIMIENTOS!$E$4:$E$1000,C597,MOVIMIENTOS!$B$4:$B$1000,"DE REPROCESO")+SUMIFS(MOVIMIENTOS!$F$4:$F$1000,MOVIMIENTOS!$C$4:$C$1000,A597,MOVIMIENTOS!$D$4:$D$1000,B597,MOVIMIENTOS!$E$4:$E$1000,C597,MOVIMIENTOS!$B$4:$B$1000,"AJUSTE+")-SUMIFS(MOVIMIENTOS!$F$4:$F$1000,MOVIMIENTOS!$C$4:$C$1000,A597,MOVIMIENTOS!$D$4:$D$1000,B597,MOVIMIENTOS!$E$4:$E$1000,C597,MOVIMIENTOS!$B$4:$B$1000,"A CORTE")-SUMIFS(MOVIMIENTOS!$F$4:$F$1000,MOVIMIENTOS!$C$4:$C$1000,A597,MOVIMIENTOS!$D$4:$D$1000,B597,MOVIMIENTOS!$E$4:$E$1000,C597,MOVIMIENTOS!$B$4:$B$1000,"A REPROCESO")-SUMIFS(MOVIMIENTOS!$F$4:$F$1000,MOVIMIENTOS!$C$4:$C$1000,A597,MOVIMIENTOS!$D$4:$D$1000,B597,MOVIMIENTOS!$E$4:$E$1000,C597,MOVIMIENTOS!$B$4:$B$1000,"MUESTRA")-SUMIFS(MOVIMIENTOS!$F$4:$F$1000,MOVIMIENTOS!$C$4:$C$1000,A597,MOVIMIENTOS!$D$4:$D$1000,B597,MOVIMIENTOS!$E$4:$E$1000,C597,MOVIMIENTOS!$B$4:$B$1000,"AJUSTE-"),0)</f>
        <v>0</v>
      </c>
      <c r="F597" s="101">
        <f>IFERROR(E597*VLOOKUP(B597,TELAS!$A$4:$C$32,3,FALSE()),0)</f>
        <v>0</v>
      </c>
      <c r="G597" s="102">
        <f>IFERROR(IF(D597="OSCURO",VLOOKUP(B597,PRECIOS!$A$4:$F$32,2,FALSE()),IF(D597="CLARO",VLOOKUP(B597,PRECIOS!$A$4:$F$32,3,FALSE()),IF(D597="MELANGE",VLOOKUP(B597,PRECIOS!$A$4:$F$32,4,FALSE()),IF(D597="PPT",VLOOKUP(B597,PRECIOS!$A$4:$F$32,5,FALSE()),0)))),0)</f>
        <v>24</v>
      </c>
      <c r="H597" s="103">
        <f t="shared" si="1"/>
        <v>0</v>
      </c>
      <c r="I597" s="104" t="str">
        <f>IF(E597&lt;0,"ERROR",IF(E597=0,"",IF(E597&lt;CONFIG!$B$4,"CRÍTICO",IF(E597&lt;CONFIG!$B$5,"BAJO","OK"))))</f>
        <v/>
      </c>
    </row>
    <row r="598" ht="15.75" customHeight="1">
      <c r="A598" s="90" t="str">
        <f>IF(CLIENTES!A8="","",CLIENTES!A8)</f>
        <v/>
      </c>
      <c r="B598" s="67" t="str">
        <f>TELAS!A5</f>
        <v>pique 30/1</v>
      </c>
      <c r="C598" s="67" t="str">
        <f>COLORES!A18</f>
        <v>P. Rosa</v>
      </c>
      <c r="D598" s="67" t="str">
        <f>COLORES!B18</f>
        <v>CLARO</v>
      </c>
      <c r="E598" s="100">
        <f>IFERROR(SUMIFS(MOVIMIENTOS!$F$4:$F$1000,MOVIMIENTOS!$C$4:$C$1000,A598,MOVIMIENTOS!$D$4:$D$1000,B598,MOVIMIENTOS!$E$4:$E$1000,C598,MOVIMIENTOS!$B$4:$B$1000,"INGRESO")+SUMIFS(MOVIMIENTOS!$F$4:$F$1000,MOVIMIENTOS!$C$4:$C$1000,A598,MOVIMIENTOS!$D$4:$D$1000,B598,MOVIMIENTOS!$E$4:$E$1000,C598,MOVIMIENTOS!$B$4:$B$1000,"DE REPROCESO")+SUMIFS(MOVIMIENTOS!$F$4:$F$1000,MOVIMIENTOS!$C$4:$C$1000,A598,MOVIMIENTOS!$D$4:$D$1000,B598,MOVIMIENTOS!$E$4:$E$1000,C598,MOVIMIENTOS!$B$4:$B$1000,"AJUSTE+")-SUMIFS(MOVIMIENTOS!$F$4:$F$1000,MOVIMIENTOS!$C$4:$C$1000,A598,MOVIMIENTOS!$D$4:$D$1000,B598,MOVIMIENTOS!$E$4:$E$1000,C598,MOVIMIENTOS!$B$4:$B$1000,"A CORTE")-SUMIFS(MOVIMIENTOS!$F$4:$F$1000,MOVIMIENTOS!$C$4:$C$1000,A598,MOVIMIENTOS!$D$4:$D$1000,B598,MOVIMIENTOS!$E$4:$E$1000,C598,MOVIMIENTOS!$B$4:$B$1000,"A REPROCESO")-SUMIFS(MOVIMIENTOS!$F$4:$F$1000,MOVIMIENTOS!$C$4:$C$1000,A598,MOVIMIENTOS!$D$4:$D$1000,B598,MOVIMIENTOS!$E$4:$E$1000,C598,MOVIMIENTOS!$B$4:$B$1000,"MUESTRA")-SUMIFS(MOVIMIENTOS!$F$4:$F$1000,MOVIMIENTOS!$C$4:$C$1000,A598,MOVIMIENTOS!$D$4:$D$1000,B598,MOVIMIENTOS!$E$4:$E$1000,C598,MOVIMIENTOS!$B$4:$B$1000,"AJUSTE-"),0)</f>
        <v>0</v>
      </c>
      <c r="F598" s="101">
        <f>IFERROR(E598*VLOOKUP(B598,TELAS!$A$4:$C$32,3,FALSE()),0)</f>
        <v>0</v>
      </c>
      <c r="G598" s="102">
        <f>IFERROR(IF(D598="OSCURO",VLOOKUP(B598,PRECIOS!$A$4:$F$32,2,FALSE()),IF(D598="CLARO",VLOOKUP(B598,PRECIOS!$A$4:$F$32,3,FALSE()),IF(D598="MELANGE",VLOOKUP(B598,PRECIOS!$A$4:$F$32,4,FALSE()),IF(D598="PPT",VLOOKUP(B598,PRECIOS!$A$4:$F$32,5,FALSE()),0)))),0)</f>
        <v>21</v>
      </c>
      <c r="H598" s="103">
        <f t="shared" si="1"/>
        <v>0</v>
      </c>
      <c r="I598" s="104" t="str">
        <f>IF(E598&lt;0,"ERROR",IF(E598=0,"",IF(E598&lt;CONFIG!$B$4,"CRÍTICO",IF(E598&lt;CONFIG!$B$5,"BAJO","OK"))))</f>
        <v/>
      </c>
    </row>
    <row r="599" ht="15.75" customHeight="1">
      <c r="A599" s="90" t="str">
        <f>IF(CLIENTES!A8="","",CLIENTES!A8)</f>
        <v/>
      </c>
      <c r="B599" s="67" t="str">
        <f>TELAS!A5</f>
        <v>pique 30/1</v>
      </c>
      <c r="C599" s="67" t="str">
        <f>COLORES!A19</f>
        <v/>
      </c>
      <c r="D599" s="67" t="str">
        <f>COLORES!B19</f>
        <v/>
      </c>
      <c r="E599" s="100">
        <f>IFERROR(SUMIFS(MOVIMIENTOS!$F$4:$F$1000,MOVIMIENTOS!$C$4:$C$1000,A599,MOVIMIENTOS!$D$4:$D$1000,B599,MOVIMIENTOS!$E$4:$E$1000,C599,MOVIMIENTOS!$B$4:$B$1000,"INGRESO")+SUMIFS(MOVIMIENTOS!$F$4:$F$1000,MOVIMIENTOS!$C$4:$C$1000,A599,MOVIMIENTOS!$D$4:$D$1000,B599,MOVIMIENTOS!$E$4:$E$1000,C599,MOVIMIENTOS!$B$4:$B$1000,"DE REPROCESO")+SUMIFS(MOVIMIENTOS!$F$4:$F$1000,MOVIMIENTOS!$C$4:$C$1000,A599,MOVIMIENTOS!$D$4:$D$1000,B599,MOVIMIENTOS!$E$4:$E$1000,C599,MOVIMIENTOS!$B$4:$B$1000,"AJUSTE+")-SUMIFS(MOVIMIENTOS!$F$4:$F$1000,MOVIMIENTOS!$C$4:$C$1000,A599,MOVIMIENTOS!$D$4:$D$1000,B599,MOVIMIENTOS!$E$4:$E$1000,C599,MOVIMIENTOS!$B$4:$B$1000,"A CORTE")-SUMIFS(MOVIMIENTOS!$F$4:$F$1000,MOVIMIENTOS!$C$4:$C$1000,A599,MOVIMIENTOS!$D$4:$D$1000,B599,MOVIMIENTOS!$E$4:$E$1000,C599,MOVIMIENTOS!$B$4:$B$1000,"A REPROCESO")-SUMIFS(MOVIMIENTOS!$F$4:$F$1000,MOVIMIENTOS!$C$4:$C$1000,A599,MOVIMIENTOS!$D$4:$D$1000,B599,MOVIMIENTOS!$E$4:$E$1000,C599,MOVIMIENTOS!$B$4:$B$1000,"MUESTRA")-SUMIFS(MOVIMIENTOS!$F$4:$F$1000,MOVIMIENTOS!$C$4:$C$1000,A599,MOVIMIENTOS!$D$4:$D$1000,B599,MOVIMIENTOS!$E$4:$E$1000,C599,MOVIMIENTOS!$B$4:$B$1000,"AJUSTE-"),0)</f>
        <v>0</v>
      </c>
      <c r="F599" s="101">
        <f>IFERROR(E599*VLOOKUP(B599,TELAS!$A$4:$C$32,3,FALSE()),0)</f>
        <v>0</v>
      </c>
      <c r="G599" s="102">
        <f>IFERROR(IF(D599="OSCURO",VLOOKUP(B599,PRECIOS!$A$4:$F$32,2,FALSE()),IF(D599="CLARO",VLOOKUP(B599,PRECIOS!$A$4:$F$32,3,FALSE()),IF(D599="MELANGE",VLOOKUP(B599,PRECIOS!$A$4:$F$32,4,FALSE()),IF(D599="PPT",VLOOKUP(B599,PRECIOS!$A$4:$F$32,5,FALSE()),0)))),0)</f>
        <v>0</v>
      </c>
      <c r="H599" s="103">
        <f t="shared" si="1"/>
        <v>0</v>
      </c>
      <c r="I599" s="104" t="str">
        <f>IF(E599&lt;0,"ERROR",IF(E599=0,"",IF(E599&lt;CONFIG!$B$4,"CRÍTICO",IF(E599&lt;CONFIG!$B$5,"BAJO","OK"))))</f>
        <v/>
      </c>
    </row>
    <row r="600" ht="15.75" customHeight="1">
      <c r="A600" s="90" t="str">
        <f>IF(CLIENTES!A8="","",CLIENTES!A8)</f>
        <v/>
      </c>
      <c r="B600" s="67" t="str">
        <f>TELAS!A5</f>
        <v>pique 30/1</v>
      </c>
      <c r="C600" s="67" t="str">
        <f>COLORES!A20</f>
        <v/>
      </c>
      <c r="D600" s="67" t="str">
        <f>COLORES!B20</f>
        <v/>
      </c>
      <c r="E600" s="100">
        <f>IFERROR(SUMIFS(MOVIMIENTOS!$F$4:$F$1000,MOVIMIENTOS!$C$4:$C$1000,A600,MOVIMIENTOS!$D$4:$D$1000,B600,MOVIMIENTOS!$E$4:$E$1000,C600,MOVIMIENTOS!$B$4:$B$1000,"INGRESO")+SUMIFS(MOVIMIENTOS!$F$4:$F$1000,MOVIMIENTOS!$C$4:$C$1000,A600,MOVIMIENTOS!$D$4:$D$1000,B600,MOVIMIENTOS!$E$4:$E$1000,C600,MOVIMIENTOS!$B$4:$B$1000,"DE REPROCESO")+SUMIFS(MOVIMIENTOS!$F$4:$F$1000,MOVIMIENTOS!$C$4:$C$1000,A600,MOVIMIENTOS!$D$4:$D$1000,B600,MOVIMIENTOS!$E$4:$E$1000,C600,MOVIMIENTOS!$B$4:$B$1000,"AJUSTE+")-SUMIFS(MOVIMIENTOS!$F$4:$F$1000,MOVIMIENTOS!$C$4:$C$1000,A600,MOVIMIENTOS!$D$4:$D$1000,B600,MOVIMIENTOS!$E$4:$E$1000,C600,MOVIMIENTOS!$B$4:$B$1000,"A CORTE")-SUMIFS(MOVIMIENTOS!$F$4:$F$1000,MOVIMIENTOS!$C$4:$C$1000,A600,MOVIMIENTOS!$D$4:$D$1000,B600,MOVIMIENTOS!$E$4:$E$1000,C600,MOVIMIENTOS!$B$4:$B$1000,"A REPROCESO")-SUMIFS(MOVIMIENTOS!$F$4:$F$1000,MOVIMIENTOS!$C$4:$C$1000,A600,MOVIMIENTOS!$D$4:$D$1000,B600,MOVIMIENTOS!$E$4:$E$1000,C600,MOVIMIENTOS!$B$4:$B$1000,"MUESTRA")-SUMIFS(MOVIMIENTOS!$F$4:$F$1000,MOVIMIENTOS!$C$4:$C$1000,A600,MOVIMIENTOS!$D$4:$D$1000,B600,MOVIMIENTOS!$E$4:$E$1000,C600,MOVIMIENTOS!$B$4:$B$1000,"AJUSTE-"),0)</f>
        <v>0</v>
      </c>
      <c r="F600" s="101">
        <f>IFERROR(E600*VLOOKUP(B600,TELAS!$A$4:$C$32,3,FALSE()),0)</f>
        <v>0</v>
      </c>
      <c r="G600" s="102">
        <f>IFERROR(IF(D600="OSCURO",VLOOKUP(B600,PRECIOS!$A$4:$F$32,2,FALSE()),IF(D600="CLARO",VLOOKUP(B600,PRECIOS!$A$4:$F$32,3,FALSE()),IF(D600="MELANGE",VLOOKUP(B600,PRECIOS!$A$4:$F$32,4,FALSE()),IF(D600="PPT",VLOOKUP(B600,PRECIOS!$A$4:$F$32,5,FALSE()),0)))),0)</f>
        <v>0</v>
      </c>
      <c r="H600" s="103">
        <f t="shared" si="1"/>
        <v>0</v>
      </c>
      <c r="I600" s="104" t="str">
        <f>IF(E600&lt;0,"ERROR",IF(E600=0,"",IF(E600&lt;CONFIG!$B$4,"CRÍTICO",IF(E600&lt;CONFIG!$B$5,"BAJO","OK"))))</f>
        <v/>
      </c>
    </row>
    <row r="601" ht="15.75" customHeight="1">
      <c r="A601" s="90" t="str">
        <f>IF(CLIENTES!A8="","",CLIENTES!A8)</f>
        <v/>
      </c>
      <c r="B601" s="67" t="str">
        <f>TELAS!A5</f>
        <v>pique 30/1</v>
      </c>
      <c r="C601" s="67" t="str">
        <f>COLORES!A21</f>
        <v/>
      </c>
      <c r="D601" s="67" t="str">
        <f>COLORES!B21</f>
        <v/>
      </c>
      <c r="E601" s="100">
        <f>IFERROR(SUMIFS(MOVIMIENTOS!$F$4:$F$1000,MOVIMIENTOS!$C$4:$C$1000,A601,MOVIMIENTOS!$D$4:$D$1000,B601,MOVIMIENTOS!$E$4:$E$1000,C601,MOVIMIENTOS!$B$4:$B$1000,"INGRESO")+SUMIFS(MOVIMIENTOS!$F$4:$F$1000,MOVIMIENTOS!$C$4:$C$1000,A601,MOVIMIENTOS!$D$4:$D$1000,B601,MOVIMIENTOS!$E$4:$E$1000,C601,MOVIMIENTOS!$B$4:$B$1000,"DE REPROCESO")+SUMIFS(MOVIMIENTOS!$F$4:$F$1000,MOVIMIENTOS!$C$4:$C$1000,A601,MOVIMIENTOS!$D$4:$D$1000,B601,MOVIMIENTOS!$E$4:$E$1000,C601,MOVIMIENTOS!$B$4:$B$1000,"AJUSTE+")-SUMIFS(MOVIMIENTOS!$F$4:$F$1000,MOVIMIENTOS!$C$4:$C$1000,A601,MOVIMIENTOS!$D$4:$D$1000,B601,MOVIMIENTOS!$E$4:$E$1000,C601,MOVIMIENTOS!$B$4:$B$1000,"A CORTE")-SUMIFS(MOVIMIENTOS!$F$4:$F$1000,MOVIMIENTOS!$C$4:$C$1000,A601,MOVIMIENTOS!$D$4:$D$1000,B601,MOVIMIENTOS!$E$4:$E$1000,C601,MOVIMIENTOS!$B$4:$B$1000,"A REPROCESO")-SUMIFS(MOVIMIENTOS!$F$4:$F$1000,MOVIMIENTOS!$C$4:$C$1000,A601,MOVIMIENTOS!$D$4:$D$1000,B601,MOVIMIENTOS!$E$4:$E$1000,C601,MOVIMIENTOS!$B$4:$B$1000,"MUESTRA")-SUMIFS(MOVIMIENTOS!$F$4:$F$1000,MOVIMIENTOS!$C$4:$C$1000,A601,MOVIMIENTOS!$D$4:$D$1000,B601,MOVIMIENTOS!$E$4:$E$1000,C601,MOVIMIENTOS!$B$4:$B$1000,"AJUSTE-"),0)</f>
        <v>0</v>
      </c>
      <c r="F601" s="101">
        <f>IFERROR(E601*VLOOKUP(B601,TELAS!$A$4:$C$32,3,FALSE()),0)</f>
        <v>0</v>
      </c>
      <c r="G601" s="102">
        <f>IFERROR(IF(D601="OSCURO",VLOOKUP(B601,PRECIOS!$A$4:$F$32,2,FALSE()),IF(D601="CLARO",VLOOKUP(B601,PRECIOS!$A$4:$F$32,3,FALSE()),IF(D601="MELANGE",VLOOKUP(B601,PRECIOS!$A$4:$F$32,4,FALSE()),IF(D601="PPT",VLOOKUP(B601,PRECIOS!$A$4:$F$32,5,FALSE()),0)))),0)</f>
        <v>0</v>
      </c>
      <c r="H601" s="103">
        <f t="shared" si="1"/>
        <v>0</v>
      </c>
      <c r="I601" s="104" t="str">
        <f>IF(E601&lt;0,"ERROR",IF(E601=0,"",IF(E601&lt;CONFIG!$B$4,"CRÍTICO",IF(E601&lt;CONFIG!$B$5,"BAJO","OK"))))</f>
        <v/>
      </c>
    </row>
    <row r="602" ht="15.75" customHeight="1">
      <c r="A602" s="90" t="str">
        <f>IF(CLIENTES!A8="","",CLIENTES!A8)</f>
        <v/>
      </c>
      <c r="B602" s="67" t="str">
        <f>TELAS!A5</f>
        <v>pique 30/1</v>
      </c>
      <c r="C602" s="67" t="str">
        <f>COLORES!A22</f>
        <v/>
      </c>
      <c r="D602" s="67" t="str">
        <f>COLORES!B22</f>
        <v/>
      </c>
      <c r="E602" s="100">
        <f>IFERROR(SUMIFS(MOVIMIENTOS!$F$4:$F$1000,MOVIMIENTOS!$C$4:$C$1000,A602,MOVIMIENTOS!$D$4:$D$1000,B602,MOVIMIENTOS!$E$4:$E$1000,C602,MOVIMIENTOS!$B$4:$B$1000,"INGRESO")+SUMIFS(MOVIMIENTOS!$F$4:$F$1000,MOVIMIENTOS!$C$4:$C$1000,A602,MOVIMIENTOS!$D$4:$D$1000,B602,MOVIMIENTOS!$E$4:$E$1000,C602,MOVIMIENTOS!$B$4:$B$1000,"DE REPROCESO")+SUMIFS(MOVIMIENTOS!$F$4:$F$1000,MOVIMIENTOS!$C$4:$C$1000,A602,MOVIMIENTOS!$D$4:$D$1000,B602,MOVIMIENTOS!$E$4:$E$1000,C602,MOVIMIENTOS!$B$4:$B$1000,"AJUSTE+")-SUMIFS(MOVIMIENTOS!$F$4:$F$1000,MOVIMIENTOS!$C$4:$C$1000,A602,MOVIMIENTOS!$D$4:$D$1000,B602,MOVIMIENTOS!$E$4:$E$1000,C602,MOVIMIENTOS!$B$4:$B$1000,"A CORTE")-SUMIFS(MOVIMIENTOS!$F$4:$F$1000,MOVIMIENTOS!$C$4:$C$1000,A602,MOVIMIENTOS!$D$4:$D$1000,B602,MOVIMIENTOS!$E$4:$E$1000,C602,MOVIMIENTOS!$B$4:$B$1000,"A REPROCESO")-SUMIFS(MOVIMIENTOS!$F$4:$F$1000,MOVIMIENTOS!$C$4:$C$1000,A602,MOVIMIENTOS!$D$4:$D$1000,B602,MOVIMIENTOS!$E$4:$E$1000,C602,MOVIMIENTOS!$B$4:$B$1000,"MUESTRA")-SUMIFS(MOVIMIENTOS!$F$4:$F$1000,MOVIMIENTOS!$C$4:$C$1000,A602,MOVIMIENTOS!$D$4:$D$1000,B602,MOVIMIENTOS!$E$4:$E$1000,C602,MOVIMIENTOS!$B$4:$B$1000,"AJUSTE-"),0)</f>
        <v>0</v>
      </c>
      <c r="F602" s="101">
        <f>IFERROR(E602*VLOOKUP(B602,TELAS!$A$4:$C$32,3,FALSE()),0)</f>
        <v>0</v>
      </c>
      <c r="G602" s="102">
        <f>IFERROR(IF(D602="OSCURO",VLOOKUP(B602,PRECIOS!$A$4:$F$32,2,FALSE()),IF(D602="CLARO",VLOOKUP(B602,PRECIOS!$A$4:$F$32,3,FALSE()),IF(D602="MELANGE",VLOOKUP(B602,PRECIOS!$A$4:$F$32,4,FALSE()),IF(D602="PPT",VLOOKUP(B602,PRECIOS!$A$4:$F$32,5,FALSE()),0)))),0)</f>
        <v>0</v>
      </c>
      <c r="H602" s="103">
        <f t="shared" si="1"/>
        <v>0</v>
      </c>
      <c r="I602" s="104" t="str">
        <f>IF(E602&lt;0,"ERROR",IF(E602=0,"",IF(E602&lt;CONFIG!$B$4,"CRÍTICO",IF(E602&lt;CONFIG!$B$5,"BAJO","OK"))))</f>
        <v/>
      </c>
    </row>
    <row r="603" ht="15.75" customHeight="1">
      <c r="A603" s="90" t="str">
        <f>IF(CLIENTES!A8="","",CLIENTES!A8)</f>
        <v/>
      </c>
      <c r="B603" s="67" t="str">
        <f>TELAS!A5</f>
        <v>pique 30/1</v>
      </c>
      <c r="C603" s="67" t="str">
        <f>COLORES!A23</f>
        <v/>
      </c>
      <c r="D603" s="67" t="str">
        <f>COLORES!B23</f>
        <v/>
      </c>
      <c r="E603" s="100">
        <f>IFERROR(SUMIFS(MOVIMIENTOS!$F$4:$F$1000,MOVIMIENTOS!$C$4:$C$1000,A603,MOVIMIENTOS!$D$4:$D$1000,B603,MOVIMIENTOS!$E$4:$E$1000,C603,MOVIMIENTOS!$B$4:$B$1000,"INGRESO")+SUMIFS(MOVIMIENTOS!$F$4:$F$1000,MOVIMIENTOS!$C$4:$C$1000,A603,MOVIMIENTOS!$D$4:$D$1000,B603,MOVIMIENTOS!$E$4:$E$1000,C603,MOVIMIENTOS!$B$4:$B$1000,"DE REPROCESO")+SUMIFS(MOVIMIENTOS!$F$4:$F$1000,MOVIMIENTOS!$C$4:$C$1000,A603,MOVIMIENTOS!$D$4:$D$1000,B603,MOVIMIENTOS!$E$4:$E$1000,C603,MOVIMIENTOS!$B$4:$B$1000,"AJUSTE+")-SUMIFS(MOVIMIENTOS!$F$4:$F$1000,MOVIMIENTOS!$C$4:$C$1000,A603,MOVIMIENTOS!$D$4:$D$1000,B603,MOVIMIENTOS!$E$4:$E$1000,C603,MOVIMIENTOS!$B$4:$B$1000,"A CORTE")-SUMIFS(MOVIMIENTOS!$F$4:$F$1000,MOVIMIENTOS!$C$4:$C$1000,A603,MOVIMIENTOS!$D$4:$D$1000,B603,MOVIMIENTOS!$E$4:$E$1000,C603,MOVIMIENTOS!$B$4:$B$1000,"A REPROCESO")-SUMIFS(MOVIMIENTOS!$F$4:$F$1000,MOVIMIENTOS!$C$4:$C$1000,A603,MOVIMIENTOS!$D$4:$D$1000,B603,MOVIMIENTOS!$E$4:$E$1000,C603,MOVIMIENTOS!$B$4:$B$1000,"MUESTRA")-SUMIFS(MOVIMIENTOS!$F$4:$F$1000,MOVIMIENTOS!$C$4:$C$1000,A603,MOVIMIENTOS!$D$4:$D$1000,B603,MOVIMIENTOS!$E$4:$E$1000,C603,MOVIMIENTOS!$B$4:$B$1000,"AJUSTE-"),0)</f>
        <v>0</v>
      </c>
      <c r="F603" s="101">
        <f>IFERROR(E603*VLOOKUP(B603,TELAS!$A$4:$C$32,3,FALSE()),0)</f>
        <v>0</v>
      </c>
      <c r="G603" s="102">
        <f>IFERROR(IF(D603="OSCURO",VLOOKUP(B603,PRECIOS!$A$4:$F$32,2,FALSE()),IF(D603="CLARO",VLOOKUP(B603,PRECIOS!$A$4:$F$32,3,FALSE()),IF(D603="MELANGE",VLOOKUP(B603,PRECIOS!$A$4:$F$32,4,FALSE()),IF(D603="PPT",VLOOKUP(B603,PRECIOS!$A$4:$F$32,5,FALSE()),0)))),0)</f>
        <v>0</v>
      </c>
      <c r="H603" s="103">
        <f t="shared" si="1"/>
        <v>0</v>
      </c>
      <c r="I603" s="104" t="str">
        <f>IF(E603&lt;0,"ERROR",IF(E603=0,"",IF(E603&lt;CONFIG!$B$4,"CRÍTICO",IF(E603&lt;CONFIG!$B$5,"BAJO","OK"))))</f>
        <v/>
      </c>
    </row>
    <row r="604" ht="15.75" customHeight="1">
      <c r="A604" s="90" t="str">
        <f>IF(CLIENTES!A8="","",CLIENTES!A8)</f>
        <v/>
      </c>
      <c r="B604" s="67" t="str">
        <f>TELAS!A6</f>
        <v>wafle 30/1</v>
      </c>
      <c r="C604" s="67" t="str">
        <f>COLORES!A4</f>
        <v>Negro</v>
      </c>
      <c r="D604" s="67" t="str">
        <f>COLORES!B4</f>
        <v>OSCURO</v>
      </c>
      <c r="E604" s="100">
        <f>IFERROR(SUMIFS(MOVIMIENTOS!$F$4:$F$1000,MOVIMIENTOS!$C$4:$C$1000,A604,MOVIMIENTOS!$D$4:$D$1000,B604,MOVIMIENTOS!$E$4:$E$1000,C604,MOVIMIENTOS!$B$4:$B$1000,"INGRESO")+SUMIFS(MOVIMIENTOS!$F$4:$F$1000,MOVIMIENTOS!$C$4:$C$1000,A604,MOVIMIENTOS!$D$4:$D$1000,B604,MOVIMIENTOS!$E$4:$E$1000,C604,MOVIMIENTOS!$B$4:$B$1000,"DE REPROCESO")+SUMIFS(MOVIMIENTOS!$F$4:$F$1000,MOVIMIENTOS!$C$4:$C$1000,A604,MOVIMIENTOS!$D$4:$D$1000,B604,MOVIMIENTOS!$E$4:$E$1000,C604,MOVIMIENTOS!$B$4:$B$1000,"AJUSTE+")-SUMIFS(MOVIMIENTOS!$F$4:$F$1000,MOVIMIENTOS!$C$4:$C$1000,A604,MOVIMIENTOS!$D$4:$D$1000,B604,MOVIMIENTOS!$E$4:$E$1000,C604,MOVIMIENTOS!$B$4:$B$1000,"A CORTE")-SUMIFS(MOVIMIENTOS!$F$4:$F$1000,MOVIMIENTOS!$C$4:$C$1000,A604,MOVIMIENTOS!$D$4:$D$1000,B604,MOVIMIENTOS!$E$4:$E$1000,C604,MOVIMIENTOS!$B$4:$B$1000,"A REPROCESO")-SUMIFS(MOVIMIENTOS!$F$4:$F$1000,MOVIMIENTOS!$C$4:$C$1000,A604,MOVIMIENTOS!$D$4:$D$1000,B604,MOVIMIENTOS!$E$4:$E$1000,C604,MOVIMIENTOS!$B$4:$B$1000,"MUESTRA")-SUMIFS(MOVIMIENTOS!$F$4:$F$1000,MOVIMIENTOS!$C$4:$C$1000,A604,MOVIMIENTOS!$D$4:$D$1000,B604,MOVIMIENTOS!$E$4:$E$1000,C604,MOVIMIENTOS!$B$4:$B$1000,"AJUSTE-"),0)</f>
        <v>0</v>
      </c>
      <c r="F604" s="101">
        <f>IFERROR(E604*VLOOKUP(B604,TELAS!$A$4:$C$32,3,FALSE()),0)</f>
        <v>0</v>
      </c>
      <c r="G604" s="102">
        <f>IFERROR(IF(D604="OSCURO",VLOOKUP(B604,PRECIOS!$A$4:$F$32,2,FALSE()),IF(D604="CLARO",VLOOKUP(B604,PRECIOS!$A$4:$F$32,3,FALSE()),IF(D604="MELANGE",VLOOKUP(B604,PRECIOS!$A$4:$F$32,4,FALSE()),IF(D604="PPT",VLOOKUP(B604,PRECIOS!$A$4:$F$32,5,FALSE()),0)))),0)</f>
        <v>26</v>
      </c>
      <c r="H604" s="103">
        <f t="shared" si="1"/>
        <v>0</v>
      </c>
      <c r="I604" s="104" t="str">
        <f>IF(E604&lt;0,"ERROR",IF(E604=0,"",IF(E604&lt;CONFIG!$B$4,"CRÍTICO",IF(E604&lt;CONFIG!$B$5,"BAJO","OK"))))</f>
        <v/>
      </c>
    </row>
    <row r="605" ht="15.75" customHeight="1">
      <c r="A605" s="90" t="str">
        <f>IF(CLIENTES!A8="","",CLIENTES!A8)</f>
        <v/>
      </c>
      <c r="B605" s="67" t="str">
        <f>TELAS!A6</f>
        <v>wafle 30/1</v>
      </c>
      <c r="C605" s="67" t="str">
        <f>COLORES!A5</f>
        <v>Perla</v>
      </c>
      <c r="D605" s="67" t="str">
        <f>COLORES!B5</f>
        <v>PPT</v>
      </c>
      <c r="E605" s="100">
        <f>IFERROR(SUMIFS(MOVIMIENTOS!$F$4:$F$1000,MOVIMIENTOS!$C$4:$C$1000,A605,MOVIMIENTOS!$D$4:$D$1000,B605,MOVIMIENTOS!$E$4:$E$1000,C605,MOVIMIENTOS!$B$4:$B$1000,"INGRESO")+SUMIFS(MOVIMIENTOS!$F$4:$F$1000,MOVIMIENTOS!$C$4:$C$1000,A605,MOVIMIENTOS!$D$4:$D$1000,B605,MOVIMIENTOS!$E$4:$E$1000,C605,MOVIMIENTOS!$B$4:$B$1000,"DE REPROCESO")+SUMIFS(MOVIMIENTOS!$F$4:$F$1000,MOVIMIENTOS!$C$4:$C$1000,A605,MOVIMIENTOS!$D$4:$D$1000,B605,MOVIMIENTOS!$E$4:$E$1000,C605,MOVIMIENTOS!$B$4:$B$1000,"AJUSTE+")-SUMIFS(MOVIMIENTOS!$F$4:$F$1000,MOVIMIENTOS!$C$4:$C$1000,A605,MOVIMIENTOS!$D$4:$D$1000,B605,MOVIMIENTOS!$E$4:$E$1000,C605,MOVIMIENTOS!$B$4:$B$1000,"A CORTE")-SUMIFS(MOVIMIENTOS!$F$4:$F$1000,MOVIMIENTOS!$C$4:$C$1000,A605,MOVIMIENTOS!$D$4:$D$1000,B605,MOVIMIENTOS!$E$4:$E$1000,C605,MOVIMIENTOS!$B$4:$B$1000,"A REPROCESO")-SUMIFS(MOVIMIENTOS!$F$4:$F$1000,MOVIMIENTOS!$C$4:$C$1000,A605,MOVIMIENTOS!$D$4:$D$1000,B605,MOVIMIENTOS!$E$4:$E$1000,C605,MOVIMIENTOS!$B$4:$B$1000,"MUESTRA")-SUMIFS(MOVIMIENTOS!$F$4:$F$1000,MOVIMIENTOS!$C$4:$C$1000,A605,MOVIMIENTOS!$D$4:$D$1000,B605,MOVIMIENTOS!$E$4:$E$1000,C605,MOVIMIENTOS!$B$4:$B$1000,"AJUSTE-"),0)</f>
        <v>0</v>
      </c>
      <c r="F605" s="101">
        <f>IFERROR(E605*VLOOKUP(B605,TELAS!$A$4:$C$32,3,FALSE()),0)</f>
        <v>0</v>
      </c>
      <c r="G605" s="102">
        <f>IFERROR(IF(D605="OSCURO",VLOOKUP(B605,PRECIOS!$A$4:$F$32,2,FALSE()),IF(D605="CLARO",VLOOKUP(B605,PRECIOS!$A$4:$F$32,3,FALSE()),IF(D605="MELANGE",VLOOKUP(B605,PRECIOS!$A$4:$F$32,4,FALSE()),IF(D605="PPT",VLOOKUP(B605,PRECIOS!$A$4:$F$32,5,FALSE()),0)))),0)</f>
        <v>19</v>
      </c>
      <c r="H605" s="103">
        <f t="shared" si="1"/>
        <v>0</v>
      </c>
      <c r="I605" s="104" t="str">
        <f>IF(E605&lt;0,"ERROR",IF(E605=0,"",IF(E605&lt;CONFIG!$B$4,"CRÍTICO",IF(E605&lt;CONFIG!$B$5,"BAJO","OK"))))</f>
        <v/>
      </c>
    </row>
    <row r="606" ht="15.75" customHeight="1">
      <c r="A606" s="90" t="str">
        <f>IF(CLIENTES!A8="","",CLIENTES!A8)</f>
        <v/>
      </c>
      <c r="B606" s="67" t="str">
        <f>TELAS!A6</f>
        <v>wafle 30/1</v>
      </c>
      <c r="C606" s="67" t="str">
        <f>COLORES!A6</f>
        <v>Blanco</v>
      </c>
      <c r="D606" s="67" t="str">
        <f>COLORES!B6</f>
        <v>PPT</v>
      </c>
      <c r="E606" s="100">
        <f>IFERROR(SUMIFS(MOVIMIENTOS!$F$4:$F$1000,MOVIMIENTOS!$C$4:$C$1000,A606,MOVIMIENTOS!$D$4:$D$1000,B606,MOVIMIENTOS!$E$4:$E$1000,C606,MOVIMIENTOS!$B$4:$B$1000,"INGRESO")+SUMIFS(MOVIMIENTOS!$F$4:$F$1000,MOVIMIENTOS!$C$4:$C$1000,A606,MOVIMIENTOS!$D$4:$D$1000,B606,MOVIMIENTOS!$E$4:$E$1000,C606,MOVIMIENTOS!$B$4:$B$1000,"DE REPROCESO")+SUMIFS(MOVIMIENTOS!$F$4:$F$1000,MOVIMIENTOS!$C$4:$C$1000,A606,MOVIMIENTOS!$D$4:$D$1000,B606,MOVIMIENTOS!$E$4:$E$1000,C606,MOVIMIENTOS!$B$4:$B$1000,"AJUSTE+")-SUMIFS(MOVIMIENTOS!$F$4:$F$1000,MOVIMIENTOS!$C$4:$C$1000,A606,MOVIMIENTOS!$D$4:$D$1000,B606,MOVIMIENTOS!$E$4:$E$1000,C606,MOVIMIENTOS!$B$4:$B$1000,"A CORTE")-SUMIFS(MOVIMIENTOS!$F$4:$F$1000,MOVIMIENTOS!$C$4:$C$1000,A606,MOVIMIENTOS!$D$4:$D$1000,B606,MOVIMIENTOS!$E$4:$E$1000,C606,MOVIMIENTOS!$B$4:$B$1000,"A REPROCESO")-SUMIFS(MOVIMIENTOS!$F$4:$F$1000,MOVIMIENTOS!$C$4:$C$1000,A606,MOVIMIENTOS!$D$4:$D$1000,B606,MOVIMIENTOS!$E$4:$E$1000,C606,MOVIMIENTOS!$B$4:$B$1000,"MUESTRA")-SUMIFS(MOVIMIENTOS!$F$4:$F$1000,MOVIMIENTOS!$C$4:$C$1000,A606,MOVIMIENTOS!$D$4:$D$1000,B606,MOVIMIENTOS!$E$4:$E$1000,C606,MOVIMIENTOS!$B$4:$B$1000,"AJUSTE-"),0)</f>
        <v>0</v>
      </c>
      <c r="F606" s="101">
        <f>IFERROR(E606*VLOOKUP(B606,TELAS!$A$4:$C$32,3,FALSE()),0)</f>
        <v>0</v>
      </c>
      <c r="G606" s="102">
        <f>IFERROR(IF(D606="OSCURO",VLOOKUP(B606,PRECIOS!$A$4:$F$32,2,FALSE()),IF(D606="CLARO",VLOOKUP(B606,PRECIOS!$A$4:$F$32,3,FALSE()),IF(D606="MELANGE",VLOOKUP(B606,PRECIOS!$A$4:$F$32,4,FALSE()),IF(D606="PPT",VLOOKUP(B606,PRECIOS!$A$4:$F$32,5,FALSE()),0)))),0)</f>
        <v>19</v>
      </c>
      <c r="H606" s="103">
        <f t="shared" si="1"/>
        <v>0</v>
      </c>
      <c r="I606" s="104" t="str">
        <f>IF(E606&lt;0,"ERROR",IF(E606=0,"",IF(E606&lt;CONFIG!$B$4,"CRÍTICO",IF(E606&lt;CONFIG!$B$5,"BAJO","OK"))))</f>
        <v/>
      </c>
    </row>
    <row r="607" ht="15.75" customHeight="1">
      <c r="A607" s="90" t="str">
        <f>IF(CLIENTES!A8="","",CLIENTES!A8)</f>
        <v/>
      </c>
      <c r="B607" s="67" t="str">
        <f>TELAS!A6</f>
        <v>wafle 30/1</v>
      </c>
      <c r="C607" s="67" t="str">
        <f>COLORES!A7</f>
        <v>Azul</v>
      </c>
      <c r="D607" s="67" t="str">
        <f>COLORES!B7</f>
        <v>OSCURO</v>
      </c>
      <c r="E607" s="100">
        <f>IFERROR(SUMIFS(MOVIMIENTOS!$F$4:$F$1000,MOVIMIENTOS!$C$4:$C$1000,A607,MOVIMIENTOS!$D$4:$D$1000,B607,MOVIMIENTOS!$E$4:$E$1000,C607,MOVIMIENTOS!$B$4:$B$1000,"INGRESO")+SUMIFS(MOVIMIENTOS!$F$4:$F$1000,MOVIMIENTOS!$C$4:$C$1000,A607,MOVIMIENTOS!$D$4:$D$1000,B607,MOVIMIENTOS!$E$4:$E$1000,C607,MOVIMIENTOS!$B$4:$B$1000,"DE REPROCESO")+SUMIFS(MOVIMIENTOS!$F$4:$F$1000,MOVIMIENTOS!$C$4:$C$1000,A607,MOVIMIENTOS!$D$4:$D$1000,B607,MOVIMIENTOS!$E$4:$E$1000,C607,MOVIMIENTOS!$B$4:$B$1000,"AJUSTE+")-SUMIFS(MOVIMIENTOS!$F$4:$F$1000,MOVIMIENTOS!$C$4:$C$1000,A607,MOVIMIENTOS!$D$4:$D$1000,B607,MOVIMIENTOS!$E$4:$E$1000,C607,MOVIMIENTOS!$B$4:$B$1000,"A CORTE")-SUMIFS(MOVIMIENTOS!$F$4:$F$1000,MOVIMIENTOS!$C$4:$C$1000,A607,MOVIMIENTOS!$D$4:$D$1000,B607,MOVIMIENTOS!$E$4:$E$1000,C607,MOVIMIENTOS!$B$4:$B$1000,"A REPROCESO")-SUMIFS(MOVIMIENTOS!$F$4:$F$1000,MOVIMIENTOS!$C$4:$C$1000,A607,MOVIMIENTOS!$D$4:$D$1000,B607,MOVIMIENTOS!$E$4:$E$1000,C607,MOVIMIENTOS!$B$4:$B$1000,"MUESTRA")-SUMIFS(MOVIMIENTOS!$F$4:$F$1000,MOVIMIENTOS!$C$4:$C$1000,A607,MOVIMIENTOS!$D$4:$D$1000,B607,MOVIMIENTOS!$E$4:$E$1000,C607,MOVIMIENTOS!$B$4:$B$1000,"AJUSTE-"),0)</f>
        <v>0</v>
      </c>
      <c r="F607" s="101">
        <f>IFERROR(E607*VLOOKUP(B607,TELAS!$A$4:$C$32,3,FALSE()),0)</f>
        <v>0</v>
      </c>
      <c r="G607" s="102">
        <f>IFERROR(IF(D607="OSCURO",VLOOKUP(B607,PRECIOS!$A$4:$F$32,2,FALSE()),IF(D607="CLARO",VLOOKUP(B607,PRECIOS!$A$4:$F$32,3,FALSE()),IF(D607="MELANGE",VLOOKUP(B607,PRECIOS!$A$4:$F$32,4,FALSE()),IF(D607="PPT",VLOOKUP(B607,PRECIOS!$A$4:$F$32,5,FALSE()),0)))),0)</f>
        <v>26</v>
      </c>
      <c r="H607" s="103">
        <f t="shared" si="1"/>
        <v>0</v>
      </c>
      <c r="I607" s="104" t="str">
        <f>IF(E607&lt;0,"ERROR",IF(E607=0,"",IF(E607&lt;CONFIG!$B$4,"CRÍTICO",IF(E607&lt;CONFIG!$B$5,"BAJO","OK"))))</f>
        <v/>
      </c>
    </row>
    <row r="608" ht="15.75" customHeight="1">
      <c r="A608" s="90" t="str">
        <f>IF(CLIENTES!A8="","",CLIENTES!A8)</f>
        <v/>
      </c>
      <c r="B608" s="67" t="str">
        <f>TELAS!A6</f>
        <v>wafle 30/1</v>
      </c>
      <c r="C608" s="67" t="str">
        <f>COLORES!A8</f>
        <v>Beige</v>
      </c>
      <c r="D608" s="67" t="str">
        <f>COLORES!B8</f>
        <v>CLARO</v>
      </c>
      <c r="E608" s="100">
        <f>IFERROR(SUMIFS(MOVIMIENTOS!$F$4:$F$1000,MOVIMIENTOS!$C$4:$C$1000,A608,MOVIMIENTOS!$D$4:$D$1000,B608,MOVIMIENTOS!$E$4:$E$1000,C608,MOVIMIENTOS!$B$4:$B$1000,"INGRESO")+SUMIFS(MOVIMIENTOS!$F$4:$F$1000,MOVIMIENTOS!$C$4:$C$1000,A608,MOVIMIENTOS!$D$4:$D$1000,B608,MOVIMIENTOS!$E$4:$E$1000,C608,MOVIMIENTOS!$B$4:$B$1000,"DE REPROCESO")+SUMIFS(MOVIMIENTOS!$F$4:$F$1000,MOVIMIENTOS!$C$4:$C$1000,A608,MOVIMIENTOS!$D$4:$D$1000,B608,MOVIMIENTOS!$E$4:$E$1000,C608,MOVIMIENTOS!$B$4:$B$1000,"AJUSTE+")-SUMIFS(MOVIMIENTOS!$F$4:$F$1000,MOVIMIENTOS!$C$4:$C$1000,A608,MOVIMIENTOS!$D$4:$D$1000,B608,MOVIMIENTOS!$E$4:$E$1000,C608,MOVIMIENTOS!$B$4:$B$1000,"A CORTE")-SUMIFS(MOVIMIENTOS!$F$4:$F$1000,MOVIMIENTOS!$C$4:$C$1000,A608,MOVIMIENTOS!$D$4:$D$1000,B608,MOVIMIENTOS!$E$4:$E$1000,C608,MOVIMIENTOS!$B$4:$B$1000,"A REPROCESO")-SUMIFS(MOVIMIENTOS!$F$4:$F$1000,MOVIMIENTOS!$C$4:$C$1000,A608,MOVIMIENTOS!$D$4:$D$1000,B608,MOVIMIENTOS!$E$4:$E$1000,C608,MOVIMIENTOS!$B$4:$B$1000,"MUESTRA")-SUMIFS(MOVIMIENTOS!$F$4:$F$1000,MOVIMIENTOS!$C$4:$C$1000,A608,MOVIMIENTOS!$D$4:$D$1000,B608,MOVIMIENTOS!$E$4:$E$1000,C608,MOVIMIENTOS!$B$4:$B$1000,"AJUSTE-"),0)</f>
        <v>0</v>
      </c>
      <c r="F608" s="101">
        <f>IFERROR(E608*VLOOKUP(B608,TELAS!$A$4:$C$32,3,FALSE()),0)</f>
        <v>0</v>
      </c>
      <c r="G608" s="102">
        <f>IFERROR(IF(D608="OSCURO",VLOOKUP(B608,PRECIOS!$A$4:$F$32,2,FALSE()),IF(D608="CLARO",VLOOKUP(B608,PRECIOS!$A$4:$F$32,3,FALSE()),IF(D608="MELANGE",VLOOKUP(B608,PRECIOS!$A$4:$F$32,4,FALSE()),IF(D608="PPT",VLOOKUP(B608,PRECIOS!$A$4:$F$32,5,FALSE()),0)))),0)</f>
        <v>22.5</v>
      </c>
      <c r="H608" s="103">
        <f t="shared" si="1"/>
        <v>0</v>
      </c>
      <c r="I608" s="104" t="str">
        <f>IF(E608&lt;0,"ERROR",IF(E608=0,"",IF(E608&lt;CONFIG!$B$4,"CRÍTICO",IF(E608&lt;CONFIG!$B$5,"BAJO","OK"))))</f>
        <v/>
      </c>
    </row>
    <row r="609" ht="15.75" customHeight="1">
      <c r="A609" s="90" t="str">
        <f>IF(CLIENTES!A8="","",CLIENTES!A8)</f>
        <v/>
      </c>
      <c r="B609" s="67" t="str">
        <f>TELAS!A6</f>
        <v>wafle 30/1</v>
      </c>
      <c r="C609" s="67" t="str">
        <f>COLORES!A9</f>
        <v>Melange</v>
      </c>
      <c r="D609" s="67" t="str">
        <f>COLORES!B9</f>
        <v>MELANGE</v>
      </c>
      <c r="E609" s="100">
        <f>IFERROR(SUMIFS(MOVIMIENTOS!$F$4:$F$1000,MOVIMIENTOS!$C$4:$C$1000,A609,MOVIMIENTOS!$D$4:$D$1000,B609,MOVIMIENTOS!$E$4:$E$1000,C609,MOVIMIENTOS!$B$4:$B$1000,"INGRESO")+SUMIFS(MOVIMIENTOS!$F$4:$F$1000,MOVIMIENTOS!$C$4:$C$1000,A609,MOVIMIENTOS!$D$4:$D$1000,B609,MOVIMIENTOS!$E$4:$E$1000,C609,MOVIMIENTOS!$B$4:$B$1000,"DE REPROCESO")+SUMIFS(MOVIMIENTOS!$F$4:$F$1000,MOVIMIENTOS!$C$4:$C$1000,A609,MOVIMIENTOS!$D$4:$D$1000,B609,MOVIMIENTOS!$E$4:$E$1000,C609,MOVIMIENTOS!$B$4:$B$1000,"AJUSTE+")-SUMIFS(MOVIMIENTOS!$F$4:$F$1000,MOVIMIENTOS!$C$4:$C$1000,A609,MOVIMIENTOS!$D$4:$D$1000,B609,MOVIMIENTOS!$E$4:$E$1000,C609,MOVIMIENTOS!$B$4:$B$1000,"A CORTE")-SUMIFS(MOVIMIENTOS!$F$4:$F$1000,MOVIMIENTOS!$C$4:$C$1000,A609,MOVIMIENTOS!$D$4:$D$1000,B609,MOVIMIENTOS!$E$4:$E$1000,C609,MOVIMIENTOS!$B$4:$B$1000,"A REPROCESO")-SUMIFS(MOVIMIENTOS!$F$4:$F$1000,MOVIMIENTOS!$C$4:$C$1000,A609,MOVIMIENTOS!$D$4:$D$1000,B609,MOVIMIENTOS!$E$4:$E$1000,C609,MOVIMIENTOS!$B$4:$B$1000,"MUESTRA")-SUMIFS(MOVIMIENTOS!$F$4:$F$1000,MOVIMIENTOS!$C$4:$C$1000,A609,MOVIMIENTOS!$D$4:$D$1000,B609,MOVIMIENTOS!$E$4:$E$1000,C609,MOVIMIENTOS!$B$4:$B$1000,"AJUSTE-"),0)</f>
        <v>0</v>
      </c>
      <c r="F609" s="101">
        <f>IFERROR(E609*VLOOKUP(B609,TELAS!$A$4:$C$32,3,FALSE()),0)</f>
        <v>0</v>
      </c>
      <c r="G609" s="102">
        <f>IFERROR(IF(D609="OSCURO",VLOOKUP(B609,PRECIOS!$A$4:$F$32,2,FALSE()),IF(D609="CLARO",VLOOKUP(B609,PRECIOS!$A$4:$F$32,3,FALSE()),IF(D609="MELANGE",VLOOKUP(B609,PRECIOS!$A$4:$F$32,4,FALSE()),IF(D609="PPT",VLOOKUP(B609,PRECIOS!$A$4:$F$32,5,FALSE()),0)))),0)</f>
        <v>19</v>
      </c>
      <c r="H609" s="103">
        <f t="shared" si="1"/>
        <v>0</v>
      </c>
      <c r="I609" s="104" t="str">
        <f>IF(E609&lt;0,"ERROR",IF(E609=0,"",IF(E609&lt;CONFIG!$B$4,"CRÍTICO",IF(E609&lt;CONFIG!$B$5,"BAJO","OK"))))</f>
        <v/>
      </c>
    </row>
    <row r="610" ht="15.75" customHeight="1">
      <c r="A610" s="90" t="str">
        <f>IF(CLIENTES!A8="","",CLIENTES!A8)</f>
        <v/>
      </c>
      <c r="B610" s="67" t="str">
        <f>TELAS!A6</f>
        <v>wafle 30/1</v>
      </c>
      <c r="C610" s="67" t="str">
        <f>COLORES!A10</f>
        <v>Botella</v>
      </c>
      <c r="D610" s="67" t="str">
        <f>COLORES!B10</f>
        <v>OSCURO</v>
      </c>
      <c r="E610" s="100">
        <f>IFERROR(SUMIFS(MOVIMIENTOS!$F$4:$F$1000,MOVIMIENTOS!$C$4:$C$1000,A610,MOVIMIENTOS!$D$4:$D$1000,B610,MOVIMIENTOS!$E$4:$E$1000,C610,MOVIMIENTOS!$B$4:$B$1000,"INGRESO")+SUMIFS(MOVIMIENTOS!$F$4:$F$1000,MOVIMIENTOS!$C$4:$C$1000,A610,MOVIMIENTOS!$D$4:$D$1000,B610,MOVIMIENTOS!$E$4:$E$1000,C610,MOVIMIENTOS!$B$4:$B$1000,"DE REPROCESO")+SUMIFS(MOVIMIENTOS!$F$4:$F$1000,MOVIMIENTOS!$C$4:$C$1000,A610,MOVIMIENTOS!$D$4:$D$1000,B610,MOVIMIENTOS!$E$4:$E$1000,C610,MOVIMIENTOS!$B$4:$B$1000,"AJUSTE+")-SUMIFS(MOVIMIENTOS!$F$4:$F$1000,MOVIMIENTOS!$C$4:$C$1000,A610,MOVIMIENTOS!$D$4:$D$1000,B610,MOVIMIENTOS!$E$4:$E$1000,C610,MOVIMIENTOS!$B$4:$B$1000,"A CORTE")-SUMIFS(MOVIMIENTOS!$F$4:$F$1000,MOVIMIENTOS!$C$4:$C$1000,A610,MOVIMIENTOS!$D$4:$D$1000,B610,MOVIMIENTOS!$E$4:$E$1000,C610,MOVIMIENTOS!$B$4:$B$1000,"A REPROCESO")-SUMIFS(MOVIMIENTOS!$F$4:$F$1000,MOVIMIENTOS!$C$4:$C$1000,A610,MOVIMIENTOS!$D$4:$D$1000,B610,MOVIMIENTOS!$E$4:$E$1000,C610,MOVIMIENTOS!$B$4:$B$1000,"MUESTRA")-SUMIFS(MOVIMIENTOS!$F$4:$F$1000,MOVIMIENTOS!$C$4:$C$1000,A610,MOVIMIENTOS!$D$4:$D$1000,B610,MOVIMIENTOS!$E$4:$E$1000,C610,MOVIMIENTOS!$B$4:$B$1000,"AJUSTE-"),0)</f>
        <v>0</v>
      </c>
      <c r="F610" s="101">
        <f>IFERROR(E610*VLOOKUP(B610,TELAS!$A$4:$C$32,3,FALSE()),0)</f>
        <v>0</v>
      </c>
      <c r="G610" s="102">
        <f>IFERROR(IF(D610="OSCURO",VLOOKUP(B610,PRECIOS!$A$4:$F$32,2,FALSE()),IF(D610="CLARO",VLOOKUP(B610,PRECIOS!$A$4:$F$32,3,FALSE()),IF(D610="MELANGE",VLOOKUP(B610,PRECIOS!$A$4:$F$32,4,FALSE()),IF(D610="PPT",VLOOKUP(B610,PRECIOS!$A$4:$F$32,5,FALSE()),0)))),0)</f>
        <v>26</v>
      </c>
      <c r="H610" s="103">
        <f t="shared" si="1"/>
        <v>0</v>
      </c>
      <c r="I610" s="104" t="str">
        <f>IF(E610&lt;0,"ERROR",IF(E610=0,"",IF(E610&lt;CONFIG!$B$4,"CRÍTICO",IF(E610&lt;CONFIG!$B$5,"BAJO","OK"))))</f>
        <v/>
      </c>
    </row>
    <row r="611" ht="15.75" customHeight="1">
      <c r="A611" s="90" t="str">
        <f>IF(CLIENTES!A8="","",CLIENTES!A8)</f>
        <v/>
      </c>
      <c r="B611" s="67" t="str">
        <f>TELAS!A6</f>
        <v>wafle 30/1</v>
      </c>
      <c r="C611" s="67" t="str">
        <f>COLORES!A11</f>
        <v>Pacay</v>
      </c>
      <c r="D611" s="67" t="str">
        <f>COLORES!B11</f>
        <v>CLARO</v>
      </c>
      <c r="E611" s="100">
        <f>IFERROR(SUMIFS(MOVIMIENTOS!$F$4:$F$1000,MOVIMIENTOS!$C$4:$C$1000,A611,MOVIMIENTOS!$D$4:$D$1000,B611,MOVIMIENTOS!$E$4:$E$1000,C611,MOVIMIENTOS!$B$4:$B$1000,"INGRESO")+SUMIFS(MOVIMIENTOS!$F$4:$F$1000,MOVIMIENTOS!$C$4:$C$1000,A611,MOVIMIENTOS!$D$4:$D$1000,B611,MOVIMIENTOS!$E$4:$E$1000,C611,MOVIMIENTOS!$B$4:$B$1000,"DE REPROCESO")+SUMIFS(MOVIMIENTOS!$F$4:$F$1000,MOVIMIENTOS!$C$4:$C$1000,A611,MOVIMIENTOS!$D$4:$D$1000,B611,MOVIMIENTOS!$E$4:$E$1000,C611,MOVIMIENTOS!$B$4:$B$1000,"AJUSTE+")-SUMIFS(MOVIMIENTOS!$F$4:$F$1000,MOVIMIENTOS!$C$4:$C$1000,A611,MOVIMIENTOS!$D$4:$D$1000,B611,MOVIMIENTOS!$E$4:$E$1000,C611,MOVIMIENTOS!$B$4:$B$1000,"A CORTE")-SUMIFS(MOVIMIENTOS!$F$4:$F$1000,MOVIMIENTOS!$C$4:$C$1000,A611,MOVIMIENTOS!$D$4:$D$1000,B611,MOVIMIENTOS!$E$4:$E$1000,C611,MOVIMIENTOS!$B$4:$B$1000,"A REPROCESO")-SUMIFS(MOVIMIENTOS!$F$4:$F$1000,MOVIMIENTOS!$C$4:$C$1000,A611,MOVIMIENTOS!$D$4:$D$1000,B611,MOVIMIENTOS!$E$4:$E$1000,C611,MOVIMIENTOS!$B$4:$B$1000,"MUESTRA")-SUMIFS(MOVIMIENTOS!$F$4:$F$1000,MOVIMIENTOS!$C$4:$C$1000,A611,MOVIMIENTOS!$D$4:$D$1000,B611,MOVIMIENTOS!$E$4:$E$1000,C611,MOVIMIENTOS!$B$4:$B$1000,"AJUSTE-"),0)</f>
        <v>0</v>
      </c>
      <c r="F611" s="101">
        <f>IFERROR(E611*VLOOKUP(B611,TELAS!$A$4:$C$32,3,FALSE()),0)</f>
        <v>0</v>
      </c>
      <c r="G611" s="102">
        <f>IFERROR(IF(D611="OSCURO",VLOOKUP(B611,PRECIOS!$A$4:$F$32,2,FALSE()),IF(D611="CLARO",VLOOKUP(B611,PRECIOS!$A$4:$F$32,3,FALSE()),IF(D611="MELANGE",VLOOKUP(B611,PRECIOS!$A$4:$F$32,4,FALSE()),IF(D611="PPT",VLOOKUP(B611,PRECIOS!$A$4:$F$32,5,FALSE()),0)))),0)</f>
        <v>22.5</v>
      </c>
      <c r="H611" s="103">
        <f t="shared" si="1"/>
        <v>0</v>
      </c>
      <c r="I611" s="104" t="str">
        <f>IF(E611&lt;0,"ERROR",IF(E611=0,"",IF(E611&lt;CONFIG!$B$4,"CRÍTICO",IF(E611&lt;CONFIG!$B$5,"BAJO","OK"))))</f>
        <v/>
      </c>
    </row>
    <row r="612" ht="15.75" customHeight="1">
      <c r="A612" s="90" t="str">
        <f>IF(CLIENTES!A8="","",CLIENTES!A8)</f>
        <v/>
      </c>
      <c r="B612" s="67" t="str">
        <f>TELAS!A6</f>
        <v>wafle 30/1</v>
      </c>
      <c r="C612" s="67" t="str">
        <f>COLORES!A12</f>
        <v>Cemento</v>
      </c>
      <c r="D612" s="67" t="str">
        <f>COLORES!B12</f>
        <v>CLARO</v>
      </c>
      <c r="E612" s="100">
        <f>IFERROR(SUMIFS(MOVIMIENTOS!$F$4:$F$1000,MOVIMIENTOS!$C$4:$C$1000,A612,MOVIMIENTOS!$D$4:$D$1000,B612,MOVIMIENTOS!$E$4:$E$1000,C612,MOVIMIENTOS!$B$4:$B$1000,"INGRESO")+SUMIFS(MOVIMIENTOS!$F$4:$F$1000,MOVIMIENTOS!$C$4:$C$1000,A612,MOVIMIENTOS!$D$4:$D$1000,B612,MOVIMIENTOS!$E$4:$E$1000,C612,MOVIMIENTOS!$B$4:$B$1000,"DE REPROCESO")+SUMIFS(MOVIMIENTOS!$F$4:$F$1000,MOVIMIENTOS!$C$4:$C$1000,A612,MOVIMIENTOS!$D$4:$D$1000,B612,MOVIMIENTOS!$E$4:$E$1000,C612,MOVIMIENTOS!$B$4:$B$1000,"AJUSTE+")-SUMIFS(MOVIMIENTOS!$F$4:$F$1000,MOVIMIENTOS!$C$4:$C$1000,A612,MOVIMIENTOS!$D$4:$D$1000,B612,MOVIMIENTOS!$E$4:$E$1000,C612,MOVIMIENTOS!$B$4:$B$1000,"A CORTE")-SUMIFS(MOVIMIENTOS!$F$4:$F$1000,MOVIMIENTOS!$C$4:$C$1000,A612,MOVIMIENTOS!$D$4:$D$1000,B612,MOVIMIENTOS!$E$4:$E$1000,C612,MOVIMIENTOS!$B$4:$B$1000,"A REPROCESO")-SUMIFS(MOVIMIENTOS!$F$4:$F$1000,MOVIMIENTOS!$C$4:$C$1000,A612,MOVIMIENTOS!$D$4:$D$1000,B612,MOVIMIENTOS!$E$4:$E$1000,C612,MOVIMIENTOS!$B$4:$B$1000,"MUESTRA")-SUMIFS(MOVIMIENTOS!$F$4:$F$1000,MOVIMIENTOS!$C$4:$C$1000,A612,MOVIMIENTOS!$D$4:$D$1000,B612,MOVIMIENTOS!$E$4:$E$1000,C612,MOVIMIENTOS!$B$4:$B$1000,"AJUSTE-"),0)</f>
        <v>0</v>
      </c>
      <c r="F612" s="101">
        <f>IFERROR(E612*VLOOKUP(B612,TELAS!$A$4:$C$32,3,FALSE()),0)</f>
        <v>0</v>
      </c>
      <c r="G612" s="102">
        <f>IFERROR(IF(D612="OSCURO",VLOOKUP(B612,PRECIOS!$A$4:$F$32,2,FALSE()),IF(D612="CLARO",VLOOKUP(B612,PRECIOS!$A$4:$F$32,3,FALSE()),IF(D612="MELANGE",VLOOKUP(B612,PRECIOS!$A$4:$F$32,4,FALSE()),IF(D612="PPT",VLOOKUP(B612,PRECIOS!$A$4:$F$32,5,FALSE()),0)))),0)</f>
        <v>22.5</v>
      </c>
      <c r="H612" s="103">
        <f t="shared" si="1"/>
        <v>0</v>
      </c>
      <c r="I612" s="104" t="str">
        <f>IF(E612&lt;0,"ERROR",IF(E612=0,"",IF(E612&lt;CONFIG!$B$4,"CRÍTICO",IF(E612&lt;CONFIG!$B$5,"BAJO","OK"))))</f>
        <v/>
      </c>
    </row>
    <row r="613" ht="15.75" customHeight="1">
      <c r="A613" s="90" t="str">
        <f>IF(CLIENTES!A8="","",CLIENTES!A8)</f>
        <v/>
      </c>
      <c r="B613" s="67" t="str">
        <f>TELAS!A6</f>
        <v>wafle 30/1</v>
      </c>
      <c r="C613" s="67" t="str">
        <f>COLORES!A13</f>
        <v>Camote</v>
      </c>
      <c r="D613" s="67" t="str">
        <f>COLORES!B13</f>
        <v>CLARO</v>
      </c>
      <c r="E613" s="100">
        <f>IFERROR(SUMIFS(MOVIMIENTOS!$F$4:$F$1000,MOVIMIENTOS!$C$4:$C$1000,A613,MOVIMIENTOS!$D$4:$D$1000,B613,MOVIMIENTOS!$E$4:$E$1000,C613,MOVIMIENTOS!$B$4:$B$1000,"INGRESO")+SUMIFS(MOVIMIENTOS!$F$4:$F$1000,MOVIMIENTOS!$C$4:$C$1000,A613,MOVIMIENTOS!$D$4:$D$1000,B613,MOVIMIENTOS!$E$4:$E$1000,C613,MOVIMIENTOS!$B$4:$B$1000,"DE REPROCESO")+SUMIFS(MOVIMIENTOS!$F$4:$F$1000,MOVIMIENTOS!$C$4:$C$1000,A613,MOVIMIENTOS!$D$4:$D$1000,B613,MOVIMIENTOS!$E$4:$E$1000,C613,MOVIMIENTOS!$B$4:$B$1000,"AJUSTE+")-SUMIFS(MOVIMIENTOS!$F$4:$F$1000,MOVIMIENTOS!$C$4:$C$1000,A613,MOVIMIENTOS!$D$4:$D$1000,B613,MOVIMIENTOS!$E$4:$E$1000,C613,MOVIMIENTOS!$B$4:$B$1000,"A CORTE")-SUMIFS(MOVIMIENTOS!$F$4:$F$1000,MOVIMIENTOS!$C$4:$C$1000,A613,MOVIMIENTOS!$D$4:$D$1000,B613,MOVIMIENTOS!$E$4:$E$1000,C613,MOVIMIENTOS!$B$4:$B$1000,"A REPROCESO")-SUMIFS(MOVIMIENTOS!$F$4:$F$1000,MOVIMIENTOS!$C$4:$C$1000,A613,MOVIMIENTOS!$D$4:$D$1000,B613,MOVIMIENTOS!$E$4:$E$1000,C613,MOVIMIENTOS!$B$4:$B$1000,"MUESTRA")-SUMIFS(MOVIMIENTOS!$F$4:$F$1000,MOVIMIENTOS!$C$4:$C$1000,A613,MOVIMIENTOS!$D$4:$D$1000,B613,MOVIMIENTOS!$E$4:$E$1000,C613,MOVIMIENTOS!$B$4:$B$1000,"AJUSTE-"),0)</f>
        <v>0</v>
      </c>
      <c r="F613" s="101">
        <f>IFERROR(E613*VLOOKUP(B613,TELAS!$A$4:$C$32,3,FALSE()),0)</f>
        <v>0</v>
      </c>
      <c r="G613" s="102">
        <f>IFERROR(IF(D613="OSCURO",VLOOKUP(B613,PRECIOS!$A$4:$F$32,2,FALSE()),IF(D613="CLARO",VLOOKUP(B613,PRECIOS!$A$4:$F$32,3,FALSE()),IF(D613="MELANGE",VLOOKUP(B613,PRECIOS!$A$4:$F$32,4,FALSE()),IF(D613="PPT",VLOOKUP(B613,PRECIOS!$A$4:$F$32,5,FALSE()),0)))),0)</f>
        <v>22.5</v>
      </c>
      <c r="H613" s="103">
        <f t="shared" si="1"/>
        <v>0</v>
      </c>
      <c r="I613" s="104" t="str">
        <f>IF(E613&lt;0,"ERROR",IF(E613=0,"",IF(E613&lt;CONFIG!$B$4,"CRÍTICO",IF(E613&lt;CONFIG!$B$5,"BAJO","OK"))))</f>
        <v/>
      </c>
    </row>
    <row r="614" ht="15.75" customHeight="1">
      <c r="A614" s="90" t="str">
        <f>IF(CLIENTES!A8="","",CLIENTES!A8)</f>
        <v/>
      </c>
      <c r="B614" s="67" t="str">
        <f>TELAS!A6</f>
        <v>wafle 30/1</v>
      </c>
      <c r="C614" s="67" t="str">
        <f>COLORES!A14</f>
        <v>Denim</v>
      </c>
      <c r="D614" s="67" t="str">
        <f>COLORES!B14</f>
        <v>CLARO</v>
      </c>
      <c r="E614" s="100">
        <f>IFERROR(SUMIFS(MOVIMIENTOS!$F$4:$F$1000,MOVIMIENTOS!$C$4:$C$1000,A614,MOVIMIENTOS!$D$4:$D$1000,B614,MOVIMIENTOS!$E$4:$E$1000,C614,MOVIMIENTOS!$B$4:$B$1000,"INGRESO")+SUMIFS(MOVIMIENTOS!$F$4:$F$1000,MOVIMIENTOS!$C$4:$C$1000,A614,MOVIMIENTOS!$D$4:$D$1000,B614,MOVIMIENTOS!$E$4:$E$1000,C614,MOVIMIENTOS!$B$4:$B$1000,"DE REPROCESO")+SUMIFS(MOVIMIENTOS!$F$4:$F$1000,MOVIMIENTOS!$C$4:$C$1000,A614,MOVIMIENTOS!$D$4:$D$1000,B614,MOVIMIENTOS!$E$4:$E$1000,C614,MOVIMIENTOS!$B$4:$B$1000,"AJUSTE+")-SUMIFS(MOVIMIENTOS!$F$4:$F$1000,MOVIMIENTOS!$C$4:$C$1000,A614,MOVIMIENTOS!$D$4:$D$1000,B614,MOVIMIENTOS!$E$4:$E$1000,C614,MOVIMIENTOS!$B$4:$B$1000,"A CORTE")-SUMIFS(MOVIMIENTOS!$F$4:$F$1000,MOVIMIENTOS!$C$4:$C$1000,A614,MOVIMIENTOS!$D$4:$D$1000,B614,MOVIMIENTOS!$E$4:$E$1000,C614,MOVIMIENTOS!$B$4:$B$1000,"A REPROCESO")-SUMIFS(MOVIMIENTOS!$F$4:$F$1000,MOVIMIENTOS!$C$4:$C$1000,A614,MOVIMIENTOS!$D$4:$D$1000,B614,MOVIMIENTOS!$E$4:$E$1000,C614,MOVIMIENTOS!$B$4:$B$1000,"MUESTRA")-SUMIFS(MOVIMIENTOS!$F$4:$F$1000,MOVIMIENTOS!$C$4:$C$1000,A614,MOVIMIENTOS!$D$4:$D$1000,B614,MOVIMIENTOS!$E$4:$E$1000,C614,MOVIMIENTOS!$B$4:$B$1000,"AJUSTE-"),0)</f>
        <v>0</v>
      </c>
      <c r="F614" s="101">
        <f>IFERROR(E614*VLOOKUP(B614,TELAS!$A$4:$C$32,3,FALSE()),0)</f>
        <v>0</v>
      </c>
      <c r="G614" s="102">
        <f>IFERROR(IF(D614="OSCURO",VLOOKUP(B614,PRECIOS!$A$4:$F$32,2,FALSE()),IF(D614="CLARO",VLOOKUP(B614,PRECIOS!$A$4:$F$32,3,FALSE()),IF(D614="MELANGE",VLOOKUP(B614,PRECIOS!$A$4:$F$32,4,FALSE()),IF(D614="PPT",VLOOKUP(B614,PRECIOS!$A$4:$F$32,5,FALSE()),0)))),0)</f>
        <v>22.5</v>
      </c>
      <c r="H614" s="103">
        <f t="shared" si="1"/>
        <v>0</v>
      </c>
      <c r="I614" s="104" t="str">
        <f>IF(E614&lt;0,"ERROR",IF(E614=0,"",IF(E614&lt;CONFIG!$B$4,"CRÍTICO",IF(E614&lt;CONFIG!$B$5,"BAJO","OK"))))</f>
        <v/>
      </c>
    </row>
    <row r="615" ht="15.75" customHeight="1">
      <c r="A615" s="90" t="str">
        <f>IF(CLIENTES!A8="","",CLIENTES!A8)</f>
        <v/>
      </c>
      <c r="B615" s="67" t="str">
        <f>TELAS!A6</f>
        <v>wafle 30/1</v>
      </c>
      <c r="C615" s="67" t="str">
        <f>COLORES!A15</f>
        <v>Plomo</v>
      </c>
      <c r="D615" s="67" t="str">
        <f>COLORES!B15</f>
        <v>OSCURO</v>
      </c>
      <c r="E615" s="100">
        <f>IFERROR(SUMIFS(MOVIMIENTOS!$F$4:$F$1000,MOVIMIENTOS!$C$4:$C$1000,A615,MOVIMIENTOS!$D$4:$D$1000,B615,MOVIMIENTOS!$E$4:$E$1000,C615,MOVIMIENTOS!$B$4:$B$1000,"INGRESO")+SUMIFS(MOVIMIENTOS!$F$4:$F$1000,MOVIMIENTOS!$C$4:$C$1000,A615,MOVIMIENTOS!$D$4:$D$1000,B615,MOVIMIENTOS!$E$4:$E$1000,C615,MOVIMIENTOS!$B$4:$B$1000,"DE REPROCESO")+SUMIFS(MOVIMIENTOS!$F$4:$F$1000,MOVIMIENTOS!$C$4:$C$1000,A615,MOVIMIENTOS!$D$4:$D$1000,B615,MOVIMIENTOS!$E$4:$E$1000,C615,MOVIMIENTOS!$B$4:$B$1000,"AJUSTE+")-SUMIFS(MOVIMIENTOS!$F$4:$F$1000,MOVIMIENTOS!$C$4:$C$1000,A615,MOVIMIENTOS!$D$4:$D$1000,B615,MOVIMIENTOS!$E$4:$E$1000,C615,MOVIMIENTOS!$B$4:$B$1000,"A CORTE")-SUMIFS(MOVIMIENTOS!$F$4:$F$1000,MOVIMIENTOS!$C$4:$C$1000,A615,MOVIMIENTOS!$D$4:$D$1000,B615,MOVIMIENTOS!$E$4:$E$1000,C615,MOVIMIENTOS!$B$4:$B$1000,"A REPROCESO")-SUMIFS(MOVIMIENTOS!$F$4:$F$1000,MOVIMIENTOS!$C$4:$C$1000,A615,MOVIMIENTOS!$D$4:$D$1000,B615,MOVIMIENTOS!$E$4:$E$1000,C615,MOVIMIENTOS!$B$4:$B$1000,"MUESTRA")-SUMIFS(MOVIMIENTOS!$F$4:$F$1000,MOVIMIENTOS!$C$4:$C$1000,A615,MOVIMIENTOS!$D$4:$D$1000,B615,MOVIMIENTOS!$E$4:$E$1000,C615,MOVIMIENTOS!$B$4:$B$1000,"AJUSTE-"),0)</f>
        <v>0</v>
      </c>
      <c r="F615" s="101">
        <f>IFERROR(E615*VLOOKUP(B615,TELAS!$A$4:$C$32,3,FALSE()),0)</f>
        <v>0</v>
      </c>
      <c r="G615" s="102">
        <f>IFERROR(IF(D615="OSCURO",VLOOKUP(B615,PRECIOS!$A$4:$F$32,2,FALSE()),IF(D615="CLARO",VLOOKUP(B615,PRECIOS!$A$4:$F$32,3,FALSE()),IF(D615="MELANGE",VLOOKUP(B615,PRECIOS!$A$4:$F$32,4,FALSE()),IF(D615="PPT",VLOOKUP(B615,PRECIOS!$A$4:$F$32,5,FALSE()),0)))),0)</f>
        <v>26</v>
      </c>
      <c r="H615" s="103">
        <f t="shared" si="1"/>
        <v>0</v>
      </c>
      <c r="I615" s="104" t="str">
        <f>IF(E615&lt;0,"ERROR",IF(E615=0,"",IF(E615&lt;CONFIG!$B$4,"CRÍTICO",IF(E615&lt;CONFIG!$B$5,"BAJO","OK"))))</f>
        <v/>
      </c>
    </row>
    <row r="616" ht="15.75" customHeight="1">
      <c r="A616" s="90" t="str">
        <f>IF(CLIENTES!A8="","",CLIENTES!A8)</f>
        <v/>
      </c>
      <c r="B616" s="67" t="str">
        <f>TELAS!A6</f>
        <v>wafle 30/1</v>
      </c>
      <c r="C616" s="67" t="str">
        <f>COLORES!A16</f>
        <v>Topo</v>
      </c>
      <c r="D616" s="67" t="str">
        <f>COLORES!B16</f>
        <v>CLARO</v>
      </c>
      <c r="E616" s="100">
        <f>IFERROR(SUMIFS(MOVIMIENTOS!$F$4:$F$1000,MOVIMIENTOS!$C$4:$C$1000,A616,MOVIMIENTOS!$D$4:$D$1000,B616,MOVIMIENTOS!$E$4:$E$1000,C616,MOVIMIENTOS!$B$4:$B$1000,"INGRESO")+SUMIFS(MOVIMIENTOS!$F$4:$F$1000,MOVIMIENTOS!$C$4:$C$1000,A616,MOVIMIENTOS!$D$4:$D$1000,B616,MOVIMIENTOS!$E$4:$E$1000,C616,MOVIMIENTOS!$B$4:$B$1000,"DE REPROCESO")+SUMIFS(MOVIMIENTOS!$F$4:$F$1000,MOVIMIENTOS!$C$4:$C$1000,A616,MOVIMIENTOS!$D$4:$D$1000,B616,MOVIMIENTOS!$E$4:$E$1000,C616,MOVIMIENTOS!$B$4:$B$1000,"AJUSTE+")-SUMIFS(MOVIMIENTOS!$F$4:$F$1000,MOVIMIENTOS!$C$4:$C$1000,A616,MOVIMIENTOS!$D$4:$D$1000,B616,MOVIMIENTOS!$E$4:$E$1000,C616,MOVIMIENTOS!$B$4:$B$1000,"A CORTE")-SUMIFS(MOVIMIENTOS!$F$4:$F$1000,MOVIMIENTOS!$C$4:$C$1000,A616,MOVIMIENTOS!$D$4:$D$1000,B616,MOVIMIENTOS!$E$4:$E$1000,C616,MOVIMIENTOS!$B$4:$B$1000,"A REPROCESO")-SUMIFS(MOVIMIENTOS!$F$4:$F$1000,MOVIMIENTOS!$C$4:$C$1000,A616,MOVIMIENTOS!$D$4:$D$1000,B616,MOVIMIENTOS!$E$4:$E$1000,C616,MOVIMIENTOS!$B$4:$B$1000,"MUESTRA")-SUMIFS(MOVIMIENTOS!$F$4:$F$1000,MOVIMIENTOS!$C$4:$C$1000,A616,MOVIMIENTOS!$D$4:$D$1000,B616,MOVIMIENTOS!$E$4:$E$1000,C616,MOVIMIENTOS!$B$4:$B$1000,"AJUSTE-"),0)</f>
        <v>0</v>
      </c>
      <c r="F616" s="101">
        <f>IFERROR(E616*VLOOKUP(B616,TELAS!$A$4:$C$32,3,FALSE()),0)</f>
        <v>0</v>
      </c>
      <c r="G616" s="102">
        <f>IFERROR(IF(D616="OSCURO",VLOOKUP(B616,PRECIOS!$A$4:$F$32,2,FALSE()),IF(D616="CLARO",VLOOKUP(B616,PRECIOS!$A$4:$F$32,3,FALSE()),IF(D616="MELANGE",VLOOKUP(B616,PRECIOS!$A$4:$F$32,4,FALSE()),IF(D616="PPT",VLOOKUP(B616,PRECIOS!$A$4:$F$32,5,FALSE()),0)))),0)</f>
        <v>22.5</v>
      </c>
      <c r="H616" s="103">
        <f t="shared" si="1"/>
        <v>0</v>
      </c>
      <c r="I616" s="104" t="str">
        <f>IF(E616&lt;0,"ERROR",IF(E616=0,"",IF(E616&lt;CONFIG!$B$4,"CRÍTICO",IF(E616&lt;CONFIG!$B$5,"BAJO","OK"))))</f>
        <v/>
      </c>
    </row>
    <row r="617" ht="15.75" customHeight="1">
      <c r="A617" s="90" t="str">
        <f>IF(CLIENTES!A8="","",CLIENTES!A8)</f>
        <v/>
      </c>
      <c r="B617" s="67" t="str">
        <f>TELAS!A6</f>
        <v>wafle 30/1</v>
      </c>
      <c r="C617" s="67" t="str">
        <f>COLORES!A17</f>
        <v>Vino</v>
      </c>
      <c r="D617" s="67" t="str">
        <f>COLORES!B17</f>
        <v>OSCURO</v>
      </c>
      <c r="E617" s="100">
        <f>IFERROR(SUMIFS(MOVIMIENTOS!$F$4:$F$1000,MOVIMIENTOS!$C$4:$C$1000,A617,MOVIMIENTOS!$D$4:$D$1000,B617,MOVIMIENTOS!$E$4:$E$1000,C617,MOVIMIENTOS!$B$4:$B$1000,"INGRESO")+SUMIFS(MOVIMIENTOS!$F$4:$F$1000,MOVIMIENTOS!$C$4:$C$1000,A617,MOVIMIENTOS!$D$4:$D$1000,B617,MOVIMIENTOS!$E$4:$E$1000,C617,MOVIMIENTOS!$B$4:$B$1000,"DE REPROCESO")+SUMIFS(MOVIMIENTOS!$F$4:$F$1000,MOVIMIENTOS!$C$4:$C$1000,A617,MOVIMIENTOS!$D$4:$D$1000,B617,MOVIMIENTOS!$E$4:$E$1000,C617,MOVIMIENTOS!$B$4:$B$1000,"AJUSTE+")-SUMIFS(MOVIMIENTOS!$F$4:$F$1000,MOVIMIENTOS!$C$4:$C$1000,A617,MOVIMIENTOS!$D$4:$D$1000,B617,MOVIMIENTOS!$E$4:$E$1000,C617,MOVIMIENTOS!$B$4:$B$1000,"A CORTE")-SUMIFS(MOVIMIENTOS!$F$4:$F$1000,MOVIMIENTOS!$C$4:$C$1000,A617,MOVIMIENTOS!$D$4:$D$1000,B617,MOVIMIENTOS!$E$4:$E$1000,C617,MOVIMIENTOS!$B$4:$B$1000,"A REPROCESO")-SUMIFS(MOVIMIENTOS!$F$4:$F$1000,MOVIMIENTOS!$C$4:$C$1000,A617,MOVIMIENTOS!$D$4:$D$1000,B617,MOVIMIENTOS!$E$4:$E$1000,C617,MOVIMIENTOS!$B$4:$B$1000,"MUESTRA")-SUMIFS(MOVIMIENTOS!$F$4:$F$1000,MOVIMIENTOS!$C$4:$C$1000,A617,MOVIMIENTOS!$D$4:$D$1000,B617,MOVIMIENTOS!$E$4:$E$1000,C617,MOVIMIENTOS!$B$4:$B$1000,"AJUSTE-"),0)</f>
        <v>0</v>
      </c>
      <c r="F617" s="101">
        <f>IFERROR(E617*VLOOKUP(B617,TELAS!$A$4:$C$32,3,FALSE()),0)</f>
        <v>0</v>
      </c>
      <c r="G617" s="102">
        <f>IFERROR(IF(D617="OSCURO",VLOOKUP(B617,PRECIOS!$A$4:$F$32,2,FALSE()),IF(D617="CLARO",VLOOKUP(B617,PRECIOS!$A$4:$F$32,3,FALSE()),IF(D617="MELANGE",VLOOKUP(B617,PRECIOS!$A$4:$F$32,4,FALSE()),IF(D617="PPT",VLOOKUP(B617,PRECIOS!$A$4:$F$32,5,FALSE()),0)))),0)</f>
        <v>26</v>
      </c>
      <c r="H617" s="103">
        <f t="shared" si="1"/>
        <v>0</v>
      </c>
      <c r="I617" s="104" t="str">
        <f>IF(E617&lt;0,"ERROR",IF(E617=0,"",IF(E617&lt;CONFIG!$B$4,"CRÍTICO",IF(E617&lt;CONFIG!$B$5,"BAJO","OK"))))</f>
        <v/>
      </c>
    </row>
    <row r="618" ht="15.75" customHeight="1">
      <c r="A618" s="90" t="str">
        <f>IF(CLIENTES!A8="","",CLIENTES!A8)</f>
        <v/>
      </c>
      <c r="B618" s="67" t="str">
        <f>TELAS!A6</f>
        <v>wafle 30/1</v>
      </c>
      <c r="C618" s="67" t="str">
        <f>COLORES!A18</f>
        <v>P. Rosa</v>
      </c>
      <c r="D618" s="67" t="str">
        <f>COLORES!B18</f>
        <v>CLARO</v>
      </c>
      <c r="E618" s="100">
        <f>IFERROR(SUMIFS(MOVIMIENTOS!$F$4:$F$1000,MOVIMIENTOS!$C$4:$C$1000,A618,MOVIMIENTOS!$D$4:$D$1000,B618,MOVIMIENTOS!$E$4:$E$1000,C618,MOVIMIENTOS!$B$4:$B$1000,"INGRESO")+SUMIFS(MOVIMIENTOS!$F$4:$F$1000,MOVIMIENTOS!$C$4:$C$1000,A618,MOVIMIENTOS!$D$4:$D$1000,B618,MOVIMIENTOS!$E$4:$E$1000,C618,MOVIMIENTOS!$B$4:$B$1000,"DE REPROCESO")+SUMIFS(MOVIMIENTOS!$F$4:$F$1000,MOVIMIENTOS!$C$4:$C$1000,A618,MOVIMIENTOS!$D$4:$D$1000,B618,MOVIMIENTOS!$E$4:$E$1000,C618,MOVIMIENTOS!$B$4:$B$1000,"AJUSTE+")-SUMIFS(MOVIMIENTOS!$F$4:$F$1000,MOVIMIENTOS!$C$4:$C$1000,A618,MOVIMIENTOS!$D$4:$D$1000,B618,MOVIMIENTOS!$E$4:$E$1000,C618,MOVIMIENTOS!$B$4:$B$1000,"A CORTE")-SUMIFS(MOVIMIENTOS!$F$4:$F$1000,MOVIMIENTOS!$C$4:$C$1000,A618,MOVIMIENTOS!$D$4:$D$1000,B618,MOVIMIENTOS!$E$4:$E$1000,C618,MOVIMIENTOS!$B$4:$B$1000,"A REPROCESO")-SUMIFS(MOVIMIENTOS!$F$4:$F$1000,MOVIMIENTOS!$C$4:$C$1000,A618,MOVIMIENTOS!$D$4:$D$1000,B618,MOVIMIENTOS!$E$4:$E$1000,C618,MOVIMIENTOS!$B$4:$B$1000,"MUESTRA")-SUMIFS(MOVIMIENTOS!$F$4:$F$1000,MOVIMIENTOS!$C$4:$C$1000,A618,MOVIMIENTOS!$D$4:$D$1000,B618,MOVIMIENTOS!$E$4:$E$1000,C618,MOVIMIENTOS!$B$4:$B$1000,"AJUSTE-"),0)</f>
        <v>0</v>
      </c>
      <c r="F618" s="101">
        <f>IFERROR(E618*VLOOKUP(B618,TELAS!$A$4:$C$32,3,FALSE()),0)</f>
        <v>0</v>
      </c>
      <c r="G618" s="102">
        <f>IFERROR(IF(D618="OSCURO",VLOOKUP(B618,PRECIOS!$A$4:$F$32,2,FALSE()),IF(D618="CLARO",VLOOKUP(B618,PRECIOS!$A$4:$F$32,3,FALSE()),IF(D618="MELANGE",VLOOKUP(B618,PRECIOS!$A$4:$F$32,4,FALSE()),IF(D618="PPT",VLOOKUP(B618,PRECIOS!$A$4:$F$32,5,FALSE()),0)))),0)</f>
        <v>22.5</v>
      </c>
      <c r="H618" s="103">
        <f t="shared" si="1"/>
        <v>0</v>
      </c>
      <c r="I618" s="104" t="str">
        <f>IF(E618&lt;0,"ERROR",IF(E618=0,"",IF(E618&lt;CONFIG!$B$4,"CRÍTICO",IF(E618&lt;CONFIG!$B$5,"BAJO","OK"))))</f>
        <v/>
      </c>
    </row>
    <row r="619" ht="15.75" customHeight="1">
      <c r="A619" s="90" t="str">
        <f>IF(CLIENTES!A8="","",CLIENTES!A8)</f>
        <v/>
      </c>
      <c r="B619" s="67" t="str">
        <f>TELAS!A6</f>
        <v>wafle 30/1</v>
      </c>
      <c r="C619" s="67" t="str">
        <f>COLORES!A19</f>
        <v/>
      </c>
      <c r="D619" s="67" t="str">
        <f>COLORES!B19</f>
        <v/>
      </c>
      <c r="E619" s="100">
        <f>IFERROR(SUMIFS(MOVIMIENTOS!$F$4:$F$1000,MOVIMIENTOS!$C$4:$C$1000,A619,MOVIMIENTOS!$D$4:$D$1000,B619,MOVIMIENTOS!$E$4:$E$1000,C619,MOVIMIENTOS!$B$4:$B$1000,"INGRESO")+SUMIFS(MOVIMIENTOS!$F$4:$F$1000,MOVIMIENTOS!$C$4:$C$1000,A619,MOVIMIENTOS!$D$4:$D$1000,B619,MOVIMIENTOS!$E$4:$E$1000,C619,MOVIMIENTOS!$B$4:$B$1000,"DE REPROCESO")+SUMIFS(MOVIMIENTOS!$F$4:$F$1000,MOVIMIENTOS!$C$4:$C$1000,A619,MOVIMIENTOS!$D$4:$D$1000,B619,MOVIMIENTOS!$E$4:$E$1000,C619,MOVIMIENTOS!$B$4:$B$1000,"AJUSTE+")-SUMIFS(MOVIMIENTOS!$F$4:$F$1000,MOVIMIENTOS!$C$4:$C$1000,A619,MOVIMIENTOS!$D$4:$D$1000,B619,MOVIMIENTOS!$E$4:$E$1000,C619,MOVIMIENTOS!$B$4:$B$1000,"A CORTE")-SUMIFS(MOVIMIENTOS!$F$4:$F$1000,MOVIMIENTOS!$C$4:$C$1000,A619,MOVIMIENTOS!$D$4:$D$1000,B619,MOVIMIENTOS!$E$4:$E$1000,C619,MOVIMIENTOS!$B$4:$B$1000,"A REPROCESO")-SUMIFS(MOVIMIENTOS!$F$4:$F$1000,MOVIMIENTOS!$C$4:$C$1000,A619,MOVIMIENTOS!$D$4:$D$1000,B619,MOVIMIENTOS!$E$4:$E$1000,C619,MOVIMIENTOS!$B$4:$B$1000,"MUESTRA")-SUMIFS(MOVIMIENTOS!$F$4:$F$1000,MOVIMIENTOS!$C$4:$C$1000,A619,MOVIMIENTOS!$D$4:$D$1000,B619,MOVIMIENTOS!$E$4:$E$1000,C619,MOVIMIENTOS!$B$4:$B$1000,"AJUSTE-"),0)</f>
        <v>0</v>
      </c>
      <c r="F619" s="101">
        <f>IFERROR(E619*VLOOKUP(B619,TELAS!$A$4:$C$32,3,FALSE()),0)</f>
        <v>0</v>
      </c>
      <c r="G619" s="102">
        <f>IFERROR(IF(D619="OSCURO",VLOOKUP(B619,PRECIOS!$A$4:$F$32,2,FALSE()),IF(D619="CLARO",VLOOKUP(B619,PRECIOS!$A$4:$F$32,3,FALSE()),IF(D619="MELANGE",VLOOKUP(B619,PRECIOS!$A$4:$F$32,4,FALSE()),IF(D619="PPT",VLOOKUP(B619,PRECIOS!$A$4:$F$32,5,FALSE()),0)))),0)</f>
        <v>0</v>
      </c>
      <c r="H619" s="103">
        <f t="shared" si="1"/>
        <v>0</v>
      </c>
      <c r="I619" s="104" t="str">
        <f>IF(E619&lt;0,"ERROR",IF(E619=0,"",IF(E619&lt;CONFIG!$B$4,"CRÍTICO",IF(E619&lt;CONFIG!$B$5,"BAJO","OK"))))</f>
        <v/>
      </c>
    </row>
    <row r="620" ht="15.75" customHeight="1">
      <c r="A620" s="90" t="str">
        <f>IF(CLIENTES!A8="","",CLIENTES!A8)</f>
        <v/>
      </c>
      <c r="B620" s="67" t="str">
        <f>TELAS!A6</f>
        <v>wafle 30/1</v>
      </c>
      <c r="C620" s="67" t="str">
        <f>COLORES!A20</f>
        <v/>
      </c>
      <c r="D620" s="67" t="str">
        <f>COLORES!B20</f>
        <v/>
      </c>
      <c r="E620" s="100">
        <f>IFERROR(SUMIFS(MOVIMIENTOS!$F$4:$F$1000,MOVIMIENTOS!$C$4:$C$1000,A620,MOVIMIENTOS!$D$4:$D$1000,B620,MOVIMIENTOS!$E$4:$E$1000,C620,MOVIMIENTOS!$B$4:$B$1000,"INGRESO")+SUMIFS(MOVIMIENTOS!$F$4:$F$1000,MOVIMIENTOS!$C$4:$C$1000,A620,MOVIMIENTOS!$D$4:$D$1000,B620,MOVIMIENTOS!$E$4:$E$1000,C620,MOVIMIENTOS!$B$4:$B$1000,"DE REPROCESO")+SUMIFS(MOVIMIENTOS!$F$4:$F$1000,MOVIMIENTOS!$C$4:$C$1000,A620,MOVIMIENTOS!$D$4:$D$1000,B620,MOVIMIENTOS!$E$4:$E$1000,C620,MOVIMIENTOS!$B$4:$B$1000,"AJUSTE+")-SUMIFS(MOVIMIENTOS!$F$4:$F$1000,MOVIMIENTOS!$C$4:$C$1000,A620,MOVIMIENTOS!$D$4:$D$1000,B620,MOVIMIENTOS!$E$4:$E$1000,C620,MOVIMIENTOS!$B$4:$B$1000,"A CORTE")-SUMIFS(MOVIMIENTOS!$F$4:$F$1000,MOVIMIENTOS!$C$4:$C$1000,A620,MOVIMIENTOS!$D$4:$D$1000,B620,MOVIMIENTOS!$E$4:$E$1000,C620,MOVIMIENTOS!$B$4:$B$1000,"A REPROCESO")-SUMIFS(MOVIMIENTOS!$F$4:$F$1000,MOVIMIENTOS!$C$4:$C$1000,A620,MOVIMIENTOS!$D$4:$D$1000,B620,MOVIMIENTOS!$E$4:$E$1000,C620,MOVIMIENTOS!$B$4:$B$1000,"MUESTRA")-SUMIFS(MOVIMIENTOS!$F$4:$F$1000,MOVIMIENTOS!$C$4:$C$1000,A620,MOVIMIENTOS!$D$4:$D$1000,B620,MOVIMIENTOS!$E$4:$E$1000,C620,MOVIMIENTOS!$B$4:$B$1000,"AJUSTE-"),0)</f>
        <v>0</v>
      </c>
      <c r="F620" s="101">
        <f>IFERROR(E620*VLOOKUP(B620,TELAS!$A$4:$C$32,3,FALSE()),0)</f>
        <v>0</v>
      </c>
      <c r="G620" s="102">
        <f>IFERROR(IF(D620="OSCURO",VLOOKUP(B620,PRECIOS!$A$4:$F$32,2,FALSE()),IF(D620="CLARO",VLOOKUP(B620,PRECIOS!$A$4:$F$32,3,FALSE()),IF(D620="MELANGE",VLOOKUP(B620,PRECIOS!$A$4:$F$32,4,FALSE()),IF(D620="PPT",VLOOKUP(B620,PRECIOS!$A$4:$F$32,5,FALSE()),0)))),0)</f>
        <v>0</v>
      </c>
      <c r="H620" s="103">
        <f t="shared" si="1"/>
        <v>0</v>
      </c>
      <c r="I620" s="104" t="str">
        <f>IF(E620&lt;0,"ERROR",IF(E620=0,"",IF(E620&lt;CONFIG!$B$4,"CRÍTICO",IF(E620&lt;CONFIG!$B$5,"BAJO","OK"))))</f>
        <v/>
      </c>
    </row>
    <row r="621" ht="15.75" customHeight="1">
      <c r="A621" s="90" t="str">
        <f>IF(CLIENTES!A8="","",CLIENTES!A8)</f>
        <v/>
      </c>
      <c r="B621" s="67" t="str">
        <f>TELAS!A6</f>
        <v>wafle 30/1</v>
      </c>
      <c r="C621" s="67" t="str">
        <f>COLORES!A21</f>
        <v/>
      </c>
      <c r="D621" s="67" t="str">
        <f>COLORES!B21</f>
        <v/>
      </c>
      <c r="E621" s="100">
        <f>IFERROR(SUMIFS(MOVIMIENTOS!$F$4:$F$1000,MOVIMIENTOS!$C$4:$C$1000,A621,MOVIMIENTOS!$D$4:$D$1000,B621,MOVIMIENTOS!$E$4:$E$1000,C621,MOVIMIENTOS!$B$4:$B$1000,"INGRESO")+SUMIFS(MOVIMIENTOS!$F$4:$F$1000,MOVIMIENTOS!$C$4:$C$1000,A621,MOVIMIENTOS!$D$4:$D$1000,B621,MOVIMIENTOS!$E$4:$E$1000,C621,MOVIMIENTOS!$B$4:$B$1000,"DE REPROCESO")+SUMIFS(MOVIMIENTOS!$F$4:$F$1000,MOVIMIENTOS!$C$4:$C$1000,A621,MOVIMIENTOS!$D$4:$D$1000,B621,MOVIMIENTOS!$E$4:$E$1000,C621,MOVIMIENTOS!$B$4:$B$1000,"AJUSTE+")-SUMIFS(MOVIMIENTOS!$F$4:$F$1000,MOVIMIENTOS!$C$4:$C$1000,A621,MOVIMIENTOS!$D$4:$D$1000,B621,MOVIMIENTOS!$E$4:$E$1000,C621,MOVIMIENTOS!$B$4:$B$1000,"A CORTE")-SUMIFS(MOVIMIENTOS!$F$4:$F$1000,MOVIMIENTOS!$C$4:$C$1000,A621,MOVIMIENTOS!$D$4:$D$1000,B621,MOVIMIENTOS!$E$4:$E$1000,C621,MOVIMIENTOS!$B$4:$B$1000,"A REPROCESO")-SUMIFS(MOVIMIENTOS!$F$4:$F$1000,MOVIMIENTOS!$C$4:$C$1000,A621,MOVIMIENTOS!$D$4:$D$1000,B621,MOVIMIENTOS!$E$4:$E$1000,C621,MOVIMIENTOS!$B$4:$B$1000,"MUESTRA")-SUMIFS(MOVIMIENTOS!$F$4:$F$1000,MOVIMIENTOS!$C$4:$C$1000,A621,MOVIMIENTOS!$D$4:$D$1000,B621,MOVIMIENTOS!$E$4:$E$1000,C621,MOVIMIENTOS!$B$4:$B$1000,"AJUSTE-"),0)</f>
        <v>0</v>
      </c>
      <c r="F621" s="101">
        <f>IFERROR(E621*VLOOKUP(B621,TELAS!$A$4:$C$32,3,FALSE()),0)</f>
        <v>0</v>
      </c>
      <c r="G621" s="102">
        <f>IFERROR(IF(D621="OSCURO",VLOOKUP(B621,PRECIOS!$A$4:$F$32,2,FALSE()),IF(D621="CLARO",VLOOKUP(B621,PRECIOS!$A$4:$F$32,3,FALSE()),IF(D621="MELANGE",VLOOKUP(B621,PRECIOS!$A$4:$F$32,4,FALSE()),IF(D621="PPT",VLOOKUP(B621,PRECIOS!$A$4:$F$32,5,FALSE()),0)))),0)</f>
        <v>0</v>
      </c>
      <c r="H621" s="103">
        <f t="shared" si="1"/>
        <v>0</v>
      </c>
      <c r="I621" s="104" t="str">
        <f>IF(E621&lt;0,"ERROR",IF(E621=0,"",IF(E621&lt;CONFIG!$B$4,"CRÍTICO",IF(E621&lt;CONFIG!$B$5,"BAJO","OK"))))</f>
        <v/>
      </c>
    </row>
    <row r="622" ht="15.75" customHeight="1">
      <c r="A622" s="90" t="str">
        <f>IF(CLIENTES!A8="","",CLIENTES!A8)</f>
        <v/>
      </c>
      <c r="B622" s="67" t="str">
        <f>TELAS!A6</f>
        <v>wafle 30/1</v>
      </c>
      <c r="C622" s="67" t="str">
        <f>COLORES!A22</f>
        <v/>
      </c>
      <c r="D622" s="67" t="str">
        <f>COLORES!B22</f>
        <v/>
      </c>
      <c r="E622" s="100">
        <f>IFERROR(SUMIFS(MOVIMIENTOS!$F$4:$F$1000,MOVIMIENTOS!$C$4:$C$1000,A622,MOVIMIENTOS!$D$4:$D$1000,B622,MOVIMIENTOS!$E$4:$E$1000,C622,MOVIMIENTOS!$B$4:$B$1000,"INGRESO")+SUMIFS(MOVIMIENTOS!$F$4:$F$1000,MOVIMIENTOS!$C$4:$C$1000,A622,MOVIMIENTOS!$D$4:$D$1000,B622,MOVIMIENTOS!$E$4:$E$1000,C622,MOVIMIENTOS!$B$4:$B$1000,"DE REPROCESO")+SUMIFS(MOVIMIENTOS!$F$4:$F$1000,MOVIMIENTOS!$C$4:$C$1000,A622,MOVIMIENTOS!$D$4:$D$1000,B622,MOVIMIENTOS!$E$4:$E$1000,C622,MOVIMIENTOS!$B$4:$B$1000,"AJUSTE+")-SUMIFS(MOVIMIENTOS!$F$4:$F$1000,MOVIMIENTOS!$C$4:$C$1000,A622,MOVIMIENTOS!$D$4:$D$1000,B622,MOVIMIENTOS!$E$4:$E$1000,C622,MOVIMIENTOS!$B$4:$B$1000,"A CORTE")-SUMIFS(MOVIMIENTOS!$F$4:$F$1000,MOVIMIENTOS!$C$4:$C$1000,A622,MOVIMIENTOS!$D$4:$D$1000,B622,MOVIMIENTOS!$E$4:$E$1000,C622,MOVIMIENTOS!$B$4:$B$1000,"A REPROCESO")-SUMIFS(MOVIMIENTOS!$F$4:$F$1000,MOVIMIENTOS!$C$4:$C$1000,A622,MOVIMIENTOS!$D$4:$D$1000,B622,MOVIMIENTOS!$E$4:$E$1000,C622,MOVIMIENTOS!$B$4:$B$1000,"MUESTRA")-SUMIFS(MOVIMIENTOS!$F$4:$F$1000,MOVIMIENTOS!$C$4:$C$1000,A622,MOVIMIENTOS!$D$4:$D$1000,B622,MOVIMIENTOS!$E$4:$E$1000,C622,MOVIMIENTOS!$B$4:$B$1000,"AJUSTE-"),0)</f>
        <v>0</v>
      </c>
      <c r="F622" s="101">
        <f>IFERROR(E622*VLOOKUP(B622,TELAS!$A$4:$C$32,3,FALSE()),0)</f>
        <v>0</v>
      </c>
      <c r="G622" s="102">
        <f>IFERROR(IF(D622="OSCURO",VLOOKUP(B622,PRECIOS!$A$4:$F$32,2,FALSE()),IF(D622="CLARO",VLOOKUP(B622,PRECIOS!$A$4:$F$32,3,FALSE()),IF(D622="MELANGE",VLOOKUP(B622,PRECIOS!$A$4:$F$32,4,FALSE()),IF(D622="PPT",VLOOKUP(B622,PRECIOS!$A$4:$F$32,5,FALSE()),0)))),0)</f>
        <v>0</v>
      </c>
      <c r="H622" s="103">
        <f t="shared" si="1"/>
        <v>0</v>
      </c>
      <c r="I622" s="104" t="str">
        <f>IF(E622&lt;0,"ERROR",IF(E622=0,"",IF(E622&lt;CONFIG!$B$4,"CRÍTICO",IF(E622&lt;CONFIG!$B$5,"BAJO","OK"))))</f>
        <v/>
      </c>
    </row>
    <row r="623" ht="15.75" customHeight="1">
      <c r="A623" s="90" t="str">
        <f>IF(CLIENTES!A8="","",CLIENTES!A8)</f>
        <v/>
      </c>
      <c r="B623" s="67" t="str">
        <f>TELAS!A6</f>
        <v>wafle 30/1</v>
      </c>
      <c r="C623" s="67" t="str">
        <f>COLORES!A23</f>
        <v/>
      </c>
      <c r="D623" s="67" t="str">
        <f>COLORES!B23</f>
        <v/>
      </c>
      <c r="E623" s="100">
        <f>IFERROR(SUMIFS(MOVIMIENTOS!$F$4:$F$1000,MOVIMIENTOS!$C$4:$C$1000,A623,MOVIMIENTOS!$D$4:$D$1000,B623,MOVIMIENTOS!$E$4:$E$1000,C623,MOVIMIENTOS!$B$4:$B$1000,"INGRESO")+SUMIFS(MOVIMIENTOS!$F$4:$F$1000,MOVIMIENTOS!$C$4:$C$1000,A623,MOVIMIENTOS!$D$4:$D$1000,B623,MOVIMIENTOS!$E$4:$E$1000,C623,MOVIMIENTOS!$B$4:$B$1000,"DE REPROCESO")+SUMIFS(MOVIMIENTOS!$F$4:$F$1000,MOVIMIENTOS!$C$4:$C$1000,A623,MOVIMIENTOS!$D$4:$D$1000,B623,MOVIMIENTOS!$E$4:$E$1000,C623,MOVIMIENTOS!$B$4:$B$1000,"AJUSTE+")-SUMIFS(MOVIMIENTOS!$F$4:$F$1000,MOVIMIENTOS!$C$4:$C$1000,A623,MOVIMIENTOS!$D$4:$D$1000,B623,MOVIMIENTOS!$E$4:$E$1000,C623,MOVIMIENTOS!$B$4:$B$1000,"A CORTE")-SUMIFS(MOVIMIENTOS!$F$4:$F$1000,MOVIMIENTOS!$C$4:$C$1000,A623,MOVIMIENTOS!$D$4:$D$1000,B623,MOVIMIENTOS!$E$4:$E$1000,C623,MOVIMIENTOS!$B$4:$B$1000,"A REPROCESO")-SUMIFS(MOVIMIENTOS!$F$4:$F$1000,MOVIMIENTOS!$C$4:$C$1000,A623,MOVIMIENTOS!$D$4:$D$1000,B623,MOVIMIENTOS!$E$4:$E$1000,C623,MOVIMIENTOS!$B$4:$B$1000,"MUESTRA")-SUMIFS(MOVIMIENTOS!$F$4:$F$1000,MOVIMIENTOS!$C$4:$C$1000,A623,MOVIMIENTOS!$D$4:$D$1000,B623,MOVIMIENTOS!$E$4:$E$1000,C623,MOVIMIENTOS!$B$4:$B$1000,"AJUSTE-"),0)</f>
        <v>0</v>
      </c>
      <c r="F623" s="101">
        <f>IFERROR(E623*VLOOKUP(B623,TELAS!$A$4:$C$32,3,FALSE()),0)</f>
        <v>0</v>
      </c>
      <c r="G623" s="102">
        <f>IFERROR(IF(D623="OSCURO",VLOOKUP(B623,PRECIOS!$A$4:$F$32,2,FALSE()),IF(D623="CLARO",VLOOKUP(B623,PRECIOS!$A$4:$F$32,3,FALSE()),IF(D623="MELANGE",VLOOKUP(B623,PRECIOS!$A$4:$F$32,4,FALSE()),IF(D623="PPT",VLOOKUP(B623,PRECIOS!$A$4:$F$32,5,FALSE()),0)))),0)</f>
        <v>0</v>
      </c>
      <c r="H623" s="103">
        <f t="shared" si="1"/>
        <v>0</v>
      </c>
      <c r="I623" s="104" t="str">
        <f>IF(E623&lt;0,"ERROR",IF(E623=0,"",IF(E623&lt;CONFIG!$B$4,"CRÍTICO",IF(E623&lt;CONFIG!$B$5,"BAJO","OK"))))</f>
        <v/>
      </c>
    </row>
    <row r="624" ht="15.75" customHeight="1">
      <c r="A624" s="90" t="str">
        <f>IF(CLIENTES!A8="","",CLIENTES!A8)</f>
        <v/>
      </c>
      <c r="B624" s="67" t="str">
        <f>TELAS!A7</f>
        <v>french terry 24/1</v>
      </c>
      <c r="C624" s="67" t="str">
        <f>COLORES!A4</f>
        <v>Negro</v>
      </c>
      <c r="D624" s="67" t="str">
        <f>COLORES!B4</f>
        <v>OSCURO</v>
      </c>
      <c r="E624" s="100">
        <f>IFERROR(SUMIFS(MOVIMIENTOS!$F$4:$F$1000,MOVIMIENTOS!$C$4:$C$1000,A624,MOVIMIENTOS!$D$4:$D$1000,B624,MOVIMIENTOS!$E$4:$E$1000,C624,MOVIMIENTOS!$B$4:$B$1000,"INGRESO")+SUMIFS(MOVIMIENTOS!$F$4:$F$1000,MOVIMIENTOS!$C$4:$C$1000,A624,MOVIMIENTOS!$D$4:$D$1000,B624,MOVIMIENTOS!$E$4:$E$1000,C624,MOVIMIENTOS!$B$4:$B$1000,"DE REPROCESO")+SUMIFS(MOVIMIENTOS!$F$4:$F$1000,MOVIMIENTOS!$C$4:$C$1000,A624,MOVIMIENTOS!$D$4:$D$1000,B624,MOVIMIENTOS!$E$4:$E$1000,C624,MOVIMIENTOS!$B$4:$B$1000,"AJUSTE+")-SUMIFS(MOVIMIENTOS!$F$4:$F$1000,MOVIMIENTOS!$C$4:$C$1000,A624,MOVIMIENTOS!$D$4:$D$1000,B624,MOVIMIENTOS!$E$4:$E$1000,C624,MOVIMIENTOS!$B$4:$B$1000,"A CORTE")-SUMIFS(MOVIMIENTOS!$F$4:$F$1000,MOVIMIENTOS!$C$4:$C$1000,A624,MOVIMIENTOS!$D$4:$D$1000,B624,MOVIMIENTOS!$E$4:$E$1000,C624,MOVIMIENTOS!$B$4:$B$1000,"A REPROCESO")-SUMIFS(MOVIMIENTOS!$F$4:$F$1000,MOVIMIENTOS!$C$4:$C$1000,A624,MOVIMIENTOS!$D$4:$D$1000,B624,MOVIMIENTOS!$E$4:$E$1000,C624,MOVIMIENTOS!$B$4:$B$1000,"MUESTRA")-SUMIFS(MOVIMIENTOS!$F$4:$F$1000,MOVIMIENTOS!$C$4:$C$1000,A624,MOVIMIENTOS!$D$4:$D$1000,B624,MOVIMIENTOS!$E$4:$E$1000,C624,MOVIMIENTOS!$B$4:$B$1000,"AJUSTE-"),0)</f>
        <v>0</v>
      </c>
      <c r="F624" s="101">
        <f>IFERROR(E624*VLOOKUP(B624,TELAS!$A$4:$C$32,3,FALSE()),0)</f>
        <v>0</v>
      </c>
      <c r="G624" s="102">
        <f>IFERROR(IF(D624="OSCURO",VLOOKUP(B624,PRECIOS!$A$4:$F$32,2,FALSE()),IF(D624="CLARO",VLOOKUP(B624,PRECIOS!$A$4:$F$32,3,FALSE()),IF(D624="MELANGE",VLOOKUP(B624,PRECIOS!$A$4:$F$32,4,FALSE()),IF(D624="PPT",VLOOKUP(B624,PRECIOS!$A$4:$F$32,5,FALSE()),0)))),0)</f>
        <v>24</v>
      </c>
      <c r="H624" s="103">
        <f t="shared" si="1"/>
        <v>0</v>
      </c>
      <c r="I624" s="104" t="str">
        <f>IF(E624&lt;0,"ERROR",IF(E624=0,"",IF(E624&lt;CONFIG!$B$4,"CRÍTICO",IF(E624&lt;CONFIG!$B$5,"BAJO","OK"))))</f>
        <v/>
      </c>
    </row>
    <row r="625" ht="15.75" customHeight="1">
      <c r="A625" s="90" t="str">
        <f>IF(CLIENTES!A8="","",CLIENTES!A8)</f>
        <v/>
      </c>
      <c r="B625" s="67" t="str">
        <f>TELAS!A7</f>
        <v>french terry 24/1</v>
      </c>
      <c r="C625" s="67" t="str">
        <f>COLORES!A5</f>
        <v>Perla</v>
      </c>
      <c r="D625" s="67" t="str">
        <f>COLORES!B5</f>
        <v>PPT</v>
      </c>
      <c r="E625" s="100">
        <f>IFERROR(SUMIFS(MOVIMIENTOS!$F$4:$F$1000,MOVIMIENTOS!$C$4:$C$1000,A625,MOVIMIENTOS!$D$4:$D$1000,B625,MOVIMIENTOS!$E$4:$E$1000,C625,MOVIMIENTOS!$B$4:$B$1000,"INGRESO")+SUMIFS(MOVIMIENTOS!$F$4:$F$1000,MOVIMIENTOS!$C$4:$C$1000,A625,MOVIMIENTOS!$D$4:$D$1000,B625,MOVIMIENTOS!$E$4:$E$1000,C625,MOVIMIENTOS!$B$4:$B$1000,"DE REPROCESO")+SUMIFS(MOVIMIENTOS!$F$4:$F$1000,MOVIMIENTOS!$C$4:$C$1000,A625,MOVIMIENTOS!$D$4:$D$1000,B625,MOVIMIENTOS!$E$4:$E$1000,C625,MOVIMIENTOS!$B$4:$B$1000,"AJUSTE+")-SUMIFS(MOVIMIENTOS!$F$4:$F$1000,MOVIMIENTOS!$C$4:$C$1000,A625,MOVIMIENTOS!$D$4:$D$1000,B625,MOVIMIENTOS!$E$4:$E$1000,C625,MOVIMIENTOS!$B$4:$B$1000,"A CORTE")-SUMIFS(MOVIMIENTOS!$F$4:$F$1000,MOVIMIENTOS!$C$4:$C$1000,A625,MOVIMIENTOS!$D$4:$D$1000,B625,MOVIMIENTOS!$E$4:$E$1000,C625,MOVIMIENTOS!$B$4:$B$1000,"A REPROCESO")-SUMIFS(MOVIMIENTOS!$F$4:$F$1000,MOVIMIENTOS!$C$4:$C$1000,A625,MOVIMIENTOS!$D$4:$D$1000,B625,MOVIMIENTOS!$E$4:$E$1000,C625,MOVIMIENTOS!$B$4:$B$1000,"MUESTRA")-SUMIFS(MOVIMIENTOS!$F$4:$F$1000,MOVIMIENTOS!$C$4:$C$1000,A625,MOVIMIENTOS!$D$4:$D$1000,B625,MOVIMIENTOS!$E$4:$E$1000,C625,MOVIMIENTOS!$B$4:$B$1000,"AJUSTE-"),0)</f>
        <v>0</v>
      </c>
      <c r="F625" s="101">
        <f>IFERROR(E625*VLOOKUP(B625,TELAS!$A$4:$C$32,3,FALSE()),0)</f>
        <v>0</v>
      </c>
      <c r="G625" s="102">
        <f>IFERROR(IF(D625="OSCURO",VLOOKUP(B625,PRECIOS!$A$4:$F$32,2,FALSE()),IF(D625="CLARO",VLOOKUP(B625,PRECIOS!$A$4:$F$32,3,FALSE()),IF(D625="MELANGE",VLOOKUP(B625,PRECIOS!$A$4:$F$32,4,FALSE()),IF(D625="PPT",VLOOKUP(B625,PRECIOS!$A$4:$F$32,5,FALSE()),0)))),0)</f>
        <v>18</v>
      </c>
      <c r="H625" s="103">
        <f t="shared" si="1"/>
        <v>0</v>
      </c>
      <c r="I625" s="104" t="str">
        <f>IF(E625&lt;0,"ERROR",IF(E625=0,"",IF(E625&lt;CONFIG!$B$4,"CRÍTICO",IF(E625&lt;CONFIG!$B$5,"BAJO","OK"))))</f>
        <v/>
      </c>
    </row>
    <row r="626" ht="15.75" customHeight="1">
      <c r="A626" s="90" t="str">
        <f>IF(CLIENTES!A8="","",CLIENTES!A8)</f>
        <v/>
      </c>
      <c r="B626" s="67" t="str">
        <f>TELAS!A7</f>
        <v>french terry 24/1</v>
      </c>
      <c r="C626" s="67" t="str">
        <f>COLORES!A6</f>
        <v>Blanco</v>
      </c>
      <c r="D626" s="67" t="str">
        <f>COLORES!B6</f>
        <v>PPT</v>
      </c>
      <c r="E626" s="100">
        <f>IFERROR(SUMIFS(MOVIMIENTOS!$F$4:$F$1000,MOVIMIENTOS!$C$4:$C$1000,A626,MOVIMIENTOS!$D$4:$D$1000,B626,MOVIMIENTOS!$E$4:$E$1000,C626,MOVIMIENTOS!$B$4:$B$1000,"INGRESO")+SUMIFS(MOVIMIENTOS!$F$4:$F$1000,MOVIMIENTOS!$C$4:$C$1000,A626,MOVIMIENTOS!$D$4:$D$1000,B626,MOVIMIENTOS!$E$4:$E$1000,C626,MOVIMIENTOS!$B$4:$B$1000,"DE REPROCESO")+SUMIFS(MOVIMIENTOS!$F$4:$F$1000,MOVIMIENTOS!$C$4:$C$1000,A626,MOVIMIENTOS!$D$4:$D$1000,B626,MOVIMIENTOS!$E$4:$E$1000,C626,MOVIMIENTOS!$B$4:$B$1000,"AJUSTE+")-SUMIFS(MOVIMIENTOS!$F$4:$F$1000,MOVIMIENTOS!$C$4:$C$1000,A626,MOVIMIENTOS!$D$4:$D$1000,B626,MOVIMIENTOS!$E$4:$E$1000,C626,MOVIMIENTOS!$B$4:$B$1000,"A CORTE")-SUMIFS(MOVIMIENTOS!$F$4:$F$1000,MOVIMIENTOS!$C$4:$C$1000,A626,MOVIMIENTOS!$D$4:$D$1000,B626,MOVIMIENTOS!$E$4:$E$1000,C626,MOVIMIENTOS!$B$4:$B$1000,"A REPROCESO")-SUMIFS(MOVIMIENTOS!$F$4:$F$1000,MOVIMIENTOS!$C$4:$C$1000,A626,MOVIMIENTOS!$D$4:$D$1000,B626,MOVIMIENTOS!$E$4:$E$1000,C626,MOVIMIENTOS!$B$4:$B$1000,"MUESTRA")-SUMIFS(MOVIMIENTOS!$F$4:$F$1000,MOVIMIENTOS!$C$4:$C$1000,A626,MOVIMIENTOS!$D$4:$D$1000,B626,MOVIMIENTOS!$E$4:$E$1000,C626,MOVIMIENTOS!$B$4:$B$1000,"AJUSTE-"),0)</f>
        <v>0</v>
      </c>
      <c r="F626" s="101">
        <f>IFERROR(E626*VLOOKUP(B626,TELAS!$A$4:$C$32,3,FALSE()),0)</f>
        <v>0</v>
      </c>
      <c r="G626" s="102">
        <f>IFERROR(IF(D626="OSCURO",VLOOKUP(B626,PRECIOS!$A$4:$F$32,2,FALSE()),IF(D626="CLARO",VLOOKUP(B626,PRECIOS!$A$4:$F$32,3,FALSE()),IF(D626="MELANGE",VLOOKUP(B626,PRECIOS!$A$4:$F$32,4,FALSE()),IF(D626="PPT",VLOOKUP(B626,PRECIOS!$A$4:$F$32,5,FALSE()),0)))),0)</f>
        <v>18</v>
      </c>
      <c r="H626" s="103">
        <f t="shared" si="1"/>
        <v>0</v>
      </c>
      <c r="I626" s="104" t="str">
        <f>IF(E626&lt;0,"ERROR",IF(E626=0,"",IF(E626&lt;CONFIG!$B$4,"CRÍTICO",IF(E626&lt;CONFIG!$B$5,"BAJO","OK"))))</f>
        <v/>
      </c>
    </row>
    <row r="627" ht="15.75" customHeight="1">
      <c r="A627" s="90" t="str">
        <f>IF(CLIENTES!A8="","",CLIENTES!A8)</f>
        <v/>
      </c>
      <c r="B627" s="67" t="str">
        <f>TELAS!A7</f>
        <v>french terry 24/1</v>
      </c>
      <c r="C627" s="67" t="str">
        <f>COLORES!A7</f>
        <v>Azul</v>
      </c>
      <c r="D627" s="67" t="str">
        <f>COLORES!B7</f>
        <v>OSCURO</v>
      </c>
      <c r="E627" s="100">
        <f>IFERROR(SUMIFS(MOVIMIENTOS!$F$4:$F$1000,MOVIMIENTOS!$C$4:$C$1000,A627,MOVIMIENTOS!$D$4:$D$1000,B627,MOVIMIENTOS!$E$4:$E$1000,C627,MOVIMIENTOS!$B$4:$B$1000,"INGRESO")+SUMIFS(MOVIMIENTOS!$F$4:$F$1000,MOVIMIENTOS!$C$4:$C$1000,A627,MOVIMIENTOS!$D$4:$D$1000,B627,MOVIMIENTOS!$E$4:$E$1000,C627,MOVIMIENTOS!$B$4:$B$1000,"DE REPROCESO")+SUMIFS(MOVIMIENTOS!$F$4:$F$1000,MOVIMIENTOS!$C$4:$C$1000,A627,MOVIMIENTOS!$D$4:$D$1000,B627,MOVIMIENTOS!$E$4:$E$1000,C627,MOVIMIENTOS!$B$4:$B$1000,"AJUSTE+")-SUMIFS(MOVIMIENTOS!$F$4:$F$1000,MOVIMIENTOS!$C$4:$C$1000,A627,MOVIMIENTOS!$D$4:$D$1000,B627,MOVIMIENTOS!$E$4:$E$1000,C627,MOVIMIENTOS!$B$4:$B$1000,"A CORTE")-SUMIFS(MOVIMIENTOS!$F$4:$F$1000,MOVIMIENTOS!$C$4:$C$1000,A627,MOVIMIENTOS!$D$4:$D$1000,B627,MOVIMIENTOS!$E$4:$E$1000,C627,MOVIMIENTOS!$B$4:$B$1000,"A REPROCESO")-SUMIFS(MOVIMIENTOS!$F$4:$F$1000,MOVIMIENTOS!$C$4:$C$1000,A627,MOVIMIENTOS!$D$4:$D$1000,B627,MOVIMIENTOS!$E$4:$E$1000,C627,MOVIMIENTOS!$B$4:$B$1000,"MUESTRA")-SUMIFS(MOVIMIENTOS!$F$4:$F$1000,MOVIMIENTOS!$C$4:$C$1000,A627,MOVIMIENTOS!$D$4:$D$1000,B627,MOVIMIENTOS!$E$4:$E$1000,C627,MOVIMIENTOS!$B$4:$B$1000,"AJUSTE-"),0)</f>
        <v>0</v>
      </c>
      <c r="F627" s="101">
        <f>IFERROR(E627*VLOOKUP(B627,TELAS!$A$4:$C$32,3,FALSE()),0)</f>
        <v>0</v>
      </c>
      <c r="G627" s="102">
        <f>IFERROR(IF(D627="OSCURO",VLOOKUP(B627,PRECIOS!$A$4:$F$32,2,FALSE()),IF(D627="CLARO",VLOOKUP(B627,PRECIOS!$A$4:$F$32,3,FALSE()),IF(D627="MELANGE",VLOOKUP(B627,PRECIOS!$A$4:$F$32,4,FALSE()),IF(D627="PPT",VLOOKUP(B627,PRECIOS!$A$4:$F$32,5,FALSE()),0)))),0)</f>
        <v>24</v>
      </c>
      <c r="H627" s="103">
        <f t="shared" si="1"/>
        <v>0</v>
      </c>
      <c r="I627" s="104" t="str">
        <f>IF(E627&lt;0,"ERROR",IF(E627=0,"",IF(E627&lt;CONFIG!$B$4,"CRÍTICO",IF(E627&lt;CONFIG!$B$5,"BAJO","OK"))))</f>
        <v/>
      </c>
    </row>
    <row r="628" ht="15.75" customHeight="1">
      <c r="A628" s="90" t="str">
        <f>IF(CLIENTES!A8="","",CLIENTES!A8)</f>
        <v/>
      </c>
      <c r="B628" s="67" t="str">
        <f>TELAS!A7</f>
        <v>french terry 24/1</v>
      </c>
      <c r="C628" s="67" t="str">
        <f>COLORES!A8</f>
        <v>Beige</v>
      </c>
      <c r="D628" s="67" t="str">
        <f>COLORES!B8</f>
        <v>CLARO</v>
      </c>
      <c r="E628" s="100">
        <f>IFERROR(SUMIFS(MOVIMIENTOS!$F$4:$F$1000,MOVIMIENTOS!$C$4:$C$1000,A628,MOVIMIENTOS!$D$4:$D$1000,B628,MOVIMIENTOS!$E$4:$E$1000,C628,MOVIMIENTOS!$B$4:$B$1000,"INGRESO")+SUMIFS(MOVIMIENTOS!$F$4:$F$1000,MOVIMIENTOS!$C$4:$C$1000,A628,MOVIMIENTOS!$D$4:$D$1000,B628,MOVIMIENTOS!$E$4:$E$1000,C628,MOVIMIENTOS!$B$4:$B$1000,"DE REPROCESO")+SUMIFS(MOVIMIENTOS!$F$4:$F$1000,MOVIMIENTOS!$C$4:$C$1000,A628,MOVIMIENTOS!$D$4:$D$1000,B628,MOVIMIENTOS!$E$4:$E$1000,C628,MOVIMIENTOS!$B$4:$B$1000,"AJUSTE+")-SUMIFS(MOVIMIENTOS!$F$4:$F$1000,MOVIMIENTOS!$C$4:$C$1000,A628,MOVIMIENTOS!$D$4:$D$1000,B628,MOVIMIENTOS!$E$4:$E$1000,C628,MOVIMIENTOS!$B$4:$B$1000,"A CORTE")-SUMIFS(MOVIMIENTOS!$F$4:$F$1000,MOVIMIENTOS!$C$4:$C$1000,A628,MOVIMIENTOS!$D$4:$D$1000,B628,MOVIMIENTOS!$E$4:$E$1000,C628,MOVIMIENTOS!$B$4:$B$1000,"A REPROCESO")-SUMIFS(MOVIMIENTOS!$F$4:$F$1000,MOVIMIENTOS!$C$4:$C$1000,A628,MOVIMIENTOS!$D$4:$D$1000,B628,MOVIMIENTOS!$E$4:$E$1000,C628,MOVIMIENTOS!$B$4:$B$1000,"MUESTRA")-SUMIFS(MOVIMIENTOS!$F$4:$F$1000,MOVIMIENTOS!$C$4:$C$1000,A628,MOVIMIENTOS!$D$4:$D$1000,B628,MOVIMIENTOS!$E$4:$E$1000,C628,MOVIMIENTOS!$B$4:$B$1000,"AJUSTE-"),0)</f>
        <v>0</v>
      </c>
      <c r="F628" s="101">
        <f>IFERROR(E628*VLOOKUP(B628,TELAS!$A$4:$C$32,3,FALSE()),0)</f>
        <v>0</v>
      </c>
      <c r="G628" s="102">
        <f>IFERROR(IF(D628="OSCURO",VLOOKUP(B628,PRECIOS!$A$4:$F$32,2,FALSE()),IF(D628="CLARO",VLOOKUP(B628,PRECIOS!$A$4:$F$32,3,FALSE()),IF(D628="MELANGE",VLOOKUP(B628,PRECIOS!$A$4:$F$32,4,FALSE()),IF(D628="PPT",VLOOKUP(B628,PRECIOS!$A$4:$F$32,5,FALSE()),0)))),0)</f>
        <v>21</v>
      </c>
      <c r="H628" s="103">
        <f t="shared" si="1"/>
        <v>0</v>
      </c>
      <c r="I628" s="104" t="str">
        <f>IF(E628&lt;0,"ERROR",IF(E628=0,"",IF(E628&lt;CONFIG!$B$4,"CRÍTICO",IF(E628&lt;CONFIG!$B$5,"BAJO","OK"))))</f>
        <v/>
      </c>
    </row>
    <row r="629" ht="15.75" customHeight="1">
      <c r="A629" s="90" t="str">
        <f>IF(CLIENTES!A8="","",CLIENTES!A8)</f>
        <v/>
      </c>
      <c r="B629" s="67" t="str">
        <f>TELAS!A7</f>
        <v>french terry 24/1</v>
      </c>
      <c r="C629" s="67" t="str">
        <f>COLORES!A9</f>
        <v>Melange</v>
      </c>
      <c r="D629" s="67" t="str">
        <f>COLORES!B9</f>
        <v>MELANGE</v>
      </c>
      <c r="E629" s="100">
        <f>IFERROR(SUMIFS(MOVIMIENTOS!$F$4:$F$1000,MOVIMIENTOS!$C$4:$C$1000,A629,MOVIMIENTOS!$D$4:$D$1000,B629,MOVIMIENTOS!$E$4:$E$1000,C629,MOVIMIENTOS!$B$4:$B$1000,"INGRESO")+SUMIFS(MOVIMIENTOS!$F$4:$F$1000,MOVIMIENTOS!$C$4:$C$1000,A629,MOVIMIENTOS!$D$4:$D$1000,B629,MOVIMIENTOS!$E$4:$E$1000,C629,MOVIMIENTOS!$B$4:$B$1000,"DE REPROCESO")+SUMIFS(MOVIMIENTOS!$F$4:$F$1000,MOVIMIENTOS!$C$4:$C$1000,A629,MOVIMIENTOS!$D$4:$D$1000,B629,MOVIMIENTOS!$E$4:$E$1000,C629,MOVIMIENTOS!$B$4:$B$1000,"AJUSTE+")-SUMIFS(MOVIMIENTOS!$F$4:$F$1000,MOVIMIENTOS!$C$4:$C$1000,A629,MOVIMIENTOS!$D$4:$D$1000,B629,MOVIMIENTOS!$E$4:$E$1000,C629,MOVIMIENTOS!$B$4:$B$1000,"A CORTE")-SUMIFS(MOVIMIENTOS!$F$4:$F$1000,MOVIMIENTOS!$C$4:$C$1000,A629,MOVIMIENTOS!$D$4:$D$1000,B629,MOVIMIENTOS!$E$4:$E$1000,C629,MOVIMIENTOS!$B$4:$B$1000,"A REPROCESO")-SUMIFS(MOVIMIENTOS!$F$4:$F$1000,MOVIMIENTOS!$C$4:$C$1000,A629,MOVIMIENTOS!$D$4:$D$1000,B629,MOVIMIENTOS!$E$4:$E$1000,C629,MOVIMIENTOS!$B$4:$B$1000,"MUESTRA")-SUMIFS(MOVIMIENTOS!$F$4:$F$1000,MOVIMIENTOS!$C$4:$C$1000,A629,MOVIMIENTOS!$D$4:$D$1000,B629,MOVIMIENTOS!$E$4:$E$1000,C629,MOVIMIENTOS!$B$4:$B$1000,"AJUSTE-"),0)</f>
        <v>0</v>
      </c>
      <c r="F629" s="101">
        <f>IFERROR(E629*VLOOKUP(B629,TELAS!$A$4:$C$32,3,FALSE()),0)</f>
        <v>0</v>
      </c>
      <c r="G629" s="102">
        <f>IFERROR(IF(D629="OSCURO",VLOOKUP(B629,PRECIOS!$A$4:$F$32,2,FALSE()),IF(D629="CLARO",VLOOKUP(B629,PRECIOS!$A$4:$F$32,3,FALSE()),IF(D629="MELANGE",VLOOKUP(B629,PRECIOS!$A$4:$F$32,4,FALSE()),IF(D629="PPT",VLOOKUP(B629,PRECIOS!$A$4:$F$32,5,FALSE()),0)))),0)</f>
        <v>18</v>
      </c>
      <c r="H629" s="103">
        <f t="shared" si="1"/>
        <v>0</v>
      </c>
      <c r="I629" s="104" t="str">
        <f>IF(E629&lt;0,"ERROR",IF(E629=0,"",IF(E629&lt;CONFIG!$B$4,"CRÍTICO",IF(E629&lt;CONFIG!$B$5,"BAJO","OK"))))</f>
        <v/>
      </c>
    </row>
    <row r="630" ht="15.75" customHeight="1">
      <c r="A630" s="90" t="str">
        <f>IF(CLIENTES!A8="","",CLIENTES!A8)</f>
        <v/>
      </c>
      <c r="B630" s="67" t="str">
        <f>TELAS!A7</f>
        <v>french terry 24/1</v>
      </c>
      <c r="C630" s="67" t="str">
        <f>COLORES!A10</f>
        <v>Botella</v>
      </c>
      <c r="D630" s="67" t="str">
        <f>COLORES!B10</f>
        <v>OSCURO</v>
      </c>
      <c r="E630" s="100">
        <f>IFERROR(SUMIFS(MOVIMIENTOS!$F$4:$F$1000,MOVIMIENTOS!$C$4:$C$1000,A630,MOVIMIENTOS!$D$4:$D$1000,B630,MOVIMIENTOS!$E$4:$E$1000,C630,MOVIMIENTOS!$B$4:$B$1000,"INGRESO")+SUMIFS(MOVIMIENTOS!$F$4:$F$1000,MOVIMIENTOS!$C$4:$C$1000,A630,MOVIMIENTOS!$D$4:$D$1000,B630,MOVIMIENTOS!$E$4:$E$1000,C630,MOVIMIENTOS!$B$4:$B$1000,"DE REPROCESO")+SUMIFS(MOVIMIENTOS!$F$4:$F$1000,MOVIMIENTOS!$C$4:$C$1000,A630,MOVIMIENTOS!$D$4:$D$1000,B630,MOVIMIENTOS!$E$4:$E$1000,C630,MOVIMIENTOS!$B$4:$B$1000,"AJUSTE+")-SUMIFS(MOVIMIENTOS!$F$4:$F$1000,MOVIMIENTOS!$C$4:$C$1000,A630,MOVIMIENTOS!$D$4:$D$1000,B630,MOVIMIENTOS!$E$4:$E$1000,C630,MOVIMIENTOS!$B$4:$B$1000,"A CORTE")-SUMIFS(MOVIMIENTOS!$F$4:$F$1000,MOVIMIENTOS!$C$4:$C$1000,A630,MOVIMIENTOS!$D$4:$D$1000,B630,MOVIMIENTOS!$E$4:$E$1000,C630,MOVIMIENTOS!$B$4:$B$1000,"A REPROCESO")-SUMIFS(MOVIMIENTOS!$F$4:$F$1000,MOVIMIENTOS!$C$4:$C$1000,A630,MOVIMIENTOS!$D$4:$D$1000,B630,MOVIMIENTOS!$E$4:$E$1000,C630,MOVIMIENTOS!$B$4:$B$1000,"MUESTRA")-SUMIFS(MOVIMIENTOS!$F$4:$F$1000,MOVIMIENTOS!$C$4:$C$1000,A630,MOVIMIENTOS!$D$4:$D$1000,B630,MOVIMIENTOS!$E$4:$E$1000,C630,MOVIMIENTOS!$B$4:$B$1000,"AJUSTE-"),0)</f>
        <v>0</v>
      </c>
      <c r="F630" s="101">
        <f>IFERROR(E630*VLOOKUP(B630,TELAS!$A$4:$C$32,3,FALSE()),0)</f>
        <v>0</v>
      </c>
      <c r="G630" s="102">
        <f>IFERROR(IF(D630="OSCURO",VLOOKUP(B630,PRECIOS!$A$4:$F$32,2,FALSE()),IF(D630="CLARO",VLOOKUP(B630,PRECIOS!$A$4:$F$32,3,FALSE()),IF(D630="MELANGE",VLOOKUP(B630,PRECIOS!$A$4:$F$32,4,FALSE()),IF(D630="PPT",VLOOKUP(B630,PRECIOS!$A$4:$F$32,5,FALSE()),0)))),0)</f>
        <v>24</v>
      </c>
      <c r="H630" s="103">
        <f t="shared" si="1"/>
        <v>0</v>
      </c>
      <c r="I630" s="104" t="str">
        <f>IF(E630&lt;0,"ERROR",IF(E630=0,"",IF(E630&lt;CONFIG!$B$4,"CRÍTICO",IF(E630&lt;CONFIG!$B$5,"BAJO","OK"))))</f>
        <v/>
      </c>
    </row>
    <row r="631" ht="15.75" customHeight="1">
      <c r="A631" s="90" t="str">
        <f>IF(CLIENTES!A8="","",CLIENTES!A8)</f>
        <v/>
      </c>
      <c r="B631" s="67" t="str">
        <f>TELAS!A7</f>
        <v>french terry 24/1</v>
      </c>
      <c r="C631" s="67" t="str">
        <f>COLORES!A11</f>
        <v>Pacay</v>
      </c>
      <c r="D631" s="67" t="str">
        <f>COLORES!B11</f>
        <v>CLARO</v>
      </c>
      <c r="E631" s="100">
        <f>IFERROR(SUMIFS(MOVIMIENTOS!$F$4:$F$1000,MOVIMIENTOS!$C$4:$C$1000,A631,MOVIMIENTOS!$D$4:$D$1000,B631,MOVIMIENTOS!$E$4:$E$1000,C631,MOVIMIENTOS!$B$4:$B$1000,"INGRESO")+SUMIFS(MOVIMIENTOS!$F$4:$F$1000,MOVIMIENTOS!$C$4:$C$1000,A631,MOVIMIENTOS!$D$4:$D$1000,B631,MOVIMIENTOS!$E$4:$E$1000,C631,MOVIMIENTOS!$B$4:$B$1000,"DE REPROCESO")+SUMIFS(MOVIMIENTOS!$F$4:$F$1000,MOVIMIENTOS!$C$4:$C$1000,A631,MOVIMIENTOS!$D$4:$D$1000,B631,MOVIMIENTOS!$E$4:$E$1000,C631,MOVIMIENTOS!$B$4:$B$1000,"AJUSTE+")-SUMIFS(MOVIMIENTOS!$F$4:$F$1000,MOVIMIENTOS!$C$4:$C$1000,A631,MOVIMIENTOS!$D$4:$D$1000,B631,MOVIMIENTOS!$E$4:$E$1000,C631,MOVIMIENTOS!$B$4:$B$1000,"A CORTE")-SUMIFS(MOVIMIENTOS!$F$4:$F$1000,MOVIMIENTOS!$C$4:$C$1000,A631,MOVIMIENTOS!$D$4:$D$1000,B631,MOVIMIENTOS!$E$4:$E$1000,C631,MOVIMIENTOS!$B$4:$B$1000,"A REPROCESO")-SUMIFS(MOVIMIENTOS!$F$4:$F$1000,MOVIMIENTOS!$C$4:$C$1000,A631,MOVIMIENTOS!$D$4:$D$1000,B631,MOVIMIENTOS!$E$4:$E$1000,C631,MOVIMIENTOS!$B$4:$B$1000,"MUESTRA")-SUMIFS(MOVIMIENTOS!$F$4:$F$1000,MOVIMIENTOS!$C$4:$C$1000,A631,MOVIMIENTOS!$D$4:$D$1000,B631,MOVIMIENTOS!$E$4:$E$1000,C631,MOVIMIENTOS!$B$4:$B$1000,"AJUSTE-"),0)</f>
        <v>0</v>
      </c>
      <c r="F631" s="101">
        <f>IFERROR(E631*VLOOKUP(B631,TELAS!$A$4:$C$32,3,FALSE()),0)</f>
        <v>0</v>
      </c>
      <c r="G631" s="102">
        <f>IFERROR(IF(D631="OSCURO",VLOOKUP(B631,PRECIOS!$A$4:$F$32,2,FALSE()),IF(D631="CLARO",VLOOKUP(B631,PRECIOS!$A$4:$F$32,3,FALSE()),IF(D631="MELANGE",VLOOKUP(B631,PRECIOS!$A$4:$F$32,4,FALSE()),IF(D631="PPT",VLOOKUP(B631,PRECIOS!$A$4:$F$32,5,FALSE()),0)))),0)</f>
        <v>21</v>
      </c>
      <c r="H631" s="103">
        <f t="shared" si="1"/>
        <v>0</v>
      </c>
      <c r="I631" s="104" t="str">
        <f>IF(E631&lt;0,"ERROR",IF(E631=0,"",IF(E631&lt;CONFIG!$B$4,"CRÍTICO",IF(E631&lt;CONFIG!$B$5,"BAJO","OK"))))</f>
        <v/>
      </c>
    </row>
    <row r="632" ht="15.75" customHeight="1">
      <c r="A632" s="90" t="str">
        <f>IF(CLIENTES!A8="","",CLIENTES!A8)</f>
        <v/>
      </c>
      <c r="B632" s="67" t="str">
        <f>TELAS!A7</f>
        <v>french terry 24/1</v>
      </c>
      <c r="C632" s="67" t="str">
        <f>COLORES!A12</f>
        <v>Cemento</v>
      </c>
      <c r="D632" s="67" t="str">
        <f>COLORES!B12</f>
        <v>CLARO</v>
      </c>
      <c r="E632" s="100">
        <f>IFERROR(SUMIFS(MOVIMIENTOS!$F$4:$F$1000,MOVIMIENTOS!$C$4:$C$1000,A632,MOVIMIENTOS!$D$4:$D$1000,B632,MOVIMIENTOS!$E$4:$E$1000,C632,MOVIMIENTOS!$B$4:$B$1000,"INGRESO")+SUMIFS(MOVIMIENTOS!$F$4:$F$1000,MOVIMIENTOS!$C$4:$C$1000,A632,MOVIMIENTOS!$D$4:$D$1000,B632,MOVIMIENTOS!$E$4:$E$1000,C632,MOVIMIENTOS!$B$4:$B$1000,"DE REPROCESO")+SUMIFS(MOVIMIENTOS!$F$4:$F$1000,MOVIMIENTOS!$C$4:$C$1000,A632,MOVIMIENTOS!$D$4:$D$1000,B632,MOVIMIENTOS!$E$4:$E$1000,C632,MOVIMIENTOS!$B$4:$B$1000,"AJUSTE+")-SUMIFS(MOVIMIENTOS!$F$4:$F$1000,MOVIMIENTOS!$C$4:$C$1000,A632,MOVIMIENTOS!$D$4:$D$1000,B632,MOVIMIENTOS!$E$4:$E$1000,C632,MOVIMIENTOS!$B$4:$B$1000,"A CORTE")-SUMIFS(MOVIMIENTOS!$F$4:$F$1000,MOVIMIENTOS!$C$4:$C$1000,A632,MOVIMIENTOS!$D$4:$D$1000,B632,MOVIMIENTOS!$E$4:$E$1000,C632,MOVIMIENTOS!$B$4:$B$1000,"A REPROCESO")-SUMIFS(MOVIMIENTOS!$F$4:$F$1000,MOVIMIENTOS!$C$4:$C$1000,A632,MOVIMIENTOS!$D$4:$D$1000,B632,MOVIMIENTOS!$E$4:$E$1000,C632,MOVIMIENTOS!$B$4:$B$1000,"MUESTRA")-SUMIFS(MOVIMIENTOS!$F$4:$F$1000,MOVIMIENTOS!$C$4:$C$1000,A632,MOVIMIENTOS!$D$4:$D$1000,B632,MOVIMIENTOS!$E$4:$E$1000,C632,MOVIMIENTOS!$B$4:$B$1000,"AJUSTE-"),0)</f>
        <v>0</v>
      </c>
      <c r="F632" s="101">
        <f>IFERROR(E632*VLOOKUP(B632,TELAS!$A$4:$C$32,3,FALSE()),0)</f>
        <v>0</v>
      </c>
      <c r="G632" s="102">
        <f>IFERROR(IF(D632="OSCURO",VLOOKUP(B632,PRECIOS!$A$4:$F$32,2,FALSE()),IF(D632="CLARO",VLOOKUP(B632,PRECIOS!$A$4:$F$32,3,FALSE()),IF(D632="MELANGE",VLOOKUP(B632,PRECIOS!$A$4:$F$32,4,FALSE()),IF(D632="PPT",VLOOKUP(B632,PRECIOS!$A$4:$F$32,5,FALSE()),0)))),0)</f>
        <v>21</v>
      </c>
      <c r="H632" s="103">
        <f t="shared" si="1"/>
        <v>0</v>
      </c>
      <c r="I632" s="104" t="str">
        <f>IF(E632&lt;0,"ERROR",IF(E632=0,"",IF(E632&lt;CONFIG!$B$4,"CRÍTICO",IF(E632&lt;CONFIG!$B$5,"BAJO","OK"))))</f>
        <v/>
      </c>
    </row>
    <row r="633" ht="15.75" customHeight="1">
      <c r="A633" s="90" t="str">
        <f>IF(CLIENTES!A8="","",CLIENTES!A8)</f>
        <v/>
      </c>
      <c r="B633" s="67" t="str">
        <f>TELAS!A7</f>
        <v>french terry 24/1</v>
      </c>
      <c r="C633" s="67" t="str">
        <f>COLORES!A13</f>
        <v>Camote</v>
      </c>
      <c r="D633" s="67" t="str">
        <f>COLORES!B13</f>
        <v>CLARO</v>
      </c>
      <c r="E633" s="100">
        <f>IFERROR(SUMIFS(MOVIMIENTOS!$F$4:$F$1000,MOVIMIENTOS!$C$4:$C$1000,A633,MOVIMIENTOS!$D$4:$D$1000,B633,MOVIMIENTOS!$E$4:$E$1000,C633,MOVIMIENTOS!$B$4:$B$1000,"INGRESO")+SUMIFS(MOVIMIENTOS!$F$4:$F$1000,MOVIMIENTOS!$C$4:$C$1000,A633,MOVIMIENTOS!$D$4:$D$1000,B633,MOVIMIENTOS!$E$4:$E$1000,C633,MOVIMIENTOS!$B$4:$B$1000,"DE REPROCESO")+SUMIFS(MOVIMIENTOS!$F$4:$F$1000,MOVIMIENTOS!$C$4:$C$1000,A633,MOVIMIENTOS!$D$4:$D$1000,B633,MOVIMIENTOS!$E$4:$E$1000,C633,MOVIMIENTOS!$B$4:$B$1000,"AJUSTE+")-SUMIFS(MOVIMIENTOS!$F$4:$F$1000,MOVIMIENTOS!$C$4:$C$1000,A633,MOVIMIENTOS!$D$4:$D$1000,B633,MOVIMIENTOS!$E$4:$E$1000,C633,MOVIMIENTOS!$B$4:$B$1000,"A CORTE")-SUMIFS(MOVIMIENTOS!$F$4:$F$1000,MOVIMIENTOS!$C$4:$C$1000,A633,MOVIMIENTOS!$D$4:$D$1000,B633,MOVIMIENTOS!$E$4:$E$1000,C633,MOVIMIENTOS!$B$4:$B$1000,"A REPROCESO")-SUMIFS(MOVIMIENTOS!$F$4:$F$1000,MOVIMIENTOS!$C$4:$C$1000,A633,MOVIMIENTOS!$D$4:$D$1000,B633,MOVIMIENTOS!$E$4:$E$1000,C633,MOVIMIENTOS!$B$4:$B$1000,"MUESTRA")-SUMIFS(MOVIMIENTOS!$F$4:$F$1000,MOVIMIENTOS!$C$4:$C$1000,A633,MOVIMIENTOS!$D$4:$D$1000,B633,MOVIMIENTOS!$E$4:$E$1000,C633,MOVIMIENTOS!$B$4:$B$1000,"AJUSTE-"),0)</f>
        <v>0</v>
      </c>
      <c r="F633" s="101">
        <f>IFERROR(E633*VLOOKUP(B633,TELAS!$A$4:$C$32,3,FALSE()),0)</f>
        <v>0</v>
      </c>
      <c r="G633" s="102">
        <f>IFERROR(IF(D633="OSCURO",VLOOKUP(B633,PRECIOS!$A$4:$F$32,2,FALSE()),IF(D633="CLARO",VLOOKUP(B633,PRECIOS!$A$4:$F$32,3,FALSE()),IF(D633="MELANGE",VLOOKUP(B633,PRECIOS!$A$4:$F$32,4,FALSE()),IF(D633="PPT",VLOOKUP(B633,PRECIOS!$A$4:$F$32,5,FALSE()),0)))),0)</f>
        <v>21</v>
      </c>
      <c r="H633" s="103">
        <f t="shared" si="1"/>
        <v>0</v>
      </c>
      <c r="I633" s="104" t="str">
        <f>IF(E633&lt;0,"ERROR",IF(E633=0,"",IF(E633&lt;CONFIG!$B$4,"CRÍTICO",IF(E633&lt;CONFIG!$B$5,"BAJO","OK"))))</f>
        <v/>
      </c>
    </row>
    <row r="634" ht="15.75" customHeight="1">
      <c r="A634" s="90" t="str">
        <f>IF(CLIENTES!A8="","",CLIENTES!A8)</f>
        <v/>
      </c>
      <c r="B634" s="67" t="str">
        <f>TELAS!A7</f>
        <v>french terry 24/1</v>
      </c>
      <c r="C634" s="67" t="str">
        <f>COLORES!A14</f>
        <v>Denim</v>
      </c>
      <c r="D634" s="67" t="str">
        <f>COLORES!B14</f>
        <v>CLARO</v>
      </c>
      <c r="E634" s="100">
        <f>IFERROR(SUMIFS(MOVIMIENTOS!$F$4:$F$1000,MOVIMIENTOS!$C$4:$C$1000,A634,MOVIMIENTOS!$D$4:$D$1000,B634,MOVIMIENTOS!$E$4:$E$1000,C634,MOVIMIENTOS!$B$4:$B$1000,"INGRESO")+SUMIFS(MOVIMIENTOS!$F$4:$F$1000,MOVIMIENTOS!$C$4:$C$1000,A634,MOVIMIENTOS!$D$4:$D$1000,B634,MOVIMIENTOS!$E$4:$E$1000,C634,MOVIMIENTOS!$B$4:$B$1000,"DE REPROCESO")+SUMIFS(MOVIMIENTOS!$F$4:$F$1000,MOVIMIENTOS!$C$4:$C$1000,A634,MOVIMIENTOS!$D$4:$D$1000,B634,MOVIMIENTOS!$E$4:$E$1000,C634,MOVIMIENTOS!$B$4:$B$1000,"AJUSTE+")-SUMIFS(MOVIMIENTOS!$F$4:$F$1000,MOVIMIENTOS!$C$4:$C$1000,A634,MOVIMIENTOS!$D$4:$D$1000,B634,MOVIMIENTOS!$E$4:$E$1000,C634,MOVIMIENTOS!$B$4:$B$1000,"A CORTE")-SUMIFS(MOVIMIENTOS!$F$4:$F$1000,MOVIMIENTOS!$C$4:$C$1000,A634,MOVIMIENTOS!$D$4:$D$1000,B634,MOVIMIENTOS!$E$4:$E$1000,C634,MOVIMIENTOS!$B$4:$B$1000,"A REPROCESO")-SUMIFS(MOVIMIENTOS!$F$4:$F$1000,MOVIMIENTOS!$C$4:$C$1000,A634,MOVIMIENTOS!$D$4:$D$1000,B634,MOVIMIENTOS!$E$4:$E$1000,C634,MOVIMIENTOS!$B$4:$B$1000,"MUESTRA")-SUMIFS(MOVIMIENTOS!$F$4:$F$1000,MOVIMIENTOS!$C$4:$C$1000,A634,MOVIMIENTOS!$D$4:$D$1000,B634,MOVIMIENTOS!$E$4:$E$1000,C634,MOVIMIENTOS!$B$4:$B$1000,"AJUSTE-"),0)</f>
        <v>0</v>
      </c>
      <c r="F634" s="101">
        <f>IFERROR(E634*VLOOKUP(B634,TELAS!$A$4:$C$32,3,FALSE()),0)</f>
        <v>0</v>
      </c>
      <c r="G634" s="102">
        <f>IFERROR(IF(D634="OSCURO",VLOOKUP(B634,PRECIOS!$A$4:$F$32,2,FALSE()),IF(D634="CLARO",VLOOKUP(B634,PRECIOS!$A$4:$F$32,3,FALSE()),IF(D634="MELANGE",VLOOKUP(B634,PRECIOS!$A$4:$F$32,4,FALSE()),IF(D634="PPT",VLOOKUP(B634,PRECIOS!$A$4:$F$32,5,FALSE()),0)))),0)</f>
        <v>21</v>
      </c>
      <c r="H634" s="103">
        <f t="shared" si="1"/>
        <v>0</v>
      </c>
      <c r="I634" s="104" t="str">
        <f>IF(E634&lt;0,"ERROR",IF(E634=0,"",IF(E634&lt;CONFIG!$B$4,"CRÍTICO",IF(E634&lt;CONFIG!$B$5,"BAJO","OK"))))</f>
        <v/>
      </c>
    </row>
    <row r="635" ht="15.75" customHeight="1">
      <c r="A635" s="90" t="str">
        <f>IF(CLIENTES!A8="","",CLIENTES!A8)</f>
        <v/>
      </c>
      <c r="B635" s="67" t="str">
        <f>TELAS!A7</f>
        <v>french terry 24/1</v>
      </c>
      <c r="C635" s="67" t="str">
        <f>COLORES!A15</f>
        <v>Plomo</v>
      </c>
      <c r="D635" s="67" t="str">
        <f>COLORES!B15</f>
        <v>OSCURO</v>
      </c>
      <c r="E635" s="100">
        <f>IFERROR(SUMIFS(MOVIMIENTOS!$F$4:$F$1000,MOVIMIENTOS!$C$4:$C$1000,A635,MOVIMIENTOS!$D$4:$D$1000,B635,MOVIMIENTOS!$E$4:$E$1000,C635,MOVIMIENTOS!$B$4:$B$1000,"INGRESO")+SUMIFS(MOVIMIENTOS!$F$4:$F$1000,MOVIMIENTOS!$C$4:$C$1000,A635,MOVIMIENTOS!$D$4:$D$1000,B635,MOVIMIENTOS!$E$4:$E$1000,C635,MOVIMIENTOS!$B$4:$B$1000,"DE REPROCESO")+SUMIFS(MOVIMIENTOS!$F$4:$F$1000,MOVIMIENTOS!$C$4:$C$1000,A635,MOVIMIENTOS!$D$4:$D$1000,B635,MOVIMIENTOS!$E$4:$E$1000,C635,MOVIMIENTOS!$B$4:$B$1000,"AJUSTE+")-SUMIFS(MOVIMIENTOS!$F$4:$F$1000,MOVIMIENTOS!$C$4:$C$1000,A635,MOVIMIENTOS!$D$4:$D$1000,B635,MOVIMIENTOS!$E$4:$E$1000,C635,MOVIMIENTOS!$B$4:$B$1000,"A CORTE")-SUMIFS(MOVIMIENTOS!$F$4:$F$1000,MOVIMIENTOS!$C$4:$C$1000,A635,MOVIMIENTOS!$D$4:$D$1000,B635,MOVIMIENTOS!$E$4:$E$1000,C635,MOVIMIENTOS!$B$4:$B$1000,"A REPROCESO")-SUMIFS(MOVIMIENTOS!$F$4:$F$1000,MOVIMIENTOS!$C$4:$C$1000,A635,MOVIMIENTOS!$D$4:$D$1000,B635,MOVIMIENTOS!$E$4:$E$1000,C635,MOVIMIENTOS!$B$4:$B$1000,"MUESTRA")-SUMIFS(MOVIMIENTOS!$F$4:$F$1000,MOVIMIENTOS!$C$4:$C$1000,A635,MOVIMIENTOS!$D$4:$D$1000,B635,MOVIMIENTOS!$E$4:$E$1000,C635,MOVIMIENTOS!$B$4:$B$1000,"AJUSTE-"),0)</f>
        <v>0</v>
      </c>
      <c r="F635" s="101">
        <f>IFERROR(E635*VLOOKUP(B635,TELAS!$A$4:$C$32,3,FALSE()),0)</f>
        <v>0</v>
      </c>
      <c r="G635" s="102">
        <f>IFERROR(IF(D635="OSCURO",VLOOKUP(B635,PRECIOS!$A$4:$F$32,2,FALSE()),IF(D635="CLARO",VLOOKUP(B635,PRECIOS!$A$4:$F$32,3,FALSE()),IF(D635="MELANGE",VLOOKUP(B635,PRECIOS!$A$4:$F$32,4,FALSE()),IF(D635="PPT",VLOOKUP(B635,PRECIOS!$A$4:$F$32,5,FALSE()),0)))),0)</f>
        <v>24</v>
      </c>
      <c r="H635" s="103">
        <f t="shared" si="1"/>
        <v>0</v>
      </c>
      <c r="I635" s="104" t="str">
        <f>IF(E635&lt;0,"ERROR",IF(E635=0,"",IF(E635&lt;CONFIG!$B$4,"CRÍTICO",IF(E635&lt;CONFIG!$B$5,"BAJO","OK"))))</f>
        <v/>
      </c>
    </row>
    <row r="636" ht="15.75" customHeight="1">
      <c r="A636" s="90" t="str">
        <f>IF(CLIENTES!A8="","",CLIENTES!A8)</f>
        <v/>
      </c>
      <c r="B636" s="67" t="str">
        <f>TELAS!A7</f>
        <v>french terry 24/1</v>
      </c>
      <c r="C636" s="67" t="str">
        <f>COLORES!A16</f>
        <v>Topo</v>
      </c>
      <c r="D636" s="67" t="str">
        <f>COLORES!B16</f>
        <v>CLARO</v>
      </c>
      <c r="E636" s="100">
        <f>IFERROR(SUMIFS(MOVIMIENTOS!$F$4:$F$1000,MOVIMIENTOS!$C$4:$C$1000,A636,MOVIMIENTOS!$D$4:$D$1000,B636,MOVIMIENTOS!$E$4:$E$1000,C636,MOVIMIENTOS!$B$4:$B$1000,"INGRESO")+SUMIFS(MOVIMIENTOS!$F$4:$F$1000,MOVIMIENTOS!$C$4:$C$1000,A636,MOVIMIENTOS!$D$4:$D$1000,B636,MOVIMIENTOS!$E$4:$E$1000,C636,MOVIMIENTOS!$B$4:$B$1000,"DE REPROCESO")+SUMIFS(MOVIMIENTOS!$F$4:$F$1000,MOVIMIENTOS!$C$4:$C$1000,A636,MOVIMIENTOS!$D$4:$D$1000,B636,MOVIMIENTOS!$E$4:$E$1000,C636,MOVIMIENTOS!$B$4:$B$1000,"AJUSTE+")-SUMIFS(MOVIMIENTOS!$F$4:$F$1000,MOVIMIENTOS!$C$4:$C$1000,A636,MOVIMIENTOS!$D$4:$D$1000,B636,MOVIMIENTOS!$E$4:$E$1000,C636,MOVIMIENTOS!$B$4:$B$1000,"A CORTE")-SUMIFS(MOVIMIENTOS!$F$4:$F$1000,MOVIMIENTOS!$C$4:$C$1000,A636,MOVIMIENTOS!$D$4:$D$1000,B636,MOVIMIENTOS!$E$4:$E$1000,C636,MOVIMIENTOS!$B$4:$B$1000,"A REPROCESO")-SUMIFS(MOVIMIENTOS!$F$4:$F$1000,MOVIMIENTOS!$C$4:$C$1000,A636,MOVIMIENTOS!$D$4:$D$1000,B636,MOVIMIENTOS!$E$4:$E$1000,C636,MOVIMIENTOS!$B$4:$B$1000,"MUESTRA")-SUMIFS(MOVIMIENTOS!$F$4:$F$1000,MOVIMIENTOS!$C$4:$C$1000,A636,MOVIMIENTOS!$D$4:$D$1000,B636,MOVIMIENTOS!$E$4:$E$1000,C636,MOVIMIENTOS!$B$4:$B$1000,"AJUSTE-"),0)</f>
        <v>0</v>
      </c>
      <c r="F636" s="101">
        <f>IFERROR(E636*VLOOKUP(B636,TELAS!$A$4:$C$32,3,FALSE()),0)</f>
        <v>0</v>
      </c>
      <c r="G636" s="102">
        <f>IFERROR(IF(D636="OSCURO",VLOOKUP(B636,PRECIOS!$A$4:$F$32,2,FALSE()),IF(D636="CLARO",VLOOKUP(B636,PRECIOS!$A$4:$F$32,3,FALSE()),IF(D636="MELANGE",VLOOKUP(B636,PRECIOS!$A$4:$F$32,4,FALSE()),IF(D636="PPT",VLOOKUP(B636,PRECIOS!$A$4:$F$32,5,FALSE()),0)))),0)</f>
        <v>21</v>
      </c>
      <c r="H636" s="103">
        <f t="shared" si="1"/>
        <v>0</v>
      </c>
      <c r="I636" s="104" t="str">
        <f>IF(E636&lt;0,"ERROR",IF(E636=0,"",IF(E636&lt;CONFIG!$B$4,"CRÍTICO",IF(E636&lt;CONFIG!$B$5,"BAJO","OK"))))</f>
        <v/>
      </c>
    </row>
    <row r="637" ht="15.75" customHeight="1">
      <c r="A637" s="90" t="str">
        <f>IF(CLIENTES!A8="","",CLIENTES!A8)</f>
        <v/>
      </c>
      <c r="B637" s="67" t="str">
        <f>TELAS!A7</f>
        <v>french terry 24/1</v>
      </c>
      <c r="C637" s="67" t="str">
        <f>COLORES!A17</f>
        <v>Vino</v>
      </c>
      <c r="D637" s="67" t="str">
        <f>COLORES!B17</f>
        <v>OSCURO</v>
      </c>
      <c r="E637" s="100">
        <f>IFERROR(SUMIFS(MOVIMIENTOS!$F$4:$F$1000,MOVIMIENTOS!$C$4:$C$1000,A637,MOVIMIENTOS!$D$4:$D$1000,B637,MOVIMIENTOS!$E$4:$E$1000,C637,MOVIMIENTOS!$B$4:$B$1000,"INGRESO")+SUMIFS(MOVIMIENTOS!$F$4:$F$1000,MOVIMIENTOS!$C$4:$C$1000,A637,MOVIMIENTOS!$D$4:$D$1000,B637,MOVIMIENTOS!$E$4:$E$1000,C637,MOVIMIENTOS!$B$4:$B$1000,"DE REPROCESO")+SUMIFS(MOVIMIENTOS!$F$4:$F$1000,MOVIMIENTOS!$C$4:$C$1000,A637,MOVIMIENTOS!$D$4:$D$1000,B637,MOVIMIENTOS!$E$4:$E$1000,C637,MOVIMIENTOS!$B$4:$B$1000,"AJUSTE+")-SUMIFS(MOVIMIENTOS!$F$4:$F$1000,MOVIMIENTOS!$C$4:$C$1000,A637,MOVIMIENTOS!$D$4:$D$1000,B637,MOVIMIENTOS!$E$4:$E$1000,C637,MOVIMIENTOS!$B$4:$B$1000,"A CORTE")-SUMIFS(MOVIMIENTOS!$F$4:$F$1000,MOVIMIENTOS!$C$4:$C$1000,A637,MOVIMIENTOS!$D$4:$D$1000,B637,MOVIMIENTOS!$E$4:$E$1000,C637,MOVIMIENTOS!$B$4:$B$1000,"A REPROCESO")-SUMIFS(MOVIMIENTOS!$F$4:$F$1000,MOVIMIENTOS!$C$4:$C$1000,A637,MOVIMIENTOS!$D$4:$D$1000,B637,MOVIMIENTOS!$E$4:$E$1000,C637,MOVIMIENTOS!$B$4:$B$1000,"MUESTRA")-SUMIFS(MOVIMIENTOS!$F$4:$F$1000,MOVIMIENTOS!$C$4:$C$1000,A637,MOVIMIENTOS!$D$4:$D$1000,B637,MOVIMIENTOS!$E$4:$E$1000,C637,MOVIMIENTOS!$B$4:$B$1000,"AJUSTE-"),0)</f>
        <v>0</v>
      </c>
      <c r="F637" s="101">
        <f>IFERROR(E637*VLOOKUP(B637,TELAS!$A$4:$C$32,3,FALSE()),0)</f>
        <v>0</v>
      </c>
      <c r="G637" s="102">
        <f>IFERROR(IF(D637="OSCURO",VLOOKUP(B637,PRECIOS!$A$4:$F$32,2,FALSE()),IF(D637="CLARO",VLOOKUP(B637,PRECIOS!$A$4:$F$32,3,FALSE()),IF(D637="MELANGE",VLOOKUP(B637,PRECIOS!$A$4:$F$32,4,FALSE()),IF(D637="PPT",VLOOKUP(B637,PRECIOS!$A$4:$F$32,5,FALSE()),0)))),0)</f>
        <v>24</v>
      </c>
      <c r="H637" s="103">
        <f t="shared" si="1"/>
        <v>0</v>
      </c>
      <c r="I637" s="104" t="str">
        <f>IF(E637&lt;0,"ERROR",IF(E637=0,"",IF(E637&lt;CONFIG!$B$4,"CRÍTICO",IF(E637&lt;CONFIG!$B$5,"BAJO","OK"))))</f>
        <v/>
      </c>
    </row>
    <row r="638" ht="15.75" customHeight="1">
      <c r="A638" s="90" t="str">
        <f>IF(CLIENTES!A8="","",CLIENTES!A8)</f>
        <v/>
      </c>
      <c r="B638" s="67" t="str">
        <f>TELAS!A7</f>
        <v>french terry 24/1</v>
      </c>
      <c r="C638" s="67" t="str">
        <f>COLORES!A18</f>
        <v>P. Rosa</v>
      </c>
      <c r="D638" s="67" t="str">
        <f>COLORES!B18</f>
        <v>CLARO</v>
      </c>
      <c r="E638" s="100">
        <f>IFERROR(SUMIFS(MOVIMIENTOS!$F$4:$F$1000,MOVIMIENTOS!$C$4:$C$1000,A638,MOVIMIENTOS!$D$4:$D$1000,B638,MOVIMIENTOS!$E$4:$E$1000,C638,MOVIMIENTOS!$B$4:$B$1000,"INGRESO")+SUMIFS(MOVIMIENTOS!$F$4:$F$1000,MOVIMIENTOS!$C$4:$C$1000,A638,MOVIMIENTOS!$D$4:$D$1000,B638,MOVIMIENTOS!$E$4:$E$1000,C638,MOVIMIENTOS!$B$4:$B$1000,"DE REPROCESO")+SUMIFS(MOVIMIENTOS!$F$4:$F$1000,MOVIMIENTOS!$C$4:$C$1000,A638,MOVIMIENTOS!$D$4:$D$1000,B638,MOVIMIENTOS!$E$4:$E$1000,C638,MOVIMIENTOS!$B$4:$B$1000,"AJUSTE+")-SUMIFS(MOVIMIENTOS!$F$4:$F$1000,MOVIMIENTOS!$C$4:$C$1000,A638,MOVIMIENTOS!$D$4:$D$1000,B638,MOVIMIENTOS!$E$4:$E$1000,C638,MOVIMIENTOS!$B$4:$B$1000,"A CORTE")-SUMIFS(MOVIMIENTOS!$F$4:$F$1000,MOVIMIENTOS!$C$4:$C$1000,A638,MOVIMIENTOS!$D$4:$D$1000,B638,MOVIMIENTOS!$E$4:$E$1000,C638,MOVIMIENTOS!$B$4:$B$1000,"A REPROCESO")-SUMIFS(MOVIMIENTOS!$F$4:$F$1000,MOVIMIENTOS!$C$4:$C$1000,A638,MOVIMIENTOS!$D$4:$D$1000,B638,MOVIMIENTOS!$E$4:$E$1000,C638,MOVIMIENTOS!$B$4:$B$1000,"MUESTRA")-SUMIFS(MOVIMIENTOS!$F$4:$F$1000,MOVIMIENTOS!$C$4:$C$1000,A638,MOVIMIENTOS!$D$4:$D$1000,B638,MOVIMIENTOS!$E$4:$E$1000,C638,MOVIMIENTOS!$B$4:$B$1000,"AJUSTE-"),0)</f>
        <v>0</v>
      </c>
      <c r="F638" s="101">
        <f>IFERROR(E638*VLOOKUP(B638,TELAS!$A$4:$C$32,3,FALSE()),0)</f>
        <v>0</v>
      </c>
      <c r="G638" s="102">
        <f>IFERROR(IF(D638="OSCURO",VLOOKUP(B638,PRECIOS!$A$4:$F$32,2,FALSE()),IF(D638="CLARO",VLOOKUP(B638,PRECIOS!$A$4:$F$32,3,FALSE()),IF(D638="MELANGE",VLOOKUP(B638,PRECIOS!$A$4:$F$32,4,FALSE()),IF(D638="PPT",VLOOKUP(B638,PRECIOS!$A$4:$F$32,5,FALSE()),0)))),0)</f>
        <v>21</v>
      </c>
      <c r="H638" s="103">
        <f t="shared" si="1"/>
        <v>0</v>
      </c>
      <c r="I638" s="104" t="str">
        <f>IF(E638&lt;0,"ERROR",IF(E638=0,"",IF(E638&lt;CONFIG!$B$4,"CRÍTICO",IF(E638&lt;CONFIG!$B$5,"BAJO","OK"))))</f>
        <v/>
      </c>
    </row>
    <row r="639" ht="15.75" customHeight="1">
      <c r="A639" s="90" t="str">
        <f>IF(CLIENTES!A8="","",CLIENTES!A8)</f>
        <v/>
      </c>
      <c r="B639" s="67" t="str">
        <f>TELAS!A7</f>
        <v>french terry 24/1</v>
      </c>
      <c r="C639" s="67" t="str">
        <f>COLORES!A19</f>
        <v/>
      </c>
      <c r="D639" s="67" t="str">
        <f>COLORES!B19</f>
        <v/>
      </c>
      <c r="E639" s="100">
        <f>IFERROR(SUMIFS(MOVIMIENTOS!$F$4:$F$1000,MOVIMIENTOS!$C$4:$C$1000,A639,MOVIMIENTOS!$D$4:$D$1000,B639,MOVIMIENTOS!$E$4:$E$1000,C639,MOVIMIENTOS!$B$4:$B$1000,"INGRESO")+SUMIFS(MOVIMIENTOS!$F$4:$F$1000,MOVIMIENTOS!$C$4:$C$1000,A639,MOVIMIENTOS!$D$4:$D$1000,B639,MOVIMIENTOS!$E$4:$E$1000,C639,MOVIMIENTOS!$B$4:$B$1000,"DE REPROCESO")+SUMIFS(MOVIMIENTOS!$F$4:$F$1000,MOVIMIENTOS!$C$4:$C$1000,A639,MOVIMIENTOS!$D$4:$D$1000,B639,MOVIMIENTOS!$E$4:$E$1000,C639,MOVIMIENTOS!$B$4:$B$1000,"AJUSTE+")-SUMIFS(MOVIMIENTOS!$F$4:$F$1000,MOVIMIENTOS!$C$4:$C$1000,A639,MOVIMIENTOS!$D$4:$D$1000,B639,MOVIMIENTOS!$E$4:$E$1000,C639,MOVIMIENTOS!$B$4:$B$1000,"A CORTE")-SUMIFS(MOVIMIENTOS!$F$4:$F$1000,MOVIMIENTOS!$C$4:$C$1000,A639,MOVIMIENTOS!$D$4:$D$1000,B639,MOVIMIENTOS!$E$4:$E$1000,C639,MOVIMIENTOS!$B$4:$B$1000,"A REPROCESO")-SUMIFS(MOVIMIENTOS!$F$4:$F$1000,MOVIMIENTOS!$C$4:$C$1000,A639,MOVIMIENTOS!$D$4:$D$1000,B639,MOVIMIENTOS!$E$4:$E$1000,C639,MOVIMIENTOS!$B$4:$B$1000,"MUESTRA")-SUMIFS(MOVIMIENTOS!$F$4:$F$1000,MOVIMIENTOS!$C$4:$C$1000,A639,MOVIMIENTOS!$D$4:$D$1000,B639,MOVIMIENTOS!$E$4:$E$1000,C639,MOVIMIENTOS!$B$4:$B$1000,"AJUSTE-"),0)</f>
        <v>0</v>
      </c>
      <c r="F639" s="101">
        <f>IFERROR(E639*VLOOKUP(B639,TELAS!$A$4:$C$32,3,FALSE()),0)</f>
        <v>0</v>
      </c>
      <c r="G639" s="102">
        <f>IFERROR(IF(D639="OSCURO",VLOOKUP(B639,PRECIOS!$A$4:$F$32,2,FALSE()),IF(D639="CLARO",VLOOKUP(B639,PRECIOS!$A$4:$F$32,3,FALSE()),IF(D639="MELANGE",VLOOKUP(B639,PRECIOS!$A$4:$F$32,4,FALSE()),IF(D639="PPT",VLOOKUP(B639,PRECIOS!$A$4:$F$32,5,FALSE()),0)))),0)</f>
        <v>0</v>
      </c>
      <c r="H639" s="103">
        <f t="shared" si="1"/>
        <v>0</v>
      </c>
      <c r="I639" s="104" t="str">
        <f>IF(E639&lt;0,"ERROR",IF(E639=0,"",IF(E639&lt;CONFIG!$B$4,"CRÍTICO",IF(E639&lt;CONFIG!$B$5,"BAJO","OK"))))</f>
        <v/>
      </c>
    </row>
    <row r="640" ht="15.75" customHeight="1">
      <c r="A640" s="90" t="str">
        <f>IF(CLIENTES!A8="","",CLIENTES!A8)</f>
        <v/>
      </c>
      <c r="B640" s="67" t="str">
        <f>TELAS!A7</f>
        <v>french terry 24/1</v>
      </c>
      <c r="C640" s="67" t="str">
        <f>COLORES!A20</f>
        <v/>
      </c>
      <c r="D640" s="67" t="str">
        <f>COLORES!B20</f>
        <v/>
      </c>
      <c r="E640" s="100">
        <f>IFERROR(SUMIFS(MOVIMIENTOS!$F$4:$F$1000,MOVIMIENTOS!$C$4:$C$1000,A640,MOVIMIENTOS!$D$4:$D$1000,B640,MOVIMIENTOS!$E$4:$E$1000,C640,MOVIMIENTOS!$B$4:$B$1000,"INGRESO")+SUMIFS(MOVIMIENTOS!$F$4:$F$1000,MOVIMIENTOS!$C$4:$C$1000,A640,MOVIMIENTOS!$D$4:$D$1000,B640,MOVIMIENTOS!$E$4:$E$1000,C640,MOVIMIENTOS!$B$4:$B$1000,"DE REPROCESO")+SUMIFS(MOVIMIENTOS!$F$4:$F$1000,MOVIMIENTOS!$C$4:$C$1000,A640,MOVIMIENTOS!$D$4:$D$1000,B640,MOVIMIENTOS!$E$4:$E$1000,C640,MOVIMIENTOS!$B$4:$B$1000,"AJUSTE+")-SUMIFS(MOVIMIENTOS!$F$4:$F$1000,MOVIMIENTOS!$C$4:$C$1000,A640,MOVIMIENTOS!$D$4:$D$1000,B640,MOVIMIENTOS!$E$4:$E$1000,C640,MOVIMIENTOS!$B$4:$B$1000,"A CORTE")-SUMIFS(MOVIMIENTOS!$F$4:$F$1000,MOVIMIENTOS!$C$4:$C$1000,A640,MOVIMIENTOS!$D$4:$D$1000,B640,MOVIMIENTOS!$E$4:$E$1000,C640,MOVIMIENTOS!$B$4:$B$1000,"A REPROCESO")-SUMIFS(MOVIMIENTOS!$F$4:$F$1000,MOVIMIENTOS!$C$4:$C$1000,A640,MOVIMIENTOS!$D$4:$D$1000,B640,MOVIMIENTOS!$E$4:$E$1000,C640,MOVIMIENTOS!$B$4:$B$1000,"MUESTRA")-SUMIFS(MOVIMIENTOS!$F$4:$F$1000,MOVIMIENTOS!$C$4:$C$1000,A640,MOVIMIENTOS!$D$4:$D$1000,B640,MOVIMIENTOS!$E$4:$E$1000,C640,MOVIMIENTOS!$B$4:$B$1000,"AJUSTE-"),0)</f>
        <v>0</v>
      </c>
      <c r="F640" s="101">
        <f>IFERROR(E640*VLOOKUP(B640,TELAS!$A$4:$C$32,3,FALSE()),0)</f>
        <v>0</v>
      </c>
      <c r="G640" s="102">
        <f>IFERROR(IF(D640="OSCURO",VLOOKUP(B640,PRECIOS!$A$4:$F$32,2,FALSE()),IF(D640="CLARO",VLOOKUP(B640,PRECIOS!$A$4:$F$32,3,FALSE()),IF(D640="MELANGE",VLOOKUP(B640,PRECIOS!$A$4:$F$32,4,FALSE()),IF(D640="PPT",VLOOKUP(B640,PRECIOS!$A$4:$F$32,5,FALSE()),0)))),0)</f>
        <v>0</v>
      </c>
      <c r="H640" s="103">
        <f t="shared" si="1"/>
        <v>0</v>
      </c>
      <c r="I640" s="104" t="str">
        <f>IF(E640&lt;0,"ERROR",IF(E640=0,"",IF(E640&lt;CONFIG!$B$4,"CRÍTICO",IF(E640&lt;CONFIG!$B$5,"BAJO","OK"))))</f>
        <v/>
      </c>
    </row>
    <row r="641" ht="15.75" customHeight="1">
      <c r="A641" s="90" t="str">
        <f>IF(CLIENTES!A8="","",CLIENTES!A8)</f>
        <v/>
      </c>
      <c r="B641" s="67" t="str">
        <f>TELAS!A7</f>
        <v>french terry 24/1</v>
      </c>
      <c r="C641" s="67" t="str">
        <f>COLORES!A21</f>
        <v/>
      </c>
      <c r="D641" s="67" t="str">
        <f>COLORES!B21</f>
        <v/>
      </c>
      <c r="E641" s="100">
        <f>IFERROR(SUMIFS(MOVIMIENTOS!$F$4:$F$1000,MOVIMIENTOS!$C$4:$C$1000,A641,MOVIMIENTOS!$D$4:$D$1000,B641,MOVIMIENTOS!$E$4:$E$1000,C641,MOVIMIENTOS!$B$4:$B$1000,"INGRESO")+SUMIFS(MOVIMIENTOS!$F$4:$F$1000,MOVIMIENTOS!$C$4:$C$1000,A641,MOVIMIENTOS!$D$4:$D$1000,B641,MOVIMIENTOS!$E$4:$E$1000,C641,MOVIMIENTOS!$B$4:$B$1000,"DE REPROCESO")+SUMIFS(MOVIMIENTOS!$F$4:$F$1000,MOVIMIENTOS!$C$4:$C$1000,A641,MOVIMIENTOS!$D$4:$D$1000,B641,MOVIMIENTOS!$E$4:$E$1000,C641,MOVIMIENTOS!$B$4:$B$1000,"AJUSTE+")-SUMIFS(MOVIMIENTOS!$F$4:$F$1000,MOVIMIENTOS!$C$4:$C$1000,A641,MOVIMIENTOS!$D$4:$D$1000,B641,MOVIMIENTOS!$E$4:$E$1000,C641,MOVIMIENTOS!$B$4:$B$1000,"A CORTE")-SUMIFS(MOVIMIENTOS!$F$4:$F$1000,MOVIMIENTOS!$C$4:$C$1000,A641,MOVIMIENTOS!$D$4:$D$1000,B641,MOVIMIENTOS!$E$4:$E$1000,C641,MOVIMIENTOS!$B$4:$B$1000,"A REPROCESO")-SUMIFS(MOVIMIENTOS!$F$4:$F$1000,MOVIMIENTOS!$C$4:$C$1000,A641,MOVIMIENTOS!$D$4:$D$1000,B641,MOVIMIENTOS!$E$4:$E$1000,C641,MOVIMIENTOS!$B$4:$B$1000,"MUESTRA")-SUMIFS(MOVIMIENTOS!$F$4:$F$1000,MOVIMIENTOS!$C$4:$C$1000,A641,MOVIMIENTOS!$D$4:$D$1000,B641,MOVIMIENTOS!$E$4:$E$1000,C641,MOVIMIENTOS!$B$4:$B$1000,"AJUSTE-"),0)</f>
        <v>0</v>
      </c>
      <c r="F641" s="101">
        <f>IFERROR(E641*VLOOKUP(B641,TELAS!$A$4:$C$32,3,FALSE()),0)</f>
        <v>0</v>
      </c>
      <c r="G641" s="102">
        <f>IFERROR(IF(D641="OSCURO",VLOOKUP(B641,PRECIOS!$A$4:$F$32,2,FALSE()),IF(D641="CLARO",VLOOKUP(B641,PRECIOS!$A$4:$F$32,3,FALSE()),IF(D641="MELANGE",VLOOKUP(B641,PRECIOS!$A$4:$F$32,4,FALSE()),IF(D641="PPT",VLOOKUP(B641,PRECIOS!$A$4:$F$32,5,FALSE()),0)))),0)</f>
        <v>0</v>
      </c>
      <c r="H641" s="103">
        <f t="shared" si="1"/>
        <v>0</v>
      </c>
      <c r="I641" s="104" t="str">
        <f>IF(E641&lt;0,"ERROR",IF(E641=0,"",IF(E641&lt;CONFIG!$B$4,"CRÍTICO",IF(E641&lt;CONFIG!$B$5,"BAJO","OK"))))</f>
        <v/>
      </c>
    </row>
    <row r="642" ht="15.75" customHeight="1">
      <c r="A642" s="90" t="str">
        <f>IF(CLIENTES!A8="","",CLIENTES!A8)</f>
        <v/>
      </c>
      <c r="B642" s="67" t="str">
        <f>TELAS!A7</f>
        <v>french terry 24/1</v>
      </c>
      <c r="C642" s="67" t="str">
        <f>COLORES!A22</f>
        <v/>
      </c>
      <c r="D642" s="67" t="str">
        <f>COLORES!B22</f>
        <v/>
      </c>
      <c r="E642" s="100">
        <f>IFERROR(SUMIFS(MOVIMIENTOS!$F$4:$F$1000,MOVIMIENTOS!$C$4:$C$1000,A642,MOVIMIENTOS!$D$4:$D$1000,B642,MOVIMIENTOS!$E$4:$E$1000,C642,MOVIMIENTOS!$B$4:$B$1000,"INGRESO")+SUMIFS(MOVIMIENTOS!$F$4:$F$1000,MOVIMIENTOS!$C$4:$C$1000,A642,MOVIMIENTOS!$D$4:$D$1000,B642,MOVIMIENTOS!$E$4:$E$1000,C642,MOVIMIENTOS!$B$4:$B$1000,"DE REPROCESO")+SUMIFS(MOVIMIENTOS!$F$4:$F$1000,MOVIMIENTOS!$C$4:$C$1000,A642,MOVIMIENTOS!$D$4:$D$1000,B642,MOVIMIENTOS!$E$4:$E$1000,C642,MOVIMIENTOS!$B$4:$B$1000,"AJUSTE+")-SUMIFS(MOVIMIENTOS!$F$4:$F$1000,MOVIMIENTOS!$C$4:$C$1000,A642,MOVIMIENTOS!$D$4:$D$1000,B642,MOVIMIENTOS!$E$4:$E$1000,C642,MOVIMIENTOS!$B$4:$B$1000,"A CORTE")-SUMIFS(MOVIMIENTOS!$F$4:$F$1000,MOVIMIENTOS!$C$4:$C$1000,A642,MOVIMIENTOS!$D$4:$D$1000,B642,MOVIMIENTOS!$E$4:$E$1000,C642,MOVIMIENTOS!$B$4:$B$1000,"A REPROCESO")-SUMIFS(MOVIMIENTOS!$F$4:$F$1000,MOVIMIENTOS!$C$4:$C$1000,A642,MOVIMIENTOS!$D$4:$D$1000,B642,MOVIMIENTOS!$E$4:$E$1000,C642,MOVIMIENTOS!$B$4:$B$1000,"MUESTRA")-SUMIFS(MOVIMIENTOS!$F$4:$F$1000,MOVIMIENTOS!$C$4:$C$1000,A642,MOVIMIENTOS!$D$4:$D$1000,B642,MOVIMIENTOS!$E$4:$E$1000,C642,MOVIMIENTOS!$B$4:$B$1000,"AJUSTE-"),0)</f>
        <v>0</v>
      </c>
      <c r="F642" s="101">
        <f>IFERROR(E642*VLOOKUP(B642,TELAS!$A$4:$C$32,3,FALSE()),0)</f>
        <v>0</v>
      </c>
      <c r="G642" s="102">
        <f>IFERROR(IF(D642="OSCURO",VLOOKUP(B642,PRECIOS!$A$4:$F$32,2,FALSE()),IF(D642="CLARO",VLOOKUP(B642,PRECIOS!$A$4:$F$32,3,FALSE()),IF(D642="MELANGE",VLOOKUP(B642,PRECIOS!$A$4:$F$32,4,FALSE()),IF(D642="PPT",VLOOKUP(B642,PRECIOS!$A$4:$F$32,5,FALSE()),0)))),0)</f>
        <v>0</v>
      </c>
      <c r="H642" s="103">
        <f t="shared" si="1"/>
        <v>0</v>
      </c>
      <c r="I642" s="104" t="str">
        <f>IF(E642&lt;0,"ERROR",IF(E642=0,"",IF(E642&lt;CONFIG!$B$4,"CRÍTICO",IF(E642&lt;CONFIG!$B$5,"BAJO","OK"))))</f>
        <v/>
      </c>
    </row>
    <row r="643" ht="15.75" customHeight="1">
      <c r="A643" s="90" t="str">
        <f>IF(CLIENTES!A8="","",CLIENTES!A8)</f>
        <v/>
      </c>
      <c r="B643" s="67" t="str">
        <f>TELAS!A7</f>
        <v>french terry 24/1</v>
      </c>
      <c r="C643" s="67" t="str">
        <f>COLORES!A23</f>
        <v/>
      </c>
      <c r="D643" s="67" t="str">
        <f>COLORES!B23</f>
        <v/>
      </c>
      <c r="E643" s="100">
        <f>IFERROR(SUMIFS(MOVIMIENTOS!$F$4:$F$1000,MOVIMIENTOS!$C$4:$C$1000,A643,MOVIMIENTOS!$D$4:$D$1000,B643,MOVIMIENTOS!$E$4:$E$1000,C643,MOVIMIENTOS!$B$4:$B$1000,"INGRESO")+SUMIFS(MOVIMIENTOS!$F$4:$F$1000,MOVIMIENTOS!$C$4:$C$1000,A643,MOVIMIENTOS!$D$4:$D$1000,B643,MOVIMIENTOS!$E$4:$E$1000,C643,MOVIMIENTOS!$B$4:$B$1000,"DE REPROCESO")+SUMIFS(MOVIMIENTOS!$F$4:$F$1000,MOVIMIENTOS!$C$4:$C$1000,A643,MOVIMIENTOS!$D$4:$D$1000,B643,MOVIMIENTOS!$E$4:$E$1000,C643,MOVIMIENTOS!$B$4:$B$1000,"AJUSTE+")-SUMIFS(MOVIMIENTOS!$F$4:$F$1000,MOVIMIENTOS!$C$4:$C$1000,A643,MOVIMIENTOS!$D$4:$D$1000,B643,MOVIMIENTOS!$E$4:$E$1000,C643,MOVIMIENTOS!$B$4:$B$1000,"A CORTE")-SUMIFS(MOVIMIENTOS!$F$4:$F$1000,MOVIMIENTOS!$C$4:$C$1000,A643,MOVIMIENTOS!$D$4:$D$1000,B643,MOVIMIENTOS!$E$4:$E$1000,C643,MOVIMIENTOS!$B$4:$B$1000,"A REPROCESO")-SUMIFS(MOVIMIENTOS!$F$4:$F$1000,MOVIMIENTOS!$C$4:$C$1000,A643,MOVIMIENTOS!$D$4:$D$1000,B643,MOVIMIENTOS!$E$4:$E$1000,C643,MOVIMIENTOS!$B$4:$B$1000,"MUESTRA")-SUMIFS(MOVIMIENTOS!$F$4:$F$1000,MOVIMIENTOS!$C$4:$C$1000,A643,MOVIMIENTOS!$D$4:$D$1000,B643,MOVIMIENTOS!$E$4:$E$1000,C643,MOVIMIENTOS!$B$4:$B$1000,"AJUSTE-"),0)</f>
        <v>0</v>
      </c>
      <c r="F643" s="101">
        <f>IFERROR(E643*VLOOKUP(B643,TELAS!$A$4:$C$32,3,FALSE()),0)</f>
        <v>0</v>
      </c>
      <c r="G643" s="102">
        <f>IFERROR(IF(D643="OSCURO",VLOOKUP(B643,PRECIOS!$A$4:$F$32,2,FALSE()),IF(D643="CLARO",VLOOKUP(B643,PRECIOS!$A$4:$F$32,3,FALSE()),IF(D643="MELANGE",VLOOKUP(B643,PRECIOS!$A$4:$F$32,4,FALSE()),IF(D643="PPT",VLOOKUP(B643,PRECIOS!$A$4:$F$32,5,FALSE()),0)))),0)</f>
        <v>0</v>
      </c>
      <c r="H643" s="103">
        <f t="shared" si="1"/>
        <v>0</v>
      </c>
      <c r="I643" s="104" t="str">
        <f>IF(E643&lt;0,"ERROR",IF(E643=0,"",IF(E643&lt;CONFIG!$B$4,"CRÍTICO",IF(E643&lt;CONFIG!$B$5,"BAJO","OK"))))</f>
        <v/>
      </c>
    </row>
    <row r="644" ht="15.75" customHeight="1">
      <c r="A644" s="90" t="str">
        <f>IF(CLIENTES!A8="","",CLIENTES!A8)</f>
        <v/>
      </c>
      <c r="B644" s="67" t="str">
        <f>TELAS!A8</f>
        <v>rib 1x1</v>
      </c>
      <c r="C644" s="67" t="str">
        <f>COLORES!A4</f>
        <v>Negro</v>
      </c>
      <c r="D644" s="67" t="str">
        <f>COLORES!B4</f>
        <v>OSCURO</v>
      </c>
      <c r="E644" s="100">
        <f>IFERROR(SUMIFS(MOVIMIENTOS!$F$4:$F$1000,MOVIMIENTOS!$C$4:$C$1000,A644,MOVIMIENTOS!$D$4:$D$1000,B644,MOVIMIENTOS!$E$4:$E$1000,C644,MOVIMIENTOS!$B$4:$B$1000,"INGRESO")+SUMIFS(MOVIMIENTOS!$F$4:$F$1000,MOVIMIENTOS!$C$4:$C$1000,A644,MOVIMIENTOS!$D$4:$D$1000,B644,MOVIMIENTOS!$E$4:$E$1000,C644,MOVIMIENTOS!$B$4:$B$1000,"DE REPROCESO")+SUMIFS(MOVIMIENTOS!$F$4:$F$1000,MOVIMIENTOS!$C$4:$C$1000,A644,MOVIMIENTOS!$D$4:$D$1000,B644,MOVIMIENTOS!$E$4:$E$1000,C644,MOVIMIENTOS!$B$4:$B$1000,"AJUSTE+")-SUMIFS(MOVIMIENTOS!$F$4:$F$1000,MOVIMIENTOS!$C$4:$C$1000,A644,MOVIMIENTOS!$D$4:$D$1000,B644,MOVIMIENTOS!$E$4:$E$1000,C644,MOVIMIENTOS!$B$4:$B$1000,"A CORTE")-SUMIFS(MOVIMIENTOS!$F$4:$F$1000,MOVIMIENTOS!$C$4:$C$1000,A644,MOVIMIENTOS!$D$4:$D$1000,B644,MOVIMIENTOS!$E$4:$E$1000,C644,MOVIMIENTOS!$B$4:$B$1000,"A REPROCESO")-SUMIFS(MOVIMIENTOS!$F$4:$F$1000,MOVIMIENTOS!$C$4:$C$1000,A644,MOVIMIENTOS!$D$4:$D$1000,B644,MOVIMIENTOS!$E$4:$E$1000,C644,MOVIMIENTOS!$B$4:$B$1000,"MUESTRA")-SUMIFS(MOVIMIENTOS!$F$4:$F$1000,MOVIMIENTOS!$C$4:$C$1000,A644,MOVIMIENTOS!$D$4:$D$1000,B644,MOVIMIENTOS!$E$4:$E$1000,C644,MOVIMIENTOS!$B$4:$B$1000,"AJUSTE-"),0)</f>
        <v>0</v>
      </c>
      <c r="F644" s="101">
        <f>IFERROR(E644*VLOOKUP(B644,TELAS!$A$4:$C$32,3,FALSE()),0)</f>
        <v>0</v>
      </c>
      <c r="G644" s="102">
        <f>IFERROR(IF(D644="OSCURO",VLOOKUP(B644,PRECIOS!$A$4:$F$32,2,FALSE()),IF(D644="CLARO",VLOOKUP(B644,PRECIOS!$A$4:$F$32,3,FALSE()),IF(D644="MELANGE",VLOOKUP(B644,PRECIOS!$A$4:$F$32,4,FALSE()),IF(D644="PPT",VLOOKUP(B644,PRECIOS!$A$4:$F$32,5,FALSE()),0)))),0)</f>
        <v>24</v>
      </c>
      <c r="H644" s="103">
        <f t="shared" si="1"/>
        <v>0</v>
      </c>
      <c r="I644" s="104" t="str">
        <f>IF(E644&lt;0,"ERROR",IF(E644=0,"",IF(E644&lt;CONFIG!$B$4,"CRÍTICO",IF(E644&lt;CONFIG!$B$5,"BAJO","OK"))))</f>
        <v/>
      </c>
    </row>
    <row r="645" ht="15.75" customHeight="1">
      <c r="A645" s="90" t="str">
        <f>IF(CLIENTES!A8="","",CLIENTES!A8)</f>
        <v/>
      </c>
      <c r="B645" s="67" t="str">
        <f>TELAS!A8</f>
        <v>rib 1x1</v>
      </c>
      <c r="C645" s="67" t="str">
        <f>COLORES!A5</f>
        <v>Perla</v>
      </c>
      <c r="D645" s="67" t="str">
        <f>COLORES!B5</f>
        <v>PPT</v>
      </c>
      <c r="E645" s="100">
        <f>IFERROR(SUMIFS(MOVIMIENTOS!$F$4:$F$1000,MOVIMIENTOS!$C$4:$C$1000,A645,MOVIMIENTOS!$D$4:$D$1000,B645,MOVIMIENTOS!$E$4:$E$1000,C645,MOVIMIENTOS!$B$4:$B$1000,"INGRESO")+SUMIFS(MOVIMIENTOS!$F$4:$F$1000,MOVIMIENTOS!$C$4:$C$1000,A645,MOVIMIENTOS!$D$4:$D$1000,B645,MOVIMIENTOS!$E$4:$E$1000,C645,MOVIMIENTOS!$B$4:$B$1000,"DE REPROCESO")+SUMIFS(MOVIMIENTOS!$F$4:$F$1000,MOVIMIENTOS!$C$4:$C$1000,A645,MOVIMIENTOS!$D$4:$D$1000,B645,MOVIMIENTOS!$E$4:$E$1000,C645,MOVIMIENTOS!$B$4:$B$1000,"AJUSTE+")-SUMIFS(MOVIMIENTOS!$F$4:$F$1000,MOVIMIENTOS!$C$4:$C$1000,A645,MOVIMIENTOS!$D$4:$D$1000,B645,MOVIMIENTOS!$E$4:$E$1000,C645,MOVIMIENTOS!$B$4:$B$1000,"A CORTE")-SUMIFS(MOVIMIENTOS!$F$4:$F$1000,MOVIMIENTOS!$C$4:$C$1000,A645,MOVIMIENTOS!$D$4:$D$1000,B645,MOVIMIENTOS!$E$4:$E$1000,C645,MOVIMIENTOS!$B$4:$B$1000,"A REPROCESO")-SUMIFS(MOVIMIENTOS!$F$4:$F$1000,MOVIMIENTOS!$C$4:$C$1000,A645,MOVIMIENTOS!$D$4:$D$1000,B645,MOVIMIENTOS!$E$4:$E$1000,C645,MOVIMIENTOS!$B$4:$B$1000,"MUESTRA")-SUMIFS(MOVIMIENTOS!$F$4:$F$1000,MOVIMIENTOS!$C$4:$C$1000,A645,MOVIMIENTOS!$D$4:$D$1000,B645,MOVIMIENTOS!$E$4:$E$1000,C645,MOVIMIENTOS!$B$4:$B$1000,"AJUSTE-"),0)</f>
        <v>0</v>
      </c>
      <c r="F645" s="101">
        <f>IFERROR(E645*VLOOKUP(B645,TELAS!$A$4:$C$32,3,FALSE()),0)</f>
        <v>0</v>
      </c>
      <c r="G645" s="102">
        <f>IFERROR(IF(D645="OSCURO",VLOOKUP(B645,PRECIOS!$A$4:$F$32,2,FALSE()),IF(D645="CLARO",VLOOKUP(B645,PRECIOS!$A$4:$F$32,3,FALSE()),IF(D645="MELANGE",VLOOKUP(B645,PRECIOS!$A$4:$F$32,4,FALSE()),IF(D645="PPT",VLOOKUP(B645,PRECIOS!$A$4:$F$32,5,FALSE()),0)))),0)</f>
        <v>18</v>
      </c>
      <c r="H645" s="103">
        <f t="shared" si="1"/>
        <v>0</v>
      </c>
      <c r="I645" s="104" t="str">
        <f>IF(E645&lt;0,"ERROR",IF(E645=0,"",IF(E645&lt;CONFIG!$B$4,"CRÍTICO",IF(E645&lt;CONFIG!$B$5,"BAJO","OK"))))</f>
        <v/>
      </c>
    </row>
    <row r="646" ht="15.75" customHeight="1">
      <c r="A646" s="90" t="str">
        <f>IF(CLIENTES!A8="","",CLIENTES!A8)</f>
        <v/>
      </c>
      <c r="B646" s="67" t="str">
        <f>TELAS!A8</f>
        <v>rib 1x1</v>
      </c>
      <c r="C646" s="67" t="str">
        <f>COLORES!A6</f>
        <v>Blanco</v>
      </c>
      <c r="D646" s="67" t="str">
        <f>COLORES!B6</f>
        <v>PPT</v>
      </c>
      <c r="E646" s="100">
        <f>IFERROR(SUMIFS(MOVIMIENTOS!$F$4:$F$1000,MOVIMIENTOS!$C$4:$C$1000,A646,MOVIMIENTOS!$D$4:$D$1000,B646,MOVIMIENTOS!$E$4:$E$1000,C646,MOVIMIENTOS!$B$4:$B$1000,"INGRESO")+SUMIFS(MOVIMIENTOS!$F$4:$F$1000,MOVIMIENTOS!$C$4:$C$1000,A646,MOVIMIENTOS!$D$4:$D$1000,B646,MOVIMIENTOS!$E$4:$E$1000,C646,MOVIMIENTOS!$B$4:$B$1000,"DE REPROCESO")+SUMIFS(MOVIMIENTOS!$F$4:$F$1000,MOVIMIENTOS!$C$4:$C$1000,A646,MOVIMIENTOS!$D$4:$D$1000,B646,MOVIMIENTOS!$E$4:$E$1000,C646,MOVIMIENTOS!$B$4:$B$1000,"AJUSTE+")-SUMIFS(MOVIMIENTOS!$F$4:$F$1000,MOVIMIENTOS!$C$4:$C$1000,A646,MOVIMIENTOS!$D$4:$D$1000,B646,MOVIMIENTOS!$E$4:$E$1000,C646,MOVIMIENTOS!$B$4:$B$1000,"A CORTE")-SUMIFS(MOVIMIENTOS!$F$4:$F$1000,MOVIMIENTOS!$C$4:$C$1000,A646,MOVIMIENTOS!$D$4:$D$1000,B646,MOVIMIENTOS!$E$4:$E$1000,C646,MOVIMIENTOS!$B$4:$B$1000,"A REPROCESO")-SUMIFS(MOVIMIENTOS!$F$4:$F$1000,MOVIMIENTOS!$C$4:$C$1000,A646,MOVIMIENTOS!$D$4:$D$1000,B646,MOVIMIENTOS!$E$4:$E$1000,C646,MOVIMIENTOS!$B$4:$B$1000,"MUESTRA")-SUMIFS(MOVIMIENTOS!$F$4:$F$1000,MOVIMIENTOS!$C$4:$C$1000,A646,MOVIMIENTOS!$D$4:$D$1000,B646,MOVIMIENTOS!$E$4:$E$1000,C646,MOVIMIENTOS!$B$4:$B$1000,"AJUSTE-"),0)</f>
        <v>0</v>
      </c>
      <c r="F646" s="101">
        <f>IFERROR(E646*VLOOKUP(B646,TELAS!$A$4:$C$32,3,FALSE()),0)</f>
        <v>0</v>
      </c>
      <c r="G646" s="102">
        <f>IFERROR(IF(D646="OSCURO",VLOOKUP(B646,PRECIOS!$A$4:$F$32,2,FALSE()),IF(D646="CLARO",VLOOKUP(B646,PRECIOS!$A$4:$F$32,3,FALSE()),IF(D646="MELANGE",VLOOKUP(B646,PRECIOS!$A$4:$F$32,4,FALSE()),IF(D646="PPT",VLOOKUP(B646,PRECIOS!$A$4:$F$32,5,FALSE()),0)))),0)</f>
        <v>18</v>
      </c>
      <c r="H646" s="103">
        <f t="shared" si="1"/>
        <v>0</v>
      </c>
      <c r="I646" s="104" t="str">
        <f>IF(E646&lt;0,"ERROR",IF(E646=0,"",IF(E646&lt;CONFIG!$B$4,"CRÍTICO",IF(E646&lt;CONFIG!$B$5,"BAJO","OK"))))</f>
        <v/>
      </c>
    </row>
    <row r="647" ht="15.75" customHeight="1">
      <c r="A647" s="90" t="str">
        <f>IF(CLIENTES!A8="","",CLIENTES!A8)</f>
        <v/>
      </c>
      <c r="B647" s="67" t="str">
        <f>TELAS!A8</f>
        <v>rib 1x1</v>
      </c>
      <c r="C647" s="67" t="str">
        <f>COLORES!A7</f>
        <v>Azul</v>
      </c>
      <c r="D647" s="67" t="str">
        <f>COLORES!B7</f>
        <v>OSCURO</v>
      </c>
      <c r="E647" s="100">
        <f>IFERROR(SUMIFS(MOVIMIENTOS!$F$4:$F$1000,MOVIMIENTOS!$C$4:$C$1000,A647,MOVIMIENTOS!$D$4:$D$1000,B647,MOVIMIENTOS!$E$4:$E$1000,C647,MOVIMIENTOS!$B$4:$B$1000,"INGRESO")+SUMIFS(MOVIMIENTOS!$F$4:$F$1000,MOVIMIENTOS!$C$4:$C$1000,A647,MOVIMIENTOS!$D$4:$D$1000,B647,MOVIMIENTOS!$E$4:$E$1000,C647,MOVIMIENTOS!$B$4:$B$1000,"DE REPROCESO")+SUMIFS(MOVIMIENTOS!$F$4:$F$1000,MOVIMIENTOS!$C$4:$C$1000,A647,MOVIMIENTOS!$D$4:$D$1000,B647,MOVIMIENTOS!$E$4:$E$1000,C647,MOVIMIENTOS!$B$4:$B$1000,"AJUSTE+")-SUMIFS(MOVIMIENTOS!$F$4:$F$1000,MOVIMIENTOS!$C$4:$C$1000,A647,MOVIMIENTOS!$D$4:$D$1000,B647,MOVIMIENTOS!$E$4:$E$1000,C647,MOVIMIENTOS!$B$4:$B$1000,"A CORTE")-SUMIFS(MOVIMIENTOS!$F$4:$F$1000,MOVIMIENTOS!$C$4:$C$1000,A647,MOVIMIENTOS!$D$4:$D$1000,B647,MOVIMIENTOS!$E$4:$E$1000,C647,MOVIMIENTOS!$B$4:$B$1000,"A REPROCESO")-SUMIFS(MOVIMIENTOS!$F$4:$F$1000,MOVIMIENTOS!$C$4:$C$1000,A647,MOVIMIENTOS!$D$4:$D$1000,B647,MOVIMIENTOS!$E$4:$E$1000,C647,MOVIMIENTOS!$B$4:$B$1000,"MUESTRA")-SUMIFS(MOVIMIENTOS!$F$4:$F$1000,MOVIMIENTOS!$C$4:$C$1000,A647,MOVIMIENTOS!$D$4:$D$1000,B647,MOVIMIENTOS!$E$4:$E$1000,C647,MOVIMIENTOS!$B$4:$B$1000,"AJUSTE-"),0)</f>
        <v>0</v>
      </c>
      <c r="F647" s="101">
        <f>IFERROR(E647*VLOOKUP(B647,TELAS!$A$4:$C$32,3,FALSE()),0)</f>
        <v>0</v>
      </c>
      <c r="G647" s="102">
        <f>IFERROR(IF(D647="OSCURO",VLOOKUP(B647,PRECIOS!$A$4:$F$32,2,FALSE()),IF(D647="CLARO",VLOOKUP(B647,PRECIOS!$A$4:$F$32,3,FALSE()),IF(D647="MELANGE",VLOOKUP(B647,PRECIOS!$A$4:$F$32,4,FALSE()),IF(D647="PPT",VLOOKUP(B647,PRECIOS!$A$4:$F$32,5,FALSE()),0)))),0)</f>
        <v>24</v>
      </c>
      <c r="H647" s="103">
        <f t="shared" si="1"/>
        <v>0</v>
      </c>
      <c r="I647" s="104" t="str">
        <f>IF(E647&lt;0,"ERROR",IF(E647=0,"",IF(E647&lt;CONFIG!$B$4,"CRÍTICO",IF(E647&lt;CONFIG!$B$5,"BAJO","OK"))))</f>
        <v/>
      </c>
    </row>
    <row r="648" ht="15.75" customHeight="1">
      <c r="A648" s="90" t="str">
        <f>IF(CLIENTES!A8="","",CLIENTES!A8)</f>
        <v/>
      </c>
      <c r="B648" s="67" t="str">
        <f>TELAS!A8</f>
        <v>rib 1x1</v>
      </c>
      <c r="C648" s="67" t="str">
        <f>COLORES!A8</f>
        <v>Beige</v>
      </c>
      <c r="D648" s="67" t="str">
        <f>COLORES!B8</f>
        <v>CLARO</v>
      </c>
      <c r="E648" s="100">
        <f>IFERROR(SUMIFS(MOVIMIENTOS!$F$4:$F$1000,MOVIMIENTOS!$C$4:$C$1000,A648,MOVIMIENTOS!$D$4:$D$1000,B648,MOVIMIENTOS!$E$4:$E$1000,C648,MOVIMIENTOS!$B$4:$B$1000,"INGRESO")+SUMIFS(MOVIMIENTOS!$F$4:$F$1000,MOVIMIENTOS!$C$4:$C$1000,A648,MOVIMIENTOS!$D$4:$D$1000,B648,MOVIMIENTOS!$E$4:$E$1000,C648,MOVIMIENTOS!$B$4:$B$1000,"DE REPROCESO")+SUMIFS(MOVIMIENTOS!$F$4:$F$1000,MOVIMIENTOS!$C$4:$C$1000,A648,MOVIMIENTOS!$D$4:$D$1000,B648,MOVIMIENTOS!$E$4:$E$1000,C648,MOVIMIENTOS!$B$4:$B$1000,"AJUSTE+")-SUMIFS(MOVIMIENTOS!$F$4:$F$1000,MOVIMIENTOS!$C$4:$C$1000,A648,MOVIMIENTOS!$D$4:$D$1000,B648,MOVIMIENTOS!$E$4:$E$1000,C648,MOVIMIENTOS!$B$4:$B$1000,"A CORTE")-SUMIFS(MOVIMIENTOS!$F$4:$F$1000,MOVIMIENTOS!$C$4:$C$1000,A648,MOVIMIENTOS!$D$4:$D$1000,B648,MOVIMIENTOS!$E$4:$E$1000,C648,MOVIMIENTOS!$B$4:$B$1000,"A REPROCESO")-SUMIFS(MOVIMIENTOS!$F$4:$F$1000,MOVIMIENTOS!$C$4:$C$1000,A648,MOVIMIENTOS!$D$4:$D$1000,B648,MOVIMIENTOS!$E$4:$E$1000,C648,MOVIMIENTOS!$B$4:$B$1000,"MUESTRA")-SUMIFS(MOVIMIENTOS!$F$4:$F$1000,MOVIMIENTOS!$C$4:$C$1000,A648,MOVIMIENTOS!$D$4:$D$1000,B648,MOVIMIENTOS!$E$4:$E$1000,C648,MOVIMIENTOS!$B$4:$B$1000,"AJUSTE-"),0)</f>
        <v>0</v>
      </c>
      <c r="F648" s="101">
        <f>IFERROR(E648*VLOOKUP(B648,TELAS!$A$4:$C$32,3,FALSE()),0)</f>
        <v>0</v>
      </c>
      <c r="G648" s="102">
        <f>IFERROR(IF(D648="OSCURO",VLOOKUP(B648,PRECIOS!$A$4:$F$32,2,FALSE()),IF(D648="CLARO",VLOOKUP(B648,PRECIOS!$A$4:$F$32,3,FALSE()),IF(D648="MELANGE",VLOOKUP(B648,PRECIOS!$A$4:$F$32,4,FALSE()),IF(D648="PPT",VLOOKUP(B648,PRECIOS!$A$4:$F$32,5,FALSE()),0)))),0)</f>
        <v>21</v>
      </c>
      <c r="H648" s="103">
        <f t="shared" si="1"/>
        <v>0</v>
      </c>
      <c r="I648" s="104" t="str">
        <f>IF(E648&lt;0,"ERROR",IF(E648=0,"",IF(E648&lt;CONFIG!$B$4,"CRÍTICO",IF(E648&lt;CONFIG!$B$5,"BAJO","OK"))))</f>
        <v/>
      </c>
    </row>
    <row r="649" ht="15.75" customHeight="1">
      <c r="A649" s="90" t="str">
        <f>IF(CLIENTES!A8="","",CLIENTES!A8)</f>
        <v/>
      </c>
      <c r="B649" s="67" t="str">
        <f>TELAS!A8</f>
        <v>rib 1x1</v>
      </c>
      <c r="C649" s="67" t="str">
        <f>COLORES!A9</f>
        <v>Melange</v>
      </c>
      <c r="D649" s="67" t="str">
        <f>COLORES!B9</f>
        <v>MELANGE</v>
      </c>
      <c r="E649" s="100">
        <f>IFERROR(SUMIFS(MOVIMIENTOS!$F$4:$F$1000,MOVIMIENTOS!$C$4:$C$1000,A649,MOVIMIENTOS!$D$4:$D$1000,B649,MOVIMIENTOS!$E$4:$E$1000,C649,MOVIMIENTOS!$B$4:$B$1000,"INGRESO")+SUMIFS(MOVIMIENTOS!$F$4:$F$1000,MOVIMIENTOS!$C$4:$C$1000,A649,MOVIMIENTOS!$D$4:$D$1000,B649,MOVIMIENTOS!$E$4:$E$1000,C649,MOVIMIENTOS!$B$4:$B$1000,"DE REPROCESO")+SUMIFS(MOVIMIENTOS!$F$4:$F$1000,MOVIMIENTOS!$C$4:$C$1000,A649,MOVIMIENTOS!$D$4:$D$1000,B649,MOVIMIENTOS!$E$4:$E$1000,C649,MOVIMIENTOS!$B$4:$B$1000,"AJUSTE+")-SUMIFS(MOVIMIENTOS!$F$4:$F$1000,MOVIMIENTOS!$C$4:$C$1000,A649,MOVIMIENTOS!$D$4:$D$1000,B649,MOVIMIENTOS!$E$4:$E$1000,C649,MOVIMIENTOS!$B$4:$B$1000,"A CORTE")-SUMIFS(MOVIMIENTOS!$F$4:$F$1000,MOVIMIENTOS!$C$4:$C$1000,A649,MOVIMIENTOS!$D$4:$D$1000,B649,MOVIMIENTOS!$E$4:$E$1000,C649,MOVIMIENTOS!$B$4:$B$1000,"A REPROCESO")-SUMIFS(MOVIMIENTOS!$F$4:$F$1000,MOVIMIENTOS!$C$4:$C$1000,A649,MOVIMIENTOS!$D$4:$D$1000,B649,MOVIMIENTOS!$E$4:$E$1000,C649,MOVIMIENTOS!$B$4:$B$1000,"MUESTRA")-SUMIFS(MOVIMIENTOS!$F$4:$F$1000,MOVIMIENTOS!$C$4:$C$1000,A649,MOVIMIENTOS!$D$4:$D$1000,B649,MOVIMIENTOS!$E$4:$E$1000,C649,MOVIMIENTOS!$B$4:$B$1000,"AJUSTE-"),0)</f>
        <v>0</v>
      </c>
      <c r="F649" s="101">
        <f>IFERROR(E649*VLOOKUP(B649,TELAS!$A$4:$C$32,3,FALSE()),0)</f>
        <v>0</v>
      </c>
      <c r="G649" s="102">
        <f>IFERROR(IF(D649="OSCURO",VLOOKUP(B649,PRECIOS!$A$4:$F$32,2,FALSE()),IF(D649="CLARO",VLOOKUP(B649,PRECIOS!$A$4:$F$32,3,FALSE()),IF(D649="MELANGE",VLOOKUP(B649,PRECIOS!$A$4:$F$32,4,FALSE()),IF(D649="PPT",VLOOKUP(B649,PRECIOS!$A$4:$F$32,5,FALSE()),0)))),0)</f>
        <v>18</v>
      </c>
      <c r="H649" s="103">
        <f t="shared" si="1"/>
        <v>0</v>
      </c>
      <c r="I649" s="104" t="str">
        <f>IF(E649&lt;0,"ERROR",IF(E649=0,"",IF(E649&lt;CONFIG!$B$4,"CRÍTICO",IF(E649&lt;CONFIG!$B$5,"BAJO","OK"))))</f>
        <v/>
      </c>
    </row>
    <row r="650" ht="15.75" customHeight="1">
      <c r="A650" s="90" t="str">
        <f>IF(CLIENTES!A8="","",CLIENTES!A8)</f>
        <v/>
      </c>
      <c r="B650" s="67" t="str">
        <f>TELAS!A8</f>
        <v>rib 1x1</v>
      </c>
      <c r="C650" s="67" t="str">
        <f>COLORES!A10</f>
        <v>Botella</v>
      </c>
      <c r="D650" s="67" t="str">
        <f>COLORES!B10</f>
        <v>OSCURO</v>
      </c>
      <c r="E650" s="100">
        <f>IFERROR(SUMIFS(MOVIMIENTOS!$F$4:$F$1000,MOVIMIENTOS!$C$4:$C$1000,A650,MOVIMIENTOS!$D$4:$D$1000,B650,MOVIMIENTOS!$E$4:$E$1000,C650,MOVIMIENTOS!$B$4:$B$1000,"INGRESO")+SUMIFS(MOVIMIENTOS!$F$4:$F$1000,MOVIMIENTOS!$C$4:$C$1000,A650,MOVIMIENTOS!$D$4:$D$1000,B650,MOVIMIENTOS!$E$4:$E$1000,C650,MOVIMIENTOS!$B$4:$B$1000,"DE REPROCESO")+SUMIFS(MOVIMIENTOS!$F$4:$F$1000,MOVIMIENTOS!$C$4:$C$1000,A650,MOVIMIENTOS!$D$4:$D$1000,B650,MOVIMIENTOS!$E$4:$E$1000,C650,MOVIMIENTOS!$B$4:$B$1000,"AJUSTE+")-SUMIFS(MOVIMIENTOS!$F$4:$F$1000,MOVIMIENTOS!$C$4:$C$1000,A650,MOVIMIENTOS!$D$4:$D$1000,B650,MOVIMIENTOS!$E$4:$E$1000,C650,MOVIMIENTOS!$B$4:$B$1000,"A CORTE")-SUMIFS(MOVIMIENTOS!$F$4:$F$1000,MOVIMIENTOS!$C$4:$C$1000,A650,MOVIMIENTOS!$D$4:$D$1000,B650,MOVIMIENTOS!$E$4:$E$1000,C650,MOVIMIENTOS!$B$4:$B$1000,"A REPROCESO")-SUMIFS(MOVIMIENTOS!$F$4:$F$1000,MOVIMIENTOS!$C$4:$C$1000,A650,MOVIMIENTOS!$D$4:$D$1000,B650,MOVIMIENTOS!$E$4:$E$1000,C650,MOVIMIENTOS!$B$4:$B$1000,"MUESTRA")-SUMIFS(MOVIMIENTOS!$F$4:$F$1000,MOVIMIENTOS!$C$4:$C$1000,A650,MOVIMIENTOS!$D$4:$D$1000,B650,MOVIMIENTOS!$E$4:$E$1000,C650,MOVIMIENTOS!$B$4:$B$1000,"AJUSTE-"),0)</f>
        <v>0</v>
      </c>
      <c r="F650" s="101">
        <f>IFERROR(E650*VLOOKUP(B650,TELAS!$A$4:$C$32,3,FALSE()),0)</f>
        <v>0</v>
      </c>
      <c r="G650" s="102">
        <f>IFERROR(IF(D650="OSCURO",VLOOKUP(B650,PRECIOS!$A$4:$F$32,2,FALSE()),IF(D650="CLARO",VLOOKUP(B650,PRECIOS!$A$4:$F$32,3,FALSE()),IF(D650="MELANGE",VLOOKUP(B650,PRECIOS!$A$4:$F$32,4,FALSE()),IF(D650="PPT",VLOOKUP(B650,PRECIOS!$A$4:$F$32,5,FALSE()),0)))),0)</f>
        <v>24</v>
      </c>
      <c r="H650" s="103">
        <f t="shared" si="1"/>
        <v>0</v>
      </c>
      <c r="I650" s="104" t="str">
        <f>IF(E650&lt;0,"ERROR",IF(E650=0,"",IF(E650&lt;CONFIG!$B$4,"CRÍTICO",IF(E650&lt;CONFIG!$B$5,"BAJO","OK"))))</f>
        <v/>
      </c>
    </row>
    <row r="651" ht="15.75" customHeight="1">
      <c r="A651" s="90" t="str">
        <f>IF(CLIENTES!A8="","",CLIENTES!A8)</f>
        <v/>
      </c>
      <c r="B651" s="67" t="str">
        <f>TELAS!A8</f>
        <v>rib 1x1</v>
      </c>
      <c r="C651" s="67" t="str">
        <f>COLORES!A11</f>
        <v>Pacay</v>
      </c>
      <c r="D651" s="67" t="str">
        <f>COLORES!B11</f>
        <v>CLARO</v>
      </c>
      <c r="E651" s="100">
        <f>IFERROR(SUMIFS(MOVIMIENTOS!$F$4:$F$1000,MOVIMIENTOS!$C$4:$C$1000,A651,MOVIMIENTOS!$D$4:$D$1000,B651,MOVIMIENTOS!$E$4:$E$1000,C651,MOVIMIENTOS!$B$4:$B$1000,"INGRESO")+SUMIFS(MOVIMIENTOS!$F$4:$F$1000,MOVIMIENTOS!$C$4:$C$1000,A651,MOVIMIENTOS!$D$4:$D$1000,B651,MOVIMIENTOS!$E$4:$E$1000,C651,MOVIMIENTOS!$B$4:$B$1000,"DE REPROCESO")+SUMIFS(MOVIMIENTOS!$F$4:$F$1000,MOVIMIENTOS!$C$4:$C$1000,A651,MOVIMIENTOS!$D$4:$D$1000,B651,MOVIMIENTOS!$E$4:$E$1000,C651,MOVIMIENTOS!$B$4:$B$1000,"AJUSTE+")-SUMIFS(MOVIMIENTOS!$F$4:$F$1000,MOVIMIENTOS!$C$4:$C$1000,A651,MOVIMIENTOS!$D$4:$D$1000,B651,MOVIMIENTOS!$E$4:$E$1000,C651,MOVIMIENTOS!$B$4:$B$1000,"A CORTE")-SUMIFS(MOVIMIENTOS!$F$4:$F$1000,MOVIMIENTOS!$C$4:$C$1000,A651,MOVIMIENTOS!$D$4:$D$1000,B651,MOVIMIENTOS!$E$4:$E$1000,C651,MOVIMIENTOS!$B$4:$B$1000,"A REPROCESO")-SUMIFS(MOVIMIENTOS!$F$4:$F$1000,MOVIMIENTOS!$C$4:$C$1000,A651,MOVIMIENTOS!$D$4:$D$1000,B651,MOVIMIENTOS!$E$4:$E$1000,C651,MOVIMIENTOS!$B$4:$B$1000,"MUESTRA")-SUMIFS(MOVIMIENTOS!$F$4:$F$1000,MOVIMIENTOS!$C$4:$C$1000,A651,MOVIMIENTOS!$D$4:$D$1000,B651,MOVIMIENTOS!$E$4:$E$1000,C651,MOVIMIENTOS!$B$4:$B$1000,"AJUSTE-"),0)</f>
        <v>0</v>
      </c>
      <c r="F651" s="101">
        <f>IFERROR(E651*VLOOKUP(B651,TELAS!$A$4:$C$32,3,FALSE()),0)</f>
        <v>0</v>
      </c>
      <c r="G651" s="102">
        <f>IFERROR(IF(D651="OSCURO",VLOOKUP(B651,PRECIOS!$A$4:$F$32,2,FALSE()),IF(D651="CLARO",VLOOKUP(B651,PRECIOS!$A$4:$F$32,3,FALSE()),IF(D651="MELANGE",VLOOKUP(B651,PRECIOS!$A$4:$F$32,4,FALSE()),IF(D651="PPT",VLOOKUP(B651,PRECIOS!$A$4:$F$32,5,FALSE()),0)))),0)</f>
        <v>21</v>
      </c>
      <c r="H651" s="103">
        <f t="shared" si="1"/>
        <v>0</v>
      </c>
      <c r="I651" s="104" t="str">
        <f>IF(E651&lt;0,"ERROR",IF(E651=0,"",IF(E651&lt;CONFIG!$B$4,"CRÍTICO",IF(E651&lt;CONFIG!$B$5,"BAJO","OK"))))</f>
        <v/>
      </c>
    </row>
    <row r="652" ht="15.75" customHeight="1">
      <c r="A652" s="90" t="str">
        <f>IF(CLIENTES!A8="","",CLIENTES!A8)</f>
        <v/>
      </c>
      <c r="B652" s="67" t="str">
        <f>TELAS!A8</f>
        <v>rib 1x1</v>
      </c>
      <c r="C652" s="67" t="str">
        <f>COLORES!A12</f>
        <v>Cemento</v>
      </c>
      <c r="D652" s="67" t="str">
        <f>COLORES!B12</f>
        <v>CLARO</v>
      </c>
      <c r="E652" s="100">
        <f>IFERROR(SUMIFS(MOVIMIENTOS!$F$4:$F$1000,MOVIMIENTOS!$C$4:$C$1000,A652,MOVIMIENTOS!$D$4:$D$1000,B652,MOVIMIENTOS!$E$4:$E$1000,C652,MOVIMIENTOS!$B$4:$B$1000,"INGRESO")+SUMIFS(MOVIMIENTOS!$F$4:$F$1000,MOVIMIENTOS!$C$4:$C$1000,A652,MOVIMIENTOS!$D$4:$D$1000,B652,MOVIMIENTOS!$E$4:$E$1000,C652,MOVIMIENTOS!$B$4:$B$1000,"DE REPROCESO")+SUMIFS(MOVIMIENTOS!$F$4:$F$1000,MOVIMIENTOS!$C$4:$C$1000,A652,MOVIMIENTOS!$D$4:$D$1000,B652,MOVIMIENTOS!$E$4:$E$1000,C652,MOVIMIENTOS!$B$4:$B$1000,"AJUSTE+")-SUMIFS(MOVIMIENTOS!$F$4:$F$1000,MOVIMIENTOS!$C$4:$C$1000,A652,MOVIMIENTOS!$D$4:$D$1000,B652,MOVIMIENTOS!$E$4:$E$1000,C652,MOVIMIENTOS!$B$4:$B$1000,"A CORTE")-SUMIFS(MOVIMIENTOS!$F$4:$F$1000,MOVIMIENTOS!$C$4:$C$1000,A652,MOVIMIENTOS!$D$4:$D$1000,B652,MOVIMIENTOS!$E$4:$E$1000,C652,MOVIMIENTOS!$B$4:$B$1000,"A REPROCESO")-SUMIFS(MOVIMIENTOS!$F$4:$F$1000,MOVIMIENTOS!$C$4:$C$1000,A652,MOVIMIENTOS!$D$4:$D$1000,B652,MOVIMIENTOS!$E$4:$E$1000,C652,MOVIMIENTOS!$B$4:$B$1000,"MUESTRA")-SUMIFS(MOVIMIENTOS!$F$4:$F$1000,MOVIMIENTOS!$C$4:$C$1000,A652,MOVIMIENTOS!$D$4:$D$1000,B652,MOVIMIENTOS!$E$4:$E$1000,C652,MOVIMIENTOS!$B$4:$B$1000,"AJUSTE-"),0)</f>
        <v>0</v>
      </c>
      <c r="F652" s="101">
        <f>IFERROR(E652*VLOOKUP(B652,TELAS!$A$4:$C$32,3,FALSE()),0)</f>
        <v>0</v>
      </c>
      <c r="G652" s="102">
        <f>IFERROR(IF(D652="OSCURO",VLOOKUP(B652,PRECIOS!$A$4:$F$32,2,FALSE()),IF(D652="CLARO",VLOOKUP(B652,PRECIOS!$A$4:$F$32,3,FALSE()),IF(D652="MELANGE",VLOOKUP(B652,PRECIOS!$A$4:$F$32,4,FALSE()),IF(D652="PPT",VLOOKUP(B652,PRECIOS!$A$4:$F$32,5,FALSE()),0)))),0)</f>
        <v>21</v>
      </c>
      <c r="H652" s="103">
        <f t="shared" si="1"/>
        <v>0</v>
      </c>
      <c r="I652" s="104" t="str">
        <f>IF(E652&lt;0,"ERROR",IF(E652=0,"",IF(E652&lt;CONFIG!$B$4,"CRÍTICO",IF(E652&lt;CONFIG!$B$5,"BAJO","OK"))))</f>
        <v/>
      </c>
    </row>
    <row r="653" ht="15.75" customHeight="1">
      <c r="A653" s="90" t="str">
        <f>IF(CLIENTES!A8="","",CLIENTES!A8)</f>
        <v/>
      </c>
      <c r="B653" s="67" t="str">
        <f>TELAS!A8</f>
        <v>rib 1x1</v>
      </c>
      <c r="C653" s="67" t="str">
        <f>COLORES!A13</f>
        <v>Camote</v>
      </c>
      <c r="D653" s="67" t="str">
        <f>COLORES!B13</f>
        <v>CLARO</v>
      </c>
      <c r="E653" s="100">
        <f>IFERROR(SUMIFS(MOVIMIENTOS!$F$4:$F$1000,MOVIMIENTOS!$C$4:$C$1000,A653,MOVIMIENTOS!$D$4:$D$1000,B653,MOVIMIENTOS!$E$4:$E$1000,C653,MOVIMIENTOS!$B$4:$B$1000,"INGRESO")+SUMIFS(MOVIMIENTOS!$F$4:$F$1000,MOVIMIENTOS!$C$4:$C$1000,A653,MOVIMIENTOS!$D$4:$D$1000,B653,MOVIMIENTOS!$E$4:$E$1000,C653,MOVIMIENTOS!$B$4:$B$1000,"DE REPROCESO")+SUMIFS(MOVIMIENTOS!$F$4:$F$1000,MOVIMIENTOS!$C$4:$C$1000,A653,MOVIMIENTOS!$D$4:$D$1000,B653,MOVIMIENTOS!$E$4:$E$1000,C653,MOVIMIENTOS!$B$4:$B$1000,"AJUSTE+")-SUMIFS(MOVIMIENTOS!$F$4:$F$1000,MOVIMIENTOS!$C$4:$C$1000,A653,MOVIMIENTOS!$D$4:$D$1000,B653,MOVIMIENTOS!$E$4:$E$1000,C653,MOVIMIENTOS!$B$4:$B$1000,"A CORTE")-SUMIFS(MOVIMIENTOS!$F$4:$F$1000,MOVIMIENTOS!$C$4:$C$1000,A653,MOVIMIENTOS!$D$4:$D$1000,B653,MOVIMIENTOS!$E$4:$E$1000,C653,MOVIMIENTOS!$B$4:$B$1000,"A REPROCESO")-SUMIFS(MOVIMIENTOS!$F$4:$F$1000,MOVIMIENTOS!$C$4:$C$1000,A653,MOVIMIENTOS!$D$4:$D$1000,B653,MOVIMIENTOS!$E$4:$E$1000,C653,MOVIMIENTOS!$B$4:$B$1000,"MUESTRA")-SUMIFS(MOVIMIENTOS!$F$4:$F$1000,MOVIMIENTOS!$C$4:$C$1000,A653,MOVIMIENTOS!$D$4:$D$1000,B653,MOVIMIENTOS!$E$4:$E$1000,C653,MOVIMIENTOS!$B$4:$B$1000,"AJUSTE-"),0)</f>
        <v>0</v>
      </c>
      <c r="F653" s="101">
        <f>IFERROR(E653*VLOOKUP(B653,TELAS!$A$4:$C$32,3,FALSE()),0)</f>
        <v>0</v>
      </c>
      <c r="G653" s="102">
        <f>IFERROR(IF(D653="OSCURO",VLOOKUP(B653,PRECIOS!$A$4:$F$32,2,FALSE()),IF(D653="CLARO",VLOOKUP(B653,PRECIOS!$A$4:$F$32,3,FALSE()),IF(D653="MELANGE",VLOOKUP(B653,PRECIOS!$A$4:$F$32,4,FALSE()),IF(D653="PPT",VLOOKUP(B653,PRECIOS!$A$4:$F$32,5,FALSE()),0)))),0)</f>
        <v>21</v>
      </c>
      <c r="H653" s="103">
        <f t="shared" si="1"/>
        <v>0</v>
      </c>
      <c r="I653" s="104" t="str">
        <f>IF(E653&lt;0,"ERROR",IF(E653=0,"",IF(E653&lt;CONFIG!$B$4,"CRÍTICO",IF(E653&lt;CONFIG!$B$5,"BAJO","OK"))))</f>
        <v/>
      </c>
    </row>
    <row r="654" ht="15.75" customHeight="1">
      <c r="A654" s="90" t="str">
        <f>IF(CLIENTES!A8="","",CLIENTES!A8)</f>
        <v/>
      </c>
      <c r="B654" s="67" t="str">
        <f>TELAS!A8</f>
        <v>rib 1x1</v>
      </c>
      <c r="C654" s="67" t="str">
        <f>COLORES!A14</f>
        <v>Denim</v>
      </c>
      <c r="D654" s="67" t="str">
        <f>COLORES!B14</f>
        <v>CLARO</v>
      </c>
      <c r="E654" s="100">
        <f>IFERROR(SUMIFS(MOVIMIENTOS!$F$4:$F$1000,MOVIMIENTOS!$C$4:$C$1000,A654,MOVIMIENTOS!$D$4:$D$1000,B654,MOVIMIENTOS!$E$4:$E$1000,C654,MOVIMIENTOS!$B$4:$B$1000,"INGRESO")+SUMIFS(MOVIMIENTOS!$F$4:$F$1000,MOVIMIENTOS!$C$4:$C$1000,A654,MOVIMIENTOS!$D$4:$D$1000,B654,MOVIMIENTOS!$E$4:$E$1000,C654,MOVIMIENTOS!$B$4:$B$1000,"DE REPROCESO")+SUMIFS(MOVIMIENTOS!$F$4:$F$1000,MOVIMIENTOS!$C$4:$C$1000,A654,MOVIMIENTOS!$D$4:$D$1000,B654,MOVIMIENTOS!$E$4:$E$1000,C654,MOVIMIENTOS!$B$4:$B$1000,"AJUSTE+")-SUMIFS(MOVIMIENTOS!$F$4:$F$1000,MOVIMIENTOS!$C$4:$C$1000,A654,MOVIMIENTOS!$D$4:$D$1000,B654,MOVIMIENTOS!$E$4:$E$1000,C654,MOVIMIENTOS!$B$4:$B$1000,"A CORTE")-SUMIFS(MOVIMIENTOS!$F$4:$F$1000,MOVIMIENTOS!$C$4:$C$1000,A654,MOVIMIENTOS!$D$4:$D$1000,B654,MOVIMIENTOS!$E$4:$E$1000,C654,MOVIMIENTOS!$B$4:$B$1000,"A REPROCESO")-SUMIFS(MOVIMIENTOS!$F$4:$F$1000,MOVIMIENTOS!$C$4:$C$1000,A654,MOVIMIENTOS!$D$4:$D$1000,B654,MOVIMIENTOS!$E$4:$E$1000,C654,MOVIMIENTOS!$B$4:$B$1000,"MUESTRA")-SUMIFS(MOVIMIENTOS!$F$4:$F$1000,MOVIMIENTOS!$C$4:$C$1000,A654,MOVIMIENTOS!$D$4:$D$1000,B654,MOVIMIENTOS!$E$4:$E$1000,C654,MOVIMIENTOS!$B$4:$B$1000,"AJUSTE-"),0)</f>
        <v>0</v>
      </c>
      <c r="F654" s="101">
        <f>IFERROR(E654*VLOOKUP(B654,TELAS!$A$4:$C$32,3,FALSE()),0)</f>
        <v>0</v>
      </c>
      <c r="G654" s="102">
        <f>IFERROR(IF(D654="OSCURO",VLOOKUP(B654,PRECIOS!$A$4:$F$32,2,FALSE()),IF(D654="CLARO",VLOOKUP(B654,PRECIOS!$A$4:$F$32,3,FALSE()),IF(D654="MELANGE",VLOOKUP(B654,PRECIOS!$A$4:$F$32,4,FALSE()),IF(D654="PPT",VLOOKUP(B654,PRECIOS!$A$4:$F$32,5,FALSE()),0)))),0)</f>
        <v>21</v>
      </c>
      <c r="H654" s="103">
        <f t="shared" si="1"/>
        <v>0</v>
      </c>
      <c r="I654" s="104" t="str">
        <f>IF(E654&lt;0,"ERROR",IF(E654=0,"",IF(E654&lt;CONFIG!$B$4,"CRÍTICO",IF(E654&lt;CONFIG!$B$5,"BAJO","OK"))))</f>
        <v/>
      </c>
    </row>
    <row r="655" ht="15.75" customHeight="1">
      <c r="A655" s="90" t="str">
        <f>IF(CLIENTES!A8="","",CLIENTES!A8)</f>
        <v/>
      </c>
      <c r="B655" s="67" t="str">
        <f>TELAS!A8</f>
        <v>rib 1x1</v>
      </c>
      <c r="C655" s="67" t="str">
        <f>COLORES!A15</f>
        <v>Plomo</v>
      </c>
      <c r="D655" s="67" t="str">
        <f>COLORES!B15</f>
        <v>OSCURO</v>
      </c>
      <c r="E655" s="100">
        <f>IFERROR(SUMIFS(MOVIMIENTOS!$F$4:$F$1000,MOVIMIENTOS!$C$4:$C$1000,A655,MOVIMIENTOS!$D$4:$D$1000,B655,MOVIMIENTOS!$E$4:$E$1000,C655,MOVIMIENTOS!$B$4:$B$1000,"INGRESO")+SUMIFS(MOVIMIENTOS!$F$4:$F$1000,MOVIMIENTOS!$C$4:$C$1000,A655,MOVIMIENTOS!$D$4:$D$1000,B655,MOVIMIENTOS!$E$4:$E$1000,C655,MOVIMIENTOS!$B$4:$B$1000,"DE REPROCESO")+SUMIFS(MOVIMIENTOS!$F$4:$F$1000,MOVIMIENTOS!$C$4:$C$1000,A655,MOVIMIENTOS!$D$4:$D$1000,B655,MOVIMIENTOS!$E$4:$E$1000,C655,MOVIMIENTOS!$B$4:$B$1000,"AJUSTE+")-SUMIFS(MOVIMIENTOS!$F$4:$F$1000,MOVIMIENTOS!$C$4:$C$1000,A655,MOVIMIENTOS!$D$4:$D$1000,B655,MOVIMIENTOS!$E$4:$E$1000,C655,MOVIMIENTOS!$B$4:$B$1000,"A CORTE")-SUMIFS(MOVIMIENTOS!$F$4:$F$1000,MOVIMIENTOS!$C$4:$C$1000,A655,MOVIMIENTOS!$D$4:$D$1000,B655,MOVIMIENTOS!$E$4:$E$1000,C655,MOVIMIENTOS!$B$4:$B$1000,"A REPROCESO")-SUMIFS(MOVIMIENTOS!$F$4:$F$1000,MOVIMIENTOS!$C$4:$C$1000,A655,MOVIMIENTOS!$D$4:$D$1000,B655,MOVIMIENTOS!$E$4:$E$1000,C655,MOVIMIENTOS!$B$4:$B$1000,"MUESTRA")-SUMIFS(MOVIMIENTOS!$F$4:$F$1000,MOVIMIENTOS!$C$4:$C$1000,A655,MOVIMIENTOS!$D$4:$D$1000,B655,MOVIMIENTOS!$E$4:$E$1000,C655,MOVIMIENTOS!$B$4:$B$1000,"AJUSTE-"),0)</f>
        <v>0</v>
      </c>
      <c r="F655" s="101">
        <f>IFERROR(E655*VLOOKUP(B655,TELAS!$A$4:$C$32,3,FALSE()),0)</f>
        <v>0</v>
      </c>
      <c r="G655" s="102">
        <f>IFERROR(IF(D655="OSCURO",VLOOKUP(B655,PRECIOS!$A$4:$F$32,2,FALSE()),IF(D655="CLARO",VLOOKUP(B655,PRECIOS!$A$4:$F$32,3,FALSE()),IF(D655="MELANGE",VLOOKUP(B655,PRECIOS!$A$4:$F$32,4,FALSE()),IF(D655="PPT",VLOOKUP(B655,PRECIOS!$A$4:$F$32,5,FALSE()),0)))),0)</f>
        <v>24</v>
      </c>
      <c r="H655" s="103">
        <f t="shared" si="1"/>
        <v>0</v>
      </c>
      <c r="I655" s="104" t="str">
        <f>IF(E655&lt;0,"ERROR",IF(E655=0,"",IF(E655&lt;CONFIG!$B$4,"CRÍTICO",IF(E655&lt;CONFIG!$B$5,"BAJO","OK"))))</f>
        <v/>
      </c>
    </row>
    <row r="656" ht="15.75" customHeight="1">
      <c r="A656" s="90" t="str">
        <f>IF(CLIENTES!A8="","",CLIENTES!A8)</f>
        <v/>
      </c>
      <c r="B656" s="67" t="str">
        <f>TELAS!A8</f>
        <v>rib 1x1</v>
      </c>
      <c r="C656" s="67" t="str">
        <f>COLORES!A16</f>
        <v>Topo</v>
      </c>
      <c r="D656" s="67" t="str">
        <f>COLORES!B16</f>
        <v>CLARO</v>
      </c>
      <c r="E656" s="100">
        <f>IFERROR(SUMIFS(MOVIMIENTOS!$F$4:$F$1000,MOVIMIENTOS!$C$4:$C$1000,A656,MOVIMIENTOS!$D$4:$D$1000,B656,MOVIMIENTOS!$E$4:$E$1000,C656,MOVIMIENTOS!$B$4:$B$1000,"INGRESO")+SUMIFS(MOVIMIENTOS!$F$4:$F$1000,MOVIMIENTOS!$C$4:$C$1000,A656,MOVIMIENTOS!$D$4:$D$1000,B656,MOVIMIENTOS!$E$4:$E$1000,C656,MOVIMIENTOS!$B$4:$B$1000,"DE REPROCESO")+SUMIFS(MOVIMIENTOS!$F$4:$F$1000,MOVIMIENTOS!$C$4:$C$1000,A656,MOVIMIENTOS!$D$4:$D$1000,B656,MOVIMIENTOS!$E$4:$E$1000,C656,MOVIMIENTOS!$B$4:$B$1000,"AJUSTE+")-SUMIFS(MOVIMIENTOS!$F$4:$F$1000,MOVIMIENTOS!$C$4:$C$1000,A656,MOVIMIENTOS!$D$4:$D$1000,B656,MOVIMIENTOS!$E$4:$E$1000,C656,MOVIMIENTOS!$B$4:$B$1000,"A CORTE")-SUMIFS(MOVIMIENTOS!$F$4:$F$1000,MOVIMIENTOS!$C$4:$C$1000,A656,MOVIMIENTOS!$D$4:$D$1000,B656,MOVIMIENTOS!$E$4:$E$1000,C656,MOVIMIENTOS!$B$4:$B$1000,"A REPROCESO")-SUMIFS(MOVIMIENTOS!$F$4:$F$1000,MOVIMIENTOS!$C$4:$C$1000,A656,MOVIMIENTOS!$D$4:$D$1000,B656,MOVIMIENTOS!$E$4:$E$1000,C656,MOVIMIENTOS!$B$4:$B$1000,"MUESTRA")-SUMIFS(MOVIMIENTOS!$F$4:$F$1000,MOVIMIENTOS!$C$4:$C$1000,A656,MOVIMIENTOS!$D$4:$D$1000,B656,MOVIMIENTOS!$E$4:$E$1000,C656,MOVIMIENTOS!$B$4:$B$1000,"AJUSTE-"),0)</f>
        <v>0</v>
      </c>
      <c r="F656" s="101">
        <f>IFERROR(E656*VLOOKUP(B656,TELAS!$A$4:$C$32,3,FALSE()),0)</f>
        <v>0</v>
      </c>
      <c r="G656" s="102">
        <f>IFERROR(IF(D656="OSCURO",VLOOKUP(B656,PRECIOS!$A$4:$F$32,2,FALSE()),IF(D656="CLARO",VLOOKUP(B656,PRECIOS!$A$4:$F$32,3,FALSE()),IF(D656="MELANGE",VLOOKUP(B656,PRECIOS!$A$4:$F$32,4,FALSE()),IF(D656="PPT",VLOOKUP(B656,PRECIOS!$A$4:$F$32,5,FALSE()),0)))),0)</f>
        <v>21</v>
      </c>
      <c r="H656" s="103">
        <f t="shared" si="1"/>
        <v>0</v>
      </c>
      <c r="I656" s="104" t="str">
        <f>IF(E656&lt;0,"ERROR",IF(E656=0,"",IF(E656&lt;CONFIG!$B$4,"CRÍTICO",IF(E656&lt;CONFIG!$B$5,"BAJO","OK"))))</f>
        <v/>
      </c>
    </row>
    <row r="657" ht="15.75" customHeight="1">
      <c r="A657" s="90" t="str">
        <f>IF(CLIENTES!A8="","",CLIENTES!A8)</f>
        <v/>
      </c>
      <c r="B657" s="67" t="str">
        <f>TELAS!A8</f>
        <v>rib 1x1</v>
      </c>
      <c r="C657" s="67" t="str">
        <f>COLORES!A17</f>
        <v>Vino</v>
      </c>
      <c r="D657" s="67" t="str">
        <f>COLORES!B17</f>
        <v>OSCURO</v>
      </c>
      <c r="E657" s="100">
        <f>IFERROR(SUMIFS(MOVIMIENTOS!$F$4:$F$1000,MOVIMIENTOS!$C$4:$C$1000,A657,MOVIMIENTOS!$D$4:$D$1000,B657,MOVIMIENTOS!$E$4:$E$1000,C657,MOVIMIENTOS!$B$4:$B$1000,"INGRESO")+SUMIFS(MOVIMIENTOS!$F$4:$F$1000,MOVIMIENTOS!$C$4:$C$1000,A657,MOVIMIENTOS!$D$4:$D$1000,B657,MOVIMIENTOS!$E$4:$E$1000,C657,MOVIMIENTOS!$B$4:$B$1000,"DE REPROCESO")+SUMIFS(MOVIMIENTOS!$F$4:$F$1000,MOVIMIENTOS!$C$4:$C$1000,A657,MOVIMIENTOS!$D$4:$D$1000,B657,MOVIMIENTOS!$E$4:$E$1000,C657,MOVIMIENTOS!$B$4:$B$1000,"AJUSTE+")-SUMIFS(MOVIMIENTOS!$F$4:$F$1000,MOVIMIENTOS!$C$4:$C$1000,A657,MOVIMIENTOS!$D$4:$D$1000,B657,MOVIMIENTOS!$E$4:$E$1000,C657,MOVIMIENTOS!$B$4:$B$1000,"A CORTE")-SUMIFS(MOVIMIENTOS!$F$4:$F$1000,MOVIMIENTOS!$C$4:$C$1000,A657,MOVIMIENTOS!$D$4:$D$1000,B657,MOVIMIENTOS!$E$4:$E$1000,C657,MOVIMIENTOS!$B$4:$B$1000,"A REPROCESO")-SUMIFS(MOVIMIENTOS!$F$4:$F$1000,MOVIMIENTOS!$C$4:$C$1000,A657,MOVIMIENTOS!$D$4:$D$1000,B657,MOVIMIENTOS!$E$4:$E$1000,C657,MOVIMIENTOS!$B$4:$B$1000,"MUESTRA")-SUMIFS(MOVIMIENTOS!$F$4:$F$1000,MOVIMIENTOS!$C$4:$C$1000,A657,MOVIMIENTOS!$D$4:$D$1000,B657,MOVIMIENTOS!$E$4:$E$1000,C657,MOVIMIENTOS!$B$4:$B$1000,"AJUSTE-"),0)</f>
        <v>0</v>
      </c>
      <c r="F657" s="101">
        <f>IFERROR(E657*VLOOKUP(B657,TELAS!$A$4:$C$32,3,FALSE()),0)</f>
        <v>0</v>
      </c>
      <c r="G657" s="102">
        <f>IFERROR(IF(D657="OSCURO",VLOOKUP(B657,PRECIOS!$A$4:$F$32,2,FALSE()),IF(D657="CLARO",VLOOKUP(B657,PRECIOS!$A$4:$F$32,3,FALSE()),IF(D657="MELANGE",VLOOKUP(B657,PRECIOS!$A$4:$F$32,4,FALSE()),IF(D657="PPT",VLOOKUP(B657,PRECIOS!$A$4:$F$32,5,FALSE()),0)))),0)</f>
        <v>24</v>
      </c>
      <c r="H657" s="103">
        <f t="shared" si="1"/>
        <v>0</v>
      </c>
      <c r="I657" s="104" t="str">
        <f>IF(E657&lt;0,"ERROR",IF(E657=0,"",IF(E657&lt;CONFIG!$B$4,"CRÍTICO",IF(E657&lt;CONFIG!$B$5,"BAJO","OK"))))</f>
        <v/>
      </c>
    </row>
    <row r="658" ht="15.75" customHeight="1">
      <c r="A658" s="90" t="str">
        <f>IF(CLIENTES!A8="","",CLIENTES!A8)</f>
        <v/>
      </c>
      <c r="B658" s="67" t="str">
        <f>TELAS!A8</f>
        <v>rib 1x1</v>
      </c>
      <c r="C658" s="67" t="str">
        <f>COLORES!A18</f>
        <v>P. Rosa</v>
      </c>
      <c r="D658" s="67" t="str">
        <f>COLORES!B18</f>
        <v>CLARO</v>
      </c>
      <c r="E658" s="100">
        <f>IFERROR(SUMIFS(MOVIMIENTOS!$F$4:$F$1000,MOVIMIENTOS!$C$4:$C$1000,A658,MOVIMIENTOS!$D$4:$D$1000,B658,MOVIMIENTOS!$E$4:$E$1000,C658,MOVIMIENTOS!$B$4:$B$1000,"INGRESO")+SUMIFS(MOVIMIENTOS!$F$4:$F$1000,MOVIMIENTOS!$C$4:$C$1000,A658,MOVIMIENTOS!$D$4:$D$1000,B658,MOVIMIENTOS!$E$4:$E$1000,C658,MOVIMIENTOS!$B$4:$B$1000,"DE REPROCESO")+SUMIFS(MOVIMIENTOS!$F$4:$F$1000,MOVIMIENTOS!$C$4:$C$1000,A658,MOVIMIENTOS!$D$4:$D$1000,B658,MOVIMIENTOS!$E$4:$E$1000,C658,MOVIMIENTOS!$B$4:$B$1000,"AJUSTE+")-SUMIFS(MOVIMIENTOS!$F$4:$F$1000,MOVIMIENTOS!$C$4:$C$1000,A658,MOVIMIENTOS!$D$4:$D$1000,B658,MOVIMIENTOS!$E$4:$E$1000,C658,MOVIMIENTOS!$B$4:$B$1000,"A CORTE")-SUMIFS(MOVIMIENTOS!$F$4:$F$1000,MOVIMIENTOS!$C$4:$C$1000,A658,MOVIMIENTOS!$D$4:$D$1000,B658,MOVIMIENTOS!$E$4:$E$1000,C658,MOVIMIENTOS!$B$4:$B$1000,"A REPROCESO")-SUMIFS(MOVIMIENTOS!$F$4:$F$1000,MOVIMIENTOS!$C$4:$C$1000,A658,MOVIMIENTOS!$D$4:$D$1000,B658,MOVIMIENTOS!$E$4:$E$1000,C658,MOVIMIENTOS!$B$4:$B$1000,"MUESTRA")-SUMIFS(MOVIMIENTOS!$F$4:$F$1000,MOVIMIENTOS!$C$4:$C$1000,A658,MOVIMIENTOS!$D$4:$D$1000,B658,MOVIMIENTOS!$E$4:$E$1000,C658,MOVIMIENTOS!$B$4:$B$1000,"AJUSTE-"),0)</f>
        <v>0</v>
      </c>
      <c r="F658" s="101">
        <f>IFERROR(E658*VLOOKUP(B658,TELAS!$A$4:$C$32,3,FALSE()),0)</f>
        <v>0</v>
      </c>
      <c r="G658" s="102">
        <f>IFERROR(IF(D658="OSCURO",VLOOKUP(B658,PRECIOS!$A$4:$F$32,2,FALSE()),IF(D658="CLARO",VLOOKUP(B658,PRECIOS!$A$4:$F$32,3,FALSE()),IF(D658="MELANGE",VLOOKUP(B658,PRECIOS!$A$4:$F$32,4,FALSE()),IF(D658="PPT",VLOOKUP(B658,PRECIOS!$A$4:$F$32,5,FALSE()),0)))),0)</f>
        <v>21</v>
      </c>
      <c r="H658" s="103">
        <f t="shared" si="1"/>
        <v>0</v>
      </c>
      <c r="I658" s="104" t="str">
        <f>IF(E658&lt;0,"ERROR",IF(E658=0,"",IF(E658&lt;CONFIG!$B$4,"CRÍTICO",IF(E658&lt;CONFIG!$B$5,"BAJO","OK"))))</f>
        <v/>
      </c>
    </row>
    <row r="659" ht="15.75" customHeight="1">
      <c r="A659" s="90" t="str">
        <f>IF(CLIENTES!A8="","",CLIENTES!A8)</f>
        <v/>
      </c>
      <c r="B659" s="67" t="str">
        <f>TELAS!A8</f>
        <v>rib 1x1</v>
      </c>
      <c r="C659" s="67" t="str">
        <f>COLORES!A19</f>
        <v/>
      </c>
      <c r="D659" s="67" t="str">
        <f>COLORES!B19</f>
        <v/>
      </c>
      <c r="E659" s="100">
        <f>IFERROR(SUMIFS(MOVIMIENTOS!$F$4:$F$1000,MOVIMIENTOS!$C$4:$C$1000,A659,MOVIMIENTOS!$D$4:$D$1000,B659,MOVIMIENTOS!$E$4:$E$1000,C659,MOVIMIENTOS!$B$4:$B$1000,"INGRESO")+SUMIFS(MOVIMIENTOS!$F$4:$F$1000,MOVIMIENTOS!$C$4:$C$1000,A659,MOVIMIENTOS!$D$4:$D$1000,B659,MOVIMIENTOS!$E$4:$E$1000,C659,MOVIMIENTOS!$B$4:$B$1000,"DE REPROCESO")+SUMIFS(MOVIMIENTOS!$F$4:$F$1000,MOVIMIENTOS!$C$4:$C$1000,A659,MOVIMIENTOS!$D$4:$D$1000,B659,MOVIMIENTOS!$E$4:$E$1000,C659,MOVIMIENTOS!$B$4:$B$1000,"AJUSTE+")-SUMIFS(MOVIMIENTOS!$F$4:$F$1000,MOVIMIENTOS!$C$4:$C$1000,A659,MOVIMIENTOS!$D$4:$D$1000,B659,MOVIMIENTOS!$E$4:$E$1000,C659,MOVIMIENTOS!$B$4:$B$1000,"A CORTE")-SUMIFS(MOVIMIENTOS!$F$4:$F$1000,MOVIMIENTOS!$C$4:$C$1000,A659,MOVIMIENTOS!$D$4:$D$1000,B659,MOVIMIENTOS!$E$4:$E$1000,C659,MOVIMIENTOS!$B$4:$B$1000,"A REPROCESO")-SUMIFS(MOVIMIENTOS!$F$4:$F$1000,MOVIMIENTOS!$C$4:$C$1000,A659,MOVIMIENTOS!$D$4:$D$1000,B659,MOVIMIENTOS!$E$4:$E$1000,C659,MOVIMIENTOS!$B$4:$B$1000,"MUESTRA")-SUMIFS(MOVIMIENTOS!$F$4:$F$1000,MOVIMIENTOS!$C$4:$C$1000,A659,MOVIMIENTOS!$D$4:$D$1000,B659,MOVIMIENTOS!$E$4:$E$1000,C659,MOVIMIENTOS!$B$4:$B$1000,"AJUSTE-"),0)</f>
        <v>0</v>
      </c>
      <c r="F659" s="101">
        <f>IFERROR(E659*VLOOKUP(B659,TELAS!$A$4:$C$32,3,FALSE()),0)</f>
        <v>0</v>
      </c>
      <c r="G659" s="102">
        <f>IFERROR(IF(D659="OSCURO",VLOOKUP(B659,PRECIOS!$A$4:$F$32,2,FALSE()),IF(D659="CLARO",VLOOKUP(B659,PRECIOS!$A$4:$F$32,3,FALSE()),IF(D659="MELANGE",VLOOKUP(B659,PRECIOS!$A$4:$F$32,4,FALSE()),IF(D659="PPT",VLOOKUP(B659,PRECIOS!$A$4:$F$32,5,FALSE()),0)))),0)</f>
        <v>0</v>
      </c>
      <c r="H659" s="103">
        <f t="shared" si="1"/>
        <v>0</v>
      </c>
      <c r="I659" s="104" t="str">
        <f>IF(E659&lt;0,"ERROR",IF(E659=0,"",IF(E659&lt;CONFIG!$B$4,"CRÍTICO",IF(E659&lt;CONFIG!$B$5,"BAJO","OK"))))</f>
        <v/>
      </c>
    </row>
    <row r="660" ht="15.75" customHeight="1">
      <c r="A660" s="90" t="str">
        <f>IF(CLIENTES!A8="","",CLIENTES!A8)</f>
        <v/>
      </c>
      <c r="B660" s="67" t="str">
        <f>TELAS!A8</f>
        <v>rib 1x1</v>
      </c>
      <c r="C660" s="67" t="str">
        <f>COLORES!A20</f>
        <v/>
      </c>
      <c r="D660" s="67" t="str">
        <f>COLORES!B20</f>
        <v/>
      </c>
      <c r="E660" s="100">
        <f>IFERROR(SUMIFS(MOVIMIENTOS!$F$4:$F$1000,MOVIMIENTOS!$C$4:$C$1000,A660,MOVIMIENTOS!$D$4:$D$1000,B660,MOVIMIENTOS!$E$4:$E$1000,C660,MOVIMIENTOS!$B$4:$B$1000,"INGRESO")+SUMIFS(MOVIMIENTOS!$F$4:$F$1000,MOVIMIENTOS!$C$4:$C$1000,A660,MOVIMIENTOS!$D$4:$D$1000,B660,MOVIMIENTOS!$E$4:$E$1000,C660,MOVIMIENTOS!$B$4:$B$1000,"DE REPROCESO")+SUMIFS(MOVIMIENTOS!$F$4:$F$1000,MOVIMIENTOS!$C$4:$C$1000,A660,MOVIMIENTOS!$D$4:$D$1000,B660,MOVIMIENTOS!$E$4:$E$1000,C660,MOVIMIENTOS!$B$4:$B$1000,"AJUSTE+")-SUMIFS(MOVIMIENTOS!$F$4:$F$1000,MOVIMIENTOS!$C$4:$C$1000,A660,MOVIMIENTOS!$D$4:$D$1000,B660,MOVIMIENTOS!$E$4:$E$1000,C660,MOVIMIENTOS!$B$4:$B$1000,"A CORTE")-SUMIFS(MOVIMIENTOS!$F$4:$F$1000,MOVIMIENTOS!$C$4:$C$1000,A660,MOVIMIENTOS!$D$4:$D$1000,B660,MOVIMIENTOS!$E$4:$E$1000,C660,MOVIMIENTOS!$B$4:$B$1000,"A REPROCESO")-SUMIFS(MOVIMIENTOS!$F$4:$F$1000,MOVIMIENTOS!$C$4:$C$1000,A660,MOVIMIENTOS!$D$4:$D$1000,B660,MOVIMIENTOS!$E$4:$E$1000,C660,MOVIMIENTOS!$B$4:$B$1000,"MUESTRA")-SUMIFS(MOVIMIENTOS!$F$4:$F$1000,MOVIMIENTOS!$C$4:$C$1000,A660,MOVIMIENTOS!$D$4:$D$1000,B660,MOVIMIENTOS!$E$4:$E$1000,C660,MOVIMIENTOS!$B$4:$B$1000,"AJUSTE-"),0)</f>
        <v>0</v>
      </c>
      <c r="F660" s="101">
        <f>IFERROR(E660*VLOOKUP(B660,TELAS!$A$4:$C$32,3,FALSE()),0)</f>
        <v>0</v>
      </c>
      <c r="G660" s="102">
        <f>IFERROR(IF(D660="OSCURO",VLOOKUP(B660,PRECIOS!$A$4:$F$32,2,FALSE()),IF(D660="CLARO",VLOOKUP(B660,PRECIOS!$A$4:$F$32,3,FALSE()),IF(D660="MELANGE",VLOOKUP(B660,PRECIOS!$A$4:$F$32,4,FALSE()),IF(D660="PPT",VLOOKUP(B660,PRECIOS!$A$4:$F$32,5,FALSE()),0)))),0)</f>
        <v>0</v>
      </c>
      <c r="H660" s="103">
        <f t="shared" si="1"/>
        <v>0</v>
      </c>
      <c r="I660" s="104" t="str">
        <f>IF(E660&lt;0,"ERROR",IF(E660=0,"",IF(E660&lt;CONFIG!$B$4,"CRÍTICO",IF(E660&lt;CONFIG!$B$5,"BAJO","OK"))))</f>
        <v/>
      </c>
    </row>
    <row r="661" ht="15.75" customHeight="1">
      <c r="A661" s="90" t="str">
        <f>IF(CLIENTES!A8="","",CLIENTES!A8)</f>
        <v/>
      </c>
      <c r="B661" s="67" t="str">
        <f>TELAS!A8</f>
        <v>rib 1x1</v>
      </c>
      <c r="C661" s="67" t="str">
        <f>COLORES!A21</f>
        <v/>
      </c>
      <c r="D661" s="67" t="str">
        <f>COLORES!B21</f>
        <v/>
      </c>
      <c r="E661" s="100">
        <f>IFERROR(SUMIFS(MOVIMIENTOS!$F$4:$F$1000,MOVIMIENTOS!$C$4:$C$1000,A661,MOVIMIENTOS!$D$4:$D$1000,B661,MOVIMIENTOS!$E$4:$E$1000,C661,MOVIMIENTOS!$B$4:$B$1000,"INGRESO")+SUMIFS(MOVIMIENTOS!$F$4:$F$1000,MOVIMIENTOS!$C$4:$C$1000,A661,MOVIMIENTOS!$D$4:$D$1000,B661,MOVIMIENTOS!$E$4:$E$1000,C661,MOVIMIENTOS!$B$4:$B$1000,"DE REPROCESO")+SUMIFS(MOVIMIENTOS!$F$4:$F$1000,MOVIMIENTOS!$C$4:$C$1000,A661,MOVIMIENTOS!$D$4:$D$1000,B661,MOVIMIENTOS!$E$4:$E$1000,C661,MOVIMIENTOS!$B$4:$B$1000,"AJUSTE+")-SUMIFS(MOVIMIENTOS!$F$4:$F$1000,MOVIMIENTOS!$C$4:$C$1000,A661,MOVIMIENTOS!$D$4:$D$1000,B661,MOVIMIENTOS!$E$4:$E$1000,C661,MOVIMIENTOS!$B$4:$B$1000,"A CORTE")-SUMIFS(MOVIMIENTOS!$F$4:$F$1000,MOVIMIENTOS!$C$4:$C$1000,A661,MOVIMIENTOS!$D$4:$D$1000,B661,MOVIMIENTOS!$E$4:$E$1000,C661,MOVIMIENTOS!$B$4:$B$1000,"A REPROCESO")-SUMIFS(MOVIMIENTOS!$F$4:$F$1000,MOVIMIENTOS!$C$4:$C$1000,A661,MOVIMIENTOS!$D$4:$D$1000,B661,MOVIMIENTOS!$E$4:$E$1000,C661,MOVIMIENTOS!$B$4:$B$1000,"MUESTRA")-SUMIFS(MOVIMIENTOS!$F$4:$F$1000,MOVIMIENTOS!$C$4:$C$1000,A661,MOVIMIENTOS!$D$4:$D$1000,B661,MOVIMIENTOS!$E$4:$E$1000,C661,MOVIMIENTOS!$B$4:$B$1000,"AJUSTE-"),0)</f>
        <v>0</v>
      </c>
      <c r="F661" s="101">
        <f>IFERROR(E661*VLOOKUP(B661,TELAS!$A$4:$C$32,3,FALSE()),0)</f>
        <v>0</v>
      </c>
      <c r="G661" s="102">
        <f>IFERROR(IF(D661="OSCURO",VLOOKUP(B661,PRECIOS!$A$4:$F$32,2,FALSE()),IF(D661="CLARO",VLOOKUP(B661,PRECIOS!$A$4:$F$32,3,FALSE()),IF(D661="MELANGE",VLOOKUP(B661,PRECIOS!$A$4:$F$32,4,FALSE()),IF(D661="PPT",VLOOKUP(B661,PRECIOS!$A$4:$F$32,5,FALSE()),0)))),0)</f>
        <v>0</v>
      </c>
      <c r="H661" s="103">
        <f t="shared" si="1"/>
        <v>0</v>
      </c>
      <c r="I661" s="104" t="str">
        <f>IF(E661&lt;0,"ERROR",IF(E661=0,"",IF(E661&lt;CONFIG!$B$4,"CRÍTICO",IF(E661&lt;CONFIG!$B$5,"BAJO","OK"))))</f>
        <v/>
      </c>
    </row>
    <row r="662" ht="15.75" customHeight="1">
      <c r="A662" s="90" t="str">
        <f>IF(CLIENTES!A8="","",CLIENTES!A8)</f>
        <v/>
      </c>
      <c r="B662" s="67" t="str">
        <f>TELAS!A8</f>
        <v>rib 1x1</v>
      </c>
      <c r="C662" s="67" t="str">
        <f>COLORES!A22</f>
        <v/>
      </c>
      <c r="D662" s="67" t="str">
        <f>COLORES!B22</f>
        <v/>
      </c>
      <c r="E662" s="100">
        <f>IFERROR(SUMIFS(MOVIMIENTOS!$F$4:$F$1000,MOVIMIENTOS!$C$4:$C$1000,A662,MOVIMIENTOS!$D$4:$D$1000,B662,MOVIMIENTOS!$E$4:$E$1000,C662,MOVIMIENTOS!$B$4:$B$1000,"INGRESO")+SUMIFS(MOVIMIENTOS!$F$4:$F$1000,MOVIMIENTOS!$C$4:$C$1000,A662,MOVIMIENTOS!$D$4:$D$1000,B662,MOVIMIENTOS!$E$4:$E$1000,C662,MOVIMIENTOS!$B$4:$B$1000,"DE REPROCESO")+SUMIFS(MOVIMIENTOS!$F$4:$F$1000,MOVIMIENTOS!$C$4:$C$1000,A662,MOVIMIENTOS!$D$4:$D$1000,B662,MOVIMIENTOS!$E$4:$E$1000,C662,MOVIMIENTOS!$B$4:$B$1000,"AJUSTE+")-SUMIFS(MOVIMIENTOS!$F$4:$F$1000,MOVIMIENTOS!$C$4:$C$1000,A662,MOVIMIENTOS!$D$4:$D$1000,B662,MOVIMIENTOS!$E$4:$E$1000,C662,MOVIMIENTOS!$B$4:$B$1000,"A CORTE")-SUMIFS(MOVIMIENTOS!$F$4:$F$1000,MOVIMIENTOS!$C$4:$C$1000,A662,MOVIMIENTOS!$D$4:$D$1000,B662,MOVIMIENTOS!$E$4:$E$1000,C662,MOVIMIENTOS!$B$4:$B$1000,"A REPROCESO")-SUMIFS(MOVIMIENTOS!$F$4:$F$1000,MOVIMIENTOS!$C$4:$C$1000,A662,MOVIMIENTOS!$D$4:$D$1000,B662,MOVIMIENTOS!$E$4:$E$1000,C662,MOVIMIENTOS!$B$4:$B$1000,"MUESTRA")-SUMIFS(MOVIMIENTOS!$F$4:$F$1000,MOVIMIENTOS!$C$4:$C$1000,A662,MOVIMIENTOS!$D$4:$D$1000,B662,MOVIMIENTOS!$E$4:$E$1000,C662,MOVIMIENTOS!$B$4:$B$1000,"AJUSTE-"),0)</f>
        <v>0</v>
      </c>
      <c r="F662" s="101">
        <f>IFERROR(E662*VLOOKUP(B662,TELAS!$A$4:$C$32,3,FALSE()),0)</f>
        <v>0</v>
      </c>
      <c r="G662" s="102">
        <f>IFERROR(IF(D662="OSCURO",VLOOKUP(B662,PRECIOS!$A$4:$F$32,2,FALSE()),IF(D662="CLARO",VLOOKUP(B662,PRECIOS!$A$4:$F$32,3,FALSE()),IF(D662="MELANGE",VLOOKUP(B662,PRECIOS!$A$4:$F$32,4,FALSE()),IF(D662="PPT",VLOOKUP(B662,PRECIOS!$A$4:$F$32,5,FALSE()),0)))),0)</f>
        <v>0</v>
      </c>
      <c r="H662" s="103">
        <f t="shared" si="1"/>
        <v>0</v>
      </c>
      <c r="I662" s="104" t="str">
        <f>IF(E662&lt;0,"ERROR",IF(E662=0,"",IF(E662&lt;CONFIG!$B$4,"CRÍTICO",IF(E662&lt;CONFIG!$B$5,"BAJO","OK"))))</f>
        <v/>
      </c>
    </row>
    <row r="663" ht="15.75" customHeight="1">
      <c r="A663" s="90" t="str">
        <f>IF(CLIENTES!A8="","",CLIENTES!A8)</f>
        <v/>
      </c>
      <c r="B663" s="67" t="str">
        <f>TELAS!A8</f>
        <v>rib 1x1</v>
      </c>
      <c r="C663" s="67" t="str">
        <f>COLORES!A23</f>
        <v/>
      </c>
      <c r="D663" s="67" t="str">
        <f>COLORES!B23</f>
        <v/>
      </c>
      <c r="E663" s="100">
        <f>IFERROR(SUMIFS(MOVIMIENTOS!$F$4:$F$1000,MOVIMIENTOS!$C$4:$C$1000,A663,MOVIMIENTOS!$D$4:$D$1000,B663,MOVIMIENTOS!$E$4:$E$1000,C663,MOVIMIENTOS!$B$4:$B$1000,"INGRESO")+SUMIFS(MOVIMIENTOS!$F$4:$F$1000,MOVIMIENTOS!$C$4:$C$1000,A663,MOVIMIENTOS!$D$4:$D$1000,B663,MOVIMIENTOS!$E$4:$E$1000,C663,MOVIMIENTOS!$B$4:$B$1000,"DE REPROCESO")+SUMIFS(MOVIMIENTOS!$F$4:$F$1000,MOVIMIENTOS!$C$4:$C$1000,A663,MOVIMIENTOS!$D$4:$D$1000,B663,MOVIMIENTOS!$E$4:$E$1000,C663,MOVIMIENTOS!$B$4:$B$1000,"AJUSTE+")-SUMIFS(MOVIMIENTOS!$F$4:$F$1000,MOVIMIENTOS!$C$4:$C$1000,A663,MOVIMIENTOS!$D$4:$D$1000,B663,MOVIMIENTOS!$E$4:$E$1000,C663,MOVIMIENTOS!$B$4:$B$1000,"A CORTE")-SUMIFS(MOVIMIENTOS!$F$4:$F$1000,MOVIMIENTOS!$C$4:$C$1000,A663,MOVIMIENTOS!$D$4:$D$1000,B663,MOVIMIENTOS!$E$4:$E$1000,C663,MOVIMIENTOS!$B$4:$B$1000,"A REPROCESO")-SUMIFS(MOVIMIENTOS!$F$4:$F$1000,MOVIMIENTOS!$C$4:$C$1000,A663,MOVIMIENTOS!$D$4:$D$1000,B663,MOVIMIENTOS!$E$4:$E$1000,C663,MOVIMIENTOS!$B$4:$B$1000,"MUESTRA")-SUMIFS(MOVIMIENTOS!$F$4:$F$1000,MOVIMIENTOS!$C$4:$C$1000,A663,MOVIMIENTOS!$D$4:$D$1000,B663,MOVIMIENTOS!$E$4:$E$1000,C663,MOVIMIENTOS!$B$4:$B$1000,"AJUSTE-"),0)</f>
        <v>0</v>
      </c>
      <c r="F663" s="101">
        <f>IFERROR(E663*VLOOKUP(B663,TELAS!$A$4:$C$32,3,FALSE()),0)</f>
        <v>0</v>
      </c>
      <c r="G663" s="102">
        <f>IFERROR(IF(D663="OSCURO",VLOOKUP(B663,PRECIOS!$A$4:$F$32,2,FALSE()),IF(D663="CLARO",VLOOKUP(B663,PRECIOS!$A$4:$F$32,3,FALSE()),IF(D663="MELANGE",VLOOKUP(B663,PRECIOS!$A$4:$F$32,4,FALSE()),IF(D663="PPT",VLOOKUP(B663,PRECIOS!$A$4:$F$32,5,FALSE()),0)))),0)</f>
        <v>0</v>
      </c>
      <c r="H663" s="103">
        <f t="shared" si="1"/>
        <v>0</v>
      </c>
      <c r="I663" s="104" t="str">
        <f>IF(E663&lt;0,"ERROR",IF(E663=0,"",IF(E663&lt;CONFIG!$B$4,"CRÍTICO",IF(E663&lt;CONFIG!$B$5,"BAJO","OK"))))</f>
        <v/>
      </c>
    </row>
    <row r="664" ht="15.75" customHeight="1">
      <c r="A664" s="90" t="str">
        <f>IF(CLIENTES!A8="","",CLIENTES!A8)</f>
        <v/>
      </c>
      <c r="B664" s="67" t="str">
        <f>TELAS!A9</f>
        <v>rib 2x1 lycrado</v>
      </c>
      <c r="C664" s="67" t="str">
        <f>COLORES!A4</f>
        <v>Negro</v>
      </c>
      <c r="D664" s="67" t="str">
        <f>COLORES!B4</f>
        <v>OSCURO</v>
      </c>
      <c r="E664" s="100">
        <f>IFERROR(SUMIFS(MOVIMIENTOS!$F$4:$F$1000,MOVIMIENTOS!$C$4:$C$1000,A664,MOVIMIENTOS!$D$4:$D$1000,B664,MOVIMIENTOS!$E$4:$E$1000,C664,MOVIMIENTOS!$B$4:$B$1000,"INGRESO")+SUMIFS(MOVIMIENTOS!$F$4:$F$1000,MOVIMIENTOS!$C$4:$C$1000,A664,MOVIMIENTOS!$D$4:$D$1000,B664,MOVIMIENTOS!$E$4:$E$1000,C664,MOVIMIENTOS!$B$4:$B$1000,"DE REPROCESO")+SUMIFS(MOVIMIENTOS!$F$4:$F$1000,MOVIMIENTOS!$C$4:$C$1000,A664,MOVIMIENTOS!$D$4:$D$1000,B664,MOVIMIENTOS!$E$4:$E$1000,C664,MOVIMIENTOS!$B$4:$B$1000,"AJUSTE+")-SUMIFS(MOVIMIENTOS!$F$4:$F$1000,MOVIMIENTOS!$C$4:$C$1000,A664,MOVIMIENTOS!$D$4:$D$1000,B664,MOVIMIENTOS!$E$4:$E$1000,C664,MOVIMIENTOS!$B$4:$B$1000,"A CORTE")-SUMIFS(MOVIMIENTOS!$F$4:$F$1000,MOVIMIENTOS!$C$4:$C$1000,A664,MOVIMIENTOS!$D$4:$D$1000,B664,MOVIMIENTOS!$E$4:$E$1000,C664,MOVIMIENTOS!$B$4:$B$1000,"A REPROCESO")-SUMIFS(MOVIMIENTOS!$F$4:$F$1000,MOVIMIENTOS!$C$4:$C$1000,A664,MOVIMIENTOS!$D$4:$D$1000,B664,MOVIMIENTOS!$E$4:$E$1000,C664,MOVIMIENTOS!$B$4:$B$1000,"MUESTRA")-SUMIFS(MOVIMIENTOS!$F$4:$F$1000,MOVIMIENTOS!$C$4:$C$1000,A664,MOVIMIENTOS!$D$4:$D$1000,B664,MOVIMIENTOS!$E$4:$E$1000,C664,MOVIMIENTOS!$B$4:$B$1000,"AJUSTE-"),0)</f>
        <v>0</v>
      </c>
      <c r="F664" s="101">
        <f>IFERROR(E664*VLOOKUP(B664,TELAS!$A$4:$C$32,3,FALSE()),0)</f>
        <v>0</v>
      </c>
      <c r="G664" s="102">
        <f>IFERROR(IF(D664="OSCURO",VLOOKUP(B664,PRECIOS!$A$4:$F$32,2,FALSE()),IF(D664="CLARO",VLOOKUP(B664,PRECIOS!$A$4:$F$32,3,FALSE()),IF(D664="MELANGE",VLOOKUP(B664,PRECIOS!$A$4:$F$32,4,FALSE()),IF(D664="PPT",VLOOKUP(B664,PRECIOS!$A$4:$F$32,5,FALSE()),0)))),0)</f>
        <v>24</v>
      </c>
      <c r="H664" s="103">
        <f t="shared" si="1"/>
        <v>0</v>
      </c>
      <c r="I664" s="104" t="str">
        <f>IF(E664&lt;0,"ERROR",IF(E664=0,"",IF(E664&lt;CONFIG!$B$4,"CRÍTICO",IF(E664&lt;CONFIG!$B$5,"BAJO","OK"))))</f>
        <v/>
      </c>
    </row>
    <row r="665" ht="15.75" customHeight="1">
      <c r="A665" s="90" t="str">
        <f>IF(CLIENTES!A8="","",CLIENTES!A8)</f>
        <v/>
      </c>
      <c r="B665" s="67" t="str">
        <f>TELAS!A9</f>
        <v>rib 2x1 lycrado</v>
      </c>
      <c r="C665" s="67" t="str">
        <f>COLORES!A5</f>
        <v>Perla</v>
      </c>
      <c r="D665" s="67" t="str">
        <f>COLORES!B5</f>
        <v>PPT</v>
      </c>
      <c r="E665" s="100">
        <f>IFERROR(SUMIFS(MOVIMIENTOS!$F$4:$F$1000,MOVIMIENTOS!$C$4:$C$1000,A665,MOVIMIENTOS!$D$4:$D$1000,B665,MOVIMIENTOS!$E$4:$E$1000,C665,MOVIMIENTOS!$B$4:$B$1000,"INGRESO")+SUMIFS(MOVIMIENTOS!$F$4:$F$1000,MOVIMIENTOS!$C$4:$C$1000,A665,MOVIMIENTOS!$D$4:$D$1000,B665,MOVIMIENTOS!$E$4:$E$1000,C665,MOVIMIENTOS!$B$4:$B$1000,"DE REPROCESO")+SUMIFS(MOVIMIENTOS!$F$4:$F$1000,MOVIMIENTOS!$C$4:$C$1000,A665,MOVIMIENTOS!$D$4:$D$1000,B665,MOVIMIENTOS!$E$4:$E$1000,C665,MOVIMIENTOS!$B$4:$B$1000,"AJUSTE+")-SUMIFS(MOVIMIENTOS!$F$4:$F$1000,MOVIMIENTOS!$C$4:$C$1000,A665,MOVIMIENTOS!$D$4:$D$1000,B665,MOVIMIENTOS!$E$4:$E$1000,C665,MOVIMIENTOS!$B$4:$B$1000,"A CORTE")-SUMIFS(MOVIMIENTOS!$F$4:$F$1000,MOVIMIENTOS!$C$4:$C$1000,A665,MOVIMIENTOS!$D$4:$D$1000,B665,MOVIMIENTOS!$E$4:$E$1000,C665,MOVIMIENTOS!$B$4:$B$1000,"A REPROCESO")-SUMIFS(MOVIMIENTOS!$F$4:$F$1000,MOVIMIENTOS!$C$4:$C$1000,A665,MOVIMIENTOS!$D$4:$D$1000,B665,MOVIMIENTOS!$E$4:$E$1000,C665,MOVIMIENTOS!$B$4:$B$1000,"MUESTRA")-SUMIFS(MOVIMIENTOS!$F$4:$F$1000,MOVIMIENTOS!$C$4:$C$1000,A665,MOVIMIENTOS!$D$4:$D$1000,B665,MOVIMIENTOS!$E$4:$E$1000,C665,MOVIMIENTOS!$B$4:$B$1000,"AJUSTE-"),0)</f>
        <v>0</v>
      </c>
      <c r="F665" s="101">
        <f>IFERROR(E665*VLOOKUP(B665,TELAS!$A$4:$C$32,3,FALSE()),0)</f>
        <v>0</v>
      </c>
      <c r="G665" s="102">
        <f>IFERROR(IF(D665="OSCURO",VLOOKUP(B665,PRECIOS!$A$4:$F$32,2,FALSE()),IF(D665="CLARO",VLOOKUP(B665,PRECIOS!$A$4:$F$32,3,FALSE()),IF(D665="MELANGE",VLOOKUP(B665,PRECIOS!$A$4:$F$32,4,FALSE()),IF(D665="PPT",VLOOKUP(B665,PRECIOS!$A$4:$F$32,5,FALSE()),0)))),0)</f>
        <v>18</v>
      </c>
      <c r="H665" s="103">
        <f t="shared" si="1"/>
        <v>0</v>
      </c>
      <c r="I665" s="104" t="str">
        <f>IF(E665&lt;0,"ERROR",IF(E665=0,"",IF(E665&lt;CONFIG!$B$4,"CRÍTICO",IF(E665&lt;CONFIG!$B$5,"BAJO","OK"))))</f>
        <v/>
      </c>
    </row>
    <row r="666" ht="15.75" customHeight="1">
      <c r="A666" s="90" t="str">
        <f>IF(CLIENTES!A8="","",CLIENTES!A8)</f>
        <v/>
      </c>
      <c r="B666" s="67" t="str">
        <f>TELAS!A9</f>
        <v>rib 2x1 lycrado</v>
      </c>
      <c r="C666" s="67" t="str">
        <f>COLORES!A6</f>
        <v>Blanco</v>
      </c>
      <c r="D666" s="67" t="str">
        <f>COLORES!B6</f>
        <v>PPT</v>
      </c>
      <c r="E666" s="100">
        <f>IFERROR(SUMIFS(MOVIMIENTOS!$F$4:$F$1000,MOVIMIENTOS!$C$4:$C$1000,A666,MOVIMIENTOS!$D$4:$D$1000,B666,MOVIMIENTOS!$E$4:$E$1000,C666,MOVIMIENTOS!$B$4:$B$1000,"INGRESO")+SUMIFS(MOVIMIENTOS!$F$4:$F$1000,MOVIMIENTOS!$C$4:$C$1000,A666,MOVIMIENTOS!$D$4:$D$1000,B666,MOVIMIENTOS!$E$4:$E$1000,C666,MOVIMIENTOS!$B$4:$B$1000,"DE REPROCESO")+SUMIFS(MOVIMIENTOS!$F$4:$F$1000,MOVIMIENTOS!$C$4:$C$1000,A666,MOVIMIENTOS!$D$4:$D$1000,B666,MOVIMIENTOS!$E$4:$E$1000,C666,MOVIMIENTOS!$B$4:$B$1000,"AJUSTE+")-SUMIFS(MOVIMIENTOS!$F$4:$F$1000,MOVIMIENTOS!$C$4:$C$1000,A666,MOVIMIENTOS!$D$4:$D$1000,B666,MOVIMIENTOS!$E$4:$E$1000,C666,MOVIMIENTOS!$B$4:$B$1000,"A CORTE")-SUMIFS(MOVIMIENTOS!$F$4:$F$1000,MOVIMIENTOS!$C$4:$C$1000,A666,MOVIMIENTOS!$D$4:$D$1000,B666,MOVIMIENTOS!$E$4:$E$1000,C666,MOVIMIENTOS!$B$4:$B$1000,"A REPROCESO")-SUMIFS(MOVIMIENTOS!$F$4:$F$1000,MOVIMIENTOS!$C$4:$C$1000,A666,MOVIMIENTOS!$D$4:$D$1000,B666,MOVIMIENTOS!$E$4:$E$1000,C666,MOVIMIENTOS!$B$4:$B$1000,"MUESTRA")-SUMIFS(MOVIMIENTOS!$F$4:$F$1000,MOVIMIENTOS!$C$4:$C$1000,A666,MOVIMIENTOS!$D$4:$D$1000,B666,MOVIMIENTOS!$E$4:$E$1000,C666,MOVIMIENTOS!$B$4:$B$1000,"AJUSTE-"),0)</f>
        <v>0</v>
      </c>
      <c r="F666" s="101">
        <f>IFERROR(E666*VLOOKUP(B666,TELAS!$A$4:$C$32,3,FALSE()),0)</f>
        <v>0</v>
      </c>
      <c r="G666" s="102">
        <f>IFERROR(IF(D666="OSCURO",VLOOKUP(B666,PRECIOS!$A$4:$F$32,2,FALSE()),IF(D666="CLARO",VLOOKUP(B666,PRECIOS!$A$4:$F$32,3,FALSE()),IF(D666="MELANGE",VLOOKUP(B666,PRECIOS!$A$4:$F$32,4,FALSE()),IF(D666="PPT",VLOOKUP(B666,PRECIOS!$A$4:$F$32,5,FALSE()),0)))),0)</f>
        <v>18</v>
      </c>
      <c r="H666" s="103">
        <f t="shared" si="1"/>
        <v>0</v>
      </c>
      <c r="I666" s="104" t="str">
        <f>IF(E666&lt;0,"ERROR",IF(E666=0,"",IF(E666&lt;CONFIG!$B$4,"CRÍTICO",IF(E666&lt;CONFIG!$B$5,"BAJO","OK"))))</f>
        <v/>
      </c>
    </row>
    <row r="667" ht="15.75" customHeight="1">
      <c r="A667" s="90" t="str">
        <f>IF(CLIENTES!A8="","",CLIENTES!A8)</f>
        <v/>
      </c>
      <c r="B667" s="67" t="str">
        <f>TELAS!A9</f>
        <v>rib 2x1 lycrado</v>
      </c>
      <c r="C667" s="67" t="str">
        <f>COLORES!A7</f>
        <v>Azul</v>
      </c>
      <c r="D667" s="67" t="str">
        <f>COLORES!B7</f>
        <v>OSCURO</v>
      </c>
      <c r="E667" s="100">
        <f>IFERROR(SUMIFS(MOVIMIENTOS!$F$4:$F$1000,MOVIMIENTOS!$C$4:$C$1000,A667,MOVIMIENTOS!$D$4:$D$1000,B667,MOVIMIENTOS!$E$4:$E$1000,C667,MOVIMIENTOS!$B$4:$B$1000,"INGRESO")+SUMIFS(MOVIMIENTOS!$F$4:$F$1000,MOVIMIENTOS!$C$4:$C$1000,A667,MOVIMIENTOS!$D$4:$D$1000,B667,MOVIMIENTOS!$E$4:$E$1000,C667,MOVIMIENTOS!$B$4:$B$1000,"DE REPROCESO")+SUMIFS(MOVIMIENTOS!$F$4:$F$1000,MOVIMIENTOS!$C$4:$C$1000,A667,MOVIMIENTOS!$D$4:$D$1000,B667,MOVIMIENTOS!$E$4:$E$1000,C667,MOVIMIENTOS!$B$4:$B$1000,"AJUSTE+")-SUMIFS(MOVIMIENTOS!$F$4:$F$1000,MOVIMIENTOS!$C$4:$C$1000,A667,MOVIMIENTOS!$D$4:$D$1000,B667,MOVIMIENTOS!$E$4:$E$1000,C667,MOVIMIENTOS!$B$4:$B$1000,"A CORTE")-SUMIFS(MOVIMIENTOS!$F$4:$F$1000,MOVIMIENTOS!$C$4:$C$1000,A667,MOVIMIENTOS!$D$4:$D$1000,B667,MOVIMIENTOS!$E$4:$E$1000,C667,MOVIMIENTOS!$B$4:$B$1000,"A REPROCESO")-SUMIFS(MOVIMIENTOS!$F$4:$F$1000,MOVIMIENTOS!$C$4:$C$1000,A667,MOVIMIENTOS!$D$4:$D$1000,B667,MOVIMIENTOS!$E$4:$E$1000,C667,MOVIMIENTOS!$B$4:$B$1000,"MUESTRA")-SUMIFS(MOVIMIENTOS!$F$4:$F$1000,MOVIMIENTOS!$C$4:$C$1000,A667,MOVIMIENTOS!$D$4:$D$1000,B667,MOVIMIENTOS!$E$4:$E$1000,C667,MOVIMIENTOS!$B$4:$B$1000,"AJUSTE-"),0)</f>
        <v>0</v>
      </c>
      <c r="F667" s="101">
        <f>IFERROR(E667*VLOOKUP(B667,TELAS!$A$4:$C$32,3,FALSE()),0)</f>
        <v>0</v>
      </c>
      <c r="G667" s="102">
        <f>IFERROR(IF(D667="OSCURO",VLOOKUP(B667,PRECIOS!$A$4:$F$32,2,FALSE()),IF(D667="CLARO",VLOOKUP(B667,PRECIOS!$A$4:$F$32,3,FALSE()),IF(D667="MELANGE",VLOOKUP(B667,PRECIOS!$A$4:$F$32,4,FALSE()),IF(D667="PPT",VLOOKUP(B667,PRECIOS!$A$4:$F$32,5,FALSE()),0)))),0)</f>
        <v>24</v>
      </c>
      <c r="H667" s="103">
        <f t="shared" si="1"/>
        <v>0</v>
      </c>
      <c r="I667" s="104" t="str">
        <f>IF(E667&lt;0,"ERROR",IF(E667=0,"",IF(E667&lt;CONFIG!$B$4,"CRÍTICO",IF(E667&lt;CONFIG!$B$5,"BAJO","OK"))))</f>
        <v/>
      </c>
    </row>
    <row r="668" ht="15.75" customHeight="1">
      <c r="A668" s="90" t="str">
        <f>IF(CLIENTES!A8="","",CLIENTES!A8)</f>
        <v/>
      </c>
      <c r="B668" s="67" t="str">
        <f>TELAS!A9</f>
        <v>rib 2x1 lycrado</v>
      </c>
      <c r="C668" s="67" t="str">
        <f>COLORES!A8</f>
        <v>Beige</v>
      </c>
      <c r="D668" s="67" t="str">
        <f>COLORES!B8</f>
        <v>CLARO</v>
      </c>
      <c r="E668" s="100">
        <f>IFERROR(SUMIFS(MOVIMIENTOS!$F$4:$F$1000,MOVIMIENTOS!$C$4:$C$1000,A668,MOVIMIENTOS!$D$4:$D$1000,B668,MOVIMIENTOS!$E$4:$E$1000,C668,MOVIMIENTOS!$B$4:$B$1000,"INGRESO")+SUMIFS(MOVIMIENTOS!$F$4:$F$1000,MOVIMIENTOS!$C$4:$C$1000,A668,MOVIMIENTOS!$D$4:$D$1000,B668,MOVIMIENTOS!$E$4:$E$1000,C668,MOVIMIENTOS!$B$4:$B$1000,"DE REPROCESO")+SUMIFS(MOVIMIENTOS!$F$4:$F$1000,MOVIMIENTOS!$C$4:$C$1000,A668,MOVIMIENTOS!$D$4:$D$1000,B668,MOVIMIENTOS!$E$4:$E$1000,C668,MOVIMIENTOS!$B$4:$B$1000,"AJUSTE+")-SUMIFS(MOVIMIENTOS!$F$4:$F$1000,MOVIMIENTOS!$C$4:$C$1000,A668,MOVIMIENTOS!$D$4:$D$1000,B668,MOVIMIENTOS!$E$4:$E$1000,C668,MOVIMIENTOS!$B$4:$B$1000,"A CORTE")-SUMIFS(MOVIMIENTOS!$F$4:$F$1000,MOVIMIENTOS!$C$4:$C$1000,A668,MOVIMIENTOS!$D$4:$D$1000,B668,MOVIMIENTOS!$E$4:$E$1000,C668,MOVIMIENTOS!$B$4:$B$1000,"A REPROCESO")-SUMIFS(MOVIMIENTOS!$F$4:$F$1000,MOVIMIENTOS!$C$4:$C$1000,A668,MOVIMIENTOS!$D$4:$D$1000,B668,MOVIMIENTOS!$E$4:$E$1000,C668,MOVIMIENTOS!$B$4:$B$1000,"MUESTRA")-SUMIFS(MOVIMIENTOS!$F$4:$F$1000,MOVIMIENTOS!$C$4:$C$1000,A668,MOVIMIENTOS!$D$4:$D$1000,B668,MOVIMIENTOS!$E$4:$E$1000,C668,MOVIMIENTOS!$B$4:$B$1000,"AJUSTE-"),0)</f>
        <v>0</v>
      </c>
      <c r="F668" s="101">
        <f>IFERROR(E668*VLOOKUP(B668,TELAS!$A$4:$C$32,3,FALSE()),0)</f>
        <v>0</v>
      </c>
      <c r="G668" s="102">
        <f>IFERROR(IF(D668="OSCURO",VLOOKUP(B668,PRECIOS!$A$4:$F$32,2,FALSE()),IF(D668="CLARO",VLOOKUP(B668,PRECIOS!$A$4:$F$32,3,FALSE()),IF(D668="MELANGE",VLOOKUP(B668,PRECIOS!$A$4:$F$32,4,FALSE()),IF(D668="PPT",VLOOKUP(B668,PRECIOS!$A$4:$F$32,5,FALSE()),0)))),0)</f>
        <v>21</v>
      </c>
      <c r="H668" s="103">
        <f t="shared" si="1"/>
        <v>0</v>
      </c>
      <c r="I668" s="104" t="str">
        <f>IF(E668&lt;0,"ERROR",IF(E668=0,"",IF(E668&lt;CONFIG!$B$4,"CRÍTICO",IF(E668&lt;CONFIG!$B$5,"BAJO","OK"))))</f>
        <v/>
      </c>
    </row>
    <row r="669" ht="15.75" customHeight="1">
      <c r="A669" s="90" t="str">
        <f>IF(CLIENTES!A8="","",CLIENTES!A8)</f>
        <v/>
      </c>
      <c r="B669" s="67" t="str">
        <f>TELAS!A9</f>
        <v>rib 2x1 lycrado</v>
      </c>
      <c r="C669" s="67" t="str">
        <f>COLORES!A9</f>
        <v>Melange</v>
      </c>
      <c r="D669" s="67" t="str">
        <f>COLORES!B9</f>
        <v>MELANGE</v>
      </c>
      <c r="E669" s="100">
        <f>IFERROR(SUMIFS(MOVIMIENTOS!$F$4:$F$1000,MOVIMIENTOS!$C$4:$C$1000,A669,MOVIMIENTOS!$D$4:$D$1000,B669,MOVIMIENTOS!$E$4:$E$1000,C669,MOVIMIENTOS!$B$4:$B$1000,"INGRESO")+SUMIFS(MOVIMIENTOS!$F$4:$F$1000,MOVIMIENTOS!$C$4:$C$1000,A669,MOVIMIENTOS!$D$4:$D$1000,B669,MOVIMIENTOS!$E$4:$E$1000,C669,MOVIMIENTOS!$B$4:$B$1000,"DE REPROCESO")+SUMIFS(MOVIMIENTOS!$F$4:$F$1000,MOVIMIENTOS!$C$4:$C$1000,A669,MOVIMIENTOS!$D$4:$D$1000,B669,MOVIMIENTOS!$E$4:$E$1000,C669,MOVIMIENTOS!$B$4:$B$1000,"AJUSTE+")-SUMIFS(MOVIMIENTOS!$F$4:$F$1000,MOVIMIENTOS!$C$4:$C$1000,A669,MOVIMIENTOS!$D$4:$D$1000,B669,MOVIMIENTOS!$E$4:$E$1000,C669,MOVIMIENTOS!$B$4:$B$1000,"A CORTE")-SUMIFS(MOVIMIENTOS!$F$4:$F$1000,MOVIMIENTOS!$C$4:$C$1000,A669,MOVIMIENTOS!$D$4:$D$1000,B669,MOVIMIENTOS!$E$4:$E$1000,C669,MOVIMIENTOS!$B$4:$B$1000,"A REPROCESO")-SUMIFS(MOVIMIENTOS!$F$4:$F$1000,MOVIMIENTOS!$C$4:$C$1000,A669,MOVIMIENTOS!$D$4:$D$1000,B669,MOVIMIENTOS!$E$4:$E$1000,C669,MOVIMIENTOS!$B$4:$B$1000,"MUESTRA")-SUMIFS(MOVIMIENTOS!$F$4:$F$1000,MOVIMIENTOS!$C$4:$C$1000,A669,MOVIMIENTOS!$D$4:$D$1000,B669,MOVIMIENTOS!$E$4:$E$1000,C669,MOVIMIENTOS!$B$4:$B$1000,"AJUSTE-"),0)</f>
        <v>0</v>
      </c>
      <c r="F669" s="101">
        <f>IFERROR(E669*VLOOKUP(B669,TELAS!$A$4:$C$32,3,FALSE()),0)</f>
        <v>0</v>
      </c>
      <c r="G669" s="102">
        <f>IFERROR(IF(D669="OSCURO",VLOOKUP(B669,PRECIOS!$A$4:$F$32,2,FALSE()),IF(D669="CLARO",VLOOKUP(B669,PRECIOS!$A$4:$F$32,3,FALSE()),IF(D669="MELANGE",VLOOKUP(B669,PRECIOS!$A$4:$F$32,4,FALSE()),IF(D669="PPT",VLOOKUP(B669,PRECIOS!$A$4:$F$32,5,FALSE()),0)))),0)</f>
        <v>18</v>
      </c>
      <c r="H669" s="103">
        <f t="shared" si="1"/>
        <v>0</v>
      </c>
      <c r="I669" s="104" t="str">
        <f>IF(E669&lt;0,"ERROR",IF(E669=0,"",IF(E669&lt;CONFIG!$B$4,"CRÍTICO",IF(E669&lt;CONFIG!$B$5,"BAJO","OK"))))</f>
        <v/>
      </c>
    </row>
    <row r="670" ht="15.75" customHeight="1">
      <c r="A670" s="90" t="str">
        <f>IF(CLIENTES!A8="","",CLIENTES!A8)</f>
        <v/>
      </c>
      <c r="B670" s="67" t="str">
        <f>TELAS!A9</f>
        <v>rib 2x1 lycrado</v>
      </c>
      <c r="C670" s="67" t="str">
        <f>COLORES!A10</f>
        <v>Botella</v>
      </c>
      <c r="D670" s="67" t="str">
        <f>COLORES!B10</f>
        <v>OSCURO</v>
      </c>
      <c r="E670" s="100">
        <f>IFERROR(SUMIFS(MOVIMIENTOS!$F$4:$F$1000,MOVIMIENTOS!$C$4:$C$1000,A670,MOVIMIENTOS!$D$4:$D$1000,B670,MOVIMIENTOS!$E$4:$E$1000,C670,MOVIMIENTOS!$B$4:$B$1000,"INGRESO")+SUMIFS(MOVIMIENTOS!$F$4:$F$1000,MOVIMIENTOS!$C$4:$C$1000,A670,MOVIMIENTOS!$D$4:$D$1000,B670,MOVIMIENTOS!$E$4:$E$1000,C670,MOVIMIENTOS!$B$4:$B$1000,"DE REPROCESO")+SUMIFS(MOVIMIENTOS!$F$4:$F$1000,MOVIMIENTOS!$C$4:$C$1000,A670,MOVIMIENTOS!$D$4:$D$1000,B670,MOVIMIENTOS!$E$4:$E$1000,C670,MOVIMIENTOS!$B$4:$B$1000,"AJUSTE+")-SUMIFS(MOVIMIENTOS!$F$4:$F$1000,MOVIMIENTOS!$C$4:$C$1000,A670,MOVIMIENTOS!$D$4:$D$1000,B670,MOVIMIENTOS!$E$4:$E$1000,C670,MOVIMIENTOS!$B$4:$B$1000,"A CORTE")-SUMIFS(MOVIMIENTOS!$F$4:$F$1000,MOVIMIENTOS!$C$4:$C$1000,A670,MOVIMIENTOS!$D$4:$D$1000,B670,MOVIMIENTOS!$E$4:$E$1000,C670,MOVIMIENTOS!$B$4:$B$1000,"A REPROCESO")-SUMIFS(MOVIMIENTOS!$F$4:$F$1000,MOVIMIENTOS!$C$4:$C$1000,A670,MOVIMIENTOS!$D$4:$D$1000,B670,MOVIMIENTOS!$E$4:$E$1000,C670,MOVIMIENTOS!$B$4:$B$1000,"MUESTRA")-SUMIFS(MOVIMIENTOS!$F$4:$F$1000,MOVIMIENTOS!$C$4:$C$1000,A670,MOVIMIENTOS!$D$4:$D$1000,B670,MOVIMIENTOS!$E$4:$E$1000,C670,MOVIMIENTOS!$B$4:$B$1000,"AJUSTE-"),0)</f>
        <v>0</v>
      </c>
      <c r="F670" s="101">
        <f>IFERROR(E670*VLOOKUP(B670,TELAS!$A$4:$C$32,3,FALSE()),0)</f>
        <v>0</v>
      </c>
      <c r="G670" s="102">
        <f>IFERROR(IF(D670="OSCURO",VLOOKUP(B670,PRECIOS!$A$4:$F$32,2,FALSE()),IF(D670="CLARO",VLOOKUP(B670,PRECIOS!$A$4:$F$32,3,FALSE()),IF(D670="MELANGE",VLOOKUP(B670,PRECIOS!$A$4:$F$32,4,FALSE()),IF(D670="PPT",VLOOKUP(B670,PRECIOS!$A$4:$F$32,5,FALSE()),0)))),0)</f>
        <v>24</v>
      </c>
      <c r="H670" s="103">
        <f t="shared" si="1"/>
        <v>0</v>
      </c>
      <c r="I670" s="104" t="str">
        <f>IF(E670&lt;0,"ERROR",IF(E670=0,"",IF(E670&lt;CONFIG!$B$4,"CRÍTICO",IF(E670&lt;CONFIG!$B$5,"BAJO","OK"))))</f>
        <v/>
      </c>
    </row>
    <row r="671" ht="15.75" customHeight="1">
      <c r="A671" s="90" t="str">
        <f>IF(CLIENTES!A8="","",CLIENTES!A8)</f>
        <v/>
      </c>
      <c r="B671" s="67" t="str">
        <f>TELAS!A9</f>
        <v>rib 2x1 lycrado</v>
      </c>
      <c r="C671" s="67" t="str">
        <f>COLORES!A11</f>
        <v>Pacay</v>
      </c>
      <c r="D671" s="67" t="str">
        <f>COLORES!B11</f>
        <v>CLARO</v>
      </c>
      <c r="E671" s="100">
        <f>IFERROR(SUMIFS(MOVIMIENTOS!$F$4:$F$1000,MOVIMIENTOS!$C$4:$C$1000,A671,MOVIMIENTOS!$D$4:$D$1000,B671,MOVIMIENTOS!$E$4:$E$1000,C671,MOVIMIENTOS!$B$4:$B$1000,"INGRESO")+SUMIFS(MOVIMIENTOS!$F$4:$F$1000,MOVIMIENTOS!$C$4:$C$1000,A671,MOVIMIENTOS!$D$4:$D$1000,B671,MOVIMIENTOS!$E$4:$E$1000,C671,MOVIMIENTOS!$B$4:$B$1000,"DE REPROCESO")+SUMIFS(MOVIMIENTOS!$F$4:$F$1000,MOVIMIENTOS!$C$4:$C$1000,A671,MOVIMIENTOS!$D$4:$D$1000,B671,MOVIMIENTOS!$E$4:$E$1000,C671,MOVIMIENTOS!$B$4:$B$1000,"AJUSTE+")-SUMIFS(MOVIMIENTOS!$F$4:$F$1000,MOVIMIENTOS!$C$4:$C$1000,A671,MOVIMIENTOS!$D$4:$D$1000,B671,MOVIMIENTOS!$E$4:$E$1000,C671,MOVIMIENTOS!$B$4:$B$1000,"A CORTE")-SUMIFS(MOVIMIENTOS!$F$4:$F$1000,MOVIMIENTOS!$C$4:$C$1000,A671,MOVIMIENTOS!$D$4:$D$1000,B671,MOVIMIENTOS!$E$4:$E$1000,C671,MOVIMIENTOS!$B$4:$B$1000,"A REPROCESO")-SUMIFS(MOVIMIENTOS!$F$4:$F$1000,MOVIMIENTOS!$C$4:$C$1000,A671,MOVIMIENTOS!$D$4:$D$1000,B671,MOVIMIENTOS!$E$4:$E$1000,C671,MOVIMIENTOS!$B$4:$B$1000,"MUESTRA")-SUMIFS(MOVIMIENTOS!$F$4:$F$1000,MOVIMIENTOS!$C$4:$C$1000,A671,MOVIMIENTOS!$D$4:$D$1000,B671,MOVIMIENTOS!$E$4:$E$1000,C671,MOVIMIENTOS!$B$4:$B$1000,"AJUSTE-"),0)</f>
        <v>0</v>
      </c>
      <c r="F671" s="101">
        <f>IFERROR(E671*VLOOKUP(B671,TELAS!$A$4:$C$32,3,FALSE()),0)</f>
        <v>0</v>
      </c>
      <c r="G671" s="102">
        <f>IFERROR(IF(D671="OSCURO",VLOOKUP(B671,PRECIOS!$A$4:$F$32,2,FALSE()),IF(D671="CLARO",VLOOKUP(B671,PRECIOS!$A$4:$F$32,3,FALSE()),IF(D671="MELANGE",VLOOKUP(B671,PRECIOS!$A$4:$F$32,4,FALSE()),IF(D671="PPT",VLOOKUP(B671,PRECIOS!$A$4:$F$32,5,FALSE()),0)))),0)</f>
        <v>21</v>
      </c>
      <c r="H671" s="103">
        <f t="shared" si="1"/>
        <v>0</v>
      </c>
      <c r="I671" s="104" t="str">
        <f>IF(E671&lt;0,"ERROR",IF(E671=0,"",IF(E671&lt;CONFIG!$B$4,"CRÍTICO",IF(E671&lt;CONFIG!$B$5,"BAJO","OK"))))</f>
        <v/>
      </c>
    </row>
    <row r="672" ht="15.75" customHeight="1">
      <c r="A672" s="90" t="str">
        <f>IF(CLIENTES!A8="","",CLIENTES!A8)</f>
        <v/>
      </c>
      <c r="B672" s="67" t="str">
        <f>TELAS!A9</f>
        <v>rib 2x1 lycrado</v>
      </c>
      <c r="C672" s="67" t="str">
        <f>COLORES!A12</f>
        <v>Cemento</v>
      </c>
      <c r="D672" s="67" t="str">
        <f>COLORES!B12</f>
        <v>CLARO</v>
      </c>
      <c r="E672" s="100">
        <f>IFERROR(SUMIFS(MOVIMIENTOS!$F$4:$F$1000,MOVIMIENTOS!$C$4:$C$1000,A672,MOVIMIENTOS!$D$4:$D$1000,B672,MOVIMIENTOS!$E$4:$E$1000,C672,MOVIMIENTOS!$B$4:$B$1000,"INGRESO")+SUMIFS(MOVIMIENTOS!$F$4:$F$1000,MOVIMIENTOS!$C$4:$C$1000,A672,MOVIMIENTOS!$D$4:$D$1000,B672,MOVIMIENTOS!$E$4:$E$1000,C672,MOVIMIENTOS!$B$4:$B$1000,"DE REPROCESO")+SUMIFS(MOVIMIENTOS!$F$4:$F$1000,MOVIMIENTOS!$C$4:$C$1000,A672,MOVIMIENTOS!$D$4:$D$1000,B672,MOVIMIENTOS!$E$4:$E$1000,C672,MOVIMIENTOS!$B$4:$B$1000,"AJUSTE+")-SUMIFS(MOVIMIENTOS!$F$4:$F$1000,MOVIMIENTOS!$C$4:$C$1000,A672,MOVIMIENTOS!$D$4:$D$1000,B672,MOVIMIENTOS!$E$4:$E$1000,C672,MOVIMIENTOS!$B$4:$B$1000,"A CORTE")-SUMIFS(MOVIMIENTOS!$F$4:$F$1000,MOVIMIENTOS!$C$4:$C$1000,A672,MOVIMIENTOS!$D$4:$D$1000,B672,MOVIMIENTOS!$E$4:$E$1000,C672,MOVIMIENTOS!$B$4:$B$1000,"A REPROCESO")-SUMIFS(MOVIMIENTOS!$F$4:$F$1000,MOVIMIENTOS!$C$4:$C$1000,A672,MOVIMIENTOS!$D$4:$D$1000,B672,MOVIMIENTOS!$E$4:$E$1000,C672,MOVIMIENTOS!$B$4:$B$1000,"MUESTRA")-SUMIFS(MOVIMIENTOS!$F$4:$F$1000,MOVIMIENTOS!$C$4:$C$1000,A672,MOVIMIENTOS!$D$4:$D$1000,B672,MOVIMIENTOS!$E$4:$E$1000,C672,MOVIMIENTOS!$B$4:$B$1000,"AJUSTE-"),0)</f>
        <v>0</v>
      </c>
      <c r="F672" s="101">
        <f>IFERROR(E672*VLOOKUP(B672,TELAS!$A$4:$C$32,3,FALSE()),0)</f>
        <v>0</v>
      </c>
      <c r="G672" s="102">
        <f>IFERROR(IF(D672="OSCURO",VLOOKUP(B672,PRECIOS!$A$4:$F$32,2,FALSE()),IF(D672="CLARO",VLOOKUP(B672,PRECIOS!$A$4:$F$32,3,FALSE()),IF(D672="MELANGE",VLOOKUP(B672,PRECIOS!$A$4:$F$32,4,FALSE()),IF(D672="PPT",VLOOKUP(B672,PRECIOS!$A$4:$F$32,5,FALSE()),0)))),0)</f>
        <v>21</v>
      </c>
      <c r="H672" s="103">
        <f t="shared" si="1"/>
        <v>0</v>
      </c>
      <c r="I672" s="104" t="str">
        <f>IF(E672&lt;0,"ERROR",IF(E672=0,"",IF(E672&lt;CONFIG!$B$4,"CRÍTICO",IF(E672&lt;CONFIG!$B$5,"BAJO","OK"))))</f>
        <v/>
      </c>
    </row>
    <row r="673" ht="15.75" customHeight="1">
      <c r="A673" s="90" t="str">
        <f>IF(CLIENTES!A8="","",CLIENTES!A8)</f>
        <v/>
      </c>
      <c r="B673" s="67" t="str">
        <f>TELAS!A9</f>
        <v>rib 2x1 lycrado</v>
      </c>
      <c r="C673" s="67" t="str">
        <f>COLORES!A13</f>
        <v>Camote</v>
      </c>
      <c r="D673" s="67" t="str">
        <f>COLORES!B13</f>
        <v>CLARO</v>
      </c>
      <c r="E673" s="100">
        <f>IFERROR(SUMIFS(MOVIMIENTOS!$F$4:$F$1000,MOVIMIENTOS!$C$4:$C$1000,A673,MOVIMIENTOS!$D$4:$D$1000,B673,MOVIMIENTOS!$E$4:$E$1000,C673,MOVIMIENTOS!$B$4:$B$1000,"INGRESO")+SUMIFS(MOVIMIENTOS!$F$4:$F$1000,MOVIMIENTOS!$C$4:$C$1000,A673,MOVIMIENTOS!$D$4:$D$1000,B673,MOVIMIENTOS!$E$4:$E$1000,C673,MOVIMIENTOS!$B$4:$B$1000,"DE REPROCESO")+SUMIFS(MOVIMIENTOS!$F$4:$F$1000,MOVIMIENTOS!$C$4:$C$1000,A673,MOVIMIENTOS!$D$4:$D$1000,B673,MOVIMIENTOS!$E$4:$E$1000,C673,MOVIMIENTOS!$B$4:$B$1000,"AJUSTE+")-SUMIFS(MOVIMIENTOS!$F$4:$F$1000,MOVIMIENTOS!$C$4:$C$1000,A673,MOVIMIENTOS!$D$4:$D$1000,B673,MOVIMIENTOS!$E$4:$E$1000,C673,MOVIMIENTOS!$B$4:$B$1000,"A CORTE")-SUMIFS(MOVIMIENTOS!$F$4:$F$1000,MOVIMIENTOS!$C$4:$C$1000,A673,MOVIMIENTOS!$D$4:$D$1000,B673,MOVIMIENTOS!$E$4:$E$1000,C673,MOVIMIENTOS!$B$4:$B$1000,"A REPROCESO")-SUMIFS(MOVIMIENTOS!$F$4:$F$1000,MOVIMIENTOS!$C$4:$C$1000,A673,MOVIMIENTOS!$D$4:$D$1000,B673,MOVIMIENTOS!$E$4:$E$1000,C673,MOVIMIENTOS!$B$4:$B$1000,"MUESTRA")-SUMIFS(MOVIMIENTOS!$F$4:$F$1000,MOVIMIENTOS!$C$4:$C$1000,A673,MOVIMIENTOS!$D$4:$D$1000,B673,MOVIMIENTOS!$E$4:$E$1000,C673,MOVIMIENTOS!$B$4:$B$1000,"AJUSTE-"),0)</f>
        <v>0</v>
      </c>
      <c r="F673" s="101">
        <f>IFERROR(E673*VLOOKUP(B673,TELAS!$A$4:$C$32,3,FALSE()),0)</f>
        <v>0</v>
      </c>
      <c r="G673" s="102">
        <f>IFERROR(IF(D673="OSCURO",VLOOKUP(B673,PRECIOS!$A$4:$F$32,2,FALSE()),IF(D673="CLARO",VLOOKUP(B673,PRECIOS!$A$4:$F$32,3,FALSE()),IF(D673="MELANGE",VLOOKUP(B673,PRECIOS!$A$4:$F$32,4,FALSE()),IF(D673="PPT",VLOOKUP(B673,PRECIOS!$A$4:$F$32,5,FALSE()),0)))),0)</f>
        <v>21</v>
      </c>
      <c r="H673" s="103">
        <f t="shared" si="1"/>
        <v>0</v>
      </c>
      <c r="I673" s="104" t="str">
        <f>IF(E673&lt;0,"ERROR",IF(E673=0,"",IF(E673&lt;CONFIG!$B$4,"CRÍTICO",IF(E673&lt;CONFIG!$B$5,"BAJO","OK"))))</f>
        <v/>
      </c>
    </row>
    <row r="674" ht="15.75" customHeight="1">
      <c r="A674" s="90" t="str">
        <f>IF(CLIENTES!A8="","",CLIENTES!A8)</f>
        <v/>
      </c>
      <c r="B674" s="67" t="str">
        <f>TELAS!A9</f>
        <v>rib 2x1 lycrado</v>
      </c>
      <c r="C674" s="67" t="str">
        <f>COLORES!A14</f>
        <v>Denim</v>
      </c>
      <c r="D674" s="67" t="str">
        <f>COLORES!B14</f>
        <v>CLARO</v>
      </c>
      <c r="E674" s="100">
        <f>IFERROR(SUMIFS(MOVIMIENTOS!$F$4:$F$1000,MOVIMIENTOS!$C$4:$C$1000,A674,MOVIMIENTOS!$D$4:$D$1000,B674,MOVIMIENTOS!$E$4:$E$1000,C674,MOVIMIENTOS!$B$4:$B$1000,"INGRESO")+SUMIFS(MOVIMIENTOS!$F$4:$F$1000,MOVIMIENTOS!$C$4:$C$1000,A674,MOVIMIENTOS!$D$4:$D$1000,B674,MOVIMIENTOS!$E$4:$E$1000,C674,MOVIMIENTOS!$B$4:$B$1000,"DE REPROCESO")+SUMIFS(MOVIMIENTOS!$F$4:$F$1000,MOVIMIENTOS!$C$4:$C$1000,A674,MOVIMIENTOS!$D$4:$D$1000,B674,MOVIMIENTOS!$E$4:$E$1000,C674,MOVIMIENTOS!$B$4:$B$1000,"AJUSTE+")-SUMIFS(MOVIMIENTOS!$F$4:$F$1000,MOVIMIENTOS!$C$4:$C$1000,A674,MOVIMIENTOS!$D$4:$D$1000,B674,MOVIMIENTOS!$E$4:$E$1000,C674,MOVIMIENTOS!$B$4:$B$1000,"A CORTE")-SUMIFS(MOVIMIENTOS!$F$4:$F$1000,MOVIMIENTOS!$C$4:$C$1000,A674,MOVIMIENTOS!$D$4:$D$1000,B674,MOVIMIENTOS!$E$4:$E$1000,C674,MOVIMIENTOS!$B$4:$B$1000,"A REPROCESO")-SUMIFS(MOVIMIENTOS!$F$4:$F$1000,MOVIMIENTOS!$C$4:$C$1000,A674,MOVIMIENTOS!$D$4:$D$1000,B674,MOVIMIENTOS!$E$4:$E$1000,C674,MOVIMIENTOS!$B$4:$B$1000,"MUESTRA")-SUMIFS(MOVIMIENTOS!$F$4:$F$1000,MOVIMIENTOS!$C$4:$C$1000,A674,MOVIMIENTOS!$D$4:$D$1000,B674,MOVIMIENTOS!$E$4:$E$1000,C674,MOVIMIENTOS!$B$4:$B$1000,"AJUSTE-"),0)</f>
        <v>0</v>
      </c>
      <c r="F674" s="101">
        <f>IFERROR(E674*VLOOKUP(B674,TELAS!$A$4:$C$32,3,FALSE()),0)</f>
        <v>0</v>
      </c>
      <c r="G674" s="102">
        <f>IFERROR(IF(D674="OSCURO",VLOOKUP(B674,PRECIOS!$A$4:$F$32,2,FALSE()),IF(D674="CLARO",VLOOKUP(B674,PRECIOS!$A$4:$F$32,3,FALSE()),IF(D674="MELANGE",VLOOKUP(B674,PRECIOS!$A$4:$F$32,4,FALSE()),IF(D674="PPT",VLOOKUP(B674,PRECIOS!$A$4:$F$32,5,FALSE()),0)))),0)</f>
        <v>21</v>
      </c>
      <c r="H674" s="103">
        <f t="shared" si="1"/>
        <v>0</v>
      </c>
      <c r="I674" s="104" t="str">
        <f>IF(E674&lt;0,"ERROR",IF(E674=0,"",IF(E674&lt;CONFIG!$B$4,"CRÍTICO",IF(E674&lt;CONFIG!$B$5,"BAJO","OK"))))</f>
        <v/>
      </c>
    </row>
    <row r="675" ht="15.75" customHeight="1">
      <c r="A675" s="90" t="str">
        <f>IF(CLIENTES!A8="","",CLIENTES!A8)</f>
        <v/>
      </c>
      <c r="B675" s="67" t="str">
        <f>TELAS!A9</f>
        <v>rib 2x1 lycrado</v>
      </c>
      <c r="C675" s="67" t="str">
        <f>COLORES!A15</f>
        <v>Plomo</v>
      </c>
      <c r="D675" s="67" t="str">
        <f>COLORES!B15</f>
        <v>OSCURO</v>
      </c>
      <c r="E675" s="100">
        <f>IFERROR(SUMIFS(MOVIMIENTOS!$F$4:$F$1000,MOVIMIENTOS!$C$4:$C$1000,A675,MOVIMIENTOS!$D$4:$D$1000,B675,MOVIMIENTOS!$E$4:$E$1000,C675,MOVIMIENTOS!$B$4:$B$1000,"INGRESO")+SUMIFS(MOVIMIENTOS!$F$4:$F$1000,MOVIMIENTOS!$C$4:$C$1000,A675,MOVIMIENTOS!$D$4:$D$1000,B675,MOVIMIENTOS!$E$4:$E$1000,C675,MOVIMIENTOS!$B$4:$B$1000,"DE REPROCESO")+SUMIFS(MOVIMIENTOS!$F$4:$F$1000,MOVIMIENTOS!$C$4:$C$1000,A675,MOVIMIENTOS!$D$4:$D$1000,B675,MOVIMIENTOS!$E$4:$E$1000,C675,MOVIMIENTOS!$B$4:$B$1000,"AJUSTE+")-SUMIFS(MOVIMIENTOS!$F$4:$F$1000,MOVIMIENTOS!$C$4:$C$1000,A675,MOVIMIENTOS!$D$4:$D$1000,B675,MOVIMIENTOS!$E$4:$E$1000,C675,MOVIMIENTOS!$B$4:$B$1000,"A CORTE")-SUMIFS(MOVIMIENTOS!$F$4:$F$1000,MOVIMIENTOS!$C$4:$C$1000,A675,MOVIMIENTOS!$D$4:$D$1000,B675,MOVIMIENTOS!$E$4:$E$1000,C675,MOVIMIENTOS!$B$4:$B$1000,"A REPROCESO")-SUMIFS(MOVIMIENTOS!$F$4:$F$1000,MOVIMIENTOS!$C$4:$C$1000,A675,MOVIMIENTOS!$D$4:$D$1000,B675,MOVIMIENTOS!$E$4:$E$1000,C675,MOVIMIENTOS!$B$4:$B$1000,"MUESTRA")-SUMIFS(MOVIMIENTOS!$F$4:$F$1000,MOVIMIENTOS!$C$4:$C$1000,A675,MOVIMIENTOS!$D$4:$D$1000,B675,MOVIMIENTOS!$E$4:$E$1000,C675,MOVIMIENTOS!$B$4:$B$1000,"AJUSTE-"),0)</f>
        <v>0</v>
      </c>
      <c r="F675" s="101">
        <f>IFERROR(E675*VLOOKUP(B675,TELAS!$A$4:$C$32,3,FALSE()),0)</f>
        <v>0</v>
      </c>
      <c r="G675" s="102">
        <f>IFERROR(IF(D675="OSCURO",VLOOKUP(B675,PRECIOS!$A$4:$F$32,2,FALSE()),IF(D675="CLARO",VLOOKUP(B675,PRECIOS!$A$4:$F$32,3,FALSE()),IF(D675="MELANGE",VLOOKUP(B675,PRECIOS!$A$4:$F$32,4,FALSE()),IF(D675="PPT",VLOOKUP(B675,PRECIOS!$A$4:$F$32,5,FALSE()),0)))),0)</f>
        <v>24</v>
      </c>
      <c r="H675" s="103">
        <f t="shared" si="1"/>
        <v>0</v>
      </c>
      <c r="I675" s="104" t="str">
        <f>IF(E675&lt;0,"ERROR",IF(E675=0,"",IF(E675&lt;CONFIG!$B$4,"CRÍTICO",IF(E675&lt;CONFIG!$B$5,"BAJO","OK"))))</f>
        <v/>
      </c>
    </row>
    <row r="676" ht="15.75" customHeight="1">
      <c r="A676" s="90" t="str">
        <f>IF(CLIENTES!A8="","",CLIENTES!A8)</f>
        <v/>
      </c>
      <c r="B676" s="67" t="str">
        <f>TELAS!A9</f>
        <v>rib 2x1 lycrado</v>
      </c>
      <c r="C676" s="67" t="str">
        <f>COLORES!A16</f>
        <v>Topo</v>
      </c>
      <c r="D676" s="67" t="str">
        <f>COLORES!B16</f>
        <v>CLARO</v>
      </c>
      <c r="E676" s="100">
        <f>IFERROR(SUMIFS(MOVIMIENTOS!$F$4:$F$1000,MOVIMIENTOS!$C$4:$C$1000,A676,MOVIMIENTOS!$D$4:$D$1000,B676,MOVIMIENTOS!$E$4:$E$1000,C676,MOVIMIENTOS!$B$4:$B$1000,"INGRESO")+SUMIFS(MOVIMIENTOS!$F$4:$F$1000,MOVIMIENTOS!$C$4:$C$1000,A676,MOVIMIENTOS!$D$4:$D$1000,B676,MOVIMIENTOS!$E$4:$E$1000,C676,MOVIMIENTOS!$B$4:$B$1000,"DE REPROCESO")+SUMIFS(MOVIMIENTOS!$F$4:$F$1000,MOVIMIENTOS!$C$4:$C$1000,A676,MOVIMIENTOS!$D$4:$D$1000,B676,MOVIMIENTOS!$E$4:$E$1000,C676,MOVIMIENTOS!$B$4:$B$1000,"AJUSTE+")-SUMIFS(MOVIMIENTOS!$F$4:$F$1000,MOVIMIENTOS!$C$4:$C$1000,A676,MOVIMIENTOS!$D$4:$D$1000,B676,MOVIMIENTOS!$E$4:$E$1000,C676,MOVIMIENTOS!$B$4:$B$1000,"A CORTE")-SUMIFS(MOVIMIENTOS!$F$4:$F$1000,MOVIMIENTOS!$C$4:$C$1000,A676,MOVIMIENTOS!$D$4:$D$1000,B676,MOVIMIENTOS!$E$4:$E$1000,C676,MOVIMIENTOS!$B$4:$B$1000,"A REPROCESO")-SUMIFS(MOVIMIENTOS!$F$4:$F$1000,MOVIMIENTOS!$C$4:$C$1000,A676,MOVIMIENTOS!$D$4:$D$1000,B676,MOVIMIENTOS!$E$4:$E$1000,C676,MOVIMIENTOS!$B$4:$B$1000,"MUESTRA")-SUMIFS(MOVIMIENTOS!$F$4:$F$1000,MOVIMIENTOS!$C$4:$C$1000,A676,MOVIMIENTOS!$D$4:$D$1000,B676,MOVIMIENTOS!$E$4:$E$1000,C676,MOVIMIENTOS!$B$4:$B$1000,"AJUSTE-"),0)</f>
        <v>0</v>
      </c>
      <c r="F676" s="101">
        <f>IFERROR(E676*VLOOKUP(B676,TELAS!$A$4:$C$32,3,FALSE()),0)</f>
        <v>0</v>
      </c>
      <c r="G676" s="102">
        <f>IFERROR(IF(D676="OSCURO",VLOOKUP(B676,PRECIOS!$A$4:$F$32,2,FALSE()),IF(D676="CLARO",VLOOKUP(B676,PRECIOS!$A$4:$F$32,3,FALSE()),IF(D676="MELANGE",VLOOKUP(B676,PRECIOS!$A$4:$F$32,4,FALSE()),IF(D676="PPT",VLOOKUP(B676,PRECIOS!$A$4:$F$32,5,FALSE()),0)))),0)</f>
        <v>21</v>
      </c>
      <c r="H676" s="103">
        <f t="shared" si="1"/>
        <v>0</v>
      </c>
      <c r="I676" s="104" t="str">
        <f>IF(E676&lt;0,"ERROR",IF(E676=0,"",IF(E676&lt;CONFIG!$B$4,"CRÍTICO",IF(E676&lt;CONFIG!$B$5,"BAJO","OK"))))</f>
        <v/>
      </c>
    </row>
    <row r="677" ht="15.75" customHeight="1">
      <c r="A677" s="90" t="str">
        <f>IF(CLIENTES!A8="","",CLIENTES!A8)</f>
        <v/>
      </c>
      <c r="B677" s="67" t="str">
        <f>TELAS!A9</f>
        <v>rib 2x1 lycrado</v>
      </c>
      <c r="C677" s="67" t="str">
        <f>COLORES!A17</f>
        <v>Vino</v>
      </c>
      <c r="D677" s="67" t="str">
        <f>COLORES!B17</f>
        <v>OSCURO</v>
      </c>
      <c r="E677" s="100">
        <f>IFERROR(SUMIFS(MOVIMIENTOS!$F$4:$F$1000,MOVIMIENTOS!$C$4:$C$1000,A677,MOVIMIENTOS!$D$4:$D$1000,B677,MOVIMIENTOS!$E$4:$E$1000,C677,MOVIMIENTOS!$B$4:$B$1000,"INGRESO")+SUMIFS(MOVIMIENTOS!$F$4:$F$1000,MOVIMIENTOS!$C$4:$C$1000,A677,MOVIMIENTOS!$D$4:$D$1000,B677,MOVIMIENTOS!$E$4:$E$1000,C677,MOVIMIENTOS!$B$4:$B$1000,"DE REPROCESO")+SUMIFS(MOVIMIENTOS!$F$4:$F$1000,MOVIMIENTOS!$C$4:$C$1000,A677,MOVIMIENTOS!$D$4:$D$1000,B677,MOVIMIENTOS!$E$4:$E$1000,C677,MOVIMIENTOS!$B$4:$B$1000,"AJUSTE+")-SUMIFS(MOVIMIENTOS!$F$4:$F$1000,MOVIMIENTOS!$C$4:$C$1000,A677,MOVIMIENTOS!$D$4:$D$1000,B677,MOVIMIENTOS!$E$4:$E$1000,C677,MOVIMIENTOS!$B$4:$B$1000,"A CORTE")-SUMIFS(MOVIMIENTOS!$F$4:$F$1000,MOVIMIENTOS!$C$4:$C$1000,A677,MOVIMIENTOS!$D$4:$D$1000,B677,MOVIMIENTOS!$E$4:$E$1000,C677,MOVIMIENTOS!$B$4:$B$1000,"A REPROCESO")-SUMIFS(MOVIMIENTOS!$F$4:$F$1000,MOVIMIENTOS!$C$4:$C$1000,A677,MOVIMIENTOS!$D$4:$D$1000,B677,MOVIMIENTOS!$E$4:$E$1000,C677,MOVIMIENTOS!$B$4:$B$1000,"MUESTRA")-SUMIFS(MOVIMIENTOS!$F$4:$F$1000,MOVIMIENTOS!$C$4:$C$1000,A677,MOVIMIENTOS!$D$4:$D$1000,B677,MOVIMIENTOS!$E$4:$E$1000,C677,MOVIMIENTOS!$B$4:$B$1000,"AJUSTE-"),0)</f>
        <v>0</v>
      </c>
      <c r="F677" s="101">
        <f>IFERROR(E677*VLOOKUP(B677,TELAS!$A$4:$C$32,3,FALSE()),0)</f>
        <v>0</v>
      </c>
      <c r="G677" s="102">
        <f>IFERROR(IF(D677="OSCURO",VLOOKUP(B677,PRECIOS!$A$4:$F$32,2,FALSE()),IF(D677="CLARO",VLOOKUP(B677,PRECIOS!$A$4:$F$32,3,FALSE()),IF(D677="MELANGE",VLOOKUP(B677,PRECIOS!$A$4:$F$32,4,FALSE()),IF(D677="PPT",VLOOKUP(B677,PRECIOS!$A$4:$F$32,5,FALSE()),0)))),0)</f>
        <v>24</v>
      </c>
      <c r="H677" s="103">
        <f t="shared" si="1"/>
        <v>0</v>
      </c>
      <c r="I677" s="104" t="str">
        <f>IF(E677&lt;0,"ERROR",IF(E677=0,"",IF(E677&lt;CONFIG!$B$4,"CRÍTICO",IF(E677&lt;CONFIG!$B$5,"BAJO","OK"))))</f>
        <v/>
      </c>
    </row>
    <row r="678" ht="15.75" customHeight="1">
      <c r="A678" s="90" t="str">
        <f>IF(CLIENTES!A8="","",CLIENTES!A8)</f>
        <v/>
      </c>
      <c r="B678" s="67" t="str">
        <f>TELAS!A9</f>
        <v>rib 2x1 lycrado</v>
      </c>
      <c r="C678" s="67" t="str">
        <f>COLORES!A18</f>
        <v>P. Rosa</v>
      </c>
      <c r="D678" s="67" t="str">
        <f>COLORES!B18</f>
        <v>CLARO</v>
      </c>
      <c r="E678" s="100">
        <f>IFERROR(SUMIFS(MOVIMIENTOS!$F$4:$F$1000,MOVIMIENTOS!$C$4:$C$1000,A678,MOVIMIENTOS!$D$4:$D$1000,B678,MOVIMIENTOS!$E$4:$E$1000,C678,MOVIMIENTOS!$B$4:$B$1000,"INGRESO")+SUMIFS(MOVIMIENTOS!$F$4:$F$1000,MOVIMIENTOS!$C$4:$C$1000,A678,MOVIMIENTOS!$D$4:$D$1000,B678,MOVIMIENTOS!$E$4:$E$1000,C678,MOVIMIENTOS!$B$4:$B$1000,"DE REPROCESO")+SUMIFS(MOVIMIENTOS!$F$4:$F$1000,MOVIMIENTOS!$C$4:$C$1000,A678,MOVIMIENTOS!$D$4:$D$1000,B678,MOVIMIENTOS!$E$4:$E$1000,C678,MOVIMIENTOS!$B$4:$B$1000,"AJUSTE+")-SUMIFS(MOVIMIENTOS!$F$4:$F$1000,MOVIMIENTOS!$C$4:$C$1000,A678,MOVIMIENTOS!$D$4:$D$1000,B678,MOVIMIENTOS!$E$4:$E$1000,C678,MOVIMIENTOS!$B$4:$B$1000,"A CORTE")-SUMIFS(MOVIMIENTOS!$F$4:$F$1000,MOVIMIENTOS!$C$4:$C$1000,A678,MOVIMIENTOS!$D$4:$D$1000,B678,MOVIMIENTOS!$E$4:$E$1000,C678,MOVIMIENTOS!$B$4:$B$1000,"A REPROCESO")-SUMIFS(MOVIMIENTOS!$F$4:$F$1000,MOVIMIENTOS!$C$4:$C$1000,A678,MOVIMIENTOS!$D$4:$D$1000,B678,MOVIMIENTOS!$E$4:$E$1000,C678,MOVIMIENTOS!$B$4:$B$1000,"MUESTRA")-SUMIFS(MOVIMIENTOS!$F$4:$F$1000,MOVIMIENTOS!$C$4:$C$1000,A678,MOVIMIENTOS!$D$4:$D$1000,B678,MOVIMIENTOS!$E$4:$E$1000,C678,MOVIMIENTOS!$B$4:$B$1000,"AJUSTE-"),0)</f>
        <v>0</v>
      </c>
      <c r="F678" s="101">
        <f>IFERROR(E678*VLOOKUP(B678,TELAS!$A$4:$C$32,3,FALSE()),0)</f>
        <v>0</v>
      </c>
      <c r="G678" s="102">
        <f>IFERROR(IF(D678="OSCURO",VLOOKUP(B678,PRECIOS!$A$4:$F$32,2,FALSE()),IF(D678="CLARO",VLOOKUP(B678,PRECIOS!$A$4:$F$32,3,FALSE()),IF(D678="MELANGE",VLOOKUP(B678,PRECIOS!$A$4:$F$32,4,FALSE()),IF(D678="PPT",VLOOKUP(B678,PRECIOS!$A$4:$F$32,5,FALSE()),0)))),0)</f>
        <v>21</v>
      </c>
      <c r="H678" s="103">
        <f t="shared" si="1"/>
        <v>0</v>
      </c>
      <c r="I678" s="104" t="str">
        <f>IF(E678&lt;0,"ERROR",IF(E678=0,"",IF(E678&lt;CONFIG!$B$4,"CRÍTICO",IF(E678&lt;CONFIG!$B$5,"BAJO","OK"))))</f>
        <v/>
      </c>
    </row>
    <row r="679" ht="15.75" customHeight="1">
      <c r="A679" s="90" t="str">
        <f>IF(CLIENTES!A8="","",CLIENTES!A8)</f>
        <v/>
      </c>
      <c r="B679" s="67" t="str">
        <f>TELAS!A9</f>
        <v>rib 2x1 lycrado</v>
      </c>
      <c r="C679" s="67" t="str">
        <f>COLORES!A19</f>
        <v/>
      </c>
      <c r="D679" s="67" t="str">
        <f>COLORES!B19</f>
        <v/>
      </c>
      <c r="E679" s="100">
        <f>IFERROR(SUMIFS(MOVIMIENTOS!$F$4:$F$1000,MOVIMIENTOS!$C$4:$C$1000,A679,MOVIMIENTOS!$D$4:$D$1000,B679,MOVIMIENTOS!$E$4:$E$1000,C679,MOVIMIENTOS!$B$4:$B$1000,"INGRESO")+SUMIFS(MOVIMIENTOS!$F$4:$F$1000,MOVIMIENTOS!$C$4:$C$1000,A679,MOVIMIENTOS!$D$4:$D$1000,B679,MOVIMIENTOS!$E$4:$E$1000,C679,MOVIMIENTOS!$B$4:$B$1000,"DE REPROCESO")+SUMIFS(MOVIMIENTOS!$F$4:$F$1000,MOVIMIENTOS!$C$4:$C$1000,A679,MOVIMIENTOS!$D$4:$D$1000,B679,MOVIMIENTOS!$E$4:$E$1000,C679,MOVIMIENTOS!$B$4:$B$1000,"AJUSTE+")-SUMIFS(MOVIMIENTOS!$F$4:$F$1000,MOVIMIENTOS!$C$4:$C$1000,A679,MOVIMIENTOS!$D$4:$D$1000,B679,MOVIMIENTOS!$E$4:$E$1000,C679,MOVIMIENTOS!$B$4:$B$1000,"A CORTE")-SUMIFS(MOVIMIENTOS!$F$4:$F$1000,MOVIMIENTOS!$C$4:$C$1000,A679,MOVIMIENTOS!$D$4:$D$1000,B679,MOVIMIENTOS!$E$4:$E$1000,C679,MOVIMIENTOS!$B$4:$B$1000,"A REPROCESO")-SUMIFS(MOVIMIENTOS!$F$4:$F$1000,MOVIMIENTOS!$C$4:$C$1000,A679,MOVIMIENTOS!$D$4:$D$1000,B679,MOVIMIENTOS!$E$4:$E$1000,C679,MOVIMIENTOS!$B$4:$B$1000,"MUESTRA")-SUMIFS(MOVIMIENTOS!$F$4:$F$1000,MOVIMIENTOS!$C$4:$C$1000,A679,MOVIMIENTOS!$D$4:$D$1000,B679,MOVIMIENTOS!$E$4:$E$1000,C679,MOVIMIENTOS!$B$4:$B$1000,"AJUSTE-"),0)</f>
        <v>0</v>
      </c>
      <c r="F679" s="101">
        <f>IFERROR(E679*VLOOKUP(B679,TELAS!$A$4:$C$32,3,FALSE()),0)</f>
        <v>0</v>
      </c>
      <c r="G679" s="102">
        <f>IFERROR(IF(D679="OSCURO",VLOOKUP(B679,PRECIOS!$A$4:$F$32,2,FALSE()),IF(D679="CLARO",VLOOKUP(B679,PRECIOS!$A$4:$F$32,3,FALSE()),IF(D679="MELANGE",VLOOKUP(B679,PRECIOS!$A$4:$F$32,4,FALSE()),IF(D679="PPT",VLOOKUP(B679,PRECIOS!$A$4:$F$32,5,FALSE()),0)))),0)</f>
        <v>0</v>
      </c>
      <c r="H679" s="103">
        <f t="shared" si="1"/>
        <v>0</v>
      </c>
      <c r="I679" s="104" t="str">
        <f>IF(E679&lt;0,"ERROR",IF(E679=0,"",IF(E679&lt;CONFIG!$B$4,"CRÍTICO",IF(E679&lt;CONFIG!$B$5,"BAJO","OK"))))</f>
        <v/>
      </c>
    </row>
    <row r="680" ht="15.75" customHeight="1">
      <c r="A680" s="90" t="str">
        <f>IF(CLIENTES!A8="","",CLIENTES!A8)</f>
        <v/>
      </c>
      <c r="B680" s="67" t="str">
        <f>TELAS!A9</f>
        <v>rib 2x1 lycrado</v>
      </c>
      <c r="C680" s="67" t="str">
        <f>COLORES!A20</f>
        <v/>
      </c>
      <c r="D680" s="67" t="str">
        <f>COLORES!B20</f>
        <v/>
      </c>
      <c r="E680" s="100">
        <f>IFERROR(SUMIFS(MOVIMIENTOS!$F$4:$F$1000,MOVIMIENTOS!$C$4:$C$1000,A680,MOVIMIENTOS!$D$4:$D$1000,B680,MOVIMIENTOS!$E$4:$E$1000,C680,MOVIMIENTOS!$B$4:$B$1000,"INGRESO")+SUMIFS(MOVIMIENTOS!$F$4:$F$1000,MOVIMIENTOS!$C$4:$C$1000,A680,MOVIMIENTOS!$D$4:$D$1000,B680,MOVIMIENTOS!$E$4:$E$1000,C680,MOVIMIENTOS!$B$4:$B$1000,"DE REPROCESO")+SUMIFS(MOVIMIENTOS!$F$4:$F$1000,MOVIMIENTOS!$C$4:$C$1000,A680,MOVIMIENTOS!$D$4:$D$1000,B680,MOVIMIENTOS!$E$4:$E$1000,C680,MOVIMIENTOS!$B$4:$B$1000,"AJUSTE+")-SUMIFS(MOVIMIENTOS!$F$4:$F$1000,MOVIMIENTOS!$C$4:$C$1000,A680,MOVIMIENTOS!$D$4:$D$1000,B680,MOVIMIENTOS!$E$4:$E$1000,C680,MOVIMIENTOS!$B$4:$B$1000,"A CORTE")-SUMIFS(MOVIMIENTOS!$F$4:$F$1000,MOVIMIENTOS!$C$4:$C$1000,A680,MOVIMIENTOS!$D$4:$D$1000,B680,MOVIMIENTOS!$E$4:$E$1000,C680,MOVIMIENTOS!$B$4:$B$1000,"A REPROCESO")-SUMIFS(MOVIMIENTOS!$F$4:$F$1000,MOVIMIENTOS!$C$4:$C$1000,A680,MOVIMIENTOS!$D$4:$D$1000,B680,MOVIMIENTOS!$E$4:$E$1000,C680,MOVIMIENTOS!$B$4:$B$1000,"MUESTRA")-SUMIFS(MOVIMIENTOS!$F$4:$F$1000,MOVIMIENTOS!$C$4:$C$1000,A680,MOVIMIENTOS!$D$4:$D$1000,B680,MOVIMIENTOS!$E$4:$E$1000,C680,MOVIMIENTOS!$B$4:$B$1000,"AJUSTE-"),0)</f>
        <v>0</v>
      </c>
      <c r="F680" s="101">
        <f>IFERROR(E680*VLOOKUP(B680,TELAS!$A$4:$C$32,3,FALSE()),0)</f>
        <v>0</v>
      </c>
      <c r="G680" s="102">
        <f>IFERROR(IF(D680="OSCURO",VLOOKUP(B680,PRECIOS!$A$4:$F$32,2,FALSE()),IF(D680="CLARO",VLOOKUP(B680,PRECIOS!$A$4:$F$32,3,FALSE()),IF(D680="MELANGE",VLOOKUP(B680,PRECIOS!$A$4:$F$32,4,FALSE()),IF(D680="PPT",VLOOKUP(B680,PRECIOS!$A$4:$F$32,5,FALSE()),0)))),0)</f>
        <v>0</v>
      </c>
      <c r="H680" s="103">
        <f t="shared" si="1"/>
        <v>0</v>
      </c>
      <c r="I680" s="104" t="str">
        <f>IF(E680&lt;0,"ERROR",IF(E680=0,"",IF(E680&lt;CONFIG!$B$4,"CRÍTICO",IF(E680&lt;CONFIG!$B$5,"BAJO","OK"))))</f>
        <v/>
      </c>
    </row>
    <row r="681" ht="15.75" customHeight="1">
      <c r="A681" s="90" t="str">
        <f>IF(CLIENTES!A8="","",CLIENTES!A8)</f>
        <v/>
      </c>
      <c r="B681" s="67" t="str">
        <f>TELAS!A9</f>
        <v>rib 2x1 lycrado</v>
      </c>
      <c r="C681" s="67" t="str">
        <f>COLORES!A21</f>
        <v/>
      </c>
      <c r="D681" s="67" t="str">
        <f>COLORES!B21</f>
        <v/>
      </c>
      <c r="E681" s="100">
        <f>IFERROR(SUMIFS(MOVIMIENTOS!$F$4:$F$1000,MOVIMIENTOS!$C$4:$C$1000,A681,MOVIMIENTOS!$D$4:$D$1000,B681,MOVIMIENTOS!$E$4:$E$1000,C681,MOVIMIENTOS!$B$4:$B$1000,"INGRESO")+SUMIFS(MOVIMIENTOS!$F$4:$F$1000,MOVIMIENTOS!$C$4:$C$1000,A681,MOVIMIENTOS!$D$4:$D$1000,B681,MOVIMIENTOS!$E$4:$E$1000,C681,MOVIMIENTOS!$B$4:$B$1000,"DE REPROCESO")+SUMIFS(MOVIMIENTOS!$F$4:$F$1000,MOVIMIENTOS!$C$4:$C$1000,A681,MOVIMIENTOS!$D$4:$D$1000,B681,MOVIMIENTOS!$E$4:$E$1000,C681,MOVIMIENTOS!$B$4:$B$1000,"AJUSTE+")-SUMIFS(MOVIMIENTOS!$F$4:$F$1000,MOVIMIENTOS!$C$4:$C$1000,A681,MOVIMIENTOS!$D$4:$D$1000,B681,MOVIMIENTOS!$E$4:$E$1000,C681,MOVIMIENTOS!$B$4:$B$1000,"A CORTE")-SUMIFS(MOVIMIENTOS!$F$4:$F$1000,MOVIMIENTOS!$C$4:$C$1000,A681,MOVIMIENTOS!$D$4:$D$1000,B681,MOVIMIENTOS!$E$4:$E$1000,C681,MOVIMIENTOS!$B$4:$B$1000,"A REPROCESO")-SUMIFS(MOVIMIENTOS!$F$4:$F$1000,MOVIMIENTOS!$C$4:$C$1000,A681,MOVIMIENTOS!$D$4:$D$1000,B681,MOVIMIENTOS!$E$4:$E$1000,C681,MOVIMIENTOS!$B$4:$B$1000,"MUESTRA")-SUMIFS(MOVIMIENTOS!$F$4:$F$1000,MOVIMIENTOS!$C$4:$C$1000,A681,MOVIMIENTOS!$D$4:$D$1000,B681,MOVIMIENTOS!$E$4:$E$1000,C681,MOVIMIENTOS!$B$4:$B$1000,"AJUSTE-"),0)</f>
        <v>0</v>
      </c>
      <c r="F681" s="101">
        <f>IFERROR(E681*VLOOKUP(B681,TELAS!$A$4:$C$32,3,FALSE()),0)</f>
        <v>0</v>
      </c>
      <c r="G681" s="102">
        <f>IFERROR(IF(D681="OSCURO",VLOOKUP(B681,PRECIOS!$A$4:$F$32,2,FALSE()),IF(D681="CLARO",VLOOKUP(B681,PRECIOS!$A$4:$F$32,3,FALSE()),IF(D681="MELANGE",VLOOKUP(B681,PRECIOS!$A$4:$F$32,4,FALSE()),IF(D681="PPT",VLOOKUP(B681,PRECIOS!$A$4:$F$32,5,FALSE()),0)))),0)</f>
        <v>0</v>
      </c>
      <c r="H681" s="103">
        <f t="shared" si="1"/>
        <v>0</v>
      </c>
      <c r="I681" s="104" t="str">
        <f>IF(E681&lt;0,"ERROR",IF(E681=0,"",IF(E681&lt;CONFIG!$B$4,"CRÍTICO",IF(E681&lt;CONFIG!$B$5,"BAJO","OK"))))</f>
        <v/>
      </c>
    </row>
    <row r="682" ht="15.75" customHeight="1">
      <c r="A682" s="90" t="str">
        <f>IF(CLIENTES!A8="","",CLIENTES!A8)</f>
        <v/>
      </c>
      <c r="B682" s="67" t="str">
        <f>TELAS!A9</f>
        <v>rib 2x1 lycrado</v>
      </c>
      <c r="C682" s="67" t="str">
        <f>COLORES!A22</f>
        <v/>
      </c>
      <c r="D682" s="67" t="str">
        <f>COLORES!B22</f>
        <v/>
      </c>
      <c r="E682" s="100">
        <f>IFERROR(SUMIFS(MOVIMIENTOS!$F$4:$F$1000,MOVIMIENTOS!$C$4:$C$1000,A682,MOVIMIENTOS!$D$4:$D$1000,B682,MOVIMIENTOS!$E$4:$E$1000,C682,MOVIMIENTOS!$B$4:$B$1000,"INGRESO")+SUMIFS(MOVIMIENTOS!$F$4:$F$1000,MOVIMIENTOS!$C$4:$C$1000,A682,MOVIMIENTOS!$D$4:$D$1000,B682,MOVIMIENTOS!$E$4:$E$1000,C682,MOVIMIENTOS!$B$4:$B$1000,"DE REPROCESO")+SUMIFS(MOVIMIENTOS!$F$4:$F$1000,MOVIMIENTOS!$C$4:$C$1000,A682,MOVIMIENTOS!$D$4:$D$1000,B682,MOVIMIENTOS!$E$4:$E$1000,C682,MOVIMIENTOS!$B$4:$B$1000,"AJUSTE+")-SUMIFS(MOVIMIENTOS!$F$4:$F$1000,MOVIMIENTOS!$C$4:$C$1000,A682,MOVIMIENTOS!$D$4:$D$1000,B682,MOVIMIENTOS!$E$4:$E$1000,C682,MOVIMIENTOS!$B$4:$B$1000,"A CORTE")-SUMIFS(MOVIMIENTOS!$F$4:$F$1000,MOVIMIENTOS!$C$4:$C$1000,A682,MOVIMIENTOS!$D$4:$D$1000,B682,MOVIMIENTOS!$E$4:$E$1000,C682,MOVIMIENTOS!$B$4:$B$1000,"A REPROCESO")-SUMIFS(MOVIMIENTOS!$F$4:$F$1000,MOVIMIENTOS!$C$4:$C$1000,A682,MOVIMIENTOS!$D$4:$D$1000,B682,MOVIMIENTOS!$E$4:$E$1000,C682,MOVIMIENTOS!$B$4:$B$1000,"MUESTRA")-SUMIFS(MOVIMIENTOS!$F$4:$F$1000,MOVIMIENTOS!$C$4:$C$1000,A682,MOVIMIENTOS!$D$4:$D$1000,B682,MOVIMIENTOS!$E$4:$E$1000,C682,MOVIMIENTOS!$B$4:$B$1000,"AJUSTE-"),0)</f>
        <v>0</v>
      </c>
      <c r="F682" s="101">
        <f>IFERROR(E682*VLOOKUP(B682,TELAS!$A$4:$C$32,3,FALSE()),0)</f>
        <v>0</v>
      </c>
      <c r="G682" s="102">
        <f>IFERROR(IF(D682="OSCURO",VLOOKUP(B682,PRECIOS!$A$4:$F$32,2,FALSE()),IF(D682="CLARO",VLOOKUP(B682,PRECIOS!$A$4:$F$32,3,FALSE()),IF(D682="MELANGE",VLOOKUP(B682,PRECIOS!$A$4:$F$32,4,FALSE()),IF(D682="PPT",VLOOKUP(B682,PRECIOS!$A$4:$F$32,5,FALSE()),0)))),0)</f>
        <v>0</v>
      </c>
      <c r="H682" s="103">
        <f t="shared" si="1"/>
        <v>0</v>
      </c>
      <c r="I682" s="104" t="str">
        <f>IF(E682&lt;0,"ERROR",IF(E682=0,"",IF(E682&lt;CONFIG!$B$4,"CRÍTICO",IF(E682&lt;CONFIG!$B$5,"BAJO","OK"))))</f>
        <v/>
      </c>
    </row>
    <row r="683" ht="15.75" customHeight="1">
      <c r="A683" s="90" t="str">
        <f>IF(CLIENTES!A8="","",CLIENTES!A8)</f>
        <v/>
      </c>
      <c r="B683" s="67" t="str">
        <f>TELAS!A9</f>
        <v>rib 2x1 lycrado</v>
      </c>
      <c r="C683" s="67" t="str">
        <f>COLORES!A23</f>
        <v/>
      </c>
      <c r="D683" s="67" t="str">
        <f>COLORES!B23</f>
        <v/>
      </c>
      <c r="E683" s="100">
        <f>IFERROR(SUMIFS(MOVIMIENTOS!$F$4:$F$1000,MOVIMIENTOS!$C$4:$C$1000,A683,MOVIMIENTOS!$D$4:$D$1000,B683,MOVIMIENTOS!$E$4:$E$1000,C683,MOVIMIENTOS!$B$4:$B$1000,"INGRESO")+SUMIFS(MOVIMIENTOS!$F$4:$F$1000,MOVIMIENTOS!$C$4:$C$1000,A683,MOVIMIENTOS!$D$4:$D$1000,B683,MOVIMIENTOS!$E$4:$E$1000,C683,MOVIMIENTOS!$B$4:$B$1000,"DE REPROCESO")+SUMIFS(MOVIMIENTOS!$F$4:$F$1000,MOVIMIENTOS!$C$4:$C$1000,A683,MOVIMIENTOS!$D$4:$D$1000,B683,MOVIMIENTOS!$E$4:$E$1000,C683,MOVIMIENTOS!$B$4:$B$1000,"AJUSTE+")-SUMIFS(MOVIMIENTOS!$F$4:$F$1000,MOVIMIENTOS!$C$4:$C$1000,A683,MOVIMIENTOS!$D$4:$D$1000,B683,MOVIMIENTOS!$E$4:$E$1000,C683,MOVIMIENTOS!$B$4:$B$1000,"A CORTE")-SUMIFS(MOVIMIENTOS!$F$4:$F$1000,MOVIMIENTOS!$C$4:$C$1000,A683,MOVIMIENTOS!$D$4:$D$1000,B683,MOVIMIENTOS!$E$4:$E$1000,C683,MOVIMIENTOS!$B$4:$B$1000,"A REPROCESO")-SUMIFS(MOVIMIENTOS!$F$4:$F$1000,MOVIMIENTOS!$C$4:$C$1000,A683,MOVIMIENTOS!$D$4:$D$1000,B683,MOVIMIENTOS!$E$4:$E$1000,C683,MOVIMIENTOS!$B$4:$B$1000,"MUESTRA")-SUMIFS(MOVIMIENTOS!$F$4:$F$1000,MOVIMIENTOS!$C$4:$C$1000,A683,MOVIMIENTOS!$D$4:$D$1000,B683,MOVIMIENTOS!$E$4:$E$1000,C683,MOVIMIENTOS!$B$4:$B$1000,"AJUSTE-"),0)</f>
        <v>0</v>
      </c>
      <c r="F683" s="101">
        <f>IFERROR(E683*VLOOKUP(B683,TELAS!$A$4:$C$32,3,FALSE()),0)</f>
        <v>0</v>
      </c>
      <c r="G683" s="102">
        <f>IFERROR(IF(D683="OSCURO",VLOOKUP(B683,PRECIOS!$A$4:$F$32,2,FALSE()),IF(D683="CLARO",VLOOKUP(B683,PRECIOS!$A$4:$F$32,3,FALSE()),IF(D683="MELANGE",VLOOKUP(B683,PRECIOS!$A$4:$F$32,4,FALSE()),IF(D683="PPT",VLOOKUP(B683,PRECIOS!$A$4:$F$32,5,FALSE()),0)))),0)</f>
        <v>0</v>
      </c>
      <c r="H683" s="103">
        <f t="shared" si="1"/>
        <v>0</v>
      </c>
      <c r="I683" s="104" t="str">
        <f>IF(E683&lt;0,"ERROR",IF(E683=0,"",IF(E683&lt;CONFIG!$B$4,"CRÍTICO",IF(E683&lt;CONFIG!$B$5,"BAJO","OK"))))</f>
        <v/>
      </c>
    </row>
    <row r="684" ht="15.75" customHeight="1">
      <c r="A684" s="90" t="str">
        <f>IF(CLIENTES!A8="","",CLIENTES!A8)</f>
        <v/>
      </c>
      <c r="B684" s="67" t="str">
        <f>TELAS!A10</f>
        <v>jersey full lycra 30/1</v>
      </c>
      <c r="C684" s="67" t="str">
        <f>COLORES!A4</f>
        <v>Negro</v>
      </c>
      <c r="D684" s="67" t="str">
        <f>COLORES!B4</f>
        <v>OSCURO</v>
      </c>
      <c r="E684" s="100">
        <f>IFERROR(SUMIFS(MOVIMIENTOS!$F$4:$F$1000,MOVIMIENTOS!$C$4:$C$1000,A684,MOVIMIENTOS!$D$4:$D$1000,B684,MOVIMIENTOS!$E$4:$E$1000,C684,MOVIMIENTOS!$B$4:$B$1000,"INGRESO")+SUMIFS(MOVIMIENTOS!$F$4:$F$1000,MOVIMIENTOS!$C$4:$C$1000,A684,MOVIMIENTOS!$D$4:$D$1000,B684,MOVIMIENTOS!$E$4:$E$1000,C684,MOVIMIENTOS!$B$4:$B$1000,"DE REPROCESO")+SUMIFS(MOVIMIENTOS!$F$4:$F$1000,MOVIMIENTOS!$C$4:$C$1000,A684,MOVIMIENTOS!$D$4:$D$1000,B684,MOVIMIENTOS!$E$4:$E$1000,C684,MOVIMIENTOS!$B$4:$B$1000,"AJUSTE+")-SUMIFS(MOVIMIENTOS!$F$4:$F$1000,MOVIMIENTOS!$C$4:$C$1000,A684,MOVIMIENTOS!$D$4:$D$1000,B684,MOVIMIENTOS!$E$4:$E$1000,C684,MOVIMIENTOS!$B$4:$B$1000,"A CORTE")-SUMIFS(MOVIMIENTOS!$F$4:$F$1000,MOVIMIENTOS!$C$4:$C$1000,A684,MOVIMIENTOS!$D$4:$D$1000,B684,MOVIMIENTOS!$E$4:$E$1000,C684,MOVIMIENTOS!$B$4:$B$1000,"A REPROCESO")-SUMIFS(MOVIMIENTOS!$F$4:$F$1000,MOVIMIENTOS!$C$4:$C$1000,A684,MOVIMIENTOS!$D$4:$D$1000,B684,MOVIMIENTOS!$E$4:$E$1000,C684,MOVIMIENTOS!$B$4:$B$1000,"MUESTRA")-SUMIFS(MOVIMIENTOS!$F$4:$F$1000,MOVIMIENTOS!$C$4:$C$1000,A684,MOVIMIENTOS!$D$4:$D$1000,B684,MOVIMIENTOS!$E$4:$E$1000,C684,MOVIMIENTOS!$B$4:$B$1000,"AJUSTE-"),0)</f>
        <v>0</v>
      </c>
      <c r="F684" s="101">
        <f>IFERROR(E684*VLOOKUP(B684,TELAS!$A$4:$C$32,3,FALSE()),0)</f>
        <v>0</v>
      </c>
      <c r="G684" s="102">
        <f>IFERROR(IF(D684="OSCURO",VLOOKUP(B684,PRECIOS!$A$4:$F$32,2,FALSE()),IF(D684="CLARO",VLOOKUP(B684,PRECIOS!$A$4:$F$32,3,FALSE()),IF(D684="MELANGE",VLOOKUP(B684,PRECIOS!$A$4:$F$32,4,FALSE()),IF(D684="PPT",VLOOKUP(B684,PRECIOS!$A$4:$F$32,5,FALSE()),0)))),0)</f>
        <v>26</v>
      </c>
      <c r="H684" s="103">
        <f t="shared" si="1"/>
        <v>0</v>
      </c>
      <c r="I684" s="104" t="str">
        <f>IF(E684&lt;0,"ERROR",IF(E684=0,"",IF(E684&lt;CONFIG!$B$4,"CRÍTICO",IF(E684&lt;CONFIG!$B$5,"BAJO","OK"))))</f>
        <v/>
      </c>
    </row>
    <row r="685" ht="15.75" customHeight="1">
      <c r="A685" s="90" t="str">
        <f>IF(CLIENTES!A8="","",CLIENTES!A8)</f>
        <v/>
      </c>
      <c r="B685" s="67" t="str">
        <f>TELAS!A10</f>
        <v>jersey full lycra 30/1</v>
      </c>
      <c r="C685" s="67" t="str">
        <f>COLORES!A5</f>
        <v>Perla</v>
      </c>
      <c r="D685" s="67" t="str">
        <f>COLORES!B5</f>
        <v>PPT</v>
      </c>
      <c r="E685" s="100">
        <f>IFERROR(SUMIFS(MOVIMIENTOS!$F$4:$F$1000,MOVIMIENTOS!$C$4:$C$1000,A685,MOVIMIENTOS!$D$4:$D$1000,B685,MOVIMIENTOS!$E$4:$E$1000,C685,MOVIMIENTOS!$B$4:$B$1000,"INGRESO")+SUMIFS(MOVIMIENTOS!$F$4:$F$1000,MOVIMIENTOS!$C$4:$C$1000,A685,MOVIMIENTOS!$D$4:$D$1000,B685,MOVIMIENTOS!$E$4:$E$1000,C685,MOVIMIENTOS!$B$4:$B$1000,"DE REPROCESO")+SUMIFS(MOVIMIENTOS!$F$4:$F$1000,MOVIMIENTOS!$C$4:$C$1000,A685,MOVIMIENTOS!$D$4:$D$1000,B685,MOVIMIENTOS!$E$4:$E$1000,C685,MOVIMIENTOS!$B$4:$B$1000,"AJUSTE+")-SUMIFS(MOVIMIENTOS!$F$4:$F$1000,MOVIMIENTOS!$C$4:$C$1000,A685,MOVIMIENTOS!$D$4:$D$1000,B685,MOVIMIENTOS!$E$4:$E$1000,C685,MOVIMIENTOS!$B$4:$B$1000,"A CORTE")-SUMIFS(MOVIMIENTOS!$F$4:$F$1000,MOVIMIENTOS!$C$4:$C$1000,A685,MOVIMIENTOS!$D$4:$D$1000,B685,MOVIMIENTOS!$E$4:$E$1000,C685,MOVIMIENTOS!$B$4:$B$1000,"A REPROCESO")-SUMIFS(MOVIMIENTOS!$F$4:$F$1000,MOVIMIENTOS!$C$4:$C$1000,A685,MOVIMIENTOS!$D$4:$D$1000,B685,MOVIMIENTOS!$E$4:$E$1000,C685,MOVIMIENTOS!$B$4:$B$1000,"MUESTRA")-SUMIFS(MOVIMIENTOS!$F$4:$F$1000,MOVIMIENTOS!$C$4:$C$1000,A685,MOVIMIENTOS!$D$4:$D$1000,B685,MOVIMIENTOS!$E$4:$E$1000,C685,MOVIMIENTOS!$B$4:$B$1000,"AJUSTE-"),0)</f>
        <v>0</v>
      </c>
      <c r="F685" s="101">
        <f>IFERROR(E685*VLOOKUP(B685,TELAS!$A$4:$C$32,3,FALSE()),0)</f>
        <v>0</v>
      </c>
      <c r="G685" s="102">
        <f>IFERROR(IF(D685="OSCURO",VLOOKUP(B685,PRECIOS!$A$4:$F$32,2,FALSE()),IF(D685="CLARO",VLOOKUP(B685,PRECIOS!$A$4:$F$32,3,FALSE()),IF(D685="MELANGE",VLOOKUP(B685,PRECIOS!$A$4:$F$32,4,FALSE()),IF(D685="PPT",VLOOKUP(B685,PRECIOS!$A$4:$F$32,5,FALSE()),0)))),0)</f>
        <v>19</v>
      </c>
      <c r="H685" s="103">
        <f t="shared" si="1"/>
        <v>0</v>
      </c>
      <c r="I685" s="104" t="str">
        <f>IF(E685&lt;0,"ERROR",IF(E685=0,"",IF(E685&lt;CONFIG!$B$4,"CRÍTICO",IF(E685&lt;CONFIG!$B$5,"BAJO","OK"))))</f>
        <v/>
      </c>
    </row>
    <row r="686" ht="15.75" customHeight="1">
      <c r="A686" s="90" t="str">
        <f>IF(CLIENTES!A8="","",CLIENTES!A8)</f>
        <v/>
      </c>
      <c r="B686" s="67" t="str">
        <f>TELAS!A10</f>
        <v>jersey full lycra 30/1</v>
      </c>
      <c r="C686" s="67" t="str">
        <f>COLORES!A6</f>
        <v>Blanco</v>
      </c>
      <c r="D686" s="67" t="str">
        <f>COLORES!B6</f>
        <v>PPT</v>
      </c>
      <c r="E686" s="100">
        <f>IFERROR(SUMIFS(MOVIMIENTOS!$F$4:$F$1000,MOVIMIENTOS!$C$4:$C$1000,A686,MOVIMIENTOS!$D$4:$D$1000,B686,MOVIMIENTOS!$E$4:$E$1000,C686,MOVIMIENTOS!$B$4:$B$1000,"INGRESO")+SUMIFS(MOVIMIENTOS!$F$4:$F$1000,MOVIMIENTOS!$C$4:$C$1000,A686,MOVIMIENTOS!$D$4:$D$1000,B686,MOVIMIENTOS!$E$4:$E$1000,C686,MOVIMIENTOS!$B$4:$B$1000,"DE REPROCESO")+SUMIFS(MOVIMIENTOS!$F$4:$F$1000,MOVIMIENTOS!$C$4:$C$1000,A686,MOVIMIENTOS!$D$4:$D$1000,B686,MOVIMIENTOS!$E$4:$E$1000,C686,MOVIMIENTOS!$B$4:$B$1000,"AJUSTE+")-SUMIFS(MOVIMIENTOS!$F$4:$F$1000,MOVIMIENTOS!$C$4:$C$1000,A686,MOVIMIENTOS!$D$4:$D$1000,B686,MOVIMIENTOS!$E$4:$E$1000,C686,MOVIMIENTOS!$B$4:$B$1000,"A CORTE")-SUMIFS(MOVIMIENTOS!$F$4:$F$1000,MOVIMIENTOS!$C$4:$C$1000,A686,MOVIMIENTOS!$D$4:$D$1000,B686,MOVIMIENTOS!$E$4:$E$1000,C686,MOVIMIENTOS!$B$4:$B$1000,"A REPROCESO")-SUMIFS(MOVIMIENTOS!$F$4:$F$1000,MOVIMIENTOS!$C$4:$C$1000,A686,MOVIMIENTOS!$D$4:$D$1000,B686,MOVIMIENTOS!$E$4:$E$1000,C686,MOVIMIENTOS!$B$4:$B$1000,"MUESTRA")-SUMIFS(MOVIMIENTOS!$F$4:$F$1000,MOVIMIENTOS!$C$4:$C$1000,A686,MOVIMIENTOS!$D$4:$D$1000,B686,MOVIMIENTOS!$E$4:$E$1000,C686,MOVIMIENTOS!$B$4:$B$1000,"AJUSTE-"),0)</f>
        <v>0</v>
      </c>
      <c r="F686" s="101">
        <f>IFERROR(E686*VLOOKUP(B686,TELAS!$A$4:$C$32,3,FALSE()),0)</f>
        <v>0</v>
      </c>
      <c r="G686" s="102">
        <f>IFERROR(IF(D686="OSCURO",VLOOKUP(B686,PRECIOS!$A$4:$F$32,2,FALSE()),IF(D686="CLARO",VLOOKUP(B686,PRECIOS!$A$4:$F$32,3,FALSE()),IF(D686="MELANGE",VLOOKUP(B686,PRECIOS!$A$4:$F$32,4,FALSE()),IF(D686="PPT",VLOOKUP(B686,PRECIOS!$A$4:$F$32,5,FALSE()),0)))),0)</f>
        <v>19</v>
      </c>
      <c r="H686" s="103">
        <f t="shared" si="1"/>
        <v>0</v>
      </c>
      <c r="I686" s="104" t="str">
        <f>IF(E686&lt;0,"ERROR",IF(E686=0,"",IF(E686&lt;CONFIG!$B$4,"CRÍTICO",IF(E686&lt;CONFIG!$B$5,"BAJO","OK"))))</f>
        <v/>
      </c>
    </row>
    <row r="687" ht="15.75" customHeight="1">
      <c r="A687" s="90" t="str">
        <f>IF(CLIENTES!A8="","",CLIENTES!A8)</f>
        <v/>
      </c>
      <c r="B687" s="67" t="str">
        <f>TELAS!A10</f>
        <v>jersey full lycra 30/1</v>
      </c>
      <c r="C687" s="67" t="str">
        <f>COLORES!A7</f>
        <v>Azul</v>
      </c>
      <c r="D687" s="67" t="str">
        <f>COLORES!B7</f>
        <v>OSCURO</v>
      </c>
      <c r="E687" s="100">
        <f>IFERROR(SUMIFS(MOVIMIENTOS!$F$4:$F$1000,MOVIMIENTOS!$C$4:$C$1000,A687,MOVIMIENTOS!$D$4:$D$1000,B687,MOVIMIENTOS!$E$4:$E$1000,C687,MOVIMIENTOS!$B$4:$B$1000,"INGRESO")+SUMIFS(MOVIMIENTOS!$F$4:$F$1000,MOVIMIENTOS!$C$4:$C$1000,A687,MOVIMIENTOS!$D$4:$D$1000,B687,MOVIMIENTOS!$E$4:$E$1000,C687,MOVIMIENTOS!$B$4:$B$1000,"DE REPROCESO")+SUMIFS(MOVIMIENTOS!$F$4:$F$1000,MOVIMIENTOS!$C$4:$C$1000,A687,MOVIMIENTOS!$D$4:$D$1000,B687,MOVIMIENTOS!$E$4:$E$1000,C687,MOVIMIENTOS!$B$4:$B$1000,"AJUSTE+")-SUMIFS(MOVIMIENTOS!$F$4:$F$1000,MOVIMIENTOS!$C$4:$C$1000,A687,MOVIMIENTOS!$D$4:$D$1000,B687,MOVIMIENTOS!$E$4:$E$1000,C687,MOVIMIENTOS!$B$4:$B$1000,"A CORTE")-SUMIFS(MOVIMIENTOS!$F$4:$F$1000,MOVIMIENTOS!$C$4:$C$1000,A687,MOVIMIENTOS!$D$4:$D$1000,B687,MOVIMIENTOS!$E$4:$E$1000,C687,MOVIMIENTOS!$B$4:$B$1000,"A REPROCESO")-SUMIFS(MOVIMIENTOS!$F$4:$F$1000,MOVIMIENTOS!$C$4:$C$1000,A687,MOVIMIENTOS!$D$4:$D$1000,B687,MOVIMIENTOS!$E$4:$E$1000,C687,MOVIMIENTOS!$B$4:$B$1000,"MUESTRA")-SUMIFS(MOVIMIENTOS!$F$4:$F$1000,MOVIMIENTOS!$C$4:$C$1000,A687,MOVIMIENTOS!$D$4:$D$1000,B687,MOVIMIENTOS!$E$4:$E$1000,C687,MOVIMIENTOS!$B$4:$B$1000,"AJUSTE-"),0)</f>
        <v>0</v>
      </c>
      <c r="F687" s="101">
        <f>IFERROR(E687*VLOOKUP(B687,TELAS!$A$4:$C$32,3,FALSE()),0)</f>
        <v>0</v>
      </c>
      <c r="G687" s="102">
        <f>IFERROR(IF(D687="OSCURO",VLOOKUP(B687,PRECIOS!$A$4:$F$32,2,FALSE()),IF(D687="CLARO",VLOOKUP(B687,PRECIOS!$A$4:$F$32,3,FALSE()),IF(D687="MELANGE",VLOOKUP(B687,PRECIOS!$A$4:$F$32,4,FALSE()),IF(D687="PPT",VLOOKUP(B687,PRECIOS!$A$4:$F$32,5,FALSE()),0)))),0)</f>
        <v>26</v>
      </c>
      <c r="H687" s="103">
        <f t="shared" si="1"/>
        <v>0</v>
      </c>
      <c r="I687" s="104" t="str">
        <f>IF(E687&lt;0,"ERROR",IF(E687=0,"",IF(E687&lt;CONFIG!$B$4,"CRÍTICO",IF(E687&lt;CONFIG!$B$5,"BAJO","OK"))))</f>
        <v/>
      </c>
    </row>
    <row r="688" ht="15.75" customHeight="1">
      <c r="A688" s="90" t="str">
        <f>IF(CLIENTES!A8="","",CLIENTES!A8)</f>
        <v/>
      </c>
      <c r="B688" s="67" t="str">
        <f>TELAS!A10</f>
        <v>jersey full lycra 30/1</v>
      </c>
      <c r="C688" s="67" t="str">
        <f>COLORES!A8</f>
        <v>Beige</v>
      </c>
      <c r="D688" s="67" t="str">
        <f>COLORES!B8</f>
        <v>CLARO</v>
      </c>
      <c r="E688" s="100">
        <f>IFERROR(SUMIFS(MOVIMIENTOS!$F$4:$F$1000,MOVIMIENTOS!$C$4:$C$1000,A688,MOVIMIENTOS!$D$4:$D$1000,B688,MOVIMIENTOS!$E$4:$E$1000,C688,MOVIMIENTOS!$B$4:$B$1000,"INGRESO")+SUMIFS(MOVIMIENTOS!$F$4:$F$1000,MOVIMIENTOS!$C$4:$C$1000,A688,MOVIMIENTOS!$D$4:$D$1000,B688,MOVIMIENTOS!$E$4:$E$1000,C688,MOVIMIENTOS!$B$4:$B$1000,"DE REPROCESO")+SUMIFS(MOVIMIENTOS!$F$4:$F$1000,MOVIMIENTOS!$C$4:$C$1000,A688,MOVIMIENTOS!$D$4:$D$1000,B688,MOVIMIENTOS!$E$4:$E$1000,C688,MOVIMIENTOS!$B$4:$B$1000,"AJUSTE+")-SUMIFS(MOVIMIENTOS!$F$4:$F$1000,MOVIMIENTOS!$C$4:$C$1000,A688,MOVIMIENTOS!$D$4:$D$1000,B688,MOVIMIENTOS!$E$4:$E$1000,C688,MOVIMIENTOS!$B$4:$B$1000,"A CORTE")-SUMIFS(MOVIMIENTOS!$F$4:$F$1000,MOVIMIENTOS!$C$4:$C$1000,A688,MOVIMIENTOS!$D$4:$D$1000,B688,MOVIMIENTOS!$E$4:$E$1000,C688,MOVIMIENTOS!$B$4:$B$1000,"A REPROCESO")-SUMIFS(MOVIMIENTOS!$F$4:$F$1000,MOVIMIENTOS!$C$4:$C$1000,A688,MOVIMIENTOS!$D$4:$D$1000,B688,MOVIMIENTOS!$E$4:$E$1000,C688,MOVIMIENTOS!$B$4:$B$1000,"MUESTRA")-SUMIFS(MOVIMIENTOS!$F$4:$F$1000,MOVIMIENTOS!$C$4:$C$1000,A688,MOVIMIENTOS!$D$4:$D$1000,B688,MOVIMIENTOS!$E$4:$E$1000,C688,MOVIMIENTOS!$B$4:$B$1000,"AJUSTE-"),0)</f>
        <v>0</v>
      </c>
      <c r="F688" s="101">
        <f>IFERROR(E688*VLOOKUP(B688,TELAS!$A$4:$C$32,3,FALSE()),0)</f>
        <v>0</v>
      </c>
      <c r="G688" s="102">
        <f>IFERROR(IF(D688="OSCURO",VLOOKUP(B688,PRECIOS!$A$4:$F$32,2,FALSE()),IF(D688="CLARO",VLOOKUP(B688,PRECIOS!$A$4:$F$32,3,FALSE()),IF(D688="MELANGE",VLOOKUP(B688,PRECIOS!$A$4:$F$32,4,FALSE()),IF(D688="PPT",VLOOKUP(B688,PRECIOS!$A$4:$F$32,5,FALSE()),0)))),0)</f>
        <v>22.5</v>
      </c>
      <c r="H688" s="103">
        <f t="shared" si="1"/>
        <v>0</v>
      </c>
      <c r="I688" s="104" t="str">
        <f>IF(E688&lt;0,"ERROR",IF(E688=0,"",IF(E688&lt;CONFIG!$B$4,"CRÍTICO",IF(E688&lt;CONFIG!$B$5,"BAJO","OK"))))</f>
        <v/>
      </c>
    </row>
    <row r="689" ht="15.75" customHeight="1">
      <c r="A689" s="90" t="str">
        <f>IF(CLIENTES!A8="","",CLIENTES!A8)</f>
        <v/>
      </c>
      <c r="B689" s="67" t="str">
        <f>TELAS!A10</f>
        <v>jersey full lycra 30/1</v>
      </c>
      <c r="C689" s="67" t="str">
        <f>COLORES!A9</f>
        <v>Melange</v>
      </c>
      <c r="D689" s="67" t="str">
        <f>COLORES!B9</f>
        <v>MELANGE</v>
      </c>
      <c r="E689" s="100">
        <f>IFERROR(SUMIFS(MOVIMIENTOS!$F$4:$F$1000,MOVIMIENTOS!$C$4:$C$1000,A689,MOVIMIENTOS!$D$4:$D$1000,B689,MOVIMIENTOS!$E$4:$E$1000,C689,MOVIMIENTOS!$B$4:$B$1000,"INGRESO")+SUMIFS(MOVIMIENTOS!$F$4:$F$1000,MOVIMIENTOS!$C$4:$C$1000,A689,MOVIMIENTOS!$D$4:$D$1000,B689,MOVIMIENTOS!$E$4:$E$1000,C689,MOVIMIENTOS!$B$4:$B$1000,"DE REPROCESO")+SUMIFS(MOVIMIENTOS!$F$4:$F$1000,MOVIMIENTOS!$C$4:$C$1000,A689,MOVIMIENTOS!$D$4:$D$1000,B689,MOVIMIENTOS!$E$4:$E$1000,C689,MOVIMIENTOS!$B$4:$B$1000,"AJUSTE+")-SUMIFS(MOVIMIENTOS!$F$4:$F$1000,MOVIMIENTOS!$C$4:$C$1000,A689,MOVIMIENTOS!$D$4:$D$1000,B689,MOVIMIENTOS!$E$4:$E$1000,C689,MOVIMIENTOS!$B$4:$B$1000,"A CORTE")-SUMIFS(MOVIMIENTOS!$F$4:$F$1000,MOVIMIENTOS!$C$4:$C$1000,A689,MOVIMIENTOS!$D$4:$D$1000,B689,MOVIMIENTOS!$E$4:$E$1000,C689,MOVIMIENTOS!$B$4:$B$1000,"A REPROCESO")-SUMIFS(MOVIMIENTOS!$F$4:$F$1000,MOVIMIENTOS!$C$4:$C$1000,A689,MOVIMIENTOS!$D$4:$D$1000,B689,MOVIMIENTOS!$E$4:$E$1000,C689,MOVIMIENTOS!$B$4:$B$1000,"MUESTRA")-SUMIFS(MOVIMIENTOS!$F$4:$F$1000,MOVIMIENTOS!$C$4:$C$1000,A689,MOVIMIENTOS!$D$4:$D$1000,B689,MOVIMIENTOS!$E$4:$E$1000,C689,MOVIMIENTOS!$B$4:$B$1000,"AJUSTE-"),0)</f>
        <v>0</v>
      </c>
      <c r="F689" s="101">
        <f>IFERROR(E689*VLOOKUP(B689,TELAS!$A$4:$C$32,3,FALSE()),0)</f>
        <v>0</v>
      </c>
      <c r="G689" s="102">
        <f>IFERROR(IF(D689="OSCURO",VLOOKUP(B689,PRECIOS!$A$4:$F$32,2,FALSE()),IF(D689="CLARO",VLOOKUP(B689,PRECIOS!$A$4:$F$32,3,FALSE()),IF(D689="MELANGE",VLOOKUP(B689,PRECIOS!$A$4:$F$32,4,FALSE()),IF(D689="PPT",VLOOKUP(B689,PRECIOS!$A$4:$F$32,5,FALSE()),0)))),0)</f>
        <v>19</v>
      </c>
      <c r="H689" s="103">
        <f t="shared" si="1"/>
        <v>0</v>
      </c>
      <c r="I689" s="104" t="str">
        <f>IF(E689&lt;0,"ERROR",IF(E689=0,"",IF(E689&lt;CONFIG!$B$4,"CRÍTICO",IF(E689&lt;CONFIG!$B$5,"BAJO","OK"))))</f>
        <v/>
      </c>
    </row>
    <row r="690" ht="15.75" customHeight="1">
      <c r="A690" s="90" t="str">
        <f>IF(CLIENTES!A8="","",CLIENTES!A8)</f>
        <v/>
      </c>
      <c r="B690" s="67" t="str">
        <f>TELAS!A10</f>
        <v>jersey full lycra 30/1</v>
      </c>
      <c r="C690" s="67" t="str">
        <f>COLORES!A10</f>
        <v>Botella</v>
      </c>
      <c r="D690" s="67" t="str">
        <f>COLORES!B10</f>
        <v>OSCURO</v>
      </c>
      <c r="E690" s="100">
        <f>IFERROR(SUMIFS(MOVIMIENTOS!$F$4:$F$1000,MOVIMIENTOS!$C$4:$C$1000,A690,MOVIMIENTOS!$D$4:$D$1000,B690,MOVIMIENTOS!$E$4:$E$1000,C690,MOVIMIENTOS!$B$4:$B$1000,"INGRESO")+SUMIFS(MOVIMIENTOS!$F$4:$F$1000,MOVIMIENTOS!$C$4:$C$1000,A690,MOVIMIENTOS!$D$4:$D$1000,B690,MOVIMIENTOS!$E$4:$E$1000,C690,MOVIMIENTOS!$B$4:$B$1000,"DE REPROCESO")+SUMIFS(MOVIMIENTOS!$F$4:$F$1000,MOVIMIENTOS!$C$4:$C$1000,A690,MOVIMIENTOS!$D$4:$D$1000,B690,MOVIMIENTOS!$E$4:$E$1000,C690,MOVIMIENTOS!$B$4:$B$1000,"AJUSTE+")-SUMIFS(MOVIMIENTOS!$F$4:$F$1000,MOVIMIENTOS!$C$4:$C$1000,A690,MOVIMIENTOS!$D$4:$D$1000,B690,MOVIMIENTOS!$E$4:$E$1000,C690,MOVIMIENTOS!$B$4:$B$1000,"A CORTE")-SUMIFS(MOVIMIENTOS!$F$4:$F$1000,MOVIMIENTOS!$C$4:$C$1000,A690,MOVIMIENTOS!$D$4:$D$1000,B690,MOVIMIENTOS!$E$4:$E$1000,C690,MOVIMIENTOS!$B$4:$B$1000,"A REPROCESO")-SUMIFS(MOVIMIENTOS!$F$4:$F$1000,MOVIMIENTOS!$C$4:$C$1000,A690,MOVIMIENTOS!$D$4:$D$1000,B690,MOVIMIENTOS!$E$4:$E$1000,C690,MOVIMIENTOS!$B$4:$B$1000,"MUESTRA")-SUMIFS(MOVIMIENTOS!$F$4:$F$1000,MOVIMIENTOS!$C$4:$C$1000,A690,MOVIMIENTOS!$D$4:$D$1000,B690,MOVIMIENTOS!$E$4:$E$1000,C690,MOVIMIENTOS!$B$4:$B$1000,"AJUSTE-"),0)</f>
        <v>0</v>
      </c>
      <c r="F690" s="101">
        <f>IFERROR(E690*VLOOKUP(B690,TELAS!$A$4:$C$32,3,FALSE()),0)</f>
        <v>0</v>
      </c>
      <c r="G690" s="102">
        <f>IFERROR(IF(D690="OSCURO",VLOOKUP(B690,PRECIOS!$A$4:$F$32,2,FALSE()),IF(D690="CLARO",VLOOKUP(B690,PRECIOS!$A$4:$F$32,3,FALSE()),IF(D690="MELANGE",VLOOKUP(B690,PRECIOS!$A$4:$F$32,4,FALSE()),IF(D690="PPT",VLOOKUP(B690,PRECIOS!$A$4:$F$32,5,FALSE()),0)))),0)</f>
        <v>26</v>
      </c>
      <c r="H690" s="103">
        <f t="shared" si="1"/>
        <v>0</v>
      </c>
      <c r="I690" s="104" t="str">
        <f>IF(E690&lt;0,"ERROR",IF(E690=0,"",IF(E690&lt;CONFIG!$B$4,"CRÍTICO",IF(E690&lt;CONFIG!$B$5,"BAJO","OK"))))</f>
        <v/>
      </c>
    </row>
    <row r="691" ht="15.75" customHeight="1">
      <c r="A691" s="90" t="str">
        <f>IF(CLIENTES!A8="","",CLIENTES!A8)</f>
        <v/>
      </c>
      <c r="B691" s="67" t="str">
        <f>TELAS!A10</f>
        <v>jersey full lycra 30/1</v>
      </c>
      <c r="C691" s="67" t="str">
        <f>COLORES!A11</f>
        <v>Pacay</v>
      </c>
      <c r="D691" s="67" t="str">
        <f>COLORES!B11</f>
        <v>CLARO</v>
      </c>
      <c r="E691" s="100">
        <f>IFERROR(SUMIFS(MOVIMIENTOS!$F$4:$F$1000,MOVIMIENTOS!$C$4:$C$1000,A691,MOVIMIENTOS!$D$4:$D$1000,B691,MOVIMIENTOS!$E$4:$E$1000,C691,MOVIMIENTOS!$B$4:$B$1000,"INGRESO")+SUMIFS(MOVIMIENTOS!$F$4:$F$1000,MOVIMIENTOS!$C$4:$C$1000,A691,MOVIMIENTOS!$D$4:$D$1000,B691,MOVIMIENTOS!$E$4:$E$1000,C691,MOVIMIENTOS!$B$4:$B$1000,"DE REPROCESO")+SUMIFS(MOVIMIENTOS!$F$4:$F$1000,MOVIMIENTOS!$C$4:$C$1000,A691,MOVIMIENTOS!$D$4:$D$1000,B691,MOVIMIENTOS!$E$4:$E$1000,C691,MOVIMIENTOS!$B$4:$B$1000,"AJUSTE+")-SUMIFS(MOVIMIENTOS!$F$4:$F$1000,MOVIMIENTOS!$C$4:$C$1000,A691,MOVIMIENTOS!$D$4:$D$1000,B691,MOVIMIENTOS!$E$4:$E$1000,C691,MOVIMIENTOS!$B$4:$B$1000,"A CORTE")-SUMIFS(MOVIMIENTOS!$F$4:$F$1000,MOVIMIENTOS!$C$4:$C$1000,A691,MOVIMIENTOS!$D$4:$D$1000,B691,MOVIMIENTOS!$E$4:$E$1000,C691,MOVIMIENTOS!$B$4:$B$1000,"A REPROCESO")-SUMIFS(MOVIMIENTOS!$F$4:$F$1000,MOVIMIENTOS!$C$4:$C$1000,A691,MOVIMIENTOS!$D$4:$D$1000,B691,MOVIMIENTOS!$E$4:$E$1000,C691,MOVIMIENTOS!$B$4:$B$1000,"MUESTRA")-SUMIFS(MOVIMIENTOS!$F$4:$F$1000,MOVIMIENTOS!$C$4:$C$1000,A691,MOVIMIENTOS!$D$4:$D$1000,B691,MOVIMIENTOS!$E$4:$E$1000,C691,MOVIMIENTOS!$B$4:$B$1000,"AJUSTE-"),0)</f>
        <v>0</v>
      </c>
      <c r="F691" s="101">
        <f>IFERROR(E691*VLOOKUP(B691,TELAS!$A$4:$C$32,3,FALSE()),0)</f>
        <v>0</v>
      </c>
      <c r="G691" s="102">
        <f>IFERROR(IF(D691="OSCURO",VLOOKUP(B691,PRECIOS!$A$4:$F$32,2,FALSE()),IF(D691="CLARO",VLOOKUP(B691,PRECIOS!$A$4:$F$32,3,FALSE()),IF(D691="MELANGE",VLOOKUP(B691,PRECIOS!$A$4:$F$32,4,FALSE()),IF(D691="PPT",VLOOKUP(B691,PRECIOS!$A$4:$F$32,5,FALSE()),0)))),0)</f>
        <v>22.5</v>
      </c>
      <c r="H691" s="103">
        <f t="shared" si="1"/>
        <v>0</v>
      </c>
      <c r="I691" s="104" t="str">
        <f>IF(E691&lt;0,"ERROR",IF(E691=0,"",IF(E691&lt;CONFIG!$B$4,"CRÍTICO",IF(E691&lt;CONFIG!$B$5,"BAJO","OK"))))</f>
        <v/>
      </c>
    </row>
    <row r="692" ht="15.75" customHeight="1">
      <c r="A692" s="90" t="str">
        <f>IF(CLIENTES!A8="","",CLIENTES!A8)</f>
        <v/>
      </c>
      <c r="B692" s="67" t="str">
        <f>TELAS!A10</f>
        <v>jersey full lycra 30/1</v>
      </c>
      <c r="C692" s="67" t="str">
        <f>COLORES!A12</f>
        <v>Cemento</v>
      </c>
      <c r="D692" s="67" t="str">
        <f>COLORES!B12</f>
        <v>CLARO</v>
      </c>
      <c r="E692" s="100">
        <f>IFERROR(SUMIFS(MOVIMIENTOS!$F$4:$F$1000,MOVIMIENTOS!$C$4:$C$1000,A692,MOVIMIENTOS!$D$4:$D$1000,B692,MOVIMIENTOS!$E$4:$E$1000,C692,MOVIMIENTOS!$B$4:$B$1000,"INGRESO")+SUMIFS(MOVIMIENTOS!$F$4:$F$1000,MOVIMIENTOS!$C$4:$C$1000,A692,MOVIMIENTOS!$D$4:$D$1000,B692,MOVIMIENTOS!$E$4:$E$1000,C692,MOVIMIENTOS!$B$4:$B$1000,"DE REPROCESO")+SUMIFS(MOVIMIENTOS!$F$4:$F$1000,MOVIMIENTOS!$C$4:$C$1000,A692,MOVIMIENTOS!$D$4:$D$1000,B692,MOVIMIENTOS!$E$4:$E$1000,C692,MOVIMIENTOS!$B$4:$B$1000,"AJUSTE+")-SUMIFS(MOVIMIENTOS!$F$4:$F$1000,MOVIMIENTOS!$C$4:$C$1000,A692,MOVIMIENTOS!$D$4:$D$1000,B692,MOVIMIENTOS!$E$4:$E$1000,C692,MOVIMIENTOS!$B$4:$B$1000,"A CORTE")-SUMIFS(MOVIMIENTOS!$F$4:$F$1000,MOVIMIENTOS!$C$4:$C$1000,A692,MOVIMIENTOS!$D$4:$D$1000,B692,MOVIMIENTOS!$E$4:$E$1000,C692,MOVIMIENTOS!$B$4:$B$1000,"A REPROCESO")-SUMIFS(MOVIMIENTOS!$F$4:$F$1000,MOVIMIENTOS!$C$4:$C$1000,A692,MOVIMIENTOS!$D$4:$D$1000,B692,MOVIMIENTOS!$E$4:$E$1000,C692,MOVIMIENTOS!$B$4:$B$1000,"MUESTRA")-SUMIFS(MOVIMIENTOS!$F$4:$F$1000,MOVIMIENTOS!$C$4:$C$1000,A692,MOVIMIENTOS!$D$4:$D$1000,B692,MOVIMIENTOS!$E$4:$E$1000,C692,MOVIMIENTOS!$B$4:$B$1000,"AJUSTE-"),0)</f>
        <v>0</v>
      </c>
      <c r="F692" s="101">
        <f>IFERROR(E692*VLOOKUP(B692,TELAS!$A$4:$C$32,3,FALSE()),0)</f>
        <v>0</v>
      </c>
      <c r="G692" s="102">
        <f>IFERROR(IF(D692="OSCURO",VLOOKUP(B692,PRECIOS!$A$4:$F$32,2,FALSE()),IF(D692="CLARO",VLOOKUP(B692,PRECIOS!$A$4:$F$32,3,FALSE()),IF(D692="MELANGE",VLOOKUP(B692,PRECIOS!$A$4:$F$32,4,FALSE()),IF(D692="PPT",VLOOKUP(B692,PRECIOS!$A$4:$F$32,5,FALSE()),0)))),0)</f>
        <v>22.5</v>
      </c>
      <c r="H692" s="103">
        <f t="shared" si="1"/>
        <v>0</v>
      </c>
      <c r="I692" s="104" t="str">
        <f>IF(E692&lt;0,"ERROR",IF(E692=0,"",IF(E692&lt;CONFIG!$B$4,"CRÍTICO",IF(E692&lt;CONFIG!$B$5,"BAJO","OK"))))</f>
        <v/>
      </c>
    </row>
    <row r="693" ht="15.75" customHeight="1">
      <c r="A693" s="90" t="str">
        <f>IF(CLIENTES!A8="","",CLIENTES!A8)</f>
        <v/>
      </c>
      <c r="B693" s="67" t="str">
        <f>TELAS!A10</f>
        <v>jersey full lycra 30/1</v>
      </c>
      <c r="C693" s="67" t="str">
        <f>COLORES!A13</f>
        <v>Camote</v>
      </c>
      <c r="D693" s="67" t="str">
        <f>COLORES!B13</f>
        <v>CLARO</v>
      </c>
      <c r="E693" s="100">
        <f>IFERROR(SUMIFS(MOVIMIENTOS!$F$4:$F$1000,MOVIMIENTOS!$C$4:$C$1000,A693,MOVIMIENTOS!$D$4:$D$1000,B693,MOVIMIENTOS!$E$4:$E$1000,C693,MOVIMIENTOS!$B$4:$B$1000,"INGRESO")+SUMIFS(MOVIMIENTOS!$F$4:$F$1000,MOVIMIENTOS!$C$4:$C$1000,A693,MOVIMIENTOS!$D$4:$D$1000,B693,MOVIMIENTOS!$E$4:$E$1000,C693,MOVIMIENTOS!$B$4:$B$1000,"DE REPROCESO")+SUMIFS(MOVIMIENTOS!$F$4:$F$1000,MOVIMIENTOS!$C$4:$C$1000,A693,MOVIMIENTOS!$D$4:$D$1000,B693,MOVIMIENTOS!$E$4:$E$1000,C693,MOVIMIENTOS!$B$4:$B$1000,"AJUSTE+")-SUMIFS(MOVIMIENTOS!$F$4:$F$1000,MOVIMIENTOS!$C$4:$C$1000,A693,MOVIMIENTOS!$D$4:$D$1000,B693,MOVIMIENTOS!$E$4:$E$1000,C693,MOVIMIENTOS!$B$4:$B$1000,"A CORTE")-SUMIFS(MOVIMIENTOS!$F$4:$F$1000,MOVIMIENTOS!$C$4:$C$1000,A693,MOVIMIENTOS!$D$4:$D$1000,B693,MOVIMIENTOS!$E$4:$E$1000,C693,MOVIMIENTOS!$B$4:$B$1000,"A REPROCESO")-SUMIFS(MOVIMIENTOS!$F$4:$F$1000,MOVIMIENTOS!$C$4:$C$1000,A693,MOVIMIENTOS!$D$4:$D$1000,B693,MOVIMIENTOS!$E$4:$E$1000,C693,MOVIMIENTOS!$B$4:$B$1000,"MUESTRA")-SUMIFS(MOVIMIENTOS!$F$4:$F$1000,MOVIMIENTOS!$C$4:$C$1000,A693,MOVIMIENTOS!$D$4:$D$1000,B693,MOVIMIENTOS!$E$4:$E$1000,C693,MOVIMIENTOS!$B$4:$B$1000,"AJUSTE-"),0)</f>
        <v>0</v>
      </c>
      <c r="F693" s="101">
        <f>IFERROR(E693*VLOOKUP(B693,TELAS!$A$4:$C$32,3,FALSE()),0)</f>
        <v>0</v>
      </c>
      <c r="G693" s="102">
        <f>IFERROR(IF(D693="OSCURO",VLOOKUP(B693,PRECIOS!$A$4:$F$32,2,FALSE()),IF(D693="CLARO",VLOOKUP(B693,PRECIOS!$A$4:$F$32,3,FALSE()),IF(D693="MELANGE",VLOOKUP(B693,PRECIOS!$A$4:$F$32,4,FALSE()),IF(D693="PPT",VLOOKUP(B693,PRECIOS!$A$4:$F$32,5,FALSE()),0)))),0)</f>
        <v>22.5</v>
      </c>
      <c r="H693" s="103">
        <f t="shared" si="1"/>
        <v>0</v>
      </c>
      <c r="I693" s="104" t="str">
        <f>IF(E693&lt;0,"ERROR",IF(E693=0,"",IF(E693&lt;CONFIG!$B$4,"CRÍTICO",IF(E693&lt;CONFIG!$B$5,"BAJO","OK"))))</f>
        <v/>
      </c>
    </row>
    <row r="694" ht="15.75" customHeight="1">
      <c r="A694" s="90" t="str">
        <f>IF(CLIENTES!A8="","",CLIENTES!A8)</f>
        <v/>
      </c>
      <c r="B694" s="67" t="str">
        <f>TELAS!A10</f>
        <v>jersey full lycra 30/1</v>
      </c>
      <c r="C694" s="67" t="str">
        <f>COLORES!A14</f>
        <v>Denim</v>
      </c>
      <c r="D694" s="67" t="str">
        <f>COLORES!B14</f>
        <v>CLARO</v>
      </c>
      <c r="E694" s="100">
        <f>IFERROR(SUMIFS(MOVIMIENTOS!$F$4:$F$1000,MOVIMIENTOS!$C$4:$C$1000,A694,MOVIMIENTOS!$D$4:$D$1000,B694,MOVIMIENTOS!$E$4:$E$1000,C694,MOVIMIENTOS!$B$4:$B$1000,"INGRESO")+SUMIFS(MOVIMIENTOS!$F$4:$F$1000,MOVIMIENTOS!$C$4:$C$1000,A694,MOVIMIENTOS!$D$4:$D$1000,B694,MOVIMIENTOS!$E$4:$E$1000,C694,MOVIMIENTOS!$B$4:$B$1000,"DE REPROCESO")+SUMIFS(MOVIMIENTOS!$F$4:$F$1000,MOVIMIENTOS!$C$4:$C$1000,A694,MOVIMIENTOS!$D$4:$D$1000,B694,MOVIMIENTOS!$E$4:$E$1000,C694,MOVIMIENTOS!$B$4:$B$1000,"AJUSTE+")-SUMIFS(MOVIMIENTOS!$F$4:$F$1000,MOVIMIENTOS!$C$4:$C$1000,A694,MOVIMIENTOS!$D$4:$D$1000,B694,MOVIMIENTOS!$E$4:$E$1000,C694,MOVIMIENTOS!$B$4:$B$1000,"A CORTE")-SUMIFS(MOVIMIENTOS!$F$4:$F$1000,MOVIMIENTOS!$C$4:$C$1000,A694,MOVIMIENTOS!$D$4:$D$1000,B694,MOVIMIENTOS!$E$4:$E$1000,C694,MOVIMIENTOS!$B$4:$B$1000,"A REPROCESO")-SUMIFS(MOVIMIENTOS!$F$4:$F$1000,MOVIMIENTOS!$C$4:$C$1000,A694,MOVIMIENTOS!$D$4:$D$1000,B694,MOVIMIENTOS!$E$4:$E$1000,C694,MOVIMIENTOS!$B$4:$B$1000,"MUESTRA")-SUMIFS(MOVIMIENTOS!$F$4:$F$1000,MOVIMIENTOS!$C$4:$C$1000,A694,MOVIMIENTOS!$D$4:$D$1000,B694,MOVIMIENTOS!$E$4:$E$1000,C694,MOVIMIENTOS!$B$4:$B$1000,"AJUSTE-"),0)</f>
        <v>0</v>
      </c>
      <c r="F694" s="101">
        <f>IFERROR(E694*VLOOKUP(B694,TELAS!$A$4:$C$32,3,FALSE()),0)</f>
        <v>0</v>
      </c>
      <c r="G694" s="102">
        <f>IFERROR(IF(D694="OSCURO",VLOOKUP(B694,PRECIOS!$A$4:$F$32,2,FALSE()),IF(D694="CLARO",VLOOKUP(B694,PRECIOS!$A$4:$F$32,3,FALSE()),IF(D694="MELANGE",VLOOKUP(B694,PRECIOS!$A$4:$F$32,4,FALSE()),IF(D694="PPT",VLOOKUP(B694,PRECIOS!$A$4:$F$32,5,FALSE()),0)))),0)</f>
        <v>22.5</v>
      </c>
      <c r="H694" s="103">
        <f t="shared" si="1"/>
        <v>0</v>
      </c>
      <c r="I694" s="104" t="str">
        <f>IF(E694&lt;0,"ERROR",IF(E694=0,"",IF(E694&lt;CONFIG!$B$4,"CRÍTICO",IF(E694&lt;CONFIG!$B$5,"BAJO","OK"))))</f>
        <v/>
      </c>
    </row>
    <row r="695" ht="15.75" customHeight="1">
      <c r="A695" s="90" t="str">
        <f>IF(CLIENTES!A8="","",CLIENTES!A8)</f>
        <v/>
      </c>
      <c r="B695" s="67" t="str">
        <f>TELAS!A10</f>
        <v>jersey full lycra 30/1</v>
      </c>
      <c r="C695" s="67" t="str">
        <f>COLORES!A15</f>
        <v>Plomo</v>
      </c>
      <c r="D695" s="67" t="str">
        <f>COLORES!B15</f>
        <v>OSCURO</v>
      </c>
      <c r="E695" s="100">
        <f>IFERROR(SUMIFS(MOVIMIENTOS!$F$4:$F$1000,MOVIMIENTOS!$C$4:$C$1000,A695,MOVIMIENTOS!$D$4:$D$1000,B695,MOVIMIENTOS!$E$4:$E$1000,C695,MOVIMIENTOS!$B$4:$B$1000,"INGRESO")+SUMIFS(MOVIMIENTOS!$F$4:$F$1000,MOVIMIENTOS!$C$4:$C$1000,A695,MOVIMIENTOS!$D$4:$D$1000,B695,MOVIMIENTOS!$E$4:$E$1000,C695,MOVIMIENTOS!$B$4:$B$1000,"DE REPROCESO")+SUMIFS(MOVIMIENTOS!$F$4:$F$1000,MOVIMIENTOS!$C$4:$C$1000,A695,MOVIMIENTOS!$D$4:$D$1000,B695,MOVIMIENTOS!$E$4:$E$1000,C695,MOVIMIENTOS!$B$4:$B$1000,"AJUSTE+")-SUMIFS(MOVIMIENTOS!$F$4:$F$1000,MOVIMIENTOS!$C$4:$C$1000,A695,MOVIMIENTOS!$D$4:$D$1000,B695,MOVIMIENTOS!$E$4:$E$1000,C695,MOVIMIENTOS!$B$4:$B$1000,"A CORTE")-SUMIFS(MOVIMIENTOS!$F$4:$F$1000,MOVIMIENTOS!$C$4:$C$1000,A695,MOVIMIENTOS!$D$4:$D$1000,B695,MOVIMIENTOS!$E$4:$E$1000,C695,MOVIMIENTOS!$B$4:$B$1000,"A REPROCESO")-SUMIFS(MOVIMIENTOS!$F$4:$F$1000,MOVIMIENTOS!$C$4:$C$1000,A695,MOVIMIENTOS!$D$4:$D$1000,B695,MOVIMIENTOS!$E$4:$E$1000,C695,MOVIMIENTOS!$B$4:$B$1000,"MUESTRA")-SUMIFS(MOVIMIENTOS!$F$4:$F$1000,MOVIMIENTOS!$C$4:$C$1000,A695,MOVIMIENTOS!$D$4:$D$1000,B695,MOVIMIENTOS!$E$4:$E$1000,C695,MOVIMIENTOS!$B$4:$B$1000,"AJUSTE-"),0)</f>
        <v>0</v>
      </c>
      <c r="F695" s="101">
        <f>IFERROR(E695*VLOOKUP(B695,TELAS!$A$4:$C$32,3,FALSE()),0)</f>
        <v>0</v>
      </c>
      <c r="G695" s="102">
        <f>IFERROR(IF(D695="OSCURO",VLOOKUP(B695,PRECIOS!$A$4:$F$32,2,FALSE()),IF(D695="CLARO",VLOOKUP(B695,PRECIOS!$A$4:$F$32,3,FALSE()),IF(D695="MELANGE",VLOOKUP(B695,PRECIOS!$A$4:$F$32,4,FALSE()),IF(D695="PPT",VLOOKUP(B695,PRECIOS!$A$4:$F$32,5,FALSE()),0)))),0)</f>
        <v>26</v>
      </c>
      <c r="H695" s="103">
        <f t="shared" si="1"/>
        <v>0</v>
      </c>
      <c r="I695" s="104" t="str">
        <f>IF(E695&lt;0,"ERROR",IF(E695=0,"",IF(E695&lt;CONFIG!$B$4,"CRÍTICO",IF(E695&lt;CONFIG!$B$5,"BAJO","OK"))))</f>
        <v/>
      </c>
    </row>
    <row r="696" ht="15.75" customHeight="1">
      <c r="A696" s="90" t="str">
        <f>IF(CLIENTES!A8="","",CLIENTES!A8)</f>
        <v/>
      </c>
      <c r="B696" s="67" t="str">
        <f>TELAS!A10</f>
        <v>jersey full lycra 30/1</v>
      </c>
      <c r="C696" s="67" t="str">
        <f>COLORES!A16</f>
        <v>Topo</v>
      </c>
      <c r="D696" s="67" t="str">
        <f>COLORES!B16</f>
        <v>CLARO</v>
      </c>
      <c r="E696" s="100">
        <f>IFERROR(SUMIFS(MOVIMIENTOS!$F$4:$F$1000,MOVIMIENTOS!$C$4:$C$1000,A696,MOVIMIENTOS!$D$4:$D$1000,B696,MOVIMIENTOS!$E$4:$E$1000,C696,MOVIMIENTOS!$B$4:$B$1000,"INGRESO")+SUMIFS(MOVIMIENTOS!$F$4:$F$1000,MOVIMIENTOS!$C$4:$C$1000,A696,MOVIMIENTOS!$D$4:$D$1000,B696,MOVIMIENTOS!$E$4:$E$1000,C696,MOVIMIENTOS!$B$4:$B$1000,"DE REPROCESO")+SUMIFS(MOVIMIENTOS!$F$4:$F$1000,MOVIMIENTOS!$C$4:$C$1000,A696,MOVIMIENTOS!$D$4:$D$1000,B696,MOVIMIENTOS!$E$4:$E$1000,C696,MOVIMIENTOS!$B$4:$B$1000,"AJUSTE+")-SUMIFS(MOVIMIENTOS!$F$4:$F$1000,MOVIMIENTOS!$C$4:$C$1000,A696,MOVIMIENTOS!$D$4:$D$1000,B696,MOVIMIENTOS!$E$4:$E$1000,C696,MOVIMIENTOS!$B$4:$B$1000,"A CORTE")-SUMIFS(MOVIMIENTOS!$F$4:$F$1000,MOVIMIENTOS!$C$4:$C$1000,A696,MOVIMIENTOS!$D$4:$D$1000,B696,MOVIMIENTOS!$E$4:$E$1000,C696,MOVIMIENTOS!$B$4:$B$1000,"A REPROCESO")-SUMIFS(MOVIMIENTOS!$F$4:$F$1000,MOVIMIENTOS!$C$4:$C$1000,A696,MOVIMIENTOS!$D$4:$D$1000,B696,MOVIMIENTOS!$E$4:$E$1000,C696,MOVIMIENTOS!$B$4:$B$1000,"MUESTRA")-SUMIFS(MOVIMIENTOS!$F$4:$F$1000,MOVIMIENTOS!$C$4:$C$1000,A696,MOVIMIENTOS!$D$4:$D$1000,B696,MOVIMIENTOS!$E$4:$E$1000,C696,MOVIMIENTOS!$B$4:$B$1000,"AJUSTE-"),0)</f>
        <v>0</v>
      </c>
      <c r="F696" s="101">
        <f>IFERROR(E696*VLOOKUP(B696,TELAS!$A$4:$C$32,3,FALSE()),0)</f>
        <v>0</v>
      </c>
      <c r="G696" s="102">
        <f>IFERROR(IF(D696="OSCURO",VLOOKUP(B696,PRECIOS!$A$4:$F$32,2,FALSE()),IF(D696="CLARO",VLOOKUP(B696,PRECIOS!$A$4:$F$32,3,FALSE()),IF(D696="MELANGE",VLOOKUP(B696,PRECIOS!$A$4:$F$32,4,FALSE()),IF(D696="PPT",VLOOKUP(B696,PRECIOS!$A$4:$F$32,5,FALSE()),0)))),0)</f>
        <v>22.5</v>
      </c>
      <c r="H696" s="103">
        <f t="shared" si="1"/>
        <v>0</v>
      </c>
      <c r="I696" s="104" t="str">
        <f>IF(E696&lt;0,"ERROR",IF(E696=0,"",IF(E696&lt;CONFIG!$B$4,"CRÍTICO",IF(E696&lt;CONFIG!$B$5,"BAJO","OK"))))</f>
        <v/>
      </c>
    </row>
    <row r="697" ht="15.75" customHeight="1">
      <c r="A697" s="90" t="str">
        <f>IF(CLIENTES!A8="","",CLIENTES!A8)</f>
        <v/>
      </c>
      <c r="B697" s="67" t="str">
        <f>TELAS!A10</f>
        <v>jersey full lycra 30/1</v>
      </c>
      <c r="C697" s="67" t="str">
        <f>COLORES!A17</f>
        <v>Vino</v>
      </c>
      <c r="D697" s="67" t="str">
        <f>COLORES!B17</f>
        <v>OSCURO</v>
      </c>
      <c r="E697" s="100">
        <f>IFERROR(SUMIFS(MOVIMIENTOS!$F$4:$F$1000,MOVIMIENTOS!$C$4:$C$1000,A697,MOVIMIENTOS!$D$4:$D$1000,B697,MOVIMIENTOS!$E$4:$E$1000,C697,MOVIMIENTOS!$B$4:$B$1000,"INGRESO")+SUMIFS(MOVIMIENTOS!$F$4:$F$1000,MOVIMIENTOS!$C$4:$C$1000,A697,MOVIMIENTOS!$D$4:$D$1000,B697,MOVIMIENTOS!$E$4:$E$1000,C697,MOVIMIENTOS!$B$4:$B$1000,"DE REPROCESO")+SUMIFS(MOVIMIENTOS!$F$4:$F$1000,MOVIMIENTOS!$C$4:$C$1000,A697,MOVIMIENTOS!$D$4:$D$1000,B697,MOVIMIENTOS!$E$4:$E$1000,C697,MOVIMIENTOS!$B$4:$B$1000,"AJUSTE+")-SUMIFS(MOVIMIENTOS!$F$4:$F$1000,MOVIMIENTOS!$C$4:$C$1000,A697,MOVIMIENTOS!$D$4:$D$1000,B697,MOVIMIENTOS!$E$4:$E$1000,C697,MOVIMIENTOS!$B$4:$B$1000,"A CORTE")-SUMIFS(MOVIMIENTOS!$F$4:$F$1000,MOVIMIENTOS!$C$4:$C$1000,A697,MOVIMIENTOS!$D$4:$D$1000,B697,MOVIMIENTOS!$E$4:$E$1000,C697,MOVIMIENTOS!$B$4:$B$1000,"A REPROCESO")-SUMIFS(MOVIMIENTOS!$F$4:$F$1000,MOVIMIENTOS!$C$4:$C$1000,A697,MOVIMIENTOS!$D$4:$D$1000,B697,MOVIMIENTOS!$E$4:$E$1000,C697,MOVIMIENTOS!$B$4:$B$1000,"MUESTRA")-SUMIFS(MOVIMIENTOS!$F$4:$F$1000,MOVIMIENTOS!$C$4:$C$1000,A697,MOVIMIENTOS!$D$4:$D$1000,B697,MOVIMIENTOS!$E$4:$E$1000,C697,MOVIMIENTOS!$B$4:$B$1000,"AJUSTE-"),0)</f>
        <v>0</v>
      </c>
      <c r="F697" s="101">
        <f>IFERROR(E697*VLOOKUP(B697,TELAS!$A$4:$C$32,3,FALSE()),0)</f>
        <v>0</v>
      </c>
      <c r="G697" s="102">
        <f>IFERROR(IF(D697="OSCURO",VLOOKUP(B697,PRECIOS!$A$4:$F$32,2,FALSE()),IF(D697="CLARO",VLOOKUP(B697,PRECIOS!$A$4:$F$32,3,FALSE()),IF(D697="MELANGE",VLOOKUP(B697,PRECIOS!$A$4:$F$32,4,FALSE()),IF(D697="PPT",VLOOKUP(B697,PRECIOS!$A$4:$F$32,5,FALSE()),0)))),0)</f>
        <v>26</v>
      </c>
      <c r="H697" s="103">
        <f t="shared" si="1"/>
        <v>0</v>
      </c>
      <c r="I697" s="104" t="str">
        <f>IF(E697&lt;0,"ERROR",IF(E697=0,"",IF(E697&lt;CONFIG!$B$4,"CRÍTICO",IF(E697&lt;CONFIG!$B$5,"BAJO","OK"))))</f>
        <v/>
      </c>
    </row>
    <row r="698" ht="15.75" customHeight="1">
      <c r="A698" s="90" t="str">
        <f>IF(CLIENTES!A8="","",CLIENTES!A8)</f>
        <v/>
      </c>
      <c r="B698" s="67" t="str">
        <f>TELAS!A10</f>
        <v>jersey full lycra 30/1</v>
      </c>
      <c r="C698" s="67" t="str">
        <f>COLORES!A18</f>
        <v>P. Rosa</v>
      </c>
      <c r="D698" s="67" t="str">
        <f>COLORES!B18</f>
        <v>CLARO</v>
      </c>
      <c r="E698" s="100">
        <f>IFERROR(SUMIFS(MOVIMIENTOS!$F$4:$F$1000,MOVIMIENTOS!$C$4:$C$1000,A698,MOVIMIENTOS!$D$4:$D$1000,B698,MOVIMIENTOS!$E$4:$E$1000,C698,MOVIMIENTOS!$B$4:$B$1000,"INGRESO")+SUMIFS(MOVIMIENTOS!$F$4:$F$1000,MOVIMIENTOS!$C$4:$C$1000,A698,MOVIMIENTOS!$D$4:$D$1000,B698,MOVIMIENTOS!$E$4:$E$1000,C698,MOVIMIENTOS!$B$4:$B$1000,"DE REPROCESO")+SUMIFS(MOVIMIENTOS!$F$4:$F$1000,MOVIMIENTOS!$C$4:$C$1000,A698,MOVIMIENTOS!$D$4:$D$1000,B698,MOVIMIENTOS!$E$4:$E$1000,C698,MOVIMIENTOS!$B$4:$B$1000,"AJUSTE+")-SUMIFS(MOVIMIENTOS!$F$4:$F$1000,MOVIMIENTOS!$C$4:$C$1000,A698,MOVIMIENTOS!$D$4:$D$1000,B698,MOVIMIENTOS!$E$4:$E$1000,C698,MOVIMIENTOS!$B$4:$B$1000,"A CORTE")-SUMIFS(MOVIMIENTOS!$F$4:$F$1000,MOVIMIENTOS!$C$4:$C$1000,A698,MOVIMIENTOS!$D$4:$D$1000,B698,MOVIMIENTOS!$E$4:$E$1000,C698,MOVIMIENTOS!$B$4:$B$1000,"A REPROCESO")-SUMIFS(MOVIMIENTOS!$F$4:$F$1000,MOVIMIENTOS!$C$4:$C$1000,A698,MOVIMIENTOS!$D$4:$D$1000,B698,MOVIMIENTOS!$E$4:$E$1000,C698,MOVIMIENTOS!$B$4:$B$1000,"MUESTRA")-SUMIFS(MOVIMIENTOS!$F$4:$F$1000,MOVIMIENTOS!$C$4:$C$1000,A698,MOVIMIENTOS!$D$4:$D$1000,B698,MOVIMIENTOS!$E$4:$E$1000,C698,MOVIMIENTOS!$B$4:$B$1000,"AJUSTE-"),0)</f>
        <v>0</v>
      </c>
      <c r="F698" s="101">
        <f>IFERROR(E698*VLOOKUP(B698,TELAS!$A$4:$C$32,3,FALSE()),0)</f>
        <v>0</v>
      </c>
      <c r="G698" s="102">
        <f>IFERROR(IF(D698="OSCURO",VLOOKUP(B698,PRECIOS!$A$4:$F$32,2,FALSE()),IF(D698="CLARO",VLOOKUP(B698,PRECIOS!$A$4:$F$32,3,FALSE()),IF(D698="MELANGE",VLOOKUP(B698,PRECIOS!$A$4:$F$32,4,FALSE()),IF(D698="PPT",VLOOKUP(B698,PRECIOS!$A$4:$F$32,5,FALSE()),0)))),0)</f>
        <v>22.5</v>
      </c>
      <c r="H698" s="103">
        <f t="shared" si="1"/>
        <v>0</v>
      </c>
      <c r="I698" s="104" t="str">
        <f>IF(E698&lt;0,"ERROR",IF(E698=0,"",IF(E698&lt;CONFIG!$B$4,"CRÍTICO",IF(E698&lt;CONFIG!$B$5,"BAJO","OK"))))</f>
        <v/>
      </c>
    </row>
    <row r="699" ht="15.75" customHeight="1">
      <c r="A699" s="90" t="str">
        <f>IF(CLIENTES!A8="","",CLIENTES!A8)</f>
        <v/>
      </c>
      <c r="B699" s="67" t="str">
        <f>TELAS!A10</f>
        <v>jersey full lycra 30/1</v>
      </c>
      <c r="C699" s="67" t="str">
        <f>COLORES!A19</f>
        <v/>
      </c>
      <c r="D699" s="67" t="str">
        <f>COLORES!B19</f>
        <v/>
      </c>
      <c r="E699" s="100">
        <f>IFERROR(SUMIFS(MOVIMIENTOS!$F$4:$F$1000,MOVIMIENTOS!$C$4:$C$1000,A699,MOVIMIENTOS!$D$4:$D$1000,B699,MOVIMIENTOS!$E$4:$E$1000,C699,MOVIMIENTOS!$B$4:$B$1000,"INGRESO")+SUMIFS(MOVIMIENTOS!$F$4:$F$1000,MOVIMIENTOS!$C$4:$C$1000,A699,MOVIMIENTOS!$D$4:$D$1000,B699,MOVIMIENTOS!$E$4:$E$1000,C699,MOVIMIENTOS!$B$4:$B$1000,"DE REPROCESO")+SUMIFS(MOVIMIENTOS!$F$4:$F$1000,MOVIMIENTOS!$C$4:$C$1000,A699,MOVIMIENTOS!$D$4:$D$1000,B699,MOVIMIENTOS!$E$4:$E$1000,C699,MOVIMIENTOS!$B$4:$B$1000,"AJUSTE+")-SUMIFS(MOVIMIENTOS!$F$4:$F$1000,MOVIMIENTOS!$C$4:$C$1000,A699,MOVIMIENTOS!$D$4:$D$1000,B699,MOVIMIENTOS!$E$4:$E$1000,C699,MOVIMIENTOS!$B$4:$B$1000,"A CORTE")-SUMIFS(MOVIMIENTOS!$F$4:$F$1000,MOVIMIENTOS!$C$4:$C$1000,A699,MOVIMIENTOS!$D$4:$D$1000,B699,MOVIMIENTOS!$E$4:$E$1000,C699,MOVIMIENTOS!$B$4:$B$1000,"A REPROCESO")-SUMIFS(MOVIMIENTOS!$F$4:$F$1000,MOVIMIENTOS!$C$4:$C$1000,A699,MOVIMIENTOS!$D$4:$D$1000,B699,MOVIMIENTOS!$E$4:$E$1000,C699,MOVIMIENTOS!$B$4:$B$1000,"MUESTRA")-SUMIFS(MOVIMIENTOS!$F$4:$F$1000,MOVIMIENTOS!$C$4:$C$1000,A699,MOVIMIENTOS!$D$4:$D$1000,B699,MOVIMIENTOS!$E$4:$E$1000,C699,MOVIMIENTOS!$B$4:$B$1000,"AJUSTE-"),0)</f>
        <v>0</v>
      </c>
      <c r="F699" s="101">
        <f>IFERROR(E699*VLOOKUP(B699,TELAS!$A$4:$C$32,3,FALSE()),0)</f>
        <v>0</v>
      </c>
      <c r="G699" s="102">
        <f>IFERROR(IF(D699="OSCURO",VLOOKUP(B699,PRECIOS!$A$4:$F$32,2,FALSE()),IF(D699="CLARO",VLOOKUP(B699,PRECIOS!$A$4:$F$32,3,FALSE()),IF(D699="MELANGE",VLOOKUP(B699,PRECIOS!$A$4:$F$32,4,FALSE()),IF(D699="PPT",VLOOKUP(B699,PRECIOS!$A$4:$F$32,5,FALSE()),0)))),0)</f>
        <v>0</v>
      </c>
      <c r="H699" s="103">
        <f t="shared" si="1"/>
        <v>0</v>
      </c>
      <c r="I699" s="104" t="str">
        <f>IF(E699&lt;0,"ERROR",IF(E699=0,"",IF(E699&lt;CONFIG!$B$4,"CRÍTICO",IF(E699&lt;CONFIG!$B$5,"BAJO","OK"))))</f>
        <v/>
      </c>
    </row>
    <row r="700" ht="15.75" customHeight="1">
      <c r="A700" s="90" t="str">
        <f>IF(CLIENTES!A8="","",CLIENTES!A8)</f>
        <v/>
      </c>
      <c r="B700" s="67" t="str">
        <f>TELAS!A10</f>
        <v>jersey full lycra 30/1</v>
      </c>
      <c r="C700" s="67" t="str">
        <f>COLORES!A20</f>
        <v/>
      </c>
      <c r="D700" s="67" t="str">
        <f>COLORES!B20</f>
        <v/>
      </c>
      <c r="E700" s="100">
        <f>IFERROR(SUMIFS(MOVIMIENTOS!$F$4:$F$1000,MOVIMIENTOS!$C$4:$C$1000,A700,MOVIMIENTOS!$D$4:$D$1000,B700,MOVIMIENTOS!$E$4:$E$1000,C700,MOVIMIENTOS!$B$4:$B$1000,"INGRESO")+SUMIFS(MOVIMIENTOS!$F$4:$F$1000,MOVIMIENTOS!$C$4:$C$1000,A700,MOVIMIENTOS!$D$4:$D$1000,B700,MOVIMIENTOS!$E$4:$E$1000,C700,MOVIMIENTOS!$B$4:$B$1000,"DE REPROCESO")+SUMIFS(MOVIMIENTOS!$F$4:$F$1000,MOVIMIENTOS!$C$4:$C$1000,A700,MOVIMIENTOS!$D$4:$D$1000,B700,MOVIMIENTOS!$E$4:$E$1000,C700,MOVIMIENTOS!$B$4:$B$1000,"AJUSTE+")-SUMIFS(MOVIMIENTOS!$F$4:$F$1000,MOVIMIENTOS!$C$4:$C$1000,A700,MOVIMIENTOS!$D$4:$D$1000,B700,MOVIMIENTOS!$E$4:$E$1000,C700,MOVIMIENTOS!$B$4:$B$1000,"A CORTE")-SUMIFS(MOVIMIENTOS!$F$4:$F$1000,MOVIMIENTOS!$C$4:$C$1000,A700,MOVIMIENTOS!$D$4:$D$1000,B700,MOVIMIENTOS!$E$4:$E$1000,C700,MOVIMIENTOS!$B$4:$B$1000,"A REPROCESO")-SUMIFS(MOVIMIENTOS!$F$4:$F$1000,MOVIMIENTOS!$C$4:$C$1000,A700,MOVIMIENTOS!$D$4:$D$1000,B700,MOVIMIENTOS!$E$4:$E$1000,C700,MOVIMIENTOS!$B$4:$B$1000,"MUESTRA")-SUMIFS(MOVIMIENTOS!$F$4:$F$1000,MOVIMIENTOS!$C$4:$C$1000,A700,MOVIMIENTOS!$D$4:$D$1000,B700,MOVIMIENTOS!$E$4:$E$1000,C700,MOVIMIENTOS!$B$4:$B$1000,"AJUSTE-"),0)</f>
        <v>0</v>
      </c>
      <c r="F700" s="101">
        <f>IFERROR(E700*VLOOKUP(B700,TELAS!$A$4:$C$32,3,FALSE()),0)</f>
        <v>0</v>
      </c>
      <c r="G700" s="102">
        <f>IFERROR(IF(D700="OSCURO",VLOOKUP(B700,PRECIOS!$A$4:$F$32,2,FALSE()),IF(D700="CLARO",VLOOKUP(B700,PRECIOS!$A$4:$F$32,3,FALSE()),IF(D700="MELANGE",VLOOKUP(B700,PRECIOS!$A$4:$F$32,4,FALSE()),IF(D700="PPT",VLOOKUP(B700,PRECIOS!$A$4:$F$32,5,FALSE()),0)))),0)</f>
        <v>0</v>
      </c>
      <c r="H700" s="103">
        <f t="shared" si="1"/>
        <v>0</v>
      </c>
      <c r="I700" s="104" t="str">
        <f>IF(E700&lt;0,"ERROR",IF(E700=0,"",IF(E700&lt;CONFIG!$B$4,"CRÍTICO",IF(E700&lt;CONFIG!$B$5,"BAJO","OK"))))</f>
        <v/>
      </c>
    </row>
    <row r="701" ht="15.75" customHeight="1">
      <c r="A701" s="90" t="str">
        <f>IF(CLIENTES!A8="","",CLIENTES!A8)</f>
        <v/>
      </c>
      <c r="B701" s="67" t="str">
        <f>TELAS!A10</f>
        <v>jersey full lycra 30/1</v>
      </c>
      <c r="C701" s="67" t="str">
        <f>COLORES!A21</f>
        <v/>
      </c>
      <c r="D701" s="67" t="str">
        <f>COLORES!B21</f>
        <v/>
      </c>
      <c r="E701" s="100">
        <f>IFERROR(SUMIFS(MOVIMIENTOS!$F$4:$F$1000,MOVIMIENTOS!$C$4:$C$1000,A701,MOVIMIENTOS!$D$4:$D$1000,B701,MOVIMIENTOS!$E$4:$E$1000,C701,MOVIMIENTOS!$B$4:$B$1000,"INGRESO")+SUMIFS(MOVIMIENTOS!$F$4:$F$1000,MOVIMIENTOS!$C$4:$C$1000,A701,MOVIMIENTOS!$D$4:$D$1000,B701,MOVIMIENTOS!$E$4:$E$1000,C701,MOVIMIENTOS!$B$4:$B$1000,"DE REPROCESO")+SUMIFS(MOVIMIENTOS!$F$4:$F$1000,MOVIMIENTOS!$C$4:$C$1000,A701,MOVIMIENTOS!$D$4:$D$1000,B701,MOVIMIENTOS!$E$4:$E$1000,C701,MOVIMIENTOS!$B$4:$B$1000,"AJUSTE+")-SUMIFS(MOVIMIENTOS!$F$4:$F$1000,MOVIMIENTOS!$C$4:$C$1000,A701,MOVIMIENTOS!$D$4:$D$1000,B701,MOVIMIENTOS!$E$4:$E$1000,C701,MOVIMIENTOS!$B$4:$B$1000,"A CORTE")-SUMIFS(MOVIMIENTOS!$F$4:$F$1000,MOVIMIENTOS!$C$4:$C$1000,A701,MOVIMIENTOS!$D$4:$D$1000,B701,MOVIMIENTOS!$E$4:$E$1000,C701,MOVIMIENTOS!$B$4:$B$1000,"A REPROCESO")-SUMIFS(MOVIMIENTOS!$F$4:$F$1000,MOVIMIENTOS!$C$4:$C$1000,A701,MOVIMIENTOS!$D$4:$D$1000,B701,MOVIMIENTOS!$E$4:$E$1000,C701,MOVIMIENTOS!$B$4:$B$1000,"MUESTRA")-SUMIFS(MOVIMIENTOS!$F$4:$F$1000,MOVIMIENTOS!$C$4:$C$1000,A701,MOVIMIENTOS!$D$4:$D$1000,B701,MOVIMIENTOS!$E$4:$E$1000,C701,MOVIMIENTOS!$B$4:$B$1000,"AJUSTE-"),0)</f>
        <v>0</v>
      </c>
      <c r="F701" s="101">
        <f>IFERROR(E701*VLOOKUP(B701,TELAS!$A$4:$C$32,3,FALSE()),0)</f>
        <v>0</v>
      </c>
      <c r="G701" s="102">
        <f>IFERROR(IF(D701="OSCURO",VLOOKUP(B701,PRECIOS!$A$4:$F$32,2,FALSE()),IF(D701="CLARO",VLOOKUP(B701,PRECIOS!$A$4:$F$32,3,FALSE()),IF(D701="MELANGE",VLOOKUP(B701,PRECIOS!$A$4:$F$32,4,FALSE()),IF(D701="PPT",VLOOKUP(B701,PRECIOS!$A$4:$F$32,5,FALSE()),0)))),0)</f>
        <v>0</v>
      </c>
      <c r="H701" s="103">
        <f t="shared" si="1"/>
        <v>0</v>
      </c>
      <c r="I701" s="104" t="str">
        <f>IF(E701&lt;0,"ERROR",IF(E701=0,"",IF(E701&lt;CONFIG!$B$4,"CRÍTICO",IF(E701&lt;CONFIG!$B$5,"BAJO","OK"))))</f>
        <v/>
      </c>
    </row>
    <row r="702" ht="15.75" customHeight="1">
      <c r="A702" s="90" t="str">
        <f>IF(CLIENTES!A8="","",CLIENTES!A8)</f>
        <v/>
      </c>
      <c r="B702" s="67" t="str">
        <f>TELAS!A10</f>
        <v>jersey full lycra 30/1</v>
      </c>
      <c r="C702" s="67" t="str">
        <f>COLORES!A22</f>
        <v/>
      </c>
      <c r="D702" s="67" t="str">
        <f>COLORES!B22</f>
        <v/>
      </c>
      <c r="E702" s="100">
        <f>IFERROR(SUMIFS(MOVIMIENTOS!$F$4:$F$1000,MOVIMIENTOS!$C$4:$C$1000,A702,MOVIMIENTOS!$D$4:$D$1000,B702,MOVIMIENTOS!$E$4:$E$1000,C702,MOVIMIENTOS!$B$4:$B$1000,"INGRESO")+SUMIFS(MOVIMIENTOS!$F$4:$F$1000,MOVIMIENTOS!$C$4:$C$1000,A702,MOVIMIENTOS!$D$4:$D$1000,B702,MOVIMIENTOS!$E$4:$E$1000,C702,MOVIMIENTOS!$B$4:$B$1000,"DE REPROCESO")+SUMIFS(MOVIMIENTOS!$F$4:$F$1000,MOVIMIENTOS!$C$4:$C$1000,A702,MOVIMIENTOS!$D$4:$D$1000,B702,MOVIMIENTOS!$E$4:$E$1000,C702,MOVIMIENTOS!$B$4:$B$1000,"AJUSTE+")-SUMIFS(MOVIMIENTOS!$F$4:$F$1000,MOVIMIENTOS!$C$4:$C$1000,A702,MOVIMIENTOS!$D$4:$D$1000,B702,MOVIMIENTOS!$E$4:$E$1000,C702,MOVIMIENTOS!$B$4:$B$1000,"A CORTE")-SUMIFS(MOVIMIENTOS!$F$4:$F$1000,MOVIMIENTOS!$C$4:$C$1000,A702,MOVIMIENTOS!$D$4:$D$1000,B702,MOVIMIENTOS!$E$4:$E$1000,C702,MOVIMIENTOS!$B$4:$B$1000,"A REPROCESO")-SUMIFS(MOVIMIENTOS!$F$4:$F$1000,MOVIMIENTOS!$C$4:$C$1000,A702,MOVIMIENTOS!$D$4:$D$1000,B702,MOVIMIENTOS!$E$4:$E$1000,C702,MOVIMIENTOS!$B$4:$B$1000,"MUESTRA")-SUMIFS(MOVIMIENTOS!$F$4:$F$1000,MOVIMIENTOS!$C$4:$C$1000,A702,MOVIMIENTOS!$D$4:$D$1000,B702,MOVIMIENTOS!$E$4:$E$1000,C702,MOVIMIENTOS!$B$4:$B$1000,"AJUSTE-"),0)</f>
        <v>0</v>
      </c>
      <c r="F702" s="101">
        <f>IFERROR(E702*VLOOKUP(B702,TELAS!$A$4:$C$32,3,FALSE()),0)</f>
        <v>0</v>
      </c>
      <c r="G702" s="102">
        <f>IFERROR(IF(D702="OSCURO",VLOOKUP(B702,PRECIOS!$A$4:$F$32,2,FALSE()),IF(D702="CLARO",VLOOKUP(B702,PRECIOS!$A$4:$F$32,3,FALSE()),IF(D702="MELANGE",VLOOKUP(B702,PRECIOS!$A$4:$F$32,4,FALSE()),IF(D702="PPT",VLOOKUP(B702,PRECIOS!$A$4:$F$32,5,FALSE()),0)))),0)</f>
        <v>0</v>
      </c>
      <c r="H702" s="103">
        <f t="shared" si="1"/>
        <v>0</v>
      </c>
      <c r="I702" s="104" t="str">
        <f>IF(E702&lt;0,"ERROR",IF(E702=0,"",IF(E702&lt;CONFIG!$B$4,"CRÍTICO",IF(E702&lt;CONFIG!$B$5,"BAJO","OK"))))</f>
        <v/>
      </c>
    </row>
    <row r="703" ht="15.75" customHeight="1">
      <c r="A703" s="90" t="str">
        <f>IF(CLIENTES!A8="","",CLIENTES!A8)</f>
        <v/>
      </c>
      <c r="B703" s="67" t="str">
        <f>TELAS!A10</f>
        <v>jersey full lycra 30/1</v>
      </c>
      <c r="C703" s="67" t="str">
        <f>COLORES!A23</f>
        <v/>
      </c>
      <c r="D703" s="67" t="str">
        <f>COLORES!B23</f>
        <v/>
      </c>
      <c r="E703" s="100">
        <f>IFERROR(SUMIFS(MOVIMIENTOS!$F$4:$F$1000,MOVIMIENTOS!$C$4:$C$1000,A703,MOVIMIENTOS!$D$4:$D$1000,B703,MOVIMIENTOS!$E$4:$E$1000,C703,MOVIMIENTOS!$B$4:$B$1000,"INGRESO")+SUMIFS(MOVIMIENTOS!$F$4:$F$1000,MOVIMIENTOS!$C$4:$C$1000,A703,MOVIMIENTOS!$D$4:$D$1000,B703,MOVIMIENTOS!$E$4:$E$1000,C703,MOVIMIENTOS!$B$4:$B$1000,"DE REPROCESO")+SUMIFS(MOVIMIENTOS!$F$4:$F$1000,MOVIMIENTOS!$C$4:$C$1000,A703,MOVIMIENTOS!$D$4:$D$1000,B703,MOVIMIENTOS!$E$4:$E$1000,C703,MOVIMIENTOS!$B$4:$B$1000,"AJUSTE+")-SUMIFS(MOVIMIENTOS!$F$4:$F$1000,MOVIMIENTOS!$C$4:$C$1000,A703,MOVIMIENTOS!$D$4:$D$1000,B703,MOVIMIENTOS!$E$4:$E$1000,C703,MOVIMIENTOS!$B$4:$B$1000,"A CORTE")-SUMIFS(MOVIMIENTOS!$F$4:$F$1000,MOVIMIENTOS!$C$4:$C$1000,A703,MOVIMIENTOS!$D$4:$D$1000,B703,MOVIMIENTOS!$E$4:$E$1000,C703,MOVIMIENTOS!$B$4:$B$1000,"A REPROCESO")-SUMIFS(MOVIMIENTOS!$F$4:$F$1000,MOVIMIENTOS!$C$4:$C$1000,A703,MOVIMIENTOS!$D$4:$D$1000,B703,MOVIMIENTOS!$E$4:$E$1000,C703,MOVIMIENTOS!$B$4:$B$1000,"MUESTRA")-SUMIFS(MOVIMIENTOS!$F$4:$F$1000,MOVIMIENTOS!$C$4:$C$1000,A703,MOVIMIENTOS!$D$4:$D$1000,B703,MOVIMIENTOS!$E$4:$E$1000,C703,MOVIMIENTOS!$B$4:$B$1000,"AJUSTE-"),0)</f>
        <v>0</v>
      </c>
      <c r="F703" s="101">
        <f>IFERROR(E703*VLOOKUP(B703,TELAS!$A$4:$C$32,3,FALSE()),0)</f>
        <v>0</v>
      </c>
      <c r="G703" s="102">
        <f>IFERROR(IF(D703="OSCURO",VLOOKUP(B703,PRECIOS!$A$4:$F$32,2,FALSE()),IF(D703="CLARO",VLOOKUP(B703,PRECIOS!$A$4:$F$32,3,FALSE()),IF(D703="MELANGE",VLOOKUP(B703,PRECIOS!$A$4:$F$32,4,FALSE()),IF(D703="PPT",VLOOKUP(B703,PRECIOS!$A$4:$F$32,5,FALSE()),0)))),0)</f>
        <v>0</v>
      </c>
      <c r="H703" s="103">
        <f t="shared" si="1"/>
        <v>0</v>
      </c>
      <c r="I703" s="104" t="str">
        <f>IF(E703&lt;0,"ERROR",IF(E703=0,"",IF(E703&lt;CONFIG!$B$4,"CRÍTICO",IF(E703&lt;CONFIG!$B$5,"BAJO","OK"))))</f>
        <v/>
      </c>
    </row>
    <row r="704" ht="15.75" customHeight="1">
      <c r="A704" s="90" t="str">
        <f>IF(CLIENTES!A9="","",CLIENTES!A9)</f>
        <v/>
      </c>
      <c r="B704" s="67" t="str">
        <f>TELAS!A4</f>
        <v>jersey 30/1</v>
      </c>
      <c r="C704" s="67" t="str">
        <f>COLORES!A4</f>
        <v>Negro</v>
      </c>
      <c r="D704" s="67" t="str">
        <f>COLORES!B4</f>
        <v>OSCURO</v>
      </c>
      <c r="E704" s="100">
        <f>IFERROR(SUMIFS(MOVIMIENTOS!$F$4:$F$1000,MOVIMIENTOS!$C$4:$C$1000,A704,MOVIMIENTOS!$D$4:$D$1000,B704,MOVIMIENTOS!$E$4:$E$1000,C704,MOVIMIENTOS!$B$4:$B$1000,"INGRESO")+SUMIFS(MOVIMIENTOS!$F$4:$F$1000,MOVIMIENTOS!$C$4:$C$1000,A704,MOVIMIENTOS!$D$4:$D$1000,B704,MOVIMIENTOS!$E$4:$E$1000,C704,MOVIMIENTOS!$B$4:$B$1000,"DE REPROCESO")+SUMIFS(MOVIMIENTOS!$F$4:$F$1000,MOVIMIENTOS!$C$4:$C$1000,A704,MOVIMIENTOS!$D$4:$D$1000,B704,MOVIMIENTOS!$E$4:$E$1000,C704,MOVIMIENTOS!$B$4:$B$1000,"AJUSTE+")-SUMIFS(MOVIMIENTOS!$F$4:$F$1000,MOVIMIENTOS!$C$4:$C$1000,A704,MOVIMIENTOS!$D$4:$D$1000,B704,MOVIMIENTOS!$E$4:$E$1000,C704,MOVIMIENTOS!$B$4:$B$1000,"A CORTE")-SUMIFS(MOVIMIENTOS!$F$4:$F$1000,MOVIMIENTOS!$C$4:$C$1000,A704,MOVIMIENTOS!$D$4:$D$1000,B704,MOVIMIENTOS!$E$4:$E$1000,C704,MOVIMIENTOS!$B$4:$B$1000,"A REPROCESO")-SUMIFS(MOVIMIENTOS!$F$4:$F$1000,MOVIMIENTOS!$C$4:$C$1000,A704,MOVIMIENTOS!$D$4:$D$1000,B704,MOVIMIENTOS!$E$4:$E$1000,C704,MOVIMIENTOS!$B$4:$B$1000,"MUESTRA")-SUMIFS(MOVIMIENTOS!$F$4:$F$1000,MOVIMIENTOS!$C$4:$C$1000,A704,MOVIMIENTOS!$D$4:$D$1000,B704,MOVIMIENTOS!$E$4:$E$1000,C704,MOVIMIENTOS!$B$4:$B$1000,"AJUSTE-"),0)</f>
        <v>0</v>
      </c>
      <c r="F704" s="101">
        <f>IFERROR(E704*VLOOKUP(B704,TELAS!$A$4:$C$32,3,FALSE()),0)</f>
        <v>0</v>
      </c>
      <c r="G704" s="102">
        <f>IFERROR(IF(D704="OSCURO",VLOOKUP(B704,PRECIOS!$A$4:$F$32,2,FALSE()),IF(D704="CLARO",VLOOKUP(B704,PRECIOS!$A$4:$F$32,3,FALSE()),IF(D704="MELANGE",VLOOKUP(B704,PRECIOS!$A$4:$F$32,4,FALSE()),IF(D704="PPT",VLOOKUP(B704,PRECIOS!$A$4:$F$32,5,FALSE()),0)))),0)</f>
        <v>24</v>
      </c>
      <c r="H704" s="103">
        <f t="shared" si="1"/>
        <v>0</v>
      </c>
      <c r="I704" s="104" t="str">
        <f>IF(E704&lt;0,"ERROR",IF(E704=0,"",IF(E704&lt;CONFIG!$B$4,"CRÍTICO",IF(E704&lt;CONFIG!$B$5,"BAJO","OK"))))</f>
        <v/>
      </c>
    </row>
    <row r="705" ht="15.75" customHeight="1">
      <c r="A705" s="90" t="str">
        <f>IF(CLIENTES!A9="","",CLIENTES!A9)</f>
        <v/>
      </c>
      <c r="B705" s="67" t="str">
        <f>TELAS!A4</f>
        <v>jersey 30/1</v>
      </c>
      <c r="C705" s="67" t="str">
        <f>COLORES!A5</f>
        <v>Perla</v>
      </c>
      <c r="D705" s="67" t="str">
        <f>COLORES!B5</f>
        <v>PPT</v>
      </c>
      <c r="E705" s="100">
        <f>IFERROR(SUMIFS(MOVIMIENTOS!$F$4:$F$1000,MOVIMIENTOS!$C$4:$C$1000,A705,MOVIMIENTOS!$D$4:$D$1000,B705,MOVIMIENTOS!$E$4:$E$1000,C705,MOVIMIENTOS!$B$4:$B$1000,"INGRESO")+SUMIFS(MOVIMIENTOS!$F$4:$F$1000,MOVIMIENTOS!$C$4:$C$1000,A705,MOVIMIENTOS!$D$4:$D$1000,B705,MOVIMIENTOS!$E$4:$E$1000,C705,MOVIMIENTOS!$B$4:$B$1000,"DE REPROCESO")+SUMIFS(MOVIMIENTOS!$F$4:$F$1000,MOVIMIENTOS!$C$4:$C$1000,A705,MOVIMIENTOS!$D$4:$D$1000,B705,MOVIMIENTOS!$E$4:$E$1000,C705,MOVIMIENTOS!$B$4:$B$1000,"AJUSTE+")-SUMIFS(MOVIMIENTOS!$F$4:$F$1000,MOVIMIENTOS!$C$4:$C$1000,A705,MOVIMIENTOS!$D$4:$D$1000,B705,MOVIMIENTOS!$E$4:$E$1000,C705,MOVIMIENTOS!$B$4:$B$1000,"A CORTE")-SUMIFS(MOVIMIENTOS!$F$4:$F$1000,MOVIMIENTOS!$C$4:$C$1000,A705,MOVIMIENTOS!$D$4:$D$1000,B705,MOVIMIENTOS!$E$4:$E$1000,C705,MOVIMIENTOS!$B$4:$B$1000,"A REPROCESO")-SUMIFS(MOVIMIENTOS!$F$4:$F$1000,MOVIMIENTOS!$C$4:$C$1000,A705,MOVIMIENTOS!$D$4:$D$1000,B705,MOVIMIENTOS!$E$4:$E$1000,C705,MOVIMIENTOS!$B$4:$B$1000,"MUESTRA")-SUMIFS(MOVIMIENTOS!$F$4:$F$1000,MOVIMIENTOS!$C$4:$C$1000,A705,MOVIMIENTOS!$D$4:$D$1000,B705,MOVIMIENTOS!$E$4:$E$1000,C705,MOVIMIENTOS!$B$4:$B$1000,"AJUSTE-"),0)</f>
        <v>0</v>
      </c>
      <c r="F705" s="101">
        <f>IFERROR(E705*VLOOKUP(B705,TELAS!$A$4:$C$32,3,FALSE()),0)</f>
        <v>0</v>
      </c>
      <c r="G705" s="102">
        <f>IFERROR(IF(D705="OSCURO",VLOOKUP(B705,PRECIOS!$A$4:$F$32,2,FALSE()),IF(D705="CLARO",VLOOKUP(B705,PRECIOS!$A$4:$F$32,3,FALSE()),IF(D705="MELANGE",VLOOKUP(B705,PRECIOS!$A$4:$F$32,4,FALSE()),IF(D705="PPT",VLOOKUP(B705,PRECIOS!$A$4:$F$32,5,FALSE()),0)))),0)</f>
        <v>18</v>
      </c>
      <c r="H705" s="103">
        <f t="shared" si="1"/>
        <v>0</v>
      </c>
      <c r="I705" s="104" t="str">
        <f>IF(E705&lt;0,"ERROR",IF(E705=0,"",IF(E705&lt;CONFIG!$B$4,"CRÍTICO",IF(E705&lt;CONFIG!$B$5,"BAJO","OK"))))</f>
        <v/>
      </c>
    </row>
    <row r="706" ht="15.75" customHeight="1">
      <c r="A706" s="90" t="str">
        <f>IF(CLIENTES!A9="","",CLIENTES!A9)</f>
        <v/>
      </c>
      <c r="B706" s="67" t="str">
        <f>TELAS!A4</f>
        <v>jersey 30/1</v>
      </c>
      <c r="C706" s="67" t="str">
        <f>COLORES!A6</f>
        <v>Blanco</v>
      </c>
      <c r="D706" s="67" t="str">
        <f>COLORES!B6</f>
        <v>PPT</v>
      </c>
      <c r="E706" s="100">
        <f>IFERROR(SUMIFS(MOVIMIENTOS!$F$4:$F$1000,MOVIMIENTOS!$C$4:$C$1000,A706,MOVIMIENTOS!$D$4:$D$1000,B706,MOVIMIENTOS!$E$4:$E$1000,C706,MOVIMIENTOS!$B$4:$B$1000,"INGRESO")+SUMIFS(MOVIMIENTOS!$F$4:$F$1000,MOVIMIENTOS!$C$4:$C$1000,A706,MOVIMIENTOS!$D$4:$D$1000,B706,MOVIMIENTOS!$E$4:$E$1000,C706,MOVIMIENTOS!$B$4:$B$1000,"DE REPROCESO")+SUMIFS(MOVIMIENTOS!$F$4:$F$1000,MOVIMIENTOS!$C$4:$C$1000,A706,MOVIMIENTOS!$D$4:$D$1000,B706,MOVIMIENTOS!$E$4:$E$1000,C706,MOVIMIENTOS!$B$4:$B$1000,"AJUSTE+")-SUMIFS(MOVIMIENTOS!$F$4:$F$1000,MOVIMIENTOS!$C$4:$C$1000,A706,MOVIMIENTOS!$D$4:$D$1000,B706,MOVIMIENTOS!$E$4:$E$1000,C706,MOVIMIENTOS!$B$4:$B$1000,"A CORTE")-SUMIFS(MOVIMIENTOS!$F$4:$F$1000,MOVIMIENTOS!$C$4:$C$1000,A706,MOVIMIENTOS!$D$4:$D$1000,B706,MOVIMIENTOS!$E$4:$E$1000,C706,MOVIMIENTOS!$B$4:$B$1000,"A REPROCESO")-SUMIFS(MOVIMIENTOS!$F$4:$F$1000,MOVIMIENTOS!$C$4:$C$1000,A706,MOVIMIENTOS!$D$4:$D$1000,B706,MOVIMIENTOS!$E$4:$E$1000,C706,MOVIMIENTOS!$B$4:$B$1000,"MUESTRA")-SUMIFS(MOVIMIENTOS!$F$4:$F$1000,MOVIMIENTOS!$C$4:$C$1000,A706,MOVIMIENTOS!$D$4:$D$1000,B706,MOVIMIENTOS!$E$4:$E$1000,C706,MOVIMIENTOS!$B$4:$B$1000,"AJUSTE-"),0)</f>
        <v>0</v>
      </c>
      <c r="F706" s="101">
        <f>IFERROR(E706*VLOOKUP(B706,TELAS!$A$4:$C$32,3,FALSE()),0)</f>
        <v>0</v>
      </c>
      <c r="G706" s="102">
        <f>IFERROR(IF(D706="OSCURO",VLOOKUP(B706,PRECIOS!$A$4:$F$32,2,FALSE()),IF(D706="CLARO",VLOOKUP(B706,PRECIOS!$A$4:$F$32,3,FALSE()),IF(D706="MELANGE",VLOOKUP(B706,PRECIOS!$A$4:$F$32,4,FALSE()),IF(D706="PPT",VLOOKUP(B706,PRECIOS!$A$4:$F$32,5,FALSE()),0)))),0)</f>
        <v>18</v>
      </c>
      <c r="H706" s="103">
        <f t="shared" si="1"/>
        <v>0</v>
      </c>
      <c r="I706" s="104" t="str">
        <f>IF(E706&lt;0,"ERROR",IF(E706=0,"",IF(E706&lt;CONFIG!$B$4,"CRÍTICO",IF(E706&lt;CONFIG!$B$5,"BAJO","OK"))))</f>
        <v/>
      </c>
    </row>
    <row r="707" ht="15.75" customHeight="1">
      <c r="A707" s="90" t="str">
        <f>IF(CLIENTES!A9="","",CLIENTES!A9)</f>
        <v/>
      </c>
      <c r="B707" s="67" t="str">
        <f>TELAS!A4</f>
        <v>jersey 30/1</v>
      </c>
      <c r="C707" s="67" t="str">
        <f>COLORES!A7</f>
        <v>Azul</v>
      </c>
      <c r="D707" s="67" t="str">
        <f>COLORES!B7</f>
        <v>OSCURO</v>
      </c>
      <c r="E707" s="100">
        <f>IFERROR(SUMIFS(MOVIMIENTOS!$F$4:$F$1000,MOVIMIENTOS!$C$4:$C$1000,A707,MOVIMIENTOS!$D$4:$D$1000,B707,MOVIMIENTOS!$E$4:$E$1000,C707,MOVIMIENTOS!$B$4:$B$1000,"INGRESO")+SUMIFS(MOVIMIENTOS!$F$4:$F$1000,MOVIMIENTOS!$C$4:$C$1000,A707,MOVIMIENTOS!$D$4:$D$1000,B707,MOVIMIENTOS!$E$4:$E$1000,C707,MOVIMIENTOS!$B$4:$B$1000,"DE REPROCESO")+SUMIFS(MOVIMIENTOS!$F$4:$F$1000,MOVIMIENTOS!$C$4:$C$1000,A707,MOVIMIENTOS!$D$4:$D$1000,B707,MOVIMIENTOS!$E$4:$E$1000,C707,MOVIMIENTOS!$B$4:$B$1000,"AJUSTE+")-SUMIFS(MOVIMIENTOS!$F$4:$F$1000,MOVIMIENTOS!$C$4:$C$1000,A707,MOVIMIENTOS!$D$4:$D$1000,B707,MOVIMIENTOS!$E$4:$E$1000,C707,MOVIMIENTOS!$B$4:$B$1000,"A CORTE")-SUMIFS(MOVIMIENTOS!$F$4:$F$1000,MOVIMIENTOS!$C$4:$C$1000,A707,MOVIMIENTOS!$D$4:$D$1000,B707,MOVIMIENTOS!$E$4:$E$1000,C707,MOVIMIENTOS!$B$4:$B$1000,"A REPROCESO")-SUMIFS(MOVIMIENTOS!$F$4:$F$1000,MOVIMIENTOS!$C$4:$C$1000,A707,MOVIMIENTOS!$D$4:$D$1000,B707,MOVIMIENTOS!$E$4:$E$1000,C707,MOVIMIENTOS!$B$4:$B$1000,"MUESTRA")-SUMIFS(MOVIMIENTOS!$F$4:$F$1000,MOVIMIENTOS!$C$4:$C$1000,A707,MOVIMIENTOS!$D$4:$D$1000,B707,MOVIMIENTOS!$E$4:$E$1000,C707,MOVIMIENTOS!$B$4:$B$1000,"AJUSTE-"),0)</f>
        <v>0</v>
      </c>
      <c r="F707" s="101">
        <f>IFERROR(E707*VLOOKUP(B707,TELAS!$A$4:$C$32,3,FALSE()),0)</f>
        <v>0</v>
      </c>
      <c r="G707" s="102">
        <f>IFERROR(IF(D707="OSCURO",VLOOKUP(B707,PRECIOS!$A$4:$F$32,2,FALSE()),IF(D707="CLARO",VLOOKUP(B707,PRECIOS!$A$4:$F$32,3,FALSE()),IF(D707="MELANGE",VLOOKUP(B707,PRECIOS!$A$4:$F$32,4,FALSE()),IF(D707="PPT",VLOOKUP(B707,PRECIOS!$A$4:$F$32,5,FALSE()),0)))),0)</f>
        <v>24</v>
      </c>
      <c r="H707" s="103">
        <f t="shared" si="1"/>
        <v>0</v>
      </c>
      <c r="I707" s="104" t="str">
        <f>IF(E707&lt;0,"ERROR",IF(E707=0,"",IF(E707&lt;CONFIG!$B$4,"CRÍTICO",IF(E707&lt;CONFIG!$B$5,"BAJO","OK"))))</f>
        <v/>
      </c>
    </row>
    <row r="708" ht="15.75" customHeight="1">
      <c r="A708" s="90" t="str">
        <f>IF(CLIENTES!A9="","",CLIENTES!A9)</f>
        <v/>
      </c>
      <c r="B708" s="67" t="str">
        <f>TELAS!A4</f>
        <v>jersey 30/1</v>
      </c>
      <c r="C708" s="67" t="str">
        <f>COLORES!A8</f>
        <v>Beige</v>
      </c>
      <c r="D708" s="67" t="str">
        <f>COLORES!B8</f>
        <v>CLARO</v>
      </c>
      <c r="E708" s="100">
        <f>IFERROR(SUMIFS(MOVIMIENTOS!$F$4:$F$1000,MOVIMIENTOS!$C$4:$C$1000,A708,MOVIMIENTOS!$D$4:$D$1000,B708,MOVIMIENTOS!$E$4:$E$1000,C708,MOVIMIENTOS!$B$4:$B$1000,"INGRESO")+SUMIFS(MOVIMIENTOS!$F$4:$F$1000,MOVIMIENTOS!$C$4:$C$1000,A708,MOVIMIENTOS!$D$4:$D$1000,B708,MOVIMIENTOS!$E$4:$E$1000,C708,MOVIMIENTOS!$B$4:$B$1000,"DE REPROCESO")+SUMIFS(MOVIMIENTOS!$F$4:$F$1000,MOVIMIENTOS!$C$4:$C$1000,A708,MOVIMIENTOS!$D$4:$D$1000,B708,MOVIMIENTOS!$E$4:$E$1000,C708,MOVIMIENTOS!$B$4:$B$1000,"AJUSTE+")-SUMIFS(MOVIMIENTOS!$F$4:$F$1000,MOVIMIENTOS!$C$4:$C$1000,A708,MOVIMIENTOS!$D$4:$D$1000,B708,MOVIMIENTOS!$E$4:$E$1000,C708,MOVIMIENTOS!$B$4:$B$1000,"A CORTE")-SUMIFS(MOVIMIENTOS!$F$4:$F$1000,MOVIMIENTOS!$C$4:$C$1000,A708,MOVIMIENTOS!$D$4:$D$1000,B708,MOVIMIENTOS!$E$4:$E$1000,C708,MOVIMIENTOS!$B$4:$B$1000,"A REPROCESO")-SUMIFS(MOVIMIENTOS!$F$4:$F$1000,MOVIMIENTOS!$C$4:$C$1000,A708,MOVIMIENTOS!$D$4:$D$1000,B708,MOVIMIENTOS!$E$4:$E$1000,C708,MOVIMIENTOS!$B$4:$B$1000,"MUESTRA")-SUMIFS(MOVIMIENTOS!$F$4:$F$1000,MOVIMIENTOS!$C$4:$C$1000,A708,MOVIMIENTOS!$D$4:$D$1000,B708,MOVIMIENTOS!$E$4:$E$1000,C708,MOVIMIENTOS!$B$4:$B$1000,"AJUSTE-"),0)</f>
        <v>0</v>
      </c>
      <c r="F708" s="101">
        <f>IFERROR(E708*VLOOKUP(B708,TELAS!$A$4:$C$32,3,FALSE()),0)</f>
        <v>0</v>
      </c>
      <c r="G708" s="102">
        <f>IFERROR(IF(D708="OSCURO",VLOOKUP(B708,PRECIOS!$A$4:$F$32,2,FALSE()),IF(D708="CLARO",VLOOKUP(B708,PRECIOS!$A$4:$F$32,3,FALSE()),IF(D708="MELANGE",VLOOKUP(B708,PRECIOS!$A$4:$F$32,4,FALSE()),IF(D708="PPT",VLOOKUP(B708,PRECIOS!$A$4:$F$32,5,FALSE()),0)))),0)</f>
        <v>21</v>
      </c>
      <c r="H708" s="103">
        <f t="shared" si="1"/>
        <v>0</v>
      </c>
      <c r="I708" s="104" t="str">
        <f>IF(E708&lt;0,"ERROR",IF(E708=0,"",IF(E708&lt;CONFIG!$B$4,"CRÍTICO",IF(E708&lt;CONFIG!$B$5,"BAJO","OK"))))</f>
        <v/>
      </c>
    </row>
    <row r="709" ht="15.75" customHeight="1">
      <c r="A709" s="90" t="str">
        <f>IF(CLIENTES!A9="","",CLIENTES!A9)</f>
        <v/>
      </c>
      <c r="B709" s="67" t="str">
        <f>TELAS!A4</f>
        <v>jersey 30/1</v>
      </c>
      <c r="C709" s="67" t="str">
        <f>COLORES!A9</f>
        <v>Melange</v>
      </c>
      <c r="D709" s="67" t="str">
        <f>COLORES!B9</f>
        <v>MELANGE</v>
      </c>
      <c r="E709" s="100">
        <f>IFERROR(SUMIFS(MOVIMIENTOS!$F$4:$F$1000,MOVIMIENTOS!$C$4:$C$1000,A709,MOVIMIENTOS!$D$4:$D$1000,B709,MOVIMIENTOS!$E$4:$E$1000,C709,MOVIMIENTOS!$B$4:$B$1000,"INGRESO")+SUMIFS(MOVIMIENTOS!$F$4:$F$1000,MOVIMIENTOS!$C$4:$C$1000,A709,MOVIMIENTOS!$D$4:$D$1000,B709,MOVIMIENTOS!$E$4:$E$1000,C709,MOVIMIENTOS!$B$4:$B$1000,"DE REPROCESO")+SUMIFS(MOVIMIENTOS!$F$4:$F$1000,MOVIMIENTOS!$C$4:$C$1000,A709,MOVIMIENTOS!$D$4:$D$1000,B709,MOVIMIENTOS!$E$4:$E$1000,C709,MOVIMIENTOS!$B$4:$B$1000,"AJUSTE+")-SUMIFS(MOVIMIENTOS!$F$4:$F$1000,MOVIMIENTOS!$C$4:$C$1000,A709,MOVIMIENTOS!$D$4:$D$1000,B709,MOVIMIENTOS!$E$4:$E$1000,C709,MOVIMIENTOS!$B$4:$B$1000,"A CORTE")-SUMIFS(MOVIMIENTOS!$F$4:$F$1000,MOVIMIENTOS!$C$4:$C$1000,A709,MOVIMIENTOS!$D$4:$D$1000,B709,MOVIMIENTOS!$E$4:$E$1000,C709,MOVIMIENTOS!$B$4:$B$1000,"A REPROCESO")-SUMIFS(MOVIMIENTOS!$F$4:$F$1000,MOVIMIENTOS!$C$4:$C$1000,A709,MOVIMIENTOS!$D$4:$D$1000,B709,MOVIMIENTOS!$E$4:$E$1000,C709,MOVIMIENTOS!$B$4:$B$1000,"MUESTRA")-SUMIFS(MOVIMIENTOS!$F$4:$F$1000,MOVIMIENTOS!$C$4:$C$1000,A709,MOVIMIENTOS!$D$4:$D$1000,B709,MOVIMIENTOS!$E$4:$E$1000,C709,MOVIMIENTOS!$B$4:$B$1000,"AJUSTE-"),0)</f>
        <v>0</v>
      </c>
      <c r="F709" s="101">
        <f>IFERROR(E709*VLOOKUP(B709,TELAS!$A$4:$C$32,3,FALSE()),0)</f>
        <v>0</v>
      </c>
      <c r="G709" s="102">
        <f>IFERROR(IF(D709="OSCURO",VLOOKUP(B709,PRECIOS!$A$4:$F$32,2,FALSE()),IF(D709="CLARO",VLOOKUP(B709,PRECIOS!$A$4:$F$32,3,FALSE()),IF(D709="MELANGE",VLOOKUP(B709,PRECIOS!$A$4:$F$32,4,FALSE()),IF(D709="PPT",VLOOKUP(B709,PRECIOS!$A$4:$F$32,5,FALSE()),0)))),0)</f>
        <v>18</v>
      </c>
      <c r="H709" s="103">
        <f t="shared" si="1"/>
        <v>0</v>
      </c>
      <c r="I709" s="104" t="str">
        <f>IF(E709&lt;0,"ERROR",IF(E709=0,"",IF(E709&lt;CONFIG!$B$4,"CRÍTICO",IF(E709&lt;CONFIG!$B$5,"BAJO","OK"))))</f>
        <v/>
      </c>
    </row>
    <row r="710" ht="15.75" customHeight="1">
      <c r="A710" s="90" t="str">
        <f>IF(CLIENTES!A9="","",CLIENTES!A9)</f>
        <v/>
      </c>
      <c r="B710" s="67" t="str">
        <f>TELAS!A4</f>
        <v>jersey 30/1</v>
      </c>
      <c r="C710" s="67" t="str">
        <f>COLORES!A10</f>
        <v>Botella</v>
      </c>
      <c r="D710" s="67" t="str">
        <f>COLORES!B10</f>
        <v>OSCURO</v>
      </c>
      <c r="E710" s="100">
        <f>IFERROR(SUMIFS(MOVIMIENTOS!$F$4:$F$1000,MOVIMIENTOS!$C$4:$C$1000,A710,MOVIMIENTOS!$D$4:$D$1000,B710,MOVIMIENTOS!$E$4:$E$1000,C710,MOVIMIENTOS!$B$4:$B$1000,"INGRESO")+SUMIFS(MOVIMIENTOS!$F$4:$F$1000,MOVIMIENTOS!$C$4:$C$1000,A710,MOVIMIENTOS!$D$4:$D$1000,B710,MOVIMIENTOS!$E$4:$E$1000,C710,MOVIMIENTOS!$B$4:$B$1000,"DE REPROCESO")+SUMIFS(MOVIMIENTOS!$F$4:$F$1000,MOVIMIENTOS!$C$4:$C$1000,A710,MOVIMIENTOS!$D$4:$D$1000,B710,MOVIMIENTOS!$E$4:$E$1000,C710,MOVIMIENTOS!$B$4:$B$1000,"AJUSTE+")-SUMIFS(MOVIMIENTOS!$F$4:$F$1000,MOVIMIENTOS!$C$4:$C$1000,A710,MOVIMIENTOS!$D$4:$D$1000,B710,MOVIMIENTOS!$E$4:$E$1000,C710,MOVIMIENTOS!$B$4:$B$1000,"A CORTE")-SUMIFS(MOVIMIENTOS!$F$4:$F$1000,MOVIMIENTOS!$C$4:$C$1000,A710,MOVIMIENTOS!$D$4:$D$1000,B710,MOVIMIENTOS!$E$4:$E$1000,C710,MOVIMIENTOS!$B$4:$B$1000,"A REPROCESO")-SUMIFS(MOVIMIENTOS!$F$4:$F$1000,MOVIMIENTOS!$C$4:$C$1000,A710,MOVIMIENTOS!$D$4:$D$1000,B710,MOVIMIENTOS!$E$4:$E$1000,C710,MOVIMIENTOS!$B$4:$B$1000,"MUESTRA")-SUMIFS(MOVIMIENTOS!$F$4:$F$1000,MOVIMIENTOS!$C$4:$C$1000,A710,MOVIMIENTOS!$D$4:$D$1000,B710,MOVIMIENTOS!$E$4:$E$1000,C710,MOVIMIENTOS!$B$4:$B$1000,"AJUSTE-"),0)</f>
        <v>0</v>
      </c>
      <c r="F710" s="101">
        <f>IFERROR(E710*VLOOKUP(B710,TELAS!$A$4:$C$32,3,FALSE()),0)</f>
        <v>0</v>
      </c>
      <c r="G710" s="102">
        <f>IFERROR(IF(D710="OSCURO",VLOOKUP(B710,PRECIOS!$A$4:$F$32,2,FALSE()),IF(D710="CLARO",VLOOKUP(B710,PRECIOS!$A$4:$F$32,3,FALSE()),IF(D710="MELANGE",VLOOKUP(B710,PRECIOS!$A$4:$F$32,4,FALSE()),IF(D710="PPT",VLOOKUP(B710,PRECIOS!$A$4:$F$32,5,FALSE()),0)))),0)</f>
        <v>24</v>
      </c>
      <c r="H710" s="103">
        <f t="shared" si="1"/>
        <v>0</v>
      </c>
      <c r="I710" s="104" t="str">
        <f>IF(E710&lt;0,"ERROR",IF(E710=0,"",IF(E710&lt;CONFIG!$B$4,"CRÍTICO",IF(E710&lt;CONFIG!$B$5,"BAJO","OK"))))</f>
        <v/>
      </c>
    </row>
    <row r="711" ht="15.75" customHeight="1">
      <c r="A711" s="90" t="str">
        <f>IF(CLIENTES!A9="","",CLIENTES!A9)</f>
        <v/>
      </c>
      <c r="B711" s="67" t="str">
        <f>TELAS!A4</f>
        <v>jersey 30/1</v>
      </c>
      <c r="C711" s="67" t="str">
        <f>COLORES!A11</f>
        <v>Pacay</v>
      </c>
      <c r="D711" s="67" t="str">
        <f>COLORES!B11</f>
        <v>CLARO</v>
      </c>
      <c r="E711" s="100">
        <f>IFERROR(SUMIFS(MOVIMIENTOS!$F$4:$F$1000,MOVIMIENTOS!$C$4:$C$1000,A711,MOVIMIENTOS!$D$4:$D$1000,B711,MOVIMIENTOS!$E$4:$E$1000,C711,MOVIMIENTOS!$B$4:$B$1000,"INGRESO")+SUMIFS(MOVIMIENTOS!$F$4:$F$1000,MOVIMIENTOS!$C$4:$C$1000,A711,MOVIMIENTOS!$D$4:$D$1000,B711,MOVIMIENTOS!$E$4:$E$1000,C711,MOVIMIENTOS!$B$4:$B$1000,"DE REPROCESO")+SUMIFS(MOVIMIENTOS!$F$4:$F$1000,MOVIMIENTOS!$C$4:$C$1000,A711,MOVIMIENTOS!$D$4:$D$1000,B711,MOVIMIENTOS!$E$4:$E$1000,C711,MOVIMIENTOS!$B$4:$B$1000,"AJUSTE+")-SUMIFS(MOVIMIENTOS!$F$4:$F$1000,MOVIMIENTOS!$C$4:$C$1000,A711,MOVIMIENTOS!$D$4:$D$1000,B711,MOVIMIENTOS!$E$4:$E$1000,C711,MOVIMIENTOS!$B$4:$B$1000,"A CORTE")-SUMIFS(MOVIMIENTOS!$F$4:$F$1000,MOVIMIENTOS!$C$4:$C$1000,A711,MOVIMIENTOS!$D$4:$D$1000,B711,MOVIMIENTOS!$E$4:$E$1000,C711,MOVIMIENTOS!$B$4:$B$1000,"A REPROCESO")-SUMIFS(MOVIMIENTOS!$F$4:$F$1000,MOVIMIENTOS!$C$4:$C$1000,A711,MOVIMIENTOS!$D$4:$D$1000,B711,MOVIMIENTOS!$E$4:$E$1000,C711,MOVIMIENTOS!$B$4:$B$1000,"MUESTRA")-SUMIFS(MOVIMIENTOS!$F$4:$F$1000,MOVIMIENTOS!$C$4:$C$1000,A711,MOVIMIENTOS!$D$4:$D$1000,B711,MOVIMIENTOS!$E$4:$E$1000,C711,MOVIMIENTOS!$B$4:$B$1000,"AJUSTE-"),0)</f>
        <v>0</v>
      </c>
      <c r="F711" s="101">
        <f>IFERROR(E711*VLOOKUP(B711,TELAS!$A$4:$C$32,3,FALSE()),0)</f>
        <v>0</v>
      </c>
      <c r="G711" s="102">
        <f>IFERROR(IF(D711="OSCURO",VLOOKUP(B711,PRECIOS!$A$4:$F$32,2,FALSE()),IF(D711="CLARO",VLOOKUP(B711,PRECIOS!$A$4:$F$32,3,FALSE()),IF(D711="MELANGE",VLOOKUP(B711,PRECIOS!$A$4:$F$32,4,FALSE()),IF(D711="PPT",VLOOKUP(B711,PRECIOS!$A$4:$F$32,5,FALSE()),0)))),0)</f>
        <v>21</v>
      </c>
      <c r="H711" s="103">
        <f t="shared" si="1"/>
        <v>0</v>
      </c>
      <c r="I711" s="104" t="str">
        <f>IF(E711&lt;0,"ERROR",IF(E711=0,"",IF(E711&lt;CONFIG!$B$4,"CRÍTICO",IF(E711&lt;CONFIG!$B$5,"BAJO","OK"))))</f>
        <v/>
      </c>
    </row>
    <row r="712" ht="15.75" customHeight="1">
      <c r="A712" s="90" t="str">
        <f>IF(CLIENTES!A9="","",CLIENTES!A9)</f>
        <v/>
      </c>
      <c r="B712" s="67" t="str">
        <f>TELAS!A4</f>
        <v>jersey 30/1</v>
      </c>
      <c r="C712" s="67" t="str">
        <f>COLORES!A12</f>
        <v>Cemento</v>
      </c>
      <c r="D712" s="67" t="str">
        <f>COLORES!B12</f>
        <v>CLARO</v>
      </c>
      <c r="E712" s="100">
        <f>IFERROR(SUMIFS(MOVIMIENTOS!$F$4:$F$1000,MOVIMIENTOS!$C$4:$C$1000,A712,MOVIMIENTOS!$D$4:$D$1000,B712,MOVIMIENTOS!$E$4:$E$1000,C712,MOVIMIENTOS!$B$4:$B$1000,"INGRESO")+SUMIFS(MOVIMIENTOS!$F$4:$F$1000,MOVIMIENTOS!$C$4:$C$1000,A712,MOVIMIENTOS!$D$4:$D$1000,B712,MOVIMIENTOS!$E$4:$E$1000,C712,MOVIMIENTOS!$B$4:$B$1000,"DE REPROCESO")+SUMIFS(MOVIMIENTOS!$F$4:$F$1000,MOVIMIENTOS!$C$4:$C$1000,A712,MOVIMIENTOS!$D$4:$D$1000,B712,MOVIMIENTOS!$E$4:$E$1000,C712,MOVIMIENTOS!$B$4:$B$1000,"AJUSTE+")-SUMIFS(MOVIMIENTOS!$F$4:$F$1000,MOVIMIENTOS!$C$4:$C$1000,A712,MOVIMIENTOS!$D$4:$D$1000,B712,MOVIMIENTOS!$E$4:$E$1000,C712,MOVIMIENTOS!$B$4:$B$1000,"A CORTE")-SUMIFS(MOVIMIENTOS!$F$4:$F$1000,MOVIMIENTOS!$C$4:$C$1000,A712,MOVIMIENTOS!$D$4:$D$1000,B712,MOVIMIENTOS!$E$4:$E$1000,C712,MOVIMIENTOS!$B$4:$B$1000,"A REPROCESO")-SUMIFS(MOVIMIENTOS!$F$4:$F$1000,MOVIMIENTOS!$C$4:$C$1000,A712,MOVIMIENTOS!$D$4:$D$1000,B712,MOVIMIENTOS!$E$4:$E$1000,C712,MOVIMIENTOS!$B$4:$B$1000,"MUESTRA")-SUMIFS(MOVIMIENTOS!$F$4:$F$1000,MOVIMIENTOS!$C$4:$C$1000,A712,MOVIMIENTOS!$D$4:$D$1000,B712,MOVIMIENTOS!$E$4:$E$1000,C712,MOVIMIENTOS!$B$4:$B$1000,"AJUSTE-"),0)</f>
        <v>0</v>
      </c>
      <c r="F712" s="101">
        <f>IFERROR(E712*VLOOKUP(B712,TELAS!$A$4:$C$32,3,FALSE()),0)</f>
        <v>0</v>
      </c>
      <c r="G712" s="102">
        <f>IFERROR(IF(D712="OSCURO",VLOOKUP(B712,PRECIOS!$A$4:$F$32,2,FALSE()),IF(D712="CLARO",VLOOKUP(B712,PRECIOS!$A$4:$F$32,3,FALSE()),IF(D712="MELANGE",VLOOKUP(B712,PRECIOS!$A$4:$F$32,4,FALSE()),IF(D712="PPT",VLOOKUP(B712,PRECIOS!$A$4:$F$32,5,FALSE()),0)))),0)</f>
        <v>21</v>
      </c>
      <c r="H712" s="103">
        <f t="shared" si="1"/>
        <v>0</v>
      </c>
      <c r="I712" s="104" t="str">
        <f>IF(E712&lt;0,"ERROR",IF(E712=0,"",IF(E712&lt;CONFIG!$B$4,"CRÍTICO",IF(E712&lt;CONFIG!$B$5,"BAJO","OK"))))</f>
        <v/>
      </c>
    </row>
    <row r="713" ht="15.75" customHeight="1">
      <c r="A713" s="90" t="str">
        <f>IF(CLIENTES!A9="","",CLIENTES!A9)</f>
        <v/>
      </c>
      <c r="B713" s="67" t="str">
        <f>TELAS!A4</f>
        <v>jersey 30/1</v>
      </c>
      <c r="C713" s="67" t="str">
        <f>COLORES!A13</f>
        <v>Camote</v>
      </c>
      <c r="D713" s="67" t="str">
        <f>COLORES!B13</f>
        <v>CLARO</v>
      </c>
      <c r="E713" s="100">
        <f>IFERROR(SUMIFS(MOVIMIENTOS!$F$4:$F$1000,MOVIMIENTOS!$C$4:$C$1000,A713,MOVIMIENTOS!$D$4:$D$1000,B713,MOVIMIENTOS!$E$4:$E$1000,C713,MOVIMIENTOS!$B$4:$B$1000,"INGRESO")+SUMIFS(MOVIMIENTOS!$F$4:$F$1000,MOVIMIENTOS!$C$4:$C$1000,A713,MOVIMIENTOS!$D$4:$D$1000,B713,MOVIMIENTOS!$E$4:$E$1000,C713,MOVIMIENTOS!$B$4:$B$1000,"DE REPROCESO")+SUMIFS(MOVIMIENTOS!$F$4:$F$1000,MOVIMIENTOS!$C$4:$C$1000,A713,MOVIMIENTOS!$D$4:$D$1000,B713,MOVIMIENTOS!$E$4:$E$1000,C713,MOVIMIENTOS!$B$4:$B$1000,"AJUSTE+")-SUMIFS(MOVIMIENTOS!$F$4:$F$1000,MOVIMIENTOS!$C$4:$C$1000,A713,MOVIMIENTOS!$D$4:$D$1000,B713,MOVIMIENTOS!$E$4:$E$1000,C713,MOVIMIENTOS!$B$4:$B$1000,"A CORTE")-SUMIFS(MOVIMIENTOS!$F$4:$F$1000,MOVIMIENTOS!$C$4:$C$1000,A713,MOVIMIENTOS!$D$4:$D$1000,B713,MOVIMIENTOS!$E$4:$E$1000,C713,MOVIMIENTOS!$B$4:$B$1000,"A REPROCESO")-SUMIFS(MOVIMIENTOS!$F$4:$F$1000,MOVIMIENTOS!$C$4:$C$1000,A713,MOVIMIENTOS!$D$4:$D$1000,B713,MOVIMIENTOS!$E$4:$E$1000,C713,MOVIMIENTOS!$B$4:$B$1000,"MUESTRA")-SUMIFS(MOVIMIENTOS!$F$4:$F$1000,MOVIMIENTOS!$C$4:$C$1000,A713,MOVIMIENTOS!$D$4:$D$1000,B713,MOVIMIENTOS!$E$4:$E$1000,C713,MOVIMIENTOS!$B$4:$B$1000,"AJUSTE-"),0)</f>
        <v>0</v>
      </c>
      <c r="F713" s="101">
        <f>IFERROR(E713*VLOOKUP(B713,TELAS!$A$4:$C$32,3,FALSE()),0)</f>
        <v>0</v>
      </c>
      <c r="G713" s="102">
        <f>IFERROR(IF(D713="OSCURO",VLOOKUP(B713,PRECIOS!$A$4:$F$32,2,FALSE()),IF(D713="CLARO",VLOOKUP(B713,PRECIOS!$A$4:$F$32,3,FALSE()),IF(D713="MELANGE",VLOOKUP(B713,PRECIOS!$A$4:$F$32,4,FALSE()),IF(D713="PPT",VLOOKUP(B713,PRECIOS!$A$4:$F$32,5,FALSE()),0)))),0)</f>
        <v>21</v>
      </c>
      <c r="H713" s="103">
        <f t="shared" si="1"/>
        <v>0</v>
      </c>
      <c r="I713" s="104" t="str">
        <f>IF(E713&lt;0,"ERROR",IF(E713=0,"",IF(E713&lt;CONFIG!$B$4,"CRÍTICO",IF(E713&lt;CONFIG!$B$5,"BAJO","OK"))))</f>
        <v/>
      </c>
    </row>
    <row r="714" ht="15.75" customHeight="1">
      <c r="A714" s="90" t="str">
        <f>IF(CLIENTES!A9="","",CLIENTES!A9)</f>
        <v/>
      </c>
      <c r="B714" s="67" t="str">
        <f>TELAS!A4</f>
        <v>jersey 30/1</v>
      </c>
      <c r="C714" s="67" t="str">
        <f>COLORES!A14</f>
        <v>Denim</v>
      </c>
      <c r="D714" s="67" t="str">
        <f>COLORES!B14</f>
        <v>CLARO</v>
      </c>
      <c r="E714" s="100">
        <f>IFERROR(SUMIFS(MOVIMIENTOS!$F$4:$F$1000,MOVIMIENTOS!$C$4:$C$1000,A714,MOVIMIENTOS!$D$4:$D$1000,B714,MOVIMIENTOS!$E$4:$E$1000,C714,MOVIMIENTOS!$B$4:$B$1000,"INGRESO")+SUMIFS(MOVIMIENTOS!$F$4:$F$1000,MOVIMIENTOS!$C$4:$C$1000,A714,MOVIMIENTOS!$D$4:$D$1000,B714,MOVIMIENTOS!$E$4:$E$1000,C714,MOVIMIENTOS!$B$4:$B$1000,"DE REPROCESO")+SUMIFS(MOVIMIENTOS!$F$4:$F$1000,MOVIMIENTOS!$C$4:$C$1000,A714,MOVIMIENTOS!$D$4:$D$1000,B714,MOVIMIENTOS!$E$4:$E$1000,C714,MOVIMIENTOS!$B$4:$B$1000,"AJUSTE+")-SUMIFS(MOVIMIENTOS!$F$4:$F$1000,MOVIMIENTOS!$C$4:$C$1000,A714,MOVIMIENTOS!$D$4:$D$1000,B714,MOVIMIENTOS!$E$4:$E$1000,C714,MOVIMIENTOS!$B$4:$B$1000,"A CORTE")-SUMIFS(MOVIMIENTOS!$F$4:$F$1000,MOVIMIENTOS!$C$4:$C$1000,A714,MOVIMIENTOS!$D$4:$D$1000,B714,MOVIMIENTOS!$E$4:$E$1000,C714,MOVIMIENTOS!$B$4:$B$1000,"A REPROCESO")-SUMIFS(MOVIMIENTOS!$F$4:$F$1000,MOVIMIENTOS!$C$4:$C$1000,A714,MOVIMIENTOS!$D$4:$D$1000,B714,MOVIMIENTOS!$E$4:$E$1000,C714,MOVIMIENTOS!$B$4:$B$1000,"MUESTRA")-SUMIFS(MOVIMIENTOS!$F$4:$F$1000,MOVIMIENTOS!$C$4:$C$1000,A714,MOVIMIENTOS!$D$4:$D$1000,B714,MOVIMIENTOS!$E$4:$E$1000,C714,MOVIMIENTOS!$B$4:$B$1000,"AJUSTE-"),0)</f>
        <v>0</v>
      </c>
      <c r="F714" s="101">
        <f>IFERROR(E714*VLOOKUP(B714,TELAS!$A$4:$C$32,3,FALSE()),0)</f>
        <v>0</v>
      </c>
      <c r="G714" s="102">
        <f>IFERROR(IF(D714="OSCURO",VLOOKUP(B714,PRECIOS!$A$4:$F$32,2,FALSE()),IF(D714="CLARO",VLOOKUP(B714,PRECIOS!$A$4:$F$32,3,FALSE()),IF(D714="MELANGE",VLOOKUP(B714,PRECIOS!$A$4:$F$32,4,FALSE()),IF(D714="PPT",VLOOKUP(B714,PRECIOS!$A$4:$F$32,5,FALSE()),0)))),0)</f>
        <v>21</v>
      </c>
      <c r="H714" s="103">
        <f t="shared" si="1"/>
        <v>0</v>
      </c>
      <c r="I714" s="104" t="str">
        <f>IF(E714&lt;0,"ERROR",IF(E714=0,"",IF(E714&lt;CONFIG!$B$4,"CRÍTICO",IF(E714&lt;CONFIG!$B$5,"BAJO","OK"))))</f>
        <v/>
      </c>
    </row>
    <row r="715" ht="15.75" customHeight="1">
      <c r="A715" s="90" t="str">
        <f>IF(CLIENTES!A9="","",CLIENTES!A9)</f>
        <v/>
      </c>
      <c r="B715" s="67" t="str">
        <f>TELAS!A4</f>
        <v>jersey 30/1</v>
      </c>
      <c r="C715" s="67" t="str">
        <f>COLORES!A15</f>
        <v>Plomo</v>
      </c>
      <c r="D715" s="67" t="str">
        <f>COLORES!B15</f>
        <v>OSCURO</v>
      </c>
      <c r="E715" s="100">
        <f>IFERROR(SUMIFS(MOVIMIENTOS!$F$4:$F$1000,MOVIMIENTOS!$C$4:$C$1000,A715,MOVIMIENTOS!$D$4:$D$1000,B715,MOVIMIENTOS!$E$4:$E$1000,C715,MOVIMIENTOS!$B$4:$B$1000,"INGRESO")+SUMIFS(MOVIMIENTOS!$F$4:$F$1000,MOVIMIENTOS!$C$4:$C$1000,A715,MOVIMIENTOS!$D$4:$D$1000,B715,MOVIMIENTOS!$E$4:$E$1000,C715,MOVIMIENTOS!$B$4:$B$1000,"DE REPROCESO")+SUMIFS(MOVIMIENTOS!$F$4:$F$1000,MOVIMIENTOS!$C$4:$C$1000,A715,MOVIMIENTOS!$D$4:$D$1000,B715,MOVIMIENTOS!$E$4:$E$1000,C715,MOVIMIENTOS!$B$4:$B$1000,"AJUSTE+")-SUMIFS(MOVIMIENTOS!$F$4:$F$1000,MOVIMIENTOS!$C$4:$C$1000,A715,MOVIMIENTOS!$D$4:$D$1000,B715,MOVIMIENTOS!$E$4:$E$1000,C715,MOVIMIENTOS!$B$4:$B$1000,"A CORTE")-SUMIFS(MOVIMIENTOS!$F$4:$F$1000,MOVIMIENTOS!$C$4:$C$1000,A715,MOVIMIENTOS!$D$4:$D$1000,B715,MOVIMIENTOS!$E$4:$E$1000,C715,MOVIMIENTOS!$B$4:$B$1000,"A REPROCESO")-SUMIFS(MOVIMIENTOS!$F$4:$F$1000,MOVIMIENTOS!$C$4:$C$1000,A715,MOVIMIENTOS!$D$4:$D$1000,B715,MOVIMIENTOS!$E$4:$E$1000,C715,MOVIMIENTOS!$B$4:$B$1000,"MUESTRA")-SUMIFS(MOVIMIENTOS!$F$4:$F$1000,MOVIMIENTOS!$C$4:$C$1000,A715,MOVIMIENTOS!$D$4:$D$1000,B715,MOVIMIENTOS!$E$4:$E$1000,C715,MOVIMIENTOS!$B$4:$B$1000,"AJUSTE-"),0)</f>
        <v>0</v>
      </c>
      <c r="F715" s="101">
        <f>IFERROR(E715*VLOOKUP(B715,TELAS!$A$4:$C$32,3,FALSE()),0)</f>
        <v>0</v>
      </c>
      <c r="G715" s="102">
        <f>IFERROR(IF(D715="OSCURO",VLOOKUP(B715,PRECIOS!$A$4:$F$32,2,FALSE()),IF(D715="CLARO",VLOOKUP(B715,PRECIOS!$A$4:$F$32,3,FALSE()),IF(D715="MELANGE",VLOOKUP(B715,PRECIOS!$A$4:$F$32,4,FALSE()),IF(D715="PPT",VLOOKUP(B715,PRECIOS!$A$4:$F$32,5,FALSE()),0)))),0)</f>
        <v>24</v>
      </c>
      <c r="H715" s="103">
        <f t="shared" si="1"/>
        <v>0</v>
      </c>
      <c r="I715" s="104" t="str">
        <f>IF(E715&lt;0,"ERROR",IF(E715=0,"",IF(E715&lt;CONFIG!$B$4,"CRÍTICO",IF(E715&lt;CONFIG!$B$5,"BAJO","OK"))))</f>
        <v/>
      </c>
    </row>
    <row r="716" ht="15.75" customHeight="1">
      <c r="A716" s="90" t="str">
        <f>IF(CLIENTES!A9="","",CLIENTES!A9)</f>
        <v/>
      </c>
      <c r="B716" s="67" t="str">
        <f>TELAS!A4</f>
        <v>jersey 30/1</v>
      </c>
      <c r="C716" s="67" t="str">
        <f>COLORES!A16</f>
        <v>Topo</v>
      </c>
      <c r="D716" s="67" t="str">
        <f>COLORES!B16</f>
        <v>CLARO</v>
      </c>
      <c r="E716" s="100">
        <f>IFERROR(SUMIFS(MOVIMIENTOS!$F$4:$F$1000,MOVIMIENTOS!$C$4:$C$1000,A716,MOVIMIENTOS!$D$4:$D$1000,B716,MOVIMIENTOS!$E$4:$E$1000,C716,MOVIMIENTOS!$B$4:$B$1000,"INGRESO")+SUMIFS(MOVIMIENTOS!$F$4:$F$1000,MOVIMIENTOS!$C$4:$C$1000,A716,MOVIMIENTOS!$D$4:$D$1000,B716,MOVIMIENTOS!$E$4:$E$1000,C716,MOVIMIENTOS!$B$4:$B$1000,"DE REPROCESO")+SUMIFS(MOVIMIENTOS!$F$4:$F$1000,MOVIMIENTOS!$C$4:$C$1000,A716,MOVIMIENTOS!$D$4:$D$1000,B716,MOVIMIENTOS!$E$4:$E$1000,C716,MOVIMIENTOS!$B$4:$B$1000,"AJUSTE+")-SUMIFS(MOVIMIENTOS!$F$4:$F$1000,MOVIMIENTOS!$C$4:$C$1000,A716,MOVIMIENTOS!$D$4:$D$1000,B716,MOVIMIENTOS!$E$4:$E$1000,C716,MOVIMIENTOS!$B$4:$B$1000,"A CORTE")-SUMIFS(MOVIMIENTOS!$F$4:$F$1000,MOVIMIENTOS!$C$4:$C$1000,A716,MOVIMIENTOS!$D$4:$D$1000,B716,MOVIMIENTOS!$E$4:$E$1000,C716,MOVIMIENTOS!$B$4:$B$1000,"A REPROCESO")-SUMIFS(MOVIMIENTOS!$F$4:$F$1000,MOVIMIENTOS!$C$4:$C$1000,A716,MOVIMIENTOS!$D$4:$D$1000,B716,MOVIMIENTOS!$E$4:$E$1000,C716,MOVIMIENTOS!$B$4:$B$1000,"MUESTRA")-SUMIFS(MOVIMIENTOS!$F$4:$F$1000,MOVIMIENTOS!$C$4:$C$1000,A716,MOVIMIENTOS!$D$4:$D$1000,B716,MOVIMIENTOS!$E$4:$E$1000,C716,MOVIMIENTOS!$B$4:$B$1000,"AJUSTE-"),0)</f>
        <v>0</v>
      </c>
      <c r="F716" s="101">
        <f>IFERROR(E716*VLOOKUP(B716,TELAS!$A$4:$C$32,3,FALSE()),0)</f>
        <v>0</v>
      </c>
      <c r="G716" s="102">
        <f>IFERROR(IF(D716="OSCURO",VLOOKUP(B716,PRECIOS!$A$4:$F$32,2,FALSE()),IF(D716="CLARO",VLOOKUP(B716,PRECIOS!$A$4:$F$32,3,FALSE()),IF(D716="MELANGE",VLOOKUP(B716,PRECIOS!$A$4:$F$32,4,FALSE()),IF(D716="PPT",VLOOKUP(B716,PRECIOS!$A$4:$F$32,5,FALSE()),0)))),0)</f>
        <v>21</v>
      </c>
      <c r="H716" s="103">
        <f t="shared" si="1"/>
        <v>0</v>
      </c>
      <c r="I716" s="104" t="str">
        <f>IF(E716&lt;0,"ERROR",IF(E716=0,"",IF(E716&lt;CONFIG!$B$4,"CRÍTICO",IF(E716&lt;CONFIG!$B$5,"BAJO","OK"))))</f>
        <v/>
      </c>
    </row>
    <row r="717" ht="15.75" customHeight="1">
      <c r="A717" s="90" t="str">
        <f>IF(CLIENTES!A9="","",CLIENTES!A9)</f>
        <v/>
      </c>
      <c r="B717" s="67" t="str">
        <f>TELAS!A4</f>
        <v>jersey 30/1</v>
      </c>
      <c r="C717" s="67" t="str">
        <f>COLORES!A17</f>
        <v>Vino</v>
      </c>
      <c r="D717" s="67" t="str">
        <f>COLORES!B17</f>
        <v>OSCURO</v>
      </c>
      <c r="E717" s="100">
        <f>IFERROR(SUMIFS(MOVIMIENTOS!$F$4:$F$1000,MOVIMIENTOS!$C$4:$C$1000,A717,MOVIMIENTOS!$D$4:$D$1000,B717,MOVIMIENTOS!$E$4:$E$1000,C717,MOVIMIENTOS!$B$4:$B$1000,"INGRESO")+SUMIFS(MOVIMIENTOS!$F$4:$F$1000,MOVIMIENTOS!$C$4:$C$1000,A717,MOVIMIENTOS!$D$4:$D$1000,B717,MOVIMIENTOS!$E$4:$E$1000,C717,MOVIMIENTOS!$B$4:$B$1000,"DE REPROCESO")+SUMIFS(MOVIMIENTOS!$F$4:$F$1000,MOVIMIENTOS!$C$4:$C$1000,A717,MOVIMIENTOS!$D$4:$D$1000,B717,MOVIMIENTOS!$E$4:$E$1000,C717,MOVIMIENTOS!$B$4:$B$1000,"AJUSTE+")-SUMIFS(MOVIMIENTOS!$F$4:$F$1000,MOVIMIENTOS!$C$4:$C$1000,A717,MOVIMIENTOS!$D$4:$D$1000,B717,MOVIMIENTOS!$E$4:$E$1000,C717,MOVIMIENTOS!$B$4:$B$1000,"A CORTE")-SUMIFS(MOVIMIENTOS!$F$4:$F$1000,MOVIMIENTOS!$C$4:$C$1000,A717,MOVIMIENTOS!$D$4:$D$1000,B717,MOVIMIENTOS!$E$4:$E$1000,C717,MOVIMIENTOS!$B$4:$B$1000,"A REPROCESO")-SUMIFS(MOVIMIENTOS!$F$4:$F$1000,MOVIMIENTOS!$C$4:$C$1000,A717,MOVIMIENTOS!$D$4:$D$1000,B717,MOVIMIENTOS!$E$4:$E$1000,C717,MOVIMIENTOS!$B$4:$B$1000,"MUESTRA")-SUMIFS(MOVIMIENTOS!$F$4:$F$1000,MOVIMIENTOS!$C$4:$C$1000,A717,MOVIMIENTOS!$D$4:$D$1000,B717,MOVIMIENTOS!$E$4:$E$1000,C717,MOVIMIENTOS!$B$4:$B$1000,"AJUSTE-"),0)</f>
        <v>0</v>
      </c>
      <c r="F717" s="101">
        <f>IFERROR(E717*VLOOKUP(B717,TELAS!$A$4:$C$32,3,FALSE()),0)</f>
        <v>0</v>
      </c>
      <c r="G717" s="102">
        <f>IFERROR(IF(D717="OSCURO",VLOOKUP(B717,PRECIOS!$A$4:$F$32,2,FALSE()),IF(D717="CLARO",VLOOKUP(B717,PRECIOS!$A$4:$F$32,3,FALSE()),IF(D717="MELANGE",VLOOKUP(B717,PRECIOS!$A$4:$F$32,4,FALSE()),IF(D717="PPT",VLOOKUP(B717,PRECIOS!$A$4:$F$32,5,FALSE()),0)))),0)</f>
        <v>24</v>
      </c>
      <c r="H717" s="103">
        <f t="shared" si="1"/>
        <v>0</v>
      </c>
      <c r="I717" s="104" t="str">
        <f>IF(E717&lt;0,"ERROR",IF(E717=0,"",IF(E717&lt;CONFIG!$B$4,"CRÍTICO",IF(E717&lt;CONFIG!$B$5,"BAJO","OK"))))</f>
        <v/>
      </c>
    </row>
    <row r="718" ht="15.75" customHeight="1">
      <c r="A718" s="90" t="str">
        <f>IF(CLIENTES!A9="","",CLIENTES!A9)</f>
        <v/>
      </c>
      <c r="B718" s="67" t="str">
        <f>TELAS!A4</f>
        <v>jersey 30/1</v>
      </c>
      <c r="C718" s="67" t="str">
        <f>COLORES!A18</f>
        <v>P. Rosa</v>
      </c>
      <c r="D718" s="67" t="str">
        <f>COLORES!B18</f>
        <v>CLARO</v>
      </c>
      <c r="E718" s="100">
        <f>IFERROR(SUMIFS(MOVIMIENTOS!$F$4:$F$1000,MOVIMIENTOS!$C$4:$C$1000,A718,MOVIMIENTOS!$D$4:$D$1000,B718,MOVIMIENTOS!$E$4:$E$1000,C718,MOVIMIENTOS!$B$4:$B$1000,"INGRESO")+SUMIFS(MOVIMIENTOS!$F$4:$F$1000,MOVIMIENTOS!$C$4:$C$1000,A718,MOVIMIENTOS!$D$4:$D$1000,B718,MOVIMIENTOS!$E$4:$E$1000,C718,MOVIMIENTOS!$B$4:$B$1000,"DE REPROCESO")+SUMIFS(MOVIMIENTOS!$F$4:$F$1000,MOVIMIENTOS!$C$4:$C$1000,A718,MOVIMIENTOS!$D$4:$D$1000,B718,MOVIMIENTOS!$E$4:$E$1000,C718,MOVIMIENTOS!$B$4:$B$1000,"AJUSTE+")-SUMIFS(MOVIMIENTOS!$F$4:$F$1000,MOVIMIENTOS!$C$4:$C$1000,A718,MOVIMIENTOS!$D$4:$D$1000,B718,MOVIMIENTOS!$E$4:$E$1000,C718,MOVIMIENTOS!$B$4:$B$1000,"A CORTE")-SUMIFS(MOVIMIENTOS!$F$4:$F$1000,MOVIMIENTOS!$C$4:$C$1000,A718,MOVIMIENTOS!$D$4:$D$1000,B718,MOVIMIENTOS!$E$4:$E$1000,C718,MOVIMIENTOS!$B$4:$B$1000,"A REPROCESO")-SUMIFS(MOVIMIENTOS!$F$4:$F$1000,MOVIMIENTOS!$C$4:$C$1000,A718,MOVIMIENTOS!$D$4:$D$1000,B718,MOVIMIENTOS!$E$4:$E$1000,C718,MOVIMIENTOS!$B$4:$B$1000,"MUESTRA")-SUMIFS(MOVIMIENTOS!$F$4:$F$1000,MOVIMIENTOS!$C$4:$C$1000,A718,MOVIMIENTOS!$D$4:$D$1000,B718,MOVIMIENTOS!$E$4:$E$1000,C718,MOVIMIENTOS!$B$4:$B$1000,"AJUSTE-"),0)</f>
        <v>0</v>
      </c>
      <c r="F718" s="101">
        <f>IFERROR(E718*VLOOKUP(B718,TELAS!$A$4:$C$32,3,FALSE()),0)</f>
        <v>0</v>
      </c>
      <c r="G718" s="102">
        <f>IFERROR(IF(D718="OSCURO",VLOOKUP(B718,PRECIOS!$A$4:$F$32,2,FALSE()),IF(D718="CLARO",VLOOKUP(B718,PRECIOS!$A$4:$F$32,3,FALSE()),IF(D718="MELANGE",VLOOKUP(B718,PRECIOS!$A$4:$F$32,4,FALSE()),IF(D718="PPT",VLOOKUP(B718,PRECIOS!$A$4:$F$32,5,FALSE()),0)))),0)</f>
        <v>21</v>
      </c>
      <c r="H718" s="103">
        <f t="shared" si="1"/>
        <v>0</v>
      </c>
      <c r="I718" s="104" t="str">
        <f>IF(E718&lt;0,"ERROR",IF(E718=0,"",IF(E718&lt;CONFIG!$B$4,"CRÍTICO",IF(E718&lt;CONFIG!$B$5,"BAJO","OK"))))</f>
        <v/>
      </c>
    </row>
    <row r="719" ht="15.75" customHeight="1">
      <c r="A719" s="90" t="str">
        <f>IF(CLIENTES!A9="","",CLIENTES!A9)</f>
        <v/>
      </c>
      <c r="B719" s="67" t="str">
        <f>TELAS!A4</f>
        <v>jersey 30/1</v>
      </c>
      <c r="C719" s="67" t="str">
        <f>COLORES!A19</f>
        <v/>
      </c>
      <c r="D719" s="67" t="str">
        <f>COLORES!B19</f>
        <v/>
      </c>
      <c r="E719" s="100">
        <f>IFERROR(SUMIFS(MOVIMIENTOS!$F$4:$F$1000,MOVIMIENTOS!$C$4:$C$1000,A719,MOVIMIENTOS!$D$4:$D$1000,B719,MOVIMIENTOS!$E$4:$E$1000,C719,MOVIMIENTOS!$B$4:$B$1000,"INGRESO")+SUMIFS(MOVIMIENTOS!$F$4:$F$1000,MOVIMIENTOS!$C$4:$C$1000,A719,MOVIMIENTOS!$D$4:$D$1000,B719,MOVIMIENTOS!$E$4:$E$1000,C719,MOVIMIENTOS!$B$4:$B$1000,"DE REPROCESO")+SUMIFS(MOVIMIENTOS!$F$4:$F$1000,MOVIMIENTOS!$C$4:$C$1000,A719,MOVIMIENTOS!$D$4:$D$1000,B719,MOVIMIENTOS!$E$4:$E$1000,C719,MOVIMIENTOS!$B$4:$B$1000,"AJUSTE+")-SUMIFS(MOVIMIENTOS!$F$4:$F$1000,MOVIMIENTOS!$C$4:$C$1000,A719,MOVIMIENTOS!$D$4:$D$1000,B719,MOVIMIENTOS!$E$4:$E$1000,C719,MOVIMIENTOS!$B$4:$B$1000,"A CORTE")-SUMIFS(MOVIMIENTOS!$F$4:$F$1000,MOVIMIENTOS!$C$4:$C$1000,A719,MOVIMIENTOS!$D$4:$D$1000,B719,MOVIMIENTOS!$E$4:$E$1000,C719,MOVIMIENTOS!$B$4:$B$1000,"A REPROCESO")-SUMIFS(MOVIMIENTOS!$F$4:$F$1000,MOVIMIENTOS!$C$4:$C$1000,A719,MOVIMIENTOS!$D$4:$D$1000,B719,MOVIMIENTOS!$E$4:$E$1000,C719,MOVIMIENTOS!$B$4:$B$1000,"MUESTRA")-SUMIFS(MOVIMIENTOS!$F$4:$F$1000,MOVIMIENTOS!$C$4:$C$1000,A719,MOVIMIENTOS!$D$4:$D$1000,B719,MOVIMIENTOS!$E$4:$E$1000,C719,MOVIMIENTOS!$B$4:$B$1000,"AJUSTE-"),0)</f>
        <v>0</v>
      </c>
      <c r="F719" s="101">
        <f>IFERROR(E719*VLOOKUP(B719,TELAS!$A$4:$C$32,3,FALSE()),0)</f>
        <v>0</v>
      </c>
      <c r="G719" s="102">
        <f>IFERROR(IF(D719="OSCURO",VLOOKUP(B719,PRECIOS!$A$4:$F$32,2,FALSE()),IF(D719="CLARO",VLOOKUP(B719,PRECIOS!$A$4:$F$32,3,FALSE()),IF(D719="MELANGE",VLOOKUP(B719,PRECIOS!$A$4:$F$32,4,FALSE()),IF(D719="PPT",VLOOKUP(B719,PRECIOS!$A$4:$F$32,5,FALSE()),0)))),0)</f>
        <v>0</v>
      </c>
      <c r="H719" s="103">
        <f t="shared" si="1"/>
        <v>0</v>
      </c>
      <c r="I719" s="104" t="str">
        <f>IF(E719&lt;0,"ERROR",IF(E719=0,"",IF(E719&lt;CONFIG!$B$4,"CRÍTICO",IF(E719&lt;CONFIG!$B$5,"BAJO","OK"))))</f>
        <v/>
      </c>
    </row>
    <row r="720" ht="15.75" customHeight="1">
      <c r="A720" s="90" t="str">
        <f>IF(CLIENTES!A9="","",CLIENTES!A9)</f>
        <v/>
      </c>
      <c r="B720" s="67" t="str">
        <f>TELAS!A4</f>
        <v>jersey 30/1</v>
      </c>
      <c r="C720" s="67" t="str">
        <f>COLORES!A20</f>
        <v/>
      </c>
      <c r="D720" s="67" t="str">
        <f>COLORES!B20</f>
        <v/>
      </c>
      <c r="E720" s="100">
        <f>IFERROR(SUMIFS(MOVIMIENTOS!$F$4:$F$1000,MOVIMIENTOS!$C$4:$C$1000,A720,MOVIMIENTOS!$D$4:$D$1000,B720,MOVIMIENTOS!$E$4:$E$1000,C720,MOVIMIENTOS!$B$4:$B$1000,"INGRESO")+SUMIFS(MOVIMIENTOS!$F$4:$F$1000,MOVIMIENTOS!$C$4:$C$1000,A720,MOVIMIENTOS!$D$4:$D$1000,B720,MOVIMIENTOS!$E$4:$E$1000,C720,MOVIMIENTOS!$B$4:$B$1000,"DE REPROCESO")+SUMIFS(MOVIMIENTOS!$F$4:$F$1000,MOVIMIENTOS!$C$4:$C$1000,A720,MOVIMIENTOS!$D$4:$D$1000,B720,MOVIMIENTOS!$E$4:$E$1000,C720,MOVIMIENTOS!$B$4:$B$1000,"AJUSTE+")-SUMIFS(MOVIMIENTOS!$F$4:$F$1000,MOVIMIENTOS!$C$4:$C$1000,A720,MOVIMIENTOS!$D$4:$D$1000,B720,MOVIMIENTOS!$E$4:$E$1000,C720,MOVIMIENTOS!$B$4:$B$1000,"A CORTE")-SUMIFS(MOVIMIENTOS!$F$4:$F$1000,MOVIMIENTOS!$C$4:$C$1000,A720,MOVIMIENTOS!$D$4:$D$1000,B720,MOVIMIENTOS!$E$4:$E$1000,C720,MOVIMIENTOS!$B$4:$B$1000,"A REPROCESO")-SUMIFS(MOVIMIENTOS!$F$4:$F$1000,MOVIMIENTOS!$C$4:$C$1000,A720,MOVIMIENTOS!$D$4:$D$1000,B720,MOVIMIENTOS!$E$4:$E$1000,C720,MOVIMIENTOS!$B$4:$B$1000,"MUESTRA")-SUMIFS(MOVIMIENTOS!$F$4:$F$1000,MOVIMIENTOS!$C$4:$C$1000,A720,MOVIMIENTOS!$D$4:$D$1000,B720,MOVIMIENTOS!$E$4:$E$1000,C720,MOVIMIENTOS!$B$4:$B$1000,"AJUSTE-"),0)</f>
        <v>0</v>
      </c>
      <c r="F720" s="101">
        <f>IFERROR(E720*VLOOKUP(B720,TELAS!$A$4:$C$32,3,FALSE()),0)</f>
        <v>0</v>
      </c>
      <c r="G720" s="102">
        <f>IFERROR(IF(D720="OSCURO",VLOOKUP(B720,PRECIOS!$A$4:$F$32,2,FALSE()),IF(D720="CLARO",VLOOKUP(B720,PRECIOS!$A$4:$F$32,3,FALSE()),IF(D720="MELANGE",VLOOKUP(B720,PRECIOS!$A$4:$F$32,4,FALSE()),IF(D720="PPT",VLOOKUP(B720,PRECIOS!$A$4:$F$32,5,FALSE()),0)))),0)</f>
        <v>0</v>
      </c>
      <c r="H720" s="103">
        <f t="shared" si="1"/>
        <v>0</v>
      </c>
      <c r="I720" s="104" t="str">
        <f>IF(E720&lt;0,"ERROR",IF(E720=0,"",IF(E720&lt;CONFIG!$B$4,"CRÍTICO",IF(E720&lt;CONFIG!$B$5,"BAJO","OK"))))</f>
        <v/>
      </c>
    </row>
    <row r="721" ht="15.75" customHeight="1">
      <c r="A721" s="90" t="str">
        <f>IF(CLIENTES!A9="","",CLIENTES!A9)</f>
        <v/>
      </c>
      <c r="B721" s="67" t="str">
        <f>TELAS!A4</f>
        <v>jersey 30/1</v>
      </c>
      <c r="C721" s="67" t="str">
        <f>COLORES!A21</f>
        <v/>
      </c>
      <c r="D721" s="67" t="str">
        <f>COLORES!B21</f>
        <v/>
      </c>
      <c r="E721" s="100">
        <f>IFERROR(SUMIFS(MOVIMIENTOS!$F$4:$F$1000,MOVIMIENTOS!$C$4:$C$1000,A721,MOVIMIENTOS!$D$4:$D$1000,B721,MOVIMIENTOS!$E$4:$E$1000,C721,MOVIMIENTOS!$B$4:$B$1000,"INGRESO")+SUMIFS(MOVIMIENTOS!$F$4:$F$1000,MOVIMIENTOS!$C$4:$C$1000,A721,MOVIMIENTOS!$D$4:$D$1000,B721,MOVIMIENTOS!$E$4:$E$1000,C721,MOVIMIENTOS!$B$4:$B$1000,"DE REPROCESO")+SUMIFS(MOVIMIENTOS!$F$4:$F$1000,MOVIMIENTOS!$C$4:$C$1000,A721,MOVIMIENTOS!$D$4:$D$1000,B721,MOVIMIENTOS!$E$4:$E$1000,C721,MOVIMIENTOS!$B$4:$B$1000,"AJUSTE+")-SUMIFS(MOVIMIENTOS!$F$4:$F$1000,MOVIMIENTOS!$C$4:$C$1000,A721,MOVIMIENTOS!$D$4:$D$1000,B721,MOVIMIENTOS!$E$4:$E$1000,C721,MOVIMIENTOS!$B$4:$B$1000,"A CORTE")-SUMIFS(MOVIMIENTOS!$F$4:$F$1000,MOVIMIENTOS!$C$4:$C$1000,A721,MOVIMIENTOS!$D$4:$D$1000,B721,MOVIMIENTOS!$E$4:$E$1000,C721,MOVIMIENTOS!$B$4:$B$1000,"A REPROCESO")-SUMIFS(MOVIMIENTOS!$F$4:$F$1000,MOVIMIENTOS!$C$4:$C$1000,A721,MOVIMIENTOS!$D$4:$D$1000,B721,MOVIMIENTOS!$E$4:$E$1000,C721,MOVIMIENTOS!$B$4:$B$1000,"MUESTRA")-SUMIFS(MOVIMIENTOS!$F$4:$F$1000,MOVIMIENTOS!$C$4:$C$1000,A721,MOVIMIENTOS!$D$4:$D$1000,B721,MOVIMIENTOS!$E$4:$E$1000,C721,MOVIMIENTOS!$B$4:$B$1000,"AJUSTE-"),0)</f>
        <v>0</v>
      </c>
      <c r="F721" s="101">
        <f>IFERROR(E721*VLOOKUP(B721,TELAS!$A$4:$C$32,3,FALSE()),0)</f>
        <v>0</v>
      </c>
      <c r="G721" s="102">
        <f>IFERROR(IF(D721="OSCURO",VLOOKUP(B721,PRECIOS!$A$4:$F$32,2,FALSE()),IF(D721="CLARO",VLOOKUP(B721,PRECIOS!$A$4:$F$32,3,FALSE()),IF(D721="MELANGE",VLOOKUP(B721,PRECIOS!$A$4:$F$32,4,FALSE()),IF(D721="PPT",VLOOKUP(B721,PRECIOS!$A$4:$F$32,5,FALSE()),0)))),0)</f>
        <v>0</v>
      </c>
      <c r="H721" s="103">
        <f t="shared" si="1"/>
        <v>0</v>
      </c>
      <c r="I721" s="104" t="str">
        <f>IF(E721&lt;0,"ERROR",IF(E721=0,"",IF(E721&lt;CONFIG!$B$4,"CRÍTICO",IF(E721&lt;CONFIG!$B$5,"BAJO","OK"))))</f>
        <v/>
      </c>
    </row>
    <row r="722" ht="15.75" customHeight="1">
      <c r="A722" s="90" t="str">
        <f>IF(CLIENTES!A9="","",CLIENTES!A9)</f>
        <v/>
      </c>
      <c r="B722" s="67" t="str">
        <f>TELAS!A4</f>
        <v>jersey 30/1</v>
      </c>
      <c r="C722" s="67" t="str">
        <f>COLORES!A22</f>
        <v/>
      </c>
      <c r="D722" s="67" t="str">
        <f>COLORES!B22</f>
        <v/>
      </c>
      <c r="E722" s="100">
        <f>IFERROR(SUMIFS(MOVIMIENTOS!$F$4:$F$1000,MOVIMIENTOS!$C$4:$C$1000,A722,MOVIMIENTOS!$D$4:$D$1000,B722,MOVIMIENTOS!$E$4:$E$1000,C722,MOVIMIENTOS!$B$4:$B$1000,"INGRESO")+SUMIFS(MOVIMIENTOS!$F$4:$F$1000,MOVIMIENTOS!$C$4:$C$1000,A722,MOVIMIENTOS!$D$4:$D$1000,B722,MOVIMIENTOS!$E$4:$E$1000,C722,MOVIMIENTOS!$B$4:$B$1000,"DE REPROCESO")+SUMIFS(MOVIMIENTOS!$F$4:$F$1000,MOVIMIENTOS!$C$4:$C$1000,A722,MOVIMIENTOS!$D$4:$D$1000,B722,MOVIMIENTOS!$E$4:$E$1000,C722,MOVIMIENTOS!$B$4:$B$1000,"AJUSTE+")-SUMIFS(MOVIMIENTOS!$F$4:$F$1000,MOVIMIENTOS!$C$4:$C$1000,A722,MOVIMIENTOS!$D$4:$D$1000,B722,MOVIMIENTOS!$E$4:$E$1000,C722,MOVIMIENTOS!$B$4:$B$1000,"A CORTE")-SUMIFS(MOVIMIENTOS!$F$4:$F$1000,MOVIMIENTOS!$C$4:$C$1000,A722,MOVIMIENTOS!$D$4:$D$1000,B722,MOVIMIENTOS!$E$4:$E$1000,C722,MOVIMIENTOS!$B$4:$B$1000,"A REPROCESO")-SUMIFS(MOVIMIENTOS!$F$4:$F$1000,MOVIMIENTOS!$C$4:$C$1000,A722,MOVIMIENTOS!$D$4:$D$1000,B722,MOVIMIENTOS!$E$4:$E$1000,C722,MOVIMIENTOS!$B$4:$B$1000,"MUESTRA")-SUMIFS(MOVIMIENTOS!$F$4:$F$1000,MOVIMIENTOS!$C$4:$C$1000,A722,MOVIMIENTOS!$D$4:$D$1000,B722,MOVIMIENTOS!$E$4:$E$1000,C722,MOVIMIENTOS!$B$4:$B$1000,"AJUSTE-"),0)</f>
        <v>0</v>
      </c>
      <c r="F722" s="101">
        <f>IFERROR(E722*VLOOKUP(B722,TELAS!$A$4:$C$32,3,FALSE()),0)</f>
        <v>0</v>
      </c>
      <c r="G722" s="102">
        <f>IFERROR(IF(D722="OSCURO",VLOOKUP(B722,PRECIOS!$A$4:$F$32,2,FALSE()),IF(D722="CLARO",VLOOKUP(B722,PRECIOS!$A$4:$F$32,3,FALSE()),IF(D722="MELANGE",VLOOKUP(B722,PRECIOS!$A$4:$F$32,4,FALSE()),IF(D722="PPT",VLOOKUP(B722,PRECIOS!$A$4:$F$32,5,FALSE()),0)))),0)</f>
        <v>0</v>
      </c>
      <c r="H722" s="103">
        <f t="shared" si="1"/>
        <v>0</v>
      </c>
      <c r="I722" s="104" t="str">
        <f>IF(E722&lt;0,"ERROR",IF(E722=0,"",IF(E722&lt;CONFIG!$B$4,"CRÍTICO",IF(E722&lt;CONFIG!$B$5,"BAJO","OK"))))</f>
        <v/>
      </c>
    </row>
    <row r="723" ht="15.75" customHeight="1">
      <c r="A723" s="90" t="str">
        <f>IF(CLIENTES!A9="","",CLIENTES!A9)</f>
        <v/>
      </c>
      <c r="B723" s="67" t="str">
        <f>TELAS!A4</f>
        <v>jersey 30/1</v>
      </c>
      <c r="C723" s="67" t="str">
        <f>COLORES!A23</f>
        <v/>
      </c>
      <c r="D723" s="67" t="str">
        <f>COLORES!B23</f>
        <v/>
      </c>
      <c r="E723" s="100">
        <f>IFERROR(SUMIFS(MOVIMIENTOS!$F$4:$F$1000,MOVIMIENTOS!$C$4:$C$1000,A723,MOVIMIENTOS!$D$4:$D$1000,B723,MOVIMIENTOS!$E$4:$E$1000,C723,MOVIMIENTOS!$B$4:$B$1000,"INGRESO")+SUMIFS(MOVIMIENTOS!$F$4:$F$1000,MOVIMIENTOS!$C$4:$C$1000,A723,MOVIMIENTOS!$D$4:$D$1000,B723,MOVIMIENTOS!$E$4:$E$1000,C723,MOVIMIENTOS!$B$4:$B$1000,"DE REPROCESO")+SUMIFS(MOVIMIENTOS!$F$4:$F$1000,MOVIMIENTOS!$C$4:$C$1000,A723,MOVIMIENTOS!$D$4:$D$1000,B723,MOVIMIENTOS!$E$4:$E$1000,C723,MOVIMIENTOS!$B$4:$B$1000,"AJUSTE+")-SUMIFS(MOVIMIENTOS!$F$4:$F$1000,MOVIMIENTOS!$C$4:$C$1000,A723,MOVIMIENTOS!$D$4:$D$1000,B723,MOVIMIENTOS!$E$4:$E$1000,C723,MOVIMIENTOS!$B$4:$B$1000,"A CORTE")-SUMIFS(MOVIMIENTOS!$F$4:$F$1000,MOVIMIENTOS!$C$4:$C$1000,A723,MOVIMIENTOS!$D$4:$D$1000,B723,MOVIMIENTOS!$E$4:$E$1000,C723,MOVIMIENTOS!$B$4:$B$1000,"A REPROCESO")-SUMIFS(MOVIMIENTOS!$F$4:$F$1000,MOVIMIENTOS!$C$4:$C$1000,A723,MOVIMIENTOS!$D$4:$D$1000,B723,MOVIMIENTOS!$E$4:$E$1000,C723,MOVIMIENTOS!$B$4:$B$1000,"MUESTRA")-SUMIFS(MOVIMIENTOS!$F$4:$F$1000,MOVIMIENTOS!$C$4:$C$1000,A723,MOVIMIENTOS!$D$4:$D$1000,B723,MOVIMIENTOS!$E$4:$E$1000,C723,MOVIMIENTOS!$B$4:$B$1000,"AJUSTE-"),0)</f>
        <v>0</v>
      </c>
      <c r="F723" s="101">
        <f>IFERROR(E723*VLOOKUP(B723,TELAS!$A$4:$C$32,3,FALSE()),0)</f>
        <v>0</v>
      </c>
      <c r="G723" s="102">
        <f>IFERROR(IF(D723="OSCURO",VLOOKUP(B723,PRECIOS!$A$4:$F$32,2,FALSE()),IF(D723="CLARO",VLOOKUP(B723,PRECIOS!$A$4:$F$32,3,FALSE()),IF(D723="MELANGE",VLOOKUP(B723,PRECIOS!$A$4:$F$32,4,FALSE()),IF(D723="PPT",VLOOKUP(B723,PRECIOS!$A$4:$F$32,5,FALSE()),0)))),0)</f>
        <v>0</v>
      </c>
      <c r="H723" s="103">
        <f t="shared" si="1"/>
        <v>0</v>
      </c>
      <c r="I723" s="104" t="str">
        <f>IF(E723&lt;0,"ERROR",IF(E723=0,"",IF(E723&lt;CONFIG!$B$4,"CRÍTICO",IF(E723&lt;CONFIG!$B$5,"BAJO","OK"))))</f>
        <v/>
      </c>
    </row>
    <row r="724" ht="15.75" customHeight="1">
      <c r="A724" s="90" t="str">
        <f>IF(CLIENTES!A9="","",CLIENTES!A9)</f>
        <v/>
      </c>
      <c r="B724" s="67" t="str">
        <f>TELAS!A5</f>
        <v>pique 30/1</v>
      </c>
      <c r="C724" s="67" t="str">
        <f>COLORES!A4</f>
        <v>Negro</v>
      </c>
      <c r="D724" s="67" t="str">
        <f>COLORES!B4</f>
        <v>OSCURO</v>
      </c>
      <c r="E724" s="100">
        <f>IFERROR(SUMIFS(MOVIMIENTOS!$F$4:$F$1000,MOVIMIENTOS!$C$4:$C$1000,A724,MOVIMIENTOS!$D$4:$D$1000,B724,MOVIMIENTOS!$E$4:$E$1000,C724,MOVIMIENTOS!$B$4:$B$1000,"INGRESO")+SUMIFS(MOVIMIENTOS!$F$4:$F$1000,MOVIMIENTOS!$C$4:$C$1000,A724,MOVIMIENTOS!$D$4:$D$1000,B724,MOVIMIENTOS!$E$4:$E$1000,C724,MOVIMIENTOS!$B$4:$B$1000,"DE REPROCESO")+SUMIFS(MOVIMIENTOS!$F$4:$F$1000,MOVIMIENTOS!$C$4:$C$1000,A724,MOVIMIENTOS!$D$4:$D$1000,B724,MOVIMIENTOS!$E$4:$E$1000,C724,MOVIMIENTOS!$B$4:$B$1000,"AJUSTE+")-SUMIFS(MOVIMIENTOS!$F$4:$F$1000,MOVIMIENTOS!$C$4:$C$1000,A724,MOVIMIENTOS!$D$4:$D$1000,B724,MOVIMIENTOS!$E$4:$E$1000,C724,MOVIMIENTOS!$B$4:$B$1000,"A CORTE")-SUMIFS(MOVIMIENTOS!$F$4:$F$1000,MOVIMIENTOS!$C$4:$C$1000,A724,MOVIMIENTOS!$D$4:$D$1000,B724,MOVIMIENTOS!$E$4:$E$1000,C724,MOVIMIENTOS!$B$4:$B$1000,"A REPROCESO")-SUMIFS(MOVIMIENTOS!$F$4:$F$1000,MOVIMIENTOS!$C$4:$C$1000,A724,MOVIMIENTOS!$D$4:$D$1000,B724,MOVIMIENTOS!$E$4:$E$1000,C724,MOVIMIENTOS!$B$4:$B$1000,"MUESTRA")-SUMIFS(MOVIMIENTOS!$F$4:$F$1000,MOVIMIENTOS!$C$4:$C$1000,A724,MOVIMIENTOS!$D$4:$D$1000,B724,MOVIMIENTOS!$E$4:$E$1000,C724,MOVIMIENTOS!$B$4:$B$1000,"AJUSTE-"),0)</f>
        <v>0</v>
      </c>
      <c r="F724" s="101">
        <f>IFERROR(E724*VLOOKUP(B724,TELAS!$A$4:$C$32,3,FALSE()),0)</f>
        <v>0</v>
      </c>
      <c r="G724" s="102">
        <f>IFERROR(IF(D724="OSCURO",VLOOKUP(B724,PRECIOS!$A$4:$F$32,2,FALSE()),IF(D724="CLARO",VLOOKUP(B724,PRECIOS!$A$4:$F$32,3,FALSE()),IF(D724="MELANGE",VLOOKUP(B724,PRECIOS!$A$4:$F$32,4,FALSE()),IF(D724="PPT",VLOOKUP(B724,PRECIOS!$A$4:$F$32,5,FALSE()),0)))),0)</f>
        <v>24</v>
      </c>
      <c r="H724" s="103">
        <f t="shared" si="1"/>
        <v>0</v>
      </c>
      <c r="I724" s="104" t="str">
        <f>IF(E724&lt;0,"ERROR",IF(E724=0,"",IF(E724&lt;CONFIG!$B$4,"CRÍTICO",IF(E724&lt;CONFIG!$B$5,"BAJO","OK"))))</f>
        <v/>
      </c>
    </row>
    <row r="725" ht="15.75" customHeight="1">
      <c r="A725" s="90" t="str">
        <f>IF(CLIENTES!A9="","",CLIENTES!A9)</f>
        <v/>
      </c>
      <c r="B725" s="67" t="str">
        <f>TELAS!A5</f>
        <v>pique 30/1</v>
      </c>
      <c r="C725" s="67" t="str">
        <f>COLORES!A5</f>
        <v>Perla</v>
      </c>
      <c r="D725" s="67" t="str">
        <f>COLORES!B5</f>
        <v>PPT</v>
      </c>
      <c r="E725" s="100">
        <f>IFERROR(SUMIFS(MOVIMIENTOS!$F$4:$F$1000,MOVIMIENTOS!$C$4:$C$1000,A725,MOVIMIENTOS!$D$4:$D$1000,B725,MOVIMIENTOS!$E$4:$E$1000,C725,MOVIMIENTOS!$B$4:$B$1000,"INGRESO")+SUMIFS(MOVIMIENTOS!$F$4:$F$1000,MOVIMIENTOS!$C$4:$C$1000,A725,MOVIMIENTOS!$D$4:$D$1000,B725,MOVIMIENTOS!$E$4:$E$1000,C725,MOVIMIENTOS!$B$4:$B$1000,"DE REPROCESO")+SUMIFS(MOVIMIENTOS!$F$4:$F$1000,MOVIMIENTOS!$C$4:$C$1000,A725,MOVIMIENTOS!$D$4:$D$1000,B725,MOVIMIENTOS!$E$4:$E$1000,C725,MOVIMIENTOS!$B$4:$B$1000,"AJUSTE+")-SUMIFS(MOVIMIENTOS!$F$4:$F$1000,MOVIMIENTOS!$C$4:$C$1000,A725,MOVIMIENTOS!$D$4:$D$1000,B725,MOVIMIENTOS!$E$4:$E$1000,C725,MOVIMIENTOS!$B$4:$B$1000,"A CORTE")-SUMIFS(MOVIMIENTOS!$F$4:$F$1000,MOVIMIENTOS!$C$4:$C$1000,A725,MOVIMIENTOS!$D$4:$D$1000,B725,MOVIMIENTOS!$E$4:$E$1000,C725,MOVIMIENTOS!$B$4:$B$1000,"A REPROCESO")-SUMIFS(MOVIMIENTOS!$F$4:$F$1000,MOVIMIENTOS!$C$4:$C$1000,A725,MOVIMIENTOS!$D$4:$D$1000,B725,MOVIMIENTOS!$E$4:$E$1000,C725,MOVIMIENTOS!$B$4:$B$1000,"MUESTRA")-SUMIFS(MOVIMIENTOS!$F$4:$F$1000,MOVIMIENTOS!$C$4:$C$1000,A725,MOVIMIENTOS!$D$4:$D$1000,B725,MOVIMIENTOS!$E$4:$E$1000,C725,MOVIMIENTOS!$B$4:$B$1000,"AJUSTE-"),0)</f>
        <v>0</v>
      </c>
      <c r="F725" s="101">
        <f>IFERROR(E725*VLOOKUP(B725,TELAS!$A$4:$C$32,3,FALSE()),0)</f>
        <v>0</v>
      </c>
      <c r="G725" s="102">
        <f>IFERROR(IF(D725="OSCURO",VLOOKUP(B725,PRECIOS!$A$4:$F$32,2,FALSE()),IF(D725="CLARO",VLOOKUP(B725,PRECIOS!$A$4:$F$32,3,FALSE()),IF(D725="MELANGE",VLOOKUP(B725,PRECIOS!$A$4:$F$32,4,FALSE()),IF(D725="PPT",VLOOKUP(B725,PRECIOS!$A$4:$F$32,5,FALSE()),0)))),0)</f>
        <v>18</v>
      </c>
      <c r="H725" s="103">
        <f t="shared" si="1"/>
        <v>0</v>
      </c>
      <c r="I725" s="104" t="str">
        <f>IF(E725&lt;0,"ERROR",IF(E725=0,"",IF(E725&lt;CONFIG!$B$4,"CRÍTICO",IF(E725&lt;CONFIG!$B$5,"BAJO","OK"))))</f>
        <v/>
      </c>
    </row>
    <row r="726" ht="15.75" customHeight="1">
      <c r="A726" s="90" t="str">
        <f>IF(CLIENTES!A9="","",CLIENTES!A9)</f>
        <v/>
      </c>
      <c r="B726" s="67" t="str">
        <f>TELAS!A5</f>
        <v>pique 30/1</v>
      </c>
      <c r="C726" s="67" t="str">
        <f>COLORES!A6</f>
        <v>Blanco</v>
      </c>
      <c r="D726" s="67" t="str">
        <f>COLORES!B6</f>
        <v>PPT</v>
      </c>
      <c r="E726" s="100">
        <f>IFERROR(SUMIFS(MOVIMIENTOS!$F$4:$F$1000,MOVIMIENTOS!$C$4:$C$1000,A726,MOVIMIENTOS!$D$4:$D$1000,B726,MOVIMIENTOS!$E$4:$E$1000,C726,MOVIMIENTOS!$B$4:$B$1000,"INGRESO")+SUMIFS(MOVIMIENTOS!$F$4:$F$1000,MOVIMIENTOS!$C$4:$C$1000,A726,MOVIMIENTOS!$D$4:$D$1000,B726,MOVIMIENTOS!$E$4:$E$1000,C726,MOVIMIENTOS!$B$4:$B$1000,"DE REPROCESO")+SUMIFS(MOVIMIENTOS!$F$4:$F$1000,MOVIMIENTOS!$C$4:$C$1000,A726,MOVIMIENTOS!$D$4:$D$1000,B726,MOVIMIENTOS!$E$4:$E$1000,C726,MOVIMIENTOS!$B$4:$B$1000,"AJUSTE+")-SUMIFS(MOVIMIENTOS!$F$4:$F$1000,MOVIMIENTOS!$C$4:$C$1000,A726,MOVIMIENTOS!$D$4:$D$1000,B726,MOVIMIENTOS!$E$4:$E$1000,C726,MOVIMIENTOS!$B$4:$B$1000,"A CORTE")-SUMIFS(MOVIMIENTOS!$F$4:$F$1000,MOVIMIENTOS!$C$4:$C$1000,A726,MOVIMIENTOS!$D$4:$D$1000,B726,MOVIMIENTOS!$E$4:$E$1000,C726,MOVIMIENTOS!$B$4:$B$1000,"A REPROCESO")-SUMIFS(MOVIMIENTOS!$F$4:$F$1000,MOVIMIENTOS!$C$4:$C$1000,A726,MOVIMIENTOS!$D$4:$D$1000,B726,MOVIMIENTOS!$E$4:$E$1000,C726,MOVIMIENTOS!$B$4:$B$1000,"MUESTRA")-SUMIFS(MOVIMIENTOS!$F$4:$F$1000,MOVIMIENTOS!$C$4:$C$1000,A726,MOVIMIENTOS!$D$4:$D$1000,B726,MOVIMIENTOS!$E$4:$E$1000,C726,MOVIMIENTOS!$B$4:$B$1000,"AJUSTE-"),0)</f>
        <v>0</v>
      </c>
      <c r="F726" s="101">
        <f>IFERROR(E726*VLOOKUP(B726,TELAS!$A$4:$C$32,3,FALSE()),0)</f>
        <v>0</v>
      </c>
      <c r="G726" s="102">
        <f>IFERROR(IF(D726="OSCURO",VLOOKUP(B726,PRECIOS!$A$4:$F$32,2,FALSE()),IF(D726="CLARO",VLOOKUP(B726,PRECIOS!$A$4:$F$32,3,FALSE()),IF(D726="MELANGE",VLOOKUP(B726,PRECIOS!$A$4:$F$32,4,FALSE()),IF(D726="PPT",VLOOKUP(B726,PRECIOS!$A$4:$F$32,5,FALSE()),0)))),0)</f>
        <v>18</v>
      </c>
      <c r="H726" s="103">
        <f t="shared" si="1"/>
        <v>0</v>
      </c>
      <c r="I726" s="104" t="str">
        <f>IF(E726&lt;0,"ERROR",IF(E726=0,"",IF(E726&lt;CONFIG!$B$4,"CRÍTICO",IF(E726&lt;CONFIG!$B$5,"BAJO","OK"))))</f>
        <v/>
      </c>
    </row>
    <row r="727" ht="15.75" customHeight="1">
      <c r="A727" s="90" t="str">
        <f>IF(CLIENTES!A9="","",CLIENTES!A9)</f>
        <v/>
      </c>
      <c r="B727" s="67" t="str">
        <f>TELAS!A5</f>
        <v>pique 30/1</v>
      </c>
      <c r="C727" s="67" t="str">
        <f>COLORES!A7</f>
        <v>Azul</v>
      </c>
      <c r="D727" s="67" t="str">
        <f>COLORES!B7</f>
        <v>OSCURO</v>
      </c>
      <c r="E727" s="100">
        <f>IFERROR(SUMIFS(MOVIMIENTOS!$F$4:$F$1000,MOVIMIENTOS!$C$4:$C$1000,A727,MOVIMIENTOS!$D$4:$D$1000,B727,MOVIMIENTOS!$E$4:$E$1000,C727,MOVIMIENTOS!$B$4:$B$1000,"INGRESO")+SUMIFS(MOVIMIENTOS!$F$4:$F$1000,MOVIMIENTOS!$C$4:$C$1000,A727,MOVIMIENTOS!$D$4:$D$1000,B727,MOVIMIENTOS!$E$4:$E$1000,C727,MOVIMIENTOS!$B$4:$B$1000,"DE REPROCESO")+SUMIFS(MOVIMIENTOS!$F$4:$F$1000,MOVIMIENTOS!$C$4:$C$1000,A727,MOVIMIENTOS!$D$4:$D$1000,B727,MOVIMIENTOS!$E$4:$E$1000,C727,MOVIMIENTOS!$B$4:$B$1000,"AJUSTE+")-SUMIFS(MOVIMIENTOS!$F$4:$F$1000,MOVIMIENTOS!$C$4:$C$1000,A727,MOVIMIENTOS!$D$4:$D$1000,B727,MOVIMIENTOS!$E$4:$E$1000,C727,MOVIMIENTOS!$B$4:$B$1000,"A CORTE")-SUMIFS(MOVIMIENTOS!$F$4:$F$1000,MOVIMIENTOS!$C$4:$C$1000,A727,MOVIMIENTOS!$D$4:$D$1000,B727,MOVIMIENTOS!$E$4:$E$1000,C727,MOVIMIENTOS!$B$4:$B$1000,"A REPROCESO")-SUMIFS(MOVIMIENTOS!$F$4:$F$1000,MOVIMIENTOS!$C$4:$C$1000,A727,MOVIMIENTOS!$D$4:$D$1000,B727,MOVIMIENTOS!$E$4:$E$1000,C727,MOVIMIENTOS!$B$4:$B$1000,"MUESTRA")-SUMIFS(MOVIMIENTOS!$F$4:$F$1000,MOVIMIENTOS!$C$4:$C$1000,A727,MOVIMIENTOS!$D$4:$D$1000,B727,MOVIMIENTOS!$E$4:$E$1000,C727,MOVIMIENTOS!$B$4:$B$1000,"AJUSTE-"),0)</f>
        <v>0</v>
      </c>
      <c r="F727" s="101">
        <f>IFERROR(E727*VLOOKUP(B727,TELAS!$A$4:$C$32,3,FALSE()),0)</f>
        <v>0</v>
      </c>
      <c r="G727" s="102">
        <f>IFERROR(IF(D727="OSCURO",VLOOKUP(B727,PRECIOS!$A$4:$F$32,2,FALSE()),IF(D727="CLARO",VLOOKUP(B727,PRECIOS!$A$4:$F$32,3,FALSE()),IF(D727="MELANGE",VLOOKUP(B727,PRECIOS!$A$4:$F$32,4,FALSE()),IF(D727="PPT",VLOOKUP(B727,PRECIOS!$A$4:$F$32,5,FALSE()),0)))),0)</f>
        <v>24</v>
      </c>
      <c r="H727" s="103">
        <f t="shared" si="1"/>
        <v>0</v>
      </c>
      <c r="I727" s="104" t="str">
        <f>IF(E727&lt;0,"ERROR",IF(E727=0,"",IF(E727&lt;CONFIG!$B$4,"CRÍTICO",IF(E727&lt;CONFIG!$B$5,"BAJO","OK"))))</f>
        <v/>
      </c>
    </row>
    <row r="728" ht="15.75" customHeight="1">
      <c r="A728" s="90" t="str">
        <f>IF(CLIENTES!A9="","",CLIENTES!A9)</f>
        <v/>
      </c>
      <c r="B728" s="67" t="str">
        <f>TELAS!A5</f>
        <v>pique 30/1</v>
      </c>
      <c r="C728" s="67" t="str">
        <f>COLORES!A8</f>
        <v>Beige</v>
      </c>
      <c r="D728" s="67" t="str">
        <f>COLORES!B8</f>
        <v>CLARO</v>
      </c>
      <c r="E728" s="100">
        <f>IFERROR(SUMIFS(MOVIMIENTOS!$F$4:$F$1000,MOVIMIENTOS!$C$4:$C$1000,A728,MOVIMIENTOS!$D$4:$D$1000,B728,MOVIMIENTOS!$E$4:$E$1000,C728,MOVIMIENTOS!$B$4:$B$1000,"INGRESO")+SUMIFS(MOVIMIENTOS!$F$4:$F$1000,MOVIMIENTOS!$C$4:$C$1000,A728,MOVIMIENTOS!$D$4:$D$1000,B728,MOVIMIENTOS!$E$4:$E$1000,C728,MOVIMIENTOS!$B$4:$B$1000,"DE REPROCESO")+SUMIFS(MOVIMIENTOS!$F$4:$F$1000,MOVIMIENTOS!$C$4:$C$1000,A728,MOVIMIENTOS!$D$4:$D$1000,B728,MOVIMIENTOS!$E$4:$E$1000,C728,MOVIMIENTOS!$B$4:$B$1000,"AJUSTE+")-SUMIFS(MOVIMIENTOS!$F$4:$F$1000,MOVIMIENTOS!$C$4:$C$1000,A728,MOVIMIENTOS!$D$4:$D$1000,B728,MOVIMIENTOS!$E$4:$E$1000,C728,MOVIMIENTOS!$B$4:$B$1000,"A CORTE")-SUMIFS(MOVIMIENTOS!$F$4:$F$1000,MOVIMIENTOS!$C$4:$C$1000,A728,MOVIMIENTOS!$D$4:$D$1000,B728,MOVIMIENTOS!$E$4:$E$1000,C728,MOVIMIENTOS!$B$4:$B$1000,"A REPROCESO")-SUMIFS(MOVIMIENTOS!$F$4:$F$1000,MOVIMIENTOS!$C$4:$C$1000,A728,MOVIMIENTOS!$D$4:$D$1000,B728,MOVIMIENTOS!$E$4:$E$1000,C728,MOVIMIENTOS!$B$4:$B$1000,"MUESTRA")-SUMIFS(MOVIMIENTOS!$F$4:$F$1000,MOVIMIENTOS!$C$4:$C$1000,A728,MOVIMIENTOS!$D$4:$D$1000,B728,MOVIMIENTOS!$E$4:$E$1000,C728,MOVIMIENTOS!$B$4:$B$1000,"AJUSTE-"),0)</f>
        <v>0</v>
      </c>
      <c r="F728" s="101">
        <f>IFERROR(E728*VLOOKUP(B728,TELAS!$A$4:$C$32,3,FALSE()),0)</f>
        <v>0</v>
      </c>
      <c r="G728" s="102">
        <f>IFERROR(IF(D728="OSCURO",VLOOKUP(B728,PRECIOS!$A$4:$F$32,2,FALSE()),IF(D728="CLARO",VLOOKUP(B728,PRECIOS!$A$4:$F$32,3,FALSE()),IF(D728="MELANGE",VLOOKUP(B728,PRECIOS!$A$4:$F$32,4,FALSE()),IF(D728="PPT",VLOOKUP(B728,PRECIOS!$A$4:$F$32,5,FALSE()),0)))),0)</f>
        <v>21</v>
      </c>
      <c r="H728" s="103">
        <f t="shared" si="1"/>
        <v>0</v>
      </c>
      <c r="I728" s="104" t="str">
        <f>IF(E728&lt;0,"ERROR",IF(E728=0,"",IF(E728&lt;CONFIG!$B$4,"CRÍTICO",IF(E728&lt;CONFIG!$B$5,"BAJO","OK"))))</f>
        <v/>
      </c>
    </row>
    <row r="729" ht="15.75" customHeight="1">
      <c r="A729" s="90" t="str">
        <f>IF(CLIENTES!A9="","",CLIENTES!A9)</f>
        <v/>
      </c>
      <c r="B729" s="67" t="str">
        <f>TELAS!A5</f>
        <v>pique 30/1</v>
      </c>
      <c r="C729" s="67" t="str">
        <f>COLORES!A9</f>
        <v>Melange</v>
      </c>
      <c r="D729" s="67" t="str">
        <f>COLORES!B9</f>
        <v>MELANGE</v>
      </c>
      <c r="E729" s="100">
        <f>IFERROR(SUMIFS(MOVIMIENTOS!$F$4:$F$1000,MOVIMIENTOS!$C$4:$C$1000,A729,MOVIMIENTOS!$D$4:$D$1000,B729,MOVIMIENTOS!$E$4:$E$1000,C729,MOVIMIENTOS!$B$4:$B$1000,"INGRESO")+SUMIFS(MOVIMIENTOS!$F$4:$F$1000,MOVIMIENTOS!$C$4:$C$1000,A729,MOVIMIENTOS!$D$4:$D$1000,B729,MOVIMIENTOS!$E$4:$E$1000,C729,MOVIMIENTOS!$B$4:$B$1000,"DE REPROCESO")+SUMIFS(MOVIMIENTOS!$F$4:$F$1000,MOVIMIENTOS!$C$4:$C$1000,A729,MOVIMIENTOS!$D$4:$D$1000,B729,MOVIMIENTOS!$E$4:$E$1000,C729,MOVIMIENTOS!$B$4:$B$1000,"AJUSTE+")-SUMIFS(MOVIMIENTOS!$F$4:$F$1000,MOVIMIENTOS!$C$4:$C$1000,A729,MOVIMIENTOS!$D$4:$D$1000,B729,MOVIMIENTOS!$E$4:$E$1000,C729,MOVIMIENTOS!$B$4:$B$1000,"A CORTE")-SUMIFS(MOVIMIENTOS!$F$4:$F$1000,MOVIMIENTOS!$C$4:$C$1000,A729,MOVIMIENTOS!$D$4:$D$1000,B729,MOVIMIENTOS!$E$4:$E$1000,C729,MOVIMIENTOS!$B$4:$B$1000,"A REPROCESO")-SUMIFS(MOVIMIENTOS!$F$4:$F$1000,MOVIMIENTOS!$C$4:$C$1000,A729,MOVIMIENTOS!$D$4:$D$1000,B729,MOVIMIENTOS!$E$4:$E$1000,C729,MOVIMIENTOS!$B$4:$B$1000,"MUESTRA")-SUMIFS(MOVIMIENTOS!$F$4:$F$1000,MOVIMIENTOS!$C$4:$C$1000,A729,MOVIMIENTOS!$D$4:$D$1000,B729,MOVIMIENTOS!$E$4:$E$1000,C729,MOVIMIENTOS!$B$4:$B$1000,"AJUSTE-"),0)</f>
        <v>0</v>
      </c>
      <c r="F729" s="101">
        <f>IFERROR(E729*VLOOKUP(B729,TELAS!$A$4:$C$32,3,FALSE()),0)</f>
        <v>0</v>
      </c>
      <c r="G729" s="102">
        <f>IFERROR(IF(D729="OSCURO",VLOOKUP(B729,PRECIOS!$A$4:$F$32,2,FALSE()),IF(D729="CLARO",VLOOKUP(B729,PRECIOS!$A$4:$F$32,3,FALSE()),IF(D729="MELANGE",VLOOKUP(B729,PRECIOS!$A$4:$F$32,4,FALSE()),IF(D729="PPT",VLOOKUP(B729,PRECIOS!$A$4:$F$32,5,FALSE()),0)))),0)</f>
        <v>18</v>
      </c>
      <c r="H729" s="103">
        <f t="shared" si="1"/>
        <v>0</v>
      </c>
      <c r="I729" s="104" t="str">
        <f>IF(E729&lt;0,"ERROR",IF(E729=0,"",IF(E729&lt;CONFIG!$B$4,"CRÍTICO",IF(E729&lt;CONFIG!$B$5,"BAJO","OK"))))</f>
        <v/>
      </c>
    </row>
    <row r="730" ht="15.75" customHeight="1">
      <c r="A730" s="90" t="str">
        <f>IF(CLIENTES!A9="","",CLIENTES!A9)</f>
        <v/>
      </c>
      <c r="B730" s="67" t="str">
        <f>TELAS!A5</f>
        <v>pique 30/1</v>
      </c>
      <c r="C730" s="67" t="str">
        <f>COLORES!A10</f>
        <v>Botella</v>
      </c>
      <c r="D730" s="67" t="str">
        <f>COLORES!B10</f>
        <v>OSCURO</v>
      </c>
      <c r="E730" s="100">
        <f>IFERROR(SUMIFS(MOVIMIENTOS!$F$4:$F$1000,MOVIMIENTOS!$C$4:$C$1000,A730,MOVIMIENTOS!$D$4:$D$1000,B730,MOVIMIENTOS!$E$4:$E$1000,C730,MOVIMIENTOS!$B$4:$B$1000,"INGRESO")+SUMIFS(MOVIMIENTOS!$F$4:$F$1000,MOVIMIENTOS!$C$4:$C$1000,A730,MOVIMIENTOS!$D$4:$D$1000,B730,MOVIMIENTOS!$E$4:$E$1000,C730,MOVIMIENTOS!$B$4:$B$1000,"DE REPROCESO")+SUMIFS(MOVIMIENTOS!$F$4:$F$1000,MOVIMIENTOS!$C$4:$C$1000,A730,MOVIMIENTOS!$D$4:$D$1000,B730,MOVIMIENTOS!$E$4:$E$1000,C730,MOVIMIENTOS!$B$4:$B$1000,"AJUSTE+")-SUMIFS(MOVIMIENTOS!$F$4:$F$1000,MOVIMIENTOS!$C$4:$C$1000,A730,MOVIMIENTOS!$D$4:$D$1000,B730,MOVIMIENTOS!$E$4:$E$1000,C730,MOVIMIENTOS!$B$4:$B$1000,"A CORTE")-SUMIFS(MOVIMIENTOS!$F$4:$F$1000,MOVIMIENTOS!$C$4:$C$1000,A730,MOVIMIENTOS!$D$4:$D$1000,B730,MOVIMIENTOS!$E$4:$E$1000,C730,MOVIMIENTOS!$B$4:$B$1000,"A REPROCESO")-SUMIFS(MOVIMIENTOS!$F$4:$F$1000,MOVIMIENTOS!$C$4:$C$1000,A730,MOVIMIENTOS!$D$4:$D$1000,B730,MOVIMIENTOS!$E$4:$E$1000,C730,MOVIMIENTOS!$B$4:$B$1000,"MUESTRA")-SUMIFS(MOVIMIENTOS!$F$4:$F$1000,MOVIMIENTOS!$C$4:$C$1000,A730,MOVIMIENTOS!$D$4:$D$1000,B730,MOVIMIENTOS!$E$4:$E$1000,C730,MOVIMIENTOS!$B$4:$B$1000,"AJUSTE-"),0)</f>
        <v>0</v>
      </c>
      <c r="F730" s="101">
        <f>IFERROR(E730*VLOOKUP(B730,TELAS!$A$4:$C$32,3,FALSE()),0)</f>
        <v>0</v>
      </c>
      <c r="G730" s="102">
        <f>IFERROR(IF(D730="OSCURO",VLOOKUP(B730,PRECIOS!$A$4:$F$32,2,FALSE()),IF(D730="CLARO",VLOOKUP(B730,PRECIOS!$A$4:$F$32,3,FALSE()),IF(D730="MELANGE",VLOOKUP(B730,PRECIOS!$A$4:$F$32,4,FALSE()),IF(D730="PPT",VLOOKUP(B730,PRECIOS!$A$4:$F$32,5,FALSE()),0)))),0)</f>
        <v>24</v>
      </c>
      <c r="H730" s="103">
        <f t="shared" si="1"/>
        <v>0</v>
      </c>
      <c r="I730" s="104" t="str">
        <f>IF(E730&lt;0,"ERROR",IF(E730=0,"",IF(E730&lt;CONFIG!$B$4,"CRÍTICO",IF(E730&lt;CONFIG!$B$5,"BAJO","OK"))))</f>
        <v/>
      </c>
    </row>
    <row r="731" ht="15.75" customHeight="1">
      <c r="A731" s="90" t="str">
        <f>IF(CLIENTES!A9="","",CLIENTES!A9)</f>
        <v/>
      </c>
      <c r="B731" s="67" t="str">
        <f>TELAS!A5</f>
        <v>pique 30/1</v>
      </c>
      <c r="C731" s="67" t="str">
        <f>COLORES!A11</f>
        <v>Pacay</v>
      </c>
      <c r="D731" s="67" t="str">
        <f>COLORES!B11</f>
        <v>CLARO</v>
      </c>
      <c r="E731" s="100">
        <f>IFERROR(SUMIFS(MOVIMIENTOS!$F$4:$F$1000,MOVIMIENTOS!$C$4:$C$1000,A731,MOVIMIENTOS!$D$4:$D$1000,B731,MOVIMIENTOS!$E$4:$E$1000,C731,MOVIMIENTOS!$B$4:$B$1000,"INGRESO")+SUMIFS(MOVIMIENTOS!$F$4:$F$1000,MOVIMIENTOS!$C$4:$C$1000,A731,MOVIMIENTOS!$D$4:$D$1000,B731,MOVIMIENTOS!$E$4:$E$1000,C731,MOVIMIENTOS!$B$4:$B$1000,"DE REPROCESO")+SUMIFS(MOVIMIENTOS!$F$4:$F$1000,MOVIMIENTOS!$C$4:$C$1000,A731,MOVIMIENTOS!$D$4:$D$1000,B731,MOVIMIENTOS!$E$4:$E$1000,C731,MOVIMIENTOS!$B$4:$B$1000,"AJUSTE+")-SUMIFS(MOVIMIENTOS!$F$4:$F$1000,MOVIMIENTOS!$C$4:$C$1000,A731,MOVIMIENTOS!$D$4:$D$1000,B731,MOVIMIENTOS!$E$4:$E$1000,C731,MOVIMIENTOS!$B$4:$B$1000,"A CORTE")-SUMIFS(MOVIMIENTOS!$F$4:$F$1000,MOVIMIENTOS!$C$4:$C$1000,A731,MOVIMIENTOS!$D$4:$D$1000,B731,MOVIMIENTOS!$E$4:$E$1000,C731,MOVIMIENTOS!$B$4:$B$1000,"A REPROCESO")-SUMIFS(MOVIMIENTOS!$F$4:$F$1000,MOVIMIENTOS!$C$4:$C$1000,A731,MOVIMIENTOS!$D$4:$D$1000,B731,MOVIMIENTOS!$E$4:$E$1000,C731,MOVIMIENTOS!$B$4:$B$1000,"MUESTRA")-SUMIFS(MOVIMIENTOS!$F$4:$F$1000,MOVIMIENTOS!$C$4:$C$1000,A731,MOVIMIENTOS!$D$4:$D$1000,B731,MOVIMIENTOS!$E$4:$E$1000,C731,MOVIMIENTOS!$B$4:$B$1000,"AJUSTE-"),0)</f>
        <v>0</v>
      </c>
      <c r="F731" s="101">
        <f>IFERROR(E731*VLOOKUP(B731,TELAS!$A$4:$C$32,3,FALSE()),0)</f>
        <v>0</v>
      </c>
      <c r="G731" s="102">
        <f>IFERROR(IF(D731="OSCURO",VLOOKUP(B731,PRECIOS!$A$4:$F$32,2,FALSE()),IF(D731="CLARO",VLOOKUP(B731,PRECIOS!$A$4:$F$32,3,FALSE()),IF(D731="MELANGE",VLOOKUP(B731,PRECIOS!$A$4:$F$32,4,FALSE()),IF(D731="PPT",VLOOKUP(B731,PRECIOS!$A$4:$F$32,5,FALSE()),0)))),0)</f>
        <v>21</v>
      </c>
      <c r="H731" s="103">
        <f t="shared" si="1"/>
        <v>0</v>
      </c>
      <c r="I731" s="104" t="str">
        <f>IF(E731&lt;0,"ERROR",IF(E731=0,"",IF(E731&lt;CONFIG!$B$4,"CRÍTICO",IF(E731&lt;CONFIG!$B$5,"BAJO","OK"))))</f>
        <v/>
      </c>
    </row>
    <row r="732" ht="15.75" customHeight="1">
      <c r="A732" s="90" t="str">
        <f>IF(CLIENTES!A9="","",CLIENTES!A9)</f>
        <v/>
      </c>
      <c r="B732" s="67" t="str">
        <f>TELAS!A5</f>
        <v>pique 30/1</v>
      </c>
      <c r="C732" s="67" t="str">
        <f>COLORES!A12</f>
        <v>Cemento</v>
      </c>
      <c r="D732" s="67" t="str">
        <f>COLORES!B12</f>
        <v>CLARO</v>
      </c>
      <c r="E732" s="100">
        <f>IFERROR(SUMIFS(MOVIMIENTOS!$F$4:$F$1000,MOVIMIENTOS!$C$4:$C$1000,A732,MOVIMIENTOS!$D$4:$D$1000,B732,MOVIMIENTOS!$E$4:$E$1000,C732,MOVIMIENTOS!$B$4:$B$1000,"INGRESO")+SUMIFS(MOVIMIENTOS!$F$4:$F$1000,MOVIMIENTOS!$C$4:$C$1000,A732,MOVIMIENTOS!$D$4:$D$1000,B732,MOVIMIENTOS!$E$4:$E$1000,C732,MOVIMIENTOS!$B$4:$B$1000,"DE REPROCESO")+SUMIFS(MOVIMIENTOS!$F$4:$F$1000,MOVIMIENTOS!$C$4:$C$1000,A732,MOVIMIENTOS!$D$4:$D$1000,B732,MOVIMIENTOS!$E$4:$E$1000,C732,MOVIMIENTOS!$B$4:$B$1000,"AJUSTE+")-SUMIFS(MOVIMIENTOS!$F$4:$F$1000,MOVIMIENTOS!$C$4:$C$1000,A732,MOVIMIENTOS!$D$4:$D$1000,B732,MOVIMIENTOS!$E$4:$E$1000,C732,MOVIMIENTOS!$B$4:$B$1000,"A CORTE")-SUMIFS(MOVIMIENTOS!$F$4:$F$1000,MOVIMIENTOS!$C$4:$C$1000,A732,MOVIMIENTOS!$D$4:$D$1000,B732,MOVIMIENTOS!$E$4:$E$1000,C732,MOVIMIENTOS!$B$4:$B$1000,"A REPROCESO")-SUMIFS(MOVIMIENTOS!$F$4:$F$1000,MOVIMIENTOS!$C$4:$C$1000,A732,MOVIMIENTOS!$D$4:$D$1000,B732,MOVIMIENTOS!$E$4:$E$1000,C732,MOVIMIENTOS!$B$4:$B$1000,"MUESTRA")-SUMIFS(MOVIMIENTOS!$F$4:$F$1000,MOVIMIENTOS!$C$4:$C$1000,A732,MOVIMIENTOS!$D$4:$D$1000,B732,MOVIMIENTOS!$E$4:$E$1000,C732,MOVIMIENTOS!$B$4:$B$1000,"AJUSTE-"),0)</f>
        <v>0</v>
      </c>
      <c r="F732" s="101">
        <f>IFERROR(E732*VLOOKUP(B732,TELAS!$A$4:$C$32,3,FALSE()),0)</f>
        <v>0</v>
      </c>
      <c r="G732" s="102">
        <f>IFERROR(IF(D732="OSCURO",VLOOKUP(B732,PRECIOS!$A$4:$F$32,2,FALSE()),IF(D732="CLARO",VLOOKUP(B732,PRECIOS!$A$4:$F$32,3,FALSE()),IF(D732="MELANGE",VLOOKUP(B732,PRECIOS!$A$4:$F$32,4,FALSE()),IF(D732="PPT",VLOOKUP(B732,PRECIOS!$A$4:$F$32,5,FALSE()),0)))),0)</f>
        <v>21</v>
      </c>
      <c r="H732" s="103">
        <f t="shared" si="1"/>
        <v>0</v>
      </c>
      <c r="I732" s="104" t="str">
        <f>IF(E732&lt;0,"ERROR",IF(E732=0,"",IF(E732&lt;CONFIG!$B$4,"CRÍTICO",IF(E732&lt;CONFIG!$B$5,"BAJO","OK"))))</f>
        <v/>
      </c>
    </row>
    <row r="733" ht="15.75" customHeight="1">
      <c r="A733" s="90" t="str">
        <f>IF(CLIENTES!A9="","",CLIENTES!A9)</f>
        <v/>
      </c>
      <c r="B733" s="67" t="str">
        <f>TELAS!A5</f>
        <v>pique 30/1</v>
      </c>
      <c r="C733" s="67" t="str">
        <f>COLORES!A13</f>
        <v>Camote</v>
      </c>
      <c r="D733" s="67" t="str">
        <f>COLORES!B13</f>
        <v>CLARO</v>
      </c>
      <c r="E733" s="100">
        <f>IFERROR(SUMIFS(MOVIMIENTOS!$F$4:$F$1000,MOVIMIENTOS!$C$4:$C$1000,A733,MOVIMIENTOS!$D$4:$D$1000,B733,MOVIMIENTOS!$E$4:$E$1000,C733,MOVIMIENTOS!$B$4:$B$1000,"INGRESO")+SUMIFS(MOVIMIENTOS!$F$4:$F$1000,MOVIMIENTOS!$C$4:$C$1000,A733,MOVIMIENTOS!$D$4:$D$1000,B733,MOVIMIENTOS!$E$4:$E$1000,C733,MOVIMIENTOS!$B$4:$B$1000,"DE REPROCESO")+SUMIFS(MOVIMIENTOS!$F$4:$F$1000,MOVIMIENTOS!$C$4:$C$1000,A733,MOVIMIENTOS!$D$4:$D$1000,B733,MOVIMIENTOS!$E$4:$E$1000,C733,MOVIMIENTOS!$B$4:$B$1000,"AJUSTE+")-SUMIFS(MOVIMIENTOS!$F$4:$F$1000,MOVIMIENTOS!$C$4:$C$1000,A733,MOVIMIENTOS!$D$4:$D$1000,B733,MOVIMIENTOS!$E$4:$E$1000,C733,MOVIMIENTOS!$B$4:$B$1000,"A CORTE")-SUMIFS(MOVIMIENTOS!$F$4:$F$1000,MOVIMIENTOS!$C$4:$C$1000,A733,MOVIMIENTOS!$D$4:$D$1000,B733,MOVIMIENTOS!$E$4:$E$1000,C733,MOVIMIENTOS!$B$4:$B$1000,"A REPROCESO")-SUMIFS(MOVIMIENTOS!$F$4:$F$1000,MOVIMIENTOS!$C$4:$C$1000,A733,MOVIMIENTOS!$D$4:$D$1000,B733,MOVIMIENTOS!$E$4:$E$1000,C733,MOVIMIENTOS!$B$4:$B$1000,"MUESTRA")-SUMIFS(MOVIMIENTOS!$F$4:$F$1000,MOVIMIENTOS!$C$4:$C$1000,A733,MOVIMIENTOS!$D$4:$D$1000,B733,MOVIMIENTOS!$E$4:$E$1000,C733,MOVIMIENTOS!$B$4:$B$1000,"AJUSTE-"),0)</f>
        <v>0</v>
      </c>
      <c r="F733" s="101">
        <f>IFERROR(E733*VLOOKUP(B733,TELAS!$A$4:$C$32,3,FALSE()),0)</f>
        <v>0</v>
      </c>
      <c r="G733" s="102">
        <f>IFERROR(IF(D733="OSCURO",VLOOKUP(B733,PRECIOS!$A$4:$F$32,2,FALSE()),IF(D733="CLARO",VLOOKUP(B733,PRECIOS!$A$4:$F$32,3,FALSE()),IF(D733="MELANGE",VLOOKUP(B733,PRECIOS!$A$4:$F$32,4,FALSE()),IF(D733="PPT",VLOOKUP(B733,PRECIOS!$A$4:$F$32,5,FALSE()),0)))),0)</f>
        <v>21</v>
      </c>
      <c r="H733" s="103">
        <f t="shared" si="1"/>
        <v>0</v>
      </c>
      <c r="I733" s="104" t="str">
        <f>IF(E733&lt;0,"ERROR",IF(E733=0,"",IF(E733&lt;CONFIG!$B$4,"CRÍTICO",IF(E733&lt;CONFIG!$B$5,"BAJO","OK"))))</f>
        <v/>
      </c>
    </row>
    <row r="734" ht="15.75" customHeight="1">
      <c r="A734" s="90" t="str">
        <f>IF(CLIENTES!A9="","",CLIENTES!A9)</f>
        <v/>
      </c>
      <c r="B734" s="67" t="str">
        <f>TELAS!A5</f>
        <v>pique 30/1</v>
      </c>
      <c r="C734" s="67" t="str">
        <f>COLORES!A14</f>
        <v>Denim</v>
      </c>
      <c r="D734" s="67" t="str">
        <f>COLORES!B14</f>
        <v>CLARO</v>
      </c>
      <c r="E734" s="100">
        <f>IFERROR(SUMIFS(MOVIMIENTOS!$F$4:$F$1000,MOVIMIENTOS!$C$4:$C$1000,A734,MOVIMIENTOS!$D$4:$D$1000,B734,MOVIMIENTOS!$E$4:$E$1000,C734,MOVIMIENTOS!$B$4:$B$1000,"INGRESO")+SUMIFS(MOVIMIENTOS!$F$4:$F$1000,MOVIMIENTOS!$C$4:$C$1000,A734,MOVIMIENTOS!$D$4:$D$1000,B734,MOVIMIENTOS!$E$4:$E$1000,C734,MOVIMIENTOS!$B$4:$B$1000,"DE REPROCESO")+SUMIFS(MOVIMIENTOS!$F$4:$F$1000,MOVIMIENTOS!$C$4:$C$1000,A734,MOVIMIENTOS!$D$4:$D$1000,B734,MOVIMIENTOS!$E$4:$E$1000,C734,MOVIMIENTOS!$B$4:$B$1000,"AJUSTE+")-SUMIFS(MOVIMIENTOS!$F$4:$F$1000,MOVIMIENTOS!$C$4:$C$1000,A734,MOVIMIENTOS!$D$4:$D$1000,B734,MOVIMIENTOS!$E$4:$E$1000,C734,MOVIMIENTOS!$B$4:$B$1000,"A CORTE")-SUMIFS(MOVIMIENTOS!$F$4:$F$1000,MOVIMIENTOS!$C$4:$C$1000,A734,MOVIMIENTOS!$D$4:$D$1000,B734,MOVIMIENTOS!$E$4:$E$1000,C734,MOVIMIENTOS!$B$4:$B$1000,"A REPROCESO")-SUMIFS(MOVIMIENTOS!$F$4:$F$1000,MOVIMIENTOS!$C$4:$C$1000,A734,MOVIMIENTOS!$D$4:$D$1000,B734,MOVIMIENTOS!$E$4:$E$1000,C734,MOVIMIENTOS!$B$4:$B$1000,"MUESTRA")-SUMIFS(MOVIMIENTOS!$F$4:$F$1000,MOVIMIENTOS!$C$4:$C$1000,A734,MOVIMIENTOS!$D$4:$D$1000,B734,MOVIMIENTOS!$E$4:$E$1000,C734,MOVIMIENTOS!$B$4:$B$1000,"AJUSTE-"),0)</f>
        <v>0</v>
      </c>
      <c r="F734" s="101">
        <f>IFERROR(E734*VLOOKUP(B734,TELAS!$A$4:$C$32,3,FALSE()),0)</f>
        <v>0</v>
      </c>
      <c r="G734" s="102">
        <f>IFERROR(IF(D734="OSCURO",VLOOKUP(B734,PRECIOS!$A$4:$F$32,2,FALSE()),IF(D734="CLARO",VLOOKUP(B734,PRECIOS!$A$4:$F$32,3,FALSE()),IF(D734="MELANGE",VLOOKUP(B734,PRECIOS!$A$4:$F$32,4,FALSE()),IF(D734="PPT",VLOOKUP(B734,PRECIOS!$A$4:$F$32,5,FALSE()),0)))),0)</f>
        <v>21</v>
      </c>
      <c r="H734" s="103">
        <f t="shared" si="1"/>
        <v>0</v>
      </c>
      <c r="I734" s="104" t="str">
        <f>IF(E734&lt;0,"ERROR",IF(E734=0,"",IF(E734&lt;CONFIG!$B$4,"CRÍTICO",IF(E734&lt;CONFIG!$B$5,"BAJO","OK"))))</f>
        <v/>
      </c>
    </row>
    <row r="735" ht="15.75" customHeight="1">
      <c r="A735" s="90" t="str">
        <f>IF(CLIENTES!A9="","",CLIENTES!A9)</f>
        <v/>
      </c>
      <c r="B735" s="67" t="str">
        <f>TELAS!A5</f>
        <v>pique 30/1</v>
      </c>
      <c r="C735" s="67" t="str">
        <f>COLORES!A15</f>
        <v>Plomo</v>
      </c>
      <c r="D735" s="67" t="str">
        <f>COLORES!B15</f>
        <v>OSCURO</v>
      </c>
      <c r="E735" s="100">
        <f>IFERROR(SUMIFS(MOVIMIENTOS!$F$4:$F$1000,MOVIMIENTOS!$C$4:$C$1000,A735,MOVIMIENTOS!$D$4:$D$1000,B735,MOVIMIENTOS!$E$4:$E$1000,C735,MOVIMIENTOS!$B$4:$B$1000,"INGRESO")+SUMIFS(MOVIMIENTOS!$F$4:$F$1000,MOVIMIENTOS!$C$4:$C$1000,A735,MOVIMIENTOS!$D$4:$D$1000,B735,MOVIMIENTOS!$E$4:$E$1000,C735,MOVIMIENTOS!$B$4:$B$1000,"DE REPROCESO")+SUMIFS(MOVIMIENTOS!$F$4:$F$1000,MOVIMIENTOS!$C$4:$C$1000,A735,MOVIMIENTOS!$D$4:$D$1000,B735,MOVIMIENTOS!$E$4:$E$1000,C735,MOVIMIENTOS!$B$4:$B$1000,"AJUSTE+")-SUMIFS(MOVIMIENTOS!$F$4:$F$1000,MOVIMIENTOS!$C$4:$C$1000,A735,MOVIMIENTOS!$D$4:$D$1000,B735,MOVIMIENTOS!$E$4:$E$1000,C735,MOVIMIENTOS!$B$4:$B$1000,"A CORTE")-SUMIFS(MOVIMIENTOS!$F$4:$F$1000,MOVIMIENTOS!$C$4:$C$1000,A735,MOVIMIENTOS!$D$4:$D$1000,B735,MOVIMIENTOS!$E$4:$E$1000,C735,MOVIMIENTOS!$B$4:$B$1000,"A REPROCESO")-SUMIFS(MOVIMIENTOS!$F$4:$F$1000,MOVIMIENTOS!$C$4:$C$1000,A735,MOVIMIENTOS!$D$4:$D$1000,B735,MOVIMIENTOS!$E$4:$E$1000,C735,MOVIMIENTOS!$B$4:$B$1000,"MUESTRA")-SUMIFS(MOVIMIENTOS!$F$4:$F$1000,MOVIMIENTOS!$C$4:$C$1000,A735,MOVIMIENTOS!$D$4:$D$1000,B735,MOVIMIENTOS!$E$4:$E$1000,C735,MOVIMIENTOS!$B$4:$B$1000,"AJUSTE-"),0)</f>
        <v>0</v>
      </c>
      <c r="F735" s="101">
        <f>IFERROR(E735*VLOOKUP(B735,TELAS!$A$4:$C$32,3,FALSE()),0)</f>
        <v>0</v>
      </c>
      <c r="G735" s="102">
        <f>IFERROR(IF(D735="OSCURO",VLOOKUP(B735,PRECIOS!$A$4:$F$32,2,FALSE()),IF(D735="CLARO",VLOOKUP(B735,PRECIOS!$A$4:$F$32,3,FALSE()),IF(D735="MELANGE",VLOOKUP(B735,PRECIOS!$A$4:$F$32,4,FALSE()),IF(D735="PPT",VLOOKUP(B735,PRECIOS!$A$4:$F$32,5,FALSE()),0)))),0)</f>
        <v>24</v>
      </c>
      <c r="H735" s="103">
        <f t="shared" si="1"/>
        <v>0</v>
      </c>
      <c r="I735" s="104" t="str">
        <f>IF(E735&lt;0,"ERROR",IF(E735=0,"",IF(E735&lt;CONFIG!$B$4,"CRÍTICO",IF(E735&lt;CONFIG!$B$5,"BAJO","OK"))))</f>
        <v/>
      </c>
    </row>
    <row r="736" ht="15.75" customHeight="1">
      <c r="A736" s="90" t="str">
        <f>IF(CLIENTES!A9="","",CLIENTES!A9)</f>
        <v/>
      </c>
      <c r="B736" s="67" t="str">
        <f>TELAS!A5</f>
        <v>pique 30/1</v>
      </c>
      <c r="C736" s="67" t="str">
        <f>COLORES!A16</f>
        <v>Topo</v>
      </c>
      <c r="D736" s="67" t="str">
        <f>COLORES!B16</f>
        <v>CLARO</v>
      </c>
      <c r="E736" s="100">
        <f>IFERROR(SUMIFS(MOVIMIENTOS!$F$4:$F$1000,MOVIMIENTOS!$C$4:$C$1000,A736,MOVIMIENTOS!$D$4:$D$1000,B736,MOVIMIENTOS!$E$4:$E$1000,C736,MOVIMIENTOS!$B$4:$B$1000,"INGRESO")+SUMIFS(MOVIMIENTOS!$F$4:$F$1000,MOVIMIENTOS!$C$4:$C$1000,A736,MOVIMIENTOS!$D$4:$D$1000,B736,MOVIMIENTOS!$E$4:$E$1000,C736,MOVIMIENTOS!$B$4:$B$1000,"DE REPROCESO")+SUMIFS(MOVIMIENTOS!$F$4:$F$1000,MOVIMIENTOS!$C$4:$C$1000,A736,MOVIMIENTOS!$D$4:$D$1000,B736,MOVIMIENTOS!$E$4:$E$1000,C736,MOVIMIENTOS!$B$4:$B$1000,"AJUSTE+")-SUMIFS(MOVIMIENTOS!$F$4:$F$1000,MOVIMIENTOS!$C$4:$C$1000,A736,MOVIMIENTOS!$D$4:$D$1000,B736,MOVIMIENTOS!$E$4:$E$1000,C736,MOVIMIENTOS!$B$4:$B$1000,"A CORTE")-SUMIFS(MOVIMIENTOS!$F$4:$F$1000,MOVIMIENTOS!$C$4:$C$1000,A736,MOVIMIENTOS!$D$4:$D$1000,B736,MOVIMIENTOS!$E$4:$E$1000,C736,MOVIMIENTOS!$B$4:$B$1000,"A REPROCESO")-SUMIFS(MOVIMIENTOS!$F$4:$F$1000,MOVIMIENTOS!$C$4:$C$1000,A736,MOVIMIENTOS!$D$4:$D$1000,B736,MOVIMIENTOS!$E$4:$E$1000,C736,MOVIMIENTOS!$B$4:$B$1000,"MUESTRA")-SUMIFS(MOVIMIENTOS!$F$4:$F$1000,MOVIMIENTOS!$C$4:$C$1000,A736,MOVIMIENTOS!$D$4:$D$1000,B736,MOVIMIENTOS!$E$4:$E$1000,C736,MOVIMIENTOS!$B$4:$B$1000,"AJUSTE-"),0)</f>
        <v>0</v>
      </c>
      <c r="F736" s="101">
        <f>IFERROR(E736*VLOOKUP(B736,TELAS!$A$4:$C$32,3,FALSE()),0)</f>
        <v>0</v>
      </c>
      <c r="G736" s="102">
        <f>IFERROR(IF(D736="OSCURO",VLOOKUP(B736,PRECIOS!$A$4:$F$32,2,FALSE()),IF(D736="CLARO",VLOOKUP(B736,PRECIOS!$A$4:$F$32,3,FALSE()),IF(D736="MELANGE",VLOOKUP(B736,PRECIOS!$A$4:$F$32,4,FALSE()),IF(D736="PPT",VLOOKUP(B736,PRECIOS!$A$4:$F$32,5,FALSE()),0)))),0)</f>
        <v>21</v>
      </c>
      <c r="H736" s="103">
        <f t="shared" si="1"/>
        <v>0</v>
      </c>
      <c r="I736" s="104" t="str">
        <f>IF(E736&lt;0,"ERROR",IF(E736=0,"",IF(E736&lt;CONFIG!$B$4,"CRÍTICO",IF(E736&lt;CONFIG!$B$5,"BAJO","OK"))))</f>
        <v/>
      </c>
    </row>
    <row r="737" ht="15.75" customHeight="1">
      <c r="A737" s="90" t="str">
        <f>IF(CLIENTES!A9="","",CLIENTES!A9)</f>
        <v/>
      </c>
      <c r="B737" s="67" t="str">
        <f>TELAS!A5</f>
        <v>pique 30/1</v>
      </c>
      <c r="C737" s="67" t="str">
        <f>COLORES!A17</f>
        <v>Vino</v>
      </c>
      <c r="D737" s="67" t="str">
        <f>COLORES!B17</f>
        <v>OSCURO</v>
      </c>
      <c r="E737" s="100">
        <f>IFERROR(SUMIFS(MOVIMIENTOS!$F$4:$F$1000,MOVIMIENTOS!$C$4:$C$1000,A737,MOVIMIENTOS!$D$4:$D$1000,B737,MOVIMIENTOS!$E$4:$E$1000,C737,MOVIMIENTOS!$B$4:$B$1000,"INGRESO")+SUMIFS(MOVIMIENTOS!$F$4:$F$1000,MOVIMIENTOS!$C$4:$C$1000,A737,MOVIMIENTOS!$D$4:$D$1000,B737,MOVIMIENTOS!$E$4:$E$1000,C737,MOVIMIENTOS!$B$4:$B$1000,"DE REPROCESO")+SUMIFS(MOVIMIENTOS!$F$4:$F$1000,MOVIMIENTOS!$C$4:$C$1000,A737,MOVIMIENTOS!$D$4:$D$1000,B737,MOVIMIENTOS!$E$4:$E$1000,C737,MOVIMIENTOS!$B$4:$B$1000,"AJUSTE+")-SUMIFS(MOVIMIENTOS!$F$4:$F$1000,MOVIMIENTOS!$C$4:$C$1000,A737,MOVIMIENTOS!$D$4:$D$1000,B737,MOVIMIENTOS!$E$4:$E$1000,C737,MOVIMIENTOS!$B$4:$B$1000,"A CORTE")-SUMIFS(MOVIMIENTOS!$F$4:$F$1000,MOVIMIENTOS!$C$4:$C$1000,A737,MOVIMIENTOS!$D$4:$D$1000,B737,MOVIMIENTOS!$E$4:$E$1000,C737,MOVIMIENTOS!$B$4:$B$1000,"A REPROCESO")-SUMIFS(MOVIMIENTOS!$F$4:$F$1000,MOVIMIENTOS!$C$4:$C$1000,A737,MOVIMIENTOS!$D$4:$D$1000,B737,MOVIMIENTOS!$E$4:$E$1000,C737,MOVIMIENTOS!$B$4:$B$1000,"MUESTRA")-SUMIFS(MOVIMIENTOS!$F$4:$F$1000,MOVIMIENTOS!$C$4:$C$1000,A737,MOVIMIENTOS!$D$4:$D$1000,B737,MOVIMIENTOS!$E$4:$E$1000,C737,MOVIMIENTOS!$B$4:$B$1000,"AJUSTE-"),0)</f>
        <v>0</v>
      </c>
      <c r="F737" s="101">
        <f>IFERROR(E737*VLOOKUP(B737,TELAS!$A$4:$C$32,3,FALSE()),0)</f>
        <v>0</v>
      </c>
      <c r="G737" s="102">
        <f>IFERROR(IF(D737="OSCURO",VLOOKUP(B737,PRECIOS!$A$4:$F$32,2,FALSE()),IF(D737="CLARO",VLOOKUP(B737,PRECIOS!$A$4:$F$32,3,FALSE()),IF(D737="MELANGE",VLOOKUP(B737,PRECIOS!$A$4:$F$32,4,FALSE()),IF(D737="PPT",VLOOKUP(B737,PRECIOS!$A$4:$F$32,5,FALSE()),0)))),0)</f>
        <v>24</v>
      </c>
      <c r="H737" s="103">
        <f t="shared" si="1"/>
        <v>0</v>
      </c>
      <c r="I737" s="104" t="str">
        <f>IF(E737&lt;0,"ERROR",IF(E737=0,"",IF(E737&lt;CONFIG!$B$4,"CRÍTICO",IF(E737&lt;CONFIG!$B$5,"BAJO","OK"))))</f>
        <v/>
      </c>
    </row>
    <row r="738" ht="15.75" customHeight="1">
      <c r="A738" s="90" t="str">
        <f>IF(CLIENTES!A9="","",CLIENTES!A9)</f>
        <v/>
      </c>
      <c r="B738" s="67" t="str">
        <f>TELAS!A5</f>
        <v>pique 30/1</v>
      </c>
      <c r="C738" s="67" t="str">
        <f>COLORES!A18</f>
        <v>P. Rosa</v>
      </c>
      <c r="D738" s="67" t="str">
        <f>COLORES!B18</f>
        <v>CLARO</v>
      </c>
      <c r="E738" s="100">
        <f>IFERROR(SUMIFS(MOVIMIENTOS!$F$4:$F$1000,MOVIMIENTOS!$C$4:$C$1000,A738,MOVIMIENTOS!$D$4:$D$1000,B738,MOVIMIENTOS!$E$4:$E$1000,C738,MOVIMIENTOS!$B$4:$B$1000,"INGRESO")+SUMIFS(MOVIMIENTOS!$F$4:$F$1000,MOVIMIENTOS!$C$4:$C$1000,A738,MOVIMIENTOS!$D$4:$D$1000,B738,MOVIMIENTOS!$E$4:$E$1000,C738,MOVIMIENTOS!$B$4:$B$1000,"DE REPROCESO")+SUMIFS(MOVIMIENTOS!$F$4:$F$1000,MOVIMIENTOS!$C$4:$C$1000,A738,MOVIMIENTOS!$D$4:$D$1000,B738,MOVIMIENTOS!$E$4:$E$1000,C738,MOVIMIENTOS!$B$4:$B$1000,"AJUSTE+")-SUMIFS(MOVIMIENTOS!$F$4:$F$1000,MOVIMIENTOS!$C$4:$C$1000,A738,MOVIMIENTOS!$D$4:$D$1000,B738,MOVIMIENTOS!$E$4:$E$1000,C738,MOVIMIENTOS!$B$4:$B$1000,"A CORTE")-SUMIFS(MOVIMIENTOS!$F$4:$F$1000,MOVIMIENTOS!$C$4:$C$1000,A738,MOVIMIENTOS!$D$4:$D$1000,B738,MOVIMIENTOS!$E$4:$E$1000,C738,MOVIMIENTOS!$B$4:$B$1000,"A REPROCESO")-SUMIFS(MOVIMIENTOS!$F$4:$F$1000,MOVIMIENTOS!$C$4:$C$1000,A738,MOVIMIENTOS!$D$4:$D$1000,B738,MOVIMIENTOS!$E$4:$E$1000,C738,MOVIMIENTOS!$B$4:$B$1000,"MUESTRA")-SUMIFS(MOVIMIENTOS!$F$4:$F$1000,MOVIMIENTOS!$C$4:$C$1000,A738,MOVIMIENTOS!$D$4:$D$1000,B738,MOVIMIENTOS!$E$4:$E$1000,C738,MOVIMIENTOS!$B$4:$B$1000,"AJUSTE-"),0)</f>
        <v>0</v>
      </c>
      <c r="F738" s="101">
        <f>IFERROR(E738*VLOOKUP(B738,TELAS!$A$4:$C$32,3,FALSE()),0)</f>
        <v>0</v>
      </c>
      <c r="G738" s="102">
        <f>IFERROR(IF(D738="OSCURO",VLOOKUP(B738,PRECIOS!$A$4:$F$32,2,FALSE()),IF(D738="CLARO",VLOOKUP(B738,PRECIOS!$A$4:$F$32,3,FALSE()),IF(D738="MELANGE",VLOOKUP(B738,PRECIOS!$A$4:$F$32,4,FALSE()),IF(D738="PPT",VLOOKUP(B738,PRECIOS!$A$4:$F$32,5,FALSE()),0)))),0)</f>
        <v>21</v>
      </c>
      <c r="H738" s="103">
        <f t="shared" si="1"/>
        <v>0</v>
      </c>
      <c r="I738" s="104" t="str">
        <f>IF(E738&lt;0,"ERROR",IF(E738=0,"",IF(E738&lt;CONFIG!$B$4,"CRÍTICO",IF(E738&lt;CONFIG!$B$5,"BAJO","OK"))))</f>
        <v/>
      </c>
    </row>
    <row r="739" ht="15.75" customHeight="1">
      <c r="A739" s="90" t="str">
        <f>IF(CLIENTES!A9="","",CLIENTES!A9)</f>
        <v/>
      </c>
      <c r="B739" s="67" t="str">
        <f>TELAS!A5</f>
        <v>pique 30/1</v>
      </c>
      <c r="C739" s="67" t="str">
        <f>COLORES!A19</f>
        <v/>
      </c>
      <c r="D739" s="67" t="str">
        <f>COLORES!B19</f>
        <v/>
      </c>
      <c r="E739" s="100">
        <f>IFERROR(SUMIFS(MOVIMIENTOS!$F$4:$F$1000,MOVIMIENTOS!$C$4:$C$1000,A739,MOVIMIENTOS!$D$4:$D$1000,B739,MOVIMIENTOS!$E$4:$E$1000,C739,MOVIMIENTOS!$B$4:$B$1000,"INGRESO")+SUMIFS(MOVIMIENTOS!$F$4:$F$1000,MOVIMIENTOS!$C$4:$C$1000,A739,MOVIMIENTOS!$D$4:$D$1000,B739,MOVIMIENTOS!$E$4:$E$1000,C739,MOVIMIENTOS!$B$4:$B$1000,"DE REPROCESO")+SUMIFS(MOVIMIENTOS!$F$4:$F$1000,MOVIMIENTOS!$C$4:$C$1000,A739,MOVIMIENTOS!$D$4:$D$1000,B739,MOVIMIENTOS!$E$4:$E$1000,C739,MOVIMIENTOS!$B$4:$B$1000,"AJUSTE+")-SUMIFS(MOVIMIENTOS!$F$4:$F$1000,MOVIMIENTOS!$C$4:$C$1000,A739,MOVIMIENTOS!$D$4:$D$1000,B739,MOVIMIENTOS!$E$4:$E$1000,C739,MOVIMIENTOS!$B$4:$B$1000,"A CORTE")-SUMIFS(MOVIMIENTOS!$F$4:$F$1000,MOVIMIENTOS!$C$4:$C$1000,A739,MOVIMIENTOS!$D$4:$D$1000,B739,MOVIMIENTOS!$E$4:$E$1000,C739,MOVIMIENTOS!$B$4:$B$1000,"A REPROCESO")-SUMIFS(MOVIMIENTOS!$F$4:$F$1000,MOVIMIENTOS!$C$4:$C$1000,A739,MOVIMIENTOS!$D$4:$D$1000,B739,MOVIMIENTOS!$E$4:$E$1000,C739,MOVIMIENTOS!$B$4:$B$1000,"MUESTRA")-SUMIFS(MOVIMIENTOS!$F$4:$F$1000,MOVIMIENTOS!$C$4:$C$1000,A739,MOVIMIENTOS!$D$4:$D$1000,B739,MOVIMIENTOS!$E$4:$E$1000,C739,MOVIMIENTOS!$B$4:$B$1000,"AJUSTE-"),0)</f>
        <v>0</v>
      </c>
      <c r="F739" s="101">
        <f>IFERROR(E739*VLOOKUP(B739,TELAS!$A$4:$C$32,3,FALSE()),0)</f>
        <v>0</v>
      </c>
      <c r="G739" s="102">
        <f>IFERROR(IF(D739="OSCURO",VLOOKUP(B739,PRECIOS!$A$4:$F$32,2,FALSE()),IF(D739="CLARO",VLOOKUP(B739,PRECIOS!$A$4:$F$32,3,FALSE()),IF(D739="MELANGE",VLOOKUP(B739,PRECIOS!$A$4:$F$32,4,FALSE()),IF(D739="PPT",VLOOKUP(B739,PRECIOS!$A$4:$F$32,5,FALSE()),0)))),0)</f>
        <v>0</v>
      </c>
      <c r="H739" s="103">
        <f t="shared" si="1"/>
        <v>0</v>
      </c>
      <c r="I739" s="104" t="str">
        <f>IF(E739&lt;0,"ERROR",IF(E739=0,"",IF(E739&lt;CONFIG!$B$4,"CRÍTICO",IF(E739&lt;CONFIG!$B$5,"BAJO","OK"))))</f>
        <v/>
      </c>
    </row>
    <row r="740" ht="15.75" customHeight="1">
      <c r="A740" s="90" t="str">
        <f>IF(CLIENTES!A9="","",CLIENTES!A9)</f>
        <v/>
      </c>
      <c r="B740" s="67" t="str">
        <f>TELAS!A5</f>
        <v>pique 30/1</v>
      </c>
      <c r="C740" s="67" t="str">
        <f>COLORES!A20</f>
        <v/>
      </c>
      <c r="D740" s="67" t="str">
        <f>COLORES!B20</f>
        <v/>
      </c>
      <c r="E740" s="100">
        <f>IFERROR(SUMIFS(MOVIMIENTOS!$F$4:$F$1000,MOVIMIENTOS!$C$4:$C$1000,A740,MOVIMIENTOS!$D$4:$D$1000,B740,MOVIMIENTOS!$E$4:$E$1000,C740,MOVIMIENTOS!$B$4:$B$1000,"INGRESO")+SUMIFS(MOVIMIENTOS!$F$4:$F$1000,MOVIMIENTOS!$C$4:$C$1000,A740,MOVIMIENTOS!$D$4:$D$1000,B740,MOVIMIENTOS!$E$4:$E$1000,C740,MOVIMIENTOS!$B$4:$B$1000,"DE REPROCESO")+SUMIFS(MOVIMIENTOS!$F$4:$F$1000,MOVIMIENTOS!$C$4:$C$1000,A740,MOVIMIENTOS!$D$4:$D$1000,B740,MOVIMIENTOS!$E$4:$E$1000,C740,MOVIMIENTOS!$B$4:$B$1000,"AJUSTE+")-SUMIFS(MOVIMIENTOS!$F$4:$F$1000,MOVIMIENTOS!$C$4:$C$1000,A740,MOVIMIENTOS!$D$4:$D$1000,B740,MOVIMIENTOS!$E$4:$E$1000,C740,MOVIMIENTOS!$B$4:$B$1000,"A CORTE")-SUMIFS(MOVIMIENTOS!$F$4:$F$1000,MOVIMIENTOS!$C$4:$C$1000,A740,MOVIMIENTOS!$D$4:$D$1000,B740,MOVIMIENTOS!$E$4:$E$1000,C740,MOVIMIENTOS!$B$4:$B$1000,"A REPROCESO")-SUMIFS(MOVIMIENTOS!$F$4:$F$1000,MOVIMIENTOS!$C$4:$C$1000,A740,MOVIMIENTOS!$D$4:$D$1000,B740,MOVIMIENTOS!$E$4:$E$1000,C740,MOVIMIENTOS!$B$4:$B$1000,"MUESTRA")-SUMIFS(MOVIMIENTOS!$F$4:$F$1000,MOVIMIENTOS!$C$4:$C$1000,A740,MOVIMIENTOS!$D$4:$D$1000,B740,MOVIMIENTOS!$E$4:$E$1000,C740,MOVIMIENTOS!$B$4:$B$1000,"AJUSTE-"),0)</f>
        <v>0</v>
      </c>
      <c r="F740" s="101">
        <f>IFERROR(E740*VLOOKUP(B740,TELAS!$A$4:$C$32,3,FALSE()),0)</f>
        <v>0</v>
      </c>
      <c r="G740" s="102">
        <f>IFERROR(IF(D740="OSCURO",VLOOKUP(B740,PRECIOS!$A$4:$F$32,2,FALSE()),IF(D740="CLARO",VLOOKUP(B740,PRECIOS!$A$4:$F$32,3,FALSE()),IF(D740="MELANGE",VLOOKUP(B740,PRECIOS!$A$4:$F$32,4,FALSE()),IF(D740="PPT",VLOOKUP(B740,PRECIOS!$A$4:$F$32,5,FALSE()),0)))),0)</f>
        <v>0</v>
      </c>
      <c r="H740" s="103">
        <f t="shared" si="1"/>
        <v>0</v>
      </c>
      <c r="I740" s="104" t="str">
        <f>IF(E740&lt;0,"ERROR",IF(E740=0,"",IF(E740&lt;CONFIG!$B$4,"CRÍTICO",IF(E740&lt;CONFIG!$B$5,"BAJO","OK"))))</f>
        <v/>
      </c>
    </row>
    <row r="741" ht="15.75" customHeight="1">
      <c r="A741" s="90" t="str">
        <f>IF(CLIENTES!A9="","",CLIENTES!A9)</f>
        <v/>
      </c>
      <c r="B741" s="67" t="str">
        <f>TELAS!A5</f>
        <v>pique 30/1</v>
      </c>
      <c r="C741" s="67" t="str">
        <f>COLORES!A21</f>
        <v/>
      </c>
      <c r="D741" s="67" t="str">
        <f>COLORES!B21</f>
        <v/>
      </c>
      <c r="E741" s="100">
        <f>IFERROR(SUMIFS(MOVIMIENTOS!$F$4:$F$1000,MOVIMIENTOS!$C$4:$C$1000,A741,MOVIMIENTOS!$D$4:$D$1000,B741,MOVIMIENTOS!$E$4:$E$1000,C741,MOVIMIENTOS!$B$4:$B$1000,"INGRESO")+SUMIFS(MOVIMIENTOS!$F$4:$F$1000,MOVIMIENTOS!$C$4:$C$1000,A741,MOVIMIENTOS!$D$4:$D$1000,B741,MOVIMIENTOS!$E$4:$E$1000,C741,MOVIMIENTOS!$B$4:$B$1000,"DE REPROCESO")+SUMIFS(MOVIMIENTOS!$F$4:$F$1000,MOVIMIENTOS!$C$4:$C$1000,A741,MOVIMIENTOS!$D$4:$D$1000,B741,MOVIMIENTOS!$E$4:$E$1000,C741,MOVIMIENTOS!$B$4:$B$1000,"AJUSTE+")-SUMIFS(MOVIMIENTOS!$F$4:$F$1000,MOVIMIENTOS!$C$4:$C$1000,A741,MOVIMIENTOS!$D$4:$D$1000,B741,MOVIMIENTOS!$E$4:$E$1000,C741,MOVIMIENTOS!$B$4:$B$1000,"A CORTE")-SUMIFS(MOVIMIENTOS!$F$4:$F$1000,MOVIMIENTOS!$C$4:$C$1000,A741,MOVIMIENTOS!$D$4:$D$1000,B741,MOVIMIENTOS!$E$4:$E$1000,C741,MOVIMIENTOS!$B$4:$B$1000,"A REPROCESO")-SUMIFS(MOVIMIENTOS!$F$4:$F$1000,MOVIMIENTOS!$C$4:$C$1000,A741,MOVIMIENTOS!$D$4:$D$1000,B741,MOVIMIENTOS!$E$4:$E$1000,C741,MOVIMIENTOS!$B$4:$B$1000,"MUESTRA")-SUMIFS(MOVIMIENTOS!$F$4:$F$1000,MOVIMIENTOS!$C$4:$C$1000,A741,MOVIMIENTOS!$D$4:$D$1000,B741,MOVIMIENTOS!$E$4:$E$1000,C741,MOVIMIENTOS!$B$4:$B$1000,"AJUSTE-"),0)</f>
        <v>0</v>
      </c>
      <c r="F741" s="101">
        <f>IFERROR(E741*VLOOKUP(B741,TELAS!$A$4:$C$32,3,FALSE()),0)</f>
        <v>0</v>
      </c>
      <c r="G741" s="102">
        <f>IFERROR(IF(D741="OSCURO",VLOOKUP(B741,PRECIOS!$A$4:$F$32,2,FALSE()),IF(D741="CLARO",VLOOKUP(B741,PRECIOS!$A$4:$F$32,3,FALSE()),IF(D741="MELANGE",VLOOKUP(B741,PRECIOS!$A$4:$F$32,4,FALSE()),IF(D741="PPT",VLOOKUP(B741,PRECIOS!$A$4:$F$32,5,FALSE()),0)))),0)</f>
        <v>0</v>
      </c>
      <c r="H741" s="103">
        <f t="shared" si="1"/>
        <v>0</v>
      </c>
      <c r="I741" s="104" t="str">
        <f>IF(E741&lt;0,"ERROR",IF(E741=0,"",IF(E741&lt;CONFIG!$B$4,"CRÍTICO",IF(E741&lt;CONFIG!$B$5,"BAJO","OK"))))</f>
        <v/>
      </c>
    </row>
    <row r="742" ht="15.75" customHeight="1">
      <c r="A742" s="90" t="str">
        <f>IF(CLIENTES!A9="","",CLIENTES!A9)</f>
        <v/>
      </c>
      <c r="B742" s="67" t="str">
        <f>TELAS!A5</f>
        <v>pique 30/1</v>
      </c>
      <c r="C742" s="67" t="str">
        <f>COLORES!A22</f>
        <v/>
      </c>
      <c r="D742" s="67" t="str">
        <f>COLORES!B22</f>
        <v/>
      </c>
      <c r="E742" s="100">
        <f>IFERROR(SUMIFS(MOVIMIENTOS!$F$4:$F$1000,MOVIMIENTOS!$C$4:$C$1000,A742,MOVIMIENTOS!$D$4:$D$1000,B742,MOVIMIENTOS!$E$4:$E$1000,C742,MOVIMIENTOS!$B$4:$B$1000,"INGRESO")+SUMIFS(MOVIMIENTOS!$F$4:$F$1000,MOVIMIENTOS!$C$4:$C$1000,A742,MOVIMIENTOS!$D$4:$D$1000,B742,MOVIMIENTOS!$E$4:$E$1000,C742,MOVIMIENTOS!$B$4:$B$1000,"DE REPROCESO")+SUMIFS(MOVIMIENTOS!$F$4:$F$1000,MOVIMIENTOS!$C$4:$C$1000,A742,MOVIMIENTOS!$D$4:$D$1000,B742,MOVIMIENTOS!$E$4:$E$1000,C742,MOVIMIENTOS!$B$4:$B$1000,"AJUSTE+")-SUMIFS(MOVIMIENTOS!$F$4:$F$1000,MOVIMIENTOS!$C$4:$C$1000,A742,MOVIMIENTOS!$D$4:$D$1000,B742,MOVIMIENTOS!$E$4:$E$1000,C742,MOVIMIENTOS!$B$4:$B$1000,"A CORTE")-SUMIFS(MOVIMIENTOS!$F$4:$F$1000,MOVIMIENTOS!$C$4:$C$1000,A742,MOVIMIENTOS!$D$4:$D$1000,B742,MOVIMIENTOS!$E$4:$E$1000,C742,MOVIMIENTOS!$B$4:$B$1000,"A REPROCESO")-SUMIFS(MOVIMIENTOS!$F$4:$F$1000,MOVIMIENTOS!$C$4:$C$1000,A742,MOVIMIENTOS!$D$4:$D$1000,B742,MOVIMIENTOS!$E$4:$E$1000,C742,MOVIMIENTOS!$B$4:$B$1000,"MUESTRA")-SUMIFS(MOVIMIENTOS!$F$4:$F$1000,MOVIMIENTOS!$C$4:$C$1000,A742,MOVIMIENTOS!$D$4:$D$1000,B742,MOVIMIENTOS!$E$4:$E$1000,C742,MOVIMIENTOS!$B$4:$B$1000,"AJUSTE-"),0)</f>
        <v>0</v>
      </c>
      <c r="F742" s="101">
        <f>IFERROR(E742*VLOOKUP(B742,TELAS!$A$4:$C$32,3,FALSE()),0)</f>
        <v>0</v>
      </c>
      <c r="G742" s="102">
        <f>IFERROR(IF(D742="OSCURO",VLOOKUP(B742,PRECIOS!$A$4:$F$32,2,FALSE()),IF(D742="CLARO",VLOOKUP(B742,PRECIOS!$A$4:$F$32,3,FALSE()),IF(D742="MELANGE",VLOOKUP(B742,PRECIOS!$A$4:$F$32,4,FALSE()),IF(D742="PPT",VLOOKUP(B742,PRECIOS!$A$4:$F$32,5,FALSE()),0)))),0)</f>
        <v>0</v>
      </c>
      <c r="H742" s="103">
        <f t="shared" si="1"/>
        <v>0</v>
      </c>
      <c r="I742" s="104" t="str">
        <f>IF(E742&lt;0,"ERROR",IF(E742=0,"",IF(E742&lt;CONFIG!$B$4,"CRÍTICO",IF(E742&lt;CONFIG!$B$5,"BAJO","OK"))))</f>
        <v/>
      </c>
    </row>
    <row r="743" ht="15.75" customHeight="1">
      <c r="A743" s="90" t="str">
        <f>IF(CLIENTES!A9="","",CLIENTES!A9)</f>
        <v/>
      </c>
      <c r="B743" s="67" t="str">
        <f>TELAS!A5</f>
        <v>pique 30/1</v>
      </c>
      <c r="C743" s="67" t="str">
        <f>COLORES!A23</f>
        <v/>
      </c>
      <c r="D743" s="67" t="str">
        <f>COLORES!B23</f>
        <v/>
      </c>
      <c r="E743" s="100">
        <f>IFERROR(SUMIFS(MOVIMIENTOS!$F$4:$F$1000,MOVIMIENTOS!$C$4:$C$1000,A743,MOVIMIENTOS!$D$4:$D$1000,B743,MOVIMIENTOS!$E$4:$E$1000,C743,MOVIMIENTOS!$B$4:$B$1000,"INGRESO")+SUMIFS(MOVIMIENTOS!$F$4:$F$1000,MOVIMIENTOS!$C$4:$C$1000,A743,MOVIMIENTOS!$D$4:$D$1000,B743,MOVIMIENTOS!$E$4:$E$1000,C743,MOVIMIENTOS!$B$4:$B$1000,"DE REPROCESO")+SUMIFS(MOVIMIENTOS!$F$4:$F$1000,MOVIMIENTOS!$C$4:$C$1000,A743,MOVIMIENTOS!$D$4:$D$1000,B743,MOVIMIENTOS!$E$4:$E$1000,C743,MOVIMIENTOS!$B$4:$B$1000,"AJUSTE+")-SUMIFS(MOVIMIENTOS!$F$4:$F$1000,MOVIMIENTOS!$C$4:$C$1000,A743,MOVIMIENTOS!$D$4:$D$1000,B743,MOVIMIENTOS!$E$4:$E$1000,C743,MOVIMIENTOS!$B$4:$B$1000,"A CORTE")-SUMIFS(MOVIMIENTOS!$F$4:$F$1000,MOVIMIENTOS!$C$4:$C$1000,A743,MOVIMIENTOS!$D$4:$D$1000,B743,MOVIMIENTOS!$E$4:$E$1000,C743,MOVIMIENTOS!$B$4:$B$1000,"A REPROCESO")-SUMIFS(MOVIMIENTOS!$F$4:$F$1000,MOVIMIENTOS!$C$4:$C$1000,A743,MOVIMIENTOS!$D$4:$D$1000,B743,MOVIMIENTOS!$E$4:$E$1000,C743,MOVIMIENTOS!$B$4:$B$1000,"MUESTRA")-SUMIFS(MOVIMIENTOS!$F$4:$F$1000,MOVIMIENTOS!$C$4:$C$1000,A743,MOVIMIENTOS!$D$4:$D$1000,B743,MOVIMIENTOS!$E$4:$E$1000,C743,MOVIMIENTOS!$B$4:$B$1000,"AJUSTE-"),0)</f>
        <v>0</v>
      </c>
      <c r="F743" s="101">
        <f>IFERROR(E743*VLOOKUP(B743,TELAS!$A$4:$C$32,3,FALSE()),0)</f>
        <v>0</v>
      </c>
      <c r="G743" s="102">
        <f>IFERROR(IF(D743="OSCURO",VLOOKUP(B743,PRECIOS!$A$4:$F$32,2,FALSE()),IF(D743="CLARO",VLOOKUP(B743,PRECIOS!$A$4:$F$32,3,FALSE()),IF(D743="MELANGE",VLOOKUP(B743,PRECIOS!$A$4:$F$32,4,FALSE()),IF(D743="PPT",VLOOKUP(B743,PRECIOS!$A$4:$F$32,5,FALSE()),0)))),0)</f>
        <v>0</v>
      </c>
      <c r="H743" s="103">
        <f t="shared" si="1"/>
        <v>0</v>
      </c>
      <c r="I743" s="104" t="str">
        <f>IF(E743&lt;0,"ERROR",IF(E743=0,"",IF(E743&lt;CONFIG!$B$4,"CRÍTICO",IF(E743&lt;CONFIG!$B$5,"BAJO","OK"))))</f>
        <v/>
      </c>
    </row>
    <row r="744" ht="15.75" customHeight="1">
      <c r="A744" s="90" t="str">
        <f>IF(CLIENTES!A9="","",CLIENTES!A9)</f>
        <v/>
      </c>
      <c r="B744" s="67" t="str">
        <f>TELAS!A6</f>
        <v>wafle 30/1</v>
      </c>
      <c r="C744" s="67" t="str">
        <f>COLORES!A4</f>
        <v>Negro</v>
      </c>
      <c r="D744" s="67" t="str">
        <f>COLORES!B4</f>
        <v>OSCURO</v>
      </c>
      <c r="E744" s="100">
        <f>IFERROR(SUMIFS(MOVIMIENTOS!$F$4:$F$1000,MOVIMIENTOS!$C$4:$C$1000,A744,MOVIMIENTOS!$D$4:$D$1000,B744,MOVIMIENTOS!$E$4:$E$1000,C744,MOVIMIENTOS!$B$4:$B$1000,"INGRESO")+SUMIFS(MOVIMIENTOS!$F$4:$F$1000,MOVIMIENTOS!$C$4:$C$1000,A744,MOVIMIENTOS!$D$4:$D$1000,B744,MOVIMIENTOS!$E$4:$E$1000,C744,MOVIMIENTOS!$B$4:$B$1000,"DE REPROCESO")+SUMIFS(MOVIMIENTOS!$F$4:$F$1000,MOVIMIENTOS!$C$4:$C$1000,A744,MOVIMIENTOS!$D$4:$D$1000,B744,MOVIMIENTOS!$E$4:$E$1000,C744,MOVIMIENTOS!$B$4:$B$1000,"AJUSTE+")-SUMIFS(MOVIMIENTOS!$F$4:$F$1000,MOVIMIENTOS!$C$4:$C$1000,A744,MOVIMIENTOS!$D$4:$D$1000,B744,MOVIMIENTOS!$E$4:$E$1000,C744,MOVIMIENTOS!$B$4:$B$1000,"A CORTE")-SUMIFS(MOVIMIENTOS!$F$4:$F$1000,MOVIMIENTOS!$C$4:$C$1000,A744,MOVIMIENTOS!$D$4:$D$1000,B744,MOVIMIENTOS!$E$4:$E$1000,C744,MOVIMIENTOS!$B$4:$B$1000,"A REPROCESO")-SUMIFS(MOVIMIENTOS!$F$4:$F$1000,MOVIMIENTOS!$C$4:$C$1000,A744,MOVIMIENTOS!$D$4:$D$1000,B744,MOVIMIENTOS!$E$4:$E$1000,C744,MOVIMIENTOS!$B$4:$B$1000,"MUESTRA")-SUMIFS(MOVIMIENTOS!$F$4:$F$1000,MOVIMIENTOS!$C$4:$C$1000,A744,MOVIMIENTOS!$D$4:$D$1000,B744,MOVIMIENTOS!$E$4:$E$1000,C744,MOVIMIENTOS!$B$4:$B$1000,"AJUSTE-"),0)</f>
        <v>0</v>
      </c>
      <c r="F744" s="101">
        <f>IFERROR(E744*VLOOKUP(B744,TELAS!$A$4:$C$32,3,FALSE()),0)</f>
        <v>0</v>
      </c>
      <c r="G744" s="102">
        <f>IFERROR(IF(D744="OSCURO",VLOOKUP(B744,PRECIOS!$A$4:$F$32,2,FALSE()),IF(D744="CLARO",VLOOKUP(B744,PRECIOS!$A$4:$F$32,3,FALSE()),IF(D744="MELANGE",VLOOKUP(B744,PRECIOS!$A$4:$F$32,4,FALSE()),IF(D744="PPT",VLOOKUP(B744,PRECIOS!$A$4:$F$32,5,FALSE()),0)))),0)</f>
        <v>26</v>
      </c>
      <c r="H744" s="103">
        <f t="shared" si="1"/>
        <v>0</v>
      </c>
      <c r="I744" s="104" t="str">
        <f>IF(E744&lt;0,"ERROR",IF(E744=0,"",IF(E744&lt;CONFIG!$B$4,"CRÍTICO",IF(E744&lt;CONFIG!$B$5,"BAJO","OK"))))</f>
        <v/>
      </c>
    </row>
    <row r="745" ht="15.75" customHeight="1">
      <c r="A745" s="90" t="str">
        <f>IF(CLIENTES!A9="","",CLIENTES!A9)</f>
        <v/>
      </c>
      <c r="B745" s="67" t="str">
        <f>TELAS!A6</f>
        <v>wafle 30/1</v>
      </c>
      <c r="C745" s="67" t="str">
        <f>COLORES!A5</f>
        <v>Perla</v>
      </c>
      <c r="D745" s="67" t="str">
        <f>COLORES!B5</f>
        <v>PPT</v>
      </c>
      <c r="E745" s="100">
        <f>IFERROR(SUMIFS(MOVIMIENTOS!$F$4:$F$1000,MOVIMIENTOS!$C$4:$C$1000,A745,MOVIMIENTOS!$D$4:$D$1000,B745,MOVIMIENTOS!$E$4:$E$1000,C745,MOVIMIENTOS!$B$4:$B$1000,"INGRESO")+SUMIFS(MOVIMIENTOS!$F$4:$F$1000,MOVIMIENTOS!$C$4:$C$1000,A745,MOVIMIENTOS!$D$4:$D$1000,B745,MOVIMIENTOS!$E$4:$E$1000,C745,MOVIMIENTOS!$B$4:$B$1000,"DE REPROCESO")+SUMIFS(MOVIMIENTOS!$F$4:$F$1000,MOVIMIENTOS!$C$4:$C$1000,A745,MOVIMIENTOS!$D$4:$D$1000,B745,MOVIMIENTOS!$E$4:$E$1000,C745,MOVIMIENTOS!$B$4:$B$1000,"AJUSTE+")-SUMIFS(MOVIMIENTOS!$F$4:$F$1000,MOVIMIENTOS!$C$4:$C$1000,A745,MOVIMIENTOS!$D$4:$D$1000,B745,MOVIMIENTOS!$E$4:$E$1000,C745,MOVIMIENTOS!$B$4:$B$1000,"A CORTE")-SUMIFS(MOVIMIENTOS!$F$4:$F$1000,MOVIMIENTOS!$C$4:$C$1000,A745,MOVIMIENTOS!$D$4:$D$1000,B745,MOVIMIENTOS!$E$4:$E$1000,C745,MOVIMIENTOS!$B$4:$B$1000,"A REPROCESO")-SUMIFS(MOVIMIENTOS!$F$4:$F$1000,MOVIMIENTOS!$C$4:$C$1000,A745,MOVIMIENTOS!$D$4:$D$1000,B745,MOVIMIENTOS!$E$4:$E$1000,C745,MOVIMIENTOS!$B$4:$B$1000,"MUESTRA")-SUMIFS(MOVIMIENTOS!$F$4:$F$1000,MOVIMIENTOS!$C$4:$C$1000,A745,MOVIMIENTOS!$D$4:$D$1000,B745,MOVIMIENTOS!$E$4:$E$1000,C745,MOVIMIENTOS!$B$4:$B$1000,"AJUSTE-"),0)</f>
        <v>0</v>
      </c>
      <c r="F745" s="101">
        <f>IFERROR(E745*VLOOKUP(B745,TELAS!$A$4:$C$32,3,FALSE()),0)</f>
        <v>0</v>
      </c>
      <c r="G745" s="102">
        <f>IFERROR(IF(D745="OSCURO",VLOOKUP(B745,PRECIOS!$A$4:$F$32,2,FALSE()),IF(D745="CLARO",VLOOKUP(B745,PRECIOS!$A$4:$F$32,3,FALSE()),IF(D745="MELANGE",VLOOKUP(B745,PRECIOS!$A$4:$F$32,4,FALSE()),IF(D745="PPT",VLOOKUP(B745,PRECIOS!$A$4:$F$32,5,FALSE()),0)))),0)</f>
        <v>19</v>
      </c>
      <c r="H745" s="103">
        <f t="shared" si="1"/>
        <v>0</v>
      </c>
      <c r="I745" s="104" t="str">
        <f>IF(E745&lt;0,"ERROR",IF(E745=0,"",IF(E745&lt;CONFIG!$B$4,"CRÍTICO",IF(E745&lt;CONFIG!$B$5,"BAJO","OK"))))</f>
        <v/>
      </c>
    </row>
    <row r="746" ht="15.75" customHeight="1">
      <c r="A746" s="90" t="str">
        <f>IF(CLIENTES!A9="","",CLIENTES!A9)</f>
        <v/>
      </c>
      <c r="B746" s="67" t="str">
        <f>TELAS!A6</f>
        <v>wafle 30/1</v>
      </c>
      <c r="C746" s="67" t="str">
        <f>COLORES!A6</f>
        <v>Blanco</v>
      </c>
      <c r="D746" s="67" t="str">
        <f>COLORES!B6</f>
        <v>PPT</v>
      </c>
      <c r="E746" s="100">
        <f>IFERROR(SUMIFS(MOVIMIENTOS!$F$4:$F$1000,MOVIMIENTOS!$C$4:$C$1000,A746,MOVIMIENTOS!$D$4:$D$1000,B746,MOVIMIENTOS!$E$4:$E$1000,C746,MOVIMIENTOS!$B$4:$B$1000,"INGRESO")+SUMIFS(MOVIMIENTOS!$F$4:$F$1000,MOVIMIENTOS!$C$4:$C$1000,A746,MOVIMIENTOS!$D$4:$D$1000,B746,MOVIMIENTOS!$E$4:$E$1000,C746,MOVIMIENTOS!$B$4:$B$1000,"DE REPROCESO")+SUMIFS(MOVIMIENTOS!$F$4:$F$1000,MOVIMIENTOS!$C$4:$C$1000,A746,MOVIMIENTOS!$D$4:$D$1000,B746,MOVIMIENTOS!$E$4:$E$1000,C746,MOVIMIENTOS!$B$4:$B$1000,"AJUSTE+")-SUMIFS(MOVIMIENTOS!$F$4:$F$1000,MOVIMIENTOS!$C$4:$C$1000,A746,MOVIMIENTOS!$D$4:$D$1000,B746,MOVIMIENTOS!$E$4:$E$1000,C746,MOVIMIENTOS!$B$4:$B$1000,"A CORTE")-SUMIFS(MOVIMIENTOS!$F$4:$F$1000,MOVIMIENTOS!$C$4:$C$1000,A746,MOVIMIENTOS!$D$4:$D$1000,B746,MOVIMIENTOS!$E$4:$E$1000,C746,MOVIMIENTOS!$B$4:$B$1000,"A REPROCESO")-SUMIFS(MOVIMIENTOS!$F$4:$F$1000,MOVIMIENTOS!$C$4:$C$1000,A746,MOVIMIENTOS!$D$4:$D$1000,B746,MOVIMIENTOS!$E$4:$E$1000,C746,MOVIMIENTOS!$B$4:$B$1000,"MUESTRA")-SUMIFS(MOVIMIENTOS!$F$4:$F$1000,MOVIMIENTOS!$C$4:$C$1000,A746,MOVIMIENTOS!$D$4:$D$1000,B746,MOVIMIENTOS!$E$4:$E$1000,C746,MOVIMIENTOS!$B$4:$B$1000,"AJUSTE-"),0)</f>
        <v>0</v>
      </c>
      <c r="F746" s="101">
        <f>IFERROR(E746*VLOOKUP(B746,TELAS!$A$4:$C$32,3,FALSE()),0)</f>
        <v>0</v>
      </c>
      <c r="G746" s="102">
        <f>IFERROR(IF(D746="OSCURO",VLOOKUP(B746,PRECIOS!$A$4:$F$32,2,FALSE()),IF(D746="CLARO",VLOOKUP(B746,PRECIOS!$A$4:$F$32,3,FALSE()),IF(D746="MELANGE",VLOOKUP(B746,PRECIOS!$A$4:$F$32,4,FALSE()),IF(D746="PPT",VLOOKUP(B746,PRECIOS!$A$4:$F$32,5,FALSE()),0)))),0)</f>
        <v>19</v>
      </c>
      <c r="H746" s="103">
        <f t="shared" si="1"/>
        <v>0</v>
      </c>
      <c r="I746" s="104" t="str">
        <f>IF(E746&lt;0,"ERROR",IF(E746=0,"",IF(E746&lt;CONFIG!$B$4,"CRÍTICO",IF(E746&lt;CONFIG!$B$5,"BAJO","OK"))))</f>
        <v/>
      </c>
    </row>
    <row r="747" ht="15.75" customHeight="1">
      <c r="A747" s="90" t="str">
        <f>IF(CLIENTES!A9="","",CLIENTES!A9)</f>
        <v/>
      </c>
      <c r="B747" s="67" t="str">
        <f>TELAS!A6</f>
        <v>wafle 30/1</v>
      </c>
      <c r="C747" s="67" t="str">
        <f>COLORES!A7</f>
        <v>Azul</v>
      </c>
      <c r="D747" s="67" t="str">
        <f>COLORES!B7</f>
        <v>OSCURO</v>
      </c>
      <c r="E747" s="100">
        <f>IFERROR(SUMIFS(MOVIMIENTOS!$F$4:$F$1000,MOVIMIENTOS!$C$4:$C$1000,A747,MOVIMIENTOS!$D$4:$D$1000,B747,MOVIMIENTOS!$E$4:$E$1000,C747,MOVIMIENTOS!$B$4:$B$1000,"INGRESO")+SUMIFS(MOVIMIENTOS!$F$4:$F$1000,MOVIMIENTOS!$C$4:$C$1000,A747,MOVIMIENTOS!$D$4:$D$1000,B747,MOVIMIENTOS!$E$4:$E$1000,C747,MOVIMIENTOS!$B$4:$B$1000,"DE REPROCESO")+SUMIFS(MOVIMIENTOS!$F$4:$F$1000,MOVIMIENTOS!$C$4:$C$1000,A747,MOVIMIENTOS!$D$4:$D$1000,B747,MOVIMIENTOS!$E$4:$E$1000,C747,MOVIMIENTOS!$B$4:$B$1000,"AJUSTE+")-SUMIFS(MOVIMIENTOS!$F$4:$F$1000,MOVIMIENTOS!$C$4:$C$1000,A747,MOVIMIENTOS!$D$4:$D$1000,B747,MOVIMIENTOS!$E$4:$E$1000,C747,MOVIMIENTOS!$B$4:$B$1000,"A CORTE")-SUMIFS(MOVIMIENTOS!$F$4:$F$1000,MOVIMIENTOS!$C$4:$C$1000,A747,MOVIMIENTOS!$D$4:$D$1000,B747,MOVIMIENTOS!$E$4:$E$1000,C747,MOVIMIENTOS!$B$4:$B$1000,"A REPROCESO")-SUMIFS(MOVIMIENTOS!$F$4:$F$1000,MOVIMIENTOS!$C$4:$C$1000,A747,MOVIMIENTOS!$D$4:$D$1000,B747,MOVIMIENTOS!$E$4:$E$1000,C747,MOVIMIENTOS!$B$4:$B$1000,"MUESTRA")-SUMIFS(MOVIMIENTOS!$F$4:$F$1000,MOVIMIENTOS!$C$4:$C$1000,A747,MOVIMIENTOS!$D$4:$D$1000,B747,MOVIMIENTOS!$E$4:$E$1000,C747,MOVIMIENTOS!$B$4:$B$1000,"AJUSTE-"),0)</f>
        <v>0</v>
      </c>
      <c r="F747" s="101">
        <f>IFERROR(E747*VLOOKUP(B747,TELAS!$A$4:$C$32,3,FALSE()),0)</f>
        <v>0</v>
      </c>
      <c r="G747" s="102">
        <f>IFERROR(IF(D747="OSCURO",VLOOKUP(B747,PRECIOS!$A$4:$F$32,2,FALSE()),IF(D747="CLARO",VLOOKUP(B747,PRECIOS!$A$4:$F$32,3,FALSE()),IF(D747="MELANGE",VLOOKUP(B747,PRECIOS!$A$4:$F$32,4,FALSE()),IF(D747="PPT",VLOOKUP(B747,PRECIOS!$A$4:$F$32,5,FALSE()),0)))),0)</f>
        <v>26</v>
      </c>
      <c r="H747" s="103">
        <f t="shared" si="1"/>
        <v>0</v>
      </c>
      <c r="I747" s="104" t="str">
        <f>IF(E747&lt;0,"ERROR",IF(E747=0,"",IF(E747&lt;CONFIG!$B$4,"CRÍTICO",IF(E747&lt;CONFIG!$B$5,"BAJO","OK"))))</f>
        <v/>
      </c>
    </row>
    <row r="748" ht="15.75" customHeight="1">
      <c r="A748" s="90" t="str">
        <f>IF(CLIENTES!A9="","",CLIENTES!A9)</f>
        <v/>
      </c>
      <c r="B748" s="67" t="str">
        <f>TELAS!A6</f>
        <v>wafle 30/1</v>
      </c>
      <c r="C748" s="67" t="str">
        <f>COLORES!A8</f>
        <v>Beige</v>
      </c>
      <c r="D748" s="67" t="str">
        <f>COLORES!B8</f>
        <v>CLARO</v>
      </c>
      <c r="E748" s="100">
        <f>IFERROR(SUMIFS(MOVIMIENTOS!$F$4:$F$1000,MOVIMIENTOS!$C$4:$C$1000,A748,MOVIMIENTOS!$D$4:$D$1000,B748,MOVIMIENTOS!$E$4:$E$1000,C748,MOVIMIENTOS!$B$4:$B$1000,"INGRESO")+SUMIFS(MOVIMIENTOS!$F$4:$F$1000,MOVIMIENTOS!$C$4:$C$1000,A748,MOVIMIENTOS!$D$4:$D$1000,B748,MOVIMIENTOS!$E$4:$E$1000,C748,MOVIMIENTOS!$B$4:$B$1000,"DE REPROCESO")+SUMIFS(MOVIMIENTOS!$F$4:$F$1000,MOVIMIENTOS!$C$4:$C$1000,A748,MOVIMIENTOS!$D$4:$D$1000,B748,MOVIMIENTOS!$E$4:$E$1000,C748,MOVIMIENTOS!$B$4:$B$1000,"AJUSTE+")-SUMIFS(MOVIMIENTOS!$F$4:$F$1000,MOVIMIENTOS!$C$4:$C$1000,A748,MOVIMIENTOS!$D$4:$D$1000,B748,MOVIMIENTOS!$E$4:$E$1000,C748,MOVIMIENTOS!$B$4:$B$1000,"A CORTE")-SUMIFS(MOVIMIENTOS!$F$4:$F$1000,MOVIMIENTOS!$C$4:$C$1000,A748,MOVIMIENTOS!$D$4:$D$1000,B748,MOVIMIENTOS!$E$4:$E$1000,C748,MOVIMIENTOS!$B$4:$B$1000,"A REPROCESO")-SUMIFS(MOVIMIENTOS!$F$4:$F$1000,MOVIMIENTOS!$C$4:$C$1000,A748,MOVIMIENTOS!$D$4:$D$1000,B748,MOVIMIENTOS!$E$4:$E$1000,C748,MOVIMIENTOS!$B$4:$B$1000,"MUESTRA")-SUMIFS(MOVIMIENTOS!$F$4:$F$1000,MOVIMIENTOS!$C$4:$C$1000,A748,MOVIMIENTOS!$D$4:$D$1000,B748,MOVIMIENTOS!$E$4:$E$1000,C748,MOVIMIENTOS!$B$4:$B$1000,"AJUSTE-"),0)</f>
        <v>0</v>
      </c>
      <c r="F748" s="101">
        <f>IFERROR(E748*VLOOKUP(B748,TELAS!$A$4:$C$32,3,FALSE()),0)</f>
        <v>0</v>
      </c>
      <c r="G748" s="102">
        <f>IFERROR(IF(D748="OSCURO",VLOOKUP(B748,PRECIOS!$A$4:$F$32,2,FALSE()),IF(D748="CLARO",VLOOKUP(B748,PRECIOS!$A$4:$F$32,3,FALSE()),IF(D748="MELANGE",VLOOKUP(B748,PRECIOS!$A$4:$F$32,4,FALSE()),IF(D748="PPT",VLOOKUP(B748,PRECIOS!$A$4:$F$32,5,FALSE()),0)))),0)</f>
        <v>22.5</v>
      </c>
      <c r="H748" s="103">
        <f t="shared" si="1"/>
        <v>0</v>
      </c>
      <c r="I748" s="104" t="str">
        <f>IF(E748&lt;0,"ERROR",IF(E748=0,"",IF(E748&lt;CONFIG!$B$4,"CRÍTICO",IF(E748&lt;CONFIG!$B$5,"BAJO","OK"))))</f>
        <v/>
      </c>
    </row>
    <row r="749" ht="15.75" customHeight="1">
      <c r="A749" s="90" t="str">
        <f>IF(CLIENTES!A9="","",CLIENTES!A9)</f>
        <v/>
      </c>
      <c r="B749" s="67" t="str">
        <f>TELAS!A6</f>
        <v>wafle 30/1</v>
      </c>
      <c r="C749" s="67" t="str">
        <f>COLORES!A9</f>
        <v>Melange</v>
      </c>
      <c r="D749" s="67" t="str">
        <f>COLORES!B9</f>
        <v>MELANGE</v>
      </c>
      <c r="E749" s="100">
        <f>IFERROR(SUMIFS(MOVIMIENTOS!$F$4:$F$1000,MOVIMIENTOS!$C$4:$C$1000,A749,MOVIMIENTOS!$D$4:$D$1000,B749,MOVIMIENTOS!$E$4:$E$1000,C749,MOVIMIENTOS!$B$4:$B$1000,"INGRESO")+SUMIFS(MOVIMIENTOS!$F$4:$F$1000,MOVIMIENTOS!$C$4:$C$1000,A749,MOVIMIENTOS!$D$4:$D$1000,B749,MOVIMIENTOS!$E$4:$E$1000,C749,MOVIMIENTOS!$B$4:$B$1000,"DE REPROCESO")+SUMIFS(MOVIMIENTOS!$F$4:$F$1000,MOVIMIENTOS!$C$4:$C$1000,A749,MOVIMIENTOS!$D$4:$D$1000,B749,MOVIMIENTOS!$E$4:$E$1000,C749,MOVIMIENTOS!$B$4:$B$1000,"AJUSTE+")-SUMIFS(MOVIMIENTOS!$F$4:$F$1000,MOVIMIENTOS!$C$4:$C$1000,A749,MOVIMIENTOS!$D$4:$D$1000,B749,MOVIMIENTOS!$E$4:$E$1000,C749,MOVIMIENTOS!$B$4:$B$1000,"A CORTE")-SUMIFS(MOVIMIENTOS!$F$4:$F$1000,MOVIMIENTOS!$C$4:$C$1000,A749,MOVIMIENTOS!$D$4:$D$1000,B749,MOVIMIENTOS!$E$4:$E$1000,C749,MOVIMIENTOS!$B$4:$B$1000,"A REPROCESO")-SUMIFS(MOVIMIENTOS!$F$4:$F$1000,MOVIMIENTOS!$C$4:$C$1000,A749,MOVIMIENTOS!$D$4:$D$1000,B749,MOVIMIENTOS!$E$4:$E$1000,C749,MOVIMIENTOS!$B$4:$B$1000,"MUESTRA")-SUMIFS(MOVIMIENTOS!$F$4:$F$1000,MOVIMIENTOS!$C$4:$C$1000,A749,MOVIMIENTOS!$D$4:$D$1000,B749,MOVIMIENTOS!$E$4:$E$1000,C749,MOVIMIENTOS!$B$4:$B$1000,"AJUSTE-"),0)</f>
        <v>0</v>
      </c>
      <c r="F749" s="101">
        <f>IFERROR(E749*VLOOKUP(B749,TELAS!$A$4:$C$32,3,FALSE()),0)</f>
        <v>0</v>
      </c>
      <c r="G749" s="102">
        <f>IFERROR(IF(D749="OSCURO",VLOOKUP(B749,PRECIOS!$A$4:$F$32,2,FALSE()),IF(D749="CLARO",VLOOKUP(B749,PRECIOS!$A$4:$F$32,3,FALSE()),IF(D749="MELANGE",VLOOKUP(B749,PRECIOS!$A$4:$F$32,4,FALSE()),IF(D749="PPT",VLOOKUP(B749,PRECIOS!$A$4:$F$32,5,FALSE()),0)))),0)</f>
        <v>19</v>
      </c>
      <c r="H749" s="103">
        <f t="shared" si="1"/>
        <v>0</v>
      </c>
      <c r="I749" s="104" t="str">
        <f>IF(E749&lt;0,"ERROR",IF(E749=0,"",IF(E749&lt;CONFIG!$B$4,"CRÍTICO",IF(E749&lt;CONFIG!$B$5,"BAJO","OK"))))</f>
        <v/>
      </c>
    </row>
    <row r="750" ht="15.75" customHeight="1">
      <c r="A750" s="90" t="str">
        <f>IF(CLIENTES!A9="","",CLIENTES!A9)</f>
        <v/>
      </c>
      <c r="B750" s="67" t="str">
        <f>TELAS!A6</f>
        <v>wafle 30/1</v>
      </c>
      <c r="C750" s="67" t="str">
        <f>COLORES!A10</f>
        <v>Botella</v>
      </c>
      <c r="D750" s="67" t="str">
        <f>COLORES!B10</f>
        <v>OSCURO</v>
      </c>
      <c r="E750" s="100">
        <f>IFERROR(SUMIFS(MOVIMIENTOS!$F$4:$F$1000,MOVIMIENTOS!$C$4:$C$1000,A750,MOVIMIENTOS!$D$4:$D$1000,B750,MOVIMIENTOS!$E$4:$E$1000,C750,MOVIMIENTOS!$B$4:$B$1000,"INGRESO")+SUMIFS(MOVIMIENTOS!$F$4:$F$1000,MOVIMIENTOS!$C$4:$C$1000,A750,MOVIMIENTOS!$D$4:$D$1000,B750,MOVIMIENTOS!$E$4:$E$1000,C750,MOVIMIENTOS!$B$4:$B$1000,"DE REPROCESO")+SUMIFS(MOVIMIENTOS!$F$4:$F$1000,MOVIMIENTOS!$C$4:$C$1000,A750,MOVIMIENTOS!$D$4:$D$1000,B750,MOVIMIENTOS!$E$4:$E$1000,C750,MOVIMIENTOS!$B$4:$B$1000,"AJUSTE+")-SUMIFS(MOVIMIENTOS!$F$4:$F$1000,MOVIMIENTOS!$C$4:$C$1000,A750,MOVIMIENTOS!$D$4:$D$1000,B750,MOVIMIENTOS!$E$4:$E$1000,C750,MOVIMIENTOS!$B$4:$B$1000,"A CORTE")-SUMIFS(MOVIMIENTOS!$F$4:$F$1000,MOVIMIENTOS!$C$4:$C$1000,A750,MOVIMIENTOS!$D$4:$D$1000,B750,MOVIMIENTOS!$E$4:$E$1000,C750,MOVIMIENTOS!$B$4:$B$1000,"A REPROCESO")-SUMIFS(MOVIMIENTOS!$F$4:$F$1000,MOVIMIENTOS!$C$4:$C$1000,A750,MOVIMIENTOS!$D$4:$D$1000,B750,MOVIMIENTOS!$E$4:$E$1000,C750,MOVIMIENTOS!$B$4:$B$1000,"MUESTRA")-SUMIFS(MOVIMIENTOS!$F$4:$F$1000,MOVIMIENTOS!$C$4:$C$1000,A750,MOVIMIENTOS!$D$4:$D$1000,B750,MOVIMIENTOS!$E$4:$E$1000,C750,MOVIMIENTOS!$B$4:$B$1000,"AJUSTE-"),0)</f>
        <v>0</v>
      </c>
      <c r="F750" s="101">
        <f>IFERROR(E750*VLOOKUP(B750,TELAS!$A$4:$C$32,3,FALSE()),0)</f>
        <v>0</v>
      </c>
      <c r="G750" s="102">
        <f>IFERROR(IF(D750="OSCURO",VLOOKUP(B750,PRECIOS!$A$4:$F$32,2,FALSE()),IF(D750="CLARO",VLOOKUP(B750,PRECIOS!$A$4:$F$32,3,FALSE()),IF(D750="MELANGE",VLOOKUP(B750,PRECIOS!$A$4:$F$32,4,FALSE()),IF(D750="PPT",VLOOKUP(B750,PRECIOS!$A$4:$F$32,5,FALSE()),0)))),0)</f>
        <v>26</v>
      </c>
      <c r="H750" s="103">
        <f t="shared" si="1"/>
        <v>0</v>
      </c>
      <c r="I750" s="104" t="str">
        <f>IF(E750&lt;0,"ERROR",IF(E750=0,"",IF(E750&lt;CONFIG!$B$4,"CRÍTICO",IF(E750&lt;CONFIG!$B$5,"BAJO","OK"))))</f>
        <v/>
      </c>
    </row>
    <row r="751" ht="15.75" customHeight="1">
      <c r="A751" s="90" t="str">
        <f>IF(CLIENTES!A9="","",CLIENTES!A9)</f>
        <v/>
      </c>
      <c r="B751" s="67" t="str">
        <f>TELAS!A6</f>
        <v>wafle 30/1</v>
      </c>
      <c r="C751" s="67" t="str">
        <f>COLORES!A11</f>
        <v>Pacay</v>
      </c>
      <c r="D751" s="67" t="str">
        <f>COLORES!B11</f>
        <v>CLARO</v>
      </c>
      <c r="E751" s="100">
        <f>IFERROR(SUMIFS(MOVIMIENTOS!$F$4:$F$1000,MOVIMIENTOS!$C$4:$C$1000,A751,MOVIMIENTOS!$D$4:$D$1000,B751,MOVIMIENTOS!$E$4:$E$1000,C751,MOVIMIENTOS!$B$4:$B$1000,"INGRESO")+SUMIFS(MOVIMIENTOS!$F$4:$F$1000,MOVIMIENTOS!$C$4:$C$1000,A751,MOVIMIENTOS!$D$4:$D$1000,B751,MOVIMIENTOS!$E$4:$E$1000,C751,MOVIMIENTOS!$B$4:$B$1000,"DE REPROCESO")+SUMIFS(MOVIMIENTOS!$F$4:$F$1000,MOVIMIENTOS!$C$4:$C$1000,A751,MOVIMIENTOS!$D$4:$D$1000,B751,MOVIMIENTOS!$E$4:$E$1000,C751,MOVIMIENTOS!$B$4:$B$1000,"AJUSTE+")-SUMIFS(MOVIMIENTOS!$F$4:$F$1000,MOVIMIENTOS!$C$4:$C$1000,A751,MOVIMIENTOS!$D$4:$D$1000,B751,MOVIMIENTOS!$E$4:$E$1000,C751,MOVIMIENTOS!$B$4:$B$1000,"A CORTE")-SUMIFS(MOVIMIENTOS!$F$4:$F$1000,MOVIMIENTOS!$C$4:$C$1000,A751,MOVIMIENTOS!$D$4:$D$1000,B751,MOVIMIENTOS!$E$4:$E$1000,C751,MOVIMIENTOS!$B$4:$B$1000,"A REPROCESO")-SUMIFS(MOVIMIENTOS!$F$4:$F$1000,MOVIMIENTOS!$C$4:$C$1000,A751,MOVIMIENTOS!$D$4:$D$1000,B751,MOVIMIENTOS!$E$4:$E$1000,C751,MOVIMIENTOS!$B$4:$B$1000,"MUESTRA")-SUMIFS(MOVIMIENTOS!$F$4:$F$1000,MOVIMIENTOS!$C$4:$C$1000,A751,MOVIMIENTOS!$D$4:$D$1000,B751,MOVIMIENTOS!$E$4:$E$1000,C751,MOVIMIENTOS!$B$4:$B$1000,"AJUSTE-"),0)</f>
        <v>0</v>
      </c>
      <c r="F751" s="101">
        <f>IFERROR(E751*VLOOKUP(B751,TELAS!$A$4:$C$32,3,FALSE()),0)</f>
        <v>0</v>
      </c>
      <c r="G751" s="102">
        <f>IFERROR(IF(D751="OSCURO",VLOOKUP(B751,PRECIOS!$A$4:$F$32,2,FALSE()),IF(D751="CLARO",VLOOKUP(B751,PRECIOS!$A$4:$F$32,3,FALSE()),IF(D751="MELANGE",VLOOKUP(B751,PRECIOS!$A$4:$F$32,4,FALSE()),IF(D751="PPT",VLOOKUP(B751,PRECIOS!$A$4:$F$32,5,FALSE()),0)))),0)</f>
        <v>22.5</v>
      </c>
      <c r="H751" s="103">
        <f t="shared" si="1"/>
        <v>0</v>
      </c>
      <c r="I751" s="104" t="str">
        <f>IF(E751&lt;0,"ERROR",IF(E751=0,"",IF(E751&lt;CONFIG!$B$4,"CRÍTICO",IF(E751&lt;CONFIG!$B$5,"BAJO","OK"))))</f>
        <v/>
      </c>
    </row>
    <row r="752" ht="15.75" customHeight="1">
      <c r="A752" s="90" t="str">
        <f>IF(CLIENTES!A9="","",CLIENTES!A9)</f>
        <v/>
      </c>
      <c r="B752" s="67" t="str">
        <f>TELAS!A6</f>
        <v>wafle 30/1</v>
      </c>
      <c r="C752" s="67" t="str">
        <f>COLORES!A12</f>
        <v>Cemento</v>
      </c>
      <c r="D752" s="67" t="str">
        <f>COLORES!B12</f>
        <v>CLARO</v>
      </c>
      <c r="E752" s="100">
        <f>IFERROR(SUMIFS(MOVIMIENTOS!$F$4:$F$1000,MOVIMIENTOS!$C$4:$C$1000,A752,MOVIMIENTOS!$D$4:$D$1000,B752,MOVIMIENTOS!$E$4:$E$1000,C752,MOVIMIENTOS!$B$4:$B$1000,"INGRESO")+SUMIFS(MOVIMIENTOS!$F$4:$F$1000,MOVIMIENTOS!$C$4:$C$1000,A752,MOVIMIENTOS!$D$4:$D$1000,B752,MOVIMIENTOS!$E$4:$E$1000,C752,MOVIMIENTOS!$B$4:$B$1000,"DE REPROCESO")+SUMIFS(MOVIMIENTOS!$F$4:$F$1000,MOVIMIENTOS!$C$4:$C$1000,A752,MOVIMIENTOS!$D$4:$D$1000,B752,MOVIMIENTOS!$E$4:$E$1000,C752,MOVIMIENTOS!$B$4:$B$1000,"AJUSTE+")-SUMIFS(MOVIMIENTOS!$F$4:$F$1000,MOVIMIENTOS!$C$4:$C$1000,A752,MOVIMIENTOS!$D$4:$D$1000,B752,MOVIMIENTOS!$E$4:$E$1000,C752,MOVIMIENTOS!$B$4:$B$1000,"A CORTE")-SUMIFS(MOVIMIENTOS!$F$4:$F$1000,MOVIMIENTOS!$C$4:$C$1000,A752,MOVIMIENTOS!$D$4:$D$1000,B752,MOVIMIENTOS!$E$4:$E$1000,C752,MOVIMIENTOS!$B$4:$B$1000,"A REPROCESO")-SUMIFS(MOVIMIENTOS!$F$4:$F$1000,MOVIMIENTOS!$C$4:$C$1000,A752,MOVIMIENTOS!$D$4:$D$1000,B752,MOVIMIENTOS!$E$4:$E$1000,C752,MOVIMIENTOS!$B$4:$B$1000,"MUESTRA")-SUMIFS(MOVIMIENTOS!$F$4:$F$1000,MOVIMIENTOS!$C$4:$C$1000,A752,MOVIMIENTOS!$D$4:$D$1000,B752,MOVIMIENTOS!$E$4:$E$1000,C752,MOVIMIENTOS!$B$4:$B$1000,"AJUSTE-"),0)</f>
        <v>0</v>
      </c>
      <c r="F752" s="101">
        <f>IFERROR(E752*VLOOKUP(B752,TELAS!$A$4:$C$32,3,FALSE()),0)</f>
        <v>0</v>
      </c>
      <c r="G752" s="102">
        <f>IFERROR(IF(D752="OSCURO",VLOOKUP(B752,PRECIOS!$A$4:$F$32,2,FALSE()),IF(D752="CLARO",VLOOKUP(B752,PRECIOS!$A$4:$F$32,3,FALSE()),IF(D752="MELANGE",VLOOKUP(B752,PRECIOS!$A$4:$F$32,4,FALSE()),IF(D752="PPT",VLOOKUP(B752,PRECIOS!$A$4:$F$32,5,FALSE()),0)))),0)</f>
        <v>22.5</v>
      </c>
      <c r="H752" s="103">
        <f t="shared" si="1"/>
        <v>0</v>
      </c>
      <c r="I752" s="104" t="str">
        <f>IF(E752&lt;0,"ERROR",IF(E752=0,"",IF(E752&lt;CONFIG!$B$4,"CRÍTICO",IF(E752&lt;CONFIG!$B$5,"BAJO","OK"))))</f>
        <v/>
      </c>
    </row>
    <row r="753" ht="15.75" customHeight="1">
      <c r="A753" s="90" t="str">
        <f>IF(CLIENTES!A9="","",CLIENTES!A9)</f>
        <v/>
      </c>
      <c r="B753" s="67" t="str">
        <f>TELAS!A6</f>
        <v>wafle 30/1</v>
      </c>
      <c r="C753" s="67" t="str">
        <f>COLORES!A13</f>
        <v>Camote</v>
      </c>
      <c r="D753" s="67" t="str">
        <f>COLORES!B13</f>
        <v>CLARO</v>
      </c>
      <c r="E753" s="100">
        <f>IFERROR(SUMIFS(MOVIMIENTOS!$F$4:$F$1000,MOVIMIENTOS!$C$4:$C$1000,A753,MOVIMIENTOS!$D$4:$D$1000,B753,MOVIMIENTOS!$E$4:$E$1000,C753,MOVIMIENTOS!$B$4:$B$1000,"INGRESO")+SUMIFS(MOVIMIENTOS!$F$4:$F$1000,MOVIMIENTOS!$C$4:$C$1000,A753,MOVIMIENTOS!$D$4:$D$1000,B753,MOVIMIENTOS!$E$4:$E$1000,C753,MOVIMIENTOS!$B$4:$B$1000,"DE REPROCESO")+SUMIFS(MOVIMIENTOS!$F$4:$F$1000,MOVIMIENTOS!$C$4:$C$1000,A753,MOVIMIENTOS!$D$4:$D$1000,B753,MOVIMIENTOS!$E$4:$E$1000,C753,MOVIMIENTOS!$B$4:$B$1000,"AJUSTE+")-SUMIFS(MOVIMIENTOS!$F$4:$F$1000,MOVIMIENTOS!$C$4:$C$1000,A753,MOVIMIENTOS!$D$4:$D$1000,B753,MOVIMIENTOS!$E$4:$E$1000,C753,MOVIMIENTOS!$B$4:$B$1000,"A CORTE")-SUMIFS(MOVIMIENTOS!$F$4:$F$1000,MOVIMIENTOS!$C$4:$C$1000,A753,MOVIMIENTOS!$D$4:$D$1000,B753,MOVIMIENTOS!$E$4:$E$1000,C753,MOVIMIENTOS!$B$4:$B$1000,"A REPROCESO")-SUMIFS(MOVIMIENTOS!$F$4:$F$1000,MOVIMIENTOS!$C$4:$C$1000,A753,MOVIMIENTOS!$D$4:$D$1000,B753,MOVIMIENTOS!$E$4:$E$1000,C753,MOVIMIENTOS!$B$4:$B$1000,"MUESTRA")-SUMIFS(MOVIMIENTOS!$F$4:$F$1000,MOVIMIENTOS!$C$4:$C$1000,A753,MOVIMIENTOS!$D$4:$D$1000,B753,MOVIMIENTOS!$E$4:$E$1000,C753,MOVIMIENTOS!$B$4:$B$1000,"AJUSTE-"),0)</f>
        <v>0</v>
      </c>
      <c r="F753" s="101">
        <f>IFERROR(E753*VLOOKUP(B753,TELAS!$A$4:$C$32,3,FALSE()),0)</f>
        <v>0</v>
      </c>
      <c r="G753" s="102">
        <f>IFERROR(IF(D753="OSCURO",VLOOKUP(B753,PRECIOS!$A$4:$F$32,2,FALSE()),IF(D753="CLARO",VLOOKUP(B753,PRECIOS!$A$4:$F$32,3,FALSE()),IF(D753="MELANGE",VLOOKUP(B753,PRECIOS!$A$4:$F$32,4,FALSE()),IF(D753="PPT",VLOOKUP(B753,PRECIOS!$A$4:$F$32,5,FALSE()),0)))),0)</f>
        <v>22.5</v>
      </c>
      <c r="H753" s="103">
        <f t="shared" si="1"/>
        <v>0</v>
      </c>
      <c r="I753" s="104" t="str">
        <f>IF(E753&lt;0,"ERROR",IF(E753=0,"",IF(E753&lt;CONFIG!$B$4,"CRÍTICO",IF(E753&lt;CONFIG!$B$5,"BAJO","OK"))))</f>
        <v/>
      </c>
    </row>
    <row r="754" ht="15.75" customHeight="1">
      <c r="A754" s="90" t="str">
        <f>IF(CLIENTES!A9="","",CLIENTES!A9)</f>
        <v/>
      </c>
      <c r="B754" s="67" t="str">
        <f>TELAS!A6</f>
        <v>wafle 30/1</v>
      </c>
      <c r="C754" s="67" t="str">
        <f>COLORES!A14</f>
        <v>Denim</v>
      </c>
      <c r="D754" s="67" t="str">
        <f>COLORES!B14</f>
        <v>CLARO</v>
      </c>
      <c r="E754" s="100">
        <f>IFERROR(SUMIFS(MOVIMIENTOS!$F$4:$F$1000,MOVIMIENTOS!$C$4:$C$1000,A754,MOVIMIENTOS!$D$4:$D$1000,B754,MOVIMIENTOS!$E$4:$E$1000,C754,MOVIMIENTOS!$B$4:$B$1000,"INGRESO")+SUMIFS(MOVIMIENTOS!$F$4:$F$1000,MOVIMIENTOS!$C$4:$C$1000,A754,MOVIMIENTOS!$D$4:$D$1000,B754,MOVIMIENTOS!$E$4:$E$1000,C754,MOVIMIENTOS!$B$4:$B$1000,"DE REPROCESO")+SUMIFS(MOVIMIENTOS!$F$4:$F$1000,MOVIMIENTOS!$C$4:$C$1000,A754,MOVIMIENTOS!$D$4:$D$1000,B754,MOVIMIENTOS!$E$4:$E$1000,C754,MOVIMIENTOS!$B$4:$B$1000,"AJUSTE+")-SUMIFS(MOVIMIENTOS!$F$4:$F$1000,MOVIMIENTOS!$C$4:$C$1000,A754,MOVIMIENTOS!$D$4:$D$1000,B754,MOVIMIENTOS!$E$4:$E$1000,C754,MOVIMIENTOS!$B$4:$B$1000,"A CORTE")-SUMIFS(MOVIMIENTOS!$F$4:$F$1000,MOVIMIENTOS!$C$4:$C$1000,A754,MOVIMIENTOS!$D$4:$D$1000,B754,MOVIMIENTOS!$E$4:$E$1000,C754,MOVIMIENTOS!$B$4:$B$1000,"A REPROCESO")-SUMIFS(MOVIMIENTOS!$F$4:$F$1000,MOVIMIENTOS!$C$4:$C$1000,A754,MOVIMIENTOS!$D$4:$D$1000,B754,MOVIMIENTOS!$E$4:$E$1000,C754,MOVIMIENTOS!$B$4:$B$1000,"MUESTRA")-SUMIFS(MOVIMIENTOS!$F$4:$F$1000,MOVIMIENTOS!$C$4:$C$1000,A754,MOVIMIENTOS!$D$4:$D$1000,B754,MOVIMIENTOS!$E$4:$E$1000,C754,MOVIMIENTOS!$B$4:$B$1000,"AJUSTE-"),0)</f>
        <v>0</v>
      </c>
      <c r="F754" s="101">
        <f>IFERROR(E754*VLOOKUP(B754,TELAS!$A$4:$C$32,3,FALSE()),0)</f>
        <v>0</v>
      </c>
      <c r="G754" s="102">
        <f>IFERROR(IF(D754="OSCURO",VLOOKUP(B754,PRECIOS!$A$4:$F$32,2,FALSE()),IF(D754="CLARO",VLOOKUP(B754,PRECIOS!$A$4:$F$32,3,FALSE()),IF(D754="MELANGE",VLOOKUP(B754,PRECIOS!$A$4:$F$32,4,FALSE()),IF(D754="PPT",VLOOKUP(B754,PRECIOS!$A$4:$F$32,5,FALSE()),0)))),0)</f>
        <v>22.5</v>
      </c>
      <c r="H754" s="103">
        <f t="shared" si="1"/>
        <v>0</v>
      </c>
      <c r="I754" s="104" t="str">
        <f>IF(E754&lt;0,"ERROR",IF(E754=0,"",IF(E754&lt;CONFIG!$B$4,"CRÍTICO",IF(E754&lt;CONFIG!$B$5,"BAJO","OK"))))</f>
        <v/>
      </c>
    </row>
    <row r="755" ht="15.75" customHeight="1">
      <c r="A755" s="90" t="str">
        <f>IF(CLIENTES!A9="","",CLIENTES!A9)</f>
        <v/>
      </c>
      <c r="B755" s="67" t="str">
        <f>TELAS!A6</f>
        <v>wafle 30/1</v>
      </c>
      <c r="C755" s="67" t="str">
        <f>COLORES!A15</f>
        <v>Plomo</v>
      </c>
      <c r="D755" s="67" t="str">
        <f>COLORES!B15</f>
        <v>OSCURO</v>
      </c>
      <c r="E755" s="100">
        <f>IFERROR(SUMIFS(MOVIMIENTOS!$F$4:$F$1000,MOVIMIENTOS!$C$4:$C$1000,A755,MOVIMIENTOS!$D$4:$D$1000,B755,MOVIMIENTOS!$E$4:$E$1000,C755,MOVIMIENTOS!$B$4:$B$1000,"INGRESO")+SUMIFS(MOVIMIENTOS!$F$4:$F$1000,MOVIMIENTOS!$C$4:$C$1000,A755,MOVIMIENTOS!$D$4:$D$1000,B755,MOVIMIENTOS!$E$4:$E$1000,C755,MOVIMIENTOS!$B$4:$B$1000,"DE REPROCESO")+SUMIFS(MOVIMIENTOS!$F$4:$F$1000,MOVIMIENTOS!$C$4:$C$1000,A755,MOVIMIENTOS!$D$4:$D$1000,B755,MOVIMIENTOS!$E$4:$E$1000,C755,MOVIMIENTOS!$B$4:$B$1000,"AJUSTE+")-SUMIFS(MOVIMIENTOS!$F$4:$F$1000,MOVIMIENTOS!$C$4:$C$1000,A755,MOVIMIENTOS!$D$4:$D$1000,B755,MOVIMIENTOS!$E$4:$E$1000,C755,MOVIMIENTOS!$B$4:$B$1000,"A CORTE")-SUMIFS(MOVIMIENTOS!$F$4:$F$1000,MOVIMIENTOS!$C$4:$C$1000,A755,MOVIMIENTOS!$D$4:$D$1000,B755,MOVIMIENTOS!$E$4:$E$1000,C755,MOVIMIENTOS!$B$4:$B$1000,"A REPROCESO")-SUMIFS(MOVIMIENTOS!$F$4:$F$1000,MOVIMIENTOS!$C$4:$C$1000,A755,MOVIMIENTOS!$D$4:$D$1000,B755,MOVIMIENTOS!$E$4:$E$1000,C755,MOVIMIENTOS!$B$4:$B$1000,"MUESTRA")-SUMIFS(MOVIMIENTOS!$F$4:$F$1000,MOVIMIENTOS!$C$4:$C$1000,A755,MOVIMIENTOS!$D$4:$D$1000,B755,MOVIMIENTOS!$E$4:$E$1000,C755,MOVIMIENTOS!$B$4:$B$1000,"AJUSTE-"),0)</f>
        <v>0</v>
      </c>
      <c r="F755" s="101">
        <f>IFERROR(E755*VLOOKUP(B755,TELAS!$A$4:$C$32,3,FALSE()),0)</f>
        <v>0</v>
      </c>
      <c r="G755" s="102">
        <f>IFERROR(IF(D755="OSCURO",VLOOKUP(B755,PRECIOS!$A$4:$F$32,2,FALSE()),IF(D755="CLARO",VLOOKUP(B755,PRECIOS!$A$4:$F$32,3,FALSE()),IF(D755="MELANGE",VLOOKUP(B755,PRECIOS!$A$4:$F$32,4,FALSE()),IF(D755="PPT",VLOOKUP(B755,PRECIOS!$A$4:$F$32,5,FALSE()),0)))),0)</f>
        <v>26</v>
      </c>
      <c r="H755" s="103">
        <f t="shared" si="1"/>
        <v>0</v>
      </c>
      <c r="I755" s="104" t="str">
        <f>IF(E755&lt;0,"ERROR",IF(E755=0,"",IF(E755&lt;CONFIG!$B$4,"CRÍTICO",IF(E755&lt;CONFIG!$B$5,"BAJO","OK"))))</f>
        <v/>
      </c>
    </row>
    <row r="756" ht="15.75" customHeight="1">
      <c r="A756" s="90" t="str">
        <f>IF(CLIENTES!A9="","",CLIENTES!A9)</f>
        <v/>
      </c>
      <c r="B756" s="67" t="str">
        <f>TELAS!A6</f>
        <v>wafle 30/1</v>
      </c>
      <c r="C756" s="67" t="str">
        <f>COLORES!A16</f>
        <v>Topo</v>
      </c>
      <c r="D756" s="67" t="str">
        <f>COLORES!B16</f>
        <v>CLARO</v>
      </c>
      <c r="E756" s="100">
        <f>IFERROR(SUMIFS(MOVIMIENTOS!$F$4:$F$1000,MOVIMIENTOS!$C$4:$C$1000,A756,MOVIMIENTOS!$D$4:$D$1000,B756,MOVIMIENTOS!$E$4:$E$1000,C756,MOVIMIENTOS!$B$4:$B$1000,"INGRESO")+SUMIFS(MOVIMIENTOS!$F$4:$F$1000,MOVIMIENTOS!$C$4:$C$1000,A756,MOVIMIENTOS!$D$4:$D$1000,B756,MOVIMIENTOS!$E$4:$E$1000,C756,MOVIMIENTOS!$B$4:$B$1000,"DE REPROCESO")+SUMIFS(MOVIMIENTOS!$F$4:$F$1000,MOVIMIENTOS!$C$4:$C$1000,A756,MOVIMIENTOS!$D$4:$D$1000,B756,MOVIMIENTOS!$E$4:$E$1000,C756,MOVIMIENTOS!$B$4:$B$1000,"AJUSTE+")-SUMIFS(MOVIMIENTOS!$F$4:$F$1000,MOVIMIENTOS!$C$4:$C$1000,A756,MOVIMIENTOS!$D$4:$D$1000,B756,MOVIMIENTOS!$E$4:$E$1000,C756,MOVIMIENTOS!$B$4:$B$1000,"A CORTE")-SUMIFS(MOVIMIENTOS!$F$4:$F$1000,MOVIMIENTOS!$C$4:$C$1000,A756,MOVIMIENTOS!$D$4:$D$1000,B756,MOVIMIENTOS!$E$4:$E$1000,C756,MOVIMIENTOS!$B$4:$B$1000,"A REPROCESO")-SUMIFS(MOVIMIENTOS!$F$4:$F$1000,MOVIMIENTOS!$C$4:$C$1000,A756,MOVIMIENTOS!$D$4:$D$1000,B756,MOVIMIENTOS!$E$4:$E$1000,C756,MOVIMIENTOS!$B$4:$B$1000,"MUESTRA")-SUMIFS(MOVIMIENTOS!$F$4:$F$1000,MOVIMIENTOS!$C$4:$C$1000,A756,MOVIMIENTOS!$D$4:$D$1000,B756,MOVIMIENTOS!$E$4:$E$1000,C756,MOVIMIENTOS!$B$4:$B$1000,"AJUSTE-"),0)</f>
        <v>0</v>
      </c>
      <c r="F756" s="101">
        <f>IFERROR(E756*VLOOKUP(B756,TELAS!$A$4:$C$32,3,FALSE()),0)</f>
        <v>0</v>
      </c>
      <c r="G756" s="102">
        <f>IFERROR(IF(D756="OSCURO",VLOOKUP(B756,PRECIOS!$A$4:$F$32,2,FALSE()),IF(D756="CLARO",VLOOKUP(B756,PRECIOS!$A$4:$F$32,3,FALSE()),IF(D756="MELANGE",VLOOKUP(B756,PRECIOS!$A$4:$F$32,4,FALSE()),IF(D756="PPT",VLOOKUP(B756,PRECIOS!$A$4:$F$32,5,FALSE()),0)))),0)</f>
        <v>22.5</v>
      </c>
      <c r="H756" s="103">
        <f t="shared" si="1"/>
        <v>0</v>
      </c>
      <c r="I756" s="104" t="str">
        <f>IF(E756&lt;0,"ERROR",IF(E756=0,"",IF(E756&lt;CONFIG!$B$4,"CRÍTICO",IF(E756&lt;CONFIG!$B$5,"BAJO","OK"))))</f>
        <v/>
      </c>
    </row>
    <row r="757" ht="15.75" customHeight="1">
      <c r="A757" s="90" t="str">
        <f>IF(CLIENTES!A9="","",CLIENTES!A9)</f>
        <v/>
      </c>
      <c r="B757" s="67" t="str">
        <f>TELAS!A6</f>
        <v>wafle 30/1</v>
      </c>
      <c r="C757" s="67" t="str">
        <f>COLORES!A17</f>
        <v>Vino</v>
      </c>
      <c r="D757" s="67" t="str">
        <f>COLORES!B17</f>
        <v>OSCURO</v>
      </c>
      <c r="E757" s="100">
        <f>IFERROR(SUMIFS(MOVIMIENTOS!$F$4:$F$1000,MOVIMIENTOS!$C$4:$C$1000,A757,MOVIMIENTOS!$D$4:$D$1000,B757,MOVIMIENTOS!$E$4:$E$1000,C757,MOVIMIENTOS!$B$4:$B$1000,"INGRESO")+SUMIFS(MOVIMIENTOS!$F$4:$F$1000,MOVIMIENTOS!$C$4:$C$1000,A757,MOVIMIENTOS!$D$4:$D$1000,B757,MOVIMIENTOS!$E$4:$E$1000,C757,MOVIMIENTOS!$B$4:$B$1000,"DE REPROCESO")+SUMIFS(MOVIMIENTOS!$F$4:$F$1000,MOVIMIENTOS!$C$4:$C$1000,A757,MOVIMIENTOS!$D$4:$D$1000,B757,MOVIMIENTOS!$E$4:$E$1000,C757,MOVIMIENTOS!$B$4:$B$1000,"AJUSTE+")-SUMIFS(MOVIMIENTOS!$F$4:$F$1000,MOVIMIENTOS!$C$4:$C$1000,A757,MOVIMIENTOS!$D$4:$D$1000,B757,MOVIMIENTOS!$E$4:$E$1000,C757,MOVIMIENTOS!$B$4:$B$1000,"A CORTE")-SUMIFS(MOVIMIENTOS!$F$4:$F$1000,MOVIMIENTOS!$C$4:$C$1000,A757,MOVIMIENTOS!$D$4:$D$1000,B757,MOVIMIENTOS!$E$4:$E$1000,C757,MOVIMIENTOS!$B$4:$B$1000,"A REPROCESO")-SUMIFS(MOVIMIENTOS!$F$4:$F$1000,MOVIMIENTOS!$C$4:$C$1000,A757,MOVIMIENTOS!$D$4:$D$1000,B757,MOVIMIENTOS!$E$4:$E$1000,C757,MOVIMIENTOS!$B$4:$B$1000,"MUESTRA")-SUMIFS(MOVIMIENTOS!$F$4:$F$1000,MOVIMIENTOS!$C$4:$C$1000,A757,MOVIMIENTOS!$D$4:$D$1000,B757,MOVIMIENTOS!$E$4:$E$1000,C757,MOVIMIENTOS!$B$4:$B$1000,"AJUSTE-"),0)</f>
        <v>0</v>
      </c>
      <c r="F757" s="101">
        <f>IFERROR(E757*VLOOKUP(B757,TELAS!$A$4:$C$32,3,FALSE()),0)</f>
        <v>0</v>
      </c>
      <c r="G757" s="102">
        <f>IFERROR(IF(D757="OSCURO",VLOOKUP(B757,PRECIOS!$A$4:$F$32,2,FALSE()),IF(D757="CLARO",VLOOKUP(B757,PRECIOS!$A$4:$F$32,3,FALSE()),IF(D757="MELANGE",VLOOKUP(B757,PRECIOS!$A$4:$F$32,4,FALSE()),IF(D757="PPT",VLOOKUP(B757,PRECIOS!$A$4:$F$32,5,FALSE()),0)))),0)</f>
        <v>26</v>
      </c>
      <c r="H757" s="103">
        <f t="shared" si="1"/>
        <v>0</v>
      </c>
      <c r="I757" s="104" t="str">
        <f>IF(E757&lt;0,"ERROR",IF(E757=0,"",IF(E757&lt;CONFIG!$B$4,"CRÍTICO",IF(E757&lt;CONFIG!$B$5,"BAJO","OK"))))</f>
        <v/>
      </c>
    </row>
    <row r="758" ht="15.75" customHeight="1">
      <c r="A758" s="90" t="str">
        <f>IF(CLIENTES!A9="","",CLIENTES!A9)</f>
        <v/>
      </c>
      <c r="B758" s="67" t="str">
        <f>TELAS!A6</f>
        <v>wafle 30/1</v>
      </c>
      <c r="C758" s="67" t="str">
        <f>COLORES!A18</f>
        <v>P. Rosa</v>
      </c>
      <c r="D758" s="67" t="str">
        <f>COLORES!B18</f>
        <v>CLARO</v>
      </c>
      <c r="E758" s="100">
        <f>IFERROR(SUMIFS(MOVIMIENTOS!$F$4:$F$1000,MOVIMIENTOS!$C$4:$C$1000,A758,MOVIMIENTOS!$D$4:$D$1000,B758,MOVIMIENTOS!$E$4:$E$1000,C758,MOVIMIENTOS!$B$4:$B$1000,"INGRESO")+SUMIFS(MOVIMIENTOS!$F$4:$F$1000,MOVIMIENTOS!$C$4:$C$1000,A758,MOVIMIENTOS!$D$4:$D$1000,B758,MOVIMIENTOS!$E$4:$E$1000,C758,MOVIMIENTOS!$B$4:$B$1000,"DE REPROCESO")+SUMIFS(MOVIMIENTOS!$F$4:$F$1000,MOVIMIENTOS!$C$4:$C$1000,A758,MOVIMIENTOS!$D$4:$D$1000,B758,MOVIMIENTOS!$E$4:$E$1000,C758,MOVIMIENTOS!$B$4:$B$1000,"AJUSTE+")-SUMIFS(MOVIMIENTOS!$F$4:$F$1000,MOVIMIENTOS!$C$4:$C$1000,A758,MOVIMIENTOS!$D$4:$D$1000,B758,MOVIMIENTOS!$E$4:$E$1000,C758,MOVIMIENTOS!$B$4:$B$1000,"A CORTE")-SUMIFS(MOVIMIENTOS!$F$4:$F$1000,MOVIMIENTOS!$C$4:$C$1000,A758,MOVIMIENTOS!$D$4:$D$1000,B758,MOVIMIENTOS!$E$4:$E$1000,C758,MOVIMIENTOS!$B$4:$B$1000,"A REPROCESO")-SUMIFS(MOVIMIENTOS!$F$4:$F$1000,MOVIMIENTOS!$C$4:$C$1000,A758,MOVIMIENTOS!$D$4:$D$1000,B758,MOVIMIENTOS!$E$4:$E$1000,C758,MOVIMIENTOS!$B$4:$B$1000,"MUESTRA")-SUMIFS(MOVIMIENTOS!$F$4:$F$1000,MOVIMIENTOS!$C$4:$C$1000,A758,MOVIMIENTOS!$D$4:$D$1000,B758,MOVIMIENTOS!$E$4:$E$1000,C758,MOVIMIENTOS!$B$4:$B$1000,"AJUSTE-"),0)</f>
        <v>0</v>
      </c>
      <c r="F758" s="101">
        <f>IFERROR(E758*VLOOKUP(B758,TELAS!$A$4:$C$32,3,FALSE()),0)</f>
        <v>0</v>
      </c>
      <c r="G758" s="102">
        <f>IFERROR(IF(D758="OSCURO",VLOOKUP(B758,PRECIOS!$A$4:$F$32,2,FALSE()),IF(D758="CLARO",VLOOKUP(B758,PRECIOS!$A$4:$F$32,3,FALSE()),IF(D758="MELANGE",VLOOKUP(B758,PRECIOS!$A$4:$F$32,4,FALSE()),IF(D758="PPT",VLOOKUP(B758,PRECIOS!$A$4:$F$32,5,FALSE()),0)))),0)</f>
        <v>22.5</v>
      </c>
      <c r="H758" s="103">
        <f t="shared" si="1"/>
        <v>0</v>
      </c>
      <c r="I758" s="104" t="str">
        <f>IF(E758&lt;0,"ERROR",IF(E758=0,"",IF(E758&lt;CONFIG!$B$4,"CRÍTICO",IF(E758&lt;CONFIG!$B$5,"BAJO","OK"))))</f>
        <v/>
      </c>
    </row>
    <row r="759" ht="15.75" customHeight="1">
      <c r="A759" s="90" t="str">
        <f>IF(CLIENTES!A9="","",CLIENTES!A9)</f>
        <v/>
      </c>
      <c r="B759" s="67" t="str">
        <f>TELAS!A6</f>
        <v>wafle 30/1</v>
      </c>
      <c r="C759" s="67" t="str">
        <f>COLORES!A19</f>
        <v/>
      </c>
      <c r="D759" s="67" t="str">
        <f>COLORES!B19</f>
        <v/>
      </c>
      <c r="E759" s="100">
        <f>IFERROR(SUMIFS(MOVIMIENTOS!$F$4:$F$1000,MOVIMIENTOS!$C$4:$C$1000,A759,MOVIMIENTOS!$D$4:$D$1000,B759,MOVIMIENTOS!$E$4:$E$1000,C759,MOVIMIENTOS!$B$4:$B$1000,"INGRESO")+SUMIFS(MOVIMIENTOS!$F$4:$F$1000,MOVIMIENTOS!$C$4:$C$1000,A759,MOVIMIENTOS!$D$4:$D$1000,B759,MOVIMIENTOS!$E$4:$E$1000,C759,MOVIMIENTOS!$B$4:$B$1000,"DE REPROCESO")+SUMIFS(MOVIMIENTOS!$F$4:$F$1000,MOVIMIENTOS!$C$4:$C$1000,A759,MOVIMIENTOS!$D$4:$D$1000,B759,MOVIMIENTOS!$E$4:$E$1000,C759,MOVIMIENTOS!$B$4:$B$1000,"AJUSTE+")-SUMIFS(MOVIMIENTOS!$F$4:$F$1000,MOVIMIENTOS!$C$4:$C$1000,A759,MOVIMIENTOS!$D$4:$D$1000,B759,MOVIMIENTOS!$E$4:$E$1000,C759,MOVIMIENTOS!$B$4:$B$1000,"A CORTE")-SUMIFS(MOVIMIENTOS!$F$4:$F$1000,MOVIMIENTOS!$C$4:$C$1000,A759,MOVIMIENTOS!$D$4:$D$1000,B759,MOVIMIENTOS!$E$4:$E$1000,C759,MOVIMIENTOS!$B$4:$B$1000,"A REPROCESO")-SUMIFS(MOVIMIENTOS!$F$4:$F$1000,MOVIMIENTOS!$C$4:$C$1000,A759,MOVIMIENTOS!$D$4:$D$1000,B759,MOVIMIENTOS!$E$4:$E$1000,C759,MOVIMIENTOS!$B$4:$B$1000,"MUESTRA")-SUMIFS(MOVIMIENTOS!$F$4:$F$1000,MOVIMIENTOS!$C$4:$C$1000,A759,MOVIMIENTOS!$D$4:$D$1000,B759,MOVIMIENTOS!$E$4:$E$1000,C759,MOVIMIENTOS!$B$4:$B$1000,"AJUSTE-"),0)</f>
        <v>0</v>
      </c>
      <c r="F759" s="101">
        <f>IFERROR(E759*VLOOKUP(B759,TELAS!$A$4:$C$32,3,FALSE()),0)</f>
        <v>0</v>
      </c>
      <c r="G759" s="102">
        <f>IFERROR(IF(D759="OSCURO",VLOOKUP(B759,PRECIOS!$A$4:$F$32,2,FALSE()),IF(D759="CLARO",VLOOKUP(B759,PRECIOS!$A$4:$F$32,3,FALSE()),IF(D759="MELANGE",VLOOKUP(B759,PRECIOS!$A$4:$F$32,4,FALSE()),IF(D759="PPT",VLOOKUP(B759,PRECIOS!$A$4:$F$32,5,FALSE()),0)))),0)</f>
        <v>0</v>
      </c>
      <c r="H759" s="103">
        <f t="shared" si="1"/>
        <v>0</v>
      </c>
      <c r="I759" s="104" t="str">
        <f>IF(E759&lt;0,"ERROR",IF(E759=0,"",IF(E759&lt;CONFIG!$B$4,"CRÍTICO",IF(E759&lt;CONFIG!$B$5,"BAJO","OK"))))</f>
        <v/>
      </c>
    </row>
    <row r="760" ht="15.75" customHeight="1">
      <c r="A760" s="90" t="str">
        <f>IF(CLIENTES!A9="","",CLIENTES!A9)</f>
        <v/>
      </c>
      <c r="B760" s="67" t="str">
        <f>TELAS!A6</f>
        <v>wafle 30/1</v>
      </c>
      <c r="C760" s="67" t="str">
        <f>COLORES!A20</f>
        <v/>
      </c>
      <c r="D760" s="67" t="str">
        <f>COLORES!B20</f>
        <v/>
      </c>
      <c r="E760" s="100">
        <f>IFERROR(SUMIFS(MOVIMIENTOS!$F$4:$F$1000,MOVIMIENTOS!$C$4:$C$1000,A760,MOVIMIENTOS!$D$4:$D$1000,B760,MOVIMIENTOS!$E$4:$E$1000,C760,MOVIMIENTOS!$B$4:$B$1000,"INGRESO")+SUMIFS(MOVIMIENTOS!$F$4:$F$1000,MOVIMIENTOS!$C$4:$C$1000,A760,MOVIMIENTOS!$D$4:$D$1000,B760,MOVIMIENTOS!$E$4:$E$1000,C760,MOVIMIENTOS!$B$4:$B$1000,"DE REPROCESO")+SUMIFS(MOVIMIENTOS!$F$4:$F$1000,MOVIMIENTOS!$C$4:$C$1000,A760,MOVIMIENTOS!$D$4:$D$1000,B760,MOVIMIENTOS!$E$4:$E$1000,C760,MOVIMIENTOS!$B$4:$B$1000,"AJUSTE+")-SUMIFS(MOVIMIENTOS!$F$4:$F$1000,MOVIMIENTOS!$C$4:$C$1000,A760,MOVIMIENTOS!$D$4:$D$1000,B760,MOVIMIENTOS!$E$4:$E$1000,C760,MOVIMIENTOS!$B$4:$B$1000,"A CORTE")-SUMIFS(MOVIMIENTOS!$F$4:$F$1000,MOVIMIENTOS!$C$4:$C$1000,A760,MOVIMIENTOS!$D$4:$D$1000,B760,MOVIMIENTOS!$E$4:$E$1000,C760,MOVIMIENTOS!$B$4:$B$1000,"A REPROCESO")-SUMIFS(MOVIMIENTOS!$F$4:$F$1000,MOVIMIENTOS!$C$4:$C$1000,A760,MOVIMIENTOS!$D$4:$D$1000,B760,MOVIMIENTOS!$E$4:$E$1000,C760,MOVIMIENTOS!$B$4:$B$1000,"MUESTRA")-SUMIFS(MOVIMIENTOS!$F$4:$F$1000,MOVIMIENTOS!$C$4:$C$1000,A760,MOVIMIENTOS!$D$4:$D$1000,B760,MOVIMIENTOS!$E$4:$E$1000,C760,MOVIMIENTOS!$B$4:$B$1000,"AJUSTE-"),0)</f>
        <v>0</v>
      </c>
      <c r="F760" s="101">
        <f>IFERROR(E760*VLOOKUP(B760,TELAS!$A$4:$C$32,3,FALSE()),0)</f>
        <v>0</v>
      </c>
      <c r="G760" s="102">
        <f>IFERROR(IF(D760="OSCURO",VLOOKUP(B760,PRECIOS!$A$4:$F$32,2,FALSE()),IF(D760="CLARO",VLOOKUP(B760,PRECIOS!$A$4:$F$32,3,FALSE()),IF(D760="MELANGE",VLOOKUP(B760,PRECIOS!$A$4:$F$32,4,FALSE()),IF(D760="PPT",VLOOKUP(B760,PRECIOS!$A$4:$F$32,5,FALSE()),0)))),0)</f>
        <v>0</v>
      </c>
      <c r="H760" s="103">
        <f t="shared" si="1"/>
        <v>0</v>
      </c>
      <c r="I760" s="104" t="str">
        <f>IF(E760&lt;0,"ERROR",IF(E760=0,"",IF(E760&lt;CONFIG!$B$4,"CRÍTICO",IF(E760&lt;CONFIG!$B$5,"BAJO","OK"))))</f>
        <v/>
      </c>
    </row>
    <row r="761" ht="15.75" customHeight="1">
      <c r="A761" s="90" t="str">
        <f>IF(CLIENTES!A9="","",CLIENTES!A9)</f>
        <v/>
      </c>
      <c r="B761" s="67" t="str">
        <f>TELAS!A6</f>
        <v>wafle 30/1</v>
      </c>
      <c r="C761" s="67" t="str">
        <f>COLORES!A21</f>
        <v/>
      </c>
      <c r="D761" s="67" t="str">
        <f>COLORES!B21</f>
        <v/>
      </c>
      <c r="E761" s="100">
        <f>IFERROR(SUMIFS(MOVIMIENTOS!$F$4:$F$1000,MOVIMIENTOS!$C$4:$C$1000,A761,MOVIMIENTOS!$D$4:$D$1000,B761,MOVIMIENTOS!$E$4:$E$1000,C761,MOVIMIENTOS!$B$4:$B$1000,"INGRESO")+SUMIFS(MOVIMIENTOS!$F$4:$F$1000,MOVIMIENTOS!$C$4:$C$1000,A761,MOVIMIENTOS!$D$4:$D$1000,B761,MOVIMIENTOS!$E$4:$E$1000,C761,MOVIMIENTOS!$B$4:$B$1000,"DE REPROCESO")+SUMIFS(MOVIMIENTOS!$F$4:$F$1000,MOVIMIENTOS!$C$4:$C$1000,A761,MOVIMIENTOS!$D$4:$D$1000,B761,MOVIMIENTOS!$E$4:$E$1000,C761,MOVIMIENTOS!$B$4:$B$1000,"AJUSTE+")-SUMIFS(MOVIMIENTOS!$F$4:$F$1000,MOVIMIENTOS!$C$4:$C$1000,A761,MOVIMIENTOS!$D$4:$D$1000,B761,MOVIMIENTOS!$E$4:$E$1000,C761,MOVIMIENTOS!$B$4:$B$1000,"A CORTE")-SUMIFS(MOVIMIENTOS!$F$4:$F$1000,MOVIMIENTOS!$C$4:$C$1000,A761,MOVIMIENTOS!$D$4:$D$1000,B761,MOVIMIENTOS!$E$4:$E$1000,C761,MOVIMIENTOS!$B$4:$B$1000,"A REPROCESO")-SUMIFS(MOVIMIENTOS!$F$4:$F$1000,MOVIMIENTOS!$C$4:$C$1000,A761,MOVIMIENTOS!$D$4:$D$1000,B761,MOVIMIENTOS!$E$4:$E$1000,C761,MOVIMIENTOS!$B$4:$B$1000,"MUESTRA")-SUMIFS(MOVIMIENTOS!$F$4:$F$1000,MOVIMIENTOS!$C$4:$C$1000,A761,MOVIMIENTOS!$D$4:$D$1000,B761,MOVIMIENTOS!$E$4:$E$1000,C761,MOVIMIENTOS!$B$4:$B$1000,"AJUSTE-"),0)</f>
        <v>0</v>
      </c>
      <c r="F761" s="101">
        <f>IFERROR(E761*VLOOKUP(B761,TELAS!$A$4:$C$32,3,FALSE()),0)</f>
        <v>0</v>
      </c>
      <c r="G761" s="102">
        <f>IFERROR(IF(D761="OSCURO",VLOOKUP(B761,PRECIOS!$A$4:$F$32,2,FALSE()),IF(D761="CLARO",VLOOKUP(B761,PRECIOS!$A$4:$F$32,3,FALSE()),IF(D761="MELANGE",VLOOKUP(B761,PRECIOS!$A$4:$F$32,4,FALSE()),IF(D761="PPT",VLOOKUP(B761,PRECIOS!$A$4:$F$32,5,FALSE()),0)))),0)</f>
        <v>0</v>
      </c>
      <c r="H761" s="103">
        <f t="shared" si="1"/>
        <v>0</v>
      </c>
      <c r="I761" s="104" t="str">
        <f>IF(E761&lt;0,"ERROR",IF(E761=0,"",IF(E761&lt;CONFIG!$B$4,"CRÍTICO",IF(E761&lt;CONFIG!$B$5,"BAJO","OK"))))</f>
        <v/>
      </c>
    </row>
    <row r="762" ht="15.75" customHeight="1">
      <c r="A762" s="90" t="str">
        <f>IF(CLIENTES!A9="","",CLIENTES!A9)</f>
        <v/>
      </c>
      <c r="B762" s="67" t="str">
        <f>TELAS!A6</f>
        <v>wafle 30/1</v>
      </c>
      <c r="C762" s="67" t="str">
        <f>COLORES!A22</f>
        <v/>
      </c>
      <c r="D762" s="67" t="str">
        <f>COLORES!B22</f>
        <v/>
      </c>
      <c r="E762" s="100">
        <f>IFERROR(SUMIFS(MOVIMIENTOS!$F$4:$F$1000,MOVIMIENTOS!$C$4:$C$1000,A762,MOVIMIENTOS!$D$4:$D$1000,B762,MOVIMIENTOS!$E$4:$E$1000,C762,MOVIMIENTOS!$B$4:$B$1000,"INGRESO")+SUMIFS(MOVIMIENTOS!$F$4:$F$1000,MOVIMIENTOS!$C$4:$C$1000,A762,MOVIMIENTOS!$D$4:$D$1000,B762,MOVIMIENTOS!$E$4:$E$1000,C762,MOVIMIENTOS!$B$4:$B$1000,"DE REPROCESO")+SUMIFS(MOVIMIENTOS!$F$4:$F$1000,MOVIMIENTOS!$C$4:$C$1000,A762,MOVIMIENTOS!$D$4:$D$1000,B762,MOVIMIENTOS!$E$4:$E$1000,C762,MOVIMIENTOS!$B$4:$B$1000,"AJUSTE+")-SUMIFS(MOVIMIENTOS!$F$4:$F$1000,MOVIMIENTOS!$C$4:$C$1000,A762,MOVIMIENTOS!$D$4:$D$1000,B762,MOVIMIENTOS!$E$4:$E$1000,C762,MOVIMIENTOS!$B$4:$B$1000,"A CORTE")-SUMIFS(MOVIMIENTOS!$F$4:$F$1000,MOVIMIENTOS!$C$4:$C$1000,A762,MOVIMIENTOS!$D$4:$D$1000,B762,MOVIMIENTOS!$E$4:$E$1000,C762,MOVIMIENTOS!$B$4:$B$1000,"A REPROCESO")-SUMIFS(MOVIMIENTOS!$F$4:$F$1000,MOVIMIENTOS!$C$4:$C$1000,A762,MOVIMIENTOS!$D$4:$D$1000,B762,MOVIMIENTOS!$E$4:$E$1000,C762,MOVIMIENTOS!$B$4:$B$1000,"MUESTRA")-SUMIFS(MOVIMIENTOS!$F$4:$F$1000,MOVIMIENTOS!$C$4:$C$1000,A762,MOVIMIENTOS!$D$4:$D$1000,B762,MOVIMIENTOS!$E$4:$E$1000,C762,MOVIMIENTOS!$B$4:$B$1000,"AJUSTE-"),0)</f>
        <v>0</v>
      </c>
      <c r="F762" s="101">
        <f>IFERROR(E762*VLOOKUP(B762,TELAS!$A$4:$C$32,3,FALSE()),0)</f>
        <v>0</v>
      </c>
      <c r="G762" s="102">
        <f>IFERROR(IF(D762="OSCURO",VLOOKUP(B762,PRECIOS!$A$4:$F$32,2,FALSE()),IF(D762="CLARO",VLOOKUP(B762,PRECIOS!$A$4:$F$32,3,FALSE()),IF(D762="MELANGE",VLOOKUP(B762,PRECIOS!$A$4:$F$32,4,FALSE()),IF(D762="PPT",VLOOKUP(B762,PRECIOS!$A$4:$F$32,5,FALSE()),0)))),0)</f>
        <v>0</v>
      </c>
      <c r="H762" s="103">
        <f t="shared" si="1"/>
        <v>0</v>
      </c>
      <c r="I762" s="104" t="str">
        <f>IF(E762&lt;0,"ERROR",IF(E762=0,"",IF(E762&lt;CONFIG!$B$4,"CRÍTICO",IF(E762&lt;CONFIG!$B$5,"BAJO","OK"))))</f>
        <v/>
      </c>
    </row>
    <row r="763" ht="15.75" customHeight="1">
      <c r="A763" s="90" t="str">
        <f>IF(CLIENTES!A9="","",CLIENTES!A9)</f>
        <v/>
      </c>
      <c r="B763" s="67" t="str">
        <f>TELAS!A6</f>
        <v>wafle 30/1</v>
      </c>
      <c r="C763" s="67" t="str">
        <f>COLORES!A23</f>
        <v/>
      </c>
      <c r="D763" s="67" t="str">
        <f>COLORES!B23</f>
        <v/>
      </c>
      <c r="E763" s="100">
        <f>IFERROR(SUMIFS(MOVIMIENTOS!$F$4:$F$1000,MOVIMIENTOS!$C$4:$C$1000,A763,MOVIMIENTOS!$D$4:$D$1000,B763,MOVIMIENTOS!$E$4:$E$1000,C763,MOVIMIENTOS!$B$4:$B$1000,"INGRESO")+SUMIFS(MOVIMIENTOS!$F$4:$F$1000,MOVIMIENTOS!$C$4:$C$1000,A763,MOVIMIENTOS!$D$4:$D$1000,B763,MOVIMIENTOS!$E$4:$E$1000,C763,MOVIMIENTOS!$B$4:$B$1000,"DE REPROCESO")+SUMIFS(MOVIMIENTOS!$F$4:$F$1000,MOVIMIENTOS!$C$4:$C$1000,A763,MOVIMIENTOS!$D$4:$D$1000,B763,MOVIMIENTOS!$E$4:$E$1000,C763,MOVIMIENTOS!$B$4:$B$1000,"AJUSTE+")-SUMIFS(MOVIMIENTOS!$F$4:$F$1000,MOVIMIENTOS!$C$4:$C$1000,A763,MOVIMIENTOS!$D$4:$D$1000,B763,MOVIMIENTOS!$E$4:$E$1000,C763,MOVIMIENTOS!$B$4:$B$1000,"A CORTE")-SUMIFS(MOVIMIENTOS!$F$4:$F$1000,MOVIMIENTOS!$C$4:$C$1000,A763,MOVIMIENTOS!$D$4:$D$1000,B763,MOVIMIENTOS!$E$4:$E$1000,C763,MOVIMIENTOS!$B$4:$B$1000,"A REPROCESO")-SUMIFS(MOVIMIENTOS!$F$4:$F$1000,MOVIMIENTOS!$C$4:$C$1000,A763,MOVIMIENTOS!$D$4:$D$1000,B763,MOVIMIENTOS!$E$4:$E$1000,C763,MOVIMIENTOS!$B$4:$B$1000,"MUESTRA")-SUMIFS(MOVIMIENTOS!$F$4:$F$1000,MOVIMIENTOS!$C$4:$C$1000,A763,MOVIMIENTOS!$D$4:$D$1000,B763,MOVIMIENTOS!$E$4:$E$1000,C763,MOVIMIENTOS!$B$4:$B$1000,"AJUSTE-"),0)</f>
        <v>0</v>
      </c>
      <c r="F763" s="101">
        <f>IFERROR(E763*VLOOKUP(B763,TELAS!$A$4:$C$32,3,FALSE()),0)</f>
        <v>0</v>
      </c>
      <c r="G763" s="102">
        <f>IFERROR(IF(D763="OSCURO",VLOOKUP(B763,PRECIOS!$A$4:$F$32,2,FALSE()),IF(D763="CLARO",VLOOKUP(B763,PRECIOS!$A$4:$F$32,3,FALSE()),IF(D763="MELANGE",VLOOKUP(B763,PRECIOS!$A$4:$F$32,4,FALSE()),IF(D763="PPT",VLOOKUP(B763,PRECIOS!$A$4:$F$32,5,FALSE()),0)))),0)</f>
        <v>0</v>
      </c>
      <c r="H763" s="103">
        <f t="shared" si="1"/>
        <v>0</v>
      </c>
      <c r="I763" s="104" t="str">
        <f>IF(E763&lt;0,"ERROR",IF(E763=0,"",IF(E763&lt;CONFIG!$B$4,"CRÍTICO",IF(E763&lt;CONFIG!$B$5,"BAJO","OK"))))</f>
        <v/>
      </c>
    </row>
    <row r="764" ht="15.75" customHeight="1">
      <c r="A764" s="90" t="str">
        <f>IF(CLIENTES!A9="","",CLIENTES!A9)</f>
        <v/>
      </c>
      <c r="B764" s="67" t="str">
        <f>TELAS!A7</f>
        <v>french terry 24/1</v>
      </c>
      <c r="C764" s="67" t="str">
        <f>COLORES!A4</f>
        <v>Negro</v>
      </c>
      <c r="D764" s="67" t="str">
        <f>COLORES!B4</f>
        <v>OSCURO</v>
      </c>
      <c r="E764" s="100">
        <f>IFERROR(SUMIFS(MOVIMIENTOS!$F$4:$F$1000,MOVIMIENTOS!$C$4:$C$1000,A764,MOVIMIENTOS!$D$4:$D$1000,B764,MOVIMIENTOS!$E$4:$E$1000,C764,MOVIMIENTOS!$B$4:$B$1000,"INGRESO")+SUMIFS(MOVIMIENTOS!$F$4:$F$1000,MOVIMIENTOS!$C$4:$C$1000,A764,MOVIMIENTOS!$D$4:$D$1000,B764,MOVIMIENTOS!$E$4:$E$1000,C764,MOVIMIENTOS!$B$4:$B$1000,"DE REPROCESO")+SUMIFS(MOVIMIENTOS!$F$4:$F$1000,MOVIMIENTOS!$C$4:$C$1000,A764,MOVIMIENTOS!$D$4:$D$1000,B764,MOVIMIENTOS!$E$4:$E$1000,C764,MOVIMIENTOS!$B$4:$B$1000,"AJUSTE+")-SUMIFS(MOVIMIENTOS!$F$4:$F$1000,MOVIMIENTOS!$C$4:$C$1000,A764,MOVIMIENTOS!$D$4:$D$1000,B764,MOVIMIENTOS!$E$4:$E$1000,C764,MOVIMIENTOS!$B$4:$B$1000,"A CORTE")-SUMIFS(MOVIMIENTOS!$F$4:$F$1000,MOVIMIENTOS!$C$4:$C$1000,A764,MOVIMIENTOS!$D$4:$D$1000,B764,MOVIMIENTOS!$E$4:$E$1000,C764,MOVIMIENTOS!$B$4:$B$1000,"A REPROCESO")-SUMIFS(MOVIMIENTOS!$F$4:$F$1000,MOVIMIENTOS!$C$4:$C$1000,A764,MOVIMIENTOS!$D$4:$D$1000,B764,MOVIMIENTOS!$E$4:$E$1000,C764,MOVIMIENTOS!$B$4:$B$1000,"MUESTRA")-SUMIFS(MOVIMIENTOS!$F$4:$F$1000,MOVIMIENTOS!$C$4:$C$1000,A764,MOVIMIENTOS!$D$4:$D$1000,B764,MOVIMIENTOS!$E$4:$E$1000,C764,MOVIMIENTOS!$B$4:$B$1000,"AJUSTE-"),0)</f>
        <v>0</v>
      </c>
      <c r="F764" s="101">
        <f>IFERROR(E764*VLOOKUP(B764,TELAS!$A$4:$C$32,3,FALSE()),0)</f>
        <v>0</v>
      </c>
      <c r="G764" s="102">
        <f>IFERROR(IF(D764="OSCURO",VLOOKUP(B764,PRECIOS!$A$4:$F$32,2,FALSE()),IF(D764="CLARO",VLOOKUP(B764,PRECIOS!$A$4:$F$32,3,FALSE()),IF(D764="MELANGE",VLOOKUP(B764,PRECIOS!$A$4:$F$32,4,FALSE()),IF(D764="PPT",VLOOKUP(B764,PRECIOS!$A$4:$F$32,5,FALSE()),0)))),0)</f>
        <v>24</v>
      </c>
      <c r="H764" s="103">
        <f t="shared" si="1"/>
        <v>0</v>
      </c>
      <c r="I764" s="104" t="str">
        <f>IF(E764&lt;0,"ERROR",IF(E764=0,"",IF(E764&lt;CONFIG!$B$4,"CRÍTICO",IF(E764&lt;CONFIG!$B$5,"BAJO","OK"))))</f>
        <v/>
      </c>
    </row>
    <row r="765" ht="15.75" customHeight="1">
      <c r="A765" s="90" t="str">
        <f>IF(CLIENTES!A9="","",CLIENTES!A9)</f>
        <v/>
      </c>
      <c r="B765" s="67" t="str">
        <f>TELAS!A7</f>
        <v>french terry 24/1</v>
      </c>
      <c r="C765" s="67" t="str">
        <f>COLORES!A5</f>
        <v>Perla</v>
      </c>
      <c r="D765" s="67" t="str">
        <f>COLORES!B5</f>
        <v>PPT</v>
      </c>
      <c r="E765" s="100">
        <f>IFERROR(SUMIFS(MOVIMIENTOS!$F$4:$F$1000,MOVIMIENTOS!$C$4:$C$1000,A765,MOVIMIENTOS!$D$4:$D$1000,B765,MOVIMIENTOS!$E$4:$E$1000,C765,MOVIMIENTOS!$B$4:$B$1000,"INGRESO")+SUMIFS(MOVIMIENTOS!$F$4:$F$1000,MOVIMIENTOS!$C$4:$C$1000,A765,MOVIMIENTOS!$D$4:$D$1000,B765,MOVIMIENTOS!$E$4:$E$1000,C765,MOVIMIENTOS!$B$4:$B$1000,"DE REPROCESO")+SUMIFS(MOVIMIENTOS!$F$4:$F$1000,MOVIMIENTOS!$C$4:$C$1000,A765,MOVIMIENTOS!$D$4:$D$1000,B765,MOVIMIENTOS!$E$4:$E$1000,C765,MOVIMIENTOS!$B$4:$B$1000,"AJUSTE+")-SUMIFS(MOVIMIENTOS!$F$4:$F$1000,MOVIMIENTOS!$C$4:$C$1000,A765,MOVIMIENTOS!$D$4:$D$1000,B765,MOVIMIENTOS!$E$4:$E$1000,C765,MOVIMIENTOS!$B$4:$B$1000,"A CORTE")-SUMIFS(MOVIMIENTOS!$F$4:$F$1000,MOVIMIENTOS!$C$4:$C$1000,A765,MOVIMIENTOS!$D$4:$D$1000,B765,MOVIMIENTOS!$E$4:$E$1000,C765,MOVIMIENTOS!$B$4:$B$1000,"A REPROCESO")-SUMIFS(MOVIMIENTOS!$F$4:$F$1000,MOVIMIENTOS!$C$4:$C$1000,A765,MOVIMIENTOS!$D$4:$D$1000,B765,MOVIMIENTOS!$E$4:$E$1000,C765,MOVIMIENTOS!$B$4:$B$1000,"MUESTRA")-SUMIFS(MOVIMIENTOS!$F$4:$F$1000,MOVIMIENTOS!$C$4:$C$1000,A765,MOVIMIENTOS!$D$4:$D$1000,B765,MOVIMIENTOS!$E$4:$E$1000,C765,MOVIMIENTOS!$B$4:$B$1000,"AJUSTE-"),0)</f>
        <v>0</v>
      </c>
      <c r="F765" s="101">
        <f>IFERROR(E765*VLOOKUP(B765,TELAS!$A$4:$C$32,3,FALSE()),0)</f>
        <v>0</v>
      </c>
      <c r="G765" s="102">
        <f>IFERROR(IF(D765="OSCURO",VLOOKUP(B765,PRECIOS!$A$4:$F$32,2,FALSE()),IF(D765="CLARO",VLOOKUP(B765,PRECIOS!$A$4:$F$32,3,FALSE()),IF(D765="MELANGE",VLOOKUP(B765,PRECIOS!$A$4:$F$32,4,FALSE()),IF(D765="PPT",VLOOKUP(B765,PRECIOS!$A$4:$F$32,5,FALSE()),0)))),0)</f>
        <v>18</v>
      </c>
      <c r="H765" s="103">
        <f t="shared" si="1"/>
        <v>0</v>
      </c>
      <c r="I765" s="104" t="str">
        <f>IF(E765&lt;0,"ERROR",IF(E765=0,"",IF(E765&lt;CONFIG!$B$4,"CRÍTICO",IF(E765&lt;CONFIG!$B$5,"BAJO","OK"))))</f>
        <v/>
      </c>
    </row>
    <row r="766" ht="15.75" customHeight="1">
      <c r="A766" s="90" t="str">
        <f>IF(CLIENTES!A9="","",CLIENTES!A9)</f>
        <v/>
      </c>
      <c r="B766" s="67" t="str">
        <f>TELAS!A7</f>
        <v>french terry 24/1</v>
      </c>
      <c r="C766" s="67" t="str">
        <f>COLORES!A6</f>
        <v>Blanco</v>
      </c>
      <c r="D766" s="67" t="str">
        <f>COLORES!B6</f>
        <v>PPT</v>
      </c>
      <c r="E766" s="100">
        <f>IFERROR(SUMIFS(MOVIMIENTOS!$F$4:$F$1000,MOVIMIENTOS!$C$4:$C$1000,A766,MOVIMIENTOS!$D$4:$D$1000,B766,MOVIMIENTOS!$E$4:$E$1000,C766,MOVIMIENTOS!$B$4:$B$1000,"INGRESO")+SUMIFS(MOVIMIENTOS!$F$4:$F$1000,MOVIMIENTOS!$C$4:$C$1000,A766,MOVIMIENTOS!$D$4:$D$1000,B766,MOVIMIENTOS!$E$4:$E$1000,C766,MOVIMIENTOS!$B$4:$B$1000,"DE REPROCESO")+SUMIFS(MOVIMIENTOS!$F$4:$F$1000,MOVIMIENTOS!$C$4:$C$1000,A766,MOVIMIENTOS!$D$4:$D$1000,B766,MOVIMIENTOS!$E$4:$E$1000,C766,MOVIMIENTOS!$B$4:$B$1000,"AJUSTE+")-SUMIFS(MOVIMIENTOS!$F$4:$F$1000,MOVIMIENTOS!$C$4:$C$1000,A766,MOVIMIENTOS!$D$4:$D$1000,B766,MOVIMIENTOS!$E$4:$E$1000,C766,MOVIMIENTOS!$B$4:$B$1000,"A CORTE")-SUMIFS(MOVIMIENTOS!$F$4:$F$1000,MOVIMIENTOS!$C$4:$C$1000,A766,MOVIMIENTOS!$D$4:$D$1000,B766,MOVIMIENTOS!$E$4:$E$1000,C766,MOVIMIENTOS!$B$4:$B$1000,"A REPROCESO")-SUMIFS(MOVIMIENTOS!$F$4:$F$1000,MOVIMIENTOS!$C$4:$C$1000,A766,MOVIMIENTOS!$D$4:$D$1000,B766,MOVIMIENTOS!$E$4:$E$1000,C766,MOVIMIENTOS!$B$4:$B$1000,"MUESTRA")-SUMIFS(MOVIMIENTOS!$F$4:$F$1000,MOVIMIENTOS!$C$4:$C$1000,A766,MOVIMIENTOS!$D$4:$D$1000,B766,MOVIMIENTOS!$E$4:$E$1000,C766,MOVIMIENTOS!$B$4:$B$1000,"AJUSTE-"),0)</f>
        <v>0</v>
      </c>
      <c r="F766" s="101">
        <f>IFERROR(E766*VLOOKUP(B766,TELAS!$A$4:$C$32,3,FALSE()),0)</f>
        <v>0</v>
      </c>
      <c r="G766" s="102">
        <f>IFERROR(IF(D766="OSCURO",VLOOKUP(B766,PRECIOS!$A$4:$F$32,2,FALSE()),IF(D766="CLARO",VLOOKUP(B766,PRECIOS!$A$4:$F$32,3,FALSE()),IF(D766="MELANGE",VLOOKUP(B766,PRECIOS!$A$4:$F$32,4,FALSE()),IF(D766="PPT",VLOOKUP(B766,PRECIOS!$A$4:$F$32,5,FALSE()),0)))),0)</f>
        <v>18</v>
      </c>
      <c r="H766" s="103">
        <f t="shared" si="1"/>
        <v>0</v>
      </c>
      <c r="I766" s="104" t="str">
        <f>IF(E766&lt;0,"ERROR",IF(E766=0,"",IF(E766&lt;CONFIG!$B$4,"CRÍTICO",IF(E766&lt;CONFIG!$B$5,"BAJO","OK"))))</f>
        <v/>
      </c>
    </row>
    <row r="767" ht="15.75" customHeight="1">
      <c r="A767" s="90" t="str">
        <f>IF(CLIENTES!A9="","",CLIENTES!A9)</f>
        <v/>
      </c>
      <c r="B767" s="67" t="str">
        <f>TELAS!A7</f>
        <v>french terry 24/1</v>
      </c>
      <c r="C767" s="67" t="str">
        <f>COLORES!A7</f>
        <v>Azul</v>
      </c>
      <c r="D767" s="67" t="str">
        <f>COLORES!B7</f>
        <v>OSCURO</v>
      </c>
      <c r="E767" s="100">
        <f>IFERROR(SUMIFS(MOVIMIENTOS!$F$4:$F$1000,MOVIMIENTOS!$C$4:$C$1000,A767,MOVIMIENTOS!$D$4:$D$1000,B767,MOVIMIENTOS!$E$4:$E$1000,C767,MOVIMIENTOS!$B$4:$B$1000,"INGRESO")+SUMIFS(MOVIMIENTOS!$F$4:$F$1000,MOVIMIENTOS!$C$4:$C$1000,A767,MOVIMIENTOS!$D$4:$D$1000,B767,MOVIMIENTOS!$E$4:$E$1000,C767,MOVIMIENTOS!$B$4:$B$1000,"DE REPROCESO")+SUMIFS(MOVIMIENTOS!$F$4:$F$1000,MOVIMIENTOS!$C$4:$C$1000,A767,MOVIMIENTOS!$D$4:$D$1000,B767,MOVIMIENTOS!$E$4:$E$1000,C767,MOVIMIENTOS!$B$4:$B$1000,"AJUSTE+")-SUMIFS(MOVIMIENTOS!$F$4:$F$1000,MOVIMIENTOS!$C$4:$C$1000,A767,MOVIMIENTOS!$D$4:$D$1000,B767,MOVIMIENTOS!$E$4:$E$1000,C767,MOVIMIENTOS!$B$4:$B$1000,"A CORTE")-SUMIFS(MOVIMIENTOS!$F$4:$F$1000,MOVIMIENTOS!$C$4:$C$1000,A767,MOVIMIENTOS!$D$4:$D$1000,B767,MOVIMIENTOS!$E$4:$E$1000,C767,MOVIMIENTOS!$B$4:$B$1000,"A REPROCESO")-SUMIFS(MOVIMIENTOS!$F$4:$F$1000,MOVIMIENTOS!$C$4:$C$1000,A767,MOVIMIENTOS!$D$4:$D$1000,B767,MOVIMIENTOS!$E$4:$E$1000,C767,MOVIMIENTOS!$B$4:$B$1000,"MUESTRA")-SUMIFS(MOVIMIENTOS!$F$4:$F$1000,MOVIMIENTOS!$C$4:$C$1000,A767,MOVIMIENTOS!$D$4:$D$1000,B767,MOVIMIENTOS!$E$4:$E$1000,C767,MOVIMIENTOS!$B$4:$B$1000,"AJUSTE-"),0)</f>
        <v>0</v>
      </c>
      <c r="F767" s="101">
        <f>IFERROR(E767*VLOOKUP(B767,TELAS!$A$4:$C$32,3,FALSE()),0)</f>
        <v>0</v>
      </c>
      <c r="G767" s="102">
        <f>IFERROR(IF(D767="OSCURO",VLOOKUP(B767,PRECIOS!$A$4:$F$32,2,FALSE()),IF(D767="CLARO",VLOOKUP(B767,PRECIOS!$A$4:$F$32,3,FALSE()),IF(D767="MELANGE",VLOOKUP(B767,PRECIOS!$A$4:$F$32,4,FALSE()),IF(D767="PPT",VLOOKUP(B767,PRECIOS!$A$4:$F$32,5,FALSE()),0)))),0)</f>
        <v>24</v>
      </c>
      <c r="H767" s="103">
        <f t="shared" si="1"/>
        <v>0</v>
      </c>
      <c r="I767" s="104" t="str">
        <f>IF(E767&lt;0,"ERROR",IF(E767=0,"",IF(E767&lt;CONFIG!$B$4,"CRÍTICO",IF(E767&lt;CONFIG!$B$5,"BAJO","OK"))))</f>
        <v/>
      </c>
    </row>
    <row r="768" ht="15.75" customHeight="1">
      <c r="A768" s="90" t="str">
        <f>IF(CLIENTES!A9="","",CLIENTES!A9)</f>
        <v/>
      </c>
      <c r="B768" s="67" t="str">
        <f>TELAS!A7</f>
        <v>french terry 24/1</v>
      </c>
      <c r="C768" s="67" t="str">
        <f>COLORES!A8</f>
        <v>Beige</v>
      </c>
      <c r="D768" s="67" t="str">
        <f>COLORES!B8</f>
        <v>CLARO</v>
      </c>
      <c r="E768" s="100">
        <f>IFERROR(SUMIFS(MOVIMIENTOS!$F$4:$F$1000,MOVIMIENTOS!$C$4:$C$1000,A768,MOVIMIENTOS!$D$4:$D$1000,B768,MOVIMIENTOS!$E$4:$E$1000,C768,MOVIMIENTOS!$B$4:$B$1000,"INGRESO")+SUMIFS(MOVIMIENTOS!$F$4:$F$1000,MOVIMIENTOS!$C$4:$C$1000,A768,MOVIMIENTOS!$D$4:$D$1000,B768,MOVIMIENTOS!$E$4:$E$1000,C768,MOVIMIENTOS!$B$4:$B$1000,"DE REPROCESO")+SUMIFS(MOVIMIENTOS!$F$4:$F$1000,MOVIMIENTOS!$C$4:$C$1000,A768,MOVIMIENTOS!$D$4:$D$1000,B768,MOVIMIENTOS!$E$4:$E$1000,C768,MOVIMIENTOS!$B$4:$B$1000,"AJUSTE+")-SUMIFS(MOVIMIENTOS!$F$4:$F$1000,MOVIMIENTOS!$C$4:$C$1000,A768,MOVIMIENTOS!$D$4:$D$1000,B768,MOVIMIENTOS!$E$4:$E$1000,C768,MOVIMIENTOS!$B$4:$B$1000,"A CORTE")-SUMIFS(MOVIMIENTOS!$F$4:$F$1000,MOVIMIENTOS!$C$4:$C$1000,A768,MOVIMIENTOS!$D$4:$D$1000,B768,MOVIMIENTOS!$E$4:$E$1000,C768,MOVIMIENTOS!$B$4:$B$1000,"A REPROCESO")-SUMIFS(MOVIMIENTOS!$F$4:$F$1000,MOVIMIENTOS!$C$4:$C$1000,A768,MOVIMIENTOS!$D$4:$D$1000,B768,MOVIMIENTOS!$E$4:$E$1000,C768,MOVIMIENTOS!$B$4:$B$1000,"MUESTRA")-SUMIFS(MOVIMIENTOS!$F$4:$F$1000,MOVIMIENTOS!$C$4:$C$1000,A768,MOVIMIENTOS!$D$4:$D$1000,B768,MOVIMIENTOS!$E$4:$E$1000,C768,MOVIMIENTOS!$B$4:$B$1000,"AJUSTE-"),0)</f>
        <v>0</v>
      </c>
      <c r="F768" s="101">
        <f>IFERROR(E768*VLOOKUP(B768,TELAS!$A$4:$C$32,3,FALSE()),0)</f>
        <v>0</v>
      </c>
      <c r="G768" s="102">
        <f>IFERROR(IF(D768="OSCURO",VLOOKUP(B768,PRECIOS!$A$4:$F$32,2,FALSE()),IF(D768="CLARO",VLOOKUP(B768,PRECIOS!$A$4:$F$32,3,FALSE()),IF(D768="MELANGE",VLOOKUP(B768,PRECIOS!$A$4:$F$32,4,FALSE()),IF(D768="PPT",VLOOKUP(B768,PRECIOS!$A$4:$F$32,5,FALSE()),0)))),0)</f>
        <v>21</v>
      </c>
      <c r="H768" s="103">
        <f t="shared" si="1"/>
        <v>0</v>
      </c>
      <c r="I768" s="104" t="str">
        <f>IF(E768&lt;0,"ERROR",IF(E768=0,"",IF(E768&lt;CONFIG!$B$4,"CRÍTICO",IF(E768&lt;CONFIG!$B$5,"BAJO","OK"))))</f>
        <v/>
      </c>
    </row>
    <row r="769" ht="15.75" customHeight="1">
      <c r="A769" s="90" t="str">
        <f>IF(CLIENTES!A9="","",CLIENTES!A9)</f>
        <v/>
      </c>
      <c r="B769" s="67" t="str">
        <f>TELAS!A7</f>
        <v>french terry 24/1</v>
      </c>
      <c r="C769" s="67" t="str">
        <f>COLORES!A9</f>
        <v>Melange</v>
      </c>
      <c r="D769" s="67" t="str">
        <f>COLORES!B9</f>
        <v>MELANGE</v>
      </c>
      <c r="E769" s="100">
        <f>IFERROR(SUMIFS(MOVIMIENTOS!$F$4:$F$1000,MOVIMIENTOS!$C$4:$C$1000,A769,MOVIMIENTOS!$D$4:$D$1000,B769,MOVIMIENTOS!$E$4:$E$1000,C769,MOVIMIENTOS!$B$4:$B$1000,"INGRESO")+SUMIFS(MOVIMIENTOS!$F$4:$F$1000,MOVIMIENTOS!$C$4:$C$1000,A769,MOVIMIENTOS!$D$4:$D$1000,B769,MOVIMIENTOS!$E$4:$E$1000,C769,MOVIMIENTOS!$B$4:$B$1000,"DE REPROCESO")+SUMIFS(MOVIMIENTOS!$F$4:$F$1000,MOVIMIENTOS!$C$4:$C$1000,A769,MOVIMIENTOS!$D$4:$D$1000,B769,MOVIMIENTOS!$E$4:$E$1000,C769,MOVIMIENTOS!$B$4:$B$1000,"AJUSTE+")-SUMIFS(MOVIMIENTOS!$F$4:$F$1000,MOVIMIENTOS!$C$4:$C$1000,A769,MOVIMIENTOS!$D$4:$D$1000,B769,MOVIMIENTOS!$E$4:$E$1000,C769,MOVIMIENTOS!$B$4:$B$1000,"A CORTE")-SUMIFS(MOVIMIENTOS!$F$4:$F$1000,MOVIMIENTOS!$C$4:$C$1000,A769,MOVIMIENTOS!$D$4:$D$1000,B769,MOVIMIENTOS!$E$4:$E$1000,C769,MOVIMIENTOS!$B$4:$B$1000,"A REPROCESO")-SUMIFS(MOVIMIENTOS!$F$4:$F$1000,MOVIMIENTOS!$C$4:$C$1000,A769,MOVIMIENTOS!$D$4:$D$1000,B769,MOVIMIENTOS!$E$4:$E$1000,C769,MOVIMIENTOS!$B$4:$B$1000,"MUESTRA")-SUMIFS(MOVIMIENTOS!$F$4:$F$1000,MOVIMIENTOS!$C$4:$C$1000,A769,MOVIMIENTOS!$D$4:$D$1000,B769,MOVIMIENTOS!$E$4:$E$1000,C769,MOVIMIENTOS!$B$4:$B$1000,"AJUSTE-"),0)</f>
        <v>0</v>
      </c>
      <c r="F769" s="101">
        <f>IFERROR(E769*VLOOKUP(B769,TELAS!$A$4:$C$32,3,FALSE()),0)</f>
        <v>0</v>
      </c>
      <c r="G769" s="102">
        <f>IFERROR(IF(D769="OSCURO",VLOOKUP(B769,PRECIOS!$A$4:$F$32,2,FALSE()),IF(D769="CLARO",VLOOKUP(B769,PRECIOS!$A$4:$F$32,3,FALSE()),IF(D769="MELANGE",VLOOKUP(B769,PRECIOS!$A$4:$F$32,4,FALSE()),IF(D769="PPT",VLOOKUP(B769,PRECIOS!$A$4:$F$32,5,FALSE()),0)))),0)</f>
        <v>18</v>
      </c>
      <c r="H769" s="103">
        <f t="shared" si="1"/>
        <v>0</v>
      </c>
      <c r="I769" s="104" t="str">
        <f>IF(E769&lt;0,"ERROR",IF(E769=0,"",IF(E769&lt;CONFIG!$B$4,"CRÍTICO",IF(E769&lt;CONFIG!$B$5,"BAJO","OK"))))</f>
        <v/>
      </c>
    </row>
    <row r="770" ht="15.75" customHeight="1">
      <c r="A770" s="90" t="str">
        <f>IF(CLIENTES!A9="","",CLIENTES!A9)</f>
        <v/>
      </c>
      <c r="B770" s="67" t="str">
        <f>TELAS!A7</f>
        <v>french terry 24/1</v>
      </c>
      <c r="C770" s="67" t="str">
        <f>COLORES!A10</f>
        <v>Botella</v>
      </c>
      <c r="D770" s="67" t="str">
        <f>COLORES!B10</f>
        <v>OSCURO</v>
      </c>
      <c r="E770" s="100">
        <f>IFERROR(SUMIFS(MOVIMIENTOS!$F$4:$F$1000,MOVIMIENTOS!$C$4:$C$1000,A770,MOVIMIENTOS!$D$4:$D$1000,B770,MOVIMIENTOS!$E$4:$E$1000,C770,MOVIMIENTOS!$B$4:$B$1000,"INGRESO")+SUMIFS(MOVIMIENTOS!$F$4:$F$1000,MOVIMIENTOS!$C$4:$C$1000,A770,MOVIMIENTOS!$D$4:$D$1000,B770,MOVIMIENTOS!$E$4:$E$1000,C770,MOVIMIENTOS!$B$4:$B$1000,"DE REPROCESO")+SUMIFS(MOVIMIENTOS!$F$4:$F$1000,MOVIMIENTOS!$C$4:$C$1000,A770,MOVIMIENTOS!$D$4:$D$1000,B770,MOVIMIENTOS!$E$4:$E$1000,C770,MOVIMIENTOS!$B$4:$B$1000,"AJUSTE+")-SUMIFS(MOVIMIENTOS!$F$4:$F$1000,MOVIMIENTOS!$C$4:$C$1000,A770,MOVIMIENTOS!$D$4:$D$1000,B770,MOVIMIENTOS!$E$4:$E$1000,C770,MOVIMIENTOS!$B$4:$B$1000,"A CORTE")-SUMIFS(MOVIMIENTOS!$F$4:$F$1000,MOVIMIENTOS!$C$4:$C$1000,A770,MOVIMIENTOS!$D$4:$D$1000,B770,MOVIMIENTOS!$E$4:$E$1000,C770,MOVIMIENTOS!$B$4:$B$1000,"A REPROCESO")-SUMIFS(MOVIMIENTOS!$F$4:$F$1000,MOVIMIENTOS!$C$4:$C$1000,A770,MOVIMIENTOS!$D$4:$D$1000,B770,MOVIMIENTOS!$E$4:$E$1000,C770,MOVIMIENTOS!$B$4:$B$1000,"MUESTRA")-SUMIFS(MOVIMIENTOS!$F$4:$F$1000,MOVIMIENTOS!$C$4:$C$1000,A770,MOVIMIENTOS!$D$4:$D$1000,B770,MOVIMIENTOS!$E$4:$E$1000,C770,MOVIMIENTOS!$B$4:$B$1000,"AJUSTE-"),0)</f>
        <v>0</v>
      </c>
      <c r="F770" s="101">
        <f>IFERROR(E770*VLOOKUP(B770,TELAS!$A$4:$C$32,3,FALSE()),0)</f>
        <v>0</v>
      </c>
      <c r="G770" s="102">
        <f>IFERROR(IF(D770="OSCURO",VLOOKUP(B770,PRECIOS!$A$4:$F$32,2,FALSE()),IF(D770="CLARO",VLOOKUP(B770,PRECIOS!$A$4:$F$32,3,FALSE()),IF(D770="MELANGE",VLOOKUP(B770,PRECIOS!$A$4:$F$32,4,FALSE()),IF(D770="PPT",VLOOKUP(B770,PRECIOS!$A$4:$F$32,5,FALSE()),0)))),0)</f>
        <v>24</v>
      </c>
      <c r="H770" s="103">
        <f t="shared" si="1"/>
        <v>0</v>
      </c>
      <c r="I770" s="104" t="str">
        <f>IF(E770&lt;0,"ERROR",IF(E770=0,"",IF(E770&lt;CONFIG!$B$4,"CRÍTICO",IF(E770&lt;CONFIG!$B$5,"BAJO","OK"))))</f>
        <v/>
      </c>
    </row>
    <row r="771" ht="15.75" customHeight="1">
      <c r="A771" s="90" t="str">
        <f>IF(CLIENTES!A9="","",CLIENTES!A9)</f>
        <v/>
      </c>
      <c r="B771" s="67" t="str">
        <f>TELAS!A7</f>
        <v>french terry 24/1</v>
      </c>
      <c r="C771" s="67" t="str">
        <f>COLORES!A11</f>
        <v>Pacay</v>
      </c>
      <c r="D771" s="67" t="str">
        <f>COLORES!B11</f>
        <v>CLARO</v>
      </c>
      <c r="E771" s="100">
        <f>IFERROR(SUMIFS(MOVIMIENTOS!$F$4:$F$1000,MOVIMIENTOS!$C$4:$C$1000,A771,MOVIMIENTOS!$D$4:$D$1000,B771,MOVIMIENTOS!$E$4:$E$1000,C771,MOVIMIENTOS!$B$4:$B$1000,"INGRESO")+SUMIFS(MOVIMIENTOS!$F$4:$F$1000,MOVIMIENTOS!$C$4:$C$1000,A771,MOVIMIENTOS!$D$4:$D$1000,B771,MOVIMIENTOS!$E$4:$E$1000,C771,MOVIMIENTOS!$B$4:$B$1000,"DE REPROCESO")+SUMIFS(MOVIMIENTOS!$F$4:$F$1000,MOVIMIENTOS!$C$4:$C$1000,A771,MOVIMIENTOS!$D$4:$D$1000,B771,MOVIMIENTOS!$E$4:$E$1000,C771,MOVIMIENTOS!$B$4:$B$1000,"AJUSTE+")-SUMIFS(MOVIMIENTOS!$F$4:$F$1000,MOVIMIENTOS!$C$4:$C$1000,A771,MOVIMIENTOS!$D$4:$D$1000,B771,MOVIMIENTOS!$E$4:$E$1000,C771,MOVIMIENTOS!$B$4:$B$1000,"A CORTE")-SUMIFS(MOVIMIENTOS!$F$4:$F$1000,MOVIMIENTOS!$C$4:$C$1000,A771,MOVIMIENTOS!$D$4:$D$1000,B771,MOVIMIENTOS!$E$4:$E$1000,C771,MOVIMIENTOS!$B$4:$B$1000,"A REPROCESO")-SUMIFS(MOVIMIENTOS!$F$4:$F$1000,MOVIMIENTOS!$C$4:$C$1000,A771,MOVIMIENTOS!$D$4:$D$1000,B771,MOVIMIENTOS!$E$4:$E$1000,C771,MOVIMIENTOS!$B$4:$B$1000,"MUESTRA")-SUMIFS(MOVIMIENTOS!$F$4:$F$1000,MOVIMIENTOS!$C$4:$C$1000,A771,MOVIMIENTOS!$D$4:$D$1000,B771,MOVIMIENTOS!$E$4:$E$1000,C771,MOVIMIENTOS!$B$4:$B$1000,"AJUSTE-"),0)</f>
        <v>0</v>
      </c>
      <c r="F771" s="101">
        <f>IFERROR(E771*VLOOKUP(B771,TELAS!$A$4:$C$32,3,FALSE()),0)</f>
        <v>0</v>
      </c>
      <c r="G771" s="102">
        <f>IFERROR(IF(D771="OSCURO",VLOOKUP(B771,PRECIOS!$A$4:$F$32,2,FALSE()),IF(D771="CLARO",VLOOKUP(B771,PRECIOS!$A$4:$F$32,3,FALSE()),IF(D771="MELANGE",VLOOKUP(B771,PRECIOS!$A$4:$F$32,4,FALSE()),IF(D771="PPT",VLOOKUP(B771,PRECIOS!$A$4:$F$32,5,FALSE()),0)))),0)</f>
        <v>21</v>
      </c>
      <c r="H771" s="103">
        <f t="shared" si="1"/>
        <v>0</v>
      </c>
      <c r="I771" s="104" t="str">
        <f>IF(E771&lt;0,"ERROR",IF(E771=0,"",IF(E771&lt;CONFIG!$B$4,"CRÍTICO",IF(E771&lt;CONFIG!$B$5,"BAJO","OK"))))</f>
        <v/>
      </c>
    </row>
    <row r="772" ht="15.75" customHeight="1">
      <c r="A772" s="90" t="str">
        <f>IF(CLIENTES!A9="","",CLIENTES!A9)</f>
        <v/>
      </c>
      <c r="B772" s="67" t="str">
        <f>TELAS!A7</f>
        <v>french terry 24/1</v>
      </c>
      <c r="C772" s="67" t="str">
        <f>COLORES!A12</f>
        <v>Cemento</v>
      </c>
      <c r="D772" s="67" t="str">
        <f>COLORES!B12</f>
        <v>CLARO</v>
      </c>
      <c r="E772" s="100">
        <f>IFERROR(SUMIFS(MOVIMIENTOS!$F$4:$F$1000,MOVIMIENTOS!$C$4:$C$1000,A772,MOVIMIENTOS!$D$4:$D$1000,B772,MOVIMIENTOS!$E$4:$E$1000,C772,MOVIMIENTOS!$B$4:$B$1000,"INGRESO")+SUMIFS(MOVIMIENTOS!$F$4:$F$1000,MOVIMIENTOS!$C$4:$C$1000,A772,MOVIMIENTOS!$D$4:$D$1000,B772,MOVIMIENTOS!$E$4:$E$1000,C772,MOVIMIENTOS!$B$4:$B$1000,"DE REPROCESO")+SUMIFS(MOVIMIENTOS!$F$4:$F$1000,MOVIMIENTOS!$C$4:$C$1000,A772,MOVIMIENTOS!$D$4:$D$1000,B772,MOVIMIENTOS!$E$4:$E$1000,C772,MOVIMIENTOS!$B$4:$B$1000,"AJUSTE+")-SUMIFS(MOVIMIENTOS!$F$4:$F$1000,MOVIMIENTOS!$C$4:$C$1000,A772,MOVIMIENTOS!$D$4:$D$1000,B772,MOVIMIENTOS!$E$4:$E$1000,C772,MOVIMIENTOS!$B$4:$B$1000,"A CORTE")-SUMIFS(MOVIMIENTOS!$F$4:$F$1000,MOVIMIENTOS!$C$4:$C$1000,A772,MOVIMIENTOS!$D$4:$D$1000,B772,MOVIMIENTOS!$E$4:$E$1000,C772,MOVIMIENTOS!$B$4:$B$1000,"A REPROCESO")-SUMIFS(MOVIMIENTOS!$F$4:$F$1000,MOVIMIENTOS!$C$4:$C$1000,A772,MOVIMIENTOS!$D$4:$D$1000,B772,MOVIMIENTOS!$E$4:$E$1000,C772,MOVIMIENTOS!$B$4:$B$1000,"MUESTRA")-SUMIFS(MOVIMIENTOS!$F$4:$F$1000,MOVIMIENTOS!$C$4:$C$1000,A772,MOVIMIENTOS!$D$4:$D$1000,B772,MOVIMIENTOS!$E$4:$E$1000,C772,MOVIMIENTOS!$B$4:$B$1000,"AJUSTE-"),0)</f>
        <v>0</v>
      </c>
      <c r="F772" s="101">
        <f>IFERROR(E772*VLOOKUP(B772,TELAS!$A$4:$C$32,3,FALSE()),0)</f>
        <v>0</v>
      </c>
      <c r="G772" s="102">
        <f>IFERROR(IF(D772="OSCURO",VLOOKUP(B772,PRECIOS!$A$4:$F$32,2,FALSE()),IF(D772="CLARO",VLOOKUP(B772,PRECIOS!$A$4:$F$32,3,FALSE()),IF(D772="MELANGE",VLOOKUP(B772,PRECIOS!$A$4:$F$32,4,FALSE()),IF(D772="PPT",VLOOKUP(B772,PRECIOS!$A$4:$F$32,5,FALSE()),0)))),0)</f>
        <v>21</v>
      </c>
      <c r="H772" s="103">
        <f t="shared" si="1"/>
        <v>0</v>
      </c>
      <c r="I772" s="104" t="str">
        <f>IF(E772&lt;0,"ERROR",IF(E772=0,"",IF(E772&lt;CONFIG!$B$4,"CRÍTICO",IF(E772&lt;CONFIG!$B$5,"BAJO","OK"))))</f>
        <v/>
      </c>
    </row>
    <row r="773" ht="15.75" customHeight="1">
      <c r="A773" s="90" t="str">
        <f>IF(CLIENTES!A9="","",CLIENTES!A9)</f>
        <v/>
      </c>
      <c r="B773" s="67" t="str">
        <f>TELAS!A7</f>
        <v>french terry 24/1</v>
      </c>
      <c r="C773" s="67" t="str">
        <f>COLORES!A13</f>
        <v>Camote</v>
      </c>
      <c r="D773" s="67" t="str">
        <f>COLORES!B13</f>
        <v>CLARO</v>
      </c>
      <c r="E773" s="100">
        <f>IFERROR(SUMIFS(MOVIMIENTOS!$F$4:$F$1000,MOVIMIENTOS!$C$4:$C$1000,A773,MOVIMIENTOS!$D$4:$D$1000,B773,MOVIMIENTOS!$E$4:$E$1000,C773,MOVIMIENTOS!$B$4:$B$1000,"INGRESO")+SUMIFS(MOVIMIENTOS!$F$4:$F$1000,MOVIMIENTOS!$C$4:$C$1000,A773,MOVIMIENTOS!$D$4:$D$1000,B773,MOVIMIENTOS!$E$4:$E$1000,C773,MOVIMIENTOS!$B$4:$B$1000,"DE REPROCESO")+SUMIFS(MOVIMIENTOS!$F$4:$F$1000,MOVIMIENTOS!$C$4:$C$1000,A773,MOVIMIENTOS!$D$4:$D$1000,B773,MOVIMIENTOS!$E$4:$E$1000,C773,MOVIMIENTOS!$B$4:$B$1000,"AJUSTE+")-SUMIFS(MOVIMIENTOS!$F$4:$F$1000,MOVIMIENTOS!$C$4:$C$1000,A773,MOVIMIENTOS!$D$4:$D$1000,B773,MOVIMIENTOS!$E$4:$E$1000,C773,MOVIMIENTOS!$B$4:$B$1000,"A CORTE")-SUMIFS(MOVIMIENTOS!$F$4:$F$1000,MOVIMIENTOS!$C$4:$C$1000,A773,MOVIMIENTOS!$D$4:$D$1000,B773,MOVIMIENTOS!$E$4:$E$1000,C773,MOVIMIENTOS!$B$4:$B$1000,"A REPROCESO")-SUMIFS(MOVIMIENTOS!$F$4:$F$1000,MOVIMIENTOS!$C$4:$C$1000,A773,MOVIMIENTOS!$D$4:$D$1000,B773,MOVIMIENTOS!$E$4:$E$1000,C773,MOVIMIENTOS!$B$4:$B$1000,"MUESTRA")-SUMIFS(MOVIMIENTOS!$F$4:$F$1000,MOVIMIENTOS!$C$4:$C$1000,A773,MOVIMIENTOS!$D$4:$D$1000,B773,MOVIMIENTOS!$E$4:$E$1000,C773,MOVIMIENTOS!$B$4:$B$1000,"AJUSTE-"),0)</f>
        <v>0</v>
      </c>
      <c r="F773" s="101">
        <f>IFERROR(E773*VLOOKUP(B773,TELAS!$A$4:$C$32,3,FALSE()),0)</f>
        <v>0</v>
      </c>
      <c r="G773" s="102">
        <f>IFERROR(IF(D773="OSCURO",VLOOKUP(B773,PRECIOS!$A$4:$F$32,2,FALSE()),IF(D773="CLARO",VLOOKUP(B773,PRECIOS!$A$4:$F$32,3,FALSE()),IF(D773="MELANGE",VLOOKUP(B773,PRECIOS!$A$4:$F$32,4,FALSE()),IF(D773="PPT",VLOOKUP(B773,PRECIOS!$A$4:$F$32,5,FALSE()),0)))),0)</f>
        <v>21</v>
      </c>
      <c r="H773" s="103">
        <f t="shared" si="1"/>
        <v>0</v>
      </c>
      <c r="I773" s="104" t="str">
        <f>IF(E773&lt;0,"ERROR",IF(E773=0,"",IF(E773&lt;CONFIG!$B$4,"CRÍTICO",IF(E773&lt;CONFIG!$B$5,"BAJO","OK"))))</f>
        <v/>
      </c>
    </row>
    <row r="774" ht="15.75" customHeight="1">
      <c r="A774" s="90" t="str">
        <f>IF(CLIENTES!A9="","",CLIENTES!A9)</f>
        <v/>
      </c>
      <c r="B774" s="67" t="str">
        <f>TELAS!A7</f>
        <v>french terry 24/1</v>
      </c>
      <c r="C774" s="67" t="str">
        <f>COLORES!A14</f>
        <v>Denim</v>
      </c>
      <c r="D774" s="67" t="str">
        <f>COLORES!B14</f>
        <v>CLARO</v>
      </c>
      <c r="E774" s="100">
        <f>IFERROR(SUMIFS(MOVIMIENTOS!$F$4:$F$1000,MOVIMIENTOS!$C$4:$C$1000,A774,MOVIMIENTOS!$D$4:$D$1000,B774,MOVIMIENTOS!$E$4:$E$1000,C774,MOVIMIENTOS!$B$4:$B$1000,"INGRESO")+SUMIFS(MOVIMIENTOS!$F$4:$F$1000,MOVIMIENTOS!$C$4:$C$1000,A774,MOVIMIENTOS!$D$4:$D$1000,B774,MOVIMIENTOS!$E$4:$E$1000,C774,MOVIMIENTOS!$B$4:$B$1000,"DE REPROCESO")+SUMIFS(MOVIMIENTOS!$F$4:$F$1000,MOVIMIENTOS!$C$4:$C$1000,A774,MOVIMIENTOS!$D$4:$D$1000,B774,MOVIMIENTOS!$E$4:$E$1000,C774,MOVIMIENTOS!$B$4:$B$1000,"AJUSTE+")-SUMIFS(MOVIMIENTOS!$F$4:$F$1000,MOVIMIENTOS!$C$4:$C$1000,A774,MOVIMIENTOS!$D$4:$D$1000,B774,MOVIMIENTOS!$E$4:$E$1000,C774,MOVIMIENTOS!$B$4:$B$1000,"A CORTE")-SUMIFS(MOVIMIENTOS!$F$4:$F$1000,MOVIMIENTOS!$C$4:$C$1000,A774,MOVIMIENTOS!$D$4:$D$1000,B774,MOVIMIENTOS!$E$4:$E$1000,C774,MOVIMIENTOS!$B$4:$B$1000,"A REPROCESO")-SUMIFS(MOVIMIENTOS!$F$4:$F$1000,MOVIMIENTOS!$C$4:$C$1000,A774,MOVIMIENTOS!$D$4:$D$1000,B774,MOVIMIENTOS!$E$4:$E$1000,C774,MOVIMIENTOS!$B$4:$B$1000,"MUESTRA")-SUMIFS(MOVIMIENTOS!$F$4:$F$1000,MOVIMIENTOS!$C$4:$C$1000,A774,MOVIMIENTOS!$D$4:$D$1000,B774,MOVIMIENTOS!$E$4:$E$1000,C774,MOVIMIENTOS!$B$4:$B$1000,"AJUSTE-"),0)</f>
        <v>0</v>
      </c>
      <c r="F774" s="101">
        <f>IFERROR(E774*VLOOKUP(B774,TELAS!$A$4:$C$32,3,FALSE()),0)</f>
        <v>0</v>
      </c>
      <c r="G774" s="102">
        <f>IFERROR(IF(D774="OSCURO",VLOOKUP(B774,PRECIOS!$A$4:$F$32,2,FALSE()),IF(D774="CLARO",VLOOKUP(B774,PRECIOS!$A$4:$F$32,3,FALSE()),IF(D774="MELANGE",VLOOKUP(B774,PRECIOS!$A$4:$F$32,4,FALSE()),IF(D774="PPT",VLOOKUP(B774,PRECIOS!$A$4:$F$32,5,FALSE()),0)))),0)</f>
        <v>21</v>
      </c>
      <c r="H774" s="103">
        <f t="shared" si="1"/>
        <v>0</v>
      </c>
      <c r="I774" s="104" t="str">
        <f>IF(E774&lt;0,"ERROR",IF(E774=0,"",IF(E774&lt;CONFIG!$B$4,"CRÍTICO",IF(E774&lt;CONFIG!$B$5,"BAJO","OK"))))</f>
        <v/>
      </c>
    </row>
    <row r="775" ht="15.75" customHeight="1">
      <c r="A775" s="90" t="str">
        <f>IF(CLIENTES!A9="","",CLIENTES!A9)</f>
        <v/>
      </c>
      <c r="B775" s="67" t="str">
        <f>TELAS!A7</f>
        <v>french terry 24/1</v>
      </c>
      <c r="C775" s="67" t="str">
        <f>COLORES!A15</f>
        <v>Plomo</v>
      </c>
      <c r="D775" s="67" t="str">
        <f>COLORES!B15</f>
        <v>OSCURO</v>
      </c>
      <c r="E775" s="100">
        <f>IFERROR(SUMIFS(MOVIMIENTOS!$F$4:$F$1000,MOVIMIENTOS!$C$4:$C$1000,A775,MOVIMIENTOS!$D$4:$D$1000,B775,MOVIMIENTOS!$E$4:$E$1000,C775,MOVIMIENTOS!$B$4:$B$1000,"INGRESO")+SUMIFS(MOVIMIENTOS!$F$4:$F$1000,MOVIMIENTOS!$C$4:$C$1000,A775,MOVIMIENTOS!$D$4:$D$1000,B775,MOVIMIENTOS!$E$4:$E$1000,C775,MOVIMIENTOS!$B$4:$B$1000,"DE REPROCESO")+SUMIFS(MOVIMIENTOS!$F$4:$F$1000,MOVIMIENTOS!$C$4:$C$1000,A775,MOVIMIENTOS!$D$4:$D$1000,B775,MOVIMIENTOS!$E$4:$E$1000,C775,MOVIMIENTOS!$B$4:$B$1000,"AJUSTE+")-SUMIFS(MOVIMIENTOS!$F$4:$F$1000,MOVIMIENTOS!$C$4:$C$1000,A775,MOVIMIENTOS!$D$4:$D$1000,B775,MOVIMIENTOS!$E$4:$E$1000,C775,MOVIMIENTOS!$B$4:$B$1000,"A CORTE")-SUMIFS(MOVIMIENTOS!$F$4:$F$1000,MOVIMIENTOS!$C$4:$C$1000,A775,MOVIMIENTOS!$D$4:$D$1000,B775,MOVIMIENTOS!$E$4:$E$1000,C775,MOVIMIENTOS!$B$4:$B$1000,"A REPROCESO")-SUMIFS(MOVIMIENTOS!$F$4:$F$1000,MOVIMIENTOS!$C$4:$C$1000,A775,MOVIMIENTOS!$D$4:$D$1000,B775,MOVIMIENTOS!$E$4:$E$1000,C775,MOVIMIENTOS!$B$4:$B$1000,"MUESTRA")-SUMIFS(MOVIMIENTOS!$F$4:$F$1000,MOVIMIENTOS!$C$4:$C$1000,A775,MOVIMIENTOS!$D$4:$D$1000,B775,MOVIMIENTOS!$E$4:$E$1000,C775,MOVIMIENTOS!$B$4:$B$1000,"AJUSTE-"),0)</f>
        <v>0</v>
      </c>
      <c r="F775" s="101">
        <f>IFERROR(E775*VLOOKUP(B775,TELAS!$A$4:$C$32,3,FALSE()),0)</f>
        <v>0</v>
      </c>
      <c r="G775" s="102">
        <f>IFERROR(IF(D775="OSCURO",VLOOKUP(B775,PRECIOS!$A$4:$F$32,2,FALSE()),IF(D775="CLARO",VLOOKUP(B775,PRECIOS!$A$4:$F$32,3,FALSE()),IF(D775="MELANGE",VLOOKUP(B775,PRECIOS!$A$4:$F$32,4,FALSE()),IF(D775="PPT",VLOOKUP(B775,PRECIOS!$A$4:$F$32,5,FALSE()),0)))),0)</f>
        <v>24</v>
      </c>
      <c r="H775" s="103">
        <f t="shared" si="1"/>
        <v>0</v>
      </c>
      <c r="I775" s="104" t="str">
        <f>IF(E775&lt;0,"ERROR",IF(E775=0,"",IF(E775&lt;CONFIG!$B$4,"CRÍTICO",IF(E775&lt;CONFIG!$B$5,"BAJO","OK"))))</f>
        <v/>
      </c>
    </row>
    <row r="776" ht="15.75" customHeight="1">
      <c r="A776" s="90" t="str">
        <f>IF(CLIENTES!A9="","",CLIENTES!A9)</f>
        <v/>
      </c>
      <c r="B776" s="67" t="str">
        <f>TELAS!A7</f>
        <v>french terry 24/1</v>
      </c>
      <c r="C776" s="67" t="str">
        <f>COLORES!A16</f>
        <v>Topo</v>
      </c>
      <c r="D776" s="67" t="str">
        <f>COLORES!B16</f>
        <v>CLARO</v>
      </c>
      <c r="E776" s="100">
        <f>IFERROR(SUMIFS(MOVIMIENTOS!$F$4:$F$1000,MOVIMIENTOS!$C$4:$C$1000,A776,MOVIMIENTOS!$D$4:$D$1000,B776,MOVIMIENTOS!$E$4:$E$1000,C776,MOVIMIENTOS!$B$4:$B$1000,"INGRESO")+SUMIFS(MOVIMIENTOS!$F$4:$F$1000,MOVIMIENTOS!$C$4:$C$1000,A776,MOVIMIENTOS!$D$4:$D$1000,B776,MOVIMIENTOS!$E$4:$E$1000,C776,MOVIMIENTOS!$B$4:$B$1000,"DE REPROCESO")+SUMIFS(MOVIMIENTOS!$F$4:$F$1000,MOVIMIENTOS!$C$4:$C$1000,A776,MOVIMIENTOS!$D$4:$D$1000,B776,MOVIMIENTOS!$E$4:$E$1000,C776,MOVIMIENTOS!$B$4:$B$1000,"AJUSTE+")-SUMIFS(MOVIMIENTOS!$F$4:$F$1000,MOVIMIENTOS!$C$4:$C$1000,A776,MOVIMIENTOS!$D$4:$D$1000,B776,MOVIMIENTOS!$E$4:$E$1000,C776,MOVIMIENTOS!$B$4:$B$1000,"A CORTE")-SUMIFS(MOVIMIENTOS!$F$4:$F$1000,MOVIMIENTOS!$C$4:$C$1000,A776,MOVIMIENTOS!$D$4:$D$1000,B776,MOVIMIENTOS!$E$4:$E$1000,C776,MOVIMIENTOS!$B$4:$B$1000,"A REPROCESO")-SUMIFS(MOVIMIENTOS!$F$4:$F$1000,MOVIMIENTOS!$C$4:$C$1000,A776,MOVIMIENTOS!$D$4:$D$1000,B776,MOVIMIENTOS!$E$4:$E$1000,C776,MOVIMIENTOS!$B$4:$B$1000,"MUESTRA")-SUMIFS(MOVIMIENTOS!$F$4:$F$1000,MOVIMIENTOS!$C$4:$C$1000,A776,MOVIMIENTOS!$D$4:$D$1000,B776,MOVIMIENTOS!$E$4:$E$1000,C776,MOVIMIENTOS!$B$4:$B$1000,"AJUSTE-"),0)</f>
        <v>0</v>
      </c>
      <c r="F776" s="101">
        <f>IFERROR(E776*VLOOKUP(B776,TELAS!$A$4:$C$32,3,FALSE()),0)</f>
        <v>0</v>
      </c>
      <c r="G776" s="102">
        <f>IFERROR(IF(D776="OSCURO",VLOOKUP(B776,PRECIOS!$A$4:$F$32,2,FALSE()),IF(D776="CLARO",VLOOKUP(B776,PRECIOS!$A$4:$F$32,3,FALSE()),IF(D776="MELANGE",VLOOKUP(B776,PRECIOS!$A$4:$F$32,4,FALSE()),IF(D776="PPT",VLOOKUP(B776,PRECIOS!$A$4:$F$32,5,FALSE()),0)))),0)</f>
        <v>21</v>
      </c>
      <c r="H776" s="103">
        <f t="shared" si="1"/>
        <v>0</v>
      </c>
      <c r="I776" s="104" t="str">
        <f>IF(E776&lt;0,"ERROR",IF(E776=0,"",IF(E776&lt;CONFIG!$B$4,"CRÍTICO",IF(E776&lt;CONFIG!$B$5,"BAJO","OK"))))</f>
        <v/>
      </c>
    </row>
    <row r="777" ht="15.75" customHeight="1">
      <c r="A777" s="90" t="str">
        <f>IF(CLIENTES!A9="","",CLIENTES!A9)</f>
        <v/>
      </c>
      <c r="B777" s="67" t="str">
        <f>TELAS!A7</f>
        <v>french terry 24/1</v>
      </c>
      <c r="C777" s="67" t="str">
        <f>COLORES!A17</f>
        <v>Vino</v>
      </c>
      <c r="D777" s="67" t="str">
        <f>COLORES!B17</f>
        <v>OSCURO</v>
      </c>
      <c r="E777" s="100">
        <f>IFERROR(SUMIFS(MOVIMIENTOS!$F$4:$F$1000,MOVIMIENTOS!$C$4:$C$1000,A777,MOVIMIENTOS!$D$4:$D$1000,B777,MOVIMIENTOS!$E$4:$E$1000,C777,MOVIMIENTOS!$B$4:$B$1000,"INGRESO")+SUMIFS(MOVIMIENTOS!$F$4:$F$1000,MOVIMIENTOS!$C$4:$C$1000,A777,MOVIMIENTOS!$D$4:$D$1000,B777,MOVIMIENTOS!$E$4:$E$1000,C777,MOVIMIENTOS!$B$4:$B$1000,"DE REPROCESO")+SUMIFS(MOVIMIENTOS!$F$4:$F$1000,MOVIMIENTOS!$C$4:$C$1000,A777,MOVIMIENTOS!$D$4:$D$1000,B777,MOVIMIENTOS!$E$4:$E$1000,C777,MOVIMIENTOS!$B$4:$B$1000,"AJUSTE+")-SUMIFS(MOVIMIENTOS!$F$4:$F$1000,MOVIMIENTOS!$C$4:$C$1000,A777,MOVIMIENTOS!$D$4:$D$1000,B777,MOVIMIENTOS!$E$4:$E$1000,C777,MOVIMIENTOS!$B$4:$B$1000,"A CORTE")-SUMIFS(MOVIMIENTOS!$F$4:$F$1000,MOVIMIENTOS!$C$4:$C$1000,A777,MOVIMIENTOS!$D$4:$D$1000,B777,MOVIMIENTOS!$E$4:$E$1000,C777,MOVIMIENTOS!$B$4:$B$1000,"A REPROCESO")-SUMIFS(MOVIMIENTOS!$F$4:$F$1000,MOVIMIENTOS!$C$4:$C$1000,A777,MOVIMIENTOS!$D$4:$D$1000,B777,MOVIMIENTOS!$E$4:$E$1000,C777,MOVIMIENTOS!$B$4:$B$1000,"MUESTRA")-SUMIFS(MOVIMIENTOS!$F$4:$F$1000,MOVIMIENTOS!$C$4:$C$1000,A777,MOVIMIENTOS!$D$4:$D$1000,B777,MOVIMIENTOS!$E$4:$E$1000,C777,MOVIMIENTOS!$B$4:$B$1000,"AJUSTE-"),0)</f>
        <v>0</v>
      </c>
      <c r="F777" s="101">
        <f>IFERROR(E777*VLOOKUP(B777,TELAS!$A$4:$C$32,3,FALSE()),0)</f>
        <v>0</v>
      </c>
      <c r="G777" s="102">
        <f>IFERROR(IF(D777="OSCURO",VLOOKUP(B777,PRECIOS!$A$4:$F$32,2,FALSE()),IF(D777="CLARO",VLOOKUP(B777,PRECIOS!$A$4:$F$32,3,FALSE()),IF(D777="MELANGE",VLOOKUP(B777,PRECIOS!$A$4:$F$32,4,FALSE()),IF(D777="PPT",VLOOKUP(B777,PRECIOS!$A$4:$F$32,5,FALSE()),0)))),0)</f>
        <v>24</v>
      </c>
      <c r="H777" s="103">
        <f t="shared" si="1"/>
        <v>0</v>
      </c>
      <c r="I777" s="104" t="str">
        <f>IF(E777&lt;0,"ERROR",IF(E777=0,"",IF(E777&lt;CONFIG!$B$4,"CRÍTICO",IF(E777&lt;CONFIG!$B$5,"BAJO","OK"))))</f>
        <v/>
      </c>
    </row>
    <row r="778" ht="15.75" customHeight="1">
      <c r="A778" s="90" t="str">
        <f>IF(CLIENTES!A9="","",CLIENTES!A9)</f>
        <v/>
      </c>
      <c r="B778" s="67" t="str">
        <f>TELAS!A7</f>
        <v>french terry 24/1</v>
      </c>
      <c r="C778" s="67" t="str">
        <f>COLORES!A18</f>
        <v>P. Rosa</v>
      </c>
      <c r="D778" s="67" t="str">
        <f>COLORES!B18</f>
        <v>CLARO</v>
      </c>
      <c r="E778" s="100">
        <f>IFERROR(SUMIFS(MOVIMIENTOS!$F$4:$F$1000,MOVIMIENTOS!$C$4:$C$1000,A778,MOVIMIENTOS!$D$4:$D$1000,B778,MOVIMIENTOS!$E$4:$E$1000,C778,MOVIMIENTOS!$B$4:$B$1000,"INGRESO")+SUMIFS(MOVIMIENTOS!$F$4:$F$1000,MOVIMIENTOS!$C$4:$C$1000,A778,MOVIMIENTOS!$D$4:$D$1000,B778,MOVIMIENTOS!$E$4:$E$1000,C778,MOVIMIENTOS!$B$4:$B$1000,"DE REPROCESO")+SUMIFS(MOVIMIENTOS!$F$4:$F$1000,MOVIMIENTOS!$C$4:$C$1000,A778,MOVIMIENTOS!$D$4:$D$1000,B778,MOVIMIENTOS!$E$4:$E$1000,C778,MOVIMIENTOS!$B$4:$B$1000,"AJUSTE+")-SUMIFS(MOVIMIENTOS!$F$4:$F$1000,MOVIMIENTOS!$C$4:$C$1000,A778,MOVIMIENTOS!$D$4:$D$1000,B778,MOVIMIENTOS!$E$4:$E$1000,C778,MOVIMIENTOS!$B$4:$B$1000,"A CORTE")-SUMIFS(MOVIMIENTOS!$F$4:$F$1000,MOVIMIENTOS!$C$4:$C$1000,A778,MOVIMIENTOS!$D$4:$D$1000,B778,MOVIMIENTOS!$E$4:$E$1000,C778,MOVIMIENTOS!$B$4:$B$1000,"A REPROCESO")-SUMIFS(MOVIMIENTOS!$F$4:$F$1000,MOVIMIENTOS!$C$4:$C$1000,A778,MOVIMIENTOS!$D$4:$D$1000,B778,MOVIMIENTOS!$E$4:$E$1000,C778,MOVIMIENTOS!$B$4:$B$1000,"MUESTRA")-SUMIFS(MOVIMIENTOS!$F$4:$F$1000,MOVIMIENTOS!$C$4:$C$1000,A778,MOVIMIENTOS!$D$4:$D$1000,B778,MOVIMIENTOS!$E$4:$E$1000,C778,MOVIMIENTOS!$B$4:$B$1000,"AJUSTE-"),0)</f>
        <v>0</v>
      </c>
      <c r="F778" s="101">
        <f>IFERROR(E778*VLOOKUP(B778,TELAS!$A$4:$C$32,3,FALSE()),0)</f>
        <v>0</v>
      </c>
      <c r="G778" s="102">
        <f>IFERROR(IF(D778="OSCURO",VLOOKUP(B778,PRECIOS!$A$4:$F$32,2,FALSE()),IF(D778="CLARO",VLOOKUP(B778,PRECIOS!$A$4:$F$32,3,FALSE()),IF(D778="MELANGE",VLOOKUP(B778,PRECIOS!$A$4:$F$32,4,FALSE()),IF(D778="PPT",VLOOKUP(B778,PRECIOS!$A$4:$F$32,5,FALSE()),0)))),0)</f>
        <v>21</v>
      </c>
      <c r="H778" s="103">
        <f t="shared" si="1"/>
        <v>0</v>
      </c>
      <c r="I778" s="104" t="str">
        <f>IF(E778&lt;0,"ERROR",IF(E778=0,"",IF(E778&lt;CONFIG!$B$4,"CRÍTICO",IF(E778&lt;CONFIG!$B$5,"BAJO","OK"))))</f>
        <v/>
      </c>
    </row>
    <row r="779" ht="15.75" customHeight="1">
      <c r="A779" s="90" t="str">
        <f>IF(CLIENTES!A9="","",CLIENTES!A9)</f>
        <v/>
      </c>
      <c r="B779" s="67" t="str">
        <f>TELAS!A7</f>
        <v>french terry 24/1</v>
      </c>
      <c r="C779" s="67" t="str">
        <f>COLORES!A19</f>
        <v/>
      </c>
      <c r="D779" s="67" t="str">
        <f>COLORES!B19</f>
        <v/>
      </c>
      <c r="E779" s="100">
        <f>IFERROR(SUMIFS(MOVIMIENTOS!$F$4:$F$1000,MOVIMIENTOS!$C$4:$C$1000,A779,MOVIMIENTOS!$D$4:$D$1000,B779,MOVIMIENTOS!$E$4:$E$1000,C779,MOVIMIENTOS!$B$4:$B$1000,"INGRESO")+SUMIFS(MOVIMIENTOS!$F$4:$F$1000,MOVIMIENTOS!$C$4:$C$1000,A779,MOVIMIENTOS!$D$4:$D$1000,B779,MOVIMIENTOS!$E$4:$E$1000,C779,MOVIMIENTOS!$B$4:$B$1000,"DE REPROCESO")+SUMIFS(MOVIMIENTOS!$F$4:$F$1000,MOVIMIENTOS!$C$4:$C$1000,A779,MOVIMIENTOS!$D$4:$D$1000,B779,MOVIMIENTOS!$E$4:$E$1000,C779,MOVIMIENTOS!$B$4:$B$1000,"AJUSTE+")-SUMIFS(MOVIMIENTOS!$F$4:$F$1000,MOVIMIENTOS!$C$4:$C$1000,A779,MOVIMIENTOS!$D$4:$D$1000,B779,MOVIMIENTOS!$E$4:$E$1000,C779,MOVIMIENTOS!$B$4:$B$1000,"A CORTE")-SUMIFS(MOVIMIENTOS!$F$4:$F$1000,MOVIMIENTOS!$C$4:$C$1000,A779,MOVIMIENTOS!$D$4:$D$1000,B779,MOVIMIENTOS!$E$4:$E$1000,C779,MOVIMIENTOS!$B$4:$B$1000,"A REPROCESO")-SUMIFS(MOVIMIENTOS!$F$4:$F$1000,MOVIMIENTOS!$C$4:$C$1000,A779,MOVIMIENTOS!$D$4:$D$1000,B779,MOVIMIENTOS!$E$4:$E$1000,C779,MOVIMIENTOS!$B$4:$B$1000,"MUESTRA")-SUMIFS(MOVIMIENTOS!$F$4:$F$1000,MOVIMIENTOS!$C$4:$C$1000,A779,MOVIMIENTOS!$D$4:$D$1000,B779,MOVIMIENTOS!$E$4:$E$1000,C779,MOVIMIENTOS!$B$4:$B$1000,"AJUSTE-"),0)</f>
        <v>0</v>
      </c>
      <c r="F779" s="101">
        <f>IFERROR(E779*VLOOKUP(B779,TELAS!$A$4:$C$32,3,FALSE()),0)</f>
        <v>0</v>
      </c>
      <c r="G779" s="102">
        <f>IFERROR(IF(D779="OSCURO",VLOOKUP(B779,PRECIOS!$A$4:$F$32,2,FALSE()),IF(D779="CLARO",VLOOKUP(B779,PRECIOS!$A$4:$F$32,3,FALSE()),IF(D779="MELANGE",VLOOKUP(B779,PRECIOS!$A$4:$F$32,4,FALSE()),IF(D779="PPT",VLOOKUP(B779,PRECIOS!$A$4:$F$32,5,FALSE()),0)))),0)</f>
        <v>0</v>
      </c>
      <c r="H779" s="103">
        <f t="shared" si="1"/>
        <v>0</v>
      </c>
      <c r="I779" s="104" t="str">
        <f>IF(E779&lt;0,"ERROR",IF(E779=0,"",IF(E779&lt;CONFIG!$B$4,"CRÍTICO",IF(E779&lt;CONFIG!$B$5,"BAJO","OK"))))</f>
        <v/>
      </c>
    </row>
    <row r="780" ht="15.75" customHeight="1">
      <c r="A780" s="90" t="str">
        <f>IF(CLIENTES!A9="","",CLIENTES!A9)</f>
        <v/>
      </c>
      <c r="B780" s="67" t="str">
        <f>TELAS!A7</f>
        <v>french terry 24/1</v>
      </c>
      <c r="C780" s="67" t="str">
        <f>COLORES!A20</f>
        <v/>
      </c>
      <c r="D780" s="67" t="str">
        <f>COLORES!B20</f>
        <v/>
      </c>
      <c r="E780" s="100">
        <f>IFERROR(SUMIFS(MOVIMIENTOS!$F$4:$F$1000,MOVIMIENTOS!$C$4:$C$1000,A780,MOVIMIENTOS!$D$4:$D$1000,B780,MOVIMIENTOS!$E$4:$E$1000,C780,MOVIMIENTOS!$B$4:$B$1000,"INGRESO")+SUMIFS(MOVIMIENTOS!$F$4:$F$1000,MOVIMIENTOS!$C$4:$C$1000,A780,MOVIMIENTOS!$D$4:$D$1000,B780,MOVIMIENTOS!$E$4:$E$1000,C780,MOVIMIENTOS!$B$4:$B$1000,"DE REPROCESO")+SUMIFS(MOVIMIENTOS!$F$4:$F$1000,MOVIMIENTOS!$C$4:$C$1000,A780,MOVIMIENTOS!$D$4:$D$1000,B780,MOVIMIENTOS!$E$4:$E$1000,C780,MOVIMIENTOS!$B$4:$B$1000,"AJUSTE+")-SUMIFS(MOVIMIENTOS!$F$4:$F$1000,MOVIMIENTOS!$C$4:$C$1000,A780,MOVIMIENTOS!$D$4:$D$1000,B780,MOVIMIENTOS!$E$4:$E$1000,C780,MOVIMIENTOS!$B$4:$B$1000,"A CORTE")-SUMIFS(MOVIMIENTOS!$F$4:$F$1000,MOVIMIENTOS!$C$4:$C$1000,A780,MOVIMIENTOS!$D$4:$D$1000,B780,MOVIMIENTOS!$E$4:$E$1000,C780,MOVIMIENTOS!$B$4:$B$1000,"A REPROCESO")-SUMIFS(MOVIMIENTOS!$F$4:$F$1000,MOVIMIENTOS!$C$4:$C$1000,A780,MOVIMIENTOS!$D$4:$D$1000,B780,MOVIMIENTOS!$E$4:$E$1000,C780,MOVIMIENTOS!$B$4:$B$1000,"MUESTRA")-SUMIFS(MOVIMIENTOS!$F$4:$F$1000,MOVIMIENTOS!$C$4:$C$1000,A780,MOVIMIENTOS!$D$4:$D$1000,B780,MOVIMIENTOS!$E$4:$E$1000,C780,MOVIMIENTOS!$B$4:$B$1000,"AJUSTE-"),0)</f>
        <v>0</v>
      </c>
      <c r="F780" s="101">
        <f>IFERROR(E780*VLOOKUP(B780,TELAS!$A$4:$C$32,3,FALSE()),0)</f>
        <v>0</v>
      </c>
      <c r="G780" s="102">
        <f>IFERROR(IF(D780="OSCURO",VLOOKUP(B780,PRECIOS!$A$4:$F$32,2,FALSE()),IF(D780="CLARO",VLOOKUP(B780,PRECIOS!$A$4:$F$32,3,FALSE()),IF(D780="MELANGE",VLOOKUP(B780,PRECIOS!$A$4:$F$32,4,FALSE()),IF(D780="PPT",VLOOKUP(B780,PRECIOS!$A$4:$F$32,5,FALSE()),0)))),0)</f>
        <v>0</v>
      </c>
      <c r="H780" s="103">
        <f t="shared" si="1"/>
        <v>0</v>
      </c>
      <c r="I780" s="104" t="str">
        <f>IF(E780&lt;0,"ERROR",IF(E780=0,"",IF(E780&lt;CONFIG!$B$4,"CRÍTICO",IF(E780&lt;CONFIG!$B$5,"BAJO","OK"))))</f>
        <v/>
      </c>
    </row>
    <row r="781" ht="15.75" customHeight="1">
      <c r="A781" s="90" t="str">
        <f>IF(CLIENTES!A9="","",CLIENTES!A9)</f>
        <v/>
      </c>
      <c r="B781" s="67" t="str">
        <f>TELAS!A7</f>
        <v>french terry 24/1</v>
      </c>
      <c r="C781" s="67" t="str">
        <f>COLORES!A21</f>
        <v/>
      </c>
      <c r="D781" s="67" t="str">
        <f>COLORES!B21</f>
        <v/>
      </c>
      <c r="E781" s="100">
        <f>IFERROR(SUMIFS(MOVIMIENTOS!$F$4:$F$1000,MOVIMIENTOS!$C$4:$C$1000,A781,MOVIMIENTOS!$D$4:$D$1000,B781,MOVIMIENTOS!$E$4:$E$1000,C781,MOVIMIENTOS!$B$4:$B$1000,"INGRESO")+SUMIFS(MOVIMIENTOS!$F$4:$F$1000,MOVIMIENTOS!$C$4:$C$1000,A781,MOVIMIENTOS!$D$4:$D$1000,B781,MOVIMIENTOS!$E$4:$E$1000,C781,MOVIMIENTOS!$B$4:$B$1000,"DE REPROCESO")+SUMIFS(MOVIMIENTOS!$F$4:$F$1000,MOVIMIENTOS!$C$4:$C$1000,A781,MOVIMIENTOS!$D$4:$D$1000,B781,MOVIMIENTOS!$E$4:$E$1000,C781,MOVIMIENTOS!$B$4:$B$1000,"AJUSTE+")-SUMIFS(MOVIMIENTOS!$F$4:$F$1000,MOVIMIENTOS!$C$4:$C$1000,A781,MOVIMIENTOS!$D$4:$D$1000,B781,MOVIMIENTOS!$E$4:$E$1000,C781,MOVIMIENTOS!$B$4:$B$1000,"A CORTE")-SUMIFS(MOVIMIENTOS!$F$4:$F$1000,MOVIMIENTOS!$C$4:$C$1000,A781,MOVIMIENTOS!$D$4:$D$1000,B781,MOVIMIENTOS!$E$4:$E$1000,C781,MOVIMIENTOS!$B$4:$B$1000,"A REPROCESO")-SUMIFS(MOVIMIENTOS!$F$4:$F$1000,MOVIMIENTOS!$C$4:$C$1000,A781,MOVIMIENTOS!$D$4:$D$1000,B781,MOVIMIENTOS!$E$4:$E$1000,C781,MOVIMIENTOS!$B$4:$B$1000,"MUESTRA")-SUMIFS(MOVIMIENTOS!$F$4:$F$1000,MOVIMIENTOS!$C$4:$C$1000,A781,MOVIMIENTOS!$D$4:$D$1000,B781,MOVIMIENTOS!$E$4:$E$1000,C781,MOVIMIENTOS!$B$4:$B$1000,"AJUSTE-"),0)</f>
        <v>0</v>
      </c>
      <c r="F781" s="101">
        <f>IFERROR(E781*VLOOKUP(B781,TELAS!$A$4:$C$32,3,FALSE()),0)</f>
        <v>0</v>
      </c>
      <c r="G781" s="102">
        <f>IFERROR(IF(D781="OSCURO",VLOOKUP(B781,PRECIOS!$A$4:$F$32,2,FALSE()),IF(D781="CLARO",VLOOKUP(B781,PRECIOS!$A$4:$F$32,3,FALSE()),IF(D781="MELANGE",VLOOKUP(B781,PRECIOS!$A$4:$F$32,4,FALSE()),IF(D781="PPT",VLOOKUP(B781,PRECIOS!$A$4:$F$32,5,FALSE()),0)))),0)</f>
        <v>0</v>
      </c>
      <c r="H781" s="103">
        <f t="shared" si="1"/>
        <v>0</v>
      </c>
      <c r="I781" s="104" t="str">
        <f>IF(E781&lt;0,"ERROR",IF(E781=0,"",IF(E781&lt;CONFIG!$B$4,"CRÍTICO",IF(E781&lt;CONFIG!$B$5,"BAJO","OK"))))</f>
        <v/>
      </c>
    </row>
    <row r="782" ht="15.75" customHeight="1">
      <c r="A782" s="90" t="str">
        <f>IF(CLIENTES!A9="","",CLIENTES!A9)</f>
        <v/>
      </c>
      <c r="B782" s="67" t="str">
        <f>TELAS!A7</f>
        <v>french terry 24/1</v>
      </c>
      <c r="C782" s="67" t="str">
        <f>COLORES!A22</f>
        <v/>
      </c>
      <c r="D782" s="67" t="str">
        <f>COLORES!B22</f>
        <v/>
      </c>
      <c r="E782" s="100">
        <f>IFERROR(SUMIFS(MOVIMIENTOS!$F$4:$F$1000,MOVIMIENTOS!$C$4:$C$1000,A782,MOVIMIENTOS!$D$4:$D$1000,B782,MOVIMIENTOS!$E$4:$E$1000,C782,MOVIMIENTOS!$B$4:$B$1000,"INGRESO")+SUMIFS(MOVIMIENTOS!$F$4:$F$1000,MOVIMIENTOS!$C$4:$C$1000,A782,MOVIMIENTOS!$D$4:$D$1000,B782,MOVIMIENTOS!$E$4:$E$1000,C782,MOVIMIENTOS!$B$4:$B$1000,"DE REPROCESO")+SUMIFS(MOVIMIENTOS!$F$4:$F$1000,MOVIMIENTOS!$C$4:$C$1000,A782,MOVIMIENTOS!$D$4:$D$1000,B782,MOVIMIENTOS!$E$4:$E$1000,C782,MOVIMIENTOS!$B$4:$B$1000,"AJUSTE+")-SUMIFS(MOVIMIENTOS!$F$4:$F$1000,MOVIMIENTOS!$C$4:$C$1000,A782,MOVIMIENTOS!$D$4:$D$1000,B782,MOVIMIENTOS!$E$4:$E$1000,C782,MOVIMIENTOS!$B$4:$B$1000,"A CORTE")-SUMIFS(MOVIMIENTOS!$F$4:$F$1000,MOVIMIENTOS!$C$4:$C$1000,A782,MOVIMIENTOS!$D$4:$D$1000,B782,MOVIMIENTOS!$E$4:$E$1000,C782,MOVIMIENTOS!$B$4:$B$1000,"A REPROCESO")-SUMIFS(MOVIMIENTOS!$F$4:$F$1000,MOVIMIENTOS!$C$4:$C$1000,A782,MOVIMIENTOS!$D$4:$D$1000,B782,MOVIMIENTOS!$E$4:$E$1000,C782,MOVIMIENTOS!$B$4:$B$1000,"MUESTRA")-SUMIFS(MOVIMIENTOS!$F$4:$F$1000,MOVIMIENTOS!$C$4:$C$1000,A782,MOVIMIENTOS!$D$4:$D$1000,B782,MOVIMIENTOS!$E$4:$E$1000,C782,MOVIMIENTOS!$B$4:$B$1000,"AJUSTE-"),0)</f>
        <v>0</v>
      </c>
      <c r="F782" s="101">
        <f>IFERROR(E782*VLOOKUP(B782,TELAS!$A$4:$C$32,3,FALSE()),0)</f>
        <v>0</v>
      </c>
      <c r="G782" s="102">
        <f>IFERROR(IF(D782="OSCURO",VLOOKUP(B782,PRECIOS!$A$4:$F$32,2,FALSE()),IF(D782="CLARO",VLOOKUP(B782,PRECIOS!$A$4:$F$32,3,FALSE()),IF(D782="MELANGE",VLOOKUP(B782,PRECIOS!$A$4:$F$32,4,FALSE()),IF(D782="PPT",VLOOKUP(B782,PRECIOS!$A$4:$F$32,5,FALSE()),0)))),0)</f>
        <v>0</v>
      </c>
      <c r="H782" s="103">
        <f t="shared" si="1"/>
        <v>0</v>
      </c>
      <c r="I782" s="104" t="str">
        <f>IF(E782&lt;0,"ERROR",IF(E782=0,"",IF(E782&lt;CONFIG!$B$4,"CRÍTICO",IF(E782&lt;CONFIG!$B$5,"BAJO","OK"))))</f>
        <v/>
      </c>
    </row>
    <row r="783" ht="15.75" customHeight="1">
      <c r="A783" s="90" t="str">
        <f>IF(CLIENTES!A9="","",CLIENTES!A9)</f>
        <v/>
      </c>
      <c r="B783" s="67" t="str">
        <f>TELAS!A7</f>
        <v>french terry 24/1</v>
      </c>
      <c r="C783" s="67" t="str">
        <f>COLORES!A23</f>
        <v/>
      </c>
      <c r="D783" s="67" t="str">
        <f>COLORES!B23</f>
        <v/>
      </c>
      <c r="E783" s="100">
        <f>IFERROR(SUMIFS(MOVIMIENTOS!$F$4:$F$1000,MOVIMIENTOS!$C$4:$C$1000,A783,MOVIMIENTOS!$D$4:$D$1000,B783,MOVIMIENTOS!$E$4:$E$1000,C783,MOVIMIENTOS!$B$4:$B$1000,"INGRESO")+SUMIFS(MOVIMIENTOS!$F$4:$F$1000,MOVIMIENTOS!$C$4:$C$1000,A783,MOVIMIENTOS!$D$4:$D$1000,B783,MOVIMIENTOS!$E$4:$E$1000,C783,MOVIMIENTOS!$B$4:$B$1000,"DE REPROCESO")+SUMIFS(MOVIMIENTOS!$F$4:$F$1000,MOVIMIENTOS!$C$4:$C$1000,A783,MOVIMIENTOS!$D$4:$D$1000,B783,MOVIMIENTOS!$E$4:$E$1000,C783,MOVIMIENTOS!$B$4:$B$1000,"AJUSTE+")-SUMIFS(MOVIMIENTOS!$F$4:$F$1000,MOVIMIENTOS!$C$4:$C$1000,A783,MOVIMIENTOS!$D$4:$D$1000,B783,MOVIMIENTOS!$E$4:$E$1000,C783,MOVIMIENTOS!$B$4:$B$1000,"A CORTE")-SUMIFS(MOVIMIENTOS!$F$4:$F$1000,MOVIMIENTOS!$C$4:$C$1000,A783,MOVIMIENTOS!$D$4:$D$1000,B783,MOVIMIENTOS!$E$4:$E$1000,C783,MOVIMIENTOS!$B$4:$B$1000,"A REPROCESO")-SUMIFS(MOVIMIENTOS!$F$4:$F$1000,MOVIMIENTOS!$C$4:$C$1000,A783,MOVIMIENTOS!$D$4:$D$1000,B783,MOVIMIENTOS!$E$4:$E$1000,C783,MOVIMIENTOS!$B$4:$B$1000,"MUESTRA")-SUMIFS(MOVIMIENTOS!$F$4:$F$1000,MOVIMIENTOS!$C$4:$C$1000,A783,MOVIMIENTOS!$D$4:$D$1000,B783,MOVIMIENTOS!$E$4:$E$1000,C783,MOVIMIENTOS!$B$4:$B$1000,"AJUSTE-"),0)</f>
        <v>0</v>
      </c>
      <c r="F783" s="101">
        <f>IFERROR(E783*VLOOKUP(B783,TELAS!$A$4:$C$32,3,FALSE()),0)</f>
        <v>0</v>
      </c>
      <c r="G783" s="102">
        <f>IFERROR(IF(D783="OSCURO",VLOOKUP(B783,PRECIOS!$A$4:$F$32,2,FALSE()),IF(D783="CLARO",VLOOKUP(B783,PRECIOS!$A$4:$F$32,3,FALSE()),IF(D783="MELANGE",VLOOKUP(B783,PRECIOS!$A$4:$F$32,4,FALSE()),IF(D783="PPT",VLOOKUP(B783,PRECIOS!$A$4:$F$32,5,FALSE()),0)))),0)</f>
        <v>0</v>
      </c>
      <c r="H783" s="103">
        <f t="shared" si="1"/>
        <v>0</v>
      </c>
      <c r="I783" s="104" t="str">
        <f>IF(E783&lt;0,"ERROR",IF(E783=0,"",IF(E783&lt;CONFIG!$B$4,"CRÍTICO",IF(E783&lt;CONFIG!$B$5,"BAJO","OK"))))</f>
        <v/>
      </c>
    </row>
    <row r="784" ht="15.75" customHeight="1">
      <c r="A784" s="90" t="str">
        <f>IF(CLIENTES!A9="","",CLIENTES!A9)</f>
        <v/>
      </c>
      <c r="B784" s="67" t="str">
        <f>TELAS!A8</f>
        <v>rib 1x1</v>
      </c>
      <c r="C784" s="67" t="str">
        <f>COLORES!A4</f>
        <v>Negro</v>
      </c>
      <c r="D784" s="67" t="str">
        <f>COLORES!B4</f>
        <v>OSCURO</v>
      </c>
      <c r="E784" s="100">
        <f>IFERROR(SUMIFS(MOVIMIENTOS!$F$4:$F$1000,MOVIMIENTOS!$C$4:$C$1000,A784,MOVIMIENTOS!$D$4:$D$1000,B784,MOVIMIENTOS!$E$4:$E$1000,C784,MOVIMIENTOS!$B$4:$B$1000,"INGRESO")+SUMIFS(MOVIMIENTOS!$F$4:$F$1000,MOVIMIENTOS!$C$4:$C$1000,A784,MOVIMIENTOS!$D$4:$D$1000,B784,MOVIMIENTOS!$E$4:$E$1000,C784,MOVIMIENTOS!$B$4:$B$1000,"DE REPROCESO")+SUMIFS(MOVIMIENTOS!$F$4:$F$1000,MOVIMIENTOS!$C$4:$C$1000,A784,MOVIMIENTOS!$D$4:$D$1000,B784,MOVIMIENTOS!$E$4:$E$1000,C784,MOVIMIENTOS!$B$4:$B$1000,"AJUSTE+")-SUMIFS(MOVIMIENTOS!$F$4:$F$1000,MOVIMIENTOS!$C$4:$C$1000,A784,MOVIMIENTOS!$D$4:$D$1000,B784,MOVIMIENTOS!$E$4:$E$1000,C784,MOVIMIENTOS!$B$4:$B$1000,"A CORTE")-SUMIFS(MOVIMIENTOS!$F$4:$F$1000,MOVIMIENTOS!$C$4:$C$1000,A784,MOVIMIENTOS!$D$4:$D$1000,B784,MOVIMIENTOS!$E$4:$E$1000,C784,MOVIMIENTOS!$B$4:$B$1000,"A REPROCESO")-SUMIFS(MOVIMIENTOS!$F$4:$F$1000,MOVIMIENTOS!$C$4:$C$1000,A784,MOVIMIENTOS!$D$4:$D$1000,B784,MOVIMIENTOS!$E$4:$E$1000,C784,MOVIMIENTOS!$B$4:$B$1000,"MUESTRA")-SUMIFS(MOVIMIENTOS!$F$4:$F$1000,MOVIMIENTOS!$C$4:$C$1000,A784,MOVIMIENTOS!$D$4:$D$1000,B784,MOVIMIENTOS!$E$4:$E$1000,C784,MOVIMIENTOS!$B$4:$B$1000,"AJUSTE-"),0)</f>
        <v>0</v>
      </c>
      <c r="F784" s="101">
        <f>IFERROR(E784*VLOOKUP(B784,TELAS!$A$4:$C$32,3,FALSE()),0)</f>
        <v>0</v>
      </c>
      <c r="G784" s="102">
        <f>IFERROR(IF(D784="OSCURO",VLOOKUP(B784,PRECIOS!$A$4:$F$32,2,FALSE()),IF(D784="CLARO",VLOOKUP(B784,PRECIOS!$A$4:$F$32,3,FALSE()),IF(D784="MELANGE",VLOOKUP(B784,PRECIOS!$A$4:$F$32,4,FALSE()),IF(D784="PPT",VLOOKUP(B784,PRECIOS!$A$4:$F$32,5,FALSE()),0)))),0)</f>
        <v>24</v>
      </c>
      <c r="H784" s="103">
        <f t="shared" si="1"/>
        <v>0</v>
      </c>
      <c r="I784" s="104" t="str">
        <f>IF(E784&lt;0,"ERROR",IF(E784=0,"",IF(E784&lt;CONFIG!$B$4,"CRÍTICO",IF(E784&lt;CONFIG!$B$5,"BAJO","OK"))))</f>
        <v/>
      </c>
    </row>
    <row r="785" ht="15.75" customHeight="1">
      <c r="A785" s="90" t="str">
        <f>IF(CLIENTES!A9="","",CLIENTES!A9)</f>
        <v/>
      </c>
      <c r="B785" s="67" t="str">
        <f>TELAS!A8</f>
        <v>rib 1x1</v>
      </c>
      <c r="C785" s="67" t="str">
        <f>COLORES!A5</f>
        <v>Perla</v>
      </c>
      <c r="D785" s="67" t="str">
        <f>COLORES!B5</f>
        <v>PPT</v>
      </c>
      <c r="E785" s="100">
        <f>IFERROR(SUMIFS(MOVIMIENTOS!$F$4:$F$1000,MOVIMIENTOS!$C$4:$C$1000,A785,MOVIMIENTOS!$D$4:$D$1000,B785,MOVIMIENTOS!$E$4:$E$1000,C785,MOVIMIENTOS!$B$4:$B$1000,"INGRESO")+SUMIFS(MOVIMIENTOS!$F$4:$F$1000,MOVIMIENTOS!$C$4:$C$1000,A785,MOVIMIENTOS!$D$4:$D$1000,B785,MOVIMIENTOS!$E$4:$E$1000,C785,MOVIMIENTOS!$B$4:$B$1000,"DE REPROCESO")+SUMIFS(MOVIMIENTOS!$F$4:$F$1000,MOVIMIENTOS!$C$4:$C$1000,A785,MOVIMIENTOS!$D$4:$D$1000,B785,MOVIMIENTOS!$E$4:$E$1000,C785,MOVIMIENTOS!$B$4:$B$1000,"AJUSTE+")-SUMIFS(MOVIMIENTOS!$F$4:$F$1000,MOVIMIENTOS!$C$4:$C$1000,A785,MOVIMIENTOS!$D$4:$D$1000,B785,MOVIMIENTOS!$E$4:$E$1000,C785,MOVIMIENTOS!$B$4:$B$1000,"A CORTE")-SUMIFS(MOVIMIENTOS!$F$4:$F$1000,MOVIMIENTOS!$C$4:$C$1000,A785,MOVIMIENTOS!$D$4:$D$1000,B785,MOVIMIENTOS!$E$4:$E$1000,C785,MOVIMIENTOS!$B$4:$B$1000,"A REPROCESO")-SUMIFS(MOVIMIENTOS!$F$4:$F$1000,MOVIMIENTOS!$C$4:$C$1000,A785,MOVIMIENTOS!$D$4:$D$1000,B785,MOVIMIENTOS!$E$4:$E$1000,C785,MOVIMIENTOS!$B$4:$B$1000,"MUESTRA")-SUMIFS(MOVIMIENTOS!$F$4:$F$1000,MOVIMIENTOS!$C$4:$C$1000,A785,MOVIMIENTOS!$D$4:$D$1000,B785,MOVIMIENTOS!$E$4:$E$1000,C785,MOVIMIENTOS!$B$4:$B$1000,"AJUSTE-"),0)</f>
        <v>0</v>
      </c>
      <c r="F785" s="101">
        <f>IFERROR(E785*VLOOKUP(B785,TELAS!$A$4:$C$32,3,FALSE()),0)</f>
        <v>0</v>
      </c>
      <c r="G785" s="102">
        <f>IFERROR(IF(D785="OSCURO",VLOOKUP(B785,PRECIOS!$A$4:$F$32,2,FALSE()),IF(D785="CLARO",VLOOKUP(B785,PRECIOS!$A$4:$F$32,3,FALSE()),IF(D785="MELANGE",VLOOKUP(B785,PRECIOS!$A$4:$F$32,4,FALSE()),IF(D785="PPT",VLOOKUP(B785,PRECIOS!$A$4:$F$32,5,FALSE()),0)))),0)</f>
        <v>18</v>
      </c>
      <c r="H785" s="103">
        <f t="shared" si="1"/>
        <v>0</v>
      </c>
      <c r="I785" s="104" t="str">
        <f>IF(E785&lt;0,"ERROR",IF(E785=0,"",IF(E785&lt;CONFIG!$B$4,"CRÍTICO",IF(E785&lt;CONFIG!$B$5,"BAJO","OK"))))</f>
        <v/>
      </c>
    </row>
    <row r="786" ht="15.75" customHeight="1">
      <c r="A786" s="90" t="str">
        <f>IF(CLIENTES!A9="","",CLIENTES!A9)</f>
        <v/>
      </c>
      <c r="B786" s="67" t="str">
        <f>TELAS!A8</f>
        <v>rib 1x1</v>
      </c>
      <c r="C786" s="67" t="str">
        <f>COLORES!A6</f>
        <v>Blanco</v>
      </c>
      <c r="D786" s="67" t="str">
        <f>COLORES!B6</f>
        <v>PPT</v>
      </c>
      <c r="E786" s="100">
        <f>IFERROR(SUMIFS(MOVIMIENTOS!$F$4:$F$1000,MOVIMIENTOS!$C$4:$C$1000,A786,MOVIMIENTOS!$D$4:$D$1000,B786,MOVIMIENTOS!$E$4:$E$1000,C786,MOVIMIENTOS!$B$4:$B$1000,"INGRESO")+SUMIFS(MOVIMIENTOS!$F$4:$F$1000,MOVIMIENTOS!$C$4:$C$1000,A786,MOVIMIENTOS!$D$4:$D$1000,B786,MOVIMIENTOS!$E$4:$E$1000,C786,MOVIMIENTOS!$B$4:$B$1000,"DE REPROCESO")+SUMIFS(MOVIMIENTOS!$F$4:$F$1000,MOVIMIENTOS!$C$4:$C$1000,A786,MOVIMIENTOS!$D$4:$D$1000,B786,MOVIMIENTOS!$E$4:$E$1000,C786,MOVIMIENTOS!$B$4:$B$1000,"AJUSTE+")-SUMIFS(MOVIMIENTOS!$F$4:$F$1000,MOVIMIENTOS!$C$4:$C$1000,A786,MOVIMIENTOS!$D$4:$D$1000,B786,MOVIMIENTOS!$E$4:$E$1000,C786,MOVIMIENTOS!$B$4:$B$1000,"A CORTE")-SUMIFS(MOVIMIENTOS!$F$4:$F$1000,MOVIMIENTOS!$C$4:$C$1000,A786,MOVIMIENTOS!$D$4:$D$1000,B786,MOVIMIENTOS!$E$4:$E$1000,C786,MOVIMIENTOS!$B$4:$B$1000,"A REPROCESO")-SUMIFS(MOVIMIENTOS!$F$4:$F$1000,MOVIMIENTOS!$C$4:$C$1000,A786,MOVIMIENTOS!$D$4:$D$1000,B786,MOVIMIENTOS!$E$4:$E$1000,C786,MOVIMIENTOS!$B$4:$B$1000,"MUESTRA")-SUMIFS(MOVIMIENTOS!$F$4:$F$1000,MOVIMIENTOS!$C$4:$C$1000,A786,MOVIMIENTOS!$D$4:$D$1000,B786,MOVIMIENTOS!$E$4:$E$1000,C786,MOVIMIENTOS!$B$4:$B$1000,"AJUSTE-"),0)</f>
        <v>0</v>
      </c>
      <c r="F786" s="101">
        <f>IFERROR(E786*VLOOKUP(B786,TELAS!$A$4:$C$32,3,FALSE()),0)</f>
        <v>0</v>
      </c>
      <c r="G786" s="102">
        <f>IFERROR(IF(D786="OSCURO",VLOOKUP(B786,PRECIOS!$A$4:$F$32,2,FALSE()),IF(D786="CLARO",VLOOKUP(B786,PRECIOS!$A$4:$F$32,3,FALSE()),IF(D786="MELANGE",VLOOKUP(B786,PRECIOS!$A$4:$F$32,4,FALSE()),IF(D786="PPT",VLOOKUP(B786,PRECIOS!$A$4:$F$32,5,FALSE()),0)))),0)</f>
        <v>18</v>
      </c>
      <c r="H786" s="103">
        <f t="shared" si="1"/>
        <v>0</v>
      </c>
      <c r="I786" s="104" t="str">
        <f>IF(E786&lt;0,"ERROR",IF(E786=0,"",IF(E786&lt;CONFIG!$B$4,"CRÍTICO",IF(E786&lt;CONFIG!$B$5,"BAJO","OK"))))</f>
        <v/>
      </c>
    </row>
    <row r="787" ht="15.75" customHeight="1">
      <c r="A787" s="90" t="str">
        <f>IF(CLIENTES!A9="","",CLIENTES!A9)</f>
        <v/>
      </c>
      <c r="B787" s="67" t="str">
        <f>TELAS!A8</f>
        <v>rib 1x1</v>
      </c>
      <c r="C787" s="67" t="str">
        <f>COLORES!A7</f>
        <v>Azul</v>
      </c>
      <c r="D787" s="67" t="str">
        <f>COLORES!B7</f>
        <v>OSCURO</v>
      </c>
      <c r="E787" s="100">
        <f>IFERROR(SUMIFS(MOVIMIENTOS!$F$4:$F$1000,MOVIMIENTOS!$C$4:$C$1000,A787,MOVIMIENTOS!$D$4:$D$1000,B787,MOVIMIENTOS!$E$4:$E$1000,C787,MOVIMIENTOS!$B$4:$B$1000,"INGRESO")+SUMIFS(MOVIMIENTOS!$F$4:$F$1000,MOVIMIENTOS!$C$4:$C$1000,A787,MOVIMIENTOS!$D$4:$D$1000,B787,MOVIMIENTOS!$E$4:$E$1000,C787,MOVIMIENTOS!$B$4:$B$1000,"DE REPROCESO")+SUMIFS(MOVIMIENTOS!$F$4:$F$1000,MOVIMIENTOS!$C$4:$C$1000,A787,MOVIMIENTOS!$D$4:$D$1000,B787,MOVIMIENTOS!$E$4:$E$1000,C787,MOVIMIENTOS!$B$4:$B$1000,"AJUSTE+")-SUMIFS(MOVIMIENTOS!$F$4:$F$1000,MOVIMIENTOS!$C$4:$C$1000,A787,MOVIMIENTOS!$D$4:$D$1000,B787,MOVIMIENTOS!$E$4:$E$1000,C787,MOVIMIENTOS!$B$4:$B$1000,"A CORTE")-SUMIFS(MOVIMIENTOS!$F$4:$F$1000,MOVIMIENTOS!$C$4:$C$1000,A787,MOVIMIENTOS!$D$4:$D$1000,B787,MOVIMIENTOS!$E$4:$E$1000,C787,MOVIMIENTOS!$B$4:$B$1000,"A REPROCESO")-SUMIFS(MOVIMIENTOS!$F$4:$F$1000,MOVIMIENTOS!$C$4:$C$1000,A787,MOVIMIENTOS!$D$4:$D$1000,B787,MOVIMIENTOS!$E$4:$E$1000,C787,MOVIMIENTOS!$B$4:$B$1000,"MUESTRA")-SUMIFS(MOVIMIENTOS!$F$4:$F$1000,MOVIMIENTOS!$C$4:$C$1000,A787,MOVIMIENTOS!$D$4:$D$1000,B787,MOVIMIENTOS!$E$4:$E$1000,C787,MOVIMIENTOS!$B$4:$B$1000,"AJUSTE-"),0)</f>
        <v>0</v>
      </c>
      <c r="F787" s="101">
        <f>IFERROR(E787*VLOOKUP(B787,TELAS!$A$4:$C$32,3,FALSE()),0)</f>
        <v>0</v>
      </c>
      <c r="G787" s="102">
        <f>IFERROR(IF(D787="OSCURO",VLOOKUP(B787,PRECIOS!$A$4:$F$32,2,FALSE()),IF(D787="CLARO",VLOOKUP(B787,PRECIOS!$A$4:$F$32,3,FALSE()),IF(D787="MELANGE",VLOOKUP(B787,PRECIOS!$A$4:$F$32,4,FALSE()),IF(D787="PPT",VLOOKUP(B787,PRECIOS!$A$4:$F$32,5,FALSE()),0)))),0)</f>
        <v>24</v>
      </c>
      <c r="H787" s="103">
        <f t="shared" si="1"/>
        <v>0</v>
      </c>
      <c r="I787" s="104" t="str">
        <f>IF(E787&lt;0,"ERROR",IF(E787=0,"",IF(E787&lt;CONFIG!$B$4,"CRÍTICO",IF(E787&lt;CONFIG!$B$5,"BAJO","OK"))))</f>
        <v/>
      </c>
    </row>
    <row r="788" ht="15.75" customHeight="1">
      <c r="A788" s="90" t="str">
        <f>IF(CLIENTES!A9="","",CLIENTES!A9)</f>
        <v/>
      </c>
      <c r="B788" s="67" t="str">
        <f>TELAS!A8</f>
        <v>rib 1x1</v>
      </c>
      <c r="C788" s="67" t="str">
        <f>COLORES!A8</f>
        <v>Beige</v>
      </c>
      <c r="D788" s="67" t="str">
        <f>COLORES!B8</f>
        <v>CLARO</v>
      </c>
      <c r="E788" s="100">
        <f>IFERROR(SUMIFS(MOVIMIENTOS!$F$4:$F$1000,MOVIMIENTOS!$C$4:$C$1000,A788,MOVIMIENTOS!$D$4:$D$1000,B788,MOVIMIENTOS!$E$4:$E$1000,C788,MOVIMIENTOS!$B$4:$B$1000,"INGRESO")+SUMIFS(MOVIMIENTOS!$F$4:$F$1000,MOVIMIENTOS!$C$4:$C$1000,A788,MOVIMIENTOS!$D$4:$D$1000,B788,MOVIMIENTOS!$E$4:$E$1000,C788,MOVIMIENTOS!$B$4:$B$1000,"DE REPROCESO")+SUMIFS(MOVIMIENTOS!$F$4:$F$1000,MOVIMIENTOS!$C$4:$C$1000,A788,MOVIMIENTOS!$D$4:$D$1000,B788,MOVIMIENTOS!$E$4:$E$1000,C788,MOVIMIENTOS!$B$4:$B$1000,"AJUSTE+")-SUMIFS(MOVIMIENTOS!$F$4:$F$1000,MOVIMIENTOS!$C$4:$C$1000,A788,MOVIMIENTOS!$D$4:$D$1000,B788,MOVIMIENTOS!$E$4:$E$1000,C788,MOVIMIENTOS!$B$4:$B$1000,"A CORTE")-SUMIFS(MOVIMIENTOS!$F$4:$F$1000,MOVIMIENTOS!$C$4:$C$1000,A788,MOVIMIENTOS!$D$4:$D$1000,B788,MOVIMIENTOS!$E$4:$E$1000,C788,MOVIMIENTOS!$B$4:$B$1000,"A REPROCESO")-SUMIFS(MOVIMIENTOS!$F$4:$F$1000,MOVIMIENTOS!$C$4:$C$1000,A788,MOVIMIENTOS!$D$4:$D$1000,B788,MOVIMIENTOS!$E$4:$E$1000,C788,MOVIMIENTOS!$B$4:$B$1000,"MUESTRA")-SUMIFS(MOVIMIENTOS!$F$4:$F$1000,MOVIMIENTOS!$C$4:$C$1000,A788,MOVIMIENTOS!$D$4:$D$1000,B788,MOVIMIENTOS!$E$4:$E$1000,C788,MOVIMIENTOS!$B$4:$B$1000,"AJUSTE-"),0)</f>
        <v>0</v>
      </c>
      <c r="F788" s="101">
        <f>IFERROR(E788*VLOOKUP(B788,TELAS!$A$4:$C$32,3,FALSE()),0)</f>
        <v>0</v>
      </c>
      <c r="G788" s="102">
        <f>IFERROR(IF(D788="OSCURO",VLOOKUP(B788,PRECIOS!$A$4:$F$32,2,FALSE()),IF(D788="CLARO",VLOOKUP(B788,PRECIOS!$A$4:$F$32,3,FALSE()),IF(D788="MELANGE",VLOOKUP(B788,PRECIOS!$A$4:$F$32,4,FALSE()),IF(D788="PPT",VLOOKUP(B788,PRECIOS!$A$4:$F$32,5,FALSE()),0)))),0)</f>
        <v>21</v>
      </c>
      <c r="H788" s="103">
        <f t="shared" si="1"/>
        <v>0</v>
      </c>
      <c r="I788" s="104" t="str">
        <f>IF(E788&lt;0,"ERROR",IF(E788=0,"",IF(E788&lt;CONFIG!$B$4,"CRÍTICO",IF(E788&lt;CONFIG!$B$5,"BAJO","OK"))))</f>
        <v/>
      </c>
    </row>
    <row r="789" ht="15.75" customHeight="1">
      <c r="A789" s="90" t="str">
        <f>IF(CLIENTES!A9="","",CLIENTES!A9)</f>
        <v/>
      </c>
      <c r="B789" s="67" t="str">
        <f>TELAS!A8</f>
        <v>rib 1x1</v>
      </c>
      <c r="C789" s="67" t="str">
        <f>COLORES!A9</f>
        <v>Melange</v>
      </c>
      <c r="D789" s="67" t="str">
        <f>COLORES!B9</f>
        <v>MELANGE</v>
      </c>
      <c r="E789" s="100">
        <f>IFERROR(SUMIFS(MOVIMIENTOS!$F$4:$F$1000,MOVIMIENTOS!$C$4:$C$1000,A789,MOVIMIENTOS!$D$4:$D$1000,B789,MOVIMIENTOS!$E$4:$E$1000,C789,MOVIMIENTOS!$B$4:$B$1000,"INGRESO")+SUMIFS(MOVIMIENTOS!$F$4:$F$1000,MOVIMIENTOS!$C$4:$C$1000,A789,MOVIMIENTOS!$D$4:$D$1000,B789,MOVIMIENTOS!$E$4:$E$1000,C789,MOVIMIENTOS!$B$4:$B$1000,"DE REPROCESO")+SUMIFS(MOVIMIENTOS!$F$4:$F$1000,MOVIMIENTOS!$C$4:$C$1000,A789,MOVIMIENTOS!$D$4:$D$1000,B789,MOVIMIENTOS!$E$4:$E$1000,C789,MOVIMIENTOS!$B$4:$B$1000,"AJUSTE+")-SUMIFS(MOVIMIENTOS!$F$4:$F$1000,MOVIMIENTOS!$C$4:$C$1000,A789,MOVIMIENTOS!$D$4:$D$1000,B789,MOVIMIENTOS!$E$4:$E$1000,C789,MOVIMIENTOS!$B$4:$B$1000,"A CORTE")-SUMIFS(MOVIMIENTOS!$F$4:$F$1000,MOVIMIENTOS!$C$4:$C$1000,A789,MOVIMIENTOS!$D$4:$D$1000,B789,MOVIMIENTOS!$E$4:$E$1000,C789,MOVIMIENTOS!$B$4:$B$1000,"A REPROCESO")-SUMIFS(MOVIMIENTOS!$F$4:$F$1000,MOVIMIENTOS!$C$4:$C$1000,A789,MOVIMIENTOS!$D$4:$D$1000,B789,MOVIMIENTOS!$E$4:$E$1000,C789,MOVIMIENTOS!$B$4:$B$1000,"MUESTRA")-SUMIFS(MOVIMIENTOS!$F$4:$F$1000,MOVIMIENTOS!$C$4:$C$1000,A789,MOVIMIENTOS!$D$4:$D$1000,B789,MOVIMIENTOS!$E$4:$E$1000,C789,MOVIMIENTOS!$B$4:$B$1000,"AJUSTE-"),0)</f>
        <v>0</v>
      </c>
      <c r="F789" s="101">
        <f>IFERROR(E789*VLOOKUP(B789,TELAS!$A$4:$C$32,3,FALSE()),0)</f>
        <v>0</v>
      </c>
      <c r="G789" s="102">
        <f>IFERROR(IF(D789="OSCURO",VLOOKUP(B789,PRECIOS!$A$4:$F$32,2,FALSE()),IF(D789="CLARO",VLOOKUP(B789,PRECIOS!$A$4:$F$32,3,FALSE()),IF(D789="MELANGE",VLOOKUP(B789,PRECIOS!$A$4:$F$32,4,FALSE()),IF(D789="PPT",VLOOKUP(B789,PRECIOS!$A$4:$F$32,5,FALSE()),0)))),0)</f>
        <v>18</v>
      </c>
      <c r="H789" s="103">
        <f t="shared" si="1"/>
        <v>0</v>
      </c>
      <c r="I789" s="104" t="str">
        <f>IF(E789&lt;0,"ERROR",IF(E789=0,"",IF(E789&lt;CONFIG!$B$4,"CRÍTICO",IF(E789&lt;CONFIG!$B$5,"BAJO","OK"))))</f>
        <v/>
      </c>
    </row>
    <row r="790" ht="15.75" customHeight="1">
      <c r="A790" s="90" t="str">
        <f>IF(CLIENTES!A9="","",CLIENTES!A9)</f>
        <v/>
      </c>
      <c r="B790" s="67" t="str">
        <f>TELAS!A8</f>
        <v>rib 1x1</v>
      </c>
      <c r="C790" s="67" t="str">
        <f>COLORES!A10</f>
        <v>Botella</v>
      </c>
      <c r="D790" s="67" t="str">
        <f>COLORES!B10</f>
        <v>OSCURO</v>
      </c>
      <c r="E790" s="100">
        <f>IFERROR(SUMIFS(MOVIMIENTOS!$F$4:$F$1000,MOVIMIENTOS!$C$4:$C$1000,A790,MOVIMIENTOS!$D$4:$D$1000,B790,MOVIMIENTOS!$E$4:$E$1000,C790,MOVIMIENTOS!$B$4:$B$1000,"INGRESO")+SUMIFS(MOVIMIENTOS!$F$4:$F$1000,MOVIMIENTOS!$C$4:$C$1000,A790,MOVIMIENTOS!$D$4:$D$1000,B790,MOVIMIENTOS!$E$4:$E$1000,C790,MOVIMIENTOS!$B$4:$B$1000,"DE REPROCESO")+SUMIFS(MOVIMIENTOS!$F$4:$F$1000,MOVIMIENTOS!$C$4:$C$1000,A790,MOVIMIENTOS!$D$4:$D$1000,B790,MOVIMIENTOS!$E$4:$E$1000,C790,MOVIMIENTOS!$B$4:$B$1000,"AJUSTE+")-SUMIFS(MOVIMIENTOS!$F$4:$F$1000,MOVIMIENTOS!$C$4:$C$1000,A790,MOVIMIENTOS!$D$4:$D$1000,B790,MOVIMIENTOS!$E$4:$E$1000,C790,MOVIMIENTOS!$B$4:$B$1000,"A CORTE")-SUMIFS(MOVIMIENTOS!$F$4:$F$1000,MOVIMIENTOS!$C$4:$C$1000,A790,MOVIMIENTOS!$D$4:$D$1000,B790,MOVIMIENTOS!$E$4:$E$1000,C790,MOVIMIENTOS!$B$4:$B$1000,"A REPROCESO")-SUMIFS(MOVIMIENTOS!$F$4:$F$1000,MOVIMIENTOS!$C$4:$C$1000,A790,MOVIMIENTOS!$D$4:$D$1000,B790,MOVIMIENTOS!$E$4:$E$1000,C790,MOVIMIENTOS!$B$4:$B$1000,"MUESTRA")-SUMIFS(MOVIMIENTOS!$F$4:$F$1000,MOVIMIENTOS!$C$4:$C$1000,A790,MOVIMIENTOS!$D$4:$D$1000,B790,MOVIMIENTOS!$E$4:$E$1000,C790,MOVIMIENTOS!$B$4:$B$1000,"AJUSTE-"),0)</f>
        <v>0</v>
      </c>
      <c r="F790" s="101">
        <f>IFERROR(E790*VLOOKUP(B790,TELAS!$A$4:$C$32,3,FALSE()),0)</f>
        <v>0</v>
      </c>
      <c r="G790" s="102">
        <f>IFERROR(IF(D790="OSCURO",VLOOKUP(B790,PRECIOS!$A$4:$F$32,2,FALSE()),IF(D790="CLARO",VLOOKUP(B790,PRECIOS!$A$4:$F$32,3,FALSE()),IF(D790="MELANGE",VLOOKUP(B790,PRECIOS!$A$4:$F$32,4,FALSE()),IF(D790="PPT",VLOOKUP(B790,PRECIOS!$A$4:$F$32,5,FALSE()),0)))),0)</f>
        <v>24</v>
      </c>
      <c r="H790" s="103">
        <f t="shared" si="1"/>
        <v>0</v>
      </c>
      <c r="I790" s="104" t="str">
        <f>IF(E790&lt;0,"ERROR",IF(E790=0,"",IF(E790&lt;CONFIG!$B$4,"CRÍTICO",IF(E790&lt;CONFIG!$B$5,"BAJO","OK"))))</f>
        <v/>
      </c>
    </row>
    <row r="791" ht="15.75" customHeight="1">
      <c r="A791" s="90" t="str">
        <f>IF(CLIENTES!A9="","",CLIENTES!A9)</f>
        <v/>
      </c>
      <c r="B791" s="67" t="str">
        <f>TELAS!A8</f>
        <v>rib 1x1</v>
      </c>
      <c r="C791" s="67" t="str">
        <f>COLORES!A11</f>
        <v>Pacay</v>
      </c>
      <c r="D791" s="67" t="str">
        <f>COLORES!B11</f>
        <v>CLARO</v>
      </c>
      <c r="E791" s="100">
        <f>IFERROR(SUMIFS(MOVIMIENTOS!$F$4:$F$1000,MOVIMIENTOS!$C$4:$C$1000,A791,MOVIMIENTOS!$D$4:$D$1000,B791,MOVIMIENTOS!$E$4:$E$1000,C791,MOVIMIENTOS!$B$4:$B$1000,"INGRESO")+SUMIFS(MOVIMIENTOS!$F$4:$F$1000,MOVIMIENTOS!$C$4:$C$1000,A791,MOVIMIENTOS!$D$4:$D$1000,B791,MOVIMIENTOS!$E$4:$E$1000,C791,MOVIMIENTOS!$B$4:$B$1000,"DE REPROCESO")+SUMIFS(MOVIMIENTOS!$F$4:$F$1000,MOVIMIENTOS!$C$4:$C$1000,A791,MOVIMIENTOS!$D$4:$D$1000,B791,MOVIMIENTOS!$E$4:$E$1000,C791,MOVIMIENTOS!$B$4:$B$1000,"AJUSTE+")-SUMIFS(MOVIMIENTOS!$F$4:$F$1000,MOVIMIENTOS!$C$4:$C$1000,A791,MOVIMIENTOS!$D$4:$D$1000,B791,MOVIMIENTOS!$E$4:$E$1000,C791,MOVIMIENTOS!$B$4:$B$1000,"A CORTE")-SUMIFS(MOVIMIENTOS!$F$4:$F$1000,MOVIMIENTOS!$C$4:$C$1000,A791,MOVIMIENTOS!$D$4:$D$1000,B791,MOVIMIENTOS!$E$4:$E$1000,C791,MOVIMIENTOS!$B$4:$B$1000,"A REPROCESO")-SUMIFS(MOVIMIENTOS!$F$4:$F$1000,MOVIMIENTOS!$C$4:$C$1000,A791,MOVIMIENTOS!$D$4:$D$1000,B791,MOVIMIENTOS!$E$4:$E$1000,C791,MOVIMIENTOS!$B$4:$B$1000,"MUESTRA")-SUMIFS(MOVIMIENTOS!$F$4:$F$1000,MOVIMIENTOS!$C$4:$C$1000,A791,MOVIMIENTOS!$D$4:$D$1000,B791,MOVIMIENTOS!$E$4:$E$1000,C791,MOVIMIENTOS!$B$4:$B$1000,"AJUSTE-"),0)</f>
        <v>0</v>
      </c>
      <c r="F791" s="101">
        <f>IFERROR(E791*VLOOKUP(B791,TELAS!$A$4:$C$32,3,FALSE()),0)</f>
        <v>0</v>
      </c>
      <c r="G791" s="102">
        <f>IFERROR(IF(D791="OSCURO",VLOOKUP(B791,PRECIOS!$A$4:$F$32,2,FALSE()),IF(D791="CLARO",VLOOKUP(B791,PRECIOS!$A$4:$F$32,3,FALSE()),IF(D791="MELANGE",VLOOKUP(B791,PRECIOS!$A$4:$F$32,4,FALSE()),IF(D791="PPT",VLOOKUP(B791,PRECIOS!$A$4:$F$32,5,FALSE()),0)))),0)</f>
        <v>21</v>
      </c>
      <c r="H791" s="103">
        <f t="shared" si="1"/>
        <v>0</v>
      </c>
      <c r="I791" s="104" t="str">
        <f>IF(E791&lt;0,"ERROR",IF(E791=0,"",IF(E791&lt;CONFIG!$B$4,"CRÍTICO",IF(E791&lt;CONFIG!$B$5,"BAJO","OK"))))</f>
        <v/>
      </c>
    </row>
    <row r="792" ht="15.75" customHeight="1">
      <c r="A792" s="90" t="str">
        <f>IF(CLIENTES!A9="","",CLIENTES!A9)</f>
        <v/>
      </c>
      <c r="B792" s="67" t="str">
        <f>TELAS!A8</f>
        <v>rib 1x1</v>
      </c>
      <c r="C792" s="67" t="str">
        <f>COLORES!A12</f>
        <v>Cemento</v>
      </c>
      <c r="D792" s="67" t="str">
        <f>COLORES!B12</f>
        <v>CLARO</v>
      </c>
      <c r="E792" s="100">
        <f>IFERROR(SUMIFS(MOVIMIENTOS!$F$4:$F$1000,MOVIMIENTOS!$C$4:$C$1000,A792,MOVIMIENTOS!$D$4:$D$1000,B792,MOVIMIENTOS!$E$4:$E$1000,C792,MOVIMIENTOS!$B$4:$B$1000,"INGRESO")+SUMIFS(MOVIMIENTOS!$F$4:$F$1000,MOVIMIENTOS!$C$4:$C$1000,A792,MOVIMIENTOS!$D$4:$D$1000,B792,MOVIMIENTOS!$E$4:$E$1000,C792,MOVIMIENTOS!$B$4:$B$1000,"DE REPROCESO")+SUMIFS(MOVIMIENTOS!$F$4:$F$1000,MOVIMIENTOS!$C$4:$C$1000,A792,MOVIMIENTOS!$D$4:$D$1000,B792,MOVIMIENTOS!$E$4:$E$1000,C792,MOVIMIENTOS!$B$4:$B$1000,"AJUSTE+")-SUMIFS(MOVIMIENTOS!$F$4:$F$1000,MOVIMIENTOS!$C$4:$C$1000,A792,MOVIMIENTOS!$D$4:$D$1000,B792,MOVIMIENTOS!$E$4:$E$1000,C792,MOVIMIENTOS!$B$4:$B$1000,"A CORTE")-SUMIFS(MOVIMIENTOS!$F$4:$F$1000,MOVIMIENTOS!$C$4:$C$1000,A792,MOVIMIENTOS!$D$4:$D$1000,B792,MOVIMIENTOS!$E$4:$E$1000,C792,MOVIMIENTOS!$B$4:$B$1000,"A REPROCESO")-SUMIFS(MOVIMIENTOS!$F$4:$F$1000,MOVIMIENTOS!$C$4:$C$1000,A792,MOVIMIENTOS!$D$4:$D$1000,B792,MOVIMIENTOS!$E$4:$E$1000,C792,MOVIMIENTOS!$B$4:$B$1000,"MUESTRA")-SUMIFS(MOVIMIENTOS!$F$4:$F$1000,MOVIMIENTOS!$C$4:$C$1000,A792,MOVIMIENTOS!$D$4:$D$1000,B792,MOVIMIENTOS!$E$4:$E$1000,C792,MOVIMIENTOS!$B$4:$B$1000,"AJUSTE-"),0)</f>
        <v>0</v>
      </c>
      <c r="F792" s="101">
        <f>IFERROR(E792*VLOOKUP(B792,TELAS!$A$4:$C$32,3,FALSE()),0)</f>
        <v>0</v>
      </c>
      <c r="G792" s="102">
        <f>IFERROR(IF(D792="OSCURO",VLOOKUP(B792,PRECIOS!$A$4:$F$32,2,FALSE()),IF(D792="CLARO",VLOOKUP(B792,PRECIOS!$A$4:$F$32,3,FALSE()),IF(D792="MELANGE",VLOOKUP(B792,PRECIOS!$A$4:$F$32,4,FALSE()),IF(D792="PPT",VLOOKUP(B792,PRECIOS!$A$4:$F$32,5,FALSE()),0)))),0)</f>
        <v>21</v>
      </c>
      <c r="H792" s="103">
        <f t="shared" si="1"/>
        <v>0</v>
      </c>
      <c r="I792" s="104" t="str">
        <f>IF(E792&lt;0,"ERROR",IF(E792=0,"",IF(E792&lt;CONFIG!$B$4,"CRÍTICO",IF(E792&lt;CONFIG!$B$5,"BAJO","OK"))))</f>
        <v/>
      </c>
    </row>
    <row r="793" ht="15.75" customHeight="1">
      <c r="A793" s="90" t="str">
        <f>IF(CLIENTES!A9="","",CLIENTES!A9)</f>
        <v/>
      </c>
      <c r="B793" s="67" t="str">
        <f>TELAS!A8</f>
        <v>rib 1x1</v>
      </c>
      <c r="C793" s="67" t="str">
        <f>COLORES!A13</f>
        <v>Camote</v>
      </c>
      <c r="D793" s="67" t="str">
        <f>COLORES!B13</f>
        <v>CLARO</v>
      </c>
      <c r="E793" s="100">
        <f>IFERROR(SUMIFS(MOVIMIENTOS!$F$4:$F$1000,MOVIMIENTOS!$C$4:$C$1000,A793,MOVIMIENTOS!$D$4:$D$1000,B793,MOVIMIENTOS!$E$4:$E$1000,C793,MOVIMIENTOS!$B$4:$B$1000,"INGRESO")+SUMIFS(MOVIMIENTOS!$F$4:$F$1000,MOVIMIENTOS!$C$4:$C$1000,A793,MOVIMIENTOS!$D$4:$D$1000,B793,MOVIMIENTOS!$E$4:$E$1000,C793,MOVIMIENTOS!$B$4:$B$1000,"DE REPROCESO")+SUMIFS(MOVIMIENTOS!$F$4:$F$1000,MOVIMIENTOS!$C$4:$C$1000,A793,MOVIMIENTOS!$D$4:$D$1000,B793,MOVIMIENTOS!$E$4:$E$1000,C793,MOVIMIENTOS!$B$4:$B$1000,"AJUSTE+")-SUMIFS(MOVIMIENTOS!$F$4:$F$1000,MOVIMIENTOS!$C$4:$C$1000,A793,MOVIMIENTOS!$D$4:$D$1000,B793,MOVIMIENTOS!$E$4:$E$1000,C793,MOVIMIENTOS!$B$4:$B$1000,"A CORTE")-SUMIFS(MOVIMIENTOS!$F$4:$F$1000,MOVIMIENTOS!$C$4:$C$1000,A793,MOVIMIENTOS!$D$4:$D$1000,B793,MOVIMIENTOS!$E$4:$E$1000,C793,MOVIMIENTOS!$B$4:$B$1000,"A REPROCESO")-SUMIFS(MOVIMIENTOS!$F$4:$F$1000,MOVIMIENTOS!$C$4:$C$1000,A793,MOVIMIENTOS!$D$4:$D$1000,B793,MOVIMIENTOS!$E$4:$E$1000,C793,MOVIMIENTOS!$B$4:$B$1000,"MUESTRA")-SUMIFS(MOVIMIENTOS!$F$4:$F$1000,MOVIMIENTOS!$C$4:$C$1000,A793,MOVIMIENTOS!$D$4:$D$1000,B793,MOVIMIENTOS!$E$4:$E$1000,C793,MOVIMIENTOS!$B$4:$B$1000,"AJUSTE-"),0)</f>
        <v>0</v>
      </c>
      <c r="F793" s="101">
        <f>IFERROR(E793*VLOOKUP(B793,TELAS!$A$4:$C$32,3,FALSE()),0)</f>
        <v>0</v>
      </c>
      <c r="G793" s="102">
        <f>IFERROR(IF(D793="OSCURO",VLOOKUP(B793,PRECIOS!$A$4:$F$32,2,FALSE()),IF(D793="CLARO",VLOOKUP(B793,PRECIOS!$A$4:$F$32,3,FALSE()),IF(D793="MELANGE",VLOOKUP(B793,PRECIOS!$A$4:$F$32,4,FALSE()),IF(D793="PPT",VLOOKUP(B793,PRECIOS!$A$4:$F$32,5,FALSE()),0)))),0)</f>
        <v>21</v>
      </c>
      <c r="H793" s="103">
        <f t="shared" si="1"/>
        <v>0</v>
      </c>
      <c r="I793" s="104" t="str">
        <f>IF(E793&lt;0,"ERROR",IF(E793=0,"",IF(E793&lt;CONFIG!$B$4,"CRÍTICO",IF(E793&lt;CONFIG!$B$5,"BAJO","OK"))))</f>
        <v/>
      </c>
    </row>
    <row r="794" ht="15.75" customHeight="1">
      <c r="A794" s="90" t="str">
        <f>IF(CLIENTES!A9="","",CLIENTES!A9)</f>
        <v/>
      </c>
      <c r="B794" s="67" t="str">
        <f>TELAS!A8</f>
        <v>rib 1x1</v>
      </c>
      <c r="C794" s="67" t="str">
        <f>COLORES!A14</f>
        <v>Denim</v>
      </c>
      <c r="D794" s="67" t="str">
        <f>COLORES!B14</f>
        <v>CLARO</v>
      </c>
      <c r="E794" s="100">
        <f>IFERROR(SUMIFS(MOVIMIENTOS!$F$4:$F$1000,MOVIMIENTOS!$C$4:$C$1000,A794,MOVIMIENTOS!$D$4:$D$1000,B794,MOVIMIENTOS!$E$4:$E$1000,C794,MOVIMIENTOS!$B$4:$B$1000,"INGRESO")+SUMIFS(MOVIMIENTOS!$F$4:$F$1000,MOVIMIENTOS!$C$4:$C$1000,A794,MOVIMIENTOS!$D$4:$D$1000,B794,MOVIMIENTOS!$E$4:$E$1000,C794,MOVIMIENTOS!$B$4:$B$1000,"DE REPROCESO")+SUMIFS(MOVIMIENTOS!$F$4:$F$1000,MOVIMIENTOS!$C$4:$C$1000,A794,MOVIMIENTOS!$D$4:$D$1000,B794,MOVIMIENTOS!$E$4:$E$1000,C794,MOVIMIENTOS!$B$4:$B$1000,"AJUSTE+")-SUMIFS(MOVIMIENTOS!$F$4:$F$1000,MOVIMIENTOS!$C$4:$C$1000,A794,MOVIMIENTOS!$D$4:$D$1000,B794,MOVIMIENTOS!$E$4:$E$1000,C794,MOVIMIENTOS!$B$4:$B$1000,"A CORTE")-SUMIFS(MOVIMIENTOS!$F$4:$F$1000,MOVIMIENTOS!$C$4:$C$1000,A794,MOVIMIENTOS!$D$4:$D$1000,B794,MOVIMIENTOS!$E$4:$E$1000,C794,MOVIMIENTOS!$B$4:$B$1000,"A REPROCESO")-SUMIFS(MOVIMIENTOS!$F$4:$F$1000,MOVIMIENTOS!$C$4:$C$1000,A794,MOVIMIENTOS!$D$4:$D$1000,B794,MOVIMIENTOS!$E$4:$E$1000,C794,MOVIMIENTOS!$B$4:$B$1000,"MUESTRA")-SUMIFS(MOVIMIENTOS!$F$4:$F$1000,MOVIMIENTOS!$C$4:$C$1000,A794,MOVIMIENTOS!$D$4:$D$1000,B794,MOVIMIENTOS!$E$4:$E$1000,C794,MOVIMIENTOS!$B$4:$B$1000,"AJUSTE-"),0)</f>
        <v>0</v>
      </c>
      <c r="F794" s="101">
        <f>IFERROR(E794*VLOOKUP(B794,TELAS!$A$4:$C$32,3,FALSE()),0)</f>
        <v>0</v>
      </c>
      <c r="G794" s="102">
        <f>IFERROR(IF(D794="OSCURO",VLOOKUP(B794,PRECIOS!$A$4:$F$32,2,FALSE()),IF(D794="CLARO",VLOOKUP(B794,PRECIOS!$A$4:$F$32,3,FALSE()),IF(D794="MELANGE",VLOOKUP(B794,PRECIOS!$A$4:$F$32,4,FALSE()),IF(D794="PPT",VLOOKUP(B794,PRECIOS!$A$4:$F$32,5,FALSE()),0)))),0)</f>
        <v>21</v>
      </c>
      <c r="H794" s="103">
        <f t="shared" si="1"/>
        <v>0</v>
      </c>
      <c r="I794" s="104" t="str">
        <f>IF(E794&lt;0,"ERROR",IF(E794=0,"",IF(E794&lt;CONFIG!$B$4,"CRÍTICO",IF(E794&lt;CONFIG!$B$5,"BAJO","OK"))))</f>
        <v/>
      </c>
    </row>
    <row r="795" ht="15.75" customHeight="1">
      <c r="A795" s="90" t="str">
        <f>IF(CLIENTES!A9="","",CLIENTES!A9)</f>
        <v/>
      </c>
      <c r="B795" s="67" t="str">
        <f>TELAS!A8</f>
        <v>rib 1x1</v>
      </c>
      <c r="C795" s="67" t="str">
        <f>COLORES!A15</f>
        <v>Plomo</v>
      </c>
      <c r="D795" s="67" t="str">
        <f>COLORES!B15</f>
        <v>OSCURO</v>
      </c>
      <c r="E795" s="100">
        <f>IFERROR(SUMIFS(MOVIMIENTOS!$F$4:$F$1000,MOVIMIENTOS!$C$4:$C$1000,A795,MOVIMIENTOS!$D$4:$D$1000,B795,MOVIMIENTOS!$E$4:$E$1000,C795,MOVIMIENTOS!$B$4:$B$1000,"INGRESO")+SUMIFS(MOVIMIENTOS!$F$4:$F$1000,MOVIMIENTOS!$C$4:$C$1000,A795,MOVIMIENTOS!$D$4:$D$1000,B795,MOVIMIENTOS!$E$4:$E$1000,C795,MOVIMIENTOS!$B$4:$B$1000,"DE REPROCESO")+SUMIFS(MOVIMIENTOS!$F$4:$F$1000,MOVIMIENTOS!$C$4:$C$1000,A795,MOVIMIENTOS!$D$4:$D$1000,B795,MOVIMIENTOS!$E$4:$E$1000,C795,MOVIMIENTOS!$B$4:$B$1000,"AJUSTE+")-SUMIFS(MOVIMIENTOS!$F$4:$F$1000,MOVIMIENTOS!$C$4:$C$1000,A795,MOVIMIENTOS!$D$4:$D$1000,B795,MOVIMIENTOS!$E$4:$E$1000,C795,MOVIMIENTOS!$B$4:$B$1000,"A CORTE")-SUMIFS(MOVIMIENTOS!$F$4:$F$1000,MOVIMIENTOS!$C$4:$C$1000,A795,MOVIMIENTOS!$D$4:$D$1000,B795,MOVIMIENTOS!$E$4:$E$1000,C795,MOVIMIENTOS!$B$4:$B$1000,"A REPROCESO")-SUMIFS(MOVIMIENTOS!$F$4:$F$1000,MOVIMIENTOS!$C$4:$C$1000,A795,MOVIMIENTOS!$D$4:$D$1000,B795,MOVIMIENTOS!$E$4:$E$1000,C795,MOVIMIENTOS!$B$4:$B$1000,"MUESTRA")-SUMIFS(MOVIMIENTOS!$F$4:$F$1000,MOVIMIENTOS!$C$4:$C$1000,A795,MOVIMIENTOS!$D$4:$D$1000,B795,MOVIMIENTOS!$E$4:$E$1000,C795,MOVIMIENTOS!$B$4:$B$1000,"AJUSTE-"),0)</f>
        <v>0</v>
      </c>
      <c r="F795" s="101">
        <f>IFERROR(E795*VLOOKUP(B795,TELAS!$A$4:$C$32,3,FALSE()),0)</f>
        <v>0</v>
      </c>
      <c r="G795" s="102">
        <f>IFERROR(IF(D795="OSCURO",VLOOKUP(B795,PRECIOS!$A$4:$F$32,2,FALSE()),IF(D795="CLARO",VLOOKUP(B795,PRECIOS!$A$4:$F$32,3,FALSE()),IF(D795="MELANGE",VLOOKUP(B795,PRECIOS!$A$4:$F$32,4,FALSE()),IF(D795="PPT",VLOOKUP(B795,PRECIOS!$A$4:$F$32,5,FALSE()),0)))),0)</f>
        <v>24</v>
      </c>
      <c r="H795" s="103">
        <f t="shared" si="1"/>
        <v>0</v>
      </c>
      <c r="I795" s="104" t="str">
        <f>IF(E795&lt;0,"ERROR",IF(E795=0,"",IF(E795&lt;CONFIG!$B$4,"CRÍTICO",IF(E795&lt;CONFIG!$B$5,"BAJO","OK"))))</f>
        <v/>
      </c>
    </row>
    <row r="796" ht="15.75" customHeight="1">
      <c r="A796" s="90" t="str">
        <f>IF(CLIENTES!A9="","",CLIENTES!A9)</f>
        <v/>
      </c>
      <c r="B796" s="67" t="str">
        <f>TELAS!A8</f>
        <v>rib 1x1</v>
      </c>
      <c r="C796" s="67" t="str">
        <f>COLORES!A16</f>
        <v>Topo</v>
      </c>
      <c r="D796" s="67" t="str">
        <f>COLORES!B16</f>
        <v>CLARO</v>
      </c>
      <c r="E796" s="100">
        <f>IFERROR(SUMIFS(MOVIMIENTOS!$F$4:$F$1000,MOVIMIENTOS!$C$4:$C$1000,A796,MOVIMIENTOS!$D$4:$D$1000,B796,MOVIMIENTOS!$E$4:$E$1000,C796,MOVIMIENTOS!$B$4:$B$1000,"INGRESO")+SUMIFS(MOVIMIENTOS!$F$4:$F$1000,MOVIMIENTOS!$C$4:$C$1000,A796,MOVIMIENTOS!$D$4:$D$1000,B796,MOVIMIENTOS!$E$4:$E$1000,C796,MOVIMIENTOS!$B$4:$B$1000,"DE REPROCESO")+SUMIFS(MOVIMIENTOS!$F$4:$F$1000,MOVIMIENTOS!$C$4:$C$1000,A796,MOVIMIENTOS!$D$4:$D$1000,B796,MOVIMIENTOS!$E$4:$E$1000,C796,MOVIMIENTOS!$B$4:$B$1000,"AJUSTE+")-SUMIFS(MOVIMIENTOS!$F$4:$F$1000,MOVIMIENTOS!$C$4:$C$1000,A796,MOVIMIENTOS!$D$4:$D$1000,B796,MOVIMIENTOS!$E$4:$E$1000,C796,MOVIMIENTOS!$B$4:$B$1000,"A CORTE")-SUMIFS(MOVIMIENTOS!$F$4:$F$1000,MOVIMIENTOS!$C$4:$C$1000,A796,MOVIMIENTOS!$D$4:$D$1000,B796,MOVIMIENTOS!$E$4:$E$1000,C796,MOVIMIENTOS!$B$4:$B$1000,"A REPROCESO")-SUMIFS(MOVIMIENTOS!$F$4:$F$1000,MOVIMIENTOS!$C$4:$C$1000,A796,MOVIMIENTOS!$D$4:$D$1000,B796,MOVIMIENTOS!$E$4:$E$1000,C796,MOVIMIENTOS!$B$4:$B$1000,"MUESTRA")-SUMIFS(MOVIMIENTOS!$F$4:$F$1000,MOVIMIENTOS!$C$4:$C$1000,A796,MOVIMIENTOS!$D$4:$D$1000,B796,MOVIMIENTOS!$E$4:$E$1000,C796,MOVIMIENTOS!$B$4:$B$1000,"AJUSTE-"),0)</f>
        <v>0</v>
      </c>
      <c r="F796" s="101">
        <f>IFERROR(E796*VLOOKUP(B796,TELAS!$A$4:$C$32,3,FALSE()),0)</f>
        <v>0</v>
      </c>
      <c r="G796" s="102">
        <f>IFERROR(IF(D796="OSCURO",VLOOKUP(B796,PRECIOS!$A$4:$F$32,2,FALSE()),IF(D796="CLARO",VLOOKUP(B796,PRECIOS!$A$4:$F$32,3,FALSE()),IF(D796="MELANGE",VLOOKUP(B796,PRECIOS!$A$4:$F$32,4,FALSE()),IF(D796="PPT",VLOOKUP(B796,PRECIOS!$A$4:$F$32,5,FALSE()),0)))),0)</f>
        <v>21</v>
      </c>
      <c r="H796" s="103">
        <f t="shared" si="1"/>
        <v>0</v>
      </c>
      <c r="I796" s="104" t="str">
        <f>IF(E796&lt;0,"ERROR",IF(E796=0,"",IF(E796&lt;CONFIG!$B$4,"CRÍTICO",IF(E796&lt;CONFIG!$B$5,"BAJO","OK"))))</f>
        <v/>
      </c>
    </row>
    <row r="797" ht="15.75" customHeight="1">
      <c r="A797" s="90" t="str">
        <f>IF(CLIENTES!A9="","",CLIENTES!A9)</f>
        <v/>
      </c>
      <c r="B797" s="67" t="str">
        <f>TELAS!A8</f>
        <v>rib 1x1</v>
      </c>
      <c r="C797" s="67" t="str">
        <f>COLORES!A17</f>
        <v>Vino</v>
      </c>
      <c r="D797" s="67" t="str">
        <f>COLORES!B17</f>
        <v>OSCURO</v>
      </c>
      <c r="E797" s="100">
        <f>IFERROR(SUMIFS(MOVIMIENTOS!$F$4:$F$1000,MOVIMIENTOS!$C$4:$C$1000,A797,MOVIMIENTOS!$D$4:$D$1000,B797,MOVIMIENTOS!$E$4:$E$1000,C797,MOVIMIENTOS!$B$4:$B$1000,"INGRESO")+SUMIFS(MOVIMIENTOS!$F$4:$F$1000,MOVIMIENTOS!$C$4:$C$1000,A797,MOVIMIENTOS!$D$4:$D$1000,B797,MOVIMIENTOS!$E$4:$E$1000,C797,MOVIMIENTOS!$B$4:$B$1000,"DE REPROCESO")+SUMIFS(MOVIMIENTOS!$F$4:$F$1000,MOVIMIENTOS!$C$4:$C$1000,A797,MOVIMIENTOS!$D$4:$D$1000,B797,MOVIMIENTOS!$E$4:$E$1000,C797,MOVIMIENTOS!$B$4:$B$1000,"AJUSTE+")-SUMIFS(MOVIMIENTOS!$F$4:$F$1000,MOVIMIENTOS!$C$4:$C$1000,A797,MOVIMIENTOS!$D$4:$D$1000,B797,MOVIMIENTOS!$E$4:$E$1000,C797,MOVIMIENTOS!$B$4:$B$1000,"A CORTE")-SUMIFS(MOVIMIENTOS!$F$4:$F$1000,MOVIMIENTOS!$C$4:$C$1000,A797,MOVIMIENTOS!$D$4:$D$1000,B797,MOVIMIENTOS!$E$4:$E$1000,C797,MOVIMIENTOS!$B$4:$B$1000,"A REPROCESO")-SUMIFS(MOVIMIENTOS!$F$4:$F$1000,MOVIMIENTOS!$C$4:$C$1000,A797,MOVIMIENTOS!$D$4:$D$1000,B797,MOVIMIENTOS!$E$4:$E$1000,C797,MOVIMIENTOS!$B$4:$B$1000,"MUESTRA")-SUMIFS(MOVIMIENTOS!$F$4:$F$1000,MOVIMIENTOS!$C$4:$C$1000,A797,MOVIMIENTOS!$D$4:$D$1000,B797,MOVIMIENTOS!$E$4:$E$1000,C797,MOVIMIENTOS!$B$4:$B$1000,"AJUSTE-"),0)</f>
        <v>0</v>
      </c>
      <c r="F797" s="101">
        <f>IFERROR(E797*VLOOKUP(B797,TELAS!$A$4:$C$32,3,FALSE()),0)</f>
        <v>0</v>
      </c>
      <c r="G797" s="102">
        <f>IFERROR(IF(D797="OSCURO",VLOOKUP(B797,PRECIOS!$A$4:$F$32,2,FALSE()),IF(D797="CLARO",VLOOKUP(B797,PRECIOS!$A$4:$F$32,3,FALSE()),IF(D797="MELANGE",VLOOKUP(B797,PRECIOS!$A$4:$F$32,4,FALSE()),IF(D797="PPT",VLOOKUP(B797,PRECIOS!$A$4:$F$32,5,FALSE()),0)))),0)</f>
        <v>24</v>
      </c>
      <c r="H797" s="103">
        <f t="shared" si="1"/>
        <v>0</v>
      </c>
      <c r="I797" s="104" t="str">
        <f>IF(E797&lt;0,"ERROR",IF(E797=0,"",IF(E797&lt;CONFIG!$B$4,"CRÍTICO",IF(E797&lt;CONFIG!$B$5,"BAJO","OK"))))</f>
        <v/>
      </c>
    </row>
    <row r="798" ht="15.75" customHeight="1">
      <c r="A798" s="90" t="str">
        <f>IF(CLIENTES!A9="","",CLIENTES!A9)</f>
        <v/>
      </c>
      <c r="B798" s="67" t="str">
        <f>TELAS!A8</f>
        <v>rib 1x1</v>
      </c>
      <c r="C798" s="67" t="str">
        <f>COLORES!A18</f>
        <v>P. Rosa</v>
      </c>
      <c r="D798" s="67" t="str">
        <f>COLORES!B18</f>
        <v>CLARO</v>
      </c>
      <c r="E798" s="100">
        <f>IFERROR(SUMIFS(MOVIMIENTOS!$F$4:$F$1000,MOVIMIENTOS!$C$4:$C$1000,A798,MOVIMIENTOS!$D$4:$D$1000,B798,MOVIMIENTOS!$E$4:$E$1000,C798,MOVIMIENTOS!$B$4:$B$1000,"INGRESO")+SUMIFS(MOVIMIENTOS!$F$4:$F$1000,MOVIMIENTOS!$C$4:$C$1000,A798,MOVIMIENTOS!$D$4:$D$1000,B798,MOVIMIENTOS!$E$4:$E$1000,C798,MOVIMIENTOS!$B$4:$B$1000,"DE REPROCESO")+SUMIFS(MOVIMIENTOS!$F$4:$F$1000,MOVIMIENTOS!$C$4:$C$1000,A798,MOVIMIENTOS!$D$4:$D$1000,B798,MOVIMIENTOS!$E$4:$E$1000,C798,MOVIMIENTOS!$B$4:$B$1000,"AJUSTE+")-SUMIFS(MOVIMIENTOS!$F$4:$F$1000,MOVIMIENTOS!$C$4:$C$1000,A798,MOVIMIENTOS!$D$4:$D$1000,B798,MOVIMIENTOS!$E$4:$E$1000,C798,MOVIMIENTOS!$B$4:$B$1000,"A CORTE")-SUMIFS(MOVIMIENTOS!$F$4:$F$1000,MOVIMIENTOS!$C$4:$C$1000,A798,MOVIMIENTOS!$D$4:$D$1000,B798,MOVIMIENTOS!$E$4:$E$1000,C798,MOVIMIENTOS!$B$4:$B$1000,"A REPROCESO")-SUMIFS(MOVIMIENTOS!$F$4:$F$1000,MOVIMIENTOS!$C$4:$C$1000,A798,MOVIMIENTOS!$D$4:$D$1000,B798,MOVIMIENTOS!$E$4:$E$1000,C798,MOVIMIENTOS!$B$4:$B$1000,"MUESTRA")-SUMIFS(MOVIMIENTOS!$F$4:$F$1000,MOVIMIENTOS!$C$4:$C$1000,A798,MOVIMIENTOS!$D$4:$D$1000,B798,MOVIMIENTOS!$E$4:$E$1000,C798,MOVIMIENTOS!$B$4:$B$1000,"AJUSTE-"),0)</f>
        <v>0</v>
      </c>
      <c r="F798" s="101">
        <f>IFERROR(E798*VLOOKUP(B798,TELAS!$A$4:$C$32,3,FALSE()),0)</f>
        <v>0</v>
      </c>
      <c r="G798" s="102">
        <f>IFERROR(IF(D798="OSCURO",VLOOKUP(B798,PRECIOS!$A$4:$F$32,2,FALSE()),IF(D798="CLARO",VLOOKUP(B798,PRECIOS!$A$4:$F$32,3,FALSE()),IF(D798="MELANGE",VLOOKUP(B798,PRECIOS!$A$4:$F$32,4,FALSE()),IF(D798="PPT",VLOOKUP(B798,PRECIOS!$A$4:$F$32,5,FALSE()),0)))),0)</f>
        <v>21</v>
      </c>
      <c r="H798" s="103">
        <f t="shared" si="1"/>
        <v>0</v>
      </c>
      <c r="I798" s="104" t="str">
        <f>IF(E798&lt;0,"ERROR",IF(E798=0,"",IF(E798&lt;CONFIG!$B$4,"CRÍTICO",IF(E798&lt;CONFIG!$B$5,"BAJO","OK"))))</f>
        <v/>
      </c>
    </row>
    <row r="799" ht="15.75" customHeight="1">
      <c r="A799" s="90" t="str">
        <f>IF(CLIENTES!A9="","",CLIENTES!A9)</f>
        <v/>
      </c>
      <c r="B799" s="67" t="str">
        <f>TELAS!A8</f>
        <v>rib 1x1</v>
      </c>
      <c r="C799" s="67" t="str">
        <f>COLORES!A19</f>
        <v/>
      </c>
      <c r="D799" s="67" t="str">
        <f>COLORES!B19</f>
        <v/>
      </c>
      <c r="E799" s="100">
        <f>IFERROR(SUMIFS(MOVIMIENTOS!$F$4:$F$1000,MOVIMIENTOS!$C$4:$C$1000,A799,MOVIMIENTOS!$D$4:$D$1000,B799,MOVIMIENTOS!$E$4:$E$1000,C799,MOVIMIENTOS!$B$4:$B$1000,"INGRESO")+SUMIFS(MOVIMIENTOS!$F$4:$F$1000,MOVIMIENTOS!$C$4:$C$1000,A799,MOVIMIENTOS!$D$4:$D$1000,B799,MOVIMIENTOS!$E$4:$E$1000,C799,MOVIMIENTOS!$B$4:$B$1000,"DE REPROCESO")+SUMIFS(MOVIMIENTOS!$F$4:$F$1000,MOVIMIENTOS!$C$4:$C$1000,A799,MOVIMIENTOS!$D$4:$D$1000,B799,MOVIMIENTOS!$E$4:$E$1000,C799,MOVIMIENTOS!$B$4:$B$1000,"AJUSTE+")-SUMIFS(MOVIMIENTOS!$F$4:$F$1000,MOVIMIENTOS!$C$4:$C$1000,A799,MOVIMIENTOS!$D$4:$D$1000,B799,MOVIMIENTOS!$E$4:$E$1000,C799,MOVIMIENTOS!$B$4:$B$1000,"A CORTE")-SUMIFS(MOVIMIENTOS!$F$4:$F$1000,MOVIMIENTOS!$C$4:$C$1000,A799,MOVIMIENTOS!$D$4:$D$1000,B799,MOVIMIENTOS!$E$4:$E$1000,C799,MOVIMIENTOS!$B$4:$B$1000,"A REPROCESO")-SUMIFS(MOVIMIENTOS!$F$4:$F$1000,MOVIMIENTOS!$C$4:$C$1000,A799,MOVIMIENTOS!$D$4:$D$1000,B799,MOVIMIENTOS!$E$4:$E$1000,C799,MOVIMIENTOS!$B$4:$B$1000,"MUESTRA")-SUMIFS(MOVIMIENTOS!$F$4:$F$1000,MOVIMIENTOS!$C$4:$C$1000,A799,MOVIMIENTOS!$D$4:$D$1000,B799,MOVIMIENTOS!$E$4:$E$1000,C799,MOVIMIENTOS!$B$4:$B$1000,"AJUSTE-"),0)</f>
        <v>0</v>
      </c>
      <c r="F799" s="101">
        <f>IFERROR(E799*VLOOKUP(B799,TELAS!$A$4:$C$32,3,FALSE()),0)</f>
        <v>0</v>
      </c>
      <c r="G799" s="102">
        <f>IFERROR(IF(D799="OSCURO",VLOOKUP(B799,PRECIOS!$A$4:$F$32,2,FALSE()),IF(D799="CLARO",VLOOKUP(B799,PRECIOS!$A$4:$F$32,3,FALSE()),IF(D799="MELANGE",VLOOKUP(B799,PRECIOS!$A$4:$F$32,4,FALSE()),IF(D799="PPT",VLOOKUP(B799,PRECIOS!$A$4:$F$32,5,FALSE()),0)))),0)</f>
        <v>0</v>
      </c>
      <c r="H799" s="103">
        <f t="shared" si="1"/>
        <v>0</v>
      </c>
      <c r="I799" s="104" t="str">
        <f>IF(E799&lt;0,"ERROR",IF(E799=0,"",IF(E799&lt;CONFIG!$B$4,"CRÍTICO",IF(E799&lt;CONFIG!$B$5,"BAJO","OK"))))</f>
        <v/>
      </c>
    </row>
    <row r="800" ht="15.75" customHeight="1">
      <c r="A800" s="90" t="str">
        <f>IF(CLIENTES!A9="","",CLIENTES!A9)</f>
        <v/>
      </c>
      <c r="B800" s="67" t="str">
        <f>TELAS!A8</f>
        <v>rib 1x1</v>
      </c>
      <c r="C800" s="67" t="str">
        <f>COLORES!A20</f>
        <v/>
      </c>
      <c r="D800" s="67" t="str">
        <f>COLORES!B20</f>
        <v/>
      </c>
      <c r="E800" s="100">
        <f>IFERROR(SUMIFS(MOVIMIENTOS!$F$4:$F$1000,MOVIMIENTOS!$C$4:$C$1000,A800,MOVIMIENTOS!$D$4:$D$1000,B800,MOVIMIENTOS!$E$4:$E$1000,C800,MOVIMIENTOS!$B$4:$B$1000,"INGRESO")+SUMIFS(MOVIMIENTOS!$F$4:$F$1000,MOVIMIENTOS!$C$4:$C$1000,A800,MOVIMIENTOS!$D$4:$D$1000,B800,MOVIMIENTOS!$E$4:$E$1000,C800,MOVIMIENTOS!$B$4:$B$1000,"DE REPROCESO")+SUMIFS(MOVIMIENTOS!$F$4:$F$1000,MOVIMIENTOS!$C$4:$C$1000,A800,MOVIMIENTOS!$D$4:$D$1000,B800,MOVIMIENTOS!$E$4:$E$1000,C800,MOVIMIENTOS!$B$4:$B$1000,"AJUSTE+")-SUMIFS(MOVIMIENTOS!$F$4:$F$1000,MOVIMIENTOS!$C$4:$C$1000,A800,MOVIMIENTOS!$D$4:$D$1000,B800,MOVIMIENTOS!$E$4:$E$1000,C800,MOVIMIENTOS!$B$4:$B$1000,"A CORTE")-SUMIFS(MOVIMIENTOS!$F$4:$F$1000,MOVIMIENTOS!$C$4:$C$1000,A800,MOVIMIENTOS!$D$4:$D$1000,B800,MOVIMIENTOS!$E$4:$E$1000,C800,MOVIMIENTOS!$B$4:$B$1000,"A REPROCESO")-SUMIFS(MOVIMIENTOS!$F$4:$F$1000,MOVIMIENTOS!$C$4:$C$1000,A800,MOVIMIENTOS!$D$4:$D$1000,B800,MOVIMIENTOS!$E$4:$E$1000,C800,MOVIMIENTOS!$B$4:$B$1000,"MUESTRA")-SUMIFS(MOVIMIENTOS!$F$4:$F$1000,MOVIMIENTOS!$C$4:$C$1000,A800,MOVIMIENTOS!$D$4:$D$1000,B800,MOVIMIENTOS!$E$4:$E$1000,C800,MOVIMIENTOS!$B$4:$B$1000,"AJUSTE-"),0)</f>
        <v>0</v>
      </c>
      <c r="F800" s="101">
        <f>IFERROR(E800*VLOOKUP(B800,TELAS!$A$4:$C$32,3,FALSE()),0)</f>
        <v>0</v>
      </c>
      <c r="G800" s="102">
        <f>IFERROR(IF(D800="OSCURO",VLOOKUP(B800,PRECIOS!$A$4:$F$32,2,FALSE()),IF(D800="CLARO",VLOOKUP(B800,PRECIOS!$A$4:$F$32,3,FALSE()),IF(D800="MELANGE",VLOOKUP(B800,PRECIOS!$A$4:$F$32,4,FALSE()),IF(D800="PPT",VLOOKUP(B800,PRECIOS!$A$4:$F$32,5,FALSE()),0)))),0)</f>
        <v>0</v>
      </c>
      <c r="H800" s="103">
        <f t="shared" si="1"/>
        <v>0</v>
      </c>
      <c r="I800" s="104" t="str">
        <f>IF(E800&lt;0,"ERROR",IF(E800=0,"",IF(E800&lt;CONFIG!$B$4,"CRÍTICO",IF(E800&lt;CONFIG!$B$5,"BAJO","OK"))))</f>
        <v/>
      </c>
    </row>
    <row r="801" ht="15.75" customHeight="1">
      <c r="A801" s="90" t="str">
        <f>IF(CLIENTES!A9="","",CLIENTES!A9)</f>
        <v/>
      </c>
      <c r="B801" s="67" t="str">
        <f>TELAS!A8</f>
        <v>rib 1x1</v>
      </c>
      <c r="C801" s="67" t="str">
        <f>COLORES!A21</f>
        <v/>
      </c>
      <c r="D801" s="67" t="str">
        <f>COLORES!B21</f>
        <v/>
      </c>
      <c r="E801" s="100">
        <f>IFERROR(SUMIFS(MOVIMIENTOS!$F$4:$F$1000,MOVIMIENTOS!$C$4:$C$1000,A801,MOVIMIENTOS!$D$4:$D$1000,B801,MOVIMIENTOS!$E$4:$E$1000,C801,MOVIMIENTOS!$B$4:$B$1000,"INGRESO")+SUMIFS(MOVIMIENTOS!$F$4:$F$1000,MOVIMIENTOS!$C$4:$C$1000,A801,MOVIMIENTOS!$D$4:$D$1000,B801,MOVIMIENTOS!$E$4:$E$1000,C801,MOVIMIENTOS!$B$4:$B$1000,"DE REPROCESO")+SUMIFS(MOVIMIENTOS!$F$4:$F$1000,MOVIMIENTOS!$C$4:$C$1000,A801,MOVIMIENTOS!$D$4:$D$1000,B801,MOVIMIENTOS!$E$4:$E$1000,C801,MOVIMIENTOS!$B$4:$B$1000,"AJUSTE+")-SUMIFS(MOVIMIENTOS!$F$4:$F$1000,MOVIMIENTOS!$C$4:$C$1000,A801,MOVIMIENTOS!$D$4:$D$1000,B801,MOVIMIENTOS!$E$4:$E$1000,C801,MOVIMIENTOS!$B$4:$B$1000,"A CORTE")-SUMIFS(MOVIMIENTOS!$F$4:$F$1000,MOVIMIENTOS!$C$4:$C$1000,A801,MOVIMIENTOS!$D$4:$D$1000,B801,MOVIMIENTOS!$E$4:$E$1000,C801,MOVIMIENTOS!$B$4:$B$1000,"A REPROCESO")-SUMIFS(MOVIMIENTOS!$F$4:$F$1000,MOVIMIENTOS!$C$4:$C$1000,A801,MOVIMIENTOS!$D$4:$D$1000,B801,MOVIMIENTOS!$E$4:$E$1000,C801,MOVIMIENTOS!$B$4:$B$1000,"MUESTRA")-SUMIFS(MOVIMIENTOS!$F$4:$F$1000,MOVIMIENTOS!$C$4:$C$1000,A801,MOVIMIENTOS!$D$4:$D$1000,B801,MOVIMIENTOS!$E$4:$E$1000,C801,MOVIMIENTOS!$B$4:$B$1000,"AJUSTE-"),0)</f>
        <v>0</v>
      </c>
      <c r="F801" s="101">
        <f>IFERROR(E801*VLOOKUP(B801,TELAS!$A$4:$C$32,3,FALSE()),0)</f>
        <v>0</v>
      </c>
      <c r="G801" s="102">
        <f>IFERROR(IF(D801="OSCURO",VLOOKUP(B801,PRECIOS!$A$4:$F$32,2,FALSE()),IF(D801="CLARO",VLOOKUP(B801,PRECIOS!$A$4:$F$32,3,FALSE()),IF(D801="MELANGE",VLOOKUP(B801,PRECIOS!$A$4:$F$32,4,FALSE()),IF(D801="PPT",VLOOKUP(B801,PRECIOS!$A$4:$F$32,5,FALSE()),0)))),0)</f>
        <v>0</v>
      </c>
      <c r="H801" s="103">
        <f t="shared" si="1"/>
        <v>0</v>
      </c>
      <c r="I801" s="104" t="str">
        <f>IF(E801&lt;0,"ERROR",IF(E801=0,"",IF(E801&lt;CONFIG!$B$4,"CRÍTICO",IF(E801&lt;CONFIG!$B$5,"BAJO","OK"))))</f>
        <v/>
      </c>
    </row>
    <row r="802" ht="15.75" customHeight="1">
      <c r="A802" s="90" t="str">
        <f>IF(CLIENTES!A9="","",CLIENTES!A9)</f>
        <v/>
      </c>
      <c r="B802" s="67" t="str">
        <f>TELAS!A8</f>
        <v>rib 1x1</v>
      </c>
      <c r="C802" s="67" t="str">
        <f>COLORES!A22</f>
        <v/>
      </c>
      <c r="D802" s="67" t="str">
        <f>COLORES!B22</f>
        <v/>
      </c>
      <c r="E802" s="100">
        <f>IFERROR(SUMIFS(MOVIMIENTOS!$F$4:$F$1000,MOVIMIENTOS!$C$4:$C$1000,A802,MOVIMIENTOS!$D$4:$D$1000,B802,MOVIMIENTOS!$E$4:$E$1000,C802,MOVIMIENTOS!$B$4:$B$1000,"INGRESO")+SUMIFS(MOVIMIENTOS!$F$4:$F$1000,MOVIMIENTOS!$C$4:$C$1000,A802,MOVIMIENTOS!$D$4:$D$1000,B802,MOVIMIENTOS!$E$4:$E$1000,C802,MOVIMIENTOS!$B$4:$B$1000,"DE REPROCESO")+SUMIFS(MOVIMIENTOS!$F$4:$F$1000,MOVIMIENTOS!$C$4:$C$1000,A802,MOVIMIENTOS!$D$4:$D$1000,B802,MOVIMIENTOS!$E$4:$E$1000,C802,MOVIMIENTOS!$B$4:$B$1000,"AJUSTE+")-SUMIFS(MOVIMIENTOS!$F$4:$F$1000,MOVIMIENTOS!$C$4:$C$1000,A802,MOVIMIENTOS!$D$4:$D$1000,B802,MOVIMIENTOS!$E$4:$E$1000,C802,MOVIMIENTOS!$B$4:$B$1000,"A CORTE")-SUMIFS(MOVIMIENTOS!$F$4:$F$1000,MOVIMIENTOS!$C$4:$C$1000,A802,MOVIMIENTOS!$D$4:$D$1000,B802,MOVIMIENTOS!$E$4:$E$1000,C802,MOVIMIENTOS!$B$4:$B$1000,"A REPROCESO")-SUMIFS(MOVIMIENTOS!$F$4:$F$1000,MOVIMIENTOS!$C$4:$C$1000,A802,MOVIMIENTOS!$D$4:$D$1000,B802,MOVIMIENTOS!$E$4:$E$1000,C802,MOVIMIENTOS!$B$4:$B$1000,"MUESTRA")-SUMIFS(MOVIMIENTOS!$F$4:$F$1000,MOVIMIENTOS!$C$4:$C$1000,A802,MOVIMIENTOS!$D$4:$D$1000,B802,MOVIMIENTOS!$E$4:$E$1000,C802,MOVIMIENTOS!$B$4:$B$1000,"AJUSTE-"),0)</f>
        <v>0</v>
      </c>
      <c r="F802" s="101">
        <f>IFERROR(E802*VLOOKUP(B802,TELAS!$A$4:$C$32,3,FALSE()),0)</f>
        <v>0</v>
      </c>
      <c r="G802" s="102">
        <f>IFERROR(IF(D802="OSCURO",VLOOKUP(B802,PRECIOS!$A$4:$F$32,2,FALSE()),IF(D802="CLARO",VLOOKUP(B802,PRECIOS!$A$4:$F$32,3,FALSE()),IF(D802="MELANGE",VLOOKUP(B802,PRECIOS!$A$4:$F$32,4,FALSE()),IF(D802="PPT",VLOOKUP(B802,PRECIOS!$A$4:$F$32,5,FALSE()),0)))),0)</f>
        <v>0</v>
      </c>
      <c r="H802" s="103">
        <f t="shared" si="1"/>
        <v>0</v>
      </c>
      <c r="I802" s="104" t="str">
        <f>IF(E802&lt;0,"ERROR",IF(E802=0,"",IF(E802&lt;CONFIG!$B$4,"CRÍTICO",IF(E802&lt;CONFIG!$B$5,"BAJO","OK"))))</f>
        <v/>
      </c>
    </row>
    <row r="803" ht="15.75" customHeight="1">
      <c r="A803" s="90" t="str">
        <f>IF(CLIENTES!A9="","",CLIENTES!A9)</f>
        <v/>
      </c>
      <c r="B803" s="67" t="str">
        <f>TELAS!A8</f>
        <v>rib 1x1</v>
      </c>
      <c r="C803" s="67" t="str">
        <f>COLORES!A23</f>
        <v/>
      </c>
      <c r="D803" s="67" t="str">
        <f>COLORES!B23</f>
        <v/>
      </c>
      <c r="E803" s="100">
        <f>IFERROR(SUMIFS(MOVIMIENTOS!$F$4:$F$1000,MOVIMIENTOS!$C$4:$C$1000,A803,MOVIMIENTOS!$D$4:$D$1000,B803,MOVIMIENTOS!$E$4:$E$1000,C803,MOVIMIENTOS!$B$4:$B$1000,"INGRESO")+SUMIFS(MOVIMIENTOS!$F$4:$F$1000,MOVIMIENTOS!$C$4:$C$1000,A803,MOVIMIENTOS!$D$4:$D$1000,B803,MOVIMIENTOS!$E$4:$E$1000,C803,MOVIMIENTOS!$B$4:$B$1000,"DE REPROCESO")+SUMIFS(MOVIMIENTOS!$F$4:$F$1000,MOVIMIENTOS!$C$4:$C$1000,A803,MOVIMIENTOS!$D$4:$D$1000,B803,MOVIMIENTOS!$E$4:$E$1000,C803,MOVIMIENTOS!$B$4:$B$1000,"AJUSTE+")-SUMIFS(MOVIMIENTOS!$F$4:$F$1000,MOVIMIENTOS!$C$4:$C$1000,A803,MOVIMIENTOS!$D$4:$D$1000,B803,MOVIMIENTOS!$E$4:$E$1000,C803,MOVIMIENTOS!$B$4:$B$1000,"A CORTE")-SUMIFS(MOVIMIENTOS!$F$4:$F$1000,MOVIMIENTOS!$C$4:$C$1000,A803,MOVIMIENTOS!$D$4:$D$1000,B803,MOVIMIENTOS!$E$4:$E$1000,C803,MOVIMIENTOS!$B$4:$B$1000,"A REPROCESO")-SUMIFS(MOVIMIENTOS!$F$4:$F$1000,MOVIMIENTOS!$C$4:$C$1000,A803,MOVIMIENTOS!$D$4:$D$1000,B803,MOVIMIENTOS!$E$4:$E$1000,C803,MOVIMIENTOS!$B$4:$B$1000,"MUESTRA")-SUMIFS(MOVIMIENTOS!$F$4:$F$1000,MOVIMIENTOS!$C$4:$C$1000,A803,MOVIMIENTOS!$D$4:$D$1000,B803,MOVIMIENTOS!$E$4:$E$1000,C803,MOVIMIENTOS!$B$4:$B$1000,"AJUSTE-"),0)</f>
        <v>0</v>
      </c>
      <c r="F803" s="101">
        <f>IFERROR(E803*VLOOKUP(B803,TELAS!$A$4:$C$32,3,FALSE()),0)</f>
        <v>0</v>
      </c>
      <c r="G803" s="102">
        <f>IFERROR(IF(D803="OSCURO",VLOOKUP(B803,PRECIOS!$A$4:$F$32,2,FALSE()),IF(D803="CLARO",VLOOKUP(B803,PRECIOS!$A$4:$F$32,3,FALSE()),IF(D803="MELANGE",VLOOKUP(B803,PRECIOS!$A$4:$F$32,4,FALSE()),IF(D803="PPT",VLOOKUP(B803,PRECIOS!$A$4:$F$32,5,FALSE()),0)))),0)</f>
        <v>0</v>
      </c>
      <c r="H803" s="103">
        <f t="shared" si="1"/>
        <v>0</v>
      </c>
      <c r="I803" s="104" t="str">
        <f>IF(E803&lt;0,"ERROR",IF(E803=0,"",IF(E803&lt;CONFIG!$B$4,"CRÍTICO",IF(E803&lt;CONFIG!$B$5,"BAJO","OK"))))</f>
        <v/>
      </c>
    </row>
    <row r="804" ht="15.75" customHeight="1">
      <c r="A804" s="90" t="str">
        <f>IF(CLIENTES!A9="","",CLIENTES!A9)</f>
        <v/>
      </c>
      <c r="B804" s="67" t="str">
        <f>TELAS!A9</f>
        <v>rib 2x1 lycrado</v>
      </c>
      <c r="C804" s="67" t="str">
        <f>COLORES!A4</f>
        <v>Negro</v>
      </c>
      <c r="D804" s="67" t="str">
        <f>COLORES!B4</f>
        <v>OSCURO</v>
      </c>
      <c r="E804" s="100">
        <f>IFERROR(SUMIFS(MOVIMIENTOS!$F$4:$F$1000,MOVIMIENTOS!$C$4:$C$1000,A804,MOVIMIENTOS!$D$4:$D$1000,B804,MOVIMIENTOS!$E$4:$E$1000,C804,MOVIMIENTOS!$B$4:$B$1000,"INGRESO")+SUMIFS(MOVIMIENTOS!$F$4:$F$1000,MOVIMIENTOS!$C$4:$C$1000,A804,MOVIMIENTOS!$D$4:$D$1000,B804,MOVIMIENTOS!$E$4:$E$1000,C804,MOVIMIENTOS!$B$4:$B$1000,"DE REPROCESO")+SUMIFS(MOVIMIENTOS!$F$4:$F$1000,MOVIMIENTOS!$C$4:$C$1000,A804,MOVIMIENTOS!$D$4:$D$1000,B804,MOVIMIENTOS!$E$4:$E$1000,C804,MOVIMIENTOS!$B$4:$B$1000,"AJUSTE+")-SUMIFS(MOVIMIENTOS!$F$4:$F$1000,MOVIMIENTOS!$C$4:$C$1000,A804,MOVIMIENTOS!$D$4:$D$1000,B804,MOVIMIENTOS!$E$4:$E$1000,C804,MOVIMIENTOS!$B$4:$B$1000,"A CORTE")-SUMIFS(MOVIMIENTOS!$F$4:$F$1000,MOVIMIENTOS!$C$4:$C$1000,A804,MOVIMIENTOS!$D$4:$D$1000,B804,MOVIMIENTOS!$E$4:$E$1000,C804,MOVIMIENTOS!$B$4:$B$1000,"A REPROCESO")-SUMIFS(MOVIMIENTOS!$F$4:$F$1000,MOVIMIENTOS!$C$4:$C$1000,A804,MOVIMIENTOS!$D$4:$D$1000,B804,MOVIMIENTOS!$E$4:$E$1000,C804,MOVIMIENTOS!$B$4:$B$1000,"MUESTRA")-SUMIFS(MOVIMIENTOS!$F$4:$F$1000,MOVIMIENTOS!$C$4:$C$1000,A804,MOVIMIENTOS!$D$4:$D$1000,B804,MOVIMIENTOS!$E$4:$E$1000,C804,MOVIMIENTOS!$B$4:$B$1000,"AJUSTE-"),0)</f>
        <v>0</v>
      </c>
      <c r="F804" s="101">
        <f>IFERROR(E804*VLOOKUP(B804,TELAS!$A$4:$C$32,3,FALSE()),0)</f>
        <v>0</v>
      </c>
      <c r="G804" s="102">
        <f>IFERROR(IF(D804="OSCURO",VLOOKUP(B804,PRECIOS!$A$4:$F$32,2,FALSE()),IF(D804="CLARO",VLOOKUP(B804,PRECIOS!$A$4:$F$32,3,FALSE()),IF(D804="MELANGE",VLOOKUP(B804,PRECIOS!$A$4:$F$32,4,FALSE()),IF(D804="PPT",VLOOKUP(B804,PRECIOS!$A$4:$F$32,5,FALSE()),0)))),0)</f>
        <v>24</v>
      </c>
      <c r="H804" s="103">
        <f t="shared" si="1"/>
        <v>0</v>
      </c>
      <c r="I804" s="104" t="str">
        <f>IF(E804&lt;0,"ERROR",IF(E804=0,"",IF(E804&lt;CONFIG!$B$4,"CRÍTICO",IF(E804&lt;CONFIG!$B$5,"BAJO","OK"))))</f>
        <v/>
      </c>
    </row>
    <row r="805" ht="15.75" customHeight="1">
      <c r="A805" s="90" t="str">
        <f>IF(CLIENTES!A9="","",CLIENTES!A9)</f>
        <v/>
      </c>
      <c r="B805" s="67" t="str">
        <f>TELAS!A9</f>
        <v>rib 2x1 lycrado</v>
      </c>
      <c r="C805" s="67" t="str">
        <f>COLORES!A5</f>
        <v>Perla</v>
      </c>
      <c r="D805" s="67" t="str">
        <f>COLORES!B5</f>
        <v>PPT</v>
      </c>
      <c r="E805" s="100">
        <f>IFERROR(SUMIFS(MOVIMIENTOS!$F$4:$F$1000,MOVIMIENTOS!$C$4:$C$1000,A805,MOVIMIENTOS!$D$4:$D$1000,B805,MOVIMIENTOS!$E$4:$E$1000,C805,MOVIMIENTOS!$B$4:$B$1000,"INGRESO")+SUMIFS(MOVIMIENTOS!$F$4:$F$1000,MOVIMIENTOS!$C$4:$C$1000,A805,MOVIMIENTOS!$D$4:$D$1000,B805,MOVIMIENTOS!$E$4:$E$1000,C805,MOVIMIENTOS!$B$4:$B$1000,"DE REPROCESO")+SUMIFS(MOVIMIENTOS!$F$4:$F$1000,MOVIMIENTOS!$C$4:$C$1000,A805,MOVIMIENTOS!$D$4:$D$1000,B805,MOVIMIENTOS!$E$4:$E$1000,C805,MOVIMIENTOS!$B$4:$B$1000,"AJUSTE+")-SUMIFS(MOVIMIENTOS!$F$4:$F$1000,MOVIMIENTOS!$C$4:$C$1000,A805,MOVIMIENTOS!$D$4:$D$1000,B805,MOVIMIENTOS!$E$4:$E$1000,C805,MOVIMIENTOS!$B$4:$B$1000,"A CORTE")-SUMIFS(MOVIMIENTOS!$F$4:$F$1000,MOVIMIENTOS!$C$4:$C$1000,A805,MOVIMIENTOS!$D$4:$D$1000,B805,MOVIMIENTOS!$E$4:$E$1000,C805,MOVIMIENTOS!$B$4:$B$1000,"A REPROCESO")-SUMIFS(MOVIMIENTOS!$F$4:$F$1000,MOVIMIENTOS!$C$4:$C$1000,A805,MOVIMIENTOS!$D$4:$D$1000,B805,MOVIMIENTOS!$E$4:$E$1000,C805,MOVIMIENTOS!$B$4:$B$1000,"MUESTRA")-SUMIFS(MOVIMIENTOS!$F$4:$F$1000,MOVIMIENTOS!$C$4:$C$1000,A805,MOVIMIENTOS!$D$4:$D$1000,B805,MOVIMIENTOS!$E$4:$E$1000,C805,MOVIMIENTOS!$B$4:$B$1000,"AJUSTE-"),0)</f>
        <v>0</v>
      </c>
      <c r="F805" s="101">
        <f>IFERROR(E805*VLOOKUP(B805,TELAS!$A$4:$C$32,3,FALSE()),0)</f>
        <v>0</v>
      </c>
      <c r="G805" s="102">
        <f>IFERROR(IF(D805="OSCURO",VLOOKUP(B805,PRECIOS!$A$4:$F$32,2,FALSE()),IF(D805="CLARO",VLOOKUP(B805,PRECIOS!$A$4:$F$32,3,FALSE()),IF(D805="MELANGE",VLOOKUP(B805,PRECIOS!$A$4:$F$32,4,FALSE()),IF(D805="PPT",VLOOKUP(B805,PRECIOS!$A$4:$F$32,5,FALSE()),0)))),0)</f>
        <v>18</v>
      </c>
      <c r="H805" s="103">
        <f t="shared" si="1"/>
        <v>0</v>
      </c>
      <c r="I805" s="104" t="str">
        <f>IF(E805&lt;0,"ERROR",IF(E805=0,"",IF(E805&lt;CONFIG!$B$4,"CRÍTICO",IF(E805&lt;CONFIG!$B$5,"BAJO","OK"))))</f>
        <v/>
      </c>
    </row>
    <row r="806" ht="15.75" customHeight="1">
      <c r="A806" s="90" t="str">
        <f>IF(CLIENTES!A9="","",CLIENTES!A9)</f>
        <v/>
      </c>
      <c r="B806" s="67" t="str">
        <f>TELAS!A9</f>
        <v>rib 2x1 lycrado</v>
      </c>
      <c r="C806" s="67" t="str">
        <f>COLORES!A6</f>
        <v>Blanco</v>
      </c>
      <c r="D806" s="67" t="str">
        <f>COLORES!B6</f>
        <v>PPT</v>
      </c>
      <c r="E806" s="100">
        <f>IFERROR(SUMIFS(MOVIMIENTOS!$F$4:$F$1000,MOVIMIENTOS!$C$4:$C$1000,A806,MOVIMIENTOS!$D$4:$D$1000,B806,MOVIMIENTOS!$E$4:$E$1000,C806,MOVIMIENTOS!$B$4:$B$1000,"INGRESO")+SUMIFS(MOVIMIENTOS!$F$4:$F$1000,MOVIMIENTOS!$C$4:$C$1000,A806,MOVIMIENTOS!$D$4:$D$1000,B806,MOVIMIENTOS!$E$4:$E$1000,C806,MOVIMIENTOS!$B$4:$B$1000,"DE REPROCESO")+SUMIFS(MOVIMIENTOS!$F$4:$F$1000,MOVIMIENTOS!$C$4:$C$1000,A806,MOVIMIENTOS!$D$4:$D$1000,B806,MOVIMIENTOS!$E$4:$E$1000,C806,MOVIMIENTOS!$B$4:$B$1000,"AJUSTE+")-SUMIFS(MOVIMIENTOS!$F$4:$F$1000,MOVIMIENTOS!$C$4:$C$1000,A806,MOVIMIENTOS!$D$4:$D$1000,B806,MOVIMIENTOS!$E$4:$E$1000,C806,MOVIMIENTOS!$B$4:$B$1000,"A CORTE")-SUMIFS(MOVIMIENTOS!$F$4:$F$1000,MOVIMIENTOS!$C$4:$C$1000,A806,MOVIMIENTOS!$D$4:$D$1000,B806,MOVIMIENTOS!$E$4:$E$1000,C806,MOVIMIENTOS!$B$4:$B$1000,"A REPROCESO")-SUMIFS(MOVIMIENTOS!$F$4:$F$1000,MOVIMIENTOS!$C$4:$C$1000,A806,MOVIMIENTOS!$D$4:$D$1000,B806,MOVIMIENTOS!$E$4:$E$1000,C806,MOVIMIENTOS!$B$4:$B$1000,"MUESTRA")-SUMIFS(MOVIMIENTOS!$F$4:$F$1000,MOVIMIENTOS!$C$4:$C$1000,A806,MOVIMIENTOS!$D$4:$D$1000,B806,MOVIMIENTOS!$E$4:$E$1000,C806,MOVIMIENTOS!$B$4:$B$1000,"AJUSTE-"),0)</f>
        <v>0</v>
      </c>
      <c r="F806" s="101">
        <f>IFERROR(E806*VLOOKUP(B806,TELAS!$A$4:$C$32,3,FALSE()),0)</f>
        <v>0</v>
      </c>
      <c r="G806" s="102">
        <f>IFERROR(IF(D806="OSCURO",VLOOKUP(B806,PRECIOS!$A$4:$F$32,2,FALSE()),IF(D806="CLARO",VLOOKUP(B806,PRECIOS!$A$4:$F$32,3,FALSE()),IF(D806="MELANGE",VLOOKUP(B806,PRECIOS!$A$4:$F$32,4,FALSE()),IF(D806="PPT",VLOOKUP(B806,PRECIOS!$A$4:$F$32,5,FALSE()),0)))),0)</f>
        <v>18</v>
      </c>
      <c r="H806" s="103">
        <f t="shared" si="1"/>
        <v>0</v>
      </c>
      <c r="I806" s="104" t="str">
        <f>IF(E806&lt;0,"ERROR",IF(E806=0,"",IF(E806&lt;CONFIG!$B$4,"CRÍTICO",IF(E806&lt;CONFIG!$B$5,"BAJO","OK"))))</f>
        <v/>
      </c>
    </row>
    <row r="807" ht="15.75" customHeight="1">
      <c r="A807" s="90" t="str">
        <f>IF(CLIENTES!A9="","",CLIENTES!A9)</f>
        <v/>
      </c>
      <c r="B807" s="67" t="str">
        <f>TELAS!A9</f>
        <v>rib 2x1 lycrado</v>
      </c>
      <c r="C807" s="67" t="str">
        <f>COLORES!A7</f>
        <v>Azul</v>
      </c>
      <c r="D807" s="67" t="str">
        <f>COLORES!B7</f>
        <v>OSCURO</v>
      </c>
      <c r="E807" s="100">
        <f>IFERROR(SUMIFS(MOVIMIENTOS!$F$4:$F$1000,MOVIMIENTOS!$C$4:$C$1000,A807,MOVIMIENTOS!$D$4:$D$1000,B807,MOVIMIENTOS!$E$4:$E$1000,C807,MOVIMIENTOS!$B$4:$B$1000,"INGRESO")+SUMIFS(MOVIMIENTOS!$F$4:$F$1000,MOVIMIENTOS!$C$4:$C$1000,A807,MOVIMIENTOS!$D$4:$D$1000,B807,MOVIMIENTOS!$E$4:$E$1000,C807,MOVIMIENTOS!$B$4:$B$1000,"DE REPROCESO")+SUMIFS(MOVIMIENTOS!$F$4:$F$1000,MOVIMIENTOS!$C$4:$C$1000,A807,MOVIMIENTOS!$D$4:$D$1000,B807,MOVIMIENTOS!$E$4:$E$1000,C807,MOVIMIENTOS!$B$4:$B$1000,"AJUSTE+")-SUMIFS(MOVIMIENTOS!$F$4:$F$1000,MOVIMIENTOS!$C$4:$C$1000,A807,MOVIMIENTOS!$D$4:$D$1000,B807,MOVIMIENTOS!$E$4:$E$1000,C807,MOVIMIENTOS!$B$4:$B$1000,"A CORTE")-SUMIFS(MOVIMIENTOS!$F$4:$F$1000,MOVIMIENTOS!$C$4:$C$1000,A807,MOVIMIENTOS!$D$4:$D$1000,B807,MOVIMIENTOS!$E$4:$E$1000,C807,MOVIMIENTOS!$B$4:$B$1000,"A REPROCESO")-SUMIFS(MOVIMIENTOS!$F$4:$F$1000,MOVIMIENTOS!$C$4:$C$1000,A807,MOVIMIENTOS!$D$4:$D$1000,B807,MOVIMIENTOS!$E$4:$E$1000,C807,MOVIMIENTOS!$B$4:$B$1000,"MUESTRA")-SUMIFS(MOVIMIENTOS!$F$4:$F$1000,MOVIMIENTOS!$C$4:$C$1000,A807,MOVIMIENTOS!$D$4:$D$1000,B807,MOVIMIENTOS!$E$4:$E$1000,C807,MOVIMIENTOS!$B$4:$B$1000,"AJUSTE-"),0)</f>
        <v>0</v>
      </c>
      <c r="F807" s="101">
        <f>IFERROR(E807*VLOOKUP(B807,TELAS!$A$4:$C$32,3,FALSE()),0)</f>
        <v>0</v>
      </c>
      <c r="G807" s="102">
        <f>IFERROR(IF(D807="OSCURO",VLOOKUP(B807,PRECIOS!$A$4:$F$32,2,FALSE()),IF(D807="CLARO",VLOOKUP(B807,PRECIOS!$A$4:$F$32,3,FALSE()),IF(D807="MELANGE",VLOOKUP(B807,PRECIOS!$A$4:$F$32,4,FALSE()),IF(D807="PPT",VLOOKUP(B807,PRECIOS!$A$4:$F$32,5,FALSE()),0)))),0)</f>
        <v>24</v>
      </c>
      <c r="H807" s="103">
        <f t="shared" si="1"/>
        <v>0</v>
      </c>
      <c r="I807" s="104" t="str">
        <f>IF(E807&lt;0,"ERROR",IF(E807=0,"",IF(E807&lt;CONFIG!$B$4,"CRÍTICO",IF(E807&lt;CONFIG!$B$5,"BAJO","OK"))))</f>
        <v/>
      </c>
    </row>
    <row r="808" ht="15.75" customHeight="1">
      <c r="A808" s="90" t="str">
        <f>IF(CLIENTES!A9="","",CLIENTES!A9)</f>
        <v/>
      </c>
      <c r="B808" s="67" t="str">
        <f>TELAS!A9</f>
        <v>rib 2x1 lycrado</v>
      </c>
      <c r="C808" s="67" t="str">
        <f>COLORES!A8</f>
        <v>Beige</v>
      </c>
      <c r="D808" s="67" t="str">
        <f>COLORES!B8</f>
        <v>CLARO</v>
      </c>
      <c r="E808" s="100">
        <f>IFERROR(SUMIFS(MOVIMIENTOS!$F$4:$F$1000,MOVIMIENTOS!$C$4:$C$1000,A808,MOVIMIENTOS!$D$4:$D$1000,B808,MOVIMIENTOS!$E$4:$E$1000,C808,MOVIMIENTOS!$B$4:$B$1000,"INGRESO")+SUMIFS(MOVIMIENTOS!$F$4:$F$1000,MOVIMIENTOS!$C$4:$C$1000,A808,MOVIMIENTOS!$D$4:$D$1000,B808,MOVIMIENTOS!$E$4:$E$1000,C808,MOVIMIENTOS!$B$4:$B$1000,"DE REPROCESO")+SUMIFS(MOVIMIENTOS!$F$4:$F$1000,MOVIMIENTOS!$C$4:$C$1000,A808,MOVIMIENTOS!$D$4:$D$1000,B808,MOVIMIENTOS!$E$4:$E$1000,C808,MOVIMIENTOS!$B$4:$B$1000,"AJUSTE+")-SUMIFS(MOVIMIENTOS!$F$4:$F$1000,MOVIMIENTOS!$C$4:$C$1000,A808,MOVIMIENTOS!$D$4:$D$1000,B808,MOVIMIENTOS!$E$4:$E$1000,C808,MOVIMIENTOS!$B$4:$B$1000,"A CORTE")-SUMIFS(MOVIMIENTOS!$F$4:$F$1000,MOVIMIENTOS!$C$4:$C$1000,A808,MOVIMIENTOS!$D$4:$D$1000,B808,MOVIMIENTOS!$E$4:$E$1000,C808,MOVIMIENTOS!$B$4:$B$1000,"A REPROCESO")-SUMIFS(MOVIMIENTOS!$F$4:$F$1000,MOVIMIENTOS!$C$4:$C$1000,A808,MOVIMIENTOS!$D$4:$D$1000,B808,MOVIMIENTOS!$E$4:$E$1000,C808,MOVIMIENTOS!$B$4:$B$1000,"MUESTRA")-SUMIFS(MOVIMIENTOS!$F$4:$F$1000,MOVIMIENTOS!$C$4:$C$1000,A808,MOVIMIENTOS!$D$4:$D$1000,B808,MOVIMIENTOS!$E$4:$E$1000,C808,MOVIMIENTOS!$B$4:$B$1000,"AJUSTE-"),0)</f>
        <v>0</v>
      </c>
      <c r="F808" s="101">
        <f>IFERROR(E808*VLOOKUP(B808,TELAS!$A$4:$C$32,3,FALSE()),0)</f>
        <v>0</v>
      </c>
      <c r="G808" s="102">
        <f>IFERROR(IF(D808="OSCURO",VLOOKUP(B808,PRECIOS!$A$4:$F$32,2,FALSE()),IF(D808="CLARO",VLOOKUP(B808,PRECIOS!$A$4:$F$32,3,FALSE()),IF(D808="MELANGE",VLOOKUP(B808,PRECIOS!$A$4:$F$32,4,FALSE()),IF(D808="PPT",VLOOKUP(B808,PRECIOS!$A$4:$F$32,5,FALSE()),0)))),0)</f>
        <v>21</v>
      </c>
      <c r="H808" s="103">
        <f t="shared" si="1"/>
        <v>0</v>
      </c>
      <c r="I808" s="104" t="str">
        <f>IF(E808&lt;0,"ERROR",IF(E808=0,"",IF(E808&lt;CONFIG!$B$4,"CRÍTICO",IF(E808&lt;CONFIG!$B$5,"BAJO","OK"))))</f>
        <v/>
      </c>
    </row>
    <row r="809" ht="15.75" customHeight="1">
      <c r="A809" s="90" t="str">
        <f>IF(CLIENTES!A9="","",CLIENTES!A9)</f>
        <v/>
      </c>
      <c r="B809" s="67" t="str">
        <f>TELAS!A9</f>
        <v>rib 2x1 lycrado</v>
      </c>
      <c r="C809" s="67" t="str">
        <f>COLORES!A9</f>
        <v>Melange</v>
      </c>
      <c r="D809" s="67" t="str">
        <f>COLORES!B9</f>
        <v>MELANGE</v>
      </c>
      <c r="E809" s="100">
        <f>IFERROR(SUMIFS(MOVIMIENTOS!$F$4:$F$1000,MOVIMIENTOS!$C$4:$C$1000,A809,MOVIMIENTOS!$D$4:$D$1000,B809,MOVIMIENTOS!$E$4:$E$1000,C809,MOVIMIENTOS!$B$4:$B$1000,"INGRESO")+SUMIFS(MOVIMIENTOS!$F$4:$F$1000,MOVIMIENTOS!$C$4:$C$1000,A809,MOVIMIENTOS!$D$4:$D$1000,B809,MOVIMIENTOS!$E$4:$E$1000,C809,MOVIMIENTOS!$B$4:$B$1000,"DE REPROCESO")+SUMIFS(MOVIMIENTOS!$F$4:$F$1000,MOVIMIENTOS!$C$4:$C$1000,A809,MOVIMIENTOS!$D$4:$D$1000,B809,MOVIMIENTOS!$E$4:$E$1000,C809,MOVIMIENTOS!$B$4:$B$1000,"AJUSTE+")-SUMIFS(MOVIMIENTOS!$F$4:$F$1000,MOVIMIENTOS!$C$4:$C$1000,A809,MOVIMIENTOS!$D$4:$D$1000,B809,MOVIMIENTOS!$E$4:$E$1000,C809,MOVIMIENTOS!$B$4:$B$1000,"A CORTE")-SUMIFS(MOVIMIENTOS!$F$4:$F$1000,MOVIMIENTOS!$C$4:$C$1000,A809,MOVIMIENTOS!$D$4:$D$1000,B809,MOVIMIENTOS!$E$4:$E$1000,C809,MOVIMIENTOS!$B$4:$B$1000,"A REPROCESO")-SUMIFS(MOVIMIENTOS!$F$4:$F$1000,MOVIMIENTOS!$C$4:$C$1000,A809,MOVIMIENTOS!$D$4:$D$1000,B809,MOVIMIENTOS!$E$4:$E$1000,C809,MOVIMIENTOS!$B$4:$B$1000,"MUESTRA")-SUMIFS(MOVIMIENTOS!$F$4:$F$1000,MOVIMIENTOS!$C$4:$C$1000,A809,MOVIMIENTOS!$D$4:$D$1000,B809,MOVIMIENTOS!$E$4:$E$1000,C809,MOVIMIENTOS!$B$4:$B$1000,"AJUSTE-"),0)</f>
        <v>0</v>
      </c>
      <c r="F809" s="101">
        <f>IFERROR(E809*VLOOKUP(B809,TELAS!$A$4:$C$32,3,FALSE()),0)</f>
        <v>0</v>
      </c>
      <c r="G809" s="102">
        <f>IFERROR(IF(D809="OSCURO",VLOOKUP(B809,PRECIOS!$A$4:$F$32,2,FALSE()),IF(D809="CLARO",VLOOKUP(B809,PRECIOS!$A$4:$F$32,3,FALSE()),IF(D809="MELANGE",VLOOKUP(B809,PRECIOS!$A$4:$F$32,4,FALSE()),IF(D809="PPT",VLOOKUP(B809,PRECIOS!$A$4:$F$32,5,FALSE()),0)))),0)</f>
        <v>18</v>
      </c>
      <c r="H809" s="103">
        <f t="shared" si="1"/>
        <v>0</v>
      </c>
      <c r="I809" s="104" t="str">
        <f>IF(E809&lt;0,"ERROR",IF(E809=0,"",IF(E809&lt;CONFIG!$B$4,"CRÍTICO",IF(E809&lt;CONFIG!$B$5,"BAJO","OK"))))</f>
        <v/>
      </c>
    </row>
    <row r="810" ht="15.75" customHeight="1">
      <c r="A810" s="90" t="str">
        <f>IF(CLIENTES!A9="","",CLIENTES!A9)</f>
        <v/>
      </c>
      <c r="B810" s="67" t="str">
        <f>TELAS!A9</f>
        <v>rib 2x1 lycrado</v>
      </c>
      <c r="C810" s="67" t="str">
        <f>COLORES!A10</f>
        <v>Botella</v>
      </c>
      <c r="D810" s="67" t="str">
        <f>COLORES!B10</f>
        <v>OSCURO</v>
      </c>
      <c r="E810" s="100">
        <f>IFERROR(SUMIFS(MOVIMIENTOS!$F$4:$F$1000,MOVIMIENTOS!$C$4:$C$1000,A810,MOVIMIENTOS!$D$4:$D$1000,B810,MOVIMIENTOS!$E$4:$E$1000,C810,MOVIMIENTOS!$B$4:$B$1000,"INGRESO")+SUMIFS(MOVIMIENTOS!$F$4:$F$1000,MOVIMIENTOS!$C$4:$C$1000,A810,MOVIMIENTOS!$D$4:$D$1000,B810,MOVIMIENTOS!$E$4:$E$1000,C810,MOVIMIENTOS!$B$4:$B$1000,"DE REPROCESO")+SUMIFS(MOVIMIENTOS!$F$4:$F$1000,MOVIMIENTOS!$C$4:$C$1000,A810,MOVIMIENTOS!$D$4:$D$1000,B810,MOVIMIENTOS!$E$4:$E$1000,C810,MOVIMIENTOS!$B$4:$B$1000,"AJUSTE+")-SUMIFS(MOVIMIENTOS!$F$4:$F$1000,MOVIMIENTOS!$C$4:$C$1000,A810,MOVIMIENTOS!$D$4:$D$1000,B810,MOVIMIENTOS!$E$4:$E$1000,C810,MOVIMIENTOS!$B$4:$B$1000,"A CORTE")-SUMIFS(MOVIMIENTOS!$F$4:$F$1000,MOVIMIENTOS!$C$4:$C$1000,A810,MOVIMIENTOS!$D$4:$D$1000,B810,MOVIMIENTOS!$E$4:$E$1000,C810,MOVIMIENTOS!$B$4:$B$1000,"A REPROCESO")-SUMIFS(MOVIMIENTOS!$F$4:$F$1000,MOVIMIENTOS!$C$4:$C$1000,A810,MOVIMIENTOS!$D$4:$D$1000,B810,MOVIMIENTOS!$E$4:$E$1000,C810,MOVIMIENTOS!$B$4:$B$1000,"MUESTRA")-SUMIFS(MOVIMIENTOS!$F$4:$F$1000,MOVIMIENTOS!$C$4:$C$1000,A810,MOVIMIENTOS!$D$4:$D$1000,B810,MOVIMIENTOS!$E$4:$E$1000,C810,MOVIMIENTOS!$B$4:$B$1000,"AJUSTE-"),0)</f>
        <v>0</v>
      </c>
      <c r="F810" s="101">
        <f>IFERROR(E810*VLOOKUP(B810,TELAS!$A$4:$C$32,3,FALSE()),0)</f>
        <v>0</v>
      </c>
      <c r="G810" s="102">
        <f>IFERROR(IF(D810="OSCURO",VLOOKUP(B810,PRECIOS!$A$4:$F$32,2,FALSE()),IF(D810="CLARO",VLOOKUP(B810,PRECIOS!$A$4:$F$32,3,FALSE()),IF(D810="MELANGE",VLOOKUP(B810,PRECIOS!$A$4:$F$32,4,FALSE()),IF(D810="PPT",VLOOKUP(B810,PRECIOS!$A$4:$F$32,5,FALSE()),0)))),0)</f>
        <v>24</v>
      </c>
      <c r="H810" s="103">
        <f t="shared" si="1"/>
        <v>0</v>
      </c>
      <c r="I810" s="104" t="str">
        <f>IF(E810&lt;0,"ERROR",IF(E810=0,"",IF(E810&lt;CONFIG!$B$4,"CRÍTICO",IF(E810&lt;CONFIG!$B$5,"BAJO","OK"))))</f>
        <v/>
      </c>
    </row>
    <row r="811" ht="15.75" customHeight="1">
      <c r="A811" s="90" t="str">
        <f>IF(CLIENTES!A9="","",CLIENTES!A9)</f>
        <v/>
      </c>
      <c r="B811" s="67" t="str">
        <f>TELAS!A9</f>
        <v>rib 2x1 lycrado</v>
      </c>
      <c r="C811" s="67" t="str">
        <f>COLORES!A11</f>
        <v>Pacay</v>
      </c>
      <c r="D811" s="67" t="str">
        <f>COLORES!B11</f>
        <v>CLARO</v>
      </c>
      <c r="E811" s="100">
        <f>IFERROR(SUMIFS(MOVIMIENTOS!$F$4:$F$1000,MOVIMIENTOS!$C$4:$C$1000,A811,MOVIMIENTOS!$D$4:$D$1000,B811,MOVIMIENTOS!$E$4:$E$1000,C811,MOVIMIENTOS!$B$4:$B$1000,"INGRESO")+SUMIFS(MOVIMIENTOS!$F$4:$F$1000,MOVIMIENTOS!$C$4:$C$1000,A811,MOVIMIENTOS!$D$4:$D$1000,B811,MOVIMIENTOS!$E$4:$E$1000,C811,MOVIMIENTOS!$B$4:$B$1000,"DE REPROCESO")+SUMIFS(MOVIMIENTOS!$F$4:$F$1000,MOVIMIENTOS!$C$4:$C$1000,A811,MOVIMIENTOS!$D$4:$D$1000,B811,MOVIMIENTOS!$E$4:$E$1000,C811,MOVIMIENTOS!$B$4:$B$1000,"AJUSTE+")-SUMIFS(MOVIMIENTOS!$F$4:$F$1000,MOVIMIENTOS!$C$4:$C$1000,A811,MOVIMIENTOS!$D$4:$D$1000,B811,MOVIMIENTOS!$E$4:$E$1000,C811,MOVIMIENTOS!$B$4:$B$1000,"A CORTE")-SUMIFS(MOVIMIENTOS!$F$4:$F$1000,MOVIMIENTOS!$C$4:$C$1000,A811,MOVIMIENTOS!$D$4:$D$1000,B811,MOVIMIENTOS!$E$4:$E$1000,C811,MOVIMIENTOS!$B$4:$B$1000,"A REPROCESO")-SUMIFS(MOVIMIENTOS!$F$4:$F$1000,MOVIMIENTOS!$C$4:$C$1000,A811,MOVIMIENTOS!$D$4:$D$1000,B811,MOVIMIENTOS!$E$4:$E$1000,C811,MOVIMIENTOS!$B$4:$B$1000,"MUESTRA")-SUMIFS(MOVIMIENTOS!$F$4:$F$1000,MOVIMIENTOS!$C$4:$C$1000,A811,MOVIMIENTOS!$D$4:$D$1000,B811,MOVIMIENTOS!$E$4:$E$1000,C811,MOVIMIENTOS!$B$4:$B$1000,"AJUSTE-"),0)</f>
        <v>0</v>
      </c>
      <c r="F811" s="101">
        <f>IFERROR(E811*VLOOKUP(B811,TELAS!$A$4:$C$32,3,FALSE()),0)</f>
        <v>0</v>
      </c>
      <c r="G811" s="102">
        <f>IFERROR(IF(D811="OSCURO",VLOOKUP(B811,PRECIOS!$A$4:$F$32,2,FALSE()),IF(D811="CLARO",VLOOKUP(B811,PRECIOS!$A$4:$F$32,3,FALSE()),IF(D811="MELANGE",VLOOKUP(B811,PRECIOS!$A$4:$F$32,4,FALSE()),IF(D811="PPT",VLOOKUP(B811,PRECIOS!$A$4:$F$32,5,FALSE()),0)))),0)</f>
        <v>21</v>
      </c>
      <c r="H811" s="103">
        <f t="shared" si="1"/>
        <v>0</v>
      </c>
      <c r="I811" s="104" t="str">
        <f>IF(E811&lt;0,"ERROR",IF(E811=0,"",IF(E811&lt;CONFIG!$B$4,"CRÍTICO",IF(E811&lt;CONFIG!$B$5,"BAJO","OK"))))</f>
        <v/>
      </c>
    </row>
    <row r="812" ht="15.75" customHeight="1">
      <c r="A812" s="90" t="str">
        <f>IF(CLIENTES!A9="","",CLIENTES!A9)</f>
        <v/>
      </c>
      <c r="B812" s="67" t="str">
        <f>TELAS!A9</f>
        <v>rib 2x1 lycrado</v>
      </c>
      <c r="C812" s="67" t="str">
        <f>COLORES!A12</f>
        <v>Cemento</v>
      </c>
      <c r="D812" s="67" t="str">
        <f>COLORES!B12</f>
        <v>CLARO</v>
      </c>
      <c r="E812" s="100">
        <f>IFERROR(SUMIFS(MOVIMIENTOS!$F$4:$F$1000,MOVIMIENTOS!$C$4:$C$1000,A812,MOVIMIENTOS!$D$4:$D$1000,B812,MOVIMIENTOS!$E$4:$E$1000,C812,MOVIMIENTOS!$B$4:$B$1000,"INGRESO")+SUMIFS(MOVIMIENTOS!$F$4:$F$1000,MOVIMIENTOS!$C$4:$C$1000,A812,MOVIMIENTOS!$D$4:$D$1000,B812,MOVIMIENTOS!$E$4:$E$1000,C812,MOVIMIENTOS!$B$4:$B$1000,"DE REPROCESO")+SUMIFS(MOVIMIENTOS!$F$4:$F$1000,MOVIMIENTOS!$C$4:$C$1000,A812,MOVIMIENTOS!$D$4:$D$1000,B812,MOVIMIENTOS!$E$4:$E$1000,C812,MOVIMIENTOS!$B$4:$B$1000,"AJUSTE+")-SUMIFS(MOVIMIENTOS!$F$4:$F$1000,MOVIMIENTOS!$C$4:$C$1000,A812,MOVIMIENTOS!$D$4:$D$1000,B812,MOVIMIENTOS!$E$4:$E$1000,C812,MOVIMIENTOS!$B$4:$B$1000,"A CORTE")-SUMIFS(MOVIMIENTOS!$F$4:$F$1000,MOVIMIENTOS!$C$4:$C$1000,A812,MOVIMIENTOS!$D$4:$D$1000,B812,MOVIMIENTOS!$E$4:$E$1000,C812,MOVIMIENTOS!$B$4:$B$1000,"A REPROCESO")-SUMIFS(MOVIMIENTOS!$F$4:$F$1000,MOVIMIENTOS!$C$4:$C$1000,A812,MOVIMIENTOS!$D$4:$D$1000,B812,MOVIMIENTOS!$E$4:$E$1000,C812,MOVIMIENTOS!$B$4:$B$1000,"MUESTRA")-SUMIFS(MOVIMIENTOS!$F$4:$F$1000,MOVIMIENTOS!$C$4:$C$1000,A812,MOVIMIENTOS!$D$4:$D$1000,B812,MOVIMIENTOS!$E$4:$E$1000,C812,MOVIMIENTOS!$B$4:$B$1000,"AJUSTE-"),0)</f>
        <v>0</v>
      </c>
      <c r="F812" s="101">
        <f>IFERROR(E812*VLOOKUP(B812,TELAS!$A$4:$C$32,3,FALSE()),0)</f>
        <v>0</v>
      </c>
      <c r="G812" s="102">
        <f>IFERROR(IF(D812="OSCURO",VLOOKUP(B812,PRECIOS!$A$4:$F$32,2,FALSE()),IF(D812="CLARO",VLOOKUP(B812,PRECIOS!$A$4:$F$32,3,FALSE()),IF(D812="MELANGE",VLOOKUP(B812,PRECIOS!$A$4:$F$32,4,FALSE()),IF(D812="PPT",VLOOKUP(B812,PRECIOS!$A$4:$F$32,5,FALSE()),0)))),0)</f>
        <v>21</v>
      </c>
      <c r="H812" s="103">
        <f t="shared" si="1"/>
        <v>0</v>
      </c>
      <c r="I812" s="104" t="str">
        <f>IF(E812&lt;0,"ERROR",IF(E812=0,"",IF(E812&lt;CONFIG!$B$4,"CRÍTICO",IF(E812&lt;CONFIG!$B$5,"BAJO","OK"))))</f>
        <v/>
      </c>
    </row>
    <row r="813" ht="15.75" customHeight="1">
      <c r="A813" s="90" t="str">
        <f>IF(CLIENTES!A9="","",CLIENTES!A9)</f>
        <v/>
      </c>
      <c r="B813" s="67" t="str">
        <f>TELAS!A9</f>
        <v>rib 2x1 lycrado</v>
      </c>
      <c r="C813" s="67" t="str">
        <f>COLORES!A13</f>
        <v>Camote</v>
      </c>
      <c r="D813" s="67" t="str">
        <f>COLORES!B13</f>
        <v>CLARO</v>
      </c>
      <c r="E813" s="100">
        <f>IFERROR(SUMIFS(MOVIMIENTOS!$F$4:$F$1000,MOVIMIENTOS!$C$4:$C$1000,A813,MOVIMIENTOS!$D$4:$D$1000,B813,MOVIMIENTOS!$E$4:$E$1000,C813,MOVIMIENTOS!$B$4:$B$1000,"INGRESO")+SUMIFS(MOVIMIENTOS!$F$4:$F$1000,MOVIMIENTOS!$C$4:$C$1000,A813,MOVIMIENTOS!$D$4:$D$1000,B813,MOVIMIENTOS!$E$4:$E$1000,C813,MOVIMIENTOS!$B$4:$B$1000,"DE REPROCESO")+SUMIFS(MOVIMIENTOS!$F$4:$F$1000,MOVIMIENTOS!$C$4:$C$1000,A813,MOVIMIENTOS!$D$4:$D$1000,B813,MOVIMIENTOS!$E$4:$E$1000,C813,MOVIMIENTOS!$B$4:$B$1000,"AJUSTE+")-SUMIFS(MOVIMIENTOS!$F$4:$F$1000,MOVIMIENTOS!$C$4:$C$1000,A813,MOVIMIENTOS!$D$4:$D$1000,B813,MOVIMIENTOS!$E$4:$E$1000,C813,MOVIMIENTOS!$B$4:$B$1000,"A CORTE")-SUMIFS(MOVIMIENTOS!$F$4:$F$1000,MOVIMIENTOS!$C$4:$C$1000,A813,MOVIMIENTOS!$D$4:$D$1000,B813,MOVIMIENTOS!$E$4:$E$1000,C813,MOVIMIENTOS!$B$4:$B$1000,"A REPROCESO")-SUMIFS(MOVIMIENTOS!$F$4:$F$1000,MOVIMIENTOS!$C$4:$C$1000,A813,MOVIMIENTOS!$D$4:$D$1000,B813,MOVIMIENTOS!$E$4:$E$1000,C813,MOVIMIENTOS!$B$4:$B$1000,"MUESTRA")-SUMIFS(MOVIMIENTOS!$F$4:$F$1000,MOVIMIENTOS!$C$4:$C$1000,A813,MOVIMIENTOS!$D$4:$D$1000,B813,MOVIMIENTOS!$E$4:$E$1000,C813,MOVIMIENTOS!$B$4:$B$1000,"AJUSTE-"),0)</f>
        <v>0</v>
      </c>
      <c r="F813" s="101">
        <f>IFERROR(E813*VLOOKUP(B813,TELAS!$A$4:$C$32,3,FALSE()),0)</f>
        <v>0</v>
      </c>
      <c r="G813" s="102">
        <f>IFERROR(IF(D813="OSCURO",VLOOKUP(B813,PRECIOS!$A$4:$F$32,2,FALSE()),IF(D813="CLARO",VLOOKUP(B813,PRECIOS!$A$4:$F$32,3,FALSE()),IF(D813="MELANGE",VLOOKUP(B813,PRECIOS!$A$4:$F$32,4,FALSE()),IF(D813="PPT",VLOOKUP(B813,PRECIOS!$A$4:$F$32,5,FALSE()),0)))),0)</f>
        <v>21</v>
      </c>
      <c r="H813" s="103">
        <f t="shared" si="1"/>
        <v>0</v>
      </c>
      <c r="I813" s="104" t="str">
        <f>IF(E813&lt;0,"ERROR",IF(E813=0,"",IF(E813&lt;CONFIG!$B$4,"CRÍTICO",IF(E813&lt;CONFIG!$B$5,"BAJO","OK"))))</f>
        <v/>
      </c>
    </row>
    <row r="814" ht="15.75" customHeight="1">
      <c r="A814" s="90" t="str">
        <f>IF(CLIENTES!A9="","",CLIENTES!A9)</f>
        <v/>
      </c>
      <c r="B814" s="67" t="str">
        <f>TELAS!A9</f>
        <v>rib 2x1 lycrado</v>
      </c>
      <c r="C814" s="67" t="str">
        <f>COLORES!A14</f>
        <v>Denim</v>
      </c>
      <c r="D814" s="67" t="str">
        <f>COLORES!B14</f>
        <v>CLARO</v>
      </c>
      <c r="E814" s="100">
        <f>IFERROR(SUMIFS(MOVIMIENTOS!$F$4:$F$1000,MOVIMIENTOS!$C$4:$C$1000,A814,MOVIMIENTOS!$D$4:$D$1000,B814,MOVIMIENTOS!$E$4:$E$1000,C814,MOVIMIENTOS!$B$4:$B$1000,"INGRESO")+SUMIFS(MOVIMIENTOS!$F$4:$F$1000,MOVIMIENTOS!$C$4:$C$1000,A814,MOVIMIENTOS!$D$4:$D$1000,B814,MOVIMIENTOS!$E$4:$E$1000,C814,MOVIMIENTOS!$B$4:$B$1000,"DE REPROCESO")+SUMIFS(MOVIMIENTOS!$F$4:$F$1000,MOVIMIENTOS!$C$4:$C$1000,A814,MOVIMIENTOS!$D$4:$D$1000,B814,MOVIMIENTOS!$E$4:$E$1000,C814,MOVIMIENTOS!$B$4:$B$1000,"AJUSTE+")-SUMIFS(MOVIMIENTOS!$F$4:$F$1000,MOVIMIENTOS!$C$4:$C$1000,A814,MOVIMIENTOS!$D$4:$D$1000,B814,MOVIMIENTOS!$E$4:$E$1000,C814,MOVIMIENTOS!$B$4:$B$1000,"A CORTE")-SUMIFS(MOVIMIENTOS!$F$4:$F$1000,MOVIMIENTOS!$C$4:$C$1000,A814,MOVIMIENTOS!$D$4:$D$1000,B814,MOVIMIENTOS!$E$4:$E$1000,C814,MOVIMIENTOS!$B$4:$B$1000,"A REPROCESO")-SUMIFS(MOVIMIENTOS!$F$4:$F$1000,MOVIMIENTOS!$C$4:$C$1000,A814,MOVIMIENTOS!$D$4:$D$1000,B814,MOVIMIENTOS!$E$4:$E$1000,C814,MOVIMIENTOS!$B$4:$B$1000,"MUESTRA")-SUMIFS(MOVIMIENTOS!$F$4:$F$1000,MOVIMIENTOS!$C$4:$C$1000,A814,MOVIMIENTOS!$D$4:$D$1000,B814,MOVIMIENTOS!$E$4:$E$1000,C814,MOVIMIENTOS!$B$4:$B$1000,"AJUSTE-"),0)</f>
        <v>0</v>
      </c>
      <c r="F814" s="101">
        <f>IFERROR(E814*VLOOKUP(B814,TELAS!$A$4:$C$32,3,FALSE()),0)</f>
        <v>0</v>
      </c>
      <c r="G814" s="102">
        <f>IFERROR(IF(D814="OSCURO",VLOOKUP(B814,PRECIOS!$A$4:$F$32,2,FALSE()),IF(D814="CLARO",VLOOKUP(B814,PRECIOS!$A$4:$F$32,3,FALSE()),IF(D814="MELANGE",VLOOKUP(B814,PRECIOS!$A$4:$F$32,4,FALSE()),IF(D814="PPT",VLOOKUP(B814,PRECIOS!$A$4:$F$32,5,FALSE()),0)))),0)</f>
        <v>21</v>
      </c>
      <c r="H814" s="103">
        <f t="shared" si="1"/>
        <v>0</v>
      </c>
      <c r="I814" s="104" t="str">
        <f>IF(E814&lt;0,"ERROR",IF(E814=0,"",IF(E814&lt;CONFIG!$B$4,"CRÍTICO",IF(E814&lt;CONFIG!$B$5,"BAJO","OK"))))</f>
        <v/>
      </c>
    </row>
    <row r="815" ht="15.75" customHeight="1">
      <c r="A815" s="90" t="str">
        <f>IF(CLIENTES!A9="","",CLIENTES!A9)</f>
        <v/>
      </c>
      <c r="B815" s="67" t="str">
        <f>TELAS!A9</f>
        <v>rib 2x1 lycrado</v>
      </c>
      <c r="C815" s="67" t="str">
        <f>COLORES!A15</f>
        <v>Plomo</v>
      </c>
      <c r="D815" s="67" t="str">
        <f>COLORES!B15</f>
        <v>OSCURO</v>
      </c>
      <c r="E815" s="100">
        <f>IFERROR(SUMIFS(MOVIMIENTOS!$F$4:$F$1000,MOVIMIENTOS!$C$4:$C$1000,A815,MOVIMIENTOS!$D$4:$D$1000,B815,MOVIMIENTOS!$E$4:$E$1000,C815,MOVIMIENTOS!$B$4:$B$1000,"INGRESO")+SUMIFS(MOVIMIENTOS!$F$4:$F$1000,MOVIMIENTOS!$C$4:$C$1000,A815,MOVIMIENTOS!$D$4:$D$1000,B815,MOVIMIENTOS!$E$4:$E$1000,C815,MOVIMIENTOS!$B$4:$B$1000,"DE REPROCESO")+SUMIFS(MOVIMIENTOS!$F$4:$F$1000,MOVIMIENTOS!$C$4:$C$1000,A815,MOVIMIENTOS!$D$4:$D$1000,B815,MOVIMIENTOS!$E$4:$E$1000,C815,MOVIMIENTOS!$B$4:$B$1000,"AJUSTE+")-SUMIFS(MOVIMIENTOS!$F$4:$F$1000,MOVIMIENTOS!$C$4:$C$1000,A815,MOVIMIENTOS!$D$4:$D$1000,B815,MOVIMIENTOS!$E$4:$E$1000,C815,MOVIMIENTOS!$B$4:$B$1000,"A CORTE")-SUMIFS(MOVIMIENTOS!$F$4:$F$1000,MOVIMIENTOS!$C$4:$C$1000,A815,MOVIMIENTOS!$D$4:$D$1000,B815,MOVIMIENTOS!$E$4:$E$1000,C815,MOVIMIENTOS!$B$4:$B$1000,"A REPROCESO")-SUMIFS(MOVIMIENTOS!$F$4:$F$1000,MOVIMIENTOS!$C$4:$C$1000,A815,MOVIMIENTOS!$D$4:$D$1000,B815,MOVIMIENTOS!$E$4:$E$1000,C815,MOVIMIENTOS!$B$4:$B$1000,"MUESTRA")-SUMIFS(MOVIMIENTOS!$F$4:$F$1000,MOVIMIENTOS!$C$4:$C$1000,A815,MOVIMIENTOS!$D$4:$D$1000,B815,MOVIMIENTOS!$E$4:$E$1000,C815,MOVIMIENTOS!$B$4:$B$1000,"AJUSTE-"),0)</f>
        <v>0</v>
      </c>
      <c r="F815" s="101">
        <f>IFERROR(E815*VLOOKUP(B815,TELAS!$A$4:$C$32,3,FALSE()),0)</f>
        <v>0</v>
      </c>
      <c r="G815" s="102">
        <f>IFERROR(IF(D815="OSCURO",VLOOKUP(B815,PRECIOS!$A$4:$F$32,2,FALSE()),IF(D815="CLARO",VLOOKUP(B815,PRECIOS!$A$4:$F$32,3,FALSE()),IF(D815="MELANGE",VLOOKUP(B815,PRECIOS!$A$4:$F$32,4,FALSE()),IF(D815="PPT",VLOOKUP(B815,PRECIOS!$A$4:$F$32,5,FALSE()),0)))),0)</f>
        <v>24</v>
      </c>
      <c r="H815" s="103">
        <f t="shared" si="1"/>
        <v>0</v>
      </c>
      <c r="I815" s="104" t="str">
        <f>IF(E815&lt;0,"ERROR",IF(E815=0,"",IF(E815&lt;CONFIG!$B$4,"CRÍTICO",IF(E815&lt;CONFIG!$B$5,"BAJO","OK"))))</f>
        <v/>
      </c>
    </row>
    <row r="816" ht="15.75" customHeight="1">
      <c r="A816" s="90" t="str">
        <f>IF(CLIENTES!A9="","",CLIENTES!A9)</f>
        <v/>
      </c>
      <c r="B816" s="67" t="str">
        <f>TELAS!A9</f>
        <v>rib 2x1 lycrado</v>
      </c>
      <c r="C816" s="67" t="str">
        <f>COLORES!A16</f>
        <v>Topo</v>
      </c>
      <c r="D816" s="67" t="str">
        <f>COLORES!B16</f>
        <v>CLARO</v>
      </c>
      <c r="E816" s="100">
        <f>IFERROR(SUMIFS(MOVIMIENTOS!$F$4:$F$1000,MOVIMIENTOS!$C$4:$C$1000,A816,MOVIMIENTOS!$D$4:$D$1000,B816,MOVIMIENTOS!$E$4:$E$1000,C816,MOVIMIENTOS!$B$4:$B$1000,"INGRESO")+SUMIFS(MOVIMIENTOS!$F$4:$F$1000,MOVIMIENTOS!$C$4:$C$1000,A816,MOVIMIENTOS!$D$4:$D$1000,B816,MOVIMIENTOS!$E$4:$E$1000,C816,MOVIMIENTOS!$B$4:$B$1000,"DE REPROCESO")+SUMIFS(MOVIMIENTOS!$F$4:$F$1000,MOVIMIENTOS!$C$4:$C$1000,A816,MOVIMIENTOS!$D$4:$D$1000,B816,MOVIMIENTOS!$E$4:$E$1000,C816,MOVIMIENTOS!$B$4:$B$1000,"AJUSTE+")-SUMIFS(MOVIMIENTOS!$F$4:$F$1000,MOVIMIENTOS!$C$4:$C$1000,A816,MOVIMIENTOS!$D$4:$D$1000,B816,MOVIMIENTOS!$E$4:$E$1000,C816,MOVIMIENTOS!$B$4:$B$1000,"A CORTE")-SUMIFS(MOVIMIENTOS!$F$4:$F$1000,MOVIMIENTOS!$C$4:$C$1000,A816,MOVIMIENTOS!$D$4:$D$1000,B816,MOVIMIENTOS!$E$4:$E$1000,C816,MOVIMIENTOS!$B$4:$B$1000,"A REPROCESO")-SUMIFS(MOVIMIENTOS!$F$4:$F$1000,MOVIMIENTOS!$C$4:$C$1000,A816,MOVIMIENTOS!$D$4:$D$1000,B816,MOVIMIENTOS!$E$4:$E$1000,C816,MOVIMIENTOS!$B$4:$B$1000,"MUESTRA")-SUMIFS(MOVIMIENTOS!$F$4:$F$1000,MOVIMIENTOS!$C$4:$C$1000,A816,MOVIMIENTOS!$D$4:$D$1000,B816,MOVIMIENTOS!$E$4:$E$1000,C816,MOVIMIENTOS!$B$4:$B$1000,"AJUSTE-"),0)</f>
        <v>0</v>
      </c>
      <c r="F816" s="101">
        <f>IFERROR(E816*VLOOKUP(B816,TELAS!$A$4:$C$32,3,FALSE()),0)</f>
        <v>0</v>
      </c>
      <c r="G816" s="102">
        <f>IFERROR(IF(D816="OSCURO",VLOOKUP(B816,PRECIOS!$A$4:$F$32,2,FALSE()),IF(D816="CLARO",VLOOKUP(B816,PRECIOS!$A$4:$F$32,3,FALSE()),IF(D816="MELANGE",VLOOKUP(B816,PRECIOS!$A$4:$F$32,4,FALSE()),IF(D816="PPT",VLOOKUP(B816,PRECIOS!$A$4:$F$32,5,FALSE()),0)))),0)</f>
        <v>21</v>
      </c>
      <c r="H816" s="103">
        <f t="shared" si="1"/>
        <v>0</v>
      </c>
      <c r="I816" s="104" t="str">
        <f>IF(E816&lt;0,"ERROR",IF(E816=0,"",IF(E816&lt;CONFIG!$B$4,"CRÍTICO",IF(E816&lt;CONFIG!$B$5,"BAJO","OK"))))</f>
        <v/>
      </c>
    </row>
    <row r="817" ht="15.75" customHeight="1">
      <c r="A817" s="90" t="str">
        <f>IF(CLIENTES!A9="","",CLIENTES!A9)</f>
        <v/>
      </c>
      <c r="B817" s="67" t="str">
        <f>TELAS!A9</f>
        <v>rib 2x1 lycrado</v>
      </c>
      <c r="C817" s="67" t="str">
        <f>COLORES!A17</f>
        <v>Vino</v>
      </c>
      <c r="D817" s="67" t="str">
        <f>COLORES!B17</f>
        <v>OSCURO</v>
      </c>
      <c r="E817" s="100">
        <f>IFERROR(SUMIFS(MOVIMIENTOS!$F$4:$F$1000,MOVIMIENTOS!$C$4:$C$1000,A817,MOVIMIENTOS!$D$4:$D$1000,B817,MOVIMIENTOS!$E$4:$E$1000,C817,MOVIMIENTOS!$B$4:$B$1000,"INGRESO")+SUMIFS(MOVIMIENTOS!$F$4:$F$1000,MOVIMIENTOS!$C$4:$C$1000,A817,MOVIMIENTOS!$D$4:$D$1000,B817,MOVIMIENTOS!$E$4:$E$1000,C817,MOVIMIENTOS!$B$4:$B$1000,"DE REPROCESO")+SUMIFS(MOVIMIENTOS!$F$4:$F$1000,MOVIMIENTOS!$C$4:$C$1000,A817,MOVIMIENTOS!$D$4:$D$1000,B817,MOVIMIENTOS!$E$4:$E$1000,C817,MOVIMIENTOS!$B$4:$B$1000,"AJUSTE+")-SUMIFS(MOVIMIENTOS!$F$4:$F$1000,MOVIMIENTOS!$C$4:$C$1000,A817,MOVIMIENTOS!$D$4:$D$1000,B817,MOVIMIENTOS!$E$4:$E$1000,C817,MOVIMIENTOS!$B$4:$B$1000,"A CORTE")-SUMIFS(MOVIMIENTOS!$F$4:$F$1000,MOVIMIENTOS!$C$4:$C$1000,A817,MOVIMIENTOS!$D$4:$D$1000,B817,MOVIMIENTOS!$E$4:$E$1000,C817,MOVIMIENTOS!$B$4:$B$1000,"A REPROCESO")-SUMIFS(MOVIMIENTOS!$F$4:$F$1000,MOVIMIENTOS!$C$4:$C$1000,A817,MOVIMIENTOS!$D$4:$D$1000,B817,MOVIMIENTOS!$E$4:$E$1000,C817,MOVIMIENTOS!$B$4:$B$1000,"MUESTRA")-SUMIFS(MOVIMIENTOS!$F$4:$F$1000,MOVIMIENTOS!$C$4:$C$1000,A817,MOVIMIENTOS!$D$4:$D$1000,B817,MOVIMIENTOS!$E$4:$E$1000,C817,MOVIMIENTOS!$B$4:$B$1000,"AJUSTE-"),0)</f>
        <v>0</v>
      </c>
      <c r="F817" s="101">
        <f>IFERROR(E817*VLOOKUP(B817,TELAS!$A$4:$C$32,3,FALSE()),0)</f>
        <v>0</v>
      </c>
      <c r="G817" s="102">
        <f>IFERROR(IF(D817="OSCURO",VLOOKUP(B817,PRECIOS!$A$4:$F$32,2,FALSE()),IF(D817="CLARO",VLOOKUP(B817,PRECIOS!$A$4:$F$32,3,FALSE()),IF(D817="MELANGE",VLOOKUP(B817,PRECIOS!$A$4:$F$32,4,FALSE()),IF(D817="PPT",VLOOKUP(B817,PRECIOS!$A$4:$F$32,5,FALSE()),0)))),0)</f>
        <v>24</v>
      </c>
      <c r="H817" s="103">
        <f t="shared" si="1"/>
        <v>0</v>
      </c>
      <c r="I817" s="104" t="str">
        <f>IF(E817&lt;0,"ERROR",IF(E817=0,"",IF(E817&lt;CONFIG!$B$4,"CRÍTICO",IF(E817&lt;CONFIG!$B$5,"BAJO","OK"))))</f>
        <v/>
      </c>
    </row>
    <row r="818" ht="15.75" customHeight="1">
      <c r="A818" s="90" t="str">
        <f>IF(CLIENTES!A9="","",CLIENTES!A9)</f>
        <v/>
      </c>
      <c r="B818" s="67" t="str">
        <f>TELAS!A9</f>
        <v>rib 2x1 lycrado</v>
      </c>
      <c r="C818" s="67" t="str">
        <f>COLORES!A18</f>
        <v>P. Rosa</v>
      </c>
      <c r="D818" s="67" t="str">
        <f>COLORES!B18</f>
        <v>CLARO</v>
      </c>
      <c r="E818" s="100">
        <f>IFERROR(SUMIFS(MOVIMIENTOS!$F$4:$F$1000,MOVIMIENTOS!$C$4:$C$1000,A818,MOVIMIENTOS!$D$4:$D$1000,B818,MOVIMIENTOS!$E$4:$E$1000,C818,MOVIMIENTOS!$B$4:$B$1000,"INGRESO")+SUMIFS(MOVIMIENTOS!$F$4:$F$1000,MOVIMIENTOS!$C$4:$C$1000,A818,MOVIMIENTOS!$D$4:$D$1000,B818,MOVIMIENTOS!$E$4:$E$1000,C818,MOVIMIENTOS!$B$4:$B$1000,"DE REPROCESO")+SUMIFS(MOVIMIENTOS!$F$4:$F$1000,MOVIMIENTOS!$C$4:$C$1000,A818,MOVIMIENTOS!$D$4:$D$1000,B818,MOVIMIENTOS!$E$4:$E$1000,C818,MOVIMIENTOS!$B$4:$B$1000,"AJUSTE+")-SUMIFS(MOVIMIENTOS!$F$4:$F$1000,MOVIMIENTOS!$C$4:$C$1000,A818,MOVIMIENTOS!$D$4:$D$1000,B818,MOVIMIENTOS!$E$4:$E$1000,C818,MOVIMIENTOS!$B$4:$B$1000,"A CORTE")-SUMIFS(MOVIMIENTOS!$F$4:$F$1000,MOVIMIENTOS!$C$4:$C$1000,A818,MOVIMIENTOS!$D$4:$D$1000,B818,MOVIMIENTOS!$E$4:$E$1000,C818,MOVIMIENTOS!$B$4:$B$1000,"A REPROCESO")-SUMIFS(MOVIMIENTOS!$F$4:$F$1000,MOVIMIENTOS!$C$4:$C$1000,A818,MOVIMIENTOS!$D$4:$D$1000,B818,MOVIMIENTOS!$E$4:$E$1000,C818,MOVIMIENTOS!$B$4:$B$1000,"MUESTRA")-SUMIFS(MOVIMIENTOS!$F$4:$F$1000,MOVIMIENTOS!$C$4:$C$1000,A818,MOVIMIENTOS!$D$4:$D$1000,B818,MOVIMIENTOS!$E$4:$E$1000,C818,MOVIMIENTOS!$B$4:$B$1000,"AJUSTE-"),0)</f>
        <v>0</v>
      </c>
      <c r="F818" s="101">
        <f>IFERROR(E818*VLOOKUP(B818,TELAS!$A$4:$C$32,3,FALSE()),0)</f>
        <v>0</v>
      </c>
      <c r="G818" s="102">
        <f>IFERROR(IF(D818="OSCURO",VLOOKUP(B818,PRECIOS!$A$4:$F$32,2,FALSE()),IF(D818="CLARO",VLOOKUP(B818,PRECIOS!$A$4:$F$32,3,FALSE()),IF(D818="MELANGE",VLOOKUP(B818,PRECIOS!$A$4:$F$32,4,FALSE()),IF(D818="PPT",VLOOKUP(B818,PRECIOS!$A$4:$F$32,5,FALSE()),0)))),0)</f>
        <v>21</v>
      </c>
      <c r="H818" s="103">
        <f t="shared" si="1"/>
        <v>0</v>
      </c>
      <c r="I818" s="104" t="str">
        <f>IF(E818&lt;0,"ERROR",IF(E818=0,"",IF(E818&lt;CONFIG!$B$4,"CRÍTICO",IF(E818&lt;CONFIG!$B$5,"BAJO","OK"))))</f>
        <v/>
      </c>
    </row>
    <row r="819" ht="15.75" customHeight="1">
      <c r="A819" s="90" t="str">
        <f>IF(CLIENTES!A9="","",CLIENTES!A9)</f>
        <v/>
      </c>
      <c r="B819" s="67" t="str">
        <f>TELAS!A9</f>
        <v>rib 2x1 lycrado</v>
      </c>
      <c r="C819" s="67" t="str">
        <f>COLORES!A19</f>
        <v/>
      </c>
      <c r="D819" s="67" t="str">
        <f>COLORES!B19</f>
        <v/>
      </c>
      <c r="E819" s="100">
        <f>IFERROR(SUMIFS(MOVIMIENTOS!$F$4:$F$1000,MOVIMIENTOS!$C$4:$C$1000,A819,MOVIMIENTOS!$D$4:$D$1000,B819,MOVIMIENTOS!$E$4:$E$1000,C819,MOVIMIENTOS!$B$4:$B$1000,"INGRESO")+SUMIFS(MOVIMIENTOS!$F$4:$F$1000,MOVIMIENTOS!$C$4:$C$1000,A819,MOVIMIENTOS!$D$4:$D$1000,B819,MOVIMIENTOS!$E$4:$E$1000,C819,MOVIMIENTOS!$B$4:$B$1000,"DE REPROCESO")+SUMIFS(MOVIMIENTOS!$F$4:$F$1000,MOVIMIENTOS!$C$4:$C$1000,A819,MOVIMIENTOS!$D$4:$D$1000,B819,MOVIMIENTOS!$E$4:$E$1000,C819,MOVIMIENTOS!$B$4:$B$1000,"AJUSTE+")-SUMIFS(MOVIMIENTOS!$F$4:$F$1000,MOVIMIENTOS!$C$4:$C$1000,A819,MOVIMIENTOS!$D$4:$D$1000,B819,MOVIMIENTOS!$E$4:$E$1000,C819,MOVIMIENTOS!$B$4:$B$1000,"A CORTE")-SUMIFS(MOVIMIENTOS!$F$4:$F$1000,MOVIMIENTOS!$C$4:$C$1000,A819,MOVIMIENTOS!$D$4:$D$1000,B819,MOVIMIENTOS!$E$4:$E$1000,C819,MOVIMIENTOS!$B$4:$B$1000,"A REPROCESO")-SUMIFS(MOVIMIENTOS!$F$4:$F$1000,MOVIMIENTOS!$C$4:$C$1000,A819,MOVIMIENTOS!$D$4:$D$1000,B819,MOVIMIENTOS!$E$4:$E$1000,C819,MOVIMIENTOS!$B$4:$B$1000,"MUESTRA")-SUMIFS(MOVIMIENTOS!$F$4:$F$1000,MOVIMIENTOS!$C$4:$C$1000,A819,MOVIMIENTOS!$D$4:$D$1000,B819,MOVIMIENTOS!$E$4:$E$1000,C819,MOVIMIENTOS!$B$4:$B$1000,"AJUSTE-"),0)</f>
        <v>0</v>
      </c>
      <c r="F819" s="101">
        <f>IFERROR(E819*VLOOKUP(B819,TELAS!$A$4:$C$32,3,FALSE()),0)</f>
        <v>0</v>
      </c>
      <c r="G819" s="102">
        <f>IFERROR(IF(D819="OSCURO",VLOOKUP(B819,PRECIOS!$A$4:$F$32,2,FALSE()),IF(D819="CLARO",VLOOKUP(B819,PRECIOS!$A$4:$F$32,3,FALSE()),IF(D819="MELANGE",VLOOKUP(B819,PRECIOS!$A$4:$F$32,4,FALSE()),IF(D819="PPT",VLOOKUP(B819,PRECIOS!$A$4:$F$32,5,FALSE()),0)))),0)</f>
        <v>0</v>
      </c>
      <c r="H819" s="103">
        <f t="shared" si="1"/>
        <v>0</v>
      </c>
      <c r="I819" s="104" t="str">
        <f>IF(E819&lt;0,"ERROR",IF(E819=0,"",IF(E819&lt;CONFIG!$B$4,"CRÍTICO",IF(E819&lt;CONFIG!$B$5,"BAJO","OK"))))</f>
        <v/>
      </c>
    </row>
    <row r="820" ht="15.75" customHeight="1">
      <c r="A820" s="90" t="str">
        <f>IF(CLIENTES!A9="","",CLIENTES!A9)</f>
        <v/>
      </c>
      <c r="B820" s="67" t="str">
        <f>TELAS!A9</f>
        <v>rib 2x1 lycrado</v>
      </c>
      <c r="C820" s="67" t="str">
        <f>COLORES!A20</f>
        <v/>
      </c>
      <c r="D820" s="67" t="str">
        <f>COLORES!B20</f>
        <v/>
      </c>
      <c r="E820" s="100">
        <f>IFERROR(SUMIFS(MOVIMIENTOS!$F$4:$F$1000,MOVIMIENTOS!$C$4:$C$1000,A820,MOVIMIENTOS!$D$4:$D$1000,B820,MOVIMIENTOS!$E$4:$E$1000,C820,MOVIMIENTOS!$B$4:$B$1000,"INGRESO")+SUMIFS(MOVIMIENTOS!$F$4:$F$1000,MOVIMIENTOS!$C$4:$C$1000,A820,MOVIMIENTOS!$D$4:$D$1000,B820,MOVIMIENTOS!$E$4:$E$1000,C820,MOVIMIENTOS!$B$4:$B$1000,"DE REPROCESO")+SUMIFS(MOVIMIENTOS!$F$4:$F$1000,MOVIMIENTOS!$C$4:$C$1000,A820,MOVIMIENTOS!$D$4:$D$1000,B820,MOVIMIENTOS!$E$4:$E$1000,C820,MOVIMIENTOS!$B$4:$B$1000,"AJUSTE+")-SUMIFS(MOVIMIENTOS!$F$4:$F$1000,MOVIMIENTOS!$C$4:$C$1000,A820,MOVIMIENTOS!$D$4:$D$1000,B820,MOVIMIENTOS!$E$4:$E$1000,C820,MOVIMIENTOS!$B$4:$B$1000,"A CORTE")-SUMIFS(MOVIMIENTOS!$F$4:$F$1000,MOVIMIENTOS!$C$4:$C$1000,A820,MOVIMIENTOS!$D$4:$D$1000,B820,MOVIMIENTOS!$E$4:$E$1000,C820,MOVIMIENTOS!$B$4:$B$1000,"A REPROCESO")-SUMIFS(MOVIMIENTOS!$F$4:$F$1000,MOVIMIENTOS!$C$4:$C$1000,A820,MOVIMIENTOS!$D$4:$D$1000,B820,MOVIMIENTOS!$E$4:$E$1000,C820,MOVIMIENTOS!$B$4:$B$1000,"MUESTRA")-SUMIFS(MOVIMIENTOS!$F$4:$F$1000,MOVIMIENTOS!$C$4:$C$1000,A820,MOVIMIENTOS!$D$4:$D$1000,B820,MOVIMIENTOS!$E$4:$E$1000,C820,MOVIMIENTOS!$B$4:$B$1000,"AJUSTE-"),0)</f>
        <v>0</v>
      </c>
      <c r="F820" s="101">
        <f>IFERROR(E820*VLOOKUP(B820,TELAS!$A$4:$C$32,3,FALSE()),0)</f>
        <v>0</v>
      </c>
      <c r="G820" s="102">
        <f>IFERROR(IF(D820="OSCURO",VLOOKUP(B820,PRECIOS!$A$4:$F$32,2,FALSE()),IF(D820="CLARO",VLOOKUP(B820,PRECIOS!$A$4:$F$32,3,FALSE()),IF(D820="MELANGE",VLOOKUP(B820,PRECIOS!$A$4:$F$32,4,FALSE()),IF(D820="PPT",VLOOKUP(B820,PRECIOS!$A$4:$F$32,5,FALSE()),0)))),0)</f>
        <v>0</v>
      </c>
      <c r="H820" s="103">
        <f t="shared" si="1"/>
        <v>0</v>
      </c>
      <c r="I820" s="104" t="str">
        <f>IF(E820&lt;0,"ERROR",IF(E820=0,"",IF(E820&lt;CONFIG!$B$4,"CRÍTICO",IF(E820&lt;CONFIG!$B$5,"BAJO","OK"))))</f>
        <v/>
      </c>
    </row>
    <row r="821" ht="15.75" customHeight="1">
      <c r="A821" s="90" t="str">
        <f>IF(CLIENTES!A9="","",CLIENTES!A9)</f>
        <v/>
      </c>
      <c r="B821" s="67" t="str">
        <f>TELAS!A9</f>
        <v>rib 2x1 lycrado</v>
      </c>
      <c r="C821" s="67" t="str">
        <f>COLORES!A21</f>
        <v/>
      </c>
      <c r="D821" s="67" t="str">
        <f>COLORES!B21</f>
        <v/>
      </c>
      <c r="E821" s="100">
        <f>IFERROR(SUMIFS(MOVIMIENTOS!$F$4:$F$1000,MOVIMIENTOS!$C$4:$C$1000,A821,MOVIMIENTOS!$D$4:$D$1000,B821,MOVIMIENTOS!$E$4:$E$1000,C821,MOVIMIENTOS!$B$4:$B$1000,"INGRESO")+SUMIFS(MOVIMIENTOS!$F$4:$F$1000,MOVIMIENTOS!$C$4:$C$1000,A821,MOVIMIENTOS!$D$4:$D$1000,B821,MOVIMIENTOS!$E$4:$E$1000,C821,MOVIMIENTOS!$B$4:$B$1000,"DE REPROCESO")+SUMIFS(MOVIMIENTOS!$F$4:$F$1000,MOVIMIENTOS!$C$4:$C$1000,A821,MOVIMIENTOS!$D$4:$D$1000,B821,MOVIMIENTOS!$E$4:$E$1000,C821,MOVIMIENTOS!$B$4:$B$1000,"AJUSTE+")-SUMIFS(MOVIMIENTOS!$F$4:$F$1000,MOVIMIENTOS!$C$4:$C$1000,A821,MOVIMIENTOS!$D$4:$D$1000,B821,MOVIMIENTOS!$E$4:$E$1000,C821,MOVIMIENTOS!$B$4:$B$1000,"A CORTE")-SUMIFS(MOVIMIENTOS!$F$4:$F$1000,MOVIMIENTOS!$C$4:$C$1000,A821,MOVIMIENTOS!$D$4:$D$1000,B821,MOVIMIENTOS!$E$4:$E$1000,C821,MOVIMIENTOS!$B$4:$B$1000,"A REPROCESO")-SUMIFS(MOVIMIENTOS!$F$4:$F$1000,MOVIMIENTOS!$C$4:$C$1000,A821,MOVIMIENTOS!$D$4:$D$1000,B821,MOVIMIENTOS!$E$4:$E$1000,C821,MOVIMIENTOS!$B$4:$B$1000,"MUESTRA")-SUMIFS(MOVIMIENTOS!$F$4:$F$1000,MOVIMIENTOS!$C$4:$C$1000,A821,MOVIMIENTOS!$D$4:$D$1000,B821,MOVIMIENTOS!$E$4:$E$1000,C821,MOVIMIENTOS!$B$4:$B$1000,"AJUSTE-"),0)</f>
        <v>0</v>
      </c>
      <c r="F821" s="101">
        <f>IFERROR(E821*VLOOKUP(B821,TELAS!$A$4:$C$32,3,FALSE()),0)</f>
        <v>0</v>
      </c>
      <c r="G821" s="102">
        <f>IFERROR(IF(D821="OSCURO",VLOOKUP(B821,PRECIOS!$A$4:$F$32,2,FALSE()),IF(D821="CLARO",VLOOKUP(B821,PRECIOS!$A$4:$F$32,3,FALSE()),IF(D821="MELANGE",VLOOKUP(B821,PRECIOS!$A$4:$F$32,4,FALSE()),IF(D821="PPT",VLOOKUP(B821,PRECIOS!$A$4:$F$32,5,FALSE()),0)))),0)</f>
        <v>0</v>
      </c>
      <c r="H821" s="103">
        <f t="shared" si="1"/>
        <v>0</v>
      </c>
      <c r="I821" s="104" t="str">
        <f>IF(E821&lt;0,"ERROR",IF(E821=0,"",IF(E821&lt;CONFIG!$B$4,"CRÍTICO",IF(E821&lt;CONFIG!$B$5,"BAJO","OK"))))</f>
        <v/>
      </c>
    </row>
    <row r="822" ht="15.75" customHeight="1">
      <c r="A822" s="90" t="str">
        <f>IF(CLIENTES!A9="","",CLIENTES!A9)</f>
        <v/>
      </c>
      <c r="B822" s="67" t="str">
        <f>TELAS!A9</f>
        <v>rib 2x1 lycrado</v>
      </c>
      <c r="C822" s="67" t="str">
        <f>COLORES!A22</f>
        <v/>
      </c>
      <c r="D822" s="67" t="str">
        <f>COLORES!B22</f>
        <v/>
      </c>
      <c r="E822" s="100">
        <f>IFERROR(SUMIFS(MOVIMIENTOS!$F$4:$F$1000,MOVIMIENTOS!$C$4:$C$1000,A822,MOVIMIENTOS!$D$4:$D$1000,B822,MOVIMIENTOS!$E$4:$E$1000,C822,MOVIMIENTOS!$B$4:$B$1000,"INGRESO")+SUMIFS(MOVIMIENTOS!$F$4:$F$1000,MOVIMIENTOS!$C$4:$C$1000,A822,MOVIMIENTOS!$D$4:$D$1000,B822,MOVIMIENTOS!$E$4:$E$1000,C822,MOVIMIENTOS!$B$4:$B$1000,"DE REPROCESO")+SUMIFS(MOVIMIENTOS!$F$4:$F$1000,MOVIMIENTOS!$C$4:$C$1000,A822,MOVIMIENTOS!$D$4:$D$1000,B822,MOVIMIENTOS!$E$4:$E$1000,C822,MOVIMIENTOS!$B$4:$B$1000,"AJUSTE+")-SUMIFS(MOVIMIENTOS!$F$4:$F$1000,MOVIMIENTOS!$C$4:$C$1000,A822,MOVIMIENTOS!$D$4:$D$1000,B822,MOVIMIENTOS!$E$4:$E$1000,C822,MOVIMIENTOS!$B$4:$B$1000,"A CORTE")-SUMIFS(MOVIMIENTOS!$F$4:$F$1000,MOVIMIENTOS!$C$4:$C$1000,A822,MOVIMIENTOS!$D$4:$D$1000,B822,MOVIMIENTOS!$E$4:$E$1000,C822,MOVIMIENTOS!$B$4:$B$1000,"A REPROCESO")-SUMIFS(MOVIMIENTOS!$F$4:$F$1000,MOVIMIENTOS!$C$4:$C$1000,A822,MOVIMIENTOS!$D$4:$D$1000,B822,MOVIMIENTOS!$E$4:$E$1000,C822,MOVIMIENTOS!$B$4:$B$1000,"MUESTRA")-SUMIFS(MOVIMIENTOS!$F$4:$F$1000,MOVIMIENTOS!$C$4:$C$1000,A822,MOVIMIENTOS!$D$4:$D$1000,B822,MOVIMIENTOS!$E$4:$E$1000,C822,MOVIMIENTOS!$B$4:$B$1000,"AJUSTE-"),0)</f>
        <v>0</v>
      </c>
      <c r="F822" s="101">
        <f>IFERROR(E822*VLOOKUP(B822,TELAS!$A$4:$C$32,3,FALSE()),0)</f>
        <v>0</v>
      </c>
      <c r="G822" s="102">
        <f>IFERROR(IF(D822="OSCURO",VLOOKUP(B822,PRECIOS!$A$4:$F$32,2,FALSE()),IF(D822="CLARO",VLOOKUP(B822,PRECIOS!$A$4:$F$32,3,FALSE()),IF(D822="MELANGE",VLOOKUP(B822,PRECIOS!$A$4:$F$32,4,FALSE()),IF(D822="PPT",VLOOKUP(B822,PRECIOS!$A$4:$F$32,5,FALSE()),0)))),0)</f>
        <v>0</v>
      </c>
      <c r="H822" s="103">
        <f t="shared" si="1"/>
        <v>0</v>
      </c>
      <c r="I822" s="104" t="str">
        <f>IF(E822&lt;0,"ERROR",IF(E822=0,"",IF(E822&lt;CONFIG!$B$4,"CRÍTICO",IF(E822&lt;CONFIG!$B$5,"BAJO","OK"))))</f>
        <v/>
      </c>
    </row>
    <row r="823" ht="15.75" customHeight="1">
      <c r="A823" s="90" t="str">
        <f>IF(CLIENTES!A9="","",CLIENTES!A9)</f>
        <v/>
      </c>
      <c r="B823" s="67" t="str">
        <f>TELAS!A9</f>
        <v>rib 2x1 lycrado</v>
      </c>
      <c r="C823" s="67" t="str">
        <f>COLORES!A23</f>
        <v/>
      </c>
      <c r="D823" s="67" t="str">
        <f>COLORES!B23</f>
        <v/>
      </c>
      <c r="E823" s="100">
        <f>IFERROR(SUMIFS(MOVIMIENTOS!$F$4:$F$1000,MOVIMIENTOS!$C$4:$C$1000,A823,MOVIMIENTOS!$D$4:$D$1000,B823,MOVIMIENTOS!$E$4:$E$1000,C823,MOVIMIENTOS!$B$4:$B$1000,"INGRESO")+SUMIFS(MOVIMIENTOS!$F$4:$F$1000,MOVIMIENTOS!$C$4:$C$1000,A823,MOVIMIENTOS!$D$4:$D$1000,B823,MOVIMIENTOS!$E$4:$E$1000,C823,MOVIMIENTOS!$B$4:$B$1000,"DE REPROCESO")+SUMIFS(MOVIMIENTOS!$F$4:$F$1000,MOVIMIENTOS!$C$4:$C$1000,A823,MOVIMIENTOS!$D$4:$D$1000,B823,MOVIMIENTOS!$E$4:$E$1000,C823,MOVIMIENTOS!$B$4:$B$1000,"AJUSTE+")-SUMIFS(MOVIMIENTOS!$F$4:$F$1000,MOVIMIENTOS!$C$4:$C$1000,A823,MOVIMIENTOS!$D$4:$D$1000,B823,MOVIMIENTOS!$E$4:$E$1000,C823,MOVIMIENTOS!$B$4:$B$1000,"A CORTE")-SUMIFS(MOVIMIENTOS!$F$4:$F$1000,MOVIMIENTOS!$C$4:$C$1000,A823,MOVIMIENTOS!$D$4:$D$1000,B823,MOVIMIENTOS!$E$4:$E$1000,C823,MOVIMIENTOS!$B$4:$B$1000,"A REPROCESO")-SUMIFS(MOVIMIENTOS!$F$4:$F$1000,MOVIMIENTOS!$C$4:$C$1000,A823,MOVIMIENTOS!$D$4:$D$1000,B823,MOVIMIENTOS!$E$4:$E$1000,C823,MOVIMIENTOS!$B$4:$B$1000,"MUESTRA")-SUMIFS(MOVIMIENTOS!$F$4:$F$1000,MOVIMIENTOS!$C$4:$C$1000,A823,MOVIMIENTOS!$D$4:$D$1000,B823,MOVIMIENTOS!$E$4:$E$1000,C823,MOVIMIENTOS!$B$4:$B$1000,"AJUSTE-"),0)</f>
        <v>0</v>
      </c>
      <c r="F823" s="101">
        <f>IFERROR(E823*VLOOKUP(B823,TELAS!$A$4:$C$32,3,FALSE()),0)</f>
        <v>0</v>
      </c>
      <c r="G823" s="102">
        <f>IFERROR(IF(D823="OSCURO",VLOOKUP(B823,PRECIOS!$A$4:$F$32,2,FALSE()),IF(D823="CLARO",VLOOKUP(B823,PRECIOS!$A$4:$F$32,3,FALSE()),IF(D823="MELANGE",VLOOKUP(B823,PRECIOS!$A$4:$F$32,4,FALSE()),IF(D823="PPT",VLOOKUP(B823,PRECIOS!$A$4:$F$32,5,FALSE()),0)))),0)</f>
        <v>0</v>
      </c>
      <c r="H823" s="103">
        <f t="shared" si="1"/>
        <v>0</v>
      </c>
      <c r="I823" s="104" t="str">
        <f>IF(E823&lt;0,"ERROR",IF(E823=0,"",IF(E823&lt;CONFIG!$B$4,"CRÍTICO",IF(E823&lt;CONFIG!$B$5,"BAJO","OK"))))</f>
        <v/>
      </c>
    </row>
    <row r="824" ht="15.75" customHeight="1">
      <c r="A824" s="90" t="str">
        <f>IF(CLIENTES!A9="","",CLIENTES!A9)</f>
        <v/>
      </c>
      <c r="B824" s="67" t="str">
        <f>TELAS!A10</f>
        <v>jersey full lycra 30/1</v>
      </c>
      <c r="C824" s="67" t="str">
        <f>COLORES!A4</f>
        <v>Negro</v>
      </c>
      <c r="D824" s="67" t="str">
        <f>COLORES!B4</f>
        <v>OSCURO</v>
      </c>
      <c r="E824" s="100">
        <f>IFERROR(SUMIFS(MOVIMIENTOS!$F$4:$F$1000,MOVIMIENTOS!$C$4:$C$1000,A824,MOVIMIENTOS!$D$4:$D$1000,B824,MOVIMIENTOS!$E$4:$E$1000,C824,MOVIMIENTOS!$B$4:$B$1000,"INGRESO")+SUMIFS(MOVIMIENTOS!$F$4:$F$1000,MOVIMIENTOS!$C$4:$C$1000,A824,MOVIMIENTOS!$D$4:$D$1000,B824,MOVIMIENTOS!$E$4:$E$1000,C824,MOVIMIENTOS!$B$4:$B$1000,"DE REPROCESO")+SUMIFS(MOVIMIENTOS!$F$4:$F$1000,MOVIMIENTOS!$C$4:$C$1000,A824,MOVIMIENTOS!$D$4:$D$1000,B824,MOVIMIENTOS!$E$4:$E$1000,C824,MOVIMIENTOS!$B$4:$B$1000,"AJUSTE+")-SUMIFS(MOVIMIENTOS!$F$4:$F$1000,MOVIMIENTOS!$C$4:$C$1000,A824,MOVIMIENTOS!$D$4:$D$1000,B824,MOVIMIENTOS!$E$4:$E$1000,C824,MOVIMIENTOS!$B$4:$B$1000,"A CORTE")-SUMIFS(MOVIMIENTOS!$F$4:$F$1000,MOVIMIENTOS!$C$4:$C$1000,A824,MOVIMIENTOS!$D$4:$D$1000,B824,MOVIMIENTOS!$E$4:$E$1000,C824,MOVIMIENTOS!$B$4:$B$1000,"A REPROCESO")-SUMIFS(MOVIMIENTOS!$F$4:$F$1000,MOVIMIENTOS!$C$4:$C$1000,A824,MOVIMIENTOS!$D$4:$D$1000,B824,MOVIMIENTOS!$E$4:$E$1000,C824,MOVIMIENTOS!$B$4:$B$1000,"MUESTRA")-SUMIFS(MOVIMIENTOS!$F$4:$F$1000,MOVIMIENTOS!$C$4:$C$1000,A824,MOVIMIENTOS!$D$4:$D$1000,B824,MOVIMIENTOS!$E$4:$E$1000,C824,MOVIMIENTOS!$B$4:$B$1000,"AJUSTE-"),0)</f>
        <v>0</v>
      </c>
      <c r="F824" s="101">
        <f>IFERROR(E824*VLOOKUP(B824,TELAS!$A$4:$C$32,3,FALSE()),0)</f>
        <v>0</v>
      </c>
      <c r="G824" s="102">
        <f>IFERROR(IF(D824="OSCURO",VLOOKUP(B824,PRECIOS!$A$4:$F$32,2,FALSE()),IF(D824="CLARO",VLOOKUP(B824,PRECIOS!$A$4:$F$32,3,FALSE()),IF(D824="MELANGE",VLOOKUP(B824,PRECIOS!$A$4:$F$32,4,FALSE()),IF(D824="PPT",VLOOKUP(B824,PRECIOS!$A$4:$F$32,5,FALSE()),0)))),0)</f>
        <v>26</v>
      </c>
      <c r="H824" s="103">
        <f t="shared" si="1"/>
        <v>0</v>
      </c>
      <c r="I824" s="104" t="str">
        <f>IF(E824&lt;0,"ERROR",IF(E824=0,"",IF(E824&lt;CONFIG!$B$4,"CRÍTICO",IF(E824&lt;CONFIG!$B$5,"BAJO","OK"))))</f>
        <v/>
      </c>
    </row>
    <row r="825" ht="15.75" customHeight="1">
      <c r="A825" s="90" t="str">
        <f>IF(CLIENTES!A9="","",CLIENTES!A9)</f>
        <v/>
      </c>
      <c r="B825" s="67" t="str">
        <f>TELAS!A10</f>
        <v>jersey full lycra 30/1</v>
      </c>
      <c r="C825" s="67" t="str">
        <f>COLORES!A5</f>
        <v>Perla</v>
      </c>
      <c r="D825" s="67" t="str">
        <f>COLORES!B5</f>
        <v>PPT</v>
      </c>
      <c r="E825" s="100">
        <f>IFERROR(SUMIFS(MOVIMIENTOS!$F$4:$F$1000,MOVIMIENTOS!$C$4:$C$1000,A825,MOVIMIENTOS!$D$4:$D$1000,B825,MOVIMIENTOS!$E$4:$E$1000,C825,MOVIMIENTOS!$B$4:$B$1000,"INGRESO")+SUMIFS(MOVIMIENTOS!$F$4:$F$1000,MOVIMIENTOS!$C$4:$C$1000,A825,MOVIMIENTOS!$D$4:$D$1000,B825,MOVIMIENTOS!$E$4:$E$1000,C825,MOVIMIENTOS!$B$4:$B$1000,"DE REPROCESO")+SUMIFS(MOVIMIENTOS!$F$4:$F$1000,MOVIMIENTOS!$C$4:$C$1000,A825,MOVIMIENTOS!$D$4:$D$1000,B825,MOVIMIENTOS!$E$4:$E$1000,C825,MOVIMIENTOS!$B$4:$B$1000,"AJUSTE+")-SUMIFS(MOVIMIENTOS!$F$4:$F$1000,MOVIMIENTOS!$C$4:$C$1000,A825,MOVIMIENTOS!$D$4:$D$1000,B825,MOVIMIENTOS!$E$4:$E$1000,C825,MOVIMIENTOS!$B$4:$B$1000,"A CORTE")-SUMIFS(MOVIMIENTOS!$F$4:$F$1000,MOVIMIENTOS!$C$4:$C$1000,A825,MOVIMIENTOS!$D$4:$D$1000,B825,MOVIMIENTOS!$E$4:$E$1000,C825,MOVIMIENTOS!$B$4:$B$1000,"A REPROCESO")-SUMIFS(MOVIMIENTOS!$F$4:$F$1000,MOVIMIENTOS!$C$4:$C$1000,A825,MOVIMIENTOS!$D$4:$D$1000,B825,MOVIMIENTOS!$E$4:$E$1000,C825,MOVIMIENTOS!$B$4:$B$1000,"MUESTRA")-SUMIFS(MOVIMIENTOS!$F$4:$F$1000,MOVIMIENTOS!$C$4:$C$1000,A825,MOVIMIENTOS!$D$4:$D$1000,B825,MOVIMIENTOS!$E$4:$E$1000,C825,MOVIMIENTOS!$B$4:$B$1000,"AJUSTE-"),0)</f>
        <v>0</v>
      </c>
      <c r="F825" s="101">
        <f>IFERROR(E825*VLOOKUP(B825,TELAS!$A$4:$C$32,3,FALSE()),0)</f>
        <v>0</v>
      </c>
      <c r="G825" s="102">
        <f>IFERROR(IF(D825="OSCURO",VLOOKUP(B825,PRECIOS!$A$4:$F$32,2,FALSE()),IF(D825="CLARO",VLOOKUP(B825,PRECIOS!$A$4:$F$32,3,FALSE()),IF(D825="MELANGE",VLOOKUP(B825,PRECIOS!$A$4:$F$32,4,FALSE()),IF(D825="PPT",VLOOKUP(B825,PRECIOS!$A$4:$F$32,5,FALSE()),0)))),0)</f>
        <v>19</v>
      </c>
      <c r="H825" s="103">
        <f t="shared" si="1"/>
        <v>0</v>
      </c>
      <c r="I825" s="104" t="str">
        <f>IF(E825&lt;0,"ERROR",IF(E825=0,"",IF(E825&lt;CONFIG!$B$4,"CRÍTICO",IF(E825&lt;CONFIG!$B$5,"BAJO","OK"))))</f>
        <v/>
      </c>
    </row>
    <row r="826" ht="15.75" customHeight="1">
      <c r="A826" s="90" t="str">
        <f>IF(CLIENTES!A9="","",CLIENTES!A9)</f>
        <v/>
      </c>
      <c r="B826" s="67" t="str">
        <f>TELAS!A10</f>
        <v>jersey full lycra 30/1</v>
      </c>
      <c r="C826" s="67" t="str">
        <f>COLORES!A6</f>
        <v>Blanco</v>
      </c>
      <c r="D826" s="67" t="str">
        <f>COLORES!B6</f>
        <v>PPT</v>
      </c>
      <c r="E826" s="100">
        <f>IFERROR(SUMIFS(MOVIMIENTOS!$F$4:$F$1000,MOVIMIENTOS!$C$4:$C$1000,A826,MOVIMIENTOS!$D$4:$D$1000,B826,MOVIMIENTOS!$E$4:$E$1000,C826,MOVIMIENTOS!$B$4:$B$1000,"INGRESO")+SUMIFS(MOVIMIENTOS!$F$4:$F$1000,MOVIMIENTOS!$C$4:$C$1000,A826,MOVIMIENTOS!$D$4:$D$1000,B826,MOVIMIENTOS!$E$4:$E$1000,C826,MOVIMIENTOS!$B$4:$B$1000,"DE REPROCESO")+SUMIFS(MOVIMIENTOS!$F$4:$F$1000,MOVIMIENTOS!$C$4:$C$1000,A826,MOVIMIENTOS!$D$4:$D$1000,B826,MOVIMIENTOS!$E$4:$E$1000,C826,MOVIMIENTOS!$B$4:$B$1000,"AJUSTE+")-SUMIFS(MOVIMIENTOS!$F$4:$F$1000,MOVIMIENTOS!$C$4:$C$1000,A826,MOVIMIENTOS!$D$4:$D$1000,B826,MOVIMIENTOS!$E$4:$E$1000,C826,MOVIMIENTOS!$B$4:$B$1000,"A CORTE")-SUMIFS(MOVIMIENTOS!$F$4:$F$1000,MOVIMIENTOS!$C$4:$C$1000,A826,MOVIMIENTOS!$D$4:$D$1000,B826,MOVIMIENTOS!$E$4:$E$1000,C826,MOVIMIENTOS!$B$4:$B$1000,"A REPROCESO")-SUMIFS(MOVIMIENTOS!$F$4:$F$1000,MOVIMIENTOS!$C$4:$C$1000,A826,MOVIMIENTOS!$D$4:$D$1000,B826,MOVIMIENTOS!$E$4:$E$1000,C826,MOVIMIENTOS!$B$4:$B$1000,"MUESTRA")-SUMIFS(MOVIMIENTOS!$F$4:$F$1000,MOVIMIENTOS!$C$4:$C$1000,A826,MOVIMIENTOS!$D$4:$D$1000,B826,MOVIMIENTOS!$E$4:$E$1000,C826,MOVIMIENTOS!$B$4:$B$1000,"AJUSTE-"),0)</f>
        <v>0</v>
      </c>
      <c r="F826" s="101">
        <f>IFERROR(E826*VLOOKUP(B826,TELAS!$A$4:$C$32,3,FALSE()),0)</f>
        <v>0</v>
      </c>
      <c r="G826" s="102">
        <f>IFERROR(IF(D826="OSCURO",VLOOKUP(B826,PRECIOS!$A$4:$F$32,2,FALSE()),IF(D826="CLARO",VLOOKUP(B826,PRECIOS!$A$4:$F$32,3,FALSE()),IF(D826="MELANGE",VLOOKUP(B826,PRECIOS!$A$4:$F$32,4,FALSE()),IF(D826="PPT",VLOOKUP(B826,PRECIOS!$A$4:$F$32,5,FALSE()),0)))),0)</f>
        <v>19</v>
      </c>
      <c r="H826" s="103">
        <f t="shared" si="1"/>
        <v>0</v>
      </c>
      <c r="I826" s="104" t="str">
        <f>IF(E826&lt;0,"ERROR",IF(E826=0,"",IF(E826&lt;CONFIG!$B$4,"CRÍTICO",IF(E826&lt;CONFIG!$B$5,"BAJO","OK"))))</f>
        <v/>
      </c>
    </row>
    <row r="827" ht="15.75" customHeight="1">
      <c r="A827" s="90" t="str">
        <f>IF(CLIENTES!A9="","",CLIENTES!A9)</f>
        <v/>
      </c>
      <c r="B827" s="67" t="str">
        <f>TELAS!A10</f>
        <v>jersey full lycra 30/1</v>
      </c>
      <c r="C827" s="67" t="str">
        <f>COLORES!A7</f>
        <v>Azul</v>
      </c>
      <c r="D827" s="67" t="str">
        <f>COLORES!B7</f>
        <v>OSCURO</v>
      </c>
      <c r="E827" s="100">
        <f>IFERROR(SUMIFS(MOVIMIENTOS!$F$4:$F$1000,MOVIMIENTOS!$C$4:$C$1000,A827,MOVIMIENTOS!$D$4:$D$1000,B827,MOVIMIENTOS!$E$4:$E$1000,C827,MOVIMIENTOS!$B$4:$B$1000,"INGRESO")+SUMIFS(MOVIMIENTOS!$F$4:$F$1000,MOVIMIENTOS!$C$4:$C$1000,A827,MOVIMIENTOS!$D$4:$D$1000,B827,MOVIMIENTOS!$E$4:$E$1000,C827,MOVIMIENTOS!$B$4:$B$1000,"DE REPROCESO")+SUMIFS(MOVIMIENTOS!$F$4:$F$1000,MOVIMIENTOS!$C$4:$C$1000,A827,MOVIMIENTOS!$D$4:$D$1000,B827,MOVIMIENTOS!$E$4:$E$1000,C827,MOVIMIENTOS!$B$4:$B$1000,"AJUSTE+")-SUMIFS(MOVIMIENTOS!$F$4:$F$1000,MOVIMIENTOS!$C$4:$C$1000,A827,MOVIMIENTOS!$D$4:$D$1000,B827,MOVIMIENTOS!$E$4:$E$1000,C827,MOVIMIENTOS!$B$4:$B$1000,"A CORTE")-SUMIFS(MOVIMIENTOS!$F$4:$F$1000,MOVIMIENTOS!$C$4:$C$1000,A827,MOVIMIENTOS!$D$4:$D$1000,B827,MOVIMIENTOS!$E$4:$E$1000,C827,MOVIMIENTOS!$B$4:$B$1000,"A REPROCESO")-SUMIFS(MOVIMIENTOS!$F$4:$F$1000,MOVIMIENTOS!$C$4:$C$1000,A827,MOVIMIENTOS!$D$4:$D$1000,B827,MOVIMIENTOS!$E$4:$E$1000,C827,MOVIMIENTOS!$B$4:$B$1000,"MUESTRA")-SUMIFS(MOVIMIENTOS!$F$4:$F$1000,MOVIMIENTOS!$C$4:$C$1000,A827,MOVIMIENTOS!$D$4:$D$1000,B827,MOVIMIENTOS!$E$4:$E$1000,C827,MOVIMIENTOS!$B$4:$B$1000,"AJUSTE-"),0)</f>
        <v>0</v>
      </c>
      <c r="F827" s="101">
        <f>IFERROR(E827*VLOOKUP(B827,TELAS!$A$4:$C$32,3,FALSE()),0)</f>
        <v>0</v>
      </c>
      <c r="G827" s="102">
        <f>IFERROR(IF(D827="OSCURO",VLOOKUP(B827,PRECIOS!$A$4:$F$32,2,FALSE()),IF(D827="CLARO",VLOOKUP(B827,PRECIOS!$A$4:$F$32,3,FALSE()),IF(D827="MELANGE",VLOOKUP(B827,PRECIOS!$A$4:$F$32,4,FALSE()),IF(D827="PPT",VLOOKUP(B827,PRECIOS!$A$4:$F$32,5,FALSE()),0)))),0)</f>
        <v>26</v>
      </c>
      <c r="H827" s="103">
        <f t="shared" si="1"/>
        <v>0</v>
      </c>
      <c r="I827" s="104" t="str">
        <f>IF(E827&lt;0,"ERROR",IF(E827=0,"",IF(E827&lt;CONFIG!$B$4,"CRÍTICO",IF(E827&lt;CONFIG!$B$5,"BAJO","OK"))))</f>
        <v/>
      </c>
    </row>
    <row r="828" ht="15.75" customHeight="1">
      <c r="A828" s="90" t="str">
        <f>IF(CLIENTES!A9="","",CLIENTES!A9)</f>
        <v/>
      </c>
      <c r="B828" s="67" t="str">
        <f>TELAS!A10</f>
        <v>jersey full lycra 30/1</v>
      </c>
      <c r="C828" s="67" t="str">
        <f>COLORES!A8</f>
        <v>Beige</v>
      </c>
      <c r="D828" s="67" t="str">
        <f>COLORES!B8</f>
        <v>CLARO</v>
      </c>
      <c r="E828" s="100">
        <f>IFERROR(SUMIFS(MOVIMIENTOS!$F$4:$F$1000,MOVIMIENTOS!$C$4:$C$1000,A828,MOVIMIENTOS!$D$4:$D$1000,B828,MOVIMIENTOS!$E$4:$E$1000,C828,MOVIMIENTOS!$B$4:$B$1000,"INGRESO")+SUMIFS(MOVIMIENTOS!$F$4:$F$1000,MOVIMIENTOS!$C$4:$C$1000,A828,MOVIMIENTOS!$D$4:$D$1000,B828,MOVIMIENTOS!$E$4:$E$1000,C828,MOVIMIENTOS!$B$4:$B$1000,"DE REPROCESO")+SUMIFS(MOVIMIENTOS!$F$4:$F$1000,MOVIMIENTOS!$C$4:$C$1000,A828,MOVIMIENTOS!$D$4:$D$1000,B828,MOVIMIENTOS!$E$4:$E$1000,C828,MOVIMIENTOS!$B$4:$B$1000,"AJUSTE+")-SUMIFS(MOVIMIENTOS!$F$4:$F$1000,MOVIMIENTOS!$C$4:$C$1000,A828,MOVIMIENTOS!$D$4:$D$1000,B828,MOVIMIENTOS!$E$4:$E$1000,C828,MOVIMIENTOS!$B$4:$B$1000,"A CORTE")-SUMIFS(MOVIMIENTOS!$F$4:$F$1000,MOVIMIENTOS!$C$4:$C$1000,A828,MOVIMIENTOS!$D$4:$D$1000,B828,MOVIMIENTOS!$E$4:$E$1000,C828,MOVIMIENTOS!$B$4:$B$1000,"A REPROCESO")-SUMIFS(MOVIMIENTOS!$F$4:$F$1000,MOVIMIENTOS!$C$4:$C$1000,A828,MOVIMIENTOS!$D$4:$D$1000,B828,MOVIMIENTOS!$E$4:$E$1000,C828,MOVIMIENTOS!$B$4:$B$1000,"MUESTRA")-SUMIFS(MOVIMIENTOS!$F$4:$F$1000,MOVIMIENTOS!$C$4:$C$1000,A828,MOVIMIENTOS!$D$4:$D$1000,B828,MOVIMIENTOS!$E$4:$E$1000,C828,MOVIMIENTOS!$B$4:$B$1000,"AJUSTE-"),0)</f>
        <v>0</v>
      </c>
      <c r="F828" s="101">
        <f>IFERROR(E828*VLOOKUP(B828,TELAS!$A$4:$C$32,3,FALSE()),0)</f>
        <v>0</v>
      </c>
      <c r="G828" s="102">
        <f>IFERROR(IF(D828="OSCURO",VLOOKUP(B828,PRECIOS!$A$4:$F$32,2,FALSE()),IF(D828="CLARO",VLOOKUP(B828,PRECIOS!$A$4:$F$32,3,FALSE()),IF(D828="MELANGE",VLOOKUP(B828,PRECIOS!$A$4:$F$32,4,FALSE()),IF(D828="PPT",VLOOKUP(B828,PRECIOS!$A$4:$F$32,5,FALSE()),0)))),0)</f>
        <v>22.5</v>
      </c>
      <c r="H828" s="103">
        <f t="shared" si="1"/>
        <v>0</v>
      </c>
      <c r="I828" s="104" t="str">
        <f>IF(E828&lt;0,"ERROR",IF(E828=0,"",IF(E828&lt;CONFIG!$B$4,"CRÍTICO",IF(E828&lt;CONFIG!$B$5,"BAJO","OK"))))</f>
        <v/>
      </c>
    </row>
    <row r="829" ht="15.75" customHeight="1">
      <c r="A829" s="90" t="str">
        <f>IF(CLIENTES!A9="","",CLIENTES!A9)</f>
        <v/>
      </c>
      <c r="B829" s="67" t="str">
        <f>TELAS!A10</f>
        <v>jersey full lycra 30/1</v>
      </c>
      <c r="C829" s="67" t="str">
        <f>COLORES!A9</f>
        <v>Melange</v>
      </c>
      <c r="D829" s="67" t="str">
        <f>COLORES!B9</f>
        <v>MELANGE</v>
      </c>
      <c r="E829" s="100">
        <f>IFERROR(SUMIFS(MOVIMIENTOS!$F$4:$F$1000,MOVIMIENTOS!$C$4:$C$1000,A829,MOVIMIENTOS!$D$4:$D$1000,B829,MOVIMIENTOS!$E$4:$E$1000,C829,MOVIMIENTOS!$B$4:$B$1000,"INGRESO")+SUMIFS(MOVIMIENTOS!$F$4:$F$1000,MOVIMIENTOS!$C$4:$C$1000,A829,MOVIMIENTOS!$D$4:$D$1000,B829,MOVIMIENTOS!$E$4:$E$1000,C829,MOVIMIENTOS!$B$4:$B$1000,"DE REPROCESO")+SUMIFS(MOVIMIENTOS!$F$4:$F$1000,MOVIMIENTOS!$C$4:$C$1000,A829,MOVIMIENTOS!$D$4:$D$1000,B829,MOVIMIENTOS!$E$4:$E$1000,C829,MOVIMIENTOS!$B$4:$B$1000,"AJUSTE+")-SUMIFS(MOVIMIENTOS!$F$4:$F$1000,MOVIMIENTOS!$C$4:$C$1000,A829,MOVIMIENTOS!$D$4:$D$1000,B829,MOVIMIENTOS!$E$4:$E$1000,C829,MOVIMIENTOS!$B$4:$B$1000,"A CORTE")-SUMIFS(MOVIMIENTOS!$F$4:$F$1000,MOVIMIENTOS!$C$4:$C$1000,A829,MOVIMIENTOS!$D$4:$D$1000,B829,MOVIMIENTOS!$E$4:$E$1000,C829,MOVIMIENTOS!$B$4:$B$1000,"A REPROCESO")-SUMIFS(MOVIMIENTOS!$F$4:$F$1000,MOVIMIENTOS!$C$4:$C$1000,A829,MOVIMIENTOS!$D$4:$D$1000,B829,MOVIMIENTOS!$E$4:$E$1000,C829,MOVIMIENTOS!$B$4:$B$1000,"MUESTRA")-SUMIFS(MOVIMIENTOS!$F$4:$F$1000,MOVIMIENTOS!$C$4:$C$1000,A829,MOVIMIENTOS!$D$4:$D$1000,B829,MOVIMIENTOS!$E$4:$E$1000,C829,MOVIMIENTOS!$B$4:$B$1000,"AJUSTE-"),0)</f>
        <v>0</v>
      </c>
      <c r="F829" s="101">
        <f>IFERROR(E829*VLOOKUP(B829,TELAS!$A$4:$C$32,3,FALSE()),0)</f>
        <v>0</v>
      </c>
      <c r="G829" s="102">
        <f>IFERROR(IF(D829="OSCURO",VLOOKUP(B829,PRECIOS!$A$4:$F$32,2,FALSE()),IF(D829="CLARO",VLOOKUP(B829,PRECIOS!$A$4:$F$32,3,FALSE()),IF(D829="MELANGE",VLOOKUP(B829,PRECIOS!$A$4:$F$32,4,FALSE()),IF(D829="PPT",VLOOKUP(B829,PRECIOS!$A$4:$F$32,5,FALSE()),0)))),0)</f>
        <v>19</v>
      </c>
      <c r="H829" s="103">
        <f t="shared" si="1"/>
        <v>0</v>
      </c>
      <c r="I829" s="104" t="str">
        <f>IF(E829&lt;0,"ERROR",IF(E829=0,"",IF(E829&lt;CONFIG!$B$4,"CRÍTICO",IF(E829&lt;CONFIG!$B$5,"BAJO","OK"))))</f>
        <v/>
      </c>
    </row>
    <row r="830" ht="15.75" customHeight="1">
      <c r="A830" s="90" t="str">
        <f>IF(CLIENTES!A9="","",CLIENTES!A9)</f>
        <v/>
      </c>
      <c r="B830" s="67" t="str">
        <f>TELAS!A10</f>
        <v>jersey full lycra 30/1</v>
      </c>
      <c r="C830" s="67" t="str">
        <f>COLORES!A10</f>
        <v>Botella</v>
      </c>
      <c r="D830" s="67" t="str">
        <f>COLORES!B10</f>
        <v>OSCURO</v>
      </c>
      <c r="E830" s="100">
        <f>IFERROR(SUMIFS(MOVIMIENTOS!$F$4:$F$1000,MOVIMIENTOS!$C$4:$C$1000,A830,MOVIMIENTOS!$D$4:$D$1000,B830,MOVIMIENTOS!$E$4:$E$1000,C830,MOVIMIENTOS!$B$4:$B$1000,"INGRESO")+SUMIFS(MOVIMIENTOS!$F$4:$F$1000,MOVIMIENTOS!$C$4:$C$1000,A830,MOVIMIENTOS!$D$4:$D$1000,B830,MOVIMIENTOS!$E$4:$E$1000,C830,MOVIMIENTOS!$B$4:$B$1000,"DE REPROCESO")+SUMIFS(MOVIMIENTOS!$F$4:$F$1000,MOVIMIENTOS!$C$4:$C$1000,A830,MOVIMIENTOS!$D$4:$D$1000,B830,MOVIMIENTOS!$E$4:$E$1000,C830,MOVIMIENTOS!$B$4:$B$1000,"AJUSTE+")-SUMIFS(MOVIMIENTOS!$F$4:$F$1000,MOVIMIENTOS!$C$4:$C$1000,A830,MOVIMIENTOS!$D$4:$D$1000,B830,MOVIMIENTOS!$E$4:$E$1000,C830,MOVIMIENTOS!$B$4:$B$1000,"A CORTE")-SUMIFS(MOVIMIENTOS!$F$4:$F$1000,MOVIMIENTOS!$C$4:$C$1000,A830,MOVIMIENTOS!$D$4:$D$1000,B830,MOVIMIENTOS!$E$4:$E$1000,C830,MOVIMIENTOS!$B$4:$B$1000,"A REPROCESO")-SUMIFS(MOVIMIENTOS!$F$4:$F$1000,MOVIMIENTOS!$C$4:$C$1000,A830,MOVIMIENTOS!$D$4:$D$1000,B830,MOVIMIENTOS!$E$4:$E$1000,C830,MOVIMIENTOS!$B$4:$B$1000,"MUESTRA")-SUMIFS(MOVIMIENTOS!$F$4:$F$1000,MOVIMIENTOS!$C$4:$C$1000,A830,MOVIMIENTOS!$D$4:$D$1000,B830,MOVIMIENTOS!$E$4:$E$1000,C830,MOVIMIENTOS!$B$4:$B$1000,"AJUSTE-"),0)</f>
        <v>0</v>
      </c>
      <c r="F830" s="101">
        <f>IFERROR(E830*VLOOKUP(B830,TELAS!$A$4:$C$32,3,FALSE()),0)</f>
        <v>0</v>
      </c>
      <c r="G830" s="102">
        <f>IFERROR(IF(D830="OSCURO",VLOOKUP(B830,PRECIOS!$A$4:$F$32,2,FALSE()),IF(D830="CLARO",VLOOKUP(B830,PRECIOS!$A$4:$F$32,3,FALSE()),IF(D830="MELANGE",VLOOKUP(B830,PRECIOS!$A$4:$F$32,4,FALSE()),IF(D830="PPT",VLOOKUP(B830,PRECIOS!$A$4:$F$32,5,FALSE()),0)))),0)</f>
        <v>26</v>
      </c>
      <c r="H830" s="103">
        <f t="shared" si="1"/>
        <v>0</v>
      </c>
      <c r="I830" s="104" t="str">
        <f>IF(E830&lt;0,"ERROR",IF(E830=0,"",IF(E830&lt;CONFIG!$B$4,"CRÍTICO",IF(E830&lt;CONFIG!$B$5,"BAJO","OK"))))</f>
        <v/>
      </c>
    </row>
    <row r="831" ht="15.75" customHeight="1">
      <c r="A831" s="90" t="str">
        <f>IF(CLIENTES!A9="","",CLIENTES!A9)</f>
        <v/>
      </c>
      <c r="B831" s="67" t="str">
        <f>TELAS!A10</f>
        <v>jersey full lycra 30/1</v>
      </c>
      <c r="C831" s="67" t="str">
        <f>COLORES!A11</f>
        <v>Pacay</v>
      </c>
      <c r="D831" s="67" t="str">
        <f>COLORES!B11</f>
        <v>CLARO</v>
      </c>
      <c r="E831" s="100">
        <f>IFERROR(SUMIFS(MOVIMIENTOS!$F$4:$F$1000,MOVIMIENTOS!$C$4:$C$1000,A831,MOVIMIENTOS!$D$4:$D$1000,B831,MOVIMIENTOS!$E$4:$E$1000,C831,MOVIMIENTOS!$B$4:$B$1000,"INGRESO")+SUMIFS(MOVIMIENTOS!$F$4:$F$1000,MOVIMIENTOS!$C$4:$C$1000,A831,MOVIMIENTOS!$D$4:$D$1000,B831,MOVIMIENTOS!$E$4:$E$1000,C831,MOVIMIENTOS!$B$4:$B$1000,"DE REPROCESO")+SUMIFS(MOVIMIENTOS!$F$4:$F$1000,MOVIMIENTOS!$C$4:$C$1000,A831,MOVIMIENTOS!$D$4:$D$1000,B831,MOVIMIENTOS!$E$4:$E$1000,C831,MOVIMIENTOS!$B$4:$B$1000,"AJUSTE+")-SUMIFS(MOVIMIENTOS!$F$4:$F$1000,MOVIMIENTOS!$C$4:$C$1000,A831,MOVIMIENTOS!$D$4:$D$1000,B831,MOVIMIENTOS!$E$4:$E$1000,C831,MOVIMIENTOS!$B$4:$B$1000,"A CORTE")-SUMIFS(MOVIMIENTOS!$F$4:$F$1000,MOVIMIENTOS!$C$4:$C$1000,A831,MOVIMIENTOS!$D$4:$D$1000,B831,MOVIMIENTOS!$E$4:$E$1000,C831,MOVIMIENTOS!$B$4:$B$1000,"A REPROCESO")-SUMIFS(MOVIMIENTOS!$F$4:$F$1000,MOVIMIENTOS!$C$4:$C$1000,A831,MOVIMIENTOS!$D$4:$D$1000,B831,MOVIMIENTOS!$E$4:$E$1000,C831,MOVIMIENTOS!$B$4:$B$1000,"MUESTRA")-SUMIFS(MOVIMIENTOS!$F$4:$F$1000,MOVIMIENTOS!$C$4:$C$1000,A831,MOVIMIENTOS!$D$4:$D$1000,B831,MOVIMIENTOS!$E$4:$E$1000,C831,MOVIMIENTOS!$B$4:$B$1000,"AJUSTE-"),0)</f>
        <v>0</v>
      </c>
      <c r="F831" s="101">
        <f>IFERROR(E831*VLOOKUP(B831,TELAS!$A$4:$C$32,3,FALSE()),0)</f>
        <v>0</v>
      </c>
      <c r="G831" s="102">
        <f>IFERROR(IF(D831="OSCURO",VLOOKUP(B831,PRECIOS!$A$4:$F$32,2,FALSE()),IF(D831="CLARO",VLOOKUP(B831,PRECIOS!$A$4:$F$32,3,FALSE()),IF(D831="MELANGE",VLOOKUP(B831,PRECIOS!$A$4:$F$32,4,FALSE()),IF(D831="PPT",VLOOKUP(B831,PRECIOS!$A$4:$F$32,5,FALSE()),0)))),0)</f>
        <v>22.5</v>
      </c>
      <c r="H831" s="103">
        <f t="shared" si="1"/>
        <v>0</v>
      </c>
      <c r="I831" s="104" t="str">
        <f>IF(E831&lt;0,"ERROR",IF(E831=0,"",IF(E831&lt;CONFIG!$B$4,"CRÍTICO",IF(E831&lt;CONFIG!$B$5,"BAJO","OK"))))</f>
        <v/>
      </c>
    </row>
    <row r="832" ht="15.75" customHeight="1">
      <c r="A832" s="90" t="str">
        <f>IF(CLIENTES!A9="","",CLIENTES!A9)</f>
        <v/>
      </c>
      <c r="B832" s="67" t="str">
        <f>TELAS!A10</f>
        <v>jersey full lycra 30/1</v>
      </c>
      <c r="C832" s="67" t="str">
        <f>COLORES!A12</f>
        <v>Cemento</v>
      </c>
      <c r="D832" s="67" t="str">
        <f>COLORES!B12</f>
        <v>CLARO</v>
      </c>
      <c r="E832" s="100">
        <f>IFERROR(SUMIFS(MOVIMIENTOS!$F$4:$F$1000,MOVIMIENTOS!$C$4:$C$1000,A832,MOVIMIENTOS!$D$4:$D$1000,B832,MOVIMIENTOS!$E$4:$E$1000,C832,MOVIMIENTOS!$B$4:$B$1000,"INGRESO")+SUMIFS(MOVIMIENTOS!$F$4:$F$1000,MOVIMIENTOS!$C$4:$C$1000,A832,MOVIMIENTOS!$D$4:$D$1000,B832,MOVIMIENTOS!$E$4:$E$1000,C832,MOVIMIENTOS!$B$4:$B$1000,"DE REPROCESO")+SUMIFS(MOVIMIENTOS!$F$4:$F$1000,MOVIMIENTOS!$C$4:$C$1000,A832,MOVIMIENTOS!$D$4:$D$1000,B832,MOVIMIENTOS!$E$4:$E$1000,C832,MOVIMIENTOS!$B$4:$B$1000,"AJUSTE+")-SUMIFS(MOVIMIENTOS!$F$4:$F$1000,MOVIMIENTOS!$C$4:$C$1000,A832,MOVIMIENTOS!$D$4:$D$1000,B832,MOVIMIENTOS!$E$4:$E$1000,C832,MOVIMIENTOS!$B$4:$B$1000,"A CORTE")-SUMIFS(MOVIMIENTOS!$F$4:$F$1000,MOVIMIENTOS!$C$4:$C$1000,A832,MOVIMIENTOS!$D$4:$D$1000,B832,MOVIMIENTOS!$E$4:$E$1000,C832,MOVIMIENTOS!$B$4:$B$1000,"A REPROCESO")-SUMIFS(MOVIMIENTOS!$F$4:$F$1000,MOVIMIENTOS!$C$4:$C$1000,A832,MOVIMIENTOS!$D$4:$D$1000,B832,MOVIMIENTOS!$E$4:$E$1000,C832,MOVIMIENTOS!$B$4:$B$1000,"MUESTRA")-SUMIFS(MOVIMIENTOS!$F$4:$F$1000,MOVIMIENTOS!$C$4:$C$1000,A832,MOVIMIENTOS!$D$4:$D$1000,B832,MOVIMIENTOS!$E$4:$E$1000,C832,MOVIMIENTOS!$B$4:$B$1000,"AJUSTE-"),0)</f>
        <v>0</v>
      </c>
      <c r="F832" s="101">
        <f>IFERROR(E832*VLOOKUP(B832,TELAS!$A$4:$C$32,3,FALSE()),0)</f>
        <v>0</v>
      </c>
      <c r="G832" s="102">
        <f>IFERROR(IF(D832="OSCURO",VLOOKUP(B832,PRECIOS!$A$4:$F$32,2,FALSE()),IF(D832="CLARO",VLOOKUP(B832,PRECIOS!$A$4:$F$32,3,FALSE()),IF(D832="MELANGE",VLOOKUP(B832,PRECIOS!$A$4:$F$32,4,FALSE()),IF(D832="PPT",VLOOKUP(B832,PRECIOS!$A$4:$F$32,5,FALSE()),0)))),0)</f>
        <v>22.5</v>
      </c>
      <c r="H832" s="103">
        <f t="shared" si="1"/>
        <v>0</v>
      </c>
      <c r="I832" s="104" t="str">
        <f>IF(E832&lt;0,"ERROR",IF(E832=0,"",IF(E832&lt;CONFIG!$B$4,"CRÍTICO",IF(E832&lt;CONFIG!$B$5,"BAJO","OK"))))</f>
        <v/>
      </c>
    </row>
    <row r="833" ht="15.75" customHeight="1">
      <c r="A833" s="90" t="str">
        <f>IF(CLIENTES!A9="","",CLIENTES!A9)</f>
        <v/>
      </c>
      <c r="B833" s="67" t="str">
        <f>TELAS!A10</f>
        <v>jersey full lycra 30/1</v>
      </c>
      <c r="C833" s="67" t="str">
        <f>COLORES!A13</f>
        <v>Camote</v>
      </c>
      <c r="D833" s="67" t="str">
        <f>COLORES!B13</f>
        <v>CLARO</v>
      </c>
      <c r="E833" s="100">
        <f>IFERROR(SUMIFS(MOVIMIENTOS!$F$4:$F$1000,MOVIMIENTOS!$C$4:$C$1000,A833,MOVIMIENTOS!$D$4:$D$1000,B833,MOVIMIENTOS!$E$4:$E$1000,C833,MOVIMIENTOS!$B$4:$B$1000,"INGRESO")+SUMIFS(MOVIMIENTOS!$F$4:$F$1000,MOVIMIENTOS!$C$4:$C$1000,A833,MOVIMIENTOS!$D$4:$D$1000,B833,MOVIMIENTOS!$E$4:$E$1000,C833,MOVIMIENTOS!$B$4:$B$1000,"DE REPROCESO")+SUMIFS(MOVIMIENTOS!$F$4:$F$1000,MOVIMIENTOS!$C$4:$C$1000,A833,MOVIMIENTOS!$D$4:$D$1000,B833,MOVIMIENTOS!$E$4:$E$1000,C833,MOVIMIENTOS!$B$4:$B$1000,"AJUSTE+")-SUMIFS(MOVIMIENTOS!$F$4:$F$1000,MOVIMIENTOS!$C$4:$C$1000,A833,MOVIMIENTOS!$D$4:$D$1000,B833,MOVIMIENTOS!$E$4:$E$1000,C833,MOVIMIENTOS!$B$4:$B$1000,"A CORTE")-SUMIFS(MOVIMIENTOS!$F$4:$F$1000,MOVIMIENTOS!$C$4:$C$1000,A833,MOVIMIENTOS!$D$4:$D$1000,B833,MOVIMIENTOS!$E$4:$E$1000,C833,MOVIMIENTOS!$B$4:$B$1000,"A REPROCESO")-SUMIFS(MOVIMIENTOS!$F$4:$F$1000,MOVIMIENTOS!$C$4:$C$1000,A833,MOVIMIENTOS!$D$4:$D$1000,B833,MOVIMIENTOS!$E$4:$E$1000,C833,MOVIMIENTOS!$B$4:$B$1000,"MUESTRA")-SUMIFS(MOVIMIENTOS!$F$4:$F$1000,MOVIMIENTOS!$C$4:$C$1000,A833,MOVIMIENTOS!$D$4:$D$1000,B833,MOVIMIENTOS!$E$4:$E$1000,C833,MOVIMIENTOS!$B$4:$B$1000,"AJUSTE-"),0)</f>
        <v>0</v>
      </c>
      <c r="F833" s="101">
        <f>IFERROR(E833*VLOOKUP(B833,TELAS!$A$4:$C$32,3,FALSE()),0)</f>
        <v>0</v>
      </c>
      <c r="G833" s="102">
        <f>IFERROR(IF(D833="OSCURO",VLOOKUP(B833,PRECIOS!$A$4:$F$32,2,FALSE()),IF(D833="CLARO",VLOOKUP(B833,PRECIOS!$A$4:$F$32,3,FALSE()),IF(D833="MELANGE",VLOOKUP(B833,PRECIOS!$A$4:$F$32,4,FALSE()),IF(D833="PPT",VLOOKUP(B833,PRECIOS!$A$4:$F$32,5,FALSE()),0)))),0)</f>
        <v>22.5</v>
      </c>
      <c r="H833" s="103">
        <f t="shared" si="1"/>
        <v>0</v>
      </c>
      <c r="I833" s="104" t="str">
        <f>IF(E833&lt;0,"ERROR",IF(E833=0,"",IF(E833&lt;CONFIG!$B$4,"CRÍTICO",IF(E833&lt;CONFIG!$B$5,"BAJO","OK"))))</f>
        <v/>
      </c>
    </row>
    <row r="834" ht="15.75" customHeight="1">
      <c r="A834" s="90" t="str">
        <f>IF(CLIENTES!A9="","",CLIENTES!A9)</f>
        <v/>
      </c>
      <c r="B834" s="67" t="str">
        <f>TELAS!A10</f>
        <v>jersey full lycra 30/1</v>
      </c>
      <c r="C834" s="67" t="str">
        <f>COLORES!A14</f>
        <v>Denim</v>
      </c>
      <c r="D834" s="67" t="str">
        <f>COLORES!B14</f>
        <v>CLARO</v>
      </c>
      <c r="E834" s="100">
        <f>IFERROR(SUMIFS(MOVIMIENTOS!$F$4:$F$1000,MOVIMIENTOS!$C$4:$C$1000,A834,MOVIMIENTOS!$D$4:$D$1000,B834,MOVIMIENTOS!$E$4:$E$1000,C834,MOVIMIENTOS!$B$4:$B$1000,"INGRESO")+SUMIFS(MOVIMIENTOS!$F$4:$F$1000,MOVIMIENTOS!$C$4:$C$1000,A834,MOVIMIENTOS!$D$4:$D$1000,B834,MOVIMIENTOS!$E$4:$E$1000,C834,MOVIMIENTOS!$B$4:$B$1000,"DE REPROCESO")+SUMIFS(MOVIMIENTOS!$F$4:$F$1000,MOVIMIENTOS!$C$4:$C$1000,A834,MOVIMIENTOS!$D$4:$D$1000,B834,MOVIMIENTOS!$E$4:$E$1000,C834,MOVIMIENTOS!$B$4:$B$1000,"AJUSTE+")-SUMIFS(MOVIMIENTOS!$F$4:$F$1000,MOVIMIENTOS!$C$4:$C$1000,A834,MOVIMIENTOS!$D$4:$D$1000,B834,MOVIMIENTOS!$E$4:$E$1000,C834,MOVIMIENTOS!$B$4:$B$1000,"A CORTE")-SUMIFS(MOVIMIENTOS!$F$4:$F$1000,MOVIMIENTOS!$C$4:$C$1000,A834,MOVIMIENTOS!$D$4:$D$1000,B834,MOVIMIENTOS!$E$4:$E$1000,C834,MOVIMIENTOS!$B$4:$B$1000,"A REPROCESO")-SUMIFS(MOVIMIENTOS!$F$4:$F$1000,MOVIMIENTOS!$C$4:$C$1000,A834,MOVIMIENTOS!$D$4:$D$1000,B834,MOVIMIENTOS!$E$4:$E$1000,C834,MOVIMIENTOS!$B$4:$B$1000,"MUESTRA")-SUMIFS(MOVIMIENTOS!$F$4:$F$1000,MOVIMIENTOS!$C$4:$C$1000,A834,MOVIMIENTOS!$D$4:$D$1000,B834,MOVIMIENTOS!$E$4:$E$1000,C834,MOVIMIENTOS!$B$4:$B$1000,"AJUSTE-"),0)</f>
        <v>0</v>
      </c>
      <c r="F834" s="101">
        <f>IFERROR(E834*VLOOKUP(B834,TELAS!$A$4:$C$32,3,FALSE()),0)</f>
        <v>0</v>
      </c>
      <c r="G834" s="102">
        <f>IFERROR(IF(D834="OSCURO",VLOOKUP(B834,PRECIOS!$A$4:$F$32,2,FALSE()),IF(D834="CLARO",VLOOKUP(B834,PRECIOS!$A$4:$F$32,3,FALSE()),IF(D834="MELANGE",VLOOKUP(B834,PRECIOS!$A$4:$F$32,4,FALSE()),IF(D834="PPT",VLOOKUP(B834,PRECIOS!$A$4:$F$32,5,FALSE()),0)))),0)</f>
        <v>22.5</v>
      </c>
      <c r="H834" s="103">
        <f t="shared" si="1"/>
        <v>0</v>
      </c>
      <c r="I834" s="104" t="str">
        <f>IF(E834&lt;0,"ERROR",IF(E834=0,"",IF(E834&lt;CONFIG!$B$4,"CRÍTICO",IF(E834&lt;CONFIG!$B$5,"BAJO","OK"))))</f>
        <v/>
      </c>
    </row>
    <row r="835" ht="15.75" customHeight="1">
      <c r="A835" s="90" t="str">
        <f>IF(CLIENTES!A9="","",CLIENTES!A9)</f>
        <v/>
      </c>
      <c r="B835" s="67" t="str">
        <f>TELAS!A10</f>
        <v>jersey full lycra 30/1</v>
      </c>
      <c r="C835" s="67" t="str">
        <f>COLORES!A15</f>
        <v>Plomo</v>
      </c>
      <c r="D835" s="67" t="str">
        <f>COLORES!B15</f>
        <v>OSCURO</v>
      </c>
      <c r="E835" s="100">
        <f>IFERROR(SUMIFS(MOVIMIENTOS!$F$4:$F$1000,MOVIMIENTOS!$C$4:$C$1000,A835,MOVIMIENTOS!$D$4:$D$1000,B835,MOVIMIENTOS!$E$4:$E$1000,C835,MOVIMIENTOS!$B$4:$B$1000,"INGRESO")+SUMIFS(MOVIMIENTOS!$F$4:$F$1000,MOVIMIENTOS!$C$4:$C$1000,A835,MOVIMIENTOS!$D$4:$D$1000,B835,MOVIMIENTOS!$E$4:$E$1000,C835,MOVIMIENTOS!$B$4:$B$1000,"DE REPROCESO")+SUMIFS(MOVIMIENTOS!$F$4:$F$1000,MOVIMIENTOS!$C$4:$C$1000,A835,MOVIMIENTOS!$D$4:$D$1000,B835,MOVIMIENTOS!$E$4:$E$1000,C835,MOVIMIENTOS!$B$4:$B$1000,"AJUSTE+")-SUMIFS(MOVIMIENTOS!$F$4:$F$1000,MOVIMIENTOS!$C$4:$C$1000,A835,MOVIMIENTOS!$D$4:$D$1000,B835,MOVIMIENTOS!$E$4:$E$1000,C835,MOVIMIENTOS!$B$4:$B$1000,"A CORTE")-SUMIFS(MOVIMIENTOS!$F$4:$F$1000,MOVIMIENTOS!$C$4:$C$1000,A835,MOVIMIENTOS!$D$4:$D$1000,B835,MOVIMIENTOS!$E$4:$E$1000,C835,MOVIMIENTOS!$B$4:$B$1000,"A REPROCESO")-SUMIFS(MOVIMIENTOS!$F$4:$F$1000,MOVIMIENTOS!$C$4:$C$1000,A835,MOVIMIENTOS!$D$4:$D$1000,B835,MOVIMIENTOS!$E$4:$E$1000,C835,MOVIMIENTOS!$B$4:$B$1000,"MUESTRA")-SUMIFS(MOVIMIENTOS!$F$4:$F$1000,MOVIMIENTOS!$C$4:$C$1000,A835,MOVIMIENTOS!$D$4:$D$1000,B835,MOVIMIENTOS!$E$4:$E$1000,C835,MOVIMIENTOS!$B$4:$B$1000,"AJUSTE-"),0)</f>
        <v>0</v>
      </c>
      <c r="F835" s="101">
        <f>IFERROR(E835*VLOOKUP(B835,TELAS!$A$4:$C$32,3,FALSE()),0)</f>
        <v>0</v>
      </c>
      <c r="G835" s="102">
        <f>IFERROR(IF(D835="OSCURO",VLOOKUP(B835,PRECIOS!$A$4:$F$32,2,FALSE()),IF(D835="CLARO",VLOOKUP(B835,PRECIOS!$A$4:$F$32,3,FALSE()),IF(D835="MELANGE",VLOOKUP(B835,PRECIOS!$A$4:$F$32,4,FALSE()),IF(D835="PPT",VLOOKUP(B835,PRECIOS!$A$4:$F$32,5,FALSE()),0)))),0)</f>
        <v>26</v>
      </c>
      <c r="H835" s="103">
        <f t="shared" si="1"/>
        <v>0</v>
      </c>
      <c r="I835" s="104" t="str">
        <f>IF(E835&lt;0,"ERROR",IF(E835=0,"",IF(E835&lt;CONFIG!$B$4,"CRÍTICO",IF(E835&lt;CONFIG!$B$5,"BAJO","OK"))))</f>
        <v/>
      </c>
    </row>
    <row r="836" ht="15.75" customHeight="1">
      <c r="A836" s="90" t="str">
        <f>IF(CLIENTES!A9="","",CLIENTES!A9)</f>
        <v/>
      </c>
      <c r="B836" s="67" t="str">
        <f>TELAS!A10</f>
        <v>jersey full lycra 30/1</v>
      </c>
      <c r="C836" s="67" t="str">
        <f>COLORES!A16</f>
        <v>Topo</v>
      </c>
      <c r="D836" s="67" t="str">
        <f>COLORES!B16</f>
        <v>CLARO</v>
      </c>
      <c r="E836" s="100">
        <f>IFERROR(SUMIFS(MOVIMIENTOS!$F$4:$F$1000,MOVIMIENTOS!$C$4:$C$1000,A836,MOVIMIENTOS!$D$4:$D$1000,B836,MOVIMIENTOS!$E$4:$E$1000,C836,MOVIMIENTOS!$B$4:$B$1000,"INGRESO")+SUMIFS(MOVIMIENTOS!$F$4:$F$1000,MOVIMIENTOS!$C$4:$C$1000,A836,MOVIMIENTOS!$D$4:$D$1000,B836,MOVIMIENTOS!$E$4:$E$1000,C836,MOVIMIENTOS!$B$4:$B$1000,"DE REPROCESO")+SUMIFS(MOVIMIENTOS!$F$4:$F$1000,MOVIMIENTOS!$C$4:$C$1000,A836,MOVIMIENTOS!$D$4:$D$1000,B836,MOVIMIENTOS!$E$4:$E$1000,C836,MOVIMIENTOS!$B$4:$B$1000,"AJUSTE+")-SUMIFS(MOVIMIENTOS!$F$4:$F$1000,MOVIMIENTOS!$C$4:$C$1000,A836,MOVIMIENTOS!$D$4:$D$1000,B836,MOVIMIENTOS!$E$4:$E$1000,C836,MOVIMIENTOS!$B$4:$B$1000,"A CORTE")-SUMIFS(MOVIMIENTOS!$F$4:$F$1000,MOVIMIENTOS!$C$4:$C$1000,A836,MOVIMIENTOS!$D$4:$D$1000,B836,MOVIMIENTOS!$E$4:$E$1000,C836,MOVIMIENTOS!$B$4:$B$1000,"A REPROCESO")-SUMIFS(MOVIMIENTOS!$F$4:$F$1000,MOVIMIENTOS!$C$4:$C$1000,A836,MOVIMIENTOS!$D$4:$D$1000,B836,MOVIMIENTOS!$E$4:$E$1000,C836,MOVIMIENTOS!$B$4:$B$1000,"MUESTRA")-SUMIFS(MOVIMIENTOS!$F$4:$F$1000,MOVIMIENTOS!$C$4:$C$1000,A836,MOVIMIENTOS!$D$4:$D$1000,B836,MOVIMIENTOS!$E$4:$E$1000,C836,MOVIMIENTOS!$B$4:$B$1000,"AJUSTE-"),0)</f>
        <v>0</v>
      </c>
      <c r="F836" s="101">
        <f>IFERROR(E836*VLOOKUP(B836,TELAS!$A$4:$C$32,3,FALSE()),0)</f>
        <v>0</v>
      </c>
      <c r="G836" s="102">
        <f>IFERROR(IF(D836="OSCURO",VLOOKUP(B836,PRECIOS!$A$4:$F$32,2,FALSE()),IF(D836="CLARO",VLOOKUP(B836,PRECIOS!$A$4:$F$32,3,FALSE()),IF(D836="MELANGE",VLOOKUP(B836,PRECIOS!$A$4:$F$32,4,FALSE()),IF(D836="PPT",VLOOKUP(B836,PRECIOS!$A$4:$F$32,5,FALSE()),0)))),0)</f>
        <v>22.5</v>
      </c>
      <c r="H836" s="103">
        <f t="shared" si="1"/>
        <v>0</v>
      </c>
      <c r="I836" s="104" t="str">
        <f>IF(E836&lt;0,"ERROR",IF(E836=0,"",IF(E836&lt;CONFIG!$B$4,"CRÍTICO",IF(E836&lt;CONFIG!$B$5,"BAJO","OK"))))</f>
        <v/>
      </c>
    </row>
    <row r="837" ht="15.75" customHeight="1">
      <c r="A837" s="90" t="str">
        <f>IF(CLIENTES!A9="","",CLIENTES!A9)</f>
        <v/>
      </c>
      <c r="B837" s="67" t="str">
        <f>TELAS!A10</f>
        <v>jersey full lycra 30/1</v>
      </c>
      <c r="C837" s="67" t="str">
        <f>COLORES!A17</f>
        <v>Vino</v>
      </c>
      <c r="D837" s="67" t="str">
        <f>COLORES!B17</f>
        <v>OSCURO</v>
      </c>
      <c r="E837" s="100">
        <f>IFERROR(SUMIFS(MOVIMIENTOS!$F$4:$F$1000,MOVIMIENTOS!$C$4:$C$1000,A837,MOVIMIENTOS!$D$4:$D$1000,B837,MOVIMIENTOS!$E$4:$E$1000,C837,MOVIMIENTOS!$B$4:$B$1000,"INGRESO")+SUMIFS(MOVIMIENTOS!$F$4:$F$1000,MOVIMIENTOS!$C$4:$C$1000,A837,MOVIMIENTOS!$D$4:$D$1000,B837,MOVIMIENTOS!$E$4:$E$1000,C837,MOVIMIENTOS!$B$4:$B$1000,"DE REPROCESO")+SUMIFS(MOVIMIENTOS!$F$4:$F$1000,MOVIMIENTOS!$C$4:$C$1000,A837,MOVIMIENTOS!$D$4:$D$1000,B837,MOVIMIENTOS!$E$4:$E$1000,C837,MOVIMIENTOS!$B$4:$B$1000,"AJUSTE+")-SUMIFS(MOVIMIENTOS!$F$4:$F$1000,MOVIMIENTOS!$C$4:$C$1000,A837,MOVIMIENTOS!$D$4:$D$1000,B837,MOVIMIENTOS!$E$4:$E$1000,C837,MOVIMIENTOS!$B$4:$B$1000,"A CORTE")-SUMIFS(MOVIMIENTOS!$F$4:$F$1000,MOVIMIENTOS!$C$4:$C$1000,A837,MOVIMIENTOS!$D$4:$D$1000,B837,MOVIMIENTOS!$E$4:$E$1000,C837,MOVIMIENTOS!$B$4:$B$1000,"A REPROCESO")-SUMIFS(MOVIMIENTOS!$F$4:$F$1000,MOVIMIENTOS!$C$4:$C$1000,A837,MOVIMIENTOS!$D$4:$D$1000,B837,MOVIMIENTOS!$E$4:$E$1000,C837,MOVIMIENTOS!$B$4:$B$1000,"MUESTRA")-SUMIFS(MOVIMIENTOS!$F$4:$F$1000,MOVIMIENTOS!$C$4:$C$1000,A837,MOVIMIENTOS!$D$4:$D$1000,B837,MOVIMIENTOS!$E$4:$E$1000,C837,MOVIMIENTOS!$B$4:$B$1000,"AJUSTE-"),0)</f>
        <v>0</v>
      </c>
      <c r="F837" s="101">
        <f>IFERROR(E837*VLOOKUP(B837,TELAS!$A$4:$C$32,3,FALSE()),0)</f>
        <v>0</v>
      </c>
      <c r="G837" s="102">
        <f>IFERROR(IF(D837="OSCURO",VLOOKUP(B837,PRECIOS!$A$4:$F$32,2,FALSE()),IF(D837="CLARO",VLOOKUP(B837,PRECIOS!$A$4:$F$32,3,FALSE()),IF(D837="MELANGE",VLOOKUP(B837,PRECIOS!$A$4:$F$32,4,FALSE()),IF(D837="PPT",VLOOKUP(B837,PRECIOS!$A$4:$F$32,5,FALSE()),0)))),0)</f>
        <v>26</v>
      </c>
      <c r="H837" s="103">
        <f t="shared" si="1"/>
        <v>0</v>
      </c>
      <c r="I837" s="104" t="str">
        <f>IF(E837&lt;0,"ERROR",IF(E837=0,"",IF(E837&lt;CONFIG!$B$4,"CRÍTICO",IF(E837&lt;CONFIG!$B$5,"BAJO","OK"))))</f>
        <v/>
      </c>
    </row>
    <row r="838" ht="15.75" customHeight="1">
      <c r="A838" s="90" t="str">
        <f>IF(CLIENTES!A9="","",CLIENTES!A9)</f>
        <v/>
      </c>
      <c r="B838" s="67" t="str">
        <f>TELAS!A10</f>
        <v>jersey full lycra 30/1</v>
      </c>
      <c r="C838" s="67" t="str">
        <f>COLORES!A18</f>
        <v>P. Rosa</v>
      </c>
      <c r="D838" s="67" t="str">
        <f>COLORES!B18</f>
        <v>CLARO</v>
      </c>
      <c r="E838" s="100">
        <f>IFERROR(SUMIFS(MOVIMIENTOS!$F$4:$F$1000,MOVIMIENTOS!$C$4:$C$1000,A838,MOVIMIENTOS!$D$4:$D$1000,B838,MOVIMIENTOS!$E$4:$E$1000,C838,MOVIMIENTOS!$B$4:$B$1000,"INGRESO")+SUMIFS(MOVIMIENTOS!$F$4:$F$1000,MOVIMIENTOS!$C$4:$C$1000,A838,MOVIMIENTOS!$D$4:$D$1000,B838,MOVIMIENTOS!$E$4:$E$1000,C838,MOVIMIENTOS!$B$4:$B$1000,"DE REPROCESO")+SUMIFS(MOVIMIENTOS!$F$4:$F$1000,MOVIMIENTOS!$C$4:$C$1000,A838,MOVIMIENTOS!$D$4:$D$1000,B838,MOVIMIENTOS!$E$4:$E$1000,C838,MOVIMIENTOS!$B$4:$B$1000,"AJUSTE+")-SUMIFS(MOVIMIENTOS!$F$4:$F$1000,MOVIMIENTOS!$C$4:$C$1000,A838,MOVIMIENTOS!$D$4:$D$1000,B838,MOVIMIENTOS!$E$4:$E$1000,C838,MOVIMIENTOS!$B$4:$B$1000,"A CORTE")-SUMIFS(MOVIMIENTOS!$F$4:$F$1000,MOVIMIENTOS!$C$4:$C$1000,A838,MOVIMIENTOS!$D$4:$D$1000,B838,MOVIMIENTOS!$E$4:$E$1000,C838,MOVIMIENTOS!$B$4:$B$1000,"A REPROCESO")-SUMIFS(MOVIMIENTOS!$F$4:$F$1000,MOVIMIENTOS!$C$4:$C$1000,A838,MOVIMIENTOS!$D$4:$D$1000,B838,MOVIMIENTOS!$E$4:$E$1000,C838,MOVIMIENTOS!$B$4:$B$1000,"MUESTRA")-SUMIFS(MOVIMIENTOS!$F$4:$F$1000,MOVIMIENTOS!$C$4:$C$1000,A838,MOVIMIENTOS!$D$4:$D$1000,B838,MOVIMIENTOS!$E$4:$E$1000,C838,MOVIMIENTOS!$B$4:$B$1000,"AJUSTE-"),0)</f>
        <v>0</v>
      </c>
      <c r="F838" s="101">
        <f>IFERROR(E838*VLOOKUP(B838,TELAS!$A$4:$C$32,3,FALSE()),0)</f>
        <v>0</v>
      </c>
      <c r="G838" s="102">
        <f>IFERROR(IF(D838="OSCURO",VLOOKUP(B838,PRECIOS!$A$4:$F$32,2,FALSE()),IF(D838="CLARO",VLOOKUP(B838,PRECIOS!$A$4:$F$32,3,FALSE()),IF(D838="MELANGE",VLOOKUP(B838,PRECIOS!$A$4:$F$32,4,FALSE()),IF(D838="PPT",VLOOKUP(B838,PRECIOS!$A$4:$F$32,5,FALSE()),0)))),0)</f>
        <v>22.5</v>
      </c>
      <c r="H838" s="103">
        <f t="shared" si="1"/>
        <v>0</v>
      </c>
      <c r="I838" s="104" t="str">
        <f>IF(E838&lt;0,"ERROR",IF(E838=0,"",IF(E838&lt;CONFIG!$B$4,"CRÍTICO",IF(E838&lt;CONFIG!$B$5,"BAJO","OK"))))</f>
        <v/>
      </c>
    </row>
    <row r="839" ht="15.75" customHeight="1">
      <c r="A839" s="90" t="str">
        <f>IF(CLIENTES!A9="","",CLIENTES!A9)</f>
        <v/>
      </c>
      <c r="B839" s="67" t="str">
        <f>TELAS!A10</f>
        <v>jersey full lycra 30/1</v>
      </c>
      <c r="C839" s="67" t="str">
        <f>COLORES!A19</f>
        <v/>
      </c>
      <c r="D839" s="67" t="str">
        <f>COLORES!B19</f>
        <v/>
      </c>
      <c r="E839" s="100">
        <f>IFERROR(SUMIFS(MOVIMIENTOS!$F$4:$F$1000,MOVIMIENTOS!$C$4:$C$1000,A839,MOVIMIENTOS!$D$4:$D$1000,B839,MOVIMIENTOS!$E$4:$E$1000,C839,MOVIMIENTOS!$B$4:$B$1000,"INGRESO")+SUMIFS(MOVIMIENTOS!$F$4:$F$1000,MOVIMIENTOS!$C$4:$C$1000,A839,MOVIMIENTOS!$D$4:$D$1000,B839,MOVIMIENTOS!$E$4:$E$1000,C839,MOVIMIENTOS!$B$4:$B$1000,"DE REPROCESO")+SUMIFS(MOVIMIENTOS!$F$4:$F$1000,MOVIMIENTOS!$C$4:$C$1000,A839,MOVIMIENTOS!$D$4:$D$1000,B839,MOVIMIENTOS!$E$4:$E$1000,C839,MOVIMIENTOS!$B$4:$B$1000,"AJUSTE+")-SUMIFS(MOVIMIENTOS!$F$4:$F$1000,MOVIMIENTOS!$C$4:$C$1000,A839,MOVIMIENTOS!$D$4:$D$1000,B839,MOVIMIENTOS!$E$4:$E$1000,C839,MOVIMIENTOS!$B$4:$B$1000,"A CORTE")-SUMIFS(MOVIMIENTOS!$F$4:$F$1000,MOVIMIENTOS!$C$4:$C$1000,A839,MOVIMIENTOS!$D$4:$D$1000,B839,MOVIMIENTOS!$E$4:$E$1000,C839,MOVIMIENTOS!$B$4:$B$1000,"A REPROCESO")-SUMIFS(MOVIMIENTOS!$F$4:$F$1000,MOVIMIENTOS!$C$4:$C$1000,A839,MOVIMIENTOS!$D$4:$D$1000,B839,MOVIMIENTOS!$E$4:$E$1000,C839,MOVIMIENTOS!$B$4:$B$1000,"MUESTRA")-SUMIFS(MOVIMIENTOS!$F$4:$F$1000,MOVIMIENTOS!$C$4:$C$1000,A839,MOVIMIENTOS!$D$4:$D$1000,B839,MOVIMIENTOS!$E$4:$E$1000,C839,MOVIMIENTOS!$B$4:$B$1000,"AJUSTE-"),0)</f>
        <v>0</v>
      </c>
      <c r="F839" s="101">
        <f>IFERROR(E839*VLOOKUP(B839,TELAS!$A$4:$C$32,3,FALSE()),0)</f>
        <v>0</v>
      </c>
      <c r="G839" s="102">
        <f>IFERROR(IF(D839="OSCURO",VLOOKUP(B839,PRECIOS!$A$4:$F$32,2,FALSE()),IF(D839="CLARO",VLOOKUP(B839,PRECIOS!$A$4:$F$32,3,FALSE()),IF(D839="MELANGE",VLOOKUP(B839,PRECIOS!$A$4:$F$32,4,FALSE()),IF(D839="PPT",VLOOKUP(B839,PRECIOS!$A$4:$F$32,5,FALSE()),0)))),0)</f>
        <v>0</v>
      </c>
      <c r="H839" s="103">
        <f t="shared" si="1"/>
        <v>0</v>
      </c>
      <c r="I839" s="104" t="str">
        <f>IF(E839&lt;0,"ERROR",IF(E839=0,"",IF(E839&lt;CONFIG!$B$4,"CRÍTICO",IF(E839&lt;CONFIG!$B$5,"BAJO","OK"))))</f>
        <v/>
      </c>
    </row>
    <row r="840" ht="15.75" customHeight="1">
      <c r="A840" s="90" t="str">
        <f>IF(CLIENTES!A9="","",CLIENTES!A9)</f>
        <v/>
      </c>
      <c r="B840" s="67" t="str">
        <f>TELAS!A10</f>
        <v>jersey full lycra 30/1</v>
      </c>
      <c r="C840" s="67" t="str">
        <f>COLORES!A20</f>
        <v/>
      </c>
      <c r="D840" s="67" t="str">
        <f>COLORES!B20</f>
        <v/>
      </c>
      <c r="E840" s="100">
        <f>IFERROR(SUMIFS(MOVIMIENTOS!$F$4:$F$1000,MOVIMIENTOS!$C$4:$C$1000,A840,MOVIMIENTOS!$D$4:$D$1000,B840,MOVIMIENTOS!$E$4:$E$1000,C840,MOVIMIENTOS!$B$4:$B$1000,"INGRESO")+SUMIFS(MOVIMIENTOS!$F$4:$F$1000,MOVIMIENTOS!$C$4:$C$1000,A840,MOVIMIENTOS!$D$4:$D$1000,B840,MOVIMIENTOS!$E$4:$E$1000,C840,MOVIMIENTOS!$B$4:$B$1000,"DE REPROCESO")+SUMIFS(MOVIMIENTOS!$F$4:$F$1000,MOVIMIENTOS!$C$4:$C$1000,A840,MOVIMIENTOS!$D$4:$D$1000,B840,MOVIMIENTOS!$E$4:$E$1000,C840,MOVIMIENTOS!$B$4:$B$1000,"AJUSTE+")-SUMIFS(MOVIMIENTOS!$F$4:$F$1000,MOVIMIENTOS!$C$4:$C$1000,A840,MOVIMIENTOS!$D$4:$D$1000,B840,MOVIMIENTOS!$E$4:$E$1000,C840,MOVIMIENTOS!$B$4:$B$1000,"A CORTE")-SUMIFS(MOVIMIENTOS!$F$4:$F$1000,MOVIMIENTOS!$C$4:$C$1000,A840,MOVIMIENTOS!$D$4:$D$1000,B840,MOVIMIENTOS!$E$4:$E$1000,C840,MOVIMIENTOS!$B$4:$B$1000,"A REPROCESO")-SUMIFS(MOVIMIENTOS!$F$4:$F$1000,MOVIMIENTOS!$C$4:$C$1000,A840,MOVIMIENTOS!$D$4:$D$1000,B840,MOVIMIENTOS!$E$4:$E$1000,C840,MOVIMIENTOS!$B$4:$B$1000,"MUESTRA")-SUMIFS(MOVIMIENTOS!$F$4:$F$1000,MOVIMIENTOS!$C$4:$C$1000,A840,MOVIMIENTOS!$D$4:$D$1000,B840,MOVIMIENTOS!$E$4:$E$1000,C840,MOVIMIENTOS!$B$4:$B$1000,"AJUSTE-"),0)</f>
        <v>0</v>
      </c>
      <c r="F840" s="101">
        <f>IFERROR(E840*VLOOKUP(B840,TELAS!$A$4:$C$32,3,FALSE()),0)</f>
        <v>0</v>
      </c>
      <c r="G840" s="102">
        <f>IFERROR(IF(D840="OSCURO",VLOOKUP(B840,PRECIOS!$A$4:$F$32,2,FALSE()),IF(D840="CLARO",VLOOKUP(B840,PRECIOS!$A$4:$F$32,3,FALSE()),IF(D840="MELANGE",VLOOKUP(B840,PRECIOS!$A$4:$F$32,4,FALSE()),IF(D840="PPT",VLOOKUP(B840,PRECIOS!$A$4:$F$32,5,FALSE()),0)))),0)</f>
        <v>0</v>
      </c>
      <c r="H840" s="103">
        <f t="shared" si="1"/>
        <v>0</v>
      </c>
      <c r="I840" s="104" t="str">
        <f>IF(E840&lt;0,"ERROR",IF(E840=0,"",IF(E840&lt;CONFIG!$B$4,"CRÍTICO",IF(E840&lt;CONFIG!$B$5,"BAJO","OK"))))</f>
        <v/>
      </c>
    </row>
    <row r="841" ht="15.75" customHeight="1">
      <c r="A841" s="90" t="str">
        <f>IF(CLIENTES!A9="","",CLIENTES!A9)</f>
        <v/>
      </c>
      <c r="B841" s="67" t="str">
        <f>TELAS!A10</f>
        <v>jersey full lycra 30/1</v>
      </c>
      <c r="C841" s="67" t="str">
        <f>COLORES!A21</f>
        <v/>
      </c>
      <c r="D841" s="67" t="str">
        <f>COLORES!B21</f>
        <v/>
      </c>
      <c r="E841" s="100">
        <f>IFERROR(SUMIFS(MOVIMIENTOS!$F$4:$F$1000,MOVIMIENTOS!$C$4:$C$1000,A841,MOVIMIENTOS!$D$4:$D$1000,B841,MOVIMIENTOS!$E$4:$E$1000,C841,MOVIMIENTOS!$B$4:$B$1000,"INGRESO")+SUMIFS(MOVIMIENTOS!$F$4:$F$1000,MOVIMIENTOS!$C$4:$C$1000,A841,MOVIMIENTOS!$D$4:$D$1000,B841,MOVIMIENTOS!$E$4:$E$1000,C841,MOVIMIENTOS!$B$4:$B$1000,"DE REPROCESO")+SUMIFS(MOVIMIENTOS!$F$4:$F$1000,MOVIMIENTOS!$C$4:$C$1000,A841,MOVIMIENTOS!$D$4:$D$1000,B841,MOVIMIENTOS!$E$4:$E$1000,C841,MOVIMIENTOS!$B$4:$B$1000,"AJUSTE+")-SUMIFS(MOVIMIENTOS!$F$4:$F$1000,MOVIMIENTOS!$C$4:$C$1000,A841,MOVIMIENTOS!$D$4:$D$1000,B841,MOVIMIENTOS!$E$4:$E$1000,C841,MOVIMIENTOS!$B$4:$B$1000,"A CORTE")-SUMIFS(MOVIMIENTOS!$F$4:$F$1000,MOVIMIENTOS!$C$4:$C$1000,A841,MOVIMIENTOS!$D$4:$D$1000,B841,MOVIMIENTOS!$E$4:$E$1000,C841,MOVIMIENTOS!$B$4:$B$1000,"A REPROCESO")-SUMIFS(MOVIMIENTOS!$F$4:$F$1000,MOVIMIENTOS!$C$4:$C$1000,A841,MOVIMIENTOS!$D$4:$D$1000,B841,MOVIMIENTOS!$E$4:$E$1000,C841,MOVIMIENTOS!$B$4:$B$1000,"MUESTRA")-SUMIFS(MOVIMIENTOS!$F$4:$F$1000,MOVIMIENTOS!$C$4:$C$1000,A841,MOVIMIENTOS!$D$4:$D$1000,B841,MOVIMIENTOS!$E$4:$E$1000,C841,MOVIMIENTOS!$B$4:$B$1000,"AJUSTE-"),0)</f>
        <v>0</v>
      </c>
      <c r="F841" s="101">
        <f>IFERROR(E841*VLOOKUP(B841,TELAS!$A$4:$C$32,3,FALSE()),0)</f>
        <v>0</v>
      </c>
      <c r="G841" s="102">
        <f>IFERROR(IF(D841="OSCURO",VLOOKUP(B841,PRECIOS!$A$4:$F$32,2,FALSE()),IF(D841="CLARO",VLOOKUP(B841,PRECIOS!$A$4:$F$32,3,FALSE()),IF(D841="MELANGE",VLOOKUP(B841,PRECIOS!$A$4:$F$32,4,FALSE()),IF(D841="PPT",VLOOKUP(B841,PRECIOS!$A$4:$F$32,5,FALSE()),0)))),0)</f>
        <v>0</v>
      </c>
      <c r="H841" s="103">
        <f t="shared" si="1"/>
        <v>0</v>
      </c>
      <c r="I841" s="104" t="str">
        <f>IF(E841&lt;0,"ERROR",IF(E841=0,"",IF(E841&lt;CONFIG!$B$4,"CRÍTICO",IF(E841&lt;CONFIG!$B$5,"BAJO","OK"))))</f>
        <v/>
      </c>
    </row>
    <row r="842" ht="15.75" customHeight="1">
      <c r="A842" s="90" t="str">
        <f>IF(CLIENTES!A9="","",CLIENTES!A9)</f>
        <v/>
      </c>
      <c r="B842" s="67" t="str">
        <f>TELAS!A10</f>
        <v>jersey full lycra 30/1</v>
      </c>
      <c r="C842" s="67" t="str">
        <f>COLORES!A22</f>
        <v/>
      </c>
      <c r="D842" s="67" t="str">
        <f>COLORES!B22</f>
        <v/>
      </c>
      <c r="E842" s="100">
        <f>IFERROR(SUMIFS(MOVIMIENTOS!$F$4:$F$1000,MOVIMIENTOS!$C$4:$C$1000,A842,MOVIMIENTOS!$D$4:$D$1000,B842,MOVIMIENTOS!$E$4:$E$1000,C842,MOVIMIENTOS!$B$4:$B$1000,"INGRESO")+SUMIFS(MOVIMIENTOS!$F$4:$F$1000,MOVIMIENTOS!$C$4:$C$1000,A842,MOVIMIENTOS!$D$4:$D$1000,B842,MOVIMIENTOS!$E$4:$E$1000,C842,MOVIMIENTOS!$B$4:$B$1000,"DE REPROCESO")+SUMIFS(MOVIMIENTOS!$F$4:$F$1000,MOVIMIENTOS!$C$4:$C$1000,A842,MOVIMIENTOS!$D$4:$D$1000,B842,MOVIMIENTOS!$E$4:$E$1000,C842,MOVIMIENTOS!$B$4:$B$1000,"AJUSTE+")-SUMIFS(MOVIMIENTOS!$F$4:$F$1000,MOVIMIENTOS!$C$4:$C$1000,A842,MOVIMIENTOS!$D$4:$D$1000,B842,MOVIMIENTOS!$E$4:$E$1000,C842,MOVIMIENTOS!$B$4:$B$1000,"A CORTE")-SUMIFS(MOVIMIENTOS!$F$4:$F$1000,MOVIMIENTOS!$C$4:$C$1000,A842,MOVIMIENTOS!$D$4:$D$1000,B842,MOVIMIENTOS!$E$4:$E$1000,C842,MOVIMIENTOS!$B$4:$B$1000,"A REPROCESO")-SUMIFS(MOVIMIENTOS!$F$4:$F$1000,MOVIMIENTOS!$C$4:$C$1000,A842,MOVIMIENTOS!$D$4:$D$1000,B842,MOVIMIENTOS!$E$4:$E$1000,C842,MOVIMIENTOS!$B$4:$B$1000,"MUESTRA")-SUMIFS(MOVIMIENTOS!$F$4:$F$1000,MOVIMIENTOS!$C$4:$C$1000,A842,MOVIMIENTOS!$D$4:$D$1000,B842,MOVIMIENTOS!$E$4:$E$1000,C842,MOVIMIENTOS!$B$4:$B$1000,"AJUSTE-"),0)</f>
        <v>0</v>
      </c>
      <c r="F842" s="101">
        <f>IFERROR(E842*VLOOKUP(B842,TELAS!$A$4:$C$32,3,FALSE()),0)</f>
        <v>0</v>
      </c>
      <c r="G842" s="102">
        <f>IFERROR(IF(D842="OSCURO",VLOOKUP(B842,PRECIOS!$A$4:$F$32,2,FALSE()),IF(D842="CLARO",VLOOKUP(B842,PRECIOS!$A$4:$F$32,3,FALSE()),IF(D842="MELANGE",VLOOKUP(B842,PRECIOS!$A$4:$F$32,4,FALSE()),IF(D842="PPT",VLOOKUP(B842,PRECIOS!$A$4:$F$32,5,FALSE()),0)))),0)</f>
        <v>0</v>
      </c>
      <c r="H842" s="103">
        <f t="shared" si="1"/>
        <v>0</v>
      </c>
      <c r="I842" s="104" t="str">
        <f>IF(E842&lt;0,"ERROR",IF(E842=0,"",IF(E842&lt;CONFIG!$B$4,"CRÍTICO",IF(E842&lt;CONFIG!$B$5,"BAJO","OK"))))</f>
        <v/>
      </c>
    </row>
    <row r="843" ht="15.75" customHeight="1">
      <c r="A843" s="90" t="str">
        <f>IF(CLIENTES!A9="","",CLIENTES!A9)</f>
        <v/>
      </c>
      <c r="B843" s="67" t="str">
        <f>TELAS!A10</f>
        <v>jersey full lycra 30/1</v>
      </c>
      <c r="C843" s="67" t="str">
        <f>COLORES!A23</f>
        <v/>
      </c>
      <c r="D843" s="67" t="str">
        <f>COLORES!B23</f>
        <v/>
      </c>
      <c r="E843" s="100">
        <f>IFERROR(SUMIFS(MOVIMIENTOS!$F$4:$F$1000,MOVIMIENTOS!$C$4:$C$1000,A843,MOVIMIENTOS!$D$4:$D$1000,B843,MOVIMIENTOS!$E$4:$E$1000,C843,MOVIMIENTOS!$B$4:$B$1000,"INGRESO")+SUMIFS(MOVIMIENTOS!$F$4:$F$1000,MOVIMIENTOS!$C$4:$C$1000,A843,MOVIMIENTOS!$D$4:$D$1000,B843,MOVIMIENTOS!$E$4:$E$1000,C843,MOVIMIENTOS!$B$4:$B$1000,"DE REPROCESO")+SUMIFS(MOVIMIENTOS!$F$4:$F$1000,MOVIMIENTOS!$C$4:$C$1000,A843,MOVIMIENTOS!$D$4:$D$1000,B843,MOVIMIENTOS!$E$4:$E$1000,C843,MOVIMIENTOS!$B$4:$B$1000,"AJUSTE+")-SUMIFS(MOVIMIENTOS!$F$4:$F$1000,MOVIMIENTOS!$C$4:$C$1000,A843,MOVIMIENTOS!$D$4:$D$1000,B843,MOVIMIENTOS!$E$4:$E$1000,C843,MOVIMIENTOS!$B$4:$B$1000,"A CORTE")-SUMIFS(MOVIMIENTOS!$F$4:$F$1000,MOVIMIENTOS!$C$4:$C$1000,A843,MOVIMIENTOS!$D$4:$D$1000,B843,MOVIMIENTOS!$E$4:$E$1000,C843,MOVIMIENTOS!$B$4:$B$1000,"A REPROCESO")-SUMIFS(MOVIMIENTOS!$F$4:$F$1000,MOVIMIENTOS!$C$4:$C$1000,A843,MOVIMIENTOS!$D$4:$D$1000,B843,MOVIMIENTOS!$E$4:$E$1000,C843,MOVIMIENTOS!$B$4:$B$1000,"MUESTRA")-SUMIFS(MOVIMIENTOS!$F$4:$F$1000,MOVIMIENTOS!$C$4:$C$1000,A843,MOVIMIENTOS!$D$4:$D$1000,B843,MOVIMIENTOS!$E$4:$E$1000,C843,MOVIMIENTOS!$B$4:$B$1000,"AJUSTE-"),0)</f>
        <v>0</v>
      </c>
      <c r="F843" s="101">
        <f>IFERROR(E843*VLOOKUP(B843,TELAS!$A$4:$C$32,3,FALSE()),0)</f>
        <v>0</v>
      </c>
      <c r="G843" s="102">
        <f>IFERROR(IF(D843="OSCURO",VLOOKUP(B843,PRECIOS!$A$4:$F$32,2,FALSE()),IF(D843="CLARO",VLOOKUP(B843,PRECIOS!$A$4:$F$32,3,FALSE()),IF(D843="MELANGE",VLOOKUP(B843,PRECIOS!$A$4:$F$32,4,FALSE()),IF(D843="PPT",VLOOKUP(B843,PRECIOS!$A$4:$F$32,5,FALSE()),0)))),0)</f>
        <v>0</v>
      </c>
      <c r="H843" s="103">
        <f t="shared" si="1"/>
        <v>0</v>
      </c>
      <c r="I843" s="104" t="str">
        <f>IF(E843&lt;0,"ERROR",IF(E843=0,"",IF(E843&lt;CONFIG!$B$4,"CRÍTICO",IF(E843&lt;CONFIG!$B$5,"BAJO","OK"))))</f>
        <v/>
      </c>
    </row>
    <row r="844" ht="25.5" customHeight="1">
      <c r="A844" s="105" t="s">
        <v>373</v>
      </c>
      <c r="B844" s="2"/>
      <c r="C844" s="2"/>
      <c r="D844" s="3"/>
      <c r="E844" s="106">
        <f t="shared" ref="E844:F844" si="2">SUM(E4:E843)</f>
        <v>620</v>
      </c>
      <c r="F844" s="107">
        <f t="shared" si="2"/>
        <v>12400</v>
      </c>
      <c r="H844" s="108">
        <f>SUM(H4:H843)</f>
        <v>277190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I$843"/>
  <mergeCells count="3">
    <mergeCell ref="A1:I1"/>
    <mergeCell ref="A2:I2"/>
    <mergeCell ref="A844:D844"/>
  </mergeCells>
  <conditionalFormatting sqref="I4:I843">
    <cfRule type="expression" dxfId="0" priority="1">
      <formula>I4="CRÍTICO"</formula>
    </cfRule>
  </conditionalFormatting>
  <conditionalFormatting sqref="I4:I843">
    <cfRule type="expression" dxfId="2" priority="2">
      <formula>I4="BAJO"</formula>
    </cfRule>
  </conditionalFormatting>
  <conditionalFormatting sqref="I4:I843">
    <cfRule type="expression" dxfId="7" priority="3">
      <formula>I4="OK"</formula>
    </cfRule>
  </conditionalFormatting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1.0"/>
    <col customWidth="1" min="3" max="3" width="12.0"/>
    <col customWidth="1" min="4" max="4" width="22.0"/>
    <col customWidth="1" min="5" max="5" width="14.0"/>
    <col customWidth="1" min="6" max="6" width="11.0"/>
    <col customWidth="1" min="7" max="7" width="7.0"/>
    <col customWidth="1" min="8" max="8" width="11.29"/>
    <col customWidth="1" min="9" max="9" width="12.0"/>
    <col customWidth="1" hidden="1" min="10" max="10" width="14.0"/>
    <col customWidth="1" min="11" max="11" width="12.43"/>
  </cols>
  <sheetData>
    <row r="1" ht="27.75" customHeight="1">
      <c r="A1" s="99" t="s">
        <v>374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0" customHeight="1">
      <c r="A2" s="4" t="s">
        <v>375</v>
      </c>
    </row>
    <row r="3" ht="27.75" customHeight="1">
      <c r="A3" s="5" t="s">
        <v>4</v>
      </c>
      <c r="B3" s="5" t="s">
        <v>98</v>
      </c>
      <c r="C3" s="5" t="s">
        <v>99</v>
      </c>
      <c r="D3" s="5" t="s">
        <v>100</v>
      </c>
      <c r="E3" s="5" t="s">
        <v>6</v>
      </c>
      <c r="F3" s="5" t="s">
        <v>139</v>
      </c>
      <c r="G3" s="5" t="s">
        <v>101</v>
      </c>
      <c r="H3" s="5" t="s">
        <v>122</v>
      </c>
      <c r="I3" s="5" t="s">
        <v>103</v>
      </c>
      <c r="J3" s="5" t="s">
        <v>120</v>
      </c>
      <c r="K3" s="5" t="s">
        <v>141</v>
      </c>
    </row>
    <row r="4" ht="15.0" hidden="1" customHeight="1">
      <c r="A4" s="90" t="str">
        <f>IF(CLIENTES!A4="","",CLIENTES!A4)</f>
        <v>OverShark</v>
      </c>
      <c r="B4" s="90" t="s">
        <v>321</v>
      </c>
      <c r="C4" s="91" t="s">
        <v>322</v>
      </c>
      <c r="D4" s="109" t="s">
        <v>353</v>
      </c>
      <c r="E4" s="67" t="str">
        <f>COLORES!A4</f>
        <v>Negro</v>
      </c>
      <c r="F4" s="67" t="str">
        <f>COLORES!B4</f>
        <v>OSCURO</v>
      </c>
      <c r="G4" s="90" t="s">
        <v>376</v>
      </c>
      <c r="H4" s="100">
        <f>IFERROR(SUMIFS(MOVIMIENTOS_COMPLEMENTOS!$I$4:$I$803,MOVIMIENTOS_COMPLEMENTOS!$C$4:$C$803,A4,MOVIMIENTOS_COMPLEMENTOS!$D$4:$D$803,B4,MOVIMIENTOS_COMPLEMENTOS!$E$4:$E$803,C4,MOVIMIENTOS_COMPLEMENTOS!$G$4:$G$803,E4,MOVIMIENTOS_COMPLEMENTOS!$H$4:$H$803,G4,MOVIMIENTOS_COMPLEMENTOS!$B$4:$B$803,"INGRESO")+SUMIFS(MOVIMIENTOS_COMPLEMENTOS!$I$4:$I$803,MOVIMIENTOS_COMPLEMENTOS!$C$4:$C$803,A4,MOVIMIENTOS_COMPLEMENTOS!$D$4:$D$803,B4,MOVIMIENTOS_COMPLEMENTOS!$E$4:$E$803,C4,MOVIMIENTOS_COMPLEMENTOS!$G$4:$G$803,E4,MOVIMIENTOS_COMPLEMENTOS!$H$4:$H$803,G4,MOVIMIENTOS_COMPLEMENTOS!$B$4:$B$803,"DE CORTE")-SUMIFS(MOVIMIENTOS_COMPLEMENTOS!$I$4:$I$803,MOVIMIENTOS_COMPLEMENTOS!$C$4:$C$803,A4,MOVIMIENTOS_COMPLEMENTOS!$D$4:$D$803,B4,MOVIMIENTOS_COMPLEMENTOS!$E$4:$E$803,C4,MOVIMIENTOS_COMPLEMENTOS!$G$4:$G$803,E4,MOVIMIENTOS_COMPLEMENTOS!$H$4:$H$803,G4,MOVIMIENTOS_COMPLEMENTOS!$B$4:$B$803,"SALIDA"),0)</f>
        <v>0</v>
      </c>
      <c r="I4" s="102">
        <f t="array" ref="I4">IFERROR(INDEX(PRECIOS_COMPLEMENTOS!$C$4:$F$17,MATCH(B4&amp;"_"&amp;C4,PRECIOS_COMPLEMENTOS!$H$4:$H$17,0),IF(OR(G4="S",G4="20cm"),1,IF(OR(G4="M",G4="25cm"),2,IF(OR(G4="L",G4="30cm"),3,IF(OR(G4="XL",G4="35cm"),4,0))))),0)</f>
        <v>0.7</v>
      </c>
      <c r="J4" s="103">
        <f t="shared" ref="J4:J3243" si="1">H4*I4</f>
        <v>0</v>
      </c>
      <c r="K4" s="104" t="str">
        <f>IF(H4&lt;0,"ERROR",IF(H4=0,"",IF(H4&lt;CONFIG!$B$4,"CRÍTICO",IF(H4&lt;CONFIG!$B$5,"BAJO","OK"))))</f>
        <v/>
      </c>
    </row>
    <row r="5" ht="15.0" hidden="1" customHeight="1">
      <c r="A5" s="90" t="str">
        <f>IF(CLIENTES!A4="","",CLIENTES!A4)</f>
        <v>OverShark</v>
      </c>
      <c r="B5" s="90" t="s">
        <v>321</v>
      </c>
      <c r="C5" s="91" t="s">
        <v>322</v>
      </c>
      <c r="D5" s="109" t="s">
        <v>353</v>
      </c>
      <c r="E5" s="67" t="str">
        <f>COLORES!A4</f>
        <v>Negro</v>
      </c>
      <c r="F5" s="67" t="str">
        <f>COLORES!B4</f>
        <v>OSCURO</v>
      </c>
      <c r="G5" s="90" t="s">
        <v>377</v>
      </c>
      <c r="H5" s="100">
        <f>IFERROR(SUMIFS(MOVIMIENTOS_COMPLEMENTOS!$I$4:$I$803,MOVIMIENTOS_COMPLEMENTOS!$C$4:$C$803,A5,MOVIMIENTOS_COMPLEMENTOS!$D$4:$D$803,B5,MOVIMIENTOS_COMPLEMENTOS!$E$4:$E$803,C5,MOVIMIENTOS_COMPLEMENTOS!$G$4:$G$803,E5,MOVIMIENTOS_COMPLEMENTOS!$H$4:$H$803,G5,MOVIMIENTOS_COMPLEMENTOS!$B$4:$B$803,"INGRESO")+SUMIFS(MOVIMIENTOS_COMPLEMENTOS!$I$4:$I$803,MOVIMIENTOS_COMPLEMENTOS!$C$4:$C$803,A5,MOVIMIENTOS_COMPLEMENTOS!$D$4:$D$803,B5,MOVIMIENTOS_COMPLEMENTOS!$E$4:$E$803,C5,MOVIMIENTOS_COMPLEMENTOS!$G$4:$G$803,E5,MOVIMIENTOS_COMPLEMENTOS!$H$4:$H$803,G5,MOVIMIENTOS_COMPLEMENTOS!$B$4:$B$803,"DE CORTE")-SUMIFS(MOVIMIENTOS_COMPLEMENTOS!$I$4:$I$803,MOVIMIENTOS_COMPLEMENTOS!$C$4:$C$803,A5,MOVIMIENTOS_COMPLEMENTOS!$D$4:$D$803,B5,MOVIMIENTOS_COMPLEMENTOS!$E$4:$E$803,C5,MOVIMIENTOS_COMPLEMENTOS!$G$4:$G$803,E5,MOVIMIENTOS_COMPLEMENTOS!$H$4:$H$803,G5,MOVIMIENTOS_COMPLEMENTOS!$B$4:$B$803,"SALIDA"),0)</f>
        <v>0</v>
      </c>
      <c r="I5" s="102">
        <f t="array" ref="I5">IFERROR(INDEX(PRECIOS_COMPLEMENTOS!$C$4:$F$17,MATCH(B5&amp;"_"&amp;C5,PRECIOS_COMPLEMENTOS!$H$4:$H$17,0),IF(OR(G5="S",G5="20cm"),1,IF(OR(G5="M",G5="25cm"),2,IF(OR(G5="L",G5="30cm"),3,IF(OR(G5="XL",G5="35cm"),4,0))))),0)</f>
        <v>0.75</v>
      </c>
      <c r="J5" s="103">
        <f t="shared" si="1"/>
        <v>0</v>
      </c>
      <c r="K5" s="104" t="str">
        <f>IF(H5&lt;0,"ERROR",IF(H5=0,"",IF(H5&lt;CONFIG!$B$4,"CRÍTICO",IF(H5&lt;CONFIG!$B$5,"BAJO","OK"))))</f>
        <v/>
      </c>
    </row>
    <row r="6" ht="15.0" hidden="1" customHeight="1">
      <c r="A6" s="90" t="str">
        <f>IF(CLIENTES!A4="","",CLIENTES!A4)</f>
        <v>OverShark</v>
      </c>
      <c r="B6" s="90" t="s">
        <v>321</v>
      </c>
      <c r="C6" s="91" t="s">
        <v>322</v>
      </c>
      <c r="D6" s="109" t="s">
        <v>353</v>
      </c>
      <c r="E6" s="67" t="str">
        <f>COLORES!A5</f>
        <v>Perla</v>
      </c>
      <c r="F6" s="67" t="str">
        <f>COLORES!B5</f>
        <v>PPT</v>
      </c>
      <c r="G6" s="90" t="s">
        <v>376</v>
      </c>
      <c r="H6" s="100">
        <f>IFERROR(SUMIFS(MOVIMIENTOS_COMPLEMENTOS!$I$4:$I$803,MOVIMIENTOS_COMPLEMENTOS!$C$4:$C$803,A6,MOVIMIENTOS_COMPLEMENTOS!$D$4:$D$803,B6,MOVIMIENTOS_COMPLEMENTOS!$E$4:$E$803,C6,MOVIMIENTOS_COMPLEMENTOS!$G$4:$G$803,E6,MOVIMIENTOS_COMPLEMENTOS!$H$4:$H$803,G6,MOVIMIENTOS_COMPLEMENTOS!$B$4:$B$803,"INGRESO")+SUMIFS(MOVIMIENTOS_COMPLEMENTOS!$I$4:$I$803,MOVIMIENTOS_COMPLEMENTOS!$C$4:$C$803,A6,MOVIMIENTOS_COMPLEMENTOS!$D$4:$D$803,B6,MOVIMIENTOS_COMPLEMENTOS!$E$4:$E$803,C6,MOVIMIENTOS_COMPLEMENTOS!$G$4:$G$803,E6,MOVIMIENTOS_COMPLEMENTOS!$H$4:$H$803,G6,MOVIMIENTOS_COMPLEMENTOS!$B$4:$B$803,"DE CORTE")-SUMIFS(MOVIMIENTOS_COMPLEMENTOS!$I$4:$I$803,MOVIMIENTOS_COMPLEMENTOS!$C$4:$C$803,A6,MOVIMIENTOS_COMPLEMENTOS!$D$4:$D$803,B6,MOVIMIENTOS_COMPLEMENTOS!$E$4:$E$803,C6,MOVIMIENTOS_COMPLEMENTOS!$G$4:$G$803,E6,MOVIMIENTOS_COMPLEMENTOS!$H$4:$H$803,G6,MOVIMIENTOS_COMPLEMENTOS!$B$4:$B$803,"SALIDA"),0)</f>
        <v>0</v>
      </c>
      <c r="I6" s="102">
        <f t="array" ref="I6">IFERROR(INDEX(PRECIOS_COMPLEMENTOS!$C$4:$F$17,MATCH(B6&amp;"_"&amp;C6,PRECIOS_COMPLEMENTOS!$H$4:$H$17,0),IF(OR(G6="S",G6="20cm"),1,IF(OR(G6="M",G6="25cm"),2,IF(OR(G6="L",G6="30cm"),3,IF(OR(G6="XL",G6="35cm"),4,0))))),0)</f>
        <v>0.7</v>
      </c>
      <c r="J6" s="103">
        <f t="shared" si="1"/>
        <v>0</v>
      </c>
      <c r="K6" s="104" t="str">
        <f>IF(H6&lt;0,"ERROR",IF(H6=0,"",IF(H6&lt;CONFIG!$B$4,"CRÍTICO",IF(H6&lt;CONFIG!$B$5,"BAJO","OK"))))</f>
        <v/>
      </c>
    </row>
    <row r="7" ht="15.0" hidden="1" customHeight="1">
      <c r="A7" s="90" t="str">
        <f>IF(CLIENTES!A4="","",CLIENTES!A4)</f>
        <v>OverShark</v>
      </c>
      <c r="B7" s="90" t="s">
        <v>321</v>
      </c>
      <c r="C7" s="91" t="s">
        <v>322</v>
      </c>
      <c r="D7" s="109" t="s">
        <v>353</v>
      </c>
      <c r="E7" s="67" t="str">
        <f>COLORES!A5</f>
        <v>Perla</v>
      </c>
      <c r="F7" s="67" t="str">
        <f>COLORES!B5</f>
        <v>PPT</v>
      </c>
      <c r="G7" s="90" t="s">
        <v>377</v>
      </c>
      <c r="H7" s="100">
        <f>IFERROR(SUMIFS(MOVIMIENTOS_COMPLEMENTOS!$I$4:$I$803,MOVIMIENTOS_COMPLEMENTOS!$C$4:$C$803,A7,MOVIMIENTOS_COMPLEMENTOS!$D$4:$D$803,B7,MOVIMIENTOS_COMPLEMENTOS!$E$4:$E$803,C7,MOVIMIENTOS_COMPLEMENTOS!$G$4:$G$803,E7,MOVIMIENTOS_COMPLEMENTOS!$H$4:$H$803,G7,MOVIMIENTOS_COMPLEMENTOS!$B$4:$B$803,"INGRESO")+SUMIFS(MOVIMIENTOS_COMPLEMENTOS!$I$4:$I$803,MOVIMIENTOS_COMPLEMENTOS!$C$4:$C$803,A7,MOVIMIENTOS_COMPLEMENTOS!$D$4:$D$803,B7,MOVIMIENTOS_COMPLEMENTOS!$E$4:$E$803,C7,MOVIMIENTOS_COMPLEMENTOS!$G$4:$G$803,E7,MOVIMIENTOS_COMPLEMENTOS!$H$4:$H$803,G7,MOVIMIENTOS_COMPLEMENTOS!$B$4:$B$803,"DE CORTE")-SUMIFS(MOVIMIENTOS_COMPLEMENTOS!$I$4:$I$803,MOVIMIENTOS_COMPLEMENTOS!$C$4:$C$803,A7,MOVIMIENTOS_COMPLEMENTOS!$D$4:$D$803,B7,MOVIMIENTOS_COMPLEMENTOS!$E$4:$E$803,C7,MOVIMIENTOS_COMPLEMENTOS!$G$4:$G$803,E7,MOVIMIENTOS_COMPLEMENTOS!$H$4:$H$803,G7,MOVIMIENTOS_COMPLEMENTOS!$B$4:$B$803,"SALIDA"),0)</f>
        <v>0</v>
      </c>
      <c r="I7" s="102">
        <f t="array" ref="I7">IFERROR(INDEX(PRECIOS_COMPLEMENTOS!$C$4:$F$17,MATCH(B7&amp;"_"&amp;C7,PRECIOS_COMPLEMENTOS!$H$4:$H$17,0),IF(OR(G7="S",G7="20cm"),1,IF(OR(G7="M",G7="25cm"),2,IF(OR(G7="L",G7="30cm"),3,IF(OR(G7="XL",G7="35cm"),4,0))))),0)</f>
        <v>0.75</v>
      </c>
      <c r="J7" s="103">
        <f t="shared" si="1"/>
        <v>0</v>
      </c>
      <c r="K7" s="104" t="str">
        <f>IF(H7&lt;0,"ERROR",IF(H7=0,"",IF(H7&lt;CONFIG!$B$4,"CRÍTICO",IF(H7&lt;CONFIG!$B$5,"BAJO","OK"))))</f>
        <v/>
      </c>
    </row>
    <row r="8" ht="15.0" hidden="1" customHeight="1">
      <c r="A8" s="90" t="str">
        <f>IF(CLIENTES!A4="","",CLIENTES!A4)</f>
        <v>OverShark</v>
      </c>
      <c r="B8" s="90" t="s">
        <v>321</v>
      </c>
      <c r="C8" s="91" t="s">
        <v>322</v>
      </c>
      <c r="D8" s="109" t="s">
        <v>353</v>
      </c>
      <c r="E8" s="67" t="str">
        <f>COLORES!A6</f>
        <v>Blanco</v>
      </c>
      <c r="F8" s="67" t="str">
        <f>COLORES!B6</f>
        <v>PPT</v>
      </c>
      <c r="G8" s="90" t="s">
        <v>376</v>
      </c>
      <c r="H8" s="100">
        <f>IFERROR(SUMIFS(MOVIMIENTOS_COMPLEMENTOS!$I$4:$I$803,MOVIMIENTOS_COMPLEMENTOS!$C$4:$C$803,A8,MOVIMIENTOS_COMPLEMENTOS!$D$4:$D$803,B8,MOVIMIENTOS_COMPLEMENTOS!$E$4:$E$803,C8,MOVIMIENTOS_COMPLEMENTOS!$G$4:$G$803,E8,MOVIMIENTOS_COMPLEMENTOS!$H$4:$H$803,G8,MOVIMIENTOS_COMPLEMENTOS!$B$4:$B$803,"INGRESO")+SUMIFS(MOVIMIENTOS_COMPLEMENTOS!$I$4:$I$803,MOVIMIENTOS_COMPLEMENTOS!$C$4:$C$803,A8,MOVIMIENTOS_COMPLEMENTOS!$D$4:$D$803,B8,MOVIMIENTOS_COMPLEMENTOS!$E$4:$E$803,C8,MOVIMIENTOS_COMPLEMENTOS!$G$4:$G$803,E8,MOVIMIENTOS_COMPLEMENTOS!$H$4:$H$803,G8,MOVIMIENTOS_COMPLEMENTOS!$B$4:$B$803,"DE CORTE")-SUMIFS(MOVIMIENTOS_COMPLEMENTOS!$I$4:$I$803,MOVIMIENTOS_COMPLEMENTOS!$C$4:$C$803,A8,MOVIMIENTOS_COMPLEMENTOS!$D$4:$D$803,B8,MOVIMIENTOS_COMPLEMENTOS!$E$4:$E$803,C8,MOVIMIENTOS_COMPLEMENTOS!$G$4:$G$803,E8,MOVIMIENTOS_COMPLEMENTOS!$H$4:$H$803,G8,MOVIMIENTOS_COMPLEMENTOS!$B$4:$B$803,"SALIDA"),0)</f>
        <v>0</v>
      </c>
      <c r="I8" s="102">
        <f t="array" ref="I8">IFERROR(INDEX(PRECIOS_COMPLEMENTOS!$C$4:$F$17,MATCH(B8&amp;"_"&amp;C8,PRECIOS_COMPLEMENTOS!$H$4:$H$17,0),IF(OR(G8="S",G8="20cm"),1,IF(OR(G8="M",G8="25cm"),2,IF(OR(G8="L",G8="30cm"),3,IF(OR(G8="XL",G8="35cm"),4,0))))),0)</f>
        <v>0.7</v>
      </c>
      <c r="J8" s="103">
        <f t="shared" si="1"/>
        <v>0</v>
      </c>
      <c r="K8" s="104" t="str">
        <f>IF(H8&lt;0,"ERROR",IF(H8=0,"",IF(H8&lt;CONFIG!$B$4,"CRÍTICO",IF(H8&lt;CONFIG!$B$5,"BAJO","OK"))))</f>
        <v/>
      </c>
    </row>
    <row r="9" ht="15.0" hidden="1" customHeight="1">
      <c r="A9" s="90" t="str">
        <f>IF(CLIENTES!A4="","",CLIENTES!A4)</f>
        <v>OverShark</v>
      </c>
      <c r="B9" s="90" t="s">
        <v>321</v>
      </c>
      <c r="C9" s="91" t="s">
        <v>322</v>
      </c>
      <c r="D9" s="109" t="s">
        <v>353</v>
      </c>
      <c r="E9" s="67" t="str">
        <f>COLORES!A6</f>
        <v>Blanco</v>
      </c>
      <c r="F9" s="67" t="str">
        <f>COLORES!B6</f>
        <v>PPT</v>
      </c>
      <c r="G9" s="90" t="s">
        <v>377</v>
      </c>
      <c r="H9" s="100">
        <f>IFERROR(SUMIFS(MOVIMIENTOS_COMPLEMENTOS!$I$4:$I$803,MOVIMIENTOS_COMPLEMENTOS!$C$4:$C$803,A9,MOVIMIENTOS_COMPLEMENTOS!$D$4:$D$803,B9,MOVIMIENTOS_COMPLEMENTOS!$E$4:$E$803,C9,MOVIMIENTOS_COMPLEMENTOS!$G$4:$G$803,E9,MOVIMIENTOS_COMPLEMENTOS!$H$4:$H$803,G9,MOVIMIENTOS_COMPLEMENTOS!$B$4:$B$803,"INGRESO")+SUMIFS(MOVIMIENTOS_COMPLEMENTOS!$I$4:$I$803,MOVIMIENTOS_COMPLEMENTOS!$C$4:$C$803,A9,MOVIMIENTOS_COMPLEMENTOS!$D$4:$D$803,B9,MOVIMIENTOS_COMPLEMENTOS!$E$4:$E$803,C9,MOVIMIENTOS_COMPLEMENTOS!$G$4:$G$803,E9,MOVIMIENTOS_COMPLEMENTOS!$H$4:$H$803,G9,MOVIMIENTOS_COMPLEMENTOS!$B$4:$B$803,"DE CORTE")-SUMIFS(MOVIMIENTOS_COMPLEMENTOS!$I$4:$I$803,MOVIMIENTOS_COMPLEMENTOS!$C$4:$C$803,A9,MOVIMIENTOS_COMPLEMENTOS!$D$4:$D$803,B9,MOVIMIENTOS_COMPLEMENTOS!$E$4:$E$803,C9,MOVIMIENTOS_COMPLEMENTOS!$G$4:$G$803,E9,MOVIMIENTOS_COMPLEMENTOS!$H$4:$H$803,G9,MOVIMIENTOS_COMPLEMENTOS!$B$4:$B$803,"SALIDA"),0)</f>
        <v>0</v>
      </c>
      <c r="I9" s="102">
        <f t="array" ref="I9">IFERROR(INDEX(PRECIOS_COMPLEMENTOS!$C$4:$F$17,MATCH(B9&amp;"_"&amp;C9,PRECIOS_COMPLEMENTOS!$H$4:$H$17,0),IF(OR(G9="S",G9="20cm"),1,IF(OR(G9="M",G9="25cm"),2,IF(OR(G9="L",G9="30cm"),3,IF(OR(G9="XL",G9="35cm"),4,0))))),0)</f>
        <v>0.75</v>
      </c>
      <c r="J9" s="103">
        <f t="shared" si="1"/>
        <v>0</v>
      </c>
      <c r="K9" s="104" t="str">
        <f>IF(H9&lt;0,"ERROR",IF(H9=0,"",IF(H9&lt;CONFIG!$B$4,"CRÍTICO",IF(H9&lt;CONFIG!$B$5,"BAJO","OK"))))</f>
        <v/>
      </c>
    </row>
    <row r="10" ht="15.0" hidden="1" customHeight="1">
      <c r="A10" s="90" t="str">
        <f>IF(CLIENTES!A4="","",CLIENTES!A4)</f>
        <v>OverShark</v>
      </c>
      <c r="B10" s="90" t="s">
        <v>321</v>
      </c>
      <c r="C10" s="91" t="s">
        <v>322</v>
      </c>
      <c r="D10" s="109" t="s">
        <v>353</v>
      </c>
      <c r="E10" s="67" t="str">
        <f>COLORES!A7</f>
        <v>Azul</v>
      </c>
      <c r="F10" s="67" t="str">
        <f>COLORES!B7</f>
        <v>OSCURO</v>
      </c>
      <c r="G10" s="90" t="s">
        <v>376</v>
      </c>
      <c r="H10" s="100">
        <f>IFERROR(SUMIFS(MOVIMIENTOS_COMPLEMENTOS!$I$4:$I$803,MOVIMIENTOS_COMPLEMENTOS!$C$4:$C$803,A10,MOVIMIENTOS_COMPLEMENTOS!$D$4:$D$803,B10,MOVIMIENTOS_COMPLEMENTOS!$E$4:$E$803,C10,MOVIMIENTOS_COMPLEMENTOS!$G$4:$G$803,E10,MOVIMIENTOS_COMPLEMENTOS!$H$4:$H$803,G10,MOVIMIENTOS_COMPLEMENTOS!$B$4:$B$803,"INGRESO")+SUMIFS(MOVIMIENTOS_COMPLEMENTOS!$I$4:$I$803,MOVIMIENTOS_COMPLEMENTOS!$C$4:$C$803,A10,MOVIMIENTOS_COMPLEMENTOS!$D$4:$D$803,B10,MOVIMIENTOS_COMPLEMENTOS!$E$4:$E$803,C10,MOVIMIENTOS_COMPLEMENTOS!$G$4:$G$803,E10,MOVIMIENTOS_COMPLEMENTOS!$H$4:$H$803,G10,MOVIMIENTOS_COMPLEMENTOS!$B$4:$B$803,"DE CORTE")-SUMIFS(MOVIMIENTOS_COMPLEMENTOS!$I$4:$I$803,MOVIMIENTOS_COMPLEMENTOS!$C$4:$C$803,A10,MOVIMIENTOS_COMPLEMENTOS!$D$4:$D$803,B10,MOVIMIENTOS_COMPLEMENTOS!$E$4:$E$803,C10,MOVIMIENTOS_COMPLEMENTOS!$G$4:$G$803,E10,MOVIMIENTOS_COMPLEMENTOS!$H$4:$H$803,G10,MOVIMIENTOS_COMPLEMENTOS!$B$4:$B$803,"SALIDA"),0)</f>
        <v>0</v>
      </c>
      <c r="I10" s="102">
        <f t="array" ref="I10">IFERROR(INDEX(PRECIOS_COMPLEMENTOS!$C$4:$F$17,MATCH(B10&amp;"_"&amp;C10,PRECIOS_COMPLEMENTOS!$H$4:$H$17,0),IF(OR(G10="S",G10="20cm"),1,IF(OR(G10="M",G10="25cm"),2,IF(OR(G10="L",G10="30cm"),3,IF(OR(G10="XL",G10="35cm"),4,0))))),0)</f>
        <v>0.7</v>
      </c>
      <c r="J10" s="103">
        <f t="shared" si="1"/>
        <v>0</v>
      </c>
      <c r="K10" s="104" t="str">
        <f>IF(H10&lt;0,"ERROR",IF(H10=0,"",IF(H10&lt;CONFIG!$B$4,"CRÍTICO",IF(H10&lt;CONFIG!$B$5,"BAJO","OK"))))</f>
        <v/>
      </c>
    </row>
    <row r="11" ht="15.0" hidden="1" customHeight="1">
      <c r="A11" s="90" t="str">
        <f>IF(CLIENTES!A4="","",CLIENTES!A4)</f>
        <v>OverShark</v>
      </c>
      <c r="B11" s="90" t="s">
        <v>321</v>
      </c>
      <c r="C11" s="91" t="s">
        <v>322</v>
      </c>
      <c r="D11" s="109" t="s">
        <v>353</v>
      </c>
      <c r="E11" s="67" t="str">
        <f>COLORES!A7</f>
        <v>Azul</v>
      </c>
      <c r="F11" s="67" t="str">
        <f>COLORES!B7</f>
        <v>OSCURO</v>
      </c>
      <c r="G11" s="90" t="s">
        <v>377</v>
      </c>
      <c r="H11" s="100">
        <f>IFERROR(SUMIFS(MOVIMIENTOS_COMPLEMENTOS!$I$4:$I$803,MOVIMIENTOS_COMPLEMENTOS!$C$4:$C$803,A11,MOVIMIENTOS_COMPLEMENTOS!$D$4:$D$803,B11,MOVIMIENTOS_COMPLEMENTOS!$E$4:$E$803,C11,MOVIMIENTOS_COMPLEMENTOS!$G$4:$G$803,E11,MOVIMIENTOS_COMPLEMENTOS!$H$4:$H$803,G11,MOVIMIENTOS_COMPLEMENTOS!$B$4:$B$803,"INGRESO")+SUMIFS(MOVIMIENTOS_COMPLEMENTOS!$I$4:$I$803,MOVIMIENTOS_COMPLEMENTOS!$C$4:$C$803,A11,MOVIMIENTOS_COMPLEMENTOS!$D$4:$D$803,B11,MOVIMIENTOS_COMPLEMENTOS!$E$4:$E$803,C11,MOVIMIENTOS_COMPLEMENTOS!$G$4:$G$803,E11,MOVIMIENTOS_COMPLEMENTOS!$H$4:$H$803,G11,MOVIMIENTOS_COMPLEMENTOS!$B$4:$B$803,"DE CORTE")-SUMIFS(MOVIMIENTOS_COMPLEMENTOS!$I$4:$I$803,MOVIMIENTOS_COMPLEMENTOS!$C$4:$C$803,A11,MOVIMIENTOS_COMPLEMENTOS!$D$4:$D$803,B11,MOVIMIENTOS_COMPLEMENTOS!$E$4:$E$803,C11,MOVIMIENTOS_COMPLEMENTOS!$G$4:$G$803,E11,MOVIMIENTOS_COMPLEMENTOS!$H$4:$H$803,G11,MOVIMIENTOS_COMPLEMENTOS!$B$4:$B$803,"SALIDA"),0)</f>
        <v>0</v>
      </c>
      <c r="I11" s="102">
        <f t="array" ref="I11">IFERROR(INDEX(PRECIOS_COMPLEMENTOS!$C$4:$F$17,MATCH(B11&amp;"_"&amp;C11,PRECIOS_COMPLEMENTOS!$H$4:$H$17,0),IF(OR(G11="S",G11="20cm"),1,IF(OR(G11="M",G11="25cm"),2,IF(OR(G11="L",G11="30cm"),3,IF(OR(G11="XL",G11="35cm"),4,0))))),0)</f>
        <v>0.75</v>
      </c>
      <c r="J11" s="103">
        <f t="shared" si="1"/>
        <v>0</v>
      </c>
      <c r="K11" s="104" t="str">
        <f>IF(H11&lt;0,"ERROR",IF(H11=0,"",IF(H11&lt;CONFIG!$B$4,"CRÍTICO",IF(H11&lt;CONFIG!$B$5,"BAJO","OK"))))</f>
        <v/>
      </c>
    </row>
    <row r="12" ht="15.0" hidden="1" customHeight="1">
      <c r="A12" s="90" t="str">
        <f>IF(CLIENTES!A4="","",CLIENTES!A4)</f>
        <v>OverShark</v>
      </c>
      <c r="B12" s="90" t="s">
        <v>321</v>
      </c>
      <c r="C12" s="91" t="s">
        <v>322</v>
      </c>
      <c r="D12" s="109" t="s">
        <v>353</v>
      </c>
      <c r="E12" s="67" t="str">
        <f>COLORES!A8</f>
        <v>Beige</v>
      </c>
      <c r="F12" s="67" t="str">
        <f>COLORES!B8</f>
        <v>CLARO</v>
      </c>
      <c r="G12" s="90" t="s">
        <v>376</v>
      </c>
      <c r="H12" s="100">
        <f>IFERROR(SUMIFS(MOVIMIENTOS_COMPLEMENTOS!$I$4:$I$803,MOVIMIENTOS_COMPLEMENTOS!$C$4:$C$803,A12,MOVIMIENTOS_COMPLEMENTOS!$D$4:$D$803,B12,MOVIMIENTOS_COMPLEMENTOS!$E$4:$E$803,C12,MOVIMIENTOS_COMPLEMENTOS!$G$4:$G$803,E12,MOVIMIENTOS_COMPLEMENTOS!$H$4:$H$803,G12,MOVIMIENTOS_COMPLEMENTOS!$B$4:$B$803,"INGRESO")+SUMIFS(MOVIMIENTOS_COMPLEMENTOS!$I$4:$I$803,MOVIMIENTOS_COMPLEMENTOS!$C$4:$C$803,A12,MOVIMIENTOS_COMPLEMENTOS!$D$4:$D$803,B12,MOVIMIENTOS_COMPLEMENTOS!$E$4:$E$803,C12,MOVIMIENTOS_COMPLEMENTOS!$G$4:$G$803,E12,MOVIMIENTOS_COMPLEMENTOS!$H$4:$H$803,G12,MOVIMIENTOS_COMPLEMENTOS!$B$4:$B$803,"DE CORTE")-SUMIFS(MOVIMIENTOS_COMPLEMENTOS!$I$4:$I$803,MOVIMIENTOS_COMPLEMENTOS!$C$4:$C$803,A12,MOVIMIENTOS_COMPLEMENTOS!$D$4:$D$803,B12,MOVIMIENTOS_COMPLEMENTOS!$E$4:$E$803,C12,MOVIMIENTOS_COMPLEMENTOS!$G$4:$G$803,E12,MOVIMIENTOS_COMPLEMENTOS!$H$4:$H$803,G12,MOVIMIENTOS_COMPLEMENTOS!$B$4:$B$803,"SALIDA"),0)</f>
        <v>0</v>
      </c>
      <c r="I12" s="102">
        <f t="array" ref="I12">IFERROR(INDEX(PRECIOS_COMPLEMENTOS!$C$4:$F$17,MATCH(B12&amp;"_"&amp;C12,PRECIOS_COMPLEMENTOS!$H$4:$H$17,0),IF(OR(G12="S",G12="20cm"),1,IF(OR(G12="M",G12="25cm"),2,IF(OR(G12="L",G12="30cm"),3,IF(OR(G12="XL",G12="35cm"),4,0))))),0)</f>
        <v>0.7</v>
      </c>
      <c r="J12" s="103">
        <f t="shared" si="1"/>
        <v>0</v>
      </c>
      <c r="K12" s="104" t="str">
        <f>IF(H12&lt;0,"ERROR",IF(H12=0,"",IF(H12&lt;CONFIG!$B$4,"CRÍTICO",IF(H12&lt;CONFIG!$B$5,"BAJO","OK"))))</f>
        <v/>
      </c>
    </row>
    <row r="13" ht="15.0" hidden="1" customHeight="1">
      <c r="A13" s="90" t="str">
        <f>IF(CLIENTES!A4="","",CLIENTES!A4)</f>
        <v>OverShark</v>
      </c>
      <c r="B13" s="90" t="s">
        <v>321</v>
      </c>
      <c r="C13" s="91" t="s">
        <v>322</v>
      </c>
      <c r="D13" s="109" t="s">
        <v>353</v>
      </c>
      <c r="E13" s="67" t="str">
        <f>COLORES!A8</f>
        <v>Beige</v>
      </c>
      <c r="F13" s="67" t="str">
        <f>COLORES!B8</f>
        <v>CLARO</v>
      </c>
      <c r="G13" s="90" t="s">
        <v>377</v>
      </c>
      <c r="H13" s="100">
        <f>IFERROR(SUMIFS(MOVIMIENTOS_COMPLEMENTOS!$I$4:$I$803,MOVIMIENTOS_COMPLEMENTOS!$C$4:$C$803,A13,MOVIMIENTOS_COMPLEMENTOS!$D$4:$D$803,B13,MOVIMIENTOS_COMPLEMENTOS!$E$4:$E$803,C13,MOVIMIENTOS_COMPLEMENTOS!$G$4:$G$803,E13,MOVIMIENTOS_COMPLEMENTOS!$H$4:$H$803,G13,MOVIMIENTOS_COMPLEMENTOS!$B$4:$B$803,"INGRESO")+SUMIFS(MOVIMIENTOS_COMPLEMENTOS!$I$4:$I$803,MOVIMIENTOS_COMPLEMENTOS!$C$4:$C$803,A13,MOVIMIENTOS_COMPLEMENTOS!$D$4:$D$803,B13,MOVIMIENTOS_COMPLEMENTOS!$E$4:$E$803,C13,MOVIMIENTOS_COMPLEMENTOS!$G$4:$G$803,E13,MOVIMIENTOS_COMPLEMENTOS!$H$4:$H$803,G13,MOVIMIENTOS_COMPLEMENTOS!$B$4:$B$803,"DE CORTE")-SUMIFS(MOVIMIENTOS_COMPLEMENTOS!$I$4:$I$803,MOVIMIENTOS_COMPLEMENTOS!$C$4:$C$803,A13,MOVIMIENTOS_COMPLEMENTOS!$D$4:$D$803,B13,MOVIMIENTOS_COMPLEMENTOS!$E$4:$E$803,C13,MOVIMIENTOS_COMPLEMENTOS!$G$4:$G$803,E13,MOVIMIENTOS_COMPLEMENTOS!$H$4:$H$803,G13,MOVIMIENTOS_COMPLEMENTOS!$B$4:$B$803,"SALIDA"),0)</f>
        <v>0</v>
      </c>
      <c r="I13" s="102">
        <f t="array" ref="I13">IFERROR(INDEX(PRECIOS_COMPLEMENTOS!$C$4:$F$17,MATCH(B13&amp;"_"&amp;C13,PRECIOS_COMPLEMENTOS!$H$4:$H$17,0),IF(OR(G13="S",G13="20cm"),1,IF(OR(G13="M",G13="25cm"),2,IF(OR(G13="L",G13="30cm"),3,IF(OR(G13="XL",G13="35cm"),4,0))))),0)</f>
        <v>0.75</v>
      </c>
      <c r="J13" s="103">
        <f t="shared" si="1"/>
        <v>0</v>
      </c>
      <c r="K13" s="104" t="str">
        <f>IF(H13&lt;0,"ERROR",IF(H13=0,"",IF(H13&lt;CONFIG!$B$4,"CRÍTICO",IF(H13&lt;CONFIG!$B$5,"BAJO","OK"))))</f>
        <v/>
      </c>
    </row>
    <row r="14" ht="15.0" hidden="1" customHeight="1">
      <c r="A14" s="90" t="str">
        <f>IF(CLIENTES!A4="","",CLIENTES!A4)</f>
        <v>OverShark</v>
      </c>
      <c r="B14" s="90" t="s">
        <v>321</v>
      </c>
      <c r="C14" s="91" t="s">
        <v>322</v>
      </c>
      <c r="D14" s="109" t="s">
        <v>353</v>
      </c>
      <c r="E14" s="67" t="str">
        <f>COLORES!A9</f>
        <v>Melange</v>
      </c>
      <c r="F14" s="67" t="str">
        <f>COLORES!B9</f>
        <v>MELANGE</v>
      </c>
      <c r="G14" s="90" t="s">
        <v>376</v>
      </c>
      <c r="H14" s="100">
        <f>IFERROR(SUMIFS(MOVIMIENTOS_COMPLEMENTOS!$I$4:$I$803,MOVIMIENTOS_COMPLEMENTOS!$C$4:$C$803,A14,MOVIMIENTOS_COMPLEMENTOS!$D$4:$D$803,B14,MOVIMIENTOS_COMPLEMENTOS!$E$4:$E$803,C14,MOVIMIENTOS_COMPLEMENTOS!$G$4:$G$803,E14,MOVIMIENTOS_COMPLEMENTOS!$H$4:$H$803,G14,MOVIMIENTOS_COMPLEMENTOS!$B$4:$B$803,"INGRESO")+SUMIFS(MOVIMIENTOS_COMPLEMENTOS!$I$4:$I$803,MOVIMIENTOS_COMPLEMENTOS!$C$4:$C$803,A14,MOVIMIENTOS_COMPLEMENTOS!$D$4:$D$803,B14,MOVIMIENTOS_COMPLEMENTOS!$E$4:$E$803,C14,MOVIMIENTOS_COMPLEMENTOS!$G$4:$G$803,E14,MOVIMIENTOS_COMPLEMENTOS!$H$4:$H$803,G14,MOVIMIENTOS_COMPLEMENTOS!$B$4:$B$803,"DE CORTE")-SUMIFS(MOVIMIENTOS_COMPLEMENTOS!$I$4:$I$803,MOVIMIENTOS_COMPLEMENTOS!$C$4:$C$803,A14,MOVIMIENTOS_COMPLEMENTOS!$D$4:$D$803,B14,MOVIMIENTOS_COMPLEMENTOS!$E$4:$E$803,C14,MOVIMIENTOS_COMPLEMENTOS!$G$4:$G$803,E14,MOVIMIENTOS_COMPLEMENTOS!$H$4:$H$803,G14,MOVIMIENTOS_COMPLEMENTOS!$B$4:$B$803,"SALIDA"),0)</f>
        <v>0</v>
      </c>
      <c r="I14" s="102">
        <f t="array" ref="I14">IFERROR(INDEX(PRECIOS_COMPLEMENTOS!$C$4:$F$17,MATCH(B14&amp;"_"&amp;C14,PRECIOS_COMPLEMENTOS!$H$4:$H$17,0),IF(OR(G14="S",G14="20cm"),1,IF(OR(G14="M",G14="25cm"),2,IF(OR(G14="L",G14="30cm"),3,IF(OR(G14="XL",G14="35cm"),4,0))))),0)</f>
        <v>0.7</v>
      </c>
      <c r="J14" s="103">
        <f t="shared" si="1"/>
        <v>0</v>
      </c>
      <c r="K14" s="104" t="str">
        <f>IF(H14&lt;0,"ERROR",IF(H14=0,"",IF(H14&lt;CONFIG!$B$4,"CRÍTICO",IF(H14&lt;CONFIG!$B$5,"BAJO","OK"))))</f>
        <v/>
      </c>
    </row>
    <row r="15" ht="15.0" hidden="1" customHeight="1">
      <c r="A15" s="90" t="str">
        <f>IF(CLIENTES!A4="","",CLIENTES!A4)</f>
        <v>OverShark</v>
      </c>
      <c r="B15" s="90" t="s">
        <v>321</v>
      </c>
      <c r="C15" s="91" t="s">
        <v>322</v>
      </c>
      <c r="D15" s="109" t="s">
        <v>353</v>
      </c>
      <c r="E15" s="67" t="str">
        <f>COLORES!A9</f>
        <v>Melange</v>
      </c>
      <c r="F15" s="67" t="str">
        <f>COLORES!B9</f>
        <v>MELANGE</v>
      </c>
      <c r="G15" s="90" t="s">
        <v>377</v>
      </c>
      <c r="H15" s="100">
        <f>IFERROR(SUMIFS(MOVIMIENTOS_COMPLEMENTOS!$I$4:$I$803,MOVIMIENTOS_COMPLEMENTOS!$C$4:$C$803,A15,MOVIMIENTOS_COMPLEMENTOS!$D$4:$D$803,B15,MOVIMIENTOS_COMPLEMENTOS!$E$4:$E$803,C15,MOVIMIENTOS_COMPLEMENTOS!$G$4:$G$803,E15,MOVIMIENTOS_COMPLEMENTOS!$H$4:$H$803,G15,MOVIMIENTOS_COMPLEMENTOS!$B$4:$B$803,"INGRESO")+SUMIFS(MOVIMIENTOS_COMPLEMENTOS!$I$4:$I$803,MOVIMIENTOS_COMPLEMENTOS!$C$4:$C$803,A15,MOVIMIENTOS_COMPLEMENTOS!$D$4:$D$803,B15,MOVIMIENTOS_COMPLEMENTOS!$E$4:$E$803,C15,MOVIMIENTOS_COMPLEMENTOS!$G$4:$G$803,E15,MOVIMIENTOS_COMPLEMENTOS!$H$4:$H$803,G15,MOVIMIENTOS_COMPLEMENTOS!$B$4:$B$803,"DE CORTE")-SUMIFS(MOVIMIENTOS_COMPLEMENTOS!$I$4:$I$803,MOVIMIENTOS_COMPLEMENTOS!$C$4:$C$803,A15,MOVIMIENTOS_COMPLEMENTOS!$D$4:$D$803,B15,MOVIMIENTOS_COMPLEMENTOS!$E$4:$E$803,C15,MOVIMIENTOS_COMPLEMENTOS!$G$4:$G$803,E15,MOVIMIENTOS_COMPLEMENTOS!$H$4:$H$803,G15,MOVIMIENTOS_COMPLEMENTOS!$B$4:$B$803,"SALIDA"),0)</f>
        <v>0</v>
      </c>
      <c r="I15" s="102">
        <f t="array" ref="I15">IFERROR(INDEX(PRECIOS_COMPLEMENTOS!$C$4:$F$17,MATCH(B15&amp;"_"&amp;C15,PRECIOS_COMPLEMENTOS!$H$4:$H$17,0),IF(OR(G15="S",G15="20cm"),1,IF(OR(G15="M",G15="25cm"),2,IF(OR(G15="L",G15="30cm"),3,IF(OR(G15="XL",G15="35cm"),4,0))))),0)</f>
        <v>0.75</v>
      </c>
      <c r="J15" s="103">
        <f t="shared" si="1"/>
        <v>0</v>
      </c>
      <c r="K15" s="104" t="str">
        <f>IF(H15&lt;0,"ERROR",IF(H15=0,"",IF(H15&lt;CONFIG!$B$4,"CRÍTICO",IF(H15&lt;CONFIG!$B$5,"BAJO","OK"))))</f>
        <v/>
      </c>
    </row>
    <row r="16" ht="15.0" hidden="1" customHeight="1">
      <c r="A16" s="90" t="str">
        <f>IF(CLIENTES!A4="","",CLIENTES!A4)</f>
        <v>OverShark</v>
      </c>
      <c r="B16" s="90" t="s">
        <v>321</v>
      </c>
      <c r="C16" s="91" t="s">
        <v>322</v>
      </c>
      <c r="D16" s="109" t="s">
        <v>353</v>
      </c>
      <c r="E16" s="67" t="str">
        <f>COLORES!A10</f>
        <v>Botella</v>
      </c>
      <c r="F16" s="67" t="str">
        <f>COLORES!B10</f>
        <v>OSCURO</v>
      </c>
      <c r="G16" s="90" t="s">
        <v>376</v>
      </c>
      <c r="H16" s="100">
        <f>IFERROR(SUMIFS(MOVIMIENTOS_COMPLEMENTOS!$I$4:$I$803,MOVIMIENTOS_COMPLEMENTOS!$C$4:$C$803,A16,MOVIMIENTOS_COMPLEMENTOS!$D$4:$D$803,B16,MOVIMIENTOS_COMPLEMENTOS!$E$4:$E$803,C16,MOVIMIENTOS_COMPLEMENTOS!$G$4:$G$803,E16,MOVIMIENTOS_COMPLEMENTOS!$H$4:$H$803,G16,MOVIMIENTOS_COMPLEMENTOS!$B$4:$B$803,"INGRESO")+SUMIFS(MOVIMIENTOS_COMPLEMENTOS!$I$4:$I$803,MOVIMIENTOS_COMPLEMENTOS!$C$4:$C$803,A16,MOVIMIENTOS_COMPLEMENTOS!$D$4:$D$803,B16,MOVIMIENTOS_COMPLEMENTOS!$E$4:$E$803,C16,MOVIMIENTOS_COMPLEMENTOS!$G$4:$G$803,E16,MOVIMIENTOS_COMPLEMENTOS!$H$4:$H$803,G16,MOVIMIENTOS_COMPLEMENTOS!$B$4:$B$803,"DE CORTE")-SUMIFS(MOVIMIENTOS_COMPLEMENTOS!$I$4:$I$803,MOVIMIENTOS_COMPLEMENTOS!$C$4:$C$803,A16,MOVIMIENTOS_COMPLEMENTOS!$D$4:$D$803,B16,MOVIMIENTOS_COMPLEMENTOS!$E$4:$E$803,C16,MOVIMIENTOS_COMPLEMENTOS!$G$4:$G$803,E16,MOVIMIENTOS_COMPLEMENTOS!$H$4:$H$803,G16,MOVIMIENTOS_COMPLEMENTOS!$B$4:$B$803,"SALIDA"),0)</f>
        <v>0</v>
      </c>
      <c r="I16" s="102">
        <f t="array" ref="I16">IFERROR(INDEX(PRECIOS_COMPLEMENTOS!$C$4:$F$17,MATCH(B16&amp;"_"&amp;C16,PRECIOS_COMPLEMENTOS!$H$4:$H$17,0),IF(OR(G16="S",G16="20cm"),1,IF(OR(G16="M",G16="25cm"),2,IF(OR(G16="L",G16="30cm"),3,IF(OR(G16="XL",G16="35cm"),4,0))))),0)</f>
        <v>0.7</v>
      </c>
      <c r="J16" s="103">
        <f t="shared" si="1"/>
        <v>0</v>
      </c>
      <c r="K16" s="104" t="str">
        <f>IF(H16&lt;0,"ERROR",IF(H16=0,"",IF(H16&lt;CONFIG!$B$4,"CRÍTICO",IF(H16&lt;CONFIG!$B$5,"BAJO","OK"))))</f>
        <v/>
      </c>
    </row>
    <row r="17" ht="15.0" hidden="1" customHeight="1">
      <c r="A17" s="90" t="str">
        <f>IF(CLIENTES!A4="","",CLIENTES!A4)</f>
        <v>OverShark</v>
      </c>
      <c r="B17" s="90" t="s">
        <v>321</v>
      </c>
      <c r="C17" s="91" t="s">
        <v>322</v>
      </c>
      <c r="D17" s="109" t="s">
        <v>353</v>
      </c>
      <c r="E17" s="67" t="str">
        <f>COLORES!A10</f>
        <v>Botella</v>
      </c>
      <c r="F17" s="67" t="str">
        <f>COLORES!B10</f>
        <v>OSCURO</v>
      </c>
      <c r="G17" s="90" t="s">
        <v>377</v>
      </c>
      <c r="H17" s="100">
        <f>IFERROR(SUMIFS(MOVIMIENTOS_COMPLEMENTOS!$I$4:$I$803,MOVIMIENTOS_COMPLEMENTOS!$C$4:$C$803,A17,MOVIMIENTOS_COMPLEMENTOS!$D$4:$D$803,B17,MOVIMIENTOS_COMPLEMENTOS!$E$4:$E$803,C17,MOVIMIENTOS_COMPLEMENTOS!$G$4:$G$803,E17,MOVIMIENTOS_COMPLEMENTOS!$H$4:$H$803,G17,MOVIMIENTOS_COMPLEMENTOS!$B$4:$B$803,"INGRESO")+SUMIFS(MOVIMIENTOS_COMPLEMENTOS!$I$4:$I$803,MOVIMIENTOS_COMPLEMENTOS!$C$4:$C$803,A17,MOVIMIENTOS_COMPLEMENTOS!$D$4:$D$803,B17,MOVIMIENTOS_COMPLEMENTOS!$E$4:$E$803,C17,MOVIMIENTOS_COMPLEMENTOS!$G$4:$G$803,E17,MOVIMIENTOS_COMPLEMENTOS!$H$4:$H$803,G17,MOVIMIENTOS_COMPLEMENTOS!$B$4:$B$803,"DE CORTE")-SUMIFS(MOVIMIENTOS_COMPLEMENTOS!$I$4:$I$803,MOVIMIENTOS_COMPLEMENTOS!$C$4:$C$803,A17,MOVIMIENTOS_COMPLEMENTOS!$D$4:$D$803,B17,MOVIMIENTOS_COMPLEMENTOS!$E$4:$E$803,C17,MOVIMIENTOS_COMPLEMENTOS!$G$4:$G$803,E17,MOVIMIENTOS_COMPLEMENTOS!$H$4:$H$803,G17,MOVIMIENTOS_COMPLEMENTOS!$B$4:$B$803,"SALIDA"),0)</f>
        <v>0</v>
      </c>
      <c r="I17" s="102">
        <f t="array" ref="I17">IFERROR(INDEX(PRECIOS_COMPLEMENTOS!$C$4:$F$17,MATCH(B17&amp;"_"&amp;C17,PRECIOS_COMPLEMENTOS!$H$4:$H$17,0),IF(OR(G17="S",G17="20cm"),1,IF(OR(G17="M",G17="25cm"),2,IF(OR(G17="L",G17="30cm"),3,IF(OR(G17="XL",G17="35cm"),4,0))))),0)</f>
        <v>0.75</v>
      </c>
      <c r="J17" s="103">
        <f t="shared" si="1"/>
        <v>0</v>
      </c>
      <c r="K17" s="104" t="str">
        <f>IF(H17&lt;0,"ERROR",IF(H17=0,"",IF(H17&lt;CONFIG!$B$4,"CRÍTICO",IF(H17&lt;CONFIG!$B$5,"BAJO","OK"))))</f>
        <v/>
      </c>
    </row>
    <row r="18" ht="15.0" hidden="1" customHeight="1">
      <c r="A18" s="90" t="str">
        <f>IF(CLIENTES!A4="","",CLIENTES!A4)</f>
        <v>OverShark</v>
      </c>
      <c r="B18" s="90" t="s">
        <v>321</v>
      </c>
      <c r="C18" s="91" t="s">
        <v>322</v>
      </c>
      <c r="D18" s="109" t="s">
        <v>353</v>
      </c>
      <c r="E18" s="67" t="str">
        <f>COLORES!A11</f>
        <v>Pacay</v>
      </c>
      <c r="F18" s="67" t="str">
        <f>COLORES!B11</f>
        <v>CLARO</v>
      </c>
      <c r="G18" s="90" t="s">
        <v>376</v>
      </c>
      <c r="H18" s="100">
        <f>IFERROR(SUMIFS(MOVIMIENTOS_COMPLEMENTOS!$I$4:$I$803,MOVIMIENTOS_COMPLEMENTOS!$C$4:$C$803,A18,MOVIMIENTOS_COMPLEMENTOS!$D$4:$D$803,B18,MOVIMIENTOS_COMPLEMENTOS!$E$4:$E$803,C18,MOVIMIENTOS_COMPLEMENTOS!$G$4:$G$803,E18,MOVIMIENTOS_COMPLEMENTOS!$H$4:$H$803,G18,MOVIMIENTOS_COMPLEMENTOS!$B$4:$B$803,"INGRESO")+SUMIFS(MOVIMIENTOS_COMPLEMENTOS!$I$4:$I$803,MOVIMIENTOS_COMPLEMENTOS!$C$4:$C$803,A18,MOVIMIENTOS_COMPLEMENTOS!$D$4:$D$803,B18,MOVIMIENTOS_COMPLEMENTOS!$E$4:$E$803,C18,MOVIMIENTOS_COMPLEMENTOS!$G$4:$G$803,E18,MOVIMIENTOS_COMPLEMENTOS!$H$4:$H$803,G18,MOVIMIENTOS_COMPLEMENTOS!$B$4:$B$803,"DE CORTE")-SUMIFS(MOVIMIENTOS_COMPLEMENTOS!$I$4:$I$803,MOVIMIENTOS_COMPLEMENTOS!$C$4:$C$803,A18,MOVIMIENTOS_COMPLEMENTOS!$D$4:$D$803,B18,MOVIMIENTOS_COMPLEMENTOS!$E$4:$E$803,C18,MOVIMIENTOS_COMPLEMENTOS!$G$4:$G$803,E18,MOVIMIENTOS_COMPLEMENTOS!$H$4:$H$803,G18,MOVIMIENTOS_COMPLEMENTOS!$B$4:$B$803,"SALIDA"),0)</f>
        <v>0</v>
      </c>
      <c r="I18" s="102">
        <f t="array" ref="I18">IFERROR(INDEX(PRECIOS_COMPLEMENTOS!$C$4:$F$17,MATCH(B18&amp;"_"&amp;C18,PRECIOS_COMPLEMENTOS!$H$4:$H$17,0),IF(OR(G18="S",G18="20cm"),1,IF(OR(G18="M",G18="25cm"),2,IF(OR(G18="L",G18="30cm"),3,IF(OR(G18="XL",G18="35cm"),4,0))))),0)</f>
        <v>0.7</v>
      </c>
      <c r="J18" s="103">
        <f t="shared" si="1"/>
        <v>0</v>
      </c>
      <c r="K18" s="104" t="str">
        <f>IF(H18&lt;0,"ERROR",IF(H18=0,"",IF(H18&lt;CONFIG!$B$4,"CRÍTICO",IF(H18&lt;CONFIG!$B$5,"BAJO","OK"))))</f>
        <v/>
      </c>
    </row>
    <row r="19" ht="15.0" hidden="1" customHeight="1">
      <c r="A19" s="90" t="str">
        <f>IF(CLIENTES!A4="","",CLIENTES!A4)</f>
        <v>OverShark</v>
      </c>
      <c r="B19" s="90" t="s">
        <v>321</v>
      </c>
      <c r="C19" s="91" t="s">
        <v>322</v>
      </c>
      <c r="D19" s="109" t="s">
        <v>353</v>
      </c>
      <c r="E19" s="67" t="str">
        <f>COLORES!A11</f>
        <v>Pacay</v>
      </c>
      <c r="F19" s="67" t="str">
        <f>COLORES!B11</f>
        <v>CLARO</v>
      </c>
      <c r="G19" s="90" t="s">
        <v>377</v>
      </c>
      <c r="H19" s="100">
        <f>IFERROR(SUMIFS(MOVIMIENTOS_COMPLEMENTOS!$I$4:$I$803,MOVIMIENTOS_COMPLEMENTOS!$C$4:$C$803,A19,MOVIMIENTOS_COMPLEMENTOS!$D$4:$D$803,B19,MOVIMIENTOS_COMPLEMENTOS!$E$4:$E$803,C19,MOVIMIENTOS_COMPLEMENTOS!$G$4:$G$803,E19,MOVIMIENTOS_COMPLEMENTOS!$H$4:$H$803,G19,MOVIMIENTOS_COMPLEMENTOS!$B$4:$B$803,"INGRESO")+SUMIFS(MOVIMIENTOS_COMPLEMENTOS!$I$4:$I$803,MOVIMIENTOS_COMPLEMENTOS!$C$4:$C$803,A19,MOVIMIENTOS_COMPLEMENTOS!$D$4:$D$803,B19,MOVIMIENTOS_COMPLEMENTOS!$E$4:$E$803,C19,MOVIMIENTOS_COMPLEMENTOS!$G$4:$G$803,E19,MOVIMIENTOS_COMPLEMENTOS!$H$4:$H$803,G19,MOVIMIENTOS_COMPLEMENTOS!$B$4:$B$803,"DE CORTE")-SUMIFS(MOVIMIENTOS_COMPLEMENTOS!$I$4:$I$803,MOVIMIENTOS_COMPLEMENTOS!$C$4:$C$803,A19,MOVIMIENTOS_COMPLEMENTOS!$D$4:$D$803,B19,MOVIMIENTOS_COMPLEMENTOS!$E$4:$E$803,C19,MOVIMIENTOS_COMPLEMENTOS!$G$4:$G$803,E19,MOVIMIENTOS_COMPLEMENTOS!$H$4:$H$803,G19,MOVIMIENTOS_COMPLEMENTOS!$B$4:$B$803,"SALIDA"),0)</f>
        <v>0</v>
      </c>
      <c r="I19" s="102">
        <f t="array" ref="I19">IFERROR(INDEX(PRECIOS_COMPLEMENTOS!$C$4:$F$17,MATCH(B19&amp;"_"&amp;C19,PRECIOS_COMPLEMENTOS!$H$4:$H$17,0),IF(OR(G19="S",G19="20cm"),1,IF(OR(G19="M",G19="25cm"),2,IF(OR(G19="L",G19="30cm"),3,IF(OR(G19="XL",G19="35cm"),4,0))))),0)</f>
        <v>0.75</v>
      </c>
      <c r="J19" s="103">
        <f t="shared" si="1"/>
        <v>0</v>
      </c>
      <c r="K19" s="104" t="str">
        <f>IF(H19&lt;0,"ERROR",IF(H19=0,"",IF(H19&lt;CONFIG!$B$4,"CRÍTICO",IF(H19&lt;CONFIG!$B$5,"BAJO","OK"))))</f>
        <v/>
      </c>
    </row>
    <row r="20" ht="15.0" hidden="1" customHeight="1">
      <c r="A20" s="90" t="str">
        <f>IF(CLIENTES!A4="","",CLIENTES!A4)</f>
        <v>OverShark</v>
      </c>
      <c r="B20" s="90" t="s">
        <v>321</v>
      </c>
      <c r="C20" s="91" t="s">
        <v>322</v>
      </c>
      <c r="D20" s="109" t="s">
        <v>353</v>
      </c>
      <c r="E20" s="67" t="str">
        <f>COLORES!A12</f>
        <v>Cemento</v>
      </c>
      <c r="F20" s="67" t="str">
        <f>COLORES!B12</f>
        <v>CLARO</v>
      </c>
      <c r="G20" s="90" t="s">
        <v>376</v>
      </c>
      <c r="H20" s="100">
        <f>IFERROR(SUMIFS(MOVIMIENTOS_COMPLEMENTOS!$I$4:$I$803,MOVIMIENTOS_COMPLEMENTOS!$C$4:$C$803,A20,MOVIMIENTOS_COMPLEMENTOS!$D$4:$D$803,B20,MOVIMIENTOS_COMPLEMENTOS!$E$4:$E$803,C20,MOVIMIENTOS_COMPLEMENTOS!$G$4:$G$803,E20,MOVIMIENTOS_COMPLEMENTOS!$H$4:$H$803,G20,MOVIMIENTOS_COMPLEMENTOS!$B$4:$B$803,"INGRESO")+SUMIFS(MOVIMIENTOS_COMPLEMENTOS!$I$4:$I$803,MOVIMIENTOS_COMPLEMENTOS!$C$4:$C$803,A20,MOVIMIENTOS_COMPLEMENTOS!$D$4:$D$803,B20,MOVIMIENTOS_COMPLEMENTOS!$E$4:$E$803,C20,MOVIMIENTOS_COMPLEMENTOS!$G$4:$G$803,E20,MOVIMIENTOS_COMPLEMENTOS!$H$4:$H$803,G20,MOVIMIENTOS_COMPLEMENTOS!$B$4:$B$803,"DE CORTE")-SUMIFS(MOVIMIENTOS_COMPLEMENTOS!$I$4:$I$803,MOVIMIENTOS_COMPLEMENTOS!$C$4:$C$803,A20,MOVIMIENTOS_COMPLEMENTOS!$D$4:$D$803,B20,MOVIMIENTOS_COMPLEMENTOS!$E$4:$E$803,C20,MOVIMIENTOS_COMPLEMENTOS!$G$4:$G$803,E20,MOVIMIENTOS_COMPLEMENTOS!$H$4:$H$803,G20,MOVIMIENTOS_COMPLEMENTOS!$B$4:$B$803,"SALIDA"),0)</f>
        <v>0</v>
      </c>
      <c r="I20" s="102">
        <f t="array" ref="I20">IFERROR(INDEX(PRECIOS_COMPLEMENTOS!$C$4:$F$17,MATCH(B20&amp;"_"&amp;C20,PRECIOS_COMPLEMENTOS!$H$4:$H$17,0),IF(OR(G20="S",G20="20cm"),1,IF(OR(G20="M",G20="25cm"),2,IF(OR(G20="L",G20="30cm"),3,IF(OR(G20="XL",G20="35cm"),4,0))))),0)</f>
        <v>0.7</v>
      </c>
      <c r="J20" s="103">
        <f t="shared" si="1"/>
        <v>0</v>
      </c>
      <c r="K20" s="104" t="str">
        <f>IF(H20&lt;0,"ERROR",IF(H20=0,"",IF(H20&lt;CONFIG!$B$4,"CRÍTICO",IF(H20&lt;CONFIG!$B$5,"BAJO","OK"))))</f>
        <v/>
      </c>
    </row>
    <row r="21" ht="15.75" hidden="1" customHeight="1">
      <c r="A21" s="90" t="str">
        <f>IF(CLIENTES!A4="","",CLIENTES!A4)</f>
        <v>OverShark</v>
      </c>
      <c r="B21" s="90" t="s">
        <v>321</v>
      </c>
      <c r="C21" s="91" t="s">
        <v>322</v>
      </c>
      <c r="D21" s="109" t="s">
        <v>353</v>
      </c>
      <c r="E21" s="67" t="str">
        <f>COLORES!A12</f>
        <v>Cemento</v>
      </c>
      <c r="F21" s="67" t="str">
        <f>COLORES!B12</f>
        <v>CLARO</v>
      </c>
      <c r="G21" s="90" t="s">
        <v>377</v>
      </c>
      <c r="H21" s="100">
        <f>IFERROR(SUMIFS(MOVIMIENTOS_COMPLEMENTOS!$I$4:$I$803,MOVIMIENTOS_COMPLEMENTOS!$C$4:$C$803,A21,MOVIMIENTOS_COMPLEMENTOS!$D$4:$D$803,B21,MOVIMIENTOS_COMPLEMENTOS!$E$4:$E$803,C21,MOVIMIENTOS_COMPLEMENTOS!$G$4:$G$803,E21,MOVIMIENTOS_COMPLEMENTOS!$H$4:$H$803,G21,MOVIMIENTOS_COMPLEMENTOS!$B$4:$B$803,"INGRESO")+SUMIFS(MOVIMIENTOS_COMPLEMENTOS!$I$4:$I$803,MOVIMIENTOS_COMPLEMENTOS!$C$4:$C$803,A21,MOVIMIENTOS_COMPLEMENTOS!$D$4:$D$803,B21,MOVIMIENTOS_COMPLEMENTOS!$E$4:$E$803,C21,MOVIMIENTOS_COMPLEMENTOS!$G$4:$G$803,E21,MOVIMIENTOS_COMPLEMENTOS!$H$4:$H$803,G21,MOVIMIENTOS_COMPLEMENTOS!$B$4:$B$803,"DE CORTE")-SUMIFS(MOVIMIENTOS_COMPLEMENTOS!$I$4:$I$803,MOVIMIENTOS_COMPLEMENTOS!$C$4:$C$803,A21,MOVIMIENTOS_COMPLEMENTOS!$D$4:$D$803,B21,MOVIMIENTOS_COMPLEMENTOS!$E$4:$E$803,C21,MOVIMIENTOS_COMPLEMENTOS!$G$4:$G$803,E21,MOVIMIENTOS_COMPLEMENTOS!$H$4:$H$803,G21,MOVIMIENTOS_COMPLEMENTOS!$B$4:$B$803,"SALIDA"),0)</f>
        <v>0</v>
      </c>
      <c r="I21" s="102">
        <f t="array" ref="I21">IFERROR(INDEX(PRECIOS_COMPLEMENTOS!$C$4:$F$17,MATCH(B21&amp;"_"&amp;C21,PRECIOS_COMPLEMENTOS!$H$4:$H$17,0),IF(OR(G21="S",G21="20cm"),1,IF(OR(G21="M",G21="25cm"),2,IF(OR(G21="L",G21="30cm"),3,IF(OR(G21="XL",G21="35cm"),4,0))))),0)</f>
        <v>0.75</v>
      </c>
      <c r="J21" s="103">
        <f t="shared" si="1"/>
        <v>0</v>
      </c>
      <c r="K21" s="104" t="str">
        <f>IF(H21&lt;0,"ERROR",IF(H21=0,"",IF(H21&lt;CONFIG!$B$4,"CRÍTICO",IF(H21&lt;CONFIG!$B$5,"BAJO","OK"))))</f>
        <v/>
      </c>
    </row>
    <row r="22" ht="15.75" hidden="1" customHeight="1">
      <c r="A22" s="90" t="str">
        <f>IF(CLIENTES!A4="","",CLIENTES!A4)</f>
        <v>OverShark</v>
      </c>
      <c r="B22" s="90" t="s">
        <v>321</v>
      </c>
      <c r="C22" s="91" t="s">
        <v>322</v>
      </c>
      <c r="D22" s="109" t="s">
        <v>353</v>
      </c>
      <c r="E22" s="67" t="str">
        <f>COLORES!A13</f>
        <v>Camote</v>
      </c>
      <c r="F22" s="67" t="str">
        <f>COLORES!B13</f>
        <v>CLARO</v>
      </c>
      <c r="G22" s="90" t="s">
        <v>376</v>
      </c>
      <c r="H22" s="100">
        <f>IFERROR(SUMIFS(MOVIMIENTOS_COMPLEMENTOS!$I$4:$I$803,MOVIMIENTOS_COMPLEMENTOS!$C$4:$C$803,A22,MOVIMIENTOS_COMPLEMENTOS!$D$4:$D$803,B22,MOVIMIENTOS_COMPLEMENTOS!$E$4:$E$803,C22,MOVIMIENTOS_COMPLEMENTOS!$G$4:$G$803,E22,MOVIMIENTOS_COMPLEMENTOS!$H$4:$H$803,G22,MOVIMIENTOS_COMPLEMENTOS!$B$4:$B$803,"INGRESO")+SUMIFS(MOVIMIENTOS_COMPLEMENTOS!$I$4:$I$803,MOVIMIENTOS_COMPLEMENTOS!$C$4:$C$803,A22,MOVIMIENTOS_COMPLEMENTOS!$D$4:$D$803,B22,MOVIMIENTOS_COMPLEMENTOS!$E$4:$E$803,C22,MOVIMIENTOS_COMPLEMENTOS!$G$4:$G$803,E22,MOVIMIENTOS_COMPLEMENTOS!$H$4:$H$803,G22,MOVIMIENTOS_COMPLEMENTOS!$B$4:$B$803,"DE CORTE")-SUMIFS(MOVIMIENTOS_COMPLEMENTOS!$I$4:$I$803,MOVIMIENTOS_COMPLEMENTOS!$C$4:$C$803,A22,MOVIMIENTOS_COMPLEMENTOS!$D$4:$D$803,B22,MOVIMIENTOS_COMPLEMENTOS!$E$4:$E$803,C22,MOVIMIENTOS_COMPLEMENTOS!$G$4:$G$803,E22,MOVIMIENTOS_COMPLEMENTOS!$H$4:$H$803,G22,MOVIMIENTOS_COMPLEMENTOS!$B$4:$B$803,"SALIDA"),0)</f>
        <v>0</v>
      </c>
      <c r="I22" s="102">
        <f t="array" ref="I22">IFERROR(INDEX(PRECIOS_COMPLEMENTOS!$C$4:$F$17,MATCH(B22&amp;"_"&amp;C22,PRECIOS_COMPLEMENTOS!$H$4:$H$17,0),IF(OR(G22="S",G22="20cm"),1,IF(OR(G22="M",G22="25cm"),2,IF(OR(G22="L",G22="30cm"),3,IF(OR(G22="XL",G22="35cm"),4,0))))),0)</f>
        <v>0.7</v>
      </c>
      <c r="J22" s="103">
        <f t="shared" si="1"/>
        <v>0</v>
      </c>
      <c r="K22" s="104" t="str">
        <f>IF(H22&lt;0,"ERROR",IF(H22=0,"",IF(H22&lt;CONFIG!$B$4,"CRÍTICO",IF(H22&lt;CONFIG!$B$5,"BAJO","OK"))))</f>
        <v/>
      </c>
    </row>
    <row r="23" ht="15.75" hidden="1" customHeight="1">
      <c r="A23" s="90" t="str">
        <f>IF(CLIENTES!A4="","",CLIENTES!A4)</f>
        <v>OverShark</v>
      </c>
      <c r="B23" s="90" t="s">
        <v>321</v>
      </c>
      <c r="C23" s="91" t="s">
        <v>322</v>
      </c>
      <c r="D23" s="109" t="s">
        <v>353</v>
      </c>
      <c r="E23" s="67" t="str">
        <f>COLORES!A13</f>
        <v>Camote</v>
      </c>
      <c r="F23" s="67" t="str">
        <f>COLORES!B13</f>
        <v>CLARO</v>
      </c>
      <c r="G23" s="90" t="s">
        <v>377</v>
      </c>
      <c r="H23" s="100">
        <f>IFERROR(SUMIFS(MOVIMIENTOS_COMPLEMENTOS!$I$4:$I$803,MOVIMIENTOS_COMPLEMENTOS!$C$4:$C$803,A23,MOVIMIENTOS_COMPLEMENTOS!$D$4:$D$803,B23,MOVIMIENTOS_COMPLEMENTOS!$E$4:$E$803,C23,MOVIMIENTOS_COMPLEMENTOS!$G$4:$G$803,E23,MOVIMIENTOS_COMPLEMENTOS!$H$4:$H$803,G23,MOVIMIENTOS_COMPLEMENTOS!$B$4:$B$803,"INGRESO")+SUMIFS(MOVIMIENTOS_COMPLEMENTOS!$I$4:$I$803,MOVIMIENTOS_COMPLEMENTOS!$C$4:$C$803,A23,MOVIMIENTOS_COMPLEMENTOS!$D$4:$D$803,B23,MOVIMIENTOS_COMPLEMENTOS!$E$4:$E$803,C23,MOVIMIENTOS_COMPLEMENTOS!$G$4:$G$803,E23,MOVIMIENTOS_COMPLEMENTOS!$H$4:$H$803,G23,MOVIMIENTOS_COMPLEMENTOS!$B$4:$B$803,"DE CORTE")-SUMIFS(MOVIMIENTOS_COMPLEMENTOS!$I$4:$I$803,MOVIMIENTOS_COMPLEMENTOS!$C$4:$C$803,A23,MOVIMIENTOS_COMPLEMENTOS!$D$4:$D$803,B23,MOVIMIENTOS_COMPLEMENTOS!$E$4:$E$803,C23,MOVIMIENTOS_COMPLEMENTOS!$G$4:$G$803,E23,MOVIMIENTOS_COMPLEMENTOS!$H$4:$H$803,G23,MOVIMIENTOS_COMPLEMENTOS!$B$4:$B$803,"SALIDA"),0)</f>
        <v>0</v>
      </c>
      <c r="I23" s="102">
        <f t="array" ref="I23">IFERROR(INDEX(PRECIOS_COMPLEMENTOS!$C$4:$F$17,MATCH(B23&amp;"_"&amp;C23,PRECIOS_COMPLEMENTOS!$H$4:$H$17,0),IF(OR(G23="S",G23="20cm"),1,IF(OR(G23="M",G23="25cm"),2,IF(OR(G23="L",G23="30cm"),3,IF(OR(G23="XL",G23="35cm"),4,0))))),0)</f>
        <v>0.75</v>
      </c>
      <c r="J23" s="103">
        <f t="shared" si="1"/>
        <v>0</v>
      </c>
      <c r="K23" s="104" t="str">
        <f>IF(H23&lt;0,"ERROR",IF(H23=0,"",IF(H23&lt;CONFIG!$B$4,"CRÍTICO",IF(H23&lt;CONFIG!$B$5,"BAJO","OK"))))</f>
        <v/>
      </c>
    </row>
    <row r="24" ht="15.75" hidden="1" customHeight="1">
      <c r="A24" s="90" t="str">
        <f>IF(CLIENTES!A4="","",CLIENTES!A4)</f>
        <v>OverShark</v>
      </c>
      <c r="B24" s="90" t="s">
        <v>321</v>
      </c>
      <c r="C24" s="91" t="s">
        <v>322</v>
      </c>
      <c r="D24" s="109" t="s">
        <v>353</v>
      </c>
      <c r="E24" s="67" t="str">
        <f>COLORES!A14</f>
        <v>Denim</v>
      </c>
      <c r="F24" s="67" t="str">
        <f>COLORES!B14</f>
        <v>CLARO</v>
      </c>
      <c r="G24" s="90" t="s">
        <v>376</v>
      </c>
      <c r="H24" s="100">
        <f>IFERROR(SUMIFS(MOVIMIENTOS_COMPLEMENTOS!$I$4:$I$803,MOVIMIENTOS_COMPLEMENTOS!$C$4:$C$803,A24,MOVIMIENTOS_COMPLEMENTOS!$D$4:$D$803,B24,MOVIMIENTOS_COMPLEMENTOS!$E$4:$E$803,C24,MOVIMIENTOS_COMPLEMENTOS!$G$4:$G$803,E24,MOVIMIENTOS_COMPLEMENTOS!$H$4:$H$803,G24,MOVIMIENTOS_COMPLEMENTOS!$B$4:$B$803,"INGRESO")+SUMIFS(MOVIMIENTOS_COMPLEMENTOS!$I$4:$I$803,MOVIMIENTOS_COMPLEMENTOS!$C$4:$C$803,A24,MOVIMIENTOS_COMPLEMENTOS!$D$4:$D$803,B24,MOVIMIENTOS_COMPLEMENTOS!$E$4:$E$803,C24,MOVIMIENTOS_COMPLEMENTOS!$G$4:$G$803,E24,MOVIMIENTOS_COMPLEMENTOS!$H$4:$H$803,G24,MOVIMIENTOS_COMPLEMENTOS!$B$4:$B$803,"DE CORTE")-SUMIFS(MOVIMIENTOS_COMPLEMENTOS!$I$4:$I$803,MOVIMIENTOS_COMPLEMENTOS!$C$4:$C$803,A24,MOVIMIENTOS_COMPLEMENTOS!$D$4:$D$803,B24,MOVIMIENTOS_COMPLEMENTOS!$E$4:$E$803,C24,MOVIMIENTOS_COMPLEMENTOS!$G$4:$G$803,E24,MOVIMIENTOS_COMPLEMENTOS!$H$4:$H$803,G24,MOVIMIENTOS_COMPLEMENTOS!$B$4:$B$803,"SALIDA"),0)</f>
        <v>0</v>
      </c>
      <c r="I24" s="102">
        <f t="array" ref="I24">IFERROR(INDEX(PRECIOS_COMPLEMENTOS!$C$4:$F$17,MATCH(B24&amp;"_"&amp;C24,PRECIOS_COMPLEMENTOS!$H$4:$H$17,0),IF(OR(G24="S",G24="20cm"),1,IF(OR(G24="M",G24="25cm"),2,IF(OR(G24="L",G24="30cm"),3,IF(OR(G24="XL",G24="35cm"),4,0))))),0)</f>
        <v>0.7</v>
      </c>
      <c r="J24" s="103">
        <f t="shared" si="1"/>
        <v>0</v>
      </c>
      <c r="K24" s="104" t="str">
        <f>IF(H24&lt;0,"ERROR",IF(H24=0,"",IF(H24&lt;CONFIG!$B$4,"CRÍTICO",IF(H24&lt;CONFIG!$B$5,"BAJO","OK"))))</f>
        <v/>
      </c>
    </row>
    <row r="25" ht="15.75" hidden="1" customHeight="1">
      <c r="A25" s="90" t="str">
        <f>IF(CLIENTES!A4="","",CLIENTES!A4)</f>
        <v>OverShark</v>
      </c>
      <c r="B25" s="90" t="s">
        <v>321</v>
      </c>
      <c r="C25" s="91" t="s">
        <v>322</v>
      </c>
      <c r="D25" s="109" t="s">
        <v>353</v>
      </c>
      <c r="E25" s="67" t="str">
        <f>COLORES!A14</f>
        <v>Denim</v>
      </c>
      <c r="F25" s="67" t="str">
        <f>COLORES!B14</f>
        <v>CLARO</v>
      </c>
      <c r="G25" s="90" t="s">
        <v>377</v>
      </c>
      <c r="H25" s="100">
        <f>IFERROR(SUMIFS(MOVIMIENTOS_COMPLEMENTOS!$I$4:$I$803,MOVIMIENTOS_COMPLEMENTOS!$C$4:$C$803,A25,MOVIMIENTOS_COMPLEMENTOS!$D$4:$D$803,B25,MOVIMIENTOS_COMPLEMENTOS!$E$4:$E$803,C25,MOVIMIENTOS_COMPLEMENTOS!$G$4:$G$803,E25,MOVIMIENTOS_COMPLEMENTOS!$H$4:$H$803,G25,MOVIMIENTOS_COMPLEMENTOS!$B$4:$B$803,"INGRESO")+SUMIFS(MOVIMIENTOS_COMPLEMENTOS!$I$4:$I$803,MOVIMIENTOS_COMPLEMENTOS!$C$4:$C$803,A25,MOVIMIENTOS_COMPLEMENTOS!$D$4:$D$803,B25,MOVIMIENTOS_COMPLEMENTOS!$E$4:$E$803,C25,MOVIMIENTOS_COMPLEMENTOS!$G$4:$G$803,E25,MOVIMIENTOS_COMPLEMENTOS!$H$4:$H$803,G25,MOVIMIENTOS_COMPLEMENTOS!$B$4:$B$803,"DE CORTE")-SUMIFS(MOVIMIENTOS_COMPLEMENTOS!$I$4:$I$803,MOVIMIENTOS_COMPLEMENTOS!$C$4:$C$803,A25,MOVIMIENTOS_COMPLEMENTOS!$D$4:$D$803,B25,MOVIMIENTOS_COMPLEMENTOS!$E$4:$E$803,C25,MOVIMIENTOS_COMPLEMENTOS!$G$4:$G$803,E25,MOVIMIENTOS_COMPLEMENTOS!$H$4:$H$803,G25,MOVIMIENTOS_COMPLEMENTOS!$B$4:$B$803,"SALIDA"),0)</f>
        <v>0</v>
      </c>
      <c r="I25" s="102">
        <f t="array" ref="I25">IFERROR(INDEX(PRECIOS_COMPLEMENTOS!$C$4:$F$17,MATCH(B25&amp;"_"&amp;C25,PRECIOS_COMPLEMENTOS!$H$4:$H$17,0),IF(OR(G25="S",G25="20cm"),1,IF(OR(G25="M",G25="25cm"),2,IF(OR(G25="L",G25="30cm"),3,IF(OR(G25="XL",G25="35cm"),4,0))))),0)</f>
        <v>0.75</v>
      </c>
      <c r="J25" s="103">
        <f t="shared" si="1"/>
        <v>0</v>
      </c>
      <c r="K25" s="104" t="str">
        <f>IF(H25&lt;0,"ERROR",IF(H25=0,"",IF(H25&lt;CONFIG!$B$4,"CRÍTICO",IF(H25&lt;CONFIG!$B$5,"BAJO","OK"))))</f>
        <v/>
      </c>
    </row>
    <row r="26" ht="15.75" hidden="1" customHeight="1">
      <c r="A26" s="90" t="str">
        <f>IF(CLIENTES!A4="","",CLIENTES!A4)</f>
        <v>OverShark</v>
      </c>
      <c r="B26" s="90" t="s">
        <v>321</v>
      </c>
      <c r="C26" s="91" t="s">
        <v>322</v>
      </c>
      <c r="D26" s="109" t="s">
        <v>353</v>
      </c>
      <c r="E26" s="67" t="str">
        <f>COLORES!A15</f>
        <v>Plomo</v>
      </c>
      <c r="F26" s="67" t="str">
        <f>COLORES!B15</f>
        <v>OSCURO</v>
      </c>
      <c r="G26" s="90" t="s">
        <v>376</v>
      </c>
      <c r="H26" s="100">
        <f>IFERROR(SUMIFS(MOVIMIENTOS_COMPLEMENTOS!$I$4:$I$803,MOVIMIENTOS_COMPLEMENTOS!$C$4:$C$803,A26,MOVIMIENTOS_COMPLEMENTOS!$D$4:$D$803,B26,MOVIMIENTOS_COMPLEMENTOS!$E$4:$E$803,C26,MOVIMIENTOS_COMPLEMENTOS!$G$4:$G$803,E26,MOVIMIENTOS_COMPLEMENTOS!$H$4:$H$803,G26,MOVIMIENTOS_COMPLEMENTOS!$B$4:$B$803,"INGRESO")+SUMIFS(MOVIMIENTOS_COMPLEMENTOS!$I$4:$I$803,MOVIMIENTOS_COMPLEMENTOS!$C$4:$C$803,A26,MOVIMIENTOS_COMPLEMENTOS!$D$4:$D$803,B26,MOVIMIENTOS_COMPLEMENTOS!$E$4:$E$803,C26,MOVIMIENTOS_COMPLEMENTOS!$G$4:$G$803,E26,MOVIMIENTOS_COMPLEMENTOS!$H$4:$H$803,G26,MOVIMIENTOS_COMPLEMENTOS!$B$4:$B$803,"DE CORTE")-SUMIFS(MOVIMIENTOS_COMPLEMENTOS!$I$4:$I$803,MOVIMIENTOS_COMPLEMENTOS!$C$4:$C$803,A26,MOVIMIENTOS_COMPLEMENTOS!$D$4:$D$803,B26,MOVIMIENTOS_COMPLEMENTOS!$E$4:$E$803,C26,MOVIMIENTOS_COMPLEMENTOS!$G$4:$G$803,E26,MOVIMIENTOS_COMPLEMENTOS!$H$4:$H$803,G26,MOVIMIENTOS_COMPLEMENTOS!$B$4:$B$803,"SALIDA"),0)</f>
        <v>0</v>
      </c>
      <c r="I26" s="102">
        <f t="array" ref="I26">IFERROR(INDEX(PRECIOS_COMPLEMENTOS!$C$4:$F$17,MATCH(B26&amp;"_"&amp;C26,PRECIOS_COMPLEMENTOS!$H$4:$H$17,0),IF(OR(G26="S",G26="20cm"),1,IF(OR(G26="M",G26="25cm"),2,IF(OR(G26="L",G26="30cm"),3,IF(OR(G26="XL",G26="35cm"),4,0))))),0)</f>
        <v>0.7</v>
      </c>
      <c r="J26" s="103">
        <f t="shared" si="1"/>
        <v>0</v>
      </c>
      <c r="K26" s="104" t="str">
        <f>IF(H26&lt;0,"ERROR",IF(H26=0,"",IF(H26&lt;CONFIG!$B$4,"CRÍTICO",IF(H26&lt;CONFIG!$B$5,"BAJO","OK"))))</f>
        <v/>
      </c>
    </row>
    <row r="27" ht="15.75" hidden="1" customHeight="1">
      <c r="A27" s="90" t="str">
        <f>IF(CLIENTES!A4="","",CLIENTES!A4)</f>
        <v>OverShark</v>
      </c>
      <c r="B27" s="90" t="s">
        <v>321</v>
      </c>
      <c r="C27" s="91" t="s">
        <v>322</v>
      </c>
      <c r="D27" s="109" t="s">
        <v>353</v>
      </c>
      <c r="E27" s="67" t="str">
        <f>COLORES!A15</f>
        <v>Plomo</v>
      </c>
      <c r="F27" s="67" t="str">
        <f>COLORES!B15</f>
        <v>OSCURO</v>
      </c>
      <c r="G27" s="90" t="s">
        <v>377</v>
      </c>
      <c r="H27" s="100">
        <f>IFERROR(SUMIFS(MOVIMIENTOS_COMPLEMENTOS!$I$4:$I$803,MOVIMIENTOS_COMPLEMENTOS!$C$4:$C$803,A27,MOVIMIENTOS_COMPLEMENTOS!$D$4:$D$803,B27,MOVIMIENTOS_COMPLEMENTOS!$E$4:$E$803,C27,MOVIMIENTOS_COMPLEMENTOS!$G$4:$G$803,E27,MOVIMIENTOS_COMPLEMENTOS!$H$4:$H$803,G27,MOVIMIENTOS_COMPLEMENTOS!$B$4:$B$803,"INGRESO")+SUMIFS(MOVIMIENTOS_COMPLEMENTOS!$I$4:$I$803,MOVIMIENTOS_COMPLEMENTOS!$C$4:$C$803,A27,MOVIMIENTOS_COMPLEMENTOS!$D$4:$D$803,B27,MOVIMIENTOS_COMPLEMENTOS!$E$4:$E$803,C27,MOVIMIENTOS_COMPLEMENTOS!$G$4:$G$803,E27,MOVIMIENTOS_COMPLEMENTOS!$H$4:$H$803,G27,MOVIMIENTOS_COMPLEMENTOS!$B$4:$B$803,"DE CORTE")-SUMIFS(MOVIMIENTOS_COMPLEMENTOS!$I$4:$I$803,MOVIMIENTOS_COMPLEMENTOS!$C$4:$C$803,A27,MOVIMIENTOS_COMPLEMENTOS!$D$4:$D$803,B27,MOVIMIENTOS_COMPLEMENTOS!$E$4:$E$803,C27,MOVIMIENTOS_COMPLEMENTOS!$G$4:$G$803,E27,MOVIMIENTOS_COMPLEMENTOS!$H$4:$H$803,G27,MOVIMIENTOS_COMPLEMENTOS!$B$4:$B$803,"SALIDA"),0)</f>
        <v>0</v>
      </c>
      <c r="I27" s="102">
        <f t="array" ref="I27">IFERROR(INDEX(PRECIOS_COMPLEMENTOS!$C$4:$F$17,MATCH(B27&amp;"_"&amp;C27,PRECIOS_COMPLEMENTOS!$H$4:$H$17,0),IF(OR(G27="S",G27="20cm"),1,IF(OR(G27="M",G27="25cm"),2,IF(OR(G27="L",G27="30cm"),3,IF(OR(G27="XL",G27="35cm"),4,0))))),0)</f>
        <v>0.75</v>
      </c>
      <c r="J27" s="103">
        <f t="shared" si="1"/>
        <v>0</v>
      </c>
      <c r="K27" s="104" t="str">
        <f>IF(H27&lt;0,"ERROR",IF(H27=0,"",IF(H27&lt;CONFIG!$B$4,"CRÍTICO",IF(H27&lt;CONFIG!$B$5,"BAJO","OK"))))</f>
        <v/>
      </c>
    </row>
    <row r="28" ht="15.75" hidden="1" customHeight="1">
      <c r="A28" s="90" t="str">
        <f>IF(CLIENTES!A4="","",CLIENTES!A4)</f>
        <v>OverShark</v>
      </c>
      <c r="B28" s="90" t="s">
        <v>321</v>
      </c>
      <c r="C28" s="91" t="s">
        <v>322</v>
      </c>
      <c r="D28" s="109" t="s">
        <v>353</v>
      </c>
      <c r="E28" s="67" t="str">
        <f>COLORES!A16</f>
        <v>Topo</v>
      </c>
      <c r="F28" s="67" t="str">
        <f>COLORES!B16</f>
        <v>CLARO</v>
      </c>
      <c r="G28" s="90" t="s">
        <v>376</v>
      </c>
      <c r="H28" s="100">
        <f>IFERROR(SUMIFS(MOVIMIENTOS_COMPLEMENTOS!$I$4:$I$803,MOVIMIENTOS_COMPLEMENTOS!$C$4:$C$803,A28,MOVIMIENTOS_COMPLEMENTOS!$D$4:$D$803,B28,MOVIMIENTOS_COMPLEMENTOS!$E$4:$E$803,C28,MOVIMIENTOS_COMPLEMENTOS!$G$4:$G$803,E28,MOVIMIENTOS_COMPLEMENTOS!$H$4:$H$803,G28,MOVIMIENTOS_COMPLEMENTOS!$B$4:$B$803,"INGRESO")+SUMIFS(MOVIMIENTOS_COMPLEMENTOS!$I$4:$I$803,MOVIMIENTOS_COMPLEMENTOS!$C$4:$C$803,A28,MOVIMIENTOS_COMPLEMENTOS!$D$4:$D$803,B28,MOVIMIENTOS_COMPLEMENTOS!$E$4:$E$803,C28,MOVIMIENTOS_COMPLEMENTOS!$G$4:$G$803,E28,MOVIMIENTOS_COMPLEMENTOS!$H$4:$H$803,G28,MOVIMIENTOS_COMPLEMENTOS!$B$4:$B$803,"DE CORTE")-SUMIFS(MOVIMIENTOS_COMPLEMENTOS!$I$4:$I$803,MOVIMIENTOS_COMPLEMENTOS!$C$4:$C$803,A28,MOVIMIENTOS_COMPLEMENTOS!$D$4:$D$803,B28,MOVIMIENTOS_COMPLEMENTOS!$E$4:$E$803,C28,MOVIMIENTOS_COMPLEMENTOS!$G$4:$G$803,E28,MOVIMIENTOS_COMPLEMENTOS!$H$4:$H$803,G28,MOVIMIENTOS_COMPLEMENTOS!$B$4:$B$803,"SALIDA"),0)</f>
        <v>0</v>
      </c>
      <c r="I28" s="102">
        <f t="array" ref="I28">IFERROR(INDEX(PRECIOS_COMPLEMENTOS!$C$4:$F$17,MATCH(B28&amp;"_"&amp;C28,PRECIOS_COMPLEMENTOS!$H$4:$H$17,0),IF(OR(G28="S",G28="20cm"),1,IF(OR(G28="M",G28="25cm"),2,IF(OR(G28="L",G28="30cm"),3,IF(OR(G28="XL",G28="35cm"),4,0))))),0)</f>
        <v>0.7</v>
      </c>
      <c r="J28" s="103">
        <f t="shared" si="1"/>
        <v>0</v>
      </c>
      <c r="K28" s="104" t="str">
        <f>IF(H28&lt;0,"ERROR",IF(H28=0,"",IF(H28&lt;CONFIG!$B$4,"CRÍTICO",IF(H28&lt;CONFIG!$B$5,"BAJO","OK"))))</f>
        <v/>
      </c>
    </row>
    <row r="29" ht="15.75" hidden="1" customHeight="1">
      <c r="A29" s="90" t="str">
        <f>IF(CLIENTES!A4="","",CLIENTES!A4)</f>
        <v>OverShark</v>
      </c>
      <c r="B29" s="90" t="s">
        <v>321</v>
      </c>
      <c r="C29" s="91" t="s">
        <v>322</v>
      </c>
      <c r="D29" s="109" t="s">
        <v>353</v>
      </c>
      <c r="E29" s="67" t="str">
        <f>COLORES!A16</f>
        <v>Topo</v>
      </c>
      <c r="F29" s="67" t="str">
        <f>COLORES!B16</f>
        <v>CLARO</v>
      </c>
      <c r="G29" s="90" t="s">
        <v>377</v>
      </c>
      <c r="H29" s="100">
        <f>IFERROR(SUMIFS(MOVIMIENTOS_COMPLEMENTOS!$I$4:$I$803,MOVIMIENTOS_COMPLEMENTOS!$C$4:$C$803,A29,MOVIMIENTOS_COMPLEMENTOS!$D$4:$D$803,B29,MOVIMIENTOS_COMPLEMENTOS!$E$4:$E$803,C29,MOVIMIENTOS_COMPLEMENTOS!$G$4:$G$803,E29,MOVIMIENTOS_COMPLEMENTOS!$H$4:$H$803,G29,MOVIMIENTOS_COMPLEMENTOS!$B$4:$B$803,"INGRESO")+SUMIFS(MOVIMIENTOS_COMPLEMENTOS!$I$4:$I$803,MOVIMIENTOS_COMPLEMENTOS!$C$4:$C$803,A29,MOVIMIENTOS_COMPLEMENTOS!$D$4:$D$803,B29,MOVIMIENTOS_COMPLEMENTOS!$E$4:$E$803,C29,MOVIMIENTOS_COMPLEMENTOS!$G$4:$G$803,E29,MOVIMIENTOS_COMPLEMENTOS!$H$4:$H$803,G29,MOVIMIENTOS_COMPLEMENTOS!$B$4:$B$803,"DE CORTE")-SUMIFS(MOVIMIENTOS_COMPLEMENTOS!$I$4:$I$803,MOVIMIENTOS_COMPLEMENTOS!$C$4:$C$803,A29,MOVIMIENTOS_COMPLEMENTOS!$D$4:$D$803,B29,MOVIMIENTOS_COMPLEMENTOS!$E$4:$E$803,C29,MOVIMIENTOS_COMPLEMENTOS!$G$4:$G$803,E29,MOVIMIENTOS_COMPLEMENTOS!$H$4:$H$803,G29,MOVIMIENTOS_COMPLEMENTOS!$B$4:$B$803,"SALIDA"),0)</f>
        <v>0</v>
      </c>
      <c r="I29" s="102">
        <f t="array" ref="I29">IFERROR(INDEX(PRECIOS_COMPLEMENTOS!$C$4:$F$17,MATCH(B29&amp;"_"&amp;C29,PRECIOS_COMPLEMENTOS!$H$4:$H$17,0),IF(OR(G29="S",G29="20cm"),1,IF(OR(G29="M",G29="25cm"),2,IF(OR(G29="L",G29="30cm"),3,IF(OR(G29="XL",G29="35cm"),4,0))))),0)</f>
        <v>0.75</v>
      </c>
      <c r="J29" s="103">
        <f t="shared" si="1"/>
        <v>0</v>
      </c>
      <c r="K29" s="104" t="str">
        <f>IF(H29&lt;0,"ERROR",IF(H29=0,"",IF(H29&lt;CONFIG!$B$4,"CRÍTICO",IF(H29&lt;CONFIG!$B$5,"BAJO","OK"))))</f>
        <v/>
      </c>
    </row>
    <row r="30" ht="15.75" hidden="1" customHeight="1">
      <c r="A30" s="90" t="str">
        <f>IF(CLIENTES!A4="","",CLIENTES!A4)</f>
        <v>OverShark</v>
      </c>
      <c r="B30" s="90" t="s">
        <v>321</v>
      </c>
      <c r="C30" s="91" t="s">
        <v>322</v>
      </c>
      <c r="D30" s="109" t="s">
        <v>353</v>
      </c>
      <c r="E30" s="67" t="str">
        <f>COLORES!A17</f>
        <v>Vino</v>
      </c>
      <c r="F30" s="67" t="str">
        <f>COLORES!B17</f>
        <v>OSCURO</v>
      </c>
      <c r="G30" s="90" t="s">
        <v>376</v>
      </c>
      <c r="H30" s="100">
        <f>IFERROR(SUMIFS(MOVIMIENTOS_COMPLEMENTOS!$I$4:$I$803,MOVIMIENTOS_COMPLEMENTOS!$C$4:$C$803,A30,MOVIMIENTOS_COMPLEMENTOS!$D$4:$D$803,B30,MOVIMIENTOS_COMPLEMENTOS!$E$4:$E$803,C30,MOVIMIENTOS_COMPLEMENTOS!$G$4:$G$803,E30,MOVIMIENTOS_COMPLEMENTOS!$H$4:$H$803,G30,MOVIMIENTOS_COMPLEMENTOS!$B$4:$B$803,"INGRESO")+SUMIFS(MOVIMIENTOS_COMPLEMENTOS!$I$4:$I$803,MOVIMIENTOS_COMPLEMENTOS!$C$4:$C$803,A30,MOVIMIENTOS_COMPLEMENTOS!$D$4:$D$803,B30,MOVIMIENTOS_COMPLEMENTOS!$E$4:$E$803,C30,MOVIMIENTOS_COMPLEMENTOS!$G$4:$G$803,E30,MOVIMIENTOS_COMPLEMENTOS!$H$4:$H$803,G30,MOVIMIENTOS_COMPLEMENTOS!$B$4:$B$803,"DE CORTE")-SUMIFS(MOVIMIENTOS_COMPLEMENTOS!$I$4:$I$803,MOVIMIENTOS_COMPLEMENTOS!$C$4:$C$803,A30,MOVIMIENTOS_COMPLEMENTOS!$D$4:$D$803,B30,MOVIMIENTOS_COMPLEMENTOS!$E$4:$E$803,C30,MOVIMIENTOS_COMPLEMENTOS!$G$4:$G$803,E30,MOVIMIENTOS_COMPLEMENTOS!$H$4:$H$803,G30,MOVIMIENTOS_COMPLEMENTOS!$B$4:$B$803,"SALIDA"),0)</f>
        <v>0</v>
      </c>
      <c r="I30" s="102">
        <f t="array" ref="I30">IFERROR(INDEX(PRECIOS_COMPLEMENTOS!$C$4:$F$17,MATCH(B30&amp;"_"&amp;C30,PRECIOS_COMPLEMENTOS!$H$4:$H$17,0),IF(OR(G30="S",G30="20cm"),1,IF(OR(G30="M",G30="25cm"),2,IF(OR(G30="L",G30="30cm"),3,IF(OR(G30="XL",G30="35cm"),4,0))))),0)</f>
        <v>0.7</v>
      </c>
      <c r="J30" s="103">
        <f t="shared" si="1"/>
        <v>0</v>
      </c>
      <c r="K30" s="104" t="str">
        <f>IF(H30&lt;0,"ERROR",IF(H30=0,"",IF(H30&lt;CONFIG!$B$4,"CRÍTICO",IF(H30&lt;CONFIG!$B$5,"BAJO","OK"))))</f>
        <v/>
      </c>
    </row>
    <row r="31" ht="15.75" hidden="1" customHeight="1">
      <c r="A31" s="90" t="str">
        <f>IF(CLIENTES!A4="","",CLIENTES!A4)</f>
        <v>OverShark</v>
      </c>
      <c r="B31" s="90" t="s">
        <v>321</v>
      </c>
      <c r="C31" s="91" t="s">
        <v>322</v>
      </c>
      <c r="D31" s="109" t="s">
        <v>353</v>
      </c>
      <c r="E31" s="67" t="str">
        <f>COLORES!A17</f>
        <v>Vino</v>
      </c>
      <c r="F31" s="67" t="str">
        <f>COLORES!B17</f>
        <v>OSCURO</v>
      </c>
      <c r="G31" s="90" t="s">
        <v>377</v>
      </c>
      <c r="H31" s="100">
        <f>IFERROR(SUMIFS(MOVIMIENTOS_COMPLEMENTOS!$I$4:$I$803,MOVIMIENTOS_COMPLEMENTOS!$C$4:$C$803,A31,MOVIMIENTOS_COMPLEMENTOS!$D$4:$D$803,B31,MOVIMIENTOS_COMPLEMENTOS!$E$4:$E$803,C31,MOVIMIENTOS_COMPLEMENTOS!$G$4:$G$803,E31,MOVIMIENTOS_COMPLEMENTOS!$H$4:$H$803,G31,MOVIMIENTOS_COMPLEMENTOS!$B$4:$B$803,"INGRESO")+SUMIFS(MOVIMIENTOS_COMPLEMENTOS!$I$4:$I$803,MOVIMIENTOS_COMPLEMENTOS!$C$4:$C$803,A31,MOVIMIENTOS_COMPLEMENTOS!$D$4:$D$803,B31,MOVIMIENTOS_COMPLEMENTOS!$E$4:$E$803,C31,MOVIMIENTOS_COMPLEMENTOS!$G$4:$G$803,E31,MOVIMIENTOS_COMPLEMENTOS!$H$4:$H$803,G31,MOVIMIENTOS_COMPLEMENTOS!$B$4:$B$803,"DE CORTE")-SUMIFS(MOVIMIENTOS_COMPLEMENTOS!$I$4:$I$803,MOVIMIENTOS_COMPLEMENTOS!$C$4:$C$803,A31,MOVIMIENTOS_COMPLEMENTOS!$D$4:$D$803,B31,MOVIMIENTOS_COMPLEMENTOS!$E$4:$E$803,C31,MOVIMIENTOS_COMPLEMENTOS!$G$4:$G$803,E31,MOVIMIENTOS_COMPLEMENTOS!$H$4:$H$803,G31,MOVIMIENTOS_COMPLEMENTOS!$B$4:$B$803,"SALIDA"),0)</f>
        <v>0</v>
      </c>
      <c r="I31" s="102">
        <f t="array" ref="I31">IFERROR(INDEX(PRECIOS_COMPLEMENTOS!$C$4:$F$17,MATCH(B31&amp;"_"&amp;C31,PRECIOS_COMPLEMENTOS!$H$4:$H$17,0),IF(OR(G31="S",G31="20cm"),1,IF(OR(G31="M",G31="25cm"),2,IF(OR(G31="L",G31="30cm"),3,IF(OR(G31="XL",G31="35cm"),4,0))))),0)</f>
        <v>0.75</v>
      </c>
      <c r="J31" s="103">
        <f t="shared" si="1"/>
        <v>0</v>
      </c>
      <c r="K31" s="104" t="str">
        <f>IF(H31&lt;0,"ERROR",IF(H31=0,"",IF(H31&lt;CONFIG!$B$4,"CRÍTICO",IF(H31&lt;CONFIG!$B$5,"BAJO","OK"))))</f>
        <v/>
      </c>
    </row>
    <row r="32" ht="15.75" hidden="1" customHeight="1">
      <c r="A32" s="90" t="str">
        <f>IF(CLIENTES!A4="","",CLIENTES!A4)</f>
        <v>OverShark</v>
      </c>
      <c r="B32" s="90" t="s">
        <v>321</v>
      </c>
      <c r="C32" s="91" t="s">
        <v>322</v>
      </c>
      <c r="D32" s="109" t="s">
        <v>353</v>
      </c>
      <c r="E32" s="67" t="str">
        <f>COLORES!A18</f>
        <v>P. Rosa</v>
      </c>
      <c r="F32" s="67" t="str">
        <f>COLORES!B18</f>
        <v>CLARO</v>
      </c>
      <c r="G32" s="90" t="s">
        <v>376</v>
      </c>
      <c r="H32" s="100">
        <f>IFERROR(SUMIFS(MOVIMIENTOS_COMPLEMENTOS!$I$4:$I$803,MOVIMIENTOS_COMPLEMENTOS!$C$4:$C$803,A32,MOVIMIENTOS_COMPLEMENTOS!$D$4:$D$803,B32,MOVIMIENTOS_COMPLEMENTOS!$E$4:$E$803,C32,MOVIMIENTOS_COMPLEMENTOS!$G$4:$G$803,E32,MOVIMIENTOS_COMPLEMENTOS!$H$4:$H$803,G32,MOVIMIENTOS_COMPLEMENTOS!$B$4:$B$803,"INGRESO")+SUMIFS(MOVIMIENTOS_COMPLEMENTOS!$I$4:$I$803,MOVIMIENTOS_COMPLEMENTOS!$C$4:$C$803,A32,MOVIMIENTOS_COMPLEMENTOS!$D$4:$D$803,B32,MOVIMIENTOS_COMPLEMENTOS!$E$4:$E$803,C32,MOVIMIENTOS_COMPLEMENTOS!$G$4:$G$803,E32,MOVIMIENTOS_COMPLEMENTOS!$H$4:$H$803,G32,MOVIMIENTOS_COMPLEMENTOS!$B$4:$B$803,"DE CORTE")-SUMIFS(MOVIMIENTOS_COMPLEMENTOS!$I$4:$I$803,MOVIMIENTOS_COMPLEMENTOS!$C$4:$C$803,A32,MOVIMIENTOS_COMPLEMENTOS!$D$4:$D$803,B32,MOVIMIENTOS_COMPLEMENTOS!$E$4:$E$803,C32,MOVIMIENTOS_COMPLEMENTOS!$G$4:$G$803,E32,MOVIMIENTOS_COMPLEMENTOS!$H$4:$H$803,G32,MOVIMIENTOS_COMPLEMENTOS!$B$4:$B$803,"SALIDA"),0)</f>
        <v>0</v>
      </c>
      <c r="I32" s="102">
        <f t="array" ref="I32">IFERROR(INDEX(PRECIOS_COMPLEMENTOS!$C$4:$F$17,MATCH(B32&amp;"_"&amp;C32,PRECIOS_COMPLEMENTOS!$H$4:$H$17,0),IF(OR(G32="S",G32="20cm"),1,IF(OR(G32="M",G32="25cm"),2,IF(OR(G32="L",G32="30cm"),3,IF(OR(G32="XL",G32="35cm"),4,0))))),0)</f>
        <v>0.7</v>
      </c>
      <c r="J32" s="103">
        <f t="shared" si="1"/>
        <v>0</v>
      </c>
      <c r="K32" s="104" t="str">
        <f>IF(H32&lt;0,"ERROR",IF(H32=0,"",IF(H32&lt;CONFIG!$B$4,"CRÍTICO",IF(H32&lt;CONFIG!$B$5,"BAJO","OK"))))</f>
        <v/>
      </c>
    </row>
    <row r="33" ht="15.75" hidden="1" customHeight="1">
      <c r="A33" s="90" t="str">
        <f>IF(CLIENTES!A4="","",CLIENTES!A4)</f>
        <v>OverShark</v>
      </c>
      <c r="B33" s="90" t="s">
        <v>321</v>
      </c>
      <c r="C33" s="91" t="s">
        <v>322</v>
      </c>
      <c r="D33" s="109" t="s">
        <v>353</v>
      </c>
      <c r="E33" s="67" t="str">
        <f>COLORES!A18</f>
        <v>P. Rosa</v>
      </c>
      <c r="F33" s="67" t="str">
        <f>COLORES!B18</f>
        <v>CLARO</v>
      </c>
      <c r="G33" s="90" t="s">
        <v>377</v>
      </c>
      <c r="H33" s="100">
        <f>IFERROR(SUMIFS(MOVIMIENTOS_COMPLEMENTOS!$I$4:$I$803,MOVIMIENTOS_COMPLEMENTOS!$C$4:$C$803,A33,MOVIMIENTOS_COMPLEMENTOS!$D$4:$D$803,B33,MOVIMIENTOS_COMPLEMENTOS!$E$4:$E$803,C33,MOVIMIENTOS_COMPLEMENTOS!$G$4:$G$803,E33,MOVIMIENTOS_COMPLEMENTOS!$H$4:$H$803,G33,MOVIMIENTOS_COMPLEMENTOS!$B$4:$B$803,"INGRESO")+SUMIFS(MOVIMIENTOS_COMPLEMENTOS!$I$4:$I$803,MOVIMIENTOS_COMPLEMENTOS!$C$4:$C$803,A33,MOVIMIENTOS_COMPLEMENTOS!$D$4:$D$803,B33,MOVIMIENTOS_COMPLEMENTOS!$E$4:$E$803,C33,MOVIMIENTOS_COMPLEMENTOS!$G$4:$G$803,E33,MOVIMIENTOS_COMPLEMENTOS!$H$4:$H$803,G33,MOVIMIENTOS_COMPLEMENTOS!$B$4:$B$803,"DE CORTE")-SUMIFS(MOVIMIENTOS_COMPLEMENTOS!$I$4:$I$803,MOVIMIENTOS_COMPLEMENTOS!$C$4:$C$803,A33,MOVIMIENTOS_COMPLEMENTOS!$D$4:$D$803,B33,MOVIMIENTOS_COMPLEMENTOS!$E$4:$E$803,C33,MOVIMIENTOS_COMPLEMENTOS!$G$4:$G$803,E33,MOVIMIENTOS_COMPLEMENTOS!$H$4:$H$803,G33,MOVIMIENTOS_COMPLEMENTOS!$B$4:$B$803,"SALIDA"),0)</f>
        <v>0</v>
      </c>
      <c r="I33" s="102">
        <f t="array" ref="I33">IFERROR(INDEX(PRECIOS_COMPLEMENTOS!$C$4:$F$17,MATCH(B33&amp;"_"&amp;C33,PRECIOS_COMPLEMENTOS!$H$4:$H$17,0),IF(OR(G33="S",G33="20cm"),1,IF(OR(G33="M",G33="25cm"),2,IF(OR(G33="L",G33="30cm"),3,IF(OR(G33="XL",G33="35cm"),4,0))))),0)</f>
        <v>0.75</v>
      </c>
      <c r="J33" s="103">
        <f t="shared" si="1"/>
        <v>0</v>
      </c>
      <c r="K33" s="104" t="str">
        <f>IF(H33&lt;0,"ERROR",IF(H33=0,"",IF(H33&lt;CONFIG!$B$4,"CRÍTICO",IF(H33&lt;CONFIG!$B$5,"BAJO","OK"))))</f>
        <v/>
      </c>
    </row>
    <row r="34" ht="15.75" hidden="1" customHeight="1">
      <c r="A34" s="90" t="str">
        <f>IF(CLIENTES!A4="","",CLIENTES!A4)</f>
        <v>OverShark</v>
      </c>
      <c r="B34" s="90" t="s">
        <v>321</v>
      </c>
      <c r="C34" s="91" t="s">
        <v>322</v>
      </c>
      <c r="D34" s="109" t="s">
        <v>353</v>
      </c>
      <c r="E34" s="67" t="str">
        <f>COLORES!A19</f>
        <v/>
      </c>
      <c r="F34" s="67" t="str">
        <f>COLORES!B19</f>
        <v/>
      </c>
      <c r="G34" s="90" t="s">
        <v>376</v>
      </c>
      <c r="H34" s="100">
        <f>IFERROR(SUMIFS(MOVIMIENTOS_COMPLEMENTOS!$I$4:$I$803,MOVIMIENTOS_COMPLEMENTOS!$C$4:$C$803,A34,MOVIMIENTOS_COMPLEMENTOS!$D$4:$D$803,B34,MOVIMIENTOS_COMPLEMENTOS!$E$4:$E$803,C34,MOVIMIENTOS_COMPLEMENTOS!$G$4:$G$803,E34,MOVIMIENTOS_COMPLEMENTOS!$H$4:$H$803,G34,MOVIMIENTOS_COMPLEMENTOS!$B$4:$B$803,"INGRESO")+SUMIFS(MOVIMIENTOS_COMPLEMENTOS!$I$4:$I$803,MOVIMIENTOS_COMPLEMENTOS!$C$4:$C$803,A34,MOVIMIENTOS_COMPLEMENTOS!$D$4:$D$803,B34,MOVIMIENTOS_COMPLEMENTOS!$E$4:$E$803,C34,MOVIMIENTOS_COMPLEMENTOS!$G$4:$G$803,E34,MOVIMIENTOS_COMPLEMENTOS!$H$4:$H$803,G34,MOVIMIENTOS_COMPLEMENTOS!$B$4:$B$803,"DE CORTE")-SUMIFS(MOVIMIENTOS_COMPLEMENTOS!$I$4:$I$803,MOVIMIENTOS_COMPLEMENTOS!$C$4:$C$803,A34,MOVIMIENTOS_COMPLEMENTOS!$D$4:$D$803,B34,MOVIMIENTOS_COMPLEMENTOS!$E$4:$E$803,C34,MOVIMIENTOS_COMPLEMENTOS!$G$4:$G$803,E34,MOVIMIENTOS_COMPLEMENTOS!$H$4:$H$803,G34,MOVIMIENTOS_COMPLEMENTOS!$B$4:$B$803,"SALIDA"),0)</f>
        <v>0</v>
      </c>
      <c r="I34" s="102">
        <f t="array" ref="I34">IFERROR(INDEX(PRECIOS_COMPLEMENTOS!$C$4:$F$17,MATCH(B34&amp;"_"&amp;C34,PRECIOS_COMPLEMENTOS!$H$4:$H$17,0),IF(OR(G34="S",G34="20cm"),1,IF(OR(G34="M",G34="25cm"),2,IF(OR(G34="L",G34="30cm"),3,IF(OR(G34="XL",G34="35cm"),4,0))))),0)</f>
        <v>0.7</v>
      </c>
      <c r="J34" s="103">
        <f t="shared" si="1"/>
        <v>0</v>
      </c>
      <c r="K34" s="104" t="str">
        <f>IF(H34&lt;0,"ERROR",IF(H34=0,"",IF(H34&lt;CONFIG!$B$4,"CRÍTICO",IF(H34&lt;CONFIG!$B$5,"BAJO","OK"))))</f>
        <v/>
      </c>
    </row>
    <row r="35" ht="15.75" hidden="1" customHeight="1">
      <c r="A35" s="90" t="str">
        <f>IF(CLIENTES!A4="","",CLIENTES!A4)</f>
        <v>OverShark</v>
      </c>
      <c r="B35" s="90" t="s">
        <v>321</v>
      </c>
      <c r="C35" s="91" t="s">
        <v>322</v>
      </c>
      <c r="D35" s="109" t="s">
        <v>353</v>
      </c>
      <c r="E35" s="67" t="str">
        <f>COLORES!A19</f>
        <v/>
      </c>
      <c r="F35" s="67" t="str">
        <f>COLORES!B19</f>
        <v/>
      </c>
      <c r="G35" s="90" t="s">
        <v>377</v>
      </c>
      <c r="H35" s="100">
        <f>IFERROR(SUMIFS(MOVIMIENTOS_COMPLEMENTOS!$I$4:$I$803,MOVIMIENTOS_COMPLEMENTOS!$C$4:$C$803,A35,MOVIMIENTOS_COMPLEMENTOS!$D$4:$D$803,B35,MOVIMIENTOS_COMPLEMENTOS!$E$4:$E$803,C35,MOVIMIENTOS_COMPLEMENTOS!$G$4:$G$803,E35,MOVIMIENTOS_COMPLEMENTOS!$H$4:$H$803,G35,MOVIMIENTOS_COMPLEMENTOS!$B$4:$B$803,"INGRESO")+SUMIFS(MOVIMIENTOS_COMPLEMENTOS!$I$4:$I$803,MOVIMIENTOS_COMPLEMENTOS!$C$4:$C$803,A35,MOVIMIENTOS_COMPLEMENTOS!$D$4:$D$803,B35,MOVIMIENTOS_COMPLEMENTOS!$E$4:$E$803,C35,MOVIMIENTOS_COMPLEMENTOS!$G$4:$G$803,E35,MOVIMIENTOS_COMPLEMENTOS!$H$4:$H$803,G35,MOVIMIENTOS_COMPLEMENTOS!$B$4:$B$803,"DE CORTE")-SUMIFS(MOVIMIENTOS_COMPLEMENTOS!$I$4:$I$803,MOVIMIENTOS_COMPLEMENTOS!$C$4:$C$803,A35,MOVIMIENTOS_COMPLEMENTOS!$D$4:$D$803,B35,MOVIMIENTOS_COMPLEMENTOS!$E$4:$E$803,C35,MOVIMIENTOS_COMPLEMENTOS!$G$4:$G$803,E35,MOVIMIENTOS_COMPLEMENTOS!$H$4:$H$803,G35,MOVIMIENTOS_COMPLEMENTOS!$B$4:$B$803,"SALIDA"),0)</f>
        <v>0</v>
      </c>
      <c r="I35" s="102">
        <f t="array" ref="I35">IFERROR(INDEX(PRECIOS_COMPLEMENTOS!$C$4:$F$17,MATCH(B35&amp;"_"&amp;C35,PRECIOS_COMPLEMENTOS!$H$4:$H$17,0),IF(OR(G35="S",G35="20cm"),1,IF(OR(G35="M",G35="25cm"),2,IF(OR(G35="L",G35="30cm"),3,IF(OR(G35="XL",G35="35cm"),4,0))))),0)</f>
        <v>0.75</v>
      </c>
      <c r="J35" s="103">
        <f t="shared" si="1"/>
        <v>0</v>
      </c>
      <c r="K35" s="104" t="str">
        <f>IF(H35&lt;0,"ERROR",IF(H35=0,"",IF(H35&lt;CONFIG!$B$4,"CRÍTICO",IF(H35&lt;CONFIG!$B$5,"BAJO","OK"))))</f>
        <v/>
      </c>
    </row>
    <row r="36" ht="15.75" hidden="1" customHeight="1">
      <c r="A36" s="90" t="str">
        <f>IF(CLIENTES!A4="","",CLIENTES!A4)</f>
        <v>OverShark</v>
      </c>
      <c r="B36" s="90" t="s">
        <v>321</v>
      </c>
      <c r="C36" s="91" t="s">
        <v>322</v>
      </c>
      <c r="D36" s="109" t="s">
        <v>353</v>
      </c>
      <c r="E36" s="67" t="str">
        <f>COLORES!A20</f>
        <v/>
      </c>
      <c r="F36" s="67" t="str">
        <f>COLORES!B20</f>
        <v/>
      </c>
      <c r="G36" s="90" t="s">
        <v>376</v>
      </c>
      <c r="H36" s="100">
        <f>IFERROR(SUMIFS(MOVIMIENTOS_COMPLEMENTOS!$I$4:$I$803,MOVIMIENTOS_COMPLEMENTOS!$C$4:$C$803,A36,MOVIMIENTOS_COMPLEMENTOS!$D$4:$D$803,B36,MOVIMIENTOS_COMPLEMENTOS!$E$4:$E$803,C36,MOVIMIENTOS_COMPLEMENTOS!$G$4:$G$803,E36,MOVIMIENTOS_COMPLEMENTOS!$H$4:$H$803,G36,MOVIMIENTOS_COMPLEMENTOS!$B$4:$B$803,"INGRESO")+SUMIFS(MOVIMIENTOS_COMPLEMENTOS!$I$4:$I$803,MOVIMIENTOS_COMPLEMENTOS!$C$4:$C$803,A36,MOVIMIENTOS_COMPLEMENTOS!$D$4:$D$803,B36,MOVIMIENTOS_COMPLEMENTOS!$E$4:$E$803,C36,MOVIMIENTOS_COMPLEMENTOS!$G$4:$G$803,E36,MOVIMIENTOS_COMPLEMENTOS!$H$4:$H$803,G36,MOVIMIENTOS_COMPLEMENTOS!$B$4:$B$803,"DE CORTE")-SUMIFS(MOVIMIENTOS_COMPLEMENTOS!$I$4:$I$803,MOVIMIENTOS_COMPLEMENTOS!$C$4:$C$803,A36,MOVIMIENTOS_COMPLEMENTOS!$D$4:$D$803,B36,MOVIMIENTOS_COMPLEMENTOS!$E$4:$E$803,C36,MOVIMIENTOS_COMPLEMENTOS!$G$4:$G$803,E36,MOVIMIENTOS_COMPLEMENTOS!$H$4:$H$803,G36,MOVIMIENTOS_COMPLEMENTOS!$B$4:$B$803,"SALIDA"),0)</f>
        <v>0</v>
      </c>
      <c r="I36" s="102">
        <f t="array" ref="I36">IFERROR(INDEX(PRECIOS_COMPLEMENTOS!$C$4:$F$17,MATCH(B36&amp;"_"&amp;C36,PRECIOS_COMPLEMENTOS!$H$4:$H$17,0),IF(OR(G36="S",G36="20cm"),1,IF(OR(G36="M",G36="25cm"),2,IF(OR(G36="L",G36="30cm"),3,IF(OR(G36="XL",G36="35cm"),4,0))))),0)</f>
        <v>0.7</v>
      </c>
      <c r="J36" s="103">
        <f t="shared" si="1"/>
        <v>0</v>
      </c>
      <c r="K36" s="104" t="str">
        <f>IF(H36&lt;0,"ERROR",IF(H36=0,"",IF(H36&lt;CONFIG!$B$4,"CRÍTICO",IF(H36&lt;CONFIG!$B$5,"BAJO","OK"))))</f>
        <v/>
      </c>
    </row>
    <row r="37" ht="15.75" hidden="1" customHeight="1">
      <c r="A37" s="90" t="str">
        <f>IF(CLIENTES!A4="","",CLIENTES!A4)</f>
        <v>OverShark</v>
      </c>
      <c r="B37" s="90" t="s">
        <v>321</v>
      </c>
      <c r="C37" s="91" t="s">
        <v>322</v>
      </c>
      <c r="D37" s="109" t="s">
        <v>353</v>
      </c>
      <c r="E37" s="67" t="str">
        <f>COLORES!A20</f>
        <v/>
      </c>
      <c r="F37" s="67" t="str">
        <f>COLORES!B20</f>
        <v/>
      </c>
      <c r="G37" s="90" t="s">
        <v>377</v>
      </c>
      <c r="H37" s="100">
        <f>IFERROR(SUMIFS(MOVIMIENTOS_COMPLEMENTOS!$I$4:$I$803,MOVIMIENTOS_COMPLEMENTOS!$C$4:$C$803,A37,MOVIMIENTOS_COMPLEMENTOS!$D$4:$D$803,B37,MOVIMIENTOS_COMPLEMENTOS!$E$4:$E$803,C37,MOVIMIENTOS_COMPLEMENTOS!$G$4:$G$803,E37,MOVIMIENTOS_COMPLEMENTOS!$H$4:$H$803,G37,MOVIMIENTOS_COMPLEMENTOS!$B$4:$B$803,"INGRESO")+SUMIFS(MOVIMIENTOS_COMPLEMENTOS!$I$4:$I$803,MOVIMIENTOS_COMPLEMENTOS!$C$4:$C$803,A37,MOVIMIENTOS_COMPLEMENTOS!$D$4:$D$803,B37,MOVIMIENTOS_COMPLEMENTOS!$E$4:$E$803,C37,MOVIMIENTOS_COMPLEMENTOS!$G$4:$G$803,E37,MOVIMIENTOS_COMPLEMENTOS!$H$4:$H$803,G37,MOVIMIENTOS_COMPLEMENTOS!$B$4:$B$803,"DE CORTE")-SUMIFS(MOVIMIENTOS_COMPLEMENTOS!$I$4:$I$803,MOVIMIENTOS_COMPLEMENTOS!$C$4:$C$803,A37,MOVIMIENTOS_COMPLEMENTOS!$D$4:$D$803,B37,MOVIMIENTOS_COMPLEMENTOS!$E$4:$E$803,C37,MOVIMIENTOS_COMPLEMENTOS!$G$4:$G$803,E37,MOVIMIENTOS_COMPLEMENTOS!$H$4:$H$803,G37,MOVIMIENTOS_COMPLEMENTOS!$B$4:$B$803,"SALIDA"),0)</f>
        <v>0</v>
      </c>
      <c r="I37" s="102">
        <f t="array" ref="I37">IFERROR(INDEX(PRECIOS_COMPLEMENTOS!$C$4:$F$17,MATCH(B37&amp;"_"&amp;C37,PRECIOS_COMPLEMENTOS!$H$4:$H$17,0),IF(OR(G37="S",G37="20cm"),1,IF(OR(G37="M",G37="25cm"),2,IF(OR(G37="L",G37="30cm"),3,IF(OR(G37="XL",G37="35cm"),4,0))))),0)</f>
        <v>0.75</v>
      </c>
      <c r="J37" s="103">
        <f t="shared" si="1"/>
        <v>0</v>
      </c>
      <c r="K37" s="104" t="str">
        <f>IF(H37&lt;0,"ERROR",IF(H37=0,"",IF(H37&lt;CONFIG!$B$4,"CRÍTICO",IF(H37&lt;CONFIG!$B$5,"BAJO","OK"))))</f>
        <v/>
      </c>
    </row>
    <row r="38" ht="15.75" hidden="1" customHeight="1">
      <c r="A38" s="90" t="str">
        <f>IF(CLIENTES!A4="","",CLIENTES!A4)</f>
        <v>OverShark</v>
      </c>
      <c r="B38" s="90" t="s">
        <v>321</v>
      </c>
      <c r="C38" s="91" t="s">
        <v>322</v>
      </c>
      <c r="D38" s="109" t="s">
        <v>353</v>
      </c>
      <c r="E38" s="67" t="str">
        <f>COLORES!A21</f>
        <v/>
      </c>
      <c r="F38" s="67" t="str">
        <f>COLORES!B21</f>
        <v/>
      </c>
      <c r="G38" s="90" t="s">
        <v>376</v>
      </c>
      <c r="H38" s="100">
        <f>IFERROR(SUMIFS(MOVIMIENTOS_COMPLEMENTOS!$I$4:$I$803,MOVIMIENTOS_COMPLEMENTOS!$C$4:$C$803,A38,MOVIMIENTOS_COMPLEMENTOS!$D$4:$D$803,B38,MOVIMIENTOS_COMPLEMENTOS!$E$4:$E$803,C38,MOVIMIENTOS_COMPLEMENTOS!$G$4:$G$803,E38,MOVIMIENTOS_COMPLEMENTOS!$H$4:$H$803,G38,MOVIMIENTOS_COMPLEMENTOS!$B$4:$B$803,"INGRESO")+SUMIFS(MOVIMIENTOS_COMPLEMENTOS!$I$4:$I$803,MOVIMIENTOS_COMPLEMENTOS!$C$4:$C$803,A38,MOVIMIENTOS_COMPLEMENTOS!$D$4:$D$803,B38,MOVIMIENTOS_COMPLEMENTOS!$E$4:$E$803,C38,MOVIMIENTOS_COMPLEMENTOS!$G$4:$G$803,E38,MOVIMIENTOS_COMPLEMENTOS!$H$4:$H$803,G38,MOVIMIENTOS_COMPLEMENTOS!$B$4:$B$803,"DE CORTE")-SUMIFS(MOVIMIENTOS_COMPLEMENTOS!$I$4:$I$803,MOVIMIENTOS_COMPLEMENTOS!$C$4:$C$803,A38,MOVIMIENTOS_COMPLEMENTOS!$D$4:$D$803,B38,MOVIMIENTOS_COMPLEMENTOS!$E$4:$E$803,C38,MOVIMIENTOS_COMPLEMENTOS!$G$4:$G$803,E38,MOVIMIENTOS_COMPLEMENTOS!$H$4:$H$803,G38,MOVIMIENTOS_COMPLEMENTOS!$B$4:$B$803,"SALIDA"),0)</f>
        <v>0</v>
      </c>
      <c r="I38" s="102">
        <f t="array" ref="I38">IFERROR(INDEX(PRECIOS_COMPLEMENTOS!$C$4:$F$17,MATCH(B38&amp;"_"&amp;C38,PRECIOS_COMPLEMENTOS!$H$4:$H$17,0),IF(OR(G38="S",G38="20cm"),1,IF(OR(G38="M",G38="25cm"),2,IF(OR(G38="L",G38="30cm"),3,IF(OR(G38="XL",G38="35cm"),4,0))))),0)</f>
        <v>0.7</v>
      </c>
      <c r="J38" s="103">
        <f t="shared" si="1"/>
        <v>0</v>
      </c>
      <c r="K38" s="104" t="str">
        <f>IF(H38&lt;0,"ERROR",IF(H38=0,"",IF(H38&lt;CONFIG!$B$4,"CRÍTICO",IF(H38&lt;CONFIG!$B$5,"BAJO","OK"))))</f>
        <v/>
      </c>
    </row>
    <row r="39" ht="15.75" hidden="1" customHeight="1">
      <c r="A39" s="90" t="str">
        <f>IF(CLIENTES!A4="","",CLIENTES!A4)</f>
        <v>OverShark</v>
      </c>
      <c r="B39" s="90" t="s">
        <v>321</v>
      </c>
      <c r="C39" s="91" t="s">
        <v>322</v>
      </c>
      <c r="D39" s="109" t="s">
        <v>353</v>
      </c>
      <c r="E39" s="67" t="str">
        <f>COLORES!A21</f>
        <v/>
      </c>
      <c r="F39" s="67" t="str">
        <f>COLORES!B21</f>
        <v/>
      </c>
      <c r="G39" s="90" t="s">
        <v>377</v>
      </c>
      <c r="H39" s="100">
        <f>IFERROR(SUMIFS(MOVIMIENTOS_COMPLEMENTOS!$I$4:$I$803,MOVIMIENTOS_COMPLEMENTOS!$C$4:$C$803,A39,MOVIMIENTOS_COMPLEMENTOS!$D$4:$D$803,B39,MOVIMIENTOS_COMPLEMENTOS!$E$4:$E$803,C39,MOVIMIENTOS_COMPLEMENTOS!$G$4:$G$803,E39,MOVIMIENTOS_COMPLEMENTOS!$H$4:$H$803,G39,MOVIMIENTOS_COMPLEMENTOS!$B$4:$B$803,"INGRESO")+SUMIFS(MOVIMIENTOS_COMPLEMENTOS!$I$4:$I$803,MOVIMIENTOS_COMPLEMENTOS!$C$4:$C$803,A39,MOVIMIENTOS_COMPLEMENTOS!$D$4:$D$803,B39,MOVIMIENTOS_COMPLEMENTOS!$E$4:$E$803,C39,MOVIMIENTOS_COMPLEMENTOS!$G$4:$G$803,E39,MOVIMIENTOS_COMPLEMENTOS!$H$4:$H$803,G39,MOVIMIENTOS_COMPLEMENTOS!$B$4:$B$803,"DE CORTE")-SUMIFS(MOVIMIENTOS_COMPLEMENTOS!$I$4:$I$803,MOVIMIENTOS_COMPLEMENTOS!$C$4:$C$803,A39,MOVIMIENTOS_COMPLEMENTOS!$D$4:$D$803,B39,MOVIMIENTOS_COMPLEMENTOS!$E$4:$E$803,C39,MOVIMIENTOS_COMPLEMENTOS!$G$4:$G$803,E39,MOVIMIENTOS_COMPLEMENTOS!$H$4:$H$803,G39,MOVIMIENTOS_COMPLEMENTOS!$B$4:$B$803,"SALIDA"),0)</f>
        <v>0</v>
      </c>
      <c r="I39" s="102">
        <f t="array" ref="I39">IFERROR(INDEX(PRECIOS_COMPLEMENTOS!$C$4:$F$17,MATCH(B39&amp;"_"&amp;C39,PRECIOS_COMPLEMENTOS!$H$4:$H$17,0),IF(OR(G39="S",G39="20cm"),1,IF(OR(G39="M",G39="25cm"),2,IF(OR(G39="L",G39="30cm"),3,IF(OR(G39="XL",G39="35cm"),4,0))))),0)</f>
        <v>0.75</v>
      </c>
      <c r="J39" s="103">
        <f t="shared" si="1"/>
        <v>0</v>
      </c>
      <c r="K39" s="104" t="str">
        <f>IF(H39&lt;0,"ERROR",IF(H39=0,"",IF(H39&lt;CONFIG!$B$4,"CRÍTICO",IF(H39&lt;CONFIG!$B$5,"BAJO","OK"))))</f>
        <v/>
      </c>
    </row>
    <row r="40" ht="15.75" hidden="1" customHeight="1">
      <c r="A40" s="90" t="str">
        <f>IF(CLIENTES!A4="","",CLIENTES!A4)</f>
        <v>OverShark</v>
      </c>
      <c r="B40" s="90" t="s">
        <v>321</v>
      </c>
      <c r="C40" s="91" t="s">
        <v>322</v>
      </c>
      <c r="D40" s="109" t="s">
        <v>353</v>
      </c>
      <c r="E40" s="67" t="str">
        <f>COLORES!A22</f>
        <v/>
      </c>
      <c r="F40" s="67" t="str">
        <f>COLORES!B22</f>
        <v/>
      </c>
      <c r="G40" s="90" t="s">
        <v>376</v>
      </c>
      <c r="H40" s="100">
        <f>IFERROR(SUMIFS(MOVIMIENTOS_COMPLEMENTOS!$I$4:$I$803,MOVIMIENTOS_COMPLEMENTOS!$C$4:$C$803,A40,MOVIMIENTOS_COMPLEMENTOS!$D$4:$D$803,B40,MOVIMIENTOS_COMPLEMENTOS!$E$4:$E$803,C40,MOVIMIENTOS_COMPLEMENTOS!$G$4:$G$803,E40,MOVIMIENTOS_COMPLEMENTOS!$H$4:$H$803,G40,MOVIMIENTOS_COMPLEMENTOS!$B$4:$B$803,"INGRESO")+SUMIFS(MOVIMIENTOS_COMPLEMENTOS!$I$4:$I$803,MOVIMIENTOS_COMPLEMENTOS!$C$4:$C$803,A40,MOVIMIENTOS_COMPLEMENTOS!$D$4:$D$803,B40,MOVIMIENTOS_COMPLEMENTOS!$E$4:$E$803,C40,MOVIMIENTOS_COMPLEMENTOS!$G$4:$G$803,E40,MOVIMIENTOS_COMPLEMENTOS!$H$4:$H$803,G40,MOVIMIENTOS_COMPLEMENTOS!$B$4:$B$803,"DE CORTE")-SUMIFS(MOVIMIENTOS_COMPLEMENTOS!$I$4:$I$803,MOVIMIENTOS_COMPLEMENTOS!$C$4:$C$803,A40,MOVIMIENTOS_COMPLEMENTOS!$D$4:$D$803,B40,MOVIMIENTOS_COMPLEMENTOS!$E$4:$E$803,C40,MOVIMIENTOS_COMPLEMENTOS!$G$4:$G$803,E40,MOVIMIENTOS_COMPLEMENTOS!$H$4:$H$803,G40,MOVIMIENTOS_COMPLEMENTOS!$B$4:$B$803,"SALIDA"),0)</f>
        <v>0</v>
      </c>
      <c r="I40" s="102">
        <f t="array" ref="I40">IFERROR(INDEX(PRECIOS_COMPLEMENTOS!$C$4:$F$17,MATCH(B40&amp;"_"&amp;C40,PRECIOS_COMPLEMENTOS!$H$4:$H$17,0),IF(OR(G40="S",G40="20cm"),1,IF(OR(G40="M",G40="25cm"),2,IF(OR(G40="L",G40="30cm"),3,IF(OR(G40="XL",G40="35cm"),4,0))))),0)</f>
        <v>0.7</v>
      </c>
      <c r="J40" s="103">
        <f t="shared" si="1"/>
        <v>0</v>
      </c>
      <c r="K40" s="104" t="str">
        <f>IF(H40&lt;0,"ERROR",IF(H40=0,"",IF(H40&lt;CONFIG!$B$4,"CRÍTICO",IF(H40&lt;CONFIG!$B$5,"BAJO","OK"))))</f>
        <v/>
      </c>
    </row>
    <row r="41" ht="15.75" hidden="1" customHeight="1">
      <c r="A41" s="90" t="str">
        <f>IF(CLIENTES!A4="","",CLIENTES!A4)</f>
        <v>OverShark</v>
      </c>
      <c r="B41" s="90" t="s">
        <v>321</v>
      </c>
      <c r="C41" s="91" t="s">
        <v>322</v>
      </c>
      <c r="D41" s="109" t="s">
        <v>353</v>
      </c>
      <c r="E41" s="67" t="str">
        <f>COLORES!A22</f>
        <v/>
      </c>
      <c r="F41" s="67" t="str">
        <f>COLORES!B22</f>
        <v/>
      </c>
      <c r="G41" s="90" t="s">
        <v>377</v>
      </c>
      <c r="H41" s="100">
        <f>IFERROR(SUMIFS(MOVIMIENTOS_COMPLEMENTOS!$I$4:$I$803,MOVIMIENTOS_COMPLEMENTOS!$C$4:$C$803,A41,MOVIMIENTOS_COMPLEMENTOS!$D$4:$D$803,B41,MOVIMIENTOS_COMPLEMENTOS!$E$4:$E$803,C41,MOVIMIENTOS_COMPLEMENTOS!$G$4:$G$803,E41,MOVIMIENTOS_COMPLEMENTOS!$H$4:$H$803,G41,MOVIMIENTOS_COMPLEMENTOS!$B$4:$B$803,"INGRESO")+SUMIFS(MOVIMIENTOS_COMPLEMENTOS!$I$4:$I$803,MOVIMIENTOS_COMPLEMENTOS!$C$4:$C$803,A41,MOVIMIENTOS_COMPLEMENTOS!$D$4:$D$803,B41,MOVIMIENTOS_COMPLEMENTOS!$E$4:$E$803,C41,MOVIMIENTOS_COMPLEMENTOS!$G$4:$G$803,E41,MOVIMIENTOS_COMPLEMENTOS!$H$4:$H$803,G41,MOVIMIENTOS_COMPLEMENTOS!$B$4:$B$803,"DE CORTE")-SUMIFS(MOVIMIENTOS_COMPLEMENTOS!$I$4:$I$803,MOVIMIENTOS_COMPLEMENTOS!$C$4:$C$803,A41,MOVIMIENTOS_COMPLEMENTOS!$D$4:$D$803,B41,MOVIMIENTOS_COMPLEMENTOS!$E$4:$E$803,C41,MOVIMIENTOS_COMPLEMENTOS!$G$4:$G$803,E41,MOVIMIENTOS_COMPLEMENTOS!$H$4:$H$803,G41,MOVIMIENTOS_COMPLEMENTOS!$B$4:$B$803,"SALIDA"),0)</f>
        <v>0</v>
      </c>
      <c r="I41" s="102">
        <f t="array" ref="I41">IFERROR(INDEX(PRECIOS_COMPLEMENTOS!$C$4:$F$17,MATCH(B41&amp;"_"&amp;C41,PRECIOS_COMPLEMENTOS!$H$4:$H$17,0),IF(OR(G41="S",G41="20cm"),1,IF(OR(G41="M",G41="25cm"),2,IF(OR(G41="L",G41="30cm"),3,IF(OR(G41="XL",G41="35cm"),4,0))))),0)</f>
        <v>0.75</v>
      </c>
      <c r="J41" s="103">
        <f t="shared" si="1"/>
        <v>0</v>
      </c>
      <c r="K41" s="104" t="str">
        <f>IF(H41&lt;0,"ERROR",IF(H41=0,"",IF(H41&lt;CONFIG!$B$4,"CRÍTICO",IF(H41&lt;CONFIG!$B$5,"BAJO","OK"))))</f>
        <v/>
      </c>
    </row>
    <row r="42" ht="15.75" hidden="1" customHeight="1">
      <c r="A42" s="90" t="str">
        <f>IF(CLIENTES!A4="","",CLIENTES!A4)</f>
        <v>OverShark</v>
      </c>
      <c r="B42" s="90" t="s">
        <v>321</v>
      </c>
      <c r="C42" s="91" t="s">
        <v>322</v>
      </c>
      <c r="D42" s="109" t="s">
        <v>353</v>
      </c>
      <c r="E42" s="67" t="str">
        <f>COLORES!A23</f>
        <v/>
      </c>
      <c r="F42" s="67" t="str">
        <f>COLORES!B23</f>
        <v/>
      </c>
      <c r="G42" s="90" t="s">
        <v>376</v>
      </c>
      <c r="H42" s="100">
        <f>IFERROR(SUMIFS(MOVIMIENTOS_COMPLEMENTOS!$I$4:$I$803,MOVIMIENTOS_COMPLEMENTOS!$C$4:$C$803,A42,MOVIMIENTOS_COMPLEMENTOS!$D$4:$D$803,B42,MOVIMIENTOS_COMPLEMENTOS!$E$4:$E$803,C42,MOVIMIENTOS_COMPLEMENTOS!$G$4:$G$803,E42,MOVIMIENTOS_COMPLEMENTOS!$H$4:$H$803,G42,MOVIMIENTOS_COMPLEMENTOS!$B$4:$B$803,"INGRESO")+SUMIFS(MOVIMIENTOS_COMPLEMENTOS!$I$4:$I$803,MOVIMIENTOS_COMPLEMENTOS!$C$4:$C$803,A42,MOVIMIENTOS_COMPLEMENTOS!$D$4:$D$803,B42,MOVIMIENTOS_COMPLEMENTOS!$E$4:$E$803,C42,MOVIMIENTOS_COMPLEMENTOS!$G$4:$G$803,E42,MOVIMIENTOS_COMPLEMENTOS!$H$4:$H$803,G42,MOVIMIENTOS_COMPLEMENTOS!$B$4:$B$803,"DE CORTE")-SUMIFS(MOVIMIENTOS_COMPLEMENTOS!$I$4:$I$803,MOVIMIENTOS_COMPLEMENTOS!$C$4:$C$803,A42,MOVIMIENTOS_COMPLEMENTOS!$D$4:$D$803,B42,MOVIMIENTOS_COMPLEMENTOS!$E$4:$E$803,C42,MOVIMIENTOS_COMPLEMENTOS!$G$4:$G$803,E42,MOVIMIENTOS_COMPLEMENTOS!$H$4:$H$803,G42,MOVIMIENTOS_COMPLEMENTOS!$B$4:$B$803,"SALIDA"),0)</f>
        <v>0</v>
      </c>
      <c r="I42" s="102">
        <f t="array" ref="I42">IFERROR(INDEX(PRECIOS_COMPLEMENTOS!$C$4:$F$17,MATCH(B42&amp;"_"&amp;C42,PRECIOS_COMPLEMENTOS!$H$4:$H$17,0),IF(OR(G42="S",G42="20cm"),1,IF(OR(G42="M",G42="25cm"),2,IF(OR(G42="L",G42="30cm"),3,IF(OR(G42="XL",G42="35cm"),4,0))))),0)</f>
        <v>0.7</v>
      </c>
      <c r="J42" s="103">
        <f t="shared" si="1"/>
        <v>0</v>
      </c>
      <c r="K42" s="104" t="str">
        <f>IF(H42&lt;0,"ERROR",IF(H42=0,"",IF(H42&lt;CONFIG!$B$4,"CRÍTICO",IF(H42&lt;CONFIG!$B$5,"BAJO","OK"))))</f>
        <v/>
      </c>
    </row>
    <row r="43" ht="15.75" hidden="1" customHeight="1">
      <c r="A43" s="90" t="str">
        <f>IF(CLIENTES!A4="","",CLIENTES!A4)</f>
        <v>OverShark</v>
      </c>
      <c r="B43" s="90" t="s">
        <v>321</v>
      </c>
      <c r="C43" s="91" t="s">
        <v>322</v>
      </c>
      <c r="D43" s="109" t="s">
        <v>353</v>
      </c>
      <c r="E43" s="67" t="str">
        <f>COLORES!A23</f>
        <v/>
      </c>
      <c r="F43" s="67" t="str">
        <f>COLORES!B23</f>
        <v/>
      </c>
      <c r="G43" s="90" t="s">
        <v>377</v>
      </c>
      <c r="H43" s="100">
        <f>IFERROR(SUMIFS(MOVIMIENTOS_COMPLEMENTOS!$I$4:$I$803,MOVIMIENTOS_COMPLEMENTOS!$C$4:$C$803,A43,MOVIMIENTOS_COMPLEMENTOS!$D$4:$D$803,B43,MOVIMIENTOS_COMPLEMENTOS!$E$4:$E$803,C43,MOVIMIENTOS_COMPLEMENTOS!$G$4:$G$803,E43,MOVIMIENTOS_COMPLEMENTOS!$H$4:$H$803,G43,MOVIMIENTOS_COMPLEMENTOS!$B$4:$B$803,"INGRESO")+SUMIFS(MOVIMIENTOS_COMPLEMENTOS!$I$4:$I$803,MOVIMIENTOS_COMPLEMENTOS!$C$4:$C$803,A43,MOVIMIENTOS_COMPLEMENTOS!$D$4:$D$803,B43,MOVIMIENTOS_COMPLEMENTOS!$E$4:$E$803,C43,MOVIMIENTOS_COMPLEMENTOS!$G$4:$G$803,E43,MOVIMIENTOS_COMPLEMENTOS!$H$4:$H$803,G43,MOVIMIENTOS_COMPLEMENTOS!$B$4:$B$803,"DE CORTE")-SUMIFS(MOVIMIENTOS_COMPLEMENTOS!$I$4:$I$803,MOVIMIENTOS_COMPLEMENTOS!$C$4:$C$803,A43,MOVIMIENTOS_COMPLEMENTOS!$D$4:$D$803,B43,MOVIMIENTOS_COMPLEMENTOS!$E$4:$E$803,C43,MOVIMIENTOS_COMPLEMENTOS!$G$4:$G$803,E43,MOVIMIENTOS_COMPLEMENTOS!$H$4:$H$803,G43,MOVIMIENTOS_COMPLEMENTOS!$B$4:$B$803,"SALIDA"),0)</f>
        <v>0</v>
      </c>
      <c r="I43" s="102">
        <f t="array" ref="I43">IFERROR(INDEX(PRECIOS_COMPLEMENTOS!$C$4:$F$17,MATCH(B43&amp;"_"&amp;C43,PRECIOS_COMPLEMENTOS!$H$4:$H$17,0),IF(OR(G43="S",G43="20cm"),1,IF(OR(G43="M",G43="25cm"),2,IF(OR(G43="L",G43="30cm"),3,IF(OR(G43="XL",G43="35cm"),4,0))))),0)</f>
        <v>0.75</v>
      </c>
      <c r="J43" s="103">
        <f t="shared" si="1"/>
        <v>0</v>
      </c>
      <c r="K43" s="104" t="str">
        <f>IF(H43&lt;0,"ERROR",IF(H43=0,"",IF(H43&lt;CONFIG!$B$4,"CRÍTICO",IF(H43&lt;CONFIG!$B$5,"BAJO","OK"))))</f>
        <v/>
      </c>
    </row>
    <row r="44" ht="15.75" hidden="1" customHeight="1">
      <c r="A44" s="90" t="str">
        <f>IF(CLIENTES!A5="","",CLIENTES!A5)</f>
        <v>Bravos</v>
      </c>
      <c r="B44" s="90" t="s">
        <v>321</v>
      </c>
      <c r="C44" s="91" t="s">
        <v>322</v>
      </c>
      <c r="D44" s="109" t="s">
        <v>353</v>
      </c>
      <c r="E44" s="67" t="str">
        <f>COLORES!A4</f>
        <v>Negro</v>
      </c>
      <c r="F44" s="67" t="str">
        <f>COLORES!B4</f>
        <v>OSCURO</v>
      </c>
      <c r="G44" s="90" t="s">
        <v>376</v>
      </c>
      <c r="H44" s="100">
        <f>IFERROR(SUMIFS(MOVIMIENTOS_COMPLEMENTOS!$I$4:$I$803,MOVIMIENTOS_COMPLEMENTOS!$C$4:$C$803,A44,MOVIMIENTOS_COMPLEMENTOS!$D$4:$D$803,B44,MOVIMIENTOS_COMPLEMENTOS!$E$4:$E$803,C44,MOVIMIENTOS_COMPLEMENTOS!$G$4:$G$803,E44,MOVIMIENTOS_COMPLEMENTOS!$H$4:$H$803,G44,MOVIMIENTOS_COMPLEMENTOS!$B$4:$B$803,"INGRESO")+SUMIFS(MOVIMIENTOS_COMPLEMENTOS!$I$4:$I$803,MOVIMIENTOS_COMPLEMENTOS!$C$4:$C$803,A44,MOVIMIENTOS_COMPLEMENTOS!$D$4:$D$803,B44,MOVIMIENTOS_COMPLEMENTOS!$E$4:$E$803,C44,MOVIMIENTOS_COMPLEMENTOS!$G$4:$G$803,E44,MOVIMIENTOS_COMPLEMENTOS!$H$4:$H$803,G44,MOVIMIENTOS_COMPLEMENTOS!$B$4:$B$803,"DE CORTE")-SUMIFS(MOVIMIENTOS_COMPLEMENTOS!$I$4:$I$803,MOVIMIENTOS_COMPLEMENTOS!$C$4:$C$803,A44,MOVIMIENTOS_COMPLEMENTOS!$D$4:$D$803,B44,MOVIMIENTOS_COMPLEMENTOS!$E$4:$E$803,C44,MOVIMIENTOS_COMPLEMENTOS!$G$4:$G$803,E44,MOVIMIENTOS_COMPLEMENTOS!$H$4:$H$803,G44,MOVIMIENTOS_COMPLEMENTOS!$B$4:$B$803,"SALIDA"),0)</f>
        <v>0</v>
      </c>
      <c r="I44" s="102">
        <f t="array" ref="I44">IFERROR(INDEX(PRECIOS_COMPLEMENTOS!$C$4:$F$17,MATCH(B44&amp;"_"&amp;C44,PRECIOS_COMPLEMENTOS!$H$4:$H$17,0),IF(OR(G44="S",G44="20cm"),1,IF(OR(G44="M",G44="25cm"),2,IF(OR(G44="L",G44="30cm"),3,IF(OR(G44="XL",G44="35cm"),4,0))))),0)</f>
        <v>0.7</v>
      </c>
      <c r="J44" s="103">
        <f t="shared" si="1"/>
        <v>0</v>
      </c>
      <c r="K44" s="104" t="str">
        <f>IF(H44&lt;0,"ERROR",IF(H44=0,"",IF(H44&lt;CONFIG!$B$4,"CRÍTICO",IF(H44&lt;CONFIG!$B$5,"BAJO","OK"))))</f>
        <v/>
      </c>
    </row>
    <row r="45" ht="15.75" hidden="1" customHeight="1">
      <c r="A45" s="90" t="str">
        <f>IF(CLIENTES!A5="","",CLIENTES!A5)</f>
        <v>Bravos</v>
      </c>
      <c r="B45" s="90" t="s">
        <v>321</v>
      </c>
      <c r="C45" s="91" t="s">
        <v>322</v>
      </c>
      <c r="D45" s="109" t="s">
        <v>353</v>
      </c>
      <c r="E45" s="67" t="str">
        <f>COLORES!A4</f>
        <v>Negro</v>
      </c>
      <c r="F45" s="67" t="str">
        <f>COLORES!B4</f>
        <v>OSCURO</v>
      </c>
      <c r="G45" s="90" t="s">
        <v>377</v>
      </c>
      <c r="H45" s="100">
        <f>IFERROR(SUMIFS(MOVIMIENTOS_COMPLEMENTOS!$I$4:$I$803,MOVIMIENTOS_COMPLEMENTOS!$C$4:$C$803,A45,MOVIMIENTOS_COMPLEMENTOS!$D$4:$D$803,B45,MOVIMIENTOS_COMPLEMENTOS!$E$4:$E$803,C45,MOVIMIENTOS_COMPLEMENTOS!$G$4:$G$803,E45,MOVIMIENTOS_COMPLEMENTOS!$H$4:$H$803,G45,MOVIMIENTOS_COMPLEMENTOS!$B$4:$B$803,"INGRESO")+SUMIFS(MOVIMIENTOS_COMPLEMENTOS!$I$4:$I$803,MOVIMIENTOS_COMPLEMENTOS!$C$4:$C$803,A45,MOVIMIENTOS_COMPLEMENTOS!$D$4:$D$803,B45,MOVIMIENTOS_COMPLEMENTOS!$E$4:$E$803,C45,MOVIMIENTOS_COMPLEMENTOS!$G$4:$G$803,E45,MOVIMIENTOS_COMPLEMENTOS!$H$4:$H$803,G45,MOVIMIENTOS_COMPLEMENTOS!$B$4:$B$803,"DE CORTE")-SUMIFS(MOVIMIENTOS_COMPLEMENTOS!$I$4:$I$803,MOVIMIENTOS_COMPLEMENTOS!$C$4:$C$803,A45,MOVIMIENTOS_COMPLEMENTOS!$D$4:$D$803,B45,MOVIMIENTOS_COMPLEMENTOS!$E$4:$E$803,C45,MOVIMIENTOS_COMPLEMENTOS!$G$4:$G$803,E45,MOVIMIENTOS_COMPLEMENTOS!$H$4:$H$803,G45,MOVIMIENTOS_COMPLEMENTOS!$B$4:$B$803,"SALIDA"),0)</f>
        <v>0</v>
      </c>
      <c r="I45" s="102">
        <f t="array" ref="I45">IFERROR(INDEX(PRECIOS_COMPLEMENTOS!$C$4:$F$17,MATCH(B45&amp;"_"&amp;C45,PRECIOS_COMPLEMENTOS!$H$4:$H$17,0),IF(OR(G45="S",G45="20cm"),1,IF(OR(G45="M",G45="25cm"),2,IF(OR(G45="L",G45="30cm"),3,IF(OR(G45="XL",G45="35cm"),4,0))))),0)</f>
        <v>0.75</v>
      </c>
      <c r="J45" s="103">
        <f t="shared" si="1"/>
        <v>0</v>
      </c>
      <c r="K45" s="104" t="str">
        <f>IF(H45&lt;0,"ERROR",IF(H45=0,"",IF(H45&lt;CONFIG!$B$4,"CRÍTICO",IF(H45&lt;CONFIG!$B$5,"BAJO","OK"))))</f>
        <v/>
      </c>
    </row>
    <row r="46" ht="15.75" hidden="1" customHeight="1">
      <c r="A46" s="90" t="str">
        <f>IF(CLIENTES!A5="","",CLIENTES!A5)</f>
        <v>Bravos</v>
      </c>
      <c r="B46" s="90" t="s">
        <v>321</v>
      </c>
      <c r="C46" s="91" t="s">
        <v>322</v>
      </c>
      <c r="D46" s="109" t="s">
        <v>353</v>
      </c>
      <c r="E46" s="67" t="str">
        <f>COLORES!A5</f>
        <v>Perla</v>
      </c>
      <c r="F46" s="67" t="str">
        <f>COLORES!B5</f>
        <v>PPT</v>
      </c>
      <c r="G46" s="90" t="s">
        <v>376</v>
      </c>
      <c r="H46" s="100">
        <f>IFERROR(SUMIFS(MOVIMIENTOS_COMPLEMENTOS!$I$4:$I$803,MOVIMIENTOS_COMPLEMENTOS!$C$4:$C$803,A46,MOVIMIENTOS_COMPLEMENTOS!$D$4:$D$803,B46,MOVIMIENTOS_COMPLEMENTOS!$E$4:$E$803,C46,MOVIMIENTOS_COMPLEMENTOS!$G$4:$G$803,E46,MOVIMIENTOS_COMPLEMENTOS!$H$4:$H$803,G46,MOVIMIENTOS_COMPLEMENTOS!$B$4:$B$803,"INGRESO")+SUMIFS(MOVIMIENTOS_COMPLEMENTOS!$I$4:$I$803,MOVIMIENTOS_COMPLEMENTOS!$C$4:$C$803,A46,MOVIMIENTOS_COMPLEMENTOS!$D$4:$D$803,B46,MOVIMIENTOS_COMPLEMENTOS!$E$4:$E$803,C46,MOVIMIENTOS_COMPLEMENTOS!$G$4:$G$803,E46,MOVIMIENTOS_COMPLEMENTOS!$H$4:$H$803,G46,MOVIMIENTOS_COMPLEMENTOS!$B$4:$B$803,"DE CORTE")-SUMIFS(MOVIMIENTOS_COMPLEMENTOS!$I$4:$I$803,MOVIMIENTOS_COMPLEMENTOS!$C$4:$C$803,A46,MOVIMIENTOS_COMPLEMENTOS!$D$4:$D$803,B46,MOVIMIENTOS_COMPLEMENTOS!$E$4:$E$803,C46,MOVIMIENTOS_COMPLEMENTOS!$G$4:$G$803,E46,MOVIMIENTOS_COMPLEMENTOS!$H$4:$H$803,G46,MOVIMIENTOS_COMPLEMENTOS!$B$4:$B$803,"SALIDA"),0)</f>
        <v>0</v>
      </c>
      <c r="I46" s="102">
        <f t="array" ref="I46">IFERROR(INDEX(PRECIOS_COMPLEMENTOS!$C$4:$F$17,MATCH(B46&amp;"_"&amp;C46,PRECIOS_COMPLEMENTOS!$H$4:$H$17,0),IF(OR(G46="S",G46="20cm"),1,IF(OR(G46="M",G46="25cm"),2,IF(OR(G46="L",G46="30cm"),3,IF(OR(G46="XL",G46="35cm"),4,0))))),0)</f>
        <v>0.7</v>
      </c>
      <c r="J46" s="103">
        <f t="shared" si="1"/>
        <v>0</v>
      </c>
      <c r="K46" s="104" t="str">
        <f>IF(H46&lt;0,"ERROR",IF(H46=0,"",IF(H46&lt;CONFIG!$B$4,"CRÍTICO",IF(H46&lt;CONFIG!$B$5,"BAJO","OK"))))</f>
        <v/>
      </c>
    </row>
    <row r="47" ht="15.75" hidden="1" customHeight="1">
      <c r="A47" s="90" t="str">
        <f>IF(CLIENTES!A5="","",CLIENTES!A5)</f>
        <v>Bravos</v>
      </c>
      <c r="B47" s="90" t="s">
        <v>321</v>
      </c>
      <c r="C47" s="91" t="s">
        <v>322</v>
      </c>
      <c r="D47" s="109" t="s">
        <v>353</v>
      </c>
      <c r="E47" s="67" t="str">
        <f>COLORES!A5</f>
        <v>Perla</v>
      </c>
      <c r="F47" s="67" t="str">
        <f>COLORES!B5</f>
        <v>PPT</v>
      </c>
      <c r="G47" s="90" t="s">
        <v>377</v>
      </c>
      <c r="H47" s="100">
        <f>IFERROR(SUMIFS(MOVIMIENTOS_COMPLEMENTOS!$I$4:$I$803,MOVIMIENTOS_COMPLEMENTOS!$C$4:$C$803,A47,MOVIMIENTOS_COMPLEMENTOS!$D$4:$D$803,B47,MOVIMIENTOS_COMPLEMENTOS!$E$4:$E$803,C47,MOVIMIENTOS_COMPLEMENTOS!$G$4:$G$803,E47,MOVIMIENTOS_COMPLEMENTOS!$H$4:$H$803,G47,MOVIMIENTOS_COMPLEMENTOS!$B$4:$B$803,"INGRESO")+SUMIFS(MOVIMIENTOS_COMPLEMENTOS!$I$4:$I$803,MOVIMIENTOS_COMPLEMENTOS!$C$4:$C$803,A47,MOVIMIENTOS_COMPLEMENTOS!$D$4:$D$803,B47,MOVIMIENTOS_COMPLEMENTOS!$E$4:$E$803,C47,MOVIMIENTOS_COMPLEMENTOS!$G$4:$G$803,E47,MOVIMIENTOS_COMPLEMENTOS!$H$4:$H$803,G47,MOVIMIENTOS_COMPLEMENTOS!$B$4:$B$803,"DE CORTE")-SUMIFS(MOVIMIENTOS_COMPLEMENTOS!$I$4:$I$803,MOVIMIENTOS_COMPLEMENTOS!$C$4:$C$803,A47,MOVIMIENTOS_COMPLEMENTOS!$D$4:$D$803,B47,MOVIMIENTOS_COMPLEMENTOS!$E$4:$E$803,C47,MOVIMIENTOS_COMPLEMENTOS!$G$4:$G$803,E47,MOVIMIENTOS_COMPLEMENTOS!$H$4:$H$803,G47,MOVIMIENTOS_COMPLEMENTOS!$B$4:$B$803,"SALIDA"),0)</f>
        <v>0</v>
      </c>
      <c r="I47" s="102">
        <f t="array" ref="I47">IFERROR(INDEX(PRECIOS_COMPLEMENTOS!$C$4:$F$17,MATCH(B47&amp;"_"&amp;C47,PRECIOS_COMPLEMENTOS!$H$4:$H$17,0),IF(OR(G47="S",G47="20cm"),1,IF(OR(G47="M",G47="25cm"),2,IF(OR(G47="L",G47="30cm"),3,IF(OR(G47="XL",G47="35cm"),4,0))))),0)</f>
        <v>0.75</v>
      </c>
      <c r="J47" s="103">
        <f t="shared" si="1"/>
        <v>0</v>
      </c>
      <c r="K47" s="104" t="str">
        <f>IF(H47&lt;0,"ERROR",IF(H47=0,"",IF(H47&lt;CONFIG!$B$4,"CRÍTICO",IF(H47&lt;CONFIG!$B$5,"BAJO","OK"))))</f>
        <v/>
      </c>
    </row>
    <row r="48" ht="15.75" hidden="1" customHeight="1">
      <c r="A48" s="90" t="str">
        <f>IF(CLIENTES!A5="","",CLIENTES!A5)</f>
        <v>Bravos</v>
      </c>
      <c r="B48" s="90" t="s">
        <v>321</v>
      </c>
      <c r="C48" s="91" t="s">
        <v>322</v>
      </c>
      <c r="D48" s="109" t="s">
        <v>353</v>
      </c>
      <c r="E48" s="67" t="str">
        <f>COLORES!A6</f>
        <v>Blanco</v>
      </c>
      <c r="F48" s="67" t="str">
        <f>COLORES!B6</f>
        <v>PPT</v>
      </c>
      <c r="G48" s="90" t="s">
        <v>376</v>
      </c>
      <c r="H48" s="100">
        <f>IFERROR(SUMIFS(MOVIMIENTOS_COMPLEMENTOS!$I$4:$I$803,MOVIMIENTOS_COMPLEMENTOS!$C$4:$C$803,A48,MOVIMIENTOS_COMPLEMENTOS!$D$4:$D$803,B48,MOVIMIENTOS_COMPLEMENTOS!$E$4:$E$803,C48,MOVIMIENTOS_COMPLEMENTOS!$G$4:$G$803,E48,MOVIMIENTOS_COMPLEMENTOS!$H$4:$H$803,G48,MOVIMIENTOS_COMPLEMENTOS!$B$4:$B$803,"INGRESO")+SUMIFS(MOVIMIENTOS_COMPLEMENTOS!$I$4:$I$803,MOVIMIENTOS_COMPLEMENTOS!$C$4:$C$803,A48,MOVIMIENTOS_COMPLEMENTOS!$D$4:$D$803,B48,MOVIMIENTOS_COMPLEMENTOS!$E$4:$E$803,C48,MOVIMIENTOS_COMPLEMENTOS!$G$4:$G$803,E48,MOVIMIENTOS_COMPLEMENTOS!$H$4:$H$803,G48,MOVIMIENTOS_COMPLEMENTOS!$B$4:$B$803,"DE CORTE")-SUMIFS(MOVIMIENTOS_COMPLEMENTOS!$I$4:$I$803,MOVIMIENTOS_COMPLEMENTOS!$C$4:$C$803,A48,MOVIMIENTOS_COMPLEMENTOS!$D$4:$D$803,B48,MOVIMIENTOS_COMPLEMENTOS!$E$4:$E$803,C48,MOVIMIENTOS_COMPLEMENTOS!$G$4:$G$803,E48,MOVIMIENTOS_COMPLEMENTOS!$H$4:$H$803,G48,MOVIMIENTOS_COMPLEMENTOS!$B$4:$B$803,"SALIDA"),0)</f>
        <v>0</v>
      </c>
      <c r="I48" s="102">
        <f t="array" ref="I48">IFERROR(INDEX(PRECIOS_COMPLEMENTOS!$C$4:$F$17,MATCH(B48&amp;"_"&amp;C48,PRECIOS_COMPLEMENTOS!$H$4:$H$17,0),IF(OR(G48="S",G48="20cm"),1,IF(OR(G48="M",G48="25cm"),2,IF(OR(G48="L",G48="30cm"),3,IF(OR(G48="XL",G48="35cm"),4,0))))),0)</f>
        <v>0.7</v>
      </c>
      <c r="J48" s="103">
        <f t="shared" si="1"/>
        <v>0</v>
      </c>
      <c r="K48" s="104" t="str">
        <f>IF(H48&lt;0,"ERROR",IF(H48=0,"",IF(H48&lt;CONFIG!$B$4,"CRÍTICO",IF(H48&lt;CONFIG!$B$5,"BAJO","OK"))))</f>
        <v/>
      </c>
    </row>
    <row r="49" ht="15.75" hidden="1" customHeight="1">
      <c r="A49" s="90" t="str">
        <f>IF(CLIENTES!A5="","",CLIENTES!A5)</f>
        <v>Bravos</v>
      </c>
      <c r="B49" s="90" t="s">
        <v>321</v>
      </c>
      <c r="C49" s="91" t="s">
        <v>322</v>
      </c>
      <c r="D49" s="109" t="s">
        <v>353</v>
      </c>
      <c r="E49" s="67" t="str">
        <f>COLORES!A6</f>
        <v>Blanco</v>
      </c>
      <c r="F49" s="67" t="str">
        <f>COLORES!B6</f>
        <v>PPT</v>
      </c>
      <c r="G49" s="90" t="s">
        <v>377</v>
      </c>
      <c r="H49" s="100">
        <f>IFERROR(SUMIFS(MOVIMIENTOS_COMPLEMENTOS!$I$4:$I$803,MOVIMIENTOS_COMPLEMENTOS!$C$4:$C$803,A49,MOVIMIENTOS_COMPLEMENTOS!$D$4:$D$803,B49,MOVIMIENTOS_COMPLEMENTOS!$E$4:$E$803,C49,MOVIMIENTOS_COMPLEMENTOS!$G$4:$G$803,E49,MOVIMIENTOS_COMPLEMENTOS!$H$4:$H$803,G49,MOVIMIENTOS_COMPLEMENTOS!$B$4:$B$803,"INGRESO")+SUMIFS(MOVIMIENTOS_COMPLEMENTOS!$I$4:$I$803,MOVIMIENTOS_COMPLEMENTOS!$C$4:$C$803,A49,MOVIMIENTOS_COMPLEMENTOS!$D$4:$D$803,B49,MOVIMIENTOS_COMPLEMENTOS!$E$4:$E$803,C49,MOVIMIENTOS_COMPLEMENTOS!$G$4:$G$803,E49,MOVIMIENTOS_COMPLEMENTOS!$H$4:$H$803,G49,MOVIMIENTOS_COMPLEMENTOS!$B$4:$B$803,"DE CORTE")-SUMIFS(MOVIMIENTOS_COMPLEMENTOS!$I$4:$I$803,MOVIMIENTOS_COMPLEMENTOS!$C$4:$C$803,A49,MOVIMIENTOS_COMPLEMENTOS!$D$4:$D$803,B49,MOVIMIENTOS_COMPLEMENTOS!$E$4:$E$803,C49,MOVIMIENTOS_COMPLEMENTOS!$G$4:$G$803,E49,MOVIMIENTOS_COMPLEMENTOS!$H$4:$H$803,G49,MOVIMIENTOS_COMPLEMENTOS!$B$4:$B$803,"SALIDA"),0)</f>
        <v>0</v>
      </c>
      <c r="I49" s="102">
        <f t="array" ref="I49">IFERROR(INDEX(PRECIOS_COMPLEMENTOS!$C$4:$F$17,MATCH(B49&amp;"_"&amp;C49,PRECIOS_COMPLEMENTOS!$H$4:$H$17,0),IF(OR(G49="S",G49="20cm"),1,IF(OR(G49="M",G49="25cm"),2,IF(OR(G49="L",G49="30cm"),3,IF(OR(G49="XL",G49="35cm"),4,0))))),0)</f>
        <v>0.75</v>
      </c>
      <c r="J49" s="103">
        <f t="shared" si="1"/>
        <v>0</v>
      </c>
      <c r="K49" s="104" t="str">
        <f>IF(H49&lt;0,"ERROR",IF(H49=0,"",IF(H49&lt;CONFIG!$B$4,"CRÍTICO",IF(H49&lt;CONFIG!$B$5,"BAJO","OK"))))</f>
        <v/>
      </c>
    </row>
    <row r="50" ht="15.75" hidden="1" customHeight="1">
      <c r="A50" s="90" t="str">
        <f>IF(CLIENTES!A5="","",CLIENTES!A5)</f>
        <v>Bravos</v>
      </c>
      <c r="B50" s="90" t="s">
        <v>321</v>
      </c>
      <c r="C50" s="91" t="s">
        <v>322</v>
      </c>
      <c r="D50" s="109" t="s">
        <v>353</v>
      </c>
      <c r="E50" s="67" t="str">
        <f>COLORES!A7</f>
        <v>Azul</v>
      </c>
      <c r="F50" s="67" t="str">
        <f>COLORES!B7</f>
        <v>OSCURO</v>
      </c>
      <c r="G50" s="90" t="s">
        <v>376</v>
      </c>
      <c r="H50" s="100">
        <f>IFERROR(SUMIFS(MOVIMIENTOS_COMPLEMENTOS!$I$4:$I$803,MOVIMIENTOS_COMPLEMENTOS!$C$4:$C$803,A50,MOVIMIENTOS_COMPLEMENTOS!$D$4:$D$803,B50,MOVIMIENTOS_COMPLEMENTOS!$E$4:$E$803,C50,MOVIMIENTOS_COMPLEMENTOS!$G$4:$G$803,E50,MOVIMIENTOS_COMPLEMENTOS!$H$4:$H$803,G50,MOVIMIENTOS_COMPLEMENTOS!$B$4:$B$803,"INGRESO")+SUMIFS(MOVIMIENTOS_COMPLEMENTOS!$I$4:$I$803,MOVIMIENTOS_COMPLEMENTOS!$C$4:$C$803,A50,MOVIMIENTOS_COMPLEMENTOS!$D$4:$D$803,B50,MOVIMIENTOS_COMPLEMENTOS!$E$4:$E$803,C50,MOVIMIENTOS_COMPLEMENTOS!$G$4:$G$803,E50,MOVIMIENTOS_COMPLEMENTOS!$H$4:$H$803,G50,MOVIMIENTOS_COMPLEMENTOS!$B$4:$B$803,"DE CORTE")-SUMIFS(MOVIMIENTOS_COMPLEMENTOS!$I$4:$I$803,MOVIMIENTOS_COMPLEMENTOS!$C$4:$C$803,A50,MOVIMIENTOS_COMPLEMENTOS!$D$4:$D$803,B50,MOVIMIENTOS_COMPLEMENTOS!$E$4:$E$803,C50,MOVIMIENTOS_COMPLEMENTOS!$G$4:$G$803,E50,MOVIMIENTOS_COMPLEMENTOS!$H$4:$H$803,G50,MOVIMIENTOS_COMPLEMENTOS!$B$4:$B$803,"SALIDA"),0)</f>
        <v>0</v>
      </c>
      <c r="I50" s="102">
        <f t="array" ref="I50">IFERROR(INDEX(PRECIOS_COMPLEMENTOS!$C$4:$F$17,MATCH(B50&amp;"_"&amp;C50,PRECIOS_COMPLEMENTOS!$H$4:$H$17,0),IF(OR(G50="S",G50="20cm"),1,IF(OR(G50="M",G50="25cm"),2,IF(OR(G50="L",G50="30cm"),3,IF(OR(G50="XL",G50="35cm"),4,0))))),0)</f>
        <v>0.7</v>
      </c>
      <c r="J50" s="103">
        <f t="shared" si="1"/>
        <v>0</v>
      </c>
      <c r="K50" s="104" t="str">
        <f>IF(H50&lt;0,"ERROR",IF(H50=0,"",IF(H50&lt;CONFIG!$B$4,"CRÍTICO",IF(H50&lt;CONFIG!$B$5,"BAJO","OK"))))</f>
        <v/>
      </c>
    </row>
    <row r="51" ht="15.75" hidden="1" customHeight="1">
      <c r="A51" s="90" t="str">
        <f>IF(CLIENTES!A5="","",CLIENTES!A5)</f>
        <v>Bravos</v>
      </c>
      <c r="B51" s="90" t="s">
        <v>321</v>
      </c>
      <c r="C51" s="91" t="s">
        <v>322</v>
      </c>
      <c r="D51" s="109" t="s">
        <v>353</v>
      </c>
      <c r="E51" s="67" t="str">
        <f>COLORES!A7</f>
        <v>Azul</v>
      </c>
      <c r="F51" s="67" t="str">
        <f>COLORES!B7</f>
        <v>OSCURO</v>
      </c>
      <c r="G51" s="90" t="s">
        <v>377</v>
      </c>
      <c r="H51" s="100">
        <f>IFERROR(SUMIFS(MOVIMIENTOS_COMPLEMENTOS!$I$4:$I$803,MOVIMIENTOS_COMPLEMENTOS!$C$4:$C$803,A51,MOVIMIENTOS_COMPLEMENTOS!$D$4:$D$803,B51,MOVIMIENTOS_COMPLEMENTOS!$E$4:$E$803,C51,MOVIMIENTOS_COMPLEMENTOS!$G$4:$G$803,E51,MOVIMIENTOS_COMPLEMENTOS!$H$4:$H$803,G51,MOVIMIENTOS_COMPLEMENTOS!$B$4:$B$803,"INGRESO")+SUMIFS(MOVIMIENTOS_COMPLEMENTOS!$I$4:$I$803,MOVIMIENTOS_COMPLEMENTOS!$C$4:$C$803,A51,MOVIMIENTOS_COMPLEMENTOS!$D$4:$D$803,B51,MOVIMIENTOS_COMPLEMENTOS!$E$4:$E$803,C51,MOVIMIENTOS_COMPLEMENTOS!$G$4:$G$803,E51,MOVIMIENTOS_COMPLEMENTOS!$H$4:$H$803,G51,MOVIMIENTOS_COMPLEMENTOS!$B$4:$B$803,"DE CORTE")-SUMIFS(MOVIMIENTOS_COMPLEMENTOS!$I$4:$I$803,MOVIMIENTOS_COMPLEMENTOS!$C$4:$C$803,A51,MOVIMIENTOS_COMPLEMENTOS!$D$4:$D$803,B51,MOVIMIENTOS_COMPLEMENTOS!$E$4:$E$803,C51,MOVIMIENTOS_COMPLEMENTOS!$G$4:$G$803,E51,MOVIMIENTOS_COMPLEMENTOS!$H$4:$H$803,G51,MOVIMIENTOS_COMPLEMENTOS!$B$4:$B$803,"SALIDA"),0)</f>
        <v>0</v>
      </c>
      <c r="I51" s="102">
        <f t="array" ref="I51">IFERROR(INDEX(PRECIOS_COMPLEMENTOS!$C$4:$F$17,MATCH(B51&amp;"_"&amp;C51,PRECIOS_COMPLEMENTOS!$H$4:$H$17,0),IF(OR(G51="S",G51="20cm"),1,IF(OR(G51="M",G51="25cm"),2,IF(OR(G51="L",G51="30cm"),3,IF(OR(G51="XL",G51="35cm"),4,0))))),0)</f>
        <v>0.75</v>
      </c>
      <c r="J51" s="103">
        <f t="shared" si="1"/>
        <v>0</v>
      </c>
      <c r="K51" s="104" t="str">
        <f>IF(H51&lt;0,"ERROR",IF(H51=0,"",IF(H51&lt;CONFIG!$B$4,"CRÍTICO",IF(H51&lt;CONFIG!$B$5,"BAJO","OK"))))</f>
        <v/>
      </c>
    </row>
    <row r="52" ht="15.75" hidden="1" customHeight="1">
      <c r="A52" s="90" t="str">
        <f>IF(CLIENTES!A5="","",CLIENTES!A5)</f>
        <v>Bravos</v>
      </c>
      <c r="B52" s="90" t="s">
        <v>321</v>
      </c>
      <c r="C52" s="91" t="s">
        <v>322</v>
      </c>
      <c r="D52" s="109" t="s">
        <v>353</v>
      </c>
      <c r="E52" s="67" t="str">
        <f>COLORES!A8</f>
        <v>Beige</v>
      </c>
      <c r="F52" s="67" t="str">
        <f>COLORES!B8</f>
        <v>CLARO</v>
      </c>
      <c r="G52" s="90" t="s">
        <v>376</v>
      </c>
      <c r="H52" s="100">
        <f>IFERROR(SUMIFS(MOVIMIENTOS_COMPLEMENTOS!$I$4:$I$803,MOVIMIENTOS_COMPLEMENTOS!$C$4:$C$803,A52,MOVIMIENTOS_COMPLEMENTOS!$D$4:$D$803,B52,MOVIMIENTOS_COMPLEMENTOS!$E$4:$E$803,C52,MOVIMIENTOS_COMPLEMENTOS!$G$4:$G$803,E52,MOVIMIENTOS_COMPLEMENTOS!$H$4:$H$803,G52,MOVIMIENTOS_COMPLEMENTOS!$B$4:$B$803,"INGRESO")+SUMIFS(MOVIMIENTOS_COMPLEMENTOS!$I$4:$I$803,MOVIMIENTOS_COMPLEMENTOS!$C$4:$C$803,A52,MOVIMIENTOS_COMPLEMENTOS!$D$4:$D$803,B52,MOVIMIENTOS_COMPLEMENTOS!$E$4:$E$803,C52,MOVIMIENTOS_COMPLEMENTOS!$G$4:$G$803,E52,MOVIMIENTOS_COMPLEMENTOS!$H$4:$H$803,G52,MOVIMIENTOS_COMPLEMENTOS!$B$4:$B$803,"DE CORTE")-SUMIFS(MOVIMIENTOS_COMPLEMENTOS!$I$4:$I$803,MOVIMIENTOS_COMPLEMENTOS!$C$4:$C$803,A52,MOVIMIENTOS_COMPLEMENTOS!$D$4:$D$803,B52,MOVIMIENTOS_COMPLEMENTOS!$E$4:$E$803,C52,MOVIMIENTOS_COMPLEMENTOS!$G$4:$G$803,E52,MOVIMIENTOS_COMPLEMENTOS!$H$4:$H$803,G52,MOVIMIENTOS_COMPLEMENTOS!$B$4:$B$803,"SALIDA"),0)</f>
        <v>0</v>
      </c>
      <c r="I52" s="102">
        <f t="array" ref="I52">IFERROR(INDEX(PRECIOS_COMPLEMENTOS!$C$4:$F$17,MATCH(B52&amp;"_"&amp;C52,PRECIOS_COMPLEMENTOS!$H$4:$H$17,0),IF(OR(G52="S",G52="20cm"),1,IF(OR(G52="M",G52="25cm"),2,IF(OR(G52="L",G52="30cm"),3,IF(OR(G52="XL",G52="35cm"),4,0))))),0)</f>
        <v>0.7</v>
      </c>
      <c r="J52" s="103">
        <f t="shared" si="1"/>
        <v>0</v>
      </c>
      <c r="K52" s="104" t="str">
        <f>IF(H52&lt;0,"ERROR",IF(H52=0,"",IF(H52&lt;CONFIG!$B$4,"CRÍTICO",IF(H52&lt;CONFIG!$B$5,"BAJO","OK"))))</f>
        <v/>
      </c>
    </row>
    <row r="53" ht="15.75" hidden="1" customHeight="1">
      <c r="A53" s="90" t="str">
        <f>IF(CLIENTES!A5="","",CLIENTES!A5)</f>
        <v>Bravos</v>
      </c>
      <c r="B53" s="90" t="s">
        <v>321</v>
      </c>
      <c r="C53" s="91" t="s">
        <v>322</v>
      </c>
      <c r="D53" s="109" t="s">
        <v>353</v>
      </c>
      <c r="E53" s="67" t="str">
        <f>COLORES!A8</f>
        <v>Beige</v>
      </c>
      <c r="F53" s="67" t="str">
        <f>COLORES!B8</f>
        <v>CLARO</v>
      </c>
      <c r="G53" s="90" t="s">
        <v>377</v>
      </c>
      <c r="H53" s="100">
        <f>IFERROR(SUMIFS(MOVIMIENTOS_COMPLEMENTOS!$I$4:$I$803,MOVIMIENTOS_COMPLEMENTOS!$C$4:$C$803,A53,MOVIMIENTOS_COMPLEMENTOS!$D$4:$D$803,B53,MOVIMIENTOS_COMPLEMENTOS!$E$4:$E$803,C53,MOVIMIENTOS_COMPLEMENTOS!$G$4:$G$803,E53,MOVIMIENTOS_COMPLEMENTOS!$H$4:$H$803,G53,MOVIMIENTOS_COMPLEMENTOS!$B$4:$B$803,"INGRESO")+SUMIFS(MOVIMIENTOS_COMPLEMENTOS!$I$4:$I$803,MOVIMIENTOS_COMPLEMENTOS!$C$4:$C$803,A53,MOVIMIENTOS_COMPLEMENTOS!$D$4:$D$803,B53,MOVIMIENTOS_COMPLEMENTOS!$E$4:$E$803,C53,MOVIMIENTOS_COMPLEMENTOS!$G$4:$G$803,E53,MOVIMIENTOS_COMPLEMENTOS!$H$4:$H$803,G53,MOVIMIENTOS_COMPLEMENTOS!$B$4:$B$803,"DE CORTE")-SUMIFS(MOVIMIENTOS_COMPLEMENTOS!$I$4:$I$803,MOVIMIENTOS_COMPLEMENTOS!$C$4:$C$803,A53,MOVIMIENTOS_COMPLEMENTOS!$D$4:$D$803,B53,MOVIMIENTOS_COMPLEMENTOS!$E$4:$E$803,C53,MOVIMIENTOS_COMPLEMENTOS!$G$4:$G$803,E53,MOVIMIENTOS_COMPLEMENTOS!$H$4:$H$803,G53,MOVIMIENTOS_COMPLEMENTOS!$B$4:$B$803,"SALIDA"),0)</f>
        <v>0</v>
      </c>
      <c r="I53" s="102">
        <f t="array" ref="I53">IFERROR(INDEX(PRECIOS_COMPLEMENTOS!$C$4:$F$17,MATCH(B53&amp;"_"&amp;C53,PRECIOS_COMPLEMENTOS!$H$4:$H$17,0),IF(OR(G53="S",G53="20cm"),1,IF(OR(G53="M",G53="25cm"),2,IF(OR(G53="L",G53="30cm"),3,IF(OR(G53="XL",G53="35cm"),4,0))))),0)</f>
        <v>0.75</v>
      </c>
      <c r="J53" s="103">
        <f t="shared" si="1"/>
        <v>0</v>
      </c>
      <c r="K53" s="104" t="str">
        <f>IF(H53&lt;0,"ERROR",IF(H53=0,"",IF(H53&lt;CONFIG!$B$4,"CRÍTICO",IF(H53&lt;CONFIG!$B$5,"BAJO","OK"))))</f>
        <v/>
      </c>
    </row>
    <row r="54" ht="15.75" hidden="1" customHeight="1">
      <c r="A54" s="90" t="str">
        <f>IF(CLIENTES!A5="","",CLIENTES!A5)</f>
        <v>Bravos</v>
      </c>
      <c r="B54" s="90" t="s">
        <v>321</v>
      </c>
      <c r="C54" s="91" t="s">
        <v>322</v>
      </c>
      <c r="D54" s="109" t="s">
        <v>353</v>
      </c>
      <c r="E54" s="67" t="str">
        <f>COLORES!A9</f>
        <v>Melange</v>
      </c>
      <c r="F54" s="67" t="str">
        <f>COLORES!B9</f>
        <v>MELANGE</v>
      </c>
      <c r="G54" s="90" t="s">
        <v>376</v>
      </c>
      <c r="H54" s="100">
        <f>IFERROR(SUMIFS(MOVIMIENTOS_COMPLEMENTOS!$I$4:$I$803,MOVIMIENTOS_COMPLEMENTOS!$C$4:$C$803,A54,MOVIMIENTOS_COMPLEMENTOS!$D$4:$D$803,B54,MOVIMIENTOS_COMPLEMENTOS!$E$4:$E$803,C54,MOVIMIENTOS_COMPLEMENTOS!$G$4:$G$803,E54,MOVIMIENTOS_COMPLEMENTOS!$H$4:$H$803,G54,MOVIMIENTOS_COMPLEMENTOS!$B$4:$B$803,"INGRESO")+SUMIFS(MOVIMIENTOS_COMPLEMENTOS!$I$4:$I$803,MOVIMIENTOS_COMPLEMENTOS!$C$4:$C$803,A54,MOVIMIENTOS_COMPLEMENTOS!$D$4:$D$803,B54,MOVIMIENTOS_COMPLEMENTOS!$E$4:$E$803,C54,MOVIMIENTOS_COMPLEMENTOS!$G$4:$G$803,E54,MOVIMIENTOS_COMPLEMENTOS!$H$4:$H$803,G54,MOVIMIENTOS_COMPLEMENTOS!$B$4:$B$803,"DE CORTE")-SUMIFS(MOVIMIENTOS_COMPLEMENTOS!$I$4:$I$803,MOVIMIENTOS_COMPLEMENTOS!$C$4:$C$803,A54,MOVIMIENTOS_COMPLEMENTOS!$D$4:$D$803,B54,MOVIMIENTOS_COMPLEMENTOS!$E$4:$E$803,C54,MOVIMIENTOS_COMPLEMENTOS!$G$4:$G$803,E54,MOVIMIENTOS_COMPLEMENTOS!$H$4:$H$803,G54,MOVIMIENTOS_COMPLEMENTOS!$B$4:$B$803,"SALIDA"),0)</f>
        <v>0</v>
      </c>
      <c r="I54" s="102">
        <f t="array" ref="I54">IFERROR(INDEX(PRECIOS_COMPLEMENTOS!$C$4:$F$17,MATCH(B54&amp;"_"&amp;C54,PRECIOS_COMPLEMENTOS!$H$4:$H$17,0),IF(OR(G54="S",G54="20cm"),1,IF(OR(G54="M",G54="25cm"),2,IF(OR(G54="L",G54="30cm"),3,IF(OR(G54="XL",G54="35cm"),4,0))))),0)</f>
        <v>0.7</v>
      </c>
      <c r="J54" s="103">
        <f t="shared" si="1"/>
        <v>0</v>
      </c>
      <c r="K54" s="104" t="str">
        <f>IF(H54&lt;0,"ERROR",IF(H54=0,"",IF(H54&lt;CONFIG!$B$4,"CRÍTICO",IF(H54&lt;CONFIG!$B$5,"BAJO","OK"))))</f>
        <v/>
      </c>
    </row>
    <row r="55" ht="15.75" hidden="1" customHeight="1">
      <c r="A55" s="90" t="str">
        <f>IF(CLIENTES!A5="","",CLIENTES!A5)</f>
        <v>Bravos</v>
      </c>
      <c r="B55" s="90" t="s">
        <v>321</v>
      </c>
      <c r="C55" s="91" t="s">
        <v>322</v>
      </c>
      <c r="D55" s="109" t="s">
        <v>353</v>
      </c>
      <c r="E55" s="67" t="str">
        <f>COLORES!A9</f>
        <v>Melange</v>
      </c>
      <c r="F55" s="67" t="str">
        <f>COLORES!B9</f>
        <v>MELANGE</v>
      </c>
      <c r="G55" s="90" t="s">
        <v>377</v>
      </c>
      <c r="H55" s="100">
        <f>IFERROR(SUMIFS(MOVIMIENTOS_COMPLEMENTOS!$I$4:$I$803,MOVIMIENTOS_COMPLEMENTOS!$C$4:$C$803,A55,MOVIMIENTOS_COMPLEMENTOS!$D$4:$D$803,B55,MOVIMIENTOS_COMPLEMENTOS!$E$4:$E$803,C55,MOVIMIENTOS_COMPLEMENTOS!$G$4:$G$803,E55,MOVIMIENTOS_COMPLEMENTOS!$H$4:$H$803,G55,MOVIMIENTOS_COMPLEMENTOS!$B$4:$B$803,"INGRESO")+SUMIFS(MOVIMIENTOS_COMPLEMENTOS!$I$4:$I$803,MOVIMIENTOS_COMPLEMENTOS!$C$4:$C$803,A55,MOVIMIENTOS_COMPLEMENTOS!$D$4:$D$803,B55,MOVIMIENTOS_COMPLEMENTOS!$E$4:$E$803,C55,MOVIMIENTOS_COMPLEMENTOS!$G$4:$G$803,E55,MOVIMIENTOS_COMPLEMENTOS!$H$4:$H$803,G55,MOVIMIENTOS_COMPLEMENTOS!$B$4:$B$803,"DE CORTE")-SUMIFS(MOVIMIENTOS_COMPLEMENTOS!$I$4:$I$803,MOVIMIENTOS_COMPLEMENTOS!$C$4:$C$803,A55,MOVIMIENTOS_COMPLEMENTOS!$D$4:$D$803,B55,MOVIMIENTOS_COMPLEMENTOS!$E$4:$E$803,C55,MOVIMIENTOS_COMPLEMENTOS!$G$4:$G$803,E55,MOVIMIENTOS_COMPLEMENTOS!$H$4:$H$803,G55,MOVIMIENTOS_COMPLEMENTOS!$B$4:$B$803,"SALIDA"),0)</f>
        <v>0</v>
      </c>
      <c r="I55" s="102">
        <f t="array" ref="I55">IFERROR(INDEX(PRECIOS_COMPLEMENTOS!$C$4:$F$17,MATCH(B55&amp;"_"&amp;C55,PRECIOS_COMPLEMENTOS!$H$4:$H$17,0),IF(OR(G55="S",G55="20cm"),1,IF(OR(G55="M",G55="25cm"),2,IF(OR(G55="L",G55="30cm"),3,IF(OR(G55="XL",G55="35cm"),4,0))))),0)</f>
        <v>0.75</v>
      </c>
      <c r="J55" s="103">
        <f t="shared" si="1"/>
        <v>0</v>
      </c>
      <c r="K55" s="104" t="str">
        <f>IF(H55&lt;0,"ERROR",IF(H55=0,"",IF(H55&lt;CONFIG!$B$4,"CRÍTICO",IF(H55&lt;CONFIG!$B$5,"BAJO","OK"))))</f>
        <v/>
      </c>
    </row>
    <row r="56" ht="15.75" hidden="1" customHeight="1">
      <c r="A56" s="90" t="str">
        <f>IF(CLIENTES!A5="","",CLIENTES!A5)</f>
        <v>Bravos</v>
      </c>
      <c r="B56" s="90" t="s">
        <v>321</v>
      </c>
      <c r="C56" s="91" t="s">
        <v>322</v>
      </c>
      <c r="D56" s="109" t="s">
        <v>353</v>
      </c>
      <c r="E56" s="67" t="str">
        <f>COLORES!A10</f>
        <v>Botella</v>
      </c>
      <c r="F56" s="67" t="str">
        <f>COLORES!B10</f>
        <v>OSCURO</v>
      </c>
      <c r="G56" s="90" t="s">
        <v>376</v>
      </c>
      <c r="H56" s="100">
        <f>IFERROR(SUMIFS(MOVIMIENTOS_COMPLEMENTOS!$I$4:$I$803,MOVIMIENTOS_COMPLEMENTOS!$C$4:$C$803,A56,MOVIMIENTOS_COMPLEMENTOS!$D$4:$D$803,B56,MOVIMIENTOS_COMPLEMENTOS!$E$4:$E$803,C56,MOVIMIENTOS_COMPLEMENTOS!$G$4:$G$803,E56,MOVIMIENTOS_COMPLEMENTOS!$H$4:$H$803,G56,MOVIMIENTOS_COMPLEMENTOS!$B$4:$B$803,"INGRESO")+SUMIFS(MOVIMIENTOS_COMPLEMENTOS!$I$4:$I$803,MOVIMIENTOS_COMPLEMENTOS!$C$4:$C$803,A56,MOVIMIENTOS_COMPLEMENTOS!$D$4:$D$803,B56,MOVIMIENTOS_COMPLEMENTOS!$E$4:$E$803,C56,MOVIMIENTOS_COMPLEMENTOS!$G$4:$G$803,E56,MOVIMIENTOS_COMPLEMENTOS!$H$4:$H$803,G56,MOVIMIENTOS_COMPLEMENTOS!$B$4:$B$803,"DE CORTE")-SUMIFS(MOVIMIENTOS_COMPLEMENTOS!$I$4:$I$803,MOVIMIENTOS_COMPLEMENTOS!$C$4:$C$803,A56,MOVIMIENTOS_COMPLEMENTOS!$D$4:$D$803,B56,MOVIMIENTOS_COMPLEMENTOS!$E$4:$E$803,C56,MOVIMIENTOS_COMPLEMENTOS!$G$4:$G$803,E56,MOVIMIENTOS_COMPLEMENTOS!$H$4:$H$803,G56,MOVIMIENTOS_COMPLEMENTOS!$B$4:$B$803,"SALIDA"),0)</f>
        <v>0</v>
      </c>
      <c r="I56" s="102">
        <f t="array" ref="I56">IFERROR(INDEX(PRECIOS_COMPLEMENTOS!$C$4:$F$17,MATCH(B56&amp;"_"&amp;C56,PRECIOS_COMPLEMENTOS!$H$4:$H$17,0),IF(OR(G56="S",G56="20cm"),1,IF(OR(G56="M",G56="25cm"),2,IF(OR(G56="L",G56="30cm"),3,IF(OR(G56="XL",G56="35cm"),4,0))))),0)</f>
        <v>0.7</v>
      </c>
      <c r="J56" s="103">
        <f t="shared" si="1"/>
        <v>0</v>
      </c>
      <c r="K56" s="104" t="str">
        <f>IF(H56&lt;0,"ERROR",IF(H56=0,"",IF(H56&lt;CONFIG!$B$4,"CRÍTICO",IF(H56&lt;CONFIG!$B$5,"BAJO","OK"))))</f>
        <v/>
      </c>
    </row>
    <row r="57" ht="15.75" hidden="1" customHeight="1">
      <c r="A57" s="90" t="str">
        <f>IF(CLIENTES!A5="","",CLIENTES!A5)</f>
        <v>Bravos</v>
      </c>
      <c r="B57" s="90" t="s">
        <v>321</v>
      </c>
      <c r="C57" s="91" t="s">
        <v>322</v>
      </c>
      <c r="D57" s="109" t="s">
        <v>353</v>
      </c>
      <c r="E57" s="67" t="str">
        <f>COLORES!A10</f>
        <v>Botella</v>
      </c>
      <c r="F57" s="67" t="str">
        <f>COLORES!B10</f>
        <v>OSCURO</v>
      </c>
      <c r="G57" s="90" t="s">
        <v>377</v>
      </c>
      <c r="H57" s="100">
        <f>IFERROR(SUMIFS(MOVIMIENTOS_COMPLEMENTOS!$I$4:$I$803,MOVIMIENTOS_COMPLEMENTOS!$C$4:$C$803,A57,MOVIMIENTOS_COMPLEMENTOS!$D$4:$D$803,B57,MOVIMIENTOS_COMPLEMENTOS!$E$4:$E$803,C57,MOVIMIENTOS_COMPLEMENTOS!$G$4:$G$803,E57,MOVIMIENTOS_COMPLEMENTOS!$H$4:$H$803,G57,MOVIMIENTOS_COMPLEMENTOS!$B$4:$B$803,"INGRESO")+SUMIFS(MOVIMIENTOS_COMPLEMENTOS!$I$4:$I$803,MOVIMIENTOS_COMPLEMENTOS!$C$4:$C$803,A57,MOVIMIENTOS_COMPLEMENTOS!$D$4:$D$803,B57,MOVIMIENTOS_COMPLEMENTOS!$E$4:$E$803,C57,MOVIMIENTOS_COMPLEMENTOS!$G$4:$G$803,E57,MOVIMIENTOS_COMPLEMENTOS!$H$4:$H$803,G57,MOVIMIENTOS_COMPLEMENTOS!$B$4:$B$803,"DE CORTE")-SUMIFS(MOVIMIENTOS_COMPLEMENTOS!$I$4:$I$803,MOVIMIENTOS_COMPLEMENTOS!$C$4:$C$803,A57,MOVIMIENTOS_COMPLEMENTOS!$D$4:$D$803,B57,MOVIMIENTOS_COMPLEMENTOS!$E$4:$E$803,C57,MOVIMIENTOS_COMPLEMENTOS!$G$4:$G$803,E57,MOVIMIENTOS_COMPLEMENTOS!$H$4:$H$803,G57,MOVIMIENTOS_COMPLEMENTOS!$B$4:$B$803,"SALIDA"),0)</f>
        <v>0</v>
      </c>
      <c r="I57" s="102">
        <f t="array" ref="I57">IFERROR(INDEX(PRECIOS_COMPLEMENTOS!$C$4:$F$17,MATCH(B57&amp;"_"&amp;C57,PRECIOS_COMPLEMENTOS!$H$4:$H$17,0),IF(OR(G57="S",G57="20cm"),1,IF(OR(G57="M",G57="25cm"),2,IF(OR(G57="L",G57="30cm"),3,IF(OR(G57="XL",G57="35cm"),4,0))))),0)</f>
        <v>0.75</v>
      </c>
      <c r="J57" s="103">
        <f t="shared" si="1"/>
        <v>0</v>
      </c>
      <c r="K57" s="104" t="str">
        <f>IF(H57&lt;0,"ERROR",IF(H57=0,"",IF(H57&lt;CONFIG!$B$4,"CRÍTICO",IF(H57&lt;CONFIG!$B$5,"BAJO","OK"))))</f>
        <v/>
      </c>
    </row>
    <row r="58" ht="15.75" hidden="1" customHeight="1">
      <c r="A58" s="90" t="str">
        <f>IF(CLIENTES!A5="","",CLIENTES!A5)</f>
        <v>Bravos</v>
      </c>
      <c r="B58" s="90" t="s">
        <v>321</v>
      </c>
      <c r="C58" s="91" t="s">
        <v>322</v>
      </c>
      <c r="D58" s="109" t="s">
        <v>353</v>
      </c>
      <c r="E58" s="67" t="str">
        <f>COLORES!A11</f>
        <v>Pacay</v>
      </c>
      <c r="F58" s="67" t="str">
        <f>COLORES!B11</f>
        <v>CLARO</v>
      </c>
      <c r="G58" s="90" t="s">
        <v>376</v>
      </c>
      <c r="H58" s="100">
        <f>IFERROR(SUMIFS(MOVIMIENTOS_COMPLEMENTOS!$I$4:$I$803,MOVIMIENTOS_COMPLEMENTOS!$C$4:$C$803,A58,MOVIMIENTOS_COMPLEMENTOS!$D$4:$D$803,B58,MOVIMIENTOS_COMPLEMENTOS!$E$4:$E$803,C58,MOVIMIENTOS_COMPLEMENTOS!$G$4:$G$803,E58,MOVIMIENTOS_COMPLEMENTOS!$H$4:$H$803,G58,MOVIMIENTOS_COMPLEMENTOS!$B$4:$B$803,"INGRESO")+SUMIFS(MOVIMIENTOS_COMPLEMENTOS!$I$4:$I$803,MOVIMIENTOS_COMPLEMENTOS!$C$4:$C$803,A58,MOVIMIENTOS_COMPLEMENTOS!$D$4:$D$803,B58,MOVIMIENTOS_COMPLEMENTOS!$E$4:$E$803,C58,MOVIMIENTOS_COMPLEMENTOS!$G$4:$G$803,E58,MOVIMIENTOS_COMPLEMENTOS!$H$4:$H$803,G58,MOVIMIENTOS_COMPLEMENTOS!$B$4:$B$803,"DE CORTE")-SUMIFS(MOVIMIENTOS_COMPLEMENTOS!$I$4:$I$803,MOVIMIENTOS_COMPLEMENTOS!$C$4:$C$803,A58,MOVIMIENTOS_COMPLEMENTOS!$D$4:$D$803,B58,MOVIMIENTOS_COMPLEMENTOS!$E$4:$E$803,C58,MOVIMIENTOS_COMPLEMENTOS!$G$4:$G$803,E58,MOVIMIENTOS_COMPLEMENTOS!$H$4:$H$803,G58,MOVIMIENTOS_COMPLEMENTOS!$B$4:$B$803,"SALIDA"),0)</f>
        <v>0</v>
      </c>
      <c r="I58" s="102">
        <f t="array" ref="I58">IFERROR(INDEX(PRECIOS_COMPLEMENTOS!$C$4:$F$17,MATCH(B58&amp;"_"&amp;C58,PRECIOS_COMPLEMENTOS!$H$4:$H$17,0),IF(OR(G58="S",G58="20cm"),1,IF(OR(G58="M",G58="25cm"),2,IF(OR(G58="L",G58="30cm"),3,IF(OR(G58="XL",G58="35cm"),4,0))))),0)</f>
        <v>0.7</v>
      </c>
      <c r="J58" s="103">
        <f t="shared" si="1"/>
        <v>0</v>
      </c>
      <c r="K58" s="104" t="str">
        <f>IF(H58&lt;0,"ERROR",IF(H58=0,"",IF(H58&lt;CONFIG!$B$4,"CRÍTICO",IF(H58&lt;CONFIG!$B$5,"BAJO","OK"))))</f>
        <v/>
      </c>
    </row>
    <row r="59" ht="15.75" hidden="1" customHeight="1">
      <c r="A59" s="90" t="str">
        <f>IF(CLIENTES!A5="","",CLIENTES!A5)</f>
        <v>Bravos</v>
      </c>
      <c r="B59" s="90" t="s">
        <v>321</v>
      </c>
      <c r="C59" s="91" t="s">
        <v>322</v>
      </c>
      <c r="D59" s="109" t="s">
        <v>353</v>
      </c>
      <c r="E59" s="67" t="str">
        <f>COLORES!A11</f>
        <v>Pacay</v>
      </c>
      <c r="F59" s="67" t="str">
        <f>COLORES!B11</f>
        <v>CLARO</v>
      </c>
      <c r="G59" s="90" t="s">
        <v>377</v>
      </c>
      <c r="H59" s="100">
        <f>IFERROR(SUMIFS(MOVIMIENTOS_COMPLEMENTOS!$I$4:$I$803,MOVIMIENTOS_COMPLEMENTOS!$C$4:$C$803,A59,MOVIMIENTOS_COMPLEMENTOS!$D$4:$D$803,B59,MOVIMIENTOS_COMPLEMENTOS!$E$4:$E$803,C59,MOVIMIENTOS_COMPLEMENTOS!$G$4:$G$803,E59,MOVIMIENTOS_COMPLEMENTOS!$H$4:$H$803,G59,MOVIMIENTOS_COMPLEMENTOS!$B$4:$B$803,"INGRESO")+SUMIFS(MOVIMIENTOS_COMPLEMENTOS!$I$4:$I$803,MOVIMIENTOS_COMPLEMENTOS!$C$4:$C$803,A59,MOVIMIENTOS_COMPLEMENTOS!$D$4:$D$803,B59,MOVIMIENTOS_COMPLEMENTOS!$E$4:$E$803,C59,MOVIMIENTOS_COMPLEMENTOS!$G$4:$G$803,E59,MOVIMIENTOS_COMPLEMENTOS!$H$4:$H$803,G59,MOVIMIENTOS_COMPLEMENTOS!$B$4:$B$803,"DE CORTE")-SUMIFS(MOVIMIENTOS_COMPLEMENTOS!$I$4:$I$803,MOVIMIENTOS_COMPLEMENTOS!$C$4:$C$803,A59,MOVIMIENTOS_COMPLEMENTOS!$D$4:$D$803,B59,MOVIMIENTOS_COMPLEMENTOS!$E$4:$E$803,C59,MOVIMIENTOS_COMPLEMENTOS!$G$4:$G$803,E59,MOVIMIENTOS_COMPLEMENTOS!$H$4:$H$803,G59,MOVIMIENTOS_COMPLEMENTOS!$B$4:$B$803,"SALIDA"),0)</f>
        <v>0</v>
      </c>
      <c r="I59" s="102">
        <f t="array" ref="I59">IFERROR(INDEX(PRECIOS_COMPLEMENTOS!$C$4:$F$17,MATCH(B59&amp;"_"&amp;C59,PRECIOS_COMPLEMENTOS!$H$4:$H$17,0),IF(OR(G59="S",G59="20cm"),1,IF(OR(G59="M",G59="25cm"),2,IF(OR(G59="L",G59="30cm"),3,IF(OR(G59="XL",G59="35cm"),4,0))))),0)</f>
        <v>0.75</v>
      </c>
      <c r="J59" s="103">
        <f t="shared" si="1"/>
        <v>0</v>
      </c>
      <c r="K59" s="104" t="str">
        <f>IF(H59&lt;0,"ERROR",IF(H59=0,"",IF(H59&lt;CONFIG!$B$4,"CRÍTICO",IF(H59&lt;CONFIG!$B$5,"BAJO","OK"))))</f>
        <v/>
      </c>
    </row>
    <row r="60" ht="15.75" hidden="1" customHeight="1">
      <c r="A60" s="90" t="str">
        <f>IF(CLIENTES!A5="","",CLIENTES!A5)</f>
        <v>Bravos</v>
      </c>
      <c r="B60" s="90" t="s">
        <v>321</v>
      </c>
      <c r="C60" s="91" t="s">
        <v>322</v>
      </c>
      <c r="D60" s="109" t="s">
        <v>353</v>
      </c>
      <c r="E60" s="67" t="str">
        <f>COLORES!A12</f>
        <v>Cemento</v>
      </c>
      <c r="F60" s="67" t="str">
        <f>COLORES!B12</f>
        <v>CLARO</v>
      </c>
      <c r="G60" s="90" t="s">
        <v>376</v>
      </c>
      <c r="H60" s="100">
        <f>IFERROR(SUMIFS(MOVIMIENTOS_COMPLEMENTOS!$I$4:$I$803,MOVIMIENTOS_COMPLEMENTOS!$C$4:$C$803,A60,MOVIMIENTOS_COMPLEMENTOS!$D$4:$D$803,B60,MOVIMIENTOS_COMPLEMENTOS!$E$4:$E$803,C60,MOVIMIENTOS_COMPLEMENTOS!$G$4:$G$803,E60,MOVIMIENTOS_COMPLEMENTOS!$H$4:$H$803,G60,MOVIMIENTOS_COMPLEMENTOS!$B$4:$B$803,"INGRESO")+SUMIFS(MOVIMIENTOS_COMPLEMENTOS!$I$4:$I$803,MOVIMIENTOS_COMPLEMENTOS!$C$4:$C$803,A60,MOVIMIENTOS_COMPLEMENTOS!$D$4:$D$803,B60,MOVIMIENTOS_COMPLEMENTOS!$E$4:$E$803,C60,MOVIMIENTOS_COMPLEMENTOS!$G$4:$G$803,E60,MOVIMIENTOS_COMPLEMENTOS!$H$4:$H$803,G60,MOVIMIENTOS_COMPLEMENTOS!$B$4:$B$803,"DE CORTE")-SUMIFS(MOVIMIENTOS_COMPLEMENTOS!$I$4:$I$803,MOVIMIENTOS_COMPLEMENTOS!$C$4:$C$803,A60,MOVIMIENTOS_COMPLEMENTOS!$D$4:$D$803,B60,MOVIMIENTOS_COMPLEMENTOS!$E$4:$E$803,C60,MOVIMIENTOS_COMPLEMENTOS!$G$4:$G$803,E60,MOVIMIENTOS_COMPLEMENTOS!$H$4:$H$803,G60,MOVIMIENTOS_COMPLEMENTOS!$B$4:$B$803,"SALIDA"),0)</f>
        <v>0</v>
      </c>
      <c r="I60" s="102">
        <f t="array" ref="I60">IFERROR(INDEX(PRECIOS_COMPLEMENTOS!$C$4:$F$17,MATCH(B60&amp;"_"&amp;C60,PRECIOS_COMPLEMENTOS!$H$4:$H$17,0),IF(OR(G60="S",G60="20cm"),1,IF(OR(G60="M",G60="25cm"),2,IF(OR(G60="L",G60="30cm"),3,IF(OR(G60="XL",G60="35cm"),4,0))))),0)</f>
        <v>0.7</v>
      </c>
      <c r="J60" s="103">
        <f t="shared" si="1"/>
        <v>0</v>
      </c>
      <c r="K60" s="104" t="str">
        <f>IF(H60&lt;0,"ERROR",IF(H60=0,"",IF(H60&lt;CONFIG!$B$4,"CRÍTICO",IF(H60&lt;CONFIG!$B$5,"BAJO","OK"))))</f>
        <v/>
      </c>
    </row>
    <row r="61" ht="15.75" hidden="1" customHeight="1">
      <c r="A61" s="90" t="str">
        <f>IF(CLIENTES!A5="","",CLIENTES!A5)</f>
        <v>Bravos</v>
      </c>
      <c r="B61" s="90" t="s">
        <v>321</v>
      </c>
      <c r="C61" s="91" t="s">
        <v>322</v>
      </c>
      <c r="D61" s="109" t="s">
        <v>353</v>
      </c>
      <c r="E61" s="67" t="str">
        <f>COLORES!A12</f>
        <v>Cemento</v>
      </c>
      <c r="F61" s="67" t="str">
        <f>COLORES!B12</f>
        <v>CLARO</v>
      </c>
      <c r="G61" s="90" t="s">
        <v>377</v>
      </c>
      <c r="H61" s="100">
        <f>IFERROR(SUMIFS(MOVIMIENTOS_COMPLEMENTOS!$I$4:$I$803,MOVIMIENTOS_COMPLEMENTOS!$C$4:$C$803,A61,MOVIMIENTOS_COMPLEMENTOS!$D$4:$D$803,B61,MOVIMIENTOS_COMPLEMENTOS!$E$4:$E$803,C61,MOVIMIENTOS_COMPLEMENTOS!$G$4:$G$803,E61,MOVIMIENTOS_COMPLEMENTOS!$H$4:$H$803,G61,MOVIMIENTOS_COMPLEMENTOS!$B$4:$B$803,"INGRESO")+SUMIFS(MOVIMIENTOS_COMPLEMENTOS!$I$4:$I$803,MOVIMIENTOS_COMPLEMENTOS!$C$4:$C$803,A61,MOVIMIENTOS_COMPLEMENTOS!$D$4:$D$803,B61,MOVIMIENTOS_COMPLEMENTOS!$E$4:$E$803,C61,MOVIMIENTOS_COMPLEMENTOS!$G$4:$G$803,E61,MOVIMIENTOS_COMPLEMENTOS!$H$4:$H$803,G61,MOVIMIENTOS_COMPLEMENTOS!$B$4:$B$803,"DE CORTE")-SUMIFS(MOVIMIENTOS_COMPLEMENTOS!$I$4:$I$803,MOVIMIENTOS_COMPLEMENTOS!$C$4:$C$803,A61,MOVIMIENTOS_COMPLEMENTOS!$D$4:$D$803,B61,MOVIMIENTOS_COMPLEMENTOS!$E$4:$E$803,C61,MOVIMIENTOS_COMPLEMENTOS!$G$4:$G$803,E61,MOVIMIENTOS_COMPLEMENTOS!$H$4:$H$803,G61,MOVIMIENTOS_COMPLEMENTOS!$B$4:$B$803,"SALIDA"),0)</f>
        <v>0</v>
      </c>
      <c r="I61" s="102">
        <f t="array" ref="I61">IFERROR(INDEX(PRECIOS_COMPLEMENTOS!$C$4:$F$17,MATCH(B61&amp;"_"&amp;C61,PRECIOS_COMPLEMENTOS!$H$4:$H$17,0),IF(OR(G61="S",G61="20cm"),1,IF(OR(G61="M",G61="25cm"),2,IF(OR(G61="L",G61="30cm"),3,IF(OR(G61="XL",G61="35cm"),4,0))))),0)</f>
        <v>0.75</v>
      </c>
      <c r="J61" s="103">
        <f t="shared" si="1"/>
        <v>0</v>
      </c>
      <c r="K61" s="104" t="str">
        <f>IF(H61&lt;0,"ERROR",IF(H61=0,"",IF(H61&lt;CONFIG!$B$4,"CRÍTICO",IF(H61&lt;CONFIG!$B$5,"BAJO","OK"))))</f>
        <v/>
      </c>
    </row>
    <row r="62" ht="15.75" hidden="1" customHeight="1">
      <c r="A62" s="90" t="str">
        <f>IF(CLIENTES!A5="","",CLIENTES!A5)</f>
        <v>Bravos</v>
      </c>
      <c r="B62" s="90" t="s">
        <v>321</v>
      </c>
      <c r="C62" s="91" t="s">
        <v>322</v>
      </c>
      <c r="D62" s="109" t="s">
        <v>353</v>
      </c>
      <c r="E62" s="67" t="str">
        <f>COLORES!A13</f>
        <v>Camote</v>
      </c>
      <c r="F62" s="67" t="str">
        <f>COLORES!B13</f>
        <v>CLARO</v>
      </c>
      <c r="G62" s="90" t="s">
        <v>376</v>
      </c>
      <c r="H62" s="100">
        <f>IFERROR(SUMIFS(MOVIMIENTOS_COMPLEMENTOS!$I$4:$I$803,MOVIMIENTOS_COMPLEMENTOS!$C$4:$C$803,A62,MOVIMIENTOS_COMPLEMENTOS!$D$4:$D$803,B62,MOVIMIENTOS_COMPLEMENTOS!$E$4:$E$803,C62,MOVIMIENTOS_COMPLEMENTOS!$G$4:$G$803,E62,MOVIMIENTOS_COMPLEMENTOS!$H$4:$H$803,G62,MOVIMIENTOS_COMPLEMENTOS!$B$4:$B$803,"INGRESO")+SUMIFS(MOVIMIENTOS_COMPLEMENTOS!$I$4:$I$803,MOVIMIENTOS_COMPLEMENTOS!$C$4:$C$803,A62,MOVIMIENTOS_COMPLEMENTOS!$D$4:$D$803,B62,MOVIMIENTOS_COMPLEMENTOS!$E$4:$E$803,C62,MOVIMIENTOS_COMPLEMENTOS!$G$4:$G$803,E62,MOVIMIENTOS_COMPLEMENTOS!$H$4:$H$803,G62,MOVIMIENTOS_COMPLEMENTOS!$B$4:$B$803,"DE CORTE")-SUMIFS(MOVIMIENTOS_COMPLEMENTOS!$I$4:$I$803,MOVIMIENTOS_COMPLEMENTOS!$C$4:$C$803,A62,MOVIMIENTOS_COMPLEMENTOS!$D$4:$D$803,B62,MOVIMIENTOS_COMPLEMENTOS!$E$4:$E$803,C62,MOVIMIENTOS_COMPLEMENTOS!$G$4:$G$803,E62,MOVIMIENTOS_COMPLEMENTOS!$H$4:$H$803,G62,MOVIMIENTOS_COMPLEMENTOS!$B$4:$B$803,"SALIDA"),0)</f>
        <v>0</v>
      </c>
      <c r="I62" s="102">
        <f t="array" ref="I62">IFERROR(INDEX(PRECIOS_COMPLEMENTOS!$C$4:$F$17,MATCH(B62&amp;"_"&amp;C62,PRECIOS_COMPLEMENTOS!$H$4:$H$17,0),IF(OR(G62="S",G62="20cm"),1,IF(OR(G62="M",G62="25cm"),2,IF(OR(G62="L",G62="30cm"),3,IF(OR(G62="XL",G62="35cm"),4,0))))),0)</f>
        <v>0.7</v>
      </c>
      <c r="J62" s="103">
        <f t="shared" si="1"/>
        <v>0</v>
      </c>
      <c r="K62" s="104" t="str">
        <f>IF(H62&lt;0,"ERROR",IF(H62=0,"",IF(H62&lt;CONFIG!$B$4,"CRÍTICO",IF(H62&lt;CONFIG!$B$5,"BAJO","OK"))))</f>
        <v/>
      </c>
    </row>
    <row r="63" ht="15.75" hidden="1" customHeight="1">
      <c r="A63" s="90" t="str">
        <f>IF(CLIENTES!A5="","",CLIENTES!A5)</f>
        <v>Bravos</v>
      </c>
      <c r="B63" s="90" t="s">
        <v>321</v>
      </c>
      <c r="C63" s="91" t="s">
        <v>322</v>
      </c>
      <c r="D63" s="109" t="s">
        <v>353</v>
      </c>
      <c r="E63" s="67" t="str">
        <f>COLORES!A13</f>
        <v>Camote</v>
      </c>
      <c r="F63" s="67" t="str">
        <f>COLORES!B13</f>
        <v>CLARO</v>
      </c>
      <c r="G63" s="90" t="s">
        <v>377</v>
      </c>
      <c r="H63" s="100">
        <f>IFERROR(SUMIFS(MOVIMIENTOS_COMPLEMENTOS!$I$4:$I$803,MOVIMIENTOS_COMPLEMENTOS!$C$4:$C$803,A63,MOVIMIENTOS_COMPLEMENTOS!$D$4:$D$803,B63,MOVIMIENTOS_COMPLEMENTOS!$E$4:$E$803,C63,MOVIMIENTOS_COMPLEMENTOS!$G$4:$G$803,E63,MOVIMIENTOS_COMPLEMENTOS!$H$4:$H$803,G63,MOVIMIENTOS_COMPLEMENTOS!$B$4:$B$803,"INGRESO")+SUMIFS(MOVIMIENTOS_COMPLEMENTOS!$I$4:$I$803,MOVIMIENTOS_COMPLEMENTOS!$C$4:$C$803,A63,MOVIMIENTOS_COMPLEMENTOS!$D$4:$D$803,B63,MOVIMIENTOS_COMPLEMENTOS!$E$4:$E$803,C63,MOVIMIENTOS_COMPLEMENTOS!$G$4:$G$803,E63,MOVIMIENTOS_COMPLEMENTOS!$H$4:$H$803,G63,MOVIMIENTOS_COMPLEMENTOS!$B$4:$B$803,"DE CORTE")-SUMIFS(MOVIMIENTOS_COMPLEMENTOS!$I$4:$I$803,MOVIMIENTOS_COMPLEMENTOS!$C$4:$C$803,A63,MOVIMIENTOS_COMPLEMENTOS!$D$4:$D$803,B63,MOVIMIENTOS_COMPLEMENTOS!$E$4:$E$803,C63,MOVIMIENTOS_COMPLEMENTOS!$G$4:$G$803,E63,MOVIMIENTOS_COMPLEMENTOS!$H$4:$H$803,G63,MOVIMIENTOS_COMPLEMENTOS!$B$4:$B$803,"SALIDA"),0)</f>
        <v>0</v>
      </c>
      <c r="I63" s="102">
        <f t="array" ref="I63">IFERROR(INDEX(PRECIOS_COMPLEMENTOS!$C$4:$F$17,MATCH(B63&amp;"_"&amp;C63,PRECIOS_COMPLEMENTOS!$H$4:$H$17,0),IF(OR(G63="S",G63="20cm"),1,IF(OR(G63="M",G63="25cm"),2,IF(OR(G63="L",G63="30cm"),3,IF(OR(G63="XL",G63="35cm"),4,0))))),0)</f>
        <v>0.75</v>
      </c>
      <c r="J63" s="103">
        <f t="shared" si="1"/>
        <v>0</v>
      </c>
      <c r="K63" s="104" t="str">
        <f>IF(H63&lt;0,"ERROR",IF(H63=0,"",IF(H63&lt;CONFIG!$B$4,"CRÍTICO",IF(H63&lt;CONFIG!$B$5,"BAJO","OK"))))</f>
        <v/>
      </c>
    </row>
    <row r="64" ht="15.75" hidden="1" customHeight="1">
      <c r="A64" s="90" t="str">
        <f>IF(CLIENTES!A5="","",CLIENTES!A5)</f>
        <v>Bravos</v>
      </c>
      <c r="B64" s="90" t="s">
        <v>321</v>
      </c>
      <c r="C64" s="91" t="s">
        <v>322</v>
      </c>
      <c r="D64" s="109" t="s">
        <v>353</v>
      </c>
      <c r="E64" s="67" t="str">
        <f>COLORES!A14</f>
        <v>Denim</v>
      </c>
      <c r="F64" s="67" t="str">
        <f>COLORES!B14</f>
        <v>CLARO</v>
      </c>
      <c r="G64" s="90" t="s">
        <v>376</v>
      </c>
      <c r="H64" s="100">
        <f>IFERROR(SUMIFS(MOVIMIENTOS_COMPLEMENTOS!$I$4:$I$803,MOVIMIENTOS_COMPLEMENTOS!$C$4:$C$803,A64,MOVIMIENTOS_COMPLEMENTOS!$D$4:$D$803,B64,MOVIMIENTOS_COMPLEMENTOS!$E$4:$E$803,C64,MOVIMIENTOS_COMPLEMENTOS!$G$4:$G$803,E64,MOVIMIENTOS_COMPLEMENTOS!$H$4:$H$803,G64,MOVIMIENTOS_COMPLEMENTOS!$B$4:$B$803,"INGRESO")+SUMIFS(MOVIMIENTOS_COMPLEMENTOS!$I$4:$I$803,MOVIMIENTOS_COMPLEMENTOS!$C$4:$C$803,A64,MOVIMIENTOS_COMPLEMENTOS!$D$4:$D$803,B64,MOVIMIENTOS_COMPLEMENTOS!$E$4:$E$803,C64,MOVIMIENTOS_COMPLEMENTOS!$G$4:$G$803,E64,MOVIMIENTOS_COMPLEMENTOS!$H$4:$H$803,G64,MOVIMIENTOS_COMPLEMENTOS!$B$4:$B$803,"DE CORTE")-SUMIFS(MOVIMIENTOS_COMPLEMENTOS!$I$4:$I$803,MOVIMIENTOS_COMPLEMENTOS!$C$4:$C$803,A64,MOVIMIENTOS_COMPLEMENTOS!$D$4:$D$803,B64,MOVIMIENTOS_COMPLEMENTOS!$E$4:$E$803,C64,MOVIMIENTOS_COMPLEMENTOS!$G$4:$G$803,E64,MOVIMIENTOS_COMPLEMENTOS!$H$4:$H$803,G64,MOVIMIENTOS_COMPLEMENTOS!$B$4:$B$803,"SALIDA"),0)</f>
        <v>0</v>
      </c>
      <c r="I64" s="102">
        <f t="array" ref="I64">IFERROR(INDEX(PRECIOS_COMPLEMENTOS!$C$4:$F$17,MATCH(B64&amp;"_"&amp;C64,PRECIOS_COMPLEMENTOS!$H$4:$H$17,0),IF(OR(G64="S",G64="20cm"),1,IF(OR(G64="M",G64="25cm"),2,IF(OR(G64="L",G64="30cm"),3,IF(OR(G64="XL",G64="35cm"),4,0))))),0)</f>
        <v>0.7</v>
      </c>
      <c r="J64" s="103">
        <f t="shared" si="1"/>
        <v>0</v>
      </c>
      <c r="K64" s="104" t="str">
        <f>IF(H64&lt;0,"ERROR",IF(H64=0,"",IF(H64&lt;CONFIG!$B$4,"CRÍTICO",IF(H64&lt;CONFIG!$B$5,"BAJO","OK"))))</f>
        <v/>
      </c>
    </row>
    <row r="65" ht="15.75" hidden="1" customHeight="1">
      <c r="A65" s="90" t="str">
        <f>IF(CLIENTES!A5="","",CLIENTES!A5)</f>
        <v>Bravos</v>
      </c>
      <c r="B65" s="90" t="s">
        <v>321</v>
      </c>
      <c r="C65" s="91" t="s">
        <v>322</v>
      </c>
      <c r="D65" s="109" t="s">
        <v>353</v>
      </c>
      <c r="E65" s="67" t="str">
        <f>COLORES!A14</f>
        <v>Denim</v>
      </c>
      <c r="F65" s="67" t="str">
        <f>COLORES!B14</f>
        <v>CLARO</v>
      </c>
      <c r="G65" s="90" t="s">
        <v>377</v>
      </c>
      <c r="H65" s="100">
        <f>IFERROR(SUMIFS(MOVIMIENTOS_COMPLEMENTOS!$I$4:$I$803,MOVIMIENTOS_COMPLEMENTOS!$C$4:$C$803,A65,MOVIMIENTOS_COMPLEMENTOS!$D$4:$D$803,B65,MOVIMIENTOS_COMPLEMENTOS!$E$4:$E$803,C65,MOVIMIENTOS_COMPLEMENTOS!$G$4:$G$803,E65,MOVIMIENTOS_COMPLEMENTOS!$H$4:$H$803,G65,MOVIMIENTOS_COMPLEMENTOS!$B$4:$B$803,"INGRESO")+SUMIFS(MOVIMIENTOS_COMPLEMENTOS!$I$4:$I$803,MOVIMIENTOS_COMPLEMENTOS!$C$4:$C$803,A65,MOVIMIENTOS_COMPLEMENTOS!$D$4:$D$803,B65,MOVIMIENTOS_COMPLEMENTOS!$E$4:$E$803,C65,MOVIMIENTOS_COMPLEMENTOS!$G$4:$G$803,E65,MOVIMIENTOS_COMPLEMENTOS!$H$4:$H$803,G65,MOVIMIENTOS_COMPLEMENTOS!$B$4:$B$803,"DE CORTE")-SUMIFS(MOVIMIENTOS_COMPLEMENTOS!$I$4:$I$803,MOVIMIENTOS_COMPLEMENTOS!$C$4:$C$803,A65,MOVIMIENTOS_COMPLEMENTOS!$D$4:$D$803,B65,MOVIMIENTOS_COMPLEMENTOS!$E$4:$E$803,C65,MOVIMIENTOS_COMPLEMENTOS!$G$4:$G$803,E65,MOVIMIENTOS_COMPLEMENTOS!$H$4:$H$803,G65,MOVIMIENTOS_COMPLEMENTOS!$B$4:$B$803,"SALIDA"),0)</f>
        <v>0</v>
      </c>
      <c r="I65" s="102">
        <f t="array" ref="I65">IFERROR(INDEX(PRECIOS_COMPLEMENTOS!$C$4:$F$17,MATCH(B65&amp;"_"&amp;C65,PRECIOS_COMPLEMENTOS!$H$4:$H$17,0),IF(OR(G65="S",G65="20cm"),1,IF(OR(G65="M",G65="25cm"),2,IF(OR(G65="L",G65="30cm"),3,IF(OR(G65="XL",G65="35cm"),4,0))))),0)</f>
        <v>0.75</v>
      </c>
      <c r="J65" s="103">
        <f t="shared" si="1"/>
        <v>0</v>
      </c>
      <c r="K65" s="104" t="str">
        <f>IF(H65&lt;0,"ERROR",IF(H65=0,"",IF(H65&lt;CONFIG!$B$4,"CRÍTICO",IF(H65&lt;CONFIG!$B$5,"BAJO","OK"))))</f>
        <v/>
      </c>
    </row>
    <row r="66" ht="15.75" hidden="1" customHeight="1">
      <c r="A66" s="90" t="str">
        <f>IF(CLIENTES!A5="","",CLIENTES!A5)</f>
        <v>Bravos</v>
      </c>
      <c r="B66" s="90" t="s">
        <v>321</v>
      </c>
      <c r="C66" s="91" t="s">
        <v>322</v>
      </c>
      <c r="D66" s="109" t="s">
        <v>353</v>
      </c>
      <c r="E66" s="67" t="str">
        <f>COLORES!A15</f>
        <v>Plomo</v>
      </c>
      <c r="F66" s="67" t="str">
        <f>COLORES!B15</f>
        <v>OSCURO</v>
      </c>
      <c r="G66" s="90" t="s">
        <v>376</v>
      </c>
      <c r="H66" s="100">
        <f>IFERROR(SUMIFS(MOVIMIENTOS_COMPLEMENTOS!$I$4:$I$803,MOVIMIENTOS_COMPLEMENTOS!$C$4:$C$803,A66,MOVIMIENTOS_COMPLEMENTOS!$D$4:$D$803,B66,MOVIMIENTOS_COMPLEMENTOS!$E$4:$E$803,C66,MOVIMIENTOS_COMPLEMENTOS!$G$4:$G$803,E66,MOVIMIENTOS_COMPLEMENTOS!$H$4:$H$803,G66,MOVIMIENTOS_COMPLEMENTOS!$B$4:$B$803,"INGRESO")+SUMIFS(MOVIMIENTOS_COMPLEMENTOS!$I$4:$I$803,MOVIMIENTOS_COMPLEMENTOS!$C$4:$C$803,A66,MOVIMIENTOS_COMPLEMENTOS!$D$4:$D$803,B66,MOVIMIENTOS_COMPLEMENTOS!$E$4:$E$803,C66,MOVIMIENTOS_COMPLEMENTOS!$G$4:$G$803,E66,MOVIMIENTOS_COMPLEMENTOS!$H$4:$H$803,G66,MOVIMIENTOS_COMPLEMENTOS!$B$4:$B$803,"DE CORTE")-SUMIFS(MOVIMIENTOS_COMPLEMENTOS!$I$4:$I$803,MOVIMIENTOS_COMPLEMENTOS!$C$4:$C$803,A66,MOVIMIENTOS_COMPLEMENTOS!$D$4:$D$803,B66,MOVIMIENTOS_COMPLEMENTOS!$E$4:$E$803,C66,MOVIMIENTOS_COMPLEMENTOS!$G$4:$G$803,E66,MOVIMIENTOS_COMPLEMENTOS!$H$4:$H$803,G66,MOVIMIENTOS_COMPLEMENTOS!$B$4:$B$803,"SALIDA"),0)</f>
        <v>0</v>
      </c>
      <c r="I66" s="102">
        <f t="array" ref="I66">IFERROR(INDEX(PRECIOS_COMPLEMENTOS!$C$4:$F$17,MATCH(B66&amp;"_"&amp;C66,PRECIOS_COMPLEMENTOS!$H$4:$H$17,0),IF(OR(G66="S",G66="20cm"),1,IF(OR(G66="M",G66="25cm"),2,IF(OR(G66="L",G66="30cm"),3,IF(OR(G66="XL",G66="35cm"),4,0))))),0)</f>
        <v>0.7</v>
      </c>
      <c r="J66" s="103">
        <f t="shared" si="1"/>
        <v>0</v>
      </c>
      <c r="K66" s="104" t="str">
        <f>IF(H66&lt;0,"ERROR",IF(H66=0,"",IF(H66&lt;CONFIG!$B$4,"CRÍTICO",IF(H66&lt;CONFIG!$B$5,"BAJO","OK"))))</f>
        <v/>
      </c>
    </row>
    <row r="67" ht="15.75" hidden="1" customHeight="1">
      <c r="A67" s="90" t="str">
        <f>IF(CLIENTES!A5="","",CLIENTES!A5)</f>
        <v>Bravos</v>
      </c>
      <c r="B67" s="90" t="s">
        <v>321</v>
      </c>
      <c r="C67" s="91" t="s">
        <v>322</v>
      </c>
      <c r="D67" s="109" t="s">
        <v>353</v>
      </c>
      <c r="E67" s="67" t="str">
        <f>COLORES!A15</f>
        <v>Plomo</v>
      </c>
      <c r="F67" s="67" t="str">
        <f>COLORES!B15</f>
        <v>OSCURO</v>
      </c>
      <c r="G67" s="90" t="s">
        <v>377</v>
      </c>
      <c r="H67" s="100">
        <f>IFERROR(SUMIFS(MOVIMIENTOS_COMPLEMENTOS!$I$4:$I$803,MOVIMIENTOS_COMPLEMENTOS!$C$4:$C$803,A67,MOVIMIENTOS_COMPLEMENTOS!$D$4:$D$803,B67,MOVIMIENTOS_COMPLEMENTOS!$E$4:$E$803,C67,MOVIMIENTOS_COMPLEMENTOS!$G$4:$G$803,E67,MOVIMIENTOS_COMPLEMENTOS!$H$4:$H$803,G67,MOVIMIENTOS_COMPLEMENTOS!$B$4:$B$803,"INGRESO")+SUMIFS(MOVIMIENTOS_COMPLEMENTOS!$I$4:$I$803,MOVIMIENTOS_COMPLEMENTOS!$C$4:$C$803,A67,MOVIMIENTOS_COMPLEMENTOS!$D$4:$D$803,B67,MOVIMIENTOS_COMPLEMENTOS!$E$4:$E$803,C67,MOVIMIENTOS_COMPLEMENTOS!$G$4:$G$803,E67,MOVIMIENTOS_COMPLEMENTOS!$H$4:$H$803,G67,MOVIMIENTOS_COMPLEMENTOS!$B$4:$B$803,"DE CORTE")-SUMIFS(MOVIMIENTOS_COMPLEMENTOS!$I$4:$I$803,MOVIMIENTOS_COMPLEMENTOS!$C$4:$C$803,A67,MOVIMIENTOS_COMPLEMENTOS!$D$4:$D$803,B67,MOVIMIENTOS_COMPLEMENTOS!$E$4:$E$803,C67,MOVIMIENTOS_COMPLEMENTOS!$G$4:$G$803,E67,MOVIMIENTOS_COMPLEMENTOS!$H$4:$H$803,G67,MOVIMIENTOS_COMPLEMENTOS!$B$4:$B$803,"SALIDA"),0)</f>
        <v>0</v>
      </c>
      <c r="I67" s="102">
        <f t="array" ref="I67">IFERROR(INDEX(PRECIOS_COMPLEMENTOS!$C$4:$F$17,MATCH(B67&amp;"_"&amp;C67,PRECIOS_COMPLEMENTOS!$H$4:$H$17,0),IF(OR(G67="S",G67="20cm"),1,IF(OR(G67="M",G67="25cm"),2,IF(OR(G67="L",G67="30cm"),3,IF(OR(G67="XL",G67="35cm"),4,0))))),0)</f>
        <v>0.75</v>
      </c>
      <c r="J67" s="103">
        <f t="shared" si="1"/>
        <v>0</v>
      </c>
      <c r="K67" s="104" t="str">
        <f>IF(H67&lt;0,"ERROR",IF(H67=0,"",IF(H67&lt;CONFIG!$B$4,"CRÍTICO",IF(H67&lt;CONFIG!$B$5,"BAJO","OK"))))</f>
        <v/>
      </c>
    </row>
    <row r="68" ht="15.75" hidden="1" customHeight="1">
      <c r="A68" s="90" t="str">
        <f>IF(CLIENTES!A5="","",CLIENTES!A5)</f>
        <v>Bravos</v>
      </c>
      <c r="B68" s="90" t="s">
        <v>321</v>
      </c>
      <c r="C68" s="91" t="s">
        <v>322</v>
      </c>
      <c r="D68" s="109" t="s">
        <v>353</v>
      </c>
      <c r="E68" s="67" t="str">
        <f>COLORES!A16</f>
        <v>Topo</v>
      </c>
      <c r="F68" s="67" t="str">
        <f>COLORES!B16</f>
        <v>CLARO</v>
      </c>
      <c r="G68" s="90" t="s">
        <v>376</v>
      </c>
      <c r="H68" s="100">
        <f>IFERROR(SUMIFS(MOVIMIENTOS_COMPLEMENTOS!$I$4:$I$803,MOVIMIENTOS_COMPLEMENTOS!$C$4:$C$803,A68,MOVIMIENTOS_COMPLEMENTOS!$D$4:$D$803,B68,MOVIMIENTOS_COMPLEMENTOS!$E$4:$E$803,C68,MOVIMIENTOS_COMPLEMENTOS!$G$4:$G$803,E68,MOVIMIENTOS_COMPLEMENTOS!$H$4:$H$803,G68,MOVIMIENTOS_COMPLEMENTOS!$B$4:$B$803,"INGRESO")+SUMIFS(MOVIMIENTOS_COMPLEMENTOS!$I$4:$I$803,MOVIMIENTOS_COMPLEMENTOS!$C$4:$C$803,A68,MOVIMIENTOS_COMPLEMENTOS!$D$4:$D$803,B68,MOVIMIENTOS_COMPLEMENTOS!$E$4:$E$803,C68,MOVIMIENTOS_COMPLEMENTOS!$G$4:$G$803,E68,MOVIMIENTOS_COMPLEMENTOS!$H$4:$H$803,G68,MOVIMIENTOS_COMPLEMENTOS!$B$4:$B$803,"DE CORTE")-SUMIFS(MOVIMIENTOS_COMPLEMENTOS!$I$4:$I$803,MOVIMIENTOS_COMPLEMENTOS!$C$4:$C$803,A68,MOVIMIENTOS_COMPLEMENTOS!$D$4:$D$803,B68,MOVIMIENTOS_COMPLEMENTOS!$E$4:$E$803,C68,MOVIMIENTOS_COMPLEMENTOS!$G$4:$G$803,E68,MOVIMIENTOS_COMPLEMENTOS!$H$4:$H$803,G68,MOVIMIENTOS_COMPLEMENTOS!$B$4:$B$803,"SALIDA"),0)</f>
        <v>0</v>
      </c>
      <c r="I68" s="102">
        <f t="array" ref="I68">IFERROR(INDEX(PRECIOS_COMPLEMENTOS!$C$4:$F$17,MATCH(B68&amp;"_"&amp;C68,PRECIOS_COMPLEMENTOS!$H$4:$H$17,0),IF(OR(G68="S",G68="20cm"),1,IF(OR(G68="M",G68="25cm"),2,IF(OR(G68="L",G68="30cm"),3,IF(OR(G68="XL",G68="35cm"),4,0))))),0)</f>
        <v>0.7</v>
      </c>
      <c r="J68" s="103">
        <f t="shared" si="1"/>
        <v>0</v>
      </c>
      <c r="K68" s="104" t="str">
        <f>IF(H68&lt;0,"ERROR",IF(H68=0,"",IF(H68&lt;CONFIG!$B$4,"CRÍTICO",IF(H68&lt;CONFIG!$B$5,"BAJO","OK"))))</f>
        <v/>
      </c>
    </row>
    <row r="69" ht="15.75" hidden="1" customHeight="1">
      <c r="A69" s="90" t="str">
        <f>IF(CLIENTES!A5="","",CLIENTES!A5)</f>
        <v>Bravos</v>
      </c>
      <c r="B69" s="90" t="s">
        <v>321</v>
      </c>
      <c r="C69" s="91" t="s">
        <v>322</v>
      </c>
      <c r="D69" s="109" t="s">
        <v>353</v>
      </c>
      <c r="E69" s="67" t="str">
        <f>COLORES!A16</f>
        <v>Topo</v>
      </c>
      <c r="F69" s="67" t="str">
        <f>COLORES!B16</f>
        <v>CLARO</v>
      </c>
      <c r="G69" s="90" t="s">
        <v>377</v>
      </c>
      <c r="H69" s="100">
        <f>IFERROR(SUMIFS(MOVIMIENTOS_COMPLEMENTOS!$I$4:$I$803,MOVIMIENTOS_COMPLEMENTOS!$C$4:$C$803,A69,MOVIMIENTOS_COMPLEMENTOS!$D$4:$D$803,B69,MOVIMIENTOS_COMPLEMENTOS!$E$4:$E$803,C69,MOVIMIENTOS_COMPLEMENTOS!$G$4:$G$803,E69,MOVIMIENTOS_COMPLEMENTOS!$H$4:$H$803,G69,MOVIMIENTOS_COMPLEMENTOS!$B$4:$B$803,"INGRESO")+SUMIFS(MOVIMIENTOS_COMPLEMENTOS!$I$4:$I$803,MOVIMIENTOS_COMPLEMENTOS!$C$4:$C$803,A69,MOVIMIENTOS_COMPLEMENTOS!$D$4:$D$803,B69,MOVIMIENTOS_COMPLEMENTOS!$E$4:$E$803,C69,MOVIMIENTOS_COMPLEMENTOS!$G$4:$G$803,E69,MOVIMIENTOS_COMPLEMENTOS!$H$4:$H$803,G69,MOVIMIENTOS_COMPLEMENTOS!$B$4:$B$803,"DE CORTE")-SUMIFS(MOVIMIENTOS_COMPLEMENTOS!$I$4:$I$803,MOVIMIENTOS_COMPLEMENTOS!$C$4:$C$803,A69,MOVIMIENTOS_COMPLEMENTOS!$D$4:$D$803,B69,MOVIMIENTOS_COMPLEMENTOS!$E$4:$E$803,C69,MOVIMIENTOS_COMPLEMENTOS!$G$4:$G$803,E69,MOVIMIENTOS_COMPLEMENTOS!$H$4:$H$803,G69,MOVIMIENTOS_COMPLEMENTOS!$B$4:$B$803,"SALIDA"),0)</f>
        <v>0</v>
      </c>
      <c r="I69" s="102">
        <f t="array" ref="I69">IFERROR(INDEX(PRECIOS_COMPLEMENTOS!$C$4:$F$17,MATCH(B69&amp;"_"&amp;C69,PRECIOS_COMPLEMENTOS!$H$4:$H$17,0),IF(OR(G69="S",G69="20cm"),1,IF(OR(G69="M",G69="25cm"),2,IF(OR(G69="L",G69="30cm"),3,IF(OR(G69="XL",G69="35cm"),4,0))))),0)</f>
        <v>0.75</v>
      </c>
      <c r="J69" s="103">
        <f t="shared" si="1"/>
        <v>0</v>
      </c>
      <c r="K69" s="104" t="str">
        <f>IF(H69&lt;0,"ERROR",IF(H69=0,"",IF(H69&lt;CONFIG!$B$4,"CRÍTICO",IF(H69&lt;CONFIG!$B$5,"BAJO","OK"))))</f>
        <v/>
      </c>
    </row>
    <row r="70" ht="15.75" hidden="1" customHeight="1">
      <c r="A70" s="90" t="str">
        <f>IF(CLIENTES!A5="","",CLIENTES!A5)</f>
        <v>Bravos</v>
      </c>
      <c r="B70" s="90" t="s">
        <v>321</v>
      </c>
      <c r="C70" s="91" t="s">
        <v>322</v>
      </c>
      <c r="D70" s="109" t="s">
        <v>353</v>
      </c>
      <c r="E70" s="67" t="str">
        <f>COLORES!A17</f>
        <v>Vino</v>
      </c>
      <c r="F70" s="67" t="str">
        <f>COLORES!B17</f>
        <v>OSCURO</v>
      </c>
      <c r="G70" s="90" t="s">
        <v>376</v>
      </c>
      <c r="H70" s="100">
        <f>IFERROR(SUMIFS(MOVIMIENTOS_COMPLEMENTOS!$I$4:$I$803,MOVIMIENTOS_COMPLEMENTOS!$C$4:$C$803,A70,MOVIMIENTOS_COMPLEMENTOS!$D$4:$D$803,B70,MOVIMIENTOS_COMPLEMENTOS!$E$4:$E$803,C70,MOVIMIENTOS_COMPLEMENTOS!$G$4:$G$803,E70,MOVIMIENTOS_COMPLEMENTOS!$H$4:$H$803,G70,MOVIMIENTOS_COMPLEMENTOS!$B$4:$B$803,"INGRESO")+SUMIFS(MOVIMIENTOS_COMPLEMENTOS!$I$4:$I$803,MOVIMIENTOS_COMPLEMENTOS!$C$4:$C$803,A70,MOVIMIENTOS_COMPLEMENTOS!$D$4:$D$803,B70,MOVIMIENTOS_COMPLEMENTOS!$E$4:$E$803,C70,MOVIMIENTOS_COMPLEMENTOS!$G$4:$G$803,E70,MOVIMIENTOS_COMPLEMENTOS!$H$4:$H$803,G70,MOVIMIENTOS_COMPLEMENTOS!$B$4:$B$803,"DE CORTE")-SUMIFS(MOVIMIENTOS_COMPLEMENTOS!$I$4:$I$803,MOVIMIENTOS_COMPLEMENTOS!$C$4:$C$803,A70,MOVIMIENTOS_COMPLEMENTOS!$D$4:$D$803,B70,MOVIMIENTOS_COMPLEMENTOS!$E$4:$E$803,C70,MOVIMIENTOS_COMPLEMENTOS!$G$4:$G$803,E70,MOVIMIENTOS_COMPLEMENTOS!$H$4:$H$803,G70,MOVIMIENTOS_COMPLEMENTOS!$B$4:$B$803,"SALIDA"),0)</f>
        <v>0</v>
      </c>
      <c r="I70" s="102">
        <f t="array" ref="I70">IFERROR(INDEX(PRECIOS_COMPLEMENTOS!$C$4:$F$17,MATCH(B70&amp;"_"&amp;C70,PRECIOS_COMPLEMENTOS!$H$4:$H$17,0),IF(OR(G70="S",G70="20cm"),1,IF(OR(G70="M",G70="25cm"),2,IF(OR(G70="L",G70="30cm"),3,IF(OR(G70="XL",G70="35cm"),4,0))))),0)</f>
        <v>0.7</v>
      </c>
      <c r="J70" s="103">
        <f t="shared" si="1"/>
        <v>0</v>
      </c>
      <c r="K70" s="104" t="str">
        <f>IF(H70&lt;0,"ERROR",IF(H70=0,"",IF(H70&lt;CONFIG!$B$4,"CRÍTICO",IF(H70&lt;CONFIG!$B$5,"BAJO","OK"))))</f>
        <v/>
      </c>
    </row>
    <row r="71" ht="15.75" hidden="1" customHeight="1">
      <c r="A71" s="90" t="str">
        <f>IF(CLIENTES!A5="","",CLIENTES!A5)</f>
        <v>Bravos</v>
      </c>
      <c r="B71" s="90" t="s">
        <v>321</v>
      </c>
      <c r="C71" s="91" t="s">
        <v>322</v>
      </c>
      <c r="D71" s="109" t="s">
        <v>353</v>
      </c>
      <c r="E71" s="67" t="str">
        <f>COLORES!A17</f>
        <v>Vino</v>
      </c>
      <c r="F71" s="67" t="str">
        <f>COLORES!B17</f>
        <v>OSCURO</v>
      </c>
      <c r="G71" s="90" t="s">
        <v>377</v>
      </c>
      <c r="H71" s="100">
        <f>IFERROR(SUMIFS(MOVIMIENTOS_COMPLEMENTOS!$I$4:$I$803,MOVIMIENTOS_COMPLEMENTOS!$C$4:$C$803,A71,MOVIMIENTOS_COMPLEMENTOS!$D$4:$D$803,B71,MOVIMIENTOS_COMPLEMENTOS!$E$4:$E$803,C71,MOVIMIENTOS_COMPLEMENTOS!$G$4:$G$803,E71,MOVIMIENTOS_COMPLEMENTOS!$H$4:$H$803,G71,MOVIMIENTOS_COMPLEMENTOS!$B$4:$B$803,"INGRESO")+SUMIFS(MOVIMIENTOS_COMPLEMENTOS!$I$4:$I$803,MOVIMIENTOS_COMPLEMENTOS!$C$4:$C$803,A71,MOVIMIENTOS_COMPLEMENTOS!$D$4:$D$803,B71,MOVIMIENTOS_COMPLEMENTOS!$E$4:$E$803,C71,MOVIMIENTOS_COMPLEMENTOS!$G$4:$G$803,E71,MOVIMIENTOS_COMPLEMENTOS!$H$4:$H$803,G71,MOVIMIENTOS_COMPLEMENTOS!$B$4:$B$803,"DE CORTE")-SUMIFS(MOVIMIENTOS_COMPLEMENTOS!$I$4:$I$803,MOVIMIENTOS_COMPLEMENTOS!$C$4:$C$803,A71,MOVIMIENTOS_COMPLEMENTOS!$D$4:$D$803,B71,MOVIMIENTOS_COMPLEMENTOS!$E$4:$E$803,C71,MOVIMIENTOS_COMPLEMENTOS!$G$4:$G$803,E71,MOVIMIENTOS_COMPLEMENTOS!$H$4:$H$803,G71,MOVIMIENTOS_COMPLEMENTOS!$B$4:$B$803,"SALIDA"),0)</f>
        <v>0</v>
      </c>
      <c r="I71" s="102">
        <f t="array" ref="I71">IFERROR(INDEX(PRECIOS_COMPLEMENTOS!$C$4:$F$17,MATCH(B71&amp;"_"&amp;C71,PRECIOS_COMPLEMENTOS!$H$4:$H$17,0),IF(OR(G71="S",G71="20cm"),1,IF(OR(G71="M",G71="25cm"),2,IF(OR(G71="L",G71="30cm"),3,IF(OR(G71="XL",G71="35cm"),4,0))))),0)</f>
        <v>0.75</v>
      </c>
      <c r="J71" s="103">
        <f t="shared" si="1"/>
        <v>0</v>
      </c>
      <c r="K71" s="104" t="str">
        <f>IF(H71&lt;0,"ERROR",IF(H71=0,"",IF(H71&lt;CONFIG!$B$4,"CRÍTICO",IF(H71&lt;CONFIG!$B$5,"BAJO","OK"))))</f>
        <v/>
      </c>
    </row>
    <row r="72" ht="15.75" hidden="1" customHeight="1">
      <c r="A72" s="90" t="str">
        <f>IF(CLIENTES!A5="","",CLIENTES!A5)</f>
        <v>Bravos</v>
      </c>
      <c r="B72" s="90" t="s">
        <v>321</v>
      </c>
      <c r="C72" s="91" t="s">
        <v>322</v>
      </c>
      <c r="D72" s="109" t="s">
        <v>353</v>
      </c>
      <c r="E72" s="67" t="str">
        <f>COLORES!A18</f>
        <v>P. Rosa</v>
      </c>
      <c r="F72" s="67" t="str">
        <f>COLORES!B18</f>
        <v>CLARO</v>
      </c>
      <c r="G72" s="90" t="s">
        <v>376</v>
      </c>
      <c r="H72" s="100">
        <f>IFERROR(SUMIFS(MOVIMIENTOS_COMPLEMENTOS!$I$4:$I$803,MOVIMIENTOS_COMPLEMENTOS!$C$4:$C$803,A72,MOVIMIENTOS_COMPLEMENTOS!$D$4:$D$803,B72,MOVIMIENTOS_COMPLEMENTOS!$E$4:$E$803,C72,MOVIMIENTOS_COMPLEMENTOS!$G$4:$G$803,E72,MOVIMIENTOS_COMPLEMENTOS!$H$4:$H$803,G72,MOVIMIENTOS_COMPLEMENTOS!$B$4:$B$803,"INGRESO")+SUMIFS(MOVIMIENTOS_COMPLEMENTOS!$I$4:$I$803,MOVIMIENTOS_COMPLEMENTOS!$C$4:$C$803,A72,MOVIMIENTOS_COMPLEMENTOS!$D$4:$D$803,B72,MOVIMIENTOS_COMPLEMENTOS!$E$4:$E$803,C72,MOVIMIENTOS_COMPLEMENTOS!$G$4:$G$803,E72,MOVIMIENTOS_COMPLEMENTOS!$H$4:$H$803,G72,MOVIMIENTOS_COMPLEMENTOS!$B$4:$B$803,"DE CORTE")-SUMIFS(MOVIMIENTOS_COMPLEMENTOS!$I$4:$I$803,MOVIMIENTOS_COMPLEMENTOS!$C$4:$C$803,A72,MOVIMIENTOS_COMPLEMENTOS!$D$4:$D$803,B72,MOVIMIENTOS_COMPLEMENTOS!$E$4:$E$803,C72,MOVIMIENTOS_COMPLEMENTOS!$G$4:$G$803,E72,MOVIMIENTOS_COMPLEMENTOS!$H$4:$H$803,G72,MOVIMIENTOS_COMPLEMENTOS!$B$4:$B$803,"SALIDA"),0)</f>
        <v>0</v>
      </c>
      <c r="I72" s="102">
        <f t="array" ref="I72">IFERROR(INDEX(PRECIOS_COMPLEMENTOS!$C$4:$F$17,MATCH(B72&amp;"_"&amp;C72,PRECIOS_COMPLEMENTOS!$H$4:$H$17,0),IF(OR(G72="S",G72="20cm"),1,IF(OR(G72="M",G72="25cm"),2,IF(OR(G72="L",G72="30cm"),3,IF(OR(G72="XL",G72="35cm"),4,0))))),0)</f>
        <v>0.7</v>
      </c>
      <c r="J72" s="103">
        <f t="shared" si="1"/>
        <v>0</v>
      </c>
      <c r="K72" s="104" t="str">
        <f>IF(H72&lt;0,"ERROR",IF(H72=0,"",IF(H72&lt;CONFIG!$B$4,"CRÍTICO",IF(H72&lt;CONFIG!$B$5,"BAJO","OK"))))</f>
        <v/>
      </c>
    </row>
    <row r="73" ht="15.75" hidden="1" customHeight="1">
      <c r="A73" s="90" t="str">
        <f>IF(CLIENTES!A5="","",CLIENTES!A5)</f>
        <v>Bravos</v>
      </c>
      <c r="B73" s="90" t="s">
        <v>321</v>
      </c>
      <c r="C73" s="91" t="s">
        <v>322</v>
      </c>
      <c r="D73" s="109" t="s">
        <v>353</v>
      </c>
      <c r="E73" s="67" t="str">
        <f>COLORES!A18</f>
        <v>P. Rosa</v>
      </c>
      <c r="F73" s="67" t="str">
        <f>COLORES!B18</f>
        <v>CLARO</v>
      </c>
      <c r="G73" s="90" t="s">
        <v>377</v>
      </c>
      <c r="H73" s="100">
        <f>IFERROR(SUMIFS(MOVIMIENTOS_COMPLEMENTOS!$I$4:$I$803,MOVIMIENTOS_COMPLEMENTOS!$C$4:$C$803,A73,MOVIMIENTOS_COMPLEMENTOS!$D$4:$D$803,B73,MOVIMIENTOS_COMPLEMENTOS!$E$4:$E$803,C73,MOVIMIENTOS_COMPLEMENTOS!$G$4:$G$803,E73,MOVIMIENTOS_COMPLEMENTOS!$H$4:$H$803,G73,MOVIMIENTOS_COMPLEMENTOS!$B$4:$B$803,"INGRESO")+SUMIFS(MOVIMIENTOS_COMPLEMENTOS!$I$4:$I$803,MOVIMIENTOS_COMPLEMENTOS!$C$4:$C$803,A73,MOVIMIENTOS_COMPLEMENTOS!$D$4:$D$803,B73,MOVIMIENTOS_COMPLEMENTOS!$E$4:$E$803,C73,MOVIMIENTOS_COMPLEMENTOS!$G$4:$G$803,E73,MOVIMIENTOS_COMPLEMENTOS!$H$4:$H$803,G73,MOVIMIENTOS_COMPLEMENTOS!$B$4:$B$803,"DE CORTE")-SUMIFS(MOVIMIENTOS_COMPLEMENTOS!$I$4:$I$803,MOVIMIENTOS_COMPLEMENTOS!$C$4:$C$803,A73,MOVIMIENTOS_COMPLEMENTOS!$D$4:$D$803,B73,MOVIMIENTOS_COMPLEMENTOS!$E$4:$E$803,C73,MOVIMIENTOS_COMPLEMENTOS!$G$4:$G$803,E73,MOVIMIENTOS_COMPLEMENTOS!$H$4:$H$803,G73,MOVIMIENTOS_COMPLEMENTOS!$B$4:$B$803,"SALIDA"),0)</f>
        <v>0</v>
      </c>
      <c r="I73" s="102">
        <f t="array" ref="I73">IFERROR(INDEX(PRECIOS_COMPLEMENTOS!$C$4:$F$17,MATCH(B73&amp;"_"&amp;C73,PRECIOS_COMPLEMENTOS!$H$4:$H$17,0),IF(OR(G73="S",G73="20cm"),1,IF(OR(G73="M",G73="25cm"),2,IF(OR(G73="L",G73="30cm"),3,IF(OR(G73="XL",G73="35cm"),4,0))))),0)</f>
        <v>0.75</v>
      </c>
      <c r="J73" s="103">
        <f t="shared" si="1"/>
        <v>0</v>
      </c>
      <c r="K73" s="104" t="str">
        <f>IF(H73&lt;0,"ERROR",IF(H73=0,"",IF(H73&lt;CONFIG!$B$4,"CRÍTICO",IF(H73&lt;CONFIG!$B$5,"BAJO","OK"))))</f>
        <v/>
      </c>
    </row>
    <row r="74" ht="15.75" hidden="1" customHeight="1">
      <c r="A74" s="90" t="str">
        <f>IF(CLIENTES!A5="","",CLIENTES!A5)</f>
        <v>Bravos</v>
      </c>
      <c r="B74" s="90" t="s">
        <v>321</v>
      </c>
      <c r="C74" s="91" t="s">
        <v>322</v>
      </c>
      <c r="D74" s="109" t="s">
        <v>353</v>
      </c>
      <c r="E74" s="67" t="str">
        <f>COLORES!A19</f>
        <v/>
      </c>
      <c r="F74" s="67" t="str">
        <f>COLORES!B19</f>
        <v/>
      </c>
      <c r="G74" s="90" t="s">
        <v>376</v>
      </c>
      <c r="H74" s="100">
        <f>IFERROR(SUMIFS(MOVIMIENTOS_COMPLEMENTOS!$I$4:$I$803,MOVIMIENTOS_COMPLEMENTOS!$C$4:$C$803,A74,MOVIMIENTOS_COMPLEMENTOS!$D$4:$D$803,B74,MOVIMIENTOS_COMPLEMENTOS!$E$4:$E$803,C74,MOVIMIENTOS_COMPLEMENTOS!$G$4:$G$803,E74,MOVIMIENTOS_COMPLEMENTOS!$H$4:$H$803,G74,MOVIMIENTOS_COMPLEMENTOS!$B$4:$B$803,"INGRESO")+SUMIFS(MOVIMIENTOS_COMPLEMENTOS!$I$4:$I$803,MOVIMIENTOS_COMPLEMENTOS!$C$4:$C$803,A74,MOVIMIENTOS_COMPLEMENTOS!$D$4:$D$803,B74,MOVIMIENTOS_COMPLEMENTOS!$E$4:$E$803,C74,MOVIMIENTOS_COMPLEMENTOS!$G$4:$G$803,E74,MOVIMIENTOS_COMPLEMENTOS!$H$4:$H$803,G74,MOVIMIENTOS_COMPLEMENTOS!$B$4:$B$803,"DE CORTE")-SUMIFS(MOVIMIENTOS_COMPLEMENTOS!$I$4:$I$803,MOVIMIENTOS_COMPLEMENTOS!$C$4:$C$803,A74,MOVIMIENTOS_COMPLEMENTOS!$D$4:$D$803,B74,MOVIMIENTOS_COMPLEMENTOS!$E$4:$E$803,C74,MOVIMIENTOS_COMPLEMENTOS!$G$4:$G$803,E74,MOVIMIENTOS_COMPLEMENTOS!$H$4:$H$803,G74,MOVIMIENTOS_COMPLEMENTOS!$B$4:$B$803,"SALIDA"),0)</f>
        <v>0</v>
      </c>
      <c r="I74" s="102">
        <f t="array" ref="I74">IFERROR(INDEX(PRECIOS_COMPLEMENTOS!$C$4:$F$17,MATCH(B74&amp;"_"&amp;C74,PRECIOS_COMPLEMENTOS!$H$4:$H$17,0),IF(OR(G74="S",G74="20cm"),1,IF(OR(G74="M",G74="25cm"),2,IF(OR(G74="L",G74="30cm"),3,IF(OR(G74="XL",G74="35cm"),4,0))))),0)</f>
        <v>0.7</v>
      </c>
      <c r="J74" s="103">
        <f t="shared" si="1"/>
        <v>0</v>
      </c>
      <c r="K74" s="104" t="str">
        <f>IF(H74&lt;0,"ERROR",IF(H74=0,"",IF(H74&lt;CONFIG!$B$4,"CRÍTICO",IF(H74&lt;CONFIG!$B$5,"BAJO","OK"))))</f>
        <v/>
      </c>
    </row>
    <row r="75" ht="15.75" hidden="1" customHeight="1">
      <c r="A75" s="90" t="str">
        <f>IF(CLIENTES!A5="","",CLIENTES!A5)</f>
        <v>Bravos</v>
      </c>
      <c r="B75" s="90" t="s">
        <v>321</v>
      </c>
      <c r="C75" s="91" t="s">
        <v>322</v>
      </c>
      <c r="D75" s="109" t="s">
        <v>353</v>
      </c>
      <c r="E75" s="67" t="str">
        <f>COLORES!A19</f>
        <v/>
      </c>
      <c r="F75" s="67" t="str">
        <f>COLORES!B19</f>
        <v/>
      </c>
      <c r="G75" s="90" t="s">
        <v>377</v>
      </c>
      <c r="H75" s="100">
        <f>IFERROR(SUMIFS(MOVIMIENTOS_COMPLEMENTOS!$I$4:$I$803,MOVIMIENTOS_COMPLEMENTOS!$C$4:$C$803,A75,MOVIMIENTOS_COMPLEMENTOS!$D$4:$D$803,B75,MOVIMIENTOS_COMPLEMENTOS!$E$4:$E$803,C75,MOVIMIENTOS_COMPLEMENTOS!$G$4:$G$803,E75,MOVIMIENTOS_COMPLEMENTOS!$H$4:$H$803,G75,MOVIMIENTOS_COMPLEMENTOS!$B$4:$B$803,"INGRESO")+SUMIFS(MOVIMIENTOS_COMPLEMENTOS!$I$4:$I$803,MOVIMIENTOS_COMPLEMENTOS!$C$4:$C$803,A75,MOVIMIENTOS_COMPLEMENTOS!$D$4:$D$803,B75,MOVIMIENTOS_COMPLEMENTOS!$E$4:$E$803,C75,MOVIMIENTOS_COMPLEMENTOS!$G$4:$G$803,E75,MOVIMIENTOS_COMPLEMENTOS!$H$4:$H$803,G75,MOVIMIENTOS_COMPLEMENTOS!$B$4:$B$803,"DE CORTE")-SUMIFS(MOVIMIENTOS_COMPLEMENTOS!$I$4:$I$803,MOVIMIENTOS_COMPLEMENTOS!$C$4:$C$803,A75,MOVIMIENTOS_COMPLEMENTOS!$D$4:$D$803,B75,MOVIMIENTOS_COMPLEMENTOS!$E$4:$E$803,C75,MOVIMIENTOS_COMPLEMENTOS!$G$4:$G$803,E75,MOVIMIENTOS_COMPLEMENTOS!$H$4:$H$803,G75,MOVIMIENTOS_COMPLEMENTOS!$B$4:$B$803,"SALIDA"),0)</f>
        <v>0</v>
      </c>
      <c r="I75" s="102">
        <f t="array" ref="I75">IFERROR(INDEX(PRECIOS_COMPLEMENTOS!$C$4:$F$17,MATCH(B75&amp;"_"&amp;C75,PRECIOS_COMPLEMENTOS!$H$4:$H$17,0),IF(OR(G75="S",G75="20cm"),1,IF(OR(G75="M",G75="25cm"),2,IF(OR(G75="L",G75="30cm"),3,IF(OR(G75="XL",G75="35cm"),4,0))))),0)</f>
        <v>0.75</v>
      </c>
      <c r="J75" s="103">
        <f t="shared" si="1"/>
        <v>0</v>
      </c>
      <c r="K75" s="104" t="str">
        <f>IF(H75&lt;0,"ERROR",IF(H75=0,"",IF(H75&lt;CONFIG!$B$4,"CRÍTICO",IF(H75&lt;CONFIG!$B$5,"BAJO","OK"))))</f>
        <v/>
      </c>
    </row>
    <row r="76" ht="15.75" hidden="1" customHeight="1">
      <c r="A76" s="90" t="str">
        <f>IF(CLIENTES!A5="","",CLIENTES!A5)</f>
        <v>Bravos</v>
      </c>
      <c r="B76" s="90" t="s">
        <v>321</v>
      </c>
      <c r="C76" s="91" t="s">
        <v>322</v>
      </c>
      <c r="D76" s="109" t="s">
        <v>353</v>
      </c>
      <c r="E76" s="67" t="str">
        <f>COLORES!A20</f>
        <v/>
      </c>
      <c r="F76" s="67" t="str">
        <f>COLORES!B20</f>
        <v/>
      </c>
      <c r="G76" s="90" t="s">
        <v>376</v>
      </c>
      <c r="H76" s="100">
        <f>IFERROR(SUMIFS(MOVIMIENTOS_COMPLEMENTOS!$I$4:$I$803,MOVIMIENTOS_COMPLEMENTOS!$C$4:$C$803,A76,MOVIMIENTOS_COMPLEMENTOS!$D$4:$D$803,B76,MOVIMIENTOS_COMPLEMENTOS!$E$4:$E$803,C76,MOVIMIENTOS_COMPLEMENTOS!$G$4:$G$803,E76,MOVIMIENTOS_COMPLEMENTOS!$H$4:$H$803,G76,MOVIMIENTOS_COMPLEMENTOS!$B$4:$B$803,"INGRESO")+SUMIFS(MOVIMIENTOS_COMPLEMENTOS!$I$4:$I$803,MOVIMIENTOS_COMPLEMENTOS!$C$4:$C$803,A76,MOVIMIENTOS_COMPLEMENTOS!$D$4:$D$803,B76,MOVIMIENTOS_COMPLEMENTOS!$E$4:$E$803,C76,MOVIMIENTOS_COMPLEMENTOS!$G$4:$G$803,E76,MOVIMIENTOS_COMPLEMENTOS!$H$4:$H$803,G76,MOVIMIENTOS_COMPLEMENTOS!$B$4:$B$803,"DE CORTE")-SUMIFS(MOVIMIENTOS_COMPLEMENTOS!$I$4:$I$803,MOVIMIENTOS_COMPLEMENTOS!$C$4:$C$803,A76,MOVIMIENTOS_COMPLEMENTOS!$D$4:$D$803,B76,MOVIMIENTOS_COMPLEMENTOS!$E$4:$E$803,C76,MOVIMIENTOS_COMPLEMENTOS!$G$4:$G$803,E76,MOVIMIENTOS_COMPLEMENTOS!$H$4:$H$803,G76,MOVIMIENTOS_COMPLEMENTOS!$B$4:$B$803,"SALIDA"),0)</f>
        <v>0</v>
      </c>
      <c r="I76" s="102">
        <f t="array" ref="I76">IFERROR(INDEX(PRECIOS_COMPLEMENTOS!$C$4:$F$17,MATCH(B76&amp;"_"&amp;C76,PRECIOS_COMPLEMENTOS!$H$4:$H$17,0),IF(OR(G76="S",G76="20cm"),1,IF(OR(G76="M",G76="25cm"),2,IF(OR(G76="L",G76="30cm"),3,IF(OR(G76="XL",G76="35cm"),4,0))))),0)</f>
        <v>0.7</v>
      </c>
      <c r="J76" s="103">
        <f t="shared" si="1"/>
        <v>0</v>
      </c>
      <c r="K76" s="104" t="str">
        <f>IF(H76&lt;0,"ERROR",IF(H76=0,"",IF(H76&lt;CONFIG!$B$4,"CRÍTICO",IF(H76&lt;CONFIG!$B$5,"BAJO","OK"))))</f>
        <v/>
      </c>
    </row>
    <row r="77" ht="15.75" hidden="1" customHeight="1">
      <c r="A77" s="90" t="str">
        <f>IF(CLIENTES!A5="","",CLIENTES!A5)</f>
        <v>Bravos</v>
      </c>
      <c r="B77" s="90" t="s">
        <v>321</v>
      </c>
      <c r="C77" s="91" t="s">
        <v>322</v>
      </c>
      <c r="D77" s="109" t="s">
        <v>353</v>
      </c>
      <c r="E77" s="67" t="str">
        <f>COLORES!A20</f>
        <v/>
      </c>
      <c r="F77" s="67" t="str">
        <f>COLORES!B20</f>
        <v/>
      </c>
      <c r="G77" s="90" t="s">
        <v>377</v>
      </c>
      <c r="H77" s="100">
        <f>IFERROR(SUMIFS(MOVIMIENTOS_COMPLEMENTOS!$I$4:$I$803,MOVIMIENTOS_COMPLEMENTOS!$C$4:$C$803,A77,MOVIMIENTOS_COMPLEMENTOS!$D$4:$D$803,B77,MOVIMIENTOS_COMPLEMENTOS!$E$4:$E$803,C77,MOVIMIENTOS_COMPLEMENTOS!$G$4:$G$803,E77,MOVIMIENTOS_COMPLEMENTOS!$H$4:$H$803,G77,MOVIMIENTOS_COMPLEMENTOS!$B$4:$B$803,"INGRESO")+SUMIFS(MOVIMIENTOS_COMPLEMENTOS!$I$4:$I$803,MOVIMIENTOS_COMPLEMENTOS!$C$4:$C$803,A77,MOVIMIENTOS_COMPLEMENTOS!$D$4:$D$803,B77,MOVIMIENTOS_COMPLEMENTOS!$E$4:$E$803,C77,MOVIMIENTOS_COMPLEMENTOS!$G$4:$G$803,E77,MOVIMIENTOS_COMPLEMENTOS!$H$4:$H$803,G77,MOVIMIENTOS_COMPLEMENTOS!$B$4:$B$803,"DE CORTE")-SUMIFS(MOVIMIENTOS_COMPLEMENTOS!$I$4:$I$803,MOVIMIENTOS_COMPLEMENTOS!$C$4:$C$803,A77,MOVIMIENTOS_COMPLEMENTOS!$D$4:$D$803,B77,MOVIMIENTOS_COMPLEMENTOS!$E$4:$E$803,C77,MOVIMIENTOS_COMPLEMENTOS!$G$4:$G$803,E77,MOVIMIENTOS_COMPLEMENTOS!$H$4:$H$803,G77,MOVIMIENTOS_COMPLEMENTOS!$B$4:$B$803,"SALIDA"),0)</f>
        <v>0</v>
      </c>
      <c r="I77" s="102">
        <f t="array" ref="I77">IFERROR(INDEX(PRECIOS_COMPLEMENTOS!$C$4:$F$17,MATCH(B77&amp;"_"&amp;C77,PRECIOS_COMPLEMENTOS!$H$4:$H$17,0),IF(OR(G77="S",G77="20cm"),1,IF(OR(G77="M",G77="25cm"),2,IF(OR(G77="L",G77="30cm"),3,IF(OR(G77="XL",G77="35cm"),4,0))))),0)</f>
        <v>0.75</v>
      </c>
      <c r="J77" s="103">
        <f t="shared" si="1"/>
        <v>0</v>
      </c>
      <c r="K77" s="104" t="str">
        <f>IF(H77&lt;0,"ERROR",IF(H77=0,"",IF(H77&lt;CONFIG!$B$4,"CRÍTICO",IF(H77&lt;CONFIG!$B$5,"BAJO","OK"))))</f>
        <v/>
      </c>
    </row>
    <row r="78" ht="15.75" hidden="1" customHeight="1">
      <c r="A78" s="90" t="str">
        <f>IF(CLIENTES!A5="","",CLIENTES!A5)</f>
        <v>Bravos</v>
      </c>
      <c r="B78" s="90" t="s">
        <v>321</v>
      </c>
      <c r="C78" s="91" t="s">
        <v>322</v>
      </c>
      <c r="D78" s="109" t="s">
        <v>353</v>
      </c>
      <c r="E78" s="67" t="str">
        <f>COLORES!A21</f>
        <v/>
      </c>
      <c r="F78" s="67" t="str">
        <f>COLORES!B21</f>
        <v/>
      </c>
      <c r="G78" s="90" t="s">
        <v>376</v>
      </c>
      <c r="H78" s="100">
        <f>IFERROR(SUMIFS(MOVIMIENTOS_COMPLEMENTOS!$I$4:$I$803,MOVIMIENTOS_COMPLEMENTOS!$C$4:$C$803,A78,MOVIMIENTOS_COMPLEMENTOS!$D$4:$D$803,B78,MOVIMIENTOS_COMPLEMENTOS!$E$4:$E$803,C78,MOVIMIENTOS_COMPLEMENTOS!$G$4:$G$803,E78,MOVIMIENTOS_COMPLEMENTOS!$H$4:$H$803,G78,MOVIMIENTOS_COMPLEMENTOS!$B$4:$B$803,"INGRESO")+SUMIFS(MOVIMIENTOS_COMPLEMENTOS!$I$4:$I$803,MOVIMIENTOS_COMPLEMENTOS!$C$4:$C$803,A78,MOVIMIENTOS_COMPLEMENTOS!$D$4:$D$803,B78,MOVIMIENTOS_COMPLEMENTOS!$E$4:$E$803,C78,MOVIMIENTOS_COMPLEMENTOS!$G$4:$G$803,E78,MOVIMIENTOS_COMPLEMENTOS!$H$4:$H$803,G78,MOVIMIENTOS_COMPLEMENTOS!$B$4:$B$803,"DE CORTE")-SUMIFS(MOVIMIENTOS_COMPLEMENTOS!$I$4:$I$803,MOVIMIENTOS_COMPLEMENTOS!$C$4:$C$803,A78,MOVIMIENTOS_COMPLEMENTOS!$D$4:$D$803,B78,MOVIMIENTOS_COMPLEMENTOS!$E$4:$E$803,C78,MOVIMIENTOS_COMPLEMENTOS!$G$4:$G$803,E78,MOVIMIENTOS_COMPLEMENTOS!$H$4:$H$803,G78,MOVIMIENTOS_COMPLEMENTOS!$B$4:$B$803,"SALIDA"),0)</f>
        <v>0</v>
      </c>
      <c r="I78" s="102">
        <f t="array" ref="I78">IFERROR(INDEX(PRECIOS_COMPLEMENTOS!$C$4:$F$17,MATCH(B78&amp;"_"&amp;C78,PRECIOS_COMPLEMENTOS!$H$4:$H$17,0),IF(OR(G78="S",G78="20cm"),1,IF(OR(G78="M",G78="25cm"),2,IF(OR(G78="L",G78="30cm"),3,IF(OR(G78="XL",G78="35cm"),4,0))))),0)</f>
        <v>0.7</v>
      </c>
      <c r="J78" s="103">
        <f t="shared" si="1"/>
        <v>0</v>
      </c>
      <c r="K78" s="104" t="str">
        <f>IF(H78&lt;0,"ERROR",IF(H78=0,"",IF(H78&lt;CONFIG!$B$4,"CRÍTICO",IF(H78&lt;CONFIG!$B$5,"BAJO","OK"))))</f>
        <v/>
      </c>
    </row>
    <row r="79" ht="15.75" hidden="1" customHeight="1">
      <c r="A79" s="90" t="str">
        <f>IF(CLIENTES!A5="","",CLIENTES!A5)</f>
        <v>Bravos</v>
      </c>
      <c r="B79" s="90" t="s">
        <v>321</v>
      </c>
      <c r="C79" s="91" t="s">
        <v>322</v>
      </c>
      <c r="D79" s="109" t="s">
        <v>353</v>
      </c>
      <c r="E79" s="67" t="str">
        <f>COLORES!A21</f>
        <v/>
      </c>
      <c r="F79" s="67" t="str">
        <f>COLORES!B21</f>
        <v/>
      </c>
      <c r="G79" s="90" t="s">
        <v>377</v>
      </c>
      <c r="H79" s="100">
        <f>IFERROR(SUMIFS(MOVIMIENTOS_COMPLEMENTOS!$I$4:$I$803,MOVIMIENTOS_COMPLEMENTOS!$C$4:$C$803,A79,MOVIMIENTOS_COMPLEMENTOS!$D$4:$D$803,B79,MOVIMIENTOS_COMPLEMENTOS!$E$4:$E$803,C79,MOVIMIENTOS_COMPLEMENTOS!$G$4:$G$803,E79,MOVIMIENTOS_COMPLEMENTOS!$H$4:$H$803,G79,MOVIMIENTOS_COMPLEMENTOS!$B$4:$B$803,"INGRESO")+SUMIFS(MOVIMIENTOS_COMPLEMENTOS!$I$4:$I$803,MOVIMIENTOS_COMPLEMENTOS!$C$4:$C$803,A79,MOVIMIENTOS_COMPLEMENTOS!$D$4:$D$803,B79,MOVIMIENTOS_COMPLEMENTOS!$E$4:$E$803,C79,MOVIMIENTOS_COMPLEMENTOS!$G$4:$G$803,E79,MOVIMIENTOS_COMPLEMENTOS!$H$4:$H$803,G79,MOVIMIENTOS_COMPLEMENTOS!$B$4:$B$803,"DE CORTE")-SUMIFS(MOVIMIENTOS_COMPLEMENTOS!$I$4:$I$803,MOVIMIENTOS_COMPLEMENTOS!$C$4:$C$803,A79,MOVIMIENTOS_COMPLEMENTOS!$D$4:$D$803,B79,MOVIMIENTOS_COMPLEMENTOS!$E$4:$E$803,C79,MOVIMIENTOS_COMPLEMENTOS!$G$4:$G$803,E79,MOVIMIENTOS_COMPLEMENTOS!$H$4:$H$803,G79,MOVIMIENTOS_COMPLEMENTOS!$B$4:$B$803,"SALIDA"),0)</f>
        <v>0</v>
      </c>
      <c r="I79" s="102">
        <f t="array" ref="I79">IFERROR(INDEX(PRECIOS_COMPLEMENTOS!$C$4:$F$17,MATCH(B79&amp;"_"&amp;C79,PRECIOS_COMPLEMENTOS!$H$4:$H$17,0),IF(OR(G79="S",G79="20cm"),1,IF(OR(G79="M",G79="25cm"),2,IF(OR(G79="L",G79="30cm"),3,IF(OR(G79="XL",G79="35cm"),4,0))))),0)</f>
        <v>0.75</v>
      </c>
      <c r="J79" s="103">
        <f t="shared" si="1"/>
        <v>0</v>
      </c>
      <c r="K79" s="104" t="str">
        <f>IF(H79&lt;0,"ERROR",IF(H79=0,"",IF(H79&lt;CONFIG!$B$4,"CRÍTICO",IF(H79&lt;CONFIG!$B$5,"BAJO","OK"))))</f>
        <v/>
      </c>
    </row>
    <row r="80" ht="15.75" hidden="1" customHeight="1">
      <c r="A80" s="90" t="str">
        <f>IF(CLIENTES!A5="","",CLIENTES!A5)</f>
        <v>Bravos</v>
      </c>
      <c r="B80" s="90" t="s">
        <v>321</v>
      </c>
      <c r="C80" s="91" t="s">
        <v>322</v>
      </c>
      <c r="D80" s="109" t="s">
        <v>353</v>
      </c>
      <c r="E80" s="67" t="str">
        <f>COLORES!A22</f>
        <v/>
      </c>
      <c r="F80" s="67" t="str">
        <f>COLORES!B22</f>
        <v/>
      </c>
      <c r="G80" s="90" t="s">
        <v>376</v>
      </c>
      <c r="H80" s="100">
        <f>IFERROR(SUMIFS(MOVIMIENTOS_COMPLEMENTOS!$I$4:$I$803,MOVIMIENTOS_COMPLEMENTOS!$C$4:$C$803,A80,MOVIMIENTOS_COMPLEMENTOS!$D$4:$D$803,B80,MOVIMIENTOS_COMPLEMENTOS!$E$4:$E$803,C80,MOVIMIENTOS_COMPLEMENTOS!$G$4:$G$803,E80,MOVIMIENTOS_COMPLEMENTOS!$H$4:$H$803,G80,MOVIMIENTOS_COMPLEMENTOS!$B$4:$B$803,"INGRESO")+SUMIFS(MOVIMIENTOS_COMPLEMENTOS!$I$4:$I$803,MOVIMIENTOS_COMPLEMENTOS!$C$4:$C$803,A80,MOVIMIENTOS_COMPLEMENTOS!$D$4:$D$803,B80,MOVIMIENTOS_COMPLEMENTOS!$E$4:$E$803,C80,MOVIMIENTOS_COMPLEMENTOS!$G$4:$G$803,E80,MOVIMIENTOS_COMPLEMENTOS!$H$4:$H$803,G80,MOVIMIENTOS_COMPLEMENTOS!$B$4:$B$803,"DE CORTE")-SUMIFS(MOVIMIENTOS_COMPLEMENTOS!$I$4:$I$803,MOVIMIENTOS_COMPLEMENTOS!$C$4:$C$803,A80,MOVIMIENTOS_COMPLEMENTOS!$D$4:$D$803,B80,MOVIMIENTOS_COMPLEMENTOS!$E$4:$E$803,C80,MOVIMIENTOS_COMPLEMENTOS!$G$4:$G$803,E80,MOVIMIENTOS_COMPLEMENTOS!$H$4:$H$803,G80,MOVIMIENTOS_COMPLEMENTOS!$B$4:$B$803,"SALIDA"),0)</f>
        <v>0</v>
      </c>
      <c r="I80" s="102">
        <f t="array" ref="I80">IFERROR(INDEX(PRECIOS_COMPLEMENTOS!$C$4:$F$17,MATCH(B80&amp;"_"&amp;C80,PRECIOS_COMPLEMENTOS!$H$4:$H$17,0),IF(OR(G80="S",G80="20cm"),1,IF(OR(G80="M",G80="25cm"),2,IF(OR(G80="L",G80="30cm"),3,IF(OR(G80="XL",G80="35cm"),4,0))))),0)</f>
        <v>0.7</v>
      </c>
      <c r="J80" s="103">
        <f t="shared" si="1"/>
        <v>0</v>
      </c>
      <c r="K80" s="104" t="str">
        <f>IF(H80&lt;0,"ERROR",IF(H80=0,"",IF(H80&lt;CONFIG!$B$4,"CRÍTICO",IF(H80&lt;CONFIG!$B$5,"BAJO","OK"))))</f>
        <v/>
      </c>
    </row>
    <row r="81" ht="15.75" hidden="1" customHeight="1">
      <c r="A81" s="90" t="str">
        <f>IF(CLIENTES!A5="","",CLIENTES!A5)</f>
        <v>Bravos</v>
      </c>
      <c r="B81" s="90" t="s">
        <v>321</v>
      </c>
      <c r="C81" s="91" t="s">
        <v>322</v>
      </c>
      <c r="D81" s="109" t="s">
        <v>353</v>
      </c>
      <c r="E81" s="67" t="str">
        <f>COLORES!A22</f>
        <v/>
      </c>
      <c r="F81" s="67" t="str">
        <f>COLORES!B22</f>
        <v/>
      </c>
      <c r="G81" s="90" t="s">
        <v>377</v>
      </c>
      <c r="H81" s="100">
        <f>IFERROR(SUMIFS(MOVIMIENTOS_COMPLEMENTOS!$I$4:$I$803,MOVIMIENTOS_COMPLEMENTOS!$C$4:$C$803,A81,MOVIMIENTOS_COMPLEMENTOS!$D$4:$D$803,B81,MOVIMIENTOS_COMPLEMENTOS!$E$4:$E$803,C81,MOVIMIENTOS_COMPLEMENTOS!$G$4:$G$803,E81,MOVIMIENTOS_COMPLEMENTOS!$H$4:$H$803,G81,MOVIMIENTOS_COMPLEMENTOS!$B$4:$B$803,"INGRESO")+SUMIFS(MOVIMIENTOS_COMPLEMENTOS!$I$4:$I$803,MOVIMIENTOS_COMPLEMENTOS!$C$4:$C$803,A81,MOVIMIENTOS_COMPLEMENTOS!$D$4:$D$803,B81,MOVIMIENTOS_COMPLEMENTOS!$E$4:$E$803,C81,MOVIMIENTOS_COMPLEMENTOS!$G$4:$G$803,E81,MOVIMIENTOS_COMPLEMENTOS!$H$4:$H$803,G81,MOVIMIENTOS_COMPLEMENTOS!$B$4:$B$803,"DE CORTE")-SUMIFS(MOVIMIENTOS_COMPLEMENTOS!$I$4:$I$803,MOVIMIENTOS_COMPLEMENTOS!$C$4:$C$803,A81,MOVIMIENTOS_COMPLEMENTOS!$D$4:$D$803,B81,MOVIMIENTOS_COMPLEMENTOS!$E$4:$E$803,C81,MOVIMIENTOS_COMPLEMENTOS!$G$4:$G$803,E81,MOVIMIENTOS_COMPLEMENTOS!$H$4:$H$803,G81,MOVIMIENTOS_COMPLEMENTOS!$B$4:$B$803,"SALIDA"),0)</f>
        <v>0</v>
      </c>
      <c r="I81" s="102">
        <f t="array" ref="I81">IFERROR(INDEX(PRECIOS_COMPLEMENTOS!$C$4:$F$17,MATCH(B81&amp;"_"&amp;C81,PRECIOS_COMPLEMENTOS!$H$4:$H$17,0),IF(OR(G81="S",G81="20cm"),1,IF(OR(G81="M",G81="25cm"),2,IF(OR(G81="L",G81="30cm"),3,IF(OR(G81="XL",G81="35cm"),4,0))))),0)</f>
        <v>0.75</v>
      </c>
      <c r="J81" s="103">
        <f t="shared" si="1"/>
        <v>0</v>
      </c>
      <c r="K81" s="104" t="str">
        <f>IF(H81&lt;0,"ERROR",IF(H81=0,"",IF(H81&lt;CONFIG!$B$4,"CRÍTICO",IF(H81&lt;CONFIG!$B$5,"BAJO","OK"))))</f>
        <v/>
      </c>
    </row>
    <row r="82" ht="15.75" hidden="1" customHeight="1">
      <c r="A82" s="90" t="str">
        <f>IF(CLIENTES!A5="","",CLIENTES!A5)</f>
        <v>Bravos</v>
      </c>
      <c r="B82" s="90" t="s">
        <v>321</v>
      </c>
      <c r="C82" s="91" t="s">
        <v>322</v>
      </c>
      <c r="D82" s="109" t="s">
        <v>353</v>
      </c>
      <c r="E82" s="67" t="str">
        <f>COLORES!A23</f>
        <v/>
      </c>
      <c r="F82" s="67" t="str">
        <f>COLORES!B23</f>
        <v/>
      </c>
      <c r="G82" s="90" t="s">
        <v>376</v>
      </c>
      <c r="H82" s="100">
        <f>IFERROR(SUMIFS(MOVIMIENTOS_COMPLEMENTOS!$I$4:$I$803,MOVIMIENTOS_COMPLEMENTOS!$C$4:$C$803,A82,MOVIMIENTOS_COMPLEMENTOS!$D$4:$D$803,B82,MOVIMIENTOS_COMPLEMENTOS!$E$4:$E$803,C82,MOVIMIENTOS_COMPLEMENTOS!$G$4:$G$803,E82,MOVIMIENTOS_COMPLEMENTOS!$H$4:$H$803,G82,MOVIMIENTOS_COMPLEMENTOS!$B$4:$B$803,"INGRESO")+SUMIFS(MOVIMIENTOS_COMPLEMENTOS!$I$4:$I$803,MOVIMIENTOS_COMPLEMENTOS!$C$4:$C$803,A82,MOVIMIENTOS_COMPLEMENTOS!$D$4:$D$803,B82,MOVIMIENTOS_COMPLEMENTOS!$E$4:$E$803,C82,MOVIMIENTOS_COMPLEMENTOS!$G$4:$G$803,E82,MOVIMIENTOS_COMPLEMENTOS!$H$4:$H$803,G82,MOVIMIENTOS_COMPLEMENTOS!$B$4:$B$803,"DE CORTE")-SUMIFS(MOVIMIENTOS_COMPLEMENTOS!$I$4:$I$803,MOVIMIENTOS_COMPLEMENTOS!$C$4:$C$803,A82,MOVIMIENTOS_COMPLEMENTOS!$D$4:$D$803,B82,MOVIMIENTOS_COMPLEMENTOS!$E$4:$E$803,C82,MOVIMIENTOS_COMPLEMENTOS!$G$4:$G$803,E82,MOVIMIENTOS_COMPLEMENTOS!$H$4:$H$803,G82,MOVIMIENTOS_COMPLEMENTOS!$B$4:$B$803,"SALIDA"),0)</f>
        <v>0</v>
      </c>
      <c r="I82" s="102">
        <f t="array" ref="I82">IFERROR(INDEX(PRECIOS_COMPLEMENTOS!$C$4:$F$17,MATCH(B82&amp;"_"&amp;C82,PRECIOS_COMPLEMENTOS!$H$4:$H$17,0),IF(OR(G82="S",G82="20cm"),1,IF(OR(G82="M",G82="25cm"),2,IF(OR(G82="L",G82="30cm"),3,IF(OR(G82="XL",G82="35cm"),4,0))))),0)</f>
        <v>0.7</v>
      </c>
      <c r="J82" s="103">
        <f t="shared" si="1"/>
        <v>0</v>
      </c>
      <c r="K82" s="104" t="str">
        <f>IF(H82&lt;0,"ERROR",IF(H82=0,"",IF(H82&lt;CONFIG!$B$4,"CRÍTICO",IF(H82&lt;CONFIG!$B$5,"BAJO","OK"))))</f>
        <v/>
      </c>
    </row>
    <row r="83" ht="15.75" hidden="1" customHeight="1">
      <c r="A83" s="90" t="str">
        <f>IF(CLIENTES!A5="","",CLIENTES!A5)</f>
        <v>Bravos</v>
      </c>
      <c r="B83" s="90" t="s">
        <v>321</v>
      </c>
      <c r="C83" s="91" t="s">
        <v>322</v>
      </c>
      <c r="D83" s="109" t="s">
        <v>353</v>
      </c>
      <c r="E83" s="67" t="str">
        <f>COLORES!A23</f>
        <v/>
      </c>
      <c r="F83" s="67" t="str">
        <f>COLORES!B23</f>
        <v/>
      </c>
      <c r="G83" s="90" t="s">
        <v>377</v>
      </c>
      <c r="H83" s="100">
        <f>IFERROR(SUMIFS(MOVIMIENTOS_COMPLEMENTOS!$I$4:$I$803,MOVIMIENTOS_COMPLEMENTOS!$C$4:$C$803,A83,MOVIMIENTOS_COMPLEMENTOS!$D$4:$D$803,B83,MOVIMIENTOS_COMPLEMENTOS!$E$4:$E$803,C83,MOVIMIENTOS_COMPLEMENTOS!$G$4:$G$803,E83,MOVIMIENTOS_COMPLEMENTOS!$H$4:$H$803,G83,MOVIMIENTOS_COMPLEMENTOS!$B$4:$B$803,"INGRESO")+SUMIFS(MOVIMIENTOS_COMPLEMENTOS!$I$4:$I$803,MOVIMIENTOS_COMPLEMENTOS!$C$4:$C$803,A83,MOVIMIENTOS_COMPLEMENTOS!$D$4:$D$803,B83,MOVIMIENTOS_COMPLEMENTOS!$E$4:$E$803,C83,MOVIMIENTOS_COMPLEMENTOS!$G$4:$G$803,E83,MOVIMIENTOS_COMPLEMENTOS!$H$4:$H$803,G83,MOVIMIENTOS_COMPLEMENTOS!$B$4:$B$803,"DE CORTE")-SUMIFS(MOVIMIENTOS_COMPLEMENTOS!$I$4:$I$803,MOVIMIENTOS_COMPLEMENTOS!$C$4:$C$803,A83,MOVIMIENTOS_COMPLEMENTOS!$D$4:$D$803,B83,MOVIMIENTOS_COMPLEMENTOS!$E$4:$E$803,C83,MOVIMIENTOS_COMPLEMENTOS!$G$4:$G$803,E83,MOVIMIENTOS_COMPLEMENTOS!$H$4:$H$803,G83,MOVIMIENTOS_COMPLEMENTOS!$B$4:$B$803,"SALIDA"),0)</f>
        <v>0</v>
      </c>
      <c r="I83" s="102">
        <f t="array" ref="I83">IFERROR(INDEX(PRECIOS_COMPLEMENTOS!$C$4:$F$17,MATCH(B83&amp;"_"&amp;C83,PRECIOS_COMPLEMENTOS!$H$4:$H$17,0),IF(OR(G83="S",G83="20cm"),1,IF(OR(G83="M",G83="25cm"),2,IF(OR(G83="L",G83="30cm"),3,IF(OR(G83="XL",G83="35cm"),4,0))))),0)</f>
        <v>0.75</v>
      </c>
      <c r="J83" s="103">
        <f t="shared" si="1"/>
        <v>0</v>
      </c>
      <c r="K83" s="104" t="str">
        <f>IF(H83&lt;0,"ERROR",IF(H83=0,"",IF(H83&lt;CONFIG!$B$4,"CRÍTICO",IF(H83&lt;CONFIG!$B$5,"BAJO","OK"))))</f>
        <v/>
      </c>
    </row>
    <row r="84" ht="15.75" hidden="1" customHeight="1">
      <c r="A84" s="90" t="str">
        <f>IF(CLIENTES!A6="","",CLIENTES!A6)</f>
        <v/>
      </c>
      <c r="B84" s="90" t="s">
        <v>321</v>
      </c>
      <c r="C84" s="91" t="s">
        <v>322</v>
      </c>
      <c r="D84" s="109" t="s">
        <v>353</v>
      </c>
      <c r="E84" s="67" t="str">
        <f>COLORES!A4</f>
        <v>Negro</v>
      </c>
      <c r="F84" s="67" t="str">
        <f>COLORES!B4</f>
        <v>OSCURO</v>
      </c>
      <c r="G84" s="90" t="s">
        <v>376</v>
      </c>
      <c r="H84" s="100">
        <f>IFERROR(SUMIFS(MOVIMIENTOS_COMPLEMENTOS!$I$4:$I$803,MOVIMIENTOS_COMPLEMENTOS!$C$4:$C$803,A84,MOVIMIENTOS_COMPLEMENTOS!$D$4:$D$803,B84,MOVIMIENTOS_COMPLEMENTOS!$E$4:$E$803,C84,MOVIMIENTOS_COMPLEMENTOS!$G$4:$G$803,E84,MOVIMIENTOS_COMPLEMENTOS!$H$4:$H$803,G84,MOVIMIENTOS_COMPLEMENTOS!$B$4:$B$803,"INGRESO")+SUMIFS(MOVIMIENTOS_COMPLEMENTOS!$I$4:$I$803,MOVIMIENTOS_COMPLEMENTOS!$C$4:$C$803,A84,MOVIMIENTOS_COMPLEMENTOS!$D$4:$D$803,B84,MOVIMIENTOS_COMPLEMENTOS!$E$4:$E$803,C84,MOVIMIENTOS_COMPLEMENTOS!$G$4:$G$803,E84,MOVIMIENTOS_COMPLEMENTOS!$H$4:$H$803,G84,MOVIMIENTOS_COMPLEMENTOS!$B$4:$B$803,"DE CORTE")-SUMIFS(MOVIMIENTOS_COMPLEMENTOS!$I$4:$I$803,MOVIMIENTOS_COMPLEMENTOS!$C$4:$C$803,A84,MOVIMIENTOS_COMPLEMENTOS!$D$4:$D$803,B84,MOVIMIENTOS_COMPLEMENTOS!$E$4:$E$803,C84,MOVIMIENTOS_COMPLEMENTOS!$G$4:$G$803,E84,MOVIMIENTOS_COMPLEMENTOS!$H$4:$H$803,G84,MOVIMIENTOS_COMPLEMENTOS!$B$4:$B$803,"SALIDA"),0)</f>
        <v>0</v>
      </c>
      <c r="I84" s="102">
        <f t="array" ref="I84">IFERROR(INDEX(PRECIOS_COMPLEMENTOS!$C$4:$F$17,MATCH(B84&amp;"_"&amp;C84,PRECIOS_COMPLEMENTOS!$H$4:$H$17,0),IF(OR(G84="S",G84="20cm"),1,IF(OR(G84="M",G84="25cm"),2,IF(OR(G84="L",G84="30cm"),3,IF(OR(G84="XL",G84="35cm"),4,0))))),0)</f>
        <v>0.7</v>
      </c>
      <c r="J84" s="103">
        <f t="shared" si="1"/>
        <v>0</v>
      </c>
      <c r="K84" s="104" t="str">
        <f>IF(H84&lt;0,"ERROR",IF(H84=0,"",IF(H84&lt;CONFIG!$B$4,"CRÍTICO",IF(H84&lt;CONFIG!$B$5,"BAJO","OK"))))</f>
        <v/>
      </c>
    </row>
    <row r="85" ht="15.75" hidden="1" customHeight="1">
      <c r="A85" s="90" t="str">
        <f>IF(CLIENTES!A6="","",CLIENTES!A6)</f>
        <v/>
      </c>
      <c r="B85" s="90" t="s">
        <v>321</v>
      </c>
      <c r="C85" s="91" t="s">
        <v>322</v>
      </c>
      <c r="D85" s="109" t="s">
        <v>353</v>
      </c>
      <c r="E85" s="67" t="str">
        <f>COLORES!A4</f>
        <v>Negro</v>
      </c>
      <c r="F85" s="67" t="str">
        <f>COLORES!B4</f>
        <v>OSCURO</v>
      </c>
      <c r="G85" s="90" t="s">
        <v>377</v>
      </c>
      <c r="H85" s="100">
        <f>IFERROR(SUMIFS(MOVIMIENTOS_COMPLEMENTOS!$I$4:$I$803,MOVIMIENTOS_COMPLEMENTOS!$C$4:$C$803,A85,MOVIMIENTOS_COMPLEMENTOS!$D$4:$D$803,B85,MOVIMIENTOS_COMPLEMENTOS!$E$4:$E$803,C85,MOVIMIENTOS_COMPLEMENTOS!$G$4:$G$803,E85,MOVIMIENTOS_COMPLEMENTOS!$H$4:$H$803,G85,MOVIMIENTOS_COMPLEMENTOS!$B$4:$B$803,"INGRESO")+SUMIFS(MOVIMIENTOS_COMPLEMENTOS!$I$4:$I$803,MOVIMIENTOS_COMPLEMENTOS!$C$4:$C$803,A85,MOVIMIENTOS_COMPLEMENTOS!$D$4:$D$803,B85,MOVIMIENTOS_COMPLEMENTOS!$E$4:$E$803,C85,MOVIMIENTOS_COMPLEMENTOS!$G$4:$G$803,E85,MOVIMIENTOS_COMPLEMENTOS!$H$4:$H$803,G85,MOVIMIENTOS_COMPLEMENTOS!$B$4:$B$803,"DE CORTE")-SUMIFS(MOVIMIENTOS_COMPLEMENTOS!$I$4:$I$803,MOVIMIENTOS_COMPLEMENTOS!$C$4:$C$803,A85,MOVIMIENTOS_COMPLEMENTOS!$D$4:$D$803,B85,MOVIMIENTOS_COMPLEMENTOS!$E$4:$E$803,C85,MOVIMIENTOS_COMPLEMENTOS!$G$4:$G$803,E85,MOVIMIENTOS_COMPLEMENTOS!$H$4:$H$803,G85,MOVIMIENTOS_COMPLEMENTOS!$B$4:$B$803,"SALIDA"),0)</f>
        <v>0</v>
      </c>
      <c r="I85" s="102">
        <f t="array" ref="I85">IFERROR(INDEX(PRECIOS_COMPLEMENTOS!$C$4:$F$17,MATCH(B85&amp;"_"&amp;C85,PRECIOS_COMPLEMENTOS!$H$4:$H$17,0),IF(OR(G85="S",G85="20cm"),1,IF(OR(G85="M",G85="25cm"),2,IF(OR(G85="L",G85="30cm"),3,IF(OR(G85="XL",G85="35cm"),4,0))))),0)</f>
        <v>0.75</v>
      </c>
      <c r="J85" s="103">
        <f t="shared" si="1"/>
        <v>0</v>
      </c>
      <c r="K85" s="104" t="str">
        <f>IF(H85&lt;0,"ERROR",IF(H85=0,"",IF(H85&lt;CONFIG!$B$4,"CRÍTICO",IF(H85&lt;CONFIG!$B$5,"BAJO","OK"))))</f>
        <v/>
      </c>
    </row>
    <row r="86" ht="15.75" hidden="1" customHeight="1">
      <c r="A86" s="90" t="str">
        <f>IF(CLIENTES!A6="","",CLIENTES!A6)</f>
        <v/>
      </c>
      <c r="B86" s="90" t="s">
        <v>321</v>
      </c>
      <c r="C86" s="91" t="s">
        <v>322</v>
      </c>
      <c r="D86" s="109" t="s">
        <v>353</v>
      </c>
      <c r="E86" s="67" t="str">
        <f>COLORES!A5</f>
        <v>Perla</v>
      </c>
      <c r="F86" s="67" t="str">
        <f>COLORES!B5</f>
        <v>PPT</v>
      </c>
      <c r="G86" s="90" t="s">
        <v>376</v>
      </c>
      <c r="H86" s="100">
        <f>IFERROR(SUMIFS(MOVIMIENTOS_COMPLEMENTOS!$I$4:$I$803,MOVIMIENTOS_COMPLEMENTOS!$C$4:$C$803,A86,MOVIMIENTOS_COMPLEMENTOS!$D$4:$D$803,B86,MOVIMIENTOS_COMPLEMENTOS!$E$4:$E$803,C86,MOVIMIENTOS_COMPLEMENTOS!$G$4:$G$803,E86,MOVIMIENTOS_COMPLEMENTOS!$H$4:$H$803,G86,MOVIMIENTOS_COMPLEMENTOS!$B$4:$B$803,"INGRESO")+SUMIFS(MOVIMIENTOS_COMPLEMENTOS!$I$4:$I$803,MOVIMIENTOS_COMPLEMENTOS!$C$4:$C$803,A86,MOVIMIENTOS_COMPLEMENTOS!$D$4:$D$803,B86,MOVIMIENTOS_COMPLEMENTOS!$E$4:$E$803,C86,MOVIMIENTOS_COMPLEMENTOS!$G$4:$G$803,E86,MOVIMIENTOS_COMPLEMENTOS!$H$4:$H$803,G86,MOVIMIENTOS_COMPLEMENTOS!$B$4:$B$803,"DE CORTE")-SUMIFS(MOVIMIENTOS_COMPLEMENTOS!$I$4:$I$803,MOVIMIENTOS_COMPLEMENTOS!$C$4:$C$803,A86,MOVIMIENTOS_COMPLEMENTOS!$D$4:$D$803,B86,MOVIMIENTOS_COMPLEMENTOS!$E$4:$E$803,C86,MOVIMIENTOS_COMPLEMENTOS!$G$4:$G$803,E86,MOVIMIENTOS_COMPLEMENTOS!$H$4:$H$803,G86,MOVIMIENTOS_COMPLEMENTOS!$B$4:$B$803,"SALIDA"),0)</f>
        <v>0</v>
      </c>
      <c r="I86" s="102">
        <f t="array" ref="I86">IFERROR(INDEX(PRECIOS_COMPLEMENTOS!$C$4:$F$17,MATCH(B86&amp;"_"&amp;C86,PRECIOS_COMPLEMENTOS!$H$4:$H$17,0),IF(OR(G86="S",G86="20cm"),1,IF(OR(G86="M",G86="25cm"),2,IF(OR(G86="L",G86="30cm"),3,IF(OR(G86="XL",G86="35cm"),4,0))))),0)</f>
        <v>0.7</v>
      </c>
      <c r="J86" s="103">
        <f t="shared" si="1"/>
        <v>0</v>
      </c>
      <c r="K86" s="104" t="str">
        <f>IF(H86&lt;0,"ERROR",IF(H86=0,"",IF(H86&lt;CONFIG!$B$4,"CRÍTICO",IF(H86&lt;CONFIG!$B$5,"BAJO","OK"))))</f>
        <v/>
      </c>
    </row>
    <row r="87" ht="15.75" hidden="1" customHeight="1">
      <c r="A87" s="90" t="str">
        <f>IF(CLIENTES!A6="","",CLIENTES!A6)</f>
        <v/>
      </c>
      <c r="B87" s="90" t="s">
        <v>321</v>
      </c>
      <c r="C87" s="91" t="s">
        <v>322</v>
      </c>
      <c r="D87" s="109" t="s">
        <v>353</v>
      </c>
      <c r="E87" s="67" t="str">
        <f>COLORES!A5</f>
        <v>Perla</v>
      </c>
      <c r="F87" s="67" t="str">
        <f>COLORES!B5</f>
        <v>PPT</v>
      </c>
      <c r="G87" s="90" t="s">
        <v>377</v>
      </c>
      <c r="H87" s="100">
        <f>IFERROR(SUMIFS(MOVIMIENTOS_COMPLEMENTOS!$I$4:$I$803,MOVIMIENTOS_COMPLEMENTOS!$C$4:$C$803,A87,MOVIMIENTOS_COMPLEMENTOS!$D$4:$D$803,B87,MOVIMIENTOS_COMPLEMENTOS!$E$4:$E$803,C87,MOVIMIENTOS_COMPLEMENTOS!$G$4:$G$803,E87,MOVIMIENTOS_COMPLEMENTOS!$H$4:$H$803,G87,MOVIMIENTOS_COMPLEMENTOS!$B$4:$B$803,"INGRESO")+SUMIFS(MOVIMIENTOS_COMPLEMENTOS!$I$4:$I$803,MOVIMIENTOS_COMPLEMENTOS!$C$4:$C$803,A87,MOVIMIENTOS_COMPLEMENTOS!$D$4:$D$803,B87,MOVIMIENTOS_COMPLEMENTOS!$E$4:$E$803,C87,MOVIMIENTOS_COMPLEMENTOS!$G$4:$G$803,E87,MOVIMIENTOS_COMPLEMENTOS!$H$4:$H$803,G87,MOVIMIENTOS_COMPLEMENTOS!$B$4:$B$803,"DE CORTE")-SUMIFS(MOVIMIENTOS_COMPLEMENTOS!$I$4:$I$803,MOVIMIENTOS_COMPLEMENTOS!$C$4:$C$803,A87,MOVIMIENTOS_COMPLEMENTOS!$D$4:$D$803,B87,MOVIMIENTOS_COMPLEMENTOS!$E$4:$E$803,C87,MOVIMIENTOS_COMPLEMENTOS!$G$4:$G$803,E87,MOVIMIENTOS_COMPLEMENTOS!$H$4:$H$803,G87,MOVIMIENTOS_COMPLEMENTOS!$B$4:$B$803,"SALIDA"),0)</f>
        <v>0</v>
      </c>
      <c r="I87" s="102">
        <f t="array" ref="I87">IFERROR(INDEX(PRECIOS_COMPLEMENTOS!$C$4:$F$17,MATCH(B87&amp;"_"&amp;C87,PRECIOS_COMPLEMENTOS!$H$4:$H$17,0),IF(OR(G87="S",G87="20cm"),1,IF(OR(G87="M",G87="25cm"),2,IF(OR(G87="L",G87="30cm"),3,IF(OR(G87="XL",G87="35cm"),4,0))))),0)</f>
        <v>0.75</v>
      </c>
      <c r="J87" s="103">
        <f t="shared" si="1"/>
        <v>0</v>
      </c>
      <c r="K87" s="104" t="str">
        <f>IF(H87&lt;0,"ERROR",IF(H87=0,"",IF(H87&lt;CONFIG!$B$4,"CRÍTICO",IF(H87&lt;CONFIG!$B$5,"BAJO","OK"))))</f>
        <v/>
      </c>
    </row>
    <row r="88" ht="15.75" hidden="1" customHeight="1">
      <c r="A88" s="90" t="str">
        <f>IF(CLIENTES!A6="","",CLIENTES!A6)</f>
        <v/>
      </c>
      <c r="B88" s="90" t="s">
        <v>321</v>
      </c>
      <c r="C88" s="91" t="s">
        <v>322</v>
      </c>
      <c r="D88" s="109" t="s">
        <v>353</v>
      </c>
      <c r="E88" s="67" t="str">
        <f>COLORES!A6</f>
        <v>Blanco</v>
      </c>
      <c r="F88" s="67" t="str">
        <f>COLORES!B6</f>
        <v>PPT</v>
      </c>
      <c r="G88" s="90" t="s">
        <v>376</v>
      </c>
      <c r="H88" s="100">
        <f>IFERROR(SUMIFS(MOVIMIENTOS_COMPLEMENTOS!$I$4:$I$803,MOVIMIENTOS_COMPLEMENTOS!$C$4:$C$803,A88,MOVIMIENTOS_COMPLEMENTOS!$D$4:$D$803,B88,MOVIMIENTOS_COMPLEMENTOS!$E$4:$E$803,C88,MOVIMIENTOS_COMPLEMENTOS!$G$4:$G$803,E88,MOVIMIENTOS_COMPLEMENTOS!$H$4:$H$803,G88,MOVIMIENTOS_COMPLEMENTOS!$B$4:$B$803,"INGRESO")+SUMIFS(MOVIMIENTOS_COMPLEMENTOS!$I$4:$I$803,MOVIMIENTOS_COMPLEMENTOS!$C$4:$C$803,A88,MOVIMIENTOS_COMPLEMENTOS!$D$4:$D$803,B88,MOVIMIENTOS_COMPLEMENTOS!$E$4:$E$803,C88,MOVIMIENTOS_COMPLEMENTOS!$G$4:$G$803,E88,MOVIMIENTOS_COMPLEMENTOS!$H$4:$H$803,G88,MOVIMIENTOS_COMPLEMENTOS!$B$4:$B$803,"DE CORTE")-SUMIFS(MOVIMIENTOS_COMPLEMENTOS!$I$4:$I$803,MOVIMIENTOS_COMPLEMENTOS!$C$4:$C$803,A88,MOVIMIENTOS_COMPLEMENTOS!$D$4:$D$803,B88,MOVIMIENTOS_COMPLEMENTOS!$E$4:$E$803,C88,MOVIMIENTOS_COMPLEMENTOS!$G$4:$G$803,E88,MOVIMIENTOS_COMPLEMENTOS!$H$4:$H$803,G88,MOVIMIENTOS_COMPLEMENTOS!$B$4:$B$803,"SALIDA"),0)</f>
        <v>0</v>
      </c>
      <c r="I88" s="102">
        <f t="array" ref="I88">IFERROR(INDEX(PRECIOS_COMPLEMENTOS!$C$4:$F$17,MATCH(B88&amp;"_"&amp;C88,PRECIOS_COMPLEMENTOS!$H$4:$H$17,0),IF(OR(G88="S",G88="20cm"),1,IF(OR(G88="M",G88="25cm"),2,IF(OR(G88="L",G88="30cm"),3,IF(OR(G88="XL",G88="35cm"),4,0))))),0)</f>
        <v>0.7</v>
      </c>
      <c r="J88" s="103">
        <f t="shared" si="1"/>
        <v>0</v>
      </c>
      <c r="K88" s="104" t="str">
        <f>IF(H88&lt;0,"ERROR",IF(H88=0,"",IF(H88&lt;CONFIG!$B$4,"CRÍTICO",IF(H88&lt;CONFIG!$B$5,"BAJO","OK"))))</f>
        <v/>
      </c>
    </row>
    <row r="89" ht="15.75" hidden="1" customHeight="1">
      <c r="A89" s="90" t="str">
        <f>IF(CLIENTES!A6="","",CLIENTES!A6)</f>
        <v/>
      </c>
      <c r="B89" s="90" t="s">
        <v>321</v>
      </c>
      <c r="C89" s="91" t="s">
        <v>322</v>
      </c>
      <c r="D89" s="109" t="s">
        <v>353</v>
      </c>
      <c r="E89" s="67" t="str">
        <f>COLORES!A6</f>
        <v>Blanco</v>
      </c>
      <c r="F89" s="67" t="str">
        <f>COLORES!B6</f>
        <v>PPT</v>
      </c>
      <c r="G89" s="90" t="s">
        <v>377</v>
      </c>
      <c r="H89" s="100">
        <f>IFERROR(SUMIFS(MOVIMIENTOS_COMPLEMENTOS!$I$4:$I$803,MOVIMIENTOS_COMPLEMENTOS!$C$4:$C$803,A89,MOVIMIENTOS_COMPLEMENTOS!$D$4:$D$803,B89,MOVIMIENTOS_COMPLEMENTOS!$E$4:$E$803,C89,MOVIMIENTOS_COMPLEMENTOS!$G$4:$G$803,E89,MOVIMIENTOS_COMPLEMENTOS!$H$4:$H$803,G89,MOVIMIENTOS_COMPLEMENTOS!$B$4:$B$803,"INGRESO")+SUMIFS(MOVIMIENTOS_COMPLEMENTOS!$I$4:$I$803,MOVIMIENTOS_COMPLEMENTOS!$C$4:$C$803,A89,MOVIMIENTOS_COMPLEMENTOS!$D$4:$D$803,B89,MOVIMIENTOS_COMPLEMENTOS!$E$4:$E$803,C89,MOVIMIENTOS_COMPLEMENTOS!$G$4:$G$803,E89,MOVIMIENTOS_COMPLEMENTOS!$H$4:$H$803,G89,MOVIMIENTOS_COMPLEMENTOS!$B$4:$B$803,"DE CORTE")-SUMIFS(MOVIMIENTOS_COMPLEMENTOS!$I$4:$I$803,MOVIMIENTOS_COMPLEMENTOS!$C$4:$C$803,A89,MOVIMIENTOS_COMPLEMENTOS!$D$4:$D$803,B89,MOVIMIENTOS_COMPLEMENTOS!$E$4:$E$803,C89,MOVIMIENTOS_COMPLEMENTOS!$G$4:$G$803,E89,MOVIMIENTOS_COMPLEMENTOS!$H$4:$H$803,G89,MOVIMIENTOS_COMPLEMENTOS!$B$4:$B$803,"SALIDA"),0)</f>
        <v>0</v>
      </c>
      <c r="I89" s="102">
        <f t="array" ref="I89">IFERROR(INDEX(PRECIOS_COMPLEMENTOS!$C$4:$F$17,MATCH(B89&amp;"_"&amp;C89,PRECIOS_COMPLEMENTOS!$H$4:$H$17,0),IF(OR(G89="S",G89="20cm"),1,IF(OR(G89="M",G89="25cm"),2,IF(OR(G89="L",G89="30cm"),3,IF(OR(G89="XL",G89="35cm"),4,0))))),0)</f>
        <v>0.75</v>
      </c>
      <c r="J89" s="103">
        <f t="shared" si="1"/>
        <v>0</v>
      </c>
      <c r="K89" s="104" t="str">
        <f>IF(H89&lt;0,"ERROR",IF(H89=0,"",IF(H89&lt;CONFIG!$B$4,"CRÍTICO",IF(H89&lt;CONFIG!$B$5,"BAJO","OK"))))</f>
        <v/>
      </c>
    </row>
    <row r="90" ht="15.75" hidden="1" customHeight="1">
      <c r="A90" s="90" t="str">
        <f>IF(CLIENTES!A6="","",CLIENTES!A6)</f>
        <v/>
      </c>
      <c r="B90" s="90" t="s">
        <v>321</v>
      </c>
      <c r="C90" s="91" t="s">
        <v>322</v>
      </c>
      <c r="D90" s="109" t="s">
        <v>353</v>
      </c>
      <c r="E90" s="67" t="str">
        <f>COLORES!A7</f>
        <v>Azul</v>
      </c>
      <c r="F90" s="67" t="str">
        <f>COLORES!B7</f>
        <v>OSCURO</v>
      </c>
      <c r="G90" s="90" t="s">
        <v>376</v>
      </c>
      <c r="H90" s="100">
        <f>IFERROR(SUMIFS(MOVIMIENTOS_COMPLEMENTOS!$I$4:$I$803,MOVIMIENTOS_COMPLEMENTOS!$C$4:$C$803,A90,MOVIMIENTOS_COMPLEMENTOS!$D$4:$D$803,B90,MOVIMIENTOS_COMPLEMENTOS!$E$4:$E$803,C90,MOVIMIENTOS_COMPLEMENTOS!$G$4:$G$803,E90,MOVIMIENTOS_COMPLEMENTOS!$H$4:$H$803,G90,MOVIMIENTOS_COMPLEMENTOS!$B$4:$B$803,"INGRESO")+SUMIFS(MOVIMIENTOS_COMPLEMENTOS!$I$4:$I$803,MOVIMIENTOS_COMPLEMENTOS!$C$4:$C$803,A90,MOVIMIENTOS_COMPLEMENTOS!$D$4:$D$803,B90,MOVIMIENTOS_COMPLEMENTOS!$E$4:$E$803,C90,MOVIMIENTOS_COMPLEMENTOS!$G$4:$G$803,E90,MOVIMIENTOS_COMPLEMENTOS!$H$4:$H$803,G90,MOVIMIENTOS_COMPLEMENTOS!$B$4:$B$803,"DE CORTE")-SUMIFS(MOVIMIENTOS_COMPLEMENTOS!$I$4:$I$803,MOVIMIENTOS_COMPLEMENTOS!$C$4:$C$803,A90,MOVIMIENTOS_COMPLEMENTOS!$D$4:$D$803,B90,MOVIMIENTOS_COMPLEMENTOS!$E$4:$E$803,C90,MOVIMIENTOS_COMPLEMENTOS!$G$4:$G$803,E90,MOVIMIENTOS_COMPLEMENTOS!$H$4:$H$803,G90,MOVIMIENTOS_COMPLEMENTOS!$B$4:$B$803,"SALIDA"),0)</f>
        <v>0</v>
      </c>
      <c r="I90" s="102">
        <f t="array" ref="I90">IFERROR(INDEX(PRECIOS_COMPLEMENTOS!$C$4:$F$17,MATCH(B90&amp;"_"&amp;C90,PRECIOS_COMPLEMENTOS!$H$4:$H$17,0),IF(OR(G90="S",G90="20cm"),1,IF(OR(G90="M",G90="25cm"),2,IF(OR(G90="L",G90="30cm"),3,IF(OR(G90="XL",G90="35cm"),4,0))))),0)</f>
        <v>0.7</v>
      </c>
      <c r="J90" s="103">
        <f t="shared" si="1"/>
        <v>0</v>
      </c>
      <c r="K90" s="104" t="str">
        <f>IF(H90&lt;0,"ERROR",IF(H90=0,"",IF(H90&lt;CONFIG!$B$4,"CRÍTICO",IF(H90&lt;CONFIG!$B$5,"BAJO","OK"))))</f>
        <v/>
      </c>
    </row>
    <row r="91" ht="15.75" hidden="1" customHeight="1">
      <c r="A91" s="90" t="str">
        <f>IF(CLIENTES!A6="","",CLIENTES!A6)</f>
        <v/>
      </c>
      <c r="B91" s="90" t="s">
        <v>321</v>
      </c>
      <c r="C91" s="91" t="s">
        <v>322</v>
      </c>
      <c r="D91" s="109" t="s">
        <v>353</v>
      </c>
      <c r="E91" s="67" t="str">
        <f>COLORES!A7</f>
        <v>Azul</v>
      </c>
      <c r="F91" s="67" t="str">
        <f>COLORES!B7</f>
        <v>OSCURO</v>
      </c>
      <c r="G91" s="90" t="s">
        <v>377</v>
      </c>
      <c r="H91" s="100">
        <f>IFERROR(SUMIFS(MOVIMIENTOS_COMPLEMENTOS!$I$4:$I$803,MOVIMIENTOS_COMPLEMENTOS!$C$4:$C$803,A91,MOVIMIENTOS_COMPLEMENTOS!$D$4:$D$803,B91,MOVIMIENTOS_COMPLEMENTOS!$E$4:$E$803,C91,MOVIMIENTOS_COMPLEMENTOS!$G$4:$G$803,E91,MOVIMIENTOS_COMPLEMENTOS!$H$4:$H$803,G91,MOVIMIENTOS_COMPLEMENTOS!$B$4:$B$803,"INGRESO")+SUMIFS(MOVIMIENTOS_COMPLEMENTOS!$I$4:$I$803,MOVIMIENTOS_COMPLEMENTOS!$C$4:$C$803,A91,MOVIMIENTOS_COMPLEMENTOS!$D$4:$D$803,B91,MOVIMIENTOS_COMPLEMENTOS!$E$4:$E$803,C91,MOVIMIENTOS_COMPLEMENTOS!$G$4:$G$803,E91,MOVIMIENTOS_COMPLEMENTOS!$H$4:$H$803,G91,MOVIMIENTOS_COMPLEMENTOS!$B$4:$B$803,"DE CORTE")-SUMIFS(MOVIMIENTOS_COMPLEMENTOS!$I$4:$I$803,MOVIMIENTOS_COMPLEMENTOS!$C$4:$C$803,A91,MOVIMIENTOS_COMPLEMENTOS!$D$4:$D$803,B91,MOVIMIENTOS_COMPLEMENTOS!$E$4:$E$803,C91,MOVIMIENTOS_COMPLEMENTOS!$G$4:$G$803,E91,MOVIMIENTOS_COMPLEMENTOS!$H$4:$H$803,G91,MOVIMIENTOS_COMPLEMENTOS!$B$4:$B$803,"SALIDA"),0)</f>
        <v>0</v>
      </c>
      <c r="I91" s="102">
        <f t="array" ref="I91">IFERROR(INDEX(PRECIOS_COMPLEMENTOS!$C$4:$F$17,MATCH(B91&amp;"_"&amp;C91,PRECIOS_COMPLEMENTOS!$H$4:$H$17,0),IF(OR(G91="S",G91="20cm"),1,IF(OR(G91="M",G91="25cm"),2,IF(OR(G91="L",G91="30cm"),3,IF(OR(G91="XL",G91="35cm"),4,0))))),0)</f>
        <v>0.75</v>
      </c>
      <c r="J91" s="103">
        <f t="shared" si="1"/>
        <v>0</v>
      </c>
      <c r="K91" s="104" t="str">
        <f>IF(H91&lt;0,"ERROR",IF(H91=0,"",IF(H91&lt;CONFIG!$B$4,"CRÍTICO",IF(H91&lt;CONFIG!$B$5,"BAJO","OK"))))</f>
        <v/>
      </c>
    </row>
    <row r="92" ht="15.75" hidden="1" customHeight="1">
      <c r="A92" s="90" t="str">
        <f>IF(CLIENTES!A6="","",CLIENTES!A6)</f>
        <v/>
      </c>
      <c r="B92" s="90" t="s">
        <v>321</v>
      </c>
      <c r="C92" s="91" t="s">
        <v>322</v>
      </c>
      <c r="D92" s="109" t="s">
        <v>353</v>
      </c>
      <c r="E92" s="67" t="str">
        <f>COLORES!A8</f>
        <v>Beige</v>
      </c>
      <c r="F92" s="67" t="str">
        <f>COLORES!B8</f>
        <v>CLARO</v>
      </c>
      <c r="G92" s="90" t="s">
        <v>376</v>
      </c>
      <c r="H92" s="100">
        <f>IFERROR(SUMIFS(MOVIMIENTOS_COMPLEMENTOS!$I$4:$I$803,MOVIMIENTOS_COMPLEMENTOS!$C$4:$C$803,A92,MOVIMIENTOS_COMPLEMENTOS!$D$4:$D$803,B92,MOVIMIENTOS_COMPLEMENTOS!$E$4:$E$803,C92,MOVIMIENTOS_COMPLEMENTOS!$G$4:$G$803,E92,MOVIMIENTOS_COMPLEMENTOS!$H$4:$H$803,G92,MOVIMIENTOS_COMPLEMENTOS!$B$4:$B$803,"INGRESO")+SUMIFS(MOVIMIENTOS_COMPLEMENTOS!$I$4:$I$803,MOVIMIENTOS_COMPLEMENTOS!$C$4:$C$803,A92,MOVIMIENTOS_COMPLEMENTOS!$D$4:$D$803,B92,MOVIMIENTOS_COMPLEMENTOS!$E$4:$E$803,C92,MOVIMIENTOS_COMPLEMENTOS!$G$4:$G$803,E92,MOVIMIENTOS_COMPLEMENTOS!$H$4:$H$803,G92,MOVIMIENTOS_COMPLEMENTOS!$B$4:$B$803,"DE CORTE")-SUMIFS(MOVIMIENTOS_COMPLEMENTOS!$I$4:$I$803,MOVIMIENTOS_COMPLEMENTOS!$C$4:$C$803,A92,MOVIMIENTOS_COMPLEMENTOS!$D$4:$D$803,B92,MOVIMIENTOS_COMPLEMENTOS!$E$4:$E$803,C92,MOVIMIENTOS_COMPLEMENTOS!$G$4:$G$803,E92,MOVIMIENTOS_COMPLEMENTOS!$H$4:$H$803,G92,MOVIMIENTOS_COMPLEMENTOS!$B$4:$B$803,"SALIDA"),0)</f>
        <v>0</v>
      </c>
      <c r="I92" s="102">
        <f t="array" ref="I92">IFERROR(INDEX(PRECIOS_COMPLEMENTOS!$C$4:$F$17,MATCH(B92&amp;"_"&amp;C92,PRECIOS_COMPLEMENTOS!$H$4:$H$17,0),IF(OR(G92="S",G92="20cm"),1,IF(OR(G92="M",G92="25cm"),2,IF(OR(G92="L",G92="30cm"),3,IF(OR(G92="XL",G92="35cm"),4,0))))),0)</f>
        <v>0.7</v>
      </c>
      <c r="J92" s="103">
        <f t="shared" si="1"/>
        <v>0</v>
      </c>
      <c r="K92" s="104" t="str">
        <f>IF(H92&lt;0,"ERROR",IF(H92=0,"",IF(H92&lt;CONFIG!$B$4,"CRÍTICO",IF(H92&lt;CONFIG!$B$5,"BAJO","OK"))))</f>
        <v/>
      </c>
    </row>
    <row r="93" ht="15.75" hidden="1" customHeight="1">
      <c r="A93" s="90" t="str">
        <f>IF(CLIENTES!A6="","",CLIENTES!A6)</f>
        <v/>
      </c>
      <c r="B93" s="90" t="s">
        <v>321</v>
      </c>
      <c r="C93" s="91" t="s">
        <v>322</v>
      </c>
      <c r="D93" s="109" t="s">
        <v>353</v>
      </c>
      <c r="E93" s="67" t="str">
        <f>COLORES!A8</f>
        <v>Beige</v>
      </c>
      <c r="F93" s="67" t="str">
        <f>COLORES!B8</f>
        <v>CLARO</v>
      </c>
      <c r="G93" s="90" t="s">
        <v>377</v>
      </c>
      <c r="H93" s="100">
        <f>IFERROR(SUMIFS(MOVIMIENTOS_COMPLEMENTOS!$I$4:$I$803,MOVIMIENTOS_COMPLEMENTOS!$C$4:$C$803,A93,MOVIMIENTOS_COMPLEMENTOS!$D$4:$D$803,B93,MOVIMIENTOS_COMPLEMENTOS!$E$4:$E$803,C93,MOVIMIENTOS_COMPLEMENTOS!$G$4:$G$803,E93,MOVIMIENTOS_COMPLEMENTOS!$H$4:$H$803,G93,MOVIMIENTOS_COMPLEMENTOS!$B$4:$B$803,"INGRESO")+SUMIFS(MOVIMIENTOS_COMPLEMENTOS!$I$4:$I$803,MOVIMIENTOS_COMPLEMENTOS!$C$4:$C$803,A93,MOVIMIENTOS_COMPLEMENTOS!$D$4:$D$803,B93,MOVIMIENTOS_COMPLEMENTOS!$E$4:$E$803,C93,MOVIMIENTOS_COMPLEMENTOS!$G$4:$G$803,E93,MOVIMIENTOS_COMPLEMENTOS!$H$4:$H$803,G93,MOVIMIENTOS_COMPLEMENTOS!$B$4:$B$803,"DE CORTE")-SUMIFS(MOVIMIENTOS_COMPLEMENTOS!$I$4:$I$803,MOVIMIENTOS_COMPLEMENTOS!$C$4:$C$803,A93,MOVIMIENTOS_COMPLEMENTOS!$D$4:$D$803,B93,MOVIMIENTOS_COMPLEMENTOS!$E$4:$E$803,C93,MOVIMIENTOS_COMPLEMENTOS!$G$4:$G$803,E93,MOVIMIENTOS_COMPLEMENTOS!$H$4:$H$803,G93,MOVIMIENTOS_COMPLEMENTOS!$B$4:$B$803,"SALIDA"),0)</f>
        <v>0</v>
      </c>
      <c r="I93" s="102">
        <f t="array" ref="I93">IFERROR(INDEX(PRECIOS_COMPLEMENTOS!$C$4:$F$17,MATCH(B93&amp;"_"&amp;C93,PRECIOS_COMPLEMENTOS!$H$4:$H$17,0),IF(OR(G93="S",G93="20cm"),1,IF(OR(G93="M",G93="25cm"),2,IF(OR(G93="L",G93="30cm"),3,IF(OR(G93="XL",G93="35cm"),4,0))))),0)</f>
        <v>0.75</v>
      </c>
      <c r="J93" s="103">
        <f t="shared" si="1"/>
        <v>0</v>
      </c>
      <c r="K93" s="104" t="str">
        <f>IF(H93&lt;0,"ERROR",IF(H93=0,"",IF(H93&lt;CONFIG!$B$4,"CRÍTICO",IF(H93&lt;CONFIG!$B$5,"BAJO","OK"))))</f>
        <v/>
      </c>
    </row>
    <row r="94" ht="15.75" hidden="1" customHeight="1">
      <c r="A94" s="90" t="str">
        <f>IF(CLIENTES!A6="","",CLIENTES!A6)</f>
        <v/>
      </c>
      <c r="B94" s="90" t="s">
        <v>321</v>
      </c>
      <c r="C94" s="91" t="s">
        <v>322</v>
      </c>
      <c r="D94" s="109" t="s">
        <v>353</v>
      </c>
      <c r="E94" s="67" t="str">
        <f>COLORES!A9</f>
        <v>Melange</v>
      </c>
      <c r="F94" s="67" t="str">
        <f>COLORES!B9</f>
        <v>MELANGE</v>
      </c>
      <c r="G94" s="90" t="s">
        <v>376</v>
      </c>
      <c r="H94" s="100">
        <f>IFERROR(SUMIFS(MOVIMIENTOS_COMPLEMENTOS!$I$4:$I$803,MOVIMIENTOS_COMPLEMENTOS!$C$4:$C$803,A94,MOVIMIENTOS_COMPLEMENTOS!$D$4:$D$803,B94,MOVIMIENTOS_COMPLEMENTOS!$E$4:$E$803,C94,MOVIMIENTOS_COMPLEMENTOS!$G$4:$G$803,E94,MOVIMIENTOS_COMPLEMENTOS!$H$4:$H$803,G94,MOVIMIENTOS_COMPLEMENTOS!$B$4:$B$803,"INGRESO")+SUMIFS(MOVIMIENTOS_COMPLEMENTOS!$I$4:$I$803,MOVIMIENTOS_COMPLEMENTOS!$C$4:$C$803,A94,MOVIMIENTOS_COMPLEMENTOS!$D$4:$D$803,B94,MOVIMIENTOS_COMPLEMENTOS!$E$4:$E$803,C94,MOVIMIENTOS_COMPLEMENTOS!$G$4:$G$803,E94,MOVIMIENTOS_COMPLEMENTOS!$H$4:$H$803,G94,MOVIMIENTOS_COMPLEMENTOS!$B$4:$B$803,"DE CORTE")-SUMIFS(MOVIMIENTOS_COMPLEMENTOS!$I$4:$I$803,MOVIMIENTOS_COMPLEMENTOS!$C$4:$C$803,A94,MOVIMIENTOS_COMPLEMENTOS!$D$4:$D$803,B94,MOVIMIENTOS_COMPLEMENTOS!$E$4:$E$803,C94,MOVIMIENTOS_COMPLEMENTOS!$G$4:$G$803,E94,MOVIMIENTOS_COMPLEMENTOS!$H$4:$H$803,G94,MOVIMIENTOS_COMPLEMENTOS!$B$4:$B$803,"SALIDA"),0)</f>
        <v>0</v>
      </c>
      <c r="I94" s="102">
        <f t="array" ref="I94">IFERROR(INDEX(PRECIOS_COMPLEMENTOS!$C$4:$F$17,MATCH(B94&amp;"_"&amp;C94,PRECIOS_COMPLEMENTOS!$H$4:$H$17,0),IF(OR(G94="S",G94="20cm"),1,IF(OR(G94="M",G94="25cm"),2,IF(OR(G94="L",G94="30cm"),3,IF(OR(G94="XL",G94="35cm"),4,0))))),0)</f>
        <v>0.7</v>
      </c>
      <c r="J94" s="103">
        <f t="shared" si="1"/>
        <v>0</v>
      </c>
      <c r="K94" s="104" t="str">
        <f>IF(H94&lt;0,"ERROR",IF(H94=0,"",IF(H94&lt;CONFIG!$B$4,"CRÍTICO",IF(H94&lt;CONFIG!$B$5,"BAJO","OK"))))</f>
        <v/>
      </c>
    </row>
    <row r="95" ht="15.75" hidden="1" customHeight="1">
      <c r="A95" s="90" t="str">
        <f>IF(CLIENTES!A6="","",CLIENTES!A6)</f>
        <v/>
      </c>
      <c r="B95" s="90" t="s">
        <v>321</v>
      </c>
      <c r="C95" s="91" t="s">
        <v>322</v>
      </c>
      <c r="D95" s="109" t="s">
        <v>353</v>
      </c>
      <c r="E95" s="67" t="str">
        <f>COLORES!A9</f>
        <v>Melange</v>
      </c>
      <c r="F95" s="67" t="str">
        <f>COLORES!B9</f>
        <v>MELANGE</v>
      </c>
      <c r="G95" s="90" t="s">
        <v>377</v>
      </c>
      <c r="H95" s="100">
        <f>IFERROR(SUMIFS(MOVIMIENTOS_COMPLEMENTOS!$I$4:$I$803,MOVIMIENTOS_COMPLEMENTOS!$C$4:$C$803,A95,MOVIMIENTOS_COMPLEMENTOS!$D$4:$D$803,B95,MOVIMIENTOS_COMPLEMENTOS!$E$4:$E$803,C95,MOVIMIENTOS_COMPLEMENTOS!$G$4:$G$803,E95,MOVIMIENTOS_COMPLEMENTOS!$H$4:$H$803,G95,MOVIMIENTOS_COMPLEMENTOS!$B$4:$B$803,"INGRESO")+SUMIFS(MOVIMIENTOS_COMPLEMENTOS!$I$4:$I$803,MOVIMIENTOS_COMPLEMENTOS!$C$4:$C$803,A95,MOVIMIENTOS_COMPLEMENTOS!$D$4:$D$803,B95,MOVIMIENTOS_COMPLEMENTOS!$E$4:$E$803,C95,MOVIMIENTOS_COMPLEMENTOS!$G$4:$G$803,E95,MOVIMIENTOS_COMPLEMENTOS!$H$4:$H$803,G95,MOVIMIENTOS_COMPLEMENTOS!$B$4:$B$803,"DE CORTE")-SUMIFS(MOVIMIENTOS_COMPLEMENTOS!$I$4:$I$803,MOVIMIENTOS_COMPLEMENTOS!$C$4:$C$803,A95,MOVIMIENTOS_COMPLEMENTOS!$D$4:$D$803,B95,MOVIMIENTOS_COMPLEMENTOS!$E$4:$E$803,C95,MOVIMIENTOS_COMPLEMENTOS!$G$4:$G$803,E95,MOVIMIENTOS_COMPLEMENTOS!$H$4:$H$803,G95,MOVIMIENTOS_COMPLEMENTOS!$B$4:$B$803,"SALIDA"),0)</f>
        <v>0</v>
      </c>
      <c r="I95" s="102">
        <f t="array" ref="I95">IFERROR(INDEX(PRECIOS_COMPLEMENTOS!$C$4:$F$17,MATCH(B95&amp;"_"&amp;C95,PRECIOS_COMPLEMENTOS!$H$4:$H$17,0),IF(OR(G95="S",G95="20cm"),1,IF(OR(G95="M",G95="25cm"),2,IF(OR(G95="L",G95="30cm"),3,IF(OR(G95="XL",G95="35cm"),4,0))))),0)</f>
        <v>0.75</v>
      </c>
      <c r="J95" s="103">
        <f t="shared" si="1"/>
        <v>0</v>
      </c>
      <c r="K95" s="104" t="str">
        <f>IF(H95&lt;0,"ERROR",IF(H95=0,"",IF(H95&lt;CONFIG!$B$4,"CRÍTICO",IF(H95&lt;CONFIG!$B$5,"BAJO","OK"))))</f>
        <v/>
      </c>
    </row>
    <row r="96" ht="15.75" hidden="1" customHeight="1">
      <c r="A96" s="90" t="str">
        <f>IF(CLIENTES!A6="","",CLIENTES!A6)</f>
        <v/>
      </c>
      <c r="B96" s="90" t="s">
        <v>321</v>
      </c>
      <c r="C96" s="91" t="s">
        <v>322</v>
      </c>
      <c r="D96" s="109" t="s">
        <v>353</v>
      </c>
      <c r="E96" s="67" t="str">
        <f>COLORES!A10</f>
        <v>Botella</v>
      </c>
      <c r="F96" s="67" t="str">
        <f>COLORES!B10</f>
        <v>OSCURO</v>
      </c>
      <c r="G96" s="90" t="s">
        <v>376</v>
      </c>
      <c r="H96" s="100">
        <f>IFERROR(SUMIFS(MOVIMIENTOS_COMPLEMENTOS!$I$4:$I$803,MOVIMIENTOS_COMPLEMENTOS!$C$4:$C$803,A96,MOVIMIENTOS_COMPLEMENTOS!$D$4:$D$803,B96,MOVIMIENTOS_COMPLEMENTOS!$E$4:$E$803,C96,MOVIMIENTOS_COMPLEMENTOS!$G$4:$G$803,E96,MOVIMIENTOS_COMPLEMENTOS!$H$4:$H$803,G96,MOVIMIENTOS_COMPLEMENTOS!$B$4:$B$803,"INGRESO")+SUMIFS(MOVIMIENTOS_COMPLEMENTOS!$I$4:$I$803,MOVIMIENTOS_COMPLEMENTOS!$C$4:$C$803,A96,MOVIMIENTOS_COMPLEMENTOS!$D$4:$D$803,B96,MOVIMIENTOS_COMPLEMENTOS!$E$4:$E$803,C96,MOVIMIENTOS_COMPLEMENTOS!$G$4:$G$803,E96,MOVIMIENTOS_COMPLEMENTOS!$H$4:$H$803,G96,MOVIMIENTOS_COMPLEMENTOS!$B$4:$B$803,"DE CORTE")-SUMIFS(MOVIMIENTOS_COMPLEMENTOS!$I$4:$I$803,MOVIMIENTOS_COMPLEMENTOS!$C$4:$C$803,A96,MOVIMIENTOS_COMPLEMENTOS!$D$4:$D$803,B96,MOVIMIENTOS_COMPLEMENTOS!$E$4:$E$803,C96,MOVIMIENTOS_COMPLEMENTOS!$G$4:$G$803,E96,MOVIMIENTOS_COMPLEMENTOS!$H$4:$H$803,G96,MOVIMIENTOS_COMPLEMENTOS!$B$4:$B$803,"SALIDA"),0)</f>
        <v>0</v>
      </c>
      <c r="I96" s="102">
        <f t="array" ref="I96">IFERROR(INDEX(PRECIOS_COMPLEMENTOS!$C$4:$F$17,MATCH(B96&amp;"_"&amp;C96,PRECIOS_COMPLEMENTOS!$H$4:$H$17,0),IF(OR(G96="S",G96="20cm"),1,IF(OR(G96="M",G96="25cm"),2,IF(OR(G96="L",G96="30cm"),3,IF(OR(G96="XL",G96="35cm"),4,0))))),0)</f>
        <v>0.7</v>
      </c>
      <c r="J96" s="103">
        <f t="shared" si="1"/>
        <v>0</v>
      </c>
      <c r="K96" s="104" t="str">
        <f>IF(H96&lt;0,"ERROR",IF(H96=0,"",IF(H96&lt;CONFIG!$B$4,"CRÍTICO",IF(H96&lt;CONFIG!$B$5,"BAJO","OK"))))</f>
        <v/>
      </c>
    </row>
    <row r="97" ht="15.75" hidden="1" customHeight="1">
      <c r="A97" s="90" t="str">
        <f>IF(CLIENTES!A6="","",CLIENTES!A6)</f>
        <v/>
      </c>
      <c r="B97" s="90" t="s">
        <v>321</v>
      </c>
      <c r="C97" s="91" t="s">
        <v>322</v>
      </c>
      <c r="D97" s="109" t="s">
        <v>353</v>
      </c>
      <c r="E97" s="67" t="str">
        <f>COLORES!A10</f>
        <v>Botella</v>
      </c>
      <c r="F97" s="67" t="str">
        <f>COLORES!B10</f>
        <v>OSCURO</v>
      </c>
      <c r="G97" s="90" t="s">
        <v>377</v>
      </c>
      <c r="H97" s="100">
        <f>IFERROR(SUMIFS(MOVIMIENTOS_COMPLEMENTOS!$I$4:$I$803,MOVIMIENTOS_COMPLEMENTOS!$C$4:$C$803,A97,MOVIMIENTOS_COMPLEMENTOS!$D$4:$D$803,B97,MOVIMIENTOS_COMPLEMENTOS!$E$4:$E$803,C97,MOVIMIENTOS_COMPLEMENTOS!$G$4:$G$803,E97,MOVIMIENTOS_COMPLEMENTOS!$H$4:$H$803,G97,MOVIMIENTOS_COMPLEMENTOS!$B$4:$B$803,"INGRESO")+SUMIFS(MOVIMIENTOS_COMPLEMENTOS!$I$4:$I$803,MOVIMIENTOS_COMPLEMENTOS!$C$4:$C$803,A97,MOVIMIENTOS_COMPLEMENTOS!$D$4:$D$803,B97,MOVIMIENTOS_COMPLEMENTOS!$E$4:$E$803,C97,MOVIMIENTOS_COMPLEMENTOS!$G$4:$G$803,E97,MOVIMIENTOS_COMPLEMENTOS!$H$4:$H$803,G97,MOVIMIENTOS_COMPLEMENTOS!$B$4:$B$803,"DE CORTE")-SUMIFS(MOVIMIENTOS_COMPLEMENTOS!$I$4:$I$803,MOVIMIENTOS_COMPLEMENTOS!$C$4:$C$803,A97,MOVIMIENTOS_COMPLEMENTOS!$D$4:$D$803,B97,MOVIMIENTOS_COMPLEMENTOS!$E$4:$E$803,C97,MOVIMIENTOS_COMPLEMENTOS!$G$4:$G$803,E97,MOVIMIENTOS_COMPLEMENTOS!$H$4:$H$803,G97,MOVIMIENTOS_COMPLEMENTOS!$B$4:$B$803,"SALIDA"),0)</f>
        <v>0</v>
      </c>
      <c r="I97" s="102">
        <f t="array" ref="I97">IFERROR(INDEX(PRECIOS_COMPLEMENTOS!$C$4:$F$17,MATCH(B97&amp;"_"&amp;C97,PRECIOS_COMPLEMENTOS!$H$4:$H$17,0),IF(OR(G97="S",G97="20cm"),1,IF(OR(G97="M",G97="25cm"),2,IF(OR(G97="L",G97="30cm"),3,IF(OR(G97="XL",G97="35cm"),4,0))))),0)</f>
        <v>0.75</v>
      </c>
      <c r="J97" s="103">
        <f t="shared" si="1"/>
        <v>0</v>
      </c>
      <c r="K97" s="104" t="str">
        <f>IF(H97&lt;0,"ERROR",IF(H97=0,"",IF(H97&lt;CONFIG!$B$4,"CRÍTICO",IF(H97&lt;CONFIG!$B$5,"BAJO","OK"))))</f>
        <v/>
      </c>
    </row>
    <row r="98" ht="15.75" hidden="1" customHeight="1">
      <c r="A98" s="90" t="str">
        <f>IF(CLIENTES!A6="","",CLIENTES!A6)</f>
        <v/>
      </c>
      <c r="B98" s="90" t="s">
        <v>321</v>
      </c>
      <c r="C98" s="91" t="s">
        <v>322</v>
      </c>
      <c r="D98" s="109" t="s">
        <v>353</v>
      </c>
      <c r="E98" s="67" t="str">
        <f>COLORES!A11</f>
        <v>Pacay</v>
      </c>
      <c r="F98" s="67" t="str">
        <f>COLORES!B11</f>
        <v>CLARO</v>
      </c>
      <c r="G98" s="90" t="s">
        <v>376</v>
      </c>
      <c r="H98" s="100">
        <f>IFERROR(SUMIFS(MOVIMIENTOS_COMPLEMENTOS!$I$4:$I$803,MOVIMIENTOS_COMPLEMENTOS!$C$4:$C$803,A98,MOVIMIENTOS_COMPLEMENTOS!$D$4:$D$803,B98,MOVIMIENTOS_COMPLEMENTOS!$E$4:$E$803,C98,MOVIMIENTOS_COMPLEMENTOS!$G$4:$G$803,E98,MOVIMIENTOS_COMPLEMENTOS!$H$4:$H$803,G98,MOVIMIENTOS_COMPLEMENTOS!$B$4:$B$803,"INGRESO")+SUMIFS(MOVIMIENTOS_COMPLEMENTOS!$I$4:$I$803,MOVIMIENTOS_COMPLEMENTOS!$C$4:$C$803,A98,MOVIMIENTOS_COMPLEMENTOS!$D$4:$D$803,B98,MOVIMIENTOS_COMPLEMENTOS!$E$4:$E$803,C98,MOVIMIENTOS_COMPLEMENTOS!$G$4:$G$803,E98,MOVIMIENTOS_COMPLEMENTOS!$H$4:$H$803,G98,MOVIMIENTOS_COMPLEMENTOS!$B$4:$B$803,"DE CORTE")-SUMIFS(MOVIMIENTOS_COMPLEMENTOS!$I$4:$I$803,MOVIMIENTOS_COMPLEMENTOS!$C$4:$C$803,A98,MOVIMIENTOS_COMPLEMENTOS!$D$4:$D$803,B98,MOVIMIENTOS_COMPLEMENTOS!$E$4:$E$803,C98,MOVIMIENTOS_COMPLEMENTOS!$G$4:$G$803,E98,MOVIMIENTOS_COMPLEMENTOS!$H$4:$H$803,G98,MOVIMIENTOS_COMPLEMENTOS!$B$4:$B$803,"SALIDA"),0)</f>
        <v>0</v>
      </c>
      <c r="I98" s="102">
        <f t="array" ref="I98">IFERROR(INDEX(PRECIOS_COMPLEMENTOS!$C$4:$F$17,MATCH(B98&amp;"_"&amp;C98,PRECIOS_COMPLEMENTOS!$H$4:$H$17,0),IF(OR(G98="S",G98="20cm"),1,IF(OR(G98="M",G98="25cm"),2,IF(OR(G98="L",G98="30cm"),3,IF(OR(G98="XL",G98="35cm"),4,0))))),0)</f>
        <v>0.7</v>
      </c>
      <c r="J98" s="103">
        <f t="shared" si="1"/>
        <v>0</v>
      </c>
      <c r="K98" s="104" t="str">
        <f>IF(H98&lt;0,"ERROR",IF(H98=0,"",IF(H98&lt;CONFIG!$B$4,"CRÍTICO",IF(H98&lt;CONFIG!$B$5,"BAJO","OK"))))</f>
        <v/>
      </c>
    </row>
    <row r="99" ht="15.75" hidden="1" customHeight="1">
      <c r="A99" s="90" t="str">
        <f>IF(CLIENTES!A6="","",CLIENTES!A6)</f>
        <v/>
      </c>
      <c r="B99" s="90" t="s">
        <v>321</v>
      </c>
      <c r="C99" s="91" t="s">
        <v>322</v>
      </c>
      <c r="D99" s="109" t="s">
        <v>353</v>
      </c>
      <c r="E99" s="67" t="str">
        <f>COLORES!A11</f>
        <v>Pacay</v>
      </c>
      <c r="F99" s="67" t="str">
        <f>COLORES!B11</f>
        <v>CLARO</v>
      </c>
      <c r="G99" s="90" t="s">
        <v>377</v>
      </c>
      <c r="H99" s="100">
        <f>IFERROR(SUMIFS(MOVIMIENTOS_COMPLEMENTOS!$I$4:$I$803,MOVIMIENTOS_COMPLEMENTOS!$C$4:$C$803,A99,MOVIMIENTOS_COMPLEMENTOS!$D$4:$D$803,B99,MOVIMIENTOS_COMPLEMENTOS!$E$4:$E$803,C99,MOVIMIENTOS_COMPLEMENTOS!$G$4:$G$803,E99,MOVIMIENTOS_COMPLEMENTOS!$H$4:$H$803,G99,MOVIMIENTOS_COMPLEMENTOS!$B$4:$B$803,"INGRESO")+SUMIFS(MOVIMIENTOS_COMPLEMENTOS!$I$4:$I$803,MOVIMIENTOS_COMPLEMENTOS!$C$4:$C$803,A99,MOVIMIENTOS_COMPLEMENTOS!$D$4:$D$803,B99,MOVIMIENTOS_COMPLEMENTOS!$E$4:$E$803,C99,MOVIMIENTOS_COMPLEMENTOS!$G$4:$G$803,E99,MOVIMIENTOS_COMPLEMENTOS!$H$4:$H$803,G99,MOVIMIENTOS_COMPLEMENTOS!$B$4:$B$803,"DE CORTE")-SUMIFS(MOVIMIENTOS_COMPLEMENTOS!$I$4:$I$803,MOVIMIENTOS_COMPLEMENTOS!$C$4:$C$803,A99,MOVIMIENTOS_COMPLEMENTOS!$D$4:$D$803,B99,MOVIMIENTOS_COMPLEMENTOS!$E$4:$E$803,C99,MOVIMIENTOS_COMPLEMENTOS!$G$4:$G$803,E99,MOVIMIENTOS_COMPLEMENTOS!$H$4:$H$803,G99,MOVIMIENTOS_COMPLEMENTOS!$B$4:$B$803,"SALIDA"),0)</f>
        <v>0</v>
      </c>
      <c r="I99" s="102">
        <f t="array" ref="I99">IFERROR(INDEX(PRECIOS_COMPLEMENTOS!$C$4:$F$17,MATCH(B99&amp;"_"&amp;C99,PRECIOS_COMPLEMENTOS!$H$4:$H$17,0),IF(OR(G99="S",G99="20cm"),1,IF(OR(G99="M",G99="25cm"),2,IF(OR(G99="L",G99="30cm"),3,IF(OR(G99="XL",G99="35cm"),4,0))))),0)</f>
        <v>0.75</v>
      </c>
      <c r="J99" s="103">
        <f t="shared" si="1"/>
        <v>0</v>
      </c>
      <c r="K99" s="104" t="str">
        <f>IF(H99&lt;0,"ERROR",IF(H99=0,"",IF(H99&lt;CONFIG!$B$4,"CRÍTICO",IF(H99&lt;CONFIG!$B$5,"BAJO","OK"))))</f>
        <v/>
      </c>
    </row>
    <row r="100" ht="15.75" hidden="1" customHeight="1">
      <c r="A100" s="90" t="str">
        <f>IF(CLIENTES!A6="","",CLIENTES!A6)</f>
        <v/>
      </c>
      <c r="B100" s="90" t="s">
        <v>321</v>
      </c>
      <c r="C100" s="91" t="s">
        <v>322</v>
      </c>
      <c r="D100" s="109" t="s">
        <v>353</v>
      </c>
      <c r="E100" s="67" t="str">
        <f>COLORES!A12</f>
        <v>Cemento</v>
      </c>
      <c r="F100" s="67" t="str">
        <f>COLORES!B12</f>
        <v>CLARO</v>
      </c>
      <c r="G100" s="90" t="s">
        <v>376</v>
      </c>
      <c r="H100" s="100">
        <f>IFERROR(SUMIFS(MOVIMIENTOS_COMPLEMENTOS!$I$4:$I$803,MOVIMIENTOS_COMPLEMENTOS!$C$4:$C$803,A100,MOVIMIENTOS_COMPLEMENTOS!$D$4:$D$803,B100,MOVIMIENTOS_COMPLEMENTOS!$E$4:$E$803,C100,MOVIMIENTOS_COMPLEMENTOS!$G$4:$G$803,E100,MOVIMIENTOS_COMPLEMENTOS!$H$4:$H$803,G100,MOVIMIENTOS_COMPLEMENTOS!$B$4:$B$803,"INGRESO")+SUMIFS(MOVIMIENTOS_COMPLEMENTOS!$I$4:$I$803,MOVIMIENTOS_COMPLEMENTOS!$C$4:$C$803,A100,MOVIMIENTOS_COMPLEMENTOS!$D$4:$D$803,B100,MOVIMIENTOS_COMPLEMENTOS!$E$4:$E$803,C100,MOVIMIENTOS_COMPLEMENTOS!$G$4:$G$803,E100,MOVIMIENTOS_COMPLEMENTOS!$H$4:$H$803,G100,MOVIMIENTOS_COMPLEMENTOS!$B$4:$B$803,"DE CORTE")-SUMIFS(MOVIMIENTOS_COMPLEMENTOS!$I$4:$I$803,MOVIMIENTOS_COMPLEMENTOS!$C$4:$C$803,A100,MOVIMIENTOS_COMPLEMENTOS!$D$4:$D$803,B100,MOVIMIENTOS_COMPLEMENTOS!$E$4:$E$803,C100,MOVIMIENTOS_COMPLEMENTOS!$G$4:$G$803,E100,MOVIMIENTOS_COMPLEMENTOS!$H$4:$H$803,G100,MOVIMIENTOS_COMPLEMENTOS!$B$4:$B$803,"SALIDA"),0)</f>
        <v>0</v>
      </c>
      <c r="I100" s="102">
        <f t="array" ref="I100">IFERROR(INDEX(PRECIOS_COMPLEMENTOS!$C$4:$F$17,MATCH(B100&amp;"_"&amp;C100,PRECIOS_COMPLEMENTOS!$H$4:$H$17,0),IF(OR(G100="S",G100="20cm"),1,IF(OR(G100="M",G100="25cm"),2,IF(OR(G100="L",G100="30cm"),3,IF(OR(G100="XL",G100="35cm"),4,0))))),0)</f>
        <v>0.7</v>
      </c>
      <c r="J100" s="103">
        <f t="shared" si="1"/>
        <v>0</v>
      </c>
      <c r="K100" s="104" t="str">
        <f>IF(H100&lt;0,"ERROR",IF(H100=0,"",IF(H100&lt;CONFIG!$B$4,"CRÍTICO",IF(H100&lt;CONFIG!$B$5,"BAJO","OK"))))</f>
        <v/>
      </c>
    </row>
    <row r="101" ht="15.75" hidden="1" customHeight="1">
      <c r="A101" s="90" t="str">
        <f>IF(CLIENTES!A6="","",CLIENTES!A6)</f>
        <v/>
      </c>
      <c r="B101" s="90" t="s">
        <v>321</v>
      </c>
      <c r="C101" s="91" t="s">
        <v>322</v>
      </c>
      <c r="D101" s="109" t="s">
        <v>353</v>
      </c>
      <c r="E101" s="67" t="str">
        <f>COLORES!A12</f>
        <v>Cemento</v>
      </c>
      <c r="F101" s="67" t="str">
        <f>COLORES!B12</f>
        <v>CLARO</v>
      </c>
      <c r="G101" s="90" t="s">
        <v>377</v>
      </c>
      <c r="H101" s="100">
        <f>IFERROR(SUMIFS(MOVIMIENTOS_COMPLEMENTOS!$I$4:$I$803,MOVIMIENTOS_COMPLEMENTOS!$C$4:$C$803,A101,MOVIMIENTOS_COMPLEMENTOS!$D$4:$D$803,B101,MOVIMIENTOS_COMPLEMENTOS!$E$4:$E$803,C101,MOVIMIENTOS_COMPLEMENTOS!$G$4:$G$803,E101,MOVIMIENTOS_COMPLEMENTOS!$H$4:$H$803,G101,MOVIMIENTOS_COMPLEMENTOS!$B$4:$B$803,"INGRESO")+SUMIFS(MOVIMIENTOS_COMPLEMENTOS!$I$4:$I$803,MOVIMIENTOS_COMPLEMENTOS!$C$4:$C$803,A101,MOVIMIENTOS_COMPLEMENTOS!$D$4:$D$803,B101,MOVIMIENTOS_COMPLEMENTOS!$E$4:$E$803,C101,MOVIMIENTOS_COMPLEMENTOS!$G$4:$G$803,E101,MOVIMIENTOS_COMPLEMENTOS!$H$4:$H$803,G101,MOVIMIENTOS_COMPLEMENTOS!$B$4:$B$803,"DE CORTE")-SUMIFS(MOVIMIENTOS_COMPLEMENTOS!$I$4:$I$803,MOVIMIENTOS_COMPLEMENTOS!$C$4:$C$803,A101,MOVIMIENTOS_COMPLEMENTOS!$D$4:$D$803,B101,MOVIMIENTOS_COMPLEMENTOS!$E$4:$E$803,C101,MOVIMIENTOS_COMPLEMENTOS!$G$4:$G$803,E101,MOVIMIENTOS_COMPLEMENTOS!$H$4:$H$803,G101,MOVIMIENTOS_COMPLEMENTOS!$B$4:$B$803,"SALIDA"),0)</f>
        <v>0</v>
      </c>
      <c r="I101" s="102">
        <f t="array" ref="I101">IFERROR(INDEX(PRECIOS_COMPLEMENTOS!$C$4:$F$17,MATCH(B101&amp;"_"&amp;C101,PRECIOS_COMPLEMENTOS!$H$4:$H$17,0),IF(OR(G101="S",G101="20cm"),1,IF(OR(G101="M",G101="25cm"),2,IF(OR(G101="L",G101="30cm"),3,IF(OR(G101="XL",G101="35cm"),4,0))))),0)</f>
        <v>0.75</v>
      </c>
      <c r="J101" s="103">
        <f t="shared" si="1"/>
        <v>0</v>
      </c>
      <c r="K101" s="104" t="str">
        <f>IF(H101&lt;0,"ERROR",IF(H101=0,"",IF(H101&lt;CONFIG!$B$4,"CRÍTICO",IF(H101&lt;CONFIG!$B$5,"BAJO","OK"))))</f>
        <v/>
      </c>
    </row>
    <row r="102" ht="15.75" hidden="1" customHeight="1">
      <c r="A102" s="90" t="str">
        <f>IF(CLIENTES!A6="","",CLIENTES!A6)</f>
        <v/>
      </c>
      <c r="B102" s="90" t="s">
        <v>321</v>
      </c>
      <c r="C102" s="91" t="s">
        <v>322</v>
      </c>
      <c r="D102" s="109" t="s">
        <v>353</v>
      </c>
      <c r="E102" s="67" t="str">
        <f>COLORES!A13</f>
        <v>Camote</v>
      </c>
      <c r="F102" s="67" t="str">
        <f>COLORES!B13</f>
        <v>CLARO</v>
      </c>
      <c r="G102" s="90" t="s">
        <v>376</v>
      </c>
      <c r="H102" s="100">
        <f>IFERROR(SUMIFS(MOVIMIENTOS_COMPLEMENTOS!$I$4:$I$803,MOVIMIENTOS_COMPLEMENTOS!$C$4:$C$803,A102,MOVIMIENTOS_COMPLEMENTOS!$D$4:$D$803,B102,MOVIMIENTOS_COMPLEMENTOS!$E$4:$E$803,C102,MOVIMIENTOS_COMPLEMENTOS!$G$4:$G$803,E102,MOVIMIENTOS_COMPLEMENTOS!$H$4:$H$803,G102,MOVIMIENTOS_COMPLEMENTOS!$B$4:$B$803,"INGRESO")+SUMIFS(MOVIMIENTOS_COMPLEMENTOS!$I$4:$I$803,MOVIMIENTOS_COMPLEMENTOS!$C$4:$C$803,A102,MOVIMIENTOS_COMPLEMENTOS!$D$4:$D$803,B102,MOVIMIENTOS_COMPLEMENTOS!$E$4:$E$803,C102,MOVIMIENTOS_COMPLEMENTOS!$G$4:$G$803,E102,MOVIMIENTOS_COMPLEMENTOS!$H$4:$H$803,G102,MOVIMIENTOS_COMPLEMENTOS!$B$4:$B$803,"DE CORTE")-SUMIFS(MOVIMIENTOS_COMPLEMENTOS!$I$4:$I$803,MOVIMIENTOS_COMPLEMENTOS!$C$4:$C$803,A102,MOVIMIENTOS_COMPLEMENTOS!$D$4:$D$803,B102,MOVIMIENTOS_COMPLEMENTOS!$E$4:$E$803,C102,MOVIMIENTOS_COMPLEMENTOS!$G$4:$G$803,E102,MOVIMIENTOS_COMPLEMENTOS!$H$4:$H$803,G102,MOVIMIENTOS_COMPLEMENTOS!$B$4:$B$803,"SALIDA"),0)</f>
        <v>0</v>
      </c>
      <c r="I102" s="102">
        <f t="array" ref="I102">IFERROR(INDEX(PRECIOS_COMPLEMENTOS!$C$4:$F$17,MATCH(B102&amp;"_"&amp;C102,PRECIOS_COMPLEMENTOS!$H$4:$H$17,0),IF(OR(G102="S",G102="20cm"),1,IF(OR(G102="M",G102="25cm"),2,IF(OR(G102="L",G102="30cm"),3,IF(OR(G102="XL",G102="35cm"),4,0))))),0)</f>
        <v>0.7</v>
      </c>
      <c r="J102" s="103">
        <f t="shared" si="1"/>
        <v>0</v>
      </c>
      <c r="K102" s="104" t="str">
        <f>IF(H102&lt;0,"ERROR",IF(H102=0,"",IF(H102&lt;CONFIG!$B$4,"CRÍTICO",IF(H102&lt;CONFIG!$B$5,"BAJO","OK"))))</f>
        <v/>
      </c>
    </row>
    <row r="103" ht="15.75" hidden="1" customHeight="1">
      <c r="A103" s="90" t="str">
        <f>IF(CLIENTES!A6="","",CLIENTES!A6)</f>
        <v/>
      </c>
      <c r="B103" s="90" t="s">
        <v>321</v>
      </c>
      <c r="C103" s="91" t="s">
        <v>322</v>
      </c>
      <c r="D103" s="109" t="s">
        <v>353</v>
      </c>
      <c r="E103" s="67" t="str">
        <f>COLORES!A13</f>
        <v>Camote</v>
      </c>
      <c r="F103" s="67" t="str">
        <f>COLORES!B13</f>
        <v>CLARO</v>
      </c>
      <c r="G103" s="90" t="s">
        <v>377</v>
      </c>
      <c r="H103" s="100">
        <f>IFERROR(SUMIFS(MOVIMIENTOS_COMPLEMENTOS!$I$4:$I$803,MOVIMIENTOS_COMPLEMENTOS!$C$4:$C$803,A103,MOVIMIENTOS_COMPLEMENTOS!$D$4:$D$803,B103,MOVIMIENTOS_COMPLEMENTOS!$E$4:$E$803,C103,MOVIMIENTOS_COMPLEMENTOS!$G$4:$G$803,E103,MOVIMIENTOS_COMPLEMENTOS!$H$4:$H$803,G103,MOVIMIENTOS_COMPLEMENTOS!$B$4:$B$803,"INGRESO")+SUMIFS(MOVIMIENTOS_COMPLEMENTOS!$I$4:$I$803,MOVIMIENTOS_COMPLEMENTOS!$C$4:$C$803,A103,MOVIMIENTOS_COMPLEMENTOS!$D$4:$D$803,B103,MOVIMIENTOS_COMPLEMENTOS!$E$4:$E$803,C103,MOVIMIENTOS_COMPLEMENTOS!$G$4:$G$803,E103,MOVIMIENTOS_COMPLEMENTOS!$H$4:$H$803,G103,MOVIMIENTOS_COMPLEMENTOS!$B$4:$B$803,"DE CORTE")-SUMIFS(MOVIMIENTOS_COMPLEMENTOS!$I$4:$I$803,MOVIMIENTOS_COMPLEMENTOS!$C$4:$C$803,A103,MOVIMIENTOS_COMPLEMENTOS!$D$4:$D$803,B103,MOVIMIENTOS_COMPLEMENTOS!$E$4:$E$803,C103,MOVIMIENTOS_COMPLEMENTOS!$G$4:$G$803,E103,MOVIMIENTOS_COMPLEMENTOS!$H$4:$H$803,G103,MOVIMIENTOS_COMPLEMENTOS!$B$4:$B$803,"SALIDA"),0)</f>
        <v>0</v>
      </c>
      <c r="I103" s="102">
        <f t="array" ref="I103">IFERROR(INDEX(PRECIOS_COMPLEMENTOS!$C$4:$F$17,MATCH(B103&amp;"_"&amp;C103,PRECIOS_COMPLEMENTOS!$H$4:$H$17,0),IF(OR(G103="S",G103="20cm"),1,IF(OR(G103="M",G103="25cm"),2,IF(OR(G103="L",G103="30cm"),3,IF(OR(G103="XL",G103="35cm"),4,0))))),0)</f>
        <v>0.75</v>
      </c>
      <c r="J103" s="103">
        <f t="shared" si="1"/>
        <v>0</v>
      </c>
      <c r="K103" s="104" t="str">
        <f>IF(H103&lt;0,"ERROR",IF(H103=0,"",IF(H103&lt;CONFIG!$B$4,"CRÍTICO",IF(H103&lt;CONFIG!$B$5,"BAJO","OK"))))</f>
        <v/>
      </c>
    </row>
    <row r="104" ht="15.75" hidden="1" customHeight="1">
      <c r="A104" s="90" t="str">
        <f>IF(CLIENTES!A6="","",CLIENTES!A6)</f>
        <v/>
      </c>
      <c r="B104" s="90" t="s">
        <v>321</v>
      </c>
      <c r="C104" s="91" t="s">
        <v>322</v>
      </c>
      <c r="D104" s="109" t="s">
        <v>353</v>
      </c>
      <c r="E104" s="67" t="str">
        <f>COLORES!A14</f>
        <v>Denim</v>
      </c>
      <c r="F104" s="67" t="str">
        <f>COLORES!B14</f>
        <v>CLARO</v>
      </c>
      <c r="G104" s="90" t="s">
        <v>376</v>
      </c>
      <c r="H104" s="100">
        <f>IFERROR(SUMIFS(MOVIMIENTOS_COMPLEMENTOS!$I$4:$I$803,MOVIMIENTOS_COMPLEMENTOS!$C$4:$C$803,A104,MOVIMIENTOS_COMPLEMENTOS!$D$4:$D$803,B104,MOVIMIENTOS_COMPLEMENTOS!$E$4:$E$803,C104,MOVIMIENTOS_COMPLEMENTOS!$G$4:$G$803,E104,MOVIMIENTOS_COMPLEMENTOS!$H$4:$H$803,G104,MOVIMIENTOS_COMPLEMENTOS!$B$4:$B$803,"INGRESO")+SUMIFS(MOVIMIENTOS_COMPLEMENTOS!$I$4:$I$803,MOVIMIENTOS_COMPLEMENTOS!$C$4:$C$803,A104,MOVIMIENTOS_COMPLEMENTOS!$D$4:$D$803,B104,MOVIMIENTOS_COMPLEMENTOS!$E$4:$E$803,C104,MOVIMIENTOS_COMPLEMENTOS!$G$4:$G$803,E104,MOVIMIENTOS_COMPLEMENTOS!$H$4:$H$803,G104,MOVIMIENTOS_COMPLEMENTOS!$B$4:$B$803,"DE CORTE")-SUMIFS(MOVIMIENTOS_COMPLEMENTOS!$I$4:$I$803,MOVIMIENTOS_COMPLEMENTOS!$C$4:$C$803,A104,MOVIMIENTOS_COMPLEMENTOS!$D$4:$D$803,B104,MOVIMIENTOS_COMPLEMENTOS!$E$4:$E$803,C104,MOVIMIENTOS_COMPLEMENTOS!$G$4:$G$803,E104,MOVIMIENTOS_COMPLEMENTOS!$H$4:$H$803,G104,MOVIMIENTOS_COMPLEMENTOS!$B$4:$B$803,"SALIDA"),0)</f>
        <v>0</v>
      </c>
      <c r="I104" s="102">
        <f t="array" ref="I104">IFERROR(INDEX(PRECIOS_COMPLEMENTOS!$C$4:$F$17,MATCH(B104&amp;"_"&amp;C104,PRECIOS_COMPLEMENTOS!$H$4:$H$17,0),IF(OR(G104="S",G104="20cm"),1,IF(OR(G104="M",G104="25cm"),2,IF(OR(G104="L",G104="30cm"),3,IF(OR(G104="XL",G104="35cm"),4,0))))),0)</f>
        <v>0.7</v>
      </c>
      <c r="J104" s="103">
        <f t="shared" si="1"/>
        <v>0</v>
      </c>
      <c r="K104" s="104" t="str">
        <f>IF(H104&lt;0,"ERROR",IF(H104=0,"",IF(H104&lt;CONFIG!$B$4,"CRÍTICO",IF(H104&lt;CONFIG!$B$5,"BAJO","OK"))))</f>
        <v/>
      </c>
    </row>
    <row r="105" ht="15.75" hidden="1" customHeight="1">
      <c r="A105" s="90" t="str">
        <f>IF(CLIENTES!A6="","",CLIENTES!A6)</f>
        <v/>
      </c>
      <c r="B105" s="90" t="s">
        <v>321</v>
      </c>
      <c r="C105" s="91" t="s">
        <v>322</v>
      </c>
      <c r="D105" s="109" t="s">
        <v>353</v>
      </c>
      <c r="E105" s="67" t="str">
        <f>COLORES!A14</f>
        <v>Denim</v>
      </c>
      <c r="F105" s="67" t="str">
        <f>COLORES!B14</f>
        <v>CLARO</v>
      </c>
      <c r="G105" s="90" t="s">
        <v>377</v>
      </c>
      <c r="H105" s="100">
        <f>IFERROR(SUMIFS(MOVIMIENTOS_COMPLEMENTOS!$I$4:$I$803,MOVIMIENTOS_COMPLEMENTOS!$C$4:$C$803,A105,MOVIMIENTOS_COMPLEMENTOS!$D$4:$D$803,B105,MOVIMIENTOS_COMPLEMENTOS!$E$4:$E$803,C105,MOVIMIENTOS_COMPLEMENTOS!$G$4:$G$803,E105,MOVIMIENTOS_COMPLEMENTOS!$H$4:$H$803,G105,MOVIMIENTOS_COMPLEMENTOS!$B$4:$B$803,"INGRESO")+SUMIFS(MOVIMIENTOS_COMPLEMENTOS!$I$4:$I$803,MOVIMIENTOS_COMPLEMENTOS!$C$4:$C$803,A105,MOVIMIENTOS_COMPLEMENTOS!$D$4:$D$803,B105,MOVIMIENTOS_COMPLEMENTOS!$E$4:$E$803,C105,MOVIMIENTOS_COMPLEMENTOS!$G$4:$G$803,E105,MOVIMIENTOS_COMPLEMENTOS!$H$4:$H$803,G105,MOVIMIENTOS_COMPLEMENTOS!$B$4:$B$803,"DE CORTE")-SUMIFS(MOVIMIENTOS_COMPLEMENTOS!$I$4:$I$803,MOVIMIENTOS_COMPLEMENTOS!$C$4:$C$803,A105,MOVIMIENTOS_COMPLEMENTOS!$D$4:$D$803,B105,MOVIMIENTOS_COMPLEMENTOS!$E$4:$E$803,C105,MOVIMIENTOS_COMPLEMENTOS!$G$4:$G$803,E105,MOVIMIENTOS_COMPLEMENTOS!$H$4:$H$803,G105,MOVIMIENTOS_COMPLEMENTOS!$B$4:$B$803,"SALIDA"),0)</f>
        <v>0</v>
      </c>
      <c r="I105" s="102">
        <f t="array" ref="I105">IFERROR(INDEX(PRECIOS_COMPLEMENTOS!$C$4:$F$17,MATCH(B105&amp;"_"&amp;C105,PRECIOS_COMPLEMENTOS!$H$4:$H$17,0),IF(OR(G105="S",G105="20cm"),1,IF(OR(G105="M",G105="25cm"),2,IF(OR(G105="L",G105="30cm"),3,IF(OR(G105="XL",G105="35cm"),4,0))))),0)</f>
        <v>0.75</v>
      </c>
      <c r="J105" s="103">
        <f t="shared" si="1"/>
        <v>0</v>
      </c>
      <c r="K105" s="104" t="str">
        <f>IF(H105&lt;0,"ERROR",IF(H105=0,"",IF(H105&lt;CONFIG!$B$4,"CRÍTICO",IF(H105&lt;CONFIG!$B$5,"BAJO","OK"))))</f>
        <v/>
      </c>
    </row>
    <row r="106" ht="15.75" hidden="1" customHeight="1">
      <c r="A106" s="90" t="str">
        <f>IF(CLIENTES!A6="","",CLIENTES!A6)</f>
        <v/>
      </c>
      <c r="B106" s="90" t="s">
        <v>321</v>
      </c>
      <c r="C106" s="91" t="s">
        <v>322</v>
      </c>
      <c r="D106" s="109" t="s">
        <v>353</v>
      </c>
      <c r="E106" s="67" t="str">
        <f>COLORES!A15</f>
        <v>Plomo</v>
      </c>
      <c r="F106" s="67" t="str">
        <f>COLORES!B15</f>
        <v>OSCURO</v>
      </c>
      <c r="G106" s="90" t="s">
        <v>376</v>
      </c>
      <c r="H106" s="100">
        <f>IFERROR(SUMIFS(MOVIMIENTOS_COMPLEMENTOS!$I$4:$I$803,MOVIMIENTOS_COMPLEMENTOS!$C$4:$C$803,A106,MOVIMIENTOS_COMPLEMENTOS!$D$4:$D$803,B106,MOVIMIENTOS_COMPLEMENTOS!$E$4:$E$803,C106,MOVIMIENTOS_COMPLEMENTOS!$G$4:$G$803,E106,MOVIMIENTOS_COMPLEMENTOS!$H$4:$H$803,G106,MOVIMIENTOS_COMPLEMENTOS!$B$4:$B$803,"INGRESO")+SUMIFS(MOVIMIENTOS_COMPLEMENTOS!$I$4:$I$803,MOVIMIENTOS_COMPLEMENTOS!$C$4:$C$803,A106,MOVIMIENTOS_COMPLEMENTOS!$D$4:$D$803,B106,MOVIMIENTOS_COMPLEMENTOS!$E$4:$E$803,C106,MOVIMIENTOS_COMPLEMENTOS!$G$4:$G$803,E106,MOVIMIENTOS_COMPLEMENTOS!$H$4:$H$803,G106,MOVIMIENTOS_COMPLEMENTOS!$B$4:$B$803,"DE CORTE")-SUMIFS(MOVIMIENTOS_COMPLEMENTOS!$I$4:$I$803,MOVIMIENTOS_COMPLEMENTOS!$C$4:$C$803,A106,MOVIMIENTOS_COMPLEMENTOS!$D$4:$D$803,B106,MOVIMIENTOS_COMPLEMENTOS!$E$4:$E$803,C106,MOVIMIENTOS_COMPLEMENTOS!$G$4:$G$803,E106,MOVIMIENTOS_COMPLEMENTOS!$H$4:$H$803,G106,MOVIMIENTOS_COMPLEMENTOS!$B$4:$B$803,"SALIDA"),0)</f>
        <v>0</v>
      </c>
      <c r="I106" s="102">
        <f t="array" ref="I106">IFERROR(INDEX(PRECIOS_COMPLEMENTOS!$C$4:$F$17,MATCH(B106&amp;"_"&amp;C106,PRECIOS_COMPLEMENTOS!$H$4:$H$17,0),IF(OR(G106="S",G106="20cm"),1,IF(OR(G106="M",G106="25cm"),2,IF(OR(G106="L",G106="30cm"),3,IF(OR(G106="XL",G106="35cm"),4,0))))),0)</f>
        <v>0.7</v>
      </c>
      <c r="J106" s="103">
        <f t="shared" si="1"/>
        <v>0</v>
      </c>
      <c r="K106" s="104" t="str">
        <f>IF(H106&lt;0,"ERROR",IF(H106=0,"",IF(H106&lt;CONFIG!$B$4,"CRÍTICO",IF(H106&lt;CONFIG!$B$5,"BAJO","OK"))))</f>
        <v/>
      </c>
    </row>
    <row r="107" ht="15.75" hidden="1" customHeight="1">
      <c r="A107" s="90" t="str">
        <f>IF(CLIENTES!A6="","",CLIENTES!A6)</f>
        <v/>
      </c>
      <c r="B107" s="90" t="s">
        <v>321</v>
      </c>
      <c r="C107" s="91" t="s">
        <v>322</v>
      </c>
      <c r="D107" s="109" t="s">
        <v>353</v>
      </c>
      <c r="E107" s="67" t="str">
        <f>COLORES!A15</f>
        <v>Plomo</v>
      </c>
      <c r="F107" s="67" t="str">
        <f>COLORES!B15</f>
        <v>OSCURO</v>
      </c>
      <c r="G107" s="90" t="s">
        <v>377</v>
      </c>
      <c r="H107" s="100">
        <f>IFERROR(SUMIFS(MOVIMIENTOS_COMPLEMENTOS!$I$4:$I$803,MOVIMIENTOS_COMPLEMENTOS!$C$4:$C$803,A107,MOVIMIENTOS_COMPLEMENTOS!$D$4:$D$803,B107,MOVIMIENTOS_COMPLEMENTOS!$E$4:$E$803,C107,MOVIMIENTOS_COMPLEMENTOS!$G$4:$G$803,E107,MOVIMIENTOS_COMPLEMENTOS!$H$4:$H$803,G107,MOVIMIENTOS_COMPLEMENTOS!$B$4:$B$803,"INGRESO")+SUMIFS(MOVIMIENTOS_COMPLEMENTOS!$I$4:$I$803,MOVIMIENTOS_COMPLEMENTOS!$C$4:$C$803,A107,MOVIMIENTOS_COMPLEMENTOS!$D$4:$D$803,B107,MOVIMIENTOS_COMPLEMENTOS!$E$4:$E$803,C107,MOVIMIENTOS_COMPLEMENTOS!$G$4:$G$803,E107,MOVIMIENTOS_COMPLEMENTOS!$H$4:$H$803,G107,MOVIMIENTOS_COMPLEMENTOS!$B$4:$B$803,"DE CORTE")-SUMIFS(MOVIMIENTOS_COMPLEMENTOS!$I$4:$I$803,MOVIMIENTOS_COMPLEMENTOS!$C$4:$C$803,A107,MOVIMIENTOS_COMPLEMENTOS!$D$4:$D$803,B107,MOVIMIENTOS_COMPLEMENTOS!$E$4:$E$803,C107,MOVIMIENTOS_COMPLEMENTOS!$G$4:$G$803,E107,MOVIMIENTOS_COMPLEMENTOS!$H$4:$H$803,G107,MOVIMIENTOS_COMPLEMENTOS!$B$4:$B$803,"SALIDA"),0)</f>
        <v>0</v>
      </c>
      <c r="I107" s="102">
        <f t="array" ref="I107">IFERROR(INDEX(PRECIOS_COMPLEMENTOS!$C$4:$F$17,MATCH(B107&amp;"_"&amp;C107,PRECIOS_COMPLEMENTOS!$H$4:$H$17,0),IF(OR(G107="S",G107="20cm"),1,IF(OR(G107="M",G107="25cm"),2,IF(OR(G107="L",G107="30cm"),3,IF(OR(G107="XL",G107="35cm"),4,0))))),0)</f>
        <v>0.75</v>
      </c>
      <c r="J107" s="103">
        <f t="shared" si="1"/>
        <v>0</v>
      </c>
      <c r="K107" s="104" t="str">
        <f>IF(H107&lt;0,"ERROR",IF(H107=0,"",IF(H107&lt;CONFIG!$B$4,"CRÍTICO",IF(H107&lt;CONFIG!$B$5,"BAJO","OK"))))</f>
        <v/>
      </c>
    </row>
    <row r="108" ht="15.75" hidden="1" customHeight="1">
      <c r="A108" s="90" t="str">
        <f>IF(CLIENTES!A6="","",CLIENTES!A6)</f>
        <v/>
      </c>
      <c r="B108" s="90" t="s">
        <v>321</v>
      </c>
      <c r="C108" s="91" t="s">
        <v>322</v>
      </c>
      <c r="D108" s="109" t="s">
        <v>353</v>
      </c>
      <c r="E108" s="67" t="str">
        <f>COLORES!A16</f>
        <v>Topo</v>
      </c>
      <c r="F108" s="67" t="str">
        <f>COLORES!B16</f>
        <v>CLARO</v>
      </c>
      <c r="G108" s="90" t="s">
        <v>376</v>
      </c>
      <c r="H108" s="100">
        <f>IFERROR(SUMIFS(MOVIMIENTOS_COMPLEMENTOS!$I$4:$I$803,MOVIMIENTOS_COMPLEMENTOS!$C$4:$C$803,A108,MOVIMIENTOS_COMPLEMENTOS!$D$4:$D$803,B108,MOVIMIENTOS_COMPLEMENTOS!$E$4:$E$803,C108,MOVIMIENTOS_COMPLEMENTOS!$G$4:$G$803,E108,MOVIMIENTOS_COMPLEMENTOS!$H$4:$H$803,G108,MOVIMIENTOS_COMPLEMENTOS!$B$4:$B$803,"INGRESO")+SUMIFS(MOVIMIENTOS_COMPLEMENTOS!$I$4:$I$803,MOVIMIENTOS_COMPLEMENTOS!$C$4:$C$803,A108,MOVIMIENTOS_COMPLEMENTOS!$D$4:$D$803,B108,MOVIMIENTOS_COMPLEMENTOS!$E$4:$E$803,C108,MOVIMIENTOS_COMPLEMENTOS!$G$4:$G$803,E108,MOVIMIENTOS_COMPLEMENTOS!$H$4:$H$803,G108,MOVIMIENTOS_COMPLEMENTOS!$B$4:$B$803,"DE CORTE")-SUMIFS(MOVIMIENTOS_COMPLEMENTOS!$I$4:$I$803,MOVIMIENTOS_COMPLEMENTOS!$C$4:$C$803,A108,MOVIMIENTOS_COMPLEMENTOS!$D$4:$D$803,B108,MOVIMIENTOS_COMPLEMENTOS!$E$4:$E$803,C108,MOVIMIENTOS_COMPLEMENTOS!$G$4:$G$803,E108,MOVIMIENTOS_COMPLEMENTOS!$H$4:$H$803,G108,MOVIMIENTOS_COMPLEMENTOS!$B$4:$B$803,"SALIDA"),0)</f>
        <v>0</v>
      </c>
      <c r="I108" s="102">
        <f t="array" ref="I108">IFERROR(INDEX(PRECIOS_COMPLEMENTOS!$C$4:$F$17,MATCH(B108&amp;"_"&amp;C108,PRECIOS_COMPLEMENTOS!$H$4:$H$17,0),IF(OR(G108="S",G108="20cm"),1,IF(OR(G108="M",G108="25cm"),2,IF(OR(G108="L",G108="30cm"),3,IF(OR(G108="XL",G108="35cm"),4,0))))),0)</f>
        <v>0.7</v>
      </c>
      <c r="J108" s="103">
        <f t="shared" si="1"/>
        <v>0</v>
      </c>
      <c r="K108" s="104" t="str">
        <f>IF(H108&lt;0,"ERROR",IF(H108=0,"",IF(H108&lt;CONFIG!$B$4,"CRÍTICO",IF(H108&lt;CONFIG!$B$5,"BAJO","OK"))))</f>
        <v/>
      </c>
    </row>
    <row r="109" ht="15.75" hidden="1" customHeight="1">
      <c r="A109" s="90" t="str">
        <f>IF(CLIENTES!A6="","",CLIENTES!A6)</f>
        <v/>
      </c>
      <c r="B109" s="90" t="s">
        <v>321</v>
      </c>
      <c r="C109" s="91" t="s">
        <v>322</v>
      </c>
      <c r="D109" s="109" t="s">
        <v>353</v>
      </c>
      <c r="E109" s="67" t="str">
        <f>COLORES!A16</f>
        <v>Topo</v>
      </c>
      <c r="F109" s="67" t="str">
        <f>COLORES!B16</f>
        <v>CLARO</v>
      </c>
      <c r="G109" s="90" t="s">
        <v>377</v>
      </c>
      <c r="H109" s="100">
        <f>IFERROR(SUMIFS(MOVIMIENTOS_COMPLEMENTOS!$I$4:$I$803,MOVIMIENTOS_COMPLEMENTOS!$C$4:$C$803,A109,MOVIMIENTOS_COMPLEMENTOS!$D$4:$D$803,B109,MOVIMIENTOS_COMPLEMENTOS!$E$4:$E$803,C109,MOVIMIENTOS_COMPLEMENTOS!$G$4:$G$803,E109,MOVIMIENTOS_COMPLEMENTOS!$H$4:$H$803,G109,MOVIMIENTOS_COMPLEMENTOS!$B$4:$B$803,"INGRESO")+SUMIFS(MOVIMIENTOS_COMPLEMENTOS!$I$4:$I$803,MOVIMIENTOS_COMPLEMENTOS!$C$4:$C$803,A109,MOVIMIENTOS_COMPLEMENTOS!$D$4:$D$803,B109,MOVIMIENTOS_COMPLEMENTOS!$E$4:$E$803,C109,MOVIMIENTOS_COMPLEMENTOS!$G$4:$G$803,E109,MOVIMIENTOS_COMPLEMENTOS!$H$4:$H$803,G109,MOVIMIENTOS_COMPLEMENTOS!$B$4:$B$803,"DE CORTE")-SUMIFS(MOVIMIENTOS_COMPLEMENTOS!$I$4:$I$803,MOVIMIENTOS_COMPLEMENTOS!$C$4:$C$803,A109,MOVIMIENTOS_COMPLEMENTOS!$D$4:$D$803,B109,MOVIMIENTOS_COMPLEMENTOS!$E$4:$E$803,C109,MOVIMIENTOS_COMPLEMENTOS!$G$4:$G$803,E109,MOVIMIENTOS_COMPLEMENTOS!$H$4:$H$803,G109,MOVIMIENTOS_COMPLEMENTOS!$B$4:$B$803,"SALIDA"),0)</f>
        <v>0</v>
      </c>
      <c r="I109" s="102">
        <f t="array" ref="I109">IFERROR(INDEX(PRECIOS_COMPLEMENTOS!$C$4:$F$17,MATCH(B109&amp;"_"&amp;C109,PRECIOS_COMPLEMENTOS!$H$4:$H$17,0),IF(OR(G109="S",G109="20cm"),1,IF(OR(G109="M",G109="25cm"),2,IF(OR(G109="L",G109="30cm"),3,IF(OR(G109="XL",G109="35cm"),4,0))))),0)</f>
        <v>0.75</v>
      </c>
      <c r="J109" s="103">
        <f t="shared" si="1"/>
        <v>0</v>
      </c>
      <c r="K109" s="104" t="str">
        <f>IF(H109&lt;0,"ERROR",IF(H109=0,"",IF(H109&lt;CONFIG!$B$4,"CRÍTICO",IF(H109&lt;CONFIG!$B$5,"BAJO","OK"))))</f>
        <v/>
      </c>
    </row>
    <row r="110" ht="15.75" hidden="1" customHeight="1">
      <c r="A110" s="90" t="str">
        <f>IF(CLIENTES!A6="","",CLIENTES!A6)</f>
        <v/>
      </c>
      <c r="B110" s="90" t="s">
        <v>321</v>
      </c>
      <c r="C110" s="91" t="s">
        <v>322</v>
      </c>
      <c r="D110" s="109" t="s">
        <v>353</v>
      </c>
      <c r="E110" s="67" t="str">
        <f>COLORES!A17</f>
        <v>Vino</v>
      </c>
      <c r="F110" s="67" t="str">
        <f>COLORES!B17</f>
        <v>OSCURO</v>
      </c>
      <c r="G110" s="90" t="s">
        <v>376</v>
      </c>
      <c r="H110" s="100">
        <f>IFERROR(SUMIFS(MOVIMIENTOS_COMPLEMENTOS!$I$4:$I$803,MOVIMIENTOS_COMPLEMENTOS!$C$4:$C$803,A110,MOVIMIENTOS_COMPLEMENTOS!$D$4:$D$803,B110,MOVIMIENTOS_COMPLEMENTOS!$E$4:$E$803,C110,MOVIMIENTOS_COMPLEMENTOS!$G$4:$G$803,E110,MOVIMIENTOS_COMPLEMENTOS!$H$4:$H$803,G110,MOVIMIENTOS_COMPLEMENTOS!$B$4:$B$803,"INGRESO")+SUMIFS(MOVIMIENTOS_COMPLEMENTOS!$I$4:$I$803,MOVIMIENTOS_COMPLEMENTOS!$C$4:$C$803,A110,MOVIMIENTOS_COMPLEMENTOS!$D$4:$D$803,B110,MOVIMIENTOS_COMPLEMENTOS!$E$4:$E$803,C110,MOVIMIENTOS_COMPLEMENTOS!$G$4:$G$803,E110,MOVIMIENTOS_COMPLEMENTOS!$H$4:$H$803,G110,MOVIMIENTOS_COMPLEMENTOS!$B$4:$B$803,"DE CORTE")-SUMIFS(MOVIMIENTOS_COMPLEMENTOS!$I$4:$I$803,MOVIMIENTOS_COMPLEMENTOS!$C$4:$C$803,A110,MOVIMIENTOS_COMPLEMENTOS!$D$4:$D$803,B110,MOVIMIENTOS_COMPLEMENTOS!$E$4:$E$803,C110,MOVIMIENTOS_COMPLEMENTOS!$G$4:$G$803,E110,MOVIMIENTOS_COMPLEMENTOS!$H$4:$H$803,G110,MOVIMIENTOS_COMPLEMENTOS!$B$4:$B$803,"SALIDA"),0)</f>
        <v>0</v>
      </c>
      <c r="I110" s="102">
        <f t="array" ref="I110">IFERROR(INDEX(PRECIOS_COMPLEMENTOS!$C$4:$F$17,MATCH(B110&amp;"_"&amp;C110,PRECIOS_COMPLEMENTOS!$H$4:$H$17,0),IF(OR(G110="S",G110="20cm"),1,IF(OR(G110="M",G110="25cm"),2,IF(OR(G110="L",G110="30cm"),3,IF(OR(G110="XL",G110="35cm"),4,0))))),0)</f>
        <v>0.7</v>
      </c>
      <c r="J110" s="103">
        <f t="shared" si="1"/>
        <v>0</v>
      </c>
      <c r="K110" s="104" t="str">
        <f>IF(H110&lt;0,"ERROR",IF(H110=0,"",IF(H110&lt;CONFIG!$B$4,"CRÍTICO",IF(H110&lt;CONFIG!$B$5,"BAJO","OK"))))</f>
        <v/>
      </c>
    </row>
    <row r="111" ht="15.75" hidden="1" customHeight="1">
      <c r="A111" s="90" t="str">
        <f>IF(CLIENTES!A6="","",CLIENTES!A6)</f>
        <v/>
      </c>
      <c r="B111" s="90" t="s">
        <v>321</v>
      </c>
      <c r="C111" s="91" t="s">
        <v>322</v>
      </c>
      <c r="D111" s="109" t="s">
        <v>353</v>
      </c>
      <c r="E111" s="67" t="str">
        <f>COLORES!A17</f>
        <v>Vino</v>
      </c>
      <c r="F111" s="67" t="str">
        <f>COLORES!B17</f>
        <v>OSCURO</v>
      </c>
      <c r="G111" s="90" t="s">
        <v>377</v>
      </c>
      <c r="H111" s="100">
        <f>IFERROR(SUMIFS(MOVIMIENTOS_COMPLEMENTOS!$I$4:$I$803,MOVIMIENTOS_COMPLEMENTOS!$C$4:$C$803,A111,MOVIMIENTOS_COMPLEMENTOS!$D$4:$D$803,B111,MOVIMIENTOS_COMPLEMENTOS!$E$4:$E$803,C111,MOVIMIENTOS_COMPLEMENTOS!$G$4:$G$803,E111,MOVIMIENTOS_COMPLEMENTOS!$H$4:$H$803,G111,MOVIMIENTOS_COMPLEMENTOS!$B$4:$B$803,"INGRESO")+SUMIFS(MOVIMIENTOS_COMPLEMENTOS!$I$4:$I$803,MOVIMIENTOS_COMPLEMENTOS!$C$4:$C$803,A111,MOVIMIENTOS_COMPLEMENTOS!$D$4:$D$803,B111,MOVIMIENTOS_COMPLEMENTOS!$E$4:$E$803,C111,MOVIMIENTOS_COMPLEMENTOS!$G$4:$G$803,E111,MOVIMIENTOS_COMPLEMENTOS!$H$4:$H$803,G111,MOVIMIENTOS_COMPLEMENTOS!$B$4:$B$803,"DE CORTE")-SUMIFS(MOVIMIENTOS_COMPLEMENTOS!$I$4:$I$803,MOVIMIENTOS_COMPLEMENTOS!$C$4:$C$803,A111,MOVIMIENTOS_COMPLEMENTOS!$D$4:$D$803,B111,MOVIMIENTOS_COMPLEMENTOS!$E$4:$E$803,C111,MOVIMIENTOS_COMPLEMENTOS!$G$4:$G$803,E111,MOVIMIENTOS_COMPLEMENTOS!$H$4:$H$803,G111,MOVIMIENTOS_COMPLEMENTOS!$B$4:$B$803,"SALIDA"),0)</f>
        <v>0</v>
      </c>
      <c r="I111" s="102">
        <f t="array" ref="I111">IFERROR(INDEX(PRECIOS_COMPLEMENTOS!$C$4:$F$17,MATCH(B111&amp;"_"&amp;C111,PRECIOS_COMPLEMENTOS!$H$4:$H$17,0),IF(OR(G111="S",G111="20cm"),1,IF(OR(G111="M",G111="25cm"),2,IF(OR(G111="L",G111="30cm"),3,IF(OR(G111="XL",G111="35cm"),4,0))))),0)</f>
        <v>0.75</v>
      </c>
      <c r="J111" s="103">
        <f t="shared" si="1"/>
        <v>0</v>
      </c>
      <c r="K111" s="104" t="str">
        <f>IF(H111&lt;0,"ERROR",IF(H111=0,"",IF(H111&lt;CONFIG!$B$4,"CRÍTICO",IF(H111&lt;CONFIG!$B$5,"BAJO","OK"))))</f>
        <v/>
      </c>
    </row>
    <row r="112" ht="15.75" hidden="1" customHeight="1">
      <c r="A112" s="90" t="str">
        <f>IF(CLIENTES!A6="","",CLIENTES!A6)</f>
        <v/>
      </c>
      <c r="B112" s="90" t="s">
        <v>321</v>
      </c>
      <c r="C112" s="91" t="s">
        <v>322</v>
      </c>
      <c r="D112" s="109" t="s">
        <v>353</v>
      </c>
      <c r="E112" s="67" t="str">
        <f>COLORES!A18</f>
        <v>P. Rosa</v>
      </c>
      <c r="F112" s="67" t="str">
        <f>COLORES!B18</f>
        <v>CLARO</v>
      </c>
      <c r="G112" s="90" t="s">
        <v>376</v>
      </c>
      <c r="H112" s="100">
        <f>IFERROR(SUMIFS(MOVIMIENTOS_COMPLEMENTOS!$I$4:$I$803,MOVIMIENTOS_COMPLEMENTOS!$C$4:$C$803,A112,MOVIMIENTOS_COMPLEMENTOS!$D$4:$D$803,B112,MOVIMIENTOS_COMPLEMENTOS!$E$4:$E$803,C112,MOVIMIENTOS_COMPLEMENTOS!$G$4:$G$803,E112,MOVIMIENTOS_COMPLEMENTOS!$H$4:$H$803,G112,MOVIMIENTOS_COMPLEMENTOS!$B$4:$B$803,"INGRESO")+SUMIFS(MOVIMIENTOS_COMPLEMENTOS!$I$4:$I$803,MOVIMIENTOS_COMPLEMENTOS!$C$4:$C$803,A112,MOVIMIENTOS_COMPLEMENTOS!$D$4:$D$803,B112,MOVIMIENTOS_COMPLEMENTOS!$E$4:$E$803,C112,MOVIMIENTOS_COMPLEMENTOS!$G$4:$G$803,E112,MOVIMIENTOS_COMPLEMENTOS!$H$4:$H$803,G112,MOVIMIENTOS_COMPLEMENTOS!$B$4:$B$803,"DE CORTE")-SUMIFS(MOVIMIENTOS_COMPLEMENTOS!$I$4:$I$803,MOVIMIENTOS_COMPLEMENTOS!$C$4:$C$803,A112,MOVIMIENTOS_COMPLEMENTOS!$D$4:$D$803,B112,MOVIMIENTOS_COMPLEMENTOS!$E$4:$E$803,C112,MOVIMIENTOS_COMPLEMENTOS!$G$4:$G$803,E112,MOVIMIENTOS_COMPLEMENTOS!$H$4:$H$803,G112,MOVIMIENTOS_COMPLEMENTOS!$B$4:$B$803,"SALIDA"),0)</f>
        <v>0</v>
      </c>
      <c r="I112" s="102">
        <f t="array" ref="I112">IFERROR(INDEX(PRECIOS_COMPLEMENTOS!$C$4:$F$17,MATCH(B112&amp;"_"&amp;C112,PRECIOS_COMPLEMENTOS!$H$4:$H$17,0),IF(OR(G112="S",G112="20cm"),1,IF(OR(G112="M",G112="25cm"),2,IF(OR(G112="L",G112="30cm"),3,IF(OR(G112="XL",G112="35cm"),4,0))))),0)</f>
        <v>0.7</v>
      </c>
      <c r="J112" s="103">
        <f t="shared" si="1"/>
        <v>0</v>
      </c>
      <c r="K112" s="104" t="str">
        <f>IF(H112&lt;0,"ERROR",IF(H112=0,"",IF(H112&lt;CONFIG!$B$4,"CRÍTICO",IF(H112&lt;CONFIG!$B$5,"BAJO","OK"))))</f>
        <v/>
      </c>
    </row>
    <row r="113" ht="15.75" hidden="1" customHeight="1">
      <c r="A113" s="90" t="str">
        <f>IF(CLIENTES!A6="","",CLIENTES!A6)</f>
        <v/>
      </c>
      <c r="B113" s="90" t="s">
        <v>321</v>
      </c>
      <c r="C113" s="91" t="s">
        <v>322</v>
      </c>
      <c r="D113" s="109" t="s">
        <v>353</v>
      </c>
      <c r="E113" s="67" t="str">
        <f>COLORES!A18</f>
        <v>P. Rosa</v>
      </c>
      <c r="F113" s="67" t="str">
        <f>COLORES!B18</f>
        <v>CLARO</v>
      </c>
      <c r="G113" s="90" t="s">
        <v>377</v>
      </c>
      <c r="H113" s="100">
        <f>IFERROR(SUMIFS(MOVIMIENTOS_COMPLEMENTOS!$I$4:$I$803,MOVIMIENTOS_COMPLEMENTOS!$C$4:$C$803,A113,MOVIMIENTOS_COMPLEMENTOS!$D$4:$D$803,B113,MOVIMIENTOS_COMPLEMENTOS!$E$4:$E$803,C113,MOVIMIENTOS_COMPLEMENTOS!$G$4:$G$803,E113,MOVIMIENTOS_COMPLEMENTOS!$H$4:$H$803,G113,MOVIMIENTOS_COMPLEMENTOS!$B$4:$B$803,"INGRESO")+SUMIFS(MOVIMIENTOS_COMPLEMENTOS!$I$4:$I$803,MOVIMIENTOS_COMPLEMENTOS!$C$4:$C$803,A113,MOVIMIENTOS_COMPLEMENTOS!$D$4:$D$803,B113,MOVIMIENTOS_COMPLEMENTOS!$E$4:$E$803,C113,MOVIMIENTOS_COMPLEMENTOS!$G$4:$G$803,E113,MOVIMIENTOS_COMPLEMENTOS!$H$4:$H$803,G113,MOVIMIENTOS_COMPLEMENTOS!$B$4:$B$803,"DE CORTE")-SUMIFS(MOVIMIENTOS_COMPLEMENTOS!$I$4:$I$803,MOVIMIENTOS_COMPLEMENTOS!$C$4:$C$803,A113,MOVIMIENTOS_COMPLEMENTOS!$D$4:$D$803,B113,MOVIMIENTOS_COMPLEMENTOS!$E$4:$E$803,C113,MOVIMIENTOS_COMPLEMENTOS!$G$4:$G$803,E113,MOVIMIENTOS_COMPLEMENTOS!$H$4:$H$803,G113,MOVIMIENTOS_COMPLEMENTOS!$B$4:$B$803,"SALIDA"),0)</f>
        <v>0</v>
      </c>
      <c r="I113" s="102">
        <f t="array" ref="I113">IFERROR(INDEX(PRECIOS_COMPLEMENTOS!$C$4:$F$17,MATCH(B113&amp;"_"&amp;C113,PRECIOS_COMPLEMENTOS!$H$4:$H$17,0),IF(OR(G113="S",G113="20cm"),1,IF(OR(G113="M",G113="25cm"),2,IF(OR(G113="L",G113="30cm"),3,IF(OR(G113="XL",G113="35cm"),4,0))))),0)</f>
        <v>0.75</v>
      </c>
      <c r="J113" s="103">
        <f t="shared" si="1"/>
        <v>0</v>
      </c>
      <c r="K113" s="104" t="str">
        <f>IF(H113&lt;0,"ERROR",IF(H113=0,"",IF(H113&lt;CONFIG!$B$4,"CRÍTICO",IF(H113&lt;CONFIG!$B$5,"BAJO","OK"))))</f>
        <v/>
      </c>
    </row>
    <row r="114" ht="15.75" hidden="1" customHeight="1">
      <c r="A114" s="90" t="str">
        <f>IF(CLIENTES!A6="","",CLIENTES!A6)</f>
        <v/>
      </c>
      <c r="B114" s="90" t="s">
        <v>321</v>
      </c>
      <c r="C114" s="91" t="s">
        <v>322</v>
      </c>
      <c r="D114" s="109" t="s">
        <v>353</v>
      </c>
      <c r="E114" s="67" t="str">
        <f>COLORES!A19</f>
        <v/>
      </c>
      <c r="F114" s="67" t="str">
        <f>COLORES!B19</f>
        <v/>
      </c>
      <c r="G114" s="90" t="s">
        <v>376</v>
      </c>
      <c r="H114" s="100">
        <f>IFERROR(SUMIFS(MOVIMIENTOS_COMPLEMENTOS!$I$4:$I$803,MOVIMIENTOS_COMPLEMENTOS!$C$4:$C$803,A114,MOVIMIENTOS_COMPLEMENTOS!$D$4:$D$803,B114,MOVIMIENTOS_COMPLEMENTOS!$E$4:$E$803,C114,MOVIMIENTOS_COMPLEMENTOS!$G$4:$G$803,E114,MOVIMIENTOS_COMPLEMENTOS!$H$4:$H$803,G114,MOVIMIENTOS_COMPLEMENTOS!$B$4:$B$803,"INGRESO")+SUMIFS(MOVIMIENTOS_COMPLEMENTOS!$I$4:$I$803,MOVIMIENTOS_COMPLEMENTOS!$C$4:$C$803,A114,MOVIMIENTOS_COMPLEMENTOS!$D$4:$D$803,B114,MOVIMIENTOS_COMPLEMENTOS!$E$4:$E$803,C114,MOVIMIENTOS_COMPLEMENTOS!$G$4:$G$803,E114,MOVIMIENTOS_COMPLEMENTOS!$H$4:$H$803,G114,MOVIMIENTOS_COMPLEMENTOS!$B$4:$B$803,"DE CORTE")-SUMIFS(MOVIMIENTOS_COMPLEMENTOS!$I$4:$I$803,MOVIMIENTOS_COMPLEMENTOS!$C$4:$C$803,A114,MOVIMIENTOS_COMPLEMENTOS!$D$4:$D$803,B114,MOVIMIENTOS_COMPLEMENTOS!$E$4:$E$803,C114,MOVIMIENTOS_COMPLEMENTOS!$G$4:$G$803,E114,MOVIMIENTOS_COMPLEMENTOS!$H$4:$H$803,G114,MOVIMIENTOS_COMPLEMENTOS!$B$4:$B$803,"SALIDA"),0)</f>
        <v>0</v>
      </c>
      <c r="I114" s="102">
        <f t="array" ref="I114">IFERROR(INDEX(PRECIOS_COMPLEMENTOS!$C$4:$F$17,MATCH(B114&amp;"_"&amp;C114,PRECIOS_COMPLEMENTOS!$H$4:$H$17,0),IF(OR(G114="S",G114="20cm"),1,IF(OR(G114="M",G114="25cm"),2,IF(OR(G114="L",G114="30cm"),3,IF(OR(G114="XL",G114="35cm"),4,0))))),0)</f>
        <v>0.7</v>
      </c>
      <c r="J114" s="103">
        <f t="shared" si="1"/>
        <v>0</v>
      </c>
      <c r="K114" s="104" t="str">
        <f>IF(H114&lt;0,"ERROR",IF(H114=0,"",IF(H114&lt;CONFIG!$B$4,"CRÍTICO",IF(H114&lt;CONFIG!$B$5,"BAJO","OK"))))</f>
        <v/>
      </c>
    </row>
    <row r="115" ht="15.75" hidden="1" customHeight="1">
      <c r="A115" s="90" t="str">
        <f>IF(CLIENTES!A6="","",CLIENTES!A6)</f>
        <v/>
      </c>
      <c r="B115" s="90" t="s">
        <v>321</v>
      </c>
      <c r="C115" s="91" t="s">
        <v>322</v>
      </c>
      <c r="D115" s="109" t="s">
        <v>353</v>
      </c>
      <c r="E115" s="67" t="str">
        <f>COLORES!A19</f>
        <v/>
      </c>
      <c r="F115" s="67" t="str">
        <f>COLORES!B19</f>
        <v/>
      </c>
      <c r="G115" s="90" t="s">
        <v>377</v>
      </c>
      <c r="H115" s="100">
        <f>IFERROR(SUMIFS(MOVIMIENTOS_COMPLEMENTOS!$I$4:$I$803,MOVIMIENTOS_COMPLEMENTOS!$C$4:$C$803,A115,MOVIMIENTOS_COMPLEMENTOS!$D$4:$D$803,B115,MOVIMIENTOS_COMPLEMENTOS!$E$4:$E$803,C115,MOVIMIENTOS_COMPLEMENTOS!$G$4:$G$803,E115,MOVIMIENTOS_COMPLEMENTOS!$H$4:$H$803,G115,MOVIMIENTOS_COMPLEMENTOS!$B$4:$B$803,"INGRESO")+SUMIFS(MOVIMIENTOS_COMPLEMENTOS!$I$4:$I$803,MOVIMIENTOS_COMPLEMENTOS!$C$4:$C$803,A115,MOVIMIENTOS_COMPLEMENTOS!$D$4:$D$803,B115,MOVIMIENTOS_COMPLEMENTOS!$E$4:$E$803,C115,MOVIMIENTOS_COMPLEMENTOS!$G$4:$G$803,E115,MOVIMIENTOS_COMPLEMENTOS!$H$4:$H$803,G115,MOVIMIENTOS_COMPLEMENTOS!$B$4:$B$803,"DE CORTE")-SUMIFS(MOVIMIENTOS_COMPLEMENTOS!$I$4:$I$803,MOVIMIENTOS_COMPLEMENTOS!$C$4:$C$803,A115,MOVIMIENTOS_COMPLEMENTOS!$D$4:$D$803,B115,MOVIMIENTOS_COMPLEMENTOS!$E$4:$E$803,C115,MOVIMIENTOS_COMPLEMENTOS!$G$4:$G$803,E115,MOVIMIENTOS_COMPLEMENTOS!$H$4:$H$803,G115,MOVIMIENTOS_COMPLEMENTOS!$B$4:$B$803,"SALIDA"),0)</f>
        <v>0</v>
      </c>
      <c r="I115" s="102">
        <f t="array" ref="I115">IFERROR(INDEX(PRECIOS_COMPLEMENTOS!$C$4:$F$17,MATCH(B115&amp;"_"&amp;C115,PRECIOS_COMPLEMENTOS!$H$4:$H$17,0),IF(OR(G115="S",G115="20cm"),1,IF(OR(G115="M",G115="25cm"),2,IF(OR(G115="L",G115="30cm"),3,IF(OR(G115="XL",G115="35cm"),4,0))))),0)</f>
        <v>0.75</v>
      </c>
      <c r="J115" s="103">
        <f t="shared" si="1"/>
        <v>0</v>
      </c>
      <c r="K115" s="104" t="str">
        <f>IF(H115&lt;0,"ERROR",IF(H115=0,"",IF(H115&lt;CONFIG!$B$4,"CRÍTICO",IF(H115&lt;CONFIG!$B$5,"BAJO","OK"))))</f>
        <v/>
      </c>
    </row>
    <row r="116" ht="15.75" hidden="1" customHeight="1">
      <c r="A116" s="90" t="str">
        <f>IF(CLIENTES!A6="","",CLIENTES!A6)</f>
        <v/>
      </c>
      <c r="B116" s="90" t="s">
        <v>321</v>
      </c>
      <c r="C116" s="91" t="s">
        <v>322</v>
      </c>
      <c r="D116" s="109" t="s">
        <v>353</v>
      </c>
      <c r="E116" s="67" t="str">
        <f>COLORES!A20</f>
        <v/>
      </c>
      <c r="F116" s="67" t="str">
        <f>COLORES!B20</f>
        <v/>
      </c>
      <c r="G116" s="90" t="s">
        <v>376</v>
      </c>
      <c r="H116" s="100">
        <f>IFERROR(SUMIFS(MOVIMIENTOS_COMPLEMENTOS!$I$4:$I$803,MOVIMIENTOS_COMPLEMENTOS!$C$4:$C$803,A116,MOVIMIENTOS_COMPLEMENTOS!$D$4:$D$803,B116,MOVIMIENTOS_COMPLEMENTOS!$E$4:$E$803,C116,MOVIMIENTOS_COMPLEMENTOS!$G$4:$G$803,E116,MOVIMIENTOS_COMPLEMENTOS!$H$4:$H$803,G116,MOVIMIENTOS_COMPLEMENTOS!$B$4:$B$803,"INGRESO")+SUMIFS(MOVIMIENTOS_COMPLEMENTOS!$I$4:$I$803,MOVIMIENTOS_COMPLEMENTOS!$C$4:$C$803,A116,MOVIMIENTOS_COMPLEMENTOS!$D$4:$D$803,B116,MOVIMIENTOS_COMPLEMENTOS!$E$4:$E$803,C116,MOVIMIENTOS_COMPLEMENTOS!$G$4:$G$803,E116,MOVIMIENTOS_COMPLEMENTOS!$H$4:$H$803,G116,MOVIMIENTOS_COMPLEMENTOS!$B$4:$B$803,"DE CORTE")-SUMIFS(MOVIMIENTOS_COMPLEMENTOS!$I$4:$I$803,MOVIMIENTOS_COMPLEMENTOS!$C$4:$C$803,A116,MOVIMIENTOS_COMPLEMENTOS!$D$4:$D$803,B116,MOVIMIENTOS_COMPLEMENTOS!$E$4:$E$803,C116,MOVIMIENTOS_COMPLEMENTOS!$G$4:$G$803,E116,MOVIMIENTOS_COMPLEMENTOS!$H$4:$H$803,G116,MOVIMIENTOS_COMPLEMENTOS!$B$4:$B$803,"SALIDA"),0)</f>
        <v>0</v>
      </c>
      <c r="I116" s="102">
        <f t="array" ref="I116">IFERROR(INDEX(PRECIOS_COMPLEMENTOS!$C$4:$F$17,MATCH(B116&amp;"_"&amp;C116,PRECIOS_COMPLEMENTOS!$H$4:$H$17,0),IF(OR(G116="S",G116="20cm"),1,IF(OR(G116="M",G116="25cm"),2,IF(OR(G116="L",G116="30cm"),3,IF(OR(G116="XL",G116="35cm"),4,0))))),0)</f>
        <v>0.7</v>
      </c>
      <c r="J116" s="103">
        <f t="shared" si="1"/>
        <v>0</v>
      </c>
      <c r="K116" s="104" t="str">
        <f>IF(H116&lt;0,"ERROR",IF(H116=0,"",IF(H116&lt;CONFIG!$B$4,"CRÍTICO",IF(H116&lt;CONFIG!$B$5,"BAJO","OK"))))</f>
        <v/>
      </c>
    </row>
    <row r="117" ht="15.75" hidden="1" customHeight="1">
      <c r="A117" s="90" t="str">
        <f>IF(CLIENTES!A6="","",CLIENTES!A6)</f>
        <v/>
      </c>
      <c r="B117" s="90" t="s">
        <v>321</v>
      </c>
      <c r="C117" s="91" t="s">
        <v>322</v>
      </c>
      <c r="D117" s="109" t="s">
        <v>353</v>
      </c>
      <c r="E117" s="67" t="str">
        <f>COLORES!A20</f>
        <v/>
      </c>
      <c r="F117" s="67" t="str">
        <f>COLORES!B20</f>
        <v/>
      </c>
      <c r="G117" s="90" t="s">
        <v>377</v>
      </c>
      <c r="H117" s="100">
        <f>IFERROR(SUMIFS(MOVIMIENTOS_COMPLEMENTOS!$I$4:$I$803,MOVIMIENTOS_COMPLEMENTOS!$C$4:$C$803,A117,MOVIMIENTOS_COMPLEMENTOS!$D$4:$D$803,B117,MOVIMIENTOS_COMPLEMENTOS!$E$4:$E$803,C117,MOVIMIENTOS_COMPLEMENTOS!$G$4:$G$803,E117,MOVIMIENTOS_COMPLEMENTOS!$H$4:$H$803,G117,MOVIMIENTOS_COMPLEMENTOS!$B$4:$B$803,"INGRESO")+SUMIFS(MOVIMIENTOS_COMPLEMENTOS!$I$4:$I$803,MOVIMIENTOS_COMPLEMENTOS!$C$4:$C$803,A117,MOVIMIENTOS_COMPLEMENTOS!$D$4:$D$803,B117,MOVIMIENTOS_COMPLEMENTOS!$E$4:$E$803,C117,MOVIMIENTOS_COMPLEMENTOS!$G$4:$G$803,E117,MOVIMIENTOS_COMPLEMENTOS!$H$4:$H$803,G117,MOVIMIENTOS_COMPLEMENTOS!$B$4:$B$803,"DE CORTE")-SUMIFS(MOVIMIENTOS_COMPLEMENTOS!$I$4:$I$803,MOVIMIENTOS_COMPLEMENTOS!$C$4:$C$803,A117,MOVIMIENTOS_COMPLEMENTOS!$D$4:$D$803,B117,MOVIMIENTOS_COMPLEMENTOS!$E$4:$E$803,C117,MOVIMIENTOS_COMPLEMENTOS!$G$4:$G$803,E117,MOVIMIENTOS_COMPLEMENTOS!$H$4:$H$803,G117,MOVIMIENTOS_COMPLEMENTOS!$B$4:$B$803,"SALIDA"),0)</f>
        <v>0</v>
      </c>
      <c r="I117" s="102">
        <f t="array" ref="I117">IFERROR(INDEX(PRECIOS_COMPLEMENTOS!$C$4:$F$17,MATCH(B117&amp;"_"&amp;C117,PRECIOS_COMPLEMENTOS!$H$4:$H$17,0),IF(OR(G117="S",G117="20cm"),1,IF(OR(G117="M",G117="25cm"),2,IF(OR(G117="L",G117="30cm"),3,IF(OR(G117="XL",G117="35cm"),4,0))))),0)</f>
        <v>0.75</v>
      </c>
      <c r="J117" s="103">
        <f t="shared" si="1"/>
        <v>0</v>
      </c>
      <c r="K117" s="104" t="str">
        <f>IF(H117&lt;0,"ERROR",IF(H117=0,"",IF(H117&lt;CONFIG!$B$4,"CRÍTICO",IF(H117&lt;CONFIG!$B$5,"BAJO","OK"))))</f>
        <v/>
      </c>
    </row>
    <row r="118" ht="15.75" hidden="1" customHeight="1">
      <c r="A118" s="90" t="str">
        <f>IF(CLIENTES!A6="","",CLIENTES!A6)</f>
        <v/>
      </c>
      <c r="B118" s="90" t="s">
        <v>321</v>
      </c>
      <c r="C118" s="91" t="s">
        <v>322</v>
      </c>
      <c r="D118" s="109" t="s">
        <v>353</v>
      </c>
      <c r="E118" s="67" t="str">
        <f>COLORES!A21</f>
        <v/>
      </c>
      <c r="F118" s="67" t="str">
        <f>COLORES!B21</f>
        <v/>
      </c>
      <c r="G118" s="90" t="s">
        <v>376</v>
      </c>
      <c r="H118" s="100">
        <f>IFERROR(SUMIFS(MOVIMIENTOS_COMPLEMENTOS!$I$4:$I$803,MOVIMIENTOS_COMPLEMENTOS!$C$4:$C$803,A118,MOVIMIENTOS_COMPLEMENTOS!$D$4:$D$803,B118,MOVIMIENTOS_COMPLEMENTOS!$E$4:$E$803,C118,MOVIMIENTOS_COMPLEMENTOS!$G$4:$G$803,E118,MOVIMIENTOS_COMPLEMENTOS!$H$4:$H$803,G118,MOVIMIENTOS_COMPLEMENTOS!$B$4:$B$803,"INGRESO")+SUMIFS(MOVIMIENTOS_COMPLEMENTOS!$I$4:$I$803,MOVIMIENTOS_COMPLEMENTOS!$C$4:$C$803,A118,MOVIMIENTOS_COMPLEMENTOS!$D$4:$D$803,B118,MOVIMIENTOS_COMPLEMENTOS!$E$4:$E$803,C118,MOVIMIENTOS_COMPLEMENTOS!$G$4:$G$803,E118,MOVIMIENTOS_COMPLEMENTOS!$H$4:$H$803,G118,MOVIMIENTOS_COMPLEMENTOS!$B$4:$B$803,"DE CORTE")-SUMIFS(MOVIMIENTOS_COMPLEMENTOS!$I$4:$I$803,MOVIMIENTOS_COMPLEMENTOS!$C$4:$C$803,A118,MOVIMIENTOS_COMPLEMENTOS!$D$4:$D$803,B118,MOVIMIENTOS_COMPLEMENTOS!$E$4:$E$803,C118,MOVIMIENTOS_COMPLEMENTOS!$G$4:$G$803,E118,MOVIMIENTOS_COMPLEMENTOS!$H$4:$H$803,G118,MOVIMIENTOS_COMPLEMENTOS!$B$4:$B$803,"SALIDA"),0)</f>
        <v>0</v>
      </c>
      <c r="I118" s="102">
        <f t="array" ref="I118">IFERROR(INDEX(PRECIOS_COMPLEMENTOS!$C$4:$F$17,MATCH(B118&amp;"_"&amp;C118,PRECIOS_COMPLEMENTOS!$H$4:$H$17,0),IF(OR(G118="S",G118="20cm"),1,IF(OR(G118="M",G118="25cm"),2,IF(OR(G118="L",G118="30cm"),3,IF(OR(G118="XL",G118="35cm"),4,0))))),0)</f>
        <v>0.7</v>
      </c>
      <c r="J118" s="103">
        <f t="shared" si="1"/>
        <v>0</v>
      </c>
      <c r="K118" s="104" t="str">
        <f>IF(H118&lt;0,"ERROR",IF(H118=0,"",IF(H118&lt;CONFIG!$B$4,"CRÍTICO",IF(H118&lt;CONFIG!$B$5,"BAJO","OK"))))</f>
        <v/>
      </c>
    </row>
    <row r="119" ht="15.75" hidden="1" customHeight="1">
      <c r="A119" s="90" t="str">
        <f>IF(CLIENTES!A6="","",CLIENTES!A6)</f>
        <v/>
      </c>
      <c r="B119" s="90" t="s">
        <v>321</v>
      </c>
      <c r="C119" s="91" t="s">
        <v>322</v>
      </c>
      <c r="D119" s="109" t="s">
        <v>353</v>
      </c>
      <c r="E119" s="67" t="str">
        <f>COLORES!A21</f>
        <v/>
      </c>
      <c r="F119" s="67" t="str">
        <f>COLORES!B21</f>
        <v/>
      </c>
      <c r="G119" s="90" t="s">
        <v>377</v>
      </c>
      <c r="H119" s="100">
        <f>IFERROR(SUMIFS(MOVIMIENTOS_COMPLEMENTOS!$I$4:$I$803,MOVIMIENTOS_COMPLEMENTOS!$C$4:$C$803,A119,MOVIMIENTOS_COMPLEMENTOS!$D$4:$D$803,B119,MOVIMIENTOS_COMPLEMENTOS!$E$4:$E$803,C119,MOVIMIENTOS_COMPLEMENTOS!$G$4:$G$803,E119,MOVIMIENTOS_COMPLEMENTOS!$H$4:$H$803,G119,MOVIMIENTOS_COMPLEMENTOS!$B$4:$B$803,"INGRESO")+SUMIFS(MOVIMIENTOS_COMPLEMENTOS!$I$4:$I$803,MOVIMIENTOS_COMPLEMENTOS!$C$4:$C$803,A119,MOVIMIENTOS_COMPLEMENTOS!$D$4:$D$803,B119,MOVIMIENTOS_COMPLEMENTOS!$E$4:$E$803,C119,MOVIMIENTOS_COMPLEMENTOS!$G$4:$G$803,E119,MOVIMIENTOS_COMPLEMENTOS!$H$4:$H$803,G119,MOVIMIENTOS_COMPLEMENTOS!$B$4:$B$803,"DE CORTE")-SUMIFS(MOVIMIENTOS_COMPLEMENTOS!$I$4:$I$803,MOVIMIENTOS_COMPLEMENTOS!$C$4:$C$803,A119,MOVIMIENTOS_COMPLEMENTOS!$D$4:$D$803,B119,MOVIMIENTOS_COMPLEMENTOS!$E$4:$E$803,C119,MOVIMIENTOS_COMPLEMENTOS!$G$4:$G$803,E119,MOVIMIENTOS_COMPLEMENTOS!$H$4:$H$803,G119,MOVIMIENTOS_COMPLEMENTOS!$B$4:$B$803,"SALIDA"),0)</f>
        <v>0</v>
      </c>
      <c r="I119" s="102">
        <f t="array" ref="I119">IFERROR(INDEX(PRECIOS_COMPLEMENTOS!$C$4:$F$17,MATCH(B119&amp;"_"&amp;C119,PRECIOS_COMPLEMENTOS!$H$4:$H$17,0),IF(OR(G119="S",G119="20cm"),1,IF(OR(G119="M",G119="25cm"),2,IF(OR(G119="L",G119="30cm"),3,IF(OR(G119="XL",G119="35cm"),4,0))))),0)</f>
        <v>0.75</v>
      </c>
      <c r="J119" s="103">
        <f t="shared" si="1"/>
        <v>0</v>
      </c>
      <c r="K119" s="104" t="str">
        <f>IF(H119&lt;0,"ERROR",IF(H119=0,"",IF(H119&lt;CONFIG!$B$4,"CRÍTICO",IF(H119&lt;CONFIG!$B$5,"BAJO","OK"))))</f>
        <v/>
      </c>
    </row>
    <row r="120" ht="15.75" hidden="1" customHeight="1">
      <c r="A120" s="90" t="str">
        <f>IF(CLIENTES!A6="","",CLIENTES!A6)</f>
        <v/>
      </c>
      <c r="B120" s="90" t="s">
        <v>321</v>
      </c>
      <c r="C120" s="91" t="s">
        <v>322</v>
      </c>
      <c r="D120" s="109" t="s">
        <v>353</v>
      </c>
      <c r="E120" s="67" t="str">
        <f>COLORES!A22</f>
        <v/>
      </c>
      <c r="F120" s="67" t="str">
        <f>COLORES!B22</f>
        <v/>
      </c>
      <c r="G120" s="90" t="s">
        <v>376</v>
      </c>
      <c r="H120" s="100">
        <f>IFERROR(SUMIFS(MOVIMIENTOS_COMPLEMENTOS!$I$4:$I$803,MOVIMIENTOS_COMPLEMENTOS!$C$4:$C$803,A120,MOVIMIENTOS_COMPLEMENTOS!$D$4:$D$803,B120,MOVIMIENTOS_COMPLEMENTOS!$E$4:$E$803,C120,MOVIMIENTOS_COMPLEMENTOS!$G$4:$G$803,E120,MOVIMIENTOS_COMPLEMENTOS!$H$4:$H$803,G120,MOVIMIENTOS_COMPLEMENTOS!$B$4:$B$803,"INGRESO")+SUMIFS(MOVIMIENTOS_COMPLEMENTOS!$I$4:$I$803,MOVIMIENTOS_COMPLEMENTOS!$C$4:$C$803,A120,MOVIMIENTOS_COMPLEMENTOS!$D$4:$D$803,B120,MOVIMIENTOS_COMPLEMENTOS!$E$4:$E$803,C120,MOVIMIENTOS_COMPLEMENTOS!$G$4:$G$803,E120,MOVIMIENTOS_COMPLEMENTOS!$H$4:$H$803,G120,MOVIMIENTOS_COMPLEMENTOS!$B$4:$B$803,"DE CORTE")-SUMIFS(MOVIMIENTOS_COMPLEMENTOS!$I$4:$I$803,MOVIMIENTOS_COMPLEMENTOS!$C$4:$C$803,A120,MOVIMIENTOS_COMPLEMENTOS!$D$4:$D$803,B120,MOVIMIENTOS_COMPLEMENTOS!$E$4:$E$803,C120,MOVIMIENTOS_COMPLEMENTOS!$G$4:$G$803,E120,MOVIMIENTOS_COMPLEMENTOS!$H$4:$H$803,G120,MOVIMIENTOS_COMPLEMENTOS!$B$4:$B$803,"SALIDA"),0)</f>
        <v>0</v>
      </c>
      <c r="I120" s="102">
        <f t="array" ref="I120">IFERROR(INDEX(PRECIOS_COMPLEMENTOS!$C$4:$F$17,MATCH(B120&amp;"_"&amp;C120,PRECIOS_COMPLEMENTOS!$H$4:$H$17,0),IF(OR(G120="S",G120="20cm"),1,IF(OR(G120="M",G120="25cm"),2,IF(OR(G120="L",G120="30cm"),3,IF(OR(G120="XL",G120="35cm"),4,0))))),0)</f>
        <v>0.7</v>
      </c>
      <c r="J120" s="103">
        <f t="shared" si="1"/>
        <v>0</v>
      </c>
      <c r="K120" s="104" t="str">
        <f>IF(H120&lt;0,"ERROR",IF(H120=0,"",IF(H120&lt;CONFIG!$B$4,"CRÍTICO",IF(H120&lt;CONFIG!$B$5,"BAJO","OK"))))</f>
        <v/>
      </c>
    </row>
    <row r="121" ht="15.75" hidden="1" customHeight="1">
      <c r="A121" s="90" t="str">
        <f>IF(CLIENTES!A6="","",CLIENTES!A6)</f>
        <v/>
      </c>
      <c r="B121" s="90" t="s">
        <v>321</v>
      </c>
      <c r="C121" s="91" t="s">
        <v>322</v>
      </c>
      <c r="D121" s="109" t="s">
        <v>353</v>
      </c>
      <c r="E121" s="67" t="str">
        <f>COLORES!A22</f>
        <v/>
      </c>
      <c r="F121" s="67" t="str">
        <f>COLORES!B22</f>
        <v/>
      </c>
      <c r="G121" s="90" t="s">
        <v>377</v>
      </c>
      <c r="H121" s="100">
        <f>IFERROR(SUMIFS(MOVIMIENTOS_COMPLEMENTOS!$I$4:$I$803,MOVIMIENTOS_COMPLEMENTOS!$C$4:$C$803,A121,MOVIMIENTOS_COMPLEMENTOS!$D$4:$D$803,B121,MOVIMIENTOS_COMPLEMENTOS!$E$4:$E$803,C121,MOVIMIENTOS_COMPLEMENTOS!$G$4:$G$803,E121,MOVIMIENTOS_COMPLEMENTOS!$H$4:$H$803,G121,MOVIMIENTOS_COMPLEMENTOS!$B$4:$B$803,"INGRESO")+SUMIFS(MOVIMIENTOS_COMPLEMENTOS!$I$4:$I$803,MOVIMIENTOS_COMPLEMENTOS!$C$4:$C$803,A121,MOVIMIENTOS_COMPLEMENTOS!$D$4:$D$803,B121,MOVIMIENTOS_COMPLEMENTOS!$E$4:$E$803,C121,MOVIMIENTOS_COMPLEMENTOS!$G$4:$G$803,E121,MOVIMIENTOS_COMPLEMENTOS!$H$4:$H$803,G121,MOVIMIENTOS_COMPLEMENTOS!$B$4:$B$803,"DE CORTE")-SUMIFS(MOVIMIENTOS_COMPLEMENTOS!$I$4:$I$803,MOVIMIENTOS_COMPLEMENTOS!$C$4:$C$803,A121,MOVIMIENTOS_COMPLEMENTOS!$D$4:$D$803,B121,MOVIMIENTOS_COMPLEMENTOS!$E$4:$E$803,C121,MOVIMIENTOS_COMPLEMENTOS!$G$4:$G$803,E121,MOVIMIENTOS_COMPLEMENTOS!$H$4:$H$803,G121,MOVIMIENTOS_COMPLEMENTOS!$B$4:$B$803,"SALIDA"),0)</f>
        <v>0</v>
      </c>
      <c r="I121" s="102">
        <f t="array" ref="I121">IFERROR(INDEX(PRECIOS_COMPLEMENTOS!$C$4:$F$17,MATCH(B121&amp;"_"&amp;C121,PRECIOS_COMPLEMENTOS!$H$4:$H$17,0),IF(OR(G121="S",G121="20cm"),1,IF(OR(G121="M",G121="25cm"),2,IF(OR(G121="L",G121="30cm"),3,IF(OR(G121="XL",G121="35cm"),4,0))))),0)</f>
        <v>0.75</v>
      </c>
      <c r="J121" s="103">
        <f t="shared" si="1"/>
        <v>0</v>
      </c>
      <c r="K121" s="104" t="str">
        <f>IF(H121&lt;0,"ERROR",IF(H121=0,"",IF(H121&lt;CONFIG!$B$4,"CRÍTICO",IF(H121&lt;CONFIG!$B$5,"BAJO","OK"))))</f>
        <v/>
      </c>
    </row>
    <row r="122" ht="15.75" hidden="1" customHeight="1">
      <c r="A122" s="90" t="str">
        <f>IF(CLIENTES!A6="","",CLIENTES!A6)</f>
        <v/>
      </c>
      <c r="B122" s="90" t="s">
        <v>321</v>
      </c>
      <c r="C122" s="91" t="s">
        <v>322</v>
      </c>
      <c r="D122" s="109" t="s">
        <v>353</v>
      </c>
      <c r="E122" s="67" t="str">
        <f>COLORES!A23</f>
        <v/>
      </c>
      <c r="F122" s="67" t="str">
        <f>COLORES!B23</f>
        <v/>
      </c>
      <c r="G122" s="90" t="s">
        <v>376</v>
      </c>
      <c r="H122" s="100">
        <f>IFERROR(SUMIFS(MOVIMIENTOS_COMPLEMENTOS!$I$4:$I$803,MOVIMIENTOS_COMPLEMENTOS!$C$4:$C$803,A122,MOVIMIENTOS_COMPLEMENTOS!$D$4:$D$803,B122,MOVIMIENTOS_COMPLEMENTOS!$E$4:$E$803,C122,MOVIMIENTOS_COMPLEMENTOS!$G$4:$G$803,E122,MOVIMIENTOS_COMPLEMENTOS!$H$4:$H$803,G122,MOVIMIENTOS_COMPLEMENTOS!$B$4:$B$803,"INGRESO")+SUMIFS(MOVIMIENTOS_COMPLEMENTOS!$I$4:$I$803,MOVIMIENTOS_COMPLEMENTOS!$C$4:$C$803,A122,MOVIMIENTOS_COMPLEMENTOS!$D$4:$D$803,B122,MOVIMIENTOS_COMPLEMENTOS!$E$4:$E$803,C122,MOVIMIENTOS_COMPLEMENTOS!$G$4:$G$803,E122,MOVIMIENTOS_COMPLEMENTOS!$H$4:$H$803,G122,MOVIMIENTOS_COMPLEMENTOS!$B$4:$B$803,"DE CORTE")-SUMIFS(MOVIMIENTOS_COMPLEMENTOS!$I$4:$I$803,MOVIMIENTOS_COMPLEMENTOS!$C$4:$C$803,A122,MOVIMIENTOS_COMPLEMENTOS!$D$4:$D$803,B122,MOVIMIENTOS_COMPLEMENTOS!$E$4:$E$803,C122,MOVIMIENTOS_COMPLEMENTOS!$G$4:$G$803,E122,MOVIMIENTOS_COMPLEMENTOS!$H$4:$H$803,G122,MOVIMIENTOS_COMPLEMENTOS!$B$4:$B$803,"SALIDA"),0)</f>
        <v>0</v>
      </c>
      <c r="I122" s="102">
        <f t="array" ref="I122">IFERROR(INDEX(PRECIOS_COMPLEMENTOS!$C$4:$F$17,MATCH(B122&amp;"_"&amp;C122,PRECIOS_COMPLEMENTOS!$H$4:$H$17,0),IF(OR(G122="S",G122="20cm"),1,IF(OR(G122="M",G122="25cm"),2,IF(OR(G122="L",G122="30cm"),3,IF(OR(G122="XL",G122="35cm"),4,0))))),0)</f>
        <v>0.7</v>
      </c>
      <c r="J122" s="103">
        <f t="shared" si="1"/>
        <v>0</v>
      </c>
      <c r="K122" s="104" t="str">
        <f>IF(H122&lt;0,"ERROR",IF(H122=0,"",IF(H122&lt;CONFIG!$B$4,"CRÍTICO",IF(H122&lt;CONFIG!$B$5,"BAJO","OK"))))</f>
        <v/>
      </c>
    </row>
    <row r="123" ht="15.75" hidden="1" customHeight="1">
      <c r="A123" s="90" t="str">
        <f>IF(CLIENTES!A6="","",CLIENTES!A6)</f>
        <v/>
      </c>
      <c r="B123" s="90" t="s">
        <v>321</v>
      </c>
      <c r="C123" s="91" t="s">
        <v>322</v>
      </c>
      <c r="D123" s="109" t="s">
        <v>353</v>
      </c>
      <c r="E123" s="67" t="str">
        <f>COLORES!A23</f>
        <v/>
      </c>
      <c r="F123" s="67" t="str">
        <f>COLORES!B23</f>
        <v/>
      </c>
      <c r="G123" s="90" t="s">
        <v>377</v>
      </c>
      <c r="H123" s="100">
        <f>IFERROR(SUMIFS(MOVIMIENTOS_COMPLEMENTOS!$I$4:$I$803,MOVIMIENTOS_COMPLEMENTOS!$C$4:$C$803,A123,MOVIMIENTOS_COMPLEMENTOS!$D$4:$D$803,B123,MOVIMIENTOS_COMPLEMENTOS!$E$4:$E$803,C123,MOVIMIENTOS_COMPLEMENTOS!$G$4:$G$803,E123,MOVIMIENTOS_COMPLEMENTOS!$H$4:$H$803,G123,MOVIMIENTOS_COMPLEMENTOS!$B$4:$B$803,"INGRESO")+SUMIFS(MOVIMIENTOS_COMPLEMENTOS!$I$4:$I$803,MOVIMIENTOS_COMPLEMENTOS!$C$4:$C$803,A123,MOVIMIENTOS_COMPLEMENTOS!$D$4:$D$803,B123,MOVIMIENTOS_COMPLEMENTOS!$E$4:$E$803,C123,MOVIMIENTOS_COMPLEMENTOS!$G$4:$G$803,E123,MOVIMIENTOS_COMPLEMENTOS!$H$4:$H$803,G123,MOVIMIENTOS_COMPLEMENTOS!$B$4:$B$803,"DE CORTE")-SUMIFS(MOVIMIENTOS_COMPLEMENTOS!$I$4:$I$803,MOVIMIENTOS_COMPLEMENTOS!$C$4:$C$803,A123,MOVIMIENTOS_COMPLEMENTOS!$D$4:$D$803,B123,MOVIMIENTOS_COMPLEMENTOS!$E$4:$E$803,C123,MOVIMIENTOS_COMPLEMENTOS!$G$4:$G$803,E123,MOVIMIENTOS_COMPLEMENTOS!$H$4:$H$803,G123,MOVIMIENTOS_COMPLEMENTOS!$B$4:$B$803,"SALIDA"),0)</f>
        <v>0</v>
      </c>
      <c r="I123" s="102">
        <f t="array" ref="I123">IFERROR(INDEX(PRECIOS_COMPLEMENTOS!$C$4:$F$17,MATCH(B123&amp;"_"&amp;C123,PRECIOS_COMPLEMENTOS!$H$4:$H$17,0),IF(OR(G123="S",G123="20cm"),1,IF(OR(G123="M",G123="25cm"),2,IF(OR(G123="L",G123="30cm"),3,IF(OR(G123="XL",G123="35cm"),4,0))))),0)</f>
        <v>0.75</v>
      </c>
      <c r="J123" s="103">
        <f t="shared" si="1"/>
        <v>0</v>
      </c>
      <c r="K123" s="104" t="str">
        <f>IF(H123&lt;0,"ERROR",IF(H123=0,"",IF(H123&lt;CONFIG!$B$4,"CRÍTICO",IF(H123&lt;CONFIG!$B$5,"BAJO","OK"))))</f>
        <v/>
      </c>
    </row>
    <row r="124" ht="15.75" hidden="1" customHeight="1">
      <c r="A124" s="90" t="str">
        <f>IF(CLIENTES!A7="","",CLIENTES!A7)</f>
        <v/>
      </c>
      <c r="B124" s="90" t="s">
        <v>321</v>
      </c>
      <c r="C124" s="91" t="s">
        <v>322</v>
      </c>
      <c r="D124" s="109" t="s">
        <v>353</v>
      </c>
      <c r="E124" s="67" t="str">
        <f>COLORES!A4</f>
        <v>Negro</v>
      </c>
      <c r="F124" s="67" t="str">
        <f>COLORES!B4</f>
        <v>OSCURO</v>
      </c>
      <c r="G124" s="90" t="s">
        <v>376</v>
      </c>
      <c r="H124" s="100">
        <f>IFERROR(SUMIFS(MOVIMIENTOS_COMPLEMENTOS!$I$4:$I$803,MOVIMIENTOS_COMPLEMENTOS!$C$4:$C$803,A124,MOVIMIENTOS_COMPLEMENTOS!$D$4:$D$803,B124,MOVIMIENTOS_COMPLEMENTOS!$E$4:$E$803,C124,MOVIMIENTOS_COMPLEMENTOS!$G$4:$G$803,E124,MOVIMIENTOS_COMPLEMENTOS!$H$4:$H$803,G124,MOVIMIENTOS_COMPLEMENTOS!$B$4:$B$803,"INGRESO")+SUMIFS(MOVIMIENTOS_COMPLEMENTOS!$I$4:$I$803,MOVIMIENTOS_COMPLEMENTOS!$C$4:$C$803,A124,MOVIMIENTOS_COMPLEMENTOS!$D$4:$D$803,B124,MOVIMIENTOS_COMPLEMENTOS!$E$4:$E$803,C124,MOVIMIENTOS_COMPLEMENTOS!$G$4:$G$803,E124,MOVIMIENTOS_COMPLEMENTOS!$H$4:$H$803,G124,MOVIMIENTOS_COMPLEMENTOS!$B$4:$B$803,"DE CORTE")-SUMIFS(MOVIMIENTOS_COMPLEMENTOS!$I$4:$I$803,MOVIMIENTOS_COMPLEMENTOS!$C$4:$C$803,A124,MOVIMIENTOS_COMPLEMENTOS!$D$4:$D$803,B124,MOVIMIENTOS_COMPLEMENTOS!$E$4:$E$803,C124,MOVIMIENTOS_COMPLEMENTOS!$G$4:$G$803,E124,MOVIMIENTOS_COMPLEMENTOS!$H$4:$H$803,G124,MOVIMIENTOS_COMPLEMENTOS!$B$4:$B$803,"SALIDA"),0)</f>
        <v>0</v>
      </c>
      <c r="I124" s="102">
        <f t="array" ref="I124">IFERROR(INDEX(PRECIOS_COMPLEMENTOS!$C$4:$F$17,MATCH(B124&amp;"_"&amp;C124,PRECIOS_COMPLEMENTOS!$H$4:$H$17,0),IF(OR(G124="S",G124="20cm"),1,IF(OR(G124="M",G124="25cm"),2,IF(OR(G124="L",G124="30cm"),3,IF(OR(G124="XL",G124="35cm"),4,0))))),0)</f>
        <v>0.7</v>
      </c>
      <c r="J124" s="103">
        <f t="shared" si="1"/>
        <v>0</v>
      </c>
      <c r="K124" s="104" t="str">
        <f>IF(H124&lt;0,"ERROR",IF(H124=0,"",IF(H124&lt;CONFIG!$B$4,"CRÍTICO",IF(H124&lt;CONFIG!$B$5,"BAJO","OK"))))</f>
        <v/>
      </c>
    </row>
    <row r="125" ht="15.75" hidden="1" customHeight="1">
      <c r="A125" s="90" t="str">
        <f>IF(CLIENTES!A7="","",CLIENTES!A7)</f>
        <v/>
      </c>
      <c r="B125" s="90" t="s">
        <v>321</v>
      </c>
      <c r="C125" s="91" t="s">
        <v>322</v>
      </c>
      <c r="D125" s="109" t="s">
        <v>353</v>
      </c>
      <c r="E125" s="67" t="str">
        <f>COLORES!A4</f>
        <v>Negro</v>
      </c>
      <c r="F125" s="67" t="str">
        <f>COLORES!B4</f>
        <v>OSCURO</v>
      </c>
      <c r="G125" s="90" t="s">
        <v>377</v>
      </c>
      <c r="H125" s="100">
        <f>IFERROR(SUMIFS(MOVIMIENTOS_COMPLEMENTOS!$I$4:$I$803,MOVIMIENTOS_COMPLEMENTOS!$C$4:$C$803,A125,MOVIMIENTOS_COMPLEMENTOS!$D$4:$D$803,B125,MOVIMIENTOS_COMPLEMENTOS!$E$4:$E$803,C125,MOVIMIENTOS_COMPLEMENTOS!$G$4:$G$803,E125,MOVIMIENTOS_COMPLEMENTOS!$H$4:$H$803,G125,MOVIMIENTOS_COMPLEMENTOS!$B$4:$B$803,"INGRESO")+SUMIFS(MOVIMIENTOS_COMPLEMENTOS!$I$4:$I$803,MOVIMIENTOS_COMPLEMENTOS!$C$4:$C$803,A125,MOVIMIENTOS_COMPLEMENTOS!$D$4:$D$803,B125,MOVIMIENTOS_COMPLEMENTOS!$E$4:$E$803,C125,MOVIMIENTOS_COMPLEMENTOS!$G$4:$G$803,E125,MOVIMIENTOS_COMPLEMENTOS!$H$4:$H$803,G125,MOVIMIENTOS_COMPLEMENTOS!$B$4:$B$803,"DE CORTE")-SUMIFS(MOVIMIENTOS_COMPLEMENTOS!$I$4:$I$803,MOVIMIENTOS_COMPLEMENTOS!$C$4:$C$803,A125,MOVIMIENTOS_COMPLEMENTOS!$D$4:$D$803,B125,MOVIMIENTOS_COMPLEMENTOS!$E$4:$E$803,C125,MOVIMIENTOS_COMPLEMENTOS!$G$4:$G$803,E125,MOVIMIENTOS_COMPLEMENTOS!$H$4:$H$803,G125,MOVIMIENTOS_COMPLEMENTOS!$B$4:$B$803,"SALIDA"),0)</f>
        <v>0</v>
      </c>
      <c r="I125" s="102">
        <f t="array" ref="I125">IFERROR(INDEX(PRECIOS_COMPLEMENTOS!$C$4:$F$17,MATCH(B125&amp;"_"&amp;C125,PRECIOS_COMPLEMENTOS!$H$4:$H$17,0),IF(OR(G125="S",G125="20cm"),1,IF(OR(G125="M",G125="25cm"),2,IF(OR(G125="L",G125="30cm"),3,IF(OR(G125="XL",G125="35cm"),4,0))))),0)</f>
        <v>0.75</v>
      </c>
      <c r="J125" s="103">
        <f t="shared" si="1"/>
        <v>0</v>
      </c>
      <c r="K125" s="104" t="str">
        <f>IF(H125&lt;0,"ERROR",IF(H125=0,"",IF(H125&lt;CONFIG!$B$4,"CRÍTICO",IF(H125&lt;CONFIG!$B$5,"BAJO","OK"))))</f>
        <v/>
      </c>
    </row>
    <row r="126" ht="15.75" hidden="1" customHeight="1">
      <c r="A126" s="90" t="str">
        <f>IF(CLIENTES!A7="","",CLIENTES!A7)</f>
        <v/>
      </c>
      <c r="B126" s="90" t="s">
        <v>321</v>
      </c>
      <c r="C126" s="91" t="s">
        <v>322</v>
      </c>
      <c r="D126" s="109" t="s">
        <v>353</v>
      </c>
      <c r="E126" s="67" t="str">
        <f>COLORES!A5</f>
        <v>Perla</v>
      </c>
      <c r="F126" s="67" t="str">
        <f>COLORES!B5</f>
        <v>PPT</v>
      </c>
      <c r="G126" s="90" t="s">
        <v>376</v>
      </c>
      <c r="H126" s="100">
        <f>IFERROR(SUMIFS(MOVIMIENTOS_COMPLEMENTOS!$I$4:$I$803,MOVIMIENTOS_COMPLEMENTOS!$C$4:$C$803,A126,MOVIMIENTOS_COMPLEMENTOS!$D$4:$D$803,B126,MOVIMIENTOS_COMPLEMENTOS!$E$4:$E$803,C126,MOVIMIENTOS_COMPLEMENTOS!$G$4:$G$803,E126,MOVIMIENTOS_COMPLEMENTOS!$H$4:$H$803,G126,MOVIMIENTOS_COMPLEMENTOS!$B$4:$B$803,"INGRESO")+SUMIFS(MOVIMIENTOS_COMPLEMENTOS!$I$4:$I$803,MOVIMIENTOS_COMPLEMENTOS!$C$4:$C$803,A126,MOVIMIENTOS_COMPLEMENTOS!$D$4:$D$803,B126,MOVIMIENTOS_COMPLEMENTOS!$E$4:$E$803,C126,MOVIMIENTOS_COMPLEMENTOS!$G$4:$G$803,E126,MOVIMIENTOS_COMPLEMENTOS!$H$4:$H$803,G126,MOVIMIENTOS_COMPLEMENTOS!$B$4:$B$803,"DE CORTE")-SUMIFS(MOVIMIENTOS_COMPLEMENTOS!$I$4:$I$803,MOVIMIENTOS_COMPLEMENTOS!$C$4:$C$803,A126,MOVIMIENTOS_COMPLEMENTOS!$D$4:$D$803,B126,MOVIMIENTOS_COMPLEMENTOS!$E$4:$E$803,C126,MOVIMIENTOS_COMPLEMENTOS!$G$4:$G$803,E126,MOVIMIENTOS_COMPLEMENTOS!$H$4:$H$803,G126,MOVIMIENTOS_COMPLEMENTOS!$B$4:$B$803,"SALIDA"),0)</f>
        <v>0</v>
      </c>
      <c r="I126" s="102">
        <f t="array" ref="I126">IFERROR(INDEX(PRECIOS_COMPLEMENTOS!$C$4:$F$17,MATCH(B126&amp;"_"&amp;C126,PRECIOS_COMPLEMENTOS!$H$4:$H$17,0),IF(OR(G126="S",G126="20cm"),1,IF(OR(G126="M",G126="25cm"),2,IF(OR(G126="L",G126="30cm"),3,IF(OR(G126="XL",G126="35cm"),4,0))))),0)</f>
        <v>0.7</v>
      </c>
      <c r="J126" s="103">
        <f t="shared" si="1"/>
        <v>0</v>
      </c>
      <c r="K126" s="104" t="str">
        <f>IF(H126&lt;0,"ERROR",IF(H126=0,"",IF(H126&lt;CONFIG!$B$4,"CRÍTICO",IF(H126&lt;CONFIG!$B$5,"BAJO","OK"))))</f>
        <v/>
      </c>
    </row>
    <row r="127" ht="15.75" hidden="1" customHeight="1">
      <c r="A127" s="90" t="str">
        <f>IF(CLIENTES!A7="","",CLIENTES!A7)</f>
        <v/>
      </c>
      <c r="B127" s="90" t="s">
        <v>321</v>
      </c>
      <c r="C127" s="91" t="s">
        <v>322</v>
      </c>
      <c r="D127" s="109" t="s">
        <v>353</v>
      </c>
      <c r="E127" s="67" t="str">
        <f>COLORES!A5</f>
        <v>Perla</v>
      </c>
      <c r="F127" s="67" t="str">
        <f>COLORES!B5</f>
        <v>PPT</v>
      </c>
      <c r="G127" s="90" t="s">
        <v>377</v>
      </c>
      <c r="H127" s="100">
        <f>IFERROR(SUMIFS(MOVIMIENTOS_COMPLEMENTOS!$I$4:$I$803,MOVIMIENTOS_COMPLEMENTOS!$C$4:$C$803,A127,MOVIMIENTOS_COMPLEMENTOS!$D$4:$D$803,B127,MOVIMIENTOS_COMPLEMENTOS!$E$4:$E$803,C127,MOVIMIENTOS_COMPLEMENTOS!$G$4:$G$803,E127,MOVIMIENTOS_COMPLEMENTOS!$H$4:$H$803,G127,MOVIMIENTOS_COMPLEMENTOS!$B$4:$B$803,"INGRESO")+SUMIFS(MOVIMIENTOS_COMPLEMENTOS!$I$4:$I$803,MOVIMIENTOS_COMPLEMENTOS!$C$4:$C$803,A127,MOVIMIENTOS_COMPLEMENTOS!$D$4:$D$803,B127,MOVIMIENTOS_COMPLEMENTOS!$E$4:$E$803,C127,MOVIMIENTOS_COMPLEMENTOS!$G$4:$G$803,E127,MOVIMIENTOS_COMPLEMENTOS!$H$4:$H$803,G127,MOVIMIENTOS_COMPLEMENTOS!$B$4:$B$803,"DE CORTE")-SUMIFS(MOVIMIENTOS_COMPLEMENTOS!$I$4:$I$803,MOVIMIENTOS_COMPLEMENTOS!$C$4:$C$803,A127,MOVIMIENTOS_COMPLEMENTOS!$D$4:$D$803,B127,MOVIMIENTOS_COMPLEMENTOS!$E$4:$E$803,C127,MOVIMIENTOS_COMPLEMENTOS!$G$4:$G$803,E127,MOVIMIENTOS_COMPLEMENTOS!$H$4:$H$803,G127,MOVIMIENTOS_COMPLEMENTOS!$B$4:$B$803,"SALIDA"),0)</f>
        <v>0</v>
      </c>
      <c r="I127" s="102">
        <f t="array" ref="I127">IFERROR(INDEX(PRECIOS_COMPLEMENTOS!$C$4:$F$17,MATCH(B127&amp;"_"&amp;C127,PRECIOS_COMPLEMENTOS!$H$4:$H$17,0),IF(OR(G127="S",G127="20cm"),1,IF(OR(G127="M",G127="25cm"),2,IF(OR(G127="L",G127="30cm"),3,IF(OR(G127="XL",G127="35cm"),4,0))))),0)</f>
        <v>0.75</v>
      </c>
      <c r="J127" s="103">
        <f t="shared" si="1"/>
        <v>0</v>
      </c>
      <c r="K127" s="104" t="str">
        <f>IF(H127&lt;0,"ERROR",IF(H127=0,"",IF(H127&lt;CONFIG!$B$4,"CRÍTICO",IF(H127&lt;CONFIG!$B$5,"BAJO","OK"))))</f>
        <v/>
      </c>
    </row>
    <row r="128" ht="15.75" hidden="1" customHeight="1">
      <c r="A128" s="90" t="str">
        <f>IF(CLIENTES!A7="","",CLIENTES!A7)</f>
        <v/>
      </c>
      <c r="B128" s="90" t="s">
        <v>321</v>
      </c>
      <c r="C128" s="91" t="s">
        <v>322</v>
      </c>
      <c r="D128" s="109" t="s">
        <v>353</v>
      </c>
      <c r="E128" s="67" t="str">
        <f>COLORES!A6</f>
        <v>Blanco</v>
      </c>
      <c r="F128" s="67" t="str">
        <f>COLORES!B6</f>
        <v>PPT</v>
      </c>
      <c r="G128" s="90" t="s">
        <v>376</v>
      </c>
      <c r="H128" s="100">
        <f>IFERROR(SUMIFS(MOVIMIENTOS_COMPLEMENTOS!$I$4:$I$803,MOVIMIENTOS_COMPLEMENTOS!$C$4:$C$803,A128,MOVIMIENTOS_COMPLEMENTOS!$D$4:$D$803,B128,MOVIMIENTOS_COMPLEMENTOS!$E$4:$E$803,C128,MOVIMIENTOS_COMPLEMENTOS!$G$4:$G$803,E128,MOVIMIENTOS_COMPLEMENTOS!$H$4:$H$803,G128,MOVIMIENTOS_COMPLEMENTOS!$B$4:$B$803,"INGRESO")+SUMIFS(MOVIMIENTOS_COMPLEMENTOS!$I$4:$I$803,MOVIMIENTOS_COMPLEMENTOS!$C$4:$C$803,A128,MOVIMIENTOS_COMPLEMENTOS!$D$4:$D$803,B128,MOVIMIENTOS_COMPLEMENTOS!$E$4:$E$803,C128,MOVIMIENTOS_COMPLEMENTOS!$G$4:$G$803,E128,MOVIMIENTOS_COMPLEMENTOS!$H$4:$H$803,G128,MOVIMIENTOS_COMPLEMENTOS!$B$4:$B$803,"DE CORTE")-SUMIFS(MOVIMIENTOS_COMPLEMENTOS!$I$4:$I$803,MOVIMIENTOS_COMPLEMENTOS!$C$4:$C$803,A128,MOVIMIENTOS_COMPLEMENTOS!$D$4:$D$803,B128,MOVIMIENTOS_COMPLEMENTOS!$E$4:$E$803,C128,MOVIMIENTOS_COMPLEMENTOS!$G$4:$G$803,E128,MOVIMIENTOS_COMPLEMENTOS!$H$4:$H$803,G128,MOVIMIENTOS_COMPLEMENTOS!$B$4:$B$803,"SALIDA"),0)</f>
        <v>0</v>
      </c>
      <c r="I128" s="102">
        <f t="array" ref="I128">IFERROR(INDEX(PRECIOS_COMPLEMENTOS!$C$4:$F$17,MATCH(B128&amp;"_"&amp;C128,PRECIOS_COMPLEMENTOS!$H$4:$H$17,0),IF(OR(G128="S",G128="20cm"),1,IF(OR(G128="M",G128="25cm"),2,IF(OR(G128="L",G128="30cm"),3,IF(OR(G128="XL",G128="35cm"),4,0))))),0)</f>
        <v>0.7</v>
      </c>
      <c r="J128" s="103">
        <f t="shared" si="1"/>
        <v>0</v>
      </c>
      <c r="K128" s="104" t="str">
        <f>IF(H128&lt;0,"ERROR",IF(H128=0,"",IF(H128&lt;CONFIG!$B$4,"CRÍTICO",IF(H128&lt;CONFIG!$B$5,"BAJO","OK"))))</f>
        <v/>
      </c>
    </row>
    <row r="129" ht="15.75" hidden="1" customHeight="1">
      <c r="A129" s="90" t="str">
        <f>IF(CLIENTES!A7="","",CLIENTES!A7)</f>
        <v/>
      </c>
      <c r="B129" s="90" t="s">
        <v>321</v>
      </c>
      <c r="C129" s="91" t="s">
        <v>322</v>
      </c>
      <c r="D129" s="109" t="s">
        <v>353</v>
      </c>
      <c r="E129" s="67" t="str">
        <f>COLORES!A6</f>
        <v>Blanco</v>
      </c>
      <c r="F129" s="67" t="str">
        <f>COLORES!B6</f>
        <v>PPT</v>
      </c>
      <c r="G129" s="90" t="s">
        <v>377</v>
      </c>
      <c r="H129" s="100">
        <f>IFERROR(SUMIFS(MOVIMIENTOS_COMPLEMENTOS!$I$4:$I$803,MOVIMIENTOS_COMPLEMENTOS!$C$4:$C$803,A129,MOVIMIENTOS_COMPLEMENTOS!$D$4:$D$803,B129,MOVIMIENTOS_COMPLEMENTOS!$E$4:$E$803,C129,MOVIMIENTOS_COMPLEMENTOS!$G$4:$G$803,E129,MOVIMIENTOS_COMPLEMENTOS!$H$4:$H$803,G129,MOVIMIENTOS_COMPLEMENTOS!$B$4:$B$803,"INGRESO")+SUMIFS(MOVIMIENTOS_COMPLEMENTOS!$I$4:$I$803,MOVIMIENTOS_COMPLEMENTOS!$C$4:$C$803,A129,MOVIMIENTOS_COMPLEMENTOS!$D$4:$D$803,B129,MOVIMIENTOS_COMPLEMENTOS!$E$4:$E$803,C129,MOVIMIENTOS_COMPLEMENTOS!$G$4:$G$803,E129,MOVIMIENTOS_COMPLEMENTOS!$H$4:$H$803,G129,MOVIMIENTOS_COMPLEMENTOS!$B$4:$B$803,"DE CORTE")-SUMIFS(MOVIMIENTOS_COMPLEMENTOS!$I$4:$I$803,MOVIMIENTOS_COMPLEMENTOS!$C$4:$C$803,A129,MOVIMIENTOS_COMPLEMENTOS!$D$4:$D$803,B129,MOVIMIENTOS_COMPLEMENTOS!$E$4:$E$803,C129,MOVIMIENTOS_COMPLEMENTOS!$G$4:$G$803,E129,MOVIMIENTOS_COMPLEMENTOS!$H$4:$H$803,G129,MOVIMIENTOS_COMPLEMENTOS!$B$4:$B$803,"SALIDA"),0)</f>
        <v>0</v>
      </c>
      <c r="I129" s="102">
        <f t="array" ref="I129">IFERROR(INDEX(PRECIOS_COMPLEMENTOS!$C$4:$F$17,MATCH(B129&amp;"_"&amp;C129,PRECIOS_COMPLEMENTOS!$H$4:$H$17,0),IF(OR(G129="S",G129="20cm"),1,IF(OR(G129="M",G129="25cm"),2,IF(OR(G129="L",G129="30cm"),3,IF(OR(G129="XL",G129="35cm"),4,0))))),0)</f>
        <v>0.75</v>
      </c>
      <c r="J129" s="103">
        <f t="shared" si="1"/>
        <v>0</v>
      </c>
      <c r="K129" s="104" t="str">
        <f>IF(H129&lt;0,"ERROR",IF(H129=0,"",IF(H129&lt;CONFIG!$B$4,"CRÍTICO",IF(H129&lt;CONFIG!$B$5,"BAJO","OK"))))</f>
        <v/>
      </c>
    </row>
    <row r="130" ht="15.75" hidden="1" customHeight="1">
      <c r="A130" s="90" t="str">
        <f>IF(CLIENTES!A7="","",CLIENTES!A7)</f>
        <v/>
      </c>
      <c r="B130" s="90" t="s">
        <v>321</v>
      </c>
      <c r="C130" s="91" t="s">
        <v>322</v>
      </c>
      <c r="D130" s="109" t="s">
        <v>353</v>
      </c>
      <c r="E130" s="67" t="str">
        <f>COLORES!A7</f>
        <v>Azul</v>
      </c>
      <c r="F130" s="67" t="str">
        <f>COLORES!B7</f>
        <v>OSCURO</v>
      </c>
      <c r="G130" s="90" t="s">
        <v>376</v>
      </c>
      <c r="H130" s="100">
        <f>IFERROR(SUMIFS(MOVIMIENTOS_COMPLEMENTOS!$I$4:$I$803,MOVIMIENTOS_COMPLEMENTOS!$C$4:$C$803,A130,MOVIMIENTOS_COMPLEMENTOS!$D$4:$D$803,B130,MOVIMIENTOS_COMPLEMENTOS!$E$4:$E$803,C130,MOVIMIENTOS_COMPLEMENTOS!$G$4:$G$803,E130,MOVIMIENTOS_COMPLEMENTOS!$H$4:$H$803,G130,MOVIMIENTOS_COMPLEMENTOS!$B$4:$B$803,"INGRESO")+SUMIFS(MOVIMIENTOS_COMPLEMENTOS!$I$4:$I$803,MOVIMIENTOS_COMPLEMENTOS!$C$4:$C$803,A130,MOVIMIENTOS_COMPLEMENTOS!$D$4:$D$803,B130,MOVIMIENTOS_COMPLEMENTOS!$E$4:$E$803,C130,MOVIMIENTOS_COMPLEMENTOS!$G$4:$G$803,E130,MOVIMIENTOS_COMPLEMENTOS!$H$4:$H$803,G130,MOVIMIENTOS_COMPLEMENTOS!$B$4:$B$803,"DE CORTE")-SUMIFS(MOVIMIENTOS_COMPLEMENTOS!$I$4:$I$803,MOVIMIENTOS_COMPLEMENTOS!$C$4:$C$803,A130,MOVIMIENTOS_COMPLEMENTOS!$D$4:$D$803,B130,MOVIMIENTOS_COMPLEMENTOS!$E$4:$E$803,C130,MOVIMIENTOS_COMPLEMENTOS!$G$4:$G$803,E130,MOVIMIENTOS_COMPLEMENTOS!$H$4:$H$803,G130,MOVIMIENTOS_COMPLEMENTOS!$B$4:$B$803,"SALIDA"),0)</f>
        <v>0</v>
      </c>
      <c r="I130" s="102">
        <f t="array" ref="I130">IFERROR(INDEX(PRECIOS_COMPLEMENTOS!$C$4:$F$17,MATCH(B130&amp;"_"&amp;C130,PRECIOS_COMPLEMENTOS!$H$4:$H$17,0),IF(OR(G130="S",G130="20cm"),1,IF(OR(G130="M",G130="25cm"),2,IF(OR(G130="L",G130="30cm"),3,IF(OR(G130="XL",G130="35cm"),4,0))))),0)</f>
        <v>0.7</v>
      </c>
      <c r="J130" s="103">
        <f t="shared" si="1"/>
        <v>0</v>
      </c>
      <c r="K130" s="104" t="str">
        <f>IF(H130&lt;0,"ERROR",IF(H130=0,"",IF(H130&lt;CONFIG!$B$4,"CRÍTICO",IF(H130&lt;CONFIG!$B$5,"BAJO","OK"))))</f>
        <v/>
      </c>
    </row>
    <row r="131" ht="15.75" hidden="1" customHeight="1">
      <c r="A131" s="90" t="str">
        <f>IF(CLIENTES!A7="","",CLIENTES!A7)</f>
        <v/>
      </c>
      <c r="B131" s="90" t="s">
        <v>321</v>
      </c>
      <c r="C131" s="91" t="s">
        <v>322</v>
      </c>
      <c r="D131" s="109" t="s">
        <v>353</v>
      </c>
      <c r="E131" s="67" t="str">
        <f>COLORES!A7</f>
        <v>Azul</v>
      </c>
      <c r="F131" s="67" t="str">
        <f>COLORES!B7</f>
        <v>OSCURO</v>
      </c>
      <c r="G131" s="90" t="s">
        <v>377</v>
      </c>
      <c r="H131" s="100">
        <f>IFERROR(SUMIFS(MOVIMIENTOS_COMPLEMENTOS!$I$4:$I$803,MOVIMIENTOS_COMPLEMENTOS!$C$4:$C$803,A131,MOVIMIENTOS_COMPLEMENTOS!$D$4:$D$803,B131,MOVIMIENTOS_COMPLEMENTOS!$E$4:$E$803,C131,MOVIMIENTOS_COMPLEMENTOS!$G$4:$G$803,E131,MOVIMIENTOS_COMPLEMENTOS!$H$4:$H$803,G131,MOVIMIENTOS_COMPLEMENTOS!$B$4:$B$803,"INGRESO")+SUMIFS(MOVIMIENTOS_COMPLEMENTOS!$I$4:$I$803,MOVIMIENTOS_COMPLEMENTOS!$C$4:$C$803,A131,MOVIMIENTOS_COMPLEMENTOS!$D$4:$D$803,B131,MOVIMIENTOS_COMPLEMENTOS!$E$4:$E$803,C131,MOVIMIENTOS_COMPLEMENTOS!$G$4:$G$803,E131,MOVIMIENTOS_COMPLEMENTOS!$H$4:$H$803,G131,MOVIMIENTOS_COMPLEMENTOS!$B$4:$B$803,"DE CORTE")-SUMIFS(MOVIMIENTOS_COMPLEMENTOS!$I$4:$I$803,MOVIMIENTOS_COMPLEMENTOS!$C$4:$C$803,A131,MOVIMIENTOS_COMPLEMENTOS!$D$4:$D$803,B131,MOVIMIENTOS_COMPLEMENTOS!$E$4:$E$803,C131,MOVIMIENTOS_COMPLEMENTOS!$G$4:$G$803,E131,MOVIMIENTOS_COMPLEMENTOS!$H$4:$H$803,G131,MOVIMIENTOS_COMPLEMENTOS!$B$4:$B$803,"SALIDA"),0)</f>
        <v>0</v>
      </c>
      <c r="I131" s="102">
        <f t="array" ref="I131">IFERROR(INDEX(PRECIOS_COMPLEMENTOS!$C$4:$F$17,MATCH(B131&amp;"_"&amp;C131,PRECIOS_COMPLEMENTOS!$H$4:$H$17,0),IF(OR(G131="S",G131="20cm"),1,IF(OR(G131="M",G131="25cm"),2,IF(OR(G131="L",G131="30cm"),3,IF(OR(G131="XL",G131="35cm"),4,0))))),0)</f>
        <v>0.75</v>
      </c>
      <c r="J131" s="103">
        <f t="shared" si="1"/>
        <v>0</v>
      </c>
      <c r="K131" s="104" t="str">
        <f>IF(H131&lt;0,"ERROR",IF(H131=0,"",IF(H131&lt;CONFIG!$B$4,"CRÍTICO",IF(H131&lt;CONFIG!$B$5,"BAJO","OK"))))</f>
        <v/>
      </c>
    </row>
    <row r="132" ht="15.75" hidden="1" customHeight="1">
      <c r="A132" s="90" t="str">
        <f>IF(CLIENTES!A7="","",CLIENTES!A7)</f>
        <v/>
      </c>
      <c r="B132" s="90" t="s">
        <v>321</v>
      </c>
      <c r="C132" s="91" t="s">
        <v>322</v>
      </c>
      <c r="D132" s="109" t="s">
        <v>353</v>
      </c>
      <c r="E132" s="67" t="str">
        <f>COLORES!A8</f>
        <v>Beige</v>
      </c>
      <c r="F132" s="67" t="str">
        <f>COLORES!B8</f>
        <v>CLARO</v>
      </c>
      <c r="G132" s="90" t="s">
        <v>376</v>
      </c>
      <c r="H132" s="100">
        <f>IFERROR(SUMIFS(MOVIMIENTOS_COMPLEMENTOS!$I$4:$I$803,MOVIMIENTOS_COMPLEMENTOS!$C$4:$C$803,A132,MOVIMIENTOS_COMPLEMENTOS!$D$4:$D$803,B132,MOVIMIENTOS_COMPLEMENTOS!$E$4:$E$803,C132,MOVIMIENTOS_COMPLEMENTOS!$G$4:$G$803,E132,MOVIMIENTOS_COMPLEMENTOS!$H$4:$H$803,G132,MOVIMIENTOS_COMPLEMENTOS!$B$4:$B$803,"INGRESO")+SUMIFS(MOVIMIENTOS_COMPLEMENTOS!$I$4:$I$803,MOVIMIENTOS_COMPLEMENTOS!$C$4:$C$803,A132,MOVIMIENTOS_COMPLEMENTOS!$D$4:$D$803,B132,MOVIMIENTOS_COMPLEMENTOS!$E$4:$E$803,C132,MOVIMIENTOS_COMPLEMENTOS!$G$4:$G$803,E132,MOVIMIENTOS_COMPLEMENTOS!$H$4:$H$803,G132,MOVIMIENTOS_COMPLEMENTOS!$B$4:$B$803,"DE CORTE")-SUMIFS(MOVIMIENTOS_COMPLEMENTOS!$I$4:$I$803,MOVIMIENTOS_COMPLEMENTOS!$C$4:$C$803,A132,MOVIMIENTOS_COMPLEMENTOS!$D$4:$D$803,B132,MOVIMIENTOS_COMPLEMENTOS!$E$4:$E$803,C132,MOVIMIENTOS_COMPLEMENTOS!$G$4:$G$803,E132,MOVIMIENTOS_COMPLEMENTOS!$H$4:$H$803,G132,MOVIMIENTOS_COMPLEMENTOS!$B$4:$B$803,"SALIDA"),0)</f>
        <v>0</v>
      </c>
      <c r="I132" s="102">
        <f t="array" ref="I132">IFERROR(INDEX(PRECIOS_COMPLEMENTOS!$C$4:$F$17,MATCH(B132&amp;"_"&amp;C132,PRECIOS_COMPLEMENTOS!$H$4:$H$17,0),IF(OR(G132="S",G132="20cm"),1,IF(OR(G132="M",G132="25cm"),2,IF(OR(G132="L",G132="30cm"),3,IF(OR(G132="XL",G132="35cm"),4,0))))),0)</f>
        <v>0.7</v>
      </c>
      <c r="J132" s="103">
        <f t="shared" si="1"/>
        <v>0</v>
      </c>
      <c r="K132" s="104" t="str">
        <f>IF(H132&lt;0,"ERROR",IF(H132=0,"",IF(H132&lt;CONFIG!$B$4,"CRÍTICO",IF(H132&lt;CONFIG!$B$5,"BAJO","OK"))))</f>
        <v/>
      </c>
    </row>
    <row r="133" ht="15.75" hidden="1" customHeight="1">
      <c r="A133" s="90" t="str">
        <f>IF(CLIENTES!A7="","",CLIENTES!A7)</f>
        <v/>
      </c>
      <c r="B133" s="90" t="s">
        <v>321</v>
      </c>
      <c r="C133" s="91" t="s">
        <v>322</v>
      </c>
      <c r="D133" s="109" t="s">
        <v>353</v>
      </c>
      <c r="E133" s="67" t="str">
        <f>COLORES!A8</f>
        <v>Beige</v>
      </c>
      <c r="F133" s="67" t="str">
        <f>COLORES!B8</f>
        <v>CLARO</v>
      </c>
      <c r="G133" s="90" t="s">
        <v>377</v>
      </c>
      <c r="H133" s="100">
        <f>IFERROR(SUMIFS(MOVIMIENTOS_COMPLEMENTOS!$I$4:$I$803,MOVIMIENTOS_COMPLEMENTOS!$C$4:$C$803,A133,MOVIMIENTOS_COMPLEMENTOS!$D$4:$D$803,B133,MOVIMIENTOS_COMPLEMENTOS!$E$4:$E$803,C133,MOVIMIENTOS_COMPLEMENTOS!$G$4:$G$803,E133,MOVIMIENTOS_COMPLEMENTOS!$H$4:$H$803,G133,MOVIMIENTOS_COMPLEMENTOS!$B$4:$B$803,"INGRESO")+SUMIFS(MOVIMIENTOS_COMPLEMENTOS!$I$4:$I$803,MOVIMIENTOS_COMPLEMENTOS!$C$4:$C$803,A133,MOVIMIENTOS_COMPLEMENTOS!$D$4:$D$803,B133,MOVIMIENTOS_COMPLEMENTOS!$E$4:$E$803,C133,MOVIMIENTOS_COMPLEMENTOS!$G$4:$G$803,E133,MOVIMIENTOS_COMPLEMENTOS!$H$4:$H$803,G133,MOVIMIENTOS_COMPLEMENTOS!$B$4:$B$803,"DE CORTE")-SUMIFS(MOVIMIENTOS_COMPLEMENTOS!$I$4:$I$803,MOVIMIENTOS_COMPLEMENTOS!$C$4:$C$803,A133,MOVIMIENTOS_COMPLEMENTOS!$D$4:$D$803,B133,MOVIMIENTOS_COMPLEMENTOS!$E$4:$E$803,C133,MOVIMIENTOS_COMPLEMENTOS!$G$4:$G$803,E133,MOVIMIENTOS_COMPLEMENTOS!$H$4:$H$803,G133,MOVIMIENTOS_COMPLEMENTOS!$B$4:$B$803,"SALIDA"),0)</f>
        <v>0</v>
      </c>
      <c r="I133" s="102">
        <f t="array" ref="I133">IFERROR(INDEX(PRECIOS_COMPLEMENTOS!$C$4:$F$17,MATCH(B133&amp;"_"&amp;C133,PRECIOS_COMPLEMENTOS!$H$4:$H$17,0),IF(OR(G133="S",G133="20cm"),1,IF(OR(G133="M",G133="25cm"),2,IF(OR(G133="L",G133="30cm"),3,IF(OR(G133="XL",G133="35cm"),4,0))))),0)</f>
        <v>0.75</v>
      </c>
      <c r="J133" s="103">
        <f t="shared" si="1"/>
        <v>0</v>
      </c>
      <c r="K133" s="104" t="str">
        <f>IF(H133&lt;0,"ERROR",IF(H133=0,"",IF(H133&lt;CONFIG!$B$4,"CRÍTICO",IF(H133&lt;CONFIG!$B$5,"BAJO","OK"))))</f>
        <v/>
      </c>
    </row>
    <row r="134" ht="15.75" hidden="1" customHeight="1">
      <c r="A134" s="90" t="str">
        <f>IF(CLIENTES!A7="","",CLIENTES!A7)</f>
        <v/>
      </c>
      <c r="B134" s="90" t="s">
        <v>321</v>
      </c>
      <c r="C134" s="91" t="s">
        <v>322</v>
      </c>
      <c r="D134" s="109" t="s">
        <v>353</v>
      </c>
      <c r="E134" s="67" t="str">
        <f>COLORES!A9</f>
        <v>Melange</v>
      </c>
      <c r="F134" s="67" t="str">
        <f>COLORES!B9</f>
        <v>MELANGE</v>
      </c>
      <c r="G134" s="90" t="s">
        <v>376</v>
      </c>
      <c r="H134" s="100">
        <f>IFERROR(SUMIFS(MOVIMIENTOS_COMPLEMENTOS!$I$4:$I$803,MOVIMIENTOS_COMPLEMENTOS!$C$4:$C$803,A134,MOVIMIENTOS_COMPLEMENTOS!$D$4:$D$803,B134,MOVIMIENTOS_COMPLEMENTOS!$E$4:$E$803,C134,MOVIMIENTOS_COMPLEMENTOS!$G$4:$G$803,E134,MOVIMIENTOS_COMPLEMENTOS!$H$4:$H$803,G134,MOVIMIENTOS_COMPLEMENTOS!$B$4:$B$803,"INGRESO")+SUMIFS(MOVIMIENTOS_COMPLEMENTOS!$I$4:$I$803,MOVIMIENTOS_COMPLEMENTOS!$C$4:$C$803,A134,MOVIMIENTOS_COMPLEMENTOS!$D$4:$D$803,B134,MOVIMIENTOS_COMPLEMENTOS!$E$4:$E$803,C134,MOVIMIENTOS_COMPLEMENTOS!$G$4:$G$803,E134,MOVIMIENTOS_COMPLEMENTOS!$H$4:$H$803,G134,MOVIMIENTOS_COMPLEMENTOS!$B$4:$B$803,"DE CORTE")-SUMIFS(MOVIMIENTOS_COMPLEMENTOS!$I$4:$I$803,MOVIMIENTOS_COMPLEMENTOS!$C$4:$C$803,A134,MOVIMIENTOS_COMPLEMENTOS!$D$4:$D$803,B134,MOVIMIENTOS_COMPLEMENTOS!$E$4:$E$803,C134,MOVIMIENTOS_COMPLEMENTOS!$G$4:$G$803,E134,MOVIMIENTOS_COMPLEMENTOS!$H$4:$H$803,G134,MOVIMIENTOS_COMPLEMENTOS!$B$4:$B$803,"SALIDA"),0)</f>
        <v>0</v>
      </c>
      <c r="I134" s="102">
        <f t="array" ref="I134">IFERROR(INDEX(PRECIOS_COMPLEMENTOS!$C$4:$F$17,MATCH(B134&amp;"_"&amp;C134,PRECIOS_COMPLEMENTOS!$H$4:$H$17,0),IF(OR(G134="S",G134="20cm"),1,IF(OR(G134="M",G134="25cm"),2,IF(OR(G134="L",G134="30cm"),3,IF(OR(G134="XL",G134="35cm"),4,0))))),0)</f>
        <v>0.7</v>
      </c>
      <c r="J134" s="103">
        <f t="shared" si="1"/>
        <v>0</v>
      </c>
      <c r="K134" s="104" t="str">
        <f>IF(H134&lt;0,"ERROR",IF(H134=0,"",IF(H134&lt;CONFIG!$B$4,"CRÍTICO",IF(H134&lt;CONFIG!$B$5,"BAJO","OK"))))</f>
        <v/>
      </c>
    </row>
    <row r="135" ht="15.75" hidden="1" customHeight="1">
      <c r="A135" s="90" t="str">
        <f>IF(CLIENTES!A7="","",CLIENTES!A7)</f>
        <v/>
      </c>
      <c r="B135" s="90" t="s">
        <v>321</v>
      </c>
      <c r="C135" s="91" t="s">
        <v>322</v>
      </c>
      <c r="D135" s="109" t="s">
        <v>353</v>
      </c>
      <c r="E135" s="67" t="str">
        <f>COLORES!A9</f>
        <v>Melange</v>
      </c>
      <c r="F135" s="67" t="str">
        <f>COLORES!B9</f>
        <v>MELANGE</v>
      </c>
      <c r="G135" s="90" t="s">
        <v>377</v>
      </c>
      <c r="H135" s="100">
        <f>IFERROR(SUMIFS(MOVIMIENTOS_COMPLEMENTOS!$I$4:$I$803,MOVIMIENTOS_COMPLEMENTOS!$C$4:$C$803,A135,MOVIMIENTOS_COMPLEMENTOS!$D$4:$D$803,B135,MOVIMIENTOS_COMPLEMENTOS!$E$4:$E$803,C135,MOVIMIENTOS_COMPLEMENTOS!$G$4:$G$803,E135,MOVIMIENTOS_COMPLEMENTOS!$H$4:$H$803,G135,MOVIMIENTOS_COMPLEMENTOS!$B$4:$B$803,"INGRESO")+SUMIFS(MOVIMIENTOS_COMPLEMENTOS!$I$4:$I$803,MOVIMIENTOS_COMPLEMENTOS!$C$4:$C$803,A135,MOVIMIENTOS_COMPLEMENTOS!$D$4:$D$803,B135,MOVIMIENTOS_COMPLEMENTOS!$E$4:$E$803,C135,MOVIMIENTOS_COMPLEMENTOS!$G$4:$G$803,E135,MOVIMIENTOS_COMPLEMENTOS!$H$4:$H$803,G135,MOVIMIENTOS_COMPLEMENTOS!$B$4:$B$803,"DE CORTE")-SUMIFS(MOVIMIENTOS_COMPLEMENTOS!$I$4:$I$803,MOVIMIENTOS_COMPLEMENTOS!$C$4:$C$803,A135,MOVIMIENTOS_COMPLEMENTOS!$D$4:$D$803,B135,MOVIMIENTOS_COMPLEMENTOS!$E$4:$E$803,C135,MOVIMIENTOS_COMPLEMENTOS!$G$4:$G$803,E135,MOVIMIENTOS_COMPLEMENTOS!$H$4:$H$803,G135,MOVIMIENTOS_COMPLEMENTOS!$B$4:$B$803,"SALIDA"),0)</f>
        <v>0</v>
      </c>
      <c r="I135" s="102">
        <f t="array" ref="I135">IFERROR(INDEX(PRECIOS_COMPLEMENTOS!$C$4:$F$17,MATCH(B135&amp;"_"&amp;C135,PRECIOS_COMPLEMENTOS!$H$4:$H$17,0),IF(OR(G135="S",G135="20cm"),1,IF(OR(G135="M",G135="25cm"),2,IF(OR(G135="L",G135="30cm"),3,IF(OR(G135="XL",G135="35cm"),4,0))))),0)</f>
        <v>0.75</v>
      </c>
      <c r="J135" s="103">
        <f t="shared" si="1"/>
        <v>0</v>
      </c>
      <c r="K135" s="104" t="str">
        <f>IF(H135&lt;0,"ERROR",IF(H135=0,"",IF(H135&lt;CONFIG!$B$4,"CRÍTICO",IF(H135&lt;CONFIG!$B$5,"BAJO","OK"))))</f>
        <v/>
      </c>
    </row>
    <row r="136" ht="15.75" hidden="1" customHeight="1">
      <c r="A136" s="90" t="str">
        <f>IF(CLIENTES!A7="","",CLIENTES!A7)</f>
        <v/>
      </c>
      <c r="B136" s="90" t="s">
        <v>321</v>
      </c>
      <c r="C136" s="91" t="s">
        <v>322</v>
      </c>
      <c r="D136" s="109" t="s">
        <v>353</v>
      </c>
      <c r="E136" s="67" t="str">
        <f>COLORES!A10</f>
        <v>Botella</v>
      </c>
      <c r="F136" s="67" t="str">
        <f>COLORES!B10</f>
        <v>OSCURO</v>
      </c>
      <c r="G136" s="90" t="s">
        <v>376</v>
      </c>
      <c r="H136" s="100">
        <f>IFERROR(SUMIFS(MOVIMIENTOS_COMPLEMENTOS!$I$4:$I$803,MOVIMIENTOS_COMPLEMENTOS!$C$4:$C$803,A136,MOVIMIENTOS_COMPLEMENTOS!$D$4:$D$803,B136,MOVIMIENTOS_COMPLEMENTOS!$E$4:$E$803,C136,MOVIMIENTOS_COMPLEMENTOS!$G$4:$G$803,E136,MOVIMIENTOS_COMPLEMENTOS!$H$4:$H$803,G136,MOVIMIENTOS_COMPLEMENTOS!$B$4:$B$803,"INGRESO")+SUMIFS(MOVIMIENTOS_COMPLEMENTOS!$I$4:$I$803,MOVIMIENTOS_COMPLEMENTOS!$C$4:$C$803,A136,MOVIMIENTOS_COMPLEMENTOS!$D$4:$D$803,B136,MOVIMIENTOS_COMPLEMENTOS!$E$4:$E$803,C136,MOVIMIENTOS_COMPLEMENTOS!$G$4:$G$803,E136,MOVIMIENTOS_COMPLEMENTOS!$H$4:$H$803,G136,MOVIMIENTOS_COMPLEMENTOS!$B$4:$B$803,"DE CORTE")-SUMIFS(MOVIMIENTOS_COMPLEMENTOS!$I$4:$I$803,MOVIMIENTOS_COMPLEMENTOS!$C$4:$C$803,A136,MOVIMIENTOS_COMPLEMENTOS!$D$4:$D$803,B136,MOVIMIENTOS_COMPLEMENTOS!$E$4:$E$803,C136,MOVIMIENTOS_COMPLEMENTOS!$G$4:$G$803,E136,MOVIMIENTOS_COMPLEMENTOS!$H$4:$H$803,G136,MOVIMIENTOS_COMPLEMENTOS!$B$4:$B$803,"SALIDA"),0)</f>
        <v>0</v>
      </c>
      <c r="I136" s="102">
        <f t="array" ref="I136">IFERROR(INDEX(PRECIOS_COMPLEMENTOS!$C$4:$F$17,MATCH(B136&amp;"_"&amp;C136,PRECIOS_COMPLEMENTOS!$H$4:$H$17,0),IF(OR(G136="S",G136="20cm"),1,IF(OR(G136="M",G136="25cm"),2,IF(OR(G136="L",G136="30cm"),3,IF(OR(G136="XL",G136="35cm"),4,0))))),0)</f>
        <v>0.7</v>
      </c>
      <c r="J136" s="103">
        <f t="shared" si="1"/>
        <v>0</v>
      </c>
      <c r="K136" s="104" t="str">
        <f>IF(H136&lt;0,"ERROR",IF(H136=0,"",IF(H136&lt;CONFIG!$B$4,"CRÍTICO",IF(H136&lt;CONFIG!$B$5,"BAJO","OK"))))</f>
        <v/>
      </c>
    </row>
    <row r="137" ht="15.75" hidden="1" customHeight="1">
      <c r="A137" s="90" t="str">
        <f>IF(CLIENTES!A7="","",CLIENTES!A7)</f>
        <v/>
      </c>
      <c r="B137" s="90" t="s">
        <v>321</v>
      </c>
      <c r="C137" s="91" t="s">
        <v>322</v>
      </c>
      <c r="D137" s="109" t="s">
        <v>353</v>
      </c>
      <c r="E137" s="67" t="str">
        <f>COLORES!A10</f>
        <v>Botella</v>
      </c>
      <c r="F137" s="67" t="str">
        <f>COLORES!B10</f>
        <v>OSCURO</v>
      </c>
      <c r="G137" s="90" t="s">
        <v>377</v>
      </c>
      <c r="H137" s="100">
        <f>IFERROR(SUMIFS(MOVIMIENTOS_COMPLEMENTOS!$I$4:$I$803,MOVIMIENTOS_COMPLEMENTOS!$C$4:$C$803,A137,MOVIMIENTOS_COMPLEMENTOS!$D$4:$D$803,B137,MOVIMIENTOS_COMPLEMENTOS!$E$4:$E$803,C137,MOVIMIENTOS_COMPLEMENTOS!$G$4:$G$803,E137,MOVIMIENTOS_COMPLEMENTOS!$H$4:$H$803,G137,MOVIMIENTOS_COMPLEMENTOS!$B$4:$B$803,"INGRESO")+SUMIFS(MOVIMIENTOS_COMPLEMENTOS!$I$4:$I$803,MOVIMIENTOS_COMPLEMENTOS!$C$4:$C$803,A137,MOVIMIENTOS_COMPLEMENTOS!$D$4:$D$803,B137,MOVIMIENTOS_COMPLEMENTOS!$E$4:$E$803,C137,MOVIMIENTOS_COMPLEMENTOS!$G$4:$G$803,E137,MOVIMIENTOS_COMPLEMENTOS!$H$4:$H$803,G137,MOVIMIENTOS_COMPLEMENTOS!$B$4:$B$803,"DE CORTE")-SUMIFS(MOVIMIENTOS_COMPLEMENTOS!$I$4:$I$803,MOVIMIENTOS_COMPLEMENTOS!$C$4:$C$803,A137,MOVIMIENTOS_COMPLEMENTOS!$D$4:$D$803,B137,MOVIMIENTOS_COMPLEMENTOS!$E$4:$E$803,C137,MOVIMIENTOS_COMPLEMENTOS!$G$4:$G$803,E137,MOVIMIENTOS_COMPLEMENTOS!$H$4:$H$803,G137,MOVIMIENTOS_COMPLEMENTOS!$B$4:$B$803,"SALIDA"),0)</f>
        <v>0</v>
      </c>
      <c r="I137" s="102">
        <f t="array" ref="I137">IFERROR(INDEX(PRECIOS_COMPLEMENTOS!$C$4:$F$17,MATCH(B137&amp;"_"&amp;C137,PRECIOS_COMPLEMENTOS!$H$4:$H$17,0),IF(OR(G137="S",G137="20cm"),1,IF(OR(G137="M",G137="25cm"),2,IF(OR(G137="L",G137="30cm"),3,IF(OR(G137="XL",G137="35cm"),4,0))))),0)</f>
        <v>0.75</v>
      </c>
      <c r="J137" s="103">
        <f t="shared" si="1"/>
        <v>0</v>
      </c>
      <c r="K137" s="104" t="str">
        <f>IF(H137&lt;0,"ERROR",IF(H137=0,"",IF(H137&lt;CONFIG!$B$4,"CRÍTICO",IF(H137&lt;CONFIG!$B$5,"BAJO","OK"))))</f>
        <v/>
      </c>
    </row>
    <row r="138" ht="15.75" hidden="1" customHeight="1">
      <c r="A138" s="90" t="str">
        <f>IF(CLIENTES!A7="","",CLIENTES!A7)</f>
        <v/>
      </c>
      <c r="B138" s="90" t="s">
        <v>321</v>
      </c>
      <c r="C138" s="91" t="s">
        <v>322</v>
      </c>
      <c r="D138" s="109" t="s">
        <v>353</v>
      </c>
      <c r="E138" s="67" t="str">
        <f>COLORES!A11</f>
        <v>Pacay</v>
      </c>
      <c r="F138" s="67" t="str">
        <f>COLORES!B11</f>
        <v>CLARO</v>
      </c>
      <c r="G138" s="90" t="s">
        <v>376</v>
      </c>
      <c r="H138" s="100">
        <f>IFERROR(SUMIFS(MOVIMIENTOS_COMPLEMENTOS!$I$4:$I$803,MOVIMIENTOS_COMPLEMENTOS!$C$4:$C$803,A138,MOVIMIENTOS_COMPLEMENTOS!$D$4:$D$803,B138,MOVIMIENTOS_COMPLEMENTOS!$E$4:$E$803,C138,MOVIMIENTOS_COMPLEMENTOS!$G$4:$G$803,E138,MOVIMIENTOS_COMPLEMENTOS!$H$4:$H$803,G138,MOVIMIENTOS_COMPLEMENTOS!$B$4:$B$803,"INGRESO")+SUMIFS(MOVIMIENTOS_COMPLEMENTOS!$I$4:$I$803,MOVIMIENTOS_COMPLEMENTOS!$C$4:$C$803,A138,MOVIMIENTOS_COMPLEMENTOS!$D$4:$D$803,B138,MOVIMIENTOS_COMPLEMENTOS!$E$4:$E$803,C138,MOVIMIENTOS_COMPLEMENTOS!$G$4:$G$803,E138,MOVIMIENTOS_COMPLEMENTOS!$H$4:$H$803,G138,MOVIMIENTOS_COMPLEMENTOS!$B$4:$B$803,"DE CORTE")-SUMIFS(MOVIMIENTOS_COMPLEMENTOS!$I$4:$I$803,MOVIMIENTOS_COMPLEMENTOS!$C$4:$C$803,A138,MOVIMIENTOS_COMPLEMENTOS!$D$4:$D$803,B138,MOVIMIENTOS_COMPLEMENTOS!$E$4:$E$803,C138,MOVIMIENTOS_COMPLEMENTOS!$G$4:$G$803,E138,MOVIMIENTOS_COMPLEMENTOS!$H$4:$H$803,G138,MOVIMIENTOS_COMPLEMENTOS!$B$4:$B$803,"SALIDA"),0)</f>
        <v>0</v>
      </c>
      <c r="I138" s="102">
        <f t="array" ref="I138">IFERROR(INDEX(PRECIOS_COMPLEMENTOS!$C$4:$F$17,MATCH(B138&amp;"_"&amp;C138,PRECIOS_COMPLEMENTOS!$H$4:$H$17,0),IF(OR(G138="S",G138="20cm"),1,IF(OR(G138="M",G138="25cm"),2,IF(OR(G138="L",G138="30cm"),3,IF(OR(G138="XL",G138="35cm"),4,0))))),0)</f>
        <v>0.7</v>
      </c>
      <c r="J138" s="103">
        <f t="shared" si="1"/>
        <v>0</v>
      </c>
      <c r="K138" s="104" t="str">
        <f>IF(H138&lt;0,"ERROR",IF(H138=0,"",IF(H138&lt;CONFIG!$B$4,"CRÍTICO",IF(H138&lt;CONFIG!$B$5,"BAJO","OK"))))</f>
        <v/>
      </c>
    </row>
    <row r="139" ht="15.75" hidden="1" customHeight="1">
      <c r="A139" s="90" t="str">
        <f>IF(CLIENTES!A7="","",CLIENTES!A7)</f>
        <v/>
      </c>
      <c r="B139" s="90" t="s">
        <v>321</v>
      </c>
      <c r="C139" s="91" t="s">
        <v>322</v>
      </c>
      <c r="D139" s="109" t="s">
        <v>353</v>
      </c>
      <c r="E139" s="67" t="str">
        <f>COLORES!A11</f>
        <v>Pacay</v>
      </c>
      <c r="F139" s="67" t="str">
        <f>COLORES!B11</f>
        <v>CLARO</v>
      </c>
      <c r="G139" s="90" t="s">
        <v>377</v>
      </c>
      <c r="H139" s="100">
        <f>IFERROR(SUMIFS(MOVIMIENTOS_COMPLEMENTOS!$I$4:$I$803,MOVIMIENTOS_COMPLEMENTOS!$C$4:$C$803,A139,MOVIMIENTOS_COMPLEMENTOS!$D$4:$D$803,B139,MOVIMIENTOS_COMPLEMENTOS!$E$4:$E$803,C139,MOVIMIENTOS_COMPLEMENTOS!$G$4:$G$803,E139,MOVIMIENTOS_COMPLEMENTOS!$H$4:$H$803,G139,MOVIMIENTOS_COMPLEMENTOS!$B$4:$B$803,"INGRESO")+SUMIFS(MOVIMIENTOS_COMPLEMENTOS!$I$4:$I$803,MOVIMIENTOS_COMPLEMENTOS!$C$4:$C$803,A139,MOVIMIENTOS_COMPLEMENTOS!$D$4:$D$803,B139,MOVIMIENTOS_COMPLEMENTOS!$E$4:$E$803,C139,MOVIMIENTOS_COMPLEMENTOS!$G$4:$G$803,E139,MOVIMIENTOS_COMPLEMENTOS!$H$4:$H$803,G139,MOVIMIENTOS_COMPLEMENTOS!$B$4:$B$803,"DE CORTE")-SUMIFS(MOVIMIENTOS_COMPLEMENTOS!$I$4:$I$803,MOVIMIENTOS_COMPLEMENTOS!$C$4:$C$803,A139,MOVIMIENTOS_COMPLEMENTOS!$D$4:$D$803,B139,MOVIMIENTOS_COMPLEMENTOS!$E$4:$E$803,C139,MOVIMIENTOS_COMPLEMENTOS!$G$4:$G$803,E139,MOVIMIENTOS_COMPLEMENTOS!$H$4:$H$803,G139,MOVIMIENTOS_COMPLEMENTOS!$B$4:$B$803,"SALIDA"),0)</f>
        <v>0</v>
      </c>
      <c r="I139" s="102">
        <f t="array" ref="I139">IFERROR(INDEX(PRECIOS_COMPLEMENTOS!$C$4:$F$17,MATCH(B139&amp;"_"&amp;C139,PRECIOS_COMPLEMENTOS!$H$4:$H$17,0),IF(OR(G139="S",G139="20cm"),1,IF(OR(G139="M",G139="25cm"),2,IF(OR(G139="L",G139="30cm"),3,IF(OR(G139="XL",G139="35cm"),4,0))))),0)</f>
        <v>0.75</v>
      </c>
      <c r="J139" s="103">
        <f t="shared" si="1"/>
        <v>0</v>
      </c>
      <c r="K139" s="104" t="str">
        <f>IF(H139&lt;0,"ERROR",IF(H139=0,"",IF(H139&lt;CONFIG!$B$4,"CRÍTICO",IF(H139&lt;CONFIG!$B$5,"BAJO","OK"))))</f>
        <v/>
      </c>
    </row>
    <row r="140" ht="15.75" hidden="1" customHeight="1">
      <c r="A140" s="90" t="str">
        <f>IF(CLIENTES!A7="","",CLIENTES!A7)</f>
        <v/>
      </c>
      <c r="B140" s="90" t="s">
        <v>321</v>
      </c>
      <c r="C140" s="91" t="s">
        <v>322</v>
      </c>
      <c r="D140" s="109" t="s">
        <v>353</v>
      </c>
      <c r="E140" s="67" t="str">
        <f>COLORES!A12</f>
        <v>Cemento</v>
      </c>
      <c r="F140" s="67" t="str">
        <f>COLORES!B12</f>
        <v>CLARO</v>
      </c>
      <c r="G140" s="90" t="s">
        <v>376</v>
      </c>
      <c r="H140" s="100">
        <f>IFERROR(SUMIFS(MOVIMIENTOS_COMPLEMENTOS!$I$4:$I$803,MOVIMIENTOS_COMPLEMENTOS!$C$4:$C$803,A140,MOVIMIENTOS_COMPLEMENTOS!$D$4:$D$803,B140,MOVIMIENTOS_COMPLEMENTOS!$E$4:$E$803,C140,MOVIMIENTOS_COMPLEMENTOS!$G$4:$G$803,E140,MOVIMIENTOS_COMPLEMENTOS!$H$4:$H$803,G140,MOVIMIENTOS_COMPLEMENTOS!$B$4:$B$803,"INGRESO")+SUMIFS(MOVIMIENTOS_COMPLEMENTOS!$I$4:$I$803,MOVIMIENTOS_COMPLEMENTOS!$C$4:$C$803,A140,MOVIMIENTOS_COMPLEMENTOS!$D$4:$D$803,B140,MOVIMIENTOS_COMPLEMENTOS!$E$4:$E$803,C140,MOVIMIENTOS_COMPLEMENTOS!$G$4:$G$803,E140,MOVIMIENTOS_COMPLEMENTOS!$H$4:$H$803,G140,MOVIMIENTOS_COMPLEMENTOS!$B$4:$B$803,"DE CORTE")-SUMIFS(MOVIMIENTOS_COMPLEMENTOS!$I$4:$I$803,MOVIMIENTOS_COMPLEMENTOS!$C$4:$C$803,A140,MOVIMIENTOS_COMPLEMENTOS!$D$4:$D$803,B140,MOVIMIENTOS_COMPLEMENTOS!$E$4:$E$803,C140,MOVIMIENTOS_COMPLEMENTOS!$G$4:$G$803,E140,MOVIMIENTOS_COMPLEMENTOS!$H$4:$H$803,G140,MOVIMIENTOS_COMPLEMENTOS!$B$4:$B$803,"SALIDA"),0)</f>
        <v>0</v>
      </c>
      <c r="I140" s="102">
        <f t="array" ref="I140">IFERROR(INDEX(PRECIOS_COMPLEMENTOS!$C$4:$F$17,MATCH(B140&amp;"_"&amp;C140,PRECIOS_COMPLEMENTOS!$H$4:$H$17,0),IF(OR(G140="S",G140="20cm"),1,IF(OR(G140="M",G140="25cm"),2,IF(OR(G140="L",G140="30cm"),3,IF(OR(G140="XL",G140="35cm"),4,0))))),0)</f>
        <v>0.7</v>
      </c>
      <c r="J140" s="103">
        <f t="shared" si="1"/>
        <v>0</v>
      </c>
      <c r="K140" s="104" t="str">
        <f>IF(H140&lt;0,"ERROR",IF(H140=0,"",IF(H140&lt;CONFIG!$B$4,"CRÍTICO",IF(H140&lt;CONFIG!$B$5,"BAJO","OK"))))</f>
        <v/>
      </c>
    </row>
    <row r="141" ht="15.75" hidden="1" customHeight="1">
      <c r="A141" s="90" t="str">
        <f>IF(CLIENTES!A7="","",CLIENTES!A7)</f>
        <v/>
      </c>
      <c r="B141" s="90" t="s">
        <v>321</v>
      </c>
      <c r="C141" s="91" t="s">
        <v>322</v>
      </c>
      <c r="D141" s="109" t="s">
        <v>353</v>
      </c>
      <c r="E141" s="67" t="str">
        <f>COLORES!A12</f>
        <v>Cemento</v>
      </c>
      <c r="F141" s="67" t="str">
        <f>COLORES!B12</f>
        <v>CLARO</v>
      </c>
      <c r="G141" s="90" t="s">
        <v>377</v>
      </c>
      <c r="H141" s="100">
        <f>IFERROR(SUMIFS(MOVIMIENTOS_COMPLEMENTOS!$I$4:$I$803,MOVIMIENTOS_COMPLEMENTOS!$C$4:$C$803,A141,MOVIMIENTOS_COMPLEMENTOS!$D$4:$D$803,B141,MOVIMIENTOS_COMPLEMENTOS!$E$4:$E$803,C141,MOVIMIENTOS_COMPLEMENTOS!$G$4:$G$803,E141,MOVIMIENTOS_COMPLEMENTOS!$H$4:$H$803,G141,MOVIMIENTOS_COMPLEMENTOS!$B$4:$B$803,"INGRESO")+SUMIFS(MOVIMIENTOS_COMPLEMENTOS!$I$4:$I$803,MOVIMIENTOS_COMPLEMENTOS!$C$4:$C$803,A141,MOVIMIENTOS_COMPLEMENTOS!$D$4:$D$803,B141,MOVIMIENTOS_COMPLEMENTOS!$E$4:$E$803,C141,MOVIMIENTOS_COMPLEMENTOS!$G$4:$G$803,E141,MOVIMIENTOS_COMPLEMENTOS!$H$4:$H$803,G141,MOVIMIENTOS_COMPLEMENTOS!$B$4:$B$803,"DE CORTE")-SUMIFS(MOVIMIENTOS_COMPLEMENTOS!$I$4:$I$803,MOVIMIENTOS_COMPLEMENTOS!$C$4:$C$803,A141,MOVIMIENTOS_COMPLEMENTOS!$D$4:$D$803,B141,MOVIMIENTOS_COMPLEMENTOS!$E$4:$E$803,C141,MOVIMIENTOS_COMPLEMENTOS!$G$4:$G$803,E141,MOVIMIENTOS_COMPLEMENTOS!$H$4:$H$803,G141,MOVIMIENTOS_COMPLEMENTOS!$B$4:$B$803,"SALIDA"),0)</f>
        <v>0</v>
      </c>
      <c r="I141" s="102">
        <f t="array" ref="I141">IFERROR(INDEX(PRECIOS_COMPLEMENTOS!$C$4:$F$17,MATCH(B141&amp;"_"&amp;C141,PRECIOS_COMPLEMENTOS!$H$4:$H$17,0),IF(OR(G141="S",G141="20cm"),1,IF(OR(G141="M",G141="25cm"),2,IF(OR(G141="L",G141="30cm"),3,IF(OR(G141="XL",G141="35cm"),4,0))))),0)</f>
        <v>0.75</v>
      </c>
      <c r="J141" s="103">
        <f t="shared" si="1"/>
        <v>0</v>
      </c>
      <c r="K141" s="104" t="str">
        <f>IF(H141&lt;0,"ERROR",IF(H141=0,"",IF(H141&lt;CONFIG!$B$4,"CRÍTICO",IF(H141&lt;CONFIG!$B$5,"BAJO","OK"))))</f>
        <v/>
      </c>
    </row>
    <row r="142" ht="15.75" hidden="1" customHeight="1">
      <c r="A142" s="90" t="str">
        <f>IF(CLIENTES!A7="","",CLIENTES!A7)</f>
        <v/>
      </c>
      <c r="B142" s="90" t="s">
        <v>321</v>
      </c>
      <c r="C142" s="91" t="s">
        <v>322</v>
      </c>
      <c r="D142" s="109" t="s">
        <v>353</v>
      </c>
      <c r="E142" s="67" t="str">
        <f>COLORES!A13</f>
        <v>Camote</v>
      </c>
      <c r="F142" s="67" t="str">
        <f>COLORES!B13</f>
        <v>CLARO</v>
      </c>
      <c r="G142" s="90" t="s">
        <v>376</v>
      </c>
      <c r="H142" s="100">
        <f>IFERROR(SUMIFS(MOVIMIENTOS_COMPLEMENTOS!$I$4:$I$803,MOVIMIENTOS_COMPLEMENTOS!$C$4:$C$803,A142,MOVIMIENTOS_COMPLEMENTOS!$D$4:$D$803,B142,MOVIMIENTOS_COMPLEMENTOS!$E$4:$E$803,C142,MOVIMIENTOS_COMPLEMENTOS!$G$4:$G$803,E142,MOVIMIENTOS_COMPLEMENTOS!$H$4:$H$803,G142,MOVIMIENTOS_COMPLEMENTOS!$B$4:$B$803,"INGRESO")+SUMIFS(MOVIMIENTOS_COMPLEMENTOS!$I$4:$I$803,MOVIMIENTOS_COMPLEMENTOS!$C$4:$C$803,A142,MOVIMIENTOS_COMPLEMENTOS!$D$4:$D$803,B142,MOVIMIENTOS_COMPLEMENTOS!$E$4:$E$803,C142,MOVIMIENTOS_COMPLEMENTOS!$G$4:$G$803,E142,MOVIMIENTOS_COMPLEMENTOS!$H$4:$H$803,G142,MOVIMIENTOS_COMPLEMENTOS!$B$4:$B$803,"DE CORTE")-SUMIFS(MOVIMIENTOS_COMPLEMENTOS!$I$4:$I$803,MOVIMIENTOS_COMPLEMENTOS!$C$4:$C$803,A142,MOVIMIENTOS_COMPLEMENTOS!$D$4:$D$803,B142,MOVIMIENTOS_COMPLEMENTOS!$E$4:$E$803,C142,MOVIMIENTOS_COMPLEMENTOS!$G$4:$G$803,E142,MOVIMIENTOS_COMPLEMENTOS!$H$4:$H$803,G142,MOVIMIENTOS_COMPLEMENTOS!$B$4:$B$803,"SALIDA"),0)</f>
        <v>0</v>
      </c>
      <c r="I142" s="102">
        <f t="array" ref="I142">IFERROR(INDEX(PRECIOS_COMPLEMENTOS!$C$4:$F$17,MATCH(B142&amp;"_"&amp;C142,PRECIOS_COMPLEMENTOS!$H$4:$H$17,0),IF(OR(G142="S",G142="20cm"),1,IF(OR(G142="M",G142="25cm"),2,IF(OR(G142="L",G142="30cm"),3,IF(OR(G142="XL",G142="35cm"),4,0))))),0)</f>
        <v>0.7</v>
      </c>
      <c r="J142" s="103">
        <f t="shared" si="1"/>
        <v>0</v>
      </c>
      <c r="K142" s="104" t="str">
        <f>IF(H142&lt;0,"ERROR",IF(H142=0,"",IF(H142&lt;CONFIG!$B$4,"CRÍTICO",IF(H142&lt;CONFIG!$B$5,"BAJO","OK"))))</f>
        <v/>
      </c>
    </row>
    <row r="143" ht="15.75" hidden="1" customHeight="1">
      <c r="A143" s="90" t="str">
        <f>IF(CLIENTES!A7="","",CLIENTES!A7)</f>
        <v/>
      </c>
      <c r="B143" s="90" t="s">
        <v>321</v>
      </c>
      <c r="C143" s="91" t="s">
        <v>322</v>
      </c>
      <c r="D143" s="109" t="s">
        <v>353</v>
      </c>
      <c r="E143" s="67" t="str">
        <f>COLORES!A13</f>
        <v>Camote</v>
      </c>
      <c r="F143" s="67" t="str">
        <f>COLORES!B13</f>
        <v>CLARO</v>
      </c>
      <c r="G143" s="90" t="s">
        <v>377</v>
      </c>
      <c r="H143" s="100">
        <f>IFERROR(SUMIFS(MOVIMIENTOS_COMPLEMENTOS!$I$4:$I$803,MOVIMIENTOS_COMPLEMENTOS!$C$4:$C$803,A143,MOVIMIENTOS_COMPLEMENTOS!$D$4:$D$803,B143,MOVIMIENTOS_COMPLEMENTOS!$E$4:$E$803,C143,MOVIMIENTOS_COMPLEMENTOS!$G$4:$G$803,E143,MOVIMIENTOS_COMPLEMENTOS!$H$4:$H$803,G143,MOVIMIENTOS_COMPLEMENTOS!$B$4:$B$803,"INGRESO")+SUMIFS(MOVIMIENTOS_COMPLEMENTOS!$I$4:$I$803,MOVIMIENTOS_COMPLEMENTOS!$C$4:$C$803,A143,MOVIMIENTOS_COMPLEMENTOS!$D$4:$D$803,B143,MOVIMIENTOS_COMPLEMENTOS!$E$4:$E$803,C143,MOVIMIENTOS_COMPLEMENTOS!$G$4:$G$803,E143,MOVIMIENTOS_COMPLEMENTOS!$H$4:$H$803,G143,MOVIMIENTOS_COMPLEMENTOS!$B$4:$B$803,"DE CORTE")-SUMIFS(MOVIMIENTOS_COMPLEMENTOS!$I$4:$I$803,MOVIMIENTOS_COMPLEMENTOS!$C$4:$C$803,A143,MOVIMIENTOS_COMPLEMENTOS!$D$4:$D$803,B143,MOVIMIENTOS_COMPLEMENTOS!$E$4:$E$803,C143,MOVIMIENTOS_COMPLEMENTOS!$G$4:$G$803,E143,MOVIMIENTOS_COMPLEMENTOS!$H$4:$H$803,G143,MOVIMIENTOS_COMPLEMENTOS!$B$4:$B$803,"SALIDA"),0)</f>
        <v>0</v>
      </c>
      <c r="I143" s="102">
        <f t="array" ref="I143">IFERROR(INDEX(PRECIOS_COMPLEMENTOS!$C$4:$F$17,MATCH(B143&amp;"_"&amp;C143,PRECIOS_COMPLEMENTOS!$H$4:$H$17,0),IF(OR(G143="S",G143="20cm"),1,IF(OR(G143="M",G143="25cm"),2,IF(OR(G143="L",G143="30cm"),3,IF(OR(G143="XL",G143="35cm"),4,0))))),0)</f>
        <v>0.75</v>
      </c>
      <c r="J143" s="103">
        <f t="shared" si="1"/>
        <v>0</v>
      </c>
      <c r="K143" s="104" t="str">
        <f>IF(H143&lt;0,"ERROR",IF(H143=0,"",IF(H143&lt;CONFIG!$B$4,"CRÍTICO",IF(H143&lt;CONFIG!$B$5,"BAJO","OK"))))</f>
        <v/>
      </c>
    </row>
    <row r="144" ht="15.75" hidden="1" customHeight="1">
      <c r="A144" s="90" t="str">
        <f>IF(CLIENTES!A7="","",CLIENTES!A7)</f>
        <v/>
      </c>
      <c r="B144" s="90" t="s">
        <v>321</v>
      </c>
      <c r="C144" s="91" t="s">
        <v>322</v>
      </c>
      <c r="D144" s="109" t="s">
        <v>353</v>
      </c>
      <c r="E144" s="67" t="str">
        <f>COLORES!A14</f>
        <v>Denim</v>
      </c>
      <c r="F144" s="67" t="str">
        <f>COLORES!B14</f>
        <v>CLARO</v>
      </c>
      <c r="G144" s="90" t="s">
        <v>376</v>
      </c>
      <c r="H144" s="100">
        <f>IFERROR(SUMIFS(MOVIMIENTOS_COMPLEMENTOS!$I$4:$I$803,MOVIMIENTOS_COMPLEMENTOS!$C$4:$C$803,A144,MOVIMIENTOS_COMPLEMENTOS!$D$4:$D$803,B144,MOVIMIENTOS_COMPLEMENTOS!$E$4:$E$803,C144,MOVIMIENTOS_COMPLEMENTOS!$G$4:$G$803,E144,MOVIMIENTOS_COMPLEMENTOS!$H$4:$H$803,G144,MOVIMIENTOS_COMPLEMENTOS!$B$4:$B$803,"INGRESO")+SUMIFS(MOVIMIENTOS_COMPLEMENTOS!$I$4:$I$803,MOVIMIENTOS_COMPLEMENTOS!$C$4:$C$803,A144,MOVIMIENTOS_COMPLEMENTOS!$D$4:$D$803,B144,MOVIMIENTOS_COMPLEMENTOS!$E$4:$E$803,C144,MOVIMIENTOS_COMPLEMENTOS!$G$4:$G$803,E144,MOVIMIENTOS_COMPLEMENTOS!$H$4:$H$803,G144,MOVIMIENTOS_COMPLEMENTOS!$B$4:$B$803,"DE CORTE")-SUMIFS(MOVIMIENTOS_COMPLEMENTOS!$I$4:$I$803,MOVIMIENTOS_COMPLEMENTOS!$C$4:$C$803,A144,MOVIMIENTOS_COMPLEMENTOS!$D$4:$D$803,B144,MOVIMIENTOS_COMPLEMENTOS!$E$4:$E$803,C144,MOVIMIENTOS_COMPLEMENTOS!$G$4:$G$803,E144,MOVIMIENTOS_COMPLEMENTOS!$H$4:$H$803,G144,MOVIMIENTOS_COMPLEMENTOS!$B$4:$B$803,"SALIDA"),0)</f>
        <v>0</v>
      </c>
      <c r="I144" s="102">
        <f t="array" ref="I144">IFERROR(INDEX(PRECIOS_COMPLEMENTOS!$C$4:$F$17,MATCH(B144&amp;"_"&amp;C144,PRECIOS_COMPLEMENTOS!$H$4:$H$17,0),IF(OR(G144="S",G144="20cm"),1,IF(OR(G144="M",G144="25cm"),2,IF(OR(G144="L",G144="30cm"),3,IF(OR(G144="XL",G144="35cm"),4,0))))),0)</f>
        <v>0.7</v>
      </c>
      <c r="J144" s="103">
        <f t="shared" si="1"/>
        <v>0</v>
      </c>
      <c r="K144" s="104" t="str">
        <f>IF(H144&lt;0,"ERROR",IF(H144=0,"",IF(H144&lt;CONFIG!$B$4,"CRÍTICO",IF(H144&lt;CONFIG!$B$5,"BAJO","OK"))))</f>
        <v/>
      </c>
    </row>
    <row r="145" ht="15.75" hidden="1" customHeight="1">
      <c r="A145" s="90" t="str">
        <f>IF(CLIENTES!A7="","",CLIENTES!A7)</f>
        <v/>
      </c>
      <c r="B145" s="90" t="s">
        <v>321</v>
      </c>
      <c r="C145" s="91" t="s">
        <v>322</v>
      </c>
      <c r="D145" s="109" t="s">
        <v>353</v>
      </c>
      <c r="E145" s="67" t="str">
        <f>COLORES!A14</f>
        <v>Denim</v>
      </c>
      <c r="F145" s="67" t="str">
        <f>COLORES!B14</f>
        <v>CLARO</v>
      </c>
      <c r="G145" s="90" t="s">
        <v>377</v>
      </c>
      <c r="H145" s="100">
        <f>IFERROR(SUMIFS(MOVIMIENTOS_COMPLEMENTOS!$I$4:$I$803,MOVIMIENTOS_COMPLEMENTOS!$C$4:$C$803,A145,MOVIMIENTOS_COMPLEMENTOS!$D$4:$D$803,B145,MOVIMIENTOS_COMPLEMENTOS!$E$4:$E$803,C145,MOVIMIENTOS_COMPLEMENTOS!$G$4:$G$803,E145,MOVIMIENTOS_COMPLEMENTOS!$H$4:$H$803,G145,MOVIMIENTOS_COMPLEMENTOS!$B$4:$B$803,"INGRESO")+SUMIFS(MOVIMIENTOS_COMPLEMENTOS!$I$4:$I$803,MOVIMIENTOS_COMPLEMENTOS!$C$4:$C$803,A145,MOVIMIENTOS_COMPLEMENTOS!$D$4:$D$803,B145,MOVIMIENTOS_COMPLEMENTOS!$E$4:$E$803,C145,MOVIMIENTOS_COMPLEMENTOS!$G$4:$G$803,E145,MOVIMIENTOS_COMPLEMENTOS!$H$4:$H$803,G145,MOVIMIENTOS_COMPLEMENTOS!$B$4:$B$803,"DE CORTE")-SUMIFS(MOVIMIENTOS_COMPLEMENTOS!$I$4:$I$803,MOVIMIENTOS_COMPLEMENTOS!$C$4:$C$803,A145,MOVIMIENTOS_COMPLEMENTOS!$D$4:$D$803,B145,MOVIMIENTOS_COMPLEMENTOS!$E$4:$E$803,C145,MOVIMIENTOS_COMPLEMENTOS!$G$4:$G$803,E145,MOVIMIENTOS_COMPLEMENTOS!$H$4:$H$803,G145,MOVIMIENTOS_COMPLEMENTOS!$B$4:$B$803,"SALIDA"),0)</f>
        <v>0</v>
      </c>
      <c r="I145" s="102">
        <f t="array" ref="I145">IFERROR(INDEX(PRECIOS_COMPLEMENTOS!$C$4:$F$17,MATCH(B145&amp;"_"&amp;C145,PRECIOS_COMPLEMENTOS!$H$4:$H$17,0),IF(OR(G145="S",G145="20cm"),1,IF(OR(G145="M",G145="25cm"),2,IF(OR(G145="L",G145="30cm"),3,IF(OR(G145="XL",G145="35cm"),4,0))))),0)</f>
        <v>0.75</v>
      </c>
      <c r="J145" s="103">
        <f t="shared" si="1"/>
        <v>0</v>
      </c>
      <c r="K145" s="104" t="str">
        <f>IF(H145&lt;0,"ERROR",IF(H145=0,"",IF(H145&lt;CONFIG!$B$4,"CRÍTICO",IF(H145&lt;CONFIG!$B$5,"BAJO","OK"))))</f>
        <v/>
      </c>
    </row>
    <row r="146" ht="15.75" hidden="1" customHeight="1">
      <c r="A146" s="90" t="str">
        <f>IF(CLIENTES!A7="","",CLIENTES!A7)</f>
        <v/>
      </c>
      <c r="B146" s="90" t="s">
        <v>321</v>
      </c>
      <c r="C146" s="91" t="s">
        <v>322</v>
      </c>
      <c r="D146" s="109" t="s">
        <v>353</v>
      </c>
      <c r="E146" s="67" t="str">
        <f>COLORES!A15</f>
        <v>Plomo</v>
      </c>
      <c r="F146" s="67" t="str">
        <f>COLORES!B15</f>
        <v>OSCURO</v>
      </c>
      <c r="G146" s="90" t="s">
        <v>376</v>
      </c>
      <c r="H146" s="100">
        <f>IFERROR(SUMIFS(MOVIMIENTOS_COMPLEMENTOS!$I$4:$I$803,MOVIMIENTOS_COMPLEMENTOS!$C$4:$C$803,A146,MOVIMIENTOS_COMPLEMENTOS!$D$4:$D$803,B146,MOVIMIENTOS_COMPLEMENTOS!$E$4:$E$803,C146,MOVIMIENTOS_COMPLEMENTOS!$G$4:$G$803,E146,MOVIMIENTOS_COMPLEMENTOS!$H$4:$H$803,G146,MOVIMIENTOS_COMPLEMENTOS!$B$4:$B$803,"INGRESO")+SUMIFS(MOVIMIENTOS_COMPLEMENTOS!$I$4:$I$803,MOVIMIENTOS_COMPLEMENTOS!$C$4:$C$803,A146,MOVIMIENTOS_COMPLEMENTOS!$D$4:$D$803,B146,MOVIMIENTOS_COMPLEMENTOS!$E$4:$E$803,C146,MOVIMIENTOS_COMPLEMENTOS!$G$4:$G$803,E146,MOVIMIENTOS_COMPLEMENTOS!$H$4:$H$803,G146,MOVIMIENTOS_COMPLEMENTOS!$B$4:$B$803,"DE CORTE")-SUMIFS(MOVIMIENTOS_COMPLEMENTOS!$I$4:$I$803,MOVIMIENTOS_COMPLEMENTOS!$C$4:$C$803,A146,MOVIMIENTOS_COMPLEMENTOS!$D$4:$D$803,B146,MOVIMIENTOS_COMPLEMENTOS!$E$4:$E$803,C146,MOVIMIENTOS_COMPLEMENTOS!$G$4:$G$803,E146,MOVIMIENTOS_COMPLEMENTOS!$H$4:$H$803,G146,MOVIMIENTOS_COMPLEMENTOS!$B$4:$B$803,"SALIDA"),0)</f>
        <v>0</v>
      </c>
      <c r="I146" s="102">
        <f t="array" ref="I146">IFERROR(INDEX(PRECIOS_COMPLEMENTOS!$C$4:$F$17,MATCH(B146&amp;"_"&amp;C146,PRECIOS_COMPLEMENTOS!$H$4:$H$17,0),IF(OR(G146="S",G146="20cm"),1,IF(OR(G146="M",G146="25cm"),2,IF(OR(G146="L",G146="30cm"),3,IF(OR(G146="XL",G146="35cm"),4,0))))),0)</f>
        <v>0.7</v>
      </c>
      <c r="J146" s="103">
        <f t="shared" si="1"/>
        <v>0</v>
      </c>
      <c r="K146" s="104" t="str">
        <f>IF(H146&lt;0,"ERROR",IF(H146=0,"",IF(H146&lt;CONFIG!$B$4,"CRÍTICO",IF(H146&lt;CONFIG!$B$5,"BAJO","OK"))))</f>
        <v/>
      </c>
    </row>
    <row r="147" ht="15.75" hidden="1" customHeight="1">
      <c r="A147" s="90" t="str">
        <f>IF(CLIENTES!A7="","",CLIENTES!A7)</f>
        <v/>
      </c>
      <c r="B147" s="90" t="s">
        <v>321</v>
      </c>
      <c r="C147" s="91" t="s">
        <v>322</v>
      </c>
      <c r="D147" s="109" t="s">
        <v>353</v>
      </c>
      <c r="E147" s="67" t="str">
        <f>COLORES!A15</f>
        <v>Plomo</v>
      </c>
      <c r="F147" s="67" t="str">
        <f>COLORES!B15</f>
        <v>OSCURO</v>
      </c>
      <c r="G147" s="90" t="s">
        <v>377</v>
      </c>
      <c r="H147" s="100">
        <f>IFERROR(SUMIFS(MOVIMIENTOS_COMPLEMENTOS!$I$4:$I$803,MOVIMIENTOS_COMPLEMENTOS!$C$4:$C$803,A147,MOVIMIENTOS_COMPLEMENTOS!$D$4:$D$803,B147,MOVIMIENTOS_COMPLEMENTOS!$E$4:$E$803,C147,MOVIMIENTOS_COMPLEMENTOS!$G$4:$G$803,E147,MOVIMIENTOS_COMPLEMENTOS!$H$4:$H$803,G147,MOVIMIENTOS_COMPLEMENTOS!$B$4:$B$803,"INGRESO")+SUMIFS(MOVIMIENTOS_COMPLEMENTOS!$I$4:$I$803,MOVIMIENTOS_COMPLEMENTOS!$C$4:$C$803,A147,MOVIMIENTOS_COMPLEMENTOS!$D$4:$D$803,B147,MOVIMIENTOS_COMPLEMENTOS!$E$4:$E$803,C147,MOVIMIENTOS_COMPLEMENTOS!$G$4:$G$803,E147,MOVIMIENTOS_COMPLEMENTOS!$H$4:$H$803,G147,MOVIMIENTOS_COMPLEMENTOS!$B$4:$B$803,"DE CORTE")-SUMIFS(MOVIMIENTOS_COMPLEMENTOS!$I$4:$I$803,MOVIMIENTOS_COMPLEMENTOS!$C$4:$C$803,A147,MOVIMIENTOS_COMPLEMENTOS!$D$4:$D$803,B147,MOVIMIENTOS_COMPLEMENTOS!$E$4:$E$803,C147,MOVIMIENTOS_COMPLEMENTOS!$G$4:$G$803,E147,MOVIMIENTOS_COMPLEMENTOS!$H$4:$H$803,G147,MOVIMIENTOS_COMPLEMENTOS!$B$4:$B$803,"SALIDA"),0)</f>
        <v>0</v>
      </c>
      <c r="I147" s="102">
        <f t="array" ref="I147">IFERROR(INDEX(PRECIOS_COMPLEMENTOS!$C$4:$F$17,MATCH(B147&amp;"_"&amp;C147,PRECIOS_COMPLEMENTOS!$H$4:$H$17,0),IF(OR(G147="S",G147="20cm"),1,IF(OR(G147="M",G147="25cm"),2,IF(OR(G147="L",G147="30cm"),3,IF(OR(G147="XL",G147="35cm"),4,0))))),0)</f>
        <v>0.75</v>
      </c>
      <c r="J147" s="103">
        <f t="shared" si="1"/>
        <v>0</v>
      </c>
      <c r="K147" s="104" t="str">
        <f>IF(H147&lt;0,"ERROR",IF(H147=0,"",IF(H147&lt;CONFIG!$B$4,"CRÍTICO",IF(H147&lt;CONFIG!$B$5,"BAJO","OK"))))</f>
        <v/>
      </c>
    </row>
    <row r="148" ht="15.75" hidden="1" customHeight="1">
      <c r="A148" s="90" t="str">
        <f>IF(CLIENTES!A7="","",CLIENTES!A7)</f>
        <v/>
      </c>
      <c r="B148" s="90" t="s">
        <v>321</v>
      </c>
      <c r="C148" s="91" t="s">
        <v>322</v>
      </c>
      <c r="D148" s="109" t="s">
        <v>353</v>
      </c>
      <c r="E148" s="67" t="str">
        <f>COLORES!A16</f>
        <v>Topo</v>
      </c>
      <c r="F148" s="67" t="str">
        <f>COLORES!B16</f>
        <v>CLARO</v>
      </c>
      <c r="G148" s="90" t="s">
        <v>376</v>
      </c>
      <c r="H148" s="100">
        <f>IFERROR(SUMIFS(MOVIMIENTOS_COMPLEMENTOS!$I$4:$I$803,MOVIMIENTOS_COMPLEMENTOS!$C$4:$C$803,A148,MOVIMIENTOS_COMPLEMENTOS!$D$4:$D$803,B148,MOVIMIENTOS_COMPLEMENTOS!$E$4:$E$803,C148,MOVIMIENTOS_COMPLEMENTOS!$G$4:$G$803,E148,MOVIMIENTOS_COMPLEMENTOS!$H$4:$H$803,G148,MOVIMIENTOS_COMPLEMENTOS!$B$4:$B$803,"INGRESO")+SUMIFS(MOVIMIENTOS_COMPLEMENTOS!$I$4:$I$803,MOVIMIENTOS_COMPLEMENTOS!$C$4:$C$803,A148,MOVIMIENTOS_COMPLEMENTOS!$D$4:$D$803,B148,MOVIMIENTOS_COMPLEMENTOS!$E$4:$E$803,C148,MOVIMIENTOS_COMPLEMENTOS!$G$4:$G$803,E148,MOVIMIENTOS_COMPLEMENTOS!$H$4:$H$803,G148,MOVIMIENTOS_COMPLEMENTOS!$B$4:$B$803,"DE CORTE")-SUMIFS(MOVIMIENTOS_COMPLEMENTOS!$I$4:$I$803,MOVIMIENTOS_COMPLEMENTOS!$C$4:$C$803,A148,MOVIMIENTOS_COMPLEMENTOS!$D$4:$D$803,B148,MOVIMIENTOS_COMPLEMENTOS!$E$4:$E$803,C148,MOVIMIENTOS_COMPLEMENTOS!$G$4:$G$803,E148,MOVIMIENTOS_COMPLEMENTOS!$H$4:$H$803,G148,MOVIMIENTOS_COMPLEMENTOS!$B$4:$B$803,"SALIDA"),0)</f>
        <v>0</v>
      </c>
      <c r="I148" s="102">
        <f t="array" ref="I148">IFERROR(INDEX(PRECIOS_COMPLEMENTOS!$C$4:$F$17,MATCH(B148&amp;"_"&amp;C148,PRECIOS_COMPLEMENTOS!$H$4:$H$17,0),IF(OR(G148="S",G148="20cm"),1,IF(OR(G148="M",G148="25cm"),2,IF(OR(G148="L",G148="30cm"),3,IF(OR(G148="XL",G148="35cm"),4,0))))),0)</f>
        <v>0.7</v>
      </c>
      <c r="J148" s="103">
        <f t="shared" si="1"/>
        <v>0</v>
      </c>
      <c r="K148" s="104" t="str">
        <f>IF(H148&lt;0,"ERROR",IF(H148=0,"",IF(H148&lt;CONFIG!$B$4,"CRÍTICO",IF(H148&lt;CONFIG!$B$5,"BAJO","OK"))))</f>
        <v/>
      </c>
    </row>
    <row r="149" ht="15.75" hidden="1" customHeight="1">
      <c r="A149" s="90" t="str">
        <f>IF(CLIENTES!A7="","",CLIENTES!A7)</f>
        <v/>
      </c>
      <c r="B149" s="90" t="s">
        <v>321</v>
      </c>
      <c r="C149" s="91" t="s">
        <v>322</v>
      </c>
      <c r="D149" s="109" t="s">
        <v>353</v>
      </c>
      <c r="E149" s="67" t="str">
        <f>COLORES!A16</f>
        <v>Topo</v>
      </c>
      <c r="F149" s="67" t="str">
        <f>COLORES!B16</f>
        <v>CLARO</v>
      </c>
      <c r="G149" s="90" t="s">
        <v>377</v>
      </c>
      <c r="H149" s="100">
        <f>IFERROR(SUMIFS(MOVIMIENTOS_COMPLEMENTOS!$I$4:$I$803,MOVIMIENTOS_COMPLEMENTOS!$C$4:$C$803,A149,MOVIMIENTOS_COMPLEMENTOS!$D$4:$D$803,B149,MOVIMIENTOS_COMPLEMENTOS!$E$4:$E$803,C149,MOVIMIENTOS_COMPLEMENTOS!$G$4:$G$803,E149,MOVIMIENTOS_COMPLEMENTOS!$H$4:$H$803,G149,MOVIMIENTOS_COMPLEMENTOS!$B$4:$B$803,"INGRESO")+SUMIFS(MOVIMIENTOS_COMPLEMENTOS!$I$4:$I$803,MOVIMIENTOS_COMPLEMENTOS!$C$4:$C$803,A149,MOVIMIENTOS_COMPLEMENTOS!$D$4:$D$803,B149,MOVIMIENTOS_COMPLEMENTOS!$E$4:$E$803,C149,MOVIMIENTOS_COMPLEMENTOS!$G$4:$G$803,E149,MOVIMIENTOS_COMPLEMENTOS!$H$4:$H$803,G149,MOVIMIENTOS_COMPLEMENTOS!$B$4:$B$803,"DE CORTE")-SUMIFS(MOVIMIENTOS_COMPLEMENTOS!$I$4:$I$803,MOVIMIENTOS_COMPLEMENTOS!$C$4:$C$803,A149,MOVIMIENTOS_COMPLEMENTOS!$D$4:$D$803,B149,MOVIMIENTOS_COMPLEMENTOS!$E$4:$E$803,C149,MOVIMIENTOS_COMPLEMENTOS!$G$4:$G$803,E149,MOVIMIENTOS_COMPLEMENTOS!$H$4:$H$803,G149,MOVIMIENTOS_COMPLEMENTOS!$B$4:$B$803,"SALIDA"),0)</f>
        <v>0</v>
      </c>
      <c r="I149" s="102">
        <f t="array" ref="I149">IFERROR(INDEX(PRECIOS_COMPLEMENTOS!$C$4:$F$17,MATCH(B149&amp;"_"&amp;C149,PRECIOS_COMPLEMENTOS!$H$4:$H$17,0),IF(OR(G149="S",G149="20cm"),1,IF(OR(G149="M",G149="25cm"),2,IF(OR(G149="L",G149="30cm"),3,IF(OR(G149="XL",G149="35cm"),4,0))))),0)</f>
        <v>0.75</v>
      </c>
      <c r="J149" s="103">
        <f t="shared" si="1"/>
        <v>0</v>
      </c>
      <c r="K149" s="104" t="str">
        <f>IF(H149&lt;0,"ERROR",IF(H149=0,"",IF(H149&lt;CONFIG!$B$4,"CRÍTICO",IF(H149&lt;CONFIG!$B$5,"BAJO","OK"))))</f>
        <v/>
      </c>
    </row>
    <row r="150" ht="15.75" hidden="1" customHeight="1">
      <c r="A150" s="90" t="str">
        <f>IF(CLIENTES!A7="","",CLIENTES!A7)</f>
        <v/>
      </c>
      <c r="B150" s="90" t="s">
        <v>321</v>
      </c>
      <c r="C150" s="91" t="s">
        <v>322</v>
      </c>
      <c r="D150" s="109" t="s">
        <v>353</v>
      </c>
      <c r="E150" s="67" t="str">
        <f>COLORES!A17</f>
        <v>Vino</v>
      </c>
      <c r="F150" s="67" t="str">
        <f>COLORES!B17</f>
        <v>OSCURO</v>
      </c>
      <c r="G150" s="90" t="s">
        <v>376</v>
      </c>
      <c r="H150" s="100">
        <f>IFERROR(SUMIFS(MOVIMIENTOS_COMPLEMENTOS!$I$4:$I$803,MOVIMIENTOS_COMPLEMENTOS!$C$4:$C$803,A150,MOVIMIENTOS_COMPLEMENTOS!$D$4:$D$803,B150,MOVIMIENTOS_COMPLEMENTOS!$E$4:$E$803,C150,MOVIMIENTOS_COMPLEMENTOS!$G$4:$G$803,E150,MOVIMIENTOS_COMPLEMENTOS!$H$4:$H$803,G150,MOVIMIENTOS_COMPLEMENTOS!$B$4:$B$803,"INGRESO")+SUMIFS(MOVIMIENTOS_COMPLEMENTOS!$I$4:$I$803,MOVIMIENTOS_COMPLEMENTOS!$C$4:$C$803,A150,MOVIMIENTOS_COMPLEMENTOS!$D$4:$D$803,B150,MOVIMIENTOS_COMPLEMENTOS!$E$4:$E$803,C150,MOVIMIENTOS_COMPLEMENTOS!$G$4:$G$803,E150,MOVIMIENTOS_COMPLEMENTOS!$H$4:$H$803,G150,MOVIMIENTOS_COMPLEMENTOS!$B$4:$B$803,"DE CORTE")-SUMIFS(MOVIMIENTOS_COMPLEMENTOS!$I$4:$I$803,MOVIMIENTOS_COMPLEMENTOS!$C$4:$C$803,A150,MOVIMIENTOS_COMPLEMENTOS!$D$4:$D$803,B150,MOVIMIENTOS_COMPLEMENTOS!$E$4:$E$803,C150,MOVIMIENTOS_COMPLEMENTOS!$G$4:$G$803,E150,MOVIMIENTOS_COMPLEMENTOS!$H$4:$H$803,G150,MOVIMIENTOS_COMPLEMENTOS!$B$4:$B$803,"SALIDA"),0)</f>
        <v>0</v>
      </c>
      <c r="I150" s="102">
        <f t="array" ref="I150">IFERROR(INDEX(PRECIOS_COMPLEMENTOS!$C$4:$F$17,MATCH(B150&amp;"_"&amp;C150,PRECIOS_COMPLEMENTOS!$H$4:$H$17,0),IF(OR(G150="S",G150="20cm"),1,IF(OR(G150="M",G150="25cm"),2,IF(OR(G150="L",G150="30cm"),3,IF(OR(G150="XL",G150="35cm"),4,0))))),0)</f>
        <v>0.7</v>
      </c>
      <c r="J150" s="103">
        <f t="shared" si="1"/>
        <v>0</v>
      </c>
      <c r="K150" s="104" t="str">
        <f>IF(H150&lt;0,"ERROR",IF(H150=0,"",IF(H150&lt;CONFIG!$B$4,"CRÍTICO",IF(H150&lt;CONFIG!$B$5,"BAJO","OK"))))</f>
        <v/>
      </c>
    </row>
    <row r="151" ht="15.75" hidden="1" customHeight="1">
      <c r="A151" s="90" t="str">
        <f>IF(CLIENTES!A7="","",CLIENTES!A7)</f>
        <v/>
      </c>
      <c r="B151" s="90" t="s">
        <v>321</v>
      </c>
      <c r="C151" s="91" t="s">
        <v>322</v>
      </c>
      <c r="D151" s="109" t="s">
        <v>353</v>
      </c>
      <c r="E151" s="67" t="str">
        <f>COLORES!A17</f>
        <v>Vino</v>
      </c>
      <c r="F151" s="67" t="str">
        <f>COLORES!B17</f>
        <v>OSCURO</v>
      </c>
      <c r="G151" s="90" t="s">
        <v>377</v>
      </c>
      <c r="H151" s="100">
        <f>IFERROR(SUMIFS(MOVIMIENTOS_COMPLEMENTOS!$I$4:$I$803,MOVIMIENTOS_COMPLEMENTOS!$C$4:$C$803,A151,MOVIMIENTOS_COMPLEMENTOS!$D$4:$D$803,B151,MOVIMIENTOS_COMPLEMENTOS!$E$4:$E$803,C151,MOVIMIENTOS_COMPLEMENTOS!$G$4:$G$803,E151,MOVIMIENTOS_COMPLEMENTOS!$H$4:$H$803,G151,MOVIMIENTOS_COMPLEMENTOS!$B$4:$B$803,"INGRESO")+SUMIFS(MOVIMIENTOS_COMPLEMENTOS!$I$4:$I$803,MOVIMIENTOS_COMPLEMENTOS!$C$4:$C$803,A151,MOVIMIENTOS_COMPLEMENTOS!$D$4:$D$803,B151,MOVIMIENTOS_COMPLEMENTOS!$E$4:$E$803,C151,MOVIMIENTOS_COMPLEMENTOS!$G$4:$G$803,E151,MOVIMIENTOS_COMPLEMENTOS!$H$4:$H$803,G151,MOVIMIENTOS_COMPLEMENTOS!$B$4:$B$803,"DE CORTE")-SUMIFS(MOVIMIENTOS_COMPLEMENTOS!$I$4:$I$803,MOVIMIENTOS_COMPLEMENTOS!$C$4:$C$803,A151,MOVIMIENTOS_COMPLEMENTOS!$D$4:$D$803,B151,MOVIMIENTOS_COMPLEMENTOS!$E$4:$E$803,C151,MOVIMIENTOS_COMPLEMENTOS!$G$4:$G$803,E151,MOVIMIENTOS_COMPLEMENTOS!$H$4:$H$803,G151,MOVIMIENTOS_COMPLEMENTOS!$B$4:$B$803,"SALIDA"),0)</f>
        <v>0</v>
      </c>
      <c r="I151" s="102">
        <f t="array" ref="I151">IFERROR(INDEX(PRECIOS_COMPLEMENTOS!$C$4:$F$17,MATCH(B151&amp;"_"&amp;C151,PRECIOS_COMPLEMENTOS!$H$4:$H$17,0),IF(OR(G151="S",G151="20cm"),1,IF(OR(G151="M",G151="25cm"),2,IF(OR(G151="L",G151="30cm"),3,IF(OR(G151="XL",G151="35cm"),4,0))))),0)</f>
        <v>0.75</v>
      </c>
      <c r="J151" s="103">
        <f t="shared" si="1"/>
        <v>0</v>
      </c>
      <c r="K151" s="104" t="str">
        <f>IF(H151&lt;0,"ERROR",IF(H151=0,"",IF(H151&lt;CONFIG!$B$4,"CRÍTICO",IF(H151&lt;CONFIG!$B$5,"BAJO","OK"))))</f>
        <v/>
      </c>
    </row>
    <row r="152" ht="15.75" hidden="1" customHeight="1">
      <c r="A152" s="90" t="str">
        <f>IF(CLIENTES!A7="","",CLIENTES!A7)</f>
        <v/>
      </c>
      <c r="B152" s="90" t="s">
        <v>321</v>
      </c>
      <c r="C152" s="91" t="s">
        <v>322</v>
      </c>
      <c r="D152" s="109" t="s">
        <v>353</v>
      </c>
      <c r="E152" s="67" t="str">
        <f>COLORES!A18</f>
        <v>P. Rosa</v>
      </c>
      <c r="F152" s="67" t="str">
        <f>COLORES!B18</f>
        <v>CLARO</v>
      </c>
      <c r="G152" s="90" t="s">
        <v>376</v>
      </c>
      <c r="H152" s="100">
        <f>IFERROR(SUMIFS(MOVIMIENTOS_COMPLEMENTOS!$I$4:$I$803,MOVIMIENTOS_COMPLEMENTOS!$C$4:$C$803,A152,MOVIMIENTOS_COMPLEMENTOS!$D$4:$D$803,B152,MOVIMIENTOS_COMPLEMENTOS!$E$4:$E$803,C152,MOVIMIENTOS_COMPLEMENTOS!$G$4:$G$803,E152,MOVIMIENTOS_COMPLEMENTOS!$H$4:$H$803,G152,MOVIMIENTOS_COMPLEMENTOS!$B$4:$B$803,"INGRESO")+SUMIFS(MOVIMIENTOS_COMPLEMENTOS!$I$4:$I$803,MOVIMIENTOS_COMPLEMENTOS!$C$4:$C$803,A152,MOVIMIENTOS_COMPLEMENTOS!$D$4:$D$803,B152,MOVIMIENTOS_COMPLEMENTOS!$E$4:$E$803,C152,MOVIMIENTOS_COMPLEMENTOS!$G$4:$G$803,E152,MOVIMIENTOS_COMPLEMENTOS!$H$4:$H$803,G152,MOVIMIENTOS_COMPLEMENTOS!$B$4:$B$803,"DE CORTE")-SUMIFS(MOVIMIENTOS_COMPLEMENTOS!$I$4:$I$803,MOVIMIENTOS_COMPLEMENTOS!$C$4:$C$803,A152,MOVIMIENTOS_COMPLEMENTOS!$D$4:$D$803,B152,MOVIMIENTOS_COMPLEMENTOS!$E$4:$E$803,C152,MOVIMIENTOS_COMPLEMENTOS!$G$4:$G$803,E152,MOVIMIENTOS_COMPLEMENTOS!$H$4:$H$803,G152,MOVIMIENTOS_COMPLEMENTOS!$B$4:$B$803,"SALIDA"),0)</f>
        <v>0</v>
      </c>
      <c r="I152" s="102">
        <f t="array" ref="I152">IFERROR(INDEX(PRECIOS_COMPLEMENTOS!$C$4:$F$17,MATCH(B152&amp;"_"&amp;C152,PRECIOS_COMPLEMENTOS!$H$4:$H$17,0),IF(OR(G152="S",G152="20cm"),1,IF(OR(G152="M",G152="25cm"),2,IF(OR(G152="L",G152="30cm"),3,IF(OR(G152="XL",G152="35cm"),4,0))))),0)</f>
        <v>0.7</v>
      </c>
      <c r="J152" s="103">
        <f t="shared" si="1"/>
        <v>0</v>
      </c>
      <c r="K152" s="104" t="str">
        <f>IF(H152&lt;0,"ERROR",IF(H152=0,"",IF(H152&lt;CONFIG!$B$4,"CRÍTICO",IF(H152&lt;CONFIG!$B$5,"BAJO","OK"))))</f>
        <v/>
      </c>
    </row>
    <row r="153" ht="15.75" hidden="1" customHeight="1">
      <c r="A153" s="90" t="str">
        <f>IF(CLIENTES!A7="","",CLIENTES!A7)</f>
        <v/>
      </c>
      <c r="B153" s="90" t="s">
        <v>321</v>
      </c>
      <c r="C153" s="91" t="s">
        <v>322</v>
      </c>
      <c r="D153" s="109" t="s">
        <v>353</v>
      </c>
      <c r="E153" s="67" t="str">
        <f>COLORES!A18</f>
        <v>P. Rosa</v>
      </c>
      <c r="F153" s="67" t="str">
        <f>COLORES!B18</f>
        <v>CLARO</v>
      </c>
      <c r="G153" s="90" t="s">
        <v>377</v>
      </c>
      <c r="H153" s="100">
        <f>IFERROR(SUMIFS(MOVIMIENTOS_COMPLEMENTOS!$I$4:$I$803,MOVIMIENTOS_COMPLEMENTOS!$C$4:$C$803,A153,MOVIMIENTOS_COMPLEMENTOS!$D$4:$D$803,B153,MOVIMIENTOS_COMPLEMENTOS!$E$4:$E$803,C153,MOVIMIENTOS_COMPLEMENTOS!$G$4:$G$803,E153,MOVIMIENTOS_COMPLEMENTOS!$H$4:$H$803,G153,MOVIMIENTOS_COMPLEMENTOS!$B$4:$B$803,"INGRESO")+SUMIFS(MOVIMIENTOS_COMPLEMENTOS!$I$4:$I$803,MOVIMIENTOS_COMPLEMENTOS!$C$4:$C$803,A153,MOVIMIENTOS_COMPLEMENTOS!$D$4:$D$803,B153,MOVIMIENTOS_COMPLEMENTOS!$E$4:$E$803,C153,MOVIMIENTOS_COMPLEMENTOS!$G$4:$G$803,E153,MOVIMIENTOS_COMPLEMENTOS!$H$4:$H$803,G153,MOVIMIENTOS_COMPLEMENTOS!$B$4:$B$803,"DE CORTE")-SUMIFS(MOVIMIENTOS_COMPLEMENTOS!$I$4:$I$803,MOVIMIENTOS_COMPLEMENTOS!$C$4:$C$803,A153,MOVIMIENTOS_COMPLEMENTOS!$D$4:$D$803,B153,MOVIMIENTOS_COMPLEMENTOS!$E$4:$E$803,C153,MOVIMIENTOS_COMPLEMENTOS!$G$4:$G$803,E153,MOVIMIENTOS_COMPLEMENTOS!$H$4:$H$803,G153,MOVIMIENTOS_COMPLEMENTOS!$B$4:$B$803,"SALIDA"),0)</f>
        <v>0</v>
      </c>
      <c r="I153" s="102">
        <f t="array" ref="I153">IFERROR(INDEX(PRECIOS_COMPLEMENTOS!$C$4:$F$17,MATCH(B153&amp;"_"&amp;C153,PRECIOS_COMPLEMENTOS!$H$4:$H$17,0),IF(OR(G153="S",G153="20cm"),1,IF(OR(G153="M",G153="25cm"),2,IF(OR(G153="L",G153="30cm"),3,IF(OR(G153="XL",G153="35cm"),4,0))))),0)</f>
        <v>0.75</v>
      </c>
      <c r="J153" s="103">
        <f t="shared" si="1"/>
        <v>0</v>
      </c>
      <c r="K153" s="104" t="str">
        <f>IF(H153&lt;0,"ERROR",IF(H153=0,"",IF(H153&lt;CONFIG!$B$4,"CRÍTICO",IF(H153&lt;CONFIG!$B$5,"BAJO","OK"))))</f>
        <v/>
      </c>
    </row>
    <row r="154" ht="15.75" hidden="1" customHeight="1">
      <c r="A154" s="90" t="str">
        <f>IF(CLIENTES!A7="","",CLIENTES!A7)</f>
        <v/>
      </c>
      <c r="B154" s="90" t="s">
        <v>321</v>
      </c>
      <c r="C154" s="91" t="s">
        <v>322</v>
      </c>
      <c r="D154" s="109" t="s">
        <v>353</v>
      </c>
      <c r="E154" s="67" t="str">
        <f>COLORES!A19</f>
        <v/>
      </c>
      <c r="F154" s="67" t="str">
        <f>COLORES!B19</f>
        <v/>
      </c>
      <c r="G154" s="90" t="s">
        <v>376</v>
      </c>
      <c r="H154" s="100">
        <f>IFERROR(SUMIFS(MOVIMIENTOS_COMPLEMENTOS!$I$4:$I$803,MOVIMIENTOS_COMPLEMENTOS!$C$4:$C$803,A154,MOVIMIENTOS_COMPLEMENTOS!$D$4:$D$803,B154,MOVIMIENTOS_COMPLEMENTOS!$E$4:$E$803,C154,MOVIMIENTOS_COMPLEMENTOS!$G$4:$G$803,E154,MOVIMIENTOS_COMPLEMENTOS!$H$4:$H$803,G154,MOVIMIENTOS_COMPLEMENTOS!$B$4:$B$803,"INGRESO")+SUMIFS(MOVIMIENTOS_COMPLEMENTOS!$I$4:$I$803,MOVIMIENTOS_COMPLEMENTOS!$C$4:$C$803,A154,MOVIMIENTOS_COMPLEMENTOS!$D$4:$D$803,B154,MOVIMIENTOS_COMPLEMENTOS!$E$4:$E$803,C154,MOVIMIENTOS_COMPLEMENTOS!$G$4:$G$803,E154,MOVIMIENTOS_COMPLEMENTOS!$H$4:$H$803,G154,MOVIMIENTOS_COMPLEMENTOS!$B$4:$B$803,"DE CORTE")-SUMIFS(MOVIMIENTOS_COMPLEMENTOS!$I$4:$I$803,MOVIMIENTOS_COMPLEMENTOS!$C$4:$C$803,A154,MOVIMIENTOS_COMPLEMENTOS!$D$4:$D$803,B154,MOVIMIENTOS_COMPLEMENTOS!$E$4:$E$803,C154,MOVIMIENTOS_COMPLEMENTOS!$G$4:$G$803,E154,MOVIMIENTOS_COMPLEMENTOS!$H$4:$H$803,G154,MOVIMIENTOS_COMPLEMENTOS!$B$4:$B$803,"SALIDA"),0)</f>
        <v>0</v>
      </c>
      <c r="I154" s="102">
        <f t="array" ref="I154">IFERROR(INDEX(PRECIOS_COMPLEMENTOS!$C$4:$F$17,MATCH(B154&amp;"_"&amp;C154,PRECIOS_COMPLEMENTOS!$H$4:$H$17,0),IF(OR(G154="S",G154="20cm"),1,IF(OR(G154="M",G154="25cm"),2,IF(OR(G154="L",G154="30cm"),3,IF(OR(G154="XL",G154="35cm"),4,0))))),0)</f>
        <v>0.7</v>
      </c>
      <c r="J154" s="103">
        <f t="shared" si="1"/>
        <v>0</v>
      </c>
      <c r="K154" s="104" t="str">
        <f>IF(H154&lt;0,"ERROR",IF(H154=0,"",IF(H154&lt;CONFIG!$B$4,"CRÍTICO",IF(H154&lt;CONFIG!$B$5,"BAJO","OK"))))</f>
        <v/>
      </c>
    </row>
    <row r="155" ht="15.75" hidden="1" customHeight="1">
      <c r="A155" s="90" t="str">
        <f>IF(CLIENTES!A7="","",CLIENTES!A7)</f>
        <v/>
      </c>
      <c r="B155" s="90" t="s">
        <v>321</v>
      </c>
      <c r="C155" s="91" t="s">
        <v>322</v>
      </c>
      <c r="D155" s="109" t="s">
        <v>353</v>
      </c>
      <c r="E155" s="67" t="str">
        <f>COLORES!A19</f>
        <v/>
      </c>
      <c r="F155" s="67" t="str">
        <f>COLORES!B19</f>
        <v/>
      </c>
      <c r="G155" s="90" t="s">
        <v>377</v>
      </c>
      <c r="H155" s="100">
        <f>IFERROR(SUMIFS(MOVIMIENTOS_COMPLEMENTOS!$I$4:$I$803,MOVIMIENTOS_COMPLEMENTOS!$C$4:$C$803,A155,MOVIMIENTOS_COMPLEMENTOS!$D$4:$D$803,B155,MOVIMIENTOS_COMPLEMENTOS!$E$4:$E$803,C155,MOVIMIENTOS_COMPLEMENTOS!$G$4:$G$803,E155,MOVIMIENTOS_COMPLEMENTOS!$H$4:$H$803,G155,MOVIMIENTOS_COMPLEMENTOS!$B$4:$B$803,"INGRESO")+SUMIFS(MOVIMIENTOS_COMPLEMENTOS!$I$4:$I$803,MOVIMIENTOS_COMPLEMENTOS!$C$4:$C$803,A155,MOVIMIENTOS_COMPLEMENTOS!$D$4:$D$803,B155,MOVIMIENTOS_COMPLEMENTOS!$E$4:$E$803,C155,MOVIMIENTOS_COMPLEMENTOS!$G$4:$G$803,E155,MOVIMIENTOS_COMPLEMENTOS!$H$4:$H$803,G155,MOVIMIENTOS_COMPLEMENTOS!$B$4:$B$803,"DE CORTE")-SUMIFS(MOVIMIENTOS_COMPLEMENTOS!$I$4:$I$803,MOVIMIENTOS_COMPLEMENTOS!$C$4:$C$803,A155,MOVIMIENTOS_COMPLEMENTOS!$D$4:$D$803,B155,MOVIMIENTOS_COMPLEMENTOS!$E$4:$E$803,C155,MOVIMIENTOS_COMPLEMENTOS!$G$4:$G$803,E155,MOVIMIENTOS_COMPLEMENTOS!$H$4:$H$803,G155,MOVIMIENTOS_COMPLEMENTOS!$B$4:$B$803,"SALIDA"),0)</f>
        <v>0</v>
      </c>
      <c r="I155" s="102">
        <f t="array" ref="I155">IFERROR(INDEX(PRECIOS_COMPLEMENTOS!$C$4:$F$17,MATCH(B155&amp;"_"&amp;C155,PRECIOS_COMPLEMENTOS!$H$4:$H$17,0),IF(OR(G155="S",G155="20cm"),1,IF(OR(G155="M",G155="25cm"),2,IF(OR(G155="L",G155="30cm"),3,IF(OR(G155="XL",G155="35cm"),4,0))))),0)</f>
        <v>0.75</v>
      </c>
      <c r="J155" s="103">
        <f t="shared" si="1"/>
        <v>0</v>
      </c>
      <c r="K155" s="104" t="str">
        <f>IF(H155&lt;0,"ERROR",IF(H155=0,"",IF(H155&lt;CONFIG!$B$4,"CRÍTICO",IF(H155&lt;CONFIG!$B$5,"BAJO","OK"))))</f>
        <v/>
      </c>
    </row>
    <row r="156" ht="15.75" hidden="1" customHeight="1">
      <c r="A156" s="90" t="str">
        <f>IF(CLIENTES!A7="","",CLIENTES!A7)</f>
        <v/>
      </c>
      <c r="B156" s="90" t="s">
        <v>321</v>
      </c>
      <c r="C156" s="91" t="s">
        <v>322</v>
      </c>
      <c r="D156" s="109" t="s">
        <v>353</v>
      </c>
      <c r="E156" s="67" t="str">
        <f>COLORES!A20</f>
        <v/>
      </c>
      <c r="F156" s="67" t="str">
        <f>COLORES!B20</f>
        <v/>
      </c>
      <c r="G156" s="90" t="s">
        <v>376</v>
      </c>
      <c r="H156" s="100">
        <f>IFERROR(SUMIFS(MOVIMIENTOS_COMPLEMENTOS!$I$4:$I$803,MOVIMIENTOS_COMPLEMENTOS!$C$4:$C$803,A156,MOVIMIENTOS_COMPLEMENTOS!$D$4:$D$803,B156,MOVIMIENTOS_COMPLEMENTOS!$E$4:$E$803,C156,MOVIMIENTOS_COMPLEMENTOS!$G$4:$G$803,E156,MOVIMIENTOS_COMPLEMENTOS!$H$4:$H$803,G156,MOVIMIENTOS_COMPLEMENTOS!$B$4:$B$803,"INGRESO")+SUMIFS(MOVIMIENTOS_COMPLEMENTOS!$I$4:$I$803,MOVIMIENTOS_COMPLEMENTOS!$C$4:$C$803,A156,MOVIMIENTOS_COMPLEMENTOS!$D$4:$D$803,B156,MOVIMIENTOS_COMPLEMENTOS!$E$4:$E$803,C156,MOVIMIENTOS_COMPLEMENTOS!$G$4:$G$803,E156,MOVIMIENTOS_COMPLEMENTOS!$H$4:$H$803,G156,MOVIMIENTOS_COMPLEMENTOS!$B$4:$B$803,"DE CORTE")-SUMIFS(MOVIMIENTOS_COMPLEMENTOS!$I$4:$I$803,MOVIMIENTOS_COMPLEMENTOS!$C$4:$C$803,A156,MOVIMIENTOS_COMPLEMENTOS!$D$4:$D$803,B156,MOVIMIENTOS_COMPLEMENTOS!$E$4:$E$803,C156,MOVIMIENTOS_COMPLEMENTOS!$G$4:$G$803,E156,MOVIMIENTOS_COMPLEMENTOS!$H$4:$H$803,G156,MOVIMIENTOS_COMPLEMENTOS!$B$4:$B$803,"SALIDA"),0)</f>
        <v>0</v>
      </c>
      <c r="I156" s="102">
        <f t="array" ref="I156">IFERROR(INDEX(PRECIOS_COMPLEMENTOS!$C$4:$F$17,MATCH(B156&amp;"_"&amp;C156,PRECIOS_COMPLEMENTOS!$H$4:$H$17,0),IF(OR(G156="S",G156="20cm"),1,IF(OR(G156="M",G156="25cm"),2,IF(OR(G156="L",G156="30cm"),3,IF(OR(G156="XL",G156="35cm"),4,0))))),0)</f>
        <v>0.7</v>
      </c>
      <c r="J156" s="103">
        <f t="shared" si="1"/>
        <v>0</v>
      </c>
      <c r="K156" s="104" t="str">
        <f>IF(H156&lt;0,"ERROR",IF(H156=0,"",IF(H156&lt;CONFIG!$B$4,"CRÍTICO",IF(H156&lt;CONFIG!$B$5,"BAJO","OK"))))</f>
        <v/>
      </c>
    </row>
    <row r="157" ht="15.75" hidden="1" customHeight="1">
      <c r="A157" s="90" t="str">
        <f>IF(CLIENTES!A7="","",CLIENTES!A7)</f>
        <v/>
      </c>
      <c r="B157" s="90" t="s">
        <v>321</v>
      </c>
      <c r="C157" s="91" t="s">
        <v>322</v>
      </c>
      <c r="D157" s="109" t="s">
        <v>353</v>
      </c>
      <c r="E157" s="67" t="str">
        <f>COLORES!A20</f>
        <v/>
      </c>
      <c r="F157" s="67" t="str">
        <f>COLORES!B20</f>
        <v/>
      </c>
      <c r="G157" s="90" t="s">
        <v>377</v>
      </c>
      <c r="H157" s="100">
        <f>IFERROR(SUMIFS(MOVIMIENTOS_COMPLEMENTOS!$I$4:$I$803,MOVIMIENTOS_COMPLEMENTOS!$C$4:$C$803,A157,MOVIMIENTOS_COMPLEMENTOS!$D$4:$D$803,B157,MOVIMIENTOS_COMPLEMENTOS!$E$4:$E$803,C157,MOVIMIENTOS_COMPLEMENTOS!$G$4:$G$803,E157,MOVIMIENTOS_COMPLEMENTOS!$H$4:$H$803,G157,MOVIMIENTOS_COMPLEMENTOS!$B$4:$B$803,"INGRESO")+SUMIFS(MOVIMIENTOS_COMPLEMENTOS!$I$4:$I$803,MOVIMIENTOS_COMPLEMENTOS!$C$4:$C$803,A157,MOVIMIENTOS_COMPLEMENTOS!$D$4:$D$803,B157,MOVIMIENTOS_COMPLEMENTOS!$E$4:$E$803,C157,MOVIMIENTOS_COMPLEMENTOS!$G$4:$G$803,E157,MOVIMIENTOS_COMPLEMENTOS!$H$4:$H$803,G157,MOVIMIENTOS_COMPLEMENTOS!$B$4:$B$803,"DE CORTE")-SUMIFS(MOVIMIENTOS_COMPLEMENTOS!$I$4:$I$803,MOVIMIENTOS_COMPLEMENTOS!$C$4:$C$803,A157,MOVIMIENTOS_COMPLEMENTOS!$D$4:$D$803,B157,MOVIMIENTOS_COMPLEMENTOS!$E$4:$E$803,C157,MOVIMIENTOS_COMPLEMENTOS!$G$4:$G$803,E157,MOVIMIENTOS_COMPLEMENTOS!$H$4:$H$803,G157,MOVIMIENTOS_COMPLEMENTOS!$B$4:$B$803,"SALIDA"),0)</f>
        <v>0</v>
      </c>
      <c r="I157" s="102">
        <f t="array" ref="I157">IFERROR(INDEX(PRECIOS_COMPLEMENTOS!$C$4:$F$17,MATCH(B157&amp;"_"&amp;C157,PRECIOS_COMPLEMENTOS!$H$4:$H$17,0),IF(OR(G157="S",G157="20cm"),1,IF(OR(G157="M",G157="25cm"),2,IF(OR(G157="L",G157="30cm"),3,IF(OR(G157="XL",G157="35cm"),4,0))))),0)</f>
        <v>0.75</v>
      </c>
      <c r="J157" s="103">
        <f t="shared" si="1"/>
        <v>0</v>
      </c>
      <c r="K157" s="104" t="str">
        <f>IF(H157&lt;0,"ERROR",IF(H157=0,"",IF(H157&lt;CONFIG!$B$4,"CRÍTICO",IF(H157&lt;CONFIG!$B$5,"BAJO","OK"))))</f>
        <v/>
      </c>
    </row>
    <row r="158" ht="15.75" hidden="1" customHeight="1">
      <c r="A158" s="90" t="str">
        <f>IF(CLIENTES!A7="","",CLIENTES!A7)</f>
        <v/>
      </c>
      <c r="B158" s="90" t="s">
        <v>321</v>
      </c>
      <c r="C158" s="91" t="s">
        <v>322</v>
      </c>
      <c r="D158" s="109" t="s">
        <v>353</v>
      </c>
      <c r="E158" s="67" t="str">
        <f>COLORES!A21</f>
        <v/>
      </c>
      <c r="F158" s="67" t="str">
        <f>COLORES!B21</f>
        <v/>
      </c>
      <c r="G158" s="90" t="s">
        <v>376</v>
      </c>
      <c r="H158" s="100">
        <f>IFERROR(SUMIFS(MOVIMIENTOS_COMPLEMENTOS!$I$4:$I$803,MOVIMIENTOS_COMPLEMENTOS!$C$4:$C$803,A158,MOVIMIENTOS_COMPLEMENTOS!$D$4:$D$803,B158,MOVIMIENTOS_COMPLEMENTOS!$E$4:$E$803,C158,MOVIMIENTOS_COMPLEMENTOS!$G$4:$G$803,E158,MOVIMIENTOS_COMPLEMENTOS!$H$4:$H$803,G158,MOVIMIENTOS_COMPLEMENTOS!$B$4:$B$803,"INGRESO")+SUMIFS(MOVIMIENTOS_COMPLEMENTOS!$I$4:$I$803,MOVIMIENTOS_COMPLEMENTOS!$C$4:$C$803,A158,MOVIMIENTOS_COMPLEMENTOS!$D$4:$D$803,B158,MOVIMIENTOS_COMPLEMENTOS!$E$4:$E$803,C158,MOVIMIENTOS_COMPLEMENTOS!$G$4:$G$803,E158,MOVIMIENTOS_COMPLEMENTOS!$H$4:$H$803,G158,MOVIMIENTOS_COMPLEMENTOS!$B$4:$B$803,"DE CORTE")-SUMIFS(MOVIMIENTOS_COMPLEMENTOS!$I$4:$I$803,MOVIMIENTOS_COMPLEMENTOS!$C$4:$C$803,A158,MOVIMIENTOS_COMPLEMENTOS!$D$4:$D$803,B158,MOVIMIENTOS_COMPLEMENTOS!$E$4:$E$803,C158,MOVIMIENTOS_COMPLEMENTOS!$G$4:$G$803,E158,MOVIMIENTOS_COMPLEMENTOS!$H$4:$H$803,G158,MOVIMIENTOS_COMPLEMENTOS!$B$4:$B$803,"SALIDA"),0)</f>
        <v>0</v>
      </c>
      <c r="I158" s="102">
        <f t="array" ref="I158">IFERROR(INDEX(PRECIOS_COMPLEMENTOS!$C$4:$F$17,MATCH(B158&amp;"_"&amp;C158,PRECIOS_COMPLEMENTOS!$H$4:$H$17,0),IF(OR(G158="S",G158="20cm"),1,IF(OR(G158="M",G158="25cm"),2,IF(OR(G158="L",G158="30cm"),3,IF(OR(G158="XL",G158="35cm"),4,0))))),0)</f>
        <v>0.7</v>
      </c>
      <c r="J158" s="103">
        <f t="shared" si="1"/>
        <v>0</v>
      </c>
      <c r="K158" s="104" t="str">
        <f>IF(H158&lt;0,"ERROR",IF(H158=0,"",IF(H158&lt;CONFIG!$B$4,"CRÍTICO",IF(H158&lt;CONFIG!$B$5,"BAJO","OK"))))</f>
        <v/>
      </c>
    </row>
    <row r="159" ht="15.75" hidden="1" customHeight="1">
      <c r="A159" s="90" t="str">
        <f>IF(CLIENTES!A7="","",CLIENTES!A7)</f>
        <v/>
      </c>
      <c r="B159" s="90" t="s">
        <v>321</v>
      </c>
      <c r="C159" s="91" t="s">
        <v>322</v>
      </c>
      <c r="D159" s="109" t="s">
        <v>353</v>
      </c>
      <c r="E159" s="67" t="str">
        <f>COLORES!A21</f>
        <v/>
      </c>
      <c r="F159" s="67" t="str">
        <f>COLORES!B21</f>
        <v/>
      </c>
      <c r="G159" s="90" t="s">
        <v>377</v>
      </c>
      <c r="H159" s="100">
        <f>IFERROR(SUMIFS(MOVIMIENTOS_COMPLEMENTOS!$I$4:$I$803,MOVIMIENTOS_COMPLEMENTOS!$C$4:$C$803,A159,MOVIMIENTOS_COMPLEMENTOS!$D$4:$D$803,B159,MOVIMIENTOS_COMPLEMENTOS!$E$4:$E$803,C159,MOVIMIENTOS_COMPLEMENTOS!$G$4:$G$803,E159,MOVIMIENTOS_COMPLEMENTOS!$H$4:$H$803,G159,MOVIMIENTOS_COMPLEMENTOS!$B$4:$B$803,"INGRESO")+SUMIFS(MOVIMIENTOS_COMPLEMENTOS!$I$4:$I$803,MOVIMIENTOS_COMPLEMENTOS!$C$4:$C$803,A159,MOVIMIENTOS_COMPLEMENTOS!$D$4:$D$803,B159,MOVIMIENTOS_COMPLEMENTOS!$E$4:$E$803,C159,MOVIMIENTOS_COMPLEMENTOS!$G$4:$G$803,E159,MOVIMIENTOS_COMPLEMENTOS!$H$4:$H$803,G159,MOVIMIENTOS_COMPLEMENTOS!$B$4:$B$803,"DE CORTE")-SUMIFS(MOVIMIENTOS_COMPLEMENTOS!$I$4:$I$803,MOVIMIENTOS_COMPLEMENTOS!$C$4:$C$803,A159,MOVIMIENTOS_COMPLEMENTOS!$D$4:$D$803,B159,MOVIMIENTOS_COMPLEMENTOS!$E$4:$E$803,C159,MOVIMIENTOS_COMPLEMENTOS!$G$4:$G$803,E159,MOVIMIENTOS_COMPLEMENTOS!$H$4:$H$803,G159,MOVIMIENTOS_COMPLEMENTOS!$B$4:$B$803,"SALIDA"),0)</f>
        <v>0</v>
      </c>
      <c r="I159" s="102">
        <f t="array" ref="I159">IFERROR(INDEX(PRECIOS_COMPLEMENTOS!$C$4:$F$17,MATCH(B159&amp;"_"&amp;C159,PRECIOS_COMPLEMENTOS!$H$4:$H$17,0),IF(OR(G159="S",G159="20cm"),1,IF(OR(G159="M",G159="25cm"),2,IF(OR(G159="L",G159="30cm"),3,IF(OR(G159="XL",G159="35cm"),4,0))))),0)</f>
        <v>0.75</v>
      </c>
      <c r="J159" s="103">
        <f t="shared" si="1"/>
        <v>0</v>
      </c>
      <c r="K159" s="104" t="str">
        <f>IF(H159&lt;0,"ERROR",IF(H159=0,"",IF(H159&lt;CONFIG!$B$4,"CRÍTICO",IF(H159&lt;CONFIG!$B$5,"BAJO","OK"))))</f>
        <v/>
      </c>
    </row>
    <row r="160" ht="15.75" hidden="1" customHeight="1">
      <c r="A160" s="90" t="str">
        <f>IF(CLIENTES!A7="","",CLIENTES!A7)</f>
        <v/>
      </c>
      <c r="B160" s="90" t="s">
        <v>321</v>
      </c>
      <c r="C160" s="91" t="s">
        <v>322</v>
      </c>
      <c r="D160" s="109" t="s">
        <v>353</v>
      </c>
      <c r="E160" s="67" t="str">
        <f>COLORES!A22</f>
        <v/>
      </c>
      <c r="F160" s="67" t="str">
        <f>COLORES!B22</f>
        <v/>
      </c>
      <c r="G160" s="90" t="s">
        <v>376</v>
      </c>
      <c r="H160" s="100">
        <f>IFERROR(SUMIFS(MOVIMIENTOS_COMPLEMENTOS!$I$4:$I$803,MOVIMIENTOS_COMPLEMENTOS!$C$4:$C$803,A160,MOVIMIENTOS_COMPLEMENTOS!$D$4:$D$803,B160,MOVIMIENTOS_COMPLEMENTOS!$E$4:$E$803,C160,MOVIMIENTOS_COMPLEMENTOS!$G$4:$G$803,E160,MOVIMIENTOS_COMPLEMENTOS!$H$4:$H$803,G160,MOVIMIENTOS_COMPLEMENTOS!$B$4:$B$803,"INGRESO")+SUMIFS(MOVIMIENTOS_COMPLEMENTOS!$I$4:$I$803,MOVIMIENTOS_COMPLEMENTOS!$C$4:$C$803,A160,MOVIMIENTOS_COMPLEMENTOS!$D$4:$D$803,B160,MOVIMIENTOS_COMPLEMENTOS!$E$4:$E$803,C160,MOVIMIENTOS_COMPLEMENTOS!$G$4:$G$803,E160,MOVIMIENTOS_COMPLEMENTOS!$H$4:$H$803,G160,MOVIMIENTOS_COMPLEMENTOS!$B$4:$B$803,"DE CORTE")-SUMIFS(MOVIMIENTOS_COMPLEMENTOS!$I$4:$I$803,MOVIMIENTOS_COMPLEMENTOS!$C$4:$C$803,A160,MOVIMIENTOS_COMPLEMENTOS!$D$4:$D$803,B160,MOVIMIENTOS_COMPLEMENTOS!$E$4:$E$803,C160,MOVIMIENTOS_COMPLEMENTOS!$G$4:$G$803,E160,MOVIMIENTOS_COMPLEMENTOS!$H$4:$H$803,G160,MOVIMIENTOS_COMPLEMENTOS!$B$4:$B$803,"SALIDA"),0)</f>
        <v>0</v>
      </c>
      <c r="I160" s="102">
        <f t="array" ref="I160">IFERROR(INDEX(PRECIOS_COMPLEMENTOS!$C$4:$F$17,MATCH(B160&amp;"_"&amp;C160,PRECIOS_COMPLEMENTOS!$H$4:$H$17,0),IF(OR(G160="S",G160="20cm"),1,IF(OR(G160="M",G160="25cm"),2,IF(OR(G160="L",G160="30cm"),3,IF(OR(G160="XL",G160="35cm"),4,0))))),0)</f>
        <v>0.7</v>
      </c>
      <c r="J160" s="103">
        <f t="shared" si="1"/>
        <v>0</v>
      </c>
      <c r="K160" s="104" t="str">
        <f>IF(H160&lt;0,"ERROR",IF(H160=0,"",IF(H160&lt;CONFIG!$B$4,"CRÍTICO",IF(H160&lt;CONFIG!$B$5,"BAJO","OK"))))</f>
        <v/>
      </c>
    </row>
    <row r="161" ht="15.75" hidden="1" customHeight="1">
      <c r="A161" s="90" t="str">
        <f>IF(CLIENTES!A7="","",CLIENTES!A7)</f>
        <v/>
      </c>
      <c r="B161" s="90" t="s">
        <v>321</v>
      </c>
      <c r="C161" s="91" t="s">
        <v>322</v>
      </c>
      <c r="D161" s="109" t="s">
        <v>353</v>
      </c>
      <c r="E161" s="67" t="str">
        <f>COLORES!A22</f>
        <v/>
      </c>
      <c r="F161" s="67" t="str">
        <f>COLORES!B22</f>
        <v/>
      </c>
      <c r="G161" s="90" t="s">
        <v>377</v>
      </c>
      <c r="H161" s="100">
        <f>IFERROR(SUMIFS(MOVIMIENTOS_COMPLEMENTOS!$I$4:$I$803,MOVIMIENTOS_COMPLEMENTOS!$C$4:$C$803,A161,MOVIMIENTOS_COMPLEMENTOS!$D$4:$D$803,B161,MOVIMIENTOS_COMPLEMENTOS!$E$4:$E$803,C161,MOVIMIENTOS_COMPLEMENTOS!$G$4:$G$803,E161,MOVIMIENTOS_COMPLEMENTOS!$H$4:$H$803,G161,MOVIMIENTOS_COMPLEMENTOS!$B$4:$B$803,"INGRESO")+SUMIFS(MOVIMIENTOS_COMPLEMENTOS!$I$4:$I$803,MOVIMIENTOS_COMPLEMENTOS!$C$4:$C$803,A161,MOVIMIENTOS_COMPLEMENTOS!$D$4:$D$803,B161,MOVIMIENTOS_COMPLEMENTOS!$E$4:$E$803,C161,MOVIMIENTOS_COMPLEMENTOS!$G$4:$G$803,E161,MOVIMIENTOS_COMPLEMENTOS!$H$4:$H$803,G161,MOVIMIENTOS_COMPLEMENTOS!$B$4:$B$803,"DE CORTE")-SUMIFS(MOVIMIENTOS_COMPLEMENTOS!$I$4:$I$803,MOVIMIENTOS_COMPLEMENTOS!$C$4:$C$803,A161,MOVIMIENTOS_COMPLEMENTOS!$D$4:$D$803,B161,MOVIMIENTOS_COMPLEMENTOS!$E$4:$E$803,C161,MOVIMIENTOS_COMPLEMENTOS!$G$4:$G$803,E161,MOVIMIENTOS_COMPLEMENTOS!$H$4:$H$803,G161,MOVIMIENTOS_COMPLEMENTOS!$B$4:$B$803,"SALIDA"),0)</f>
        <v>0</v>
      </c>
      <c r="I161" s="102">
        <f t="array" ref="I161">IFERROR(INDEX(PRECIOS_COMPLEMENTOS!$C$4:$F$17,MATCH(B161&amp;"_"&amp;C161,PRECIOS_COMPLEMENTOS!$H$4:$H$17,0),IF(OR(G161="S",G161="20cm"),1,IF(OR(G161="M",G161="25cm"),2,IF(OR(G161="L",G161="30cm"),3,IF(OR(G161="XL",G161="35cm"),4,0))))),0)</f>
        <v>0.75</v>
      </c>
      <c r="J161" s="103">
        <f t="shared" si="1"/>
        <v>0</v>
      </c>
      <c r="K161" s="104" t="str">
        <f>IF(H161&lt;0,"ERROR",IF(H161=0,"",IF(H161&lt;CONFIG!$B$4,"CRÍTICO",IF(H161&lt;CONFIG!$B$5,"BAJO","OK"))))</f>
        <v/>
      </c>
    </row>
    <row r="162" ht="15.75" hidden="1" customHeight="1">
      <c r="A162" s="90" t="str">
        <f>IF(CLIENTES!A7="","",CLIENTES!A7)</f>
        <v/>
      </c>
      <c r="B162" s="90" t="s">
        <v>321</v>
      </c>
      <c r="C162" s="91" t="s">
        <v>322</v>
      </c>
      <c r="D162" s="109" t="s">
        <v>353</v>
      </c>
      <c r="E162" s="67" t="str">
        <f>COLORES!A23</f>
        <v/>
      </c>
      <c r="F162" s="67" t="str">
        <f>COLORES!B23</f>
        <v/>
      </c>
      <c r="G162" s="90" t="s">
        <v>376</v>
      </c>
      <c r="H162" s="100">
        <f>IFERROR(SUMIFS(MOVIMIENTOS_COMPLEMENTOS!$I$4:$I$803,MOVIMIENTOS_COMPLEMENTOS!$C$4:$C$803,A162,MOVIMIENTOS_COMPLEMENTOS!$D$4:$D$803,B162,MOVIMIENTOS_COMPLEMENTOS!$E$4:$E$803,C162,MOVIMIENTOS_COMPLEMENTOS!$G$4:$G$803,E162,MOVIMIENTOS_COMPLEMENTOS!$H$4:$H$803,G162,MOVIMIENTOS_COMPLEMENTOS!$B$4:$B$803,"INGRESO")+SUMIFS(MOVIMIENTOS_COMPLEMENTOS!$I$4:$I$803,MOVIMIENTOS_COMPLEMENTOS!$C$4:$C$803,A162,MOVIMIENTOS_COMPLEMENTOS!$D$4:$D$803,B162,MOVIMIENTOS_COMPLEMENTOS!$E$4:$E$803,C162,MOVIMIENTOS_COMPLEMENTOS!$G$4:$G$803,E162,MOVIMIENTOS_COMPLEMENTOS!$H$4:$H$803,G162,MOVIMIENTOS_COMPLEMENTOS!$B$4:$B$803,"DE CORTE")-SUMIFS(MOVIMIENTOS_COMPLEMENTOS!$I$4:$I$803,MOVIMIENTOS_COMPLEMENTOS!$C$4:$C$803,A162,MOVIMIENTOS_COMPLEMENTOS!$D$4:$D$803,B162,MOVIMIENTOS_COMPLEMENTOS!$E$4:$E$803,C162,MOVIMIENTOS_COMPLEMENTOS!$G$4:$G$803,E162,MOVIMIENTOS_COMPLEMENTOS!$H$4:$H$803,G162,MOVIMIENTOS_COMPLEMENTOS!$B$4:$B$803,"SALIDA"),0)</f>
        <v>0</v>
      </c>
      <c r="I162" s="102">
        <f t="array" ref="I162">IFERROR(INDEX(PRECIOS_COMPLEMENTOS!$C$4:$F$17,MATCH(B162&amp;"_"&amp;C162,PRECIOS_COMPLEMENTOS!$H$4:$H$17,0),IF(OR(G162="S",G162="20cm"),1,IF(OR(G162="M",G162="25cm"),2,IF(OR(G162="L",G162="30cm"),3,IF(OR(G162="XL",G162="35cm"),4,0))))),0)</f>
        <v>0.7</v>
      </c>
      <c r="J162" s="103">
        <f t="shared" si="1"/>
        <v>0</v>
      </c>
      <c r="K162" s="104" t="str">
        <f>IF(H162&lt;0,"ERROR",IF(H162=0,"",IF(H162&lt;CONFIG!$B$4,"CRÍTICO",IF(H162&lt;CONFIG!$B$5,"BAJO","OK"))))</f>
        <v/>
      </c>
    </row>
    <row r="163" ht="15.75" hidden="1" customHeight="1">
      <c r="A163" s="90" t="str">
        <f>IF(CLIENTES!A7="","",CLIENTES!A7)</f>
        <v/>
      </c>
      <c r="B163" s="90" t="s">
        <v>321</v>
      </c>
      <c r="C163" s="91" t="s">
        <v>322</v>
      </c>
      <c r="D163" s="109" t="s">
        <v>353</v>
      </c>
      <c r="E163" s="67" t="str">
        <f>COLORES!A23</f>
        <v/>
      </c>
      <c r="F163" s="67" t="str">
        <f>COLORES!B23</f>
        <v/>
      </c>
      <c r="G163" s="90" t="s">
        <v>377</v>
      </c>
      <c r="H163" s="100">
        <f>IFERROR(SUMIFS(MOVIMIENTOS_COMPLEMENTOS!$I$4:$I$803,MOVIMIENTOS_COMPLEMENTOS!$C$4:$C$803,A163,MOVIMIENTOS_COMPLEMENTOS!$D$4:$D$803,B163,MOVIMIENTOS_COMPLEMENTOS!$E$4:$E$803,C163,MOVIMIENTOS_COMPLEMENTOS!$G$4:$G$803,E163,MOVIMIENTOS_COMPLEMENTOS!$H$4:$H$803,G163,MOVIMIENTOS_COMPLEMENTOS!$B$4:$B$803,"INGRESO")+SUMIFS(MOVIMIENTOS_COMPLEMENTOS!$I$4:$I$803,MOVIMIENTOS_COMPLEMENTOS!$C$4:$C$803,A163,MOVIMIENTOS_COMPLEMENTOS!$D$4:$D$803,B163,MOVIMIENTOS_COMPLEMENTOS!$E$4:$E$803,C163,MOVIMIENTOS_COMPLEMENTOS!$G$4:$G$803,E163,MOVIMIENTOS_COMPLEMENTOS!$H$4:$H$803,G163,MOVIMIENTOS_COMPLEMENTOS!$B$4:$B$803,"DE CORTE")-SUMIFS(MOVIMIENTOS_COMPLEMENTOS!$I$4:$I$803,MOVIMIENTOS_COMPLEMENTOS!$C$4:$C$803,A163,MOVIMIENTOS_COMPLEMENTOS!$D$4:$D$803,B163,MOVIMIENTOS_COMPLEMENTOS!$E$4:$E$803,C163,MOVIMIENTOS_COMPLEMENTOS!$G$4:$G$803,E163,MOVIMIENTOS_COMPLEMENTOS!$H$4:$H$803,G163,MOVIMIENTOS_COMPLEMENTOS!$B$4:$B$803,"SALIDA"),0)</f>
        <v>0</v>
      </c>
      <c r="I163" s="102">
        <f t="array" ref="I163">IFERROR(INDEX(PRECIOS_COMPLEMENTOS!$C$4:$F$17,MATCH(B163&amp;"_"&amp;C163,PRECIOS_COMPLEMENTOS!$H$4:$H$17,0),IF(OR(G163="S",G163="20cm"),1,IF(OR(G163="M",G163="25cm"),2,IF(OR(G163="L",G163="30cm"),3,IF(OR(G163="XL",G163="35cm"),4,0))))),0)</f>
        <v>0.75</v>
      </c>
      <c r="J163" s="103">
        <f t="shared" si="1"/>
        <v>0</v>
      </c>
      <c r="K163" s="104" t="str">
        <f>IF(H163&lt;0,"ERROR",IF(H163=0,"",IF(H163&lt;CONFIG!$B$4,"CRÍTICO",IF(H163&lt;CONFIG!$B$5,"BAJO","OK"))))</f>
        <v/>
      </c>
    </row>
    <row r="164" ht="15.75" hidden="1" customHeight="1">
      <c r="A164" s="90" t="str">
        <f>IF(CLIENTES!A8="","",CLIENTES!A8)</f>
        <v/>
      </c>
      <c r="B164" s="90" t="s">
        <v>321</v>
      </c>
      <c r="C164" s="91" t="s">
        <v>322</v>
      </c>
      <c r="D164" s="109" t="s">
        <v>353</v>
      </c>
      <c r="E164" s="67" t="str">
        <f>COLORES!A4</f>
        <v>Negro</v>
      </c>
      <c r="F164" s="67" t="str">
        <f>COLORES!B4</f>
        <v>OSCURO</v>
      </c>
      <c r="G164" s="90" t="s">
        <v>376</v>
      </c>
      <c r="H164" s="100">
        <f>IFERROR(SUMIFS(MOVIMIENTOS_COMPLEMENTOS!$I$4:$I$803,MOVIMIENTOS_COMPLEMENTOS!$C$4:$C$803,A164,MOVIMIENTOS_COMPLEMENTOS!$D$4:$D$803,B164,MOVIMIENTOS_COMPLEMENTOS!$E$4:$E$803,C164,MOVIMIENTOS_COMPLEMENTOS!$G$4:$G$803,E164,MOVIMIENTOS_COMPLEMENTOS!$H$4:$H$803,G164,MOVIMIENTOS_COMPLEMENTOS!$B$4:$B$803,"INGRESO")+SUMIFS(MOVIMIENTOS_COMPLEMENTOS!$I$4:$I$803,MOVIMIENTOS_COMPLEMENTOS!$C$4:$C$803,A164,MOVIMIENTOS_COMPLEMENTOS!$D$4:$D$803,B164,MOVIMIENTOS_COMPLEMENTOS!$E$4:$E$803,C164,MOVIMIENTOS_COMPLEMENTOS!$G$4:$G$803,E164,MOVIMIENTOS_COMPLEMENTOS!$H$4:$H$803,G164,MOVIMIENTOS_COMPLEMENTOS!$B$4:$B$803,"DE CORTE")-SUMIFS(MOVIMIENTOS_COMPLEMENTOS!$I$4:$I$803,MOVIMIENTOS_COMPLEMENTOS!$C$4:$C$803,A164,MOVIMIENTOS_COMPLEMENTOS!$D$4:$D$803,B164,MOVIMIENTOS_COMPLEMENTOS!$E$4:$E$803,C164,MOVIMIENTOS_COMPLEMENTOS!$G$4:$G$803,E164,MOVIMIENTOS_COMPLEMENTOS!$H$4:$H$803,G164,MOVIMIENTOS_COMPLEMENTOS!$B$4:$B$803,"SALIDA"),0)</f>
        <v>0</v>
      </c>
      <c r="I164" s="102">
        <f t="array" ref="I164">IFERROR(INDEX(PRECIOS_COMPLEMENTOS!$C$4:$F$17,MATCH(B164&amp;"_"&amp;C164,PRECIOS_COMPLEMENTOS!$H$4:$H$17,0),IF(OR(G164="S",G164="20cm"),1,IF(OR(G164="M",G164="25cm"),2,IF(OR(G164="L",G164="30cm"),3,IF(OR(G164="XL",G164="35cm"),4,0))))),0)</f>
        <v>0.7</v>
      </c>
      <c r="J164" s="103">
        <f t="shared" si="1"/>
        <v>0</v>
      </c>
      <c r="K164" s="104" t="str">
        <f>IF(H164&lt;0,"ERROR",IF(H164=0,"",IF(H164&lt;CONFIG!$B$4,"CRÍTICO",IF(H164&lt;CONFIG!$B$5,"BAJO","OK"))))</f>
        <v/>
      </c>
    </row>
    <row r="165" ht="15.75" hidden="1" customHeight="1">
      <c r="A165" s="90" t="str">
        <f>IF(CLIENTES!A8="","",CLIENTES!A8)</f>
        <v/>
      </c>
      <c r="B165" s="90" t="s">
        <v>321</v>
      </c>
      <c r="C165" s="91" t="s">
        <v>322</v>
      </c>
      <c r="D165" s="109" t="s">
        <v>353</v>
      </c>
      <c r="E165" s="67" t="str">
        <f>COLORES!A4</f>
        <v>Negro</v>
      </c>
      <c r="F165" s="67" t="str">
        <f>COLORES!B4</f>
        <v>OSCURO</v>
      </c>
      <c r="G165" s="90" t="s">
        <v>377</v>
      </c>
      <c r="H165" s="100">
        <f>IFERROR(SUMIFS(MOVIMIENTOS_COMPLEMENTOS!$I$4:$I$803,MOVIMIENTOS_COMPLEMENTOS!$C$4:$C$803,A165,MOVIMIENTOS_COMPLEMENTOS!$D$4:$D$803,B165,MOVIMIENTOS_COMPLEMENTOS!$E$4:$E$803,C165,MOVIMIENTOS_COMPLEMENTOS!$G$4:$G$803,E165,MOVIMIENTOS_COMPLEMENTOS!$H$4:$H$803,G165,MOVIMIENTOS_COMPLEMENTOS!$B$4:$B$803,"INGRESO")+SUMIFS(MOVIMIENTOS_COMPLEMENTOS!$I$4:$I$803,MOVIMIENTOS_COMPLEMENTOS!$C$4:$C$803,A165,MOVIMIENTOS_COMPLEMENTOS!$D$4:$D$803,B165,MOVIMIENTOS_COMPLEMENTOS!$E$4:$E$803,C165,MOVIMIENTOS_COMPLEMENTOS!$G$4:$G$803,E165,MOVIMIENTOS_COMPLEMENTOS!$H$4:$H$803,G165,MOVIMIENTOS_COMPLEMENTOS!$B$4:$B$803,"DE CORTE")-SUMIFS(MOVIMIENTOS_COMPLEMENTOS!$I$4:$I$803,MOVIMIENTOS_COMPLEMENTOS!$C$4:$C$803,A165,MOVIMIENTOS_COMPLEMENTOS!$D$4:$D$803,B165,MOVIMIENTOS_COMPLEMENTOS!$E$4:$E$803,C165,MOVIMIENTOS_COMPLEMENTOS!$G$4:$G$803,E165,MOVIMIENTOS_COMPLEMENTOS!$H$4:$H$803,G165,MOVIMIENTOS_COMPLEMENTOS!$B$4:$B$803,"SALIDA"),0)</f>
        <v>0</v>
      </c>
      <c r="I165" s="102">
        <f t="array" ref="I165">IFERROR(INDEX(PRECIOS_COMPLEMENTOS!$C$4:$F$17,MATCH(B165&amp;"_"&amp;C165,PRECIOS_COMPLEMENTOS!$H$4:$H$17,0),IF(OR(G165="S",G165="20cm"),1,IF(OR(G165="M",G165="25cm"),2,IF(OR(G165="L",G165="30cm"),3,IF(OR(G165="XL",G165="35cm"),4,0))))),0)</f>
        <v>0.75</v>
      </c>
      <c r="J165" s="103">
        <f t="shared" si="1"/>
        <v>0</v>
      </c>
      <c r="K165" s="104" t="str">
        <f>IF(H165&lt;0,"ERROR",IF(H165=0,"",IF(H165&lt;CONFIG!$B$4,"CRÍTICO",IF(H165&lt;CONFIG!$B$5,"BAJO","OK"))))</f>
        <v/>
      </c>
    </row>
    <row r="166" ht="15.75" hidden="1" customHeight="1">
      <c r="A166" s="90" t="str">
        <f>IF(CLIENTES!A8="","",CLIENTES!A8)</f>
        <v/>
      </c>
      <c r="B166" s="90" t="s">
        <v>321</v>
      </c>
      <c r="C166" s="91" t="s">
        <v>322</v>
      </c>
      <c r="D166" s="109" t="s">
        <v>353</v>
      </c>
      <c r="E166" s="67" t="str">
        <f>COLORES!A5</f>
        <v>Perla</v>
      </c>
      <c r="F166" s="67" t="str">
        <f>COLORES!B5</f>
        <v>PPT</v>
      </c>
      <c r="G166" s="90" t="s">
        <v>376</v>
      </c>
      <c r="H166" s="100">
        <f>IFERROR(SUMIFS(MOVIMIENTOS_COMPLEMENTOS!$I$4:$I$803,MOVIMIENTOS_COMPLEMENTOS!$C$4:$C$803,A166,MOVIMIENTOS_COMPLEMENTOS!$D$4:$D$803,B166,MOVIMIENTOS_COMPLEMENTOS!$E$4:$E$803,C166,MOVIMIENTOS_COMPLEMENTOS!$G$4:$G$803,E166,MOVIMIENTOS_COMPLEMENTOS!$H$4:$H$803,G166,MOVIMIENTOS_COMPLEMENTOS!$B$4:$B$803,"INGRESO")+SUMIFS(MOVIMIENTOS_COMPLEMENTOS!$I$4:$I$803,MOVIMIENTOS_COMPLEMENTOS!$C$4:$C$803,A166,MOVIMIENTOS_COMPLEMENTOS!$D$4:$D$803,B166,MOVIMIENTOS_COMPLEMENTOS!$E$4:$E$803,C166,MOVIMIENTOS_COMPLEMENTOS!$G$4:$G$803,E166,MOVIMIENTOS_COMPLEMENTOS!$H$4:$H$803,G166,MOVIMIENTOS_COMPLEMENTOS!$B$4:$B$803,"DE CORTE")-SUMIFS(MOVIMIENTOS_COMPLEMENTOS!$I$4:$I$803,MOVIMIENTOS_COMPLEMENTOS!$C$4:$C$803,A166,MOVIMIENTOS_COMPLEMENTOS!$D$4:$D$803,B166,MOVIMIENTOS_COMPLEMENTOS!$E$4:$E$803,C166,MOVIMIENTOS_COMPLEMENTOS!$G$4:$G$803,E166,MOVIMIENTOS_COMPLEMENTOS!$H$4:$H$803,G166,MOVIMIENTOS_COMPLEMENTOS!$B$4:$B$803,"SALIDA"),0)</f>
        <v>0</v>
      </c>
      <c r="I166" s="102">
        <f t="array" ref="I166">IFERROR(INDEX(PRECIOS_COMPLEMENTOS!$C$4:$F$17,MATCH(B166&amp;"_"&amp;C166,PRECIOS_COMPLEMENTOS!$H$4:$H$17,0),IF(OR(G166="S",G166="20cm"),1,IF(OR(G166="M",G166="25cm"),2,IF(OR(G166="L",G166="30cm"),3,IF(OR(G166="XL",G166="35cm"),4,0))))),0)</f>
        <v>0.7</v>
      </c>
      <c r="J166" s="103">
        <f t="shared" si="1"/>
        <v>0</v>
      </c>
      <c r="K166" s="104" t="str">
        <f>IF(H166&lt;0,"ERROR",IF(H166=0,"",IF(H166&lt;CONFIG!$B$4,"CRÍTICO",IF(H166&lt;CONFIG!$B$5,"BAJO","OK"))))</f>
        <v/>
      </c>
    </row>
    <row r="167" ht="15.75" hidden="1" customHeight="1">
      <c r="A167" s="90" t="str">
        <f>IF(CLIENTES!A8="","",CLIENTES!A8)</f>
        <v/>
      </c>
      <c r="B167" s="90" t="s">
        <v>321</v>
      </c>
      <c r="C167" s="91" t="s">
        <v>322</v>
      </c>
      <c r="D167" s="109" t="s">
        <v>353</v>
      </c>
      <c r="E167" s="67" t="str">
        <f>COLORES!A5</f>
        <v>Perla</v>
      </c>
      <c r="F167" s="67" t="str">
        <f>COLORES!B5</f>
        <v>PPT</v>
      </c>
      <c r="G167" s="90" t="s">
        <v>377</v>
      </c>
      <c r="H167" s="100">
        <f>IFERROR(SUMIFS(MOVIMIENTOS_COMPLEMENTOS!$I$4:$I$803,MOVIMIENTOS_COMPLEMENTOS!$C$4:$C$803,A167,MOVIMIENTOS_COMPLEMENTOS!$D$4:$D$803,B167,MOVIMIENTOS_COMPLEMENTOS!$E$4:$E$803,C167,MOVIMIENTOS_COMPLEMENTOS!$G$4:$G$803,E167,MOVIMIENTOS_COMPLEMENTOS!$H$4:$H$803,G167,MOVIMIENTOS_COMPLEMENTOS!$B$4:$B$803,"INGRESO")+SUMIFS(MOVIMIENTOS_COMPLEMENTOS!$I$4:$I$803,MOVIMIENTOS_COMPLEMENTOS!$C$4:$C$803,A167,MOVIMIENTOS_COMPLEMENTOS!$D$4:$D$803,B167,MOVIMIENTOS_COMPLEMENTOS!$E$4:$E$803,C167,MOVIMIENTOS_COMPLEMENTOS!$G$4:$G$803,E167,MOVIMIENTOS_COMPLEMENTOS!$H$4:$H$803,G167,MOVIMIENTOS_COMPLEMENTOS!$B$4:$B$803,"DE CORTE")-SUMIFS(MOVIMIENTOS_COMPLEMENTOS!$I$4:$I$803,MOVIMIENTOS_COMPLEMENTOS!$C$4:$C$803,A167,MOVIMIENTOS_COMPLEMENTOS!$D$4:$D$803,B167,MOVIMIENTOS_COMPLEMENTOS!$E$4:$E$803,C167,MOVIMIENTOS_COMPLEMENTOS!$G$4:$G$803,E167,MOVIMIENTOS_COMPLEMENTOS!$H$4:$H$803,G167,MOVIMIENTOS_COMPLEMENTOS!$B$4:$B$803,"SALIDA"),0)</f>
        <v>0</v>
      </c>
      <c r="I167" s="102">
        <f t="array" ref="I167">IFERROR(INDEX(PRECIOS_COMPLEMENTOS!$C$4:$F$17,MATCH(B167&amp;"_"&amp;C167,PRECIOS_COMPLEMENTOS!$H$4:$H$17,0),IF(OR(G167="S",G167="20cm"),1,IF(OR(G167="M",G167="25cm"),2,IF(OR(G167="L",G167="30cm"),3,IF(OR(G167="XL",G167="35cm"),4,0))))),0)</f>
        <v>0.75</v>
      </c>
      <c r="J167" s="103">
        <f t="shared" si="1"/>
        <v>0</v>
      </c>
      <c r="K167" s="104" t="str">
        <f>IF(H167&lt;0,"ERROR",IF(H167=0,"",IF(H167&lt;CONFIG!$B$4,"CRÍTICO",IF(H167&lt;CONFIG!$B$5,"BAJO","OK"))))</f>
        <v/>
      </c>
    </row>
    <row r="168" ht="15.75" hidden="1" customHeight="1">
      <c r="A168" s="90" t="str">
        <f>IF(CLIENTES!A8="","",CLIENTES!A8)</f>
        <v/>
      </c>
      <c r="B168" s="90" t="s">
        <v>321</v>
      </c>
      <c r="C168" s="91" t="s">
        <v>322</v>
      </c>
      <c r="D168" s="109" t="s">
        <v>353</v>
      </c>
      <c r="E168" s="67" t="str">
        <f>COLORES!A6</f>
        <v>Blanco</v>
      </c>
      <c r="F168" s="67" t="str">
        <f>COLORES!B6</f>
        <v>PPT</v>
      </c>
      <c r="G168" s="90" t="s">
        <v>376</v>
      </c>
      <c r="H168" s="100">
        <f>IFERROR(SUMIFS(MOVIMIENTOS_COMPLEMENTOS!$I$4:$I$803,MOVIMIENTOS_COMPLEMENTOS!$C$4:$C$803,A168,MOVIMIENTOS_COMPLEMENTOS!$D$4:$D$803,B168,MOVIMIENTOS_COMPLEMENTOS!$E$4:$E$803,C168,MOVIMIENTOS_COMPLEMENTOS!$G$4:$G$803,E168,MOVIMIENTOS_COMPLEMENTOS!$H$4:$H$803,G168,MOVIMIENTOS_COMPLEMENTOS!$B$4:$B$803,"INGRESO")+SUMIFS(MOVIMIENTOS_COMPLEMENTOS!$I$4:$I$803,MOVIMIENTOS_COMPLEMENTOS!$C$4:$C$803,A168,MOVIMIENTOS_COMPLEMENTOS!$D$4:$D$803,B168,MOVIMIENTOS_COMPLEMENTOS!$E$4:$E$803,C168,MOVIMIENTOS_COMPLEMENTOS!$G$4:$G$803,E168,MOVIMIENTOS_COMPLEMENTOS!$H$4:$H$803,G168,MOVIMIENTOS_COMPLEMENTOS!$B$4:$B$803,"DE CORTE")-SUMIFS(MOVIMIENTOS_COMPLEMENTOS!$I$4:$I$803,MOVIMIENTOS_COMPLEMENTOS!$C$4:$C$803,A168,MOVIMIENTOS_COMPLEMENTOS!$D$4:$D$803,B168,MOVIMIENTOS_COMPLEMENTOS!$E$4:$E$803,C168,MOVIMIENTOS_COMPLEMENTOS!$G$4:$G$803,E168,MOVIMIENTOS_COMPLEMENTOS!$H$4:$H$803,G168,MOVIMIENTOS_COMPLEMENTOS!$B$4:$B$803,"SALIDA"),0)</f>
        <v>0</v>
      </c>
      <c r="I168" s="102">
        <f t="array" ref="I168">IFERROR(INDEX(PRECIOS_COMPLEMENTOS!$C$4:$F$17,MATCH(B168&amp;"_"&amp;C168,PRECIOS_COMPLEMENTOS!$H$4:$H$17,0),IF(OR(G168="S",G168="20cm"),1,IF(OR(G168="M",G168="25cm"),2,IF(OR(G168="L",G168="30cm"),3,IF(OR(G168="XL",G168="35cm"),4,0))))),0)</f>
        <v>0.7</v>
      </c>
      <c r="J168" s="103">
        <f t="shared" si="1"/>
        <v>0</v>
      </c>
      <c r="K168" s="104" t="str">
        <f>IF(H168&lt;0,"ERROR",IF(H168=0,"",IF(H168&lt;CONFIG!$B$4,"CRÍTICO",IF(H168&lt;CONFIG!$B$5,"BAJO","OK"))))</f>
        <v/>
      </c>
    </row>
    <row r="169" ht="15.75" hidden="1" customHeight="1">
      <c r="A169" s="90" t="str">
        <f>IF(CLIENTES!A8="","",CLIENTES!A8)</f>
        <v/>
      </c>
      <c r="B169" s="90" t="s">
        <v>321</v>
      </c>
      <c r="C169" s="91" t="s">
        <v>322</v>
      </c>
      <c r="D169" s="109" t="s">
        <v>353</v>
      </c>
      <c r="E169" s="67" t="str">
        <f>COLORES!A6</f>
        <v>Blanco</v>
      </c>
      <c r="F169" s="67" t="str">
        <f>COLORES!B6</f>
        <v>PPT</v>
      </c>
      <c r="G169" s="90" t="s">
        <v>377</v>
      </c>
      <c r="H169" s="100">
        <f>IFERROR(SUMIFS(MOVIMIENTOS_COMPLEMENTOS!$I$4:$I$803,MOVIMIENTOS_COMPLEMENTOS!$C$4:$C$803,A169,MOVIMIENTOS_COMPLEMENTOS!$D$4:$D$803,B169,MOVIMIENTOS_COMPLEMENTOS!$E$4:$E$803,C169,MOVIMIENTOS_COMPLEMENTOS!$G$4:$G$803,E169,MOVIMIENTOS_COMPLEMENTOS!$H$4:$H$803,G169,MOVIMIENTOS_COMPLEMENTOS!$B$4:$B$803,"INGRESO")+SUMIFS(MOVIMIENTOS_COMPLEMENTOS!$I$4:$I$803,MOVIMIENTOS_COMPLEMENTOS!$C$4:$C$803,A169,MOVIMIENTOS_COMPLEMENTOS!$D$4:$D$803,B169,MOVIMIENTOS_COMPLEMENTOS!$E$4:$E$803,C169,MOVIMIENTOS_COMPLEMENTOS!$G$4:$G$803,E169,MOVIMIENTOS_COMPLEMENTOS!$H$4:$H$803,G169,MOVIMIENTOS_COMPLEMENTOS!$B$4:$B$803,"DE CORTE")-SUMIFS(MOVIMIENTOS_COMPLEMENTOS!$I$4:$I$803,MOVIMIENTOS_COMPLEMENTOS!$C$4:$C$803,A169,MOVIMIENTOS_COMPLEMENTOS!$D$4:$D$803,B169,MOVIMIENTOS_COMPLEMENTOS!$E$4:$E$803,C169,MOVIMIENTOS_COMPLEMENTOS!$G$4:$G$803,E169,MOVIMIENTOS_COMPLEMENTOS!$H$4:$H$803,G169,MOVIMIENTOS_COMPLEMENTOS!$B$4:$B$803,"SALIDA"),0)</f>
        <v>0</v>
      </c>
      <c r="I169" s="102">
        <f t="array" ref="I169">IFERROR(INDEX(PRECIOS_COMPLEMENTOS!$C$4:$F$17,MATCH(B169&amp;"_"&amp;C169,PRECIOS_COMPLEMENTOS!$H$4:$H$17,0),IF(OR(G169="S",G169="20cm"),1,IF(OR(G169="M",G169="25cm"),2,IF(OR(G169="L",G169="30cm"),3,IF(OR(G169="XL",G169="35cm"),4,0))))),0)</f>
        <v>0.75</v>
      </c>
      <c r="J169" s="103">
        <f t="shared" si="1"/>
        <v>0</v>
      </c>
      <c r="K169" s="104" t="str">
        <f>IF(H169&lt;0,"ERROR",IF(H169=0,"",IF(H169&lt;CONFIG!$B$4,"CRÍTICO",IF(H169&lt;CONFIG!$B$5,"BAJO","OK"))))</f>
        <v/>
      </c>
    </row>
    <row r="170" ht="15.75" hidden="1" customHeight="1">
      <c r="A170" s="90" t="str">
        <f>IF(CLIENTES!A8="","",CLIENTES!A8)</f>
        <v/>
      </c>
      <c r="B170" s="90" t="s">
        <v>321</v>
      </c>
      <c r="C170" s="91" t="s">
        <v>322</v>
      </c>
      <c r="D170" s="109" t="s">
        <v>353</v>
      </c>
      <c r="E170" s="67" t="str">
        <f>COLORES!A7</f>
        <v>Azul</v>
      </c>
      <c r="F170" s="67" t="str">
        <f>COLORES!B7</f>
        <v>OSCURO</v>
      </c>
      <c r="G170" s="90" t="s">
        <v>376</v>
      </c>
      <c r="H170" s="100">
        <f>IFERROR(SUMIFS(MOVIMIENTOS_COMPLEMENTOS!$I$4:$I$803,MOVIMIENTOS_COMPLEMENTOS!$C$4:$C$803,A170,MOVIMIENTOS_COMPLEMENTOS!$D$4:$D$803,B170,MOVIMIENTOS_COMPLEMENTOS!$E$4:$E$803,C170,MOVIMIENTOS_COMPLEMENTOS!$G$4:$G$803,E170,MOVIMIENTOS_COMPLEMENTOS!$H$4:$H$803,G170,MOVIMIENTOS_COMPLEMENTOS!$B$4:$B$803,"INGRESO")+SUMIFS(MOVIMIENTOS_COMPLEMENTOS!$I$4:$I$803,MOVIMIENTOS_COMPLEMENTOS!$C$4:$C$803,A170,MOVIMIENTOS_COMPLEMENTOS!$D$4:$D$803,B170,MOVIMIENTOS_COMPLEMENTOS!$E$4:$E$803,C170,MOVIMIENTOS_COMPLEMENTOS!$G$4:$G$803,E170,MOVIMIENTOS_COMPLEMENTOS!$H$4:$H$803,G170,MOVIMIENTOS_COMPLEMENTOS!$B$4:$B$803,"DE CORTE")-SUMIFS(MOVIMIENTOS_COMPLEMENTOS!$I$4:$I$803,MOVIMIENTOS_COMPLEMENTOS!$C$4:$C$803,A170,MOVIMIENTOS_COMPLEMENTOS!$D$4:$D$803,B170,MOVIMIENTOS_COMPLEMENTOS!$E$4:$E$803,C170,MOVIMIENTOS_COMPLEMENTOS!$G$4:$G$803,E170,MOVIMIENTOS_COMPLEMENTOS!$H$4:$H$803,G170,MOVIMIENTOS_COMPLEMENTOS!$B$4:$B$803,"SALIDA"),0)</f>
        <v>0</v>
      </c>
      <c r="I170" s="102">
        <f t="array" ref="I170">IFERROR(INDEX(PRECIOS_COMPLEMENTOS!$C$4:$F$17,MATCH(B170&amp;"_"&amp;C170,PRECIOS_COMPLEMENTOS!$H$4:$H$17,0),IF(OR(G170="S",G170="20cm"),1,IF(OR(G170="M",G170="25cm"),2,IF(OR(G170="L",G170="30cm"),3,IF(OR(G170="XL",G170="35cm"),4,0))))),0)</f>
        <v>0.7</v>
      </c>
      <c r="J170" s="103">
        <f t="shared" si="1"/>
        <v>0</v>
      </c>
      <c r="K170" s="104" t="str">
        <f>IF(H170&lt;0,"ERROR",IF(H170=0,"",IF(H170&lt;CONFIG!$B$4,"CRÍTICO",IF(H170&lt;CONFIG!$B$5,"BAJO","OK"))))</f>
        <v/>
      </c>
    </row>
    <row r="171" ht="15.75" hidden="1" customHeight="1">
      <c r="A171" s="90" t="str">
        <f>IF(CLIENTES!A8="","",CLIENTES!A8)</f>
        <v/>
      </c>
      <c r="B171" s="90" t="s">
        <v>321</v>
      </c>
      <c r="C171" s="91" t="s">
        <v>322</v>
      </c>
      <c r="D171" s="109" t="s">
        <v>353</v>
      </c>
      <c r="E171" s="67" t="str">
        <f>COLORES!A7</f>
        <v>Azul</v>
      </c>
      <c r="F171" s="67" t="str">
        <f>COLORES!B7</f>
        <v>OSCURO</v>
      </c>
      <c r="G171" s="90" t="s">
        <v>377</v>
      </c>
      <c r="H171" s="100">
        <f>IFERROR(SUMIFS(MOVIMIENTOS_COMPLEMENTOS!$I$4:$I$803,MOVIMIENTOS_COMPLEMENTOS!$C$4:$C$803,A171,MOVIMIENTOS_COMPLEMENTOS!$D$4:$D$803,B171,MOVIMIENTOS_COMPLEMENTOS!$E$4:$E$803,C171,MOVIMIENTOS_COMPLEMENTOS!$G$4:$G$803,E171,MOVIMIENTOS_COMPLEMENTOS!$H$4:$H$803,G171,MOVIMIENTOS_COMPLEMENTOS!$B$4:$B$803,"INGRESO")+SUMIFS(MOVIMIENTOS_COMPLEMENTOS!$I$4:$I$803,MOVIMIENTOS_COMPLEMENTOS!$C$4:$C$803,A171,MOVIMIENTOS_COMPLEMENTOS!$D$4:$D$803,B171,MOVIMIENTOS_COMPLEMENTOS!$E$4:$E$803,C171,MOVIMIENTOS_COMPLEMENTOS!$G$4:$G$803,E171,MOVIMIENTOS_COMPLEMENTOS!$H$4:$H$803,G171,MOVIMIENTOS_COMPLEMENTOS!$B$4:$B$803,"DE CORTE")-SUMIFS(MOVIMIENTOS_COMPLEMENTOS!$I$4:$I$803,MOVIMIENTOS_COMPLEMENTOS!$C$4:$C$803,A171,MOVIMIENTOS_COMPLEMENTOS!$D$4:$D$803,B171,MOVIMIENTOS_COMPLEMENTOS!$E$4:$E$803,C171,MOVIMIENTOS_COMPLEMENTOS!$G$4:$G$803,E171,MOVIMIENTOS_COMPLEMENTOS!$H$4:$H$803,G171,MOVIMIENTOS_COMPLEMENTOS!$B$4:$B$803,"SALIDA"),0)</f>
        <v>0</v>
      </c>
      <c r="I171" s="102">
        <f t="array" ref="I171">IFERROR(INDEX(PRECIOS_COMPLEMENTOS!$C$4:$F$17,MATCH(B171&amp;"_"&amp;C171,PRECIOS_COMPLEMENTOS!$H$4:$H$17,0),IF(OR(G171="S",G171="20cm"),1,IF(OR(G171="M",G171="25cm"),2,IF(OR(G171="L",G171="30cm"),3,IF(OR(G171="XL",G171="35cm"),4,0))))),0)</f>
        <v>0.75</v>
      </c>
      <c r="J171" s="103">
        <f t="shared" si="1"/>
        <v>0</v>
      </c>
      <c r="K171" s="104" t="str">
        <f>IF(H171&lt;0,"ERROR",IF(H171=0,"",IF(H171&lt;CONFIG!$B$4,"CRÍTICO",IF(H171&lt;CONFIG!$B$5,"BAJO","OK"))))</f>
        <v/>
      </c>
    </row>
    <row r="172" ht="15.75" hidden="1" customHeight="1">
      <c r="A172" s="90" t="str">
        <f>IF(CLIENTES!A8="","",CLIENTES!A8)</f>
        <v/>
      </c>
      <c r="B172" s="90" t="s">
        <v>321</v>
      </c>
      <c r="C172" s="91" t="s">
        <v>322</v>
      </c>
      <c r="D172" s="109" t="s">
        <v>353</v>
      </c>
      <c r="E172" s="67" t="str">
        <f>COLORES!A8</f>
        <v>Beige</v>
      </c>
      <c r="F172" s="67" t="str">
        <f>COLORES!B8</f>
        <v>CLARO</v>
      </c>
      <c r="G172" s="90" t="s">
        <v>376</v>
      </c>
      <c r="H172" s="100">
        <f>IFERROR(SUMIFS(MOVIMIENTOS_COMPLEMENTOS!$I$4:$I$803,MOVIMIENTOS_COMPLEMENTOS!$C$4:$C$803,A172,MOVIMIENTOS_COMPLEMENTOS!$D$4:$D$803,B172,MOVIMIENTOS_COMPLEMENTOS!$E$4:$E$803,C172,MOVIMIENTOS_COMPLEMENTOS!$G$4:$G$803,E172,MOVIMIENTOS_COMPLEMENTOS!$H$4:$H$803,G172,MOVIMIENTOS_COMPLEMENTOS!$B$4:$B$803,"INGRESO")+SUMIFS(MOVIMIENTOS_COMPLEMENTOS!$I$4:$I$803,MOVIMIENTOS_COMPLEMENTOS!$C$4:$C$803,A172,MOVIMIENTOS_COMPLEMENTOS!$D$4:$D$803,B172,MOVIMIENTOS_COMPLEMENTOS!$E$4:$E$803,C172,MOVIMIENTOS_COMPLEMENTOS!$G$4:$G$803,E172,MOVIMIENTOS_COMPLEMENTOS!$H$4:$H$803,G172,MOVIMIENTOS_COMPLEMENTOS!$B$4:$B$803,"DE CORTE")-SUMIFS(MOVIMIENTOS_COMPLEMENTOS!$I$4:$I$803,MOVIMIENTOS_COMPLEMENTOS!$C$4:$C$803,A172,MOVIMIENTOS_COMPLEMENTOS!$D$4:$D$803,B172,MOVIMIENTOS_COMPLEMENTOS!$E$4:$E$803,C172,MOVIMIENTOS_COMPLEMENTOS!$G$4:$G$803,E172,MOVIMIENTOS_COMPLEMENTOS!$H$4:$H$803,G172,MOVIMIENTOS_COMPLEMENTOS!$B$4:$B$803,"SALIDA"),0)</f>
        <v>0</v>
      </c>
      <c r="I172" s="102">
        <f t="array" ref="I172">IFERROR(INDEX(PRECIOS_COMPLEMENTOS!$C$4:$F$17,MATCH(B172&amp;"_"&amp;C172,PRECIOS_COMPLEMENTOS!$H$4:$H$17,0),IF(OR(G172="S",G172="20cm"),1,IF(OR(G172="M",G172="25cm"),2,IF(OR(G172="L",G172="30cm"),3,IF(OR(G172="XL",G172="35cm"),4,0))))),0)</f>
        <v>0.7</v>
      </c>
      <c r="J172" s="103">
        <f t="shared" si="1"/>
        <v>0</v>
      </c>
      <c r="K172" s="104" t="str">
        <f>IF(H172&lt;0,"ERROR",IF(H172=0,"",IF(H172&lt;CONFIG!$B$4,"CRÍTICO",IF(H172&lt;CONFIG!$B$5,"BAJO","OK"))))</f>
        <v/>
      </c>
    </row>
    <row r="173" ht="15.75" hidden="1" customHeight="1">
      <c r="A173" s="90" t="str">
        <f>IF(CLIENTES!A8="","",CLIENTES!A8)</f>
        <v/>
      </c>
      <c r="B173" s="90" t="s">
        <v>321</v>
      </c>
      <c r="C173" s="91" t="s">
        <v>322</v>
      </c>
      <c r="D173" s="109" t="s">
        <v>353</v>
      </c>
      <c r="E173" s="67" t="str">
        <f>COLORES!A8</f>
        <v>Beige</v>
      </c>
      <c r="F173" s="67" t="str">
        <f>COLORES!B8</f>
        <v>CLARO</v>
      </c>
      <c r="G173" s="90" t="s">
        <v>377</v>
      </c>
      <c r="H173" s="100">
        <f>IFERROR(SUMIFS(MOVIMIENTOS_COMPLEMENTOS!$I$4:$I$803,MOVIMIENTOS_COMPLEMENTOS!$C$4:$C$803,A173,MOVIMIENTOS_COMPLEMENTOS!$D$4:$D$803,B173,MOVIMIENTOS_COMPLEMENTOS!$E$4:$E$803,C173,MOVIMIENTOS_COMPLEMENTOS!$G$4:$G$803,E173,MOVIMIENTOS_COMPLEMENTOS!$H$4:$H$803,G173,MOVIMIENTOS_COMPLEMENTOS!$B$4:$B$803,"INGRESO")+SUMIFS(MOVIMIENTOS_COMPLEMENTOS!$I$4:$I$803,MOVIMIENTOS_COMPLEMENTOS!$C$4:$C$803,A173,MOVIMIENTOS_COMPLEMENTOS!$D$4:$D$803,B173,MOVIMIENTOS_COMPLEMENTOS!$E$4:$E$803,C173,MOVIMIENTOS_COMPLEMENTOS!$G$4:$G$803,E173,MOVIMIENTOS_COMPLEMENTOS!$H$4:$H$803,G173,MOVIMIENTOS_COMPLEMENTOS!$B$4:$B$803,"DE CORTE")-SUMIFS(MOVIMIENTOS_COMPLEMENTOS!$I$4:$I$803,MOVIMIENTOS_COMPLEMENTOS!$C$4:$C$803,A173,MOVIMIENTOS_COMPLEMENTOS!$D$4:$D$803,B173,MOVIMIENTOS_COMPLEMENTOS!$E$4:$E$803,C173,MOVIMIENTOS_COMPLEMENTOS!$G$4:$G$803,E173,MOVIMIENTOS_COMPLEMENTOS!$H$4:$H$803,G173,MOVIMIENTOS_COMPLEMENTOS!$B$4:$B$803,"SALIDA"),0)</f>
        <v>0</v>
      </c>
      <c r="I173" s="102">
        <f t="array" ref="I173">IFERROR(INDEX(PRECIOS_COMPLEMENTOS!$C$4:$F$17,MATCH(B173&amp;"_"&amp;C173,PRECIOS_COMPLEMENTOS!$H$4:$H$17,0),IF(OR(G173="S",G173="20cm"),1,IF(OR(G173="M",G173="25cm"),2,IF(OR(G173="L",G173="30cm"),3,IF(OR(G173="XL",G173="35cm"),4,0))))),0)</f>
        <v>0.75</v>
      </c>
      <c r="J173" s="103">
        <f t="shared" si="1"/>
        <v>0</v>
      </c>
      <c r="K173" s="104" t="str">
        <f>IF(H173&lt;0,"ERROR",IF(H173=0,"",IF(H173&lt;CONFIG!$B$4,"CRÍTICO",IF(H173&lt;CONFIG!$B$5,"BAJO","OK"))))</f>
        <v/>
      </c>
    </row>
    <row r="174" ht="15.75" hidden="1" customHeight="1">
      <c r="A174" s="90" t="str">
        <f>IF(CLIENTES!A8="","",CLIENTES!A8)</f>
        <v/>
      </c>
      <c r="B174" s="90" t="s">
        <v>321</v>
      </c>
      <c r="C174" s="91" t="s">
        <v>322</v>
      </c>
      <c r="D174" s="109" t="s">
        <v>353</v>
      </c>
      <c r="E174" s="67" t="str">
        <f>COLORES!A9</f>
        <v>Melange</v>
      </c>
      <c r="F174" s="67" t="str">
        <f>COLORES!B9</f>
        <v>MELANGE</v>
      </c>
      <c r="G174" s="90" t="s">
        <v>376</v>
      </c>
      <c r="H174" s="100">
        <f>IFERROR(SUMIFS(MOVIMIENTOS_COMPLEMENTOS!$I$4:$I$803,MOVIMIENTOS_COMPLEMENTOS!$C$4:$C$803,A174,MOVIMIENTOS_COMPLEMENTOS!$D$4:$D$803,B174,MOVIMIENTOS_COMPLEMENTOS!$E$4:$E$803,C174,MOVIMIENTOS_COMPLEMENTOS!$G$4:$G$803,E174,MOVIMIENTOS_COMPLEMENTOS!$H$4:$H$803,G174,MOVIMIENTOS_COMPLEMENTOS!$B$4:$B$803,"INGRESO")+SUMIFS(MOVIMIENTOS_COMPLEMENTOS!$I$4:$I$803,MOVIMIENTOS_COMPLEMENTOS!$C$4:$C$803,A174,MOVIMIENTOS_COMPLEMENTOS!$D$4:$D$803,B174,MOVIMIENTOS_COMPLEMENTOS!$E$4:$E$803,C174,MOVIMIENTOS_COMPLEMENTOS!$G$4:$G$803,E174,MOVIMIENTOS_COMPLEMENTOS!$H$4:$H$803,G174,MOVIMIENTOS_COMPLEMENTOS!$B$4:$B$803,"DE CORTE")-SUMIFS(MOVIMIENTOS_COMPLEMENTOS!$I$4:$I$803,MOVIMIENTOS_COMPLEMENTOS!$C$4:$C$803,A174,MOVIMIENTOS_COMPLEMENTOS!$D$4:$D$803,B174,MOVIMIENTOS_COMPLEMENTOS!$E$4:$E$803,C174,MOVIMIENTOS_COMPLEMENTOS!$G$4:$G$803,E174,MOVIMIENTOS_COMPLEMENTOS!$H$4:$H$803,G174,MOVIMIENTOS_COMPLEMENTOS!$B$4:$B$803,"SALIDA"),0)</f>
        <v>0</v>
      </c>
      <c r="I174" s="102">
        <f t="array" ref="I174">IFERROR(INDEX(PRECIOS_COMPLEMENTOS!$C$4:$F$17,MATCH(B174&amp;"_"&amp;C174,PRECIOS_COMPLEMENTOS!$H$4:$H$17,0),IF(OR(G174="S",G174="20cm"),1,IF(OR(G174="M",G174="25cm"),2,IF(OR(G174="L",G174="30cm"),3,IF(OR(G174="XL",G174="35cm"),4,0))))),0)</f>
        <v>0.7</v>
      </c>
      <c r="J174" s="103">
        <f t="shared" si="1"/>
        <v>0</v>
      </c>
      <c r="K174" s="104" t="str">
        <f>IF(H174&lt;0,"ERROR",IF(H174=0,"",IF(H174&lt;CONFIG!$B$4,"CRÍTICO",IF(H174&lt;CONFIG!$B$5,"BAJO","OK"))))</f>
        <v/>
      </c>
    </row>
    <row r="175" ht="15.75" hidden="1" customHeight="1">
      <c r="A175" s="90" t="str">
        <f>IF(CLIENTES!A8="","",CLIENTES!A8)</f>
        <v/>
      </c>
      <c r="B175" s="90" t="s">
        <v>321</v>
      </c>
      <c r="C175" s="91" t="s">
        <v>322</v>
      </c>
      <c r="D175" s="109" t="s">
        <v>353</v>
      </c>
      <c r="E175" s="67" t="str">
        <f>COLORES!A9</f>
        <v>Melange</v>
      </c>
      <c r="F175" s="67" t="str">
        <f>COLORES!B9</f>
        <v>MELANGE</v>
      </c>
      <c r="G175" s="90" t="s">
        <v>377</v>
      </c>
      <c r="H175" s="100">
        <f>IFERROR(SUMIFS(MOVIMIENTOS_COMPLEMENTOS!$I$4:$I$803,MOVIMIENTOS_COMPLEMENTOS!$C$4:$C$803,A175,MOVIMIENTOS_COMPLEMENTOS!$D$4:$D$803,B175,MOVIMIENTOS_COMPLEMENTOS!$E$4:$E$803,C175,MOVIMIENTOS_COMPLEMENTOS!$G$4:$G$803,E175,MOVIMIENTOS_COMPLEMENTOS!$H$4:$H$803,G175,MOVIMIENTOS_COMPLEMENTOS!$B$4:$B$803,"INGRESO")+SUMIFS(MOVIMIENTOS_COMPLEMENTOS!$I$4:$I$803,MOVIMIENTOS_COMPLEMENTOS!$C$4:$C$803,A175,MOVIMIENTOS_COMPLEMENTOS!$D$4:$D$803,B175,MOVIMIENTOS_COMPLEMENTOS!$E$4:$E$803,C175,MOVIMIENTOS_COMPLEMENTOS!$G$4:$G$803,E175,MOVIMIENTOS_COMPLEMENTOS!$H$4:$H$803,G175,MOVIMIENTOS_COMPLEMENTOS!$B$4:$B$803,"DE CORTE")-SUMIFS(MOVIMIENTOS_COMPLEMENTOS!$I$4:$I$803,MOVIMIENTOS_COMPLEMENTOS!$C$4:$C$803,A175,MOVIMIENTOS_COMPLEMENTOS!$D$4:$D$803,B175,MOVIMIENTOS_COMPLEMENTOS!$E$4:$E$803,C175,MOVIMIENTOS_COMPLEMENTOS!$G$4:$G$803,E175,MOVIMIENTOS_COMPLEMENTOS!$H$4:$H$803,G175,MOVIMIENTOS_COMPLEMENTOS!$B$4:$B$803,"SALIDA"),0)</f>
        <v>0</v>
      </c>
      <c r="I175" s="102">
        <f t="array" ref="I175">IFERROR(INDEX(PRECIOS_COMPLEMENTOS!$C$4:$F$17,MATCH(B175&amp;"_"&amp;C175,PRECIOS_COMPLEMENTOS!$H$4:$H$17,0),IF(OR(G175="S",G175="20cm"),1,IF(OR(G175="M",G175="25cm"),2,IF(OR(G175="L",G175="30cm"),3,IF(OR(G175="XL",G175="35cm"),4,0))))),0)</f>
        <v>0.75</v>
      </c>
      <c r="J175" s="103">
        <f t="shared" si="1"/>
        <v>0</v>
      </c>
      <c r="K175" s="104" t="str">
        <f>IF(H175&lt;0,"ERROR",IF(H175=0,"",IF(H175&lt;CONFIG!$B$4,"CRÍTICO",IF(H175&lt;CONFIG!$B$5,"BAJO","OK"))))</f>
        <v/>
      </c>
    </row>
    <row r="176" ht="15.75" hidden="1" customHeight="1">
      <c r="A176" s="90" t="str">
        <f>IF(CLIENTES!A8="","",CLIENTES!A8)</f>
        <v/>
      </c>
      <c r="B176" s="90" t="s">
        <v>321</v>
      </c>
      <c r="C176" s="91" t="s">
        <v>322</v>
      </c>
      <c r="D176" s="109" t="s">
        <v>353</v>
      </c>
      <c r="E176" s="67" t="str">
        <f>COLORES!A10</f>
        <v>Botella</v>
      </c>
      <c r="F176" s="67" t="str">
        <f>COLORES!B10</f>
        <v>OSCURO</v>
      </c>
      <c r="G176" s="90" t="s">
        <v>376</v>
      </c>
      <c r="H176" s="100">
        <f>IFERROR(SUMIFS(MOVIMIENTOS_COMPLEMENTOS!$I$4:$I$803,MOVIMIENTOS_COMPLEMENTOS!$C$4:$C$803,A176,MOVIMIENTOS_COMPLEMENTOS!$D$4:$D$803,B176,MOVIMIENTOS_COMPLEMENTOS!$E$4:$E$803,C176,MOVIMIENTOS_COMPLEMENTOS!$G$4:$G$803,E176,MOVIMIENTOS_COMPLEMENTOS!$H$4:$H$803,G176,MOVIMIENTOS_COMPLEMENTOS!$B$4:$B$803,"INGRESO")+SUMIFS(MOVIMIENTOS_COMPLEMENTOS!$I$4:$I$803,MOVIMIENTOS_COMPLEMENTOS!$C$4:$C$803,A176,MOVIMIENTOS_COMPLEMENTOS!$D$4:$D$803,B176,MOVIMIENTOS_COMPLEMENTOS!$E$4:$E$803,C176,MOVIMIENTOS_COMPLEMENTOS!$G$4:$G$803,E176,MOVIMIENTOS_COMPLEMENTOS!$H$4:$H$803,G176,MOVIMIENTOS_COMPLEMENTOS!$B$4:$B$803,"DE CORTE")-SUMIFS(MOVIMIENTOS_COMPLEMENTOS!$I$4:$I$803,MOVIMIENTOS_COMPLEMENTOS!$C$4:$C$803,A176,MOVIMIENTOS_COMPLEMENTOS!$D$4:$D$803,B176,MOVIMIENTOS_COMPLEMENTOS!$E$4:$E$803,C176,MOVIMIENTOS_COMPLEMENTOS!$G$4:$G$803,E176,MOVIMIENTOS_COMPLEMENTOS!$H$4:$H$803,G176,MOVIMIENTOS_COMPLEMENTOS!$B$4:$B$803,"SALIDA"),0)</f>
        <v>0</v>
      </c>
      <c r="I176" s="102">
        <f t="array" ref="I176">IFERROR(INDEX(PRECIOS_COMPLEMENTOS!$C$4:$F$17,MATCH(B176&amp;"_"&amp;C176,PRECIOS_COMPLEMENTOS!$H$4:$H$17,0),IF(OR(G176="S",G176="20cm"),1,IF(OR(G176="M",G176="25cm"),2,IF(OR(G176="L",G176="30cm"),3,IF(OR(G176="XL",G176="35cm"),4,0))))),0)</f>
        <v>0.7</v>
      </c>
      <c r="J176" s="103">
        <f t="shared" si="1"/>
        <v>0</v>
      </c>
      <c r="K176" s="104" t="str">
        <f>IF(H176&lt;0,"ERROR",IF(H176=0,"",IF(H176&lt;CONFIG!$B$4,"CRÍTICO",IF(H176&lt;CONFIG!$B$5,"BAJO","OK"))))</f>
        <v/>
      </c>
    </row>
    <row r="177" ht="15.75" hidden="1" customHeight="1">
      <c r="A177" s="90" t="str">
        <f>IF(CLIENTES!A8="","",CLIENTES!A8)</f>
        <v/>
      </c>
      <c r="B177" s="90" t="s">
        <v>321</v>
      </c>
      <c r="C177" s="91" t="s">
        <v>322</v>
      </c>
      <c r="D177" s="109" t="s">
        <v>353</v>
      </c>
      <c r="E177" s="67" t="str">
        <f>COLORES!A10</f>
        <v>Botella</v>
      </c>
      <c r="F177" s="67" t="str">
        <f>COLORES!B10</f>
        <v>OSCURO</v>
      </c>
      <c r="G177" s="90" t="s">
        <v>377</v>
      </c>
      <c r="H177" s="100">
        <f>IFERROR(SUMIFS(MOVIMIENTOS_COMPLEMENTOS!$I$4:$I$803,MOVIMIENTOS_COMPLEMENTOS!$C$4:$C$803,A177,MOVIMIENTOS_COMPLEMENTOS!$D$4:$D$803,B177,MOVIMIENTOS_COMPLEMENTOS!$E$4:$E$803,C177,MOVIMIENTOS_COMPLEMENTOS!$G$4:$G$803,E177,MOVIMIENTOS_COMPLEMENTOS!$H$4:$H$803,G177,MOVIMIENTOS_COMPLEMENTOS!$B$4:$B$803,"INGRESO")+SUMIFS(MOVIMIENTOS_COMPLEMENTOS!$I$4:$I$803,MOVIMIENTOS_COMPLEMENTOS!$C$4:$C$803,A177,MOVIMIENTOS_COMPLEMENTOS!$D$4:$D$803,B177,MOVIMIENTOS_COMPLEMENTOS!$E$4:$E$803,C177,MOVIMIENTOS_COMPLEMENTOS!$G$4:$G$803,E177,MOVIMIENTOS_COMPLEMENTOS!$H$4:$H$803,G177,MOVIMIENTOS_COMPLEMENTOS!$B$4:$B$803,"DE CORTE")-SUMIFS(MOVIMIENTOS_COMPLEMENTOS!$I$4:$I$803,MOVIMIENTOS_COMPLEMENTOS!$C$4:$C$803,A177,MOVIMIENTOS_COMPLEMENTOS!$D$4:$D$803,B177,MOVIMIENTOS_COMPLEMENTOS!$E$4:$E$803,C177,MOVIMIENTOS_COMPLEMENTOS!$G$4:$G$803,E177,MOVIMIENTOS_COMPLEMENTOS!$H$4:$H$803,G177,MOVIMIENTOS_COMPLEMENTOS!$B$4:$B$803,"SALIDA"),0)</f>
        <v>0</v>
      </c>
      <c r="I177" s="102">
        <f t="array" ref="I177">IFERROR(INDEX(PRECIOS_COMPLEMENTOS!$C$4:$F$17,MATCH(B177&amp;"_"&amp;C177,PRECIOS_COMPLEMENTOS!$H$4:$H$17,0),IF(OR(G177="S",G177="20cm"),1,IF(OR(G177="M",G177="25cm"),2,IF(OR(G177="L",G177="30cm"),3,IF(OR(G177="XL",G177="35cm"),4,0))))),0)</f>
        <v>0.75</v>
      </c>
      <c r="J177" s="103">
        <f t="shared" si="1"/>
        <v>0</v>
      </c>
      <c r="K177" s="104" t="str">
        <f>IF(H177&lt;0,"ERROR",IF(H177=0,"",IF(H177&lt;CONFIG!$B$4,"CRÍTICO",IF(H177&lt;CONFIG!$B$5,"BAJO","OK"))))</f>
        <v/>
      </c>
    </row>
    <row r="178" ht="15.75" hidden="1" customHeight="1">
      <c r="A178" s="90" t="str">
        <f>IF(CLIENTES!A8="","",CLIENTES!A8)</f>
        <v/>
      </c>
      <c r="B178" s="90" t="s">
        <v>321</v>
      </c>
      <c r="C178" s="91" t="s">
        <v>322</v>
      </c>
      <c r="D178" s="109" t="s">
        <v>353</v>
      </c>
      <c r="E178" s="67" t="str">
        <f>COLORES!A11</f>
        <v>Pacay</v>
      </c>
      <c r="F178" s="67" t="str">
        <f>COLORES!B11</f>
        <v>CLARO</v>
      </c>
      <c r="G178" s="90" t="s">
        <v>376</v>
      </c>
      <c r="H178" s="100">
        <f>IFERROR(SUMIFS(MOVIMIENTOS_COMPLEMENTOS!$I$4:$I$803,MOVIMIENTOS_COMPLEMENTOS!$C$4:$C$803,A178,MOVIMIENTOS_COMPLEMENTOS!$D$4:$D$803,B178,MOVIMIENTOS_COMPLEMENTOS!$E$4:$E$803,C178,MOVIMIENTOS_COMPLEMENTOS!$G$4:$G$803,E178,MOVIMIENTOS_COMPLEMENTOS!$H$4:$H$803,G178,MOVIMIENTOS_COMPLEMENTOS!$B$4:$B$803,"INGRESO")+SUMIFS(MOVIMIENTOS_COMPLEMENTOS!$I$4:$I$803,MOVIMIENTOS_COMPLEMENTOS!$C$4:$C$803,A178,MOVIMIENTOS_COMPLEMENTOS!$D$4:$D$803,B178,MOVIMIENTOS_COMPLEMENTOS!$E$4:$E$803,C178,MOVIMIENTOS_COMPLEMENTOS!$G$4:$G$803,E178,MOVIMIENTOS_COMPLEMENTOS!$H$4:$H$803,G178,MOVIMIENTOS_COMPLEMENTOS!$B$4:$B$803,"DE CORTE")-SUMIFS(MOVIMIENTOS_COMPLEMENTOS!$I$4:$I$803,MOVIMIENTOS_COMPLEMENTOS!$C$4:$C$803,A178,MOVIMIENTOS_COMPLEMENTOS!$D$4:$D$803,B178,MOVIMIENTOS_COMPLEMENTOS!$E$4:$E$803,C178,MOVIMIENTOS_COMPLEMENTOS!$G$4:$G$803,E178,MOVIMIENTOS_COMPLEMENTOS!$H$4:$H$803,G178,MOVIMIENTOS_COMPLEMENTOS!$B$4:$B$803,"SALIDA"),0)</f>
        <v>0</v>
      </c>
      <c r="I178" s="102">
        <f t="array" ref="I178">IFERROR(INDEX(PRECIOS_COMPLEMENTOS!$C$4:$F$17,MATCH(B178&amp;"_"&amp;C178,PRECIOS_COMPLEMENTOS!$H$4:$H$17,0),IF(OR(G178="S",G178="20cm"),1,IF(OR(G178="M",G178="25cm"),2,IF(OR(G178="L",G178="30cm"),3,IF(OR(G178="XL",G178="35cm"),4,0))))),0)</f>
        <v>0.7</v>
      </c>
      <c r="J178" s="103">
        <f t="shared" si="1"/>
        <v>0</v>
      </c>
      <c r="K178" s="104" t="str">
        <f>IF(H178&lt;0,"ERROR",IF(H178=0,"",IF(H178&lt;CONFIG!$B$4,"CRÍTICO",IF(H178&lt;CONFIG!$B$5,"BAJO","OK"))))</f>
        <v/>
      </c>
    </row>
    <row r="179" ht="15.75" hidden="1" customHeight="1">
      <c r="A179" s="90" t="str">
        <f>IF(CLIENTES!A8="","",CLIENTES!A8)</f>
        <v/>
      </c>
      <c r="B179" s="90" t="s">
        <v>321</v>
      </c>
      <c r="C179" s="91" t="s">
        <v>322</v>
      </c>
      <c r="D179" s="109" t="s">
        <v>353</v>
      </c>
      <c r="E179" s="67" t="str">
        <f>COLORES!A11</f>
        <v>Pacay</v>
      </c>
      <c r="F179" s="67" t="str">
        <f>COLORES!B11</f>
        <v>CLARO</v>
      </c>
      <c r="G179" s="90" t="s">
        <v>377</v>
      </c>
      <c r="H179" s="100">
        <f>IFERROR(SUMIFS(MOVIMIENTOS_COMPLEMENTOS!$I$4:$I$803,MOVIMIENTOS_COMPLEMENTOS!$C$4:$C$803,A179,MOVIMIENTOS_COMPLEMENTOS!$D$4:$D$803,B179,MOVIMIENTOS_COMPLEMENTOS!$E$4:$E$803,C179,MOVIMIENTOS_COMPLEMENTOS!$G$4:$G$803,E179,MOVIMIENTOS_COMPLEMENTOS!$H$4:$H$803,G179,MOVIMIENTOS_COMPLEMENTOS!$B$4:$B$803,"INGRESO")+SUMIFS(MOVIMIENTOS_COMPLEMENTOS!$I$4:$I$803,MOVIMIENTOS_COMPLEMENTOS!$C$4:$C$803,A179,MOVIMIENTOS_COMPLEMENTOS!$D$4:$D$803,B179,MOVIMIENTOS_COMPLEMENTOS!$E$4:$E$803,C179,MOVIMIENTOS_COMPLEMENTOS!$G$4:$G$803,E179,MOVIMIENTOS_COMPLEMENTOS!$H$4:$H$803,G179,MOVIMIENTOS_COMPLEMENTOS!$B$4:$B$803,"DE CORTE")-SUMIFS(MOVIMIENTOS_COMPLEMENTOS!$I$4:$I$803,MOVIMIENTOS_COMPLEMENTOS!$C$4:$C$803,A179,MOVIMIENTOS_COMPLEMENTOS!$D$4:$D$803,B179,MOVIMIENTOS_COMPLEMENTOS!$E$4:$E$803,C179,MOVIMIENTOS_COMPLEMENTOS!$G$4:$G$803,E179,MOVIMIENTOS_COMPLEMENTOS!$H$4:$H$803,G179,MOVIMIENTOS_COMPLEMENTOS!$B$4:$B$803,"SALIDA"),0)</f>
        <v>0</v>
      </c>
      <c r="I179" s="102">
        <f t="array" ref="I179">IFERROR(INDEX(PRECIOS_COMPLEMENTOS!$C$4:$F$17,MATCH(B179&amp;"_"&amp;C179,PRECIOS_COMPLEMENTOS!$H$4:$H$17,0),IF(OR(G179="S",G179="20cm"),1,IF(OR(G179="M",G179="25cm"),2,IF(OR(G179="L",G179="30cm"),3,IF(OR(G179="XL",G179="35cm"),4,0))))),0)</f>
        <v>0.75</v>
      </c>
      <c r="J179" s="103">
        <f t="shared" si="1"/>
        <v>0</v>
      </c>
      <c r="K179" s="104" t="str">
        <f>IF(H179&lt;0,"ERROR",IF(H179=0,"",IF(H179&lt;CONFIG!$B$4,"CRÍTICO",IF(H179&lt;CONFIG!$B$5,"BAJO","OK"))))</f>
        <v/>
      </c>
    </row>
    <row r="180" ht="15.75" hidden="1" customHeight="1">
      <c r="A180" s="90" t="str">
        <f>IF(CLIENTES!A8="","",CLIENTES!A8)</f>
        <v/>
      </c>
      <c r="B180" s="90" t="s">
        <v>321</v>
      </c>
      <c r="C180" s="91" t="s">
        <v>322</v>
      </c>
      <c r="D180" s="109" t="s">
        <v>353</v>
      </c>
      <c r="E180" s="67" t="str">
        <f>COLORES!A12</f>
        <v>Cemento</v>
      </c>
      <c r="F180" s="67" t="str">
        <f>COLORES!B12</f>
        <v>CLARO</v>
      </c>
      <c r="G180" s="90" t="s">
        <v>376</v>
      </c>
      <c r="H180" s="100">
        <f>IFERROR(SUMIFS(MOVIMIENTOS_COMPLEMENTOS!$I$4:$I$803,MOVIMIENTOS_COMPLEMENTOS!$C$4:$C$803,A180,MOVIMIENTOS_COMPLEMENTOS!$D$4:$D$803,B180,MOVIMIENTOS_COMPLEMENTOS!$E$4:$E$803,C180,MOVIMIENTOS_COMPLEMENTOS!$G$4:$G$803,E180,MOVIMIENTOS_COMPLEMENTOS!$H$4:$H$803,G180,MOVIMIENTOS_COMPLEMENTOS!$B$4:$B$803,"INGRESO")+SUMIFS(MOVIMIENTOS_COMPLEMENTOS!$I$4:$I$803,MOVIMIENTOS_COMPLEMENTOS!$C$4:$C$803,A180,MOVIMIENTOS_COMPLEMENTOS!$D$4:$D$803,B180,MOVIMIENTOS_COMPLEMENTOS!$E$4:$E$803,C180,MOVIMIENTOS_COMPLEMENTOS!$G$4:$G$803,E180,MOVIMIENTOS_COMPLEMENTOS!$H$4:$H$803,G180,MOVIMIENTOS_COMPLEMENTOS!$B$4:$B$803,"DE CORTE")-SUMIFS(MOVIMIENTOS_COMPLEMENTOS!$I$4:$I$803,MOVIMIENTOS_COMPLEMENTOS!$C$4:$C$803,A180,MOVIMIENTOS_COMPLEMENTOS!$D$4:$D$803,B180,MOVIMIENTOS_COMPLEMENTOS!$E$4:$E$803,C180,MOVIMIENTOS_COMPLEMENTOS!$G$4:$G$803,E180,MOVIMIENTOS_COMPLEMENTOS!$H$4:$H$803,G180,MOVIMIENTOS_COMPLEMENTOS!$B$4:$B$803,"SALIDA"),0)</f>
        <v>0</v>
      </c>
      <c r="I180" s="102">
        <f t="array" ref="I180">IFERROR(INDEX(PRECIOS_COMPLEMENTOS!$C$4:$F$17,MATCH(B180&amp;"_"&amp;C180,PRECIOS_COMPLEMENTOS!$H$4:$H$17,0),IF(OR(G180="S",G180="20cm"),1,IF(OR(G180="M",G180="25cm"),2,IF(OR(G180="L",G180="30cm"),3,IF(OR(G180="XL",G180="35cm"),4,0))))),0)</f>
        <v>0.7</v>
      </c>
      <c r="J180" s="103">
        <f t="shared" si="1"/>
        <v>0</v>
      </c>
      <c r="K180" s="104" t="str">
        <f>IF(H180&lt;0,"ERROR",IF(H180=0,"",IF(H180&lt;CONFIG!$B$4,"CRÍTICO",IF(H180&lt;CONFIG!$B$5,"BAJO","OK"))))</f>
        <v/>
      </c>
    </row>
    <row r="181" ht="15.75" hidden="1" customHeight="1">
      <c r="A181" s="90" t="str">
        <f>IF(CLIENTES!A8="","",CLIENTES!A8)</f>
        <v/>
      </c>
      <c r="B181" s="90" t="s">
        <v>321</v>
      </c>
      <c r="C181" s="91" t="s">
        <v>322</v>
      </c>
      <c r="D181" s="109" t="s">
        <v>353</v>
      </c>
      <c r="E181" s="67" t="str">
        <f>COLORES!A12</f>
        <v>Cemento</v>
      </c>
      <c r="F181" s="67" t="str">
        <f>COLORES!B12</f>
        <v>CLARO</v>
      </c>
      <c r="G181" s="90" t="s">
        <v>377</v>
      </c>
      <c r="H181" s="100">
        <f>IFERROR(SUMIFS(MOVIMIENTOS_COMPLEMENTOS!$I$4:$I$803,MOVIMIENTOS_COMPLEMENTOS!$C$4:$C$803,A181,MOVIMIENTOS_COMPLEMENTOS!$D$4:$D$803,B181,MOVIMIENTOS_COMPLEMENTOS!$E$4:$E$803,C181,MOVIMIENTOS_COMPLEMENTOS!$G$4:$G$803,E181,MOVIMIENTOS_COMPLEMENTOS!$H$4:$H$803,G181,MOVIMIENTOS_COMPLEMENTOS!$B$4:$B$803,"INGRESO")+SUMIFS(MOVIMIENTOS_COMPLEMENTOS!$I$4:$I$803,MOVIMIENTOS_COMPLEMENTOS!$C$4:$C$803,A181,MOVIMIENTOS_COMPLEMENTOS!$D$4:$D$803,B181,MOVIMIENTOS_COMPLEMENTOS!$E$4:$E$803,C181,MOVIMIENTOS_COMPLEMENTOS!$G$4:$G$803,E181,MOVIMIENTOS_COMPLEMENTOS!$H$4:$H$803,G181,MOVIMIENTOS_COMPLEMENTOS!$B$4:$B$803,"DE CORTE")-SUMIFS(MOVIMIENTOS_COMPLEMENTOS!$I$4:$I$803,MOVIMIENTOS_COMPLEMENTOS!$C$4:$C$803,A181,MOVIMIENTOS_COMPLEMENTOS!$D$4:$D$803,B181,MOVIMIENTOS_COMPLEMENTOS!$E$4:$E$803,C181,MOVIMIENTOS_COMPLEMENTOS!$G$4:$G$803,E181,MOVIMIENTOS_COMPLEMENTOS!$H$4:$H$803,G181,MOVIMIENTOS_COMPLEMENTOS!$B$4:$B$803,"SALIDA"),0)</f>
        <v>0</v>
      </c>
      <c r="I181" s="102">
        <f t="array" ref="I181">IFERROR(INDEX(PRECIOS_COMPLEMENTOS!$C$4:$F$17,MATCH(B181&amp;"_"&amp;C181,PRECIOS_COMPLEMENTOS!$H$4:$H$17,0),IF(OR(G181="S",G181="20cm"),1,IF(OR(G181="M",G181="25cm"),2,IF(OR(G181="L",G181="30cm"),3,IF(OR(G181="XL",G181="35cm"),4,0))))),0)</f>
        <v>0.75</v>
      </c>
      <c r="J181" s="103">
        <f t="shared" si="1"/>
        <v>0</v>
      </c>
      <c r="K181" s="104" t="str">
        <f>IF(H181&lt;0,"ERROR",IF(H181=0,"",IF(H181&lt;CONFIG!$B$4,"CRÍTICO",IF(H181&lt;CONFIG!$B$5,"BAJO","OK"))))</f>
        <v/>
      </c>
    </row>
    <row r="182" ht="15.75" hidden="1" customHeight="1">
      <c r="A182" s="90" t="str">
        <f>IF(CLIENTES!A8="","",CLIENTES!A8)</f>
        <v/>
      </c>
      <c r="B182" s="90" t="s">
        <v>321</v>
      </c>
      <c r="C182" s="91" t="s">
        <v>322</v>
      </c>
      <c r="D182" s="109" t="s">
        <v>353</v>
      </c>
      <c r="E182" s="67" t="str">
        <f>COLORES!A13</f>
        <v>Camote</v>
      </c>
      <c r="F182" s="67" t="str">
        <f>COLORES!B13</f>
        <v>CLARO</v>
      </c>
      <c r="G182" s="90" t="s">
        <v>376</v>
      </c>
      <c r="H182" s="100">
        <f>IFERROR(SUMIFS(MOVIMIENTOS_COMPLEMENTOS!$I$4:$I$803,MOVIMIENTOS_COMPLEMENTOS!$C$4:$C$803,A182,MOVIMIENTOS_COMPLEMENTOS!$D$4:$D$803,B182,MOVIMIENTOS_COMPLEMENTOS!$E$4:$E$803,C182,MOVIMIENTOS_COMPLEMENTOS!$G$4:$G$803,E182,MOVIMIENTOS_COMPLEMENTOS!$H$4:$H$803,G182,MOVIMIENTOS_COMPLEMENTOS!$B$4:$B$803,"INGRESO")+SUMIFS(MOVIMIENTOS_COMPLEMENTOS!$I$4:$I$803,MOVIMIENTOS_COMPLEMENTOS!$C$4:$C$803,A182,MOVIMIENTOS_COMPLEMENTOS!$D$4:$D$803,B182,MOVIMIENTOS_COMPLEMENTOS!$E$4:$E$803,C182,MOVIMIENTOS_COMPLEMENTOS!$G$4:$G$803,E182,MOVIMIENTOS_COMPLEMENTOS!$H$4:$H$803,G182,MOVIMIENTOS_COMPLEMENTOS!$B$4:$B$803,"DE CORTE")-SUMIFS(MOVIMIENTOS_COMPLEMENTOS!$I$4:$I$803,MOVIMIENTOS_COMPLEMENTOS!$C$4:$C$803,A182,MOVIMIENTOS_COMPLEMENTOS!$D$4:$D$803,B182,MOVIMIENTOS_COMPLEMENTOS!$E$4:$E$803,C182,MOVIMIENTOS_COMPLEMENTOS!$G$4:$G$803,E182,MOVIMIENTOS_COMPLEMENTOS!$H$4:$H$803,G182,MOVIMIENTOS_COMPLEMENTOS!$B$4:$B$803,"SALIDA"),0)</f>
        <v>0</v>
      </c>
      <c r="I182" s="102">
        <f t="array" ref="I182">IFERROR(INDEX(PRECIOS_COMPLEMENTOS!$C$4:$F$17,MATCH(B182&amp;"_"&amp;C182,PRECIOS_COMPLEMENTOS!$H$4:$H$17,0),IF(OR(G182="S",G182="20cm"),1,IF(OR(G182="M",G182="25cm"),2,IF(OR(G182="L",G182="30cm"),3,IF(OR(G182="XL",G182="35cm"),4,0))))),0)</f>
        <v>0.7</v>
      </c>
      <c r="J182" s="103">
        <f t="shared" si="1"/>
        <v>0</v>
      </c>
      <c r="K182" s="104" t="str">
        <f>IF(H182&lt;0,"ERROR",IF(H182=0,"",IF(H182&lt;CONFIG!$B$4,"CRÍTICO",IF(H182&lt;CONFIG!$B$5,"BAJO","OK"))))</f>
        <v/>
      </c>
    </row>
    <row r="183" ht="15.75" hidden="1" customHeight="1">
      <c r="A183" s="90" t="str">
        <f>IF(CLIENTES!A8="","",CLIENTES!A8)</f>
        <v/>
      </c>
      <c r="B183" s="90" t="s">
        <v>321</v>
      </c>
      <c r="C183" s="91" t="s">
        <v>322</v>
      </c>
      <c r="D183" s="109" t="s">
        <v>353</v>
      </c>
      <c r="E183" s="67" t="str">
        <f>COLORES!A13</f>
        <v>Camote</v>
      </c>
      <c r="F183" s="67" t="str">
        <f>COLORES!B13</f>
        <v>CLARO</v>
      </c>
      <c r="G183" s="90" t="s">
        <v>377</v>
      </c>
      <c r="H183" s="100">
        <f>IFERROR(SUMIFS(MOVIMIENTOS_COMPLEMENTOS!$I$4:$I$803,MOVIMIENTOS_COMPLEMENTOS!$C$4:$C$803,A183,MOVIMIENTOS_COMPLEMENTOS!$D$4:$D$803,B183,MOVIMIENTOS_COMPLEMENTOS!$E$4:$E$803,C183,MOVIMIENTOS_COMPLEMENTOS!$G$4:$G$803,E183,MOVIMIENTOS_COMPLEMENTOS!$H$4:$H$803,G183,MOVIMIENTOS_COMPLEMENTOS!$B$4:$B$803,"INGRESO")+SUMIFS(MOVIMIENTOS_COMPLEMENTOS!$I$4:$I$803,MOVIMIENTOS_COMPLEMENTOS!$C$4:$C$803,A183,MOVIMIENTOS_COMPLEMENTOS!$D$4:$D$803,B183,MOVIMIENTOS_COMPLEMENTOS!$E$4:$E$803,C183,MOVIMIENTOS_COMPLEMENTOS!$G$4:$G$803,E183,MOVIMIENTOS_COMPLEMENTOS!$H$4:$H$803,G183,MOVIMIENTOS_COMPLEMENTOS!$B$4:$B$803,"DE CORTE")-SUMIFS(MOVIMIENTOS_COMPLEMENTOS!$I$4:$I$803,MOVIMIENTOS_COMPLEMENTOS!$C$4:$C$803,A183,MOVIMIENTOS_COMPLEMENTOS!$D$4:$D$803,B183,MOVIMIENTOS_COMPLEMENTOS!$E$4:$E$803,C183,MOVIMIENTOS_COMPLEMENTOS!$G$4:$G$803,E183,MOVIMIENTOS_COMPLEMENTOS!$H$4:$H$803,G183,MOVIMIENTOS_COMPLEMENTOS!$B$4:$B$803,"SALIDA"),0)</f>
        <v>0</v>
      </c>
      <c r="I183" s="102">
        <f t="array" ref="I183">IFERROR(INDEX(PRECIOS_COMPLEMENTOS!$C$4:$F$17,MATCH(B183&amp;"_"&amp;C183,PRECIOS_COMPLEMENTOS!$H$4:$H$17,0),IF(OR(G183="S",G183="20cm"),1,IF(OR(G183="M",G183="25cm"),2,IF(OR(G183="L",G183="30cm"),3,IF(OR(G183="XL",G183="35cm"),4,0))))),0)</f>
        <v>0.75</v>
      </c>
      <c r="J183" s="103">
        <f t="shared" si="1"/>
        <v>0</v>
      </c>
      <c r="K183" s="104" t="str">
        <f>IF(H183&lt;0,"ERROR",IF(H183=0,"",IF(H183&lt;CONFIG!$B$4,"CRÍTICO",IF(H183&lt;CONFIG!$B$5,"BAJO","OK"))))</f>
        <v/>
      </c>
    </row>
    <row r="184" ht="15.75" hidden="1" customHeight="1">
      <c r="A184" s="90" t="str">
        <f>IF(CLIENTES!A8="","",CLIENTES!A8)</f>
        <v/>
      </c>
      <c r="B184" s="90" t="s">
        <v>321</v>
      </c>
      <c r="C184" s="91" t="s">
        <v>322</v>
      </c>
      <c r="D184" s="109" t="s">
        <v>353</v>
      </c>
      <c r="E184" s="67" t="str">
        <f>COLORES!A14</f>
        <v>Denim</v>
      </c>
      <c r="F184" s="67" t="str">
        <f>COLORES!B14</f>
        <v>CLARO</v>
      </c>
      <c r="G184" s="90" t="s">
        <v>376</v>
      </c>
      <c r="H184" s="100">
        <f>IFERROR(SUMIFS(MOVIMIENTOS_COMPLEMENTOS!$I$4:$I$803,MOVIMIENTOS_COMPLEMENTOS!$C$4:$C$803,A184,MOVIMIENTOS_COMPLEMENTOS!$D$4:$D$803,B184,MOVIMIENTOS_COMPLEMENTOS!$E$4:$E$803,C184,MOVIMIENTOS_COMPLEMENTOS!$G$4:$G$803,E184,MOVIMIENTOS_COMPLEMENTOS!$H$4:$H$803,G184,MOVIMIENTOS_COMPLEMENTOS!$B$4:$B$803,"INGRESO")+SUMIFS(MOVIMIENTOS_COMPLEMENTOS!$I$4:$I$803,MOVIMIENTOS_COMPLEMENTOS!$C$4:$C$803,A184,MOVIMIENTOS_COMPLEMENTOS!$D$4:$D$803,B184,MOVIMIENTOS_COMPLEMENTOS!$E$4:$E$803,C184,MOVIMIENTOS_COMPLEMENTOS!$G$4:$G$803,E184,MOVIMIENTOS_COMPLEMENTOS!$H$4:$H$803,G184,MOVIMIENTOS_COMPLEMENTOS!$B$4:$B$803,"DE CORTE")-SUMIFS(MOVIMIENTOS_COMPLEMENTOS!$I$4:$I$803,MOVIMIENTOS_COMPLEMENTOS!$C$4:$C$803,A184,MOVIMIENTOS_COMPLEMENTOS!$D$4:$D$803,B184,MOVIMIENTOS_COMPLEMENTOS!$E$4:$E$803,C184,MOVIMIENTOS_COMPLEMENTOS!$G$4:$G$803,E184,MOVIMIENTOS_COMPLEMENTOS!$H$4:$H$803,G184,MOVIMIENTOS_COMPLEMENTOS!$B$4:$B$803,"SALIDA"),0)</f>
        <v>0</v>
      </c>
      <c r="I184" s="102">
        <f t="array" ref="I184">IFERROR(INDEX(PRECIOS_COMPLEMENTOS!$C$4:$F$17,MATCH(B184&amp;"_"&amp;C184,PRECIOS_COMPLEMENTOS!$H$4:$H$17,0),IF(OR(G184="S",G184="20cm"),1,IF(OR(G184="M",G184="25cm"),2,IF(OR(G184="L",G184="30cm"),3,IF(OR(G184="XL",G184="35cm"),4,0))))),0)</f>
        <v>0.7</v>
      </c>
      <c r="J184" s="103">
        <f t="shared" si="1"/>
        <v>0</v>
      </c>
      <c r="K184" s="104" t="str">
        <f>IF(H184&lt;0,"ERROR",IF(H184=0,"",IF(H184&lt;CONFIG!$B$4,"CRÍTICO",IF(H184&lt;CONFIG!$B$5,"BAJO","OK"))))</f>
        <v/>
      </c>
    </row>
    <row r="185" ht="15.75" hidden="1" customHeight="1">
      <c r="A185" s="90" t="str">
        <f>IF(CLIENTES!A8="","",CLIENTES!A8)</f>
        <v/>
      </c>
      <c r="B185" s="90" t="s">
        <v>321</v>
      </c>
      <c r="C185" s="91" t="s">
        <v>322</v>
      </c>
      <c r="D185" s="109" t="s">
        <v>353</v>
      </c>
      <c r="E185" s="67" t="str">
        <f>COLORES!A14</f>
        <v>Denim</v>
      </c>
      <c r="F185" s="67" t="str">
        <f>COLORES!B14</f>
        <v>CLARO</v>
      </c>
      <c r="G185" s="90" t="s">
        <v>377</v>
      </c>
      <c r="H185" s="100">
        <f>IFERROR(SUMIFS(MOVIMIENTOS_COMPLEMENTOS!$I$4:$I$803,MOVIMIENTOS_COMPLEMENTOS!$C$4:$C$803,A185,MOVIMIENTOS_COMPLEMENTOS!$D$4:$D$803,B185,MOVIMIENTOS_COMPLEMENTOS!$E$4:$E$803,C185,MOVIMIENTOS_COMPLEMENTOS!$G$4:$G$803,E185,MOVIMIENTOS_COMPLEMENTOS!$H$4:$H$803,G185,MOVIMIENTOS_COMPLEMENTOS!$B$4:$B$803,"INGRESO")+SUMIFS(MOVIMIENTOS_COMPLEMENTOS!$I$4:$I$803,MOVIMIENTOS_COMPLEMENTOS!$C$4:$C$803,A185,MOVIMIENTOS_COMPLEMENTOS!$D$4:$D$803,B185,MOVIMIENTOS_COMPLEMENTOS!$E$4:$E$803,C185,MOVIMIENTOS_COMPLEMENTOS!$G$4:$G$803,E185,MOVIMIENTOS_COMPLEMENTOS!$H$4:$H$803,G185,MOVIMIENTOS_COMPLEMENTOS!$B$4:$B$803,"DE CORTE")-SUMIFS(MOVIMIENTOS_COMPLEMENTOS!$I$4:$I$803,MOVIMIENTOS_COMPLEMENTOS!$C$4:$C$803,A185,MOVIMIENTOS_COMPLEMENTOS!$D$4:$D$803,B185,MOVIMIENTOS_COMPLEMENTOS!$E$4:$E$803,C185,MOVIMIENTOS_COMPLEMENTOS!$G$4:$G$803,E185,MOVIMIENTOS_COMPLEMENTOS!$H$4:$H$803,G185,MOVIMIENTOS_COMPLEMENTOS!$B$4:$B$803,"SALIDA"),0)</f>
        <v>0</v>
      </c>
      <c r="I185" s="102">
        <f t="array" ref="I185">IFERROR(INDEX(PRECIOS_COMPLEMENTOS!$C$4:$F$17,MATCH(B185&amp;"_"&amp;C185,PRECIOS_COMPLEMENTOS!$H$4:$H$17,0),IF(OR(G185="S",G185="20cm"),1,IF(OR(G185="M",G185="25cm"),2,IF(OR(G185="L",G185="30cm"),3,IF(OR(G185="XL",G185="35cm"),4,0))))),0)</f>
        <v>0.75</v>
      </c>
      <c r="J185" s="103">
        <f t="shared" si="1"/>
        <v>0</v>
      </c>
      <c r="K185" s="104" t="str">
        <f>IF(H185&lt;0,"ERROR",IF(H185=0,"",IF(H185&lt;CONFIG!$B$4,"CRÍTICO",IF(H185&lt;CONFIG!$B$5,"BAJO","OK"))))</f>
        <v/>
      </c>
    </row>
    <row r="186" ht="15.75" hidden="1" customHeight="1">
      <c r="A186" s="90" t="str">
        <f>IF(CLIENTES!A8="","",CLIENTES!A8)</f>
        <v/>
      </c>
      <c r="B186" s="90" t="s">
        <v>321</v>
      </c>
      <c r="C186" s="91" t="s">
        <v>322</v>
      </c>
      <c r="D186" s="109" t="s">
        <v>353</v>
      </c>
      <c r="E186" s="67" t="str">
        <f>COLORES!A15</f>
        <v>Plomo</v>
      </c>
      <c r="F186" s="67" t="str">
        <f>COLORES!B15</f>
        <v>OSCURO</v>
      </c>
      <c r="G186" s="90" t="s">
        <v>376</v>
      </c>
      <c r="H186" s="100">
        <f>IFERROR(SUMIFS(MOVIMIENTOS_COMPLEMENTOS!$I$4:$I$803,MOVIMIENTOS_COMPLEMENTOS!$C$4:$C$803,A186,MOVIMIENTOS_COMPLEMENTOS!$D$4:$D$803,B186,MOVIMIENTOS_COMPLEMENTOS!$E$4:$E$803,C186,MOVIMIENTOS_COMPLEMENTOS!$G$4:$G$803,E186,MOVIMIENTOS_COMPLEMENTOS!$H$4:$H$803,G186,MOVIMIENTOS_COMPLEMENTOS!$B$4:$B$803,"INGRESO")+SUMIFS(MOVIMIENTOS_COMPLEMENTOS!$I$4:$I$803,MOVIMIENTOS_COMPLEMENTOS!$C$4:$C$803,A186,MOVIMIENTOS_COMPLEMENTOS!$D$4:$D$803,B186,MOVIMIENTOS_COMPLEMENTOS!$E$4:$E$803,C186,MOVIMIENTOS_COMPLEMENTOS!$G$4:$G$803,E186,MOVIMIENTOS_COMPLEMENTOS!$H$4:$H$803,G186,MOVIMIENTOS_COMPLEMENTOS!$B$4:$B$803,"DE CORTE")-SUMIFS(MOVIMIENTOS_COMPLEMENTOS!$I$4:$I$803,MOVIMIENTOS_COMPLEMENTOS!$C$4:$C$803,A186,MOVIMIENTOS_COMPLEMENTOS!$D$4:$D$803,B186,MOVIMIENTOS_COMPLEMENTOS!$E$4:$E$803,C186,MOVIMIENTOS_COMPLEMENTOS!$G$4:$G$803,E186,MOVIMIENTOS_COMPLEMENTOS!$H$4:$H$803,G186,MOVIMIENTOS_COMPLEMENTOS!$B$4:$B$803,"SALIDA"),0)</f>
        <v>0</v>
      </c>
      <c r="I186" s="102">
        <f t="array" ref="I186">IFERROR(INDEX(PRECIOS_COMPLEMENTOS!$C$4:$F$17,MATCH(B186&amp;"_"&amp;C186,PRECIOS_COMPLEMENTOS!$H$4:$H$17,0),IF(OR(G186="S",G186="20cm"),1,IF(OR(G186="M",G186="25cm"),2,IF(OR(G186="L",G186="30cm"),3,IF(OR(G186="XL",G186="35cm"),4,0))))),0)</f>
        <v>0.7</v>
      </c>
      <c r="J186" s="103">
        <f t="shared" si="1"/>
        <v>0</v>
      </c>
      <c r="K186" s="104" t="str">
        <f>IF(H186&lt;0,"ERROR",IF(H186=0,"",IF(H186&lt;CONFIG!$B$4,"CRÍTICO",IF(H186&lt;CONFIG!$B$5,"BAJO","OK"))))</f>
        <v/>
      </c>
    </row>
    <row r="187" ht="15.75" hidden="1" customHeight="1">
      <c r="A187" s="90" t="str">
        <f>IF(CLIENTES!A8="","",CLIENTES!A8)</f>
        <v/>
      </c>
      <c r="B187" s="90" t="s">
        <v>321</v>
      </c>
      <c r="C187" s="91" t="s">
        <v>322</v>
      </c>
      <c r="D187" s="109" t="s">
        <v>353</v>
      </c>
      <c r="E187" s="67" t="str">
        <f>COLORES!A15</f>
        <v>Plomo</v>
      </c>
      <c r="F187" s="67" t="str">
        <f>COLORES!B15</f>
        <v>OSCURO</v>
      </c>
      <c r="G187" s="90" t="s">
        <v>377</v>
      </c>
      <c r="H187" s="100">
        <f>IFERROR(SUMIFS(MOVIMIENTOS_COMPLEMENTOS!$I$4:$I$803,MOVIMIENTOS_COMPLEMENTOS!$C$4:$C$803,A187,MOVIMIENTOS_COMPLEMENTOS!$D$4:$D$803,B187,MOVIMIENTOS_COMPLEMENTOS!$E$4:$E$803,C187,MOVIMIENTOS_COMPLEMENTOS!$G$4:$G$803,E187,MOVIMIENTOS_COMPLEMENTOS!$H$4:$H$803,G187,MOVIMIENTOS_COMPLEMENTOS!$B$4:$B$803,"INGRESO")+SUMIFS(MOVIMIENTOS_COMPLEMENTOS!$I$4:$I$803,MOVIMIENTOS_COMPLEMENTOS!$C$4:$C$803,A187,MOVIMIENTOS_COMPLEMENTOS!$D$4:$D$803,B187,MOVIMIENTOS_COMPLEMENTOS!$E$4:$E$803,C187,MOVIMIENTOS_COMPLEMENTOS!$G$4:$G$803,E187,MOVIMIENTOS_COMPLEMENTOS!$H$4:$H$803,G187,MOVIMIENTOS_COMPLEMENTOS!$B$4:$B$803,"DE CORTE")-SUMIFS(MOVIMIENTOS_COMPLEMENTOS!$I$4:$I$803,MOVIMIENTOS_COMPLEMENTOS!$C$4:$C$803,A187,MOVIMIENTOS_COMPLEMENTOS!$D$4:$D$803,B187,MOVIMIENTOS_COMPLEMENTOS!$E$4:$E$803,C187,MOVIMIENTOS_COMPLEMENTOS!$G$4:$G$803,E187,MOVIMIENTOS_COMPLEMENTOS!$H$4:$H$803,G187,MOVIMIENTOS_COMPLEMENTOS!$B$4:$B$803,"SALIDA"),0)</f>
        <v>0</v>
      </c>
      <c r="I187" s="102">
        <f t="array" ref="I187">IFERROR(INDEX(PRECIOS_COMPLEMENTOS!$C$4:$F$17,MATCH(B187&amp;"_"&amp;C187,PRECIOS_COMPLEMENTOS!$H$4:$H$17,0),IF(OR(G187="S",G187="20cm"),1,IF(OR(G187="M",G187="25cm"),2,IF(OR(G187="L",G187="30cm"),3,IF(OR(G187="XL",G187="35cm"),4,0))))),0)</f>
        <v>0.75</v>
      </c>
      <c r="J187" s="103">
        <f t="shared" si="1"/>
        <v>0</v>
      </c>
      <c r="K187" s="104" t="str">
        <f>IF(H187&lt;0,"ERROR",IF(H187=0,"",IF(H187&lt;CONFIG!$B$4,"CRÍTICO",IF(H187&lt;CONFIG!$B$5,"BAJO","OK"))))</f>
        <v/>
      </c>
    </row>
    <row r="188" ht="15.75" hidden="1" customHeight="1">
      <c r="A188" s="90" t="str">
        <f>IF(CLIENTES!A8="","",CLIENTES!A8)</f>
        <v/>
      </c>
      <c r="B188" s="90" t="s">
        <v>321</v>
      </c>
      <c r="C188" s="91" t="s">
        <v>322</v>
      </c>
      <c r="D188" s="109" t="s">
        <v>353</v>
      </c>
      <c r="E188" s="67" t="str">
        <f>COLORES!A16</f>
        <v>Topo</v>
      </c>
      <c r="F188" s="67" t="str">
        <f>COLORES!B16</f>
        <v>CLARO</v>
      </c>
      <c r="G188" s="90" t="s">
        <v>376</v>
      </c>
      <c r="H188" s="100">
        <f>IFERROR(SUMIFS(MOVIMIENTOS_COMPLEMENTOS!$I$4:$I$803,MOVIMIENTOS_COMPLEMENTOS!$C$4:$C$803,A188,MOVIMIENTOS_COMPLEMENTOS!$D$4:$D$803,B188,MOVIMIENTOS_COMPLEMENTOS!$E$4:$E$803,C188,MOVIMIENTOS_COMPLEMENTOS!$G$4:$G$803,E188,MOVIMIENTOS_COMPLEMENTOS!$H$4:$H$803,G188,MOVIMIENTOS_COMPLEMENTOS!$B$4:$B$803,"INGRESO")+SUMIFS(MOVIMIENTOS_COMPLEMENTOS!$I$4:$I$803,MOVIMIENTOS_COMPLEMENTOS!$C$4:$C$803,A188,MOVIMIENTOS_COMPLEMENTOS!$D$4:$D$803,B188,MOVIMIENTOS_COMPLEMENTOS!$E$4:$E$803,C188,MOVIMIENTOS_COMPLEMENTOS!$G$4:$G$803,E188,MOVIMIENTOS_COMPLEMENTOS!$H$4:$H$803,G188,MOVIMIENTOS_COMPLEMENTOS!$B$4:$B$803,"DE CORTE")-SUMIFS(MOVIMIENTOS_COMPLEMENTOS!$I$4:$I$803,MOVIMIENTOS_COMPLEMENTOS!$C$4:$C$803,A188,MOVIMIENTOS_COMPLEMENTOS!$D$4:$D$803,B188,MOVIMIENTOS_COMPLEMENTOS!$E$4:$E$803,C188,MOVIMIENTOS_COMPLEMENTOS!$G$4:$G$803,E188,MOVIMIENTOS_COMPLEMENTOS!$H$4:$H$803,G188,MOVIMIENTOS_COMPLEMENTOS!$B$4:$B$803,"SALIDA"),0)</f>
        <v>0</v>
      </c>
      <c r="I188" s="102">
        <f t="array" ref="I188">IFERROR(INDEX(PRECIOS_COMPLEMENTOS!$C$4:$F$17,MATCH(B188&amp;"_"&amp;C188,PRECIOS_COMPLEMENTOS!$H$4:$H$17,0),IF(OR(G188="S",G188="20cm"),1,IF(OR(G188="M",G188="25cm"),2,IF(OR(G188="L",G188="30cm"),3,IF(OR(G188="XL",G188="35cm"),4,0))))),0)</f>
        <v>0.7</v>
      </c>
      <c r="J188" s="103">
        <f t="shared" si="1"/>
        <v>0</v>
      </c>
      <c r="K188" s="104" t="str">
        <f>IF(H188&lt;0,"ERROR",IF(H188=0,"",IF(H188&lt;CONFIG!$B$4,"CRÍTICO",IF(H188&lt;CONFIG!$B$5,"BAJO","OK"))))</f>
        <v/>
      </c>
    </row>
    <row r="189" ht="15.75" hidden="1" customHeight="1">
      <c r="A189" s="90" t="str">
        <f>IF(CLIENTES!A8="","",CLIENTES!A8)</f>
        <v/>
      </c>
      <c r="B189" s="90" t="s">
        <v>321</v>
      </c>
      <c r="C189" s="91" t="s">
        <v>322</v>
      </c>
      <c r="D189" s="109" t="s">
        <v>353</v>
      </c>
      <c r="E189" s="67" t="str">
        <f>COLORES!A16</f>
        <v>Topo</v>
      </c>
      <c r="F189" s="67" t="str">
        <f>COLORES!B16</f>
        <v>CLARO</v>
      </c>
      <c r="G189" s="90" t="s">
        <v>377</v>
      </c>
      <c r="H189" s="100">
        <f>IFERROR(SUMIFS(MOVIMIENTOS_COMPLEMENTOS!$I$4:$I$803,MOVIMIENTOS_COMPLEMENTOS!$C$4:$C$803,A189,MOVIMIENTOS_COMPLEMENTOS!$D$4:$D$803,B189,MOVIMIENTOS_COMPLEMENTOS!$E$4:$E$803,C189,MOVIMIENTOS_COMPLEMENTOS!$G$4:$G$803,E189,MOVIMIENTOS_COMPLEMENTOS!$H$4:$H$803,G189,MOVIMIENTOS_COMPLEMENTOS!$B$4:$B$803,"INGRESO")+SUMIFS(MOVIMIENTOS_COMPLEMENTOS!$I$4:$I$803,MOVIMIENTOS_COMPLEMENTOS!$C$4:$C$803,A189,MOVIMIENTOS_COMPLEMENTOS!$D$4:$D$803,B189,MOVIMIENTOS_COMPLEMENTOS!$E$4:$E$803,C189,MOVIMIENTOS_COMPLEMENTOS!$G$4:$G$803,E189,MOVIMIENTOS_COMPLEMENTOS!$H$4:$H$803,G189,MOVIMIENTOS_COMPLEMENTOS!$B$4:$B$803,"DE CORTE")-SUMIFS(MOVIMIENTOS_COMPLEMENTOS!$I$4:$I$803,MOVIMIENTOS_COMPLEMENTOS!$C$4:$C$803,A189,MOVIMIENTOS_COMPLEMENTOS!$D$4:$D$803,B189,MOVIMIENTOS_COMPLEMENTOS!$E$4:$E$803,C189,MOVIMIENTOS_COMPLEMENTOS!$G$4:$G$803,E189,MOVIMIENTOS_COMPLEMENTOS!$H$4:$H$803,G189,MOVIMIENTOS_COMPLEMENTOS!$B$4:$B$803,"SALIDA"),0)</f>
        <v>0</v>
      </c>
      <c r="I189" s="102">
        <f t="array" ref="I189">IFERROR(INDEX(PRECIOS_COMPLEMENTOS!$C$4:$F$17,MATCH(B189&amp;"_"&amp;C189,PRECIOS_COMPLEMENTOS!$H$4:$H$17,0),IF(OR(G189="S",G189="20cm"),1,IF(OR(G189="M",G189="25cm"),2,IF(OR(G189="L",G189="30cm"),3,IF(OR(G189="XL",G189="35cm"),4,0))))),0)</f>
        <v>0.75</v>
      </c>
      <c r="J189" s="103">
        <f t="shared" si="1"/>
        <v>0</v>
      </c>
      <c r="K189" s="104" t="str">
        <f>IF(H189&lt;0,"ERROR",IF(H189=0,"",IF(H189&lt;CONFIG!$B$4,"CRÍTICO",IF(H189&lt;CONFIG!$B$5,"BAJO","OK"))))</f>
        <v/>
      </c>
    </row>
    <row r="190" ht="15.75" hidden="1" customHeight="1">
      <c r="A190" s="90" t="str">
        <f>IF(CLIENTES!A8="","",CLIENTES!A8)</f>
        <v/>
      </c>
      <c r="B190" s="90" t="s">
        <v>321</v>
      </c>
      <c r="C190" s="91" t="s">
        <v>322</v>
      </c>
      <c r="D190" s="109" t="s">
        <v>353</v>
      </c>
      <c r="E190" s="67" t="str">
        <f>COLORES!A17</f>
        <v>Vino</v>
      </c>
      <c r="F190" s="67" t="str">
        <f>COLORES!B17</f>
        <v>OSCURO</v>
      </c>
      <c r="G190" s="90" t="s">
        <v>376</v>
      </c>
      <c r="H190" s="100">
        <f>IFERROR(SUMIFS(MOVIMIENTOS_COMPLEMENTOS!$I$4:$I$803,MOVIMIENTOS_COMPLEMENTOS!$C$4:$C$803,A190,MOVIMIENTOS_COMPLEMENTOS!$D$4:$D$803,B190,MOVIMIENTOS_COMPLEMENTOS!$E$4:$E$803,C190,MOVIMIENTOS_COMPLEMENTOS!$G$4:$G$803,E190,MOVIMIENTOS_COMPLEMENTOS!$H$4:$H$803,G190,MOVIMIENTOS_COMPLEMENTOS!$B$4:$B$803,"INGRESO")+SUMIFS(MOVIMIENTOS_COMPLEMENTOS!$I$4:$I$803,MOVIMIENTOS_COMPLEMENTOS!$C$4:$C$803,A190,MOVIMIENTOS_COMPLEMENTOS!$D$4:$D$803,B190,MOVIMIENTOS_COMPLEMENTOS!$E$4:$E$803,C190,MOVIMIENTOS_COMPLEMENTOS!$G$4:$G$803,E190,MOVIMIENTOS_COMPLEMENTOS!$H$4:$H$803,G190,MOVIMIENTOS_COMPLEMENTOS!$B$4:$B$803,"DE CORTE")-SUMIFS(MOVIMIENTOS_COMPLEMENTOS!$I$4:$I$803,MOVIMIENTOS_COMPLEMENTOS!$C$4:$C$803,A190,MOVIMIENTOS_COMPLEMENTOS!$D$4:$D$803,B190,MOVIMIENTOS_COMPLEMENTOS!$E$4:$E$803,C190,MOVIMIENTOS_COMPLEMENTOS!$G$4:$G$803,E190,MOVIMIENTOS_COMPLEMENTOS!$H$4:$H$803,G190,MOVIMIENTOS_COMPLEMENTOS!$B$4:$B$803,"SALIDA"),0)</f>
        <v>0</v>
      </c>
      <c r="I190" s="102">
        <f t="array" ref="I190">IFERROR(INDEX(PRECIOS_COMPLEMENTOS!$C$4:$F$17,MATCH(B190&amp;"_"&amp;C190,PRECIOS_COMPLEMENTOS!$H$4:$H$17,0),IF(OR(G190="S",G190="20cm"),1,IF(OR(G190="M",G190="25cm"),2,IF(OR(G190="L",G190="30cm"),3,IF(OR(G190="XL",G190="35cm"),4,0))))),0)</f>
        <v>0.7</v>
      </c>
      <c r="J190" s="103">
        <f t="shared" si="1"/>
        <v>0</v>
      </c>
      <c r="K190" s="104" t="str">
        <f>IF(H190&lt;0,"ERROR",IF(H190=0,"",IF(H190&lt;CONFIG!$B$4,"CRÍTICO",IF(H190&lt;CONFIG!$B$5,"BAJO","OK"))))</f>
        <v/>
      </c>
    </row>
    <row r="191" ht="15.75" hidden="1" customHeight="1">
      <c r="A191" s="90" t="str">
        <f>IF(CLIENTES!A8="","",CLIENTES!A8)</f>
        <v/>
      </c>
      <c r="B191" s="90" t="s">
        <v>321</v>
      </c>
      <c r="C191" s="91" t="s">
        <v>322</v>
      </c>
      <c r="D191" s="109" t="s">
        <v>353</v>
      </c>
      <c r="E191" s="67" t="str">
        <f>COLORES!A17</f>
        <v>Vino</v>
      </c>
      <c r="F191" s="67" t="str">
        <f>COLORES!B17</f>
        <v>OSCURO</v>
      </c>
      <c r="G191" s="90" t="s">
        <v>377</v>
      </c>
      <c r="H191" s="100">
        <f>IFERROR(SUMIFS(MOVIMIENTOS_COMPLEMENTOS!$I$4:$I$803,MOVIMIENTOS_COMPLEMENTOS!$C$4:$C$803,A191,MOVIMIENTOS_COMPLEMENTOS!$D$4:$D$803,B191,MOVIMIENTOS_COMPLEMENTOS!$E$4:$E$803,C191,MOVIMIENTOS_COMPLEMENTOS!$G$4:$G$803,E191,MOVIMIENTOS_COMPLEMENTOS!$H$4:$H$803,G191,MOVIMIENTOS_COMPLEMENTOS!$B$4:$B$803,"INGRESO")+SUMIFS(MOVIMIENTOS_COMPLEMENTOS!$I$4:$I$803,MOVIMIENTOS_COMPLEMENTOS!$C$4:$C$803,A191,MOVIMIENTOS_COMPLEMENTOS!$D$4:$D$803,B191,MOVIMIENTOS_COMPLEMENTOS!$E$4:$E$803,C191,MOVIMIENTOS_COMPLEMENTOS!$G$4:$G$803,E191,MOVIMIENTOS_COMPLEMENTOS!$H$4:$H$803,G191,MOVIMIENTOS_COMPLEMENTOS!$B$4:$B$803,"DE CORTE")-SUMIFS(MOVIMIENTOS_COMPLEMENTOS!$I$4:$I$803,MOVIMIENTOS_COMPLEMENTOS!$C$4:$C$803,A191,MOVIMIENTOS_COMPLEMENTOS!$D$4:$D$803,B191,MOVIMIENTOS_COMPLEMENTOS!$E$4:$E$803,C191,MOVIMIENTOS_COMPLEMENTOS!$G$4:$G$803,E191,MOVIMIENTOS_COMPLEMENTOS!$H$4:$H$803,G191,MOVIMIENTOS_COMPLEMENTOS!$B$4:$B$803,"SALIDA"),0)</f>
        <v>0</v>
      </c>
      <c r="I191" s="102">
        <f t="array" ref="I191">IFERROR(INDEX(PRECIOS_COMPLEMENTOS!$C$4:$F$17,MATCH(B191&amp;"_"&amp;C191,PRECIOS_COMPLEMENTOS!$H$4:$H$17,0),IF(OR(G191="S",G191="20cm"),1,IF(OR(G191="M",G191="25cm"),2,IF(OR(G191="L",G191="30cm"),3,IF(OR(G191="XL",G191="35cm"),4,0))))),0)</f>
        <v>0.75</v>
      </c>
      <c r="J191" s="103">
        <f t="shared" si="1"/>
        <v>0</v>
      </c>
      <c r="K191" s="104" t="str">
        <f>IF(H191&lt;0,"ERROR",IF(H191=0,"",IF(H191&lt;CONFIG!$B$4,"CRÍTICO",IF(H191&lt;CONFIG!$B$5,"BAJO","OK"))))</f>
        <v/>
      </c>
    </row>
    <row r="192" ht="15.75" hidden="1" customHeight="1">
      <c r="A192" s="90" t="str">
        <f>IF(CLIENTES!A8="","",CLIENTES!A8)</f>
        <v/>
      </c>
      <c r="B192" s="90" t="s">
        <v>321</v>
      </c>
      <c r="C192" s="91" t="s">
        <v>322</v>
      </c>
      <c r="D192" s="109" t="s">
        <v>353</v>
      </c>
      <c r="E192" s="67" t="str">
        <f>COLORES!A18</f>
        <v>P. Rosa</v>
      </c>
      <c r="F192" s="67" t="str">
        <f>COLORES!B18</f>
        <v>CLARO</v>
      </c>
      <c r="G192" s="90" t="s">
        <v>376</v>
      </c>
      <c r="H192" s="100">
        <f>IFERROR(SUMIFS(MOVIMIENTOS_COMPLEMENTOS!$I$4:$I$803,MOVIMIENTOS_COMPLEMENTOS!$C$4:$C$803,A192,MOVIMIENTOS_COMPLEMENTOS!$D$4:$D$803,B192,MOVIMIENTOS_COMPLEMENTOS!$E$4:$E$803,C192,MOVIMIENTOS_COMPLEMENTOS!$G$4:$G$803,E192,MOVIMIENTOS_COMPLEMENTOS!$H$4:$H$803,G192,MOVIMIENTOS_COMPLEMENTOS!$B$4:$B$803,"INGRESO")+SUMIFS(MOVIMIENTOS_COMPLEMENTOS!$I$4:$I$803,MOVIMIENTOS_COMPLEMENTOS!$C$4:$C$803,A192,MOVIMIENTOS_COMPLEMENTOS!$D$4:$D$803,B192,MOVIMIENTOS_COMPLEMENTOS!$E$4:$E$803,C192,MOVIMIENTOS_COMPLEMENTOS!$G$4:$G$803,E192,MOVIMIENTOS_COMPLEMENTOS!$H$4:$H$803,G192,MOVIMIENTOS_COMPLEMENTOS!$B$4:$B$803,"DE CORTE")-SUMIFS(MOVIMIENTOS_COMPLEMENTOS!$I$4:$I$803,MOVIMIENTOS_COMPLEMENTOS!$C$4:$C$803,A192,MOVIMIENTOS_COMPLEMENTOS!$D$4:$D$803,B192,MOVIMIENTOS_COMPLEMENTOS!$E$4:$E$803,C192,MOVIMIENTOS_COMPLEMENTOS!$G$4:$G$803,E192,MOVIMIENTOS_COMPLEMENTOS!$H$4:$H$803,G192,MOVIMIENTOS_COMPLEMENTOS!$B$4:$B$803,"SALIDA"),0)</f>
        <v>0</v>
      </c>
      <c r="I192" s="102">
        <f t="array" ref="I192">IFERROR(INDEX(PRECIOS_COMPLEMENTOS!$C$4:$F$17,MATCH(B192&amp;"_"&amp;C192,PRECIOS_COMPLEMENTOS!$H$4:$H$17,0),IF(OR(G192="S",G192="20cm"),1,IF(OR(G192="M",G192="25cm"),2,IF(OR(G192="L",G192="30cm"),3,IF(OR(G192="XL",G192="35cm"),4,0))))),0)</f>
        <v>0.7</v>
      </c>
      <c r="J192" s="103">
        <f t="shared" si="1"/>
        <v>0</v>
      </c>
      <c r="K192" s="104" t="str">
        <f>IF(H192&lt;0,"ERROR",IF(H192=0,"",IF(H192&lt;CONFIG!$B$4,"CRÍTICO",IF(H192&lt;CONFIG!$B$5,"BAJO","OK"))))</f>
        <v/>
      </c>
    </row>
    <row r="193" ht="15.75" hidden="1" customHeight="1">
      <c r="A193" s="90" t="str">
        <f>IF(CLIENTES!A8="","",CLIENTES!A8)</f>
        <v/>
      </c>
      <c r="B193" s="90" t="s">
        <v>321</v>
      </c>
      <c r="C193" s="91" t="s">
        <v>322</v>
      </c>
      <c r="D193" s="109" t="s">
        <v>353</v>
      </c>
      <c r="E193" s="67" t="str">
        <f>COLORES!A18</f>
        <v>P. Rosa</v>
      </c>
      <c r="F193" s="67" t="str">
        <f>COLORES!B18</f>
        <v>CLARO</v>
      </c>
      <c r="G193" s="90" t="s">
        <v>377</v>
      </c>
      <c r="H193" s="100">
        <f>IFERROR(SUMIFS(MOVIMIENTOS_COMPLEMENTOS!$I$4:$I$803,MOVIMIENTOS_COMPLEMENTOS!$C$4:$C$803,A193,MOVIMIENTOS_COMPLEMENTOS!$D$4:$D$803,B193,MOVIMIENTOS_COMPLEMENTOS!$E$4:$E$803,C193,MOVIMIENTOS_COMPLEMENTOS!$G$4:$G$803,E193,MOVIMIENTOS_COMPLEMENTOS!$H$4:$H$803,G193,MOVIMIENTOS_COMPLEMENTOS!$B$4:$B$803,"INGRESO")+SUMIFS(MOVIMIENTOS_COMPLEMENTOS!$I$4:$I$803,MOVIMIENTOS_COMPLEMENTOS!$C$4:$C$803,A193,MOVIMIENTOS_COMPLEMENTOS!$D$4:$D$803,B193,MOVIMIENTOS_COMPLEMENTOS!$E$4:$E$803,C193,MOVIMIENTOS_COMPLEMENTOS!$G$4:$G$803,E193,MOVIMIENTOS_COMPLEMENTOS!$H$4:$H$803,G193,MOVIMIENTOS_COMPLEMENTOS!$B$4:$B$803,"DE CORTE")-SUMIFS(MOVIMIENTOS_COMPLEMENTOS!$I$4:$I$803,MOVIMIENTOS_COMPLEMENTOS!$C$4:$C$803,A193,MOVIMIENTOS_COMPLEMENTOS!$D$4:$D$803,B193,MOVIMIENTOS_COMPLEMENTOS!$E$4:$E$803,C193,MOVIMIENTOS_COMPLEMENTOS!$G$4:$G$803,E193,MOVIMIENTOS_COMPLEMENTOS!$H$4:$H$803,G193,MOVIMIENTOS_COMPLEMENTOS!$B$4:$B$803,"SALIDA"),0)</f>
        <v>0</v>
      </c>
      <c r="I193" s="102">
        <f t="array" ref="I193">IFERROR(INDEX(PRECIOS_COMPLEMENTOS!$C$4:$F$17,MATCH(B193&amp;"_"&amp;C193,PRECIOS_COMPLEMENTOS!$H$4:$H$17,0),IF(OR(G193="S",G193="20cm"),1,IF(OR(G193="M",G193="25cm"),2,IF(OR(G193="L",G193="30cm"),3,IF(OR(G193="XL",G193="35cm"),4,0))))),0)</f>
        <v>0.75</v>
      </c>
      <c r="J193" s="103">
        <f t="shared" si="1"/>
        <v>0</v>
      </c>
      <c r="K193" s="104" t="str">
        <f>IF(H193&lt;0,"ERROR",IF(H193=0,"",IF(H193&lt;CONFIG!$B$4,"CRÍTICO",IF(H193&lt;CONFIG!$B$5,"BAJO","OK"))))</f>
        <v/>
      </c>
    </row>
    <row r="194" ht="15.75" hidden="1" customHeight="1">
      <c r="A194" s="90" t="str">
        <f>IF(CLIENTES!A8="","",CLIENTES!A8)</f>
        <v/>
      </c>
      <c r="B194" s="90" t="s">
        <v>321</v>
      </c>
      <c r="C194" s="91" t="s">
        <v>322</v>
      </c>
      <c r="D194" s="109" t="s">
        <v>353</v>
      </c>
      <c r="E194" s="67" t="str">
        <f>COLORES!A19</f>
        <v/>
      </c>
      <c r="F194" s="67" t="str">
        <f>COLORES!B19</f>
        <v/>
      </c>
      <c r="G194" s="90" t="s">
        <v>376</v>
      </c>
      <c r="H194" s="100">
        <f>IFERROR(SUMIFS(MOVIMIENTOS_COMPLEMENTOS!$I$4:$I$803,MOVIMIENTOS_COMPLEMENTOS!$C$4:$C$803,A194,MOVIMIENTOS_COMPLEMENTOS!$D$4:$D$803,B194,MOVIMIENTOS_COMPLEMENTOS!$E$4:$E$803,C194,MOVIMIENTOS_COMPLEMENTOS!$G$4:$G$803,E194,MOVIMIENTOS_COMPLEMENTOS!$H$4:$H$803,G194,MOVIMIENTOS_COMPLEMENTOS!$B$4:$B$803,"INGRESO")+SUMIFS(MOVIMIENTOS_COMPLEMENTOS!$I$4:$I$803,MOVIMIENTOS_COMPLEMENTOS!$C$4:$C$803,A194,MOVIMIENTOS_COMPLEMENTOS!$D$4:$D$803,B194,MOVIMIENTOS_COMPLEMENTOS!$E$4:$E$803,C194,MOVIMIENTOS_COMPLEMENTOS!$G$4:$G$803,E194,MOVIMIENTOS_COMPLEMENTOS!$H$4:$H$803,G194,MOVIMIENTOS_COMPLEMENTOS!$B$4:$B$803,"DE CORTE")-SUMIFS(MOVIMIENTOS_COMPLEMENTOS!$I$4:$I$803,MOVIMIENTOS_COMPLEMENTOS!$C$4:$C$803,A194,MOVIMIENTOS_COMPLEMENTOS!$D$4:$D$803,B194,MOVIMIENTOS_COMPLEMENTOS!$E$4:$E$803,C194,MOVIMIENTOS_COMPLEMENTOS!$G$4:$G$803,E194,MOVIMIENTOS_COMPLEMENTOS!$H$4:$H$803,G194,MOVIMIENTOS_COMPLEMENTOS!$B$4:$B$803,"SALIDA"),0)</f>
        <v>0</v>
      </c>
      <c r="I194" s="102">
        <f t="array" ref="I194">IFERROR(INDEX(PRECIOS_COMPLEMENTOS!$C$4:$F$17,MATCH(B194&amp;"_"&amp;C194,PRECIOS_COMPLEMENTOS!$H$4:$H$17,0),IF(OR(G194="S",G194="20cm"),1,IF(OR(G194="M",G194="25cm"),2,IF(OR(G194="L",G194="30cm"),3,IF(OR(G194="XL",G194="35cm"),4,0))))),0)</f>
        <v>0.7</v>
      </c>
      <c r="J194" s="103">
        <f t="shared" si="1"/>
        <v>0</v>
      </c>
      <c r="K194" s="104" t="str">
        <f>IF(H194&lt;0,"ERROR",IF(H194=0,"",IF(H194&lt;CONFIG!$B$4,"CRÍTICO",IF(H194&lt;CONFIG!$B$5,"BAJO","OK"))))</f>
        <v/>
      </c>
    </row>
    <row r="195" ht="15.75" hidden="1" customHeight="1">
      <c r="A195" s="90" t="str">
        <f>IF(CLIENTES!A8="","",CLIENTES!A8)</f>
        <v/>
      </c>
      <c r="B195" s="90" t="s">
        <v>321</v>
      </c>
      <c r="C195" s="91" t="s">
        <v>322</v>
      </c>
      <c r="D195" s="109" t="s">
        <v>353</v>
      </c>
      <c r="E195" s="67" t="str">
        <f>COLORES!A19</f>
        <v/>
      </c>
      <c r="F195" s="67" t="str">
        <f>COLORES!B19</f>
        <v/>
      </c>
      <c r="G195" s="90" t="s">
        <v>377</v>
      </c>
      <c r="H195" s="100">
        <f>IFERROR(SUMIFS(MOVIMIENTOS_COMPLEMENTOS!$I$4:$I$803,MOVIMIENTOS_COMPLEMENTOS!$C$4:$C$803,A195,MOVIMIENTOS_COMPLEMENTOS!$D$4:$D$803,B195,MOVIMIENTOS_COMPLEMENTOS!$E$4:$E$803,C195,MOVIMIENTOS_COMPLEMENTOS!$G$4:$G$803,E195,MOVIMIENTOS_COMPLEMENTOS!$H$4:$H$803,G195,MOVIMIENTOS_COMPLEMENTOS!$B$4:$B$803,"INGRESO")+SUMIFS(MOVIMIENTOS_COMPLEMENTOS!$I$4:$I$803,MOVIMIENTOS_COMPLEMENTOS!$C$4:$C$803,A195,MOVIMIENTOS_COMPLEMENTOS!$D$4:$D$803,B195,MOVIMIENTOS_COMPLEMENTOS!$E$4:$E$803,C195,MOVIMIENTOS_COMPLEMENTOS!$G$4:$G$803,E195,MOVIMIENTOS_COMPLEMENTOS!$H$4:$H$803,G195,MOVIMIENTOS_COMPLEMENTOS!$B$4:$B$803,"DE CORTE")-SUMIFS(MOVIMIENTOS_COMPLEMENTOS!$I$4:$I$803,MOVIMIENTOS_COMPLEMENTOS!$C$4:$C$803,A195,MOVIMIENTOS_COMPLEMENTOS!$D$4:$D$803,B195,MOVIMIENTOS_COMPLEMENTOS!$E$4:$E$803,C195,MOVIMIENTOS_COMPLEMENTOS!$G$4:$G$803,E195,MOVIMIENTOS_COMPLEMENTOS!$H$4:$H$803,G195,MOVIMIENTOS_COMPLEMENTOS!$B$4:$B$803,"SALIDA"),0)</f>
        <v>0</v>
      </c>
      <c r="I195" s="102">
        <f t="array" ref="I195">IFERROR(INDEX(PRECIOS_COMPLEMENTOS!$C$4:$F$17,MATCH(B195&amp;"_"&amp;C195,PRECIOS_COMPLEMENTOS!$H$4:$H$17,0),IF(OR(G195="S",G195="20cm"),1,IF(OR(G195="M",G195="25cm"),2,IF(OR(G195="L",G195="30cm"),3,IF(OR(G195="XL",G195="35cm"),4,0))))),0)</f>
        <v>0.75</v>
      </c>
      <c r="J195" s="103">
        <f t="shared" si="1"/>
        <v>0</v>
      </c>
      <c r="K195" s="104" t="str">
        <f>IF(H195&lt;0,"ERROR",IF(H195=0,"",IF(H195&lt;CONFIG!$B$4,"CRÍTICO",IF(H195&lt;CONFIG!$B$5,"BAJO","OK"))))</f>
        <v/>
      </c>
    </row>
    <row r="196" ht="15.75" hidden="1" customHeight="1">
      <c r="A196" s="90" t="str">
        <f>IF(CLIENTES!A8="","",CLIENTES!A8)</f>
        <v/>
      </c>
      <c r="B196" s="90" t="s">
        <v>321</v>
      </c>
      <c r="C196" s="91" t="s">
        <v>322</v>
      </c>
      <c r="D196" s="109" t="s">
        <v>353</v>
      </c>
      <c r="E196" s="67" t="str">
        <f>COLORES!A20</f>
        <v/>
      </c>
      <c r="F196" s="67" t="str">
        <f>COLORES!B20</f>
        <v/>
      </c>
      <c r="G196" s="90" t="s">
        <v>376</v>
      </c>
      <c r="H196" s="100">
        <f>IFERROR(SUMIFS(MOVIMIENTOS_COMPLEMENTOS!$I$4:$I$803,MOVIMIENTOS_COMPLEMENTOS!$C$4:$C$803,A196,MOVIMIENTOS_COMPLEMENTOS!$D$4:$D$803,B196,MOVIMIENTOS_COMPLEMENTOS!$E$4:$E$803,C196,MOVIMIENTOS_COMPLEMENTOS!$G$4:$G$803,E196,MOVIMIENTOS_COMPLEMENTOS!$H$4:$H$803,G196,MOVIMIENTOS_COMPLEMENTOS!$B$4:$B$803,"INGRESO")+SUMIFS(MOVIMIENTOS_COMPLEMENTOS!$I$4:$I$803,MOVIMIENTOS_COMPLEMENTOS!$C$4:$C$803,A196,MOVIMIENTOS_COMPLEMENTOS!$D$4:$D$803,B196,MOVIMIENTOS_COMPLEMENTOS!$E$4:$E$803,C196,MOVIMIENTOS_COMPLEMENTOS!$G$4:$G$803,E196,MOVIMIENTOS_COMPLEMENTOS!$H$4:$H$803,G196,MOVIMIENTOS_COMPLEMENTOS!$B$4:$B$803,"DE CORTE")-SUMIFS(MOVIMIENTOS_COMPLEMENTOS!$I$4:$I$803,MOVIMIENTOS_COMPLEMENTOS!$C$4:$C$803,A196,MOVIMIENTOS_COMPLEMENTOS!$D$4:$D$803,B196,MOVIMIENTOS_COMPLEMENTOS!$E$4:$E$803,C196,MOVIMIENTOS_COMPLEMENTOS!$G$4:$G$803,E196,MOVIMIENTOS_COMPLEMENTOS!$H$4:$H$803,G196,MOVIMIENTOS_COMPLEMENTOS!$B$4:$B$803,"SALIDA"),0)</f>
        <v>0</v>
      </c>
      <c r="I196" s="102">
        <f t="array" ref="I196">IFERROR(INDEX(PRECIOS_COMPLEMENTOS!$C$4:$F$17,MATCH(B196&amp;"_"&amp;C196,PRECIOS_COMPLEMENTOS!$H$4:$H$17,0),IF(OR(G196="S",G196="20cm"),1,IF(OR(G196="M",G196="25cm"),2,IF(OR(G196="L",G196="30cm"),3,IF(OR(G196="XL",G196="35cm"),4,0))))),0)</f>
        <v>0.7</v>
      </c>
      <c r="J196" s="103">
        <f t="shared" si="1"/>
        <v>0</v>
      </c>
      <c r="K196" s="104" t="str">
        <f>IF(H196&lt;0,"ERROR",IF(H196=0,"",IF(H196&lt;CONFIG!$B$4,"CRÍTICO",IF(H196&lt;CONFIG!$B$5,"BAJO","OK"))))</f>
        <v/>
      </c>
    </row>
    <row r="197" ht="15.75" hidden="1" customHeight="1">
      <c r="A197" s="90" t="str">
        <f>IF(CLIENTES!A8="","",CLIENTES!A8)</f>
        <v/>
      </c>
      <c r="B197" s="90" t="s">
        <v>321</v>
      </c>
      <c r="C197" s="91" t="s">
        <v>322</v>
      </c>
      <c r="D197" s="109" t="s">
        <v>353</v>
      </c>
      <c r="E197" s="67" t="str">
        <f>COLORES!A20</f>
        <v/>
      </c>
      <c r="F197" s="67" t="str">
        <f>COLORES!B20</f>
        <v/>
      </c>
      <c r="G197" s="90" t="s">
        <v>377</v>
      </c>
      <c r="H197" s="100">
        <f>IFERROR(SUMIFS(MOVIMIENTOS_COMPLEMENTOS!$I$4:$I$803,MOVIMIENTOS_COMPLEMENTOS!$C$4:$C$803,A197,MOVIMIENTOS_COMPLEMENTOS!$D$4:$D$803,B197,MOVIMIENTOS_COMPLEMENTOS!$E$4:$E$803,C197,MOVIMIENTOS_COMPLEMENTOS!$G$4:$G$803,E197,MOVIMIENTOS_COMPLEMENTOS!$H$4:$H$803,G197,MOVIMIENTOS_COMPLEMENTOS!$B$4:$B$803,"INGRESO")+SUMIFS(MOVIMIENTOS_COMPLEMENTOS!$I$4:$I$803,MOVIMIENTOS_COMPLEMENTOS!$C$4:$C$803,A197,MOVIMIENTOS_COMPLEMENTOS!$D$4:$D$803,B197,MOVIMIENTOS_COMPLEMENTOS!$E$4:$E$803,C197,MOVIMIENTOS_COMPLEMENTOS!$G$4:$G$803,E197,MOVIMIENTOS_COMPLEMENTOS!$H$4:$H$803,G197,MOVIMIENTOS_COMPLEMENTOS!$B$4:$B$803,"DE CORTE")-SUMIFS(MOVIMIENTOS_COMPLEMENTOS!$I$4:$I$803,MOVIMIENTOS_COMPLEMENTOS!$C$4:$C$803,A197,MOVIMIENTOS_COMPLEMENTOS!$D$4:$D$803,B197,MOVIMIENTOS_COMPLEMENTOS!$E$4:$E$803,C197,MOVIMIENTOS_COMPLEMENTOS!$G$4:$G$803,E197,MOVIMIENTOS_COMPLEMENTOS!$H$4:$H$803,G197,MOVIMIENTOS_COMPLEMENTOS!$B$4:$B$803,"SALIDA"),0)</f>
        <v>0</v>
      </c>
      <c r="I197" s="102">
        <f t="array" ref="I197">IFERROR(INDEX(PRECIOS_COMPLEMENTOS!$C$4:$F$17,MATCH(B197&amp;"_"&amp;C197,PRECIOS_COMPLEMENTOS!$H$4:$H$17,0),IF(OR(G197="S",G197="20cm"),1,IF(OR(G197="M",G197="25cm"),2,IF(OR(G197="L",G197="30cm"),3,IF(OR(G197="XL",G197="35cm"),4,0))))),0)</f>
        <v>0.75</v>
      </c>
      <c r="J197" s="103">
        <f t="shared" si="1"/>
        <v>0</v>
      </c>
      <c r="K197" s="104" t="str">
        <f>IF(H197&lt;0,"ERROR",IF(H197=0,"",IF(H197&lt;CONFIG!$B$4,"CRÍTICO",IF(H197&lt;CONFIG!$B$5,"BAJO","OK"))))</f>
        <v/>
      </c>
    </row>
    <row r="198" ht="15.75" hidden="1" customHeight="1">
      <c r="A198" s="90" t="str">
        <f>IF(CLIENTES!A8="","",CLIENTES!A8)</f>
        <v/>
      </c>
      <c r="B198" s="90" t="s">
        <v>321</v>
      </c>
      <c r="C198" s="91" t="s">
        <v>322</v>
      </c>
      <c r="D198" s="109" t="s">
        <v>353</v>
      </c>
      <c r="E198" s="67" t="str">
        <f>COLORES!A21</f>
        <v/>
      </c>
      <c r="F198" s="67" t="str">
        <f>COLORES!B21</f>
        <v/>
      </c>
      <c r="G198" s="90" t="s">
        <v>376</v>
      </c>
      <c r="H198" s="100">
        <f>IFERROR(SUMIFS(MOVIMIENTOS_COMPLEMENTOS!$I$4:$I$803,MOVIMIENTOS_COMPLEMENTOS!$C$4:$C$803,A198,MOVIMIENTOS_COMPLEMENTOS!$D$4:$D$803,B198,MOVIMIENTOS_COMPLEMENTOS!$E$4:$E$803,C198,MOVIMIENTOS_COMPLEMENTOS!$G$4:$G$803,E198,MOVIMIENTOS_COMPLEMENTOS!$H$4:$H$803,G198,MOVIMIENTOS_COMPLEMENTOS!$B$4:$B$803,"INGRESO")+SUMIFS(MOVIMIENTOS_COMPLEMENTOS!$I$4:$I$803,MOVIMIENTOS_COMPLEMENTOS!$C$4:$C$803,A198,MOVIMIENTOS_COMPLEMENTOS!$D$4:$D$803,B198,MOVIMIENTOS_COMPLEMENTOS!$E$4:$E$803,C198,MOVIMIENTOS_COMPLEMENTOS!$G$4:$G$803,E198,MOVIMIENTOS_COMPLEMENTOS!$H$4:$H$803,G198,MOVIMIENTOS_COMPLEMENTOS!$B$4:$B$803,"DE CORTE")-SUMIFS(MOVIMIENTOS_COMPLEMENTOS!$I$4:$I$803,MOVIMIENTOS_COMPLEMENTOS!$C$4:$C$803,A198,MOVIMIENTOS_COMPLEMENTOS!$D$4:$D$803,B198,MOVIMIENTOS_COMPLEMENTOS!$E$4:$E$803,C198,MOVIMIENTOS_COMPLEMENTOS!$G$4:$G$803,E198,MOVIMIENTOS_COMPLEMENTOS!$H$4:$H$803,G198,MOVIMIENTOS_COMPLEMENTOS!$B$4:$B$803,"SALIDA"),0)</f>
        <v>0</v>
      </c>
      <c r="I198" s="102">
        <f t="array" ref="I198">IFERROR(INDEX(PRECIOS_COMPLEMENTOS!$C$4:$F$17,MATCH(B198&amp;"_"&amp;C198,PRECIOS_COMPLEMENTOS!$H$4:$H$17,0),IF(OR(G198="S",G198="20cm"),1,IF(OR(G198="M",G198="25cm"),2,IF(OR(G198="L",G198="30cm"),3,IF(OR(G198="XL",G198="35cm"),4,0))))),0)</f>
        <v>0.7</v>
      </c>
      <c r="J198" s="103">
        <f t="shared" si="1"/>
        <v>0</v>
      </c>
      <c r="K198" s="104" t="str">
        <f>IF(H198&lt;0,"ERROR",IF(H198=0,"",IF(H198&lt;CONFIG!$B$4,"CRÍTICO",IF(H198&lt;CONFIG!$B$5,"BAJO","OK"))))</f>
        <v/>
      </c>
    </row>
    <row r="199" ht="15.75" hidden="1" customHeight="1">
      <c r="A199" s="90" t="str">
        <f>IF(CLIENTES!A8="","",CLIENTES!A8)</f>
        <v/>
      </c>
      <c r="B199" s="90" t="s">
        <v>321</v>
      </c>
      <c r="C199" s="91" t="s">
        <v>322</v>
      </c>
      <c r="D199" s="109" t="s">
        <v>353</v>
      </c>
      <c r="E199" s="67" t="str">
        <f>COLORES!A21</f>
        <v/>
      </c>
      <c r="F199" s="67" t="str">
        <f>COLORES!B21</f>
        <v/>
      </c>
      <c r="G199" s="90" t="s">
        <v>377</v>
      </c>
      <c r="H199" s="100">
        <f>IFERROR(SUMIFS(MOVIMIENTOS_COMPLEMENTOS!$I$4:$I$803,MOVIMIENTOS_COMPLEMENTOS!$C$4:$C$803,A199,MOVIMIENTOS_COMPLEMENTOS!$D$4:$D$803,B199,MOVIMIENTOS_COMPLEMENTOS!$E$4:$E$803,C199,MOVIMIENTOS_COMPLEMENTOS!$G$4:$G$803,E199,MOVIMIENTOS_COMPLEMENTOS!$H$4:$H$803,G199,MOVIMIENTOS_COMPLEMENTOS!$B$4:$B$803,"INGRESO")+SUMIFS(MOVIMIENTOS_COMPLEMENTOS!$I$4:$I$803,MOVIMIENTOS_COMPLEMENTOS!$C$4:$C$803,A199,MOVIMIENTOS_COMPLEMENTOS!$D$4:$D$803,B199,MOVIMIENTOS_COMPLEMENTOS!$E$4:$E$803,C199,MOVIMIENTOS_COMPLEMENTOS!$G$4:$G$803,E199,MOVIMIENTOS_COMPLEMENTOS!$H$4:$H$803,G199,MOVIMIENTOS_COMPLEMENTOS!$B$4:$B$803,"DE CORTE")-SUMIFS(MOVIMIENTOS_COMPLEMENTOS!$I$4:$I$803,MOVIMIENTOS_COMPLEMENTOS!$C$4:$C$803,A199,MOVIMIENTOS_COMPLEMENTOS!$D$4:$D$803,B199,MOVIMIENTOS_COMPLEMENTOS!$E$4:$E$803,C199,MOVIMIENTOS_COMPLEMENTOS!$G$4:$G$803,E199,MOVIMIENTOS_COMPLEMENTOS!$H$4:$H$803,G199,MOVIMIENTOS_COMPLEMENTOS!$B$4:$B$803,"SALIDA"),0)</f>
        <v>0</v>
      </c>
      <c r="I199" s="102">
        <f t="array" ref="I199">IFERROR(INDEX(PRECIOS_COMPLEMENTOS!$C$4:$F$17,MATCH(B199&amp;"_"&amp;C199,PRECIOS_COMPLEMENTOS!$H$4:$H$17,0),IF(OR(G199="S",G199="20cm"),1,IF(OR(G199="M",G199="25cm"),2,IF(OR(G199="L",G199="30cm"),3,IF(OR(G199="XL",G199="35cm"),4,0))))),0)</f>
        <v>0.75</v>
      </c>
      <c r="J199" s="103">
        <f t="shared" si="1"/>
        <v>0</v>
      </c>
      <c r="K199" s="104" t="str">
        <f>IF(H199&lt;0,"ERROR",IF(H199=0,"",IF(H199&lt;CONFIG!$B$4,"CRÍTICO",IF(H199&lt;CONFIG!$B$5,"BAJO","OK"))))</f>
        <v/>
      </c>
    </row>
    <row r="200" ht="15.75" hidden="1" customHeight="1">
      <c r="A200" s="90" t="str">
        <f>IF(CLIENTES!A8="","",CLIENTES!A8)</f>
        <v/>
      </c>
      <c r="B200" s="90" t="s">
        <v>321</v>
      </c>
      <c r="C200" s="91" t="s">
        <v>322</v>
      </c>
      <c r="D200" s="109" t="s">
        <v>353</v>
      </c>
      <c r="E200" s="67" t="str">
        <f>COLORES!A22</f>
        <v/>
      </c>
      <c r="F200" s="67" t="str">
        <f>COLORES!B22</f>
        <v/>
      </c>
      <c r="G200" s="90" t="s">
        <v>376</v>
      </c>
      <c r="H200" s="100">
        <f>IFERROR(SUMIFS(MOVIMIENTOS_COMPLEMENTOS!$I$4:$I$803,MOVIMIENTOS_COMPLEMENTOS!$C$4:$C$803,A200,MOVIMIENTOS_COMPLEMENTOS!$D$4:$D$803,B200,MOVIMIENTOS_COMPLEMENTOS!$E$4:$E$803,C200,MOVIMIENTOS_COMPLEMENTOS!$G$4:$G$803,E200,MOVIMIENTOS_COMPLEMENTOS!$H$4:$H$803,G200,MOVIMIENTOS_COMPLEMENTOS!$B$4:$B$803,"INGRESO")+SUMIFS(MOVIMIENTOS_COMPLEMENTOS!$I$4:$I$803,MOVIMIENTOS_COMPLEMENTOS!$C$4:$C$803,A200,MOVIMIENTOS_COMPLEMENTOS!$D$4:$D$803,B200,MOVIMIENTOS_COMPLEMENTOS!$E$4:$E$803,C200,MOVIMIENTOS_COMPLEMENTOS!$G$4:$G$803,E200,MOVIMIENTOS_COMPLEMENTOS!$H$4:$H$803,G200,MOVIMIENTOS_COMPLEMENTOS!$B$4:$B$803,"DE CORTE")-SUMIFS(MOVIMIENTOS_COMPLEMENTOS!$I$4:$I$803,MOVIMIENTOS_COMPLEMENTOS!$C$4:$C$803,A200,MOVIMIENTOS_COMPLEMENTOS!$D$4:$D$803,B200,MOVIMIENTOS_COMPLEMENTOS!$E$4:$E$803,C200,MOVIMIENTOS_COMPLEMENTOS!$G$4:$G$803,E200,MOVIMIENTOS_COMPLEMENTOS!$H$4:$H$803,G200,MOVIMIENTOS_COMPLEMENTOS!$B$4:$B$803,"SALIDA"),0)</f>
        <v>0</v>
      </c>
      <c r="I200" s="102">
        <f t="array" ref="I200">IFERROR(INDEX(PRECIOS_COMPLEMENTOS!$C$4:$F$17,MATCH(B200&amp;"_"&amp;C200,PRECIOS_COMPLEMENTOS!$H$4:$H$17,0),IF(OR(G200="S",G200="20cm"),1,IF(OR(G200="M",G200="25cm"),2,IF(OR(G200="L",G200="30cm"),3,IF(OR(G200="XL",G200="35cm"),4,0))))),0)</f>
        <v>0.7</v>
      </c>
      <c r="J200" s="103">
        <f t="shared" si="1"/>
        <v>0</v>
      </c>
      <c r="K200" s="104" t="str">
        <f>IF(H200&lt;0,"ERROR",IF(H200=0,"",IF(H200&lt;CONFIG!$B$4,"CRÍTICO",IF(H200&lt;CONFIG!$B$5,"BAJO","OK"))))</f>
        <v/>
      </c>
    </row>
    <row r="201" ht="15.75" hidden="1" customHeight="1">
      <c r="A201" s="90" t="str">
        <f>IF(CLIENTES!A8="","",CLIENTES!A8)</f>
        <v/>
      </c>
      <c r="B201" s="90" t="s">
        <v>321</v>
      </c>
      <c r="C201" s="91" t="s">
        <v>322</v>
      </c>
      <c r="D201" s="109" t="s">
        <v>353</v>
      </c>
      <c r="E201" s="67" t="str">
        <f>COLORES!A22</f>
        <v/>
      </c>
      <c r="F201" s="67" t="str">
        <f>COLORES!B22</f>
        <v/>
      </c>
      <c r="G201" s="90" t="s">
        <v>377</v>
      </c>
      <c r="H201" s="100">
        <f>IFERROR(SUMIFS(MOVIMIENTOS_COMPLEMENTOS!$I$4:$I$803,MOVIMIENTOS_COMPLEMENTOS!$C$4:$C$803,A201,MOVIMIENTOS_COMPLEMENTOS!$D$4:$D$803,B201,MOVIMIENTOS_COMPLEMENTOS!$E$4:$E$803,C201,MOVIMIENTOS_COMPLEMENTOS!$G$4:$G$803,E201,MOVIMIENTOS_COMPLEMENTOS!$H$4:$H$803,G201,MOVIMIENTOS_COMPLEMENTOS!$B$4:$B$803,"INGRESO")+SUMIFS(MOVIMIENTOS_COMPLEMENTOS!$I$4:$I$803,MOVIMIENTOS_COMPLEMENTOS!$C$4:$C$803,A201,MOVIMIENTOS_COMPLEMENTOS!$D$4:$D$803,B201,MOVIMIENTOS_COMPLEMENTOS!$E$4:$E$803,C201,MOVIMIENTOS_COMPLEMENTOS!$G$4:$G$803,E201,MOVIMIENTOS_COMPLEMENTOS!$H$4:$H$803,G201,MOVIMIENTOS_COMPLEMENTOS!$B$4:$B$803,"DE CORTE")-SUMIFS(MOVIMIENTOS_COMPLEMENTOS!$I$4:$I$803,MOVIMIENTOS_COMPLEMENTOS!$C$4:$C$803,A201,MOVIMIENTOS_COMPLEMENTOS!$D$4:$D$803,B201,MOVIMIENTOS_COMPLEMENTOS!$E$4:$E$803,C201,MOVIMIENTOS_COMPLEMENTOS!$G$4:$G$803,E201,MOVIMIENTOS_COMPLEMENTOS!$H$4:$H$803,G201,MOVIMIENTOS_COMPLEMENTOS!$B$4:$B$803,"SALIDA"),0)</f>
        <v>0</v>
      </c>
      <c r="I201" s="102">
        <f t="array" ref="I201">IFERROR(INDEX(PRECIOS_COMPLEMENTOS!$C$4:$F$17,MATCH(B201&amp;"_"&amp;C201,PRECIOS_COMPLEMENTOS!$H$4:$H$17,0),IF(OR(G201="S",G201="20cm"),1,IF(OR(G201="M",G201="25cm"),2,IF(OR(G201="L",G201="30cm"),3,IF(OR(G201="XL",G201="35cm"),4,0))))),0)</f>
        <v>0.75</v>
      </c>
      <c r="J201" s="103">
        <f t="shared" si="1"/>
        <v>0</v>
      </c>
      <c r="K201" s="104" t="str">
        <f>IF(H201&lt;0,"ERROR",IF(H201=0,"",IF(H201&lt;CONFIG!$B$4,"CRÍTICO",IF(H201&lt;CONFIG!$B$5,"BAJO","OK"))))</f>
        <v/>
      </c>
    </row>
    <row r="202" ht="15.75" hidden="1" customHeight="1">
      <c r="A202" s="90" t="str">
        <f>IF(CLIENTES!A8="","",CLIENTES!A8)</f>
        <v/>
      </c>
      <c r="B202" s="90" t="s">
        <v>321</v>
      </c>
      <c r="C202" s="91" t="s">
        <v>322</v>
      </c>
      <c r="D202" s="109" t="s">
        <v>353</v>
      </c>
      <c r="E202" s="67" t="str">
        <f>COLORES!A23</f>
        <v/>
      </c>
      <c r="F202" s="67" t="str">
        <f>COLORES!B23</f>
        <v/>
      </c>
      <c r="G202" s="90" t="s">
        <v>376</v>
      </c>
      <c r="H202" s="100">
        <f>IFERROR(SUMIFS(MOVIMIENTOS_COMPLEMENTOS!$I$4:$I$803,MOVIMIENTOS_COMPLEMENTOS!$C$4:$C$803,A202,MOVIMIENTOS_COMPLEMENTOS!$D$4:$D$803,B202,MOVIMIENTOS_COMPLEMENTOS!$E$4:$E$803,C202,MOVIMIENTOS_COMPLEMENTOS!$G$4:$G$803,E202,MOVIMIENTOS_COMPLEMENTOS!$H$4:$H$803,G202,MOVIMIENTOS_COMPLEMENTOS!$B$4:$B$803,"INGRESO")+SUMIFS(MOVIMIENTOS_COMPLEMENTOS!$I$4:$I$803,MOVIMIENTOS_COMPLEMENTOS!$C$4:$C$803,A202,MOVIMIENTOS_COMPLEMENTOS!$D$4:$D$803,B202,MOVIMIENTOS_COMPLEMENTOS!$E$4:$E$803,C202,MOVIMIENTOS_COMPLEMENTOS!$G$4:$G$803,E202,MOVIMIENTOS_COMPLEMENTOS!$H$4:$H$803,G202,MOVIMIENTOS_COMPLEMENTOS!$B$4:$B$803,"DE CORTE")-SUMIFS(MOVIMIENTOS_COMPLEMENTOS!$I$4:$I$803,MOVIMIENTOS_COMPLEMENTOS!$C$4:$C$803,A202,MOVIMIENTOS_COMPLEMENTOS!$D$4:$D$803,B202,MOVIMIENTOS_COMPLEMENTOS!$E$4:$E$803,C202,MOVIMIENTOS_COMPLEMENTOS!$G$4:$G$803,E202,MOVIMIENTOS_COMPLEMENTOS!$H$4:$H$803,G202,MOVIMIENTOS_COMPLEMENTOS!$B$4:$B$803,"SALIDA"),0)</f>
        <v>0</v>
      </c>
      <c r="I202" s="102">
        <f t="array" ref="I202">IFERROR(INDEX(PRECIOS_COMPLEMENTOS!$C$4:$F$17,MATCH(B202&amp;"_"&amp;C202,PRECIOS_COMPLEMENTOS!$H$4:$H$17,0),IF(OR(G202="S",G202="20cm"),1,IF(OR(G202="M",G202="25cm"),2,IF(OR(G202="L",G202="30cm"),3,IF(OR(G202="XL",G202="35cm"),4,0))))),0)</f>
        <v>0.7</v>
      </c>
      <c r="J202" s="103">
        <f t="shared" si="1"/>
        <v>0</v>
      </c>
      <c r="K202" s="104" t="str">
        <f>IF(H202&lt;0,"ERROR",IF(H202=0,"",IF(H202&lt;CONFIG!$B$4,"CRÍTICO",IF(H202&lt;CONFIG!$B$5,"BAJO","OK"))))</f>
        <v/>
      </c>
    </row>
    <row r="203" ht="15.75" hidden="1" customHeight="1">
      <c r="A203" s="90" t="str">
        <f>IF(CLIENTES!A8="","",CLIENTES!A8)</f>
        <v/>
      </c>
      <c r="B203" s="90" t="s">
        <v>321</v>
      </c>
      <c r="C203" s="91" t="s">
        <v>322</v>
      </c>
      <c r="D203" s="109" t="s">
        <v>353</v>
      </c>
      <c r="E203" s="67" t="str">
        <f>COLORES!A23</f>
        <v/>
      </c>
      <c r="F203" s="67" t="str">
        <f>COLORES!B23</f>
        <v/>
      </c>
      <c r="G203" s="90" t="s">
        <v>377</v>
      </c>
      <c r="H203" s="100">
        <f>IFERROR(SUMIFS(MOVIMIENTOS_COMPLEMENTOS!$I$4:$I$803,MOVIMIENTOS_COMPLEMENTOS!$C$4:$C$803,A203,MOVIMIENTOS_COMPLEMENTOS!$D$4:$D$803,B203,MOVIMIENTOS_COMPLEMENTOS!$E$4:$E$803,C203,MOVIMIENTOS_COMPLEMENTOS!$G$4:$G$803,E203,MOVIMIENTOS_COMPLEMENTOS!$H$4:$H$803,G203,MOVIMIENTOS_COMPLEMENTOS!$B$4:$B$803,"INGRESO")+SUMIFS(MOVIMIENTOS_COMPLEMENTOS!$I$4:$I$803,MOVIMIENTOS_COMPLEMENTOS!$C$4:$C$803,A203,MOVIMIENTOS_COMPLEMENTOS!$D$4:$D$803,B203,MOVIMIENTOS_COMPLEMENTOS!$E$4:$E$803,C203,MOVIMIENTOS_COMPLEMENTOS!$G$4:$G$803,E203,MOVIMIENTOS_COMPLEMENTOS!$H$4:$H$803,G203,MOVIMIENTOS_COMPLEMENTOS!$B$4:$B$803,"DE CORTE")-SUMIFS(MOVIMIENTOS_COMPLEMENTOS!$I$4:$I$803,MOVIMIENTOS_COMPLEMENTOS!$C$4:$C$803,A203,MOVIMIENTOS_COMPLEMENTOS!$D$4:$D$803,B203,MOVIMIENTOS_COMPLEMENTOS!$E$4:$E$803,C203,MOVIMIENTOS_COMPLEMENTOS!$G$4:$G$803,E203,MOVIMIENTOS_COMPLEMENTOS!$H$4:$H$803,G203,MOVIMIENTOS_COMPLEMENTOS!$B$4:$B$803,"SALIDA"),0)</f>
        <v>0</v>
      </c>
      <c r="I203" s="102">
        <f t="array" ref="I203">IFERROR(INDEX(PRECIOS_COMPLEMENTOS!$C$4:$F$17,MATCH(B203&amp;"_"&amp;C203,PRECIOS_COMPLEMENTOS!$H$4:$H$17,0),IF(OR(G203="S",G203="20cm"),1,IF(OR(G203="M",G203="25cm"),2,IF(OR(G203="L",G203="30cm"),3,IF(OR(G203="XL",G203="35cm"),4,0))))),0)</f>
        <v>0.75</v>
      </c>
      <c r="J203" s="103">
        <f t="shared" si="1"/>
        <v>0</v>
      </c>
      <c r="K203" s="104" t="str">
        <f>IF(H203&lt;0,"ERROR",IF(H203=0,"",IF(H203&lt;CONFIG!$B$4,"CRÍTICO",IF(H203&lt;CONFIG!$B$5,"BAJO","OK"))))</f>
        <v/>
      </c>
    </row>
    <row r="204" ht="15.75" hidden="1" customHeight="1">
      <c r="A204" s="90" t="str">
        <f>IF(CLIENTES!A9="","",CLIENTES!A9)</f>
        <v/>
      </c>
      <c r="B204" s="90" t="s">
        <v>321</v>
      </c>
      <c r="C204" s="91" t="s">
        <v>322</v>
      </c>
      <c r="D204" s="109" t="s">
        <v>353</v>
      </c>
      <c r="E204" s="67" t="str">
        <f>COLORES!A4</f>
        <v>Negro</v>
      </c>
      <c r="F204" s="67" t="str">
        <f>COLORES!B4</f>
        <v>OSCURO</v>
      </c>
      <c r="G204" s="90" t="s">
        <v>376</v>
      </c>
      <c r="H204" s="100">
        <f>IFERROR(SUMIFS(MOVIMIENTOS_COMPLEMENTOS!$I$4:$I$803,MOVIMIENTOS_COMPLEMENTOS!$C$4:$C$803,A204,MOVIMIENTOS_COMPLEMENTOS!$D$4:$D$803,B204,MOVIMIENTOS_COMPLEMENTOS!$E$4:$E$803,C204,MOVIMIENTOS_COMPLEMENTOS!$G$4:$G$803,E204,MOVIMIENTOS_COMPLEMENTOS!$H$4:$H$803,G204,MOVIMIENTOS_COMPLEMENTOS!$B$4:$B$803,"INGRESO")+SUMIFS(MOVIMIENTOS_COMPLEMENTOS!$I$4:$I$803,MOVIMIENTOS_COMPLEMENTOS!$C$4:$C$803,A204,MOVIMIENTOS_COMPLEMENTOS!$D$4:$D$803,B204,MOVIMIENTOS_COMPLEMENTOS!$E$4:$E$803,C204,MOVIMIENTOS_COMPLEMENTOS!$G$4:$G$803,E204,MOVIMIENTOS_COMPLEMENTOS!$H$4:$H$803,G204,MOVIMIENTOS_COMPLEMENTOS!$B$4:$B$803,"DE CORTE")-SUMIFS(MOVIMIENTOS_COMPLEMENTOS!$I$4:$I$803,MOVIMIENTOS_COMPLEMENTOS!$C$4:$C$803,A204,MOVIMIENTOS_COMPLEMENTOS!$D$4:$D$803,B204,MOVIMIENTOS_COMPLEMENTOS!$E$4:$E$803,C204,MOVIMIENTOS_COMPLEMENTOS!$G$4:$G$803,E204,MOVIMIENTOS_COMPLEMENTOS!$H$4:$H$803,G204,MOVIMIENTOS_COMPLEMENTOS!$B$4:$B$803,"SALIDA"),0)</f>
        <v>0</v>
      </c>
      <c r="I204" s="102">
        <f t="array" ref="I204">IFERROR(INDEX(PRECIOS_COMPLEMENTOS!$C$4:$F$17,MATCH(B204&amp;"_"&amp;C204,PRECIOS_COMPLEMENTOS!$H$4:$H$17,0),IF(OR(G204="S",G204="20cm"),1,IF(OR(G204="M",G204="25cm"),2,IF(OR(G204="L",G204="30cm"),3,IF(OR(G204="XL",G204="35cm"),4,0))))),0)</f>
        <v>0.7</v>
      </c>
      <c r="J204" s="103">
        <f t="shared" si="1"/>
        <v>0</v>
      </c>
      <c r="K204" s="104" t="str">
        <f>IF(H204&lt;0,"ERROR",IF(H204=0,"",IF(H204&lt;CONFIG!$B$4,"CRÍTICO",IF(H204&lt;CONFIG!$B$5,"BAJO","OK"))))</f>
        <v/>
      </c>
    </row>
    <row r="205" ht="15.75" hidden="1" customHeight="1">
      <c r="A205" s="90" t="str">
        <f>IF(CLIENTES!A9="","",CLIENTES!A9)</f>
        <v/>
      </c>
      <c r="B205" s="90" t="s">
        <v>321</v>
      </c>
      <c r="C205" s="91" t="s">
        <v>322</v>
      </c>
      <c r="D205" s="109" t="s">
        <v>353</v>
      </c>
      <c r="E205" s="67" t="str">
        <f>COLORES!A4</f>
        <v>Negro</v>
      </c>
      <c r="F205" s="67" t="str">
        <f>COLORES!B4</f>
        <v>OSCURO</v>
      </c>
      <c r="G205" s="90" t="s">
        <v>377</v>
      </c>
      <c r="H205" s="100">
        <f>IFERROR(SUMIFS(MOVIMIENTOS_COMPLEMENTOS!$I$4:$I$803,MOVIMIENTOS_COMPLEMENTOS!$C$4:$C$803,A205,MOVIMIENTOS_COMPLEMENTOS!$D$4:$D$803,B205,MOVIMIENTOS_COMPLEMENTOS!$E$4:$E$803,C205,MOVIMIENTOS_COMPLEMENTOS!$G$4:$G$803,E205,MOVIMIENTOS_COMPLEMENTOS!$H$4:$H$803,G205,MOVIMIENTOS_COMPLEMENTOS!$B$4:$B$803,"INGRESO")+SUMIFS(MOVIMIENTOS_COMPLEMENTOS!$I$4:$I$803,MOVIMIENTOS_COMPLEMENTOS!$C$4:$C$803,A205,MOVIMIENTOS_COMPLEMENTOS!$D$4:$D$803,B205,MOVIMIENTOS_COMPLEMENTOS!$E$4:$E$803,C205,MOVIMIENTOS_COMPLEMENTOS!$G$4:$G$803,E205,MOVIMIENTOS_COMPLEMENTOS!$H$4:$H$803,G205,MOVIMIENTOS_COMPLEMENTOS!$B$4:$B$803,"DE CORTE")-SUMIFS(MOVIMIENTOS_COMPLEMENTOS!$I$4:$I$803,MOVIMIENTOS_COMPLEMENTOS!$C$4:$C$803,A205,MOVIMIENTOS_COMPLEMENTOS!$D$4:$D$803,B205,MOVIMIENTOS_COMPLEMENTOS!$E$4:$E$803,C205,MOVIMIENTOS_COMPLEMENTOS!$G$4:$G$803,E205,MOVIMIENTOS_COMPLEMENTOS!$H$4:$H$803,G205,MOVIMIENTOS_COMPLEMENTOS!$B$4:$B$803,"SALIDA"),0)</f>
        <v>0</v>
      </c>
      <c r="I205" s="102">
        <f t="array" ref="I205">IFERROR(INDEX(PRECIOS_COMPLEMENTOS!$C$4:$F$17,MATCH(B205&amp;"_"&amp;C205,PRECIOS_COMPLEMENTOS!$H$4:$H$17,0),IF(OR(G205="S",G205="20cm"),1,IF(OR(G205="M",G205="25cm"),2,IF(OR(G205="L",G205="30cm"),3,IF(OR(G205="XL",G205="35cm"),4,0))))),0)</f>
        <v>0.75</v>
      </c>
      <c r="J205" s="103">
        <f t="shared" si="1"/>
        <v>0</v>
      </c>
      <c r="K205" s="104" t="str">
        <f>IF(H205&lt;0,"ERROR",IF(H205=0,"",IF(H205&lt;CONFIG!$B$4,"CRÍTICO",IF(H205&lt;CONFIG!$B$5,"BAJO","OK"))))</f>
        <v/>
      </c>
    </row>
    <row r="206" ht="15.75" hidden="1" customHeight="1">
      <c r="A206" s="90" t="str">
        <f>IF(CLIENTES!A9="","",CLIENTES!A9)</f>
        <v/>
      </c>
      <c r="B206" s="90" t="s">
        <v>321</v>
      </c>
      <c r="C206" s="91" t="s">
        <v>322</v>
      </c>
      <c r="D206" s="109" t="s">
        <v>353</v>
      </c>
      <c r="E206" s="67" t="str">
        <f>COLORES!A5</f>
        <v>Perla</v>
      </c>
      <c r="F206" s="67" t="str">
        <f>COLORES!B5</f>
        <v>PPT</v>
      </c>
      <c r="G206" s="90" t="s">
        <v>376</v>
      </c>
      <c r="H206" s="100">
        <f>IFERROR(SUMIFS(MOVIMIENTOS_COMPLEMENTOS!$I$4:$I$803,MOVIMIENTOS_COMPLEMENTOS!$C$4:$C$803,A206,MOVIMIENTOS_COMPLEMENTOS!$D$4:$D$803,B206,MOVIMIENTOS_COMPLEMENTOS!$E$4:$E$803,C206,MOVIMIENTOS_COMPLEMENTOS!$G$4:$G$803,E206,MOVIMIENTOS_COMPLEMENTOS!$H$4:$H$803,G206,MOVIMIENTOS_COMPLEMENTOS!$B$4:$B$803,"INGRESO")+SUMIFS(MOVIMIENTOS_COMPLEMENTOS!$I$4:$I$803,MOVIMIENTOS_COMPLEMENTOS!$C$4:$C$803,A206,MOVIMIENTOS_COMPLEMENTOS!$D$4:$D$803,B206,MOVIMIENTOS_COMPLEMENTOS!$E$4:$E$803,C206,MOVIMIENTOS_COMPLEMENTOS!$G$4:$G$803,E206,MOVIMIENTOS_COMPLEMENTOS!$H$4:$H$803,G206,MOVIMIENTOS_COMPLEMENTOS!$B$4:$B$803,"DE CORTE")-SUMIFS(MOVIMIENTOS_COMPLEMENTOS!$I$4:$I$803,MOVIMIENTOS_COMPLEMENTOS!$C$4:$C$803,A206,MOVIMIENTOS_COMPLEMENTOS!$D$4:$D$803,B206,MOVIMIENTOS_COMPLEMENTOS!$E$4:$E$803,C206,MOVIMIENTOS_COMPLEMENTOS!$G$4:$G$803,E206,MOVIMIENTOS_COMPLEMENTOS!$H$4:$H$803,G206,MOVIMIENTOS_COMPLEMENTOS!$B$4:$B$803,"SALIDA"),0)</f>
        <v>0</v>
      </c>
      <c r="I206" s="102">
        <f t="array" ref="I206">IFERROR(INDEX(PRECIOS_COMPLEMENTOS!$C$4:$F$17,MATCH(B206&amp;"_"&amp;C206,PRECIOS_COMPLEMENTOS!$H$4:$H$17,0),IF(OR(G206="S",G206="20cm"),1,IF(OR(G206="M",G206="25cm"),2,IF(OR(G206="L",G206="30cm"),3,IF(OR(G206="XL",G206="35cm"),4,0))))),0)</f>
        <v>0.7</v>
      </c>
      <c r="J206" s="103">
        <f t="shared" si="1"/>
        <v>0</v>
      </c>
      <c r="K206" s="104" t="str">
        <f>IF(H206&lt;0,"ERROR",IF(H206=0,"",IF(H206&lt;CONFIG!$B$4,"CRÍTICO",IF(H206&lt;CONFIG!$B$5,"BAJO","OK"))))</f>
        <v/>
      </c>
    </row>
    <row r="207" ht="15.75" hidden="1" customHeight="1">
      <c r="A207" s="90" t="str">
        <f>IF(CLIENTES!A9="","",CLIENTES!A9)</f>
        <v/>
      </c>
      <c r="B207" s="90" t="s">
        <v>321</v>
      </c>
      <c r="C207" s="91" t="s">
        <v>322</v>
      </c>
      <c r="D207" s="109" t="s">
        <v>353</v>
      </c>
      <c r="E207" s="67" t="str">
        <f>COLORES!A5</f>
        <v>Perla</v>
      </c>
      <c r="F207" s="67" t="str">
        <f>COLORES!B5</f>
        <v>PPT</v>
      </c>
      <c r="G207" s="90" t="s">
        <v>377</v>
      </c>
      <c r="H207" s="100">
        <f>IFERROR(SUMIFS(MOVIMIENTOS_COMPLEMENTOS!$I$4:$I$803,MOVIMIENTOS_COMPLEMENTOS!$C$4:$C$803,A207,MOVIMIENTOS_COMPLEMENTOS!$D$4:$D$803,B207,MOVIMIENTOS_COMPLEMENTOS!$E$4:$E$803,C207,MOVIMIENTOS_COMPLEMENTOS!$G$4:$G$803,E207,MOVIMIENTOS_COMPLEMENTOS!$H$4:$H$803,G207,MOVIMIENTOS_COMPLEMENTOS!$B$4:$B$803,"INGRESO")+SUMIFS(MOVIMIENTOS_COMPLEMENTOS!$I$4:$I$803,MOVIMIENTOS_COMPLEMENTOS!$C$4:$C$803,A207,MOVIMIENTOS_COMPLEMENTOS!$D$4:$D$803,B207,MOVIMIENTOS_COMPLEMENTOS!$E$4:$E$803,C207,MOVIMIENTOS_COMPLEMENTOS!$G$4:$G$803,E207,MOVIMIENTOS_COMPLEMENTOS!$H$4:$H$803,G207,MOVIMIENTOS_COMPLEMENTOS!$B$4:$B$803,"DE CORTE")-SUMIFS(MOVIMIENTOS_COMPLEMENTOS!$I$4:$I$803,MOVIMIENTOS_COMPLEMENTOS!$C$4:$C$803,A207,MOVIMIENTOS_COMPLEMENTOS!$D$4:$D$803,B207,MOVIMIENTOS_COMPLEMENTOS!$E$4:$E$803,C207,MOVIMIENTOS_COMPLEMENTOS!$G$4:$G$803,E207,MOVIMIENTOS_COMPLEMENTOS!$H$4:$H$803,G207,MOVIMIENTOS_COMPLEMENTOS!$B$4:$B$803,"SALIDA"),0)</f>
        <v>0</v>
      </c>
      <c r="I207" s="102">
        <f t="array" ref="I207">IFERROR(INDEX(PRECIOS_COMPLEMENTOS!$C$4:$F$17,MATCH(B207&amp;"_"&amp;C207,PRECIOS_COMPLEMENTOS!$H$4:$H$17,0),IF(OR(G207="S",G207="20cm"),1,IF(OR(G207="M",G207="25cm"),2,IF(OR(G207="L",G207="30cm"),3,IF(OR(G207="XL",G207="35cm"),4,0))))),0)</f>
        <v>0.75</v>
      </c>
      <c r="J207" s="103">
        <f t="shared" si="1"/>
        <v>0</v>
      </c>
      <c r="K207" s="104" t="str">
        <f>IF(H207&lt;0,"ERROR",IF(H207=0,"",IF(H207&lt;CONFIG!$B$4,"CRÍTICO",IF(H207&lt;CONFIG!$B$5,"BAJO","OK"))))</f>
        <v/>
      </c>
    </row>
    <row r="208" ht="15.75" hidden="1" customHeight="1">
      <c r="A208" s="90" t="str">
        <f>IF(CLIENTES!A9="","",CLIENTES!A9)</f>
        <v/>
      </c>
      <c r="B208" s="90" t="s">
        <v>321</v>
      </c>
      <c r="C208" s="91" t="s">
        <v>322</v>
      </c>
      <c r="D208" s="109" t="s">
        <v>353</v>
      </c>
      <c r="E208" s="67" t="str">
        <f>COLORES!A6</f>
        <v>Blanco</v>
      </c>
      <c r="F208" s="67" t="str">
        <f>COLORES!B6</f>
        <v>PPT</v>
      </c>
      <c r="G208" s="90" t="s">
        <v>376</v>
      </c>
      <c r="H208" s="100">
        <f>IFERROR(SUMIFS(MOVIMIENTOS_COMPLEMENTOS!$I$4:$I$803,MOVIMIENTOS_COMPLEMENTOS!$C$4:$C$803,A208,MOVIMIENTOS_COMPLEMENTOS!$D$4:$D$803,B208,MOVIMIENTOS_COMPLEMENTOS!$E$4:$E$803,C208,MOVIMIENTOS_COMPLEMENTOS!$G$4:$G$803,E208,MOVIMIENTOS_COMPLEMENTOS!$H$4:$H$803,G208,MOVIMIENTOS_COMPLEMENTOS!$B$4:$B$803,"INGRESO")+SUMIFS(MOVIMIENTOS_COMPLEMENTOS!$I$4:$I$803,MOVIMIENTOS_COMPLEMENTOS!$C$4:$C$803,A208,MOVIMIENTOS_COMPLEMENTOS!$D$4:$D$803,B208,MOVIMIENTOS_COMPLEMENTOS!$E$4:$E$803,C208,MOVIMIENTOS_COMPLEMENTOS!$G$4:$G$803,E208,MOVIMIENTOS_COMPLEMENTOS!$H$4:$H$803,G208,MOVIMIENTOS_COMPLEMENTOS!$B$4:$B$803,"DE CORTE")-SUMIFS(MOVIMIENTOS_COMPLEMENTOS!$I$4:$I$803,MOVIMIENTOS_COMPLEMENTOS!$C$4:$C$803,A208,MOVIMIENTOS_COMPLEMENTOS!$D$4:$D$803,B208,MOVIMIENTOS_COMPLEMENTOS!$E$4:$E$803,C208,MOVIMIENTOS_COMPLEMENTOS!$G$4:$G$803,E208,MOVIMIENTOS_COMPLEMENTOS!$H$4:$H$803,G208,MOVIMIENTOS_COMPLEMENTOS!$B$4:$B$803,"SALIDA"),0)</f>
        <v>0</v>
      </c>
      <c r="I208" s="102">
        <f t="array" ref="I208">IFERROR(INDEX(PRECIOS_COMPLEMENTOS!$C$4:$F$17,MATCH(B208&amp;"_"&amp;C208,PRECIOS_COMPLEMENTOS!$H$4:$H$17,0),IF(OR(G208="S",G208="20cm"),1,IF(OR(G208="M",G208="25cm"),2,IF(OR(G208="L",G208="30cm"),3,IF(OR(G208="XL",G208="35cm"),4,0))))),0)</f>
        <v>0.7</v>
      </c>
      <c r="J208" s="103">
        <f t="shared" si="1"/>
        <v>0</v>
      </c>
      <c r="K208" s="104" t="str">
        <f>IF(H208&lt;0,"ERROR",IF(H208=0,"",IF(H208&lt;CONFIG!$B$4,"CRÍTICO",IF(H208&lt;CONFIG!$B$5,"BAJO","OK"))))</f>
        <v/>
      </c>
    </row>
    <row r="209" ht="15.75" hidden="1" customHeight="1">
      <c r="A209" s="90" t="str">
        <f>IF(CLIENTES!A9="","",CLIENTES!A9)</f>
        <v/>
      </c>
      <c r="B209" s="90" t="s">
        <v>321</v>
      </c>
      <c r="C209" s="91" t="s">
        <v>322</v>
      </c>
      <c r="D209" s="109" t="s">
        <v>353</v>
      </c>
      <c r="E209" s="67" t="str">
        <f>COLORES!A6</f>
        <v>Blanco</v>
      </c>
      <c r="F209" s="67" t="str">
        <f>COLORES!B6</f>
        <v>PPT</v>
      </c>
      <c r="G209" s="90" t="s">
        <v>377</v>
      </c>
      <c r="H209" s="100">
        <f>IFERROR(SUMIFS(MOVIMIENTOS_COMPLEMENTOS!$I$4:$I$803,MOVIMIENTOS_COMPLEMENTOS!$C$4:$C$803,A209,MOVIMIENTOS_COMPLEMENTOS!$D$4:$D$803,B209,MOVIMIENTOS_COMPLEMENTOS!$E$4:$E$803,C209,MOVIMIENTOS_COMPLEMENTOS!$G$4:$G$803,E209,MOVIMIENTOS_COMPLEMENTOS!$H$4:$H$803,G209,MOVIMIENTOS_COMPLEMENTOS!$B$4:$B$803,"INGRESO")+SUMIFS(MOVIMIENTOS_COMPLEMENTOS!$I$4:$I$803,MOVIMIENTOS_COMPLEMENTOS!$C$4:$C$803,A209,MOVIMIENTOS_COMPLEMENTOS!$D$4:$D$803,B209,MOVIMIENTOS_COMPLEMENTOS!$E$4:$E$803,C209,MOVIMIENTOS_COMPLEMENTOS!$G$4:$G$803,E209,MOVIMIENTOS_COMPLEMENTOS!$H$4:$H$803,G209,MOVIMIENTOS_COMPLEMENTOS!$B$4:$B$803,"DE CORTE")-SUMIFS(MOVIMIENTOS_COMPLEMENTOS!$I$4:$I$803,MOVIMIENTOS_COMPLEMENTOS!$C$4:$C$803,A209,MOVIMIENTOS_COMPLEMENTOS!$D$4:$D$803,B209,MOVIMIENTOS_COMPLEMENTOS!$E$4:$E$803,C209,MOVIMIENTOS_COMPLEMENTOS!$G$4:$G$803,E209,MOVIMIENTOS_COMPLEMENTOS!$H$4:$H$803,G209,MOVIMIENTOS_COMPLEMENTOS!$B$4:$B$803,"SALIDA"),0)</f>
        <v>0</v>
      </c>
      <c r="I209" s="102">
        <f t="array" ref="I209">IFERROR(INDEX(PRECIOS_COMPLEMENTOS!$C$4:$F$17,MATCH(B209&amp;"_"&amp;C209,PRECIOS_COMPLEMENTOS!$H$4:$H$17,0),IF(OR(G209="S",G209="20cm"),1,IF(OR(G209="M",G209="25cm"),2,IF(OR(G209="L",G209="30cm"),3,IF(OR(G209="XL",G209="35cm"),4,0))))),0)</f>
        <v>0.75</v>
      </c>
      <c r="J209" s="103">
        <f t="shared" si="1"/>
        <v>0</v>
      </c>
      <c r="K209" s="104" t="str">
        <f>IF(H209&lt;0,"ERROR",IF(H209=0,"",IF(H209&lt;CONFIG!$B$4,"CRÍTICO",IF(H209&lt;CONFIG!$B$5,"BAJO","OK"))))</f>
        <v/>
      </c>
    </row>
    <row r="210" ht="15.75" hidden="1" customHeight="1">
      <c r="A210" s="90" t="str">
        <f>IF(CLIENTES!A9="","",CLIENTES!A9)</f>
        <v/>
      </c>
      <c r="B210" s="90" t="s">
        <v>321</v>
      </c>
      <c r="C210" s="91" t="s">
        <v>322</v>
      </c>
      <c r="D210" s="109" t="s">
        <v>353</v>
      </c>
      <c r="E210" s="67" t="str">
        <f>COLORES!A7</f>
        <v>Azul</v>
      </c>
      <c r="F210" s="67" t="str">
        <f>COLORES!B7</f>
        <v>OSCURO</v>
      </c>
      <c r="G210" s="90" t="s">
        <v>376</v>
      </c>
      <c r="H210" s="100">
        <f>IFERROR(SUMIFS(MOVIMIENTOS_COMPLEMENTOS!$I$4:$I$803,MOVIMIENTOS_COMPLEMENTOS!$C$4:$C$803,A210,MOVIMIENTOS_COMPLEMENTOS!$D$4:$D$803,B210,MOVIMIENTOS_COMPLEMENTOS!$E$4:$E$803,C210,MOVIMIENTOS_COMPLEMENTOS!$G$4:$G$803,E210,MOVIMIENTOS_COMPLEMENTOS!$H$4:$H$803,G210,MOVIMIENTOS_COMPLEMENTOS!$B$4:$B$803,"INGRESO")+SUMIFS(MOVIMIENTOS_COMPLEMENTOS!$I$4:$I$803,MOVIMIENTOS_COMPLEMENTOS!$C$4:$C$803,A210,MOVIMIENTOS_COMPLEMENTOS!$D$4:$D$803,B210,MOVIMIENTOS_COMPLEMENTOS!$E$4:$E$803,C210,MOVIMIENTOS_COMPLEMENTOS!$G$4:$G$803,E210,MOVIMIENTOS_COMPLEMENTOS!$H$4:$H$803,G210,MOVIMIENTOS_COMPLEMENTOS!$B$4:$B$803,"DE CORTE")-SUMIFS(MOVIMIENTOS_COMPLEMENTOS!$I$4:$I$803,MOVIMIENTOS_COMPLEMENTOS!$C$4:$C$803,A210,MOVIMIENTOS_COMPLEMENTOS!$D$4:$D$803,B210,MOVIMIENTOS_COMPLEMENTOS!$E$4:$E$803,C210,MOVIMIENTOS_COMPLEMENTOS!$G$4:$G$803,E210,MOVIMIENTOS_COMPLEMENTOS!$H$4:$H$803,G210,MOVIMIENTOS_COMPLEMENTOS!$B$4:$B$803,"SALIDA"),0)</f>
        <v>0</v>
      </c>
      <c r="I210" s="102">
        <f t="array" ref="I210">IFERROR(INDEX(PRECIOS_COMPLEMENTOS!$C$4:$F$17,MATCH(B210&amp;"_"&amp;C210,PRECIOS_COMPLEMENTOS!$H$4:$H$17,0),IF(OR(G210="S",G210="20cm"),1,IF(OR(G210="M",G210="25cm"),2,IF(OR(G210="L",G210="30cm"),3,IF(OR(G210="XL",G210="35cm"),4,0))))),0)</f>
        <v>0.7</v>
      </c>
      <c r="J210" s="103">
        <f t="shared" si="1"/>
        <v>0</v>
      </c>
      <c r="K210" s="104" t="str">
        <f>IF(H210&lt;0,"ERROR",IF(H210=0,"",IF(H210&lt;CONFIG!$B$4,"CRÍTICO",IF(H210&lt;CONFIG!$B$5,"BAJO","OK"))))</f>
        <v/>
      </c>
    </row>
    <row r="211" ht="15.75" hidden="1" customHeight="1">
      <c r="A211" s="90" t="str">
        <f>IF(CLIENTES!A9="","",CLIENTES!A9)</f>
        <v/>
      </c>
      <c r="B211" s="90" t="s">
        <v>321</v>
      </c>
      <c r="C211" s="91" t="s">
        <v>322</v>
      </c>
      <c r="D211" s="109" t="s">
        <v>353</v>
      </c>
      <c r="E211" s="67" t="str">
        <f>COLORES!A7</f>
        <v>Azul</v>
      </c>
      <c r="F211" s="67" t="str">
        <f>COLORES!B7</f>
        <v>OSCURO</v>
      </c>
      <c r="G211" s="90" t="s">
        <v>377</v>
      </c>
      <c r="H211" s="100">
        <f>IFERROR(SUMIFS(MOVIMIENTOS_COMPLEMENTOS!$I$4:$I$803,MOVIMIENTOS_COMPLEMENTOS!$C$4:$C$803,A211,MOVIMIENTOS_COMPLEMENTOS!$D$4:$D$803,B211,MOVIMIENTOS_COMPLEMENTOS!$E$4:$E$803,C211,MOVIMIENTOS_COMPLEMENTOS!$G$4:$G$803,E211,MOVIMIENTOS_COMPLEMENTOS!$H$4:$H$803,G211,MOVIMIENTOS_COMPLEMENTOS!$B$4:$B$803,"INGRESO")+SUMIFS(MOVIMIENTOS_COMPLEMENTOS!$I$4:$I$803,MOVIMIENTOS_COMPLEMENTOS!$C$4:$C$803,A211,MOVIMIENTOS_COMPLEMENTOS!$D$4:$D$803,B211,MOVIMIENTOS_COMPLEMENTOS!$E$4:$E$803,C211,MOVIMIENTOS_COMPLEMENTOS!$G$4:$G$803,E211,MOVIMIENTOS_COMPLEMENTOS!$H$4:$H$803,G211,MOVIMIENTOS_COMPLEMENTOS!$B$4:$B$803,"DE CORTE")-SUMIFS(MOVIMIENTOS_COMPLEMENTOS!$I$4:$I$803,MOVIMIENTOS_COMPLEMENTOS!$C$4:$C$803,A211,MOVIMIENTOS_COMPLEMENTOS!$D$4:$D$803,B211,MOVIMIENTOS_COMPLEMENTOS!$E$4:$E$803,C211,MOVIMIENTOS_COMPLEMENTOS!$G$4:$G$803,E211,MOVIMIENTOS_COMPLEMENTOS!$H$4:$H$803,G211,MOVIMIENTOS_COMPLEMENTOS!$B$4:$B$803,"SALIDA"),0)</f>
        <v>0</v>
      </c>
      <c r="I211" s="102">
        <f t="array" ref="I211">IFERROR(INDEX(PRECIOS_COMPLEMENTOS!$C$4:$F$17,MATCH(B211&amp;"_"&amp;C211,PRECIOS_COMPLEMENTOS!$H$4:$H$17,0),IF(OR(G211="S",G211="20cm"),1,IF(OR(G211="M",G211="25cm"),2,IF(OR(G211="L",G211="30cm"),3,IF(OR(G211="XL",G211="35cm"),4,0))))),0)</f>
        <v>0.75</v>
      </c>
      <c r="J211" s="103">
        <f t="shared" si="1"/>
        <v>0</v>
      </c>
      <c r="K211" s="104" t="str">
        <f>IF(H211&lt;0,"ERROR",IF(H211=0,"",IF(H211&lt;CONFIG!$B$4,"CRÍTICO",IF(H211&lt;CONFIG!$B$5,"BAJO","OK"))))</f>
        <v/>
      </c>
    </row>
    <row r="212" ht="15.75" hidden="1" customHeight="1">
      <c r="A212" s="90" t="str">
        <f>IF(CLIENTES!A9="","",CLIENTES!A9)</f>
        <v/>
      </c>
      <c r="B212" s="90" t="s">
        <v>321</v>
      </c>
      <c r="C212" s="91" t="s">
        <v>322</v>
      </c>
      <c r="D212" s="109" t="s">
        <v>353</v>
      </c>
      <c r="E212" s="67" t="str">
        <f>COLORES!A8</f>
        <v>Beige</v>
      </c>
      <c r="F212" s="67" t="str">
        <f>COLORES!B8</f>
        <v>CLARO</v>
      </c>
      <c r="G212" s="90" t="s">
        <v>376</v>
      </c>
      <c r="H212" s="100">
        <f>IFERROR(SUMIFS(MOVIMIENTOS_COMPLEMENTOS!$I$4:$I$803,MOVIMIENTOS_COMPLEMENTOS!$C$4:$C$803,A212,MOVIMIENTOS_COMPLEMENTOS!$D$4:$D$803,B212,MOVIMIENTOS_COMPLEMENTOS!$E$4:$E$803,C212,MOVIMIENTOS_COMPLEMENTOS!$G$4:$G$803,E212,MOVIMIENTOS_COMPLEMENTOS!$H$4:$H$803,G212,MOVIMIENTOS_COMPLEMENTOS!$B$4:$B$803,"INGRESO")+SUMIFS(MOVIMIENTOS_COMPLEMENTOS!$I$4:$I$803,MOVIMIENTOS_COMPLEMENTOS!$C$4:$C$803,A212,MOVIMIENTOS_COMPLEMENTOS!$D$4:$D$803,B212,MOVIMIENTOS_COMPLEMENTOS!$E$4:$E$803,C212,MOVIMIENTOS_COMPLEMENTOS!$G$4:$G$803,E212,MOVIMIENTOS_COMPLEMENTOS!$H$4:$H$803,G212,MOVIMIENTOS_COMPLEMENTOS!$B$4:$B$803,"DE CORTE")-SUMIFS(MOVIMIENTOS_COMPLEMENTOS!$I$4:$I$803,MOVIMIENTOS_COMPLEMENTOS!$C$4:$C$803,A212,MOVIMIENTOS_COMPLEMENTOS!$D$4:$D$803,B212,MOVIMIENTOS_COMPLEMENTOS!$E$4:$E$803,C212,MOVIMIENTOS_COMPLEMENTOS!$G$4:$G$803,E212,MOVIMIENTOS_COMPLEMENTOS!$H$4:$H$803,G212,MOVIMIENTOS_COMPLEMENTOS!$B$4:$B$803,"SALIDA"),0)</f>
        <v>0</v>
      </c>
      <c r="I212" s="102">
        <f t="array" ref="I212">IFERROR(INDEX(PRECIOS_COMPLEMENTOS!$C$4:$F$17,MATCH(B212&amp;"_"&amp;C212,PRECIOS_COMPLEMENTOS!$H$4:$H$17,0),IF(OR(G212="S",G212="20cm"),1,IF(OR(G212="M",G212="25cm"),2,IF(OR(G212="L",G212="30cm"),3,IF(OR(G212="XL",G212="35cm"),4,0))))),0)</f>
        <v>0.7</v>
      </c>
      <c r="J212" s="103">
        <f t="shared" si="1"/>
        <v>0</v>
      </c>
      <c r="K212" s="104" t="str">
        <f>IF(H212&lt;0,"ERROR",IF(H212=0,"",IF(H212&lt;CONFIG!$B$4,"CRÍTICO",IF(H212&lt;CONFIG!$B$5,"BAJO","OK"))))</f>
        <v/>
      </c>
    </row>
    <row r="213" ht="15.75" hidden="1" customHeight="1">
      <c r="A213" s="90" t="str">
        <f>IF(CLIENTES!A9="","",CLIENTES!A9)</f>
        <v/>
      </c>
      <c r="B213" s="90" t="s">
        <v>321</v>
      </c>
      <c r="C213" s="91" t="s">
        <v>322</v>
      </c>
      <c r="D213" s="109" t="s">
        <v>353</v>
      </c>
      <c r="E213" s="67" t="str">
        <f>COLORES!A8</f>
        <v>Beige</v>
      </c>
      <c r="F213" s="67" t="str">
        <f>COLORES!B8</f>
        <v>CLARO</v>
      </c>
      <c r="G213" s="90" t="s">
        <v>377</v>
      </c>
      <c r="H213" s="100">
        <f>IFERROR(SUMIFS(MOVIMIENTOS_COMPLEMENTOS!$I$4:$I$803,MOVIMIENTOS_COMPLEMENTOS!$C$4:$C$803,A213,MOVIMIENTOS_COMPLEMENTOS!$D$4:$D$803,B213,MOVIMIENTOS_COMPLEMENTOS!$E$4:$E$803,C213,MOVIMIENTOS_COMPLEMENTOS!$G$4:$G$803,E213,MOVIMIENTOS_COMPLEMENTOS!$H$4:$H$803,G213,MOVIMIENTOS_COMPLEMENTOS!$B$4:$B$803,"INGRESO")+SUMIFS(MOVIMIENTOS_COMPLEMENTOS!$I$4:$I$803,MOVIMIENTOS_COMPLEMENTOS!$C$4:$C$803,A213,MOVIMIENTOS_COMPLEMENTOS!$D$4:$D$803,B213,MOVIMIENTOS_COMPLEMENTOS!$E$4:$E$803,C213,MOVIMIENTOS_COMPLEMENTOS!$G$4:$G$803,E213,MOVIMIENTOS_COMPLEMENTOS!$H$4:$H$803,G213,MOVIMIENTOS_COMPLEMENTOS!$B$4:$B$803,"DE CORTE")-SUMIFS(MOVIMIENTOS_COMPLEMENTOS!$I$4:$I$803,MOVIMIENTOS_COMPLEMENTOS!$C$4:$C$803,A213,MOVIMIENTOS_COMPLEMENTOS!$D$4:$D$803,B213,MOVIMIENTOS_COMPLEMENTOS!$E$4:$E$803,C213,MOVIMIENTOS_COMPLEMENTOS!$G$4:$G$803,E213,MOVIMIENTOS_COMPLEMENTOS!$H$4:$H$803,G213,MOVIMIENTOS_COMPLEMENTOS!$B$4:$B$803,"SALIDA"),0)</f>
        <v>0</v>
      </c>
      <c r="I213" s="102">
        <f t="array" ref="I213">IFERROR(INDEX(PRECIOS_COMPLEMENTOS!$C$4:$F$17,MATCH(B213&amp;"_"&amp;C213,PRECIOS_COMPLEMENTOS!$H$4:$H$17,0),IF(OR(G213="S",G213="20cm"),1,IF(OR(G213="M",G213="25cm"),2,IF(OR(G213="L",G213="30cm"),3,IF(OR(G213="XL",G213="35cm"),4,0))))),0)</f>
        <v>0.75</v>
      </c>
      <c r="J213" s="103">
        <f t="shared" si="1"/>
        <v>0</v>
      </c>
      <c r="K213" s="104" t="str">
        <f>IF(H213&lt;0,"ERROR",IF(H213=0,"",IF(H213&lt;CONFIG!$B$4,"CRÍTICO",IF(H213&lt;CONFIG!$B$5,"BAJO","OK"))))</f>
        <v/>
      </c>
    </row>
    <row r="214" ht="15.75" hidden="1" customHeight="1">
      <c r="A214" s="90" t="str">
        <f>IF(CLIENTES!A9="","",CLIENTES!A9)</f>
        <v/>
      </c>
      <c r="B214" s="90" t="s">
        <v>321</v>
      </c>
      <c r="C214" s="91" t="s">
        <v>322</v>
      </c>
      <c r="D214" s="109" t="s">
        <v>353</v>
      </c>
      <c r="E214" s="67" t="str">
        <f>COLORES!A9</f>
        <v>Melange</v>
      </c>
      <c r="F214" s="67" t="str">
        <f>COLORES!B9</f>
        <v>MELANGE</v>
      </c>
      <c r="G214" s="90" t="s">
        <v>376</v>
      </c>
      <c r="H214" s="100">
        <f>IFERROR(SUMIFS(MOVIMIENTOS_COMPLEMENTOS!$I$4:$I$803,MOVIMIENTOS_COMPLEMENTOS!$C$4:$C$803,A214,MOVIMIENTOS_COMPLEMENTOS!$D$4:$D$803,B214,MOVIMIENTOS_COMPLEMENTOS!$E$4:$E$803,C214,MOVIMIENTOS_COMPLEMENTOS!$G$4:$G$803,E214,MOVIMIENTOS_COMPLEMENTOS!$H$4:$H$803,G214,MOVIMIENTOS_COMPLEMENTOS!$B$4:$B$803,"INGRESO")+SUMIFS(MOVIMIENTOS_COMPLEMENTOS!$I$4:$I$803,MOVIMIENTOS_COMPLEMENTOS!$C$4:$C$803,A214,MOVIMIENTOS_COMPLEMENTOS!$D$4:$D$803,B214,MOVIMIENTOS_COMPLEMENTOS!$E$4:$E$803,C214,MOVIMIENTOS_COMPLEMENTOS!$G$4:$G$803,E214,MOVIMIENTOS_COMPLEMENTOS!$H$4:$H$803,G214,MOVIMIENTOS_COMPLEMENTOS!$B$4:$B$803,"DE CORTE")-SUMIFS(MOVIMIENTOS_COMPLEMENTOS!$I$4:$I$803,MOVIMIENTOS_COMPLEMENTOS!$C$4:$C$803,A214,MOVIMIENTOS_COMPLEMENTOS!$D$4:$D$803,B214,MOVIMIENTOS_COMPLEMENTOS!$E$4:$E$803,C214,MOVIMIENTOS_COMPLEMENTOS!$G$4:$G$803,E214,MOVIMIENTOS_COMPLEMENTOS!$H$4:$H$803,G214,MOVIMIENTOS_COMPLEMENTOS!$B$4:$B$803,"SALIDA"),0)</f>
        <v>0</v>
      </c>
      <c r="I214" s="102">
        <f t="array" ref="I214">IFERROR(INDEX(PRECIOS_COMPLEMENTOS!$C$4:$F$17,MATCH(B214&amp;"_"&amp;C214,PRECIOS_COMPLEMENTOS!$H$4:$H$17,0),IF(OR(G214="S",G214="20cm"),1,IF(OR(G214="M",G214="25cm"),2,IF(OR(G214="L",G214="30cm"),3,IF(OR(G214="XL",G214="35cm"),4,0))))),0)</f>
        <v>0.7</v>
      </c>
      <c r="J214" s="103">
        <f t="shared" si="1"/>
        <v>0</v>
      </c>
      <c r="K214" s="104" t="str">
        <f>IF(H214&lt;0,"ERROR",IF(H214=0,"",IF(H214&lt;CONFIG!$B$4,"CRÍTICO",IF(H214&lt;CONFIG!$B$5,"BAJO","OK"))))</f>
        <v/>
      </c>
    </row>
    <row r="215" ht="15.75" hidden="1" customHeight="1">
      <c r="A215" s="90" t="str">
        <f>IF(CLIENTES!A9="","",CLIENTES!A9)</f>
        <v/>
      </c>
      <c r="B215" s="90" t="s">
        <v>321</v>
      </c>
      <c r="C215" s="91" t="s">
        <v>322</v>
      </c>
      <c r="D215" s="109" t="s">
        <v>353</v>
      </c>
      <c r="E215" s="67" t="str">
        <f>COLORES!A9</f>
        <v>Melange</v>
      </c>
      <c r="F215" s="67" t="str">
        <f>COLORES!B9</f>
        <v>MELANGE</v>
      </c>
      <c r="G215" s="90" t="s">
        <v>377</v>
      </c>
      <c r="H215" s="100">
        <f>IFERROR(SUMIFS(MOVIMIENTOS_COMPLEMENTOS!$I$4:$I$803,MOVIMIENTOS_COMPLEMENTOS!$C$4:$C$803,A215,MOVIMIENTOS_COMPLEMENTOS!$D$4:$D$803,B215,MOVIMIENTOS_COMPLEMENTOS!$E$4:$E$803,C215,MOVIMIENTOS_COMPLEMENTOS!$G$4:$G$803,E215,MOVIMIENTOS_COMPLEMENTOS!$H$4:$H$803,G215,MOVIMIENTOS_COMPLEMENTOS!$B$4:$B$803,"INGRESO")+SUMIFS(MOVIMIENTOS_COMPLEMENTOS!$I$4:$I$803,MOVIMIENTOS_COMPLEMENTOS!$C$4:$C$803,A215,MOVIMIENTOS_COMPLEMENTOS!$D$4:$D$803,B215,MOVIMIENTOS_COMPLEMENTOS!$E$4:$E$803,C215,MOVIMIENTOS_COMPLEMENTOS!$G$4:$G$803,E215,MOVIMIENTOS_COMPLEMENTOS!$H$4:$H$803,G215,MOVIMIENTOS_COMPLEMENTOS!$B$4:$B$803,"DE CORTE")-SUMIFS(MOVIMIENTOS_COMPLEMENTOS!$I$4:$I$803,MOVIMIENTOS_COMPLEMENTOS!$C$4:$C$803,A215,MOVIMIENTOS_COMPLEMENTOS!$D$4:$D$803,B215,MOVIMIENTOS_COMPLEMENTOS!$E$4:$E$803,C215,MOVIMIENTOS_COMPLEMENTOS!$G$4:$G$803,E215,MOVIMIENTOS_COMPLEMENTOS!$H$4:$H$803,G215,MOVIMIENTOS_COMPLEMENTOS!$B$4:$B$803,"SALIDA"),0)</f>
        <v>0</v>
      </c>
      <c r="I215" s="102">
        <f t="array" ref="I215">IFERROR(INDEX(PRECIOS_COMPLEMENTOS!$C$4:$F$17,MATCH(B215&amp;"_"&amp;C215,PRECIOS_COMPLEMENTOS!$H$4:$H$17,0),IF(OR(G215="S",G215="20cm"),1,IF(OR(G215="M",G215="25cm"),2,IF(OR(G215="L",G215="30cm"),3,IF(OR(G215="XL",G215="35cm"),4,0))))),0)</f>
        <v>0.75</v>
      </c>
      <c r="J215" s="103">
        <f t="shared" si="1"/>
        <v>0</v>
      </c>
      <c r="K215" s="104" t="str">
        <f>IF(H215&lt;0,"ERROR",IF(H215=0,"",IF(H215&lt;CONFIG!$B$4,"CRÍTICO",IF(H215&lt;CONFIG!$B$5,"BAJO","OK"))))</f>
        <v/>
      </c>
    </row>
    <row r="216" ht="15.75" hidden="1" customHeight="1">
      <c r="A216" s="90" t="str">
        <f>IF(CLIENTES!A9="","",CLIENTES!A9)</f>
        <v/>
      </c>
      <c r="B216" s="90" t="s">
        <v>321</v>
      </c>
      <c r="C216" s="91" t="s">
        <v>322</v>
      </c>
      <c r="D216" s="109" t="s">
        <v>353</v>
      </c>
      <c r="E216" s="67" t="str">
        <f>COLORES!A10</f>
        <v>Botella</v>
      </c>
      <c r="F216" s="67" t="str">
        <f>COLORES!B10</f>
        <v>OSCURO</v>
      </c>
      <c r="G216" s="90" t="s">
        <v>376</v>
      </c>
      <c r="H216" s="100">
        <f>IFERROR(SUMIFS(MOVIMIENTOS_COMPLEMENTOS!$I$4:$I$803,MOVIMIENTOS_COMPLEMENTOS!$C$4:$C$803,A216,MOVIMIENTOS_COMPLEMENTOS!$D$4:$D$803,B216,MOVIMIENTOS_COMPLEMENTOS!$E$4:$E$803,C216,MOVIMIENTOS_COMPLEMENTOS!$G$4:$G$803,E216,MOVIMIENTOS_COMPLEMENTOS!$H$4:$H$803,G216,MOVIMIENTOS_COMPLEMENTOS!$B$4:$B$803,"INGRESO")+SUMIFS(MOVIMIENTOS_COMPLEMENTOS!$I$4:$I$803,MOVIMIENTOS_COMPLEMENTOS!$C$4:$C$803,A216,MOVIMIENTOS_COMPLEMENTOS!$D$4:$D$803,B216,MOVIMIENTOS_COMPLEMENTOS!$E$4:$E$803,C216,MOVIMIENTOS_COMPLEMENTOS!$G$4:$G$803,E216,MOVIMIENTOS_COMPLEMENTOS!$H$4:$H$803,G216,MOVIMIENTOS_COMPLEMENTOS!$B$4:$B$803,"DE CORTE")-SUMIFS(MOVIMIENTOS_COMPLEMENTOS!$I$4:$I$803,MOVIMIENTOS_COMPLEMENTOS!$C$4:$C$803,A216,MOVIMIENTOS_COMPLEMENTOS!$D$4:$D$803,B216,MOVIMIENTOS_COMPLEMENTOS!$E$4:$E$803,C216,MOVIMIENTOS_COMPLEMENTOS!$G$4:$G$803,E216,MOVIMIENTOS_COMPLEMENTOS!$H$4:$H$803,G216,MOVIMIENTOS_COMPLEMENTOS!$B$4:$B$803,"SALIDA"),0)</f>
        <v>0</v>
      </c>
      <c r="I216" s="102">
        <f t="array" ref="I216">IFERROR(INDEX(PRECIOS_COMPLEMENTOS!$C$4:$F$17,MATCH(B216&amp;"_"&amp;C216,PRECIOS_COMPLEMENTOS!$H$4:$H$17,0),IF(OR(G216="S",G216="20cm"),1,IF(OR(G216="M",G216="25cm"),2,IF(OR(G216="L",G216="30cm"),3,IF(OR(G216="XL",G216="35cm"),4,0))))),0)</f>
        <v>0.7</v>
      </c>
      <c r="J216" s="103">
        <f t="shared" si="1"/>
        <v>0</v>
      </c>
      <c r="K216" s="104" t="str">
        <f>IF(H216&lt;0,"ERROR",IF(H216=0,"",IF(H216&lt;CONFIG!$B$4,"CRÍTICO",IF(H216&lt;CONFIG!$B$5,"BAJO","OK"))))</f>
        <v/>
      </c>
    </row>
    <row r="217" ht="15.75" hidden="1" customHeight="1">
      <c r="A217" s="90" t="str">
        <f>IF(CLIENTES!A9="","",CLIENTES!A9)</f>
        <v/>
      </c>
      <c r="B217" s="90" t="s">
        <v>321</v>
      </c>
      <c r="C217" s="91" t="s">
        <v>322</v>
      </c>
      <c r="D217" s="109" t="s">
        <v>353</v>
      </c>
      <c r="E217" s="67" t="str">
        <f>COLORES!A10</f>
        <v>Botella</v>
      </c>
      <c r="F217" s="67" t="str">
        <f>COLORES!B10</f>
        <v>OSCURO</v>
      </c>
      <c r="G217" s="90" t="s">
        <v>377</v>
      </c>
      <c r="H217" s="100">
        <f>IFERROR(SUMIFS(MOVIMIENTOS_COMPLEMENTOS!$I$4:$I$803,MOVIMIENTOS_COMPLEMENTOS!$C$4:$C$803,A217,MOVIMIENTOS_COMPLEMENTOS!$D$4:$D$803,B217,MOVIMIENTOS_COMPLEMENTOS!$E$4:$E$803,C217,MOVIMIENTOS_COMPLEMENTOS!$G$4:$G$803,E217,MOVIMIENTOS_COMPLEMENTOS!$H$4:$H$803,G217,MOVIMIENTOS_COMPLEMENTOS!$B$4:$B$803,"INGRESO")+SUMIFS(MOVIMIENTOS_COMPLEMENTOS!$I$4:$I$803,MOVIMIENTOS_COMPLEMENTOS!$C$4:$C$803,A217,MOVIMIENTOS_COMPLEMENTOS!$D$4:$D$803,B217,MOVIMIENTOS_COMPLEMENTOS!$E$4:$E$803,C217,MOVIMIENTOS_COMPLEMENTOS!$G$4:$G$803,E217,MOVIMIENTOS_COMPLEMENTOS!$H$4:$H$803,G217,MOVIMIENTOS_COMPLEMENTOS!$B$4:$B$803,"DE CORTE")-SUMIFS(MOVIMIENTOS_COMPLEMENTOS!$I$4:$I$803,MOVIMIENTOS_COMPLEMENTOS!$C$4:$C$803,A217,MOVIMIENTOS_COMPLEMENTOS!$D$4:$D$803,B217,MOVIMIENTOS_COMPLEMENTOS!$E$4:$E$803,C217,MOVIMIENTOS_COMPLEMENTOS!$G$4:$G$803,E217,MOVIMIENTOS_COMPLEMENTOS!$H$4:$H$803,G217,MOVIMIENTOS_COMPLEMENTOS!$B$4:$B$803,"SALIDA"),0)</f>
        <v>0</v>
      </c>
      <c r="I217" s="102">
        <f t="array" ref="I217">IFERROR(INDEX(PRECIOS_COMPLEMENTOS!$C$4:$F$17,MATCH(B217&amp;"_"&amp;C217,PRECIOS_COMPLEMENTOS!$H$4:$H$17,0),IF(OR(G217="S",G217="20cm"),1,IF(OR(G217="M",G217="25cm"),2,IF(OR(G217="L",G217="30cm"),3,IF(OR(G217="XL",G217="35cm"),4,0))))),0)</f>
        <v>0.75</v>
      </c>
      <c r="J217" s="103">
        <f t="shared" si="1"/>
        <v>0</v>
      </c>
      <c r="K217" s="104" t="str">
        <f>IF(H217&lt;0,"ERROR",IF(H217=0,"",IF(H217&lt;CONFIG!$B$4,"CRÍTICO",IF(H217&lt;CONFIG!$B$5,"BAJO","OK"))))</f>
        <v/>
      </c>
    </row>
    <row r="218" ht="15.75" hidden="1" customHeight="1">
      <c r="A218" s="90" t="str">
        <f>IF(CLIENTES!A9="","",CLIENTES!A9)</f>
        <v/>
      </c>
      <c r="B218" s="90" t="s">
        <v>321</v>
      </c>
      <c r="C218" s="91" t="s">
        <v>322</v>
      </c>
      <c r="D218" s="109" t="s">
        <v>353</v>
      </c>
      <c r="E218" s="67" t="str">
        <f>COLORES!A11</f>
        <v>Pacay</v>
      </c>
      <c r="F218" s="67" t="str">
        <f>COLORES!B11</f>
        <v>CLARO</v>
      </c>
      <c r="G218" s="90" t="s">
        <v>376</v>
      </c>
      <c r="H218" s="100">
        <f>IFERROR(SUMIFS(MOVIMIENTOS_COMPLEMENTOS!$I$4:$I$803,MOVIMIENTOS_COMPLEMENTOS!$C$4:$C$803,A218,MOVIMIENTOS_COMPLEMENTOS!$D$4:$D$803,B218,MOVIMIENTOS_COMPLEMENTOS!$E$4:$E$803,C218,MOVIMIENTOS_COMPLEMENTOS!$G$4:$G$803,E218,MOVIMIENTOS_COMPLEMENTOS!$H$4:$H$803,G218,MOVIMIENTOS_COMPLEMENTOS!$B$4:$B$803,"INGRESO")+SUMIFS(MOVIMIENTOS_COMPLEMENTOS!$I$4:$I$803,MOVIMIENTOS_COMPLEMENTOS!$C$4:$C$803,A218,MOVIMIENTOS_COMPLEMENTOS!$D$4:$D$803,B218,MOVIMIENTOS_COMPLEMENTOS!$E$4:$E$803,C218,MOVIMIENTOS_COMPLEMENTOS!$G$4:$G$803,E218,MOVIMIENTOS_COMPLEMENTOS!$H$4:$H$803,G218,MOVIMIENTOS_COMPLEMENTOS!$B$4:$B$803,"DE CORTE")-SUMIFS(MOVIMIENTOS_COMPLEMENTOS!$I$4:$I$803,MOVIMIENTOS_COMPLEMENTOS!$C$4:$C$803,A218,MOVIMIENTOS_COMPLEMENTOS!$D$4:$D$803,B218,MOVIMIENTOS_COMPLEMENTOS!$E$4:$E$803,C218,MOVIMIENTOS_COMPLEMENTOS!$G$4:$G$803,E218,MOVIMIENTOS_COMPLEMENTOS!$H$4:$H$803,G218,MOVIMIENTOS_COMPLEMENTOS!$B$4:$B$803,"SALIDA"),0)</f>
        <v>0</v>
      </c>
      <c r="I218" s="102">
        <f t="array" ref="I218">IFERROR(INDEX(PRECIOS_COMPLEMENTOS!$C$4:$F$17,MATCH(B218&amp;"_"&amp;C218,PRECIOS_COMPLEMENTOS!$H$4:$H$17,0),IF(OR(G218="S",G218="20cm"),1,IF(OR(G218="M",G218="25cm"),2,IF(OR(G218="L",G218="30cm"),3,IF(OR(G218="XL",G218="35cm"),4,0))))),0)</f>
        <v>0.7</v>
      </c>
      <c r="J218" s="103">
        <f t="shared" si="1"/>
        <v>0</v>
      </c>
      <c r="K218" s="104" t="str">
        <f>IF(H218&lt;0,"ERROR",IF(H218=0,"",IF(H218&lt;CONFIG!$B$4,"CRÍTICO",IF(H218&lt;CONFIG!$B$5,"BAJO","OK"))))</f>
        <v/>
      </c>
    </row>
    <row r="219" ht="15.75" hidden="1" customHeight="1">
      <c r="A219" s="90" t="str">
        <f>IF(CLIENTES!A9="","",CLIENTES!A9)</f>
        <v/>
      </c>
      <c r="B219" s="90" t="s">
        <v>321</v>
      </c>
      <c r="C219" s="91" t="s">
        <v>322</v>
      </c>
      <c r="D219" s="109" t="s">
        <v>353</v>
      </c>
      <c r="E219" s="67" t="str">
        <f>COLORES!A11</f>
        <v>Pacay</v>
      </c>
      <c r="F219" s="67" t="str">
        <f>COLORES!B11</f>
        <v>CLARO</v>
      </c>
      <c r="G219" s="90" t="s">
        <v>377</v>
      </c>
      <c r="H219" s="100">
        <f>IFERROR(SUMIFS(MOVIMIENTOS_COMPLEMENTOS!$I$4:$I$803,MOVIMIENTOS_COMPLEMENTOS!$C$4:$C$803,A219,MOVIMIENTOS_COMPLEMENTOS!$D$4:$D$803,B219,MOVIMIENTOS_COMPLEMENTOS!$E$4:$E$803,C219,MOVIMIENTOS_COMPLEMENTOS!$G$4:$G$803,E219,MOVIMIENTOS_COMPLEMENTOS!$H$4:$H$803,G219,MOVIMIENTOS_COMPLEMENTOS!$B$4:$B$803,"INGRESO")+SUMIFS(MOVIMIENTOS_COMPLEMENTOS!$I$4:$I$803,MOVIMIENTOS_COMPLEMENTOS!$C$4:$C$803,A219,MOVIMIENTOS_COMPLEMENTOS!$D$4:$D$803,B219,MOVIMIENTOS_COMPLEMENTOS!$E$4:$E$803,C219,MOVIMIENTOS_COMPLEMENTOS!$G$4:$G$803,E219,MOVIMIENTOS_COMPLEMENTOS!$H$4:$H$803,G219,MOVIMIENTOS_COMPLEMENTOS!$B$4:$B$803,"DE CORTE")-SUMIFS(MOVIMIENTOS_COMPLEMENTOS!$I$4:$I$803,MOVIMIENTOS_COMPLEMENTOS!$C$4:$C$803,A219,MOVIMIENTOS_COMPLEMENTOS!$D$4:$D$803,B219,MOVIMIENTOS_COMPLEMENTOS!$E$4:$E$803,C219,MOVIMIENTOS_COMPLEMENTOS!$G$4:$G$803,E219,MOVIMIENTOS_COMPLEMENTOS!$H$4:$H$803,G219,MOVIMIENTOS_COMPLEMENTOS!$B$4:$B$803,"SALIDA"),0)</f>
        <v>0</v>
      </c>
      <c r="I219" s="102">
        <f t="array" ref="I219">IFERROR(INDEX(PRECIOS_COMPLEMENTOS!$C$4:$F$17,MATCH(B219&amp;"_"&amp;C219,PRECIOS_COMPLEMENTOS!$H$4:$H$17,0),IF(OR(G219="S",G219="20cm"),1,IF(OR(G219="M",G219="25cm"),2,IF(OR(G219="L",G219="30cm"),3,IF(OR(G219="XL",G219="35cm"),4,0))))),0)</f>
        <v>0.75</v>
      </c>
      <c r="J219" s="103">
        <f t="shared" si="1"/>
        <v>0</v>
      </c>
      <c r="K219" s="104" t="str">
        <f>IF(H219&lt;0,"ERROR",IF(H219=0,"",IF(H219&lt;CONFIG!$B$4,"CRÍTICO",IF(H219&lt;CONFIG!$B$5,"BAJO","OK"))))</f>
        <v/>
      </c>
    </row>
    <row r="220" ht="15.75" hidden="1" customHeight="1">
      <c r="A220" s="90" t="str">
        <f>IF(CLIENTES!A9="","",CLIENTES!A9)</f>
        <v/>
      </c>
      <c r="B220" s="90" t="s">
        <v>321</v>
      </c>
      <c r="C220" s="91" t="s">
        <v>322</v>
      </c>
      <c r="D220" s="109" t="s">
        <v>353</v>
      </c>
      <c r="E220" s="67" t="str">
        <f>COLORES!A12</f>
        <v>Cemento</v>
      </c>
      <c r="F220" s="67" t="str">
        <f>COLORES!B12</f>
        <v>CLARO</v>
      </c>
      <c r="G220" s="90" t="s">
        <v>376</v>
      </c>
      <c r="H220" s="100">
        <f>IFERROR(SUMIFS(MOVIMIENTOS_COMPLEMENTOS!$I$4:$I$803,MOVIMIENTOS_COMPLEMENTOS!$C$4:$C$803,A220,MOVIMIENTOS_COMPLEMENTOS!$D$4:$D$803,B220,MOVIMIENTOS_COMPLEMENTOS!$E$4:$E$803,C220,MOVIMIENTOS_COMPLEMENTOS!$G$4:$G$803,E220,MOVIMIENTOS_COMPLEMENTOS!$H$4:$H$803,G220,MOVIMIENTOS_COMPLEMENTOS!$B$4:$B$803,"INGRESO")+SUMIFS(MOVIMIENTOS_COMPLEMENTOS!$I$4:$I$803,MOVIMIENTOS_COMPLEMENTOS!$C$4:$C$803,A220,MOVIMIENTOS_COMPLEMENTOS!$D$4:$D$803,B220,MOVIMIENTOS_COMPLEMENTOS!$E$4:$E$803,C220,MOVIMIENTOS_COMPLEMENTOS!$G$4:$G$803,E220,MOVIMIENTOS_COMPLEMENTOS!$H$4:$H$803,G220,MOVIMIENTOS_COMPLEMENTOS!$B$4:$B$803,"DE CORTE")-SUMIFS(MOVIMIENTOS_COMPLEMENTOS!$I$4:$I$803,MOVIMIENTOS_COMPLEMENTOS!$C$4:$C$803,A220,MOVIMIENTOS_COMPLEMENTOS!$D$4:$D$803,B220,MOVIMIENTOS_COMPLEMENTOS!$E$4:$E$803,C220,MOVIMIENTOS_COMPLEMENTOS!$G$4:$G$803,E220,MOVIMIENTOS_COMPLEMENTOS!$H$4:$H$803,G220,MOVIMIENTOS_COMPLEMENTOS!$B$4:$B$803,"SALIDA"),0)</f>
        <v>0</v>
      </c>
      <c r="I220" s="102">
        <f t="array" ref="I220">IFERROR(INDEX(PRECIOS_COMPLEMENTOS!$C$4:$F$17,MATCH(B220&amp;"_"&amp;C220,PRECIOS_COMPLEMENTOS!$H$4:$H$17,0),IF(OR(G220="S",G220="20cm"),1,IF(OR(G220="M",G220="25cm"),2,IF(OR(G220="L",G220="30cm"),3,IF(OR(G220="XL",G220="35cm"),4,0))))),0)</f>
        <v>0.7</v>
      </c>
      <c r="J220" s="103">
        <f t="shared" si="1"/>
        <v>0</v>
      </c>
      <c r="K220" s="104" t="str">
        <f>IF(H220&lt;0,"ERROR",IF(H220=0,"",IF(H220&lt;CONFIG!$B$4,"CRÍTICO",IF(H220&lt;CONFIG!$B$5,"BAJO","OK"))))</f>
        <v/>
      </c>
    </row>
    <row r="221" ht="15.75" hidden="1" customHeight="1">
      <c r="A221" s="90" t="str">
        <f>IF(CLIENTES!A9="","",CLIENTES!A9)</f>
        <v/>
      </c>
      <c r="B221" s="90" t="s">
        <v>321</v>
      </c>
      <c r="C221" s="91" t="s">
        <v>322</v>
      </c>
      <c r="D221" s="109" t="s">
        <v>353</v>
      </c>
      <c r="E221" s="67" t="str">
        <f>COLORES!A12</f>
        <v>Cemento</v>
      </c>
      <c r="F221" s="67" t="str">
        <f>COLORES!B12</f>
        <v>CLARO</v>
      </c>
      <c r="G221" s="90" t="s">
        <v>377</v>
      </c>
      <c r="H221" s="100">
        <f>IFERROR(SUMIFS(MOVIMIENTOS_COMPLEMENTOS!$I$4:$I$803,MOVIMIENTOS_COMPLEMENTOS!$C$4:$C$803,A221,MOVIMIENTOS_COMPLEMENTOS!$D$4:$D$803,B221,MOVIMIENTOS_COMPLEMENTOS!$E$4:$E$803,C221,MOVIMIENTOS_COMPLEMENTOS!$G$4:$G$803,E221,MOVIMIENTOS_COMPLEMENTOS!$H$4:$H$803,G221,MOVIMIENTOS_COMPLEMENTOS!$B$4:$B$803,"INGRESO")+SUMIFS(MOVIMIENTOS_COMPLEMENTOS!$I$4:$I$803,MOVIMIENTOS_COMPLEMENTOS!$C$4:$C$803,A221,MOVIMIENTOS_COMPLEMENTOS!$D$4:$D$803,B221,MOVIMIENTOS_COMPLEMENTOS!$E$4:$E$803,C221,MOVIMIENTOS_COMPLEMENTOS!$G$4:$G$803,E221,MOVIMIENTOS_COMPLEMENTOS!$H$4:$H$803,G221,MOVIMIENTOS_COMPLEMENTOS!$B$4:$B$803,"DE CORTE")-SUMIFS(MOVIMIENTOS_COMPLEMENTOS!$I$4:$I$803,MOVIMIENTOS_COMPLEMENTOS!$C$4:$C$803,A221,MOVIMIENTOS_COMPLEMENTOS!$D$4:$D$803,B221,MOVIMIENTOS_COMPLEMENTOS!$E$4:$E$803,C221,MOVIMIENTOS_COMPLEMENTOS!$G$4:$G$803,E221,MOVIMIENTOS_COMPLEMENTOS!$H$4:$H$803,G221,MOVIMIENTOS_COMPLEMENTOS!$B$4:$B$803,"SALIDA"),0)</f>
        <v>0</v>
      </c>
      <c r="I221" s="102">
        <f t="array" ref="I221">IFERROR(INDEX(PRECIOS_COMPLEMENTOS!$C$4:$F$17,MATCH(B221&amp;"_"&amp;C221,PRECIOS_COMPLEMENTOS!$H$4:$H$17,0),IF(OR(G221="S",G221="20cm"),1,IF(OR(G221="M",G221="25cm"),2,IF(OR(G221="L",G221="30cm"),3,IF(OR(G221="XL",G221="35cm"),4,0))))),0)</f>
        <v>0.75</v>
      </c>
      <c r="J221" s="103">
        <f t="shared" si="1"/>
        <v>0</v>
      </c>
      <c r="K221" s="104" t="str">
        <f>IF(H221&lt;0,"ERROR",IF(H221=0,"",IF(H221&lt;CONFIG!$B$4,"CRÍTICO",IF(H221&lt;CONFIG!$B$5,"BAJO","OK"))))</f>
        <v/>
      </c>
    </row>
    <row r="222" ht="15.75" hidden="1" customHeight="1">
      <c r="A222" s="90" t="str">
        <f>IF(CLIENTES!A9="","",CLIENTES!A9)</f>
        <v/>
      </c>
      <c r="B222" s="90" t="s">
        <v>321</v>
      </c>
      <c r="C222" s="91" t="s">
        <v>322</v>
      </c>
      <c r="D222" s="109" t="s">
        <v>353</v>
      </c>
      <c r="E222" s="67" t="str">
        <f>COLORES!A13</f>
        <v>Camote</v>
      </c>
      <c r="F222" s="67" t="str">
        <f>COLORES!B13</f>
        <v>CLARO</v>
      </c>
      <c r="G222" s="90" t="s">
        <v>376</v>
      </c>
      <c r="H222" s="100">
        <f>IFERROR(SUMIFS(MOVIMIENTOS_COMPLEMENTOS!$I$4:$I$803,MOVIMIENTOS_COMPLEMENTOS!$C$4:$C$803,A222,MOVIMIENTOS_COMPLEMENTOS!$D$4:$D$803,B222,MOVIMIENTOS_COMPLEMENTOS!$E$4:$E$803,C222,MOVIMIENTOS_COMPLEMENTOS!$G$4:$G$803,E222,MOVIMIENTOS_COMPLEMENTOS!$H$4:$H$803,G222,MOVIMIENTOS_COMPLEMENTOS!$B$4:$B$803,"INGRESO")+SUMIFS(MOVIMIENTOS_COMPLEMENTOS!$I$4:$I$803,MOVIMIENTOS_COMPLEMENTOS!$C$4:$C$803,A222,MOVIMIENTOS_COMPLEMENTOS!$D$4:$D$803,B222,MOVIMIENTOS_COMPLEMENTOS!$E$4:$E$803,C222,MOVIMIENTOS_COMPLEMENTOS!$G$4:$G$803,E222,MOVIMIENTOS_COMPLEMENTOS!$H$4:$H$803,G222,MOVIMIENTOS_COMPLEMENTOS!$B$4:$B$803,"DE CORTE")-SUMIFS(MOVIMIENTOS_COMPLEMENTOS!$I$4:$I$803,MOVIMIENTOS_COMPLEMENTOS!$C$4:$C$803,A222,MOVIMIENTOS_COMPLEMENTOS!$D$4:$D$803,B222,MOVIMIENTOS_COMPLEMENTOS!$E$4:$E$803,C222,MOVIMIENTOS_COMPLEMENTOS!$G$4:$G$803,E222,MOVIMIENTOS_COMPLEMENTOS!$H$4:$H$803,G222,MOVIMIENTOS_COMPLEMENTOS!$B$4:$B$803,"SALIDA"),0)</f>
        <v>0</v>
      </c>
      <c r="I222" s="102">
        <f t="array" ref="I222">IFERROR(INDEX(PRECIOS_COMPLEMENTOS!$C$4:$F$17,MATCH(B222&amp;"_"&amp;C222,PRECIOS_COMPLEMENTOS!$H$4:$H$17,0),IF(OR(G222="S",G222="20cm"),1,IF(OR(G222="M",G222="25cm"),2,IF(OR(G222="L",G222="30cm"),3,IF(OR(G222="XL",G222="35cm"),4,0))))),0)</f>
        <v>0.7</v>
      </c>
      <c r="J222" s="103">
        <f t="shared" si="1"/>
        <v>0</v>
      </c>
      <c r="K222" s="104" t="str">
        <f>IF(H222&lt;0,"ERROR",IF(H222=0,"",IF(H222&lt;CONFIG!$B$4,"CRÍTICO",IF(H222&lt;CONFIG!$B$5,"BAJO","OK"))))</f>
        <v/>
      </c>
    </row>
    <row r="223" ht="15.75" hidden="1" customHeight="1">
      <c r="A223" s="90" t="str">
        <f>IF(CLIENTES!A9="","",CLIENTES!A9)</f>
        <v/>
      </c>
      <c r="B223" s="90" t="s">
        <v>321</v>
      </c>
      <c r="C223" s="91" t="s">
        <v>322</v>
      </c>
      <c r="D223" s="109" t="s">
        <v>353</v>
      </c>
      <c r="E223" s="67" t="str">
        <f>COLORES!A13</f>
        <v>Camote</v>
      </c>
      <c r="F223" s="67" t="str">
        <f>COLORES!B13</f>
        <v>CLARO</v>
      </c>
      <c r="G223" s="90" t="s">
        <v>377</v>
      </c>
      <c r="H223" s="100">
        <f>IFERROR(SUMIFS(MOVIMIENTOS_COMPLEMENTOS!$I$4:$I$803,MOVIMIENTOS_COMPLEMENTOS!$C$4:$C$803,A223,MOVIMIENTOS_COMPLEMENTOS!$D$4:$D$803,B223,MOVIMIENTOS_COMPLEMENTOS!$E$4:$E$803,C223,MOVIMIENTOS_COMPLEMENTOS!$G$4:$G$803,E223,MOVIMIENTOS_COMPLEMENTOS!$H$4:$H$803,G223,MOVIMIENTOS_COMPLEMENTOS!$B$4:$B$803,"INGRESO")+SUMIFS(MOVIMIENTOS_COMPLEMENTOS!$I$4:$I$803,MOVIMIENTOS_COMPLEMENTOS!$C$4:$C$803,A223,MOVIMIENTOS_COMPLEMENTOS!$D$4:$D$803,B223,MOVIMIENTOS_COMPLEMENTOS!$E$4:$E$803,C223,MOVIMIENTOS_COMPLEMENTOS!$G$4:$G$803,E223,MOVIMIENTOS_COMPLEMENTOS!$H$4:$H$803,G223,MOVIMIENTOS_COMPLEMENTOS!$B$4:$B$803,"DE CORTE")-SUMIFS(MOVIMIENTOS_COMPLEMENTOS!$I$4:$I$803,MOVIMIENTOS_COMPLEMENTOS!$C$4:$C$803,A223,MOVIMIENTOS_COMPLEMENTOS!$D$4:$D$803,B223,MOVIMIENTOS_COMPLEMENTOS!$E$4:$E$803,C223,MOVIMIENTOS_COMPLEMENTOS!$G$4:$G$803,E223,MOVIMIENTOS_COMPLEMENTOS!$H$4:$H$803,G223,MOVIMIENTOS_COMPLEMENTOS!$B$4:$B$803,"SALIDA"),0)</f>
        <v>0</v>
      </c>
      <c r="I223" s="102">
        <f t="array" ref="I223">IFERROR(INDEX(PRECIOS_COMPLEMENTOS!$C$4:$F$17,MATCH(B223&amp;"_"&amp;C223,PRECIOS_COMPLEMENTOS!$H$4:$H$17,0),IF(OR(G223="S",G223="20cm"),1,IF(OR(G223="M",G223="25cm"),2,IF(OR(G223="L",G223="30cm"),3,IF(OR(G223="XL",G223="35cm"),4,0))))),0)</f>
        <v>0.75</v>
      </c>
      <c r="J223" s="103">
        <f t="shared" si="1"/>
        <v>0</v>
      </c>
      <c r="K223" s="104" t="str">
        <f>IF(H223&lt;0,"ERROR",IF(H223=0,"",IF(H223&lt;CONFIG!$B$4,"CRÍTICO",IF(H223&lt;CONFIG!$B$5,"BAJO","OK"))))</f>
        <v/>
      </c>
    </row>
    <row r="224" ht="15.75" hidden="1" customHeight="1">
      <c r="A224" s="90" t="str">
        <f>IF(CLIENTES!A9="","",CLIENTES!A9)</f>
        <v/>
      </c>
      <c r="B224" s="90" t="s">
        <v>321</v>
      </c>
      <c r="C224" s="91" t="s">
        <v>322</v>
      </c>
      <c r="D224" s="109" t="s">
        <v>353</v>
      </c>
      <c r="E224" s="67" t="str">
        <f>COLORES!A14</f>
        <v>Denim</v>
      </c>
      <c r="F224" s="67" t="str">
        <f>COLORES!B14</f>
        <v>CLARO</v>
      </c>
      <c r="G224" s="90" t="s">
        <v>376</v>
      </c>
      <c r="H224" s="100">
        <f>IFERROR(SUMIFS(MOVIMIENTOS_COMPLEMENTOS!$I$4:$I$803,MOVIMIENTOS_COMPLEMENTOS!$C$4:$C$803,A224,MOVIMIENTOS_COMPLEMENTOS!$D$4:$D$803,B224,MOVIMIENTOS_COMPLEMENTOS!$E$4:$E$803,C224,MOVIMIENTOS_COMPLEMENTOS!$G$4:$G$803,E224,MOVIMIENTOS_COMPLEMENTOS!$H$4:$H$803,G224,MOVIMIENTOS_COMPLEMENTOS!$B$4:$B$803,"INGRESO")+SUMIFS(MOVIMIENTOS_COMPLEMENTOS!$I$4:$I$803,MOVIMIENTOS_COMPLEMENTOS!$C$4:$C$803,A224,MOVIMIENTOS_COMPLEMENTOS!$D$4:$D$803,B224,MOVIMIENTOS_COMPLEMENTOS!$E$4:$E$803,C224,MOVIMIENTOS_COMPLEMENTOS!$G$4:$G$803,E224,MOVIMIENTOS_COMPLEMENTOS!$H$4:$H$803,G224,MOVIMIENTOS_COMPLEMENTOS!$B$4:$B$803,"DE CORTE")-SUMIFS(MOVIMIENTOS_COMPLEMENTOS!$I$4:$I$803,MOVIMIENTOS_COMPLEMENTOS!$C$4:$C$803,A224,MOVIMIENTOS_COMPLEMENTOS!$D$4:$D$803,B224,MOVIMIENTOS_COMPLEMENTOS!$E$4:$E$803,C224,MOVIMIENTOS_COMPLEMENTOS!$G$4:$G$803,E224,MOVIMIENTOS_COMPLEMENTOS!$H$4:$H$803,G224,MOVIMIENTOS_COMPLEMENTOS!$B$4:$B$803,"SALIDA"),0)</f>
        <v>0</v>
      </c>
      <c r="I224" s="102">
        <f t="array" ref="I224">IFERROR(INDEX(PRECIOS_COMPLEMENTOS!$C$4:$F$17,MATCH(B224&amp;"_"&amp;C224,PRECIOS_COMPLEMENTOS!$H$4:$H$17,0),IF(OR(G224="S",G224="20cm"),1,IF(OR(G224="M",G224="25cm"),2,IF(OR(G224="L",G224="30cm"),3,IF(OR(G224="XL",G224="35cm"),4,0))))),0)</f>
        <v>0.7</v>
      </c>
      <c r="J224" s="103">
        <f t="shared" si="1"/>
        <v>0</v>
      </c>
      <c r="K224" s="104" t="str">
        <f>IF(H224&lt;0,"ERROR",IF(H224=0,"",IF(H224&lt;CONFIG!$B$4,"CRÍTICO",IF(H224&lt;CONFIG!$B$5,"BAJO","OK"))))</f>
        <v/>
      </c>
    </row>
    <row r="225" ht="15.75" hidden="1" customHeight="1">
      <c r="A225" s="90" t="str">
        <f>IF(CLIENTES!A9="","",CLIENTES!A9)</f>
        <v/>
      </c>
      <c r="B225" s="90" t="s">
        <v>321</v>
      </c>
      <c r="C225" s="91" t="s">
        <v>322</v>
      </c>
      <c r="D225" s="109" t="s">
        <v>353</v>
      </c>
      <c r="E225" s="67" t="str">
        <f>COLORES!A14</f>
        <v>Denim</v>
      </c>
      <c r="F225" s="67" t="str">
        <f>COLORES!B14</f>
        <v>CLARO</v>
      </c>
      <c r="G225" s="90" t="s">
        <v>377</v>
      </c>
      <c r="H225" s="100">
        <f>IFERROR(SUMIFS(MOVIMIENTOS_COMPLEMENTOS!$I$4:$I$803,MOVIMIENTOS_COMPLEMENTOS!$C$4:$C$803,A225,MOVIMIENTOS_COMPLEMENTOS!$D$4:$D$803,B225,MOVIMIENTOS_COMPLEMENTOS!$E$4:$E$803,C225,MOVIMIENTOS_COMPLEMENTOS!$G$4:$G$803,E225,MOVIMIENTOS_COMPLEMENTOS!$H$4:$H$803,G225,MOVIMIENTOS_COMPLEMENTOS!$B$4:$B$803,"INGRESO")+SUMIFS(MOVIMIENTOS_COMPLEMENTOS!$I$4:$I$803,MOVIMIENTOS_COMPLEMENTOS!$C$4:$C$803,A225,MOVIMIENTOS_COMPLEMENTOS!$D$4:$D$803,B225,MOVIMIENTOS_COMPLEMENTOS!$E$4:$E$803,C225,MOVIMIENTOS_COMPLEMENTOS!$G$4:$G$803,E225,MOVIMIENTOS_COMPLEMENTOS!$H$4:$H$803,G225,MOVIMIENTOS_COMPLEMENTOS!$B$4:$B$803,"DE CORTE")-SUMIFS(MOVIMIENTOS_COMPLEMENTOS!$I$4:$I$803,MOVIMIENTOS_COMPLEMENTOS!$C$4:$C$803,A225,MOVIMIENTOS_COMPLEMENTOS!$D$4:$D$803,B225,MOVIMIENTOS_COMPLEMENTOS!$E$4:$E$803,C225,MOVIMIENTOS_COMPLEMENTOS!$G$4:$G$803,E225,MOVIMIENTOS_COMPLEMENTOS!$H$4:$H$803,G225,MOVIMIENTOS_COMPLEMENTOS!$B$4:$B$803,"SALIDA"),0)</f>
        <v>0</v>
      </c>
      <c r="I225" s="102">
        <f t="array" ref="I225">IFERROR(INDEX(PRECIOS_COMPLEMENTOS!$C$4:$F$17,MATCH(B225&amp;"_"&amp;C225,PRECIOS_COMPLEMENTOS!$H$4:$H$17,0),IF(OR(G225="S",G225="20cm"),1,IF(OR(G225="M",G225="25cm"),2,IF(OR(G225="L",G225="30cm"),3,IF(OR(G225="XL",G225="35cm"),4,0))))),0)</f>
        <v>0.75</v>
      </c>
      <c r="J225" s="103">
        <f t="shared" si="1"/>
        <v>0</v>
      </c>
      <c r="K225" s="104" t="str">
        <f>IF(H225&lt;0,"ERROR",IF(H225=0,"",IF(H225&lt;CONFIG!$B$4,"CRÍTICO",IF(H225&lt;CONFIG!$B$5,"BAJO","OK"))))</f>
        <v/>
      </c>
    </row>
    <row r="226" ht="15.75" hidden="1" customHeight="1">
      <c r="A226" s="90" t="str">
        <f>IF(CLIENTES!A9="","",CLIENTES!A9)</f>
        <v/>
      </c>
      <c r="B226" s="90" t="s">
        <v>321</v>
      </c>
      <c r="C226" s="91" t="s">
        <v>322</v>
      </c>
      <c r="D226" s="109" t="s">
        <v>353</v>
      </c>
      <c r="E226" s="67" t="str">
        <f>COLORES!A15</f>
        <v>Plomo</v>
      </c>
      <c r="F226" s="67" t="str">
        <f>COLORES!B15</f>
        <v>OSCURO</v>
      </c>
      <c r="G226" s="90" t="s">
        <v>376</v>
      </c>
      <c r="H226" s="100">
        <f>IFERROR(SUMIFS(MOVIMIENTOS_COMPLEMENTOS!$I$4:$I$803,MOVIMIENTOS_COMPLEMENTOS!$C$4:$C$803,A226,MOVIMIENTOS_COMPLEMENTOS!$D$4:$D$803,B226,MOVIMIENTOS_COMPLEMENTOS!$E$4:$E$803,C226,MOVIMIENTOS_COMPLEMENTOS!$G$4:$G$803,E226,MOVIMIENTOS_COMPLEMENTOS!$H$4:$H$803,G226,MOVIMIENTOS_COMPLEMENTOS!$B$4:$B$803,"INGRESO")+SUMIFS(MOVIMIENTOS_COMPLEMENTOS!$I$4:$I$803,MOVIMIENTOS_COMPLEMENTOS!$C$4:$C$803,A226,MOVIMIENTOS_COMPLEMENTOS!$D$4:$D$803,B226,MOVIMIENTOS_COMPLEMENTOS!$E$4:$E$803,C226,MOVIMIENTOS_COMPLEMENTOS!$G$4:$G$803,E226,MOVIMIENTOS_COMPLEMENTOS!$H$4:$H$803,G226,MOVIMIENTOS_COMPLEMENTOS!$B$4:$B$803,"DE CORTE")-SUMIFS(MOVIMIENTOS_COMPLEMENTOS!$I$4:$I$803,MOVIMIENTOS_COMPLEMENTOS!$C$4:$C$803,A226,MOVIMIENTOS_COMPLEMENTOS!$D$4:$D$803,B226,MOVIMIENTOS_COMPLEMENTOS!$E$4:$E$803,C226,MOVIMIENTOS_COMPLEMENTOS!$G$4:$G$803,E226,MOVIMIENTOS_COMPLEMENTOS!$H$4:$H$803,G226,MOVIMIENTOS_COMPLEMENTOS!$B$4:$B$803,"SALIDA"),0)</f>
        <v>0</v>
      </c>
      <c r="I226" s="102">
        <f t="array" ref="I226">IFERROR(INDEX(PRECIOS_COMPLEMENTOS!$C$4:$F$17,MATCH(B226&amp;"_"&amp;C226,PRECIOS_COMPLEMENTOS!$H$4:$H$17,0),IF(OR(G226="S",G226="20cm"),1,IF(OR(G226="M",G226="25cm"),2,IF(OR(G226="L",G226="30cm"),3,IF(OR(G226="XL",G226="35cm"),4,0))))),0)</f>
        <v>0.7</v>
      </c>
      <c r="J226" s="103">
        <f t="shared" si="1"/>
        <v>0</v>
      </c>
      <c r="K226" s="104" t="str">
        <f>IF(H226&lt;0,"ERROR",IF(H226=0,"",IF(H226&lt;CONFIG!$B$4,"CRÍTICO",IF(H226&lt;CONFIG!$B$5,"BAJO","OK"))))</f>
        <v/>
      </c>
    </row>
    <row r="227" ht="15.75" hidden="1" customHeight="1">
      <c r="A227" s="90" t="str">
        <f>IF(CLIENTES!A9="","",CLIENTES!A9)</f>
        <v/>
      </c>
      <c r="B227" s="90" t="s">
        <v>321</v>
      </c>
      <c r="C227" s="91" t="s">
        <v>322</v>
      </c>
      <c r="D227" s="109" t="s">
        <v>353</v>
      </c>
      <c r="E227" s="67" t="str">
        <f>COLORES!A15</f>
        <v>Plomo</v>
      </c>
      <c r="F227" s="67" t="str">
        <f>COLORES!B15</f>
        <v>OSCURO</v>
      </c>
      <c r="G227" s="90" t="s">
        <v>377</v>
      </c>
      <c r="H227" s="100">
        <f>IFERROR(SUMIFS(MOVIMIENTOS_COMPLEMENTOS!$I$4:$I$803,MOVIMIENTOS_COMPLEMENTOS!$C$4:$C$803,A227,MOVIMIENTOS_COMPLEMENTOS!$D$4:$D$803,B227,MOVIMIENTOS_COMPLEMENTOS!$E$4:$E$803,C227,MOVIMIENTOS_COMPLEMENTOS!$G$4:$G$803,E227,MOVIMIENTOS_COMPLEMENTOS!$H$4:$H$803,G227,MOVIMIENTOS_COMPLEMENTOS!$B$4:$B$803,"INGRESO")+SUMIFS(MOVIMIENTOS_COMPLEMENTOS!$I$4:$I$803,MOVIMIENTOS_COMPLEMENTOS!$C$4:$C$803,A227,MOVIMIENTOS_COMPLEMENTOS!$D$4:$D$803,B227,MOVIMIENTOS_COMPLEMENTOS!$E$4:$E$803,C227,MOVIMIENTOS_COMPLEMENTOS!$G$4:$G$803,E227,MOVIMIENTOS_COMPLEMENTOS!$H$4:$H$803,G227,MOVIMIENTOS_COMPLEMENTOS!$B$4:$B$803,"DE CORTE")-SUMIFS(MOVIMIENTOS_COMPLEMENTOS!$I$4:$I$803,MOVIMIENTOS_COMPLEMENTOS!$C$4:$C$803,A227,MOVIMIENTOS_COMPLEMENTOS!$D$4:$D$803,B227,MOVIMIENTOS_COMPLEMENTOS!$E$4:$E$803,C227,MOVIMIENTOS_COMPLEMENTOS!$G$4:$G$803,E227,MOVIMIENTOS_COMPLEMENTOS!$H$4:$H$803,G227,MOVIMIENTOS_COMPLEMENTOS!$B$4:$B$803,"SALIDA"),0)</f>
        <v>0</v>
      </c>
      <c r="I227" s="102">
        <f t="array" ref="I227">IFERROR(INDEX(PRECIOS_COMPLEMENTOS!$C$4:$F$17,MATCH(B227&amp;"_"&amp;C227,PRECIOS_COMPLEMENTOS!$H$4:$H$17,0),IF(OR(G227="S",G227="20cm"),1,IF(OR(G227="M",G227="25cm"),2,IF(OR(G227="L",G227="30cm"),3,IF(OR(G227="XL",G227="35cm"),4,0))))),0)</f>
        <v>0.75</v>
      </c>
      <c r="J227" s="103">
        <f t="shared" si="1"/>
        <v>0</v>
      </c>
      <c r="K227" s="104" t="str">
        <f>IF(H227&lt;0,"ERROR",IF(H227=0,"",IF(H227&lt;CONFIG!$B$4,"CRÍTICO",IF(H227&lt;CONFIG!$B$5,"BAJO","OK"))))</f>
        <v/>
      </c>
    </row>
    <row r="228" ht="15.75" hidden="1" customHeight="1">
      <c r="A228" s="90" t="str">
        <f>IF(CLIENTES!A9="","",CLIENTES!A9)</f>
        <v/>
      </c>
      <c r="B228" s="90" t="s">
        <v>321</v>
      </c>
      <c r="C228" s="91" t="s">
        <v>322</v>
      </c>
      <c r="D228" s="109" t="s">
        <v>353</v>
      </c>
      <c r="E228" s="67" t="str">
        <f>COLORES!A16</f>
        <v>Topo</v>
      </c>
      <c r="F228" s="67" t="str">
        <f>COLORES!B16</f>
        <v>CLARO</v>
      </c>
      <c r="G228" s="90" t="s">
        <v>376</v>
      </c>
      <c r="H228" s="100">
        <f>IFERROR(SUMIFS(MOVIMIENTOS_COMPLEMENTOS!$I$4:$I$803,MOVIMIENTOS_COMPLEMENTOS!$C$4:$C$803,A228,MOVIMIENTOS_COMPLEMENTOS!$D$4:$D$803,B228,MOVIMIENTOS_COMPLEMENTOS!$E$4:$E$803,C228,MOVIMIENTOS_COMPLEMENTOS!$G$4:$G$803,E228,MOVIMIENTOS_COMPLEMENTOS!$H$4:$H$803,G228,MOVIMIENTOS_COMPLEMENTOS!$B$4:$B$803,"INGRESO")+SUMIFS(MOVIMIENTOS_COMPLEMENTOS!$I$4:$I$803,MOVIMIENTOS_COMPLEMENTOS!$C$4:$C$803,A228,MOVIMIENTOS_COMPLEMENTOS!$D$4:$D$803,B228,MOVIMIENTOS_COMPLEMENTOS!$E$4:$E$803,C228,MOVIMIENTOS_COMPLEMENTOS!$G$4:$G$803,E228,MOVIMIENTOS_COMPLEMENTOS!$H$4:$H$803,G228,MOVIMIENTOS_COMPLEMENTOS!$B$4:$B$803,"DE CORTE")-SUMIFS(MOVIMIENTOS_COMPLEMENTOS!$I$4:$I$803,MOVIMIENTOS_COMPLEMENTOS!$C$4:$C$803,A228,MOVIMIENTOS_COMPLEMENTOS!$D$4:$D$803,B228,MOVIMIENTOS_COMPLEMENTOS!$E$4:$E$803,C228,MOVIMIENTOS_COMPLEMENTOS!$G$4:$G$803,E228,MOVIMIENTOS_COMPLEMENTOS!$H$4:$H$803,G228,MOVIMIENTOS_COMPLEMENTOS!$B$4:$B$803,"SALIDA"),0)</f>
        <v>0</v>
      </c>
      <c r="I228" s="102">
        <f t="array" ref="I228">IFERROR(INDEX(PRECIOS_COMPLEMENTOS!$C$4:$F$17,MATCH(B228&amp;"_"&amp;C228,PRECIOS_COMPLEMENTOS!$H$4:$H$17,0),IF(OR(G228="S",G228="20cm"),1,IF(OR(G228="M",G228="25cm"),2,IF(OR(G228="L",G228="30cm"),3,IF(OR(G228="XL",G228="35cm"),4,0))))),0)</f>
        <v>0.7</v>
      </c>
      <c r="J228" s="103">
        <f t="shared" si="1"/>
        <v>0</v>
      </c>
      <c r="K228" s="104" t="str">
        <f>IF(H228&lt;0,"ERROR",IF(H228=0,"",IF(H228&lt;CONFIG!$B$4,"CRÍTICO",IF(H228&lt;CONFIG!$B$5,"BAJO","OK"))))</f>
        <v/>
      </c>
    </row>
    <row r="229" ht="15.75" hidden="1" customHeight="1">
      <c r="A229" s="90" t="str">
        <f>IF(CLIENTES!A9="","",CLIENTES!A9)</f>
        <v/>
      </c>
      <c r="B229" s="90" t="s">
        <v>321</v>
      </c>
      <c r="C229" s="91" t="s">
        <v>322</v>
      </c>
      <c r="D229" s="109" t="s">
        <v>353</v>
      </c>
      <c r="E229" s="67" t="str">
        <f>COLORES!A16</f>
        <v>Topo</v>
      </c>
      <c r="F229" s="67" t="str">
        <f>COLORES!B16</f>
        <v>CLARO</v>
      </c>
      <c r="G229" s="90" t="s">
        <v>377</v>
      </c>
      <c r="H229" s="100">
        <f>IFERROR(SUMIFS(MOVIMIENTOS_COMPLEMENTOS!$I$4:$I$803,MOVIMIENTOS_COMPLEMENTOS!$C$4:$C$803,A229,MOVIMIENTOS_COMPLEMENTOS!$D$4:$D$803,B229,MOVIMIENTOS_COMPLEMENTOS!$E$4:$E$803,C229,MOVIMIENTOS_COMPLEMENTOS!$G$4:$G$803,E229,MOVIMIENTOS_COMPLEMENTOS!$H$4:$H$803,G229,MOVIMIENTOS_COMPLEMENTOS!$B$4:$B$803,"INGRESO")+SUMIFS(MOVIMIENTOS_COMPLEMENTOS!$I$4:$I$803,MOVIMIENTOS_COMPLEMENTOS!$C$4:$C$803,A229,MOVIMIENTOS_COMPLEMENTOS!$D$4:$D$803,B229,MOVIMIENTOS_COMPLEMENTOS!$E$4:$E$803,C229,MOVIMIENTOS_COMPLEMENTOS!$G$4:$G$803,E229,MOVIMIENTOS_COMPLEMENTOS!$H$4:$H$803,G229,MOVIMIENTOS_COMPLEMENTOS!$B$4:$B$803,"DE CORTE")-SUMIFS(MOVIMIENTOS_COMPLEMENTOS!$I$4:$I$803,MOVIMIENTOS_COMPLEMENTOS!$C$4:$C$803,A229,MOVIMIENTOS_COMPLEMENTOS!$D$4:$D$803,B229,MOVIMIENTOS_COMPLEMENTOS!$E$4:$E$803,C229,MOVIMIENTOS_COMPLEMENTOS!$G$4:$G$803,E229,MOVIMIENTOS_COMPLEMENTOS!$H$4:$H$803,G229,MOVIMIENTOS_COMPLEMENTOS!$B$4:$B$803,"SALIDA"),0)</f>
        <v>0</v>
      </c>
      <c r="I229" s="102">
        <f t="array" ref="I229">IFERROR(INDEX(PRECIOS_COMPLEMENTOS!$C$4:$F$17,MATCH(B229&amp;"_"&amp;C229,PRECIOS_COMPLEMENTOS!$H$4:$H$17,0),IF(OR(G229="S",G229="20cm"),1,IF(OR(G229="M",G229="25cm"),2,IF(OR(G229="L",G229="30cm"),3,IF(OR(G229="XL",G229="35cm"),4,0))))),0)</f>
        <v>0.75</v>
      </c>
      <c r="J229" s="103">
        <f t="shared" si="1"/>
        <v>0</v>
      </c>
      <c r="K229" s="104" t="str">
        <f>IF(H229&lt;0,"ERROR",IF(H229=0,"",IF(H229&lt;CONFIG!$B$4,"CRÍTICO",IF(H229&lt;CONFIG!$B$5,"BAJO","OK"))))</f>
        <v/>
      </c>
    </row>
    <row r="230" ht="15.75" hidden="1" customHeight="1">
      <c r="A230" s="90" t="str">
        <f>IF(CLIENTES!A9="","",CLIENTES!A9)</f>
        <v/>
      </c>
      <c r="B230" s="90" t="s">
        <v>321</v>
      </c>
      <c r="C230" s="91" t="s">
        <v>322</v>
      </c>
      <c r="D230" s="109" t="s">
        <v>353</v>
      </c>
      <c r="E230" s="67" t="str">
        <f>COLORES!A17</f>
        <v>Vino</v>
      </c>
      <c r="F230" s="67" t="str">
        <f>COLORES!B17</f>
        <v>OSCURO</v>
      </c>
      <c r="G230" s="90" t="s">
        <v>376</v>
      </c>
      <c r="H230" s="100">
        <f>IFERROR(SUMIFS(MOVIMIENTOS_COMPLEMENTOS!$I$4:$I$803,MOVIMIENTOS_COMPLEMENTOS!$C$4:$C$803,A230,MOVIMIENTOS_COMPLEMENTOS!$D$4:$D$803,B230,MOVIMIENTOS_COMPLEMENTOS!$E$4:$E$803,C230,MOVIMIENTOS_COMPLEMENTOS!$G$4:$G$803,E230,MOVIMIENTOS_COMPLEMENTOS!$H$4:$H$803,G230,MOVIMIENTOS_COMPLEMENTOS!$B$4:$B$803,"INGRESO")+SUMIFS(MOVIMIENTOS_COMPLEMENTOS!$I$4:$I$803,MOVIMIENTOS_COMPLEMENTOS!$C$4:$C$803,A230,MOVIMIENTOS_COMPLEMENTOS!$D$4:$D$803,B230,MOVIMIENTOS_COMPLEMENTOS!$E$4:$E$803,C230,MOVIMIENTOS_COMPLEMENTOS!$G$4:$G$803,E230,MOVIMIENTOS_COMPLEMENTOS!$H$4:$H$803,G230,MOVIMIENTOS_COMPLEMENTOS!$B$4:$B$803,"DE CORTE")-SUMIFS(MOVIMIENTOS_COMPLEMENTOS!$I$4:$I$803,MOVIMIENTOS_COMPLEMENTOS!$C$4:$C$803,A230,MOVIMIENTOS_COMPLEMENTOS!$D$4:$D$803,B230,MOVIMIENTOS_COMPLEMENTOS!$E$4:$E$803,C230,MOVIMIENTOS_COMPLEMENTOS!$G$4:$G$803,E230,MOVIMIENTOS_COMPLEMENTOS!$H$4:$H$803,G230,MOVIMIENTOS_COMPLEMENTOS!$B$4:$B$803,"SALIDA"),0)</f>
        <v>0</v>
      </c>
      <c r="I230" s="102">
        <f t="array" ref="I230">IFERROR(INDEX(PRECIOS_COMPLEMENTOS!$C$4:$F$17,MATCH(B230&amp;"_"&amp;C230,PRECIOS_COMPLEMENTOS!$H$4:$H$17,0),IF(OR(G230="S",G230="20cm"),1,IF(OR(G230="M",G230="25cm"),2,IF(OR(G230="L",G230="30cm"),3,IF(OR(G230="XL",G230="35cm"),4,0))))),0)</f>
        <v>0.7</v>
      </c>
      <c r="J230" s="103">
        <f t="shared" si="1"/>
        <v>0</v>
      </c>
      <c r="K230" s="104" t="str">
        <f>IF(H230&lt;0,"ERROR",IF(H230=0,"",IF(H230&lt;CONFIG!$B$4,"CRÍTICO",IF(H230&lt;CONFIG!$B$5,"BAJO","OK"))))</f>
        <v/>
      </c>
    </row>
    <row r="231" ht="15.75" hidden="1" customHeight="1">
      <c r="A231" s="90" t="str">
        <f>IF(CLIENTES!A9="","",CLIENTES!A9)</f>
        <v/>
      </c>
      <c r="B231" s="90" t="s">
        <v>321</v>
      </c>
      <c r="C231" s="91" t="s">
        <v>322</v>
      </c>
      <c r="D231" s="109" t="s">
        <v>353</v>
      </c>
      <c r="E231" s="67" t="str">
        <f>COLORES!A17</f>
        <v>Vino</v>
      </c>
      <c r="F231" s="67" t="str">
        <f>COLORES!B17</f>
        <v>OSCURO</v>
      </c>
      <c r="G231" s="90" t="s">
        <v>377</v>
      </c>
      <c r="H231" s="100">
        <f>IFERROR(SUMIFS(MOVIMIENTOS_COMPLEMENTOS!$I$4:$I$803,MOVIMIENTOS_COMPLEMENTOS!$C$4:$C$803,A231,MOVIMIENTOS_COMPLEMENTOS!$D$4:$D$803,B231,MOVIMIENTOS_COMPLEMENTOS!$E$4:$E$803,C231,MOVIMIENTOS_COMPLEMENTOS!$G$4:$G$803,E231,MOVIMIENTOS_COMPLEMENTOS!$H$4:$H$803,G231,MOVIMIENTOS_COMPLEMENTOS!$B$4:$B$803,"INGRESO")+SUMIFS(MOVIMIENTOS_COMPLEMENTOS!$I$4:$I$803,MOVIMIENTOS_COMPLEMENTOS!$C$4:$C$803,A231,MOVIMIENTOS_COMPLEMENTOS!$D$4:$D$803,B231,MOVIMIENTOS_COMPLEMENTOS!$E$4:$E$803,C231,MOVIMIENTOS_COMPLEMENTOS!$G$4:$G$803,E231,MOVIMIENTOS_COMPLEMENTOS!$H$4:$H$803,G231,MOVIMIENTOS_COMPLEMENTOS!$B$4:$B$803,"DE CORTE")-SUMIFS(MOVIMIENTOS_COMPLEMENTOS!$I$4:$I$803,MOVIMIENTOS_COMPLEMENTOS!$C$4:$C$803,A231,MOVIMIENTOS_COMPLEMENTOS!$D$4:$D$803,B231,MOVIMIENTOS_COMPLEMENTOS!$E$4:$E$803,C231,MOVIMIENTOS_COMPLEMENTOS!$G$4:$G$803,E231,MOVIMIENTOS_COMPLEMENTOS!$H$4:$H$803,G231,MOVIMIENTOS_COMPLEMENTOS!$B$4:$B$803,"SALIDA"),0)</f>
        <v>0</v>
      </c>
      <c r="I231" s="102">
        <f t="array" ref="I231">IFERROR(INDEX(PRECIOS_COMPLEMENTOS!$C$4:$F$17,MATCH(B231&amp;"_"&amp;C231,PRECIOS_COMPLEMENTOS!$H$4:$H$17,0),IF(OR(G231="S",G231="20cm"),1,IF(OR(G231="M",G231="25cm"),2,IF(OR(G231="L",G231="30cm"),3,IF(OR(G231="XL",G231="35cm"),4,0))))),0)</f>
        <v>0.75</v>
      </c>
      <c r="J231" s="103">
        <f t="shared" si="1"/>
        <v>0</v>
      </c>
      <c r="K231" s="104" t="str">
        <f>IF(H231&lt;0,"ERROR",IF(H231=0,"",IF(H231&lt;CONFIG!$B$4,"CRÍTICO",IF(H231&lt;CONFIG!$B$5,"BAJO","OK"))))</f>
        <v/>
      </c>
    </row>
    <row r="232" ht="15.75" hidden="1" customHeight="1">
      <c r="A232" s="90" t="str">
        <f>IF(CLIENTES!A9="","",CLIENTES!A9)</f>
        <v/>
      </c>
      <c r="B232" s="90" t="s">
        <v>321</v>
      </c>
      <c r="C232" s="91" t="s">
        <v>322</v>
      </c>
      <c r="D232" s="109" t="s">
        <v>353</v>
      </c>
      <c r="E232" s="67" t="str">
        <f>COLORES!A18</f>
        <v>P. Rosa</v>
      </c>
      <c r="F232" s="67" t="str">
        <f>COLORES!B18</f>
        <v>CLARO</v>
      </c>
      <c r="G232" s="90" t="s">
        <v>376</v>
      </c>
      <c r="H232" s="100">
        <f>IFERROR(SUMIFS(MOVIMIENTOS_COMPLEMENTOS!$I$4:$I$803,MOVIMIENTOS_COMPLEMENTOS!$C$4:$C$803,A232,MOVIMIENTOS_COMPLEMENTOS!$D$4:$D$803,B232,MOVIMIENTOS_COMPLEMENTOS!$E$4:$E$803,C232,MOVIMIENTOS_COMPLEMENTOS!$G$4:$G$803,E232,MOVIMIENTOS_COMPLEMENTOS!$H$4:$H$803,G232,MOVIMIENTOS_COMPLEMENTOS!$B$4:$B$803,"INGRESO")+SUMIFS(MOVIMIENTOS_COMPLEMENTOS!$I$4:$I$803,MOVIMIENTOS_COMPLEMENTOS!$C$4:$C$803,A232,MOVIMIENTOS_COMPLEMENTOS!$D$4:$D$803,B232,MOVIMIENTOS_COMPLEMENTOS!$E$4:$E$803,C232,MOVIMIENTOS_COMPLEMENTOS!$G$4:$G$803,E232,MOVIMIENTOS_COMPLEMENTOS!$H$4:$H$803,G232,MOVIMIENTOS_COMPLEMENTOS!$B$4:$B$803,"DE CORTE")-SUMIFS(MOVIMIENTOS_COMPLEMENTOS!$I$4:$I$803,MOVIMIENTOS_COMPLEMENTOS!$C$4:$C$803,A232,MOVIMIENTOS_COMPLEMENTOS!$D$4:$D$803,B232,MOVIMIENTOS_COMPLEMENTOS!$E$4:$E$803,C232,MOVIMIENTOS_COMPLEMENTOS!$G$4:$G$803,E232,MOVIMIENTOS_COMPLEMENTOS!$H$4:$H$803,G232,MOVIMIENTOS_COMPLEMENTOS!$B$4:$B$803,"SALIDA"),0)</f>
        <v>0</v>
      </c>
      <c r="I232" s="102">
        <f t="array" ref="I232">IFERROR(INDEX(PRECIOS_COMPLEMENTOS!$C$4:$F$17,MATCH(B232&amp;"_"&amp;C232,PRECIOS_COMPLEMENTOS!$H$4:$H$17,0),IF(OR(G232="S",G232="20cm"),1,IF(OR(G232="M",G232="25cm"),2,IF(OR(G232="L",G232="30cm"),3,IF(OR(G232="XL",G232="35cm"),4,0))))),0)</f>
        <v>0.7</v>
      </c>
      <c r="J232" s="103">
        <f t="shared" si="1"/>
        <v>0</v>
      </c>
      <c r="K232" s="104" t="str">
        <f>IF(H232&lt;0,"ERROR",IF(H232=0,"",IF(H232&lt;CONFIG!$B$4,"CRÍTICO",IF(H232&lt;CONFIG!$B$5,"BAJO","OK"))))</f>
        <v/>
      </c>
    </row>
    <row r="233" ht="15.75" hidden="1" customHeight="1">
      <c r="A233" s="90" t="str">
        <f>IF(CLIENTES!A9="","",CLIENTES!A9)</f>
        <v/>
      </c>
      <c r="B233" s="90" t="s">
        <v>321</v>
      </c>
      <c r="C233" s="91" t="s">
        <v>322</v>
      </c>
      <c r="D233" s="109" t="s">
        <v>353</v>
      </c>
      <c r="E233" s="67" t="str">
        <f>COLORES!A18</f>
        <v>P. Rosa</v>
      </c>
      <c r="F233" s="67" t="str">
        <f>COLORES!B18</f>
        <v>CLARO</v>
      </c>
      <c r="G233" s="90" t="s">
        <v>377</v>
      </c>
      <c r="H233" s="100">
        <f>IFERROR(SUMIFS(MOVIMIENTOS_COMPLEMENTOS!$I$4:$I$803,MOVIMIENTOS_COMPLEMENTOS!$C$4:$C$803,A233,MOVIMIENTOS_COMPLEMENTOS!$D$4:$D$803,B233,MOVIMIENTOS_COMPLEMENTOS!$E$4:$E$803,C233,MOVIMIENTOS_COMPLEMENTOS!$G$4:$G$803,E233,MOVIMIENTOS_COMPLEMENTOS!$H$4:$H$803,G233,MOVIMIENTOS_COMPLEMENTOS!$B$4:$B$803,"INGRESO")+SUMIFS(MOVIMIENTOS_COMPLEMENTOS!$I$4:$I$803,MOVIMIENTOS_COMPLEMENTOS!$C$4:$C$803,A233,MOVIMIENTOS_COMPLEMENTOS!$D$4:$D$803,B233,MOVIMIENTOS_COMPLEMENTOS!$E$4:$E$803,C233,MOVIMIENTOS_COMPLEMENTOS!$G$4:$G$803,E233,MOVIMIENTOS_COMPLEMENTOS!$H$4:$H$803,G233,MOVIMIENTOS_COMPLEMENTOS!$B$4:$B$803,"DE CORTE")-SUMIFS(MOVIMIENTOS_COMPLEMENTOS!$I$4:$I$803,MOVIMIENTOS_COMPLEMENTOS!$C$4:$C$803,A233,MOVIMIENTOS_COMPLEMENTOS!$D$4:$D$803,B233,MOVIMIENTOS_COMPLEMENTOS!$E$4:$E$803,C233,MOVIMIENTOS_COMPLEMENTOS!$G$4:$G$803,E233,MOVIMIENTOS_COMPLEMENTOS!$H$4:$H$803,G233,MOVIMIENTOS_COMPLEMENTOS!$B$4:$B$803,"SALIDA"),0)</f>
        <v>0</v>
      </c>
      <c r="I233" s="102">
        <f t="array" ref="I233">IFERROR(INDEX(PRECIOS_COMPLEMENTOS!$C$4:$F$17,MATCH(B233&amp;"_"&amp;C233,PRECIOS_COMPLEMENTOS!$H$4:$H$17,0),IF(OR(G233="S",G233="20cm"),1,IF(OR(G233="M",G233="25cm"),2,IF(OR(G233="L",G233="30cm"),3,IF(OR(G233="XL",G233="35cm"),4,0))))),0)</f>
        <v>0.75</v>
      </c>
      <c r="J233" s="103">
        <f t="shared" si="1"/>
        <v>0</v>
      </c>
      <c r="K233" s="104" t="str">
        <f>IF(H233&lt;0,"ERROR",IF(H233=0,"",IF(H233&lt;CONFIG!$B$4,"CRÍTICO",IF(H233&lt;CONFIG!$B$5,"BAJO","OK"))))</f>
        <v/>
      </c>
    </row>
    <row r="234" ht="15.75" hidden="1" customHeight="1">
      <c r="A234" s="90" t="str">
        <f>IF(CLIENTES!A9="","",CLIENTES!A9)</f>
        <v/>
      </c>
      <c r="B234" s="90" t="s">
        <v>321</v>
      </c>
      <c r="C234" s="91" t="s">
        <v>322</v>
      </c>
      <c r="D234" s="109" t="s">
        <v>353</v>
      </c>
      <c r="E234" s="67" t="str">
        <f>COLORES!A19</f>
        <v/>
      </c>
      <c r="F234" s="67" t="str">
        <f>COLORES!B19</f>
        <v/>
      </c>
      <c r="G234" s="90" t="s">
        <v>376</v>
      </c>
      <c r="H234" s="100">
        <f>IFERROR(SUMIFS(MOVIMIENTOS_COMPLEMENTOS!$I$4:$I$803,MOVIMIENTOS_COMPLEMENTOS!$C$4:$C$803,A234,MOVIMIENTOS_COMPLEMENTOS!$D$4:$D$803,B234,MOVIMIENTOS_COMPLEMENTOS!$E$4:$E$803,C234,MOVIMIENTOS_COMPLEMENTOS!$G$4:$G$803,E234,MOVIMIENTOS_COMPLEMENTOS!$H$4:$H$803,G234,MOVIMIENTOS_COMPLEMENTOS!$B$4:$B$803,"INGRESO")+SUMIFS(MOVIMIENTOS_COMPLEMENTOS!$I$4:$I$803,MOVIMIENTOS_COMPLEMENTOS!$C$4:$C$803,A234,MOVIMIENTOS_COMPLEMENTOS!$D$4:$D$803,B234,MOVIMIENTOS_COMPLEMENTOS!$E$4:$E$803,C234,MOVIMIENTOS_COMPLEMENTOS!$G$4:$G$803,E234,MOVIMIENTOS_COMPLEMENTOS!$H$4:$H$803,G234,MOVIMIENTOS_COMPLEMENTOS!$B$4:$B$803,"DE CORTE")-SUMIFS(MOVIMIENTOS_COMPLEMENTOS!$I$4:$I$803,MOVIMIENTOS_COMPLEMENTOS!$C$4:$C$803,A234,MOVIMIENTOS_COMPLEMENTOS!$D$4:$D$803,B234,MOVIMIENTOS_COMPLEMENTOS!$E$4:$E$803,C234,MOVIMIENTOS_COMPLEMENTOS!$G$4:$G$803,E234,MOVIMIENTOS_COMPLEMENTOS!$H$4:$H$803,G234,MOVIMIENTOS_COMPLEMENTOS!$B$4:$B$803,"SALIDA"),0)</f>
        <v>0</v>
      </c>
      <c r="I234" s="102">
        <f t="array" ref="I234">IFERROR(INDEX(PRECIOS_COMPLEMENTOS!$C$4:$F$17,MATCH(B234&amp;"_"&amp;C234,PRECIOS_COMPLEMENTOS!$H$4:$H$17,0),IF(OR(G234="S",G234="20cm"),1,IF(OR(G234="M",G234="25cm"),2,IF(OR(G234="L",G234="30cm"),3,IF(OR(G234="XL",G234="35cm"),4,0))))),0)</f>
        <v>0.7</v>
      </c>
      <c r="J234" s="103">
        <f t="shared" si="1"/>
        <v>0</v>
      </c>
      <c r="K234" s="104" t="str">
        <f>IF(H234&lt;0,"ERROR",IF(H234=0,"",IF(H234&lt;CONFIG!$B$4,"CRÍTICO",IF(H234&lt;CONFIG!$B$5,"BAJO","OK"))))</f>
        <v/>
      </c>
    </row>
    <row r="235" ht="15.75" hidden="1" customHeight="1">
      <c r="A235" s="90" t="str">
        <f>IF(CLIENTES!A9="","",CLIENTES!A9)</f>
        <v/>
      </c>
      <c r="B235" s="90" t="s">
        <v>321</v>
      </c>
      <c r="C235" s="91" t="s">
        <v>322</v>
      </c>
      <c r="D235" s="109" t="s">
        <v>353</v>
      </c>
      <c r="E235" s="67" t="str">
        <f>COLORES!A19</f>
        <v/>
      </c>
      <c r="F235" s="67" t="str">
        <f>COLORES!B19</f>
        <v/>
      </c>
      <c r="G235" s="90" t="s">
        <v>377</v>
      </c>
      <c r="H235" s="100">
        <f>IFERROR(SUMIFS(MOVIMIENTOS_COMPLEMENTOS!$I$4:$I$803,MOVIMIENTOS_COMPLEMENTOS!$C$4:$C$803,A235,MOVIMIENTOS_COMPLEMENTOS!$D$4:$D$803,B235,MOVIMIENTOS_COMPLEMENTOS!$E$4:$E$803,C235,MOVIMIENTOS_COMPLEMENTOS!$G$4:$G$803,E235,MOVIMIENTOS_COMPLEMENTOS!$H$4:$H$803,G235,MOVIMIENTOS_COMPLEMENTOS!$B$4:$B$803,"INGRESO")+SUMIFS(MOVIMIENTOS_COMPLEMENTOS!$I$4:$I$803,MOVIMIENTOS_COMPLEMENTOS!$C$4:$C$803,A235,MOVIMIENTOS_COMPLEMENTOS!$D$4:$D$803,B235,MOVIMIENTOS_COMPLEMENTOS!$E$4:$E$803,C235,MOVIMIENTOS_COMPLEMENTOS!$G$4:$G$803,E235,MOVIMIENTOS_COMPLEMENTOS!$H$4:$H$803,G235,MOVIMIENTOS_COMPLEMENTOS!$B$4:$B$803,"DE CORTE")-SUMIFS(MOVIMIENTOS_COMPLEMENTOS!$I$4:$I$803,MOVIMIENTOS_COMPLEMENTOS!$C$4:$C$803,A235,MOVIMIENTOS_COMPLEMENTOS!$D$4:$D$803,B235,MOVIMIENTOS_COMPLEMENTOS!$E$4:$E$803,C235,MOVIMIENTOS_COMPLEMENTOS!$G$4:$G$803,E235,MOVIMIENTOS_COMPLEMENTOS!$H$4:$H$803,G235,MOVIMIENTOS_COMPLEMENTOS!$B$4:$B$803,"SALIDA"),0)</f>
        <v>0</v>
      </c>
      <c r="I235" s="102">
        <f t="array" ref="I235">IFERROR(INDEX(PRECIOS_COMPLEMENTOS!$C$4:$F$17,MATCH(B235&amp;"_"&amp;C235,PRECIOS_COMPLEMENTOS!$H$4:$H$17,0),IF(OR(G235="S",G235="20cm"),1,IF(OR(G235="M",G235="25cm"),2,IF(OR(G235="L",G235="30cm"),3,IF(OR(G235="XL",G235="35cm"),4,0))))),0)</f>
        <v>0.75</v>
      </c>
      <c r="J235" s="103">
        <f t="shared" si="1"/>
        <v>0</v>
      </c>
      <c r="K235" s="104" t="str">
        <f>IF(H235&lt;0,"ERROR",IF(H235=0,"",IF(H235&lt;CONFIG!$B$4,"CRÍTICO",IF(H235&lt;CONFIG!$B$5,"BAJO","OK"))))</f>
        <v/>
      </c>
    </row>
    <row r="236" ht="15.75" hidden="1" customHeight="1">
      <c r="A236" s="90" t="str">
        <f>IF(CLIENTES!A9="","",CLIENTES!A9)</f>
        <v/>
      </c>
      <c r="B236" s="90" t="s">
        <v>321</v>
      </c>
      <c r="C236" s="91" t="s">
        <v>322</v>
      </c>
      <c r="D236" s="109" t="s">
        <v>353</v>
      </c>
      <c r="E236" s="67" t="str">
        <f>COLORES!A20</f>
        <v/>
      </c>
      <c r="F236" s="67" t="str">
        <f>COLORES!B20</f>
        <v/>
      </c>
      <c r="G236" s="90" t="s">
        <v>376</v>
      </c>
      <c r="H236" s="100">
        <f>IFERROR(SUMIFS(MOVIMIENTOS_COMPLEMENTOS!$I$4:$I$803,MOVIMIENTOS_COMPLEMENTOS!$C$4:$C$803,A236,MOVIMIENTOS_COMPLEMENTOS!$D$4:$D$803,B236,MOVIMIENTOS_COMPLEMENTOS!$E$4:$E$803,C236,MOVIMIENTOS_COMPLEMENTOS!$G$4:$G$803,E236,MOVIMIENTOS_COMPLEMENTOS!$H$4:$H$803,G236,MOVIMIENTOS_COMPLEMENTOS!$B$4:$B$803,"INGRESO")+SUMIFS(MOVIMIENTOS_COMPLEMENTOS!$I$4:$I$803,MOVIMIENTOS_COMPLEMENTOS!$C$4:$C$803,A236,MOVIMIENTOS_COMPLEMENTOS!$D$4:$D$803,B236,MOVIMIENTOS_COMPLEMENTOS!$E$4:$E$803,C236,MOVIMIENTOS_COMPLEMENTOS!$G$4:$G$803,E236,MOVIMIENTOS_COMPLEMENTOS!$H$4:$H$803,G236,MOVIMIENTOS_COMPLEMENTOS!$B$4:$B$803,"DE CORTE")-SUMIFS(MOVIMIENTOS_COMPLEMENTOS!$I$4:$I$803,MOVIMIENTOS_COMPLEMENTOS!$C$4:$C$803,A236,MOVIMIENTOS_COMPLEMENTOS!$D$4:$D$803,B236,MOVIMIENTOS_COMPLEMENTOS!$E$4:$E$803,C236,MOVIMIENTOS_COMPLEMENTOS!$G$4:$G$803,E236,MOVIMIENTOS_COMPLEMENTOS!$H$4:$H$803,G236,MOVIMIENTOS_COMPLEMENTOS!$B$4:$B$803,"SALIDA"),0)</f>
        <v>0</v>
      </c>
      <c r="I236" s="102">
        <f t="array" ref="I236">IFERROR(INDEX(PRECIOS_COMPLEMENTOS!$C$4:$F$17,MATCH(B236&amp;"_"&amp;C236,PRECIOS_COMPLEMENTOS!$H$4:$H$17,0),IF(OR(G236="S",G236="20cm"),1,IF(OR(G236="M",G236="25cm"),2,IF(OR(G236="L",G236="30cm"),3,IF(OR(G236="XL",G236="35cm"),4,0))))),0)</f>
        <v>0.7</v>
      </c>
      <c r="J236" s="103">
        <f t="shared" si="1"/>
        <v>0</v>
      </c>
      <c r="K236" s="104" t="str">
        <f>IF(H236&lt;0,"ERROR",IF(H236=0,"",IF(H236&lt;CONFIG!$B$4,"CRÍTICO",IF(H236&lt;CONFIG!$B$5,"BAJO","OK"))))</f>
        <v/>
      </c>
    </row>
    <row r="237" ht="15.75" hidden="1" customHeight="1">
      <c r="A237" s="90" t="str">
        <f>IF(CLIENTES!A9="","",CLIENTES!A9)</f>
        <v/>
      </c>
      <c r="B237" s="90" t="s">
        <v>321</v>
      </c>
      <c r="C237" s="91" t="s">
        <v>322</v>
      </c>
      <c r="D237" s="109" t="s">
        <v>353</v>
      </c>
      <c r="E237" s="67" t="str">
        <f>COLORES!A20</f>
        <v/>
      </c>
      <c r="F237" s="67" t="str">
        <f>COLORES!B20</f>
        <v/>
      </c>
      <c r="G237" s="90" t="s">
        <v>377</v>
      </c>
      <c r="H237" s="100">
        <f>IFERROR(SUMIFS(MOVIMIENTOS_COMPLEMENTOS!$I$4:$I$803,MOVIMIENTOS_COMPLEMENTOS!$C$4:$C$803,A237,MOVIMIENTOS_COMPLEMENTOS!$D$4:$D$803,B237,MOVIMIENTOS_COMPLEMENTOS!$E$4:$E$803,C237,MOVIMIENTOS_COMPLEMENTOS!$G$4:$G$803,E237,MOVIMIENTOS_COMPLEMENTOS!$H$4:$H$803,G237,MOVIMIENTOS_COMPLEMENTOS!$B$4:$B$803,"INGRESO")+SUMIFS(MOVIMIENTOS_COMPLEMENTOS!$I$4:$I$803,MOVIMIENTOS_COMPLEMENTOS!$C$4:$C$803,A237,MOVIMIENTOS_COMPLEMENTOS!$D$4:$D$803,B237,MOVIMIENTOS_COMPLEMENTOS!$E$4:$E$803,C237,MOVIMIENTOS_COMPLEMENTOS!$G$4:$G$803,E237,MOVIMIENTOS_COMPLEMENTOS!$H$4:$H$803,G237,MOVIMIENTOS_COMPLEMENTOS!$B$4:$B$803,"DE CORTE")-SUMIFS(MOVIMIENTOS_COMPLEMENTOS!$I$4:$I$803,MOVIMIENTOS_COMPLEMENTOS!$C$4:$C$803,A237,MOVIMIENTOS_COMPLEMENTOS!$D$4:$D$803,B237,MOVIMIENTOS_COMPLEMENTOS!$E$4:$E$803,C237,MOVIMIENTOS_COMPLEMENTOS!$G$4:$G$803,E237,MOVIMIENTOS_COMPLEMENTOS!$H$4:$H$803,G237,MOVIMIENTOS_COMPLEMENTOS!$B$4:$B$803,"SALIDA"),0)</f>
        <v>0</v>
      </c>
      <c r="I237" s="102">
        <f t="array" ref="I237">IFERROR(INDEX(PRECIOS_COMPLEMENTOS!$C$4:$F$17,MATCH(B237&amp;"_"&amp;C237,PRECIOS_COMPLEMENTOS!$H$4:$H$17,0),IF(OR(G237="S",G237="20cm"),1,IF(OR(G237="M",G237="25cm"),2,IF(OR(G237="L",G237="30cm"),3,IF(OR(G237="XL",G237="35cm"),4,0))))),0)</f>
        <v>0.75</v>
      </c>
      <c r="J237" s="103">
        <f t="shared" si="1"/>
        <v>0</v>
      </c>
      <c r="K237" s="104" t="str">
        <f>IF(H237&lt;0,"ERROR",IF(H237=0,"",IF(H237&lt;CONFIG!$B$4,"CRÍTICO",IF(H237&lt;CONFIG!$B$5,"BAJO","OK"))))</f>
        <v/>
      </c>
    </row>
    <row r="238" ht="15.75" hidden="1" customHeight="1">
      <c r="A238" s="90" t="str">
        <f>IF(CLIENTES!A9="","",CLIENTES!A9)</f>
        <v/>
      </c>
      <c r="B238" s="90" t="s">
        <v>321</v>
      </c>
      <c r="C238" s="91" t="s">
        <v>322</v>
      </c>
      <c r="D238" s="109" t="s">
        <v>353</v>
      </c>
      <c r="E238" s="67" t="str">
        <f>COLORES!A21</f>
        <v/>
      </c>
      <c r="F238" s="67" t="str">
        <f>COLORES!B21</f>
        <v/>
      </c>
      <c r="G238" s="90" t="s">
        <v>376</v>
      </c>
      <c r="H238" s="100">
        <f>IFERROR(SUMIFS(MOVIMIENTOS_COMPLEMENTOS!$I$4:$I$803,MOVIMIENTOS_COMPLEMENTOS!$C$4:$C$803,A238,MOVIMIENTOS_COMPLEMENTOS!$D$4:$D$803,B238,MOVIMIENTOS_COMPLEMENTOS!$E$4:$E$803,C238,MOVIMIENTOS_COMPLEMENTOS!$G$4:$G$803,E238,MOVIMIENTOS_COMPLEMENTOS!$H$4:$H$803,G238,MOVIMIENTOS_COMPLEMENTOS!$B$4:$B$803,"INGRESO")+SUMIFS(MOVIMIENTOS_COMPLEMENTOS!$I$4:$I$803,MOVIMIENTOS_COMPLEMENTOS!$C$4:$C$803,A238,MOVIMIENTOS_COMPLEMENTOS!$D$4:$D$803,B238,MOVIMIENTOS_COMPLEMENTOS!$E$4:$E$803,C238,MOVIMIENTOS_COMPLEMENTOS!$G$4:$G$803,E238,MOVIMIENTOS_COMPLEMENTOS!$H$4:$H$803,G238,MOVIMIENTOS_COMPLEMENTOS!$B$4:$B$803,"DE CORTE")-SUMIFS(MOVIMIENTOS_COMPLEMENTOS!$I$4:$I$803,MOVIMIENTOS_COMPLEMENTOS!$C$4:$C$803,A238,MOVIMIENTOS_COMPLEMENTOS!$D$4:$D$803,B238,MOVIMIENTOS_COMPLEMENTOS!$E$4:$E$803,C238,MOVIMIENTOS_COMPLEMENTOS!$G$4:$G$803,E238,MOVIMIENTOS_COMPLEMENTOS!$H$4:$H$803,G238,MOVIMIENTOS_COMPLEMENTOS!$B$4:$B$803,"SALIDA"),0)</f>
        <v>0</v>
      </c>
      <c r="I238" s="102">
        <f t="array" ref="I238">IFERROR(INDEX(PRECIOS_COMPLEMENTOS!$C$4:$F$17,MATCH(B238&amp;"_"&amp;C238,PRECIOS_COMPLEMENTOS!$H$4:$H$17,0),IF(OR(G238="S",G238="20cm"),1,IF(OR(G238="M",G238="25cm"),2,IF(OR(G238="L",G238="30cm"),3,IF(OR(G238="XL",G238="35cm"),4,0))))),0)</f>
        <v>0.7</v>
      </c>
      <c r="J238" s="103">
        <f t="shared" si="1"/>
        <v>0</v>
      </c>
      <c r="K238" s="104" t="str">
        <f>IF(H238&lt;0,"ERROR",IF(H238=0,"",IF(H238&lt;CONFIG!$B$4,"CRÍTICO",IF(H238&lt;CONFIG!$B$5,"BAJO","OK"))))</f>
        <v/>
      </c>
    </row>
    <row r="239" ht="15.75" hidden="1" customHeight="1">
      <c r="A239" s="90" t="str">
        <f>IF(CLIENTES!A9="","",CLIENTES!A9)</f>
        <v/>
      </c>
      <c r="B239" s="90" t="s">
        <v>321</v>
      </c>
      <c r="C239" s="91" t="s">
        <v>322</v>
      </c>
      <c r="D239" s="109" t="s">
        <v>353</v>
      </c>
      <c r="E239" s="67" t="str">
        <f>COLORES!A21</f>
        <v/>
      </c>
      <c r="F239" s="67" t="str">
        <f>COLORES!B21</f>
        <v/>
      </c>
      <c r="G239" s="90" t="s">
        <v>377</v>
      </c>
      <c r="H239" s="100">
        <f>IFERROR(SUMIFS(MOVIMIENTOS_COMPLEMENTOS!$I$4:$I$803,MOVIMIENTOS_COMPLEMENTOS!$C$4:$C$803,A239,MOVIMIENTOS_COMPLEMENTOS!$D$4:$D$803,B239,MOVIMIENTOS_COMPLEMENTOS!$E$4:$E$803,C239,MOVIMIENTOS_COMPLEMENTOS!$G$4:$G$803,E239,MOVIMIENTOS_COMPLEMENTOS!$H$4:$H$803,G239,MOVIMIENTOS_COMPLEMENTOS!$B$4:$B$803,"INGRESO")+SUMIFS(MOVIMIENTOS_COMPLEMENTOS!$I$4:$I$803,MOVIMIENTOS_COMPLEMENTOS!$C$4:$C$803,A239,MOVIMIENTOS_COMPLEMENTOS!$D$4:$D$803,B239,MOVIMIENTOS_COMPLEMENTOS!$E$4:$E$803,C239,MOVIMIENTOS_COMPLEMENTOS!$G$4:$G$803,E239,MOVIMIENTOS_COMPLEMENTOS!$H$4:$H$803,G239,MOVIMIENTOS_COMPLEMENTOS!$B$4:$B$803,"DE CORTE")-SUMIFS(MOVIMIENTOS_COMPLEMENTOS!$I$4:$I$803,MOVIMIENTOS_COMPLEMENTOS!$C$4:$C$803,A239,MOVIMIENTOS_COMPLEMENTOS!$D$4:$D$803,B239,MOVIMIENTOS_COMPLEMENTOS!$E$4:$E$803,C239,MOVIMIENTOS_COMPLEMENTOS!$G$4:$G$803,E239,MOVIMIENTOS_COMPLEMENTOS!$H$4:$H$803,G239,MOVIMIENTOS_COMPLEMENTOS!$B$4:$B$803,"SALIDA"),0)</f>
        <v>0</v>
      </c>
      <c r="I239" s="102">
        <f t="array" ref="I239">IFERROR(INDEX(PRECIOS_COMPLEMENTOS!$C$4:$F$17,MATCH(B239&amp;"_"&amp;C239,PRECIOS_COMPLEMENTOS!$H$4:$H$17,0),IF(OR(G239="S",G239="20cm"),1,IF(OR(G239="M",G239="25cm"),2,IF(OR(G239="L",G239="30cm"),3,IF(OR(G239="XL",G239="35cm"),4,0))))),0)</f>
        <v>0.75</v>
      </c>
      <c r="J239" s="103">
        <f t="shared" si="1"/>
        <v>0</v>
      </c>
      <c r="K239" s="104" t="str">
        <f>IF(H239&lt;0,"ERROR",IF(H239=0,"",IF(H239&lt;CONFIG!$B$4,"CRÍTICO",IF(H239&lt;CONFIG!$B$5,"BAJO","OK"))))</f>
        <v/>
      </c>
    </row>
    <row r="240" ht="15.75" hidden="1" customHeight="1">
      <c r="A240" s="90" t="str">
        <f>IF(CLIENTES!A9="","",CLIENTES!A9)</f>
        <v/>
      </c>
      <c r="B240" s="90" t="s">
        <v>321</v>
      </c>
      <c r="C240" s="91" t="s">
        <v>322</v>
      </c>
      <c r="D240" s="109" t="s">
        <v>353</v>
      </c>
      <c r="E240" s="67" t="str">
        <f>COLORES!A22</f>
        <v/>
      </c>
      <c r="F240" s="67" t="str">
        <f>COLORES!B22</f>
        <v/>
      </c>
      <c r="G240" s="90" t="s">
        <v>376</v>
      </c>
      <c r="H240" s="100">
        <f>IFERROR(SUMIFS(MOVIMIENTOS_COMPLEMENTOS!$I$4:$I$803,MOVIMIENTOS_COMPLEMENTOS!$C$4:$C$803,A240,MOVIMIENTOS_COMPLEMENTOS!$D$4:$D$803,B240,MOVIMIENTOS_COMPLEMENTOS!$E$4:$E$803,C240,MOVIMIENTOS_COMPLEMENTOS!$G$4:$G$803,E240,MOVIMIENTOS_COMPLEMENTOS!$H$4:$H$803,G240,MOVIMIENTOS_COMPLEMENTOS!$B$4:$B$803,"INGRESO")+SUMIFS(MOVIMIENTOS_COMPLEMENTOS!$I$4:$I$803,MOVIMIENTOS_COMPLEMENTOS!$C$4:$C$803,A240,MOVIMIENTOS_COMPLEMENTOS!$D$4:$D$803,B240,MOVIMIENTOS_COMPLEMENTOS!$E$4:$E$803,C240,MOVIMIENTOS_COMPLEMENTOS!$G$4:$G$803,E240,MOVIMIENTOS_COMPLEMENTOS!$H$4:$H$803,G240,MOVIMIENTOS_COMPLEMENTOS!$B$4:$B$803,"DE CORTE")-SUMIFS(MOVIMIENTOS_COMPLEMENTOS!$I$4:$I$803,MOVIMIENTOS_COMPLEMENTOS!$C$4:$C$803,A240,MOVIMIENTOS_COMPLEMENTOS!$D$4:$D$803,B240,MOVIMIENTOS_COMPLEMENTOS!$E$4:$E$803,C240,MOVIMIENTOS_COMPLEMENTOS!$G$4:$G$803,E240,MOVIMIENTOS_COMPLEMENTOS!$H$4:$H$803,G240,MOVIMIENTOS_COMPLEMENTOS!$B$4:$B$803,"SALIDA"),0)</f>
        <v>0</v>
      </c>
      <c r="I240" s="102">
        <f t="array" ref="I240">IFERROR(INDEX(PRECIOS_COMPLEMENTOS!$C$4:$F$17,MATCH(B240&amp;"_"&amp;C240,PRECIOS_COMPLEMENTOS!$H$4:$H$17,0),IF(OR(G240="S",G240="20cm"),1,IF(OR(G240="M",G240="25cm"),2,IF(OR(G240="L",G240="30cm"),3,IF(OR(G240="XL",G240="35cm"),4,0))))),0)</f>
        <v>0.7</v>
      </c>
      <c r="J240" s="103">
        <f t="shared" si="1"/>
        <v>0</v>
      </c>
      <c r="K240" s="104" t="str">
        <f>IF(H240&lt;0,"ERROR",IF(H240=0,"",IF(H240&lt;CONFIG!$B$4,"CRÍTICO",IF(H240&lt;CONFIG!$B$5,"BAJO","OK"))))</f>
        <v/>
      </c>
    </row>
    <row r="241" ht="15.75" hidden="1" customHeight="1">
      <c r="A241" s="90" t="str">
        <f>IF(CLIENTES!A9="","",CLIENTES!A9)</f>
        <v/>
      </c>
      <c r="B241" s="90" t="s">
        <v>321</v>
      </c>
      <c r="C241" s="91" t="s">
        <v>322</v>
      </c>
      <c r="D241" s="109" t="s">
        <v>353</v>
      </c>
      <c r="E241" s="67" t="str">
        <f>COLORES!A22</f>
        <v/>
      </c>
      <c r="F241" s="67" t="str">
        <f>COLORES!B22</f>
        <v/>
      </c>
      <c r="G241" s="90" t="s">
        <v>377</v>
      </c>
      <c r="H241" s="100">
        <f>IFERROR(SUMIFS(MOVIMIENTOS_COMPLEMENTOS!$I$4:$I$803,MOVIMIENTOS_COMPLEMENTOS!$C$4:$C$803,A241,MOVIMIENTOS_COMPLEMENTOS!$D$4:$D$803,B241,MOVIMIENTOS_COMPLEMENTOS!$E$4:$E$803,C241,MOVIMIENTOS_COMPLEMENTOS!$G$4:$G$803,E241,MOVIMIENTOS_COMPLEMENTOS!$H$4:$H$803,G241,MOVIMIENTOS_COMPLEMENTOS!$B$4:$B$803,"INGRESO")+SUMIFS(MOVIMIENTOS_COMPLEMENTOS!$I$4:$I$803,MOVIMIENTOS_COMPLEMENTOS!$C$4:$C$803,A241,MOVIMIENTOS_COMPLEMENTOS!$D$4:$D$803,B241,MOVIMIENTOS_COMPLEMENTOS!$E$4:$E$803,C241,MOVIMIENTOS_COMPLEMENTOS!$G$4:$G$803,E241,MOVIMIENTOS_COMPLEMENTOS!$H$4:$H$803,G241,MOVIMIENTOS_COMPLEMENTOS!$B$4:$B$803,"DE CORTE")-SUMIFS(MOVIMIENTOS_COMPLEMENTOS!$I$4:$I$803,MOVIMIENTOS_COMPLEMENTOS!$C$4:$C$803,A241,MOVIMIENTOS_COMPLEMENTOS!$D$4:$D$803,B241,MOVIMIENTOS_COMPLEMENTOS!$E$4:$E$803,C241,MOVIMIENTOS_COMPLEMENTOS!$G$4:$G$803,E241,MOVIMIENTOS_COMPLEMENTOS!$H$4:$H$803,G241,MOVIMIENTOS_COMPLEMENTOS!$B$4:$B$803,"SALIDA"),0)</f>
        <v>0</v>
      </c>
      <c r="I241" s="102">
        <f t="array" ref="I241">IFERROR(INDEX(PRECIOS_COMPLEMENTOS!$C$4:$F$17,MATCH(B241&amp;"_"&amp;C241,PRECIOS_COMPLEMENTOS!$H$4:$H$17,0),IF(OR(G241="S",G241="20cm"),1,IF(OR(G241="M",G241="25cm"),2,IF(OR(G241="L",G241="30cm"),3,IF(OR(G241="XL",G241="35cm"),4,0))))),0)</f>
        <v>0.75</v>
      </c>
      <c r="J241" s="103">
        <f t="shared" si="1"/>
        <v>0</v>
      </c>
      <c r="K241" s="104" t="str">
        <f>IF(H241&lt;0,"ERROR",IF(H241=0,"",IF(H241&lt;CONFIG!$B$4,"CRÍTICO",IF(H241&lt;CONFIG!$B$5,"BAJO","OK"))))</f>
        <v/>
      </c>
    </row>
    <row r="242" ht="15.75" hidden="1" customHeight="1">
      <c r="A242" s="90" t="str">
        <f>IF(CLIENTES!A9="","",CLIENTES!A9)</f>
        <v/>
      </c>
      <c r="B242" s="90" t="s">
        <v>321</v>
      </c>
      <c r="C242" s="91" t="s">
        <v>322</v>
      </c>
      <c r="D242" s="109" t="s">
        <v>353</v>
      </c>
      <c r="E242" s="67" t="str">
        <f>COLORES!A23</f>
        <v/>
      </c>
      <c r="F242" s="67" t="str">
        <f>COLORES!B23</f>
        <v/>
      </c>
      <c r="G242" s="90" t="s">
        <v>376</v>
      </c>
      <c r="H242" s="100">
        <f>IFERROR(SUMIFS(MOVIMIENTOS_COMPLEMENTOS!$I$4:$I$803,MOVIMIENTOS_COMPLEMENTOS!$C$4:$C$803,A242,MOVIMIENTOS_COMPLEMENTOS!$D$4:$D$803,B242,MOVIMIENTOS_COMPLEMENTOS!$E$4:$E$803,C242,MOVIMIENTOS_COMPLEMENTOS!$G$4:$G$803,E242,MOVIMIENTOS_COMPLEMENTOS!$H$4:$H$803,G242,MOVIMIENTOS_COMPLEMENTOS!$B$4:$B$803,"INGRESO")+SUMIFS(MOVIMIENTOS_COMPLEMENTOS!$I$4:$I$803,MOVIMIENTOS_COMPLEMENTOS!$C$4:$C$803,A242,MOVIMIENTOS_COMPLEMENTOS!$D$4:$D$803,B242,MOVIMIENTOS_COMPLEMENTOS!$E$4:$E$803,C242,MOVIMIENTOS_COMPLEMENTOS!$G$4:$G$803,E242,MOVIMIENTOS_COMPLEMENTOS!$H$4:$H$803,G242,MOVIMIENTOS_COMPLEMENTOS!$B$4:$B$803,"DE CORTE")-SUMIFS(MOVIMIENTOS_COMPLEMENTOS!$I$4:$I$803,MOVIMIENTOS_COMPLEMENTOS!$C$4:$C$803,A242,MOVIMIENTOS_COMPLEMENTOS!$D$4:$D$803,B242,MOVIMIENTOS_COMPLEMENTOS!$E$4:$E$803,C242,MOVIMIENTOS_COMPLEMENTOS!$G$4:$G$803,E242,MOVIMIENTOS_COMPLEMENTOS!$H$4:$H$803,G242,MOVIMIENTOS_COMPLEMENTOS!$B$4:$B$803,"SALIDA"),0)</f>
        <v>0</v>
      </c>
      <c r="I242" s="102">
        <f t="array" ref="I242">IFERROR(INDEX(PRECIOS_COMPLEMENTOS!$C$4:$F$17,MATCH(B242&amp;"_"&amp;C242,PRECIOS_COMPLEMENTOS!$H$4:$H$17,0),IF(OR(G242="S",G242="20cm"),1,IF(OR(G242="M",G242="25cm"),2,IF(OR(G242="L",G242="30cm"),3,IF(OR(G242="XL",G242="35cm"),4,0))))),0)</f>
        <v>0.7</v>
      </c>
      <c r="J242" s="103">
        <f t="shared" si="1"/>
        <v>0</v>
      </c>
      <c r="K242" s="104" t="str">
        <f>IF(H242&lt;0,"ERROR",IF(H242=0,"",IF(H242&lt;CONFIG!$B$4,"CRÍTICO",IF(H242&lt;CONFIG!$B$5,"BAJO","OK"))))</f>
        <v/>
      </c>
    </row>
    <row r="243" ht="15.75" hidden="1" customHeight="1">
      <c r="A243" s="90" t="str">
        <f>IF(CLIENTES!A9="","",CLIENTES!A9)</f>
        <v/>
      </c>
      <c r="B243" s="90" t="s">
        <v>321</v>
      </c>
      <c r="C243" s="91" t="s">
        <v>322</v>
      </c>
      <c r="D243" s="109" t="s">
        <v>353</v>
      </c>
      <c r="E243" s="67" t="str">
        <f>COLORES!A23</f>
        <v/>
      </c>
      <c r="F243" s="67" t="str">
        <f>COLORES!B23</f>
        <v/>
      </c>
      <c r="G243" s="90" t="s">
        <v>377</v>
      </c>
      <c r="H243" s="100">
        <f>IFERROR(SUMIFS(MOVIMIENTOS_COMPLEMENTOS!$I$4:$I$803,MOVIMIENTOS_COMPLEMENTOS!$C$4:$C$803,A243,MOVIMIENTOS_COMPLEMENTOS!$D$4:$D$803,B243,MOVIMIENTOS_COMPLEMENTOS!$E$4:$E$803,C243,MOVIMIENTOS_COMPLEMENTOS!$G$4:$G$803,E243,MOVIMIENTOS_COMPLEMENTOS!$H$4:$H$803,G243,MOVIMIENTOS_COMPLEMENTOS!$B$4:$B$803,"INGRESO")+SUMIFS(MOVIMIENTOS_COMPLEMENTOS!$I$4:$I$803,MOVIMIENTOS_COMPLEMENTOS!$C$4:$C$803,A243,MOVIMIENTOS_COMPLEMENTOS!$D$4:$D$803,B243,MOVIMIENTOS_COMPLEMENTOS!$E$4:$E$803,C243,MOVIMIENTOS_COMPLEMENTOS!$G$4:$G$803,E243,MOVIMIENTOS_COMPLEMENTOS!$H$4:$H$803,G243,MOVIMIENTOS_COMPLEMENTOS!$B$4:$B$803,"DE CORTE")-SUMIFS(MOVIMIENTOS_COMPLEMENTOS!$I$4:$I$803,MOVIMIENTOS_COMPLEMENTOS!$C$4:$C$803,A243,MOVIMIENTOS_COMPLEMENTOS!$D$4:$D$803,B243,MOVIMIENTOS_COMPLEMENTOS!$E$4:$E$803,C243,MOVIMIENTOS_COMPLEMENTOS!$G$4:$G$803,E243,MOVIMIENTOS_COMPLEMENTOS!$H$4:$H$803,G243,MOVIMIENTOS_COMPLEMENTOS!$B$4:$B$803,"SALIDA"),0)</f>
        <v>0</v>
      </c>
      <c r="I243" s="102">
        <f t="array" ref="I243">IFERROR(INDEX(PRECIOS_COMPLEMENTOS!$C$4:$F$17,MATCH(B243&amp;"_"&amp;C243,PRECIOS_COMPLEMENTOS!$H$4:$H$17,0),IF(OR(G243="S",G243="20cm"),1,IF(OR(G243="M",G243="25cm"),2,IF(OR(G243="L",G243="30cm"),3,IF(OR(G243="XL",G243="35cm"),4,0))))),0)</f>
        <v>0.75</v>
      </c>
      <c r="J243" s="103">
        <f t="shared" si="1"/>
        <v>0</v>
      </c>
      <c r="K243" s="104" t="str">
        <f>IF(H243&lt;0,"ERROR",IF(H243=0,"",IF(H243&lt;CONFIG!$B$4,"CRÍTICO",IF(H243&lt;CONFIG!$B$5,"BAJO","OK"))))</f>
        <v/>
      </c>
    </row>
    <row r="244" ht="15.75" hidden="1" customHeight="1">
      <c r="A244" s="90" t="str">
        <f>IF(CLIENTES!A4="","",CLIENTES!A4)</f>
        <v>OverShark</v>
      </c>
      <c r="B244" s="90" t="s">
        <v>321</v>
      </c>
      <c r="C244" s="91" t="s">
        <v>326</v>
      </c>
      <c r="D244" s="109" t="s">
        <v>353</v>
      </c>
      <c r="E244" s="67" t="str">
        <f>COLORES!A4</f>
        <v>Negro</v>
      </c>
      <c r="F244" s="67" t="str">
        <f>COLORES!B4</f>
        <v>OSCURO</v>
      </c>
      <c r="G244" s="90" t="s">
        <v>378</v>
      </c>
      <c r="H244" s="100">
        <f>IFERROR(SUMIFS(MOVIMIENTOS_COMPLEMENTOS!$I$4:$I$803,MOVIMIENTOS_COMPLEMENTOS!$C$4:$C$803,A244,MOVIMIENTOS_COMPLEMENTOS!$D$4:$D$803,B244,MOVIMIENTOS_COMPLEMENTOS!$E$4:$E$803,C244,MOVIMIENTOS_COMPLEMENTOS!$G$4:$G$803,E244,MOVIMIENTOS_COMPLEMENTOS!$H$4:$H$803,G244,MOVIMIENTOS_COMPLEMENTOS!$B$4:$B$803,"INGRESO")+SUMIFS(MOVIMIENTOS_COMPLEMENTOS!$I$4:$I$803,MOVIMIENTOS_COMPLEMENTOS!$C$4:$C$803,A244,MOVIMIENTOS_COMPLEMENTOS!$D$4:$D$803,B244,MOVIMIENTOS_COMPLEMENTOS!$E$4:$E$803,C244,MOVIMIENTOS_COMPLEMENTOS!$G$4:$G$803,E244,MOVIMIENTOS_COMPLEMENTOS!$H$4:$H$803,G244,MOVIMIENTOS_COMPLEMENTOS!$B$4:$B$803,"DE CORTE")-SUMIFS(MOVIMIENTOS_COMPLEMENTOS!$I$4:$I$803,MOVIMIENTOS_COMPLEMENTOS!$C$4:$C$803,A244,MOVIMIENTOS_COMPLEMENTOS!$D$4:$D$803,B244,MOVIMIENTOS_COMPLEMENTOS!$E$4:$E$803,C244,MOVIMIENTOS_COMPLEMENTOS!$G$4:$G$803,E244,MOVIMIENTOS_COMPLEMENTOS!$H$4:$H$803,G244,MOVIMIENTOS_COMPLEMENTOS!$B$4:$B$803,"SALIDA"),0)</f>
        <v>0</v>
      </c>
      <c r="I244" s="102">
        <f t="array" ref="I244">IFERROR(INDEX(PRECIOS_COMPLEMENTOS!$C$4:$F$17,MATCH(B244&amp;"_"&amp;C244,PRECIOS_COMPLEMENTOS!$H$4:$H$17,0),IF(OR(G244="S",G244="20cm"),1,IF(OR(G244="M",G244="25cm"),2,IF(OR(G244="L",G244="30cm"),3,IF(OR(G244="XL",G244="35cm"),4,0))))),0)</f>
        <v>0.4</v>
      </c>
      <c r="J244" s="103">
        <f t="shared" si="1"/>
        <v>0</v>
      </c>
      <c r="K244" s="104" t="str">
        <f>IF(H244&lt;0,"ERROR",IF(H244=0,"",IF(H244&lt;CONFIG!$B$4,"CRÍTICO",IF(H244&lt;CONFIG!$B$5,"BAJO","OK"))))</f>
        <v/>
      </c>
    </row>
    <row r="245" ht="15.75" hidden="1" customHeight="1">
      <c r="A245" s="90" t="str">
        <f>IF(CLIENTES!A4="","",CLIENTES!A4)</f>
        <v>OverShark</v>
      </c>
      <c r="B245" s="90" t="s">
        <v>321</v>
      </c>
      <c r="C245" s="91" t="s">
        <v>326</v>
      </c>
      <c r="D245" s="109" t="s">
        <v>353</v>
      </c>
      <c r="E245" s="67" t="str">
        <f>COLORES!A4</f>
        <v>Negro</v>
      </c>
      <c r="F245" s="67" t="str">
        <f>COLORES!B4</f>
        <v>OSCURO</v>
      </c>
      <c r="G245" s="90" t="s">
        <v>376</v>
      </c>
      <c r="H245" s="100">
        <f>IFERROR(SUMIFS(MOVIMIENTOS_COMPLEMENTOS!$I$4:$I$803,MOVIMIENTOS_COMPLEMENTOS!$C$4:$C$803,A245,MOVIMIENTOS_COMPLEMENTOS!$D$4:$D$803,B245,MOVIMIENTOS_COMPLEMENTOS!$E$4:$E$803,C245,MOVIMIENTOS_COMPLEMENTOS!$G$4:$G$803,E245,MOVIMIENTOS_COMPLEMENTOS!$H$4:$H$803,G245,MOVIMIENTOS_COMPLEMENTOS!$B$4:$B$803,"INGRESO")+SUMIFS(MOVIMIENTOS_COMPLEMENTOS!$I$4:$I$803,MOVIMIENTOS_COMPLEMENTOS!$C$4:$C$803,A245,MOVIMIENTOS_COMPLEMENTOS!$D$4:$D$803,B245,MOVIMIENTOS_COMPLEMENTOS!$E$4:$E$803,C245,MOVIMIENTOS_COMPLEMENTOS!$G$4:$G$803,E245,MOVIMIENTOS_COMPLEMENTOS!$H$4:$H$803,G245,MOVIMIENTOS_COMPLEMENTOS!$B$4:$B$803,"DE CORTE")-SUMIFS(MOVIMIENTOS_COMPLEMENTOS!$I$4:$I$803,MOVIMIENTOS_COMPLEMENTOS!$C$4:$C$803,A245,MOVIMIENTOS_COMPLEMENTOS!$D$4:$D$803,B245,MOVIMIENTOS_COMPLEMENTOS!$E$4:$E$803,C245,MOVIMIENTOS_COMPLEMENTOS!$G$4:$G$803,E245,MOVIMIENTOS_COMPLEMENTOS!$H$4:$H$803,G245,MOVIMIENTOS_COMPLEMENTOS!$B$4:$B$803,"SALIDA"),0)</f>
        <v>0</v>
      </c>
      <c r="I245" s="102">
        <f t="array" ref="I245">IFERROR(INDEX(PRECIOS_COMPLEMENTOS!$C$4:$F$17,MATCH(B245&amp;"_"&amp;C245,PRECIOS_COMPLEMENTOS!$H$4:$H$17,0),IF(OR(G245="S",G245="20cm"),1,IF(OR(G245="M",G245="25cm"),2,IF(OR(G245="L",G245="30cm"),3,IF(OR(G245="XL",G245="35cm"),4,0))))),0)</f>
        <v>0.45</v>
      </c>
      <c r="J245" s="103">
        <f t="shared" si="1"/>
        <v>0</v>
      </c>
      <c r="K245" s="104" t="str">
        <f>IF(H245&lt;0,"ERROR",IF(H245=0,"",IF(H245&lt;CONFIG!$B$4,"CRÍTICO",IF(H245&lt;CONFIG!$B$5,"BAJO","OK"))))</f>
        <v/>
      </c>
    </row>
    <row r="246" ht="15.75" hidden="1" customHeight="1">
      <c r="A246" s="90" t="str">
        <f>IF(CLIENTES!A4="","",CLIENTES!A4)</f>
        <v>OverShark</v>
      </c>
      <c r="B246" s="90" t="s">
        <v>321</v>
      </c>
      <c r="C246" s="91" t="s">
        <v>326</v>
      </c>
      <c r="D246" s="109" t="s">
        <v>353</v>
      </c>
      <c r="E246" s="67" t="str">
        <f>COLORES!A4</f>
        <v>Negro</v>
      </c>
      <c r="F246" s="67" t="str">
        <f>COLORES!B4</f>
        <v>OSCURO</v>
      </c>
      <c r="G246" s="90" t="s">
        <v>377</v>
      </c>
      <c r="H246" s="100">
        <f>IFERROR(SUMIFS(MOVIMIENTOS_COMPLEMENTOS!$I$4:$I$803,MOVIMIENTOS_COMPLEMENTOS!$C$4:$C$803,A246,MOVIMIENTOS_COMPLEMENTOS!$D$4:$D$803,B246,MOVIMIENTOS_COMPLEMENTOS!$E$4:$E$803,C246,MOVIMIENTOS_COMPLEMENTOS!$G$4:$G$803,E246,MOVIMIENTOS_COMPLEMENTOS!$H$4:$H$803,G246,MOVIMIENTOS_COMPLEMENTOS!$B$4:$B$803,"INGRESO")+SUMIFS(MOVIMIENTOS_COMPLEMENTOS!$I$4:$I$803,MOVIMIENTOS_COMPLEMENTOS!$C$4:$C$803,A246,MOVIMIENTOS_COMPLEMENTOS!$D$4:$D$803,B246,MOVIMIENTOS_COMPLEMENTOS!$E$4:$E$803,C246,MOVIMIENTOS_COMPLEMENTOS!$G$4:$G$803,E246,MOVIMIENTOS_COMPLEMENTOS!$H$4:$H$803,G246,MOVIMIENTOS_COMPLEMENTOS!$B$4:$B$803,"DE CORTE")-SUMIFS(MOVIMIENTOS_COMPLEMENTOS!$I$4:$I$803,MOVIMIENTOS_COMPLEMENTOS!$C$4:$C$803,A246,MOVIMIENTOS_COMPLEMENTOS!$D$4:$D$803,B246,MOVIMIENTOS_COMPLEMENTOS!$E$4:$E$803,C246,MOVIMIENTOS_COMPLEMENTOS!$G$4:$G$803,E246,MOVIMIENTOS_COMPLEMENTOS!$H$4:$H$803,G246,MOVIMIENTOS_COMPLEMENTOS!$B$4:$B$803,"SALIDA"),0)</f>
        <v>0</v>
      </c>
      <c r="I246" s="102">
        <f t="array" ref="I246">IFERROR(INDEX(PRECIOS_COMPLEMENTOS!$C$4:$F$17,MATCH(B246&amp;"_"&amp;C246,PRECIOS_COMPLEMENTOS!$H$4:$H$17,0),IF(OR(G246="S",G246="20cm"),1,IF(OR(G246="M",G246="25cm"),2,IF(OR(G246="L",G246="30cm"),3,IF(OR(G246="XL",G246="35cm"),4,0))))),0)</f>
        <v>0.5</v>
      </c>
      <c r="J246" s="103">
        <f t="shared" si="1"/>
        <v>0</v>
      </c>
      <c r="K246" s="104" t="str">
        <f>IF(H246&lt;0,"ERROR",IF(H246=0,"",IF(H246&lt;CONFIG!$B$4,"CRÍTICO",IF(H246&lt;CONFIG!$B$5,"BAJO","OK"))))</f>
        <v/>
      </c>
    </row>
    <row r="247" ht="15.75" hidden="1" customHeight="1">
      <c r="A247" s="90" t="str">
        <f>IF(CLIENTES!A4="","",CLIENTES!A4)</f>
        <v>OverShark</v>
      </c>
      <c r="B247" s="90" t="s">
        <v>321</v>
      </c>
      <c r="C247" s="91" t="s">
        <v>326</v>
      </c>
      <c r="D247" s="109" t="s">
        <v>353</v>
      </c>
      <c r="E247" s="67" t="str">
        <f>COLORES!A4</f>
        <v>Negro</v>
      </c>
      <c r="F247" s="67" t="str">
        <f>COLORES!B4</f>
        <v>OSCURO</v>
      </c>
      <c r="G247" s="90" t="s">
        <v>379</v>
      </c>
      <c r="H247" s="100">
        <f>IFERROR(SUMIFS(MOVIMIENTOS_COMPLEMENTOS!$I$4:$I$803,MOVIMIENTOS_COMPLEMENTOS!$C$4:$C$803,A247,MOVIMIENTOS_COMPLEMENTOS!$D$4:$D$803,B247,MOVIMIENTOS_COMPLEMENTOS!$E$4:$E$803,C247,MOVIMIENTOS_COMPLEMENTOS!$G$4:$G$803,E247,MOVIMIENTOS_COMPLEMENTOS!$H$4:$H$803,G247,MOVIMIENTOS_COMPLEMENTOS!$B$4:$B$803,"INGRESO")+SUMIFS(MOVIMIENTOS_COMPLEMENTOS!$I$4:$I$803,MOVIMIENTOS_COMPLEMENTOS!$C$4:$C$803,A247,MOVIMIENTOS_COMPLEMENTOS!$D$4:$D$803,B247,MOVIMIENTOS_COMPLEMENTOS!$E$4:$E$803,C247,MOVIMIENTOS_COMPLEMENTOS!$G$4:$G$803,E247,MOVIMIENTOS_COMPLEMENTOS!$H$4:$H$803,G247,MOVIMIENTOS_COMPLEMENTOS!$B$4:$B$803,"DE CORTE")-SUMIFS(MOVIMIENTOS_COMPLEMENTOS!$I$4:$I$803,MOVIMIENTOS_COMPLEMENTOS!$C$4:$C$803,A247,MOVIMIENTOS_COMPLEMENTOS!$D$4:$D$803,B247,MOVIMIENTOS_COMPLEMENTOS!$E$4:$E$803,C247,MOVIMIENTOS_COMPLEMENTOS!$G$4:$G$803,E247,MOVIMIENTOS_COMPLEMENTOS!$H$4:$H$803,G247,MOVIMIENTOS_COMPLEMENTOS!$B$4:$B$803,"SALIDA"),0)</f>
        <v>0</v>
      </c>
      <c r="I247" s="102">
        <f t="array" ref="I247">IFERROR(INDEX(PRECIOS_COMPLEMENTOS!$C$4:$F$17,MATCH(B247&amp;"_"&amp;C247,PRECIOS_COMPLEMENTOS!$H$4:$H$17,0),IF(OR(G247="S",G247="20cm"),1,IF(OR(G247="M",G247="25cm"),2,IF(OR(G247="L",G247="30cm"),3,IF(OR(G247="XL",G247="35cm"),4,0))))),0)</f>
        <v>0.55</v>
      </c>
      <c r="J247" s="103">
        <f t="shared" si="1"/>
        <v>0</v>
      </c>
      <c r="K247" s="104" t="str">
        <f>IF(H247&lt;0,"ERROR",IF(H247=0,"",IF(H247&lt;CONFIG!$B$4,"CRÍTICO",IF(H247&lt;CONFIG!$B$5,"BAJO","OK"))))</f>
        <v/>
      </c>
    </row>
    <row r="248" ht="15.75" hidden="1" customHeight="1">
      <c r="A248" s="90" t="str">
        <f>IF(CLIENTES!A4="","",CLIENTES!A4)</f>
        <v>OverShark</v>
      </c>
      <c r="B248" s="90" t="s">
        <v>321</v>
      </c>
      <c r="C248" s="91" t="s">
        <v>326</v>
      </c>
      <c r="D248" s="109" t="s">
        <v>353</v>
      </c>
      <c r="E248" s="67" t="str">
        <f>COLORES!A5</f>
        <v>Perla</v>
      </c>
      <c r="F248" s="67" t="str">
        <f>COLORES!B5</f>
        <v>PPT</v>
      </c>
      <c r="G248" s="90" t="s">
        <v>378</v>
      </c>
      <c r="H248" s="100">
        <f>IFERROR(SUMIFS(MOVIMIENTOS_COMPLEMENTOS!$I$4:$I$803,MOVIMIENTOS_COMPLEMENTOS!$C$4:$C$803,A248,MOVIMIENTOS_COMPLEMENTOS!$D$4:$D$803,B248,MOVIMIENTOS_COMPLEMENTOS!$E$4:$E$803,C248,MOVIMIENTOS_COMPLEMENTOS!$G$4:$G$803,E248,MOVIMIENTOS_COMPLEMENTOS!$H$4:$H$803,G248,MOVIMIENTOS_COMPLEMENTOS!$B$4:$B$803,"INGRESO")+SUMIFS(MOVIMIENTOS_COMPLEMENTOS!$I$4:$I$803,MOVIMIENTOS_COMPLEMENTOS!$C$4:$C$803,A248,MOVIMIENTOS_COMPLEMENTOS!$D$4:$D$803,B248,MOVIMIENTOS_COMPLEMENTOS!$E$4:$E$803,C248,MOVIMIENTOS_COMPLEMENTOS!$G$4:$G$803,E248,MOVIMIENTOS_COMPLEMENTOS!$H$4:$H$803,G248,MOVIMIENTOS_COMPLEMENTOS!$B$4:$B$803,"DE CORTE")-SUMIFS(MOVIMIENTOS_COMPLEMENTOS!$I$4:$I$803,MOVIMIENTOS_COMPLEMENTOS!$C$4:$C$803,A248,MOVIMIENTOS_COMPLEMENTOS!$D$4:$D$803,B248,MOVIMIENTOS_COMPLEMENTOS!$E$4:$E$803,C248,MOVIMIENTOS_COMPLEMENTOS!$G$4:$G$803,E248,MOVIMIENTOS_COMPLEMENTOS!$H$4:$H$803,G248,MOVIMIENTOS_COMPLEMENTOS!$B$4:$B$803,"SALIDA"),0)</f>
        <v>0</v>
      </c>
      <c r="I248" s="102">
        <f t="array" ref="I248">IFERROR(INDEX(PRECIOS_COMPLEMENTOS!$C$4:$F$17,MATCH(B248&amp;"_"&amp;C248,PRECIOS_COMPLEMENTOS!$H$4:$H$17,0),IF(OR(G248="S",G248="20cm"),1,IF(OR(G248="M",G248="25cm"),2,IF(OR(G248="L",G248="30cm"),3,IF(OR(G248="XL",G248="35cm"),4,0))))),0)</f>
        <v>0.4</v>
      </c>
      <c r="J248" s="103">
        <f t="shared" si="1"/>
        <v>0</v>
      </c>
      <c r="K248" s="104" t="str">
        <f>IF(H248&lt;0,"ERROR",IF(H248=0,"",IF(H248&lt;CONFIG!$B$4,"CRÍTICO",IF(H248&lt;CONFIG!$B$5,"BAJO","OK"))))</f>
        <v/>
      </c>
    </row>
    <row r="249" ht="15.75" hidden="1" customHeight="1">
      <c r="A249" s="90" t="str">
        <f>IF(CLIENTES!A4="","",CLIENTES!A4)</f>
        <v>OverShark</v>
      </c>
      <c r="B249" s="90" t="s">
        <v>321</v>
      </c>
      <c r="C249" s="91" t="s">
        <v>326</v>
      </c>
      <c r="D249" s="109" t="s">
        <v>353</v>
      </c>
      <c r="E249" s="67" t="str">
        <f>COLORES!A5</f>
        <v>Perla</v>
      </c>
      <c r="F249" s="67" t="str">
        <f>COLORES!B5</f>
        <v>PPT</v>
      </c>
      <c r="G249" s="90" t="s">
        <v>376</v>
      </c>
      <c r="H249" s="100">
        <f>IFERROR(SUMIFS(MOVIMIENTOS_COMPLEMENTOS!$I$4:$I$803,MOVIMIENTOS_COMPLEMENTOS!$C$4:$C$803,A249,MOVIMIENTOS_COMPLEMENTOS!$D$4:$D$803,B249,MOVIMIENTOS_COMPLEMENTOS!$E$4:$E$803,C249,MOVIMIENTOS_COMPLEMENTOS!$G$4:$G$803,E249,MOVIMIENTOS_COMPLEMENTOS!$H$4:$H$803,G249,MOVIMIENTOS_COMPLEMENTOS!$B$4:$B$803,"INGRESO")+SUMIFS(MOVIMIENTOS_COMPLEMENTOS!$I$4:$I$803,MOVIMIENTOS_COMPLEMENTOS!$C$4:$C$803,A249,MOVIMIENTOS_COMPLEMENTOS!$D$4:$D$803,B249,MOVIMIENTOS_COMPLEMENTOS!$E$4:$E$803,C249,MOVIMIENTOS_COMPLEMENTOS!$G$4:$G$803,E249,MOVIMIENTOS_COMPLEMENTOS!$H$4:$H$803,G249,MOVIMIENTOS_COMPLEMENTOS!$B$4:$B$803,"DE CORTE")-SUMIFS(MOVIMIENTOS_COMPLEMENTOS!$I$4:$I$803,MOVIMIENTOS_COMPLEMENTOS!$C$4:$C$803,A249,MOVIMIENTOS_COMPLEMENTOS!$D$4:$D$803,B249,MOVIMIENTOS_COMPLEMENTOS!$E$4:$E$803,C249,MOVIMIENTOS_COMPLEMENTOS!$G$4:$G$803,E249,MOVIMIENTOS_COMPLEMENTOS!$H$4:$H$803,G249,MOVIMIENTOS_COMPLEMENTOS!$B$4:$B$803,"SALIDA"),0)</f>
        <v>0</v>
      </c>
      <c r="I249" s="102">
        <f t="array" ref="I249">IFERROR(INDEX(PRECIOS_COMPLEMENTOS!$C$4:$F$17,MATCH(B249&amp;"_"&amp;C249,PRECIOS_COMPLEMENTOS!$H$4:$H$17,0),IF(OR(G249="S",G249="20cm"),1,IF(OR(G249="M",G249="25cm"),2,IF(OR(G249="L",G249="30cm"),3,IF(OR(G249="XL",G249="35cm"),4,0))))),0)</f>
        <v>0.45</v>
      </c>
      <c r="J249" s="103">
        <f t="shared" si="1"/>
        <v>0</v>
      </c>
      <c r="K249" s="104" t="str">
        <f>IF(H249&lt;0,"ERROR",IF(H249=0,"",IF(H249&lt;CONFIG!$B$4,"CRÍTICO",IF(H249&lt;CONFIG!$B$5,"BAJO","OK"))))</f>
        <v/>
      </c>
    </row>
    <row r="250" ht="15.75" hidden="1" customHeight="1">
      <c r="A250" s="90" t="str">
        <f>IF(CLIENTES!A4="","",CLIENTES!A4)</f>
        <v>OverShark</v>
      </c>
      <c r="B250" s="90" t="s">
        <v>321</v>
      </c>
      <c r="C250" s="91" t="s">
        <v>326</v>
      </c>
      <c r="D250" s="109" t="s">
        <v>353</v>
      </c>
      <c r="E250" s="67" t="str">
        <f>COLORES!A5</f>
        <v>Perla</v>
      </c>
      <c r="F250" s="67" t="str">
        <f>COLORES!B5</f>
        <v>PPT</v>
      </c>
      <c r="G250" s="90" t="s">
        <v>377</v>
      </c>
      <c r="H250" s="100">
        <f>IFERROR(SUMIFS(MOVIMIENTOS_COMPLEMENTOS!$I$4:$I$803,MOVIMIENTOS_COMPLEMENTOS!$C$4:$C$803,A250,MOVIMIENTOS_COMPLEMENTOS!$D$4:$D$803,B250,MOVIMIENTOS_COMPLEMENTOS!$E$4:$E$803,C250,MOVIMIENTOS_COMPLEMENTOS!$G$4:$G$803,E250,MOVIMIENTOS_COMPLEMENTOS!$H$4:$H$803,G250,MOVIMIENTOS_COMPLEMENTOS!$B$4:$B$803,"INGRESO")+SUMIFS(MOVIMIENTOS_COMPLEMENTOS!$I$4:$I$803,MOVIMIENTOS_COMPLEMENTOS!$C$4:$C$803,A250,MOVIMIENTOS_COMPLEMENTOS!$D$4:$D$803,B250,MOVIMIENTOS_COMPLEMENTOS!$E$4:$E$803,C250,MOVIMIENTOS_COMPLEMENTOS!$G$4:$G$803,E250,MOVIMIENTOS_COMPLEMENTOS!$H$4:$H$803,G250,MOVIMIENTOS_COMPLEMENTOS!$B$4:$B$803,"DE CORTE")-SUMIFS(MOVIMIENTOS_COMPLEMENTOS!$I$4:$I$803,MOVIMIENTOS_COMPLEMENTOS!$C$4:$C$803,A250,MOVIMIENTOS_COMPLEMENTOS!$D$4:$D$803,B250,MOVIMIENTOS_COMPLEMENTOS!$E$4:$E$803,C250,MOVIMIENTOS_COMPLEMENTOS!$G$4:$G$803,E250,MOVIMIENTOS_COMPLEMENTOS!$H$4:$H$803,G250,MOVIMIENTOS_COMPLEMENTOS!$B$4:$B$803,"SALIDA"),0)</f>
        <v>0</v>
      </c>
      <c r="I250" s="102">
        <f t="array" ref="I250">IFERROR(INDEX(PRECIOS_COMPLEMENTOS!$C$4:$F$17,MATCH(B250&amp;"_"&amp;C250,PRECIOS_COMPLEMENTOS!$H$4:$H$17,0),IF(OR(G250="S",G250="20cm"),1,IF(OR(G250="M",G250="25cm"),2,IF(OR(G250="L",G250="30cm"),3,IF(OR(G250="XL",G250="35cm"),4,0))))),0)</f>
        <v>0.5</v>
      </c>
      <c r="J250" s="103">
        <f t="shared" si="1"/>
        <v>0</v>
      </c>
      <c r="K250" s="104" t="str">
        <f>IF(H250&lt;0,"ERROR",IF(H250=0,"",IF(H250&lt;CONFIG!$B$4,"CRÍTICO",IF(H250&lt;CONFIG!$B$5,"BAJO","OK"))))</f>
        <v/>
      </c>
    </row>
    <row r="251" ht="15.75" hidden="1" customHeight="1">
      <c r="A251" s="90" t="str">
        <f>IF(CLIENTES!A4="","",CLIENTES!A4)</f>
        <v>OverShark</v>
      </c>
      <c r="B251" s="90" t="s">
        <v>321</v>
      </c>
      <c r="C251" s="91" t="s">
        <v>326</v>
      </c>
      <c r="D251" s="109" t="s">
        <v>353</v>
      </c>
      <c r="E251" s="67" t="str">
        <f>COLORES!A5</f>
        <v>Perla</v>
      </c>
      <c r="F251" s="67" t="str">
        <f>COLORES!B5</f>
        <v>PPT</v>
      </c>
      <c r="G251" s="90" t="s">
        <v>379</v>
      </c>
      <c r="H251" s="100">
        <f>IFERROR(SUMIFS(MOVIMIENTOS_COMPLEMENTOS!$I$4:$I$803,MOVIMIENTOS_COMPLEMENTOS!$C$4:$C$803,A251,MOVIMIENTOS_COMPLEMENTOS!$D$4:$D$803,B251,MOVIMIENTOS_COMPLEMENTOS!$E$4:$E$803,C251,MOVIMIENTOS_COMPLEMENTOS!$G$4:$G$803,E251,MOVIMIENTOS_COMPLEMENTOS!$H$4:$H$803,G251,MOVIMIENTOS_COMPLEMENTOS!$B$4:$B$803,"INGRESO")+SUMIFS(MOVIMIENTOS_COMPLEMENTOS!$I$4:$I$803,MOVIMIENTOS_COMPLEMENTOS!$C$4:$C$803,A251,MOVIMIENTOS_COMPLEMENTOS!$D$4:$D$803,B251,MOVIMIENTOS_COMPLEMENTOS!$E$4:$E$803,C251,MOVIMIENTOS_COMPLEMENTOS!$G$4:$G$803,E251,MOVIMIENTOS_COMPLEMENTOS!$H$4:$H$803,G251,MOVIMIENTOS_COMPLEMENTOS!$B$4:$B$803,"DE CORTE")-SUMIFS(MOVIMIENTOS_COMPLEMENTOS!$I$4:$I$803,MOVIMIENTOS_COMPLEMENTOS!$C$4:$C$803,A251,MOVIMIENTOS_COMPLEMENTOS!$D$4:$D$803,B251,MOVIMIENTOS_COMPLEMENTOS!$E$4:$E$803,C251,MOVIMIENTOS_COMPLEMENTOS!$G$4:$G$803,E251,MOVIMIENTOS_COMPLEMENTOS!$H$4:$H$803,G251,MOVIMIENTOS_COMPLEMENTOS!$B$4:$B$803,"SALIDA"),0)</f>
        <v>0</v>
      </c>
      <c r="I251" s="102">
        <f t="array" ref="I251">IFERROR(INDEX(PRECIOS_COMPLEMENTOS!$C$4:$F$17,MATCH(B251&amp;"_"&amp;C251,PRECIOS_COMPLEMENTOS!$H$4:$H$17,0),IF(OR(G251="S",G251="20cm"),1,IF(OR(G251="M",G251="25cm"),2,IF(OR(G251="L",G251="30cm"),3,IF(OR(G251="XL",G251="35cm"),4,0))))),0)</f>
        <v>0.55</v>
      </c>
      <c r="J251" s="103">
        <f t="shared" si="1"/>
        <v>0</v>
      </c>
      <c r="K251" s="104" t="str">
        <f>IF(H251&lt;0,"ERROR",IF(H251=0,"",IF(H251&lt;CONFIG!$B$4,"CRÍTICO",IF(H251&lt;CONFIG!$B$5,"BAJO","OK"))))</f>
        <v/>
      </c>
    </row>
    <row r="252" ht="15.75" hidden="1" customHeight="1">
      <c r="A252" s="90" t="str">
        <f>IF(CLIENTES!A4="","",CLIENTES!A4)</f>
        <v>OverShark</v>
      </c>
      <c r="B252" s="90" t="s">
        <v>321</v>
      </c>
      <c r="C252" s="91" t="s">
        <v>326</v>
      </c>
      <c r="D252" s="109" t="s">
        <v>353</v>
      </c>
      <c r="E252" s="67" t="str">
        <f>COLORES!A6</f>
        <v>Blanco</v>
      </c>
      <c r="F252" s="67" t="str">
        <f>COLORES!B6</f>
        <v>PPT</v>
      </c>
      <c r="G252" s="90" t="s">
        <v>378</v>
      </c>
      <c r="H252" s="100">
        <f>IFERROR(SUMIFS(MOVIMIENTOS_COMPLEMENTOS!$I$4:$I$803,MOVIMIENTOS_COMPLEMENTOS!$C$4:$C$803,A252,MOVIMIENTOS_COMPLEMENTOS!$D$4:$D$803,B252,MOVIMIENTOS_COMPLEMENTOS!$E$4:$E$803,C252,MOVIMIENTOS_COMPLEMENTOS!$G$4:$G$803,E252,MOVIMIENTOS_COMPLEMENTOS!$H$4:$H$803,G252,MOVIMIENTOS_COMPLEMENTOS!$B$4:$B$803,"INGRESO")+SUMIFS(MOVIMIENTOS_COMPLEMENTOS!$I$4:$I$803,MOVIMIENTOS_COMPLEMENTOS!$C$4:$C$803,A252,MOVIMIENTOS_COMPLEMENTOS!$D$4:$D$803,B252,MOVIMIENTOS_COMPLEMENTOS!$E$4:$E$803,C252,MOVIMIENTOS_COMPLEMENTOS!$G$4:$G$803,E252,MOVIMIENTOS_COMPLEMENTOS!$H$4:$H$803,G252,MOVIMIENTOS_COMPLEMENTOS!$B$4:$B$803,"DE CORTE")-SUMIFS(MOVIMIENTOS_COMPLEMENTOS!$I$4:$I$803,MOVIMIENTOS_COMPLEMENTOS!$C$4:$C$803,A252,MOVIMIENTOS_COMPLEMENTOS!$D$4:$D$803,B252,MOVIMIENTOS_COMPLEMENTOS!$E$4:$E$803,C252,MOVIMIENTOS_COMPLEMENTOS!$G$4:$G$803,E252,MOVIMIENTOS_COMPLEMENTOS!$H$4:$H$803,G252,MOVIMIENTOS_COMPLEMENTOS!$B$4:$B$803,"SALIDA"),0)</f>
        <v>0</v>
      </c>
      <c r="I252" s="102">
        <f t="array" ref="I252">IFERROR(INDEX(PRECIOS_COMPLEMENTOS!$C$4:$F$17,MATCH(B252&amp;"_"&amp;C252,PRECIOS_COMPLEMENTOS!$H$4:$H$17,0),IF(OR(G252="S",G252="20cm"),1,IF(OR(G252="M",G252="25cm"),2,IF(OR(G252="L",G252="30cm"),3,IF(OR(G252="XL",G252="35cm"),4,0))))),0)</f>
        <v>0.4</v>
      </c>
      <c r="J252" s="103">
        <f t="shared" si="1"/>
        <v>0</v>
      </c>
      <c r="K252" s="104" t="str">
        <f>IF(H252&lt;0,"ERROR",IF(H252=0,"",IF(H252&lt;CONFIG!$B$4,"CRÍTICO",IF(H252&lt;CONFIG!$B$5,"BAJO","OK"))))</f>
        <v/>
      </c>
    </row>
    <row r="253" ht="15.75" hidden="1" customHeight="1">
      <c r="A253" s="90" t="str">
        <f>IF(CLIENTES!A4="","",CLIENTES!A4)</f>
        <v>OverShark</v>
      </c>
      <c r="B253" s="90" t="s">
        <v>321</v>
      </c>
      <c r="C253" s="91" t="s">
        <v>326</v>
      </c>
      <c r="D253" s="109" t="s">
        <v>353</v>
      </c>
      <c r="E253" s="67" t="str">
        <f>COLORES!A6</f>
        <v>Blanco</v>
      </c>
      <c r="F253" s="67" t="str">
        <f>COLORES!B6</f>
        <v>PPT</v>
      </c>
      <c r="G253" s="90" t="s">
        <v>376</v>
      </c>
      <c r="H253" s="100">
        <f>IFERROR(SUMIFS(MOVIMIENTOS_COMPLEMENTOS!$I$4:$I$803,MOVIMIENTOS_COMPLEMENTOS!$C$4:$C$803,A253,MOVIMIENTOS_COMPLEMENTOS!$D$4:$D$803,B253,MOVIMIENTOS_COMPLEMENTOS!$E$4:$E$803,C253,MOVIMIENTOS_COMPLEMENTOS!$G$4:$G$803,E253,MOVIMIENTOS_COMPLEMENTOS!$H$4:$H$803,G253,MOVIMIENTOS_COMPLEMENTOS!$B$4:$B$803,"INGRESO")+SUMIFS(MOVIMIENTOS_COMPLEMENTOS!$I$4:$I$803,MOVIMIENTOS_COMPLEMENTOS!$C$4:$C$803,A253,MOVIMIENTOS_COMPLEMENTOS!$D$4:$D$803,B253,MOVIMIENTOS_COMPLEMENTOS!$E$4:$E$803,C253,MOVIMIENTOS_COMPLEMENTOS!$G$4:$G$803,E253,MOVIMIENTOS_COMPLEMENTOS!$H$4:$H$803,G253,MOVIMIENTOS_COMPLEMENTOS!$B$4:$B$803,"DE CORTE")-SUMIFS(MOVIMIENTOS_COMPLEMENTOS!$I$4:$I$803,MOVIMIENTOS_COMPLEMENTOS!$C$4:$C$803,A253,MOVIMIENTOS_COMPLEMENTOS!$D$4:$D$803,B253,MOVIMIENTOS_COMPLEMENTOS!$E$4:$E$803,C253,MOVIMIENTOS_COMPLEMENTOS!$G$4:$G$803,E253,MOVIMIENTOS_COMPLEMENTOS!$H$4:$H$803,G253,MOVIMIENTOS_COMPLEMENTOS!$B$4:$B$803,"SALIDA"),0)</f>
        <v>0</v>
      </c>
      <c r="I253" s="102">
        <f t="array" ref="I253">IFERROR(INDEX(PRECIOS_COMPLEMENTOS!$C$4:$F$17,MATCH(B253&amp;"_"&amp;C253,PRECIOS_COMPLEMENTOS!$H$4:$H$17,0),IF(OR(G253="S",G253="20cm"),1,IF(OR(G253="M",G253="25cm"),2,IF(OR(G253="L",G253="30cm"),3,IF(OR(G253="XL",G253="35cm"),4,0))))),0)</f>
        <v>0.45</v>
      </c>
      <c r="J253" s="103">
        <f t="shared" si="1"/>
        <v>0</v>
      </c>
      <c r="K253" s="104" t="str">
        <f>IF(H253&lt;0,"ERROR",IF(H253=0,"",IF(H253&lt;CONFIG!$B$4,"CRÍTICO",IF(H253&lt;CONFIG!$B$5,"BAJO","OK"))))</f>
        <v/>
      </c>
    </row>
    <row r="254" ht="15.75" hidden="1" customHeight="1">
      <c r="A254" s="90" t="str">
        <f>IF(CLIENTES!A4="","",CLIENTES!A4)</f>
        <v>OverShark</v>
      </c>
      <c r="B254" s="90" t="s">
        <v>321</v>
      </c>
      <c r="C254" s="91" t="s">
        <v>326</v>
      </c>
      <c r="D254" s="109" t="s">
        <v>353</v>
      </c>
      <c r="E254" s="67" t="str">
        <f>COLORES!A6</f>
        <v>Blanco</v>
      </c>
      <c r="F254" s="67" t="str">
        <f>COLORES!B6</f>
        <v>PPT</v>
      </c>
      <c r="G254" s="90" t="s">
        <v>377</v>
      </c>
      <c r="H254" s="100">
        <f>IFERROR(SUMIFS(MOVIMIENTOS_COMPLEMENTOS!$I$4:$I$803,MOVIMIENTOS_COMPLEMENTOS!$C$4:$C$803,A254,MOVIMIENTOS_COMPLEMENTOS!$D$4:$D$803,B254,MOVIMIENTOS_COMPLEMENTOS!$E$4:$E$803,C254,MOVIMIENTOS_COMPLEMENTOS!$G$4:$G$803,E254,MOVIMIENTOS_COMPLEMENTOS!$H$4:$H$803,G254,MOVIMIENTOS_COMPLEMENTOS!$B$4:$B$803,"INGRESO")+SUMIFS(MOVIMIENTOS_COMPLEMENTOS!$I$4:$I$803,MOVIMIENTOS_COMPLEMENTOS!$C$4:$C$803,A254,MOVIMIENTOS_COMPLEMENTOS!$D$4:$D$803,B254,MOVIMIENTOS_COMPLEMENTOS!$E$4:$E$803,C254,MOVIMIENTOS_COMPLEMENTOS!$G$4:$G$803,E254,MOVIMIENTOS_COMPLEMENTOS!$H$4:$H$803,G254,MOVIMIENTOS_COMPLEMENTOS!$B$4:$B$803,"DE CORTE")-SUMIFS(MOVIMIENTOS_COMPLEMENTOS!$I$4:$I$803,MOVIMIENTOS_COMPLEMENTOS!$C$4:$C$803,A254,MOVIMIENTOS_COMPLEMENTOS!$D$4:$D$803,B254,MOVIMIENTOS_COMPLEMENTOS!$E$4:$E$803,C254,MOVIMIENTOS_COMPLEMENTOS!$G$4:$G$803,E254,MOVIMIENTOS_COMPLEMENTOS!$H$4:$H$803,G254,MOVIMIENTOS_COMPLEMENTOS!$B$4:$B$803,"SALIDA"),0)</f>
        <v>0</v>
      </c>
      <c r="I254" s="102">
        <f t="array" ref="I254">IFERROR(INDEX(PRECIOS_COMPLEMENTOS!$C$4:$F$17,MATCH(B254&amp;"_"&amp;C254,PRECIOS_COMPLEMENTOS!$H$4:$H$17,0),IF(OR(G254="S",G254="20cm"),1,IF(OR(G254="M",G254="25cm"),2,IF(OR(G254="L",G254="30cm"),3,IF(OR(G254="XL",G254="35cm"),4,0))))),0)</f>
        <v>0.5</v>
      </c>
      <c r="J254" s="103">
        <f t="shared" si="1"/>
        <v>0</v>
      </c>
      <c r="K254" s="104" t="str">
        <f>IF(H254&lt;0,"ERROR",IF(H254=0,"",IF(H254&lt;CONFIG!$B$4,"CRÍTICO",IF(H254&lt;CONFIG!$B$5,"BAJO","OK"))))</f>
        <v/>
      </c>
    </row>
    <row r="255" ht="15.75" hidden="1" customHeight="1">
      <c r="A255" s="90" t="str">
        <f>IF(CLIENTES!A4="","",CLIENTES!A4)</f>
        <v>OverShark</v>
      </c>
      <c r="B255" s="90" t="s">
        <v>321</v>
      </c>
      <c r="C255" s="91" t="s">
        <v>326</v>
      </c>
      <c r="D255" s="109" t="s">
        <v>353</v>
      </c>
      <c r="E255" s="67" t="str">
        <f>COLORES!A6</f>
        <v>Blanco</v>
      </c>
      <c r="F255" s="67" t="str">
        <f>COLORES!B6</f>
        <v>PPT</v>
      </c>
      <c r="G255" s="90" t="s">
        <v>379</v>
      </c>
      <c r="H255" s="100">
        <f>IFERROR(SUMIFS(MOVIMIENTOS_COMPLEMENTOS!$I$4:$I$803,MOVIMIENTOS_COMPLEMENTOS!$C$4:$C$803,A255,MOVIMIENTOS_COMPLEMENTOS!$D$4:$D$803,B255,MOVIMIENTOS_COMPLEMENTOS!$E$4:$E$803,C255,MOVIMIENTOS_COMPLEMENTOS!$G$4:$G$803,E255,MOVIMIENTOS_COMPLEMENTOS!$H$4:$H$803,G255,MOVIMIENTOS_COMPLEMENTOS!$B$4:$B$803,"INGRESO")+SUMIFS(MOVIMIENTOS_COMPLEMENTOS!$I$4:$I$803,MOVIMIENTOS_COMPLEMENTOS!$C$4:$C$803,A255,MOVIMIENTOS_COMPLEMENTOS!$D$4:$D$803,B255,MOVIMIENTOS_COMPLEMENTOS!$E$4:$E$803,C255,MOVIMIENTOS_COMPLEMENTOS!$G$4:$G$803,E255,MOVIMIENTOS_COMPLEMENTOS!$H$4:$H$803,G255,MOVIMIENTOS_COMPLEMENTOS!$B$4:$B$803,"DE CORTE")-SUMIFS(MOVIMIENTOS_COMPLEMENTOS!$I$4:$I$803,MOVIMIENTOS_COMPLEMENTOS!$C$4:$C$803,A255,MOVIMIENTOS_COMPLEMENTOS!$D$4:$D$803,B255,MOVIMIENTOS_COMPLEMENTOS!$E$4:$E$803,C255,MOVIMIENTOS_COMPLEMENTOS!$G$4:$G$803,E255,MOVIMIENTOS_COMPLEMENTOS!$H$4:$H$803,G255,MOVIMIENTOS_COMPLEMENTOS!$B$4:$B$803,"SALIDA"),0)</f>
        <v>0</v>
      </c>
      <c r="I255" s="102">
        <f t="array" ref="I255">IFERROR(INDEX(PRECIOS_COMPLEMENTOS!$C$4:$F$17,MATCH(B255&amp;"_"&amp;C255,PRECIOS_COMPLEMENTOS!$H$4:$H$17,0),IF(OR(G255="S",G255="20cm"),1,IF(OR(G255="M",G255="25cm"),2,IF(OR(G255="L",G255="30cm"),3,IF(OR(G255="XL",G255="35cm"),4,0))))),0)</f>
        <v>0.55</v>
      </c>
      <c r="J255" s="103">
        <f t="shared" si="1"/>
        <v>0</v>
      </c>
      <c r="K255" s="104" t="str">
        <f>IF(H255&lt;0,"ERROR",IF(H255=0,"",IF(H255&lt;CONFIG!$B$4,"CRÍTICO",IF(H255&lt;CONFIG!$B$5,"BAJO","OK"))))</f>
        <v/>
      </c>
    </row>
    <row r="256" ht="15.75" hidden="1" customHeight="1">
      <c r="A256" s="90" t="str">
        <f>IF(CLIENTES!A4="","",CLIENTES!A4)</f>
        <v>OverShark</v>
      </c>
      <c r="B256" s="90" t="s">
        <v>321</v>
      </c>
      <c r="C256" s="91" t="s">
        <v>326</v>
      </c>
      <c r="D256" s="109" t="s">
        <v>353</v>
      </c>
      <c r="E256" s="67" t="str">
        <f>COLORES!A7</f>
        <v>Azul</v>
      </c>
      <c r="F256" s="67" t="str">
        <f>COLORES!B7</f>
        <v>OSCURO</v>
      </c>
      <c r="G256" s="90" t="s">
        <v>378</v>
      </c>
      <c r="H256" s="100">
        <f>IFERROR(SUMIFS(MOVIMIENTOS_COMPLEMENTOS!$I$4:$I$803,MOVIMIENTOS_COMPLEMENTOS!$C$4:$C$803,A256,MOVIMIENTOS_COMPLEMENTOS!$D$4:$D$803,B256,MOVIMIENTOS_COMPLEMENTOS!$E$4:$E$803,C256,MOVIMIENTOS_COMPLEMENTOS!$G$4:$G$803,E256,MOVIMIENTOS_COMPLEMENTOS!$H$4:$H$803,G256,MOVIMIENTOS_COMPLEMENTOS!$B$4:$B$803,"INGRESO")+SUMIFS(MOVIMIENTOS_COMPLEMENTOS!$I$4:$I$803,MOVIMIENTOS_COMPLEMENTOS!$C$4:$C$803,A256,MOVIMIENTOS_COMPLEMENTOS!$D$4:$D$803,B256,MOVIMIENTOS_COMPLEMENTOS!$E$4:$E$803,C256,MOVIMIENTOS_COMPLEMENTOS!$G$4:$G$803,E256,MOVIMIENTOS_COMPLEMENTOS!$H$4:$H$803,G256,MOVIMIENTOS_COMPLEMENTOS!$B$4:$B$803,"DE CORTE")-SUMIFS(MOVIMIENTOS_COMPLEMENTOS!$I$4:$I$803,MOVIMIENTOS_COMPLEMENTOS!$C$4:$C$803,A256,MOVIMIENTOS_COMPLEMENTOS!$D$4:$D$803,B256,MOVIMIENTOS_COMPLEMENTOS!$E$4:$E$803,C256,MOVIMIENTOS_COMPLEMENTOS!$G$4:$G$803,E256,MOVIMIENTOS_COMPLEMENTOS!$H$4:$H$803,G256,MOVIMIENTOS_COMPLEMENTOS!$B$4:$B$803,"SALIDA"),0)</f>
        <v>0</v>
      </c>
      <c r="I256" s="102">
        <f t="array" ref="I256">IFERROR(INDEX(PRECIOS_COMPLEMENTOS!$C$4:$F$17,MATCH(B256&amp;"_"&amp;C256,PRECIOS_COMPLEMENTOS!$H$4:$H$17,0),IF(OR(G256="S",G256="20cm"),1,IF(OR(G256="M",G256="25cm"),2,IF(OR(G256="L",G256="30cm"),3,IF(OR(G256="XL",G256="35cm"),4,0))))),0)</f>
        <v>0.4</v>
      </c>
      <c r="J256" s="103">
        <f t="shared" si="1"/>
        <v>0</v>
      </c>
      <c r="K256" s="104" t="str">
        <f>IF(H256&lt;0,"ERROR",IF(H256=0,"",IF(H256&lt;CONFIG!$B$4,"CRÍTICO",IF(H256&lt;CONFIG!$B$5,"BAJO","OK"))))</f>
        <v/>
      </c>
    </row>
    <row r="257" ht="15.75" hidden="1" customHeight="1">
      <c r="A257" s="90" t="str">
        <f>IF(CLIENTES!A4="","",CLIENTES!A4)</f>
        <v>OverShark</v>
      </c>
      <c r="B257" s="90" t="s">
        <v>321</v>
      </c>
      <c r="C257" s="91" t="s">
        <v>326</v>
      </c>
      <c r="D257" s="109" t="s">
        <v>353</v>
      </c>
      <c r="E257" s="67" t="str">
        <f>COLORES!A7</f>
        <v>Azul</v>
      </c>
      <c r="F257" s="67" t="str">
        <f>COLORES!B7</f>
        <v>OSCURO</v>
      </c>
      <c r="G257" s="90" t="s">
        <v>376</v>
      </c>
      <c r="H257" s="100">
        <f>IFERROR(SUMIFS(MOVIMIENTOS_COMPLEMENTOS!$I$4:$I$803,MOVIMIENTOS_COMPLEMENTOS!$C$4:$C$803,A257,MOVIMIENTOS_COMPLEMENTOS!$D$4:$D$803,B257,MOVIMIENTOS_COMPLEMENTOS!$E$4:$E$803,C257,MOVIMIENTOS_COMPLEMENTOS!$G$4:$G$803,E257,MOVIMIENTOS_COMPLEMENTOS!$H$4:$H$803,G257,MOVIMIENTOS_COMPLEMENTOS!$B$4:$B$803,"INGRESO")+SUMIFS(MOVIMIENTOS_COMPLEMENTOS!$I$4:$I$803,MOVIMIENTOS_COMPLEMENTOS!$C$4:$C$803,A257,MOVIMIENTOS_COMPLEMENTOS!$D$4:$D$803,B257,MOVIMIENTOS_COMPLEMENTOS!$E$4:$E$803,C257,MOVIMIENTOS_COMPLEMENTOS!$G$4:$G$803,E257,MOVIMIENTOS_COMPLEMENTOS!$H$4:$H$803,G257,MOVIMIENTOS_COMPLEMENTOS!$B$4:$B$803,"DE CORTE")-SUMIFS(MOVIMIENTOS_COMPLEMENTOS!$I$4:$I$803,MOVIMIENTOS_COMPLEMENTOS!$C$4:$C$803,A257,MOVIMIENTOS_COMPLEMENTOS!$D$4:$D$803,B257,MOVIMIENTOS_COMPLEMENTOS!$E$4:$E$803,C257,MOVIMIENTOS_COMPLEMENTOS!$G$4:$G$803,E257,MOVIMIENTOS_COMPLEMENTOS!$H$4:$H$803,G257,MOVIMIENTOS_COMPLEMENTOS!$B$4:$B$803,"SALIDA"),0)</f>
        <v>0</v>
      </c>
      <c r="I257" s="102">
        <f t="array" ref="I257">IFERROR(INDEX(PRECIOS_COMPLEMENTOS!$C$4:$F$17,MATCH(B257&amp;"_"&amp;C257,PRECIOS_COMPLEMENTOS!$H$4:$H$17,0),IF(OR(G257="S",G257="20cm"),1,IF(OR(G257="M",G257="25cm"),2,IF(OR(G257="L",G257="30cm"),3,IF(OR(G257="XL",G257="35cm"),4,0))))),0)</f>
        <v>0.45</v>
      </c>
      <c r="J257" s="103">
        <f t="shared" si="1"/>
        <v>0</v>
      </c>
      <c r="K257" s="104" t="str">
        <f>IF(H257&lt;0,"ERROR",IF(H257=0,"",IF(H257&lt;CONFIG!$B$4,"CRÍTICO",IF(H257&lt;CONFIG!$B$5,"BAJO","OK"))))</f>
        <v/>
      </c>
    </row>
    <row r="258" ht="15.75" hidden="1" customHeight="1">
      <c r="A258" s="90" t="str">
        <f>IF(CLIENTES!A4="","",CLIENTES!A4)</f>
        <v>OverShark</v>
      </c>
      <c r="B258" s="90" t="s">
        <v>321</v>
      </c>
      <c r="C258" s="91" t="s">
        <v>326</v>
      </c>
      <c r="D258" s="109" t="s">
        <v>353</v>
      </c>
      <c r="E258" s="67" t="str">
        <f>COLORES!A7</f>
        <v>Azul</v>
      </c>
      <c r="F258" s="67" t="str">
        <f>COLORES!B7</f>
        <v>OSCURO</v>
      </c>
      <c r="G258" s="90" t="s">
        <v>377</v>
      </c>
      <c r="H258" s="100">
        <f>IFERROR(SUMIFS(MOVIMIENTOS_COMPLEMENTOS!$I$4:$I$803,MOVIMIENTOS_COMPLEMENTOS!$C$4:$C$803,A258,MOVIMIENTOS_COMPLEMENTOS!$D$4:$D$803,B258,MOVIMIENTOS_COMPLEMENTOS!$E$4:$E$803,C258,MOVIMIENTOS_COMPLEMENTOS!$G$4:$G$803,E258,MOVIMIENTOS_COMPLEMENTOS!$H$4:$H$803,G258,MOVIMIENTOS_COMPLEMENTOS!$B$4:$B$803,"INGRESO")+SUMIFS(MOVIMIENTOS_COMPLEMENTOS!$I$4:$I$803,MOVIMIENTOS_COMPLEMENTOS!$C$4:$C$803,A258,MOVIMIENTOS_COMPLEMENTOS!$D$4:$D$803,B258,MOVIMIENTOS_COMPLEMENTOS!$E$4:$E$803,C258,MOVIMIENTOS_COMPLEMENTOS!$G$4:$G$803,E258,MOVIMIENTOS_COMPLEMENTOS!$H$4:$H$803,G258,MOVIMIENTOS_COMPLEMENTOS!$B$4:$B$803,"DE CORTE")-SUMIFS(MOVIMIENTOS_COMPLEMENTOS!$I$4:$I$803,MOVIMIENTOS_COMPLEMENTOS!$C$4:$C$803,A258,MOVIMIENTOS_COMPLEMENTOS!$D$4:$D$803,B258,MOVIMIENTOS_COMPLEMENTOS!$E$4:$E$803,C258,MOVIMIENTOS_COMPLEMENTOS!$G$4:$G$803,E258,MOVIMIENTOS_COMPLEMENTOS!$H$4:$H$803,G258,MOVIMIENTOS_COMPLEMENTOS!$B$4:$B$803,"SALIDA"),0)</f>
        <v>0</v>
      </c>
      <c r="I258" s="102">
        <f t="array" ref="I258">IFERROR(INDEX(PRECIOS_COMPLEMENTOS!$C$4:$F$17,MATCH(B258&amp;"_"&amp;C258,PRECIOS_COMPLEMENTOS!$H$4:$H$17,0),IF(OR(G258="S",G258="20cm"),1,IF(OR(G258="M",G258="25cm"),2,IF(OR(G258="L",G258="30cm"),3,IF(OR(G258="XL",G258="35cm"),4,0))))),0)</f>
        <v>0.5</v>
      </c>
      <c r="J258" s="103">
        <f t="shared" si="1"/>
        <v>0</v>
      </c>
      <c r="K258" s="104" t="str">
        <f>IF(H258&lt;0,"ERROR",IF(H258=0,"",IF(H258&lt;CONFIG!$B$4,"CRÍTICO",IF(H258&lt;CONFIG!$B$5,"BAJO","OK"))))</f>
        <v/>
      </c>
    </row>
    <row r="259" ht="15.75" hidden="1" customHeight="1">
      <c r="A259" s="90" t="str">
        <f>IF(CLIENTES!A4="","",CLIENTES!A4)</f>
        <v>OverShark</v>
      </c>
      <c r="B259" s="90" t="s">
        <v>321</v>
      </c>
      <c r="C259" s="91" t="s">
        <v>326</v>
      </c>
      <c r="D259" s="109" t="s">
        <v>353</v>
      </c>
      <c r="E259" s="67" t="str">
        <f>COLORES!A7</f>
        <v>Azul</v>
      </c>
      <c r="F259" s="67" t="str">
        <f>COLORES!B7</f>
        <v>OSCURO</v>
      </c>
      <c r="G259" s="90" t="s">
        <v>379</v>
      </c>
      <c r="H259" s="100">
        <f>IFERROR(SUMIFS(MOVIMIENTOS_COMPLEMENTOS!$I$4:$I$803,MOVIMIENTOS_COMPLEMENTOS!$C$4:$C$803,A259,MOVIMIENTOS_COMPLEMENTOS!$D$4:$D$803,B259,MOVIMIENTOS_COMPLEMENTOS!$E$4:$E$803,C259,MOVIMIENTOS_COMPLEMENTOS!$G$4:$G$803,E259,MOVIMIENTOS_COMPLEMENTOS!$H$4:$H$803,G259,MOVIMIENTOS_COMPLEMENTOS!$B$4:$B$803,"INGRESO")+SUMIFS(MOVIMIENTOS_COMPLEMENTOS!$I$4:$I$803,MOVIMIENTOS_COMPLEMENTOS!$C$4:$C$803,A259,MOVIMIENTOS_COMPLEMENTOS!$D$4:$D$803,B259,MOVIMIENTOS_COMPLEMENTOS!$E$4:$E$803,C259,MOVIMIENTOS_COMPLEMENTOS!$G$4:$G$803,E259,MOVIMIENTOS_COMPLEMENTOS!$H$4:$H$803,G259,MOVIMIENTOS_COMPLEMENTOS!$B$4:$B$803,"DE CORTE")-SUMIFS(MOVIMIENTOS_COMPLEMENTOS!$I$4:$I$803,MOVIMIENTOS_COMPLEMENTOS!$C$4:$C$803,A259,MOVIMIENTOS_COMPLEMENTOS!$D$4:$D$803,B259,MOVIMIENTOS_COMPLEMENTOS!$E$4:$E$803,C259,MOVIMIENTOS_COMPLEMENTOS!$G$4:$G$803,E259,MOVIMIENTOS_COMPLEMENTOS!$H$4:$H$803,G259,MOVIMIENTOS_COMPLEMENTOS!$B$4:$B$803,"SALIDA"),0)</f>
        <v>0</v>
      </c>
      <c r="I259" s="102">
        <f t="array" ref="I259">IFERROR(INDEX(PRECIOS_COMPLEMENTOS!$C$4:$F$17,MATCH(B259&amp;"_"&amp;C259,PRECIOS_COMPLEMENTOS!$H$4:$H$17,0),IF(OR(G259="S",G259="20cm"),1,IF(OR(G259="M",G259="25cm"),2,IF(OR(G259="L",G259="30cm"),3,IF(OR(G259="XL",G259="35cm"),4,0))))),0)</f>
        <v>0.55</v>
      </c>
      <c r="J259" s="103">
        <f t="shared" si="1"/>
        <v>0</v>
      </c>
      <c r="K259" s="104" t="str">
        <f>IF(H259&lt;0,"ERROR",IF(H259=0,"",IF(H259&lt;CONFIG!$B$4,"CRÍTICO",IF(H259&lt;CONFIG!$B$5,"BAJO","OK"))))</f>
        <v/>
      </c>
    </row>
    <row r="260" ht="15.75" hidden="1" customHeight="1">
      <c r="A260" s="90" t="str">
        <f>IF(CLIENTES!A4="","",CLIENTES!A4)</f>
        <v>OverShark</v>
      </c>
      <c r="B260" s="90" t="s">
        <v>321</v>
      </c>
      <c r="C260" s="91" t="s">
        <v>326</v>
      </c>
      <c r="D260" s="109" t="s">
        <v>353</v>
      </c>
      <c r="E260" s="67" t="str">
        <f>COLORES!A8</f>
        <v>Beige</v>
      </c>
      <c r="F260" s="67" t="str">
        <f>COLORES!B8</f>
        <v>CLARO</v>
      </c>
      <c r="G260" s="90" t="s">
        <v>378</v>
      </c>
      <c r="H260" s="100">
        <f>IFERROR(SUMIFS(MOVIMIENTOS_COMPLEMENTOS!$I$4:$I$803,MOVIMIENTOS_COMPLEMENTOS!$C$4:$C$803,A260,MOVIMIENTOS_COMPLEMENTOS!$D$4:$D$803,B260,MOVIMIENTOS_COMPLEMENTOS!$E$4:$E$803,C260,MOVIMIENTOS_COMPLEMENTOS!$G$4:$G$803,E260,MOVIMIENTOS_COMPLEMENTOS!$H$4:$H$803,G260,MOVIMIENTOS_COMPLEMENTOS!$B$4:$B$803,"INGRESO")+SUMIFS(MOVIMIENTOS_COMPLEMENTOS!$I$4:$I$803,MOVIMIENTOS_COMPLEMENTOS!$C$4:$C$803,A260,MOVIMIENTOS_COMPLEMENTOS!$D$4:$D$803,B260,MOVIMIENTOS_COMPLEMENTOS!$E$4:$E$803,C260,MOVIMIENTOS_COMPLEMENTOS!$G$4:$G$803,E260,MOVIMIENTOS_COMPLEMENTOS!$H$4:$H$803,G260,MOVIMIENTOS_COMPLEMENTOS!$B$4:$B$803,"DE CORTE")-SUMIFS(MOVIMIENTOS_COMPLEMENTOS!$I$4:$I$803,MOVIMIENTOS_COMPLEMENTOS!$C$4:$C$803,A260,MOVIMIENTOS_COMPLEMENTOS!$D$4:$D$803,B260,MOVIMIENTOS_COMPLEMENTOS!$E$4:$E$803,C260,MOVIMIENTOS_COMPLEMENTOS!$G$4:$G$803,E260,MOVIMIENTOS_COMPLEMENTOS!$H$4:$H$803,G260,MOVIMIENTOS_COMPLEMENTOS!$B$4:$B$803,"SALIDA"),0)</f>
        <v>0</v>
      </c>
      <c r="I260" s="102">
        <f t="array" ref="I260">IFERROR(INDEX(PRECIOS_COMPLEMENTOS!$C$4:$F$17,MATCH(B260&amp;"_"&amp;C260,PRECIOS_COMPLEMENTOS!$H$4:$H$17,0),IF(OR(G260="S",G260="20cm"),1,IF(OR(G260="M",G260="25cm"),2,IF(OR(G260="L",G260="30cm"),3,IF(OR(G260="XL",G260="35cm"),4,0))))),0)</f>
        <v>0.4</v>
      </c>
      <c r="J260" s="103">
        <f t="shared" si="1"/>
        <v>0</v>
      </c>
      <c r="K260" s="104" t="str">
        <f>IF(H260&lt;0,"ERROR",IF(H260=0,"",IF(H260&lt;CONFIG!$B$4,"CRÍTICO",IF(H260&lt;CONFIG!$B$5,"BAJO","OK"))))</f>
        <v/>
      </c>
    </row>
    <row r="261" ht="15.75" hidden="1" customHeight="1">
      <c r="A261" s="90" t="str">
        <f>IF(CLIENTES!A4="","",CLIENTES!A4)</f>
        <v>OverShark</v>
      </c>
      <c r="B261" s="90" t="s">
        <v>321</v>
      </c>
      <c r="C261" s="91" t="s">
        <v>326</v>
      </c>
      <c r="D261" s="109" t="s">
        <v>353</v>
      </c>
      <c r="E261" s="67" t="str">
        <f>COLORES!A8</f>
        <v>Beige</v>
      </c>
      <c r="F261" s="67" t="str">
        <f>COLORES!B8</f>
        <v>CLARO</v>
      </c>
      <c r="G261" s="90" t="s">
        <v>376</v>
      </c>
      <c r="H261" s="100">
        <f>IFERROR(SUMIFS(MOVIMIENTOS_COMPLEMENTOS!$I$4:$I$803,MOVIMIENTOS_COMPLEMENTOS!$C$4:$C$803,A261,MOVIMIENTOS_COMPLEMENTOS!$D$4:$D$803,B261,MOVIMIENTOS_COMPLEMENTOS!$E$4:$E$803,C261,MOVIMIENTOS_COMPLEMENTOS!$G$4:$G$803,E261,MOVIMIENTOS_COMPLEMENTOS!$H$4:$H$803,G261,MOVIMIENTOS_COMPLEMENTOS!$B$4:$B$803,"INGRESO")+SUMIFS(MOVIMIENTOS_COMPLEMENTOS!$I$4:$I$803,MOVIMIENTOS_COMPLEMENTOS!$C$4:$C$803,A261,MOVIMIENTOS_COMPLEMENTOS!$D$4:$D$803,B261,MOVIMIENTOS_COMPLEMENTOS!$E$4:$E$803,C261,MOVIMIENTOS_COMPLEMENTOS!$G$4:$G$803,E261,MOVIMIENTOS_COMPLEMENTOS!$H$4:$H$803,G261,MOVIMIENTOS_COMPLEMENTOS!$B$4:$B$803,"DE CORTE")-SUMIFS(MOVIMIENTOS_COMPLEMENTOS!$I$4:$I$803,MOVIMIENTOS_COMPLEMENTOS!$C$4:$C$803,A261,MOVIMIENTOS_COMPLEMENTOS!$D$4:$D$803,B261,MOVIMIENTOS_COMPLEMENTOS!$E$4:$E$803,C261,MOVIMIENTOS_COMPLEMENTOS!$G$4:$G$803,E261,MOVIMIENTOS_COMPLEMENTOS!$H$4:$H$803,G261,MOVIMIENTOS_COMPLEMENTOS!$B$4:$B$803,"SALIDA"),0)</f>
        <v>0</v>
      </c>
      <c r="I261" s="102">
        <f t="array" ref="I261">IFERROR(INDEX(PRECIOS_COMPLEMENTOS!$C$4:$F$17,MATCH(B261&amp;"_"&amp;C261,PRECIOS_COMPLEMENTOS!$H$4:$H$17,0),IF(OR(G261="S",G261="20cm"),1,IF(OR(G261="M",G261="25cm"),2,IF(OR(G261="L",G261="30cm"),3,IF(OR(G261="XL",G261="35cm"),4,0))))),0)</f>
        <v>0.45</v>
      </c>
      <c r="J261" s="103">
        <f t="shared" si="1"/>
        <v>0</v>
      </c>
      <c r="K261" s="104" t="str">
        <f>IF(H261&lt;0,"ERROR",IF(H261=0,"",IF(H261&lt;CONFIG!$B$4,"CRÍTICO",IF(H261&lt;CONFIG!$B$5,"BAJO","OK"))))</f>
        <v/>
      </c>
    </row>
    <row r="262" ht="15.75" hidden="1" customHeight="1">
      <c r="A262" s="90" t="str">
        <f>IF(CLIENTES!A4="","",CLIENTES!A4)</f>
        <v>OverShark</v>
      </c>
      <c r="B262" s="90" t="s">
        <v>321</v>
      </c>
      <c r="C262" s="91" t="s">
        <v>326</v>
      </c>
      <c r="D262" s="109" t="s">
        <v>353</v>
      </c>
      <c r="E262" s="67" t="str">
        <f>COLORES!A8</f>
        <v>Beige</v>
      </c>
      <c r="F262" s="67" t="str">
        <f>COLORES!B8</f>
        <v>CLARO</v>
      </c>
      <c r="G262" s="90" t="s">
        <v>377</v>
      </c>
      <c r="H262" s="100">
        <f>IFERROR(SUMIFS(MOVIMIENTOS_COMPLEMENTOS!$I$4:$I$803,MOVIMIENTOS_COMPLEMENTOS!$C$4:$C$803,A262,MOVIMIENTOS_COMPLEMENTOS!$D$4:$D$803,B262,MOVIMIENTOS_COMPLEMENTOS!$E$4:$E$803,C262,MOVIMIENTOS_COMPLEMENTOS!$G$4:$G$803,E262,MOVIMIENTOS_COMPLEMENTOS!$H$4:$H$803,G262,MOVIMIENTOS_COMPLEMENTOS!$B$4:$B$803,"INGRESO")+SUMIFS(MOVIMIENTOS_COMPLEMENTOS!$I$4:$I$803,MOVIMIENTOS_COMPLEMENTOS!$C$4:$C$803,A262,MOVIMIENTOS_COMPLEMENTOS!$D$4:$D$803,B262,MOVIMIENTOS_COMPLEMENTOS!$E$4:$E$803,C262,MOVIMIENTOS_COMPLEMENTOS!$G$4:$G$803,E262,MOVIMIENTOS_COMPLEMENTOS!$H$4:$H$803,G262,MOVIMIENTOS_COMPLEMENTOS!$B$4:$B$803,"DE CORTE")-SUMIFS(MOVIMIENTOS_COMPLEMENTOS!$I$4:$I$803,MOVIMIENTOS_COMPLEMENTOS!$C$4:$C$803,A262,MOVIMIENTOS_COMPLEMENTOS!$D$4:$D$803,B262,MOVIMIENTOS_COMPLEMENTOS!$E$4:$E$803,C262,MOVIMIENTOS_COMPLEMENTOS!$G$4:$G$803,E262,MOVIMIENTOS_COMPLEMENTOS!$H$4:$H$803,G262,MOVIMIENTOS_COMPLEMENTOS!$B$4:$B$803,"SALIDA"),0)</f>
        <v>0</v>
      </c>
      <c r="I262" s="102">
        <f t="array" ref="I262">IFERROR(INDEX(PRECIOS_COMPLEMENTOS!$C$4:$F$17,MATCH(B262&amp;"_"&amp;C262,PRECIOS_COMPLEMENTOS!$H$4:$H$17,0),IF(OR(G262="S",G262="20cm"),1,IF(OR(G262="M",G262="25cm"),2,IF(OR(G262="L",G262="30cm"),3,IF(OR(G262="XL",G262="35cm"),4,0))))),0)</f>
        <v>0.5</v>
      </c>
      <c r="J262" s="103">
        <f t="shared" si="1"/>
        <v>0</v>
      </c>
      <c r="K262" s="104" t="str">
        <f>IF(H262&lt;0,"ERROR",IF(H262=0,"",IF(H262&lt;CONFIG!$B$4,"CRÍTICO",IF(H262&lt;CONFIG!$B$5,"BAJO","OK"))))</f>
        <v/>
      </c>
    </row>
    <row r="263" ht="15.75" hidden="1" customHeight="1">
      <c r="A263" s="90" t="str">
        <f>IF(CLIENTES!A4="","",CLIENTES!A4)</f>
        <v>OverShark</v>
      </c>
      <c r="B263" s="90" t="s">
        <v>321</v>
      </c>
      <c r="C263" s="91" t="s">
        <v>326</v>
      </c>
      <c r="D263" s="109" t="s">
        <v>353</v>
      </c>
      <c r="E263" s="67" t="str">
        <f>COLORES!A8</f>
        <v>Beige</v>
      </c>
      <c r="F263" s="67" t="str">
        <f>COLORES!B8</f>
        <v>CLARO</v>
      </c>
      <c r="G263" s="90" t="s">
        <v>379</v>
      </c>
      <c r="H263" s="100">
        <f>IFERROR(SUMIFS(MOVIMIENTOS_COMPLEMENTOS!$I$4:$I$803,MOVIMIENTOS_COMPLEMENTOS!$C$4:$C$803,A263,MOVIMIENTOS_COMPLEMENTOS!$D$4:$D$803,B263,MOVIMIENTOS_COMPLEMENTOS!$E$4:$E$803,C263,MOVIMIENTOS_COMPLEMENTOS!$G$4:$G$803,E263,MOVIMIENTOS_COMPLEMENTOS!$H$4:$H$803,G263,MOVIMIENTOS_COMPLEMENTOS!$B$4:$B$803,"INGRESO")+SUMIFS(MOVIMIENTOS_COMPLEMENTOS!$I$4:$I$803,MOVIMIENTOS_COMPLEMENTOS!$C$4:$C$803,A263,MOVIMIENTOS_COMPLEMENTOS!$D$4:$D$803,B263,MOVIMIENTOS_COMPLEMENTOS!$E$4:$E$803,C263,MOVIMIENTOS_COMPLEMENTOS!$G$4:$G$803,E263,MOVIMIENTOS_COMPLEMENTOS!$H$4:$H$803,G263,MOVIMIENTOS_COMPLEMENTOS!$B$4:$B$803,"DE CORTE")-SUMIFS(MOVIMIENTOS_COMPLEMENTOS!$I$4:$I$803,MOVIMIENTOS_COMPLEMENTOS!$C$4:$C$803,A263,MOVIMIENTOS_COMPLEMENTOS!$D$4:$D$803,B263,MOVIMIENTOS_COMPLEMENTOS!$E$4:$E$803,C263,MOVIMIENTOS_COMPLEMENTOS!$G$4:$G$803,E263,MOVIMIENTOS_COMPLEMENTOS!$H$4:$H$803,G263,MOVIMIENTOS_COMPLEMENTOS!$B$4:$B$803,"SALIDA"),0)</f>
        <v>0</v>
      </c>
      <c r="I263" s="102">
        <f t="array" ref="I263">IFERROR(INDEX(PRECIOS_COMPLEMENTOS!$C$4:$F$17,MATCH(B263&amp;"_"&amp;C263,PRECIOS_COMPLEMENTOS!$H$4:$H$17,0),IF(OR(G263="S",G263="20cm"),1,IF(OR(G263="M",G263="25cm"),2,IF(OR(G263="L",G263="30cm"),3,IF(OR(G263="XL",G263="35cm"),4,0))))),0)</f>
        <v>0.55</v>
      </c>
      <c r="J263" s="103">
        <f t="shared" si="1"/>
        <v>0</v>
      </c>
      <c r="K263" s="104" t="str">
        <f>IF(H263&lt;0,"ERROR",IF(H263=0,"",IF(H263&lt;CONFIG!$B$4,"CRÍTICO",IF(H263&lt;CONFIG!$B$5,"BAJO","OK"))))</f>
        <v/>
      </c>
    </row>
    <row r="264" ht="15.75" hidden="1" customHeight="1">
      <c r="A264" s="90" t="str">
        <f>IF(CLIENTES!A4="","",CLIENTES!A4)</f>
        <v>OverShark</v>
      </c>
      <c r="B264" s="90" t="s">
        <v>321</v>
      </c>
      <c r="C264" s="91" t="s">
        <v>326</v>
      </c>
      <c r="D264" s="109" t="s">
        <v>353</v>
      </c>
      <c r="E264" s="67" t="str">
        <f>COLORES!A9</f>
        <v>Melange</v>
      </c>
      <c r="F264" s="67" t="str">
        <f>COLORES!B9</f>
        <v>MELANGE</v>
      </c>
      <c r="G264" s="90" t="s">
        <v>378</v>
      </c>
      <c r="H264" s="100">
        <f>IFERROR(SUMIFS(MOVIMIENTOS_COMPLEMENTOS!$I$4:$I$803,MOVIMIENTOS_COMPLEMENTOS!$C$4:$C$803,A264,MOVIMIENTOS_COMPLEMENTOS!$D$4:$D$803,B264,MOVIMIENTOS_COMPLEMENTOS!$E$4:$E$803,C264,MOVIMIENTOS_COMPLEMENTOS!$G$4:$G$803,E264,MOVIMIENTOS_COMPLEMENTOS!$H$4:$H$803,G264,MOVIMIENTOS_COMPLEMENTOS!$B$4:$B$803,"INGRESO")+SUMIFS(MOVIMIENTOS_COMPLEMENTOS!$I$4:$I$803,MOVIMIENTOS_COMPLEMENTOS!$C$4:$C$803,A264,MOVIMIENTOS_COMPLEMENTOS!$D$4:$D$803,B264,MOVIMIENTOS_COMPLEMENTOS!$E$4:$E$803,C264,MOVIMIENTOS_COMPLEMENTOS!$G$4:$G$803,E264,MOVIMIENTOS_COMPLEMENTOS!$H$4:$H$803,G264,MOVIMIENTOS_COMPLEMENTOS!$B$4:$B$803,"DE CORTE")-SUMIFS(MOVIMIENTOS_COMPLEMENTOS!$I$4:$I$803,MOVIMIENTOS_COMPLEMENTOS!$C$4:$C$803,A264,MOVIMIENTOS_COMPLEMENTOS!$D$4:$D$803,B264,MOVIMIENTOS_COMPLEMENTOS!$E$4:$E$803,C264,MOVIMIENTOS_COMPLEMENTOS!$G$4:$G$803,E264,MOVIMIENTOS_COMPLEMENTOS!$H$4:$H$803,G264,MOVIMIENTOS_COMPLEMENTOS!$B$4:$B$803,"SALIDA"),0)</f>
        <v>0</v>
      </c>
      <c r="I264" s="102">
        <f t="array" ref="I264">IFERROR(INDEX(PRECIOS_COMPLEMENTOS!$C$4:$F$17,MATCH(B264&amp;"_"&amp;C264,PRECIOS_COMPLEMENTOS!$H$4:$H$17,0),IF(OR(G264="S",G264="20cm"),1,IF(OR(G264="M",G264="25cm"),2,IF(OR(G264="L",G264="30cm"),3,IF(OR(G264="XL",G264="35cm"),4,0))))),0)</f>
        <v>0.4</v>
      </c>
      <c r="J264" s="103">
        <f t="shared" si="1"/>
        <v>0</v>
      </c>
      <c r="K264" s="104" t="str">
        <f>IF(H264&lt;0,"ERROR",IF(H264=0,"",IF(H264&lt;CONFIG!$B$4,"CRÍTICO",IF(H264&lt;CONFIG!$B$5,"BAJO","OK"))))</f>
        <v/>
      </c>
    </row>
    <row r="265" ht="15.75" hidden="1" customHeight="1">
      <c r="A265" s="90" t="str">
        <f>IF(CLIENTES!A4="","",CLIENTES!A4)</f>
        <v>OverShark</v>
      </c>
      <c r="B265" s="90" t="s">
        <v>321</v>
      </c>
      <c r="C265" s="91" t="s">
        <v>326</v>
      </c>
      <c r="D265" s="109" t="s">
        <v>353</v>
      </c>
      <c r="E265" s="67" t="str">
        <f>COLORES!A9</f>
        <v>Melange</v>
      </c>
      <c r="F265" s="67" t="str">
        <f>COLORES!B9</f>
        <v>MELANGE</v>
      </c>
      <c r="G265" s="90" t="s">
        <v>376</v>
      </c>
      <c r="H265" s="100">
        <f>IFERROR(SUMIFS(MOVIMIENTOS_COMPLEMENTOS!$I$4:$I$803,MOVIMIENTOS_COMPLEMENTOS!$C$4:$C$803,A265,MOVIMIENTOS_COMPLEMENTOS!$D$4:$D$803,B265,MOVIMIENTOS_COMPLEMENTOS!$E$4:$E$803,C265,MOVIMIENTOS_COMPLEMENTOS!$G$4:$G$803,E265,MOVIMIENTOS_COMPLEMENTOS!$H$4:$H$803,G265,MOVIMIENTOS_COMPLEMENTOS!$B$4:$B$803,"INGRESO")+SUMIFS(MOVIMIENTOS_COMPLEMENTOS!$I$4:$I$803,MOVIMIENTOS_COMPLEMENTOS!$C$4:$C$803,A265,MOVIMIENTOS_COMPLEMENTOS!$D$4:$D$803,B265,MOVIMIENTOS_COMPLEMENTOS!$E$4:$E$803,C265,MOVIMIENTOS_COMPLEMENTOS!$G$4:$G$803,E265,MOVIMIENTOS_COMPLEMENTOS!$H$4:$H$803,G265,MOVIMIENTOS_COMPLEMENTOS!$B$4:$B$803,"DE CORTE")-SUMIFS(MOVIMIENTOS_COMPLEMENTOS!$I$4:$I$803,MOVIMIENTOS_COMPLEMENTOS!$C$4:$C$803,A265,MOVIMIENTOS_COMPLEMENTOS!$D$4:$D$803,B265,MOVIMIENTOS_COMPLEMENTOS!$E$4:$E$803,C265,MOVIMIENTOS_COMPLEMENTOS!$G$4:$G$803,E265,MOVIMIENTOS_COMPLEMENTOS!$H$4:$H$803,G265,MOVIMIENTOS_COMPLEMENTOS!$B$4:$B$803,"SALIDA"),0)</f>
        <v>0</v>
      </c>
      <c r="I265" s="102">
        <f t="array" ref="I265">IFERROR(INDEX(PRECIOS_COMPLEMENTOS!$C$4:$F$17,MATCH(B265&amp;"_"&amp;C265,PRECIOS_COMPLEMENTOS!$H$4:$H$17,0),IF(OR(G265="S",G265="20cm"),1,IF(OR(G265="M",G265="25cm"),2,IF(OR(G265="L",G265="30cm"),3,IF(OR(G265="XL",G265="35cm"),4,0))))),0)</f>
        <v>0.45</v>
      </c>
      <c r="J265" s="103">
        <f t="shared" si="1"/>
        <v>0</v>
      </c>
      <c r="K265" s="104" t="str">
        <f>IF(H265&lt;0,"ERROR",IF(H265=0,"",IF(H265&lt;CONFIG!$B$4,"CRÍTICO",IF(H265&lt;CONFIG!$B$5,"BAJO","OK"))))</f>
        <v/>
      </c>
    </row>
    <row r="266" ht="15.75" hidden="1" customHeight="1">
      <c r="A266" s="90" t="str">
        <f>IF(CLIENTES!A4="","",CLIENTES!A4)</f>
        <v>OverShark</v>
      </c>
      <c r="B266" s="90" t="s">
        <v>321</v>
      </c>
      <c r="C266" s="91" t="s">
        <v>326</v>
      </c>
      <c r="D266" s="109" t="s">
        <v>353</v>
      </c>
      <c r="E266" s="67" t="str">
        <f>COLORES!A9</f>
        <v>Melange</v>
      </c>
      <c r="F266" s="67" t="str">
        <f>COLORES!B9</f>
        <v>MELANGE</v>
      </c>
      <c r="G266" s="90" t="s">
        <v>377</v>
      </c>
      <c r="H266" s="100">
        <f>IFERROR(SUMIFS(MOVIMIENTOS_COMPLEMENTOS!$I$4:$I$803,MOVIMIENTOS_COMPLEMENTOS!$C$4:$C$803,A266,MOVIMIENTOS_COMPLEMENTOS!$D$4:$D$803,B266,MOVIMIENTOS_COMPLEMENTOS!$E$4:$E$803,C266,MOVIMIENTOS_COMPLEMENTOS!$G$4:$G$803,E266,MOVIMIENTOS_COMPLEMENTOS!$H$4:$H$803,G266,MOVIMIENTOS_COMPLEMENTOS!$B$4:$B$803,"INGRESO")+SUMIFS(MOVIMIENTOS_COMPLEMENTOS!$I$4:$I$803,MOVIMIENTOS_COMPLEMENTOS!$C$4:$C$803,A266,MOVIMIENTOS_COMPLEMENTOS!$D$4:$D$803,B266,MOVIMIENTOS_COMPLEMENTOS!$E$4:$E$803,C266,MOVIMIENTOS_COMPLEMENTOS!$G$4:$G$803,E266,MOVIMIENTOS_COMPLEMENTOS!$H$4:$H$803,G266,MOVIMIENTOS_COMPLEMENTOS!$B$4:$B$803,"DE CORTE")-SUMIFS(MOVIMIENTOS_COMPLEMENTOS!$I$4:$I$803,MOVIMIENTOS_COMPLEMENTOS!$C$4:$C$803,A266,MOVIMIENTOS_COMPLEMENTOS!$D$4:$D$803,B266,MOVIMIENTOS_COMPLEMENTOS!$E$4:$E$803,C266,MOVIMIENTOS_COMPLEMENTOS!$G$4:$G$803,E266,MOVIMIENTOS_COMPLEMENTOS!$H$4:$H$803,G266,MOVIMIENTOS_COMPLEMENTOS!$B$4:$B$803,"SALIDA"),0)</f>
        <v>0</v>
      </c>
      <c r="I266" s="102">
        <f t="array" ref="I266">IFERROR(INDEX(PRECIOS_COMPLEMENTOS!$C$4:$F$17,MATCH(B266&amp;"_"&amp;C266,PRECIOS_COMPLEMENTOS!$H$4:$H$17,0),IF(OR(G266="S",G266="20cm"),1,IF(OR(G266="M",G266="25cm"),2,IF(OR(G266="L",G266="30cm"),3,IF(OR(G266="XL",G266="35cm"),4,0))))),0)</f>
        <v>0.5</v>
      </c>
      <c r="J266" s="103">
        <f t="shared" si="1"/>
        <v>0</v>
      </c>
      <c r="K266" s="104" t="str">
        <f>IF(H266&lt;0,"ERROR",IF(H266=0,"",IF(H266&lt;CONFIG!$B$4,"CRÍTICO",IF(H266&lt;CONFIG!$B$5,"BAJO","OK"))))</f>
        <v/>
      </c>
    </row>
    <row r="267" ht="15.75" hidden="1" customHeight="1">
      <c r="A267" s="90" t="str">
        <f>IF(CLIENTES!A4="","",CLIENTES!A4)</f>
        <v>OverShark</v>
      </c>
      <c r="B267" s="90" t="s">
        <v>321</v>
      </c>
      <c r="C267" s="91" t="s">
        <v>326</v>
      </c>
      <c r="D267" s="109" t="s">
        <v>353</v>
      </c>
      <c r="E267" s="67" t="str">
        <f>COLORES!A9</f>
        <v>Melange</v>
      </c>
      <c r="F267" s="67" t="str">
        <f>COLORES!B9</f>
        <v>MELANGE</v>
      </c>
      <c r="G267" s="90" t="s">
        <v>379</v>
      </c>
      <c r="H267" s="100">
        <f>IFERROR(SUMIFS(MOVIMIENTOS_COMPLEMENTOS!$I$4:$I$803,MOVIMIENTOS_COMPLEMENTOS!$C$4:$C$803,A267,MOVIMIENTOS_COMPLEMENTOS!$D$4:$D$803,B267,MOVIMIENTOS_COMPLEMENTOS!$E$4:$E$803,C267,MOVIMIENTOS_COMPLEMENTOS!$G$4:$G$803,E267,MOVIMIENTOS_COMPLEMENTOS!$H$4:$H$803,G267,MOVIMIENTOS_COMPLEMENTOS!$B$4:$B$803,"INGRESO")+SUMIFS(MOVIMIENTOS_COMPLEMENTOS!$I$4:$I$803,MOVIMIENTOS_COMPLEMENTOS!$C$4:$C$803,A267,MOVIMIENTOS_COMPLEMENTOS!$D$4:$D$803,B267,MOVIMIENTOS_COMPLEMENTOS!$E$4:$E$803,C267,MOVIMIENTOS_COMPLEMENTOS!$G$4:$G$803,E267,MOVIMIENTOS_COMPLEMENTOS!$H$4:$H$803,G267,MOVIMIENTOS_COMPLEMENTOS!$B$4:$B$803,"DE CORTE")-SUMIFS(MOVIMIENTOS_COMPLEMENTOS!$I$4:$I$803,MOVIMIENTOS_COMPLEMENTOS!$C$4:$C$803,A267,MOVIMIENTOS_COMPLEMENTOS!$D$4:$D$803,B267,MOVIMIENTOS_COMPLEMENTOS!$E$4:$E$803,C267,MOVIMIENTOS_COMPLEMENTOS!$G$4:$G$803,E267,MOVIMIENTOS_COMPLEMENTOS!$H$4:$H$803,G267,MOVIMIENTOS_COMPLEMENTOS!$B$4:$B$803,"SALIDA"),0)</f>
        <v>0</v>
      </c>
      <c r="I267" s="102">
        <f t="array" ref="I267">IFERROR(INDEX(PRECIOS_COMPLEMENTOS!$C$4:$F$17,MATCH(B267&amp;"_"&amp;C267,PRECIOS_COMPLEMENTOS!$H$4:$H$17,0),IF(OR(G267="S",G267="20cm"),1,IF(OR(G267="M",G267="25cm"),2,IF(OR(G267="L",G267="30cm"),3,IF(OR(G267="XL",G267="35cm"),4,0))))),0)</f>
        <v>0.55</v>
      </c>
      <c r="J267" s="103">
        <f t="shared" si="1"/>
        <v>0</v>
      </c>
      <c r="K267" s="104" t="str">
        <f>IF(H267&lt;0,"ERROR",IF(H267=0,"",IF(H267&lt;CONFIG!$B$4,"CRÍTICO",IF(H267&lt;CONFIG!$B$5,"BAJO","OK"))))</f>
        <v/>
      </c>
    </row>
    <row r="268" ht="15.75" hidden="1" customHeight="1">
      <c r="A268" s="90" t="str">
        <f>IF(CLIENTES!A4="","",CLIENTES!A4)</f>
        <v>OverShark</v>
      </c>
      <c r="B268" s="90" t="s">
        <v>321</v>
      </c>
      <c r="C268" s="91" t="s">
        <v>326</v>
      </c>
      <c r="D268" s="109" t="s">
        <v>353</v>
      </c>
      <c r="E268" s="67" t="str">
        <f>COLORES!A10</f>
        <v>Botella</v>
      </c>
      <c r="F268" s="67" t="str">
        <f>COLORES!B10</f>
        <v>OSCURO</v>
      </c>
      <c r="G268" s="90" t="s">
        <v>378</v>
      </c>
      <c r="H268" s="100">
        <f>IFERROR(SUMIFS(MOVIMIENTOS_COMPLEMENTOS!$I$4:$I$803,MOVIMIENTOS_COMPLEMENTOS!$C$4:$C$803,A268,MOVIMIENTOS_COMPLEMENTOS!$D$4:$D$803,B268,MOVIMIENTOS_COMPLEMENTOS!$E$4:$E$803,C268,MOVIMIENTOS_COMPLEMENTOS!$G$4:$G$803,E268,MOVIMIENTOS_COMPLEMENTOS!$H$4:$H$803,G268,MOVIMIENTOS_COMPLEMENTOS!$B$4:$B$803,"INGRESO")+SUMIFS(MOVIMIENTOS_COMPLEMENTOS!$I$4:$I$803,MOVIMIENTOS_COMPLEMENTOS!$C$4:$C$803,A268,MOVIMIENTOS_COMPLEMENTOS!$D$4:$D$803,B268,MOVIMIENTOS_COMPLEMENTOS!$E$4:$E$803,C268,MOVIMIENTOS_COMPLEMENTOS!$G$4:$G$803,E268,MOVIMIENTOS_COMPLEMENTOS!$H$4:$H$803,G268,MOVIMIENTOS_COMPLEMENTOS!$B$4:$B$803,"DE CORTE")-SUMIFS(MOVIMIENTOS_COMPLEMENTOS!$I$4:$I$803,MOVIMIENTOS_COMPLEMENTOS!$C$4:$C$803,A268,MOVIMIENTOS_COMPLEMENTOS!$D$4:$D$803,B268,MOVIMIENTOS_COMPLEMENTOS!$E$4:$E$803,C268,MOVIMIENTOS_COMPLEMENTOS!$G$4:$G$803,E268,MOVIMIENTOS_COMPLEMENTOS!$H$4:$H$803,G268,MOVIMIENTOS_COMPLEMENTOS!$B$4:$B$803,"SALIDA"),0)</f>
        <v>0</v>
      </c>
      <c r="I268" s="102">
        <f t="array" ref="I268">IFERROR(INDEX(PRECIOS_COMPLEMENTOS!$C$4:$F$17,MATCH(B268&amp;"_"&amp;C268,PRECIOS_COMPLEMENTOS!$H$4:$H$17,0),IF(OR(G268="S",G268="20cm"),1,IF(OR(G268="M",G268="25cm"),2,IF(OR(G268="L",G268="30cm"),3,IF(OR(G268="XL",G268="35cm"),4,0))))),0)</f>
        <v>0.4</v>
      </c>
      <c r="J268" s="103">
        <f t="shared" si="1"/>
        <v>0</v>
      </c>
      <c r="K268" s="104" t="str">
        <f>IF(H268&lt;0,"ERROR",IF(H268=0,"",IF(H268&lt;CONFIG!$B$4,"CRÍTICO",IF(H268&lt;CONFIG!$B$5,"BAJO","OK"))))</f>
        <v/>
      </c>
    </row>
    <row r="269" ht="15.75" hidden="1" customHeight="1">
      <c r="A269" s="90" t="str">
        <f>IF(CLIENTES!A4="","",CLIENTES!A4)</f>
        <v>OverShark</v>
      </c>
      <c r="B269" s="90" t="s">
        <v>321</v>
      </c>
      <c r="C269" s="91" t="s">
        <v>326</v>
      </c>
      <c r="D269" s="109" t="s">
        <v>353</v>
      </c>
      <c r="E269" s="67" t="str">
        <f>COLORES!A10</f>
        <v>Botella</v>
      </c>
      <c r="F269" s="67" t="str">
        <f>COLORES!B10</f>
        <v>OSCURO</v>
      </c>
      <c r="G269" s="90" t="s">
        <v>376</v>
      </c>
      <c r="H269" s="100">
        <f>IFERROR(SUMIFS(MOVIMIENTOS_COMPLEMENTOS!$I$4:$I$803,MOVIMIENTOS_COMPLEMENTOS!$C$4:$C$803,A269,MOVIMIENTOS_COMPLEMENTOS!$D$4:$D$803,B269,MOVIMIENTOS_COMPLEMENTOS!$E$4:$E$803,C269,MOVIMIENTOS_COMPLEMENTOS!$G$4:$G$803,E269,MOVIMIENTOS_COMPLEMENTOS!$H$4:$H$803,G269,MOVIMIENTOS_COMPLEMENTOS!$B$4:$B$803,"INGRESO")+SUMIFS(MOVIMIENTOS_COMPLEMENTOS!$I$4:$I$803,MOVIMIENTOS_COMPLEMENTOS!$C$4:$C$803,A269,MOVIMIENTOS_COMPLEMENTOS!$D$4:$D$803,B269,MOVIMIENTOS_COMPLEMENTOS!$E$4:$E$803,C269,MOVIMIENTOS_COMPLEMENTOS!$G$4:$G$803,E269,MOVIMIENTOS_COMPLEMENTOS!$H$4:$H$803,G269,MOVIMIENTOS_COMPLEMENTOS!$B$4:$B$803,"DE CORTE")-SUMIFS(MOVIMIENTOS_COMPLEMENTOS!$I$4:$I$803,MOVIMIENTOS_COMPLEMENTOS!$C$4:$C$803,A269,MOVIMIENTOS_COMPLEMENTOS!$D$4:$D$803,B269,MOVIMIENTOS_COMPLEMENTOS!$E$4:$E$803,C269,MOVIMIENTOS_COMPLEMENTOS!$G$4:$G$803,E269,MOVIMIENTOS_COMPLEMENTOS!$H$4:$H$803,G269,MOVIMIENTOS_COMPLEMENTOS!$B$4:$B$803,"SALIDA"),0)</f>
        <v>0</v>
      </c>
      <c r="I269" s="102">
        <f t="array" ref="I269">IFERROR(INDEX(PRECIOS_COMPLEMENTOS!$C$4:$F$17,MATCH(B269&amp;"_"&amp;C269,PRECIOS_COMPLEMENTOS!$H$4:$H$17,0),IF(OR(G269="S",G269="20cm"),1,IF(OR(G269="M",G269="25cm"),2,IF(OR(G269="L",G269="30cm"),3,IF(OR(G269="XL",G269="35cm"),4,0))))),0)</f>
        <v>0.45</v>
      </c>
      <c r="J269" s="103">
        <f t="shared" si="1"/>
        <v>0</v>
      </c>
      <c r="K269" s="104" t="str">
        <f>IF(H269&lt;0,"ERROR",IF(H269=0,"",IF(H269&lt;CONFIG!$B$4,"CRÍTICO",IF(H269&lt;CONFIG!$B$5,"BAJO","OK"))))</f>
        <v/>
      </c>
    </row>
    <row r="270" ht="15.75" hidden="1" customHeight="1">
      <c r="A270" s="90" t="str">
        <f>IF(CLIENTES!A4="","",CLIENTES!A4)</f>
        <v>OverShark</v>
      </c>
      <c r="B270" s="90" t="s">
        <v>321</v>
      </c>
      <c r="C270" s="91" t="s">
        <v>326</v>
      </c>
      <c r="D270" s="109" t="s">
        <v>353</v>
      </c>
      <c r="E270" s="67" t="str">
        <f>COLORES!A10</f>
        <v>Botella</v>
      </c>
      <c r="F270" s="67" t="str">
        <f>COLORES!B10</f>
        <v>OSCURO</v>
      </c>
      <c r="G270" s="90" t="s">
        <v>377</v>
      </c>
      <c r="H270" s="100">
        <f>IFERROR(SUMIFS(MOVIMIENTOS_COMPLEMENTOS!$I$4:$I$803,MOVIMIENTOS_COMPLEMENTOS!$C$4:$C$803,A270,MOVIMIENTOS_COMPLEMENTOS!$D$4:$D$803,B270,MOVIMIENTOS_COMPLEMENTOS!$E$4:$E$803,C270,MOVIMIENTOS_COMPLEMENTOS!$G$4:$G$803,E270,MOVIMIENTOS_COMPLEMENTOS!$H$4:$H$803,G270,MOVIMIENTOS_COMPLEMENTOS!$B$4:$B$803,"INGRESO")+SUMIFS(MOVIMIENTOS_COMPLEMENTOS!$I$4:$I$803,MOVIMIENTOS_COMPLEMENTOS!$C$4:$C$803,A270,MOVIMIENTOS_COMPLEMENTOS!$D$4:$D$803,B270,MOVIMIENTOS_COMPLEMENTOS!$E$4:$E$803,C270,MOVIMIENTOS_COMPLEMENTOS!$G$4:$G$803,E270,MOVIMIENTOS_COMPLEMENTOS!$H$4:$H$803,G270,MOVIMIENTOS_COMPLEMENTOS!$B$4:$B$803,"DE CORTE")-SUMIFS(MOVIMIENTOS_COMPLEMENTOS!$I$4:$I$803,MOVIMIENTOS_COMPLEMENTOS!$C$4:$C$803,A270,MOVIMIENTOS_COMPLEMENTOS!$D$4:$D$803,B270,MOVIMIENTOS_COMPLEMENTOS!$E$4:$E$803,C270,MOVIMIENTOS_COMPLEMENTOS!$G$4:$G$803,E270,MOVIMIENTOS_COMPLEMENTOS!$H$4:$H$803,G270,MOVIMIENTOS_COMPLEMENTOS!$B$4:$B$803,"SALIDA"),0)</f>
        <v>0</v>
      </c>
      <c r="I270" s="102">
        <f t="array" ref="I270">IFERROR(INDEX(PRECIOS_COMPLEMENTOS!$C$4:$F$17,MATCH(B270&amp;"_"&amp;C270,PRECIOS_COMPLEMENTOS!$H$4:$H$17,0),IF(OR(G270="S",G270="20cm"),1,IF(OR(G270="M",G270="25cm"),2,IF(OR(G270="L",G270="30cm"),3,IF(OR(G270="XL",G270="35cm"),4,0))))),0)</f>
        <v>0.5</v>
      </c>
      <c r="J270" s="103">
        <f t="shared" si="1"/>
        <v>0</v>
      </c>
      <c r="K270" s="104" t="str">
        <f>IF(H270&lt;0,"ERROR",IF(H270=0,"",IF(H270&lt;CONFIG!$B$4,"CRÍTICO",IF(H270&lt;CONFIG!$B$5,"BAJO","OK"))))</f>
        <v/>
      </c>
    </row>
    <row r="271" ht="15.75" hidden="1" customHeight="1">
      <c r="A271" s="90" t="str">
        <f>IF(CLIENTES!A4="","",CLIENTES!A4)</f>
        <v>OverShark</v>
      </c>
      <c r="B271" s="90" t="s">
        <v>321</v>
      </c>
      <c r="C271" s="91" t="s">
        <v>326</v>
      </c>
      <c r="D271" s="109" t="s">
        <v>353</v>
      </c>
      <c r="E271" s="67" t="str">
        <f>COLORES!A10</f>
        <v>Botella</v>
      </c>
      <c r="F271" s="67" t="str">
        <f>COLORES!B10</f>
        <v>OSCURO</v>
      </c>
      <c r="G271" s="90" t="s">
        <v>379</v>
      </c>
      <c r="H271" s="100">
        <f>IFERROR(SUMIFS(MOVIMIENTOS_COMPLEMENTOS!$I$4:$I$803,MOVIMIENTOS_COMPLEMENTOS!$C$4:$C$803,A271,MOVIMIENTOS_COMPLEMENTOS!$D$4:$D$803,B271,MOVIMIENTOS_COMPLEMENTOS!$E$4:$E$803,C271,MOVIMIENTOS_COMPLEMENTOS!$G$4:$G$803,E271,MOVIMIENTOS_COMPLEMENTOS!$H$4:$H$803,G271,MOVIMIENTOS_COMPLEMENTOS!$B$4:$B$803,"INGRESO")+SUMIFS(MOVIMIENTOS_COMPLEMENTOS!$I$4:$I$803,MOVIMIENTOS_COMPLEMENTOS!$C$4:$C$803,A271,MOVIMIENTOS_COMPLEMENTOS!$D$4:$D$803,B271,MOVIMIENTOS_COMPLEMENTOS!$E$4:$E$803,C271,MOVIMIENTOS_COMPLEMENTOS!$G$4:$G$803,E271,MOVIMIENTOS_COMPLEMENTOS!$H$4:$H$803,G271,MOVIMIENTOS_COMPLEMENTOS!$B$4:$B$803,"DE CORTE")-SUMIFS(MOVIMIENTOS_COMPLEMENTOS!$I$4:$I$803,MOVIMIENTOS_COMPLEMENTOS!$C$4:$C$803,A271,MOVIMIENTOS_COMPLEMENTOS!$D$4:$D$803,B271,MOVIMIENTOS_COMPLEMENTOS!$E$4:$E$803,C271,MOVIMIENTOS_COMPLEMENTOS!$G$4:$G$803,E271,MOVIMIENTOS_COMPLEMENTOS!$H$4:$H$803,G271,MOVIMIENTOS_COMPLEMENTOS!$B$4:$B$803,"SALIDA"),0)</f>
        <v>0</v>
      </c>
      <c r="I271" s="102">
        <f t="array" ref="I271">IFERROR(INDEX(PRECIOS_COMPLEMENTOS!$C$4:$F$17,MATCH(B271&amp;"_"&amp;C271,PRECIOS_COMPLEMENTOS!$H$4:$H$17,0),IF(OR(G271="S",G271="20cm"),1,IF(OR(G271="M",G271="25cm"),2,IF(OR(G271="L",G271="30cm"),3,IF(OR(G271="XL",G271="35cm"),4,0))))),0)</f>
        <v>0.55</v>
      </c>
      <c r="J271" s="103">
        <f t="shared" si="1"/>
        <v>0</v>
      </c>
      <c r="K271" s="104" t="str">
        <f>IF(H271&lt;0,"ERROR",IF(H271=0,"",IF(H271&lt;CONFIG!$B$4,"CRÍTICO",IF(H271&lt;CONFIG!$B$5,"BAJO","OK"))))</f>
        <v/>
      </c>
    </row>
    <row r="272" ht="15.75" hidden="1" customHeight="1">
      <c r="A272" s="90" t="str">
        <f>IF(CLIENTES!A4="","",CLIENTES!A4)</f>
        <v>OverShark</v>
      </c>
      <c r="B272" s="90" t="s">
        <v>321</v>
      </c>
      <c r="C272" s="91" t="s">
        <v>326</v>
      </c>
      <c r="D272" s="109" t="s">
        <v>353</v>
      </c>
      <c r="E272" s="67" t="str">
        <f>COLORES!A11</f>
        <v>Pacay</v>
      </c>
      <c r="F272" s="67" t="str">
        <f>COLORES!B11</f>
        <v>CLARO</v>
      </c>
      <c r="G272" s="90" t="s">
        <v>378</v>
      </c>
      <c r="H272" s="100">
        <f>IFERROR(SUMIFS(MOVIMIENTOS_COMPLEMENTOS!$I$4:$I$803,MOVIMIENTOS_COMPLEMENTOS!$C$4:$C$803,A272,MOVIMIENTOS_COMPLEMENTOS!$D$4:$D$803,B272,MOVIMIENTOS_COMPLEMENTOS!$E$4:$E$803,C272,MOVIMIENTOS_COMPLEMENTOS!$G$4:$G$803,E272,MOVIMIENTOS_COMPLEMENTOS!$H$4:$H$803,G272,MOVIMIENTOS_COMPLEMENTOS!$B$4:$B$803,"INGRESO")+SUMIFS(MOVIMIENTOS_COMPLEMENTOS!$I$4:$I$803,MOVIMIENTOS_COMPLEMENTOS!$C$4:$C$803,A272,MOVIMIENTOS_COMPLEMENTOS!$D$4:$D$803,B272,MOVIMIENTOS_COMPLEMENTOS!$E$4:$E$803,C272,MOVIMIENTOS_COMPLEMENTOS!$G$4:$G$803,E272,MOVIMIENTOS_COMPLEMENTOS!$H$4:$H$803,G272,MOVIMIENTOS_COMPLEMENTOS!$B$4:$B$803,"DE CORTE")-SUMIFS(MOVIMIENTOS_COMPLEMENTOS!$I$4:$I$803,MOVIMIENTOS_COMPLEMENTOS!$C$4:$C$803,A272,MOVIMIENTOS_COMPLEMENTOS!$D$4:$D$803,B272,MOVIMIENTOS_COMPLEMENTOS!$E$4:$E$803,C272,MOVIMIENTOS_COMPLEMENTOS!$G$4:$G$803,E272,MOVIMIENTOS_COMPLEMENTOS!$H$4:$H$803,G272,MOVIMIENTOS_COMPLEMENTOS!$B$4:$B$803,"SALIDA"),0)</f>
        <v>0</v>
      </c>
      <c r="I272" s="102">
        <f t="array" ref="I272">IFERROR(INDEX(PRECIOS_COMPLEMENTOS!$C$4:$F$17,MATCH(B272&amp;"_"&amp;C272,PRECIOS_COMPLEMENTOS!$H$4:$H$17,0),IF(OR(G272="S",G272="20cm"),1,IF(OR(G272="M",G272="25cm"),2,IF(OR(G272="L",G272="30cm"),3,IF(OR(G272="XL",G272="35cm"),4,0))))),0)</f>
        <v>0.4</v>
      </c>
      <c r="J272" s="103">
        <f t="shared" si="1"/>
        <v>0</v>
      </c>
      <c r="K272" s="104" t="str">
        <f>IF(H272&lt;0,"ERROR",IF(H272=0,"",IF(H272&lt;CONFIG!$B$4,"CRÍTICO",IF(H272&lt;CONFIG!$B$5,"BAJO","OK"))))</f>
        <v/>
      </c>
    </row>
    <row r="273" ht="15.75" hidden="1" customHeight="1">
      <c r="A273" s="90" t="str">
        <f>IF(CLIENTES!A4="","",CLIENTES!A4)</f>
        <v>OverShark</v>
      </c>
      <c r="B273" s="90" t="s">
        <v>321</v>
      </c>
      <c r="C273" s="91" t="s">
        <v>326</v>
      </c>
      <c r="D273" s="109" t="s">
        <v>353</v>
      </c>
      <c r="E273" s="67" t="str">
        <f>COLORES!A11</f>
        <v>Pacay</v>
      </c>
      <c r="F273" s="67" t="str">
        <f>COLORES!B11</f>
        <v>CLARO</v>
      </c>
      <c r="G273" s="90" t="s">
        <v>376</v>
      </c>
      <c r="H273" s="100">
        <f>IFERROR(SUMIFS(MOVIMIENTOS_COMPLEMENTOS!$I$4:$I$803,MOVIMIENTOS_COMPLEMENTOS!$C$4:$C$803,A273,MOVIMIENTOS_COMPLEMENTOS!$D$4:$D$803,B273,MOVIMIENTOS_COMPLEMENTOS!$E$4:$E$803,C273,MOVIMIENTOS_COMPLEMENTOS!$G$4:$G$803,E273,MOVIMIENTOS_COMPLEMENTOS!$H$4:$H$803,G273,MOVIMIENTOS_COMPLEMENTOS!$B$4:$B$803,"INGRESO")+SUMIFS(MOVIMIENTOS_COMPLEMENTOS!$I$4:$I$803,MOVIMIENTOS_COMPLEMENTOS!$C$4:$C$803,A273,MOVIMIENTOS_COMPLEMENTOS!$D$4:$D$803,B273,MOVIMIENTOS_COMPLEMENTOS!$E$4:$E$803,C273,MOVIMIENTOS_COMPLEMENTOS!$G$4:$G$803,E273,MOVIMIENTOS_COMPLEMENTOS!$H$4:$H$803,G273,MOVIMIENTOS_COMPLEMENTOS!$B$4:$B$803,"DE CORTE")-SUMIFS(MOVIMIENTOS_COMPLEMENTOS!$I$4:$I$803,MOVIMIENTOS_COMPLEMENTOS!$C$4:$C$803,A273,MOVIMIENTOS_COMPLEMENTOS!$D$4:$D$803,B273,MOVIMIENTOS_COMPLEMENTOS!$E$4:$E$803,C273,MOVIMIENTOS_COMPLEMENTOS!$G$4:$G$803,E273,MOVIMIENTOS_COMPLEMENTOS!$H$4:$H$803,G273,MOVIMIENTOS_COMPLEMENTOS!$B$4:$B$803,"SALIDA"),0)</f>
        <v>0</v>
      </c>
      <c r="I273" s="102">
        <f t="array" ref="I273">IFERROR(INDEX(PRECIOS_COMPLEMENTOS!$C$4:$F$17,MATCH(B273&amp;"_"&amp;C273,PRECIOS_COMPLEMENTOS!$H$4:$H$17,0),IF(OR(G273="S",G273="20cm"),1,IF(OR(G273="M",G273="25cm"),2,IF(OR(G273="L",G273="30cm"),3,IF(OR(G273="XL",G273="35cm"),4,0))))),0)</f>
        <v>0.45</v>
      </c>
      <c r="J273" s="103">
        <f t="shared" si="1"/>
        <v>0</v>
      </c>
      <c r="K273" s="104" t="str">
        <f>IF(H273&lt;0,"ERROR",IF(H273=0,"",IF(H273&lt;CONFIG!$B$4,"CRÍTICO",IF(H273&lt;CONFIG!$B$5,"BAJO","OK"))))</f>
        <v/>
      </c>
    </row>
    <row r="274" ht="15.75" hidden="1" customHeight="1">
      <c r="A274" s="90" t="str">
        <f>IF(CLIENTES!A4="","",CLIENTES!A4)</f>
        <v>OverShark</v>
      </c>
      <c r="B274" s="90" t="s">
        <v>321</v>
      </c>
      <c r="C274" s="91" t="s">
        <v>326</v>
      </c>
      <c r="D274" s="109" t="s">
        <v>353</v>
      </c>
      <c r="E274" s="67" t="str">
        <f>COLORES!A11</f>
        <v>Pacay</v>
      </c>
      <c r="F274" s="67" t="str">
        <f>COLORES!B11</f>
        <v>CLARO</v>
      </c>
      <c r="G274" s="90" t="s">
        <v>377</v>
      </c>
      <c r="H274" s="100">
        <f>IFERROR(SUMIFS(MOVIMIENTOS_COMPLEMENTOS!$I$4:$I$803,MOVIMIENTOS_COMPLEMENTOS!$C$4:$C$803,A274,MOVIMIENTOS_COMPLEMENTOS!$D$4:$D$803,B274,MOVIMIENTOS_COMPLEMENTOS!$E$4:$E$803,C274,MOVIMIENTOS_COMPLEMENTOS!$G$4:$G$803,E274,MOVIMIENTOS_COMPLEMENTOS!$H$4:$H$803,G274,MOVIMIENTOS_COMPLEMENTOS!$B$4:$B$803,"INGRESO")+SUMIFS(MOVIMIENTOS_COMPLEMENTOS!$I$4:$I$803,MOVIMIENTOS_COMPLEMENTOS!$C$4:$C$803,A274,MOVIMIENTOS_COMPLEMENTOS!$D$4:$D$803,B274,MOVIMIENTOS_COMPLEMENTOS!$E$4:$E$803,C274,MOVIMIENTOS_COMPLEMENTOS!$G$4:$G$803,E274,MOVIMIENTOS_COMPLEMENTOS!$H$4:$H$803,G274,MOVIMIENTOS_COMPLEMENTOS!$B$4:$B$803,"DE CORTE")-SUMIFS(MOVIMIENTOS_COMPLEMENTOS!$I$4:$I$803,MOVIMIENTOS_COMPLEMENTOS!$C$4:$C$803,A274,MOVIMIENTOS_COMPLEMENTOS!$D$4:$D$803,B274,MOVIMIENTOS_COMPLEMENTOS!$E$4:$E$803,C274,MOVIMIENTOS_COMPLEMENTOS!$G$4:$G$803,E274,MOVIMIENTOS_COMPLEMENTOS!$H$4:$H$803,G274,MOVIMIENTOS_COMPLEMENTOS!$B$4:$B$803,"SALIDA"),0)</f>
        <v>0</v>
      </c>
      <c r="I274" s="102">
        <f t="array" ref="I274">IFERROR(INDEX(PRECIOS_COMPLEMENTOS!$C$4:$F$17,MATCH(B274&amp;"_"&amp;C274,PRECIOS_COMPLEMENTOS!$H$4:$H$17,0),IF(OR(G274="S",G274="20cm"),1,IF(OR(G274="M",G274="25cm"),2,IF(OR(G274="L",G274="30cm"),3,IF(OR(G274="XL",G274="35cm"),4,0))))),0)</f>
        <v>0.5</v>
      </c>
      <c r="J274" s="103">
        <f t="shared" si="1"/>
        <v>0</v>
      </c>
      <c r="K274" s="104" t="str">
        <f>IF(H274&lt;0,"ERROR",IF(H274=0,"",IF(H274&lt;CONFIG!$B$4,"CRÍTICO",IF(H274&lt;CONFIG!$B$5,"BAJO","OK"))))</f>
        <v/>
      </c>
    </row>
    <row r="275" ht="15.75" hidden="1" customHeight="1">
      <c r="A275" s="90" t="str">
        <f>IF(CLIENTES!A4="","",CLIENTES!A4)</f>
        <v>OverShark</v>
      </c>
      <c r="B275" s="90" t="s">
        <v>321</v>
      </c>
      <c r="C275" s="91" t="s">
        <v>326</v>
      </c>
      <c r="D275" s="109" t="s">
        <v>353</v>
      </c>
      <c r="E275" s="67" t="str">
        <f>COLORES!A11</f>
        <v>Pacay</v>
      </c>
      <c r="F275" s="67" t="str">
        <f>COLORES!B11</f>
        <v>CLARO</v>
      </c>
      <c r="G275" s="90" t="s">
        <v>379</v>
      </c>
      <c r="H275" s="100">
        <f>IFERROR(SUMIFS(MOVIMIENTOS_COMPLEMENTOS!$I$4:$I$803,MOVIMIENTOS_COMPLEMENTOS!$C$4:$C$803,A275,MOVIMIENTOS_COMPLEMENTOS!$D$4:$D$803,B275,MOVIMIENTOS_COMPLEMENTOS!$E$4:$E$803,C275,MOVIMIENTOS_COMPLEMENTOS!$G$4:$G$803,E275,MOVIMIENTOS_COMPLEMENTOS!$H$4:$H$803,G275,MOVIMIENTOS_COMPLEMENTOS!$B$4:$B$803,"INGRESO")+SUMIFS(MOVIMIENTOS_COMPLEMENTOS!$I$4:$I$803,MOVIMIENTOS_COMPLEMENTOS!$C$4:$C$803,A275,MOVIMIENTOS_COMPLEMENTOS!$D$4:$D$803,B275,MOVIMIENTOS_COMPLEMENTOS!$E$4:$E$803,C275,MOVIMIENTOS_COMPLEMENTOS!$G$4:$G$803,E275,MOVIMIENTOS_COMPLEMENTOS!$H$4:$H$803,G275,MOVIMIENTOS_COMPLEMENTOS!$B$4:$B$803,"DE CORTE")-SUMIFS(MOVIMIENTOS_COMPLEMENTOS!$I$4:$I$803,MOVIMIENTOS_COMPLEMENTOS!$C$4:$C$803,A275,MOVIMIENTOS_COMPLEMENTOS!$D$4:$D$803,B275,MOVIMIENTOS_COMPLEMENTOS!$E$4:$E$803,C275,MOVIMIENTOS_COMPLEMENTOS!$G$4:$G$803,E275,MOVIMIENTOS_COMPLEMENTOS!$H$4:$H$803,G275,MOVIMIENTOS_COMPLEMENTOS!$B$4:$B$803,"SALIDA"),0)</f>
        <v>0</v>
      </c>
      <c r="I275" s="102">
        <f t="array" ref="I275">IFERROR(INDEX(PRECIOS_COMPLEMENTOS!$C$4:$F$17,MATCH(B275&amp;"_"&amp;C275,PRECIOS_COMPLEMENTOS!$H$4:$H$17,0),IF(OR(G275="S",G275="20cm"),1,IF(OR(G275="M",G275="25cm"),2,IF(OR(G275="L",G275="30cm"),3,IF(OR(G275="XL",G275="35cm"),4,0))))),0)</f>
        <v>0.55</v>
      </c>
      <c r="J275" s="103">
        <f t="shared" si="1"/>
        <v>0</v>
      </c>
      <c r="K275" s="104" t="str">
        <f>IF(H275&lt;0,"ERROR",IF(H275=0,"",IF(H275&lt;CONFIG!$B$4,"CRÍTICO",IF(H275&lt;CONFIG!$B$5,"BAJO","OK"))))</f>
        <v/>
      </c>
    </row>
    <row r="276" ht="15.75" hidden="1" customHeight="1">
      <c r="A276" s="90" t="str">
        <f>IF(CLIENTES!A4="","",CLIENTES!A4)</f>
        <v>OverShark</v>
      </c>
      <c r="B276" s="90" t="s">
        <v>321</v>
      </c>
      <c r="C276" s="91" t="s">
        <v>326</v>
      </c>
      <c r="D276" s="109" t="s">
        <v>353</v>
      </c>
      <c r="E276" s="67" t="str">
        <f>COLORES!A12</f>
        <v>Cemento</v>
      </c>
      <c r="F276" s="67" t="str">
        <f>COLORES!B12</f>
        <v>CLARO</v>
      </c>
      <c r="G276" s="90" t="s">
        <v>378</v>
      </c>
      <c r="H276" s="100">
        <f>IFERROR(SUMIFS(MOVIMIENTOS_COMPLEMENTOS!$I$4:$I$803,MOVIMIENTOS_COMPLEMENTOS!$C$4:$C$803,A276,MOVIMIENTOS_COMPLEMENTOS!$D$4:$D$803,B276,MOVIMIENTOS_COMPLEMENTOS!$E$4:$E$803,C276,MOVIMIENTOS_COMPLEMENTOS!$G$4:$G$803,E276,MOVIMIENTOS_COMPLEMENTOS!$H$4:$H$803,G276,MOVIMIENTOS_COMPLEMENTOS!$B$4:$B$803,"INGRESO")+SUMIFS(MOVIMIENTOS_COMPLEMENTOS!$I$4:$I$803,MOVIMIENTOS_COMPLEMENTOS!$C$4:$C$803,A276,MOVIMIENTOS_COMPLEMENTOS!$D$4:$D$803,B276,MOVIMIENTOS_COMPLEMENTOS!$E$4:$E$803,C276,MOVIMIENTOS_COMPLEMENTOS!$G$4:$G$803,E276,MOVIMIENTOS_COMPLEMENTOS!$H$4:$H$803,G276,MOVIMIENTOS_COMPLEMENTOS!$B$4:$B$803,"DE CORTE")-SUMIFS(MOVIMIENTOS_COMPLEMENTOS!$I$4:$I$803,MOVIMIENTOS_COMPLEMENTOS!$C$4:$C$803,A276,MOVIMIENTOS_COMPLEMENTOS!$D$4:$D$803,B276,MOVIMIENTOS_COMPLEMENTOS!$E$4:$E$803,C276,MOVIMIENTOS_COMPLEMENTOS!$G$4:$G$803,E276,MOVIMIENTOS_COMPLEMENTOS!$H$4:$H$803,G276,MOVIMIENTOS_COMPLEMENTOS!$B$4:$B$803,"SALIDA"),0)</f>
        <v>0</v>
      </c>
      <c r="I276" s="102">
        <f t="array" ref="I276">IFERROR(INDEX(PRECIOS_COMPLEMENTOS!$C$4:$F$17,MATCH(B276&amp;"_"&amp;C276,PRECIOS_COMPLEMENTOS!$H$4:$H$17,0),IF(OR(G276="S",G276="20cm"),1,IF(OR(G276="M",G276="25cm"),2,IF(OR(G276="L",G276="30cm"),3,IF(OR(G276="XL",G276="35cm"),4,0))))),0)</f>
        <v>0.4</v>
      </c>
      <c r="J276" s="103">
        <f t="shared" si="1"/>
        <v>0</v>
      </c>
      <c r="K276" s="104" t="str">
        <f>IF(H276&lt;0,"ERROR",IF(H276=0,"",IF(H276&lt;CONFIG!$B$4,"CRÍTICO",IF(H276&lt;CONFIG!$B$5,"BAJO","OK"))))</f>
        <v/>
      </c>
    </row>
    <row r="277" ht="15.75" hidden="1" customHeight="1">
      <c r="A277" s="90" t="str">
        <f>IF(CLIENTES!A4="","",CLIENTES!A4)</f>
        <v>OverShark</v>
      </c>
      <c r="B277" s="90" t="s">
        <v>321</v>
      </c>
      <c r="C277" s="91" t="s">
        <v>326</v>
      </c>
      <c r="D277" s="109" t="s">
        <v>353</v>
      </c>
      <c r="E277" s="67" t="str">
        <f>COLORES!A12</f>
        <v>Cemento</v>
      </c>
      <c r="F277" s="67" t="str">
        <f>COLORES!B12</f>
        <v>CLARO</v>
      </c>
      <c r="G277" s="90" t="s">
        <v>376</v>
      </c>
      <c r="H277" s="100">
        <f>IFERROR(SUMIFS(MOVIMIENTOS_COMPLEMENTOS!$I$4:$I$803,MOVIMIENTOS_COMPLEMENTOS!$C$4:$C$803,A277,MOVIMIENTOS_COMPLEMENTOS!$D$4:$D$803,B277,MOVIMIENTOS_COMPLEMENTOS!$E$4:$E$803,C277,MOVIMIENTOS_COMPLEMENTOS!$G$4:$G$803,E277,MOVIMIENTOS_COMPLEMENTOS!$H$4:$H$803,G277,MOVIMIENTOS_COMPLEMENTOS!$B$4:$B$803,"INGRESO")+SUMIFS(MOVIMIENTOS_COMPLEMENTOS!$I$4:$I$803,MOVIMIENTOS_COMPLEMENTOS!$C$4:$C$803,A277,MOVIMIENTOS_COMPLEMENTOS!$D$4:$D$803,B277,MOVIMIENTOS_COMPLEMENTOS!$E$4:$E$803,C277,MOVIMIENTOS_COMPLEMENTOS!$G$4:$G$803,E277,MOVIMIENTOS_COMPLEMENTOS!$H$4:$H$803,G277,MOVIMIENTOS_COMPLEMENTOS!$B$4:$B$803,"DE CORTE")-SUMIFS(MOVIMIENTOS_COMPLEMENTOS!$I$4:$I$803,MOVIMIENTOS_COMPLEMENTOS!$C$4:$C$803,A277,MOVIMIENTOS_COMPLEMENTOS!$D$4:$D$803,B277,MOVIMIENTOS_COMPLEMENTOS!$E$4:$E$803,C277,MOVIMIENTOS_COMPLEMENTOS!$G$4:$G$803,E277,MOVIMIENTOS_COMPLEMENTOS!$H$4:$H$803,G277,MOVIMIENTOS_COMPLEMENTOS!$B$4:$B$803,"SALIDA"),0)</f>
        <v>0</v>
      </c>
      <c r="I277" s="102">
        <f t="array" ref="I277">IFERROR(INDEX(PRECIOS_COMPLEMENTOS!$C$4:$F$17,MATCH(B277&amp;"_"&amp;C277,PRECIOS_COMPLEMENTOS!$H$4:$H$17,0),IF(OR(G277="S",G277="20cm"),1,IF(OR(G277="M",G277="25cm"),2,IF(OR(G277="L",G277="30cm"),3,IF(OR(G277="XL",G277="35cm"),4,0))))),0)</f>
        <v>0.45</v>
      </c>
      <c r="J277" s="103">
        <f t="shared" si="1"/>
        <v>0</v>
      </c>
      <c r="K277" s="104" t="str">
        <f>IF(H277&lt;0,"ERROR",IF(H277=0,"",IF(H277&lt;CONFIG!$B$4,"CRÍTICO",IF(H277&lt;CONFIG!$B$5,"BAJO","OK"))))</f>
        <v/>
      </c>
    </row>
    <row r="278" ht="15.75" hidden="1" customHeight="1">
      <c r="A278" s="90" t="str">
        <f>IF(CLIENTES!A4="","",CLIENTES!A4)</f>
        <v>OverShark</v>
      </c>
      <c r="B278" s="90" t="s">
        <v>321</v>
      </c>
      <c r="C278" s="91" t="s">
        <v>326</v>
      </c>
      <c r="D278" s="109" t="s">
        <v>353</v>
      </c>
      <c r="E278" s="67" t="str">
        <f>COLORES!A12</f>
        <v>Cemento</v>
      </c>
      <c r="F278" s="67" t="str">
        <f>COLORES!B12</f>
        <v>CLARO</v>
      </c>
      <c r="G278" s="90" t="s">
        <v>377</v>
      </c>
      <c r="H278" s="100">
        <f>IFERROR(SUMIFS(MOVIMIENTOS_COMPLEMENTOS!$I$4:$I$803,MOVIMIENTOS_COMPLEMENTOS!$C$4:$C$803,A278,MOVIMIENTOS_COMPLEMENTOS!$D$4:$D$803,B278,MOVIMIENTOS_COMPLEMENTOS!$E$4:$E$803,C278,MOVIMIENTOS_COMPLEMENTOS!$G$4:$G$803,E278,MOVIMIENTOS_COMPLEMENTOS!$H$4:$H$803,G278,MOVIMIENTOS_COMPLEMENTOS!$B$4:$B$803,"INGRESO")+SUMIFS(MOVIMIENTOS_COMPLEMENTOS!$I$4:$I$803,MOVIMIENTOS_COMPLEMENTOS!$C$4:$C$803,A278,MOVIMIENTOS_COMPLEMENTOS!$D$4:$D$803,B278,MOVIMIENTOS_COMPLEMENTOS!$E$4:$E$803,C278,MOVIMIENTOS_COMPLEMENTOS!$G$4:$G$803,E278,MOVIMIENTOS_COMPLEMENTOS!$H$4:$H$803,G278,MOVIMIENTOS_COMPLEMENTOS!$B$4:$B$803,"DE CORTE")-SUMIFS(MOVIMIENTOS_COMPLEMENTOS!$I$4:$I$803,MOVIMIENTOS_COMPLEMENTOS!$C$4:$C$803,A278,MOVIMIENTOS_COMPLEMENTOS!$D$4:$D$803,B278,MOVIMIENTOS_COMPLEMENTOS!$E$4:$E$803,C278,MOVIMIENTOS_COMPLEMENTOS!$G$4:$G$803,E278,MOVIMIENTOS_COMPLEMENTOS!$H$4:$H$803,G278,MOVIMIENTOS_COMPLEMENTOS!$B$4:$B$803,"SALIDA"),0)</f>
        <v>0</v>
      </c>
      <c r="I278" s="102">
        <f t="array" ref="I278">IFERROR(INDEX(PRECIOS_COMPLEMENTOS!$C$4:$F$17,MATCH(B278&amp;"_"&amp;C278,PRECIOS_COMPLEMENTOS!$H$4:$H$17,0),IF(OR(G278="S",G278="20cm"),1,IF(OR(G278="M",G278="25cm"),2,IF(OR(G278="L",G278="30cm"),3,IF(OR(G278="XL",G278="35cm"),4,0))))),0)</f>
        <v>0.5</v>
      </c>
      <c r="J278" s="103">
        <f t="shared" si="1"/>
        <v>0</v>
      </c>
      <c r="K278" s="104" t="str">
        <f>IF(H278&lt;0,"ERROR",IF(H278=0,"",IF(H278&lt;CONFIG!$B$4,"CRÍTICO",IF(H278&lt;CONFIG!$B$5,"BAJO","OK"))))</f>
        <v/>
      </c>
    </row>
    <row r="279" ht="15.75" hidden="1" customHeight="1">
      <c r="A279" s="90" t="str">
        <f>IF(CLIENTES!A4="","",CLIENTES!A4)</f>
        <v>OverShark</v>
      </c>
      <c r="B279" s="90" t="s">
        <v>321</v>
      </c>
      <c r="C279" s="91" t="s">
        <v>326</v>
      </c>
      <c r="D279" s="109" t="s">
        <v>353</v>
      </c>
      <c r="E279" s="67" t="str">
        <f>COLORES!A12</f>
        <v>Cemento</v>
      </c>
      <c r="F279" s="67" t="str">
        <f>COLORES!B12</f>
        <v>CLARO</v>
      </c>
      <c r="G279" s="90" t="s">
        <v>379</v>
      </c>
      <c r="H279" s="100">
        <f>IFERROR(SUMIFS(MOVIMIENTOS_COMPLEMENTOS!$I$4:$I$803,MOVIMIENTOS_COMPLEMENTOS!$C$4:$C$803,A279,MOVIMIENTOS_COMPLEMENTOS!$D$4:$D$803,B279,MOVIMIENTOS_COMPLEMENTOS!$E$4:$E$803,C279,MOVIMIENTOS_COMPLEMENTOS!$G$4:$G$803,E279,MOVIMIENTOS_COMPLEMENTOS!$H$4:$H$803,G279,MOVIMIENTOS_COMPLEMENTOS!$B$4:$B$803,"INGRESO")+SUMIFS(MOVIMIENTOS_COMPLEMENTOS!$I$4:$I$803,MOVIMIENTOS_COMPLEMENTOS!$C$4:$C$803,A279,MOVIMIENTOS_COMPLEMENTOS!$D$4:$D$803,B279,MOVIMIENTOS_COMPLEMENTOS!$E$4:$E$803,C279,MOVIMIENTOS_COMPLEMENTOS!$G$4:$G$803,E279,MOVIMIENTOS_COMPLEMENTOS!$H$4:$H$803,G279,MOVIMIENTOS_COMPLEMENTOS!$B$4:$B$803,"DE CORTE")-SUMIFS(MOVIMIENTOS_COMPLEMENTOS!$I$4:$I$803,MOVIMIENTOS_COMPLEMENTOS!$C$4:$C$803,A279,MOVIMIENTOS_COMPLEMENTOS!$D$4:$D$803,B279,MOVIMIENTOS_COMPLEMENTOS!$E$4:$E$803,C279,MOVIMIENTOS_COMPLEMENTOS!$G$4:$G$803,E279,MOVIMIENTOS_COMPLEMENTOS!$H$4:$H$803,G279,MOVIMIENTOS_COMPLEMENTOS!$B$4:$B$803,"SALIDA"),0)</f>
        <v>0</v>
      </c>
      <c r="I279" s="102">
        <f t="array" ref="I279">IFERROR(INDEX(PRECIOS_COMPLEMENTOS!$C$4:$F$17,MATCH(B279&amp;"_"&amp;C279,PRECIOS_COMPLEMENTOS!$H$4:$H$17,0),IF(OR(G279="S",G279="20cm"),1,IF(OR(G279="M",G279="25cm"),2,IF(OR(G279="L",G279="30cm"),3,IF(OR(G279="XL",G279="35cm"),4,0))))),0)</f>
        <v>0.55</v>
      </c>
      <c r="J279" s="103">
        <f t="shared" si="1"/>
        <v>0</v>
      </c>
      <c r="K279" s="104" t="str">
        <f>IF(H279&lt;0,"ERROR",IF(H279=0,"",IF(H279&lt;CONFIG!$B$4,"CRÍTICO",IF(H279&lt;CONFIG!$B$5,"BAJO","OK"))))</f>
        <v/>
      </c>
    </row>
    <row r="280" ht="15.75" hidden="1" customHeight="1">
      <c r="A280" s="90" t="str">
        <f>IF(CLIENTES!A4="","",CLIENTES!A4)</f>
        <v>OverShark</v>
      </c>
      <c r="B280" s="90" t="s">
        <v>321</v>
      </c>
      <c r="C280" s="91" t="s">
        <v>326</v>
      </c>
      <c r="D280" s="109" t="s">
        <v>353</v>
      </c>
      <c r="E280" s="67" t="str">
        <f>COLORES!A13</f>
        <v>Camote</v>
      </c>
      <c r="F280" s="67" t="str">
        <f>COLORES!B13</f>
        <v>CLARO</v>
      </c>
      <c r="G280" s="90" t="s">
        <v>378</v>
      </c>
      <c r="H280" s="100">
        <f>IFERROR(SUMIFS(MOVIMIENTOS_COMPLEMENTOS!$I$4:$I$803,MOVIMIENTOS_COMPLEMENTOS!$C$4:$C$803,A280,MOVIMIENTOS_COMPLEMENTOS!$D$4:$D$803,B280,MOVIMIENTOS_COMPLEMENTOS!$E$4:$E$803,C280,MOVIMIENTOS_COMPLEMENTOS!$G$4:$G$803,E280,MOVIMIENTOS_COMPLEMENTOS!$H$4:$H$803,G280,MOVIMIENTOS_COMPLEMENTOS!$B$4:$B$803,"INGRESO")+SUMIFS(MOVIMIENTOS_COMPLEMENTOS!$I$4:$I$803,MOVIMIENTOS_COMPLEMENTOS!$C$4:$C$803,A280,MOVIMIENTOS_COMPLEMENTOS!$D$4:$D$803,B280,MOVIMIENTOS_COMPLEMENTOS!$E$4:$E$803,C280,MOVIMIENTOS_COMPLEMENTOS!$G$4:$G$803,E280,MOVIMIENTOS_COMPLEMENTOS!$H$4:$H$803,G280,MOVIMIENTOS_COMPLEMENTOS!$B$4:$B$803,"DE CORTE")-SUMIFS(MOVIMIENTOS_COMPLEMENTOS!$I$4:$I$803,MOVIMIENTOS_COMPLEMENTOS!$C$4:$C$803,A280,MOVIMIENTOS_COMPLEMENTOS!$D$4:$D$803,B280,MOVIMIENTOS_COMPLEMENTOS!$E$4:$E$803,C280,MOVIMIENTOS_COMPLEMENTOS!$G$4:$G$803,E280,MOVIMIENTOS_COMPLEMENTOS!$H$4:$H$803,G280,MOVIMIENTOS_COMPLEMENTOS!$B$4:$B$803,"SALIDA"),0)</f>
        <v>0</v>
      </c>
      <c r="I280" s="102">
        <f t="array" ref="I280">IFERROR(INDEX(PRECIOS_COMPLEMENTOS!$C$4:$F$17,MATCH(B280&amp;"_"&amp;C280,PRECIOS_COMPLEMENTOS!$H$4:$H$17,0),IF(OR(G280="S",G280="20cm"),1,IF(OR(G280="M",G280="25cm"),2,IF(OR(G280="L",G280="30cm"),3,IF(OR(G280="XL",G280="35cm"),4,0))))),0)</f>
        <v>0.4</v>
      </c>
      <c r="J280" s="103">
        <f t="shared" si="1"/>
        <v>0</v>
      </c>
      <c r="K280" s="104" t="str">
        <f>IF(H280&lt;0,"ERROR",IF(H280=0,"",IF(H280&lt;CONFIG!$B$4,"CRÍTICO",IF(H280&lt;CONFIG!$B$5,"BAJO","OK"))))</f>
        <v/>
      </c>
    </row>
    <row r="281" ht="15.75" hidden="1" customHeight="1">
      <c r="A281" s="90" t="str">
        <f>IF(CLIENTES!A4="","",CLIENTES!A4)</f>
        <v>OverShark</v>
      </c>
      <c r="B281" s="90" t="s">
        <v>321</v>
      </c>
      <c r="C281" s="91" t="s">
        <v>326</v>
      </c>
      <c r="D281" s="109" t="s">
        <v>353</v>
      </c>
      <c r="E281" s="67" t="str">
        <f>COLORES!A13</f>
        <v>Camote</v>
      </c>
      <c r="F281" s="67" t="str">
        <f>COLORES!B13</f>
        <v>CLARO</v>
      </c>
      <c r="G281" s="90" t="s">
        <v>376</v>
      </c>
      <c r="H281" s="100">
        <f>IFERROR(SUMIFS(MOVIMIENTOS_COMPLEMENTOS!$I$4:$I$803,MOVIMIENTOS_COMPLEMENTOS!$C$4:$C$803,A281,MOVIMIENTOS_COMPLEMENTOS!$D$4:$D$803,B281,MOVIMIENTOS_COMPLEMENTOS!$E$4:$E$803,C281,MOVIMIENTOS_COMPLEMENTOS!$G$4:$G$803,E281,MOVIMIENTOS_COMPLEMENTOS!$H$4:$H$803,G281,MOVIMIENTOS_COMPLEMENTOS!$B$4:$B$803,"INGRESO")+SUMIFS(MOVIMIENTOS_COMPLEMENTOS!$I$4:$I$803,MOVIMIENTOS_COMPLEMENTOS!$C$4:$C$803,A281,MOVIMIENTOS_COMPLEMENTOS!$D$4:$D$803,B281,MOVIMIENTOS_COMPLEMENTOS!$E$4:$E$803,C281,MOVIMIENTOS_COMPLEMENTOS!$G$4:$G$803,E281,MOVIMIENTOS_COMPLEMENTOS!$H$4:$H$803,G281,MOVIMIENTOS_COMPLEMENTOS!$B$4:$B$803,"DE CORTE")-SUMIFS(MOVIMIENTOS_COMPLEMENTOS!$I$4:$I$803,MOVIMIENTOS_COMPLEMENTOS!$C$4:$C$803,A281,MOVIMIENTOS_COMPLEMENTOS!$D$4:$D$803,B281,MOVIMIENTOS_COMPLEMENTOS!$E$4:$E$803,C281,MOVIMIENTOS_COMPLEMENTOS!$G$4:$G$803,E281,MOVIMIENTOS_COMPLEMENTOS!$H$4:$H$803,G281,MOVIMIENTOS_COMPLEMENTOS!$B$4:$B$803,"SALIDA"),0)</f>
        <v>0</v>
      </c>
      <c r="I281" s="102">
        <f t="array" ref="I281">IFERROR(INDEX(PRECIOS_COMPLEMENTOS!$C$4:$F$17,MATCH(B281&amp;"_"&amp;C281,PRECIOS_COMPLEMENTOS!$H$4:$H$17,0),IF(OR(G281="S",G281="20cm"),1,IF(OR(G281="M",G281="25cm"),2,IF(OR(G281="L",G281="30cm"),3,IF(OR(G281="XL",G281="35cm"),4,0))))),0)</f>
        <v>0.45</v>
      </c>
      <c r="J281" s="103">
        <f t="shared" si="1"/>
        <v>0</v>
      </c>
      <c r="K281" s="104" t="str">
        <f>IF(H281&lt;0,"ERROR",IF(H281=0,"",IF(H281&lt;CONFIG!$B$4,"CRÍTICO",IF(H281&lt;CONFIG!$B$5,"BAJO","OK"))))</f>
        <v/>
      </c>
    </row>
    <row r="282" ht="15.75" hidden="1" customHeight="1">
      <c r="A282" s="90" t="str">
        <f>IF(CLIENTES!A4="","",CLIENTES!A4)</f>
        <v>OverShark</v>
      </c>
      <c r="B282" s="90" t="s">
        <v>321</v>
      </c>
      <c r="C282" s="91" t="s">
        <v>326</v>
      </c>
      <c r="D282" s="109" t="s">
        <v>353</v>
      </c>
      <c r="E282" s="67" t="str">
        <f>COLORES!A13</f>
        <v>Camote</v>
      </c>
      <c r="F282" s="67" t="str">
        <f>COLORES!B13</f>
        <v>CLARO</v>
      </c>
      <c r="G282" s="90" t="s">
        <v>377</v>
      </c>
      <c r="H282" s="100">
        <f>IFERROR(SUMIFS(MOVIMIENTOS_COMPLEMENTOS!$I$4:$I$803,MOVIMIENTOS_COMPLEMENTOS!$C$4:$C$803,A282,MOVIMIENTOS_COMPLEMENTOS!$D$4:$D$803,B282,MOVIMIENTOS_COMPLEMENTOS!$E$4:$E$803,C282,MOVIMIENTOS_COMPLEMENTOS!$G$4:$G$803,E282,MOVIMIENTOS_COMPLEMENTOS!$H$4:$H$803,G282,MOVIMIENTOS_COMPLEMENTOS!$B$4:$B$803,"INGRESO")+SUMIFS(MOVIMIENTOS_COMPLEMENTOS!$I$4:$I$803,MOVIMIENTOS_COMPLEMENTOS!$C$4:$C$803,A282,MOVIMIENTOS_COMPLEMENTOS!$D$4:$D$803,B282,MOVIMIENTOS_COMPLEMENTOS!$E$4:$E$803,C282,MOVIMIENTOS_COMPLEMENTOS!$G$4:$G$803,E282,MOVIMIENTOS_COMPLEMENTOS!$H$4:$H$803,G282,MOVIMIENTOS_COMPLEMENTOS!$B$4:$B$803,"DE CORTE")-SUMIFS(MOVIMIENTOS_COMPLEMENTOS!$I$4:$I$803,MOVIMIENTOS_COMPLEMENTOS!$C$4:$C$803,A282,MOVIMIENTOS_COMPLEMENTOS!$D$4:$D$803,B282,MOVIMIENTOS_COMPLEMENTOS!$E$4:$E$803,C282,MOVIMIENTOS_COMPLEMENTOS!$G$4:$G$803,E282,MOVIMIENTOS_COMPLEMENTOS!$H$4:$H$803,G282,MOVIMIENTOS_COMPLEMENTOS!$B$4:$B$803,"SALIDA"),0)</f>
        <v>0</v>
      </c>
      <c r="I282" s="102">
        <f t="array" ref="I282">IFERROR(INDEX(PRECIOS_COMPLEMENTOS!$C$4:$F$17,MATCH(B282&amp;"_"&amp;C282,PRECIOS_COMPLEMENTOS!$H$4:$H$17,0),IF(OR(G282="S",G282="20cm"),1,IF(OR(G282="M",G282="25cm"),2,IF(OR(G282="L",G282="30cm"),3,IF(OR(G282="XL",G282="35cm"),4,0))))),0)</f>
        <v>0.5</v>
      </c>
      <c r="J282" s="103">
        <f t="shared" si="1"/>
        <v>0</v>
      </c>
      <c r="K282" s="104" t="str">
        <f>IF(H282&lt;0,"ERROR",IF(H282=0,"",IF(H282&lt;CONFIG!$B$4,"CRÍTICO",IF(H282&lt;CONFIG!$B$5,"BAJO","OK"))))</f>
        <v/>
      </c>
    </row>
    <row r="283" ht="15.75" hidden="1" customHeight="1">
      <c r="A283" s="90" t="str">
        <f>IF(CLIENTES!A4="","",CLIENTES!A4)</f>
        <v>OverShark</v>
      </c>
      <c r="B283" s="90" t="s">
        <v>321</v>
      </c>
      <c r="C283" s="91" t="s">
        <v>326</v>
      </c>
      <c r="D283" s="109" t="s">
        <v>353</v>
      </c>
      <c r="E283" s="67" t="str">
        <f>COLORES!A13</f>
        <v>Camote</v>
      </c>
      <c r="F283" s="67" t="str">
        <f>COLORES!B13</f>
        <v>CLARO</v>
      </c>
      <c r="G283" s="90" t="s">
        <v>379</v>
      </c>
      <c r="H283" s="100">
        <f>IFERROR(SUMIFS(MOVIMIENTOS_COMPLEMENTOS!$I$4:$I$803,MOVIMIENTOS_COMPLEMENTOS!$C$4:$C$803,A283,MOVIMIENTOS_COMPLEMENTOS!$D$4:$D$803,B283,MOVIMIENTOS_COMPLEMENTOS!$E$4:$E$803,C283,MOVIMIENTOS_COMPLEMENTOS!$G$4:$G$803,E283,MOVIMIENTOS_COMPLEMENTOS!$H$4:$H$803,G283,MOVIMIENTOS_COMPLEMENTOS!$B$4:$B$803,"INGRESO")+SUMIFS(MOVIMIENTOS_COMPLEMENTOS!$I$4:$I$803,MOVIMIENTOS_COMPLEMENTOS!$C$4:$C$803,A283,MOVIMIENTOS_COMPLEMENTOS!$D$4:$D$803,B283,MOVIMIENTOS_COMPLEMENTOS!$E$4:$E$803,C283,MOVIMIENTOS_COMPLEMENTOS!$G$4:$G$803,E283,MOVIMIENTOS_COMPLEMENTOS!$H$4:$H$803,G283,MOVIMIENTOS_COMPLEMENTOS!$B$4:$B$803,"DE CORTE")-SUMIFS(MOVIMIENTOS_COMPLEMENTOS!$I$4:$I$803,MOVIMIENTOS_COMPLEMENTOS!$C$4:$C$803,A283,MOVIMIENTOS_COMPLEMENTOS!$D$4:$D$803,B283,MOVIMIENTOS_COMPLEMENTOS!$E$4:$E$803,C283,MOVIMIENTOS_COMPLEMENTOS!$G$4:$G$803,E283,MOVIMIENTOS_COMPLEMENTOS!$H$4:$H$803,G283,MOVIMIENTOS_COMPLEMENTOS!$B$4:$B$803,"SALIDA"),0)</f>
        <v>0</v>
      </c>
      <c r="I283" s="102">
        <f t="array" ref="I283">IFERROR(INDEX(PRECIOS_COMPLEMENTOS!$C$4:$F$17,MATCH(B283&amp;"_"&amp;C283,PRECIOS_COMPLEMENTOS!$H$4:$H$17,0),IF(OR(G283="S",G283="20cm"),1,IF(OR(G283="M",G283="25cm"),2,IF(OR(G283="L",G283="30cm"),3,IF(OR(G283="XL",G283="35cm"),4,0))))),0)</f>
        <v>0.55</v>
      </c>
      <c r="J283" s="103">
        <f t="shared" si="1"/>
        <v>0</v>
      </c>
      <c r="K283" s="104" t="str">
        <f>IF(H283&lt;0,"ERROR",IF(H283=0,"",IF(H283&lt;CONFIG!$B$4,"CRÍTICO",IF(H283&lt;CONFIG!$B$5,"BAJO","OK"))))</f>
        <v/>
      </c>
    </row>
    <row r="284" ht="15.75" hidden="1" customHeight="1">
      <c r="A284" s="90" t="str">
        <f>IF(CLIENTES!A4="","",CLIENTES!A4)</f>
        <v>OverShark</v>
      </c>
      <c r="B284" s="90" t="s">
        <v>321</v>
      </c>
      <c r="C284" s="91" t="s">
        <v>326</v>
      </c>
      <c r="D284" s="109" t="s">
        <v>353</v>
      </c>
      <c r="E284" s="67" t="str">
        <f>COLORES!A14</f>
        <v>Denim</v>
      </c>
      <c r="F284" s="67" t="str">
        <f>COLORES!B14</f>
        <v>CLARO</v>
      </c>
      <c r="G284" s="90" t="s">
        <v>378</v>
      </c>
      <c r="H284" s="100">
        <f>IFERROR(SUMIFS(MOVIMIENTOS_COMPLEMENTOS!$I$4:$I$803,MOVIMIENTOS_COMPLEMENTOS!$C$4:$C$803,A284,MOVIMIENTOS_COMPLEMENTOS!$D$4:$D$803,B284,MOVIMIENTOS_COMPLEMENTOS!$E$4:$E$803,C284,MOVIMIENTOS_COMPLEMENTOS!$G$4:$G$803,E284,MOVIMIENTOS_COMPLEMENTOS!$H$4:$H$803,G284,MOVIMIENTOS_COMPLEMENTOS!$B$4:$B$803,"INGRESO")+SUMIFS(MOVIMIENTOS_COMPLEMENTOS!$I$4:$I$803,MOVIMIENTOS_COMPLEMENTOS!$C$4:$C$803,A284,MOVIMIENTOS_COMPLEMENTOS!$D$4:$D$803,B284,MOVIMIENTOS_COMPLEMENTOS!$E$4:$E$803,C284,MOVIMIENTOS_COMPLEMENTOS!$G$4:$G$803,E284,MOVIMIENTOS_COMPLEMENTOS!$H$4:$H$803,G284,MOVIMIENTOS_COMPLEMENTOS!$B$4:$B$803,"DE CORTE")-SUMIFS(MOVIMIENTOS_COMPLEMENTOS!$I$4:$I$803,MOVIMIENTOS_COMPLEMENTOS!$C$4:$C$803,A284,MOVIMIENTOS_COMPLEMENTOS!$D$4:$D$803,B284,MOVIMIENTOS_COMPLEMENTOS!$E$4:$E$803,C284,MOVIMIENTOS_COMPLEMENTOS!$G$4:$G$803,E284,MOVIMIENTOS_COMPLEMENTOS!$H$4:$H$803,G284,MOVIMIENTOS_COMPLEMENTOS!$B$4:$B$803,"SALIDA"),0)</f>
        <v>0</v>
      </c>
      <c r="I284" s="102">
        <f t="array" ref="I284">IFERROR(INDEX(PRECIOS_COMPLEMENTOS!$C$4:$F$17,MATCH(B284&amp;"_"&amp;C284,PRECIOS_COMPLEMENTOS!$H$4:$H$17,0),IF(OR(G284="S",G284="20cm"),1,IF(OR(G284="M",G284="25cm"),2,IF(OR(G284="L",G284="30cm"),3,IF(OR(G284="XL",G284="35cm"),4,0))))),0)</f>
        <v>0.4</v>
      </c>
      <c r="J284" s="103">
        <f t="shared" si="1"/>
        <v>0</v>
      </c>
      <c r="K284" s="104" t="str">
        <f>IF(H284&lt;0,"ERROR",IF(H284=0,"",IF(H284&lt;CONFIG!$B$4,"CRÍTICO",IF(H284&lt;CONFIG!$B$5,"BAJO","OK"))))</f>
        <v/>
      </c>
    </row>
    <row r="285" ht="15.75" hidden="1" customHeight="1">
      <c r="A285" s="90" t="str">
        <f>IF(CLIENTES!A4="","",CLIENTES!A4)</f>
        <v>OverShark</v>
      </c>
      <c r="B285" s="90" t="s">
        <v>321</v>
      </c>
      <c r="C285" s="91" t="s">
        <v>326</v>
      </c>
      <c r="D285" s="109" t="s">
        <v>353</v>
      </c>
      <c r="E285" s="67" t="str">
        <f>COLORES!A14</f>
        <v>Denim</v>
      </c>
      <c r="F285" s="67" t="str">
        <f>COLORES!B14</f>
        <v>CLARO</v>
      </c>
      <c r="G285" s="90" t="s">
        <v>376</v>
      </c>
      <c r="H285" s="100">
        <f>IFERROR(SUMIFS(MOVIMIENTOS_COMPLEMENTOS!$I$4:$I$803,MOVIMIENTOS_COMPLEMENTOS!$C$4:$C$803,A285,MOVIMIENTOS_COMPLEMENTOS!$D$4:$D$803,B285,MOVIMIENTOS_COMPLEMENTOS!$E$4:$E$803,C285,MOVIMIENTOS_COMPLEMENTOS!$G$4:$G$803,E285,MOVIMIENTOS_COMPLEMENTOS!$H$4:$H$803,G285,MOVIMIENTOS_COMPLEMENTOS!$B$4:$B$803,"INGRESO")+SUMIFS(MOVIMIENTOS_COMPLEMENTOS!$I$4:$I$803,MOVIMIENTOS_COMPLEMENTOS!$C$4:$C$803,A285,MOVIMIENTOS_COMPLEMENTOS!$D$4:$D$803,B285,MOVIMIENTOS_COMPLEMENTOS!$E$4:$E$803,C285,MOVIMIENTOS_COMPLEMENTOS!$G$4:$G$803,E285,MOVIMIENTOS_COMPLEMENTOS!$H$4:$H$803,G285,MOVIMIENTOS_COMPLEMENTOS!$B$4:$B$803,"DE CORTE")-SUMIFS(MOVIMIENTOS_COMPLEMENTOS!$I$4:$I$803,MOVIMIENTOS_COMPLEMENTOS!$C$4:$C$803,A285,MOVIMIENTOS_COMPLEMENTOS!$D$4:$D$803,B285,MOVIMIENTOS_COMPLEMENTOS!$E$4:$E$803,C285,MOVIMIENTOS_COMPLEMENTOS!$G$4:$G$803,E285,MOVIMIENTOS_COMPLEMENTOS!$H$4:$H$803,G285,MOVIMIENTOS_COMPLEMENTOS!$B$4:$B$803,"SALIDA"),0)</f>
        <v>0</v>
      </c>
      <c r="I285" s="102">
        <f t="array" ref="I285">IFERROR(INDEX(PRECIOS_COMPLEMENTOS!$C$4:$F$17,MATCH(B285&amp;"_"&amp;C285,PRECIOS_COMPLEMENTOS!$H$4:$H$17,0),IF(OR(G285="S",G285="20cm"),1,IF(OR(G285="M",G285="25cm"),2,IF(OR(G285="L",G285="30cm"),3,IF(OR(G285="XL",G285="35cm"),4,0))))),0)</f>
        <v>0.45</v>
      </c>
      <c r="J285" s="103">
        <f t="shared" si="1"/>
        <v>0</v>
      </c>
      <c r="K285" s="104" t="str">
        <f>IF(H285&lt;0,"ERROR",IF(H285=0,"",IF(H285&lt;CONFIG!$B$4,"CRÍTICO",IF(H285&lt;CONFIG!$B$5,"BAJO","OK"))))</f>
        <v/>
      </c>
    </row>
    <row r="286" ht="15.75" hidden="1" customHeight="1">
      <c r="A286" s="90" t="str">
        <f>IF(CLIENTES!A4="","",CLIENTES!A4)</f>
        <v>OverShark</v>
      </c>
      <c r="B286" s="90" t="s">
        <v>321</v>
      </c>
      <c r="C286" s="91" t="s">
        <v>326</v>
      </c>
      <c r="D286" s="109" t="s">
        <v>353</v>
      </c>
      <c r="E286" s="67" t="str">
        <f>COLORES!A14</f>
        <v>Denim</v>
      </c>
      <c r="F286" s="67" t="str">
        <f>COLORES!B14</f>
        <v>CLARO</v>
      </c>
      <c r="G286" s="90" t="s">
        <v>377</v>
      </c>
      <c r="H286" s="100">
        <f>IFERROR(SUMIFS(MOVIMIENTOS_COMPLEMENTOS!$I$4:$I$803,MOVIMIENTOS_COMPLEMENTOS!$C$4:$C$803,A286,MOVIMIENTOS_COMPLEMENTOS!$D$4:$D$803,B286,MOVIMIENTOS_COMPLEMENTOS!$E$4:$E$803,C286,MOVIMIENTOS_COMPLEMENTOS!$G$4:$G$803,E286,MOVIMIENTOS_COMPLEMENTOS!$H$4:$H$803,G286,MOVIMIENTOS_COMPLEMENTOS!$B$4:$B$803,"INGRESO")+SUMIFS(MOVIMIENTOS_COMPLEMENTOS!$I$4:$I$803,MOVIMIENTOS_COMPLEMENTOS!$C$4:$C$803,A286,MOVIMIENTOS_COMPLEMENTOS!$D$4:$D$803,B286,MOVIMIENTOS_COMPLEMENTOS!$E$4:$E$803,C286,MOVIMIENTOS_COMPLEMENTOS!$G$4:$G$803,E286,MOVIMIENTOS_COMPLEMENTOS!$H$4:$H$803,G286,MOVIMIENTOS_COMPLEMENTOS!$B$4:$B$803,"DE CORTE")-SUMIFS(MOVIMIENTOS_COMPLEMENTOS!$I$4:$I$803,MOVIMIENTOS_COMPLEMENTOS!$C$4:$C$803,A286,MOVIMIENTOS_COMPLEMENTOS!$D$4:$D$803,B286,MOVIMIENTOS_COMPLEMENTOS!$E$4:$E$803,C286,MOVIMIENTOS_COMPLEMENTOS!$G$4:$G$803,E286,MOVIMIENTOS_COMPLEMENTOS!$H$4:$H$803,G286,MOVIMIENTOS_COMPLEMENTOS!$B$4:$B$803,"SALIDA"),0)</f>
        <v>0</v>
      </c>
      <c r="I286" s="102">
        <f t="array" ref="I286">IFERROR(INDEX(PRECIOS_COMPLEMENTOS!$C$4:$F$17,MATCH(B286&amp;"_"&amp;C286,PRECIOS_COMPLEMENTOS!$H$4:$H$17,0),IF(OR(G286="S",G286="20cm"),1,IF(OR(G286="M",G286="25cm"),2,IF(OR(G286="L",G286="30cm"),3,IF(OR(G286="XL",G286="35cm"),4,0))))),0)</f>
        <v>0.5</v>
      </c>
      <c r="J286" s="103">
        <f t="shared" si="1"/>
        <v>0</v>
      </c>
      <c r="K286" s="104" t="str">
        <f>IF(H286&lt;0,"ERROR",IF(H286=0,"",IF(H286&lt;CONFIG!$B$4,"CRÍTICO",IF(H286&lt;CONFIG!$B$5,"BAJO","OK"))))</f>
        <v/>
      </c>
    </row>
    <row r="287" ht="15.75" hidden="1" customHeight="1">
      <c r="A287" s="90" t="str">
        <f>IF(CLIENTES!A4="","",CLIENTES!A4)</f>
        <v>OverShark</v>
      </c>
      <c r="B287" s="90" t="s">
        <v>321</v>
      </c>
      <c r="C287" s="91" t="s">
        <v>326</v>
      </c>
      <c r="D287" s="109" t="s">
        <v>353</v>
      </c>
      <c r="E287" s="67" t="str">
        <f>COLORES!A14</f>
        <v>Denim</v>
      </c>
      <c r="F287" s="67" t="str">
        <f>COLORES!B14</f>
        <v>CLARO</v>
      </c>
      <c r="G287" s="90" t="s">
        <v>379</v>
      </c>
      <c r="H287" s="100">
        <f>IFERROR(SUMIFS(MOVIMIENTOS_COMPLEMENTOS!$I$4:$I$803,MOVIMIENTOS_COMPLEMENTOS!$C$4:$C$803,A287,MOVIMIENTOS_COMPLEMENTOS!$D$4:$D$803,B287,MOVIMIENTOS_COMPLEMENTOS!$E$4:$E$803,C287,MOVIMIENTOS_COMPLEMENTOS!$G$4:$G$803,E287,MOVIMIENTOS_COMPLEMENTOS!$H$4:$H$803,G287,MOVIMIENTOS_COMPLEMENTOS!$B$4:$B$803,"INGRESO")+SUMIFS(MOVIMIENTOS_COMPLEMENTOS!$I$4:$I$803,MOVIMIENTOS_COMPLEMENTOS!$C$4:$C$803,A287,MOVIMIENTOS_COMPLEMENTOS!$D$4:$D$803,B287,MOVIMIENTOS_COMPLEMENTOS!$E$4:$E$803,C287,MOVIMIENTOS_COMPLEMENTOS!$G$4:$G$803,E287,MOVIMIENTOS_COMPLEMENTOS!$H$4:$H$803,G287,MOVIMIENTOS_COMPLEMENTOS!$B$4:$B$803,"DE CORTE")-SUMIFS(MOVIMIENTOS_COMPLEMENTOS!$I$4:$I$803,MOVIMIENTOS_COMPLEMENTOS!$C$4:$C$803,A287,MOVIMIENTOS_COMPLEMENTOS!$D$4:$D$803,B287,MOVIMIENTOS_COMPLEMENTOS!$E$4:$E$803,C287,MOVIMIENTOS_COMPLEMENTOS!$G$4:$G$803,E287,MOVIMIENTOS_COMPLEMENTOS!$H$4:$H$803,G287,MOVIMIENTOS_COMPLEMENTOS!$B$4:$B$803,"SALIDA"),0)</f>
        <v>0</v>
      </c>
      <c r="I287" s="102">
        <f t="array" ref="I287">IFERROR(INDEX(PRECIOS_COMPLEMENTOS!$C$4:$F$17,MATCH(B287&amp;"_"&amp;C287,PRECIOS_COMPLEMENTOS!$H$4:$H$17,0),IF(OR(G287="S",G287="20cm"),1,IF(OR(G287="M",G287="25cm"),2,IF(OR(G287="L",G287="30cm"),3,IF(OR(G287="XL",G287="35cm"),4,0))))),0)</f>
        <v>0.55</v>
      </c>
      <c r="J287" s="103">
        <f t="shared" si="1"/>
        <v>0</v>
      </c>
      <c r="K287" s="104" t="str">
        <f>IF(H287&lt;0,"ERROR",IF(H287=0,"",IF(H287&lt;CONFIG!$B$4,"CRÍTICO",IF(H287&lt;CONFIG!$B$5,"BAJO","OK"))))</f>
        <v/>
      </c>
    </row>
    <row r="288" ht="15.75" hidden="1" customHeight="1">
      <c r="A288" s="90" t="str">
        <f>IF(CLIENTES!A4="","",CLIENTES!A4)</f>
        <v>OverShark</v>
      </c>
      <c r="B288" s="90" t="s">
        <v>321</v>
      </c>
      <c r="C288" s="91" t="s">
        <v>326</v>
      </c>
      <c r="D288" s="109" t="s">
        <v>353</v>
      </c>
      <c r="E288" s="67" t="str">
        <f>COLORES!A15</f>
        <v>Plomo</v>
      </c>
      <c r="F288" s="67" t="str">
        <f>COLORES!B15</f>
        <v>OSCURO</v>
      </c>
      <c r="G288" s="90" t="s">
        <v>378</v>
      </c>
      <c r="H288" s="100">
        <f>IFERROR(SUMIFS(MOVIMIENTOS_COMPLEMENTOS!$I$4:$I$803,MOVIMIENTOS_COMPLEMENTOS!$C$4:$C$803,A288,MOVIMIENTOS_COMPLEMENTOS!$D$4:$D$803,B288,MOVIMIENTOS_COMPLEMENTOS!$E$4:$E$803,C288,MOVIMIENTOS_COMPLEMENTOS!$G$4:$G$803,E288,MOVIMIENTOS_COMPLEMENTOS!$H$4:$H$803,G288,MOVIMIENTOS_COMPLEMENTOS!$B$4:$B$803,"INGRESO")+SUMIFS(MOVIMIENTOS_COMPLEMENTOS!$I$4:$I$803,MOVIMIENTOS_COMPLEMENTOS!$C$4:$C$803,A288,MOVIMIENTOS_COMPLEMENTOS!$D$4:$D$803,B288,MOVIMIENTOS_COMPLEMENTOS!$E$4:$E$803,C288,MOVIMIENTOS_COMPLEMENTOS!$G$4:$G$803,E288,MOVIMIENTOS_COMPLEMENTOS!$H$4:$H$803,G288,MOVIMIENTOS_COMPLEMENTOS!$B$4:$B$803,"DE CORTE")-SUMIFS(MOVIMIENTOS_COMPLEMENTOS!$I$4:$I$803,MOVIMIENTOS_COMPLEMENTOS!$C$4:$C$803,A288,MOVIMIENTOS_COMPLEMENTOS!$D$4:$D$803,B288,MOVIMIENTOS_COMPLEMENTOS!$E$4:$E$803,C288,MOVIMIENTOS_COMPLEMENTOS!$G$4:$G$803,E288,MOVIMIENTOS_COMPLEMENTOS!$H$4:$H$803,G288,MOVIMIENTOS_COMPLEMENTOS!$B$4:$B$803,"SALIDA"),0)</f>
        <v>0</v>
      </c>
      <c r="I288" s="102">
        <f t="array" ref="I288">IFERROR(INDEX(PRECIOS_COMPLEMENTOS!$C$4:$F$17,MATCH(B288&amp;"_"&amp;C288,PRECIOS_COMPLEMENTOS!$H$4:$H$17,0),IF(OR(G288="S",G288="20cm"),1,IF(OR(G288="M",G288="25cm"),2,IF(OR(G288="L",G288="30cm"),3,IF(OR(G288="XL",G288="35cm"),4,0))))),0)</f>
        <v>0.4</v>
      </c>
      <c r="J288" s="103">
        <f t="shared" si="1"/>
        <v>0</v>
      </c>
      <c r="K288" s="104" t="str">
        <f>IF(H288&lt;0,"ERROR",IF(H288=0,"",IF(H288&lt;CONFIG!$B$4,"CRÍTICO",IF(H288&lt;CONFIG!$B$5,"BAJO","OK"))))</f>
        <v/>
      </c>
    </row>
    <row r="289" ht="15.75" hidden="1" customHeight="1">
      <c r="A289" s="90" t="str">
        <f>IF(CLIENTES!A4="","",CLIENTES!A4)</f>
        <v>OverShark</v>
      </c>
      <c r="B289" s="90" t="s">
        <v>321</v>
      </c>
      <c r="C289" s="91" t="s">
        <v>326</v>
      </c>
      <c r="D289" s="109" t="s">
        <v>353</v>
      </c>
      <c r="E289" s="67" t="str">
        <f>COLORES!A15</f>
        <v>Plomo</v>
      </c>
      <c r="F289" s="67" t="str">
        <f>COLORES!B15</f>
        <v>OSCURO</v>
      </c>
      <c r="G289" s="90" t="s">
        <v>376</v>
      </c>
      <c r="H289" s="100">
        <f>IFERROR(SUMIFS(MOVIMIENTOS_COMPLEMENTOS!$I$4:$I$803,MOVIMIENTOS_COMPLEMENTOS!$C$4:$C$803,A289,MOVIMIENTOS_COMPLEMENTOS!$D$4:$D$803,B289,MOVIMIENTOS_COMPLEMENTOS!$E$4:$E$803,C289,MOVIMIENTOS_COMPLEMENTOS!$G$4:$G$803,E289,MOVIMIENTOS_COMPLEMENTOS!$H$4:$H$803,G289,MOVIMIENTOS_COMPLEMENTOS!$B$4:$B$803,"INGRESO")+SUMIFS(MOVIMIENTOS_COMPLEMENTOS!$I$4:$I$803,MOVIMIENTOS_COMPLEMENTOS!$C$4:$C$803,A289,MOVIMIENTOS_COMPLEMENTOS!$D$4:$D$803,B289,MOVIMIENTOS_COMPLEMENTOS!$E$4:$E$803,C289,MOVIMIENTOS_COMPLEMENTOS!$G$4:$G$803,E289,MOVIMIENTOS_COMPLEMENTOS!$H$4:$H$803,G289,MOVIMIENTOS_COMPLEMENTOS!$B$4:$B$803,"DE CORTE")-SUMIFS(MOVIMIENTOS_COMPLEMENTOS!$I$4:$I$803,MOVIMIENTOS_COMPLEMENTOS!$C$4:$C$803,A289,MOVIMIENTOS_COMPLEMENTOS!$D$4:$D$803,B289,MOVIMIENTOS_COMPLEMENTOS!$E$4:$E$803,C289,MOVIMIENTOS_COMPLEMENTOS!$G$4:$G$803,E289,MOVIMIENTOS_COMPLEMENTOS!$H$4:$H$803,G289,MOVIMIENTOS_COMPLEMENTOS!$B$4:$B$803,"SALIDA"),0)</f>
        <v>0</v>
      </c>
      <c r="I289" s="102">
        <f t="array" ref="I289">IFERROR(INDEX(PRECIOS_COMPLEMENTOS!$C$4:$F$17,MATCH(B289&amp;"_"&amp;C289,PRECIOS_COMPLEMENTOS!$H$4:$H$17,0),IF(OR(G289="S",G289="20cm"),1,IF(OR(G289="M",G289="25cm"),2,IF(OR(G289="L",G289="30cm"),3,IF(OR(G289="XL",G289="35cm"),4,0))))),0)</f>
        <v>0.45</v>
      </c>
      <c r="J289" s="103">
        <f t="shared" si="1"/>
        <v>0</v>
      </c>
      <c r="K289" s="104" t="str">
        <f>IF(H289&lt;0,"ERROR",IF(H289=0,"",IF(H289&lt;CONFIG!$B$4,"CRÍTICO",IF(H289&lt;CONFIG!$B$5,"BAJO","OK"))))</f>
        <v/>
      </c>
    </row>
    <row r="290" ht="15.75" hidden="1" customHeight="1">
      <c r="A290" s="90" t="str">
        <f>IF(CLIENTES!A4="","",CLIENTES!A4)</f>
        <v>OverShark</v>
      </c>
      <c r="B290" s="90" t="s">
        <v>321</v>
      </c>
      <c r="C290" s="91" t="s">
        <v>326</v>
      </c>
      <c r="D290" s="109" t="s">
        <v>353</v>
      </c>
      <c r="E290" s="67" t="str">
        <f>COLORES!A15</f>
        <v>Plomo</v>
      </c>
      <c r="F290" s="67" t="str">
        <f>COLORES!B15</f>
        <v>OSCURO</v>
      </c>
      <c r="G290" s="90" t="s">
        <v>377</v>
      </c>
      <c r="H290" s="100">
        <f>IFERROR(SUMIFS(MOVIMIENTOS_COMPLEMENTOS!$I$4:$I$803,MOVIMIENTOS_COMPLEMENTOS!$C$4:$C$803,A290,MOVIMIENTOS_COMPLEMENTOS!$D$4:$D$803,B290,MOVIMIENTOS_COMPLEMENTOS!$E$4:$E$803,C290,MOVIMIENTOS_COMPLEMENTOS!$G$4:$G$803,E290,MOVIMIENTOS_COMPLEMENTOS!$H$4:$H$803,G290,MOVIMIENTOS_COMPLEMENTOS!$B$4:$B$803,"INGRESO")+SUMIFS(MOVIMIENTOS_COMPLEMENTOS!$I$4:$I$803,MOVIMIENTOS_COMPLEMENTOS!$C$4:$C$803,A290,MOVIMIENTOS_COMPLEMENTOS!$D$4:$D$803,B290,MOVIMIENTOS_COMPLEMENTOS!$E$4:$E$803,C290,MOVIMIENTOS_COMPLEMENTOS!$G$4:$G$803,E290,MOVIMIENTOS_COMPLEMENTOS!$H$4:$H$803,G290,MOVIMIENTOS_COMPLEMENTOS!$B$4:$B$803,"DE CORTE")-SUMIFS(MOVIMIENTOS_COMPLEMENTOS!$I$4:$I$803,MOVIMIENTOS_COMPLEMENTOS!$C$4:$C$803,A290,MOVIMIENTOS_COMPLEMENTOS!$D$4:$D$803,B290,MOVIMIENTOS_COMPLEMENTOS!$E$4:$E$803,C290,MOVIMIENTOS_COMPLEMENTOS!$G$4:$G$803,E290,MOVIMIENTOS_COMPLEMENTOS!$H$4:$H$803,G290,MOVIMIENTOS_COMPLEMENTOS!$B$4:$B$803,"SALIDA"),0)</f>
        <v>0</v>
      </c>
      <c r="I290" s="102">
        <f t="array" ref="I290">IFERROR(INDEX(PRECIOS_COMPLEMENTOS!$C$4:$F$17,MATCH(B290&amp;"_"&amp;C290,PRECIOS_COMPLEMENTOS!$H$4:$H$17,0),IF(OR(G290="S",G290="20cm"),1,IF(OR(G290="M",G290="25cm"),2,IF(OR(G290="L",G290="30cm"),3,IF(OR(G290="XL",G290="35cm"),4,0))))),0)</f>
        <v>0.5</v>
      </c>
      <c r="J290" s="103">
        <f t="shared" si="1"/>
        <v>0</v>
      </c>
      <c r="K290" s="104" t="str">
        <f>IF(H290&lt;0,"ERROR",IF(H290=0,"",IF(H290&lt;CONFIG!$B$4,"CRÍTICO",IF(H290&lt;CONFIG!$B$5,"BAJO","OK"))))</f>
        <v/>
      </c>
    </row>
    <row r="291" ht="15.75" hidden="1" customHeight="1">
      <c r="A291" s="90" t="str">
        <f>IF(CLIENTES!A4="","",CLIENTES!A4)</f>
        <v>OverShark</v>
      </c>
      <c r="B291" s="90" t="s">
        <v>321</v>
      </c>
      <c r="C291" s="91" t="s">
        <v>326</v>
      </c>
      <c r="D291" s="109" t="s">
        <v>353</v>
      </c>
      <c r="E291" s="67" t="str">
        <f>COLORES!A15</f>
        <v>Plomo</v>
      </c>
      <c r="F291" s="67" t="str">
        <f>COLORES!B15</f>
        <v>OSCURO</v>
      </c>
      <c r="G291" s="90" t="s">
        <v>379</v>
      </c>
      <c r="H291" s="100">
        <f>IFERROR(SUMIFS(MOVIMIENTOS_COMPLEMENTOS!$I$4:$I$803,MOVIMIENTOS_COMPLEMENTOS!$C$4:$C$803,A291,MOVIMIENTOS_COMPLEMENTOS!$D$4:$D$803,B291,MOVIMIENTOS_COMPLEMENTOS!$E$4:$E$803,C291,MOVIMIENTOS_COMPLEMENTOS!$G$4:$G$803,E291,MOVIMIENTOS_COMPLEMENTOS!$H$4:$H$803,G291,MOVIMIENTOS_COMPLEMENTOS!$B$4:$B$803,"INGRESO")+SUMIFS(MOVIMIENTOS_COMPLEMENTOS!$I$4:$I$803,MOVIMIENTOS_COMPLEMENTOS!$C$4:$C$803,A291,MOVIMIENTOS_COMPLEMENTOS!$D$4:$D$803,B291,MOVIMIENTOS_COMPLEMENTOS!$E$4:$E$803,C291,MOVIMIENTOS_COMPLEMENTOS!$G$4:$G$803,E291,MOVIMIENTOS_COMPLEMENTOS!$H$4:$H$803,G291,MOVIMIENTOS_COMPLEMENTOS!$B$4:$B$803,"DE CORTE")-SUMIFS(MOVIMIENTOS_COMPLEMENTOS!$I$4:$I$803,MOVIMIENTOS_COMPLEMENTOS!$C$4:$C$803,A291,MOVIMIENTOS_COMPLEMENTOS!$D$4:$D$803,B291,MOVIMIENTOS_COMPLEMENTOS!$E$4:$E$803,C291,MOVIMIENTOS_COMPLEMENTOS!$G$4:$G$803,E291,MOVIMIENTOS_COMPLEMENTOS!$H$4:$H$803,G291,MOVIMIENTOS_COMPLEMENTOS!$B$4:$B$803,"SALIDA"),0)</f>
        <v>0</v>
      </c>
      <c r="I291" s="102">
        <f t="array" ref="I291">IFERROR(INDEX(PRECIOS_COMPLEMENTOS!$C$4:$F$17,MATCH(B291&amp;"_"&amp;C291,PRECIOS_COMPLEMENTOS!$H$4:$H$17,0),IF(OR(G291="S",G291="20cm"),1,IF(OR(G291="M",G291="25cm"),2,IF(OR(G291="L",G291="30cm"),3,IF(OR(G291="XL",G291="35cm"),4,0))))),0)</f>
        <v>0.55</v>
      </c>
      <c r="J291" s="103">
        <f t="shared" si="1"/>
        <v>0</v>
      </c>
      <c r="K291" s="104" t="str">
        <f>IF(H291&lt;0,"ERROR",IF(H291=0,"",IF(H291&lt;CONFIG!$B$4,"CRÍTICO",IF(H291&lt;CONFIG!$B$5,"BAJO","OK"))))</f>
        <v/>
      </c>
    </row>
    <row r="292" ht="15.75" hidden="1" customHeight="1">
      <c r="A292" s="90" t="str">
        <f>IF(CLIENTES!A4="","",CLIENTES!A4)</f>
        <v>OverShark</v>
      </c>
      <c r="B292" s="90" t="s">
        <v>321</v>
      </c>
      <c r="C292" s="91" t="s">
        <v>326</v>
      </c>
      <c r="D292" s="109" t="s">
        <v>353</v>
      </c>
      <c r="E292" s="67" t="str">
        <f>COLORES!A16</f>
        <v>Topo</v>
      </c>
      <c r="F292" s="67" t="str">
        <f>COLORES!B16</f>
        <v>CLARO</v>
      </c>
      <c r="G292" s="90" t="s">
        <v>378</v>
      </c>
      <c r="H292" s="100">
        <f>IFERROR(SUMIFS(MOVIMIENTOS_COMPLEMENTOS!$I$4:$I$803,MOVIMIENTOS_COMPLEMENTOS!$C$4:$C$803,A292,MOVIMIENTOS_COMPLEMENTOS!$D$4:$D$803,B292,MOVIMIENTOS_COMPLEMENTOS!$E$4:$E$803,C292,MOVIMIENTOS_COMPLEMENTOS!$G$4:$G$803,E292,MOVIMIENTOS_COMPLEMENTOS!$H$4:$H$803,G292,MOVIMIENTOS_COMPLEMENTOS!$B$4:$B$803,"INGRESO")+SUMIFS(MOVIMIENTOS_COMPLEMENTOS!$I$4:$I$803,MOVIMIENTOS_COMPLEMENTOS!$C$4:$C$803,A292,MOVIMIENTOS_COMPLEMENTOS!$D$4:$D$803,B292,MOVIMIENTOS_COMPLEMENTOS!$E$4:$E$803,C292,MOVIMIENTOS_COMPLEMENTOS!$G$4:$G$803,E292,MOVIMIENTOS_COMPLEMENTOS!$H$4:$H$803,G292,MOVIMIENTOS_COMPLEMENTOS!$B$4:$B$803,"DE CORTE")-SUMIFS(MOVIMIENTOS_COMPLEMENTOS!$I$4:$I$803,MOVIMIENTOS_COMPLEMENTOS!$C$4:$C$803,A292,MOVIMIENTOS_COMPLEMENTOS!$D$4:$D$803,B292,MOVIMIENTOS_COMPLEMENTOS!$E$4:$E$803,C292,MOVIMIENTOS_COMPLEMENTOS!$G$4:$G$803,E292,MOVIMIENTOS_COMPLEMENTOS!$H$4:$H$803,G292,MOVIMIENTOS_COMPLEMENTOS!$B$4:$B$803,"SALIDA"),0)</f>
        <v>0</v>
      </c>
      <c r="I292" s="102">
        <f t="array" ref="I292">IFERROR(INDEX(PRECIOS_COMPLEMENTOS!$C$4:$F$17,MATCH(B292&amp;"_"&amp;C292,PRECIOS_COMPLEMENTOS!$H$4:$H$17,0),IF(OR(G292="S",G292="20cm"),1,IF(OR(G292="M",G292="25cm"),2,IF(OR(G292="L",G292="30cm"),3,IF(OR(G292="XL",G292="35cm"),4,0))))),0)</f>
        <v>0.4</v>
      </c>
      <c r="J292" s="103">
        <f t="shared" si="1"/>
        <v>0</v>
      </c>
      <c r="K292" s="104" t="str">
        <f>IF(H292&lt;0,"ERROR",IF(H292=0,"",IF(H292&lt;CONFIG!$B$4,"CRÍTICO",IF(H292&lt;CONFIG!$B$5,"BAJO","OK"))))</f>
        <v/>
      </c>
    </row>
    <row r="293" ht="15.75" hidden="1" customHeight="1">
      <c r="A293" s="90" t="str">
        <f>IF(CLIENTES!A4="","",CLIENTES!A4)</f>
        <v>OverShark</v>
      </c>
      <c r="B293" s="90" t="s">
        <v>321</v>
      </c>
      <c r="C293" s="91" t="s">
        <v>326</v>
      </c>
      <c r="D293" s="109" t="s">
        <v>353</v>
      </c>
      <c r="E293" s="67" t="str">
        <f>COLORES!A16</f>
        <v>Topo</v>
      </c>
      <c r="F293" s="67" t="str">
        <f>COLORES!B16</f>
        <v>CLARO</v>
      </c>
      <c r="G293" s="90" t="s">
        <v>376</v>
      </c>
      <c r="H293" s="100">
        <f>IFERROR(SUMIFS(MOVIMIENTOS_COMPLEMENTOS!$I$4:$I$803,MOVIMIENTOS_COMPLEMENTOS!$C$4:$C$803,A293,MOVIMIENTOS_COMPLEMENTOS!$D$4:$D$803,B293,MOVIMIENTOS_COMPLEMENTOS!$E$4:$E$803,C293,MOVIMIENTOS_COMPLEMENTOS!$G$4:$G$803,E293,MOVIMIENTOS_COMPLEMENTOS!$H$4:$H$803,G293,MOVIMIENTOS_COMPLEMENTOS!$B$4:$B$803,"INGRESO")+SUMIFS(MOVIMIENTOS_COMPLEMENTOS!$I$4:$I$803,MOVIMIENTOS_COMPLEMENTOS!$C$4:$C$803,A293,MOVIMIENTOS_COMPLEMENTOS!$D$4:$D$803,B293,MOVIMIENTOS_COMPLEMENTOS!$E$4:$E$803,C293,MOVIMIENTOS_COMPLEMENTOS!$G$4:$G$803,E293,MOVIMIENTOS_COMPLEMENTOS!$H$4:$H$803,G293,MOVIMIENTOS_COMPLEMENTOS!$B$4:$B$803,"DE CORTE")-SUMIFS(MOVIMIENTOS_COMPLEMENTOS!$I$4:$I$803,MOVIMIENTOS_COMPLEMENTOS!$C$4:$C$803,A293,MOVIMIENTOS_COMPLEMENTOS!$D$4:$D$803,B293,MOVIMIENTOS_COMPLEMENTOS!$E$4:$E$803,C293,MOVIMIENTOS_COMPLEMENTOS!$G$4:$G$803,E293,MOVIMIENTOS_COMPLEMENTOS!$H$4:$H$803,G293,MOVIMIENTOS_COMPLEMENTOS!$B$4:$B$803,"SALIDA"),0)</f>
        <v>0</v>
      </c>
      <c r="I293" s="102">
        <f t="array" ref="I293">IFERROR(INDEX(PRECIOS_COMPLEMENTOS!$C$4:$F$17,MATCH(B293&amp;"_"&amp;C293,PRECIOS_COMPLEMENTOS!$H$4:$H$17,0),IF(OR(G293="S",G293="20cm"),1,IF(OR(G293="M",G293="25cm"),2,IF(OR(G293="L",G293="30cm"),3,IF(OR(G293="XL",G293="35cm"),4,0))))),0)</f>
        <v>0.45</v>
      </c>
      <c r="J293" s="103">
        <f t="shared" si="1"/>
        <v>0</v>
      </c>
      <c r="K293" s="104" t="str">
        <f>IF(H293&lt;0,"ERROR",IF(H293=0,"",IF(H293&lt;CONFIG!$B$4,"CRÍTICO",IF(H293&lt;CONFIG!$B$5,"BAJO","OK"))))</f>
        <v/>
      </c>
    </row>
    <row r="294" ht="15.75" hidden="1" customHeight="1">
      <c r="A294" s="90" t="str">
        <f>IF(CLIENTES!A4="","",CLIENTES!A4)</f>
        <v>OverShark</v>
      </c>
      <c r="B294" s="90" t="s">
        <v>321</v>
      </c>
      <c r="C294" s="91" t="s">
        <v>326</v>
      </c>
      <c r="D294" s="109" t="s">
        <v>353</v>
      </c>
      <c r="E294" s="67" t="str">
        <f>COLORES!A16</f>
        <v>Topo</v>
      </c>
      <c r="F294" s="67" t="str">
        <f>COLORES!B16</f>
        <v>CLARO</v>
      </c>
      <c r="G294" s="90" t="s">
        <v>377</v>
      </c>
      <c r="H294" s="100">
        <f>IFERROR(SUMIFS(MOVIMIENTOS_COMPLEMENTOS!$I$4:$I$803,MOVIMIENTOS_COMPLEMENTOS!$C$4:$C$803,A294,MOVIMIENTOS_COMPLEMENTOS!$D$4:$D$803,B294,MOVIMIENTOS_COMPLEMENTOS!$E$4:$E$803,C294,MOVIMIENTOS_COMPLEMENTOS!$G$4:$G$803,E294,MOVIMIENTOS_COMPLEMENTOS!$H$4:$H$803,G294,MOVIMIENTOS_COMPLEMENTOS!$B$4:$B$803,"INGRESO")+SUMIFS(MOVIMIENTOS_COMPLEMENTOS!$I$4:$I$803,MOVIMIENTOS_COMPLEMENTOS!$C$4:$C$803,A294,MOVIMIENTOS_COMPLEMENTOS!$D$4:$D$803,B294,MOVIMIENTOS_COMPLEMENTOS!$E$4:$E$803,C294,MOVIMIENTOS_COMPLEMENTOS!$G$4:$G$803,E294,MOVIMIENTOS_COMPLEMENTOS!$H$4:$H$803,G294,MOVIMIENTOS_COMPLEMENTOS!$B$4:$B$803,"DE CORTE")-SUMIFS(MOVIMIENTOS_COMPLEMENTOS!$I$4:$I$803,MOVIMIENTOS_COMPLEMENTOS!$C$4:$C$803,A294,MOVIMIENTOS_COMPLEMENTOS!$D$4:$D$803,B294,MOVIMIENTOS_COMPLEMENTOS!$E$4:$E$803,C294,MOVIMIENTOS_COMPLEMENTOS!$G$4:$G$803,E294,MOVIMIENTOS_COMPLEMENTOS!$H$4:$H$803,G294,MOVIMIENTOS_COMPLEMENTOS!$B$4:$B$803,"SALIDA"),0)</f>
        <v>0</v>
      </c>
      <c r="I294" s="102">
        <f t="array" ref="I294">IFERROR(INDEX(PRECIOS_COMPLEMENTOS!$C$4:$F$17,MATCH(B294&amp;"_"&amp;C294,PRECIOS_COMPLEMENTOS!$H$4:$H$17,0),IF(OR(G294="S",G294="20cm"),1,IF(OR(G294="M",G294="25cm"),2,IF(OR(G294="L",G294="30cm"),3,IF(OR(G294="XL",G294="35cm"),4,0))))),0)</f>
        <v>0.5</v>
      </c>
      <c r="J294" s="103">
        <f t="shared" si="1"/>
        <v>0</v>
      </c>
      <c r="K294" s="104" t="str">
        <f>IF(H294&lt;0,"ERROR",IF(H294=0,"",IF(H294&lt;CONFIG!$B$4,"CRÍTICO",IF(H294&lt;CONFIG!$B$5,"BAJO","OK"))))</f>
        <v/>
      </c>
    </row>
    <row r="295" ht="15.75" hidden="1" customHeight="1">
      <c r="A295" s="90" t="str">
        <f>IF(CLIENTES!A4="","",CLIENTES!A4)</f>
        <v>OverShark</v>
      </c>
      <c r="B295" s="90" t="s">
        <v>321</v>
      </c>
      <c r="C295" s="91" t="s">
        <v>326</v>
      </c>
      <c r="D295" s="109" t="s">
        <v>353</v>
      </c>
      <c r="E295" s="67" t="str">
        <f>COLORES!A16</f>
        <v>Topo</v>
      </c>
      <c r="F295" s="67" t="str">
        <f>COLORES!B16</f>
        <v>CLARO</v>
      </c>
      <c r="G295" s="90" t="s">
        <v>379</v>
      </c>
      <c r="H295" s="100">
        <f>IFERROR(SUMIFS(MOVIMIENTOS_COMPLEMENTOS!$I$4:$I$803,MOVIMIENTOS_COMPLEMENTOS!$C$4:$C$803,A295,MOVIMIENTOS_COMPLEMENTOS!$D$4:$D$803,B295,MOVIMIENTOS_COMPLEMENTOS!$E$4:$E$803,C295,MOVIMIENTOS_COMPLEMENTOS!$G$4:$G$803,E295,MOVIMIENTOS_COMPLEMENTOS!$H$4:$H$803,G295,MOVIMIENTOS_COMPLEMENTOS!$B$4:$B$803,"INGRESO")+SUMIFS(MOVIMIENTOS_COMPLEMENTOS!$I$4:$I$803,MOVIMIENTOS_COMPLEMENTOS!$C$4:$C$803,A295,MOVIMIENTOS_COMPLEMENTOS!$D$4:$D$803,B295,MOVIMIENTOS_COMPLEMENTOS!$E$4:$E$803,C295,MOVIMIENTOS_COMPLEMENTOS!$G$4:$G$803,E295,MOVIMIENTOS_COMPLEMENTOS!$H$4:$H$803,G295,MOVIMIENTOS_COMPLEMENTOS!$B$4:$B$803,"DE CORTE")-SUMIFS(MOVIMIENTOS_COMPLEMENTOS!$I$4:$I$803,MOVIMIENTOS_COMPLEMENTOS!$C$4:$C$803,A295,MOVIMIENTOS_COMPLEMENTOS!$D$4:$D$803,B295,MOVIMIENTOS_COMPLEMENTOS!$E$4:$E$803,C295,MOVIMIENTOS_COMPLEMENTOS!$G$4:$G$803,E295,MOVIMIENTOS_COMPLEMENTOS!$H$4:$H$803,G295,MOVIMIENTOS_COMPLEMENTOS!$B$4:$B$803,"SALIDA"),0)</f>
        <v>0</v>
      </c>
      <c r="I295" s="102">
        <f t="array" ref="I295">IFERROR(INDEX(PRECIOS_COMPLEMENTOS!$C$4:$F$17,MATCH(B295&amp;"_"&amp;C295,PRECIOS_COMPLEMENTOS!$H$4:$H$17,0),IF(OR(G295="S",G295="20cm"),1,IF(OR(G295="M",G295="25cm"),2,IF(OR(G295="L",G295="30cm"),3,IF(OR(G295="XL",G295="35cm"),4,0))))),0)</f>
        <v>0.55</v>
      </c>
      <c r="J295" s="103">
        <f t="shared" si="1"/>
        <v>0</v>
      </c>
      <c r="K295" s="104" t="str">
        <f>IF(H295&lt;0,"ERROR",IF(H295=0,"",IF(H295&lt;CONFIG!$B$4,"CRÍTICO",IF(H295&lt;CONFIG!$B$5,"BAJO","OK"))))</f>
        <v/>
      </c>
    </row>
    <row r="296" ht="15.75" hidden="1" customHeight="1">
      <c r="A296" s="90" t="str">
        <f>IF(CLIENTES!A4="","",CLIENTES!A4)</f>
        <v>OverShark</v>
      </c>
      <c r="B296" s="90" t="s">
        <v>321</v>
      </c>
      <c r="C296" s="91" t="s">
        <v>326</v>
      </c>
      <c r="D296" s="109" t="s">
        <v>353</v>
      </c>
      <c r="E296" s="67" t="str">
        <f>COLORES!A17</f>
        <v>Vino</v>
      </c>
      <c r="F296" s="67" t="str">
        <f>COLORES!B17</f>
        <v>OSCURO</v>
      </c>
      <c r="G296" s="90" t="s">
        <v>378</v>
      </c>
      <c r="H296" s="100">
        <f>IFERROR(SUMIFS(MOVIMIENTOS_COMPLEMENTOS!$I$4:$I$803,MOVIMIENTOS_COMPLEMENTOS!$C$4:$C$803,A296,MOVIMIENTOS_COMPLEMENTOS!$D$4:$D$803,B296,MOVIMIENTOS_COMPLEMENTOS!$E$4:$E$803,C296,MOVIMIENTOS_COMPLEMENTOS!$G$4:$G$803,E296,MOVIMIENTOS_COMPLEMENTOS!$H$4:$H$803,G296,MOVIMIENTOS_COMPLEMENTOS!$B$4:$B$803,"INGRESO")+SUMIFS(MOVIMIENTOS_COMPLEMENTOS!$I$4:$I$803,MOVIMIENTOS_COMPLEMENTOS!$C$4:$C$803,A296,MOVIMIENTOS_COMPLEMENTOS!$D$4:$D$803,B296,MOVIMIENTOS_COMPLEMENTOS!$E$4:$E$803,C296,MOVIMIENTOS_COMPLEMENTOS!$G$4:$G$803,E296,MOVIMIENTOS_COMPLEMENTOS!$H$4:$H$803,G296,MOVIMIENTOS_COMPLEMENTOS!$B$4:$B$803,"DE CORTE")-SUMIFS(MOVIMIENTOS_COMPLEMENTOS!$I$4:$I$803,MOVIMIENTOS_COMPLEMENTOS!$C$4:$C$803,A296,MOVIMIENTOS_COMPLEMENTOS!$D$4:$D$803,B296,MOVIMIENTOS_COMPLEMENTOS!$E$4:$E$803,C296,MOVIMIENTOS_COMPLEMENTOS!$G$4:$G$803,E296,MOVIMIENTOS_COMPLEMENTOS!$H$4:$H$803,G296,MOVIMIENTOS_COMPLEMENTOS!$B$4:$B$803,"SALIDA"),0)</f>
        <v>0</v>
      </c>
      <c r="I296" s="102">
        <f t="array" ref="I296">IFERROR(INDEX(PRECIOS_COMPLEMENTOS!$C$4:$F$17,MATCH(B296&amp;"_"&amp;C296,PRECIOS_COMPLEMENTOS!$H$4:$H$17,0),IF(OR(G296="S",G296="20cm"),1,IF(OR(G296="M",G296="25cm"),2,IF(OR(G296="L",G296="30cm"),3,IF(OR(G296="XL",G296="35cm"),4,0))))),0)</f>
        <v>0.4</v>
      </c>
      <c r="J296" s="103">
        <f t="shared" si="1"/>
        <v>0</v>
      </c>
      <c r="K296" s="104" t="str">
        <f>IF(H296&lt;0,"ERROR",IF(H296=0,"",IF(H296&lt;CONFIG!$B$4,"CRÍTICO",IF(H296&lt;CONFIG!$B$5,"BAJO","OK"))))</f>
        <v/>
      </c>
    </row>
    <row r="297" ht="15.75" hidden="1" customHeight="1">
      <c r="A297" s="90" t="str">
        <f>IF(CLIENTES!A4="","",CLIENTES!A4)</f>
        <v>OverShark</v>
      </c>
      <c r="B297" s="90" t="s">
        <v>321</v>
      </c>
      <c r="C297" s="91" t="s">
        <v>326</v>
      </c>
      <c r="D297" s="109" t="s">
        <v>353</v>
      </c>
      <c r="E297" s="67" t="str">
        <f>COLORES!A17</f>
        <v>Vino</v>
      </c>
      <c r="F297" s="67" t="str">
        <f>COLORES!B17</f>
        <v>OSCURO</v>
      </c>
      <c r="G297" s="90" t="s">
        <v>376</v>
      </c>
      <c r="H297" s="100">
        <f>IFERROR(SUMIFS(MOVIMIENTOS_COMPLEMENTOS!$I$4:$I$803,MOVIMIENTOS_COMPLEMENTOS!$C$4:$C$803,A297,MOVIMIENTOS_COMPLEMENTOS!$D$4:$D$803,B297,MOVIMIENTOS_COMPLEMENTOS!$E$4:$E$803,C297,MOVIMIENTOS_COMPLEMENTOS!$G$4:$G$803,E297,MOVIMIENTOS_COMPLEMENTOS!$H$4:$H$803,G297,MOVIMIENTOS_COMPLEMENTOS!$B$4:$B$803,"INGRESO")+SUMIFS(MOVIMIENTOS_COMPLEMENTOS!$I$4:$I$803,MOVIMIENTOS_COMPLEMENTOS!$C$4:$C$803,A297,MOVIMIENTOS_COMPLEMENTOS!$D$4:$D$803,B297,MOVIMIENTOS_COMPLEMENTOS!$E$4:$E$803,C297,MOVIMIENTOS_COMPLEMENTOS!$G$4:$G$803,E297,MOVIMIENTOS_COMPLEMENTOS!$H$4:$H$803,G297,MOVIMIENTOS_COMPLEMENTOS!$B$4:$B$803,"DE CORTE")-SUMIFS(MOVIMIENTOS_COMPLEMENTOS!$I$4:$I$803,MOVIMIENTOS_COMPLEMENTOS!$C$4:$C$803,A297,MOVIMIENTOS_COMPLEMENTOS!$D$4:$D$803,B297,MOVIMIENTOS_COMPLEMENTOS!$E$4:$E$803,C297,MOVIMIENTOS_COMPLEMENTOS!$G$4:$G$803,E297,MOVIMIENTOS_COMPLEMENTOS!$H$4:$H$803,G297,MOVIMIENTOS_COMPLEMENTOS!$B$4:$B$803,"SALIDA"),0)</f>
        <v>0</v>
      </c>
      <c r="I297" s="102">
        <f t="array" ref="I297">IFERROR(INDEX(PRECIOS_COMPLEMENTOS!$C$4:$F$17,MATCH(B297&amp;"_"&amp;C297,PRECIOS_COMPLEMENTOS!$H$4:$H$17,0),IF(OR(G297="S",G297="20cm"),1,IF(OR(G297="M",G297="25cm"),2,IF(OR(G297="L",G297="30cm"),3,IF(OR(G297="XL",G297="35cm"),4,0))))),0)</f>
        <v>0.45</v>
      </c>
      <c r="J297" s="103">
        <f t="shared" si="1"/>
        <v>0</v>
      </c>
      <c r="K297" s="104" t="str">
        <f>IF(H297&lt;0,"ERROR",IF(H297=0,"",IF(H297&lt;CONFIG!$B$4,"CRÍTICO",IF(H297&lt;CONFIG!$B$5,"BAJO","OK"))))</f>
        <v/>
      </c>
    </row>
    <row r="298" ht="15.75" hidden="1" customHeight="1">
      <c r="A298" s="90" t="str">
        <f>IF(CLIENTES!A4="","",CLIENTES!A4)</f>
        <v>OverShark</v>
      </c>
      <c r="B298" s="90" t="s">
        <v>321</v>
      </c>
      <c r="C298" s="91" t="s">
        <v>326</v>
      </c>
      <c r="D298" s="109" t="s">
        <v>353</v>
      </c>
      <c r="E298" s="67" t="str">
        <f>COLORES!A17</f>
        <v>Vino</v>
      </c>
      <c r="F298" s="67" t="str">
        <f>COLORES!B17</f>
        <v>OSCURO</v>
      </c>
      <c r="G298" s="90" t="s">
        <v>377</v>
      </c>
      <c r="H298" s="100">
        <f>IFERROR(SUMIFS(MOVIMIENTOS_COMPLEMENTOS!$I$4:$I$803,MOVIMIENTOS_COMPLEMENTOS!$C$4:$C$803,A298,MOVIMIENTOS_COMPLEMENTOS!$D$4:$D$803,B298,MOVIMIENTOS_COMPLEMENTOS!$E$4:$E$803,C298,MOVIMIENTOS_COMPLEMENTOS!$G$4:$G$803,E298,MOVIMIENTOS_COMPLEMENTOS!$H$4:$H$803,G298,MOVIMIENTOS_COMPLEMENTOS!$B$4:$B$803,"INGRESO")+SUMIFS(MOVIMIENTOS_COMPLEMENTOS!$I$4:$I$803,MOVIMIENTOS_COMPLEMENTOS!$C$4:$C$803,A298,MOVIMIENTOS_COMPLEMENTOS!$D$4:$D$803,B298,MOVIMIENTOS_COMPLEMENTOS!$E$4:$E$803,C298,MOVIMIENTOS_COMPLEMENTOS!$G$4:$G$803,E298,MOVIMIENTOS_COMPLEMENTOS!$H$4:$H$803,G298,MOVIMIENTOS_COMPLEMENTOS!$B$4:$B$803,"DE CORTE")-SUMIFS(MOVIMIENTOS_COMPLEMENTOS!$I$4:$I$803,MOVIMIENTOS_COMPLEMENTOS!$C$4:$C$803,A298,MOVIMIENTOS_COMPLEMENTOS!$D$4:$D$803,B298,MOVIMIENTOS_COMPLEMENTOS!$E$4:$E$803,C298,MOVIMIENTOS_COMPLEMENTOS!$G$4:$G$803,E298,MOVIMIENTOS_COMPLEMENTOS!$H$4:$H$803,G298,MOVIMIENTOS_COMPLEMENTOS!$B$4:$B$803,"SALIDA"),0)</f>
        <v>0</v>
      </c>
      <c r="I298" s="102">
        <f t="array" ref="I298">IFERROR(INDEX(PRECIOS_COMPLEMENTOS!$C$4:$F$17,MATCH(B298&amp;"_"&amp;C298,PRECIOS_COMPLEMENTOS!$H$4:$H$17,0),IF(OR(G298="S",G298="20cm"),1,IF(OR(G298="M",G298="25cm"),2,IF(OR(G298="L",G298="30cm"),3,IF(OR(G298="XL",G298="35cm"),4,0))))),0)</f>
        <v>0.5</v>
      </c>
      <c r="J298" s="103">
        <f t="shared" si="1"/>
        <v>0</v>
      </c>
      <c r="K298" s="104" t="str">
        <f>IF(H298&lt;0,"ERROR",IF(H298=0,"",IF(H298&lt;CONFIG!$B$4,"CRÍTICO",IF(H298&lt;CONFIG!$B$5,"BAJO","OK"))))</f>
        <v/>
      </c>
    </row>
    <row r="299" ht="15.75" hidden="1" customHeight="1">
      <c r="A299" s="90" t="str">
        <f>IF(CLIENTES!A4="","",CLIENTES!A4)</f>
        <v>OverShark</v>
      </c>
      <c r="B299" s="90" t="s">
        <v>321</v>
      </c>
      <c r="C299" s="91" t="s">
        <v>326</v>
      </c>
      <c r="D299" s="109" t="s">
        <v>353</v>
      </c>
      <c r="E299" s="67" t="str">
        <f>COLORES!A17</f>
        <v>Vino</v>
      </c>
      <c r="F299" s="67" t="str">
        <f>COLORES!B17</f>
        <v>OSCURO</v>
      </c>
      <c r="G299" s="90" t="s">
        <v>379</v>
      </c>
      <c r="H299" s="100">
        <f>IFERROR(SUMIFS(MOVIMIENTOS_COMPLEMENTOS!$I$4:$I$803,MOVIMIENTOS_COMPLEMENTOS!$C$4:$C$803,A299,MOVIMIENTOS_COMPLEMENTOS!$D$4:$D$803,B299,MOVIMIENTOS_COMPLEMENTOS!$E$4:$E$803,C299,MOVIMIENTOS_COMPLEMENTOS!$G$4:$G$803,E299,MOVIMIENTOS_COMPLEMENTOS!$H$4:$H$803,G299,MOVIMIENTOS_COMPLEMENTOS!$B$4:$B$803,"INGRESO")+SUMIFS(MOVIMIENTOS_COMPLEMENTOS!$I$4:$I$803,MOVIMIENTOS_COMPLEMENTOS!$C$4:$C$803,A299,MOVIMIENTOS_COMPLEMENTOS!$D$4:$D$803,B299,MOVIMIENTOS_COMPLEMENTOS!$E$4:$E$803,C299,MOVIMIENTOS_COMPLEMENTOS!$G$4:$G$803,E299,MOVIMIENTOS_COMPLEMENTOS!$H$4:$H$803,G299,MOVIMIENTOS_COMPLEMENTOS!$B$4:$B$803,"DE CORTE")-SUMIFS(MOVIMIENTOS_COMPLEMENTOS!$I$4:$I$803,MOVIMIENTOS_COMPLEMENTOS!$C$4:$C$803,A299,MOVIMIENTOS_COMPLEMENTOS!$D$4:$D$803,B299,MOVIMIENTOS_COMPLEMENTOS!$E$4:$E$803,C299,MOVIMIENTOS_COMPLEMENTOS!$G$4:$G$803,E299,MOVIMIENTOS_COMPLEMENTOS!$H$4:$H$803,G299,MOVIMIENTOS_COMPLEMENTOS!$B$4:$B$803,"SALIDA"),0)</f>
        <v>0</v>
      </c>
      <c r="I299" s="102">
        <f t="array" ref="I299">IFERROR(INDEX(PRECIOS_COMPLEMENTOS!$C$4:$F$17,MATCH(B299&amp;"_"&amp;C299,PRECIOS_COMPLEMENTOS!$H$4:$H$17,0),IF(OR(G299="S",G299="20cm"),1,IF(OR(G299="M",G299="25cm"),2,IF(OR(G299="L",G299="30cm"),3,IF(OR(G299="XL",G299="35cm"),4,0))))),0)</f>
        <v>0.55</v>
      </c>
      <c r="J299" s="103">
        <f t="shared" si="1"/>
        <v>0</v>
      </c>
      <c r="K299" s="104" t="str">
        <f>IF(H299&lt;0,"ERROR",IF(H299=0,"",IF(H299&lt;CONFIG!$B$4,"CRÍTICO",IF(H299&lt;CONFIG!$B$5,"BAJO","OK"))))</f>
        <v/>
      </c>
    </row>
    <row r="300" ht="15.75" hidden="1" customHeight="1">
      <c r="A300" s="90" t="str">
        <f>IF(CLIENTES!A4="","",CLIENTES!A4)</f>
        <v>OverShark</v>
      </c>
      <c r="B300" s="90" t="s">
        <v>321</v>
      </c>
      <c r="C300" s="91" t="s">
        <v>326</v>
      </c>
      <c r="D300" s="109" t="s">
        <v>353</v>
      </c>
      <c r="E300" s="67" t="str">
        <f>COLORES!A18</f>
        <v>P. Rosa</v>
      </c>
      <c r="F300" s="67" t="str">
        <f>COLORES!B18</f>
        <v>CLARO</v>
      </c>
      <c r="G300" s="90" t="s">
        <v>378</v>
      </c>
      <c r="H300" s="100">
        <f>IFERROR(SUMIFS(MOVIMIENTOS_COMPLEMENTOS!$I$4:$I$803,MOVIMIENTOS_COMPLEMENTOS!$C$4:$C$803,A300,MOVIMIENTOS_COMPLEMENTOS!$D$4:$D$803,B300,MOVIMIENTOS_COMPLEMENTOS!$E$4:$E$803,C300,MOVIMIENTOS_COMPLEMENTOS!$G$4:$G$803,E300,MOVIMIENTOS_COMPLEMENTOS!$H$4:$H$803,G300,MOVIMIENTOS_COMPLEMENTOS!$B$4:$B$803,"INGRESO")+SUMIFS(MOVIMIENTOS_COMPLEMENTOS!$I$4:$I$803,MOVIMIENTOS_COMPLEMENTOS!$C$4:$C$803,A300,MOVIMIENTOS_COMPLEMENTOS!$D$4:$D$803,B300,MOVIMIENTOS_COMPLEMENTOS!$E$4:$E$803,C300,MOVIMIENTOS_COMPLEMENTOS!$G$4:$G$803,E300,MOVIMIENTOS_COMPLEMENTOS!$H$4:$H$803,G300,MOVIMIENTOS_COMPLEMENTOS!$B$4:$B$803,"DE CORTE")-SUMIFS(MOVIMIENTOS_COMPLEMENTOS!$I$4:$I$803,MOVIMIENTOS_COMPLEMENTOS!$C$4:$C$803,A300,MOVIMIENTOS_COMPLEMENTOS!$D$4:$D$803,B300,MOVIMIENTOS_COMPLEMENTOS!$E$4:$E$803,C300,MOVIMIENTOS_COMPLEMENTOS!$G$4:$G$803,E300,MOVIMIENTOS_COMPLEMENTOS!$H$4:$H$803,G300,MOVIMIENTOS_COMPLEMENTOS!$B$4:$B$803,"SALIDA"),0)</f>
        <v>0</v>
      </c>
      <c r="I300" s="102">
        <f t="array" ref="I300">IFERROR(INDEX(PRECIOS_COMPLEMENTOS!$C$4:$F$17,MATCH(B300&amp;"_"&amp;C300,PRECIOS_COMPLEMENTOS!$H$4:$H$17,0),IF(OR(G300="S",G300="20cm"),1,IF(OR(G300="M",G300="25cm"),2,IF(OR(G300="L",G300="30cm"),3,IF(OR(G300="XL",G300="35cm"),4,0))))),0)</f>
        <v>0.4</v>
      </c>
      <c r="J300" s="103">
        <f t="shared" si="1"/>
        <v>0</v>
      </c>
      <c r="K300" s="104" t="str">
        <f>IF(H300&lt;0,"ERROR",IF(H300=0,"",IF(H300&lt;CONFIG!$B$4,"CRÍTICO",IF(H300&lt;CONFIG!$B$5,"BAJO","OK"))))</f>
        <v/>
      </c>
    </row>
    <row r="301" ht="15.75" hidden="1" customHeight="1">
      <c r="A301" s="90" t="str">
        <f>IF(CLIENTES!A4="","",CLIENTES!A4)</f>
        <v>OverShark</v>
      </c>
      <c r="B301" s="90" t="s">
        <v>321</v>
      </c>
      <c r="C301" s="91" t="s">
        <v>326</v>
      </c>
      <c r="D301" s="109" t="s">
        <v>353</v>
      </c>
      <c r="E301" s="67" t="str">
        <f>COLORES!A18</f>
        <v>P. Rosa</v>
      </c>
      <c r="F301" s="67" t="str">
        <f>COLORES!B18</f>
        <v>CLARO</v>
      </c>
      <c r="G301" s="90" t="s">
        <v>376</v>
      </c>
      <c r="H301" s="100">
        <f>IFERROR(SUMIFS(MOVIMIENTOS_COMPLEMENTOS!$I$4:$I$803,MOVIMIENTOS_COMPLEMENTOS!$C$4:$C$803,A301,MOVIMIENTOS_COMPLEMENTOS!$D$4:$D$803,B301,MOVIMIENTOS_COMPLEMENTOS!$E$4:$E$803,C301,MOVIMIENTOS_COMPLEMENTOS!$G$4:$G$803,E301,MOVIMIENTOS_COMPLEMENTOS!$H$4:$H$803,G301,MOVIMIENTOS_COMPLEMENTOS!$B$4:$B$803,"INGRESO")+SUMIFS(MOVIMIENTOS_COMPLEMENTOS!$I$4:$I$803,MOVIMIENTOS_COMPLEMENTOS!$C$4:$C$803,A301,MOVIMIENTOS_COMPLEMENTOS!$D$4:$D$803,B301,MOVIMIENTOS_COMPLEMENTOS!$E$4:$E$803,C301,MOVIMIENTOS_COMPLEMENTOS!$G$4:$G$803,E301,MOVIMIENTOS_COMPLEMENTOS!$H$4:$H$803,G301,MOVIMIENTOS_COMPLEMENTOS!$B$4:$B$803,"DE CORTE")-SUMIFS(MOVIMIENTOS_COMPLEMENTOS!$I$4:$I$803,MOVIMIENTOS_COMPLEMENTOS!$C$4:$C$803,A301,MOVIMIENTOS_COMPLEMENTOS!$D$4:$D$803,B301,MOVIMIENTOS_COMPLEMENTOS!$E$4:$E$803,C301,MOVIMIENTOS_COMPLEMENTOS!$G$4:$G$803,E301,MOVIMIENTOS_COMPLEMENTOS!$H$4:$H$803,G301,MOVIMIENTOS_COMPLEMENTOS!$B$4:$B$803,"SALIDA"),0)</f>
        <v>0</v>
      </c>
      <c r="I301" s="102">
        <f t="array" ref="I301">IFERROR(INDEX(PRECIOS_COMPLEMENTOS!$C$4:$F$17,MATCH(B301&amp;"_"&amp;C301,PRECIOS_COMPLEMENTOS!$H$4:$H$17,0),IF(OR(G301="S",G301="20cm"),1,IF(OR(G301="M",G301="25cm"),2,IF(OR(G301="L",G301="30cm"),3,IF(OR(G301="XL",G301="35cm"),4,0))))),0)</f>
        <v>0.45</v>
      </c>
      <c r="J301" s="103">
        <f t="shared" si="1"/>
        <v>0</v>
      </c>
      <c r="K301" s="104" t="str">
        <f>IF(H301&lt;0,"ERROR",IF(H301=0,"",IF(H301&lt;CONFIG!$B$4,"CRÍTICO",IF(H301&lt;CONFIG!$B$5,"BAJO","OK"))))</f>
        <v/>
      </c>
    </row>
    <row r="302" ht="15.75" hidden="1" customHeight="1">
      <c r="A302" s="90" t="str">
        <f>IF(CLIENTES!A4="","",CLIENTES!A4)</f>
        <v>OverShark</v>
      </c>
      <c r="B302" s="90" t="s">
        <v>321</v>
      </c>
      <c r="C302" s="91" t="s">
        <v>326</v>
      </c>
      <c r="D302" s="109" t="s">
        <v>353</v>
      </c>
      <c r="E302" s="67" t="str">
        <f>COLORES!A18</f>
        <v>P. Rosa</v>
      </c>
      <c r="F302" s="67" t="str">
        <f>COLORES!B18</f>
        <v>CLARO</v>
      </c>
      <c r="G302" s="90" t="s">
        <v>377</v>
      </c>
      <c r="H302" s="100">
        <f>IFERROR(SUMIFS(MOVIMIENTOS_COMPLEMENTOS!$I$4:$I$803,MOVIMIENTOS_COMPLEMENTOS!$C$4:$C$803,A302,MOVIMIENTOS_COMPLEMENTOS!$D$4:$D$803,B302,MOVIMIENTOS_COMPLEMENTOS!$E$4:$E$803,C302,MOVIMIENTOS_COMPLEMENTOS!$G$4:$G$803,E302,MOVIMIENTOS_COMPLEMENTOS!$H$4:$H$803,G302,MOVIMIENTOS_COMPLEMENTOS!$B$4:$B$803,"INGRESO")+SUMIFS(MOVIMIENTOS_COMPLEMENTOS!$I$4:$I$803,MOVIMIENTOS_COMPLEMENTOS!$C$4:$C$803,A302,MOVIMIENTOS_COMPLEMENTOS!$D$4:$D$803,B302,MOVIMIENTOS_COMPLEMENTOS!$E$4:$E$803,C302,MOVIMIENTOS_COMPLEMENTOS!$G$4:$G$803,E302,MOVIMIENTOS_COMPLEMENTOS!$H$4:$H$803,G302,MOVIMIENTOS_COMPLEMENTOS!$B$4:$B$803,"DE CORTE")-SUMIFS(MOVIMIENTOS_COMPLEMENTOS!$I$4:$I$803,MOVIMIENTOS_COMPLEMENTOS!$C$4:$C$803,A302,MOVIMIENTOS_COMPLEMENTOS!$D$4:$D$803,B302,MOVIMIENTOS_COMPLEMENTOS!$E$4:$E$803,C302,MOVIMIENTOS_COMPLEMENTOS!$G$4:$G$803,E302,MOVIMIENTOS_COMPLEMENTOS!$H$4:$H$803,G302,MOVIMIENTOS_COMPLEMENTOS!$B$4:$B$803,"SALIDA"),0)</f>
        <v>0</v>
      </c>
      <c r="I302" s="102">
        <f t="array" ref="I302">IFERROR(INDEX(PRECIOS_COMPLEMENTOS!$C$4:$F$17,MATCH(B302&amp;"_"&amp;C302,PRECIOS_COMPLEMENTOS!$H$4:$H$17,0),IF(OR(G302="S",G302="20cm"),1,IF(OR(G302="M",G302="25cm"),2,IF(OR(G302="L",G302="30cm"),3,IF(OR(G302="XL",G302="35cm"),4,0))))),0)</f>
        <v>0.5</v>
      </c>
      <c r="J302" s="103">
        <f t="shared" si="1"/>
        <v>0</v>
      </c>
      <c r="K302" s="104" t="str">
        <f>IF(H302&lt;0,"ERROR",IF(H302=0,"",IF(H302&lt;CONFIG!$B$4,"CRÍTICO",IF(H302&lt;CONFIG!$B$5,"BAJO","OK"))))</f>
        <v/>
      </c>
    </row>
    <row r="303" ht="15.75" hidden="1" customHeight="1">
      <c r="A303" s="90" t="str">
        <f>IF(CLIENTES!A4="","",CLIENTES!A4)</f>
        <v>OverShark</v>
      </c>
      <c r="B303" s="90" t="s">
        <v>321</v>
      </c>
      <c r="C303" s="91" t="s">
        <v>326</v>
      </c>
      <c r="D303" s="109" t="s">
        <v>353</v>
      </c>
      <c r="E303" s="67" t="str">
        <f>COLORES!A18</f>
        <v>P. Rosa</v>
      </c>
      <c r="F303" s="67" t="str">
        <f>COLORES!B18</f>
        <v>CLARO</v>
      </c>
      <c r="G303" s="90" t="s">
        <v>379</v>
      </c>
      <c r="H303" s="100">
        <f>IFERROR(SUMIFS(MOVIMIENTOS_COMPLEMENTOS!$I$4:$I$803,MOVIMIENTOS_COMPLEMENTOS!$C$4:$C$803,A303,MOVIMIENTOS_COMPLEMENTOS!$D$4:$D$803,B303,MOVIMIENTOS_COMPLEMENTOS!$E$4:$E$803,C303,MOVIMIENTOS_COMPLEMENTOS!$G$4:$G$803,E303,MOVIMIENTOS_COMPLEMENTOS!$H$4:$H$803,G303,MOVIMIENTOS_COMPLEMENTOS!$B$4:$B$803,"INGRESO")+SUMIFS(MOVIMIENTOS_COMPLEMENTOS!$I$4:$I$803,MOVIMIENTOS_COMPLEMENTOS!$C$4:$C$803,A303,MOVIMIENTOS_COMPLEMENTOS!$D$4:$D$803,B303,MOVIMIENTOS_COMPLEMENTOS!$E$4:$E$803,C303,MOVIMIENTOS_COMPLEMENTOS!$G$4:$G$803,E303,MOVIMIENTOS_COMPLEMENTOS!$H$4:$H$803,G303,MOVIMIENTOS_COMPLEMENTOS!$B$4:$B$803,"DE CORTE")-SUMIFS(MOVIMIENTOS_COMPLEMENTOS!$I$4:$I$803,MOVIMIENTOS_COMPLEMENTOS!$C$4:$C$803,A303,MOVIMIENTOS_COMPLEMENTOS!$D$4:$D$803,B303,MOVIMIENTOS_COMPLEMENTOS!$E$4:$E$803,C303,MOVIMIENTOS_COMPLEMENTOS!$G$4:$G$803,E303,MOVIMIENTOS_COMPLEMENTOS!$H$4:$H$803,G303,MOVIMIENTOS_COMPLEMENTOS!$B$4:$B$803,"SALIDA"),0)</f>
        <v>0</v>
      </c>
      <c r="I303" s="102">
        <f t="array" ref="I303">IFERROR(INDEX(PRECIOS_COMPLEMENTOS!$C$4:$F$17,MATCH(B303&amp;"_"&amp;C303,PRECIOS_COMPLEMENTOS!$H$4:$H$17,0),IF(OR(G303="S",G303="20cm"),1,IF(OR(G303="M",G303="25cm"),2,IF(OR(G303="L",G303="30cm"),3,IF(OR(G303="XL",G303="35cm"),4,0))))),0)</f>
        <v>0.55</v>
      </c>
      <c r="J303" s="103">
        <f t="shared" si="1"/>
        <v>0</v>
      </c>
      <c r="K303" s="104" t="str">
        <f>IF(H303&lt;0,"ERROR",IF(H303=0,"",IF(H303&lt;CONFIG!$B$4,"CRÍTICO",IF(H303&lt;CONFIG!$B$5,"BAJO","OK"))))</f>
        <v/>
      </c>
    </row>
    <row r="304" ht="15.75" hidden="1" customHeight="1">
      <c r="A304" s="90" t="str">
        <f>IF(CLIENTES!A4="","",CLIENTES!A4)</f>
        <v>OverShark</v>
      </c>
      <c r="B304" s="90" t="s">
        <v>321</v>
      </c>
      <c r="C304" s="91" t="s">
        <v>326</v>
      </c>
      <c r="D304" s="109" t="s">
        <v>353</v>
      </c>
      <c r="E304" s="67" t="str">
        <f>COLORES!A19</f>
        <v/>
      </c>
      <c r="F304" s="67" t="str">
        <f>COLORES!B19</f>
        <v/>
      </c>
      <c r="G304" s="90" t="s">
        <v>378</v>
      </c>
      <c r="H304" s="100">
        <f>IFERROR(SUMIFS(MOVIMIENTOS_COMPLEMENTOS!$I$4:$I$803,MOVIMIENTOS_COMPLEMENTOS!$C$4:$C$803,A304,MOVIMIENTOS_COMPLEMENTOS!$D$4:$D$803,B304,MOVIMIENTOS_COMPLEMENTOS!$E$4:$E$803,C304,MOVIMIENTOS_COMPLEMENTOS!$G$4:$G$803,E304,MOVIMIENTOS_COMPLEMENTOS!$H$4:$H$803,G304,MOVIMIENTOS_COMPLEMENTOS!$B$4:$B$803,"INGRESO")+SUMIFS(MOVIMIENTOS_COMPLEMENTOS!$I$4:$I$803,MOVIMIENTOS_COMPLEMENTOS!$C$4:$C$803,A304,MOVIMIENTOS_COMPLEMENTOS!$D$4:$D$803,B304,MOVIMIENTOS_COMPLEMENTOS!$E$4:$E$803,C304,MOVIMIENTOS_COMPLEMENTOS!$G$4:$G$803,E304,MOVIMIENTOS_COMPLEMENTOS!$H$4:$H$803,G304,MOVIMIENTOS_COMPLEMENTOS!$B$4:$B$803,"DE CORTE")-SUMIFS(MOVIMIENTOS_COMPLEMENTOS!$I$4:$I$803,MOVIMIENTOS_COMPLEMENTOS!$C$4:$C$803,A304,MOVIMIENTOS_COMPLEMENTOS!$D$4:$D$803,B304,MOVIMIENTOS_COMPLEMENTOS!$E$4:$E$803,C304,MOVIMIENTOS_COMPLEMENTOS!$G$4:$G$803,E304,MOVIMIENTOS_COMPLEMENTOS!$H$4:$H$803,G304,MOVIMIENTOS_COMPLEMENTOS!$B$4:$B$803,"SALIDA"),0)</f>
        <v>0</v>
      </c>
      <c r="I304" s="102">
        <f t="array" ref="I304">IFERROR(INDEX(PRECIOS_COMPLEMENTOS!$C$4:$F$17,MATCH(B304&amp;"_"&amp;C304,PRECIOS_COMPLEMENTOS!$H$4:$H$17,0),IF(OR(G304="S",G304="20cm"),1,IF(OR(G304="M",G304="25cm"),2,IF(OR(G304="L",G304="30cm"),3,IF(OR(G304="XL",G304="35cm"),4,0))))),0)</f>
        <v>0.4</v>
      </c>
      <c r="J304" s="103">
        <f t="shared" si="1"/>
        <v>0</v>
      </c>
      <c r="K304" s="104" t="str">
        <f>IF(H304&lt;0,"ERROR",IF(H304=0,"",IF(H304&lt;CONFIG!$B$4,"CRÍTICO",IF(H304&lt;CONFIG!$B$5,"BAJO","OK"))))</f>
        <v/>
      </c>
    </row>
    <row r="305" ht="15.75" hidden="1" customHeight="1">
      <c r="A305" s="90" t="str">
        <f>IF(CLIENTES!A4="","",CLIENTES!A4)</f>
        <v>OverShark</v>
      </c>
      <c r="B305" s="90" t="s">
        <v>321</v>
      </c>
      <c r="C305" s="91" t="s">
        <v>326</v>
      </c>
      <c r="D305" s="109" t="s">
        <v>353</v>
      </c>
      <c r="E305" s="67" t="str">
        <f>COLORES!A19</f>
        <v/>
      </c>
      <c r="F305" s="67" t="str">
        <f>COLORES!B19</f>
        <v/>
      </c>
      <c r="G305" s="90" t="s">
        <v>376</v>
      </c>
      <c r="H305" s="100">
        <f>IFERROR(SUMIFS(MOVIMIENTOS_COMPLEMENTOS!$I$4:$I$803,MOVIMIENTOS_COMPLEMENTOS!$C$4:$C$803,A305,MOVIMIENTOS_COMPLEMENTOS!$D$4:$D$803,B305,MOVIMIENTOS_COMPLEMENTOS!$E$4:$E$803,C305,MOVIMIENTOS_COMPLEMENTOS!$G$4:$G$803,E305,MOVIMIENTOS_COMPLEMENTOS!$H$4:$H$803,G305,MOVIMIENTOS_COMPLEMENTOS!$B$4:$B$803,"INGRESO")+SUMIFS(MOVIMIENTOS_COMPLEMENTOS!$I$4:$I$803,MOVIMIENTOS_COMPLEMENTOS!$C$4:$C$803,A305,MOVIMIENTOS_COMPLEMENTOS!$D$4:$D$803,B305,MOVIMIENTOS_COMPLEMENTOS!$E$4:$E$803,C305,MOVIMIENTOS_COMPLEMENTOS!$G$4:$G$803,E305,MOVIMIENTOS_COMPLEMENTOS!$H$4:$H$803,G305,MOVIMIENTOS_COMPLEMENTOS!$B$4:$B$803,"DE CORTE")-SUMIFS(MOVIMIENTOS_COMPLEMENTOS!$I$4:$I$803,MOVIMIENTOS_COMPLEMENTOS!$C$4:$C$803,A305,MOVIMIENTOS_COMPLEMENTOS!$D$4:$D$803,B305,MOVIMIENTOS_COMPLEMENTOS!$E$4:$E$803,C305,MOVIMIENTOS_COMPLEMENTOS!$G$4:$G$803,E305,MOVIMIENTOS_COMPLEMENTOS!$H$4:$H$803,G305,MOVIMIENTOS_COMPLEMENTOS!$B$4:$B$803,"SALIDA"),0)</f>
        <v>0</v>
      </c>
      <c r="I305" s="102">
        <f t="array" ref="I305">IFERROR(INDEX(PRECIOS_COMPLEMENTOS!$C$4:$F$17,MATCH(B305&amp;"_"&amp;C305,PRECIOS_COMPLEMENTOS!$H$4:$H$17,0),IF(OR(G305="S",G305="20cm"),1,IF(OR(G305="M",G305="25cm"),2,IF(OR(G305="L",G305="30cm"),3,IF(OR(G305="XL",G305="35cm"),4,0))))),0)</f>
        <v>0.45</v>
      </c>
      <c r="J305" s="103">
        <f t="shared" si="1"/>
        <v>0</v>
      </c>
      <c r="K305" s="104" t="str">
        <f>IF(H305&lt;0,"ERROR",IF(H305=0,"",IF(H305&lt;CONFIG!$B$4,"CRÍTICO",IF(H305&lt;CONFIG!$B$5,"BAJO","OK"))))</f>
        <v/>
      </c>
    </row>
    <row r="306" ht="15.75" hidden="1" customHeight="1">
      <c r="A306" s="90" t="str">
        <f>IF(CLIENTES!A4="","",CLIENTES!A4)</f>
        <v>OverShark</v>
      </c>
      <c r="B306" s="90" t="s">
        <v>321</v>
      </c>
      <c r="C306" s="91" t="s">
        <v>326</v>
      </c>
      <c r="D306" s="109" t="s">
        <v>353</v>
      </c>
      <c r="E306" s="67" t="str">
        <f>COLORES!A19</f>
        <v/>
      </c>
      <c r="F306" s="67" t="str">
        <f>COLORES!B19</f>
        <v/>
      </c>
      <c r="G306" s="90" t="s">
        <v>377</v>
      </c>
      <c r="H306" s="100">
        <f>IFERROR(SUMIFS(MOVIMIENTOS_COMPLEMENTOS!$I$4:$I$803,MOVIMIENTOS_COMPLEMENTOS!$C$4:$C$803,A306,MOVIMIENTOS_COMPLEMENTOS!$D$4:$D$803,B306,MOVIMIENTOS_COMPLEMENTOS!$E$4:$E$803,C306,MOVIMIENTOS_COMPLEMENTOS!$G$4:$G$803,E306,MOVIMIENTOS_COMPLEMENTOS!$H$4:$H$803,G306,MOVIMIENTOS_COMPLEMENTOS!$B$4:$B$803,"INGRESO")+SUMIFS(MOVIMIENTOS_COMPLEMENTOS!$I$4:$I$803,MOVIMIENTOS_COMPLEMENTOS!$C$4:$C$803,A306,MOVIMIENTOS_COMPLEMENTOS!$D$4:$D$803,B306,MOVIMIENTOS_COMPLEMENTOS!$E$4:$E$803,C306,MOVIMIENTOS_COMPLEMENTOS!$G$4:$G$803,E306,MOVIMIENTOS_COMPLEMENTOS!$H$4:$H$803,G306,MOVIMIENTOS_COMPLEMENTOS!$B$4:$B$803,"DE CORTE")-SUMIFS(MOVIMIENTOS_COMPLEMENTOS!$I$4:$I$803,MOVIMIENTOS_COMPLEMENTOS!$C$4:$C$803,A306,MOVIMIENTOS_COMPLEMENTOS!$D$4:$D$803,B306,MOVIMIENTOS_COMPLEMENTOS!$E$4:$E$803,C306,MOVIMIENTOS_COMPLEMENTOS!$G$4:$G$803,E306,MOVIMIENTOS_COMPLEMENTOS!$H$4:$H$803,G306,MOVIMIENTOS_COMPLEMENTOS!$B$4:$B$803,"SALIDA"),0)</f>
        <v>0</v>
      </c>
      <c r="I306" s="102">
        <f t="array" ref="I306">IFERROR(INDEX(PRECIOS_COMPLEMENTOS!$C$4:$F$17,MATCH(B306&amp;"_"&amp;C306,PRECIOS_COMPLEMENTOS!$H$4:$H$17,0),IF(OR(G306="S",G306="20cm"),1,IF(OR(G306="M",G306="25cm"),2,IF(OR(G306="L",G306="30cm"),3,IF(OR(G306="XL",G306="35cm"),4,0))))),0)</f>
        <v>0.5</v>
      </c>
      <c r="J306" s="103">
        <f t="shared" si="1"/>
        <v>0</v>
      </c>
      <c r="K306" s="104" t="str">
        <f>IF(H306&lt;0,"ERROR",IF(H306=0,"",IF(H306&lt;CONFIG!$B$4,"CRÍTICO",IF(H306&lt;CONFIG!$B$5,"BAJO","OK"))))</f>
        <v/>
      </c>
    </row>
    <row r="307" ht="15.75" hidden="1" customHeight="1">
      <c r="A307" s="90" t="str">
        <f>IF(CLIENTES!A4="","",CLIENTES!A4)</f>
        <v>OverShark</v>
      </c>
      <c r="B307" s="90" t="s">
        <v>321</v>
      </c>
      <c r="C307" s="91" t="s">
        <v>326</v>
      </c>
      <c r="D307" s="109" t="s">
        <v>353</v>
      </c>
      <c r="E307" s="67" t="str">
        <f>COLORES!A19</f>
        <v/>
      </c>
      <c r="F307" s="67" t="str">
        <f>COLORES!B19</f>
        <v/>
      </c>
      <c r="G307" s="90" t="s">
        <v>379</v>
      </c>
      <c r="H307" s="100">
        <f>IFERROR(SUMIFS(MOVIMIENTOS_COMPLEMENTOS!$I$4:$I$803,MOVIMIENTOS_COMPLEMENTOS!$C$4:$C$803,A307,MOVIMIENTOS_COMPLEMENTOS!$D$4:$D$803,B307,MOVIMIENTOS_COMPLEMENTOS!$E$4:$E$803,C307,MOVIMIENTOS_COMPLEMENTOS!$G$4:$G$803,E307,MOVIMIENTOS_COMPLEMENTOS!$H$4:$H$803,G307,MOVIMIENTOS_COMPLEMENTOS!$B$4:$B$803,"INGRESO")+SUMIFS(MOVIMIENTOS_COMPLEMENTOS!$I$4:$I$803,MOVIMIENTOS_COMPLEMENTOS!$C$4:$C$803,A307,MOVIMIENTOS_COMPLEMENTOS!$D$4:$D$803,B307,MOVIMIENTOS_COMPLEMENTOS!$E$4:$E$803,C307,MOVIMIENTOS_COMPLEMENTOS!$G$4:$G$803,E307,MOVIMIENTOS_COMPLEMENTOS!$H$4:$H$803,G307,MOVIMIENTOS_COMPLEMENTOS!$B$4:$B$803,"DE CORTE")-SUMIFS(MOVIMIENTOS_COMPLEMENTOS!$I$4:$I$803,MOVIMIENTOS_COMPLEMENTOS!$C$4:$C$803,A307,MOVIMIENTOS_COMPLEMENTOS!$D$4:$D$803,B307,MOVIMIENTOS_COMPLEMENTOS!$E$4:$E$803,C307,MOVIMIENTOS_COMPLEMENTOS!$G$4:$G$803,E307,MOVIMIENTOS_COMPLEMENTOS!$H$4:$H$803,G307,MOVIMIENTOS_COMPLEMENTOS!$B$4:$B$803,"SALIDA"),0)</f>
        <v>0</v>
      </c>
      <c r="I307" s="102">
        <f t="array" ref="I307">IFERROR(INDEX(PRECIOS_COMPLEMENTOS!$C$4:$F$17,MATCH(B307&amp;"_"&amp;C307,PRECIOS_COMPLEMENTOS!$H$4:$H$17,0),IF(OR(G307="S",G307="20cm"),1,IF(OR(G307="M",G307="25cm"),2,IF(OR(G307="L",G307="30cm"),3,IF(OR(G307="XL",G307="35cm"),4,0))))),0)</f>
        <v>0.55</v>
      </c>
      <c r="J307" s="103">
        <f t="shared" si="1"/>
        <v>0</v>
      </c>
      <c r="K307" s="104" t="str">
        <f>IF(H307&lt;0,"ERROR",IF(H307=0,"",IF(H307&lt;CONFIG!$B$4,"CRÍTICO",IF(H307&lt;CONFIG!$B$5,"BAJO","OK"))))</f>
        <v/>
      </c>
    </row>
    <row r="308" ht="15.75" hidden="1" customHeight="1">
      <c r="A308" s="90" t="str">
        <f>IF(CLIENTES!A4="","",CLIENTES!A4)</f>
        <v>OverShark</v>
      </c>
      <c r="B308" s="90" t="s">
        <v>321</v>
      </c>
      <c r="C308" s="91" t="s">
        <v>326</v>
      </c>
      <c r="D308" s="109" t="s">
        <v>353</v>
      </c>
      <c r="E308" s="67" t="str">
        <f>COLORES!A20</f>
        <v/>
      </c>
      <c r="F308" s="67" t="str">
        <f>COLORES!B20</f>
        <v/>
      </c>
      <c r="G308" s="90" t="s">
        <v>378</v>
      </c>
      <c r="H308" s="100">
        <f>IFERROR(SUMIFS(MOVIMIENTOS_COMPLEMENTOS!$I$4:$I$803,MOVIMIENTOS_COMPLEMENTOS!$C$4:$C$803,A308,MOVIMIENTOS_COMPLEMENTOS!$D$4:$D$803,B308,MOVIMIENTOS_COMPLEMENTOS!$E$4:$E$803,C308,MOVIMIENTOS_COMPLEMENTOS!$G$4:$G$803,E308,MOVIMIENTOS_COMPLEMENTOS!$H$4:$H$803,G308,MOVIMIENTOS_COMPLEMENTOS!$B$4:$B$803,"INGRESO")+SUMIFS(MOVIMIENTOS_COMPLEMENTOS!$I$4:$I$803,MOVIMIENTOS_COMPLEMENTOS!$C$4:$C$803,A308,MOVIMIENTOS_COMPLEMENTOS!$D$4:$D$803,B308,MOVIMIENTOS_COMPLEMENTOS!$E$4:$E$803,C308,MOVIMIENTOS_COMPLEMENTOS!$G$4:$G$803,E308,MOVIMIENTOS_COMPLEMENTOS!$H$4:$H$803,G308,MOVIMIENTOS_COMPLEMENTOS!$B$4:$B$803,"DE CORTE")-SUMIFS(MOVIMIENTOS_COMPLEMENTOS!$I$4:$I$803,MOVIMIENTOS_COMPLEMENTOS!$C$4:$C$803,A308,MOVIMIENTOS_COMPLEMENTOS!$D$4:$D$803,B308,MOVIMIENTOS_COMPLEMENTOS!$E$4:$E$803,C308,MOVIMIENTOS_COMPLEMENTOS!$G$4:$G$803,E308,MOVIMIENTOS_COMPLEMENTOS!$H$4:$H$803,G308,MOVIMIENTOS_COMPLEMENTOS!$B$4:$B$803,"SALIDA"),0)</f>
        <v>0</v>
      </c>
      <c r="I308" s="102">
        <f t="array" ref="I308">IFERROR(INDEX(PRECIOS_COMPLEMENTOS!$C$4:$F$17,MATCH(B308&amp;"_"&amp;C308,PRECIOS_COMPLEMENTOS!$H$4:$H$17,0),IF(OR(G308="S",G308="20cm"),1,IF(OR(G308="M",G308="25cm"),2,IF(OR(G308="L",G308="30cm"),3,IF(OR(G308="XL",G308="35cm"),4,0))))),0)</f>
        <v>0.4</v>
      </c>
      <c r="J308" s="103">
        <f t="shared" si="1"/>
        <v>0</v>
      </c>
      <c r="K308" s="104" t="str">
        <f>IF(H308&lt;0,"ERROR",IF(H308=0,"",IF(H308&lt;CONFIG!$B$4,"CRÍTICO",IF(H308&lt;CONFIG!$B$5,"BAJO","OK"))))</f>
        <v/>
      </c>
    </row>
    <row r="309" ht="15.75" hidden="1" customHeight="1">
      <c r="A309" s="90" t="str">
        <f>IF(CLIENTES!A4="","",CLIENTES!A4)</f>
        <v>OverShark</v>
      </c>
      <c r="B309" s="90" t="s">
        <v>321</v>
      </c>
      <c r="C309" s="91" t="s">
        <v>326</v>
      </c>
      <c r="D309" s="109" t="s">
        <v>353</v>
      </c>
      <c r="E309" s="67" t="str">
        <f>COLORES!A20</f>
        <v/>
      </c>
      <c r="F309" s="67" t="str">
        <f>COLORES!B20</f>
        <v/>
      </c>
      <c r="G309" s="90" t="s">
        <v>376</v>
      </c>
      <c r="H309" s="100">
        <f>IFERROR(SUMIFS(MOVIMIENTOS_COMPLEMENTOS!$I$4:$I$803,MOVIMIENTOS_COMPLEMENTOS!$C$4:$C$803,A309,MOVIMIENTOS_COMPLEMENTOS!$D$4:$D$803,B309,MOVIMIENTOS_COMPLEMENTOS!$E$4:$E$803,C309,MOVIMIENTOS_COMPLEMENTOS!$G$4:$G$803,E309,MOVIMIENTOS_COMPLEMENTOS!$H$4:$H$803,G309,MOVIMIENTOS_COMPLEMENTOS!$B$4:$B$803,"INGRESO")+SUMIFS(MOVIMIENTOS_COMPLEMENTOS!$I$4:$I$803,MOVIMIENTOS_COMPLEMENTOS!$C$4:$C$803,A309,MOVIMIENTOS_COMPLEMENTOS!$D$4:$D$803,B309,MOVIMIENTOS_COMPLEMENTOS!$E$4:$E$803,C309,MOVIMIENTOS_COMPLEMENTOS!$G$4:$G$803,E309,MOVIMIENTOS_COMPLEMENTOS!$H$4:$H$803,G309,MOVIMIENTOS_COMPLEMENTOS!$B$4:$B$803,"DE CORTE")-SUMIFS(MOVIMIENTOS_COMPLEMENTOS!$I$4:$I$803,MOVIMIENTOS_COMPLEMENTOS!$C$4:$C$803,A309,MOVIMIENTOS_COMPLEMENTOS!$D$4:$D$803,B309,MOVIMIENTOS_COMPLEMENTOS!$E$4:$E$803,C309,MOVIMIENTOS_COMPLEMENTOS!$G$4:$G$803,E309,MOVIMIENTOS_COMPLEMENTOS!$H$4:$H$803,G309,MOVIMIENTOS_COMPLEMENTOS!$B$4:$B$803,"SALIDA"),0)</f>
        <v>0</v>
      </c>
      <c r="I309" s="102">
        <f t="array" ref="I309">IFERROR(INDEX(PRECIOS_COMPLEMENTOS!$C$4:$F$17,MATCH(B309&amp;"_"&amp;C309,PRECIOS_COMPLEMENTOS!$H$4:$H$17,0),IF(OR(G309="S",G309="20cm"),1,IF(OR(G309="M",G309="25cm"),2,IF(OR(G309="L",G309="30cm"),3,IF(OR(G309="XL",G309="35cm"),4,0))))),0)</f>
        <v>0.45</v>
      </c>
      <c r="J309" s="103">
        <f t="shared" si="1"/>
        <v>0</v>
      </c>
      <c r="K309" s="104" t="str">
        <f>IF(H309&lt;0,"ERROR",IF(H309=0,"",IF(H309&lt;CONFIG!$B$4,"CRÍTICO",IF(H309&lt;CONFIG!$B$5,"BAJO","OK"))))</f>
        <v/>
      </c>
    </row>
    <row r="310" ht="15.75" hidden="1" customHeight="1">
      <c r="A310" s="90" t="str">
        <f>IF(CLIENTES!A4="","",CLIENTES!A4)</f>
        <v>OverShark</v>
      </c>
      <c r="B310" s="90" t="s">
        <v>321</v>
      </c>
      <c r="C310" s="91" t="s">
        <v>326</v>
      </c>
      <c r="D310" s="109" t="s">
        <v>353</v>
      </c>
      <c r="E310" s="67" t="str">
        <f>COLORES!A20</f>
        <v/>
      </c>
      <c r="F310" s="67" t="str">
        <f>COLORES!B20</f>
        <v/>
      </c>
      <c r="G310" s="90" t="s">
        <v>377</v>
      </c>
      <c r="H310" s="100">
        <f>IFERROR(SUMIFS(MOVIMIENTOS_COMPLEMENTOS!$I$4:$I$803,MOVIMIENTOS_COMPLEMENTOS!$C$4:$C$803,A310,MOVIMIENTOS_COMPLEMENTOS!$D$4:$D$803,B310,MOVIMIENTOS_COMPLEMENTOS!$E$4:$E$803,C310,MOVIMIENTOS_COMPLEMENTOS!$G$4:$G$803,E310,MOVIMIENTOS_COMPLEMENTOS!$H$4:$H$803,G310,MOVIMIENTOS_COMPLEMENTOS!$B$4:$B$803,"INGRESO")+SUMIFS(MOVIMIENTOS_COMPLEMENTOS!$I$4:$I$803,MOVIMIENTOS_COMPLEMENTOS!$C$4:$C$803,A310,MOVIMIENTOS_COMPLEMENTOS!$D$4:$D$803,B310,MOVIMIENTOS_COMPLEMENTOS!$E$4:$E$803,C310,MOVIMIENTOS_COMPLEMENTOS!$G$4:$G$803,E310,MOVIMIENTOS_COMPLEMENTOS!$H$4:$H$803,G310,MOVIMIENTOS_COMPLEMENTOS!$B$4:$B$803,"DE CORTE")-SUMIFS(MOVIMIENTOS_COMPLEMENTOS!$I$4:$I$803,MOVIMIENTOS_COMPLEMENTOS!$C$4:$C$803,A310,MOVIMIENTOS_COMPLEMENTOS!$D$4:$D$803,B310,MOVIMIENTOS_COMPLEMENTOS!$E$4:$E$803,C310,MOVIMIENTOS_COMPLEMENTOS!$G$4:$G$803,E310,MOVIMIENTOS_COMPLEMENTOS!$H$4:$H$803,G310,MOVIMIENTOS_COMPLEMENTOS!$B$4:$B$803,"SALIDA"),0)</f>
        <v>0</v>
      </c>
      <c r="I310" s="102">
        <f t="array" ref="I310">IFERROR(INDEX(PRECIOS_COMPLEMENTOS!$C$4:$F$17,MATCH(B310&amp;"_"&amp;C310,PRECIOS_COMPLEMENTOS!$H$4:$H$17,0),IF(OR(G310="S",G310="20cm"),1,IF(OR(G310="M",G310="25cm"),2,IF(OR(G310="L",G310="30cm"),3,IF(OR(G310="XL",G310="35cm"),4,0))))),0)</f>
        <v>0.5</v>
      </c>
      <c r="J310" s="103">
        <f t="shared" si="1"/>
        <v>0</v>
      </c>
      <c r="K310" s="104" t="str">
        <f>IF(H310&lt;0,"ERROR",IF(H310=0,"",IF(H310&lt;CONFIG!$B$4,"CRÍTICO",IF(H310&lt;CONFIG!$B$5,"BAJO","OK"))))</f>
        <v/>
      </c>
    </row>
    <row r="311" ht="15.75" hidden="1" customHeight="1">
      <c r="A311" s="90" t="str">
        <f>IF(CLIENTES!A4="","",CLIENTES!A4)</f>
        <v>OverShark</v>
      </c>
      <c r="B311" s="90" t="s">
        <v>321</v>
      </c>
      <c r="C311" s="91" t="s">
        <v>326</v>
      </c>
      <c r="D311" s="109" t="s">
        <v>353</v>
      </c>
      <c r="E311" s="67" t="str">
        <f>COLORES!A20</f>
        <v/>
      </c>
      <c r="F311" s="67" t="str">
        <f>COLORES!B20</f>
        <v/>
      </c>
      <c r="G311" s="90" t="s">
        <v>379</v>
      </c>
      <c r="H311" s="100">
        <f>IFERROR(SUMIFS(MOVIMIENTOS_COMPLEMENTOS!$I$4:$I$803,MOVIMIENTOS_COMPLEMENTOS!$C$4:$C$803,A311,MOVIMIENTOS_COMPLEMENTOS!$D$4:$D$803,B311,MOVIMIENTOS_COMPLEMENTOS!$E$4:$E$803,C311,MOVIMIENTOS_COMPLEMENTOS!$G$4:$G$803,E311,MOVIMIENTOS_COMPLEMENTOS!$H$4:$H$803,G311,MOVIMIENTOS_COMPLEMENTOS!$B$4:$B$803,"INGRESO")+SUMIFS(MOVIMIENTOS_COMPLEMENTOS!$I$4:$I$803,MOVIMIENTOS_COMPLEMENTOS!$C$4:$C$803,A311,MOVIMIENTOS_COMPLEMENTOS!$D$4:$D$803,B311,MOVIMIENTOS_COMPLEMENTOS!$E$4:$E$803,C311,MOVIMIENTOS_COMPLEMENTOS!$G$4:$G$803,E311,MOVIMIENTOS_COMPLEMENTOS!$H$4:$H$803,G311,MOVIMIENTOS_COMPLEMENTOS!$B$4:$B$803,"DE CORTE")-SUMIFS(MOVIMIENTOS_COMPLEMENTOS!$I$4:$I$803,MOVIMIENTOS_COMPLEMENTOS!$C$4:$C$803,A311,MOVIMIENTOS_COMPLEMENTOS!$D$4:$D$803,B311,MOVIMIENTOS_COMPLEMENTOS!$E$4:$E$803,C311,MOVIMIENTOS_COMPLEMENTOS!$G$4:$G$803,E311,MOVIMIENTOS_COMPLEMENTOS!$H$4:$H$803,G311,MOVIMIENTOS_COMPLEMENTOS!$B$4:$B$803,"SALIDA"),0)</f>
        <v>0</v>
      </c>
      <c r="I311" s="102">
        <f t="array" ref="I311">IFERROR(INDEX(PRECIOS_COMPLEMENTOS!$C$4:$F$17,MATCH(B311&amp;"_"&amp;C311,PRECIOS_COMPLEMENTOS!$H$4:$H$17,0),IF(OR(G311="S",G311="20cm"),1,IF(OR(G311="M",G311="25cm"),2,IF(OR(G311="L",G311="30cm"),3,IF(OR(G311="XL",G311="35cm"),4,0))))),0)</f>
        <v>0.55</v>
      </c>
      <c r="J311" s="103">
        <f t="shared" si="1"/>
        <v>0</v>
      </c>
      <c r="K311" s="104" t="str">
        <f>IF(H311&lt;0,"ERROR",IF(H311=0,"",IF(H311&lt;CONFIG!$B$4,"CRÍTICO",IF(H311&lt;CONFIG!$B$5,"BAJO","OK"))))</f>
        <v/>
      </c>
    </row>
    <row r="312" ht="15.75" hidden="1" customHeight="1">
      <c r="A312" s="90" t="str">
        <f>IF(CLIENTES!A4="","",CLIENTES!A4)</f>
        <v>OverShark</v>
      </c>
      <c r="B312" s="90" t="s">
        <v>321</v>
      </c>
      <c r="C312" s="91" t="s">
        <v>326</v>
      </c>
      <c r="D312" s="109" t="s">
        <v>353</v>
      </c>
      <c r="E312" s="67" t="str">
        <f>COLORES!A21</f>
        <v/>
      </c>
      <c r="F312" s="67" t="str">
        <f>COLORES!B21</f>
        <v/>
      </c>
      <c r="G312" s="90" t="s">
        <v>378</v>
      </c>
      <c r="H312" s="100">
        <f>IFERROR(SUMIFS(MOVIMIENTOS_COMPLEMENTOS!$I$4:$I$803,MOVIMIENTOS_COMPLEMENTOS!$C$4:$C$803,A312,MOVIMIENTOS_COMPLEMENTOS!$D$4:$D$803,B312,MOVIMIENTOS_COMPLEMENTOS!$E$4:$E$803,C312,MOVIMIENTOS_COMPLEMENTOS!$G$4:$G$803,E312,MOVIMIENTOS_COMPLEMENTOS!$H$4:$H$803,G312,MOVIMIENTOS_COMPLEMENTOS!$B$4:$B$803,"INGRESO")+SUMIFS(MOVIMIENTOS_COMPLEMENTOS!$I$4:$I$803,MOVIMIENTOS_COMPLEMENTOS!$C$4:$C$803,A312,MOVIMIENTOS_COMPLEMENTOS!$D$4:$D$803,B312,MOVIMIENTOS_COMPLEMENTOS!$E$4:$E$803,C312,MOVIMIENTOS_COMPLEMENTOS!$G$4:$G$803,E312,MOVIMIENTOS_COMPLEMENTOS!$H$4:$H$803,G312,MOVIMIENTOS_COMPLEMENTOS!$B$4:$B$803,"DE CORTE")-SUMIFS(MOVIMIENTOS_COMPLEMENTOS!$I$4:$I$803,MOVIMIENTOS_COMPLEMENTOS!$C$4:$C$803,A312,MOVIMIENTOS_COMPLEMENTOS!$D$4:$D$803,B312,MOVIMIENTOS_COMPLEMENTOS!$E$4:$E$803,C312,MOVIMIENTOS_COMPLEMENTOS!$G$4:$G$803,E312,MOVIMIENTOS_COMPLEMENTOS!$H$4:$H$803,G312,MOVIMIENTOS_COMPLEMENTOS!$B$4:$B$803,"SALIDA"),0)</f>
        <v>0</v>
      </c>
      <c r="I312" s="102">
        <f t="array" ref="I312">IFERROR(INDEX(PRECIOS_COMPLEMENTOS!$C$4:$F$17,MATCH(B312&amp;"_"&amp;C312,PRECIOS_COMPLEMENTOS!$H$4:$H$17,0),IF(OR(G312="S",G312="20cm"),1,IF(OR(G312="M",G312="25cm"),2,IF(OR(G312="L",G312="30cm"),3,IF(OR(G312="XL",G312="35cm"),4,0))))),0)</f>
        <v>0.4</v>
      </c>
      <c r="J312" s="103">
        <f t="shared" si="1"/>
        <v>0</v>
      </c>
      <c r="K312" s="104" t="str">
        <f>IF(H312&lt;0,"ERROR",IF(H312=0,"",IF(H312&lt;CONFIG!$B$4,"CRÍTICO",IF(H312&lt;CONFIG!$B$5,"BAJO","OK"))))</f>
        <v/>
      </c>
    </row>
    <row r="313" ht="15.75" hidden="1" customHeight="1">
      <c r="A313" s="90" t="str">
        <f>IF(CLIENTES!A4="","",CLIENTES!A4)</f>
        <v>OverShark</v>
      </c>
      <c r="B313" s="90" t="s">
        <v>321</v>
      </c>
      <c r="C313" s="91" t="s">
        <v>326</v>
      </c>
      <c r="D313" s="109" t="s">
        <v>353</v>
      </c>
      <c r="E313" s="67" t="str">
        <f>COLORES!A21</f>
        <v/>
      </c>
      <c r="F313" s="67" t="str">
        <f>COLORES!B21</f>
        <v/>
      </c>
      <c r="G313" s="90" t="s">
        <v>376</v>
      </c>
      <c r="H313" s="100">
        <f>IFERROR(SUMIFS(MOVIMIENTOS_COMPLEMENTOS!$I$4:$I$803,MOVIMIENTOS_COMPLEMENTOS!$C$4:$C$803,A313,MOVIMIENTOS_COMPLEMENTOS!$D$4:$D$803,B313,MOVIMIENTOS_COMPLEMENTOS!$E$4:$E$803,C313,MOVIMIENTOS_COMPLEMENTOS!$G$4:$G$803,E313,MOVIMIENTOS_COMPLEMENTOS!$H$4:$H$803,G313,MOVIMIENTOS_COMPLEMENTOS!$B$4:$B$803,"INGRESO")+SUMIFS(MOVIMIENTOS_COMPLEMENTOS!$I$4:$I$803,MOVIMIENTOS_COMPLEMENTOS!$C$4:$C$803,A313,MOVIMIENTOS_COMPLEMENTOS!$D$4:$D$803,B313,MOVIMIENTOS_COMPLEMENTOS!$E$4:$E$803,C313,MOVIMIENTOS_COMPLEMENTOS!$G$4:$G$803,E313,MOVIMIENTOS_COMPLEMENTOS!$H$4:$H$803,G313,MOVIMIENTOS_COMPLEMENTOS!$B$4:$B$803,"DE CORTE")-SUMIFS(MOVIMIENTOS_COMPLEMENTOS!$I$4:$I$803,MOVIMIENTOS_COMPLEMENTOS!$C$4:$C$803,A313,MOVIMIENTOS_COMPLEMENTOS!$D$4:$D$803,B313,MOVIMIENTOS_COMPLEMENTOS!$E$4:$E$803,C313,MOVIMIENTOS_COMPLEMENTOS!$G$4:$G$803,E313,MOVIMIENTOS_COMPLEMENTOS!$H$4:$H$803,G313,MOVIMIENTOS_COMPLEMENTOS!$B$4:$B$803,"SALIDA"),0)</f>
        <v>0</v>
      </c>
      <c r="I313" s="102">
        <f t="array" ref="I313">IFERROR(INDEX(PRECIOS_COMPLEMENTOS!$C$4:$F$17,MATCH(B313&amp;"_"&amp;C313,PRECIOS_COMPLEMENTOS!$H$4:$H$17,0),IF(OR(G313="S",G313="20cm"),1,IF(OR(G313="M",G313="25cm"),2,IF(OR(G313="L",G313="30cm"),3,IF(OR(G313="XL",G313="35cm"),4,0))))),0)</f>
        <v>0.45</v>
      </c>
      <c r="J313" s="103">
        <f t="shared" si="1"/>
        <v>0</v>
      </c>
      <c r="K313" s="104" t="str">
        <f>IF(H313&lt;0,"ERROR",IF(H313=0,"",IF(H313&lt;CONFIG!$B$4,"CRÍTICO",IF(H313&lt;CONFIG!$B$5,"BAJO","OK"))))</f>
        <v/>
      </c>
    </row>
    <row r="314" ht="15.75" hidden="1" customHeight="1">
      <c r="A314" s="90" t="str">
        <f>IF(CLIENTES!A4="","",CLIENTES!A4)</f>
        <v>OverShark</v>
      </c>
      <c r="B314" s="90" t="s">
        <v>321</v>
      </c>
      <c r="C314" s="91" t="s">
        <v>326</v>
      </c>
      <c r="D314" s="109" t="s">
        <v>353</v>
      </c>
      <c r="E314" s="67" t="str">
        <f>COLORES!A21</f>
        <v/>
      </c>
      <c r="F314" s="67" t="str">
        <f>COLORES!B21</f>
        <v/>
      </c>
      <c r="G314" s="90" t="s">
        <v>377</v>
      </c>
      <c r="H314" s="100">
        <f>IFERROR(SUMIFS(MOVIMIENTOS_COMPLEMENTOS!$I$4:$I$803,MOVIMIENTOS_COMPLEMENTOS!$C$4:$C$803,A314,MOVIMIENTOS_COMPLEMENTOS!$D$4:$D$803,B314,MOVIMIENTOS_COMPLEMENTOS!$E$4:$E$803,C314,MOVIMIENTOS_COMPLEMENTOS!$G$4:$G$803,E314,MOVIMIENTOS_COMPLEMENTOS!$H$4:$H$803,G314,MOVIMIENTOS_COMPLEMENTOS!$B$4:$B$803,"INGRESO")+SUMIFS(MOVIMIENTOS_COMPLEMENTOS!$I$4:$I$803,MOVIMIENTOS_COMPLEMENTOS!$C$4:$C$803,A314,MOVIMIENTOS_COMPLEMENTOS!$D$4:$D$803,B314,MOVIMIENTOS_COMPLEMENTOS!$E$4:$E$803,C314,MOVIMIENTOS_COMPLEMENTOS!$G$4:$G$803,E314,MOVIMIENTOS_COMPLEMENTOS!$H$4:$H$803,G314,MOVIMIENTOS_COMPLEMENTOS!$B$4:$B$803,"DE CORTE")-SUMIFS(MOVIMIENTOS_COMPLEMENTOS!$I$4:$I$803,MOVIMIENTOS_COMPLEMENTOS!$C$4:$C$803,A314,MOVIMIENTOS_COMPLEMENTOS!$D$4:$D$803,B314,MOVIMIENTOS_COMPLEMENTOS!$E$4:$E$803,C314,MOVIMIENTOS_COMPLEMENTOS!$G$4:$G$803,E314,MOVIMIENTOS_COMPLEMENTOS!$H$4:$H$803,G314,MOVIMIENTOS_COMPLEMENTOS!$B$4:$B$803,"SALIDA"),0)</f>
        <v>0</v>
      </c>
      <c r="I314" s="102">
        <f t="array" ref="I314">IFERROR(INDEX(PRECIOS_COMPLEMENTOS!$C$4:$F$17,MATCH(B314&amp;"_"&amp;C314,PRECIOS_COMPLEMENTOS!$H$4:$H$17,0),IF(OR(G314="S",G314="20cm"),1,IF(OR(G314="M",G314="25cm"),2,IF(OR(G314="L",G314="30cm"),3,IF(OR(G314="XL",G314="35cm"),4,0))))),0)</f>
        <v>0.5</v>
      </c>
      <c r="J314" s="103">
        <f t="shared" si="1"/>
        <v>0</v>
      </c>
      <c r="K314" s="104" t="str">
        <f>IF(H314&lt;0,"ERROR",IF(H314=0,"",IF(H314&lt;CONFIG!$B$4,"CRÍTICO",IF(H314&lt;CONFIG!$B$5,"BAJO","OK"))))</f>
        <v/>
      </c>
    </row>
    <row r="315" ht="15.75" hidden="1" customHeight="1">
      <c r="A315" s="90" t="str">
        <f>IF(CLIENTES!A4="","",CLIENTES!A4)</f>
        <v>OverShark</v>
      </c>
      <c r="B315" s="90" t="s">
        <v>321</v>
      </c>
      <c r="C315" s="91" t="s">
        <v>326</v>
      </c>
      <c r="D315" s="109" t="s">
        <v>353</v>
      </c>
      <c r="E315" s="67" t="str">
        <f>COLORES!A21</f>
        <v/>
      </c>
      <c r="F315" s="67" t="str">
        <f>COLORES!B21</f>
        <v/>
      </c>
      <c r="G315" s="90" t="s">
        <v>379</v>
      </c>
      <c r="H315" s="100">
        <f>IFERROR(SUMIFS(MOVIMIENTOS_COMPLEMENTOS!$I$4:$I$803,MOVIMIENTOS_COMPLEMENTOS!$C$4:$C$803,A315,MOVIMIENTOS_COMPLEMENTOS!$D$4:$D$803,B315,MOVIMIENTOS_COMPLEMENTOS!$E$4:$E$803,C315,MOVIMIENTOS_COMPLEMENTOS!$G$4:$G$803,E315,MOVIMIENTOS_COMPLEMENTOS!$H$4:$H$803,G315,MOVIMIENTOS_COMPLEMENTOS!$B$4:$B$803,"INGRESO")+SUMIFS(MOVIMIENTOS_COMPLEMENTOS!$I$4:$I$803,MOVIMIENTOS_COMPLEMENTOS!$C$4:$C$803,A315,MOVIMIENTOS_COMPLEMENTOS!$D$4:$D$803,B315,MOVIMIENTOS_COMPLEMENTOS!$E$4:$E$803,C315,MOVIMIENTOS_COMPLEMENTOS!$G$4:$G$803,E315,MOVIMIENTOS_COMPLEMENTOS!$H$4:$H$803,G315,MOVIMIENTOS_COMPLEMENTOS!$B$4:$B$803,"DE CORTE")-SUMIFS(MOVIMIENTOS_COMPLEMENTOS!$I$4:$I$803,MOVIMIENTOS_COMPLEMENTOS!$C$4:$C$803,A315,MOVIMIENTOS_COMPLEMENTOS!$D$4:$D$803,B315,MOVIMIENTOS_COMPLEMENTOS!$E$4:$E$803,C315,MOVIMIENTOS_COMPLEMENTOS!$G$4:$G$803,E315,MOVIMIENTOS_COMPLEMENTOS!$H$4:$H$803,G315,MOVIMIENTOS_COMPLEMENTOS!$B$4:$B$803,"SALIDA"),0)</f>
        <v>0</v>
      </c>
      <c r="I315" s="102">
        <f t="array" ref="I315">IFERROR(INDEX(PRECIOS_COMPLEMENTOS!$C$4:$F$17,MATCH(B315&amp;"_"&amp;C315,PRECIOS_COMPLEMENTOS!$H$4:$H$17,0),IF(OR(G315="S",G315="20cm"),1,IF(OR(G315="M",G315="25cm"),2,IF(OR(G315="L",G315="30cm"),3,IF(OR(G315="XL",G315="35cm"),4,0))))),0)</f>
        <v>0.55</v>
      </c>
      <c r="J315" s="103">
        <f t="shared" si="1"/>
        <v>0</v>
      </c>
      <c r="K315" s="104" t="str">
        <f>IF(H315&lt;0,"ERROR",IF(H315=0,"",IF(H315&lt;CONFIG!$B$4,"CRÍTICO",IF(H315&lt;CONFIG!$B$5,"BAJO","OK"))))</f>
        <v/>
      </c>
    </row>
    <row r="316" ht="15.75" hidden="1" customHeight="1">
      <c r="A316" s="90" t="str">
        <f>IF(CLIENTES!A4="","",CLIENTES!A4)</f>
        <v>OverShark</v>
      </c>
      <c r="B316" s="90" t="s">
        <v>321</v>
      </c>
      <c r="C316" s="91" t="s">
        <v>326</v>
      </c>
      <c r="D316" s="109" t="s">
        <v>353</v>
      </c>
      <c r="E316" s="67" t="str">
        <f>COLORES!A22</f>
        <v/>
      </c>
      <c r="F316" s="67" t="str">
        <f>COLORES!B22</f>
        <v/>
      </c>
      <c r="G316" s="90" t="s">
        <v>378</v>
      </c>
      <c r="H316" s="100">
        <f>IFERROR(SUMIFS(MOVIMIENTOS_COMPLEMENTOS!$I$4:$I$803,MOVIMIENTOS_COMPLEMENTOS!$C$4:$C$803,A316,MOVIMIENTOS_COMPLEMENTOS!$D$4:$D$803,B316,MOVIMIENTOS_COMPLEMENTOS!$E$4:$E$803,C316,MOVIMIENTOS_COMPLEMENTOS!$G$4:$G$803,E316,MOVIMIENTOS_COMPLEMENTOS!$H$4:$H$803,G316,MOVIMIENTOS_COMPLEMENTOS!$B$4:$B$803,"INGRESO")+SUMIFS(MOVIMIENTOS_COMPLEMENTOS!$I$4:$I$803,MOVIMIENTOS_COMPLEMENTOS!$C$4:$C$803,A316,MOVIMIENTOS_COMPLEMENTOS!$D$4:$D$803,B316,MOVIMIENTOS_COMPLEMENTOS!$E$4:$E$803,C316,MOVIMIENTOS_COMPLEMENTOS!$G$4:$G$803,E316,MOVIMIENTOS_COMPLEMENTOS!$H$4:$H$803,G316,MOVIMIENTOS_COMPLEMENTOS!$B$4:$B$803,"DE CORTE")-SUMIFS(MOVIMIENTOS_COMPLEMENTOS!$I$4:$I$803,MOVIMIENTOS_COMPLEMENTOS!$C$4:$C$803,A316,MOVIMIENTOS_COMPLEMENTOS!$D$4:$D$803,B316,MOVIMIENTOS_COMPLEMENTOS!$E$4:$E$803,C316,MOVIMIENTOS_COMPLEMENTOS!$G$4:$G$803,E316,MOVIMIENTOS_COMPLEMENTOS!$H$4:$H$803,G316,MOVIMIENTOS_COMPLEMENTOS!$B$4:$B$803,"SALIDA"),0)</f>
        <v>0</v>
      </c>
      <c r="I316" s="102">
        <f t="array" ref="I316">IFERROR(INDEX(PRECIOS_COMPLEMENTOS!$C$4:$F$17,MATCH(B316&amp;"_"&amp;C316,PRECIOS_COMPLEMENTOS!$H$4:$H$17,0),IF(OR(G316="S",G316="20cm"),1,IF(OR(G316="M",G316="25cm"),2,IF(OR(G316="L",G316="30cm"),3,IF(OR(G316="XL",G316="35cm"),4,0))))),0)</f>
        <v>0.4</v>
      </c>
      <c r="J316" s="103">
        <f t="shared" si="1"/>
        <v>0</v>
      </c>
      <c r="K316" s="104" t="str">
        <f>IF(H316&lt;0,"ERROR",IF(H316=0,"",IF(H316&lt;CONFIG!$B$4,"CRÍTICO",IF(H316&lt;CONFIG!$B$5,"BAJO","OK"))))</f>
        <v/>
      </c>
    </row>
    <row r="317" ht="15.75" hidden="1" customHeight="1">
      <c r="A317" s="90" t="str">
        <f>IF(CLIENTES!A4="","",CLIENTES!A4)</f>
        <v>OverShark</v>
      </c>
      <c r="B317" s="90" t="s">
        <v>321</v>
      </c>
      <c r="C317" s="91" t="s">
        <v>326</v>
      </c>
      <c r="D317" s="109" t="s">
        <v>353</v>
      </c>
      <c r="E317" s="67" t="str">
        <f>COLORES!A22</f>
        <v/>
      </c>
      <c r="F317" s="67" t="str">
        <f>COLORES!B22</f>
        <v/>
      </c>
      <c r="G317" s="90" t="s">
        <v>376</v>
      </c>
      <c r="H317" s="100">
        <f>IFERROR(SUMIFS(MOVIMIENTOS_COMPLEMENTOS!$I$4:$I$803,MOVIMIENTOS_COMPLEMENTOS!$C$4:$C$803,A317,MOVIMIENTOS_COMPLEMENTOS!$D$4:$D$803,B317,MOVIMIENTOS_COMPLEMENTOS!$E$4:$E$803,C317,MOVIMIENTOS_COMPLEMENTOS!$G$4:$G$803,E317,MOVIMIENTOS_COMPLEMENTOS!$H$4:$H$803,G317,MOVIMIENTOS_COMPLEMENTOS!$B$4:$B$803,"INGRESO")+SUMIFS(MOVIMIENTOS_COMPLEMENTOS!$I$4:$I$803,MOVIMIENTOS_COMPLEMENTOS!$C$4:$C$803,A317,MOVIMIENTOS_COMPLEMENTOS!$D$4:$D$803,B317,MOVIMIENTOS_COMPLEMENTOS!$E$4:$E$803,C317,MOVIMIENTOS_COMPLEMENTOS!$G$4:$G$803,E317,MOVIMIENTOS_COMPLEMENTOS!$H$4:$H$803,G317,MOVIMIENTOS_COMPLEMENTOS!$B$4:$B$803,"DE CORTE")-SUMIFS(MOVIMIENTOS_COMPLEMENTOS!$I$4:$I$803,MOVIMIENTOS_COMPLEMENTOS!$C$4:$C$803,A317,MOVIMIENTOS_COMPLEMENTOS!$D$4:$D$803,B317,MOVIMIENTOS_COMPLEMENTOS!$E$4:$E$803,C317,MOVIMIENTOS_COMPLEMENTOS!$G$4:$G$803,E317,MOVIMIENTOS_COMPLEMENTOS!$H$4:$H$803,G317,MOVIMIENTOS_COMPLEMENTOS!$B$4:$B$803,"SALIDA"),0)</f>
        <v>0</v>
      </c>
      <c r="I317" s="102">
        <f t="array" ref="I317">IFERROR(INDEX(PRECIOS_COMPLEMENTOS!$C$4:$F$17,MATCH(B317&amp;"_"&amp;C317,PRECIOS_COMPLEMENTOS!$H$4:$H$17,0),IF(OR(G317="S",G317="20cm"),1,IF(OR(G317="M",G317="25cm"),2,IF(OR(G317="L",G317="30cm"),3,IF(OR(G317="XL",G317="35cm"),4,0))))),0)</f>
        <v>0.45</v>
      </c>
      <c r="J317" s="103">
        <f t="shared" si="1"/>
        <v>0</v>
      </c>
      <c r="K317" s="104" t="str">
        <f>IF(H317&lt;0,"ERROR",IF(H317=0,"",IF(H317&lt;CONFIG!$B$4,"CRÍTICO",IF(H317&lt;CONFIG!$B$5,"BAJO","OK"))))</f>
        <v/>
      </c>
    </row>
    <row r="318" ht="15.75" hidden="1" customHeight="1">
      <c r="A318" s="90" t="str">
        <f>IF(CLIENTES!A4="","",CLIENTES!A4)</f>
        <v>OverShark</v>
      </c>
      <c r="B318" s="90" t="s">
        <v>321</v>
      </c>
      <c r="C318" s="91" t="s">
        <v>326</v>
      </c>
      <c r="D318" s="109" t="s">
        <v>353</v>
      </c>
      <c r="E318" s="67" t="str">
        <f>COLORES!A22</f>
        <v/>
      </c>
      <c r="F318" s="67" t="str">
        <f>COLORES!B22</f>
        <v/>
      </c>
      <c r="G318" s="90" t="s">
        <v>377</v>
      </c>
      <c r="H318" s="100">
        <f>IFERROR(SUMIFS(MOVIMIENTOS_COMPLEMENTOS!$I$4:$I$803,MOVIMIENTOS_COMPLEMENTOS!$C$4:$C$803,A318,MOVIMIENTOS_COMPLEMENTOS!$D$4:$D$803,B318,MOVIMIENTOS_COMPLEMENTOS!$E$4:$E$803,C318,MOVIMIENTOS_COMPLEMENTOS!$G$4:$G$803,E318,MOVIMIENTOS_COMPLEMENTOS!$H$4:$H$803,G318,MOVIMIENTOS_COMPLEMENTOS!$B$4:$B$803,"INGRESO")+SUMIFS(MOVIMIENTOS_COMPLEMENTOS!$I$4:$I$803,MOVIMIENTOS_COMPLEMENTOS!$C$4:$C$803,A318,MOVIMIENTOS_COMPLEMENTOS!$D$4:$D$803,B318,MOVIMIENTOS_COMPLEMENTOS!$E$4:$E$803,C318,MOVIMIENTOS_COMPLEMENTOS!$G$4:$G$803,E318,MOVIMIENTOS_COMPLEMENTOS!$H$4:$H$803,G318,MOVIMIENTOS_COMPLEMENTOS!$B$4:$B$803,"DE CORTE")-SUMIFS(MOVIMIENTOS_COMPLEMENTOS!$I$4:$I$803,MOVIMIENTOS_COMPLEMENTOS!$C$4:$C$803,A318,MOVIMIENTOS_COMPLEMENTOS!$D$4:$D$803,B318,MOVIMIENTOS_COMPLEMENTOS!$E$4:$E$803,C318,MOVIMIENTOS_COMPLEMENTOS!$G$4:$G$803,E318,MOVIMIENTOS_COMPLEMENTOS!$H$4:$H$803,G318,MOVIMIENTOS_COMPLEMENTOS!$B$4:$B$803,"SALIDA"),0)</f>
        <v>0</v>
      </c>
      <c r="I318" s="102">
        <f t="array" ref="I318">IFERROR(INDEX(PRECIOS_COMPLEMENTOS!$C$4:$F$17,MATCH(B318&amp;"_"&amp;C318,PRECIOS_COMPLEMENTOS!$H$4:$H$17,0),IF(OR(G318="S",G318="20cm"),1,IF(OR(G318="M",G318="25cm"),2,IF(OR(G318="L",G318="30cm"),3,IF(OR(G318="XL",G318="35cm"),4,0))))),0)</f>
        <v>0.5</v>
      </c>
      <c r="J318" s="103">
        <f t="shared" si="1"/>
        <v>0</v>
      </c>
      <c r="K318" s="104" t="str">
        <f>IF(H318&lt;0,"ERROR",IF(H318=0,"",IF(H318&lt;CONFIG!$B$4,"CRÍTICO",IF(H318&lt;CONFIG!$B$5,"BAJO","OK"))))</f>
        <v/>
      </c>
    </row>
    <row r="319" ht="15.75" hidden="1" customHeight="1">
      <c r="A319" s="90" t="str">
        <f>IF(CLIENTES!A4="","",CLIENTES!A4)</f>
        <v>OverShark</v>
      </c>
      <c r="B319" s="90" t="s">
        <v>321</v>
      </c>
      <c r="C319" s="91" t="s">
        <v>326</v>
      </c>
      <c r="D319" s="109" t="s">
        <v>353</v>
      </c>
      <c r="E319" s="67" t="str">
        <f>COLORES!A22</f>
        <v/>
      </c>
      <c r="F319" s="67" t="str">
        <f>COLORES!B22</f>
        <v/>
      </c>
      <c r="G319" s="90" t="s">
        <v>379</v>
      </c>
      <c r="H319" s="100">
        <f>IFERROR(SUMIFS(MOVIMIENTOS_COMPLEMENTOS!$I$4:$I$803,MOVIMIENTOS_COMPLEMENTOS!$C$4:$C$803,A319,MOVIMIENTOS_COMPLEMENTOS!$D$4:$D$803,B319,MOVIMIENTOS_COMPLEMENTOS!$E$4:$E$803,C319,MOVIMIENTOS_COMPLEMENTOS!$G$4:$G$803,E319,MOVIMIENTOS_COMPLEMENTOS!$H$4:$H$803,G319,MOVIMIENTOS_COMPLEMENTOS!$B$4:$B$803,"INGRESO")+SUMIFS(MOVIMIENTOS_COMPLEMENTOS!$I$4:$I$803,MOVIMIENTOS_COMPLEMENTOS!$C$4:$C$803,A319,MOVIMIENTOS_COMPLEMENTOS!$D$4:$D$803,B319,MOVIMIENTOS_COMPLEMENTOS!$E$4:$E$803,C319,MOVIMIENTOS_COMPLEMENTOS!$G$4:$G$803,E319,MOVIMIENTOS_COMPLEMENTOS!$H$4:$H$803,G319,MOVIMIENTOS_COMPLEMENTOS!$B$4:$B$803,"DE CORTE")-SUMIFS(MOVIMIENTOS_COMPLEMENTOS!$I$4:$I$803,MOVIMIENTOS_COMPLEMENTOS!$C$4:$C$803,A319,MOVIMIENTOS_COMPLEMENTOS!$D$4:$D$803,B319,MOVIMIENTOS_COMPLEMENTOS!$E$4:$E$803,C319,MOVIMIENTOS_COMPLEMENTOS!$G$4:$G$803,E319,MOVIMIENTOS_COMPLEMENTOS!$H$4:$H$803,G319,MOVIMIENTOS_COMPLEMENTOS!$B$4:$B$803,"SALIDA"),0)</f>
        <v>0</v>
      </c>
      <c r="I319" s="102">
        <f t="array" ref="I319">IFERROR(INDEX(PRECIOS_COMPLEMENTOS!$C$4:$F$17,MATCH(B319&amp;"_"&amp;C319,PRECIOS_COMPLEMENTOS!$H$4:$H$17,0),IF(OR(G319="S",G319="20cm"),1,IF(OR(G319="M",G319="25cm"),2,IF(OR(G319="L",G319="30cm"),3,IF(OR(G319="XL",G319="35cm"),4,0))))),0)</f>
        <v>0.55</v>
      </c>
      <c r="J319" s="103">
        <f t="shared" si="1"/>
        <v>0</v>
      </c>
      <c r="K319" s="104" t="str">
        <f>IF(H319&lt;0,"ERROR",IF(H319=0,"",IF(H319&lt;CONFIG!$B$4,"CRÍTICO",IF(H319&lt;CONFIG!$B$5,"BAJO","OK"))))</f>
        <v/>
      </c>
    </row>
    <row r="320" ht="15.75" hidden="1" customHeight="1">
      <c r="A320" s="90" t="str">
        <f>IF(CLIENTES!A4="","",CLIENTES!A4)</f>
        <v>OverShark</v>
      </c>
      <c r="B320" s="90" t="s">
        <v>321</v>
      </c>
      <c r="C320" s="91" t="s">
        <v>326</v>
      </c>
      <c r="D320" s="109" t="s">
        <v>353</v>
      </c>
      <c r="E320" s="67" t="str">
        <f>COLORES!A23</f>
        <v/>
      </c>
      <c r="F320" s="67" t="str">
        <f>COLORES!B23</f>
        <v/>
      </c>
      <c r="G320" s="90" t="s">
        <v>378</v>
      </c>
      <c r="H320" s="100">
        <f>IFERROR(SUMIFS(MOVIMIENTOS_COMPLEMENTOS!$I$4:$I$803,MOVIMIENTOS_COMPLEMENTOS!$C$4:$C$803,A320,MOVIMIENTOS_COMPLEMENTOS!$D$4:$D$803,B320,MOVIMIENTOS_COMPLEMENTOS!$E$4:$E$803,C320,MOVIMIENTOS_COMPLEMENTOS!$G$4:$G$803,E320,MOVIMIENTOS_COMPLEMENTOS!$H$4:$H$803,G320,MOVIMIENTOS_COMPLEMENTOS!$B$4:$B$803,"INGRESO")+SUMIFS(MOVIMIENTOS_COMPLEMENTOS!$I$4:$I$803,MOVIMIENTOS_COMPLEMENTOS!$C$4:$C$803,A320,MOVIMIENTOS_COMPLEMENTOS!$D$4:$D$803,B320,MOVIMIENTOS_COMPLEMENTOS!$E$4:$E$803,C320,MOVIMIENTOS_COMPLEMENTOS!$G$4:$G$803,E320,MOVIMIENTOS_COMPLEMENTOS!$H$4:$H$803,G320,MOVIMIENTOS_COMPLEMENTOS!$B$4:$B$803,"DE CORTE")-SUMIFS(MOVIMIENTOS_COMPLEMENTOS!$I$4:$I$803,MOVIMIENTOS_COMPLEMENTOS!$C$4:$C$803,A320,MOVIMIENTOS_COMPLEMENTOS!$D$4:$D$803,B320,MOVIMIENTOS_COMPLEMENTOS!$E$4:$E$803,C320,MOVIMIENTOS_COMPLEMENTOS!$G$4:$G$803,E320,MOVIMIENTOS_COMPLEMENTOS!$H$4:$H$803,G320,MOVIMIENTOS_COMPLEMENTOS!$B$4:$B$803,"SALIDA"),0)</f>
        <v>0</v>
      </c>
      <c r="I320" s="102">
        <f t="array" ref="I320">IFERROR(INDEX(PRECIOS_COMPLEMENTOS!$C$4:$F$17,MATCH(B320&amp;"_"&amp;C320,PRECIOS_COMPLEMENTOS!$H$4:$H$17,0),IF(OR(G320="S",G320="20cm"),1,IF(OR(G320="M",G320="25cm"),2,IF(OR(G320="L",G320="30cm"),3,IF(OR(G320="XL",G320="35cm"),4,0))))),0)</f>
        <v>0.4</v>
      </c>
      <c r="J320" s="103">
        <f t="shared" si="1"/>
        <v>0</v>
      </c>
      <c r="K320" s="104" t="str">
        <f>IF(H320&lt;0,"ERROR",IF(H320=0,"",IF(H320&lt;CONFIG!$B$4,"CRÍTICO",IF(H320&lt;CONFIG!$B$5,"BAJO","OK"))))</f>
        <v/>
      </c>
    </row>
    <row r="321" ht="15.75" hidden="1" customHeight="1">
      <c r="A321" s="90" t="str">
        <f>IF(CLIENTES!A4="","",CLIENTES!A4)</f>
        <v>OverShark</v>
      </c>
      <c r="B321" s="90" t="s">
        <v>321</v>
      </c>
      <c r="C321" s="91" t="s">
        <v>326</v>
      </c>
      <c r="D321" s="109" t="s">
        <v>353</v>
      </c>
      <c r="E321" s="67" t="str">
        <f>COLORES!A23</f>
        <v/>
      </c>
      <c r="F321" s="67" t="str">
        <f>COLORES!B23</f>
        <v/>
      </c>
      <c r="G321" s="90" t="s">
        <v>376</v>
      </c>
      <c r="H321" s="100">
        <f>IFERROR(SUMIFS(MOVIMIENTOS_COMPLEMENTOS!$I$4:$I$803,MOVIMIENTOS_COMPLEMENTOS!$C$4:$C$803,A321,MOVIMIENTOS_COMPLEMENTOS!$D$4:$D$803,B321,MOVIMIENTOS_COMPLEMENTOS!$E$4:$E$803,C321,MOVIMIENTOS_COMPLEMENTOS!$G$4:$G$803,E321,MOVIMIENTOS_COMPLEMENTOS!$H$4:$H$803,G321,MOVIMIENTOS_COMPLEMENTOS!$B$4:$B$803,"INGRESO")+SUMIFS(MOVIMIENTOS_COMPLEMENTOS!$I$4:$I$803,MOVIMIENTOS_COMPLEMENTOS!$C$4:$C$803,A321,MOVIMIENTOS_COMPLEMENTOS!$D$4:$D$803,B321,MOVIMIENTOS_COMPLEMENTOS!$E$4:$E$803,C321,MOVIMIENTOS_COMPLEMENTOS!$G$4:$G$803,E321,MOVIMIENTOS_COMPLEMENTOS!$H$4:$H$803,G321,MOVIMIENTOS_COMPLEMENTOS!$B$4:$B$803,"DE CORTE")-SUMIFS(MOVIMIENTOS_COMPLEMENTOS!$I$4:$I$803,MOVIMIENTOS_COMPLEMENTOS!$C$4:$C$803,A321,MOVIMIENTOS_COMPLEMENTOS!$D$4:$D$803,B321,MOVIMIENTOS_COMPLEMENTOS!$E$4:$E$803,C321,MOVIMIENTOS_COMPLEMENTOS!$G$4:$G$803,E321,MOVIMIENTOS_COMPLEMENTOS!$H$4:$H$803,G321,MOVIMIENTOS_COMPLEMENTOS!$B$4:$B$803,"SALIDA"),0)</f>
        <v>0</v>
      </c>
      <c r="I321" s="102">
        <f t="array" ref="I321">IFERROR(INDEX(PRECIOS_COMPLEMENTOS!$C$4:$F$17,MATCH(B321&amp;"_"&amp;C321,PRECIOS_COMPLEMENTOS!$H$4:$H$17,0),IF(OR(G321="S",G321="20cm"),1,IF(OR(G321="M",G321="25cm"),2,IF(OR(G321="L",G321="30cm"),3,IF(OR(G321="XL",G321="35cm"),4,0))))),0)</f>
        <v>0.45</v>
      </c>
      <c r="J321" s="103">
        <f t="shared" si="1"/>
        <v>0</v>
      </c>
      <c r="K321" s="104" t="str">
        <f>IF(H321&lt;0,"ERROR",IF(H321=0,"",IF(H321&lt;CONFIG!$B$4,"CRÍTICO",IF(H321&lt;CONFIG!$B$5,"BAJO","OK"))))</f>
        <v/>
      </c>
    </row>
    <row r="322" ht="15.75" hidden="1" customHeight="1">
      <c r="A322" s="90" t="str">
        <f>IF(CLIENTES!A4="","",CLIENTES!A4)</f>
        <v>OverShark</v>
      </c>
      <c r="B322" s="90" t="s">
        <v>321</v>
      </c>
      <c r="C322" s="91" t="s">
        <v>326</v>
      </c>
      <c r="D322" s="109" t="s">
        <v>353</v>
      </c>
      <c r="E322" s="67" t="str">
        <f>COLORES!A23</f>
        <v/>
      </c>
      <c r="F322" s="67" t="str">
        <f>COLORES!B23</f>
        <v/>
      </c>
      <c r="G322" s="90" t="s">
        <v>377</v>
      </c>
      <c r="H322" s="100">
        <f>IFERROR(SUMIFS(MOVIMIENTOS_COMPLEMENTOS!$I$4:$I$803,MOVIMIENTOS_COMPLEMENTOS!$C$4:$C$803,A322,MOVIMIENTOS_COMPLEMENTOS!$D$4:$D$803,B322,MOVIMIENTOS_COMPLEMENTOS!$E$4:$E$803,C322,MOVIMIENTOS_COMPLEMENTOS!$G$4:$G$803,E322,MOVIMIENTOS_COMPLEMENTOS!$H$4:$H$803,G322,MOVIMIENTOS_COMPLEMENTOS!$B$4:$B$803,"INGRESO")+SUMIFS(MOVIMIENTOS_COMPLEMENTOS!$I$4:$I$803,MOVIMIENTOS_COMPLEMENTOS!$C$4:$C$803,A322,MOVIMIENTOS_COMPLEMENTOS!$D$4:$D$803,B322,MOVIMIENTOS_COMPLEMENTOS!$E$4:$E$803,C322,MOVIMIENTOS_COMPLEMENTOS!$G$4:$G$803,E322,MOVIMIENTOS_COMPLEMENTOS!$H$4:$H$803,G322,MOVIMIENTOS_COMPLEMENTOS!$B$4:$B$803,"DE CORTE")-SUMIFS(MOVIMIENTOS_COMPLEMENTOS!$I$4:$I$803,MOVIMIENTOS_COMPLEMENTOS!$C$4:$C$803,A322,MOVIMIENTOS_COMPLEMENTOS!$D$4:$D$803,B322,MOVIMIENTOS_COMPLEMENTOS!$E$4:$E$803,C322,MOVIMIENTOS_COMPLEMENTOS!$G$4:$G$803,E322,MOVIMIENTOS_COMPLEMENTOS!$H$4:$H$803,G322,MOVIMIENTOS_COMPLEMENTOS!$B$4:$B$803,"SALIDA"),0)</f>
        <v>0</v>
      </c>
      <c r="I322" s="102">
        <f t="array" ref="I322">IFERROR(INDEX(PRECIOS_COMPLEMENTOS!$C$4:$F$17,MATCH(B322&amp;"_"&amp;C322,PRECIOS_COMPLEMENTOS!$H$4:$H$17,0),IF(OR(G322="S",G322="20cm"),1,IF(OR(G322="M",G322="25cm"),2,IF(OR(G322="L",G322="30cm"),3,IF(OR(G322="XL",G322="35cm"),4,0))))),0)</f>
        <v>0.5</v>
      </c>
      <c r="J322" s="103">
        <f t="shared" si="1"/>
        <v>0</v>
      </c>
      <c r="K322" s="104" t="str">
        <f>IF(H322&lt;0,"ERROR",IF(H322=0,"",IF(H322&lt;CONFIG!$B$4,"CRÍTICO",IF(H322&lt;CONFIG!$B$5,"BAJO","OK"))))</f>
        <v/>
      </c>
    </row>
    <row r="323" ht="15.75" hidden="1" customHeight="1">
      <c r="A323" s="90" t="str">
        <f>IF(CLIENTES!A4="","",CLIENTES!A4)</f>
        <v>OverShark</v>
      </c>
      <c r="B323" s="90" t="s">
        <v>321</v>
      </c>
      <c r="C323" s="91" t="s">
        <v>326</v>
      </c>
      <c r="D323" s="109" t="s">
        <v>353</v>
      </c>
      <c r="E323" s="67" t="str">
        <f>COLORES!A23</f>
        <v/>
      </c>
      <c r="F323" s="67" t="str">
        <f>COLORES!B23</f>
        <v/>
      </c>
      <c r="G323" s="90" t="s">
        <v>379</v>
      </c>
      <c r="H323" s="100">
        <f>IFERROR(SUMIFS(MOVIMIENTOS_COMPLEMENTOS!$I$4:$I$803,MOVIMIENTOS_COMPLEMENTOS!$C$4:$C$803,A323,MOVIMIENTOS_COMPLEMENTOS!$D$4:$D$803,B323,MOVIMIENTOS_COMPLEMENTOS!$E$4:$E$803,C323,MOVIMIENTOS_COMPLEMENTOS!$G$4:$G$803,E323,MOVIMIENTOS_COMPLEMENTOS!$H$4:$H$803,G323,MOVIMIENTOS_COMPLEMENTOS!$B$4:$B$803,"INGRESO")+SUMIFS(MOVIMIENTOS_COMPLEMENTOS!$I$4:$I$803,MOVIMIENTOS_COMPLEMENTOS!$C$4:$C$803,A323,MOVIMIENTOS_COMPLEMENTOS!$D$4:$D$803,B323,MOVIMIENTOS_COMPLEMENTOS!$E$4:$E$803,C323,MOVIMIENTOS_COMPLEMENTOS!$G$4:$G$803,E323,MOVIMIENTOS_COMPLEMENTOS!$H$4:$H$803,G323,MOVIMIENTOS_COMPLEMENTOS!$B$4:$B$803,"DE CORTE")-SUMIFS(MOVIMIENTOS_COMPLEMENTOS!$I$4:$I$803,MOVIMIENTOS_COMPLEMENTOS!$C$4:$C$803,A323,MOVIMIENTOS_COMPLEMENTOS!$D$4:$D$803,B323,MOVIMIENTOS_COMPLEMENTOS!$E$4:$E$803,C323,MOVIMIENTOS_COMPLEMENTOS!$G$4:$G$803,E323,MOVIMIENTOS_COMPLEMENTOS!$H$4:$H$803,G323,MOVIMIENTOS_COMPLEMENTOS!$B$4:$B$803,"SALIDA"),0)</f>
        <v>0</v>
      </c>
      <c r="I323" s="102">
        <f t="array" ref="I323">IFERROR(INDEX(PRECIOS_COMPLEMENTOS!$C$4:$F$17,MATCH(B323&amp;"_"&amp;C323,PRECIOS_COMPLEMENTOS!$H$4:$H$17,0),IF(OR(G323="S",G323="20cm"),1,IF(OR(G323="M",G323="25cm"),2,IF(OR(G323="L",G323="30cm"),3,IF(OR(G323="XL",G323="35cm"),4,0))))),0)</f>
        <v>0.55</v>
      </c>
      <c r="J323" s="103">
        <f t="shared" si="1"/>
        <v>0</v>
      </c>
      <c r="K323" s="104" t="str">
        <f>IF(H323&lt;0,"ERROR",IF(H323=0,"",IF(H323&lt;CONFIG!$B$4,"CRÍTICO",IF(H323&lt;CONFIG!$B$5,"BAJO","OK"))))</f>
        <v/>
      </c>
    </row>
    <row r="324" ht="15.75" hidden="1" customHeight="1">
      <c r="A324" s="90" t="str">
        <f>IF(CLIENTES!A5="","",CLIENTES!A5)</f>
        <v>Bravos</v>
      </c>
      <c r="B324" s="90" t="s">
        <v>321</v>
      </c>
      <c r="C324" s="91" t="s">
        <v>326</v>
      </c>
      <c r="D324" s="109" t="s">
        <v>353</v>
      </c>
      <c r="E324" s="67" t="str">
        <f>COLORES!A4</f>
        <v>Negro</v>
      </c>
      <c r="F324" s="67" t="str">
        <f>COLORES!B4</f>
        <v>OSCURO</v>
      </c>
      <c r="G324" s="90" t="s">
        <v>378</v>
      </c>
      <c r="H324" s="100">
        <f>IFERROR(SUMIFS(MOVIMIENTOS_COMPLEMENTOS!$I$4:$I$803,MOVIMIENTOS_COMPLEMENTOS!$C$4:$C$803,A324,MOVIMIENTOS_COMPLEMENTOS!$D$4:$D$803,B324,MOVIMIENTOS_COMPLEMENTOS!$E$4:$E$803,C324,MOVIMIENTOS_COMPLEMENTOS!$G$4:$G$803,E324,MOVIMIENTOS_COMPLEMENTOS!$H$4:$H$803,G324,MOVIMIENTOS_COMPLEMENTOS!$B$4:$B$803,"INGRESO")+SUMIFS(MOVIMIENTOS_COMPLEMENTOS!$I$4:$I$803,MOVIMIENTOS_COMPLEMENTOS!$C$4:$C$803,A324,MOVIMIENTOS_COMPLEMENTOS!$D$4:$D$803,B324,MOVIMIENTOS_COMPLEMENTOS!$E$4:$E$803,C324,MOVIMIENTOS_COMPLEMENTOS!$G$4:$G$803,E324,MOVIMIENTOS_COMPLEMENTOS!$H$4:$H$803,G324,MOVIMIENTOS_COMPLEMENTOS!$B$4:$B$803,"DE CORTE")-SUMIFS(MOVIMIENTOS_COMPLEMENTOS!$I$4:$I$803,MOVIMIENTOS_COMPLEMENTOS!$C$4:$C$803,A324,MOVIMIENTOS_COMPLEMENTOS!$D$4:$D$803,B324,MOVIMIENTOS_COMPLEMENTOS!$E$4:$E$803,C324,MOVIMIENTOS_COMPLEMENTOS!$G$4:$G$803,E324,MOVIMIENTOS_COMPLEMENTOS!$H$4:$H$803,G324,MOVIMIENTOS_COMPLEMENTOS!$B$4:$B$803,"SALIDA"),0)</f>
        <v>0</v>
      </c>
      <c r="I324" s="102">
        <f t="array" ref="I324">IFERROR(INDEX(PRECIOS_COMPLEMENTOS!$C$4:$F$17,MATCH(B324&amp;"_"&amp;C324,PRECIOS_COMPLEMENTOS!$H$4:$H$17,0),IF(OR(G324="S",G324="20cm"),1,IF(OR(G324="M",G324="25cm"),2,IF(OR(G324="L",G324="30cm"),3,IF(OR(G324="XL",G324="35cm"),4,0))))),0)</f>
        <v>0.4</v>
      </c>
      <c r="J324" s="103">
        <f t="shared" si="1"/>
        <v>0</v>
      </c>
      <c r="K324" s="104" t="str">
        <f>IF(H324&lt;0,"ERROR",IF(H324=0,"",IF(H324&lt;CONFIG!$B$4,"CRÍTICO",IF(H324&lt;CONFIG!$B$5,"BAJO","OK"))))</f>
        <v/>
      </c>
    </row>
    <row r="325" ht="15.75" hidden="1" customHeight="1">
      <c r="A325" s="90" t="str">
        <f>IF(CLIENTES!A5="","",CLIENTES!A5)</f>
        <v>Bravos</v>
      </c>
      <c r="B325" s="90" t="s">
        <v>321</v>
      </c>
      <c r="C325" s="91" t="s">
        <v>326</v>
      </c>
      <c r="D325" s="109" t="s">
        <v>353</v>
      </c>
      <c r="E325" s="67" t="str">
        <f>COLORES!A4</f>
        <v>Negro</v>
      </c>
      <c r="F325" s="67" t="str">
        <f>COLORES!B4</f>
        <v>OSCURO</v>
      </c>
      <c r="G325" s="90" t="s">
        <v>376</v>
      </c>
      <c r="H325" s="100">
        <f>IFERROR(SUMIFS(MOVIMIENTOS_COMPLEMENTOS!$I$4:$I$803,MOVIMIENTOS_COMPLEMENTOS!$C$4:$C$803,A325,MOVIMIENTOS_COMPLEMENTOS!$D$4:$D$803,B325,MOVIMIENTOS_COMPLEMENTOS!$E$4:$E$803,C325,MOVIMIENTOS_COMPLEMENTOS!$G$4:$G$803,E325,MOVIMIENTOS_COMPLEMENTOS!$H$4:$H$803,G325,MOVIMIENTOS_COMPLEMENTOS!$B$4:$B$803,"INGRESO")+SUMIFS(MOVIMIENTOS_COMPLEMENTOS!$I$4:$I$803,MOVIMIENTOS_COMPLEMENTOS!$C$4:$C$803,A325,MOVIMIENTOS_COMPLEMENTOS!$D$4:$D$803,B325,MOVIMIENTOS_COMPLEMENTOS!$E$4:$E$803,C325,MOVIMIENTOS_COMPLEMENTOS!$G$4:$G$803,E325,MOVIMIENTOS_COMPLEMENTOS!$H$4:$H$803,G325,MOVIMIENTOS_COMPLEMENTOS!$B$4:$B$803,"DE CORTE")-SUMIFS(MOVIMIENTOS_COMPLEMENTOS!$I$4:$I$803,MOVIMIENTOS_COMPLEMENTOS!$C$4:$C$803,A325,MOVIMIENTOS_COMPLEMENTOS!$D$4:$D$803,B325,MOVIMIENTOS_COMPLEMENTOS!$E$4:$E$803,C325,MOVIMIENTOS_COMPLEMENTOS!$G$4:$G$803,E325,MOVIMIENTOS_COMPLEMENTOS!$H$4:$H$803,G325,MOVIMIENTOS_COMPLEMENTOS!$B$4:$B$803,"SALIDA"),0)</f>
        <v>0</v>
      </c>
      <c r="I325" s="102">
        <f t="array" ref="I325">IFERROR(INDEX(PRECIOS_COMPLEMENTOS!$C$4:$F$17,MATCH(B325&amp;"_"&amp;C325,PRECIOS_COMPLEMENTOS!$H$4:$H$17,0),IF(OR(G325="S",G325="20cm"),1,IF(OR(G325="M",G325="25cm"),2,IF(OR(G325="L",G325="30cm"),3,IF(OR(G325="XL",G325="35cm"),4,0))))),0)</f>
        <v>0.45</v>
      </c>
      <c r="J325" s="103">
        <f t="shared" si="1"/>
        <v>0</v>
      </c>
      <c r="K325" s="104" t="str">
        <f>IF(H325&lt;0,"ERROR",IF(H325=0,"",IF(H325&lt;CONFIG!$B$4,"CRÍTICO",IF(H325&lt;CONFIG!$B$5,"BAJO","OK"))))</f>
        <v/>
      </c>
    </row>
    <row r="326" ht="15.75" hidden="1" customHeight="1">
      <c r="A326" s="90" t="str">
        <f>IF(CLIENTES!A5="","",CLIENTES!A5)</f>
        <v>Bravos</v>
      </c>
      <c r="B326" s="90" t="s">
        <v>321</v>
      </c>
      <c r="C326" s="91" t="s">
        <v>326</v>
      </c>
      <c r="D326" s="109" t="s">
        <v>353</v>
      </c>
      <c r="E326" s="67" t="str">
        <f>COLORES!A4</f>
        <v>Negro</v>
      </c>
      <c r="F326" s="67" t="str">
        <f>COLORES!B4</f>
        <v>OSCURO</v>
      </c>
      <c r="G326" s="90" t="s">
        <v>377</v>
      </c>
      <c r="H326" s="100">
        <f>IFERROR(SUMIFS(MOVIMIENTOS_COMPLEMENTOS!$I$4:$I$803,MOVIMIENTOS_COMPLEMENTOS!$C$4:$C$803,A326,MOVIMIENTOS_COMPLEMENTOS!$D$4:$D$803,B326,MOVIMIENTOS_COMPLEMENTOS!$E$4:$E$803,C326,MOVIMIENTOS_COMPLEMENTOS!$G$4:$G$803,E326,MOVIMIENTOS_COMPLEMENTOS!$H$4:$H$803,G326,MOVIMIENTOS_COMPLEMENTOS!$B$4:$B$803,"INGRESO")+SUMIFS(MOVIMIENTOS_COMPLEMENTOS!$I$4:$I$803,MOVIMIENTOS_COMPLEMENTOS!$C$4:$C$803,A326,MOVIMIENTOS_COMPLEMENTOS!$D$4:$D$803,B326,MOVIMIENTOS_COMPLEMENTOS!$E$4:$E$803,C326,MOVIMIENTOS_COMPLEMENTOS!$G$4:$G$803,E326,MOVIMIENTOS_COMPLEMENTOS!$H$4:$H$803,G326,MOVIMIENTOS_COMPLEMENTOS!$B$4:$B$803,"DE CORTE")-SUMIFS(MOVIMIENTOS_COMPLEMENTOS!$I$4:$I$803,MOVIMIENTOS_COMPLEMENTOS!$C$4:$C$803,A326,MOVIMIENTOS_COMPLEMENTOS!$D$4:$D$803,B326,MOVIMIENTOS_COMPLEMENTOS!$E$4:$E$803,C326,MOVIMIENTOS_COMPLEMENTOS!$G$4:$G$803,E326,MOVIMIENTOS_COMPLEMENTOS!$H$4:$H$803,G326,MOVIMIENTOS_COMPLEMENTOS!$B$4:$B$803,"SALIDA"),0)</f>
        <v>0</v>
      </c>
      <c r="I326" s="102">
        <f t="array" ref="I326">IFERROR(INDEX(PRECIOS_COMPLEMENTOS!$C$4:$F$17,MATCH(B326&amp;"_"&amp;C326,PRECIOS_COMPLEMENTOS!$H$4:$H$17,0),IF(OR(G326="S",G326="20cm"),1,IF(OR(G326="M",G326="25cm"),2,IF(OR(G326="L",G326="30cm"),3,IF(OR(G326="XL",G326="35cm"),4,0))))),0)</f>
        <v>0.5</v>
      </c>
      <c r="J326" s="103">
        <f t="shared" si="1"/>
        <v>0</v>
      </c>
      <c r="K326" s="104" t="str">
        <f>IF(H326&lt;0,"ERROR",IF(H326=0,"",IF(H326&lt;CONFIG!$B$4,"CRÍTICO",IF(H326&lt;CONFIG!$B$5,"BAJO","OK"))))</f>
        <v/>
      </c>
    </row>
    <row r="327" ht="15.75" hidden="1" customHeight="1">
      <c r="A327" s="90" t="str">
        <f>IF(CLIENTES!A5="","",CLIENTES!A5)</f>
        <v>Bravos</v>
      </c>
      <c r="B327" s="90" t="s">
        <v>321</v>
      </c>
      <c r="C327" s="91" t="s">
        <v>326</v>
      </c>
      <c r="D327" s="109" t="s">
        <v>353</v>
      </c>
      <c r="E327" s="67" t="str">
        <f>COLORES!A4</f>
        <v>Negro</v>
      </c>
      <c r="F327" s="67" t="str">
        <f>COLORES!B4</f>
        <v>OSCURO</v>
      </c>
      <c r="G327" s="90" t="s">
        <v>379</v>
      </c>
      <c r="H327" s="100">
        <f>IFERROR(SUMIFS(MOVIMIENTOS_COMPLEMENTOS!$I$4:$I$803,MOVIMIENTOS_COMPLEMENTOS!$C$4:$C$803,A327,MOVIMIENTOS_COMPLEMENTOS!$D$4:$D$803,B327,MOVIMIENTOS_COMPLEMENTOS!$E$4:$E$803,C327,MOVIMIENTOS_COMPLEMENTOS!$G$4:$G$803,E327,MOVIMIENTOS_COMPLEMENTOS!$H$4:$H$803,G327,MOVIMIENTOS_COMPLEMENTOS!$B$4:$B$803,"INGRESO")+SUMIFS(MOVIMIENTOS_COMPLEMENTOS!$I$4:$I$803,MOVIMIENTOS_COMPLEMENTOS!$C$4:$C$803,A327,MOVIMIENTOS_COMPLEMENTOS!$D$4:$D$803,B327,MOVIMIENTOS_COMPLEMENTOS!$E$4:$E$803,C327,MOVIMIENTOS_COMPLEMENTOS!$G$4:$G$803,E327,MOVIMIENTOS_COMPLEMENTOS!$H$4:$H$803,G327,MOVIMIENTOS_COMPLEMENTOS!$B$4:$B$803,"DE CORTE")-SUMIFS(MOVIMIENTOS_COMPLEMENTOS!$I$4:$I$803,MOVIMIENTOS_COMPLEMENTOS!$C$4:$C$803,A327,MOVIMIENTOS_COMPLEMENTOS!$D$4:$D$803,B327,MOVIMIENTOS_COMPLEMENTOS!$E$4:$E$803,C327,MOVIMIENTOS_COMPLEMENTOS!$G$4:$G$803,E327,MOVIMIENTOS_COMPLEMENTOS!$H$4:$H$803,G327,MOVIMIENTOS_COMPLEMENTOS!$B$4:$B$803,"SALIDA"),0)</f>
        <v>0</v>
      </c>
      <c r="I327" s="102">
        <f t="array" ref="I327">IFERROR(INDEX(PRECIOS_COMPLEMENTOS!$C$4:$F$17,MATCH(B327&amp;"_"&amp;C327,PRECIOS_COMPLEMENTOS!$H$4:$H$17,0),IF(OR(G327="S",G327="20cm"),1,IF(OR(G327="M",G327="25cm"),2,IF(OR(G327="L",G327="30cm"),3,IF(OR(G327="XL",G327="35cm"),4,0))))),0)</f>
        <v>0.55</v>
      </c>
      <c r="J327" s="103">
        <f t="shared" si="1"/>
        <v>0</v>
      </c>
      <c r="K327" s="104" t="str">
        <f>IF(H327&lt;0,"ERROR",IF(H327=0,"",IF(H327&lt;CONFIG!$B$4,"CRÍTICO",IF(H327&lt;CONFIG!$B$5,"BAJO","OK"))))</f>
        <v/>
      </c>
    </row>
    <row r="328" ht="15.75" hidden="1" customHeight="1">
      <c r="A328" s="90" t="str">
        <f>IF(CLIENTES!A5="","",CLIENTES!A5)</f>
        <v>Bravos</v>
      </c>
      <c r="B328" s="90" t="s">
        <v>321</v>
      </c>
      <c r="C328" s="91" t="s">
        <v>326</v>
      </c>
      <c r="D328" s="109" t="s">
        <v>353</v>
      </c>
      <c r="E328" s="67" t="str">
        <f>COLORES!A5</f>
        <v>Perla</v>
      </c>
      <c r="F328" s="67" t="str">
        <f>COLORES!B5</f>
        <v>PPT</v>
      </c>
      <c r="G328" s="90" t="s">
        <v>378</v>
      </c>
      <c r="H328" s="100">
        <f>IFERROR(SUMIFS(MOVIMIENTOS_COMPLEMENTOS!$I$4:$I$803,MOVIMIENTOS_COMPLEMENTOS!$C$4:$C$803,A328,MOVIMIENTOS_COMPLEMENTOS!$D$4:$D$803,B328,MOVIMIENTOS_COMPLEMENTOS!$E$4:$E$803,C328,MOVIMIENTOS_COMPLEMENTOS!$G$4:$G$803,E328,MOVIMIENTOS_COMPLEMENTOS!$H$4:$H$803,G328,MOVIMIENTOS_COMPLEMENTOS!$B$4:$B$803,"INGRESO")+SUMIFS(MOVIMIENTOS_COMPLEMENTOS!$I$4:$I$803,MOVIMIENTOS_COMPLEMENTOS!$C$4:$C$803,A328,MOVIMIENTOS_COMPLEMENTOS!$D$4:$D$803,B328,MOVIMIENTOS_COMPLEMENTOS!$E$4:$E$803,C328,MOVIMIENTOS_COMPLEMENTOS!$G$4:$G$803,E328,MOVIMIENTOS_COMPLEMENTOS!$H$4:$H$803,G328,MOVIMIENTOS_COMPLEMENTOS!$B$4:$B$803,"DE CORTE")-SUMIFS(MOVIMIENTOS_COMPLEMENTOS!$I$4:$I$803,MOVIMIENTOS_COMPLEMENTOS!$C$4:$C$803,A328,MOVIMIENTOS_COMPLEMENTOS!$D$4:$D$803,B328,MOVIMIENTOS_COMPLEMENTOS!$E$4:$E$803,C328,MOVIMIENTOS_COMPLEMENTOS!$G$4:$G$803,E328,MOVIMIENTOS_COMPLEMENTOS!$H$4:$H$803,G328,MOVIMIENTOS_COMPLEMENTOS!$B$4:$B$803,"SALIDA"),0)</f>
        <v>0</v>
      </c>
      <c r="I328" s="102">
        <f t="array" ref="I328">IFERROR(INDEX(PRECIOS_COMPLEMENTOS!$C$4:$F$17,MATCH(B328&amp;"_"&amp;C328,PRECIOS_COMPLEMENTOS!$H$4:$H$17,0),IF(OR(G328="S",G328="20cm"),1,IF(OR(G328="M",G328="25cm"),2,IF(OR(G328="L",G328="30cm"),3,IF(OR(G328="XL",G328="35cm"),4,0))))),0)</f>
        <v>0.4</v>
      </c>
      <c r="J328" s="103">
        <f t="shared" si="1"/>
        <v>0</v>
      </c>
      <c r="K328" s="104" t="str">
        <f>IF(H328&lt;0,"ERROR",IF(H328=0,"",IF(H328&lt;CONFIG!$B$4,"CRÍTICO",IF(H328&lt;CONFIG!$B$5,"BAJO","OK"))))</f>
        <v/>
      </c>
    </row>
    <row r="329" ht="15.75" hidden="1" customHeight="1">
      <c r="A329" s="90" t="str">
        <f>IF(CLIENTES!A5="","",CLIENTES!A5)</f>
        <v>Bravos</v>
      </c>
      <c r="B329" s="90" t="s">
        <v>321</v>
      </c>
      <c r="C329" s="91" t="s">
        <v>326</v>
      </c>
      <c r="D329" s="109" t="s">
        <v>353</v>
      </c>
      <c r="E329" s="67" t="str">
        <f>COLORES!A5</f>
        <v>Perla</v>
      </c>
      <c r="F329" s="67" t="str">
        <f>COLORES!B5</f>
        <v>PPT</v>
      </c>
      <c r="G329" s="90" t="s">
        <v>376</v>
      </c>
      <c r="H329" s="100">
        <f>IFERROR(SUMIFS(MOVIMIENTOS_COMPLEMENTOS!$I$4:$I$803,MOVIMIENTOS_COMPLEMENTOS!$C$4:$C$803,A329,MOVIMIENTOS_COMPLEMENTOS!$D$4:$D$803,B329,MOVIMIENTOS_COMPLEMENTOS!$E$4:$E$803,C329,MOVIMIENTOS_COMPLEMENTOS!$G$4:$G$803,E329,MOVIMIENTOS_COMPLEMENTOS!$H$4:$H$803,G329,MOVIMIENTOS_COMPLEMENTOS!$B$4:$B$803,"INGRESO")+SUMIFS(MOVIMIENTOS_COMPLEMENTOS!$I$4:$I$803,MOVIMIENTOS_COMPLEMENTOS!$C$4:$C$803,A329,MOVIMIENTOS_COMPLEMENTOS!$D$4:$D$803,B329,MOVIMIENTOS_COMPLEMENTOS!$E$4:$E$803,C329,MOVIMIENTOS_COMPLEMENTOS!$G$4:$G$803,E329,MOVIMIENTOS_COMPLEMENTOS!$H$4:$H$803,G329,MOVIMIENTOS_COMPLEMENTOS!$B$4:$B$803,"DE CORTE")-SUMIFS(MOVIMIENTOS_COMPLEMENTOS!$I$4:$I$803,MOVIMIENTOS_COMPLEMENTOS!$C$4:$C$803,A329,MOVIMIENTOS_COMPLEMENTOS!$D$4:$D$803,B329,MOVIMIENTOS_COMPLEMENTOS!$E$4:$E$803,C329,MOVIMIENTOS_COMPLEMENTOS!$G$4:$G$803,E329,MOVIMIENTOS_COMPLEMENTOS!$H$4:$H$803,G329,MOVIMIENTOS_COMPLEMENTOS!$B$4:$B$803,"SALIDA"),0)</f>
        <v>0</v>
      </c>
      <c r="I329" s="102">
        <f t="array" ref="I329">IFERROR(INDEX(PRECIOS_COMPLEMENTOS!$C$4:$F$17,MATCH(B329&amp;"_"&amp;C329,PRECIOS_COMPLEMENTOS!$H$4:$H$17,0),IF(OR(G329="S",G329="20cm"),1,IF(OR(G329="M",G329="25cm"),2,IF(OR(G329="L",G329="30cm"),3,IF(OR(G329="XL",G329="35cm"),4,0))))),0)</f>
        <v>0.45</v>
      </c>
      <c r="J329" s="103">
        <f t="shared" si="1"/>
        <v>0</v>
      </c>
      <c r="K329" s="104" t="str">
        <f>IF(H329&lt;0,"ERROR",IF(H329=0,"",IF(H329&lt;CONFIG!$B$4,"CRÍTICO",IF(H329&lt;CONFIG!$B$5,"BAJO","OK"))))</f>
        <v/>
      </c>
    </row>
    <row r="330" ht="15.75" hidden="1" customHeight="1">
      <c r="A330" s="90" t="str">
        <f>IF(CLIENTES!A5="","",CLIENTES!A5)</f>
        <v>Bravos</v>
      </c>
      <c r="B330" s="90" t="s">
        <v>321</v>
      </c>
      <c r="C330" s="91" t="s">
        <v>326</v>
      </c>
      <c r="D330" s="109" t="s">
        <v>353</v>
      </c>
      <c r="E330" s="67" t="str">
        <f>COLORES!A5</f>
        <v>Perla</v>
      </c>
      <c r="F330" s="67" t="str">
        <f>COLORES!B5</f>
        <v>PPT</v>
      </c>
      <c r="G330" s="90" t="s">
        <v>377</v>
      </c>
      <c r="H330" s="100">
        <f>IFERROR(SUMIFS(MOVIMIENTOS_COMPLEMENTOS!$I$4:$I$803,MOVIMIENTOS_COMPLEMENTOS!$C$4:$C$803,A330,MOVIMIENTOS_COMPLEMENTOS!$D$4:$D$803,B330,MOVIMIENTOS_COMPLEMENTOS!$E$4:$E$803,C330,MOVIMIENTOS_COMPLEMENTOS!$G$4:$G$803,E330,MOVIMIENTOS_COMPLEMENTOS!$H$4:$H$803,G330,MOVIMIENTOS_COMPLEMENTOS!$B$4:$B$803,"INGRESO")+SUMIFS(MOVIMIENTOS_COMPLEMENTOS!$I$4:$I$803,MOVIMIENTOS_COMPLEMENTOS!$C$4:$C$803,A330,MOVIMIENTOS_COMPLEMENTOS!$D$4:$D$803,B330,MOVIMIENTOS_COMPLEMENTOS!$E$4:$E$803,C330,MOVIMIENTOS_COMPLEMENTOS!$G$4:$G$803,E330,MOVIMIENTOS_COMPLEMENTOS!$H$4:$H$803,G330,MOVIMIENTOS_COMPLEMENTOS!$B$4:$B$803,"DE CORTE")-SUMIFS(MOVIMIENTOS_COMPLEMENTOS!$I$4:$I$803,MOVIMIENTOS_COMPLEMENTOS!$C$4:$C$803,A330,MOVIMIENTOS_COMPLEMENTOS!$D$4:$D$803,B330,MOVIMIENTOS_COMPLEMENTOS!$E$4:$E$803,C330,MOVIMIENTOS_COMPLEMENTOS!$G$4:$G$803,E330,MOVIMIENTOS_COMPLEMENTOS!$H$4:$H$803,G330,MOVIMIENTOS_COMPLEMENTOS!$B$4:$B$803,"SALIDA"),0)</f>
        <v>0</v>
      </c>
      <c r="I330" s="102">
        <f t="array" ref="I330">IFERROR(INDEX(PRECIOS_COMPLEMENTOS!$C$4:$F$17,MATCH(B330&amp;"_"&amp;C330,PRECIOS_COMPLEMENTOS!$H$4:$H$17,0),IF(OR(G330="S",G330="20cm"),1,IF(OR(G330="M",G330="25cm"),2,IF(OR(G330="L",G330="30cm"),3,IF(OR(G330="XL",G330="35cm"),4,0))))),0)</f>
        <v>0.5</v>
      </c>
      <c r="J330" s="103">
        <f t="shared" si="1"/>
        <v>0</v>
      </c>
      <c r="K330" s="104" t="str">
        <f>IF(H330&lt;0,"ERROR",IF(H330=0,"",IF(H330&lt;CONFIG!$B$4,"CRÍTICO",IF(H330&lt;CONFIG!$B$5,"BAJO","OK"))))</f>
        <v/>
      </c>
    </row>
    <row r="331" ht="15.75" hidden="1" customHeight="1">
      <c r="A331" s="90" t="str">
        <f>IF(CLIENTES!A5="","",CLIENTES!A5)</f>
        <v>Bravos</v>
      </c>
      <c r="B331" s="90" t="s">
        <v>321</v>
      </c>
      <c r="C331" s="91" t="s">
        <v>326</v>
      </c>
      <c r="D331" s="109" t="s">
        <v>353</v>
      </c>
      <c r="E331" s="67" t="str">
        <f>COLORES!A5</f>
        <v>Perla</v>
      </c>
      <c r="F331" s="67" t="str">
        <f>COLORES!B5</f>
        <v>PPT</v>
      </c>
      <c r="G331" s="90" t="s">
        <v>379</v>
      </c>
      <c r="H331" s="100">
        <f>IFERROR(SUMIFS(MOVIMIENTOS_COMPLEMENTOS!$I$4:$I$803,MOVIMIENTOS_COMPLEMENTOS!$C$4:$C$803,A331,MOVIMIENTOS_COMPLEMENTOS!$D$4:$D$803,B331,MOVIMIENTOS_COMPLEMENTOS!$E$4:$E$803,C331,MOVIMIENTOS_COMPLEMENTOS!$G$4:$G$803,E331,MOVIMIENTOS_COMPLEMENTOS!$H$4:$H$803,G331,MOVIMIENTOS_COMPLEMENTOS!$B$4:$B$803,"INGRESO")+SUMIFS(MOVIMIENTOS_COMPLEMENTOS!$I$4:$I$803,MOVIMIENTOS_COMPLEMENTOS!$C$4:$C$803,A331,MOVIMIENTOS_COMPLEMENTOS!$D$4:$D$803,B331,MOVIMIENTOS_COMPLEMENTOS!$E$4:$E$803,C331,MOVIMIENTOS_COMPLEMENTOS!$G$4:$G$803,E331,MOVIMIENTOS_COMPLEMENTOS!$H$4:$H$803,G331,MOVIMIENTOS_COMPLEMENTOS!$B$4:$B$803,"DE CORTE")-SUMIFS(MOVIMIENTOS_COMPLEMENTOS!$I$4:$I$803,MOVIMIENTOS_COMPLEMENTOS!$C$4:$C$803,A331,MOVIMIENTOS_COMPLEMENTOS!$D$4:$D$803,B331,MOVIMIENTOS_COMPLEMENTOS!$E$4:$E$803,C331,MOVIMIENTOS_COMPLEMENTOS!$G$4:$G$803,E331,MOVIMIENTOS_COMPLEMENTOS!$H$4:$H$803,G331,MOVIMIENTOS_COMPLEMENTOS!$B$4:$B$803,"SALIDA"),0)</f>
        <v>0</v>
      </c>
      <c r="I331" s="102">
        <f t="array" ref="I331">IFERROR(INDEX(PRECIOS_COMPLEMENTOS!$C$4:$F$17,MATCH(B331&amp;"_"&amp;C331,PRECIOS_COMPLEMENTOS!$H$4:$H$17,0),IF(OR(G331="S",G331="20cm"),1,IF(OR(G331="M",G331="25cm"),2,IF(OR(G331="L",G331="30cm"),3,IF(OR(G331="XL",G331="35cm"),4,0))))),0)</f>
        <v>0.55</v>
      </c>
      <c r="J331" s="103">
        <f t="shared" si="1"/>
        <v>0</v>
      </c>
      <c r="K331" s="104" t="str">
        <f>IF(H331&lt;0,"ERROR",IF(H331=0,"",IF(H331&lt;CONFIG!$B$4,"CRÍTICO",IF(H331&lt;CONFIG!$B$5,"BAJO","OK"))))</f>
        <v/>
      </c>
    </row>
    <row r="332" ht="15.75" hidden="1" customHeight="1">
      <c r="A332" s="90" t="str">
        <f>IF(CLIENTES!A5="","",CLIENTES!A5)</f>
        <v>Bravos</v>
      </c>
      <c r="B332" s="90" t="s">
        <v>321</v>
      </c>
      <c r="C332" s="91" t="s">
        <v>326</v>
      </c>
      <c r="D332" s="109" t="s">
        <v>353</v>
      </c>
      <c r="E332" s="67" t="str">
        <f>COLORES!A6</f>
        <v>Blanco</v>
      </c>
      <c r="F332" s="67" t="str">
        <f>COLORES!B6</f>
        <v>PPT</v>
      </c>
      <c r="G332" s="90" t="s">
        <v>378</v>
      </c>
      <c r="H332" s="100">
        <f>IFERROR(SUMIFS(MOVIMIENTOS_COMPLEMENTOS!$I$4:$I$803,MOVIMIENTOS_COMPLEMENTOS!$C$4:$C$803,A332,MOVIMIENTOS_COMPLEMENTOS!$D$4:$D$803,B332,MOVIMIENTOS_COMPLEMENTOS!$E$4:$E$803,C332,MOVIMIENTOS_COMPLEMENTOS!$G$4:$G$803,E332,MOVIMIENTOS_COMPLEMENTOS!$H$4:$H$803,G332,MOVIMIENTOS_COMPLEMENTOS!$B$4:$B$803,"INGRESO")+SUMIFS(MOVIMIENTOS_COMPLEMENTOS!$I$4:$I$803,MOVIMIENTOS_COMPLEMENTOS!$C$4:$C$803,A332,MOVIMIENTOS_COMPLEMENTOS!$D$4:$D$803,B332,MOVIMIENTOS_COMPLEMENTOS!$E$4:$E$803,C332,MOVIMIENTOS_COMPLEMENTOS!$G$4:$G$803,E332,MOVIMIENTOS_COMPLEMENTOS!$H$4:$H$803,G332,MOVIMIENTOS_COMPLEMENTOS!$B$4:$B$803,"DE CORTE")-SUMIFS(MOVIMIENTOS_COMPLEMENTOS!$I$4:$I$803,MOVIMIENTOS_COMPLEMENTOS!$C$4:$C$803,A332,MOVIMIENTOS_COMPLEMENTOS!$D$4:$D$803,B332,MOVIMIENTOS_COMPLEMENTOS!$E$4:$E$803,C332,MOVIMIENTOS_COMPLEMENTOS!$G$4:$G$803,E332,MOVIMIENTOS_COMPLEMENTOS!$H$4:$H$803,G332,MOVIMIENTOS_COMPLEMENTOS!$B$4:$B$803,"SALIDA"),0)</f>
        <v>0</v>
      </c>
      <c r="I332" s="102">
        <f t="array" ref="I332">IFERROR(INDEX(PRECIOS_COMPLEMENTOS!$C$4:$F$17,MATCH(B332&amp;"_"&amp;C332,PRECIOS_COMPLEMENTOS!$H$4:$H$17,0),IF(OR(G332="S",G332="20cm"),1,IF(OR(G332="M",G332="25cm"),2,IF(OR(G332="L",G332="30cm"),3,IF(OR(G332="XL",G332="35cm"),4,0))))),0)</f>
        <v>0.4</v>
      </c>
      <c r="J332" s="103">
        <f t="shared" si="1"/>
        <v>0</v>
      </c>
      <c r="K332" s="104" t="str">
        <f>IF(H332&lt;0,"ERROR",IF(H332=0,"",IF(H332&lt;CONFIG!$B$4,"CRÍTICO",IF(H332&lt;CONFIG!$B$5,"BAJO","OK"))))</f>
        <v/>
      </c>
    </row>
    <row r="333" ht="15.75" hidden="1" customHeight="1">
      <c r="A333" s="90" t="str">
        <f>IF(CLIENTES!A5="","",CLIENTES!A5)</f>
        <v>Bravos</v>
      </c>
      <c r="B333" s="90" t="s">
        <v>321</v>
      </c>
      <c r="C333" s="91" t="s">
        <v>326</v>
      </c>
      <c r="D333" s="109" t="s">
        <v>353</v>
      </c>
      <c r="E333" s="67" t="str">
        <f>COLORES!A6</f>
        <v>Blanco</v>
      </c>
      <c r="F333" s="67" t="str">
        <f>COLORES!B6</f>
        <v>PPT</v>
      </c>
      <c r="G333" s="90" t="s">
        <v>376</v>
      </c>
      <c r="H333" s="100">
        <f>IFERROR(SUMIFS(MOVIMIENTOS_COMPLEMENTOS!$I$4:$I$803,MOVIMIENTOS_COMPLEMENTOS!$C$4:$C$803,A333,MOVIMIENTOS_COMPLEMENTOS!$D$4:$D$803,B333,MOVIMIENTOS_COMPLEMENTOS!$E$4:$E$803,C333,MOVIMIENTOS_COMPLEMENTOS!$G$4:$G$803,E333,MOVIMIENTOS_COMPLEMENTOS!$H$4:$H$803,G333,MOVIMIENTOS_COMPLEMENTOS!$B$4:$B$803,"INGRESO")+SUMIFS(MOVIMIENTOS_COMPLEMENTOS!$I$4:$I$803,MOVIMIENTOS_COMPLEMENTOS!$C$4:$C$803,A333,MOVIMIENTOS_COMPLEMENTOS!$D$4:$D$803,B333,MOVIMIENTOS_COMPLEMENTOS!$E$4:$E$803,C333,MOVIMIENTOS_COMPLEMENTOS!$G$4:$G$803,E333,MOVIMIENTOS_COMPLEMENTOS!$H$4:$H$803,G333,MOVIMIENTOS_COMPLEMENTOS!$B$4:$B$803,"DE CORTE")-SUMIFS(MOVIMIENTOS_COMPLEMENTOS!$I$4:$I$803,MOVIMIENTOS_COMPLEMENTOS!$C$4:$C$803,A333,MOVIMIENTOS_COMPLEMENTOS!$D$4:$D$803,B333,MOVIMIENTOS_COMPLEMENTOS!$E$4:$E$803,C333,MOVIMIENTOS_COMPLEMENTOS!$G$4:$G$803,E333,MOVIMIENTOS_COMPLEMENTOS!$H$4:$H$803,G333,MOVIMIENTOS_COMPLEMENTOS!$B$4:$B$803,"SALIDA"),0)</f>
        <v>0</v>
      </c>
      <c r="I333" s="102">
        <f t="array" ref="I333">IFERROR(INDEX(PRECIOS_COMPLEMENTOS!$C$4:$F$17,MATCH(B333&amp;"_"&amp;C333,PRECIOS_COMPLEMENTOS!$H$4:$H$17,0),IF(OR(G333="S",G333="20cm"),1,IF(OR(G333="M",G333="25cm"),2,IF(OR(G333="L",G333="30cm"),3,IF(OR(G333="XL",G333="35cm"),4,0))))),0)</f>
        <v>0.45</v>
      </c>
      <c r="J333" s="103">
        <f t="shared" si="1"/>
        <v>0</v>
      </c>
      <c r="K333" s="104" t="str">
        <f>IF(H333&lt;0,"ERROR",IF(H333=0,"",IF(H333&lt;CONFIG!$B$4,"CRÍTICO",IF(H333&lt;CONFIG!$B$5,"BAJO","OK"))))</f>
        <v/>
      </c>
    </row>
    <row r="334" ht="15.75" hidden="1" customHeight="1">
      <c r="A334" s="90" t="str">
        <f>IF(CLIENTES!A5="","",CLIENTES!A5)</f>
        <v>Bravos</v>
      </c>
      <c r="B334" s="90" t="s">
        <v>321</v>
      </c>
      <c r="C334" s="91" t="s">
        <v>326</v>
      </c>
      <c r="D334" s="109" t="s">
        <v>353</v>
      </c>
      <c r="E334" s="67" t="str">
        <f>COLORES!A6</f>
        <v>Blanco</v>
      </c>
      <c r="F334" s="67" t="str">
        <f>COLORES!B6</f>
        <v>PPT</v>
      </c>
      <c r="G334" s="90" t="s">
        <v>377</v>
      </c>
      <c r="H334" s="100">
        <f>IFERROR(SUMIFS(MOVIMIENTOS_COMPLEMENTOS!$I$4:$I$803,MOVIMIENTOS_COMPLEMENTOS!$C$4:$C$803,A334,MOVIMIENTOS_COMPLEMENTOS!$D$4:$D$803,B334,MOVIMIENTOS_COMPLEMENTOS!$E$4:$E$803,C334,MOVIMIENTOS_COMPLEMENTOS!$G$4:$G$803,E334,MOVIMIENTOS_COMPLEMENTOS!$H$4:$H$803,G334,MOVIMIENTOS_COMPLEMENTOS!$B$4:$B$803,"INGRESO")+SUMIFS(MOVIMIENTOS_COMPLEMENTOS!$I$4:$I$803,MOVIMIENTOS_COMPLEMENTOS!$C$4:$C$803,A334,MOVIMIENTOS_COMPLEMENTOS!$D$4:$D$803,B334,MOVIMIENTOS_COMPLEMENTOS!$E$4:$E$803,C334,MOVIMIENTOS_COMPLEMENTOS!$G$4:$G$803,E334,MOVIMIENTOS_COMPLEMENTOS!$H$4:$H$803,G334,MOVIMIENTOS_COMPLEMENTOS!$B$4:$B$803,"DE CORTE")-SUMIFS(MOVIMIENTOS_COMPLEMENTOS!$I$4:$I$803,MOVIMIENTOS_COMPLEMENTOS!$C$4:$C$803,A334,MOVIMIENTOS_COMPLEMENTOS!$D$4:$D$803,B334,MOVIMIENTOS_COMPLEMENTOS!$E$4:$E$803,C334,MOVIMIENTOS_COMPLEMENTOS!$G$4:$G$803,E334,MOVIMIENTOS_COMPLEMENTOS!$H$4:$H$803,G334,MOVIMIENTOS_COMPLEMENTOS!$B$4:$B$803,"SALIDA"),0)</f>
        <v>0</v>
      </c>
      <c r="I334" s="102">
        <f t="array" ref="I334">IFERROR(INDEX(PRECIOS_COMPLEMENTOS!$C$4:$F$17,MATCH(B334&amp;"_"&amp;C334,PRECIOS_COMPLEMENTOS!$H$4:$H$17,0),IF(OR(G334="S",G334="20cm"),1,IF(OR(G334="M",G334="25cm"),2,IF(OR(G334="L",G334="30cm"),3,IF(OR(G334="XL",G334="35cm"),4,0))))),0)</f>
        <v>0.5</v>
      </c>
      <c r="J334" s="103">
        <f t="shared" si="1"/>
        <v>0</v>
      </c>
      <c r="K334" s="104" t="str">
        <f>IF(H334&lt;0,"ERROR",IF(H334=0,"",IF(H334&lt;CONFIG!$B$4,"CRÍTICO",IF(H334&lt;CONFIG!$B$5,"BAJO","OK"))))</f>
        <v/>
      </c>
    </row>
    <row r="335" ht="15.75" hidden="1" customHeight="1">
      <c r="A335" s="90" t="str">
        <f>IF(CLIENTES!A5="","",CLIENTES!A5)</f>
        <v>Bravos</v>
      </c>
      <c r="B335" s="90" t="s">
        <v>321</v>
      </c>
      <c r="C335" s="91" t="s">
        <v>326</v>
      </c>
      <c r="D335" s="109" t="s">
        <v>353</v>
      </c>
      <c r="E335" s="67" t="str">
        <f>COLORES!A6</f>
        <v>Blanco</v>
      </c>
      <c r="F335" s="67" t="str">
        <f>COLORES!B6</f>
        <v>PPT</v>
      </c>
      <c r="G335" s="90" t="s">
        <v>379</v>
      </c>
      <c r="H335" s="100">
        <f>IFERROR(SUMIFS(MOVIMIENTOS_COMPLEMENTOS!$I$4:$I$803,MOVIMIENTOS_COMPLEMENTOS!$C$4:$C$803,A335,MOVIMIENTOS_COMPLEMENTOS!$D$4:$D$803,B335,MOVIMIENTOS_COMPLEMENTOS!$E$4:$E$803,C335,MOVIMIENTOS_COMPLEMENTOS!$G$4:$G$803,E335,MOVIMIENTOS_COMPLEMENTOS!$H$4:$H$803,G335,MOVIMIENTOS_COMPLEMENTOS!$B$4:$B$803,"INGRESO")+SUMIFS(MOVIMIENTOS_COMPLEMENTOS!$I$4:$I$803,MOVIMIENTOS_COMPLEMENTOS!$C$4:$C$803,A335,MOVIMIENTOS_COMPLEMENTOS!$D$4:$D$803,B335,MOVIMIENTOS_COMPLEMENTOS!$E$4:$E$803,C335,MOVIMIENTOS_COMPLEMENTOS!$G$4:$G$803,E335,MOVIMIENTOS_COMPLEMENTOS!$H$4:$H$803,G335,MOVIMIENTOS_COMPLEMENTOS!$B$4:$B$803,"DE CORTE")-SUMIFS(MOVIMIENTOS_COMPLEMENTOS!$I$4:$I$803,MOVIMIENTOS_COMPLEMENTOS!$C$4:$C$803,A335,MOVIMIENTOS_COMPLEMENTOS!$D$4:$D$803,B335,MOVIMIENTOS_COMPLEMENTOS!$E$4:$E$803,C335,MOVIMIENTOS_COMPLEMENTOS!$G$4:$G$803,E335,MOVIMIENTOS_COMPLEMENTOS!$H$4:$H$803,G335,MOVIMIENTOS_COMPLEMENTOS!$B$4:$B$803,"SALIDA"),0)</f>
        <v>0</v>
      </c>
      <c r="I335" s="102">
        <f t="array" ref="I335">IFERROR(INDEX(PRECIOS_COMPLEMENTOS!$C$4:$F$17,MATCH(B335&amp;"_"&amp;C335,PRECIOS_COMPLEMENTOS!$H$4:$H$17,0),IF(OR(G335="S",G335="20cm"),1,IF(OR(G335="M",G335="25cm"),2,IF(OR(G335="L",G335="30cm"),3,IF(OR(G335="XL",G335="35cm"),4,0))))),0)</f>
        <v>0.55</v>
      </c>
      <c r="J335" s="103">
        <f t="shared" si="1"/>
        <v>0</v>
      </c>
      <c r="K335" s="104" t="str">
        <f>IF(H335&lt;0,"ERROR",IF(H335=0,"",IF(H335&lt;CONFIG!$B$4,"CRÍTICO",IF(H335&lt;CONFIG!$B$5,"BAJO","OK"))))</f>
        <v/>
      </c>
    </row>
    <row r="336" ht="15.75" hidden="1" customHeight="1">
      <c r="A336" s="90" t="str">
        <f>IF(CLIENTES!A5="","",CLIENTES!A5)</f>
        <v>Bravos</v>
      </c>
      <c r="B336" s="90" t="s">
        <v>321</v>
      </c>
      <c r="C336" s="91" t="s">
        <v>326</v>
      </c>
      <c r="D336" s="109" t="s">
        <v>353</v>
      </c>
      <c r="E336" s="67" t="str">
        <f>COLORES!A7</f>
        <v>Azul</v>
      </c>
      <c r="F336" s="67" t="str">
        <f>COLORES!B7</f>
        <v>OSCURO</v>
      </c>
      <c r="G336" s="90" t="s">
        <v>378</v>
      </c>
      <c r="H336" s="100">
        <f>IFERROR(SUMIFS(MOVIMIENTOS_COMPLEMENTOS!$I$4:$I$803,MOVIMIENTOS_COMPLEMENTOS!$C$4:$C$803,A336,MOVIMIENTOS_COMPLEMENTOS!$D$4:$D$803,B336,MOVIMIENTOS_COMPLEMENTOS!$E$4:$E$803,C336,MOVIMIENTOS_COMPLEMENTOS!$G$4:$G$803,E336,MOVIMIENTOS_COMPLEMENTOS!$H$4:$H$803,G336,MOVIMIENTOS_COMPLEMENTOS!$B$4:$B$803,"INGRESO")+SUMIFS(MOVIMIENTOS_COMPLEMENTOS!$I$4:$I$803,MOVIMIENTOS_COMPLEMENTOS!$C$4:$C$803,A336,MOVIMIENTOS_COMPLEMENTOS!$D$4:$D$803,B336,MOVIMIENTOS_COMPLEMENTOS!$E$4:$E$803,C336,MOVIMIENTOS_COMPLEMENTOS!$G$4:$G$803,E336,MOVIMIENTOS_COMPLEMENTOS!$H$4:$H$803,G336,MOVIMIENTOS_COMPLEMENTOS!$B$4:$B$803,"DE CORTE")-SUMIFS(MOVIMIENTOS_COMPLEMENTOS!$I$4:$I$803,MOVIMIENTOS_COMPLEMENTOS!$C$4:$C$803,A336,MOVIMIENTOS_COMPLEMENTOS!$D$4:$D$803,B336,MOVIMIENTOS_COMPLEMENTOS!$E$4:$E$803,C336,MOVIMIENTOS_COMPLEMENTOS!$G$4:$G$803,E336,MOVIMIENTOS_COMPLEMENTOS!$H$4:$H$803,G336,MOVIMIENTOS_COMPLEMENTOS!$B$4:$B$803,"SALIDA"),0)</f>
        <v>0</v>
      </c>
      <c r="I336" s="102">
        <f t="array" ref="I336">IFERROR(INDEX(PRECIOS_COMPLEMENTOS!$C$4:$F$17,MATCH(B336&amp;"_"&amp;C336,PRECIOS_COMPLEMENTOS!$H$4:$H$17,0),IF(OR(G336="S",G336="20cm"),1,IF(OR(G336="M",G336="25cm"),2,IF(OR(G336="L",G336="30cm"),3,IF(OR(G336="XL",G336="35cm"),4,0))))),0)</f>
        <v>0.4</v>
      </c>
      <c r="J336" s="103">
        <f t="shared" si="1"/>
        <v>0</v>
      </c>
      <c r="K336" s="104" t="str">
        <f>IF(H336&lt;0,"ERROR",IF(H336=0,"",IF(H336&lt;CONFIG!$B$4,"CRÍTICO",IF(H336&lt;CONFIG!$B$5,"BAJO","OK"))))</f>
        <v/>
      </c>
    </row>
    <row r="337" ht="15.75" hidden="1" customHeight="1">
      <c r="A337" s="90" t="str">
        <f>IF(CLIENTES!A5="","",CLIENTES!A5)</f>
        <v>Bravos</v>
      </c>
      <c r="B337" s="90" t="s">
        <v>321</v>
      </c>
      <c r="C337" s="91" t="s">
        <v>326</v>
      </c>
      <c r="D337" s="109" t="s">
        <v>353</v>
      </c>
      <c r="E337" s="67" t="str">
        <f>COLORES!A7</f>
        <v>Azul</v>
      </c>
      <c r="F337" s="67" t="str">
        <f>COLORES!B7</f>
        <v>OSCURO</v>
      </c>
      <c r="G337" s="90" t="s">
        <v>376</v>
      </c>
      <c r="H337" s="100">
        <f>IFERROR(SUMIFS(MOVIMIENTOS_COMPLEMENTOS!$I$4:$I$803,MOVIMIENTOS_COMPLEMENTOS!$C$4:$C$803,A337,MOVIMIENTOS_COMPLEMENTOS!$D$4:$D$803,B337,MOVIMIENTOS_COMPLEMENTOS!$E$4:$E$803,C337,MOVIMIENTOS_COMPLEMENTOS!$G$4:$G$803,E337,MOVIMIENTOS_COMPLEMENTOS!$H$4:$H$803,G337,MOVIMIENTOS_COMPLEMENTOS!$B$4:$B$803,"INGRESO")+SUMIFS(MOVIMIENTOS_COMPLEMENTOS!$I$4:$I$803,MOVIMIENTOS_COMPLEMENTOS!$C$4:$C$803,A337,MOVIMIENTOS_COMPLEMENTOS!$D$4:$D$803,B337,MOVIMIENTOS_COMPLEMENTOS!$E$4:$E$803,C337,MOVIMIENTOS_COMPLEMENTOS!$G$4:$G$803,E337,MOVIMIENTOS_COMPLEMENTOS!$H$4:$H$803,G337,MOVIMIENTOS_COMPLEMENTOS!$B$4:$B$803,"DE CORTE")-SUMIFS(MOVIMIENTOS_COMPLEMENTOS!$I$4:$I$803,MOVIMIENTOS_COMPLEMENTOS!$C$4:$C$803,A337,MOVIMIENTOS_COMPLEMENTOS!$D$4:$D$803,B337,MOVIMIENTOS_COMPLEMENTOS!$E$4:$E$803,C337,MOVIMIENTOS_COMPLEMENTOS!$G$4:$G$803,E337,MOVIMIENTOS_COMPLEMENTOS!$H$4:$H$803,G337,MOVIMIENTOS_COMPLEMENTOS!$B$4:$B$803,"SALIDA"),0)</f>
        <v>0</v>
      </c>
      <c r="I337" s="102">
        <f t="array" ref="I337">IFERROR(INDEX(PRECIOS_COMPLEMENTOS!$C$4:$F$17,MATCH(B337&amp;"_"&amp;C337,PRECIOS_COMPLEMENTOS!$H$4:$H$17,0),IF(OR(G337="S",G337="20cm"),1,IF(OR(G337="M",G337="25cm"),2,IF(OR(G337="L",G337="30cm"),3,IF(OR(G337="XL",G337="35cm"),4,0))))),0)</f>
        <v>0.45</v>
      </c>
      <c r="J337" s="103">
        <f t="shared" si="1"/>
        <v>0</v>
      </c>
      <c r="K337" s="104" t="str">
        <f>IF(H337&lt;0,"ERROR",IF(H337=0,"",IF(H337&lt;CONFIG!$B$4,"CRÍTICO",IF(H337&lt;CONFIG!$B$5,"BAJO","OK"))))</f>
        <v/>
      </c>
    </row>
    <row r="338" ht="15.75" hidden="1" customHeight="1">
      <c r="A338" s="90" t="str">
        <f>IF(CLIENTES!A5="","",CLIENTES!A5)</f>
        <v>Bravos</v>
      </c>
      <c r="B338" s="90" t="s">
        <v>321</v>
      </c>
      <c r="C338" s="91" t="s">
        <v>326</v>
      </c>
      <c r="D338" s="109" t="s">
        <v>353</v>
      </c>
      <c r="E338" s="67" t="str">
        <f>COLORES!A7</f>
        <v>Azul</v>
      </c>
      <c r="F338" s="67" t="str">
        <f>COLORES!B7</f>
        <v>OSCURO</v>
      </c>
      <c r="G338" s="90" t="s">
        <v>377</v>
      </c>
      <c r="H338" s="100">
        <f>IFERROR(SUMIFS(MOVIMIENTOS_COMPLEMENTOS!$I$4:$I$803,MOVIMIENTOS_COMPLEMENTOS!$C$4:$C$803,A338,MOVIMIENTOS_COMPLEMENTOS!$D$4:$D$803,B338,MOVIMIENTOS_COMPLEMENTOS!$E$4:$E$803,C338,MOVIMIENTOS_COMPLEMENTOS!$G$4:$G$803,E338,MOVIMIENTOS_COMPLEMENTOS!$H$4:$H$803,G338,MOVIMIENTOS_COMPLEMENTOS!$B$4:$B$803,"INGRESO")+SUMIFS(MOVIMIENTOS_COMPLEMENTOS!$I$4:$I$803,MOVIMIENTOS_COMPLEMENTOS!$C$4:$C$803,A338,MOVIMIENTOS_COMPLEMENTOS!$D$4:$D$803,B338,MOVIMIENTOS_COMPLEMENTOS!$E$4:$E$803,C338,MOVIMIENTOS_COMPLEMENTOS!$G$4:$G$803,E338,MOVIMIENTOS_COMPLEMENTOS!$H$4:$H$803,G338,MOVIMIENTOS_COMPLEMENTOS!$B$4:$B$803,"DE CORTE")-SUMIFS(MOVIMIENTOS_COMPLEMENTOS!$I$4:$I$803,MOVIMIENTOS_COMPLEMENTOS!$C$4:$C$803,A338,MOVIMIENTOS_COMPLEMENTOS!$D$4:$D$803,B338,MOVIMIENTOS_COMPLEMENTOS!$E$4:$E$803,C338,MOVIMIENTOS_COMPLEMENTOS!$G$4:$G$803,E338,MOVIMIENTOS_COMPLEMENTOS!$H$4:$H$803,G338,MOVIMIENTOS_COMPLEMENTOS!$B$4:$B$803,"SALIDA"),0)</f>
        <v>0</v>
      </c>
      <c r="I338" s="102">
        <f t="array" ref="I338">IFERROR(INDEX(PRECIOS_COMPLEMENTOS!$C$4:$F$17,MATCH(B338&amp;"_"&amp;C338,PRECIOS_COMPLEMENTOS!$H$4:$H$17,0),IF(OR(G338="S",G338="20cm"),1,IF(OR(G338="M",G338="25cm"),2,IF(OR(G338="L",G338="30cm"),3,IF(OR(G338="XL",G338="35cm"),4,0))))),0)</f>
        <v>0.5</v>
      </c>
      <c r="J338" s="103">
        <f t="shared" si="1"/>
        <v>0</v>
      </c>
      <c r="K338" s="104" t="str">
        <f>IF(H338&lt;0,"ERROR",IF(H338=0,"",IF(H338&lt;CONFIG!$B$4,"CRÍTICO",IF(H338&lt;CONFIG!$B$5,"BAJO","OK"))))</f>
        <v/>
      </c>
    </row>
    <row r="339" ht="15.75" hidden="1" customHeight="1">
      <c r="A339" s="90" t="str">
        <f>IF(CLIENTES!A5="","",CLIENTES!A5)</f>
        <v>Bravos</v>
      </c>
      <c r="B339" s="90" t="s">
        <v>321</v>
      </c>
      <c r="C339" s="91" t="s">
        <v>326</v>
      </c>
      <c r="D339" s="109" t="s">
        <v>353</v>
      </c>
      <c r="E339" s="67" t="str">
        <f>COLORES!A7</f>
        <v>Azul</v>
      </c>
      <c r="F339" s="67" t="str">
        <f>COLORES!B7</f>
        <v>OSCURO</v>
      </c>
      <c r="G339" s="90" t="s">
        <v>379</v>
      </c>
      <c r="H339" s="100">
        <f>IFERROR(SUMIFS(MOVIMIENTOS_COMPLEMENTOS!$I$4:$I$803,MOVIMIENTOS_COMPLEMENTOS!$C$4:$C$803,A339,MOVIMIENTOS_COMPLEMENTOS!$D$4:$D$803,B339,MOVIMIENTOS_COMPLEMENTOS!$E$4:$E$803,C339,MOVIMIENTOS_COMPLEMENTOS!$G$4:$G$803,E339,MOVIMIENTOS_COMPLEMENTOS!$H$4:$H$803,G339,MOVIMIENTOS_COMPLEMENTOS!$B$4:$B$803,"INGRESO")+SUMIFS(MOVIMIENTOS_COMPLEMENTOS!$I$4:$I$803,MOVIMIENTOS_COMPLEMENTOS!$C$4:$C$803,A339,MOVIMIENTOS_COMPLEMENTOS!$D$4:$D$803,B339,MOVIMIENTOS_COMPLEMENTOS!$E$4:$E$803,C339,MOVIMIENTOS_COMPLEMENTOS!$G$4:$G$803,E339,MOVIMIENTOS_COMPLEMENTOS!$H$4:$H$803,G339,MOVIMIENTOS_COMPLEMENTOS!$B$4:$B$803,"DE CORTE")-SUMIFS(MOVIMIENTOS_COMPLEMENTOS!$I$4:$I$803,MOVIMIENTOS_COMPLEMENTOS!$C$4:$C$803,A339,MOVIMIENTOS_COMPLEMENTOS!$D$4:$D$803,B339,MOVIMIENTOS_COMPLEMENTOS!$E$4:$E$803,C339,MOVIMIENTOS_COMPLEMENTOS!$G$4:$G$803,E339,MOVIMIENTOS_COMPLEMENTOS!$H$4:$H$803,G339,MOVIMIENTOS_COMPLEMENTOS!$B$4:$B$803,"SALIDA"),0)</f>
        <v>0</v>
      </c>
      <c r="I339" s="102">
        <f t="array" ref="I339">IFERROR(INDEX(PRECIOS_COMPLEMENTOS!$C$4:$F$17,MATCH(B339&amp;"_"&amp;C339,PRECIOS_COMPLEMENTOS!$H$4:$H$17,0),IF(OR(G339="S",G339="20cm"),1,IF(OR(G339="M",G339="25cm"),2,IF(OR(G339="L",G339="30cm"),3,IF(OR(G339="XL",G339="35cm"),4,0))))),0)</f>
        <v>0.55</v>
      </c>
      <c r="J339" s="103">
        <f t="shared" si="1"/>
        <v>0</v>
      </c>
      <c r="K339" s="104" t="str">
        <f>IF(H339&lt;0,"ERROR",IF(H339=0,"",IF(H339&lt;CONFIG!$B$4,"CRÍTICO",IF(H339&lt;CONFIG!$B$5,"BAJO","OK"))))</f>
        <v/>
      </c>
    </row>
    <row r="340" ht="15.75" hidden="1" customHeight="1">
      <c r="A340" s="90" t="str">
        <f>IF(CLIENTES!A5="","",CLIENTES!A5)</f>
        <v>Bravos</v>
      </c>
      <c r="B340" s="90" t="s">
        <v>321</v>
      </c>
      <c r="C340" s="91" t="s">
        <v>326</v>
      </c>
      <c r="D340" s="109" t="s">
        <v>353</v>
      </c>
      <c r="E340" s="67" t="str">
        <f>COLORES!A8</f>
        <v>Beige</v>
      </c>
      <c r="F340" s="67" t="str">
        <f>COLORES!B8</f>
        <v>CLARO</v>
      </c>
      <c r="G340" s="90" t="s">
        <v>378</v>
      </c>
      <c r="H340" s="100">
        <f>IFERROR(SUMIFS(MOVIMIENTOS_COMPLEMENTOS!$I$4:$I$803,MOVIMIENTOS_COMPLEMENTOS!$C$4:$C$803,A340,MOVIMIENTOS_COMPLEMENTOS!$D$4:$D$803,B340,MOVIMIENTOS_COMPLEMENTOS!$E$4:$E$803,C340,MOVIMIENTOS_COMPLEMENTOS!$G$4:$G$803,E340,MOVIMIENTOS_COMPLEMENTOS!$H$4:$H$803,G340,MOVIMIENTOS_COMPLEMENTOS!$B$4:$B$803,"INGRESO")+SUMIFS(MOVIMIENTOS_COMPLEMENTOS!$I$4:$I$803,MOVIMIENTOS_COMPLEMENTOS!$C$4:$C$803,A340,MOVIMIENTOS_COMPLEMENTOS!$D$4:$D$803,B340,MOVIMIENTOS_COMPLEMENTOS!$E$4:$E$803,C340,MOVIMIENTOS_COMPLEMENTOS!$G$4:$G$803,E340,MOVIMIENTOS_COMPLEMENTOS!$H$4:$H$803,G340,MOVIMIENTOS_COMPLEMENTOS!$B$4:$B$803,"DE CORTE")-SUMIFS(MOVIMIENTOS_COMPLEMENTOS!$I$4:$I$803,MOVIMIENTOS_COMPLEMENTOS!$C$4:$C$803,A340,MOVIMIENTOS_COMPLEMENTOS!$D$4:$D$803,B340,MOVIMIENTOS_COMPLEMENTOS!$E$4:$E$803,C340,MOVIMIENTOS_COMPLEMENTOS!$G$4:$G$803,E340,MOVIMIENTOS_COMPLEMENTOS!$H$4:$H$803,G340,MOVIMIENTOS_COMPLEMENTOS!$B$4:$B$803,"SALIDA"),0)</f>
        <v>0</v>
      </c>
      <c r="I340" s="102">
        <f t="array" ref="I340">IFERROR(INDEX(PRECIOS_COMPLEMENTOS!$C$4:$F$17,MATCH(B340&amp;"_"&amp;C340,PRECIOS_COMPLEMENTOS!$H$4:$H$17,0),IF(OR(G340="S",G340="20cm"),1,IF(OR(G340="M",G340="25cm"),2,IF(OR(G340="L",G340="30cm"),3,IF(OR(G340="XL",G340="35cm"),4,0))))),0)</f>
        <v>0.4</v>
      </c>
      <c r="J340" s="103">
        <f t="shared" si="1"/>
        <v>0</v>
      </c>
      <c r="K340" s="104" t="str">
        <f>IF(H340&lt;0,"ERROR",IF(H340=0,"",IF(H340&lt;CONFIG!$B$4,"CRÍTICO",IF(H340&lt;CONFIG!$B$5,"BAJO","OK"))))</f>
        <v/>
      </c>
    </row>
    <row r="341" ht="15.75" hidden="1" customHeight="1">
      <c r="A341" s="90" t="str">
        <f>IF(CLIENTES!A5="","",CLIENTES!A5)</f>
        <v>Bravos</v>
      </c>
      <c r="B341" s="90" t="s">
        <v>321</v>
      </c>
      <c r="C341" s="91" t="s">
        <v>326</v>
      </c>
      <c r="D341" s="109" t="s">
        <v>353</v>
      </c>
      <c r="E341" s="67" t="str">
        <f>COLORES!A8</f>
        <v>Beige</v>
      </c>
      <c r="F341" s="67" t="str">
        <f>COLORES!B8</f>
        <v>CLARO</v>
      </c>
      <c r="G341" s="90" t="s">
        <v>376</v>
      </c>
      <c r="H341" s="100">
        <f>IFERROR(SUMIFS(MOVIMIENTOS_COMPLEMENTOS!$I$4:$I$803,MOVIMIENTOS_COMPLEMENTOS!$C$4:$C$803,A341,MOVIMIENTOS_COMPLEMENTOS!$D$4:$D$803,B341,MOVIMIENTOS_COMPLEMENTOS!$E$4:$E$803,C341,MOVIMIENTOS_COMPLEMENTOS!$G$4:$G$803,E341,MOVIMIENTOS_COMPLEMENTOS!$H$4:$H$803,G341,MOVIMIENTOS_COMPLEMENTOS!$B$4:$B$803,"INGRESO")+SUMIFS(MOVIMIENTOS_COMPLEMENTOS!$I$4:$I$803,MOVIMIENTOS_COMPLEMENTOS!$C$4:$C$803,A341,MOVIMIENTOS_COMPLEMENTOS!$D$4:$D$803,B341,MOVIMIENTOS_COMPLEMENTOS!$E$4:$E$803,C341,MOVIMIENTOS_COMPLEMENTOS!$G$4:$G$803,E341,MOVIMIENTOS_COMPLEMENTOS!$H$4:$H$803,G341,MOVIMIENTOS_COMPLEMENTOS!$B$4:$B$803,"DE CORTE")-SUMIFS(MOVIMIENTOS_COMPLEMENTOS!$I$4:$I$803,MOVIMIENTOS_COMPLEMENTOS!$C$4:$C$803,A341,MOVIMIENTOS_COMPLEMENTOS!$D$4:$D$803,B341,MOVIMIENTOS_COMPLEMENTOS!$E$4:$E$803,C341,MOVIMIENTOS_COMPLEMENTOS!$G$4:$G$803,E341,MOVIMIENTOS_COMPLEMENTOS!$H$4:$H$803,G341,MOVIMIENTOS_COMPLEMENTOS!$B$4:$B$803,"SALIDA"),0)</f>
        <v>0</v>
      </c>
      <c r="I341" s="102">
        <f t="array" ref="I341">IFERROR(INDEX(PRECIOS_COMPLEMENTOS!$C$4:$F$17,MATCH(B341&amp;"_"&amp;C341,PRECIOS_COMPLEMENTOS!$H$4:$H$17,0),IF(OR(G341="S",G341="20cm"),1,IF(OR(G341="M",G341="25cm"),2,IF(OR(G341="L",G341="30cm"),3,IF(OR(G341="XL",G341="35cm"),4,0))))),0)</f>
        <v>0.45</v>
      </c>
      <c r="J341" s="103">
        <f t="shared" si="1"/>
        <v>0</v>
      </c>
      <c r="K341" s="104" t="str">
        <f>IF(H341&lt;0,"ERROR",IF(H341=0,"",IF(H341&lt;CONFIG!$B$4,"CRÍTICO",IF(H341&lt;CONFIG!$B$5,"BAJO","OK"))))</f>
        <v/>
      </c>
    </row>
    <row r="342" ht="15.75" hidden="1" customHeight="1">
      <c r="A342" s="90" t="str">
        <f>IF(CLIENTES!A5="","",CLIENTES!A5)</f>
        <v>Bravos</v>
      </c>
      <c r="B342" s="90" t="s">
        <v>321</v>
      </c>
      <c r="C342" s="91" t="s">
        <v>326</v>
      </c>
      <c r="D342" s="109" t="s">
        <v>353</v>
      </c>
      <c r="E342" s="67" t="str">
        <f>COLORES!A8</f>
        <v>Beige</v>
      </c>
      <c r="F342" s="67" t="str">
        <f>COLORES!B8</f>
        <v>CLARO</v>
      </c>
      <c r="G342" s="90" t="s">
        <v>377</v>
      </c>
      <c r="H342" s="100">
        <f>IFERROR(SUMIFS(MOVIMIENTOS_COMPLEMENTOS!$I$4:$I$803,MOVIMIENTOS_COMPLEMENTOS!$C$4:$C$803,A342,MOVIMIENTOS_COMPLEMENTOS!$D$4:$D$803,B342,MOVIMIENTOS_COMPLEMENTOS!$E$4:$E$803,C342,MOVIMIENTOS_COMPLEMENTOS!$G$4:$G$803,E342,MOVIMIENTOS_COMPLEMENTOS!$H$4:$H$803,G342,MOVIMIENTOS_COMPLEMENTOS!$B$4:$B$803,"INGRESO")+SUMIFS(MOVIMIENTOS_COMPLEMENTOS!$I$4:$I$803,MOVIMIENTOS_COMPLEMENTOS!$C$4:$C$803,A342,MOVIMIENTOS_COMPLEMENTOS!$D$4:$D$803,B342,MOVIMIENTOS_COMPLEMENTOS!$E$4:$E$803,C342,MOVIMIENTOS_COMPLEMENTOS!$G$4:$G$803,E342,MOVIMIENTOS_COMPLEMENTOS!$H$4:$H$803,G342,MOVIMIENTOS_COMPLEMENTOS!$B$4:$B$803,"DE CORTE")-SUMIFS(MOVIMIENTOS_COMPLEMENTOS!$I$4:$I$803,MOVIMIENTOS_COMPLEMENTOS!$C$4:$C$803,A342,MOVIMIENTOS_COMPLEMENTOS!$D$4:$D$803,B342,MOVIMIENTOS_COMPLEMENTOS!$E$4:$E$803,C342,MOVIMIENTOS_COMPLEMENTOS!$G$4:$G$803,E342,MOVIMIENTOS_COMPLEMENTOS!$H$4:$H$803,G342,MOVIMIENTOS_COMPLEMENTOS!$B$4:$B$803,"SALIDA"),0)</f>
        <v>0</v>
      </c>
      <c r="I342" s="102">
        <f t="array" ref="I342">IFERROR(INDEX(PRECIOS_COMPLEMENTOS!$C$4:$F$17,MATCH(B342&amp;"_"&amp;C342,PRECIOS_COMPLEMENTOS!$H$4:$H$17,0),IF(OR(G342="S",G342="20cm"),1,IF(OR(G342="M",G342="25cm"),2,IF(OR(G342="L",G342="30cm"),3,IF(OR(G342="XL",G342="35cm"),4,0))))),0)</f>
        <v>0.5</v>
      </c>
      <c r="J342" s="103">
        <f t="shared" si="1"/>
        <v>0</v>
      </c>
      <c r="K342" s="104" t="str">
        <f>IF(H342&lt;0,"ERROR",IF(H342=0,"",IF(H342&lt;CONFIG!$B$4,"CRÍTICO",IF(H342&lt;CONFIG!$B$5,"BAJO","OK"))))</f>
        <v/>
      </c>
    </row>
    <row r="343" ht="15.75" hidden="1" customHeight="1">
      <c r="A343" s="90" t="str">
        <f>IF(CLIENTES!A5="","",CLIENTES!A5)</f>
        <v>Bravos</v>
      </c>
      <c r="B343" s="90" t="s">
        <v>321</v>
      </c>
      <c r="C343" s="91" t="s">
        <v>326</v>
      </c>
      <c r="D343" s="109" t="s">
        <v>353</v>
      </c>
      <c r="E343" s="67" t="str">
        <f>COLORES!A8</f>
        <v>Beige</v>
      </c>
      <c r="F343" s="67" t="str">
        <f>COLORES!B8</f>
        <v>CLARO</v>
      </c>
      <c r="G343" s="90" t="s">
        <v>379</v>
      </c>
      <c r="H343" s="100">
        <f>IFERROR(SUMIFS(MOVIMIENTOS_COMPLEMENTOS!$I$4:$I$803,MOVIMIENTOS_COMPLEMENTOS!$C$4:$C$803,A343,MOVIMIENTOS_COMPLEMENTOS!$D$4:$D$803,B343,MOVIMIENTOS_COMPLEMENTOS!$E$4:$E$803,C343,MOVIMIENTOS_COMPLEMENTOS!$G$4:$G$803,E343,MOVIMIENTOS_COMPLEMENTOS!$H$4:$H$803,G343,MOVIMIENTOS_COMPLEMENTOS!$B$4:$B$803,"INGRESO")+SUMIFS(MOVIMIENTOS_COMPLEMENTOS!$I$4:$I$803,MOVIMIENTOS_COMPLEMENTOS!$C$4:$C$803,A343,MOVIMIENTOS_COMPLEMENTOS!$D$4:$D$803,B343,MOVIMIENTOS_COMPLEMENTOS!$E$4:$E$803,C343,MOVIMIENTOS_COMPLEMENTOS!$G$4:$G$803,E343,MOVIMIENTOS_COMPLEMENTOS!$H$4:$H$803,G343,MOVIMIENTOS_COMPLEMENTOS!$B$4:$B$803,"DE CORTE")-SUMIFS(MOVIMIENTOS_COMPLEMENTOS!$I$4:$I$803,MOVIMIENTOS_COMPLEMENTOS!$C$4:$C$803,A343,MOVIMIENTOS_COMPLEMENTOS!$D$4:$D$803,B343,MOVIMIENTOS_COMPLEMENTOS!$E$4:$E$803,C343,MOVIMIENTOS_COMPLEMENTOS!$G$4:$G$803,E343,MOVIMIENTOS_COMPLEMENTOS!$H$4:$H$803,G343,MOVIMIENTOS_COMPLEMENTOS!$B$4:$B$803,"SALIDA"),0)</f>
        <v>0</v>
      </c>
      <c r="I343" s="102">
        <f t="array" ref="I343">IFERROR(INDEX(PRECIOS_COMPLEMENTOS!$C$4:$F$17,MATCH(B343&amp;"_"&amp;C343,PRECIOS_COMPLEMENTOS!$H$4:$H$17,0),IF(OR(G343="S",G343="20cm"),1,IF(OR(G343="M",G343="25cm"),2,IF(OR(G343="L",G343="30cm"),3,IF(OR(G343="XL",G343="35cm"),4,0))))),0)</f>
        <v>0.55</v>
      </c>
      <c r="J343" s="103">
        <f t="shared" si="1"/>
        <v>0</v>
      </c>
      <c r="K343" s="104" t="str">
        <f>IF(H343&lt;0,"ERROR",IF(H343=0,"",IF(H343&lt;CONFIG!$B$4,"CRÍTICO",IF(H343&lt;CONFIG!$B$5,"BAJO","OK"))))</f>
        <v/>
      </c>
    </row>
    <row r="344" ht="15.75" hidden="1" customHeight="1">
      <c r="A344" s="90" t="str">
        <f>IF(CLIENTES!A5="","",CLIENTES!A5)</f>
        <v>Bravos</v>
      </c>
      <c r="B344" s="90" t="s">
        <v>321</v>
      </c>
      <c r="C344" s="91" t="s">
        <v>326</v>
      </c>
      <c r="D344" s="109" t="s">
        <v>353</v>
      </c>
      <c r="E344" s="67" t="str">
        <f>COLORES!A9</f>
        <v>Melange</v>
      </c>
      <c r="F344" s="67" t="str">
        <f>COLORES!B9</f>
        <v>MELANGE</v>
      </c>
      <c r="G344" s="90" t="s">
        <v>378</v>
      </c>
      <c r="H344" s="100">
        <f>IFERROR(SUMIFS(MOVIMIENTOS_COMPLEMENTOS!$I$4:$I$803,MOVIMIENTOS_COMPLEMENTOS!$C$4:$C$803,A344,MOVIMIENTOS_COMPLEMENTOS!$D$4:$D$803,B344,MOVIMIENTOS_COMPLEMENTOS!$E$4:$E$803,C344,MOVIMIENTOS_COMPLEMENTOS!$G$4:$G$803,E344,MOVIMIENTOS_COMPLEMENTOS!$H$4:$H$803,G344,MOVIMIENTOS_COMPLEMENTOS!$B$4:$B$803,"INGRESO")+SUMIFS(MOVIMIENTOS_COMPLEMENTOS!$I$4:$I$803,MOVIMIENTOS_COMPLEMENTOS!$C$4:$C$803,A344,MOVIMIENTOS_COMPLEMENTOS!$D$4:$D$803,B344,MOVIMIENTOS_COMPLEMENTOS!$E$4:$E$803,C344,MOVIMIENTOS_COMPLEMENTOS!$G$4:$G$803,E344,MOVIMIENTOS_COMPLEMENTOS!$H$4:$H$803,G344,MOVIMIENTOS_COMPLEMENTOS!$B$4:$B$803,"DE CORTE")-SUMIFS(MOVIMIENTOS_COMPLEMENTOS!$I$4:$I$803,MOVIMIENTOS_COMPLEMENTOS!$C$4:$C$803,A344,MOVIMIENTOS_COMPLEMENTOS!$D$4:$D$803,B344,MOVIMIENTOS_COMPLEMENTOS!$E$4:$E$803,C344,MOVIMIENTOS_COMPLEMENTOS!$G$4:$G$803,E344,MOVIMIENTOS_COMPLEMENTOS!$H$4:$H$803,G344,MOVIMIENTOS_COMPLEMENTOS!$B$4:$B$803,"SALIDA"),0)</f>
        <v>0</v>
      </c>
      <c r="I344" s="102">
        <f t="array" ref="I344">IFERROR(INDEX(PRECIOS_COMPLEMENTOS!$C$4:$F$17,MATCH(B344&amp;"_"&amp;C344,PRECIOS_COMPLEMENTOS!$H$4:$H$17,0),IF(OR(G344="S",G344="20cm"),1,IF(OR(G344="M",G344="25cm"),2,IF(OR(G344="L",G344="30cm"),3,IF(OR(G344="XL",G344="35cm"),4,0))))),0)</f>
        <v>0.4</v>
      </c>
      <c r="J344" s="103">
        <f t="shared" si="1"/>
        <v>0</v>
      </c>
      <c r="K344" s="104" t="str">
        <f>IF(H344&lt;0,"ERROR",IF(H344=0,"",IF(H344&lt;CONFIG!$B$4,"CRÍTICO",IF(H344&lt;CONFIG!$B$5,"BAJO","OK"))))</f>
        <v/>
      </c>
    </row>
    <row r="345" ht="15.75" hidden="1" customHeight="1">
      <c r="A345" s="90" t="str">
        <f>IF(CLIENTES!A5="","",CLIENTES!A5)</f>
        <v>Bravos</v>
      </c>
      <c r="B345" s="90" t="s">
        <v>321</v>
      </c>
      <c r="C345" s="91" t="s">
        <v>326</v>
      </c>
      <c r="D345" s="109" t="s">
        <v>353</v>
      </c>
      <c r="E345" s="67" t="str">
        <f>COLORES!A9</f>
        <v>Melange</v>
      </c>
      <c r="F345" s="67" t="str">
        <f>COLORES!B9</f>
        <v>MELANGE</v>
      </c>
      <c r="G345" s="90" t="s">
        <v>376</v>
      </c>
      <c r="H345" s="100">
        <f>IFERROR(SUMIFS(MOVIMIENTOS_COMPLEMENTOS!$I$4:$I$803,MOVIMIENTOS_COMPLEMENTOS!$C$4:$C$803,A345,MOVIMIENTOS_COMPLEMENTOS!$D$4:$D$803,B345,MOVIMIENTOS_COMPLEMENTOS!$E$4:$E$803,C345,MOVIMIENTOS_COMPLEMENTOS!$G$4:$G$803,E345,MOVIMIENTOS_COMPLEMENTOS!$H$4:$H$803,G345,MOVIMIENTOS_COMPLEMENTOS!$B$4:$B$803,"INGRESO")+SUMIFS(MOVIMIENTOS_COMPLEMENTOS!$I$4:$I$803,MOVIMIENTOS_COMPLEMENTOS!$C$4:$C$803,A345,MOVIMIENTOS_COMPLEMENTOS!$D$4:$D$803,B345,MOVIMIENTOS_COMPLEMENTOS!$E$4:$E$803,C345,MOVIMIENTOS_COMPLEMENTOS!$G$4:$G$803,E345,MOVIMIENTOS_COMPLEMENTOS!$H$4:$H$803,G345,MOVIMIENTOS_COMPLEMENTOS!$B$4:$B$803,"DE CORTE")-SUMIFS(MOVIMIENTOS_COMPLEMENTOS!$I$4:$I$803,MOVIMIENTOS_COMPLEMENTOS!$C$4:$C$803,A345,MOVIMIENTOS_COMPLEMENTOS!$D$4:$D$803,B345,MOVIMIENTOS_COMPLEMENTOS!$E$4:$E$803,C345,MOVIMIENTOS_COMPLEMENTOS!$G$4:$G$803,E345,MOVIMIENTOS_COMPLEMENTOS!$H$4:$H$803,G345,MOVIMIENTOS_COMPLEMENTOS!$B$4:$B$803,"SALIDA"),0)</f>
        <v>0</v>
      </c>
      <c r="I345" s="102">
        <f t="array" ref="I345">IFERROR(INDEX(PRECIOS_COMPLEMENTOS!$C$4:$F$17,MATCH(B345&amp;"_"&amp;C345,PRECIOS_COMPLEMENTOS!$H$4:$H$17,0),IF(OR(G345="S",G345="20cm"),1,IF(OR(G345="M",G345="25cm"),2,IF(OR(G345="L",G345="30cm"),3,IF(OR(G345="XL",G345="35cm"),4,0))))),0)</f>
        <v>0.45</v>
      </c>
      <c r="J345" s="103">
        <f t="shared" si="1"/>
        <v>0</v>
      </c>
      <c r="K345" s="104" t="str">
        <f>IF(H345&lt;0,"ERROR",IF(H345=0,"",IF(H345&lt;CONFIG!$B$4,"CRÍTICO",IF(H345&lt;CONFIG!$B$5,"BAJO","OK"))))</f>
        <v/>
      </c>
    </row>
    <row r="346" ht="15.75" hidden="1" customHeight="1">
      <c r="A346" s="90" t="str">
        <f>IF(CLIENTES!A5="","",CLIENTES!A5)</f>
        <v>Bravos</v>
      </c>
      <c r="B346" s="90" t="s">
        <v>321</v>
      </c>
      <c r="C346" s="91" t="s">
        <v>326</v>
      </c>
      <c r="D346" s="109" t="s">
        <v>353</v>
      </c>
      <c r="E346" s="67" t="str">
        <f>COLORES!A9</f>
        <v>Melange</v>
      </c>
      <c r="F346" s="67" t="str">
        <f>COLORES!B9</f>
        <v>MELANGE</v>
      </c>
      <c r="G346" s="90" t="s">
        <v>377</v>
      </c>
      <c r="H346" s="100">
        <f>IFERROR(SUMIFS(MOVIMIENTOS_COMPLEMENTOS!$I$4:$I$803,MOVIMIENTOS_COMPLEMENTOS!$C$4:$C$803,A346,MOVIMIENTOS_COMPLEMENTOS!$D$4:$D$803,B346,MOVIMIENTOS_COMPLEMENTOS!$E$4:$E$803,C346,MOVIMIENTOS_COMPLEMENTOS!$G$4:$G$803,E346,MOVIMIENTOS_COMPLEMENTOS!$H$4:$H$803,G346,MOVIMIENTOS_COMPLEMENTOS!$B$4:$B$803,"INGRESO")+SUMIFS(MOVIMIENTOS_COMPLEMENTOS!$I$4:$I$803,MOVIMIENTOS_COMPLEMENTOS!$C$4:$C$803,A346,MOVIMIENTOS_COMPLEMENTOS!$D$4:$D$803,B346,MOVIMIENTOS_COMPLEMENTOS!$E$4:$E$803,C346,MOVIMIENTOS_COMPLEMENTOS!$G$4:$G$803,E346,MOVIMIENTOS_COMPLEMENTOS!$H$4:$H$803,G346,MOVIMIENTOS_COMPLEMENTOS!$B$4:$B$803,"DE CORTE")-SUMIFS(MOVIMIENTOS_COMPLEMENTOS!$I$4:$I$803,MOVIMIENTOS_COMPLEMENTOS!$C$4:$C$803,A346,MOVIMIENTOS_COMPLEMENTOS!$D$4:$D$803,B346,MOVIMIENTOS_COMPLEMENTOS!$E$4:$E$803,C346,MOVIMIENTOS_COMPLEMENTOS!$G$4:$G$803,E346,MOVIMIENTOS_COMPLEMENTOS!$H$4:$H$803,G346,MOVIMIENTOS_COMPLEMENTOS!$B$4:$B$803,"SALIDA"),0)</f>
        <v>0</v>
      </c>
      <c r="I346" s="102">
        <f t="array" ref="I346">IFERROR(INDEX(PRECIOS_COMPLEMENTOS!$C$4:$F$17,MATCH(B346&amp;"_"&amp;C346,PRECIOS_COMPLEMENTOS!$H$4:$H$17,0),IF(OR(G346="S",G346="20cm"),1,IF(OR(G346="M",G346="25cm"),2,IF(OR(G346="L",G346="30cm"),3,IF(OR(G346="XL",G346="35cm"),4,0))))),0)</f>
        <v>0.5</v>
      </c>
      <c r="J346" s="103">
        <f t="shared" si="1"/>
        <v>0</v>
      </c>
      <c r="K346" s="104" t="str">
        <f>IF(H346&lt;0,"ERROR",IF(H346=0,"",IF(H346&lt;CONFIG!$B$4,"CRÍTICO",IF(H346&lt;CONFIG!$B$5,"BAJO","OK"))))</f>
        <v/>
      </c>
    </row>
    <row r="347" ht="15.75" hidden="1" customHeight="1">
      <c r="A347" s="90" t="str">
        <f>IF(CLIENTES!A5="","",CLIENTES!A5)</f>
        <v>Bravos</v>
      </c>
      <c r="B347" s="90" t="s">
        <v>321</v>
      </c>
      <c r="C347" s="91" t="s">
        <v>326</v>
      </c>
      <c r="D347" s="109" t="s">
        <v>353</v>
      </c>
      <c r="E347" s="67" t="str">
        <f>COLORES!A9</f>
        <v>Melange</v>
      </c>
      <c r="F347" s="67" t="str">
        <f>COLORES!B9</f>
        <v>MELANGE</v>
      </c>
      <c r="G347" s="90" t="s">
        <v>379</v>
      </c>
      <c r="H347" s="100">
        <f>IFERROR(SUMIFS(MOVIMIENTOS_COMPLEMENTOS!$I$4:$I$803,MOVIMIENTOS_COMPLEMENTOS!$C$4:$C$803,A347,MOVIMIENTOS_COMPLEMENTOS!$D$4:$D$803,B347,MOVIMIENTOS_COMPLEMENTOS!$E$4:$E$803,C347,MOVIMIENTOS_COMPLEMENTOS!$G$4:$G$803,E347,MOVIMIENTOS_COMPLEMENTOS!$H$4:$H$803,G347,MOVIMIENTOS_COMPLEMENTOS!$B$4:$B$803,"INGRESO")+SUMIFS(MOVIMIENTOS_COMPLEMENTOS!$I$4:$I$803,MOVIMIENTOS_COMPLEMENTOS!$C$4:$C$803,A347,MOVIMIENTOS_COMPLEMENTOS!$D$4:$D$803,B347,MOVIMIENTOS_COMPLEMENTOS!$E$4:$E$803,C347,MOVIMIENTOS_COMPLEMENTOS!$G$4:$G$803,E347,MOVIMIENTOS_COMPLEMENTOS!$H$4:$H$803,G347,MOVIMIENTOS_COMPLEMENTOS!$B$4:$B$803,"DE CORTE")-SUMIFS(MOVIMIENTOS_COMPLEMENTOS!$I$4:$I$803,MOVIMIENTOS_COMPLEMENTOS!$C$4:$C$803,A347,MOVIMIENTOS_COMPLEMENTOS!$D$4:$D$803,B347,MOVIMIENTOS_COMPLEMENTOS!$E$4:$E$803,C347,MOVIMIENTOS_COMPLEMENTOS!$G$4:$G$803,E347,MOVIMIENTOS_COMPLEMENTOS!$H$4:$H$803,G347,MOVIMIENTOS_COMPLEMENTOS!$B$4:$B$803,"SALIDA"),0)</f>
        <v>0</v>
      </c>
      <c r="I347" s="102">
        <f t="array" ref="I347">IFERROR(INDEX(PRECIOS_COMPLEMENTOS!$C$4:$F$17,MATCH(B347&amp;"_"&amp;C347,PRECIOS_COMPLEMENTOS!$H$4:$H$17,0),IF(OR(G347="S",G347="20cm"),1,IF(OR(G347="M",G347="25cm"),2,IF(OR(G347="L",G347="30cm"),3,IF(OR(G347="XL",G347="35cm"),4,0))))),0)</f>
        <v>0.55</v>
      </c>
      <c r="J347" s="103">
        <f t="shared" si="1"/>
        <v>0</v>
      </c>
      <c r="K347" s="104" t="str">
        <f>IF(H347&lt;0,"ERROR",IF(H347=0,"",IF(H347&lt;CONFIG!$B$4,"CRÍTICO",IF(H347&lt;CONFIG!$B$5,"BAJO","OK"))))</f>
        <v/>
      </c>
    </row>
    <row r="348" ht="15.75" hidden="1" customHeight="1">
      <c r="A348" s="90" t="str">
        <f>IF(CLIENTES!A5="","",CLIENTES!A5)</f>
        <v>Bravos</v>
      </c>
      <c r="B348" s="90" t="s">
        <v>321</v>
      </c>
      <c r="C348" s="91" t="s">
        <v>326</v>
      </c>
      <c r="D348" s="109" t="s">
        <v>353</v>
      </c>
      <c r="E348" s="67" t="str">
        <f>COLORES!A10</f>
        <v>Botella</v>
      </c>
      <c r="F348" s="67" t="str">
        <f>COLORES!B10</f>
        <v>OSCURO</v>
      </c>
      <c r="G348" s="90" t="s">
        <v>378</v>
      </c>
      <c r="H348" s="100">
        <f>IFERROR(SUMIFS(MOVIMIENTOS_COMPLEMENTOS!$I$4:$I$803,MOVIMIENTOS_COMPLEMENTOS!$C$4:$C$803,A348,MOVIMIENTOS_COMPLEMENTOS!$D$4:$D$803,B348,MOVIMIENTOS_COMPLEMENTOS!$E$4:$E$803,C348,MOVIMIENTOS_COMPLEMENTOS!$G$4:$G$803,E348,MOVIMIENTOS_COMPLEMENTOS!$H$4:$H$803,G348,MOVIMIENTOS_COMPLEMENTOS!$B$4:$B$803,"INGRESO")+SUMIFS(MOVIMIENTOS_COMPLEMENTOS!$I$4:$I$803,MOVIMIENTOS_COMPLEMENTOS!$C$4:$C$803,A348,MOVIMIENTOS_COMPLEMENTOS!$D$4:$D$803,B348,MOVIMIENTOS_COMPLEMENTOS!$E$4:$E$803,C348,MOVIMIENTOS_COMPLEMENTOS!$G$4:$G$803,E348,MOVIMIENTOS_COMPLEMENTOS!$H$4:$H$803,G348,MOVIMIENTOS_COMPLEMENTOS!$B$4:$B$803,"DE CORTE")-SUMIFS(MOVIMIENTOS_COMPLEMENTOS!$I$4:$I$803,MOVIMIENTOS_COMPLEMENTOS!$C$4:$C$803,A348,MOVIMIENTOS_COMPLEMENTOS!$D$4:$D$803,B348,MOVIMIENTOS_COMPLEMENTOS!$E$4:$E$803,C348,MOVIMIENTOS_COMPLEMENTOS!$G$4:$G$803,E348,MOVIMIENTOS_COMPLEMENTOS!$H$4:$H$803,G348,MOVIMIENTOS_COMPLEMENTOS!$B$4:$B$803,"SALIDA"),0)</f>
        <v>0</v>
      </c>
      <c r="I348" s="102">
        <f t="array" ref="I348">IFERROR(INDEX(PRECIOS_COMPLEMENTOS!$C$4:$F$17,MATCH(B348&amp;"_"&amp;C348,PRECIOS_COMPLEMENTOS!$H$4:$H$17,0),IF(OR(G348="S",G348="20cm"),1,IF(OR(G348="M",G348="25cm"),2,IF(OR(G348="L",G348="30cm"),3,IF(OR(G348="XL",G348="35cm"),4,0))))),0)</f>
        <v>0.4</v>
      </c>
      <c r="J348" s="103">
        <f t="shared" si="1"/>
        <v>0</v>
      </c>
      <c r="K348" s="104" t="str">
        <f>IF(H348&lt;0,"ERROR",IF(H348=0,"",IF(H348&lt;CONFIG!$B$4,"CRÍTICO",IF(H348&lt;CONFIG!$B$5,"BAJO","OK"))))</f>
        <v/>
      </c>
    </row>
    <row r="349" ht="15.75" hidden="1" customHeight="1">
      <c r="A349" s="90" t="str">
        <f>IF(CLIENTES!A5="","",CLIENTES!A5)</f>
        <v>Bravos</v>
      </c>
      <c r="B349" s="90" t="s">
        <v>321</v>
      </c>
      <c r="C349" s="91" t="s">
        <v>326</v>
      </c>
      <c r="D349" s="109" t="s">
        <v>353</v>
      </c>
      <c r="E349" s="67" t="str">
        <f>COLORES!A10</f>
        <v>Botella</v>
      </c>
      <c r="F349" s="67" t="str">
        <f>COLORES!B10</f>
        <v>OSCURO</v>
      </c>
      <c r="G349" s="90" t="s">
        <v>376</v>
      </c>
      <c r="H349" s="100">
        <f>IFERROR(SUMIFS(MOVIMIENTOS_COMPLEMENTOS!$I$4:$I$803,MOVIMIENTOS_COMPLEMENTOS!$C$4:$C$803,A349,MOVIMIENTOS_COMPLEMENTOS!$D$4:$D$803,B349,MOVIMIENTOS_COMPLEMENTOS!$E$4:$E$803,C349,MOVIMIENTOS_COMPLEMENTOS!$G$4:$G$803,E349,MOVIMIENTOS_COMPLEMENTOS!$H$4:$H$803,G349,MOVIMIENTOS_COMPLEMENTOS!$B$4:$B$803,"INGRESO")+SUMIFS(MOVIMIENTOS_COMPLEMENTOS!$I$4:$I$803,MOVIMIENTOS_COMPLEMENTOS!$C$4:$C$803,A349,MOVIMIENTOS_COMPLEMENTOS!$D$4:$D$803,B349,MOVIMIENTOS_COMPLEMENTOS!$E$4:$E$803,C349,MOVIMIENTOS_COMPLEMENTOS!$G$4:$G$803,E349,MOVIMIENTOS_COMPLEMENTOS!$H$4:$H$803,G349,MOVIMIENTOS_COMPLEMENTOS!$B$4:$B$803,"DE CORTE")-SUMIFS(MOVIMIENTOS_COMPLEMENTOS!$I$4:$I$803,MOVIMIENTOS_COMPLEMENTOS!$C$4:$C$803,A349,MOVIMIENTOS_COMPLEMENTOS!$D$4:$D$803,B349,MOVIMIENTOS_COMPLEMENTOS!$E$4:$E$803,C349,MOVIMIENTOS_COMPLEMENTOS!$G$4:$G$803,E349,MOVIMIENTOS_COMPLEMENTOS!$H$4:$H$803,G349,MOVIMIENTOS_COMPLEMENTOS!$B$4:$B$803,"SALIDA"),0)</f>
        <v>0</v>
      </c>
      <c r="I349" s="102">
        <f t="array" ref="I349">IFERROR(INDEX(PRECIOS_COMPLEMENTOS!$C$4:$F$17,MATCH(B349&amp;"_"&amp;C349,PRECIOS_COMPLEMENTOS!$H$4:$H$17,0),IF(OR(G349="S",G349="20cm"),1,IF(OR(G349="M",G349="25cm"),2,IF(OR(G349="L",G349="30cm"),3,IF(OR(G349="XL",G349="35cm"),4,0))))),0)</f>
        <v>0.45</v>
      </c>
      <c r="J349" s="103">
        <f t="shared" si="1"/>
        <v>0</v>
      </c>
      <c r="K349" s="104" t="str">
        <f>IF(H349&lt;0,"ERROR",IF(H349=0,"",IF(H349&lt;CONFIG!$B$4,"CRÍTICO",IF(H349&lt;CONFIG!$B$5,"BAJO","OK"))))</f>
        <v/>
      </c>
    </row>
    <row r="350" ht="15.75" hidden="1" customHeight="1">
      <c r="A350" s="90" t="str">
        <f>IF(CLIENTES!A5="","",CLIENTES!A5)</f>
        <v>Bravos</v>
      </c>
      <c r="B350" s="90" t="s">
        <v>321</v>
      </c>
      <c r="C350" s="91" t="s">
        <v>326</v>
      </c>
      <c r="D350" s="109" t="s">
        <v>353</v>
      </c>
      <c r="E350" s="67" t="str">
        <f>COLORES!A10</f>
        <v>Botella</v>
      </c>
      <c r="F350" s="67" t="str">
        <f>COLORES!B10</f>
        <v>OSCURO</v>
      </c>
      <c r="G350" s="90" t="s">
        <v>377</v>
      </c>
      <c r="H350" s="100">
        <f>IFERROR(SUMIFS(MOVIMIENTOS_COMPLEMENTOS!$I$4:$I$803,MOVIMIENTOS_COMPLEMENTOS!$C$4:$C$803,A350,MOVIMIENTOS_COMPLEMENTOS!$D$4:$D$803,B350,MOVIMIENTOS_COMPLEMENTOS!$E$4:$E$803,C350,MOVIMIENTOS_COMPLEMENTOS!$G$4:$G$803,E350,MOVIMIENTOS_COMPLEMENTOS!$H$4:$H$803,G350,MOVIMIENTOS_COMPLEMENTOS!$B$4:$B$803,"INGRESO")+SUMIFS(MOVIMIENTOS_COMPLEMENTOS!$I$4:$I$803,MOVIMIENTOS_COMPLEMENTOS!$C$4:$C$803,A350,MOVIMIENTOS_COMPLEMENTOS!$D$4:$D$803,B350,MOVIMIENTOS_COMPLEMENTOS!$E$4:$E$803,C350,MOVIMIENTOS_COMPLEMENTOS!$G$4:$G$803,E350,MOVIMIENTOS_COMPLEMENTOS!$H$4:$H$803,G350,MOVIMIENTOS_COMPLEMENTOS!$B$4:$B$803,"DE CORTE")-SUMIFS(MOVIMIENTOS_COMPLEMENTOS!$I$4:$I$803,MOVIMIENTOS_COMPLEMENTOS!$C$4:$C$803,A350,MOVIMIENTOS_COMPLEMENTOS!$D$4:$D$803,B350,MOVIMIENTOS_COMPLEMENTOS!$E$4:$E$803,C350,MOVIMIENTOS_COMPLEMENTOS!$G$4:$G$803,E350,MOVIMIENTOS_COMPLEMENTOS!$H$4:$H$803,G350,MOVIMIENTOS_COMPLEMENTOS!$B$4:$B$803,"SALIDA"),0)</f>
        <v>0</v>
      </c>
      <c r="I350" s="102">
        <f t="array" ref="I350">IFERROR(INDEX(PRECIOS_COMPLEMENTOS!$C$4:$F$17,MATCH(B350&amp;"_"&amp;C350,PRECIOS_COMPLEMENTOS!$H$4:$H$17,0),IF(OR(G350="S",G350="20cm"),1,IF(OR(G350="M",G350="25cm"),2,IF(OR(G350="L",G350="30cm"),3,IF(OR(G350="XL",G350="35cm"),4,0))))),0)</f>
        <v>0.5</v>
      </c>
      <c r="J350" s="103">
        <f t="shared" si="1"/>
        <v>0</v>
      </c>
      <c r="K350" s="104" t="str">
        <f>IF(H350&lt;0,"ERROR",IF(H350=0,"",IF(H350&lt;CONFIG!$B$4,"CRÍTICO",IF(H350&lt;CONFIG!$B$5,"BAJO","OK"))))</f>
        <v/>
      </c>
    </row>
    <row r="351" ht="15.75" hidden="1" customHeight="1">
      <c r="A351" s="90" t="str">
        <f>IF(CLIENTES!A5="","",CLIENTES!A5)</f>
        <v>Bravos</v>
      </c>
      <c r="B351" s="90" t="s">
        <v>321</v>
      </c>
      <c r="C351" s="91" t="s">
        <v>326</v>
      </c>
      <c r="D351" s="109" t="s">
        <v>353</v>
      </c>
      <c r="E351" s="67" t="str">
        <f>COLORES!A10</f>
        <v>Botella</v>
      </c>
      <c r="F351" s="67" t="str">
        <f>COLORES!B10</f>
        <v>OSCURO</v>
      </c>
      <c r="G351" s="90" t="s">
        <v>379</v>
      </c>
      <c r="H351" s="100">
        <f>IFERROR(SUMIFS(MOVIMIENTOS_COMPLEMENTOS!$I$4:$I$803,MOVIMIENTOS_COMPLEMENTOS!$C$4:$C$803,A351,MOVIMIENTOS_COMPLEMENTOS!$D$4:$D$803,B351,MOVIMIENTOS_COMPLEMENTOS!$E$4:$E$803,C351,MOVIMIENTOS_COMPLEMENTOS!$G$4:$G$803,E351,MOVIMIENTOS_COMPLEMENTOS!$H$4:$H$803,G351,MOVIMIENTOS_COMPLEMENTOS!$B$4:$B$803,"INGRESO")+SUMIFS(MOVIMIENTOS_COMPLEMENTOS!$I$4:$I$803,MOVIMIENTOS_COMPLEMENTOS!$C$4:$C$803,A351,MOVIMIENTOS_COMPLEMENTOS!$D$4:$D$803,B351,MOVIMIENTOS_COMPLEMENTOS!$E$4:$E$803,C351,MOVIMIENTOS_COMPLEMENTOS!$G$4:$G$803,E351,MOVIMIENTOS_COMPLEMENTOS!$H$4:$H$803,G351,MOVIMIENTOS_COMPLEMENTOS!$B$4:$B$803,"DE CORTE")-SUMIFS(MOVIMIENTOS_COMPLEMENTOS!$I$4:$I$803,MOVIMIENTOS_COMPLEMENTOS!$C$4:$C$803,A351,MOVIMIENTOS_COMPLEMENTOS!$D$4:$D$803,B351,MOVIMIENTOS_COMPLEMENTOS!$E$4:$E$803,C351,MOVIMIENTOS_COMPLEMENTOS!$G$4:$G$803,E351,MOVIMIENTOS_COMPLEMENTOS!$H$4:$H$803,G351,MOVIMIENTOS_COMPLEMENTOS!$B$4:$B$803,"SALIDA"),0)</f>
        <v>0</v>
      </c>
      <c r="I351" s="102">
        <f t="array" ref="I351">IFERROR(INDEX(PRECIOS_COMPLEMENTOS!$C$4:$F$17,MATCH(B351&amp;"_"&amp;C351,PRECIOS_COMPLEMENTOS!$H$4:$H$17,0),IF(OR(G351="S",G351="20cm"),1,IF(OR(G351="M",G351="25cm"),2,IF(OR(G351="L",G351="30cm"),3,IF(OR(G351="XL",G351="35cm"),4,0))))),0)</f>
        <v>0.55</v>
      </c>
      <c r="J351" s="103">
        <f t="shared" si="1"/>
        <v>0</v>
      </c>
      <c r="K351" s="104" t="str">
        <f>IF(H351&lt;0,"ERROR",IF(H351=0,"",IF(H351&lt;CONFIG!$B$4,"CRÍTICO",IF(H351&lt;CONFIG!$B$5,"BAJO","OK"))))</f>
        <v/>
      </c>
    </row>
    <row r="352" ht="15.75" hidden="1" customHeight="1">
      <c r="A352" s="90" t="str">
        <f>IF(CLIENTES!A5="","",CLIENTES!A5)</f>
        <v>Bravos</v>
      </c>
      <c r="B352" s="90" t="s">
        <v>321</v>
      </c>
      <c r="C352" s="91" t="s">
        <v>326</v>
      </c>
      <c r="D352" s="109" t="s">
        <v>353</v>
      </c>
      <c r="E352" s="67" t="str">
        <f>COLORES!A11</f>
        <v>Pacay</v>
      </c>
      <c r="F352" s="67" t="str">
        <f>COLORES!B11</f>
        <v>CLARO</v>
      </c>
      <c r="G352" s="90" t="s">
        <v>378</v>
      </c>
      <c r="H352" s="100">
        <f>IFERROR(SUMIFS(MOVIMIENTOS_COMPLEMENTOS!$I$4:$I$803,MOVIMIENTOS_COMPLEMENTOS!$C$4:$C$803,A352,MOVIMIENTOS_COMPLEMENTOS!$D$4:$D$803,B352,MOVIMIENTOS_COMPLEMENTOS!$E$4:$E$803,C352,MOVIMIENTOS_COMPLEMENTOS!$G$4:$G$803,E352,MOVIMIENTOS_COMPLEMENTOS!$H$4:$H$803,G352,MOVIMIENTOS_COMPLEMENTOS!$B$4:$B$803,"INGRESO")+SUMIFS(MOVIMIENTOS_COMPLEMENTOS!$I$4:$I$803,MOVIMIENTOS_COMPLEMENTOS!$C$4:$C$803,A352,MOVIMIENTOS_COMPLEMENTOS!$D$4:$D$803,B352,MOVIMIENTOS_COMPLEMENTOS!$E$4:$E$803,C352,MOVIMIENTOS_COMPLEMENTOS!$G$4:$G$803,E352,MOVIMIENTOS_COMPLEMENTOS!$H$4:$H$803,G352,MOVIMIENTOS_COMPLEMENTOS!$B$4:$B$803,"DE CORTE")-SUMIFS(MOVIMIENTOS_COMPLEMENTOS!$I$4:$I$803,MOVIMIENTOS_COMPLEMENTOS!$C$4:$C$803,A352,MOVIMIENTOS_COMPLEMENTOS!$D$4:$D$803,B352,MOVIMIENTOS_COMPLEMENTOS!$E$4:$E$803,C352,MOVIMIENTOS_COMPLEMENTOS!$G$4:$G$803,E352,MOVIMIENTOS_COMPLEMENTOS!$H$4:$H$803,G352,MOVIMIENTOS_COMPLEMENTOS!$B$4:$B$803,"SALIDA"),0)</f>
        <v>0</v>
      </c>
      <c r="I352" s="102">
        <f t="array" ref="I352">IFERROR(INDEX(PRECIOS_COMPLEMENTOS!$C$4:$F$17,MATCH(B352&amp;"_"&amp;C352,PRECIOS_COMPLEMENTOS!$H$4:$H$17,0),IF(OR(G352="S",G352="20cm"),1,IF(OR(G352="M",G352="25cm"),2,IF(OR(G352="L",G352="30cm"),3,IF(OR(G352="XL",G352="35cm"),4,0))))),0)</f>
        <v>0.4</v>
      </c>
      <c r="J352" s="103">
        <f t="shared" si="1"/>
        <v>0</v>
      </c>
      <c r="K352" s="104" t="str">
        <f>IF(H352&lt;0,"ERROR",IF(H352=0,"",IF(H352&lt;CONFIG!$B$4,"CRÍTICO",IF(H352&lt;CONFIG!$B$5,"BAJO","OK"))))</f>
        <v/>
      </c>
    </row>
    <row r="353" ht="15.75" hidden="1" customHeight="1">
      <c r="A353" s="90" t="str">
        <f>IF(CLIENTES!A5="","",CLIENTES!A5)</f>
        <v>Bravos</v>
      </c>
      <c r="B353" s="90" t="s">
        <v>321</v>
      </c>
      <c r="C353" s="91" t="s">
        <v>326</v>
      </c>
      <c r="D353" s="109" t="s">
        <v>353</v>
      </c>
      <c r="E353" s="67" t="str">
        <f>COLORES!A11</f>
        <v>Pacay</v>
      </c>
      <c r="F353" s="67" t="str">
        <f>COLORES!B11</f>
        <v>CLARO</v>
      </c>
      <c r="G353" s="90" t="s">
        <v>376</v>
      </c>
      <c r="H353" s="100">
        <f>IFERROR(SUMIFS(MOVIMIENTOS_COMPLEMENTOS!$I$4:$I$803,MOVIMIENTOS_COMPLEMENTOS!$C$4:$C$803,A353,MOVIMIENTOS_COMPLEMENTOS!$D$4:$D$803,B353,MOVIMIENTOS_COMPLEMENTOS!$E$4:$E$803,C353,MOVIMIENTOS_COMPLEMENTOS!$G$4:$G$803,E353,MOVIMIENTOS_COMPLEMENTOS!$H$4:$H$803,G353,MOVIMIENTOS_COMPLEMENTOS!$B$4:$B$803,"INGRESO")+SUMIFS(MOVIMIENTOS_COMPLEMENTOS!$I$4:$I$803,MOVIMIENTOS_COMPLEMENTOS!$C$4:$C$803,A353,MOVIMIENTOS_COMPLEMENTOS!$D$4:$D$803,B353,MOVIMIENTOS_COMPLEMENTOS!$E$4:$E$803,C353,MOVIMIENTOS_COMPLEMENTOS!$G$4:$G$803,E353,MOVIMIENTOS_COMPLEMENTOS!$H$4:$H$803,G353,MOVIMIENTOS_COMPLEMENTOS!$B$4:$B$803,"DE CORTE")-SUMIFS(MOVIMIENTOS_COMPLEMENTOS!$I$4:$I$803,MOVIMIENTOS_COMPLEMENTOS!$C$4:$C$803,A353,MOVIMIENTOS_COMPLEMENTOS!$D$4:$D$803,B353,MOVIMIENTOS_COMPLEMENTOS!$E$4:$E$803,C353,MOVIMIENTOS_COMPLEMENTOS!$G$4:$G$803,E353,MOVIMIENTOS_COMPLEMENTOS!$H$4:$H$803,G353,MOVIMIENTOS_COMPLEMENTOS!$B$4:$B$803,"SALIDA"),0)</f>
        <v>0</v>
      </c>
      <c r="I353" s="102">
        <f t="array" ref="I353">IFERROR(INDEX(PRECIOS_COMPLEMENTOS!$C$4:$F$17,MATCH(B353&amp;"_"&amp;C353,PRECIOS_COMPLEMENTOS!$H$4:$H$17,0),IF(OR(G353="S",G353="20cm"),1,IF(OR(G353="M",G353="25cm"),2,IF(OR(G353="L",G353="30cm"),3,IF(OR(G353="XL",G353="35cm"),4,0))))),0)</f>
        <v>0.45</v>
      </c>
      <c r="J353" s="103">
        <f t="shared" si="1"/>
        <v>0</v>
      </c>
      <c r="K353" s="104" t="str">
        <f>IF(H353&lt;0,"ERROR",IF(H353=0,"",IF(H353&lt;CONFIG!$B$4,"CRÍTICO",IF(H353&lt;CONFIG!$B$5,"BAJO","OK"))))</f>
        <v/>
      </c>
    </row>
    <row r="354" ht="15.75" hidden="1" customHeight="1">
      <c r="A354" s="90" t="str">
        <f>IF(CLIENTES!A5="","",CLIENTES!A5)</f>
        <v>Bravos</v>
      </c>
      <c r="B354" s="90" t="s">
        <v>321</v>
      </c>
      <c r="C354" s="91" t="s">
        <v>326</v>
      </c>
      <c r="D354" s="109" t="s">
        <v>353</v>
      </c>
      <c r="E354" s="67" t="str">
        <f>COLORES!A11</f>
        <v>Pacay</v>
      </c>
      <c r="F354" s="67" t="str">
        <f>COLORES!B11</f>
        <v>CLARO</v>
      </c>
      <c r="G354" s="90" t="s">
        <v>377</v>
      </c>
      <c r="H354" s="100">
        <f>IFERROR(SUMIFS(MOVIMIENTOS_COMPLEMENTOS!$I$4:$I$803,MOVIMIENTOS_COMPLEMENTOS!$C$4:$C$803,A354,MOVIMIENTOS_COMPLEMENTOS!$D$4:$D$803,B354,MOVIMIENTOS_COMPLEMENTOS!$E$4:$E$803,C354,MOVIMIENTOS_COMPLEMENTOS!$G$4:$G$803,E354,MOVIMIENTOS_COMPLEMENTOS!$H$4:$H$803,G354,MOVIMIENTOS_COMPLEMENTOS!$B$4:$B$803,"INGRESO")+SUMIFS(MOVIMIENTOS_COMPLEMENTOS!$I$4:$I$803,MOVIMIENTOS_COMPLEMENTOS!$C$4:$C$803,A354,MOVIMIENTOS_COMPLEMENTOS!$D$4:$D$803,B354,MOVIMIENTOS_COMPLEMENTOS!$E$4:$E$803,C354,MOVIMIENTOS_COMPLEMENTOS!$G$4:$G$803,E354,MOVIMIENTOS_COMPLEMENTOS!$H$4:$H$803,G354,MOVIMIENTOS_COMPLEMENTOS!$B$4:$B$803,"DE CORTE")-SUMIFS(MOVIMIENTOS_COMPLEMENTOS!$I$4:$I$803,MOVIMIENTOS_COMPLEMENTOS!$C$4:$C$803,A354,MOVIMIENTOS_COMPLEMENTOS!$D$4:$D$803,B354,MOVIMIENTOS_COMPLEMENTOS!$E$4:$E$803,C354,MOVIMIENTOS_COMPLEMENTOS!$G$4:$G$803,E354,MOVIMIENTOS_COMPLEMENTOS!$H$4:$H$803,G354,MOVIMIENTOS_COMPLEMENTOS!$B$4:$B$803,"SALIDA"),0)</f>
        <v>0</v>
      </c>
      <c r="I354" s="102">
        <f t="array" ref="I354">IFERROR(INDEX(PRECIOS_COMPLEMENTOS!$C$4:$F$17,MATCH(B354&amp;"_"&amp;C354,PRECIOS_COMPLEMENTOS!$H$4:$H$17,0),IF(OR(G354="S",G354="20cm"),1,IF(OR(G354="M",G354="25cm"),2,IF(OR(G354="L",G354="30cm"),3,IF(OR(G354="XL",G354="35cm"),4,0))))),0)</f>
        <v>0.5</v>
      </c>
      <c r="J354" s="103">
        <f t="shared" si="1"/>
        <v>0</v>
      </c>
      <c r="K354" s="104" t="str">
        <f>IF(H354&lt;0,"ERROR",IF(H354=0,"",IF(H354&lt;CONFIG!$B$4,"CRÍTICO",IF(H354&lt;CONFIG!$B$5,"BAJO","OK"))))</f>
        <v/>
      </c>
    </row>
    <row r="355" ht="15.75" hidden="1" customHeight="1">
      <c r="A355" s="90" t="str">
        <f>IF(CLIENTES!A5="","",CLIENTES!A5)</f>
        <v>Bravos</v>
      </c>
      <c r="B355" s="90" t="s">
        <v>321</v>
      </c>
      <c r="C355" s="91" t="s">
        <v>326</v>
      </c>
      <c r="D355" s="109" t="s">
        <v>353</v>
      </c>
      <c r="E355" s="67" t="str">
        <f>COLORES!A11</f>
        <v>Pacay</v>
      </c>
      <c r="F355" s="67" t="str">
        <f>COLORES!B11</f>
        <v>CLARO</v>
      </c>
      <c r="G355" s="90" t="s">
        <v>379</v>
      </c>
      <c r="H355" s="100">
        <f>IFERROR(SUMIFS(MOVIMIENTOS_COMPLEMENTOS!$I$4:$I$803,MOVIMIENTOS_COMPLEMENTOS!$C$4:$C$803,A355,MOVIMIENTOS_COMPLEMENTOS!$D$4:$D$803,B355,MOVIMIENTOS_COMPLEMENTOS!$E$4:$E$803,C355,MOVIMIENTOS_COMPLEMENTOS!$G$4:$G$803,E355,MOVIMIENTOS_COMPLEMENTOS!$H$4:$H$803,G355,MOVIMIENTOS_COMPLEMENTOS!$B$4:$B$803,"INGRESO")+SUMIFS(MOVIMIENTOS_COMPLEMENTOS!$I$4:$I$803,MOVIMIENTOS_COMPLEMENTOS!$C$4:$C$803,A355,MOVIMIENTOS_COMPLEMENTOS!$D$4:$D$803,B355,MOVIMIENTOS_COMPLEMENTOS!$E$4:$E$803,C355,MOVIMIENTOS_COMPLEMENTOS!$G$4:$G$803,E355,MOVIMIENTOS_COMPLEMENTOS!$H$4:$H$803,G355,MOVIMIENTOS_COMPLEMENTOS!$B$4:$B$803,"DE CORTE")-SUMIFS(MOVIMIENTOS_COMPLEMENTOS!$I$4:$I$803,MOVIMIENTOS_COMPLEMENTOS!$C$4:$C$803,A355,MOVIMIENTOS_COMPLEMENTOS!$D$4:$D$803,B355,MOVIMIENTOS_COMPLEMENTOS!$E$4:$E$803,C355,MOVIMIENTOS_COMPLEMENTOS!$G$4:$G$803,E355,MOVIMIENTOS_COMPLEMENTOS!$H$4:$H$803,G355,MOVIMIENTOS_COMPLEMENTOS!$B$4:$B$803,"SALIDA"),0)</f>
        <v>0</v>
      </c>
      <c r="I355" s="102">
        <f t="array" ref="I355">IFERROR(INDEX(PRECIOS_COMPLEMENTOS!$C$4:$F$17,MATCH(B355&amp;"_"&amp;C355,PRECIOS_COMPLEMENTOS!$H$4:$H$17,0),IF(OR(G355="S",G355="20cm"),1,IF(OR(G355="M",G355="25cm"),2,IF(OR(G355="L",G355="30cm"),3,IF(OR(G355="XL",G355="35cm"),4,0))))),0)</f>
        <v>0.55</v>
      </c>
      <c r="J355" s="103">
        <f t="shared" si="1"/>
        <v>0</v>
      </c>
      <c r="K355" s="104" t="str">
        <f>IF(H355&lt;0,"ERROR",IF(H355=0,"",IF(H355&lt;CONFIG!$B$4,"CRÍTICO",IF(H355&lt;CONFIG!$B$5,"BAJO","OK"))))</f>
        <v/>
      </c>
    </row>
    <row r="356" ht="15.75" hidden="1" customHeight="1">
      <c r="A356" s="90" t="str">
        <f>IF(CLIENTES!A5="","",CLIENTES!A5)</f>
        <v>Bravos</v>
      </c>
      <c r="B356" s="90" t="s">
        <v>321</v>
      </c>
      <c r="C356" s="91" t="s">
        <v>326</v>
      </c>
      <c r="D356" s="109" t="s">
        <v>353</v>
      </c>
      <c r="E356" s="67" t="str">
        <f>COLORES!A12</f>
        <v>Cemento</v>
      </c>
      <c r="F356" s="67" t="str">
        <f>COLORES!B12</f>
        <v>CLARO</v>
      </c>
      <c r="G356" s="90" t="s">
        <v>378</v>
      </c>
      <c r="H356" s="100">
        <f>IFERROR(SUMIFS(MOVIMIENTOS_COMPLEMENTOS!$I$4:$I$803,MOVIMIENTOS_COMPLEMENTOS!$C$4:$C$803,A356,MOVIMIENTOS_COMPLEMENTOS!$D$4:$D$803,B356,MOVIMIENTOS_COMPLEMENTOS!$E$4:$E$803,C356,MOVIMIENTOS_COMPLEMENTOS!$G$4:$G$803,E356,MOVIMIENTOS_COMPLEMENTOS!$H$4:$H$803,G356,MOVIMIENTOS_COMPLEMENTOS!$B$4:$B$803,"INGRESO")+SUMIFS(MOVIMIENTOS_COMPLEMENTOS!$I$4:$I$803,MOVIMIENTOS_COMPLEMENTOS!$C$4:$C$803,A356,MOVIMIENTOS_COMPLEMENTOS!$D$4:$D$803,B356,MOVIMIENTOS_COMPLEMENTOS!$E$4:$E$803,C356,MOVIMIENTOS_COMPLEMENTOS!$G$4:$G$803,E356,MOVIMIENTOS_COMPLEMENTOS!$H$4:$H$803,G356,MOVIMIENTOS_COMPLEMENTOS!$B$4:$B$803,"DE CORTE")-SUMIFS(MOVIMIENTOS_COMPLEMENTOS!$I$4:$I$803,MOVIMIENTOS_COMPLEMENTOS!$C$4:$C$803,A356,MOVIMIENTOS_COMPLEMENTOS!$D$4:$D$803,B356,MOVIMIENTOS_COMPLEMENTOS!$E$4:$E$803,C356,MOVIMIENTOS_COMPLEMENTOS!$G$4:$G$803,E356,MOVIMIENTOS_COMPLEMENTOS!$H$4:$H$803,G356,MOVIMIENTOS_COMPLEMENTOS!$B$4:$B$803,"SALIDA"),0)</f>
        <v>0</v>
      </c>
      <c r="I356" s="102">
        <f t="array" ref="I356">IFERROR(INDEX(PRECIOS_COMPLEMENTOS!$C$4:$F$17,MATCH(B356&amp;"_"&amp;C356,PRECIOS_COMPLEMENTOS!$H$4:$H$17,0),IF(OR(G356="S",G356="20cm"),1,IF(OR(G356="M",G356="25cm"),2,IF(OR(G356="L",G356="30cm"),3,IF(OR(G356="XL",G356="35cm"),4,0))))),0)</f>
        <v>0.4</v>
      </c>
      <c r="J356" s="103">
        <f t="shared" si="1"/>
        <v>0</v>
      </c>
      <c r="K356" s="104" t="str">
        <f>IF(H356&lt;0,"ERROR",IF(H356=0,"",IF(H356&lt;CONFIG!$B$4,"CRÍTICO",IF(H356&lt;CONFIG!$B$5,"BAJO","OK"))))</f>
        <v/>
      </c>
    </row>
    <row r="357" ht="15.75" hidden="1" customHeight="1">
      <c r="A357" s="90" t="str">
        <f>IF(CLIENTES!A5="","",CLIENTES!A5)</f>
        <v>Bravos</v>
      </c>
      <c r="B357" s="90" t="s">
        <v>321</v>
      </c>
      <c r="C357" s="91" t="s">
        <v>326</v>
      </c>
      <c r="D357" s="109" t="s">
        <v>353</v>
      </c>
      <c r="E357" s="67" t="str">
        <f>COLORES!A12</f>
        <v>Cemento</v>
      </c>
      <c r="F357" s="67" t="str">
        <f>COLORES!B12</f>
        <v>CLARO</v>
      </c>
      <c r="G357" s="90" t="s">
        <v>376</v>
      </c>
      <c r="H357" s="100">
        <f>IFERROR(SUMIFS(MOVIMIENTOS_COMPLEMENTOS!$I$4:$I$803,MOVIMIENTOS_COMPLEMENTOS!$C$4:$C$803,A357,MOVIMIENTOS_COMPLEMENTOS!$D$4:$D$803,B357,MOVIMIENTOS_COMPLEMENTOS!$E$4:$E$803,C357,MOVIMIENTOS_COMPLEMENTOS!$G$4:$G$803,E357,MOVIMIENTOS_COMPLEMENTOS!$H$4:$H$803,G357,MOVIMIENTOS_COMPLEMENTOS!$B$4:$B$803,"INGRESO")+SUMIFS(MOVIMIENTOS_COMPLEMENTOS!$I$4:$I$803,MOVIMIENTOS_COMPLEMENTOS!$C$4:$C$803,A357,MOVIMIENTOS_COMPLEMENTOS!$D$4:$D$803,B357,MOVIMIENTOS_COMPLEMENTOS!$E$4:$E$803,C357,MOVIMIENTOS_COMPLEMENTOS!$G$4:$G$803,E357,MOVIMIENTOS_COMPLEMENTOS!$H$4:$H$803,G357,MOVIMIENTOS_COMPLEMENTOS!$B$4:$B$803,"DE CORTE")-SUMIFS(MOVIMIENTOS_COMPLEMENTOS!$I$4:$I$803,MOVIMIENTOS_COMPLEMENTOS!$C$4:$C$803,A357,MOVIMIENTOS_COMPLEMENTOS!$D$4:$D$803,B357,MOVIMIENTOS_COMPLEMENTOS!$E$4:$E$803,C357,MOVIMIENTOS_COMPLEMENTOS!$G$4:$G$803,E357,MOVIMIENTOS_COMPLEMENTOS!$H$4:$H$803,G357,MOVIMIENTOS_COMPLEMENTOS!$B$4:$B$803,"SALIDA"),0)</f>
        <v>0</v>
      </c>
      <c r="I357" s="102">
        <f t="array" ref="I357">IFERROR(INDEX(PRECIOS_COMPLEMENTOS!$C$4:$F$17,MATCH(B357&amp;"_"&amp;C357,PRECIOS_COMPLEMENTOS!$H$4:$H$17,0),IF(OR(G357="S",G357="20cm"),1,IF(OR(G357="M",G357="25cm"),2,IF(OR(G357="L",G357="30cm"),3,IF(OR(G357="XL",G357="35cm"),4,0))))),0)</f>
        <v>0.45</v>
      </c>
      <c r="J357" s="103">
        <f t="shared" si="1"/>
        <v>0</v>
      </c>
      <c r="K357" s="104" t="str">
        <f>IF(H357&lt;0,"ERROR",IF(H357=0,"",IF(H357&lt;CONFIG!$B$4,"CRÍTICO",IF(H357&lt;CONFIG!$B$5,"BAJO","OK"))))</f>
        <v/>
      </c>
    </row>
    <row r="358" ht="15.75" hidden="1" customHeight="1">
      <c r="A358" s="90" t="str">
        <f>IF(CLIENTES!A5="","",CLIENTES!A5)</f>
        <v>Bravos</v>
      </c>
      <c r="B358" s="90" t="s">
        <v>321</v>
      </c>
      <c r="C358" s="91" t="s">
        <v>326</v>
      </c>
      <c r="D358" s="109" t="s">
        <v>353</v>
      </c>
      <c r="E358" s="67" t="str">
        <f>COLORES!A12</f>
        <v>Cemento</v>
      </c>
      <c r="F358" s="67" t="str">
        <f>COLORES!B12</f>
        <v>CLARO</v>
      </c>
      <c r="G358" s="90" t="s">
        <v>377</v>
      </c>
      <c r="H358" s="100">
        <f>IFERROR(SUMIFS(MOVIMIENTOS_COMPLEMENTOS!$I$4:$I$803,MOVIMIENTOS_COMPLEMENTOS!$C$4:$C$803,A358,MOVIMIENTOS_COMPLEMENTOS!$D$4:$D$803,B358,MOVIMIENTOS_COMPLEMENTOS!$E$4:$E$803,C358,MOVIMIENTOS_COMPLEMENTOS!$G$4:$G$803,E358,MOVIMIENTOS_COMPLEMENTOS!$H$4:$H$803,G358,MOVIMIENTOS_COMPLEMENTOS!$B$4:$B$803,"INGRESO")+SUMIFS(MOVIMIENTOS_COMPLEMENTOS!$I$4:$I$803,MOVIMIENTOS_COMPLEMENTOS!$C$4:$C$803,A358,MOVIMIENTOS_COMPLEMENTOS!$D$4:$D$803,B358,MOVIMIENTOS_COMPLEMENTOS!$E$4:$E$803,C358,MOVIMIENTOS_COMPLEMENTOS!$G$4:$G$803,E358,MOVIMIENTOS_COMPLEMENTOS!$H$4:$H$803,G358,MOVIMIENTOS_COMPLEMENTOS!$B$4:$B$803,"DE CORTE")-SUMIFS(MOVIMIENTOS_COMPLEMENTOS!$I$4:$I$803,MOVIMIENTOS_COMPLEMENTOS!$C$4:$C$803,A358,MOVIMIENTOS_COMPLEMENTOS!$D$4:$D$803,B358,MOVIMIENTOS_COMPLEMENTOS!$E$4:$E$803,C358,MOVIMIENTOS_COMPLEMENTOS!$G$4:$G$803,E358,MOVIMIENTOS_COMPLEMENTOS!$H$4:$H$803,G358,MOVIMIENTOS_COMPLEMENTOS!$B$4:$B$803,"SALIDA"),0)</f>
        <v>0</v>
      </c>
      <c r="I358" s="102">
        <f t="array" ref="I358">IFERROR(INDEX(PRECIOS_COMPLEMENTOS!$C$4:$F$17,MATCH(B358&amp;"_"&amp;C358,PRECIOS_COMPLEMENTOS!$H$4:$H$17,0),IF(OR(G358="S",G358="20cm"),1,IF(OR(G358="M",G358="25cm"),2,IF(OR(G358="L",G358="30cm"),3,IF(OR(G358="XL",G358="35cm"),4,0))))),0)</f>
        <v>0.5</v>
      </c>
      <c r="J358" s="103">
        <f t="shared" si="1"/>
        <v>0</v>
      </c>
      <c r="K358" s="104" t="str">
        <f>IF(H358&lt;0,"ERROR",IF(H358=0,"",IF(H358&lt;CONFIG!$B$4,"CRÍTICO",IF(H358&lt;CONFIG!$B$5,"BAJO","OK"))))</f>
        <v/>
      </c>
    </row>
    <row r="359" ht="15.75" hidden="1" customHeight="1">
      <c r="A359" s="90" t="str">
        <f>IF(CLIENTES!A5="","",CLIENTES!A5)</f>
        <v>Bravos</v>
      </c>
      <c r="B359" s="90" t="s">
        <v>321</v>
      </c>
      <c r="C359" s="91" t="s">
        <v>326</v>
      </c>
      <c r="D359" s="109" t="s">
        <v>353</v>
      </c>
      <c r="E359" s="67" t="str">
        <f>COLORES!A12</f>
        <v>Cemento</v>
      </c>
      <c r="F359" s="67" t="str">
        <f>COLORES!B12</f>
        <v>CLARO</v>
      </c>
      <c r="G359" s="90" t="s">
        <v>379</v>
      </c>
      <c r="H359" s="100">
        <f>IFERROR(SUMIFS(MOVIMIENTOS_COMPLEMENTOS!$I$4:$I$803,MOVIMIENTOS_COMPLEMENTOS!$C$4:$C$803,A359,MOVIMIENTOS_COMPLEMENTOS!$D$4:$D$803,B359,MOVIMIENTOS_COMPLEMENTOS!$E$4:$E$803,C359,MOVIMIENTOS_COMPLEMENTOS!$G$4:$G$803,E359,MOVIMIENTOS_COMPLEMENTOS!$H$4:$H$803,G359,MOVIMIENTOS_COMPLEMENTOS!$B$4:$B$803,"INGRESO")+SUMIFS(MOVIMIENTOS_COMPLEMENTOS!$I$4:$I$803,MOVIMIENTOS_COMPLEMENTOS!$C$4:$C$803,A359,MOVIMIENTOS_COMPLEMENTOS!$D$4:$D$803,B359,MOVIMIENTOS_COMPLEMENTOS!$E$4:$E$803,C359,MOVIMIENTOS_COMPLEMENTOS!$G$4:$G$803,E359,MOVIMIENTOS_COMPLEMENTOS!$H$4:$H$803,G359,MOVIMIENTOS_COMPLEMENTOS!$B$4:$B$803,"DE CORTE")-SUMIFS(MOVIMIENTOS_COMPLEMENTOS!$I$4:$I$803,MOVIMIENTOS_COMPLEMENTOS!$C$4:$C$803,A359,MOVIMIENTOS_COMPLEMENTOS!$D$4:$D$803,B359,MOVIMIENTOS_COMPLEMENTOS!$E$4:$E$803,C359,MOVIMIENTOS_COMPLEMENTOS!$G$4:$G$803,E359,MOVIMIENTOS_COMPLEMENTOS!$H$4:$H$803,G359,MOVIMIENTOS_COMPLEMENTOS!$B$4:$B$803,"SALIDA"),0)</f>
        <v>0</v>
      </c>
      <c r="I359" s="102">
        <f t="array" ref="I359">IFERROR(INDEX(PRECIOS_COMPLEMENTOS!$C$4:$F$17,MATCH(B359&amp;"_"&amp;C359,PRECIOS_COMPLEMENTOS!$H$4:$H$17,0),IF(OR(G359="S",G359="20cm"),1,IF(OR(G359="M",G359="25cm"),2,IF(OR(G359="L",G359="30cm"),3,IF(OR(G359="XL",G359="35cm"),4,0))))),0)</f>
        <v>0.55</v>
      </c>
      <c r="J359" s="103">
        <f t="shared" si="1"/>
        <v>0</v>
      </c>
      <c r="K359" s="104" t="str">
        <f>IF(H359&lt;0,"ERROR",IF(H359=0,"",IF(H359&lt;CONFIG!$B$4,"CRÍTICO",IF(H359&lt;CONFIG!$B$5,"BAJO","OK"))))</f>
        <v/>
      </c>
    </row>
    <row r="360" ht="15.75" hidden="1" customHeight="1">
      <c r="A360" s="90" t="str">
        <f>IF(CLIENTES!A5="","",CLIENTES!A5)</f>
        <v>Bravos</v>
      </c>
      <c r="B360" s="90" t="s">
        <v>321</v>
      </c>
      <c r="C360" s="91" t="s">
        <v>326</v>
      </c>
      <c r="D360" s="109" t="s">
        <v>353</v>
      </c>
      <c r="E360" s="67" t="str">
        <f>COLORES!A13</f>
        <v>Camote</v>
      </c>
      <c r="F360" s="67" t="str">
        <f>COLORES!B13</f>
        <v>CLARO</v>
      </c>
      <c r="G360" s="90" t="s">
        <v>378</v>
      </c>
      <c r="H360" s="100">
        <f>IFERROR(SUMIFS(MOVIMIENTOS_COMPLEMENTOS!$I$4:$I$803,MOVIMIENTOS_COMPLEMENTOS!$C$4:$C$803,A360,MOVIMIENTOS_COMPLEMENTOS!$D$4:$D$803,B360,MOVIMIENTOS_COMPLEMENTOS!$E$4:$E$803,C360,MOVIMIENTOS_COMPLEMENTOS!$G$4:$G$803,E360,MOVIMIENTOS_COMPLEMENTOS!$H$4:$H$803,G360,MOVIMIENTOS_COMPLEMENTOS!$B$4:$B$803,"INGRESO")+SUMIFS(MOVIMIENTOS_COMPLEMENTOS!$I$4:$I$803,MOVIMIENTOS_COMPLEMENTOS!$C$4:$C$803,A360,MOVIMIENTOS_COMPLEMENTOS!$D$4:$D$803,B360,MOVIMIENTOS_COMPLEMENTOS!$E$4:$E$803,C360,MOVIMIENTOS_COMPLEMENTOS!$G$4:$G$803,E360,MOVIMIENTOS_COMPLEMENTOS!$H$4:$H$803,G360,MOVIMIENTOS_COMPLEMENTOS!$B$4:$B$803,"DE CORTE")-SUMIFS(MOVIMIENTOS_COMPLEMENTOS!$I$4:$I$803,MOVIMIENTOS_COMPLEMENTOS!$C$4:$C$803,A360,MOVIMIENTOS_COMPLEMENTOS!$D$4:$D$803,B360,MOVIMIENTOS_COMPLEMENTOS!$E$4:$E$803,C360,MOVIMIENTOS_COMPLEMENTOS!$G$4:$G$803,E360,MOVIMIENTOS_COMPLEMENTOS!$H$4:$H$803,G360,MOVIMIENTOS_COMPLEMENTOS!$B$4:$B$803,"SALIDA"),0)</f>
        <v>0</v>
      </c>
      <c r="I360" s="102">
        <f t="array" ref="I360">IFERROR(INDEX(PRECIOS_COMPLEMENTOS!$C$4:$F$17,MATCH(B360&amp;"_"&amp;C360,PRECIOS_COMPLEMENTOS!$H$4:$H$17,0),IF(OR(G360="S",G360="20cm"),1,IF(OR(G360="M",G360="25cm"),2,IF(OR(G360="L",G360="30cm"),3,IF(OR(G360="XL",G360="35cm"),4,0))))),0)</f>
        <v>0.4</v>
      </c>
      <c r="J360" s="103">
        <f t="shared" si="1"/>
        <v>0</v>
      </c>
      <c r="K360" s="104" t="str">
        <f>IF(H360&lt;0,"ERROR",IF(H360=0,"",IF(H360&lt;CONFIG!$B$4,"CRÍTICO",IF(H360&lt;CONFIG!$B$5,"BAJO","OK"))))</f>
        <v/>
      </c>
    </row>
    <row r="361" ht="15.75" hidden="1" customHeight="1">
      <c r="A361" s="90" t="str">
        <f>IF(CLIENTES!A5="","",CLIENTES!A5)</f>
        <v>Bravos</v>
      </c>
      <c r="B361" s="90" t="s">
        <v>321</v>
      </c>
      <c r="C361" s="91" t="s">
        <v>326</v>
      </c>
      <c r="D361" s="109" t="s">
        <v>353</v>
      </c>
      <c r="E361" s="67" t="str">
        <f>COLORES!A13</f>
        <v>Camote</v>
      </c>
      <c r="F361" s="67" t="str">
        <f>COLORES!B13</f>
        <v>CLARO</v>
      </c>
      <c r="G361" s="90" t="s">
        <v>376</v>
      </c>
      <c r="H361" s="100">
        <f>IFERROR(SUMIFS(MOVIMIENTOS_COMPLEMENTOS!$I$4:$I$803,MOVIMIENTOS_COMPLEMENTOS!$C$4:$C$803,A361,MOVIMIENTOS_COMPLEMENTOS!$D$4:$D$803,B361,MOVIMIENTOS_COMPLEMENTOS!$E$4:$E$803,C361,MOVIMIENTOS_COMPLEMENTOS!$G$4:$G$803,E361,MOVIMIENTOS_COMPLEMENTOS!$H$4:$H$803,G361,MOVIMIENTOS_COMPLEMENTOS!$B$4:$B$803,"INGRESO")+SUMIFS(MOVIMIENTOS_COMPLEMENTOS!$I$4:$I$803,MOVIMIENTOS_COMPLEMENTOS!$C$4:$C$803,A361,MOVIMIENTOS_COMPLEMENTOS!$D$4:$D$803,B361,MOVIMIENTOS_COMPLEMENTOS!$E$4:$E$803,C361,MOVIMIENTOS_COMPLEMENTOS!$G$4:$G$803,E361,MOVIMIENTOS_COMPLEMENTOS!$H$4:$H$803,G361,MOVIMIENTOS_COMPLEMENTOS!$B$4:$B$803,"DE CORTE")-SUMIFS(MOVIMIENTOS_COMPLEMENTOS!$I$4:$I$803,MOVIMIENTOS_COMPLEMENTOS!$C$4:$C$803,A361,MOVIMIENTOS_COMPLEMENTOS!$D$4:$D$803,B361,MOVIMIENTOS_COMPLEMENTOS!$E$4:$E$803,C361,MOVIMIENTOS_COMPLEMENTOS!$G$4:$G$803,E361,MOVIMIENTOS_COMPLEMENTOS!$H$4:$H$803,G361,MOVIMIENTOS_COMPLEMENTOS!$B$4:$B$803,"SALIDA"),0)</f>
        <v>0</v>
      </c>
      <c r="I361" s="102">
        <f t="array" ref="I361">IFERROR(INDEX(PRECIOS_COMPLEMENTOS!$C$4:$F$17,MATCH(B361&amp;"_"&amp;C361,PRECIOS_COMPLEMENTOS!$H$4:$H$17,0),IF(OR(G361="S",G361="20cm"),1,IF(OR(G361="M",G361="25cm"),2,IF(OR(G361="L",G361="30cm"),3,IF(OR(G361="XL",G361="35cm"),4,0))))),0)</f>
        <v>0.45</v>
      </c>
      <c r="J361" s="103">
        <f t="shared" si="1"/>
        <v>0</v>
      </c>
      <c r="K361" s="104" t="str">
        <f>IF(H361&lt;0,"ERROR",IF(H361=0,"",IF(H361&lt;CONFIG!$B$4,"CRÍTICO",IF(H361&lt;CONFIG!$B$5,"BAJO","OK"))))</f>
        <v/>
      </c>
    </row>
    <row r="362" ht="15.75" hidden="1" customHeight="1">
      <c r="A362" s="90" t="str">
        <f>IF(CLIENTES!A5="","",CLIENTES!A5)</f>
        <v>Bravos</v>
      </c>
      <c r="B362" s="90" t="s">
        <v>321</v>
      </c>
      <c r="C362" s="91" t="s">
        <v>326</v>
      </c>
      <c r="D362" s="109" t="s">
        <v>353</v>
      </c>
      <c r="E362" s="67" t="str">
        <f>COLORES!A13</f>
        <v>Camote</v>
      </c>
      <c r="F362" s="67" t="str">
        <f>COLORES!B13</f>
        <v>CLARO</v>
      </c>
      <c r="G362" s="90" t="s">
        <v>377</v>
      </c>
      <c r="H362" s="100">
        <f>IFERROR(SUMIFS(MOVIMIENTOS_COMPLEMENTOS!$I$4:$I$803,MOVIMIENTOS_COMPLEMENTOS!$C$4:$C$803,A362,MOVIMIENTOS_COMPLEMENTOS!$D$4:$D$803,B362,MOVIMIENTOS_COMPLEMENTOS!$E$4:$E$803,C362,MOVIMIENTOS_COMPLEMENTOS!$G$4:$G$803,E362,MOVIMIENTOS_COMPLEMENTOS!$H$4:$H$803,G362,MOVIMIENTOS_COMPLEMENTOS!$B$4:$B$803,"INGRESO")+SUMIFS(MOVIMIENTOS_COMPLEMENTOS!$I$4:$I$803,MOVIMIENTOS_COMPLEMENTOS!$C$4:$C$803,A362,MOVIMIENTOS_COMPLEMENTOS!$D$4:$D$803,B362,MOVIMIENTOS_COMPLEMENTOS!$E$4:$E$803,C362,MOVIMIENTOS_COMPLEMENTOS!$G$4:$G$803,E362,MOVIMIENTOS_COMPLEMENTOS!$H$4:$H$803,G362,MOVIMIENTOS_COMPLEMENTOS!$B$4:$B$803,"DE CORTE")-SUMIFS(MOVIMIENTOS_COMPLEMENTOS!$I$4:$I$803,MOVIMIENTOS_COMPLEMENTOS!$C$4:$C$803,A362,MOVIMIENTOS_COMPLEMENTOS!$D$4:$D$803,B362,MOVIMIENTOS_COMPLEMENTOS!$E$4:$E$803,C362,MOVIMIENTOS_COMPLEMENTOS!$G$4:$G$803,E362,MOVIMIENTOS_COMPLEMENTOS!$H$4:$H$803,G362,MOVIMIENTOS_COMPLEMENTOS!$B$4:$B$803,"SALIDA"),0)</f>
        <v>0</v>
      </c>
      <c r="I362" s="102">
        <f t="array" ref="I362">IFERROR(INDEX(PRECIOS_COMPLEMENTOS!$C$4:$F$17,MATCH(B362&amp;"_"&amp;C362,PRECIOS_COMPLEMENTOS!$H$4:$H$17,0),IF(OR(G362="S",G362="20cm"),1,IF(OR(G362="M",G362="25cm"),2,IF(OR(G362="L",G362="30cm"),3,IF(OR(G362="XL",G362="35cm"),4,0))))),0)</f>
        <v>0.5</v>
      </c>
      <c r="J362" s="103">
        <f t="shared" si="1"/>
        <v>0</v>
      </c>
      <c r="K362" s="104" t="str">
        <f>IF(H362&lt;0,"ERROR",IF(H362=0,"",IF(H362&lt;CONFIG!$B$4,"CRÍTICO",IF(H362&lt;CONFIG!$B$5,"BAJO","OK"))))</f>
        <v/>
      </c>
    </row>
    <row r="363" ht="15.75" hidden="1" customHeight="1">
      <c r="A363" s="90" t="str">
        <f>IF(CLIENTES!A5="","",CLIENTES!A5)</f>
        <v>Bravos</v>
      </c>
      <c r="B363" s="90" t="s">
        <v>321</v>
      </c>
      <c r="C363" s="91" t="s">
        <v>326</v>
      </c>
      <c r="D363" s="109" t="s">
        <v>353</v>
      </c>
      <c r="E363" s="67" t="str">
        <f>COLORES!A13</f>
        <v>Camote</v>
      </c>
      <c r="F363" s="67" t="str">
        <f>COLORES!B13</f>
        <v>CLARO</v>
      </c>
      <c r="G363" s="90" t="s">
        <v>379</v>
      </c>
      <c r="H363" s="100">
        <f>IFERROR(SUMIFS(MOVIMIENTOS_COMPLEMENTOS!$I$4:$I$803,MOVIMIENTOS_COMPLEMENTOS!$C$4:$C$803,A363,MOVIMIENTOS_COMPLEMENTOS!$D$4:$D$803,B363,MOVIMIENTOS_COMPLEMENTOS!$E$4:$E$803,C363,MOVIMIENTOS_COMPLEMENTOS!$G$4:$G$803,E363,MOVIMIENTOS_COMPLEMENTOS!$H$4:$H$803,G363,MOVIMIENTOS_COMPLEMENTOS!$B$4:$B$803,"INGRESO")+SUMIFS(MOVIMIENTOS_COMPLEMENTOS!$I$4:$I$803,MOVIMIENTOS_COMPLEMENTOS!$C$4:$C$803,A363,MOVIMIENTOS_COMPLEMENTOS!$D$4:$D$803,B363,MOVIMIENTOS_COMPLEMENTOS!$E$4:$E$803,C363,MOVIMIENTOS_COMPLEMENTOS!$G$4:$G$803,E363,MOVIMIENTOS_COMPLEMENTOS!$H$4:$H$803,G363,MOVIMIENTOS_COMPLEMENTOS!$B$4:$B$803,"DE CORTE")-SUMIFS(MOVIMIENTOS_COMPLEMENTOS!$I$4:$I$803,MOVIMIENTOS_COMPLEMENTOS!$C$4:$C$803,A363,MOVIMIENTOS_COMPLEMENTOS!$D$4:$D$803,B363,MOVIMIENTOS_COMPLEMENTOS!$E$4:$E$803,C363,MOVIMIENTOS_COMPLEMENTOS!$G$4:$G$803,E363,MOVIMIENTOS_COMPLEMENTOS!$H$4:$H$803,G363,MOVIMIENTOS_COMPLEMENTOS!$B$4:$B$803,"SALIDA"),0)</f>
        <v>0</v>
      </c>
      <c r="I363" s="102">
        <f t="array" ref="I363">IFERROR(INDEX(PRECIOS_COMPLEMENTOS!$C$4:$F$17,MATCH(B363&amp;"_"&amp;C363,PRECIOS_COMPLEMENTOS!$H$4:$H$17,0),IF(OR(G363="S",G363="20cm"),1,IF(OR(G363="M",G363="25cm"),2,IF(OR(G363="L",G363="30cm"),3,IF(OR(G363="XL",G363="35cm"),4,0))))),0)</f>
        <v>0.55</v>
      </c>
      <c r="J363" s="103">
        <f t="shared" si="1"/>
        <v>0</v>
      </c>
      <c r="K363" s="104" t="str">
        <f>IF(H363&lt;0,"ERROR",IF(H363=0,"",IF(H363&lt;CONFIG!$B$4,"CRÍTICO",IF(H363&lt;CONFIG!$B$5,"BAJO","OK"))))</f>
        <v/>
      </c>
    </row>
    <row r="364" ht="15.75" hidden="1" customHeight="1">
      <c r="A364" s="90" t="str">
        <f>IF(CLIENTES!A5="","",CLIENTES!A5)</f>
        <v>Bravos</v>
      </c>
      <c r="B364" s="90" t="s">
        <v>321</v>
      </c>
      <c r="C364" s="91" t="s">
        <v>326</v>
      </c>
      <c r="D364" s="109" t="s">
        <v>353</v>
      </c>
      <c r="E364" s="67" t="str">
        <f>COLORES!A14</f>
        <v>Denim</v>
      </c>
      <c r="F364" s="67" t="str">
        <f>COLORES!B14</f>
        <v>CLARO</v>
      </c>
      <c r="G364" s="90" t="s">
        <v>378</v>
      </c>
      <c r="H364" s="100">
        <f>IFERROR(SUMIFS(MOVIMIENTOS_COMPLEMENTOS!$I$4:$I$803,MOVIMIENTOS_COMPLEMENTOS!$C$4:$C$803,A364,MOVIMIENTOS_COMPLEMENTOS!$D$4:$D$803,B364,MOVIMIENTOS_COMPLEMENTOS!$E$4:$E$803,C364,MOVIMIENTOS_COMPLEMENTOS!$G$4:$G$803,E364,MOVIMIENTOS_COMPLEMENTOS!$H$4:$H$803,G364,MOVIMIENTOS_COMPLEMENTOS!$B$4:$B$803,"INGRESO")+SUMIFS(MOVIMIENTOS_COMPLEMENTOS!$I$4:$I$803,MOVIMIENTOS_COMPLEMENTOS!$C$4:$C$803,A364,MOVIMIENTOS_COMPLEMENTOS!$D$4:$D$803,B364,MOVIMIENTOS_COMPLEMENTOS!$E$4:$E$803,C364,MOVIMIENTOS_COMPLEMENTOS!$G$4:$G$803,E364,MOVIMIENTOS_COMPLEMENTOS!$H$4:$H$803,G364,MOVIMIENTOS_COMPLEMENTOS!$B$4:$B$803,"DE CORTE")-SUMIFS(MOVIMIENTOS_COMPLEMENTOS!$I$4:$I$803,MOVIMIENTOS_COMPLEMENTOS!$C$4:$C$803,A364,MOVIMIENTOS_COMPLEMENTOS!$D$4:$D$803,B364,MOVIMIENTOS_COMPLEMENTOS!$E$4:$E$803,C364,MOVIMIENTOS_COMPLEMENTOS!$G$4:$G$803,E364,MOVIMIENTOS_COMPLEMENTOS!$H$4:$H$803,G364,MOVIMIENTOS_COMPLEMENTOS!$B$4:$B$803,"SALIDA"),0)</f>
        <v>0</v>
      </c>
      <c r="I364" s="102">
        <f t="array" ref="I364">IFERROR(INDEX(PRECIOS_COMPLEMENTOS!$C$4:$F$17,MATCH(B364&amp;"_"&amp;C364,PRECIOS_COMPLEMENTOS!$H$4:$H$17,0),IF(OR(G364="S",G364="20cm"),1,IF(OR(G364="M",G364="25cm"),2,IF(OR(G364="L",G364="30cm"),3,IF(OR(G364="XL",G364="35cm"),4,0))))),0)</f>
        <v>0.4</v>
      </c>
      <c r="J364" s="103">
        <f t="shared" si="1"/>
        <v>0</v>
      </c>
      <c r="K364" s="104" t="str">
        <f>IF(H364&lt;0,"ERROR",IF(H364=0,"",IF(H364&lt;CONFIG!$B$4,"CRÍTICO",IF(H364&lt;CONFIG!$B$5,"BAJO","OK"))))</f>
        <v/>
      </c>
    </row>
    <row r="365" ht="15.75" hidden="1" customHeight="1">
      <c r="A365" s="90" t="str">
        <f>IF(CLIENTES!A5="","",CLIENTES!A5)</f>
        <v>Bravos</v>
      </c>
      <c r="B365" s="90" t="s">
        <v>321</v>
      </c>
      <c r="C365" s="91" t="s">
        <v>326</v>
      </c>
      <c r="D365" s="109" t="s">
        <v>353</v>
      </c>
      <c r="E365" s="67" t="str">
        <f>COLORES!A14</f>
        <v>Denim</v>
      </c>
      <c r="F365" s="67" t="str">
        <f>COLORES!B14</f>
        <v>CLARO</v>
      </c>
      <c r="G365" s="90" t="s">
        <v>376</v>
      </c>
      <c r="H365" s="100">
        <f>IFERROR(SUMIFS(MOVIMIENTOS_COMPLEMENTOS!$I$4:$I$803,MOVIMIENTOS_COMPLEMENTOS!$C$4:$C$803,A365,MOVIMIENTOS_COMPLEMENTOS!$D$4:$D$803,B365,MOVIMIENTOS_COMPLEMENTOS!$E$4:$E$803,C365,MOVIMIENTOS_COMPLEMENTOS!$G$4:$G$803,E365,MOVIMIENTOS_COMPLEMENTOS!$H$4:$H$803,G365,MOVIMIENTOS_COMPLEMENTOS!$B$4:$B$803,"INGRESO")+SUMIFS(MOVIMIENTOS_COMPLEMENTOS!$I$4:$I$803,MOVIMIENTOS_COMPLEMENTOS!$C$4:$C$803,A365,MOVIMIENTOS_COMPLEMENTOS!$D$4:$D$803,B365,MOVIMIENTOS_COMPLEMENTOS!$E$4:$E$803,C365,MOVIMIENTOS_COMPLEMENTOS!$G$4:$G$803,E365,MOVIMIENTOS_COMPLEMENTOS!$H$4:$H$803,G365,MOVIMIENTOS_COMPLEMENTOS!$B$4:$B$803,"DE CORTE")-SUMIFS(MOVIMIENTOS_COMPLEMENTOS!$I$4:$I$803,MOVIMIENTOS_COMPLEMENTOS!$C$4:$C$803,A365,MOVIMIENTOS_COMPLEMENTOS!$D$4:$D$803,B365,MOVIMIENTOS_COMPLEMENTOS!$E$4:$E$803,C365,MOVIMIENTOS_COMPLEMENTOS!$G$4:$G$803,E365,MOVIMIENTOS_COMPLEMENTOS!$H$4:$H$803,G365,MOVIMIENTOS_COMPLEMENTOS!$B$4:$B$803,"SALIDA"),0)</f>
        <v>0</v>
      </c>
      <c r="I365" s="102">
        <f t="array" ref="I365">IFERROR(INDEX(PRECIOS_COMPLEMENTOS!$C$4:$F$17,MATCH(B365&amp;"_"&amp;C365,PRECIOS_COMPLEMENTOS!$H$4:$H$17,0),IF(OR(G365="S",G365="20cm"),1,IF(OR(G365="M",G365="25cm"),2,IF(OR(G365="L",G365="30cm"),3,IF(OR(G365="XL",G365="35cm"),4,0))))),0)</f>
        <v>0.45</v>
      </c>
      <c r="J365" s="103">
        <f t="shared" si="1"/>
        <v>0</v>
      </c>
      <c r="K365" s="104" t="str">
        <f>IF(H365&lt;0,"ERROR",IF(H365=0,"",IF(H365&lt;CONFIG!$B$4,"CRÍTICO",IF(H365&lt;CONFIG!$B$5,"BAJO","OK"))))</f>
        <v/>
      </c>
    </row>
    <row r="366" ht="15.75" hidden="1" customHeight="1">
      <c r="A366" s="90" t="str">
        <f>IF(CLIENTES!A5="","",CLIENTES!A5)</f>
        <v>Bravos</v>
      </c>
      <c r="B366" s="90" t="s">
        <v>321</v>
      </c>
      <c r="C366" s="91" t="s">
        <v>326</v>
      </c>
      <c r="D366" s="109" t="s">
        <v>353</v>
      </c>
      <c r="E366" s="67" t="str">
        <f>COLORES!A14</f>
        <v>Denim</v>
      </c>
      <c r="F366" s="67" t="str">
        <f>COLORES!B14</f>
        <v>CLARO</v>
      </c>
      <c r="G366" s="90" t="s">
        <v>377</v>
      </c>
      <c r="H366" s="100">
        <f>IFERROR(SUMIFS(MOVIMIENTOS_COMPLEMENTOS!$I$4:$I$803,MOVIMIENTOS_COMPLEMENTOS!$C$4:$C$803,A366,MOVIMIENTOS_COMPLEMENTOS!$D$4:$D$803,B366,MOVIMIENTOS_COMPLEMENTOS!$E$4:$E$803,C366,MOVIMIENTOS_COMPLEMENTOS!$G$4:$G$803,E366,MOVIMIENTOS_COMPLEMENTOS!$H$4:$H$803,G366,MOVIMIENTOS_COMPLEMENTOS!$B$4:$B$803,"INGRESO")+SUMIFS(MOVIMIENTOS_COMPLEMENTOS!$I$4:$I$803,MOVIMIENTOS_COMPLEMENTOS!$C$4:$C$803,A366,MOVIMIENTOS_COMPLEMENTOS!$D$4:$D$803,B366,MOVIMIENTOS_COMPLEMENTOS!$E$4:$E$803,C366,MOVIMIENTOS_COMPLEMENTOS!$G$4:$G$803,E366,MOVIMIENTOS_COMPLEMENTOS!$H$4:$H$803,G366,MOVIMIENTOS_COMPLEMENTOS!$B$4:$B$803,"DE CORTE")-SUMIFS(MOVIMIENTOS_COMPLEMENTOS!$I$4:$I$803,MOVIMIENTOS_COMPLEMENTOS!$C$4:$C$803,A366,MOVIMIENTOS_COMPLEMENTOS!$D$4:$D$803,B366,MOVIMIENTOS_COMPLEMENTOS!$E$4:$E$803,C366,MOVIMIENTOS_COMPLEMENTOS!$G$4:$G$803,E366,MOVIMIENTOS_COMPLEMENTOS!$H$4:$H$803,G366,MOVIMIENTOS_COMPLEMENTOS!$B$4:$B$803,"SALIDA"),0)</f>
        <v>0</v>
      </c>
      <c r="I366" s="102">
        <f t="array" ref="I366">IFERROR(INDEX(PRECIOS_COMPLEMENTOS!$C$4:$F$17,MATCH(B366&amp;"_"&amp;C366,PRECIOS_COMPLEMENTOS!$H$4:$H$17,0),IF(OR(G366="S",G366="20cm"),1,IF(OR(G366="M",G366="25cm"),2,IF(OR(G366="L",G366="30cm"),3,IF(OR(G366="XL",G366="35cm"),4,0))))),0)</f>
        <v>0.5</v>
      </c>
      <c r="J366" s="103">
        <f t="shared" si="1"/>
        <v>0</v>
      </c>
      <c r="K366" s="104" t="str">
        <f>IF(H366&lt;0,"ERROR",IF(H366=0,"",IF(H366&lt;CONFIG!$B$4,"CRÍTICO",IF(H366&lt;CONFIG!$B$5,"BAJO","OK"))))</f>
        <v/>
      </c>
    </row>
    <row r="367" ht="15.75" hidden="1" customHeight="1">
      <c r="A367" s="90" t="str">
        <f>IF(CLIENTES!A5="","",CLIENTES!A5)</f>
        <v>Bravos</v>
      </c>
      <c r="B367" s="90" t="s">
        <v>321</v>
      </c>
      <c r="C367" s="91" t="s">
        <v>326</v>
      </c>
      <c r="D367" s="109" t="s">
        <v>353</v>
      </c>
      <c r="E367" s="67" t="str">
        <f>COLORES!A14</f>
        <v>Denim</v>
      </c>
      <c r="F367" s="67" t="str">
        <f>COLORES!B14</f>
        <v>CLARO</v>
      </c>
      <c r="G367" s="90" t="s">
        <v>379</v>
      </c>
      <c r="H367" s="100">
        <f>IFERROR(SUMIFS(MOVIMIENTOS_COMPLEMENTOS!$I$4:$I$803,MOVIMIENTOS_COMPLEMENTOS!$C$4:$C$803,A367,MOVIMIENTOS_COMPLEMENTOS!$D$4:$D$803,B367,MOVIMIENTOS_COMPLEMENTOS!$E$4:$E$803,C367,MOVIMIENTOS_COMPLEMENTOS!$G$4:$G$803,E367,MOVIMIENTOS_COMPLEMENTOS!$H$4:$H$803,G367,MOVIMIENTOS_COMPLEMENTOS!$B$4:$B$803,"INGRESO")+SUMIFS(MOVIMIENTOS_COMPLEMENTOS!$I$4:$I$803,MOVIMIENTOS_COMPLEMENTOS!$C$4:$C$803,A367,MOVIMIENTOS_COMPLEMENTOS!$D$4:$D$803,B367,MOVIMIENTOS_COMPLEMENTOS!$E$4:$E$803,C367,MOVIMIENTOS_COMPLEMENTOS!$G$4:$G$803,E367,MOVIMIENTOS_COMPLEMENTOS!$H$4:$H$803,G367,MOVIMIENTOS_COMPLEMENTOS!$B$4:$B$803,"DE CORTE")-SUMIFS(MOVIMIENTOS_COMPLEMENTOS!$I$4:$I$803,MOVIMIENTOS_COMPLEMENTOS!$C$4:$C$803,A367,MOVIMIENTOS_COMPLEMENTOS!$D$4:$D$803,B367,MOVIMIENTOS_COMPLEMENTOS!$E$4:$E$803,C367,MOVIMIENTOS_COMPLEMENTOS!$G$4:$G$803,E367,MOVIMIENTOS_COMPLEMENTOS!$H$4:$H$803,G367,MOVIMIENTOS_COMPLEMENTOS!$B$4:$B$803,"SALIDA"),0)</f>
        <v>0</v>
      </c>
      <c r="I367" s="102">
        <f t="array" ref="I367">IFERROR(INDEX(PRECIOS_COMPLEMENTOS!$C$4:$F$17,MATCH(B367&amp;"_"&amp;C367,PRECIOS_COMPLEMENTOS!$H$4:$H$17,0),IF(OR(G367="S",G367="20cm"),1,IF(OR(G367="M",G367="25cm"),2,IF(OR(G367="L",G367="30cm"),3,IF(OR(G367="XL",G367="35cm"),4,0))))),0)</f>
        <v>0.55</v>
      </c>
      <c r="J367" s="103">
        <f t="shared" si="1"/>
        <v>0</v>
      </c>
      <c r="K367" s="104" t="str">
        <f>IF(H367&lt;0,"ERROR",IF(H367=0,"",IF(H367&lt;CONFIG!$B$4,"CRÍTICO",IF(H367&lt;CONFIG!$B$5,"BAJO","OK"))))</f>
        <v/>
      </c>
    </row>
    <row r="368" ht="15.75" hidden="1" customHeight="1">
      <c r="A368" s="90" t="str">
        <f>IF(CLIENTES!A5="","",CLIENTES!A5)</f>
        <v>Bravos</v>
      </c>
      <c r="B368" s="90" t="s">
        <v>321</v>
      </c>
      <c r="C368" s="91" t="s">
        <v>326</v>
      </c>
      <c r="D368" s="109" t="s">
        <v>353</v>
      </c>
      <c r="E368" s="67" t="str">
        <f>COLORES!A15</f>
        <v>Plomo</v>
      </c>
      <c r="F368" s="67" t="str">
        <f>COLORES!B15</f>
        <v>OSCURO</v>
      </c>
      <c r="G368" s="90" t="s">
        <v>378</v>
      </c>
      <c r="H368" s="100">
        <f>IFERROR(SUMIFS(MOVIMIENTOS_COMPLEMENTOS!$I$4:$I$803,MOVIMIENTOS_COMPLEMENTOS!$C$4:$C$803,A368,MOVIMIENTOS_COMPLEMENTOS!$D$4:$D$803,B368,MOVIMIENTOS_COMPLEMENTOS!$E$4:$E$803,C368,MOVIMIENTOS_COMPLEMENTOS!$G$4:$G$803,E368,MOVIMIENTOS_COMPLEMENTOS!$H$4:$H$803,G368,MOVIMIENTOS_COMPLEMENTOS!$B$4:$B$803,"INGRESO")+SUMIFS(MOVIMIENTOS_COMPLEMENTOS!$I$4:$I$803,MOVIMIENTOS_COMPLEMENTOS!$C$4:$C$803,A368,MOVIMIENTOS_COMPLEMENTOS!$D$4:$D$803,B368,MOVIMIENTOS_COMPLEMENTOS!$E$4:$E$803,C368,MOVIMIENTOS_COMPLEMENTOS!$G$4:$G$803,E368,MOVIMIENTOS_COMPLEMENTOS!$H$4:$H$803,G368,MOVIMIENTOS_COMPLEMENTOS!$B$4:$B$803,"DE CORTE")-SUMIFS(MOVIMIENTOS_COMPLEMENTOS!$I$4:$I$803,MOVIMIENTOS_COMPLEMENTOS!$C$4:$C$803,A368,MOVIMIENTOS_COMPLEMENTOS!$D$4:$D$803,B368,MOVIMIENTOS_COMPLEMENTOS!$E$4:$E$803,C368,MOVIMIENTOS_COMPLEMENTOS!$G$4:$G$803,E368,MOVIMIENTOS_COMPLEMENTOS!$H$4:$H$803,G368,MOVIMIENTOS_COMPLEMENTOS!$B$4:$B$803,"SALIDA"),0)</f>
        <v>0</v>
      </c>
      <c r="I368" s="102">
        <f t="array" ref="I368">IFERROR(INDEX(PRECIOS_COMPLEMENTOS!$C$4:$F$17,MATCH(B368&amp;"_"&amp;C368,PRECIOS_COMPLEMENTOS!$H$4:$H$17,0),IF(OR(G368="S",G368="20cm"),1,IF(OR(G368="M",G368="25cm"),2,IF(OR(G368="L",G368="30cm"),3,IF(OR(G368="XL",G368="35cm"),4,0))))),0)</f>
        <v>0.4</v>
      </c>
      <c r="J368" s="103">
        <f t="shared" si="1"/>
        <v>0</v>
      </c>
      <c r="K368" s="104" t="str">
        <f>IF(H368&lt;0,"ERROR",IF(H368=0,"",IF(H368&lt;CONFIG!$B$4,"CRÍTICO",IF(H368&lt;CONFIG!$B$5,"BAJO","OK"))))</f>
        <v/>
      </c>
    </row>
    <row r="369" ht="15.75" hidden="1" customHeight="1">
      <c r="A369" s="90" t="str">
        <f>IF(CLIENTES!A5="","",CLIENTES!A5)</f>
        <v>Bravos</v>
      </c>
      <c r="B369" s="90" t="s">
        <v>321</v>
      </c>
      <c r="C369" s="91" t="s">
        <v>326</v>
      </c>
      <c r="D369" s="109" t="s">
        <v>353</v>
      </c>
      <c r="E369" s="67" t="str">
        <f>COLORES!A15</f>
        <v>Plomo</v>
      </c>
      <c r="F369" s="67" t="str">
        <f>COLORES!B15</f>
        <v>OSCURO</v>
      </c>
      <c r="G369" s="90" t="s">
        <v>376</v>
      </c>
      <c r="H369" s="100">
        <f>IFERROR(SUMIFS(MOVIMIENTOS_COMPLEMENTOS!$I$4:$I$803,MOVIMIENTOS_COMPLEMENTOS!$C$4:$C$803,A369,MOVIMIENTOS_COMPLEMENTOS!$D$4:$D$803,B369,MOVIMIENTOS_COMPLEMENTOS!$E$4:$E$803,C369,MOVIMIENTOS_COMPLEMENTOS!$G$4:$G$803,E369,MOVIMIENTOS_COMPLEMENTOS!$H$4:$H$803,G369,MOVIMIENTOS_COMPLEMENTOS!$B$4:$B$803,"INGRESO")+SUMIFS(MOVIMIENTOS_COMPLEMENTOS!$I$4:$I$803,MOVIMIENTOS_COMPLEMENTOS!$C$4:$C$803,A369,MOVIMIENTOS_COMPLEMENTOS!$D$4:$D$803,B369,MOVIMIENTOS_COMPLEMENTOS!$E$4:$E$803,C369,MOVIMIENTOS_COMPLEMENTOS!$G$4:$G$803,E369,MOVIMIENTOS_COMPLEMENTOS!$H$4:$H$803,G369,MOVIMIENTOS_COMPLEMENTOS!$B$4:$B$803,"DE CORTE")-SUMIFS(MOVIMIENTOS_COMPLEMENTOS!$I$4:$I$803,MOVIMIENTOS_COMPLEMENTOS!$C$4:$C$803,A369,MOVIMIENTOS_COMPLEMENTOS!$D$4:$D$803,B369,MOVIMIENTOS_COMPLEMENTOS!$E$4:$E$803,C369,MOVIMIENTOS_COMPLEMENTOS!$G$4:$G$803,E369,MOVIMIENTOS_COMPLEMENTOS!$H$4:$H$803,G369,MOVIMIENTOS_COMPLEMENTOS!$B$4:$B$803,"SALIDA"),0)</f>
        <v>0</v>
      </c>
      <c r="I369" s="102">
        <f t="array" ref="I369">IFERROR(INDEX(PRECIOS_COMPLEMENTOS!$C$4:$F$17,MATCH(B369&amp;"_"&amp;C369,PRECIOS_COMPLEMENTOS!$H$4:$H$17,0),IF(OR(G369="S",G369="20cm"),1,IF(OR(G369="M",G369="25cm"),2,IF(OR(G369="L",G369="30cm"),3,IF(OR(G369="XL",G369="35cm"),4,0))))),0)</f>
        <v>0.45</v>
      </c>
      <c r="J369" s="103">
        <f t="shared" si="1"/>
        <v>0</v>
      </c>
      <c r="K369" s="104" t="str">
        <f>IF(H369&lt;0,"ERROR",IF(H369=0,"",IF(H369&lt;CONFIG!$B$4,"CRÍTICO",IF(H369&lt;CONFIG!$B$5,"BAJO","OK"))))</f>
        <v/>
      </c>
    </row>
    <row r="370" ht="15.75" hidden="1" customHeight="1">
      <c r="A370" s="90" t="str">
        <f>IF(CLIENTES!A5="","",CLIENTES!A5)</f>
        <v>Bravos</v>
      </c>
      <c r="B370" s="90" t="s">
        <v>321</v>
      </c>
      <c r="C370" s="91" t="s">
        <v>326</v>
      </c>
      <c r="D370" s="109" t="s">
        <v>353</v>
      </c>
      <c r="E370" s="67" t="str">
        <f>COLORES!A15</f>
        <v>Plomo</v>
      </c>
      <c r="F370" s="67" t="str">
        <f>COLORES!B15</f>
        <v>OSCURO</v>
      </c>
      <c r="G370" s="90" t="s">
        <v>377</v>
      </c>
      <c r="H370" s="100">
        <f>IFERROR(SUMIFS(MOVIMIENTOS_COMPLEMENTOS!$I$4:$I$803,MOVIMIENTOS_COMPLEMENTOS!$C$4:$C$803,A370,MOVIMIENTOS_COMPLEMENTOS!$D$4:$D$803,B370,MOVIMIENTOS_COMPLEMENTOS!$E$4:$E$803,C370,MOVIMIENTOS_COMPLEMENTOS!$G$4:$G$803,E370,MOVIMIENTOS_COMPLEMENTOS!$H$4:$H$803,G370,MOVIMIENTOS_COMPLEMENTOS!$B$4:$B$803,"INGRESO")+SUMIFS(MOVIMIENTOS_COMPLEMENTOS!$I$4:$I$803,MOVIMIENTOS_COMPLEMENTOS!$C$4:$C$803,A370,MOVIMIENTOS_COMPLEMENTOS!$D$4:$D$803,B370,MOVIMIENTOS_COMPLEMENTOS!$E$4:$E$803,C370,MOVIMIENTOS_COMPLEMENTOS!$G$4:$G$803,E370,MOVIMIENTOS_COMPLEMENTOS!$H$4:$H$803,G370,MOVIMIENTOS_COMPLEMENTOS!$B$4:$B$803,"DE CORTE")-SUMIFS(MOVIMIENTOS_COMPLEMENTOS!$I$4:$I$803,MOVIMIENTOS_COMPLEMENTOS!$C$4:$C$803,A370,MOVIMIENTOS_COMPLEMENTOS!$D$4:$D$803,B370,MOVIMIENTOS_COMPLEMENTOS!$E$4:$E$803,C370,MOVIMIENTOS_COMPLEMENTOS!$G$4:$G$803,E370,MOVIMIENTOS_COMPLEMENTOS!$H$4:$H$803,G370,MOVIMIENTOS_COMPLEMENTOS!$B$4:$B$803,"SALIDA"),0)</f>
        <v>0</v>
      </c>
      <c r="I370" s="102">
        <f t="array" ref="I370">IFERROR(INDEX(PRECIOS_COMPLEMENTOS!$C$4:$F$17,MATCH(B370&amp;"_"&amp;C370,PRECIOS_COMPLEMENTOS!$H$4:$H$17,0),IF(OR(G370="S",G370="20cm"),1,IF(OR(G370="M",G370="25cm"),2,IF(OR(G370="L",G370="30cm"),3,IF(OR(G370="XL",G370="35cm"),4,0))))),0)</f>
        <v>0.5</v>
      </c>
      <c r="J370" s="103">
        <f t="shared" si="1"/>
        <v>0</v>
      </c>
      <c r="K370" s="104" t="str">
        <f>IF(H370&lt;0,"ERROR",IF(H370=0,"",IF(H370&lt;CONFIG!$B$4,"CRÍTICO",IF(H370&lt;CONFIG!$B$5,"BAJO","OK"))))</f>
        <v/>
      </c>
    </row>
    <row r="371" ht="15.75" hidden="1" customHeight="1">
      <c r="A371" s="90" t="str">
        <f>IF(CLIENTES!A5="","",CLIENTES!A5)</f>
        <v>Bravos</v>
      </c>
      <c r="B371" s="90" t="s">
        <v>321</v>
      </c>
      <c r="C371" s="91" t="s">
        <v>326</v>
      </c>
      <c r="D371" s="109" t="s">
        <v>353</v>
      </c>
      <c r="E371" s="67" t="str">
        <f>COLORES!A15</f>
        <v>Plomo</v>
      </c>
      <c r="F371" s="67" t="str">
        <f>COLORES!B15</f>
        <v>OSCURO</v>
      </c>
      <c r="G371" s="90" t="s">
        <v>379</v>
      </c>
      <c r="H371" s="100">
        <f>IFERROR(SUMIFS(MOVIMIENTOS_COMPLEMENTOS!$I$4:$I$803,MOVIMIENTOS_COMPLEMENTOS!$C$4:$C$803,A371,MOVIMIENTOS_COMPLEMENTOS!$D$4:$D$803,B371,MOVIMIENTOS_COMPLEMENTOS!$E$4:$E$803,C371,MOVIMIENTOS_COMPLEMENTOS!$G$4:$G$803,E371,MOVIMIENTOS_COMPLEMENTOS!$H$4:$H$803,G371,MOVIMIENTOS_COMPLEMENTOS!$B$4:$B$803,"INGRESO")+SUMIFS(MOVIMIENTOS_COMPLEMENTOS!$I$4:$I$803,MOVIMIENTOS_COMPLEMENTOS!$C$4:$C$803,A371,MOVIMIENTOS_COMPLEMENTOS!$D$4:$D$803,B371,MOVIMIENTOS_COMPLEMENTOS!$E$4:$E$803,C371,MOVIMIENTOS_COMPLEMENTOS!$G$4:$G$803,E371,MOVIMIENTOS_COMPLEMENTOS!$H$4:$H$803,G371,MOVIMIENTOS_COMPLEMENTOS!$B$4:$B$803,"DE CORTE")-SUMIFS(MOVIMIENTOS_COMPLEMENTOS!$I$4:$I$803,MOVIMIENTOS_COMPLEMENTOS!$C$4:$C$803,A371,MOVIMIENTOS_COMPLEMENTOS!$D$4:$D$803,B371,MOVIMIENTOS_COMPLEMENTOS!$E$4:$E$803,C371,MOVIMIENTOS_COMPLEMENTOS!$G$4:$G$803,E371,MOVIMIENTOS_COMPLEMENTOS!$H$4:$H$803,G371,MOVIMIENTOS_COMPLEMENTOS!$B$4:$B$803,"SALIDA"),0)</f>
        <v>0</v>
      </c>
      <c r="I371" s="102">
        <f t="array" ref="I371">IFERROR(INDEX(PRECIOS_COMPLEMENTOS!$C$4:$F$17,MATCH(B371&amp;"_"&amp;C371,PRECIOS_COMPLEMENTOS!$H$4:$H$17,0),IF(OR(G371="S",G371="20cm"),1,IF(OR(G371="M",G371="25cm"),2,IF(OR(G371="L",G371="30cm"),3,IF(OR(G371="XL",G371="35cm"),4,0))))),0)</f>
        <v>0.55</v>
      </c>
      <c r="J371" s="103">
        <f t="shared" si="1"/>
        <v>0</v>
      </c>
      <c r="K371" s="104" t="str">
        <f>IF(H371&lt;0,"ERROR",IF(H371=0,"",IF(H371&lt;CONFIG!$B$4,"CRÍTICO",IF(H371&lt;CONFIG!$B$5,"BAJO","OK"))))</f>
        <v/>
      </c>
    </row>
    <row r="372" ht="15.75" hidden="1" customHeight="1">
      <c r="A372" s="90" t="str">
        <f>IF(CLIENTES!A5="","",CLIENTES!A5)</f>
        <v>Bravos</v>
      </c>
      <c r="B372" s="90" t="s">
        <v>321</v>
      </c>
      <c r="C372" s="91" t="s">
        <v>326</v>
      </c>
      <c r="D372" s="109" t="s">
        <v>353</v>
      </c>
      <c r="E372" s="67" t="str">
        <f>COLORES!A16</f>
        <v>Topo</v>
      </c>
      <c r="F372" s="67" t="str">
        <f>COLORES!B16</f>
        <v>CLARO</v>
      </c>
      <c r="G372" s="90" t="s">
        <v>378</v>
      </c>
      <c r="H372" s="100">
        <f>IFERROR(SUMIFS(MOVIMIENTOS_COMPLEMENTOS!$I$4:$I$803,MOVIMIENTOS_COMPLEMENTOS!$C$4:$C$803,A372,MOVIMIENTOS_COMPLEMENTOS!$D$4:$D$803,B372,MOVIMIENTOS_COMPLEMENTOS!$E$4:$E$803,C372,MOVIMIENTOS_COMPLEMENTOS!$G$4:$G$803,E372,MOVIMIENTOS_COMPLEMENTOS!$H$4:$H$803,G372,MOVIMIENTOS_COMPLEMENTOS!$B$4:$B$803,"INGRESO")+SUMIFS(MOVIMIENTOS_COMPLEMENTOS!$I$4:$I$803,MOVIMIENTOS_COMPLEMENTOS!$C$4:$C$803,A372,MOVIMIENTOS_COMPLEMENTOS!$D$4:$D$803,B372,MOVIMIENTOS_COMPLEMENTOS!$E$4:$E$803,C372,MOVIMIENTOS_COMPLEMENTOS!$G$4:$G$803,E372,MOVIMIENTOS_COMPLEMENTOS!$H$4:$H$803,G372,MOVIMIENTOS_COMPLEMENTOS!$B$4:$B$803,"DE CORTE")-SUMIFS(MOVIMIENTOS_COMPLEMENTOS!$I$4:$I$803,MOVIMIENTOS_COMPLEMENTOS!$C$4:$C$803,A372,MOVIMIENTOS_COMPLEMENTOS!$D$4:$D$803,B372,MOVIMIENTOS_COMPLEMENTOS!$E$4:$E$803,C372,MOVIMIENTOS_COMPLEMENTOS!$G$4:$G$803,E372,MOVIMIENTOS_COMPLEMENTOS!$H$4:$H$803,G372,MOVIMIENTOS_COMPLEMENTOS!$B$4:$B$803,"SALIDA"),0)</f>
        <v>0</v>
      </c>
      <c r="I372" s="102">
        <f t="array" ref="I372">IFERROR(INDEX(PRECIOS_COMPLEMENTOS!$C$4:$F$17,MATCH(B372&amp;"_"&amp;C372,PRECIOS_COMPLEMENTOS!$H$4:$H$17,0),IF(OR(G372="S",G372="20cm"),1,IF(OR(G372="M",G372="25cm"),2,IF(OR(G372="L",G372="30cm"),3,IF(OR(G372="XL",G372="35cm"),4,0))))),0)</f>
        <v>0.4</v>
      </c>
      <c r="J372" s="103">
        <f t="shared" si="1"/>
        <v>0</v>
      </c>
      <c r="K372" s="104" t="str">
        <f>IF(H372&lt;0,"ERROR",IF(H372=0,"",IF(H372&lt;CONFIG!$B$4,"CRÍTICO",IF(H372&lt;CONFIG!$B$5,"BAJO","OK"))))</f>
        <v/>
      </c>
    </row>
    <row r="373" ht="15.75" hidden="1" customHeight="1">
      <c r="A373" s="90" t="str">
        <f>IF(CLIENTES!A5="","",CLIENTES!A5)</f>
        <v>Bravos</v>
      </c>
      <c r="B373" s="90" t="s">
        <v>321</v>
      </c>
      <c r="C373" s="91" t="s">
        <v>326</v>
      </c>
      <c r="D373" s="109" t="s">
        <v>353</v>
      </c>
      <c r="E373" s="67" t="str">
        <f>COLORES!A16</f>
        <v>Topo</v>
      </c>
      <c r="F373" s="67" t="str">
        <f>COLORES!B16</f>
        <v>CLARO</v>
      </c>
      <c r="G373" s="90" t="s">
        <v>376</v>
      </c>
      <c r="H373" s="100">
        <f>IFERROR(SUMIFS(MOVIMIENTOS_COMPLEMENTOS!$I$4:$I$803,MOVIMIENTOS_COMPLEMENTOS!$C$4:$C$803,A373,MOVIMIENTOS_COMPLEMENTOS!$D$4:$D$803,B373,MOVIMIENTOS_COMPLEMENTOS!$E$4:$E$803,C373,MOVIMIENTOS_COMPLEMENTOS!$G$4:$G$803,E373,MOVIMIENTOS_COMPLEMENTOS!$H$4:$H$803,G373,MOVIMIENTOS_COMPLEMENTOS!$B$4:$B$803,"INGRESO")+SUMIFS(MOVIMIENTOS_COMPLEMENTOS!$I$4:$I$803,MOVIMIENTOS_COMPLEMENTOS!$C$4:$C$803,A373,MOVIMIENTOS_COMPLEMENTOS!$D$4:$D$803,B373,MOVIMIENTOS_COMPLEMENTOS!$E$4:$E$803,C373,MOVIMIENTOS_COMPLEMENTOS!$G$4:$G$803,E373,MOVIMIENTOS_COMPLEMENTOS!$H$4:$H$803,G373,MOVIMIENTOS_COMPLEMENTOS!$B$4:$B$803,"DE CORTE")-SUMIFS(MOVIMIENTOS_COMPLEMENTOS!$I$4:$I$803,MOVIMIENTOS_COMPLEMENTOS!$C$4:$C$803,A373,MOVIMIENTOS_COMPLEMENTOS!$D$4:$D$803,B373,MOVIMIENTOS_COMPLEMENTOS!$E$4:$E$803,C373,MOVIMIENTOS_COMPLEMENTOS!$G$4:$G$803,E373,MOVIMIENTOS_COMPLEMENTOS!$H$4:$H$803,G373,MOVIMIENTOS_COMPLEMENTOS!$B$4:$B$803,"SALIDA"),0)</f>
        <v>0</v>
      </c>
      <c r="I373" s="102">
        <f t="array" ref="I373">IFERROR(INDEX(PRECIOS_COMPLEMENTOS!$C$4:$F$17,MATCH(B373&amp;"_"&amp;C373,PRECIOS_COMPLEMENTOS!$H$4:$H$17,0),IF(OR(G373="S",G373="20cm"),1,IF(OR(G373="M",G373="25cm"),2,IF(OR(G373="L",G373="30cm"),3,IF(OR(G373="XL",G373="35cm"),4,0))))),0)</f>
        <v>0.45</v>
      </c>
      <c r="J373" s="103">
        <f t="shared" si="1"/>
        <v>0</v>
      </c>
      <c r="K373" s="104" t="str">
        <f>IF(H373&lt;0,"ERROR",IF(H373=0,"",IF(H373&lt;CONFIG!$B$4,"CRÍTICO",IF(H373&lt;CONFIG!$B$5,"BAJO","OK"))))</f>
        <v/>
      </c>
    </row>
    <row r="374" ht="15.75" hidden="1" customHeight="1">
      <c r="A374" s="90" t="str">
        <f>IF(CLIENTES!A5="","",CLIENTES!A5)</f>
        <v>Bravos</v>
      </c>
      <c r="B374" s="90" t="s">
        <v>321</v>
      </c>
      <c r="C374" s="91" t="s">
        <v>326</v>
      </c>
      <c r="D374" s="109" t="s">
        <v>353</v>
      </c>
      <c r="E374" s="67" t="str">
        <f>COLORES!A16</f>
        <v>Topo</v>
      </c>
      <c r="F374" s="67" t="str">
        <f>COLORES!B16</f>
        <v>CLARO</v>
      </c>
      <c r="G374" s="90" t="s">
        <v>377</v>
      </c>
      <c r="H374" s="100">
        <f>IFERROR(SUMIFS(MOVIMIENTOS_COMPLEMENTOS!$I$4:$I$803,MOVIMIENTOS_COMPLEMENTOS!$C$4:$C$803,A374,MOVIMIENTOS_COMPLEMENTOS!$D$4:$D$803,B374,MOVIMIENTOS_COMPLEMENTOS!$E$4:$E$803,C374,MOVIMIENTOS_COMPLEMENTOS!$G$4:$G$803,E374,MOVIMIENTOS_COMPLEMENTOS!$H$4:$H$803,G374,MOVIMIENTOS_COMPLEMENTOS!$B$4:$B$803,"INGRESO")+SUMIFS(MOVIMIENTOS_COMPLEMENTOS!$I$4:$I$803,MOVIMIENTOS_COMPLEMENTOS!$C$4:$C$803,A374,MOVIMIENTOS_COMPLEMENTOS!$D$4:$D$803,B374,MOVIMIENTOS_COMPLEMENTOS!$E$4:$E$803,C374,MOVIMIENTOS_COMPLEMENTOS!$G$4:$G$803,E374,MOVIMIENTOS_COMPLEMENTOS!$H$4:$H$803,G374,MOVIMIENTOS_COMPLEMENTOS!$B$4:$B$803,"DE CORTE")-SUMIFS(MOVIMIENTOS_COMPLEMENTOS!$I$4:$I$803,MOVIMIENTOS_COMPLEMENTOS!$C$4:$C$803,A374,MOVIMIENTOS_COMPLEMENTOS!$D$4:$D$803,B374,MOVIMIENTOS_COMPLEMENTOS!$E$4:$E$803,C374,MOVIMIENTOS_COMPLEMENTOS!$G$4:$G$803,E374,MOVIMIENTOS_COMPLEMENTOS!$H$4:$H$803,G374,MOVIMIENTOS_COMPLEMENTOS!$B$4:$B$803,"SALIDA"),0)</f>
        <v>0</v>
      </c>
      <c r="I374" s="102">
        <f t="array" ref="I374">IFERROR(INDEX(PRECIOS_COMPLEMENTOS!$C$4:$F$17,MATCH(B374&amp;"_"&amp;C374,PRECIOS_COMPLEMENTOS!$H$4:$H$17,0),IF(OR(G374="S",G374="20cm"),1,IF(OR(G374="M",G374="25cm"),2,IF(OR(G374="L",G374="30cm"),3,IF(OR(G374="XL",G374="35cm"),4,0))))),0)</f>
        <v>0.5</v>
      </c>
      <c r="J374" s="103">
        <f t="shared" si="1"/>
        <v>0</v>
      </c>
      <c r="K374" s="104" t="str">
        <f>IF(H374&lt;0,"ERROR",IF(H374=0,"",IF(H374&lt;CONFIG!$B$4,"CRÍTICO",IF(H374&lt;CONFIG!$B$5,"BAJO","OK"))))</f>
        <v/>
      </c>
    </row>
    <row r="375" ht="15.75" hidden="1" customHeight="1">
      <c r="A375" s="90" t="str">
        <f>IF(CLIENTES!A5="","",CLIENTES!A5)</f>
        <v>Bravos</v>
      </c>
      <c r="B375" s="90" t="s">
        <v>321</v>
      </c>
      <c r="C375" s="91" t="s">
        <v>326</v>
      </c>
      <c r="D375" s="109" t="s">
        <v>353</v>
      </c>
      <c r="E375" s="67" t="str">
        <f>COLORES!A16</f>
        <v>Topo</v>
      </c>
      <c r="F375" s="67" t="str">
        <f>COLORES!B16</f>
        <v>CLARO</v>
      </c>
      <c r="G375" s="90" t="s">
        <v>379</v>
      </c>
      <c r="H375" s="100">
        <f>IFERROR(SUMIFS(MOVIMIENTOS_COMPLEMENTOS!$I$4:$I$803,MOVIMIENTOS_COMPLEMENTOS!$C$4:$C$803,A375,MOVIMIENTOS_COMPLEMENTOS!$D$4:$D$803,B375,MOVIMIENTOS_COMPLEMENTOS!$E$4:$E$803,C375,MOVIMIENTOS_COMPLEMENTOS!$G$4:$G$803,E375,MOVIMIENTOS_COMPLEMENTOS!$H$4:$H$803,G375,MOVIMIENTOS_COMPLEMENTOS!$B$4:$B$803,"INGRESO")+SUMIFS(MOVIMIENTOS_COMPLEMENTOS!$I$4:$I$803,MOVIMIENTOS_COMPLEMENTOS!$C$4:$C$803,A375,MOVIMIENTOS_COMPLEMENTOS!$D$4:$D$803,B375,MOVIMIENTOS_COMPLEMENTOS!$E$4:$E$803,C375,MOVIMIENTOS_COMPLEMENTOS!$G$4:$G$803,E375,MOVIMIENTOS_COMPLEMENTOS!$H$4:$H$803,G375,MOVIMIENTOS_COMPLEMENTOS!$B$4:$B$803,"DE CORTE")-SUMIFS(MOVIMIENTOS_COMPLEMENTOS!$I$4:$I$803,MOVIMIENTOS_COMPLEMENTOS!$C$4:$C$803,A375,MOVIMIENTOS_COMPLEMENTOS!$D$4:$D$803,B375,MOVIMIENTOS_COMPLEMENTOS!$E$4:$E$803,C375,MOVIMIENTOS_COMPLEMENTOS!$G$4:$G$803,E375,MOVIMIENTOS_COMPLEMENTOS!$H$4:$H$803,G375,MOVIMIENTOS_COMPLEMENTOS!$B$4:$B$803,"SALIDA"),0)</f>
        <v>0</v>
      </c>
      <c r="I375" s="102">
        <f t="array" ref="I375">IFERROR(INDEX(PRECIOS_COMPLEMENTOS!$C$4:$F$17,MATCH(B375&amp;"_"&amp;C375,PRECIOS_COMPLEMENTOS!$H$4:$H$17,0),IF(OR(G375="S",G375="20cm"),1,IF(OR(G375="M",G375="25cm"),2,IF(OR(G375="L",G375="30cm"),3,IF(OR(G375="XL",G375="35cm"),4,0))))),0)</f>
        <v>0.55</v>
      </c>
      <c r="J375" s="103">
        <f t="shared" si="1"/>
        <v>0</v>
      </c>
      <c r="K375" s="104" t="str">
        <f>IF(H375&lt;0,"ERROR",IF(H375=0,"",IF(H375&lt;CONFIG!$B$4,"CRÍTICO",IF(H375&lt;CONFIG!$B$5,"BAJO","OK"))))</f>
        <v/>
      </c>
    </row>
    <row r="376" ht="15.75" hidden="1" customHeight="1">
      <c r="A376" s="90" t="str">
        <f>IF(CLIENTES!A5="","",CLIENTES!A5)</f>
        <v>Bravos</v>
      </c>
      <c r="B376" s="90" t="s">
        <v>321</v>
      </c>
      <c r="C376" s="91" t="s">
        <v>326</v>
      </c>
      <c r="D376" s="109" t="s">
        <v>353</v>
      </c>
      <c r="E376" s="67" t="str">
        <f>COLORES!A17</f>
        <v>Vino</v>
      </c>
      <c r="F376" s="67" t="str">
        <f>COLORES!B17</f>
        <v>OSCURO</v>
      </c>
      <c r="G376" s="90" t="s">
        <v>378</v>
      </c>
      <c r="H376" s="100">
        <f>IFERROR(SUMIFS(MOVIMIENTOS_COMPLEMENTOS!$I$4:$I$803,MOVIMIENTOS_COMPLEMENTOS!$C$4:$C$803,A376,MOVIMIENTOS_COMPLEMENTOS!$D$4:$D$803,B376,MOVIMIENTOS_COMPLEMENTOS!$E$4:$E$803,C376,MOVIMIENTOS_COMPLEMENTOS!$G$4:$G$803,E376,MOVIMIENTOS_COMPLEMENTOS!$H$4:$H$803,G376,MOVIMIENTOS_COMPLEMENTOS!$B$4:$B$803,"INGRESO")+SUMIFS(MOVIMIENTOS_COMPLEMENTOS!$I$4:$I$803,MOVIMIENTOS_COMPLEMENTOS!$C$4:$C$803,A376,MOVIMIENTOS_COMPLEMENTOS!$D$4:$D$803,B376,MOVIMIENTOS_COMPLEMENTOS!$E$4:$E$803,C376,MOVIMIENTOS_COMPLEMENTOS!$G$4:$G$803,E376,MOVIMIENTOS_COMPLEMENTOS!$H$4:$H$803,G376,MOVIMIENTOS_COMPLEMENTOS!$B$4:$B$803,"DE CORTE")-SUMIFS(MOVIMIENTOS_COMPLEMENTOS!$I$4:$I$803,MOVIMIENTOS_COMPLEMENTOS!$C$4:$C$803,A376,MOVIMIENTOS_COMPLEMENTOS!$D$4:$D$803,B376,MOVIMIENTOS_COMPLEMENTOS!$E$4:$E$803,C376,MOVIMIENTOS_COMPLEMENTOS!$G$4:$G$803,E376,MOVIMIENTOS_COMPLEMENTOS!$H$4:$H$803,G376,MOVIMIENTOS_COMPLEMENTOS!$B$4:$B$803,"SALIDA"),0)</f>
        <v>0</v>
      </c>
      <c r="I376" s="102">
        <f t="array" ref="I376">IFERROR(INDEX(PRECIOS_COMPLEMENTOS!$C$4:$F$17,MATCH(B376&amp;"_"&amp;C376,PRECIOS_COMPLEMENTOS!$H$4:$H$17,0),IF(OR(G376="S",G376="20cm"),1,IF(OR(G376="M",G376="25cm"),2,IF(OR(G376="L",G376="30cm"),3,IF(OR(G376="XL",G376="35cm"),4,0))))),0)</f>
        <v>0.4</v>
      </c>
      <c r="J376" s="103">
        <f t="shared" si="1"/>
        <v>0</v>
      </c>
      <c r="K376" s="104" t="str">
        <f>IF(H376&lt;0,"ERROR",IF(H376=0,"",IF(H376&lt;CONFIG!$B$4,"CRÍTICO",IF(H376&lt;CONFIG!$B$5,"BAJO","OK"))))</f>
        <v/>
      </c>
    </row>
    <row r="377" ht="15.75" hidden="1" customHeight="1">
      <c r="A377" s="90" t="str">
        <f>IF(CLIENTES!A5="","",CLIENTES!A5)</f>
        <v>Bravos</v>
      </c>
      <c r="B377" s="90" t="s">
        <v>321</v>
      </c>
      <c r="C377" s="91" t="s">
        <v>326</v>
      </c>
      <c r="D377" s="109" t="s">
        <v>353</v>
      </c>
      <c r="E377" s="67" t="str">
        <f>COLORES!A17</f>
        <v>Vino</v>
      </c>
      <c r="F377" s="67" t="str">
        <f>COLORES!B17</f>
        <v>OSCURO</v>
      </c>
      <c r="G377" s="90" t="s">
        <v>376</v>
      </c>
      <c r="H377" s="100">
        <f>IFERROR(SUMIFS(MOVIMIENTOS_COMPLEMENTOS!$I$4:$I$803,MOVIMIENTOS_COMPLEMENTOS!$C$4:$C$803,A377,MOVIMIENTOS_COMPLEMENTOS!$D$4:$D$803,B377,MOVIMIENTOS_COMPLEMENTOS!$E$4:$E$803,C377,MOVIMIENTOS_COMPLEMENTOS!$G$4:$G$803,E377,MOVIMIENTOS_COMPLEMENTOS!$H$4:$H$803,G377,MOVIMIENTOS_COMPLEMENTOS!$B$4:$B$803,"INGRESO")+SUMIFS(MOVIMIENTOS_COMPLEMENTOS!$I$4:$I$803,MOVIMIENTOS_COMPLEMENTOS!$C$4:$C$803,A377,MOVIMIENTOS_COMPLEMENTOS!$D$4:$D$803,B377,MOVIMIENTOS_COMPLEMENTOS!$E$4:$E$803,C377,MOVIMIENTOS_COMPLEMENTOS!$G$4:$G$803,E377,MOVIMIENTOS_COMPLEMENTOS!$H$4:$H$803,G377,MOVIMIENTOS_COMPLEMENTOS!$B$4:$B$803,"DE CORTE")-SUMIFS(MOVIMIENTOS_COMPLEMENTOS!$I$4:$I$803,MOVIMIENTOS_COMPLEMENTOS!$C$4:$C$803,A377,MOVIMIENTOS_COMPLEMENTOS!$D$4:$D$803,B377,MOVIMIENTOS_COMPLEMENTOS!$E$4:$E$803,C377,MOVIMIENTOS_COMPLEMENTOS!$G$4:$G$803,E377,MOVIMIENTOS_COMPLEMENTOS!$H$4:$H$803,G377,MOVIMIENTOS_COMPLEMENTOS!$B$4:$B$803,"SALIDA"),0)</f>
        <v>0</v>
      </c>
      <c r="I377" s="102">
        <f t="array" ref="I377">IFERROR(INDEX(PRECIOS_COMPLEMENTOS!$C$4:$F$17,MATCH(B377&amp;"_"&amp;C377,PRECIOS_COMPLEMENTOS!$H$4:$H$17,0),IF(OR(G377="S",G377="20cm"),1,IF(OR(G377="M",G377="25cm"),2,IF(OR(G377="L",G377="30cm"),3,IF(OR(G377="XL",G377="35cm"),4,0))))),0)</f>
        <v>0.45</v>
      </c>
      <c r="J377" s="103">
        <f t="shared" si="1"/>
        <v>0</v>
      </c>
      <c r="K377" s="104" t="str">
        <f>IF(H377&lt;0,"ERROR",IF(H377=0,"",IF(H377&lt;CONFIG!$B$4,"CRÍTICO",IF(H377&lt;CONFIG!$B$5,"BAJO","OK"))))</f>
        <v/>
      </c>
    </row>
    <row r="378" ht="15.75" hidden="1" customHeight="1">
      <c r="A378" s="90" t="str">
        <f>IF(CLIENTES!A5="","",CLIENTES!A5)</f>
        <v>Bravos</v>
      </c>
      <c r="B378" s="90" t="s">
        <v>321</v>
      </c>
      <c r="C378" s="91" t="s">
        <v>326</v>
      </c>
      <c r="D378" s="109" t="s">
        <v>353</v>
      </c>
      <c r="E378" s="67" t="str">
        <f>COLORES!A17</f>
        <v>Vino</v>
      </c>
      <c r="F378" s="67" t="str">
        <f>COLORES!B17</f>
        <v>OSCURO</v>
      </c>
      <c r="G378" s="90" t="s">
        <v>377</v>
      </c>
      <c r="H378" s="100">
        <f>IFERROR(SUMIFS(MOVIMIENTOS_COMPLEMENTOS!$I$4:$I$803,MOVIMIENTOS_COMPLEMENTOS!$C$4:$C$803,A378,MOVIMIENTOS_COMPLEMENTOS!$D$4:$D$803,B378,MOVIMIENTOS_COMPLEMENTOS!$E$4:$E$803,C378,MOVIMIENTOS_COMPLEMENTOS!$G$4:$G$803,E378,MOVIMIENTOS_COMPLEMENTOS!$H$4:$H$803,G378,MOVIMIENTOS_COMPLEMENTOS!$B$4:$B$803,"INGRESO")+SUMIFS(MOVIMIENTOS_COMPLEMENTOS!$I$4:$I$803,MOVIMIENTOS_COMPLEMENTOS!$C$4:$C$803,A378,MOVIMIENTOS_COMPLEMENTOS!$D$4:$D$803,B378,MOVIMIENTOS_COMPLEMENTOS!$E$4:$E$803,C378,MOVIMIENTOS_COMPLEMENTOS!$G$4:$G$803,E378,MOVIMIENTOS_COMPLEMENTOS!$H$4:$H$803,G378,MOVIMIENTOS_COMPLEMENTOS!$B$4:$B$803,"DE CORTE")-SUMIFS(MOVIMIENTOS_COMPLEMENTOS!$I$4:$I$803,MOVIMIENTOS_COMPLEMENTOS!$C$4:$C$803,A378,MOVIMIENTOS_COMPLEMENTOS!$D$4:$D$803,B378,MOVIMIENTOS_COMPLEMENTOS!$E$4:$E$803,C378,MOVIMIENTOS_COMPLEMENTOS!$G$4:$G$803,E378,MOVIMIENTOS_COMPLEMENTOS!$H$4:$H$803,G378,MOVIMIENTOS_COMPLEMENTOS!$B$4:$B$803,"SALIDA"),0)</f>
        <v>0</v>
      </c>
      <c r="I378" s="102">
        <f t="array" ref="I378">IFERROR(INDEX(PRECIOS_COMPLEMENTOS!$C$4:$F$17,MATCH(B378&amp;"_"&amp;C378,PRECIOS_COMPLEMENTOS!$H$4:$H$17,0),IF(OR(G378="S",G378="20cm"),1,IF(OR(G378="M",G378="25cm"),2,IF(OR(G378="L",G378="30cm"),3,IF(OR(G378="XL",G378="35cm"),4,0))))),0)</f>
        <v>0.5</v>
      </c>
      <c r="J378" s="103">
        <f t="shared" si="1"/>
        <v>0</v>
      </c>
      <c r="K378" s="104" t="str">
        <f>IF(H378&lt;0,"ERROR",IF(H378=0,"",IF(H378&lt;CONFIG!$B$4,"CRÍTICO",IF(H378&lt;CONFIG!$B$5,"BAJO","OK"))))</f>
        <v/>
      </c>
    </row>
    <row r="379" ht="15.75" hidden="1" customHeight="1">
      <c r="A379" s="90" t="str">
        <f>IF(CLIENTES!A5="","",CLIENTES!A5)</f>
        <v>Bravos</v>
      </c>
      <c r="B379" s="90" t="s">
        <v>321</v>
      </c>
      <c r="C379" s="91" t="s">
        <v>326</v>
      </c>
      <c r="D379" s="109" t="s">
        <v>353</v>
      </c>
      <c r="E379" s="67" t="str">
        <f>COLORES!A17</f>
        <v>Vino</v>
      </c>
      <c r="F379" s="67" t="str">
        <f>COLORES!B17</f>
        <v>OSCURO</v>
      </c>
      <c r="G379" s="90" t="s">
        <v>379</v>
      </c>
      <c r="H379" s="100">
        <f>IFERROR(SUMIFS(MOVIMIENTOS_COMPLEMENTOS!$I$4:$I$803,MOVIMIENTOS_COMPLEMENTOS!$C$4:$C$803,A379,MOVIMIENTOS_COMPLEMENTOS!$D$4:$D$803,B379,MOVIMIENTOS_COMPLEMENTOS!$E$4:$E$803,C379,MOVIMIENTOS_COMPLEMENTOS!$G$4:$G$803,E379,MOVIMIENTOS_COMPLEMENTOS!$H$4:$H$803,G379,MOVIMIENTOS_COMPLEMENTOS!$B$4:$B$803,"INGRESO")+SUMIFS(MOVIMIENTOS_COMPLEMENTOS!$I$4:$I$803,MOVIMIENTOS_COMPLEMENTOS!$C$4:$C$803,A379,MOVIMIENTOS_COMPLEMENTOS!$D$4:$D$803,B379,MOVIMIENTOS_COMPLEMENTOS!$E$4:$E$803,C379,MOVIMIENTOS_COMPLEMENTOS!$G$4:$G$803,E379,MOVIMIENTOS_COMPLEMENTOS!$H$4:$H$803,G379,MOVIMIENTOS_COMPLEMENTOS!$B$4:$B$803,"DE CORTE")-SUMIFS(MOVIMIENTOS_COMPLEMENTOS!$I$4:$I$803,MOVIMIENTOS_COMPLEMENTOS!$C$4:$C$803,A379,MOVIMIENTOS_COMPLEMENTOS!$D$4:$D$803,B379,MOVIMIENTOS_COMPLEMENTOS!$E$4:$E$803,C379,MOVIMIENTOS_COMPLEMENTOS!$G$4:$G$803,E379,MOVIMIENTOS_COMPLEMENTOS!$H$4:$H$803,G379,MOVIMIENTOS_COMPLEMENTOS!$B$4:$B$803,"SALIDA"),0)</f>
        <v>0</v>
      </c>
      <c r="I379" s="102">
        <f t="array" ref="I379">IFERROR(INDEX(PRECIOS_COMPLEMENTOS!$C$4:$F$17,MATCH(B379&amp;"_"&amp;C379,PRECIOS_COMPLEMENTOS!$H$4:$H$17,0),IF(OR(G379="S",G379="20cm"),1,IF(OR(G379="M",G379="25cm"),2,IF(OR(G379="L",G379="30cm"),3,IF(OR(G379="XL",G379="35cm"),4,0))))),0)</f>
        <v>0.55</v>
      </c>
      <c r="J379" s="103">
        <f t="shared" si="1"/>
        <v>0</v>
      </c>
      <c r="K379" s="104" t="str">
        <f>IF(H379&lt;0,"ERROR",IF(H379=0,"",IF(H379&lt;CONFIG!$B$4,"CRÍTICO",IF(H379&lt;CONFIG!$B$5,"BAJO","OK"))))</f>
        <v/>
      </c>
    </row>
    <row r="380" ht="15.75" hidden="1" customHeight="1">
      <c r="A380" s="90" t="str">
        <f>IF(CLIENTES!A5="","",CLIENTES!A5)</f>
        <v>Bravos</v>
      </c>
      <c r="B380" s="90" t="s">
        <v>321</v>
      </c>
      <c r="C380" s="91" t="s">
        <v>326</v>
      </c>
      <c r="D380" s="109" t="s">
        <v>353</v>
      </c>
      <c r="E380" s="67" t="str">
        <f>COLORES!A18</f>
        <v>P. Rosa</v>
      </c>
      <c r="F380" s="67" t="str">
        <f>COLORES!B18</f>
        <v>CLARO</v>
      </c>
      <c r="G380" s="90" t="s">
        <v>378</v>
      </c>
      <c r="H380" s="100">
        <f>IFERROR(SUMIFS(MOVIMIENTOS_COMPLEMENTOS!$I$4:$I$803,MOVIMIENTOS_COMPLEMENTOS!$C$4:$C$803,A380,MOVIMIENTOS_COMPLEMENTOS!$D$4:$D$803,B380,MOVIMIENTOS_COMPLEMENTOS!$E$4:$E$803,C380,MOVIMIENTOS_COMPLEMENTOS!$G$4:$G$803,E380,MOVIMIENTOS_COMPLEMENTOS!$H$4:$H$803,G380,MOVIMIENTOS_COMPLEMENTOS!$B$4:$B$803,"INGRESO")+SUMIFS(MOVIMIENTOS_COMPLEMENTOS!$I$4:$I$803,MOVIMIENTOS_COMPLEMENTOS!$C$4:$C$803,A380,MOVIMIENTOS_COMPLEMENTOS!$D$4:$D$803,B380,MOVIMIENTOS_COMPLEMENTOS!$E$4:$E$803,C380,MOVIMIENTOS_COMPLEMENTOS!$G$4:$G$803,E380,MOVIMIENTOS_COMPLEMENTOS!$H$4:$H$803,G380,MOVIMIENTOS_COMPLEMENTOS!$B$4:$B$803,"DE CORTE")-SUMIFS(MOVIMIENTOS_COMPLEMENTOS!$I$4:$I$803,MOVIMIENTOS_COMPLEMENTOS!$C$4:$C$803,A380,MOVIMIENTOS_COMPLEMENTOS!$D$4:$D$803,B380,MOVIMIENTOS_COMPLEMENTOS!$E$4:$E$803,C380,MOVIMIENTOS_COMPLEMENTOS!$G$4:$G$803,E380,MOVIMIENTOS_COMPLEMENTOS!$H$4:$H$803,G380,MOVIMIENTOS_COMPLEMENTOS!$B$4:$B$803,"SALIDA"),0)</f>
        <v>0</v>
      </c>
      <c r="I380" s="102">
        <f t="array" ref="I380">IFERROR(INDEX(PRECIOS_COMPLEMENTOS!$C$4:$F$17,MATCH(B380&amp;"_"&amp;C380,PRECIOS_COMPLEMENTOS!$H$4:$H$17,0),IF(OR(G380="S",G380="20cm"),1,IF(OR(G380="M",G380="25cm"),2,IF(OR(G380="L",G380="30cm"),3,IF(OR(G380="XL",G380="35cm"),4,0))))),0)</f>
        <v>0.4</v>
      </c>
      <c r="J380" s="103">
        <f t="shared" si="1"/>
        <v>0</v>
      </c>
      <c r="K380" s="104" t="str">
        <f>IF(H380&lt;0,"ERROR",IF(H380=0,"",IF(H380&lt;CONFIG!$B$4,"CRÍTICO",IF(H380&lt;CONFIG!$B$5,"BAJO","OK"))))</f>
        <v/>
      </c>
    </row>
    <row r="381" ht="15.75" hidden="1" customHeight="1">
      <c r="A381" s="90" t="str">
        <f>IF(CLIENTES!A5="","",CLIENTES!A5)</f>
        <v>Bravos</v>
      </c>
      <c r="B381" s="90" t="s">
        <v>321</v>
      </c>
      <c r="C381" s="91" t="s">
        <v>326</v>
      </c>
      <c r="D381" s="109" t="s">
        <v>353</v>
      </c>
      <c r="E381" s="67" t="str">
        <f>COLORES!A18</f>
        <v>P. Rosa</v>
      </c>
      <c r="F381" s="67" t="str">
        <f>COLORES!B18</f>
        <v>CLARO</v>
      </c>
      <c r="G381" s="90" t="s">
        <v>376</v>
      </c>
      <c r="H381" s="100">
        <f>IFERROR(SUMIFS(MOVIMIENTOS_COMPLEMENTOS!$I$4:$I$803,MOVIMIENTOS_COMPLEMENTOS!$C$4:$C$803,A381,MOVIMIENTOS_COMPLEMENTOS!$D$4:$D$803,B381,MOVIMIENTOS_COMPLEMENTOS!$E$4:$E$803,C381,MOVIMIENTOS_COMPLEMENTOS!$G$4:$G$803,E381,MOVIMIENTOS_COMPLEMENTOS!$H$4:$H$803,G381,MOVIMIENTOS_COMPLEMENTOS!$B$4:$B$803,"INGRESO")+SUMIFS(MOVIMIENTOS_COMPLEMENTOS!$I$4:$I$803,MOVIMIENTOS_COMPLEMENTOS!$C$4:$C$803,A381,MOVIMIENTOS_COMPLEMENTOS!$D$4:$D$803,B381,MOVIMIENTOS_COMPLEMENTOS!$E$4:$E$803,C381,MOVIMIENTOS_COMPLEMENTOS!$G$4:$G$803,E381,MOVIMIENTOS_COMPLEMENTOS!$H$4:$H$803,G381,MOVIMIENTOS_COMPLEMENTOS!$B$4:$B$803,"DE CORTE")-SUMIFS(MOVIMIENTOS_COMPLEMENTOS!$I$4:$I$803,MOVIMIENTOS_COMPLEMENTOS!$C$4:$C$803,A381,MOVIMIENTOS_COMPLEMENTOS!$D$4:$D$803,B381,MOVIMIENTOS_COMPLEMENTOS!$E$4:$E$803,C381,MOVIMIENTOS_COMPLEMENTOS!$G$4:$G$803,E381,MOVIMIENTOS_COMPLEMENTOS!$H$4:$H$803,G381,MOVIMIENTOS_COMPLEMENTOS!$B$4:$B$803,"SALIDA"),0)</f>
        <v>0</v>
      </c>
      <c r="I381" s="102">
        <f t="array" ref="I381">IFERROR(INDEX(PRECIOS_COMPLEMENTOS!$C$4:$F$17,MATCH(B381&amp;"_"&amp;C381,PRECIOS_COMPLEMENTOS!$H$4:$H$17,0),IF(OR(G381="S",G381="20cm"),1,IF(OR(G381="M",G381="25cm"),2,IF(OR(G381="L",G381="30cm"),3,IF(OR(G381="XL",G381="35cm"),4,0))))),0)</f>
        <v>0.45</v>
      </c>
      <c r="J381" s="103">
        <f t="shared" si="1"/>
        <v>0</v>
      </c>
      <c r="K381" s="104" t="str">
        <f>IF(H381&lt;0,"ERROR",IF(H381=0,"",IF(H381&lt;CONFIG!$B$4,"CRÍTICO",IF(H381&lt;CONFIG!$B$5,"BAJO","OK"))))</f>
        <v/>
      </c>
    </row>
    <row r="382" ht="15.75" hidden="1" customHeight="1">
      <c r="A382" s="90" t="str">
        <f>IF(CLIENTES!A5="","",CLIENTES!A5)</f>
        <v>Bravos</v>
      </c>
      <c r="B382" s="90" t="s">
        <v>321</v>
      </c>
      <c r="C382" s="91" t="s">
        <v>326</v>
      </c>
      <c r="D382" s="109" t="s">
        <v>353</v>
      </c>
      <c r="E382" s="67" t="str">
        <f>COLORES!A18</f>
        <v>P. Rosa</v>
      </c>
      <c r="F382" s="67" t="str">
        <f>COLORES!B18</f>
        <v>CLARO</v>
      </c>
      <c r="G382" s="90" t="s">
        <v>377</v>
      </c>
      <c r="H382" s="100">
        <f>IFERROR(SUMIFS(MOVIMIENTOS_COMPLEMENTOS!$I$4:$I$803,MOVIMIENTOS_COMPLEMENTOS!$C$4:$C$803,A382,MOVIMIENTOS_COMPLEMENTOS!$D$4:$D$803,B382,MOVIMIENTOS_COMPLEMENTOS!$E$4:$E$803,C382,MOVIMIENTOS_COMPLEMENTOS!$G$4:$G$803,E382,MOVIMIENTOS_COMPLEMENTOS!$H$4:$H$803,G382,MOVIMIENTOS_COMPLEMENTOS!$B$4:$B$803,"INGRESO")+SUMIFS(MOVIMIENTOS_COMPLEMENTOS!$I$4:$I$803,MOVIMIENTOS_COMPLEMENTOS!$C$4:$C$803,A382,MOVIMIENTOS_COMPLEMENTOS!$D$4:$D$803,B382,MOVIMIENTOS_COMPLEMENTOS!$E$4:$E$803,C382,MOVIMIENTOS_COMPLEMENTOS!$G$4:$G$803,E382,MOVIMIENTOS_COMPLEMENTOS!$H$4:$H$803,G382,MOVIMIENTOS_COMPLEMENTOS!$B$4:$B$803,"DE CORTE")-SUMIFS(MOVIMIENTOS_COMPLEMENTOS!$I$4:$I$803,MOVIMIENTOS_COMPLEMENTOS!$C$4:$C$803,A382,MOVIMIENTOS_COMPLEMENTOS!$D$4:$D$803,B382,MOVIMIENTOS_COMPLEMENTOS!$E$4:$E$803,C382,MOVIMIENTOS_COMPLEMENTOS!$G$4:$G$803,E382,MOVIMIENTOS_COMPLEMENTOS!$H$4:$H$803,G382,MOVIMIENTOS_COMPLEMENTOS!$B$4:$B$803,"SALIDA"),0)</f>
        <v>0</v>
      </c>
      <c r="I382" s="102">
        <f t="array" ref="I382">IFERROR(INDEX(PRECIOS_COMPLEMENTOS!$C$4:$F$17,MATCH(B382&amp;"_"&amp;C382,PRECIOS_COMPLEMENTOS!$H$4:$H$17,0),IF(OR(G382="S",G382="20cm"),1,IF(OR(G382="M",G382="25cm"),2,IF(OR(G382="L",G382="30cm"),3,IF(OR(G382="XL",G382="35cm"),4,0))))),0)</f>
        <v>0.5</v>
      </c>
      <c r="J382" s="103">
        <f t="shared" si="1"/>
        <v>0</v>
      </c>
      <c r="K382" s="104" t="str">
        <f>IF(H382&lt;0,"ERROR",IF(H382=0,"",IF(H382&lt;CONFIG!$B$4,"CRÍTICO",IF(H382&lt;CONFIG!$B$5,"BAJO","OK"))))</f>
        <v/>
      </c>
    </row>
    <row r="383" ht="15.75" hidden="1" customHeight="1">
      <c r="A383" s="90" t="str">
        <f>IF(CLIENTES!A5="","",CLIENTES!A5)</f>
        <v>Bravos</v>
      </c>
      <c r="B383" s="90" t="s">
        <v>321</v>
      </c>
      <c r="C383" s="91" t="s">
        <v>326</v>
      </c>
      <c r="D383" s="109" t="s">
        <v>353</v>
      </c>
      <c r="E383" s="67" t="str">
        <f>COLORES!A18</f>
        <v>P. Rosa</v>
      </c>
      <c r="F383" s="67" t="str">
        <f>COLORES!B18</f>
        <v>CLARO</v>
      </c>
      <c r="G383" s="90" t="s">
        <v>379</v>
      </c>
      <c r="H383" s="100">
        <f>IFERROR(SUMIFS(MOVIMIENTOS_COMPLEMENTOS!$I$4:$I$803,MOVIMIENTOS_COMPLEMENTOS!$C$4:$C$803,A383,MOVIMIENTOS_COMPLEMENTOS!$D$4:$D$803,B383,MOVIMIENTOS_COMPLEMENTOS!$E$4:$E$803,C383,MOVIMIENTOS_COMPLEMENTOS!$G$4:$G$803,E383,MOVIMIENTOS_COMPLEMENTOS!$H$4:$H$803,G383,MOVIMIENTOS_COMPLEMENTOS!$B$4:$B$803,"INGRESO")+SUMIFS(MOVIMIENTOS_COMPLEMENTOS!$I$4:$I$803,MOVIMIENTOS_COMPLEMENTOS!$C$4:$C$803,A383,MOVIMIENTOS_COMPLEMENTOS!$D$4:$D$803,B383,MOVIMIENTOS_COMPLEMENTOS!$E$4:$E$803,C383,MOVIMIENTOS_COMPLEMENTOS!$G$4:$G$803,E383,MOVIMIENTOS_COMPLEMENTOS!$H$4:$H$803,G383,MOVIMIENTOS_COMPLEMENTOS!$B$4:$B$803,"DE CORTE")-SUMIFS(MOVIMIENTOS_COMPLEMENTOS!$I$4:$I$803,MOVIMIENTOS_COMPLEMENTOS!$C$4:$C$803,A383,MOVIMIENTOS_COMPLEMENTOS!$D$4:$D$803,B383,MOVIMIENTOS_COMPLEMENTOS!$E$4:$E$803,C383,MOVIMIENTOS_COMPLEMENTOS!$G$4:$G$803,E383,MOVIMIENTOS_COMPLEMENTOS!$H$4:$H$803,G383,MOVIMIENTOS_COMPLEMENTOS!$B$4:$B$803,"SALIDA"),0)</f>
        <v>0</v>
      </c>
      <c r="I383" s="102">
        <f t="array" ref="I383">IFERROR(INDEX(PRECIOS_COMPLEMENTOS!$C$4:$F$17,MATCH(B383&amp;"_"&amp;C383,PRECIOS_COMPLEMENTOS!$H$4:$H$17,0),IF(OR(G383="S",G383="20cm"),1,IF(OR(G383="M",G383="25cm"),2,IF(OR(G383="L",G383="30cm"),3,IF(OR(G383="XL",G383="35cm"),4,0))))),0)</f>
        <v>0.55</v>
      </c>
      <c r="J383" s="103">
        <f t="shared" si="1"/>
        <v>0</v>
      </c>
      <c r="K383" s="104" t="str">
        <f>IF(H383&lt;0,"ERROR",IF(H383=0,"",IF(H383&lt;CONFIG!$B$4,"CRÍTICO",IF(H383&lt;CONFIG!$B$5,"BAJO","OK"))))</f>
        <v/>
      </c>
    </row>
    <row r="384" ht="15.75" hidden="1" customHeight="1">
      <c r="A384" s="90" t="str">
        <f>IF(CLIENTES!A5="","",CLIENTES!A5)</f>
        <v>Bravos</v>
      </c>
      <c r="B384" s="90" t="s">
        <v>321</v>
      </c>
      <c r="C384" s="91" t="s">
        <v>326</v>
      </c>
      <c r="D384" s="109" t="s">
        <v>353</v>
      </c>
      <c r="E384" s="67" t="str">
        <f>COLORES!A19</f>
        <v/>
      </c>
      <c r="F384" s="67" t="str">
        <f>COLORES!B19</f>
        <v/>
      </c>
      <c r="G384" s="90" t="s">
        <v>378</v>
      </c>
      <c r="H384" s="100">
        <f>IFERROR(SUMIFS(MOVIMIENTOS_COMPLEMENTOS!$I$4:$I$803,MOVIMIENTOS_COMPLEMENTOS!$C$4:$C$803,A384,MOVIMIENTOS_COMPLEMENTOS!$D$4:$D$803,B384,MOVIMIENTOS_COMPLEMENTOS!$E$4:$E$803,C384,MOVIMIENTOS_COMPLEMENTOS!$G$4:$G$803,E384,MOVIMIENTOS_COMPLEMENTOS!$H$4:$H$803,G384,MOVIMIENTOS_COMPLEMENTOS!$B$4:$B$803,"INGRESO")+SUMIFS(MOVIMIENTOS_COMPLEMENTOS!$I$4:$I$803,MOVIMIENTOS_COMPLEMENTOS!$C$4:$C$803,A384,MOVIMIENTOS_COMPLEMENTOS!$D$4:$D$803,B384,MOVIMIENTOS_COMPLEMENTOS!$E$4:$E$803,C384,MOVIMIENTOS_COMPLEMENTOS!$G$4:$G$803,E384,MOVIMIENTOS_COMPLEMENTOS!$H$4:$H$803,G384,MOVIMIENTOS_COMPLEMENTOS!$B$4:$B$803,"DE CORTE")-SUMIFS(MOVIMIENTOS_COMPLEMENTOS!$I$4:$I$803,MOVIMIENTOS_COMPLEMENTOS!$C$4:$C$803,A384,MOVIMIENTOS_COMPLEMENTOS!$D$4:$D$803,B384,MOVIMIENTOS_COMPLEMENTOS!$E$4:$E$803,C384,MOVIMIENTOS_COMPLEMENTOS!$G$4:$G$803,E384,MOVIMIENTOS_COMPLEMENTOS!$H$4:$H$803,G384,MOVIMIENTOS_COMPLEMENTOS!$B$4:$B$803,"SALIDA"),0)</f>
        <v>0</v>
      </c>
      <c r="I384" s="102">
        <f t="array" ref="I384">IFERROR(INDEX(PRECIOS_COMPLEMENTOS!$C$4:$F$17,MATCH(B384&amp;"_"&amp;C384,PRECIOS_COMPLEMENTOS!$H$4:$H$17,0),IF(OR(G384="S",G384="20cm"),1,IF(OR(G384="M",G384="25cm"),2,IF(OR(G384="L",G384="30cm"),3,IF(OR(G384="XL",G384="35cm"),4,0))))),0)</f>
        <v>0.4</v>
      </c>
      <c r="J384" s="103">
        <f t="shared" si="1"/>
        <v>0</v>
      </c>
      <c r="K384" s="104" t="str">
        <f>IF(H384&lt;0,"ERROR",IF(H384=0,"",IF(H384&lt;CONFIG!$B$4,"CRÍTICO",IF(H384&lt;CONFIG!$B$5,"BAJO","OK"))))</f>
        <v/>
      </c>
    </row>
    <row r="385" ht="15.75" hidden="1" customHeight="1">
      <c r="A385" s="90" t="str">
        <f>IF(CLIENTES!A5="","",CLIENTES!A5)</f>
        <v>Bravos</v>
      </c>
      <c r="B385" s="90" t="s">
        <v>321</v>
      </c>
      <c r="C385" s="91" t="s">
        <v>326</v>
      </c>
      <c r="D385" s="109" t="s">
        <v>353</v>
      </c>
      <c r="E385" s="67" t="str">
        <f>COLORES!A19</f>
        <v/>
      </c>
      <c r="F385" s="67" t="str">
        <f>COLORES!B19</f>
        <v/>
      </c>
      <c r="G385" s="90" t="s">
        <v>376</v>
      </c>
      <c r="H385" s="100">
        <f>IFERROR(SUMIFS(MOVIMIENTOS_COMPLEMENTOS!$I$4:$I$803,MOVIMIENTOS_COMPLEMENTOS!$C$4:$C$803,A385,MOVIMIENTOS_COMPLEMENTOS!$D$4:$D$803,B385,MOVIMIENTOS_COMPLEMENTOS!$E$4:$E$803,C385,MOVIMIENTOS_COMPLEMENTOS!$G$4:$G$803,E385,MOVIMIENTOS_COMPLEMENTOS!$H$4:$H$803,G385,MOVIMIENTOS_COMPLEMENTOS!$B$4:$B$803,"INGRESO")+SUMIFS(MOVIMIENTOS_COMPLEMENTOS!$I$4:$I$803,MOVIMIENTOS_COMPLEMENTOS!$C$4:$C$803,A385,MOVIMIENTOS_COMPLEMENTOS!$D$4:$D$803,B385,MOVIMIENTOS_COMPLEMENTOS!$E$4:$E$803,C385,MOVIMIENTOS_COMPLEMENTOS!$G$4:$G$803,E385,MOVIMIENTOS_COMPLEMENTOS!$H$4:$H$803,G385,MOVIMIENTOS_COMPLEMENTOS!$B$4:$B$803,"DE CORTE")-SUMIFS(MOVIMIENTOS_COMPLEMENTOS!$I$4:$I$803,MOVIMIENTOS_COMPLEMENTOS!$C$4:$C$803,A385,MOVIMIENTOS_COMPLEMENTOS!$D$4:$D$803,B385,MOVIMIENTOS_COMPLEMENTOS!$E$4:$E$803,C385,MOVIMIENTOS_COMPLEMENTOS!$G$4:$G$803,E385,MOVIMIENTOS_COMPLEMENTOS!$H$4:$H$803,G385,MOVIMIENTOS_COMPLEMENTOS!$B$4:$B$803,"SALIDA"),0)</f>
        <v>0</v>
      </c>
      <c r="I385" s="102">
        <f t="array" ref="I385">IFERROR(INDEX(PRECIOS_COMPLEMENTOS!$C$4:$F$17,MATCH(B385&amp;"_"&amp;C385,PRECIOS_COMPLEMENTOS!$H$4:$H$17,0),IF(OR(G385="S",G385="20cm"),1,IF(OR(G385="M",G385="25cm"),2,IF(OR(G385="L",G385="30cm"),3,IF(OR(G385="XL",G385="35cm"),4,0))))),0)</f>
        <v>0.45</v>
      </c>
      <c r="J385" s="103">
        <f t="shared" si="1"/>
        <v>0</v>
      </c>
      <c r="K385" s="104" t="str">
        <f>IF(H385&lt;0,"ERROR",IF(H385=0,"",IF(H385&lt;CONFIG!$B$4,"CRÍTICO",IF(H385&lt;CONFIG!$B$5,"BAJO","OK"))))</f>
        <v/>
      </c>
    </row>
    <row r="386" ht="15.75" hidden="1" customHeight="1">
      <c r="A386" s="90" t="str">
        <f>IF(CLIENTES!A5="","",CLIENTES!A5)</f>
        <v>Bravos</v>
      </c>
      <c r="B386" s="90" t="s">
        <v>321</v>
      </c>
      <c r="C386" s="91" t="s">
        <v>326</v>
      </c>
      <c r="D386" s="109" t="s">
        <v>353</v>
      </c>
      <c r="E386" s="67" t="str">
        <f>COLORES!A19</f>
        <v/>
      </c>
      <c r="F386" s="67" t="str">
        <f>COLORES!B19</f>
        <v/>
      </c>
      <c r="G386" s="90" t="s">
        <v>377</v>
      </c>
      <c r="H386" s="100">
        <f>IFERROR(SUMIFS(MOVIMIENTOS_COMPLEMENTOS!$I$4:$I$803,MOVIMIENTOS_COMPLEMENTOS!$C$4:$C$803,A386,MOVIMIENTOS_COMPLEMENTOS!$D$4:$D$803,B386,MOVIMIENTOS_COMPLEMENTOS!$E$4:$E$803,C386,MOVIMIENTOS_COMPLEMENTOS!$G$4:$G$803,E386,MOVIMIENTOS_COMPLEMENTOS!$H$4:$H$803,G386,MOVIMIENTOS_COMPLEMENTOS!$B$4:$B$803,"INGRESO")+SUMIFS(MOVIMIENTOS_COMPLEMENTOS!$I$4:$I$803,MOVIMIENTOS_COMPLEMENTOS!$C$4:$C$803,A386,MOVIMIENTOS_COMPLEMENTOS!$D$4:$D$803,B386,MOVIMIENTOS_COMPLEMENTOS!$E$4:$E$803,C386,MOVIMIENTOS_COMPLEMENTOS!$G$4:$G$803,E386,MOVIMIENTOS_COMPLEMENTOS!$H$4:$H$803,G386,MOVIMIENTOS_COMPLEMENTOS!$B$4:$B$803,"DE CORTE")-SUMIFS(MOVIMIENTOS_COMPLEMENTOS!$I$4:$I$803,MOVIMIENTOS_COMPLEMENTOS!$C$4:$C$803,A386,MOVIMIENTOS_COMPLEMENTOS!$D$4:$D$803,B386,MOVIMIENTOS_COMPLEMENTOS!$E$4:$E$803,C386,MOVIMIENTOS_COMPLEMENTOS!$G$4:$G$803,E386,MOVIMIENTOS_COMPLEMENTOS!$H$4:$H$803,G386,MOVIMIENTOS_COMPLEMENTOS!$B$4:$B$803,"SALIDA"),0)</f>
        <v>0</v>
      </c>
      <c r="I386" s="102">
        <f t="array" ref="I386">IFERROR(INDEX(PRECIOS_COMPLEMENTOS!$C$4:$F$17,MATCH(B386&amp;"_"&amp;C386,PRECIOS_COMPLEMENTOS!$H$4:$H$17,0),IF(OR(G386="S",G386="20cm"),1,IF(OR(G386="M",G386="25cm"),2,IF(OR(G386="L",G386="30cm"),3,IF(OR(G386="XL",G386="35cm"),4,0))))),0)</f>
        <v>0.5</v>
      </c>
      <c r="J386" s="103">
        <f t="shared" si="1"/>
        <v>0</v>
      </c>
      <c r="K386" s="104" t="str">
        <f>IF(H386&lt;0,"ERROR",IF(H386=0,"",IF(H386&lt;CONFIG!$B$4,"CRÍTICO",IF(H386&lt;CONFIG!$B$5,"BAJO","OK"))))</f>
        <v/>
      </c>
    </row>
    <row r="387" ht="15.75" hidden="1" customHeight="1">
      <c r="A387" s="90" t="str">
        <f>IF(CLIENTES!A5="","",CLIENTES!A5)</f>
        <v>Bravos</v>
      </c>
      <c r="B387" s="90" t="s">
        <v>321</v>
      </c>
      <c r="C387" s="91" t="s">
        <v>326</v>
      </c>
      <c r="D387" s="109" t="s">
        <v>353</v>
      </c>
      <c r="E387" s="67" t="str">
        <f>COLORES!A19</f>
        <v/>
      </c>
      <c r="F387" s="67" t="str">
        <f>COLORES!B19</f>
        <v/>
      </c>
      <c r="G387" s="90" t="s">
        <v>379</v>
      </c>
      <c r="H387" s="100">
        <f>IFERROR(SUMIFS(MOVIMIENTOS_COMPLEMENTOS!$I$4:$I$803,MOVIMIENTOS_COMPLEMENTOS!$C$4:$C$803,A387,MOVIMIENTOS_COMPLEMENTOS!$D$4:$D$803,B387,MOVIMIENTOS_COMPLEMENTOS!$E$4:$E$803,C387,MOVIMIENTOS_COMPLEMENTOS!$G$4:$G$803,E387,MOVIMIENTOS_COMPLEMENTOS!$H$4:$H$803,G387,MOVIMIENTOS_COMPLEMENTOS!$B$4:$B$803,"INGRESO")+SUMIFS(MOVIMIENTOS_COMPLEMENTOS!$I$4:$I$803,MOVIMIENTOS_COMPLEMENTOS!$C$4:$C$803,A387,MOVIMIENTOS_COMPLEMENTOS!$D$4:$D$803,B387,MOVIMIENTOS_COMPLEMENTOS!$E$4:$E$803,C387,MOVIMIENTOS_COMPLEMENTOS!$G$4:$G$803,E387,MOVIMIENTOS_COMPLEMENTOS!$H$4:$H$803,G387,MOVIMIENTOS_COMPLEMENTOS!$B$4:$B$803,"DE CORTE")-SUMIFS(MOVIMIENTOS_COMPLEMENTOS!$I$4:$I$803,MOVIMIENTOS_COMPLEMENTOS!$C$4:$C$803,A387,MOVIMIENTOS_COMPLEMENTOS!$D$4:$D$803,B387,MOVIMIENTOS_COMPLEMENTOS!$E$4:$E$803,C387,MOVIMIENTOS_COMPLEMENTOS!$G$4:$G$803,E387,MOVIMIENTOS_COMPLEMENTOS!$H$4:$H$803,G387,MOVIMIENTOS_COMPLEMENTOS!$B$4:$B$803,"SALIDA"),0)</f>
        <v>0</v>
      </c>
      <c r="I387" s="102">
        <f t="array" ref="I387">IFERROR(INDEX(PRECIOS_COMPLEMENTOS!$C$4:$F$17,MATCH(B387&amp;"_"&amp;C387,PRECIOS_COMPLEMENTOS!$H$4:$H$17,0),IF(OR(G387="S",G387="20cm"),1,IF(OR(G387="M",G387="25cm"),2,IF(OR(G387="L",G387="30cm"),3,IF(OR(G387="XL",G387="35cm"),4,0))))),0)</f>
        <v>0.55</v>
      </c>
      <c r="J387" s="103">
        <f t="shared" si="1"/>
        <v>0</v>
      </c>
      <c r="K387" s="104" t="str">
        <f>IF(H387&lt;0,"ERROR",IF(H387=0,"",IF(H387&lt;CONFIG!$B$4,"CRÍTICO",IF(H387&lt;CONFIG!$B$5,"BAJO","OK"))))</f>
        <v/>
      </c>
    </row>
    <row r="388" ht="15.75" hidden="1" customHeight="1">
      <c r="A388" s="90" t="str">
        <f>IF(CLIENTES!A5="","",CLIENTES!A5)</f>
        <v>Bravos</v>
      </c>
      <c r="B388" s="90" t="s">
        <v>321</v>
      </c>
      <c r="C388" s="91" t="s">
        <v>326</v>
      </c>
      <c r="D388" s="109" t="s">
        <v>353</v>
      </c>
      <c r="E388" s="67" t="str">
        <f>COLORES!A20</f>
        <v/>
      </c>
      <c r="F388" s="67" t="str">
        <f>COLORES!B20</f>
        <v/>
      </c>
      <c r="G388" s="90" t="s">
        <v>378</v>
      </c>
      <c r="H388" s="100">
        <f>IFERROR(SUMIFS(MOVIMIENTOS_COMPLEMENTOS!$I$4:$I$803,MOVIMIENTOS_COMPLEMENTOS!$C$4:$C$803,A388,MOVIMIENTOS_COMPLEMENTOS!$D$4:$D$803,B388,MOVIMIENTOS_COMPLEMENTOS!$E$4:$E$803,C388,MOVIMIENTOS_COMPLEMENTOS!$G$4:$G$803,E388,MOVIMIENTOS_COMPLEMENTOS!$H$4:$H$803,G388,MOVIMIENTOS_COMPLEMENTOS!$B$4:$B$803,"INGRESO")+SUMIFS(MOVIMIENTOS_COMPLEMENTOS!$I$4:$I$803,MOVIMIENTOS_COMPLEMENTOS!$C$4:$C$803,A388,MOVIMIENTOS_COMPLEMENTOS!$D$4:$D$803,B388,MOVIMIENTOS_COMPLEMENTOS!$E$4:$E$803,C388,MOVIMIENTOS_COMPLEMENTOS!$G$4:$G$803,E388,MOVIMIENTOS_COMPLEMENTOS!$H$4:$H$803,G388,MOVIMIENTOS_COMPLEMENTOS!$B$4:$B$803,"DE CORTE")-SUMIFS(MOVIMIENTOS_COMPLEMENTOS!$I$4:$I$803,MOVIMIENTOS_COMPLEMENTOS!$C$4:$C$803,A388,MOVIMIENTOS_COMPLEMENTOS!$D$4:$D$803,B388,MOVIMIENTOS_COMPLEMENTOS!$E$4:$E$803,C388,MOVIMIENTOS_COMPLEMENTOS!$G$4:$G$803,E388,MOVIMIENTOS_COMPLEMENTOS!$H$4:$H$803,G388,MOVIMIENTOS_COMPLEMENTOS!$B$4:$B$803,"SALIDA"),0)</f>
        <v>0</v>
      </c>
      <c r="I388" s="102">
        <f t="array" ref="I388">IFERROR(INDEX(PRECIOS_COMPLEMENTOS!$C$4:$F$17,MATCH(B388&amp;"_"&amp;C388,PRECIOS_COMPLEMENTOS!$H$4:$H$17,0),IF(OR(G388="S",G388="20cm"),1,IF(OR(G388="M",G388="25cm"),2,IF(OR(G388="L",G388="30cm"),3,IF(OR(G388="XL",G388="35cm"),4,0))))),0)</f>
        <v>0.4</v>
      </c>
      <c r="J388" s="103">
        <f t="shared" si="1"/>
        <v>0</v>
      </c>
      <c r="K388" s="104" t="str">
        <f>IF(H388&lt;0,"ERROR",IF(H388=0,"",IF(H388&lt;CONFIG!$B$4,"CRÍTICO",IF(H388&lt;CONFIG!$B$5,"BAJO","OK"))))</f>
        <v/>
      </c>
    </row>
    <row r="389" ht="15.75" hidden="1" customHeight="1">
      <c r="A389" s="90" t="str">
        <f>IF(CLIENTES!A5="","",CLIENTES!A5)</f>
        <v>Bravos</v>
      </c>
      <c r="B389" s="90" t="s">
        <v>321</v>
      </c>
      <c r="C389" s="91" t="s">
        <v>326</v>
      </c>
      <c r="D389" s="109" t="s">
        <v>353</v>
      </c>
      <c r="E389" s="67" t="str">
        <f>COLORES!A20</f>
        <v/>
      </c>
      <c r="F389" s="67" t="str">
        <f>COLORES!B20</f>
        <v/>
      </c>
      <c r="G389" s="90" t="s">
        <v>376</v>
      </c>
      <c r="H389" s="100">
        <f>IFERROR(SUMIFS(MOVIMIENTOS_COMPLEMENTOS!$I$4:$I$803,MOVIMIENTOS_COMPLEMENTOS!$C$4:$C$803,A389,MOVIMIENTOS_COMPLEMENTOS!$D$4:$D$803,B389,MOVIMIENTOS_COMPLEMENTOS!$E$4:$E$803,C389,MOVIMIENTOS_COMPLEMENTOS!$G$4:$G$803,E389,MOVIMIENTOS_COMPLEMENTOS!$H$4:$H$803,G389,MOVIMIENTOS_COMPLEMENTOS!$B$4:$B$803,"INGRESO")+SUMIFS(MOVIMIENTOS_COMPLEMENTOS!$I$4:$I$803,MOVIMIENTOS_COMPLEMENTOS!$C$4:$C$803,A389,MOVIMIENTOS_COMPLEMENTOS!$D$4:$D$803,B389,MOVIMIENTOS_COMPLEMENTOS!$E$4:$E$803,C389,MOVIMIENTOS_COMPLEMENTOS!$G$4:$G$803,E389,MOVIMIENTOS_COMPLEMENTOS!$H$4:$H$803,G389,MOVIMIENTOS_COMPLEMENTOS!$B$4:$B$803,"DE CORTE")-SUMIFS(MOVIMIENTOS_COMPLEMENTOS!$I$4:$I$803,MOVIMIENTOS_COMPLEMENTOS!$C$4:$C$803,A389,MOVIMIENTOS_COMPLEMENTOS!$D$4:$D$803,B389,MOVIMIENTOS_COMPLEMENTOS!$E$4:$E$803,C389,MOVIMIENTOS_COMPLEMENTOS!$G$4:$G$803,E389,MOVIMIENTOS_COMPLEMENTOS!$H$4:$H$803,G389,MOVIMIENTOS_COMPLEMENTOS!$B$4:$B$803,"SALIDA"),0)</f>
        <v>0</v>
      </c>
      <c r="I389" s="102">
        <f t="array" ref="I389">IFERROR(INDEX(PRECIOS_COMPLEMENTOS!$C$4:$F$17,MATCH(B389&amp;"_"&amp;C389,PRECIOS_COMPLEMENTOS!$H$4:$H$17,0),IF(OR(G389="S",G389="20cm"),1,IF(OR(G389="M",G389="25cm"),2,IF(OR(G389="L",G389="30cm"),3,IF(OR(G389="XL",G389="35cm"),4,0))))),0)</f>
        <v>0.45</v>
      </c>
      <c r="J389" s="103">
        <f t="shared" si="1"/>
        <v>0</v>
      </c>
      <c r="K389" s="104" t="str">
        <f>IF(H389&lt;0,"ERROR",IF(H389=0,"",IF(H389&lt;CONFIG!$B$4,"CRÍTICO",IF(H389&lt;CONFIG!$B$5,"BAJO","OK"))))</f>
        <v/>
      </c>
    </row>
    <row r="390" ht="15.75" hidden="1" customHeight="1">
      <c r="A390" s="90" t="str">
        <f>IF(CLIENTES!A5="","",CLIENTES!A5)</f>
        <v>Bravos</v>
      </c>
      <c r="B390" s="90" t="s">
        <v>321</v>
      </c>
      <c r="C390" s="91" t="s">
        <v>326</v>
      </c>
      <c r="D390" s="109" t="s">
        <v>353</v>
      </c>
      <c r="E390" s="67" t="str">
        <f>COLORES!A20</f>
        <v/>
      </c>
      <c r="F390" s="67" t="str">
        <f>COLORES!B20</f>
        <v/>
      </c>
      <c r="G390" s="90" t="s">
        <v>377</v>
      </c>
      <c r="H390" s="100">
        <f>IFERROR(SUMIFS(MOVIMIENTOS_COMPLEMENTOS!$I$4:$I$803,MOVIMIENTOS_COMPLEMENTOS!$C$4:$C$803,A390,MOVIMIENTOS_COMPLEMENTOS!$D$4:$D$803,B390,MOVIMIENTOS_COMPLEMENTOS!$E$4:$E$803,C390,MOVIMIENTOS_COMPLEMENTOS!$G$4:$G$803,E390,MOVIMIENTOS_COMPLEMENTOS!$H$4:$H$803,G390,MOVIMIENTOS_COMPLEMENTOS!$B$4:$B$803,"INGRESO")+SUMIFS(MOVIMIENTOS_COMPLEMENTOS!$I$4:$I$803,MOVIMIENTOS_COMPLEMENTOS!$C$4:$C$803,A390,MOVIMIENTOS_COMPLEMENTOS!$D$4:$D$803,B390,MOVIMIENTOS_COMPLEMENTOS!$E$4:$E$803,C390,MOVIMIENTOS_COMPLEMENTOS!$G$4:$G$803,E390,MOVIMIENTOS_COMPLEMENTOS!$H$4:$H$803,G390,MOVIMIENTOS_COMPLEMENTOS!$B$4:$B$803,"DE CORTE")-SUMIFS(MOVIMIENTOS_COMPLEMENTOS!$I$4:$I$803,MOVIMIENTOS_COMPLEMENTOS!$C$4:$C$803,A390,MOVIMIENTOS_COMPLEMENTOS!$D$4:$D$803,B390,MOVIMIENTOS_COMPLEMENTOS!$E$4:$E$803,C390,MOVIMIENTOS_COMPLEMENTOS!$G$4:$G$803,E390,MOVIMIENTOS_COMPLEMENTOS!$H$4:$H$803,G390,MOVIMIENTOS_COMPLEMENTOS!$B$4:$B$803,"SALIDA"),0)</f>
        <v>0</v>
      </c>
      <c r="I390" s="102">
        <f t="array" ref="I390">IFERROR(INDEX(PRECIOS_COMPLEMENTOS!$C$4:$F$17,MATCH(B390&amp;"_"&amp;C390,PRECIOS_COMPLEMENTOS!$H$4:$H$17,0),IF(OR(G390="S",G390="20cm"),1,IF(OR(G390="M",G390="25cm"),2,IF(OR(G390="L",G390="30cm"),3,IF(OR(G390="XL",G390="35cm"),4,0))))),0)</f>
        <v>0.5</v>
      </c>
      <c r="J390" s="103">
        <f t="shared" si="1"/>
        <v>0</v>
      </c>
      <c r="K390" s="104" t="str">
        <f>IF(H390&lt;0,"ERROR",IF(H390=0,"",IF(H390&lt;CONFIG!$B$4,"CRÍTICO",IF(H390&lt;CONFIG!$B$5,"BAJO","OK"))))</f>
        <v/>
      </c>
    </row>
    <row r="391" ht="15.75" hidden="1" customHeight="1">
      <c r="A391" s="90" t="str">
        <f>IF(CLIENTES!A5="","",CLIENTES!A5)</f>
        <v>Bravos</v>
      </c>
      <c r="B391" s="90" t="s">
        <v>321</v>
      </c>
      <c r="C391" s="91" t="s">
        <v>326</v>
      </c>
      <c r="D391" s="109" t="s">
        <v>353</v>
      </c>
      <c r="E391" s="67" t="str">
        <f>COLORES!A20</f>
        <v/>
      </c>
      <c r="F391" s="67" t="str">
        <f>COLORES!B20</f>
        <v/>
      </c>
      <c r="G391" s="90" t="s">
        <v>379</v>
      </c>
      <c r="H391" s="100">
        <f>IFERROR(SUMIFS(MOVIMIENTOS_COMPLEMENTOS!$I$4:$I$803,MOVIMIENTOS_COMPLEMENTOS!$C$4:$C$803,A391,MOVIMIENTOS_COMPLEMENTOS!$D$4:$D$803,B391,MOVIMIENTOS_COMPLEMENTOS!$E$4:$E$803,C391,MOVIMIENTOS_COMPLEMENTOS!$G$4:$G$803,E391,MOVIMIENTOS_COMPLEMENTOS!$H$4:$H$803,G391,MOVIMIENTOS_COMPLEMENTOS!$B$4:$B$803,"INGRESO")+SUMIFS(MOVIMIENTOS_COMPLEMENTOS!$I$4:$I$803,MOVIMIENTOS_COMPLEMENTOS!$C$4:$C$803,A391,MOVIMIENTOS_COMPLEMENTOS!$D$4:$D$803,B391,MOVIMIENTOS_COMPLEMENTOS!$E$4:$E$803,C391,MOVIMIENTOS_COMPLEMENTOS!$G$4:$G$803,E391,MOVIMIENTOS_COMPLEMENTOS!$H$4:$H$803,G391,MOVIMIENTOS_COMPLEMENTOS!$B$4:$B$803,"DE CORTE")-SUMIFS(MOVIMIENTOS_COMPLEMENTOS!$I$4:$I$803,MOVIMIENTOS_COMPLEMENTOS!$C$4:$C$803,A391,MOVIMIENTOS_COMPLEMENTOS!$D$4:$D$803,B391,MOVIMIENTOS_COMPLEMENTOS!$E$4:$E$803,C391,MOVIMIENTOS_COMPLEMENTOS!$G$4:$G$803,E391,MOVIMIENTOS_COMPLEMENTOS!$H$4:$H$803,G391,MOVIMIENTOS_COMPLEMENTOS!$B$4:$B$803,"SALIDA"),0)</f>
        <v>0</v>
      </c>
      <c r="I391" s="102">
        <f t="array" ref="I391">IFERROR(INDEX(PRECIOS_COMPLEMENTOS!$C$4:$F$17,MATCH(B391&amp;"_"&amp;C391,PRECIOS_COMPLEMENTOS!$H$4:$H$17,0),IF(OR(G391="S",G391="20cm"),1,IF(OR(G391="M",G391="25cm"),2,IF(OR(G391="L",G391="30cm"),3,IF(OR(G391="XL",G391="35cm"),4,0))))),0)</f>
        <v>0.55</v>
      </c>
      <c r="J391" s="103">
        <f t="shared" si="1"/>
        <v>0</v>
      </c>
      <c r="K391" s="104" t="str">
        <f>IF(H391&lt;0,"ERROR",IF(H391=0,"",IF(H391&lt;CONFIG!$B$4,"CRÍTICO",IF(H391&lt;CONFIG!$B$5,"BAJO","OK"))))</f>
        <v/>
      </c>
    </row>
    <row r="392" ht="15.75" hidden="1" customHeight="1">
      <c r="A392" s="90" t="str">
        <f>IF(CLIENTES!A5="","",CLIENTES!A5)</f>
        <v>Bravos</v>
      </c>
      <c r="B392" s="90" t="s">
        <v>321</v>
      </c>
      <c r="C392" s="91" t="s">
        <v>326</v>
      </c>
      <c r="D392" s="109" t="s">
        <v>353</v>
      </c>
      <c r="E392" s="67" t="str">
        <f>COLORES!A21</f>
        <v/>
      </c>
      <c r="F392" s="67" t="str">
        <f>COLORES!B21</f>
        <v/>
      </c>
      <c r="G392" s="90" t="s">
        <v>378</v>
      </c>
      <c r="H392" s="100">
        <f>IFERROR(SUMIFS(MOVIMIENTOS_COMPLEMENTOS!$I$4:$I$803,MOVIMIENTOS_COMPLEMENTOS!$C$4:$C$803,A392,MOVIMIENTOS_COMPLEMENTOS!$D$4:$D$803,B392,MOVIMIENTOS_COMPLEMENTOS!$E$4:$E$803,C392,MOVIMIENTOS_COMPLEMENTOS!$G$4:$G$803,E392,MOVIMIENTOS_COMPLEMENTOS!$H$4:$H$803,G392,MOVIMIENTOS_COMPLEMENTOS!$B$4:$B$803,"INGRESO")+SUMIFS(MOVIMIENTOS_COMPLEMENTOS!$I$4:$I$803,MOVIMIENTOS_COMPLEMENTOS!$C$4:$C$803,A392,MOVIMIENTOS_COMPLEMENTOS!$D$4:$D$803,B392,MOVIMIENTOS_COMPLEMENTOS!$E$4:$E$803,C392,MOVIMIENTOS_COMPLEMENTOS!$G$4:$G$803,E392,MOVIMIENTOS_COMPLEMENTOS!$H$4:$H$803,G392,MOVIMIENTOS_COMPLEMENTOS!$B$4:$B$803,"DE CORTE")-SUMIFS(MOVIMIENTOS_COMPLEMENTOS!$I$4:$I$803,MOVIMIENTOS_COMPLEMENTOS!$C$4:$C$803,A392,MOVIMIENTOS_COMPLEMENTOS!$D$4:$D$803,B392,MOVIMIENTOS_COMPLEMENTOS!$E$4:$E$803,C392,MOVIMIENTOS_COMPLEMENTOS!$G$4:$G$803,E392,MOVIMIENTOS_COMPLEMENTOS!$H$4:$H$803,G392,MOVIMIENTOS_COMPLEMENTOS!$B$4:$B$803,"SALIDA"),0)</f>
        <v>0</v>
      </c>
      <c r="I392" s="102">
        <f t="array" ref="I392">IFERROR(INDEX(PRECIOS_COMPLEMENTOS!$C$4:$F$17,MATCH(B392&amp;"_"&amp;C392,PRECIOS_COMPLEMENTOS!$H$4:$H$17,0),IF(OR(G392="S",G392="20cm"),1,IF(OR(G392="M",G392="25cm"),2,IF(OR(G392="L",G392="30cm"),3,IF(OR(G392="XL",G392="35cm"),4,0))))),0)</f>
        <v>0.4</v>
      </c>
      <c r="J392" s="103">
        <f t="shared" si="1"/>
        <v>0</v>
      </c>
      <c r="K392" s="104" t="str">
        <f>IF(H392&lt;0,"ERROR",IF(H392=0,"",IF(H392&lt;CONFIG!$B$4,"CRÍTICO",IF(H392&lt;CONFIG!$B$5,"BAJO","OK"))))</f>
        <v/>
      </c>
    </row>
    <row r="393" ht="15.75" hidden="1" customHeight="1">
      <c r="A393" s="90" t="str">
        <f>IF(CLIENTES!A5="","",CLIENTES!A5)</f>
        <v>Bravos</v>
      </c>
      <c r="B393" s="90" t="s">
        <v>321</v>
      </c>
      <c r="C393" s="91" t="s">
        <v>326</v>
      </c>
      <c r="D393" s="109" t="s">
        <v>353</v>
      </c>
      <c r="E393" s="67" t="str">
        <f>COLORES!A21</f>
        <v/>
      </c>
      <c r="F393" s="67" t="str">
        <f>COLORES!B21</f>
        <v/>
      </c>
      <c r="G393" s="90" t="s">
        <v>376</v>
      </c>
      <c r="H393" s="100">
        <f>IFERROR(SUMIFS(MOVIMIENTOS_COMPLEMENTOS!$I$4:$I$803,MOVIMIENTOS_COMPLEMENTOS!$C$4:$C$803,A393,MOVIMIENTOS_COMPLEMENTOS!$D$4:$D$803,B393,MOVIMIENTOS_COMPLEMENTOS!$E$4:$E$803,C393,MOVIMIENTOS_COMPLEMENTOS!$G$4:$G$803,E393,MOVIMIENTOS_COMPLEMENTOS!$H$4:$H$803,G393,MOVIMIENTOS_COMPLEMENTOS!$B$4:$B$803,"INGRESO")+SUMIFS(MOVIMIENTOS_COMPLEMENTOS!$I$4:$I$803,MOVIMIENTOS_COMPLEMENTOS!$C$4:$C$803,A393,MOVIMIENTOS_COMPLEMENTOS!$D$4:$D$803,B393,MOVIMIENTOS_COMPLEMENTOS!$E$4:$E$803,C393,MOVIMIENTOS_COMPLEMENTOS!$G$4:$G$803,E393,MOVIMIENTOS_COMPLEMENTOS!$H$4:$H$803,G393,MOVIMIENTOS_COMPLEMENTOS!$B$4:$B$803,"DE CORTE")-SUMIFS(MOVIMIENTOS_COMPLEMENTOS!$I$4:$I$803,MOVIMIENTOS_COMPLEMENTOS!$C$4:$C$803,A393,MOVIMIENTOS_COMPLEMENTOS!$D$4:$D$803,B393,MOVIMIENTOS_COMPLEMENTOS!$E$4:$E$803,C393,MOVIMIENTOS_COMPLEMENTOS!$G$4:$G$803,E393,MOVIMIENTOS_COMPLEMENTOS!$H$4:$H$803,G393,MOVIMIENTOS_COMPLEMENTOS!$B$4:$B$803,"SALIDA"),0)</f>
        <v>0</v>
      </c>
      <c r="I393" s="102">
        <f t="array" ref="I393">IFERROR(INDEX(PRECIOS_COMPLEMENTOS!$C$4:$F$17,MATCH(B393&amp;"_"&amp;C393,PRECIOS_COMPLEMENTOS!$H$4:$H$17,0),IF(OR(G393="S",G393="20cm"),1,IF(OR(G393="M",G393="25cm"),2,IF(OR(G393="L",G393="30cm"),3,IF(OR(G393="XL",G393="35cm"),4,0))))),0)</f>
        <v>0.45</v>
      </c>
      <c r="J393" s="103">
        <f t="shared" si="1"/>
        <v>0</v>
      </c>
      <c r="K393" s="104" t="str">
        <f>IF(H393&lt;0,"ERROR",IF(H393=0,"",IF(H393&lt;CONFIG!$B$4,"CRÍTICO",IF(H393&lt;CONFIG!$B$5,"BAJO","OK"))))</f>
        <v/>
      </c>
    </row>
    <row r="394" ht="15.75" hidden="1" customHeight="1">
      <c r="A394" s="90" t="str">
        <f>IF(CLIENTES!A5="","",CLIENTES!A5)</f>
        <v>Bravos</v>
      </c>
      <c r="B394" s="90" t="s">
        <v>321</v>
      </c>
      <c r="C394" s="91" t="s">
        <v>326</v>
      </c>
      <c r="D394" s="109" t="s">
        <v>353</v>
      </c>
      <c r="E394" s="67" t="str">
        <f>COLORES!A21</f>
        <v/>
      </c>
      <c r="F394" s="67" t="str">
        <f>COLORES!B21</f>
        <v/>
      </c>
      <c r="G394" s="90" t="s">
        <v>377</v>
      </c>
      <c r="H394" s="100">
        <f>IFERROR(SUMIFS(MOVIMIENTOS_COMPLEMENTOS!$I$4:$I$803,MOVIMIENTOS_COMPLEMENTOS!$C$4:$C$803,A394,MOVIMIENTOS_COMPLEMENTOS!$D$4:$D$803,B394,MOVIMIENTOS_COMPLEMENTOS!$E$4:$E$803,C394,MOVIMIENTOS_COMPLEMENTOS!$G$4:$G$803,E394,MOVIMIENTOS_COMPLEMENTOS!$H$4:$H$803,G394,MOVIMIENTOS_COMPLEMENTOS!$B$4:$B$803,"INGRESO")+SUMIFS(MOVIMIENTOS_COMPLEMENTOS!$I$4:$I$803,MOVIMIENTOS_COMPLEMENTOS!$C$4:$C$803,A394,MOVIMIENTOS_COMPLEMENTOS!$D$4:$D$803,B394,MOVIMIENTOS_COMPLEMENTOS!$E$4:$E$803,C394,MOVIMIENTOS_COMPLEMENTOS!$G$4:$G$803,E394,MOVIMIENTOS_COMPLEMENTOS!$H$4:$H$803,G394,MOVIMIENTOS_COMPLEMENTOS!$B$4:$B$803,"DE CORTE")-SUMIFS(MOVIMIENTOS_COMPLEMENTOS!$I$4:$I$803,MOVIMIENTOS_COMPLEMENTOS!$C$4:$C$803,A394,MOVIMIENTOS_COMPLEMENTOS!$D$4:$D$803,B394,MOVIMIENTOS_COMPLEMENTOS!$E$4:$E$803,C394,MOVIMIENTOS_COMPLEMENTOS!$G$4:$G$803,E394,MOVIMIENTOS_COMPLEMENTOS!$H$4:$H$803,G394,MOVIMIENTOS_COMPLEMENTOS!$B$4:$B$803,"SALIDA"),0)</f>
        <v>0</v>
      </c>
      <c r="I394" s="102">
        <f t="array" ref="I394">IFERROR(INDEX(PRECIOS_COMPLEMENTOS!$C$4:$F$17,MATCH(B394&amp;"_"&amp;C394,PRECIOS_COMPLEMENTOS!$H$4:$H$17,0),IF(OR(G394="S",G394="20cm"),1,IF(OR(G394="M",G394="25cm"),2,IF(OR(G394="L",G394="30cm"),3,IF(OR(G394="XL",G394="35cm"),4,0))))),0)</f>
        <v>0.5</v>
      </c>
      <c r="J394" s="103">
        <f t="shared" si="1"/>
        <v>0</v>
      </c>
      <c r="K394" s="104" t="str">
        <f>IF(H394&lt;0,"ERROR",IF(H394=0,"",IF(H394&lt;CONFIG!$B$4,"CRÍTICO",IF(H394&lt;CONFIG!$B$5,"BAJO","OK"))))</f>
        <v/>
      </c>
    </row>
    <row r="395" ht="15.75" hidden="1" customHeight="1">
      <c r="A395" s="90" t="str">
        <f>IF(CLIENTES!A5="","",CLIENTES!A5)</f>
        <v>Bravos</v>
      </c>
      <c r="B395" s="90" t="s">
        <v>321</v>
      </c>
      <c r="C395" s="91" t="s">
        <v>326</v>
      </c>
      <c r="D395" s="109" t="s">
        <v>353</v>
      </c>
      <c r="E395" s="67" t="str">
        <f>COLORES!A21</f>
        <v/>
      </c>
      <c r="F395" s="67" t="str">
        <f>COLORES!B21</f>
        <v/>
      </c>
      <c r="G395" s="90" t="s">
        <v>379</v>
      </c>
      <c r="H395" s="100">
        <f>IFERROR(SUMIFS(MOVIMIENTOS_COMPLEMENTOS!$I$4:$I$803,MOVIMIENTOS_COMPLEMENTOS!$C$4:$C$803,A395,MOVIMIENTOS_COMPLEMENTOS!$D$4:$D$803,B395,MOVIMIENTOS_COMPLEMENTOS!$E$4:$E$803,C395,MOVIMIENTOS_COMPLEMENTOS!$G$4:$G$803,E395,MOVIMIENTOS_COMPLEMENTOS!$H$4:$H$803,G395,MOVIMIENTOS_COMPLEMENTOS!$B$4:$B$803,"INGRESO")+SUMIFS(MOVIMIENTOS_COMPLEMENTOS!$I$4:$I$803,MOVIMIENTOS_COMPLEMENTOS!$C$4:$C$803,A395,MOVIMIENTOS_COMPLEMENTOS!$D$4:$D$803,B395,MOVIMIENTOS_COMPLEMENTOS!$E$4:$E$803,C395,MOVIMIENTOS_COMPLEMENTOS!$G$4:$G$803,E395,MOVIMIENTOS_COMPLEMENTOS!$H$4:$H$803,G395,MOVIMIENTOS_COMPLEMENTOS!$B$4:$B$803,"DE CORTE")-SUMIFS(MOVIMIENTOS_COMPLEMENTOS!$I$4:$I$803,MOVIMIENTOS_COMPLEMENTOS!$C$4:$C$803,A395,MOVIMIENTOS_COMPLEMENTOS!$D$4:$D$803,B395,MOVIMIENTOS_COMPLEMENTOS!$E$4:$E$803,C395,MOVIMIENTOS_COMPLEMENTOS!$G$4:$G$803,E395,MOVIMIENTOS_COMPLEMENTOS!$H$4:$H$803,G395,MOVIMIENTOS_COMPLEMENTOS!$B$4:$B$803,"SALIDA"),0)</f>
        <v>0</v>
      </c>
      <c r="I395" s="102">
        <f t="array" ref="I395">IFERROR(INDEX(PRECIOS_COMPLEMENTOS!$C$4:$F$17,MATCH(B395&amp;"_"&amp;C395,PRECIOS_COMPLEMENTOS!$H$4:$H$17,0),IF(OR(G395="S",G395="20cm"),1,IF(OR(G395="M",G395="25cm"),2,IF(OR(G395="L",G395="30cm"),3,IF(OR(G395="XL",G395="35cm"),4,0))))),0)</f>
        <v>0.55</v>
      </c>
      <c r="J395" s="103">
        <f t="shared" si="1"/>
        <v>0</v>
      </c>
      <c r="K395" s="104" t="str">
        <f>IF(H395&lt;0,"ERROR",IF(H395=0,"",IF(H395&lt;CONFIG!$B$4,"CRÍTICO",IF(H395&lt;CONFIG!$B$5,"BAJO","OK"))))</f>
        <v/>
      </c>
    </row>
    <row r="396" ht="15.75" hidden="1" customHeight="1">
      <c r="A396" s="90" t="str">
        <f>IF(CLIENTES!A5="","",CLIENTES!A5)</f>
        <v>Bravos</v>
      </c>
      <c r="B396" s="90" t="s">
        <v>321</v>
      </c>
      <c r="C396" s="91" t="s">
        <v>326</v>
      </c>
      <c r="D396" s="109" t="s">
        <v>353</v>
      </c>
      <c r="E396" s="67" t="str">
        <f>COLORES!A22</f>
        <v/>
      </c>
      <c r="F396" s="67" t="str">
        <f>COLORES!B22</f>
        <v/>
      </c>
      <c r="G396" s="90" t="s">
        <v>378</v>
      </c>
      <c r="H396" s="100">
        <f>IFERROR(SUMIFS(MOVIMIENTOS_COMPLEMENTOS!$I$4:$I$803,MOVIMIENTOS_COMPLEMENTOS!$C$4:$C$803,A396,MOVIMIENTOS_COMPLEMENTOS!$D$4:$D$803,B396,MOVIMIENTOS_COMPLEMENTOS!$E$4:$E$803,C396,MOVIMIENTOS_COMPLEMENTOS!$G$4:$G$803,E396,MOVIMIENTOS_COMPLEMENTOS!$H$4:$H$803,G396,MOVIMIENTOS_COMPLEMENTOS!$B$4:$B$803,"INGRESO")+SUMIFS(MOVIMIENTOS_COMPLEMENTOS!$I$4:$I$803,MOVIMIENTOS_COMPLEMENTOS!$C$4:$C$803,A396,MOVIMIENTOS_COMPLEMENTOS!$D$4:$D$803,B396,MOVIMIENTOS_COMPLEMENTOS!$E$4:$E$803,C396,MOVIMIENTOS_COMPLEMENTOS!$G$4:$G$803,E396,MOVIMIENTOS_COMPLEMENTOS!$H$4:$H$803,G396,MOVIMIENTOS_COMPLEMENTOS!$B$4:$B$803,"DE CORTE")-SUMIFS(MOVIMIENTOS_COMPLEMENTOS!$I$4:$I$803,MOVIMIENTOS_COMPLEMENTOS!$C$4:$C$803,A396,MOVIMIENTOS_COMPLEMENTOS!$D$4:$D$803,B396,MOVIMIENTOS_COMPLEMENTOS!$E$4:$E$803,C396,MOVIMIENTOS_COMPLEMENTOS!$G$4:$G$803,E396,MOVIMIENTOS_COMPLEMENTOS!$H$4:$H$803,G396,MOVIMIENTOS_COMPLEMENTOS!$B$4:$B$803,"SALIDA"),0)</f>
        <v>0</v>
      </c>
      <c r="I396" s="102">
        <f t="array" ref="I396">IFERROR(INDEX(PRECIOS_COMPLEMENTOS!$C$4:$F$17,MATCH(B396&amp;"_"&amp;C396,PRECIOS_COMPLEMENTOS!$H$4:$H$17,0),IF(OR(G396="S",G396="20cm"),1,IF(OR(G396="M",G396="25cm"),2,IF(OR(G396="L",G396="30cm"),3,IF(OR(G396="XL",G396="35cm"),4,0))))),0)</f>
        <v>0.4</v>
      </c>
      <c r="J396" s="103">
        <f t="shared" si="1"/>
        <v>0</v>
      </c>
      <c r="K396" s="104" t="str">
        <f>IF(H396&lt;0,"ERROR",IF(H396=0,"",IF(H396&lt;CONFIG!$B$4,"CRÍTICO",IF(H396&lt;CONFIG!$B$5,"BAJO","OK"))))</f>
        <v/>
      </c>
    </row>
    <row r="397" ht="15.75" hidden="1" customHeight="1">
      <c r="A397" s="90" t="str">
        <f>IF(CLIENTES!A5="","",CLIENTES!A5)</f>
        <v>Bravos</v>
      </c>
      <c r="B397" s="90" t="s">
        <v>321</v>
      </c>
      <c r="C397" s="91" t="s">
        <v>326</v>
      </c>
      <c r="D397" s="109" t="s">
        <v>353</v>
      </c>
      <c r="E397" s="67" t="str">
        <f>COLORES!A22</f>
        <v/>
      </c>
      <c r="F397" s="67" t="str">
        <f>COLORES!B22</f>
        <v/>
      </c>
      <c r="G397" s="90" t="s">
        <v>376</v>
      </c>
      <c r="H397" s="100">
        <f>IFERROR(SUMIFS(MOVIMIENTOS_COMPLEMENTOS!$I$4:$I$803,MOVIMIENTOS_COMPLEMENTOS!$C$4:$C$803,A397,MOVIMIENTOS_COMPLEMENTOS!$D$4:$D$803,B397,MOVIMIENTOS_COMPLEMENTOS!$E$4:$E$803,C397,MOVIMIENTOS_COMPLEMENTOS!$G$4:$G$803,E397,MOVIMIENTOS_COMPLEMENTOS!$H$4:$H$803,G397,MOVIMIENTOS_COMPLEMENTOS!$B$4:$B$803,"INGRESO")+SUMIFS(MOVIMIENTOS_COMPLEMENTOS!$I$4:$I$803,MOVIMIENTOS_COMPLEMENTOS!$C$4:$C$803,A397,MOVIMIENTOS_COMPLEMENTOS!$D$4:$D$803,B397,MOVIMIENTOS_COMPLEMENTOS!$E$4:$E$803,C397,MOVIMIENTOS_COMPLEMENTOS!$G$4:$G$803,E397,MOVIMIENTOS_COMPLEMENTOS!$H$4:$H$803,G397,MOVIMIENTOS_COMPLEMENTOS!$B$4:$B$803,"DE CORTE")-SUMIFS(MOVIMIENTOS_COMPLEMENTOS!$I$4:$I$803,MOVIMIENTOS_COMPLEMENTOS!$C$4:$C$803,A397,MOVIMIENTOS_COMPLEMENTOS!$D$4:$D$803,B397,MOVIMIENTOS_COMPLEMENTOS!$E$4:$E$803,C397,MOVIMIENTOS_COMPLEMENTOS!$G$4:$G$803,E397,MOVIMIENTOS_COMPLEMENTOS!$H$4:$H$803,G397,MOVIMIENTOS_COMPLEMENTOS!$B$4:$B$803,"SALIDA"),0)</f>
        <v>0</v>
      </c>
      <c r="I397" s="102">
        <f t="array" ref="I397">IFERROR(INDEX(PRECIOS_COMPLEMENTOS!$C$4:$F$17,MATCH(B397&amp;"_"&amp;C397,PRECIOS_COMPLEMENTOS!$H$4:$H$17,0),IF(OR(G397="S",G397="20cm"),1,IF(OR(G397="M",G397="25cm"),2,IF(OR(G397="L",G397="30cm"),3,IF(OR(G397="XL",G397="35cm"),4,0))))),0)</f>
        <v>0.45</v>
      </c>
      <c r="J397" s="103">
        <f t="shared" si="1"/>
        <v>0</v>
      </c>
      <c r="K397" s="104" t="str">
        <f>IF(H397&lt;0,"ERROR",IF(H397=0,"",IF(H397&lt;CONFIG!$B$4,"CRÍTICO",IF(H397&lt;CONFIG!$B$5,"BAJO","OK"))))</f>
        <v/>
      </c>
    </row>
    <row r="398" ht="15.75" hidden="1" customHeight="1">
      <c r="A398" s="90" t="str">
        <f>IF(CLIENTES!A5="","",CLIENTES!A5)</f>
        <v>Bravos</v>
      </c>
      <c r="B398" s="90" t="s">
        <v>321</v>
      </c>
      <c r="C398" s="91" t="s">
        <v>326</v>
      </c>
      <c r="D398" s="109" t="s">
        <v>353</v>
      </c>
      <c r="E398" s="67" t="str">
        <f>COLORES!A22</f>
        <v/>
      </c>
      <c r="F398" s="67" t="str">
        <f>COLORES!B22</f>
        <v/>
      </c>
      <c r="G398" s="90" t="s">
        <v>377</v>
      </c>
      <c r="H398" s="100">
        <f>IFERROR(SUMIFS(MOVIMIENTOS_COMPLEMENTOS!$I$4:$I$803,MOVIMIENTOS_COMPLEMENTOS!$C$4:$C$803,A398,MOVIMIENTOS_COMPLEMENTOS!$D$4:$D$803,B398,MOVIMIENTOS_COMPLEMENTOS!$E$4:$E$803,C398,MOVIMIENTOS_COMPLEMENTOS!$G$4:$G$803,E398,MOVIMIENTOS_COMPLEMENTOS!$H$4:$H$803,G398,MOVIMIENTOS_COMPLEMENTOS!$B$4:$B$803,"INGRESO")+SUMIFS(MOVIMIENTOS_COMPLEMENTOS!$I$4:$I$803,MOVIMIENTOS_COMPLEMENTOS!$C$4:$C$803,A398,MOVIMIENTOS_COMPLEMENTOS!$D$4:$D$803,B398,MOVIMIENTOS_COMPLEMENTOS!$E$4:$E$803,C398,MOVIMIENTOS_COMPLEMENTOS!$G$4:$G$803,E398,MOVIMIENTOS_COMPLEMENTOS!$H$4:$H$803,G398,MOVIMIENTOS_COMPLEMENTOS!$B$4:$B$803,"DE CORTE")-SUMIFS(MOVIMIENTOS_COMPLEMENTOS!$I$4:$I$803,MOVIMIENTOS_COMPLEMENTOS!$C$4:$C$803,A398,MOVIMIENTOS_COMPLEMENTOS!$D$4:$D$803,B398,MOVIMIENTOS_COMPLEMENTOS!$E$4:$E$803,C398,MOVIMIENTOS_COMPLEMENTOS!$G$4:$G$803,E398,MOVIMIENTOS_COMPLEMENTOS!$H$4:$H$803,G398,MOVIMIENTOS_COMPLEMENTOS!$B$4:$B$803,"SALIDA"),0)</f>
        <v>0</v>
      </c>
      <c r="I398" s="102">
        <f t="array" ref="I398">IFERROR(INDEX(PRECIOS_COMPLEMENTOS!$C$4:$F$17,MATCH(B398&amp;"_"&amp;C398,PRECIOS_COMPLEMENTOS!$H$4:$H$17,0),IF(OR(G398="S",G398="20cm"),1,IF(OR(G398="M",G398="25cm"),2,IF(OR(G398="L",G398="30cm"),3,IF(OR(G398="XL",G398="35cm"),4,0))))),0)</f>
        <v>0.5</v>
      </c>
      <c r="J398" s="103">
        <f t="shared" si="1"/>
        <v>0</v>
      </c>
      <c r="K398" s="104" t="str">
        <f>IF(H398&lt;0,"ERROR",IF(H398=0,"",IF(H398&lt;CONFIG!$B$4,"CRÍTICO",IF(H398&lt;CONFIG!$B$5,"BAJO","OK"))))</f>
        <v/>
      </c>
    </row>
    <row r="399" ht="15.75" hidden="1" customHeight="1">
      <c r="A399" s="90" t="str">
        <f>IF(CLIENTES!A5="","",CLIENTES!A5)</f>
        <v>Bravos</v>
      </c>
      <c r="B399" s="90" t="s">
        <v>321</v>
      </c>
      <c r="C399" s="91" t="s">
        <v>326</v>
      </c>
      <c r="D399" s="109" t="s">
        <v>353</v>
      </c>
      <c r="E399" s="67" t="str">
        <f>COLORES!A22</f>
        <v/>
      </c>
      <c r="F399" s="67" t="str">
        <f>COLORES!B22</f>
        <v/>
      </c>
      <c r="G399" s="90" t="s">
        <v>379</v>
      </c>
      <c r="H399" s="100">
        <f>IFERROR(SUMIFS(MOVIMIENTOS_COMPLEMENTOS!$I$4:$I$803,MOVIMIENTOS_COMPLEMENTOS!$C$4:$C$803,A399,MOVIMIENTOS_COMPLEMENTOS!$D$4:$D$803,B399,MOVIMIENTOS_COMPLEMENTOS!$E$4:$E$803,C399,MOVIMIENTOS_COMPLEMENTOS!$G$4:$G$803,E399,MOVIMIENTOS_COMPLEMENTOS!$H$4:$H$803,G399,MOVIMIENTOS_COMPLEMENTOS!$B$4:$B$803,"INGRESO")+SUMIFS(MOVIMIENTOS_COMPLEMENTOS!$I$4:$I$803,MOVIMIENTOS_COMPLEMENTOS!$C$4:$C$803,A399,MOVIMIENTOS_COMPLEMENTOS!$D$4:$D$803,B399,MOVIMIENTOS_COMPLEMENTOS!$E$4:$E$803,C399,MOVIMIENTOS_COMPLEMENTOS!$G$4:$G$803,E399,MOVIMIENTOS_COMPLEMENTOS!$H$4:$H$803,G399,MOVIMIENTOS_COMPLEMENTOS!$B$4:$B$803,"DE CORTE")-SUMIFS(MOVIMIENTOS_COMPLEMENTOS!$I$4:$I$803,MOVIMIENTOS_COMPLEMENTOS!$C$4:$C$803,A399,MOVIMIENTOS_COMPLEMENTOS!$D$4:$D$803,B399,MOVIMIENTOS_COMPLEMENTOS!$E$4:$E$803,C399,MOVIMIENTOS_COMPLEMENTOS!$G$4:$G$803,E399,MOVIMIENTOS_COMPLEMENTOS!$H$4:$H$803,G399,MOVIMIENTOS_COMPLEMENTOS!$B$4:$B$803,"SALIDA"),0)</f>
        <v>0</v>
      </c>
      <c r="I399" s="102">
        <f t="array" ref="I399">IFERROR(INDEX(PRECIOS_COMPLEMENTOS!$C$4:$F$17,MATCH(B399&amp;"_"&amp;C399,PRECIOS_COMPLEMENTOS!$H$4:$H$17,0),IF(OR(G399="S",G399="20cm"),1,IF(OR(G399="M",G399="25cm"),2,IF(OR(G399="L",G399="30cm"),3,IF(OR(G399="XL",G399="35cm"),4,0))))),0)</f>
        <v>0.55</v>
      </c>
      <c r="J399" s="103">
        <f t="shared" si="1"/>
        <v>0</v>
      </c>
      <c r="K399" s="104" t="str">
        <f>IF(H399&lt;0,"ERROR",IF(H399=0,"",IF(H399&lt;CONFIG!$B$4,"CRÍTICO",IF(H399&lt;CONFIG!$B$5,"BAJO","OK"))))</f>
        <v/>
      </c>
    </row>
    <row r="400" ht="15.75" hidden="1" customHeight="1">
      <c r="A400" s="90" t="str">
        <f>IF(CLIENTES!A5="","",CLIENTES!A5)</f>
        <v>Bravos</v>
      </c>
      <c r="B400" s="90" t="s">
        <v>321</v>
      </c>
      <c r="C400" s="91" t="s">
        <v>326</v>
      </c>
      <c r="D400" s="109" t="s">
        <v>353</v>
      </c>
      <c r="E400" s="67" t="str">
        <f>COLORES!A23</f>
        <v/>
      </c>
      <c r="F400" s="67" t="str">
        <f>COLORES!B23</f>
        <v/>
      </c>
      <c r="G400" s="90" t="s">
        <v>378</v>
      </c>
      <c r="H400" s="100">
        <f>IFERROR(SUMIFS(MOVIMIENTOS_COMPLEMENTOS!$I$4:$I$803,MOVIMIENTOS_COMPLEMENTOS!$C$4:$C$803,A400,MOVIMIENTOS_COMPLEMENTOS!$D$4:$D$803,B400,MOVIMIENTOS_COMPLEMENTOS!$E$4:$E$803,C400,MOVIMIENTOS_COMPLEMENTOS!$G$4:$G$803,E400,MOVIMIENTOS_COMPLEMENTOS!$H$4:$H$803,G400,MOVIMIENTOS_COMPLEMENTOS!$B$4:$B$803,"INGRESO")+SUMIFS(MOVIMIENTOS_COMPLEMENTOS!$I$4:$I$803,MOVIMIENTOS_COMPLEMENTOS!$C$4:$C$803,A400,MOVIMIENTOS_COMPLEMENTOS!$D$4:$D$803,B400,MOVIMIENTOS_COMPLEMENTOS!$E$4:$E$803,C400,MOVIMIENTOS_COMPLEMENTOS!$G$4:$G$803,E400,MOVIMIENTOS_COMPLEMENTOS!$H$4:$H$803,G400,MOVIMIENTOS_COMPLEMENTOS!$B$4:$B$803,"DE CORTE")-SUMIFS(MOVIMIENTOS_COMPLEMENTOS!$I$4:$I$803,MOVIMIENTOS_COMPLEMENTOS!$C$4:$C$803,A400,MOVIMIENTOS_COMPLEMENTOS!$D$4:$D$803,B400,MOVIMIENTOS_COMPLEMENTOS!$E$4:$E$803,C400,MOVIMIENTOS_COMPLEMENTOS!$G$4:$G$803,E400,MOVIMIENTOS_COMPLEMENTOS!$H$4:$H$803,G400,MOVIMIENTOS_COMPLEMENTOS!$B$4:$B$803,"SALIDA"),0)</f>
        <v>0</v>
      </c>
      <c r="I400" s="102">
        <f t="array" ref="I400">IFERROR(INDEX(PRECIOS_COMPLEMENTOS!$C$4:$F$17,MATCH(B400&amp;"_"&amp;C400,PRECIOS_COMPLEMENTOS!$H$4:$H$17,0),IF(OR(G400="S",G400="20cm"),1,IF(OR(G400="M",G400="25cm"),2,IF(OR(G400="L",G400="30cm"),3,IF(OR(G400="XL",G400="35cm"),4,0))))),0)</f>
        <v>0.4</v>
      </c>
      <c r="J400" s="103">
        <f t="shared" si="1"/>
        <v>0</v>
      </c>
      <c r="K400" s="104" t="str">
        <f>IF(H400&lt;0,"ERROR",IF(H400=0,"",IF(H400&lt;CONFIG!$B$4,"CRÍTICO",IF(H400&lt;CONFIG!$B$5,"BAJO","OK"))))</f>
        <v/>
      </c>
    </row>
    <row r="401" ht="15.75" hidden="1" customHeight="1">
      <c r="A401" s="90" t="str">
        <f>IF(CLIENTES!A5="","",CLIENTES!A5)</f>
        <v>Bravos</v>
      </c>
      <c r="B401" s="90" t="s">
        <v>321</v>
      </c>
      <c r="C401" s="91" t="s">
        <v>326</v>
      </c>
      <c r="D401" s="109" t="s">
        <v>353</v>
      </c>
      <c r="E401" s="67" t="str">
        <f>COLORES!A23</f>
        <v/>
      </c>
      <c r="F401" s="67" t="str">
        <f>COLORES!B23</f>
        <v/>
      </c>
      <c r="G401" s="90" t="s">
        <v>376</v>
      </c>
      <c r="H401" s="100">
        <f>IFERROR(SUMIFS(MOVIMIENTOS_COMPLEMENTOS!$I$4:$I$803,MOVIMIENTOS_COMPLEMENTOS!$C$4:$C$803,A401,MOVIMIENTOS_COMPLEMENTOS!$D$4:$D$803,B401,MOVIMIENTOS_COMPLEMENTOS!$E$4:$E$803,C401,MOVIMIENTOS_COMPLEMENTOS!$G$4:$G$803,E401,MOVIMIENTOS_COMPLEMENTOS!$H$4:$H$803,G401,MOVIMIENTOS_COMPLEMENTOS!$B$4:$B$803,"INGRESO")+SUMIFS(MOVIMIENTOS_COMPLEMENTOS!$I$4:$I$803,MOVIMIENTOS_COMPLEMENTOS!$C$4:$C$803,A401,MOVIMIENTOS_COMPLEMENTOS!$D$4:$D$803,B401,MOVIMIENTOS_COMPLEMENTOS!$E$4:$E$803,C401,MOVIMIENTOS_COMPLEMENTOS!$G$4:$G$803,E401,MOVIMIENTOS_COMPLEMENTOS!$H$4:$H$803,G401,MOVIMIENTOS_COMPLEMENTOS!$B$4:$B$803,"DE CORTE")-SUMIFS(MOVIMIENTOS_COMPLEMENTOS!$I$4:$I$803,MOVIMIENTOS_COMPLEMENTOS!$C$4:$C$803,A401,MOVIMIENTOS_COMPLEMENTOS!$D$4:$D$803,B401,MOVIMIENTOS_COMPLEMENTOS!$E$4:$E$803,C401,MOVIMIENTOS_COMPLEMENTOS!$G$4:$G$803,E401,MOVIMIENTOS_COMPLEMENTOS!$H$4:$H$803,G401,MOVIMIENTOS_COMPLEMENTOS!$B$4:$B$803,"SALIDA"),0)</f>
        <v>0</v>
      </c>
      <c r="I401" s="102">
        <f t="array" ref="I401">IFERROR(INDEX(PRECIOS_COMPLEMENTOS!$C$4:$F$17,MATCH(B401&amp;"_"&amp;C401,PRECIOS_COMPLEMENTOS!$H$4:$H$17,0),IF(OR(G401="S",G401="20cm"),1,IF(OR(G401="M",G401="25cm"),2,IF(OR(G401="L",G401="30cm"),3,IF(OR(G401="XL",G401="35cm"),4,0))))),0)</f>
        <v>0.45</v>
      </c>
      <c r="J401" s="103">
        <f t="shared" si="1"/>
        <v>0</v>
      </c>
      <c r="K401" s="104" t="str">
        <f>IF(H401&lt;0,"ERROR",IF(H401=0,"",IF(H401&lt;CONFIG!$B$4,"CRÍTICO",IF(H401&lt;CONFIG!$B$5,"BAJO","OK"))))</f>
        <v/>
      </c>
    </row>
    <row r="402" ht="15.75" hidden="1" customHeight="1">
      <c r="A402" s="90" t="str">
        <f>IF(CLIENTES!A5="","",CLIENTES!A5)</f>
        <v>Bravos</v>
      </c>
      <c r="B402" s="90" t="s">
        <v>321</v>
      </c>
      <c r="C402" s="91" t="s">
        <v>326</v>
      </c>
      <c r="D402" s="109" t="s">
        <v>353</v>
      </c>
      <c r="E402" s="67" t="str">
        <f>COLORES!A23</f>
        <v/>
      </c>
      <c r="F402" s="67" t="str">
        <f>COLORES!B23</f>
        <v/>
      </c>
      <c r="G402" s="90" t="s">
        <v>377</v>
      </c>
      <c r="H402" s="100">
        <f>IFERROR(SUMIFS(MOVIMIENTOS_COMPLEMENTOS!$I$4:$I$803,MOVIMIENTOS_COMPLEMENTOS!$C$4:$C$803,A402,MOVIMIENTOS_COMPLEMENTOS!$D$4:$D$803,B402,MOVIMIENTOS_COMPLEMENTOS!$E$4:$E$803,C402,MOVIMIENTOS_COMPLEMENTOS!$G$4:$G$803,E402,MOVIMIENTOS_COMPLEMENTOS!$H$4:$H$803,G402,MOVIMIENTOS_COMPLEMENTOS!$B$4:$B$803,"INGRESO")+SUMIFS(MOVIMIENTOS_COMPLEMENTOS!$I$4:$I$803,MOVIMIENTOS_COMPLEMENTOS!$C$4:$C$803,A402,MOVIMIENTOS_COMPLEMENTOS!$D$4:$D$803,B402,MOVIMIENTOS_COMPLEMENTOS!$E$4:$E$803,C402,MOVIMIENTOS_COMPLEMENTOS!$G$4:$G$803,E402,MOVIMIENTOS_COMPLEMENTOS!$H$4:$H$803,G402,MOVIMIENTOS_COMPLEMENTOS!$B$4:$B$803,"DE CORTE")-SUMIFS(MOVIMIENTOS_COMPLEMENTOS!$I$4:$I$803,MOVIMIENTOS_COMPLEMENTOS!$C$4:$C$803,A402,MOVIMIENTOS_COMPLEMENTOS!$D$4:$D$803,B402,MOVIMIENTOS_COMPLEMENTOS!$E$4:$E$803,C402,MOVIMIENTOS_COMPLEMENTOS!$G$4:$G$803,E402,MOVIMIENTOS_COMPLEMENTOS!$H$4:$H$803,G402,MOVIMIENTOS_COMPLEMENTOS!$B$4:$B$803,"SALIDA"),0)</f>
        <v>0</v>
      </c>
      <c r="I402" s="102">
        <f t="array" ref="I402">IFERROR(INDEX(PRECIOS_COMPLEMENTOS!$C$4:$F$17,MATCH(B402&amp;"_"&amp;C402,PRECIOS_COMPLEMENTOS!$H$4:$H$17,0),IF(OR(G402="S",G402="20cm"),1,IF(OR(G402="M",G402="25cm"),2,IF(OR(G402="L",G402="30cm"),3,IF(OR(G402="XL",G402="35cm"),4,0))))),0)</f>
        <v>0.5</v>
      </c>
      <c r="J402" s="103">
        <f t="shared" si="1"/>
        <v>0</v>
      </c>
      <c r="K402" s="104" t="str">
        <f>IF(H402&lt;0,"ERROR",IF(H402=0,"",IF(H402&lt;CONFIG!$B$4,"CRÍTICO",IF(H402&lt;CONFIG!$B$5,"BAJO","OK"))))</f>
        <v/>
      </c>
    </row>
    <row r="403" ht="15.75" hidden="1" customHeight="1">
      <c r="A403" s="90" t="str">
        <f>IF(CLIENTES!A5="","",CLIENTES!A5)</f>
        <v>Bravos</v>
      </c>
      <c r="B403" s="90" t="s">
        <v>321</v>
      </c>
      <c r="C403" s="91" t="s">
        <v>326</v>
      </c>
      <c r="D403" s="109" t="s">
        <v>353</v>
      </c>
      <c r="E403" s="67" t="str">
        <f>COLORES!A23</f>
        <v/>
      </c>
      <c r="F403" s="67" t="str">
        <f>COLORES!B23</f>
        <v/>
      </c>
      <c r="G403" s="90" t="s">
        <v>379</v>
      </c>
      <c r="H403" s="100">
        <f>IFERROR(SUMIFS(MOVIMIENTOS_COMPLEMENTOS!$I$4:$I$803,MOVIMIENTOS_COMPLEMENTOS!$C$4:$C$803,A403,MOVIMIENTOS_COMPLEMENTOS!$D$4:$D$803,B403,MOVIMIENTOS_COMPLEMENTOS!$E$4:$E$803,C403,MOVIMIENTOS_COMPLEMENTOS!$G$4:$G$803,E403,MOVIMIENTOS_COMPLEMENTOS!$H$4:$H$803,G403,MOVIMIENTOS_COMPLEMENTOS!$B$4:$B$803,"INGRESO")+SUMIFS(MOVIMIENTOS_COMPLEMENTOS!$I$4:$I$803,MOVIMIENTOS_COMPLEMENTOS!$C$4:$C$803,A403,MOVIMIENTOS_COMPLEMENTOS!$D$4:$D$803,B403,MOVIMIENTOS_COMPLEMENTOS!$E$4:$E$803,C403,MOVIMIENTOS_COMPLEMENTOS!$G$4:$G$803,E403,MOVIMIENTOS_COMPLEMENTOS!$H$4:$H$803,G403,MOVIMIENTOS_COMPLEMENTOS!$B$4:$B$803,"DE CORTE")-SUMIFS(MOVIMIENTOS_COMPLEMENTOS!$I$4:$I$803,MOVIMIENTOS_COMPLEMENTOS!$C$4:$C$803,A403,MOVIMIENTOS_COMPLEMENTOS!$D$4:$D$803,B403,MOVIMIENTOS_COMPLEMENTOS!$E$4:$E$803,C403,MOVIMIENTOS_COMPLEMENTOS!$G$4:$G$803,E403,MOVIMIENTOS_COMPLEMENTOS!$H$4:$H$803,G403,MOVIMIENTOS_COMPLEMENTOS!$B$4:$B$803,"SALIDA"),0)</f>
        <v>0</v>
      </c>
      <c r="I403" s="102">
        <f t="array" ref="I403">IFERROR(INDEX(PRECIOS_COMPLEMENTOS!$C$4:$F$17,MATCH(B403&amp;"_"&amp;C403,PRECIOS_COMPLEMENTOS!$H$4:$H$17,0),IF(OR(G403="S",G403="20cm"),1,IF(OR(G403="M",G403="25cm"),2,IF(OR(G403="L",G403="30cm"),3,IF(OR(G403="XL",G403="35cm"),4,0))))),0)</f>
        <v>0.55</v>
      </c>
      <c r="J403" s="103">
        <f t="shared" si="1"/>
        <v>0</v>
      </c>
      <c r="K403" s="104" t="str">
        <f>IF(H403&lt;0,"ERROR",IF(H403=0,"",IF(H403&lt;CONFIG!$B$4,"CRÍTICO",IF(H403&lt;CONFIG!$B$5,"BAJO","OK"))))</f>
        <v/>
      </c>
    </row>
    <row r="404" ht="15.75" hidden="1" customHeight="1">
      <c r="A404" s="90" t="str">
        <f>IF(CLIENTES!A6="","",CLIENTES!A6)</f>
        <v/>
      </c>
      <c r="B404" s="90" t="s">
        <v>321</v>
      </c>
      <c r="C404" s="91" t="s">
        <v>326</v>
      </c>
      <c r="D404" s="109" t="s">
        <v>353</v>
      </c>
      <c r="E404" s="67" t="str">
        <f>COLORES!A4</f>
        <v>Negro</v>
      </c>
      <c r="F404" s="67" t="str">
        <f>COLORES!B4</f>
        <v>OSCURO</v>
      </c>
      <c r="G404" s="90" t="s">
        <v>378</v>
      </c>
      <c r="H404" s="100">
        <f>IFERROR(SUMIFS(MOVIMIENTOS_COMPLEMENTOS!$I$4:$I$803,MOVIMIENTOS_COMPLEMENTOS!$C$4:$C$803,A404,MOVIMIENTOS_COMPLEMENTOS!$D$4:$D$803,B404,MOVIMIENTOS_COMPLEMENTOS!$E$4:$E$803,C404,MOVIMIENTOS_COMPLEMENTOS!$G$4:$G$803,E404,MOVIMIENTOS_COMPLEMENTOS!$H$4:$H$803,G404,MOVIMIENTOS_COMPLEMENTOS!$B$4:$B$803,"INGRESO")+SUMIFS(MOVIMIENTOS_COMPLEMENTOS!$I$4:$I$803,MOVIMIENTOS_COMPLEMENTOS!$C$4:$C$803,A404,MOVIMIENTOS_COMPLEMENTOS!$D$4:$D$803,B404,MOVIMIENTOS_COMPLEMENTOS!$E$4:$E$803,C404,MOVIMIENTOS_COMPLEMENTOS!$G$4:$G$803,E404,MOVIMIENTOS_COMPLEMENTOS!$H$4:$H$803,G404,MOVIMIENTOS_COMPLEMENTOS!$B$4:$B$803,"DE CORTE")-SUMIFS(MOVIMIENTOS_COMPLEMENTOS!$I$4:$I$803,MOVIMIENTOS_COMPLEMENTOS!$C$4:$C$803,A404,MOVIMIENTOS_COMPLEMENTOS!$D$4:$D$803,B404,MOVIMIENTOS_COMPLEMENTOS!$E$4:$E$803,C404,MOVIMIENTOS_COMPLEMENTOS!$G$4:$G$803,E404,MOVIMIENTOS_COMPLEMENTOS!$H$4:$H$803,G404,MOVIMIENTOS_COMPLEMENTOS!$B$4:$B$803,"SALIDA"),0)</f>
        <v>0</v>
      </c>
      <c r="I404" s="102">
        <f t="array" ref="I404">IFERROR(INDEX(PRECIOS_COMPLEMENTOS!$C$4:$F$17,MATCH(B404&amp;"_"&amp;C404,PRECIOS_COMPLEMENTOS!$H$4:$H$17,0),IF(OR(G404="S",G404="20cm"),1,IF(OR(G404="M",G404="25cm"),2,IF(OR(G404="L",G404="30cm"),3,IF(OR(G404="XL",G404="35cm"),4,0))))),0)</f>
        <v>0.4</v>
      </c>
      <c r="J404" s="103">
        <f t="shared" si="1"/>
        <v>0</v>
      </c>
      <c r="K404" s="104" t="str">
        <f>IF(H404&lt;0,"ERROR",IF(H404=0,"",IF(H404&lt;CONFIG!$B$4,"CRÍTICO",IF(H404&lt;CONFIG!$B$5,"BAJO","OK"))))</f>
        <v/>
      </c>
    </row>
    <row r="405" ht="15.75" hidden="1" customHeight="1">
      <c r="A405" s="90" t="str">
        <f>IF(CLIENTES!A6="","",CLIENTES!A6)</f>
        <v/>
      </c>
      <c r="B405" s="90" t="s">
        <v>321</v>
      </c>
      <c r="C405" s="91" t="s">
        <v>326</v>
      </c>
      <c r="D405" s="109" t="s">
        <v>353</v>
      </c>
      <c r="E405" s="67" t="str">
        <f>COLORES!A4</f>
        <v>Negro</v>
      </c>
      <c r="F405" s="67" t="str">
        <f>COLORES!B4</f>
        <v>OSCURO</v>
      </c>
      <c r="G405" s="90" t="s">
        <v>376</v>
      </c>
      <c r="H405" s="100">
        <f>IFERROR(SUMIFS(MOVIMIENTOS_COMPLEMENTOS!$I$4:$I$803,MOVIMIENTOS_COMPLEMENTOS!$C$4:$C$803,A405,MOVIMIENTOS_COMPLEMENTOS!$D$4:$D$803,B405,MOVIMIENTOS_COMPLEMENTOS!$E$4:$E$803,C405,MOVIMIENTOS_COMPLEMENTOS!$G$4:$G$803,E405,MOVIMIENTOS_COMPLEMENTOS!$H$4:$H$803,G405,MOVIMIENTOS_COMPLEMENTOS!$B$4:$B$803,"INGRESO")+SUMIFS(MOVIMIENTOS_COMPLEMENTOS!$I$4:$I$803,MOVIMIENTOS_COMPLEMENTOS!$C$4:$C$803,A405,MOVIMIENTOS_COMPLEMENTOS!$D$4:$D$803,B405,MOVIMIENTOS_COMPLEMENTOS!$E$4:$E$803,C405,MOVIMIENTOS_COMPLEMENTOS!$G$4:$G$803,E405,MOVIMIENTOS_COMPLEMENTOS!$H$4:$H$803,G405,MOVIMIENTOS_COMPLEMENTOS!$B$4:$B$803,"DE CORTE")-SUMIFS(MOVIMIENTOS_COMPLEMENTOS!$I$4:$I$803,MOVIMIENTOS_COMPLEMENTOS!$C$4:$C$803,A405,MOVIMIENTOS_COMPLEMENTOS!$D$4:$D$803,B405,MOVIMIENTOS_COMPLEMENTOS!$E$4:$E$803,C405,MOVIMIENTOS_COMPLEMENTOS!$G$4:$G$803,E405,MOVIMIENTOS_COMPLEMENTOS!$H$4:$H$803,G405,MOVIMIENTOS_COMPLEMENTOS!$B$4:$B$803,"SALIDA"),0)</f>
        <v>0</v>
      </c>
      <c r="I405" s="102">
        <f t="array" ref="I405">IFERROR(INDEX(PRECIOS_COMPLEMENTOS!$C$4:$F$17,MATCH(B405&amp;"_"&amp;C405,PRECIOS_COMPLEMENTOS!$H$4:$H$17,0),IF(OR(G405="S",G405="20cm"),1,IF(OR(G405="M",G405="25cm"),2,IF(OR(G405="L",G405="30cm"),3,IF(OR(G405="XL",G405="35cm"),4,0))))),0)</f>
        <v>0.45</v>
      </c>
      <c r="J405" s="103">
        <f t="shared" si="1"/>
        <v>0</v>
      </c>
      <c r="K405" s="104" t="str">
        <f>IF(H405&lt;0,"ERROR",IF(H405=0,"",IF(H405&lt;CONFIG!$B$4,"CRÍTICO",IF(H405&lt;CONFIG!$B$5,"BAJO","OK"))))</f>
        <v/>
      </c>
    </row>
    <row r="406" ht="15.75" hidden="1" customHeight="1">
      <c r="A406" s="90" t="str">
        <f>IF(CLIENTES!A6="","",CLIENTES!A6)</f>
        <v/>
      </c>
      <c r="B406" s="90" t="s">
        <v>321</v>
      </c>
      <c r="C406" s="91" t="s">
        <v>326</v>
      </c>
      <c r="D406" s="109" t="s">
        <v>353</v>
      </c>
      <c r="E406" s="67" t="str">
        <f>COLORES!A4</f>
        <v>Negro</v>
      </c>
      <c r="F406" s="67" t="str">
        <f>COLORES!B4</f>
        <v>OSCURO</v>
      </c>
      <c r="G406" s="90" t="s">
        <v>377</v>
      </c>
      <c r="H406" s="100">
        <f>IFERROR(SUMIFS(MOVIMIENTOS_COMPLEMENTOS!$I$4:$I$803,MOVIMIENTOS_COMPLEMENTOS!$C$4:$C$803,A406,MOVIMIENTOS_COMPLEMENTOS!$D$4:$D$803,B406,MOVIMIENTOS_COMPLEMENTOS!$E$4:$E$803,C406,MOVIMIENTOS_COMPLEMENTOS!$G$4:$G$803,E406,MOVIMIENTOS_COMPLEMENTOS!$H$4:$H$803,G406,MOVIMIENTOS_COMPLEMENTOS!$B$4:$B$803,"INGRESO")+SUMIFS(MOVIMIENTOS_COMPLEMENTOS!$I$4:$I$803,MOVIMIENTOS_COMPLEMENTOS!$C$4:$C$803,A406,MOVIMIENTOS_COMPLEMENTOS!$D$4:$D$803,B406,MOVIMIENTOS_COMPLEMENTOS!$E$4:$E$803,C406,MOVIMIENTOS_COMPLEMENTOS!$G$4:$G$803,E406,MOVIMIENTOS_COMPLEMENTOS!$H$4:$H$803,G406,MOVIMIENTOS_COMPLEMENTOS!$B$4:$B$803,"DE CORTE")-SUMIFS(MOVIMIENTOS_COMPLEMENTOS!$I$4:$I$803,MOVIMIENTOS_COMPLEMENTOS!$C$4:$C$803,A406,MOVIMIENTOS_COMPLEMENTOS!$D$4:$D$803,B406,MOVIMIENTOS_COMPLEMENTOS!$E$4:$E$803,C406,MOVIMIENTOS_COMPLEMENTOS!$G$4:$G$803,E406,MOVIMIENTOS_COMPLEMENTOS!$H$4:$H$803,G406,MOVIMIENTOS_COMPLEMENTOS!$B$4:$B$803,"SALIDA"),0)</f>
        <v>0</v>
      </c>
      <c r="I406" s="102">
        <f t="array" ref="I406">IFERROR(INDEX(PRECIOS_COMPLEMENTOS!$C$4:$F$17,MATCH(B406&amp;"_"&amp;C406,PRECIOS_COMPLEMENTOS!$H$4:$H$17,0),IF(OR(G406="S",G406="20cm"),1,IF(OR(G406="M",G406="25cm"),2,IF(OR(G406="L",G406="30cm"),3,IF(OR(G406="XL",G406="35cm"),4,0))))),0)</f>
        <v>0.5</v>
      </c>
      <c r="J406" s="103">
        <f t="shared" si="1"/>
        <v>0</v>
      </c>
      <c r="K406" s="104" t="str">
        <f>IF(H406&lt;0,"ERROR",IF(H406=0,"",IF(H406&lt;CONFIG!$B$4,"CRÍTICO",IF(H406&lt;CONFIG!$B$5,"BAJO","OK"))))</f>
        <v/>
      </c>
    </row>
    <row r="407" ht="15.75" hidden="1" customHeight="1">
      <c r="A407" s="90" t="str">
        <f>IF(CLIENTES!A6="","",CLIENTES!A6)</f>
        <v/>
      </c>
      <c r="B407" s="90" t="s">
        <v>321</v>
      </c>
      <c r="C407" s="91" t="s">
        <v>326</v>
      </c>
      <c r="D407" s="109" t="s">
        <v>353</v>
      </c>
      <c r="E407" s="67" t="str">
        <f>COLORES!A4</f>
        <v>Negro</v>
      </c>
      <c r="F407" s="67" t="str">
        <f>COLORES!B4</f>
        <v>OSCURO</v>
      </c>
      <c r="G407" s="90" t="s">
        <v>379</v>
      </c>
      <c r="H407" s="100">
        <f>IFERROR(SUMIFS(MOVIMIENTOS_COMPLEMENTOS!$I$4:$I$803,MOVIMIENTOS_COMPLEMENTOS!$C$4:$C$803,A407,MOVIMIENTOS_COMPLEMENTOS!$D$4:$D$803,B407,MOVIMIENTOS_COMPLEMENTOS!$E$4:$E$803,C407,MOVIMIENTOS_COMPLEMENTOS!$G$4:$G$803,E407,MOVIMIENTOS_COMPLEMENTOS!$H$4:$H$803,G407,MOVIMIENTOS_COMPLEMENTOS!$B$4:$B$803,"INGRESO")+SUMIFS(MOVIMIENTOS_COMPLEMENTOS!$I$4:$I$803,MOVIMIENTOS_COMPLEMENTOS!$C$4:$C$803,A407,MOVIMIENTOS_COMPLEMENTOS!$D$4:$D$803,B407,MOVIMIENTOS_COMPLEMENTOS!$E$4:$E$803,C407,MOVIMIENTOS_COMPLEMENTOS!$G$4:$G$803,E407,MOVIMIENTOS_COMPLEMENTOS!$H$4:$H$803,G407,MOVIMIENTOS_COMPLEMENTOS!$B$4:$B$803,"DE CORTE")-SUMIFS(MOVIMIENTOS_COMPLEMENTOS!$I$4:$I$803,MOVIMIENTOS_COMPLEMENTOS!$C$4:$C$803,A407,MOVIMIENTOS_COMPLEMENTOS!$D$4:$D$803,B407,MOVIMIENTOS_COMPLEMENTOS!$E$4:$E$803,C407,MOVIMIENTOS_COMPLEMENTOS!$G$4:$G$803,E407,MOVIMIENTOS_COMPLEMENTOS!$H$4:$H$803,G407,MOVIMIENTOS_COMPLEMENTOS!$B$4:$B$803,"SALIDA"),0)</f>
        <v>0</v>
      </c>
      <c r="I407" s="102">
        <f t="array" ref="I407">IFERROR(INDEX(PRECIOS_COMPLEMENTOS!$C$4:$F$17,MATCH(B407&amp;"_"&amp;C407,PRECIOS_COMPLEMENTOS!$H$4:$H$17,0),IF(OR(G407="S",G407="20cm"),1,IF(OR(G407="M",G407="25cm"),2,IF(OR(G407="L",G407="30cm"),3,IF(OR(G407="XL",G407="35cm"),4,0))))),0)</f>
        <v>0.55</v>
      </c>
      <c r="J407" s="103">
        <f t="shared" si="1"/>
        <v>0</v>
      </c>
      <c r="K407" s="104" t="str">
        <f>IF(H407&lt;0,"ERROR",IF(H407=0,"",IF(H407&lt;CONFIG!$B$4,"CRÍTICO",IF(H407&lt;CONFIG!$B$5,"BAJO","OK"))))</f>
        <v/>
      </c>
    </row>
    <row r="408" ht="15.75" hidden="1" customHeight="1">
      <c r="A408" s="90" t="str">
        <f>IF(CLIENTES!A6="","",CLIENTES!A6)</f>
        <v/>
      </c>
      <c r="B408" s="90" t="s">
        <v>321</v>
      </c>
      <c r="C408" s="91" t="s">
        <v>326</v>
      </c>
      <c r="D408" s="109" t="s">
        <v>353</v>
      </c>
      <c r="E408" s="67" t="str">
        <f>COLORES!A5</f>
        <v>Perla</v>
      </c>
      <c r="F408" s="67" t="str">
        <f>COLORES!B5</f>
        <v>PPT</v>
      </c>
      <c r="G408" s="90" t="s">
        <v>378</v>
      </c>
      <c r="H408" s="100">
        <f>IFERROR(SUMIFS(MOVIMIENTOS_COMPLEMENTOS!$I$4:$I$803,MOVIMIENTOS_COMPLEMENTOS!$C$4:$C$803,A408,MOVIMIENTOS_COMPLEMENTOS!$D$4:$D$803,B408,MOVIMIENTOS_COMPLEMENTOS!$E$4:$E$803,C408,MOVIMIENTOS_COMPLEMENTOS!$G$4:$G$803,E408,MOVIMIENTOS_COMPLEMENTOS!$H$4:$H$803,G408,MOVIMIENTOS_COMPLEMENTOS!$B$4:$B$803,"INGRESO")+SUMIFS(MOVIMIENTOS_COMPLEMENTOS!$I$4:$I$803,MOVIMIENTOS_COMPLEMENTOS!$C$4:$C$803,A408,MOVIMIENTOS_COMPLEMENTOS!$D$4:$D$803,B408,MOVIMIENTOS_COMPLEMENTOS!$E$4:$E$803,C408,MOVIMIENTOS_COMPLEMENTOS!$G$4:$G$803,E408,MOVIMIENTOS_COMPLEMENTOS!$H$4:$H$803,G408,MOVIMIENTOS_COMPLEMENTOS!$B$4:$B$803,"DE CORTE")-SUMIFS(MOVIMIENTOS_COMPLEMENTOS!$I$4:$I$803,MOVIMIENTOS_COMPLEMENTOS!$C$4:$C$803,A408,MOVIMIENTOS_COMPLEMENTOS!$D$4:$D$803,B408,MOVIMIENTOS_COMPLEMENTOS!$E$4:$E$803,C408,MOVIMIENTOS_COMPLEMENTOS!$G$4:$G$803,E408,MOVIMIENTOS_COMPLEMENTOS!$H$4:$H$803,G408,MOVIMIENTOS_COMPLEMENTOS!$B$4:$B$803,"SALIDA"),0)</f>
        <v>0</v>
      </c>
      <c r="I408" s="102">
        <f t="array" ref="I408">IFERROR(INDEX(PRECIOS_COMPLEMENTOS!$C$4:$F$17,MATCH(B408&amp;"_"&amp;C408,PRECIOS_COMPLEMENTOS!$H$4:$H$17,0),IF(OR(G408="S",G408="20cm"),1,IF(OR(G408="M",G408="25cm"),2,IF(OR(G408="L",G408="30cm"),3,IF(OR(G408="XL",G408="35cm"),4,0))))),0)</f>
        <v>0.4</v>
      </c>
      <c r="J408" s="103">
        <f t="shared" si="1"/>
        <v>0</v>
      </c>
      <c r="K408" s="104" t="str">
        <f>IF(H408&lt;0,"ERROR",IF(H408=0,"",IF(H408&lt;CONFIG!$B$4,"CRÍTICO",IF(H408&lt;CONFIG!$B$5,"BAJO","OK"))))</f>
        <v/>
      </c>
    </row>
    <row r="409" ht="15.75" hidden="1" customHeight="1">
      <c r="A409" s="90" t="str">
        <f>IF(CLIENTES!A6="","",CLIENTES!A6)</f>
        <v/>
      </c>
      <c r="B409" s="90" t="s">
        <v>321</v>
      </c>
      <c r="C409" s="91" t="s">
        <v>326</v>
      </c>
      <c r="D409" s="109" t="s">
        <v>353</v>
      </c>
      <c r="E409" s="67" t="str">
        <f>COLORES!A5</f>
        <v>Perla</v>
      </c>
      <c r="F409" s="67" t="str">
        <f>COLORES!B5</f>
        <v>PPT</v>
      </c>
      <c r="G409" s="90" t="s">
        <v>376</v>
      </c>
      <c r="H409" s="100">
        <f>IFERROR(SUMIFS(MOVIMIENTOS_COMPLEMENTOS!$I$4:$I$803,MOVIMIENTOS_COMPLEMENTOS!$C$4:$C$803,A409,MOVIMIENTOS_COMPLEMENTOS!$D$4:$D$803,B409,MOVIMIENTOS_COMPLEMENTOS!$E$4:$E$803,C409,MOVIMIENTOS_COMPLEMENTOS!$G$4:$G$803,E409,MOVIMIENTOS_COMPLEMENTOS!$H$4:$H$803,G409,MOVIMIENTOS_COMPLEMENTOS!$B$4:$B$803,"INGRESO")+SUMIFS(MOVIMIENTOS_COMPLEMENTOS!$I$4:$I$803,MOVIMIENTOS_COMPLEMENTOS!$C$4:$C$803,A409,MOVIMIENTOS_COMPLEMENTOS!$D$4:$D$803,B409,MOVIMIENTOS_COMPLEMENTOS!$E$4:$E$803,C409,MOVIMIENTOS_COMPLEMENTOS!$G$4:$G$803,E409,MOVIMIENTOS_COMPLEMENTOS!$H$4:$H$803,G409,MOVIMIENTOS_COMPLEMENTOS!$B$4:$B$803,"DE CORTE")-SUMIFS(MOVIMIENTOS_COMPLEMENTOS!$I$4:$I$803,MOVIMIENTOS_COMPLEMENTOS!$C$4:$C$803,A409,MOVIMIENTOS_COMPLEMENTOS!$D$4:$D$803,B409,MOVIMIENTOS_COMPLEMENTOS!$E$4:$E$803,C409,MOVIMIENTOS_COMPLEMENTOS!$G$4:$G$803,E409,MOVIMIENTOS_COMPLEMENTOS!$H$4:$H$803,G409,MOVIMIENTOS_COMPLEMENTOS!$B$4:$B$803,"SALIDA"),0)</f>
        <v>0</v>
      </c>
      <c r="I409" s="102">
        <f t="array" ref="I409">IFERROR(INDEX(PRECIOS_COMPLEMENTOS!$C$4:$F$17,MATCH(B409&amp;"_"&amp;C409,PRECIOS_COMPLEMENTOS!$H$4:$H$17,0),IF(OR(G409="S",G409="20cm"),1,IF(OR(G409="M",G409="25cm"),2,IF(OR(G409="L",G409="30cm"),3,IF(OR(G409="XL",G409="35cm"),4,0))))),0)</f>
        <v>0.45</v>
      </c>
      <c r="J409" s="103">
        <f t="shared" si="1"/>
        <v>0</v>
      </c>
      <c r="K409" s="104" t="str">
        <f>IF(H409&lt;0,"ERROR",IF(H409=0,"",IF(H409&lt;CONFIG!$B$4,"CRÍTICO",IF(H409&lt;CONFIG!$B$5,"BAJO","OK"))))</f>
        <v/>
      </c>
    </row>
    <row r="410" ht="15.75" hidden="1" customHeight="1">
      <c r="A410" s="90" t="str">
        <f>IF(CLIENTES!A6="","",CLIENTES!A6)</f>
        <v/>
      </c>
      <c r="B410" s="90" t="s">
        <v>321</v>
      </c>
      <c r="C410" s="91" t="s">
        <v>326</v>
      </c>
      <c r="D410" s="109" t="s">
        <v>353</v>
      </c>
      <c r="E410" s="67" t="str">
        <f>COLORES!A5</f>
        <v>Perla</v>
      </c>
      <c r="F410" s="67" t="str">
        <f>COLORES!B5</f>
        <v>PPT</v>
      </c>
      <c r="G410" s="90" t="s">
        <v>377</v>
      </c>
      <c r="H410" s="100">
        <f>IFERROR(SUMIFS(MOVIMIENTOS_COMPLEMENTOS!$I$4:$I$803,MOVIMIENTOS_COMPLEMENTOS!$C$4:$C$803,A410,MOVIMIENTOS_COMPLEMENTOS!$D$4:$D$803,B410,MOVIMIENTOS_COMPLEMENTOS!$E$4:$E$803,C410,MOVIMIENTOS_COMPLEMENTOS!$G$4:$G$803,E410,MOVIMIENTOS_COMPLEMENTOS!$H$4:$H$803,G410,MOVIMIENTOS_COMPLEMENTOS!$B$4:$B$803,"INGRESO")+SUMIFS(MOVIMIENTOS_COMPLEMENTOS!$I$4:$I$803,MOVIMIENTOS_COMPLEMENTOS!$C$4:$C$803,A410,MOVIMIENTOS_COMPLEMENTOS!$D$4:$D$803,B410,MOVIMIENTOS_COMPLEMENTOS!$E$4:$E$803,C410,MOVIMIENTOS_COMPLEMENTOS!$G$4:$G$803,E410,MOVIMIENTOS_COMPLEMENTOS!$H$4:$H$803,G410,MOVIMIENTOS_COMPLEMENTOS!$B$4:$B$803,"DE CORTE")-SUMIFS(MOVIMIENTOS_COMPLEMENTOS!$I$4:$I$803,MOVIMIENTOS_COMPLEMENTOS!$C$4:$C$803,A410,MOVIMIENTOS_COMPLEMENTOS!$D$4:$D$803,B410,MOVIMIENTOS_COMPLEMENTOS!$E$4:$E$803,C410,MOVIMIENTOS_COMPLEMENTOS!$G$4:$G$803,E410,MOVIMIENTOS_COMPLEMENTOS!$H$4:$H$803,G410,MOVIMIENTOS_COMPLEMENTOS!$B$4:$B$803,"SALIDA"),0)</f>
        <v>0</v>
      </c>
      <c r="I410" s="102">
        <f t="array" ref="I410">IFERROR(INDEX(PRECIOS_COMPLEMENTOS!$C$4:$F$17,MATCH(B410&amp;"_"&amp;C410,PRECIOS_COMPLEMENTOS!$H$4:$H$17,0),IF(OR(G410="S",G410="20cm"),1,IF(OR(G410="M",G410="25cm"),2,IF(OR(G410="L",G410="30cm"),3,IF(OR(G410="XL",G410="35cm"),4,0))))),0)</f>
        <v>0.5</v>
      </c>
      <c r="J410" s="103">
        <f t="shared" si="1"/>
        <v>0</v>
      </c>
      <c r="K410" s="104" t="str">
        <f>IF(H410&lt;0,"ERROR",IF(H410=0,"",IF(H410&lt;CONFIG!$B$4,"CRÍTICO",IF(H410&lt;CONFIG!$B$5,"BAJO","OK"))))</f>
        <v/>
      </c>
    </row>
    <row r="411" ht="15.75" hidden="1" customHeight="1">
      <c r="A411" s="90" t="str">
        <f>IF(CLIENTES!A6="","",CLIENTES!A6)</f>
        <v/>
      </c>
      <c r="B411" s="90" t="s">
        <v>321</v>
      </c>
      <c r="C411" s="91" t="s">
        <v>326</v>
      </c>
      <c r="D411" s="109" t="s">
        <v>353</v>
      </c>
      <c r="E411" s="67" t="str">
        <f>COLORES!A5</f>
        <v>Perla</v>
      </c>
      <c r="F411" s="67" t="str">
        <f>COLORES!B5</f>
        <v>PPT</v>
      </c>
      <c r="G411" s="90" t="s">
        <v>379</v>
      </c>
      <c r="H411" s="100">
        <f>IFERROR(SUMIFS(MOVIMIENTOS_COMPLEMENTOS!$I$4:$I$803,MOVIMIENTOS_COMPLEMENTOS!$C$4:$C$803,A411,MOVIMIENTOS_COMPLEMENTOS!$D$4:$D$803,B411,MOVIMIENTOS_COMPLEMENTOS!$E$4:$E$803,C411,MOVIMIENTOS_COMPLEMENTOS!$G$4:$G$803,E411,MOVIMIENTOS_COMPLEMENTOS!$H$4:$H$803,G411,MOVIMIENTOS_COMPLEMENTOS!$B$4:$B$803,"INGRESO")+SUMIFS(MOVIMIENTOS_COMPLEMENTOS!$I$4:$I$803,MOVIMIENTOS_COMPLEMENTOS!$C$4:$C$803,A411,MOVIMIENTOS_COMPLEMENTOS!$D$4:$D$803,B411,MOVIMIENTOS_COMPLEMENTOS!$E$4:$E$803,C411,MOVIMIENTOS_COMPLEMENTOS!$G$4:$G$803,E411,MOVIMIENTOS_COMPLEMENTOS!$H$4:$H$803,G411,MOVIMIENTOS_COMPLEMENTOS!$B$4:$B$803,"DE CORTE")-SUMIFS(MOVIMIENTOS_COMPLEMENTOS!$I$4:$I$803,MOVIMIENTOS_COMPLEMENTOS!$C$4:$C$803,A411,MOVIMIENTOS_COMPLEMENTOS!$D$4:$D$803,B411,MOVIMIENTOS_COMPLEMENTOS!$E$4:$E$803,C411,MOVIMIENTOS_COMPLEMENTOS!$G$4:$G$803,E411,MOVIMIENTOS_COMPLEMENTOS!$H$4:$H$803,G411,MOVIMIENTOS_COMPLEMENTOS!$B$4:$B$803,"SALIDA"),0)</f>
        <v>0</v>
      </c>
      <c r="I411" s="102">
        <f t="array" ref="I411">IFERROR(INDEX(PRECIOS_COMPLEMENTOS!$C$4:$F$17,MATCH(B411&amp;"_"&amp;C411,PRECIOS_COMPLEMENTOS!$H$4:$H$17,0),IF(OR(G411="S",G411="20cm"),1,IF(OR(G411="M",G411="25cm"),2,IF(OR(G411="L",G411="30cm"),3,IF(OR(G411="XL",G411="35cm"),4,0))))),0)</f>
        <v>0.55</v>
      </c>
      <c r="J411" s="103">
        <f t="shared" si="1"/>
        <v>0</v>
      </c>
      <c r="K411" s="104" t="str">
        <f>IF(H411&lt;0,"ERROR",IF(H411=0,"",IF(H411&lt;CONFIG!$B$4,"CRÍTICO",IF(H411&lt;CONFIG!$B$5,"BAJO","OK"))))</f>
        <v/>
      </c>
    </row>
    <row r="412" ht="15.75" hidden="1" customHeight="1">
      <c r="A412" s="90" t="str">
        <f>IF(CLIENTES!A6="","",CLIENTES!A6)</f>
        <v/>
      </c>
      <c r="B412" s="90" t="s">
        <v>321</v>
      </c>
      <c r="C412" s="91" t="s">
        <v>326</v>
      </c>
      <c r="D412" s="109" t="s">
        <v>353</v>
      </c>
      <c r="E412" s="67" t="str">
        <f>COLORES!A6</f>
        <v>Blanco</v>
      </c>
      <c r="F412" s="67" t="str">
        <f>COLORES!B6</f>
        <v>PPT</v>
      </c>
      <c r="G412" s="90" t="s">
        <v>378</v>
      </c>
      <c r="H412" s="100">
        <f>IFERROR(SUMIFS(MOVIMIENTOS_COMPLEMENTOS!$I$4:$I$803,MOVIMIENTOS_COMPLEMENTOS!$C$4:$C$803,A412,MOVIMIENTOS_COMPLEMENTOS!$D$4:$D$803,B412,MOVIMIENTOS_COMPLEMENTOS!$E$4:$E$803,C412,MOVIMIENTOS_COMPLEMENTOS!$G$4:$G$803,E412,MOVIMIENTOS_COMPLEMENTOS!$H$4:$H$803,G412,MOVIMIENTOS_COMPLEMENTOS!$B$4:$B$803,"INGRESO")+SUMIFS(MOVIMIENTOS_COMPLEMENTOS!$I$4:$I$803,MOVIMIENTOS_COMPLEMENTOS!$C$4:$C$803,A412,MOVIMIENTOS_COMPLEMENTOS!$D$4:$D$803,B412,MOVIMIENTOS_COMPLEMENTOS!$E$4:$E$803,C412,MOVIMIENTOS_COMPLEMENTOS!$G$4:$G$803,E412,MOVIMIENTOS_COMPLEMENTOS!$H$4:$H$803,G412,MOVIMIENTOS_COMPLEMENTOS!$B$4:$B$803,"DE CORTE")-SUMIFS(MOVIMIENTOS_COMPLEMENTOS!$I$4:$I$803,MOVIMIENTOS_COMPLEMENTOS!$C$4:$C$803,A412,MOVIMIENTOS_COMPLEMENTOS!$D$4:$D$803,B412,MOVIMIENTOS_COMPLEMENTOS!$E$4:$E$803,C412,MOVIMIENTOS_COMPLEMENTOS!$G$4:$G$803,E412,MOVIMIENTOS_COMPLEMENTOS!$H$4:$H$803,G412,MOVIMIENTOS_COMPLEMENTOS!$B$4:$B$803,"SALIDA"),0)</f>
        <v>0</v>
      </c>
      <c r="I412" s="102">
        <f t="array" ref="I412">IFERROR(INDEX(PRECIOS_COMPLEMENTOS!$C$4:$F$17,MATCH(B412&amp;"_"&amp;C412,PRECIOS_COMPLEMENTOS!$H$4:$H$17,0),IF(OR(G412="S",G412="20cm"),1,IF(OR(G412="M",G412="25cm"),2,IF(OR(G412="L",G412="30cm"),3,IF(OR(G412="XL",G412="35cm"),4,0))))),0)</f>
        <v>0.4</v>
      </c>
      <c r="J412" s="103">
        <f t="shared" si="1"/>
        <v>0</v>
      </c>
      <c r="K412" s="104" t="str">
        <f>IF(H412&lt;0,"ERROR",IF(H412=0,"",IF(H412&lt;CONFIG!$B$4,"CRÍTICO",IF(H412&lt;CONFIG!$B$5,"BAJO","OK"))))</f>
        <v/>
      </c>
    </row>
    <row r="413" ht="15.75" hidden="1" customHeight="1">
      <c r="A413" s="90" t="str">
        <f>IF(CLIENTES!A6="","",CLIENTES!A6)</f>
        <v/>
      </c>
      <c r="B413" s="90" t="s">
        <v>321</v>
      </c>
      <c r="C413" s="91" t="s">
        <v>326</v>
      </c>
      <c r="D413" s="109" t="s">
        <v>353</v>
      </c>
      <c r="E413" s="67" t="str">
        <f>COLORES!A6</f>
        <v>Blanco</v>
      </c>
      <c r="F413" s="67" t="str">
        <f>COLORES!B6</f>
        <v>PPT</v>
      </c>
      <c r="G413" s="90" t="s">
        <v>376</v>
      </c>
      <c r="H413" s="100">
        <f>IFERROR(SUMIFS(MOVIMIENTOS_COMPLEMENTOS!$I$4:$I$803,MOVIMIENTOS_COMPLEMENTOS!$C$4:$C$803,A413,MOVIMIENTOS_COMPLEMENTOS!$D$4:$D$803,B413,MOVIMIENTOS_COMPLEMENTOS!$E$4:$E$803,C413,MOVIMIENTOS_COMPLEMENTOS!$G$4:$G$803,E413,MOVIMIENTOS_COMPLEMENTOS!$H$4:$H$803,G413,MOVIMIENTOS_COMPLEMENTOS!$B$4:$B$803,"INGRESO")+SUMIFS(MOVIMIENTOS_COMPLEMENTOS!$I$4:$I$803,MOVIMIENTOS_COMPLEMENTOS!$C$4:$C$803,A413,MOVIMIENTOS_COMPLEMENTOS!$D$4:$D$803,B413,MOVIMIENTOS_COMPLEMENTOS!$E$4:$E$803,C413,MOVIMIENTOS_COMPLEMENTOS!$G$4:$G$803,E413,MOVIMIENTOS_COMPLEMENTOS!$H$4:$H$803,G413,MOVIMIENTOS_COMPLEMENTOS!$B$4:$B$803,"DE CORTE")-SUMIFS(MOVIMIENTOS_COMPLEMENTOS!$I$4:$I$803,MOVIMIENTOS_COMPLEMENTOS!$C$4:$C$803,A413,MOVIMIENTOS_COMPLEMENTOS!$D$4:$D$803,B413,MOVIMIENTOS_COMPLEMENTOS!$E$4:$E$803,C413,MOVIMIENTOS_COMPLEMENTOS!$G$4:$G$803,E413,MOVIMIENTOS_COMPLEMENTOS!$H$4:$H$803,G413,MOVIMIENTOS_COMPLEMENTOS!$B$4:$B$803,"SALIDA"),0)</f>
        <v>0</v>
      </c>
      <c r="I413" s="102">
        <f t="array" ref="I413">IFERROR(INDEX(PRECIOS_COMPLEMENTOS!$C$4:$F$17,MATCH(B413&amp;"_"&amp;C413,PRECIOS_COMPLEMENTOS!$H$4:$H$17,0),IF(OR(G413="S",G413="20cm"),1,IF(OR(G413="M",G413="25cm"),2,IF(OR(G413="L",G413="30cm"),3,IF(OR(G413="XL",G413="35cm"),4,0))))),0)</f>
        <v>0.45</v>
      </c>
      <c r="J413" s="103">
        <f t="shared" si="1"/>
        <v>0</v>
      </c>
      <c r="K413" s="104" t="str">
        <f>IF(H413&lt;0,"ERROR",IF(H413=0,"",IF(H413&lt;CONFIG!$B$4,"CRÍTICO",IF(H413&lt;CONFIG!$B$5,"BAJO","OK"))))</f>
        <v/>
      </c>
    </row>
    <row r="414" ht="15.75" hidden="1" customHeight="1">
      <c r="A414" s="90" t="str">
        <f>IF(CLIENTES!A6="","",CLIENTES!A6)</f>
        <v/>
      </c>
      <c r="B414" s="90" t="s">
        <v>321</v>
      </c>
      <c r="C414" s="91" t="s">
        <v>326</v>
      </c>
      <c r="D414" s="109" t="s">
        <v>353</v>
      </c>
      <c r="E414" s="67" t="str">
        <f>COLORES!A6</f>
        <v>Blanco</v>
      </c>
      <c r="F414" s="67" t="str">
        <f>COLORES!B6</f>
        <v>PPT</v>
      </c>
      <c r="G414" s="90" t="s">
        <v>377</v>
      </c>
      <c r="H414" s="100">
        <f>IFERROR(SUMIFS(MOVIMIENTOS_COMPLEMENTOS!$I$4:$I$803,MOVIMIENTOS_COMPLEMENTOS!$C$4:$C$803,A414,MOVIMIENTOS_COMPLEMENTOS!$D$4:$D$803,B414,MOVIMIENTOS_COMPLEMENTOS!$E$4:$E$803,C414,MOVIMIENTOS_COMPLEMENTOS!$G$4:$G$803,E414,MOVIMIENTOS_COMPLEMENTOS!$H$4:$H$803,G414,MOVIMIENTOS_COMPLEMENTOS!$B$4:$B$803,"INGRESO")+SUMIFS(MOVIMIENTOS_COMPLEMENTOS!$I$4:$I$803,MOVIMIENTOS_COMPLEMENTOS!$C$4:$C$803,A414,MOVIMIENTOS_COMPLEMENTOS!$D$4:$D$803,B414,MOVIMIENTOS_COMPLEMENTOS!$E$4:$E$803,C414,MOVIMIENTOS_COMPLEMENTOS!$G$4:$G$803,E414,MOVIMIENTOS_COMPLEMENTOS!$H$4:$H$803,G414,MOVIMIENTOS_COMPLEMENTOS!$B$4:$B$803,"DE CORTE")-SUMIFS(MOVIMIENTOS_COMPLEMENTOS!$I$4:$I$803,MOVIMIENTOS_COMPLEMENTOS!$C$4:$C$803,A414,MOVIMIENTOS_COMPLEMENTOS!$D$4:$D$803,B414,MOVIMIENTOS_COMPLEMENTOS!$E$4:$E$803,C414,MOVIMIENTOS_COMPLEMENTOS!$G$4:$G$803,E414,MOVIMIENTOS_COMPLEMENTOS!$H$4:$H$803,G414,MOVIMIENTOS_COMPLEMENTOS!$B$4:$B$803,"SALIDA"),0)</f>
        <v>0</v>
      </c>
      <c r="I414" s="102">
        <f t="array" ref="I414">IFERROR(INDEX(PRECIOS_COMPLEMENTOS!$C$4:$F$17,MATCH(B414&amp;"_"&amp;C414,PRECIOS_COMPLEMENTOS!$H$4:$H$17,0),IF(OR(G414="S",G414="20cm"),1,IF(OR(G414="M",G414="25cm"),2,IF(OR(G414="L",G414="30cm"),3,IF(OR(G414="XL",G414="35cm"),4,0))))),0)</f>
        <v>0.5</v>
      </c>
      <c r="J414" s="103">
        <f t="shared" si="1"/>
        <v>0</v>
      </c>
      <c r="K414" s="104" t="str">
        <f>IF(H414&lt;0,"ERROR",IF(H414=0,"",IF(H414&lt;CONFIG!$B$4,"CRÍTICO",IF(H414&lt;CONFIG!$B$5,"BAJO","OK"))))</f>
        <v/>
      </c>
    </row>
    <row r="415" ht="15.75" hidden="1" customHeight="1">
      <c r="A415" s="90" t="str">
        <f>IF(CLIENTES!A6="","",CLIENTES!A6)</f>
        <v/>
      </c>
      <c r="B415" s="90" t="s">
        <v>321</v>
      </c>
      <c r="C415" s="91" t="s">
        <v>326</v>
      </c>
      <c r="D415" s="109" t="s">
        <v>353</v>
      </c>
      <c r="E415" s="67" t="str">
        <f>COLORES!A6</f>
        <v>Blanco</v>
      </c>
      <c r="F415" s="67" t="str">
        <f>COLORES!B6</f>
        <v>PPT</v>
      </c>
      <c r="G415" s="90" t="s">
        <v>379</v>
      </c>
      <c r="H415" s="100">
        <f>IFERROR(SUMIFS(MOVIMIENTOS_COMPLEMENTOS!$I$4:$I$803,MOVIMIENTOS_COMPLEMENTOS!$C$4:$C$803,A415,MOVIMIENTOS_COMPLEMENTOS!$D$4:$D$803,B415,MOVIMIENTOS_COMPLEMENTOS!$E$4:$E$803,C415,MOVIMIENTOS_COMPLEMENTOS!$G$4:$G$803,E415,MOVIMIENTOS_COMPLEMENTOS!$H$4:$H$803,G415,MOVIMIENTOS_COMPLEMENTOS!$B$4:$B$803,"INGRESO")+SUMIFS(MOVIMIENTOS_COMPLEMENTOS!$I$4:$I$803,MOVIMIENTOS_COMPLEMENTOS!$C$4:$C$803,A415,MOVIMIENTOS_COMPLEMENTOS!$D$4:$D$803,B415,MOVIMIENTOS_COMPLEMENTOS!$E$4:$E$803,C415,MOVIMIENTOS_COMPLEMENTOS!$G$4:$G$803,E415,MOVIMIENTOS_COMPLEMENTOS!$H$4:$H$803,G415,MOVIMIENTOS_COMPLEMENTOS!$B$4:$B$803,"DE CORTE")-SUMIFS(MOVIMIENTOS_COMPLEMENTOS!$I$4:$I$803,MOVIMIENTOS_COMPLEMENTOS!$C$4:$C$803,A415,MOVIMIENTOS_COMPLEMENTOS!$D$4:$D$803,B415,MOVIMIENTOS_COMPLEMENTOS!$E$4:$E$803,C415,MOVIMIENTOS_COMPLEMENTOS!$G$4:$G$803,E415,MOVIMIENTOS_COMPLEMENTOS!$H$4:$H$803,G415,MOVIMIENTOS_COMPLEMENTOS!$B$4:$B$803,"SALIDA"),0)</f>
        <v>0</v>
      </c>
      <c r="I415" s="102">
        <f t="array" ref="I415">IFERROR(INDEX(PRECIOS_COMPLEMENTOS!$C$4:$F$17,MATCH(B415&amp;"_"&amp;C415,PRECIOS_COMPLEMENTOS!$H$4:$H$17,0),IF(OR(G415="S",G415="20cm"),1,IF(OR(G415="M",G415="25cm"),2,IF(OR(G415="L",G415="30cm"),3,IF(OR(G415="XL",G415="35cm"),4,0))))),0)</f>
        <v>0.55</v>
      </c>
      <c r="J415" s="103">
        <f t="shared" si="1"/>
        <v>0</v>
      </c>
      <c r="K415" s="104" t="str">
        <f>IF(H415&lt;0,"ERROR",IF(H415=0,"",IF(H415&lt;CONFIG!$B$4,"CRÍTICO",IF(H415&lt;CONFIG!$B$5,"BAJO","OK"))))</f>
        <v/>
      </c>
    </row>
    <row r="416" ht="15.75" hidden="1" customHeight="1">
      <c r="A416" s="90" t="str">
        <f>IF(CLIENTES!A6="","",CLIENTES!A6)</f>
        <v/>
      </c>
      <c r="B416" s="90" t="s">
        <v>321</v>
      </c>
      <c r="C416" s="91" t="s">
        <v>326</v>
      </c>
      <c r="D416" s="109" t="s">
        <v>353</v>
      </c>
      <c r="E416" s="67" t="str">
        <f>COLORES!A7</f>
        <v>Azul</v>
      </c>
      <c r="F416" s="67" t="str">
        <f>COLORES!B7</f>
        <v>OSCURO</v>
      </c>
      <c r="G416" s="90" t="s">
        <v>378</v>
      </c>
      <c r="H416" s="100">
        <f>IFERROR(SUMIFS(MOVIMIENTOS_COMPLEMENTOS!$I$4:$I$803,MOVIMIENTOS_COMPLEMENTOS!$C$4:$C$803,A416,MOVIMIENTOS_COMPLEMENTOS!$D$4:$D$803,B416,MOVIMIENTOS_COMPLEMENTOS!$E$4:$E$803,C416,MOVIMIENTOS_COMPLEMENTOS!$G$4:$G$803,E416,MOVIMIENTOS_COMPLEMENTOS!$H$4:$H$803,G416,MOVIMIENTOS_COMPLEMENTOS!$B$4:$B$803,"INGRESO")+SUMIFS(MOVIMIENTOS_COMPLEMENTOS!$I$4:$I$803,MOVIMIENTOS_COMPLEMENTOS!$C$4:$C$803,A416,MOVIMIENTOS_COMPLEMENTOS!$D$4:$D$803,B416,MOVIMIENTOS_COMPLEMENTOS!$E$4:$E$803,C416,MOVIMIENTOS_COMPLEMENTOS!$G$4:$G$803,E416,MOVIMIENTOS_COMPLEMENTOS!$H$4:$H$803,G416,MOVIMIENTOS_COMPLEMENTOS!$B$4:$B$803,"DE CORTE")-SUMIFS(MOVIMIENTOS_COMPLEMENTOS!$I$4:$I$803,MOVIMIENTOS_COMPLEMENTOS!$C$4:$C$803,A416,MOVIMIENTOS_COMPLEMENTOS!$D$4:$D$803,B416,MOVIMIENTOS_COMPLEMENTOS!$E$4:$E$803,C416,MOVIMIENTOS_COMPLEMENTOS!$G$4:$G$803,E416,MOVIMIENTOS_COMPLEMENTOS!$H$4:$H$803,G416,MOVIMIENTOS_COMPLEMENTOS!$B$4:$B$803,"SALIDA"),0)</f>
        <v>0</v>
      </c>
      <c r="I416" s="102">
        <f t="array" ref="I416">IFERROR(INDEX(PRECIOS_COMPLEMENTOS!$C$4:$F$17,MATCH(B416&amp;"_"&amp;C416,PRECIOS_COMPLEMENTOS!$H$4:$H$17,0),IF(OR(G416="S",G416="20cm"),1,IF(OR(G416="M",G416="25cm"),2,IF(OR(G416="L",G416="30cm"),3,IF(OR(G416="XL",G416="35cm"),4,0))))),0)</f>
        <v>0.4</v>
      </c>
      <c r="J416" s="103">
        <f t="shared" si="1"/>
        <v>0</v>
      </c>
      <c r="K416" s="104" t="str">
        <f>IF(H416&lt;0,"ERROR",IF(H416=0,"",IF(H416&lt;CONFIG!$B$4,"CRÍTICO",IF(H416&lt;CONFIG!$B$5,"BAJO","OK"))))</f>
        <v/>
      </c>
    </row>
    <row r="417" ht="15.75" hidden="1" customHeight="1">
      <c r="A417" s="90" t="str">
        <f>IF(CLIENTES!A6="","",CLIENTES!A6)</f>
        <v/>
      </c>
      <c r="B417" s="90" t="s">
        <v>321</v>
      </c>
      <c r="C417" s="91" t="s">
        <v>326</v>
      </c>
      <c r="D417" s="109" t="s">
        <v>353</v>
      </c>
      <c r="E417" s="67" t="str">
        <f>COLORES!A7</f>
        <v>Azul</v>
      </c>
      <c r="F417" s="67" t="str">
        <f>COLORES!B7</f>
        <v>OSCURO</v>
      </c>
      <c r="G417" s="90" t="s">
        <v>376</v>
      </c>
      <c r="H417" s="100">
        <f>IFERROR(SUMIFS(MOVIMIENTOS_COMPLEMENTOS!$I$4:$I$803,MOVIMIENTOS_COMPLEMENTOS!$C$4:$C$803,A417,MOVIMIENTOS_COMPLEMENTOS!$D$4:$D$803,B417,MOVIMIENTOS_COMPLEMENTOS!$E$4:$E$803,C417,MOVIMIENTOS_COMPLEMENTOS!$G$4:$G$803,E417,MOVIMIENTOS_COMPLEMENTOS!$H$4:$H$803,G417,MOVIMIENTOS_COMPLEMENTOS!$B$4:$B$803,"INGRESO")+SUMIFS(MOVIMIENTOS_COMPLEMENTOS!$I$4:$I$803,MOVIMIENTOS_COMPLEMENTOS!$C$4:$C$803,A417,MOVIMIENTOS_COMPLEMENTOS!$D$4:$D$803,B417,MOVIMIENTOS_COMPLEMENTOS!$E$4:$E$803,C417,MOVIMIENTOS_COMPLEMENTOS!$G$4:$G$803,E417,MOVIMIENTOS_COMPLEMENTOS!$H$4:$H$803,G417,MOVIMIENTOS_COMPLEMENTOS!$B$4:$B$803,"DE CORTE")-SUMIFS(MOVIMIENTOS_COMPLEMENTOS!$I$4:$I$803,MOVIMIENTOS_COMPLEMENTOS!$C$4:$C$803,A417,MOVIMIENTOS_COMPLEMENTOS!$D$4:$D$803,B417,MOVIMIENTOS_COMPLEMENTOS!$E$4:$E$803,C417,MOVIMIENTOS_COMPLEMENTOS!$G$4:$G$803,E417,MOVIMIENTOS_COMPLEMENTOS!$H$4:$H$803,G417,MOVIMIENTOS_COMPLEMENTOS!$B$4:$B$803,"SALIDA"),0)</f>
        <v>0</v>
      </c>
      <c r="I417" s="102">
        <f t="array" ref="I417">IFERROR(INDEX(PRECIOS_COMPLEMENTOS!$C$4:$F$17,MATCH(B417&amp;"_"&amp;C417,PRECIOS_COMPLEMENTOS!$H$4:$H$17,0),IF(OR(G417="S",G417="20cm"),1,IF(OR(G417="M",G417="25cm"),2,IF(OR(G417="L",G417="30cm"),3,IF(OR(G417="XL",G417="35cm"),4,0))))),0)</f>
        <v>0.45</v>
      </c>
      <c r="J417" s="103">
        <f t="shared" si="1"/>
        <v>0</v>
      </c>
      <c r="K417" s="104" t="str">
        <f>IF(H417&lt;0,"ERROR",IF(H417=0,"",IF(H417&lt;CONFIG!$B$4,"CRÍTICO",IF(H417&lt;CONFIG!$B$5,"BAJO","OK"))))</f>
        <v/>
      </c>
    </row>
    <row r="418" ht="15.75" hidden="1" customHeight="1">
      <c r="A418" s="90" t="str">
        <f>IF(CLIENTES!A6="","",CLIENTES!A6)</f>
        <v/>
      </c>
      <c r="B418" s="90" t="s">
        <v>321</v>
      </c>
      <c r="C418" s="91" t="s">
        <v>326</v>
      </c>
      <c r="D418" s="109" t="s">
        <v>353</v>
      </c>
      <c r="E418" s="67" t="str">
        <f>COLORES!A7</f>
        <v>Azul</v>
      </c>
      <c r="F418" s="67" t="str">
        <f>COLORES!B7</f>
        <v>OSCURO</v>
      </c>
      <c r="G418" s="90" t="s">
        <v>377</v>
      </c>
      <c r="H418" s="100">
        <f>IFERROR(SUMIFS(MOVIMIENTOS_COMPLEMENTOS!$I$4:$I$803,MOVIMIENTOS_COMPLEMENTOS!$C$4:$C$803,A418,MOVIMIENTOS_COMPLEMENTOS!$D$4:$D$803,B418,MOVIMIENTOS_COMPLEMENTOS!$E$4:$E$803,C418,MOVIMIENTOS_COMPLEMENTOS!$G$4:$G$803,E418,MOVIMIENTOS_COMPLEMENTOS!$H$4:$H$803,G418,MOVIMIENTOS_COMPLEMENTOS!$B$4:$B$803,"INGRESO")+SUMIFS(MOVIMIENTOS_COMPLEMENTOS!$I$4:$I$803,MOVIMIENTOS_COMPLEMENTOS!$C$4:$C$803,A418,MOVIMIENTOS_COMPLEMENTOS!$D$4:$D$803,B418,MOVIMIENTOS_COMPLEMENTOS!$E$4:$E$803,C418,MOVIMIENTOS_COMPLEMENTOS!$G$4:$G$803,E418,MOVIMIENTOS_COMPLEMENTOS!$H$4:$H$803,G418,MOVIMIENTOS_COMPLEMENTOS!$B$4:$B$803,"DE CORTE")-SUMIFS(MOVIMIENTOS_COMPLEMENTOS!$I$4:$I$803,MOVIMIENTOS_COMPLEMENTOS!$C$4:$C$803,A418,MOVIMIENTOS_COMPLEMENTOS!$D$4:$D$803,B418,MOVIMIENTOS_COMPLEMENTOS!$E$4:$E$803,C418,MOVIMIENTOS_COMPLEMENTOS!$G$4:$G$803,E418,MOVIMIENTOS_COMPLEMENTOS!$H$4:$H$803,G418,MOVIMIENTOS_COMPLEMENTOS!$B$4:$B$803,"SALIDA"),0)</f>
        <v>0</v>
      </c>
      <c r="I418" s="102">
        <f t="array" ref="I418">IFERROR(INDEX(PRECIOS_COMPLEMENTOS!$C$4:$F$17,MATCH(B418&amp;"_"&amp;C418,PRECIOS_COMPLEMENTOS!$H$4:$H$17,0),IF(OR(G418="S",G418="20cm"),1,IF(OR(G418="M",G418="25cm"),2,IF(OR(G418="L",G418="30cm"),3,IF(OR(G418="XL",G418="35cm"),4,0))))),0)</f>
        <v>0.5</v>
      </c>
      <c r="J418" s="103">
        <f t="shared" si="1"/>
        <v>0</v>
      </c>
      <c r="K418" s="104" t="str">
        <f>IF(H418&lt;0,"ERROR",IF(H418=0,"",IF(H418&lt;CONFIG!$B$4,"CRÍTICO",IF(H418&lt;CONFIG!$B$5,"BAJO","OK"))))</f>
        <v/>
      </c>
    </row>
    <row r="419" ht="15.75" hidden="1" customHeight="1">
      <c r="A419" s="90" t="str">
        <f>IF(CLIENTES!A6="","",CLIENTES!A6)</f>
        <v/>
      </c>
      <c r="B419" s="90" t="s">
        <v>321</v>
      </c>
      <c r="C419" s="91" t="s">
        <v>326</v>
      </c>
      <c r="D419" s="109" t="s">
        <v>353</v>
      </c>
      <c r="E419" s="67" t="str">
        <f>COLORES!A7</f>
        <v>Azul</v>
      </c>
      <c r="F419" s="67" t="str">
        <f>COLORES!B7</f>
        <v>OSCURO</v>
      </c>
      <c r="G419" s="90" t="s">
        <v>379</v>
      </c>
      <c r="H419" s="100">
        <f>IFERROR(SUMIFS(MOVIMIENTOS_COMPLEMENTOS!$I$4:$I$803,MOVIMIENTOS_COMPLEMENTOS!$C$4:$C$803,A419,MOVIMIENTOS_COMPLEMENTOS!$D$4:$D$803,B419,MOVIMIENTOS_COMPLEMENTOS!$E$4:$E$803,C419,MOVIMIENTOS_COMPLEMENTOS!$G$4:$G$803,E419,MOVIMIENTOS_COMPLEMENTOS!$H$4:$H$803,G419,MOVIMIENTOS_COMPLEMENTOS!$B$4:$B$803,"INGRESO")+SUMIFS(MOVIMIENTOS_COMPLEMENTOS!$I$4:$I$803,MOVIMIENTOS_COMPLEMENTOS!$C$4:$C$803,A419,MOVIMIENTOS_COMPLEMENTOS!$D$4:$D$803,B419,MOVIMIENTOS_COMPLEMENTOS!$E$4:$E$803,C419,MOVIMIENTOS_COMPLEMENTOS!$G$4:$G$803,E419,MOVIMIENTOS_COMPLEMENTOS!$H$4:$H$803,G419,MOVIMIENTOS_COMPLEMENTOS!$B$4:$B$803,"DE CORTE")-SUMIFS(MOVIMIENTOS_COMPLEMENTOS!$I$4:$I$803,MOVIMIENTOS_COMPLEMENTOS!$C$4:$C$803,A419,MOVIMIENTOS_COMPLEMENTOS!$D$4:$D$803,B419,MOVIMIENTOS_COMPLEMENTOS!$E$4:$E$803,C419,MOVIMIENTOS_COMPLEMENTOS!$G$4:$G$803,E419,MOVIMIENTOS_COMPLEMENTOS!$H$4:$H$803,G419,MOVIMIENTOS_COMPLEMENTOS!$B$4:$B$803,"SALIDA"),0)</f>
        <v>0</v>
      </c>
      <c r="I419" s="102">
        <f t="array" ref="I419">IFERROR(INDEX(PRECIOS_COMPLEMENTOS!$C$4:$F$17,MATCH(B419&amp;"_"&amp;C419,PRECIOS_COMPLEMENTOS!$H$4:$H$17,0),IF(OR(G419="S",G419="20cm"),1,IF(OR(G419="M",G419="25cm"),2,IF(OR(G419="L",G419="30cm"),3,IF(OR(G419="XL",G419="35cm"),4,0))))),0)</f>
        <v>0.55</v>
      </c>
      <c r="J419" s="103">
        <f t="shared" si="1"/>
        <v>0</v>
      </c>
      <c r="K419" s="104" t="str">
        <f>IF(H419&lt;0,"ERROR",IF(H419=0,"",IF(H419&lt;CONFIG!$B$4,"CRÍTICO",IF(H419&lt;CONFIG!$B$5,"BAJO","OK"))))</f>
        <v/>
      </c>
    </row>
    <row r="420" ht="15.75" hidden="1" customHeight="1">
      <c r="A420" s="90" t="str">
        <f>IF(CLIENTES!A6="","",CLIENTES!A6)</f>
        <v/>
      </c>
      <c r="B420" s="90" t="s">
        <v>321</v>
      </c>
      <c r="C420" s="91" t="s">
        <v>326</v>
      </c>
      <c r="D420" s="109" t="s">
        <v>353</v>
      </c>
      <c r="E420" s="67" t="str">
        <f>COLORES!A8</f>
        <v>Beige</v>
      </c>
      <c r="F420" s="67" t="str">
        <f>COLORES!B8</f>
        <v>CLARO</v>
      </c>
      <c r="G420" s="90" t="s">
        <v>378</v>
      </c>
      <c r="H420" s="100">
        <f>IFERROR(SUMIFS(MOVIMIENTOS_COMPLEMENTOS!$I$4:$I$803,MOVIMIENTOS_COMPLEMENTOS!$C$4:$C$803,A420,MOVIMIENTOS_COMPLEMENTOS!$D$4:$D$803,B420,MOVIMIENTOS_COMPLEMENTOS!$E$4:$E$803,C420,MOVIMIENTOS_COMPLEMENTOS!$G$4:$G$803,E420,MOVIMIENTOS_COMPLEMENTOS!$H$4:$H$803,G420,MOVIMIENTOS_COMPLEMENTOS!$B$4:$B$803,"INGRESO")+SUMIFS(MOVIMIENTOS_COMPLEMENTOS!$I$4:$I$803,MOVIMIENTOS_COMPLEMENTOS!$C$4:$C$803,A420,MOVIMIENTOS_COMPLEMENTOS!$D$4:$D$803,B420,MOVIMIENTOS_COMPLEMENTOS!$E$4:$E$803,C420,MOVIMIENTOS_COMPLEMENTOS!$G$4:$G$803,E420,MOVIMIENTOS_COMPLEMENTOS!$H$4:$H$803,G420,MOVIMIENTOS_COMPLEMENTOS!$B$4:$B$803,"DE CORTE")-SUMIFS(MOVIMIENTOS_COMPLEMENTOS!$I$4:$I$803,MOVIMIENTOS_COMPLEMENTOS!$C$4:$C$803,A420,MOVIMIENTOS_COMPLEMENTOS!$D$4:$D$803,B420,MOVIMIENTOS_COMPLEMENTOS!$E$4:$E$803,C420,MOVIMIENTOS_COMPLEMENTOS!$G$4:$G$803,E420,MOVIMIENTOS_COMPLEMENTOS!$H$4:$H$803,G420,MOVIMIENTOS_COMPLEMENTOS!$B$4:$B$803,"SALIDA"),0)</f>
        <v>0</v>
      </c>
      <c r="I420" s="102">
        <f t="array" ref="I420">IFERROR(INDEX(PRECIOS_COMPLEMENTOS!$C$4:$F$17,MATCH(B420&amp;"_"&amp;C420,PRECIOS_COMPLEMENTOS!$H$4:$H$17,0),IF(OR(G420="S",G420="20cm"),1,IF(OR(G420="M",G420="25cm"),2,IF(OR(G420="L",G420="30cm"),3,IF(OR(G420="XL",G420="35cm"),4,0))))),0)</f>
        <v>0.4</v>
      </c>
      <c r="J420" s="103">
        <f t="shared" si="1"/>
        <v>0</v>
      </c>
      <c r="K420" s="104" t="str">
        <f>IF(H420&lt;0,"ERROR",IF(H420=0,"",IF(H420&lt;CONFIG!$B$4,"CRÍTICO",IF(H420&lt;CONFIG!$B$5,"BAJO","OK"))))</f>
        <v/>
      </c>
    </row>
    <row r="421" ht="15.75" hidden="1" customHeight="1">
      <c r="A421" s="90" t="str">
        <f>IF(CLIENTES!A6="","",CLIENTES!A6)</f>
        <v/>
      </c>
      <c r="B421" s="90" t="s">
        <v>321</v>
      </c>
      <c r="C421" s="91" t="s">
        <v>326</v>
      </c>
      <c r="D421" s="109" t="s">
        <v>353</v>
      </c>
      <c r="E421" s="67" t="str">
        <f>COLORES!A8</f>
        <v>Beige</v>
      </c>
      <c r="F421" s="67" t="str">
        <f>COLORES!B8</f>
        <v>CLARO</v>
      </c>
      <c r="G421" s="90" t="s">
        <v>376</v>
      </c>
      <c r="H421" s="100">
        <f>IFERROR(SUMIFS(MOVIMIENTOS_COMPLEMENTOS!$I$4:$I$803,MOVIMIENTOS_COMPLEMENTOS!$C$4:$C$803,A421,MOVIMIENTOS_COMPLEMENTOS!$D$4:$D$803,B421,MOVIMIENTOS_COMPLEMENTOS!$E$4:$E$803,C421,MOVIMIENTOS_COMPLEMENTOS!$G$4:$G$803,E421,MOVIMIENTOS_COMPLEMENTOS!$H$4:$H$803,G421,MOVIMIENTOS_COMPLEMENTOS!$B$4:$B$803,"INGRESO")+SUMIFS(MOVIMIENTOS_COMPLEMENTOS!$I$4:$I$803,MOVIMIENTOS_COMPLEMENTOS!$C$4:$C$803,A421,MOVIMIENTOS_COMPLEMENTOS!$D$4:$D$803,B421,MOVIMIENTOS_COMPLEMENTOS!$E$4:$E$803,C421,MOVIMIENTOS_COMPLEMENTOS!$G$4:$G$803,E421,MOVIMIENTOS_COMPLEMENTOS!$H$4:$H$803,G421,MOVIMIENTOS_COMPLEMENTOS!$B$4:$B$803,"DE CORTE")-SUMIFS(MOVIMIENTOS_COMPLEMENTOS!$I$4:$I$803,MOVIMIENTOS_COMPLEMENTOS!$C$4:$C$803,A421,MOVIMIENTOS_COMPLEMENTOS!$D$4:$D$803,B421,MOVIMIENTOS_COMPLEMENTOS!$E$4:$E$803,C421,MOVIMIENTOS_COMPLEMENTOS!$G$4:$G$803,E421,MOVIMIENTOS_COMPLEMENTOS!$H$4:$H$803,G421,MOVIMIENTOS_COMPLEMENTOS!$B$4:$B$803,"SALIDA"),0)</f>
        <v>0</v>
      </c>
      <c r="I421" s="102">
        <f t="array" ref="I421">IFERROR(INDEX(PRECIOS_COMPLEMENTOS!$C$4:$F$17,MATCH(B421&amp;"_"&amp;C421,PRECIOS_COMPLEMENTOS!$H$4:$H$17,0),IF(OR(G421="S",G421="20cm"),1,IF(OR(G421="M",G421="25cm"),2,IF(OR(G421="L",G421="30cm"),3,IF(OR(G421="XL",G421="35cm"),4,0))))),0)</f>
        <v>0.45</v>
      </c>
      <c r="J421" s="103">
        <f t="shared" si="1"/>
        <v>0</v>
      </c>
      <c r="K421" s="104" t="str">
        <f>IF(H421&lt;0,"ERROR",IF(H421=0,"",IF(H421&lt;CONFIG!$B$4,"CRÍTICO",IF(H421&lt;CONFIG!$B$5,"BAJO","OK"))))</f>
        <v/>
      </c>
    </row>
    <row r="422" ht="15.75" hidden="1" customHeight="1">
      <c r="A422" s="90" t="str">
        <f>IF(CLIENTES!A6="","",CLIENTES!A6)</f>
        <v/>
      </c>
      <c r="B422" s="90" t="s">
        <v>321</v>
      </c>
      <c r="C422" s="91" t="s">
        <v>326</v>
      </c>
      <c r="D422" s="109" t="s">
        <v>353</v>
      </c>
      <c r="E422" s="67" t="str">
        <f>COLORES!A8</f>
        <v>Beige</v>
      </c>
      <c r="F422" s="67" t="str">
        <f>COLORES!B8</f>
        <v>CLARO</v>
      </c>
      <c r="G422" s="90" t="s">
        <v>377</v>
      </c>
      <c r="H422" s="100">
        <f>IFERROR(SUMIFS(MOVIMIENTOS_COMPLEMENTOS!$I$4:$I$803,MOVIMIENTOS_COMPLEMENTOS!$C$4:$C$803,A422,MOVIMIENTOS_COMPLEMENTOS!$D$4:$D$803,B422,MOVIMIENTOS_COMPLEMENTOS!$E$4:$E$803,C422,MOVIMIENTOS_COMPLEMENTOS!$G$4:$G$803,E422,MOVIMIENTOS_COMPLEMENTOS!$H$4:$H$803,G422,MOVIMIENTOS_COMPLEMENTOS!$B$4:$B$803,"INGRESO")+SUMIFS(MOVIMIENTOS_COMPLEMENTOS!$I$4:$I$803,MOVIMIENTOS_COMPLEMENTOS!$C$4:$C$803,A422,MOVIMIENTOS_COMPLEMENTOS!$D$4:$D$803,B422,MOVIMIENTOS_COMPLEMENTOS!$E$4:$E$803,C422,MOVIMIENTOS_COMPLEMENTOS!$G$4:$G$803,E422,MOVIMIENTOS_COMPLEMENTOS!$H$4:$H$803,G422,MOVIMIENTOS_COMPLEMENTOS!$B$4:$B$803,"DE CORTE")-SUMIFS(MOVIMIENTOS_COMPLEMENTOS!$I$4:$I$803,MOVIMIENTOS_COMPLEMENTOS!$C$4:$C$803,A422,MOVIMIENTOS_COMPLEMENTOS!$D$4:$D$803,B422,MOVIMIENTOS_COMPLEMENTOS!$E$4:$E$803,C422,MOVIMIENTOS_COMPLEMENTOS!$G$4:$G$803,E422,MOVIMIENTOS_COMPLEMENTOS!$H$4:$H$803,G422,MOVIMIENTOS_COMPLEMENTOS!$B$4:$B$803,"SALIDA"),0)</f>
        <v>0</v>
      </c>
      <c r="I422" s="102">
        <f t="array" ref="I422">IFERROR(INDEX(PRECIOS_COMPLEMENTOS!$C$4:$F$17,MATCH(B422&amp;"_"&amp;C422,PRECIOS_COMPLEMENTOS!$H$4:$H$17,0),IF(OR(G422="S",G422="20cm"),1,IF(OR(G422="M",G422="25cm"),2,IF(OR(G422="L",G422="30cm"),3,IF(OR(G422="XL",G422="35cm"),4,0))))),0)</f>
        <v>0.5</v>
      </c>
      <c r="J422" s="103">
        <f t="shared" si="1"/>
        <v>0</v>
      </c>
      <c r="K422" s="104" t="str">
        <f>IF(H422&lt;0,"ERROR",IF(H422=0,"",IF(H422&lt;CONFIG!$B$4,"CRÍTICO",IF(H422&lt;CONFIG!$B$5,"BAJO","OK"))))</f>
        <v/>
      </c>
    </row>
    <row r="423" ht="15.75" hidden="1" customHeight="1">
      <c r="A423" s="90" t="str">
        <f>IF(CLIENTES!A6="","",CLIENTES!A6)</f>
        <v/>
      </c>
      <c r="B423" s="90" t="s">
        <v>321</v>
      </c>
      <c r="C423" s="91" t="s">
        <v>326</v>
      </c>
      <c r="D423" s="109" t="s">
        <v>353</v>
      </c>
      <c r="E423" s="67" t="str">
        <f>COLORES!A8</f>
        <v>Beige</v>
      </c>
      <c r="F423" s="67" t="str">
        <f>COLORES!B8</f>
        <v>CLARO</v>
      </c>
      <c r="G423" s="90" t="s">
        <v>379</v>
      </c>
      <c r="H423" s="100">
        <f>IFERROR(SUMIFS(MOVIMIENTOS_COMPLEMENTOS!$I$4:$I$803,MOVIMIENTOS_COMPLEMENTOS!$C$4:$C$803,A423,MOVIMIENTOS_COMPLEMENTOS!$D$4:$D$803,B423,MOVIMIENTOS_COMPLEMENTOS!$E$4:$E$803,C423,MOVIMIENTOS_COMPLEMENTOS!$G$4:$G$803,E423,MOVIMIENTOS_COMPLEMENTOS!$H$4:$H$803,G423,MOVIMIENTOS_COMPLEMENTOS!$B$4:$B$803,"INGRESO")+SUMIFS(MOVIMIENTOS_COMPLEMENTOS!$I$4:$I$803,MOVIMIENTOS_COMPLEMENTOS!$C$4:$C$803,A423,MOVIMIENTOS_COMPLEMENTOS!$D$4:$D$803,B423,MOVIMIENTOS_COMPLEMENTOS!$E$4:$E$803,C423,MOVIMIENTOS_COMPLEMENTOS!$G$4:$G$803,E423,MOVIMIENTOS_COMPLEMENTOS!$H$4:$H$803,G423,MOVIMIENTOS_COMPLEMENTOS!$B$4:$B$803,"DE CORTE")-SUMIFS(MOVIMIENTOS_COMPLEMENTOS!$I$4:$I$803,MOVIMIENTOS_COMPLEMENTOS!$C$4:$C$803,A423,MOVIMIENTOS_COMPLEMENTOS!$D$4:$D$803,B423,MOVIMIENTOS_COMPLEMENTOS!$E$4:$E$803,C423,MOVIMIENTOS_COMPLEMENTOS!$G$4:$G$803,E423,MOVIMIENTOS_COMPLEMENTOS!$H$4:$H$803,G423,MOVIMIENTOS_COMPLEMENTOS!$B$4:$B$803,"SALIDA"),0)</f>
        <v>0</v>
      </c>
      <c r="I423" s="102">
        <f t="array" ref="I423">IFERROR(INDEX(PRECIOS_COMPLEMENTOS!$C$4:$F$17,MATCH(B423&amp;"_"&amp;C423,PRECIOS_COMPLEMENTOS!$H$4:$H$17,0),IF(OR(G423="S",G423="20cm"),1,IF(OR(G423="M",G423="25cm"),2,IF(OR(G423="L",G423="30cm"),3,IF(OR(G423="XL",G423="35cm"),4,0))))),0)</f>
        <v>0.55</v>
      </c>
      <c r="J423" s="103">
        <f t="shared" si="1"/>
        <v>0</v>
      </c>
      <c r="K423" s="104" t="str">
        <f>IF(H423&lt;0,"ERROR",IF(H423=0,"",IF(H423&lt;CONFIG!$B$4,"CRÍTICO",IF(H423&lt;CONFIG!$B$5,"BAJO","OK"))))</f>
        <v/>
      </c>
    </row>
    <row r="424" ht="15.75" hidden="1" customHeight="1">
      <c r="A424" s="90" t="str">
        <f>IF(CLIENTES!A6="","",CLIENTES!A6)</f>
        <v/>
      </c>
      <c r="B424" s="90" t="s">
        <v>321</v>
      </c>
      <c r="C424" s="91" t="s">
        <v>326</v>
      </c>
      <c r="D424" s="109" t="s">
        <v>353</v>
      </c>
      <c r="E424" s="67" t="str">
        <f>COLORES!A9</f>
        <v>Melange</v>
      </c>
      <c r="F424" s="67" t="str">
        <f>COLORES!B9</f>
        <v>MELANGE</v>
      </c>
      <c r="G424" s="90" t="s">
        <v>378</v>
      </c>
      <c r="H424" s="100">
        <f>IFERROR(SUMIFS(MOVIMIENTOS_COMPLEMENTOS!$I$4:$I$803,MOVIMIENTOS_COMPLEMENTOS!$C$4:$C$803,A424,MOVIMIENTOS_COMPLEMENTOS!$D$4:$D$803,B424,MOVIMIENTOS_COMPLEMENTOS!$E$4:$E$803,C424,MOVIMIENTOS_COMPLEMENTOS!$G$4:$G$803,E424,MOVIMIENTOS_COMPLEMENTOS!$H$4:$H$803,G424,MOVIMIENTOS_COMPLEMENTOS!$B$4:$B$803,"INGRESO")+SUMIFS(MOVIMIENTOS_COMPLEMENTOS!$I$4:$I$803,MOVIMIENTOS_COMPLEMENTOS!$C$4:$C$803,A424,MOVIMIENTOS_COMPLEMENTOS!$D$4:$D$803,B424,MOVIMIENTOS_COMPLEMENTOS!$E$4:$E$803,C424,MOVIMIENTOS_COMPLEMENTOS!$G$4:$G$803,E424,MOVIMIENTOS_COMPLEMENTOS!$H$4:$H$803,G424,MOVIMIENTOS_COMPLEMENTOS!$B$4:$B$803,"DE CORTE")-SUMIFS(MOVIMIENTOS_COMPLEMENTOS!$I$4:$I$803,MOVIMIENTOS_COMPLEMENTOS!$C$4:$C$803,A424,MOVIMIENTOS_COMPLEMENTOS!$D$4:$D$803,B424,MOVIMIENTOS_COMPLEMENTOS!$E$4:$E$803,C424,MOVIMIENTOS_COMPLEMENTOS!$G$4:$G$803,E424,MOVIMIENTOS_COMPLEMENTOS!$H$4:$H$803,G424,MOVIMIENTOS_COMPLEMENTOS!$B$4:$B$803,"SALIDA"),0)</f>
        <v>0</v>
      </c>
      <c r="I424" s="102">
        <f t="array" ref="I424">IFERROR(INDEX(PRECIOS_COMPLEMENTOS!$C$4:$F$17,MATCH(B424&amp;"_"&amp;C424,PRECIOS_COMPLEMENTOS!$H$4:$H$17,0),IF(OR(G424="S",G424="20cm"),1,IF(OR(G424="M",G424="25cm"),2,IF(OR(G424="L",G424="30cm"),3,IF(OR(G424="XL",G424="35cm"),4,0))))),0)</f>
        <v>0.4</v>
      </c>
      <c r="J424" s="103">
        <f t="shared" si="1"/>
        <v>0</v>
      </c>
      <c r="K424" s="104" t="str">
        <f>IF(H424&lt;0,"ERROR",IF(H424=0,"",IF(H424&lt;CONFIG!$B$4,"CRÍTICO",IF(H424&lt;CONFIG!$B$5,"BAJO","OK"))))</f>
        <v/>
      </c>
    </row>
    <row r="425" ht="15.75" hidden="1" customHeight="1">
      <c r="A425" s="90" t="str">
        <f>IF(CLIENTES!A6="","",CLIENTES!A6)</f>
        <v/>
      </c>
      <c r="B425" s="90" t="s">
        <v>321</v>
      </c>
      <c r="C425" s="91" t="s">
        <v>326</v>
      </c>
      <c r="D425" s="109" t="s">
        <v>353</v>
      </c>
      <c r="E425" s="67" t="str">
        <f>COLORES!A9</f>
        <v>Melange</v>
      </c>
      <c r="F425" s="67" t="str">
        <f>COLORES!B9</f>
        <v>MELANGE</v>
      </c>
      <c r="G425" s="90" t="s">
        <v>376</v>
      </c>
      <c r="H425" s="100">
        <f>IFERROR(SUMIFS(MOVIMIENTOS_COMPLEMENTOS!$I$4:$I$803,MOVIMIENTOS_COMPLEMENTOS!$C$4:$C$803,A425,MOVIMIENTOS_COMPLEMENTOS!$D$4:$D$803,B425,MOVIMIENTOS_COMPLEMENTOS!$E$4:$E$803,C425,MOVIMIENTOS_COMPLEMENTOS!$G$4:$G$803,E425,MOVIMIENTOS_COMPLEMENTOS!$H$4:$H$803,G425,MOVIMIENTOS_COMPLEMENTOS!$B$4:$B$803,"INGRESO")+SUMIFS(MOVIMIENTOS_COMPLEMENTOS!$I$4:$I$803,MOVIMIENTOS_COMPLEMENTOS!$C$4:$C$803,A425,MOVIMIENTOS_COMPLEMENTOS!$D$4:$D$803,B425,MOVIMIENTOS_COMPLEMENTOS!$E$4:$E$803,C425,MOVIMIENTOS_COMPLEMENTOS!$G$4:$G$803,E425,MOVIMIENTOS_COMPLEMENTOS!$H$4:$H$803,G425,MOVIMIENTOS_COMPLEMENTOS!$B$4:$B$803,"DE CORTE")-SUMIFS(MOVIMIENTOS_COMPLEMENTOS!$I$4:$I$803,MOVIMIENTOS_COMPLEMENTOS!$C$4:$C$803,A425,MOVIMIENTOS_COMPLEMENTOS!$D$4:$D$803,B425,MOVIMIENTOS_COMPLEMENTOS!$E$4:$E$803,C425,MOVIMIENTOS_COMPLEMENTOS!$G$4:$G$803,E425,MOVIMIENTOS_COMPLEMENTOS!$H$4:$H$803,G425,MOVIMIENTOS_COMPLEMENTOS!$B$4:$B$803,"SALIDA"),0)</f>
        <v>0</v>
      </c>
      <c r="I425" s="102">
        <f t="array" ref="I425">IFERROR(INDEX(PRECIOS_COMPLEMENTOS!$C$4:$F$17,MATCH(B425&amp;"_"&amp;C425,PRECIOS_COMPLEMENTOS!$H$4:$H$17,0),IF(OR(G425="S",G425="20cm"),1,IF(OR(G425="M",G425="25cm"),2,IF(OR(G425="L",G425="30cm"),3,IF(OR(G425="XL",G425="35cm"),4,0))))),0)</f>
        <v>0.45</v>
      </c>
      <c r="J425" s="103">
        <f t="shared" si="1"/>
        <v>0</v>
      </c>
      <c r="K425" s="104" t="str">
        <f>IF(H425&lt;0,"ERROR",IF(H425=0,"",IF(H425&lt;CONFIG!$B$4,"CRÍTICO",IF(H425&lt;CONFIG!$B$5,"BAJO","OK"))))</f>
        <v/>
      </c>
    </row>
    <row r="426" ht="15.75" hidden="1" customHeight="1">
      <c r="A426" s="90" t="str">
        <f>IF(CLIENTES!A6="","",CLIENTES!A6)</f>
        <v/>
      </c>
      <c r="B426" s="90" t="s">
        <v>321</v>
      </c>
      <c r="C426" s="91" t="s">
        <v>326</v>
      </c>
      <c r="D426" s="109" t="s">
        <v>353</v>
      </c>
      <c r="E426" s="67" t="str">
        <f>COLORES!A9</f>
        <v>Melange</v>
      </c>
      <c r="F426" s="67" t="str">
        <f>COLORES!B9</f>
        <v>MELANGE</v>
      </c>
      <c r="G426" s="90" t="s">
        <v>377</v>
      </c>
      <c r="H426" s="100">
        <f>IFERROR(SUMIFS(MOVIMIENTOS_COMPLEMENTOS!$I$4:$I$803,MOVIMIENTOS_COMPLEMENTOS!$C$4:$C$803,A426,MOVIMIENTOS_COMPLEMENTOS!$D$4:$D$803,B426,MOVIMIENTOS_COMPLEMENTOS!$E$4:$E$803,C426,MOVIMIENTOS_COMPLEMENTOS!$G$4:$G$803,E426,MOVIMIENTOS_COMPLEMENTOS!$H$4:$H$803,G426,MOVIMIENTOS_COMPLEMENTOS!$B$4:$B$803,"INGRESO")+SUMIFS(MOVIMIENTOS_COMPLEMENTOS!$I$4:$I$803,MOVIMIENTOS_COMPLEMENTOS!$C$4:$C$803,A426,MOVIMIENTOS_COMPLEMENTOS!$D$4:$D$803,B426,MOVIMIENTOS_COMPLEMENTOS!$E$4:$E$803,C426,MOVIMIENTOS_COMPLEMENTOS!$G$4:$G$803,E426,MOVIMIENTOS_COMPLEMENTOS!$H$4:$H$803,G426,MOVIMIENTOS_COMPLEMENTOS!$B$4:$B$803,"DE CORTE")-SUMIFS(MOVIMIENTOS_COMPLEMENTOS!$I$4:$I$803,MOVIMIENTOS_COMPLEMENTOS!$C$4:$C$803,A426,MOVIMIENTOS_COMPLEMENTOS!$D$4:$D$803,B426,MOVIMIENTOS_COMPLEMENTOS!$E$4:$E$803,C426,MOVIMIENTOS_COMPLEMENTOS!$G$4:$G$803,E426,MOVIMIENTOS_COMPLEMENTOS!$H$4:$H$803,G426,MOVIMIENTOS_COMPLEMENTOS!$B$4:$B$803,"SALIDA"),0)</f>
        <v>0</v>
      </c>
      <c r="I426" s="102">
        <f t="array" ref="I426">IFERROR(INDEX(PRECIOS_COMPLEMENTOS!$C$4:$F$17,MATCH(B426&amp;"_"&amp;C426,PRECIOS_COMPLEMENTOS!$H$4:$H$17,0),IF(OR(G426="S",G426="20cm"),1,IF(OR(G426="M",G426="25cm"),2,IF(OR(G426="L",G426="30cm"),3,IF(OR(G426="XL",G426="35cm"),4,0))))),0)</f>
        <v>0.5</v>
      </c>
      <c r="J426" s="103">
        <f t="shared" si="1"/>
        <v>0</v>
      </c>
      <c r="K426" s="104" t="str">
        <f>IF(H426&lt;0,"ERROR",IF(H426=0,"",IF(H426&lt;CONFIG!$B$4,"CRÍTICO",IF(H426&lt;CONFIG!$B$5,"BAJO","OK"))))</f>
        <v/>
      </c>
    </row>
    <row r="427" ht="15.75" hidden="1" customHeight="1">
      <c r="A427" s="90" t="str">
        <f>IF(CLIENTES!A6="","",CLIENTES!A6)</f>
        <v/>
      </c>
      <c r="B427" s="90" t="s">
        <v>321</v>
      </c>
      <c r="C427" s="91" t="s">
        <v>326</v>
      </c>
      <c r="D427" s="109" t="s">
        <v>353</v>
      </c>
      <c r="E427" s="67" t="str">
        <f>COLORES!A9</f>
        <v>Melange</v>
      </c>
      <c r="F427" s="67" t="str">
        <f>COLORES!B9</f>
        <v>MELANGE</v>
      </c>
      <c r="G427" s="90" t="s">
        <v>379</v>
      </c>
      <c r="H427" s="100">
        <f>IFERROR(SUMIFS(MOVIMIENTOS_COMPLEMENTOS!$I$4:$I$803,MOVIMIENTOS_COMPLEMENTOS!$C$4:$C$803,A427,MOVIMIENTOS_COMPLEMENTOS!$D$4:$D$803,B427,MOVIMIENTOS_COMPLEMENTOS!$E$4:$E$803,C427,MOVIMIENTOS_COMPLEMENTOS!$G$4:$G$803,E427,MOVIMIENTOS_COMPLEMENTOS!$H$4:$H$803,G427,MOVIMIENTOS_COMPLEMENTOS!$B$4:$B$803,"INGRESO")+SUMIFS(MOVIMIENTOS_COMPLEMENTOS!$I$4:$I$803,MOVIMIENTOS_COMPLEMENTOS!$C$4:$C$803,A427,MOVIMIENTOS_COMPLEMENTOS!$D$4:$D$803,B427,MOVIMIENTOS_COMPLEMENTOS!$E$4:$E$803,C427,MOVIMIENTOS_COMPLEMENTOS!$G$4:$G$803,E427,MOVIMIENTOS_COMPLEMENTOS!$H$4:$H$803,G427,MOVIMIENTOS_COMPLEMENTOS!$B$4:$B$803,"DE CORTE")-SUMIFS(MOVIMIENTOS_COMPLEMENTOS!$I$4:$I$803,MOVIMIENTOS_COMPLEMENTOS!$C$4:$C$803,A427,MOVIMIENTOS_COMPLEMENTOS!$D$4:$D$803,B427,MOVIMIENTOS_COMPLEMENTOS!$E$4:$E$803,C427,MOVIMIENTOS_COMPLEMENTOS!$G$4:$G$803,E427,MOVIMIENTOS_COMPLEMENTOS!$H$4:$H$803,G427,MOVIMIENTOS_COMPLEMENTOS!$B$4:$B$803,"SALIDA"),0)</f>
        <v>0</v>
      </c>
      <c r="I427" s="102">
        <f t="array" ref="I427">IFERROR(INDEX(PRECIOS_COMPLEMENTOS!$C$4:$F$17,MATCH(B427&amp;"_"&amp;C427,PRECIOS_COMPLEMENTOS!$H$4:$H$17,0),IF(OR(G427="S",G427="20cm"),1,IF(OR(G427="M",G427="25cm"),2,IF(OR(G427="L",G427="30cm"),3,IF(OR(G427="XL",G427="35cm"),4,0))))),0)</f>
        <v>0.55</v>
      </c>
      <c r="J427" s="103">
        <f t="shared" si="1"/>
        <v>0</v>
      </c>
      <c r="K427" s="104" t="str">
        <f>IF(H427&lt;0,"ERROR",IF(H427=0,"",IF(H427&lt;CONFIG!$B$4,"CRÍTICO",IF(H427&lt;CONFIG!$B$5,"BAJO","OK"))))</f>
        <v/>
      </c>
    </row>
    <row r="428" ht="15.75" hidden="1" customHeight="1">
      <c r="A428" s="90" t="str">
        <f>IF(CLIENTES!A6="","",CLIENTES!A6)</f>
        <v/>
      </c>
      <c r="B428" s="90" t="s">
        <v>321</v>
      </c>
      <c r="C428" s="91" t="s">
        <v>326</v>
      </c>
      <c r="D428" s="109" t="s">
        <v>353</v>
      </c>
      <c r="E428" s="67" t="str">
        <f>COLORES!A10</f>
        <v>Botella</v>
      </c>
      <c r="F428" s="67" t="str">
        <f>COLORES!B10</f>
        <v>OSCURO</v>
      </c>
      <c r="G428" s="90" t="s">
        <v>378</v>
      </c>
      <c r="H428" s="100">
        <f>IFERROR(SUMIFS(MOVIMIENTOS_COMPLEMENTOS!$I$4:$I$803,MOVIMIENTOS_COMPLEMENTOS!$C$4:$C$803,A428,MOVIMIENTOS_COMPLEMENTOS!$D$4:$D$803,B428,MOVIMIENTOS_COMPLEMENTOS!$E$4:$E$803,C428,MOVIMIENTOS_COMPLEMENTOS!$G$4:$G$803,E428,MOVIMIENTOS_COMPLEMENTOS!$H$4:$H$803,G428,MOVIMIENTOS_COMPLEMENTOS!$B$4:$B$803,"INGRESO")+SUMIFS(MOVIMIENTOS_COMPLEMENTOS!$I$4:$I$803,MOVIMIENTOS_COMPLEMENTOS!$C$4:$C$803,A428,MOVIMIENTOS_COMPLEMENTOS!$D$4:$D$803,B428,MOVIMIENTOS_COMPLEMENTOS!$E$4:$E$803,C428,MOVIMIENTOS_COMPLEMENTOS!$G$4:$G$803,E428,MOVIMIENTOS_COMPLEMENTOS!$H$4:$H$803,G428,MOVIMIENTOS_COMPLEMENTOS!$B$4:$B$803,"DE CORTE")-SUMIFS(MOVIMIENTOS_COMPLEMENTOS!$I$4:$I$803,MOVIMIENTOS_COMPLEMENTOS!$C$4:$C$803,A428,MOVIMIENTOS_COMPLEMENTOS!$D$4:$D$803,B428,MOVIMIENTOS_COMPLEMENTOS!$E$4:$E$803,C428,MOVIMIENTOS_COMPLEMENTOS!$G$4:$G$803,E428,MOVIMIENTOS_COMPLEMENTOS!$H$4:$H$803,G428,MOVIMIENTOS_COMPLEMENTOS!$B$4:$B$803,"SALIDA"),0)</f>
        <v>0</v>
      </c>
      <c r="I428" s="102">
        <f t="array" ref="I428">IFERROR(INDEX(PRECIOS_COMPLEMENTOS!$C$4:$F$17,MATCH(B428&amp;"_"&amp;C428,PRECIOS_COMPLEMENTOS!$H$4:$H$17,0),IF(OR(G428="S",G428="20cm"),1,IF(OR(G428="M",G428="25cm"),2,IF(OR(G428="L",G428="30cm"),3,IF(OR(G428="XL",G428="35cm"),4,0))))),0)</f>
        <v>0.4</v>
      </c>
      <c r="J428" s="103">
        <f t="shared" si="1"/>
        <v>0</v>
      </c>
      <c r="K428" s="104" t="str">
        <f>IF(H428&lt;0,"ERROR",IF(H428=0,"",IF(H428&lt;CONFIG!$B$4,"CRÍTICO",IF(H428&lt;CONFIG!$B$5,"BAJO","OK"))))</f>
        <v/>
      </c>
    </row>
    <row r="429" ht="15.75" hidden="1" customHeight="1">
      <c r="A429" s="90" t="str">
        <f>IF(CLIENTES!A6="","",CLIENTES!A6)</f>
        <v/>
      </c>
      <c r="B429" s="90" t="s">
        <v>321</v>
      </c>
      <c r="C429" s="91" t="s">
        <v>326</v>
      </c>
      <c r="D429" s="109" t="s">
        <v>353</v>
      </c>
      <c r="E429" s="67" t="str">
        <f>COLORES!A10</f>
        <v>Botella</v>
      </c>
      <c r="F429" s="67" t="str">
        <f>COLORES!B10</f>
        <v>OSCURO</v>
      </c>
      <c r="G429" s="90" t="s">
        <v>376</v>
      </c>
      <c r="H429" s="100">
        <f>IFERROR(SUMIFS(MOVIMIENTOS_COMPLEMENTOS!$I$4:$I$803,MOVIMIENTOS_COMPLEMENTOS!$C$4:$C$803,A429,MOVIMIENTOS_COMPLEMENTOS!$D$4:$D$803,B429,MOVIMIENTOS_COMPLEMENTOS!$E$4:$E$803,C429,MOVIMIENTOS_COMPLEMENTOS!$G$4:$G$803,E429,MOVIMIENTOS_COMPLEMENTOS!$H$4:$H$803,G429,MOVIMIENTOS_COMPLEMENTOS!$B$4:$B$803,"INGRESO")+SUMIFS(MOVIMIENTOS_COMPLEMENTOS!$I$4:$I$803,MOVIMIENTOS_COMPLEMENTOS!$C$4:$C$803,A429,MOVIMIENTOS_COMPLEMENTOS!$D$4:$D$803,B429,MOVIMIENTOS_COMPLEMENTOS!$E$4:$E$803,C429,MOVIMIENTOS_COMPLEMENTOS!$G$4:$G$803,E429,MOVIMIENTOS_COMPLEMENTOS!$H$4:$H$803,G429,MOVIMIENTOS_COMPLEMENTOS!$B$4:$B$803,"DE CORTE")-SUMIFS(MOVIMIENTOS_COMPLEMENTOS!$I$4:$I$803,MOVIMIENTOS_COMPLEMENTOS!$C$4:$C$803,A429,MOVIMIENTOS_COMPLEMENTOS!$D$4:$D$803,B429,MOVIMIENTOS_COMPLEMENTOS!$E$4:$E$803,C429,MOVIMIENTOS_COMPLEMENTOS!$G$4:$G$803,E429,MOVIMIENTOS_COMPLEMENTOS!$H$4:$H$803,G429,MOVIMIENTOS_COMPLEMENTOS!$B$4:$B$803,"SALIDA"),0)</f>
        <v>0</v>
      </c>
      <c r="I429" s="102">
        <f t="array" ref="I429">IFERROR(INDEX(PRECIOS_COMPLEMENTOS!$C$4:$F$17,MATCH(B429&amp;"_"&amp;C429,PRECIOS_COMPLEMENTOS!$H$4:$H$17,0),IF(OR(G429="S",G429="20cm"),1,IF(OR(G429="M",G429="25cm"),2,IF(OR(G429="L",G429="30cm"),3,IF(OR(G429="XL",G429="35cm"),4,0))))),0)</f>
        <v>0.45</v>
      </c>
      <c r="J429" s="103">
        <f t="shared" si="1"/>
        <v>0</v>
      </c>
      <c r="K429" s="104" t="str">
        <f>IF(H429&lt;0,"ERROR",IF(H429=0,"",IF(H429&lt;CONFIG!$B$4,"CRÍTICO",IF(H429&lt;CONFIG!$B$5,"BAJO","OK"))))</f>
        <v/>
      </c>
    </row>
    <row r="430" ht="15.75" hidden="1" customHeight="1">
      <c r="A430" s="90" t="str">
        <f>IF(CLIENTES!A6="","",CLIENTES!A6)</f>
        <v/>
      </c>
      <c r="B430" s="90" t="s">
        <v>321</v>
      </c>
      <c r="C430" s="91" t="s">
        <v>326</v>
      </c>
      <c r="D430" s="109" t="s">
        <v>353</v>
      </c>
      <c r="E430" s="67" t="str">
        <f>COLORES!A10</f>
        <v>Botella</v>
      </c>
      <c r="F430" s="67" t="str">
        <f>COLORES!B10</f>
        <v>OSCURO</v>
      </c>
      <c r="G430" s="90" t="s">
        <v>377</v>
      </c>
      <c r="H430" s="100">
        <f>IFERROR(SUMIFS(MOVIMIENTOS_COMPLEMENTOS!$I$4:$I$803,MOVIMIENTOS_COMPLEMENTOS!$C$4:$C$803,A430,MOVIMIENTOS_COMPLEMENTOS!$D$4:$D$803,B430,MOVIMIENTOS_COMPLEMENTOS!$E$4:$E$803,C430,MOVIMIENTOS_COMPLEMENTOS!$G$4:$G$803,E430,MOVIMIENTOS_COMPLEMENTOS!$H$4:$H$803,G430,MOVIMIENTOS_COMPLEMENTOS!$B$4:$B$803,"INGRESO")+SUMIFS(MOVIMIENTOS_COMPLEMENTOS!$I$4:$I$803,MOVIMIENTOS_COMPLEMENTOS!$C$4:$C$803,A430,MOVIMIENTOS_COMPLEMENTOS!$D$4:$D$803,B430,MOVIMIENTOS_COMPLEMENTOS!$E$4:$E$803,C430,MOVIMIENTOS_COMPLEMENTOS!$G$4:$G$803,E430,MOVIMIENTOS_COMPLEMENTOS!$H$4:$H$803,G430,MOVIMIENTOS_COMPLEMENTOS!$B$4:$B$803,"DE CORTE")-SUMIFS(MOVIMIENTOS_COMPLEMENTOS!$I$4:$I$803,MOVIMIENTOS_COMPLEMENTOS!$C$4:$C$803,A430,MOVIMIENTOS_COMPLEMENTOS!$D$4:$D$803,B430,MOVIMIENTOS_COMPLEMENTOS!$E$4:$E$803,C430,MOVIMIENTOS_COMPLEMENTOS!$G$4:$G$803,E430,MOVIMIENTOS_COMPLEMENTOS!$H$4:$H$803,G430,MOVIMIENTOS_COMPLEMENTOS!$B$4:$B$803,"SALIDA"),0)</f>
        <v>0</v>
      </c>
      <c r="I430" s="102">
        <f t="array" ref="I430">IFERROR(INDEX(PRECIOS_COMPLEMENTOS!$C$4:$F$17,MATCH(B430&amp;"_"&amp;C430,PRECIOS_COMPLEMENTOS!$H$4:$H$17,0),IF(OR(G430="S",G430="20cm"),1,IF(OR(G430="M",G430="25cm"),2,IF(OR(G430="L",G430="30cm"),3,IF(OR(G430="XL",G430="35cm"),4,0))))),0)</f>
        <v>0.5</v>
      </c>
      <c r="J430" s="103">
        <f t="shared" si="1"/>
        <v>0</v>
      </c>
      <c r="K430" s="104" t="str">
        <f>IF(H430&lt;0,"ERROR",IF(H430=0,"",IF(H430&lt;CONFIG!$B$4,"CRÍTICO",IF(H430&lt;CONFIG!$B$5,"BAJO","OK"))))</f>
        <v/>
      </c>
    </row>
    <row r="431" ht="15.75" hidden="1" customHeight="1">
      <c r="A431" s="90" t="str">
        <f>IF(CLIENTES!A6="","",CLIENTES!A6)</f>
        <v/>
      </c>
      <c r="B431" s="90" t="s">
        <v>321</v>
      </c>
      <c r="C431" s="91" t="s">
        <v>326</v>
      </c>
      <c r="D431" s="109" t="s">
        <v>353</v>
      </c>
      <c r="E431" s="67" t="str">
        <f>COLORES!A10</f>
        <v>Botella</v>
      </c>
      <c r="F431" s="67" t="str">
        <f>COLORES!B10</f>
        <v>OSCURO</v>
      </c>
      <c r="G431" s="90" t="s">
        <v>379</v>
      </c>
      <c r="H431" s="100">
        <f>IFERROR(SUMIFS(MOVIMIENTOS_COMPLEMENTOS!$I$4:$I$803,MOVIMIENTOS_COMPLEMENTOS!$C$4:$C$803,A431,MOVIMIENTOS_COMPLEMENTOS!$D$4:$D$803,B431,MOVIMIENTOS_COMPLEMENTOS!$E$4:$E$803,C431,MOVIMIENTOS_COMPLEMENTOS!$G$4:$G$803,E431,MOVIMIENTOS_COMPLEMENTOS!$H$4:$H$803,G431,MOVIMIENTOS_COMPLEMENTOS!$B$4:$B$803,"INGRESO")+SUMIFS(MOVIMIENTOS_COMPLEMENTOS!$I$4:$I$803,MOVIMIENTOS_COMPLEMENTOS!$C$4:$C$803,A431,MOVIMIENTOS_COMPLEMENTOS!$D$4:$D$803,B431,MOVIMIENTOS_COMPLEMENTOS!$E$4:$E$803,C431,MOVIMIENTOS_COMPLEMENTOS!$G$4:$G$803,E431,MOVIMIENTOS_COMPLEMENTOS!$H$4:$H$803,G431,MOVIMIENTOS_COMPLEMENTOS!$B$4:$B$803,"DE CORTE")-SUMIFS(MOVIMIENTOS_COMPLEMENTOS!$I$4:$I$803,MOVIMIENTOS_COMPLEMENTOS!$C$4:$C$803,A431,MOVIMIENTOS_COMPLEMENTOS!$D$4:$D$803,B431,MOVIMIENTOS_COMPLEMENTOS!$E$4:$E$803,C431,MOVIMIENTOS_COMPLEMENTOS!$G$4:$G$803,E431,MOVIMIENTOS_COMPLEMENTOS!$H$4:$H$803,G431,MOVIMIENTOS_COMPLEMENTOS!$B$4:$B$803,"SALIDA"),0)</f>
        <v>0</v>
      </c>
      <c r="I431" s="102">
        <f t="array" ref="I431">IFERROR(INDEX(PRECIOS_COMPLEMENTOS!$C$4:$F$17,MATCH(B431&amp;"_"&amp;C431,PRECIOS_COMPLEMENTOS!$H$4:$H$17,0),IF(OR(G431="S",G431="20cm"),1,IF(OR(G431="M",G431="25cm"),2,IF(OR(G431="L",G431="30cm"),3,IF(OR(G431="XL",G431="35cm"),4,0))))),0)</f>
        <v>0.55</v>
      </c>
      <c r="J431" s="103">
        <f t="shared" si="1"/>
        <v>0</v>
      </c>
      <c r="K431" s="104" t="str">
        <f>IF(H431&lt;0,"ERROR",IF(H431=0,"",IF(H431&lt;CONFIG!$B$4,"CRÍTICO",IF(H431&lt;CONFIG!$B$5,"BAJO","OK"))))</f>
        <v/>
      </c>
    </row>
    <row r="432" ht="15.75" hidden="1" customHeight="1">
      <c r="A432" s="90" t="str">
        <f>IF(CLIENTES!A6="","",CLIENTES!A6)</f>
        <v/>
      </c>
      <c r="B432" s="90" t="s">
        <v>321</v>
      </c>
      <c r="C432" s="91" t="s">
        <v>326</v>
      </c>
      <c r="D432" s="109" t="s">
        <v>353</v>
      </c>
      <c r="E432" s="67" t="str">
        <f>COLORES!A11</f>
        <v>Pacay</v>
      </c>
      <c r="F432" s="67" t="str">
        <f>COLORES!B11</f>
        <v>CLARO</v>
      </c>
      <c r="G432" s="90" t="s">
        <v>378</v>
      </c>
      <c r="H432" s="100">
        <f>IFERROR(SUMIFS(MOVIMIENTOS_COMPLEMENTOS!$I$4:$I$803,MOVIMIENTOS_COMPLEMENTOS!$C$4:$C$803,A432,MOVIMIENTOS_COMPLEMENTOS!$D$4:$D$803,B432,MOVIMIENTOS_COMPLEMENTOS!$E$4:$E$803,C432,MOVIMIENTOS_COMPLEMENTOS!$G$4:$G$803,E432,MOVIMIENTOS_COMPLEMENTOS!$H$4:$H$803,G432,MOVIMIENTOS_COMPLEMENTOS!$B$4:$B$803,"INGRESO")+SUMIFS(MOVIMIENTOS_COMPLEMENTOS!$I$4:$I$803,MOVIMIENTOS_COMPLEMENTOS!$C$4:$C$803,A432,MOVIMIENTOS_COMPLEMENTOS!$D$4:$D$803,B432,MOVIMIENTOS_COMPLEMENTOS!$E$4:$E$803,C432,MOVIMIENTOS_COMPLEMENTOS!$G$4:$G$803,E432,MOVIMIENTOS_COMPLEMENTOS!$H$4:$H$803,G432,MOVIMIENTOS_COMPLEMENTOS!$B$4:$B$803,"DE CORTE")-SUMIFS(MOVIMIENTOS_COMPLEMENTOS!$I$4:$I$803,MOVIMIENTOS_COMPLEMENTOS!$C$4:$C$803,A432,MOVIMIENTOS_COMPLEMENTOS!$D$4:$D$803,B432,MOVIMIENTOS_COMPLEMENTOS!$E$4:$E$803,C432,MOVIMIENTOS_COMPLEMENTOS!$G$4:$G$803,E432,MOVIMIENTOS_COMPLEMENTOS!$H$4:$H$803,G432,MOVIMIENTOS_COMPLEMENTOS!$B$4:$B$803,"SALIDA"),0)</f>
        <v>0</v>
      </c>
      <c r="I432" s="102">
        <f t="array" ref="I432">IFERROR(INDEX(PRECIOS_COMPLEMENTOS!$C$4:$F$17,MATCH(B432&amp;"_"&amp;C432,PRECIOS_COMPLEMENTOS!$H$4:$H$17,0),IF(OR(G432="S",G432="20cm"),1,IF(OR(G432="M",G432="25cm"),2,IF(OR(G432="L",G432="30cm"),3,IF(OR(G432="XL",G432="35cm"),4,0))))),0)</f>
        <v>0.4</v>
      </c>
      <c r="J432" s="103">
        <f t="shared" si="1"/>
        <v>0</v>
      </c>
      <c r="K432" s="104" t="str">
        <f>IF(H432&lt;0,"ERROR",IF(H432=0,"",IF(H432&lt;CONFIG!$B$4,"CRÍTICO",IF(H432&lt;CONFIG!$B$5,"BAJO","OK"))))</f>
        <v/>
      </c>
    </row>
    <row r="433" ht="15.75" hidden="1" customHeight="1">
      <c r="A433" s="90" t="str">
        <f>IF(CLIENTES!A6="","",CLIENTES!A6)</f>
        <v/>
      </c>
      <c r="B433" s="90" t="s">
        <v>321</v>
      </c>
      <c r="C433" s="91" t="s">
        <v>326</v>
      </c>
      <c r="D433" s="109" t="s">
        <v>353</v>
      </c>
      <c r="E433" s="67" t="str">
        <f>COLORES!A11</f>
        <v>Pacay</v>
      </c>
      <c r="F433" s="67" t="str">
        <f>COLORES!B11</f>
        <v>CLARO</v>
      </c>
      <c r="G433" s="90" t="s">
        <v>376</v>
      </c>
      <c r="H433" s="100">
        <f>IFERROR(SUMIFS(MOVIMIENTOS_COMPLEMENTOS!$I$4:$I$803,MOVIMIENTOS_COMPLEMENTOS!$C$4:$C$803,A433,MOVIMIENTOS_COMPLEMENTOS!$D$4:$D$803,B433,MOVIMIENTOS_COMPLEMENTOS!$E$4:$E$803,C433,MOVIMIENTOS_COMPLEMENTOS!$G$4:$G$803,E433,MOVIMIENTOS_COMPLEMENTOS!$H$4:$H$803,G433,MOVIMIENTOS_COMPLEMENTOS!$B$4:$B$803,"INGRESO")+SUMIFS(MOVIMIENTOS_COMPLEMENTOS!$I$4:$I$803,MOVIMIENTOS_COMPLEMENTOS!$C$4:$C$803,A433,MOVIMIENTOS_COMPLEMENTOS!$D$4:$D$803,B433,MOVIMIENTOS_COMPLEMENTOS!$E$4:$E$803,C433,MOVIMIENTOS_COMPLEMENTOS!$G$4:$G$803,E433,MOVIMIENTOS_COMPLEMENTOS!$H$4:$H$803,G433,MOVIMIENTOS_COMPLEMENTOS!$B$4:$B$803,"DE CORTE")-SUMIFS(MOVIMIENTOS_COMPLEMENTOS!$I$4:$I$803,MOVIMIENTOS_COMPLEMENTOS!$C$4:$C$803,A433,MOVIMIENTOS_COMPLEMENTOS!$D$4:$D$803,B433,MOVIMIENTOS_COMPLEMENTOS!$E$4:$E$803,C433,MOVIMIENTOS_COMPLEMENTOS!$G$4:$G$803,E433,MOVIMIENTOS_COMPLEMENTOS!$H$4:$H$803,G433,MOVIMIENTOS_COMPLEMENTOS!$B$4:$B$803,"SALIDA"),0)</f>
        <v>0</v>
      </c>
      <c r="I433" s="102">
        <f t="array" ref="I433">IFERROR(INDEX(PRECIOS_COMPLEMENTOS!$C$4:$F$17,MATCH(B433&amp;"_"&amp;C433,PRECIOS_COMPLEMENTOS!$H$4:$H$17,0),IF(OR(G433="S",G433="20cm"),1,IF(OR(G433="M",G433="25cm"),2,IF(OR(G433="L",G433="30cm"),3,IF(OR(G433="XL",G433="35cm"),4,0))))),0)</f>
        <v>0.45</v>
      </c>
      <c r="J433" s="103">
        <f t="shared" si="1"/>
        <v>0</v>
      </c>
      <c r="K433" s="104" t="str">
        <f>IF(H433&lt;0,"ERROR",IF(H433=0,"",IF(H433&lt;CONFIG!$B$4,"CRÍTICO",IF(H433&lt;CONFIG!$B$5,"BAJO","OK"))))</f>
        <v/>
      </c>
    </row>
    <row r="434" ht="15.75" hidden="1" customHeight="1">
      <c r="A434" s="90" t="str">
        <f>IF(CLIENTES!A6="","",CLIENTES!A6)</f>
        <v/>
      </c>
      <c r="B434" s="90" t="s">
        <v>321</v>
      </c>
      <c r="C434" s="91" t="s">
        <v>326</v>
      </c>
      <c r="D434" s="109" t="s">
        <v>353</v>
      </c>
      <c r="E434" s="67" t="str">
        <f>COLORES!A11</f>
        <v>Pacay</v>
      </c>
      <c r="F434" s="67" t="str">
        <f>COLORES!B11</f>
        <v>CLARO</v>
      </c>
      <c r="G434" s="90" t="s">
        <v>377</v>
      </c>
      <c r="H434" s="100">
        <f>IFERROR(SUMIFS(MOVIMIENTOS_COMPLEMENTOS!$I$4:$I$803,MOVIMIENTOS_COMPLEMENTOS!$C$4:$C$803,A434,MOVIMIENTOS_COMPLEMENTOS!$D$4:$D$803,B434,MOVIMIENTOS_COMPLEMENTOS!$E$4:$E$803,C434,MOVIMIENTOS_COMPLEMENTOS!$G$4:$G$803,E434,MOVIMIENTOS_COMPLEMENTOS!$H$4:$H$803,G434,MOVIMIENTOS_COMPLEMENTOS!$B$4:$B$803,"INGRESO")+SUMIFS(MOVIMIENTOS_COMPLEMENTOS!$I$4:$I$803,MOVIMIENTOS_COMPLEMENTOS!$C$4:$C$803,A434,MOVIMIENTOS_COMPLEMENTOS!$D$4:$D$803,B434,MOVIMIENTOS_COMPLEMENTOS!$E$4:$E$803,C434,MOVIMIENTOS_COMPLEMENTOS!$G$4:$G$803,E434,MOVIMIENTOS_COMPLEMENTOS!$H$4:$H$803,G434,MOVIMIENTOS_COMPLEMENTOS!$B$4:$B$803,"DE CORTE")-SUMIFS(MOVIMIENTOS_COMPLEMENTOS!$I$4:$I$803,MOVIMIENTOS_COMPLEMENTOS!$C$4:$C$803,A434,MOVIMIENTOS_COMPLEMENTOS!$D$4:$D$803,B434,MOVIMIENTOS_COMPLEMENTOS!$E$4:$E$803,C434,MOVIMIENTOS_COMPLEMENTOS!$G$4:$G$803,E434,MOVIMIENTOS_COMPLEMENTOS!$H$4:$H$803,G434,MOVIMIENTOS_COMPLEMENTOS!$B$4:$B$803,"SALIDA"),0)</f>
        <v>0</v>
      </c>
      <c r="I434" s="102">
        <f t="array" ref="I434">IFERROR(INDEX(PRECIOS_COMPLEMENTOS!$C$4:$F$17,MATCH(B434&amp;"_"&amp;C434,PRECIOS_COMPLEMENTOS!$H$4:$H$17,0),IF(OR(G434="S",G434="20cm"),1,IF(OR(G434="M",G434="25cm"),2,IF(OR(G434="L",G434="30cm"),3,IF(OR(G434="XL",G434="35cm"),4,0))))),0)</f>
        <v>0.5</v>
      </c>
      <c r="J434" s="103">
        <f t="shared" si="1"/>
        <v>0</v>
      </c>
      <c r="K434" s="104" t="str">
        <f>IF(H434&lt;0,"ERROR",IF(H434=0,"",IF(H434&lt;CONFIG!$B$4,"CRÍTICO",IF(H434&lt;CONFIG!$B$5,"BAJO","OK"))))</f>
        <v/>
      </c>
    </row>
    <row r="435" ht="15.75" hidden="1" customHeight="1">
      <c r="A435" s="90" t="str">
        <f>IF(CLIENTES!A6="","",CLIENTES!A6)</f>
        <v/>
      </c>
      <c r="B435" s="90" t="s">
        <v>321</v>
      </c>
      <c r="C435" s="91" t="s">
        <v>326</v>
      </c>
      <c r="D435" s="109" t="s">
        <v>353</v>
      </c>
      <c r="E435" s="67" t="str">
        <f>COLORES!A11</f>
        <v>Pacay</v>
      </c>
      <c r="F435" s="67" t="str">
        <f>COLORES!B11</f>
        <v>CLARO</v>
      </c>
      <c r="G435" s="90" t="s">
        <v>379</v>
      </c>
      <c r="H435" s="100">
        <f>IFERROR(SUMIFS(MOVIMIENTOS_COMPLEMENTOS!$I$4:$I$803,MOVIMIENTOS_COMPLEMENTOS!$C$4:$C$803,A435,MOVIMIENTOS_COMPLEMENTOS!$D$4:$D$803,B435,MOVIMIENTOS_COMPLEMENTOS!$E$4:$E$803,C435,MOVIMIENTOS_COMPLEMENTOS!$G$4:$G$803,E435,MOVIMIENTOS_COMPLEMENTOS!$H$4:$H$803,G435,MOVIMIENTOS_COMPLEMENTOS!$B$4:$B$803,"INGRESO")+SUMIFS(MOVIMIENTOS_COMPLEMENTOS!$I$4:$I$803,MOVIMIENTOS_COMPLEMENTOS!$C$4:$C$803,A435,MOVIMIENTOS_COMPLEMENTOS!$D$4:$D$803,B435,MOVIMIENTOS_COMPLEMENTOS!$E$4:$E$803,C435,MOVIMIENTOS_COMPLEMENTOS!$G$4:$G$803,E435,MOVIMIENTOS_COMPLEMENTOS!$H$4:$H$803,G435,MOVIMIENTOS_COMPLEMENTOS!$B$4:$B$803,"DE CORTE")-SUMIFS(MOVIMIENTOS_COMPLEMENTOS!$I$4:$I$803,MOVIMIENTOS_COMPLEMENTOS!$C$4:$C$803,A435,MOVIMIENTOS_COMPLEMENTOS!$D$4:$D$803,B435,MOVIMIENTOS_COMPLEMENTOS!$E$4:$E$803,C435,MOVIMIENTOS_COMPLEMENTOS!$G$4:$G$803,E435,MOVIMIENTOS_COMPLEMENTOS!$H$4:$H$803,G435,MOVIMIENTOS_COMPLEMENTOS!$B$4:$B$803,"SALIDA"),0)</f>
        <v>0</v>
      </c>
      <c r="I435" s="102">
        <f t="array" ref="I435">IFERROR(INDEX(PRECIOS_COMPLEMENTOS!$C$4:$F$17,MATCH(B435&amp;"_"&amp;C435,PRECIOS_COMPLEMENTOS!$H$4:$H$17,0),IF(OR(G435="S",G435="20cm"),1,IF(OR(G435="M",G435="25cm"),2,IF(OR(G435="L",G435="30cm"),3,IF(OR(G435="XL",G435="35cm"),4,0))))),0)</f>
        <v>0.55</v>
      </c>
      <c r="J435" s="103">
        <f t="shared" si="1"/>
        <v>0</v>
      </c>
      <c r="K435" s="104" t="str">
        <f>IF(H435&lt;0,"ERROR",IF(H435=0,"",IF(H435&lt;CONFIG!$B$4,"CRÍTICO",IF(H435&lt;CONFIG!$B$5,"BAJO","OK"))))</f>
        <v/>
      </c>
    </row>
    <row r="436" ht="15.75" hidden="1" customHeight="1">
      <c r="A436" s="90" t="str">
        <f>IF(CLIENTES!A6="","",CLIENTES!A6)</f>
        <v/>
      </c>
      <c r="B436" s="90" t="s">
        <v>321</v>
      </c>
      <c r="C436" s="91" t="s">
        <v>326</v>
      </c>
      <c r="D436" s="109" t="s">
        <v>353</v>
      </c>
      <c r="E436" s="67" t="str">
        <f>COLORES!A12</f>
        <v>Cemento</v>
      </c>
      <c r="F436" s="67" t="str">
        <f>COLORES!B12</f>
        <v>CLARO</v>
      </c>
      <c r="G436" s="90" t="s">
        <v>378</v>
      </c>
      <c r="H436" s="100">
        <f>IFERROR(SUMIFS(MOVIMIENTOS_COMPLEMENTOS!$I$4:$I$803,MOVIMIENTOS_COMPLEMENTOS!$C$4:$C$803,A436,MOVIMIENTOS_COMPLEMENTOS!$D$4:$D$803,B436,MOVIMIENTOS_COMPLEMENTOS!$E$4:$E$803,C436,MOVIMIENTOS_COMPLEMENTOS!$G$4:$G$803,E436,MOVIMIENTOS_COMPLEMENTOS!$H$4:$H$803,G436,MOVIMIENTOS_COMPLEMENTOS!$B$4:$B$803,"INGRESO")+SUMIFS(MOVIMIENTOS_COMPLEMENTOS!$I$4:$I$803,MOVIMIENTOS_COMPLEMENTOS!$C$4:$C$803,A436,MOVIMIENTOS_COMPLEMENTOS!$D$4:$D$803,B436,MOVIMIENTOS_COMPLEMENTOS!$E$4:$E$803,C436,MOVIMIENTOS_COMPLEMENTOS!$G$4:$G$803,E436,MOVIMIENTOS_COMPLEMENTOS!$H$4:$H$803,G436,MOVIMIENTOS_COMPLEMENTOS!$B$4:$B$803,"DE CORTE")-SUMIFS(MOVIMIENTOS_COMPLEMENTOS!$I$4:$I$803,MOVIMIENTOS_COMPLEMENTOS!$C$4:$C$803,A436,MOVIMIENTOS_COMPLEMENTOS!$D$4:$D$803,B436,MOVIMIENTOS_COMPLEMENTOS!$E$4:$E$803,C436,MOVIMIENTOS_COMPLEMENTOS!$G$4:$G$803,E436,MOVIMIENTOS_COMPLEMENTOS!$H$4:$H$803,G436,MOVIMIENTOS_COMPLEMENTOS!$B$4:$B$803,"SALIDA"),0)</f>
        <v>0</v>
      </c>
      <c r="I436" s="102">
        <f t="array" ref="I436">IFERROR(INDEX(PRECIOS_COMPLEMENTOS!$C$4:$F$17,MATCH(B436&amp;"_"&amp;C436,PRECIOS_COMPLEMENTOS!$H$4:$H$17,0),IF(OR(G436="S",G436="20cm"),1,IF(OR(G436="M",G436="25cm"),2,IF(OR(G436="L",G436="30cm"),3,IF(OR(G436="XL",G436="35cm"),4,0))))),0)</f>
        <v>0.4</v>
      </c>
      <c r="J436" s="103">
        <f t="shared" si="1"/>
        <v>0</v>
      </c>
      <c r="K436" s="104" t="str">
        <f>IF(H436&lt;0,"ERROR",IF(H436=0,"",IF(H436&lt;CONFIG!$B$4,"CRÍTICO",IF(H436&lt;CONFIG!$B$5,"BAJO","OK"))))</f>
        <v/>
      </c>
    </row>
    <row r="437" ht="15.75" hidden="1" customHeight="1">
      <c r="A437" s="90" t="str">
        <f>IF(CLIENTES!A6="","",CLIENTES!A6)</f>
        <v/>
      </c>
      <c r="B437" s="90" t="s">
        <v>321</v>
      </c>
      <c r="C437" s="91" t="s">
        <v>326</v>
      </c>
      <c r="D437" s="109" t="s">
        <v>353</v>
      </c>
      <c r="E437" s="67" t="str">
        <f>COLORES!A12</f>
        <v>Cemento</v>
      </c>
      <c r="F437" s="67" t="str">
        <f>COLORES!B12</f>
        <v>CLARO</v>
      </c>
      <c r="G437" s="90" t="s">
        <v>376</v>
      </c>
      <c r="H437" s="100">
        <f>IFERROR(SUMIFS(MOVIMIENTOS_COMPLEMENTOS!$I$4:$I$803,MOVIMIENTOS_COMPLEMENTOS!$C$4:$C$803,A437,MOVIMIENTOS_COMPLEMENTOS!$D$4:$D$803,B437,MOVIMIENTOS_COMPLEMENTOS!$E$4:$E$803,C437,MOVIMIENTOS_COMPLEMENTOS!$G$4:$G$803,E437,MOVIMIENTOS_COMPLEMENTOS!$H$4:$H$803,G437,MOVIMIENTOS_COMPLEMENTOS!$B$4:$B$803,"INGRESO")+SUMIFS(MOVIMIENTOS_COMPLEMENTOS!$I$4:$I$803,MOVIMIENTOS_COMPLEMENTOS!$C$4:$C$803,A437,MOVIMIENTOS_COMPLEMENTOS!$D$4:$D$803,B437,MOVIMIENTOS_COMPLEMENTOS!$E$4:$E$803,C437,MOVIMIENTOS_COMPLEMENTOS!$G$4:$G$803,E437,MOVIMIENTOS_COMPLEMENTOS!$H$4:$H$803,G437,MOVIMIENTOS_COMPLEMENTOS!$B$4:$B$803,"DE CORTE")-SUMIFS(MOVIMIENTOS_COMPLEMENTOS!$I$4:$I$803,MOVIMIENTOS_COMPLEMENTOS!$C$4:$C$803,A437,MOVIMIENTOS_COMPLEMENTOS!$D$4:$D$803,B437,MOVIMIENTOS_COMPLEMENTOS!$E$4:$E$803,C437,MOVIMIENTOS_COMPLEMENTOS!$G$4:$G$803,E437,MOVIMIENTOS_COMPLEMENTOS!$H$4:$H$803,G437,MOVIMIENTOS_COMPLEMENTOS!$B$4:$B$803,"SALIDA"),0)</f>
        <v>0</v>
      </c>
      <c r="I437" s="102">
        <f t="array" ref="I437">IFERROR(INDEX(PRECIOS_COMPLEMENTOS!$C$4:$F$17,MATCH(B437&amp;"_"&amp;C437,PRECIOS_COMPLEMENTOS!$H$4:$H$17,0),IF(OR(G437="S",G437="20cm"),1,IF(OR(G437="M",G437="25cm"),2,IF(OR(G437="L",G437="30cm"),3,IF(OR(G437="XL",G437="35cm"),4,0))))),0)</f>
        <v>0.45</v>
      </c>
      <c r="J437" s="103">
        <f t="shared" si="1"/>
        <v>0</v>
      </c>
      <c r="K437" s="104" t="str">
        <f>IF(H437&lt;0,"ERROR",IF(H437=0,"",IF(H437&lt;CONFIG!$B$4,"CRÍTICO",IF(H437&lt;CONFIG!$B$5,"BAJO","OK"))))</f>
        <v/>
      </c>
    </row>
    <row r="438" ht="15.75" hidden="1" customHeight="1">
      <c r="A438" s="90" t="str">
        <f>IF(CLIENTES!A6="","",CLIENTES!A6)</f>
        <v/>
      </c>
      <c r="B438" s="90" t="s">
        <v>321</v>
      </c>
      <c r="C438" s="91" t="s">
        <v>326</v>
      </c>
      <c r="D438" s="109" t="s">
        <v>353</v>
      </c>
      <c r="E438" s="67" t="str">
        <f>COLORES!A12</f>
        <v>Cemento</v>
      </c>
      <c r="F438" s="67" t="str">
        <f>COLORES!B12</f>
        <v>CLARO</v>
      </c>
      <c r="G438" s="90" t="s">
        <v>377</v>
      </c>
      <c r="H438" s="100">
        <f>IFERROR(SUMIFS(MOVIMIENTOS_COMPLEMENTOS!$I$4:$I$803,MOVIMIENTOS_COMPLEMENTOS!$C$4:$C$803,A438,MOVIMIENTOS_COMPLEMENTOS!$D$4:$D$803,B438,MOVIMIENTOS_COMPLEMENTOS!$E$4:$E$803,C438,MOVIMIENTOS_COMPLEMENTOS!$G$4:$G$803,E438,MOVIMIENTOS_COMPLEMENTOS!$H$4:$H$803,G438,MOVIMIENTOS_COMPLEMENTOS!$B$4:$B$803,"INGRESO")+SUMIFS(MOVIMIENTOS_COMPLEMENTOS!$I$4:$I$803,MOVIMIENTOS_COMPLEMENTOS!$C$4:$C$803,A438,MOVIMIENTOS_COMPLEMENTOS!$D$4:$D$803,B438,MOVIMIENTOS_COMPLEMENTOS!$E$4:$E$803,C438,MOVIMIENTOS_COMPLEMENTOS!$G$4:$G$803,E438,MOVIMIENTOS_COMPLEMENTOS!$H$4:$H$803,G438,MOVIMIENTOS_COMPLEMENTOS!$B$4:$B$803,"DE CORTE")-SUMIFS(MOVIMIENTOS_COMPLEMENTOS!$I$4:$I$803,MOVIMIENTOS_COMPLEMENTOS!$C$4:$C$803,A438,MOVIMIENTOS_COMPLEMENTOS!$D$4:$D$803,B438,MOVIMIENTOS_COMPLEMENTOS!$E$4:$E$803,C438,MOVIMIENTOS_COMPLEMENTOS!$G$4:$G$803,E438,MOVIMIENTOS_COMPLEMENTOS!$H$4:$H$803,G438,MOVIMIENTOS_COMPLEMENTOS!$B$4:$B$803,"SALIDA"),0)</f>
        <v>0</v>
      </c>
      <c r="I438" s="102">
        <f t="array" ref="I438">IFERROR(INDEX(PRECIOS_COMPLEMENTOS!$C$4:$F$17,MATCH(B438&amp;"_"&amp;C438,PRECIOS_COMPLEMENTOS!$H$4:$H$17,0),IF(OR(G438="S",G438="20cm"),1,IF(OR(G438="M",G438="25cm"),2,IF(OR(G438="L",G438="30cm"),3,IF(OR(G438="XL",G438="35cm"),4,0))))),0)</f>
        <v>0.5</v>
      </c>
      <c r="J438" s="103">
        <f t="shared" si="1"/>
        <v>0</v>
      </c>
      <c r="K438" s="104" t="str">
        <f>IF(H438&lt;0,"ERROR",IF(H438=0,"",IF(H438&lt;CONFIG!$B$4,"CRÍTICO",IF(H438&lt;CONFIG!$B$5,"BAJO","OK"))))</f>
        <v/>
      </c>
    </row>
    <row r="439" ht="15.75" hidden="1" customHeight="1">
      <c r="A439" s="90" t="str">
        <f>IF(CLIENTES!A6="","",CLIENTES!A6)</f>
        <v/>
      </c>
      <c r="B439" s="90" t="s">
        <v>321</v>
      </c>
      <c r="C439" s="91" t="s">
        <v>326</v>
      </c>
      <c r="D439" s="109" t="s">
        <v>353</v>
      </c>
      <c r="E439" s="67" t="str">
        <f>COLORES!A12</f>
        <v>Cemento</v>
      </c>
      <c r="F439" s="67" t="str">
        <f>COLORES!B12</f>
        <v>CLARO</v>
      </c>
      <c r="G439" s="90" t="s">
        <v>379</v>
      </c>
      <c r="H439" s="100">
        <f>IFERROR(SUMIFS(MOVIMIENTOS_COMPLEMENTOS!$I$4:$I$803,MOVIMIENTOS_COMPLEMENTOS!$C$4:$C$803,A439,MOVIMIENTOS_COMPLEMENTOS!$D$4:$D$803,B439,MOVIMIENTOS_COMPLEMENTOS!$E$4:$E$803,C439,MOVIMIENTOS_COMPLEMENTOS!$G$4:$G$803,E439,MOVIMIENTOS_COMPLEMENTOS!$H$4:$H$803,G439,MOVIMIENTOS_COMPLEMENTOS!$B$4:$B$803,"INGRESO")+SUMIFS(MOVIMIENTOS_COMPLEMENTOS!$I$4:$I$803,MOVIMIENTOS_COMPLEMENTOS!$C$4:$C$803,A439,MOVIMIENTOS_COMPLEMENTOS!$D$4:$D$803,B439,MOVIMIENTOS_COMPLEMENTOS!$E$4:$E$803,C439,MOVIMIENTOS_COMPLEMENTOS!$G$4:$G$803,E439,MOVIMIENTOS_COMPLEMENTOS!$H$4:$H$803,G439,MOVIMIENTOS_COMPLEMENTOS!$B$4:$B$803,"DE CORTE")-SUMIFS(MOVIMIENTOS_COMPLEMENTOS!$I$4:$I$803,MOVIMIENTOS_COMPLEMENTOS!$C$4:$C$803,A439,MOVIMIENTOS_COMPLEMENTOS!$D$4:$D$803,B439,MOVIMIENTOS_COMPLEMENTOS!$E$4:$E$803,C439,MOVIMIENTOS_COMPLEMENTOS!$G$4:$G$803,E439,MOVIMIENTOS_COMPLEMENTOS!$H$4:$H$803,G439,MOVIMIENTOS_COMPLEMENTOS!$B$4:$B$803,"SALIDA"),0)</f>
        <v>0</v>
      </c>
      <c r="I439" s="102">
        <f t="array" ref="I439">IFERROR(INDEX(PRECIOS_COMPLEMENTOS!$C$4:$F$17,MATCH(B439&amp;"_"&amp;C439,PRECIOS_COMPLEMENTOS!$H$4:$H$17,0),IF(OR(G439="S",G439="20cm"),1,IF(OR(G439="M",G439="25cm"),2,IF(OR(G439="L",G439="30cm"),3,IF(OR(G439="XL",G439="35cm"),4,0))))),0)</f>
        <v>0.55</v>
      </c>
      <c r="J439" s="103">
        <f t="shared" si="1"/>
        <v>0</v>
      </c>
      <c r="K439" s="104" t="str">
        <f>IF(H439&lt;0,"ERROR",IF(H439=0,"",IF(H439&lt;CONFIG!$B$4,"CRÍTICO",IF(H439&lt;CONFIG!$B$5,"BAJO","OK"))))</f>
        <v/>
      </c>
    </row>
    <row r="440" ht="15.75" hidden="1" customHeight="1">
      <c r="A440" s="90" t="str">
        <f>IF(CLIENTES!A6="","",CLIENTES!A6)</f>
        <v/>
      </c>
      <c r="B440" s="90" t="s">
        <v>321</v>
      </c>
      <c r="C440" s="91" t="s">
        <v>326</v>
      </c>
      <c r="D440" s="109" t="s">
        <v>353</v>
      </c>
      <c r="E440" s="67" t="str">
        <f>COLORES!A13</f>
        <v>Camote</v>
      </c>
      <c r="F440" s="67" t="str">
        <f>COLORES!B13</f>
        <v>CLARO</v>
      </c>
      <c r="G440" s="90" t="s">
        <v>378</v>
      </c>
      <c r="H440" s="100">
        <f>IFERROR(SUMIFS(MOVIMIENTOS_COMPLEMENTOS!$I$4:$I$803,MOVIMIENTOS_COMPLEMENTOS!$C$4:$C$803,A440,MOVIMIENTOS_COMPLEMENTOS!$D$4:$D$803,B440,MOVIMIENTOS_COMPLEMENTOS!$E$4:$E$803,C440,MOVIMIENTOS_COMPLEMENTOS!$G$4:$G$803,E440,MOVIMIENTOS_COMPLEMENTOS!$H$4:$H$803,G440,MOVIMIENTOS_COMPLEMENTOS!$B$4:$B$803,"INGRESO")+SUMIFS(MOVIMIENTOS_COMPLEMENTOS!$I$4:$I$803,MOVIMIENTOS_COMPLEMENTOS!$C$4:$C$803,A440,MOVIMIENTOS_COMPLEMENTOS!$D$4:$D$803,B440,MOVIMIENTOS_COMPLEMENTOS!$E$4:$E$803,C440,MOVIMIENTOS_COMPLEMENTOS!$G$4:$G$803,E440,MOVIMIENTOS_COMPLEMENTOS!$H$4:$H$803,G440,MOVIMIENTOS_COMPLEMENTOS!$B$4:$B$803,"DE CORTE")-SUMIFS(MOVIMIENTOS_COMPLEMENTOS!$I$4:$I$803,MOVIMIENTOS_COMPLEMENTOS!$C$4:$C$803,A440,MOVIMIENTOS_COMPLEMENTOS!$D$4:$D$803,B440,MOVIMIENTOS_COMPLEMENTOS!$E$4:$E$803,C440,MOVIMIENTOS_COMPLEMENTOS!$G$4:$G$803,E440,MOVIMIENTOS_COMPLEMENTOS!$H$4:$H$803,G440,MOVIMIENTOS_COMPLEMENTOS!$B$4:$B$803,"SALIDA"),0)</f>
        <v>0</v>
      </c>
      <c r="I440" s="102">
        <f t="array" ref="I440">IFERROR(INDEX(PRECIOS_COMPLEMENTOS!$C$4:$F$17,MATCH(B440&amp;"_"&amp;C440,PRECIOS_COMPLEMENTOS!$H$4:$H$17,0),IF(OR(G440="S",G440="20cm"),1,IF(OR(G440="M",G440="25cm"),2,IF(OR(G440="L",G440="30cm"),3,IF(OR(G440="XL",G440="35cm"),4,0))))),0)</f>
        <v>0.4</v>
      </c>
      <c r="J440" s="103">
        <f t="shared" si="1"/>
        <v>0</v>
      </c>
      <c r="K440" s="104" t="str">
        <f>IF(H440&lt;0,"ERROR",IF(H440=0,"",IF(H440&lt;CONFIG!$B$4,"CRÍTICO",IF(H440&lt;CONFIG!$B$5,"BAJO","OK"))))</f>
        <v/>
      </c>
    </row>
    <row r="441" ht="15.75" hidden="1" customHeight="1">
      <c r="A441" s="90" t="str">
        <f>IF(CLIENTES!A6="","",CLIENTES!A6)</f>
        <v/>
      </c>
      <c r="B441" s="90" t="s">
        <v>321</v>
      </c>
      <c r="C441" s="91" t="s">
        <v>326</v>
      </c>
      <c r="D441" s="109" t="s">
        <v>353</v>
      </c>
      <c r="E441" s="67" t="str">
        <f>COLORES!A13</f>
        <v>Camote</v>
      </c>
      <c r="F441" s="67" t="str">
        <f>COLORES!B13</f>
        <v>CLARO</v>
      </c>
      <c r="G441" s="90" t="s">
        <v>376</v>
      </c>
      <c r="H441" s="100">
        <f>IFERROR(SUMIFS(MOVIMIENTOS_COMPLEMENTOS!$I$4:$I$803,MOVIMIENTOS_COMPLEMENTOS!$C$4:$C$803,A441,MOVIMIENTOS_COMPLEMENTOS!$D$4:$D$803,B441,MOVIMIENTOS_COMPLEMENTOS!$E$4:$E$803,C441,MOVIMIENTOS_COMPLEMENTOS!$G$4:$G$803,E441,MOVIMIENTOS_COMPLEMENTOS!$H$4:$H$803,G441,MOVIMIENTOS_COMPLEMENTOS!$B$4:$B$803,"INGRESO")+SUMIFS(MOVIMIENTOS_COMPLEMENTOS!$I$4:$I$803,MOVIMIENTOS_COMPLEMENTOS!$C$4:$C$803,A441,MOVIMIENTOS_COMPLEMENTOS!$D$4:$D$803,B441,MOVIMIENTOS_COMPLEMENTOS!$E$4:$E$803,C441,MOVIMIENTOS_COMPLEMENTOS!$G$4:$G$803,E441,MOVIMIENTOS_COMPLEMENTOS!$H$4:$H$803,G441,MOVIMIENTOS_COMPLEMENTOS!$B$4:$B$803,"DE CORTE")-SUMIFS(MOVIMIENTOS_COMPLEMENTOS!$I$4:$I$803,MOVIMIENTOS_COMPLEMENTOS!$C$4:$C$803,A441,MOVIMIENTOS_COMPLEMENTOS!$D$4:$D$803,B441,MOVIMIENTOS_COMPLEMENTOS!$E$4:$E$803,C441,MOVIMIENTOS_COMPLEMENTOS!$G$4:$G$803,E441,MOVIMIENTOS_COMPLEMENTOS!$H$4:$H$803,G441,MOVIMIENTOS_COMPLEMENTOS!$B$4:$B$803,"SALIDA"),0)</f>
        <v>0</v>
      </c>
      <c r="I441" s="102">
        <f t="array" ref="I441">IFERROR(INDEX(PRECIOS_COMPLEMENTOS!$C$4:$F$17,MATCH(B441&amp;"_"&amp;C441,PRECIOS_COMPLEMENTOS!$H$4:$H$17,0),IF(OR(G441="S",G441="20cm"),1,IF(OR(G441="M",G441="25cm"),2,IF(OR(G441="L",G441="30cm"),3,IF(OR(G441="XL",G441="35cm"),4,0))))),0)</f>
        <v>0.45</v>
      </c>
      <c r="J441" s="103">
        <f t="shared" si="1"/>
        <v>0</v>
      </c>
      <c r="K441" s="104" t="str">
        <f>IF(H441&lt;0,"ERROR",IF(H441=0,"",IF(H441&lt;CONFIG!$B$4,"CRÍTICO",IF(H441&lt;CONFIG!$B$5,"BAJO","OK"))))</f>
        <v/>
      </c>
    </row>
    <row r="442" ht="15.75" hidden="1" customHeight="1">
      <c r="A442" s="90" t="str">
        <f>IF(CLIENTES!A6="","",CLIENTES!A6)</f>
        <v/>
      </c>
      <c r="B442" s="90" t="s">
        <v>321</v>
      </c>
      <c r="C442" s="91" t="s">
        <v>326</v>
      </c>
      <c r="D442" s="109" t="s">
        <v>353</v>
      </c>
      <c r="E442" s="67" t="str">
        <f>COLORES!A13</f>
        <v>Camote</v>
      </c>
      <c r="F442" s="67" t="str">
        <f>COLORES!B13</f>
        <v>CLARO</v>
      </c>
      <c r="G442" s="90" t="s">
        <v>377</v>
      </c>
      <c r="H442" s="100">
        <f>IFERROR(SUMIFS(MOVIMIENTOS_COMPLEMENTOS!$I$4:$I$803,MOVIMIENTOS_COMPLEMENTOS!$C$4:$C$803,A442,MOVIMIENTOS_COMPLEMENTOS!$D$4:$D$803,B442,MOVIMIENTOS_COMPLEMENTOS!$E$4:$E$803,C442,MOVIMIENTOS_COMPLEMENTOS!$G$4:$G$803,E442,MOVIMIENTOS_COMPLEMENTOS!$H$4:$H$803,G442,MOVIMIENTOS_COMPLEMENTOS!$B$4:$B$803,"INGRESO")+SUMIFS(MOVIMIENTOS_COMPLEMENTOS!$I$4:$I$803,MOVIMIENTOS_COMPLEMENTOS!$C$4:$C$803,A442,MOVIMIENTOS_COMPLEMENTOS!$D$4:$D$803,B442,MOVIMIENTOS_COMPLEMENTOS!$E$4:$E$803,C442,MOVIMIENTOS_COMPLEMENTOS!$G$4:$G$803,E442,MOVIMIENTOS_COMPLEMENTOS!$H$4:$H$803,G442,MOVIMIENTOS_COMPLEMENTOS!$B$4:$B$803,"DE CORTE")-SUMIFS(MOVIMIENTOS_COMPLEMENTOS!$I$4:$I$803,MOVIMIENTOS_COMPLEMENTOS!$C$4:$C$803,A442,MOVIMIENTOS_COMPLEMENTOS!$D$4:$D$803,B442,MOVIMIENTOS_COMPLEMENTOS!$E$4:$E$803,C442,MOVIMIENTOS_COMPLEMENTOS!$G$4:$G$803,E442,MOVIMIENTOS_COMPLEMENTOS!$H$4:$H$803,G442,MOVIMIENTOS_COMPLEMENTOS!$B$4:$B$803,"SALIDA"),0)</f>
        <v>0</v>
      </c>
      <c r="I442" s="102">
        <f t="array" ref="I442">IFERROR(INDEX(PRECIOS_COMPLEMENTOS!$C$4:$F$17,MATCH(B442&amp;"_"&amp;C442,PRECIOS_COMPLEMENTOS!$H$4:$H$17,0),IF(OR(G442="S",G442="20cm"),1,IF(OR(G442="M",G442="25cm"),2,IF(OR(G442="L",G442="30cm"),3,IF(OR(G442="XL",G442="35cm"),4,0))))),0)</f>
        <v>0.5</v>
      </c>
      <c r="J442" s="103">
        <f t="shared" si="1"/>
        <v>0</v>
      </c>
      <c r="K442" s="104" t="str">
        <f>IF(H442&lt;0,"ERROR",IF(H442=0,"",IF(H442&lt;CONFIG!$B$4,"CRÍTICO",IF(H442&lt;CONFIG!$B$5,"BAJO","OK"))))</f>
        <v/>
      </c>
    </row>
    <row r="443" ht="15.75" hidden="1" customHeight="1">
      <c r="A443" s="90" t="str">
        <f>IF(CLIENTES!A6="","",CLIENTES!A6)</f>
        <v/>
      </c>
      <c r="B443" s="90" t="s">
        <v>321</v>
      </c>
      <c r="C443" s="91" t="s">
        <v>326</v>
      </c>
      <c r="D443" s="109" t="s">
        <v>353</v>
      </c>
      <c r="E443" s="67" t="str">
        <f>COLORES!A13</f>
        <v>Camote</v>
      </c>
      <c r="F443" s="67" t="str">
        <f>COLORES!B13</f>
        <v>CLARO</v>
      </c>
      <c r="G443" s="90" t="s">
        <v>379</v>
      </c>
      <c r="H443" s="100">
        <f>IFERROR(SUMIFS(MOVIMIENTOS_COMPLEMENTOS!$I$4:$I$803,MOVIMIENTOS_COMPLEMENTOS!$C$4:$C$803,A443,MOVIMIENTOS_COMPLEMENTOS!$D$4:$D$803,B443,MOVIMIENTOS_COMPLEMENTOS!$E$4:$E$803,C443,MOVIMIENTOS_COMPLEMENTOS!$G$4:$G$803,E443,MOVIMIENTOS_COMPLEMENTOS!$H$4:$H$803,G443,MOVIMIENTOS_COMPLEMENTOS!$B$4:$B$803,"INGRESO")+SUMIFS(MOVIMIENTOS_COMPLEMENTOS!$I$4:$I$803,MOVIMIENTOS_COMPLEMENTOS!$C$4:$C$803,A443,MOVIMIENTOS_COMPLEMENTOS!$D$4:$D$803,B443,MOVIMIENTOS_COMPLEMENTOS!$E$4:$E$803,C443,MOVIMIENTOS_COMPLEMENTOS!$G$4:$G$803,E443,MOVIMIENTOS_COMPLEMENTOS!$H$4:$H$803,G443,MOVIMIENTOS_COMPLEMENTOS!$B$4:$B$803,"DE CORTE")-SUMIFS(MOVIMIENTOS_COMPLEMENTOS!$I$4:$I$803,MOVIMIENTOS_COMPLEMENTOS!$C$4:$C$803,A443,MOVIMIENTOS_COMPLEMENTOS!$D$4:$D$803,B443,MOVIMIENTOS_COMPLEMENTOS!$E$4:$E$803,C443,MOVIMIENTOS_COMPLEMENTOS!$G$4:$G$803,E443,MOVIMIENTOS_COMPLEMENTOS!$H$4:$H$803,G443,MOVIMIENTOS_COMPLEMENTOS!$B$4:$B$803,"SALIDA"),0)</f>
        <v>0</v>
      </c>
      <c r="I443" s="102">
        <f t="array" ref="I443">IFERROR(INDEX(PRECIOS_COMPLEMENTOS!$C$4:$F$17,MATCH(B443&amp;"_"&amp;C443,PRECIOS_COMPLEMENTOS!$H$4:$H$17,0),IF(OR(G443="S",G443="20cm"),1,IF(OR(G443="M",G443="25cm"),2,IF(OR(G443="L",G443="30cm"),3,IF(OR(G443="XL",G443="35cm"),4,0))))),0)</f>
        <v>0.55</v>
      </c>
      <c r="J443" s="103">
        <f t="shared" si="1"/>
        <v>0</v>
      </c>
      <c r="K443" s="104" t="str">
        <f>IF(H443&lt;0,"ERROR",IF(H443=0,"",IF(H443&lt;CONFIG!$B$4,"CRÍTICO",IF(H443&lt;CONFIG!$B$5,"BAJO","OK"))))</f>
        <v/>
      </c>
    </row>
    <row r="444" ht="15.75" hidden="1" customHeight="1">
      <c r="A444" s="90" t="str">
        <f>IF(CLIENTES!A6="","",CLIENTES!A6)</f>
        <v/>
      </c>
      <c r="B444" s="90" t="s">
        <v>321</v>
      </c>
      <c r="C444" s="91" t="s">
        <v>326</v>
      </c>
      <c r="D444" s="109" t="s">
        <v>353</v>
      </c>
      <c r="E444" s="67" t="str">
        <f>COLORES!A14</f>
        <v>Denim</v>
      </c>
      <c r="F444" s="67" t="str">
        <f>COLORES!B14</f>
        <v>CLARO</v>
      </c>
      <c r="G444" s="90" t="s">
        <v>378</v>
      </c>
      <c r="H444" s="100">
        <f>IFERROR(SUMIFS(MOVIMIENTOS_COMPLEMENTOS!$I$4:$I$803,MOVIMIENTOS_COMPLEMENTOS!$C$4:$C$803,A444,MOVIMIENTOS_COMPLEMENTOS!$D$4:$D$803,B444,MOVIMIENTOS_COMPLEMENTOS!$E$4:$E$803,C444,MOVIMIENTOS_COMPLEMENTOS!$G$4:$G$803,E444,MOVIMIENTOS_COMPLEMENTOS!$H$4:$H$803,G444,MOVIMIENTOS_COMPLEMENTOS!$B$4:$B$803,"INGRESO")+SUMIFS(MOVIMIENTOS_COMPLEMENTOS!$I$4:$I$803,MOVIMIENTOS_COMPLEMENTOS!$C$4:$C$803,A444,MOVIMIENTOS_COMPLEMENTOS!$D$4:$D$803,B444,MOVIMIENTOS_COMPLEMENTOS!$E$4:$E$803,C444,MOVIMIENTOS_COMPLEMENTOS!$G$4:$G$803,E444,MOVIMIENTOS_COMPLEMENTOS!$H$4:$H$803,G444,MOVIMIENTOS_COMPLEMENTOS!$B$4:$B$803,"DE CORTE")-SUMIFS(MOVIMIENTOS_COMPLEMENTOS!$I$4:$I$803,MOVIMIENTOS_COMPLEMENTOS!$C$4:$C$803,A444,MOVIMIENTOS_COMPLEMENTOS!$D$4:$D$803,B444,MOVIMIENTOS_COMPLEMENTOS!$E$4:$E$803,C444,MOVIMIENTOS_COMPLEMENTOS!$G$4:$G$803,E444,MOVIMIENTOS_COMPLEMENTOS!$H$4:$H$803,G444,MOVIMIENTOS_COMPLEMENTOS!$B$4:$B$803,"SALIDA"),0)</f>
        <v>0</v>
      </c>
      <c r="I444" s="102">
        <f t="array" ref="I444">IFERROR(INDEX(PRECIOS_COMPLEMENTOS!$C$4:$F$17,MATCH(B444&amp;"_"&amp;C444,PRECIOS_COMPLEMENTOS!$H$4:$H$17,0),IF(OR(G444="S",G444="20cm"),1,IF(OR(G444="M",G444="25cm"),2,IF(OR(G444="L",G444="30cm"),3,IF(OR(G444="XL",G444="35cm"),4,0))))),0)</f>
        <v>0.4</v>
      </c>
      <c r="J444" s="103">
        <f t="shared" si="1"/>
        <v>0</v>
      </c>
      <c r="K444" s="104" t="str">
        <f>IF(H444&lt;0,"ERROR",IF(H444=0,"",IF(H444&lt;CONFIG!$B$4,"CRÍTICO",IF(H444&lt;CONFIG!$B$5,"BAJO","OK"))))</f>
        <v/>
      </c>
    </row>
    <row r="445" ht="15.75" hidden="1" customHeight="1">
      <c r="A445" s="90" t="str">
        <f>IF(CLIENTES!A6="","",CLIENTES!A6)</f>
        <v/>
      </c>
      <c r="B445" s="90" t="s">
        <v>321</v>
      </c>
      <c r="C445" s="91" t="s">
        <v>326</v>
      </c>
      <c r="D445" s="109" t="s">
        <v>353</v>
      </c>
      <c r="E445" s="67" t="str">
        <f>COLORES!A14</f>
        <v>Denim</v>
      </c>
      <c r="F445" s="67" t="str">
        <f>COLORES!B14</f>
        <v>CLARO</v>
      </c>
      <c r="G445" s="90" t="s">
        <v>376</v>
      </c>
      <c r="H445" s="100">
        <f>IFERROR(SUMIFS(MOVIMIENTOS_COMPLEMENTOS!$I$4:$I$803,MOVIMIENTOS_COMPLEMENTOS!$C$4:$C$803,A445,MOVIMIENTOS_COMPLEMENTOS!$D$4:$D$803,B445,MOVIMIENTOS_COMPLEMENTOS!$E$4:$E$803,C445,MOVIMIENTOS_COMPLEMENTOS!$G$4:$G$803,E445,MOVIMIENTOS_COMPLEMENTOS!$H$4:$H$803,G445,MOVIMIENTOS_COMPLEMENTOS!$B$4:$B$803,"INGRESO")+SUMIFS(MOVIMIENTOS_COMPLEMENTOS!$I$4:$I$803,MOVIMIENTOS_COMPLEMENTOS!$C$4:$C$803,A445,MOVIMIENTOS_COMPLEMENTOS!$D$4:$D$803,B445,MOVIMIENTOS_COMPLEMENTOS!$E$4:$E$803,C445,MOVIMIENTOS_COMPLEMENTOS!$G$4:$G$803,E445,MOVIMIENTOS_COMPLEMENTOS!$H$4:$H$803,G445,MOVIMIENTOS_COMPLEMENTOS!$B$4:$B$803,"DE CORTE")-SUMIFS(MOVIMIENTOS_COMPLEMENTOS!$I$4:$I$803,MOVIMIENTOS_COMPLEMENTOS!$C$4:$C$803,A445,MOVIMIENTOS_COMPLEMENTOS!$D$4:$D$803,B445,MOVIMIENTOS_COMPLEMENTOS!$E$4:$E$803,C445,MOVIMIENTOS_COMPLEMENTOS!$G$4:$G$803,E445,MOVIMIENTOS_COMPLEMENTOS!$H$4:$H$803,G445,MOVIMIENTOS_COMPLEMENTOS!$B$4:$B$803,"SALIDA"),0)</f>
        <v>0</v>
      </c>
      <c r="I445" s="102">
        <f t="array" ref="I445">IFERROR(INDEX(PRECIOS_COMPLEMENTOS!$C$4:$F$17,MATCH(B445&amp;"_"&amp;C445,PRECIOS_COMPLEMENTOS!$H$4:$H$17,0),IF(OR(G445="S",G445="20cm"),1,IF(OR(G445="M",G445="25cm"),2,IF(OR(G445="L",G445="30cm"),3,IF(OR(G445="XL",G445="35cm"),4,0))))),0)</f>
        <v>0.45</v>
      </c>
      <c r="J445" s="103">
        <f t="shared" si="1"/>
        <v>0</v>
      </c>
      <c r="K445" s="104" t="str">
        <f>IF(H445&lt;0,"ERROR",IF(H445=0,"",IF(H445&lt;CONFIG!$B$4,"CRÍTICO",IF(H445&lt;CONFIG!$B$5,"BAJO","OK"))))</f>
        <v/>
      </c>
    </row>
    <row r="446" ht="15.75" hidden="1" customHeight="1">
      <c r="A446" s="90" t="str">
        <f>IF(CLIENTES!A6="","",CLIENTES!A6)</f>
        <v/>
      </c>
      <c r="B446" s="90" t="s">
        <v>321</v>
      </c>
      <c r="C446" s="91" t="s">
        <v>326</v>
      </c>
      <c r="D446" s="109" t="s">
        <v>353</v>
      </c>
      <c r="E446" s="67" t="str">
        <f>COLORES!A14</f>
        <v>Denim</v>
      </c>
      <c r="F446" s="67" t="str">
        <f>COLORES!B14</f>
        <v>CLARO</v>
      </c>
      <c r="G446" s="90" t="s">
        <v>377</v>
      </c>
      <c r="H446" s="100">
        <f>IFERROR(SUMIFS(MOVIMIENTOS_COMPLEMENTOS!$I$4:$I$803,MOVIMIENTOS_COMPLEMENTOS!$C$4:$C$803,A446,MOVIMIENTOS_COMPLEMENTOS!$D$4:$D$803,B446,MOVIMIENTOS_COMPLEMENTOS!$E$4:$E$803,C446,MOVIMIENTOS_COMPLEMENTOS!$G$4:$G$803,E446,MOVIMIENTOS_COMPLEMENTOS!$H$4:$H$803,G446,MOVIMIENTOS_COMPLEMENTOS!$B$4:$B$803,"INGRESO")+SUMIFS(MOVIMIENTOS_COMPLEMENTOS!$I$4:$I$803,MOVIMIENTOS_COMPLEMENTOS!$C$4:$C$803,A446,MOVIMIENTOS_COMPLEMENTOS!$D$4:$D$803,B446,MOVIMIENTOS_COMPLEMENTOS!$E$4:$E$803,C446,MOVIMIENTOS_COMPLEMENTOS!$G$4:$G$803,E446,MOVIMIENTOS_COMPLEMENTOS!$H$4:$H$803,G446,MOVIMIENTOS_COMPLEMENTOS!$B$4:$B$803,"DE CORTE")-SUMIFS(MOVIMIENTOS_COMPLEMENTOS!$I$4:$I$803,MOVIMIENTOS_COMPLEMENTOS!$C$4:$C$803,A446,MOVIMIENTOS_COMPLEMENTOS!$D$4:$D$803,B446,MOVIMIENTOS_COMPLEMENTOS!$E$4:$E$803,C446,MOVIMIENTOS_COMPLEMENTOS!$G$4:$G$803,E446,MOVIMIENTOS_COMPLEMENTOS!$H$4:$H$803,G446,MOVIMIENTOS_COMPLEMENTOS!$B$4:$B$803,"SALIDA"),0)</f>
        <v>0</v>
      </c>
      <c r="I446" s="102">
        <f t="array" ref="I446">IFERROR(INDEX(PRECIOS_COMPLEMENTOS!$C$4:$F$17,MATCH(B446&amp;"_"&amp;C446,PRECIOS_COMPLEMENTOS!$H$4:$H$17,0),IF(OR(G446="S",G446="20cm"),1,IF(OR(G446="M",G446="25cm"),2,IF(OR(G446="L",G446="30cm"),3,IF(OR(G446="XL",G446="35cm"),4,0))))),0)</f>
        <v>0.5</v>
      </c>
      <c r="J446" s="103">
        <f t="shared" si="1"/>
        <v>0</v>
      </c>
      <c r="K446" s="104" t="str">
        <f>IF(H446&lt;0,"ERROR",IF(H446=0,"",IF(H446&lt;CONFIG!$B$4,"CRÍTICO",IF(H446&lt;CONFIG!$B$5,"BAJO","OK"))))</f>
        <v/>
      </c>
    </row>
    <row r="447" ht="15.75" hidden="1" customHeight="1">
      <c r="A447" s="90" t="str">
        <f>IF(CLIENTES!A6="","",CLIENTES!A6)</f>
        <v/>
      </c>
      <c r="B447" s="90" t="s">
        <v>321</v>
      </c>
      <c r="C447" s="91" t="s">
        <v>326</v>
      </c>
      <c r="D447" s="109" t="s">
        <v>353</v>
      </c>
      <c r="E447" s="67" t="str">
        <f>COLORES!A14</f>
        <v>Denim</v>
      </c>
      <c r="F447" s="67" t="str">
        <f>COLORES!B14</f>
        <v>CLARO</v>
      </c>
      <c r="G447" s="90" t="s">
        <v>379</v>
      </c>
      <c r="H447" s="100">
        <f>IFERROR(SUMIFS(MOVIMIENTOS_COMPLEMENTOS!$I$4:$I$803,MOVIMIENTOS_COMPLEMENTOS!$C$4:$C$803,A447,MOVIMIENTOS_COMPLEMENTOS!$D$4:$D$803,B447,MOVIMIENTOS_COMPLEMENTOS!$E$4:$E$803,C447,MOVIMIENTOS_COMPLEMENTOS!$G$4:$G$803,E447,MOVIMIENTOS_COMPLEMENTOS!$H$4:$H$803,G447,MOVIMIENTOS_COMPLEMENTOS!$B$4:$B$803,"INGRESO")+SUMIFS(MOVIMIENTOS_COMPLEMENTOS!$I$4:$I$803,MOVIMIENTOS_COMPLEMENTOS!$C$4:$C$803,A447,MOVIMIENTOS_COMPLEMENTOS!$D$4:$D$803,B447,MOVIMIENTOS_COMPLEMENTOS!$E$4:$E$803,C447,MOVIMIENTOS_COMPLEMENTOS!$G$4:$G$803,E447,MOVIMIENTOS_COMPLEMENTOS!$H$4:$H$803,G447,MOVIMIENTOS_COMPLEMENTOS!$B$4:$B$803,"DE CORTE")-SUMIFS(MOVIMIENTOS_COMPLEMENTOS!$I$4:$I$803,MOVIMIENTOS_COMPLEMENTOS!$C$4:$C$803,A447,MOVIMIENTOS_COMPLEMENTOS!$D$4:$D$803,B447,MOVIMIENTOS_COMPLEMENTOS!$E$4:$E$803,C447,MOVIMIENTOS_COMPLEMENTOS!$G$4:$G$803,E447,MOVIMIENTOS_COMPLEMENTOS!$H$4:$H$803,G447,MOVIMIENTOS_COMPLEMENTOS!$B$4:$B$803,"SALIDA"),0)</f>
        <v>0</v>
      </c>
      <c r="I447" s="102">
        <f t="array" ref="I447">IFERROR(INDEX(PRECIOS_COMPLEMENTOS!$C$4:$F$17,MATCH(B447&amp;"_"&amp;C447,PRECIOS_COMPLEMENTOS!$H$4:$H$17,0),IF(OR(G447="S",G447="20cm"),1,IF(OR(G447="M",G447="25cm"),2,IF(OR(G447="L",G447="30cm"),3,IF(OR(G447="XL",G447="35cm"),4,0))))),0)</f>
        <v>0.55</v>
      </c>
      <c r="J447" s="103">
        <f t="shared" si="1"/>
        <v>0</v>
      </c>
      <c r="K447" s="104" t="str">
        <f>IF(H447&lt;0,"ERROR",IF(H447=0,"",IF(H447&lt;CONFIG!$B$4,"CRÍTICO",IF(H447&lt;CONFIG!$B$5,"BAJO","OK"))))</f>
        <v/>
      </c>
    </row>
    <row r="448" ht="15.75" hidden="1" customHeight="1">
      <c r="A448" s="90" t="str">
        <f>IF(CLIENTES!A6="","",CLIENTES!A6)</f>
        <v/>
      </c>
      <c r="B448" s="90" t="s">
        <v>321</v>
      </c>
      <c r="C448" s="91" t="s">
        <v>326</v>
      </c>
      <c r="D448" s="109" t="s">
        <v>353</v>
      </c>
      <c r="E448" s="67" t="str">
        <f>COLORES!A15</f>
        <v>Plomo</v>
      </c>
      <c r="F448" s="67" t="str">
        <f>COLORES!B15</f>
        <v>OSCURO</v>
      </c>
      <c r="G448" s="90" t="s">
        <v>378</v>
      </c>
      <c r="H448" s="100">
        <f>IFERROR(SUMIFS(MOVIMIENTOS_COMPLEMENTOS!$I$4:$I$803,MOVIMIENTOS_COMPLEMENTOS!$C$4:$C$803,A448,MOVIMIENTOS_COMPLEMENTOS!$D$4:$D$803,B448,MOVIMIENTOS_COMPLEMENTOS!$E$4:$E$803,C448,MOVIMIENTOS_COMPLEMENTOS!$G$4:$G$803,E448,MOVIMIENTOS_COMPLEMENTOS!$H$4:$H$803,G448,MOVIMIENTOS_COMPLEMENTOS!$B$4:$B$803,"INGRESO")+SUMIFS(MOVIMIENTOS_COMPLEMENTOS!$I$4:$I$803,MOVIMIENTOS_COMPLEMENTOS!$C$4:$C$803,A448,MOVIMIENTOS_COMPLEMENTOS!$D$4:$D$803,B448,MOVIMIENTOS_COMPLEMENTOS!$E$4:$E$803,C448,MOVIMIENTOS_COMPLEMENTOS!$G$4:$G$803,E448,MOVIMIENTOS_COMPLEMENTOS!$H$4:$H$803,G448,MOVIMIENTOS_COMPLEMENTOS!$B$4:$B$803,"DE CORTE")-SUMIFS(MOVIMIENTOS_COMPLEMENTOS!$I$4:$I$803,MOVIMIENTOS_COMPLEMENTOS!$C$4:$C$803,A448,MOVIMIENTOS_COMPLEMENTOS!$D$4:$D$803,B448,MOVIMIENTOS_COMPLEMENTOS!$E$4:$E$803,C448,MOVIMIENTOS_COMPLEMENTOS!$G$4:$G$803,E448,MOVIMIENTOS_COMPLEMENTOS!$H$4:$H$803,G448,MOVIMIENTOS_COMPLEMENTOS!$B$4:$B$803,"SALIDA"),0)</f>
        <v>0</v>
      </c>
      <c r="I448" s="102">
        <f t="array" ref="I448">IFERROR(INDEX(PRECIOS_COMPLEMENTOS!$C$4:$F$17,MATCH(B448&amp;"_"&amp;C448,PRECIOS_COMPLEMENTOS!$H$4:$H$17,0),IF(OR(G448="S",G448="20cm"),1,IF(OR(G448="M",G448="25cm"),2,IF(OR(G448="L",G448="30cm"),3,IF(OR(G448="XL",G448="35cm"),4,0))))),0)</f>
        <v>0.4</v>
      </c>
      <c r="J448" s="103">
        <f t="shared" si="1"/>
        <v>0</v>
      </c>
      <c r="K448" s="104" t="str">
        <f>IF(H448&lt;0,"ERROR",IF(H448=0,"",IF(H448&lt;CONFIG!$B$4,"CRÍTICO",IF(H448&lt;CONFIG!$B$5,"BAJO","OK"))))</f>
        <v/>
      </c>
    </row>
    <row r="449" ht="15.75" hidden="1" customHeight="1">
      <c r="A449" s="90" t="str">
        <f>IF(CLIENTES!A6="","",CLIENTES!A6)</f>
        <v/>
      </c>
      <c r="B449" s="90" t="s">
        <v>321</v>
      </c>
      <c r="C449" s="91" t="s">
        <v>326</v>
      </c>
      <c r="D449" s="109" t="s">
        <v>353</v>
      </c>
      <c r="E449" s="67" t="str">
        <f>COLORES!A15</f>
        <v>Plomo</v>
      </c>
      <c r="F449" s="67" t="str">
        <f>COLORES!B15</f>
        <v>OSCURO</v>
      </c>
      <c r="G449" s="90" t="s">
        <v>376</v>
      </c>
      <c r="H449" s="100">
        <f>IFERROR(SUMIFS(MOVIMIENTOS_COMPLEMENTOS!$I$4:$I$803,MOVIMIENTOS_COMPLEMENTOS!$C$4:$C$803,A449,MOVIMIENTOS_COMPLEMENTOS!$D$4:$D$803,B449,MOVIMIENTOS_COMPLEMENTOS!$E$4:$E$803,C449,MOVIMIENTOS_COMPLEMENTOS!$G$4:$G$803,E449,MOVIMIENTOS_COMPLEMENTOS!$H$4:$H$803,G449,MOVIMIENTOS_COMPLEMENTOS!$B$4:$B$803,"INGRESO")+SUMIFS(MOVIMIENTOS_COMPLEMENTOS!$I$4:$I$803,MOVIMIENTOS_COMPLEMENTOS!$C$4:$C$803,A449,MOVIMIENTOS_COMPLEMENTOS!$D$4:$D$803,B449,MOVIMIENTOS_COMPLEMENTOS!$E$4:$E$803,C449,MOVIMIENTOS_COMPLEMENTOS!$G$4:$G$803,E449,MOVIMIENTOS_COMPLEMENTOS!$H$4:$H$803,G449,MOVIMIENTOS_COMPLEMENTOS!$B$4:$B$803,"DE CORTE")-SUMIFS(MOVIMIENTOS_COMPLEMENTOS!$I$4:$I$803,MOVIMIENTOS_COMPLEMENTOS!$C$4:$C$803,A449,MOVIMIENTOS_COMPLEMENTOS!$D$4:$D$803,B449,MOVIMIENTOS_COMPLEMENTOS!$E$4:$E$803,C449,MOVIMIENTOS_COMPLEMENTOS!$G$4:$G$803,E449,MOVIMIENTOS_COMPLEMENTOS!$H$4:$H$803,G449,MOVIMIENTOS_COMPLEMENTOS!$B$4:$B$803,"SALIDA"),0)</f>
        <v>0</v>
      </c>
      <c r="I449" s="102">
        <f t="array" ref="I449">IFERROR(INDEX(PRECIOS_COMPLEMENTOS!$C$4:$F$17,MATCH(B449&amp;"_"&amp;C449,PRECIOS_COMPLEMENTOS!$H$4:$H$17,0),IF(OR(G449="S",G449="20cm"),1,IF(OR(G449="M",G449="25cm"),2,IF(OR(G449="L",G449="30cm"),3,IF(OR(G449="XL",G449="35cm"),4,0))))),0)</f>
        <v>0.45</v>
      </c>
      <c r="J449" s="103">
        <f t="shared" si="1"/>
        <v>0</v>
      </c>
      <c r="K449" s="104" t="str">
        <f>IF(H449&lt;0,"ERROR",IF(H449=0,"",IF(H449&lt;CONFIG!$B$4,"CRÍTICO",IF(H449&lt;CONFIG!$B$5,"BAJO","OK"))))</f>
        <v/>
      </c>
    </row>
    <row r="450" ht="15.75" hidden="1" customHeight="1">
      <c r="A450" s="90" t="str">
        <f>IF(CLIENTES!A6="","",CLIENTES!A6)</f>
        <v/>
      </c>
      <c r="B450" s="90" t="s">
        <v>321</v>
      </c>
      <c r="C450" s="91" t="s">
        <v>326</v>
      </c>
      <c r="D450" s="109" t="s">
        <v>353</v>
      </c>
      <c r="E450" s="67" t="str">
        <f>COLORES!A15</f>
        <v>Plomo</v>
      </c>
      <c r="F450" s="67" t="str">
        <f>COLORES!B15</f>
        <v>OSCURO</v>
      </c>
      <c r="G450" s="90" t="s">
        <v>377</v>
      </c>
      <c r="H450" s="100">
        <f>IFERROR(SUMIFS(MOVIMIENTOS_COMPLEMENTOS!$I$4:$I$803,MOVIMIENTOS_COMPLEMENTOS!$C$4:$C$803,A450,MOVIMIENTOS_COMPLEMENTOS!$D$4:$D$803,B450,MOVIMIENTOS_COMPLEMENTOS!$E$4:$E$803,C450,MOVIMIENTOS_COMPLEMENTOS!$G$4:$G$803,E450,MOVIMIENTOS_COMPLEMENTOS!$H$4:$H$803,G450,MOVIMIENTOS_COMPLEMENTOS!$B$4:$B$803,"INGRESO")+SUMIFS(MOVIMIENTOS_COMPLEMENTOS!$I$4:$I$803,MOVIMIENTOS_COMPLEMENTOS!$C$4:$C$803,A450,MOVIMIENTOS_COMPLEMENTOS!$D$4:$D$803,B450,MOVIMIENTOS_COMPLEMENTOS!$E$4:$E$803,C450,MOVIMIENTOS_COMPLEMENTOS!$G$4:$G$803,E450,MOVIMIENTOS_COMPLEMENTOS!$H$4:$H$803,G450,MOVIMIENTOS_COMPLEMENTOS!$B$4:$B$803,"DE CORTE")-SUMIFS(MOVIMIENTOS_COMPLEMENTOS!$I$4:$I$803,MOVIMIENTOS_COMPLEMENTOS!$C$4:$C$803,A450,MOVIMIENTOS_COMPLEMENTOS!$D$4:$D$803,B450,MOVIMIENTOS_COMPLEMENTOS!$E$4:$E$803,C450,MOVIMIENTOS_COMPLEMENTOS!$G$4:$G$803,E450,MOVIMIENTOS_COMPLEMENTOS!$H$4:$H$803,G450,MOVIMIENTOS_COMPLEMENTOS!$B$4:$B$803,"SALIDA"),0)</f>
        <v>0</v>
      </c>
      <c r="I450" s="102">
        <f t="array" ref="I450">IFERROR(INDEX(PRECIOS_COMPLEMENTOS!$C$4:$F$17,MATCH(B450&amp;"_"&amp;C450,PRECIOS_COMPLEMENTOS!$H$4:$H$17,0),IF(OR(G450="S",G450="20cm"),1,IF(OR(G450="M",G450="25cm"),2,IF(OR(G450="L",G450="30cm"),3,IF(OR(G450="XL",G450="35cm"),4,0))))),0)</f>
        <v>0.5</v>
      </c>
      <c r="J450" s="103">
        <f t="shared" si="1"/>
        <v>0</v>
      </c>
      <c r="K450" s="104" t="str">
        <f>IF(H450&lt;0,"ERROR",IF(H450=0,"",IF(H450&lt;CONFIG!$B$4,"CRÍTICO",IF(H450&lt;CONFIG!$B$5,"BAJO","OK"))))</f>
        <v/>
      </c>
    </row>
    <row r="451" ht="15.75" hidden="1" customHeight="1">
      <c r="A451" s="90" t="str">
        <f>IF(CLIENTES!A6="","",CLIENTES!A6)</f>
        <v/>
      </c>
      <c r="B451" s="90" t="s">
        <v>321</v>
      </c>
      <c r="C451" s="91" t="s">
        <v>326</v>
      </c>
      <c r="D451" s="109" t="s">
        <v>353</v>
      </c>
      <c r="E451" s="67" t="str">
        <f>COLORES!A15</f>
        <v>Plomo</v>
      </c>
      <c r="F451" s="67" t="str">
        <f>COLORES!B15</f>
        <v>OSCURO</v>
      </c>
      <c r="G451" s="90" t="s">
        <v>379</v>
      </c>
      <c r="H451" s="100">
        <f>IFERROR(SUMIFS(MOVIMIENTOS_COMPLEMENTOS!$I$4:$I$803,MOVIMIENTOS_COMPLEMENTOS!$C$4:$C$803,A451,MOVIMIENTOS_COMPLEMENTOS!$D$4:$D$803,B451,MOVIMIENTOS_COMPLEMENTOS!$E$4:$E$803,C451,MOVIMIENTOS_COMPLEMENTOS!$G$4:$G$803,E451,MOVIMIENTOS_COMPLEMENTOS!$H$4:$H$803,G451,MOVIMIENTOS_COMPLEMENTOS!$B$4:$B$803,"INGRESO")+SUMIFS(MOVIMIENTOS_COMPLEMENTOS!$I$4:$I$803,MOVIMIENTOS_COMPLEMENTOS!$C$4:$C$803,A451,MOVIMIENTOS_COMPLEMENTOS!$D$4:$D$803,B451,MOVIMIENTOS_COMPLEMENTOS!$E$4:$E$803,C451,MOVIMIENTOS_COMPLEMENTOS!$G$4:$G$803,E451,MOVIMIENTOS_COMPLEMENTOS!$H$4:$H$803,G451,MOVIMIENTOS_COMPLEMENTOS!$B$4:$B$803,"DE CORTE")-SUMIFS(MOVIMIENTOS_COMPLEMENTOS!$I$4:$I$803,MOVIMIENTOS_COMPLEMENTOS!$C$4:$C$803,A451,MOVIMIENTOS_COMPLEMENTOS!$D$4:$D$803,B451,MOVIMIENTOS_COMPLEMENTOS!$E$4:$E$803,C451,MOVIMIENTOS_COMPLEMENTOS!$G$4:$G$803,E451,MOVIMIENTOS_COMPLEMENTOS!$H$4:$H$803,G451,MOVIMIENTOS_COMPLEMENTOS!$B$4:$B$803,"SALIDA"),0)</f>
        <v>0</v>
      </c>
      <c r="I451" s="102">
        <f t="array" ref="I451">IFERROR(INDEX(PRECIOS_COMPLEMENTOS!$C$4:$F$17,MATCH(B451&amp;"_"&amp;C451,PRECIOS_COMPLEMENTOS!$H$4:$H$17,0),IF(OR(G451="S",G451="20cm"),1,IF(OR(G451="M",G451="25cm"),2,IF(OR(G451="L",G451="30cm"),3,IF(OR(G451="XL",G451="35cm"),4,0))))),0)</f>
        <v>0.55</v>
      </c>
      <c r="J451" s="103">
        <f t="shared" si="1"/>
        <v>0</v>
      </c>
      <c r="K451" s="104" t="str">
        <f>IF(H451&lt;0,"ERROR",IF(H451=0,"",IF(H451&lt;CONFIG!$B$4,"CRÍTICO",IF(H451&lt;CONFIG!$B$5,"BAJO","OK"))))</f>
        <v/>
      </c>
    </row>
    <row r="452" ht="15.75" hidden="1" customHeight="1">
      <c r="A452" s="90" t="str">
        <f>IF(CLIENTES!A6="","",CLIENTES!A6)</f>
        <v/>
      </c>
      <c r="B452" s="90" t="s">
        <v>321</v>
      </c>
      <c r="C452" s="91" t="s">
        <v>326</v>
      </c>
      <c r="D452" s="109" t="s">
        <v>353</v>
      </c>
      <c r="E452" s="67" t="str">
        <f>COLORES!A16</f>
        <v>Topo</v>
      </c>
      <c r="F452" s="67" t="str">
        <f>COLORES!B16</f>
        <v>CLARO</v>
      </c>
      <c r="G452" s="90" t="s">
        <v>378</v>
      </c>
      <c r="H452" s="100">
        <f>IFERROR(SUMIFS(MOVIMIENTOS_COMPLEMENTOS!$I$4:$I$803,MOVIMIENTOS_COMPLEMENTOS!$C$4:$C$803,A452,MOVIMIENTOS_COMPLEMENTOS!$D$4:$D$803,B452,MOVIMIENTOS_COMPLEMENTOS!$E$4:$E$803,C452,MOVIMIENTOS_COMPLEMENTOS!$G$4:$G$803,E452,MOVIMIENTOS_COMPLEMENTOS!$H$4:$H$803,G452,MOVIMIENTOS_COMPLEMENTOS!$B$4:$B$803,"INGRESO")+SUMIFS(MOVIMIENTOS_COMPLEMENTOS!$I$4:$I$803,MOVIMIENTOS_COMPLEMENTOS!$C$4:$C$803,A452,MOVIMIENTOS_COMPLEMENTOS!$D$4:$D$803,B452,MOVIMIENTOS_COMPLEMENTOS!$E$4:$E$803,C452,MOVIMIENTOS_COMPLEMENTOS!$G$4:$G$803,E452,MOVIMIENTOS_COMPLEMENTOS!$H$4:$H$803,G452,MOVIMIENTOS_COMPLEMENTOS!$B$4:$B$803,"DE CORTE")-SUMIFS(MOVIMIENTOS_COMPLEMENTOS!$I$4:$I$803,MOVIMIENTOS_COMPLEMENTOS!$C$4:$C$803,A452,MOVIMIENTOS_COMPLEMENTOS!$D$4:$D$803,B452,MOVIMIENTOS_COMPLEMENTOS!$E$4:$E$803,C452,MOVIMIENTOS_COMPLEMENTOS!$G$4:$G$803,E452,MOVIMIENTOS_COMPLEMENTOS!$H$4:$H$803,G452,MOVIMIENTOS_COMPLEMENTOS!$B$4:$B$803,"SALIDA"),0)</f>
        <v>0</v>
      </c>
      <c r="I452" s="102">
        <f t="array" ref="I452">IFERROR(INDEX(PRECIOS_COMPLEMENTOS!$C$4:$F$17,MATCH(B452&amp;"_"&amp;C452,PRECIOS_COMPLEMENTOS!$H$4:$H$17,0),IF(OR(G452="S",G452="20cm"),1,IF(OR(G452="M",G452="25cm"),2,IF(OR(G452="L",G452="30cm"),3,IF(OR(G452="XL",G452="35cm"),4,0))))),0)</f>
        <v>0.4</v>
      </c>
      <c r="J452" s="103">
        <f t="shared" si="1"/>
        <v>0</v>
      </c>
      <c r="K452" s="104" t="str">
        <f>IF(H452&lt;0,"ERROR",IF(H452=0,"",IF(H452&lt;CONFIG!$B$4,"CRÍTICO",IF(H452&lt;CONFIG!$B$5,"BAJO","OK"))))</f>
        <v/>
      </c>
    </row>
    <row r="453" ht="15.75" hidden="1" customHeight="1">
      <c r="A453" s="90" t="str">
        <f>IF(CLIENTES!A6="","",CLIENTES!A6)</f>
        <v/>
      </c>
      <c r="B453" s="90" t="s">
        <v>321</v>
      </c>
      <c r="C453" s="91" t="s">
        <v>326</v>
      </c>
      <c r="D453" s="109" t="s">
        <v>353</v>
      </c>
      <c r="E453" s="67" t="str">
        <f>COLORES!A16</f>
        <v>Topo</v>
      </c>
      <c r="F453" s="67" t="str">
        <f>COLORES!B16</f>
        <v>CLARO</v>
      </c>
      <c r="G453" s="90" t="s">
        <v>376</v>
      </c>
      <c r="H453" s="100">
        <f>IFERROR(SUMIFS(MOVIMIENTOS_COMPLEMENTOS!$I$4:$I$803,MOVIMIENTOS_COMPLEMENTOS!$C$4:$C$803,A453,MOVIMIENTOS_COMPLEMENTOS!$D$4:$D$803,B453,MOVIMIENTOS_COMPLEMENTOS!$E$4:$E$803,C453,MOVIMIENTOS_COMPLEMENTOS!$G$4:$G$803,E453,MOVIMIENTOS_COMPLEMENTOS!$H$4:$H$803,G453,MOVIMIENTOS_COMPLEMENTOS!$B$4:$B$803,"INGRESO")+SUMIFS(MOVIMIENTOS_COMPLEMENTOS!$I$4:$I$803,MOVIMIENTOS_COMPLEMENTOS!$C$4:$C$803,A453,MOVIMIENTOS_COMPLEMENTOS!$D$4:$D$803,B453,MOVIMIENTOS_COMPLEMENTOS!$E$4:$E$803,C453,MOVIMIENTOS_COMPLEMENTOS!$G$4:$G$803,E453,MOVIMIENTOS_COMPLEMENTOS!$H$4:$H$803,G453,MOVIMIENTOS_COMPLEMENTOS!$B$4:$B$803,"DE CORTE")-SUMIFS(MOVIMIENTOS_COMPLEMENTOS!$I$4:$I$803,MOVIMIENTOS_COMPLEMENTOS!$C$4:$C$803,A453,MOVIMIENTOS_COMPLEMENTOS!$D$4:$D$803,B453,MOVIMIENTOS_COMPLEMENTOS!$E$4:$E$803,C453,MOVIMIENTOS_COMPLEMENTOS!$G$4:$G$803,E453,MOVIMIENTOS_COMPLEMENTOS!$H$4:$H$803,G453,MOVIMIENTOS_COMPLEMENTOS!$B$4:$B$803,"SALIDA"),0)</f>
        <v>0</v>
      </c>
      <c r="I453" s="102">
        <f t="array" ref="I453">IFERROR(INDEX(PRECIOS_COMPLEMENTOS!$C$4:$F$17,MATCH(B453&amp;"_"&amp;C453,PRECIOS_COMPLEMENTOS!$H$4:$H$17,0),IF(OR(G453="S",G453="20cm"),1,IF(OR(G453="M",G453="25cm"),2,IF(OR(G453="L",G453="30cm"),3,IF(OR(G453="XL",G453="35cm"),4,0))))),0)</f>
        <v>0.45</v>
      </c>
      <c r="J453" s="103">
        <f t="shared" si="1"/>
        <v>0</v>
      </c>
      <c r="K453" s="104" t="str">
        <f>IF(H453&lt;0,"ERROR",IF(H453=0,"",IF(H453&lt;CONFIG!$B$4,"CRÍTICO",IF(H453&lt;CONFIG!$B$5,"BAJO","OK"))))</f>
        <v/>
      </c>
    </row>
    <row r="454" ht="15.75" hidden="1" customHeight="1">
      <c r="A454" s="90" t="str">
        <f>IF(CLIENTES!A6="","",CLIENTES!A6)</f>
        <v/>
      </c>
      <c r="B454" s="90" t="s">
        <v>321</v>
      </c>
      <c r="C454" s="91" t="s">
        <v>326</v>
      </c>
      <c r="D454" s="109" t="s">
        <v>353</v>
      </c>
      <c r="E454" s="67" t="str">
        <f>COLORES!A16</f>
        <v>Topo</v>
      </c>
      <c r="F454" s="67" t="str">
        <f>COLORES!B16</f>
        <v>CLARO</v>
      </c>
      <c r="G454" s="90" t="s">
        <v>377</v>
      </c>
      <c r="H454" s="100">
        <f>IFERROR(SUMIFS(MOVIMIENTOS_COMPLEMENTOS!$I$4:$I$803,MOVIMIENTOS_COMPLEMENTOS!$C$4:$C$803,A454,MOVIMIENTOS_COMPLEMENTOS!$D$4:$D$803,B454,MOVIMIENTOS_COMPLEMENTOS!$E$4:$E$803,C454,MOVIMIENTOS_COMPLEMENTOS!$G$4:$G$803,E454,MOVIMIENTOS_COMPLEMENTOS!$H$4:$H$803,G454,MOVIMIENTOS_COMPLEMENTOS!$B$4:$B$803,"INGRESO")+SUMIFS(MOVIMIENTOS_COMPLEMENTOS!$I$4:$I$803,MOVIMIENTOS_COMPLEMENTOS!$C$4:$C$803,A454,MOVIMIENTOS_COMPLEMENTOS!$D$4:$D$803,B454,MOVIMIENTOS_COMPLEMENTOS!$E$4:$E$803,C454,MOVIMIENTOS_COMPLEMENTOS!$G$4:$G$803,E454,MOVIMIENTOS_COMPLEMENTOS!$H$4:$H$803,G454,MOVIMIENTOS_COMPLEMENTOS!$B$4:$B$803,"DE CORTE")-SUMIFS(MOVIMIENTOS_COMPLEMENTOS!$I$4:$I$803,MOVIMIENTOS_COMPLEMENTOS!$C$4:$C$803,A454,MOVIMIENTOS_COMPLEMENTOS!$D$4:$D$803,B454,MOVIMIENTOS_COMPLEMENTOS!$E$4:$E$803,C454,MOVIMIENTOS_COMPLEMENTOS!$G$4:$G$803,E454,MOVIMIENTOS_COMPLEMENTOS!$H$4:$H$803,G454,MOVIMIENTOS_COMPLEMENTOS!$B$4:$B$803,"SALIDA"),0)</f>
        <v>0</v>
      </c>
      <c r="I454" s="102">
        <f t="array" ref="I454">IFERROR(INDEX(PRECIOS_COMPLEMENTOS!$C$4:$F$17,MATCH(B454&amp;"_"&amp;C454,PRECIOS_COMPLEMENTOS!$H$4:$H$17,0),IF(OR(G454="S",G454="20cm"),1,IF(OR(G454="M",G454="25cm"),2,IF(OR(G454="L",G454="30cm"),3,IF(OR(G454="XL",G454="35cm"),4,0))))),0)</f>
        <v>0.5</v>
      </c>
      <c r="J454" s="103">
        <f t="shared" si="1"/>
        <v>0</v>
      </c>
      <c r="K454" s="104" t="str">
        <f>IF(H454&lt;0,"ERROR",IF(H454=0,"",IF(H454&lt;CONFIG!$B$4,"CRÍTICO",IF(H454&lt;CONFIG!$B$5,"BAJO","OK"))))</f>
        <v/>
      </c>
    </row>
    <row r="455" ht="15.75" hidden="1" customHeight="1">
      <c r="A455" s="90" t="str">
        <f>IF(CLIENTES!A6="","",CLIENTES!A6)</f>
        <v/>
      </c>
      <c r="B455" s="90" t="s">
        <v>321</v>
      </c>
      <c r="C455" s="91" t="s">
        <v>326</v>
      </c>
      <c r="D455" s="109" t="s">
        <v>353</v>
      </c>
      <c r="E455" s="67" t="str">
        <f>COLORES!A16</f>
        <v>Topo</v>
      </c>
      <c r="F455" s="67" t="str">
        <f>COLORES!B16</f>
        <v>CLARO</v>
      </c>
      <c r="G455" s="90" t="s">
        <v>379</v>
      </c>
      <c r="H455" s="100">
        <f>IFERROR(SUMIFS(MOVIMIENTOS_COMPLEMENTOS!$I$4:$I$803,MOVIMIENTOS_COMPLEMENTOS!$C$4:$C$803,A455,MOVIMIENTOS_COMPLEMENTOS!$D$4:$D$803,B455,MOVIMIENTOS_COMPLEMENTOS!$E$4:$E$803,C455,MOVIMIENTOS_COMPLEMENTOS!$G$4:$G$803,E455,MOVIMIENTOS_COMPLEMENTOS!$H$4:$H$803,G455,MOVIMIENTOS_COMPLEMENTOS!$B$4:$B$803,"INGRESO")+SUMIFS(MOVIMIENTOS_COMPLEMENTOS!$I$4:$I$803,MOVIMIENTOS_COMPLEMENTOS!$C$4:$C$803,A455,MOVIMIENTOS_COMPLEMENTOS!$D$4:$D$803,B455,MOVIMIENTOS_COMPLEMENTOS!$E$4:$E$803,C455,MOVIMIENTOS_COMPLEMENTOS!$G$4:$G$803,E455,MOVIMIENTOS_COMPLEMENTOS!$H$4:$H$803,G455,MOVIMIENTOS_COMPLEMENTOS!$B$4:$B$803,"DE CORTE")-SUMIFS(MOVIMIENTOS_COMPLEMENTOS!$I$4:$I$803,MOVIMIENTOS_COMPLEMENTOS!$C$4:$C$803,A455,MOVIMIENTOS_COMPLEMENTOS!$D$4:$D$803,B455,MOVIMIENTOS_COMPLEMENTOS!$E$4:$E$803,C455,MOVIMIENTOS_COMPLEMENTOS!$G$4:$G$803,E455,MOVIMIENTOS_COMPLEMENTOS!$H$4:$H$803,G455,MOVIMIENTOS_COMPLEMENTOS!$B$4:$B$803,"SALIDA"),0)</f>
        <v>0</v>
      </c>
      <c r="I455" s="102">
        <f t="array" ref="I455">IFERROR(INDEX(PRECIOS_COMPLEMENTOS!$C$4:$F$17,MATCH(B455&amp;"_"&amp;C455,PRECIOS_COMPLEMENTOS!$H$4:$H$17,0),IF(OR(G455="S",G455="20cm"),1,IF(OR(G455="M",G455="25cm"),2,IF(OR(G455="L",G455="30cm"),3,IF(OR(G455="XL",G455="35cm"),4,0))))),0)</f>
        <v>0.55</v>
      </c>
      <c r="J455" s="103">
        <f t="shared" si="1"/>
        <v>0</v>
      </c>
      <c r="K455" s="104" t="str">
        <f>IF(H455&lt;0,"ERROR",IF(H455=0,"",IF(H455&lt;CONFIG!$B$4,"CRÍTICO",IF(H455&lt;CONFIG!$B$5,"BAJO","OK"))))</f>
        <v/>
      </c>
    </row>
    <row r="456" ht="15.75" hidden="1" customHeight="1">
      <c r="A456" s="90" t="str">
        <f>IF(CLIENTES!A6="","",CLIENTES!A6)</f>
        <v/>
      </c>
      <c r="B456" s="90" t="s">
        <v>321</v>
      </c>
      <c r="C456" s="91" t="s">
        <v>326</v>
      </c>
      <c r="D456" s="109" t="s">
        <v>353</v>
      </c>
      <c r="E456" s="67" t="str">
        <f>COLORES!A17</f>
        <v>Vino</v>
      </c>
      <c r="F456" s="67" t="str">
        <f>COLORES!B17</f>
        <v>OSCURO</v>
      </c>
      <c r="G456" s="90" t="s">
        <v>378</v>
      </c>
      <c r="H456" s="100">
        <f>IFERROR(SUMIFS(MOVIMIENTOS_COMPLEMENTOS!$I$4:$I$803,MOVIMIENTOS_COMPLEMENTOS!$C$4:$C$803,A456,MOVIMIENTOS_COMPLEMENTOS!$D$4:$D$803,B456,MOVIMIENTOS_COMPLEMENTOS!$E$4:$E$803,C456,MOVIMIENTOS_COMPLEMENTOS!$G$4:$G$803,E456,MOVIMIENTOS_COMPLEMENTOS!$H$4:$H$803,G456,MOVIMIENTOS_COMPLEMENTOS!$B$4:$B$803,"INGRESO")+SUMIFS(MOVIMIENTOS_COMPLEMENTOS!$I$4:$I$803,MOVIMIENTOS_COMPLEMENTOS!$C$4:$C$803,A456,MOVIMIENTOS_COMPLEMENTOS!$D$4:$D$803,B456,MOVIMIENTOS_COMPLEMENTOS!$E$4:$E$803,C456,MOVIMIENTOS_COMPLEMENTOS!$G$4:$G$803,E456,MOVIMIENTOS_COMPLEMENTOS!$H$4:$H$803,G456,MOVIMIENTOS_COMPLEMENTOS!$B$4:$B$803,"DE CORTE")-SUMIFS(MOVIMIENTOS_COMPLEMENTOS!$I$4:$I$803,MOVIMIENTOS_COMPLEMENTOS!$C$4:$C$803,A456,MOVIMIENTOS_COMPLEMENTOS!$D$4:$D$803,B456,MOVIMIENTOS_COMPLEMENTOS!$E$4:$E$803,C456,MOVIMIENTOS_COMPLEMENTOS!$G$4:$G$803,E456,MOVIMIENTOS_COMPLEMENTOS!$H$4:$H$803,G456,MOVIMIENTOS_COMPLEMENTOS!$B$4:$B$803,"SALIDA"),0)</f>
        <v>0</v>
      </c>
      <c r="I456" s="102">
        <f t="array" ref="I456">IFERROR(INDEX(PRECIOS_COMPLEMENTOS!$C$4:$F$17,MATCH(B456&amp;"_"&amp;C456,PRECIOS_COMPLEMENTOS!$H$4:$H$17,0),IF(OR(G456="S",G456="20cm"),1,IF(OR(G456="M",G456="25cm"),2,IF(OR(G456="L",G456="30cm"),3,IF(OR(G456="XL",G456="35cm"),4,0))))),0)</f>
        <v>0.4</v>
      </c>
      <c r="J456" s="103">
        <f t="shared" si="1"/>
        <v>0</v>
      </c>
      <c r="K456" s="104" t="str">
        <f>IF(H456&lt;0,"ERROR",IF(H456=0,"",IF(H456&lt;CONFIG!$B$4,"CRÍTICO",IF(H456&lt;CONFIG!$B$5,"BAJO","OK"))))</f>
        <v/>
      </c>
    </row>
    <row r="457" ht="15.75" hidden="1" customHeight="1">
      <c r="A457" s="90" t="str">
        <f>IF(CLIENTES!A6="","",CLIENTES!A6)</f>
        <v/>
      </c>
      <c r="B457" s="90" t="s">
        <v>321</v>
      </c>
      <c r="C457" s="91" t="s">
        <v>326</v>
      </c>
      <c r="D457" s="109" t="s">
        <v>353</v>
      </c>
      <c r="E457" s="67" t="str">
        <f>COLORES!A17</f>
        <v>Vino</v>
      </c>
      <c r="F457" s="67" t="str">
        <f>COLORES!B17</f>
        <v>OSCURO</v>
      </c>
      <c r="G457" s="90" t="s">
        <v>376</v>
      </c>
      <c r="H457" s="100">
        <f>IFERROR(SUMIFS(MOVIMIENTOS_COMPLEMENTOS!$I$4:$I$803,MOVIMIENTOS_COMPLEMENTOS!$C$4:$C$803,A457,MOVIMIENTOS_COMPLEMENTOS!$D$4:$D$803,B457,MOVIMIENTOS_COMPLEMENTOS!$E$4:$E$803,C457,MOVIMIENTOS_COMPLEMENTOS!$G$4:$G$803,E457,MOVIMIENTOS_COMPLEMENTOS!$H$4:$H$803,G457,MOVIMIENTOS_COMPLEMENTOS!$B$4:$B$803,"INGRESO")+SUMIFS(MOVIMIENTOS_COMPLEMENTOS!$I$4:$I$803,MOVIMIENTOS_COMPLEMENTOS!$C$4:$C$803,A457,MOVIMIENTOS_COMPLEMENTOS!$D$4:$D$803,B457,MOVIMIENTOS_COMPLEMENTOS!$E$4:$E$803,C457,MOVIMIENTOS_COMPLEMENTOS!$G$4:$G$803,E457,MOVIMIENTOS_COMPLEMENTOS!$H$4:$H$803,G457,MOVIMIENTOS_COMPLEMENTOS!$B$4:$B$803,"DE CORTE")-SUMIFS(MOVIMIENTOS_COMPLEMENTOS!$I$4:$I$803,MOVIMIENTOS_COMPLEMENTOS!$C$4:$C$803,A457,MOVIMIENTOS_COMPLEMENTOS!$D$4:$D$803,B457,MOVIMIENTOS_COMPLEMENTOS!$E$4:$E$803,C457,MOVIMIENTOS_COMPLEMENTOS!$G$4:$G$803,E457,MOVIMIENTOS_COMPLEMENTOS!$H$4:$H$803,G457,MOVIMIENTOS_COMPLEMENTOS!$B$4:$B$803,"SALIDA"),0)</f>
        <v>0</v>
      </c>
      <c r="I457" s="102">
        <f t="array" ref="I457">IFERROR(INDEX(PRECIOS_COMPLEMENTOS!$C$4:$F$17,MATCH(B457&amp;"_"&amp;C457,PRECIOS_COMPLEMENTOS!$H$4:$H$17,0),IF(OR(G457="S",G457="20cm"),1,IF(OR(G457="M",G457="25cm"),2,IF(OR(G457="L",G457="30cm"),3,IF(OR(G457="XL",G457="35cm"),4,0))))),0)</f>
        <v>0.45</v>
      </c>
      <c r="J457" s="103">
        <f t="shared" si="1"/>
        <v>0</v>
      </c>
      <c r="K457" s="104" t="str">
        <f>IF(H457&lt;0,"ERROR",IF(H457=0,"",IF(H457&lt;CONFIG!$B$4,"CRÍTICO",IF(H457&lt;CONFIG!$B$5,"BAJO","OK"))))</f>
        <v/>
      </c>
    </row>
    <row r="458" ht="15.75" hidden="1" customHeight="1">
      <c r="A458" s="90" t="str">
        <f>IF(CLIENTES!A6="","",CLIENTES!A6)</f>
        <v/>
      </c>
      <c r="B458" s="90" t="s">
        <v>321</v>
      </c>
      <c r="C458" s="91" t="s">
        <v>326</v>
      </c>
      <c r="D458" s="109" t="s">
        <v>353</v>
      </c>
      <c r="E458" s="67" t="str">
        <f>COLORES!A17</f>
        <v>Vino</v>
      </c>
      <c r="F458" s="67" t="str">
        <f>COLORES!B17</f>
        <v>OSCURO</v>
      </c>
      <c r="G458" s="90" t="s">
        <v>377</v>
      </c>
      <c r="H458" s="100">
        <f>IFERROR(SUMIFS(MOVIMIENTOS_COMPLEMENTOS!$I$4:$I$803,MOVIMIENTOS_COMPLEMENTOS!$C$4:$C$803,A458,MOVIMIENTOS_COMPLEMENTOS!$D$4:$D$803,B458,MOVIMIENTOS_COMPLEMENTOS!$E$4:$E$803,C458,MOVIMIENTOS_COMPLEMENTOS!$G$4:$G$803,E458,MOVIMIENTOS_COMPLEMENTOS!$H$4:$H$803,G458,MOVIMIENTOS_COMPLEMENTOS!$B$4:$B$803,"INGRESO")+SUMIFS(MOVIMIENTOS_COMPLEMENTOS!$I$4:$I$803,MOVIMIENTOS_COMPLEMENTOS!$C$4:$C$803,A458,MOVIMIENTOS_COMPLEMENTOS!$D$4:$D$803,B458,MOVIMIENTOS_COMPLEMENTOS!$E$4:$E$803,C458,MOVIMIENTOS_COMPLEMENTOS!$G$4:$G$803,E458,MOVIMIENTOS_COMPLEMENTOS!$H$4:$H$803,G458,MOVIMIENTOS_COMPLEMENTOS!$B$4:$B$803,"DE CORTE")-SUMIFS(MOVIMIENTOS_COMPLEMENTOS!$I$4:$I$803,MOVIMIENTOS_COMPLEMENTOS!$C$4:$C$803,A458,MOVIMIENTOS_COMPLEMENTOS!$D$4:$D$803,B458,MOVIMIENTOS_COMPLEMENTOS!$E$4:$E$803,C458,MOVIMIENTOS_COMPLEMENTOS!$G$4:$G$803,E458,MOVIMIENTOS_COMPLEMENTOS!$H$4:$H$803,G458,MOVIMIENTOS_COMPLEMENTOS!$B$4:$B$803,"SALIDA"),0)</f>
        <v>0</v>
      </c>
      <c r="I458" s="102">
        <f t="array" ref="I458">IFERROR(INDEX(PRECIOS_COMPLEMENTOS!$C$4:$F$17,MATCH(B458&amp;"_"&amp;C458,PRECIOS_COMPLEMENTOS!$H$4:$H$17,0),IF(OR(G458="S",G458="20cm"),1,IF(OR(G458="M",G458="25cm"),2,IF(OR(G458="L",G458="30cm"),3,IF(OR(G458="XL",G458="35cm"),4,0))))),0)</f>
        <v>0.5</v>
      </c>
      <c r="J458" s="103">
        <f t="shared" si="1"/>
        <v>0</v>
      </c>
      <c r="K458" s="104" t="str">
        <f>IF(H458&lt;0,"ERROR",IF(H458=0,"",IF(H458&lt;CONFIG!$B$4,"CRÍTICO",IF(H458&lt;CONFIG!$B$5,"BAJO","OK"))))</f>
        <v/>
      </c>
    </row>
    <row r="459" ht="15.75" hidden="1" customHeight="1">
      <c r="A459" s="90" t="str">
        <f>IF(CLIENTES!A6="","",CLIENTES!A6)</f>
        <v/>
      </c>
      <c r="B459" s="90" t="s">
        <v>321</v>
      </c>
      <c r="C459" s="91" t="s">
        <v>326</v>
      </c>
      <c r="D459" s="109" t="s">
        <v>353</v>
      </c>
      <c r="E459" s="67" t="str">
        <f>COLORES!A17</f>
        <v>Vino</v>
      </c>
      <c r="F459" s="67" t="str">
        <f>COLORES!B17</f>
        <v>OSCURO</v>
      </c>
      <c r="G459" s="90" t="s">
        <v>379</v>
      </c>
      <c r="H459" s="100">
        <f>IFERROR(SUMIFS(MOVIMIENTOS_COMPLEMENTOS!$I$4:$I$803,MOVIMIENTOS_COMPLEMENTOS!$C$4:$C$803,A459,MOVIMIENTOS_COMPLEMENTOS!$D$4:$D$803,B459,MOVIMIENTOS_COMPLEMENTOS!$E$4:$E$803,C459,MOVIMIENTOS_COMPLEMENTOS!$G$4:$G$803,E459,MOVIMIENTOS_COMPLEMENTOS!$H$4:$H$803,G459,MOVIMIENTOS_COMPLEMENTOS!$B$4:$B$803,"INGRESO")+SUMIFS(MOVIMIENTOS_COMPLEMENTOS!$I$4:$I$803,MOVIMIENTOS_COMPLEMENTOS!$C$4:$C$803,A459,MOVIMIENTOS_COMPLEMENTOS!$D$4:$D$803,B459,MOVIMIENTOS_COMPLEMENTOS!$E$4:$E$803,C459,MOVIMIENTOS_COMPLEMENTOS!$G$4:$G$803,E459,MOVIMIENTOS_COMPLEMENTOS!$H$4:$H$803,G459,MOVIMIENTOS_COMPLEMENTOS!$B$4:$B$803,"DE CORTE")-SUMIFS(MOVIMIENTOS_COMPLEMENTOS!$I$4:$I$803,MOVIMIENTOS_COMPLEMENTOS!$C$4:$C$803,A459,MOVIMIENTOS_COMPLEMENTOS!$D$4:$D$803,B459,MOVIMIENTOS_COMPLEMENTOS!$E$4:$E$803,C459,MOVIMIENTOS_COMPLEMENTOS!$G$4:$G$803,E459,MOVIMIENTOS_COMPLEMENTOS!$H$4:$H$803,G459,MOVIMIENTOS_COMPLEMENTOS!$B$4:$B$803,"SALIDA"),0)</f>
        <v>0</v>
      </c>
      <c r="I459" s="102">
        <f t="array" ref="I459">IFERROR(INDEX(PRECIOS_COMPLEMENTOS!$C$4:$F$17,MATCH(B459&amp;"_"&amp;C459,PRECIOS_COMPLEMENTOS!$H$4:$H$17,0),IF(OR(G459="S",G459="20cm"),1,IF(OR(G459="M",G459="25cm"),2,IF(OR(G459="L",G459="30cm"),3,IF(OR(G459="XL",G459="35cm"),4,0))))),0)</f>
        <v>0.55</v>
      </c>
      <c r="J459" s="103">
        <f t="shared" si="1"/>
        <v>0</v>
      </c>
      <c r="K459" s="104" t="str">
        <f>IF(H459&lt;0,"ERROR",IF(H459=0,"",IF(H459&lt;CONFIG!$B$4,"CRÍTICO",IF(H459&lt;CONFIG!$B$5,"BAJO","OK"))))</f>
        <v/>
      </c>
    </row>
    <row r="460" ht="15.75" hidden="1" customHeight="1">
      <c r="A460" s="90" t="str">
        <f>IF(CLIENTES!A6="","",CLIENTES!A6)</f>
        <v/>
      </c>
      <c r="B460" s="90" t="s">
        <v>321</v>
      </c>
      <c r="C460" s="91" t="s">
        <v>326</v>
      </c>
      <c r="D460" s="109" t="s">
        <v>353</v>
      </c>
      <c r="E460" s="67" t="str">
        <f>COLORES!A18</f>
        <v>P. Rosa</v>
      </c>
      <c r="F460" s="67" t="str">
        <f>COLORES!B18</f>
        <v>CLARO</v>
      </c>
      <c r="G460" s="90" t="s">
        <v>378</v>
      </c>
      <c r="H460" s="100">
        <f>IFERROR(SUMIFS(MOVIMIENTOS_COMPLEMENTOS!$I$4:$I$803,MOVIMIENTOS_COMPLEMENTOS!$C$4:$C$803,A460,MOVIMIENTOS_COMPLEMENTOS!$D$4:$D$803,B460,MOVIMIENTOS_COMPLEMENTOS!$E$4:$E$803,C460,MOVIMIENTOS_COMPLEMENTOS!$G$4:$G$803,E460,MOVIMIENTOS_COMPLEMENTOS!$H$4:$H$803,G460,MOVIMIENTOS_COMPLEMENTOS!$B$4:$B$803,"INGRESO")+SUMIFS(MOVIMIENTOS_COMPLEMENTOS!$I$4:$I$803,MOVIMIENTOS_COMPLEMENTOS!$C$4:$C$803,A460,MOVIMIENTOS_COMPLEMENTOS!$D$4:$D$803,B460,MOVIMIENTOS_COMPLEMENTOS!$E$4:$E$803,C460,MOVIMIENTOS_COMPLEMENTOS!$G$4:$G$803,E460,MOVIMIENTOS_COMPLEMENTOS!$H$4:$H$803,G460,MOVIMIENTOS_COMPLEMENTOS!$B$4:$B$803,"DE CORTE")-SUMIFS(MOVIMIENTOS_COMPLEMENTOS!$I$4:$I$803,MOVIMIENTOS_COMPLEMENTOS!$C$4:$C$803,A460,MOVIMIENTOS_COMPLEMENTOS!$D$4:$D$803,B460,MOVIMIENTOS_COMPLEMENTOS!$E$4:$E$803,C460,MOVIMIENTOS_COMPLEMENTOS!$G$4:$G$803,E460,MOVIMIENTOS_COMPLEMENTOS!$H$4:$H$803,G460,MOVIMIENTOS_COMPLEMENTOS!$B$4:$B$803,"SALIDA"),0)</f>
        <v>0</v>
      </c>
      <c r="I460" s="102">
        <f t="array" ref="I460">IFERROR(INDEX(PRECIOS_COMPLEMENTOS!$C$4:$F$17,MATCH(B460&amp;"_"&amp;C460,PRECIOS_COMPLEMENTOS!$H$4:$H$17,0),IF(OR(G460="S",G460="20cm"),1,IF(OR(G460="M",G460="25cm"),2,IF(OR(G460="L",G460="30cm"),3,IF(OR(G460="XL",G460="35cm"),4,0))))),0)</f>
        <v>0.4</v>
      </c>
      <c r="J460" s="103">
        <f t="shared" si="1"/>
        <v>0</v>
      </c>
      <c r="K460" s="104" t="str">
        <f>IF(H460&lt;0,"ERROR",IF(H460=0,"",IF(H460&lt;CONFIG!$B$4,"CRÍTICO",IF(H460&lt;CONFIG!$B$5,"BAJO","OK"))))</f>
        <v/>
      </c>
    </row>
    <row r="461" ht="15.75" hidden="1" customHeight="1">
      <c r="A461" s="90" t="str">
        <f>IF(CLIENTES!A6="","",CLIENTES!A6)</f>
        <v/>
      </c>
      <c r="B461" s="90" t="s">
        <v>321</v>
      </c>
      <c r="C461" s="91" t="s">
        <v>326</v>
      </c>
      <c r="D461" s="109" t="s">
        <v>353</v>
      </c>
      <c r="E461" s="67" t="str">
        <f>COLORES!A18</f>
        <v>P. Rosa</v>
      </c>
      <c r="F461" s="67" t="str">
        <f>COLORES!B18</f>
        <v>CLARO</v>
      </c>
      <c r="G461" s="90" t="s">
        <v>376</v>
      </c>
      <c r="H461" s="100">
        <f>IFERROR(SUMIFS(MOVIMIENTOS_COMPLEMENTOS!$I$4:$I$803,MOVIMIENTOS_COMPLEMENTOS!$C$4:$C$803,A461,MOVIMIENTOS_COMPLEMENTOS!$D$4:$D$803,B461,MOVIMIENTOS_COMPLEMENTOS!$E$4:$E$803,C461,MOVIMIENTOS_COMPLEMENTOS!$G$4:$G$803,E461,MOVIMIENTOS_COMPLEMENTOS!$H$4:$H$803,G461,MOVIMIENTOS_COMPLEMENTOS!$B$4:$B$803,"INGRESO")+SUMIFS(MOVIMIENTOS_COMPLEMENTOS!$I$4:$I$803,MOVIMIENTOS_COMPLEMENTOS!$C$4:$C$803,A461,MOVIMIENTOS_COMPLEMENTOS!$D$4:$D$803,B461,MOVIMIENTOS_COMPLEMENTOS!$E$4:$E$803,C461,MOVIMIENTOS_COMPLEMENTOS!$G$4:$G$803,E461,MOVIMIENTOS_COMPLEMENTOS!$H$4:$H$803,G461,MOVIMIENTOS_COMPLEMENTOS!$B$4:$B$803,"DE CORTE")-SUMIFS(MOVIMIENTOS_COMPLEMENTOS!$I$4:$I$803,MOVIMIENTOS_COMPLEMENTOS!$C$4:$C$803,A461,MOVIMIENTOS_COMPLEMENTOS!$D$4:$D$803,B461,MOVIMIENTOS_COMPLEMENTOS!$E$4:$E$803,C461,MOVIMIENTOS_COMPLEMENTOS!$G$4:$G$803,E461,MOVIMIENTOS_COMPLEMENTOS!$H$4:$H$803,G461,MOVIMIENTOS_COMPLEMENTOS!$B$4:$B$803,"SALIDA"),0)</f>
        <v>0</v>
      </c>
      <c r="I461" s="102">
        <f t="array" ref="I461">IFERROR(INDEX(PRECIOS_COMPLEMENTOS!$C$4:$F$17,MATCH(B461&amp;"_"&amp;C461,PRECIOS_COMPLEMENTOS!$H$4:$H$17,0),IF(OR(G461="S",G461="20cm"),1,IF(OR(G461="M",G461="25cm"),2,IF(OR(G461="L",G461="30cm"),3,IF(OR(G461="XL",G461="35cm"),4,0))))),0)</f>
        <v>0.45</v>
      </c>
      <c r="J461" s="103">
        <f t="shared" si="1"/>
        <v>0</v>
      </c>
      <c r="K461" s="104" t="str">
        <f>IF(H461&lt;0,"ERROR",IF(H461=0,"",IF(H461&lt;CONFIG!$B$4,"CRÍTICO",IF(H461&lt;CONFIG!$B$5,"BAJO","OK"))))</f>
        <v/>
      </c>
    </row>
    <row r="462" ht="15.75" hidden="1" customHeight="1">
      <c r="A462" s="90" t="str">
        <f>IF(CLIENTES!A6="","",CLIENTES!A6)</f>
        <v/>
      </c>
      <c r="B462" s="90" t="s">
        <v>321</v>
      </c>
      <c r="C462" s="91" t="s">
        <v>326</v>
      </c>
      <c r="D462" s="109" t="s">
        <v>353</v>
      </c>
      <c r="E462" s="67" t="str">
        <f>COLORES!A18</f>
        <v>P. Rosa</v>
      </c>
      <c r="F462" s="67" t="str">
        <f>COLORES!B18</f>
        <v>CLARO</v>
      </c>
      <c r="G462" s="90" t="s">
        <v>377</v>
      </c>
      <c r="H462" s="100">
        <f>IFERROR(SUMIFS(MOVIMIENTOS_COMPLEMENTOS!$I$4:$I$803,MOVIMIENTOS_COMPLEMENTOS!$C$4:$C$803,A462,MOVIMIENTOS_COMPLEMENTOS!$D$4:$D$803,B462,MOVIMIENTOS_COMPLEMENTOS!$E$4:$E$803,C462,MOVIMIENTOS_COMPLEMENTOS!$G$4:$G$803,E462,MOVIMIENTOS_COMPLEMENTOS!$H$4:$H$803,G462,MOVIMIENTOS_COMPLEMENTOS!$B$4:$B$803,"INGRESO")+SUMIFS(MOVIMIENTOS_COMPLEMENTOS!$I$4:$I$803,MOVIMIENTOS_COMPLEMENTOS!$C$4:$C$803,A462,MOVIMIENTOS_COMPLEMENTOS!$D$4:$D$803,B462,MOVIMIENTOS_COMPLEMENTOS!$E$4:$E$803,C462,MOVIMIENTOS_COMPLEMENTOS!$G$4:$G$803,E462,MOVIMIENTOS_COMPLEMENTOS!$H$4:$H$803,G462,MOVIMIENTOS_COMPLEMENTOS!$B$4:$B$803,"DE CORTE")-SUMIFS(MOVIMIENTOS_COMPLEMENTOS!$I$4:$I$803,MOVIMIENTOS_COMPLEMENTOS!$C$4:$C$803,A462,MOVIMIENTOS_COMPLEMENTOS!$D$4:$D$803,B462,MOVIMIENTOS_COMPLEMENTOS!$E$4:$E$803,C462,MOVIMIENTOS_COMPLEMENTOS!$G$4:$G$803,E462,MOVIMIENTOS_COMPLEMENTOS!$H$4:$H$803,G462,MOVIMIENTOS_COMPLEMENTOS!$B$4:$B$803,"SALIDA"),0)</f>
        <v>0</v>
      </c>
      <c r="I462" s="102">
        <f t="array" ref="I462">IFERROR(INDEX(PRECIOS_COMPLEMENTOS!$C$4:$F$17,MATCH(B462&amp;"_"&amp;C462,PRECIOS_COMPLEMENTOS!$H$4:$H$17,0),IF(OR(G462="S",G462="20cm"),1,IF(OR(G462="M",G462="25cm"),2,IF(OR(G462="L",G462="30cm"),3,IF(OR(G462="XL",G462="35cm"),4,0))))),0)</f>
        <v>0.5</v>
      </c>
      <c r="J462" s="103">
        <f t="shared" si="1"/>
        <v>0</v>
      </c>
      <c r="K462" s="104" t="str">
        <f>IF(H462&lt;0,"ERROR",IF(H462=0,"",IF(H462&lt;CONFIG!$B$4,"CRÍTICO",IF(H462&lt;CONFIG!$B$5,"BAJO","OK"))))</f>
        <v/>
      </c>
    </row>
    <row r="463" ht="15.75" hidden="1" customHeight="1">
      <c r="A463" s="90" t="str">
        <f>IF(CLIENTES!A6="","",CLIENTES!A6)</f>
        <v/>
      </c>
      <c r="B463" s="90" t="s">
        <v>321</v>
      </c>
      <c r="C463" s="91" t="s">
        <v>326</v>
      </c>
      <c r="D463" s="109" t="s">
        <v>353</v>
      </c>
      <c r="E463" s="67" t="str">
        <f>COLORES!A18</f>
        <v>P. Rosa</v>
      </c>
      <c r="F463" s="67" t="str">
        <f>COLORES!B18</f>
        <v>CLARO</v>
      </c>
      <c r="G463" s="90" t="s">
        <v>379</v>
      </c>
      <c r="H463" s="100">
        <f>IFERROR(SUMIFS(MOVIMIENTOS_COMPLEMENTOS!$I$4:$I$803,MOVIMIENTOS_COMPLEMENTOS!$C$4:$C$803,A463,MOVIMIENTOS_COMPLEMENTOS!$D$4:$D$803,B463,MOVIMIENTOS_COMPLEMENTOS!$E$4:$E$803,C463,MOVIMIENTOS_COMPLEMENTOS!$G$4:$G$803,E463,MOVIMIENTOS_COMPLEMENTOS!$H$4:$H$803,G463,MOVIMIENTOS_COMPLEMENTOS!$B$4:$B$803,"INGRESO")+SUMIFS(MOVIMIENTOS_COMPLEMENTOS!$I$4:$I$803,MOVIMIENTOS_COMPLEMENTOS!$C$4:$C$803,A463,MOVIMIENTOS_COMPLEMENTOS!$D$4:$D$803,B463,MOVIMIENTOS_COMPLEMENTOS!$E$4:$E$803,C463,MOVIMIENTOS_COMPLEMENTOS!$G$4:$G$803,E463,MOVIMIENTOS_COMPLEMENTOS!$H$4:$H$803,G463,MOVIMIENTOS_COMPLEMENTOS!$B$4:$B$803,"DE CORTE")-SUMIFS(MOVIMIENTOS_COMPLEMENTOS!$I$4:$I$803,MOVIMIENTOS_COMPLEMENTOS!$C$4:$C$803,A463,MOVIMIENTOS_COMPLEMENTOS!$D$4:$D$803,B463,MOVIMIENTOS_COMPLEMENTOS!$E$4:$E$803,C463,MOVIMIENTOS_COMPLEMENTOS!$G$4:$G$803,E463,MOVIMIENTOS_COMPLEMENTOS!$H$4:$H$803,G463,MOVIMIENTOS_COMPLEMENTOS!$B$4:$B$803,"SALIDA"),0)</f>
        <v>0</v>
      </c>
      <c r="I463" s="102">
        <f t="array" ref="I463">IFERROR(INDEX(PRECIOS_COMPLEMENTOS!$C$4:$F$17,MATCH(B463&amp;"_"&amp;C463,PRECIOS_COMPLEMENTOS!$H$4:$H$17,0),IF(OR(G463="S",G463="20cm"),1,IF(OR(G463="M",G463="25cm"),2,IF(OR(G463="L",G463="30cm"),3,IF(OR(G463="XL",G463="35cm"),4,0))))),0)</f>
        <v>0.55</v>
      </c>
      <c r="J463" s="103">
        <f t="shared" si="1"/>
        <v>0</v>
      </c>
      <c r="K463" s="104" t="str">
        <f>IF(H463&lt;0,"ERROR",IF(H463=0,"",IF(H463&lt;CONFIG!$B$4,"CRÍTICO",IF(H463&lt;CONFIG!$B$5,"BAJO","OK"))))</f>
        <v/>
      </c>
    </row>
    <row r="464" ht="15.75" hidden="1" customHeight="1">
      <c r="A464" s="90" t="str">
        <f>IF(CLIENTES!A6="","",CLIENTES!A6)</f>
        <v/>
      </c>
      <c r="B464" s="90" t="s">
        <v>321</v>
      </c>
      <c r="C464" s="91" t="s">
        <v>326</v>
      </c>
      <c r="D464" s="109" t="s">
        <v>353</v>
      </c>
      <c r="E464" s="67" t="str">
        <f>COLORES!A19</f>
        <v/>
      </c>
      <c r="F464" s="67" t="str">
        <f>COLORES!B19</f>
        <v/>
      </c>
      <c r="G464" s="90" t="s">
        <v>378</v>
      </c>
      <c r="H464" s="100">
        <f>IFERROR(SUMIFS(MOVIMIENTOS_COMPLEMENTOS!$I$4:$I$803,MOVIMIENTOS_COMPLEMENTOS!$C$4:$C$803,A464,MOVIMIENTOS_COMPLEMENTOS!$D$4:$D$803,B464,MOVIMIENTOS_COMPLEMENTOS!$E$4:$E$803,C464,MOVIMIENTOS_COMPLEMENTOS!$G$4:$G$803,E464,MOVIMIENTOS_COMPLEMENTOS!$H$4:$H$803,G464,MOVIMIENTOS_COMPLEMENTOS!$B$4:$B$803,"INGRESO")+SUMIFS(MOVIMIENTOS_COMPLEMENTOS!$I$4:$I$803,MOVIMIENTOS_COMPLEMENTOS!$C$4:$C$803,A464,MOVIMIENTOS_COMPLEMENTOS!$D$4:$D$803,B464,MOVIMIENTOS_COMPLEMENTOS!$E$4:$E$803,C464,MOVIMIENTOS_COMPLEMENTOS!$G$4:$G$803,E464,MOVIMIENTOS_COMPLEMENTOS!$H$4:$H$803,G464,MOVIMIENTOS_COMPLEMENTOS!$B$4:$B$803,"DE CORTE")-SUMIFS(MOVIMIENTOS_COMPLEMENTOS!$I$4:$I$803,MOVIMIENTOS_COMPLEMENTOS!$C$4:$C$803,A464,MOVIMIENTOS_COMPLEMENTOS!$D$4:$D$803,B464,MOVIMIENTOS_COMPLEMENTOS!$E$4:$E$803,C464,MOVIMIENTOS_COMPLEMENTOS!$G$4:$G$803,E464,MOVIMIENTOS_COMPLEMENTOS!$H$4:$H$803,G464,MOVIMIENTOS_COMPLEMENTOS!$B$4:$B$803,"SALIDA"),0)</f>
        <v>0</v>
      </c>
      <c r="I464" s="102">
        <f t="array" ref="I464">IFERROR(INDEX(PRECIOS_COMPLEMENTOS!$C$4:$F$17,MATCH(B464&amp;"_"&amp;C464,PRECIOS_COMPLEMENTOS!$H$4:$H$17,0),IF(OR(G464="S",G464="20cm"),1,IF(OR(G464="M",G464="25cm"),2,IF(OR(G464="L",G464="30cm"),3,IF(OR(G464="XL",G464="35cm"),4,0))))),0)</f>
        <v>0.4</v>
      </c>
      <c r="J464" s="103">
        <f t="shared" si="1"/>
        <v>0</v>
      </c>
      <c r="K464" s="104" t="str">
        <f>IF(H464&lt;0,"ERROR",IF(H464=0,"",IF(H464&lt;CONFIG!$B$4,"CRÍTICO",IF(H464&lt;CONFIG!$B$5,"BAJO","OK"))))</f>
        <v/>
      </c>
    </row>
    <row r="465" ht="15.75" hidden="1" customHeight="1">
      <c r="A465" s="90" t="str">
        <f>IF(CLIENTES!A6="","",CLIENTES!A6)</f>
        <v/>
      </c>
      <c r="B465" s="90" t="s">
        <v>321</v>
      </c>
      <c r="C465" s="91" t="s">
        <v>326</v>
      </c>
      <c r="D465" s="109" t="s">
        <v>353</v>
      </c>
      <c r="E465" s="67" t="str">
        <f>COLORES!A19</f>
        <v/>
      </c>
      <c r="F465" s="67" t="str">
        <f>COLORES!B19</f>
        <v/>
      </c>
      <c r="G465" s="90" t="s">
        <v>376</v>
      </c>
      <c r="H465" s="100">
        <f>IFERROR(SUMIFS(MOVIMIENTOS_COMPLEMENTOS!$I$4:$I$803,MOVIMIENTOS_COMPLEMENTOS!$C$4:$C$803,A465,MOVIMIENTOS_COMPLEMENTOS!$D$4:$D$803,B465,MOVIMIENTOS_COMPLEMENTOS!$E$4:$E$803,C465,MOVIMIENTOS_COMPLEMENTOS!$G$4:$G$803,E465,MOVIMIENTOS_COMPLEMENTOS!$H$4:$H$803,G465,MOVIMIENTOS_COMPLEMENTOS!$B$4:$B$803,"INGRESO")+SUMIFS(MOVIMIENTOS_COMPLEMENTOS!$I$4:$I$803,MOVIMIENTOS_COMPLEMENTOS!$C$4:$C$803,A465,MOVIMIENTOS_COMPLEMENTOS!$D$4:$D$803,B465,MOVIMIENTOS_COMPLEMENTOS!$E$4:$E$803,C465,MOVIMIENTOS_COMPLEMENTOS!$G$4:$G$803,E465,MOVIMIENTOS_COMPLEMENTOS!$H$4:$H$803,G465,MOVIMIENTOS_COMPLEMENTOS!$B$4:$B$803,"DE CORTE")-SUMIFS(MOVIMIENTOS_COMPLEMENTOS!$I$4:$I$803,MOVIMIENTOS_COMPLEMENTOS!$C$4:$C$803,A465,MOVIMIENTOS_COMPLEMENTOS!$D$4:$D$803,B465,MOVIMIENTOS_COMPLEMENTOS!$E$4:$E$803,C465,MOVIMIENTOS_COMPLEMENTOS!$G$4:$G$803,E465,MOVIMIENTOS_COMPLEMENTOS!$H$4:$H$803,G465,MOVIMIENTOS_COMPLEMENTOS!$B$4:$B$803,"SALIDA"),0)</f>
        <v>0</v>
      </c>
      <c r="I465" s="102">
        <f t="array" ref="I465">IFERROR(INDEX(PRECIOS_COMPLEMENTOS!$C$4:$F$17,MATCH(B465&amp;"_"&amp;C465,PRECIOS_COMPLEMENTOS!$H$4:$H$17,0),IF(OR(G465="S",G465="20cm"),1,IF(OR(G465="M",G465="25cm"),2,IF(OR(G465="L",G465="30cm"),3,IF(OR(G465="XL",G465="35cm"),4,0))))),0)</f>
        <v>0.45</v>
      </c>
      <c r="J465" s="103">
        <f t="shared" si="1"/>
        <v>0</v>
      </c>
      <c r="K465" s="104" t="str">
        <f>IF(H465&lt;0,"ERROR",IF(H465=0,"",IF(H465&lt;CONFIG!$B$4,"CRÍTICO",IF(H465&lt;CONFIG!$B$5,"BAJO","OK"))))</f>
        <v/>
      </c>
    </row>
    <row r="466" ht="15.75" hidden="1" customHeight="1">
      <c r="A466" s="90" t="str">
        <f>IF(CLIENTES!A6="","",CLIENTES!A6)</f>
        <v/>
      </c>
      <c r="B466" s="90" t="s">
        <v>321</v>
      </c>
      <c r="C466" s="91" t="s">
        <v>326</v>
      </c>
      <c r="D466" s="109" t="s">
        <v>353</v>
      </c>
      <c r="E466" s="67" t="str">
        <f>COLORES!A19</f>
        <v/>
      </c>
      <c r="F466" s="67" t="str">
        <f>COLORES!B19</f>
        <v/>
      </c>
      <c r="G466" s="90" t="s">
        <v>377</v>
      </c>
      <c r="H466" s="100">
        <f>IFERROR(SUMIFS(MOVIMIENTOS_COMPLEMENTOS!$I$4:$I$803,MOVIMIENTOS_COMPLEMENTOS!$C$4:$C$803,A466,MOVIMIENTOS_COMPLEMENTOS!$D$4:$D$803,B466,MOVIMIENTOS_COMPLEMENTOS!$E$4:$E$803,C466,MOVIMIENTOS_COMPLEMENTOS!$G$4:$G$803,E466,MOVIMIENTOS_COMPLEMENTOS!$H$4:$H$803,G466,MOVIMIENTOS_COMPLEMENTOS!$B$4:$B$803,"INGRESO")+SUMIFS(MOVIMIENTOS_COMPLEMENTOS!$I$4:$I$803,MOVIMIENTOS_COMPLEMENTOS!$C$4:$C$803,A466,MOVIMIENTOS_COMPLEMENTOS!$D$4:$D$803,B466,MOVIMIENTOS_COMPLEMENTOS!$E$4:$E$803,C466,MOVIMIENTOS_COMPLEMENTOS!$G$4:$G$803,E466,MOVIMIENTOS_COMPLEMENTOS!$H$4:$H$803,G466,MOVIMIENTOS_COMPLEMENTOS!$B$4:$B$803,"DE CORTE")-SUMIFS(MOVIMIENTOS_COMPLEMENTOS!$I$4:$I$803,MOVIMIENTOS_COMPLEMENTOS!$C$4:$C$803,A466,MOVIMIENTOS_COMPLEMENTOS!$D$4:$D$803,B466,MOVIMIENTOS_COMPLEMENTOS!$E$4:$E$803,C466,MOVIMIENTOS_COMPLEMENTOS!$G$4:$G$803,E466,MOVIMIENTOS_COMPLEMENTOS!$H$4:$H$803,G466,MOVIMIENTOS_COMPLEMENTOS!$B$4:$B$803,"SALIDA"),0)</f>
        <v>0</v>
      </c>
      <c r="I466" s="102">
        <f t="array" ref="I466">IFERROR(INDEX(PRECIOS_COMPLEMENTOS!$C$4:$F$17,MATCH(B466&amp;"_"&amp;C466,PRECIOS_COMPLEMENTOS!$H$4:$H$17,0),IF(OR(G466="S",G466="20cm"),1,IF(OR(G466="M",G466="25cm"),2,IF(OR(G466="L",G466="30cm"),3,IF(OR(G466="XL",G466="35cm"),4,0))))),0)</f>
        <v>0.5</v>
      </c>
      <c r="J466" s="103">
        <f t="shared" si="1"/>
        <v>0</v>
      </c>
      <c r="K466" s="104" t="str">
        <f>IF(H466&lt;0,"ERROR",IF(H466=0,"",IF(H466&lt;CONFIG!$B$4,"CRÍTICO",IF(H466&lt;CONFIG!$B$5,"BAJO","OK"))))</f>
        <v/>
      </c>
    </row>
    <row r="467" ht="15.75" hidden="1" customHeight="1">
      <c r="A467" s="90" t="str">
        <f>IF(CLIENTES!A6="","",CLIENTES!A6)</f>
        <v/>
      </c>
      <c r="B467" s="90" t="s">
        <v>321</v>
      </c>
      <c r="C467" s="91" t="s">
        <v>326</v>
      </c>
      <c r="D467" s="109" t="s">
        <v>353</v>
      </c>
      <c r="E467" s="67" t="str">
        <f>COLORES!A19</f>
        <v/>
      </c>
      <c r="F467" s="67" t="str">
        <f>COLORES!B19</f>
        <v/>
      </c>
      <c r="G467" s="90" t="s">
        <v>379</v>
      </c>
      <c r="H467" s="100">
        <f>IFERROR(SUMIFS(MOVIMIENTOS_COMPLEMENTOS!$I$4:$I$803,MOVIMIENTOS_COMPLEMENTOS!$C$4:$C$803,A467,MOVIMIENTOS_COMPLEMENTOS!$D$4:$D$803,B467,MOVIMIENTOS_COMPLEMENTOS!$E$4:$E$803,C467,MOVIMIENTOS_COMPLEMENTOS!$G$4:$G$803,E467,MOVIMIENTOS_COMPLEMENTOS!$H$4:$H$803,G467,MOVIMIENTOS_COMPLEMENTOS!$B$4:$B$803,"INGRESO")+SUMIFS(MOVIMIENTOS_COMPLEMENTOS!$I$4:$I$803,MOVIMIENTOS_COMPLEMENTOS!$C$4:$C$803,A467,MOVIMIENTOS_COMPLEMENTOS!$D$4:$D$803,B467,MOVIMIENTOS_COMPLEMENTOS!$E$4:$E$803,C467,MOVIMIENTOS_COMPLEMENTOS!$G$4:$G$803,E467,MOVIMIENTOS_COMPLEMENTOS!$H$4:$H$803,G467,MOVIMIENTOS_COMPLEMENTOS!$B$4:$B$803,"DE CORTE")-SUMIFS(MOVIMIENTOS_COMPLEMENTOS!$I$4:$I$803,MOVIMIENTOS_COMPLEMENTOS!$C$4:$C$803,A467,MOVIMIENTOS_COMPLEMENTOS!$D$4:$D$803,B467,MOVIMIENTOS_COMPLEMENTOS!$E$4:$E$803,C467,MOVIMIENTOS_COMPLEMENTOS!$G$4:$G$803,E467,MOVIMIENTOS_COMPLEMENTOS!$H$4:$H$803,G467,MOVIMIENTOS_COMPLEMENTOS!$B$4:$B$803,"SALIDA"),0)</f>
        <v>0</v>
      </c>
      <c r="I467" s="102">
        <f t="array" ref="I467">IFERROR(INDEX(PRECIOS_COMPLEMENTOS!$C$4:$F$17,MATCH(B467&amp;"_"&amp;C467,PRECIOS_COMPLEMENTOS!$H$4:$H$17,0),IF(OR(G467="S",G467="20cm"),1,IF(OR(G467="M",G467="25cm"),2,IF(OR(G467="L",G467="30cm"),3,IF(OR(G467="XL",G467="35cm"),4,0))))),0)</f>
        <v>0.55</v>
      </c>
      <c r="J467" s="103">
        <f t="shared" si="1"/>
        <v>0</v>
      </c>
      <c r="K467" s="104" t="str">
        <f>IF(H467&lt;0,"ERROR",IF(H467=0,"",IF(H467&lt;CONFIG!$B$4,"CRÍTICO",IF(H467&lt;CONFIG!$B$5,"BAJO","OK"))))</f>
        <v/>
      </c>
    </row>
    <row r="468" ht="15.75" hidden="1" customHeight="1">
      <c r="A468" s="90" t="str">
        <f>IF(CLIENTES!A6="","",CLIENTES!A6)</f>
        <v/>
      </c>
      <c r="B468" s="90" t="s">
        <v>321</v>
      </c>
      <c r="C468" s="91" t="s">
        <v>326</v>
      </c>
      <c r="D468" s="109" t="s">
        <v>353</v>
      </c>
      <c r="E468" s="67" t="str">
        <f>COLORES!A20</f>
        <v/>
      </c>
      <c r="F468" s="67" t="str">
        <f>COLORES!B20</f>
        <v/>
      </c>
      <c r="G468" s="90" t="s">
        <v>378</v>
      </c>
      <c r="H468" s="100">
        <f>IFERROR(SUMIFS(MOVIMIENTOS_COMPLEMENTOS!$I$4:$I$803,MOVIMIENTOS_COMPLEMENTOS!$C$4:$C$803,A468,MOVIMIENTOS_COMPLEMENTOS!$D$4:$D$803,B468,MOVIMIENTOS_COMPLEMENTOS!$E$4:$E$803,C468,MOVIMIENTOS_COMPLEMENTOS!$G$4:$G$803,E468,MOVIMIENTOS_COMPLEMENTOS!$H$4:$H$803,G468,MOVIMIENTOS_COMPLEMENTOS!$B$4:$B$803,"INGRESO")+SUMIFS(MOVIMIENTOS_COMPLEMENTOS!$I$4:$I$803,MOVIMIENTOS_COMPLEMENTOS!$C$4:$C$803,A468,MOVIMIENTOS_COMPLEMENTOS!$D$4:$D$803,B468,MOVIMIENTOS_COMPLEMENTOS!$E$4:$E$803,C468,MOVIMIENTOS_COMPLEMENTOS!$G$4:$G$803,E468,MOVIMIENTOS_COMPLEMENTOS!$H$4:$H$803,G468,MOVIMIENTOS_COMPLEMENTOS!$B$4:$B$803,"DE CORTE")-SUMIFS(MOVIMIENTOS_COMPLEMENTOS!$I$4:$I$803,MOVIMIENTOS_COMPLEMENTOS!$C$4:$C$803,A468,MOVIMIENTOS_COMPLEMENTOS!$D$4:$D$803,B468,MOVIMIENTOS_COMPLEMENTOS!$E$4:$E$803,C468,MOVIMIENTOS_COMPLEMENTOS!$G$4:$G$803,E468,MOVIMIENTOS_COMPLEMENTOS!$H$4:$H$803,G468,MOVIMIENTOS_COMPLEMENTOS!$B$4:$B$803,"SALIDA"),0)</f>
        <v>0</v>
      </c>
      <c r="I468" s="102">
        <f t="array" ref="I468">IFERROR(INDEX(PRECIOS_COMPLEMENTOS!$C$4:$F$17,MATCH(B468&amp;"_"&amp;C468,PRECIOS_COMPLEMENTOS!$H$4:$H$17,0),IF(OR(G468="S",G468="20cm"),1,IF(OR(G468="M",G468="25cm"),2,IF(OR(G468="L",G468="30cm"),3,IF(OR(G468="XL",G468="35cm"),4,0))))),0)</f>
        <v>0.4</v>
      </c>
      <c r="J468" s="103">
        <f t="shared" si="1"/>
        <v>0</v>
      </c>
      <c r="K468" s="104" t="str">
        <f>IF(H468&lt;0,"ERROR",IF(H468=0,"",IF(H468&lt;CONFIG!$B$4,"CRÍTICO",IF(H468&lt;CONFIG!$B$5,"BAJO","OK"))))</f>
        <v/>
      </c>
    </row>
    <row r="469" ht="15.75" hidden="1" customHeight="1">
      <c r="A469" s="90" t="str">
        <f>IF(CLIENTES!A6="","",CLIENTES!A6)</f>
        <v/>
      </c>
      <c r="B469" s="90" t="s">
        <v>321</v>
      </c>
      <c r="C469" s="91" t="s">
        <v>326</v>
      </c>
      <c r="D469" s="109" t="s">
        <v>353</v>
      </c>
      <c r="E469" s="67" t="str">
        <f>COLORES!A20</f>
        <v/>
      </c>
      <c r="F469" s="67" t="str">
        <f>COLORES!B20</f>
        <v/>
      </c>
      <c r="G469" s="90" t="s">
        <v>376</v>
      </c>
      <c r="H469" s="100">
        <f>IFERROR(SUMIFS(MOVIMIENTOS_COMPLEMENTOS!$I$4:$I$803,MOVIMIENTOS_COMPLEMENTOS!$C$4:$C$803,A469,MOVIMIENTOS_COMPLEMENTOS!$D$4:$D$803,B469,MOVIMIENTOS_COMPLEMENTOS!$E$4:$E$803,C469,MOVIMIENTOS_COMPLEMENTOS!$G$4:$G$803,E469,MOVIMIENTOS_COMPLEMENTOS!$H$4:$H$803,G469,MOVIMIENTOS_COMPLEMENTOS!$B$4:$B$803,"INGRESO")+SUMIFS(MOVIMIENTOS_COMPLEMENTOS!$I$4:$I$803,MOVIMIENTOS_COMPLEMENTOS!$C$4:$C$803,A469,MOVIMIENTOS_COMPLEMENTOS!$D$4:$D$803,B469,MOVIMIENTOS_COMPLEMENTOS!$E$4:$E$803,C469,MOVIMIENTOS_COMPLEMENTOS!$G$4:$G$803,E469,MOVIMIENTOS_COMPLEMENTOS!$H$4:$H$803,G469,MOVIMIENTOS_COMPLEMENTOS!$B$4:$B$803,"DE CORTE")-SUMIFS(MOVIMIENTOS_COMPLEMENTOS!$I$4:$I$803,MOVIMIENTOS_COMPLEMENTOS!$C$4:$C$803,A469,MOVIMIENTOS_COMPLEMENTOS!$D$4:$D$803,B469,MOVIMIENTOS_COMPLEMENTOS!$E$4:$E$803,C469,MOVIMIENTOS_COMPLEMENTOS!$G$4:$G$803,E469,MOVIMIENTOS_COMPLEMENTOS!$H$4:$H$803,G469,MOVIMIENTOS_COMPLEMENTOS!$B$4:$B$803,"SALIDA"),0)</f>
        <v>0</v>
      </c>
      <c r="I469" s="102">
        <f t="array" ref="I469">IFERROR(INDEX(PRECIOS_COMPLEMENTOS!$C$4:$F$17,MATCH(B469&amp;"_"&amp;C469,PRECIOS_COMPLEMENTOS!$H$4:$H$17,0),IF(OR(G469="S",G469="20cm"),1,IF(OR(G469="M",G469="25cm"),2,IF(OR(G469="L",G469="30cm"),3,IF(OR(G469="XL",G469="35cm"),4,0))))),0)</f>
        <v>0.45</v>
      </c>
      <c r="J469" s="103">
        <f t="shared" si="1"/>
        <v>0</v>
      </c>
      <c r="K469" s="104" t="str">
        <f>IF(H469&lt;0,"ERROR",IF(H469=0,"",IF(H469&lt;CONFIG!$B$4,"CRÍTICO",IF(H469&lt;CONFIG!$B$5,"BAJO","OK"))))</f>
        <v/>
      </c>
    </row>
    <row r="470" ht="15.75" hidden="1" customHeight="1">
      <c r="A470" s="90" t="str">
        <f>IF(CLIENTES!A6="","",CLIENTES!A6)</f>
        <v/>
      </c>
      <c r="B470" s="90" t="s">
        <v>321</v>
      </c>
      <c r="C470" s="91" t="s">
        <v>326</v>
      </c>
      <c r="D470" s="109" t="s">
        <v>353</v>
      </c>
      <c r="E470" s="67" t="str">
        <f>COLORES!A20</f>
        <v/>
      </c>
      <c r="F470" s="67" t="str">
        <f>COLORES!B20</f>
        <v/>
      </c>
      <c r="G470" s="90" t="s">
        <v>377</v>
      </c>
      <c r="H470" s="100">
        <f>IFERROR(SUMIFS(MOVIMIENTOS_COMPLEMENTOS!$I$4:$I$803,MOVIMIENTOS_COMPLEMENTOS!$C$4:$C$803,A470,MOVIMIENTOS_COMPLEMENTOS!$D$4:$D$803,B470,MOVIMIENTOS_COMPLEMENTOS!$E$4:$E$803,C470,MOVIMIENTOS_COMPLEMENTOS!$G$4:$G$803,E470,MOVIMIENTOS_COMPLEMENTOS!$H$4:$H$803,G470,MOVIMIENTOS_COMPLEMENTOS!$B$4:$B$803,"INGRESO")+SUMIFS(MOVIMIENTOS_COMPLEMENTOS!$I$4:$I$803,MOVIMIENTOS_COMPLEMENTOS!$C$4:$C$803,A470,MOVIMIENTOS_COMPLEMENTOS!$D$4:$D$803,B470,MOVIMIENTOS_COMPLEMENTOS!$E$4:$E$803,C470,MOVIMIENTOS_COMPLEMENTOS!$G$4:$G$803,E470,MOVIMIENTOS_COMPLEMENTOS!$H$4:$H$803,G470,MOVIMIENTOS_COMPLEMENTOS!$B$4:$B$803,"DE CORTE")-SUMIFS(MOVIMIENTOS_COMPLEMENTOS!$I$4:$I$803,MOVIMIENTOS_COMPLEMENTOS!$C$4:$C$803,A470,MOVIMIENTOS_COMPLEMENTOS!$D$4:$D$803,B470,MOVIMIENTOS_COMPLEMENTOS!$E$4:$E$803,C470,MOVIMIENTOS_COMPLEMENTOS!$G$4:$G$803,E470,MOVIMIENTOS_COMPLEMENTOS!$H$4:$H$803,G470,MOVIMIENTOS_COMPLEMENTOS!$B$4:$B$803,"SALIDA"),0)</f>
        <v>0</v>
      </c>
      <c r="I470" s="102">
        <f t="array" ref="I470">IFERROR(INDEX(PRECIOS_COMPLEMENTOS!$C$4:$F$17,MATCH(B470&amp;"_"&amp;C470,PRECIOS_COMPLEMENTOS!$H$4:$H$17,0),IF(OR(G470="S",G470="20cm"),1,IF(OR(G470="M",G470="25cm"),2,IF(OR(G470="L",G470="30cm"),3,IF(OR(G470="XL",G470="35cm"),4,0))))),0)</f>
        <v>0.5</v>
      </c>
      <c r="J470" s="103">
        <f t="shared" si="1"/>
        <v>0</v>
      </c>
      <c r="K470" s="104" t="str">
        <f>IF(H470&lt;0,"ERROR",IF(H470=0,"",IF(H470&lt;CONFIG!$B$4,"CRÍTICO",IF(H470&lt;CONFIG!$B$5,"BAJO","OK"))))</f>
        <v/>
      </c>
    </row>
    <row r="471" ht="15.75" hidden="1" customHeight="1">
      <c r="A471" s="90" t="str">
        <f>IF(CLIENTES!A6="","",CLIENTES!A6)</f>
        <v/>
      </c>
      <c r="B471" s="90" t="s">
        <v>321</v>
      </c>
      <c r="C471" s="91" t="s">
        <v>326</v>
      </c>
      <c r="D471" s="109" t="s">
        <v>353</v>
      </c>
      <c r="E471" s="67" t="str">
        <f>COLORES!A20</f>
        <v/>
      </c>
      <c r="F471" s="67" t="str">
        <f>COLORES!B20</f>
        <v/>
      </c>
      <c r="G471" s="90" t="s">
        <v>379</v>
      </c>
      <c r="H471" s="100">
        <f>IFERROR(SUMIFS(MOVIMIENTOS_COMPLEMENTOS!$I$4:$I$803,MOVIMIENTOS_COMPLEMENTOS!$C$4:$C$803,A471,MOVIMIENTOS_COMPLEMENTOS!$D$4:$D$803,B471,MOVIMIENTOS_COMPLEMENTOS!$E$4:$E$803,C471,MOVIMIENTOS_COMPLEMENTOS!$G$4:$G$803,E471,MOVIMIENTOS_COMPLEMENTOS!$H$4:$H$803,G471,MOVIMIENTOS_COMPLEMENTOS!$B$4:$B$803,"INGRESO")+SUMIFS(MOVIMIENTOS_COMPLEMENTOS!$I$4:$I$803,MOVIMIENTOS_COMPLEMENTOS!$C$4:$C$803,A471,MOVIMIENTOS_COMPLEMENTOS!$D$4:$D$803,B471,MOVIMIENTOS_COMPLEMENTOS!$E$4:$E$803,C471,MOVIMIENTOS_COMPLEMENTOS!$G$4:$G$803,E471,MOVIMIENTOS_COMPLEMENTOS!$H$4:$H$803,G471,MOVIMIENTOS_COMPLEMENTOS!$B$4:$B$803,"DE CORTE")-SUMIFS(MOVIMIENTOS_COMPLEMENTOS!$I$4:$I$803,MOVIMIENTOS_COMPLEMENTOS!$C$4:$C$803,A471,MOVIMIENTOS_COMPLEMENTOS!$D$4:$D$803,B471,MOVIMIENTOS_COMPLEMENTOS!$E$4:$E$803,C471,MOVIMIENTOS_COMPLEMENTOS!$G$4:$G$803,E471,MOVIMIENTOS_COMPLEMENTOS!$H$4:$H$803,G471,MOVIMIENTOS_COMPLEMENTOS!$B$4:$B$803,"SALIDA"),0)</f>
        <v>0</v>
      </c>
      <c r="I471" s="102">
        <f t="array" ref="I471">IFERROR(INDEX(PRECIOS_COMPLEMENTOS!$C$4:$F$17,MATCH(B471&amp;"_"&amp;C471,PRECIOS_COMPLEMENTOS!$H$4:$H$17,0),IF(OR(G471="S",G471="20cm"),1,IF(OR(G471="M",G471="25cm"),2,IF(OR(G471="L",G471="30cm"),3,IF(OR(G471="XL",G471="35cm"),4,0))))),0)</f>
        <v>0.55</v>
      </c>
      <c r="J471" s="103">
        <f t="shared" si="1"/>
        <v>0</v>
      </c>
      <c r="K471" s="104" t="str">
        <f>IF(H471&lt;0,"ERROR",IF(H471=0,"",IF(H471&lt;CONFIG!$B$4,"CRÍTICO",IF(H471&lt;CONFIG!$B$5,"BAJO","OK"))))</f>
        <v/>
      </c>
    </row>
    <row r="472" ht="15.75" hidden="1" customHeight="1">
      <c r="A472" s="90" t="str">
        <f>IF(CLIENTES!A6="","",CLIENTES!A6)</f>
        <v/>
      </c>
      <c r="B472" s="90" t="s">
        <v>321</v>
      </c>
      <c r="C472" s="91" t="s">
        <v>326</v>
      </c>
      <c r="D472" s="109" t="s">
        <v>353</v>
      </c>
      <c r="E472" s="67" t="str">
        <f>COLORES!A21</f>
        <v/>
      </c>
      <c r="F472" s="67" t="str">
        <f>COLORES!B21</f>
        <v/>
      </c>
      <c r="G472" s="90" t="s">
        <v>378</v>
      </c>
      <c r="H472" s="100">
        <f>IFERROR(SUMIFS(MOVIMIENTOS_COMPLEMENTOS!$I$4:$I$803,MOVIMIENTOS_COMPLEMENTOS!$C$4:$C$803,A472,MOVIMIENTOS_COMPLEMENTOS!$D$4:$D$803,B472,MOVIMIENTOS_COMPLEMENTOS!$E$4:$E$803,C472,MOVIMIENTOS_COMPLEMENTOS!$G$4:$G$803,E472,MOVIMIENTOS_COMPLEMENTOS!$H$4:$H$803,G472,MOVIMIENTOS_COMPLEMENTOS!$B$4:$B$803,"INGRESO")+SUMIFS(MOVIMIENTOS_COMPLEMENTOS!$I$4:$I$803,MOVIMIENTOS_COMPLEMENTOS!$C$4:$C$803,A472,MOVIMIENTOS_COMPLEMENTOS!$D$4:$D$803,B472,MOVIMIENTOS_COMPLEMENTOS!$E$4:$E$803,C472,MOVIMIENTOS_COMPLEMENTOS!$G$4:$G$803,E472,MOVIMIENTOS_COMPLEMENTOS!$H$4:$H$803,G472,MOVIMIENTOS_COMPLEMENTOS!$B$4:$B$803,"DE CORTE")-SUMIFS(MOVIMIENTOS_COMPLEMENTOS!$I$4:$I$803,MOVIMIENTOS_COMPLEMENTOS!$C$4:$C$803,A472,MOVIMIENTOS_COMPLEMENTOS!$D$4:$D$803,B472,MOVIMIENTOS_COMPLEMENTOS!$E$4:$E$803,C472,MOVIMIENTOS_COMPLEMENTOS!$G$4:$G$803,E472,MOVIMIENTOS_COMPLEMENTOS!$H$4:$H$803,G472,MOVIMIENTOS_COMPLEMENTOS!$B$4:$B$803,"SALIDA"),0)</f>
        <v>0</v>
      </c>
      <c r="I472" s="102">
        <f t="array" ref="I472">IFERROR(INDEX(PRECIOS_COMPLEMENTOS!$C$4:$F$17,MATCH(B472&amp;"_"&amp;C472,PRECIOS_COMPLEMENTOS!$H$4:$H$17,0),IF(OR(G472="S",G472="20cm"),1,IF(OR(G472="M",G472="25cm"),2,IF(OR(G472="L",G472="30cm"),3,IF(OR(G472="XL",G472="35cm"),4,0))))),0)</f>
        <v>0.4</v>
      </c>
      <c r="J472" s="103">
        <f t="shared" si="1"/>
        <v>0</v>
      </c>
      <c r="K472" s="104" t="str">
        <f>IF(H472&lt;0,"ERROR",IF(H472=0,"",IF(H472&lt;CONFIG!$B$4,"CRÍTICO",IF(H472&lt;CONFIG!$B$5,"BAJO","OK"))))</f>
        <v/>
      </c>
    </row>
    <row r="473" ht="15.75" hidden="1" customHeight="1">
      <c r="A473" s="90" t="str">
        <f>IF(CLIENTES!A6="","",CLIENTES!A6)</f>
        <v/>
      </c>
      <c r="B473" s="90" t="s">
        <v>321</v>
      </c>
      <c r="C473" s="91" t="s">
        <v>326</v>
      </c>
      <c r="D473" s="109" t="s">
        <v>353</v>
      </c>
      <c r="E473" s="67" t="str">
        <f>COLORES!A21</f>
        <v/>
      </c>
      <c r="F473" s="67" t="str">
        <f>COLORES!B21</f>
        <v/>
      </c>
      <c r="G473" s="90" t="s">
        <v>376</v>
      </c>
      <c r="H473" s="100">
        <f>IFERROR(SUMIFS(MOVIMIENTOS_COMPLEMENTOS!$I$4:$I$803,MOVIMIENTOS_COMPLEMENTOS!$C$4:$C$803,A473,MOVIMIENTOS_COMPLEMENTOS!$D$4:$D$803,B473,MOVIMIENTOS_COMPLEMENTOS!$E$4:$E$803,C473,MOVIMIENTOS_COMPLEMENTOS!$G$4:$G$803,E473,MOVIMIENTOS_COMPLEMENTOS!$H$4:$H$803,G473,MOVIMIENTOS_COMPLEMENTOS!$B$4:$B$803,"INGRESO")+SUMIFS(MOVIMIENTOS_COMPLEMENTOS!$I$4:$I$803,MOVIMIENTOS_COMPLEMENTOS!$C$4:$C$803,A473,MOVIMIENTOS_COMPLEMENTOS!$D$4:$D$803,B473,MOVIMIENTOS_COMPLEMENTOS!$E$4:$E$803,C473,MOVIMIENTOS_COMPLEMENTOS!$G$4:$G$803,E473,MOVIMIENTOS_COMPLEMENTOS!$H$4:$H$803,G473,MOVIMIENTOS_COMPLEMENTOS!$B$4:$B$803,"DE CORTE")-SUMIFS(MOVIMIENTOS_COMPLEMENTOS!$I$4:$I$803,MOVIMIENTOS_COMPLEMENTOS!$C$4:$C$803,A473,MOVIMIENTOS_COMPLEMENTOS!$D$4:$D$803,B473,MOVIMIENTOS_COMPLEMENTOS!$E$4:$E$803,C473,MOVIMIENTOS_COMPLEMENTOS!$G$4:$G$803,E473,MOVIMIENTOS_COMPLEMENTOS!$H$4:$H$803,G473,MOVIMIENTOS_COMPLEMENTOS!$B$4:$B$803,"SALIDA"),0)</f>
        <v>0</v>
      </c>
      <c r="I473" s="102">
        <f t="array" ref="I473">IFERROR(INDEX(PRECIOS_COMPLEMENTOS!$C$4:$F$17,MATCH(B473&amp;"_"&amp;C473,PRECIOS_COMPLEMENTOS!$H$4:$H$17,0),IF(OR(G473="S",G473="20cm"),1,IF(OR(G473="M",G473="25cm"),2,IF(OR(G473="L",G473="30cm"),3,IF(OR(G473="XL",G473="35cm"),4,0))))),0)</f>
        <v>0.45</v>
      </c>
      <c r="J473" s="103">
        <f t="shared" si="1"/>
        <v>0</v>
      </c>
      <c r="K473" s="104" t="str">
        <f>IF(H473&lt;0,"ERROR",IF(H473=0,"",IF(H473&lt;CONFIG!$B$4,"CRÍTICO",IF(H473&lt;CONFIG!$B$5,"BAJO","OK"))))</f>
        <v/>
      </c>
    </row>
    <row r="474" ht="15.75" hidden="1" customHeight="1">
      <c r="A474" s="90" t="str">
        <f>IF(CLIENTES!A6="","",CLIENTES!A6)</f>
        <v/>
      </c>
      <c r="B474" s="90" t="s">
        <v>321</v>
      </c>
      <c r="C474" s="91" t="s">
        <v>326</v>
      </c>
      <c r="D474" s="109" t="s">
        <v>353</v>
      </c>
      <c r="E474" s="67" t="str">
        <f>COLORES!A21</f>
        <v/>
      </c>
      <c r="F474" s="67" t="str">
        <f>COLORES!B21</f>
        <v/>
      </c>
      <c r="G474" s="90" t="s">
        <v>377</v>
      </c>
      <c r="H474" s="100">
        <f>IFERROR(SUMIFS(MOVIMIENTOS_COMPLEMENTOS!$I$4:$I$803,MOVIMIENTOS_COMPLEMENTOS!$C$4:$C$803,A474,MOVIMIENTOS_COMPLEMENTOS!$D$4:$D$803,B474,MOVIMIENTOS_COMPLEMENTOS!$E$4:$E$803,C474,MOVIMIENTOS_COMPLEMENTOS!$G$4:$G$803,E474,MOVIMIENTOS_COMPLEMENTOS!$H$4:$H$803,G474,MOVIMIENTOS_COMPLEMENTOS!$B$4:$B$803,"INGRESO")+SUMIFS(MOVIMIENTOS_COMPLEMENTOS!$I$4:$I$803,MOVIMIENTOS_COMPLEMENTOS!$C$4:$C$803,A474,MOVIMIENTOS_COMPLEMENTOS!$D$4:$D$803,B474,MOVIMIENTOS_COMPLEMENTOS!$E$4:$E$803,C474,MOVIMIENTOS_COMPLEMENTOS!$G$4:$G$803,E474,MOVIMIENTOS_COMPLEMENTOS!$H$4:$H$803,G474,MOVIMIENTOS_COMPLEMENTOS!$B$4:$B$803,"DE CORTE")-SUMIFS(MOVIMIENTOS_COMPLEMENTOS!$I$4:$I$803,MOVIMIENTOS_COMPLEMENTOS!$C$4:$C$803,A474,MOVIMIENTOS_COMPLEMENTOS!$D$4:$D$803,B474,MOVIMIENTOS_COMPLEMENTOS!$E$4:$E$803,C474,MOVIMIENTOS_COMPLEMENTOS!$G$4:$G$803,E474,MOVIMIENTOS_COMPLEMENTOS!$H$4:$H$803,G474,MOVIMIENTOS_COMPLEMENTOS!$B$4:$B$803,"SALIDA"),0)</f>
        <v>0</v>
      </c>
      <c r="I474" s="102">
        <f t="array" ref="I474">IFERROR(INDEX(PRECIOS_COMPLEMENTOS!$C$4:$F$17,MATCH(B474&amp;"_"&amp;C474,PRECIOS_COMPLEMENTOS!$H$4:$H$17,0),IF(OR(G474="S",G474="20cm"),1,IF(OR(G474="M",G474="25cm"),2,IF(OR(G474="L",G474="30cm"),3,IF(OR(G474="XL",G474="35cm"),4,0))))),0)</f>
        <v>0.5</v>
      </c>
      <c r="J474" s="103">
        <f t="shared" si="1"/>
        <v>0</v>
      </c>
      <c r="K474" s="104" t="str">
        <f>IF(H474&lt;0,"ERROR",IF(H474=0,"",IF(H474&lt;CONFIG!$B$4,"CRÍTICO",IF(H474&lt;CONFIG!$B$5,"BAJO","OK"))))</f>
        <v/>
      </c>
    </row>
    <row r="475" ht="15.75" hidden="1" customHeight="1">
      <c r="A475" s="90" t="str">
        <f>IF(CLIENTES!A6="","",CLIENTES!A6)</f>
        <v/>
      </c>
      <c r="B475" s="90" t="s">
        <v>321</v>
      </c>
      <c r="C475" s="91" t="s">
        <v>326</v>
      </c>
      <c r="D475" s="109" t="s">
        <v>353</v>
      </c>
      <c r="E475" s="67" t="str">
        <f>COLORES!A21</f>
        <v/>
      </c>
      <c r="F475" s="67" t="str">
        <f>COLORES!B21</f>
        <v/>
      </c>
      <c r="G475" s="90" t="s">
        <v>379</v>
      </c>
      <c r="H475" s="100">
        <f>IFERROR(SUMIFS(MOVIMIENTOS_COMPLEMENTOS!$I$4:$I$803,MOVIMIENTOS_COMPLEMENTOS!$C$4:$C$803,A475,MOVIMIENTOS_COMPLEMENTOS!$D$4:$D$803,B475,MOVIMIENTOS_COMPLEMENTOS!$E$4:$E$803,C475,MOVIMIENTOS_COMPLEMENTOS!$G$4:$G$803,E475,MOVIMIENTOS_COMPLEMENTOS!$H$4:$H$803,G475,MOVIMIENTOS_COMPLEMENTOS!$B$4:$B$803,"INGRESO")+SUMIFS(MOVIMIENTOS_COMPLEMENTOS!$I$4:$I$803,MOVIMIENTOS_COMPLEMENTOS!$C$4:$C$803,A475,MOVIMIENTOS_COMPLEMENTOS!$D$4:$D$803,B475,MOVIMIENTOS_COMPLEMENTOS!$E$4:$E$803,C475,MOVIMIENTOS_COMPLEMENTOS!$G$4:$G$803,E475,MOVIMIENTOS_COMPLEMENTOS!$H$4:$H$803,G475,MOVIMIENTOS_COMPLEMENTOS!$B$4:$B$803,"DE CORTE")-SUMIFS(MOVIMIENTOS_COMPLEMENTOS!$I$4:$I$803,MOVIMIENTOS_COMPLEMENTOS!$C$4:$C$803,A475,MOVIMIENTOS_COMPLEMENTOS!$D$4:$D$803,B475,MOVIMIENTOS_COMPLEMENTOS!$E$4:$E$803,C475,MOVIMIENTOS_COMPLEMENTOS!$G$4:$G$803,E475,MOVIMIENTOS_COMPLEMENTOS!$H$4:$H$803,G475,MOVIMIENTOS_COMPLEMENTOS!$B$4:$B$803,"SALIDA"),0)</f>
        <v>0</v>
      </c>
      <c r="I475" s="102">
        <f t="array" ref="I475">IFERROR(INDEX(PRECIOS_COMPLEMENTOS!$C$4:$F$17,MATCH(B475&amp;"_"&amp;C475,PRECIOS_COMPLEMENTOS!$H$4:$H$17,0),IF(OR(G475="S",G475="20cm"),1,IF(OR(G475="M",G475="25cm"),2,IF(OR(G475="L",G475="30cm"),3,IF(OR(G475="XL",G475="35cm"),4,0))))),0)</f>
        <v>0.55</v>
      </c>
      <c r="J475" s="103">
        <f t="shared" si="1"/>
        <v>0</v>
      </c>
      <c r="K475" s="104" t="str">
        <f>IF(H475&lt;0,"ERROR",IF(H475=0,"",IF(H475&lt;CONFIG!$B$4,"CRÍTICO",IF(H475&lt;CONFIG!$B$5,"BAJO","OK"))))</f>
        <v/>
      </c>
    </row>
    <row r="476" ht="15.75" hidden="1" customHeight="1">
      <c r="A476" s="90" t="str">
        <f>IF(CLIENTES!A6="","",CLIENTES!A6)</f>
        <v/>
      </c>
      <c r="B476" s="90" t="s">
        <v>321</v>
      </c>
      <c r="C476" s="91" t="s">
        <v>326</v>
      </c>
      <c r="D476" s="109" t="s">
        <v>353</v>
      </c>
      <c r="E476" s="67" t="str">
        <f>COLORES!A22</f>
        <v/>
      </c>
      <c r="F476" s="67" t="str">
        <f>COLORES!B22</f>
        <v/>
      </c>
      <c r="G476" s="90" t="s">
        <v>378</v>
      </c>
      <c r="H476" s="100">
        <f>IFERROR(SUMIFS(MOVIMIENTOS_COMPLEMENTOS!$I$4:$I$803,MOVIMIENTOS_COMPLEMENTOS!$C$4:$C$803,A476,MOVIMIENTOS_COMPLEMENTOS!$D$4:$D$803,B476,MOVIMIENTOS_COMPLEMENTOS!$E$4:$E$803,C476,MOVIMIENTOS_COMPLEMENTOS!$G$4:$G$803,E476,MOVIMIENTOS_COMPLEMENTOS!$H$4:$H$803,G476,MOVIMIENTOS_COMPLEMENTOS!$B$4:$B$803,"INGRESO")+SUMIFS(MOVIMIENTOS_COMPLEMENTOS!$I$4:$I$803,MOVIMIENTOS_COMPLEMENTOS!$C$4:$C$803,A476,MOVIMIENTOS_COMPLEMENTOS!$D$4:$D$803,B476,MOVIMIENTOS_COMPLEMENTOS!$E$4:$E$803,C476,MOVIMIENTOS_COMPLEMENTOS!$G$4:$G$803,E476,MOVIMIENTOS_COMPLEMENTOS!$H$4:$H$803,G476,MOVIMIENTOS_COMPLEMENTOS!$B$4:$B$803,"DE CORTE")-SUMIFS(MOVIMIENTOS_COMPLEMENTOS!$I$4:$I$803,MOVIMIENTOS_COMPLEMENTOS!$C$4:$C$803,A476,MOVIMIENTOS_COMPLEMENTOS!$D$4:$D$803,B476,MOVIMIENTOS_COMPLEMENTOS!$E$4:$E$803,C476,MOVIMIENTOS_COMPLEMENTOS!$G$4:$G$803,E476,MOVIMIENTOS_COMPLEMENTOS!$H$4:$H$803,G476,MOVIMIENTOS_COMPLEMENTOS!$B$4:$B$803,"SALIDA"),0)</f>
        <v>0</v>
      </c>
      <c r="I476" s="102">
        <f t="array" ref="I476">IFERROR(INDEX(PRECIOS_COMPLEMENTOS!$C$4:$F$17,MATCH(B476&amp;"_"&amp;C476,PRECIOS_COMPLEMENTOS!$H$4:$H$17,0),IF(OR(G476="S",G476="20cm"),1,IF(OR(G476="M",G476="25cm"),2,IF(OR(G476="L",G476="30cm"),3,IF(OR(G476="XL",G476="35cm"),4,0))))),0)</f>
        <v>0.4</v>
      </c>
      <c r="J476" s="103">
        <f t="shared" si="1"/>
        <v>0</v>
      </c>
      <c r="K476" s="104" t="str">
        <f>IF(H476&lt;0,"ERROR",IF(H476=0,"",IF(H476&lt;CONFIG!$B$4,"CRÍTICO",IF(H476&lt;CONFIG!$B$5,"BAJO","OK"))))</f>
        <v/>
      </c>
    </row>
    <row r="477" ht="15.75" hidden="1" customHeight="1">
      <c r="A477" s="90" t="str">
        <f>IF(CLIENTES!A6="","",CLIENTES!A6)</f>
        <v/>
      </c>
      <c r="B477" s="90" t="s">
        <v>321</v>
      </c>
      <c r="C477" s="91" t="s">
        <v>326</v>
      </c>
      <c r="D477" s="109" t="s">
        <v>353</v>
      </c>
      <c r="E477" s="67" t="str">
        <f>COLORES!A22</f>
        <v/>
      </c>
      <c r="F477" s="67" t="str">
        <f>COLORES!B22</f>
        <v/>
      </c>
      <c r="G477" s="90" t="s">
        <v>376</v>
      </c>
      <c r="H477" s="100">
        <f>IFERROR(SUMIFS(MOVIMIENTOS_COMPLEMENTOS!$I$4:$I$803,MOVIMIENTOS_COMPLEMENTOS!$C$4:$C$803,A477,MOVIMIENTOS_COMPLEMENTOS!$D$4:$D$803,B477,MOVIMIENTOS_COMPLEMENTOS!$E$4:$E$803,C477,MOVIMIENTOS_COMPLEMENTOS!$G$4:$G$803,E477,MOVIMIENTOS_COMPLEMENTOS!$H$4:$H$803,G477,MOVIMIENTOS_COMPLEMENTOS!$B$4:$B$803,"INGRESO")+SUMIFS(MOVIMIENTOS_COMPLEMENTOS!$I$4:$I$803,MOVIMIENTOS_COMPLEMENTOS!$C$4:$C$803,A477,MOVIMIENTOS_COMPLEMENTOS!$D$4:$D$803,B477,MOVIMIENTOS_COMPLEMENTOS!$E$4:$E$803,C477,MOVIMIENTOS_COMPLEMENTOS!$G$4:$G$803,E477,MOVIMIENTOS_COMPLEMENTOS!$H$4:$H$803,G477,MOVIMIENTOS_COMPLEMENTOS!$B$4:$B$803,"DE CORTE")-SUMIFS(MOVIMIENTOS_COMPLEMENTOS!$I$4:$I$803,MOVIMIENTOS_COMPLEMENTOS!$C$4:$C$803,A477,MOVIMIENTOS_COMPLEMENTOS!$D$4:$D$803,B477,MOVIMIENTOS_COMPLEMENTOS!$E$4:$E$803,C477,MOVIMIENTOS_COMPLEMENTOS!$G$4:$G$803,E477,MOVIMIENTOS_COMPLEMENTOS!$H$4:$H$803,G477,MOVIMIENTOS_COMPLEMENTOS!$B$4:$B$803,"SALIDA"),0)</f>
        <v>0</v>
      </c>
      <c r="I477" s="102">
        <f t="array" ref="I477">IFERROR(INDEX(PRECIOS_COMPLEMENTOS!$C$4:$F$17,MATCH(B477&amp;"_"&amp;C477,PRECIOS_COMPLEMENTOS!$H$4:$H$17,0),IF(OR(G477="S",G477="20cm"),1,IF(OR(G477="M",G477="25cm"),2,IF(OR(G477="L",G477="30cm"),3,IF(OR(G477="XL",G477="35cm"),4,0))))),0)</f>
        <v>0.45</v>
      </c>
      <c r="J477" s="103">
        <f t="shared" si="1"/>
        <v>0</v>
      </c>
      <c r="K477" s="104" t="str">
        <f>IF(H477&lt;0,"ERROR",IF(H477=0,"",IF(H477&lt;CONFIG!$B$4,"CRÍTICO",IF(H477&lt;CONFIG!$B$5,"BAJO","OK"))))</f>
        <v/>
      </c>
    </row>
    <row r="478" ht="15.75" hidden="1" customHeight="1">
      <c r="A478" s="90" t="str">
        <f>IF(CLIENTES!A6="","",CLIENTES!A6)</f>
        <v/>
      </c>
      <c r="B478" s="90" t="s">
        <v>321</v>
      </c>
      <c r="C478" s="91" t="s">
        <v>326</v>
      </c>
      <c r="D478" s="109" t="s">
        <v>353</v>
      </c>
      <c r="E478" s="67" t="str">
        <f>COLORES!A22</f>
        <v/>
      </c>
      <c r="F478" s="67" t="str">
        <f>COLORES!B22</f>
        <v/>
      </c>
      <c r="G478" s="90" t="s">
        <v>377</v>
      </c>
      <c r="H478" s="100">
        <f>IFERROR(SUMIFS(MOVIMIENTOS_COMPLEMENTOS!$I$4:$I$803,MOVIMIENTOS_COMPLEMENTOS!$C$4:$C$803,A478,MOVIMIENTOS_COMPLEMENTOS!$D$4:$D$803,B478,MOVIMIENTOS_COMPLEMENTOS!$E$4:$E$803,C478,MOVIMIENTOS_COMPLEMENTOS!$G$4:$G$803,E478,MOVIMIENTOS_COMPLEMENTOS!$H$4:$H$803,G478,MOVIMIENTOS_COMPLEMENTOS!$B$4:$B$803,"INGRESO")+SUMIFS(MOVIMIENTOS_COMPLEMENTOS!$I$4:$I$803,MOVIMIENTOS_COMPLEMENTOS!$C$4:$C$803,A478,MOVIMIENTOS_COMPLEMENTOS!$D$4:$D$803,B478,MOVIMIENTOS_COMPLEMENTOS!$E$4:$E$803,C478,MOVIMIENTOS_COMPLEMENTOS!$G$4:$G$803,E478,MOVIMIENTOS_COMPLEMENTOS!$H$4:$H$803,G478,MOVIMIENTOS_COMPLEMENTOS!$B$4:$B$803,"DE CORTE")-SUMIFS(MOVIMIENTOS_COMPLEMENTOS!$I$4:$I$803,MOVIMIENTOS_COMPLEMENTOS!$C$4:$C$803,A478,MOVIMIENTOS_COMPLEMENTOS!$D$4:$D$803,B478,MOVIMIENTOS_COMPLEMENTOS!$E$4:$E$803,C478,MOVIMIENTOS_COMPLEMENTOS!$G$4:$G$803,E478,MOVIMIENTOS_COMPLEMENTOS!$H$4:$H$803,G478,MOVIMIENTOS_COMPLEMENTOS!$B$4:$B$803,"SALIDA"),0)</f>
        <v>0</v>
      </c>
      <c r="I478" s="102">
        <f t="array" ref="I478">IFERROR(INDEX(PRECIOS_COMPLEMENTOS!$C$4:$F$17,MATCH(B478&amp;"_"&amp;C478,PRECIOS_COMPLEMENTOS!$H$4:$H$17,0),IF(OR(G478="S",G478="20cm"),1,IF(OR(G478="M",G478="25cm"),2,IF(OR(G478="L",G478="30cm"),3,IF(OR(G478="XL",G478="35cm"),4,0))))),0)</f>
        <v>0.5</v>
      </c>
      <c r="J478" s="103">
        <f t="shared" si="1"/>
        <v>0</v>
      </c>
      <c r="K478" s="104" t="str">
        <f>IF(H478&lt;0,"ERROR",IF(H478=0,"",IF(H478&lt;CONFIG!$B$4,"CRÍTICO",IF(H478&lt;CONFIG!$B$5,"BAJO","OK"))))</f>
        <v/>
      </c>
    </row>
    <row r="479" ht="15.75" hidden="1" customHeight="1">
      <c r="A479" s="90" t="str">
        <f>IF(CLIENTES!A6="","",CLIENTES!A6)</f>
        <v/>
      </c>
      <c r="B479" s="90" t="s">
        <v>321</v>
      </c>
      <c r="C479" s="91" t="s">
        <v>326</v>
      </c>
      <c r="D479" s="109" t="s">
        <v>353</v>
      </c>
      <c r="E479" s="67" t="str">
        <f>COLORES!A22</f>
        <v/>
      </c>
      <c r="F479" s="67" t="str">
        <f>COLORES!B22</f>
        <v/>
      </c>
      <c r="G479" s="90" t="s">
        <v>379</v>
      </c>
      <c r="H479" s="100">
        <f>IFERROR(SUMIFS(MOVIMIENTOS_COMPLEMENTOS!$I$4:$I$803,MOVIMIENTOS_COMPLEMENTOS!$C$4:$C$803,A479,MOVIMIENTOS_COMPLEMENTOS!$D$4:$D$803,B479,MOVIMIENTOS_COMPLEMENTOS!$E$4:$E$803,C479,MOVIMIENTOS_COMPLEMENTOS!$G$4:$G$803,E479,MOVIMIENTOS_COMPLEMENTOS!$H$4:$H$803,G479,MOVIMIENTOS_COMPLEMENTOS!$B$4:$B$803,"INGRESO")+SUMIFS(MOVIMIENTOS_COMPLEMENTOS!$I$4:$I$803,MOVIMIENTOS_COMPLEMENTOS!$C$4:$C$803,A479,MOVIMIENTOS_COMPLEMENTOS!$D$4:$D$803,B479,MOVIMIENTOS_COMPLEMENTOS!$E$4:$E$803,C479,MOVIMIENTOS_COMPLEMENTOS!$G$4:$G$803,E479,MOVIMIENTOS_COMPLEMENTOS!$H$4:$H$803,G479,MOVIMIENTOS_COMPLEMENTOS!$B$4:$B$803,"DE CORTE")-SUMIFS(MOVIMIENTOS_COMPLEMENTOS!$I$4:$I$803,MOVIMIENTOS_COMPLEMENTOS!$C$4:$C$803,A479,MOVIMIENTOS_COMPLEMENTOS!$D$4:$D$803,B479,MOVIMIENTOS_COMPLEMENTOS!$E$4:$E$803,C479,MOVIMIENTOS_COMPLEMENTOS!$G$4:$G$803,E479,MOVIMIENTOS_COMPLEMENTOS!$H$4:$H$803,G479,MOVIMIENTOS_COMPLEMENTOS!$B$4:$B$803,"SALIDA"),0)</f>
        <v>0</v>
      </c>
      <c r="I479" s="102">
        <f t="array" ref="I479">IFERROR(INDEX(PRECIOS_COMPLEMENTOS!$C$4:$F$17,MATCH(B479&amp;"_"&amp;C479,PRECIOS_COMPLEMENTOS!$H$4:$H$17,0),IF(OR(G479="S",G479="20cm"),1,IF(OR(G479="M",G479="25cm"),2,IF(OR(G479="L",G479="30cm"),3,IF(OR(G479="XL",G479="35cm"),4,0))))),0)</f>
        <v>0.55</v>
      </c>
      <c r="J479" s="103">
        <f t="shared" si="1"/>
        <v>0</v>
      </c>
      <c r="K479" s="104" t="str">
        <f>IF(H479&lt;0,"ERROR",IF(H479=0,"",IF(H479&lt;CONFIG!$B$4,"CRÍTICO",IF(H479&lt;CONFIG!$B$5,"BAJO","OK"))))</f>
        <v/>
      </c>
    </row>
    <row r="480" ht="15.75" hidden="1" customHeight="1">
      <c r="A480" s="90" t="str">
        <f>IF(CLIENTES!A6="","",CLIENTES!A6)</f>
        <v/>
      </c>
      <c r="B480" s="90" t="s">
        <v>321</v>
      </c>
      <c r="C480" s="91" t="s">
        <v>326</v>
      </c>
      <c r="D480" s="109" t="s">
        <v>353</v>
      </c>
      <c r="E480" s="67" t="str">
        <f>COLORES!A23</f>
        <v/>
      </c>
      <c r="F480" s="67" t="str">
        <f>COLORES!B23</f>
        <v/>
      </c>
      <c r="G480" s="90" t="s">
        <v>378</v>
      </c>
      <c r="H480" s="100">
        <f>IFERROR(SUMIFS(MOVIMIENTOS_COMPLEMENTOS!$I$4:$I$803,MOVIMIENTOS_COMPLEMENTOS!$C$4:$C$803,A480,MOVIMIENTOS_COMPLEMENTOS!$D$4:$D$803,B480,MOVIMIENTOS_COMPLEMENTOS!$E$4:$E$803,C480,MOVIMIENTOS_COMPLEMENTOS!$G$4:$G$803,E480,MOVIMIENTOS_COMPLEMENTOS!$H$4:$H$803,G480,MOVIMIENTOS_COMPLEMENTOS!$B$4:$B$803,"INGRESO")+SUMIFS(MOVIMIENTOS_COMPLEMENTOS!$I$4:$I$803,MOVIMIENTOS_COMPLEMENTOS!$C$4:$C$803,A480,MOVIMIENTOS_COMPLEMENTOS!$D$4:$D$803,B480,MOVIMIENTOS_COMPLEMENTOS!$E$4:$E$803,C480,MOVIMIENTOS_COMPLEMENTOS!$G$4:$G$803,E480,MOVIMIENTOS_COMPLEMENTOS!$H$4:$H$803,G480,MOVIMIENTOS_COMPLEMENTOS!$B$4:$B$803,"DE CORTE")-SUMIFS(MOVIMIENTOS_COMPLEMENTOS!$I$4:$I$803,MOVIMIENTOS_COMPLEMENTOS!$C$4:$C$803,A480,MOVIMIENTOS_COMPLEMENTOS!$D$4:$D$803,B480,MOVIMIENTOS_COMPLEMENTOS!$E$4:$E$803,C480,MOVIMIENTOS_COMPLEMENTOS!$G$4:$G$803,E480,MOVIMIENTOS_COMPLEMENTOS!$H$4:$H$803,G480,MOVIMIENTOS_COMPLEMENTOS!$B$4:$B$803,"SALIDA"),0)</f>
        <v>0</v>
      </c>
      <c r="I480" s="102">
        <f t="array" ref="I480">IFERROR(INDEX(PRECIOS_COMPLEMENTOS!$C$4:$F$17,MATCH(B480&amp;"_"&amp;C480,PRECIOS_COMPLEMENTOS!$H$4:$H$17,0),IF(OR(G480="S",G480="20cm"),1,IF(OR(G480="M",G480="25cm"),2,IF(OR(G480="L",G480="30cm"),3,IF(OR(G480="XL",G480="35cm"),4,0))))),0)</f>
        <v>0.4</v>
      </c>
      <c r="J480" s="103">
        <f t="shared" si="1"/>
        <v>0</v>
      </c>
      <c r="K480" s="104" t="str">
        <f>IF(H480&lt;0,"ERROR",IF(H480=0,"",IF(H480&lt;CONFIG!$B$4,"CRÍTICO",IF(H480&lt;CONFIG!$B$5,"BAJO","OK"))))</f>
        <v/>
      </c>
    </row>
    <row r="481" ht="15.75" hidden="1" customHeight="1">
      <c r="A481" s="90" t="str">
        <f>IF(CLIENTES!A6="","",CLIENTES!A6)</f>
        <v/>
      </c>
      <c r="B481" s="90" t="s">
        <v>321</v>
      </c>
      <c r="C481" s="91" t="s">
        <v>326</v>
      </c>
      <c r="D481" s="109" t="s">
        <v>353</v>
      </c>
      <c r="E481" s="67" t="str">
        <f>COLORES!A23</f>
        <v/>
      </c>
      <c r="F481" s="67" t="str">
        <f>COLORES!B23</f>
        <v/>
      </c>
      <c r="G481" s="90" t="s">
        <v>376</v>
      </c>
      <c r="H481" s="100">
        <f>IFERROR(SUMIFS(MOVIMIENTOS_COMPLEMENTOS!$I$4:$I$803,MOVIMIENTOS_COMPLEMENTOS!$C$4:$C$803,A481,MOVIMIENTOS_COMPLEMENTOS!$D$4:$D$803,B481,MOVIMIENTOS_COMPLEMENTOS!$E$4:$E$803,C481,MOVIMIENTOS_COMPLEMENTOS!$G$4:$G$803,E481,MOVIMIENTOS_COMPLEMENTOS!$H$4:$H$803,G481,MOVIMIENTOS_COMPLEMENTOS!$B$4:$B$803,"INGRESO")+SUMIFS(MOVIMIENTOS_COMPLEMENTOS!$I$4:$I$803,MOVIMIENTOS_COMPLEMENTOS!$C$4:$C$803,A481,MOVIMIENTOS_COMPLEMENTOS!$D$4:$D$803,B481,MOVIMIENTOS_COMPLEMENTOS!$E$4:$E$803,C481,MOVIMIENTOS_COMPLEMENTOS!$G$4:$G$803,E481,MOVIMIENTOS_COMPLEMENTOS!$H$4:$H$803,G481,MOVIMIENTOS_COMPLEMENTOS!$B$4:$B$803,"DE CORTE")-SUMIFS(MOVIMIENTOS_COMPLEMENTOS!$I$4:$I$803,MOVIMIENTOS_COMPLEMENTOS!$C$4:$C$803,A481,MOVIMIENTOS_COMPLEMENTOS!$D$4:$D$803,B481,MOVIMIENTOS_COMPLEMENTOS!$E$4:$E$803,C481,MOVIMIENTOS_COMPLEMENTOS!$G$4:$G$803,E481,MOVIMIENTOS_COMPLEMENTOS!$H$4:$H$803,G481,MOVIMIENTOS_COMPLEMENTOS!$B$4:$B$803,"SALIDA"),0)</f>
        <v>0</v>
      </c>
      <c r="I481" s="102">
        <f t="array" ref="I481">IFERROR(INDEX(PRECIOS_COMPLEMENTOS!$C$4:$F$17,MATCH(B481&amp;"_"&amp;C481,PRECIOS_COMPLEMENTOS!$H$4:$H$17,0),IF(OR(G481="S",G481="20cm"),1,IF(OR(G481="M",G481="25cm"),2,IF(OR(G481="L",G481="30cm"),3,IF(OR(G481="XL",G481="35cm"),4,0))))),0)</f>
        <v>0.45</v>
      </c>
      <c r="J481" s="103">
        <f t="shared" si="1"/>
        <v>0</v>
      </c>
      <c r="K481" s="104" t="str">
        <f>IF(H481&lt;0,"ERROR",IF(H481=0,"",IF(H481&lt;CONFIG!$B$4,"CRÍTICO",IF(H481&lt;CONFIG!$B$5,"BAJO","OK"))))</f>
        <v/>
      </c>
    </row>
    <row r="482" ht="15.75" hidden="1" customHeight="1">
      <c r="A482" s="90" t="str">
        <f>IF(CLIENTES!A6="","",CLIENTES!A6)</f>
        <v/>
      </c>
      <c r="B482" s="90" t="s">
        <v>321</v>
      </c>
      <c r="C482" s="91" t="s">
        <v>326</v>
      </c>
      <c r="D482" s="109" t="s">
        <v>353</v>
      </c>
      <c r="E482" s="67" t="str">
        <f>COLORES!A23</f>
        <v/>
      </c>
      <c r="F482" s="67" t="str">
        <f>COLORES!B23</f>
        <v/>
      </c>
      <c r="G482" s="90" t="s">
        <v>377</v>
      </c>
      <c r="H482" s="100">
        <f>IFERROR(SUMIFS(MOVIMIENTOS_COMPLEMENTOS!$I$4:$I$803,MOVIMIENTOS_COMPLEMENTOS!$C$4:$C$803,A482,MOVIMIENTOS_COMPLEMENTOS!$D$4:$D$803,B482,MOVIMIENTOS_COMPLEMENTOS!$E$4:$E$803,C482,MOVIMIENTOS_COMPLEMENTOS!$G$4:$G$803,E482,MOVIMIENTOS_COMPLEMENTOS!$H$4:$H$803,G482,MOVIMIENTOS_COMPLEMENTOS!$B$4:$B$803,"INGRESO")+SUMIFS(MOVIMIENTOS_COMPLEMENTOS!$I$4:$I$803,MOVIMIENTOS_COMPLEMENTOS!$C$4:$C$803,A482,MOVIMIENTOS_COMPLEMENTOS!$D$4:$D$803,B482,MOVIMIENTOS_COMPLEMENTOS!$E$4:$E$803,C482,MOVIMIENTOS_COMPLEMENTOS!$G$4:$G$803,E482,MOVIMIENTOS_COMPLEMENTOS!$H$4:$H$803,G482,MOVIMIENTOS_COMPLEMENTOS!$B$4:$B$803,"DE CORTE")-SUMIFS(MOVIMIENTOS_COMPLEMENTOS!$I$4:$I$803,MOVIMIENTOS_COMPLEMENTOS!$C$4:$C$803,A482,MOVIMIENTOS_COMPLEMENTOS!$D$4:$D$803,B482,MOVIMIENTOS_COMPLEMENTOS!$E$4:$E$803,C482,MOVIMIENTOS_COMPLEMENTOS!$G$4:$G$803,E482,MOVIMIENTOS_COMPLEMENTOS!$H$4:$H$803,G482,MOVIMIENTOS_COMPLEMENTOS!$B$4:$B$803,"SALIDA"),0)</f>
        <v>0</v>
      </c>
      <c r="I482" s="102">
        <f t="array" ref="I482">IFERROR(INDEX(PRECIOS_COMPLEMENTOS!$C$4:$F$17,MATCH(B482&amp;"_"&amp;C482,PRECIOS_COMPLEMENTOS!$H$4:$H$17,0),IF(OR(G482="S",G482="20cm"),1,IF(OR(G482="M",G482="25cm"),2,IF(OR(G482="L",G482="30cm"),3,IF(OR(G482="XL",G482="35cm"),4,0))))),0)</f>
        <v>0.5</v>
      </c>
      <c r="J482" s="103">
        <f t="shared" si="1"/>
        <v>0</v>
      </c>
      <c r="K482" s="104" t="str">
        <f>IF(H482&lt;0,"ERROR",IF(H482=0,"",IF(H482&lt;CONFIG!$B$4,"CRÍTICO",IF(H482&lt;CONFIG!$B$5,"BAJO","OK"))))</f>
        <v/>
      </c>
    </row>
    <row r="483" ht="15.75" hidden="1" customHeight="1">
      <c r="A483" s="90" t="str">
        <f>IF(CLIENTES!A6="","",CLIENTES!A6)</f>
        <v/>
      </c>
      <c r="B483" s="90" t="s">
        <v>321</v>
      </c>
      <c r="C483" s="91" t="s">
        <v>326</v>
      </c>
      <c r="D483" s="109" t="s">
        <v>353</v>
      </c>
      <c r="E483" s="67" t="str">
        <f>COLORES!A23</f>
        <v/>
      </c>
      <c r="F483" s="67" t="str">
        <f>COLORES!B23</f>
        <v/>
      </c>
      <c r="G483" s="90" t="s">
        <v>379</v>
      </c>
      <c r="H483" s="100">
        <f>IFERROR(SUMIFS(MOVIMIENTOS_COMPLEMENTOS!$I$4:$I$803,MOVIMIENTOS_COMPLEMENTOS!$C$4:$C$803,A483,MOVIMIENTOS_COMPLEMENTOS!$D$4:$D$803,B483,MOVIMIENTOS_COMPLEMENTOS!$E$4:$E$803,C483,MOVIMIENTOS_COMPLEMENTOS!$G$4:$G$803,E483,MOVIMIENTOS_COMPLEMENTOS!$H$4:$H$803,G483,MOVIMIENTOS_COMPLEMENTOS!$B$4:$B$803,"INGRESO")+SUMIFS(MOVIMIENTOS_COMPLEMENTOS!$I$4:$I$803,MOVIMIENTOS_COMPLEMENTOS!$C$4:$C$803,A483,MOVIMIENTOS_COMPLEMENTOS!$D$4:$D$803,B483,MOVIMIENTOS_COMPLEMENTOS!$E$4:$E$803,C483,MOVIMIENTOS_COMPLEMENTOS!$G$4:$G$803,E483,MOVIMIENTOS_COMPLEMENTOS!$H$4:$H$803,G483,MOVIMIENTOS_COMPLEMENTOS!$B$4:$B$803,"DE CORTE")-SUMIFS(MOVIMIENTOS_COMPLEMENTOS!$I$4:$I$803,MOVIMIENTOS_COMPLEMENTOS!$C$4:$C$803,A483,MOVIMIENTOS_COMPLEMENTOS!$D$4:$D$803,B483,MOVIMIENTOS_COMPLEMENTOS!$E$4:$E$803,C483,MOVIMIENTOS_COMPLEMENTOS!$G$4:$G$803,E483,MOVIMIENTOS_COMPLEMENTOS!$H$4:$H$803,G483,MOVIMIENTOS_COMPLEMENTOS!$B$4:$B$803,"SALIDA"),0)</f>
        <v>0</v>
      </c>
      <c r="I483" s="102">
        <f t="array" ref="I483">IFERROR(INDEX(PRECIOS_COMPLEMENTOS!$C$4:$F$17,MATCH(B483&amp;"_"&amp;C483,PRECIOS_COMPLEMENTOS!$H$4:$H$17,0),IF(OR(G483="S",G483="20cm"),1,IF(OR(G483="M",G483="25cm"),2,IF(OR(G483="L",G483="30cm"),3,IF(OR(G483="XL",G483="35cm"),4,0))))),0)</f>
        <v>0.55</v>
      </c>
      <c r="J483" s="103">
        <f t="shared" si="1"/>
        <v>0</v>
      </c>
      <c r="K483" s="104" t="str">
        <f>IF(H483&lt;0,"ERROR",IF(H483=0,"",IF(H483&lt;CONFIG!$B$4,"CRÍTICO",IF(H483&lt;CONFIG!$B$5,"BAJO","OK"))))</f>
        <v/>
      </c>
    </row>
    <row r="484" ht="15.75" hidden="1" customHeight="1">
      <c r="A484" s="90" t="str">
        <f>IF(CLIENTES!A7="","",CLIENTES!A7)</f>
        <v/>
      </c>
      <c r="B484" s="90" t="s">
        <v>321</v>
      </c>
      <c r="C484" s="91" t="s">
        <v>326</v>
      </c>
      <c r="D484" s="109" t="s">
        <v>353</v>
      </c>
      <c r="E484" s="67" t="str">
        <f>COLORES!A4</f>
        <v>Negro</v>
      </c>
      <c r="F484" s="67" t="str">
        <f>COLORES!B4</f>
        <v>OSCURO</v>
      </c>
      <c r="G484" s="90" t="s">
        <v>378</v>
      </c>
      <c r="H484" s="100">
        <f>IFERROR(SUMIFS(MOVIMIENTOS_COMPLEMENTOS!$I$4:$I$803,MOVIMIENTOS_COMPLEMENTOS!$C$4:$C$803,A484,MOVIMIENTOS_COMPLEMENTOS!$D$4:$D$803,B484,MOVIMIENTOS_COMPLEMENTOS!$E$4:$E$803,C484,MOVIMIENTOS_COMPLEMENTOS!$G$4:$G$803,E484,MOVIMIENTOS_COMPLEMENTOS!$H$4:$H$803,G484,MOVIMIENTOS_COMPLEMENTOS!$B$4:$B$803,"INGRESO")+SUMIFS(MOVIMIENTOS_COMPLEMENTOS!$I$4:$I$803,MOVIMIENTOS_COMPLEMENTOS!$C$4:$C$803,A484,MOVIMIENTOS_COMPLEMENTOS!$D$4:$D$803,B484,MOVIMIENTOS_COMPLEMENTOS!$E$4:$E$803,C484,MOVIMIENTOS_COMPLEMENTOS!$G$4:$G$803,E484,MOVIMIENTOS_COMPLEMENTOS!$H$4:$H$803,G484,MOVIMIENTOS_COMPLEMENTOS!$B$4:$B$803,"DE CORTE")-SUMIFS(MOVIMIENTOS_COMPLEMENTOS!$I$4:$I$803,MOVIMIENTOS_COMPLEMENTOS!$C$4:$C$803,A484,MOVIMIENTOS_COMPLEMENTOS!$D$4:$D$803,B484,MOVIMIENTOS_COMPLEMENTOS!$E$4:$E$803,C484,MOVIMIENTOS_COMPLEMENTOS!$G$4:$G$803,E484,MOVIMIENTOS_COMPLEMENTOS!$H$4:$H$803,G484,MOVIMIENTOS_COMPLEMENTOS!$B$4:$B$803,"SALIDA"),0)</f>
        <v>0</v>
      </c>
      <c r="I484" s="102">
        <f t="array" ref="I484">IFERROR(INDEX(PRECIOS_COMPLEMENTOS!$C$4:$F$17,MATCH(B484&amp;"_"&amp;C484,PRECIOS_COMPLEMENTOS!$H$4:$H$17,0),IF(OR(G484="S",G484="20cm"),1,IF(OR(G484="M",G484="25cm"),2,IF(OR(G484="L",G484="30cm"),3,IF(OR(G484="XL",G484="35cm"),4,0))))),0)</f>
        <v>0.4</v>
      </c>
      <c r="J484" s="103">
        <f t="shared" si="1"/>
        <v>0</v>
      </c>
      <c r="K484" s="104" t="str">
        <f>IF(H484&lt;0,"ERROR",IF(H484=0,"",IF(H484&lt;CONFIG!$B$4,"CRÍTICO",IF(H484&lt;CONFIG!$B$5,"BAJO","OK"))))</f>
        <v/>
      </c>
    </row>
    <row r="485" ht="15.75" hidden="1" customHeight="1">
      <c r="A485" s="90" t="str">
        <f>IF(CLIENTES!A7="","",CLIENTES!A7)</f>
        <v/>
      </c>
      <c r="B485" s="90" t="s">
        <v>321</v>
      </c>
      <c r="C485" s="91" t="s">
        <v>326</v>
      </c>
      <c r="D485" s="109" t="s">
        <v>353</v>
      </c>
      <c r="E485" s="67" t="str">
        <f>COLORES!A4</f>
        <v>Negro</v>
      </c>
      <c r="F485" s="67" t="str">
        <f>COLORES!B4</f>
        <v>OSCURO</v>
      </c>
      <c r="G485" s="90" t="s">
        <v>376</v>
      </c>
      <c r="H485" s="100">
        <f>IFERROR(SUMIFS(MOVIMIENTOS_COMPLEMENTOS!$I$4:$I$803,MOVIMIENTOS_COMPLEMENTOS!$C$4:$C$803,A485,MOVIMIENTOS_COMPLEMENTOS!$D$4:$D$803,B485,MOVIMIENTOS_COMPLEMENTOS!$E$4:$E$803,C485,MOVIMIENTOS_COMPLEMENTOS!$G$4:$G$803,E485,MOVIMIENTOS_COMPLEMENTOS!$H$4:$H$803,G485,MOVIMIENTOS_COMPLEMENTOS!$B$4:$B$803,"INGRESO")+SUMIFS(MOVIMIENTOS_COMPLEMENTOS!$I$4:$I$803,MOVIMIENTOS_COMPLEMENTOS!$C$4:$C$803,A485,MOVIMIENTOS_COMPLEMENTOS!$D$4:$D$803,B485,MOVIMIENTOS_COMPLEMENTOS!$E$4:$E$803,C485,MOVIMIENTOS_COMPLEMENTOS!$G$4:$G$803,E485,MOVIMIENTOS_COMPLEMENTOS!$H$4:$H$803,G485,MOVIMIENTOS_COMPLEMENTOS!$B$4:$B$803,"DE CORTE")-SUMIFS(MOVIMIENTOS_COMPLEMENTOS!$I$4:$I$803,MOVIMIENTOS_COMPLEMENTOS!$C$4:$C$803,A485,MOVIMIENTOS_COMPLEMENTOS!$D$4:$D$803,B485,MOVIMIENTOS_COMPLEMENTOS!$E$4:$E$803,C485,MOVIMIENTOS_COMPLEMENTOS!$G$4:$G$803,E485,MOVIMIENTOS_COMPLEMENTOS!$H$4:$H$803,G485,MOVIMIENTOS_COMPLEMENTOS!$B$4:$B$803,"SALIDA"),0)</f>
        <v>0</v>
      </c>
      <c r="I485" s="102">
        <f t="array" ref="I485">IFERROR(INDEX(PRECIOS_COMPLEMENTOS!$C$4:$F$17,MATCH(B485&amp;"_"&amp;C485,PRECIOS_COMPLEMENTOS!$H$4:$H$17,0),IF(OR(G485="S",G485="20cm"),1,IF(OR(G485="M",G485="25cm"),2,IF(OR(G485="L",G485="30cm"),3,IF(OR(G485="XL",G485="35cm"),4,0))))),0)</f>
        <v>0.45</v>
      </c>
      <c r="J485" s="103">
        <f t="shared" si="1"/>
        <v>0</v>
      </c>
      <c r="K485" s="104" t="str">
        <f>IF(H485&lt;0,"ERROR",IF(H485=0,"",IF(H485&lt;CONFIG!$B$4,"CRÍTICO",IF(H485&lt;CONFIG!$B$5,"BAJO","OK"))))</f>
        <v/>
      </c>
    </row>
    <row r="486" ht="15.75" hidden="1" customHeight="1">
      <c r="A486" s="90" t="str">
        <f>IF(CLIENTES!A7="","",CLIENTES!A7)</f>
        <v/>
      </c>
      <c r="B486" s="90" t="s">
        <v>321</v>
      </c>
      <c r="C486" s="91" t="s">
        <v>326</v>
      </c>
      <c r="D486" s="109" t="s">
        <v>353</v>
      </c>
      <c r="E486" s="67" t="str">
        <f>COLORES!A4</f>
        <v>Negro</v>
      </c>
      <c r="F486" s="67" t="str">
        <f>COLORES!B4</f>
        <v>OSCURO</v>
      </c>
      <c r="G486" s="90" t="s">
        <v>377</v>
      </c>
      <c r="H486" s="100">
        <f>IFERROR(SUMIFS(MOVIMIENTOS_COMPLEMENTOS!$I$4:$I$803,MOVIMIENTOS_COMPLEMENTOS!$C$4:$C$803,A486,MOVIMIENTOS_COMPLEMENTOS!$D$4:$D$803,B486,MOVIMIENTOS_COMPLEMENTOS!$E$4:$E$803,C486,MOVIMIENTOS_COMPLEMENTOS!$G$4:$G$803,E486,MOVIMIENTOS_COMPLEMENTOS!$H$4:$H$803,G486,MOVIMIENTOS_COMPLEMENTOS!$B$4:$B$803,"INGRESO")+SUMIFS(MOVIMIENTOS_COMPLEMENTOS!$I$4:$I$803,MOVIMIENTOS_COMPLEMENTOS!$C$4:$C$803,A486,MOVIMIENTOS_COMPLEMENTOS!$D$4:$D$803,B486,MOVIMIENTOS_COMPLEMENTOS!$E$4:$E$803,C486,MOVIMIENTOS_COMPLEMENTOS!$G$4:$G$803,E486,MOVIMIENTOS_COMPLEMENTOS!$H$4:$H$803,G486,MOVIMIENTOS_COMPLEMENTOS!$B$4:$B$803,"DE CORTE")-SUMIFS(MOVIMIENTOS_COMPLEMENTOS!$I$4:$I$803,MOVIMIENTOS_COMPLEMENTOS!$C$4:$C$803,A486,MOVIMIENTOS_COMPLEMENTOS!$D$4:$D$803,B486,MOVIMIENTOS_COMPLEMENTOS!$E$4:$E$803,C486,MOVIMIENTOS_COMPLEMENTOS!$G$4:$G$803,E486,MOVIMIENTOS_COMPLEMENTOS!$H$4:$H$803,G486,MOVIMIENTOS_COMPLEMENTOS!$B$4:$B$803,"SALIDA"),0)</f>
        <v>0</v>
      </c>
      <c r="I486" s="102">
        <f t="array" ref="I486">IFERROR(INDEX(PRECIOS_COMPLEMENTOS!$C$4:$F$17,MATCH(B486&amp;"_"&amp;C486,PRECIOS_COMPLEMENTOS!$H$4:$H$17,0),IF(OR(G486="S",G486="20cm"),1,IF(OR(G486="M",G486="25cm"),2,IF(OR(G486="L",G486="30cm"),3,IF(OR(G486="XL",G486="35cm"),4,0))))),0)</f>
        <v>0.5</v>
      </c>
      <c r="J486" s="103">
        <f t="shared" si="1"/>
        <v>0</v>
      </c>
      <c r="K486" s="104" t="str">
        <f>IF(H486&lt;0,"ERROR",IF(H486=0,"",IF(H486&lt;CONFIG!$B$4,"CRÍTICO",IF(H486&lt;CONFIG!$B$5,"BAJO","OK"))))</f>
        <v/>
      </c>
    </row>
    <row r="487" ht="15.75" hidden="1" customHeight="1">
      <c r="A487" s="90" t="str">
        <f>IF(CLIENTES!A7="","",CLIENTES!A7)</f>
        <v/>
      </c>
      <c r="B487" s="90" t="s">
        <v>321</v>
      </c>
      <c r="C487" s="91" t="s">
        <v>326</v>
      </c>
      <c r="D487" s="109" t="s">
        <v>353</v>
      </c>
      <c r="E487" s="67" t="str">
        <f>COLORES!A4</f>
        <v>Negro</v>
      </c>
      <c r="F487" s="67" t="str">
        <f>COLORES!B4</f>
        <v>OSCURO</v>
      </c>
      <c r="G487" s="90" t="s">
        <v>379</v>
      </c>
      <c r="H487" s="100">
        <f>IFERROR(SUMIFS(MOVIMIENTOS_COMPLEMENTOS!$I$4:$I$803,MOVIMIENTOS_COMPLEMENTOS!$C$4:$C$803,A487,MOVIMIENTOS_COMPLEMENTOS!$D$4:$D$803,B487,MOVIMIENTOS_COMPLEMENTOS!$E$4:$E$803,C487,MOVIMIENTOS_COMPLEMENTOS!$G$4:$G$803,E487,MOVIMIENTOS_COMPLEMENTOS!$H$4:$H$803,G487,MOVIMIENTOS_COMPLEMENTOS!$B$4:$B$803,"INGRESO")+SUMIFS(MOVIMIENTOS_COMPLEMENTOS!$I$4:$I$803,MOVIMIENTOS_COMPLEMENTOS!$C$4:$C$803,A487,MOVIMIENTOS_COMPLEMENTOS!$D$4:$D$803,B487,MOVIMIENTOS_COMPLEMENTOS!$E$4:$E$803,C487,MOVIMIENTOS_COMPLEMENTOS!$G$4:$G$803,E487,MOVIMIENTOS_COMPLEMENTOS!$H$4:$H$803,G487,MOVIMIENTOS_COMPLEMENTOS!$B$4:$B$803,"DE CORTE")-SUMIFS(MOVIMIENTOS_COMPLEMENTOS!$I$4:$I$803,MOVIMIENTOS_COMPLEMENTOS!$C$4:$C$803,A487,MOVIMIENTOS_COMPLEMENTOS!$D$4:$D$803,B487,MOVIMIENTOS_COMPLEMENTOS!$E$4:$E$803,C487,MOVIMIENTOS_COMPLEMENTOS!$G$4:$G$803,E487,MOVIMIENTOS_COMPLEMENTOS!$H$4:$H$803,G487,MOVIMIENTOS_COMPLEMENTOS!$B$4:$B$803,"SALIDA"),0)</f>
        <v>0</v>
      </c>
      <c r="I487" s="102">
        <f t="array" ref="I487">IFERROR(INDEX(PRECIOS_COMPLEMENTOS!$C$4:$F$17,MATCH(B487&amp;"_"&amp;C487,PRECIOS_COMPLEMENTOS!$H$4:$H$17,0),IF(OR(G487="S",G487="20cm"),1,IF(OR(G487="M",G487="25cm"),2,IF(OR(G487="L",G487="30cm"),3,IF(OR(G487="XL",G487="35cm"),4,0))))),0)</f>
        <v>0.55</v>
      </c>
      <c r="J487" s="103">
        <f t="shared" si="1"/>
        <v>0</v>
      </c>
      <c r="K487" s="104" t="str">
        <f>IF(H487&lt;0,"ERROR",IF(H487=0,"",IF(H487&lt;CONFIG!$B$4,"CRÍTICO",IF(H487&lt;CONFIG!$B$5,"BAJO","OK"))))</f>
        <v/>
      </c>
    </row>
    <row r="488" ht="15.75" hidden="1" customHeight="1">
      <c r="A488" s="90" t="str">
        <f>IF(CLIENTES!A7="","",CLIENTES!A7)</f>
        <v/>
      </c>
      <c r="B488" s="90" t="s">
        <v>321</v>
      </c>
      <c r="C488" s="91" t="s">
        <v>326</v>
      </c>
      <c r="D488" s="109" t="s">
        <v>353</v>
      </c>
      <c r="E488" s="67" t="str">
        <f>COLORES!A5</f>
        <v>Perla</v>
      </c>
      <c r="F488" s="67" t="str">
        <f>COLORES!B5</f>
        <v>PPT</v>
      </c>
      <c r="G488" s="90" t="s">
        <v>378</v>
      </c>
      <c r="H488" s="100">
        <f>IFERROR(SUMIFS(MOVIMIENTOS_COMPLEMENTOS!$I$4:$I$803,MOVIMIENTOS_COMPLEMENTOS!$C$4:$C$803,A488,MOVIMIENTOS_COMPLEMENTOS!$D$4:$D$803,B488,MOVIMIENTOS_COMPLEMENTOS!$E$4:$E$803,C488,MOVIMIENTOS_COMPLEMENTOS!$G$4:$G$803,E488,MOVIMIENTOS_COMPLEMENTOS!$H$4:$H$803,G488,MOVIMIENTOS_COMPLEMENTOS!$B$4:$B$803,"INGRESO")+SUMIFS(MOVIMIENTOS_COMPLEMENTOS!$I$4:$I$803,MOVIMIENTOS_COMPLEMENTOS!$C$4:$C$803,A488,MOVIMIENTOS_COMPLEMENTOS!$D$4:$D$803,B488,MOVIMIENTOS_COMPLEMENTOS!$E$4:$E$803,C488,MOVIMIENTOS_COMPLEMENTOS!$G$4:$G$803,E488,MOVIMIENTOS_COMPLEMENTOS!$H$4:$H$803,G488,MOVIMIENTOS_COMPLEMENTOS!$B$4:$B$803,"DE CORTE")-SUMIFS(MOVIMIENTOS_COMPLEMENTOS!$I$4:$I$803,MOVIMIENTOS_COMPLEMENTOS!$C$4:$C$803,A488,MOVIMIENTOS_COMPLEMENTOS!$D$4:$D$803,B488,MOVIMIENTOS_COMPLEMENTOS!$E$4:$E$803,C488,MOVIMIENTOS_COMPLEMENTOS!$G$4:$G$803,E488,MOVIMIENTOS_COMPLEMENTOS!$H$4:$H$803,G488,MOVIMIENTOS_COMPLEMENTOS!$B$4:$B$803,"SALIDA"),0)</f>
        <v>0</v>
      </c>
      <c r="I488" s="102">
        <f t="array" ref="I488">IFERROR(INDEX(PRECIOS_COMPLEMENTOS!$C$4:$F$17,MATCH(B488&amp;"_"&amp;C488,PRECIOS_COMPLEMENTOS!$H$4:$H$17,0),IF(OR(G488="S",G488="20cm"),1,IF(OR(G488="M",G488="25cm"),2,IF(OR(G488="L",G488="30cm"),3,IF(OR(G488="XL",G488="35cm"),4,0))))),0)</f>
        <v>0.4</v>
      </c>
      <c r="J488" s="103">
        <f t="shared" si="1"/>
        <v>0</v>
      </c>
      <c r="K488" s="104" t="str">
        <f>IF(H488&lt;0,"ERROR",IF(H488=0,"",IF(H488&lt;CONFIG!$B$4,"CRÍTICO",IF(H488&lt;CONFIG!$B$5,"BAJO","OK"))))</f>
        <v/>
      </c>
    </row>
    <row r="489" ht="15.75" hidden="1" customHeight="1">
      <c r="A489" s="90" t="str">
        <f>IF(CLIENTES!A7="","",CLIENTES!A7)</f>
        <v/>
      </c>
      <c r="B489" s="90" t="s">
        <v>321</v>
      </c>
      <c r="C489" s="91" t="s">
        <v>326</v>
      </c>
      <c r="D489" s="109" t="s">
        <v>353</v>
      </c>
      <c r="E489" s="67" t="str">
        <f>COLORES!A5</f>
        <v>Perla</v>
      </c>
      <c r="F489" s="67" t="str">
        <f>COLORES!B5</f>
        <v>PPT</v>
      </c>
      <c r="G489" s="90" t="s">
        <v>376</v>
      </c>
      <c r="H489" s="100">
        <f>IFERROR(SUMIFS(MOVIMIENTOS_COMPLEMENTOS!$I$4:$I$803,MOVIMIENTOS_COMPLEMENTOS!$C$4:$C$803,A489,MOVIMIENTOS_COMPLEMENTOS!$D$4:$D$803,B489,MOVIMIENTOS_COMPLEMENTOS!$E$4:$E$803,C489,MOVIMIENTOS_COMPLEMENTOS!$G$4:$G$803,E489,MOVIMIENTOS_COMPLEMENTOS!$H$4:$H$803,G489,MOVIMIENTOS_COMPLEMENTOS!$B$4:$B$803,"INGRESO")+SUMIFS(MOVIMIENTOS_COMPLEMENTOS!$I$4:$I$803,MOVIMIENTOS_COMPLEMENTOS!$C$4:$C$803,A489,MOVIMIENTOS_COMPLEMENTOS!$D$4:$D$803,B489,MOVIMIENTOS_COMPLEMENTOS!$E$4:$E$803,C489,MOVIMIENTOS_COMPLEMENTOS!$G$4:$G$803,E489,MOVIMIENTOS_COMPLEMENTOS!$H$4:$H$803,G489,MOVIMIENTOS_COMPLEMENTOS!$B$4:$B$803,"DE CORTE")-SUMIFS(MOVIMIENTOS_COMPLEMENTOS!$I$4:$I$803,MOVIMIENTOS_COMPLEMENTOS!$C$4:$C$803,A489,MOVIMIENTOS_COMPLEMENTOS!$D$4:$D$803,B489,MOVIMIENTOS_COMPLEMENTOS!$E$4:$E$803,C489,MOVIMIENTOS_COMPLEMENTOS!$G$4:$G$803,E489,MOVIMIENTOS_COMPLEMENTOS!$H$4:$H$803,G489,MOVIMIENTOS_COMPLEMENTOS!$B$4:$B$803,"SALIDA"),0)</f>
        <v>0</v>
      </c>
      <c r="I489" s="102">
        <f t="array" ref="I489">IFERROR(INDEX(PRECIOS_COMPLEMENTOS!$C$4:$F$17,MATCH(B489&amp;"_"&amp;C489,PRECIOS_COMPLEMENTOS!$H$4:$H$17,0),IF(OR(G489="S",G489="20cm"),1,IF(OR(G489="M",G489="25cm"),2,IF(OR(G489="L",G489="30cm"),3,IF(OR(G489="XL",G489="35cm"),4,0))))),0)</f>
        <v>0.45</v>
      </c>
      <c r="J489" s="103">
        <f t="shared" si="1"/>
        <v>0</v>
      </c>
      <c r="K489" s="104" t="str">
        <f>IF(H489&lt;0,"ERROR",IF(H489=0,"",IF(H489&lt;CONFIG!$B$4,"CRÍTICO",IF(H489&lt;CONFIG!$B$5,"BAJO","OK"))))</f>
        <v/>
      </c>
    </row>
    <row r="490" ht="15.75" hidden="1" customHeight="1">
      <c r="A490" s="90" t="str">
        <f>IF(CLIENTES!A7="","",CLIENTES!A7)</f>
        <v/>
      </c>
      <c r="B490" s="90" t="s">
        <v>321</v>
      </c>
      <c r="C490" s="91" t="s">
        <v>326</v>
      </c>
      <c r="D490" s="109" t="s">
        <v>353</v>
      </c>
      <c r="E490" s="67" t="str">
        <f>COLORES!A5</f>
        <v>Perla</v>
      </c>
      <c r="F490" s="67" t="str">
        <f>COLORES!B5</f>
        <v>PPT</v>
      </c>
      <c r="G490" s="90" t="s">
        <v>377</v>
      </c>
      <c r="H490" s="100">
        <f>IFERROR(SUMIFS(MOVIMIENTOS_COMPLEMENTOS!$I$4:$I$803,MOVIMIENTOS_COMPLEMENTOS!$C$4:$C$803,A490,MOVIMIENTOS_COMPLEMENTOS!$D$4:$D$803,B490,MOVIMIENTOS_COMPLEMENTOS!$E$4:$E$803,C490,MOVIMIENTOS_COMPLEMENTOS!$G$4:$G$803,E490,MOVIMIENTOS_COMPLEMENTOS!$H$4:$H$803,G490,MOVIMIENTOS_COMPLEMENTOS!$B$4:$B$803,"INGRESO")+SUMIFS(MOVIMIENTOS_COMPLEMENTOS!$I$4:$I$803,MOVIMIENTOS_COMPLEMENTOS!$C$4:$C$803,A490,MOVIMIENTOS_COMPLEMENTOS!$D$4:$D$803,B490,MOVIMIENTOS_COMPLEMENTOS!$E$4:$E$803,C490,MOVIMIENTOS_COMPLEMENTOS!$G$4:$G$803,E490,MOVIMIENTOS_COMPLEMENTOS!$H$4:$H$803,G490,MOVIMIENTOS_COMPLEMENTOS!$B$4:$B$803,"DE CORTE")-SUMIFS(MOVIMIENTOS_COMPLEMENTOS!$I$4:$I$803,MOVIMIENTOS_COMPLEMENTOS!$C$4:$C$803,A490,MOVIMIENTOS_COMPLEMENTOS!$D$4:$D$803,B490,MOVIMIENTOS_COMPLEMENTOS!$E$4:$E$803,C490,MOVIMIENTOS_COMPLEMENTOS!$G$4:$G$803,E490,MOVIMIENTOS_COMPLEMENTOS!$H$4:$H$803,G490,MOVIMIENTOS_COMPLEMENTOS!$B$4:$B$803,"SALIDA"),0)</f>
        <v>0</v>
      </c>
      <c r="I490" s="102">
        <f t="array" ref="I490">IFERROR(INDEX(PRECIOS_COMPLEMENTOS!$C$4:$F$17,MATCH(B490&amp;"_"&amp;C490,PRECIOS_COMPLEMENTOS!$H$4:$H$17,0),IF(OR(G490="S",G490="20cm"),1,IF(OR(G490="M",G490="25cm"),2,IF(OR(G490="L",G490="30cm"),3,IF(OR(G490="XL",G490="35cm"),4,0))))),0)</f>
        <v>0.5</v>
      </c>
      <c r="J490" s="103">
        <f t="shared" si="1"/>
        <v>0</v>
      </c>
      <c r="K490" s="104" t="str">
        <f>IF(H490&lt;0,"ERROR",IF(H490=0,"",IF(H490&lt;CONFIG!$B$4,"CRÍTICO",IF(H490&lt;CONFIG!$B$5,"BAJO","OK"))))</f>
        <v/>
      </c>
    </row>
    <row r="491" ht="15.75" hidden="1" customHeight="1">
      <c r="A491" s="90" t="str">
        <f>IF(CLIENTES!A7="","",CLIENTES!A7)</f>
        <v/>
      </c>
      <c r="B491" s="90" t="s">
        <v>321</v>
      </c>
      <c r="C491" s="91" t="s">
        <v>326</v>
      </c>
      <c r="D491" s="109" t="s">
        <v>353</v>
      </c>
      <c r="E491" s="67" t="str">
        <f>COLORES!A5</f>
        <v>Perla</v>
      </c>
      <c r="F491" s="67" t="str">
        <f>COLORES!B5</f>
        <v>PPT</v>
      </c>
      <c r="G491" s="90" t="s">
        <v>379</v>
      </c>
      <c r="H491" s="100">
        <f>IFERROR(SUMIFS(MOVIMIENTOS_COMPLEMENTOS!$I$4:$I$803,MOVIMIENTOS_COMPLEMENTOS!$C$4:$C$803,A491,MOVIMIENTOS_COMPLEMENTOS!$D$4:$D$803,B491,MOVIMIENTOS_COMPLEMENTOS!$E$4:$E$803,C491,MOVIMIENTOS_COMPLEMENTOS!$G$4:$G$803,E491,MOVIMIENTOS_COMPLEMENTOS!$H$4:$H$803,G491,MOVIMIENTOS_COMPLEMENTOS!$B$4:$B$803,"INGRESO")+SUMIFS(MOVIMIENTOS_COMPLEMENTOS!$I$4:$I$803,MOVIMIENTOS_COMPLEMENTOS!$C$4:$C$803,A491,MOVIMIENTOS_COMPLEMENTOS!$D$4:$D$803,B491,MOVIMIENTOS_COMPLEMENTOS!$E$4:$E$803,C491,MOVIMIENTOS_COMPLEMENTOS!$G$4:$G$803,E491,MOVIMIENTOS_COMPLEMENTOS!$H$4:$H$803,G491,MOVIMIENTOS_COMPLEMENTOS!$B$4:$B$803,"DE CORTE")-SUMIFS(MOVIMIENTOS_COMPLEMENTOS!$I$4:$I$803,MOVIMIENTOS_COMPLEMENTOS!$C$4:$C$803,A491,MOVIMIENTOS_COMPLEMENTOS!$D$4:$D$803,B491,MOVIMIENTOS_COMPLEMENTOS!$E$4:$E$803,C491,MOVIMIENTOS_COMPLEMENTOS!$G$4:$G$803,E491,MOVIMIENTOS_COMPLEMENTOS!$H$4:$H$803,G491,MOVIMIENTOS_COMPLEMENTOS!$B$4:$B$803,"SALIDA"),0)</f>
        <v>0</v>
      </c>
      <c r="I491" s="102">
        <f t="array" ref="I491">IFERROR(INDEX(PRECIOS_COMPLEMENTOS!$C$4:$F$17,MATCH(B491&amp;"_"&amp;C491,PRECIOS_COMPLEMENTOS!$H$4:$H$17,0),IF(OR(G491="S",G491="20cm"),1,IF(OR(G491="M",G491="25cm"),2,IF(OR(G491="L",G491="30cm"),3,IF(OR(G491="XL",G491="35cm"),4,0))))),0)</f>
        <v>0.55</v>
      </c>
      <c r="J491" s="103">
        <f t="shared" si="1"/>
        <v>0</v>
      </c>
      <c r="K491" s="104" t="str">
        <f>IF(H491&lt;0,"ERROR",IF(H491=0,"",IF(H491&lt;CONFIG!$B$4,"CRÍTICO",IF(H491&lt;CONFIG!$B$5,"BAJO","OK"))))</f>
        <v/>
      </c>
    </row>
    <row r="492" ht="15.75" hidden="1" customHeight="1">
      <c r="A492" s="90" t="str">
        <f>IF(CLIENTES!A7="","",CLIENTES!A7)</f>
        <v/>
      </c>
      <c r="B492" s="90" t="s">
        <v>321</v>
      </c>
      <c r="C492" s="91" t="s">
        <v>326</v>
      </c>
      <c r="D492" s="109" t="s">
        <v>353</v>
      </c>
      <c r="E492" s="67" t="str">
        <f>COLORES!A6</f>
        <v>Blanco</v>
      </c>
      <c r="F492" s="67" t="str">
        <f>COLORES!B6</f>
        <v>PPT</v>
      </c>
      <c r="G492" s="90" t="s">
        <v>378</v>
      </c>
      <c r="H492" s="100">
        <f>IFERROR(SUMIFS(MOVIMIENTOS_COMPLEMENTOS!$I$4:$I$803,MOVIMIENTOS_COMPLEMENTOS!$C$4:$C$803,A492,MOVIMIENTOS_COMPLEMENTOS!$D$4:$D$803,B492,MOVIMIENTOS_COMPLEMENTOS!$E$4:$E$803,C492,MOVIMIENTOS_COMPLEMENTOS!$G$4:$G$803,E492,MOVIMIENTOS_COMPLEMENTOS!$H$4:$H$803,G492,MOVIMIENTOS_COMPLEMENTOS!$B$4:$B$803,"INGRESO")+SUMIFS(MOVIMIENTOS_COMPLEMENTOS!$I$4:$I$803,MOVIMIENTOS_COMPLEMENTOS!$C$4:$C$803,A492,MOVIMIENTOS_COMPLEMENTOS!$D$4:$D$803,B492,MOVIMIENTOS_COMPLEMENTOS!$E$4:$E$803,C492,MOVIMIENTOS_COMPLEMENTOS!$G$4:$G$803,E492,MOVIMIENTOS_COMPLEMENTOS!$H$4:$H$803,G492,MOVIMIENTOS_COMPLEMENTOS!$B$4:$B$803,"DE CORTE")-SUMIFS(MOVIMIENTOS_COMPLEMENTOS!$I$4:$I$803,MOVIMIENTOS_COMPLEMENTOS!$C$4:$C$803,A492,MOVIMIENTOS_COMPLEMENTOS!$D$4:$D$803,B492,MOVIMIENTOS_COMPLEMENTOS!$E$4:$E$803,C492,MOVIMIENTOS_COMPLEMENTOS!$G$4:$G$803,E492,MOVIMIENTOS_COMPLEMENTOS!$H$4:$H$803,G492,MOVIMIENTOS_COMPLEMENTOS!$B$4:$B$803,"SALIDA"),0)</f>
        <v>0</v>
      </c>
      <c r="I492" s="102">
        <f t="array" ref="I492">IFERROR(INDEX(PRECIOS_COMPLEMENTOS!$C$4:$F$17,MATCH(B492&amp;"_"&amp;C492,PRECIOS_COMPLEMENTOS!$H$4:$H$17,0),IF(OR(G492="S",G492="20cm"),1,IF(OR(G492="M",G492="25cm"),2,IF(OR(G492="L",G492="30cm"),3,IF(OR(G492="XL",G492="35cm"),4,0))))),0)</f>
        <v>0.4</v>
      </c>
      <c r="J492" s="103">
        <f t="shared" si="1"/>
        <v>0</v>
      </c>
      <c r="K492" s="104" t="str">
        <f>IF(H492&lt;0,"ERROR",IF(H492=0,"",IF(H492&lt;CONFIG!$B$4,"CRÍTICO",IF(H492&lt;CONFIG!$B$5,"BAJO","OK"))))</f>
        <v/>
      </c>
    </row>
    <row r="493" ht="15.75" hidden="1" customHeight="1">
      <c r="A493" s="90" t="str">
        <f>IF(CLIENTES!A7="","",CLIENTES!A7)</f>
        <v/>
      </c>
      <c r="B493" s="90" t="s">
        <v>321</v>
      </c>
      <c r="C493" s="91" t="s">
        <v>326</v>
      </c>
      <c r="D493" s="109" t="s">
        <v>353</v>
      </c>
      <c r="E493" s="67" t="str">
        <f>COLORES!A6</f>
        <v>Blanco</v>
      </c>
      <c r="F493" s="67" t="str">
        <f>COLORES!B6</f>
        <v>PPT</v>
      </c>
      <c r="G493" s="90" t="s">
        <v>376</v>
      </c>
      <c r="H493" s="100">
        <f>IFERROR(SUMIFS(MOVIMIENTOS_COMPLEMENTOS!$I$4:$I$803,MOVIMIENTOS_COMPLEMENTOS!$C$4:$C$803,A493,MOVIMIENTOS_COMPLEMENTOS!$D$4:$D$803,B493,MOVIMIENTOS_COMPLEMENTOS!$E$4:$E$803,C493,MOVIMIENTOS_COMPLEMENTOS!$G$4:$G$803,E493,MOVIMIENTOS_COMPLEMENTOS!$H$4:$H$803,G493,MOVIMIENTOS_COMPLEMENTOS!$B$4:$B$803,"INGRESO")+SUMIFS(MOVIMIENTOS_COMPLEMENTOS!$I$4:$I$803,MOVIMIENTOS_COMPLEMENTOS!$C$4:$C$803,A493,MOVIMIENTOS_COMPLEMENTOS!$D$4:$D$803,B493,MOVIMIENTOS_COMPLEMENTOS!$E$4:$E$803,C493,MOVIMIENTOS_COMPLEMENTOS!$G$4:$G$803,E493,MOVIMIENTOS_COMPLEMENTOS!$H$4:$H$803,G493,MOVIMIENTOS_COMPLEMENTOS!$B$4:$B$803,"DE CORTE")-SUMIFS(MOVIMIENTOS_COMPLEMENTOS!$I$4:$I$803,MOVIMIENTOS_COMPLEMENTOS!$C$4:$C$803,A493,MOVIMIENTOS_COMPLEMENTOS!$D$4:$D$803,B493,MOVIMIENTOS_COMPLEMENTOS!$E$4:$E$803,C493,MOVIMIENTOS_COMPLEMENTOS!$G$4:$G$803,E493,MOVIMIENTOS_COMPLEMENTOS!$H$4:$H$803,G493,MOVIMIENTOS_COMPLEMENTOS!$B$4:$B$803,"SALIDA"),0)</f>
        <v>0</v>
      </c>
      <c r="I493" s="102">
        <f t="array" ref="I493">IFERROR(INDEX(PRECIOS_COMPLEMENTOS!$C$4:$F$17,MATCH(B493&amp;"_"&amp;C493,PRECIOS_COMPLEMENTOS!$H$4:$H$17,0),IF(OR(G493="S",G493="20cm"),1,IF(OR(G493="M",G493="25cm"),2,IF(OR(G493="L",G493="30cm"),3,IF(OR(G493="XL",G493="35cm"),4,0))))),0)</f>
        <v>0.45</v>
      </c>
      <c r="J493" s="103">
        <f t="shared" si="1"/>
        <v>0</v>
      </c>
      <c r="K493" s="104" t="str">
        <f>IF(H493&lt;0,"ERROR",IF(H493=0,"",IF(H493&lt;CONFIG!$B$4,"CRÍTICO",IF(H493&lt;CONFIG!$B$5,"BAJO","OK"))))</f>
        <v/>
      </c>
    </row>
    <row r="494" ht="15.75" hidden="1" customHeight="1">
      <c r="A494" s="90" t="str">
        <f>IF(CLIENTES!A7="","",CLIENTES!A7)</f>
        <v/>
      </c>
      <c r="B494" s="90" t="s">
        <v>321</v>
      </c>
      <c r="C494" s="91" t="s">
        <v>326</v>
      </c>
      <c r="D494" s="109" t="s">
        <v>353</v>
      </c>
      <c r="E494" s="67" t="str">
        <f>COLORES!A6</f>
        <v>Blanco</v>
      </c>
      <c r="F494" s="67" t="str">
        <f>COLORES!B6</f>
        <v>PPT</v>
      </c>
      <c r="G494" s="90" t="s">
        <v>377</v>
      </c>
      <c r="H494" s="100">
        <f>IFERROR(SUMIFS(MOVIMIENTOS_COMPLEMENTOS!$I$4:$I$803,MOVIMIENTOS_COMPLEMENTOS!$C$4:$C$803,A494,MOVIMIENTOS_COMPLEMENTOS!$D$4:$D$803,B494,MOVIMIENTOS_COMPLEMENTOS!$E$4:$E$803,C494,MOVIMIENTOS_COMPLEMENTOS!$G$4:$G$803,E494,MOVIMIENTOS_COMPLEMENTOS!$H$4:$H$803,G494,MOVIMIENTOS_COMPLEMENTOS!$B$4:$B$803,"INGRESO")+SUMIFS(MOVIMIENTOS_COMPLEMENTOS!$I$4:$I$803,MOVIMIENTOS_COMPLEMENTOS!$C$4:$C$803,A494,MOVIMIENTOS_COMPLEMENTOS!$D$4:$D$803,B494,MOVIMIENTOS_COMPLEMENTOS!$E$4:$E$803,C494,MOVIMIENTOS_COMPLEMENTOS!$G$4:$G$803,E494,MOVIMIENTOS_COMPLEMENTOS!$H$4:$H$803,G494,MOVIMIENTOS_COMPLEMENTOS!$B$4:$B$803,"DE CORTE")-SUMIFS(MOVIMIENTOS_COMPLEMENTOS!$I$4:$I$803,MOVIMIENTOS_COMPLEMENTOS!$C$4:$C$803,A494,MOVIMIENTOS_COMPLEMENTOS!$D$4:$D$803,B494,MOVIMIENTOS_COMPLEMENTOS!$E$4:$E$803,C494,MOVIMIENTOS_COMPLEMENTOS!$G$4:$G$803,E494,MOVIMIENTOS_COMPLEMENTOS!$H$4:$H$803,G494,MOVIMIENTOS_COMPLEMENTOS!$B$4:$B$803,"SALIDA"),0)</f>
        <v>0</v>
      </c>
      <c r="I494" s="102">
        <f t="array" ref="I494">IFERROR(INDEX(PRECIOS_COMPLEMENTOS!$C$4:$F$17,MATCH(B494&amp;"_"&amp;C494,PRECIOS_COMPLEMENTOS!$H$4:$H$17,0),IF(OR(G494="S",G494="20cm"),1,IF(OR(G494="M",G494="25cm"),2,IF(OR(G494="L",G494="30cm"),3,IF(OR(G494="XL",G494="35cm"),4,0))))),0)</f>
        <v>0.5</v>
      </c>
      <c r="J494" s="103">
        <f t="shared" si="1"/>
        <v>0</v>
      </c>
      <c r="K494" s="104" t="str">
        <f>IF(H494&lt;0,"ERROR",IF(H494=0,"",IF(H494&lt;CONFIG!$B$4,"CRÍTICO",IF(H494&lt;CONFIG!$B$5,"BAJO","OK"))))</f>
        <v/>
      </c>
    </row>
    <row r="495" ht="15.75" hidden="1" customHeight="1">
      <c r="A495" s="90" t="str">
        <f>IF(CLIENTES!A7="","",CLIENTES!A7)</f>
        <v/>
      </c>
      <c r="B495" s="90" t="s">
        <v>321</v>
      </c>
      <c r="C495" s="91" t="s">
        <v>326</v>
      </c>
      <c r="D495" s="109" t="s">
        <v>353</v>
      </c>
      <c r="E495" s="67" t="str">
        <f>COLORES!A6</f>
        <v>Blanco</v>
      </c>
      <c r="F495" s="67" t="str">
        <f>COLORES!B6</f>
        <v>PPT</v>
      </c>
      <c r="G495" s="90" t="s">
        <v>379</v>
      </c>
      <c r="H495" s="100">
        <f>IFERROR(SUMIFS(MOVIMIENTOS_COMPLEMENTOS!$I$4:$I$803,MOVIMIENTOS_COMPLEMENTOS!$C$4:$C$803,A495,MOVIMIENTOS_COMPLEMENTOS!$D$4:$D$803,B495,MOVIMIENTOS_COMPLEMENTOS!$E$4:$E$803,C495,MOVIMIENTOS_COMPLEMENTOS!$G$4:$G$803,E495,MOVIMIENTOS_COMPLEMENTOS!$H$4:$H$803,G495,MOVIMIENTOS_COMPLEMENTOS!$B$4:$B$803,"INGRESO")+SUMIFS(MOVIMIENTOS_COMPLEMENTOS!$I$4:$I$803,MOVIMIENTOS_COMPLEMENTOS!$C$4:$C$803,A495,MOVIMIENTOS_COMPLEMENTOS!$D$4:$D$803,B495,MOVIMIENTOS_COMPLEMENTOS!$E$4:$E$803,C495,MOVIMIENTOS_COMPLEMENTOS!$G$4:$G$803,E495,MOVIMIENTOS_COMPLEMENTOS!$H$4:$H$803,G495,MOVIMIENTOS_COMPLEMENTOS!$B$4:$B$803,"DE CORTE")-SUMIFS(MOVIMIENTOS_COMPLEMENTOS!$I$4:$I$803,MOVIMIENTOS_COMPLEMENTOS!$C$4:$C$803,A495,MOVIMIENTOS_COMPLEMENTOS!$D$4:$D$803,B495,MOVIMIENTOS_COMPLEMENTOS!$E$4:$E$803,C495,MOVIMIENTOS_COMPLEMENTOS!$G$4:$G$803,E495,MOVIMIENTOS_COMPLEMENTOS!$H$4:$H$803,G495,MOVIMIENTOS_COMPLEMENTOS!$B$4:$B$803,"SALIDA"),0)</f>
        <v>0</v>
      </c>
      <c r="I495" s="102">
        <f t="array" ref="I495">IFERROR(INDEX(PRECIOS_COMPLEMENTOS!$C$4:$F$17,MATCH(B495&amp;"_"&amp;C495,PRECIOS_COMPLEMENTOS!$H$4:$H$17,0),IF(OR(G495="S",G495="20cm"),1,IF(OR(G495="M",G495="25cm"),2,IF(OR(G495="L",G495="30cm"),3,IF(OR(G495="XL",G495="35cm"),4,0))))),0)</f>
        <v>0.55</v>
      </c>
      <c r="J495" s="103">
        <f t="shared" si="1"/>
        <v>0</v>
      </c>
      <c r="K495" s="104" t="str">
        <f>IF(H495&lt;0,"ERROR",IF(H495=0,"",IF(H495&lt;CONFIG!$B$4,"CRÍTICO",IF(H495&lt;CONFIG!$B$5,"BAJO","OK"))))</f>
        <v/>
      </c>
    </row>
    <row r="496" ht="15.75" hidden="1" customHeight="1">
      <c r="A496" s="90" t="str">
        <f>IF(CLIENTES!A7="","",CLIENTES!A7)</f>
        <v/>
      </c>
      <c r="B496" s="90" t="s">
        <v>321</v>
      </c>
      <c r="C496" s="91" t="s">
        <v>326</v>
      </c>
      <c r="D496" s="109" t="s">
        <v>353</v>
      </c>
      <c r="E496" s="67" t="str">
        <f>COLORES!A7</f>
        <v>Azul</v>
      </c>
      <c r="F496" s="67" t="str">
        <f>COLORES!B7</f>
        <v>OSCURO</v>
      </c>
      <c r="G496" s="90" t="s">
        <v>378</v>
      </c>
      <c r="H496" s="100">
        <f>IFERROR(SUMIFS(MOVIMIENTOS_COMPLEMENTOS!$I$4:$I$803,MOVIMIENTOS_COMPLEMENTOS!$C$4:$C$803,A496,MOVIMIENTOS_COMPLEMENTOS!$D$4:$D$803,B496,MOVIMIENTOS_COMPLEMENTOS!$E$4:$E$803,C496,MOVIMIENTOS_COMPLEMENTOS!$G$4:$G$803,E496,MOVIMIENTOS_COMPLEMENTOS!$H$4:$H$803,G496,MOVIMIENTOS_COMPLEMENTOS!$B$4:$B$803,"INGRESO")+SUMIFS(MOVIMIENTOS_COMPLEMENTOS!$I$4:$I$803,MOVIMIENTOS_COMPLEMENTOS!$C$4:$C$803,A496,MOVIMIENTOS_COMPLEMENTOS!$D$4:$D$803,B496,MOVIMIENTOS_COMPLEMENTOS!$E$4:$E$803,C496,MOVIMIENTOS_COMPLEMENTOS!$G$4:$G$803,E496,MOVIMIENTOS_COMPLEMENTOS!$H$4:$H$803,G496,MOVIMIENTOS_COMPLEMENTOS!$B$4:$B$803,"DE CORTE")-SUMIFS(MOVIMIENTOS_COMPLEMENTOS!$I$4:$I$803,MOVIMIENTOS_COMPLEMENTOS!$C$4:$C$803,A496,MOVIMIENTOS_COMPLEMENTOS!$D$4:$D$803,B496,MOVIMIENTOS_COMPLEMENTOS!$E$4:$E$803,C496,MOVIMIENTOS_COMPLEMENTOS!$G$4:$G$803,E496,MOVIMIENTOS_COMPLEMENTOS!$H$4:$H$803,G496,MOVIMIENTOS_COMPLEMENTOS!$B$4:$B$803,"SALIDA"),0)</f>
        <v>0</v>
      </c>
      <c r="I496" s="102">
        <f t="array" ref="I496">IFERROR(INDEX(PRECIOS_COMPLEMENTOS!$C$4:$F$17,MATCH(B496&amp;"_"&amp;C496,PRECIOS_COMPLEMENTOS!$H$4:$H$17,0),IF(OR(G496="S",G496="20cm"),1,IF(OR(G496="M",G496="25cm"),2,IF(OR(G496="L",G496="30cm"),3,IF(OR(G496="XL",G496="35cm"),4,0))))),0)</f>
        <v>0.4</v>
      </c>
      <c r="J496" s="103">
        <f t="shared" si="1"/>
        <v>0</v>
      </c>
      <c r="K496" s="104" t="str">
        <f>IF(H496&lt;0,"ERROR",IF(H496=0,"",IF(H496&lt;CONFIG!$B$4,"CRÍTICO",IF(H496&lt;CONFIG!$B$5,"BAJO","OK"))))</f>
        <v/>
      </c>
    </row>
    <row r="497" ht="15.75" hidden="1" customHeight="1">
      <c r="A497" s="90" t="str">
        <f>IF(CLIENTES!A7="","",CLIENTES!A7)</f>
        <v/>
      </c>
      <c r="B497" s="90" t="s">
        <v>321</v>
      </c>
      <c r="C497" s="91" t="s">
        <v>326</v>
      </c>
      <c r="D497" s="109" t="s">
        <v>353</v>
      </c>
      <c r="E497" s="67" t="str">
        <f>COLORES!A7</f>
        <v>Azul</v>
      </c>
      <c r="F497" s="67" t="str">
        <f>COLORES!B7</f>
        <v>OSCURO</v>
      </c>
      <c r="G497" s="90" t="s">
        <v>376</v>
      </c>
      <c r="H497" s="100">
        <f>IFERROR(SUMIFS(MOVIMIENTOS_COMPLEMENTOS!$I$4:$I$803,MOVIMIENTOS_COMPLEMENTOS!$C$4:$C$803,A497,MOVIMIENTOS_COMPLEMENTOS!$D$4:$D$803,B497,MOVIMIENTOS_COMPLEMENTOS!$E$4:$E$803,C497,MOVIMIENTOS_COMPLEMENTOS!$G$4:$G$803,E497,MOVIMIENTOS_COMPLEMENTOS!$H$4:$H$803,G497,MOVIMIENTOS_COMPLEMENTOS!$B$4:$B$803,"INGRESO")+SUMIFS(MOVIMIENTOS_COMPLEMENTOS!$I$4:$I$803,MOVIMIENTOS_COMPLEMENTOS!$C$4:$C$803,A497,MOVIMIENTOS_COMPLEMENTOS!$D$4:$D$803,B497,MOVIMIENTOS_COMPLEMENTOS!$E$4:$E$803,C497,MOVIMIENTOS_COMPLEMENTOS!$G$4:$G$803,E497,MOVIMIENTOS_COMPLEMENTOS!$H$4:$H$803,G497,MOVIMIENTOS_COMPLEMENTOS!$B$4:$B$803,"DE CORTE")-SUMIFS(MOVIMIENTOS_COMPLEMENTOS!$I$4:$I$803,MOVIMIENTOS_COMPLEMENTOS!$C$4:$C$803,A497,MOVIMIENTOS_COMPLEMENTOS!$D$4:$D$803,B497,MOVIMIENTOS_COMPLEMENTOS!$E$4:$E$803,C497,MOVIMIENTOS_COMPLEMENTOS!$G$4:$G$803,E497,MOVIMIENTOS_COMPLEMENTOS!$H$4:$H$803,G497,MOVIMIENTOS_COMPLEMENTOS!$B$4:$B$803,"SALIDA"),0)</f>
        <v>0</v>
      </c>
      <c r="I497" s="102">
        <f t="array" ref="I497">IFERROR(INDEX(PRECIOS_COMPLEMENTOS!$C$4:$F$17,MATCH(B497&amp;"_"&amp;C497,PRECIOS_COMPLEMENTOS!$H$4:$H$17,0),IF(OR(G497="S",G497="20cm"),1,IF(OR(G497="M",G497="25cm"),2,IF(OR(G497="L",G497="30cm"),3,IF(OR(G497="XL",G497="35cm"),4,0))))),0)</f>
        <v>0.45</v>
      </c>
      <c r="J497" s="103">
        <f t="shared" si="1"/>
        <v>0</v>
      </c>
      <c r="K497" s="104" t="str">
        <f>IF(H497&lt;0,"ERROR",IF(H497=0,"",IF(H497&lt;CONFIG!$B$4,"CRÍTICO",IF(H497&lt;CONFIG!$B$5,"BAJO","OK"))))</f>
        <v/>
      </c>
    </row>
    <row r="498" ht="15.75" hidden="1" customHeight="1">
      <c r="A498" s="90" t="str">
        <f>IF(CLIENTES!A7="","",CLIENTES!A7)</f>
        <v/>
      </c>
      <c r="B498" s="90" t="s">
        <v>321</v>
      </c>
      <c r="C498" s="91" t="s">
        <v>326</v>
      </c>
      <c r="D498" s="109" t="s">
        <v>353</v>
      </c>
      <c r="E498" s="67" t="str">
        <f>COLORES!A7</f>
        <v>Azul</v>
      </c>
      <c r="F498" s="67" t="str">
        <f>COLORES!B7</f>
        <v>OSCURO</v>
      </c>
      <c r="G498" s="90" t="s">
        <v>377</v>
      </c>
      <c r="H498" s="100">
        <f>IFERROR(SUMIFS(MOVIMIENTOS_COMPLEMENTOS!$I$4:$I$803,MOVIMIENTOS_COMPLEMENTOS!$C$4:$C$803,A498,MOVIMIENTOS_COMPLEMENTOS!$D$4:$D$803,B498,MOVIMIENTOS_COMPLEMENTOS!$E$4:$E$803,C498,MOVIMIENTOS_COMPLEMENTOS!$G$4:$G$803,E498,MOVIMIENTOS_COMPLEMENTOS!$H$4:$H$803,G498,MOVIMIENTOS_COMPLEMENTOS!$B$4:$B$803,"INGRESO")+SUMIFS(MOVIMIENTOS_COMPLEMENTOS!$I$4:$I$803,MOVIMIENTOS_COMPLEMENTOS!$C$4:$C$803,A498,MOVIMIENTOS_COMPLEMENTOS!$D$4:$D$803,B498,MOVIMIENTOS_COMPLEMENTOS!$E$4:$E$803,C498,MOVIMIENTOS_COMPLEMENTOS!$G$4:$G$803,E498,MOVIMIENTOS_COMPLEMENTOS!$H$4:$H$803,G498,MOVIMIENTOS_COMPLEMENTOS!$B$4:$B$803,"DE CORTE")-SUMIFS(MOVIMIENTOS_COMPLEMENTOS!$I$4:$I$803,MOVIMIENTOS_COMPLEMENTOS!$C$4:$C$803,A498,MOVIMIENTOS_COMPLEMENTOS!$D$4:$D$803,B498,MOVIMIENTOS_COMPLEMENTOS!$E$4:$E$803,C498,MOVIMIENTOS_COMPLEMENTOS!$G$4:$G$803,E498,MOVIMIENTOS_COMPLEMENTOS!$H$4:$H$803,G498,MOVIMIENTOS_COMPLEMENTOS!$B$4:$B$803,"SALIDA"),0)</f>
        <v>0</v>
      </c>
      <c r="I498" s="102">
        <f t="array" ref="I498">IFERROR(INDEX(PRECIOS_COMPLEMENTOS!$C$4:$F$17,MATCH(B498&amp;"_"&amp;C498,PRECIOS_COMPLEMENTOS!$H$4:$H$17,0),IF(OR(G498="S",G498="20cm"),1,IF(OR(G498="M",G498="25cm"),2,IF(OR(G498="L",G498="30cm"),3,IF(OR(G498="XL",G498="35cm"),4,0))))),0)</f>
        <v>0.5</v>
      </c>
      <c r="J498" s="103">
        <f t="shared" si="1"/>
        <v>0</v>
      </c>
      <c r="K498" s="104" t="str">
        <f>IF(H498&lt;0,"ERROR",IF(H498=0,"",IF(H498&lt;CONFIG!$B$4,"CRÍTICO",IF(H498&lt;CONFIG!$B$5,"BAJO","OK"))))</f>
        <v/>
      </c>
    </row>
    <row r="499" ht="15.75" hidden="1" customHeight="1">
      <c r="A499" s="90" t="str">
        <f>IF(CLIENTES!A7="","",CLIENTES!A7)</f>
        <v/>
      </c>
      <c r="B499" s="90" t="s">
        <v>321</v>
      </c>
      <c r="C499" s="91" t="s">
        <v>326</v>
      </c>
      <c r="D499" s="109" t="s">
        <v>353</v>
      </c>
      <c r="E499" s="67" t="str">
        <f>COLORES!A7</f>
        <v>Azul</v>
      </c>
      <c r="F499" s="67" t="str">
        <f>COLORES!B7</f>
        <v>OSCURO</v>
      </c>
      <c r="G499" s="90" t="s">
        <v>379</v>
      </c>
      <c r="H499" s="100">
        <f>IFERROR(SUMIFS(MOVIMIENTOS_COMPLEMENTOS!$I$4:$I$803,MOVIMIENTOS_COMPLEMENTOS!$C$4:$C$803,A499,MOVIMIENTOS_COMPLEMENTOS!$D$4:$D$803,B499,MOVIMIENTOS_COMPLEMENTOS!$E$4:$E$803,C499,MOVIMIENTOS_COMPLEMENTOS!$G$4:$G$803,E499,MOVIMIENTOS_COMPLEMENTOS!$H$4:$H$803,G499,MOVIMIENTOS_COMPLEMENTOS!$B$4:$B$803,"INGRESO")+SUMIFS(MOVIMIENTOS_COMPLEMENTOS!$I$4:$I$803,MOVIMIENTOS_COMPLEMENTOS!$C$4:$C$803,A499,MOVIMIENTOS_COMPLEMENTOS!$D$4:$D$803,B499,MOVIMIENTOS_COMPLEMENTOS!$E$4:$E$803,C499,MOVIMIENTOS_COMPLEMENTOS!$G$4:$G$803,E499,MOVIMIENTOS_COMPLEMENTOS!$H$4:$H$803,G499,MOVIMIENTOS_COMPLEMENTOS!$B$4:$B$803,"DE CORTE")-SUMIFS(MOVIMIENTOS_COMPLEMENTOS!$I$4:$I$803,MOVIMIENTOS_COMPLEMENTOS!$C$4:$C$803,A499,MOVIMIENTOS_COMPLEMENTOS!$D$4:$D$803,B499,MOVIMIENTOS_COMPLEMENTOS!$E$4:$E$803,C499,MOVIMIENTOS_COMPLEMENTOS!$G$4:$G$803,E499,MOVIMIENTOS_COMPLEMENTOS!$H$4:$H$803,G499,MOVIMIENTOS_COMPLEMENTOS!$B$4:$B$803,"SALIDA"),0)</f>
        <v>0</v>
      </c>
      <c r="I499" s="102">
        <f t="array" ref="I499">IFERROR(INDEX(PRECIOS_COMPLEMENTOS!$C$4:$F$17,MATCH(B499&amp;"_"&amp;C499,PRECIOS_COMPLEMENTOS!$H$4:$H$17,0),IF(OR(G499="S",G499="20cm"),1,IF(OR(G499="M",G499="25cm"),2,IF(OR(G499="L",G499="30cm"),3,IF(OR(G499="XL",G499="35cm"),4,0))))),0)</f>
        <v>0.55</v>
      </c>
      <c r="J499" s="103">
        <f t="shared" si="1"/>
        <v>0</v>
      </c>
      <c r="K499" s="104" t="str">
        <f>IF(H499&lt;0,"ERROR",IF(H499=0,"",IF(H499&lt;CONFIG!$B$4,"CRÍTICO",IF(H499&lt;CONFIG!$B$5,"BAJO","OK"))))</f>
        <v/>
      </c>
    </row>
    <row r="500" ht="15.75" hidden="1" customHeight="1">
      <c r="A500" s="90" t="str">
        <f>IF(CLIENTES!A7="","",CLIENTES!A7)</f>
        <v/>
      </c>
      <c r="B500" s="90" t="s">
        <v>321</v>
      </c>
      <c r="C500" s="91" t="s">
        <v>326</v>
      </c>
      <c r="D500" s="109" t="s">
        <v>353</v>
      </c>
      <c r="E500" s="67" t="str">
        <f>COLORES!A8</f>
        <v>Beige</v>
      </c>
      <c r="F500" s="67" t="str">
        <f>COLORES!B8</f>
        <v>CLARO</v>
      </c>
      <c r="G500" s="90" t="s">
        <v>378</v>
      </c>
      <c r="H500" s="100">
        <f>IFERROR(SUMIFS(MOVIMIENTOS_COMPLEMENTOS!$I$4:$I$803,MOVIMIENTOS_COMPLEMENTOS!$C$4:$C$803,A500,MOVIMIENTOS_COMPLEMENTOS!$D$4:$D$803,B500,MOVIMIENTOS_COMPLEMENTOS!$E$4:$E$803,C500,MOVIMIENTOS_COMPLEMENTOS!$G$4:$G$803,E500,MOVIMIENTOS_COMPLEMENTOS!$H$4:$H$803,G500,MOVIMIENTOS_COMPLEMENTOS!$B$4:$B$803,"INGRESO")+SUMIFS(MOVIMIENTOS_COMPLEMENTOS!$I$4:$I$803,MOVIMIENTOS_COMPLEMENTOS!$C$4:$C$803,A500,MOVIMIENTOS_COMPLEMENTOS!$D$4:$D$803,B500,MOVIMIENTOS_COMPLEMENTOS!$E$4:$E$803,C500,MOVIMIENTOS_COMPLEMENTOS!$G$4:$G$803,E500,MOVIMIENTOS_COMPLEMENTOS!$H$4:$H$803,G500,MOVIMIENTOS_COMPLEMENTOS!$B$4:$B$803,"DE CORTE")-SUMIFS(MOVIMIENTOS_COMPLEMENTOS!$I$4:$I$803,MOVIMIENTOS_COMPLEMENTOS!$C$4:$C$803,A500,MOVIMIENTOS_COMPLEMENTOS!$D$4:$D$803,B500,MOVIMIENTOS_COMPLEMENTOS!$E$4:$E$803,C500,MOVIMIENTOS_COMPLEMENTOS!$G$4:$G$803,E500,MOVIMIENTOS_COMPLEMENTOS!$H$4:$H$803,G500,MOVIMIENTOS_COMPLEMENTOS!$B$4:$B$803,"SALIDA"),0)</f>
        <v>0</v>
      </c>
      <c r="I500" s="102">
        <f t="array" ref="I500">IFERROR(INDEX(PRECIOS_COMPLEMENTOS!$C$4:$F$17,MATCH(B500&amp;"_"&amp;C500,PRECIOS_COMPLEMENTOS!$H$4:$H$17,0),IF(OR(G500="S",G500="20cm"),1,IF(OR(G500="M",G500="25cm"),2,IF(OR(G500="L",G500="30cm"),3,IF(OR(G500="XL",G500="35cm"),4,0))))),0)</f>
        <v>0.4</v>
      </c>
      <c r="J500" s="103">
        <f t="shared" si="1"/>
        <v>0</v>
      </c>
      <c r="K500" s="104" t="str">
        <f>IF(H500&lt;0,"ERROR",IF(H500=0,"",IF(H500&lt;CONFIG!$B$4,"CRÍTICO",IF(H500&lt;CONFIG!$B$5,"BAJO","OK"))))</f>
        <v/>
      </c>
    </row>
    <row r="501" ht="15.75" hidden="1" customHeight="1">
      <c r="A501" s="90" t="str">
        <f>IF(CLIENTES!A7="","",CLIENTES!A7)</f>
        <v/>
      </c>
      <c r="B501" s="90" t="s">
        <v>321</v>
      </c>
      <c r="C501" s="91" t="s">
        <v>326</v>
      </c>
      <c r="D501" s="109" t="s">
        <v>353</v>
      </c>
      <c r="E501" s="67" t="str">
        <f>COLORES!A8</f>
        <v>Beige</v>
      </c>
      <c r="F501" s="67" t="str">
        <f>COLORES!B8</f>
        <v>CLARO</v>
      </c>
      <c r="G501" s="90" t="s">
        <v>376</v>
      </c>
      <c r="H501" s="100">
        <f>IFERROR(SUMIFS(MOVIMIENTOS_COMPLEMENTOS!$I$4:$I$803,MOVIMIENTOS_COMPLEMENTOS!$C$4:$C$803,A501,MOVIMIENTOS_COMPLEMENTOS!$D$4:$D$803,B501,MOVIMIENTOS_COMPLEMENTOS!$E$4:$E$803,C501,MOVIMIENTOS_COMPLEMENTOS!$G$4:$G$803,E501,MOVIMIENTOS_COMPLEMENTOS!$H$4:$H$803,G501,MOVIMIENTOS_COMPLEMENTOS!$B$4:$B$803,"INGRESO")+SUMIFS(MOVIMIENTOS_COMPLEMENTOS!$I$4:$I$803,MOVIMIENTOS_COMPLEMENTOS!$C$4:$C$803,A501,MOVIMIENTOS_COMPLEMENTOS!$D$4:$D$803,B501,MOVIMIENTOS_COMPLEMENTOS!$E$4:$E$803,C501,MOVIMIENTOS_COMPLEMENTOS!$G$4:$G$803,E501,MOVIMIENTOS_COMPLEMENTOS!$H$4:$H$803,G501,MOVIMIENTOS_COMPLEMENTOS!$B$4:$B$803,"DE CORTE")-SUMIFS(MOVIMIENTOS_COMPLEMENTOS!$I$4:$I$803,MOVIMIENTOS_COMPLEMENTOS!$C$4:$C$803,A501,MOVIMIENTOS_COMPLEMENTOS!$D$4:$D$803,B501,MOVIMIENTOS_COMPLEMENTOS!$E$4:$E$803,C501,MOVIMIENTOS_COMPLEMENTOS!$G$4:$G$803,E501,MOVIMIENTOS_COMPLEMENTOS!$H$4:$H$803,G501,MOVIMIENTOS_COMPLEMENTOS!$B$4:$B$803,"SALIDA"),0)</f>
        <v>0</v>
      </c>
      <c r="I501" s="102">
        <f t="array" ref="I501">IFERROR(INDEX(PRECIOS_COMPLEMENTOS!$C$4:$F$17,MATCH(B501&amp;"_"&amp;C501,PRECIOS_COMPLEMENTOS!$H$4:$H$17,0),IF(OR(G501="S",G501="20cm"),1,IF(OR(G501="M",G501="25cm"),2,IF(OR(G501="L",G501="30cm"),3,IF(OR(G501="XL",G501="35cm"),4,0))))),0)</f>
        <v>0.45</v>
      </c>
      <c r="J501" s="103">
        <f t="shared" si="1"/>
        <v>0</v>
      </c>
      <c r="K501" s="104" t="str">
        <f>IF(H501&lt;0,"ERROR",IF(H501=0,"",IF(H501&lt;CONFIG!$B$4,"CRÍTICO",IF(H501&lt;CONFIG!$B$5,"BAJO","OK"))))</f>
        <v/>
      </c>
    </row>
    <row r="502" ht="15.75" hidden="1" customHeight="1">
      <c r="A502" s="90" t="str">
        <f>IF(CLIENTES!A7="","",CLIENTES!A7)</f>
        <v/>
      </c>
      <c r="B502" s="90" t="s">
        <v>321</v>
      </c>
      <c r="C502" s="91" t="s">
        <v>326</v>
      </c>
      <c r="D502" s="109" t="s">
        <v>353</v>
      </c>
      <c r="E502" s="67" t="str">
        <f>COLORES!A8</f>
        <v>Beige</v>
      </c>
      <c r="F502" s="67" t="str">
        <f>COLORES!B8</f>
        <v>CLARO</v>
      </c>
      <c r="G502" s="90" t="s">
        <v>377</v>
      </c>
      <c r="H502" s="100">
        <f>IFERROR(SUMIFS(MOVIMIENTOS_COMPLEMENTOS!$I$4:$I$803,MOVIMIENTOS_COMPLEMENTOS!$C$4:$C$803,A502,MOVIMIENTOS_COMPLEMENTOS!$D$4:$D$803,B502,MOVIMIENTOS_COMPLEMENTOS!$E$4:$E$803,C502,MOVIMIENTOS_COMPLEMENTOS!$G$4:$G$803,E502,MOVIMIENTOS_COMPLEMENTOS!$H$4:$H$803,G502,MOVIMIENTOS_COMPLEMENTOS!$B$4:$B$803,"INGRESO")+SUMIFS(MOVIMIENTOS_COMPLEMENTOS!$I$4:$I$803,MOVIMIENTOS_COMPLEMENTOS!$C$4:$C$803,A502,MOVIMIENTOS_COMPLEMENTOS!$D$4:$D$803,B502,MOVIMIENTOS_COMPLEMENTOS!$E$4:$E$803,C502,MOVIMIENTOS_COMPLEMENTOS!$G$4:$G$803,E502,MOVIMIENTOS_COMPLEMENTOS!$H$4:$H$803,G502,MOVIMIENTOS_COMPLEMENTOS!$B$4:$B$803,"DE CORTE")-SUMIFS(MOVIMIENTOS_COMPLEMENTOS!$I$4:$I$803,MOVIMIENTOS_COMPLEMENTOS!$C$4:$C$803,A502,MOVIMIENTOS_COMPLEMENTOS!$D$4:$D$803,B502,MOVIMIENTOS_COMPLEMENTOS!$E$4:$E$803,C502,MOVIMIENTOS_COMPLEMENTOS!$G$4:$G$803,E502,MOVIMIENTOS_COMPLEMENTOS!$H$4:$H$803,G502,MOVIMIENTOS_COMPLEMENTOS!$B$4:$B$803,"SALIDA"),0)</f>
        <v>0</v>
      </c>
      <c r="I502" s="102">
        <f t="array" ref="I502">IFERROR(INDEX(PRECIOS_COMPLEMENTOS!$C$4:$F$17,MATCH(B502&amp;"_"&amp;C502,PRECIOS_COMPLEMENTOS!$H$4:$H$17,0),IF(OR(G502="S",G502="20cm"),1,IF(OR(G502="M",G502="25cm"),2,IF(OR(G502="L",G502="30cm"),3,IF(OR(G502="XL",G502="35cm"),4,0))))),0)</f>
        <v>0.5</v>
      </c>
      <c r="J502" s="103">
        <f t="shared" si="1"/>
        <v>0</v>
      </c>
      <c r="K502" s="104" t="str">
        <f>IF(H502&lt;0,"ERROR",IF(H502=0,"",IF(H502&lt;CONFIG!$B$4,"CRÍTICO",IF(H502&lt;CONFIG!$B$5,"BAJO","OK"))))</f>
        <v/>
      </c>
    </row>
    <row r="503" ht="15.75" hidden="1" customHeight="1">
      <c r="A503" s="90" t="str">
        <f>IF(CLIENTES!A7="","",CLIENTES!A7)</f>
        <v/>
      </c>
      <c r="B503" s="90" t="s">
        <v>321</v>
      </c>
      <c r="C503" s="91" t="s">
        <v>326</v>
      </c>
      <c r="D503" s="109" t="s">
        <v>353</v>
      </c>
      <c r="E503" s="67" t="str">
        <f>COLORES!A8</f>
        <v>Beige</v>
      </c>
      <c r="F503" s="67" t="str">
        <f>COLORES!B8</f>
        <v>CLARO</v>
      </c>
      <c r="G503" s="90" t="s">
        <v>379</v>
      </c>
      <c r="H503" s="100">
        <f>IFERROR(SUMIFS(MOVIMIENTOS_COMPLEMENTOS!$I$4:$I$803,MOVIMIENTOS_COMPLEMENTOS!$C$4:$C$803,A503,MOVIMIENTOS_COMPLEMENTOS!$D$4:$D$803,B503,MOVIMIENTOS_COMPLEMENTOS!$E$4:$E$803,C503,MOVIMIENTOS_COMPLEMENTOS!$G$4:$G$803,E503,MOVIMIENTOS_COMPLEMENTOS!$H$4:$H$803,G503,MOVIMIENTOS_COMPLEMENTOS!$B$4:$B$803,"INGRESO")+SUMIFS(MOVIMIENTOS_COMPLEMENTOS!$I$4:$I$803,MOVIMIENTOS_COMPLEMENTOS!$C$4:$C$803,A503,MOVIMIENTOS_COMPLEMENTOS!$D$4:$D$803,B503,MOVIMIENTOS_COMPLEMENTOS!$E$4:$E$803,C503,MOVIMIENTOS_COMPLEMENTOS!$G$4:$G$803,E503,MOVIMIENTOS_COMPLEMENTOS!$H$4:$H$803,G503,MOVIMIENTOS_COMPLEMENTOS!$B$4:$B$803,"DE CORTE")-SUMIFS(MOVIMIENTOS_COMPLEMENTOS!$I$4:$I$803,MOVIMIENTOS_COMPLEMENTOS!$C$4:$C$803,A503,MOVIMIENTOS_COMPLEMENTOS!$D$4:$D$803,B503,MOVIMIENTOS_COMPLEMENTOS!$E$4:$E$803,C503,MOVIMIENTOS_COMPLEMENTOS!$G$4:$G$803,E503,MOVIMIENTOS_COMPLEMENTOS!$H$4:$H$803,G503,MOVIMIENTOS_COMPLEMENTOS!$B$4:$B$803,"SALIDA"),0)</f>
        <v>0</v>
      </c>
      <c r="I503" s="102">
        <f t="array" ref="I503">IFERROR(INDEX(PRECIOS_COMPLEMENTOS!$C$4:$F$17,MATCH(B503&amp;"_"&amp;C503,PRECIOS_COMPLEMENTOS!$H$4:$H$17,0),IF(OR(G503="S",G503="20cm"),1,IF(OR(G503="M",G503="25cm"),2,IF(OR(G503="L",G503="30cm"),3,IF(OR(G503="XL",G503="35cm"),4,0))))),0)</f>
        <v>0.55</v>
      </c>
      <c r="J503" s="103">
        <f t="shared" si="1"/>
        <v>0</v>
      </c>
      <c r="K503" s="104" t="str">
        <f>IF(H503&lt;0,"ERROR",IF(H503=0,"",IF(H503&lt;CONFIG!$B$4,"CRÍTICO",IF(H503&lt;CONFIG!$B$5,"BAJO","OK"))))</f>
        <v/>
      </c>
    </row>
    <row r="504" ht="15.75" hidden="1" customHeight="1">
      <c r="A504" s="90" t="str">
        <f>IF(CLIENTES!A7="","",CLIENTES!A7)</f>
        <v/>
      </c>
      <c r="B504" s="90" t="s">
        <v>321</v>
      </c>
      <c r="C504" s="91" t="s">
        <v>326</v>
      </c>
      <c r="D504" s="109" t="s">
        <v>353</v>
      </c>
      <c r="E504" s="67" t="str">
        <f>COLORES!A9</f>
        <v>Melange</v>
      </c>
      <c r="F504" s="67" t="str">
        <f>COLORES!B9</f>
        <v>MELANGE</v>
      </c>
      <c r="G504" s="90" t="s">
        <v>378</v>
      </c>
      <c r="H504" s="100">
        <f>IFERROR(SUMIFS(MOVIMIENTOS_COMPLEMENTOS!$I$4:$I$803,MOVIMIENTOS_COMPLEMENTOS!$C$4:$C$803,A504,MOVIMIENTOS_COMPLEMENTOS!$D$4:$D$803,B504,MOVIMIENTOS_COMPLEMENTOS!$E$4:$E$803,C504,MOVIMIENTOS_COMPLEMENTOS!$G$4:$G$803,E504,MOVIMIENTOS_COMPLEMENTOS!$H$4:$H$803,G504,MOVIMIENTOS_COMPLEMENTOS!$B$4:$B$803,"INGRESO")+SUMIFS(MOVIMIENTOS_COMPLEMENTOS!$I$4:$I$803,MOVIMIENTOS_COMPLEMENTOS!$C$4:$C$803,A504,MOVIMIENTOS_COMPLEMENTOS!$D$4:$D$803,B504,MOVIMIENTOS_COMPLEMENTOS!$E$4:$E$803,C504,MOVIMIENTOS_COMPLEMENTOS!$G$4:$G$803,E504,MOVIMIENTOS_COMPLEMENTOS!$H$4:$H$803,G504,MOVIMIENTOS_COMPLEMENTOS!$B$4:$B$803,"DE CORTE")-SUMIFS(MOVIMIENTOS_COMPLEMENTOS!$I$4:$I$803,MOVIMIENTOS_COMPLEMENTOS!$C$4:$C$803,A504,MOVIMIENTOS_COMPLEMENTOS!$D$4:$D$803,B504,MOVIMIENTOS_COMPLEMENTOS!$E$4:$E$803,C504,MOVIMIENTOS_COMPLEMENTOS!$G$4:$G$803,E504,MOVIMIENTOS_COMPLEMENTOS!$H$4:$H$803,G504,MOVIMIENTOS_COMPLEMENTOS!$B$4:$B$803,"SALIDA"),0)</f>
        <v>0</v>
      </c>
      <c r="I504" s="102">
        <f t="array" ref="I504">IFERROR(INDEX(PRECIOS_COMPLEMENTOS!$C$4:$F$17,MATCH(B504&amp;"_"&amp;C504,PRECIOS_COMPLEMENTOS!$H$4:$H$17,0),IF(OR(G504="S",G504="20cm"),1,IF(OR(G504="M",G504="25cm"),2,IF(OR(G504="L",G504="30cm"),3,IF(OR(G504="XL",G504="35cm"),4,0))))),0)</f>
        <v>0.4</v>
      </c>
      <c r="J504" s="103">
        <f t="shared" si="1"/>
        <v>0</v>
      </c>
      <c r="K504" s="104" t="str">
        <f>IF(H504&lt;0,"ERROR",IF(H504=0,"",IF(H504&lt;CONFIG!$B$4,"CRÍTICO",IF(H504&lt;CONFIG!$B$5,"BAJO","OK"))))</f>
        <v/>
      </c>
    </row>
    <row r="505" ht="15.75" hidden="1" customHeight="1">
      <c r="A505" s="90" t="str">
        <f>IF(CLIENTES!A7="","",CLIENTES!A7)</f>
        <v/>
      </c>
      <c r="B505" s="90" t="s">
        <v>321</v>
      </c>
      <c r="C505" s="91" t="s">
        <v>326</v>
      </c>
      <c r="D505" s="109" t="s">
        <v>353</v>
      </c>
      <c r="E505" s="67" t="str">
        <f>COLORES!A9</f>
        <v>Melange</v>
      </c>
      <c r="F505" s="67" t="str">
        <f>COLORES!B9</f>
        <v>MELANGE</v>
      </c>
      <c r="G505" s="90" t="s">
        <v>376</v>
      </c>
      <c r="H505" s="100">
        <f>IFERROR(SUMIFS(MOVIMIENTOS_COMPLEMENTOS!$I$4:$I$803,MOVIMIENTOS_COMPLEMENTOS!$C$4:$C$803,A505,MOVIMIENTOS_COMPLEMENTOS!$D$4:$D$803,B505,MOVIMIENTOS_COMPLEMENTOS!$E$4:$E$803,C505,MOVIMIENTOS_COMPLEMENTOS!$G$4:$G$803,E505,MOVIMIENTOS_COMPLEMENTOS!$H$4:$H$803,G505,MOVIMIENTOS_COMPLEMENTOS!$B$4:$B$803,"INGRESO")+SUMIFS(MOVIMIENTOS_COMPLEMENTOS!$I$4:$I$803,MOVIMIENTOS_COMPLEMENTOS!$C$4:$C$803,A505,MOVIMIENTOS_COMPLEMENTOS!$D$4:$D$803,B505,MOVIMIENTOS_COMPLEMENTOS!$E$4:$E$803,C505,MOVIMIENTOS_COMPLEMENTOS!$G$4:$G$803,E505,MOVIMIENTOS_COMPLEMENTOS!$H$4:$H$803,G505,MOVIMIENTOS_COMPLEMENTOS!$B$4:$B$803,"DE CORTE")-SUMIFS(MOVIMIENTOS_COMPLEMENTOS!$I$4:$I$803,MOVIMIENTOS_COMPLEMENTOS!$C$4:$C$803,A505,MOVIMIENTOS_COMPLEMENTOS!$D$4:$D$803,B505,MOVIMIENTOS_COMPLEMENTOS!$E$4:$E$803,C505,MOVIMIENTOS_COMPLEMENTOS!$G$4:$G$803,E505,MOVIMIENTOS_COMPLEMENTOS!$H$4:$H$803,G505,MOVIMIENTOS_COMPLEMENTOS!$B$4:$B$803,"SALIDA"),0)</f>
        <v>0</v>
      </c>
      <c r="I505" s="102">
        <f t="array" ref="I505">IFERROR(INDEX(PRECIOS_COMPLEMENTOS!$C$4:$F$17,MATCH(B505&amp;"_"&amp;C505,PRECIOS_COMPLEMENTOS!$H$4:$H$17,0),IF(OR(G505="S",G505="20cm"),1,IF(OR(G505="M",G505="25cm"),2,IF(OR(G505="L",G505="30cm"),3,IF(OR(G505="XL",G505="35cm"),4,0))))),0)</f>
        <v>0.45</v>
      </c>
      <c r="J505" s="103">
        <f t="shared" si="1"/>
        <v>0</v>
      </c>
      <c r="K505" s="104" t="str">
        <f>IF(H505&lt;0,"ERROR",IF(H505=0,"",IF(H505&lt;CONFIG!$B$4,"CRÍTICO",IF(H505&lt;CONFIG!$B$5,"BAJO","OK"))))</f>
        <v/>
      </c>
    </row>
    <row r="506" ht="15.75" hidden="1" customHeight="1">
      <c r="A506" s="90" t="str">
        <f>IF(CLIENTES!A7="","",CLIENTES!A7)</f>
        <v/>
      </c>
      <c r="B506" s="90" t="s">
        <v>321</v>
      </c>
      <c r="C506" s="91" t="s">
        <v>326</v>
      </c>
      <c r="D506" s="109" t="s">
        <v>353</v>
      </c>
      <c r="E506" s="67" t="str">
        <f>COLORES!A9</f>
        <v>Melange</v>
      </c>
      <c r="F506" s="67" t="str">
        <f>COLORES!B9</f>
        <v>MELANGE</v>
      </c>
      <c r="G506" s="90" t="s">
        <v>377</v>
      </c>
      <c r="H506" s="100">
        <f>IFERROR(SUMIFS(MOVIMIENTOS_COMPLEMENTOS!$I$4:$I$803,MOVIMIENTOS_COMPLEMENTOS!$C$4:$C$803,A506,MOVIMIENTOS_COMPLEMENTOS!$D$4:$D$803,B506,MOVIMIENTOS_COMPLEMENTOS!$E$4:$E$803,C506,MOVIMIENTOS_COMPLEMENTOS!$G$4:$G$803,E506,MOVIMIENTOS_COMPLEMENTOS!$H$4:$H$803,G506,MOVIMIENTOS_COMPLEMENTOS!$B$4:$B$803,"INGRESO")+SUMIFS(MOVIMIENTOS_COMPLEMENTOS!$I$4:$I$803,MOVIMIENTOS_COMPLEMENTOS!$C$4:$C$803,A506,MOVIMIENTOS_COMPLEMENTOS!$D$4:$D$803,B506,MOVIMIENTOS_COMPLEMENTOS!$E$4:$E$803,C506,MOVIMIENTOS_COMPLEMENTOS!$G$4:$G$803,E506,MOVIMIENTOS_COMPLEMENTOS!$H$4:$H$803,G506,MOVIMIENTOS_COMPLEMENTOS!$B$4:$B$803,"DE CORTE")-SUMIFS(MOVIMIENTOS_COMPLEMENTOS!$I$4:$I$803,MOVIMIENTOS_COMPLEMENTOS!$C$4:$C$803,A506,MOVIMIENTOS_COMPLEMENTOS!$D$4:$D$803,B506,MOVIMIENTOS_COMPLEMENTOS!$E$4:$E$803,C506,MOVIMIENTOS_COMPLEMENTOS!$G$4:$G$803,E506,MOVIMIENTOS_COMPLEMENTOS!$H$4:$H$803,G506,MOVIMIENTOS_COMPLEMENTOS!$B$4:$B$803,"SALIDA"),0)</f>
        <v>0</v>
      </c>
      <c r="I506" s="102">
        <f t="array" ref="I506">IFERROR(INDEX(PRECIOS_COMPLEMENTOS!$C$4:$F$17,MATCH(B506&amp;"_"&amp;C506,PRECIOS_COMPLEMENTOS!$H$4:$H$17,0),IF(OR(G506="S",G506="20cm"),1,IF(OR(G506="M",G506="25cm"),2,IF(OR(G506="L",G506="30cm"),3,IF(OR(G506="XL",G506="35cm"),4,0))))),0)</f>
        <v>0.5</v>
      </c>
      <c r="J506" s="103">
        <f t="shared" si="1"/>
        <v>0</v>
      </c>
      <c r="K506" s="104" t="str">
        <f>IF(H506&lt;0,"ERROR",IF(H506=0,"",IF(H506&lt;CONFIG!$B$4,"CRÍTICO",IF(H506&lt;CONFIG!$B$5,"BAJO","OK"))))</f>
        <v/>
      </c>
    </row>
    <row r="507" ht="15.75" hidden="1" customHeight="1">
      <c r="A507" s="90" t="str">
        <f>IF(CLIENTES!A7="","",CLIENTES!A7)</f>
        <v/>
      </c>
      <c r="B507" s="90" t="s">
        <v>321</v>
      </c>
      <c r="C507" s="91" t="s">
        <v>326</v>
      </c>
      <c r="D507" s="109" t="s">
        <v>353</v>
      </c>
      <c r="E507" s="67" t="str">
        <f>COLORES!A9</f>
        <v>Melange</v>
      </c>
      <c r="F507" s="67" t="str">
        <f>COLORES!B9</f>
        <v>MELANGE</v>
      </c>
      <c r="G507" s="90" t="s">
        <v>379</v>
      </c>
      <c r="H507" s="100">
        <f>IFERROR(SUMIFS(MOVIMIENTOS_COMPLEMENTOS!$I$4:$I$803,MOVIMIENTOS_COMPLEMENTOS!$C$4:$C$803,A507,MOVIMIENTOS_COMPLEMENTOS!$D$4:$D$803,B507,MOVIMIENTOS_COMPLEMENTOS!$E$4:$E$803,C507,MOVIMIENTOS_COMPLEMENTOS!$G$4:$G$803,E507,MOVIMIENTOS_COMPLEMENTOS!$H$4:$H$803,G507,MOVIMIENTOS_COMPLEMENTOS!$B$4:$B$803,"INGRESO")+SUMIFS(MOVIMIENTOS_COMPLEMENTOS!$I$4:$I$803,MOVIMIENTOS_COMPLEMENTOS!$C$4:$C$803,A507,MOVIMIENTOS_COMPLEMENTOS!$D$4:$D$803,B507,MOVIMIENTOS_COMPLEMENTOS!$E$4:$E$803,C507,MOVIMIENTOS_COMPLEMENTOS!$G$4:$G$803,E507,MOVIMIENTOS_COMPLEMENTOS!$H$4:$H$803,G507,MOVIMIENTOS_COMPLEMENTOS!$B$4:$B$803,"DE CORTE")-SUMIFS(MOVIMIENTOS_COMPLEMENTOS!$I$4:$I$803,MOVIMIENTOS_COMPLEMENTOS!$C$4:$C$803,A507,MOVIMIENTOS_COMPLEMENTOS!$D$4:$D$803,B507,MOVIMIENTOS_COMPLEMENTOS!$E$4:$E$803,C507,MOVIMIENTOS_COMPLEMENTOS!$G$4:$G$803,E507,MOVIMIENTOS_COMPLEMENTOS!$H$4:$H$803,G507,MOVIMIENTOS_COMPLEMENTOS!$B$4:$B$803,"SALIDA"),0)</f>
        <v>0</v>
      </c>
      <c r="I507" s="102">
        <f t="array" ref="I507">IFERROR(INDEX(PRECIOS_COMPLEMENTOS!$C$4:$F$17,MATCH(B507&amp;"_"&amp;C507,PRECIOS_COMPLEMENTOS!$H$4:$H$17,0),IF(OR(G507="S",G507="20cm"),1,IF(OR(G507="M",G507="25cm"),2,IF(OR(G507="L",G507="30cm"),3,IF(OR(G507="XL",G507="35cm"),4,0))))),0)</f>
        <v>0.55</v>
      </c>
      <c r="J507" s="103">
        <f t="shared" si="1"/>
        <v>0</v>
      </c>
      <c r="K507" s="104" t="str">
        <f>IF(H507&lt;0,"ERROR",IF(H507=0,"",IF(H507&lt;CONFIG!$B$4,"CRÍTICO",IF(H507&lt;CONFIG!$B$5,"BAJO","OK"))))</f>
        <v/>
      </c>
    </row>
    <row r="508" ht="15.75" hidden="1" customHeight="1">
      <c r="A508" s="90" t="str">
        <f>IF(CLIENTES!A7="","",CLIENTES!A7)</f>
        <v/>
      </c>
      <c r="B508" s="90" t="s">
        <v>321</v>
      </c>
      <c r="C508" s="91" t="s">
        <v>326</v>
      </c>
      <c r="D508" s="109" t="s">
        <v>353</v>
      </c>
      <c r="E508" s="67" t="str">
        <f>COLORES!A10</f>
        <v>Botella</v>
      </c>
      <c r="F508" s="67" t="str">
        <f>COLORES!B10</f>
        <v>OSCURO</v>
      </c>
      <c r="G508" s="90" t="s">
        <v>378</v>
      </c>
      <c r="H508" s="100">
        <f>IFERROR(SUMIFS(MOVIMIENTOS_COMPLEMENTOS!$I$4:$I$803,MOVIMIENTOS_COMPLEMENTOS!$C$4:$C$803,A508,MOVIMIENTOS_COMPLEMENTOS!$D$4:$D$803,B508,MOVIMIENTOS_COMPLEMENTOS!$E$4:$E$803,C508,MOVIMIENTOS_COMPLEMENTOS!$G$4:$G$803,E508,MOVIMIENTOS_COMPLEMENTOS!$H$4:$H$803,G508,MOVIMIENTOS_COMPLEMENTOS!$B$4:$B$803,"INGRESO")+SUMIFS(MOVIMIENTOS_COMPLEMENTOS!$I$4:$I$803,MOVIMIENTOS_COMPLEMENTOS!$C$4:$C$803,A508,MOVIMIENTOS_COMPLEMENTOS!$D$4:$D$803,B508,MOVIMIENTOS_COMPLEMENTOS!$E$4:$E$803,C508,MOVIMIENTOS_COMPLEMENTOS!$G$4:$G$803,E508,MOVIMIENTOS_COMPLEMENTOS!$H$4:$H$803,G508,MOVIMIENTOS_COMPLEMENTOS!$B$4:$B$803,"DE CORTE")-SUMIFS(MOVIMIENTOS_COMPLEMENTOS!$I$4:$I$803,MOVIMIENTOS_COMPLEMENTOS!$C$4:$C$803,A508,MOVIMIENTOS_COMPLEMENTOS!$D$4:$D$803,B508,MOVIMIENTOS_COMPLEMENTOS!$E$4:$E$803,C508,MOVIMIENTOS_COMPLEMENTOS!$G$4:$G$803,E508,MOVIMIENTOS_COMPLEMENTOS!$H$4:$H$803,G508,MOVIMIENTOS_COMPLEMENTOS!$B$4:$B$803,"SALIDA"),0)</f>
        <v>0</v>
      </c>
      <c r="I508" s="102">
        <f t="array" ref="I508">IFERROR(INDEX(PRECIOS_COMPLEMENTOS!$C$4:$F$17,MATCH(B508&amp;"_"&amp;C508,PRECIOS_COMPLEMENTOS!$H$4:$H$17,0),IF(OR(G508="S",G508="20cm"),1,IF(OR(G508="M",G508="25cm"),2,IF(OR(G508="L",G508="30cm"),3,IF(OR(G508="XL",G508="35cm"),4,0))))),0)</f>
        <v>0.4</v>
      </c>
      <c r="J508" s="103">
        <f t="shared" si="1"/>
        <v>0</v>
      </c>
      <c r="K508" s="104" t="str">
        <f>IF(H508&lt;0,"ERROR",IF(H508=0,"",IF(H508&lt;CONFIG!$B$4,"CRÍTICO",IF(H508&lt;CONFIG!$B$5,"BAJO","OK"))))</f>
        <v/>
      </c>
    </row>
    <row r="509" ht="15.75" hidden="1" customHeight="1">
      <c r="A509" s="90" t="str">
        <f>IF(CLIENTES!A7="","",CLIENTES!A7)</f>
        <v/>
      </c>
      <c r="B509" s="90" t="s">
        <v>321</v>
      </c>
      <c r="C509" s="91" t="s">
        <v>326</v>
      </c>
      <c r="D509" s="109" t="s">
        <v>353</v>
      </c>
      <c r="E509" s="67" t="str">
        <f>COLORES!A10</f>
        <v>Botella</v>
      </c>
      <c r="F509" s="67" t="str">
        <f>COLORES!B10</f>
        <v>OSCURO</v>
      </c>
      <c r="G509" s="90" t="s">
        <v>376</v>
      </c>
      <c r="H509" s="100">
        <f>IFERROR(SUMIFS(MOVIMIENTOS_COMPLEMENTOS!$I$4:$I$803,MOVIMIENTOS_COMPLEMENTOS!$C$4:$C$803,A509,MOVIMIENTOS_COMPLEMENTOS!$D$4:$D$803,B509,MOVIMIENTOS_COMPLEMENTOS!$E$4:$E$803,C509,MOVIMIENTOS_COMPLEMENTOS!$G$4:$G$803,E509,MOVIMIENTOS_COMPLEMENTOS!$H$4:$H$803,G509,MOVIMIENTOS_COMPLEMENTOS!$B$4:$B$803,"INGRESO")+SUMIFS(MOVIMIENTOS_COMPLEMENTOS!$I$4:$I$803,MOVIMIENTOS_COMPLEMENTOS!$C$4:$C$803,A509,MOVIMIENTOS_COMPLEMENTOS!$D$4:$D$803,B509,MOVIMIENTOS_COMPLEMENTOS!$E$4:$E$803,C509,MOVIMIENTOS_COMPLEMENTOS!$G$4:$G$803,E509,MOVIMIENTOS_COMPLEMENTOS!$H$4:$H$803,G509,MOVIMIENTOS_COMPLEMENTOS!$B$4:$B$803,"DE CORTE")-SUMIFS(MOVIMIENTOS_COMPLEMENTOS!$I$4:$I$803,MOVIMIENTOS_COMPLEMENTOS!$C$4:$C$803,A509,MOVIMIENTOS_COMPLEMENTOS!$D$4:$D$803,B509,MOVIMIENTOS_COMPLEMENTOS!$E$4:$E$803,C509,MOVIMIENTOS_COMPLEMENTOS!$G$4:$G$803,E509,MOVIMIENTOS_COMPLEMENTOS!$H$4:$H$803,G509,MOVIMIENTOS_COMPLEMENTOS!$B$4:$B$803,"SALIDA"),0)</f>
        <v>0</v>
      </c>
      <c r="I509" s="102">
        <f t="array" ref="I509">IFERROR(INDEX(PRECIOS_COMPLEMENTOS!$C$4:$F$17,MATCH(B509&amp;"_"&amp;C509,PRECIOS_COMPLEMENTOS!$H$4:$H$17,0),IF(OR(G509="S",G509="20cm"),1,IF(OR(G509="M",G509="25cm"),2,IF(OR(G509="L",G509="30cm"),3,IF(OR(G509="XL",G509="35cm"),4,0))))),0)</f>
        <v>0.45</v>
      </c>
      <c r="J509" s="103">
        <f t="shared" si="1"/>
        <v>0</v>
      </c>
      <c r="K509" s="104" t="str">
        <f>IF(H509&lt;0,"ERROR",IF(H509=0,"",IF(H509&lt;CONFIG!$B$4,"CRÍTICO",IF(H509&lt;CONFIG!$B$5,"BAJO","OK"))))</f>
        <v/>
      </c>
    </row>
    <row r="510" ht="15.75" hidden="1" customHeight="1">
      <c r="A510" s="90" t="str">
        <f>IF(CLIENTES!A7="","",CLIENTES!A7)</f>
        <v/>
      </c>
      <c r="B510" s="90" t="s">
        <v>321</v>
      </c>
      <c r="C510" s="91" t="s">
        <v>326</v>
      </c>
      <c r="D510" s="109" t="s">
        <v>353</v>
      </c>
      <c r="E510" s="67" t="str">
        <f>COLORES!A10</f>
        <v>Botella</v>
      </c>
      <c r="F510" s="67" t="str">
        <f>COLORES!B10</f>
        <v>OSCURO</v>
      </c>
      <c r="G510" s="90" t="s">
        <v>377</v>
      </c>
      <c r="H510" s="100">
        <f>IFERROR(SUMIFS(MOVIMIENTOS_COMPLEMENTOS!$I$4:$I$803,MOVIMIENTOS_COMPLEMENTOS!$C$4:$C$803,A510,MOVIMIENTOS_COMPLEMENTOS!$D$4:$D$803,B510,MOVIMIENTOS_COMPLEMENTOS!$E$4:$E$803,C510,MOVIMIENTOS_COMPLEMENTOS!$G$4:$G$803,E510,MOVIMIENTOS_COMPLEMENTOS!$H$4:$H$803,G510,MOVIMIENTOS_COMPLEMENTOS!$B$4:$B$803,"INGRESO")+SUMIFS(MOVIMIENTOS_COMPLEMENTOS!$I$4:$I$803,MOVIMIENTOS_COMPLEMENTOS!$C$4:$C$803,A510,MOVIMIENTOS_COMPLEMENTOS!$D$4:$D$803,B510,MOVIMIENTOS_COMPLEMENTOS!$E$4:$E$803,C510,MOVIMIENTOS_COMPLEMENTOS!$G$4:$G$803,E510,MOVIMIENTOS_COMPLEMENTOS!$H$4:$H$803,G510,MOVIMIENTOS_COMPLEMENTOS!$B$4:$B$803,"DE CORTE")-SUMIFS(MOVIMIENTOS_COMPLEMENTOS!$I$4:$I$803,MOVIMIENTOS_COMPLEMENTOS!$C$4:$C$803,A510,MOVIMIENTOS_COMPLEMENTOS!$D$4:$D$803,B510,MOVIMIENTOS_COMPLEMENTOS!$E$4:$E$803,C510,MOVIMIENTOS_COMPLEMENTOS!$G$4:$G$803,E510,MOVIMIENTOS_COMPLEMENTOS!$H$4:$H$803,G510,MOVIMIENTOS_COMPLEMENTOS!$B$4:$B$803,"SALIDA"),0)</f>
        <v>0</v>
      </c>
      <c r="I510" s="102">
        <f t="array" ref="I510">IFERROR(INDEX(PRECIOS_COMPLEMENTOS!$C$4:$F$17,MATCH(B510&amp;"_"&amp;C510,PRECIOS_COMPLEMENTOS!$H$4:$H$17,0),IF(OR(G510="S",G510="20cm"),1,IF(OR(G510="M",G510="25cm"),2,IF(OR(G510="L",G510="30cm"),3,IF(OR(G510="XL",G510="35cm"),4,0))))),0)</f>
        <v>0.5</v>
      </c>
      <c r="J510" s="103">
        <f t="shared" si="1"/>
        <v>0</v>
      </c>
      <c r="K510" s="104" t="str">
        <f>IF(H510&lt;0,"ERROR",IF(H510=0,"",IF(H510&lt;CONFIG!$B$4,"CRÍTICO",IF(H510&lt;CONFIG!$B$5,"BAJO","OK"))))</f>
        <v/>
      </c>
    </row>
    <row r="511" ht="15.75" hidden="1" customHeight="1">
      <c r="A511" s="90" t="str">
        <f>IF(CLIENTES!A7="","",CLIENTES!A7)</f>
        <v/>
      </c>
      <c r="B511" s="90" t="s">
        <v>321</v>
      </c>
      <c r="C511" s="91" t="s">
        <v>326</v>
      </c>
      <c r="D511" s="109" t="s">
        <v>353</v>
      </c>
      <c r="E511" s="67" t="str">
        <f>COLORES!A10</f>
        <v>Botella</v>
      </c>
      <c r="F511" s="67" t="str">
        <f>COLORES!B10</f>
        <v>OSCURO</v>
      </c>
      <c r="G511" s="90" t="s">
        <v>379</v>
      </c>
      <c r="H511" s="100">
        <f>IFERROR(SUMIFS(MOVIMIENTOS_COMPLEMENTOS!$I$4:$I$803,MOVIMIENTOS_COMPLEMENTOS!$C$4:$C$803,A511,MOVIMIENTOS_COMPLEMENTOS!$D$4:$D$803,B511,MOVIMIENTOS_COMPLEMENTOS!$E$4:$E$803,C511,MOVIMIENTOS_COMPLEMENTOS!$G$4:$G$803,E511,MOVIMIENTOS_COMPLEMENTOS!$H$4:$H$803,G511,MOVIMIENTOS_COMPLEMENTOS!$B$4:$B$803,"INGRESO")+SUMIFS(MOVIMIENTOS_COMPLEMENTOS!$I$4:$I$803,MOVIMIENTOS_COMPLEMENTOS!$C$4:$C$803,A511,MOVIMIENTOS_COMPLEMENTOS!$D$4:$D$803,B511,MOVIMIENTOS_COMPLEMENTOS!$E$4:$E$803,C511,MOVIMIENTOS_COMPLEMENTOS!$G$4:$G$803,E511,MOVIMIENTOS_COMPLEMENTOS!$H$4:$H$803,G511,MOVIMIENTOS_COMPLEMENTOS!$B$4:$B$803,"DE CORTE")-SUMIFS(MOVIMIENTOS_COMPLEMENTOS!$I$4:$I$803,MOVIMIENTOS_COMPLEMENTOS!$C$4:$C$803,A511,MOVIMIENTOS_COMPLEMENTOS!$D$4:$D$803,B511,MOVIMIENTOS_COMPLEMENTOS!$E$4:$E$803,C511,MOVIMIENTOS_COMPLEMENTOS!$G$4:$G$803,E511,MOVIMIENTOS_COMPLEMENTOS!$H$4:$H$803,G511,MOVIMIENTOS_COMPLEMENTOS!$B$4:$B$803,"SALIDA"),0)</f>
        <v>0</v>
      </c>
      <c r="I511" s="102">
        <f t="array" ref="I511">IFERROR(INDEX(PRECIOS_COMPLEMENTOS!$C$4:$F$17,MATCH(B511&amp;"_"&amp;C511,PRECIOS_COMPLEMENTOS!$H$4:$H$17,0),IF(OR(G511="S",G511="20cm"),1,IF(OR(G511="M",G511="25cm"),2,IF(OR(G511="L",G511="30cm"),3,IF(OR(G511="XL",G511="35cm"),4,0))))),0)</f>
        <v>0.55</v>
      </c>
      <c r="J511" s="103">
        <f t="shared" si="1"/>
        <v>0</v>
      </c>
      <c r="K511" s="104" t="str">
        <f>IF(H511&lt;0,"ERROR",IF(H511=0,"",IF(H511&lt;CONFIG!$B$4,"CRÍTICO",IF(H511&lt;CONFIG!$B$5,"BAJO","OK"))))</f>
        <v/>
      </c>
    </row>
    <row r="512" ht="15.75" hidden="1" customHeight="1">
      <c r="A512" s="90" t="str">
        <f>IF(CLIENTES!A7="","",CLIENTES!A7)</f>
        <v/>
      </c>
      <c r="B512" s="90" t="s">
        <v>321</v>
      </c>
      <c r="C512" s="91" t="s">
        <v>326</v>
      </c>
      <c r="D512" s="109" t="s">
        <v>353</v>
      </c>
      <c r="E512" s="67" t="str">
        <f>COLORES!A11</f>
        <v>Pacay</v>
      </c>
      <c r="F512" s="67" t="str">
        <f>COLORES!B11</f>
        <v>CLARO</v>
      </c>
      <c r="G512" s="90" t="s">
        <v>378</v>
      </c>
      <c r="H512" s="100">
        <f>IFERROR(SUMIFS(MOVIMIENTOS_COMPLEMENTOS!$I$4:$I$803,MOVIMIENTOS_COMPLEMENTOS!$C$4:$C$803,A512,MOVIMIENTOS_COMPLEMENTOS!$D$4:$D$803,B512,MOVIMIENTOS_COMPLEMENTOS!$E$4:$E$803,C512,MOVIMIENTOS_COMPLEMENTOS!$G$4:$G$803,E512,MOVIMIENTOS_COMPLEMENTOS!$H$4:$H$803,G512,MOVIMIENTOS_COMPLEMENTOS!$B$4:$B$803,"INGRESO")+SUMIFS(MOVIMIENTOS_COMPLEMENTOS!$I$4:$I$803,MOVIMIENTOS_COMPLEMENTOS!$C$4:$C$803,A512,MOVIMIENTOS_COMPLEMENTOS!$D$4:$D$803,B512,MOVIMIENTOS_COMPLEMENTOS!$E$4:$E$803,C512,MOVIMIENTOS_COMPLEMENTOS!$G$4:$G$803,E512,MOVIMIENTOS_COMPLEMENTOS!$H$4:$H$803,G512,MOVIMIENTOS_COMPLEMENTOS!$B$4:$B$803,"DE CORTE")-SUMIFS(MOVIMIENTOS_COMPLEMENTOS!$I$4:$I$803,MOVIMIENTOS_COMPLEMENTOS!$C$4:$C$803,A512,MOVIMIENTOS_COMPLEMENTOS!$D$4:$D$803,B512,MOVIMIENTOS_COMPLEMENTOS!$E$4:$E$803,C512,MOVIMIENTOS_COMPLEMENTOS!$G$4:$G$803,E512,MOVIMIENTOS_COMPLEMENTOS!$H$4:$H$803,G512,MOVIMIENTOS_COMPLEMENTOS!$B$4:$B$803,"SALIDA"),0)</f>
        <v>0</v>
      </c>
      <c r="I512" s="102">
        <f t="array" ref="I512">IFERROR(INDEX(PRECIOS_COMPLEMENTOS!$C$4:$F$17,MATCH(B512&amp;"_"&amp;C512,PRECIOS_COMPLEMENTOS!$H$4:$H$17,0),IF(OR(G512="S",G512="20cm"),1,IF(OR(G512="M",G512="25cm"),2,IF(OR(G512="L",G512="30cm"),3,IF(OR(G512="XL",G512="35cm"),4,0))))),0)</f>
        <v>0.4</v>
      </c>
      <c r="J512" s="103">
        <f t="shared" si="1"/>
        <v>0</v>
      </c>
      <c r="K512" s="104" t="str">
        <f>IF(H512&lt;0,"ERROR",IF(H512=0,"",IF(H512&lt;CONFIG!$B$4,"CRÍTICO",IF(H512&lt;CONFIG!$B$5,"BAJO","OK"))))</f>
        <v/>
      </c>
    </row>
    <row r="513" ht="15.75" hidden="1" customHeight="1">
      <c r="A513" s="90" t="str">
        <f>IF(CLIENTES!A7="","",CLIENTES!A7)</f>
        <v/>
      </c>
      <c r="B513" s="90" t="s">
        <v>321</v>
      </c>
      <c r="C513" s="91" t="s">
        <v>326</v>
      </c>
      <c r="D513" s="109" t="s">
        <v>353</v>
      </c>
      <c r="E513" s="67" t="str">
        <f>COLORES!A11</f>
        <v>Pacay</v>
      </c>
      <c r="F513" s="67" t="str">
        <f>COLORES!B11</f>
        <v>CLARO</v>
      </c>
      <c r="G513" s="90" t="s">
        <v>376</v>
      </c>
      <c r="H513" s="100">
        <f>IFERROR(SUMIFS(MOVIMIENTOS_COMPLEMENTOS!$I$4:$I$803,MOVIMIENTOS_COMPLEMENTOS!$C$4:$C$803,A513,MOVIMIENTOS_COMPLEMENTOS!$D$4:$D$803,B513,MOVIMIENTOS_COMPLEMENTOS!$E$4:$E$803,C513,MOVIMIENTOS_COMPLEMENTOS!$G$4:$G$803,E513,MOVIMIENTOS_COMPLEMENTOS!$H$4:$H$803,G513,MOVIMIENTOS_COMPLEMENTOS!$B$4:$B$803,"INGRESO")+SUMIFS(MOVIMIENTOS_COMPLEMENTOS!$I$4:$I$803,MOVIMIENTOS_COMPLEMENTOS!$C$4:$C$803,A513,MOVIMIENTOS_COMPLEMENTOS!$D$4:$D$803,B513,MOVIMIENTOS_COMPLEMENTOS!$E$4:$E$803,C513,MOVIMIENTOS_COMPLEMENTOS!$G$4:$G$803,E513,MOVIMIENTOS_COMPLEMENTOS!$H$4:$H$803,G513,MOVIMIENTOS_COMPLEMENTOS!$B$4:$B$803,"DE CORTE")-SUMIFS(MOVIMIENTOS_COMPLEMENTOS!$I$4:$I$803,MOVIMIENTOS_COMPLEMENTOS!$C$4:$C$803,A513,MOVIMIENTOS_COMPLEMENTOS!$D$4:$D$803,B513,MOVIMIENTOS_COMPLEMENTOS!$E$4:$E$803,C513,MOVIMIENTOS_COMPLEMENTOS!$G$4:$G$803,E513,MOVIMIENTOS_COMPLEMENTOS!$H$4:$H$803,G513,MOVIMIENTOS_COMPLEMENTOS!$B$4:$B$803,"SALIDA"),0)</f>
        <v>0</v>
      </c>
      <c r="I513" s="102">
        <f t="array" ref="I513">IFERROR(INDEX(PRECIOS_COMPLEMENTOS!$C$4:$F$17,MATCH(B513&amp;"_"&amp;C513,PRECIOS_COMPLEMENTOS!$H$4:$H$17,0),IF(OR(G513="S",G513="20cm"),1,IF(OR(G513="M",G513="25cm"),2,IF(OR(G513="L",G513="30cm"),3,IF(OR(G513="XL",G513="35cm"),4,0))))),0)</f>
        <v>0.45</v>
      </c>
      <c r="J513" s="103">
        <f t="shared" si="1"/>
        <v>0</v>
      </c>
      <c r="K513" s="104" t="str">
        <f>IF(H513&lt;0,"ERROR",IF(H513=0,"",IF(H513&lt;CONFIG!$B$4,"CRÍTICO",IF(H513&lt;CONFIG!$B$5,"BAJO","OK"))))</f>
        <v/>
      </c>
    </row>
    <row r="514" ht="15.75" hidden="1" customHeight="1">
      <c r="A514" s="90" t="str">
        <f>IF(CLIENTES!A7="","",CLIENTES!A7)</f>
        <v/>
      </c>
      <c r="B514" s="90" t="s">
        <v>321</v>
      </c>
      <c r="C514" s="91" t="s">
        <v>326</v>
      </c>
      <c r="D514" s="109" t="s">
        <v>353</v>
      </c>
      <c r="E514" s="67" t="str">
        <f>COLORES!A11</f>
        <v>Pacay</v>
      </c>
      <c r="F514" s="67" t="str">
        <f>COLORES!B11</f>
        <v>CLARO</v>
      </c>
      <c r="G514" s="90" t="s">
        <v>377</v>
      </c>
      <c r="H514" s="100">
        <f>IFERROR(SUMIFS(MOVIMIENTOS_COMPLEMENTOS!$I$4:$I$803,MOVIMIENTOS_COMPLEMENTOS!$C$4:$C$803,A514,MOVIMIENTOS_COMPLEMENTOS!$D$4:$D$803,B514,MOVIMIENTOS_COMPLEMENTOS!$E$4:$E$803,C514,MOVIMIENTOS_COMPLEMENTOS!$G$4:$G$803,E514,MOVIMIENTOS_COMPLEMENTOS!$H$4:$H$803,G514,MOVIMIENTOS_COMPLEMENTOS!$B$4:$B$803,"INGRESO")+SUMIFS(MOVIMIENTOS_COMPLEMENTOS!$I$4:$I$803,MOVIMIENTOS_COMPLEMENTOS!$C$4:$C$803,A514,MOVIMIENTOS_COMPLEMENTOS!$D$4:$D$803,B514,MOVIMIENTOS_COMPLEMENTOS!$E$4:$E$803,C514,MOVIMIENTOS_COMPLEMENTOS!$G$4:$G$803,E514,MOVIMIENTOS_COMPLEMENTOS!$H$4:$H$803,G514,MOVIMIENTOS_COMPLEMENTOS!$B$4:$B$803,"DE CORTE")-SUMIFS(MOVIMIENTOS_COMPLEMENTOS!$I$4:$I$803,MOVIMIENTOS_COMPLEMENTOS!$C$4:$C$803,A514,MOVIMIENTOS_COMPLEMENTOS!$D$4:$D$803,B514,MOVIMIENTOS_COMPLEMENTOS!$E$4:$E$803,C514,MOVIMIENTOS_COMPLEMENTOS!$G$4:$G$803,E514,MOVIMIENTOS_COMPLEMENTOS!$H$4:$H$803,G514,MOVIMIENTOS_COMPLEMENTOS!$B$4:$B$803,"SALIDA"),0)</f>
        <v>0</v>
      </c>
      <c r="I514" s="102">
        <f t="array" ref="I514">IFERROR(INDEX(PRECIOS_COMPLEMENTOS!$C$4:$F$17,MATCH(B514&amp;"_"&amp;C514,PRECIOS_COMPLEMENTOS!$H$4:$H$17,0),IF(OR(G514="S",G514="20cm"),1,IF(OR(G514="M",G514="25cm"),2,IF(OR(G514="L",G514="30cm"),3,IF(OR(G514="XL",G514="35cm"),4,0))))),0)</f>
        <v>0.5</v>
      </c>
      <c r="J514" s="103">
        <f t="shared" si="1"/>
        <v>0</v>
      </c>
      <c r="K514" s="104" t="str">
        <f>IF(H514&lt;0,"ERROR",IF(H514=0,"",IF(H514&lt;CONFIG!$B$4,"CRÍTICO",IF(H514&lt;CONFIG!$B$5,"BAJO","OK"))))</f>
        <v/>
      </c>
    </row>
    <row r="515" ht="15.75" hidden="1" customHeight="1">
      <c r="A515" s="90" t="str">
        <f>IF(CLIENTES!A7="","",CLIENTES!A7)</f>
        <v/>
      </c>
      <c r="B515" s="90" t="s">
        <v>321</v>
      </c>
      <c r="C515" s="91" t="s">
        <v>326</v>
      </c>
      <c r="D515" s="109" t="s">
        <v>353</v>
      </c>
      <c r="E515" s="67" t="str">
        <f>COLORES!A11</f>
        <v>Pacay</v>
      </c>
      <c r="F515" s="67" t="str">
        <f>COLORES!B11</f>
        <v>CLARO</v>
      </c>
      <c r="G515" s="90" t="s">
        <v>379</v>
      </c>
      <c r="H515" s="100">
        <f>IFERROR(SUMIFS(MOVIMIENTOS_COMPLEMENTOS!$I$4:$I$803,MOVIMIENTOS_COMPLEMENTOS!$C$4:$C$803,A515,MOVIMIENTOS_COMPLEMENTOS!$D$4:$D$803,B515,MOVIMIENTOS_COMPLEMENTOS!$E$4:$E$803,C515,MOVIMIENTOS_COMPLEMENTOS!$G$4:$G$803,E515,MOVIMIENTOS_COMPLEMENTOS!$H$4:$H$803,G515,MOVIMIENTOS_COMPLEMENTOS!$B$4:$B$803,"INGRESO")+SUMIFS(MOVIMIENTOS_COMPLEMENTOS!$I$4:$I$803,MOVIMIENTOS_COMPLEMENTOS!$C$4:$C$803,A515,MOVIMIENTOS_COMPLEMENTOS!$D$4:$D$803,B515,MOVIMIENTOS_COMPLEMENTOS!$E$4:$E$803,C515,MOVIMIENTOS_COMPLEMENTOS!$G$4:$G$803,E515,MOVIMIENTOS_COMPLEMENTOS!$H$4:$H$803,G515,MOVIMIENTOS_COMPLEMENTOS!$B$4:$B$803,"DE CORTE")-SUMIFS(MOVIMIENTOS_COMPLEMENTOS!$I$4:$I$803,MOVIMIENTOS_COMPLEMENTOS!$C$4:$C$803,A515,MOVIMIENTOS_COMPLEMENTOS!$D$4:$D$803,B515,MOVIMIENTOS_COMPLEMENTOS!$E$4:$E$803,C515,MOVIMIENTOS_COMPLEMENTOS!$G$4:$G$803,E515,MOVIMIENTOS_COMPLEMENTOS!$H$4:$H$803,G515,MOVIMIENTOS_COMPLEMENTOS!$B$4:$B$803,"SALIDA"),0)</f>
        <v>0</v>
      </c>
      <c r="I515" s="102">
        <f t="array" ref="I515">IFERROR(INDEX(PRECIOS_COMPLEMENTOS!$C$4:$F$17,MATCH(B515&amp;"_"&amp;C515,PRECIOS_COMPLEMENTOS!$H$4:$H$17,0),IF(OR(G515="S",G515="20cm"),1,IF(OR(G515="M",G515="25cm"),2,IF(OR(G515="L",G515="30cm"),3,IF(OR(G515="XL",G515="35cm"),4,0))))),0)</f>
        <v>0.55</v>
      </c>
      <c r="J515" s="103">
        <f t="shared" si="1"/>
        <v>0</v>
      </c>
      <c r="K515" s="104" t="str">
        <f>IF(H515&lt;0,"ERROR",IF(H515=0,"",IF(H515&lt;CONFIG!$B$4,"CRÍTICO",IF(H515&lt;CONFIG!$B$5,"BAJO","OK"))))</f>
        <v/>
      </c>
    </row>
    <row r="516" ht="15.75" hidden="1" customHeight="1">
      <c r="A516" s="90" t="str">
        <f>IF(CLIENTES!A7="","",CLIENTES!A7)</f>
        <v/>
      </c>
      <c r="B516" s="90" t="s">
        <v>321</v>
      </c>
      <c r="C516" s="91" t="s">
        <v>326</v>
      </c>
      <c r="D516" s="109" t="s">
        <v>353</v>
      </c>
      <c r="E516" s="67" t="str">
        <f>COLORES!A12</f>
        <v>Cemento</v>
      </c>
      <c r="F516" s="67" t="str">
        <f>COLORES!B12</f>
        <v>CLARO</v>
      </c>
      <c r="G516" s="90" t="s">
        <v>378</v>
      </c>
      <c r="H516" s="100">
        <f>IFERROR(SUMIFS(MOVIMIENTOS_COMPLEMENTOS!$I$4:$I$803,MOVIMIENTOS_COMPLEMENTOS!$C$4:$C$803,A516,MOVIMIENTOS_COMPLEMENTOS!$D$4:$D$803,B516,MOVIMIENTOS_COMPLEMENTOS!$E$4:$E$803,C516,MOVIMIENTOS_COMPLEMENTOS!$G$4:$G$803,E516,MOVIMIENTOS_COMPLEMENTOS!$H$4:$H$803,G516,MOVIMIENTOS_COMPLEMENTOS!$B$4:$B$803,"INGRESO")+SUMIFS(MOVIMIENTOS_COMPLEMENTOS!$I$4:$I$803,MOVIMIENTOS_COMPLEMENTOS!$C$4:$C$803,A516,MOVIMIENTOS_COMPLEMENTOS!$D$4:$D$803,B516,MOVIMIENTOS_COMPLEMENTOS!$E$4:$E$803,C516,MOVIMIENTOS_COMPLEMENTOS!$G$4:$G$803,E516,MOVIMIENTOS_COMPLEMENTOS!$H$4:$H$803,G516,MOVIMIENTOS_COMPLEMENTOS!$B$4:$B$803,"DE CORTE")-SUMIFS(MOVIMIENTOS_COMPLEMENTOS!$I$4:$I$803,MOVIMIENTOS_COMPLEMENTOS!$C$4:$C$803,A516,MOVIMIENTOS_COMPLEMENTOS!$D$4:$D$803,B516,MOVIMIENTOS_COMPLEMENTOS!$E$4:$E$803,C516,MOVIMIENTOS_COMPLEMENTOS!$G$4:$G$803,E516,MOVIMIENTOS_COMPLEMENTOS!$H$4:$H$803,G516,MOVIMIENTOS_COMPLEMENTOS!$B$4:$B$803,"SALIDA"),0)</f>
        <v>0</v>
      </c>
      <c r="I516" s="102">
        <f t="array" ref="I516">IFERROR(INDEX(PRECIOS_COMPLEMENTOS!$C$4:$F$17,MATCH(B516&amp;"_"&amp;C516,PRECIOS_COMPLEMENTOS!$H$4:$H$17,0),IF(OR(G516="S",G516="20cm"),1,IF(OR(G516="M",G516="25cm"),2,IF(OR(G516="L",G516="30cm"),3,IF(OR(G516="XL",G516="35cm"),4,0))))),0)</f>
        <v>0.4</v>
      </c>
      <c r="J516" s="103">
        <f t="shared" si="1"/>
        <v>0</v>
      </c>
      <c r="K516" s="104" t="str">
        <f>IF(H516&lt;0,"ERROR",IF(H516=0,"",IF(H516&lt;CONFIG!$B$4,"CRÍTICO",IF(H516&lt;CONFIG!$B$5,"BAJO","OK"))))</f>
        <v/>
      </c>
    </row>
    <row r="517" ht="15.75" hidden="1" customHeight="1">
      <c r="A517" s="90" t="str">
        <f>IF(CLIENTES!A7="","",CLIENTES!A7)</f>
        <v/>
      </c>
      <c r="B517" s="90" t="s">
        <v>321</v>
      </c>
      <c r="C517" s="91" t="s">
        <v>326</v>
      </c>
      <c r="D517" s="109" t="s">
        <v>353</v>
      </c>
      <c r="E517" s="67" t="str">
        <f>COLORES!A12</f>
        <v>Cemento</v>
      </c>
      <c r="F517" s="67" t="str">
        <f>COLORES!B12</f>
        <v>CLARO</v>
      </c>
      <c r="G517" s="90" t="s">
        <v>376</v>
      </c>
      <c r="H517" s="100">
        <f>IFERROR(SUMIFS(MOVIMIENTOS_COMPLEMENTOS!$I$4:$I$803,MOVIMIENTOS_COMPLEMENTOS!$C$4:$C$803,A517,MOVIMIENTOS_COMPLEMENTOS!$D$4:$D$803,B517,MOVIMIENTOS_COMPLEMENTOS!$E$4:$E$803,C517,MOVIMIENTOS_COMPLEMENTOS!$G$4:$G$803,E517,MOVIMIENTOS_COMPLEMENTOS!$H$4:$H$803,G517,MOVIMIENTOS_COMPLEMENTOS!$B$4:$B$803,"INGRESO")+SUMIFS(MOVIMIENTOS_COMPLEMENTOS!$I$4:$I$803,MOVIMIENTOS_COMPLEMENTOS!$C$4:$C$803,A517,MOVIMIENTOS_COMPLEMENTOS!$D$4:$D$803,B517,MOVIMIENTOS_COMPLEMENTOS!$E$4:$E$803,C517,MOVIMIENTOS_COMPLEMENTOS!$G$4:$G$803,E517,MOVIMIENTOS_COMPLEMENTOS!$H$4:$H$803,G517,MOVIMIENTOS_COMPLEMENTOS!$B$4:$B$803,"DE CORTE")-SUMIFS(MOVIMIENTOS_COMPLEMENTOS!$I$4:$I$803,MOVIMIENTOS_COMPLEMENTOS!$C$4:$C$803,A517,MOVIMIENTOS_COMPLEMENTOS!$D$4:$D$803,B517,MOVIMIENTOS_COMPLEMENTOS!$E$4:$E$803,C517,MOVIMIENTOS_COMPLEMENTOS!$G$4:$G$803,E517,MOVIMIENTOS_COMPLEMENTOS!$H$4:$H$803,G517,MOVIMIENTOS_COMPLEMENTOS!$B$4:$B$803,"SALIDA"),0)</f>
        <v>0</v>
      </c>
      <c r="I517" s="102">
        <f t="array" ref="I517">IFERROR(INDEX(PRECIOS_COMPLEMENTOS!$C$4:$F$17,MATCH(B517&amp;"_"&amp;C517,PRECIOS_COMPLEMENTOS!$H$4:$H$17,0),IF(OR(G517="S",G517="20cm"),1,IF(OR(G517="M",G517="25cm"),2,IF(OR(G517="L",G517="30cm"),3,IF(OR(G517="XL",G517="35cm"),4,0))))),0)</f>
        <v>0.45</v>
      </c>
      <c r="J517" s="103">
        <f t="shared" si="1"/>
        <v>0</v>
      </c>
      <c r="K517" s="104" t="str">
        <f>IF(H517&lt;0,"ERROR",IF(H517=0,"",IF(H517&lt;CONFIG!$B$4,"CRÍTICO",IF(H517&lt;CONFIG!$B$5,"BAJO","OK"))))</f>
        <v/>
      </c>
    </row>
    <row r="518" ht="15.75" hidden="1" customHeight="1">
      <c r="A518" s="90" t="str">
        <f>IF(CLIENTES!A7="","",CLIENTES!A7)</f>
        <v/>
      </c>
      <c r="B518" s="90" t="s">
        <v>321</v>
      </c>
      <c r="C518" s="91" t="s">
        <v>326</v>
      </c>
      <c r="D518" s="109" t="s">
        <v>353</v>
      </c>
      <c r="E518" s="67" t="str">
        <f>COLORES!A12</f>
        <v>Cemento</v>
      </c>
      <c r="F518" s="67" t="str">
        <f>COLORES!B12</f>
        <v>CLARO</v>
      </c>
      <c r="G518" s="90" t="s">
        <v>377</v>
      </c>
      <c r="H518" s="100">
        <f>IFERROR(SUMIFS(MOVIMIENTOS_COMPLEMENTOS!$I$4:$I$803,MOVIMIENTOS_COMPLEMENTOS!$C$4:$C$803,A518,MOVIMIENTOS_COMPLEMENTOS!$D$4:$D$803,B518,MOVIMIENTOS_COMPLEMENTOS!$E$4:$E$803,C518,MOVIMIENTOS_COMPLEMENTOS!$G$4:$G$803,E518,MOVIMIENTOS_COMPLEMENTOS!$H$4:$H$803,G518,MOVIMIENTOS_COMPLEMENTOS!$B$4:$B$803,"INGRESO")+SUMIFS(MOVIMIENTOS_COMPLEMENTOS!$I$4:$I$803,MOVIMIENTOS_COMPLEMENTOS!$C$4:$C$803,A518,MOVIMIENTOS_COMPLEMENTOS!$D$4:$D$803,B518,MOVIMIENTOS_COMPLEMENTOS!$E$4:$E$803,C518,MOVIMIENTOS_COMPLEMENTOS!$G$4:$G$803,E518,MOVIMIENTOS_COMPLEMENTOS!$H$4:$H$803,G518,MOVIMIENTOS_COMPLEMENTOS!$B$4:$B$803,"DE CORTE")-SUMIFS(MOVIMIENTOS_COMPLEMENTOS!$I$4:$I$803,MOVIMIENTOS_COMPLEMENTOS!$C$4:$C$803,A518,MOVIMIENTOS_COMPLEMENTOS!$D$4:$D$803,B518,MOVIMIENTOS_COMPLEMENTOS!$E$4:$E$803,C518,MOVIMIENTOS_COMPLEMENTOS!$G$4:$G$803,E518,MOVIMIENTOS_COMPLEMENTOS!$H$4:$H$803,G518,MOVIMIENTOS_COMPLEMENTOS!$B$4:$B$803,"SALIDA"),0)</f>
        <v>0</v>
      </c>
      <c r="I518" s="102">
        <f t="array" ref="I518">IFERROR(INDEX(PRECIOS_COMPLEMENTOS!$C$4:$F$17,MATCH(B518&amp;"_"&amp;C518,PRECIOS_COMPLEMENTOS!$H$4:$H$17,0),IF(OR(G518="S",G518="20cm"),1,IF(OR(G518="M",G518="25cm"),2,IF(OR(G518="L",G518="30cm"),3,IF(OR(G518="XL",G518="35cm"),4,0))))),0)</f>
        <v>0.5</v>
      </c>
      <c r="J518" s="103">
        <f t="shared" si="1"/>
        <v>0</v>
      </c>
      <c r="K518" s="104" t="str">
        <f>IF(H518&lt;0,"ERROR",IF(H518=0,"",IF(H518&lt;CONFIG!$B$4,"CRÍTICO",IF(H518&lt;CONFIG!$B$5,"BAJO","OK"))))</f>
        <v/>
      </c>
    </row>
    <row r="519" ht="15.75" hidden="1" customHeight="1">
      <c r="A519" s="90" t="str">
        <f>IF(CLIENTES!A7="","",CLIENTES!A7)</f>
        <v/>
      </c>
      <c r="B519" s="90" t="s">
        <v>321</v>
      </c>
      <c r="C519" s="91" t="s">
        <v>326</v>
      </c>
      <c r="D519" s="109" t="s">
        <v>353</v>
      </c>
      <c r="E519" s="67" t="str">
        <f>COLORES!A12</f>
        <v>Cemento</v>
      </c>
      <c r="F519" s="67" t="str">
        <f>COLORES!B12</f>
        <v>CLARO</v>
      </c>
      <c r="G519" s="90" t="s">
        <v>379</v>
      </c>
      <c r="H519" s="100">
        <f>IFERROR(SUMIFS(MOVIMIENTOS_COMPLEMENTOS!$I$4:$I$803,MOVIMIENTOS_COMPLEMENTOS!$C$4:$C$803,A519,MOVIMIENTOS_COMPLEMENTOS!$D$4:$D$803,B519,MOVIMIENTOS_COMPLEMENTOS!$E$4:$E$803,C519,MOVIMIENTOS_COMPLEMENTOS!$G$4:$G$803,E519,MOVIMIENTOS_COMPLEMENTOS!$H$4:$H$803,G519,MOVIMIENTOS_COMPLEMENTOS!$B$4:$B$803,"INGRESO")+SUMIFS(MOVIMIENTOS_COMPLEMENTOS!$I$4:$I$803,MOVIMIENTOS_COMPLEMENTOS!$C$4:$C$803,A519,MOVIMIENTOS_COMPLEMENTOS!$D$4:$D$803,B519,MOVIMIENTOS_COMPLEMENTOS!$E$4:$E$803,C519,MOVIMIENTOS_COMPLEMENTOS!$G$4:$G$803,E519,MOVIMIENTOS_COMPLEMENTOS!$H$4:$H$803,G519,MOVIMIENTOS_COMPLEMENTOS!$B$4:$B$803,"DE CORTE")-SUMIFS(MOVIMIENTOS_COMPLEMENTOS!$I$4:$I$803,MOVIMIENTOS_COMPLEMENTOS!$C$4:$C$803,A519,MOVIMIENTOS_COMPLEMENTOS!$D$4:$D$803,B519,MOVIMIENTOS_COMPLEMENTOS!$E$4:$E$803,C519,MOVIMIENTOS_COMPLEMENTOS!$G$4:$G$803,E519,MOVIMIENTOS_COMPLEMENTOS!$H$4:$H$803,G519,MOVIMIENTOS_COMPLEMENTOS!$B$4:$B$803,"SALIDA"),0)</f>
        <v>0</v>
      </c>
      <c r="I519" s="102">
        <f t="array" ref="I519">IFERROR(INDEX(PRECIOS_COMPLEMENTOS!$C$4:$F$17,MATCH(B519&amp;"_"&amp;C519,PRECIOS_COMPLEMENTOS!$H$4:$H$17,0),IF(OR(G519="S",G519="20cm"),1,IF(OR(G519="M",G519="25cm"),2,IF(OR(G519="L",G519="30cm"),3,IF(OR(G519="XL",G519="35cm"),4,0))))),0)</f>
        <v>0.55</v>
      </c>
      <c r="J519" s="103">
        <f t="shared" si="1"/>
        <v>0</v>
      </c>
      <c r="K519" s="104" t="str">
        <f>IF(H519&lt;0,"ERROR",IF(H519=0,"",IF(H519&lt;CONFIG!$B$4,"CRÍTICO",IF(H519&lt;CONFIG!$B$5,"BAJO","OK"))))</f>
        <v/>
      </c>
    </row>
    <row r="520" ht="15.75" hidden="1" customHeight="1">
      <c r="A520" s="90" t="str">
        <f>IF(CLIENTES!A7="","",CLIENTES!A7)</f>
        <v/>
      </c>
      <c r="B520" s="90" t="s">
        <v>321</v>
      </c>
      <c r="C520" s="91" t="s">
        <v>326</v>
      </c>
      <c r="D520" s="109" t="s">
        <v>353</v>
      </c>
      <c r="E520" s="67" t="str">
        <f>COLORES!A13</f>
        <v>Camote</v>
      </c>
      <c r="F520" s="67" t="str">
        <f>COLORES!B13</f>
        <v>CLARO</v>
      </c>
      <c r="G520" s="90" t="s">
        <v>378</v>
      </c>
      <c r="H520" s="100">
        <f>IFERROR(SUMIFS(MOVIMIENTOS_COMPLEMENTOS!$I$4:$I$803,MOVIMIENTOS_COMPLEMENTOS!$C$4:$C$803,A520,MOVIMIENTOS_COMPLEMENTOS!$D$4:$D$803,B520,MOVIMIENTOS_COMPLEMENTOS!$E$4:$E$803,C520,MOVIMIENTOS_COMPLEMENTOS!$G$4:$G$803,E520,MOVIMIENTOS_COMPLEMENTOS!$H$4:$H$803,G520,MOVIMIENTOS_COMPLEMENTOS!$B$4:$B$803,"INGRESO")+SUMIFS(MOVIMIENTOS_COMPLEMENTOS!$I$4:$I$803,MOVIMIENTOS_COMPLEMENTOS!$C$4:$C$803,A520,MOVIMIENTOS_COMPLEMENTOS!$D$4:$D$803,B520,MOVIMIENTOS_COMPLEMENTOS!$E$4:$E$803,C520,MOVIMIENTOS_COMPLEMENTOS!$G$4:$G$803,E520,MOVIMIENTOS_COMPLEMENTOS!$H$4:$H$803,G520,MOVIMIENTOS_COMPLEMENTOS!$B$4:$B$803,"DE CORTE")-SUMIFS(MOVIMIENTOS_COMPLEMENTOS!$I$4:$I$803,MOVIMIENTOS_COMPLEMENTOS!$C$4:$C$803,A520,MOVIMIENTOS_COMPLEMENTOS!$D$4:$D$803,B520,MOVIMIENTOS_COMPLEMENTOS!$E$4:$E$803,C520,MOVIMIENTOS_COMPLEMENTOS!$G$4:$G$803,E520,MOVIMIENTOS_COMPLEMENTOS!$H$4:$H$803,G520,MOVIMIENTOS_COMPLEMENTOS!$B$4:$B$803,"SALIDA"),0)</f>
        <v>0</v>
      </c>
      <c r="I520" s="102">
        <f t="array" ref="I520">IFERROR(INDEX(PRECIOS_COMPLEMENTOS!$C$4:$F$17,MATCH(B520&amp;"_"&amp;C520,PRECIOS_COMPLEMENTOS!$H$4:$H$17,0),IF(OR(G520="S",G520="20cm"),1,IF(OR(G520="M",G520="25cm"),2,IF(OR(G520="L",G520="30cm"),3,IF(OR(G520="XL",G520="35cm"),4,0))))),0)</f>
        <v>0.4</v>
      </c>
      <c r="J520" s="103">
        <f t="shared" si="1"/>
        <v>0</v>
      </c>
      <c r="K520" s="104" t="str">
        <f>IF(H520&lt;0,"ERROR",IF(H520=0,"",IF(H520&lt;CONFIG!$B$4,"CRÍTICO",IF(H520&lt;CONFIG!$B$5,"BAJO","OK"))))</f>
        <v/>
      </c>
    </row>
    <row r="521" ht="15.75" hidden="1" customHeight="1">
      <c r="A521" s="90" t="str">
        <f>IF(CLIENTES!A7="","",CLIENTES!A7)</f>
        <v/>
      </c>
      <c r="B521" s="90" t="s">
        <v>321</v>
      </c>
      <c r="C521" s="91" t="s">
        <v>326</v>
      </c>
      <c r="D521" s="109" t="s">
        <v>353</v>
      </c>
      <c r="E521" s="67" t="str">
        <f>COLORES!A13</f>
        <v>Camote</v>
      </c>
      <c r="F521" s="67" t="str">
        <f>COLORES!B13</f>
        <v>CLARO</v>
      </c>
      <c r="G521" s="90" t="s">
        <v>376</v>
      </c>
      <c r="H521" s="100">
        <f>IFERROR(SUMIFS(MOVIMIENTOS_COMPLEMENTOS!$I$4:$I$803,MOVIMIENTOS_COMPLEMENTOS!$C$4:$C$803,A521,MOVIMIENTOS_COMPLEMENTOS!$D$4:$D$803,B521,MOVIMIENTOS_COMPLEMENTOS!$E$4:$E$803,C521,MOVIMIENTOS_COMPLEMENTOS!$G$4:$G$803,E521,MOVIMIENTOS_COMPLEMENTOS!$H$4:$H$803,G521,MOVIMIENTOS_COMPLEMENTOS!$B$4:$B$803,"INGRESO")+SUMIFS(MOVIMIENTOS_COMPLEMENTOS!$I$4:$I$803,MOVIMIENTOS_COMPLEMENTOS!$C$4:$C$803,A521,MOVIMIENTOS_COMPLEMENTOS!$D$4:$D$803,B521,MOVIMIENTOS_COMPLEMENTOS!$E$4:$E$803,C521,MOVIMIENTOS_COMPLEMENTOS!$G$4:$G$803,E521,MOVIMIENTOS_COMPLEMENTOS!$H$4:$H$803,G521,MOVIMIENTOS_COMPLEMENTOS!$B$4:$B$803,"DE CORTE")-SUMIFS(MOVIMIENTOS_COMPLEMENTOS!$I$4:$I$803,MOVIMIENTOS_COMPLEMENTOS!$C$4:$C$803,A521,MOVIMIENTOS_COMPLEMENTOS!$D$4:$D$803,B521,MOVIMIENTOS_COMPLEMENTOS!$E$4:$E$803,C521,MOVIMIENTOS_COMPLEMENTOS!$G$4:$G$803,E521,MOVIMIENTOS_COMPLEMENTOS!$H$4:$H$803,G521,MOVIMIENTOS_COMPLEMENTOS!$B$4:$B$803,"SALIDA"),0)</f>
        <v>0</v>
      </c>
      <c r="I521" s="102">
        <f t="array" ref="I521">IFERROR(INDEX(PRECIOS_COMPLEMENTOS!$C$4:$F$17,MATCH(B521&amp;"_"&amp;C521,PRECIOS_COMPLEMENTOS!$H$4:$H$17,0),IF(OR(G521="S",G521="20cm"),1,IF(OR(G521="M",G521="25cm"),2,IF(OR(G521="L",G521="30cm"),3,IF(OR(G521="XL",G521="35cm"),4,0))))),0)</f>
        <v>0.45</v>
      </c>
      <c r="J521" s="103">
        <f t="shared" si="1"/>
        <v>0</v>
      </c>
      <c r="K521" s="104" t="str">
        <f>IF(H521&lt;0,"ERROR",IF(H521=0,"",IF(H521&lt;CONFIG!$B$4,"CRÍTICO",IF(H521&lt;CONFIG!$B$5,"BAJO","OK"))))</f>
        <v/>
      </c>
    </row>
    <row r="522" ht="15.75" hidden="1" customHeight="1">
      <c r="A522" s="90" t="str">
        <f>IF(CLIENTES!A7="","",CLIENTES!A7)</f>
        <v/>
      </c>
      <c r="B522" s="90" t="s">
        <v>321</v>
      </c>
      <c r="C522" s="91" t="s">
        <v>326</v>
      </c>
      <c r="D522" s="109" t="s">
        <v>353</v>
      </c>
      <c r="E522" s="67" t="str">
        <f>COLORES!A13</f>
        <v>Camote</v>
      </c>
      <c r="F522" s="67" t="str">
        <f>COLORES!B13</f>
        <v>CLARO</v>
      </c>
      <c r="G522" s="90" t="s">
        <v>377</v>
      </c>
      <c r="H522" s="100">
        <f>IFERROR(SUMIFS(MOVIMIENTOS_COMPLEMENTOS!$I$4:$I$803,MOVIMIENTOS_COMPLEMENTOS!$C$4:$C$803,A522,MOVIMIENTOS_COMPLEMENTOS!$D$4:$D$803,B522,MOVIMIENTOS_COMPLEMENTOS!$E$4:$E$803,C522,MOVIMIENTOS_COMPLEMENTOS!$G$4:$G$803,E522,MOVIMIENTOS_COMPLEMENTOS!$H$4:$H$803,G522,MOVIMIENTOS_COMPLEMENTOS!$B$4:$B$803,"INGRESO")+SUMIFS(MOVIMIENTOS_COMPLEMENTOS!$I$4:$I$803,MOVIMIENTOS_COMPLEMENTOS!$C$4:$C$803,A522,MOVIMIENTOS_COMPLEMENTOS!$D$4:$D$803,B522,MOVIMIENTOS_COMPLEMENTOS!$E$4:$E$803,C522,MOVIMIENTOS_COMPLEMENTOS!$G$4:$G$803,E522,MOVIMIENTOS_COMPLEMENTOS!$H$4:$H$803,G522,MOVIMIENTOS_COMPLEMENTOS!$B$4:$B$803,"DE CORTE")-SUMIFS(MOVIMIENTOS_COMPLEMENTOS!$I$4:$I$803,MOVIMIENTOS_COMPLEMENTOS!$C$4:$C$803,A522,MOVIMIENTOS_COMPLEMENTOS!$D$4:$D$803,B522,MOVIMIENTOS_COMPLEMENTOS!$E$4:$E$803,C522,MOVIMIENTOS_COMPLEMENTOS!$G$4:$G$803,E522,MOVIMIENTOS_COMPLEMENTOS!$H$4:$H$803,G522,MOVIMIENTOS_COMPLEMENTOS!$B$4:$B$803,"SALIDA"),0)</f>
        <v>0</v>
      </c>
      <c r="I522" s="102">
        <f t="array" ref="I522">IFERROR(INDEX(PRECIOS_COMPLEMENTOS!$C$4:$F$17,MATCH(B522&amp;"_"&amp;C522,PRECIOS_COMPLEMENTOS!$H$4:$H$17,0),IF(OR(G522="S",G522="20cm"),1,IF(OR(G522="M",G522="25cm"),2,IF(OR(G522="L",G522="30cm"),3,IF(OR(G522="XL",G522="35cm"),4,0))))),0)</f>
        <v>0.5</v>
      </c>
      <c r="J522" s="103">
        <f t="shared" si="1"/>
        <v>0</v>
      </c>
      <c r="K522" s="104" t="str">
        <f>IF(H522&lt;0,"ERROR",IF(H522=0,"",IF(H522&lt;CONFIG!$B$4,"CRÍTICO",IF(H522&lt;CONFIG!$B$5,"BAJO","OK"))))</f>
        <v/>
      </c>
    </row>
    <row r="523" ht="15.75" hidden="1" customHeight="1">
      <c r="A523" s="90" t="str">
        <f>IF(CLIENTES!A7="","",CLIENTES!A7)</f>
        <v/>
      </c>
      <c r="B523" s="90" t="s">
        <v>321</v>
      </c>
      <c r="C523" s="91" t="s">
        <v>326</v>
      </c>
      <c r="D523" s="109" t="s">
        <v>353</v>
      </c>
      <c r="E523" s="67" t="str">
        <f>COLORES!A13</f>
        <v>Camote</v>
      </c>
      <c r="F523" s="67" t="str">
        <f>COLORES!B13</f>
        <v>CLARO</v>
      </c>
      <c r="G523" s="90" t="s">
        <v>379</v>
      </c>
      <c r="H523" s="100">
        <f>IFERROR(SUMIFS(MOVIMIENTOS_COMPLEMENTOS!$I$4:$I$803,MOVIMIENTOS_COMPLEMENTOS!$C$4:$C$803,A523,MOVIMIENTOS_COMPLEMENTOS!$D$4:$D$803,B523,MOVIMIENTOS_COMPLEMENTOS!$E$4:$E$803,C523,MOVIMIENTOS_COMPLEMENTOS!$G$4:$G$803,E523,MOVIMIENTOS_COMPLEMENTOS!$H$4:$H$803,G523,MOVIMIENTOS_COMPLEMENTOS!$B$4:$B$803,"INGRESO")+SUMIFS(MOVIMIENTOS_COMPLEMENTOS!$I$4:$I$803,MOVIMIENTOS_COMPLEMENTOS!$C$4:$C$803,A523,MOVIMIENTOS_COMPLEMENTOS!$D$4:$D$803,B523,MOVIMIENTOS_COMPLEMENTOS!$E$4:$E$803,C523,MOVIMIENTOS_COMPLEMENTOS!$G$4:$G$803,E523,MOVIMIENTOS_COMPLEMENTOS!$H$4:$H$803,G523,MOVIMIENTOS_COMPLEMENTOS!$B$4:$B$803,"DE CORTE")-SUMIFS(MOVIMIENTOS_COMPLEMENTOS!$I$4:$I$803,MOVIMIENTOS_COMPLEMENTOS!$C$4:$C$803,A523,MOVIMIENTOS_COMPLEMENTOS!$D$4:$D$803,B523,MOVIMIENTOS_COMPLEMENTOS!$E$4:$E$803,C523,MOVIMIENTOS_COMPLEMENTOS!$G$4:$G$803,E523,MOVIMIENTOS_COMPLEMENTOS!$H$4:$H$803,G523,MOVIMIENTOS_COMPLEMENTOS!$B$4:$B$803,"SALIDA"),0)</f>
        <v>0</v>
      </c>
      <c r="I523" s="102">
        <f t="array" ref="I523">IFERROR(INDEX(PRECIOS_COMPLEMENTOS!$C$4:$F$17,MATCH(B523&amp;"_"&amp;C523,PRECIOS_COMPLEMENTOS!$H$4:$H$17,0),IF(OR(G523="S",G523="20cm"),1,IF(OR(G523="M",G523="25cm"),2,IF(OR(G523="L",G523="30cm"),3,IF(OR(G523="XL",G523="35cm"),4,0))))),0)</f>
        <v>0.55</v>
      </c>
      <c r="J523" s="103">
        <f t="shared" si="1"/>
        <v>0</v>
      </c>
      <c r="K523" s="104" t="str">
        <f>IF(H523&lt;0,"ERROR",IF(H523=0,"",IF(H523&lt;CONFIG!$B$4,"CRÍTICO",IF(H523&lt;CONFIG!$B$5,"BAJO","OK"))))</f>
        <v/>
      </c>
    </row>
    <row r="524" ht="15.75" hidden="1" customHeight="1">
      <c r="A524" s="90" t="str">
        <f>IF(CLIENTES!A7="","",CLIENTES!A7)</f>
        <v/>
      </c>
      <c r="B524" s="90" t="s">
        <v>321</v>
      </c>
      <c r="C524" s="91" t="s">
        <v>326</v>
      </c>
      <c r="D524" s="109" t="s">
        <v>353</v>
      </c>
      <c r="E524" s="67" t="str">
        <f>COLORES!A14</f>
        <v>Denim</v>
      </c>
      <c r="F524" s="67" t="str">
        <f>COLORES!B14</f>
        <v>CLARO</v>
      </c>
      <c r="G524" s="90" t="s">
        <v>378</v>
      </c>
      <c r="H524" s="100">
        <f>IFERROR(SUMIFS(MOVIMIENTOS_COMPLEMENTOS!$I$4:$I$803,MOVIMIENTOS_COMPLEMENTOS!$C$4:$C$803,A524,MOVIMIENTOS_COMPLEMENTOS!$D$4:$D$803,B524,MOVIMIENTOS_COMPLEMENTOS!$E$4:$E$803,C524,MOVIMIENTOS_COMPLEMENTOS!$G$4:$G$803,E524,MOVIMIENTOS_COMPLEMENTOS!$H$4:$H$803,G524,MOVIMIENTOS_COMPLEMENTOS!$B$4:$B$803,"INGRESO")+SUMIFS(MOVIMIENTOS_COMPLEMENTOS!$I$4:$I$803,MOVIMIENTOS_COMPLEMENTOS!$C$4:$C$803,A524,MOVIMIENTOS_COMPLEMENTOS!$D$4:$D$803,B524,MOVIMIENTOS_COMPLEMENTOS!$E$4:$E$803,C524,MOVIMIENTOS_COMPLEMENTOS!$G$4:$G$803,E524,MOVIMIENTOS_COMPLEMENTOS!$H$4:$H$803,G524,MOVIMIENTOS_COMPLEMENTOS!$B$4:$B$803,"DE CORTE")-SUMIFS(MOVIMIENTOS_COMPLEMENTOS!$I$4:$I$803,MOVIMIENTOS_COMPLEMENTOS!$C$4:$C$803,A524,MOVIMIENTOS_COMPLEMENTOS!$D$4:$D$803,B524,MOVIMIENTOS_COMPLEMENTOS!$E$4:$E$803,C524,MOVIMIENTOS_COMPLEMENTOS!$G$4:$G$803,E524,MOVIMIENTOS_COMPLEMENTOS!$H$4:$H$803,G524,MOVIMIENTOS_COMPLEMENTOS!$B$4:$B$803,"SALIDA"),0)</f>
        <v>0</v>
      </c>
      <c r="I524" s="102">
        <f t="array" ref="I524">IFERROR(INDEX(PRECIOS_COMPLEMENTOS!$C$4:$F$17,MATCH(B524&amp;"_"&amp;C524,PRECIOS_COMPLEMENTOS!$H$4:$H$17,0),IF(OR(G524="S",G524="20cm"),1,IF(OR(G524="M",G524="25cm"),2,IF(OR(G524="L",G524="30cm"),3,IF(OR(G524="XL",G524="35cm"),4,0))))),0)</f>
        <v>0.4</v>
      </c>
      <c r="J524" s="103">
        <f t="shared" si="1"/>
        <v>0</v>
      </c>
      <c r="K524" s="104" t="str">
        <f>IF(H524&lt;0,"ERROR",IF(H524=0,"",IF(H524&lt;CONFIG!$B$4,"CRÍTICO",IF(H524&lt;CONFIG!$B$5,"BAJO","OK"))))</f>
        <v/>
      </c>
    </row>
    <row r="525" ht="15.75" hidden="1" customHeight="1">
      <c r="A525" s="90" t="str">
        <f>IF(CLIENTES!A7="","",CLIENTES!A7)</f>
        <v/>
      </c>
      <c r="B525" s="90" t="s">
        <v>321</v>
      </c>
      <c r="C525" s="91" t="s">
        <v>326</v>
      </c>
      <c r="D525" s="109" t="s">
        <v>353</v>
      </c>
      <c r="E525" s="67" t="str">
        <f>COLORES!A14</f>
        <v>Denim</v>
      </c>
      <c r="F525" s="67" t="str">
        <f>COLORES!B14</f>
        <v>CLARO</v>
      </c>
      <c r="G525" s="90" t="s">
        <v>376</v>
      </c>
      <c r="H525" s="100">
        <f>IFERROR(SUMIFS(MOVIMIENTOS_COMPLEMENTOS!$I$4:$I$803,MOVIMIENTOS_COMPLEMENTOS!$C$4:$C$803,A525,MOVIMIENTOS_COMPLEMENTOS!$D$4:$D$803,B525,MOVIMIENTOS_COMPLEMENTOS!$E$4:$E$803,C525,MOVIMIENTOS_COMPLEMENTOS!$G$4:$G$803,E525,MOVIMIENTOS_COMPLEMENTOS!$H$4:$H$803,G525,MOVIMIENTOS_COMPLEMENTOS!$B$4:$B$803,"INGRESO")+SUMIFS(MOVIMIENTOS_COMPLEMENTOS!$I$4:$I$803,MOVIMIENTOS_COMPLEMENTOS!$C$4:$C$803,A525,MOVIMIENTOS_COMPLEMENTOS!$D$4:$D$803,B525,MOVIMIENTOS_COMPLEMENTOS!$E$4:$E$803,C525,MOVIMIENTOS_COMPLEMENTOS!$G$4:$G$803,E525,MOVIMIENTOS_COMPLEMENTOS!$H$4:$H$803,G525,MOVIMIENTOS_COMPLEMENTOS!$B$4:$B$803,"DE CORTE")-SUMIFS(MOVIMIENTOS_COMPLEMENTOS!$I$4:$I$803,MOVIMIENTOS_COMPLEMENTOS!$C$4:$C$803,A525,MOVIMIENTOS_COMPLEMENTOS!$D$4:$D$803,B525,MOVIMIENTOS_COMPLEMENTOS!$E$4:$E$803,C525,MOVIMIENTOS_COMPLEMENTOS!$G$4:$G$803,E525,MOVIMIENTOS_COMPLEMENTOS!$H$4:$H$803,G525,MOVIMIENTOS_COMPLEMENTOS!$B$4:$B$803,"SALIDA"),0)</f>
        <v>0</v>
      </c>
      <c r="I525" s="102">
        <f t="array" ref="I525">IFERROR(INDEX(PRECIOS_COMPLEMENTOS!$C$4:$F$17,MATCH(B525&amp;"_"&amp;C525,PRECIOS_COMPLEMENTOS!$H$4:$H$17,0),IF(OR(G525="S",G525="20cm"),1,IF(OR(G525="M",G525="25cm"),2,IF(OR(G525="L",G525="30cm"),3,IF(OR(G525="XL",G525="35cm"),4,0))))),0)</f>
        <v>0.45</v>
      </c>
      <c r="J525" s="103">
        <f t="shared" si="1"/>
        <v>0</v>
      </c>
      <c r="K525" s="104" t="str">
        <f>IF(H525&lt;0,"ERROR",IF(H525=0,"",IF(H525&lt;CONFIG!$B$4,"CRÍTICO",IF(H525&lt;CONFIG!$B$5,"BAJO","OK"))))</f>
        <v/>
      </c>
    </row>
    <row r="526" ht="15.75" hidden="1" customHeight="1">
      <c r="A526" s="90" t="str">
        <f>IF(CLIENTES!A7="","",CLIENTES!A7)</f>
        <v/>
      </c>
      <c r="B526" s="90" t="s">
        <v>321</v>
      </c>
      <c r="C526" s="91" t="s">
        <v>326</v>
      </c>
      <c r="D526" s="109" t="s">
        <v>353</v>
      </c>
      <c r="E526" s="67" t="str">
        <f>COLORES!A14</f>
        <v>Denim</v>
      </c>
      <c r="F526" s="67" t="str">
        <f>COLORES!B14</f>
        <v>CLARO</v>
      </c>
      <c r="G526" s="90" t="s">
        <v>377</v>
      </c>
      <c r="H526" s="100">
        <f>IFERROR(SUMIFS(MOVIMIENTOS_COMPLEMENTOS!$I$4:$I$803,MOVIMIENTOS_COMPLEMENTOS!$C$4:$C$803,A526,MOVIMIENTOS_COMPLEMENTOS!$D$4:$D$803,B526,MOVIMIENTOS_COMPLEMENTOS!$E$4:$E$803,C526,MOVIMIENTOS_COMPLEMENTOS!$G$4:$G$803,E526,MOVIMIENTOS_COMPLEMENTOS!$H$4:$H$803,G526,MOVIMIENTOS_COMPLEMENTOS!$B$4:$B$803,"INGRESO")+SUMIFS(MOVIMIENTOS_COMPLEMENTOS!$I$4:$I$803,MOVIMIENTOS_COMPLEMENTOS!$C$4:$C$803,A526,MOVIMIENTOS_COMPLEMENTOS!$D$4:$D$803,B526,MOVIMIENTOS_COMPLEMENTOS!$E$4:$E$803,C526,MOVIMIENTOS_COMPLEMENTOS!$G$4:$G$803,E526,MOVIMIENTOS_COMPLEMENTOS!$H$4:$H$803,G526,MOVIMIENTOS_COMPLEMENTOS!$B$4:$B$803,"DE CORTE")-SUMIFS(MOVIMIENTOS_COMPLEMENTOS!$I$4:$I$803,MOVIMIENTOS_COMPLEMENTOS!$C$4:$C$803,A526,MOVIMIENTOS_COMPLEMENTOS!$D$4:$D$803,B526,MOVIMIENTOS_COMPLEMENTOS!$E$4:$E$803,C526,MOVIMIENTOS_COMPLEMENTOS!$G$4:$G$803,E526,MOVIMIENTOS_COMPLEMENTOS!$H$4:$H$803,G526,MOVIMIENTOS_COMPLEMENTOS!$B$4:$B$803,"SALIDA"),0)</f>
        <v>0</v>
      </c>
      <c r="I526" s="102">
        <f t="array" ref="I526">IFERROR(INDEX(PRECIOS_COMPLEMENTOS!$C$4:$F$17,MATCH(B526&amp;"_"&amp;C526,PRECIOS_COMPLEMENTOS!$H$4:$H$17,0),IF(OR(G526="S",G526="20cm"),1,IF(OR(G526="M",G526="25cm"),2,IF(OR(G526="L",G526="30cm"),3,IF(OR(G526="XL",G526="35cm"),4,0))))),0)</f>
        <v>0.5</v>
      </c>
      <c r="J526" s="103">
        <f t="shared" si="1"/>
        <v>0</v>
      </c>
      <c r="K526" s="104" t="str">
        <f>IF(H526&lt;0,"ERROR",IF(H526=0,"",IF(H526&lt;CONFIG!$B$4,"CRÍTICO",IF(H526&lt;CONFIG!$B$5,"BAJO","OK"))))</f>
        <v/>
      </c>
    </row>
    <row r="527" ht="15.75" hidden="1" customHeight="1">
      <c r="A527" s="90" t="str">
        <f>IF(CLIENTES!A7="","",CLIENTES!A7)</f>
        <v/>
      </c>
      <c r="B527" s="90" t="s">
        <v>321</v>
      </c>
      <c r="C527" s="91" t="s">
        <v>326</v>
      </c>
      <c r="D527" s="109" t="s">
        <v>353</v>
      </c>
      <c r="E527" s="67" t="str">
        <f>COLORES!A14</f>
        <v>Denim</v>
      </c>
      <c r="F527" s="67" t="str">
        <f>COLORES!B14</f>
        <v>CLARO</v>
      </c>
      <c r="G527" s="90" t="s">
        <v>379</v>
      </c>
      <c r="H527" s="100">
        <f>IFERROR(SUMIFS(MOVIMIENTOS_COMPLEMENTOS!$I$4:$I$803,MOVIMIENTOS_COMPLEMENTOS!$C$4:$C$803,A527,MOVIMIENTOS_COMPLEMENTOS!$D$4:$D$803,B527,MOVIMIENTOS_COMPLEMENTOS!$E$4:$E$803,C527,MOVIMIENTOS_COMPLEMENTOS!$G$4:$G$803,E527,MOVIMIENTOS_COMPLEMENTOS!$H$4:$H$803,G527,MOVIMIENTOS_COMPLEMENTOS!$B$4:$B$803,"INGRESO")+SUMIFS(MOVIMIENTOS_COMPLEMENTOS!$I$4:$I$803,MOVIMIENTOS_COMPLEMENTOS!$C$4:$C$803,A527,MOVIMIENTOS_COMPLEMENTOS!$D$4:$D$803,B527,MOVIMIENTOS_COMPLEMENTOS!$E$4:$E$803,C527,MOVIMIENTOS_COMPLEMENTOS!$G$4:$G$803,E527,MOVIMIENTOS_COMPLEMENTOS!$H$4:$H$803,G527,MOVIMIENTOS_COMPLEMENTOS!$B$4:$B$803,"DE CORTE")-SUMIFS(MOVIMIENTOS_COMPLEMENTOS!$I$4:$I$803,MOVIMIENTOS_COMPLEMENTOS!$C$4:$C$803,A527,MOVIMIENTOS_COMPLEMENTOS!$D$4:$D$803,B527,MOVIMIENTOS_COMPLEMENTOS!$E$4:$E$803,C527,MOVIMIENTOS_COMPLEMENTOS!$G$4:$G$803,E527,MOVIMIENTOS_COMPLEMENTOS!$H$4:$H$803,G527,MOVIMIENTOS_COMPLEMENTOS!$B$4:$B$803,"SALIDA"),0)</f>
        <v>0</v>
      </c>
      <c r="I527" s="102">
        <f t="array" ref="I527">IFERROR(INDEX(PRECIOS_COMPLEMENTOS!$C$4:$F$17,MATCH(B527&amp;"_"&amp;C527,PRECIOS_COMPLEMENTOS!$H$4:$H$17,0),IF(OR(G527="S",G527="20cm"),1,IF(OR(G527="M",G527="25cm"),2,IF(OR(G527="L",G527="30cm"),3,IF(OR(G527="XL",G527="35cm"),4,0))))),0)</f>
        <v>0.55</v>
      </c>
      <c r="J527" s="103">
        <f t="shared" si="1"/>
        <v>0</v>
      </c>
      <c r="K527" s="104" t="str">
        <f>IF(H527&lt;0,"ERROR",IF(H527=0,"",IF(H527&lt;CONFIG!$B$4,"CRÍTICO",IF(H527&lt;CONFIG!$B$5,"BAJO","OK"))))</f>
        <v/>
      </c>
    </row>
    <row r="528" ht="15.75" hidden="1" customHeight="1">
      <c r="A528" s="90" t="str">
        <f>IF(CLIENTES!A7="","",CLIENTES!A7)</f>
        <v/>
      </c>
      <c r="B528" s="90" t="s">
        <v>321</v>
      </c>
      <c r="C528" s="91" t="s">
        <v>326</v>
      </c>
      <c r="D528" s="109" t="s">
        <v>353</v>
      </c>
      <c r="E528" s="67" t="str">
        <f>COLORES!A15</f>
        <v>Plomo</v>
      </c>
      <c r="F528" s="67" t="str">
        <f>COLORES!B15</f>
        <v>OSCURO</v>
      </c>
      <c r="G528" s="90" t="s">
        <v>378</v>
      </c>
      <c r="H528" s="100">
        <f>IFERROR(SUMIFS(MOVIMIENTOS_COMPLEMENTOS!$I$4:$I$803,MOVIMIENTOS_COMPLEMENTOS!$C$4:$C$803,A528,MOVIMIENTOS_COMPLEMENTOS!$D$4:$D$803,B528,MOVIMIENTOS_COMPLEMENTOS!$E$4:$E$803,C528,MOVIMIENTOS_COMPLEMENTOS!$G$4:$G$803,E528,MOVIMIENTOS_COMPLEMENTOS!$H$4:$H$803,G528,MOVIMIENTOS_COMPLEMENTOS!$B$4:$B$803,"INGRESO")+SUMIFS(MOVIMIENTOS_COMPLEMENTOS!$I$4:$I$803,MOVIMIENTOS_COMPLEMENTOS!$C$4:$C$803,A528,MOVIMIENTOS_COMPLEMENTOS!$D$4:$D$803,B528,MOVIMIENTOS_COMPLEMENTOS!$E$4:$E$803,C528,MOVIMIENTOS_COMPLEMENTOS!$G$4:$G$803,E528,MOVIMIENTOS_COMPLEMENTOS!$H$4:$H$803,G528,MOVIMIENTOS_COMPLEMENTOS!$B$4:$B$803,"DE CORTE")-SUMIFS(MOVIMIENTOS_COMPLEMENTOS!$I$4:$I$803,MOVIMIENTOS_COMPLEMENTOS!$C$4:$C$803,A528,MOVIMIENTOS_COMPLEMENTOS!$D$4:$D$803,B528,MOVIMIENTOS_COMPLEMENTOS!$E$4:$E$803,C528,MOVIMIENTOS_COMPLEMENTOS!$G$4:$G$803,E528,MOVIMIENTOS_COMPLEMENTOS!$H$4:$H$803,G528,MOVIMIENTOS_COMPLEMENTOS!$B$4:$B$803,"SALIDA"),0)</f>
        <v>0</v>
      </c>
      <c r="I528" s="102">
        <f t="array" ref="I528">IFERROR(INDEX(PRECIOS_COMPLEMENTOS!$C$4:$F$17,MATCH(B528&amp;"_"&amp;C528,PRECIOS_COMPLEMENTOS!$H$4:$H$17,0),IF(OR(G528="S",G528="20cm"),1,IF(OR(G528="M",G528="25cm"),2,IF(OR(G528="L",G528="30cm"),3,IF(OR(G528="XL",G528="35cm"),4,0))))),0)</f>
        <v>0.4</v>
      </c>
      <c r="J528" s="103">
        <f t="shared" si="1"/>
        <v>0</v>
      </c>
      <c r="K528" s="104" t="str">
        <f>IF(H528&lt;0,"ERROR",IF(H528=0,"",IF(H528&lt;CONFIG!$B$4,"CRÍTICO",IF(H528&lt;CONFIG!$B$5,"BAJO","OK"))))</f>
        <v/>
      </c>
    </row>
    <row r="529" ht="15.75" hidden="1" customHeight="1">
      <c r="A529" s="90" t="str">
        <f>IF(CLIENTES!A7="","",CLIENTES!A7)</f>
        <v/>
      </c>
      <c r="B529" s="90" t="s">
        <v>321</v>
      </c>
      <c r="C529" s="91" t="s">
        <v>326</v>
      </c>
      <c r="D529" s="109" t="s">
        <v>353</v>
      </c>
      <c r="E529" s="67" t="str">
        <f>COLORES!A15</f>
        <v>Plomo</v>
      </c>
      <c r="F529" s="67" t="str">
        <f>COLORES!B15</f>
        <v>OSCURO</v>
      </c>
      <c r="G529" s="90" t="s">
        <v>376</v>
      </c>
      <c r="H529" s="100">
        <f>IFERROR(SUMIFS(MOVIMIENTOS_COMPLEMENTOS!$I$4:$I$803,MOVIMIENTOS_COMPLEMENTOS!$C$4:$C$803,A529,MOVIMIENTOS_COMPLEMENTOS!$D$4:$D$803,B529,MOVIMIENTOS_COMPLEMENTOS!$E$4:$E$803,C529,MOVIMIENTOS_COMPLEMENTOS!$G$4:$G$803,E529,MOVIMIENTOS_COMPLEMENTOS!$H$4:$H$803,G529,MOVIMIENTOS_COMPLEMENTOS!$B$4:$B$803,"INGRESO")+SUMIFS(MOVIMIENTOS_COMPLEMENTOS!$I$4:$I$803,MOVIMIENTOS_COMPLEMENTOS!$C$4:$C$803,A529,MOVIMIENTOS_COMPLEMENTOS!$D$4:$D$803,B529,MOVIMIENTOS_COMPLEMENTOS!$E$4:$E$803,C529,MOVIMIENTOS_COMPLEMENTOS!$G$4:$G$803,E529,MOVIMIENTOS_COMPLEMENTOS!$H$4:$H$803,G529,MOVIMIENTOS_COMPLEMENTOS!$B$4:$B$803,"DE CORTE")-SUMIFS(MOVIMIENTOS_COMPLEMENTOS!$I$4:$I$803,MOVIMIENTOS_COMPLEMENTOS!$C$4:$C$803,A529,MOVIMIENTOS_COMPLEMENTOS!$D$4:$D$803,B529,MOVIMIENTOS_COMPLEMENTOS!$E$4:$E$803,C529,MOVIMIENTOS_COMPLEMENTOS!$G$4:$G$803,E529,MOVIMIENTOS_COMPLEMENTOS!$H$4:$H$803,G529,MOVIMIENTOS_COMPLEMENTOS!$B$4:$B$803,"SALIDA"),0)</f>
        <v>0</v>
      </c>
      <c r="I529" s="102">
        <f t="array" ref="I529">IFERROR(INDEX(PRECIOS_COMPLEMENTOS!$C$4:$F$17,MATCH(B529&amp;"_"&amp;C529,PRECIOS_COMPLEMENTOS!$H$4:$H$17,0),IF(OR(G529="S",G529="20cm"),1,IF(OR(G529="M",G529="25cm"),2,IF(OR(G529="L",G529="30cm"),3,IF(OR(G529="XL",G529="35cm"),4,0))))),0)</f>
        <v>0.45</v>
      </c>
      <c r="J529" s="103">
        <f t="shared" si="1"/>
        <v>0</v>
      </c>
      <c r="K529" s="104" t="str">
        <f>IF(H529&lt;0,"ERROR",IF(H529=0,"",IF(H529&lt;CONFIG!$B$4,"CRÍTICO",IF(H529&lt;CONFIG!$B$5,"BAJO","OK"))))</f>
        <v/>
      </c>
    </row>
    <row r="530" ht="15.75" hidden="1" customHeight="1">
      <c r="A530" s="90" t="str">
        <f>IF(CLIENTES!A7="","",CLIENTES!A7)</f>
        <v/>
      </c>
      <c r="B530" s="90" t="s">
        <v>321</v>
      </c>
      <c r="C530" s="91" t="s">
        <v>326</v>
      </c>
      <c r="D530" s="109" t="s">
        <v>353</v>
      </c>
      <c r="E530" s="67" t="str">
        <f>COLORES!A15</f>
        <v>Plomo</v>
      </c>
      <c r="F530" s="67" t="str">
        <f>COLORES!B15</f>
        <v>OSCURO</v>
      </c>
      <c r="G530" s="90" t="s">
        <v>377</v>
      </c>
      <c r="H530" s="100">
        <f>IFERROR(SUMIFS(MOVIMIENTOS_COMPLEMENTOS!$I$4:$I$803,MOVIMIENTOS_COMPLEMENTOS!$C$4:$C$803,A530,MOVIMIENTOS_COMPLEMENTOS!$D$4:$D$803,B530,MOVIMIENTOS_COMPLEMENTOS!$E$4:$E$803,C530,MOVIMIENTOS_COMPLEMENTOS!$G$4:$G$803,E530,MOVIMIENTOS_COMPLEMENTOS!$H$4:$H$803,G530,MOVIMIENTOS_COMPLEMENTOS!$B$4:$B$803,"INGRESO")+SUMIFS(MOVIMIENTOS_COMPLEMENTOS!$I$4:$I$803,MOVIMIENTOS_COMPLEMENTOS!$C$4:$C$803,A530,MOVIMIENTOS_COMPLEMENTOS!$D$4:$D$803,B530,MOVIMIENTOS_COMPLEMENTOS!$E$4:$E$803,C530,MOVIMIENTOS_COMPLEMENTOS!$G$4:$G$803,E530,MOVIMIENTOS_COMPLEMENTOS!$H$4:$H$803,G530,MOVIMIENTOS_COMPLEMENTOS!$B$4:$B$803,"DE CORTE")-SUMIFS(MOVIMIENTOS_COMPLEMENTOS!$I$4:$I$803,MOVIMIENTOS_COMPLEMENTOS!$C$4:$C$803,A530,MOVIMIENTOS_COMPLEMENTOS!$D$4:$D$803,B530,MOVIMIENTOS_COMPLEMENTOS!$E$4:$E$803,C530,MOVIMIENTOS_COMPLEMENTOS!$G$4:$G$803,E530,MOVIMIENTOS_COMPLEMENTOS!$H$4:$H$803,G530,MOVIMIENTOS_COMPLEMENTOS!$B$4:$B$803,"SALIDA"),0)</f>
        <v>0</v>
      </c>
      <c r="I530" s="102">
        <f t="array" ref="I530">IFERROR(INDEX(PRECIOS_COMPLEMENTOS!$C$4:$F$17,MATCH(B530&amp;"_"&amp;C530,PRECIOS_COMPLEMENTOS!$H$4:$H$17,0),IF(OR(G530="S",G530="20cm"),1,IF(OR(G530="M",G530="25cm"),2,IF(OR(G530="L",G530="30cm"),3,IF(OR(G530="XL",G530="35cm"),4,0))))),0)</f>
        <v>0.5</v>
      </c>
      <c r="J530" s="103">
        <f t="shared" si="1"/>
        <v>0</v>
      </c>
      <c r="K530" s="104" t="str">
        <f>IF(H530&lt;0,"ERROR",IF(H530=0,"",IF(H530&lt;CONFIG!$B$4,"CRÍTICO",IF(H530&lt;CONFIG!$B$5,"BAJO","OK"))))</f>
        <v/>
      </c>
    </row>
    <row r="531" ht="15.75" hidden="1" customHeight="1">
      <c r="A531" s="90" t="str">
        <f>IF(CLIENTES!A7="","",CLIENTES!A7)</f>
        <v/>
      </c>
      <c r="B531" s="90" t="s">
        <v>321</v>
      </c>
      <c r="C531" s="91" t="s">
        <v>326</v>
      </c>
      <c r="D531" s="109" t="s">
        <v>353</v>
      </c>
      <c r="E531" s="67" t="str">
        <f>COLORES!A15</f>
        <v>Plomo</v>
      </c>
      <c r="F531" s="67" t="str">
        <f>COLORES!B15</f>
        <v>OSCURO</v>
      </c>
      <c r="G531" s="90" t="s">
        <v>379</v>
      </c>
      <c r="H531" s="100">
        <f>IFERROR(SUMIFS(MOVIMIENTOS_COMPLEMENTOS!$I$4:$I$803,MOVIMIENTOS_COMPLEMENTOS!$C$4:$C$803,A531,MOVIMIENTOS_COMPLEMENTOS!$D$4:$D$803,B531,MOVIMIENTOS_COMPLEMENTOS!$E$4:$E$803,C531,MOVIMIENTOS_COMPLEMENTOS!$G$4:$G$803,E531,MOVIMIENTOS_COMPLEMENTOS!$H$4:$H$803,G531,MOVIMIENTOS_COMPLEMENTOS!$B$4:$B$803,"INGRESO")+SUMIFS(MOVIMIENTOS_COMPLEMENTOS!$I$4:$I$803,MOVIMIENTOS_COMPLEMENTOS!$C$4:$C$803,A531,MOVIMIENTOS_COMPLEMENTOS!$D$4:$D$803,B531,MOVIMIENTOS_COMPLEMENTOS!$E$4:$E$803,C531,MOVIMIENTOS_COMPLEMENTOS!$G$4:$G$803,E531,MOVIMIENTOS_COMPLEMENTOS!$H$4:$H$803,G531,MOVIMIENTOS_COMPLEMENTOS!$B$4:$B$803,"DE CORTE")-SUMIFS(MOVIMIENTOS_COMPLEMENTOS!$I$4:$I$803,MOVIMIENTOS_COMPLEMENTOS!$C$4:$C$803,A531,MOVIMIENTOS_COMPLEMENTOS!$D$4:$D$803,B531,MOVIMIENTOS_COMPLEMENTOS!$E$4:$E$803,C531,MOVIMIENTOS_COMPLEMENTOS!$G$4:$G$803,E531,MOVIMIENTOS_COMPLEMENTOS!$H$4:$H$803,G531,MOVIMIENTOS_COMPLEMENTOS!$B$4:$B$803,"SALIDA"),0)</f>
        <v>0</v>
      </c>
      <c r="I531" s="102">
        <f t="array" ref="I531">IFERROR(INDEX(PRECIOS_COMPLEMENTOS!$C$4:$F$17,MATCH(B531&amp;"_"&amp;C531,PRECIOS_COMPLEMENTOS!$H$4:$H$17,0),IF(OR(G531="S",G531="20cm"),1,IF(OR(G531="M",G531="25cm"),2,IF(OR(G531="L",G531="30cm"),3,IF(OR(G531="XL",G531="35cm"),4,0))))),0)</f>
        <v>0.55</v>
      </c>
      <c r="J531" s="103">
        <f t="shared" si="1"/>
        <v>0</v>
      </c>
      <c r="K531" s="104" t="str">
        <f>IF(H531&lt;0,"ERROR",IF(H531=0,"",IF(H531&lt;CONFIG!$B$4,"CRÍTICO",IF(H531&lt;CONFIG!$B$5,"BAJO","OK"))))</f>
        <v/>
      </c>
    </row>
    <row r="532" ht="15.75" hidden="1" customHeight="1">
      <c r="A532" s="90" t="str">
        <f>IF(CLIENTES!A7="","",CLIENTES!A7)</f>
        <v/>
      </c>
      <c r="B532" s="90" t="s">
        <v>321</v>
      </c>
      <c r="C532" s="91" t="s">
        <v>326</v>
      </c>
      <c r="D532" s="109" t="s">
        <v>353</v>
      </c>
      <c r="E532" s="67" t="str">
        <f>COLORES!A16</f>
        <v>Topo</v>
      </c>
      <c r="F532" s="67" t="str">
        <f>COLORES!B16</f>
        <v>CLARO</v>
      </c>
      <c r="G532" s="90" t="s">
        <v>378</v>
      </c>
      <c r="H532" s="100">
        <f>IFERROR(SUMIFS(MOVIMIENTOS_COMPLEMENTOS!$I$4:$I$803,MOVIMIENTOS_COMPLEMENTOS!$C$4:$C$803,A532,MOVIMIENTOS_COMPLEMENTOS!$D$4:$D$803,B532,MOVIMIENTOS_COMPLEMENTOS!$E$4:$E$803,C532,MOVIMIENTOS_COMPLEMENTOS!$G$4:$G$803,E532,MOVIMIENTOS_COMPLEMENTOS!$H$4:$H$803,G532,MOVIMIENTOS_COMPLEMENTOS!$B$4:$B$803,"INGRESO")+SUMIFS(MOVIMIENTOS_COMPLEMENTOS!$I$4:$I$803,MOVIMIENTOS_COMPLEMENTOS!$C$4:$C$803,A532,MOVIMIENTOS_COMPLEMENTOS!$D$4:$D$803,B532,MOVIMIENTOS_COMPLEMENTOS!$E$4:$E$803,C532,MOVIMIENTOS_COMPLEMENTOS!$G$4:$G$803,E532,MOVIMIENTOS_COMPLEMENTOS!$H$4:$H$803,G532,MOVIMIENTOS_COMPLEMENTOS!$B$4:$B$803,"DE CORTE")-SUMIFS(MOVIMIENTOS_COMPLEMENTOS!$I$4:$I$803,MOVIMIENTOS_COMPLEMENTOS!$C$4:$C$803,A532,MOVIMIENTOS_COMPLEMENTOS!$D$4:$D$803,B532,MOVIMIENTOS_COMPLEMENTOS!$E$4:$E$803,C532,MOVIMIENTOS_COMPLEMENTOS!$G$4:$G$803,E532,MOVIMIENTOS_COMPLEMENTOS!$H$4:$H$803,G532,MOVIMIENTOS_COMPLEMENTOS!$B$4:$B$803,"SALIDA"),0)</f>
        <v>0</v>
      </c>
      <c r="I532" s="102">
        <f t="array" ref="I532">IFERROR(INDEX(PRECIOS_COMPLEMENTOS!$C$4:$F$17,MATCH(B532&amp;"_"&amp;C532,PRECIOS_COMPLEMENTOS!$H$4:$H$17,0),IF(OR(G532="S",G532="20cm"),1,IF(OR(G532="M",G532="25cm"),2,IF(OR(G532="L",G532="30cm"),3,IF(OR(G532="XL",G532="35cm"),4,0))))),0)</f>
        <v>0.4</v>
      </c>
      <c r="J532" s="103">
        <f t="shared" si="1"/>
        <v>0</v>
      </c>
      <c r="K532" s="104" t="str">
        <f>IF(H532&lt;0,"ERROR",IF(H532=0,"",IF(H532&lt;CONFIG!$B$4,"CRÍTICO",IF(H532&lt;CONFIG!$B$5,"BAJO","OK"))))</f>
        <v/>
      </c>
    </row>
    <row r="533" ht="15.75" hidden="1" customHeight="1">
      <c r="A533" s="90" t="str">
        <f>IF(CLIENTES!A7="","",CLIENTES!A7)</f>
        <v/>
      </c>
      <c r="B533" s="90" t="s">
        <v>321</v>
      </c>
      <c r="C533" s="91" t="s">
        <v>326</v>
      </c>
      <c r="D533" s="109" t="s">
        <v>353</v>
      </c>
      <c r="E533" s="67" t="str">
        <f>COLORES!A16</f>
        <v>Topo</v>
      </c>
      <c r="F533" s="67" t="str">
        <f>COLORES!B16</f>
        <v>CLARO</v>
      </c>
      <c r="G533" s="90" t="s">
        <v>376</v>
      </c>
      <c r="H533" s="100">
        <f>IFERROR(SUMIFS(MOVIMIENTOS_COMPLEMENTOS!$I$4:$I$803,MOVIMIENTOS_COMPLEMENTOS!$C$4:$C$803,A533,MOVIMIENTOS_COMPLEMENTOS!$D$4:$D$803,B533,MOVIMIENTOS_COMPLEMENTOS!$E$4:$E$803,C533,MOVIMIENTOS_COMPLEMENTOS!$G$4:$G$803,E533,MOVIMIENTOS_COMPLEMENTOS!$H$4:$H$803,G533,MOVIMIENTOS_COMPLEMENTOS!$B$4:$B$803,"INGRESO")+SUMIFS(MOVIMIENTOS_COMPLEMENTOS!$I$4:$I$803,MOVIMIENTOS_COMPLEMENTOS!$C$4:$C$803,A533,MOVIMIENTOS_COMPLEMENTOS!$D$4:$D$803,B533,MOVIMIENTOS_COMPLEMENTOS!$E$4:$E$803,C533,MOVIMIENTOS_COMPLEMENTOS!$G$4:$G$803,E533,MOVIMIENTOS_COMPLEMENTOS!$H$4:$H$803,G533,MOVIMIENTOS_COMPLEMENTOS!$B$4:$B$803,"DE CORTE")-SUMIFS(MOVIMIENTOS_COMPLEMENTOS!$I$4:$I$803,MOVIMIENTOS_COMPLEMENTOS!$C$4:$C$803,A533,MOVIMIENTOS_COMPLEMENTOS!$D$4:$D$803,B533,MOVIMIENTOS_COMPLEMENTOS!$E$4:$E$803,C533,MOVIMIENTOS_COMPLEMENTOS!$G$4:$G$803,E533,MOVIMIENTOS_COMPLEMENTOS!$H$4:$H$803,G533,MOVIMIENTOS_COMPLEMENTOS!$B$4:$B$803,"SALIDA"),0)</f>
        <v>0</v>
      </c>
      <c r="I533" s="102">
        <f t="array" ref="I533">IFERROR(INDEX(PRECIOS_COMPLEMENTOS!$C$4:$F$17,MATCH(B533&amp;"_"&amp;C533,PRECIOS_COMPLEMENTOS!$H$4:$H$17,0),IF(OR(G533="S",G533="20cm"),1,IF(OR(G533="M",G533="25cm"),2,IF(OR(G533="L",G533="30cm"),3,IF(OR(G533="XL",G533="35cm"),4,0))))),0)</f>
        <v>0.45</v>
      </c>
      <c r="J533" s="103">
        <f t="shared" si="1"/>
        <v>0</v>
      </c>
      <c r="K533" s="104" t="str">
        <f>IF(H533&lt;0,"ERROR",IF(H533=0,"",IF(H533&lt;CONFIG!$B$4,"CRÍTICO",IF(H533&lt;CONFIG!$B$5,"BAJO","OK"))))</f>
        <v/>
      </c>
    </row>
    <row r="534" ht="15.75" hidden="1" customHeight="1">
      <c r="A534" s="90" t="str">
        <f>IF(CLIENTES!A7="","",CLIENTES!A7)</f>
        <v/>
      </c>
      <c r="B534" s="90" t="s">
        <v>321</v>
      </c>
      <c r="C534" s="91" t="s">
        <v>326</v>
      </c>
      <c r="D534" s="109" t="s">
        <v>353</v>
      </c>
      <c r="E534" s="67" t="str">
        <f>COLORES!A16</f>
        <v>Topo</v>
      </c>
      <c r="F534" s="67" t="str">
        <f>COLORES!B16</f>
        <v>CLARO</v>
      </c>
      <c r="G534" s="90" t="s">
        <v>377</v>
      </c>
      <c r="H534" s="100">
        <f>IFERROR(SUMIFS(MOVIMIENTOS_COMPLEMENTOS!$I$4:$I$803,MOVIMIENTOS_COMPLEMENTOS!$C$4:$C$803,A534,MOVIMIENTOS_COMPLEMENTOS!$D$4:$D$803,B534,MOVIMIENTOS_COMPLEMENTOS!$E$4:$E$803,C534,MOVIMIENTOS_COMPLEMENTOS!$G$4:$G$803,E534,MOVIMIENTOS_COMPLEMENTOS!$H$4:$H$803,G534,MOVIMIENTOS_COMPLEMENTOS!$B$4:$B$803,"INGRESO")+SUMIFS(MOVIMIENTOS_COMPLEMENTOS!$I$4:$I$803,MOVIMIENTOS_COMPLEMENTOS!$C$4:$C$803,A534,MOVIMIENTOS_COMPLEMENTOS!$D$4:$D$803,B534,MOVIMIENTOS_COMPLEMENTOS!$E$4:$E$803,C534,MOVIMIENTOS_COMPLEMENTOS!$G$4:$G$803,E534,MOVIMIENTOS_COMPLEMENTOS!$H$4:$H$803,G534,MOVIMIENTOS_COMPLEMENTOS!$B$4:$B$803,"DE CORTE")-SUMIFS(MOVIMIENTOS_COMPLEMENTOS!$I$4:$I$803,MOVIMIENTOS_COMPLEMENTOS!$C$4:$C$803,A534,MOVIMIENTOS_COMPLEMENTOS!$D$4:$D$803,B534,MOVIMIENTOS_COMPLEMENTOS!$E$4:$E$803,C534,MOVIMIENTOS_COMPLEMENTOS!$G$4:$G$803,E534,MOVIMIENTOS_COMPLEMENTOS!$H$4:$H$803,G534,MOVIMIENTOS_COMPLEMENTOS!$B$4:$B$803,"SALIDA"),0)</f>
        <v>0</v>
      </c>
      <c r="I534" s="102">
        <f t="array" ref="I534">IFERROR(INDEX(PRECIOS_COMPLEMENTOS!$C$4:$F$17,MATCH(B534&amp;"_"&amp;C534,PRECIOS_COMPLEMENTOS!$H$4:$H$17,0),IF(OR(G534="S",G534="20cm"),1,IF(OR(G534="M",G534="25cm"),2,IF(OR(G534="L",G534="30cm"),3,IF(OR(G534="XL",G534="35cm"),4,0))))),0)</f>
        <v>0.5</v>
      </c>
      <c r="J534" s="103">
        <f t="shared" si="1"/>
        <v>0</v>
      </c>
      <c r="K534" s="104" t="str">
        <f>IF(H534&lt;0,"ERROR",IF(H534=0,"",IF(H534&lt;CONFIG!$B$4,"CRÍTICO",IF(H534&lt;CONFIG!$B$5,"BAJO","OK"))))</f>
        <v/>
      </c>
    </row>
    <row r="535" ht="15.75" hidden="1" customHeight="1">
      <c r="A535" s="90" t="str">
        <f>IF(CLIENTES!A7="","",CLIENTES!A7)</f>
        <v/>
      </c>
      <c r="B535" s="90" t="s">
        <v>321</v>
      </c>
      <c r="C535" s="91" t="s">
        <v>326</v>
      </c>
      <c r="D535" s="109" t="s">
        <v>353</v>
      </c>
      <c r="E535" s="67" t="str">
        <f>COLORES!A16</f>
        <v>Topo</v>
      </c>
      <c r="F535" s="67" t="str">
        <f>COLORES!B16</f>
        <v>CLARO</v>
      </c>
      <c r="G535" s="90" t="s">
        <v>379</v>
      </c>
      <c r="H535" s="100">
        <f>IFERROR(SUMIFS(MOVIMIENTOS_COMPLEMENTOS!$I$4:$I$803,MOVIMIENTOS_COMPLEMENTOS!$C$4:$C$803,A535,MOVIMIENTOS_COMPLEMENTOS!$D$4:$D$803,B535,MOVIMIENTOS_COMPLEMENTOS!$E$4:$E$803,C535,MOVIMIENTOS_COMPLEMENTOS!$G$4:$G$803,E535,MOVIMIENTOS_COMPLEMENTOS!$H$4:$H$803,G535,MOVIMIENTOS_COMPLEMENTOS!$B$4:$B$803,"INGRESO")+SUMIFS(MOVIMIENTOS_COMPLEMENTOS!$I$4:$I$803,MOVIMIENTOS_COMPLEMENTOS!$C$4:$C$803,A535,MOVIMIENTOS_COMPLEMENTOS!$D$4:$D$803,B535,MOVIMIENTOS_COMPLEMENTOS!$E$4:$E$803,C535,MOVIMIENTOS_COMPLEMENTOS!$G$4:$G$803,E535,MOVIMIENTOS_COMPLEMENTOS!$H$4:$H$803,G535,MOVIMIENTOS_COMPLEMENTOS!$B$4:$B$803,"DE CORTE")-SUMIFS(MOVIMIENTOS_COMPLEMENTOS!$I$4:$I$803,MOVIMIENTOS_COMPLEMENTOS!$C$4:$C$803,A535,MOVIMIENTOS_COMPLEMENTOS!$D$4:$D$803,B535,MOVIMIENTOS_COMPLEMENTOS!$E$4:$E$803,C535,MOVIMIENTOS_COMPLEMENTOS!$G$4:$G$803,E535,MOVIMIENTOS_COMPLEMENTOS!$H$4:$H$803,G535,MOVIMIENTOS_COMPLEMENTOS!$B$4:$B$803,"SALIDA"),0)</f>
        <v>0</v>
      </c>
      <c r="I535" s="102">
        <f t="array" ref="I535">IFERROR(INDEX(PRECIOS_COMPLEMENTOS!$C$4:$F$17,MATCH(B535&amp;"_"&amp;C535,PRECIOS_COMPLEMENTOS!$H$4:$H$17,0),IF(OR(G535="S",G535="20cm"),1,IF(OR(G535="M",G535="25cm"),2,IF(OR(G535="L",G535="30cm"),3,IF(OR(G535="XL",G535="35cm"),4,0))))),0)</f>
        <v>0.55</v>
      </c>
      <c r="J535" s="103">
        <f t="shared" si="1"/>
        <v>0</v>
      </c>
      <c r="K535" s="104" t="str">
        <f>IF(H535&lt;0,"ERROR",IF(H535=0,"",IF(H535&lt;CONFIG!$B$4,"CRÍTICO",IF(H535&lt;CONFIG!$B$5,"BAJO","OK"))))</f>
        <v/>
      </c>
    </row>
    <row r="536" ht="15.75" hidden="1" customHeight="1">
      <c r="A536" s="90" t="str">
        <f>IF(CLIENTES!A7="","",CLIENTES!A7)</f>
        <v/>
      </c>
      <c r="B536" s="90" t="s">
        <v>321</v>
      </c>
      <c r="C536" s="91" t="s">
        <v>326</v>
      </c>
      <c r="D536" s="109" t="s">
        <v>353</v>
      </c>
      <c r="E536" s="67" t="str">
        <f>COLORES!A17</f>
        <v>Vino</v>
      </c>
      <c r="F536" s="67" t="str">
        <f>COLORES!B17</f>
        <v>OSCURO</v>
      </c>
      <c r="G536" s="90" t="s">
        <v>378</v>
      </c>
      <c r="H536" s="100">
        <f>IFERROR(SUMIFS(MOVIMIENTOS_COMPLEMENTOS!$I$4:$I$803,MOVIMIENTOS_COMPLEMENTOS!$C$4:$C$803,A536,MOVIMIENTOS_COMPLEMENTOS!$D$4:$D$803,B536,MOVIMIENTOS_COMPLEMENTOS!$E$4:$E$803,C536,MOVIMIENTOS_COMPLEMENTOS!$G$4:$G$803,E536,MOVIMIENTOS_COMPLEMENTOS!$H$4:$H$803,G536,MOVIMIENTOS_COMPLEMENTOS!$B$4:$B$803,"INGRESO")+SUMIFS(MOVIMIENTOS_COMPLEMENTOS!$I$4:$I$803,MOVIMIENTOS_COMPLEMENTOS!$C$4:$C$803,A536,MOVIMIENTOS_COMPLEMENTOS!$D$4:$D$803,B536,MOVIMIENTOS_COMPLEMENTOS!$E$4:$E$803,C536,MOVIMIENTOS_COMPLEMENTOS!$G$4:$G$803,E536,MOVIMIENTOS_COMPLEMENTOS!$H$4:$H$803,G536,MOVIMIENTOS_COMPLEMENTOS!$B$4:$B$803,"DE CORTE")-SUMIFS(MOVIMIENTOS_COMPLEMENTOS!$I$4:$I$803,MOVIMIENTOS_COMPLEMENTOS!$C$4:$C$803,A536,MOVIMIENTOS_COMPLEMENTOS!$D$4:$D$803,B536,MOVIMIENTOS_COMPLEMENTOS!$E$4:$E$803,C536,MOVIMIENTOS_COMPLEMENTOS!$G$4:$G$803,E536,MOVIMIENTOS_COMPLEMENTOS!$H$4:$H$803,G536,MOVIMIENTOS_COMPLEMENTOS!$B$4:$B$803,"SALIDA"),0)</f>
        <v>0</v>
      </c>
      <c r="I536" s="102">
        <f t="array" ref="I536">IFERROR(INDEX(PRECIOS_COMPLEMENTOS!$C$4:$F$17,MATCH(B536&amp;"_"&amp;C536,PRECIOS_COMPLEMENTOS!$H$4:$H$17,0),IF(OR(G536="S",G536="20cm"),1,IF(OR(G536="M",G536="25cm"),2,IF(OR(G536="L",G536="30cm"),3,IF(OR(G536="XL",G536="35cm"),4,0))))),0)</f>
        <v>0.4</v>
      </c>
      <c r="J536" s="103">
        <f t="shared" si="1"/>
        <v>0</v>
      </c>
      <c r="K536" s="104" t="str">
        <f>IF(H536&lt;0,"ERROR",IF(H536=0,"",IF(H536&lt;CONFIG!$B$4,"CRÍTICO",IF(H536&lt;CONFIG!$B$5,"BAJO","OK"))))</f>
        <v/>
      </c>
    </row>
    <row r="537" ht="15.75" hidden="1" customHeight="1">
      <c r="A537" s="90" t="str">
        <f>IF(CLIENTES!A7="","",CLIENTES!A7)</f>
        <v/>
      </c>
      <c r="B537" s="90" t="s">
        <v>321</v>
      </c>
      <c r="C537" s="91" t="s">
        <v>326</v>
      </c>
      <c r="D537" s="109" t="s">
        <v>353</v>
      </c>
      <c r="E537" s="67" t="str">
        <f>COLORES!A17</f>
        <v>Vino</v>
      </c>
      <c r="F537" s="67" t="str">
        <f>COLORES!B17</f>
        <v>OSCURO</v>
      </c>
      <c r="G537" s="90" t="s">
        <v>376</v>
      </c>
      <c r="H537" s="100">
        <f>IFERROR(SUMIFS(MOVIMIENTOS_COMPLEMENTOS!$I$4:$I$803,MOVIMIENTOS_COMPLEMENTOS!$C$4:$C$803,A537,MOVIMIENTOS_COMPLEMENTOS!$D$4:$D$803,B537,MOVIMIENTOS_COMPLEMENTOS!$E$4:$E$803,C537,MOVIMIENTOS_COMPLEMENTOS!$G$4:$G$803,E537,MOVIMIENTOS_COMPLEMENTOS!$H$4:$H$803,G537,MOVIMIENTOS_COMPLEMENTOS!$B$4:$B$803,"INGRESO")+SUMIFS(MOVIMIENTOS_COMPLEMENTOS!$I$4:$I$803,MOVIMIENTOS_COMPLEMENTOS!$C$4:$C$803,A537,MOVIMIENTOS_COMPLEMENTOS!$D$4:$D$803,B537,MOVIMIENTOS_COMPLEMENTOS!$E$4:$E$803,C537,MOVIMIENTOS_COMPLEMENTOS!$G$4:$G$803,E537,MOVIMIENTOS_COMPLEMENTOS!$H$4:$H$803,G537,MOVIMIENTOS_COMPLEMENTOS!$B$4:$B$803,"DE CORTE")-SUMIFS(MOVIMIENTOS_COMPLEMENTOS!$I$4:$I$803,MOVIMIENTOS_COMPLEMENTOS!$C$4:$C$803,A537,MOVIMIENTOS_COMPLEMENTOS!$D$4:$D$803,B537,MOVIMIENTOS_COMPLEMENTOS!$E$4:$E$803,C537,MOVIMIENTOS_COMPLEMENTOS!$G$4:$G$803,E537,MOVIMIENTOS_COMPLEMENTOS!$H$4:$H$803,G537,MOVIMIENTOS_COMPLEMENTOS!$B$4:$B$803,"SALIDA"),0)</f>
        <v>0</v>
      </c>
      <c r="I537" s="102">
        <f t="array" ref="I537">IFERROR(INDEX(PRECIOS_COMPLEMENTOS!$C$4:$F$17,MATCH(B537&amp;"_"&amp;C537,PRECIOS_COMPLEMENTOS!$H$4:$H$17,0),IF(OR(G537="S",G537="20cm"),1,IF(OR(G537="M",G537="25cm"),2,IF(OR(G537="L",G537="30cm"),3,IF(OR(G537="XL",G537="35cm"),4,0))))),0)</f>
        <v>0.45</v>
      </c>
      <c r="J537" s="103">
        <f t="shared" si="1"/>
        <v>0</v>
      </c>
      <c r="K537" s="104" t="str">
        <f>IF(H537&lt;0,"ERROR",IF(H537=0,"",IF(H537&lt;CONFIG!$B$4,"CRÍTICO",IF(H537&lt;CONFIG!$B$5,"BAJO","OK"))))</f>
        <v/>
      </c>
    </row>
    <row r="538" ht="15.75" hidden="1" customHeight="1">
      <c r="A538" s="90" t="str">
        <f>IF(CLIENTES!A7="","",CLIENTES!A7)</f>
        <v/>
      </c>
      <c r="B538" s="90" t="s">
        <v>321</v>
      </c>
      <c r="C538" s="91" t="s">
        <v>326</v>
      </c>
      <c r="D538" s="109" t="s">
        <v>353</v>
      </c>
      <c r="E538" s="67" t="str">
        <f>COLORES!A17</f>
        <v>Vino</v>
      </c>
      <c r="F538" s="67" t="str">
        <f>COLORES!B17</f>
        <v>OSCURO</v>
      </c>
      <c r="G538" s="90" t="s">
        <v>377</v>
      </c>
      <c r="H538" s="100">
        <f>IFERROR(SUMIFS(MOVIMIENTOS_COMPLEMENTOS!$I$4:$I$803,MOVIMIENTOS_COMPLEMENTOS!$C$4:$C$803,A538,MOVIMIENTOS_COMPLEMENTOS!$D$4:$D$803,B538,MOVIMIENTOS_COMPLEMENTOS!$E$4:$E$803,C538,MOVIMIENTOS_COMPLEMENTOS!$G$4:$G$803,E538,MOVIMIENTOS_COMPLEMENTOS!$H$4:$H$803,G538,MOVIMIENTOS_COMPLEMENTOS!$B$4:$B$803,"INGRESO")+SUMIFS(MOVIMIENTOS_COMPLEMENTOS!$I$4:$I$803,MOVIMIENTOS_COMPLEMENTOS!$C$4:$C$803,A538,MOVIMIENTOS_COMPLEMENTOS!$D$4:$D$803,B538,MOVIMIENTOS_COMPLEMENTOS!$E$4:$E$803,C538,MOVIMIENTOS_COMPLEMENTOS!$G$4:$G$803,E538,MOVIMIENTOS_COMPLEMENTOS!$H$4:$H$803,G538,MOVIMIENTOS_COMPLEMENTOS!$B$4:$B$803,"DE CORTE")-SUMIFS(MOVIMIENTOS_COMPLEMENTOS!$I$4:$I$803,MOVIMIENTOS_COMPLEMENTOS!$C$4:$C$803,A538,MOVIMIENTOS_COMPLEMENTOS!$D$4:$D$803,B538,MOVIMIENTOS_COMPLEMENTOS!$E$4:$E$803,C538,MOVIMIENTOS_COMPLEMENTOS!$G$4:$G$803,E538,MOVIMIENTOS_COMPLEMENTOS!$H$4:$H$803,G538,MOVIMIENTOS_COMPLEMENTOS!$B$4:$B$803,"SALIDA"),0)</f>
        <v>0</v>
      </c>
      <c r="I538" s="102">
        <f t="array" ref="I538">IFERROR(INDEX(PRECIOS_COMPLEMENTOS!$C$4:$F$17,MATCH(B538&amp;"_"&amp;C538,PRECIOS_COMPLEMENTOS!$H$4:$H$17,0),IF(OR(G538="S",G538="20cm"),1,IF(OR(G538="M",G538="25cm"),2,IF(OR(G538="L",G538="30cm"),3,IF(OR(G538="XL",G538="35cm"),4,0))))),0)</f>
        <v>0.5</v>
      </c>
      <c r="J538" s="103">
        <f t="shared" si="1"/>
        <v>0</v>
      </c>
      <c r="K538" s="104" t="str">
        <f>IF(H538&lt;0,"ERROR",IF(H538=0,"",IF(H538&lt;CONFIG!$B$4,"CRÍTICO",IF(H538&lt;CONFIG!$B$5,"BAJO","OK"))))</f>
        <v/>
      </c>
    </row>
    <row r="539" ht="15.75" hidden="1" customHeight="1">
      <c r="A539" s="90" t="str">
        <f>IF(CLIENTES!A7="","",CLIENTES!A7)</f>
        <v/>
      </c>
      <c r="B539" s="90" t="s">
        <v>321</v>
      </c>
      <c r="C539" s="91" t="s">
        <v>326</v>
      </c>
      <c r="D539" s="109" t="s">
        <v>353</v>
      </c>
      <c r="E539" s="67" t="str">
        <f>COLORES!A17</f>
        <v>Vino</v>
      </c>
      <c r="F539" s="67" t="str">
        <f>COLORES!B17</f>
        <v>OSCURO</v>
      </c>
      <c r="G539" s="90" t="s">
        <v>379</v>
      </c>
      <c r="H539" s="100">
        <f>IFERROR(SUMIFS(MOVIMIENTOS_COMPLEMENTOS!$I$4:$I$803,MOVIMIENTOS_COMPLEMENTOS!$C$4:$C$803,A539,MOVIMIENTOS_COMPLEMENTOS!$D$4:$D$803,B539,MOVIMIENTOS_COMPLEMENTOS!$E$4:$E$803,C539,MOVIMIENTOS_COMPLEMENTOS!$G$4:$G$803,E539,MOVIMIENTOS_COMPLEMENTOS!$H$4:$H$803,G539,MOVIMIENTOS_COMPLEMENTOS!$B$4:$B$803,"INGRESO")+SUMIFS(MOVIMIENTOS_COMPLEMENTOS!$I$4:$I$803,MOVIMIENTOS_COMPLEMENTOS!$C$4:$C$803,A539,MOVIMIENTOS_COMPLEMENTOS!$D$4:$D$803,B539,MOVIMIENTOS_COMPLEMENTOS!$E$4:$E$803,C539,MOVIMIENTOS_COMPLEMENTOS!$G$4:$G$803,E539,MOVIMIENTOS_COMPLEMENTOS!$H$4:$H$803,G539,MOVIMIENTOS_COMPLEMENTOS!$B$4:$B$803,"DE CORTE")-SUMIFS(MOVIMIENTOS_COMPLEMENTOS!$I$4:$I$803,MOVIMIENTOS_COMPLEMENTOS!$C$4:$C$803,A539,MOVIMIENTOS_COMPLEMENTOS!$D$4:$D$803,B539,MOVIMIENTOS_COMPLEMENTOS!$E$4:$E$803,C539,MOVIMIENTOS_COMPLEMENTOS!$G$4:$G$803,E539,MOVIMIENTOS_COMPLEMENTOS!$H$4:$H$803,G539,MOVIMIENTOS_COMPLEMENTOS!$B$4:$B$803,"SALIDA"),0)</f>
        <v>0</v>
      </c>
      <c r="I539" s="102">
        <f t="array" ref="I539">IFERROR(INDEX(PRECIOS_COMPLEMENTOS!$C$4:$F$17,MATCH(B539&amp;"_"&amp;C539,PRECIOS_COMPLEMENTOS!$H$4:$H$17,0),IF(OR(G539="S",G539="20cm"),1,IF(OR(G539="M",G539="25cm"),2,IF(OR(G539="L",G539="30cm"),3,IF(OR(G539="XL",G539="35cm"),4,0))))),0)</f>
        <v>0.55</v>
      </c>
      <c r="J539" s="103">
        <f t="shared" si="1"/>
        <v>0</v>
      </c>
      <c r="K539" s="104" t="str">
        <f>IF(H539&lt;0,"ERROR",IF(H539=0,"",IF(H539&lt;CONFIG!$B$4,"CRÍTICO",IF(H539&lt;CONFIG!$B$5,"BAJO","OK"))))</f>
        <v/>
      </c>
    </row>
    <row r="540" ht="15.75" hidden="1" customHeight="1">
      <c r="A540" s="90" t="str">
        <f>IF(CLIENTES!A7="","",CLIENTES!A7)</f>
        <v/>
      </c>
      <c r="B540" s="90" t="s">
        <v>321</v>
      </c>
      <c r="C540" s="91" t="s">
        <v>326</v>
      </c>
      <c r="D540" s="109" t="s">
        <v>353</v>
      </c>
      <c r="E540" s="67" t="str">
        <f>COLORES!A18</f>
        <v>P. Rosa</v>
      </c>
      <c r="F540" s="67" t="str">
        <f>COLORES!B18</f>
        <v>CLARO</v>
      </c>
      <c r="G540" s="90" t="s">
        <v>378</v>
      </c>
      <c r="H540" s="100">
        <f>IFERROR(SUMIFS(MOVIMIENTOS_COMPLEMENTOS!$I$4:$I$803,MOVIMIENTOS_COMPLEMENTOS!$C$4:$C$803,A540,MOVIMIENTOS_COMPLEMENTOS!$D$4:$D$803,B540,MOVIMIENTOS_COMPLEMENTOS!$E$4:$E$803,C540,MOVIMIENTOS_COMPLEMENTOS!$G$4:$G$803,E540,MOVIMIENTOS_COMPLEMENTOS!$H$4:$H$803,G540,MOVIMIENTOS_COMPLEMENTOS!$B$4:$B$803,"INGRESO")+SUMIFS(MOVIMIENTOS_COMPLEMENTOS!$I$4:$I$803,MOVIMIENTOS_COMPLEMENTOS!$C$4:$C$803,A540,MOVIMIENTOS_COMPLEMENTOS!$D$4:$D$803,B540,MOVIMIENTOS_COMPLEMENTOS!$E$4:$E$803,C540,MOVIMIENTOS_COMPLEMENTOS!$G$4:$G$803,E540,MOVIMIENTOS_COMPLEMENTOS!$H$4:$H$803,G540,MOVIMIENTOS_COMPLEMENTOS!$B$4:$B$803,"DE CORTE")-SUMIFS(MOVIMIENTOS_COMPLEMENTOS!$I$4:$I$803,MOVIMIENTOS_COMPLEMENTOS!$C$4:$C$803,A540,MOVIMIENTOS_COMPLEMENTOS!$D$4:$D$803,B540,MOVIMIENTOS_COMPLEMENTOS!$E$4:$E$803,C540,MOVIMIENTOS_COMPLEMENTOS!$G$4:$G$803,E540,MOVIMIENTOS_COMPLEMENTOS!$H$4:$H$803,G540,MOVIMIENTOS_COMPLEMENTOS!$B$4:$B$803,"SALIDA"),0)</f>
        <v>0</v>
      </c>
      <c r="I540" s="102">
        <f t="array" ref="I540">IFERROR(INDEX(PRECIOS_COMPLEMENTOS!$C$4:$F$17,MATCH(B540&amp;"_"&amp;C540,PRECIOS_COMPLEMENTOS!$H$4:$H$17,0),IF(OR(G540="S",G540="20cm"),1,IF(OR(G540="M",G540="25cm"),2,IF(OR(G540="L",G540="30cm"),3,IF(OR(G540="XL",G540="35cm"),4,0))))),0)</f>
        <v>0.4</v>
      </c>
      <c r="J540" s="103">
        <f t="shared" si="1"/>
        <v>0</v>
      </c>
      <c r="K540" s="104" t="str">
        <f>IF(H540&lt;0,"ERROR",IF(H540=0,"",IF(H540&lt;CONFIG!$B$4,"CRÍTICO",IF(H540&lt;CONFIG!$B$5,"BAJO","OK"))))</f>
        <v/>
      </c>
    </row>
    <row r="541" ht="15.75" hidden="1" customHeight="1">
      <c r="A541" s="90" t="str">
        <f>IF(CLIENTES!A7="","",CLIENTES!A7)</f>
        <v/>
      </c>
      <c r="B541" s="90" t="s">
        <v>321</v>
      </c>
      <c r="C541" s="91" t="s">
        <v>326</v>
      </c>
      <c r="D541" s="109" t="s">
        <v>353</v>
      </c>
      <c r="E541" s="67" t="str">
        <f>COLORES!A18</f>
        <v>P. Rosa</v>
      </c>
      <c r="F541" s="67" t="str">
        <f>COLORES!B18</f>
        <v>CLARO</v>
      </c>
      <c r="G541" s="90" t="s">
        <v>376</v>
      </c>
      <c r="H541" s="100">
        <f>IFERROR(SUMIFS(MOVIMIENTOS_COMPLEMENTOS!$I$4:$I$803,MOVIMIENTOS_COMPLEMENTOS!$C$4:$C$803,A541,MOVIMIENTOS_COMPLEMENTOS!$D$4:$D$803,B541,MOVIMIENTOS_COMPLEMENTOS!$E$4:$E$803,C541,MOVIMIENTOS_COMPLEMENTOS!$G$4:$G$803,E541,MOVIMIENTOS_COMPLEMENTOS!$H$4:$H$803,G541,MOVIMIENTOS_COMPLEMENTOS!$B$4:$B$803,"INGRESO")+SUMIFS(MOVIMIENTOS_COMPLEMENTOS!$I$4:$I$803,MOVIMIENTOS_COMPLEMENTOS!$C$4:$C$803,A541,MOVIMIENTOS_COMPLEMENTOS!$D$4:$D$803,B541,MOVIMIENTOS_COMPLEMENTOS!$E$4:$E$803,C541,MOVIMIENTOS_COMPLEMENTOS!$G$4:$G$803,E541,MOVIMIENTOS_COMPLEMENTOS!$H$4:$H$803,G541,MOVIMIENTOS_COMPLEMENTOS!$B$4:$B$803,"DE CORTE")-SUMIFS(MOVIMIENTOS_COMPLEMENTOS!$I$4:$I$803,MOVIMIENTOS_COMPLEMENTOS!$C$4:$C$803,A541,MOVIMIENTOS_COMPLEMENTOS!$D$4:$D$803,B541,MOVIMIENTOS_COMPLEMENTOS!$E$4:$E$803,C541,MOVIMIENTOS_COMPLEMENTOS!$G$4:$G$803,E541,MOVIMIENTOS_COMPLEMENTOS!$H$4:$H$803,G541,MOVIMIENTOS_COMPLEMENTOS!$B$4:$B$803,"SALIDA"),0)</f>
        <v>0</v>
      </c>
      <c r="I541" s="102">
        <f t="array" ref="I541">IFERROR(INDEX(PRECIOS_COMPLEMENTOS!$C$4:$F$17,MATCH(B541&amp;"_"&amp;C541,PRECIOS_COMPLEMENTOS!$H$4:$H$17,0),IF(OR(G541="S",G541="20cm"),1,IF(OR(G541="M",G541="25cm"),2,IF(OR(G541="L",G541="30cm"),3,IF(OR(G541="XL",G541="35cm"),4,0))))),0)</f>
        <v>0.45</v>
      </c>
      <c r="J541" s="103">
        <f t="shared" si="1"/>
        <v>0</v>
      </c>
      <c r="K541" s="104" t="str">
        <f>IF(H541&lt;0,"ERROR",IF(H541=0,"",IF(H541&lt;CONFIG!$B$4,"CRÍTICO",IF(H541&lt;CONFIG!$B$5,"BAJO","OK"))))</f>
        <v/>
      </c>
    </row>
    <row r="542" ht="15.75" hidden="1" customHeight="1">
      <c r="A542" s="90" t="str">
        <f>IF(CLIENTES!A7="","",CLIENTES!A7)</f>
        <v/>
      </c>
      <c r="B542" s="90" t="s">
        <v>321</v>
      </c>
      <c r="C542" s="91" t="s">
        <v>326</v>
      </c>
      <c r="D542" s="109" t="s">
        <v>353</v>
      </c>
      <c r="E542" s="67" t="str">
        <f>COLORES!A18</f>
        <v>P. Rosa</v>
      </c>
      <c r="F542" s="67" t="str">
        <f>COLORES!B18</f>
        <v>CLARO</v>
      </c>
      <c r="G542" s="90" t="s">
        <v>377</v>
      </c>
      <c r="H542" s="100">
        <f>IFERROR(SUMIFS(MOVIMIENTOS_COMPLEMENTOS!$I$4:$I$803,MOVIMIENTOS_COMPLEMENTOS!$C$4:$C$803,A542,MOVIMIENTOS_COMPLEMENTOS!$D$4:$D$803,B542,MOVIMIENTOS_COMPLEMENTOS!$E$4:$E$803,C542,MOVIMIENTOS_COMPLEMENTOS!$G$4:$G$803,E542,MOVIMIENTOS_COMPLEMENTOS!$H$4:$H$803,G542,MOVIMIENTOS_COMPLEMENTOS!$B$4:$B$803,"INGRESO")+SUMIFS(MOVIMIENTOS_COMPLEMENTOS!$I$4:$I$803,MOVIMIENTOS_COMPLEMENTOS!$C$4:$C$803,A542,MOVIMIENTOS_COMPLEMENTOS!$D$4:$D$803,B542,MOVIMIENTOS_COMPLEMENTOS!$E$4:$E$803,C542,MOVIMIENTOS_COMPLEMENTOS!$G$4:$G$803,E542,MOVIMIENTOS_COMPLEMENTOS!$H$4:$H$803,G542,MOVIMIENTOS_COMPLEMENTOS!$B$4:$B$803,"DE CORTE")-SUMIFS(MOVIMIENTOS_COMPLEMENTOS!$I$4:$I$803,MOVIMIENTOS_COMPLEMENTOS!$C$4:$C$803,A542,MOVIMIENTOS_COMPLEMENTOS!$D$4:$D$803,B542,MOVIMIENTOS_COMPLEMENTOS!$E$4:$E$803,C542,MOVIMIENTOS_COMPLEMENTOS!$G$4:$G$803,E542,MOVIMIENTOS_COMPLEMENTOS!$H$4:$H$803,G542,MOVIMIENTOS_COMPLEMENTOS!$B$4:$B$803,"SALIDA"),0)</f>
        <v>0</v>
      </c>
      <c r="I542" s="102">
        <f t="array" ref="I542">IFERROR(INDEX(PRECIOS_COMPLEMENTOS!$C$4:$F$17,MATCH(B542&amp;"_"&amp;C542,PRECIOS_COMPLEMENTOS!$H$4:$H$17,0),IF(OR(G542="S",G542="20cm"),1,IF(OR(G542="M",G542="25cm"),2,IF(OR(G542="L",G542="30cm"),3,IF(OR(G542="XL",G542="35cm"),4,0))))),0)</f>
        <v>0.5</v>
      </c>
      <c r="J542" s="103">
        <f t="shared" si="1"/>
        <v>0</v>
      </c>
      <c r="K542" s="104" t="str">
        <f>IF(H542&lt;0,"ERROR",IF(H542=0,"",IF(H542&lt;CONFIG!$B$4,"CRÍTICO",IF(H542&lt;CONFIG!$B$5,"BAJO","OK"))))</f>
        <v/>
      </c>
    </row>
    <row r="543" ht="15.75" hidden="1" customHeight="1">
      <c r="A543" s="90" t="str">
        <f>IF(CLIENTES!A7="","",CLIENTES!A7)</f>
        <v/>
      </c>
      <c r="B543" s="90" t="s">
        <v>321</v>
      </c>
      <c r="C543" s="91" t="s">
        <v>326</v>
      </c>
      <c r="D543" s="109" t="s">
        <v>353</v>
      </c>
      <c r="E543" s="67" t="str">
        <f>COLORES!A18</f>
        <v>P. Rosa</v>
      </c>
      <c r="F543" s="67" t="str">
        <f>COLORES!B18</f>
        <v>CLARO</v>
      </c>
      <c r="G543" s="90" t="s">
        <v>379</v>
      </c>
      <c r="H543" s="100">
        <f>IFERROR(SUMIFS(MOVIMIENTOS_COMPLEMENTOS!$I$4:$I$803,MOVIMIENTOS_COMPLEMENTOS!$C$4:$C$803,A543,MOVIMIENTOS_COMPLEMENTOS!$D$4:$D$803,B543,MOVIMIENTOS_COMPLEMENTOS!$E$4:$E$803,C543,MOVIMIENTOS_COMPLEMENTOS!$G$4:$G$803,E543,MOVIMIENTOS_COMPLEMENTOS!$H$4:$H$803,G543,MOVIMIENTOS_COMPLEMENTOS!$B$4:$B$803,"INGRESO")+SUMIFS(MOVIMIENTOS_COMPLEMENTOS!$I$4:$I$803,MOVIMIENTOS_COMPLEMENTOS!$C$4:$C$803,A543,MOVIMIENTOS_COMPLEMENTOS!$D$4:$D$803,B543,MOVIMIENTOS_COMPLEMENTOS!$E$4:$E$803,C543,MOVIMIENTOS_COMPLEMENTOS!$G$4:$G$803,E543,MOVIMIENTOS_COMPLEMENTOS!$H$4:$H$803,G543,MOVIMIENTOS_COMPLEMENTOS!$B$4:$B$803,"DE CORTE")-SUMIFS(MOVIMIENTOS_COMPLEMENTOS!$I$4:$I$803,MOVIMIENTOS_COMPLEMENTOS!$C$4:$C$803,A543,MOVIMIENTOS_COMPLEMENTOS!$D$4:$D$803,B543,MOVIMIENTOS_COMPLEMENTOS!$E$4:$E$803,C543,MOVIMIENTOS_COMPLEMENTOS!$G$4:$G$803,E543,MOVIMIENTOS_COMPLEMENTOS!$H$4:$H$803,G543,MOVIMIENTOS_COMPLEMENTOS!$B$4:$B$803,"SALIDA"),0)</f>
        <v>0</v>
      </c>
      <c r="I543" s="102">
        <f t="array" ref="I543">IFERROR(INDEX(PRECIOS_COMPLEMENTOS!$C$4:$F$17,MATCH(B543&amp;"_"&amp;C543,PRECIOS_COMPLEMENTOS!$H$4:$H$17,0),IF(OR(G543="S",G543="20cm"),1,IF(OR(G543="M",G543="25cm"),2,IF(OR(G543="L",G543="30cm"),3,IF(OR(G543="XL",G543="35cm"),4,0))))),0)</f>
        <v>0.55</v>
      </c>
      <c r="J543" s="103">
        <f t="shared" si="1"/>
        <v>0</v>
      </c>
      <c r="K543" s="104" t="str">
        <f>IF(H543&lt;0,"ERROR",IF(H543=0,"",IF(H543&lt;CONFIG!$B$4,"CRÍTICO",IF(H543&lt;CONFIG!$B$5,"BAJO","OK"))))</f>
        <v/>
      </c>
    </row>
    <row r="544" ht="15.75" hidden="1" customHeight="1">
      <c r="A544" s="90" t="str">
        <f>IF(CLIENTES!A7="","",CLIENTES!A7)</f>
        <v/>
      </c>
      <c r="B544" s="90" t="s">
        <v>321</v>
      </c>
      <c r="C544" s="91" t="s">
        <v>326</v>
      </c>
      <c r="D544" s="109" t="s">
        <v>353</v>
      </c>
      <c r="E544" s="67" t="str">
        <f>COLORES!A19</f>
        <v/>
      </c>
      <c r="F544" s="67" t="str">
        <f>COLORES!B19</f>
        <v/>
      </c>
      <c r="G544" s="90" t="s">
        <v>378</v>
      </c>
      <c r="H544" s="100">
        <f>IFERROR(SUMIFS(MOVIMIENTOS_COMPLEMENTOS!$I$4:$I$803,MOVIMIENTOS_COMPLEMENTOS!$C$4:$C$803,A544,MOVIMIENTOS_COMPLEMENTOS!$D$4:$D$803,B544,MOVIMIENTOS_COMPLEMENTOS!$E$4:$E$803,C544,MOVIMIENTOS_COMPLEMENTOS!$G$4:$G$803,E544,MOVIMIENTOS_COMPLEMENTOS!$H$4:$H$803,G544,MOVIMIENTOS_COMPLEMENTOS!$B$4:$B$803,"INGRESO")+SUMIFS(MOVIMIENTOS_COMPLEMENTOS!$I$4:$I$803,MOVIMIENTOS_COMPLEMENTOS!$C$4:$C$803,A544,MOVIMIENTOS_COMPLEMENTOS!$D$4:$D$803,B544,MOVIMIENTOS_COMPLEMENTOS!$E$4:$E$803,C544,MOVIMIENTOS_COMPLEMENTOS!$G$4:$G$803,E544,MOVIMIENTOS_COMPLEMENTOS!$H$4:$H$803,G544,MOVIMIENTOS_COMPLEMENTOS!$B$4:$B$803,"DE CORTE")-SUMIFS(MOVIMIENTOS_COMPLEMENTOS!$I$4:$I$803,MOVIMIENTOS_COMPLEMENTOS!$C$4:$C$803,A544,MOVIMIENTOS_COMPLEMENTOS!$D$4:$D$803,B544,MOVIMIENTOS_COMPLEMENTOS!$E$4:$E$803,C544,MOVIMIENTOS_COMPLEMENTOS!$G$4:$G$803,E544,MOVIMIENTOS_COMPLEMENTOS!$H$4:$H$803,G544,MOVIMIENTOS_COMPLEMENTOS!$B$4:$B$803,"SALIDA"),0)</f>
        <v>0</v>
      </c>
      <c r="I544" s="102">
        <f t="array" ref="I544">IFERROR(INDEX(PRECIOS_COMPLEMENTOS!$C$4:$F$17,MATCH(B544&amp;"_"&amp;C544,PRECIOS_COMPLEMENTOS!$H$4:$H$17,0),IF(OR(G544="S",G544="20cm"),1,IF(OR(G544="M",G544="25cm"),2,IF(OR(G544="L",G544="30cm"),3,IF(OR(G544="XL",G544="35cm"),4,0))))),0)</f>
        <v>0.4</v>
      </c>
      <c r="J544" s="103">
        <f t="shared" si="1"/>
        <v>0</v>
      </c>
      <c r="K544" s="104" t="str">
        <f>IF(H544&lt;0,"ERROR",IF(H544=0,"",IF(H544&lt;CONFIG!$B$4,"CRÍTICO",IF(H544&lt;CONFIG!$B$5,"BAJO","OK"))))</f>
        <v/>
      </c>
    </row>
    <row r="545" ht="15.75" hidden="1" customHeight="1">
      <c r="A545" s="90" t="str">
        <f>IF(CLIENTES!A7="","",CLIENTES!A7)</f>
        <v/>
      </c>
      <c r="B545" s="90" t="s">
        <v>321</v>
      </c>
      <c r="C545" s="91" t="s">
        <v>326</v>
      </c>
      <c r="D545" s="109" t="s">
        <v>353</v>
      </c>
      <c r="E545" s="67" t="str">
        <f>COLORES!A19</f>
        <v/>
      </c>
      <c r="F545" s="67" t="str">
        <f>COLORES!B19</f>
        <v/>
      </c>
      <c r="G545" s="90" t="s">
        <v>376</v>
      </c>
      <c r="H545" s="100">
        <f>IFERROR(SUMIFS(MOVIMIENTOS_COMPLEMENTOS!$I$4:$I$803,MOVIMIENTOS_COMPLEMENTOS!$C$4:$C$803,A545,MOVIMIENTOS_COMPLEMENTOS!$D$4:$D$803,B545,MOVIMIENTOS_COMPLEMENTOS!$E$4:$E$803,C545,MOVIMIENTOS_COMPLEMENTOS!$G$4:$G$803,E545,MOVIMIENTOS_COMPLEMENTOS!$H$4:$H$803,G545,MOVIMIENTOS_COMPLEMENTOS!$B$4:$B$803,"INGRESO")+SUMIFS(MOVIMIENTOS_COMPLEMENTOS!$I$4:$I$803,MOVIMIENTOS_COMPLEMENTOS!$C$4:$C$803,A545,MOVIMIENTOS_COMPLEMENTOS!$D$4:$D$803,B545,MOVIMIENTOS_COMPLEMENTOS!$E$4:$E$803,C545,MOVIMIENTOS_COMPLEMENTOS!$G$4:$G$803,E545,MOVIMIENTOS_COMPLEMENTOS!$H$4:$H$803,G545,MOVIMIENTOS_COMPLEMENTOS!$B$4:$B$803,"DE CORTE")-SUMIFS(MOVIMIENTOS_COMPLEMENTOS!$I$4:$I$803,MOVIMIENTOS_COMPLEMENTOS!$C$4:$C$803,A545,MOVIMIENTOS_COMPLEMENTOS!$D$4:$D$803,B545,MOVIMIENTOS_COMPLEMENTOS!$E$4:$E$803,C545,MOVIMIENTOS_COMPLEMENTOS!$G$4:$G$803,E545,MOVIMIENTOS_COMPLEMENTOS!$H$4:$H$803,G545,MOVIMIENTOS_COMPLEMENTOS!$B$4:$B$803,"SALIDA"),0)</f>
        <v>0</v>
      </c>
      <c r="I545" s="102">
        <f t="array" ref="I545">IFERROR(INDEX(PRECIOS_COMPLEMENTOS!$C$4:$F$17,MATCH(B545&amp;"_"&amp;C545,PRECIOS_COMPLEMENTOS!$H$4:$H$17,0),IF(OR(G545="S",G545="20cm"),1,IF(OR(G545="M",G545="25cm"),2,IF(OR(G545="L",G545="30cm"),3,IF(OR(G545="XL",G545="35cm"),4,0))))),0)</f>
        <v>0.45</v>
      </c>
      <c r="J545" s="103">
        <f t="shared" si="1"/>
        <v>0</v>
      </c>
      <c r="K545" s="104" t="str">
        <f>IF(H545&lt;0,"ERROR",IF(H545=0,"",IF(H545&lt;CONFIG!$B$4,"CRÍTICO",IF(H545&lt;CONFIG!$B$5,"BAJO","OK"))))</f>
        <v/>
      </c>
    </row>
    <row r="546" ht="15.75" hidden="1" customHeight="1">
      <c r="A546" s="90" t="str">
        <f>IF(CLIENTES!A7="","",CLIENTES!A7)</f>
        <v/>
      </c>
      <c r="B546" s="90" t="s">
        <v>321</v>
      </c>
      <c r="C546" s="91" t="s">
        <v>326</v>
      </c>
      <c r="D546" s="109" t="s">
        <v>353</v>
      </c>
      <c r="E546" s="67" t="str">
        <f>COLORES!A19</f>
        <v/>
      </c>
      <c r="F546" s="67" t="str">
        <f>COLORES!B19</f>
        <v/>
      </c>
      <c r="G546" s="90" t="s">
        <v>377</v>
      </c>
      <c r="H546" s="100">
        <f>IFERROR(SUMIFS(MOVIMIENTOS_COMPLEMENTOS!$I$4:$I$803,MOVIMIENTOS_COMPLEMENTOS!$C$4:$C$803,A546,MOVIMIENTOS_COMPLEMENTOS!$D$4:$D$803,B546,MOVIMIENTOS_COMPLEMENTOS!$E$4:$E$803,C546,MOVIMIENTOS_COMPLEMENTOS!$G$4:$G$803,E546,MOVIMIENTOS_COMPLEMENTOS!$H$4:$H$803,G546,MOVIMIENTOS_COMPLEMENTOS!$B$4:$B$803,"INGRESO")+SUMIFS(MOVIMIENTOS_COMPLEMENTOS!$I$4:$I$803,MOVIMIENTOS_COMPLEMENTOS!$C$4:$C$803,A546,MOVIMIENTOS_COMPLEMENTOS!$D$4:$D$803,B546,MOVIMIENTOS_COMPLEMENTOS!$E$4:$E$803,C546,MOVIMIENTOS_COMPLEMENTOS!$G$4:$G$803,E546,MOVIMIENTOS_COMPLEMENTOS!$H$4:$H$803,G546,MOVIMIENTOS_COMPLEMENTOS!$B$4:$B$803,"DE CORTE")-SUMIFS(MOVIMIENTOS_COMPLEMENTOS!$I$4:$I$803,MOVIMIENTOS_COMPLEMENTOS!$C$4:$C$803,A546,MOVIMIENTOS_COMPLEMENTOS!$D$4:$D$803,B546,MOVIMIENTOS_COMPLEMENTOS!$E$4:$E$803,C546,MOVIMIENTOS_COMPLEMENTOS!$G$4:$G$803,E546,MOVIMIENTOS_COMPLEMENTOS!$H$4:$H$803,G546,MOVIMIENTOS_COMPLEMENTOS!$B$4:$B$803,"SALIDA"),0)</f>
        <v>0</v>
      </c>
      <c r="I546" s="102">
        <f t="array" ref="I546">IFERROR(INDEX(PRECIOS_COMPLEMENTOS!$C$4:$F$17,MATCH(B546&amp;"_"&amp;C546,PRECIOS_COMPLEMENTOS!$H$4:$H$17,0),IF(OR(G546="S",G546="20cm"),1,IF(OR(G546="M",G546="25cm"),2,IF(OR(G546="L",G546="30cm"),3,IF(OR(G546="XL",G546="35cm"),4,0))))),0)</f>
        <v>0.5</v>
      </c>
      <c r="J546" s="103">
        <f t="shared" si="1"/>
        <v>0</v>
      </c>
      <c r="K546" s="104" t="str">
        <f>IF(H546&lt;0,"ERROR",IF(H546=0,"",IF(H546&lt;CONFIG!$B$4,"CRÍTICO",IF(H546&lt;CONFIG!$B$5,"BAJO","OK"))))</f>
        <v/>
      </c>
    </row>
    <row r="547" ht="15.75" hidden="1" customHeight="1">
      <c r="A547" s="90" t="str">
        <f>IF(CLIENTES!A7="","",CLIENTES!A7)</f>
        <v/>
      </c>
      <c r="B547" s="90" t="s">
        <v>321</v>
      </c>
      <c r="C547" s="91" t="s">
        <v>326</v>
      </c>
      <c r="D547" s="109" t="s">
        <v>353</v>
      </c>
      <c r="E547" s="67" t="str">
        <f>COLORES!A19</f>
        <v/>
      </c>
      <c r="F547" s="67" t="str">
        <f>COLORES!B19</f>
        <v/>
      </c>
      <c r="G547" s="90" t="s">
        <v>379</v>
      </c>
      <c r="H547" s="100">
        <f>IFERROR(SUMIFS(MOVIMIENTOS_COMPLEMENTOS!$I$4:$I$803,MOVIMIENTOS_COMPLEMENTOS!$C$4:$C$803,A547,MOVIMIENTOS_COMPLEMENTOS!$D$4:$D$803,B547,MOVIMIENTOS_COMPLEMENTOS!$E$4:$E$803,C547,MOVIMIENTOS_COMPLEMENTOS!$G$4:$G$803,E547,MOVIMIENTOS_COMPLEMENTOS!$H$4:$H$803,G547,MOVIMIENTOS_COMPLEMENTOS!$B$4:$B$803,"INGRESO")+SUMIFS(MOVIMIENTOS_COMPLEMENTOS!$I$4:$I$803,MOVIMIENTOS_COMPLEMENTOS!$C$4:$C$803,A547,MOVIMIENTOS_COMPLEMENTOS!$D$4:$D$803,B547,MOVIMIENTOS_COMPLEMENTOS!$E$4:$E$803,C547,MOVIMIENTOS_COMPLEMENTOS!$G$4:$G$803,E547,MOVIMIENTOS_COMPLEMENTOS!$H$4:$H$803,G547,MOVIMIENTOS_COMPLEMENTOS!$B$4:$B$803,"DE CORTE")-SUMIFS(MOVIMIENTOS_COMPLEMENTOS!$I$4:$I$803,MOVIMIENTOS_COMPLEMENTOS!$C$4:$C$803,A547,MOVIMIENTOS_COMPLEMENTOS!$D$4:$D$803,B547,MOVIMIENTOS_COMPLEMENTOS!$E$4:$E$803,C547,MOVIMIENTOS_COMPLEMENTOS!$G$4:$G$803,E547,MOVIMIENTOS_COMPLEMENTOS!$H$4:$H$803,G547,MOVIMIENTOS_COMPLEMENTOS!$B$4:$B$803,"SALIDA"),0)</f>
        <v>0</v>
      </c>
      <c r="I547" s="102">
        <f t="array" ref="I547">IFERROR(INDEX(PRECIOS_COMPLEMENTOS!$C$4:$F$17,MATCH(B547&amp;"_"&amp;C547,PRECIOS_COMPLEMENTOS!$H$4:$H$17,0),IF(OR(G547="S",G547="20cm"),1,IF(OR(G547="M",G547="25cm"),2,IF(OR(G547="L",G547="30cm"),3,IF(OR(G547="XL",G547="35cm"),4,0))))),0)</f>
        <v>0.55</v>
      </c>
      <c r="J547" s="103">
        <f t="shared" si="1"/>
        <v>0</v>
      </c>
      <c r="K547" s="104" t="str">
        <f>IF(H547&lt;0,"ERROR",IF(H547=0,"",IF(H547&lt;CONFIG!$B$4,"CRÍTICO",IF(H547&lt;CONFIG!$B$5,"BAJO","OK"))))</f>
        <v/>
      </c>
    </row>
    <row r="548" ht="15.75" hidden="1" customHeight="1">
      <c r="A548" s="90" t="str">
        <f>IF(CLIENTES!A7="","",CLIENTES!A7)</f>
        <v/>
      </c>
      <c r="B548" s="90" t="s">
        <v>321</v>
      </c>
      <c r="C548" s="91" t="s">
        <v>326</v>
      </c>
      <c r="D548" s="109" t="s">
        <v>353</v>
      </c>
      <c r="E548" s="67" t="str">
        <f>COLORES!A20</f>
        <v/>
      </c>
      <c r="F548" s="67" t="str">
        <f>COLORES!B20</f>
        <v/>
      </c>
      <c r="G548" s="90" t="s">
        <v>378</v>
      </c>
      <c r="H548" s="100">
        <f>IFERROR(SUMIFS(MOVIMIENTOS_COMPLEMENTOS!$I$4:$I$803,MOVIMIENTOS_COMPLEMENTOS!$C$4:$C$803,A548,MOVIMIENTOS_COMPLEMENTOS!$D$4:$D$803,B548,MOVIMIENTOS_COMPLEMENTOS!$E$4:$E$803,C548,MOVIMIENTOS_COMPLEMENTOS!$G$4:$G$803,E548,MOVIMIENTOS_COMPLEMENTOS!$H$4:$H$803,G548,MOVIMIENTOS_COMPLEMENTOS!$B$4:$B$803,"INGRESO")+SUMIFS(MOVIMIENTOS_COMPLEMENTOS!$I$4:$I$803,MOVIMIENTOS_COMPLEMENTOS!$C$4:$C$803,A548,MOVIMIENTOS_COMPLEMENTOS!$D$4:$D$803,B548,MOVIMIENTOS_COMPLEMENTOS!$E$4:$E$803,C548,MOVIMIENTOS_COMPLEMENTOS!$G$4:$G$803,E548,MOVIMIENTOS_COMPLEMENTOS!$H$4:$H$803,G548,MOVIMIENTOS_COMPLEMENTOS!$B$4:$B$803,"DE CORTE")-SUMIFS(MOVIMIENTOS_COMPLEMENTOS!$I$4:$I$803,MOVIMIENTOS_COMPLEMENTOS!$C$4:$C$803,A548,MOVIMIENTOS_COMPLEMENTOS!$D$4:$D$803,B548,MOVIMIENTOS_COMPLEMENTOS!$E$4:$E$803,C548,MOVIMIENTOS_COMPLEMENTOS!$G$4:$G$803,E548,MOVIMIENTOS_COMPLEMENTOS!$H$4:$H$803,G548,MOVIMIENTOS_COMPLEMENTOS!$B$4:$B$803,"SALIDA"),0)</f>
        <v>0</v>
      </c>
      <c r="I548" s="102">
        <f t="array" ref="I548">IFERROR(INDEX(PRECIOS_COMPLEMENTOS!$C$4:$F$17,MATCH(B548&amp;"_"&amp;C548,PRECIOS_COMPLEMENTOS!$H$4:$H$17,0),IF(OR(G548="S",G548="20cm"),1,IF(OR(G548="M",G548="25cm"),2,IF(OR(G548="L",G548="30cm"),3,IF(OR(G548="XL",G548="35cm"),4,0))))),0)</f>
        <v>0.4</v>
      </c>
      <c r="J548" s="103">
        <f t="shared" si="1"/>
        <v>0</v>
      </c>
      <c r="K548" s="104" t="str">
        <f>IF(H548&lt;0,"ERROR",IF(H548=0,"",IF(H548&lt;CONFIG!$B$4,"CRÍTICO",IF(H548&lt;CONFIG!$B$5,"BAJO","OK"))))</f>
        <v/>
      </c>
    </row>
    <row r="549" ht="15.75" hidden="1" customHeight="1">
      <c r="A549" s="90" t="str">
        <f>IF(CLIENTES!A7="","",CLIENTES!A7)</f>
        <v/>
      </c>
      <c r="B549" s="90" t="s">
        <v>321</v>
      </c>
      <c r="C549" s="91" t="s">
        <v>326</v>
      </c>
      <c r="D549" s="109" t="s">
        <v>353</v>
      </c>
      <c r="E549" s="67" t="str">
        <f>COLORES!A20</f>
        <v/>
      </c>
      <c r="F549" s="67" t="str">
        <f>COLORES!B20</f>
        <v/>
      </c>
      <c r="G549" s="90" t="s">
        <v>376</v>
      </c>
      <c r="H549" s="100">
        <f>IFERROR(SUMIFS(MOVIMIENTOS_COMPLEMENTOS!$I$4:$I$803,MOVIMIENTOS_COMPLEMENTOS!$C$4:$C$803,A549,MOVIMIENTOS_COMPLEMENTOS!$D$4:$D$803,B549,MOVIMIENTOS_COMPLEMENTOS!$E$4:$E$803,C549,MOVIMIENTOS_COMPLEMENTOS!$G$4:$G$803,E549,MOVIMIENTOS_COMPLEMENTOS!$H$4:$H$803,G549,MOVIMIENTOS_COMPLEMENTOS!$B$4:$B$803,"INGRESO")+SUMIFS(MOVIMIENTOS_COMPLEMENTOS!$I$4:$I$803,MOVIMIENTOS_COMPLEMENTOS!$C$4:$C$803,A549,MOVIMIENTOS_COMPLEMENTOS!$D$4:$D$803,B549,MOVIMIENTOS_COMPLEMENTOS!$E$4:$E$803,C549,MOVIMIENTOS_COMPLEMENTOS!$G$4:$G$803,E549,MOVIMIENTOS_COMPLEMENTOS!$H$4:$H$803,G549,MOVIMIENTOS_COMPLEMENTOS!$B$4:$B$803,"DE CORTE")-SUMIFS(MOVIMIENTOS_COMPLEMENTOS!$I$4:$I$803,MOVIMIENTOS_COMPLEMENTOS!$C$4:$C$803,A549,MOVIMIENTOS_COMPLEMENTOS!$D$4:$D$803,B549,MOVIMIENTOS_COMPLEMENTOS!$E$4:$E$803,C549,MOVIMIENTOS_COMPLEMENTOS!$G$4:$G$803,E549,MOVIMIENTOS_COMPLEMENTOS!$H$4:$H$803,G549,MOVIMIENTOS_COMPLEMENTOS!$B$4:$B$803,"SALIDA"),0)</f>
        <v>0</v>
      </c>
      <c r="I549" s="102">
        <f t="array" ref="I549">IFERROR(INDEX(PRECIOS_COMPLEMENTOS!$C$4:$F$17,MATCH(B549&amp;"_"&amp;C549,PRECIOS_COMPLEMENTOS!$H$4:$H$17,0),IF(OR(G549="S",G549="20cm"),1,IF(OR(G549="M",G549="25cm"),2,IF(OR(G549="L",G549="30cm"),3,IF(OR(G549="XL",G549="35cm"),4,0))))),0)</f>
        <v>0.45</v>
      </c>
      <c r="J549" s="103">
        <f t="shared" si="1"/>
        <v>0</v>
      </c>
      <c r="K549" s="104" t="str">
        <f>IF(H549&lt;0,"ERROR",IF(H549=0,"",IF(H549&lt;CONFIG!$B$4,"CRÍTICO",IF(H549&lt;CONFIG!$B$5,"BAJO","OK"))))</f>
        <v/>
      </c>
    </row>
    <row r="550" ht="15.75" hidden="1" customHeight="1">
      <c r="A550" s="90" t="str">
        <f>IF(CLIENTES!A7="","",CLIENTES!A7)</f>
        <v/>
      </c>
      <c r="B550" s="90" t="s">
        <v>321</v>
      </c>
      <c r="C550" s="91" t="s">
        <v>326</v>
      </c>
      <c r="D550" s="109" t="s">
        <v>353</v>
      </c>
      <c r="E550" s="67" t="str">
        <f>COLORES!A20</f>
        <v/>
      </c>
      <c r="F550" s="67" t="str">
        <f>COLORES!B20</f>
        <v/>
      </c>
      <c r="G550" s="90" t="s">
        <v>377</v>
      </c>
      <c r="H550" s="100">
        <f>IFERROR(SUMIFS(MOVIMIENTOS_COMPLEMENTOS!$I$4:$I$803,MOVIMIENTOS_COMPLEMENTOS!$C$4:$C$803,A550,MOVIMIENTOS_COMPLEMENTOS!$D$4:$D$803,B550,MOVIMIENTOS_COMPLEMENTOS!$E$4:$E$803,C550,MOVIMIENTOS_COMPLEMENTOS!$G$4:$G$803,E550,MOVIMIENTOS_COMPLEMENTOS!$H$4:$H$803,G550,MOVIMIENTOS_COMPLEMENTOS!$B$4:$B$803,"INGRESO")+SUMIFS(MOVIMIENTOS_COMPLEMENTOS!$I$4:$I$803,MOVIMIENTOS_COMPLEMENTOS!$C$4:$C$803,A550,MOVIMIENTOS_COMPLEMENTOS!$D$4:$D$803,B550,MOVIMIENTOS_COMPLEMENTOS!$E$4:$E$803,C550,MOVIMIENTOS_COMPLEMENTOS!$G$4:$G$803,E550,MOVIMIENTOS_COMPLEMENTOS!$H$4:$H$803,G550,MOVIMIENTOS_COMPLEMENTOS!$B$4:$B$803,"DE CORTE")-SUMIFS(MOVIMIENTOS_COMPLEMENTOS!$I$4:$I$803,MOVIMIENTOS_COMPLEMENTOS!$C$4:$C$803,A550,MOVIMIENTOS_COMPLEMENTOS!$D$4:$D$803,B550,MOVIMIENTOS_COMPLEMENTOS!$E$4:$E$803,C550,MOVIMIENTOS_COMPLEMENTOS!$G$4:$G$803,E550,MOVIMIENTOS_COMPLEMENTOS!$H$4:$H$803,G550,MOVIMIENTOS_COMPLEMENTOS!$B$4:$B$803,"SALIDA"),0)</f>
        <v>0</v>
      </c>
      <c r="I550" s="102">
        <f t="array" ref="I550">IFERROR(INDEX(PRECIOS_COMPLEMENTOS!$C$4:$F$17,MATCH(B550&amp;"_"&amp;C550,PRECIOS_COMPLEMENTOS!$H$4:$H$17,0),IF(OR(G550="S",G550="20cm"),1,IF(OR(G550="M",G550="25cm"),2,IF(OR(G550="L",G550="30cm"),3,IF(OR(G550="XL",G550="35cm"),4,0))))),0)</f>
        <v>0.5</v>
      </c>
      <c r="J550" s="103">
        <f t="shared" si="1"/>
        <v>0</v>
      </c>
      <c r="K550" s="104" t="str">
        <f>IF(H550&lt;0,"ERROR",IF(H550=0,"",IF(H550&lt;CONFIG!$B$4,"CRÍTICO",IF(H550&lt;CONFIG!$B$5,"BAJO","OK"))))</f>
        <v/>
      </c>
    </row>
    <row r="551" ht="15.75" hidden="1" customHeight="1">
      <c r="A551" s="90" t="str">
        <f>IF(CLIENTES!A7="","",CLIENTES!A7)</f>
        <v/>
      </c>
      <c r="B551" s="90" t="s">
        <v>321</v>
      </c>
      <c r="C551" s="91" t="s">
        <v>326</v>
      </c>
      <c r="D551" s="109" t="s">
        <v>353</v>
      </c>
      <c r="E551" s="67" t="str">
        <f>COLORES!A20</f>
        <v/>
      </c>
      <c r="F551" s="67" t="str">
        <f>COLORES!B20</f>
        <v/>
      </c>
      <c r="G551" s="90" t="s">
        <v>379</v>
      </c>
      <c r="H551" s="100">
        <f>IFERROR(SUMIFS(MOVIMIENTOS_COMPLEMENTOS!$I$4:$I$803,MOVIMIENTOS_COMPLEMENTOS!$C$4:$C$803,A551,MOVIMIENTOS_COMPLEMENTOS!$D$4:$D$803,B551,MOVIMIENTOS_COMPLEMENTOS!$E$4:$E$803,C551,MOVIMIENTOS_COMPLEMENTOS!$G$4:$G$803,E551,MOVIMIENTOS_COMPLEMENTOS!$H$4:$H$803,G551,MOVIMIENTOS_COMPLEMENTOS!$B$4:$B$803,"INGRESO")+SUMIFS(MOVIMIENTOS_COMPLEMENTOS!$I$4:$I$803,MOVIMIENTOS_COMPLEMENTOS!$C$4:$C$803,A551,MOVIMIENTOS_COMPLEMENTOS!$D$4:$D$803,B551,MOVIMIENTOS_COMPLEMENTOS!$E$4:$E$803,C551,MOVIMIENTOS_COMPLEMENTOS!$G$4:$G$803,E551,MOVIMIENTOS_COMPLEMENTOS!$H$4:$H$803,G551,MOVIMIENTOS_COMPLEMENTOS!$B$4:$B$803,"DE CORTE")-SUMIFS(MOVIMIENTOS_COMPLEMENTOS!$I$4:$I$803,MOVIMIENTOS_COMPLEMENTOS!$C$4:$C$803,A551,MOVIMIENTOS_COMPLEMENTOS!$D$4:$D$803,B551,MOVIMIENTOS_COMPLEMENTOS!$E$4:$E$803,C551,MOVIMIENTOS_COMPLEMENTOS!$G$4:$G$803,E551,MOVIMIENTOS_COMPLEMENTOS!$H$4:$H$803,G551,MOVIMIENTOS_COMPLEMENTOS!$B$4:$B$803,"SALIDA"),0)</f>
        <v>0</v>
      </c>
      <c r="I551" s="102">
        <f t="array" ref="I551">IFERROR(INDEX(PRECIOS_COMPLEMENTOS!$C$4:$F$17,MATCH(B551&amp;"_"&amp;C551,PRECIOS_COMPLEMENTOS!$H$4:$H$17,0),IF(OR(G551="S",G551="20cm"),1,IF(OR(G551="M",G551="25cm"),2,IF(OR(G551="L",G551="30cm"),3,IF(OR(G551="XL",G551="35cm"),4,0))))),0)</f>
        <v>0.55</v>
      </c>
      <c r="J551" s="103">
        <f t="shared" si="1"/>
        <v>0</v>
      </c>
      <c r="K551" s="104" t="str">
        <f>IF(H551&lt;0,"ERROR",IF(H551=0,"",IF(H551&lt;CONFIG!$B$4,"CRÍTICO",IF(H551&lt;CONFIG!$B$5,"BAJO","OK"))))</f>
        <v/>
      </c>
    </row>
    <row r="552" ht="15.75" hidden="1" customHeight="1">
      <c r="A552" s="90" t="str">
        <f>IF(CLIENTES!A7="","",CLIENTES!A7)</f>
        <v/>
      </c>
      <c r="B552" s="90" t="s">
        <v>321</v>
      </c>
      <c r="C552" s="91" t="s">
        <v>326</v>
      </c>
      <c r="D552" s="109" t="s">
        <v>353</v>
      </c>
      <c r="E552" s="67" t="str">
        <f>COLORES!A21</f>
        <v/>
      </c>
      <c r="F552" s="67" t="str">
        <f>COLORES!B21</f>
        <v/>
      </c>
      <c r="G552" s="90" t="s">
        <v>378</v>
      </c>
      <c r="H552" s="100">
        <f>IFERROR(SUMIFS(MOVIMIENTOS_COMPLEMENTOS!$I$4:$I$803,MOVIMIENTOS_COMPLEMENTOS!$C$4:$C$803,A552,MOVIMIENTOS_COMPLEMENTOS!$D$4:$D$803,B552,MOVIMIENTOS_COMPLEMENTOS!$E$4:$E$803,C552,MOVIMIENTOS_COMPLEMENTOS!$G$4:$G$803,E552,MOVIMIENTOS_COMPLEMENTOS!$H$4:$H$803,G552,MOVIMIENTOS_COMPLEMENTOS!$B$4:$B$803,"INGRESO")+SUMIFS(MOVIMIENTOS_COMPLEMENTOS!$I$4:$I$803,MOVIMIENTOS_COMPLEMENTOS!$C$4:$C$803,A552,MOVIMIENTOS_COMPLEMENTOS!$D$4:$D$803,B552,MOVIMIENTOS_COMPLEMENTOS!$E$4:$E$803,C552,MOVIMIENTOS_COMPLEMENTOS!$G$4:$G$803,E552,MOVIMIENTOS_COMPLEMENTOS!$H$4:$H$803,G552,MOVIMIENTOS_COMPLEMENTOS!$B$4:$B$803,"DE CORTE")-SUMIFS(MOVIMIENTOS_COMPLEMENTOS!$I$4:$I$803,MOVIMIENTOS_COMPLEMENTOS!$C$4:$C$803,A552,MOVIMIENTOS_COMPLEMENTOS!$D$4:$D$803,B552,MOVIMIENTOS_COMPLEMENTOS!$E$4:$E$803,C552,MOVIMIENTOS_COMPLEMENTOS!$G$4:$G$803,E552,MOVIMIENTOS_COMPLEMENTOS!$H$4:$H$803,G552,MOVIMIENTOS_COMPLEMENTOS!$B$4:$B$803,"SALIDA"),0)</f>
        <v>0</v>
      </c>
      <c r="I552" s="102">
        <f t="array" ref="I552">IFERROR(INDEX(PRECIOS_COMPLEMENTOS!$C$4:$F$17,MATCH(B552&amp;"_"&amp;C552,PRECIOS_COMPLEMENTOS!$H$4:$H$17,0),IF(OR(G552="S",G552="20cm"),1,IF(OR(G552="M",G552="25cm"),2,IF(OR(G552="L",G552="30cm"),3,IF(OR(G552="XL",G552="35cm"),4,0))))),0)</f>
        <v>0.4</v>
      </c>
      <c r="J552" s="103">
        <f t="shared" si="1"/>
        <v>0</v>
      </c>
      <c r="K552" s="104" t="str">
        <f>IF(H552&lt;0,"ERROR",IF(H552=0,"",IF(H552&lt;CONFIG!$B$4,"CRÍTICO",IF(H552&lt;CONFIG!$B$5,"BAJO","OK"))))</f>
        <v/>
      </c>
    </row>
    <row r="553" ht="15.75" hidden="1" customHeight="1">
      <c r="A553" s="90" t="str">
        <f>IF(CLIENTES!A7="","",CLIENTES!A7)</f>
        <v/>
      </c>
      <c r="B553" s="90" t="s">
        <v>321</v>
      </c>
      <c r="C553" s="91" t="s">
        <v>326</v>
      </c>
      <c r="D553" s="109" t="s">
        <v>353</v>
      </c>
      <c r="E553" s="67" t="str">
        <f>COLORES!A21</f>
        <v/>
      </c>
      <c r="F553" s="67" t="str">
        <f>COLORES!B21</f>
        <v/>
      </c>
      <c r="G553" s="90" t="s">
        <v>376</v>
      </c>
      <c r="H553" s="100">
        <f>IFERROR(SUMIFS(MOVIMIENTOS_COMPLEMENTOS!$I$4:$I$803,MOVIMIENTOS_COMPLEMENTOS!$C$4:$C$803,A553,MOVIMIENTOS_COMPLEMENTOS!$D$4:$D$803,B553,MOVIMIENTOS_COMPLEMENTOS!$E$4:$E$803,C553,MOVIMIENTOS_COMPLEMENTOS!$G$4:$G$803,E553,MOVIMIENTOS_COMPLEMENTOS!$H$4:$H$803,G553,MOVIMIENTOS_COMPLEMENTOS!$B$4:$B$803,"INGRESO")+SUMIFS(MOVIMIENTOS_COMPLEMENTOS!$I$4:$I$803,MOVIMIENTOS_COMPLEMENTOS!$C$4:$C$803,A553,MOVIMIENTOS_COMPLEMENTOS!$D$4:$D$803,B553,MOVIMIENTOS_COMPLEMENTOS!$E$4:$E$803,C553,MOVIMIENTOS_COMPLEMENTOS!$G$4:$G$803,E553,MOVIMIENTOS_COMPLEMENTOS!$H$4:$H$803,G553,MOVIMIENTOS_COMPLEMENTOS!$B$4:$B$803,"DE CORTE")-SUMIFS(MOVIMIENTOS_COMPLEMENTOS!$I$4:$I$803,MOVIMIENTOS_COMPLEMENTOS!$C$4:$C$803,A553,MOVIMIENTOS_COMPLEMENTOS!$D$4:$D$803,B553,MOVIMIENTOS_COMPLEMENTOS!$E$4:$E$803,C553,MOVIMIENTOS_COMPLEMENTOS!$G$4:$G$803,E553,MOVIMIENTOS_COMPLEMENTOS!$H$4:$H$803,G553,MOVIMIENTOS_COMPLEMENTOS!$B$4:$B$803,"SALIDA"),0)</f>
        <v>0</v>
      </c>
      <c r="I553" s="102">
        <f t="array" ref="I553">IFERROR(INDEX(PRECIOS_COMPLEMENTOS!$C$4:$F$17,MATCH(B553&amp;"_"&amp;C553,PRECIOS_COMPLEMENTOS!$H$4:$H$17,0),IF(OR(G553="S",G553="20cm"),1,IF(OR(G553="M",G553="25cm"),2,IF(OR(G553="L",G553="30cm"),3,IF(OR(G553="XL",G553="35cm"),4,0))))),0)</f>
        <v>0.45</v>
      </c>
      <c r="J553" s="103">
        <f t="shared" si="1"/>
        <v>0</v>
      </c>
      <c r="K553" s="104" t="str">
        <f>IF(H553&lt;0,"ERROR",IF(H553=0,"",IF(H553&lt;CONFIG!$B$4,"CRÍTICO",IF(H553&lt;CONFIG!$B$5,"BAJO","OK"))))</f>
        <v/>
      </c>
    </row>
    <row r="554" ht="15.75" hidden="1" customHeight="1">
      <c r="A554" s="90" t="str">
        <f>IF(CLIENTES!A7="","",CLIENTES!A7)</f>
        <v/>
      </c>
      <c r="B554" s="90" t="s">
        <v>321</v>
      </c>
      <c r="C554" s="91" t="s">
        <v>326</v>
      </c>
      <c r="D554" s="109" t="s">
        <v>353</v>
      </c>
      <c r="E554" s="67" t="str">
        <f>COLORES!A21</f>
        <v/>
      </c>
      <c r="F554" s="67" t="str">
        <f>COLORES!B21</f>
        <v/>
      </c>
      <c r="G554" s="90" t="s">
        <v>377</v>
      </c>
      <c r="H554" s="100">
        <f>IFERROR(SUMIFS(MOVIMIENTOS_COMPLEMENTOS!$I$4:$I$803,MOVIMIENTOS_COMPLEMENTOS!$C$4:$C$803,A554,MOVIMIENTOS_COMPLEMENTOS!$D$4:$D$803,B554,MOVIMIENTOS_COMPLEMENTOS!$E$4:$E$803,C554,MOVIMIENTOS_COMPLEMENTOS!$G$4:$G$803,E554,MOVIMIENTOS_COMPLEMENTOS!$H$4:$H$803,G554,MOVIMIENTOS_COMPLEMENTOS!$B$4:$B$803,"INGRESO")+SUMIFS(MOVIMIENTOS_COMPLEMENTOS!$I$4:$I$803,MOVIMIENTOS_COMPLEMENTOS!$C$4:$C$803,A554,MOVIMIENTOS_COMPLEMENTOS!$D$4:$D$803,B554,MOVIMIENTOS_COMPLEMENTOS!$E$4:$E$803,C554,MOVIMIENTOS_COMPLEMENTOS!$G$4:$G$803,E554,MOVIMIENTOS_COMPLEMENTOS!$H$4:$H$803,G554,MOVIMIENTOS_COMPLEMENTOS!$B$4:$B$803,"DE CORTE")-SUMIFS(MOVIMIENTOS_COMPLEMENTOS!$I$4:$I$803,MOVIMIENTOS_COMPLEMENTOS!$C$4:$C$803,A554,MOVIMIENTOS_COMPLEMENTOS!$D$4:$D$803,B554,MOVIMIENTOS_COMPLEMENTOS!$E$4:$E$803,C554,MOVIMIENTOS_COMPLEMENTOS!$G$4:$G$803,E554,MOVIMIENTOS_COMPLEMENTOS!$H$4:$H$803,G554,MOVIMIENTOS_COMPLEMENTOS!$B$4:$B$803,"SALIDA"),0)</f>
        <v>0</v>
      </c>
      <c r="I554" s="102">
        <f t="array" ref="I554">IFERROR(INDEX(PRECIOS_COMPLEMENTOS!$C$4:$F$17,MATCH(B554&amp;"_"&amp;C554,PRECIOS_COMPLEMENTOS!$H$4:$H$17,0),IF(OR(G554="S",G554="20cm"),1,IF(OR(G554="M",G554="25cm"),2,IF(OR(G554="L",G554="30cm"),3,IF(OR(G554="XL",G554="35cm"),4,0))))),0)</f>
        <v>0.5</v>
      </c>
      <c r="J554" s="103">
        <f t="shared" si="1"/>
        <v>0</v>
      </c>
      <c r="K554" s="104" t="str">
        <f>IF(H554&lt;0,"ERROR",IF(H554=0,"",IF(H554&lt;CONFIG!$B$4,"CRÍTICO",IF(H554&lt;CONFIG!$B$5,"BAJO","OK"))))</f>
        <v/>
      </c>
    </row>
    <row r="555" ht="15.75" hidden="1" customHeight="1">
      <c r="A555" s="90" t="str">
        <f>IF(CLIENTES!A7="","",CLIENTES!A7)</f>
        <v/>
      </c>
      <c r="B555" s="90" t="s">
        <v>321</v>
      </c>
      <c r="C555" s="91" t="s">
        <v>326</v>
      </c>
      <c r="D555" s="109" t="s">
        <v>353</v>
      </c>
      <c r="E555" s="67" t="str">
        <f>COLORES!A21</f>
        <v/>
      </c>
      <c r="F555" s="67" t="str">
        <f>COLORES!B21</f>
        <v/>
      </c>
      <c r="G555" s="90" t="s">
        <v>379</v>
      </c>
      <c r="H555" s="100">
        <f>IFERROR(SUMIFS(MOVIMIENTOS_COMPLEMENTOS!$I$4:$I$803,MOVIMIENTOS_COMPLEMENTOS!$C$4:$C$803,A555,MOVIMIENTOS_COMPLEMENTOS!$D$4:$D$803,B555,MOVIMIENTOS_COMPLEMENTOS!$E$4:$E$803,C555,MOVIMIENTOS_COMPLEMENTOS!$G$4:$G$803,E555,MOVIMIENTOS_COMPLEMENTOS!$H$4:$H$803,G555,MOVIMIENTOS_COMPLEMENTOS!$B$4:$B$803,"INGRESO")+SUMIFS(MOVIMIENTOS_COMPLEMENTOS!$I$4:$I$803,MOVIMIENTOS_COMPLEMENTOS!$C$4:$C$803,A555,MOVIMIENTOS_COMPLEMENTOS!$D$4:$D$803,B555,MOVIMIENTOS_COMPLEMENTOS!$E$4:$E$803,C555,MOVIMIENTOS_COMPLEMENTOS!$G$4:$G$803,E555,MOVIMIENTOS_COMPLEMENTOS!$H$4:$H$803,G555,MOVIMIENTOS_COMPLEMENTOS!$B$4:$B$803,"DE CORTE")-SUMIFS(MOVIMIENTOS_COMPLEMENTOS!$I$4:$I$803,MOVIMIENTOS_COMPLEMENTOS!$C$4:$C$803,A555,MOVIMIENTOS_COMPLEMENTOS!$D$4:$D$803,B555,MOVIMIENTOS_COMPLEMENTOS!$E$4:$E$803,C555,MOVIMIENTOS_COMPLEMENTOS!$G$4:$G$803,E555,MOVIMIENTOS_COMPLEMENTOS!$H$4:$H$803,G555,MOVIMIENTOS_COMPLEMENTOS!$B$4:$B$803,"SALIDA"),0)</f>
        <v>0</v>
      </c>
      <c r="I555" s="102">
        <f t="array" ref="I555">IFERROR(INDEX(PRECIOS_COMPLEMENTOS!$C$4:$F$17,MATCH(B555&amp;"_"&amp;C555,PRECIOS_COMPLEMENTOS!$H$4:$H$17,0),IF(OR(G555="S",G555="20cm"),1,IF(OR(G555="M",G555="25cm"),2,IF(OR(G555="L",G555="30cm"),3,IF(OR(G555="XL",G555="35cm"),4,0))))),0)</f>
        <v>0.55</v>
      </c>
      <c r="J555" s="103">
        <f t="shared" si="1"/>
        <v>0</v>
      </c>
      <c r="K555" s="104" t="str">
        <f>IF(H555&lt;0,"ERROR",IF(H555=0,"",IF(H555&lt;CONFIG!$B$4,"CRÍTICO",IF(H555&lt;CONFIG!$B$5,"BAJO","OK"))))</f>
        <v/>
      </c>
    </row>
    <row r="556" ht="15.75" hidden="1" customHeight="1">
      <c r="A556" s="90" t="str">
        <f>IF(CLIENTES!A7="","",CLIENTES!A7)</f>
        <v/>
      </c>
      <c r="B556" s="90" t="s">
        <v>321</v>
      </c>
      <c r="C556" s="91" t="s">
        <v>326</v>
      </c>
      <c r="D556" s="109" t="s">
        <v>353</v>
      </c>
      <c r="E556" s="67" t="str">
        <f>COLORES!A22</f>
        <v/>
      </c>
      <c r="F556" s="67" t="str">
        <f>COLORES!B22</f>
        <v/>
      </c>
      <c r="G556" s="90" t="s">
        <v>378</v>
      </c>
      <c r="H556" s="100">
        <f>IFERROR(SUMIFS(MOVIMIENTOS_COMPLEMENTOS!$I$4:$I$803,MOVIMIENTOS_COMPLEMENTOS!$C$4:$C$803,A556,MOVIMIENTOS_COMPLEMENTOS!$D$4:$D$803,B556,MOVIMIENTOS_COMPLEMENTOS!$E$4:$E$803,C556,MOVIMIENTOS_COMPLEMENTOS!$G$4:$G$803,E556,MOVIMIENTOS_COMPLEMENTOS!$H$4:$H$803,G556,MOVIMIENTOS_COMPLEMENTOS!$B$4:$B$803,"INGRESO")+SUMIFS(MOVIMIENTOS_COMPLEMENTOS!$I$4:$I$803,MOVIMIENTOS_COMPLEMENTOS!$C$4:$C$803,A556,MOVIMIENTOS_COMPLEMENTOS!$D$4:$D$803,B556,MOVIMIENTOS_COMPLEMENTOS!$E$4:$E$803,C556,MOVIMIENTOS_COMPLEMENTOS!$G$4:$G$803,E556,MOVIMIENTOS_COMPLEMENTOS!$H$4:$H$803,G556,MOVIMIENTOS_COMPLEMENTOS!$B$4:$B$803,"DE CORTE")-SUMIFS(MOVIMIENTOS_COMPLEMENTOS!$I$4:$I$803,MOVIMIENTOS_COMPLEMENTOS!$C$4:$C$803,A556,MOVIMIENTOS_COMPLEMENTOS!$D$4:$D$803,B556,MOVIMIENTOS_COMPLEMENTOS!$E$4:$E$803,C556,MOVIMIENTOS_COMPLEMENTOS!$G$4:$G$803,E556,MOVIMIENTOS_COMPLEMENTOS!$H$4:$H$803,G556,MOVIMIENTOS_COMPLEMENTOS!$B$4:$B$803,"SALIDA"),0)</f>
        <v>0</v>
      </c>
      <c r="I556" s="102">
        <f t="array" ref="I556">IFERROR(INDEX(PRECIOS_COMPLEMENTOS!$C$4:$F$17,MATCH(B556&amp;"_"&amp;C556,PRECIOS_COMPLEMENTOS!$H$4:$H$17,0),IF(OR(G556="S",G556="20cm"),1,IF(OR(G556="M",G556="25cm"),2,IF(OR(G556="L",G556="30cm"),3,IF(OR(G556="XL",G556="35cm"),4,0))))),0)</f>
        <v>0.4</v>
      </c>
      <c r="J556" s="103">
        <f t="shared" si="1"/>
        <v>0</v>
      </c>
      <c r="K556" s="104" t="str">
        <f>IF(H556&lt;0,"ERROR",IF(H556=0,"",IF(H556&lt;CONFIG!$B$4,"CRÍTICO",IF(H556&lt;CONFIG!$B$5,"BAJO","OK"))))</f>
        <v/>
      </c>
    </row>
    <row r="557" ht="15.75" hidden="1" customHeight="1">
      <c r="A557" s="90" t="str">
        <f>IF(CLIENTES!A7="","",CLIENTES!A7)</f>
        <v/>
      </c>
      <c r="B557" s="90" t="s">
        <v>321</v>
      </c>
      <c r="C557" s="91" t="s">
        <v>326</v>
      </c>
      <c r="D557" s="109" t="s">
        <v>353</v>
      </c>
      <c r="E557" s="67" t="str">
        <f>COLORES!A22</f>
        <v/>
      </c>
      <c r="F557" s="67" t="str">
        <f>COLORES!B22</f>
        <v/>
      </c>
      <c r="G557" s="90" t="s">
        <v>376</v>
      </c>
      <c r="H557" s="100">
        <f>IFERROR(SUMIFS(MOVIMIENTOS_COMPLEMENTOS!$I$4:$I$803,MOVIMIENTOS_COMPLEMENTOS!$C$4:$C$803,A557,MOVIMIENTOS_COMPLEMENTOS!$D$4:$D$803,B557,MOVIMIENTOS_COMPLEMENTOS!$E$4:$E$803,C557,MOVIMIENTOS_COMPLEMENTOS!$G$4:$G$803,E557,MOVIMIENTOS_COMPLEMENTOS!$H$4:$H$803,G557,MOVIMIENTOS_COMPLEMENTOS!$B$4:$B$803,"INGRESO")+SUMIFS(MOVIMIENTOS_COMPLEMENTOS!$I$4:$I$803,MOVIMIENTOS_COMPLEMENTOS!$C$4:$C$803,A557,MOVIMIENTOS_COMPLEMENTOS!$D$4:$D$803,B557,MOVIMIENTOS_COMPLEMENTOS!$E$4:$E$803,C557,MOVIMIENTOS_COMPLEMENTOS!$G$4:$G$803,E557,MOVIMIENTOS_COMPLEMENTOS!$H$4:$H$803,G557,MOVIMIENTOS_COMPLEMENTOS!$B$4:$B$803,"DE CORTE")-SUMIFS(MOVIMIENTOS_COMPLEMENTOS!$I$4:$I$803,MOVIMIENTOS_COMPLEMENTOS!$C$4:$C$803,A557,MOVIMIENTOS_COMPLEMENTOS!$D$4:$D$803,B557,MOVIMIENTOS_COMPLEMENTOS!$E$4:$E$803,C557,MOVIMIENTOS_COMPLEMENTOS!$G$4:$G$803,E557,MOVIMIENTOS_COMPLEMENTOS!$H$4:$H$803,G557,MOVIMIENTOS_COMPLEMENTOS!$B$4:$B$803,"SALIDA"),0)</f>
        <v>0</v>
      </c>
      <c r="I557" s="102">
        <f t="array" ref="I557">IFERROR(INDEX(PRECIOS_COMPLEMENTOS!$C$4:$F$17,MATCH(B557&amp;"_"&amp;C557,PRECIOS_COMPLEMENTOS!$H$4:$H$17,0),IF(OR(G557="S",G557="20cm"),1,IF(OR(G557="M",G557="25cm"),2,IF(OR(G557="L",G557="30cm"),3,IF(OR(G557="XL",G557="35cm"),4,0))))),0)</f>
        <v>0.45</v>
      </c>
      <c r="J557" s="103">
        <f t="shared" si="1"/>
        <v>0</v>
      </c>
      <c r="K557" s="104" t="str">
        <f>IF(H557&lt;0,"ERROR",IF(H557=0,"",IF(H557&lt;CONFIG!$B$4,"CRÍTICO",IF(H557&lt;CONFIG!$B$5,"BAJO","OK"))))</f>
        <v/>
      </c>
    </row>
    <row r="558" ht="15.75" hidden="1" customHeight="1">
      <c r="A558" s="90" t="str">
        <f>IF(CLIENTES!A7="","",CLIENTES!A7)</f>
        <v/>
      </c>
      <c r="B558" s="90" t="s">
        <v>321</v>
      </c>
      <c r="C558" s="91" t="s">
        <v>326</v>
      </c>
      <c r="D558" s="109" t="s">
        <v>353</v>
      </c>
      <c r="E558" s="67" t="str">
        <f>COLORES!A22</f>
        <v/>
      </c>
      <c r="F558" s="67" t="str">
        <f>COLORES!B22</f>
        <v/>
      </c>
      <c r="G558" s="90" t="s">
        <v>377</v>
      </c>
      <c r="H558" s="100">
        <f>IFERROR(SUMIFS(MOVIMIENTOS_COMPLEMENTOS!$I$4:$I$803,MOVIMIENTOS_COMPLEMENTOS!$C$4:$C$803,A558,MOVIMIENTOS_COMPLEMENTOS!$D$4:$D$803,B558,MOVIMIENTOS_COMPLEMENTOS!$E$4:$E$803,C558,MOVIMIENTOS_COMPLEMENTOS!$G$4:$G$803,E558,MOVIMIENTOS_COMPLEMENTOS!$H$4:$H$803,G558,MOVIMIENTOS_COMPLEMENTOS!$B$4:$B$803,"INGRESO")+SUMIFS(MOVIMIENTOS_COMPLEMENTOS!$I$4:$I$803,MOVIMIENTOS_COMPLEMENTOS!$C$4:$C$803,A558,MOVIMIENTOS_COMPLEMENTOS!$D$4:$D$803,B558,MOVIMIENTOS_COMPLEMENTOS!$E$4:$E$803,C558,MOVIMIENTOS_COMPLEMENTOS!$G$4:$G$803,E558,MOVIMIENTOS_COMPLEMENTOS!$H$4:$H$803,G558,MOVIMIENTOS_COMPLEMENTOS!$B$4:$B$803,"DE CORTE")-SUMIFS(MOVIMIENTOS_COMPLEMENTOS!$I$4:$I$803,MOVIMIENTOS_COMPLEMENTOS!$C$4:$C$803,A558,MOVIMIENTOS_COMPLEMENTOS!$D$4:$D$803,B558,MOVIMIENTOS_COMPLEMENTOS!$E$4:$E$803,C558,MOVIMIENTOS_COMPLEMENTOS!$G$4:$G$803,E558,MOVIMIENTOS_COMPLEMENTOS!$H$4:$H$803,G558,MOVIMIENTOS_COMPLEMENTOS!$B$4:$B$803,"SALIDA"),0)</f>
        <v>0</v>
      </c>
      <c r="I558" s="102">
        <f t="array" ref="I558">IFERROR(INDEX(PRECIOS_COMPLEMENTOS!$C$4:$F$17,MATCH(B558&amp;"_"&amp;C558,PRECIOS_COMPLEMENTOS!$H$4:$H$17,0),IF(OR(G558="S",G558="20cm"),1,IF(OR(G558="M",G558="25cm"),2,IF(OR(G558="L",G558="30cm"),3,IF(OR(G558="XL",G558="35cm"),4,0))))),0)</f>
        <v>0.5</v>
      </c>
      <c r="J558" s="103">
        <f t="shared" si="1"/>
        <v>0</v>
      </c>
      <c r="K558" s="104" t="str">
        <f>IF(H558&lt;0,"ERROR",IF(H558=0,"",IF(H558&lt;CONFIG!$B$4,"CRÍTICO",IF(H558&lt;CONFIG!$B$5,"BAJO","OK"))))</f>
        <v/>
      </c>
    </row>
    <row r="559" ht="15.75" hidden="1" customHeight="1">
      <c r="A559" s="90" t="str">
        <f>IF(CLIENTES!A7="","",CLIENTES!A7)</f>
        <v/>
      </c>
      <c r="B559" s="90" t="s">
        <v>321</v>
      </c>
      <c r="C559" s="91" t="s">
        <v>326</v>
      </c>
      <c r="D559" s="109" t="s">
        <v>353</v>
      </c>
      <c r="E559" s="67" t="str">
        <f>COLORES!A22</f>
        <v/>
      </c>
      <c r="F559" s="67" t="str">
        <f>COLORES!B22</f>
        <v/>
      </c>
      <c r="G559" s="90" t="s">
        <v>379</v>
      </c>
      <c r="H559" s="100">
        <f>IFERROR(SUMIFS(MOVIMIENTOS_COMPLEMENTOS!$I$4:$I$803,MOVIMIENTOS_COMPLEMENTOS!$C$4:$C$803,A559,MOVIMIENTOS_COMPLEMENTOS!$D$4:$D$803,B559,MOVIMIENTOS_COMPLEMENTOS!$E$4:$E$803,C559,MOVIMIENTOS_COMPLEMENTOS!$G$4:$G$803,E559,MOVIMIENTOS_COMPLEMENTOS!$H$4:$H$803,G559,MOVIMIENTOS_COMPLEMENTOS!$B$4:$B$803,"INGRESO")+SUMIFS(MOVIMIENTOS_COMPLEMENTOS!$I$4:$I$803,MOVIMIENTOS_COMPLEMENTOS!$C$4:$C$803,A559,MOVIMIENTOS_COMPLEMENTOS!$D$4:$D$803,B559,MOVIMIENTOS_COMPLEMENTOS!$E$4:$E$803,C559,MOVIMIENTOS_COMPLEMENTOS!$G$4:$G$803,E559,MOVIMIENTOS_COMPLEMENTOS!$H$4:$H$803,G559,MOVIMIENTOS_COMPLEMENTOS!$B$4:$B$803,"DE CORTE")-SUMIFS(MOVIMIENTOS_COMPLEMENTOS!$I$4:$I$803,MOVIMIENTOS_COMPLEMENTOS!$C$4:$C$803,A559,MOVIMIENTOS_COMPLEMENTOS!$D$4:$D$803,B559,MOVIMIENTOS_COMPLEMENTOS!$E$4:$E$803,C559,MOVIMIENTOS_COMPLEMENTOS!$G$4:$G$803,E559,MOVIMIENTOS_COMPLEMENTOS!$H$4:$H$803,G559,MOVIMIENTOS_COMPLEMENTOS!$B$4:$B$803,"SALIDA"),0)</f>
        <v>0</v>
      </c>
      <c r="I559" s="102">
        <f t="array" ref="I559">IFERROR(INDEX(PRECIOS_COMPLEMENTOS!$C$4:$F$17,MATCH(B559&amp;"_"&amp;C559,PRECIOS_COMPLEMENTOS!$H$4:$H$17,0),IF(OR(G559="S",G559="20cm"),1,IF(OR(G559="M",G559="25cm"),2,IF(OR(G559="L",G559="30cm"),3,IF(OR(G559="XL",G559="35cm"),4,0))))),0)</f>
        <v>0.55</v>
      </c>
      <c r="J559" s="103">
        <f t="shared" si="1"/>
        <v>0</v>
      </c>
      <c r="K559" s="104" t="str">
        <f>IF(H559&lt;0,"ERROR",IF(H559=0,"",IF(H559&lt;CONFIG!$B$4,"CRÍTICO",IF(H559&lt;CONFIG!$B$5,"BAJO","OK"))))</f>
        <v/>
      </c>
    </row>
    <row r="560" ht="15.75" hidden="1" customHeight="1">
      <c r="A560" s="90" t="str">
        <f>IF(CLIENTES!A7="","",CLIENTES!A7)</f>
        <v/>
      </c>
      <c r="B560" s="90" t="s">
        <v>321</v>
      </c>
      <c r="C560" s="91" t="s">
        <v>326</v>
      </c>
      <c r="D560" s="109" t="s">
        <v>353</v>
      </c>
      <c r="E560" s="67" t="str">
        <f>COLORES!A23</f>
        <v/>
      </c>
      <c r="F560" s="67" t="str">
        <f>COLORES!B23</f>
        <v/>
      </c>
      <c r="G560" s="90" t="s">
        <v>378</v>
      </c>
      <c r="H560" s="100">
        <f>IFERROR(SUMIFS(MOVIMIENTOS_COMPLEMENTOS!$I$4:$I$803,MOVIMIENTOS_COMPLEMENTOS!$C$4:$C$803,A560,MOVIMIENTOS_COMPLEMENTOS!$D$4:$D$803,B560,MOVIMIENTOS_COMPLEMENTOS!$E$4:$E$803,C560,MOVIMIENTOS_COMPLEMENTOS!$G$4:$G$803,E560,MOVIMIENTOS_COMPLEMENTOS!$H$4:$H$803,G560,MOVIMIENTOS_COMPLEMENTOS!$B$4:$B$803,"INGRESO")+SUMIFS(MOVIMIENTOS_COMPLEMENTOS!$I$4:$I$803,MOVIMIENTOS_COMPLEMENTOS!$C$4:$C$803,A560,MOVIMIENTOS_COMPLEMENTOS!$D$4:$D$803,B560,MOVIMIENTOS_COMPLEMENTOS!$E$4:$E$803,C560,MOVIMIENTOS_COMPLEMENTOS!$G$4:$G$803,E560,MOVIMIENTOS_COMPLEMENTOS!$H$4:$H$803,G560,MOVIMIENTOS_COMPLEMENTOS!$B$4:$B$803,"DE CORTE")-SUMIFS(MOVIMIENTOS_COMPLEMENTOS!$I$4:$I$803,MOVIMIENTOS_COMPLEMENTOS!$C$4:$C$803,A560,MOVIMIENTOS_COMPLEMENTOS!$D$4:$D$803,B560,MOVIMIENTOS_COMPLEMENTOS!$E$4:$E$803,C560,MOVIMIENTOS_COMPLEMENTOS!$G$4:$G$803,E560,MOVIMIENTOS_COMPLEMENTOS!$H$4:$H$803,G560,MOVIMIENTOS_COMPLEMENTOS!$B$4:$B$803,"SALIDA"),0)</f>
        <v>0</v>
      </c>
      <c r="I560" s="102">
        <f t="array" ref="I560">IFERROR(INDEX(PRECIOS_COMPLEMENTOS!$C$4:$F$17,MATCH(B560&amp;"_"&amp;C560,PRECIOS_COMPLEMENTOS!$H$4:$H$17,0),IF(OR(G560="S",G560="20cm"),1,IF(OR(G560="M",G560="25cm"),2,IF(OR(G560="L",G560="30cm"),3,IF(OR(G560="XL",G560="35cm"),4,0))))),0)</f>
        <v>0.4</v>
      </c>
      <c r="J560" s="103">
        <f t="shared" si="1"/>
        <v>0</v>
      </c>
      <c r="K560" s="104" t="str">
        <f>IF(H560&lt;0,"ERROR",IF(H560=0,"",IF(H560&lt;CONFIG!$B$4,"CRÍTICO",IF(H560&lt;CONFIG!$B$5,"BAJO","OK"))))</f>
        <v/>
      </c>
    </row>
    <row r="561" ht="15.75" hidden="1" customHeight="1">
      <c r="A561" s="90" t="str">
        <f>IF(CLIENTES!A7="","",CLIENTES!A7)</f>
        <v/>
      </c>
      <c r="B561" s="90" t="s">
        <v>321</v>
      </c>
      <c r="C561" s="91" t="s">
        <v>326</v>
      </c>
      <c r="D561" s="109" t="s">
        <v>353</v>
      </c>
      <c r="E561" s="67" t="str">
        <f>COLORES!A23</f>
        <v/>
      </c>
      <c r="F561" s="67" t="str">
        <f>COLORES!B23</f>
        <v/>
      </c>
      <c r="G561" s="90" t="s">
        <v>376</v>
      </c>
      <c r="H561" s="100">
        <f>IFERROR(SUMIFS(MOVIMIENTOS_COMPLEMENTOS!$I$4:$I$803,MOVIMIENTOS_COMPLEMENTOS!$C$4:$C$803,A561,MOVIMIENTOS_COMPLEMENTOS!$D$4:$D$803,B561,MOVIMIENTOS_COMPLEMENTOS!$E$4:$E$803,C561,MOVIMIENTOS_COMPLEMENTOS!$G$4:$G$803,E561,MOVIMIENTOS_COMPLEMENTOS!$H$4:$H$803,G561,MOVIMIENTOS_COMPLEMENTOS!$B$4:$B$803,"INGRESO")+SUMIFS(MOVIMIENTOS_COMPLEMENTOS!$I$4:$I$803,MOVIMIENTOS_COMPLEMENTOS!$C$4:$C$803,A561,MOVIMIENTOS_COMPLEMENTOS!$D$4:$D$803,B561,MOVIMIENTOS_COMPLEMENTOS!$E$4:$E$803,C561,MOVIMIENTOS_COMPLEMENTOS!$G$4:$G$803,E561,MOVIMIENTOS_COMPLEMENTOS!$H$4:$H$803,G561,MOVIMIENTOS_COMPLEMENTOS!$B$4:$B$803,"DE CORTE")-SUMIFS(MOVIMIENTOS_COMPLEMENTOS!$I$4:$I$803,MOVIMIENTOS_COMPLEMENTOS!$C$4:$C$803,A561,MOVIMIENTOS_COMPLEMENTOS!$D$4:$D$803,B561,MOVIMIENTOS_COMPLEMENTOS!$E$4:$E$803,C561,MOVIMIENTOS_COMPLEMENTOS!$G$4:$G$803,E561,MOVIMIENTOS_COMPLEMENTOS!$H$4:$H$803,G561,MOVIMIENTOS_COMPLEMENTOS!$B$4:$B$803,"SALIDA"),0)</f>
        <v>0</v>
      </c>
      <c r="I561" s="102">
        <f t="array" ref="I561">IFERROR(INDEX(PRECIOS_COMPLEMENTOS!$C$4:$F$17,MATCH(B561&amp;"_"&amp;C561,PRECIOS_COMPLEMENTOS!$H$4:$H$17,0),IF(OR(G561="S",G561="20cm"),1,IF(OR(G561="M",G561="25cm"),2,IF(OR(G561="L",G561="30cm"),3,IF(OR(G561="XL",G561="35cm"),4,0))))),0)</f>
        <v>0.45</v>
      </c>
      <c r="J561" s="103">
        <f t="shared" si="1"/>
        <v>0</v>
      </c>
      <c r="K561" s="104" t="str">
        <f>IF(H561&lt;0,"ERROR",IF(H561=0,"",IF(H561&lt;CONFIG!$B$4,"CRÍTICO",IF(H561&lt;CONFIG!$B$5,"BAJO","OK"))))</f>
        <v/>
      </c>
    </row>
    <row r="562" ht="15.75" hidden="1" customHeight="1">
      <c r="A562" s="90" t="str">
        <f>IF(CLIENTES!A7="","",CLIENTES!A7)</f>
        <v/>
      </c>
      <c r="B562" s="90" t="s">
        <v>321</v>
      </c>
      <c r="C562" s="91" t="s">
        <v>326</v>
      </c>
      <c r="D562" s="109" t="s">
        <v>353</v>
      </c>
      <c r="E562" s="67" t="str">
        <f>COLORES!A23</f>
        <v/>
      </c>
      <c r="F562" s="67" t="str">
        <f>COLORES!B23</f>
        <v/>
      </c>
      <c r="G562" s="90" t="s">
        <v>377</v>
      </c>
      <c r="H562" s="100">
        <f>IFERROR(SUMIFS(MOVIMIENTOS_COMPLEMENTOS!$I$4:$I$803,MOVIMIENTOS_COMPLEMENTOS!$C$4:$C$803,A562,MOVIMIENTOS_COMPLEMENTOS!$D$4:$D$803,B562,MOVIMIENTOS_COMPLEMENTOS!$E$4:$E$803,C562,MOVIMIENTOS_COMPLEMENTOS!$G$4:$G$803,E562,MOVIMIENTOS_COMPLEMENTOS!$H$4:$H$803,G562,MOVIMIENTOS_COMPLEMENTOS!$B$4:$B$803,"INGRESO")+SUMIFS(MOVIMIENTOS_COMPLEMENTOS!$I$4:$I$803,MOVIMIENTOS_COMPLEMENTOS!$C$4:$C$803,A562,MOVIMIENTOS_COMPLEMENTOS!$D$4:$D$803,B562,MOVIMIENTOS_COMPLEMENTOS!$E$4:$E$803,C562,MOVIMIENTOS_COMPLEMENTOS!$G$4:$G$803,E562,MOVIMIENTOS_COMPLEMENTOS!$H$4:$H$803,G562,MOVIMIENTOS_COMPLEMENTOS!$B$4:$B$803,"DE CORTE")-SUMIFS(MOVIMIENTOS_COMPLEMENTOS!$I$4:$I$803,MOVIMIENTOS_COMPLEMENTOS!$C$4:$C$803,A562,MOVIMIENTOS_COMPLEMENTOS!$D$4:$D$803,B562,MOVIMIENTOS_COMPLEMENTOS!$E$4:$E$803,C562,MOVIMIENTOS_COMPLEMENTOS!$G$4:$G$803,E562,MOVIMIENTOS_COMPLEMENTOS!$H$4:$H$803,G562,MOVIMIENTOS_COMPLEMENTOS!$B$4:$B$803,"SALIDA"),0)</f>
        <v>0</v>
      </c>
      <c r="I562" s="102">
        <f t="array" ref="I562">IFERROR(INDEX(PRECIOS_COMPLEMENTOS!$C$4:$F$17,MATCH(B562&amp;"_"&amp;C562,PRECIOS_COMPLEMENTOS!$H$4:$H$17,0),IF(OR(G562="S",G562="20cm"),1,IF(OR(G562="M",G562="25cm"),2,IF(OR(G562="L",G562="30cm"),3,IF(OR(G562="XL",G562="35cm"),4,0))))),0)</f>
        <v>0.5</v>
      </c>
      <c r="J562" s="103">
        <f t="shared" si="1"/>
        <v>0</v>
      </c>
      <c r="K562" s="104" t="str">
        <f>IF(H562&lt;0,"ERROR",IF(H562=0,"",IF(H562&lt;CONFIG!$B$4,"CRÍTICO",IF(H562&lt;CONFIG!$B$5,"BAJO","OK"))))</f>
        <v/>
      </c>
    </row>
    <row r="563" ht="15.75" hidden="1" customHeight="1">
      <c r="A563" s="90" t="str">
        <f>IF(CLIENTES!A7="","",CLIENTES!A7)</f>
        <v/>
      </c>
      <c r="B563" s="90" t="s">
        <v>321</v>
      </c>
      <c r="C563" s="91" t="s">
        <v>326</v>
      </c>
      <c r="D563" s="109" t="s">
        <v>353</v>
      </c>
      <c r="E563" s="67" t="str">
        <f>COLORES!A23</f>
        <v/>
      </c>
      <c r="F563" s="67" t="str">
        <f>COLORES!B23</f>
        <v/>
      </c>
      <c r="G563" s="90" t="s">
        <v>379</v>
      </c>
      <c r="H563" s="100">
        <f>IFERROR(SUMIFS(MOVIMIENTOS_COMPLEMENTOS!$I$4:$I$803,MOVIMIENTOS_COMPLEMENTOS!$C$4:$C$803,A563,MOVIMIENTOS_COMPLEMENTOS!$D$4:$D$803,B563,MOVIMIENTOS_COMPLEMENTOS!$E$4:$E$803,C563,MOVIMIENTOS_COMPLEMENTOS!$G$4:$G$803,E563,MOVIMIENTOS_COMPLEMENTOS!$H$4:$H$803,G563,MOVIMIENTOS_COMPLEMENTOS!$B$4:$B$803,"INGRESO")+SUMIFS(MOVIMIENTOS_COMPLEMENTOS!$I$4:$I$803,MOVIMIENTOS_COMPLEMENTOS!$C$4:$C$803,A563,MOVIMIENTOS_COMPLEMENTOS!$D$4:$D$803,B563,MOVIMIENTOS_COMPLEMENTOS!$E$4:$E$803,C563,MOVIMIENTOS_COMPLEMENTOS!$G$4:$G$803,E563,MOVIMIENTOS_COMPLEMENTOS!$H$4:$H$803,G563,MOVIMIENTOS_COMPLEMENTOS!$B$4:$B$803,"DE CORTE")-SUMIFS(MOVIMIENTOS_COMPLEMENTOS!$I$4:$I$803,MOVIMIENTOS_COMPLEMENTOS!$C$4:$C$803,A563,MOVIMIENTOS_COMPLEMENTOS!$D$4:$D$803,B563,MOVIMIENTOS_COMPLEMENTOS!$E$4:$E$803,C563,MOVIMIENTOS_COMPLEMENTOS!$G$4:$G$803,E563,MOVIMIENTOS_COMPLEMENTOS!$H$4:$H$803,G563,MOVIMIENTOS_COMPLEMENTOS!$B$4:$B$803,"SALIDA"),0)</f>
        <v>0</v>
      </c>
      <c r="I563" s="102">
        <f t="array" ref="I563">IFERROR(INDEX(PRECIOS_COMPLEMENTOS!$C$4:$F$17,MATCH(B563&amp;"_"&amp;C563,PRECIOS_COMPLEMENTOS!$H$4:$H$17,0),IF(OR(G563="S",G563="20cm"),1,IF(OR(G563="M",G563="25cm"),2,IF(OR(G563="L",G563="30cm"),3,IF(OR(G563="XL",G563="35cm"),4,0))))),0)</f>
        <v>0.55</v>
      </c>
      <c r="J563" s="103">
        <f t="shared" si="1"/>
        <v>0</v>
      </c>
      <c r="K563" s="104" t="str">
        <f>IF(H563&lt;0,"ERROR",IF(H563=0,"",IF(H563&lt;CONFIG!$B$4,"CRÍTICO",IF(H563&lt;CONFIG!$B$5,"BAJO","OK"))))</f>
        <v/>
      </c>
    </row>
    <row r="564" ht="15.75" hidden="1" customHeight="1">
      <c r="A564" s="90" t="str">
        <f>IF(CLIENTES!A8="","",CLIENTES!A8)</f>
        <v/>
      </c>
      <c r="B564" s="90" t="s">
        <v>321</v>
      </c>
      <c r="C564" s="91" t="s">
        <v>326</v>
      </c>
      <c r="D564" s="109" t="s">
        <v>353</v>
      </c>
      <c r="E564" s="67" t="str">
        <f>COLORES!A4</f>
        <v>Negro</v>
      </c>
      <c r="F564" s="67" t="str">
        <f>COLORES!B4</f>
        <v>OSCURO</v>
      </c>
      <c r="G564" s="90" t="s">
        <v>378</v>
      </c>
      <c r="H564" s="100">
        <f>IFERROR(SUMIFS(MOVIMIENTOS_COMPLEMENTOS!$I$4:$I$803,MOVIMIENTOS_COMPLEMENTOS!$C$4:$C$803,A564,MOVIMIENTOS_COMPLEMENTOS!$D$4:$D$803,B564,MOVIMIENTOS_COMPLEMENTOS!$E$4:$E$803,C564,MOVIMIENTOS_COMPLEMENTOS!$G$4:$G$803,E564,MOVIMIENTOS_COMPLEMENTOS!$H$4:$H$803,G564,MOVIMIENTOS_COMPLEMENTOS!$B$4:$B$803,"INGRESO")+SUMIFS(MOVIMIENTOS_COMPLEMENTOS!$I$4:$I$803,MOVIMIENTOS_COMPLEMENTOS!$C$4:$C$803,A564,MOVIMIENTOS_COMPLEMENTOS!$D$4:$D$803,B564,MOVIMIENTOS_COMPLEMENTOS!$E$4:$E$803,C564,MOVIMIENTOS_COMPLEMENTOS!$G$4:$G$803,E564,MOVIMIENTOS_COMPLEMENTOS!$H$4:$H$803,G564,MOVIMIENTOS_COMPLEMENTOS!$B$4:$B$803,"DE CORTE")-SUMIFS(MOVIMIENTOS_COMPLEMENTOS!$I$4:$I$803,MOVIMIENTOS_COMPLEMENTOS!$C$4:$C$803,A564,MOVIMIENTOS_COMPLEMENTOS!$D$4:$D$803,B564,MOVIMIENTOS_COMPLEMENTOS!$E$4:$E$803,C564,MOVIMIENTOS_COMPLEMENTOS!$G$4:$G$803,E564,MOVIMIENTOS_COMPLEMENTOS!$H$4:$H$803,G564,MOVIMIENTOS_COMPLEMENTOS!$B$4:$B$803,"SALIDA"),0)</f>
        <v>0</v>
      </c>
      <c r="I564" s="102">
        <f t="array" ref="I564">IFERROR(INDEX(PRECIOS_COMPLEMENTOS!$C$4:$F$17,MATCH(B564&amp;"_"&amp;C564,PRECIOS_COMPLEMENTOS!$H$4:$H$17,0),IF(OR(G564="S",G564="20cm"),1,IF(OR(G564="M",G564="25cm"),2,IF(OR(G564="L",G564="30cm"),3,IF(OR(G564="XL",G564="35cm"),4,0))))),0)</f>
        <v>0.4</v>
      </c>
      <c r="J564" s="103">
        <f t="shared" si="1"/>
        <v>0</v>
      </c>
      <c r="K564" s="104" t="str">
        <f>IF(H564&lt;0,"ERROR",IF(H564=0,"",IF(H564&lt;CONFIG!$B$4,"CRÍTICO",IF(H564&lt;CONFIG!$B$5,"BAJO","OK"))))</f>
        <v/>
      </c>
    </row>
    <row r="565" ht="15.75" hidden="1" customHeight="1">
      <c r="A565" s="90" t="str">
        <f>IF(CLIENTES!A8="","",CLIENTES!A8)</f>
        <v/>
      </c>
      <c r="B565" s="90" t="s">
        <v>321</v>
      </c>
      <c r="C565" s="91" t="s">
        <v>326</v>
      </c>
      <c r="D565" s="109" t="s">
        <v>353</v>
      </c>
      <c r="E565" s="67" t="str">
        <f>COLORES!A4</f>
        <v>Negro</v>
      </c>
      <c r="F565" s="67" t="str">
        <f>COLORES!B4</f>
        <v>OSCURO</v>
      </c>
      <c r="G565" s="90" t="s">
        <v>376</v>
      </c>
      <c r="H565" s="100">
        <f>IFERROR(SUMIFS(MOVIMIENTOS_COMPLEMENTOS!$I$4:$I$803,MOVIMIENTOS_COMPLEMENTOS!$C$4:$C$803,A565,MOVIMIENTOS_COMPLEMENTOS!$D$4:$D$803,B565,MOVIMIENTOS_COMPLEMENTOS!$E$4:$E$803,C565,MOVIMIENTOS_COMPLEMENTOS!$G$4:$G$803,E565,MOVIMIENTOS_COMPLEMENTOS!$H$4:$H$803,G565,MOVIMIENTOS_COMPLEMENTOS!$B$4:$B$803,"INGRESO")+SUMIFS(MOVIMIENTOS_COMPLEMENTOS!$I$4:$I$803,MOVIMIENTOS_COMPLEMENTOS!$C$4:$C$803,A565,MOVIMIENTOS_COMPLEMENTOS!$D$4:$D$803,B565,MOVIMIENTOS_COMPLEMENTOS!$E$4:$E$803,C565,MOVIMIENTOS_COMPLEMENTOS!$G$4:$G$803,E565,MOVIMIENTOS_COMPLEMENTOS!$H$4:$H$803,G565,MOVIMIENTOS_COMPLEMENTOS!$B$4:$B$803,"DE CORTE")-SUMIFS(MOVIMIENTOS_COMPLEMENTOS!$I$4:$I$803,MOVIMIENTOS_COMPLEMENTOS!$C$4:$C$803,A565,MOVIMIENTOS_COMPLEMENTOS!$D$4:$D$803,B565,MOVIMIENTOS_COMPLEMENTOS!$E$4:$E$803,C565,MOVIMIENTOS_COMPLEMENTOS!$G$4:$G$803,E565,MOVIMIENTOS_COMPLEMENTOS!$H$4:$H$803,G565,MOVIMIENTOS_COMPLEMENTOS!$B$4:$B$803,"SALIDA"),0)</f>
        <v>0</v>
      </c>
      <c r="I565" s="102">
        <f t="array" ref="I565">IFERROR(INDEX(PRECIOS_COMPLEMENTOS!$C$4:$F$17,MATCH(B565&amp;"_"&amp;C565,PRECIOS_COMPLEMENTOS!$H$4:$H$17,0),IF(OR(G565="S",G565="20cm"),1,IF(OR(G565="M",G565="25cm"),2,IF(OR(G565="L",G565="30cm"),3,IF(OR(G565="XL",G565="35cm"),4,0))))),0)</f>
        <v>0.45</v>
      </c>
      <c r="J565" s="103">
        <f t="shared" si="1"/>
        <v>0</v>
      </c>
      <c r="K565" s="104" t="str">
        <f>IF(H565&lt;0,"ERROR",IF(H565=0,"",IF(H565&lt;CONFIG!$B$4,"CRÍTICO",IF(H565&lt;CONFIG!$B$5,"BAJO","OK"))))</f>
        <v/>
      </c>
    </row>
    <row r="566" ht="15.75" hidden="1" customHeight="1">
      <c r="A566" s="90" t="str">
        <f>IF(CLIENTES!A8="","",CLIENTES!A8)</f>
        <v/>
      </c>
      <c r="B566" s="90" t="s">
        <v>321</v>
      </c>
      <c r="C566" s="91" t="s">
        <v>326</v>
      </c>
      <c r="D566" s="109" t="s">
        <v>353</v>
      </c>
      <c r="E566" s="67" t="str">
        <f>COLORES!A4</f>
        <v>Negro</v>
      </c>
      <c r="F566" s="67" t="str">
        <f>COLORES!B4</f>
        <v>OSCURO</v>
      </c>
      <c r="G566" s="90" t="s">
        <v>377</v>
      </c>
      <c r="H566" s="100">
        <f>IFERROR(SUMIFS(MOVIMIENTOS_COMPLEMENTOS!$I$4:$I$803,MOVIMIENTOS_COMPLEMENTOS!$C$4:$C$803,A566,MOVIMIENTOS_COMPLEMENTOS!$D$4:$D$803,B566,MOVIMIENTOS_COMPLEMENTOS!$E$4:$E$803,C566,MOVIMIENTOS_COMPLEMENTOS!$G$4:$G$803,E566,MOVIMIENTOS_COMPLEMENTOS!$H$4:$H$803,G566,MOVIMIENTOS_COMPLEMENTOS!$B$4:$B$803,"INGRESO")+SUMIFS(MOVIMIENTOS_COMPLEMENTOS!$I$4:$I$803,MOVIMIENTOS_COMPLEMENTOS!$C$4:$C$803,A566,MOVIMIENTOS_COMPLEMENTOS!$D$4:$D$803,B566,MOVIMIENTOS_COMPLEMENTOS!$E$4:$E$803,C566,MOVIMIENTOS_COMPLEMENTOS!$G$4:$G$803,E566,MOVIMIENTOS_COMPLEMENTOS!$H$4:$H$803,G566,MOVIMIENTOS_COMPLEMENTOS!$B$4:$B$803,"DE CORTE")-SUMIFS(MOVIMIENTOS_COMPLEMENTOS!$I$4:$I$803,MOVIMIENTOS_COMPLEMENTOS!$C$4:$C$803,A566,MOVIMIENTOS_COMPLEMENTOS!$D$4:$D$803,B566,MOVIMIENTOS_COMPLEMENTOS!$E$4:$E$803,C566,MOVIMIENTOS_COMPLEMENTOS!$G$4:$G$803,E566,MOVIMIENTOS_COMPLEMENTOS!$H$4:$H$803,G566,MOVIMIENTOS_COMPLEMENTOS!$B$4:$B$803,"SALIDA"),0)</f>
        <v>0</v>
      </c>
      <c r="I566" s="102">
        <f t="array" ref="I566">IFERROR(INDEX(PRECIOS_COMPLEMENTOS!$C$4:$F$17,MATCH(B566&amp;"_"&amp;C566,PRECIOS_COMPLEMENTOS!$H$4:$H$17,0),IF(OR(G566="S",G566="20cm"),1,IF(OR(G566="M",G566="25cm"),2,IF(OR(G566="L",G566="30cm"),3,IF(OR(G566="XL",G566="35cm"),4,0))))),0)</f>
        <v>0.5</v>
      </c>
      <c r="J566" s="103">
        <f t="shared" si="1"/>
        <v>0</v>
      </c>
      <c r="K566" s="104" t="str">
        <f>IF(H566&lt;0,"ERROR",IF(H566=0,"",IF(H566&lt;CONFIG!$B$4,"CRÍTICO",IF(H566&lt;CONFIG!$B$5,"BAJO","OK"))))</f>
        <v/>
      </c>
    </row>
    <row r="567" ht="15.75" hidden="1" customHeight="1">
      <c r="A567" s="90" t="str">
        <f>IF(CLIENTES!A8="","",CLIENTES!A8)</f>
        <v/>
      </c>
      <c r="B567" s="90" t="s">
        <v>321</v>
      </c>
      <c r="C567" s="91" t="s">
        <v>326</v>
      </c>
      <c r="D567" s="109" t="s">
        <v>353</v>
      </c>
      <c r="E567" s="67" t="str">
        <f>COLORES!A4</f>
        <v>Negro</v>
      </c>
      <c r="F567" s="67" t="str">
        <f>COLORES!B4</f>
        <v>OSCURO</v>
      </c>
      <c r="G567" s="90" t="s">
        <v>379</v>
      </c>
      <c r="H567" s="100">
        <f>IFERROR(SUMIFS(MOVIMIENTOS_COMPLEMENTOS!$I$4:$I$803,MOVIMIENTOS_COMPLEMENTOS!$C$4:$C$803,A567,MOVIMIENTOS_COMPLEMENTOS!$D$4:$D$803,B567,MOVIMIENTOS_COMPLEMENTOS!$E$4:$E$803,C567,MOVIMIENTOS_COMPLEMENTOS!$G$4:$G$803,E567,MOVIMIENTOS_COMPLEMENTOS!$H$4:$H$803,G567,MOVIMIENTOS_COMPLEMENTOS!$B$4:$B$803,"INGRESO")+SUMIFS(MOVIMIENTOS_COMPLEMENTOS!$I$4:$I$803,MOVIMIENTOS_COMPLEMENTOS!$C$4:$C$803,A567,MOVIMIENTOS_COMPLEMENTOS!$D$4:$D$803,B567,MOVIMIENTOS_COMPLEMENTOS!$E$4:$E$803,C567,MOVIMIENTOS_COMPLEMENTOS!$G$4:$G$803,E567,MOVIMIENTOS_COMPLEMENTOS!$H$4:$H$803,G567,MOVIMIENTOS_COMPLEMENTOS!$B$4:$B$803,"DE CORTE")-SUMIFS(MOVIMIENTOS_COMPLEMENTOS!$I$4:$I$803,MOVIMIENTOS_COMPLEMENTOS!$C$4:$C$803,A567,MOVIMIENTOS_COMPLEMENTOS!$D$4:$D$803,B567,MOVIMIENTOS_COMPLEMENTOS!$E$4:$E$803,C567,MOVIMIENTOS_COMPLEMENTOS!$G$4:$G$803,E567,MOVIMIENTOS_COMPLEMENTOS!$H$4:$H$803,G567,MOVIMIENTOS_COMPLEMENTOS!$B$4:$B$803,"SALIDA"),0)</f>
        <v>0</v>
      </c>
      <c r="I567" s="102">
        <f t="array" ref="I567">IFERROR(INDEX(PRECIOS_COMPLEMENTOS!$C$4:$F$17,MATCH(B567&amp;"_"&amp;C567,PRECIOS_COMPLEMENTOS!$H$4:$H$17,0),IF(OR(G567="S",G567="20cm"),1,IF(OR(G567="M",G567="25cm"),2,IF(OR(G567="L",G567="30cm"),3,IF(OR(G567="XL",G567="35cm"),4,0))))),0)</f>
        <v>0.55</v>
      </c>
      <c r="J567" s="103">
        <f t="shared" si="1"/>
        <v>0</v>
      </c>
      <c r="K567" s="104" t="str">
        <f>IF(H567&lt;0,"ERROR",IF(H567=0,"",IF(H567&lt;CONFIG!$B$4,"CRÍTICO",IF(H567&lt;CONFIG!$B$5,"BAJO","OK"))))</f>
        <v/>
      </c>
    </row>
    <row r="568" ht="15.75" hidden="1" customHeight="1">
      <c r="A568" s="90" t="str">
        <f>IF(CLIENTES!A8="","",CLIENTES!A8)</f>
        <v/>
      </c>
      <c r="B568" s="90" t="s">
        <v>321</v>
      </c>
      <c r="C568" s="91" t="s">
        <v>326</v>
      </c>
      <c r="D568" s="109" t="s">
        <v>353</v>
      </c>
      <c r="E568" s="67" t="str">
        <f>COLORES!A5</f>
        <v>Perla</v>
      </c>
      <c r="F568" s="67" t="str">
        <f>COLORES!B5</f>
        <v>PPT</v>
      </c>
      <c r="G568" s="90" t="s">
        <v>378</v>
      </c>
      <c r="H568" s="100">
        <f>IFERROR(SUMIFS(MOVIMIENTOS_COMPLEMENTOS!$I$4:$I$803,MOVIMIENTOS_COMPLEMENTOS!$C$4:$C$803,A568,MOVIMIENTOS_COMPLEMENTOS!$D$4:$D$803,B568,MOVIMIENTOS_COMPLEMENTOS!$E$4:$E$803,C568,MOVIMIENTOS_COMPLEMENTOS!$G$4:$G$803,E568,MOVIMIENTOS_COMPLEMENTOS!$H$4:$H$803,G568,MOVIMIENTOS_COMPLEMENTOS!$B$4:$B$803,"INGRESO")+SUMIFS(MOVIMIENTOS_COMPLEMENTOS!$I$4:$I$803,MOVIMIENTOS_COMPLEMENTOS!$C$4:$C$803,A568,MOVIMIENTOS_COMPLEMENTOS!$D$4:$D$803,B568,MOVIMIENTOS_COMPLEMENTOS!$E$4:$E$803,C568,MOVIMIENTOS_COMPLEMENTOS!$G$4:$G$803,E568,MOVIMIENTOS_COMPLEMENTOS!$H$4:$H$803,G568,MOVIMIENTOS_COMPLEMENTOS!$B$4:$B$803,"DE CORTE")-SUMIFS(MOVIMIENTOS_COMPLEMENTOS!$I$4:$I$803,MOVIMIENTOS_COMPLEMENTOS!$C$4:$C$803,A568,MOVIMIENTOS_COMPLEMENTOS!$D$4:$D$803,B568,MOVIMIENTOS_COMPLEMENTOS!$E$4:$E$803,C568,MOVIMIENTOS_COMPLEMENTOS!$G$4:$G$803,E568,MOVIMIENTOS_COMPLEMENTOS!$H$4:$H$803,G568,MOVIMIENTOS_COMPLEMENTOS!$B$4:$B$803,"SALIDA"),0)</f>
        <v>0</v>
      </c>
      <c r="I568" s="102">
        <f t="array" ref="I568">IFERROR(INDEX(PRECIOS_COMPLEMENTOS!$C$4:$F$17,MATCH(B568&amp;"_"&amp;C568,PRECIOS_COMPLEMENTOS!$H$4:$H$17,0),IF(OR(G568="S",G568="20cm"),1,IF(OR(G568="M",G568="25cm"),2,IF(OR(G568="L",G568="30cm"),3,IF(OR(G568="XL",G568="35cm"),4,0))))),0)</f>
        <v>0.4</v>
      </c>
      <c r="J568" s="103">
        <f t="shared" si="1"/>
        <v>0</v>
      </c>
      <c r="K568" s="104" t="str">
        <f>IF(H568&lt;0,"ERROR",IF(H568=0,"",IF(H568&lt;CONFIG!$B$4,"CRÍTICO",IF(H568&lt;CONFIG!$B$5,"BAJO","OK"))))</f>
        <v/>
      </c>
    </row>
    <row r="569" ht="15.75" hidden="1" customHeight="1">
      <c r="A569" s="90" t="str">
        <f>IF(CLIENTES!A8="","",CLIENTES!A8)</f>
        <v/>
      </c>
      <c r="B569" s="90" t="s">
        <v>321</v>
      </c>
      <c r="C569" s="91" t="s">
        <v>326</v>
      </c>
      <c r="D569" s="109" t="s">
        <v>353</v>
      </c>
      <c r="E569" s="67" t="str">
        <f>COLORES!A5</f>
        <v>Perla</v>
      </c>
      <c r="F569" s="67" t="str">
        <f>COLORES!B5</f>
        <v>PPT</v>
      </c>
      <c r="G569" s="90" t="s">
        <v>376</v>
      </c>
      <c r="H569" s="100">
        <f>IFERROR(SUMIFS(MOVIMIENTOS_COMPLEMENTOS!$I$4:$I$803,MOVIMIENTOS_COMPLEMENTOS!$C$4:$C$803,A569,MOVIMIENTOS_COMPLEMENTOS!$D$4:$D$803,B569,MOVIMIENTOS_COMPLEMENTOS!$E$4:$E$803,C569,MOVIMIENTOS_COMPLEMENTOS!$G$4:$G$803,E569,MOVIMIENTOS_COMPLEMENTOS!$H$4:$H$803,G569,MOVIMIENTOS_COMPLEMENTOS!$B$4:$B$803,"INGRESO")+SUMIFS(MOVIMIENTOS_COMPLEMENTOS!$I$4:$I$803,MOVIMIENTOS_COMPLEMENTOS!$C$4:$C$803,A569,MOVIMIENTOS_COMPLEMENTOS!$D$4:$D$803,B569,MOVIMIENTOS_COMPLEMENTOS!$E$4:$E$803,C569,MOVIMIENTOS_COMPLEMENTOS!$G$4:$G$803,E569,MOVIMIENTOS_COMPLEMENTOS!$H$4:$H$803,G569,MOVIMIENTOS_COMPLEMENTOS!$B$4:$B$803,"DE CORTE")-SUMIFS(MOVIMIENTOS_COMPLEMENTOS!$I$4:$I$803,MOVIMIENTOS_COMPLEMENTOS!$C$4:$C$803,A569,MOVIMIENTOS_COMPLEMENTOS!$D$4:$D$803,B569,MOVIMIENTOS_COMPLEMENTOS!$E$4:$E$803,C569,MOVIMIENTOS_COMPLEMENTOS!$G$4:$G$803,E569,MOVIMIENTOS_COMPLEMENTOS!$H$4:$H$803,G569,MOVIMIENTOS_COMPLEMENTOS!$B$4:$B$803,"SALIDA"),0)</f>
        <v>0</v>
      </c>
      <c r="I569" s="102">
        <f t="array" ref="I569">IFERROR(INDEX(PRECIOS_COMPLEMENTOS!$C$4:$F$17,MATCH(B569&amp;"_"&amp;C569,PRECIOS_COMPLEMENTOS!$H$4:$H$17,0),IF(OR(G569="S",G569="20cm"),1,IF(OR(G569="M",G569="25cm"),2,IF(OR(G569="L",G569="30cm"),3,IF(OR(G569="XL",G569="35cm"),4,0))))),0)</f>
        <v>0.45</v>
      </c>
      <c r="J569" s="103">
        <f t="shared" si="1"/>
        <v>0</v>
      </c>
      <c r="K569" s="104" t="str">
        <f>IF(H569&lt;0,"ERROR",IF(H569=0,"",IF(H569&lt;CONFIG!$B$4,"CRÍTICO",IF(H569&lt;CONFIG!$B$5,"BAJO","OK"))))</f>
        <v/>
      </c>
    </row>
    <row r="570" ht="15.75" hidden="1" customHeight="1">
      <c r="A570" s="90" t="str">
        <f>IF(CLIENTES!A8="","",CLIENTES!A8)</f>
        <v/>
      </c>
      <c r="B570" s="90" t="s">
        <v>321</v>
      </c>
      <c r="C570" s="91" t="s">
        <v>326</v>
      </c>
      <c r="D570" s="109" t="s">
        <v>353</v>
      </c>
      <c r="E570" s="67" t="str">
        <f>COLORES!A5</f>
        <v>Perla</v>
      </c>
      <c r="F570" s="67" t="str">
        <f>COLORES!B5</f>
        <v>PPT</v>
      </c>
      <c r="G570" s="90" t="s">
        <v>377</v>
      </c>
      <c r="H570" s="100">
        <f>IFERROR(SUMIFS(MOVIMIENTOS_COMPLEMENTOS!$I$4:$I$803,MOVIMIENTOS_COMPLEMENTOS!$C$4:$C$803,A570,MOVIMIENTOS_COMPLEMENTOS!$D$4:$D$803,B570,MOVIMIENTOS_COMPLEMENTOS!$E$4:$E$803,C570,MOVIMIENTOS_COMPLEMENTOS!$G$4:$G$803,E570,MOVIMIENTOS_COMPLEMENTOS!$H$4:$H$803,G570,MOVIMIENTOS_COMPLEMENTOS!$B$4:$B$803,"INGRESO")+SUMIFS(MOVIMIENTOS_COMPLEMENTOS!$I$4:$I$803,MOVIMIENTOS_COMPLEMENTOS!$C$4:$C$803,A570,MOVIMIENTOS_COMPLEMENTOS!$D$4:$D$803,B570,MOVIMIENTOS_COMPLEMENTOS!$E$4:$E$803,C570,MOVIMIENTOS_COMPLEMENTOS!$G$4:$G$803,E570,MOVIMIENTOS_COMPLEMENTOS!$H$4:$H$803,G570,MOVIMIENTOS_COMPLEMENTOS!$B$4:$B$803,"DE CORTE")-SUMIFS(MOVIMIENTOS_COMPLEMENTOS!$I$4:$I$803,MOVIMIENTOS_COMPLEMENTOS!$C$4:$C$803,A570,MOVIMIENTOS_COMPLEMENTOS!$D$4:$D$803,B570,MOVIMIENTOS_COMPLEMENTOS!$E$4:$E$803,C570,MOVIMIENTOS_COMPLEMENTOS!$G$4:$G$803,E570,MOVIMIENTOS_COMPLEMENTOS!$H$4:$H$803,G570,MOVIMIENTOS_COMPLEMENTOS!$B$4:$B$803,"SALIDA"),0)</f>
        <v>0</v>
      </c>
      <c r="I570" s="102">
        <f t="array" ref="I570">IFERROR(INDEX(PRECIOS_COMPLEMENTOS!$C$4:$F$17,MATCH(B570&amp;"_"&amp;C570,PRECIOS_COMPLEMENTOS!$H$4:$H$17,0),IF(OR(G570="S",G570="20cm"),1,IF(OR(G570="M",G570="25cm"),2,IF(OR(G570="L",G570="30cm"),3,IF(OR(G570="XL",G570="35cm"),4,0))))),0)</f>
        <v>0.5</v>
      </c>
      <c r="J570" s="103">
        <f t="shared" si="1"/>
        <v>0</v>
      </c>
      <c r="K570" s="104" t="str">
        <f>IF(H570&lt;0,"ERROR",IF(H570=0,"",IF(H570&lt;CONFIG!$B$4,"CRÍTICO",IF(H570&lt;CONFIG!$B$5,"BAJO","OK"))))</f>
        <v/>
      </c>
    </row>
    <row r="571" ht="15.75" hidden="1" customHeight="1">
      <c r="A571" s="90" t="str">
        <f>IF(CLIENTES!A8="","",CLIENTES!A8)</f>
        <v/>
      </c>
      <c r="B571" s="90" t="s">
        <v>321</v>
      </c>
      <c r="C571" s="91" t="s">
        <v>326</v>
      </c>
      <c r="D571" s="109" t="s">
        <v>353</v>
      </c>
      <c r="E571" s="67" t="str">
        <f>COLORES!A5</f>
        <v>Perla</v>
      </c>
      <c r="F571" s="67" t="str">
        <f>COLORES!B5</f>
        <v>PPT</v>
      </c>
      <c r="G571" s="90" t="s">
        <v>379</v>
      </c>
      <c r="H571" s="100">
        <f>IFERROR(SUMIFS(MOVIMIENTOS_COMPLEMENTOS!$I$4:$I$803,MOVIMIENTOS_COMPLEMENTOS!$C$4:$C$803,A571,MOVIMIENTOS_COMPLEMENTOS!$D$4:$D$803,B571,MOVIMIENTOS_COMPLEMENTOS!$E$4:$E$803,C571,MOVIMIENTOS_COMPLEMENTOS!$G$4:$G$803,E571,MOVIMIENTOS_COMPLEMENTOS!$H$4:$H$803,G571,MOVIMIENTOS_COMPLEMENTOS!$B$4:$B$803,"INGRESO")+SUMIFS(MOVIMIENTOS_COMPLEMENTOS!$I$4:$I$803,MOVIMIENTOS_COMPLEMENTOS!$C$4:$C$803,A571,MOVIMIENTOS_COMPLEMENTOS!$D$4:$D$803,B571,MOVIMIENTOS_COMPLEMENTOS!$E$4:$E$803,C571,MOVIMIENTOS_COMPLEMENTOS!$G$4:$G$803,E571,MOVIMIENTOS_COMPLEMENTOS!$H$4:$H$803,G571,MOVIMIENTOS_COMPLEMENTOS!$B$4:$B$803,"DE CORTE")-SUMIFS(MOVIMIENTOS_COMPLEMENTOS!$I$4:$I$803,MOVIMIENTOS_COMPLEMENTOS!$C$4:$C$803,A571,MOVIMIENTOS_COMPLEMENTOS!$D$4:$D$803,B571,MOVIMIENTOS_COMPLEMENTOS!$E$4:$E$803,C571,MOVIMIENTOS_COMPLEMENTOS!$G$4:$G$803,E571,MOVIMIENTOS_COMPLEMENTOS!$H$4:$H$803,G571,MOVIMIENTOS_COMPLEMENTOS!$B$4:$B$803,"SALIDA"),0)</f>
        <v>0</v>
      </c>
      <c r="I571" s="102">
        <f t="array" ref="I571">IFERROR(INDEX(PRECIOS_COMPLEMENTOS!$C$4:$F$17,MATCH(B571&amp;"_"&amp;C571,PRECIOS_COMPLEMENTOS!$H$4:$H$17,0),IF(OR(G571="S",G571="20cm"),1,IF(OR(G571="M",G571="25cm"),2,IF(OR(G571="L",G571="30cm"),3,IF(OR(G571="XL",G571="35cm"),4,0))))),0)</f>
        <v>0.55</v>
      </c>
      <c r="J571" s="103">
        <f t="shared" si="1"/>
        <v>0</v>
      </c>
      <c r="K571" s="104" t="str">
        <f>IF(H571&lt;0,"ERROR",IF(H571=0,"",IF(H571&lt;CONFIG!$B$4,"CRÍTICO",IF(H571&lt;CONFIG!$B$5,"BAJO","OK"))))</f>
        <v/>
      </c>
    </row>
    <row r="572" ht="15.75" hidden="1" customHeight="1">
      <c r="A572" s="90" t="str">
        <f>IF(CLIENTES!A8="","",CLIENTES!A8)</f>
        <v/>
      </c>
      <c r="B572" s="90" t="s">
        <v>321</v>
      </c>
      <c r="C572" s="91" t="s">
        <v>326</v>
      </c>
      <c r="D572" s="109" t="s">
        <v>353</v>
      </c>
      <c r="E572" s="67" t="str">
        <f>COLORES!A6</f>
        <v>Blanco</v>
      </c>
      <c r="F572" s="67" t="str">
        <f>COLORES!B6</f>
        <v>PPT</v>
      </c>
      <c r="G572" s="90" t="s">
        <v>378</v>
      </c>
      <c r="H572" s="100">
        <f>IFERROR(SUMIFS(MOVIMIENTOS_COMPLEMENTOS!$I$4:$I$803,MOVIMIENTOS_COMPLEMENTOS!$C$4:$C$803,A572,MOVIMIENTOS_COMPLEMENTOS!$D$4:$D$803,B572,MOVIMIENTOS_COMPLEMENTOS!$E$4:$E$803,C572,MOVIMIENTOS_COMPLEMENTOS!$G$4:$G$803,E572,MOVIMIENTOS_COMPLEMENTOS!$H$4:$H$803,G572,MOVIMIENTOS_COMPLEMENTOS!$B$4:$B$803,"INGRESO")+SUMIFS(MOVIMIENTOS_COMPLEMENTOS!$I$4:$I$803,MOVIMIENTOS_COMPLEMENTOS!$C$4:$C$803,A572,MOVIMIENTOS_COMPLEMENTOS!$D$4:$D$803,B572,MOVIMIENTOS_COMPLEMENTOS!$E$4:$E$803,C572,MOVIMIENTOS_COMPLEMENTOS!$G$4:$G$803,E572,MOVIMIENTOS_COMPLEMENTOS!$H$4:$H$803,G572,MOVIMIENTOS_COMPLEMENTOS!$B$4:$B$803,"DE CORTE")-SUMIFS(MOVIMIENTOS_COMPLEMENTOS!$I$4:$I$803,MOVIMIENTOS_COMPLEMENTOS!$C$4:$C$803,A572,MOVIMIENTOS_COMPLEMENTOS!$D$4:$D$803,B572,MOVIMIENTOS_COMPLEMENTOS!$E$4:$E$803,C572,MOVIMIENTOS_COMPLEMENTOS!$G$4:$G$803,E572,MOVIMIENTOS_COMPLEMENTOS!$H$4:$H$803,G572,MOVIMIENTOS_COMPLEMENTOS!$B$4:$B$803,"SALIDA"),0)</f>
        <v>0</v>
      </c>
      <c r="I572" s="102">
        <f t="array" ref="I572">IFERROR(INDEX(PRECIOS_COMPLEMENTOS!$C$4:$F$17,MATCH(B572&amp;"_"&amp;C572,PRECIOS_COMPLEMENTOS!$H$4:$H$17,0),IF(OR(G572="S",G572="20cm"),1,IF(OR(G572="M",G572="25cm"),2,IF(OR(G572="L",G572="30cm"),3,IF(OR(G572="XL",G572="35cm"),4,0))))),0)</f>
        <v>0.4</v>
      </c>
      <c r="J572" s="103">
        <f t="shared" si="1"/>
        <v>0</v>
      </c>
      <c r="K572" s="104" t="str">
        <f>IF(H572&lt;0,"ERROR",IF(H572=0,"",IF(H572&lt;CONFIG!$B$4,"CRÍTICO",IF(H572&lt;CONFIG!$B$5,"BAJO","OK"))))</f>
        <v/>
      </c>
    </row>
    <row r="573" ht="15.75" hidden="1" customHeight="1">
      <c r="A573" s="90" t="str">
        <f>IF(CLIENTES!A8="","",CLIENTES!A8)</f>
        <v/>
      </c>
      <c r="B573" s="90" t="s">
        <v>321</v>
      </c>
      <c r="C573" s="91" t="s">
        <v>326</v>
      </c>
      <c r="D573" s="109" t="s">
        <v>353</v>
      </c>
      <c r="E573" s="67" t="str">
        <f>COLORES!A6</f>
        <v>Blanco</v>
      </c>
      <c r="F573" s="67" t="str">
        <f>COLORES!B6</f>
        <v>PPT</v>
      </c>
      <c r="G573" s="90" t="s">
        <v>376</v>
      </c>
      <c r="H573" s="100">
        <f>IFERROR(SUMIFS(MOVIMIENTOS_COMPLEMENTOS!$I$4:$I$803,MOVIMIENTOS_COMPLEMENTOS!$C$4:$C$803,A573,MOVIMIENTOS_COMPLEMENTOS!$D$4:$D$803,B573,MOVIMIENTOS_COMPLEMENTOS!$E$4:$E$803,C573,MOVIMIENTOS_COMPLEMENTOS!$G$4:$G$803,E573,MOVIMIENTOS_COMPLEMENTOS!$H$4:$H$803,G573,MOVIMIENTOS_COMPLEMENTOS!$B$4:$B$803,"INGRESO")+SUMIFS(MOVIMIENTOS_COMPLEMENTOS!$I$4:$I$803,MOVIMIENTOS_COMPLEMENTOS!$C$4:$C$803,A573,MOVIMIENTOS_COMPLEMENTOS!$D$4:$D$803,B573,MOVIMIENTOS_COMPLEMENTOS!$E$4:$E$803,C573,MOVIMIENTOS_COMPLEMENTOS!$G$4:$G$803,E573,MOVIMIENTOS_COMPLEMENTOS!$H$4:$H$803,G573,MOVIMIENTOS_COMPLEMENTOS!$B$4:$B$803,"DE CORTE")-SUMIFS(MOVIMIENTOS_COMPLEMENTOS!$I$4:$I$803,MOVIMIENTOS_COMPLEMENTOS!$C$4:$C$803,A573,MOVIMIENTOS_COMPLEMENTOS!$D$4:$D$803,B573,MOVIMIENTOS_COMPLEMENTOS!$E$4:$E$803,C573,MOVIMIENTOS_COMPLEMENTOS!$G$4:$G$803,E573,MOVIMIENTOS_COMPLEMENTOS!$H$4:$H$803,G573,MOVIMIENTOS_COMPLEMENTOS!$B$4:$B$803,"SALIDA"),0)</f>
        <v>0</v>
      </c>
      <c r="I573" s="102">
        <f t="array" ref="I573">IFERROR(INDEX(PRECIOS_COMPLEMENTOS!$C$4:$F$17,MATCH(B573&amp;"_"&amp;C573,PRECIOS_COMPLEMENTOS!$H$4:$H$17,0),IF(OR(G573="S",G573="20cm"),1,IF(OR(G573="M",G573="25cm"),2,IF(OR(G573="L",G573="30cm"),3,IF(OR(G573="XL",G573="35cm"),4,0))))),0)</f>
        <v>0.45</v>
      </c>
      <c r="J573" s="103">
        <f t="shared" si="1"/>
        <v>0</v>
      </c>
      <c r="K573" s="104" t="str">
        <f>IF(H573&lt;0,"ERROR",IF(H573=0,"",IF(H573&lt;CONFIG!$B$4,"CRÍTICO",IF(H573&lt;CONFIG!$B$5,"BAJO","OK"))))</f>
        <v/>
      </c>
    </row>
    <row r="574" ht="15.75" hidden="1" customHeight="1">
      <c r="A574" s="90" t="str">
        <f>IF(CLIENTES!A8="","",CLIENTES!A8)</f>
        <v/>
      </c>
      <c r="B574" s="90" t="s">
        <v>321</v>
      </c>
      <c r="C574" s="91" t="s">
        <v>326</v>
      </c>
      <c r="D574" s="109" t="s">
        <v>353</v>
      </c>
      <c r="E574" s="67" t="str">
        <f>COLORES!A6</f>
        <v>Blanco</v>
      </c>
      <c r="F574" s="67" t="str">
        <f>COLORES!B6</f>
        <v>PPT</v>
      </c>
      <c r="G574" s="90" t="s">
        <v>377</v>
      </c>
      <c r="H574" s="100">
        <f>IFERROR(SUMIFS(MOVIMIENTOS_COMPLEMENTOS!$I$4:$I$803,MOVIMIENTOS_COMPLEMENTOS!$C$4:$C$803,A574,MOVIMIENTOS_COMPLEMENTOS!$D$4:$D$803,B574,MOVIMIENTOS_COMPLEMENTOS!$E$4:$E$803,C574,MOVIMIENTOS_COMPLEMENTOS!$G$4:$G$803,E574,MOVIMIENTOS_COMPLEMENTOS!$H$4:$H$803,G574,MOVIMIENTOS_COMPLEMENTOS!$B$4:$B$803,"INGRESO")+SUMIFS(MOVIMIENTOS_COMPLEMENTOS!$I$4:$I$803,MOVIMIENTOS_COMPLEMENTOS!$C$4:$C$803,A574,MOVIMIENTOS_COMPLEMENTOS!$D$4:$D$803,B574,MOVIMIENTOS_COMPLEMENTOS!$E$4:$E$803,C574,MOVIMIENTOS_COMPLEMENTOS!$G$4:$G$803,E574,MOVIMIENTOS_COMPLEMENTOS!$H$4:$H$803,G574,MOVIMIENTOS_COMPLEMENTOS!$B$4:$B$803,"DE CORTE")-SUMIFS(MOVIMIENTOS_COMPLEMENTOS!$I$4:$I$803,MOVIMIENTOS_COMPLEMENTOS!$C$4:$C$803,A574,MOVIMIENTOS_COMPLEMENTOS!$D$4:$D$803,B574,MOVIMIENTOS_COMPLEMENTOS!$E$4:$E$803,C574,MOVIMIENTOS_COMPLEMENTOS!$G$4:$G$803,E574,MOVIMIENTOS_COMPLEMENTOS!$H$4:$H$803,G574,MOVIMIENTOS_COMPLEMENTOS!$B$4:$B$803,"SALIDA"),0)</f>
        <v>0</v>
      </c>
      <c r="I574" s="102">
        <f t="array" ref="I574">IFERROR(INDEX(PRECIOS_COMPLEMENTOS!$C$4:$F$17,MATCH(B574&amp;"_"&amp;C574,PRECIOS_COMPLEMENTOS!$H$4:$H$17,0),IF(OR(G574="S",G574="20cm"),1,IF(OR(G574="M",G574="25cm"),2,IF(OR(G574="L",G574="30cm"),3,IF(OR(G574="XL",G574="35cm"),4,0))))),0)</f>
        <v>0.5</v>
      </c>
      <c r="J574" s="103">
        <f t="shared" si="1"/>
        <v>0</v>
      </c>
      <c r="K574" s="104" t="str">
        <f>IF(H574&lt;0,"ERROR",IF(H574=0,"",IF(H574&lt;CONFIG!$B$4,"CRÍTICO",IF(H574&lt;CONFIG!$B$5,"BAJO","OK"))))</f>
        <v/>
      </c>
    </row>
    <row r="575" ht="15.75" hidden="1" customHeight="1">
      <c r="A575" s="90" t="str">
        <f>IF(CLIENTES!A8="","",CLIENTES!A8)</f>
        <v/>
      </c>
      <c r="B575" s="90" t="s">
        <v>321</v>
      </c>
      <c r="C575" s="91" t="s">
        <v>326</v>
      </c>
      <c r="D575" s="109" t="s">
        <v>353</v>
      </c>
      <c r="E575" s="67" t="str">
        <f>COLORES!A6</f>
        <v>Blanco</v>
      </c>
      <c r="F575" s="67" t="str">
        <f>COLORES!B6</f>
        <v>PPT</v>
      </c>
      <c r="G575" s="90" t="s">
        <v>379</v>
      </c>
      <c r="H575" s="100">
        <f>IFERROR(SUMIFS(MOVIMIENTOS_COMPLEMENTOS!$I$4:$I$803,MOVIMIENTOS_COMPLEMENTOS!$C$4:$C$803,A575,MOVIMIENTOS_COMPLEMENTOS!$D$4:$D$803,B575,MOVIMIENTOS_COMPLEMENTOS!$E$4:$E$803,C575,MOVIMIENTOS_COMPLEMENTOS!$G$4:$G$803,E575,MOVIMIENTOS_COMPLEMENTOS!$H$4:$H$803,G575,MOVIMIENTOS_COMPLEMENTOS!$B$4:$B$803,"INGRESO")+SUMIFS(MOVIMIENTOS_COMPLEMENTOS!$I$4:$I$803,MOVIMIENTOS_COMPLEMENTOS!$C$4:$C$803,A575,MOVIMIENTOS_COMPLEMENTOS!$D$4:$D$803,B575,MOVIMIENTOS_COMPLEMENTOS!$E$4:$E$803,C575,MOVIMIENTOS_COMPLEMENTOS!$G$4:$G$803,E575,MOVIMIENTOS_COMPLEMENTOS!$H$4:$H$803,G575,MOVIMIENTOS_COMPLEMENTOS!$B$4:$B$803,"DE CORTE")-SUMIFS(MOVIMIENTOS_COMPLEMENTOS!$I$4:$I$803,MOVIMIENTOS_COMPLEMENTOS!$C$4:$C$803,A575,MOVIMIENTOS_COMPLEMENTOS!$D$4:$D$803,B575,MOVIMIENTOS_COMPLEMENTOS!$E$4:$E$803,C575,MOVIMIENTOS_COMPLEMENTOS!$G$4:$G$803,E575,MOVIMIENTOS_COMPLEMENTOS!$H$4:$H$803,G575,MOVIMIENTOS_COMPLEMENTOS!$B$4:$B$803,"SALIDA"),0)</f>
        <v>0</v>
      </c>
      <c r="I575" s="102">
        <f t="array" ref="I575">IFERROR(INDEX(PRECIOS_COMPLEMENTOS!$C$4:$F$17,MATCH(B575&amp;"_"&amp;C575,PRECIOS_COMPLEMENTOS!$H$4:$H$17,0),IF(OR(G575="S",G575="20cm"),1,IF(OR(G575="M",G575="25cm"),2,IF(OR(G575="L",G575="30cm"),3,IF(OR(G575="XL",G575="35cm"),4,0))))),0)</f>
        <v>0.55</v>
      </c>
      <c r="J575" s="103">
        <f t="shared" si="1"/>
        <v>0</v>
      </c>
      <c r="K575" s="104" t="str">
        <f>IF(H575&lt;0,"ERROR",IF(H575=0,"",IF(H575&lt;CONFIG!$B$4,"CRÍTICO",IF(H575&lt;CONFIG!$B$5,"BAJO","OK"))))</f>
        <v/>
      </c>
    </row>
    <row r="576" ht="15.75" hidden="1" customHeight="1">
      <c r="A576" s="90" t="str">
        <f>IF(CLIENTES!A8="","",CLIENTES!A8)</f>
        <v/>
      </c>
      <c r="B576" s="90" t="s">
        <v>321</v>
      </c>
      <c r="C576" s="91" t="s">
        <v>326</v>
      </c>
      <c r="D576" s="109" t="s">
        <v>353</v>
      </c>
      <c r="E576" s="67" t="str">
        <f>COLORES!A7</f>
        <v>Azul</v>
      </c>
      <c r="F576" s="67" t="str">
        <f>COLORES!B7</f>
        <v>OSCURO</v>
      </c>
      <c r="G576" s="90" t="s">
        <v>378</v>
      </c>
      <c r="H576" s="100">
        <f>IFERROR(SUMIFS(MOVIMIENTOS_COMPLEMENTOS!$I$4:$I$803,MOVIMIENTOS_COMPLEMENTOS!$C$4:$C$803,A576,MOVIMIENTOS_COMPLEMENTOS!$D$4:$D$803,B576,MOVIMIENTOS_COMPLEMENTOS!$E$4:$E$803,C576,MOVIMIENTOS_COMPLEMENTOS!$G$4:$G$803,E576,MOVIMIENTOS_COMPLEMENTOS!$H$4:$H$803,G576,MOVIMIENTOS_COMPLEMENTOS!$B$4:$B$803,"INGRESO")+SUMIFS(MOVIMIENTOS_COMPLEMENTOS!$I$4:$I$803,MOVIMIENTOS_COMPLEMENTOS!$C$4:$C$803,A576,MOVIMIENTOS_COMPLEMENTOS!$D$4:$D$803,B576,MOVIMIENTOS_COMPLEMENTOS!$E$4:$E$803,C576,MOVIMIENTOS_COMPLEMENTOS!$G$4:$G$803,E576,MOVIMIENTOS_COMPLEMENTOS!$H$4:$H$803,G576,MOVIMIENTOS_COMPLEMENTOS!$B$4:$B$803,"DE CORTE")-SUMIFS(MOVIMIENTOS_COMPLEMENTOS!$I$4:$I$803,MOVIMIENTOS_COMPLEMENTOS!$C$4:$C$803,A576,MOVIMIENTOS_COMPLEMENTOS!$D$4:$D$803,B576,MOVIMIENTOS_COMPLEMENTOS!$E$4:$E$803,C576,MOVIMIENTOS_COMPLEMENTOS!$G$4:$G$803,E576,MOVIMIENTOS_COMPLEMENTOS!$H$4:$H$803,G576,MOVIMIENTOS_COMPLEMENTOS!$B$4:$B$803,"SALIDA"),0)</f>
        <v>0</v>
      </c>
      <c r="I576" s="102">
        <f t="array" ref="I576">IFERROR(INDEX(PRECIOS_COMPLEMENTOS!$C$4:$F$17,MATCH(B576&amp;"_"&amp;C576,PRECIOS_COMPLEMENTOS!$H$4:$H$17,0),IF(OR(G576="S",G576="20cm"),1,IF(OR(G576="M",G576="25cm"),2,IF(OR(G576="L",G576="30cm"),3,IF(OR(G576="XL",G576="35cm"),4,0))))),0)</f>
        <v>0.4</v>
      </c>
      <c r="J576" s="103">
        <f t="shared" si="1"/>
        <v>0</v>
      </c>
      <c r="K576" s="104" t="str">
        <f>IF(H576&lt;0,"ERROR",IF(H576=0,"",IF(H576&lt;CONFIG!$B$4,"CRÍTICO",IF(H576&lt;CONFIG!$B$5,"BAJO","OK"))))</f>
        <v/>
      </c>
    </row>
    <row r="577" ht="15.75" hidden="1" customHeight="1">
      <c r="A577" s="90" t="str">
        <f>IF(CLIENTES!A8="","",CLIENTES!A8)</f>
        <v/>
      </c>
      <c r="B577" s="90" t="s">
        <v>321</v>
      </c>
      <c r="C577" s="91" t="s">
        <v>326</v>
      </c>
      <c r="D577" s="109" t="s">
        <v>353</v>
      </c>
      <c r="E577" s="67" t="str">
        <f>COLORES!A7</f>
        <v>Azul</v>
      </c>
      <c r="F577" s="67" t="str">
        <f>COLORES!B7</f>
        <v>OSCURO</v>
      </c>
      <c r="G577" s="90" t="s">
        <v>376</v>
      </c>
      <c r="H577" s="100">
        <f>IFERROR(SUMIFS(MOVIMIENTOS_COMPLEMENTOS!$I$4:$I$803,MOVIMIENTOS_COMPLEMENTOS!$C$4:$C$803,A577,MOVIMIENTOS_COMPLEMENTOS!$D$4:$D$803,B577,MOVIMIENTOS_COMPLEMENTOS!$E$4:$E$803,C577,MOVIMIENTOS_COMPLEMENTOS!$G$4:$G$803,E577,MOVIMIENTOS_COMPLEMENTOS!$H$4:$H$803,G577,MOVIMIENTOS_COMPLEMENTOS!$B$4:$B$803,"INGRESO")+SUMIFS(MOVIMIENTOS_COMPLEMENTOS!$I$4:$I$803,MOVIMIENTOS_COMPLEMENTOS!$C$4:$C$803,A577,MOVIMIENTOS_COMPLEMENTOS!$D$4:$D$803,B577,MOVIMIENTOS_COMPLEMENTOS!$E$4:$E$803,C577,MOVIMIENTOS_COMPLEMENTOS!$G$4:$G$803,E577,MOVIMIENTOS_COMPLEMENTOS!$H$4:$H$803,G577,MOVIMIENTOS_COMPLEMENTOS!$B$4:$B$803,"DE CORTE")-SUMIFS(MOVIMIENTOS_COMPLEMENTOS!$I$4:$I$803,MOVIMIENTOS_COMPLEMENTOS!$C$4:$C$803,A577,MOVIMIENTOS_COMPLEMENTOS!$D$4:$D$803,B577,MOVIMIENTOS_COMPLEMENTOS!$E$4:$E$803,C577,MOVIMIENTOS_COMPLEMENTOS!$G$4:$G$803,E577,MOVIMIENTOS_COMPLEMENTOS!$H$4:$H$803,G577,MOVIMIENTOS_COMPLEMENTOS!$B$4:$B$803,"SALIDA"),0)</f>
        <v>0</v>
      </c>
      <c r="I577" s="102">
        <f t="array" ref="I577">IFERROR(INDEX(PRECIOS_COMPLEMENTOS!$C$4:$F$17,MATCH(B577&amp;"_"&amp;C577,PRECIOS_COMPLEMENTOS!$H$4:$H$17,0),IF(OR(G577="S",G577="20cm"),1,IF(OR(G577="M",G577="25cm"),2,IF(OR(G577="L",G577="30cm"),3,IF(OR(G577="XL",G577="35cm"),4,0))))),0)</f>
        <v>0.45</v>
      </c>
      <c r="J577" s="103">
        <f t="shared" si="1"/>
        <v>0</v>
      </c>
      <c r="K577" s="104" t="str">
        <f>IF(H577&lt;0,"ERROR",IF(H577=0,"",IF(H577&lt;CONFIG!$B$4,"CRÍTICO",IF(H577&lt;CONFIG!$B$5,"BAJO","OK"))))</f>
        <v/>
      </c>
    </row>
    <row r="578" ht="15.75" hidden="1" customHeight="1">
      <c r="A578" s="90" t="str">
        <f>IF(CLIENTES!A8="","",CLIENTES!A8)</f>
        <v/>
      </c>
      <c r="B578" s="90" t="s">
        <v>321</v>
      </c>
      <c r="C578" s="91" t="s">
        <v>326</v>
      </c>
      <c r="D578" s="109" t="s">
        <v>353</v>
      </c>
      <c r="E578" s="67" t="str">
        <f>COLORES!A7</f>
        <v>Azul</v>
      </c>
      <c r="F578" s="67" t="str">
        <f>COLORES!B7</f>
        <v>OSCURO</v>
      </c>
      <c r="G578" s="90" t="s">
        <v>377</v>
      </c>
      <c r="H578" s="100">
        <f>IFERROR(SUMIFS(MOVIMIENTOS_COMPLEMENTOS!$I$4:$I$803,MOVIMIENTOS_COMPLEMENTOS!$C$4:$C$803,A578,MOVIMIENTOS_COMPLEMENTOS!$D$4:$D$803,B578,MOVIMIENTOS_COMPLEMENTOS!$E$4:$E$803,C578,MOVIMIENTOS_COMPLEMENTOS!$G$4:$G$803,E578,MOVIMIENTOS_COMPLEMENTOS!$H$4:$H$803,G578,MOVIMIENTOS_COMPLEMENTOS!$B$4:$B$803,"INGRESO")+SUMIFS(MOVIMIENTOS_COMPLEMENTOS!$I$4:$I$803,MOVIMIENTOS_COMPLEMENTOS!$C$4:$C$803,A578,MOVIMIENTOS_COMPLEMENTOS!$D$4:$D$803,B578,MOVIMIENTOS_COMPLEMENTOS!$E$4:$E$803,C578,MOVIMIENTOS_COMPLEMENTOS!$G$4:$G$803,E578,MOVIMIENTOS_COMPLEMENTOS!$H$4:$H$803,G578,MOVIMIENTOS_COMPLEMENTOS!$B$4:$B$803,"DE CORTE")-SUMIFS(MOVIMIENTOS_COMPLEMENTOS!$I$4:$I$803,MOVIMIENTOS_COMPLEMENTOS!$C$4:$C$803,A578,MOVIMIENTOS_COMPLEMENTOS!$D$4:$D$803,B578,MOVIMIENTOS_COMPLEMENTOS!$E$4:$E$803,C578,MOVIMIENTOS_COMPLEMENTOS!$G$4:$G$803,E578,MOVIMIENTOS_COMPLEMENTOS!$H$4:$H$803,G578,MOVIMIENTOS_COMPLEMENTOS!$B$4:$B$803,"SALIDA"),0)</f>
        <v>0</v>
      </c>
      <c r="I578" s="102">
        <f t="array" ref="I578">IFERROR(INDEX(PRECIOS_COMPLEMENTOS!$C$4:$F$17,MATCH(B578&amp;"_"&amp;C578,PRECIOS_COMPLEMENTOS!$H$4:$H$17,0),IF(OR(G578="S",G578="20cm"),1,IF(OR(G578="M",G578="25cm"),2,IF(OR(G578="L",G578="30cm"),3,IF(OR(G578="XL",G578="35cm"),4,0))))),0)</f>
        <v>0.5</v>
      </c>
      <c r="J578" s="103">
        <f t="shared" si="1"/>
        <v>0</v>
      </c>
      <c r="K578" s="104" t="str">
        <f>IF(H578&lt;0,"ERROR",IF(H578=0,"",IF(H578&lt;CONFIG!$B$4,"CRÍTICO",IF(H578&lt;CONFIG!$B$5,"BAJO","OK"))))</f>
        <v/>
      </c>
    </row>
    <row r="579" ht="15.75" hidden="1" customHeight="1">
      <c r="A579" s="90" t="str">
        <f>IF(CLIENTES!A8="","",CLIENTES!A8)</f>
        <v/>
      </c>
      <c r="B579" s="90" t="s">
        <v>321</v>
      </c>
      <c r="C579" s="91" t="s">
        <v>326</v>
      </c>
      <c r="D579" s="109" t="s">
        <v>353</v>
      </c>
      <c r="E579" s="67" t="str">
        <f>COLORES!A7</f>
        <v>Azul</v>
      </c>
      <c r="F579" s="67" t="str">
        <f>COLORES!B7</f>
        <v>OSCURO</v>
      </c>
      <c r="G579" s="90" t="s">
        <v>379</v>
      </c>
      <c r="H579" s="100">
        <f>IFERROR(SUMIFS(MOVIMIENTOS_COMPLEMENTOS!$I$4:$I$803,MOVIMIENTOS_COMPLEMENTOS!$C$4:$C$803,A579,MOVIMIENTOS_COMPLEMENTOS!$D$4:$D$803,B579,MOVIMIENTOS_COMPLEMENTOS!$E$4:$E$803,C579,MOVIMIENTOS_COMPLEMENTOS!$G$4:$G$803,E579,MOVIMIENTOS_COMPLEMENTOS!$H$4:$H$803,G579,MOVIMIENTOS_COMPLEMENTOS!$B$4:$B$803,"INGRESO")+SUMIFS(MOVIMIENTOS_COMPLEMENTOS!$I$4:$I$803,MOVIMIENTOS_COMPLEMENTOS!$C$4:$C$803,A579,MOVIMIENTOS_COMPLEMENTOS!$D$4:$D$803,B579,MOVIMIENTOS_COMPLEMENTOS!$E$4:$E$803,C579,MOVIMIENTOS_COMPLEMENTOS!$G$4:$G$803,E579,MOVIMIENTOS_COMPLEMENTOS!$H$4:$H$803,G579,MOVIMIENTOS_COMPLEMENTOS!$B$4:$B$803,"DE CORTE")-SUMIFS(MOVIMIENTOS_COMPLEMENTOS!$I$4:$I$803,MOVIMIENTOS_COMPLEMENTOS!$C$4:$C$803,A579,MOVIMIENTOS_COMPLEMENTOS!$D$4:$D$803,B579,MOVIMIENTOS_COMPLEMENTOS!$E$4:$E$803,C579,MOVIMIENTOS_COMPLEMENTOS!$G$4:$G$803,E579,MOVIMIENTOS_COMPLEMENTOS!$H$4:$H$803,G579,MOVIMIENTOS_COMPLEMENTOS!$B$4:$B$803,"SALIDA"),0)</f>
        <v>0</v>
      </c>
      <c r="I579" s="102">
        <f t="array" ref="I579">IFERROR(INDEX(PRECIOS_COMPLEMENTOS!$C$4:$F$17,MATCH(B579&amp;"_"&amp;C579,PRECIOS_COMPLEMENTOS!$H$4:$H$17,0),IF(OR(G579="S",G579="20cm"),1,IF(OR(G579="M",G579="25cm"),2,IF(OR(G579="L",G579="30cm"),3,IF(OR(G579="XL",G579="35cm"),4,0))))),0)</f>
        <v>0.55</v>
      </c>
      <c r="J579" s="103">
        <f t="shared" si="1"/>
        <v>0</v>
      </c>
      <c r="K579" s="104" t="str">
        <f>IF(H579&lt;0,"ERROR",IF(H579=0,"",IF(H579&lt;CONFIG!$B$4,"CRÍTICO",IF(H579&lt;CONFIG!$B$5,"BAJO","OK"))))</f>
        <v/>
      </c>
    </row>
    <row r="580" ht="15.75" hidden="1" customHeight="1">
      <c r="A580" s="90" t="str">
        <f>IF(CLIENTES!A8="","",CLIENTES!A8)</f>
        <v/>
      </c>
      <c r="B580" s="90" t="s">
        <v>321</v>
      </c>
      <c r="C580" s="91" t="s">
        <v>326</v>
      </c>
      <c r="D580" s="109" t="s">
        <v>353</v>
      </c>
      <c r="E580" s="67" t="str">
        <f>COLORES!A8</f>
        <v>Beige</v>
      </c>
      <c r="F580" s="67" t="str">
        <f>COLORES!B8</f>
        <v>CLARO</v>
      </c>
      <c r="G580" s="90" t="s">
        <v>378</v>
      </c>
      <c r="H580" s="100">
        <f>IFERROR(SUMIFS(MOVIMIENTOS_COMPLEMENTOS!$I$4:$I$803,MOVIMIENTOS_COMPLEMENTOS!$C$4:$C$803,A580,MOVIMIENTOS_COMPLEMENTOS!$D$4:$D$803,B580,MOVIMIENTOS_COMPLEMENTOS!$E$4:$E$803,C580,MOVIMIENTOS_COMPLEMENTOS!$G$4:$G$803,E580,MOVIMIENTOS_COMPLEMENTOS!$H$4:$H$803,G580,MOVIMIENTOS_COMPLEMENTOS!$B$4:$B$803,"INGRESO")+SUMIFS(MOVIMIENTOS_COMPLEMENTOS!$I$4:$I$803,MOVIMIENTOS_COMPLEMENTOS!$C$4:$C$803,A580,MOVIMIENTOS_COMPLEMENTOS!$D$4:$D$803,B580,MOVIMIENTOS_COMPLEMENTOS!$E$4:$E$803,C580,MOVIMIENTOS_COMPLEMENTOS!$G$4:$G$803,E580,MOVIMIENTOS_COMPLEMENTOS!$H$4:$H$803,G580,MOVIMIENTOS_COMPLEMENTOS!$B$4:$B$803,"DE CORTE")-SUMIFS(MOVIMIENTOS_COMPLEMENTOS!$I$4:$I$803,MOVIMIENTOS_COMPLEMENTOS!$C$4:$C$803,A580,MOVIMIENTOS_COMPLEMENTOS!$D$4:$D$803,B580,MOVIMIENTOS_COMPLEMENTOS!$E$4:$E$803,C580,MOVIMIENTOS_COMPLEMENTOS!$G$4:$G$803,E580,MOVIMIENTOS_COMPLEMENTOS!$H$4:$H$803,G580,MOVIMIENTOS_COMPLEMENTOS!$B$4:$B$803,"SALIDA"),0)</f>
        <v>0</v>
      </c>
      <c r="I580" s="102">
        <f t="array" ref="I580">IFERROR(INDEX(PRECIOS_COMPLEMENTOS!$C$4:$F$17,MATCH(B580&amp;"_"&amp;C580,PRECIOS_COMPLEMENTOS!$H$4:$H$17,0),IF(OR(G580="S",G580="20cm"),1,IF(OR(G580="M",G580="25cm"),2,IF(OR(G580="L",G580="30cm"),3,IF(OR(G580="XL",G580="35cm"),4,0))))),0)</f>
        <v>0.4</v>
      </c>
      <c r="J580" s="103">
        <f t="shared" si="1"/>
        <v>0</v>
      </c>
      <c r="K580" s="104" t="str">
        <f>IF(H580&lt;0,"ERROR",IF(H580=0,"",IF(H580&lt;CONFIG!$B$4,"CRÍTICO",IF(H580&lt;CONFIG!$B$5,"BAJO","OK"))))</f>
        <v/>
      </c>
    </row>
    <row r="581" ht="15.75" hidden="1" customHeight="1">
      <c r="A581" s="90" t="str">
        <f>IF(CLIENTES!A8="","",CLIENTES!A8)</f>
        <v/>
      </c>
      <c r="B581" s="90" t="s">
        <v>321</v>
      </c>
      <c r="C581" s="91" t="s">
        <v>326</v>
      </c>
      <c r="D581" s="109" t="s">
        <v>353</v>
      </c>
      <c r="E581" s="67" t="str">
        <f>COLORES!A8</f>
        <v>Beige</v>
      </c>
      <c r="F581" s="67" t="str">
        <f>COLORES!B8</f>
        <v>CLARO</v>
      </c>
      <c r="G581" s="90" t="s">
        <v>376</v>
      </c>
      <c r="H581" s="100">
        <f>IFERROR(SUMIFS(MOVIMIENTOS_COMPLEMENTOS!$I$4:$I$803,MOVIMIENTOS_COMPLEMENTOS!$C$4:$C$803,A581,MOVIMIENTOS_COMPLEMENTOS!$D$4:$D$803,B581,MOVIMIENTOS_COMPLEMENTOS!$E$4:$E$803,C581,MOVIMIENTOS_COMPLEMENTOS!$G$4:$G$803,E581,MOVIMIENTOS_COMPLEMENTOS!$H$4:$H$803,G581,MOVIMIENTOS_COMPLEMENTOS!$B$4:$B$803,"INGRESO")+SUMIFS(MOVIMIENTOS_COMPLEMENTOS!$I$4:$I$803,MOVIMIENTOS_COMPLEMENTOS!$C$4:$C$803,A581,MOVIMIENTOS_COMPLEMENTOS!$D$4:$D$803,B581,MOVIMIENTOS_COMPLEMENTOS!$E$4:$E$803,C581,MOVIMIENTOS_COMPLEMENTOS!$G$4:$G$803,E581,MOVIMIENTOS_COMPLEMENTOS!$H$4:$H$803,G581,MOVIMIENTOS_COMPLEMENTOS!$B$4:$B$803,"DE CORTE")-SUMIFS(MOVIMIENTOS_COMPLEMENTOS!$I$4:$I$803,MOVIMIENTOS_COMPLEMENTOS!$C$4:$C$803,A581,MOVIMIENTOS_COMPLEMENTOS!$D$4:$D$803,B581,MOVIMIENTOS_COMPLEMENTOS!$E$4:$E$803,C581,MOVIMIENTOS_COMPLEMENTOS!$G$4:$G$803,E581,MOVIMIENTOS_COMPLEMENTOS!$H$4:$H$803,G581,MOVIMIENTOS_COMPLEMENTOS!$B$4:$B$803,"SALIDA"),0)</f>
        <v>0</v>
      </c>
      <c r="I581" s="102">
        <f t="array" ref="I581">IFERROR(INDEX(PRECIOS_COMPLEMENTOS!$C$4:$F$17,MATCH(B581&amp;"_"&amp;C581,PRECIOS_COMPLEMENTOS!$H$4:$H$17,0),IF(OR(G581="S",G581="20cm"),1,IF(OR(G581="M",G581="25cm"),2,IF(OR(G581="L",G581="30cm"),3,IF(OR(G581="XL",G581="35cm"),4,0))))),0)</f>
        <v>0.45</v>
      </c>
      <c r="J581" s="103">
        <f t="shared" si="1"/>
        <v>0</v>
      </c>
      <c r="K581" s="104" t="str">
        <f>IF(H581&lt;0,"ERROR",IF(H581=0,"",IF(H581&lt;CONFIG!$B$4,"CRÍTICO",IF(H581&lt;CONFIG!$B$5,"BAJO","OK"))))</f>
        <v/>
      </c>
    </row>
    <row r="582" ht="15.75" hidden="1" customHeight="1">
      <c r="A582" s="90" t="str">
        <f>IF(CLIENTES!A8="","",CLIENTES!A8)</f>
        <v/>
      </c>
      <c r="B582" s="90" t="s">
        <v>321</v>
      </c>
      <c r="C582" s="91" t="s">
        <v>326</v>
      </c>
      <c r="D582" s="109" t="s">
        <v>353</v>
      </c>
      <c r="E582" s="67" t="str">
        <f>COLORES!A8</f>
        <v>Beige</v>
      </c>
      <c r="F582" s="67" t="str">
        <f>COLORES!B8</f>
        <v>CLARO</v>
      </c>
      <c r="G582" s="90" t="s">
        <v>377</v>
      </c>
      <c r="H582" s="100">
        <f>IFERROR(SUMIFS(MOVIMIENTOS_COMPLEMENTOS!$I$4:$I$803,MOVIMIENTOS_COMPLEMENTOS!$C$4:$C$803,A582,MOVIMIENTOS_COMPLEMENTOS!$D$4:$D$803,B582,MOVIMIENTOS_COMPLEMENTOS!$E$4:$E$803,C582,MOVIMIENTOS_COMPLEMENTOS!$G$4:$G$803,E582,MOVIMIENTOS_COMPLEMENTOS!$H$4:$H$803,G582,MOVIMIENTOS_COMPLEMENTOS!$B$4:$B$803,"INGRESO")+SUMIFS(MOVIMIENTOS_COMPLEMENTOS!$I$4:$I$803,MOVIMIENTOS_COMPLEMENTOS!$C$4:$C$803,A582,MOVIMIENTOS_COMPLEMENTOS!$D$4:$D$803,B582,MOVIMIENTOS_COMPLEMENTOS!$E$4:$E$803,C582,MOVIMIENTOS_COMPLEMENTOS!$G$4:$G$803,E582,MOVIMIENTOS_COMPLEMENTOS!$H$4:$H$803,G582,MOVIMIENTOS_COMPLEMENTOS!$B$4:$B$803,"DE CORTE")-SUMIFS(MOVIMIENTOS_COMPLEMENTOS!$I$4:$I$803,MOVIMIENTOS_COMPLEMENTOS!$C$4:$C$803,A582,MOVIMIENTOS_COMPLEMENTOS!$D$4:$D$803,B582,MOVIMIENTOS_COMPLEMENTOS!$E$4:$E$803,C582,MOVIMIENTOS_COMPLEMENTOS!$G$4:$G$803,E582,MOVIMIENTOS_COMPLEMENTOS!$H$4:$H$803,G582,MOVIMIENTOS_COMPLEMENTOS!$B$4:$B$803,"SALIDA"),0)</f>
        <v>0</v>
      </c>
      <c r="I582" s="102">
        <f t="array" ref="I582">IFERROR(INDEX(PRECIOS_COMPLEMENTOS!$C$4:$F$17,MATCH(B582&amp;"_"&amp;C582,PRECIOS_COMPLEMENTOS!$H$4:$H$17,0),IF(OR(G582="S",G582="20cm"),1,IF(OR(G582="M",G582="25cm"),2,IF(OR(G582="L",G582="30cm"),3,IF(OR(G582="XL",G582="35cm"),4,0))))),0)</f>
        <v>0.5</v>
      </c>
      <c r="J582" s="103">
        <f t="shared" si="1"/>
        <v>0</v>
      </c>
      <c r="K582" s="104" t="str">
        <f>IF(H582&lt;0,"ERROR",IF(H582=0,"",IF(H582&lt;CONFIG!$B$4,"CRÍTICO",IF(H582&lt;CONFIG!$B$5,"BAJO","OK"))))</f>
        <v/>
      </c>
    </row>
    <row r="583" ht="15.75" hidden="1" customHeight="1">
      <c r="A583" s="90" t="str">
        <f>IF(CLIENTES!A8="","",CLIENTES!A8)</f>
        <v/>
      </c>
      <c r="B583" s="90" t="s">
        <v>321</v>
      </c>
      <c r="C583" s="91" t="s">
        <v>326</v>
      </c>
      <c r="D583" s="109" t="s">
        <v>353</v>
      </c>
      <c r="E583" s="67" t="str">
        <f>COLORES!A8</f>
        <v>Beige</v>
      </c>
      <c r="F583" s="67" t="str">
        <f>COLORES!B8</f>
        <v>CLARO</v>
      </c>
      <c r="G583" s="90" t="s">
        <v>379</v>
      </c>
      <c r="H583" s="100">
        <f>IFERROR(SUMIFS(MOVIMIENTOS_COMPLEMENTOS!$I$4:$I$803,MOVIMIENTOS_COMPLEMENTOS!$C$4:$C$803,A583,MOVIMIENTOS_COMPLEMENTOS!$D$4:$D$803,B583,MOVIMIENTOS_COMPLEMENTOS!$E$4:$E$803,C583,MOVIMIENTOS_COMPLEMENTOS!$G$4:$G$803,E583,MOVIMIENTOS_COMPLEMENTOS!$H$4:$H$803,G583,MOVIMIENTOS_COMPLEMENTOS!$B$4:$B$803,"INGRESO")+SUMIFS(MOVIMIENTOS_COMPLEMENTOS!$I$4:$I$803,MOVIMIENTOS_COMPLEMENTOS!$C$4:$C$803,A583,MOVIMIENTOS_COMPLEMENTOS!$D$4:$D$803,B583,MOVIMIENTOS_COMPLEMENTOS!$E$4:$E$803,C583,MOVIMIENTOS_COMPLEMENTOS!$G$4:$G$803,E583,MOVIMIENTOS_COMPLEMENTOS!$H$4:$H$803,G583,MOVIMIENTOS_COMPLEMENTOS!$B$4:$B$803,"DE CORTE")-SUMIFS(MOVIMIENTOS_COMPLEMENTOS!$I$4:$I$803,MOVIMIENTOS_COMPLEMENTOS!$C$4:$C$803,A583,MOVIMIENTOS_COMPLEMENTOS!$D$4:$D$803,B583,MOVIMIENTOS_COMPLEMENTOS!$E$4:$E$803,C583,MOVIMIENTOS_COMPLEMENTOS!$G$4:$G$803,E583,MOVIMIENTOS_COMPLEMENTOS!$H$4:$H$803,G583,MOVIMIENTOS_COMPLEMENTOS!$B$4:$B$803,"SALIDA"),0)</f>
        <v>0</v>
      </c>
      <c r="I583" s="102">
        <f t="array" ref="I583">IFERROR(INDEX(PRECIOS_COMPLEMENTOS!$C$4:$F$17,MATCH(B583&amp;"_"&amp;C583,PRECIOS_COMPLEMENTOS!$H$4:$H$17,0),IF(OR(G583="S",G583="20cm"),1,IF(OR(G583="M",G583="25cm"),2,IF(OR(G583="L",G583="30cm"),3,IF(OR(G583="XL",G583="35cm"),4,0))))),0)</f>
        <v>0.55</v>
      </c>
      <c r="J583" s="103">
        <f t="shared" si="1"/>
        <v>0</v>
      </c>
      <c r="K583" s="104" t="str">
        <f>IF(H583&lt;0,"ERROR",IF(H583=0,"",IF(H583&lt;CONFIG!$B$4,"CRÍTICO",IF(H583&lt;CONFIG!$B$5,"BAJO","OK"))))</f>
        <v/>
      </c>
    </row>
    <row r="584" ht="15.75" hidden="1" customHeight="1">
      <c r="A584" s="90" t="str">
        <f>IF(CLIENTES!A8="","",CLIENTES!A8)</f>
        <v/>
      </c>
      <c r="B584" s="90" t="s">
        <v>321</v>
      </c>
      <c r="C584" s="91" t="s">
        <v>326</v>
      </c>
      <c r="D584" s="109" t="s">
        <v>353</v>
      </c>
      <c r="E584" s="67" t="str">
        <f>COLORES!A9</f>
        <v>Melange</v>
      </c>
      <c r="F584" s="67" t="str">
        <f>COLORES!B9</f>
        <v>MELANGE</v>
      </c>
      <c r="G584" s="90" t="s">
        <v>378</v>
      </c>
      <c r="H584" s="100">
        <f>IFERROR(SUMIFS(MOVIMIENTOS_COMPLEMENTOS!$I$4:$I$803,MOVIMIENTOS_COMPLEMENTOS!$C$4:$C$803,A584,MOVIMIENTOS_COMPLEMENTOS!$D$4:$D$803,B584,MOVIMIENTOS_COMPLEMENTOS!$E$4:$E$803,C584,MOVIMIENTOS_COMPLEMENTOS!$G$4:$G$803,E584,MOVIMIENTOS_COMPLEMENTOS!$H$4:$H$803,G584,MOVIMIENTOS_COMPLEMENTOS!$B$4:$B$803,"INGRESO")+SUMIFS(MOVIMIENTOS_COMPLEMENTOS!$I$4:$I$803,MOVIMIENTOS_COMPLEMENTOS!$C$4:$C$803,A584,MOVIMIENTOS_COMPLEMENTOS!$D$4:$D$803,B584,MOVIMIENTOS_COMPLEMENTOS!$E$4:$E$803,C584,MOVIMIENTOS_COMPLEMENTOS!$G$4:$G$803,E584,MOVIMIENTOS_COMPLEMENTOS!$H$4:$H$803,G584,MOVIMIENTOS_COMPLEMENTOS!$B$4:$B$803,"DE CORTE")-SUMIFS(MOVIMIENTOS_COMPLEMENTOS!$I$4:$I$803,MOVIMIENTOS_COMPLEMENTOS!$C$4:$C$803,A584,MOVIMIENTOS_COMPLEMENTOS!$D$4:$D$803,B584,MOVIMIENTOS_COMPLEMENTOS!$E$4:$E$803,C584,MOVIMIENTOS_COMPLEMENTOS!$G$4:$G$803,E584,MOVIMIENTOS_COMPLEMENTOS!$H$4:$H$803,G584,MOVIMIENTOS_COMPLEMENTOS!$B$4:$B$803,"SALIDA"),0)</f>
        <v>0</v>
      </c>
      <c r="I584" s="102">
        <f t="array" ref="I584">IFERROR(INDEX(PRECIOS_COMPLEMENTOS!$C$4:$F$17,MATCH(B584&amp;"_"&amp;C584,PRECIOS_COMPLEMENTOS!$H$4:$H$17,0),IF(OR(G584="S",G584="20cm"),1,IF(OR(G584="M",G584="25cm"),2,IF(OR(G584="L",G584="30cm"),3,IF(OR(G584="XL",G584="35cm"),4,0))))),0)</f>
        <v>0.4</v>
      </c>
      <c r="J584" s="103">
        <f t="shared" si="1"/>
        <v>0</v>
      </c>
      <c r="K584" s="104" t="str">
        <f>IF(H584&lt;0,"ERROR",IF(H584=0,"",IF(H584&lt;CONFIG!$B$4,"CRÍTICO",IF(H584&lt;CONFIG!$B$5,"BAJO","OK"))))</f>
        <v/>
      </c>
    </row>
    <row r="585" ht="15.75" hidden="1" customHeight="1">
      <c r="A585" s="90" t="str">
        <f>IF(CLIENTES!A8="","",CLIENTES!A8)</f>
        <v/>
      </c>
      <c r="B585" s="90" t="s">
        <v>321</v>
      </c>
      <c r="C585" s="91" t="s">
        <v>326</v>
      </c>
      <c r="D585" s="109" t="s">
        <v>353</v>
      </c>
      <c r="E585" s="67" t="str">
        <f>COLORES!A9</f>
        <v>Melange</v>
      </c>
      <c r="F585" s="67" t="str">
        <f>COLORES!B9</f>
        <v>MELANGE</v>
      </c>
      <c r="G585" s="90" t="s">
        <v>376</v>
      </c>
      <c r="H585" s="100">
        <f>IFERROR(SUMIFS(MOVIMIENTOS_COMPLEMENTOS!$I$4:$I$803,MOVIMIENTOS_COMPLEMENTOS!$C$4:$C$803,A585,MOVIMIENTOS_COMPLEMENTOS!$D$4:$D$803,B585,MOVIMIENTOS_COMPLEMENTOS!$E$4:$E$803,C585,MOVIMIENTOS_COMPLEMENTOS!$G$4:$G$803,E585,MOVIMIENTOS_COMPLEMENTOS!$H$4:$H$803,G585,MOVIMIENTOS_COMPLEMENTOS!$B$4:$B$803,"INGRESO")+SUMIFS(MOVIMIENTOS_COMPLEMENTOS!$I$4:$I$803,MOVIMIENTOS_COMPLEMENTOS!$C$4:$C$803,A585,MOVIMIENTOS_COMPLEMENTOS!$D$4:$D$803,B585,MOVIMIENTOS_COMPLEMENTOS!$E$4:$E$803,C585,MOVIMIENTOS_COMPLEMENTOS!$G$4:$G$803,E585,MOVIMIENTOS_COMPLEMENTOS!$H$4:$H$803,G585,MOVIMIENTOS_COMPLEMENTOS!$B$4:$B$803,"DE CORTE")-SUMIFS(MOVIMIENTOS_COMPLEMENTOS!$I$4:$I$803,MOVIMIENTOS_COMPLEMENTOS!$C$4:$C$803,A585,MOVIMIENTOS_COMPLEMENTOS!$D$4:$D$803,B585,MOVIMIENTOS_COMPLEMENTOS!$E$4:$E$803,C585,MOVIMIENTOS_COMPLEMENTOS!$G$4:$G$803,E585,MOVIMIENTOS_COMPLEMENTOS!$H$4:$H$803,G585,MOVIMIENTOS_COMPLEMENTOS!$B$4:$B$803,"SALIDA"),0)</f>
        <v>0</v>
      </c>
      <c r="I585" s="102">
        <f t="array" ref="I585">IFERROR(INDEX(PRECIOS_COMPLEMENTOS!$C$4:$F$17,MATCH(B585&amp;"_"&amp;C585,PRECIOS_COMPLEMENTOS!$H$4:$H$17,0),IF(OR(G585="S",G585="20cm"),1,IF(OR(G585="M",G585="25cm"),2,IF(OR(G585="L",G585="30cm"),3,IF(OR(G585="XL",G585="35cm"),4,0))))),0)</f>
        <v>0.45</v>
      </c>
      <c r="J585" s="103">
        <f t="shared" si="1"/>
        <v>0</v>
      </c>
      <c r="K585" s="104" t="str">
        <f>IF(H585&lt;0,"ERROR",IF(H585=0,"",IF(H585&lt;CONFIG!$B$4,"CRÍTICO",IF(H585&lt;CONFIG!$B$5,"BAJO","OK"))))</f>
        <v/>
      </c>
    </row>
    <row r="586" ht="15.75" hidden="1" customHeight="1">
      <c r="A586" s="90" t="str">
        <f>IF(CLIENTES!A8="","",CLIENTES!A8)</f>
        <v/>
      </c>
      <c r="B586" s="90" t="s">
        <v>321</v>
      </c>
      <c r="C586" s="91" t="s">
        <v>326</v>
      </c>
      <c r="D586" s="109" t="s">
        <v>353</v>
      </c>
      <c r="E586" s="67" t="str">
        <f>COLORES!A9</f>
        <v>Melange</v>
      </c>
      <c r="F586" s="67" t="str">
        <f>COLORES!B9</f>
        <v>MELANGE</v>
      </c>
      <c r="G586" s="90" t="s">
        <v>377</v>
      </c>
      <c r="H586" s="100">
        <f>IFERROR(SUMIFS(MOVIMIENTOS_COMPLEMENTOS!$I$4:$I$803,MOVIMIENTOS_COMPLEMENTOS!$C$4:$C$803,A586,MOVIMIENTOS_COMPLEMENTOS!$D$4:$D$803,B586,MOVIMIENTOS_COMPLEMENTOS!$E$4:$E$803,C586,MOVIMIENTOS_COMPLEMENTOS!$G$4:$G$803,E586,MOVIMIENTOS_COMPLEMENTOS!$H$4:$H$803,G586,MOVIMIENTOS_COMPLEMENTOS!$B$4:$B$803,"INGRESO")+SUMIFS(MOVIMIENTOS_COMPLEMENTOS!$I$4:$I$803,MOVIMIENTOS_COMPLEMENTOS!$C$4:$C$803,A586,MOVIMIENTOS_COMPLEMENTOS!$D$4:$D$803,B586,MOVIMIENTOS_COMPLEMENTOS!$E$4:$E$803,C586,MOVIMIENTOS_COMPLEMENTOS!$G$4:$G$803,E586,MOVIMIENTOS_COMPLEMENTOS!$H$4:$H$803,G586,MOVIMIENTOS_COMPLEMENTOS!$B$4:$B$803,"DE CORTE")-SUMIFS(MOVIMIENTOS_COMPLEMENTOS!$I$4:$I$803,MOVIMIENTOS_COMPLEMENTOS!$C$4:$C$803,A586,MOVIMIENTOS_COMPLEMENTOS!$D$4:$D$803,B586,MOVIMIENTOS_COMPLEMENTOS!$E$4:$E$803,C586,MOVIMIENTOS_COMPLEMENTOS!$G$4:$G$803,E586,MOVIMIENTOS_COMPLEMENTOS!$H$4:$H$803,G586,MOVIMIENTOS_COMPLEMENTOS!$B$4:$B$803,"SALIDA"),0)</f>
        <v>0</v>
      </c>
      <c r="I586" s="102">
        <f t="array" ref="I586">IFERROR(INDEX(PRECIOS_COMPLEMENTOS!$C$4:$F$17,MATCH(B586&amp;"_"&amp;C586,PRECIOS_COMPLEMENTOS!$H$4:$H$17,0),IF(OR(G586="S",G586="20cm"),1,IF(OR(G586="M",G586="25cm"),2,IF(OR(G586="L",G586="30cm"),3,IF(OR(G586="XL",G586="35cm"),4,0))))),0)</f>
        <v>0.5</v>
      </c>
      <c r="J586" s="103">
        <f t="shared" si="1"/>
        <v>0</v>
      </c>
      <c r="K586" s="104" t="str">
        <f>IF(H586&lt;0,"ERROR",IF(H586=0,"",IF(H586&lt;CONFIG!$B$4,"CRÍTICO",IF(H586&lt;CONFIG!$B$5,"BAJO","OK"))))</f>
        <v/>
      </c>
    </row>
    <row r="587" ht="15.75" hidden="1" customHeight="1">
      <c r="A587" s="90" t="str">
        <f>IF(CLIENTES!A8="","",CLIENTES!A8)</f>
        <v/>
      </c>
      <c r="B587" s="90" t="s">
        <v>321</v>
      </c>
      <c r="C587" s="91" t="s">
        <v>326</v>
      </c>
      <c r="D587" s="109" t="s">
        <v>353</v>
      </c>
      <c r="E587" s="67" t="str">
        <f>COLORES!A9</f>
        <v>Melange</v>
      </c>
      <c r="F587" s="67" t="str">
        <f>COLORES!B9</f>
        <v>MELANGE</v>
      </c>
      <c r="G587" s="90" t="s">
        <v>379</v>
      </c>
      <c r="H587" s="100">
        <f>IFERROR(SUMIFS(MOVIMIENTOS_COMPLEMENTOS!$I$4:$I$803,MOVIMIENTOS_COMPLEMENTOS!$C$4:$C$803,A587,MOVIMIENTOS_COMPLEMENTOS!$D$4:$D$803,B587,MOVIMIENTOS_COMPLEMENTOS!$E$4:$E$803,C587,MOVIMIENTOS_COMPLEMENTOS!$G$4:$G$803,E587,MOVIMIENTOS_COMPLEMENTOS!$H$4:$H$803,G587,MOVIMIENTOS_COMPLEMENTOS!$B$4:$B$803,"INGRESO")+SUMIFS(MOVIMIENTOS_COMPLEMENTOS!$I$4:$I$803,MOVIMIENTOS_COMPLEMENTOS!$C$4:$C$803,A587,MOVIMIENTOS_COMPLEMENTOS!$D$4:$D$803,B587,MOVIMIENTOS_COMPLEMENTOS!$E$4:$E$803,C587,MOVIMIENTOS_COMPLEMENTOS!$G$4:$G$803,E587,MOVIMIENTOS_COMPLEMENTOS!$H$4:$H$803,G587,MOVIMIENTOS_COMPLEMENTOS!$B$4:$B$803,"DE CORTE")-SUMIFS(MOVIMIENTOS_COMPLEMENTOS!$I$4:$I$803,MOVIMIENTOS_COMPLEMENTOS!$C$4:$C$803,A587,MOVIMIENTOS_COMPLEMENTOS!$D$4:$D$803,B587,MOVIMIENTOS_COMPLEMENTOS!$E$4:$E$803,C587,MOVIMIENTOS_COMPLEMENTOS!$G$4:$G$803,E587,MOVIMIENTOS_COMPLEMENTOS!$H$4:$H$803,G587,MOVIMIENTOS_COMPLEMENTOS!$B$4:$B$803,"SALIDA"),0)</f>
        <v>0</v>
      </c>
      <c r="I587" s="102">
        <f t="array" ref="I587">IFERROR(INDEX(PRECIOS_COMPLEMENTOS!$C$4:$F$17,MATCH(B587&amp;"_"&amp;C587,PRECIOS_COMPLEMENTOS!$H$4:$H$17,0),IF(OR(G587="S",G587="20cm"),1,IF(OR(G587="M",G587="25cm"),2,IF(OR(G587="L",G587="30cm"),3,IF(OR(G587="XL",G587="35cm"),4,0))))),0)</f>
        <v>0.55</v>
      </c>
      <c r="J587" s="103">
        <f t="shared" si="1"/>
        <v>0</v>
      </c>
      <c r="K587" s="104" t="str">
        <f>IF(H587&lt;0,"ERROR",IF(H587=0,"",IF(H587&lt;CONFIG!$B$4,"CRÍTICO",IF(H587&lt;CONFIG!$B$5,"BAJO","OK"))))</f>
        <v/>
      </c>
    </row>
    <row r="588" ht="15.75" hidden="1" customHeight="1">
      <c r="A588" s="90" t="str">
        <f>IF(CLIENTES!A8="","",CLIENTES!A8)</f>
        <v/>
      </c>
      <c r="B588" s="90" t="s">
        <v>321</v>
      </c>
      <c r="C588" s="91" t="s">
        <v>326</v>
      </c>
      <c r="D588" s="109" t="s">
        <v>353</v>
      </c>
      <c r="E588" s="67" t="str">
        <f>COLORES!A10</f>
        <v>Botella</v>
      </c>
      <c r="F588" s="67" t="str">
        <f>COLORES!B10</f>
        <v>OSCURO</v>
      </c>
      <c r="G588" s="90" t="s">
        <v>378</v>
      </c>
      <c r="H588" s="100">
        <f>IFERROR(SUMIFS(MOVIMIENTOS_COMPLEMENTOS!$I$4:$I$803,MOVIMIENTOS_COMPLEMENTOS!$C$4:$C$803,A588,MOVIMIENTOS_COMPLEMENTOS!$D$4:$D$803,B588,MOVIMIENTOS_COMPLEMENTOS!$E$4:$E$803,C588,MOVIMIENTOS_COMPLEMENTOS!$G$4:$G$803,E588,MOVIMIENTOS_COMPLEMENTOS!$H$4:$H$803,G588,MOVIMIENTOS_COMPLEMENTOS!$B$4:$B$803,"INGRESO")+SUMIFS(MOVIMIENTOS_COMPLEMENTOS!$I$4:$I$803,MOVIMIENTOS_COMPLEMENTOS!$C$4:$C$803,A588,MOVIMIENTOS_COMPLEMENTOS!$D$4:$D$803,B588,MOVIMIENTOS_COMPLEMENTOS!$E$4:$E$803,C588,MOVIMIENTOS_COMPLEMENTOS!$G$4:$G$803,E588,MOVIMIENTOS_COMPLEMENTOS!$H$4:$H$803,G588,MOVIMIENTOS_COMPLEMENTOS!$B$4:$B$803,"DE CORTE")-SUMIFS(MOVIMIENTOS_COMPLEMENTOS!$I$4:$I$803,MOVIMIENTOS_COMPLEMENTOS!$C$4:$C$803,A588,MOVIMIENTOS_COMPLEMENTOS!$D$4:$D$803,B588,MOVIMIENTOS_COMPLEMENTOS!$E$4:$E$803,C588,MOVIMIENTOS_COMPLEMENTOS!$G$4:$G$803,E588,MOVIMIENTOS_COMPLEMENTOS!$H$4:$H$803,G588,MOVIMIENTOS_COMPLEMENTOS!$B$4:$B$803,"SALIDA"),0)</f>
        <v>0</v>
      </c>
      <c r="I588" s="102">
        <f t="array" ref="I588">IFERROR(INDEX(PRECIOS_COMPLEMENTOS!$C$4:$F$17,MATCH(B588&amp;"_"&amp;C588,PRECIOS_COMPLEMENTOS!$H$4:$H$17,0),IF(OR(G588="S",G588="20cm"),1,IF(OR(G588="M",G588="25cm"),2,IF(OR(G588="L",G588="30cm"),3,IF(OR(G588="XL",G588="35cm"),4,0))))),0)</f>
        <v>0.4</v>
      </c>
      <c r="J588" s="103">
        <f t="shared" si="1"/>
        <v>0</v>
      </c>
      <c r="K588" s="104" t="str">
        <f>IF(H588&lt;0,"ERROR",IF(H588=0,"",IF(H588&lt;CONFIG!$B$4,"CRÍTICO",IF(H588&lt;CONFIG!$B$5,"BAJO","OK"))))</f>
        <v/>
      </c>
    </row>
    <row r="589" ht="15.75" hidden="1" customHeight="1">
      <c r="A589" s="90" t="str">
        <f>IF(CLIENTES!A8="","",CLIENTES!A8)</f>
        <v/>
      </c>
      <c r="B589" s="90" t="s">
        <v>321</v>
      </c>
      <c r="C589" s="91" t="s">
        <v>326</v>
      </c>
      <c r="D589" s="109" t="s">
        <v>353</v>
      </c>
      <c r="E589" s="67" t="str">
        <f>COLORES!A10</f>
        <v>Botella</v>
      </c>
      <c r="F589" s="67" t="str">
        <f>COLORES!B10</f>
        <v>OSCURO</v>
      </c>
      <c r="G589" s="90" t="s">
        <v>376</v>
      </c>
      <c r="H589" s="100">
        <f>IFERROR(SUMIFS(MOVIMIENTOS_COMPLEMENTOS!$I$4:$I$803,MOVIMIENTOS_COMPLEMENTOS!$C$4:$C$803,A589,MOVIMIENTOS_COMPLEMENTOS!$D$4:$D$803,B589,MOVIMIENTOS_COMPLEMENTOS!$E$4:$E$803,C589,MOVIMIENTOS_COMPLEMENTOS!$G$4:$G$803,E589,MOVIMIENTOS_COMPLEMENTOS!$H$4:$H$803,G589,MOVIMIENTOS_COMPLEMENTOS!$B$4:$B$803,"INGRESO")+SUMIFS(MOVIMIENTOS_COMPLEMENTOS!$I$4:$I$803,MOVIMIENTOS_COMPLEMENTOS!$C$4:$C$803,A589,MOVIMIENTOS_COMPLEMENTOS!$D$4:$D$803,B589,MOVIMIENTOS_COMPLEMENTOS!$E$4:$E$803,C589,MOVIMIENTOS_COMPLEMENTOS!$G$4:$G$803,E589,MOVIMIENTOS_COMPLEMENTOS!$H$4:$H$803,G589,MOVIMIENTOS_COMPLEMENTOS!$B$4:$B$803,"DE CORTE")-SUMIFS(MOVIMIENTOS_COMPLEMENTOS!$I$4:$I$803,MOVIMIENTOS_COMPLEMENTOS!$C$4:$C$803,A589,MOVIMIENTOS_COMPLEMENTOS!$D$4:$D$803,B589,MOVIMIENTOS_COMPLEMENTOS!$E$4:$E$803,C589,MOVIMIENTOS_COMPLEMENTOS!$G$4:$G$803,E589,MOVIMIENTOS_COMPLEMENTOS!$H$4:$H$803,G589,MOVIMIENTOS_COMPLEMENTOS!$B$4:$B$803,"SALIDA"),0)</f>
        <v>0</v>
      </c>
      <c r="I589" s="102">
        <f t="array" ref="I589">IFERROR(INDEX(PRECIOS_COMPLEMENTOS!$C$4:$F$17,MATCH(B589&amp;"_"&amp;C589,PRECIOS_COMPLEMENTOS!$H$4:$H$17,0),IF(OR(G589="S",G589="20cm"),1,IF(OR(G589="M",G589="25cm"),2,IF(OR(G589="L",G589="30cm"),3,IF(OR(G589="XL",G589="35cm"),4,0))))),0)</f>
        <v>0.45</v>
      </c>
      <c r="J589" s="103">
        <f t="shared" si="1"/>
        <v>0</v>
      </c>
      <c r="K589" s="104" t="str">
        <f>IF(H589&lt;0,"ERROR",IF(H589=0,"",IF(H589&lt;CONFIG!$B$4,"CRÍTICO",IF(H589&lt;CONFIG!$B$5,"BAJO","OK"))))</f>
        <v/>
      </c>
    </row>
    <row r="590" ht="15.75" hidden="1" customHeight="1">
      <c r="A590" s="90" t="str">
        <f>IF(CLIENTES!A8="","",CLIENTES!A8)</f>
        <v/>
      </c>
      <c r="B590" s="90" t="s">
        <v>321</v>
      </c>
      <c r="C590" s="91" t="s">
        <v>326</v>
      </c>
      <c r="D590" s="109" t="s">
        <v>353</v>
      </c>
      <c r="E590" s="67" t="str">
        <f>COLORES!A10</f>
        <v>Botella</v>
      </c>
      <c r="F590" s="67" t="str">
        <f>COLORES!B10</f>
        <v>OSCURO</v>
      </c>
      <c r="G590" s="90" t="s">
        <v>377</v>
      </c>
      <c r="H590" s="100">
        <f>IFERROR(SUMIFS(MOVIMIENTOS_COMPLEMENTOS!$I$4:$I$803,MOVIMIENTOS_COMPLEMENTOS!$C$4:$C$803,A590,MOVIMIENTOS_COMPLEMENTOS!$D$4:$D$803,B590,MOVIMIENTOS_COMPLEMENTOS!$E$4:$E$803,C590,MOVIMIENTOS_COMPLEMENTOS!$G$4:$G$803,E590,MOVIMIENTOS_COMPLEMENTOS!$H$4:$H$803,G590,MOVIMIENTOS_COMPLEMENTOS!$B$4:$B$803,"INGRESO")+SUMIFS(MOVIMIENTOS_COMPLEMENTOS!$I$4:$I$803,MOVIMIENTOS_COMPLEMENTOS!$C$4:$C$803,A590,MOVIMIENTOS_COMPLEMENTOS!$D$4:$D$803,B590,MOVIMIENTOS_COMPLEMENTOS!$E$4:$E$803,C590,MOVIMIENTOS_COMPLEMENTOS!$G$4:$G$803,E590,MOVIMIENTOS_COMPLEMENTOS!$H$4:$H$803,G590,MOVIMIENTOS_COMPLEMENTOS!$B$4:$B$803,"DE CORTE")-SUMIFS(MOVIMIENTOS_COMPLEMENTOS!$I$4:$I$803,MOVIMIENTOS_COMPLEMENTOS!$C$4:$C$803,A590,MOVIMIENTOS_COMPLEMENTOS!$D$4:$D$803,B590,MOVIMIENTOS_COMPLEMENTOS!$E$4:$E$803,C590,MOVIMIENTOS_COMPLEMENTOS!$G$4:$G$803,E590,MOVIMIENTOS_COMPLEMENTOS!$H$4:$H$803,G590,MOVIMIENTOS_COMPLEMENTOS!$B$4:$B$803,"SALIDA"),0)</f>
        <v>0</v>
      </c>
      <c r="I590" s="102">
        <f t="array" ref="I590">IFERROR(INDEX(PRECIOS_COMPLEMENTOS!$C$4:$F$17,MATCH(B590&amp;"_"&amp;C590,PRECIOS_COMPLEMENTOS!$H$4:$H$17,0),IF(OR(G590="S",G590="20cm"),1,IF(OR(G590="M",G590="25cm"),2,IF(OR(G590="L",G590="30cm"),3,IF(OR(G590="XL",G590="35cm"),4,0))))),0)</f>
        <v>0.5</v>
      </c>
      <c r="J590" s="103">
        <f t="shared" si="1"/>
        <v>0</v>
      </c>
      <c r="K590" s="104" t="str">
        <f>IF(H590&lt;0,"ERROR",IF(H590=0,"",IF(H590&lt;CONFIG!$B$4,"CRÍTICO",IF(H590&lt;CONFIG!$B$5,"BAJO","OK"))))</f>
        <v/>
      </c>
    </row>
    <row r="591" ht="15.75" hidden="1" customHeight="1">
      <c r="A591" s="90" t="str">
        <f>IF(CLIENTES!A8="","",CLIENTES!A8)</f>
        <v/>
      </c>
      <c r="B591" s="90" t="s">
        <v>321</v>
      </c>
      <c r="C591" s="91" t="s">
        <v>326</v>
      </c>
      <c r="D591" s="109" t="s">
        <v>353</v>
      </c>
      <c r="E591" s="67" t="str">
        <f>COLORES!A10</f>
        <v>Botella</v>
      </c>
      <c r="F591" s="67" t="str">
        <f>COLORES!B10</f>
        <v>OSCURO</v>
      </c>
      <c r="G591" s="90" t="s">
        <v>379</v>
      </c>
      <c r="H591" s="100">
        <f>IFERROR(SUMIFS(MOVIMIENTOS_COMPLEMENTOS!$I$4:$I$803,MOVIMIENTOS_COMPLEMENTOS!$C$4:$C$803,A591,MOVIMIENTOS_COMPLEMENTOS!$D$4:$D$803,B591,MOVIMIENTOS_COMPLEMENTOS!$E$4:$E$803,C591,MOVIMIENTOS_COMPLEMENTOS!$G$4:$G$803,E591,MOVIMIENTOS_COMPLEMENTOS!$H$4:$H$803,G591,MOVIMIENTOS_COMPLEMENTOS!$B$4:$B$803,"INGRESO")+SUMIFS(MOVIMIENTOS_COMPLEMENTOS!$I$4:$I$803,MOVIMIENTOS_COMPLEMENTOS!$C$4:$C$803,A591,MOVIMIENTOS_COMPLEMENTOS!$D$4:$D$803,B591,MOVIMIENTOS_COMPLEMENTOS!$E$4:$E$803,C591,MOVIMIENTOS_COMPLEMENTOS!$G$4:$G$803,E591,MOVIMIENTOS_COMPLEMENTOS!$H$4:$H$803,G591,MOVIMIENTOS_COMPLEMENTOS!$B$4:$B$803,"DE CORTE")-SUMIFS(MOVIMIENTOS_COMPLEMENTOS!$I$4:$I$803,MOVIMIENTOS_COMPLEMENTOS!$C$4:$C$803,A591,MOVIMIENTOS_COMPLEMENTOS!$D$4:$D$803,B591,MOVIMIENTOS_COMPLEMENTOS!$E$4:$E$803,C591,MOVIMIENTOS_COMPLEMENTOS!$G$4:$G$803,E591,MOVIMIENTOS_COMPLEMENTOS!$H$4:$H$803,G591,MOVIMIENTOS_COMPLEMENTOS!$B$4:$B$803,"SALIDA"),0)</f>
        <v>0</v>
      </c>
      <c r="I591" s="102">
        <f t="array" ref="I591">IFERROR(INDEX(PRECIOS_COMPLEMENTOS!$C$4:$F$17,MATCH(B591&amp;"_"&amp;C591,PRECIOS_COMPLEMENTOS!$H$4:$H$17,0),IF(OR(G591="S",G591="20cm"),1,IF(OR(G591="M",G591="25cm"),2,IF(OR(G591="L",G591="30cm"),3,IF(OR(G591="XL",G591="35cm"),4,0))))),0)</f>
        <v>0.55</v>
      </c>
      <c r="J591" s="103">
        <f t="shared" si="1"/>
        <v>0</v>
      </c>
      <c r="K591" s="104" t="str">
        <f>IF(H591&lt;0,"ERROR",IF(H591=0,"",IF(H591&lt;CONFIG!$B$4,"CRÍTICO",IF(H591&lt;CONFIG!$B$5,"BAJO","OK"))))</f>
        <v/>
      </c>
    </row>
    <row r="592" ht="15.75" hidden="1" customHeight="1">
      <c r="A592" s="90" t="str">
        <f>IF(CLIENTES!A8="","",CLIENTES!A8)</f>
        <v/>
      </c>
      <c r="B592" s="90" t="s">
        <v>321</v>
      </c>
      <c r="C592" s="91" t="s">
        <v>326</v>
      </c>
      <c r="D592" s="109" t="s">
        <v>353</v>
      </c>
      <c r="E592" s="67" t="str">
        <f>COLORES!A11</f>
        <v>Pacay</v>
      </c>
      <c r="F592" s="67" t="str">
        <f>COLORES!B11</f>
        <v>CLARO</v>
      </c>
      <c r="G592" s="90" t="s">
        <v>378</v>
      </c>
      <c r="H592" s="100">
        <f>IFERROR(SUMIFS(MOVIMIENTOS_COMPLEMENTOS!$I$4:$I$803,MOVIMIENTOS_COMPLEMENTOS!$C$4:$C$803,A592,MOVIMIENTOS_COMPLEMENTOS!$D$4:$D$803,B592,MOVIMIENTOS_COMPLEMENTOS!$E$4:$E$803,C592,MOVIMIENTOS_COMPLEMENTOS!$G$4:$G$803,E592,MOVIMIENTOS_COMPLEMENTOS!$H$4:$H$803,G592,MOVIMIENTOS_COMPLEMENTOS!$B$4:$B$803,"INGRESO")+SUMIFS(MOVIMIENTOS_COMPLEMENTOS!$I$4:$I$803,MOVIMIENTOS_COMPLEMENTOS!$C$4:$C$803,A592,MOVIMIENTOS_COMPLEMENTOS!$D$4:$D$803,B592,MOVIMIENTOS_COMPLEMENTOS!$E$4:$E$803,C592,MOVIMIENTOS_COMPLEMENTOS!$G$4:$G$803,E592,MOVIMIENTOS_COMPLEMENTOS!$H$4:$H$803,G592,MOVIMIENTOS_COMPLEMENTOS!$B$4:$B$803,"DE CORTE")-SUMIFS(MOVIMIENTOS_COMPLEMENTOS!$I$4:$I$803,MOVIMIENTOS_COMPLEMENTOS!$C$4:$C$803,A592,MOVIMIENTOS_COMPLEMENTOS!$D$4:$D$803,B592,MOVIMIENTOS_COMPLEMENTOS!$E$4:$E$803,C592,MOVIMIENTOS_COMPLEMENTOS!$G$4:$G$803,E592,MOVIMIENTOS_COMPLEMENTOS!$H$4:$H$803,G592,MOVIMIENTOS_COMPLEMENTOS!$B$4:$B$803,"SALIDA"),0)</f>
        <v>0</v>
      </c>
      <c r="I592" s="102">
        <f t="array" ref="I592">IFERROR(INDEX(PRECIOS_COMPLEMENTOS!$C$4:$F$17,MATCH(B592&amp;"_"&amp;C592,PRECIOS_COMPLEMENTOS!$H$4:$H$17,0),IF(OR(G592="S",G592="20cm"),1,IF(OR(G592="M",G592="25cm"),2,IF(OR(G592="L",G592="30cm"),3,IF(OR(G592="XL",G592="35cm"),4,0))))),0)</f>
        <v>0.4</v>
      </c>
      <c r="J592" s="103">
        <f t="shared" si="1"/>
        <v>0</v>
      </c>
      <c r="K592" s="104" t="str">
        <f>IF(H592&lt;0,"ERROR",IF(H592=0,"",IF(H592&lt;CONFIG!$B$4,"CRÍTICO",IF(H592&lt;CONFIG!$B$5,"BAJO","OK"))))</f>
        <v/>
      </c>
    </row>
    <row r="593" ht="15.75" hidden="1" customHeight="1">
      <c r="A593" s="90" t="str">
        <f>IF(CLIENTES!A8="","",CLIENTES!A8)</f>
        <v/>
      </c>
      <c r="B593" s="90" t="s">
        <v>321</v>
      </c>
      <c r="C593" s="91" t="s">
        <v>326</v>
      </c>
      <c r="D593" s="109" t="s">
        <v>353</v>
      </c>
      <c r="E593" s="67" t="str">
        <f>COLORES!A11</f>
        <v>Pacay</v>
      </c>
      <c r="F593" s="67" t="str">
        <f>COLORES!B11</f>
        <v>CLARO</v>
      </c>
      <c r="G593" s="90" t="s">
        <v>376</v>
      </c>
      <c r="H593" s="100">
        <f>IFERROR(SUMIFS(MOVIMIENTOS_COMPLEMENTOS!$I$4:$I$803,MOVIMIENTOS_COMPLEMENTOS!$C$4:$C$803,A593,MOVIMIENTOS_COMPLEMENTOS!$D$4:$D$803,B593,MOVIMIENTOS_COMPLEMENTOS!$E$4:$E$803,C593,MOVIMIENTOS_COMPLEMENTOS!$G$4:$G$803,E593,MOVIMIENTOS_COMPLEMENTOS!$H$4:$H$803,G593,MOVIMIENTOS_COMPLEMENTOS!$B$4:$B$803,"INGRESO")+SUMIFS(MOVIMIENTOS_COMPLEMENTOS!$I$4:$I$803,MOVIMIENTOS_COMPLEMENTOS!$C$4:$C$803,A593,MOVIMIENTOS_COMPLEMENTOS!$D$4:$D$803,B593,MOVIMIENTOS_COMPLEMENTOS!$E$4:$E$803,C593,MOVIMIENTOS_COMPLEMENTOS!$G$4:$G$803,E593,MOVIMIENTOS_COMPLEMENTOS!$H$4:$H$803,G593,MOVIMIENTOS_COMPLEMENTOS!$B$4:$B$803,"DE CORTE")-SUMIFS(MOVIMIENTOS_COMPLEMENTOS!$I$4:$I$803,MOVIMIENTOS_COMPLEMENTOS!$C$4:$C$803,A593,MOVIMIENTOS_COMPLEMENTOS!$D$4:$D$803,B593,MOVIMIENTOS_COMPLEMENTOS!$E$4:$E$803,C593,MOVIMIENTOS_COMPLEMENTOS!$G$4:$G$803,E593,MOVIMIENTOS_COMPLEMENTOS!$H$4:$H$803,G593,MOVIMIENTOS_COMPLEMENTOS!$B$4:$B$803,"SALIDA"),0)</f>
        <v>0</v>
      </c>
      <c r="I593" s="102">
        <f t="array" ref="I593">IFERROR(INDEX(PRECIOS_COMPLEMENTOS!$C$4:$F$17,MATCH(B593&amp;"_"&amp;C593,PRECIOS_COMPLEMENTOS!$H$4:$H$17,0),IF(OR(G593="S",G593="20cm"),1,IF(OR(G593="M",G593="25cm"),2,IF(OR(G593="L",G593="30cm"),3,IF(OR(G593="XL",G593="35cm"),4,0))))),0)</f>
        <v>0.45</v>
      </c>
      <c r="J593" s="103">
        <f t="shared" si="1"/>
        <v>0</v>
      </c>
      <c r="K593" s="104" t="str">
        <f>IF(H593&lt;0,"ERROR",IF(H593=0,"",IF(H593&lt;CONFIG!$B$4,"CRÍTICO",IF(H593&lt;CONFIG!$B$5,"BAJO","OK"))))</f>
        <v/>
      </c>
    </row>
    <row r="594" ht="15.75" hidden="1" customHeight="1">
      <c r="A594" s="90" t="str">
        <f>IF(CLIENTES!A8="","",CLIENTES!A8)</f>
        <v/>
      </c>
      <c r="B594" s="90" t="s">
        <v>321</v>
      </c>
      <c r="C594" s="91" t="s">
        <v>326</v>
      </c>
      <c r="D594" s="109" t="s">
        <v>353</v>
      </c>
      <c r="E594" s="67" t="str">
        <f>COLORES!A11</f>
        <v>Pacay</v>
      </c>
      <c r="F594" s="67" t="str">
        <f>COLORES!B11</f>
        <v>CLARO</v>
      </c>
      <c r="G594" s="90" t="s">
        <v>377</v>
      </c>
      <c r="H594" s="100">
        <f>IFERROR(SUMIFS(MOVIMIENTOS_COMPLEMENTOS!$I$4:$I$803,MOVIMIENTOS_COMPLEMENTOS!$C$4:$C$803,A594,MOVIMIENTOS_COMPLEMENTOS!$D$4:$D$803,B594,MOVIMIENTOS_COMPLEMENTOS!$E$4:$E$803,C594,MOVIMIENTOS_COMPLEMENTOS!$G$4:$G$803,E594,MOVIMIENTOS_COMPLEMENTOS!$H$4:$H$803,G594,MOVIMIENTOS_COMPLEMENTOS!$B$4:$B$803,"INGRESO")+SUMIFS(MOVIMIENTOS_COMPLEMENTOS!$I$4:$I$803,MOVIMIENTOS_COMPLEMENTOS!$C$4:$C$803,A594,MOVIMIENTOS_COMPLEMENTOS!$D$4:$D$803,B594,MOVIMIENTOS_COMPLEMENTOS!$E$4:$E$803,C594,MOVIMIENTOS_COMPLEMENTOS!$G$4:$G$803,E594,MOVIMIENTOS_COMPLEMENTOS!$H$4:$H$803,G594,MOVIMIENTOS_COMPLEMENTOS!$B$4:$B$803,"DE CORTE")-SUMIFS(MOVIMIENTOS_COMPLEMENTOS!$I$4:$I$803,MOVIMIENTOS_COMPLEMENTOS!$C$4:$C$803,A594,MOVIMIENTOS_COMPLEMENTOS!$D$4:$D$803,B594,MOVIMIENTOS_COMPLEMENTOS!$E$4:$E$803,C594,MOVIMIENTOS_COMPLEMENTOS!$G$4:$G$803,E594,MOVIMIENTOS_COMPLEMENTOS!$H$4:$H$803,G594,MOVIMIENTOS_COMPLEMENTOS!$B$4:$B$803,"SALIDA"),0)</f>
        <v>0</v>
      </c>
      <c r="I594" s="102">
        <f t="array" ref="I594">IFERROR(INDEX(PRECIOS_COMPLEMENTOS!$C$4:$F$17,MATCH(B594&amp;"_"&amp;C594,PRECIOS_COMPLEMENTOS!$H$4:$H$17,0),IF(OR(G594="S",G594="20cm"),1,IF(OR(G594="M",G594="25cm"),2,IF(OR(G594="L",G594="30cm"),3,IF(OR(G594="XL",G594="35cm"),4,0))))),0)</f>
        <v>0.5</v>
      </c>
      <c r="J594" s="103">
        <f t="shared" si="1"/>
        <v>0</v>
      </c>
      <c r="K594" s="104" t="str">
        <f>IF(H594&lt;0,"ERROR",IF(H594=0,"",IF(H594&lt;CONFIG!$B$4,"CRÍTICO",IF(H594&lt;CONFIG!$B$5,"BAJO","OK"))))</f>
        <v/>
      </c>
    </row>
    <row r="595" ht="15.75" hidden="1" customHeight="1">
      <c r="A595" s="90" t="str">
        <f>IF(CLIENTES!A8="","",CLIENTES!A8)</f>
        <v/>
      </c>
      <c r="B595" s="90" t="s">
        <v>321</v>
      </c>
      <c r="C595" s="91" t="s">
        <v>326</v>
      </c>
      <c r="D595" s="109" t="s">
        <v>353</v>
      </c>
      <c r="E595" s="67" t="str">
        <f>COLORES!A11</f>
        <v>Pacay</v>
      </c>
      <c r="F595" s="67" t="str">
        <f>COLORES!B11</f>
        <v>CLARO</v>
      </c>
      <c r="G595" s="90" t="s">
        <v>379</v>
      </c>
      <c r="H595" s="100">
        <f>IFERROR(SUMIFS(MOVIMIENTOS_COMPLEMENTOS!$I$4:$I$803,MOVIMIENTOS_COMPLEMENTOS!$C$4:$C$803,A595,MOVIMIENTOS_COMPLEMENTOS!$D$4:$D$803,B595,MOVIMIENTOS_COMPLEMENTOS!$E$4:$E$803,C595,MOVIMIENTOS_COMPLEMENTOS!$G$4:$G$803,E595,MOVIMIENTOS_COMPLEMENTOS!$H$4:$H$803,G595,MOVIMIENTOS_COMPLEMENTOS!$B$4:$B$803,"INGRESO")+SUMIFS(MOVIMIENTOS_COMPLEMENTOS!$I$4:$I$803,MOVIMIENTOS_COMPLEMENTOS!$C$4:$C$803,A595,MOVIMIENTOS_COMPLEMENTOS!$D$4:$D$803,B595,MOVIMIENTOS_COMPLEMENTOS!$E$4:$E$803,C595,MOVIMIENTOS_COMPLEMENTOS!$G$4:$G$803,E595,MOVIMIENTOS_COMPLEMENTOS!$H$4:$H$803,G595,MOVIMIENTOS_COMPLEMENTOS!$B$4:$B$803,"DE CORTE")-SUMIFS(MOVIMIENTOS_COMPLEMENTOS!$I$4:$I$803,MOVIMIENTOS_COMPLEMENTOS!$C$4:$C$803,A595,MOVIMIENTOS_COMPLEMENTOS!$D$4:$D$803,B595,MOVIMIENTOS_COMPLEMENTOS!$E$4:$E$803,C595,MOVIMIENTOS_COMPLEMENTOS!$G$4:$G$803,E595,MOVIMIENTOS_COMPLEMENTOS!$H$4:$H$803,G595,MOVIMIENTOS_COMPLEMENTOS!$B$4:$B$803,"SALIDA"),0)</f>
        <v>0</v>
      </c>
      <c r="I595" s="102">
        <f t="array" ref="I595">IFERROR(INDEX(PRECIOS_COMPLEMENTOS!$C$4:$F$17,MATCH(B595&amp;"_"&amp;C595,PRECIOS_COMPLEMENTOS!$H$4:$H$17,0),IF(OR(G595="S",G595="20cm"),1,IF(OR(G595="M",G595="25cm"),2,IF(OR(G595="L",G595="30cm"),3,IF(OR(G595="XL",G595="35cm"),4,0))))),0)</f>
        <v>0.55</v>
      </c>
      <c r="J595" s="103">
        <f t="shared" si="1"/>
        <v>0</v>
      </c>
      <c r="K595" s="104" t="str">
        <f>IF(H595&lt;0,"ERROR",IF(H595=0,"",IF(H595&lt;CONFIG!$B$4,"CRÍTICO",IF(H595&lt;CONFIG!$B$5,"BAJO","OK"))))</f>
        <v/>
      </c>
    </row>
    <row r="596" ht="15.75" hidden="1" customHeight="1">
      <c r="A596" s="90" t="str">
        <f>IF(CLIENTES!A8="","",CLIENTES!A8)</f>
        <v/>
      </c>
      <c r="B596" s="90" t="s">
        <v>321</v>
      </c>
      <c r="C596" s="91" t="s">
        <v>326</v>
      </c>
      <c r="D596" s="109" t="s">
        <v>353</v>
      </c>
      <c r="E596" s="67" t="str">
        <f>COLORES!A12</f>
        <v>Cemento</v>
      </c>
      <c r="F596" s="67" t="str">
        <f>COLORES!B12</f>
        <v>CLARO</v>
      </c>
      <c r="G596" s="90" t="s">
        <v>378</v>
      </c>
      <c r="H596" s="100">
        <f>IFERROR(SUMIFS(MOVIMIENTOS_COMPLEMENTOS!$I$4:$I$803,MOVIMIENTOS_COMPLEMENTOS!$C$4:$C$803,A596,MOVIMIENTOS_COMPLEMENTOS!$D$4:$D$803,B596,MOVIMIENTOS_COMPLEMENTOS!$E$4:$E$803,C596,MOVIMIENTOS_COMPLEMENTOS!$G$4:$G$803,E596,MOVIMIENTOS_COMPLEMENTOS!$H$4:$H$803,G596,MOVIMIENTOS_COMPLEMENTOS!$B$4:$B$803,"INGRESO")+SUMIFS(MOVIMIENTOS_COMPLEMENTOS!$I$4:$I$803,MOVIMIENTOS_COMPLEMENTOS!$C$4:$C$803,A596,MOVIMIENTOS_COMPLEMENTOS!$D$4:$D$803,B596,MOVIMIENTOS_COMPLEMENTOS!$E$4:$E$803,C596,MOVIMIENTOS_COMPLEMENTOS!$G$4:$G$803,E596,MOVIMIENTOS_COMPLEMENTOS!$H$4:$H$803,G596,MOVIMIENTOS_COMPLEMENTOS!$B$4:$B$803,"DE CORTE")-SUMIFS(MOVIMIENTOS_COMPLEMENTOS!$I$4:$I$803,MOVIMIENTOS_COMPLEMENTOS!$C$4:$C$803,A596,MOVIMIENTOS_COMPLEMENTOS!$D$4:$D$803,B596,MOVIMIENTOS_COMPLEMENTOS!$E$4:$E$803,C596,MOVIMIENTOS_COMPLEMENTOS!$G$4:$G$803,E596,MOVIMIENTOS_COMPLEMENTOS!$H$4:$H$803,G596,MOVIMIENTOS_COMPLEMENTOS!$B$4:$B$803,"SALIDA"),0)</f>
        <v>0</v>
      </c>
      <c r="I596" s="102">
        <f t="array" ref="I596">IFERROR(INDEX(PRECIOS_COMPLEMENTOS!$C$4:$F$17,MATCH(B596&amp;"_"&amp;C596,PRECIOS_COMPLEMENTOS!$H$4:$H$17,0),IF(OR(G596="S",G596="20cm"),1,IF(OR(G596="M",G596="25cm"),2,IF(OR(G596="L",G596="30cm"),3,IF(OR(G596="XL",G596="35cm"),4,0))))),0)</f>
        <v>0.4</v>
      </c>
      <c r="J596" s="103">
        <f t="shared" si="1"/>
        <v>0</v>
      </c>
      <c r="K596" s="104" t="str">
        <f>IF(H596&lt;0,"ERROR",IF(H596=0,"",IF(H596&lt;CONFIG!$B$4,"CRÍTICO",IF(H596&lt;CONFIG!$B$5,"BAJO","OK"))))</f>
        <v/>
      </c>
    </row>
    <row r="597" ht="15.75" hidden="1" customHeight="1">
      <c r="A597" s="90" t="str">
        <f>IF(CLIENTES!A8="","",CLIENTES!A8)</f>
        <v/>
      </c>
      <c r="B597" s="90" t="s">
        <v>321</v>
      </c>
      <c r="C597" s="91" t="s">
        <v>326</v>
      </c>
      <c r="D597" s="109" t="s">
        <v>353</v>
      </c>
      <c r="E597" s="67" t="str">
        <f>COLORES!A12</f>
        <v>Cemento</v>
      </c>
      <c r="F597" s="67" t="str">
        <f>COLORES!B12</f>
        <v>CLARO</v>
      </c>
      <c r="G597" s="90" t="s">
        <v>376</v>
      </c>
      <c r="H597" s="100">
        <f>IFERROR(SUMIFS(MOVIMIENTOS_COMPLEMENTOS!$I$4:$I$803,MOVIMIENTOS_COMPLEMENTOS!$C$4:$C$803,A597,MOVIMIENTOS_COMPLEMENTOS!$D$4:$D$803,B597,MOVIMIENTOS_COMPLEMENTOS!$E$4:$E$803,C597,MOVIMIENTOS_COMPLEMENTOS!$G$4:$G$803,E597,MOVIMIENTOS_COMPLEMENTOS!$H$4:$H$803,G597,MOVIMIENTOS_COMPLEMENTOS!$B$4:$B$803,"INGRESO")+SUMIFS(MOVIMIENTOS_COMPLEMENTOS!$I$4:$I$803,MOVIMIENTOS_COMPLEMENTOS!$C$4:$C$803,A597,MOVIMIENTOS_COMPLEMENTOS!$D$4:$D$803,B597,MOVIMIENTOS_COMPLEMENTOS!$E$4:$E$803,C597,MOVIMIENTOS_COMPLEMENTOS!$G$4:$G$803,E597,MOVIMIENTOS_COMPLEMENTOS!$H$4:$H$803,G597,MOVIMIENTOS_COMPLEMENTOS!$B$4:$B$803,"DE CORTE")-SUMIFS(MOVIMIENTOS_COMPLEMENTOS!$I$4:$I$803,MOVIMIENTOS_COMPLEMENTOS!$C$4:$C$803,A597,MOVIMIENTOS_COMPLEMENTOS!$D$4:$D$803,B597,MOVIMIENTOS_COMPLEMENTOS!$E$4:$E$803,C597,MOVIMIENTOS_COMPLEMENTOS!$G$4:$G$803,E597,MOVIMIENTOS_COMPLEMENTOS!$H$4:$H$803,G597,MOVIMIENTOS_COMPLEMENTOS!$B$4:$B$803,"SALIDA"),0)</f>
        <v>0</v>
      </c>
      <c r="I597" s="102">
        <f t="array" ref="I597">IFERROR(INDEX(PRECIOS_COMPLEMENTOS!$C$4:$F$17,MATCH(B597&amp;"_"&amp;C597,PRECIOS_COMPLEMENTOS!$H$4:$H$17,0),IF(OR(G597="S",G597="20cm"),1,IF(OR(G597="M",G597="25cm"),2,IF(OR(G597="L",G597="30cm"),3,IF(OR(G597="XL",G597="35cm"),4,0))))),0)</f>
        <v>0.45</v>
      </c>
      <c r="J597" s="103">
        <f t="shared" si="1"/>
        <v>0</v>
      </c>
      <c r="K597" s="104" t="str">
        <f>IF(H597&lt;0,"ERROR",IF(H597=0,"",IF(H597&lt;CONFIG!$B$4,"CRÍTICO",IF(H597&lt;CONFIG!$B$5,"BAJO","OK"))))</f>
        <v/>
      </c>
    </row>
    <row r="598" ht="15.75" hidden="1" customHeight="1">
      <c r="A598" s="90" t="str">
        <f>IF(CLIENTES!A8="","",CLIENTES!A8)</f>
        <v/>
      </c>
      <c r="B598" s="90" t="s">
        <v>321</v>
      </c>
      <c r="C598" s="91" t="s">
        <v>326</v>
      </c>
      <c r="D598" s="109" t="s">
        <v>353</v>
      </c>
      <c r="E598" s="67" t="str">
        <f>COLORES!A12</f>
        <v>Cemento</v>
      </c>
      <c r="F598" s="67" t="str">
        <f>COLORES!B12</f>
        <v>CLARO</v>
      </c>
      <c r="G598" s="90" t="s">
        <v>377</v>
      </c>
      <c r="H598" s="100">
        <f>IFERROR(SUMIFS(MOVIMIENTOS_COMPLEMENTOS!$I$4:$I$803,MOVIMIENTOS_COMPLEMENTOS!$C$4:$C$803,A598,MOVIMIENTOS_COMPLEMENTOS!$D$4:$D$803,B598,MOVIMIENTOS_COMPLEMENTOS!$E$4:$E$803,C598,MOVIMIENTOS_COMPLEMENTOS!$G$4:$G$803,E598,MOVIMIENTOS_COMPLEMENTOS!$H$4:$H$803,G598,MOVIMIENTOS_COMPLEMENTOS!$B$4:$B$803,"INGRESO")+SUMIFS(MOVIMIENTOS_COMPLEMENTOS!$I$4:$I$803,MOVIMIENTOS_COMPLEMENTOS!$C$4:$C$803,A598,MOVIMIENTOS_COMPLEMENTOS!$D$4:$D$803,B598,MOVIMIENTOS_COMPLEMENTOS!$E$4:$E$803,C598,MOVIMIENTOS_COMPLEMENTOS!$G$4:$G$803,E598,MOVIMIENTOS_COMPLEMENTOS!$H$4:$H$803,G598,MOVIMIENTOS_COMPLEMENTOS!$B$4:$B$803,"DE CORTE")-SUMIFS(MOVIMIENTOS_COMPLEMENTOS!$I$4:$I$803,MOVIMIENTOS_COMPLEMENTOS!$C$4:$C$803,A598,MOVIMIENTOS_COMPLEMENTOS!$D$4:$D$803,B598,MOVIMIENTOS_COMPLEMENTOS!$E$4:$E$803,C598,MOVIMIENTOS_COMPLEMENTOS!$G$4:$G$803,E598,MOVIMIENTOS_COMPLEMENTOS!$H$4:$H$803,G598,MOVIMIENTOS_COMPLEMENTOS!$B$4:$B$803,"SALIDA"),0)</f>
        <v>0</v>
      </c>
      <c r="I598" s="102">
        <f t="array" ref="I598">IFERROR(INDEX(PRECIOS_COMPLEMENTOS!$C$4:$F$17,MATCH(B598&amp;"_"&amp;C598,PRECIOS_COMPLEMENTOS!$H$4:$H$17,0),IF(OR(G598="S",G598="20cm"),1,IF(OR(G598="M",G598="25cm"),2,IF(OR(G598="L",G598="30cm"),3,IF(OR(G598="XL",G598="35cm"),4,0))))),0)</f>
        <v>0.5</v>
      </c>
      <c r="J598" s="103">
        <f t="shared" si="1"/>
        <v>0</v>
      </c>
      <c r="K598" s="104" t="str">
        <f>IF(H598&lt;0,"ERROR",IF(H598=0,"",IF(H598&lt;CONFIG!$B$4,"CRÍTICO",IF(H598&lt;CONFIG!$B$5,"BAJO","OK"))))</f>
        <v/>
      </c>
    </row>
    <row r="599" ht="15.75" hidden="1" customHeight="1">
      <c r="A599" s="90" t="str">
        <f>IF(CLIENTES!A8="","",CLIENTES!A8)</f>
        <v/>
      </c>
      <c r="B599" s="90" t="s">
        <v>321</v>
      </c>
      <c r="C599" s="91" t="s">
        <v>326</v>
      </c>
      <c r="D599" s="109" t="s">
        <v>353</v>
      </c>
      <c r="E599" s="67" t="str">
        <f>COLORES!A12</f>
        <v>Cemento</v>
      </c>
      <c r="F599" s="67" t="str">
        <f>COLORES!B12</f>
        <v>CLARO</v>
      </c>
      <c r="G599" s="90" t="s">
        <v>379</v>
      </c>
      <c r="H599" s="100">
        <f>IFERROR(SUMIFS(MOVIMIENTOS_COMPLEMENTOS!$I$4:$I$803,MOVIMIENTOS_COMPLEMENTOS!$C$4:$C$803,A599,MOVIMIENTOS_COMPLEMENTOS!$D$4:$D$803,B599,MOVIMIENTOS_COMPLEMENTOS!$E$4:$E$803,C599,MOVIMIENTOS_COMPLEMENTOS!$G$4:$G$803,E599,MOVIMIENTOS_COMPLEMENTOS!$H$4:$H$803,G599,MOVIMIENTOS_COMPLEMENTOS!$B$4:$B$803,"INGRESO")+SUMIFS(MOVIMIENTOS_COMPLEMENTOS!$I$4:$I$803,MOVIMIENTOS_COMPLEMENTOS!$C$4:$C$803,A599,MOVIMIENTOS_COMPLEMENTOS!$D$4:$D$803,B599,MOVIMIENTOS_COMPLEMENTOS!$E$4:$E$803,C599,MOVIMIENTOS_COMPLEMENTOS!$G$4:$G$803,E599,MOVIMIENTOS_COMPLEMENTOS!$H$4:$H$803,G599,MOVIMIENTOS_COMPLEMENTOS!$B$4:$B$803,"DE CORTE")-SUMIFS(MOVIMIENTOS_COMPLEMENTOS!$I$4:$I$803,MOVIMIENTOS_COMPLEMENTOS!$C$4:$C$803,A599,MOVIMIENTOS_COMPLEMENTOS!$D$4:$D$803,B599,MOVIMIENTOS_COMPLEMENTOS!$E$4:$E$803,C599,MOVIMIENTOS_COMPLEMENTOS!$G$4:$G$803,E599,MOVIMIENTOS_COMPLEMENTOS!$H$4:$H$803,G599,MOVIMIENTOS_COMPLEMENTOS!$B$4:$B$803,"SALIDA"),0)</f>
        <v>0</v>
      </c>
      <c r="I599" s="102">
        <f t="array" ref="I599">IFERROR(INDEX(PRECIOS_COMPLEMENTOS!$C$4:$F$17,MATCH(B599&amp;"_"&amp;C599,PRECIOS_COMPLEMENTOS!$H$4:$H$17,0),IF(OR(G599="S",G599="20cm"),1,IF(OR(G599="M",G599="25cm"),2,IF(OR(G599="L",G599="30cm"),3,IF(OR(G599="XL",G599="35cm"),4,0))))),0)</f>
        <v>0.55</v>
      </c>
      <c r="J599" s="103">
        <f t="shared" si="1"/>
        <v>0</v>
      </c>
      <c r="K599" s="104" t="str">
        <f>IF(H599&lt;0,"ERROR",IF(H599=0,"",IF(H599&lt;CONFIG!$B$4,"CRÍTICO",IF(H599&lt;CONFIG!$B$5,"BAJO","OK"))))</f>
        <v/>
      </c>
    </row>
    <row r="600" ht="15.75" hidden="1" customHeight="1">
      <c r="A600" s="90" t="str">
        <f>IF(CLIENTES!A8="","",CLIENTES!A8)</f>
        <v/>
      </c>
      <c r="B600" s="90" t="s">
        <v>321</v>
      </c>
      <c r="C600" s="91" t="s">
        <v>326</v>
      </c>
      <c r="D600" s="109" t="s">
        <v>353</v>
      </c>
      <c r="E600" s="67" t="str">
        <f>COLORES!A13</f>
        <v>Camote</v>
      </c>
      <c r="F600" s="67" t="str">
        <f>COLORES!B13</f>
        <v>CLARO</v>
      </c>
      <c r="G600" s="90" t="s">
        <v>378</v>
      </c>
      <c r="H600" s="100">
        <f>IFERROR(SUMIFS(MOVIMIENTOS_COMPLEMENTOS!$I$4:$I$803,MOVIMIENTOS_COMPLEMENTOS!$C$4:$C$803,A600,MOVIMIENTOS_COMPLEMENTOS!$D$4:$D$803,B600,MOVIMIENTOS_COMPLEMENTOS!$E$4:$E$803,C600,MOVIMIENTOS_COMPLEMENTOS!$G$4:$G$803,E600,MOVIMIENTOS_COMPLEMENTOS!$H$4:$H$803,G600,MOVIMIENTOS_COMPLEMENTOS!$B$4:$B$803,"INGRESO")+SUMIFS(MOVIMIENTOS_COMPLEMENTOS!$I$4:$I$803,MOVIMIENTOS_COMPLEMENTOS!$C$4:$C$803,A600,MOVIMIENTOS_COMPLEMENTOS!$D$4:$D$803,B600,MOVIMIENTOS_COMPLEMENTOS!$E$4:$E$803,C600,MOVIMIENTOS_COMPLEMENTOS!$G$4:$G$803,E600,MOVIMIENTOS_COMPLEMENTOS!$H$4:$H$803,G600,MOVIMIENTOS_COMPLEMENTOS!$B$4:$B$803,"DE CORTE")-SUMIFS(MOVIMIENTOS_COMPLEMENTOS!$I$4:$I$803,MOVIMIENTOS_COMPLEMENTOS!$C$4:$C$803,A600,MOVIMIENTOS_COMPLEMENTOS!$D$4:$D$803,B600,MOVIMIENTOS_COMPLEMENTOS!$E$4:$E$803,C600,MOVIMIENTOS_COMPLEMENTOS!$G$4:$G$803,E600,MOVIMIENTOS_COMPLEMENTOS!$H$4:$H$803,G600,MOVIMIENTOS_COMPLEMENTOS!$B$4:$B$803,"SALIDA"),0)</f>
        <v>0</v>
      </c>
      <c r="I600" s="102">
        <f t="array" ref="I600">IFERROR(INDEX(PRECIOS_COMPLEMENTOS!$C$4:$F$17,MATCH(B600&amp;"_"&amp;C600,PRECIOS_COMPLEMENTOS!$H$4:$H$17,0),IF(OR(G600="S",G600="20cm"),1,IF(OR(G600="M",G600="25cm"),2,IF(OR(G600="L",G600="30cm"),3,IF(OR(G600="XL",G600="35cm"),4,0))))),0)</f>
        <v>0.4</v>
      </c>
      <c r="J600" s="103">
        <f t="shared" si="1"/>
        <v>0</v>
      </c>
      <c r="K600" s="104" t="str">
        <f>IF(H600&lt;0,"ERROR",IF(H600=0,"",IF(H600&lt;CONFIG!$B$4,"CRÍTICO",IF(H600&lt;CONFIG!$B$5,"BAJO","OK"))))</f>
        <v/>
      </c>
    </row>
    <row r="601" ht="15.75" hidden="1" customHeight="1">
      <c r="A601" s="90" t="str">
        <f>IF(CLIENTES!A8="","",CLIENTES!A8)</f>
        <v/>
      </c>
      <c r="B601" s="90" t="s">
        <v>321</v>
      </c>
      <c r="C601" s="91" t="s">
        <v>326</v>
      </c>
      <c r="D601" s="109" t="s">
        <v>353</v>
      </c>
      <c r="E601" s="67" t="str">
        <f>COLORES!A13</f>
        <v>Camote</v>
      </c>
      <c r="F601" s="67" t="str">
        <f>COLORES!B13</f>
        <v>CLARO</v>
      </c>
      <c r="G601" s="90" t="s">
        <v>376</v>
      </c>
      <c r="H601" s="100">
        <f>IFERROR(SUMIFS(MOVIMIENTOS_COMPLEMENTOS!$I$4:$I$803,MOVIMIENTOS_COMPLEMENTOS!$C$4:$C$803,A601,MOVIMIENTOS_COMPLEMENTOS!$D$4:$D$803,B601,MOVIMIENTOS_COMPLEMENTOS!$E$4:$E$803,C601,MOVIMIENTOS_COMPLEMENTOS!$G$4:$G$803,E601,MOVIMIENTOS_COMPLEMENTOS!$H$4:$H$803,G601,MOVIMIENTOS_COMPLEMENTOS!$B$4:$B$803,"INGRESO")+SUMIFS(MOVIMIENTOS_COMPLEMENTOS!$I$4:$I$803,MOVIMIENTOS_COMPLEMENTOS!$C$4:$C$803,A601,MOVIMIENTOS_COMPLEMENTOS!$D$4:$D$803,B601,MOVIMIENTOS_COMPLEMENTOS!$E$4:$E$803,C601,MOVIMIENTOS_COMPLEMENTOS!$G$4:$G$803,E601,MOVIMIENTOS_COMPLEMENTOS!$H$4:$H$803,G601,MOVIMIENTOS_COMPLEMENTOS!$B$4:$B$803,"DE CORTE")-SUMIFS(MOVIMIENTOS_COMPLEMENTOS!$I$4:$I$803,MOVIMIENTOS_COMPLEMENTOS!$C$4:$C$803,A601,MOVIMIENTOS_COMPLEMENTOS!$D$4:$D$803,B601,MOVIMIENTOS_COMPLEMENTOS!$E$4:$E$803,C601,MOVIMIENTOS_COMPLEMENTOS!$G$4:$G$803,E601,MOVIMIENTOS_COMPLEMENTOS!$H$4:$H$803,G601,MOVIMIENTOS_COMPLEMENTOS!$B$4:$B$803,"SALIDA"),0)</f>
        <v>0</v>
      </c>
      <c r="I601" s="102">
        <f t="array" ref="I601">IFERROR(INDEX(PRECIOS_COMPLEMENTOS!$C$4:$F$17,MATCH(B601&amp;"_"&amp;C601,PRECIOS_COMPLEMENTOS!$H$4:$H$17,0),IF(OR(G601="S",G601="20cm"),1,IF(OR(G601="M",G601="25cm"),2,IF(OR(G601="L",G601="30cm"),3,IF(OR(G601="XL",G601="35cm"),4,0))))),0)</f>
        <v>0.45</v>
      </c>
      <c r="J601" s="103">
        <f t="shared" si="1"/>
        <v>0</v>
      </c>
      <c r="K601" s="104" t="str">
        <f>IF(H601&lt;0,"ERROR",IF(H601=0,"",IF(H601&lt;CONFIG!$B$4,"CRÍTICO",IF(H601&lt;CONFIG!$B$5,"BAJO","OK"))))</f>
        <v/>
      </c>
    </row>
    <row r="602" ht="15.75" hidden="1" customHeight="1">
      <c r="A602" s="90" t="str">
        <f>IF(CLIENTES!A8="","",CLIENTES!A8)</f>
        <v/>
      </c>
      <c r="B602" s="90" t="s">
        <v>321</v>
      </c>
      <c r="C602" s="91" t="s">
        <v>326</v>
      </c>
      <c r="D602" s="109" t="s">
        <v>353</v>
      </c>
      <c r="E602" s="67" t="str">
        <f>COLORES!A13</f>
        <v>Camote</v>
      </c>
      <c r="F602" s="67" t="str">
        <f>COLORES!B13</f>
        <v>CLARO</v>
      </c>
      <c r="G602" s="90" t="s">
        <v>377</v>
      </c>
      <c r="H602" s="100">
        <f>IFERROR(SUMIFS(MOVIMIENTOS_COMPLEMENTOS!$I$4:$I$803,MOVIMIENTOS_COMPLEMENTOS!$C$4:$C$803,A602,MOVIMIENTOS_COMPLEMENTOS!$D$4:$D$803,B602,MOVIMIENTOS_COMPLEMENTOS!$E$4:$E$803,C602,MOVIMIENTOS_COMPLEMENTOS!$G$4:$G$803,E602,MOVIMIENTOS_COMPLEMENTOS!$H$4:$H$803,G602,MOVIMIENTOS_COMPLEMENTOS!$B$4:$B$803,"INGRESO")+SUMIFS(MOVIMIENTOS_COMPLEMENTOS!$I$4:$I$803,MOVIMIENTOS_COMPLEMENTOS!$C$4:$C$803,A602,MOVIMIENTOS_COMPLEMENTOS!$D$4:$D$803,B602,MOVIMIENTOS_COMPLEMENTOS!$E$4:$E$803,C602,MOVIMIENTOS_COMPLEMENTOS!$G$4:$G$803,E602,MOVIMIENTOS_COMPLEMENTOS!$H$4:$H$803,G602,MOVIMIENTOS_COMPLEMENTOS!$B$4:$B$803,"DE CORTE")-SUMIFS(MOVIMIENTOS_COMPLEMENTOS!$I$4:$I$803,MOVIMIENTOS_COMPLEMENTOS!$C$4:$C$803,A602,MOVIMIENTOS_COMPLEMENTOS!$D$4:$D$803,B602,MOVIMIENTOS_COMPLEMENTOS!$E$4:$E$803,C602,MOVIMIENTOS_COMPLEMENTOS!$G$4:$G$803,E602,MOVIMIENTOS_COMPLEMENTOS!$H$4:$H$803,G602,MOVIMIENTOS_COMPLEMENTOS!$B$4:$B$803,"SALIDA"),0)</f>
        <v>0</v>
      </c>
      <c r="I602" s="102">
        <f t="array" ref="I602">IFERROR(INDEX(PRECIOS_COMPLEMENTOS!$C$4:$F$17,MATCH(B602&amp;"_"&amp;C602,PRECIOS_COMPLEMENTOS!$H$4:$H$17,0),IF(OR(G602="S",G602="20cm"),1,IF(OR(G602="M",G602="25cm"),2,IF(OR(G602="L",G602="30cm"),3,IF(OR(G602="XL",G602="35cm"),4,0))))),0)</f>
        <v>0.5</v>
      </c>
      <c r="J602" s="103">
        <f t="shared" si="1"/>
        <v>0</v>
      </c>
      <c r="K602" s="104" t="str">
        <f>IF(H602&lt;0,"ERROR",IF(H602=0,"",IF(H602&lt;CONFIG!$B$4,"CRÍTICO",IF(H602&lt;CONFIG!$B$5,"BAJO","OK"))))</f>
        <v/>
      </c>
    </row>
    <row r="603" ht="15.75" hidden="1" customHeight="1">
      <c r="A603" s="90" t="str">
        <f>IF(CLIENTES!A8="","",CLIENTES!A8)</f>
        <v/>
      </c>
      <c r="B603" s="90" t="s">
        <v>321</v>
      </c>
      <c r="C603" s="91" t="s">
        <v>326</v>
      </c>
      <c r="D603" s="109" t="s">
        <v>353</v>
      </c>
      <c r="E603" s="67" t="str">
        <f>COLORES!A13</f>
        <v>Camote</v>
      </c>
      <c r="F603" s="67" t="str">
        <f>COLORES!B13</f>
        <v>CLARO</v>
      </c>
      <c r="G603" s="90" t="s">
        <v>379</v>
      </c>
      <c r="H603" s="100">
        <f>IFERROR(SUMIFS(MOVIMIENTOS_COMPLEMENTOS!$I$4:$I$803,MOVIMIENTOS_COMPLEMENTOS!$C$4:$C$803,A603,MOVIMIENTOS_COMPLEMENTOS!$D$4:$D$803,B603,MOVIMIENTOS_COMPLEMENTOS!$E$4:$E$803,C603,MOVIMIENTOS_COMPLEMENTOS!$G$4:$G$803,E603,MOVIMIENTOS_COMPLEMENTOS!$H$4:$H$803,G603,MOVIMIENTOS_COMPLEMENTOS!$B$4:$B$803,"INGRESO")+SUMIFS(MOVIMIENTOS_COMPLEMENTOS!$I$4:$I$803,MOVIMIENTOS_COMPLEMENTOS!$C$4:$C$803,A603,MOVIMIENTOS_COMPLEMENTOS!$D$4:$D$803,B603,MOVIMIENTOS_COMPLEMENTOS!$E$4:$E$803,C603,MOVIMIENTOS_COMPLEMENTOS!$G$4:$G$803,E603,MOVIMIENTOS_COMPLEMENTOS!$H$4:$H$803,G603,MOVIMIENTOS_COMPLEMENTOS!$B$4:$B$803,"DE CORTE")-SUMIFS(MOVIMIENTOS_COMPLEMENTOS!$I$4:$I$803,MOVIMIENTOS_COMPLEMENTOS!$C$4:$C$803,A603,MOVIMIENTOS_COMPLEMENTOS!$D$4:$D$803,B603,MOVIMIENTOS_COMPLEMENTOS!$E$4:$E$803,C603,MOVIMIENTOS_COMPLEMENTOS!$G$4:$G$803,E603,MOVIMIENTOS_COMPLEMENTOS!$H$4:$H$803,G603,MOVIMIENTOS_COMPLEMENTOS!$B$4:$B$803,"SALIDA"),0)</f>
        <v>0</v>
      </c>
      <c r="I603" s="102">
        <f t="array" ref="I603">IFERROR(INDEX(PRECIOS_COMPLEMENTOS!$C$4:$F$17,MATCH(B603&amp;"_"&amp;C603,PRECIOS_COMPLEMENTOS!$H$4:$H$17,0),IF(OR(G603="S",G603="20cm"),1,IF(OR(G603="M",G603="25cm"),2,IF(OR(G603="L",G603="30cm"),3,IF(OR(G603="XL",G603="35cm"),4,0))))),0)</f>
        <v>0.55</v>
      </c>
      <c r="J603" s="103">
        <f t="shared" si="1"/>
        <v>0</v>
      </c>
      <c r="K603" s="104" t="str">
        <f>IF(H603&lt;0,"ERROR",IF(H603=0,"",IF(H603&lt;CONFIG!$B$4,"CRÍTICO",IF(H603&lt;CONFIG!$B$5,"BAJO","OK"))))</f>
        <v/>
      </c>
    </row>
    <row r="604" ht="15.75" hidden="1" customHeight="1">
      <c r="A604" s="90" t="str">
        <f>IF(CLIENTES!A8="","",CLIENTES!A8)</f>
        <v/>
      </c>
      <c r="B604" s="90" t="s">
        <v>321</v>
      </c>
      <c r="C604" s="91" t="s">
        <v>326</v>
      </c>
      <c r="D604" s="109" t="s">
        <v>353</v>
      </c>
      <c r="E604" s="67" t="str">
        <f>COLORES!A14</f>
        <v>Denim</v>
      </c>
      <c r="F604" s="67" t="str">
        <f>COLORES!B14</f>
        <v>CLARO</v>
      </c>
      <c r="G604" s="90" t="s">
        <v>378</v>
      </c>
      <c r="H604" s="100">
        <f>IFERROR(SUMIFS(MOVIMIENTOS_COMPLEMENTOS!$I$4:$I$803,MOVIMIENTOS_COMPLEMENTOS!$C$4:$C$803,A604,MOVIMIENTOS_COMPLEMENTOS!$D$4:$D$803,B604,MOVIMIENTOS_COMPLEMENTOS!$E$4:$E$803,C604,MOVIMIENTOS_COMPLEMENTOS!$G$4:$G$803,E604,MOVIMIENTOS_COMPLEMENTOS!$H$4:$H$803,G604,MOVIMIENTOS_COMPLEMENTOS!$B$4:$B$803,"INGRESO")+SUMIFS(MOVIMIENTOS_COMPLEMENTOS!$I$4:$I$803,MOVIMIENTOS_COMPLEMENTOS!$C$4:$C$803,A604,MOVIMIENTOS_COMPLEMENTOS!$D$4:$D$803,B604,MOVIMIENTOS_COMPLEMENTOS!$E$4:$E$803,C604,MOVIMIENTOS_COMPLEMENTOS!$G$4:$G$803,E604,MOVIMIENTOS_COMPLEMENTOS!$H$4:$H$803,G604,MOVIMIENTOS_COMPLEMENTOS!$B$4:$B$803,"DE CORTE")-SUMIFS(MOVIMIENTOS_COMPLEMENTOS!$I$4:$I$803,MOVIMIENTOS_COMPLEMENTOS!$C$4:$C$803,A604,MOVIMIENTOS_COMPLEMENTOS!$D$4:$D$803,B604,MOVIMIENTOS_COMPLEMENTOS!$E$4:$E$803,C604,MOVIMIENTOS_COMPLEMENTOS!$G$4:$G$803,E604,MOVIMIENTOS_COMPLEMENTOS!$H$4:$H$803,G604,MOVIMIENTOS_COMPLEMENTOS!$B$4:$B$803,"SALIDA"),0)</f>
        <v>0</v>
      </c>
      <c r="I604" s="102">
        <f t="array" ref="I604">IFERROR(INDEX(PRECIOS_COMPLEMENTOS!$C$4:$F$17,MATCH(B604&amp;"_"&amp;C604,PRECIOS_COMPLEMENTOS!$H$4:$H$17,0),IF(OR(G604="S",G604="20cm"),1,IF(OR(G604="M",G604="25cm"),2,IF(OR(G604="L",G604="30cm"),3,IF(OR(G604="XL",G604="35cm"),4,0))))),0)</f>
        <v>0.4</v>
      </c>
      <c r="J604" s="103">
        <f t="shared" si="1"/>
        <v>0</v>
      </c>
      <c r="K604" s="104" t="str">
        <f>IF(H604&lt;0,"ERROR",IF(H604=0,"",IF(H604&lt;CONFIG!$B$4,"CRÍTICO",IF(H604&lt;CONFIG!$B$5,"BAJO","OK"))))</f>
        <v/>
      </c>
    </row>
    <row r="605" ht="15.75" hidden="1" customHeight="1">
      <c r="A605" s="90" t="str">
        <f>IF(CLIENTES!A8="","",CLIENTES!A8)</f>
        <v/>
      </c>
      <c r="B605" s="90" t="s">
        <v>321</v>
      </c>
      <c r="C605" s="91" t="s">
        <v>326</v>
      </c>
      <c r="D605" s="109" t="s">
        <v>353</v>
      </c>
      <c r="E605" s="67" t="str">
        <f>COLORES!A14</f>
        <v>Denim</v>
      </c>
      <c r="F605" s="67" t="str">
        <f>COLORES!B14</f>
        <v>CLARO</v>
      </c>
      <c r="G605" s="90" t="s">
        <v>376</v>
      </c>
      <c r="H605" s="100">
        <f>IFERROR(SUMIFS(MOVIMIENTOS_COMPLEMENTOS!$I$4:$I$803,MOVIMIENTOS_COMPLEMENTOS!$C$4:$C$803,A605,MOVIMIENTOS_COMPLEMENTOS!$D$4:$D$803,B605,MOVIMIENTOS_COMPLEMENTOS!$E$4:$E$803,C605,MOVIMIENTOS_COMPLEMENTOS!$G$4:$G$803,E605,MOVIMIENTOS_COMPLEMENTOS!$H$4:$H$803,G605,MOVIMIENTOS_COMPLEMENTOS!$B$4:$B$803,"INGRESO")+SUMIFS(MOVIMIENTOS_COMPLEMENTOS!$I$4:$I$803,MOVIMIENTOS_COMPLEMENTOS!$C$4:$C$803,A605,MOVIMIENTOS_COMPLEMENTOS!$D$4:$D$803,B605,MOVIMIENTOS_COMPLEMENTOS!$E$4:$E$803,C605,MOVIMIENTOS_COMPLEMENTOS!$G$4:$G$803,E605,MOVIMIENTOS_COMPLEMENTOS!$H$4:$H$803,G605,MOVIMIENTOS_COMPLEMENTOS!$B$4:$B$803,"DE CORTE")-SUMIFS(MOVIMIENTOS_COMPLEMENTOS!$I$4:$I$803,MOVIMIENTOS_COMPLEMENTOS!$C$4:$C$803,A605,MOVIMIENTOS_COMPLEMENTOS!$D$4:$D$803,B605,MOVIMIENTOS_COMPLEMENTOS!$E$4:$E$803,C605,MOVIMIENTOS_COMPLEMENTOS!$G$4:$G$803,E605,MOVIMIENTOS_COMPLEMENTOS!$H$4:$H$803,G605,MOVIMIENTOS_COMPLEMENTOS!$B$4:$B$803,"SALIDA"),0)</f>
        <v>0</v>
      </c>
      <c r="I605" s="102">
        <f t="array" ref="I605">IFERROR(INDEX(PRECIOS_COMPLEMENTOS!$C$4:$F$17,MATCH(B605&amp;"_"&amp;C605,PRECIOS_COMPLEMENTOS!$H$4:$H$17,0),IF(OR(G605="S",G605="20cm"),1,IF(OR(G605="M",G605="25cm"),2,IF(OR(G605="L",G605="30cm"),3,IF(OR(G605="XL",G605="35cm"),4,0))))),0)</f>
        <v>0.45</v>
      </c>
      <c r="J605" s="103">
        <f t="shared" si="1"/>
        <v>0</v>
      </c>
      <c r="K605" s="104" t="str">
        <f>IF(H605&lt;0,"ERROR",IF(H605=0,"",IF(H605&lt;CONFIG!$B$4,"CRÍTICO",IF(H605&lt;CONFIG!$B$5,"BAJO","OK"))))</f>
        <v/>
      </c>
    </row>
    <row r="606" ht="15.75" hidden="1" customHeight="1">
      <c r="A606" s="90" t="str">
        <f>IF(CLIENTES!A8="","",CLIENTES!A8)</f>
        <v/>
      </c>
      <c r="B606" s="90" t="s">
        <v>321</v>
      </c>
      <c r="C606" s="91" t="s">
        <v>326</v>
      </c>
      <c r="D606" s="109" t="s">
        <v>353</v>
      </c>
      <c r="E606" s="67" t="str">
        <f>COLORES!A14</f>
        <v>Denim</v>
      </c>
      <c r="F606" s="67" t="str">
        <f>COLORES!B14</f>
        <v>CLARO</v>
      </c>
      <c r="G606" s="90" t="s">
        <v>377</v>
      </c>
      <c r="H606" s="100">
        <f>IFERROR(SUMIFS(MOVIMIENTOS_COMPLEMENTOS!$I$4:$I$803,MOVIMIENTOS_COMPLEMENTOS!$C$4:$C$803,A606,MOVIMIENTOS_COMPLEMENTOS!$D$4:$D$803,B606,MOVIMIENTOS_COMPLEMENTOS!$E$4:$E$803,C606,MOVIMIENTOS_COMPLEMENTOS!$G$4:$G$803,E606,MOVIMIENTOS_COMPLEMENTOS!$H$4:$H$803,G606,MOVIMIENTOS_COMPLEMENTOS!$B$4:$B$803,"INGRESO")+SUMIFS(MOVIMIENTOS_COMPLEMENTOS!$I$4:$I$803,MOVIMIENTOS_COMPLEMENTOS!$C$4:$C$803,A606,MOVIMIENTOS_COMPLEMENTOS!$D$4:$D$803,B606,MOVIMIENTOS_COMPLEMENTOS!$E$4:$E$803,C606,MOVIMIENTOS_COMPLEMENTOS!$G$4:$G$803,E606,MOVIMIENTOS_COMPLEMENTOS!$H$4:$H$803,G606,MOVIMIENTOS_COMPLEMENTOS!$B$4:$B$803,"DE CORTE")-SUMIFS(MOVIMIENTOS_COMPLEMENTOS!$I$4:$I$803,MOVIMIENTOS_COMPLEMENTOS!$C$4:$C$803,A606,MOVIMIENTOS_COMPLEMENTOS!$D$4:$D$803,B606,MOVIMIENTOS_COMPLEMENTOS!$E$4:$E$803,C606,MOVIMIENTOS_COMPLEMENTOS!$G$4:$G$803,E606,MOVIMIENTOS_COMPLEMENTOS!$H$4:$H$803,G606,MOVIMIENTOS_COMPLEMENTOS!$B$4:$B$803,"SALIDA"),0)</f>
        <v>0</v>
      </c>
      <c r="I606" s="102">
        <f t="array" ref="I606">IFERROR(INDEX(PRECIOS_COMPLEMENTOS!$C$4:$F$17,MATCH(B606&amp;"_"&amp;C606,PRECIOS_COMPLEMENTOS!$H$4:$H$17,0),IF(OR(G606="S",G606="20cm"),1,IF(OR(G606="M",G606="25cm"),2,IF(OR(G606="L",G606="30cm"),3,IF(OR(G606="XL",G606="35cm"),4,0))))),0)</f>
        <v>0.5</v>
      </c>
      <c r="J606" s="103">
        <f t="shared" si="1"/>
        <v>0</v>
      </c>
      <c r="K606" s="104" t="str">
        <f>IF(H606&lt;0,"ERROR",IF(H606=0,"",IF(H606&lt;CONFIG!$B$4,"CRÍTICO",IF(H606&lt;CONFIG!$B$5,"BAJO","OK"))))</f>
        <v/>
      </c>
    </row>
    <row r="607" ht="15.75" hidden="1" customHeight="1">
      <c r="A607" s="90" t="str">
        <f>IF(CLIENTES!A8="","",CLIENTES!A8)</f>
        <v/>
      </c>
      <c r="B607" s="90" t="s">
        <v>321</v>
      </c>
      <c r="C607" s="91" t="s">
        <v>326</v>
      </c>
      <c r="D607" s="109" t="s">
        <v>353</v>
      </c>
      <c r="E607" s="67" t="str">
        <f>COLORES!A14</f>
        <v>Denim</v>
      </c>
      <c r="F607" s="67" t="str">
        <f>COLORES!B14</f>
        <v>CLARO</v>
      </c>
      <c r="G607" s="90" t="s">
        <v>379</v>
      </c>
      <c r="H607" s="100">
        <f>IFERROR(SUMIFS(MOVIMIENTOS_COMPLEMENTOS!$I$4:$I$803,MOVIMIENTOS_COMPLEMENTOS!$C$4:$C$803,A607,MOVIMIENTOS_COMPLEMENTOS!$D$4:$D$803,B607,MOVIMIENTOS_COMPLEMENTOS!$E$4:$E$803,C607,MOVIMIENTOS_COMPLEMENTOS!$G$4:$G$803,E607,MOVIMIENTOS_COMPLEMENTOS!$H$4:$H$803,G607,MOVIMIENTOS_COMPLEMENTOS!$B$4:$B$803,"INGRESO")+SUMIFS(MOVIMIENTOS_COMPLEMENTOS!$I$4:$I$803,MOVIMIENTOS_COMPLEMENTOS!$C$4:$C$803,A607,MOVIMIENTOS_COMPLEMENTOS!$D$4:$D$803,B607,MOVIMIENTOS_COMPLEMENTOS!$E$4:$E$803,C607,MOVIMIENTOS_COMPLEMENTOS!$G$4:$G$803,E607,MOVIMIENTOS_COMPLEMENTOS!$H$4:$H$803,G607,MOVIMIENTOS_COMPLEMENTOS!$B$4:$B$803,"DE CORTE")-SUMIFS(MOVIMIENTOS_COMPLEMENTOS!$I$4:$I$803,MOVIMIENTOS_COMPLEMENTOS!$C$4:$C$803,A607,MOVIMIENTOS_COMPLEMENTOS!$D$4:$D$803,B607,MOVIMIENTOS_COMPLEMENTOS!$E$4:$E$803,C607,MOVIMIENTOS_COMPLEMENTOS!$G$4:$G$803,E607,MOVIMIENTOS_COMPLEMENTOS!$H$4:$H$803,G607,MOVIMIENTOS_COMPLEMENTOS!$B$4:$B$803,"SALIDA"),0)</f>
        <v>0</v>
      </c>
      <c r="I607" s="102">
        <f t="array" ref="I607">IFERROR(INDEX(PRECIOS_COMPLEMENTOS!$C$4:$F$17,MATCH(B607&amp;"_"&amp;C607,PRECIOS_COMPLEMENTOS!$H$4:$H$17,0),IF(OR(G607="S",G607="20cm"),1,IF(OR(G607="M",G607="25cm"),2,IF(OR(G607="L",G607="30cm"),3,IF(OR(G607="XL",G607="35cm"),4,0))))),0)</f>
        <v>0.55</v>
      </c>
      <c r="J607" s="103">
        <f t="shared" si="1"/>
        <v>0</v>
      </c>
      <c r="K607" s="104" t="str">
        <f>IF(H607&lt;0,"ERROR",IF(H607=0,"",IF(H607&lt;CONFIG!$B$4,"CRÍTICO",IF(H607&lt;CONFIG!$B$5,"BAJO","OK"))))</f>
        <v/>
      </c>
    </row>
    <row r="608" ht="15.75" hidden="1" customHeight="1">
      <c r="A608" s="90" t="str">
        <f>IF(CLIENTES!A8="","",CLIENTES!A8)</f>
        <v/>
      </c>
      <c r="B608" s="90" t="s">
        <v>321</v>
      </c>
      <c r="C608" s="91" t="s">
        <v>326</v>
      </c>
      <c r="D608" s="109" t="s">
        <v>353</v>
      </c>
      <c r="E608" s="67" t="str">
        <f>COLORES!A15</f>
        <v>Plomo</v>
      </c>
      <c r="F608" s="67" t="str">
        <f>COLORES!B15</f>
        <v>OSCURO</v>
      </c>
      <c r="G608" s="90" t="s">
        <v>378</v>
      </c>
      <c r="H608" s="100">
        <f>IFERROR(SUMIFS(MOVIMIENTOS_COMPLEMENTOS!$I$4:$I$803,MOVIMIENTOS_COMPLEMENTOS!$C$4:$C$803,A608,MOVIMIENTOS_COMPLEMENTOS!$D$4:$D$803,B608,MOVIMIENTOS_COMPLEMENTOS!$E$4:$E$803,C608,MOVIMIENTOS_COMPLEMENTOS!$G$4:$G$803,E608,MOVIMIENTOS_COMPLEMENTOS!$H$4:$H$803,G608,MOVIMIENTOS_COMPLEMENTOS!$B$4:$B$803,"INGRESO")+SUMIFS(MOVIMIENTOS_COMPLEMENTOS!$I$4:$I$803,MOVIMIENTOS_COMPLEMENTOS!$C$4:$C$803,A608,MOVIMIENTOS_COMPLEMENTOS!$D$4:$D$803,B608,MOVIMIENTOS_COMPLEMENTOS!$E$4:$E$803,C608,MOVIMIENTOS_COMPLEMENTOS!$G$4:$G$803,E608,MOVIMIENTOS_COMPLEMENTOS!$H$4:$H$803,G608,MOVIMIENTOS_COMPLEMENTOS!$B$4:$B$803,"DE CORTE")-SUMIFS(MOVIMIENTOS_COMPLEMENTOS!$I$4:$I$803,MOVIMIENTOS_COMPLEMENTOS!$C$4:$C$803,A608,MOVIMIENTOS_COMPLEMENTOS!$D$4:$D$803,B608,MOVIMIENTOS_COMPLEMENTOS!$E$4:$E$803,C608,MOVIMIENTOS_COMPLEMENTOS!$G$4:$G$803,E608,MOVIMIENTOS_COMPLEMENTOS!$H$4:$H$803,G608,MOVIMIENTOS_COMPLEMENTOS!$B$4:$B$803,"SALIDA"),0)</f>
        <v>0</v>
      </c>
      <c r="I608" s="102">
        <f t="array" ref="I608">IFERROR(INDEX(PRECIOS_COMPLEMENTOS!$C$4:$F$17,MATCH(B608&amp;"_"&amp;C608,PRECIOS_COMPLEMENTOS!$H$4:$H$17,0),IF(OR(G608="S",G608="20cm"),1,IF(OR(G608="M",G608="25cm"),2,IF(OR(G608="L",G608="30cm"),3,IF(OR(G608="XL",G608="35cm"),4,0))))),0)</f>
        <v>0.4</v>
      </c>
      <c r="J608" s="103">
        <f t="shared" si="1"/>
        <v>0</v>
      </c>
      <c r="K608" s="104" t="str">
        <f>IF(H608&lt;0,"ERROR",IF(H608=0,"",IF(H608&lt;CONFIG!$B$4,"CRÍTICO",IF(H608&lt;CONFIG!$B$5,"BAJO","OK"))))</f>
        <v/>
      </c>
    </row>
    <row r="609" ht="15.75" hidden="1" customHeight="1">
      <c r="A609" s="90" t="str">
        <f>IF(CLIENTES!A8="","",CLIENTES!A8)</f>
        <v/>
      </c>
      <c r="B609" s="90" t="s">
        <v>321</v>
      </c>
      <c r="C609" s="91" t="s">
        <v>326</v>
      </c>
      <c r="D609" s="109" t="s">
        <v>353</v>
      </c>
      <c r="E609" s="67" t="str">
        <f>COLORES!A15</f>
        <v>Plomo</v>
      </c>
      <c r="F609" s="67" t="str">
        <f>COLORES!B15</f>
        <v>OSCURO</v>
      </c>
      <c r="G609" s="90" t="s">
        <v>376</v>
      </c>
      <c r="H609" s="100">
        <f>IFERROR(SUMIFS(MOVIMIENTOS_COMPLEMENTOS!$I$4:$I$803,MOVIMIENTOS_COMPLEMENTOS!$C$4:$C$803,A609,MOVIMIENTOS_COMPLEMENTOS!$D$4:$D$803,B609,MOVIMIENTOS_COMPLEMENTOS!$E$4:$E$803,C609,MOVIMIENTOS_COMPLEMENTOS!$G$4:$G$803,E609,MOVIMIENTOS_COMPLEMENTOS!$H$4:$H$803,G609,MOVIMIENTOS_COMPLEMENTOS!$B$4:$B$803,"INGRESO")+SUMIFS(MOVIMIENTOS_COMPLEMENTOS!$I$4:$I$803,MOVIMIENTOS_COMPLEMENTOS!$C$4:$C$803,A609,MOVIMIENTOS_COMPLEMENTOS!$D$4:$D$803,B609,MOVIMIENTOS_COMPLEMENTOS!$E$4:$E$803,C609,MOVIMIENTOS_COMPLEMENTOS!$G$4:$G$803,E609,MOVIMIENTOS_COMPLEMENTOS!$H$4:$H$803,G609,MOVIMIENTOS_COMPLEMENTOS!$B$4:$B$803,"DE CORTE")-SUMIFS(MOVIMIENTOS_COMPLEMENTOS!$I$4:$I$803,MOVIMIENTOS_COMPLEMENTOS!$C$4:$C$803,A609,MOVIMIENTOS_COMPLEMENTOS!$D$4:$D$803,B609,MOVIMIENTOS_COMPLEMENTOS!$E$4:$E$803,C609,MOVIMIENTOS_COMPLEMENTOS!$G$4:$G$803,E609,MOVIMIENTOS_COMPLEMENTOS!$H$4:$H$803,G609,MOVIMIENTOS_COMPLEMENTOS!$B$4:$B$803,"SALIDA"),0)</f>
        <v>0</v>
      </c>
      <c r="I609" s="102">
        <f t="array" ref="I609">IFERROR(INDEX(PRECIOS_COMPLEMENTOS!$C$4:$F$17,MATCH(B609&amp;"_"&amp;C609,PRECIOS_COMPLEMENTOS!$H$4:$H$17,0),IF(OR(G609="S",G609="20cm"),1,IF(OR(G609="M",G609="25cm"),2,IF(OR(G609="L",G609="30cm"),3,IF(OR(G609="XL",G609="35cm"),4,0))))),0)</f>
        <v>0.45</v>
      </c>
      <c r="J609" s="103">
        <f t="shared" si="1"/>
        <v>0</v>
      </c>
      <c r="K609" s="104" t="str">
        <f>IF(H609&lt;0,"ERROR",IF(H609=0,"",IF(H609&lt;CONFIG!$B$4,"CRÍTICO",IF(H609&lt;CONFIG!$B$5,"BAJO","OK"))))</f>
        <v/>
      </c>
    </row>
    <row r="610" ht="15.75" hidden="1" customHeight="1">
      <c r="A610" s="90" t="str">
        <f>IF(CLIENTES!A8="","",CLIENTES!A8)</f>
        <v/>
      </c>
      <c r="B610" s="90" t="s">
        <v>321</v>
      </c>
      <c r="C610" s="91" t="s">
        <v>326</v>
      </c>
      <c r="D610" s="109" t="s">
        <v>353</v>
      </c>
      <c r="E610" s="67" t="str">
        <f>COLORES!A15</f>
        <v>Plomo</v>
      </c>
      <c r="F610" s="67" t="str">
        <f>COLORES!B15</f>
        <v>OSCURO</v>
      </c>
      <c r="G610" s="90" t="s">
        <v>377</v>
      </c>
      <c r="H610" s="100">
        <f>IFERROR(SUMIFS(MOVIMIENTOS_COMPLEMENTOS!$I$4:$I$803,MOVIMIENTOS_COMPLEMENTOS!$C$4:$C$803,A610,MOVIMIENTOS_COMPLEMENTOS!$D$4:$D$803,B610,MOVIMIENTOS_COMPLEMENTOS!$E$4:$E$803,C610,MOVIMIENTOS_COMPLEMENTOS!$G$4:$G$803,E610,MOVIMIENTOS_COMPLEMENTOS!$H$4:$H$803,G610,MOVIMIENTOS_COMPLEMENTOS!$B$4:$B$803,"INGRESO")+SUMIFS(MOVIMIENTOS_COMPLEMENTOS!$I$4:$I$803,MOVIMIENTOS_COMPLEMENTOS!$C$4:$C$803,A610,MOVIMIENTOS_COMPLEMENTOS!$D$4:$D$803,B610,MOVIMIENTOS_COMPLEMENTOS!$E$4:$E$803,C610,MOVIMIENTOS_COMPLEMENTOS!$G$4:$G$803,E610,MOVIMIENTOS_COMPLEMENTOS!$H$4:$H$803,G610,MOVIMIENTOS_COMPLEMENTOS!$B$4:$B$803,"DE CORTE")-SUMIFS(MOVIMIENTOS_COMPLEMENTOS!$I$4:$I$803,MOVIMIENTOS_COMPLEMENTOS!$C$4:$C$803,A610,MOVIMIENTOS_COMPLEMENTOS!$D$4:$D$803,B610,MOVIMIENTOS_COMPLEMENTOS!$E$4:$E$803,C610,MOVIMIENTOS_COMPLEMENTOS!$G$4:$G$803,E610,MOVIMIENTOS_COMPLEMENTOS!$H$4:$H$803,G610,MOVIMIENTOS_COMPLEMENTOS!$B$4:$B$803,"SALIDA"),0)</f>
        <v>0</v>
      </c>
      <c r="I610" s="102">
        <f t="array" ref="I610">IFERROR(INDEX(PRECIOS_COMPLEMENTOS!$C$4:$F$17,MATCH(B610&amp;"_"&amp;C610,PRECIOS_COMPLEMENTOS!$H$4:$H$17,0),IF(OR(G610="S",G610="20cm"),1,IF(OR(G610="M",G610="25cm"),2,IF(OR(G610="L",G610="30cm"),3,IF(OR(G610="XL",G610="35cm"),4,0))))),0)</f>
        <v>0.5</v>
      </c>
      <c r="J610" s="103">
        <f t="shared" si="1"/>
        <v>0</v>
      </c>
      <c r="K610" s="104" t="str">
        <f>IF(H610&lt;0,"ERROR",IF(H610=0,"",IF(H610&lt;CONFIG!$B$4,"CRÍTICO",IF(H610&lt;CONFIG!$B$5,"BAJO","OK"))))</f>
        <v/>
      </c>
    </row>
    <row r="611" ht="15.75" hidden="1" customHeight="1">
      <c r="A611" s="90" t="str">
        <f>IF(CLIENTES!A8="","",CLIENTES!A8)</f>
        <v/>
      </c>
      <c r="B611" s="90" t="s">
        <v>321</v>
      </c>
      <c r="C611" s="91" t="s">
        <v>326</v>
      </c>
      <c r="D611" s="109" t="s">
        <v>353</v>
      </c>
      <c r="E611" s="67" t="str">
        <f>COLORES!A15</f>
        <v>Plomo</v>
      </c>
      <c r="F611" s="67" t="str">
        <f>COLORES!B15</f>
        <v>OSCURO</v>
      </c>
      <c r="G611" s="90" t="s">
        <v>379</v>
      </c>
      <c r="H611" s="100">
        <f>IFERROR(SUMIFS(MOVIMIENTOS_COMPLEMENTOS!$I$4:$I$803,MOVIMIENTOS_COMPLEMENTOS!$C$4:$C$803,A611,MOVIMIENTOS_COMPLEMENTOS!$D$4:$D$803,B611,MOVIMIENTOS_COMPLEMENTOS!$E$4:$E$803,C611,MOVIMIENTOS_COMPLEMENTOS!$G$4:$G$803,E611,MOVIMIENTOS_COMPLEMENTOS!$H$4:$H$803,G611,MOVIMIENTOS_COMPLEMENTOS!$B$4:$B$803,"INGRESO")+SUMIFS(MOVIMIENTOS_COMPLEMENTOS!$I$4:$I$803,MOVIMIENTOS_COMPLEMENTOS!$C$4:$C$803,A611,MOVIMIENTOS_COMPLEMENTOS!$D$4:$D$803,B611,MOVIMIENTOS_COMPLEMENTOS!$E$4:$E$803,C611,MOVIMIENTOS_COMPLEMENTOS!$G$4:$G$803,E611,MOVIMIENTOS_COMPLEMENTOS!$H$4:$H$803,G611,MOVIMIENTOS_COMPLEMENTOS!$B$4:$B$803,"DE CORTE")-SUMIFS(MOVIMIENTOS_COMPLEMENTOS!$I$4:$I$803,MOVIMIENTOS_COMPLEMENTOS!$C$4:$C$803,A611,MOVIMIENTOS_COMPLEMENTOS!$D$4:$D$803,B611,MOVIMIENTOS_COMPLEMENTOS!$E$4:$E$803,C611,MOVIMIENTOS_COMPLEMENTOS!$G$4:$G$803,E611,MOVIMIENTOS_COMPLEMENTOS!$H$4:$H$803,G611,MOVIMIENTOS_COMPLEMENTOS!$B$4:$B$803,"SALIDA"),0)</f>
        <v>0</v>
      </c>
      <c r="I611" s="102">
        <f t="array" ref="I611">IFERROR(INDEX(PRECIOS_COMPLEMENTOS!$C$4:$F$17,MATCH(B611&amp;"_"&amp;C611,PRECIOS_COMPLEMENTOS!$H$4:$H$17,0),IF(OR(G611="S",G611="20cm"),1,IF(OR(G611="M",G611="25cm"),2,IF(OR(G611="L",G611="30cm"),3,IF(OR(G611="XL",G611="35cm"),4,0))))),0)</f>
        <v>0.55</v>
      </c>
      <c r="J611" s="103">
        <f t="shared" si="1"/>
        <v>0</v>
      </c>
      <c r="K611" s="104" t="str">
        <f>IF(H611&lt;0,"ERROR",IF(H611=0,"",IF(H611&lt;CONFIG!$B$4,"CRÍTICO",IF(H611&lt;CONFIG!$B$5,"BAJO","OK"))))</f>
        <v/>
      </c>
    </row>
    <row r="612" ht="15.75" hidden="1" customHeight="1">
      <c r="A612" s="90" t="str">
        <f>IF(CLIENTES!A8="","",CLIENTES!A8)</f>
        <v/>
      </c>
      <c r="B612" s="90" t="s">
        <v>321</v>
      </c>
      <c r="C612" s="91" t="s">
        <v>326</v>
      </c>
      <c r="D612" s="109" t="s">
        <v>353</v>
      </c>
      <c r="E612" s="67" t="str">
        <f>COLORES!A16</f>
        <v>Topo</v>
      </c>
      <c r="F612" s="67" t="str">
        <f>COLORES!B16</f>
        <v>CLARO</v>
      </c>
      <c r="G612" s="90" t="s">
        <v>378</v>
      </c>
      <c r="H612" s="100">
        <f>IFERROR(SUMIFS(MOVIMIENTOS_COMPLEMENTOS!$I$4:$I$803,MOVIMIENTOS_COMPLEMENTOS!$C$4:$C$803,A612,MOVIMIENTOS_COMPLEMENTOS!$D$4:$D$803,B612,MOVIMIENTOS_COMPLEMENTOS!$E$4:$E$803,C612,MOVIMIENTOS_COMPLEMENTOS!$G$4:$G$803,E612,MOVIMIENTOS_COMPLEMENTOS!$H$4:$H$803,G612,MOVIMIENTOS_COMPLEMENTOS!$B$4:$B$803,"INGRESO")+SUMIFS(MOVIMIENTOS_COMPLEMENTOS!$I$4:$I$803,MOVIMIENTOS_COMPLEMENTOS!$C$4:$C$803,A612,MOVIMIENTOS_COMPLEMENTOS!$D$4:$D$803,B612,MOVIMIENTOS_COMPLEMENTOS!$E$4:$E$803,C612,MOVIMIENTOS_COMPLEMENTOS!$G$4:$G$803,E612,MOVIMIENTOS_COMPLEMENTOS!$H$4:$H$803,G612,MOVIMIENTOS_COMPLEMENTOS!$B$4:$B$803,"DE CORTE")-SUMIFS(MOVIMIENTOS_COMPLEMENTOS!$I$4:$I$803,MOVIMIENTOS_COMPLEMENTOS!$C$4:$C$803,A612,MOVIMIENTOS_COMPLEMENTOS!$D$4:$D$803,B612,MOVIMIENTOS_COMPLEMENTOS!$E$4:$E$803,C612,MOVIMIENTOS_COMPLEMENTOS!$G$4:$G$803,E612,MOVIMIENTOS_COMPLEMENTOS!$H$4:$H$803,G612,MOVIMIENTOS_COMPLEMENTOS!$B$4:$B$803,"SALIDA"),0)</f>
        <v>0</v>
      </c>
      <c r="I612" s="102">
        <f t="array" ref="I612">IFERROR(INDEX(PRECIOS_COMPLEMENTOS!$C$4:$F$17,MATCH(B612&amp;"_"&amp;C612,PRECIOS_COMPLEMENTOS!$H$4:$H$17,0),IF(OR(G612="S",G612="20cm"),1,IF(OR(G612="M",G612="25cm"),2,IF(OR(G612="L",G612="30cm"),3,IF(OR(G612="XL",G612="35cm"),4,0))))),0)</f>
        <v>0.4</v>
      </c>
      <c r="J612" s="103">
        <f t="shared" si="1"/>
        <v>0</v>
      </c>
      <c r="K612" s="104" t="str">
        <f>IF(H612&lt;0,"ERROR",IF(H612=0,"",IF(H612&lt;CONFIG!$B$4,"CRÍTICO",IF(H612&lt;CONFIG!$B$5,"BAJO","OK"))))</f>
        <v/>
      </c>
    </row>
    <row r="613" ht="15.75" hidden="1" customHeight="1">
      <c r="A613" s="90" t="str">
        <f>IF(CLIENTES!A8="","",CLIENTES!A8)</f>
        <v/>
      </c>
      <c r="B613" s="90" t="s">
        <v>321</v>
      </c>
      <c r="C613" s="91" t="s">
        <v>326</v>
      </c>
      <c r="D613" s="109" t="s">
        <v>353</v>
      </c>
      <c r="E613" s="67" t="str">
        <f>COLORES!A16</f>
        <v>Topo</v>
      </c>
      <c r="F613" s="67" t="str">
        <f>COLORES!B16</f>
        <v>CLARO</v>
      </c>
      <c r="G613" s="90" t="s">
        <v>376</v>
      </c>
      <c r="H613" s="100">
        <f>IFERROR(SUMIFS(MOVIMIENTOS_COMPLEMENTOS!$I$4:$I$803,MOVIMIENTOS_COMPLEMENTOS!$C$4:$C$803,A613,MOVIMIENTOS_COMPLEMENTOS!$D$4:$D$803,B613,MOVIMIENTOS_COMPLEMENTOS!$E$4:$E$803,C613,MOVIMIENTOS_COMPLEMENTOS!$G$4:$G$803,E613,MOVIMIENTOS_COMPLEMENTOS!$H$4:$H$803,G613,MOVIMIENTOS_COMPLEMENTOS!$B$4:$B$803,"INGRESO")+SUMIFS(MOVIMIENTOS_COMPLEMENTOS!$I$4:$I$803,MOVIMIENTOS_COMPLEMENTOS!$C$4:$C$803,A613,MOVIMIENTOS_COMPLEMENTOS!$D$4:$D$803,B613,MOVIMIENTOS_COMPLEMENTOS!$E$4:$E$803,C613,MOVIMIENTOS_COMPLEMENTOS!$G$4:$G$803,E613,MOVIMIENTOS_COMPLEMENTOS!$H$4:$H$803,G613,MOVIMIENTOS_COMPLEMENTOS!$B$4:$B$803,"DE CORTE")-SUMIFS(MOVIMIENTOS_COMPLEMENTOS!$I$4:$I$803,MOVIMIENTOS_COMPLEMENTOS!$C$4:$C$803,A613,MOVIMIENTOS_COMPLEMENTOS!$D$4:$D$803,B613,MOVIMIENTOS_COMPLEMENTOS!$E$4:$E$803,C613,MOVIMIENTOS_COMPLEMENTOS!$G$4:$G$803,E613,MOVIMIENTOS_COMPLEMENTOS!$H$4:$H$803,G613,MOVIMIENTOS_COMPLEMENTOS!$B$4:$B$803,"SALIDA"),0)</f>
        <v>0</v>
      </c>
      <c r="I613" s="102">
        <f t="array" ref="I613">IFERROR(INDEX(PRECIOS_COMPLEMENTOS!$C$4:$F$17,MATCH(B613&amp;"_"&amp;C613,PRECIOS_COMPLEMENTOS!$H$4:$H$17,0),IF(OR(G613="S",G613="20cm"),1,IF(OR(G613="M",G613="25cm"),2,IF(OR(G613="L",G613="30cm"),3,IF(OR(G613="XL",G613="35cm"),4,0))))),0)</f>
        <v>0.45</v>
      </c>
      <c r="J613" s="103">
        <f t="shared" si="1"/>
        <v>0</v>
      </c>
      <c r="K613" s="104" t="str">
        <f>IF(H613&lt;0,"ERROR",IF(H613=0,"",IF(H613&lt;CONFIG!$B$4,"CRÍTICO",IF(H613&lt;CONFIG!$B$5,"BAJO","OK"))))</f>
        <v/>
      </c>
    </row>
    <row r="614" ht="15.75" hidden="1" customHeight="1">
      <c r="A614" s="90" t="str">
        <f>IF(CLIENTES!A8="","",CLIENTES!A8)</f>
        <v/>
      </c>
      <c r="B614" s="90" t="s">
        <v>321</v>
      </c>
      <c r="C614" s="91" t="s">
        <v>326</v>
      </c>
      <c r="D614" s="109" t="s">
        <v>353</v>
      </c>
      <c r="E614" s="67" t="str">
        <f>COLORES!A16</f>
        <v>Topo</v>
      </c>
      <c r="F614" s="67" t="str">
        <f>COLORES!B16</f>
        <v>CLARO</v>
      </c>
      <c r="G614" s="90" t="s">
        <v>377</v>
      </c>
      <c r="H614" s="100">
        <f>IFERROR(SUMIFS(MOVIMIENTOS_COMPLEMENTOS!$I$4:$I$803,MOVIMIENTOS_COMPLEMENTOS!$C$4:$C$803,A614,MOVIMIENTOS_COMPLEMENTOS!$D$4:$D$803,B614,MOVIMIENTOS_COMPLEMENTOS!$E$4:$E$803,C614,MOVIMIENTOS_COMPLEMENTOS!$G$4:$G$803,E614,MOVIMIENTOS_COMPLEMENTOS!$H$4:$H$803,G614,MOVIMIENTOS_COMPLEMENTOS!$B$4:$B$803,"INGRESO")+SUMIFS(MOVIMIENTOS_COMPLEMENTOS!$I$4:$I$803,MOVIMIENTOS_COMPLEMENTOS!$C$4:$C$803,A614,MOVIMIENTOS_COMPLEMENTOS!$D$4:$D$803,B614,MOVIMIENTOS_COMPLEMENTOS!$E$4:$E$803,C614,MOVIMIENTOS_COMPLEMENTOS!$G$4:$G$803,E614,MOVIMIENTOS_COMPLEMENTOS!$H$4:$H$803,G614,MOVIMIENTOS_COMPLEMENTOS!$B$4:$B$803,"DE CORTE")-SUMIFS(MOVIMIENTOS_COMPLEMENTOS!$I$4:$I$803,MOVIMIENTOS_COMPLEMENTOS!$C$4:$C$803,A614,MOVIMIENTOS_COMPLEMENTOS!$D$4:$D$803,B614,MOVIMIENTOS_COMPLEMENTOS!$E$4:$E$803,C614,MOVIMIENTOS_COMPLEMENTOS!$G$4:$G$803,E614,MOVIMIENTOS_COMPLEMENTOS!$H$4:$H$803,G614,MOVIMIENTOS_COMPLEMENTOS!$B$4:$B$803,"SALIDA"),0)</f>
        <v>0</v>
      </c>
      <c r="I614" s="102">
        <f t="array" ref="I614">IFERROR(INDEX(PRECIOS_COMPLEMENTOS!$C$4:$F$17,MATCH(B614&amp;"_"&amp;C614,PRECIOS_COMPLEMENTOS!$H$4:$H$17,0),IF(OR(G614="S",G614="20cm"),1,IF(OR(G614="M",G614="25cm"),2,IF(OR(G614="L",G614="30cm"),3,IF(OR(G614="XL",G614="35cm"),4,0))))),0)</f>
        <v>0.5</v>
      </c>
      <c r="J614" s="103">
        <f t="shared" si="1"/>
        <v>0</v>
      </c>
      <c r="K614" s="104" t="str">
        <f>IF(H614&lt;0,"ERROR",IF(H614=0,"",IF(H614&lt;CONFIG!$B$4,"CRÍTICO",IF(H614&lt;CONFIG!$B$5,"BAJO","OK"))))</f>
        <v/>
      </c>
    </row>
    <row r="615" ht="15.75" hidden="1" customHeight="1">
      <c r="A615" s="90" t="str">
        <f>IF(CLIENTES!A8="","",CLIENTES!A8)</f>
        <v/>
      </c>
      <c r="B615" s="90" t="s">
        <v>321</v>
      </c>
      <c r="C615" s="91" t="s">
        <v>326</v>
      </c>
      <c r="D615" s="109" t="s">
        <v>353</v>
      </c>
      <c r="E615" s="67" t="str">
        <f>COLORES!A16</f>
        <v>Topo</v>
      </c>
      <c r="F615" s="67" t="str">
        <f>COLORES!B16</f>
        <v>CLARO</v>
      </c>
      <c r="G615" s="90" t="s">
        <v>379</v>
      </c>
      <c r="H615" s="100">
        <f>IFERROR(SUMIFS(MOVIMIENTOS_COMPLEMENTOS!$I$4:$I$803,MOVIMIENTOS_COMPLEMENTOS!$C$4:$C$803,A615,MOVIMIENTOS_COMPLEMENTOS!$D$4:$D$803,B615,MOVIMIENTOS_COMPLEMENTOS!$E$4:$E$803,C615,MOVIMIENTOS_COMPLEMENTOS!$G$4:$G$803,E615,MOVIMIENTOS_COMPLEMENTOS!$H$4:$H$803,G615,MOVIMIENTOS_COMPLEMENTOS!$B$4:$B$803,"INGRESO")+SUMIFS(MOVIMIENTOS_COMPLEMENTOS!$I$4:$I$803,MOVIMIENTOS_COMPLEMENTOS!$C$4:$C$803,A615,MOVIMIENTOS_COMPLEMENTOS!$D$4:$D$803,B615,MOVIMIENTOS_COMPLEMENTOS!$E$4:$E$803,C615,MOVIMIENTOS_COMPLEMENTOS!$G$4:$G$803,E615,MOVIMIENTOS_COMPLEMENTOS!$H$4:$H$803,G615,MOVIMIENTOS_COMPLEMENTOS!$B$4:$B$803,"DE CORTE")-SUMIFS(MOVIMIENTOS_COMPLEMENTOS!$I$4:$I$803,MOVIMIENTOS_COMPLEMENTOS!$C$4:$C$803,A615,MOVIMIENTOS_COMPLEMENTOS!$D$4:$D$803,B615,MOVIMIENTOS_COMPLEMENTOS!$E$4:$E$803,C615,MOVIMIENTOS_COMPLEMENTOS!$G$4:$G$803,E615,MOVIMIENTOS_COMPLEMENTOS!$H$4:$H$803,G615,MOVIMIENTOS_COMPLEMENTOS!$B$4:$B$803,"SALIDA"),0)</f>
        <v>0</v>
      </c>
      <c r="I615" s="102">
        <f t="array" ref="I615">IFERROR(INDEX(PRECIOS_COMPLEMENTOS!$C$4:$F$17,MATCH(B615&amp;"_"&amp;C615,PRECIOS_COMPLEMENTOS!$H$4:$H$17,0),IF(OR(G615="S",G615="20cm"),1,IF(OR(G615="M",G615="25cm"),2,IF(OR(G615="L",G615="30cm"),3,IF(OR(G615="XL",G615="35cm"),4,0))))),0)</f>
        <v>0.55</v>
      </c>
      <c r="J615" s="103">
        <f t="shared" si="1"/>
        <v>0</v>
      </c>
      <c r="K615" s="104" t="str">
        <f>IF(H615&lt;0,"ERROR",IF(H615=0,"",IF(H615&lt;CONFIG!$B$4,"CRÍTICO",IF(H615&lt;CONFIG!$B$5,"BAJO","OK"))))</f>
        <v/>
      </c>
    </row>
    <row r="616" ht="15.75" hidden="1" customHeight="1">
      <c r="A616" s="90" t="str">
        <f>IF(CLIENTES!A8="","",CLIENTES!A8)</f>
        <v/>
      </c>
      <c r="B616" s="90" t="s">
        <v>321</v>
      </c>
      <c r="C616" s="91" t="s">
        <v>326</v>
      </c>
      <c r="D616" s="109" t="s">
        <v>353</v>
      </c>
      <c r="E616" s="67" t="str">
        <f>COLORES!A17</f>
        <v>Vino</v>
      </c>
      <c r="F616" s="67" t="str">
        <f>COLORES!B17</f>
        <v>OSCURO</v>
      </c>
      <c r="G616" s="90" t="s">
        <v>378</v>
      </c>
      <c r="H616" s="100">
        <f>IFERROR(SUMIFS(MOVIMIENTOS_COMPLEMENTOS!$I$4:$I$803,MOVIMIENTOS_COMPLEMENTOS!$C$4:$C$803,A616,MOVIMIENTOS_COMPLEMENTOS!$D$4:$D$803,B616,MOVIMIENTOS_COMPLEMENTOS!$E$4:$E$803,C616,MOVIMIENTOS_COMPLEMENTOS!$G$4:$G$803,E616,MOVIMIENTOS_COMPLEMENTOS!$H$4:$H$803,G616,MOVIMIENTOS_COMPLEMENTOS!$B$4:$B$803,"INGRESO")+SUMIFS(MOVIMIENTOS_COMPLEMENTOS!$I$4:$I$803,MOVIMIENTOS_COMPLEMENTOS!$C$4:$C$803,A616,MOVIMIENTOS_COMPLEMENTOS!$D$4:$D$803,B616,MOVIMIENTOS_COMPLEMENTOS!$E$4:$E$803,C616,MOVIMIENTOS_COMPLEMENTOS!$G$4:$G$803,E616,MOVIMIENTOS_COMPLEMENTOS!$H$4:$H$803,G616,MOVIMIENTOS_COMPLEMENTOS!$B$4:$B$803,"DE CORTE")-SUMIFS(MOVIMIENTOS_COMPLEMENTOS!$I$4:$I$803,MOVIMIENTOS_COMPLEMENTOS!$C$4:$C$803,A616,MOVIMIENTOS_COMPLEMENTOS!$D$4:$D$803,B616,MOVIMIENTOS_COMPLEMENTOS!$E$4:$E$803,C616,MOVIMIENTOS_COMPLEMENTOS!$G$4:$G$803,E616,MOVIMIENTOS_COMPLEMENTOS!$H$4:$H$803,G616,MOVIMIENTOS_COMPLEMENTOS!$B$4:$B$803,"SALIDA"),0)</f>
        <v>0</v>
      </c>
      <c r="I616" s="102">
        <f t="array" ref="I616">IFERROR(INDEX(PRECIOS_COMPLEMENTOS!$C$4:$F$17,MATCH(B616&amp;"_"&amp;C616,PRECIOS_COMPLEMENTOS!$H$4:$H$17,0),IF(OR(G616="S",G616="20cm"),1,IF(OR(G616="M",G616="25cm"),2,IF(OR(G616="L",G616="30cm"),3,IF(OR(G616="XL",G616="35cm"),4,0))))),0)</f>
        <v>0.4</v>
      </c>
      <c r="J616" s="103">
        <f t="shared" si="1"/>
        <v>0</v>
      </c>
      <c r="K616" s="104" t="str">
        <f>IF(H616&lt;0,"ERROR",IF(H616=0,"",IF(H616&lt;CONFIG!$B$4,"CRÍTICO",IF(H616&lt;CONFIG!$B$5,"BAJO","OK"))))</f>
        <v/>
      </c>
    </row>
    <row r="617" ht="15.75" hidden="1" customHeight="1">
      <c r="A617" s="90" t="str">
        <f>IF(CLIENTES!A8="","",CLIENTES!A8)</f>
        <v/>
      </c>
      <c r="B617" s="90" t="s">
        <v>321</v>
      </c>
      <c r="C617" s="91" t="s">
        <v>326</v>
      </c>
      <c r="D617" s="109" t="s">
        <v>353</v>
      </c>
      <c r="E617" s="67" t="str">
        <f>COLORES!A17</f>
        <v>Vino</v>
      </c>
      <c r="F617" s="67" t="str">
        <f>COLORES!B17</f>
        <v>OSCURO</v>
      </c>
      <c r="G617" s="90" t="s">
        <v>376</v>
      </c>
      <c r="H617" s="100">
        <f>IFERROR(SUMIFS(MOVIMIENTOS_COMPLEMENTOS!$I$4:$I$803,MOVIMIENTOS_COMPLEMENTOS!$C$4:$C$803,A617,MOVIMIENTOS_COMPLEMENTOS!$D$4:$D$803,B617,MOVIMIENTOS_COMPLEMENTOS!$E$4:$E$803,C617,MOVIMIENTOS_COMPLEMENTOS!$G$4:$G$803,E617,MOVIMIENTOS_COMPLEMENTOS!$H$4:$H$803,G617,MOVIMIENTOS_COMPLEMENTOS!$B$4:$B$803,"INGRESO")+SUMIFS(MOVIMIENTOS_COMPLEMENTOS!$I$4:$I$803,MOVIMIENTOS_COMPLEMENTOS!$C$4:$C$803,A617,MOVIMIENTOS_COMPLEMENTOS!$D$4:$D$803,B617,MOVIMIENTOS_COMPLEMENTOS!$E$4:$E$803,C617,MOVIMIENTOS_COMPLEMENTOS!$G$4:$G$803,E617,MOVIMIENTOS_COMPLEMENTOS!$H$4:$H$803,G617,MOVIMIENTOS_COMPLEMENTOS!$B$4:$B$803,"DE CORTE")-SUMIFS(MOVIMIENTOS_COMPLEMENTOS!$I$4:$I$803,MOVIMIENTOS_COMPLEMENTOS!$C$4:$C$803,A617,MOVIMIENTOS_COMPLEMENTOS!$D$4:$D$803,B617,MOVIMIENTOS_COMPLEMENTOS!$E$4:$E$803,C617,MOVIMIENTOS_COMPLEMENTOS!$G$4:$G$803,E617,MOVIMIENTOS_COMPLEMENTOS!$H$4:$H$803,G617,MOVIMIENTOS_COMPLEMENTOS!$B$4:$B$803,"SALIDA"),0)</f>
        <v>0</v>
      </c>
      <c r="I617" s="102">
        <f t="array" ref="I617">IFERROR(INDEX(PRECIOS_COMPLEMENTOS!$C$4:$F$17,MATCH(B617&amp;"_"&amp;C617,PRECIOS_COMPLEMENTOS!$H$4:$H$17,0),IF(OR(G617="S",G617="20cm"),1,IF(OR(G617="M",G617="25cm"),2,IF(OR(G617="L",G617="30cm"),3,IF(OR(G617="XL",G617="35cm"),4,0))))),0)</f>
        <v>0.45</v>
      </c>
      <c r="J617" s="103">
        <f t="shared" si="1"/>
        <v>0</v>
      </c>
      <c r="K617" s="104" t="str">
        <f>IF(H617&lt;0,"ERROR",IF(H617=0,"",IF(H617&lt;CONFIG!$B$4,"CRÍTICO",IF(H617&lt;CONFIG!$B$5,"BAJO","OK"))))</f>
        <v/>
      </c>
    </row>
    <row r="618" ht="15.75" hidden="1" customHeight="1">
      <c r="A618" s="90" t="str">
        <f>IF(CLIENTES!A8="","",CLIENTES!A8)</f>
        <v/>
      </c>
      <c r="B618" s="90" t="s">
        <v>321</v>
      </c>
      <c r="C618" s="91" t="s">
        <v>326</v>
      </c>
      <c r="D618" s="109" t="s">
        <v>353</v>
      </c>
      <c r="E618" s="67" t="str">
        <f>COLORES!A17</f>
        <v>Vino</v>
      </c>
      <c r="F618" s="67" t="str">
        <f>COLORES!B17</f>
        <v>OSCURO</v>
      </c>
      <c r="G618" s="90" t="s">
        <v>377</v>
      </c>
      <c r="H618" s="100">
        <f>IFERROR(SUMIFS(MOVIMIENTOS_COMPLEMENTOS!$I$4:$I$803,MOVIMIENTOS_COMPLEMENTOS!$C$4:$C$803,A618,MOVIMIENTOS_COMPLEMENTOS!$D$4:$D$803,B618,MOVIMIENTOS_COMPLEMENTOS!$E$4:$E$803,C618,MOVIMIENTOS_COMPLEMENTOS!$G$4:$G$803,E618,MOVIMIENTOS_COMPLEMENTOS!$H$4:$H$803,G618,MOVIMIENTOS_COMPLEMENTOS!$B$4:$B$803,"INGRESO")+SUMIFS(MOVIMIENTOS_COMPLEMENTOS!$I$4:$I$803,MOVIMIENTOS_COMPLEMENTOS!$C$4:$C$803,A618,MOVIMIENTOS_COMPLEMENTOS!$D$4:$D$803,B618,MOVIMIENTOS_COMPLEMENTOS!$E$4:$E$803,C618,MOVIMIENTOS_COMPLEMENTOS!$G$4:$G$803,E618,MOVIMIENTOS_COMPLEMENTOS!$H$4:$H$803,G618,MOVIMIENTOS_COMPLEMENTOS!$B$4:$B$803,"DE CORTE")-SUMIFS(MOVIMIENTOS_COMPLEMENTOS!$I$4:$I$803,MOVIMIENTOS_COMPLEMENTOS!$C$4:$C$803,A618,MOVIMIENTOS_COMPLEMENTOS!$D$4:$D$803,B618,MOVIMIENTOS_COMPLEMENTOS!$E$4:$E$803,C618,MOVIMIENTOS_COMPLEMENTOS!$G$4:$G$803,E618,MOVIMIENTOS_COMPLEMENTOS!$H$4:$H$803,G618,MOVIMIENTOS_COMPLEMENTOS!$B$4:$B$803,"SALIDA"),0)</f>
        <v>0</v>
      </c>
      <c r="I618" s="102">
        <f t="array" ref="I618">IFERROR(INDEX(PRECIOS_COMPLEMENTOS!$C$4:$F$17,MATCH(B618&amp;"_"&amp;C618,PRECIOS_COMPLEMENTOS!$H$4:$H$17,0),IF(OR(G618="S",G618="20cm"),1,IF(OR(G618="M",G618="25cm"),2,IF(OR(G618="L",G618="30cm"),3,IF(OR(G618="XL",G618="35cm"),4,0))))),0)</f>
        <v>0.5</v>
      </c>
      <c r="J618" s="103">
        <f t="shared" si="1"/>
        <v>0</v>
      </c>
      <c r="K618" s="104" t="str">
        <f>IF(H618&lt;0,"ERROR",IF(H618=0,"",IF(H618&lt;CONFIG!$B$4,"CRÍTICO",IF(H618&lt;CONFIG!$B$5,"BAJO","OK"))))</f>
        <v/>
      </c>
    </row>
    <row r="619" ht="15.75" hidden="1" customHeight="1">
      <c r="A619" s="90" t="str">
        <f>IF(CLIENTES!A8="","",CLIENTES!A8)</f>
        <v/>
      </c>
      <c r="B619" s="90" t="s">
        <v>321</v>
      </c>
      <c r="C619" s="91" t="s">
        <v>326</v>
      </c>
      <c r="D619" s="109" t="s">
        <v>353</v>
      </c>
      <c r="E619" s="67" t="str">
        <f>COLORES!A17</f>
        <v>Vino</v>
      </c>
      <c r="F619" s="67" t="str">
        <f>COLORES!B17</f>
        <v>OSCURO</v>
      </c>
      <c r="G619" s="90" t="s">
        <v>379</v>
      </c>
      <c r="H619" s="100">
        <f>IFERROR(SUMIFS(MOVIMIENTOS_COMPLEMENTOS!$I$4:$I$803,MOVIMIENTOS_COMPLEMENTOS!$C$4:$C$803,A619,MOVIMIENTOS_COMPLEMENTOS!$D$4:$D$803,B619,MOVIMIENTOS_COMPLEMENTOS!$E$4:$E$803,C619,MOVIMIENTOS_COMPLEMENTOS!$G$4:$G$803,E619,MOVIMIENTOS_COMPLEMENTOS!$H$4:$H$803,G619,MOVIMIENTOS_COMPLEMENTOS!$B$4:$B$803,"INGRESO")+SUMIFS(MOVIMIENTOS_COMPLEMENTOS!$I$4:$I$803,MOVIMIENTOS_COMPLEMENTOS!$C$4:$C$803,A619,MOVIMIENTOS_COMPLEMENTOS!$D$4:$D$803,B619,MOVIMIENTOS_COMPLEMENTOS!$E$4:$E$803,C619,MOVIMIENTOS_COMPLEMENTOS!$G$4:$G$803,E619,MOVIMIENTOS_COMPLEMENTOS!$H$4:$H$803,G619,MOVIMIENTOS_COMPLEMENTOS!$B$4:$B$803,"DE CORTE")-SUMIFS(MOVIMIENTOS_COMPLEMENTOS!$I$4:$I$803,MOVIMIENTOS_COMPLEMENTOS!$C$4:$C$803,A619,MOVIMIENTOS_COMPLEMENTOS!$D$4:$D$803,B619,MOVIMIENTOS_COMPLEMENTOS!$E$4:$E$803,C619,MOVIMIENTOS_COMPLEMENTOS!$G$4:$G$803,E619,MOVIMIENTOS_COMPLEMENTOS!$H$4:$H$803,G619,MOVIMIENTOS_COMPLEMENTOS!$B$4:$B$803,"SALIDA"),0)</f>
        <v>0</v>
      </c>
      <c r="I619" s="102">
        <f t="array" ref="I619">IFERROR(INDEX(PRECIOS_COMPLEMENTOS!$C$4:$F$17,MATCH(B619&amp;"_"&amp;C619,PRECIOS_COMPLEMENTOS!$H$4:$H$17,0),IF(OR(G619="S",G619="20cm"),1,IF(OR(G619="M",G619="25cm"),2,IF(OR(G619="L",G619="30cm"),3,IF(OR(G619="XL",G619="35cm"),4,0))))),0)</f>
        <v>0.55</v>
      </c>
      <c r="J619" s="103">
        <f t="shared" si="1"/>
        <v>0</v>
      </c>
      <c r="K619" s="104" t="str">
        <f>IF(H619&lt;0,"ERROR",IF(H619=0,"",IF(H619&lt;CONFIG!$B$4,"CRÍTICO",IF(H619&lt;CONFIG!$B$5,"BAJO","OK"))))</f>
        <v/>
      </c>
    </row>
    <row r="620" ht="15.75" hidden="1" customHeight="1">
      <c r="A620" s="90" t="str">
        <f>IF(CLIENTES!A8="","",CLIENTES!A8)</f>
        <v/>
      </c>
      <c r="B620" s="90" t="s">
        <v>321</v>
      </c>
      <c r="C620" s="91" t="s">
        <v>326</v>
      </c>
      <c r="D620" s="109" t="s">
        <v>353</v>
      </c>
      <c r="E620" s="67" t="str">
        <f>COLORES!A18</f>
        <v>P. Rosa</v>
      </c>
      <c r="F620" s="67" t="str">
        <f>COLORES!B18</f>
        <v>CLARO</v>
      </c>
      <c r="G620" s="90" t="s">
        <v>378</v>
      </c>
      <c r="H620" s="100">
        <f>IFERROR(SUMIFS(MOVIMIENTOS_COMPLEMENTOS!$I$4:$I$803,MOVIMIENTOS_COMPLEMENTOS!$C$4:$C$803,A620,MOVIMIENTOS_COMPLEMENTOS!$D$4:$D$803,B620,MOVIMIENTOS_COMPLEMENTOS!$E$4:$E$803,C620,MOVIMIENTOS_COMPLEMENTOS!$G$4:$G$803,E620,MOVIMIENTOS_COMPLEMENTOS!$H$4:$H$803,G620,MOVIMIENTOS_COMPLEMENTOS!$B$4:$B$803,"INGRESO")+SUMIFS(MOVIMIENTOS_COMPLEMENTOS!$I$4:$I$803,MOVIMIENTOS_COMPLEMENTOS!$C$4:$C$803,A620,MOVIMIENTOS_COMPLEMENTOS!$D$4:$D$803,B620,MOVIMIENTOS_COMPLEMENTOS!$E$4:$E$803,C620,MOVIMIENTOS_COMPLEMENTOS!$G$4:$G$803,E620,MOVIMIENTOS_COMPLEMENTOS!$H$4:$H$803,G620,MOVIMIENTOS_COMPLEMENTOS!$B$4:$B$803,"DE CORTE")-SUMIFS(MOVIMIENTOS_COMPLEMENTOS!$I$4:$I$803,MOVIMIENTOS_COMPLEMENTOS!$C$4:$C$803,A620,MOVIMIENTOS_COMPLEMENTOS!$D$4:$D$803,B620,MOVIMIENTOS_COMPLEMENTOS!$E$4:$E$803,C620,MOVIMIENTOS_COMPLEMENTOS!$G$4:$G$803,E620,MOVIMIENTOS_COMPLEMENTOS!$H$4:$H$803,G620,MOVIMIENTOS_COMPLEMENTOS!$B$4:$B$803,"SALIDA"),0)</f>
        <v>0</v>
      </c>
      <c r="I620" s="102">
        <f t="array" ref="I620">IFERROR(INDEX(PRECIOS_COMPLEMENTOS!$C$4:$F$17,MATCH(B620&amp;"_"&amp;C620,PRECIOS_COMPLEMENTOS!$H$4:$H$17,0),IF(OR(G620="S",G620="20cm"),1,IF(OR(G620="M",G620="25cm"),2,IF(OR(G620="L",G620="30cm"),3,IF(OR(G620="XL",G620="35cm"),4,0))))),0)</f>
        <v>0.4</v>
      </c>
      <c r="J620" s="103">
        <f t="shared" si="1"/>
        <v>0</v>
      </c>
      <c r="K620" s="104" t="str">
        <f>IF(H620&lt;0,"ERROR",IF(H620=0,"",IF(H620&lt;CONFIG!$B$4,"CRÍTICO",IF(H620&lt;CONFIG!$B$5,"BAJO","OK"))))</f>
        <v/>
      </c>
    </row>
    <row r="621" ht="15.75" hidden="1" customHeight="1">
      <c r="A621" s="90" t="str">
        <f>IF(CLIENTES!A8="","",CLIENTES!A8)</f>
        <v/>
      </c>
      <c r="B621" s="90" t="s">
        <v>321</v>
      </c>
      <c r="C621" s="91" t="s">
        <v>326</v>
      </c>
      <c r="D621" s="109" t="s">
        <v>353</v>
      </c>
      <c r="E621" s="67" t="str">
        <f>COLORES!A18</f>
        <v>P. Rosa</v>
      </c>
      <c r="F621" s="67" t="str">
        <f>COLORES!B18</f>
        <v>CLARO</v>
      </c>
      <c r="G621" s="90" t="s">
        <v>376</v>
      </c>
      <c r="H621" s="100">
        <f>IFERROR(SUMIFS(MOVIMIENTOS_COMPLEMENTOS!$I$4:$I$803,MOVIMIENTOS_COMPLEMENTOS!$C$4:$C$803,A621,MOVIMIENTOS_COMPLEMENTOS!$D$4:$D$803,B621,MOVIMIENTOS_COMPLEMENTOS!$E$4:$E$803,C621,MOVIMIENTOS_COMPLEMENTOS!$G$4:$G$803,E621,MOVIMIENTOS_COMPLEMENTOS!$H$4:$H$803,G621,MOVIMIENTOS_COMPLEMENTOS!$B$4:$B$803,"INGRESO")+SUMIFS(MOVIMIENTOS_COMPLEMENTOS!$I$4:$I$803,MOVIMIENTOS_COMPLEMENTOS!$C$4:$C$803,A621,MOVIMIENTOS_COMPLEMENTOS!$D$4:$D$803,B621,MOVIMIENTOS_COMPLEMENTOS!$E$4:$E$803,C621,MOVIMIENTOS_COMPLEMENTOS!$G$4:$G$803,E621,MOVIMIENTOS_COMPLEMENTOS!$H$4:$H$803,G621,MOVIMIENTOS_COMPLEMENTOS!$B$4:$B$803,"DE CORTE")-SUMIFS(MOVIMIENTOS_COMPLEMENTOS!$I$4:$I$803,MOVIMIENTOS_COMPLEMENTOS!$C$4:$C$803,A621,MOVIMIENTOS_COMPLEMENTOS!$D$4:$D$803,B621,MOVIMIENTOS_COMPLEMENTOS!$E$4:$E$803,C621,MOVIMIENTOS_COMPLEMENTOS!$G$4:$G$803,E621,MOVIMIENTOS_COMPLEMENTOS!$H$4:$H$803,G621,MOVIMIENTOS_COMPLEMENTOS!$B$4:$B$803,"SALIDA"),0)</f>
        <v>0</v>
      </c>
      <c r="I621" s="102">
        <f t="array" ref="I621">IFERROR(INDEX(PRECIOS_COMPLEMENTOS!$C$4:$F$17,MATCH(B621&amp;"_"&amp;C621,PRECIOS_COMPLEMENTOS!$H$4:$H$17,0),IF(OR(G621="S",G621="20cm"),1,IF(OR(G621="M",G621="25cm"),2,IF(OR(G621="L",G621="30cm"),3,IF(OR(G621="XL",G621="35cm"),4,0))))),0)</f>
        <v>0.45</v>
      </c>
      <c r="J621" s="103">
        <f t="shared" si="1"/>
        <v>0</v>
      </c>
      <c r="K621" s="104" t="str">
        <f>IF(H621&lt;0,"ERROR",IF(H621=0,"",IF(H621&lt;CONFIG!$B$4,"CRÍTICO",IF(H621&lt;CONFIG!$B$5,"BAJO","OK"))))</f>
        <v/>
      </c>
    </row>
    <row r="622" ht="15.75" hidden="1" customHeight="1">
      <c r="A622" s="90" t="str">
        <f>IF(CLIENTES!A8="","",CLIENTES!A8)</f>
        <v/>
      </c>
      <c r="B622" s="90" t="s">
        <v>321</v>
      </c>
      <c r="C622" s="91" t="s">
        <v>326</v>
      </c>
      <c r="D622" s="109" t="s">
        <v>353</v>
      </c>
      <c r="E622" s="67" t="str">
        <f>COLORES!A18</f>
        <v>P. Rosa</v>
      </c>
      <c r="F622" s="67" t="str">
        <f>COLORES!B18</f>
        <v>CLARO</v>
      </c>
      <c r="G622" s="90" t="s">
        <v>377</v>
      </c>
      <c r="H622" s="100">
        <f>IFERROR(SUMIFS(MOVIMIENTOS_COMPLEMENTOS!$I$4:$I$803,MOVIMIENTOS_COMPLEMENTOS!$C$4:$C$803,A622,MOVIMIENTOS_COMPLEMENTOS!$D$4:$D$803,B622,MOVIMIENTOS_COMPLEMENTOS!$E$4:$E$803,C622,MOVIMIENTOS_COMPLEMENTOS!$G$4:$G$803,E622,MOVIMIENTOS_COMPLEMENTOS!$H$4:$H$803,G622,MOVIMIENTOS_COMPLEMENTOS!$B$4:$B$803,"INGRESO")+SUMIFS(MOVIMIENTOS_COMPLEMENTOS!$I$4:$I$803,MOVIMIENTOS_COMPLEMENTOS!$C$4:$C$803,A622,MOVIMIENTOS_COMPLEMENTOS!$D$4:$D$803,B622,MOVIMIENTOS_COMPLEMENTOS!$E$4:$E$803,C622,MOVIMIENTOS_COMPLEMENTOS!$G$4:$G$803,E622,MOVIMIENTOS_COMPLEMENTOS!$H$4:$H$803,G622,MOVIMIENTOS_COMPLEMENTOS!$B$4:$B$803,"DE CORTE")-SUMIFS(MOVIMIENTOS_COMPLEMENTOS!$I$4:$I$803,MOVIMIENTOS_COMPLEMENTOS!$C$4:$C$803,A622,MOVIMIENTOS_COMPLEMENTOS!$D$4:$D$803,B622,MOVIMIENTOS_COMPLEMENTOS!$E$4:$E$803,C622,MOVIMIENTOS_COMPLEMENTOS!$G$4:$G$803,E622,MOVIMIENTOS_COMPLEMENTOS!$H$4:$H$803,G622,MOVIMIENTOS_COMPLEMENTOS!$B$4:$B$803,"SALIDA"),0)</f>
        <v>0</v>
      </c>
      <c r="I622" s="102">
        <f t="array" ref="I622">IFERROR(INDEX(PRECIOS_COMPLEMENTOS!$C$4:$F$17,MATCH(B622&amp;"_"&amp;C622,PRECIOS_COMPLEMENTOS!$H$4:$H$17,0),IF(OR(G622="S",G622="20cm"),1,IF(OR(G622="M",G622="25cm"),2,IF(OR(G622="L",G622="30cm"),3,IF(OR(G622="XL",G622="35cm"),4,0))))),0)</f>
        <v>0.5</v>
      </c>
      <c r="J622" s="103">
        <f t="shared" si="1"/>
        <v>0</v>
      </c>
      <c r="K622" s="104" t="str">
        <f>IF(H622&lt;0,"ERROR",IF(H622=0,"",IF(H622&lt;CONFIG!$B$4,"CRÍTICO",IF(H622&lt;CONFIG!$B$5,"BAJO","OK"))))</f>
        <v/>
      </c>
    </row>
    <row r="623" ht="15.75" hidden="1" customHeight="1">
      <c r="A623" s="90" t="str">
        <f>IF(CLIENTES!A8="","",CLIENTES!A8)</f>
        <v/>
      </c>
      <c r="B623" s="90" t="s">
        <v>321</v>
      </c>
      <c r="C623" s="91" t="s">
        <v>326</v>
      </c>
      <c r="D623" s="109" t="s">
        <v>353</v>
      </c>
      <c r="E623" s="67" t="str">
        <f>COLORES!A18</f>
        <v>P. Rosa</v>
      </c>
      <c r="F623" s="67" t="str">
        <f>COLORES!B18</f>
        <v>CLARO</v>
      </c>
      <c r="G623" s="90" t="s">
        <v>379</v>
      </c>
      <c r="H623" s="100">
        <f>IFERROR(SUMIFS(MOVIMIENTOS_COMPLEMENTOS!$I$4:$I$803,MOVIMIENTOS_COMPLEMENTOS!$C$4:$C$803,A623,MOVIMIENTOS_COMPLEMENTOS!$D$4:$D$803,B623,MOVIMIENTOS_COMPLEMENTOS!$E$4:$E$803,C623,MOVIMIENTOS_COMPLEMENTOS!$G$4:$G$803,E623,MOVIMIENTOS_COMPLEMENTOS!$H$4:$H$803,G623,MOVIMIENTOS_COMPLEMENTOS!$B$4:$B$803,"INGRESO")+SUMIFS(MOVIMIENTOS_COMPLEMENTOS!$I$4:$I$803,MOVIMIENTOS_COMPLEMENTOS!$C$4:$C$803,A623,MOVIMIENTOS_COMPLEMENTOS!$D$4:$D$803,B623,MOVIMIENTOS_COMPLEMENTOS!$E$4:$E$803,C623,MOVIMIENTOS_COMPLEMENTOS!$G$4:$G$803,E623,MOVIMIENTOS_COMPLEMENTOS!$H$4:$H$803,G623,MOVIMIENTOS_COMPLEMENTOS!$B$4:$B$803,"DE CORTE")-SUMIFS(MOVIMIENTOS_COMPLEMENTOS!$I$4:$I$803,MOVIMIENTOS_COMPLEMENTOS!$C$4:$C$803,A623,MOVIMIENTOS_COMPLEMENTOS!$D$4:$D$803,B623,MOVIMIENTOS_COMPLEMENTOS!$E$4:$E$803,C623,MOVIMIENTOS_COMPLEMENTOS!$G$4:$G$803,E623,MOVIMIENTOS_COMPLEMENTOS!$H$4:$H$803,G623,MOVIMIENTOS_COMPLEMENTOS!$B$4:$B$803,"SALIDA"),0)</f>
        <v>0</v>
      </c>
      <c r="I623" s="102">
        <f t="array" ref="I623">IFERROR(INDEX(PRECIOS_COMPLEMENTOS!$C$4:$F$17,MATCH(B623&amp;"_"&amp;C623,PRECIOS_COMPLEMENTOS!$H$4:$H$17,0),IF(OR(G623="S",G623="20cm"),1,IF(OR(G623="M",G623="25cm"),2,IF(OR(G623="L",G623="30cm"),3,IF(OR(G623="XL",G623="35cm"),4,0))))),0)</f>
        <v>0.55</v>
      </c>
      <c r="J623" s="103">
        <f t="shared" si="1"/>
        <v>0</v>
      </c>
      <c r="K623" s="104" t="str">
        <f>IF(H623&lt;0,"ERROR",IF(H623=0,"",IF(H623&lt;CONFIG!$B$4,"CRÍTICO",IF(H623&lt;CONFIG!$B$5,"BAJO","OK"))))</f>
        <v/>
      </c>
    </row>
    <row r="624" ht="15.75" hidden="1" customHeight="1">
      <c r="A624" s="90" t="str">
        <f>IF(CLIENTES!A8="","",CLIENTES!A8)</f>
        <v/>
      </c>
      <c r="B624" s="90" t="s">
        <v>321</v>
      </c>
      <c r="C624" s="91" t="s">
        <v>326</v>
      </c>
      <c r="D624" s="109" t="s">
        <v>353</v>
      </c>
      <c r="E624" s="67" t="str">
        <f>COLORES!A19</f>
        <v/>
      </c>
      <c r="F624" s="67" t="str">
        <f>COLORES!B19</f>
        <v/>
      </c>
      <c r="G624" s="90" t="s">
        <v>378</v>
      </c>
      <c r="H624" s="100">
        <f>IFERROR(SUMIFS(MOVIMIENTOS_COMPLEMENTOS!$I$4:$I$803,MOVIMIENTOS_COMPLEMENTOS!$C$4:$C$803,A624,MOVIMIENTOS_COMPLEMENTOS!$D$4:$D$803,B624,MOVIMIENTOS_COMPLEMENTOS!$E$4:$E$803,C624,MOVIMIENTOS_COMPLEMENTOS!$G$4:$G$803,E624,MOVIMIENTOS_COMPLEMENTOS!$H$4:$H$803,G624,MOVIMIENTOS_COMPLEMENTOS!$B$4:$B$803,"INGRESO")+SUMIFS(MOVIMIENTOS_COMPLEMENTOS!$I$4:$I$803,MOVIMIENTOS_COMPLEMENTOS!$C$4:$C$803,A624,MOVIMIENTOS_COMPLEMENTOS!$D$4:$D$803,B624,MOVIMIENTOS_COMPLEMENTOS!$E$4:$E$803,C624,MOVIMIENTOS_COMPLEMENTOS!$G$4:$G$803,E624,MOVIMIENTOS_COMPLEMENTOS!$H$4:$H$803,G624,MOVIMIENTOS_COMPLEMENTOS!$B$4:$B$803,"DE CORTE")-SUMIFS(MOVIMIENTOS_COMPLEMENTOS!$I$4:$I$803,MOVIMIENTOS_COMPLEMENTOS!$C$4:$C$803,A624,MOVIMIENTOS_COMPLEMENTOS!$D$4:$D$803,B624,MOVIMIENTOS_COMPLEMENTOS!$E$4:$E$803,C624,MOVIMIENTOS_COMPLEMENTOS!$G$4:$G$803,E624,MOVIMIENTOS_COMPLEMENTOS!$H$4:$H$803,G624,MOVIMIENTOS_COMPLEMENTOS!$B$4:$B$803,"SALIDA"),0)</f>
        <v>0</v>
      </c>
      <c r="I624" s="102">
        <f t="array" ref="I624">IFERROR(INDEX(PRECIOS_COMPLEMENTOS!$C$4:$F$17,MATCH(B624&amp;"_"&amp;C624,PRECIOS_COMPLEMENTOS!$H$4:$H$17,0),IF(OR(G624="S",G624="20cm"),1,IF(OR(G624="M",G624="25cm"),2,IF(OR(G624="L",G624="30cm"),3,IF(OR(G624="XL",G624="35cm"),4,0))))),0)</f>
        <v>0.4</v>
      </c>
      <c r="J624" s="103">
        <f t="shared" si="1"/>
        <v>0</v>
      </c>
      <c r="K624" s="104" t="str">
        <f>IF(H624&lt;0,"ERROR",IF(H624=0,"",IF(H624&lt;CONFIG!$B$4,"CRÍTICO",IF(H624&lt;CONFIG!$B$5,"BAJO","OK"))))</f>
        <v/>
      </c>
    </row>
    <row r="625" ht="15.75" hidden="1" customHeight="1">
      <c r="A625" s="90" t="str">
        <f>IF(CLIENTES!A8="","",CLIENTES!A8)</f>
        <v/>
      </c>
      <c r="B625" s="90" t="s">
        <v>321</v>
      </c>
      <c r="C625" s="91" t="s">
        <v>326</v>
      </c>
      <c r="D625" s="109" t="s">
        <v>353</v>
      </c>
      <c r="E625" s="67" t="str">
        <f>COLORES!A19</f>
        <v/>
      </c>
      <c r="F625" s="67" t="str">
        <f>COLORES!B19</f>
        <v/>
      </c>
      <c r="G625" s="90" t="s">
        <v>376</v>
      </c>
      <c r="H625" s="100">
        <f>IFERROR(SUMIFS(MOVIMIENTOS_COMPLEMENTOS!$I$4:$I$803,MOVIMIENTOS_COMPLEMENTOS!$C$4:$C$803,A625,MOVIMIENTOS_COMPLEMENTOS!$D$4:$D$803,B625,MOVIMIENTOS_COMPLEMENTOS!$E$4:$E$803,C625,MOVIMIENTOS_COMPLEMENTOS!$G$4:$G$803,E625,MOVIMIENTOS_COMPLEMENTOS!$H$4:$H$803,G625,MOVIMIENTOS_COMPLEMENTOS!$B$4:$B$803,"INGRESO")+SUMIFS(MOVIMIENTOS_COMPLEMENTOS!$I$4:$I$803,MOVIMIENTOS_COMPLEMENTOS!$C$4:$C$803,A625,MOVIMIENTOS_COMPLEMENTOS!$D$4:$D$803,B625,MOVIMIENTOS_COMPLEMENTOS!$E$4:$E$803,C625,MOVIMIENTOS_COMPLEMENTOS!$G$4:$G$803,E625,MOVIMIENTOS_COMPLEMENTOS!$H$4:$H$803,G625,MOVIMIENTOS_COMPLEMENTOS!$B$4:$B$803,"DE CORTE")-SUMIFS(MOVIMIENTOS_COMPLEMENTOS!$I$4:$I$803,MOVIMIENTOS_COMPLEMENTOS!$C$4:$C$803,A625,MOVIMIENTOS_COMPLEMENTOS!$D$4:$D$803,B625,MOVIMIENTOS_COMPLEMENTOS!$E$4:$E$803,C625,MOVIMIENTOS_COMPLEMENTOS!$G$4:$G$803,E625,MOVIMIENTOS_COMPLEMENTOS!$H$4:$H$803,G625,MOVIMIENTOS_COMPLEMENTOS!$B$4:$B$803,"SALIDA"),0)</f>
        <v>0</v>
      </c>
      <c r="I625" s="102">
        <f t="array" ref="I625">IFERROR(INDEX(PRECIOS_COMPLEMENTOS!$C$4:$F$17,MATCH(B625&amp;"_"&amp;C625,PRECIOS_COMPLEMENTOS!$H$4:$H$17,0),IF(OR(G625="S",G625="20cm"),1,IF(OR(G625="M",G625="25cm"),2,IF(OR(G625="L",G625="30cm"),3,IF(OR(G625="XL",G625="35cm"),4,0))))),0)</f>
        <v>0.45</v>
      </c>
      <c r="J625" s="103">
        <f t="shared" si="1"/>
        <v>0</v>
      </c>
      <c r="K625" s="104" t="str">
        <f>IF(H625&lt;0,"ERROR",IF(H625=0,"",IF(H625&lt;CONFIG!$B$4,"CRÍTICO",IF(H625&lt;CONFIG!$B$5,"BAJO","OK"))))</f>
        <v/>
      </c>
    </row>
    <row r="626" ht="15.75" hidden="1" customHeight="1">
      <c r="A626" s="90" t="str">
        <f>IF(CLIENTES!A8="","",CLIENTES!A8)</f>
        <v/>
      </c>
      <c r="B626" s="90" t="s">
        <v>321</v>
      </c>
      <c r="C626" s="91" t="s">
        <v>326</v>
      </c>
      <c r="D626" s="109" t="s">
        <v>353</v>
      </c>
      <c r="E626" s="67" t="str">
        <f>COLORES!A19</f>
        <v/>
      </c>
      <c r="F626" s="67" t="str">
        <f>COLORES!B19</f>
        <v/>
      </c>
      <c r="G626" s="90" t="s">
        <v>377</v>
      </c>
      <c r="H626" s="100">
        <f>IFERROR(SUMIFS(MOVIMIENTOS_COMPLEMENTOS!$I$4:$I$803,MOVIMIENTOS_COMPLEMENTOS!$C$4:$C$803,A626,MOVIMIENTOS_COMPLEMENTOS!$D$4:$D$803,B626,MOVIMIENTOS_COMPLEMENTOS!$E$4:$E$803,C626,MOVIMIENTOS_COMPLEMENTOS!$G$4:$G$803,E626,MOVIMIENTOS_COMPLEMENTOS!$H$4:$H$803,G626,MOVIMIENTOS_COMPLEMENTOS!$B$4:$B$803,"INGRESO")+SUMIFS(MOVIMIENTOS_COMPLEMENTOS!$I$4:$I$803,MOVIMIENTOS_COMPLEMENTOS!$C$4:$C$803,A626,MOVIMIENTOS_COMPLEMENTOS!$D$4:$D$803,B626,MOVIMIENTOS_COMPLEMENTOS!$E$4:$E$803,C626,MOVIMIENTOS_COMPLEMENTOS!$G$4:$G$803,E626,MOVIMIENTOS_COMPLEMENTOS!$H$4:$H$803,G626,MOVIMIENTOS_COMPLEMENTOS!$B$4:$B$803,"DE CORTE")-SUMIFS(MOVIMIENTOS_COMPLEMENTOS!$I$4:$I$803,MOVIMIENTOS_COMPLEMENTOS!$C$4:$C$803,A626,MOVIMIENTOS_COMPLEMENTOS!$D$4:$D$803,B626,MOVIMIENTOS_COMPLEMENTOS!$E$4:$E$803,C626,MOVIMIENTOS_COMPLEMENTOS!$G$4:$G$803,E626,MOVIMIENTOS_COMPLEMENTOS!$H$4:$H$803,G626,MOVIMIENTOS_COMPLEMENTOS!$B$4:$B$803,"SALIDA"),0)</f>
        <v>0</v>
      </c>
      <c r="I626" s="102">
        <f t="array" ref="I626">IFERROR(INDEX(PRECIOS_COMPLEMENTOS!$C$4:$F$17,MATCH(B626&amp;"_"&amp;C626,PRECIOS_COMPLEMENTOS!$H$4:$H$17,0),IF(OR(G626="S",G626="20cm"),1,IF(OR(G626="M",G626="25cm"),2,IF(OR(G626="L",G626="30cm"),3,IF(OR(G626="XL",G626="35cm"),4,0))))),0)</f>
        <v>0.5</v>
      </c>
      <c r="J626" s="103">
        <f t="shared" si="1"/>
        <v>0</v>
      </c>
      <c r="K626" s="104" t="str">
        <f>IF(H626&lt;0,"ERROR",IF(H626=0,"",IF(H626&lt;CONFIG!$B$4,"CRÍTICO",IF(H626&lt;CONFIG!$B$5,"BAJO","OK"))))</f>
        <v/>
      </c>
    </row>
    <row r="627" ht="15.75" hidden="1" customHeight="1">
      <c r="A627" s="90" t="str">
        <f>IF(CLIENTES!A8="","",CLIENTES!A8)</f>
        <v/>
      </c>
      <c r="B627" s="90" t="s">
        <v>321</v>
      </c>
      <c r="C627" s="91" t="s">
        <v>326</v>
      </c>
      <c r="D627" s="109" t="s">
        <v>353</v>
      </c>
      <c r="E627" s="67" t="str">
        <f>COLORES!A19</f>
        <v/>
      </c>
      <c r="F627" s="67" t="str">
        <f>COLORES!B19</f>
        <v/>
      </c>
      <c r="G627" s="90" t="s">
        <v>379</v>
      </c>
      <c r="H627" s="100">
        <f>IFERROR(SUMIFS(MOVIMIENTOS_COMPLEMENTOS!$I$4:$I$803,MOVIMIENTOS_COMPLEMENTOS!$C$4:$C$803,A627,MOVIMIENTOS_COMPLEMENTOS!$D$4:$D$803,B627,MOVIMIENTOS_COMPLEMENTOS!$E$4:$E$803,C627,MOVIMIENTOS_COMPLEMENTOS!$G$4:$G$803,E627,MOVIMIENTOS_COMPLEMENTOS!$H$4:$H$803,G627,MOVIMIENTOS_COMPLEMENTOS!$B$4:$B$803,"INGRESO")+SUMIFS(MOVIMIENTOS_COMPLEMENTOS!$I$4:$I$803,MOVIMIENTOS_COMPLEMENTOS!$C$4:$C$803,A627,MOVIMIENTOS_COMPLEMENTOS!$D$4:$D$803,B627,MOVIMIENTOS_COMPLEMENTOS!$E$4:$E$803,C627,MOVIMIENTOS_COMPLEMENTOS!$G$4:$G$803,E627,MOVIMIENTOS_COMPLEMENTOS!$H$4:$H$803,G627,MOVIMIENTOS_COMPLEMENTOS!$B$4:$B$803,"DE CORTE")-SUMIFS(MOVIMIENTOS_COMPLEMENTOS!$I$4:$I$803,MOVIMIENTOS_COMPLEMENTOS!$C$4:$C$803,A627,MOVIMIENTOS_COMPLEMENTOS!$D$4:$D$803,B627,MOVIMIENTOS_COMPLEMENTOS!$E$4:$E$803,C627,MOVIMIENTOS_COMPLEMENTOS!$G$4:$G$803,E627,MOVIMIENTOS_COMPLEMENTOS!$H$4:$H$803,G627,MOVIMIENTOS_COMPLEMENTOS!$B$4:$B$803,"SALIDA"),0)</f>
        <v>0</v>
      </c>
      <c r="I627" s="102">
        <f t="array" ref="I627">IFERROR(INDEX(PRECIOS_COMPLEMENTOS!$C$4:$F$17,MATCH(B627&amp;"_"&amp;C627,PRECIOS_COMPLEMENTOS!$H$4:$H$17,0),IF(OR(G627="S",G627="20cm"),1,IF(OR(G627="M",G627="25cm"),2,IF(OR(G627="L",G627="30cm"),3,IF(OR(G627="XL",G627="35cm"),4,0))))),0)</f>
        <v>0.55</v>
      </c>
      <c r="J627" s="103">
        <f t="shared" si="1"/>
        <v>0</v>
      </c>
      <c r="K627" s="104" t="str">
        <f>IF(H627&lt;0,"ERROR",IF(H627=0,"",IF(H627&lt;CONFIG!$B$4,"CRÍTICO",IF(H627&lt;CONFIG!$B$5,"BAJO","OK"))))</f>
        <v/>
      </c>
    </row>
    <row r="628" ht="15.75" hidden="1" customHeight="1">
      <c r="A628" s="90" t="str">
        <f>IF(CLIENTES!A8="","",CLIENTES!A8)</f>
        <v/>
      </c>
      <c r="B628" s="90" t="s">
        <v>321</v>
      </c>
      <c r="C628" s="91" t="s">
        <v>326</v>
      </c>
      <c r="D628" s="109" t="s">
        <v>353</v>
      </c>
      <c r="E628" s="67" t="str">
        <f>COLORES!A20</f>
        <v/>
      </c>
      <c r="F628" s="67" t="str">
        <f>COLORES!B20</f>
        <v/>
      </c>
      <c r="G628" s="90" t="s">
        <v>378</v>
      </c>
      <c r="H628" s="100">
        <f>IFERROR(SUMIFS(MOVIMIENTOS_COMPLEMENTOS!$I$4:$I$803,MOVIMIENTOS_COMPLEMENTOS!$C$4:$C$803,A628,MOVIMIENTOS_COMPLEMENTOS!$D$4:$D$803,B628,MOVIMIENTOS_COMPLEMENTOS!$E$4:$E$803,C628,MOVIMIENTOS_COMPLEMENTOS!$G$4:$G$803,E628,MOVIMIENTOS_COMPLEMENTOS!$H$4:$H$803,G628,MOVIMIENTOS_COMPLEMENTOS!$B$4:$B$803,"INGRESO")+SUMIFS(MOVIMIENTOS_COMPLEMENTOS!$I$4:$I$803,MOVIMIENTOS_COMPLEMENTOS!$C$4:$C$803,A628,MOVIMIENTOS_COMPLEMENTOS!$D$4:$D$803,B628,MOVIMIENTOS_COMPLEMENTOS!$E$4:$E$803,C628,MOVIMIENTOS_COMPLEMENTOS!$G$4:$G$803,E628,MOVIMIENTOS_COMPLEMENTOS!$H$4:$H$803,G628,MOVIMIENTOS_COMPLEMENTOS!$B$4:$B$803,"DE CORTE")-SUMIFS(MOVIMIENTOS_COMPLEMENTOS!$I$4:$I$803,MOVIMIENTOS_COMPLEMENTOS!$C$4:$C$803,A628,MOVIMIENTOS_COMPLEMENTOS!$D$4:$D$803,B628,MOVIMIENTOS_COMPLEMENTOS!$E$4:$E$803,C628,MOVIMIENTOS_COMPLEMENTOS!$G$4:$G$803,E628,MOVIMIENTOS_COMPLEMENTOS!$H$4:$H$803,G628,MOVIMIENTOS_COMPLEMENTOS!$B$4:$B$803,"SALIDA"),0)</f>
        <v>0</v>
      </c>
      <c r="I628" s="102">
        <f t="array" ref="I628">IFERROR(INDEX(PRECIOS_COMPLEMENTOS!$C$4:$F$17,MATCH(B628&amp;"_"&amp;C628,PRECIOS_COMPLEMENTOS!$H$4:$H$17,0),IF(OR(G628="S",G628="20cm"),1,IF(OR(G628="M",G628="25cm"),2,IF(OR(G628="L",G628="30cm"),3,IF(OR(G628="XL",G628="35cm"),4,0))))),0)</f>
        <v>0.4</v>
      </c>
      <c r="J628" s="103">
        <f t="shared" si="1"/>
        <v>0</v>
      </c>
      <c r="K628" s="104" t="str">
        <f>IF(H628&lt;0,"ERROR",IF(H628=0,"",IF(H628&lt;CONFIG!$B$4,"CRÍTICO",IF(H628&lt;CONFIG!$B$5,"BAJO","OK"))))</f>
        <v/>
      </c>
    </row>
    <row r="629" ht="15.75" hidden="1" customHeight="1">
      <c r="A629" s="90" t="str">
        <f>IF(CLIENTES!A8="","",CLIENTES!A8)</f>
        <v/>
      </c>
      <c r="B629" s="90" t="s">
        <v>321</v>
      </c>
      <c r="C629" s="91" t="s">
        <v>326</v>
      </c>
      <c r="D629" s="109" t="s">
        <v>353</v>
      </c>
      <c r="E629" s="67" t="str">
        <f>COLORES!A20</f>
        <v/>
      </c>
      <c r="F629" s="67" t="str">
        <f>COLORES!B20</f>
        <v/>
      </c>
      <c r="G629" s="90" t="s">
        <v>376</v>
      </c>
      <c r="H629" s="100">
        <f>IFERROR(SUMIFS(MOVIMIENTOS_COMPLEMENTOS!$I$4:$I$803,MOVIMIENTOS_COMPLEMENTOS!$C$4:$C$803,A629,MOVIMIENTOS_COMPLEMENTOS!$D$4:$D$803,B629,MOVIMIENTOS_COMPLEMENTOS!$E$4:$E$803,C629,MOVIMIENTOS_COMPLEMENTOS!$G$4:$G$803,E629,MOVIMIENTOS_COMPLEMENTOS!$H$4:$H$803,G629,MOVIMIENTOS_COMPLEMENTOS!$B$4:$B$803,"INGRESO")+SUMIFS(MOVIMIENTOS_COMPLEMENTOS!$I$4:$I$803,MOVIMIENTOS_COMPLEMENTOS!$C$4:$C$803,A629,MOVIMIENTOS_COMPLEMENTOS!$D$4:$D$803,B629,MOVIMIENTOS_COMPLEMENTOS!$E$4:$E$803,C629,MOVIMIENTOS_COMPLEMENTOS!$G$4:$G$803,E629,MOVIMIENTOS_COMPLEMENTOS!$H$4:$H$803,G629,MOVIMIENTOS_COMPLEMENTOS!$B$4:$B$803,"DE CORTE")-SUMIFS(MOVIMIENTOS_COMPLEMENTOS!$I$4:$I$803,MOVIMIENTOS_COMPLEMENTOS!$C$4:$C$803,A629,MOVIMIENTOS_COMPLEMENTOS!$D$4:$D$803,B629,MOVIMIENTOS_COMPLEMENTOS!$E$4:$E$803,C629,MOVIMIENTOS_COMPLEMENTOS!$G$4:$G$803,E629,MOVIMIENTOS_COMPLEMENTOS!$H$4:$H$803,G629,MOVIMIENTOS_COMPLEMENTOS!$B$4:$B$803,"SALIDA"),0)</f>
        <v>0</v>
      </c>
      <c r="I629" s="102">
        <f t="array" ref="I629">IFERROR(INDEX(PRECIOS_COMPLEMENTOS!$C$4:$F$17,MATCH(B629&amp;"_"&amp;C629,PRECIOS_COMPLEMENTOS!$H$4:$H$17,0),IF(OR(G629="S",G629="20cm"),1,IF(OR(G629="M",G629="25cm"),2,IF(OR(G629="L",G629="30cm"),3,IF(OR(G629="XL",G629="35cm"),4,0))))),0)</f>
        <v>0.45</v>
      </c>
      <c r="J629" s="103">
        <f t="shared" si="1"/>
        <v>0</v>
      </c>
      <c r="K629" s="104" t="str">
        <f>IF(H629&lt;0,"ERROR",IF(H629=0,"",IF(H629&lt;CONFIG!$B$4,"CRÍTICO",IF(H629&lt;CONFIG!$B$5,"BAJO","OK"))))</f>
        <v/>
      </c>
    </row>
    <row r="630" ht="15.75" hidden="1" customHeight="1">
      <c r="A630" s="90" t="str">
        <f>IF(CLIENTES!A8="","",CLIENTES!A8)</f>
        <v/>
      </c>
      <c r="B630" s="90" t="s">
        <v>321</v>
      </c>
      <c r="C630" s="91" t="s">
        <v>326</v>
      </c>
      <c r="D630" s="109" t="s">
        <v>353</v>
      </c>
      <c r="E630" s="67" t="str">
        <f>COLORES!A20</f>
        <v/>
      </c>
      <c r="F630" s="67" t="str">
        <f>COLORES!B20</f>
        <v/>
      </c>
      <c r="G630" s="90" t="s">
        <v>377</v>
      </c>
      <c r="H630" s="100">
        <f>IFERROR(SUMIFS(MOVIMIENTOS_COMPLEMENTOS!$I$4:$I$803,MOVIMIENTOS_COMPLEMENTOS!$C$4:$C$803,A630,MOVIMIENTOS_COMPLEMENTOS!$D$4:$D$803,B630,MOVIMIENTOS_COMPLEMENTOS!$E$4:$E$803,C630,MOVIMIENTOS_COMPLEMENTOS!$G$4:$G$803,E630,MOVIMIENTOS_COMPLEMENTOS!$H$4:$H$803,G630,MOVIMIENTOS_COMPLEMENTOS!$B$4:$B$803,"INGRESO")+SUMIFS(MOVIMIENTOS_COMPLEMENTOS!$I$4:$I$803,MOVIMIENTOS_COMPLEMENTOS!$C$4:$C$803,A630,MOVIMIENTOS_COMPLEMENTOS!$D$4:$D$803,B630,MOVIMIENTOS_COMPLEMENTOS!$E$4:$E$803,C630,MOVIMIENTOS_COMPLEMENTOS!$G$4:$G$803,E630,MOVIMIENTOS_COMPLEMENTOS!$H$4:$H$803,G630,MOVIMIENTOS_COMPLEMENTOS!$B$4:$B$803,"DE CORTE")-SUMIFS(MOVIMIENTOS_COMPLEMENTOS!$I$4:$I$803,MOVIMIENTOS_COMPLEMENTOS!$C$4:$C$803,A630,MOVIMIENTOS_COMPLEMENTOS!$D$4:$D$803,B630,MOVIMIENTOS_COMPLEMENTOS!$E$4:$E$803,C630,MOVIMIENTOS_COMPLEMENTOS!$G$4:$G$803,E630,MOVIMIENTOS_COMPLEMENTOS!$H$4:$H$803,G630,MOVIMIENTOS_COMPLEMENTOS!$B$4:$B$803,"SALIDA"),0)</f>
        <v>0</v>
      </c>
      <c r="I630" s="102">
        <f t="array" ref="I630">IFERROR(INDEX(PRECIOS_COMPLEMENTOS!$C$4:$F$17,MATCH(B630&amp;"_"&amp;C630,PRECIOS_COMPLEMENTOS!$H$4:$H$17,0),IF(OR(G630="S",G630="20cm"),1,IF(OR(G630="M",G630="25cm"),2,IF(OR(G630="L",G630="30cm"),3,IF(OR(G630="XL",G630="35cm"),4,0))))),0)</f>
        <v>0.5</v>
      </c>
      <c r="J630" s="103">
        <f t="shared" si="1"/>
        <v>0</v>
      </c>
      <c r="K630" s="104" t="str">
        <f>IF(H630&lt;0,"ERROR",IF(H630=0,"",IF(H630&lt;CONFIG!$B$4,"CRÍTICO",IF(H630&lt;CONFIG!$B$5,"BAJO","OK"))))</f>
        <v/>
      </c>
    </row>
    <row r="631" ht="15.75" hidden="1" customHeight="1">
      <c r="A631" s="90" t="str">
        <f>IF(CLIENTES!A8="","",CLIENTES!A8)</f>
        <v/>
      </c>
      <c r="B631" s="90" t="s">
        <v>321</v>
      </c>
      <c r="C631" s="91" t="s">
        <v>326</v>
      </c>
      <c r="D631" s="109" t="s">
        <v>353</v>
      </c>
      <c r="E631" s="67" t="str">
        <f>COLORES!A20</f>
        <v/>
      </c>
      <c r="F631" s="67" t="str">
        <f>COLORES!B20</f>
        <v/>
      </c>
      <c r="G631" s="90" t="s">
        <v>379</v>
      </c>
      <c r="H631" s="100">
        <f>IFERROR(SUMIFS(MOVIMIENTOS_COMPLEMENTOS!$I$4:$I$803,MOVIMIENTOS_COMPLEMENTOS!$C$4:$C$803,A631,MOVIMIENTOS_COMPLEMENTOS!$D$4:$D$803,B631,MOVIMIENTOS_COMPLEMENTOS!$E$4:$E$803,C631,MOVIMIENTOS_COMPLEMENTOS!$G$4:$G$803,E631,MOVIMIENTOS_COMPLEMENTOS!$H$4:$H$803,G631,MOVIMIENTOS_COMPLEMENTOS!$B$4:$B$803,"INGRESO")+SUMIFS(MOVIMIENTOS_COMPLEMENTOS!$I$4:$I$803,MOVIMIENTOS_COMPLEMENTOS!$C$4:$C$803,A631,MOVIMIENTOS_COMPLEMENTOS!$D$4:$D$803,B631,MOVIMIENTOS_COMPLEMENTOS!$E$4:$E$803,C631,MOVIMIENTOS_COMPLEMENTOS!$G$4:$G$803,E631,MOVIMIENTOS_COMPLEMENTOS!$H$4:$H$803,G631,MOVIMIENTOS_COMPLEMENTOS!$B$4:$B$803,"DE CORTE")-SUMIFS(MOVIMIENTOS_COMPLEMENTOS!$I$4:$I$803,MOVIMIENTOS_COMPLEMENTOS!$C$4:$C$803,A631,MOVIMIENTOS_COMPLEMENTOS!$D$4:$D$803,B631,MOVIMIENTOS_COMPLEMENTOS!$E$4:$E$803,C631,MOVIMIENTOS_COMPLEMENTOS!$G$4:$G$803,E631,MOVIMIENTOS_COMPLEMENTOS!$H$4:$H$803,G631,MOVIMIENTOS_COMPLEMENTOS!$B$4:$B$803,"SALIDA"),0)</f>
        <v>0</v>
      </c>
      <c r="I631" s="102">
        <f t="array" ref="I631">IFERROR(INDEX(PRECIOS_COMPLEMENTOS!$C$4:$F$17,MATCH(B631&amp;"_"&amp;C631,PRECIOS_COMPLEMENTOS!$H$4:$H$17,0),IF(OR(G631="S",G631="20cm"),1,IF(OR(G631="M",G631="25cm"),2,IF(OR(G631="L",G631="30cm"),3,IF(OR(G631="XL",G631="35cm"),4,0))))),0)</f>
        <v>0.55</v>
      </c>
      <c r="J631" s="103">
        <f t="shared" si="1"/>
        <v>0</v>
      </c>
      <c r="K631" s="104" t="str">
        <f>IF(H631&lt;0,"ERROR",IF(H631=0,"",IF(H631&lt;CONFIG!$B$4,"CRÍTICO",IF(H631&lt;CONFIG!$B$5,"BAJO","OK"))))</f>
        <v/>
      </c>
    </row>
    <row r="632" ht="15.75" hidden="1" customHeight="1">
      <c r="A632" s="90" t="str">
        <f>IF(CLIENTES!A8="","",CLIENTES!A8)</f>
        <v/>
      </c>
      <c r="B632" s="90" t="s">
        <v>321</v>
      </c>
      <c r="C632" s="91" t="s">
        <v>326</v>
      </c>
      <c r="D632" s="109" t="s">
        <v>353</v>
      </c>
      <c r="E632" s="67" t="str">
        <f>COLORES!A21</f>
        <v/>
      </c>
      <c r="F632" s="67" t="str">
        <f>COLORES!B21</f>
        <v/>
      </c>
      <c r="G632" s="90" t="s">
        <v>378</v>
      </c>
      <c r="H632" s="100">
        <f>IFERROR(SUMIFS(MOVIMIENTOS_COMPLEMENTOS!$I$4:$I$803,MOVIMIENTOS_COMPLEMENTOS!$C$4:$C$803,A632,MOVIMIENTOS_COMPLEMENTOS!$D$4:$D$803,B632,MOVIMIENTOS_COMPLEMENTOS!$E$4:$E$803,C632,MOVIMIENTOS_COMPLEMENTOS!$G$4:$G$803,E632,MOVIMIENTOS_COMPLEMENTOS!$H$4:$H$803,G632,MOVIMIENTOS_COMPLEMENTOS!$B$4:$B$803,"INGRESO")+SUMIFS(MOVIMIENTOS_COMPLEMENTOS!$I$4:$I$803,MOVIMIENTOS_COMPLEMENTOS!$C$4:$C$803,A632,MOVIMIENTOS_COMPLEMENTOS!$D$4:$D$803,B632,MOVIMIENTOS_COMPLEMENTOS!$E$4:$E$803,C632,MOVIMIENTOS_COMPLEMENTOS!$G$4:$G$803,E632,MOVIMIENTOS_COMPLEMENTOS!$H$4:$H$803,G632,MOVIMIENTOS_COMPLEMENTOS!$B$4:$B$803,"DE CORTE")-SUMIFS(MOVIMIENTOS_COMPLEMENTOS!$I$4:$I$803,MOVIMIENTOS_COMPLEMENTOS!$C$4:$C$803,A632,MOVIMIENTOS_COMPLEMENTOS!$D$4:$D$803,B632,MOVIMIENTOS_COMPLEMENTOS!$E$4:$E$803,C632,MOVIMIENTOS_COMPLEMENTOS!$G$4:$G$803,E632,MOVIMIENTOS_COMPLEMENTOS!$H$4:$H$803,G632,MOVIMIENTOS_COMPLEMENTOS!$B$4:$B$803,"SALIDA"),0)</f>
        <v>0</v>
      </c>
      <c r="I632" s="102">
        <f t="array" ref="I632">IFERROR(INDEX(PRECIOS_COMPLEMENTOS!$C$4:$F$17,MATCH(B632&amp;"_"&amp;C632,PRECIOS_COMPLEMENTOS!$H$4:$H$17,0),IF(OR(G632="S",G632="20cm"),1,IF(OR(G632="M",G632="25cm"),2,IF(OR(G632="L",G632="30cm"),3,IF(OR(G632="XL",G632="35cm"),4,0))))),0)</f>
        <v>0.4</v>
      </c>
      <c r="J632" s="103">
        <f t="shared" si="1"/>
        <v>0</v>
      </c>
      <c r="K632" s="104" t="str">
        <f>IF(H632&lt;0,"ERROR",IF(H632=0,"",IF(H632&lt;CONFIG!$B$4,"CRÍTICO",IF(H632&lt;CONFIG!$B$5,"BAJO","OK"))))</f>
        <v/>
      </c>
    </row>
    <row r="633" ht="15.75" hidden="1" customHeight="1">
      <c r="A633" s="90" t="str">
        <f>IF(CLIENTES!A8="","",CLIENTES!A8)</f>
        <v/>
      </c>
      <c r="B633" s="90" t="s">
        <v>321</v>
      </c>
      <c r="C633" s="91" t="s">
        <v>326</v>
      </c>
      <c r="D633" s="109" t="s">
        <v>353</v>
      </c>
      <c r="E633" s="67" t="str">
        <f>COLORES!A21</f>
        <v/>
      </c>
      <c r="F633" s="67" t="str">
        <f>COLORES!B21</f>
        <v/>
      </c>
      <c r="G633" s="90" t="s">
        <v>376</v>
      </c>
      <c r="H633" s="100">
        <f>IFERROR(SUMIFS(MOVIMIENTOS_COMPLEMENTOS!$I$4:$I$803,MOVIMIENTOS_COMPLEMENTOS!$C$4:$C$803,A633,MOVIMIENTOS_COMPLEMENTOS!$D$4:$D$803,B633,MOVIMIENTOS_COMPLEMENTOS!$E$4:$E$803,C633,MOVIMIENTOS_COMPLEMENTOS!$G$4:$G$803,E633,MOVIMIENTOS_COMPLEMENTOS!$H$4:$H$803,G633,MOVIMIENTOS_COMPLEMENTOS!$B$4:$B$803,"INGRESO")+SUMIFS(MOVIMIENTOS_COMPLEMENTOS!$I$4:$I$803,MOVIMIENTOS_COMPLEMENTOS!$C$4:$C$803,A633,MOVIMIENTOS_COMPLEMENTOS!$D$4:$D$803,B633,MOVIMIENTOS_COMPLEMENTOS!$E$4:$E$803,C633,MOVIMIENTOS_COMPLEMENTOS!$G$4:$G$803,E633,MOVIMIENTOS_COMPLEMENTOS!$H$4:$H$803,G633,MOVIMIENTOS_COMPLEMENTOS!$B$4:$B$803,"DE CORTE")-SUMIFS(MOVIMIENTOS_COMPLEMENTOS!$I$4:$I$803,MOVIMIENTOS_COMPLEMENTOS!$C$4:$C$803,A633,MOVIMIENTOS_COMPLEMENTOS!$D$4:$D$803,B633,MOVIMIENTOS_COMPLEMENTOS!$E$4:$E$803,C633,MOVIMIENTOS_COMPLEMENTOS!$G$4:$G$803,E633,MOVIMIENTOS_COMPLEMENTOS!$H$4:$H$803,G633,MOVIMIENTOS_COMPLEMENTOS!$B$4:$B$803,"SALIDA"),0)</f>
        <v>0</v>
      </c>
      <c r="I633" s="102">
        <f t="array" ref="I633">IFERROR(INDEX(PRECIOS_COMPLEMENTOS!$C$4:$F$17,MATCH(B633&amp;"_"&amp;C633,PRECIOS_COMPLEMENTOS!$H$4:$H$17,0),IF(OR(G633="S",G633="20cm"),1,IF(OR(G633="M",G633="25cm"),2,IF(OR(G633="L",G633="30cm"),3,IF(OR(G633="XL",G633="35cm"),4,0))))),0)</f>
        <v>0.45</v>
      </c>
      <c r="J633" s="103">
        <f t="shared" si="1"/>
        <v>0</v>
      </c>
      <c r="K633" s="104" t="str">
        <f>IF(H633&lt;0,"ERROR",IF(H633=0,"",IF(H633&lt;CONFIG!$B$4,"CRÍTICO",IF(H633&lt;CONFIG!$B$5,"BAJO","OK"))))</f>
        <v/>
      </c>
    </row>
    <row r="634" ht="15.75" hidden="1" customHeight="1">
      <c r="A634" s="90" t="str">
        <f>IF(CLIENTES!A8="","",CLIENTES!A8)</f>
        <v/>
      </c>
      <c r="B634" s="90" t="s">
        <v>321</v>
      </c>
      <c r="C634" s="91" t="s">
        <v>326</v>
      </c>
      <c r="D634" s="109" t="s">
        <v>353</v>
      </c>
      <c r="E634" s="67" t="str">
        <f>COLORES!A21</f>
        <v/>
      </c>
      <c r="F634" s="67" t="str">
        <f>COLORES!B21</f>
        <v/>
      </c>
      <c r="G634" s="90" t="s">
        <v>377</v>
      </c>
      <c r="H634" s="100">
        <f>IFERROR(SUMIFS(MOVIMIENTOS_COMPLEMENTOS!$I$4:$I$803,MOVIMIENTOS_COMPLEMENTOS!$C$4:$C$803,A634,MOVIMIENTOS_COMPLEMENTOS!$D$4:$D$803,B634,MOVIMIENTOS_COMPLEMENTOS!$E$4:$E$803,C634,MOVIMIENTOS_COMPLEMENTOS!$G$4:$G$803,E634,MOVIMIENTOS_COMPLEMENTOS!$H$4:$H$803,G634,MOVIMIENTOS_COMPLEMENTOS!$B$4:$B$803,"INGRESO")+SUMIFS(MOVIMIENTOS_COMPLEMENTOS!$I$4:$I$803,MOVIMIENTOS_COMPLEMENTOS!$C$4:$C$803,A634,MOVIMIENTOS_COMPLEMENTOS!$D$4:$D$803,B634,MOVIMIENTOS_COMPLEMENTOS!$E$4:$E$803,C634,MOVIMIENTOS_COMPLEMENTOS!$G$4:$G$803,E634,MOVIMIENTOS_COMPLEMENTOS!$H$4:$H$803,G634,MOVIMIENTOS_COMPLEMENTOS!$B$4:$B$803,"DE CORTE")-SUMIFS(MOVIMIENTOS_COMPLEMENTOS!$I$4:$I$803,MOVIMIENTOS_COMPLEMENTOS!$C$4:$C$803,A634,MOVIMIENTOS_COMPLEMENTOS!$D$4:$D$803,B634,MOVIMIENTOS_COMPLEMENTOS!$E$4:$E$803,C634,MOVIMIENTOS_COMPLEMENTOS!$G$4:$G$803,E634,MOVIMIENTOS_COMPLEMENTOS!$H$4:$H$803,G634,MOVIMIENTOS_COMPLEMENTOS!$B$4:$B$803,"SALIDA"),0)</f>
        <v>0</v>
      </c>
      <c r="I634" s="102">
        <f t="array" ref="I634">IFERROR(INDEX(PRECIOS_COMPLEMENTOS!$C$4:$F$17,MATCH(B634&amp;"_"&amp;C634,PRECIOS_COMPLEMENTOS!$H$4:$H$17,0),IF(OR(G634="S",G634="20cm"),1,IF(OR(G634="M",G634="25cm"),2,IF(OR(G634="L",G634="30cm"),3,IF(OR(G634="XL",G634="35cm"),4,0))))),0)</f>
        <v>0.5</v>
      </c>
      <c r="J634" s="103">
        <f t="shared" si="1"/>
        <v>0</v>
      </c>
      <c r="K634" s="104" t="str">
        <f>IF(H634&lt;0,"ERROR",IF(H634=0,"",IF(H634&lt;CONFIG!$B$4,"CRÍTICO",IF(H634&lt;CONFIG!$B$5,"BAJO","OK"))))</f>
        <v/>
      </c>
    </row>
    <row r="635" ht="15.75" hidden="1" customHeight="1">
      <c r="A635" s="90" t="str">
        <f>IF(CLIENTES!A8="","",CLIENTES!A8)</f>
        <v/>
      </c>
      <c r="B635" s="90" t="s">
        <v>321</v>
      </c>
      <c r="C635" s="91" t="s">
        <v>326</v>
      </c>
      <c r="D635" s="109" t="s">
        <v>353</v>
      </c>
      <c r="E635" s="67" t="str">
        <f>COLORES!A21</f>
        <v/>
      </c>
      <c r="F635" s="67" t="str">
        <f>COLORES!B21</f>
        <v/>
      </c>
      <c r="G635" s="90" t="s">
        <v>379</v>
      </c>
      <c r="H635" s="100">
        <f>IFERROR(SUMIFS(MOVIMIENTOS_COMPLEMENTOS!$I$4:$I$803,MOVIMIENTOS_COMPLEMENTOS!$C$4:$C$803,A635,MOVIMIENTOS_COMPLEMENTOS!$D$4:$D$803,B635,MOVIMIENTOS_COMPLEMENTOS!$E$4:$E$803,C635,MOVIMIENTOS_COMPLEMENTOS!$G$4:$G$803,E635,MOVIMIENTOS_COMPLEMENTOS!$H$4:$H$803,G635,MOVIMIENTOS_COMPLEMENTOS!$B$4:$B$803,"INGRESO")+SUMIFS(MOVIMIENTOS_COMPLEMENTOS!$I$4:$I$803,MOVIMIENTOS_COMPLEMENTOS!$C$4:$C$803,A635,MOVIMIENTOS_COMPLEMENTOS!$D$4:$D$803,B635,MOVIMIENTOS_COMPLEMENTOS!$E$4:$E$803,C635,MOVIMIENTOS_COMPLEMENTOS!$G$4:$G$803,E635,MOVIMIENTOS_COMPLEMENTOS!$H$4:$H$803,G635,MOVIMIENTOS_COMPLEMENTOS!$B$4:$B$803,"DE CORTE")-SUMIFS(MOVIMIENTOS_COMPLEMENTOS!$I$4:$I$803,MOVIMIENTOS_COMPLEMENTOS!$C$4:$C$803,A635,MOVIMIENTOS_COMPLEMENTOS!$D$4:$D$803,B635,MOVIMIENTOS_COMPLEMENTOS!$E$4:$E$803,C635,MOVIMIENTOS_COMPLEMENTOS!$G$4:$G$803,E635,MOVIMIENTOS_COMPLEMENTOS!$H$4:$H$803,G635,MOVIMIENTOS_COMPLEMENTOS!$B$4:$B$803,"SALIDA"),0)</f>
        <v>0</v>
      </c>
      <c r="I635" s="102">
        <f t="array" ref="I635">IFERROR(INDEX(PRECIOS_COMPLEMENTOS!$C$4:$F$17,MATCH(B635&amp;"_"&amp;C635,PRECIOS_COMPLEMENTOS!$H$4:$H$17,0),IF(OR(G635="S",G635="20cm"),1,IF(OR(G635="M",G635="25cm"),2,IF(OR(G635="L",G635="30cm"),3,IF(OR(G635="XL",G635="35cm"),4,0))))),0)</f>
        <v>0.55</v>
      </c>
      <c r="J635" s="103">
        <f t="shared" si="1"/>
        <v>0</v>
      </c>
      <c r="K635" s="104" t="str">
        <f>IF(H635&lt;0,"ERROR",IF(H635=0,"",IF(H635&lt;CONFIG!$B$4,"CRÍTICO",IF(H635&lt;CONFIG!$B$5,"BAJO","OK"))))</f>
        <v/>
      </c>
    </row>
    <row r="636" ht="15.75" hidden="1" customHeight="1">
      <c r="A636" s="90" t="str">
        <f>IF(CLIENTES!A8="","",CLIENTES!A8)</f>
        <v/>
      </c>
      <c r="B636" s="90" t="s">
        <v>321</v>
      </c>
      <c r="C636" s="91" t="s">
        <v>326</v>
      </c>
      <c r="D636" s="109" t="s">
        <v>353</v>
      </c>
      <c r="E636" s="67" t="str">
        <f>COLORES!A22</f>
        <v/>
      </c>
      <c r="F636" s="67" t="str">
        <f>COLORES!B22</f>
        <v/>
      </c>
      <c r="G636" s="90" t="s">
        <v>378</v>
      </c>
      <c r="H636" s="100">
        <f>IFERROR(SUMIFS(MOVIMIENTOS_COMPLEMENTOS!$I$4:$I$803,MOVIMIENTOS_COMPLEMENTOS!$C$4:$C$803,A636,MOVIMIENTOS_COMPLEMENTOS!$D$4:$D$803,B636,MOVIMIENTOS_COMPLEMENTOS!$E$4:$E$803,C636,MOVIMIENTOS_COMPLEMENTOS!$G$4:$G$803,E636,MOVIMIENTOS_COMPLEMENTOS!$H$4:$H$803,G636,MOVIMIENTOS_COMPLEMENTOS!$B$4:$B$803,"INGRESO")+SUMIFS(MOVIMIENTOS_COMPLEMENTOS!$I$4:$I$803,MOVIMIENTOS_COMPLEMENTOS!$C$4:$C$803,A636,MOVIMIENTOS_COMPLEMENTOS!$D$4:$D$803,B636,MOVIMIENTOS_COMPLEMENTOS!$E$4:$E$803,C636,MOVIMIENTOS_COMPLEMENTOS!$G$4:$G$803,E636,MOVIMIENTOS_COMPLEMENTOS!$H$4:$H$803,G636,MOVIMIENTOS_COMPLEMENTOS!$B$4:$B$803,"DE CORTE")-SUMIFS(MOVIMIENTOS_COMPLEMENTOS!$I$4:$I$803,MOVIMIENTOS_COMPLEMENTOS!$C$4:$C$803,A636,MOVIMIENTOS_COMPLEMENTOS!$D$4:$D$803,B636,MOVIMIENTOS_COMPLEMENTOS!$E$4:$E$803,C636,MOVIMIENTOS_COMPLEMENTOS!$G$4:$G$803,E636,MOVIMIENTOS_COMPLEMENTOS!$H$4:$H$803,G636,MOVIMIENTOS_COMPLEMENTOS!$B$4:$B$803,"SALIDA"),0)</f>
        <v>0</v>
      </c>
      <c r="I636" s="102">
        <f t="array" ref="I636">IFERROR(INDEX(PRECIOS_COMPLEMENTOS!$C$4:$F$17,MATCH(B636&amp;"_"&amp;C636,PRECIOS_COMPLEMENTOS!$H$4:$H$17,0),IF(OR(G636="S",G636="20cm"),1,IF(OR(G636="M",G636="25cm"),2,IF(OR(G636="L",G636="30cm"),3,IF(OR(G636="XL",G636="35cm"),4,0))))),0)</f>
        <v>0.4</v>
      </c>
      <c r="J636" s="103">
        <f t="shared" si="1"/>
        <v>0</v>
      </c>
      <c r="K636" s="104" t="str">
        <f>IF(H636&lt;0,"ERROR",IF(H636=0,"",IF(H636&lt;CONFIG!$B$4,"CRÍTICO",IF(H636&lt;CONFIG!$B$5,"BAJO","OK"))))</f>
        <v/>
      </c>
    </row>
    <row r="637" ht="15.75" hidden="1" customHeight="1">
      <c r="A637" s="90" t="str">
        <f>IF(CLIENTES!A8="","",CLIENTES!A8)</f>
        <v/>
      </c>
      <c r="B637" s="90" t="s">
        <v>321</v>
      </c>
      <c r="C637" s="91" t="s">
        <v>326</v>
      </c>
      <c r="D637" s="109" t="s">
        <v>353</v>
      </c>
      <c r="E637" s="67" t="str">
        <f>COLORES!A22</f>
        <v/>
      </c>
      <c r="F637" s="67" t="str">
        <f>COLORES!B22</f>
        <v/>
      </c>
      <c r="G637" s="90" t="s">
        <v>376</v>
      </c>
      <c r="H637" s="100">
        <f>IFERROR(SUMIFS(MOVIMIENTOS_COMPLEMENTOS!$I$4:$I$803,MOVIMIENTOS_COMPLEMENTOS!$C$4:$C$803,A637,MOVIMIENTOS_COMPLEMENTOS!$D$4:$D$803,B637,MOVIMIENTOS_COMPLEMENTOS!$E$4:$E$803,C637,MOVIMIENTOS_COMPLEMENTOS!$G$4:$G$803,E637,MOVIMIENTOS_COMPLEMENTOS!$H$4:$H$803,G637,MOVIMIENTOS_COMPLEMENTOS!$B$4:$B$803,"INGRESO")+SUMIFS(MOVIMIENTOS_COMPLEMENTOS!$I$4:$I$803,MOVIMIENTOS_COMPLEMENTOS!$C$4:$C$803,A637,MOVIMIENTOS_COMPLEMENTOS!$D$4:$D$803,B637,MOVIMIENTOS_COMPLEMENTOS!$E$4:$E$803,C637,MOVIMIENTOS_COMPLEMENTOS!$G$4:$G$803,E637,MOVIMIENTOS_COMPLEMENTOS!$H$4:$H$803,G637,MOVIMIENTOS_COMPLEMENTOS!$B$4:$B$803,"DE CORTE")-SUMIFS(MOVIMIENTOS_COMPLEMENTOS!$I$4:$I$803,MOVIMIENTOS_COMPLEMENTOS!$C$4:$C$803,A637,MOVIMIENTOS_COMPLEMENTOS!$D$4:$D$803,B637,MOVIMIENTOS_COMPLEMENTOS!$E$4:$E$803,C637,MOVIMIENTOS_COMPLEMENTOS!$G$4:$G$803,E637,MOVIMIENTOS_COMPLEMENTOS!$H$4:$H$803,G637,MOVIMIENTOS_COMPLEMENTOS!$B$4:$B$803,"SALIDA"),0)</f>
        <v>0</v>
      </c>
      <c r="I637" s="102">
        <f t="array" ref="I637">IFERROR(INDEX(PRECIOS_COMPLEMENTOS!$C$4:$F$17,MATCH(B637&amp;"_"&amp;C637,PRECIOS_COMPLEMENTOS!$H$4:$H$17,0),IF(OR(G637="S",G637="20cm"),1,IF(OR(G637="M",G637="25cm"),2,IF(OR(G637="L",G637="30cm"),3,IF(OR(G637="XL",G637="35cm"),4,0))))),0)</f>
        <v>0.45</v>
      </c>
      <c r="J637" s="103">
        <f t="shared" si="1"/>
        <v>0</v>
      </c>
      <c r="K637" s="104" t="str">
        <f>IF(H637&lt;0,"ERROR",IF(H637=0,"",IF(H637&lt;CONFIG!$B$4,"CRÍTICO",IF(H637&lt;CONFIG!$B$5,"BAJO","OK"))))</f>
        <v/>
      </c>
    </row>
    <row r="638" ht="15.75" hidden="1" customHeight="1">
      <c r="A638" s="90" t="str">
        <f>IF(CLIENTES!A8="","",CLIENTES!A8)</f>
        <v/>
      </c>
      <c r="B638" s="90" t="s">
        <v>321</v>
      </c>
      <c r="C638" s="91" t="s">
        <v>326</v>
      </c>
      <c r="D638" s="109" t="s">
        <v>353</v>
      </c>
      <c r="E638" s="67" t="str">
        <f>COLORES!A22</f>
        <v/>
      </c>
      <c r="F638" s="67" t="str">
        <f>COLORES!B22</f>
        <v/>
      </c>
      <c r="G638" s="90" t="s">
        <v>377</v>
      </c>
      <c r="H638" s="100">
        <f>IFERROR(SUMIFS(MOVIMIENTOS_COMPLEMENTOS!$I$4:$I$803,MOVIMIENTOS_COMPLEMENTOS!$C$4:$C$803,A638,MOVIMIENTOS_COMPLEMENTOS!$D$4:$D$803,B638,MOVIMIENTOS_COMPLEMENTOS!$E$4:$E$803,C638,MOVIMIENTOS_COMPLEMENTOS!$G$4:$G$803,E638,MOVIMIENTOS_COMPLEMENTOS!$H$4:$H$803,G638,MOVIMIENTOS_COMPLEMENTOS!$B$4:$B$803,"INGRESO")+SUMIFS(MOVIMIENTOS_COMPLEMENTOS!$I$4:$I$803,MOVIMIENTOS_COMPLEMENTOS!$C$4:$C$803,A638,MOVIMIENTOS_COMPLEMENTOS!$D$4:$D$803,B638,MOVIMIENTOS_COMPLEMENTOS!$E$4:$E$803,C638,MOVIMIENTOS_COMPLEMENTOS!$G$4:$G$803,E638,MOVIMIENTOS_COMPLEMENTOS!$H$4:$H$803,G638,MOVIMIENTOS_COMPLEMENTOS!$B$4:$B$803,"DE CORTE")-SUMIFS(MOVIMIENTOS_COMPLEMENTOS!$I$4:$I$803,MOVIMIENTOS_COMPLEMENTOS!$C$4:$C$803,A638,MOVIMIENTOS_COMPLEMENTOS!$D$4:$D$803,B638,MOVIMIENTOS_COMPLEMENTOS!$E$4:$E$803,C638,MOVIMIENTOS_COMPLEMENTOS!$G$4:$G$803,E638,MOVIMIENTOS_COMPLEMENTOS!$H$4:$H$803,G638,MOVIMIENTOS_COMPLEMENTOS!$B$4:$B$803,"SALIDA"),0)</f>
        <v>0</v>
      </c>
      <c r="I638" s="102">
        <f t="array" ref="I638">IFERROR(INDEX(PRECIOS_COMPLEMENTOS!$C$4:$F$17,MATCH(B638&amp;"_"&amp;C638,PRECIOS_COMPLEMENTOS!$H$4:$H$17,0),IF(OR(G638="S",G638="20cm"),1,IF(OR(G638="M",G638="25cm"),2,IF(OR(G638="L",G638="30cm"),3,IF(OR(G638="XL",G638="35cm"),4,0))))),0)</f>
        <v>0.5</v>
      </c>
      <c r="J638" s="103">
        <f t="shared" si="1"/>
        <v>0</v>
      </c>
      <c r="K638" s="104" t="str">
        <f>IF(H638&lt;0,"ERROR",IF(H638=0,"",IF(H638&lt;CONFIG!$B$4,"CRÍTICO",IF(H638&lt;CONFIG!$B$5,"BAJO","OK"))))</f>
        <v/>
      </c>
    </row>
    <row r="639" ht="15.75" hidden="1" customHeight="1">
      <c r="A639" s="90" t="str">
        <f>IF(CLIENTES!A8="","",CLIENTES!A8)</f>
        <v/>
      </c>
      <c r="B639" s="90" t="s">
        <v>321</v>
      </c>
      <c r="C639" s="91" t="s">
        <v>326</v>
      </c>
      <c r="D639" s="109" t="s">
        <v>353</v>
      </c>
      <c r="E639" s="67" t="str">
        <f>COLORES!A22</f>
        <v/>
      </c>
      <c r="F639" s="67" t="str">
        <f>COLORES!B22</f>
        <v/>
      </c>
      <c r="G639" s="90" t="s">
        <v>379</v>
      </c>
      <c r="H639" s="100">
        <f>IFERROR(SUMIFS(MOVIMIENTOS_COMPLEMENTOS!$I$4:$I$803,MOVIMIENTOS_COMPLEMENTOS!$C$4:$C$803,A639,MOVIMIENTOS_COMPLEMENTOS!$D$4:$D$803,B639,MOVIMIENTOS_COMPLEMENTOS!$E$4:$E$803,C639,MOVIMIENTOS_COMPLEMENTOS!$G$4:$G$803,E639,MOVIMIENTOS_COMPLEMENTOS!$H$4:$H$803,G639,MOVIMIENTOS_COMPLEMENTOS!$B$4:$B$803,"INGRESO")+SUMIFS(MOVIMIENTOS_COMPLEMENTOS!$I$4:$I$803,MOVIMIENTOS_COMPLEMENTOS!$C$4:$C$803,A639,MOVIMIENTOS_COMPLEMENTOS!$D$4:$D$803,B639,MOVIMIENTOS_COMPLEMENTOS!$E$4:$E$803,C639,MOVIMIENTOS_COMPLEMENTOS!$G$4:$G$803,E639,MOVIMIENTOS_COMPLEMENTOS!$H$4:$H$803,G639,MOVIMIENTOS_COMPLEMENTOS!$B$4:$B$803,"DE CORTE")-SUMIFS(MOVIMIENTOS_COMPLEMENTOS!$I$4:$I$803,MOVIMIENTOS_COMPLEMENTOS!$C$4:$C$803,A639,MOVIMIENTOS_COMPLEMENTOS!$D$4:$D$803,B639,MOVIMIENTOS_COMPLEMENTOS!$E$4:$E$803,C639,MOVIMIENTOS_COMPLEMENTOS!$G$4:$G$803,E639,MOVIMIENTOS_COMPLEMENTOS!$H$4:$H$803,G639,MOVIMIENTOS_COMPLEMENTOS!$B$4:$B$803,"SALIDA"),0)</f>
        <v>0</v>
      </c>
      <c r="I639" s="102">
        <f t="array" ref="I639">IFERROR(INDEX(PRECIOS_COMPLEMENTOS!$C$4:$F$17,MATCH(B639&amp;"_"&amp;C639,PRECIOS_COMPLEMENTOS!$H$4:$H$17,0),IF(OR(G639="S",G639="20cm"),1,IF(OR(G639="M",G639="25cm"),2,IF(OR(G639="L",G639="30cm"),3,IF(OR(G639="XL",G639="35cm"),4,0))))),0)</f>
        <v>0.55</v>
      </c>
      <c r="J639" s="103">
        <f t="shared" si="1"/>
        <v>0</v>
      </c>
      <c r="K639" s="104" t="str">
        <f>IF(H639&lt;0,"ERROR",IF(H639=0,"",IF(H639&lt;CONFIG!$B$4,"CRÍTICO",IF(H639&lt;CONFIG!$B$5,"BAJO","OK"))))</f>
        <v/>
      </c>
    </row>
    <row r="640" ht="15.75" hidden="1" customHeight="1">
      <c r="A640" s="90" t="str">
        <f>IF(CLIENTES!A8="","",CLIENTES!A8)</f>
        <v/>
      </c>
      <c r="B640" s="90" t="s">
        <v>321</v>
      </c>
      <c r="C640" s="91" t="s">
        <v>326</v>
      </c>
      <c r="D640" s="109" t="s">
        <v>353</v>
      </c>
      <c r="E640" s="67" t="str">
        <f>COLORES!A23</f>
        <v/>
      </c>
      <c r="F640" s="67" t="str">
        <f>COLORES!B23</f>
        <v/>
      </c>
      <c r="G640" s="90" t="s">
        <v>378</v>
      </c>
      <c r="H640" s="100">
        <f>IFERROR(SUMIFS(MOVIMIENTOS_COMPLEMENTOS!$I$4:$I$803,MOVIMIENTOS_COMPLEMENTOS!$C$4:$C$803,A640,MOVIMIENTOS_COMPLEMENTOS!$D$4:$D$803,B640,MOVIMIENTOS_COMPLEMENTOS!$E$4:$E$803,C640,MOVIMIENTOS_COMPLEMENTOS!$G$4:$G$803,E640,MOVIMIENTOS_COMPLEMENTOS!$H$4:$H$803,G640,MOVIMIENTOS_COMPLEMENTOS!$B$4:$B$803,"INGRESO")+SUMIFS(MOVIMIENTOS_COMPLEMENTOS!$I$4:$I$803,MOVIMIENTOS_COMPLEMENTOS!$C$4:$C$803,A640,MOVIMIENTOS_COMPLEMENTOS!$D$4:$D$803,B640,MOVIMIENTOS_COMPLEMENTOS!$E$4:$E$803,C640,MOVIMIENTOS_COMPLEMENTOS!$G$4:$G$803,E640,MOVIMIENTOS_COMPLEMENTOS!$H$4:$H$803,G640,MOVIMIENTOS_COMPLEMENTOS!$B$4:$B$803,"DE CORTE")-SUMIFS(MOVIMIENTOS_COMPLEMENTOS!$I$4:$I$803,MOVIMIENTOS_COMPLEMENTOS!$C$4:$C$803,A640,MOVIMIENTOS_COMPLEMENTOS!$D$4:$D$803,B640,MOVIMIENTOS_COMPLEMENTOS!$E$4:$E$803,C640,MOVIMIENTOS_COMPLEMENTOS!$G$4:$G$803,E640,MOVIMIENTOS_COMPLEMENTOS!$H$4:$H$803,G640,MOVIMIENTOS_COMPLEMENTOS!$B$4:$B$803,"SALIDA"),0)</f>
        <v>0</v>
      </c>
      <c r="I640" s="102">
        <f t="array" ref="I640">IFERROR(INDEX(PRECIOS_COMPLEMENTOS!$C$4:$F$17,MATCH(B640&amp;"_"&amp;C640,PRECIOS_COMPLEMENTOS!$H$4:$H$17,0),IF(OR(G640="S",G640="20cm"),1,IF(OR(G640="M",G640="25cm"),2,IF(OR(G640="L",G640="30cm"),3,IF(OR(G640="XL",G640="35cm"),4,0))))),0)</f>
        <v>0.4</v>
      </c>
      <c r="J640" s="103">
        <f t="shared" si="1"/>
        <v>0</v>
      </c>
      <c r="K640" s="104" t="str">
        <f>IF(H640&lt;0,"ERROR",IF(H640=0,"",IF(H640&lt;CONFIG!$B$4,"CRÍTICO",IF(H640&lt;CONFIG!$B$5,"BAJO","OK"))))</f>
        <v/>
      </c>
    </row>
    <row r="641" ht="15.75" hidden="1" customHeight="1">
      <c r="A641" s="90" t="str">
        <f>IF(CLIENTES!A8="","",CLIENTES!A8)</f>
        <v/>
      </c>
      <c r="B641" s="90" t="s">
        <v>321</v>
      </c>
      <c r="C641" s="91" t="s">
        <v>326</v>
      </c>
      <c r="D641" s="109" t="s">
        <v>353</v>
      </c>
      <c r="E641" s="67" t="str">
        <f>COLORES!A23</f>
        <v/>
      </c>
      <c r="F641" s="67" t="str">
        <f>COLORES!B23</f>
        <v/>
      </c>
      <c r="G641" s="90" t="s">
        <v>376</v>
      </c>
      <c r="H641" s="100">
        <f>IFERROR(SUMIFS(MOVIMIENTOS_COMPLEMENTOS!$I$4:$I$803,MOVIMIENTOS_COMPLEMENTOS!$C$4:$C$803,A641,MOVIMIENTOS_COMPLEMENTOS!$D$4:$D$803,B641,MOVIMIENTOS_COMPLEMENTOS!$E$4:$E$803,C641,MOVIMIENTOS_COMPLEMENTOS!$G$4:$G$803,E641,MOVIMIENTOS_COMPLEMENTOS!$H$4:$H$803,G641,MOVIMIENTOS_COMPLEMENTOS!$B$4:$B$803,"INGRESO")+SUMIFS(MOVIMIENTOS_COMPLEMENTOS!$I$4:$I$803,MOVIMIENTOS_COMPLEMENTOS!$C$4:$C$803,A641,MOVIMIENTOS_COMPLEMENTOS!$D$4:$D$803,B641,MOVIMIENTOS_COMPLEMENTOS!$E$4:$E$803,C641,MOVIMIENTOS_COMPLEMENTOS!$G$4:$G$803,E641,MOVIMIENTOS_COMPLEMENTOS!$H$4:$H$803,G641,MOVIMIENTOS_COMPLEMENTOS!$B$4:$B$803,"DE CORTE")-SUMIFS(MOVIMIENTOS_COMPLEMENTOS!$I$4:$I$803,MOVIMIENTOS_COMPLEMENTOS!$C$4:$C$803,A641,MOVIMIENTOS_COMPLEMENTOS!$D$4:$D$803,B641,MOVIMIENTOS_COMPLEMENTOS!$E$4:$E$803,C641,MOVIMIENTOS_COMPLEMENTOS!$G$4:$G$803,E641,MOVIMIENTOS_COMPLEMENTOS!$H$4:$H$803,G641,MOVIMIENTOS_COMPLEMENTOS!$B$4:$B$803,"SALIDA"),0)</f>
        <v>0</v>
      </c>
      <c r="I641" s="102">
        <f t="array" ref="I641">IFERROR(INDEX(PRECIOS_COMPLEMENTOS!$C$4:$F$17,MATCH(B641&amp;"_"&amp;C641,PRECIOS_COMPLEMENTOS!$H$4:$H$17,0),IF(OR(G641="S",G641="20cm"),1,IF(OR(G641="M",G641="25cm"),2,IF(OR(G641="L",G641="30cm"),3,IF(OR(G641="XL",G641="35cm"),4,0))))),0)</f>
        <v>0.45</v>
      </c>
      <c r="J641" s="103">
        <f t="shared" si="1"/>
        <v>0</v>
      </c>
      <c r="K641" s="104" t="str">
        <f>IF(H641&lt;0,"ERROR",IF(H641=0,"",IF(H641&lt;CONFIG!$B$4,"CRÍTICO",IF(H641&lt;CONFIG!$B$5,"BAJO","OK"))))</f>
        <v/>
      </c>
    </row>
    <row r="642" ht="15.75" hidden="1" customHeight="1">
      <c r="A642" s="90" t="str">
        <f>IF(CLIENTES!A8="","",CLIENTES!A8)</f>
        <v/>
      </c>
      <c r="B642" s="90" t="s">
        <v>321</v>
      </c>
      <c r="C642" s="91" t="s">
        <v>326</v>
      </c>
      <c r="D642" s="109" t="s">
        <v>353</v>
      </c>
      <c r="E642" s="67" t="str">
        <f>COLORES!A23</f>
        <v/>
      </c>
      <c r="F642" s="67" t="str">
        <f>COLORES!B23</f>
        <v/>
      </c>
      <c r="G642" s="90" t="s">
        <v>377</v>
      </c>
      <c r="H642" s="100">
        <f>IFERROR(SUMIFS(MOVIMIENTOS_COMPLEMENTOS!$I$4:$I$803,MOVIMIENTOS_COMPLEMENTOS!$C$4:$C$803,A642,MOVIMIENTOS_COMPLEMENTOS!$D$4:$D$803,B642,MOVIMIENTOS_COMPLEMENTOS!$E$4:$E$803,C642,MOVIMIENTOS_COMPLEMENTOS!$G$4:$G$803,E642,MOVIMIENTOS_COMPLEMENTOS!$H$4:$H$803,G642,MOVIMIENTOS_COMPLEMENTOS!$B$4:$B$803,"INGRESO")+SUMIFS(MOVIMIENTOS_COMPLEMENTOS!$I$4:$I$803,MOVIMIENTOS_COMPLEMENTOS!$C$4:$C$803,A642,MOVIMIENTOS_COMPLEMENTOS!$D$4:$D$803,B642,MOVIMIENTOS_COMPLEMENTOS!$E$4:$E$803,C642,MOVIMIENTOS_COMPLEMENTOS!$G$4:$G$803,E642,MOVIMIENTOS_COMPLEMENTOS!$H$4:$H$803,G642,MOVIMIENTOS_COMPLEMENTOS!$B$4:$B$803,"DE CORTE")-SUMIFS(MOVIMIENTOS_COMPLEMENTOS!$I$4:$I$803,MOVIMIENTOS_COMPLEMENTOS!$C$4:$C$803,A642,MOVIMIENTOS_COMPLEMENTOS!$D$4:$D$803,B642,MOVIMIENTOS_COMPLEMENTOS!$E$4:$E$803,C642,MOVIMIENTOS_COMPLEMENTOS!$G$4:$G$803,E642,MOVIMIENTOS_COMPLEMENTOS!$H$4:$H$803,G642,MOVIMIENTOS_COMPLEMENTOS!$B$4:$B$803,"SALIDA"),0)</f>
        <v>0</v>
      </c>
      <c r="I642" s="102">
        <f t="array" ref="I642">IFERROR(INDEX(PRECIOS_COMPLEMENTOS!$C$4:$F$17,MATCH(B642&amp;"_"&amp;C642,PRECIOS_COMPLEMENTOS!$H$4:$H$17,0),IF(OR(G642="S",G642="20cm"),1,IF(OR(G642="M",G642="25cm"),2,IF(OR(G642="L",G642="30cm"),3,IF(OR(G642="XL",G642="35cm"),4,0))))),0)</f>
        <v>0.5</v>
      </c>
      <c r="J642" s="103">
        <f t="shared" si="1"/>
        <v>0</v>
      </c>
      <c r="K642" s="104" t="str">
        <f>IF(H642&lt;0,"ERROR",IF(H642=0,"",IF(H642&lt;CONFIG!$B$4,"CRÍTICO",IF(H642&lt;CONFIG!$B$5,"BAJO","OK"))))</f>
        <v/>
      </c>
    </row>
    <row r="643" ht="15.75" hidden="1" customHeight="1">
      <c r="A643" s="90" t="str">
        <f>IF(CLIENTES!A8="","",CLIENTES!A8)</f>
        <v/>
      </c>
      <c r="B643" s="90" t="s">
        <v>321</v>
      </c>
      <c r="C643" s="91" t="s">
        <v>326</v>
      </c>
      <c r="D643" s="109" t="s">
        <v>353</v>
      </c>
      <c r="E643" s="67" t="str">
        <f>COLORES!A23</f>
        <v/>
      </c>
      <c r="F643" s="67" t="str">
        <f>COLORES!B23</f>
        <v/>
      </c>
      <c r="G643" s="90" t="s">
        <v>379</v>
      </c>
      <c r="H643" s="100">
        <f>IFERROR(SUMIFS(MOVIMIENTOS_COMPLEMENTOS!$I$4:$I$803,MOVIMIENTOS_COMPLEMENTOS!$C$4:$C$803,A643,MOVIMIENTOS_COMPLEMENTOS!$D$4:$D$803,B643,MOVIMIENTOS_COMPLEMENTOS!$E$4:$E$803,C643,MOVIMIENTOS_COMPLEMENTOS!$G$4:$G$803,E643,MOVIMIENTOS_COMPLEMENTOS!$H$4:$H$803,G643,MOVIMIENTOS_COMPLEMENTOS!$B$4:$B$803,"INGRESO")+SUMIFS(MOVIMIENTOS_COMPLEMENTOS!$I$4:$I$803,MOVIMIENTOS_COMPLEMENTOS!$C$4:$C$803,A643,MOVIMIENTOS_COMPLEMENTOS!$D$4:$D$803,B643,MOVIMIENTOS_COMPLEMENTOS!$E$4:$E$803,C643,MOVIMIENTOS_COMPLEMENTOS!$G$4:$G$803,E643,MOVIMIENTOS_COMPLEMENTOS!$H$4:$H$803,G643,MOVIMIENTOS_COMPLEMENTOS!$B$4:$B$803,"DE CORTE")-SUMIFS(MOVIMIENTOS_COMPLEMENTOS!$I$4:$I$803,MOVIMIENTOS_COMPLEMENTOS!$C$4:$C$803,A643,MOVIMIENTOS_COMPLEMENTOS!$D$4:$D$803,B643,MOVIMIENTOS_COMPLEMENTOS!$E$4:$E$803,C643,MOVIMIENTOS_COMPLEMENTOS!$G$4:$G$803,E643,MOVIMIENTOS_COMPLEMENTOS!$H$4:$H$803,G643,MOVIMIENTOS_COMPLEMENTOS!$B$4:$B$803,"SALIDA"),0)</f>
        <v>0</v>
      </c>
      <c r="I643" s="102">
        <f t="array" ref="I643">IFERROR(INDEX(PRECIOS_COMPLEMENTOS!$C$4:$F$17,MATCH(B643&amp;"_"&amp;C643,PRECIOS_COMPLEMENTOS!$H$4:$H$17,0),IF(OR(G643="S",G643="20cm"),1,IF(OR(G643="M",G643="25cm"),2,IF(OR(G643="L",G643="30cm"),3,IF(OR(G643="XL",G643="35cm"),4,0))))),0)</f>
        <v>0.55</v>
      </c>
      <c r="J643" s="103">
        <f t="shared" si="1"/>
        <v>0</v>
      </c>
      <c r="K643" s="104" t="str">
        <f>IF(H643&lt;0,"ERROR",IF(H643=0,"",IF(H643&lt;CONFIG!$B$4,"CRÍTICO",IF(H643&lt;CONFIG!$B$5,"BAJO","OK"))))</f>
        <v/>
      </c>
    </row>
    <row r="644" ht="15.75" hidden="1" customHeight="1">
      <c r="A644" s="90" t="str">
        <f>IF(CLIENTES!A9="","",CLIENTES!A9)</f>
        <v/>
      </c>
      <c r="B644" s="90" t="s">
        <v>321</v>
      </c>
      <c r="C644" s="91" t="s">
        <v>326</v>
      </c>
      <c r="D644" s="109" t="s">
        <v>353</v>
      </c>
      <c r="E644" s="67" t="str">
        <f>COLORES!A4</f>
        <v>Negro</v>
      </c>
      <c r="F644" s="67" t="str">
        <f>COLORES!B4</f>
        <v>OSCURO</v>
      </c>
      <c r="G644" s="90" t="s">
        <v>378</v>
      </c>
      <c r="H644" s="100">
        <f>IFERROR(SUMIFS(MOVIMIENTOS_COMPLEMENTOS!$I$4:$I$803,MOVIMIENTOS_COMPLEMENTOS!$C$4:$C$803,A644,MOVIMIENTOS_COMPLEMENTOS!$D$4:$D$803,B644,MOVIMIENTOS_COMPLEMENTOS!$E$4:$E$803,C644,MOVIMIENTOS_COMPLEMENTOS!$G$4:$G$803,E644,MOVIMIENTOS_COMPLEMENTOS!$H$4:$H$803,G644,MOVIMIENTOS_COMPLEMENTOS!$B$4:$B$803,"INGRESO")+SUMIFS(MOVIMIENTOS_COMPLEMENTOS!$I$4:$I$803,MOVIMIENTOS_COMPLEMENTOS!$C$4:$C$803,A644,MOVIMIENTOS_COMPLEMENTOS!$D$4:$D$803,B644,MOVIMIENTOS_COMPLEMENTOS!$E$4:$E$803,C644,MOVIMIENTOS_COMPLEMENTOS!$G$4:$G$803,E644,MOVIMIENTOS_COMPLEMENTOS!$H$4:$H$803,G644,MOVIMIENTOS_COMPLEMENTOS!$B$4:$B$803,"DE CORTE")-SUMIFS(MOVIMIENTOS_COMPLEMENTOS!$I$4:$I$803,MOVIMIENTOS_COMPLEMENTOS!$C$4:$C$803,A644,MOVIMIENTOS_COMPLEMENTOS!$D$4:$D$803,B644,MOVIMIENTOS_COMPLEMENTOS!$E$4:$E$803,C644,MOVIMIENTOS_COMPLEMENTOS!$G$4:$G$803,E644,MOVIMIENTOS_COMPLEMENTOS!$H$4:$H$803,G644,MOVIMIENTOS_COMPLEMENTOS!$B$4:$B$803,"SALIDA"),0)</f>
        <v>0</v>
      </c>
      <c r="I644" s="102">
        <f t="array" ref="I644">IFERROR(INDEX(PRECIOS_COMPLEMENTOS!$C$4:$F$17,MATCH(B644&amp;"_"&amp;C644,PRECIOS_COMPLEMENTOS!$H$4:$H$17,0),IF(OR(G644="S",G644="20cm"),1,IF(OR(G644="M",G644="25cm"),2,IF(OR(G644="L",G644="30cm"),3,IF(OR(G644="XL",G644="35cm"),4,0))))),0)</f>
        <v>0.4</v>
      </c>
      <c r="J644" s="103">
        <f t="shared" si="1"/>
        <v>0</v>
      </c>
      <c r="K644" s="104" t="str">
        <f>IF(H644&lt;0,"ERROR",IF(H644=0,"",IF(H644&lt;CONFIG!$B$4,"CRÍTICO",IF(H644&lt;CONFIG!$B$5,"BAJO","OK"))))</f>
        <v/>
      </c>
    </row>
    <row r="645" ht="15.75" hidden="1" customHeight="1">
      <c r="A645" s="90" t="str">
        <f>IF(CLIENTES!A9="","",CLIENTES!A9)</f>
        <v/>
      </c>
      <c r="B645" s="90" t="s">
        <v>321</v>
      </c>
      <c r="C645" s="91" t="s">
        <v>326</v>
      </c>
      <c r="D645" s="109" t="s">
        <v>353</v>
      </c>
      <c r="E645" s="67" t="str">
        <f>COLORES!A4</f>
        <v>Negro</v>
      </c>
      <c r="F645" s="67" t="str">
        <f>COLORES!B4</f>
        <v>OSCURO</v>
      </c>
      <c r="G645" s="90" t="s">
        <v>376</v>
      </c>
      <c r="H645" s="100">
        <f>IFERROR(SUMIFS(MOVIMIENTOS_COMPLEMENTOS!$I$4:$I$803,MOVIMIENTOS_COMPLEMENTOS!$C$4:$C$803,A645,MOVIMIENTOS_COMPLEMENTOS!$D$4:$D$803,B645,MOVIMIENTOS_COMPLEMENTOS!$E$4:$E$803,C645,MOVIMIENTOS_COMPLEMENTOS!$G$4:$G$803,E645,MOVIMIENTOS_COMPLEMENTOS!$H$4:$H$803,G645,MOVIMIENTOS_COMPLEMENTOS!$B$4:$B$803,"INGRESO")+SUMIFS(MOVIMIENTOS_COMPLEMENTOS!$I$4:$I$803,MOVIMIENTOS_COMPLEMENTOS!$C$4:$C$803,A645,MOVIMIENTOS_COMPLEMENTOS!$D$4:$D$803,B645,MOVIMIENTOS_COMPLEMENTOS!$E$4:$E$803,C645,MOVIMIENTOS_COMPLEMENTOS!$G$4:$G$803,E645,MOVIMIENTOS_COMPLEMENTOS!$H$4:$H$803,G645,MOVIMIENTOS_COMPLEMENTOS!$B$4:$B$803,"DE CORTE")-SUMIFS(MOVIMIENTOS_COMPLEMENTOS!$I$4:$I$803,MOVIMIENTOS_COMPLEMENTOS!$C$4:$C$803,A645,MOVIMIENTOS_COMPLEMENTOS!$D$4:$D$803,B645,MOVIMIENTOS_COMPLEMENTOS!$E$4:$E$803,C645,MOVIMIENTOS_COMPLEMENTOS!$G$4:$G$803,E645,MOVIMIENTOS_COMPLEMENTOS!$H$4:$H$803,G645,MOVIMIENTOS_COMPLEMENTOS!$B$4:$B$803,"SALIDA"),0)</f>
        <v>0</v>
      </c>
      <c r="I645" s="102">
        <f t="array" ref="I645">IFERROR(INDEX(PRECIOS_COMPLEMENTOS!$C$4:$F$17,MATCH(B645&amp;"_"&amp;C645,PRECIOS_COMPLEMENTOS!$H$4:$H$17,0),IF(OR(G645="S",G645="20cm"),1,IF(OR(G645="M",G645="25cm"),2,IF(OR(G645="L",G645="30cm"),3,IF(OR(G645="XL",G645="35cm"),4,0))))),0)</f>
        <v>0.45</v>
      </c>
      <c r="J645" s="103">
        <f t="shared" si="1"/>
        <v>0</v>
      </c>
      <c r="K645" s="104" t="str">
        <f>IF(H645&lt;0,"ERROR",IF(H645=0,"",IF(H645&lt;CONFIG!$B$4,"CRÍTICO",IF(H645&lt;CONFIG!$B$5,"BAJO","OK"))))</f>
        <v/>
      </c>
    </row>
    <row r="646" ht="15.75" hidden="1" customHeight="1">
      <c r="A646" s="90" t="str">
        <f>IF(CLIENTES!A9="","",CLIENTES!A9)</f>
        <v/>
      </c>
      <c r="B646" s="90" t="s">
        <v>321</v>
      </c>
      <c r="C646" s="91" t="s">
        <v>326</v>
      </c>
      <c r="D646" s="109" t="s">
        <v>353</v>
      </c>
      <c r="E646" s="67" t="str">
        <f>COLORES!A4</f>
        <v>Negro</v>
      </c>
      <c r="F646" s="67" t="str">
        <f>COLORES!B4</f>
        <v>OSCURO</v>
      </c>
      <c r="G646" s="90" t="s">
        <v>377</v>
      </c>
      <c r="H646" s="100">
        <f>IFERROR(SUMIFS(MOVIMIENTOS_COMPLEMENTOS!$I$4:$I$803,MOVIMIENTOS_COMPLEMENTOS!$C$4:$C$803,A646,MOVIMIENTOS_COMPLEMENTOS!$D$4:$D$803,B646,MOVIMIENTOS_COMPLEMENTOS!$E$4:$E$803,C646,MOVIMIENTOS_COMPLEMENTOS!$G$4:$G$803,E646,MOVIMIENTOS_COMPLEMENTOS!$H$4:$H$803,G646,MOVIMIENTOS_COMPLEMENTOS!$B$4:$B$803,"INGRESO")+SUMIFS(MOVIMIENTOS_COMPLEMENTOS!$I$4:$I$803,MOVIMIENTOS_COMPLEMENTOS!$C$4:$C$803,A646,MOVIMIENTOS_COMPLEMENTOS!$D$4:$D$803,B646,MOVIMIENTOS_COMPLEMENTOS!$E$4:$E$803,C646,MOVIMIENTOS_COMPLEMENTOS!$G$4:$G$803,E646,MOVIMIENTOS_COMPLEMENTOS!$H$4:$H$803,G646,MOVIMIENTOS_COMPLEMENTOS!$B$4:$B$803,"DE CORTE")-SUMIFS(MOVIMIENTOS_COMPLEMENTOS!$I$4:$I$803,MOVIMIENTOS_COMPLEMENTOS!$C$4:$C$803,A646,MOVIMIENTOS_COMPLEMENTOS!$D$4:$D$803,B646,MOVIMIENTOS_COMPLEMENTOS!$E$4:$E$803,C646,MOVIMIENTOS_COMPLEMENTOS!$G$4:$G$803,E646,MOVIMIENTOS_COMPLEMENTOS!$H$4:$H$803,G646,MOVIMIENTOS_COMPLEMENTOS!$B$4:$B$803,"SALIDA"),0)</f>
        <v>0</v>
      </c>
      <c r="I646" s="102">
        <f t="array" ref="I646">IFERROR(INDEX(PRECIOS_COMPLEMENTOS!$C$4:$F$17,MATCH(B646&amp;"_"&amp;C646,PRECIOS_COMPLEMENTOS!$H$4:$H$17,0),IF(OR(G646="S",G646="20cm"),1,IF(OR(G646="M",G646="25cm"),2,IF(OR(G646="L",G646="30cm"),3,IF(OR(G646="XL",G646="35cm"),4,0))))),0)</f>
        <v>0.5</v>
      </c>
      <c r="J646" s="103">
        <f t="shared" si="1"/>
        <v>0</v>
      </c>
      <c r="K646" s="104" t="str">
        <f>IF(H646&lt;0,"ERROR",IF(H646=0,"",IF(H646&lt;CONFIG!$B$4,"CRÍTICO",IF(H646&lt;CONFIG!$B$5,"BAJO","OK"))))</f>
        <v/>
      </c>
    </row>
    <row r="647" ht="15.75" hidden="1" customHeight="1">
      <c r="A647" s="90" t="str">
        <f>IF(CLIENTES!A9="","",CLIENTES!A9)</f>
        <v/>
      </c>
      <c r="B647" s="90" t="s">
        <v>321</v>
      </c>
      <c r="C647" s="91" t="s">
        <v>326</v>
      </c>
      <c r="D647" s="109" t="s">
        <v>353</v>
      </c>
      <c r="E647" s="67" t="str">
        <f>COLORES!A4</f>
        <v>Negro</v>
      </c>
      <c r="F647" s="67" t="str">
        <f>COLORES!B4</f>
        <v>OSCURO</v>
      </c>
      <c r="G647" s="90" t="s">
        <v>379</v>
      </c>
      <c r="H647" s="100">
        <f>IFERROR(SUMIFS(MOVIMIENTOS_COMPLEMENTOS!$I$4:$I$803,MOVIMIENTOS_COMPLEMENTOS!$C$4:$C$803,A647,MOVIMIENTOS_COMPLEMENTOS!$D$4:$D$803,B647,MOVIMIENTOS_COMPLEMENTOS!$E$4:$E$803,C647,MOVIMIENTOS_COMPLEMENTOS!$G$4:$G$803,E647,MOVIMIENTOS_COMPLEMENTOS!$H$4:$H$803,G647,MOVIMIENTOS_COMPLEMENTOS!$B$4:$B$803,"INGRESO")+SUMIFS(MOVIMIENTOS_COMPLEMENTOS!$I$4:$I$803,MOVIMIENTOS_COMPLEMENTOS!$C$4:$C$803,A647,MOVIMIENTOS_COMPLEMENTOS!$D$4:$D$803,B647,MOVIMIENTOS_COMPLEMENTOS!$E$4:$E$803,C647,MOVIMIENTOS_COMPLEMENTOS!$G$4:$G$803,E647,MOVIMIENTOS_COMPLEMENTOS!$H$4:$H$803,G647,MOVIMIENTOS_COMPLEMENTOS!$B$4:$B$803,"DE CORTE")-SUMIFS(MOVIMIENTOS_COMPLEMENTOS!$I$4:$I$803,MOVIMIENTOS_COMPLEMENTOS!$C$4:$C$803,A647,MOVIMIENTOS_COMPLEMENTOS!$D$4:$D$803,B647,MOVIMIENTOS_COMPLEMENTOS!$E$4:$E$803,C647,MOVIMIENTOS_COMPLEMENTOS!$G$4:$G$803,E647,MOVIMIENTOS_COMPLEMENTOS!$H$4:$H$803,G647,MOVIMIENTOS_COMPLEMENTOS!$B$4:$B$803,"SALIDA"),0)</f>
        <v>0</v>
      </c>
      <c r="I647" s="102">
        <f t="array" ref="I647">IFERROR(INDEX(PRECIOS_COMPLEMENTOS!$C$4:$F$17,MATCH(B647&amp;"_"&amp;C647,PRECIOS_COMPLEMENTOS!$H$4:$H$17,0),IF(OR(G647="S",G647="20cm"),1,IF(OR(G647="M",G647="25cm"),2,IF(OR(G647="L",G647="30cm"),3,IF(OR(G647="XL",G647="35cm"),4,0))))),0)</f>
        <v>0.55</v>
      </c>
      <c r="J647" s="103">
        <f t="shared" si="1"/>
        <v>0</v>
      </c>
      <c r="K647" s="104" t="str">
        <f>IF(H647&lt;0,"ERROR",IF(H647=0,"",IF(H647&lt;CONFIG!$B$4,"CRÍTICO",IF(H647&lt;CONFIG!$B$5,"BAJO","OK"))))</f>
        <v/>
      </c>
    </row>
    <row r="648" ht="15.75" hidden="1" customHeight="1">
      <c r="A648" s="90" t="str">
        <f>IF(CLIENTES!A9="","",CLIENTES!A9)</f>
        <v/>
      </c>
      <c r="B648" s="90" t="s">
        <v>321</v>
      </c>
      <c r="C648" s="91" t="s">
        <v>326</v>
      </c>
      <c r="D648" s="109" t="s">
        <v>353</v>
      </c>
      <c r="E648" s="67" t="str">
        <f>COLORES!A5</f>
        <v>Perla</v>
      </c>
      <c r="F648" s="67" t="str">
        <f>COLORES!B5</f>
        <v>PPT</v>
      </c>
      <c r="G648" s="90" t="s">
        <v>378</v>
      </c>
      <c r="H648" s="100">
        <f>IFERROR(SUMIFS(MOVIMIENTOS_COMPLEMENTOS!$I$4:$I$803,MOVIMIENTOS_COMPLEMENTOS!$C$4:$C$803,A648,MOVIMIENTOS_COMPLEMENTOS!$D$4:$D$803,B648,MOVIMIENTOS_COMPLEMENTOS!$E$4:$E$803,C648,MOVIMIENTOS_COMPLEMENTOS!$G$4:$G$803,E648,MOVIMIENTOS_COMPLEMENTOS!$H$4:$H$803,G648,MOVIMIENTOS_COMPLEMENTOS!$B$4:$B$803,"INGRESO")+SUMIFS(MOVIMIENTOS_COMPLEMENTOS!$I$4:$I$803,MOVIMIENTOS_COMPLEMENTOS!$C$4:$C$803,A648,MOVIMIENTOS_COMPLEMENTOS!$D$4:$D$803,B648,MOVIMIENTOS_COMPLEMENTOS!$E$4:$E$803,C648,MOVIMIENTOS_COMPLEMENTOS!$G$4:$G$803,E648,MOVIMIENTOS_COMPLEMENTOS!$H$4:$H$803,G648,MOVIMIENTOS_COMPLEMENTOS!$B$4:$B$803,"DE CORTE")-SUMIFS(MOVIMIENTOS_COMPLEMENTOS!$I$4:$I$803,MOVIMIENTOS_COMPLEMENTOS!$C$4:$C$803,A648,MOVIMIENTOS_COMPLEMENTOS!$D$4:$D$803,B648,MOVIMIENTOS_COMPLEMENTOS!$E$4:$E$803,C648,MOVIMIENTOS_COMPLEMENTOS!$G$4:$G$803,E648,MOVIMIENTOS_COMPLEMENTOS!$H$4:$H$803,G648,MOVIMIENTOS_COMPLEMENTOS!$B$4:$B$803,"SALIDA"),0)</f>
        <v>0</v>
      </c>
      <c r="I648" s="102">
        <f t="array" ref="I648">IFERROR(INDEX(PRECIOS_COMPLEMENTOS!$C$4:$F$17,MATCH(B648&amp;"_"&amp;C648,PRECIOS_COMPLEMENTOS!$H$4:$H$17,0),IF(OR(G648="S",G648="20cm"),1,IF(OR(G648="M",G648="25cm"),2,IF(OR(G648="L",G648="30cm"),3,IF(OR(G648="XL",G648="35cm"),4,0))))),0)</f>
        <v>0.4</v>
      </c>
      <c r="J648" s="103">
        <f t="shared" si="1"/>
        <v>0</v>
      </c>
      <c r="K648" s="104" t="str">
        <f>IF(H648&lt;0,"ERROR",IF(H648=0,"",IF(H648&lt;CONFIG!$B$4,"CRÍTICO",IF(H648&lt;CONFIG!$B$5,"BAJO","OK"))))</f>
        <v/>
      </c>
    </row>
    <row r="649" ht="15.75" hidden="1" customHeight="1">
      <c r="A649" s="90" t="str">
        <f>IF(CLIENTES!A9="","",CLIENTES!A9)</f>
        <v/>
      </c>
      <c r="B649" s="90" t="s">
        <v>321</v>
      </c>
      <c r="C649" s="91" t="s">
        <v>326</v>
      </c>
      <c r="D649" s="109" t="s">
        <v>353</v>
      </c>
      <c r="E649" s="67" t="str">
        <f>COLORES!A5</f>
        <v>Perla</v>
      </c>
      <c r="F649" s="67" t="str">
        <f>COLORES!B5</f>
        <v>PPT</v>
      </c>
      <c r="G649" s="90" t="s">
        <v>376</v>
      </c>
      <c r="H649" s="100">
        <f>IFERROR(SUMIFS(MOVIMIENTOS_COMPLEMENTOS!$I$4:$I$803,MOVIMIENTOS_COMPLEMENTOS!$C$4:$C$803,A649,MOVIMIENTOS_COMPLEMENTOS!$D$4:$D$803,B649,MOVIMIENTOS_COMPLEMENTOS!$E$4:$E$803,C649,MOVIMIENTOS_COMPLEMENTOS!$G$4:$G$803,E649,MOVIMIENTOS_COMPLEMENTOS!$H$4:$H$803,G649,MOVIMIENTOS_COMPLEMENTOS!$B$4:$B$803,"INGRESO")+SUMIFS(MOVIMIENTOS_COMPLEMENTOS!$I$4:$I$803,MOVIMIENTOS_COMPLEMENTOS!$C$4:$C$803,A649,MOVIMIENTOS_COMPLEMENTOS!$D$4:$D$803,B649,MOVIMIENTOS_COMPLEMENTOS!$E$4:$E$803,C649,MOVIMIENTOS_COMPLEMENTOS!$G$4:$G$803,E649,MOVIMIENTOS_COMPLEMENTOS!$H$4:$H$803,G649,MOVIMIENTOS_COMPLEMENTOS!$B$4:$B$803,"DE CORTE")-SUMIFS(MOVIMIENTOS_COMPLEMENTOS!$I$4:$I$803,MOVIMIENTOS_COMPLEMENTOS!$C$4:$C$803,A649,MOVIMIENTOS_COMPLEMENTOS!$D$4:$D$803,B649,MOVIMIENTOS_COMPLEMENTOS!$E$4:$E$803,C649,MOVIMIENTOS_COMPLEMENTOS!$G$4:$G$803,E649,MOVIMIENTOS_COMPLEMENTOS!$H$4:$H$803,G649,MOVIMIENTOS_COMPLEMENTOS!$B$4:$B$803,"SALIDA"),0)</f>
        <v>0</v>
      </c>
      <c r="I649" s="102">
        <f t="array" ref="I649">IFERROR(INDEX(PRECIOS_COMPLEMENTOS!$C$4:$F$17,MATCH(B649&amp;"_"&amp;C649,PRECIOS_COMPLEMENTOS!$H$4:$H$17,0),IF(OR(G649="S",G649="20cm"),1,IF(OR(G649="M",G649="25cm"),2,IF(OR(G649="L",G649="30cm"),3,IF(OR(G649="XL",G649="35cm"),4,0))))),0)</f>
        <v>0.45</v>
      </c>
      <c r="J649" s="103">
        <f t="shared" si="1"/>
        <v>0</v>
      </c>
      <c r="K649" s="104" t="str">
        <f>IF(H649&lt;0,"ERROR",IF(H649=0,"",IF(H649&lt;CONFIG!$B$4,"CRÍTICO",IF(H649&lt;CONFIG!$B$5,"BAJO","OK"))))</f>
        <v/>
      </c>
    </row>
    <row r="650" ht="15.75" hidden="1" customHeight="1">
      <c r="A650" s="90" t="str">
        <f>IF(CLIENTES!A9="","",CLIENTES!A9)</f>
        <v/>
      </c>
      <c r="B650" s="90" t="s">
        <v>321</v>
      </c>
      <c r="C650" s="91" t="s">
        <v>326</v>
      </c>
      <c r="D650" s="109" t="s">
        <v>353</v>
      </c>
      <c r="E650" s="67" t="str">
        <f>COLORES!A5</f>
        <v>Perla</v>
      </c>
      <c r="F650" s="67" t="str">
        <f>COLORES!B5</f>
        <v>PPT</v>
      </c>
      <c r="G650" s="90" t="s">
        <v>377</v>
      </c>
      <c r="H650" s="100">
        <f>IFERROR(SUMIFS(MOVIMIENTOS_COMPLEMENTOS!$I$4:$I$803,MOVIMIENTOS_COMPLEMENTOS!$C$4:$C$803,A650,MOVIMIENTOS_COMPLEMENTOS!$D$4:$D$803,B650,MOVIMIENTOS_COMPLEMENTOS!$E$4:$E$803,C650,MOVIMIENTOS_COMPLEMENTOS!$G$4:$G$803,E650,MOVIMIENTOS_COMPLEMENTOS!$H$4:$H$803,G650,MOVIMIENTOS_COMPLEMENTOS!$B$4:$B$803,"INGRESO")+SUMIFS(MOVIMIENTOS_COMPLEMENTOS!$I$4:$I$803,MOVIMIENTOS_COMPLEMENTOS!$C$4:$C$803,A650,MOVIMIENTOS_COMPLEMENTOS!$D$4:$D$803,B650,MOVIMIENTOS_COMPLEMENTOS!$E$4:$E$803,C650,MOVIMIENTOS_COMPLEMENTOS!$G$4:$G$803,E650,MOVIMIENTOS_COMPLEMENTOS!$H$4:$H$803,G650,MOVIMIENTOS_COMPLEMENTOS!$B$4:$B$803,"DE CORTE")-SUMIFS(MOVIMIENTOS_COMPLEMENTOS!$I$4:$I$803,MOVIMIENTOS_COMPLEMENTOS!$C$4:$C$803,A650,MOVIMIENTOS_COMPLEMENTOS!$D$4:$D$803,B650,MOVIMIENTOS_COMPLEMENTOS!$E$4:$E$803,C650,MOVIMIENTOS_COMPLEMENTOS!$G$4:$G$803,E650,MOVIMIENTOS_COMPLEMENTOS!$H$4:$H$803,G650,MOVIMIENTOS_COMPLEMENTOS!$B$4:$B$803,"SALIDA"),0)</f>
        <v>0</v>
      </c>
      <c r="I650" s="102">
        <f t="array" ref="I650">IFERROR(INDEX(PRECIOS_COMPLEMENTOS!$C$4:$F$17,MATCH(B650&amp;"_"&amp;C650,PRECIOS_COMPLEMENTOS!$H$4:$H$17,0),IF(OR(G650="S",G650="20cm"),1,IF(OR(G650="M",G650="25cm"),2,IF(OR(G650="L",G650="30cm"),3,IF(OR(G650="XL",G650="35cm"),4,0))))),0)</f>
        <v>0.5</v>
      </c>
      <c r="J650" s="103">
        <f t="shared" si="1"/>
        <v>0</v>
      </c>
      <c r="K650" s="104" t="str">
        <f>IF(H650&lt;0,"ERROR",IF(H650=0,"",IF(H650&lt;CONFIG!$B$4,"CRÍTICO",IF(H650&lt;CONFIG!$B$5,"BAJO","OK"))))</f>
        <v/>
      </c>
    </row>
    <row r="651" ht="15.75" hidden="1" customHeight="1">
      <c r="A651" s="90" t="str">
        <f>IF(CLIENTES!A9="","",CLIENTES!A9)</f>
        <v/>
      </c>
      <c r="B651" s="90" t="s">
        <v>321</v>
      </c>
      <c r="C651" s="91" t="s">
        <v>326</v>
      </c>
      <c r="D651" s="109" t="s">
        <v>353</v>
      </c>
      <c r="E651" s="67" t="str">
        <f>COLORES!A5</f>
        <v>Perla</v>
      </c>
      <c r="F651" s="67" t="str">
        <f>COLORES!B5</f>
        <v>PPT</v>
      </c>
      <c r="G651" s="90" t="s">
        <v>379</v>
      </c>
      <c r="H651" s="100">
        <f>IFERROR(SUMIFS(MOVIMIENTOS_COMPLEMENTOS!$I$4:$I$803,MOVIMIENTOS_COMPLEMENTOS!$C$4:$C$803,A651,MOVIMIENTOS_COMPLEMENTOS!$D$4:$D$803,B651,MOVIMIENTOS_COMPLEMENTOS!$E$4:$E$803,C651,MOVIMIENTOS_COMPLEMENTOS!$G$4:$G$803,E651,MOVIMIENTOS_COMPLEMENTOS!$H$4:$H$803,G651,MOVIMIENTOS_COMPLEMENTOS!$B$4:$B$803,"INGRESO")+SUMIFS(MOVIMIENTOS_COMPLEMENTOS!$I$4:$I$803,MOVIMIENTOS_COMPLEMENTOS!$C$4:$C$803,A651,MOVIMIENTOS_COMPLEMENTOS!$D$4:$D$803,B651,MOVIMIENTOS_COMPLEMENTOS!$E$4:$E$803,C651,MOVIMIENTOS_COMPLEMENTOS!$G$4:$G$803,E651,MOVIMIENTOS_COMPLEMENTOS!$H$4:$H$803,G651,MOVIMIENTOS_COMPLEMENTOS!$B$4:$B$803,"DE CORTE")-SUMIFS(MOVIMIENTOS_COMPLEMENTOS!$I$4:$I$803,MOVIMIENTOS_COMPLEMENTOS!$C$4:$C$803,A651,MOVIMIENTOS_COMPLEMENTOS!$D$4:$D$803,B651,MOVIMIENTOS_COMPLEMENTOS!$E$4:$E$803,C651,MOVIMIENTOS_COMPLEMENTOS!$G$4:$G$803,E651,MOVIMIENTOS_COMPLEMENTOS!$H$4:$H$803,G651,MOVIMIENTOS_COMPLEMENTOS!$B$4:$B$803,"SALIDA"),0)</f>
        <v>0</v>
      </c>
      <c r="I651" s="102">
        <f t="array" ref="I651">IFERROR(INDEX(PRECIOS_COMPLEMENTOS!$C$4:$F$17,MATCH(B651&amp;"_"&amp;C651,PRECIOS_COMPLEMENTOS!$H$4:$H$17,0),IF(OR(G651="S",G651="20cm"),1,IF(OR(G651="M",G651="25cm"),2,IF(OR(G651="L",G651="30cm"),3,IF(OR(G651="XL",G651="35cm"),4,0))))),0)</f>
        <v>0.55</v>
      </c>
      <c r="J651" s="103">
        <f t="shared" si="1"/>
        <v>0</v>
      </c>
      <c r="K651" s="104" t="str">
        <f>IF(H651&lt;0,"ERROR",IF(H651=0,"",IF(H651&lt;CONFIG!$B$4,"CRÍTICO",IF(H651&lt;CONFIG!$B$5,"BAJO","OK"))))</f>
        <v/>
      </c>
    </row>
    <row r="652" ht="15.75" hidden="1" customHeight="1">
      <c r="A652" s="90" t="str">
        <f>IF(CLIENTES!A9="","",CLIENTES!A9)</f>
        <v/>
      </c>
      <c r="B652" s="90" t="s">
        <v>321</v>
      </c>
      <c r="C652" s="91" t="s">
        <v>326</v>
      </c>
      <c r="D652" s="109" t="s">
        <v>353</v>
      </c>
      <c r="E652" s="67" t="str">
        <f>COLORES!A6</f>
        <v>Blanco</v>
      </c>
      <c r="F652" s="67" t="str">
        <f>COLORES!B6</f>
        <v>PPT</v>
      </c>
      <c r="G652" s="90" t="s">
        <v>378</v>
      </c>
      <c r="H652" s="100">
        <f>IFERROR(SUMIFS(MOVIMIENTOS_COMPLEMENTOS!$I$4:$I$803,MOVIMIENTOS_COMPLEMENTOS!$C$4:$C$803,A652,MOVIMIENTOS_COMPLEMENTOS!$D$4:$D$803,B652,MOVIMIENTOS_COMPLEMENTOS!$E$4:$E$803,C652,MOVIMIENTOS_COMPLEMENTOS!$G$4:$G$803,E652,MOVIMIENTOS_COMPLEMENTOS!$H$4:$H$803,G652,MOVIMIENTOS_COMPLEMENTOS!$B$4:$B$803,"INGRESO")+SUMIFS(MOVIMIENTOS_COMPLEMENTOS!$I$4:$I$803,MOVIMIENTOS_COMPLEMENTOS!$C$4:$C$803,A652,MOVIMIENTOS_COMPLEMENTOS!$D$4:$D$803,B652,MOVIMIENTOS_COMPLEMENTOS!$E$4:$E$803,C652,MOVIMIENTOS_COMPLEMENTOS!$G$4:$G$803,E652,MOVIMIENTOS_COMPLEMENTOS!$H$4:$H$803,G652,MOVIMIENTOS_COMPLEMENTOS!$B$4:$B$803,"DE CORTE")-SUMIFS(MOVIMIENTOS_COMPLEMENTOS!$I$4:$I$803,MOVIMIENTOS_COMPLEMENTOS!$C$4:$C$803,A652,MOVIMIENTOS_COMPLEMENTOS!$D$4:$D$803,B652,MOVIMIENTOS_COMPLEMENTOS!$E$4:$E$803,C652,MOVIMIENTOS_COMPLEMENTOS!$G$4:$G$803,E652,MOVIMIENTOS_COMPLEMENTOS!$H$4:$H$803,G652,MOVIMIENTOS_COMPLEMENTOS!$B$4:$B$803,"SALIDA"),0)</f>
        <v>0</v>
      </c>
      <c r="I652" s="102">
        <f t="array" ref="I652">IFERROR(INDEX(PRECIOS_COMPLEMENTOS!$C$4:$F$17,MATCH(B652&amp;"_"&amp;C652,PRECIOS_COMPLEMENTOS!$H$4:$H$17,0),IF(OR(G652="S",G652="20cm"),1,IF(OR(G652="M",G652="25cm"),2,IF(OR(G652="L",G652="30cm"),3,IF(OR(G652="XL",G652="35cm"),4,0))))),0)</f>
        <v>0.4</v>
      </c>
      <c r="J652" s="103">
        <f t="shared" si="1"/>
        <v>0</v>
      </c>
      <c r="K652" s="104" t="str">
        <f>IF(H652&lt;0,"ERROR",IF(H652=0,"",IF(H652&lt;CONFIG!$B$4,"CRÍTICO",IF(H652&lt;CONFIG!$B$5,"BAJO","OK"))))</f>
        <v/>
      </c>
    </row>
    <row r="653" ht="15.75" hidden="1" customHeight="1">
      <c r="A653" s="90" t="str">
        <f>IF(CLIENTES!A9="","",CLIENTES!A9)</f>
        <v/>
      </c>
      <c r="B653" s="90" t="s">
        <v>321</v>
      </c>
      <c r="C653" s="91" t="s">
        <v>326</v>
      </c>
      <c r="D653" s="109" t="s">
        <v>353</v>
      </c>
      <c r="E653" s="67" t="str">
        <f>COLORES!A6</f>
        <v>Blanco</v>
      </c>
      <c r="F653" s="67" t="str">
        <f>COLORES!B6</f>
        <v>PPT</v>
      </c>
      <c r="G653" s="90" t="s">
        <v>376</v>
      </c>
      <c r="H653" s="100">
        <f>IFERROR(SUMIFS(MOVIMIENTOS_COMPLEMENTOS!$I$4:$I$803,MOVIMIENTOS_COMPLEMENTOS!$C$4:$C$803,A653,MOVIMIENTOS_COMPLEMENTOS!$D$4:$D$803,B653,MOVIMIENTOS_COMPLEMENTOS!$E$4:$E$803,C653,MOVIMIENTOS_COMPLEMENTOS!$G$4:$G$803,E653,MOVIMIENTOS_COMPLEMENTOS!$H$4:$H$803,G653,MOVIMIENTOS_COMPLEMENTOS!$B$4:$B$803,"INGRESO")+SUMIFS(MOVIMIENTOS_COMPLEMENTOS!$I$4:$I$803,MOVIMIENTOS_COMPLEMENTOS!$C$4:$C$803,A653,MOVIMIENTOS_COMPLEMENTOS!$D$4:$D$803,B653,MOVIMIENTOS_COMPLEMENTOS!$E$4:$E$803,C653,MOVIMIENTOS_COMPLEMENTOS!$G$4:$G$803,E653,MOVIMIENTOS_COMPLEMENTOS!$H$4:$H$803,G653,MOVIMIENTOS_COMPLEMENTOS!$B$4:$B$803,"DE CORTE")-SUMIFS(MOVIMIENTOS_COMPLEMENTOS!$I$4:$I$803,MOVIMIENTOS_COMPLEMENTOS!$C$4:$C$803,A653,MOVIMIENTOS_COMPLEMENTOS!$D$4:$D$803,B653,MOVIMIENTOS_COMPLEMENTOS!$E$4:$E$803,C653,MOVIMIENTOS_COMPLEMENTOS!$G$4:$G$803,E653,MOVIMIENTOS_COMPLEMENTOS!$H$4:$H$803,G653,MOVIMIENTOS_COMPLEMENTOS!$B$4:$B$803,"SALIDA"),0)</f>
        <v>0</v>
      </c>
      <c r="I653" s="102">
        <f t="array" ref="I653">IFERROR(INDEX(PRECIOS_COMPLEMENTOS!$C$4:$F$17,MATCH(B653&amp;"_"&amp;C653,PRECIOS_COMPLEMENTOS!$H$4:$H$17,0),IF(OR(G653="S",G653="20cm"),1,IF(OR(G653="M",G653="25cm"),2,IF(OR(G653="L",G653="30cm"),3,IF(OR(G653="XL",G653="35cm"),4,0))))),0)</f>
        <v>0.45</v>
      </c>
      <c r="J653" s="103">
        <f t="shared" si="1"/>
        <v>0</v>
      </c>
      <c r="K653" s="104" t="str">
        <f>IF(H653&lt;0,"ERROR",IF(H653=0,"",IF(H653&lt;CONFIG!$B$4,"CRÍTICO",IF(H653&lt;CONFIG!$B$5,"BAJO","OK"))))</f>
        <v/>
      </c>
    </row>
    <row r="654" ht="15.75" hidden="1" customHeight="1">
      <c r="A654" s="90" t="str">
        <f>IF(CLIENTES!A9="","",CLIENTES!A9)</f>
        <v/>
      </c>
      <c r="B654" s="90" t="s">
        <v>321</v>
      </c>
      <c r="C654" s="91" t="s">
        <v>326</v>
      </c>
      <c r="D654" s="109" t="s">
        <v>353</v>
      </c>
      <c r="E654" s="67" t="str">
        <f>COLORES!A6</f>
        <v>Blanco</v>
      </c>
      <c r="F654" s="67" t="str">
        <f>COLORES!B6</f>
        <v>PPT</v>
      </c>
      <c r="G654" s="90" t="s">
        <v>377</v>
      </c>
      <c r="H654" s="100">
        <f>IFERROR(SUMIFS(MOVIMIENTOS_COMPLEMENTOS!$I$4:$I$803,MOVIMIENTOS_COMPLEMENTOS!$C$4:$C$803,A654,MOVIMIENTOS_COMPLEMENTOS!$D$4:$D$803,B654,MOVIMIENTOS_COMPLEMENTOS!$E$4:$E$803,C654,MOVIMIENTOS_COMPLEMENTOS!$G$4:$G$803,E654,MOVIMIENTOS_COMPLEMENTOS!$H$4:$H$803,G654,MOVIMIENTOS_COMPLEMENTOS!$B$4:$B$803,"INGRESO")+SUMIFS(MOVIMIENTOS_COMPLEMENTOS!$I$4:$I$803,MOVIMIENTOS_COMPLEMENTOS!$C$4:$C$803,A654,MOVIMIENTOS_COMPLEMENTOS!$D$4:$D$803,B654,MOVIMIENTOS_COMPLEMENTOS!$E$4:$E$803,C654,MOVIMIENTOS_COMPLEMENTOS!$G$4:$G$803,E654,MOVIMIENTOS_COMPLEMENTOS!$H$4:$H$803,G654,MOVIMIENTOS_COMPLEMENTOS!$B$4:$B$803,"DE CORTE")-SUMIFS(MOVIMIENTOS_COMPLEMENTOS!$I$4:$I$803,MOVIMIENTOS_COMPLEMENTOS!$C$4:$C$803,A654,MOVIMIENTOS_COMPLEMENTOS!$D$4:$D$803,B654,MOVIMIENTOS_COMPLEMENTOS!$E$4:$E$803,C654,MOVIMIENTOS_COMPLEMENTOS!$G$4:$G$803,E654,MOVIMIENTOS_COMPLEMENTOS!$H$4:$H$803,G654,MOVIMIENTOS_COMPLEMENTOS!$B$4:$B$803,"SALIDA"),0)</f>
        <v>0</v>
      </c>
      <c r="I654" s="102">
        <f t="array" ref="I654">IFERROR(INDEX(PRECIOS_COMPLEMENTOS!$C$4:$F$17,MATCH(B654&amp;"_"&amp;C654,PRECIOS_COMPLEMENTOS!$H$4:$H$17,0),IF(OR(G654="S",G654="20cm"),1,IF(OR(G654="M",G654="25cm"),2,IF(OR(G654="L",G654="30cm"),3,IF(OR(G654="XL",G654="35cm"),4,0))))),0)</f>
        <v>0.5</v>
      </c>
      <c r="J654" s="103">
        <f t="shared" si="1"/>
        <v>0</v>
      </c>
      <c r="K654" s="104" t="str">
        <f>IF(H654&lt;0,"ERROR",IF(H654=0,"",IF(H654&lt;CONFIG!$B$4,"CRÍTICO",IF(H654&lt;CONFIG!$B$5,"BAJO","OK"))))</f>
        <v/>
      </c>
    </row>
    <row r="655" ht="15.75" hidden="1" customHeight="1">
      <c r="A655" s="90" t="str">
        <f>IF(CLIENTES!A9="","",CLIENTES!A9)</f>
        <v/>
      </c>
      <c r="B655" s="90" t="s">
        <v>321</v>
      </c>
      <c r="C655" s="91" t="s">
        <v>326</v>
      </c>
      <c r="D655" s="109" t="s">
        <v>353</v>
      </c>
      <c r="E655" s="67" t="str">
        <f>COLORES!A6</f>
        <v>Blanco</v>
      </c>
      <c r="F655" s="67" t="str">
        <f>COLORES!B6</f>
        <v>PPT</v>
      </c>
      <c r="G655" s="90" t="s">
        <v>379</v>
      </c>
      <c r="H655" s="100">
        <f>IFERROR(SUMIFS(MOVIMIENTOS_COMPLEMENTOS!$I$4:$I$803,MOVIMIENTOS_COMPLEMENTOS!$C$4:$C$803,A655,MOVIMIENTOS_COMPLEMENTOS!$D$4:$D$803,B655,MOVIMIENTOS_COMPLEMENTOS!$E$4:$E$803,C655,MOVIMIENTOS_COMPLEMENTOS!$G$4:$G$803,E655,MOVIMIENTOS_COMPLEMENTOS!$H$4:$H$803,G655,MOVIMIENTOS_COMPLEMENTOS!$B$4:$B$803,"INGRESO")+SUMIFS(MOVIMIENTOS_COMPLEMENTOS!$I$4:$I$803,MOVIMIENTOS_COMPLEMENTOS!$C$4:$C$803,A655,MOVIMIENTOS_COMPLEMENTOS!$D$4:$D$803,B655,MOVIMIENTOS_COMPLEMENTOS!$E$4:$E$803,C655,MOVIMIENTOS_COMPLEMENTOS!$G$4:$G$803,E655,MOVIMIENTOS_COMPLEMENTOS!$H$4:$H$803,G655,MOVIMIENTOS_COMPLEMENTOS!$B$4:$B$803,"DE CORTE")-SUMIFS(MOVIMIENTOS_COMPLEMENTOS!$I$4:$I$803,MOVIMIENTOS_COMPLEMENTOS!$C$4:$C$803,A655,MOVIMIENTOS_COMPLEMENTOS!$D$4:$D$803,B655,MOVIMIENTOS_COMPLEMENTOS!$E$4:$E$803,C655,MOVIMIENTOS_COMPLEMENTOS!$G$4:$G$803,E655,MOVIMIENTOS_COMPLEMENTOS!$H$4:$H$803,G655,MOVIMIENTOS_COMPLEMENTOS!$B$4:$B$803,"SALIDA"),0)</f>
        <v>0</v>
      </c>
      <c r="I655" s="102">
        <f t="array" ref="I655">IFERROR(INDEX(PRECIOS_COMPLEMENTOS!$C$4:$F$17,MATCH(B655&amp;"_"&amp;C655,PRECIOS_COMPLEMENTOS!$H$4:$H$17,0),IF(OR(G655="S",G655="20cm"),1,IF(OR(G655="M",G655="25cm"),2,IF(OR(G655="L",G655="30cm"),3,IF(OR(G655="XL",G655="35cm"),4,0))))),0)</f>
        <v>0.55</v>
      </c>
      <c r="J655" s="103">
        <f t="shared" si="1"/>
        <v>0</v>
      </c>
      <c r="K655" s="104" t="str">
        <f>IF(H655&lt;0,"ERROR",IF(H655=0,"",IF(H655&lt;CONFIG!$B$4,"CRÍTICO",IF(H655&lt;CONFIG!$B$5,"BAJO","OK"))))</f>
        <v/>
      </c>
    </row>
    <row r="656" ht="15.75" hidden="1" customHeight="1">
      <c r="A656" s="90" t="str">
        <f>IF(CLIENTES!A9="","",CLIENTES!A9)</f>
        <v/>
      </c>
      <c r="B656" s="90" t="s">
        <v>321</v>
      </c>
      <c r="C656" s="91" t="s">
        <v>326</v>
      </c>
      <c r="D656" s="109" t="s">
        <v>353</v>
      </c>
      <c r="E656" s="67" t="str">
        <f>COLORES!A7</f>
        <v>Azul</v>
      </c>
      <c r="F656" s="67" t="str">
        <f>COLORES!B7</f>
        <v>OSCURO</v>
      </c>
      <c r="G656" s="90" t="s">
        <v>378</v>
      </c>
      <c r="H656" s="100">
        <f>IFERROR(SUMIFS(MOVIMIENTOS_COMPLEMENTOS!$I$4:$I$803,MOVIMIENTOS_COMPLEMENTOS!$C$4:$C$803,A656,MOVIMIENTOS_COMPLEMENTOS!$D$4:$D$803,B656,MOVIMIENTOS_COMPLEMENTOS!$E$4:$E$803,C656,MOVIMIENTOS_COMPLEMENTOS!$G$4:$G$803,E656,MOVIMIENTOS_COMPLEMENTOS!$H$4:$H$803,G656,MOVIMIENTOS_COMPLEMENTOS!$B$4:$B$803,"INGRESO")+SUMIFS(MOVIMIENTOS_COMPLEMENTOS!$I$4:$I$803,MOVIMIENTOS_COMPLEMENTOS!$C$4:$C$803,A656,MOVIMIENTOS_COMPLEMENTOS!$D$4:$D$803,B656,MOVIMIENTOS_COMPLEMENTOS!$E$4:$E$803,C656,MOVIMIENTOS_COMPLEMENTOS!$G$4:$G$803,E656,MOVIMIENTOS_COMPLEMENTOS!$H$4:$H$803,G656,MOVIMIENTOS_COMPLEMENTOS!$B$4:$B$803,"DE CORTE")-SUMIFS(MOVIMIENTOS_COMPLEMENTOS!$I$4:$I$803,MOVIMIENTOS_COMPLEMENTOS!$C$4:$C$803,A656,MOVIMIENTOS_COMPLEMENTOS!$D$4:$D$803,B656,MOVIMIENTOS_COMPLEMENTOS!$E$4:$E$803,C656,MOVIMIENTOS_COMPLEMENTOS!$G$4:$G$803,E656,MOVIMIENTOS_COMPLEMENTOS!$H$4:$H$803,G656,MOVIMIENTOS_COMPLEMENTOS!$B$4:$B$803,"SALIDA"),0)</f>
        <v>0</v>
      </c>
      <c r="I656" s="102">
        <f t="array" ref="I656">IFERROR(INDEX(PRECIOS_COMPLEMENTOS!$C$4:$F$17,MATCH(B656&amp;"_"&amp;C656,PRECIOS_COMPLEMENTOS!$H$4:$H$17,0),IF(OR(G656="S",G656="20cm"),1,IF(OR(G656="M",G656="25cm"),2,IF(OR(G656="L",G656="30cm"),3,IF(OR(G656="XL",G656="35cm"),4,0))))),0)</f>
        <v>0.4</v>
      </c>
      <c r="J656" s="103">
        <f t="shared" si="1"/>
        <v>0</v>
      </c>
      <c r="K656" s="104" t="str">
        <f>IF(H656&lt;0,"ERROR",IF(H656=0,"",IF(H656&lt;CONFIG!$B$4,"CRÍTICO",IF(H656&lt;CONFIG!$B$5,"BAJO","OK"))))</f>
        <v/>
      </c>
    </row>
    <row r="657" ht="15.75" hidden="1" customHeight="1">
      <c r="A657" s="90" t="str">
        <f>IF(CLIENTES!A9="","",CLIENTES!A9)</f>
        <v/>
      </c>
      <c r="B657" s="90" t="s">
        <v>321</v>
      </c>
      <c r="C657" s="91" t="s">
        <v>326</v>
      </c>
      <c r="D657" s="109" t="s">
        <v>353</v>
      </c>
      <c r="E657" s="67" t="str">
        <f>COLORES!A7</f>
        <v>Azul</v>
      </c>
      <c r="F657" s="67" t="str">
        <f>COLORES!B7</f>
        <v>OSCURO</v>
      </c>
      <c r="G657" s="90" t="s">
        <v>376</v>
      </c>
      <c r="H657" s="100">
        <f>IFERROR(SUMIFS(MOVIMIENTOS_COMPLEMENTOS!$I$4:$I$803,MOVIMIENTOS_COMPLEMENTOS!$C$4:$C$803,A657,MOVIMIENTOS_COMPLEMENTOS!$D$4:$D$803,B657,MOVIMIENTOS_COMPLEMENTOS!$E$4:$E$803,C657,MOVIMIENTOS_COMPLEMENTOS!$G$4:$G$803,E657,MOVIMIENTOS_COMPLEMENTOS!$H$4:$H$803,G657,MOVIMIENTOS_COMPLEMENTOS!$B$4:$B$803,"INGRESO")+SUMIFS(MOVIMIENTOS_COMPLEMENTOS!$I$4:$I$803,MOVIMIENTOS_COMPLEMENTOS!$C$4:$C$803,A657,MOVIMIENTOS_COMPLEMENTOS!$D$4:$D$803,B657,MOVIMIENTOS_COMPLEMENTOS!$E$4:$E$803,C657,MOVIMIENTOS_COMPLEMENTOS!$G$4:$G$803,E657,MOVIMIENTOS_COMPLEMENTOS!$H$4:$H$803,G657,MOVIMIENTOS_COMPLEMENTOS!$B$4:$B$803,"DE CORTE")-SUMIFS(MOVIMIENTOS_COMPLEMENTOS!$I$4:$I$803,MOVIMIENTOS_COMPLEMENTOS!$C$4:$C$803,A657,MOVIMIENTOS_COMPLEMENTOS!$D$4:$D$803,B657,MOVIMIENTOS_COMPLEMENTOS!$E$4:$E$803,C657,MOVIMIENTOS_COMPLEMENTOS!$G$4:$G$803,E657,MOVIMIENTOS_COMPLEMENTOS!$H$4:$H$803,G657,MOVIMIENTOS_COMPLEMENTOS!$B$4:$B$803,"SALIDA"),0)</f>
        <v>0</v>
      </c>
      <c r="I657" s="102">
        <f t="array" ref="I657">IFERROR(INDEX(PRECIOS_COMPLEMENTOS!$C$4:$F$17,MATCH(B657&amp;"_"&amp;C657,PRECIOS_COMPLEMENTOS!$H$4:$H$17,0),IF(OR(G657="S",G657="20cm"),1,IF(OR(G657="M",G657="25cm"),2,IF(OR(G657="L",G657="30cm"),3,IF(OR(G657="XL",G657="35cm"),4,0))))),0)</f>
        <v>0.45</v>
      </c>
      <c r="J657" s="103">
        <f t="shared" si="1"/>
        <v>0</v>
      </c>
      <c r="K657" s="104" t="str">
        <f>IF(H657&lt;0,"ERROR",IF(H657=0,"",IF(H657&lt;CONFIG!$B$4,"CRÍTICO",IF(H657&lt;CONFIG!$B$5,"BAJO","OK"))))</f>
        <v/>
      </c>
    </row>
    <row r="658" ht="15.75" hidden="1" customHeight="1">
      <c r="A658" s="90" t="str">
        <f>IF(CLIENTES!A9="","",CLIENTES!A9)</f>
        <v/>
      </c>
      <c r="B658" s="90" t="s">
        <v>321</v>
      </c>
      <c r="C658" s="91" t="s">
        <v>326</v>
      </c>
      <c r="D658" s="109" t="s">
        <v>353</v>
      </c>
      <c r="E658" s="67" t="str">
        <f>COLORES!A7</f>
        <v>Azul</v>
      </c>
      <c r="F658" s="67" t="str">
        <f>COLORES!B7</f>
        <v>OSCURO</v>
      </c>
      <c r="G658" s="90" t="s">
        <v>377</v>
      </c>
      <c r="H658" s="100">
        <f>IFERROR(SUMIFS(MOVIMIENTOS_COMPLEMENTOS!$I$4:$I$803,MOVIMIENTOS_COMPLEMENTOS!$C$4:$C$803,A658,MOVIMIENTOS_COMPLEMENTOS!$D$4:$D$803,B658,MOVIMIENTOS_COMPLEMENTOS!$E$4:$E$803,C658,MOVIMIENTOS_COMPLEMENTOS!$G$4:$G$803,E658,MOVIMIENTOS_COMPLEMENTOS!$H$4:$H$803,G658,MOVIMIENTOS_COMPLEMENTOS!$B$4:$B$803,"INGRESO")+SUMIFS(MOVIMIENTOS_COMPLEMENTOS!$I$4:$I$803,MOVIMIENTOS_COMPLEMENTOS!$C$4:$C$803,A658,MOVIMIENTOS_COMPLEMENTOS!$D$4:$D$803,B658,MOVIMIENTOS_COMPLEMENTOS!$E$4:$E$803,C658,MOVIMIENTOS_COMPLEMENTOS!$G$4:$G$803,E658,MOVIMIENTOS_COMPLEMENTOS!$H$4:$H$803,G658,MOVIMIENTOS_COMPLEMENTOS!$B$4:$B$803,"DE CORTE")-SUMIFS(MOVIMIENTOS_COMPLEMENTOS!$I$4:$I$803,MOVIMIENTOS_COMPLEMENTOS!$C$4:$C$803,A658,MOVIMIENTOS_COMPLEMENTOS!$D$4:$D$803,B658,MOVIMIENTOS_COMPLEMENTOS!$E$4:$E$803,C658,MOVIMIENTOS_COMPLEMENTOS!$G$4:$G$803,E658,MOVIMIENTOS_COMPLEMENTOS!$H$4:$H$803,G658,MOVIMIENTOS_COMPLEMENTOS!$B$4:$B$803,"SALIDA"),0)</f>
        <v>0</v>
      </c>
      <c r="I658" s="102">
        <f t="array" ref="I658">IFERROR(INDEX(PRECIOS_COMPLEMENTOS!$C$4:$F$17,MATCH(B658&amp;"_"&amp;C658,PRECIOS_COMPLEMENTOS!$H$4:$H$17,0),IF(OR(G658="S",G658="20cm"),1,IF(OR(G658="M",G658="25cm"),2,IF(OR(G658="L",G658="30cm"),3,IF(OR(G658="XL",G658="35cm"),4,0))))),0)</f>
        <v>0.5</v>
      </c>
      <c r="J658" s="103">
        <f t="shared" si="1"/>
        <v>0</v>
      </c>
      <c r="K658" s="104" t="str">
        <f>IF(H658&lt;0,"ERROR",IF(H658=0,"",IF(H658&lt;CONFIG!$B$4,"CRÍTICO",IF(H658&lt;CONFIG!$B$5,"BAJO","OK"))))</f>
        <v/>
      </c>
    </row>
    <row r="659" ht="15.75" hidden="1" customHeight="1">
      <c r="A659" s="90" t="str">
        <f>IF(CLIENTES!A9="","",CLIENTES!A9)</f>
        <v/>
      </c>
      <c r="B659" s="90" t="s">
        <v>321</v>
      </c>
      <c r="C659" s="91" t="s">
        <v>326</v>
      </c>
      <c r="D659" s="109" t="s">
        <v>353</v>
      </c>
      <c r="E659" s="67" t="str">
        <f>COLORES!A7</f>
        <v>Azul</v>
      </c>
      <c r="F659" s="67" t="str">
        <f>COLORES!B7</f>
        <v>OSCURO</v>
      </c>
      <c r="G659" s="90" t="s">
        <v>379</v>
      </c>
      <c r="H659" s="100">
        <f>IFERROR(SUMIFS(MOVIMIENTOS_COMPLEMENTOS!$I$4:$I$803,MOVIMIENTOS_COMPLEMENTOS!$C$4:$C$803,A659,MOVIMIENTOS_COMPLEMENTOS!$D$4:$D$803,B659,MOVIMIENTOS_COMPLEMENTOS!$E$4:$E$803,C659,MOVIMIENTOS_COMPLEMENTOS!$G$4:$G$803,E659,MOVIMIENTOS_COMPLEMENTOS!$H$4:$H$803,G659,MOVIMIENTOS_COMPLEMENTOS!$B$4:$B$803,"INGRESO")+SUMIFS(MOVIMIENTOS_COMPLEMENTOS!$I$4:$I$803,MOVIMIENTOS_COMPLEMENTOS!$C$4:$C$803,A659,MOVIMIENTOS_COMPLEMENTOS!$D$4:$D$803,B659,MOVIMIENTOS_COMPLEMENTOS!$E$4:$E$803,C659,MOVIMIENTOS_COMPLEMENTOS!$G$4:$G$803,E659,MOVIMIENTOS_COMPLEMENTOS!$H$4:$H$803,G659,MOVIMIENTOS_COMPLEMENTOS!$B$4:$B$803,"DE CORTE")-SUMIFS(MOVIMIENTOS_COMPLEMENTOS!$I$4:$I$803,MOVIMIENTOS_COMPLEMENTOS!$C$4:$C$803,A659,MOVIMIENTOS_COMPLEMENTOS!$D$4:$D$803,B659,MOVIMIENTOS_COMPLEMENTOS!$E$4:$E$803,C659,MOVIMIENTOS_COMPLEMENTOS!$G$4:$G$803,E659,MOVIMIENTOS_COMPLEMENTOS!$H$4:$H$803,G659,MOVIMIENTOS_COMPLEMENTOS!$B$4:$B$803,"SALIDA"),0)</f>
        <v>0</v>
      </c>
      <c r="I659" s="102">
        <f t="array" ref="I659">IFERROR(INDEX(PRECIOS_COMPLEMENTOS!$C$4:$F$17,MATCH(B659&amp;"_"&amp;C659,PRECIOS_COMPLEMENTOS!$H$4:$H$17,0),IF(OR(G659="S",G659="20cm"),1,IF(OR(G659="M",G659="25cm"),2,IF(OR(G659="L",G659="30cm"),3,IF(OR(G659="XL",G659="35cm"),4,0))))),0)</f>
        <v>0.55</v>
      </c>
      <c r="J659" s="103">
        <f t="shared" si="1"/>
        <v>0</v>
      </c>
      <c r="K659" s="104" t="str">
        <f>IF(H659&lt;0,"ERROR",IF(H659=0,"",IF(H659&lt;CONFIG!$B$4,"CRÍTICO",IF(H659&lt;CONFIG!$B$5,"BAJO","OK"))))</f>
        <v/>
      </c>
    </row>
    <row r="660" ht="15.75" hidden="1" customHeight="1">
      <c r="A660" s="90" t="str">
        <f>IF(CLIENTES!A9="","",CLIENTES!A9)</f>
        <v/>
      </c>
      <c r="B660" s="90" t="s">
        <v>321</v>
      </c>
      <c r="C660" s="91" t="s">
        <v>326</v>
      </c>
      <c r="D660" s="109" t="s">
        <v>353</v>
      </c>
      <c r="E660" s="67" t="str">
        <f>COLORES!A8</f>
        <v>Beige</v>
      </c>
      <c r="F660" s="67" t="str">
        <f>COLORES!B8</f>
        <v>CLARO</v>
      </c>
      <c r="G660" s="90" t="s">
        <v>378</v>
      </c>
      <c r="H660" s="100">
        <f>IFERROR(SUMIFS(MOVIMIENTOS_COMPLEMENTOS!$I$4:$I$803,MOVIMIENTOS_COMPLEMENTOS!$C$4:$C$803,A660,MOVIMIENTOS_COMPLEMENTOS!$D$4:$D$803,B660,MOVIMIENTOS_COMPLEMENTOS!$E$4:$E$803,C660,MOVIMIENTOS_COMPLEMENTOS!$G$4:$G$803,E660,MOVIMIENTOS_COMPLEMENTOS!$H$4:$H$803,G660,MOVIMIENTOS_COMPLEMENTOS!$B$4:$B$803,"INGRESO")+SUMIFS(MOVIMIENTOS_COMPLEMENTOS!$I$4:$I$803,MOVIMIENTOS_COMPLEMENTOS!$C$4:$C$803,A660,MOVIMIENTOS_COMPLEMENTOS!$D$4:$D$803,B660,MOVIMIENTOS_COMPLEMENTOS!$E$4:$E$803,C660,MOVIMIENTOS_COMPLEMENTOS!$G$4:$G$803,E660,MOVIMIENTOS_COMPLEMENTOS!$H$4:$H$803,G660,MOVIMIENTOS_COMPLEMENTOS!$B$4:$B$803,"DE CORTE")-SUMIFS(MOVIMIENTOS_COMPLEMENTOS!$I$4:$I$803,MOVIMIENTOS_COMPLEMENTOS!$C$4:$C$803,A660,MOVIMIENTOS_COMPLEMENTOS!$D$4:$D$803,B660,MOVIMIENTOS_COMPLEMENTOS!$E$4:$E$803,C660,MOVIMIENTOS_COMPLEMENTOS!$G$4:$G$803,E660,MOVIMIENTOS_COMPLEMENTOS!$H$4:$H$803,G660,MOVIMIENTOS_COMPLEMENTOS!$B$4:$B$803,"SALIDA"),0)</f>
        <v>0</v>
      </c>
      <c r="I660" s="102">
        <f t="array" ref="I660">IFERROR(INDEX(PRECIOS_COMPLEMENTOS!$C$4:$F$17,MATCH(B660&amp;"_"&amp;C660,PRECIOS_COMPLEMENTOS!$H$4:$H$17,0),IF(OR(G660="S",G660="20cm"),1,IF(OR(G660="M",G660="25cm"),2,IF(OR(G660="L",G660="30cm"),3,IF(OR(G660="XL",G660="35cm"),4,0))))),0)</f>
        <v>0.4</v>
      </c>
      <c r="J660" s="103">
        <f t="shared" si="1"/>
        <v>0</v>
      </c>
      <c r="K660" s="104" t="str">
        <f>IF(H660&lt;0,"ERROR",IF(H660=0,"",IF(H660&lt;CONFIG!$B$4,"CRÍTICO",IF(H660&lt;CONFIG!$B$5,"BAJO","OK"))))</f>
        <v/>
      </c>
    </row>
    <row r="661" ht="15.75" hidden="1" customHeight="1">
      <c r="A661" s="90" t="str">
        <f>IF(CLIENTES!A9="","",CLIENTES!A9)</f>
        <v/>
      </c>
      <c r="B661" s="90" t="s">
        <v>321</v>
      </c>
      <c r="C661" s="91" t="s">
        <v>326</v>
      </c>
      <c r="D661" s="109" t="s">
        <v>353</v>
      </c>
      <c r="E661" s="67" t="str">
        <f>COLORES!A8</f>
        <v>Beige</v>
      </c>
      <c r="F661" s="67" t="str">
        <f>COLORES!B8</f>
        <v>CLARO</v>
      </c>
      <c r="G661" s="90" t="s">
        <v>376</v>
      </c>
      <c r="H661" s="100">
        <f>IFERROR(SUMIFS(MOVIMIENTOS_COMPLEMENTOS!$I$4:$I$803,MOVIMIENTOS_COMPLEMENTOS!$C$4:$C$803,A661,MOVIMIENTOS_COMPLEMENTOS!$D$4:$D$803,B661,MOVIMIENTOS_COMPLEMENTOS!$E$4:$E$803,C661,MOVIMIENTOS_COMPLEMENTOS!$G$4:$G$803,E661,MOVIMIENTOS_COMPLEMENTOS!$H$4:$H$803,G661,MOVIMIENTOS_COMPLEMENTOS!$B$4:$B$803,"INGRESO")+SUMIFS(MOVIMIENTOS_COMPLEMENTOS!$I$4:$I$803,MOVIMIENTOS_COMPLEMENTOS!$C$4:$C$803,A661,MOVIMIENTOS_COMPLEMENTOS!$D$4:$D$803,B661,MOVIMIENTOS_COMPLEMENTOS!$E$4:$E$803,C661,MOVIMIENTOS_COMPLEMENTOS!$G$4:$G$803,E661,MOVIMIENTOS_COMPLEMENTOS!$H$4:$H$803,G661,MOVIMIENTOS_COMPLEMENTOS!$B$4:$B$803,"DE CORTE")-SUMIFS(MOVIMIENTOS_COMPLEMENTOS!$I$4:$I$803,MOVIMIENTOS_COMPLEMENTOS!$C$4:$C$803,A661,MOVIMIENTOS_COMPLEMENTOS!$D$4:$D$803,B661,MOVIMIENTOS_COMPLEMENTOS!$E$4:$E$803,C661,MOVIMIENTOS_COMPLEMENTOS!$G$4:$G$803,E661,MOVIMIENTOS_COMPLEMENTOS!$H$4:$H$803,G661,MOVIMIENTOS_COMPLEMENTOS!$B$4:$B$803,"SALIDA"),0)</f>
        <v>0</v>
      </c>
      <c r="I661" s="102">
        <f t="array" ref="I661">IFERROR(INDEX(PRECIOS_COMPLEMENTOS!$C$4:$F$17,MATCH(B661&amp;"_"&amp;C661,PRECIOS_COMPLEMENTOS!$H$4:$H$17,0),IF(OR(G661="S",G661="20cm"),1,IF(OR(G661="M",G661="25cm"),2,IF(OR(G661="L",G661="30cm"),3,IF(OR(G661="XL",G661="35cm"),4,0))))),0)</f>
        <v>0.45</v>
      </c>
      <c r="J661" s="103">
        <f t="shared" si="1"/>
        <v>0</v>
      </c>
      <c r="K661" s="104" t="str">
        <f>IF(H661&lt;0,"ERROR",IF(H661=0,"",IF(H661&lt;CONFIG!$B$4,"CRÍTICO",IF(H661&lt;CONFIG!$B$5,"BAJO","OK"))))</f>
        <v/>
      </c>
    </row>
    <row r="662" ht="15.75" hidden="1" customHeight="1">
      <c r="A662" s="90" t="str">
        <f>IF(CLIENTES!A9="","",CLIENTES!A9)</f>
        <v/>
      </c>
      <c r="B662" s="90" t="s">
        <v>321</v>
      </c>
      <c r="C662" s="91" t="s">
        <v>326</v>
      </c>
      <c r="D662" s="109" t="s">
        <v>353</v>
      </c>
      <c r="E662" s="67" t="str">
        <f>COLORES!A8</f>
        <v>Beige</v>
      </c>
      <c r="F662" s="67" t="str">
        <f>COLORES!B8</f>
        <v>CLARO</v>
      </c>
      <c r="G662" s="90" t="s">
        <v>377</v>
      </c>
      <c r="H662" s="100">
        <f>IFERROR(SUMIFS(MOVIMIENTOS_COMPLEMENTOS!$I$4:$I$803,MOVIMIENTOS_COMPLEMENTOS!$C$4:$C$803,A662,MOVIMIENTOS_COMPLEMENTOS!$D$4:$D$803,B662,MOVIMIENTOS_COMPLEMENTOS!$E$4:$E$803,C662,MOVIMIENTOS_COMPLEMENTOS!$G$4:$G$803,E662,MOVIMIENTOS_COMPLEMENTOS!$H$4:$H$803,G662,MOVIMIENTOS_COMPLEMENTOS!$B$4:$B$803,"INGRESO")+SUMIFS(MOVIMIENTOS_COMPLEMENTOS!$I$4:$I$803,MOVIMIENTOS_COMPLEMENTOS!$C$4:$C$803,A662,MOVIMIENTOS_COMPLEMENTOS!$D$4:$D$803,B662,MOVIMIENTOS_COMPLEMENTOS!$E$4:$E$803,C662,MOVIMIENTOS_COMPLEMENTOS!$G$4:$G$803,E662,MOVIMIENTOS_COMPLEMENTOS!$H$4:$H$803,G662,MOVIMIENTOS_COMPLEMENTOS!$B$4:$B$803,"DE CORTE")-SUMIFS(MOVIMIENTOS_COMPLEMENTOS!$I$4:$I$803,MOVIMIENTOS_COMPLEMENTOS!$C$4:$C$803,A662,MOVIMIENTOS_COMPLEMENTOS!$D$4:$D$803,B662,MOVIMIENTOS_COMPLEMENTOS!$E$4:$E$803,C662,MOVIMIENTOS_COMPLEMENTOS!$G$4:$G$803,E662,MOVIMIENTOS_COMPLEMENTOS!$H$4:$H$803,G662,MOVIMIENTOS_COMPLEMENTOS!$B$4:$B$803,"SALIDA"),0)</f>
        <v>0</v>
      </c>
      <c r="I662" s="102">
        <f t="array" ref="I662">IFERROR(INDEX(PRECIOS_COMPLEMENTOS!$C$4:$F$17,MATCH(B662&amp;"_"&amp;C662,PRECIOS_COMPLEMENTOS!$H$4:$H$17,0),IF(OR(G662="S",G662="20cm"),1,IF(OR(G662="M",G662="25cm"),2,IF(OR(G662="L",G662="30cm"),3,IF(OR(G662="XL",G662="35cm"),4,0))))),0)</f>
        <v>0.5</v>
      </c>
      <c r="J662" s="103">
        <f t="shared" si="1"/>
        <v>0</v>
      </c>
      <c r="K662" s="104" t="str">
        <f>IF(H662&lt;0,"ERROR",IF(H662=0,"",IF(H662&lt;CONFIG!$B$4,"CRÍTICO",IF(H662&lt;CONFIG!$B$5,"BAJO","OK"))))</f>
        <v/>
      </c>
    </row>
    <row r="663" ht="15.75" hidden="1" customHeight="1">
      <c r="A663" s="90" t="str">
        <f>IF(CLIENTES!A9="","",CLIENTES!A9)</f>
        <v/>
      </c>
      <c r="B663" s="90" t="s">
        <v>321</v>
      </c>
      <c r="C663" s="91" t="s">
        <v>326</v>
      </c>
      <c r="D663" s="109" t="s">
        <v>353</v>
      </c>
      <c r="E663" s="67" t="str">
        <f>COLORES!A8</f>
        <v>Beige</v>
      </c>
      <c r="F663" s="67" t="str">
        <f>COLORES!B8</f>
        <v>CLARO</v>
      </c>
      <c r="G663" s="90" t="s">
        <v>379</v>
      </c>
      <c r="H663" s="100">
        <f>IFERROR(SUMIFS(MOVIMIENTOS_COMPLEMENTOS!$I$4:$I$803,MOVIMIENTOS_COMPLEMENTOS!$C$4:$C$803,A663,MOVIMIENTOS_COMPLEMENTOS!$D$4:$D$803,B663,MOVIMIENTOS_COMPLEMENTOS!$E$4:$E$803,C663,MOVIMIENTOS_COMPLEMENTOS!$G$4:$G$803,E663,MOVIMIENTOS_COMPLEMENTOS!$H$4:$H$803,G663,MOVIMIENTOS_COMPLEMENTOS!$B$4:$B$803,"INGRESO")+SUMIFS(MOVIMIENTOS_COMPLEMENTOS!$I$4:$I$803,MOVIMIENTOS_COMPLEMENTOS!$C$4:$C$803,A663,MOVIMIENTOS_COMPLEMENTOS!$D$4:$D$803,B663,MOVIMIENTOS_COMPLEMENTOS!$E$4:$E$803,C663,MOVIMIENTOS_COMPLEMENTOS!$G$4:$G$803,E663,MOVIMIENTOS_COMPLEMENTOS!$H$4:$H$803,G663,MOVIMIENTOS_COMPLEMENTOS!$B$4:$B$803,"DE CORTE")-SUMIFS(MOVIMIENTOS_COMPLEMENTOS!$I$4:$I$803,MOVIMIENTOS_COMPLEMENTOS!$C$4:$C$803,A663,MOVIMIENTOS_COMPLEMENTOS!$D$4:$D$803,B663,MOVIMIENTOS_COMPLEMENTOS!$E$4:$E$803,C663,MOVIMIENTOS_COMPLEMENTOS!$G$4:$G$803,E663,MOVIMIENTOS_COMPLEMENTOS!$H$4:$H$803,G663,MOVIMIENTOS_COMPLEMENTOS!$B$4:$B$803,"SALIDA"),0)</f>
        <v>0</v>
      </c>
      <c r="I663" s="102">
        <f t="array" ref="I663">IFERROR(INDEX(PRECIOS_COMPLEMENTOS!$C$4:$F$17,MATCH(B663&amp;"_"&amp;C663,PRECIOS_COMPLEMENTOS!$H$4:$H$17,0),IF(OR(G663="S",G663="20cm"),1,IF(OR(G663="M",G663="25cm"),2,IF(OR(G663="L",G663="30cm"),3,IF(OR(G663="XL",G663="35cm"),4,0))))),0)</f>
        <v>0.55</v>
      </c>
      <c r="J663" s="103">
        <f t="shared" si="1"/>
        <v>0</v>
      </c>
      <c r="K663" s="104" t="str">
        <f>IF(H663&lt;0,"ERROR",IF(H663=0,"",IF(H663&lt;CONFIG!$B$4,"CRÍTICO",IF(H663&lt;CONFIG!$B$5,"BAJO","OK"))))</f>
        <v/>
      </c>
    </row>
    <row r="664" ht="15.75" hidden="1" customHeight="1">
      <c r="A664" s="90" t="str">
        <f>IF(CLIENTES!A9="","",CLIENTES!A9)</f>
        <v/>
      </c>
      <c r="B664" s="90" t="s">
        <v>321</v>
      </c>
      <c r="C664" s="91" t="s">
        <v>326</v>
      </c>
      <c r="D664" s="109" t="s">
        <v>353</v>
      </c>
      <c r="E664" s="67" t="str">
        <f>COLORES!A9</f>
        <v>Melange</v>
      </c>
      <c r="F664" s="67" t="str">
        <f>COLORES!B9</f>
        <v>MELANGE</v>
      </c>
      <c r="G664" s="90" t="s">
        <v>378</v>
      </c>
      <c r="H664" s="100">
        <f>IFERROR(SUMIFS(MOVIMIENTOS_COMPLEMENTOS!$I$4:$I$803,MOVIMIENTOS_COMPLEMENTOS!$C$4:$C$803,A664,MOVIMIENTOS_COMPLEMENTOS!$D$4:$D$803,B664,MOVIMIENTOS_COMPLEMENTOS!$E$4:$E$803,C664,MOVIMIENTOS_COMPLEMENTOS!$G$4:$G$803,E664,MOVIMIENTOS_COMPLEMENTOS!$H$4:$H$803,G664,MOVIMIENTOS_COMPLEMENTOS!$B$4:$B$803,"INGRESO")+SUMIFS(MOVIMIENTOS_COMPLEMENTOS!$I$4:$I$803,MOVIMIENTOS_COMPLEMENTOS!$C$4:$C$803,A664,MOVIMIENTOS_COMPLEMENTOS!$D$4:$D$803,B664,MOVIMIENTOS_COMPLEMENTOS!$E$4:$E$803,C664,MOVIMIENTOS_COMPLEMENTOS!$G$4:$G$803,E664,MOVIMIENTOS_COMPLEMENTOS!$H$4:$H$803,G664,MOVIMIENTOS_COMPLEMENTOS!$B$4:$B$803,"DE CORTE")-SUMIFS(MOVIMIENTOS_COMPLEMENTOS!$I$4:$I$803,MOVIMIENTOS_COMPLEMENTOS!$C$4:$C$803,A664,MOVIMIENTOS_COMPLEMENTOS!$D$4:$D$803,B664,MOVIMIENTOS_COMPLEMENTOS!$E$4:$E$803,C664,MOVIMIENTOS_COMPLEMENTOS!$G$4:$G$803,E664,MOVIMIENTOS_COMPLEMENTOS!$H$4:$H$803,G664,MOVIMIENTOS_COMPLEMENTOS!$B$4:$B$803,"SALIDA"),0)</f>
        <v>0</v>
      </c>
      <c r="I664" s="102">
        <f t="array" ref="I664">IFERROR(INDEX(PRECIOS_COMPLEMENTOS!$C$4:$F$17,MATCH(B664&amp;"_"&amp;C664,PRECIOS_COMPLEMENTOS!$H$4:$H$17,0),IF(OR(G664="S",G664="20cm"),1,IF(OR(G664="M",G664="25cm"),2,IF(OR(G664="L",G664="30cm"),3,IF(OR(G664="XL",G664="35cm"),4,0))))),0)</f>
        <v>0.4</v>
      </c>
      <c r="J664" s="103">
        <f t="shared" si="1"/>
        <v>0</v>
      </c>
      <c r="K664" s="104" t="str">
        <f>IF(H664&lt;0,"ERROR",IF(H664=0,"",IF(H664&lt;CONFIG!$B$4,"CRÍTICO",IF(H664&lt;CONFIG!$B$5,"BAJO","OK"))))</f>
        <v/>
      </c>
    </row>
    <row r="665" ht="15.75" hidden="1" customHeight="1">
      <c r="A665" s="90" t="str">
        <f>IF(CLIENTES!A9="","",CLIENTES!A9)</f>
        <v/>
      </c>
      <c r="B665" s="90" t="s">
        <v>321</v>
      </c>
      <c r="C665" s="91" t="s">
        <v>326</v>
      </c>
      <c r="D665" s="109" t="s">
        <v>353</v>
      </c>
      <c r="E665" s="67" t="str">
        <f>COLORES!A9</f>
        <v>Melange</v>
      </c>
      <c r="F665" s="67" t="str">
        <f>COLORES!B9</f>
        <v>MELANGE</v>
      </c>
      <c r="G665" s="90" t="s">
        <v>376</v>
      </c>
      <c r="H665" s="100">
        <f>IFERROR(SUMIFS(MOVIMIENTOS_COMPLEMENTOS!$I$4:$I$803,MOVIMIENTOS_COMPLEMENTOS!$C$4:$C$803,A665,MOVIMIENTOS_COMPLEMENTOS!$D$4:$D$803,B665,MOVIMIENTOS_COMPLEMENTOS!$E$4:$E$803,C665,MOVIMIENTOS_COMPLEMENTOS!$G$4:$G$803,E665,MOVIMIENTOS_COMPLEMENTOS!$H$4:$H$803,G665,MOVIMIENTOS_COMPLEMENTOS!$B$4:$B$803,"INGRESO")+SUMIFS(MOVIMIENTOS_COMPLEMENTOS!$I$4:$I$803,MOVIMIENTOS_COMPLEMENTOS!$C$4:$C$803,A665,MOVIMIENTOS_COMPLEMENTOS!$D$4:$D$803,B665,MOVIMIENTOS_COMPLEMENTOS!$E$4:$E$803,C665,MOVIMIENTOS_COMPLEMENTOS!$G$4:$G$803,E665,MOVIMIENTOS_COMPLEMENTOS!$H$4:$H$803,G665,MOVIMIENTOS_COMPLEMENTOS!$B$4:$B$803,"DE CORTE")-SUMIFS(MOVIMIENTOS_COMPLEMENTOS!$I$4:$I$803,MOVIMIENTOS_COMPLEMENTOS!$C$4:$C$803,A665,MOVIMIENTOS_COMPLEMENTOS!$D$4:$D$803,B665,MOVIMIENTOS_COMPLEMENTOS!$E$4:$E$803,C665,MOVIMIENTOS_COMPLEMENTOS!$G$4:$G$803,E665,MOVIMIENTOS_COMPLEMENTOS!$H$4:$H$803,G665,MOVIMIENTOS_COMPLEMENTOS!$B$4:$B$803,"SALIDA"),0)</f>
        <v>0</v>
      </c>
      <c r="I665" s="102">
        <f t="array" ref="I665">IFERROR(INDEX(PRECIOS_COMPLEMENTOS!$C$4:$F$17,MATCH(B665&amp;"_"&amp;C665,PRECIOS_COMPLEMENTOS!$H$4:$H$17,0),IF(OR(G665="S",G665="20cm"),1,IF(OR(G665="M",G665="25cm"),2,IF(OR(G665="L",G665="30cm"),3,IF(OR(G665="XL",G665="35cm"),4,0))))),0)</f>
        <v>0.45</v>
      </c>
      <c r="J665" s="103">
        <f t="shared" si="1"/>
        <v>0</v>
      </c>
      <c r="K665" s="104" t="str">
        <f>IF(H665&lt;0,"ERROR",IF(H665=0,"",IF(H665&lt;CONFIG!$B$4,"CRÍTICO",IF(H665&lt;CONFIG!$B$5,"BAJO","OK"))))</f>
        <v/>
      </c>
    </row>
    <row r="666" ht="15.75" hidden="1" customHeight="1">
      <c r="A666" s="90" t="str">
        <f>IF(CLIENTES!A9="","",CLIENTES!A9)</f>
        <v/>
      </c>
      <c r="B666" s="90" t="s">
        <v>321</v>
      </c>
      <c r="C666" s="91" t="s">
        <v>326</v>
      </c>
      <c r="D666" s="109" t="s">
        <v>353</v>
      </c>
      <c r="E666" s="67" t="str">
        <f>COLORES!A9</f>
        <v>Melange</v>
      </c>
      <c r="F666" s="67" t="str">
        <f>COLORES!B9</f>
        <v>MELANGE</v>
      </c>
      <c r="G666" s="90" t="s">
        <v>377</v>
      </c>
      <c r="H666" s="100">
        <f>IFERROR(SUMIFS(MOVIMIENTOS_COMPLEMENTOS!$I$4:$I$803,MOVIMIENTOS_COMPLEMENTOS!$C$4:$C$803,A666,MOVIMIENTOS_COMPLEMENTOS!$D$4:$D$803,B666,MOVIMIENTOS_COMPLEMENTOS!$E$4:$E$803,C666,MOVIMIENTOS_COMPLEMENTOS!$G$4:$G$803,E666,MOVIMIENTOS_COMPLEMENTOS!$H$4:$H$803,G666,MOVIMIENTOS_COMPLEMENTOS!$B$4:$B$803,"INGRESO")+SUMIFS(MOVIMIENTOS_COMPLEMENTOS!$I$4:$I$803,MOVIMIENTOS_COMPLEMENTOS!$C$4:$C$803,A666,MOVIMIENTOS_COMPLEMENTOS!$D$4:$D$803,B666,MOVIMIENTOS_COMPLEMENTOS!$E$4:$E$803,C666,MOVIMIENTOS_COMPLEMENTOS!$G$4:$G$803,E666,MOVIMIENTOS_COMPLEMENTOS!$H$4:$H$803,G666,MOVIMIENTOS_COMPLEMENTOS!$B$4:$B$803,"DE CORTE")-SUMIFS(MOVIMIENTOS_COMPLEMENTOS!$I$4:$I$803,MOVIMIENTOS_COMPLEMENTOS!$C$4:$C$803,A666,MOVIMIENTOS_COMPLEMENTOS!$D$4:$D$803,B666,MOVIMIENTOS_COMPLEMENTOS!$E$4:$E$803,C666,MOVIMIENTOS_COMPLEMENTOS!$G$4:$G$803,E666,MOVIMIENTOS_COMPLEMENTOS!$H$4:$H$803,G666,MOVIMIENTOS_COMPLEMENTOS!$B$4:$B$803,"SALIDA"),0)</f>
        <v>0</v>
      </c>
      <c r="I666" s="102">
        <f t="array" ref="I666">IFERROR(INDEX(PRECIOS_COMPLEMENTOS!$C$4:$F$17,MATCH(B666&amp;"_"&amp;C666,PRECIOS_COMPLEMENTOS!$H$4:$H$17,0),IF(OR(G666="S",G666="20cm"),1,IF(OR(G666="M",G666="25cm"),2,IF(OR(G666="L",G666="30cm"),3,IF(OR(G666="XL",G666="35cm"),4,0))))),0)</f>
        <v>0.5</v>
      </c>
      <c r="J666" s="103">
        <f t="shared" si="1"/>
        <v>0</v>
      </c>
      <c r="K666" s="104" t="str">
        <f>IF(H666&lt;0,"ERROR",IF(H666=0,"",IF(H666&lt;CONFIG!$B$4,"CRÍTICO",IF(H666&lt;CONFIG!$B$5,"BAJO","OK"))))</f>
        <v/>
      </c>
    </row>
    <row r="667" ht="15.75" hidden="1" customHeight="1">
      <c r="A667" s="90" t="str">
        <f>IF(CLIENTES!A9="","",CLIENTES!A9)</f>
        <v/>
      </c>
      <c r="B667" s="90" t="s">
        <v>321</v>
      </c>
      <c r="C667" s="91" t="s">
        <v>326</v>
      </c>
      <c r="D667" s="109" t="s">
        <v>353</v>
      </c>
      <c r="E667" s="67" t="str">
        <f>COLORES!A9</f>
        <v>Melange</v>
      </c>
      <c r="F667" s="67" t="str">
        <f>COLORES!B9</f>
        <v>MELANGE</v>
      </c>
      <c r="G667" s="90" t="s">
        <v>379</v>
      </c>
      <c r="H667" s="100">
        <f>IFERROR(SUMIFS(MOVIMIENTOS_COMPLEMENTOS!$I$4:$I$803,MOVIMIENTOS_COMPLEMENTOS!$C$4:$C$803,A667,MOVIMIENTOS_COMPLEMENTOS!$D$4:$D$803,B667,MOVIMIENTOS_COMPLEMENTOS!$E$4:$E$803,C667,MOVIMIENTOS_COMPLEMENTOS!$G$4:$G$803,E667,MOVIMIENTOS_COMPLEMENTOS!$H$4:$H$803,G667,MOVIMIENTOS_COMPLEMENTOS!$B$4:$B$803,"INGRESO")+SUMIFS(MOVIMIENTOS_COMPLEMENTOS!$I$4:$I$803,MOVIMIENTOS_COMPLEMENTOS!$C$4:$C$803,A667,MOVIMIENTOS_COMPLEMENTOS!$D$4:$D$803,B667,MOVIMIENTOS_COMPLEMENTOS!$E$4:$E$803,C667,MOVIMIENTOS_COMPLEMENTOS!$G$4:$G$803,E667,MOVIMIENTOS_COMPLEMENTOS!$H$4:$H$803,G667,MOVIMIENTOS_COMPLEMENTOS!$B$4:$B$803,"DE CORTE")-SUMIFS(MOVIMIENTOS_COMPLEMENTOS!$I$4:$I$803,MOVIMIENTOS_COMPLEMENTOS!$C$4:$C$803,A667,MOVIMIENTOS_COMPLEMENTOS!$D$4:$D$803,B667,MOVIMIENTOS_COMPLEMENTOS!$E$4:$E$803,C667,MOVIMIENTOS_COMPLEMENTOS!$G$4:$G$803,E667,MOVIMIENTOS_COMPLEMENTOS!$H$4:$H$803,G667,MOVIMIENTOS_COMPLEMENTOS!$B$4:$B$803,"SALIDA"),0)</f>
        <v>0</v>
      </c>
      <c r="I667" s="102">
        <f t="array" ref="I667">IFERROR(INDEX(PRECIOS_COMPLEMENTOS!$C$4:$F$17,MATCH(B667&amp;"_"&amp;C667,PRECIOS_COMPLEMENTOS!$H$4:$H$17,0),IF(OR(G667="S",G667="20cm"),1,IF(OR(G667="M",G667="25cm"),2,IF(OR(G667="L",G667="30cm"),3,IF(OR(G667="XL",G667="35cm"),4,0))))),0)</f>
        <v>0.55</v>
      </c>
      <c r="J667" s="103">
        <f t="shared" si="1"/>
        <v>0</v>
      </c>
      <c r="K667" s="104" t="str">
        <f>IF(H667&lt;0,"ERROR",IF(H667=0,"",IF(H667&lt;CONFIG!$B$4,"CRÍTICO",IF(H667&lt;CONFIG!$B$5,"BAJO","OK"))))</f>
        <v/>
      </c>
    </row>
    <row r="668" ht="15.75" hidden="1" customHeight="1">
      <c r="A668" s="90" t="str">
        <f>IF(CLIENTES!A9="","",CLIENTES!A9)</f>
        <v/>
      </c>
      <c r="B668" s="90" t="s">
        <v>321</v>
      </c>
      <c r="C668" s="91" t="s">
        <v>326</v>
      </c>
      <c r="D668" s="109" t="s">
        <v>353</v>
      </c>
      <c r="E668" s="67" t="str">
        <f>COLORES!A10</f>
        <v>Botella</v>
      </c>
      <c r="F668" s="67" t="str">
        <f>COLORES!B10</f>
        <v>OSCURO</v>
      </c>
      <c r="G668" s="90" t="s">
        <v>378</v>
      </c>
      <c r="H668" s="100">
        <f>IFERROR(SUMIFS(MOVIMIENTOS_COMPLEMENTOS!$I$4:$I$803,MOVIMIENTOS_COMPLEMENTOS!$C$4:$C$803,A668,MOVIMIENTOS_COMPLEMENTOS!$D$4:$D$803,B668,MOVIMIENTOS_COMPLEMENTOS!$E$4:$E$803,C668,MOVIMIENTOS_COMPLEMENTOS!$G$4:$G$803,E668,MOVIMIENTOS_COMPLEMENTOS!$H$4:$H$803,G668,MOVIMIENTOS_COMPLEMENTOS!$B$4:$B$803,"INGRESO")+SUMIFS(MOVIMIENTOS_COMPLEMENTOS!$I$4:$I$803,MOVIMIENTOS_COMPLEMENTOS!$C$4:$C$803,A668,MOVIMIENTOS_COMPLEMENTOS!$D$4:$D$803,B668,MOVIMIENTOS_COMPLEMENTOS!$E$4:$E$803,C668,MOVIMIENTOS_COMPLEMENTOS!$G$4:$G$803,E668,MOVIMIENTOS_COMPLEMENTOS!$H$4:$H$803,G668,MOVIMIENTOS_COMPLEMENTOS!$B$4:$B$803,"DE CORTE")-SUMIFS(MOVIMIENTOS_COMPLEMENTOS!$I$4:$I$803,MOVIMIENTOS_COMPLEMENTOS!$C$4:$C$803,A668,MOVIMIENTOS_COMPLEMENTOS!$D$4:$D$803,B668,MOVIMIENTOS_COMPLEMENTOS!$E$4:$E$803,C668,MOVIMIENTOS_COMPLEMENTOS!$G$4:$G$803,E668,MOVIMIENTOS_COMPLEMENTOS!$H$4:$H$803,G668,MOVIMIENTOS_COMPLEMENTOS!$B$4:$B$803,"SALIDA"),0)</f>
        <v>0</v>
      </c>
      <c r="I668" s="102">
        <f t="array" ref="I668">IFERROR(INDEX(PRECIOS_COMPLEMENTOS!$C$4:$F$17,MATCH(B668&amp;"_"&amp;C668,PRECIOS_COMPLEMENTOS!$H$4:$H$17,0),IF(OR(G668="S",G668="20cm"),1,IF(OR(G668="M",G668="25cm"),2,IF(OR(G668="L",G668="30cm"),3,IF(OR(G668="XL",G668="35cm"),4,0))))),0)</f>
        <v>0.4</v>
      </c>
      <c r="J668" s="103">
        <f t="shared" si="1"/>
        <v>0</v>
      </c>
      <c r="K668" s="104" t="str">
        <f>IF(H668&lt;0,"ERROR",IF(H668=0,"",IF(H668&lt;CONFIG!$B$4,"CRÍTICO",IF(H668&lt;CONFIG!$B$5,"BAJO","OK"))))</f>
        <v/>
      </c>
    </row>
    <row r="669" ht="15.75" hidden="1" customHeight="1">
      <c r="A669" s="90" t="str">
        <f>IF(CLIENTES!A9="","",CLIENTES!A9)</f>
        <v/>
      </c>
      <c r="B669" s="90" t="s">
        <v>321</v>
      </c>
      <c r="C669" s="91" t="s">
        <v>326</v>
      </c>
      <c r="D669" s="109" t="s">
        <v>353</v>
      </c>
      <c r="E669" s="67" t="str">
        <f>COLORES!A10</f>
        <v>Botella</v>
      </c>
      <c r="F669" s="67" t="str">
        <f>COLORES!B10</f>
        <v>OSCURO</v>
      </c>
      <c r="G669" s="90" t="s">
        <v>376</v>
      </c>
      <c r="H669" s="100">
        <f>IFERROR(SUMIFS(MOVIMIENTOS_COMPLEMENTOS!$I$4:$I$803,MOVIMIENTOS_COMPLEMENTOS!$C$4:$C$803,A669,MOVIMIENTOS_COMPLEMENTOS!$D$4:$D$803,B669,MOVIMIENTOS_COMPLEMENTOS!$E$4:$E$803,C669,MOVIMIENTOS_COMPLEMENTOS!$G$4:$G$803,E669,MOVIMIENTOS_COMPLEMENTOS!$H$4:$H$803,G669,MOVIMIENTOS_COMPLEMENTOS!$B$4:$B$803,"INGRESO")+SUMIFS(MOVIMIENTOS_COMPLEMENTOS!$I$4:$I$803,MOVIMIENTOS_COMPLEMENTOS!$C$4:$C$803,A669,MOVIMIENTOS_COMPLEMENTOS!$D$4:$D$803,B669,MOVIMIENTOS_COMPLEMENTOS!$E$4:$E$803,C669,MOVIMIENTOS_COMPLEMENTOS!$G$4:$G$803,E669,MOVIMIENTOS_COMPLEMENTOS!$H$4:$H$803,G669,MOVIMIENTOS_COMPLEMENTOS!$B$4:$B$803,"DE CORTE")-SUMIFS(MOVIMIENTOS_COMPLEMENTOS!$I$4:$I$803,MOVIMIENTOS_COMPLEMENTOS!$C$4:$C$803,A669,MOVIMIENTOS_COMPLEMENTOS!$D$4:$D$803,B669,MOVIMIENTOS_COMPLEMENTOS!$E$4:$E$803,C669,MOVIMIENTOS_COMPLEMENTOS!$G$4:$G$803,E669,MOVIMIENTOS_COMPLEMENTOS!$H$4:$H$803,G669,MOVIMIENTOS_COMPLEMENTOS!$B$4:$B$803,"SALIDA"),0)</f>
        <v>0</v>
      </c>
      <c r="I669" s="102">
        <f t="array" ref="I669">IFERROR(INDEX(PRECIOS_COMPLEMENTOS!$C$4:$F$17,MATCH(B669&amp;"_"&amp;C669,PRECIOS_COMPLEMENTOS!$H$4:$H$17,0),IF(OR(G669="S",G669="20cm"),1,IF(OR(G669="M",G669="25cm"),2,IF(OR(G669="L",G669="30cm"),3,IF(OR(G669="XL",G669="35cm"),4,0))))),0)</f>
        <v>0.45</v>
      </c>
      <c r="J669" s="103">
        <f t="shared" si="1"/>
        <v>0</v>
      </c>
      <c r="K669" s="104" t="str">
        <f>IF(H669&lt;0,"ERROR",IF(H669=0,"",IF(H669&lt;CONFIG!$B$4,"CRÍTICO",IF(H669&lt;CONFIG!$B$5,"BAJO","OK"))))</f>
        <v/>
      </c>
    </row>
    <row r="670" ht="15.75" hidden="1" customHeight="1">
      <c r="A670" s="90" t="str">
        <f>IF(CLIENTES!A9="","",CLIENTES!A9)</f>
        <v/>
      </c>
      <c r="B670" s="90" t="s">
        <v>321</v>
      </c>
      <c r="C670" s="91" t="s">
        <v>326</v>
      </c>
      <c r="D670" s="109" t="s">
        <v>353</v>
      </c>
      <c r="E670" s="67" t="str">
        <f>COLORES!A10</f>
        <v>Botella</v>
      </c>
      <c r="F670" s="67" t="str">
        <f>COLORES!B10</f>
        <v>OSCURO</v>
      </c>
      <c r="G670" s="90" t="s">
        <v>377</v>
      </c>
      <c r="H670" s="100">
        <f>IFERROR(SUMIFS(MOVIMIENTOS_COMPLEMENTOS!$I$4:$I$803,MOVIMIENTOS_COMPLEMENTOS!$C$4:$C$803,A670,MOVIMIENTOS_COMPLEMENTOS!$D$4:$D$803,B670,MOVIMIENTOS_COMPLEMENTOS!$E$4:$E$803,C670,MOVIMIENTOS_COMPLEMENTOS!$G$4:$G$803,E670,MOVIMIENTOS_COMPLEMENTOS!$H$4:$H$803,G670,MOVIMIENTOS_COMPLEMENTOS!$B$4:$B$803,"INGRESO")+SUMIFS(MOVIMIENTOS_COMPLEMENTOS!$I$4:$I$803,MOVIMIENTOS_COMPLEMENTOS!$C$4:$C$803,A670,MOVIMIENTOS_COMPLEMENTOS!$D$4:$D$803,B670,MOVIMIENTOS_COMPLEMENTOS!$E$4:$E$803,C670,MOVIMIENTOS_COMPLEMENTOS!$G$4:$G$803,E670,MOVIMIENTOS_COMPLEMENTOS!$H$4:$H$803,G670,MOVIMIENTOS_COMPLEMENTOS!$B$4:$B$803,"DE CORTE")-SUMIFS(MOVIMIENTOS_COMPLEMENTOS!$I$4:$I$803,MOVIMIENTOS_COMPLEMENTOS!$C$4:$C$803,A670,MOVIMIENTOS_COMPLEMENTOS!$D$4:$D$803,B670,MOVIMIENTOS_COMPLEMENTOS!$E$4:$E$803,C670,MOVIMIENTOS_COMPLEMENTOS!$G$4:$G$803,E670,MOVIMIENTOS_COMPLEMENTOS!$H$4:$H$803,G670,MOVIMIENTOS_COMPLEMENTOS!$B$4:$B$803,"SALIDA"),0)</f>
        <v>0</v>
      </c>
      <c r="I670" s="102">
        <f t="array" ref="I670">IFERROR(INDEX(PRECIOS_COMPLEMENTOS!$C$4:$F$17,MATCH(B670&amp;"_"&amp;C670,PRECIOS_COMPLEMENTOS!$H$4:$H$17,0),IF(OR(G670="S",G670="20cm"),1,IF(OR(G670="M",G670="25cm"),2,IF(OR(G670="L",G670="30cm"),3,IF(OR(G670="XL",G670="35cm"),4,0))))),0)</f>
        <v>0.5</v>
      </c>
      <c r="J670" s="103">
        <f t="shared" si="1"/>
        <v>0</v>
      </c>
      <c r="K670" s="104" t="str">
        <f>IF(H670&lt;0,"ERROR",IF(H670=0,"",IF(H670&lt;CONFIG!$B$4,"CRÍTICO",IF(H670&lt;CONFIG!$B$5,"BAJO","OK"))))</f>
        <v/>
      </c>
    </row>
    <row r="671" ht="15.75" hidden="1" customHeight="1">
      <c r="A671" s="90" t="str">
        <f>IF(CLIENTES!A9="","",CLIENTES!A9)</f>
        <v/>
      </c>
      <c r="B671" s="90" t="s">
        <v>321</v>
      </c>
      <c r="C671" s="91" t="s">
        <v>326</v>
      </c>
      <c r="D671" s="109" t="s">
        <v>353</v>
      </c>
      <c r="E671" s="67" t="str">
        <f>COLORES!A10</f>
        <v>Botella</v>
      </c>
      <c r="F671" s="67" t="str">
        <f>COLORES!B10</f>
        <v>OSCURO</v>
      </c>
      <c r="G671" s="90" t="s">
        <v>379</v>
      </c>
      <c r="H671" s="100">
        <f>IFERROR(SUMIFS(MOVIMIENTOS_COMPLEMENTOS!$I$4:$I$803,MOVIMIENTOS_COMPLEMENTOS!$C$4:$C$803,A671,MOVIMIENTOS_COMPLEMENTOS!$D$4:$D$803,B671,MOVIMIENTOS_COMPLEMENTOS!$E$4:$E$803,C671,MOVIMIENTOS_COMPLEMENTOS!$G$4:$G$803,E671,MOVIMIENTOS_COMPLEMENTOS!$H$4:$H$803,G671,MOVIMIENTOS_COMPLEMENTOS!$B$4:$B$803,"INGRESO")+SUMIFS(MOVIMIENTOS_COMPLEMENTOS!$I$4:$I$803,MOVIMIENTOS_COMPLEMENTOS!$C$4:$C$803,A671,MOVIMIENTOS_COMPLEMENTOS!$D$4:$D$803,B671,MOVIMIENTOS_COMPLEMENTOS!$E$4:$E$803,C671,MOVIMIENTOS_COMPLEMENTOS!$G$4:$G$803,E671,MOVIMIENTOS_COMPLEMENTOS!$H$4:$H$803,G671,MOVIMIENTOS_COMPLEMENTOS!$B$4:$B$803,"DE CORTE")-SUMIFS(MOVIMIENTOS_COMPLEMENTOS!$I$4:$I$803,MOVIMIENTOS_COMPLEMENTOS!$C$4:$C$803,A671,MOVIMIENTOS_COMPLEMENTOS!$D$4:$D$803,B671,MOVIMIENTOS_COMPLEMENTOS!$E$4:$E$803,C671,MOVIMIENTOS_COMPLEMENTOS!$G$4:$G$803,E671,MOVIMIENTOS_COMPLEMENTOS!$H$4:$H$803,G671,MOVIMIENTOS_COMPLEMENTOS!$B$4:$B$803,"SALIDA"),0)</f>
        <v>0</v>
      </c>
      <c r="I671" s="102">
        <f t="array" ref="I671">IFERROR(INDEX(PRECIOS_COMPLEMENTOS!$C$4:$F$17,MATCH(B671&amp;"_"&amp;C671,PRECIOS_COMPLEMENTOS!$H$4:$H$17,0),IF(OR(G671="S",G671="20cm"),1,IF(OR(G671="M",G671="25cm"),2,IF(OR(G671="L",G671="30cm"),3,IF(OR(G671="XL",G671="35cm"),4,0))))),0)</f>
        <v>0.55</v>
      </c>
      <c r="J671" s="103">
        <f t="shared" si="1"/>
        <v>0</v>
      </c>
      <c r="K671" s="104" t="str">
        <f>IF(H671&lt;0,"ERROR",IF(H671=0,"",IF(H671&lt;CONFIG!$B$4,"CRÍTICO",IF(H671&lt;CONFIG!$B$5,"BAJO","OK"))))</f>
        <v/>
      </c>
    </row>
    <row r="672" ht="15.75" hidden="1" customHeight="1">
      <c r="A672" s="90" t="str">
        <f>IF(CLIENTES!A9="","",CLIENTES!A9)</f>
        <v/>
      </c>
      <c r="B672" s="90" t="s">
        <v>321</v>
      </c>
      <c r="C672" s="91" t="s">
        <v>326</v>
      </c>
      <c r="D672" s="109" t="s">
        <v>353</v>
      </c>
      <c r="E672" s="67" t="str">
        <f>COLORES!A11</f>
        <v>Pacay</v>
      </c>
      <c r="F672" s="67" t="str">
        <f>COLORES!B11</f>
        <v>CLARO</v>
      </c>
      <c r="G672" s="90" t="s">
        <v>378</v>
      </c>
      <c r="H672" s="100">
        <f>IFERROR(SUMIFS(MOVIMIENTOS_COMPLEMENTOS!$I$4:$I$803,MOVIMIENTOS_COMPLEMENTOS!$C$4:$C$803,A672,MOVIMIENTOS_COMPLEMENTOS!$D$4:$D$803,B672,MOVIMIENTOS_COMPLEMENTOS!$E$4:$E$803,C672,MOVIMIENTOS_COMPLEMENTOS!$G$4:$G$803,E672,MOVIMIENTOS_COMPLEMENTOS!$H$4:$H$803,G672,MOVIMIENTOS_COMPLEMENTOS!$B$4:$B$803,"INGRESO")+SUMIFS(MOVIMIENTOS_COMPLEMENTOS!$I$4:$I$803,MOVIMIENTOS_COMPLEMENTOS!$C$4:$C$803,A672,MOVIMIENTOS_COMPLEMENTOS!$D$4:$D$803,B672,MOVIMIENTOS_COMPLEMENTOS!$E$4:$E$803,C672,MOVIMIENTOS_COMPLEMENTOS!$G$4:$G$803,E672,MOVIMIENTOS_COMPLEMENTOS!$H$4:$H$803,G672,MOVIMIENTOS_COMPLEMENTOS!$B$4:$B$803,"DE CORTE")-SUMIFS(MOVIMIENTOS_COMPLEMENTOS!$I$4:$I$803,MOVIMIENTOS_COMPLEMENTOS!$C$4:$C$803,A672,MOVIMIENTOS_COMPLEMENTOS!$D$4:$D$803,B672,MOVIMIENTOS_COMPLEMENTOS!$E$4:$E$803,C672,MOVIMIENTOS_COMPLEMENTOS!$G$4:$G$803,E672,MOVIMIENTOS_COMPLEMENTOS!$H$4:$H$803,G672,MOVIMIENTOS_COMPLEMENTOS!$B$4:$B$803,"SALIDA"),0)</f>
        <v>0</v>
      </c>
      <c r="I672" s="102">
        <f t="array" ref="I672">IFERROR(INDEX(PRECIOS_COMPLEMENTOS!$C$4:$F$17,MATCH(B672&amp;"_"&amp;C672,PRECIOS_COMPLEMENTOS!$H$4:$H$17,0),IF(OR(G672="S",G672="20cm"),1,IF(OR(G672="M",G672="25cm"),2,IF(OR(G672="L",G672="30cm"),3,IF(OR(G672="XL",G672="35cm"),4,0))))),0)</f>
        <v>0.4</v>
      </c>
      <c r="J672" s="103">
        <f t="shared" si="1"/>
        <v>0</v>
      </c>
      <c r="K672" s="104" t="str">
        <f>IF(H672&lt;0,"ERROR",IF(H672=0,"",IF(H672&lt;CONFIG!$B$4,"CRÍTICO",IF(H672&lt;CONFIG!$B$5,"BAJO","OK"))))</f>
        <v/>
      </c>
    </row>
    <row r="673" ht="15.75" hidden="1" customHeight="1">
      <c r="A673" s="90" t="str">
        <f>IF(CLIENTES!A9="","",CLIENTES!A9)</f>
        <v/>
      </c>
      <c r="B673" s="90" t="s">
        <v>321</v>
      </c>
      <c r="C673" s="91" t="s">
        <v>326</v>
      </c>
      <c r="D673" s="109" t="s">
        <v>353</v>
      </c>
      <c r="E673" s="67" t="str">
        <f>COLORES!A11</f>
        <v>Pacay</v>
      </c>
      <c r="F673" s="67" t="str">
        <f>COLORES!B11</f>
        <v>CLARO</v>
      </c>
      <c r="G673" s="90" t="s">
        <v>376</v>
      </c>
      <c r="H673" s="100">
        <f>IFERROR(SUMIFS(MOVIMIENTOS_COMPLEMENTOS!$I$4:$I$803,MOVIMIENTOS_COMPLEMENTOS!$C$4:$C$803,A673,MOVIMIENTOS_COMPLEMENTOS!$D$4:$D$803,B673,MOVIMIENTOS_COMPLEMENTOS!$E$4:$E$803,C673,MOVIMIENTOS_COMPLEMENTOS!$G$4:$G$803,E673,MOVIMIENTOS_COMPLEMENTOS!$H$4:$H$803,G673,MOVIMIENTOS_COMPLEMENTOS!$B$4:$B$803,"INGRESO")+SUMIFS(MOVIMIENTOS_COMPLEMENTOS!$I$4:$I$803,MOVIMIENTOS_COMPLEMENTOS!$C$4:$C$803,A673,MOVIMIENTOS_COMPLEMENTOS!$D$4:$D$803,B673,MOVIMIENTOS_COMPLEMENTOS!$E$4:$E$803,C673,MOVIMIENTOS_COMPLEMENTOS!$G$4:$G$803,E673,MOVIMIENTOS_COMPLEMENTOS!$H$4:$H$803,G673,MOVIMIENTOS_COMPLEMENTOS!$B$4:$B$803,"DE CORTE")-SUMIFS(MOVIMIENTOS_COMPLEMENTOS!$I$4:$I$803,MOVIMIENTOS_COMPLEMENTOS!$C$4:$C$803,A673,MOVIMIENTOS_COMPLEMENTOS!$D$4:$D$803,B673,MOVIMIENTOS_COMPLEMENTOS!$E$4:$E$803,C673,MOVIMIENTOS_COMPLEMENTOS!$G$4:$G$803,E673,MOVIMIENTOS_COMPLEMENTOS!$H$4:$H$803,G673,MOVIMIENTOS_COMPLEMENTOS!$B$4:$B$803,"SALIDA"),0)</f>
        <v>0</v>
      </c>
      <c r="I673" s="102">
        <f t="array" ref="I673">IFERROR(INDEX(PRECIOS_COMPLEMENTOS!$C$4:$F$17,MATCH(B673&amp;"_"&amp;C673,PRECIOS_COMPLEMENTOS!$H$4:$H$17,0),IF(OR(G673="S",G673="20cm"),1,IF(OR(G673="M",G673="25cm"),2,IF(OR(G673="L",G673="30cm"),3,IF(OR(G673="XL",G673="35cm"),4,0))))),0)</f>
        <v>0.45</v>
      </c>
      <c r="J673" s="103">
        <f t="shared" si="1"/>
        <v>0</v>
      </c>
      <c r="K673" s="104" t="str">
        <f>IF(H673&lt;0,"ERROR",IF(H673=0,"",IF(H673&lt;CONFIG!$B$4,"CRÍTICO",IF(H673&lt;CONFIG!$B$5,"BAJO","OK"))))</f>
        <v/>
      </c>
    </row>
    <row r="674" ht="15.75" hidden="1" customHeight="1">
      <c r="A674" s="90" t="str">
        <f>IF(CLIENTES!A9="","",CLIENTES!A9)</f>
        <v/>
      </c>
      <c r="B674" s="90" t="s">
        <v>321</v>
      </c>
      <c r="C674" s="91" t="s">
        <v>326</v>
      </c>
      <c r="D674" s="109" t="s">
        <v>353</v>
      </c>
      <c r="E674" s="67" t="str">
        <f>COLORES!A11</f>
        <v>Pacay</v>
      </c>
      <c r="F674" s="67" t="str">
        <f>COLORES!B11</f>
        <v>CLARO</v>
      </c>
      <c r="G674" s="90" t="s">
        <v>377</v>
      </c>
      <c r="H674" s="100">
        <f>IFERROR(SUMIFS(MOVIMIENTOS_COMPLEMENTOS!$I$4:$I$803,MOVIMIENTOS_COMPLEMENTOS!$C$4:$C$803,A674,MOVIMIENTOS_COMPLEMENTOS!$D$4:$D$803,B674,MOVIMIENTOS_COMPLEMENTOS!$E$4:$E$803,C674,MOVIMIENTOS_COMPLEMENTOS!$G$4:$G$803,E674,MOVIMIENTOS_COMPLEMENTOS!$H$4:$H$803,G674,MOVIMIENTOS_COMPLEMENTOS!$B$4:$B$803,"INGRESO")+SUMIFS(MOVIMIENTOS_COMPLEMENTOS!$I$4:$I$803,MOVIMIENTOS_COMPLEMENTOS!$C$4:$C$803,A674,MOVIMIENTOS_COMPLEMENTOS!$D$4:$D$803,B674,MOVIMIENTOS_COMPLEMENTOS!$E$4:$E$803,C674,MOVIMIENTOS_COMPLEMENTOS!$G$4:$G$803,E674,MOVIMIENTOS_COMPLEMENTOS!$H$4:$H$803,G674,MOVIMIENTOS_COMPLEMENTOS!$B$4:$B$803,"DE CORTE")-SUMIFS(MOVIMIENTOS_COMPLEMENTOS!$I$4:$I$803,MOVIMIENTOS_COMPLEMENTOS!$C$4:$C$803,A674,MOVIMIENTOS_COMPLEMENTOS!$D$4:$D$803,B674,MOVIMIENTOS_COMPLEMENTOS!$E$4:$E$803,C674,MOVIMIENTOS_COMPLEMENTOS!$G$4:$G$803,E674,MOVIMIENTOS_COMPLEMENTOS!$H$4:$H$803,G674,MOVIMIENTOS_COMPLEMENTOS!$B$4:$B$803,"SALIDA"),0)</f>
        <v>0</v>
      </c>
      <c r="I674" s="102">
        <f t="array" ref="I674">IFERROR(INDEX(PRECIOS_COMPLEMENTOS!$C$4:$F$17,MATCH(B674&amp;"_"&amp;C674,PRECIOS_COMPLEMENTOS!$H$4:$H$17,0),IF(OR(G674="S",G674="20cm"),1,IF(OR(G674="M",G674="25cm"),2,IF(OR(G674="L",G674="30cm"),3,IF(OR(G674="XL",G674="35cm"),4,0))))),0)</f>
        <v>0.5</v>
      </c>
      <c r="J674" s="103">
        <f t="shared" si="1"/>
        <v>0</v>
      </c>
      <c r="K674" s="104" t="str">
        <f>IF(H674&lt;0,"ERROR",IF(H674=0,"",IF(H674&lt;CONFIG!$B$4,"CRÍTICO",IF(H674&lt;CONFIG!$B$5,"BAJO","OK"))))</f>
        <v/>
      </c>
    </row>
    <row r="675" ht="15.75" hidden="1" customHeight="1">
      <c r="A675" s="90" t="str">
        <f>IF(CLIENTES!A9="","",CLIENTES!A9)</f>
        <v/>
      </c>
      <c r="B675" s="90" t="s">
        <v>321</v>
      </c>
      <c r="C675" s="91" t="s">
        <v>326</v>
      </c>
      <c r="D675" s="109" t="s">
        <v>353</v>
      </c>
      <c r="E675" s="67" t="str">
        <f>COLORES!A11</f>
        <v>Pacay</v>
      </c>
      <c r="F675" s="67" t="str">
        <f>COLORES!B11</f>
        <v>CLARO</v>
      </c>
      <c r="G675" s="90" t="s">
        <v>379</v>
      </c>
      <c r="H675" s="100">
        <f>IFERROR(SUMIFS(MOVIMIENTOS_COMPLEMENTOS!$I$4:$I$803,MOVIMIENTOS_COMPLEMENTOS!$C$4:$C$803,A675,MOVIMIENTOS_COMPLEMENTOS!$D$4:$D$803,B675,MOVIMIENTOS_COMPLEMENTOS!$E$4:$E$803,C675,MOVIMIENTOS_COMPLEMENTOS!$G$4:$G$803,E675,MOVIMIENTOS_COMPLEMENTOS!$H$4:$H$803,G675,MOVIMIENTOS_COMPLEMENTOS!$B$4:$B$803,"INGRESO")+SUMIFS(MOVIMIENTOS_COMPLEMENTOS!$I$4:$I$803,MOVIMIENTOS_COMPLEMENTOS!$C$4:$C$803,A675,MOVIMIENTOS_COMPLEMENTOS!$D$4:$D$803,B675,MOVIMIENTOS_COMPLEMENTOS!$E$4:$E$803,C675,MOVIMIENTOS_COMPLEMENTOS!$G$4:$G$803,E675,MOVIMIENTOS_COMPLEMENTOS!$H$4:$H$803,G675,MOVIMIENTOS_COMPLEMENTOS!$B$4:$B$803,"DE CORTE")-SUMIFS(MOVIMIENTOS_COMPLEMENTOS!$I$4:$I$803,MOVIMIENTOS_COMPLEMENTOS!$C$4:$C$803,A675,MOVIMIENTOS_COMPLEMENTOS!$D$4:$D$803,B675,MOVIMIENTOS_COMPLEMENTOS!$E$4:$E$803,C675,MOVIMIENTOS_COMPLEMENTOS!$G$4:$G$803,E675,MOVIMIENTOS_COMPLEMENTOS!$H$4:$H$803,G675,MOVIMIENTOS_COMPLEMENTOS!$B$4:$B$803,"SALIDA"),0)</f>
        <v>0</v>
      </c>
      <c r="I675" s="102">
        <f t="array" ref="I675">IFERROR(INDEX(PRECIOS_COMPLEMENTOS!$C$4:$F$17,MATCH(B675&amp;"_"&amp;C675,PRECIOS_COMPLEMENTOS!$H$4:$H$17,0),IF(OR(G675="S",G675="20cm"),1,IF(OR(G675="M",G675="25cm"),2,IF(OR(G675="L",G675="30cm"),3,IF(OR(G675="XL",G675="35cm"),4,0))))),0)</f>
        <v>0.55</v>
      </c>
      <c r="J675" s="103">
        <f t="shared" si="1"/>
        <v>0</v>
      </c>
      <c r="K675" s="104" t="str">
        <f>IF(H675&lt;0,"ERROR",IF(H675=0,"",IF(H675&lt;CONFIG!$B$4,"CRÍTICO",IF(H675&lt;CONFIG!$B$5,"BAJO","OK"))))</f>
        <v/>
      </c>
    </row>
    <row r="676" ht="15.75" hidden="1" customHeight="1">
      <c r="A676" s="90" t="str">
        <f>IF(CLIENTES!A9="","",CLIENTES!A9)</f>
        <v/>
      </c>
      <c r="B676" s="90" t="s">
        <v>321</v>
      </c>
      <c r="C676" s="91" t="s">
        <v>326</v>
      </c>
      <c r="D676" s="109" t="s">
        <v>353</v>
      </c>
      <c r="E676" s="67" t="str">
        <f>COLORES!A12</f>
        <v>Cemento</v>
      </c>
      <c r="F676" s="67" t="str">
        <f>COLORES!B12</f>
        <v>CLARO</v>
      </c>
      <c r="G676" s="90" t="s">
        <v>378</v>
      </c>
      <c r="H676" s="100">
        <f>IFERROR(SUMIFS(MOVIMIENTOS_COMPLEMENTOS!$I$4:$I$803,MOVIMIENTOS_COMPLEMENTOS!$C$4:$C$803,A676,MOVIMIENTOS_COMPLEMENTOS!$D$4:$D$803,B676,MOVIMIENTOS_COMPLEMENTOS!$E$4:$E$803,C676,MOVIMIENTOS_COMPLEMENTOS!$G$4:$G$803,E676,MOVIMIENTOS_COMPLEMENTOS!$H$4:$H$803,G676,MOVIMIENTOS_COMPLEMENTOS!$B$4:$B$803,"INGRESO")+SUMIFS(MOVIMIENTOS_COMPLEMENTOS!$I$4:$I$803,MOVIMIENTOS_COMPLEMENTOS!$C$4:$C$803,A676,MOVIMIENTOS_COMPLEMENTOS!$D$4:$D$803,B676,MOVIMIENTOS_COMPLEMENTOS!$E$4:$E$803,C676,MOVIMIENTOS_COMPLEMENTOS!$G$4:$G$803,E676,MOVIMIENTOS_COMPLEMENTOS!$H$4:$H$803,G676,MOVIMIENTOS_COMPLEMENTOS!$B$4:$B$803,"DE CORTE")-SUMIFS(MOVIMIENTOS_COMPLEMENTOS!$I$4:$I$803,MOVIMIENTOS_COMPLEMENTOS!$C$4:$C$803,A676,MOVIMIENTOS_COMPLEMENTOS!$D$4:$D$803,B676,MOVIMIENTOS_COMPLEMENTOS!$E$4:$E$803,C676,MOVIMIENTOS_COMPLEMENTOS!$G$4:$G$803,E676,MOVIMIENTOS_COMPLEMENTOS!$H$4:$H$803,G676,MOVIMIENTOS_COMPLEMENTOS!$B$4:$B$803,"SALIDA"),0)</f>
        <v>0</v>
      </c>
      <c r="I676" s="102">
        <f t="array" ref="I676">IFERROR(INDEX(PRECIOS_COMPLEMENTOS!$C$4:$F$17,MATCH(B676&amp;"_"&amp;C676,PRECIOS_COMPLEMENTOS!$H$4:$H$17,0),IF(OR(G676="S",G676="20cm"),1,IF(OR(G676="M",G676="25cm"),2,IF(OR(G676="L",G676="30cm"),3,IF(OR(G676="XL",G676="35cm"),4,0))))),0)</f>
        <v>0.4</v>
      </c>
      <c r="J676" s="103">
        <f t="shared" si="1"/>
        <v>0</v>
      </c>
      <c r="K676" s="104" t="str">
        <f>IF(H676&lt;0,"ERROR",IF(H676=0,"",IF(H676&lt;CONFIG!$B$4,"CRÍTICO",IF(H676&lt;CONFIG!$B$5,"BAJO","OK"))))</f>
        <v/>
      </c>
    </row>
    <row r="677" ht="15.75" hidden="1" customHeight="1">
      <c r="A677" s="90" t="str">
        <f>IF(CLIENTES!A9="","",CLIENTES!A9)</f>
        <v/>
      </c>
      <c r="B677" s="90" t="s">
        <v>321</v>
      </c>
      <c r="C677" s="91" t="s">
        <v>326</v>
      </c>
      <c r="D677" s="109" t="s">
        <v>353</v>
      </c>
      <c r="E677" s="67" t="str">
        <f>COLORES!A12</f>
        <v>Cemento</v>
      </c>
      <c r="F677" s="67" t="str">
        <f>COLORES!B12</f>
        <v>CLARO</v>
      </c>
      <c r="G677" s="90" t="s">
        <v>376</v>
      </c>
      <c r="H677" s="100">
        <f>IFERROR(SUMIFS(MOVIMIENTOS_COMPLEMENTOS!$I$4:$I$803,MOVIMIENTOS_COMPLEMENTOS!$C$4:$C$803,A677,MOVIMIENTOS_COMPLEMENTOS!$D$4:$D$803,B677,MOVIMIENTOS_COMPLEMENTOS!$E$4:$E$803,C677,MOVIMIENTOS_COMPLEMENTOS!$G$4:$G$803,E677,MOVIMIENTOS_COMPLEMENTOS!$H$4:$H$803,G677,MOVIMIENTOS_COMPLEMENTOS!$B$4:$B$803,"INGRESO")+SUMIFS(MOVIMIENTOS_COMPLEMENTOS!$I$4:$I$803,MOVIMIENTOS_COMPLEMENTOS!$C$4:$C$803,A677,MOVIMIENTOS_COMPLEMENTOS!$D$4:$D$803,B677,MOVIMIENTOS_COMPLEMENTOS!$E$4:$E$803,C677,MOVIMIENTOS_COMPLEMENTOS!$G$4:$G$803,E677,MOVIMIENTOS_COMPLEMENTOS!$H$4:$H$803,G677,MOVIMIENTOS_COMPLEMENTOS!$B$4:$B$803,"DE CORTE")-SUMIFS(MOVIMIENTOS_COMPLEMENTOS!$I$4:$I$803,MOVIMIENTOS_COMPLEMENTOS!$C$4:$C$803,A677,MOVIMIENTOS_COMPLEMENTOS!$D$4:$D$803,B677,MOVIMIENTOS_COMPLEMENTOS!$E$4:$E$803,C677,MOVIMIENTOS_COMPLEMENTOS!$G$4:$G$803,E677,MOVIMIENTOS_COMPLEMENTOS!$H$4:$H$803,G677,MOVIMIENTOS_COMPLEMENTOS!$B$4:$B$803,"SALIDA"),0)</f>
        <v>0</v>
      </c>
      <c r="I677" s="102">
        <f t="array" ref="I677">IFERROR(INDEX(PRECIOS_COMPLEMENTOS!$C$4:$F$17,MATCH(B677&amp;"_"&amp;C677,PRECIOS_COMPLEMENTOS!$H$4:$H$17,0),IF(OR(G677="S",G677="20cm"),1,IF(OR(G677="M",G677="25cm"),2,IF(OR(G677="L",G677="30cm"),3,IF(OR(G677="XL",G677="35cm"),4,0))))),0)</f>
        <v>0.45</v>
      </c>
      <c r="J677" s="103">
        <f t="shared" si="1"/>
        <v>0</v>
      </c>
      <c r="K677" s="104" t="str">
        <f>IF(H677&lt;0,"ERROR",IF(H677=0,"",IF(H677&lt;CONFIG!$B$4,"CRÍTICO",IF(H677&lt;CONFIG!$B$5,"BAJO","OK"))))</f>
        <v/>
      </c>
    </row>
    <row r="678" ht="15.75" hidden="1" customHeight="1">
      <c r="A678" s="90" t="str">
        <f>IF(CLIENTES!A9="","",CLIENTES!A9)</f>
        <v/>
      </c>
      <c r="B678" s="90" t="s">
        <v>321</v>
      </c>
      <c r="C678" s="91" t="s">
        <v>326</v>
      </c>
      <c r="D678" s="109" t="s">
        <v>353</v>
      </c>
      <c r="E678" s="67" t="str">
        <f>COLORES!A12</f>
        <v>Cemento</v>
      </c>
      <c r="F678" s="67" t="str">
        <f>COLORES!B12</f>
        <v>CLARO</v>
      </c>
      <c r="G678" s="90" t="s">
        <v>377</v>
      </c>
      <c r="H678" s="100">
        <f>IFERROR(SUMIFS(MOVIMIENTOS_COMPLEMENTOS!$I$4:$I$803,MOVIMIENTOS_COMPLEMENTOS!$C$4:$C$803,A678,MOVIMIENTOS_COMPLEMENTOS!$D$4:$D$803,B678,MOVIMIENTOS_COMPLEMENTOS!$E$4:$E$803,C678,MOVIMIENTOS_COMPLEMENTOS!$G$4:$G$803,E678,MOVIMIENTOS_COMPLEMENTOS!$H$4:$H$803,G678,MOVIMIENTOS_COMPLEMENTOS!$B$4:$B$803,"INGRESO")+SUMIFS(MOVIMIENTOS_COMPLEMENTOS!$I$4:$I$803,MOVIMIENTOS_COMPLEMENTOS!$C$4:$C$803,A678,MOVIMIENTOS_COMPLEMENTOS!$D$4:$D$803,B678,MOVIMIENTOS_COMPLEMENTOS!$E$4:$E$803,C678,MOVIMIENTOS_COMPLEMENTOS!$G$4:$G$803,E678,MOVIMIENTOS_COMPLEMENTOS!$H$4:$H$803,G678,MOVIMIENTOS_COMPLEMENTOS!$B$4:$B$803,"DE CORTE")-SUMIFS(MOVIMIENTOS_COMPLEMENTOS!$I$4:$I$803,MOVIMIENTOS_COMPLEMENTOS!$C$4:$C$803,A678,MOVIMIENTOS_COMPLEMENTOS!$D$4:$D$803,B678,MOVIMIENTOS_COMPLEMENTOS!$E$4:$E$803,C678,MOVIMIENTOS_COMPLEMENTOS!$G$4:$G$803,E678,MOVIMIENTOS_COMPLEMENTOS!$H$4:$H$803,G678,MOVIMIENTOS_COMPLEMENTOS!$B$4:$B$803,"SALIDA"),0)</f>
        <v>0</v>
      </c>
      <c r="I678" s="102">
        <f t="array" ref="I678">IFERROR(INDEX(PRECIOS_COMPLEMENTOS!$C$4:$F$17,MATCH(B678&amp;"_"&amp;C678,PRECIOS_COMPLEMENTOS!$H$4:$H$17,0),IF(OR(G678="S",G678="20cm"),1,IF(OR(G678="M",G678="25cm"),2,IF(OR(G678="L",G678="30cm"),3,IF(OR(G678="XL",G678="35cm"),4,0))))),0)</f>
        <v>0.5</v>
      </c>
      <c r="J678" s="103">
        <f t="shared" si="1"/>
        <v>0</v>
      </c>
      <c r="K678" s="104" t="str">
        <f>IF(H678&lt;0,"ERROR",IF(H678=0,"",IF(H678&lt;CONFIG!$B$4,"CRÍTICO",IF(H678&lt;CONFIG!$B$5,"BAJO","OK"))))</f>
        <v/>
      </c>
    </row>
    <row r="679" ht="15.75" hidden="1" customHeight="1">
      <c r="A679" s="90" t="str">
        <f>IF(CLIENTES!A9="","",CLIENTES!A9)</f>
        <v/>
      </c>
      <c r="B679" s="90" t="s">
        <v>321</v>
      </c>
      <c r="C679" s="91" t="s">
        <v>326</v>
      </c>
      <c r="D679" s="109" t="s">
        <v>353</v>
      </c>
      <c r="E679" s="67" t="str">
        <f>COLORES!A12</f>
        <v>Cemento</v>
      </c>
      <c r="F679" s="67" t="str">
        <f>COLORES!B12</f>
        <v>CLARO</v>
      </c>
      <c r="G679" s="90" t="s">
        <v>379</v>
      </c>
      <c r="H679" s="100">
        <f>IFERROR(SUMIFS(MOVIMIENTOS_COMPLEMENTOS!$I$4:$I$803,MOVIMIENTOS_COMPLEMENTOS!$C$4:$C$803,A679,MOVIMIENTOS_COMPLEMENTOS!$D$4:$D$803,B679,MOVIMIENTOS_COMPLEMENTOS!$E$4:$E$803,C679,MOVIMIENTOS_COMPLEMENTOS!$G$4:$G$803,E679,MOVIMIENTOS_COMPLEMENTOS!$H$4:$H$803,G679,MOVIMIENTOS_COMPLEMENTOS!$B$4:$B$803,"INGRESO")+SUMIFS(MOVIMIENTOS_COMPLEMENTOS!$I$4:$I$803,MOVIMIENTOS_COMPLEMENTOS!$C$4:$C$803,A679,MOVIMIENTOS_COMPLEMENTOS!$D$4:$D$803,B679,MOVIMIENTOS_COMPLEMENTOS!$E$4:$E$803,C679,MOVIMIENTOS_COMPLEMENTOS!$G$4:$G$803,E679,MOVIMIENTOS_COMPLEMENTOS!$H$4:$H$803,G679,MOVIMIENTOS_COMPLEMENTOS!$B$4:$B$803,"DE CORTE")-SUMIFS(MOVIMIENTOS_COMPLEMENTOS!$I$4:$I$803,MOVIMIENTOS_COMPLEMENTOS!$C$4:$C$803,A679,MOVIMIENTOS_COMPLEMENTOS!$D$4:$D$803,B679,MOVIMIENTOS_COMPLEMENTOS!$E$4:$E$803,C679,MOVIMIENTOS_COMPLEMENTOS!$G$4:$G$803,E679,MOVIMIENTOS_COMPLEMENTOS!$H$4:$H$803,G679,MOVIMIENTOS_COMPLEMENTOS!$B$4:$B$803,"SALIDA"),0)</f>
        <v>0</v>
      </c>
      <c r="I679" s="102">
        <f t="array" ref="I679">IFERROR(INDEX(PRECIOS_COMPLEMENTOS!$C$4:$F$17,MATCH(B679&amp;"_"&amp;C679,PRECIOS_COMPLEMENTOS!$H$4:$H$17,0),IF(OR(G679="S",G679="20cm"),1,IF(OR(G679="M",G679="25cm"),2,IF(OR(G679="L",G679="30cm"),3,IF(OR(G679="XL",G679="35cm"),4,0))))),0)</f>
        <v>0.55</v>
      </c>
      <c r="J679" s="103">
        <f t="shared" si="1"/>
        <v>0</v>
      </c>
      <c r="K679" s="104" t="str">
        <f>IF(H679&lt;0,"ERROR",IF(H679=0,"",IF(H679&lt;CONFIG!$B$4,"CRÍTICO",IF(H679&lt;CONFIG!$B$5,"BAJO","OK"))))</f>
        <v/>
      </c>
    </row>
    <row r="680" ht="15.75" hidden="1" customHeight="1">
      <c r="A680" s="90" t="str">
        <f>IF(CLIENTES!A9="","",CLIENTES!A9)</f>
        <v/>
      </c>
      <c r="B680" s="90" t="s">
        <v>321</v>
      </c>
      <c r="C680" s="91" t="s">
        <v>326</v>
      </c>
      <c r="D680" s="109" t="s">
        <v>353</v>
      </c>
      <c r="E680" s="67" t="str">
        <f>COLORES!A13</f>
        <v>Camote</v>
      </c>
      <c r="F680" s="67" t="str">
        <f>COLORES!B13</f>
        <v>CLARO</v>
      </c>
      <c r="G680" s="90" t="s">
        <v>378</v>
      </c>
      <c r="H680" s="100">
        <f>IFERROR(SUMIFS(MOVIMIENTOS_COMPLEMENTOS!$I$4:$I$803,MOVIMIENTOS_COMPLEMENTOS!$C$4:$C$803,A680,MOVIMIENTOS_COMPLEMENTOS!$D$4:$D$803,B680,MOVIMIENTOS_COMPLEMENTOS!$E$4:$E$803,C680,MOVIMIENTOS_COMPLEMENTOS!$G$4:$G$803,E680,MOVIMIENTOS_COMPLEMENTOS!$H$4:$H$803,G680,MOVIMIENTOS_COMPLEMENTOS!$B$4:$B$803,"INGRESO")+SUMIFS(MOVIMIENTOS_COMPLEMENTOS!$I$4:$I$803,MOVIMIENTOS_COMPLEMENTOS!$C$4:$C$803,A680,MOVIMIENTOS_COMPLEMENTOS!$D$4:$D$803,B680,MOVIMIENTOS_COMPLEMENTOS!$E$4:$E$803,C680,MOVIMIENTOS_COMPLEMENTOS!$G$4:$G$803,E680,MOVIMIENTOS_COMPLEMENTOS!$H$4:$H$803,G680,MOVIMIENTOS_COMPLEMENTOS!$B$4:$B$803,"DE CORTE")-SUMIFS(MOVIMIENTOS_COMPLEMENTOS!$I$4:$I$803,MOVIMIENTOS_COMPLEMENTOS!$C$4:$C$803,A680,MOVIMIENTOS_COMPLEMENTOS!$D$4:$D$803,B680,MOVIMIENTOS_COMPLEMENTOS!$E$4:$E$803,C680,MOVIMIENTOS_COMPLEMENTOS!$G$4:$G$803,E680,MOVIMIENTOS_COMPLEMENTOS!$H$4:$H$803,G680,MOVIMIENTOS_COMPLEMENTOS!$B$4:$B$803,"SALIDA"),0)</f>
        <v>0</v>
      </c>
      <c r="I680" s="102">
        <f t="array" ref="I680">IFERROR(INDEX(PRECIOS_COMPLEMENTOS!$C$4:$F$17,MATCH(B680&amp;"_"&amp;C680,PRECIOS_COMPLEMENTOS!$H$4:$H$17,0),IF(OR(G680="S",G680="20cm"),1,IF(OR(G680="M",G680="25cm"),2,IF(OR(G680="L",G680="30cm"),3,IF(OR(G680="XL",G680="35cm"),4,0))))),0)</f>
        <v>0.4</v>
      </c>
      <c r="J680" s="103">
        <f t="shared" si="1"/>
        <v>0</v>
      </c>
      <c r="K680" s="104" t="str">
        <f>IF(H680&lt;0,"ERROR",IF(H680=0,"",IF(H680&lt;CONFIG!$B$4,"CRÍTICO",IF(H680&lt;CONFIG!$B$5,"BAJO","OK"))))</f>
        <v/>
      </c>
    </row>
    <row r="681" ht="15.75" hidden="1" customHeight="1">
      <c r="A681" s="90" t="str">
        <f>IF(CLIENTES!A9="","",CLIENTES!A9)</f>
        <v/>
      </c>
      <c r="B681" s="90" t="s">
        <v>321</v>
      </c>
      <c r="C681" s="91" t="s">
        <v>326</v>
      </c>
      <c r="D681" s="109" t="s">
        <v>353</v>
      </c>
      <c r="E681" s="67" t="str">
        <f>COLORES!A13</f>
        <v>Camote</v>
      </c>
      <c r="F681" s="67" t="str">
        <f>COLORES!B13</f>
        <v>CLARO</v>
      </c>
      <c r="G681" s="90" t="s">
        <v>376</v>
      </c>
      <c r="H681" s="100">
        <f>IFERROR(SUMIFS(MOVIMIENTOS_COMPLEMENTOS!$I$4:$I$803,MOVIMIENTOS_COMPLEMENTOS!$C$4:$C$803,A681,MOVIMIENTOS_COMPLEMENTOS!$D$4:$D$803,B681,MOVIMIENTOS_COMPLEMENTOS!$E$4:$E$803,C681,MOVIMIENTOS_COMPLEMENTOS!$G$4:$G$803,E681,MOVIMIENTOS_COMPLEMENTOS!$H$4:$H$803,G681,MOVIMIENTOS_COMPLEMENTOS!$B$4:$B$803,"INGRESO")+SUMIFS(MOVIMIENTOS_COMPLEMENTOS!$I$4:$I$803,MOVIMIENTOS_COMPLEMENTOS!$C$4:$C$803,A681,MOVIMIENTOS_COMPLEMENTOS!$D$4:$D$803,B681,MOVIMIENTOS_COMPLEMENTOS!$E$4:$E$803,C681,MOVIMIENTOS_COMPLEMENTOS!$G$4:$G$803,E681,MOVIMIENTOS_COMPLEMENTOS!$H$4:$H$803,G681,MOVIMIENTOS_COMPLEMENTOS!$B$4:$B$803,"DE CORTE")-SUMIFS(MOVIMIENTOS_COMPLEMENTOS!$I$4:$I$803,MOVIMIENTOS_COMPLEMENTOS!$C$4:$C$803,A681,MOVIMIENTOS_COMPLEMENTOS!$D$4:$D$803,B681,MOVIMIENTOS_COMPLEMENTOS!$E$4:$E$803,C681,MOVIMIENTOS_COMPLEMENTOS!$G$4:$G$803,E681,MOVIMIENTOS_COMPLEMENTOS!$H$4:$H$803,G681,MOVIMIENTOS_COMPLEMENTOS!$B$4:$B$803,"SALIDA"),0)</f>
        <v>0</v>
      </c>
      <c r="I681" s="102">
        <f t="array" ref="I681">IFERROR(INDEX(PRECIOS_COMPLEMENTOS!$C$4:$F$17,MATCH(B681&amp;"_"&amp;C681,PRECIOS_COMPLEMENTOS!$H$4:$H$17,0),IF(OR(G681="S",G681="20cm"),1,IF(OR(G681="M",G681="25cm"),2,IF(OR(G681="L",G681="30cm"),3,IF(OR(G681="XL",G681="35cm"),4,0))))),0)</f>
        <v>0.45</v>
      </c>
      <c r="J681" s="103">
        <f t="shared" si="1"/>
        <v>0</v>
      </c>
      <c r="K681" s="104" t="str">
        <f>IF(H681&lt;0,"ERROR",IF(H681=0,"",IF(H681&lt;CONFIG!$B$4,"CRÍTICO",IF(H681&lt;CONFIG!$B$5,"BAJO","OK"))))</f>
        <v/>
      </c>
    </row>
    <row r="682" ht="15.75" hidden="1" customHeight="1">
      <c r="A682" s="90" t="str">
        <f>IF(CLIENTES!A9="","",CLIENTES!A9)</f>
        <v/>
      </c>
      <c r="B682" s="90" t="s">
        <v>321</v>
      </c>
      <c r="C682" s="91" t="s">
        <v>326</v>
      </c>
      <c r="D682" s="109" t="s">
        <v>353</v>
      </c>
      <c r="E682" s="67" t="str">
        <f>COLORES!A13</f>
        <v>Camote</v>
      </c>
      <c r="F682" s="67" t="str">
        <f>COLORES!B13</f>
        <v>CLARO</v>
      </c>
      <c r="G682" s="90" t="s">
        <v>377</v>
      </c>
      <c r="H682" s="100">
        <f>IFERROR(SUMIFS(MOVIMIENTOS_COMPLEMENTOS!$I$4:$I$803,MOVIMIENTOS_COMPLEMENTOS!$C$4:$C$803,A682,MOVIMIENTOS_COMPLEMENTOS!$D$4:$D$803,B682,MOVIMIENTOS_COMPLEMENTOS!$E$4:$E$803,C682,MOVIMIENTOS_COMPLEMENTOS!$G$4:$G$803,E682,MOVIMIENTOS_COMPLEMENTOS!$H$4:$H$803,G682,MOVIMIENTOS_COMPLEMENTOS!$B$4:$B$803,"INGRESO")+SUMIFS(MOVIMIENTOS_COMPLEMENTOS!$I$4:$I$803,MOVIMIENTOS_COMPLEMENTOS!$C$4:$C$803,A682,MOVIMIENTOS_COMPLEMENTOS!$D$4:$D$803,B682,MOVIMIENTOS_COMPLEMENTOS!$E$4:$E$803,C682,MOVIMIENTOS_COMPLEMENTOS!$G$4:$G$803,E682,MOVIMIENTOS_COMPLEMENTOS!$H$4:$H$803,G682,MOVIMIENTOS_COMPLEMENTOS!$B$4:$B$803,"DE CORTE")-SUMIFS(MOVIMIENTOS_COMPLEMENTOS!$I$4:$I$803,MOVIMIENTOS_COMPLEMENTOS!$C$4:$C$803,A682,MOVIMIENTOS_COMPLEMENTOS!$D$4:$D$803,B682,MOVIMIENTOS_COMPLEMENTOS!$E$4:$E$803,C682,MOVIMIENTOS_COMPLEMENTOS!$G$4:$G$803,E682,MOVIMIENTOS_COMPLEMENTOS!$H$4:$H$803,G682,MOVIMIENTOS_COMPLEMENTOS!$B$4:$B$803,"SALIDA"),0)</f>
        <v>0</v>
      </c>
      <c r="I682" s="102">
        <f t="array" ref="I682">IFERROR(INDEX(PRECIOS_COMPLEMENTOS!$C$4:$F$17,MATCH(B682&amp;"_"&amp;C682,PRECIOS_COMPLEMENTOS!$H$4:$H$17,0),IF(OR(G682="S",G682="20cm"),1,IF(OR(G682="M",G682="25cm"),2,IF(OR(G682="L",G682="30cm"),3,IF(OR(G682="XL",G682="35cm"),4,0))))),0)</f>
        <v>0.5</v>
      </c>
      <c r="J682" s="103">
        <f t="shared" si="1"/>
        <v>0</v>
      </c>
      <c r="K682" s="104" t="str">
        <f>IF(H682&lt;0,"ERROR",IF(H682=0,"",IF(H682&lt;CONFIG!$B$4,"CRÍTICO",IF(H682&lt;CONFIG!$B$5,"BAJO","OK"))))</f>
        <v/>
      </c>
    </row>
    <row r="683" ht="15.75" hidden="1" customHeight="1">
      <c r="A683" s="90" t="str">
        <f>IF(CLIENTES!A9="","",CLIENTES!A9)</f>
        <v/>
      </c>
      <c r="B683" s="90" t="s">
        <v>321</v>
      </c>
      <c r="C683" s="91" t="s">
        <v>326</v>
      </c>
      <c r="D683" s="109" t="s">
        <v>353</v>
      </c>
      <c r="E683" s="67" t="str">
        <f>COLORES!A13</f>
        <v>Camote</v>
      </c>
      <c r="F683" s="67" t="str">
        <f>COLORES!B13</f>
        <v>CLARO</v>
      </c>
      <c r="G683" s="90" t="s">
        <v>379</v>
      </c>
      <c r="H683" s="100">
        <f>IFERROR(SUMIFS(MOVIMIENTOS_COMPLEMENTOS!$I$4:$I$803,MOVIMIENTOS_COMPLEMENTOS!$C$4:$C$803,A683,MOVIMIENTOS_COMPLEMENTOS!$D$4:$D$803,B683,MOVIMIENTOS_COMPLEMENTOS!$E$4:$E$803,C683,MOVIMIENTOS_COMPLEMENTOS!$G$4:$G$803,E683,MOVIMIENTOS_COMPLEMENTOS!$H$4:$H$803,G683,MOVIMIENTOS_COMPLEMENTOS!$B$4:$B$803,"INGRESO")+SUMIFS(MOVIMIENTOS_COMPLEMENTOS!$I$4:$I$803,MOVIMIENTOS_COMPLEMENTOS!$C$4:$C$803,A683,MOVIMIENTOS_COMPLEMENTOS!$D$4:$D$803,B683,MOVIMIENTOS_COMPLEMENTOS!$E$4:$E$803,C683,MOVIMIENTOS_COMPLEMENTOS!$G$4:$G$803,E683,MOVIMIENTOS_COMPLEMENTOS!$H$4:$H$803,G683,MOVIMIENTOS_COMPLEMENTOS!$B$4:$B$803,"DE CORTE")-SUMIFS(MOVIMIENTOS_COMPLEMENTOS!$I$4:$I$803,MOVIMIENTOS_COMPLEMENTOS!$C$4:$C$803,A683,MOVIMIENTOS_COMPLEMENTOS!$D$4:$D$803,B683,MOVIMIENTOS_COMPLEMENTOS!$E$4:$E$803,C683,MOVIMIENTOS_COMPLEMENTOS!$G$4:$G$803,E683,MOVIMIENTOS_COMPLEMENTOS!$H$4:$H$803,G683,MOVIMIENTOS_COMPLEMENTOS!$B$4:$B$803,"SALIDA"),0)</f>
        <v>0</v>
      </c>
      <c r="I683" s="102">
        <f t="array" ref="I683">IFERROR(INDEX(PRECIOS_COMPLEMENTOS!$C$4:$F$17,MATCH(B683&amp;"_"&amp;C683,PRECIOS_COMPLEMENTOS!$H$4:$H$17,0),IF(OR(G683="S",G683="20cm"),1,IF(OR(G683="M",G683="25cm"),2,IF(OR(G683="L",G683="30cm"),3,IF(OR(G683="XL",G683="35cm"),4,0))))),0)</f>
        <v>0.55</v>
      </c>
      <c r="J683" s="103">
        <f t="shared" si="1"/>
        <v>0</v>
      </c>
      <c r="K683" s="104" t="str">
        <f>IF(H683&lt;0,"ERROR",IF(H683=0,"",IF(H683&lt;CONFIG!$B$4,"CRÍTICO",IF(H683&lt;CONFIG!$B$5,"BAJO","OK"))))</f>
        <v/>
      </c>
    </row>
    <row r="684" ht="15.75" hidden="1" customHeight="1">
      <c r="A684" s="90" t="str">
        <f>IF(CLIENTES!A9="","",CLIENTES!A9)</f>
        <v/>
      </c>
      <c r="B684" s="90" t="s">
        <v>321</v>
      </c>
      <c r="C684" s="91" t="s">
        <v>326</v>
      </c>
      <c r="D684" s="109" t="s">
        <v>353</v>
      </c>
      <c r="E684" s="67" t="str">
        <f>COLORES!A14</f>
        <v>Denim</v>
      </c>
      <c r="F684" s="67" t="str">
        <f>COLORES!B14</f>
        <v>CLARO</v>
      </c>
      <c r="G684" s="90" t="s">
        <v>378</v>
      </c>
      <c r="H684" s="100">
        <f>IFERROR(SUMIFS(MOVIMIENTOS_COMPLEMENTOS!$I$4:$I$803,MOVIMIENTOS_COMPLEMENTOS!$C$4:$C$803,A684,MOVIMIENTOS_COMPLEMENTOS!$D$4:$D$803,B684,MOVIMIENTOS_COMPLEMENTOS!$E$4:$E$803,C684,MOVIMIENTOS_COMPLEMENTOS!$G$4:$G$803,E684,MOVIMIENTOS_COMPLEMENTOS!$H$4:$H$803,G684,MOVIMIENTOS_COMPLEMENTOS!$B$4:$B$803,"INGRESO")+SUMIFS(MOVIMIENTOS_COMPLEMENTOS!$I$4:$I$803,MOVIMIENTOS_COMPLEMENTOS!$C$4:$C$803,A684,MOVIMIENTOS_COMPLEMENTOS!$D$4:$D$803,B684,MOVIMIENTOS_COMPLEMENTOS!$E$4:$E$803,C684,MOVIMIENTOS_COMPLEMENTOS!$G$4:$G$803,E684,MOVIMIENTOS_COMPLEMENTOS!$H$4:$H$803,G684,MOVIMIENTOS_COMPLEMENTOS!$B$4:$B$803,"DE CORTE")-SUMIFS(MOVIMIENTOS_COMPLEMENTOS!$I$4:$I$803,MOVIMIENTOS_COMPLEMENTOS!$C$4:$C$803,A684,MOVIMIENTOS_COMPLEMENTOS!$D$4:$D$803,B684,MOVIMIENTOS_COMPLEMENTOS!$E$4:$E$803,C684,MOVIMIENTOS_COMPLEMENTOS!$G$4:$G$803,E684,MOVIMIENTOS_COMPLEMENTOS!$H$4:$H$803,G684,MOVIMIENTOS_COMPLEMENTOS!$B$4:$B$803,"SALIDA"),0)</f>
        <v>0</v>
      </c>
      <c r="I684" s="102">
        <f t="array" ref="I684">IFERROR(INDEX(PRECIOS_COMPLEMENTOS!$C$4:$F$17,MATCH(B684&amp;"_"&amp;C684,PRECIOS_COMPLEMENTOS!$H$4:$H$17,0),IF(OR(G684="S",G684="20cm"),1,IF(OR(G684="M",G684="25cm"),2,IF(OR(G684="L",G684="30cm"),3,IF(OR(G684="XL",G684="35cm"),4,0))))),0)</f>
        <v>0.4</v>
      </c>
      <c r="J684" s="103">
        <f t="shared" si="1"/>
        <v>0</v>
      </c>
      <c r="K684" s="104" t="str">
        <f>IF(H684&lt;0,"ERROR",IF(H684=0,"",IF(H684&lt;CONFIG!$B$4,"CRÍTICO",IF(H684&lt;CONFIG!$B$5,"BAJO","OK"))))</f>
        <v/>
      </c>
    </row>
    <row r="685" ht="15.75" hidden="1" customHeight="1">
      <c r="A685" s="90" t="str">
        <f>IF(CLIENTES!A9="","",CLIENTES!A9)</f>
        <v/>
      </c>
      <c r="B685" s="90" t="s">
        <v>321</v>
      </c>
      <c r="C685" s="91" t="s">
        <v>326</v>
      </c>
      <c r="D685" s="109" t="s">
        <v>353</v>
      </c>
      <c r="E685" s="67" t="str">
        <f>COLORES!A14</f>
        <v>Denim</v>
      </c>
      <c r="F685" s="67" t="str">
        <f>COLORES!B14</f>
        <v>CLARO</v>
      </c>
      <c r="G685" s="90" t="s">
        <v>376</v>
      </c>
      <c r="H685" s="100">
        <f>IFERROR(SUMIFS(MOVIMIENTOS_COMPLEMENTOS!$I$4:$I$803,MOVIMIENTOS_COMPLEMENTOS!$C$4:$C$803,A685,MOVIMIENTOS_COMPLEMENTOS!$D$4:$D$803,B685,MOVIMIENTOS_COMPLEMENTOS!$E$4:$E$803,C685,MOVIMIENTOS_COMPLEMENTOS!$G$4:$G$803,E685,MOVIMIENTOS_COMPLEMENTOS!$H$4:$H$803,G685,MOVIMIENTOS_COMPLEMENTOS!$B$4:$B$803,"INGRESO")+SUMIFS(MOVIMIENTOS_COMPLEMENTOS!$I$4:$I$803,MOVIMIENTOS_COMPLEMENTOS!$C$4:$C$803,A685,MOVIMIENTOS_COMPLEMENTOS!$D$4:$D$803,B685,MOVIMIENTOS_COMPLEMENTOS!$E$4:$E$803,C685,MOVIMIENTOS_COMPLEMENTOS!$G$4:$G$803,E685,MOVIMIENTOS_COMPLEMENTOS!$H$4:$H$803,G685,MOVIMIENTOS_COMPLEMENTOS!$B$4:$B$803,"DE CORTE")-SUMIFS(MOVIMIENTOS_COMPLEMENTOS!$I$4:$I$803,MOVIMIENTOS_COMPLEMENTOS!$C$4:$C$803,A685,MOVIMIENTOS_COMPLEMENTOS!$D$4:$D$803,B685,MOVIMIENTOS_COMPLEMENTOS!$E$4:$E$803,C685,MOVIMIENTOS_COMPLEMENTOS!$G$4:$G$803,E685,MOVIMIENTOS_COMPLEMENTOS!$H$4:$H$803,G685,MOVIMIENTOS_COMPLEMENTOS!$B$4:$B$803,"SALIDA"),0)</f>
        <v>0</v>
      </c>
      <c r="I685" s="102">
        <f t="array" ref="I685">IFERROR(INDEX(PRECIOS_COMPLEMENTOS!$C$4:$F$17,MATCH(B685&amp;"_"&amp;C685,PRECIOS_COMPLEMENTOS!$H$4:$H$17,0),IF(OR(G685="S",G685="20cm"),1,IF(OR(G685="M",G685="25cm"),2,IF(OR(G685="L",G685="30cm"),3,IF(OR(G685="XL",G685="35cm"),4,0))))),0)</f>
        <v>0.45</v>
      </c>
      <c r="J685" s="103">
        <f t="shared" si="1"/>
        <v>0</v>
      </c>
      <c r="K685" s="104" t="str">
        <f>IF(H685&lt;0,"ERROR",IF(H685=0,"",IF(H685&lt;CONFIG!$B$4,"CRÍTICO",IF(H685&lt;CONFIG!$B$5,"BAJO","OK"))))</f>
        <v/>
      </c>
    </row>
    <row r="686" ht="15.75" hidden="1" customHeight="1">
      <c r="A686" s="90" t="str">
        <f>IF(CLIENTES!A9="","",CLIENTES!A9)</f>
        <v/>
      </c>
      <c r="B686" s="90" t="s">
        <v>321</v>
      </c>
      <c r="C686" s="91" t="s">
        <v>326</v>
      </c>
      <c r="D686" s="109" t="s">
        <v>353</v>
      </c>
      <c r="E686" s="67" t="str">
        <f>COLORES!A14</f>
        <v>Denim</v>
      </c>
      <c r="F686" s="67" t="str">
        <f>COLORES!B14</f>
        <v>CLARO</v>
      </c>
      <c r="G686" s="90" t="s">
        <v>377</v>
      </c>
      <c r="H686" s="100">
        <f>IFERROR(SUMIFS(MOVIMIENTOS_COMPLEMENTOS!$I$4:$I$803,MOVIMIENTOS_COMPLEMENTOS!$C$4:$C$803,A686,MOVIMIENTOS_COMPLEMENTOS!$D$4:$D$803,B686,MOVIMIENTOS_COMPLEMENTOS!$E$4:$E$803,C686,MOVIMIENTOS_COMPLEMENTOS!$G$4:$G$803,E686,MOVIMIENTOS_COMPLEMENTOS!$H$4:$H$803,G686,MOVIMIENTOS_COMPLEMENTOS!$B$4:$B$803,"INGRESO")+SUMIFS(MOVIMIENTOS_COMPLEMENTOS!$I$4:$I$803,MOVIMIENTOS_COMPLEMENTOS!$C$4:$C$803,A686,MOVIMIENTOS_COMPLEMENTOS!$D$4:$D$803,B686,MOVIMIENTOS_COMPLEMENTOS!$E$4:$E$803,C686,MOVIMIENTOS_COMPLEMENTOS!$G$4:$G$803,E686,MOVIMIENTOS_COMPLEMENTOS!$H$4:$H$803,G686,MOVIMIENTOS_COMPLEMENTOS!$B$4:$B$803,"DE CORTE")-SUMIFS(MOVIMIENTOS_COMPLEMENTOS!$I$4:$I$803,MOVIMIENTOS_COMPLEMENTOS!$C$4:$C$803,A686,MOVIMIENTOS_COMPLEMENTOS!$D$4:$D$803,B686,MOVIMIENTOS_COMPLEMENTOS!$E$4:$E$803,C686,MOVIMIENTOS_COMPLEMENTOS!$G$4:$G$803,E686,MOVIMIENTOS_COMPLEMENTOS!$H$4:$H$803,G686,MOVIMIENTOS_COMPLEMENTOS!$B$4:$B$803,"SALIDA"),0)</f>
        <v>0</v>
      </c>
      <c r="I686" s="102">
        <f t="array" ref="I686">IFERROR(INDEX(PRECIOS_COMPLEMENTOS!$C$4:$F$17,MATCH(B686&amp;"_"&amp;C686,PRECIOS_COMPLEMENTOS!$H$4:$H$17,0),IF(OR(G686="S",G686="20cm"),1,IF(OR(G686="M",G686="25cm"),2,IF(OR(G686="L",G686="30cm"),3,IF(OR(G686="XL",G686="35cm"),4,0))))),0)</f>
        <v>0.5</v>
      </c>
      <c r="J686" s="103">
        <f t="shared" si="1"/>
        <v>0</v>
      </c>
      <c r="K686" s="104" t="str">
        <f>IF(H686&lt;0,"ERROR",IF(H686=0,"",IF(H686&lt;CONFIG!$B$4,"CRÍTICO",IF(H686&lt;CONFIG!$B$5,"BAJO","OK"))))</f>
        <v/>
      </c>
    </row>
    <row r="687" ht="15.75" hidden="1" customHeight="1">
      <c r="A687" s="90" t="str">
        <f>IF(CLIENTES!A9="","",CLIENTES!A9)</f>
        <v/>
      </c>
      <c r="B687" s="90" t="s">
        <v>321</v>
      </c>
      <c r="C687" s="91" t="s">
        <v>326</v>
      </c>
      <c r="D687" s="109" t="s">
        <v>353</v>
      </c>
      <c r="E687" s="67" t="str">
        <f>COLORES!A14</f>
        <v>Denim</v>
      </c>
      <c r="F687" s="67" t="str">
        <f>COLORES!B14</f>
        <v>CLARO</v>
      </c>
      <c r="G687" s="90" t="s">
        <v>379</v>
      </c>
      <c r="H687" s="100">
        <f>IFERROR(SUMIFS(MOVIMIENTOS_COMPLEMENTOS!$I$4:$I$803,MOVIMIENTOS_COMPLEMENTOS!$C$4:$C$803,A687,MOVIMIENTOS_COMPLEMENTOS!$D$4:$D$803,B687,MOVIMIENTOS_COMPLEMENTOS!$E$4:$E$803,C687,MOVIMIENTOS_COMPLEMENTOS!$G$4:$G$803,E687,MOVIMIENTOS_COMPLEMENTOS!$H$4:$H$803,G687,MOVIMIENTOS_COMPLEMENTOS!$B$4:$B$803,"INGRESO")+SUMIFS(MOVIMIENTOS_COMPLEMENTOS!$I$4:$I$803,MOVIMIENTOS_COMPLEMENTOS!$C$4:$C$803,A687,MOVIMIENTOS_COMPLEMENTOS!$D$4:$D$803,B687,MOVIMIENTOS_COMPLEMENTOS!$E$4:$E$803,C687,MOVIMIENTOS_COMPLEMENTOS!$G$4:$G$803,E687,MOVIMIENTOS_COMPLEMENTOS!$H$4:$H$803,G687,MOVIMIENTOS_COMPLEMENTOS!$B$4:$B$803,"DE CORTE")-SUMIFS(MOVIMIENTOS_COMPLEMENTOS!$I$4:$I$803,MOVIMIENTOS_COMPLEMENTOS!$C$4:$C$803,A687,MOVIMIENTOS_COMPLEMENTOS!$D$4:$D$803,B687,MOVIMIENTOS_COMPLEMENTOS!$E$4:$E$803,C687,MOVIMIENTOS_COMPLEMENTOS!$G$4:$G$803,E687,MOVIMIENTOS_COMPLEMENTOS!$H$4:$H$803,G687,MOVIMIENTOS_COMPLEMENTOS!$B$4:$B$803,"SALIDA"),0)</f>
        <v>0</v>
      </c>
      <c r="I687" s="102">
        <f t="array" ref="I687">IFERROR(INDEX(PRECIOS_COMPLEMENTOS!$C$4:$F$17,MATCH(B687&amp;"_"&amp;C687,PRECIOS_COMPLEMENTOS!$H$4:$H$17,0),IF(OR(G687="S",G687="20cm"),1,IF(OR(G687="M",G687="25cm"),2,IF(OR(G687="L",G687="30cm"),3,IF(OR(G687="XL",G687="35cm"),4,0))))),0)</f>
        <v>0.55</v>
      </c>
      <c r="J687" s="103">
        <f t="shared" si="1"/>
        <v>0</v>
      </c>
      <c r="K687" s="104" t="str">
        <f>IF(H687&lt;0,"ERROR",IF(H687=0,"",IF(H687&lt;CONFIG!$B$4,"CRÍTICO",IF(H687&lt;CONFIG!$B$5,"BAJO","OK"))))</f>
        <v/>
      </c>
    </row>
    <row r="688" ht="15.75" hidden="1" customHeight="1">
      <c r="A688" s="90" t="str">
        <f>IF(CLIENTES!A9="","",CLIENTES!A9)</f>
        <v/>
      </c>
      <c r="B688" s="90" t="s">
        <v>321</v>
      </c>
      <c r="C688" s="91" t="s">
        <v>326</v>
      </c>
      <c r="D688" s="109" t="s">
        <v>353</v>
      </c>
      <c r="E688" s="67" t="str">
        <f>COLORES!A15</f>
        <v>Plomo</v>
      </c>
      <c r="F688" s="67" t="str">
        <f>COLORES!B15</f>
        <v>OSCURO</v>
      </c>
      <c r="G688" s="90" t="s">
        <v>378</v>
      </c>
      <c r="H688" s="100">
        <f>IFERROR(SUMIFS(MOVIMIENTOS_COMPLEMENTOS!$I$4:$I$803,MOVIMIENTOS_COMPLEMENTOS!$C$4:$C$803,A688,MOVIMIENTOS_COMPLEMENTOS!$D$4:$D$803,B688,MOVIMIENTOS_COMPLEMENTOS!$E$4:$E$803,C688,MOVIMIENTOS_COMPLEMENTOS!$G$4:$G$803,E688,MOVIMIENTOS_COMPLEMENTOS!$H$4:$H$803,G688,MOVIMIENTOS_COMPLEMENTOS!$B$4:$B$803,"INGRESO")+SUMIFS(MOVIMIENTOS_COMPLEMENTOS!$I$4:$I$803,MOVIMIENTOS_COMPLEMENTOS!$C$4:$C$803,A688,MOVIMIENTOS_COMPLEMENTOS!$D$4:$D$803,B688,MOVIMIENTOS_COMPLEMENTOS!$E$4:$E$803,C688,MOVIMIENTOS_COMPLEMENTOS!$G$4:$G$803,E688,MOVIMIENTOS_COMPLEMENTOS!$H$4:$H$803,G688,MOVIMIENTOS_COMPLEMENTOS!$B$4:$B$803,"DE CORTE")-SUMIFS(MOVIMIENTOS_COMPLEMENTOS!$I$4:$I$803,MOVIMIENTOS_COMPLEMENTOS!$C$4:$C$803,A688,MOVIMIENTOS_COMPLEMENTOS!$D$4:$D$803,B688,MOVIMIENTOS_COMPLEMENTOS!$E$4:$E$803,C688,MOVIMIENTOS_COMPLEMENTOS!$G$4:$G$803,E688,MOVIMIENTOS_COMPLEMENTOS!$H$4:$H$803,G688,MOVIMIENTOS_COMPLEMENTOS!$B$4:$B$803,"SALIDA"),0)</f>
        <v>0</v>
      </c>
      <c r="I688" s="102">
        <f t="array" ref="I688">IFERROR(INDEX(PRECIOS_COMPLEMENTOS!$C$4:$F$17,MATCH(B688&amp;"_"&amp;C688,PRECIOS_COMPLEMENTOS!$H$4:$H$17,0),IF(OR(G688="S",G688="20cm"),1,IF(OR(G688="M",G688="25cm"),2,IF(OR(G688="L",G688="30cm"),3,IF(OR(G688="XL",G688="35cm"),4,0))))),0)</f>
        <v>0.4</v>
      </c>
      <c r="J688" s="103">
        <f t="shared" si="1"/>
        <v>0</v>
      </c>
      <c r="K688" s="104" t="str">
        <f>IF(H688&lt;0,"ERROR",IF(H688=0,"",IF(H688&lt;CONFIG!$B$4,"CRÍTICO",IF(H688&lt;CONFIG!$B$5,"BAJO","OK"))))</f>
        <v/>
      </c>
    </row>
    <row r="689" ht="15.75" hidden="1" customHeight="1">
      <c r="A689" s="90" t="str">
        <f>IF(CLIENTES!A9="","",CLIENTES!A9)</f>
        <v/>
      </c>
      <c r="B689" s="90" t="s">
        <v>321</v>
      </c>
      <c r="C689" s="91" t="s">
        <v>326</v>
      </c>
      <c r="D689" s="109" t="s">
        <v>353</v>
      </c>
      <c r="E689" s="67" t="str">
        <f>COLORES!A15</f>
        <v>Plomo</v>
      </c>
      <c r="F689" s="67" t="str">
        <f>COLORES!B15</f>
        <v>OSCURO</v>
      </c>
      <c r="G689" s="90" t="s">
        <v>376</v>
      </c>
      <c r="H689" s="100">
        <f>IFERROR(SUMIFS(MOVIMIENTOS_COMPLEMENTOS!$I$4:$I$803,MOVIMIENTOS_COMPLEMENTOS!$C$4:$C$803,A689,MOVIMIENTOS_COMPLEMENTOS!$D$4:$D$803,B689,MOVIMIENTOS_COMPLEMENTOS!$E$4:$E$803,C689,MOVIMIENTOS_COMPLEMENTOS!$G$4:$G$803,E689,MOVIMIENTOS_COMPLEMENTOS!$H$4:$H$803,G689,MOVIMIENTOS_COMPLEMENTOS!$B$4:$B$803,"INGRESO")+SUMIFS(MOVIMIENTOS_COMPLEMENTOS!$I$4:$I$803,MOVIMIENTOS_COMPLEMENTOS!$C$4:$C$803,A689,MOVIMIENTOS_COMPLEMENTOS!$D$4:$D$803,B689,MOVIMIENTOS_COMPLEMENTOS!$E$4:$E$803,C689,MOVIMIENTOS_COMPLEMENTOS!$G$4:$G$803,E689,MOVIMIENTOS_COMPLEMENTOS!$H$4:$H$803,G689,MOVIMIENTOS_COMPLEMENTOS!$B$4:$B$803,"DE CORTE")-SUMIFS(MOVIMIENTOS_COMPLEMENTOS!$I$4:$I$803,MOVIMIENTOS_COMPLEMENTOS!$C$4:$C$803,A689,MOVIMIENTOS_COMPLEMENTOS!$D$4:$D$803,B689,MOVIMIENTOS_COMPLEMENTOS!$E$4:$E$803,C689,MOVIMIENTOS_COMPLEMENTOS!$G$4:$G$803,E689,MOVIMIENTOS_COMPLEMENTOS!$H$4:$H$803,G689,MOVIMIENTOS_COMPLEMENTOS!$B$4:$B$803,"SALIDA"),0)</f>
        <v>0</v>
      </c>
      <c r="I689" s="102">
        <f t="array" ref="I689">IFERROR(INDEX(PRECIOS_COMPLEMENTOS!$C$4:$F$17,MATCH(B689&amp;"_"&amp;C689,PRECIOS_COMPLEMENTOS!$H$4:$H$17,0),IF(OR(G689="S",G689="20cm"),1,IF(OR(G689="M",G689="25cm"),2,IF(OR(G689="L",G689="30cm"),3,IF(OR(G689="XL",G689="35cm"),4,0))))),0)</f>
        <v>0.45</v>
      </c>
      <c r="J689" s="103">
        <f t="shared" si="1"/>
        <v>0</v>
      </c>
      <c r="K689" s="104" t="str">
        <f>IF(H689&lt;0,"ERROR",IF(H689=0,"",IF(H689&lt;CONFIG!$B$4,"CRÍTICO",IF(H689&lt;CONFIG!$B$5,"BAJO","OK"))))</f>
        <v/>
      </c>
    </row>
    <row r="690" ht="15.75" hidden="1" customHeight="1">
      <c r="A690" s="90" t="str">
        <f>IF(CLIENTES!A9="","",CLIENTES!A9)</f>
        <v/>
      </c>
      <c r="B690" s="90" t="s">
        <v>321</v>
      </c>
      <c r="C690" s="91" t="s">
        <v>326</v>
      </c>
      <c r="D690" s="109" t="s">
        <v>353</v>
      </c>
      <c r="E690" s="67" t="str">
        <f>COLORES!A15</f>
        <v>Plomo</v>
      </c>
      <c r="F690" s="67" t="str">
        <f>COLORES!B15</f>
        <v>OSCURO</v>
      </c>
      <c r="G690" s="90" t="s">
        <v>377</v>
      </c>
      <c r="H690" s="100">
        <f>IFERROR(SUMIFS(MOVIMIENTOS_COMPLEMENTOS!$I$4:$I$803,MOVIMIENTOS_COMPLEMENTOS!$C$4:$C$803,A690,MOVIMIENTOS_COMPLEMENTOS!$D$4:$D$803,B690,MOVIMIENTOS_COMPLEMENTOS!$E$4:$E$803,C690,MOVIMIENTOS_COMPLEMENTOS!$G$4:$G$803,E690,MOVIMIENTOS_COMPLEMENTOS!$H$4:$H$803,G690,MOVIMIENTOS_COMPLEMENTOS!$B$4:$B$803,"INGRESO")+SUMIFS(MOVIMIENTOS_COMPLEMENTOS!$I$4:$I$803,MOVIMIENTOS_COMPLEMENTOS!$C$4:$C$803,A690,MOVIMIENTOS_COMPLEMENTOS!$D$4:$D$803,B690,MOVIMIENTOS_COMPLEMENTOS!$E$4:$E$803,C690,MOVIMIENTOS_COMPLEMENTOS!$G$4:$G$803,E690,MOVIMIENTOS_COMPLEMENTOS!$H$4:$H$803,G690,MOVIMIENTOS_COMPLEMENTOS!$B$4:$B$803,"DE CORTE")-SUMIFS(MOVIMIENTOS_COMPLEMENTOS!$I$4:$I$803,MOVIMIENTOS_COMPLEMENTOS!$C$4:$C$803,A690,MOVIMIENTOS_COMPLEMENTOS!$D$4:$D$803,B690,MOVIMIENTOS_COMPLEMENTOS!$E$4:$E$803,C690,MOVIMIENTOS_COMPLEMENTOS!$G$4:$G$803,E690,MOVIMIENTOS_COMPLEMENTOS!$H$4:$H$803,G690,MOVIMIENTOS_COMPLEMENTOS!$B$4:$B$803,"SALIDA"),0)</f>
        <v>0</v>
      </c>
      <c r="I690" s="102">
        <f t="array" ref="I690">IFERROR(INDEX(PRECIOS_COMPLEMENTOS!$C$4:$F$17,MATCH(B690&amp;"_"&amp;C690,PRECIOS_COMPLEMENTOS!$H$4:$H$17,0),IF(OR(G690="S",G690="20cm"),1,IF(OR(G690="M",G690="25cm"),2,IF(OR(G690="L",G690="30cm"),3,IF(OR(G690="XL",G690="35cm"),4,0))))),0)</f>
        <v>0.5</v>
      </c>
      <c r="J690" s="103">
        <f t="shared" si="1"/>
        <v>0</v>
      </c>
      <c r="K690" s="104" t="str">
        <f>IF(H690&lt;0,"ERROR",IF(H690=0,"",IF(H690&lt;CONFIG!$B$4,"CRÍTICO",IF(H690&lt;CONFIG!$B$5,"BAJO","OK"))))</f>
        <v/>
      </c>
    </row>
    <row r="691" ht="15.75" hidden="1" customHeight="1">
      <c r="A691" s="90" t="str">
        <f>IF(CLIENTES!A9="","",CLIENTES!A9)</f>
        <v/>
      </c>
      <c r="B691" s="90" t="s">
        <v>321</v>
      </c>
      <c r="C691" s="91" t="s">
        <v>326</v>
      </c>
      <c r="D691" s="109" t="s">
        <v>353</v>
      </c>
      <c r="E691" s="67" t="str">
        <f>COLORES!A15</f>
        <v>Plomo</v>
      </c>
      <c r="F691" s="67" t="str">
        <f>COLORES!B15</f>
        <v>OSCURO</v>
      </c>
      <c r="G691" s="90" t="s">
        <v>379</v>
      </c>
      <c r="H691" s="100">
        <f>IFERROR(SUMIFS(MOVIMIENTOS_COMPLEMENTOS!$I$4:$I$803,MOVIMIENTOS_COMPLEMENTOS!$C$4:$C$803,A691,MOVIMIENTOS_COMPLEMENTOS!$D$4:$D$803,B691,MOVIMIENTOS_COMPLEMENTOS!$E$4:$E$803,C691,MOVIMIENTOS_COMPLEMENTOS!$G$4:$G$803,E691,MOVIMIENTOS_COMPLEMENTOS!$H$4:$H$803,G691,MOVIMIENTOS_COMPLEMENTOS!$B$4:$B$803,"INGRESO")+SUMIFS(MOVIMIENTOS_COMPLEMENTOS!$I$4:$I$803,MOVIMIENTOS_COMPLEMENTOS!$C$4:$C$803,A691,MOVIMIENTOS_COMPLEMENTOS!$D$4:$D$803,B691,MOVIMIENTOS_COMPLEMENTOS!$E$4:$E$803,C691,MOVIMIENTOS_COMPLEMENTOS!$G$4:$G$803,E691,MOVIMIENTOS_COMPLEMENTOS!$H$4:$H$803,G691,MOVIMIENTOS_COMPLEMENTOS!$B$4:$B$803,"DE CORTE")-SUMIFS(MOVIMIENTOS_COMPLEMENTOS!$I$4:$I$803,MOVIMIENTOS_COMPLEMENTOS!$C$4:$C$803,A691,MOVIMIENTOS_COMPLEMENTOS!$D$4:$D$803,B691,MOVIMIENTOS_COMPLEMENTOS!$E$4:$E$803,C691,MOVIMIENTOS_COMPLEMENTOS!$G$4:$G$803,E691,MOVIMIENTOS_COMPLEMENTOS!$H$4:$H$803,G691,MOVIMIENTOS_COMPLEMENTOS!$B$4:$B$803,"SALIDA"),0)</f>
        <v>0</v>
      </c>
      <c r="I691" s="102">
        <f t="array" ref="I691">IFERROR(INDEX(PRECIOS_COMPLEMENTOS!$C$4:$F$17,MATCH(B691&amp;"_"&amp;C691,PRECIOS_COMPLEMENTOS!$H$4:$H$17,0),IF(OR(G691="S",G691="20cm"),1,IF(OR(G691="M",G691="25cm"),2,IF(OR(G691="L",G691="30cm"),3,IF(OR(G691="XL",G691="35cm"),4,0))))),0)</f>
        <v>0.55</v>
      </c>
      <c r="J691" s="103">
        <f t="shared" si="1"/>
        <v>0</v>
      </c>
      <c r="K691" s="104" t="str">
        <f>IF(H691&lt;0,"ERROR",IF(H691=0,"",IF(H691&lt;CONFIG!$B$4,"CRÍTICO",IF(H691&lt;CONFIG!$B$5,"BAJO","OK"))))</f>
        <v/>
      </c>
    </row>
    <row r="692" ht="15.75" hidden="1" customHeight="1">
      <c r="A692" s="90" t="str">
        <f>IF(CLIENTES!A9="","",CLIENTES!A9)</f>
        <v/>
      </c>
      <c r="B692" s="90" t="s">
        <v>321</v>
      </c>
      <c r="C692" s="91" t="s">
        <v>326</v>
      </c>
      <c r="D692" s="109" t="s">
        <v>353</v>
      </c>
      <c r="E692" s="67" t="str">
        <f>COLORES!A16</f>
        <v>Topo</v>
      </c>
      <c r="F692" s="67" t="str">
        <f>COLORES!B16</f>
        <v>CLARO</v>
      </c>
      <c r="G692" s="90" t="s">
        <v>378</v>
      </c>
      <c r="H692" s="100">
        <f>IFERROR(SUMIFS(MOVIMIENTOS_COMPLEMENTOS!$I$4:$I$803,MOVIMIENTOS_COMPLEMENTOS!$C$4:$C$803,A692,MOVIMIENTOS_COMPLEMENTOS!$D$4:$D$803,B692,MOVIMIENTOS_COMPLEMENTOS!$E$4:$E$803,C692,MOVIMIENTOS_COMPLEMENTOS!$G$4:$G$803,E692,MOVIMIENTOS_COMPLEMENTOS!$H$4:$H$803,G692,MOVIMIENTOS_COMPLEMENTOS!$B$4:$B$803,"INGRESO")+SUMIFS(MOVIMIENTOS_COMPLEMENTOS!$I$4:$I$803,MOVIMIENTOS_COMPLEMENTOS!$C$4:$C$803,A692,MOVIMIENTOS_COMPLEMENTOS!$D$4:$D$803,B692,MOVIMIENTOS_COMPLEMENTOS!$E$4:$E$803,C692,MOVIMIENTOS_COMPLEMENTOS!$G$4:$G$803,E692,MOVIMIENTOS_COMPLEMENTOS!$H$4:$H$803,G692,MOVIMIENTOS_COMPLEMENTOS!$B$4:$B$803,"DE CORTE")-SUMIFS(MOVIMIENTOS_COMPLEMENTOS!$I$4:$I$803,MOVIMIENTOS_COMPLEMENTOS!$C$4:$C$803,A692,MOVIMIENTOS_COMPLEMENTOS!$D$4:$D$803,B692,MOVIMIENTOS_COMPLEMENTOS!$E$4:$E$803,C692,MOVIMIENTOS_COMPLEMENTOS!$G$4:$G$803,E692,MOVIMIENTOS_COMPLEMENTOS!$H$4:$H$803,G692,MOVIMIENTOS_COMPLEMENTOS!$B$4:$B$803,"SALIDA"),0)</f>
        <v>0</v>
      </c>
      <c r="I692" s="102">
        <f t="array" ref="I692">IFERROR(INDEX(PRECIOS_COMPLEMENTOS!$C$4:$F$17,MATCH(B692&amp;"_"&amp;C692,PRECIOS_COMPLEMENTOS!$H$4:$H$17,0),IF(OR(G692="S",G692="20cm"),1,IF(OR(G692="M",G692="25cm"),2,IF(OR(G692="L",G692="30cm"),3,IF(OR(G692="XL",G692="35cm"),4,0))))),0)</f>
        <v>0.4</v>
      </c>
      <c r="J692" s="103">
        <f t="shared" si="1"/>
        <v>0</v>
      </c>
      <c r="K692" s="104" t="str">
        <f>IF(H692&lt;0,"ERROR",IF(H692=0,"",IF(H692&lt;CONFIG!$B$4,"CRÍTICO",IF(H692&lt;CONFIG!$B$5,"BAJO","OK"))))</f>
        <v/>
      </c>
    </row>
    <row r="693" ht="15.75" hidden="1" customHeight="1">
      <c r="A693" s="90" t="str">
        <f>IF(CLIENTES!A9="","",CLIENTES!A9)</f>
        <v/>
      </c>
      <c r="B693" s="90" t="s">
        <v>321</v>
      </c>
      <c r="C693" s="91" t="s">
        <v>326</v>
      </c>
      <c r="D693" s="109" t="s">
        <v>353</v>
      </c>
      <c r="E693" s="67" t="str">
        <f>COLORES!A16</f>
        <v>Topo</v>
      </c>
      <c r="F693" s="67" t="str">
        <f>COLORES!B16</f>
        <v>CLARO</v>
      </c>
      <c r="G693" s="90" t="s">
        <v>376</v>
      </c>
      <c r="H693" s="100">
        <f>IFERROR(SUMIFS(MOVIMIENTOS_COMPLEMENTOS!$I$4:$I$803,MOVIMIENTOS_COMPLEMENTOS!$C$4:$C$803,A693,MOVIMIENTOS_COMPLEMENTOS!$D$4:$D$803,B693,MOVIMIENTOS_COMPLEMENTOS!$E$4:$E$803,C693,MOVIMIENTOS_COMPLEMENTOS!$G$4:$G$803,E693,MOVIMIENTOS_COMPLEMENTOS!$H$4:$H$803,G693,MOVIMIENTOS_COMPLEMENTOS!$B$4:$B$803,"INGRESO")+SUMIFS(MOVIMIENTOS_COMPLEMENTOS!$I$4:$I$803,MOVIMIENTOS_COMPLEMENTOS!$C$4:$C$803,A693,MOVIMIENTOS_COMPLEMENTOS!$D$4:$D$803,B693,MOVIMIENTOS_COMPLEMENTOS!$E$4:$E$803,C693,MOVIMIENTOS_COMPLEMENTOS!$G$4:$G$803,E693,MOVIMIENTOS_COMPLEMENTOS!$H$4:$H$803,G693,MOVIMIENTOS_COMPLEMENTOS!$B$4:$B$803,"DE CORTE")-SUMIFS(MOVIMIENTOS_COMPLEMENTOS!$I$4:$I$803,MOVIMIENTOS_COMPLEMENTOS!$C$4:$C$803,A693,MOVIMIENTOS_COMPLEMENTOS!$D$4:$D$803,B693,MOVIMIENTOS_COMPLEMENTOS!$E$4:$E$803,C693,MOVIMIENTOS_COMPLEMENTOS!$G$4:$G$803,E693,MOVIMIENTOS_COMPLEMENTOS!$H$4:$H$803,G693,MOVIMIENTOS_COMPLEMENTOS!$B$4:$B$803,"SALIDA"),0)</f>
        <v>0</v>
      </c>
      <c r="I693" s="102">
        <f t="array" ref="I693">IFERROR(INDEX(PRECIOS_COMPLEMENTOS!$C$4:$F$17,MATCH(B693&amp;"_"&amp;C693,PRECIOS_COMPLEMENTOS!$H$4:$H$17,0),IF(OR(G693="S",G693="20cm"),1,IF(OR(G693="M",G693="25cm"),2,IF(OR(G693="L",G693="30cm"),3,IF(OR(G693="XL",G693="35cm"),4,0))))),0)</f>
        <v>0.45</v>
      </c>
      <c r="J693" s="103">
        <f t="shared" si="1"/>
        <v>0</v>
      </c>
      <c r="K693" s="104" t="str">
        <f>IF(H693&lt;0,"ERROR",IF(H693=0,"",IF(H693&lt;CONFIG!$B$4,"CRÍTICO",IF(H693&lt;CONFIG!$B$5,"BAJO","OK"))))</f>
        <v/>
      </c>
    </row>
    <row r="694" ht="15.75" hidden="1" customHeight="1">
      <c r="A694" s="90" t="str">
        <f>IF(CLIENTES!A9="","",CLIENTES!A9)</f>
        <v/>
      </c>
      <c r="B694" s="90" t="s">
        <v>321</v>
      </c>
      <c r="C694" s="91" t="s">
        <v>326</v>
      </c>
      <c r="D694" s="109" t="s">
        <v>353</v>
      </c>
      <c r="E694" s="67" t="str">
        <f>COLORES!A16</f>
        <v>Topo</v>
      </c>
      <c r="F694" s="67" t="str">
        <f>COLORES!B16</f>
        <v>CLARO</v>
      </c>
      <c r="G694" s="90" t="s">
        <v>377</v>
      </c>
      <c r="H694" s="100">
        <f>IFERROR(SUMIFS(MOVIMIENTOS_COMPLEMENTOS!$I$4:$I$803,MOVIMIENTOS_COMPLEMENTOS!$C$4:$C$803,A694,MOVIMIENTOS_COMPLEMENTOS!$D$4:$D$803,B694,MOVIMIENTOS_COMPLEMENTOS!$E$4:$E$803,C694,MOVIMIENTOS_COMPLEMENTOS!$G$4:$G$803,E694,MOVIMIENTOS_COMPLEMENTOS!$H$4:$H$803,G694,MOVIMIENTOS_COMPLEMENTOS!$B$4:$B$803,"INGRESO")+SUMIFS(MOVIMIENTOS_COMPLEMENTOS!$I$4:$I$803,MOVIMIENTOS_COMPLEMENTOS!$C$4:$C$803,A694,MOVIMIENTOS_COMPLEMENTOS!$D$4:$D$803,B694,MOVIMIENTOS_COMPLEMENTOS!$E$4:$E$803,C694,MOVIMIENTOS_COMPLEMENTOS!$G$4:$G$803,E694,MOVIMIENTOS_COMPLEMENTOS!$H$4:$H$803,G694,MOVIMIENTOS_COMPLEMENTOS!$B$4:$B$803,"DE CORTE")-SUMIFS(MOVIMIENTOS_COMPLEMENTOS!$I$4:$I$803,MOVIMIENTOS_COMPLEMENTOS!$C$4:$C$803,A694,MOVIMIENTOS_COMPLEMENTOS!$D$4:$D$803,B694,MOVIMIENTOS_COMPLEMENTOS!$E$4:$E$803,C694,MOVIMIENTOS_COMPLEMENTOS!$G$4:$G$803,E694,MOVIMIENTOS_COMPLEMENTOS!$H$4:$H$803,G694,MOVIMIENTOS_COMPLEMENTOS!$B$4:$B$803,"SALIDA"),0)</f>
        <v>0</v>
      </c>
      <c r="I694" s="102">
        <f t="array" ref="I694">IFERROR(INDEX(PRECIOS_COMPLEMENTOS!$C$4:$F$17,MATCH(B694&amp;"_"&amp;C694,PRECIOS_COMPLEMENTOS!$H$4:$H$17,0),IF(OR(G694="S",G694="20cm"),1,IF(OR(G694="M",G694="25cm"),2,IF(OR(G694="L",G694="30cm"),3,IF(OR(G694="XL",G694="35cm"),4,0))))),0)</f>
        <v>0.5</v>
      </c>
      <c r="J694" s="103">
        <f t="shared" si="1"/>
        <v>0</v>
      </c>
      <c r="K694" s="104" t="str">
        <f>IF(H694&lt;0,"ERROR",IF(H694=0,"",IF(H694&lt;CONFIG!$B$4,"CRÍTICO",IF(H694&lt;CONFIG!$B$5,"BAJO","OK"))))</f>
        <v/>
      </c>
    </row>
    <row r="695" ht="15.75" hidden="1" customHeight="1">
      <c r="A695" s="90" t="str">
        <f>IF(CLIENTES!A9="","",CLIENTES!A9)</f>
        <v/>
      </c>
      <c r="B695" s="90" t="s">
        <v>321</v>
      </c>
      <c r="C695" s="91" t="s">
        <v>326</v>
      </c>
      <c r="D695" s="109" t="s">
        <v>353</v>
      </c>
      <c r="E695" s="67" t="str">
        <f>COLORES!A16</f>
        <v>Topo</v>
      </c>
      <c r="F695" s="67" t="str">
        <f>COLORES!B16</f>
        <v>CLARO</v>
      </c>
      <c r="G695" s="90" t="s">
        <v>379</v>
      </c>
      <c r="H695" s="100">
        <f>IFERROR(SUMIFS(MOVIMIENTOS_COMPLEMENTOS!$I$4:$I$803,MOVIMIENTOS_COMPLEMENTOS!$C$4:$C$803,A695,MOVIMIENTOS_COMPLEMENTOS!$D$4:$D$803,B695,MOVIMIENTOS_COMPLEMENTOS!$E$4:$E$803,C695,MOVIMIENTOS_COMPLEMENTOS!$G$4:$G$803,E695,MOVIMIENTOS_COMPLEMENTOS!$H$4:$H$803,G695,MOVIMIENTOS_COMPLEMENTOS!$B$4:$B$803,"INGRESO")+SUMIFS(MOVIMIENTOS_COMPLEMENTOS!$I$4:$I$803,MOVIMIENTOS_COMPLEMENTOS!$C$4:$C$803,A695,MOVIMIENTOS_COMPLEMENTOS!$D$4:$D$803,B695,MOVIMIENTOS_COMPLEMENTOS!$E$4:$E$803,C695,MOVIMIENTOS_COMPLEMENTOS!$G$4:$G$803,E695,MOVIMIENTOS_COMPLEMENTOS!$H$4:$H$803,G695,MOVIMIENTOS_COMPLEMENTOS!$B$4:$B$803,"DE CORTE")-SUMIFS(MOVIMIENTOS_COMPLEMENTOS!$I$4:$I$803,MOVIMIENTOS_COMPLEMENTOS!$C$4:$C$803,A695,MOVIMIENTOS_COMPLEMENTOS!$D$4:$D$803,B695,MOVIMIENTOS_COMPLEMENTOS!$E$4:$E$803,C695,MOVIMIENTOS_COMPLEMENTOS!$G$4:$G$803,E695,MOVIMIENTOS_COMPLEMENTOS!$H$4:$H$803,G695,MOVIMIENTOS_COMPLEMENTOS!$B$4:$B$803,"SALIDA"),0)</f>
        <v>0</v>
      </c>
      <c r="I695" s="102">
        <f t="array" ref="I695">IFERROR(INDEX(PRECIOS_COMPLEMENTOS!$C$4:$F$17,MATCH(B695&amp;"_"&amp;C695,PRECIOS_COMPLEMENTOS!$H$4:$H$17,0),IF(OR(G695="S",G695="20cm"),1,IF(OR(G695="M",G695="25cm"),2,IF(OR(G695="L",G695="30cm"),3,IF(OR(G695="XL",G695="35cm"),4,0))))),0)</f>
        <v>0.55</v>
      </c>
      <c r="J695" s="103">
        <f t="shared" si="1"/>
        <v>0</v>
      </c>
      <c r="K695" s="104" t="str">
        <f>IF(H695&lt;0,"ERROR",IF(H695=0,"",IF(H695&lt;CONFIG!$B$4,"CRÍTICO",IF(H695&lt;CONFIG!$B$5,"BAJO","OK"))))</f>
        <v/>
      </c>
    </row>
    <row r="696" ht="15.75" hidden="1" customHeight="1">
      <c r="A696" s="90" t="str">
        <f>IF(CLIENTES!A9="","",CLIENTES!A9)</f>
        <v/>
      </c>
      <c r="B696" s="90" t="s">
        <v>321</v>
      </c>
      <c r="C696" s="91" t="s">
        <v>326</v>
      </c>
      <c r="D696" s="109" t="s">
        <v>353</v>
      </c>
      <c r="E696" s="67" t="str">
        <f>COLORES!A17</f>
        <v>Vino</v>
      </c>
      <c r="F696" s="67" t="str">
        <f>COLORES!B17</f>
        <v>OSCURO</v>
      </c>
      <c r="G696" s="90" t="s">
        <v>378</v>
      </c>
      <c r="H696" s="100">
        <f>IFERROR(SUMIFS(MOVIMIENTOS_COMPLEMENTOS!$I$4:$I$803,MOVIMIENTOS_COMPLEMENTOS!$C$4:$C$803,A696,MOVIMIENTOS_COMPLEMENTOS!$D$4:$D$803,B696,MOVIMIENTOS_COMPLEMENTOS!$E$4:$E$803,C696,MOVIMIENTOS_COMPLEMENTOS!$G$4:$G$803,E696,MOVIMIENTOS_COMPLEMENTOS!$H$4:$H$803,G696,MOVIMIENTOS_COMPLEMENTOS!$B$4:$B$803,"INGRESO")+SUMIFS(MOVIMIENTOS_COMPLEMENTOS!$I$4:$I$803,MOVIMIENTOS_COMPLEMENTOS!$C$4:$C$803,A696,MOVIMIENTOS_COMPLEMENTOS!$D$4:$D$803,B696,MOVIMIENTOS_COMPLEMENTOS!$E$4:$E$803,C696,MOVIMIENTOS_COMPLEMENTOS!$G$4:$G$803,E696,MOVIMIENTOS_COMPLEMENTOS!$H$4:$H$803,G696,MOVIMIENTOS_COMPLEMENTOS!$B$4:$B$803,"DE CORTE")-SUMIFS(MOVIMIENTOS_COMPLEMENTOS!$I$4:$I$803,MOVIMIENTOS_COMPLEMENTOS!$C$4:$C$803,A696,MOVIMIENTOS_COMPLEMENTOS!$D$4:$D$803,B696,MOVIMIENTOS_COMPLEMENTOS!$E$4:$E$803,C696,MOVIMIENTOS_COMPLEMENTOS!$G$4:$G$803,E696,MOVIMIENTOS_COMPLEMENTOS!$H$4:$H$803,G696,MOVIMIENTOS_COMPLEMENTOS!$B$4:$B$803,"SALIDA"),0)</f>
        <v>0</v>
      </c>
      <c r="I696" s="102">
        <f t="array" ref="I696">IFERROR(INDEX(PRECIOS_COMPLEMENTOS!$C$4:$F$17,MATCH(B696&amp;"_"&amp;C696,PRECIOS_COMPLEMENTOS!$H$4:$H$17,0),IF(OR(G696="S",G696="20cm"),1,IF(OR(G696="M",G696="25cm"),2,IF(OR(G696="L",G696="30cm"),3,IF(OR(G696="XL",G696="35cm"),4,0))))),0)</f>
        <v>0.4</v>
      </c>
      <c r="J696" s="103">
        <f t="shared" si="1"/>
        <v>0</v>
      </c>
      <c r="K696" s="104" t="str">
        <f>IF(H696&lt;0,"ERROR",IF(H696=0,"",IF(H696&lt;CONFIG!$B$4,"CRÍTICO",IF(H696&lt;CONFIG!$B$5,"BAJO","OK"))))</f>
        <v/>
      </c>
    </row>
    <row r="697" ht="15.75" hidden="1" customHeight="1">
      <c r="A697" s="90" t="str">
        <f>IF(CLIENTES!A9="","",CLIENTES!A9)</f>
        <v/>
      </c>
      <c r="B697" s="90" t="s">
        <v>321</v>
      </c>
      <c r="C697" s="91" t="s">
        <v>326</v>
      </c>
      <c r="D697" s="109" t="s">
        <v>353</v>
      </c>
      <c r="E697" s="67" t="str">
        <f>COLORES!A17</f>
        <v>Vino</v>
      </c>
      <c r="F697" s="67" t="str">
        <f>COLORES!B17</f>
        <v>OSCURO</v>
      </c>
      <c r="G697" s="90" t="s">
        <v>376</v>
      </c>
      <c r="H697" s="100">
        <f>IFERROR(SUMIFS(MOVIMIENTOS_COMPLEMENTOS!$I$4:$I$803,MOVIMIENTOS_COMPLEMENTOS!$C$4:$C$803,A697,MOVIMIENTOS_COMPLEMENTOS!$D$4:$D$803,B697,MOVIMIENTOS_COMPLEMENTOS!$E$4:$E$803,C697,MOVIMIENTOS_COMPLEMENTOS!$G$4:$G$803,E697,MOVIMIENTOS_COMPLEMENTOS!$H$4:$H$803,G697,MOVIMIENTOS_COMPLEMENTOS!$B$4:$B$803,"INGRESO")+SUMIFS(MOVIMIENTOS_COMPLEMENTOS!$I$4:$I$803,MOVIMIENTOS_COMPLEMENTOS!$C$4:$C$803,A697,MOVIMIENTOS_COMPLEMENTOS!$D$4:$D$803,B697,MOVIMIENTOS_COMPLEMENTOS!$E$4:$E$803,C697,MOVIMIENTOS_COMPLEMENTOS!$G$4:$G$803,E697,MOVIMIENTOS_COMPLEMENTOS!$H$4:$H$803,G697,MOVIMIENTOS_COMPLEMENTOS!$B$4:$B$803,"DE CORTE")-SUMIFS(MOVIMIENTOS_COMPLEMENTOS!$I$4:$I$803,MOVIMIENTOS_COMPLEMENTOS!$C$4:$C$803,A697,MOVIMIENTOS_COMPLEMENTOS!$D$4:$D$803,B697,MOVIMIENTOS_COMPLEMENTOS!$E$4:$E$803,C697,MOVIMIENTOS_COMPLEMENTOS!$G$4:$G$803,E697,MOVIMIENTOS_COMPLEMENTOS!$H$4:$H$803,G697,MOVIMIENTOS_COMPLEMENTOS!$B$4:$B$803,"SALIDA"),0)</f>
        <v>0</v>
      </c>
      <c r="I697" s="102">
        <f t="array" ref="I697">IFERROR(INDEX(PRECIOS_COMPLEMENTOS!$C$4:$F$17,MATCH(B697&amp;"_"&amp;C697,PRECIOS_COMPLEMENTOS!$H$4:$H$17,0),IF(OR(G697="S",G697="20cm"),1,IF(OR(G697="M",G697="25cm"),2,IF(OR(G697="L",G697="30cm"),3,IF(OR(G697="XL",G697="35cm"),4,0))))),0)</f>
        <v>0.45</v>
      </c>
      <c r="J697" s="103">
        <f t="shared" si="1"/>
        <v>0</v>
      </c>
      <c r="K697" s="104" t="str">
        <f>IF(H697&lt;0,"ERROR",IF(H697=0,"",IF(H697&lt;CONFIG!$B$4,"CRÍTICO",IF(H697&lt;CONFIG!$B$5,"BAJO","OK"))))</f>
        <v/>
      </c>
    </row>
    <row r="698" ht="15.75" hidden="1" customHeight="1">
      <c r="A698" s="90" t="str">
        <f>IF(CLIENTES!A9="","",CLIENTES!A9)</f>
        <v/>
      </c>
      <c r="B698" s="90" t="s">
        <v>321</v>
      </c>
      <c r="C698" s="91" t="s">
        <v>326</v>
      </c>
      <c r="D698" s="109" t="s">
        <v>353</v>
      </c>
      <c r="E698" s="67" t="str">
        <f>COLORES!A17</f>
        <v>Vino</v>
      </c>
      <c r="F698" s="67" t="str">
        <f>COLORES!B17</f>
        <v>OSCURO</v>
      </c>
      <c r="G698" s="90" t="s">
        <v>377</v>
      </c>
      <c r="H698" s="100">
        <f>IFERROR(SUMIFS(MOVIMIENTOS_COMPLEMENTOS!$I$4:$I$803,MOVIMIENTOS_COMPLEMENTOS!$C$4:$C$803,A698,MOVIMIENTOS_COMPLEMENTOS!$D$4:$D$803,B698,MOVIMIENTOS_COMPLEMENTOS!$E$4:$E$803,C698,MOVIMIENTOS_COMPLEMENTOS!$G$4:$G$803,E698,MOVIMIENTOS_COMPLEMENTOS!$H$4:$H$803,G698,MOVIMIENTOS_COMPLEMENTOS!$B$4:$B$803,"INGRESO")+SUMIFS(MOVIMIENTOS_COMPLEMENTOS!$I$4:$I$803,MOVIMIENTOS_COMPLEMENTOS!$C$4:$C$803,A698,MOVIMIENTOS_COMPLEMENTOS!$D$4:$D$803,B698,MOVIMIENTOS_COMPLEMENTOS!$E$4:$E$803,C698,MOVIMIENTOS_COMPLEMENTOS!$G$4:$G$803,E698,MOVIMIENTOS_COMPLEMENTOS!$H$4:$H$803,G698,MOVIMIENTOS_COMPLEMENTOS!$B$4:$B$803,"DE CORTE")-SUMIFS(MOVIMIENTOS_COMPLEMENTOS!$I$4:$I$803,MOVIMIENTOS_COMPLEMENTOS!$C$4:$C$803,A698,MOVIMIENTOS_COMPLEMENTOS!$D$4:$D$803,B698,MOVIMIENTOS_COMPLEMENTOS!$E$4:$E$803,C698,MOVIMIENTOS_COMPLEMENTOS!$G$4:$G$803,E698,MOVIMIENTOS_COMPLEMENTOS!$H$4:$H$803,G698,MOVIMIENTOS_COMPLEMENTOS!$B$4:$B$803,"SALIDA"),0)</f>
        <v>0</v>
      </c>
      <c r="I698" s="102">
        <f t="array" ref="I698">IFERROR(INDEX(PRECIOS_COMPLEMENTOS!$C$4:$F$17,MATCH(B698&amp;"_"&amp;C698,PRECIOS_COMPLEMENTOS!$H$4:$H$17,0),IF(OR(G698="S",G698="20cm"),1,IF(OR(G698="M",G698="25cm"),2,IF(OR(G698="L",G698="30cm"),3,IF(OR(G698="XL",G698="35cm"),4,0))))),0)</f>
        <v>0.5</v>
      </c>
      <c r="J698" s="103">
        <f t="shared" si="1"/>
        <v>0</v>
      </c>
      <c r="K698" s="104" t="str">
        <f>IF(H698&lt;0,"ERROR",IF(H698=0,"",IF(H698&lt;CONFIG!$B$4,"CRÍTICO",IF(H698&lt;CONFIG!$B$5,"BAJO","OK"))))</f>
        <v/>
      </c>
    </row>
    <row r="699" ht="15.75" hidden="1" customHeight="1">
      <c r="A699" s="90" t="str">
        <f>IF(CLIENTES!A9="","",CLIENTES!A9)</f>
        <v/>
      </c>
      <c r="B699" s="90" t="s">
        <v>321</v>
      </c>
      <c r="C699" s="91" t="s">
        <v>326</v>
      </c>
      <c r="D699" s="109" t="s">
        <v>353</v>
      </c>
      <c r="E699" s="67" t="str">
        <f>COLORES!A17</f>
        <v>Vino</v>
      </c>
      <c r="F699" s="67" t="str">
        <f>COLORES!B17</f>
        <v>OSCURO</v>
      </c>
      <c r="G699" s="90" t="s">
        <v>379</v>
      </c>
      <c r="H699" s="100">
        <f>IFERROR(SUMIFS(MOVIMIENTOS_COMPLEMENTOS!$I$4:$I$803,MOVIMIENTOS_COMPLEMENTOS!$C$4:$C$803,A699,MOVIMIENTOS_COMPLEMENTOS!$D$4:$D$803,B699,MOVIMIENTOS_COMPLEMENTOS!$E$4:$E$803,C699,MOVIMIENTOS_COMPLEMENTOS!$G$4:$G$803,E699,MOVIMIENTOS_COMPLEMENTOS!$H$4:$H$803,G699,MOVIMIENTOS_COMPLEMENTOS!$B$4:$B$803,"INGRESO")+SUMIFS(MOVIMIENTOS_COMPLEMENTOS!$I$4:$I$803,MOVIMIENTOS_COMPLEMENTOS!$C$4:$C$803,A699,MOVIMIENTOS_COMPLEMENTOS!$D$4:$D$803,B699,MOVIMIENTOS_COMPLEMENTOS!$E$4:$E$803,C699,MOVIMIENTOS_COMPLEMENTOS!$G$4:$G$803,E699,MOVIMIENTOS_COMPLEMENTOS!$H$4:$H$803,G699,MOVIMIENTOS_COMPLEMENTOS!$B$4:$B$803,"DE CORTE")-SUMIFS(MOVIMIENTOS_COMPLEMENTOS!$I$4:$I$803,MOVIMIENTOS_COMPLEMENTOS!$C$4:$C$803,A699,MOVIMIENTOS_COMPLEMENTOS!$D$4:$D$803,B699,MOVIMIENTOS_COMPLEMENTOS!$E$4:$E$803,C699,MOVIMIENTOS_COMPLEMENTOS!$G$4:$G$803,E699,MOVIMIENTOS_COMPLEMENTOS!$H$4:$H$803,G699,MOVIMIENTOS_COMPLEMENTOS!$B$4:$B$803,"SALIDA"),0)</f>
        <v>0</v>
      </c>
      <c r="I699" s="102">
        <f t="array" ref="I699">IFERROR(INDEX(PRECIOS_COMPLEMENTOS!$C$4:$F$17,MATCH(B699&amp;"_"&amp;C699,PRECIOS_COMPLEMENTOS!$H$4:$H$17,0),IF(OR(G699="S",G699="20cm"),1,IF(OR(G699="M",G699="25cm"),2,IF(OR(G699="L",G699="30cm"),3,IF(OR(G699="XL",G699="35cm"),4,0))))),0)</f>
        <v>0.55</v>
      </c>
      <c r="J699" s="103">
        <f t="shared" si="1"/>
        <v>0</v>
      </c>
      <c r="K699" s="104" t="str">
        <f>IF(H699&lt;0,"ERROR",IF(H699=0,"",IF(H699&lt;CONFIG!$B$4,"CRÍTICO",IF(H699&lt;CONFIG!$B$5,"BAJO","OK"))))</f>
        <v/>
      </c>
    </row>
    <row r="700" ht="15.75" hidden="1" customHeight="1">
      <c r="A700" s="90" t="str">
        <f>IF(CLIENTES!A9="","",CLIENTES!A9)</f>
        <v/>
      </c>
      <c r="B700" s="90" t="s">
        <v>321</v>
      </c>
      <c r="C700" s="91" t="s">
        <v>326</v>
      </c>
      <c r="D700" s="109" t="s">
        <v>353</v>
      </c>
      <c r="E700" s="67" t="str">
        <f>COLORES!A18</f>
        <v>P. Rosa</v>
      </c>
      <c r="F700" s="67" t="str">
        <f>COLORES!B18</f>
        <v>CLARO</v>
      </c>
      <c r="G700" s="90" t="s">
        <v>378</v>
      </c>
      <c r="H700" s="100">
        <f>IFERROR(SUMIFS(MOVIMIENTOS_COMPLEMENTOS!$I$4:$I$803,MOVIMIENTOS_COMPLEMENTOS!$C$4:$C$803,A700,MOVIMIENTOS_COMPLEMENTOS!$D$4:$D$803,B700,MOVIMIENTOS_COMPLEMENTOS!$E$4:$E$803,C700,MOVIMIENTOS_COMPLEMENTOS!$G$4:$G$803,E700,MOVIMIENTOS_COMPLEMENTOS!$H$4:$H$803,G700,MOVIMIENTOS_COMPLEMENTOS!$B$4:$B$803,"INGRESO")+SUMIFS(MOVIMIENTOS_COMPLEMENTOS!$I$4:$I$803,MOVIMIENTOS_COMPLEMENTOS!$C$4:$C$803,A700,MOVIMIENTOS_COMPLEMENTOS!$D$4:$D$803,B700,MOVIMIENTOS_COMPLEMENTOS!$E$4:$E$803,C700,MOVIMIENTOS_COMPLEMENTOS!$G$4:$G$803,E700,MOVIMIENTOS_COMPLEMENTOS!$H$4:$H$803,G700,MOVIMIENTOS_COMPLEMENTOS!$B$4:$B$803,"DE CORTE")-SUMIFS(MOVIMIENTOS_COMPLEMENTOS!$I$4:$I$803,MOVIMIENTOS_COMPLEMENTOS!$C$4:$C$803,A700,MOVIMIENTOS_COMPLEMENTOS!$D$4:$D$803,B700,MOVIMIENTOS_COMPLEMENTOS!$E$4:$E$803,C700,MOVIMIENTOS_COMPLEMENTOS!$G$4:$G$803,E700,MOVIMIENTOS_COMPLEMENTOS!$H$4:$H$803,G700,MOVIMIENTOS_COMPLEMENTOS!$B$4:$B$803,"SALIDA"),0)</f>
        <v>0</v>
      </c>
      <c r="I700" s="102">
        <f t="array" ref="I700">IFERROR(INDEX(PRECIOS_COMPLEMENTOS!$C$4:$F$17,MATCH(B700&amp;"_"&amp;C700,PRECIOS_COMPLEMENTOS!$H$4:$H$17,0),IF(OR(G700="S",G700="20cm"),1,IF(OR(G700="M",G700="25cm"),2,IF(OR(G700="L",G700="30cm"),3,IF(OR(G700="XL",G700="35cm"),4,0))))),0)</f>
        <v>0.4</v>
      </c>
      <c r="J700" s="103">
        <f t="shared" si="1"/>
        <v>0</v>
      </c>
      <c r="K700" s="104" t="str">
        <f>IF(H700&lt;0,"ERROR",IF(H700=0,"",IF(H700&lt;CONFIG!$B$4,"CRÍTICO",IF(H700&lt;CONFIG!$B$5,"BAJO","OK"))))</f>
        <v/>
      </c>
    </row>
    <row r="701" ht="15.75" hidden="1" customHeight="1">
      <c r="A701" s="90" t="str">
        <f>IF(CLIENTES!A9="","",CLIENTES!A9)</f>
        <v/>
      </c>
      <c r="B701" s="90" t="s">
        <v>321</v>
      </c>
      <c r="C701" s="91" t="s">
        <v>326</v>
      </c>
      <c r="D701" s="109" t="s">
        <v>353</v>
      </c>
      <c r="E701" s="67" t="str">
        <f>COLORES!A18</f>
        <v>P. Rosa</v>
      </c>
      <c r="F701" s="67" t="str">
        <f>COLORES!B18</f>
        <v>CLARO</v>
      </c>
      <c r="G701" s="90" t="s">
        <v>376</v>
      </c>
      <c r="H701" s="100">
        <f>IFERROR(SUMIFS(MOVIMIENTOS_COMPLEMENTOS!$I$4:$I$803,MOVIMIENTOS_COMPLEMENTOS!$C$4:$C$803,A701,MOVIMIENTOS_COMPLEMENTOS!$D$4:$D$803,B701,MOVIMIENTOS_COMPLEMENTOS!$E$4:$E$803,C701,MOVIMIENTOS_COMPLEMENTOS!$G$4:$G$803,E701,MOVIMIENTOS_COMPLEMENTOS!$H$4:$H$803,G701,MOVIMIENTOS_COMPLEMENTOS!$B$4:$B$803,"INGRESO")+SUMIFS(MOVIMIENTOS_COMPLEMENTOS!$I$4:$I$803,MOVIMIENTOS_COMPLEMENTOS!$C$4:$C$803,A701,MOVIMIENTOS_COMPLEMENTOS!$D$4:$D$803,B701,MOVIMIENTOS_COMPLEMENTOS!$E$4:$E$803,C701,MOVIMIENTOS_COMPLEMENTOS!$G$4:$G$803,E701,MOVIMIENTOS_COMPLEMENTOS!$H$4:$H$803,G701,MOVIMIENTOS_COMPLEMENTOS!$B$4:$B$803,"DE CORTE")-SUMIFS(MOVIMIENTOS_COMPLEMENTOS!$I$4:$I$803,MOVIMIENTOS_COMPLEMENTOS!$C$4:$C$803,A701,MOVIMIENTOS_COMPLEMENTOS!$D$4:$D$803,B701,MOVIMIENTOS_COMPLEMENTOS!$E$4:$E$803,C701,MOVIMIENTOS_COMPLEMENTOS!$G$4:$G$803,E701,MOVIMIENTOS_COMPLEMENTOS!$H$4:$H$803,G701,MOVIMIENTOS_COMPLEMENTOS!$B$4:$B$803,"SALIDA"),0)</f>
        <v>0</v>
      </c>
      <c r="I701" s="102">
        <f t="array" ref="I701">IFERROR(INDEX(PRECIOS_COMPLEMENTOS!$C$4:$F$17,MATCH(B701&amp;"_"&amp;C701,PRECIOS_COMPLEMENTOS!$H$4:$H$17,0),IF(OR(G701="S",G701="20cm"),1,IF(OR(G701="M",G701="25cm"),2,IF(OR(G701="L",G701="30cm"),3,IF(OR(G701="XL",G701="35cm"),4,0))))),0)</f>
        <v>0.45</v>
      </c>
      <c r="J701" s="103">
        <f t="shared" si="1"/>
        <v>0</v>
      </c>
      <c r="K701" s="104" t="str">
        <f>IF(H701&lt;0,"ERROR",IF(H701=0,"",IF(H701&lt;CONFIG!$B$4,"CRÍTICO",IF(H701&lt;CONFIG!$B$5,"BAJO","OK"))))</f>
        <v/>
      </c>
    </row>
    <row r="702" ht="15.75" hidden="1" customHeight="1">
      <c r="A702" s="90" t="str">
        <f>IF(CLIENTES!A9="","",CLIENTES!A9)</f>
        <v/>
      </c>
      <c r="B702" s="90" t="s">
        <v>321</v>
      </c>
      <c r="C702" s="91" t="s">
        <v>326</v>
      </c>
      <c r="D702" s="109" t="s">
        <v>353</v>
      </c>
      <c r="E702" s="67" t="str">
        <f>COLORES!A18</f>
        <v>P. Rosa</v>
      </c>
      <c r="F702" s="67" t="str">
        <f>COLORES!B18</f>
        <v>CLARO</v>
      </c>
      <c r="G702" s="90" t="s">
        <v>377</v>
      </c>
      <c r="H702" s="100">
        <f>IFERROR(SUMIFS(MOVIMIENTOS_COMPLEMENTOS!$I$4:$I$803,MOVIMIENTOS_COMPLEMENTOS!$C$4:$C$803,A702,MOVIMIENTOS_COMPLEMENTOS!$D$4:$D$803,B702,MOVIMIENTOS_COMPLEMENTOS!$E$4:$E$803,C702,MOVIMIENTOS_COMPLEMENTOS!$G$4:$G$803,E702,MOVIMIENTOS_COMPLEMENTOS!$H$4:$H$803,G702,MOVIMIENTOS_COMPLEMENTOS!$B$4:$B$803,"INGRESO")+SUMIFS(MOVIMIENTOS_COMPLEMENTOS!$I$4:$I$803,MOVIMIENTOS_COMPLEMENTOS!$C$4:$C$803,A702,MOVIMIENTOS_COMPLEMENTOS!$D$4:$D$803,B702,MOVIMIENTOS_COMPLEMENTOS!$E$4:$E$803,C702,MOVIMIENTOS_COMPLEMENTOS!$G$4:$G$803,E702,MOVIMIENTOS_COMPLEMENTOS!$H$4:$H$803,G702,MOVIMIENTOS_COMPLEMENTOS!$B$4:$B$803,"DE CORTE")-SUMIFS(MOVIMIENTOS_COMPLEMENTOS!$I$4:$I$803,MOVIMIENTOS_COMPLEMENTOS!$C$4:$C$803,A702,MOVIMIENTOS_COMPLEMENTOS!$D$4:$D$803,B702,MOVIMIENTOS_COMPLEMENTOS!$E$4:$E$803,C702,MOVIMIENTOS_COMPLEMENTOS!$G$4:$G$803,E702,MOVIMIENTOS_COMPLEMENTOS!$H$4:$H$803,G702,MOVIMIENTOS_COMPLEMENTOS!$B$4:$B$803,"SALIDA"),0)</f>
        <v>0</v>
      </c>
      <c r="I702" s="102">
        <f t="array" ref="I702">IFERROR(INDEX(PRECIOS_COMPLEMENTOS!$C$4:$F$17,MATCH(B702&amp;"_"&amp;C702,PRECIOS_COMPLEMENTOS!$H$4:$H$17,0),IF(OR(G702="S",G702="20cm"),1,IF(OR(G702="M",G702="25cm"),2,IF(OR(G702="L",G702="30cm"),3,IF(OR(G702="XL",G702="35cm"),4,0))))),0)</f>
        <v>0.5</v>
      </c>
      <c r="J702" s="103">
        <f t="shared" si="1"/>
        <v>0</v>
      </c>
      <c r="K702" s="104" t="str">
        <f>IF(H702&lt;0,"ERROR",IF(H702=0,"",IF(H702&lt;CONFIG!$B$4,"CRÍTICO",IF(H702&lt;CONFIG!$B$5,"BAJO","OK"))))</f>
        <v/>
      </c>
    </row>
    <row r="703" ht="15.75" hidden="1" customHeight="1">
      <c r="A703" s="90" t="str">
        <f>IF(CLIENTES!A9="","",CLIENTES!A9)</f>
        <v/>
      </c>
      <c r="B703" s="90" t="s">
        <v>321</v>
      </c>
      <c r="C703" s="91" t="s">
        <v>326</v>
      </c>
      <c r="D703" s="109" t="s">
        <v>353</v>
      </c>
      <c r="E703" s="67" t="str">
        <f>COLORES!A18</f>
        <v>P. Rosa</v>
      </c>
      <c r="F703" s="67" t="str">
        <f>COLORES!B18</f>
        <v>CLARO</v>
      </c>
      <c r="G703" s="90" t="s">
        <v>379</v>
      </c>
      <c r="H703" s="100">
        <f>IFERROR(SUMIFS(MOVIMIENTOS_COMPLEMENTOS!$I$4:$I$803,MOVIMIENTOS_COMPLEMENTOS!$C$4:$C$803,A703,MOVIMIENTOS_COMPLEMENTOS!$D$4:$D$803,B703,MOVIMIENTOS_COMPLEMENTOS!$E$4:$E$803,C703,MOVIMIENTOS_COMPLEMENTOS!$G$4:$G$803,E703,MOVIMIENTOS_COMPLEMENTOS!$H$4:$H$803,G703,MOVIMIENTOS_COMPLEMENTOS!$B$4:$B$803,"INGRESO")+SUMIFS(MOVIMIENTOS_COMPLEMENTOS!$I$4:$I$803,MOVIMIENTOS_COMPLEMENTOS!$C$4:$C$803,A703,MOVIMIENTOS_COMPLEMENTOS!$D$4:$D$803,B703,MOVIMIENTOS_COMPLEMENTOS!$E$4:$E$803,C703,MOVIMIENTOS_COMPLEMENTOS!$G$4:$G$803,E703,MOVIMIENTOS_COMPLEMENTOS!$H$4:$H$803,G703,MOVIMIENTOS_COMPLEMENTOS!$B$4:$B$803,"DE CORTE")-SUMIFS(MOVIMIENTOS_COMPLEMENTOS!$I$4:$I$803,MOVIMIENTOS_COMPLEMENTOS!$C$4:$C$803,A703,MOVIMIENTOS_COMPLEMENTOS!$D$4:$D$803,B703,MOVIMIENTOS_COMPLEMENTOS!$E$4:$E$803,C703,MOVIMIENTOS_COMPLEMENTOS!$G$4:$G$803,E703,MOVIMIENTOS_COMPLEMENTOS!$H$4:$H$803,G703,MOVIMIENTOS_COMPLEMENTOS!$B$4:$B$803,"SALIDA"),0)</f>
        <v>0</v>
      </c>
      <c r="I703" s="102">
        <f t="array" ref="I703">IFERROR(INDEX(PRECIOS_COMPLEMENTOS!$C$4:$F$17,MATCH(B703&amp;"_"&amp;C703,PRECIOS_COMPLEMENTOS!$H$4:$H$17,0),IF(OR(G703="S",G703="20cm"),1,IF(OR(G703="M",G703="25cm"),2,IF(OR(G703="L",G703="30cm"),3,IF(OR(G703="XL",G703="35cm"),4,0))))),0)</f>
        <v>0.55</v>
      </c>
      <c r="J703" s="103">
        <f t="shared" si="1"/>
        <v>0</v>
      </c>
      <c r="K703" s="104" t="str">
        <f>IF(H703&lt;0,"ERROR",IF(H703=0,"",IF(H703&lt;CONFIG!$B$4,"CRÍTICO",IF(H703&lt;CONFIG!$B$5,"BAJO","OK"))))</f>
        <v/>
      </c>
    </row>
    <row r="704" ht="15.75" hidden="1" customHeight="1">
      <c r="A704" s="90" t="str">
        <f>IF(CLIENTES!A9="","",CLIENTES!A9)</f>
        <v/>
      </c>
      <c r="B704" s="90" t="s">
        <v>321</v>
      </c>
      <c r="C704" s="91" t="s">
        <v>326</v>
      </c>
      <c r="D704" s="109" t="s">
        <v>353</v>
      </c>
      <c r="E704" s="67" t="str">
        <f>COLORES!A19</f>
        <v/>
      </c>
      <c r="F704" s="67" t="str">
        <f>COLORES!B19</f>
        <v/>
      </c>
      <c r="G704" s="90" t="s">
        <v>378</v>
      </c>
      <c r="H704" s="100">
        <f>IFERROR(SUMIFS(MOVIMIENTOS_COMPLEMENTOS!$I$4:$I$803,MOVIMIENTOS_COMPLEMENTOS!$C$4:$C$803,A704,MOVIMIENTOS_COMPLEMENTOS!$D$4:$D$803,B704,MOVIMIENTOS_COMPLEMENTOS!$E$4:$E$803,C704,MOVIMIENTOS_COMPLEMENTOS!$G$4:$G$803,E704,MOVIMIENTOS_COMPLEMENTOS!$H$4:$H$803,G704,MOVIMIENTOS_COMPLEMENTOS!$B$4:$B$803,"INGRESO")+SUMIFS(MOVIMIENTOS_COMPLEMENTOS!$I$4:$I$803,MOVIMIENTOS_COMPLEMENTOS!$C$4:$C$803,A704,MOVIMIENTOS_COMPLEMENTOS!$D$4:$D$803,B704,MOVIMIENTOS_COMPLEMENTOS!$E$4:$E$803,C704,MOVIMIENTOS_COMPLEMENTOS!$G$4:$G$803,E704,MOVIMIENTOS_COMPLEMENTOS!$H$4:$H$803,G704,MOVIMIENTOS_COMPLEMENTOS!$B$4:$B$803,"DE CORTE")-SUMIFS(MOVIMIENTOS_COMPLEMENTOS!$I$4:$I$803,MOVIMIENTOS_COMPLEMENTOS!$C$4:$C$803,A704,MOVIMIENTOS_COMPLEMENTOS!$D$4:$D$803,B704,MOVIMIENTOS_COMPLEMENTOS!$E$4:$E$803,C704,MOVIMIENTOS_COMPLEMENTOS!$G$4:$G$803,E704,MOVIMIENTOS_COMPLEMENTOS!$H$4:$H$803,G704,MOVIMIENTOS_COMPLEMENTOS!$B$4:$B$803,"SALIDA"),0)</f>
        <v>0</v>
      </c>
      <c r="I704" s="102">
        <f t="array" ref="I704">IFERROR(INDEX(PRECIOS_COMPLEMENTOS!$C$4:$F$17,MATCH(B704&amp;"_"&amp;C704,PRECIOS_COMPLEMENTOS!$H$4:$H$17,0),IF(OR(G704="S",G704="20cm"),1,IF(OR(G704="M",G704="25cm"),2,IF(OR(G704="L",G704="30cm"),3,IF(OR(G704="XL",G704="35cm"),4,0))))),0)</f>
        <v>0.4</v>
      </c>
      <c r="J704" s="103">
        <f t="shared" si="1"/>
        <v>0</v>
      </c>
      <c r="K704" s="104" t="str">
        <f>IF(H704&lt;0,"ERROR",IF(H704=0,"",IF(H704&lt;CONFIG!$B$4,"CRÍTICO",IF(H704&lt;CONFIG!$B$5,"BAJO","OK"))))</f>
        <v/>
      </c>
    </row>
    <row r="705" ht="15.75" hidden="1" customHeight="1">
      <c r="A705" s="90" t="str">
        <f>IF(CLIENTES!A9="","",CLIENTES!A9)</f>
        <v/>
      </c>
      <c r="B705" s="90" t="s">
        <v>321</v>
      </c>
      <c r="C705" s="91" t="s">
        <v>326</v>
      </c>
      <c r="D705" s="109" t="s">
        <v>353</v>
      </c>
      <c r="E705" s="67" t="str">
        <f>COLORES!A19</f>
        <v/>
      </c>
      <c r="F705" s="67" t="str">
        <f>COLORES!B19</f>
        <v/>
      </c>
      <c r="G705" s="90" t="s">
        <v>376</v>
      </c>
      <c r="H705" s="100">
        <f>IFERROR(SUMIFS(MOVIMIENTOS_COMPLEMENTOS!$I$4:$I$803,MOVIMIENTOS_COMPLEMENTOS!$C$4:$C$803,A705,MOVIMIENTOS_COMPLEMENTOS!$D$4:$D$803,B705,MOVIMIENTOS_COMPLEMENTOS!$E$4:$E$803,C705,MOVIMIENTOS_COMPLEMENTOS!$G$4:$G$803,E705,MOVIMIENTOS_COMPLEMENTOS!$H$4:$H$803,G705,MOVIMIENTOS_COMPLEMENTOS!$B$4:$B$803,"INGRESO")+SUMIFS(MOVIMIENTOS_COMPLEMENTOS!$I$4:$I$803,MOVIMIENTOS_COMPLEMENTOS!$C$4:$C$803,A705,MOVIMIENTOS_COMPLEMENTOS!$D$4:$D$803,B705,MOVIMIENTOS_COMPLEMENTOS!$E$4:$E$803,C705,MOVIMIENTOS_COMPLEMENTOS!$G$4:$G$803,E705,MOVIMIENTOS_COMPLEMENTOS!$H$4:$H$803,G705,MOVIMIENTOS_COMPLEMENTOS!$B$4:$B$803,"DE CORTE")-SUMIFS(MOVIMIENTOS_COMPLEMENTOS!$I$4:$I$803,MOVIMIENTOS_COMPLEMENTOS!$C$4:$C$803,A705,MOVIMIENTOS_COMPLEMENTOS!$D$4:$D$803,B705,MOVIMIENTOS_COMPLEMENTOS!$E$4:$E$803,C705,MOVIMIENTOS_COMPLEMENTOS!$G$4:$G$803,E705,MOVIMIENTOS_COMPLEMENTOS!$H$4:$H$803,G705,MOVIMIENTOS_COMPLEMENTOS!$B$4:$B$803,"SALIDA"),0)</f>
        <v>0</v>
      </c>
      <c r="I705" s="102">
        <f t="array" ref="I705">IFERROR(INDEX(PRECIOS_COMPLEMENTOS!$C$4:$F$17,MATCH(B705&amp;"_"&amp;C705,PRECIOS_COMPLEMENTOS!$H$4:$H$17,0),IF(OR(G705="S",G705="20cm"),1,IF(OR(G705="M",G705="25cm"),2,IF(OR(G705="L",G705="30cm"),3,IF(OR(G705="XL",G705="35cm"),4,0))))),0)</f>
        <v>0.45</v>
      </c>
      <c r="J705" s="103">
        <f t="shared" si="1"/>
        <v>0</v>
      </c>
      <c r="K705" s="104" t="str">
        <f>IF(H705&lt;0,"ERROR",IF(H705=0,"",IF(H705&lt;CONFIG!$B$4,"CRÍTICO",IF(H705&lt;CONFIG!$B$5,"BAJO","OK"))))</f>
        <v/>
      </c>
    </row>
    <row r="706" ht="15.75" hidden="1" customHeight="1">
      <c r="A706" s="90" t="str">
        <f>IF(CLIENTES!A9="","",CLIENTES!A9)</f>
        <v/>
      </c>
      <c r="B706" s="90" t="s">
        <v>321</v>
      </c>
      <c r="C706" s="91" t="s">
        <v>326</v>
      </c>
      <c r="D706" s="109" t="s">
        <v>353</v>
      </c>
      <c r="E706" s="67" t="str">
        <f>COLORES!A19</f>
        <v/>
      </c>
      <c r="F706" s="67" t="str">
        <f>COLORES!B19</f>
        <v/>
      </c>
      <c r="G706" s="90" t="s">
        <v>377</v>
      </c>
      <c r="H706" s="100">
        <f>IFERROR(SUMIFS(MOVIMIENTOS_COMPLEMENTOS!$I$4:$I$803,MOVIMIENTOS_COMPLEMENTOS!$C$4:$C$803,A706,MOVIMIENTOS_COMPLEMENTOS!$D$4:$D$803,B706,MOVIMIENTOS_COMPLEMENTOS!$E$4:$E$803,C706,MOVIMIENTOS_COMPLEMENTOS!$G$4:$G$803,E706,MOVIMIENTOS_COMPLEMENTOS!$H$4:$H$803,G706,MOVIMIENTOS_COMPLEMENTOS!$B$4:$B$803,"INGRESO")+SUMIFS(MOVIMIENTOS_COMPLEMENTOS!$I$4:$I$803,MOVIMIENTOS_COMPLEMENTOS!$C$4:$C$803,A706,MOVIMIENTOS_COMPLEMENTOS!$D$4:$D$803,B706,MOVIMIENTOS_COMPLEMENTOS!$E$4:$E$803,C706,MOVIMIENTOS_COMPLEMENTOS!$G$4:$G$803,E706,MOVIMIENTOS_COMPLEMENTOS!$H$4:$H$803,G706,MOVIMIENTOS_COMPLEMENTOS!$B$4:$B$803,"DE CORTE")-SUMIFS(MOVIMIENTOS_COMPLEMENTOS!$I$4:$I$803,MOVIMIENTOS_COMPLEMENTOS!$C$4:$C$803,A706,MOVIMIENTOS_COMPLEMENTOS!$D$4:$D$803,B706,MOVIMIENTOS_COMPLEMENTOS!$E$4:$E$803,C706,MOVIMIENTOS_COMPLEMENTOS!$G$4:$G$803,E706,MOVIMIENTOS_COMPLEMENTOS!$H$4:$H$803,G706,MOVIMIENTOS_COMPLEMENTOS!$B$4:$B$803,"SALIDA"),0)</f>
        <v>0</v>
      </c>
      <c r="I706" s="102">
        <f t="array" ref="I706">IFERROR(INDEX(PRECIOS_COMPLEMENTOS!$C$4:$F$17,MATCH(B706&amp;"_"&amp;C706,PRECIOS_COMPLEMENTOS!$H$4:$H$17,0),IF(OR(G706="S",G706="20cm"),1,IF(OR(G706="M",G706="25cm"),2,IF(OR(G706="L",G706="30cm"),3,IF(OR(G706="XL",G706="35cm"),4,0))))),0)</f>
        <v>0.5</v>
      </c>
      <c r="J706" s="103">
        <f t="shared" si="1"/>
        <v>0</v>
      </c>
      <c r="K706" s="104" t="str">
        <f>IF(H706&lt;0,"ERROR",IF(H706=0,"",IF(H706&lt;CONFIG!$B$4,"CRÍTICO",IF(H706&lt;CONFIG!$B$5,"BAJO","OK"))))</f>
        <v/>
      </c>
    </row>
    <row r="707" ht="15.75" hidden="1" customHeight="1">
      <c r="A707" s="90" t="str">
        <f>IF(CLIENTES!A9="","",CLIENTES!A9)</f>
        <v/>
      </c>
      <c r="B707" s="90" t="s">
        <v>321</v>
      </c>
      <c r="C707" s="91" t="s">
        <v>326</v>
      </c>
      <c r="D707" s="109" t="s">
        <v>353</v>
      </c>
      <c r="E707" s="67" t="str">
        <f>COLORES!A19</f>
        <v/>
      </c>
      <c r="F707" s="67" t="str">
        <f>COLORES!B19</f>
        <v/>
      </c>
      <c r="G707" s="90" t="s">
        <v>379</v>
      </c>
      <c r="H707" s="100">
        <f>IFERROR(SUMIFS(MOVIMIENTOS_COMPLEMENTOS!$I$4:$I$803,MOVIMIENTOS_COMPLEMENTOS!$C$4:$C$803,A707,MOVIMIENTOS_COMPLEMENTOS!$D$4:$D$803,B707,MOVIMIENTOS_COMPLEMENTOS!$E$4:$E$803,C707,MOVIMIENTOS_COMPLEMENTOS!$G$4:$G$803,E707,MOVIMIENTOS_COMPLEMENTOS!$H$4:$H$803,G707,MOVIMIENTOS_COMPLEMENTOS!$B$4:$B$803,"INGRESO")+SUMIFS(MOVIMIENTOS_COMPLEMENTOS!$I$4:$I$803,MOVIMIENTOS_COMPLEMENTOS!$C$4:$C$803,A707,MOVIMIENTOS_COMPLEMENTOS!$D$4:$D$803,B707,MOVIMIENTOS_COMPLEMENTOS!$E$4:$E$803,C707,MOVIMIENTOS_COMPLEMENTOS!$G$4:$G$803,E707,MOVIMIENTOS_COMPLEMENTOS!$H$4:$H$803,G707,MOVIMIENTOS_COMPLEMENTOS!$B$4:$B$803,"DE CORTE")-SUMIFS(MOVIMIENTOS_COMPLEMENTOS!$I$4:$I$803,MOVIMIENTOS_COMPLEMENTOS!$C$4:$C$803,A707,MOVIMIENTOS_COMPLEMENTOS!$D$4:$D$803,B707,MOVIMIENTOS_COMPLEMENTOS!$E$4:$E$803,C707,MOVIMIENTOS_COMPLEMENTOS!$G$4:$G$803,E707,MOVIMIENTOS_COMPLEMENTOS!$H$4:$H$803,G707,MOVIMIENTOS_COMPLEMENTOS!$B$4:$B$803,"SALIDA"),0)</f>
        <v>0</v>
      </c>
      <c r="I707" s="102">
        <f t="array" ref="I707">IFERROR(INDEX(PRECIOS_COMPLEMENTOS!$C$4:$F$17,MATCH(B707&amp;"_"&amp;C707,PRECIOS_COMPLEMENTOS!$H$4:$H$17,0),IF(OR(G707="S",G707="20cm"),1,IF(OR(G707="M",G707="25cm"),2,IF(OR(G707="L",G707="30cm"),3,IF(OR(G707="XL",G707="35cm"),4,0))))),0)</f>
        <v>0.55</v>
      </c>
      <c r="J707" s="103">
        <f t="shared" si="1"/>
        <v>0</v>
      </c>
      <c r="K707" s="104" t="str">
        <f>IF(H707&lt;0,"ERROR",IF(H707=0,"",IF(H707&lt;CONFIG!$B$4,"CRÍTICO",IF(H707&lt;CONFIG!$B$5,"BAJO","OK"))))</f>
        <v/>
      </c>
    </row>
    <row r="708" ht="15.75" hidden="1" customHeight="1">
      <c r="A708" s="90" t="str">
        <f>IF(CLIENTES!A9="","",CLIENTES!A9)</f>
        <v/>
      </c>
      <c r="B708" s="90" t="s">
        <v>321</v>
      </c>
      <c r="C708" s="91" t="s">
        <v>326</v>
      </c>
      <c r="D708" s="109" t="s">
        <v>353</v>
      </c>
      <c r="E708" s="67" t="str">
        <f>COLORES!A20</f>
        <v/>
      </c>
      <c r="F708" s="67" t="str">
        <f>COLORES!B20</f>
        <v/>
      </c>
      <c r="G708" s="90" t="s">
        <v>378</v>
      </c>
      <c r="H708" s="100">
        <f>IFERROR(SUMIFS(MOVIMIENTOS_COMPLEMENTOS!$I$4:$I$803,MOVIMIENTOS_COMPLEMENTOS!$C$4:$C$803,A708,MOVIMIENTOS_COMPLEMENTOS!$D$4:$D$803,B708,MOVIMIENTOS_COMPLEMENTOS!$E$4:$E$803,C708,MOVIMIENTOS_COMPLEMENTOS!$G$4:$G$803,E708,MOVIMIENTOS_COMPLEMENTOS!$H$4:$H$803,G708,MOVIMIENTOS_COMPLEMENTOS!$B$4:$B$803,"INGRESO")+SUMIFS(MOVIMIENTOS_COMPLEMENTOS!$I$4:$I$803,MOVIMIENTOS_COMPLEMENTOS!$C$4:$C$803,A708,MOVIMIENTOS_COMPLEMENTOS!$D$4:$D$803,B708,MOVIMIENTOS_COMPLEMENTOS!$E$4:$E$803,C708,MOVIMIENTOS_COMPLEMENTOS!$G$4:$G$803,E708,MOVIMIENTOS_COMPLEMENTOS!$H$4:$H$803,G708,MOVIMIENTOS_COMPLEMENTOS!$B$4:$B$803,"DE CORTE")-SUMIFS(MOVIMIENTOS_COMPLEMENTOS!$I$4:$I$803,MOVIMIENTOS_COMPLEMENTOS!$C$4:$C$803,A708,MOVIMIENTOS_COMPLEMENTOS!$D$4:$D$803,B708,MOVIMIENTOS_COMPLEMENTOS!$E$4:$E$803,C708,MOVIMIENTOS_COMPLEMENTOS!$G$4:$G$803,E708,MOVIMIENTOS_COMPLEMENTOS!$H$4:$H$803,G708,MOVIMIENTOS_COMPLEMENTOS!$B$4:$B$803,"SALIDA"),0)</f>
        <v>0</v>
      </c>
      <c r="I708" s="102">
        <f t="array" ref="I708">IFERROR(INDEX(PRECIOS_COMPLEMENTOS!$C$4:$F$17,MATCH(B708&amp;"_"&amp;C708,PRECIOS_COMPLEMENTOS!$H$4:$H$17,0),IF(OR(G708="S",G708="20cm"),1,IF(OR(G708="M",G708="25cm"),2,IF(OR(G708="L",G708="30cm"),3,IF(OR(G708="XL",G708="35cm"),4,0))))),0)</f>
        <v>0.4</v>
      </c>
      <c r="J708" s="103">
        <f t="shared" si="1"/>
        <v>0</v>
      </c>
      <c r="K708" s="104" t="str">
        <f>IF(H708&lt;0,"ERROR",IF(H708=0,"",IF(H708&lt;CONFIG!$B$4,"CRÍTICO",IF(H708&lt;CONFIG!$B$5,"BAJO","OK"))))</f>
        <v/>
      </c>
    </row>
    <row r="709" ht="15.75" hidden="1" customHeight="1">
      <c r="A709" s="90" t="str">
        <f>IF(CLIENTES!A9="","",CLIENTES!A9)</f>
        <v/>
      </c>
      <c r="B709" s="90" t="s">
        <v>321</v>
      </c>
      <c r="C709" s="91" t="s">
        <v>326</v>
      </c>
      <c r="D709" s="109" t="s">
        <v>353</v>
      </c>
      <c r="E709" s="67" t="str">
        <f>COLORES!A20</f>
        <v/>
      </c>
      <c r="F709" s="67" t="str">
        <f>COLORES!B20</f>
        <v/>
      </c>
      <c r="G709" s="90" t="s">
        <v>376</v>
      </c>
      <c r="H709" s="100">
        <f>IFERROR(SUMIFS(MOVIMIENTOS_COMPLEMENTOS!$I$4:$I$803,MOVIMIENTOS_COMPLEMENTOS!$C$4:$C$803,A709,MOVIMIENTOS_COMPLEMENTOS!$D$4:$D$803,B709,MOVIMIENTOS_COMPLEMENTOS!$E$4:$E$803,C709,MOVIMIENTOS_COMPLEMENTOS!$G$4:$G$803,E709,MOVIMIENTOS_COMPLEMENTOS!$H$4:$H$803,G709,MOVIMIENTOS_COMPLEMENTOS!$B$4:$B$803,"INGRESO")+SUMIFS(MOVIMIENTOS_COMPLEMENTOS!$I$4:$I$803,MOVIMIENTOS_COMPLEMENTOS!$C$4:$C$803,A709,MOVIMIENTOS_COMPLEMENTOS!$D$4:$D$803,B709,MOVIMIENTOS_COMPLEMENTOS!$E$4:$E$803,C709,MOVIMIENTOS_COMPLEMENTOS!$G$4:$G$803,E709,MOVIMIENTOS_COMPLEMENTOS!$H$4:$H$803,G709,MOVIMIENTOS_COMPLEMENTOS!$B$4:$B$803,"DE CORTE")-SUMIFS(MOVIMIENTOS_COMPLEMENTOS!$I$4:$I$803,MOVIMIENTOS_COMPLEMENTOS!$C$4:$C$803,A709,MOVIMIENTOS_COMPLEMENTOS!$D$4:$D$803,B709,MOVIMIENTOS_COMPLEMENTOS!$E$4:$E$803,C709,MOVIMIENTOS_COMPLEMENTOS!$G$4:$G$803,E709,MOVIMIENTOS_COMPLEMENTOS!$H$4:$H$803,G709,MOVIMIENTOS_COMPLEMENTOS!$B$4:$B$803,"SALIDA"),0)</f>
        <v>0</v>
      </c>
      <c r="I709" s="102">
        <f t="array" ref="I709">IFERROR(INDEX(PRECIOS_COMPLEMENTOS!$C$4:$F$17,MATCH(B709&amp;"_"&amp;C709,PRECIOS_COMPLEMENTOS!$H$4:$H$17,0),IF(OR(G709="S",G709="20cm"),1,IF(OR(G709="M",G709="25cm"),2,IF(OR(G709="L",G709="30cm"),3,IF(OR(G709="XL",G709="35cm"),4,0))))),0)</f>
        <v>0.45</v>
      </c>
      <c r="J709" s="103">
        <f t="shared" si="1"/>
        <v>0</v>
      </c>
      <c r="K709" s="104" t="str">
        <f>IF(H709&lt;0,"ERROR",IF(H709=0,"",IF(H709&lt;CONFIG!$B$4,"CRÍTICO",IF(H709&lt;CONFIG!$B$5,"BAJO","OK"))))</f>
        <v/>
      </c>
    </row>
    <row r="710" ht="15.75" hidden="1" customHeight="1">
      <c r="A710" s="90" t="str">
        <f>IF(CLIENTES!A9="","",CLIENTES!A9)</f>
        <v/>
      </c>
      <c r="B710" s="90" t="s">
        <v>321</v>
      </c>
      <c r="C710" s="91" t="s">
        <v>326</v>
      </c>
      <c r="D710" s="109" t="s">
        <v>353</v>
      </c>
      <c r="E710" s="67" t="str">
        <f>COLORES!A20</f>
        <v/>
      </c>
      <c r="F710" s="67" t="str">
        <f>COLORES!B20</f>
        <v/>
      </c>
      <c r="G710" s="90" t="s">
        <v>377</v>
      </c>
      <c r="H710" s="100">
        <f>IFERROR(SUMIFS(MOVIMIENTOS_COMPLEMENTOS!$I$4:$I$803,MOVIMIENTOS_COMPLEMENTOS!$C$4:$C$803,A710,MOVIMIENTOS_COMPLEMENTOS!$D$4:$D$803,B710,MOVIMIENTOS_COMPLEMENTOS!$E$4:$E$803,C710,MOVIMIENTOS_COMPLEMENTOS!$G$4:$G$803,E710,MOVIMIENTOS_COMPLEMENTOS!$H$4:$H$803,G710,MOVIMIENTOS_COMPLEMENTOS!$B$4:$B$803,"INGRESO")+SUMIFS(MOVIMIENTOS_COMPLEMENTOS!$I$4:$I$803,MOVIMIENTOS_COMPLEMENTOS!$C$4:$C$803,A710,MOVIMIENTOS_COMPLEMENTOS!$D$4:$D$803,B710,MOVIMIENTOS_COMPLEMENTOS!$E$4:$E$803,C710,MOVIMIENTOS_COMPLEMENTOS!$G$4:$G$803,E710,MOVIMIENTOS_COMPLEMENTOS!$H$4:$H$803,G710,MOVIMIENTOS_COMPLEMENTOS!$B$4:$B$803,"DE CORTE")-SUMIFS(MOVIMIENTOS_COMPLEMENTOS!$I$4:$I$803,MOVIMIENTOS_COMPLEMENTOS!$C$4:$C$803,A710,MOVIMIENTOS_COMPLEMENTOS!$D$4:$D$803,B710,MOVIMIENTOS_COMPLEMENTOS!$E$4:$E$803,C710,MOVIMIENTOS_COMPLEMENTOS!$G$4:$G$803,E710,MOVIMIENTOS_COMPLEMENTOS!$H$4:$H$803,G710,MOVIMIENTOS_COMPLEMENTOS!$B$4:$B$803,"SALIDA"),0)</f>
        <v>0</v>
      </c>
      <c r="I710" s="102">
        <f t="array" ref="I710">IFERROR(INDEX(PRECIOS_COMPLEMENTOS!$C$4:$F$17,MATCH(B710&amp;"_"&amp;C710,PRECIOS_COMPLEMENTOS!$H$4:$H$17,0),IF(OR(G710="S",G710="20cm"),1,IF(OR(G710="M",G710="25cm"),2,IF(OR(G710="L",G710="30cm"),3,IF(OR(G710="XL",G710="35cm"),4,0))))),0)</f>
        <v>0.5</v>
      </c>
      <c r="J710" s="103">
        <f t="shared" si="1"/>
        <v>0</v>
      </c>
      <c r="K710" s="104" t="str">
        <f>IF(H710&lt;0,"ERROR",IF(H710=0,"",IF(H710&lt;CONFIG!$B$4,"CRÍTICO",IF(H710&lt;CONFIG!$B$5,"BAJO","OK"))))</f>
        <v/>
      </c>
    </row>
    <row r="711" ht="15.75" hidden="1" customHeight="1">
      <c r="A711" s="90" t="str">
        <f>IF(CLIENTES!A9="","",CLIENTES!A9)</f>
        <v/>
      </c>
      <c r="B711" s="90" t="s">
        <v>321</v>
      </c>
      <c r="C711" s="91" t="s">
        <v>326</v>
      </c>
      <c r="D711" s="109" t="s">
        <v>353</v>
      </c>
      <c r="E711" s="67" t="str">
        <f>COLORES!A20</f>
        <v/>
      </c>
      <c r="F711" s="67" t="str">
        <f>COLORES!B20</f>
        <v/>
      </c>
      <c r="G711" s="90" t="s">
        <v>379</v>
      </c>
      <c r="H711" s="100">
        <f>IFERROR(SUMIFS(MOVIMIENTOS_COMPLEMENTOS!$I$4:$I$803,MOVIMIENTOS_COMPLEMENTOS!$C$4:$C$803,A711,MOVIMIENTOS_COMPLEMENTOS!$D$4:$D$803,B711,MOVIMIENTOS_COMPLEMENTOS!$E$4:$E$803,C711,MOVIMIENTOS_COMPLEMENTOS!$G$4:$G$803,E711,MOVIMIENTOS_COMPLEMENTOS!$H$4:$H$803,G711,MOVIMIENTOS_COMPLEMENTOS!$B$4:$B$803,"INGRESO")+SUMIFS(MOVIMIENTOS_COMPLEMENTOS!$I$4:$I$803,MOVIMIENTOS_COMPLEMENTOS!$C$4:$C$803,A711,MOVIMIENTOS_COMPLEMENTOS!$D$4:$D$803,B711,MOVIMIENTOS_COMPLEMENTOS!$E$4:$E$803,C711,MOVIMIENTOS_COMPLEMENTOS!$G$4:$G$803,E711,MOVIMIENTOS_COMPLEMENTOS!$H$4:$H$803,G711,MOVIMIENTOS_COMPLEMENTOS!$B$4:$B$803,"DE CORTE")-SUMIFS(MOVIMIENTOS_COMPLEMENTOS!$I$4:$I$803,MOVIMIENTOS_COMPLEMENTOS!$C$4:$C$803,A711,MOVIMIENTOS_COMPLEMENTOS!$D$4:$D$803,B711,MOVIMIENTOS_COMPLEMENTOS!$E$4:$E$803,C711,MOVIMIENTOS_COMPLEMENTOS!$G$4:$G$803,E711,MOVIMIENTOS_COMPLEMENTOS!$H$4:$H$803,G711,MOVIMIENTOS_COMPLEMENTOS!$B$4:$B$803,"SALIDA"),0)</f>
        <v>0</v>
      </c>
      <c r="I711" s="102">
        <f t="array" ref="I711">IFERROR(INDEX(PRECIOS_COMPLEMENTOS!$C$4:$F$17,MATCH(B711&amp;"_"&amp;C711,PRECIOS_COMPLEMENTOS!$H$4:$H$17,0),IF(OR(G711="S",G711="20cm"),1,IF(OR(G711="M",G711="25cm"),2,IF(OR(G711="L",G711="30cm"),3,IF(OR(G711="XL",G711="35cm"),4,0))))),0)</f>
        <v>0.55</v>
      </c>
      <c r="J711" s="103">
        <f t="shared" si="1"/>
        <v>0</v>
      </c>
      <c r="K711" s="104" t="str">
        <f>IF(H711&lt;0,"ERROR",IF(H711=0,"",IF(H711&lt;CONFIG!$B$4,"CRÍTICO",IF(H711&lt;CONFIG!$B$5,"BAJO","OK"))))</f>
        <v/>
      </c>
    </row>
    <row r="712" ht="15.75" hidden="1" customHeight="1">
      <c r="A712" s="90" t="str">
        <f>IF(CLIENTES!A9="","",CLIENTES!A9)</f>
        <v/>
      </c>
      <c r="B712" s="90" t="s">
        <v>321</v>
      </c>
      <c r="C712" s="91" t="s">
        <v>326</v>
      </c>
      <c r="D712" s="109" t="s">
        <v>353</v>
      </c>
      <c r="E712" s="67" t="str">
        <f>COLORES!A21</f>
        <v/>
      </c>
      <c r="F712" s="67" t="str">
        <f>COLORES!B21</f>
        <v/>
      </c>
      <c r="G712" s="90" t="s">
        <v>378</v>
      </c>
      <c r="H712" s="100">
        <f>IFERROR(SUMIFS(MOVIMIENTOS_COMPLEMENTOS!$I$4:$I$803,MOVIMIENTOS_COMPLEMENTOS!$C$4:$C$803,A712,MOVIMIENTOS_COMPLEMENTOS!$D$4:$D$803,B712,MOVIMIENTOS_COMPLEMENTOS!$E$4:$E$803,C712,MOVIMIENTOS_COMPLEMENTOS!$G$4:$G$803,E712,MOVIMIENTOS_COMPLEMENTOS!$H$4:$H$803,G712,MOVIMIENTOS_COMPLEMENTOS!$B$4:$B$803,"INGRESO")+SUMIFS(MOVIMIENTOS_COMPLEMENTOS!$I$4:$I$803,MOVIMIENTOS_COMPLEMENTOS!$C$4:$C$803,A712,MOVIMIENTOS_COMPLEMENTOS!$D$4:$D$803,B712,MOVIMIENTOS_COMPLEMENTOS!$E$4:$E$803,C712,MOVIMIENTOS_COMPLEMENTOS!$G$4:$G$803,E712,MOVIMIENTOS_COMPLEMENTOS!$H$4:$H$803,G712,MOVIMIENTOS_COMPLEMENTOS!$B$4:$B$803,"DE CORTE")-SUMIFS(MOVIMIENTOS_COMPLEMENTOS!$I$4:$I$803,MOVIMIENTOS_COMPLEMENTOS!$C$4:$C$803,A712,MOVIMIENTOS_COMPLEMENTOS!$D$4:$D$803,B712,MOVIMIENTOS_COMPLEMENTOS!$E$4:$E$803,C712,MOVIMIENTOS_COMPLEMENTOS!$G$4:$G$803,E712,MOVIMIENTOS_COMPLEMENTOS!$H$4:$H$803,G712,MOVIMIENTOS_COMPLEMENTOS!$B$4:$B$803,"SALIDA"),0)</f>
        <v>0</v>
      </c>
      <c r="I712" s="102">
        <f t="array" ref="I712">IFERROR(INDEX(PRECIOS_COMPLEMENTOS!$C$4:$F$17,MATCH(B712&amp;"_"&amp;C712,PRECIOS_COMPLEMENTOS!$H$4:$H$17,0),IF(OR(G712="S",G712="20cm"),1,IF(OR(G712="M",G712="25cm"),2,IF(OR(G712="L",G712="30cm"),3,IF(OR(G712="XL",G712="35cm"),4,0))))),0)</f>
        <v>0.4</v>
      </c>
      <c r="J712" s="103">
        <f t="shared" si="1"/>
        <v>0</v>
      </c>
      <c r="K712" s="104" t="str">
        <f>IF(H712&lt;0,"ERROR",IF(H712=0,"",IF(H712&lt;CONFIG!$B$4,"CRÍTICO",IF(H712&lt;CONFIG!$B$5,"BAJO","OK"))))</f>
        <v/>
      </c>
    </row>
    <row r="713" ht="15.75" hidden="1" customHeight="1">
      <c r="A713" s="90" t="str">
        <f>IF(CLIENTES!A9="","",CLIENTES!A9)</f>
        <v/>
      </c>
      <c r="B713" s="90" t="s">
        <v>321</v>
      </c>
      <c r="C713" s="91" t="s">
        <v>326</v>
      </c>
      <c r="D713" s="109" t="s">
        <v>353</v>
      </c>
      <c r="E713" s="67" t="str">
        <f>COLORES!A21</f>
        <v/>
      </c>
      <c r="F713" s="67" t="str">
        <f>COLORES!B21</f>
        <v/>
      </c>
      <c r="G713" s="90" t="s">
        <v>376</v>
      </c>
      <c r="H713" s="100">
        <f>IFERROR(SUMIFS(MOVIMIENTOS_COMPLEMENTOS!$I$4:$I$803,MOVIMIENTOS_COMPLEMENTOS!$C$4:$C$803,A713,MOVIMIENTOS_COMPLEMENTOS!$D$4:$D$803,B713,MOVIMIENTOS_COMPLEMENTOS!$E$4:$E$803,C713,MOVIMIENTOS_COMPLEMENTOS!$G$4:$G$803,E713,MOVIMIENTOS_COMPLEMENTOS!$H$4:$H$803,G713,MOVIMIENTOS_COMPLEMENTOS!$B$4:$B$803,"INGRESO")+SUMIFS(MOVIMIENTOS_COMPLEMENTOS!$I$4:$I$803,MOVIMIENTOS_COMPLEMENTOS!$C$4:$C$803,A713,MOVIMIENTOS_COMPLEMENTOS!$D$4:$D$803,B713,MOVIMIENTOS_COMPLEMENTOS!$E$4:$E$803,C713,MOVIMIENTOS_COMPLEMENTOS!$G$4:$G$803,E713,MOVIMIENTOS_COMPLEMENTOS!$H$4:$H$803,G713,MOVIMIENTOS_COMPLEMENTOS!$B$4:$B$803,"DE CORTE")-SUMIFS(MOVIMIENTOS_COMPLEMENTOS!$I$4:$I$803,MOVIMIENTOS_COMPLEMENTOS!$C$4:$C$803,A713,MOVIMIENTOS_COMPLEMENTOS!$D$4:$D$803,B713,MOVIMIENTOS_COMPLEMENTOS!$E$4:$E$803,C713,MOVIMIENTOS_COMPLEMENTOS!$G$4:$G$803,E713,MOVIMIENTOS_COMPLEMENTOS!$H$4:$H$803,G713,MOVIMIENTOS_COMPLEMENTOS!$B$4:$B$803,"SALIDA"),0)</f>
        <v>0</v>
      </c>
      <c r="I713" s="102">
        <f t="array" ref="I713">IFERROR(INDEX(PRECIOS_COMPLEMENTOS!$C$4:$F$17,MATCH(B713&amp;"_"&amp;C713,PRECIOS_COMPLEMENTOS!$H$4:$H$17,0),IF(OR(G713="S",G713="20cm"),1,IF(OR(G713="M",G713="25cm"),2,IF(OR(G713="L",G713="30cm"),3,IF(OR(G713="XL",G713="35cm"),4,0))))),0)</f>
        <v>0.45</v>
      </c>
      <c r="J713" s="103">
        <f t="shared" si="1"/>
        <v>0</v>
      </c>
      <c r="K713" s="104" t="str">
        <f>IF(H713&lt;0,"ERROR",IF(H713=0,"",IF(H713&lt;CONFIG!$B$4,"CRÍTICO",IF(H713&lt;CONFIG!$B$5,"BAJO","OK"))))</f>
        <v/>
      </c>
    </row>
    <row r="714" ht="15.75" hidden="1" customHeight="1">
      <c r="A714" s="90" t="str">
        <f>IF(CLIENTES!A9="","",CLIENTES!A9)</f>
        <v/>
      </c>
      <c r="B714" s="90" t="s">
        <v>321</v>
      </c>
      <c r="C714" s="91" t="s">
        <v>326</v>
      </c>
      <c r="D714" s="109" t="s">
        <v>353</v>
      </c>
      <c r="E714" s="67" t="str">
        <f>COLORES!A21</f>
        <v/>
      </c>
      <c r="F714" s="67" t="str">
        <f>COLORES!B21</f>
        <v/>
      </c>
      <c r="G714" s="90" t="s">
        <v>377</v>
      </c>
      <c r="H714" s="100">
        <f>IFERROR(SUMIFS(MOVIMIENTOS_COMPLEMENTOS!$I$4:$I$803,MOVIMIENTOS_COMPLEMENTOS!$C$4:$C$803,A714,MOVIMIENTOS_COMPLEMENTOS!$D$4:$D$803,B714,MOVIMIENTOS_COMPLEMENTOS!$E$4:$E$803,C714,MOVIMIENTOS_COMPLEMENTOS!$G$4:$G$803,E714,MOVIMIENTOS_COMPLEMENTOS!$H$4:$H$803,G714,MOVIMIENTOS_COMPLEMENTOS!$B$4:$B$803,"INGRESO")+SUMIFS(MOVIMIENTOS_COMPLEMENTOS!$I$4:$I$803,MOVIMIENTOS_COMPLEMENTOS!$C$4:$C$803,A714,MOVIMIENTOS_COMPLEMENTOS!$D$4:$D$803,B714,MOVIMIENTOS_COMPLEMENTOS!$E$4:$E$803,C714,MOVIMIENTOS_COMPLEMENTOS!$G$4:$G$803,E714,MOVIMIENTOS_COMPLEMENTOS!$H$4:$H$803,G714,MOVIMIENTOS_COMPLEMENTOS!$B$4:$B$803,"DE CORTE")-SUMIFS(MOVIMIENTOS_COMPLEMENTOS!$I$4:$I$803,MOVIMIENTOS_COMPLEMENTOS!$C$4:$C$803,A714,MOVIMIENTOS_COMPLEMENTOS!$D$4:$D$803,B714,MOVIMIENTOS_COMPLEMENTOS!$E$4:$E$803,C714,MOVIMIENTOS_COMPLEMENTOS!$G$4:$G$803,E714,MOVIMIENTOS_COMPLEMENTOS!$H$4:$H$803,G714,MOVIMIENTOS_COMPLEMENTOS!$B$4:$B$803,"SALIDA"),0)</f>
        <v>0</v>
      </c>
      <c r="I714" s="102">
        <f t="array" ref="I714">IFERROR(INDEX(PRECIOS_COMPLEMENTOS!$C$4:$F$17,MATCH(B714&amp;"_"&amp;C714,PRECIOS_COMPLEMENTOS!$H$4:$H$17,0),IF(OR(G714="S",G714="20cm"),1,IF(OR(G714="M",G714="25cm"),2,IF(OR(G714="L",G714="30cm"),3,IF(OR(G714="XL",G714="35cm"),4,0))))),0)</f>
        <v>0.5</v>
      </c>
      <c r="J714" s="103">
        <f t="shared" si="1"/>
        <v>0</v>
      </c>
      <c r="K714" s="104" t="str">
        <f>IF(H714&lt;0,"ERROR",IF(H714=0,"",IF(H714&lt;CONFIG!$B$4,"CRÍTICO",IF(H714&lt;CONFIG!$B$5,"BAJO","OK"))))</f>
        <v/>
      </c>
    </row>
    <row r="715" ht="15.75" hidden="1" customHeight="1">
      <c r="A715" s="90" t="str">
        <f>IF(CLIENTES!A9="","",CLIENTES!A9)</f>
        <v/>
      </c>
      <c r="B715" s="90" t="s">
        <v>321</v>
      </c>
      <c r="C715" s="91" t="s">
        <v>326</v>
      </c>
      <c r="D715" s="109" t="s">
        <v>353</v>
      </c>
      <c r="E715" s="67" t="str">
        <f>COLORES!A21</f>
        <v/>
      </c>
      <c r="F715" s="67" t="str">
        <f>COLORES!B21</f>
        <v/>
      </c>
      <c r="G715" s="90" t="s">
        <v>379</v>
      </c>
      <c r="H715" s="100">
        <f>IFERROR(SUMIFS(MOVIMIENTOS_COMPLEMENTOS!$I$4:$I$803,MOVIMIENTOS_COMPLEMENTOS!$C$4:$C$803,A715,MOVIMIENTOS_COMPLEMENTOS!$D$4:$D$803,B715,MOVIMIENTOS_COMPLEMENTOS!$E$4:$E$803,C715,MOVIMIENTOS_COMPLEMENTOS!$G$4:$G$803,E715,MOVIMIENTOS_COMPLEMENTOS!$H$4:$H$803,G715,MOVIMIENTOS_COMPLEMENTOS!$B$4:$B$803,"INGRESO")+SUMIFS(MOVIMIENTOS_COMPLEMENTOS!$I$4:$I$803,MOVIMIENTOS_COMPLEMENTOS!$C$4:$C$803,A715,MOVIMIENTOS_COMPLEMENTOS!$D$4:$D$803,B715,MOVIMIENTOS_COMPLEMENTOS!$E$4:$E$803,C715,MOVIMIENTOS_COMPLEMENTOS!$G$4:$G$803,E715,MOVIMIENTOS_COMPLEMENTOS!$H$4:$H$803,G715,MOVIMIENTOS_COMPLEMENTOS!$B$4:$B$803,"DE CORTE")-SUMIFS(MOVIMIENTOS_COMPLEMENTOS!$I$4:$I$803,MOVIMIENTOS_COMPLEMENTOS!$C$4:$C$803,A715,MOVIMIENTOS_COMPLEMENTOS!$D$4:$D$803,B715,MOVIMIENTOS_COMPLEMENTOS!$E$4:$E$803,C715,MOVIMIENTOS_COMPLEMENTOS!$G$4:$G$803,E715,MOVIMIENTOS_COMPLEMENTOS!$H$4:$H$803,G715,MOVIMIENTOS_COMPLEMENTOS!$B$4:$B$803,"SALIDA"),0)</f>
        <v>0</v>
      </c>
      <c r="I715" s="102">
        <f t="array" ref="I715">IFERROR(INDEX(PRECIOS_COMPLEMENTOS!$C$4:$F$17,MATCH(B715&amp;"_"&amp;C715,PRECIOS_COMPLEMENTOS!$H$4:$H$17,0),IF(OR(G715="S",G715="20cm"),1,IF(OR(G715="M",G715="25cm"),2,IF(OR(G715="L",G715="30cm"),3,IF(OR(G715="XL",G715="35cm"),4,0))))),0)</f>
        <v>0.55</v>
      </c>
      <c r="J715" s="103">
        <f t="shared" si="1"/>
        <v>0</v>
      </c>
      <c r="K715" s="104" t="str">
        <f>IF(H715&lt;0,"ERROR",IF(H715=0,"",IF(H715&lt;CONFIG!$B$4,"CRÍTICO",IF(H715&lt;CONFIG!$B$5,"BAJO","OK"))))</f>
        <v/>
      </c>
    </row>
    <row r="716" ht="15.75" hidden="1" customHeight="1">
      <c r="A716" s="90" t="str">
        <f>IF(CLIENTES!A9="","",CLIENTES!A9)</f>
        <v/>
      </c>
      <c r="B716" s="90" t="s">
        <v>321</v>
      </c>
      <c r="C716" s="91" t="s">
        <v>326</v>
      </c>
      <c r="D716" s="109" t="s">
        <v>353</v>
      </c>
      <c r="E716" s="67" t="str">
        <f>COLORES!A22</f>
        <v/>
      </c>
      <c r="F716" s="67" t="str">
        <f>COLORES!B22</f>
        <v/>
      </c>
      <c r="G716" s="90" t="s">
        <v>378</v>
      </c>
      <c r="H716" s="100">
        <f>IFERROR(SUMIFS(MOVIMIENTOS_COMPLEMENTOS!$I$4:$I$803,MOVIMIENTOS_COMPLEMENTOS!$C$4:$C$803,A716,MOVIMIENTOS_COMPLEMENTOS!$D$4:$D$803,B716,MOVIMIENTOS_COMPLEMENTOS!$E$4:$E$803,C716,MOVIMIENTOS_COMPLEMENTOS!$G$4:$G$803,E716,MOVIMIENTOS_COMPLEMENTOS!$H$4:$H$803,G716,MOVIMIENTOS_COMPLEMENTOS!$B$4:$B$803,"INGRESO")+SUMIFS(MOVIMIENTOS_COMPLEMENTOS!$I$4:$I$803,MOVIMIENTOS_COMPLEMENTOS!$C$4:$C$803,A716,MOVIMIENTOS_COMPLEMENTOS!$D$4:$D$803,B716,MOVIMIENTOS_COMPLEMENTOS!$E$4:$E$803,C716,MOVIMIENTOS_COMPLEMENTOS!$G$4:$G$803,E716,MOVIMIENTOS_COMPLEMENTOS!$H$4:$H$803,G716,MOVIMIENTOS_COMPLEMENTOS!$B$4:$B$803,"DE CORTE")-SUMIFS(MOVIMIENTOS_COMPLEMENTOS!$I$4:$I$803,MOVIMIENTOS_COMPLEMENTOS!$C$4:$C$803,A716,MOVIMIENTOS_COMPLEMENTOS!$D$4:$D$803,B716,MOVIMIENTOS_COMPLEMENTOS!$E$4:$E$803,C716,MOVIMIENTOS_COMPLEMENTOS!$G$4:$G$803,E716,MOVIMIENTOS_COMPLEMENTOS!$H$4:$H$803,G716,MOVIMIENTOS_COMPLEMENTOS!$B$4:$B$803,"SALIDA"),0)</f>
        <v>0</v>
      </c>
      <c r="I716" s="102">
        <f t="array" ref="I716">IFERROR(INDEX(PRECIOS_COMPLEMENTOS!$C$4:$F$17,MATCH(B716&amp;"_"&amp;C716,PRECIOS_COMPLEMENTOS!$H$4:$H$17,0),IF(OR(G716="S",G716="20cm"),1,IF(OR(G716="M",G716="25cm"),2,IF(OR(G716="L",G716="30cm"),3,IF(OR(G716="XL",G716="35cm"),4,0))))),0)</f>
        <v>0.4</v>
      </c>
      <c r="J716" s="103">
        <f t="shared" si="1"/>
        <v>0</v>
      </c>
      <c r="K716" s="104" t="str">
        <f>IF(H716&lt;0,"ERROR",IF(H716=0,"",IF(H716&lt;CONFIG!$B$4,"CRÍTICO",IF(H716&lt;CONFIG!$B$5,"BAJO","OK"))))</f>
        <v/>
      </c>
    </row>
    <row r="717" ht="15.75" hidden="1" customHeight="1">
      <c r="A717" s="90" t="str">
        <f>IF(CLIENTES!A9="","",CLIENTES!A9)</f>
        <v/>
      </c>
      <c r="B717" s="90" t="s">
        <v>321</v>
      </c>
      <c r="C717" s="91" t="s">
        <v>326</v>
      </c>
      <c r="D717" s="109" t="s">
        <v>353</v>
      </c>
      <c r="E717" s="67" t="str">
        <f>COLORES!A22</f>
        <v/>
      </c>
      <c r="F717" s="67" t="str">
        <f>COLORES!B22</f>
        <v/>
      </c>
      <c r="G717" s="90" t="s">
        <v>376</v>
      </c>
      <c r="H717" s="100">
        <f>IFERROR(SUMIFS(MOVIMIENTOS_COMPLEMENTOS!$I$4:$I$803,MOVIMIENTOS_COMPLEMENTOS!$C$4:$C$803,A717,MOVIMIENTOS_COMPLEMENTOS!$D$4:$D$803,B717,MOVIMIENTOS_COMPLEMENTOS!$E$4:$E$803,C717,MOVIMIENTOS_COMPLEMENTOS!$G$4:$G$803,E717,MOVIMIENTOS_COMPLEMENTOS!$H$4:$H$803,G717,MOVIMIENTOS_COMPLEMENTOS!$B$4:$B$803,"INGRESO")+SUMIFS(MOVIMIENTOS_COMPLEMENTOS!$I$4:$I$803,MOVIMIENTOS_COMPLEMENTOS!$C$4:$C$803,A717,MOVIMIENTOS_COMPLEMENTOS!$D$4:$D$803,B717,MOVIMIENTOS_COMPLEMENTOS!$E$4:$E$803,C717,MOVIMIENTOS_COMPLEMENTOS!$G$4:$G$803,E717,MOVIMIENTOS_COMPLEMENTOS!$H$4:$H$803,G717,MOVIMIENTOS_COMPLEMENTOS!$B$4:$B$803,"DE CORTE")-SUMIFS(MOVIMIENTOS_COMPLEMENTOS!$I$4:$I$803,MOVIMIENTOS_COMPLEMENTOS!$C$4:$C$803,A717,MOVIMIENTOS_COMPLEMENTOS!$D$4:$D$803,B717,MOVIMIENTOS_COMPLEMENTOS!$E$4:$E$803,C717,MOVIMIENTOS_COMPLEMENTOS!$G$4:$G$803,E717,MOVIMIENTOS_COMPLEMENTOS!$H$4:$H$803,G717,MOVIMIENTOS_COMPLEMENTOS!$B$4:$B$803,"SALIDA"),0)</f>
        <v>0</v>
      </c>
      <c r="I717" s="102">
        <f t="array" ref="I717">IFERROR(INDEX(PRECIOS_COMPLEMENTOS!$C$4:$F$17,MATCH(B717&amp;"_"&amp;C717,PRECIOS_COMPLEMENTOS!$H$4:$H$17,0),IF(OR(G717="S",G717="20cm"),1,IF(OR(G717="M",G717="25cm"),2,IF(OR(G717="L",G717="30cm"),3,IF(OR(G717="XL",G717="35cm"),4,0))))),0)</f>
        <v>0.45</v>
      </c>
      <c r="J717" s="103">
        <f t="shared" si="1"/>
        <v>0</v>
      </c>
      <c r="K717" s="104" t="str">
        <f>IF(H717&lt;0,"ERROR",IF(H717=0,"",IF(H717&lt;CONFIG!$B$4,"CRÍTICO",IF(H717&lt;CONFIG!$B$5,"BAJO","OK"))))</f>
        <v/>
      </c>
    </row>
    <row r="718" ht="15.75" hidden="1" customHeight="1">
      <c r="A718" s="90" t="str">
        <f>IF(CLIENTES!A9="","",CLIENTES!A9)</f>
        <v/>
      </c>
      <c r="B718" s="90" t="s">
        <v>321</v>
      </c>
      <c r="C718" s="91" t="s">
        <v>326</v>
      </c>
      <c r="D718" s="109" t="s">
        <v>353</v>
      </c>
      <c r="E718" s="67" t="str">
        <f>COLORES!A22</f>
        <v/>
      </c>
      <c r="F718" s="67" t="str">
        <f>COLORES!B22</f>
        <v/>
      </c>
      <c r="G718" s="90" t="s">
        <v>377</v>
      </c>
      <c r="H718" s="100">
        <f>IFERROR(SUMIFS(MOVIMIENTOS_COMPLEMENTOS!$I$4:$I$803,MOVIMIENTOS_COMPLEMENTOS!$C$4:$C$803,A718,MOVIMIENTOS_COMPLEMENTOS!$D$4:$D$803,B718,MOVIMIENTOS_COMPLEMENTOS!$E$4:$E$803,C718,MOVIMIENTOS_COMPLEMENTOS!$G$4:$G$803,E718,MOVIMIENTOS_COMPLEMENTOS!$H$4:$H$803,G718,MOVIMIENTOS_COMPLEMENTOS!$B$4:$B$803,"INGRESO")+SUMIFS(MOVIMIENTOS_COMPLEMENTOS!$I$4:$I$803,MOVIMIENTOS_COMPLEMENTOS!$C$4:$C$803,A718,MOVIMIENTOS_COMPLEMENTOS!$D$4:$D$803,B718,MOVIMIENTOS_COMPLEMENTOS!$E$4:$E$803,C718,MOVIMIENTOS_COMPLEMENTOS!$G$4:$G$803,E718,MOVIMIENTOS_COMPLEMENTOS!$H$4:$H$803,G718,MOVIMIENTOS_COMPLEMENTOS!$B$4:$B$803,"DE CORTE")-SUMIFS(MOVIMIENTOS_COMPLEMENTOS!$I$4:$I$803,MOVIMIENTOS_COMPLEMENTOS!$C$4:$C$803,A718,MOVIMIENTOS_COMPLEMENTOS!$D$4:$D$803,B718,MOVIMIENTOS_COMPLEMENTOS!$E$4:$E$803,C718,MOVIMIENTOS_COMPLEMENTOS!$G$4:$G$803,E718,MOVIMIENTOS_COMPLEMENTOS!$H$4:$H$803,G718,MOVIMIENTOS_COMPLEMENTOS!$B$4:$B$803,"SALIDA"),0)</f>
        <v>0</v>
      </c>
      <c r="I718" s="102">
        <f t="array" ref="I718">IFERROR(INDEX(PRECIOS_COMPLEMENTOS!$C$4:$F$17,MATCH(B718&amp;"_"&amp;C718,PRECIOS_COMPLEMENTOS!$H$4:$H$17,0),IF(OR(G718="S",G718="20cm"),1,IF(OR(G718="M",G718="25cm"),2,IF(OR(G718="L",G718="30cm"),3,IF(OR(G718="XL",G718="35cm"),4,0))))),0)</f>
        <v>0.5</v>
      </c>
      <c r="J718" s="103">
        <f t="shared" si="1"/>
        <v>0</v>
      </c>
      <c r="K718" s="104" t="str">
        <f>IF(H718&lt;0,"ERROR",IF(H718=0,"",IF(H718&lt;CONFIG!$B$4,"CRÍTICO",IF(H718&lt;CONFIG!$B$5,"BAJO","OK"))))</f>
        <v/>
      </c>
    </row>
    <row r="719" ht="15.75" hidden="1" customHeight="1">
      <c r="A719" s="90" t="str">
        <f>IF(CLIENTES!A9="","",CLIENTES!A9)</f>
        <v/>
      </c>
      <c r="B719" s="90" t="s">
        <v>321</v>
      </c>
      <c r="C719" s="91" t="s">
        <v>326</v>
      </c>
      <c r="D719" s="109" t="s">
        <v>353</v>
      </c>
      <c r="E719" s="67" t="str">
        <f>COLORES!A22</f>
        <v/>
      </c>
      <c r="F719" s="67" t="str">
        <f>COLORES!B22</f>
        <v/>
      </c>
      <c r="G719" s="90" t="s">
        <v>379</v>
      </c>
      <c r="H719" s="100">
        <f>IFERROR(SUMIFS(MOVIMIENTOS_COMPLEMENTOS!$I$4:$I$803,MOVIMIENTOS_COMPLEMENTOS!$C$4:$C$803,A719,MOVIMIENTOS_COMPLEMENTOS!$D$4:$D$803,B719,MOVIMIENTOS_COMPLEMENTOS!$E$4:$E$803,C719,MOVIMIENTOS_COMPLEMENTOS!$G$4:$G$803,E719,MOVIMIENTOS_COMPLEMENTOS!$H$4:$H$803,G719,MOVIMIENTOS_COMPLEMENTOS!$B$4:$B$803,"INGRESO")+SUMIFS(MOVIMIENTOS_COMPLEMENTOS!$I$4:$I$803,MOVIMIENTOS_COMPLEMENTOS!$C$4:$C$803,A719,MOVIMIENTOS_COMPLEMENTOS!$D$4:$D$803,B719,MOVIMIENTOS_COMPLEMENTOS!$E$4:$E$803,C719,MOVIMIENTOS_COMPLEMENTOS!$G$4:$G$803,E719,MOVIMIENTOS_COMPLEMENTOS!$H$4:$H$803,G719,MOVIMIENTOS_COMPLEMENTOS!$B$4:$B$803,"DE CORTE")-SUMIFS(MOVIMIENTOS_COMPLEMENTOS!$I$4:$I$803,MOVIMIENTOS_COMPLEMENTOS!$C$4:$C$803,A719,MOVIMIENTOS_COMPLEMENTOS!$D$4:$D$803,B719,MOVIMIENTOS_COMPLEMENTOS!$E$4:$E$803,C719,MOVIMIENTOS_COMPLEMENTOS!$G$4:$G$803,E719,MOVIMIENTOS_COMPLEMENTOS!$H$4:$H$803,G719,MOVIMIENTOS_COMPLEMENTOS!$B$4:$B$803,"SALIDA"),0)</f>
        <v>0</v>
      </c>
      <c r="I719" s="102">
        <f t="array" ref="I719">IFERROR(INDEX(PRECIOS_COMPLEMENTOS!$C$4:$F$17,MATCH(B719&amp;"_"&amp;C719,PRECIOS_COMPLEMENTOS!$H$4:$H$17,0),IF(OR(G719="S",G719="20cm"),1,IF(OR(G719="M",G719="25cm"),2,IF(OR(G719="L",G719="30cm"),3,IF(OR(G719="XL",G719="35cm"),4,0))))),0)</f>
        <v>0.55</v>
      </c>
      <c r="J719" s="103">
        <f t="shared" si="1"/>
        <v>0</v>
      </c>
      <c r="K719" s="104" t="str">
        <f>IF(H719&lt;0,"ERROR",IF(H719=0,"",IF(H719&lt;CONFIG!$B$4,"CRÍTICO",IF(H719&lt;CONFIG!$B$5,"BAJO","OK"))))</f>
        <v/>
      </c>
    </row>
    <row r="720" ht="15.75" hidden="1" customHeight="1">
      <c r="A720" s="90" t="str">
        <f>IF(CLIENTES!A9="","",CLIENTES!A9)</f>
        <v/>
      </c>
      <c r="B720" s="90" t="s">
        <v>321</v>
      </c>
      <c r="C720" s="91" t="s">
        <v>326</v>
      </c>
      <c r="D720" s="109" t="s">
        <v>353</v>
      </c>
      <c r="E720" s="67" t="str">
        <f>COLORES!A23</f>
        <v/>
      </c>
      <c r="F720" s="67" t="str">
        <f>COLORES!B23</f>
        <v/>
      </c>
      <c r="G720" s="90" t="s">
        <v>378</v>
      </c>
      <c r="H720" s="100">
        <f>IFERROR(SUMIFS(MOVIMIENTOS_COMPLEMENTOS!$I$4:$I$803,MOVIMIENTOS_COMPLEMENTOS!$C$4:$C$803,A720,MOVIMIENTOS_COMPLEMENTOS!$D$4:$D$803,B720,MOVIMIENTOS_COMPLEMENTOS!$E$4:$E$803,C720,MOVIMIENTOS_COMPLEMENTOS!$G$4:$G$803,E720,MOVIMIENTOS_COMPLEMENTOS!$H$4:$H$803,G720,MOVIMIENTOS_COMPLEMENTOS!$B$4:$B$803,"INGRESO")+SUMIFS(MOVIMIENTOS_COMPLEMENTOS!$I$4:$I$803,MOVIMIENTOS_COMPLEMENTOS!$C$4:$C$803,A720,MOVIMIENTOS_COMPLEMENTOS!$D$4:$D$803,B720,MOVIMIENTOS_COMPLEMENTOS!$E$4:$E$803,C720,MOVIMIENTOS_COMPLEMENTOS!$G$4:$G$803,E720,MOVIMIENTOS_COMPLEMENTOS!$H$4:$H$803,G720,MOVIMIENTOS_COMPLEMENTOS!$B$4:$B$803,"DE CORTE")-SUMIFS(MOVIMIENTOS_COMPLEMENTOS!$I$4:$I$803,MOVIMIENTOS_COMPLEMENTOS!$C$4:$C$803,A720,MOVIMIENTOS_COMPLEMENTOS!$D$4:$D$803,B720,MOVIMIENTOS_COMPLEMENTOS!$E$4:$E$803,C720,MOVIMIENTOS_COMPLEMENTOS!$G$4:$G$803,E720,MOVIMIENTOS_COMPLEMENTOS!$H$4:$H$803,G720,MOVIMIENTOS_COMPLEMENTOS!$B$4:$B$803,"SALIDA"),0)</f>
        <v>0</v>
      </c>
      <c r="I720" s="102">
        <f t="array" ref="I720">IFERROR(INDEX(PRECIOS_COMPLEMENTOS!$C$4:$F$17,MATCH(B720&amp;"_"&amp;C720,PRECIOS_COMPLEMENTOS!$H$4:$H$17,0),IF(OR(G720="S",G720="20cm"),1,IF(OR(G720="M",G720="25cm"),2,IF(OR(G720="L",G720="30cm"),3,IF(OR(G720="XL",G720="35cm"),4,0))))),0)</f>
        <v>0.4</v>
      </c>
      <c r="J720" s="103">
        <f t="shared" si="1"/>
        <v>0</v>
      </c>
      <c r="K720" s="104" t="str">
        <f>IF(H720&lt;0,"ERROR",IF(H720=0,"",IF(H720&lt;CONFIG!$B$4,"CRÍTICO",IF(H720&lt;CONFIG!$B$5,"BAJO","OK"))))</f>
        <v/>
      </c>
    </row>
    <row r="721" ht="15.75" hidden="1" customHeight="1">
      <c r="A721" s="90" t="str">
        <f>IF(CLIENTES!A9="","",CLIENTES!A9)</f>
        <v/>
      </c>
      <c r="B721" s="90" t="s">
        <v>321</v>
      </c>
      <c r="C721" s="91" t="s">
        <v>326</v>
      </c>
      <c r="D721" s="109" t="s">
        <v>353</v>
      </c>
      <c r="E721" s="67" t="str">
        <f>COLORES!A23</f>
        <v/>
      </c>
      <c r="F721" s="67" t="str">
        <f>COLORES!B23</f>
        <v/>
      </c>
      <c r="G721" s="90" t="s">
        <v>376</v>
      </c>
      <c r="H721" s="100">
        <f>IFERROR(SUMIFS(MOVIMIENTOS_COMPLEMENTOS!$I$4:$I$803,MOVIMIENTOS_COMPLEMENTOS!$C$4:$C$803,A721,MOVIMIENTOS_COMPLEMENTOS!$D$4:$D$803,B721,MOVIMIENTOS_COMPLEMENTOS!$E$4:$E$803,C721,MOVIMIENTOS_COMPLEMENTOS!$G$4:$G$803,E721,MOVIMIENTOS_COMPLEMENTOS!$H$4:$H$803,G721,MOVIMIENTOS_COMPLEMENTOS!$B$4:$B$803,"INGRESO")+SUMIFS(MOVIMIENTOS_COMPLEMENTOS!$I$4:$I$803,MOVIMIENTOS_COMPLEMENTOS!$C$4:$C$803,A721,MOVIMIENTOS_COMPLEMENTOS!$D$4:$D$803,B721,MOVIMIENTOS_COMPLEMENTOS!$E$4:$E$803,C721,MOVIMIENTOS_COMPLEMENTOS!$G$4:$G$803,E721,MOVIMIENTOS_COMPLEMENTOS!$H$4:$H$803,G721,MOVIMIENTOS_COMPLEMENTOS!$B$4:$B$803,"DE CORTE")-SUMIFS(MOVIMIENTOS_COMPLEMENTOS!$I$4:$I$803,MOVIMIENTOS_COMPLEMENTOS!$C$4:$C$803,A721,MOVIMIENTOS_COMPLEMENTOS!$D$4:$D$803,B721,MOVIMIENTOS_COMPLEMENTOS!$E$4:$E$803,C721,MOVIMIENTOS_COMPLEMENTOS!$G$4:$G$803,E721,MOVIMIENTOS_COMPLEMENTOS!$H$4:$H$803,G721,MOVIMIENTOS_COMPLEMENTOS!$B$4:$B$803,"SALIDA"),0)</f>
        <v>0</v>
      </c>
      <c r="I721" s="102">
        <f t="array" ref="I721">IFERROR(INDEX(PRECIOS_COMPLEMENTOS!$C$4:$F$17,MATCH(B721&amp;"_"&amp;C721,PRECIOS_COMPLEMENTOS!$H$4:$H$17,0),IF(OR(G721="S",G721="20cm"),1,IF(OR(G721="M",G721="25cm"),2,IF(OR(G721="L",G721="30cm"),3,IF(OR(G721="XL",G721="35cm"),4,0))))),0)</f>
        <v>0.45</v>
      </c>
      <c r="J721" s="103">
        <f t="shared" si="1"/>
        <v>0</v>
      </c>
      <c r="K721" s="104" t="str">
        <f>IF(H721&lt;0,"ERROR",IF(H721=0,"",IF(H721&lt;CONFIG!$B$4,"CRÍTICO",IF(H721&lt;CONFIG!$B$5,"BAJO","OK"))))</f>
        <v/>
      </c>
    </row>
    <row r="722" ht="15.75" hidden="1" customHeight="1">
      <c r="A722" s="90" t="str">
        <f>IF(CLIENTES!A9="","",CLIENTES!A9)</f>
        <v/>
      </c>
      <c r="B722" s="90" t="s">
        <v>321</v>
      </c>
      <c r="C722" s="91" t="s">
        <v>326</v>
      </c>
      <c r="D722" s="109" t="s">
        <v>353</v>
      </c>
      <c r="E722" s="67" t="str">
        <f>COLORES!A23</f>
        <v/>
      </c>
      <c r="F722" s="67" t="str">
        <f>COLORES!B23</f>
        <v/>
      </c>
      <c r="G722" s="90" t="s">
        <v>377</v>
      </c>
      <c r="H722" s="100">
        <f>IFERROR(SUMIFS(MOVIMIENTOS_COMPLEMENTOS!$I$4:$I$803,MOVIMIENTOS_COMPLEMENTOS!$C$4:$C$803,A722,MOVIMIENTOS_COMPLEMENTOS!$D$4:$D$803,B722,MOVIMIENTOS_COMPLEMENTOS!$E$4:$E$803,C722,MOVIMIENTOS_COMPLEMENTOS!$G$4:$G$803,E722,MOVIMIENTOS_COMPLEMENTOS!$H$4:$H$803,G722,MOVIMIENTOS_COMPLEMENTOS!$B$4:$B$803,"INGRESO")+SUMIFS(MOVIMIENTOS_COMPLEMENTOS!$I$4:$I$803,MOVIMIENTOS_COMPLEMENTOS!$C$4:$C$803,A722,MOVIMIENTOS_COMPLEMENTOS!$D$4:$D$803,B722,MOVIMIENTOS_COMPLEMENTOS!$E$4:$E$803,C722,MOVIMIENTOS_COMPLEMENTOS!$G$4:$G$803,E722,MOVIMIENTOS_COMPLEMENTOS!$H$4:$H$803,G722,MOVIMIENTOS_COMPLEMENTOS!$B$4:$B$803,"DE CORTE")-SUMIFS(MOVIMIENTOS_COMPLEMENTOS!$I$4:$I$803,MOVIMIENTOS_COMPLEMENTOS!$C$4:$C$803,A722,MOVIMIENTOS_COMPLEMENTOS!$D$4:$D$803,B722,MOVIMIENTOS_COMPLEMENTOS!$E$4:$E$803,C722,MOVIMIENTOS_COMPLEMENTOS!$G$4:$G$803,E722,MOVIMIENTOS_COMPLEMENTOS!$H$4:$H$803,G722,MOVIMIENTOS_COMPLEMENTOS!$B$4:$B$803,"SALIDA"),0)</f>
        <v>0</v>
      </c>
      <c r="I722" s="102">
        <f t="array" ref="I722">IFERROR(INDEX(PRECIOS_COMPLEMENTOS!$C$4:$F$17,MATCH(B722&amp;"_"&amp;C722,PRECIOS_COMPLEMENTOS!$H$4:$H$17,0),IF(OR(G722="S",G722="20cm"),1,IF(OR(G722="M",G722="25cm"),2,IF(OR(G722="L",G722="30cm"),3,IF(OR(G722="XL",G722="35cm"),4,0))))),0)</f>
        <v>0.5</v>
      </c>
      <c r="J722" s="103">
        <f t="shared" si="1"/>
        <v>0</v>
      </c>
      <c r="K722" s="104" t="str">
        <f>IF(H722&lt;0,"ERROR",IF(H722=0,"",IF(H722&lt;CONFIG!$B$4,"CRÍTICO",IF(H722&lt;CONFIG!$B$5,"BAJO","OK"))))</f>
        <v/>
      </c>
    </row>
    <row r="723" ht="15.75" hidden="1" customHeight="1">
      <c r="A723" s="90" t="str">
        <f>IF(CLIENTES!A9="","",CLIENTES!A9)</f>
        <v/>
      </c>
      <c r="B723" s="90" t="s">
        <v>321</v>
      </c>
      <c r="C723" s="91" t="s">
        <v>326</v>
      </c>
      <c r="D723" s="109" t="s">
        <v>353</v>
      </c>
      <c r="E723" s="67" t="str">
        <f>COLORES!A23</f>
        <v/>
      </c>
      <c r="F723" s="67" t="str">
        <f>COLORES!B23</f>
        <v/>
      </c>
      <c r="G723" s="90" t="s">
        <v>379</v>
      </c>
      <c r="H723" s="100">
        <f>IFERROR(SUMIFS(MOVIMIENTOS_COMPLEMENTOS!$I$4:$I$803,MOVIMIENTOS_COMPLEMENTOS!$C$4:$C$803,A723,MOVIMIENTOS_COMPLEMENTOS!$D$4:$D$803,B723,MOVIMIENTOS_COMPLEMENTOS!$E$4:$E$803,C723,MOVIMIENTOS_COMPLEMENTOS!$G$4:$G$803,E723,MOVIMIENTOS_COMPLEMENTOS!$H$4:$H$803,G723,MOVIMIENTOS_COMPLEMENTOS!$B$4:$B$803,"INGRESO")+SUMIFS(MOVIMIENTOS_COMPLEMENTOS!$I$4:$I$803,MOVIMIENTOS_COMPLEMENTOS!$C$4:$C$803,A723,MOVIMIENTOS_COMPLEMENTOS!$D$4:$D$803,B723,MOVIMIENTOS_COMPLEMENTOS!$E$4:$E$803,C723,MOVIMIENTOS_COMPLEMENTOS!$G$4:$G$803,E723,MOVIMIENTOS_COMPLEMENTOS!$H$4:$H$803,G723,MOVIMIENTOS_COMPLEMENTOS!$B$4:$B$803,"DE CORTE")-SUMIFS(MOVIMIENTOS_COMPLEMENTOS!$I$4:$I$803,MOVIMIENTOS_COMPLEMENTOS!$C$4:$C$803,A723,MOVIMIENTOS_COMPLEMENTOS!$D$4:$D$803,B723,MOVIMIENTOS_COMPLEMENTOS!$E$4:$E$803,C723,MOVIMIENTOS_COMPLEMENTOS!$G$4:$G$803,E723,MOVIMIENTOS_COMPLEMENTOS!$H$4:$H$803,G723,MOVIMIENTOS_COMPLEMENTOS!$B$4:$B$803,"SALIDA"),0)</f>
        <v>0</v>
      </c>
      <c r="I723" s="102">
        <f t="array" ref="I723">IFERROR(INDEX(PRECIOS_COMPLEMENTOS!$C$4:$F$17,MATCH(B723&amp;"_"&amp;C723,PRECIOS_COMPLEMENTOS!$H$4:$H$17,0),IF(OR(G723="S",G723="20cm"),1,IF(OR(G723="M",G723="25cm"),2,IF(OR(G723="L",G723="30cm"),3,IF(OR(G723="XL",G723="35cm"),4,0))))),0)</f>
        <v>0.55</v>
      </c>
      <c r="J723" s="103">
        <f t="shared" si="1"/>
        <v>0</v>
      </c>
      <c r="K723" s="104" t="str">
        <f>IF(H723&lt;0,"ERROR",IF(H723=0,"",IF(H723&lt;CONFIG!$B$4,"CRÍTICO",IF(H723&lt;CONFIG!$B$5,"BAJO","OK"))))</f>
        <v/>
      </c>
    </row>
    <row r="724" ht="15.75" hidden="1" customHeight="1">
      <c r="A724" s="90" t="str">
        <f>IF(CLIENTES!A4="","",CLIENTES!A4)</f>
        <v>OverShark</v>
      </c>
      <c r="B724" s="90" t="s">
        <v>321</v>
      </c>
      <c r="C724" s="91" t="s">
        <v>328</v>
      </c>
      <c r="D724" s="109" t="s">
        <v>353</v>
      </c>
      <c r="E724" s="67" t="str">
        <f>COLORES!A4</f>
        <v>Negro</v>
      </c>
      <c r="F724" s="67" t="str">
        <f>COLORES!B4</f>
        <v>OSCURO</v>
      </c>
      <c r="G724" s="90" t="s">
        <v>378</v>
      </c>
      <c r="H724" s="100">
        <f>IFERROR(SUMIFS(MOVIMIENTOS_COMPLEMENTOS!$I$4:$I$803,MOVIMIENTOS_COMPLEMENTOS!$C$4:$C$803,A724,MOVIMIENTOS_COMPLEMENTOS!$D$4:$D$803,B724,MOVIMIENTOS_COMPLEMENTOS!$E$4:$E$803,C724,MOVIMIENTOS_COMPLEMENTOS!$G$4:$G$803,E724,MOVIMIENTOS_COMPLEMENTOS!$H$4:$H$803,G724,MOVIMIENTOS_COMPLEMENTOS!$B$4:$B$803,"INGRESO")+SUMIFS(MOVIMIENTOS_COMPLEMENTOS!$I$4:$I$803,MOVIMIENTOS_COMPLEMENTOS!$C$4:$C$803,A724,MOVIMIENTOS_COMPLEMENTOS!$D$4:$D$803,B724,MOVIMIENTOS_COMPLEMENTOS!$E$4:$E$803,C724,MOVIMIENTOS_COMPLEMENTOS!$G$4:$G$803,E724,MOVIMIENTOS_COMPLEMENTOS!$H$4:$H$803,G724,MOVIMIENTOS_COMPLEMENTOS!$B$4:$B$803,"DE CORTE")-SUMIFS(MOVIMIENTOS_COMPLEMENTOS!$I$4:$I$803,MOVIMIENTOS_COMPLEMENTOS!$C$4:$C$803,A724,MOVIMIENTOS_COMPLEMENTOS!$D$4:$D$803,B724,MOVIMIENTOS_COMPLEMENTOS!$E$4:$E$803,C724,MOVIMIENTOS_COMPLEMENTOS!$G$4:$G$803,E724,MOVIMIENTOS_COMPLEMENTOS!$H$4:$H$803,G724,MOVIMIENTOS_COMPLEMENTOS!$B$4:$B$803,"SALIDA"),0)</f>
        <v>0</v>
      </c>
      <c r="I724" s="102">
        <f t="array" ref="I724">IFERROR(INDEX(PRECIOS_COMPLEMENTOS!$C$4:$F$17,MATCH(B724&amp;"_"&amp;C724,PRECIOS_COMPLEMENTOS!$H$4:$H$17,0),IF(OR(G724="S",G724="20cm"),1,IF(OR(G724="M",G724="25cm"),2,IF(OR(G724="L",G724="30cm"),3,IF(OR(G724="XL",G724="35cm"),4,0))))),0)</f>
        <v>0.4</v>
      </c>
      <c r="J724" s="103">
        <f t="shared" si="1"/>
        <v>0</v>
      </c>
      <c r="K724" s="104" t="str">
        <f>IF(H724&lt;0,"ERROR",IF(H724=0,"",IF(H724&lt;CONFIG!$B$4,"CRÍTICO",IF(H724&lt;CONFIG!$B$5,"BAJO","OK"))))</f>
        <v/>
      </c>
    </row>
    <row r="725" ht="15.75" hidden="1" customHeight="1">
      <c r="A725" s="90" t="str">
        <f>IF(CLIENTES!A4="","",CLIENTES!A4)</f>
        <v>OverShark</v>
      </c>
      <c r="B725" s="90" t="s">
        <v>321</v>
      </c>
      <c r="C725" s="91" t="s">
        <v>328</v>
      </c>
      <c r="D725" s="109" t="s">
        <v>353</v>
      </c>
      <c r="E725" s="67" t="str">
        <f>COLORES!A4</f>
        <v>Negro</v>
      </c>
      <c r="F725" s="67" t="str">
        <f>COLORES!B4</f>
        <v>OSCURO</v>
      </c>
      <c r="G725" s="90" t="s">
        <v>376</v>
      </c>
      <c r="H725" s="100">
        <f>IFERROR(SUMIFS(MOVIMIENTOS_COMPLEMENTOS!$I$4:$I$803,MOVIMIENTOS_COMPLEMENTOS!$C$4:$C$803,A725,MOVIMIENTOS_COMPLEMENTOS!$D$4:$D$803,B725,MOVIMIENTOS_COMPLEMENTOS!$E$4:$E$803,C725,MOVIMIENTOS_COMPLEMENTOS!$G$4:$G$803,E725,MOVIMIENTOS_COMPLEMENTOS!$H$4:$H$803,G725,MOVIMIENTOS_COMPLEMENTOS!$B$4:$B$803,"INGRESO")+SUMIFS(MOVIMIENTOS_COMPLEMENTOS!$I$4:$I$803,MOVIMIENTOS_COMPLEMENTOS!$C$4:$C$803,A725,MOVIMIENTOS_COMPLEMENTOS!$D$4:$D$803,B725,MOVIMIENTOS_COMPLEMENTOS!$E$4:$E$803,C725,MOVIMIENTOS_COMPLEMENTOS!$G$4:$G$803,E725,MOVIMIENTOS_COMPLEMENTOS!$H$4:$H$803,G725,MOVIMIENTOS_COMPLEMENTOS!$B$4:$B$803,"DE CORTE")-SUMIFS(MOVIMIENTOS_COMPLEMENTOS!$I$4:$I$803,MOVIMIENTOS_COMPLEMENTOS!$C$4:$C$803,A725,MOVIMIENTOS_COMPLEMENTOS!$D$4:$D$803,B725,MOVIMIENTOS_COMPLEMENTOS!$E$4:$E$803,C725,MOVIMIENTOS_COMPLEMENTOS!$G$4:$G$803,E725,MOVIMIENTOS_COMPLEMENTOS!$H$4:$H$803,G725,MOVIMIENTOS_COMPLEMENTOS!$B$4:$B$803,"SALIDA"),0)</f>
        <v>0</v>
      </c>
      <c r="I725" s="102">
        <f t="array" ref="I725">IFERROR(INDEX(PRECIOS_COMPLEMENTOS!$C$4:$F$17,MATCH(B725&amp;"_"&amp;C725,PRECIOS_COMPLEMENTOS!$H$4:$H$17,0),IF(OR(G725="S",G725="20cm"),1,IF(OR(G725="M",G725="25cm"),2,IF(OR(G725="L",G725="30cm"),3,IF(OR(G725="XL",G725="35cm"),4,0))))),0)</f>
        <v>0.4</v>
      </c>
      <c r="J725" s="103">
        <f t="shared" si="1"/>
        <v>0</v>
      </c>
      <c r="K725" s="104" t="str">
        <f>IF(H725&lt;0,"ERROR",IF(H725=0,"",IF(H725&lt;CONFIG!$B$4,"CRÍTICO",IF(H725&lt;CONFIG!$B$5,"BAJO","OK"))))</f>
        <v/>
      </c>
    </row>
    <row r="726" ht="15.75" hidden="1" customHeight="1">
      <c r="A726" s="90" t="str">
        <f>IF(CLIENTES!A4="","",CLIENTES!A4)</f>
        <v>OverShark</v>
      </c>
      <c r="B726" s="90" t="s">
        <v>321</v>
      </c>
      <c r="C726" s="91" t="s">
        <v>328</v>
      </c>
      <c r="D726" s="109" t="s">
        <v>353</v>
      </c>
      <c r="E726" s="67" t="str">
        <f>COLORES!A4</f>
        <v>Negro</v>
      </c>
      <c r="F726" s="67" t="str">
        <f>COLORES!B4</f>
        <v>OSCURO</v>
      </c>
      <c r="G726" s="90" t="s">
        <v>377</v>
      </c>
      <c r="H726" s="100">
        <f>IFERROR(SUMIFS(MOVIMIENTOS_COMPLEMENTOS!$I$4:$I$803,MOVIMIENTOS_COMPLEMENTOS!$C$4:$C$803,A726,MOVIMIENTOS_COMPLEMENTOS!$D$4:$D$803,B726,MOVIMIENTOS_COMPLEMENTOS!$E$4:$E$803,C726,MOVIMIENTOS_COMPLEMENTOS!$G$4:$G$803,E726,MOVIMIENTOS_COMPLEMENTOS!$H$4:$H$803,G726,MOVIMIENTOS_COMPLEMENTOS!$B$4:$B$803,"INGRESO")+SUMIFS(MOVIMIENTOS_COMPLEMENTOS!$I$4:$I$803,MOVIMIENTOS_COMPLEMENTOS!$C$4:$C$803,A726,MOVIMIENTOS_COMPLEMENTOS!$D$4:$D$803,B726,MOVIMIENTOS_COMPLEMENTOS!$E$4:$E$803,C726,MOVIMIENTOS_COMPLEMENTOS!$G$4:$G$803,E726,MOVIMIENTOS_COMPLEMENTOS!$H$4:$H$803,G726,MOVIMIENTOS_COMPLEMENTOS!$B$4:$B$803,"DE CORTE")-SUMIFS(MOVIMIENTOS_COMPLEMENTOS!$I$4:$I$803,MOVIMIENTOS_COMPLEMENTOS!$C$4:$C$803,A726,MOVIMIENTOS_COMPLEMENTOS!$D$4:$D$803,B726,MOVIMIENTOS_COMPLEMENTOS!$E$4:$E$803,C726,MOVIMIENTOS_COMPLEMENTOS!$G$4:$G$803,E726,MOVIMIENTOS_COMPLEMENTOS!$H$4:$H$803,G726,MOVIMIENTOS_COMPLEMENTOS!$B$4:$B$803,"SALIDA"),0)</f>
        <v>0</v>
      </c>
      <c r="I726" s="102">
        <f t="array" ref="I726">IFERROR(INDEX(PRECIOS_COMPLEMENTOS!$C$4:$F$17,MATCH(B726&amp;"_"&amp;C726,PRECIOS_COMPLEMENTOS!$H$4:$H$17,0),IF(OR(G726="S",G726="20cm"),1,IF(OR(G726="M",G726="25cm"),2,IF(OR(G726="L",G726="30cm"),3,IF(OR(G726="XL",G726="35cm"),4,0))))),0)</f>
        <v>0.4</v>
      </c>
      <c r="J726" s="103">
        <f t="shared" si="1"/>
        <v>0</v>
      </c>
      <c r="K726" s="104" t="str">
        <f>IF(H726&lt;0,"ERROR",IF(H726=0,"",IF(H726&lt;CONFIG!$B$4,"CRÍTICO",IF(H726&lt;CONFIG!$B$5,"BAJO","OK"))))</f>
        <v/>
      </c>
    </row>
    <row r="727" ht="15.75" hidden="1" customHeight="1">
      <c r="A727" s="90" t="str">
        <f>IF(CLIENTES!A4="","",CLIENTES!A4)</f>
        <v>OverShark</v>
      </c>
      <c r="B727" s="90" t="s">
        <v>321</v>
      </c>
      <c r="C727" s="91" t="s">
        <v>328</v>
      </c>
      <c r="D727" s="109" t="s">
        <v>353</v>
      </c>
      <c r="E727" s="67" t="str">
        <f>COLORES!A4</f>
        <v>Negro</v>
      </c>
      <c r="F727" s="67" t="str">
        <f>COLORES!B4</f>
        <v>OSCURO</v>
      </c>
      <c r="G727" s="90" t="s">
        <v>379</v>
      </c>
      <c r="H727" s="100">
        <f>IFERROR(SUMIFS(MOVIMIENTOS_COMPLEMENTOS!$I$4:$I$803,MOVIMIENTOS_COMPLEMENTOS!$C$4:$C$803,A727,MOVIMIENTOS_COMPLEMENTOS!$D$4:$D$803,B727,MOVIMIENTOS_COMPLEMENTOS!$E$4:$E$803,C727,MOVIMIENTOS_COMPLEMENTOS!$G$4:$G$803,E727,MOVIMIENTOS_COMPLEMENTOS!$H$4:$H$803,G727,MOVIMIENTOS_COMPLEMENTOS!$B$4:$B$803,"INGRESO")+SUMIFS(MOVIMIENTOS_COMPLEMENTOS!$I$4:$I$803,MOVIMIENTOS_COMPLEMENTOS!$C$4:$C$803,A727,MOVIMIENTOS_COMPLEMENTOS!$D$4:$D$803,B727,MOVIMIENTOS_COMPLEMENTOS!$E$4:$E$803,C727,MOVIMIENTOS_COMPLEMENTOS!$G$4:$G$803,E727,MOVIMIENTOS_COMPLEMENTOS!$H$4:$H$803,G727,MOVIMIENTOS_COMPLEMENTOS!$B$4:$B$803,"DE CORTE")-SUMIFS(MOVIMIENTOS_COMPLEMENTOS!$I$4:$I$803,MOVIMIENTOS_COMPLEMENTOS!$C$4:$C$803,A727,MOVIMIENTOS_COMPLEMENTOS!$D$4:$D$803,B727,MOVIMIENTOS_COMPLEMENTOS!$E$4:$E$803,C727,MOVIMIENTOS_COMPLEMENTOS!$G$4:$G$803,E727,MOVIMIENTOS_COMPLEMENTOS!$H$4:$H$803,G727,MOVIMIENTOS_COMPLEMENTOS!$B$4:$B$803,"SALIDA"),0)</f>
        <v>0</v>
      </c>
      <c r="I727" s="102">
        <f t="array" ref="I727">IFERROR(INDEX(PRECIOS_COMPLEMENTOS!$C$4:$F$17,MATCH(B727&amp;"_"&amp;C727,PRECIOS_COMPLEMENTOS!$H$4:$H$17,0),IF(OR(G727="S",G727="20cm"),1,IF(OR(G727="M",G727="25cm"),2,IF(OR(G727="L",G727="30cm"),3,IF(OR(G727="XL",G727="35cm"),4,0))))),0)</f>
        <v>0.4</v>
      </c>
      <c r="J727" s="103">
        <f t="shared" si="1"/>
        <v>0</v>
      </c>
      <c r="K727" s="104" t="str">
        <f>IF(H727&lt;0,"ERROR",IF(H727=0,"",IF(H727&lt;CONFIG!$B$4,"CRÍTICO",IF(H727&lt;CONFIG!$B$5,"BAJO","OK"))))</f>
        <v/>
      </c>
    </row>
    <row r="728" ht="15.75" hidden="1" customHeight="1">
      <c r="A728" s="90" t="str">
        <f>IF(CLIENTES!A4="","",CLIENTES!A4)</f>
        <v>OverShark</v>
      </c>
      <c r="B728" s="90" t="s">
        <v>321</v>
      </c>
      <c r="C728" s="91" t="s">
        <v>328</v>
      </c>
      <c r="D728" s="109" t="s">
        <v>353</v>
      </c>
      <c r="E728" s="67" t="str">
        <f>COLORES!A5</f>
        <v>Perla</v>
      </c>
      <c r="F728" s="67" t="str">
        <f>COLORES!B5</f>
        <v>PPT</v>
      </c>
      <c r="G728" s="90" t="s">
        <v>378</v>
      </c>
      <c r="H728" s="100">
        <f>IFERROR(SUMIFS(MOVIMIENTOS_COMPLEMENTOS!$I$4:$I$803,MOVIMIENTOS_COMPLEMENTOS!$C$4:$C$803,A728,MOVIMIENTOS_COMPLEMENTOS!$D$4:$D$803,B728,MOVIMIENTOS_COMPLEMENTOS!$E$4:$E$803,C728,MOVIMIENTOS_COMPLEMENTOS!$G$4:$G$803,E728,MOVIMIENTOS_COMPLEMENTOS!$H$4:$H$803,G728,MOVIMIENTOS_COMPLEMENTOS!$B$4:$B$803,"INGRESO")+SUMIFS(MOVIMIENTOS_COMPLEMENTOS!$I$4:$I$803,MOVIMIENTOS_COMPLEMENTOS!$C$4:$C$803,A728,MOVIMIENTOS_COMPLEMENTOS!$D$4:$D$803,B728,MOVIMIENTOS_COMPLEMENTOS!$E$4:$E$803,C728,MOVIMIENTOS_COMPLEMENTOS!$G$4:$G$803,E728,MOVIMIENTOS_COMPLEMENTOS!$H$4:$H$803,G728,MOVIMIENTOS_COMPLEMENTOS!$B$4:$B$803,"DE CORTE")-SUMIFS(MOVIMIENTOS_COMPLEMENTOS!$I$4:$I$803,MOVIMIENTOS_COMPLEMENTOS!$C$4:$C$803,A728,MOVIMIENTOS_COMPLEMENTOS!$D$4:$D$803,B728,MOVIMIENTOS_COMPLEMENTOS!$E$4:$E$803,C728,MOVIMIENTOS_COMPLEMENTOS!$G$4:$G$803,E728,MOVIMIENTOS_COMPLEMENTOS!$H$4:$H$803,G728,MOVIMIENTOS_COMPLEMENTOS!$B$4:$B$803,"SALIDA"),0)</f>
        <v>0</v>
      </c>
      <c r="I728" s="102">
        <f t="array" ref="I728">IFERROR(INDEX(PRECIOS_COMPLEMENTOS!$C$4:$F$17,MATCH(B728&amp;"_"&amp;C728,PRECIOS_COMPLEMENTOS!$H$4:$H$17,0),IF(OR(G728="S",G728="20cm"),1,IF(OR(G728="M",G728="25cm"),2,IF(OR(G728="L",G728="30cm"),3,IF(OR(G728="XL",G728="35cm"),4,0))))),0)</f>
        <v>0.4</v>
      </c>
      <c r="J728" s="103">
        <f t="shared" si="1"/>
        <v>0</v>
      </c>
      <c r="K728" s="104" t="str">
        <f>IF(H728&lt;0,"ERROR",IF(H728=0,"",IF(H728&lt;CONFIG!$B$4,"CRÍTICO",IF(H728&lt;CONFIG!$B$5,"BAJO","OK"))))</f>
        <v/>
      </c>
    </row>
    <row r="729" ht="15.75" hidden="1" customHeight="1">
      <c r="A729" s="90" t="str">
        <f>IF(CLIENTES!A4="","",CLIENTES!A4)</f>
        <v>OverShark</v>
      </c>
      <c r="B729" s="90" t="s">
        <v>321</v>
      </c>
      <c r="C729" s="91" t="s">
        <v>328</v>
      </c>
      <c r="D729" s="109" t="s">
        <v>353</v>
      </c>
      <c r="E729" s="67" t="str">
        <f>COLORES!A5</f>
        <v>Perla</v>
      </c>
      <c r="F729" s="67" t="str">
        <f>COLORES!B5</f>
        <v>PPT</v>
      </c>
      <c r="G729" s="90" t="s">
        <v>376</v>
      </c>
      <c r="H729" s="100">
        <f>IFERROR(SUMIFS(MOVIMIENTOS_COMPLEMENTOS!$I$4:$I$803,MOVIMIENTOS_COMPLEMENTOS!$C$4:$C$803,A729,MOVIMIENTOS_COMPLEMENTOS!$D$4:$D$803,B729,MOVIMIENTOS_COMPLEMENTOS!$E$4:$E$803,C729,MOVIMIENTOS_COMPLEMENTOS!$G$4:$G$803,E729,MOVIMIENTOS_COMPLEMENTOS!$H$4:$H$803,G729,MOVIMIENTOS_COMPLEMENTOS!$B$4:$B$803,"INGRESO")+SUMIFS(MOVIMIENTOS_COMPLEMENTOS!$I$4:$I$803,MOVIMIENTOS_COMPLEMENTOS!$C$4:$C$803,A729,MOVIMIENTOS_COMPLEMENTOS!$D$4:$D$803,B729,MOVIMIENTOS_COMPLEMENTOS!$E$4:$E$803,C729,MOVIMIENTOS_COMPLEMENTOS!$G$4:$G$803,E729,MOVIMIENTOS_COMPLEMENTOS!$H$4:$H$803,G729,MOVIMIENTOS_COMPLEMENTOS!$B$4:$B$803,"DE CORTE")-SUMIFS(MOVIMIENTOS_COMPLEMENTOS!$I$4:$I$803,MOVIMIENTOS_COMPLEMENTOS!$C$4:$C$803,A729,MOVIMIENTOS_COMPLEMENTOS!$D$4:$D$803,B729,MOVIMIENTOS_COMPLEMENTOS!$E$4:$E$803,C729,MOVIMIENTOS_COMPLEMENTOS!$G$4:$G$803,E729,MOVIMIENTOS_COMPLEMENTOS!$H$4:$H$803,G729,MOVIMIENTOS_COMPLEMENTOS!$B$4:$B$803,"SALIDA"),0)</f>
        <v>0</v>
      </c>
      <c r="I729" s="102">
        <f t="array" ref="I729">IFERROR(INDEX(PRECIOS_COMPLEMENTOS!$C$4:$F$17,MATCH(B729&amp;"_"&amp;C729,PRECIOS_COMPLEMENTOS!$H$4:$H$17,0),IF(OR(G729="S",G729="20cm"),1,IF(OR(G729="M",G729="25cm"),2,IF(OR(G729="L",G729="30cm"),3,IF(OR(G729="XL",G729="35cm"),4,0))))),0)</f>
        <v>0.4</v>
      </c>
      <c r="J729" s="103">
        <f t="shared" si="1"/>
        <v>0</v>
      </c>
      <c r="K729" s="104" t="str">
        <f>IF(H729&lt;0,"ERROR",IF(H729=0,"",IF(H729&lt;CONFIG!$B$4,"CRÍTICO",IF(H729&lt;CONFIG!$B$5,"BAJO","OK"))))</f>
        <v/>
      </c>
    </row>
    <row r="730" ht="15.75" hidden="1" customHeight="1">
      <c r="A730" s="90" t="str">
        <f>IF(CLIENTES!A4="","",CLIENTES!A4)</f>
        <v>OverShark</v>
      </c>
      <c r="B730" s="90" t="s">
        <v>321</v>
      </c>
      <c r="C730" s="91" t="s">
        <v>328</v>
      </c>
      <c r="D730" s="109" t="s">
        <v>353</v>
      </c>
      <c r="E730" s="67" t="str">
        <f>COLORES!A5</f>
        <v>Perla</v>
      </c>
      <c r="F730" s="67" t="str">
        <f>COLORES!B5</f>
        <v>PPT</v>
      </c>
      <c r="G730" s="90" t="s">
        <v>377</v>
      </c>
      <c r="H730" s="100">
        <f>IFERROR(SUMIFS(MOVIMIENTOS_COMPLEMENTOS!$I$4:$I$803,MOVIMIENTOS_COMPLEMENTOS!$C$4:$C$803,A730,MOVIMIENTOS_COMPLEMENTOS!$D$4:$D$803,B730,MOVIMIENTOS_COMPLEMENTOS!$E$4:$E$803,C730,MOVIMIENTOS_COMPLEMENTOS!$G$4:$G$803,E730,MOVIMIENTOS_COMPLEMENTOS!$H$4:$H$803,G730,MOVIMIENTOS_COMPLEMENTOS!$B$4:$B$803,"INGRESO")+SUMIFS(MOVIMIENTOS_COMPLEMENTOS!$I$4:$I$803,MOVIMIENTOS_COMPLEMENTOS!$C$4:$C$803,A730,MOVIMIENTOS_COMPLEMENTOS!$D$4:$D$803,B730,MOVIMIENTOS_COMPLEMENTOS!$E$4:$E$803,C730,MOVIMIENTOS_COMPLEMENTOS!$G$4:$G$803,E730,MOVIMIENTOS_COMPLEMENTOS!$H$4:$H$803,G730,MOVIMIENTOS_COMPLEMENTOS!$B$4:$B$803,"DE CORTE")-SUMIFS(MOVIMIENTOS_COMPLEMENTOS!$I$4:$I$803,MOVIMIENTOS_COMPLEMENTOS!$C$4:$C$803,A730,MOVIMIENTOS_COMPLEMENTOS!$D$4:$D$803,B730,MOVIMIENTOS_COMPLEMENTOS!$E$4:$E$803,C730,MOVIMIENTOS_COMPLEMENTOS!$G$4:$G$803,E730,MOVIMIENTOS_COMPLEMENTOS!$H$4:$H$803,G730,MOVIMIENTOS_COMPLEMENTOS!$B$4:$B$803,"SALIDA"),0)</f>
        <v>0</v>
      </c>
      <c r="I730" s="102">
        <f t="array" ref="I730">IFERROR(INDEX(PRECIOS_COMPLEMENTOS!$C$4:$F$17,MATCH(B730&amp;"_"&amp;C730,PRECIOS_COMPLEMENTOS!$H$4:$H$17,0),IF(OR(G730="S",G730="20cm"),1,IF(OR(G730="M",G730="25cm"),2,IF(OR(G730="L",G730="30cm"),3,IF(OR(G730="XL",G730="35cm"),4,0))))),0)</f>
        <v>0.4</v>
      </c>
      <c r="J730" s="103">
        <f t="shared" si="1"/>
        <v>0</v>
      </c>
      <c r="K730" s="104" t="str">
        <f>IF(H730&lt;0,"ERROR",IF(H730=0,"",IF(H730&lt;CONFIG!$B$4,"CRÍTICO",IF(H730&lt;CONFIG!$B$5,"BAJO","OK"))))</f>
        <v/>
      </c>
    </row>
    <row r="731" ht="15.75" hidden="1" customHeight="1">
      <c r="A731" s="90" t="str">
        <f>IF(CLIENTES!A4="","",CLIENTES!A4)</f>
        <v>OverShark</v>
      </c>
      <c r="B731" s="90" t="s">
        <v>321</v>
      </c>
      <c r="C731" s="91" t="s">
        <v>328</v>
      </c>
      <c r="D731" s="109" t="s">
        <v>353</v>
      </c>
      <c r="E731" s="67" t="str">
        <f>COLORES!A5</f>
        <v>Perla</v>
      </c>
      <c r="F731" s="67" t="str">
        <f>COLORES!B5</f>
        <v>PPT</v>
      </c>
      <c r="G731" s="90" t="s">
        <v>379</v>
      </c>
      <c r="H731" s="100">
        <f>IFERROR(SUMIFS(MOVIMIENTOS_COMPLEMENTOS!$I$4:$I$803,MOVIMIENTOS_COMPLEMENTOS!$C$4:$C$803,A731,MOVIMIENTOS_COMPLEMENTOS!$D$4:$D$803,B731,MOVIMIENTOS_COMPLEMENTOS!$E$4:$E$803,C731,MOVIMIENTOS_COMPLEMENTOS!$G$4:$G$803,E731,MOVIMIENTOS_COMPLEMENTOS!$H$4:$H$803,G731,MOVIMIENTOS_COMPLEMENTOS!$B$4:$B$803,"INGRESO")+SUMIFS(MOVIMIENTOS_COMPLEMENTOS!$I$4:$I$803,MOVIMIENTOS_COMPLEMENTOS!$C$4:$C$803,A731,MOVIMIENTOS_COMPLEMENTOS!$D$4:$D$803,B731,MOVIMIENTOS_COMPLEMENTOS!$E$4:$E$803,C731,MOVIMIENTOS_COMPLEMENTOS!$G$4:$G$803,E731,MOVIMIENTOS_COMPLEMENTOS!$H$4:$H$803,G731,MOVIMIENTOS_COMPLEMENTOS!$B$4:$B$803,"DE CORTE")-SUMIFS(MOVIMIENTOS_COMPLEMENTOS!$I$4:$I$803,MOVIMIENTOS_COMPLEMENTOS!$C$4:$C$803,A731,MOVIMIENTOS_COMPLEMENTOS!$D$4:$D$803,B731,MOVIMIENTOS_COMPLEMENTOS!$E$4:$E$803,C731,MOVIMIENTOS_COMPLEMENTOS!$G$4:$G$803,E731,MOVIMIENTOS_COMPLEMENTOS!$H$4:$H$803,G731,MOVIMIENTOS_COMPLEMENTOS!$B$4:$B$803,"SALIDA"),0)</f>
        <v>0</v>
      </c>
      <c r="I731" s="102">
        <f t="array" ref="I731">IFERROR(INDEX(PRECIOS_COMPLEMENTOS!$C$4:$F$17,MATCH(B731&amp;"_"&amp;C731,PRECIOS_COMPLEMENTOS!$H$4:$H$17,0),IF(OR(G731="S",G731="20cm"),1,IF(OR(G731="M",G731="25cm"),2,IF(OR(G731="L",G731="30cm"),3,IF(OR(G731="XL",G731="35cm"),4,0))))),0)</f>
        <v>0.4</v>
      </c>
      <c r="J731" s="103">
        <f t="shared" si="1"/>
        <v>0</v>
      </c>
      <c r="K731" s="104" t="str">
        <f>IF(H731&lt;0,"ERROR",IF(H731=0,"",IF(H731&lt;CONFIG!$B$4,"CRÍTICO",IF(H731&lt;CONFIG!$B$5,"BAJO","OK"))))</f>
        <v/>
      </c>
    </row>
    <row r="732" ht="15.75" hidden="1" customHeight="1">
      <c r="A732" s="90" t="str">
        <f>IF(CLIENTES!A4="","",CLIENTES!A4)</f>
        <v>OverShark</v>
      </c>
      <c r="B732" s="90" t="s">
        <v>321</v>
      </c>
      <c r="C732" s="91" t="s">
        <v>328</v>
      </c>
      <c r="D732" s="109" t="s">
        <v>353</v>
      </c>
      <c r="E732" s="67" t="str">
        <f>COLORES!A6</f>
        <v>Blanco</v>
      </c>
      <c r="F732" s="67" t="str">
        <f>COLORES!B6</f>
        <v>PPT</v>
      </c>
      <c r="G732" s="90" t="s">
        <v>378</v>
      </c>
      <c r="H732" s="100">
        <f>IFERROR(SUMIFS(MOVIMIENTOS_COMPLEMENTOS!$I$4:$I$803,MOVIMIENTOS_COMPLEMENTOS!$C$4:$C$803,A732,MOVIMIENTOS_COMPLEMENTOS!$D$4:$D$803,B732,MOVIMIENTOS_COMPLEMENTOS!$E$4:$E$803,C732,MOVIMIENTOS_COMPLEMENTOS!$G$4:$G$803,E732,MOVIMIENTOS_COMPLEMENTOS!$H$4:$H$803,G732,MOVIMIENTOS_COMPLEMENTOS!$B$4:$B$803,"INGRESO")+SUMIFS(MOVIMIENTOS_COMPLEMENTOS!$I$4:$I$803,MOVIMIENTOS_COMPLEMENTOS!$C$4:$C$803,A732,MOVIMIENTOS_COMPLEMENTOS!$D$4:$D$803,B732,MOVIMIENTOS_COMPLEMENTOS!$E$4:$E$803,C732,MOVIMIENTOS_COMPLEMENTOS!$G$4:$G$803,E732,MOVIMIENTOS_COMPLEMENTOS!$H$4:$H$803,G732,MOVIMIENTOS_COMPLEMENTOS!$B$4:$B$803,"DE CORTE")-SUMIFS(MOVIMIENTOS_COMPLEMENTOS!$I$4:$I$803,MOVIMIENTOS_COMPLEMENTOS!$C$4:$C$803,A732,MOVIMIENTOS_COMPLEMENTOS!$D$4:$D$803,B732,MOVIMIENTOS_COMPLEMENTOS!$E$4:$E$803,C732,MOVIMIENTOS_COMPLEMENTOS!$G$4:$G$803,E732,MOVIMIENTOS_COMPLEMENTOS!$H$4:$H$803,G732,MOVIMIENTOS_COMPLEMENTOS!$B$4:$B$803,"SALIDA"),0)</f>
        <v>0</v>
      </c>
      <c r="I732" s="102">
        <f t="array" ref="I732">IFERROR(INDEX(PRECIOS_COMPLEMENTOS!$C$4:$F$17,MATCH(B732&amp;"_"&amp;C732,PRECIOS_COMPLEMENTOS!$H$4:$H$17,0),IF(OR(G732="S",G732="20cm"),1,IF(OR(G732="M",G732="25cm"),2,IF(OR(G732="L",G732="30cm"),3,IF(OR(G732="XL",G732="35cm"),4,0))))),0)</f>
        <v>0.4</v>
      </c>
      <c r="J732" s="103">
        <f t="shared" si="1"/>
        <v>0</v>
      </c>
      <c r="K732" s="104" t="str">
        <f>IF(H732&lt;0,"ERROR",IF(H732=0,"",IF(H732&lt;CONFIG!$B$4,"CRÍTICO",IF(H732&lt;CONFIG!$B$5,"BAJO","OK"))))</f>
        <v/>
      </c>
    </row>
    <row r="733" ht="15.75" hidden="1" customHeight="1">
      <c r="A733" s="90" t="str">
        <f>IF(CLIENTES!A4="","",CLIENTES!A4)</f>
        <v>OverShark</v>
      </c>
      <c r="B733" s="90" t="s">
        <v>321</v>
      </c>
      <c r="C733" s="91" t="s">
        <v>328</v>
      </c>
      <c r="D733" s="109" t="s">
        <v>353</v>
      </c>
      <c r="E733" s="67" t="str">
        <f>COLORES!A6</f>
        <v>Blanco</v>
      </c>
      <c r="F733" s="67" t="str">
        <f>COLORES!B6</f>
        <v>PPT</v>
      </c>
      <c r="G733" s="90" t="s">
        <v>376</v>
      </c>
      <c r="H733" s="100">
        <f>IFERROR(SUMIFS(MOVIMIENTOS_COMPLEMENTOS!$I$4:$I$803,MOVIMIENTOS_COMPLEMENTOS!$C$4:$C$803,A733,MOVIMIENTOS_COMPLEMENTOS!$D$4:$D$803,B733,MOVIMIENTOS_COMPLEMENTOS!$E$4:$E$803,C733,MOVIMIENTOS_COMPLEMENTOS!$G$4:$G$803,E733,MOVIMIENTOS_COMPLEMENTOS!$H$4:$H$803,G733,MOVIMIENTOS_COMPLEMENTOS!$B$4:$B$803,"INGRESO")+SUMIFS(MOVIMIENTOS_COMPLEMENTOS!$I$4:$I$803,MOVIMIENTOS_COMPLEMENTOS!$C$4:$C$803,A733,MOVIMIENTOS_COMPLEMENTOS!$D$4:$D$803,B733,MOVIMIENTOS_COMPLEMENTOS!$E$4:$E$803,C733,MOVIMIENTOS_COMPLEMENTOS!$G$4:$G$803,E733,MOVIMIENTOS_COMPLEMENTOS!$H$4:$H$803,G733,MOVIMIENTOS_COMPLEMENTOS!$B$4:$B$803,"DE CORTE")-SUMIFS(MOVIMIENTOS_COMPLEMENTOS!$I$4:$I$803,MOVIMIENTOS_COMPLEMENTOS!$C$4:$C$803,A733,MOVIMIENTOS_COMPLEMENTOS!$D$4:$D$803,B733,MOVIMIENTOS_COMPLEMENTOS!$E$4:$E$803,C733,MOVIMIENTOS_COMPLEMENTOS!$G$4:$G$803,E733,MOVIMIENTOS_COMPLEMENTOS!$H$4:$H$803,G733,MOVIMIENTOS_COMPLEMENTOS!$B$4:$B$803,"SALIDA"),0)</f>
        <v>0</v>
      </c>
      <c r="I733" s="102">
        <f t="array" ref="I733">IFERROR(INDEX(PRECIOS_COMPLEMENTOS!$C$4:$F$17,MATCH(B733&amp;"_"&amp;C733,PRECIOS_COMPLEMENTOS!$H$4:$H$17,0),IF(OR(G733="S",G733="20cm"),1,IF(OR(G733="M",G733="25cm"),2,IF(OR(G733="L",G733="30cm"),3,IF(OR(G733="XL",G733="35cm"),4,0))))),0)</f>
        <v>0.4</v>
      </c>
      <c r="J733" s="103">
        <f t="shared" si="1"/>
        <v>0</v>
      </c>
      <c r="K733" s="104" t="str">
        <f>IF(H733&lt;0,"ERROR",IF(H733=0,"",IF(H733&lt;CONFIG!$B$4,"CRÍTICO",IF(H733&lt;CONFIG!$B$5,"BAJO","OK"))))</f>
        <v/>
      </c>
    </row>
    <row r="734" ht="15.75" hidden="1" customHeight="1">
      <c r="A734" s="90" t="str">
        <f>IF(CLIENTES!A4="","",CLIENTES!A4)</f>
        <v>OverShark</v>
      </c>
      <c r="B734" s="90" t="s">
        <v>321</v>
      </c>
      <c r="C734" s="91" t="s">
        <v>328</v>
      </c>
      <c r="D734" s="109" t="s">
        <v>353</v>
      </c>
      <c r="E734" s="67" t="str">
        <f>COLORES!A6</f>
        <v>Blanco</v>
      </c>
      <c r="F734" s="67" t="str">
        <f>COLORES!B6</f>
        <v>PPT</v>
      </c>
      <c r="G734" s="90" t="s">
        <v>377</v>
      </c>
      <c r="H734" s="100">
        <f>IFERROR(SUMIFS(MOVIMIENTOS_COMPLEMENTOS!$I$4:$I$803,MOVIMIENTOS_COMPLEMENTOS!$C$4:$C$803,A734,MOVIMIENTOS_COMPLEMENTOS!$D$4:$D$803,B734,MOVIMIENTOS_COMPLEMENTOS!$E$4:$E$803,C734,MOVIMIENTOS_COMPLEMENTOS!$G$4:$G$803,E734,MOVIMIENTOS_COMPLEMENTOS!$H$4:$H$803,G734,MOVIMIENTOS_COMPLEMENTOS!$B$4:$B$803,"INGRESO")+SUMIFS(MOVIMIENTOS_COMPLEMENTOS!$I$4:$I$803,MOVIMIENTOS_COMPLEMENTOS!$C$4:$C$803,A734,MOVIMIENTOS_COMPLEMENTOS!$D$4:$D$803,B734,MOVIMIENTOS_COMPLEMENTOS!$E$4:$E$803,C734,MOVIMIENTOS_COMPLEMENTOS!$G$4:$G$803,E734,MOVIMIENTOS_COMPLEMENTOS!$H$4:$H$803,G734,MOVIMIENTOS_COMPLEMENTOS!$B$4:$B$803,"DE CORTE")-SUMIFS(MOVIMIENTOS_COMPLEMENTOS!$I$4:$I$803,MOVIMIENTOS_COMPLEMENTOS!$C$4:$C$803,A734,MOVIMIENTOS_COMPLEMENTOS!$D$4:$D$803,B734,MOVIMIENTOS_COMPLEMENTOS!$E$4:$E$803,C734,MOVIMIENTOS_COMPLEMENTOS!$G$4:$G$803,E734,MOVIMIENTOS_COMPLEMENTOS!$H$4:$H$803,G734,MOVIMIENTOS_COMPLEMENTOS!$B$4:$B$803,"SALIDA"),0)</f>
        <v>0</v>
      </c>
      <c r="I734" s="102">
        <f t="array" ref="I734">IFERROR(INDEX(PRECIOS_COMPLEMENTOS!$C$4:$F$17,MATCH(B734&amp;"_"&amp;C734,PRECIOS_COMPLEMENTOS!$H$4:$H$17,0),IF(OR(G734="S",G734="20cm"),1,IF(OR(G734="M",G734="25cm"),2,IF(OR(G734="L",G734="30cm"),3,IF(OR(G734="XL",G734="35cm"),4,0))))),0)</f>
        <v>0.4</v>
      </c>
      <c r="J734" s="103">
        <f t="shared" si="1"/>
        <v>0</v>
      </c>
      <c r="K734" s="104" t="str">
        <f>IF(H734&lt;0,"ERROR",IF(H734=0,"",IF(H734&lt;CONFIG!$B$4,"CRÍTICO",IF(H734&lt;CONFIG!$B$5,"BAJO","OK"))))</f>
        <v/>
      </c>
    </row>
    <row r="735" ht="15.75" hidden="1" customHeight="1">
      <c r="A735" s="90" t="str">
        <f>IF(CLIENTES!A4="","",CLIENTES!A4)</f>
        <v>OverShark</v>
      </c>
      <c r="B735" s="90" t="s">
        <v>321</v>
      </c>
      <c r="C735" s="91" t="s">
        <v>328</v>
      </c>
      <c r="D735" s="109" t="s">
        <v>353</v>
      </c>
      <c r="E735" s="67" t="str">
        <f>COLORES!A6</f>
        <v>Blanco</v>
      </c>
      <c r="F735" s="67" t="str">
        <f>COLORES!B6</f>
        <v>PPT</v>
      </c>
      <c r="G735" s="90" t="s">
        <v>379</v>
      </c>
      <c r="H735" s="100">
        <f>IFERROR(SUMIFS(MOVIMIENTOS_COMPLEMENTOS!$I$4:$I$803,MOVIMIENTOS_COMPLEMENTOS!$C$4:$C$803,A735,MOVIMIENTOS_COMPLEMENTOS!$D$4:$D$803,B735,MOVIMIENTOS_COMPLEMENTOS!$E$4:$E$803,C735,MOVIMIENTOS_COMPLEMENTOS!$G$4:$G$803,E735,MOVIMIENTOS_COMPLEMENTOS!$H$4:$H$803,G735,MOVIMIENTOS_COMPLEMENTOS!$B$4:$B$803,"INGRESO")+SUMIFS(MOVIMIENTOS_COMPLEMENTOS!$I$4:$I$803,MOVIMIENTOS_COMPLEMENTOS!$C$4:$C$803,A735,MOVIMIENTOS_COMPLEMENTOS!$D$4:$D$803,B735,MOVIMIENTOS_COMPLEMENTOS!$E$4:$E$803,C735,MOVIMIENTOS_COMPLEMENTOS!$G$4:$G$803,E735,MOVIMIENTOS_COMPLEMENTOS!$H$4:$H$803,G735,MOVIMIENTOS_COMPLEMENTOS!$B$4:$B$803,"DE CORTE")-SUMIFS(MOVIMIENTOS_COMPLEMENTOS!$I$4:$I$803,MOVIMIENTOS_COMPLEMENTOS!$C$4:$C$803,A735,MOVIMIENTOS_COMPLEMENTOS!$D$4:$D$803,B735,MOVIMIENTOS_COMPLEMENTOS!$E$4:$E$803,C735,MOVIMIENTOS_COMPLEMENTOS!$G$4:$G$803,E735,MOVIMIENTOS_COMPLEMENTOS!$H$4:$H$803,G735,MOVIMIENTOS_COMPLEMENTOS!$B$4:$B$803,"SALIDA"),0)</f>
        <v>0</v>
      </c>
      <c r="I735" s="102">
        <f t="array" ref="I735">IFERROR(INDEX(PRECIOS_COMPLEMENTOS!$C$4:$F$17,MATCH(B735&amp;"_"&amp;C735,PRECIOS_COMPLEMENTOS!$H$4:$H$17,0),IF(OR(G735="S",G735="20cm"),1,IF(OR(G735="M",G735="25cm"),2,IF(OR(G735="L",G735="30cm"),3,IF(OR(G735="XL",G735="35cm"),4,0))))),0)</f>
        <v>0.4</v>
      </c>
      <c r="J735" s="103">
        <f t="shared" si="1"/>
        <v>0</v>
      </c>
      <c r="K735" s="104" t="str">
        <f>IF(H735&lt;0,"ERROR",IF(H735=0,"",IF(H735&lt;CONFIG!$B$4,"CRÍTICO",IF(H735&lt;CONFIG!$B$5,"BAJO","OK"))))</f>
        <v/>
      </c>
    </row>
    <row r="736" ht="15.75" hidden="1" customHeight="1">
      <c r="A736" s="90" t="str">
        <f>IF(CLIENTES!A4="","",CLIENTES!A4)</f>
        <v>OverShark</v>
      </c>
      <c r="B736" s="90" t="s">
        <v>321</v>
      </c>
      <c r="C736" s="91" t="s">
        <v>328</v>
      </c>
      <c r="D736" s="109" t="s">
        <v>353</v>
      </c>
      <c r="E736" s="67" t="str">
        <f>COLORES!A7</f>
        <v>Azul</v>
      </c>
      <c r="F736" s="67" t="str">
        <f>COLORES!B7</f>
        <v>OSCURO</v>
      </c>
      <c r="G736" s="90" t="s">
        <v>378</v>
      </c>
      <c r="H736" s="100">
        <f>IFERROR(SUMIFS(MOVIMIENTOS_COMPLEMENTOS!$I$4:$I$803,MOVIMIENTOS_COMPLEMENTOS!$C$4:$C$803,A736,MOVIMIENTOS_COMPLEMENTOS!$D$4:$D$803,B736,MOVIMIENTOS_COMPLEMENTOS!$E$4:$E$803,C736,MOVIMIENTOS_COMPLEMENTOS!$G$4:$G$803,E736,MOVIMIENTOS_COMPLEMENTOS!$H$4:$H$803,G736,MOVIMIENTOS_COMPLEMENTOS!$B$4:$B$803,"INGRESO")+SUMIFS(MOVIMIENTOS_COMPLEMENTOS!$I$4:$I$803,MOVIMIENTOS_COMPLEMENTOS!$C$4:$C$803,A736,MOVIMIENTOS_COMPLEMENTOS!$D$4:$D$803,B736,MOVIMIENTOS_COMPLEMENTOS!$E$4:$E$803,C736,MOVIMIENTOS_COMPLEMENTOS!$G$4:$G$803,E736,MOVIMIENTOS_COMPLEMENTOS!$H$4:$H$803,G736,MOVIMIENTOS_COMPLEMENTOS!$B$4:$B$803,"DE CORTE")-SUMIFS(MOVIMIENTOS_COMPLEMENTOS!$I$4:$I$803,MOVIMIENTOS_COMPLEMENTOS!$C$4:$C$803,A736,MOVIMIENTOS_COMPLEMENTOS!$D$4:$D$803,B736,MOVIMIENTOS_COMPLEMENTOS!$E$4:$E$803,C736,MOVIMIENTOS_COMPLEMENTOS!$G$4:$G$803,E736,MOVIMIENTOS_COMPLEMENTOS!$H$4:$H$803,G736,MOVIMIENTOS_COMPLEMENTOS!$B$4:$B$803,"SALIDA"),0)</f>
        <v>0</v>
      </c>
      <c r="I736" s="102">
        <f t="array" ref="I736">IFERROR(INDEX(PRECIOS_COMPLEMENTOS!$C$4:$F$17,MATCH(B736&amp;"_"&amp;C736,PRECIOS_COMPLEMENTOS!$H$4:$H$17,0),IF(OR(G736="S",G736="20cm"),1,IF(OR(G736="M",G736="25cm"),2,IF(OR(G736="L",G736="30cm"),3,IF(OR(G736="XL",G736="35cm"),4,0))))),0)</f>
        <v>0.4</v>
      </c>
      <c r="J736" s="103">
        <f t="shared" si="1"/>
        <v>0</v>
      </c>
      <c r="K736" s="104" t="str">
        <f>IF(H736&lt;0,"ERROR",IF(H736=0,"",IF(H736&lt;CONFIG!$B$4,"CRÍTICO",IF(H736&lt;CONFIG!$B$5,"BAJO","OK"))))</f>
        <v/>
      </c>
    </row>
    <row r="737" ht="15.75" hidden="1" customHeight="1">
      <c r="A737" s="90" t="str">
        <f>IF(CLIENTES!A4="","",CLIENTES!A4)</f>
        <v>OverShark</v>
      </c>
      <c r="B737" s="90" t="s">
        <v>321</v>
      </c>
      <c r="C737" s="91" t="s">
        <v>328</v>
      </c>
      <c r="D737" s="109" t="s">
        <v>353</v>
      </c>
      <c r="E737" s="67" t="str">
        <f>COLORES!A7</f>
        <v>Azul</v>
      </c>
      <c r="F737" s="67" t="str">
        <f>COLORES!B7</f>
        <v>OSCURO</v>
      </c>
      <c r="G737" s="90" t="s">
        <v>376</v>
      </c>
      <c r="H737" s="100">
        <f>IFERROR(SUMIFS(MOVIMIENTOS_COMPLEMENTOS!$I$4:$I$803,MOVIMIENTOS_COMPLEMENTOS!$C$4:$C$803,A737,MOVIMIENTOS_COMPLEMENTOS!$D$4:$D$803,B737,MOVIMIENTOS_COMPLEMENTOS!$E$4:$E$803,C737,MOVIMIENTOS_COMPLEMENTOS!$G$4:$G$803,E737,MOVIMIENTOS_COMPLEMENTOS!$H$4:$H$803,G737,MOVIMIENTOS_COMPLEMENTOS!$B$4:$B$803,"INGRESO")+SUMIFS(MOVIMIENTOS_COMPLEMENTOS!$I$4:$I$803,MOVIMIENTOS_COMPLEMENTOS!$C$4:$C$803,A737,MOVIMIENTOS_COMPLEMENTOS!$D$4:$D$803,B737,MOVIMIENTOS_COMPLEMENTOS!$E$4:$E$803,C737,MOVIMIENTOS_COMPLEMENTOS!$G$4:$G$803,E737,MOVIMIENTOS_COMPLEMENTOS!$H$4:$H$803,G737,MOVIMIENTOS_COMPLEMENTOS!$B$4:$B$803,"DE CORTE")-SUMIFS(MOVIMIENTOS_COMPLEMENTOS!$I$4:$I$803,MOVIMIENTOS_COMPLEMENTOS!$C$4:$C$803,A737,MOVIMIENTOS_COMPLEMENTOS!$D$4:$D$803,B737,MOVIMIENTOS_COMPLEMENTOS!$E$4:$E$803,C737,MOVIMIENTOS_COMPLEMENTOS!$G$4:$G$803,E737,MOVIMIENTOS_COMPLEMENTOS!$H$4:$H$803,G737,MOVIMIENTOS_COMPLEMENTOS!$B$4:$B$803,"SALIDA"),0)</f>
        <v>0</v>
      </c>
      <c r="I737" s="102">
        <f t="array" ref="I737">IFERROR(INDEX(PRECIOS_COMPLEMENTOS!$C$4:$F$17,MATCH(B737&amp;"_"&amp;C737,PRECIOS_COMPLEMENTOS!$H$4:$H$17,0),IF(OR(G737="S",G737="20cm"),1,IF(OR(G737="M",G737="25cm"),2,IF(OR(G737="L",G737="30cm"),3,IF(OR(G737="XL",G737="35cm"),4,0))))),0)</f>
        <v>0.4</v>
      </c>
      <c r="J737" s="103">
        <f t="shared" si="1"/>
        <v>0</v>
      </c>
      <c r="K737" s="104" t="str">
        <f>IF(H737&lt;0,"ERROR",IF(H737=0,"",IF(H737&lt;CONFIG!$B$4,"CRÍTICO",IF(H737&lt;CONFIG!$B$5,"BAJO","OK"))))</f>
        <v/>
      </c>
    </row>
    <row r="738" ht="15.75" hidden="1" customHeight="1">
      <c r="A738" s="90" t="str">
        <f>IF(CLIENTES!A4="","",CLIENTES!A4)</f>
        <v>OverShark</v>
      </c>
      <c r="B738" s="90" t="s">
        <v>321</v>
      </c>
      <c r="C738" s="91" t="s">
        <v>328</v>
      </c>
      <c r="D738" s="109" t="s">
        <v>353</v>
      </c>
      <c r="E738" s="67" t="str">
        <f>COLORES!A7</f>
        <v>Azul</v>
      </c>
      <c r="F738" s="67" t="str">
        <f>COLORES!B7</f>
        <v>OSCURO</v>
      </c>
      <c r="G738" s="90" t="s">
        <v>377</v>
      </c>
      <c r="H738" s="100">
        <f>IFERROR(SUMIFS(MOVIMIENTOS_COMPLEMENTOS!$I$4:$I$803,MOVIMIENTOS_COMPLEMENTOS!$C$4:$C$803,A738,MOVIMIENTOS_COMPLEMENTOS!$D$4:$D$803,B738,MOVIMIENTOS_COMPLEMENTOS!$E$4:$E$803,C738,MOVIMIENTOS_COMPLEMENTOS!$G$4:$G$803,E738,MOVIMIENTOS_COMPLEMENTOS!$H$4:$H$803,G738,MOVIMIENTOS_COMPLEMENTOS!$B$4:$B$803,"INGRESO")+SUMIFS(MOVIMIENTOS_COMPLEMENTOS!$I$4:$I$803,MOVIMIENTOS_COMPLEMENTOS!$C$4:$C$803,A738,MOVIMIENTOS_COMPLEMENTOS!$D$4:$D$803,B738,MOVIMIENTOS_COMPLEMENTOS!$E$4:$E$803,C738,MOVIMIENTOS_COMPLEMENTOS!$G$4:$G$803,E738,MOVIMIENTOS_COMPLEMENTOS!$H$4:$H$803,G738,MOVIMIENTOS_COMPLEMENTOS!$B$4:$B$803,"DE CORTE")-SUMIFS(MOVIMIENTOS_COMPLEMENTOS!$I$4:$I$803,MOVIMIENTOS_COMPLEMENTOS!$C$4:$C$803,A738,MOVIMIENTOS_COMPLEMENTOS!$D$4:$D$803,B738,MOVIMIENTOS_COMPLEMENTOS!$E$4:$E$803,C738,MOVIMIENTOS_COMPLEMENTOS!$G$4:$G$803,E738,MOVIMIENTOS_COMPLEMENTOS!$H$4:$H$803,G738,MOVIMIENTOS_COMPLEMENTOS!$B$4:$B$803,"SALIDA"),0)</f>
        <v>0</v>
      </c>
      <c r="I738" s="102">
        <f t="array" ref="I738">IFERROR(INDEX(PRECIOS_COMPLEMENTOS!$C$4:$F$17,MATCH(B738&amp;"_"&amp;C738,PRECIOS_COMPLEMENTOS!$H$4:$H$17,0),IF(OR(G738="S",G738="20cm"),1,IF(OR(G738="M",G738="25cm"),2,IF(OR(G738="L",G738="30cm"),3,IF(OR(G738="XL",G738="35cm"),4,0))))),0)</f>
        <v>0.4</v>
      </c>
      <c r="J738" s="103">
        <f t="shared" si="1"/>
        <v>0</v>
      </c>
      <c r="K738" s="104" t="str">
        <f>IF(H738&lt;0,"ERROR",IF(H738=0,"",IF(H738&lt;CONFIG!$B$4,"CRÍTICO",IF(H738&lt;CONFIG!$B$5,"BAJO","OK"))))</f>
        <v/>
      </c>
    </row>
    <row r="739" ht="15.75" hidden="1" customHeight="1">
      <c r="A739" s="90" t="str">
        <f>IF(CLIENTES!A4="","",CLIENTES!A4)</f>
        <v>OverShark</v>
      </c>
      <c r="B739" s="90" t="s">
        <v>321</v>
      </c>
      <c r="C739" s="91" t="s">
        <v>328</v>
      </c>
      <c r="D739" s="109" t="s">
        <v>353</v>
      </c>
      <c r="E739" s="67" t="str">
        <f>COLORES!A7</f>
        <v>Azul</v>
      </c>
      <c r="F739" s="67" t="str">
        <f>COLORES!B7</f>
        <v>OSCURO</v>
      </c>
      <c r="G739" s="90" t="s">
        <v>379</v>
      </c>
      <c r="H739" s="100">
        <f>IFERROR(SUMIFS(MOVIMIENTOS_COMPLEMENTOS!$I$4:$I$803,MOVIMIENTOS_COMPLEMENTOS!$C$4:$C$803,A739,MOVIMIENTOS_COMPLEMENTOS!$D$4:$D$803,B739,MOVIMIENTOS_COMPLEMENTOS!$E$4:$E$803,C739,MOVIMIENTOS_COMPLEMENTOS!$G$4:$G$803,E739,MOVIMIENTOS_COMPLEMENTOS!$H$4:$H$803,G739,MOVIMIENTOS_COMPLEMENTOS!$B$4:$B$803,"INGRESO")+SUMIFS(MOVIMIENTOS_COMPLEMENTOS!$I$4:$I$803,MOVIMIENTOS_COMPLEMENTOS!$C$4:$C$803,A739,MOVIMIENTOS_COMPLEMENTOS!$D$4:$D$803,B739,MOVIMIENTOS_COMPLEMENTOS!$E$4:$E$803,C739,MOVIMIENTOS_COMPLEMENTOS!$G$4:$G$803,E739,MOVIMIENTOS_COMPLEMENTOS!$H$4:$H$803,G739,MOVIMIENTOS_COMPLEMENTOS!$B$4:$B$803,"DE CORTE")-SUMIFS(MOVIMIENTOS_COMPLEMENTOS!$I$4:$I$803,MOVIMIENTOS_COMPLEMENTOS!$C$4:$C$803,A739,MOVIMIENTOS_COMPLEMENTOS!$D$4:$D$803,B739,MOVIMIENTOS_COMPLEMENTOS!$E$4:$E$803,C739,MOVIMIENTOS_COMPLEMENTOS!$G$4:$G$803,E739,MOVIMIENTOS_COMPLEMENTOS!$H$4:$H$803,G739,MOVIMIENTOS_COMPLEMENTOS!$B$4:$B$803,"SALIDA"),0)</f>
        <v>0</v>
      </c>
      <c r="I739" s="102">
        <f t="array" ref="I739">IFERROR(INDEX(PRECIOS_COMPLEMENTOS!$C$4:$F$17,MATCH(B739&amp;"_"&amp;C739,PRECIOS_COMPLEMENTOS!$H$4:$H$17,0),IF(OR(G739="S",G739="20cm"),1,IF(OR(G739="M",G739="25cm"),2,IF(OR(G739="L",G739="30cm"),3,IF(OR(G739="XL",G739="35cm"),4,0))))),0)</f>
        <v>0.4</v>
      </c>
      <c r="J739" s="103">
        <f t="shared" si="1"/>
        <v>0</v>
      </c>
      <c r="K739" s="104" t="str">
        <f>IF(H739&lt;0,"ERROR",IF(H739=0,"",IF(H739&lt;CONFIG!$B$4,"CRÍTICO",IF(H739&lt;CONFIG!$B$5,"BAJO","OK"))))</f>
        <v/>
      </c>
    </row>
    <row r="740" ht="15.75" hidden="1" customHeight="1">
      <c r="A740" s="90" t="str">
        <f>IF(CLIENTES!A4="","",CLIENTES!A4)</f>
        <v>OverShark</v>
      </c>
      <c r="B740" s="90" t="s">
        <v>321</v>
      </c>
      <c r="C740" s="91" t="s">
        <v>328</v>
      </c>
      <c r="D740" s="109" t="s">
        <v>353</v>
      </c>
      <c r="E740" s="67" t="str">
        <f>COLORES!A8</f>
        <v>Beige</v>
      </c>
      <c r="F740" s="67" t="str">
        <f>COLORES!B8</f>
        <v>CLARO</v>
      </c>
      <c r="G740" s="90" t="s">
        <v>378</v>
      </c>
      <c r="H740" s="100">
        <f>IFERROR(SUMIFS(MOVIMIENTOS_COMPLEMENTOS!$I$4:$I$803,MOVIMIENTOS_COMPLEMENTOS!$C$4:$C$803,A740,MOVIMIENTOS_COMPLEMENTOS!$D$4:$D$803,B740,MOVIMIENTOS_COMPLEMENTOS!$E$4:$E$803,C740,MOVIMIENTOS_COMPLEMENTOS!$G$4:$G$803,E740,MOVIMIENTOS_COMPLEMENTOS!$H$4:$H$803,G740,MOVIMIENTOS_COMPLEMENTOS!$B$4:$B$803,"INGRESO")+SUMIFS(MOVIMIENTOS_COMPLEMENTOS!$I$4:$I$803,MOVIMIENTOS_COMPLEMENTOS!$C$4:$C$803,A740,MOVIMIENTOS_COMPLEMENTOS!$D$4:$D$803,B740,MOVIMIENTOS_COMPLEMENTOS!$E$4:$E$803,C740,MOVIMIENTOS_COMPLEMENTOS!$G$4:$G$803,E740,MOVIMIENTOS_COMPLEMENTOS!$H$4:$H$803,G740,MOVIMIENTOS_COMPLEMENTOS!$B$4:$B$803,"DE CORTE")-SUMIFS(MOVIMIENTOS_COMPLEMENTOS!$I$4:$I$803,MOVIMIENTOS_COMPLEMENTOS!$C$4:$C$803,A740,MOVIMIENTOS_COMPLEMENTOS!$D$4:$D$803,B740,MOVIMIENTOS_COMPLEMENTOS!$E$4:$E$803,C740,MOVIMIENTOS_COMPLEMENTOS!$G$4:$G$803,E740,MOVIMIENTOS_COMPLEMENTOS!$H$4:$H$803,G740,MOVIMIENTOS_COMPLEMENTOS!$B$4:$B$803,"SALIDA"),0)</f>
        <v>0</v>
      </c>
      <c r="I740" s="102">
        <f t="array" ref="I740">IFERROR(INDEX(PRECIOS_COMPLEMENTOS!$C$4:$F$17,MATCH(B740&amp;"_"&amp;C740,PRECIOS_COMPLEMENTOS!$H$4:$H$17,0),IF(OR(G740="S",G740="20cm"),1,IF(OR(G740="M",G740="25cm"),2,IF(OR(G740="L",G740="30cm"),3,IF(OR(G740="XL",G740="35cm"),4,0))))),0)</f>
        <v>0.4</v>
      </c>
      <c r="J740" s="103">
        <f t="shared" si="1"/>
        <v>0</v>
      </c>
      <c r="K740" s="104" t="str">
        <f>IF(H740&lt;0,"ERROR",IF(H740=0,"",IF(H740&lt;CONFIG!$B$4,"CRÍTICO",IF(H740&lt;CONFIG!$B$5,"BAJO","OK"))))</f>
        <v/>
      </c>
    </row>
    <row r="741" ht="15.75" hidden="1" customHeight="1">
      <c r="A741" s="90" t="str">
        <f>IF(CLIENTES!A4="","",CLIENTES!A4)</f>
        <v>OverShark</v>
      </c>
      <c r="B741" s="90" t="s">
        <v>321</v>
      </c>
      <c r="C741" s="91" t="s">
        <v>328</v>
      </c>
      <c r="D741" s="109" t="s">
        <v>353</v>
      </c>
      <c r="E741" s="67" t="str">
        <f>COLORES!A8</f>
        <v>Beige</v>
      </c>
      <c r="F741" s="67" t="str">
        <f>COLORES!B8</f>
        <v>CLARO</v>
      </c>
      <c r="G741" s="90" t="s">
        <v>376</v>
      </c>
      <c r="H741" s="100">
        <f>IFERROR(SUMIFS(MOVIMIENTOS_COMPLEMENTOS!$I$4:$I$803,MOVIMIENTOS_COMPLEMENTOS!$C$4:$C$803,A741,MOVIMIENTOS_COMPLEMENTOS!$D$4:$D$803,B741,MOVIMIENTOS_COMPLEMENTOS!$E$4:$E$803,C741,MOVIMIENTOS_COMPLEMENTOS!$G$4:$G$803,E741,MOVIMIENTOS_COMPLEMENTOS!$H$4:$H$803,G741,MOVIMIENTOS_COMPLEMENTOS!$B$4:$B$803,"INGRESO")+SUMIFS(MOVIMIENTOS_COMPLEMENTOS!$I$4:$I$803,MOVIMIENTOS_COMPLEMENTOS!$C$4:$C$803,A741,MOVIMIENTOS_COMPLEMENTOS!$D$4:$D$803,B741,MOVIMIENTOS_COMPLEMENTOS!$E$4:$E$803,C741,MOVIMIENTOS_COMPLEMENTOS!$G$4:$G$803,E741,MOVIMIENTOS_COMPLEMENTOS!$H$4:$H$803,G741,MOVIMIENTOS_COMPLEMENTOS!$B$4:$B$803,"DE CORTE")-SUMIFS(MOVIMIENTOS_COMPLEMENTOS!$I$4:$I$803,MOVIMIENTOS_COMPLEMENTOS!$C$4:$C$803,A741,MOVIMIENTOS_COMPLEMENTOS!$D$4:$D$803,B741,MOVIMIENTOS_COMPLEMENTOS!$E$4:$E$803,C741,MOVIMIENTOS_COMPLEMENTOS!$G$4:$G$803,E741,MOVIMIENTOS_COMPLEMENTOS!$H$4:$H$803,G741,MOVIMIENTOS_COMPLEMENTOS!$B$4:$B$803,"SALIDA"),0)</f>
        <v>0</v>
      </c>
      <c r="I741" s="102">
        <f t="array" ref="I741">IFERROR(INDEX(PRECIOS_COMPLEMENTOS!$C$4:$F$17,MATCH(B741&amp;"_"&amp;C741,PRECIOS_COMPLEMENTOS!$H$4:$H$17,0),IF(OR(G741="S",G741="20cm"),1,IF(OR(G741="M",G741="25cm"),2,IF(OR(G741="L",G741="30cm"),3,IF(OR(G741="XL",G741="35cm"),4,0))))),0)</f>
        <v>0.4</v>
      </c>
      <c r="J741" s="103">
        <f t="shared" si="1"/>
        <v>0</v>
      </c>
      <c r="K741" s="104" t="str">
        <f>IF(H741&lt;0,"ERROR",IF(H741=0,"",IF(H741&lt;CONFIG!$B$4,"CRÍTICO",IF(H741&lt;CONFIG!$B$5,"BAJO","OK"))))</f>
        <v/>
      </c>
    </row>
    <row r="742" ht="15.75" hidden="1" customHeight="1">
      <c r="A742" s="90" t="str">
        <f>IF(CLIENTES!A4="","",CLIENTES!A4)</f>
        <v>OverShark</v>
      </c>
      <c r="B742" s="90" t="s">
        <v>321</v>
      </c>
      <c r="C742" s="91" t="s">
        <v>328</v>
      </c>
      <c r="D742" s="109" t="s">
        <v>353</v>
      </c>
      <c r="E742" s="67" t="str">
        <f>COLORES!A8</f>
        <v>Beige</v>
      </c>
      <c r="F742" s="67" t="str">
        <f>COLORES!B8</f>
        <v>CLARO</v>
      </c>
      <c r="G742" s="90" t="s">
        <v>377</v>
      </c>
      <c r="H742" s="100">
        <f>IFERROR(SUMIFS(MOVIMIENTOS_COMPLEMENTOS!$I$4:$I$803,MOVIMIENTOS_COMPLEMENTOS!$C$4:$C$803,A742,MOVIMIENTOS_COMPLEMENTOS!$D$4:$D$803,B742,MOVIMIENTOS_COMPLEMENTOS!$E$4:$E$803,C742,MOVIMIENTOS_COMPLEMENTOS!$G$4:$G$803,E742,MOVIMIENTOS_COMPLEMENTOS!$H$4:$H$803,G742,MOVIMIENTOS_COMPLEMENTOS!$B$4:$B$803,"INGRESO")+SUMIFS(MOVIMIENTOS_COMPLEMENTOS!$I$4:$I$803,MOVIMIENTOS_COMPLEMENTOS!$C$4:$C$803,A742,MOVIMIENTOS_COMPLEMENTOS!$D$4:$D$803,B742,MOVIMIENTOS_COMPLEMENTOS!$E$4:$E$803,C742,MOVIMIENTOS_COMPLEMENTOS!$G$4:$G$803,E742,MOVIMIENTOS_COMPLEMENTOS!$H$4:$H$803,G742,MOVIMIENTOS_COMPLEMENTOS!$B$4:$B$803,"DE CORTE")-SUMIFS(MOVIMIENTOS_COMPLEMENTOS!$I$4:$I$803,MOVIMIENTOS_COMPLEMENTOS!$C$4:$C$803,A742,MOVIMIENTOS_COMPLEMENTOS!$D$4:$D$803,B742,MOVIMIENTOS_COMPLEMENTOS!$E$4:$E$803,C742,MOVIMIENTOS_COMPLEMENTOS!$G$4:$G$803,E742,MOVIMIENTOS_COMPLEMENTOS!$H$4:$H$803,G742,MOVIMIENTOS_COMPLEMENTOS!$B$4:$B$803,"SALIDA"),0)</f>
        <v>0</v>
      </c>
      <c r="I742" s="102">
        <f t="array" ref="I742">IFERROR(INDEX(PRECIOS_COMPLEMENTOS!$C$4:$F$17,MATCH(B742&amp;"_"&amp;C742,PRECIOS_COMPLEMENTOS!$H$4:$H$17,0),IF(OR(G742="S",G742="20cm"),1,IF(OR(G742="M",G742="25cm"),2,IF(OR(G742="L",G742="30cm"),3,IF(OR(G742="XL",G742="35cm"),4,0))))),0)</f>
        <v>0.4</v>
      </c>
      <c r="J742" s="103">
        <f t="shared" si="1"/>
        <v>0</v>
      </c>
      <c r="K742" s="104" t="str">
        <f>IF(H742&lt;0,"ERROR",IF(H742=0,"",IF(H742&lt;CONFIG!$B$4,"CRÍTICO",IF(H742&lt;CONFIG!$B$5,"BAJO","OK"))))</f>
        <v/>
      </c>
    </row>
    <row r="743" ht="15.75" hidden="1" customHeight="1">
      <c r="A743" s="90" t="str">
        <f>IF(CLIENTES!A4="","",CLIENTES!A4)</f>
        <v>OverShark</v>
      </c>
      <c r="B743" s="90" t="s">
        <v>321</v>
      </c>
      <c r="C743" s="91" t="s">
        <v>328</v>
      </c>
      <c r="D743" s="109" t="s">
        <v>353</v>
      </c>
      <c r="E743" s="67" t="str">
        <f>COLORES!A8</f>
        <v>Beige</v>
      </c>
      <c r="F743" s="67" t="str">
        <f>COLORES!B8</f>
        <v>CLARO</v>
      </c>
      <c r="G743" s="90" t="s">
        <v>379</v>
      </c>
      <c r="H743" s="100">
        <f>IFERROR(SUMIFS(MOVIMIENTOS_COMPLEMENTOS!$I$4:$I$803,MOVIMIENTOS_COMPLEMENTOS!$C$4:$C$803,A743,MOVIMIENTOS_COMPLEMENTOS!$D$4:$D$803,B743,MOVIMIENTOS_COMPLEMENTOS!$E$4:$E$803,C743,MOVIMIENTOS_COMPLEMENTOS!$G$4:$G$803,E743,MOVIMIENTOS_COMPLEMENTOS!$H$4:$H$803,G743,MOVIMIENTOS_COMPLEMENTOS!$B$4:$B$803,"INGRESO")+SUMIFS(MOVIMIENTOS_COMPLEMENTOS!$I$4:$I$803,MOVIMIENTOS_COMPLEMENTOS!$C$4:$C$803,A743,MOVIMIENTOS_COMPLEMENTOS!$D$4:$D$803,B743,MOVIMIENTOS_COMPLEMENTOS!$E$4:$E$803,C743,MOVIMIENTOS_COMPLEMENTOS!$G$4:$G$803,E743,MOVIMIENTOS_COMPLEMENTOS!$H$4:$H$803,G743,MOVIMIENTOS_COMPLEMENTOS!$B$4:$B$803,"DE CORTE")-SUMIFS(MOVIMIENTOS_COMPLEMENTOS!$I$4:$I$803,MOVIMIENTOS_COMPLEMENTOS!$C$4:$C$803,A743,MOVIMIENTOS_COMPLEMENTOS!$D$4:$D$803,B743,MOVIMIENTOS_COMPLEMENTOS!$E$4:$E$803,C743,MOVIMIENTOS_COMPLEMENTOS!$G$4:$G$803,E743,MOVIMIENTOS_COMPLEMENTOS!$H$4:$H$803,G743,MOVIMIENTOS_COMPLEMENTOS!$B$4:$B$803,"SALIDA"),0)</f>
        <v>0</v>
      </c>
      <c r="I743" s="102">
        <f t="array" ref="I743">IFERROR(INDEX(PRECIOS_COMPLEMENTOS!$C$4:$F$17,MATCH(B743&amp;"_"&amp;C743,PRECIOS_COMPLEMENTOS!$H$4:$H$17,0),IF(OR(G743="S",G743="20cm"),1,IF(OR(G743="M",G743="25cm"),2,IF(OR(G743="L",G743="30cm"),3,IF(OR(G743="XL",G743="35cm"),4,0))))),0)</f>
        <v>0.4</v>
      </c>
      <c r="J743" s="103">
        <f t="shared" si="1"/>
        <v>0</v>
      </c>
      <c r="K743" s="104" t="str">
        <f>IF(H743&lt;0,"ERROR",IF(H743=0,"",IF(H743&lt;CONFIG!$B$4,"CRÍTICO",IF(H743&lt;CONFIG!$B$5,"BAJO","OK"))))</f>
        <v/>
      </c>
    </row>
    <row r="744" ht="15.75" hidden="1" customHeight="1">
      <c r="A744" s="90" t="str">
        <f>IF(CLIENTES!A4="","",CLIENTES!A4)</f>
        <v>OverShark</v>
      </c>
      <c r="B744" s="90" t="s">
        <v>321</v>
      </c>
      <c r="C744" s="91" t="s">
        <v>328</v>
      </c>
      <c r="D744" s="109" t="s">
        <v>353</v>
      </c>
      <c r="E744" s="67" t="str">
        <f>COLORES!A9</f>
        <v>Melange</v>
      </c>
      <c r="F744" s="67" t="str">
        <f>COLORES!B9</f>
        <v>MELANGE</v>
      </c>
      <c r="G744" s="90" t="s">
        <v>378</v>
      </c>
      <c r="H744" s="100">
        <f>IFERROR(SUMIFS(MOVIMIENTOS_COMPLEMENTOS!$I$4:$I$803,MOVIMIENTOS_COMPLEMENTOS!$C$4:$C$803,A744,MOVIMIENTOS_COMPLEMENTOS!$D$4:$D$803,B744,MOVIMIENTOS_COMPLEMENTOS!$E$4:$E$803,C744,MOVIMIENTOS_COMPLEMENTOS!$G$4:$G$803,E744,MOVIMIENTOS_COMPLEMENTOS!$H$4:$H$803,G744,MOVIMIENTOS_COMPLEMENTOS!$B$4:$B$803,"INGRESO")+SUMIFS(MOVIMIENTOS_COMPLEMENTOS!$I$4:$I$803,MOVIMIENTOS_COMPLEMENTOS!$C$4:$C$803,A744,MOVIMIENTOS_COMPLEMENTOS!$D$4:$D$803,B744,MOVIMIENTOS_COMPLEMENTOS!$E$4:$E$803,C744,MOVIMIENTOS_COMPLEMENTOS!$G$4:$G$803,E744,MOVIMIENTOS_COMPLEMENTOS!$H$4:$H$803,G744,MOVIMIENTOS_COMPLEMENTOS!$B$4:$B$803,"DE CORTE")-SUMIFS(MOVIMIENTOS_COMPLEMENTOS!$I$4:$I$803,MOVIMIENTOS_COMPLEMENTOS!$C$4:$C$803,A744,MOVIMIENTOS_COMPLEMENTOS!$D$4:$D$803,B744,MOVIMIENTOS_COMPLEMENTOS!$E$4:$E$803,C744,MOVIMIENTOS_COMPLEMENTOS!$G$4:$G$803,E744,MOVIMIENTOS_COMPLEMENTOS!$H$4:$H$803,G744,MOVIMIENTOS_COMPLEMENTOS!$B$4:$B$803,"SALIDA"),0)</f>
        <v>0</v>
      </c>
      <c r="I744" s="102">
        <f t="array" ref="I744">IFERROR(INDEX(PRECIOS_COMPLEMENTOS!$C$4:$F$17,MATCH(B744&amp;"_"&amp;C744,PRECIOS_COMPLEMENTOS!$H$4:$H$17,0),IF(OR(G744="S",G744="20cm"),1,IF(OR(G744="M",G744="25cm"),2,IF(OR(G744="L",G744="30cm"),3,IF(OR(G744="XL",G744="35cm"),4,0))))),0)</f>
        <v>0.4</v>
      </c>
      <c r="J744" s="103">
        <f t="shared" si="1"/>
        <v>0</v>
      </c>
      <c r="K744" s="104" t="str">
        <f>IF(H744&lt;0,"ERROR",IF(H744=0,"",IF(H744&lt;CONFIG!$B$4,"CRÍTICO",IF(H744&lt;CONFIG!$B$5,"BAJO","OK"))))</f>
        <v/>
      </c>
    </row>
    <row r="745" ht="15.75" hidden="1" customHeight="1">
      <c r="A745" s="90" t="str">
        <f>IF(CLIENTES!A4="","",CLIENTES!A4)</f>
        <v>OverShark</v>
      </c>
      <c r="B745" s="90" t="s">
        <v>321</v>
      </c>
      <c r="C745" s="91" t="s">
        <v>328</v>
      </c>
      <c r="D745" s="109" t="s">
        <v>353</v>
      </c>
      <c r="E745" s="67" t="str">
        <f>COLORES!A9</f>
        <v>Melange</v>
      </c>
      <c r="F745" s="67" t="str">
        <f>COLORES!B9</f>
        <v>MELANGE</v>
      </c>
      <c r="G745" s="90" t="s">
        <v>376</v>
      </c>
      <c r="H745" s="100">
        <f>IFERROR(SUMIFS(MOVIMIENTOS_COMPLEMENTOS!$I$4:$I$803,MOVIMIENTOS_COMPLEMENTOS!$C$4:$C$803,A745,MOVIMIENTOS_COMPLEMENTOS!$D$4:$D$803,B745,MOVIMIENTOS_COMPLEMENTOS!$E$4:$E$803,C745,MOVIMIENTOS_COMPLEMENTOS!$G$4:$G$803,E745,MOVIMIENTOS_COMPLEMENTOS!$H$4:$H$803,G745,MOVIMIENTOS_COMPLEMENTOS!$B$4:$B$803,"INGRESO")+SUMIFS(MOVIMIENTOS_COMPLEMENTOS!$I$4:$I$803,MOVIMIENTOS_COMPLEMENTOS!$C$4:$C$803,A745,MOVIMIENTOS_COMPLEMENTOS!$D$4:$D$803,B745,MOVIMIENTOS_COMPLEMENTOS!$E$4:$E$803,C745,MOVIMIENTOS_COMPLEMENTOS!$G$4:$G$803,E745,MOVIMIENTOS_COMPLEMENTOS!$H$4:$H$803,G745,MOVIMIENTOS_COMPLEMENTOS!$B$4:$B$803,"DE CORTE")-SUMIFS(MOVIMIENTOS_COMPLEMENTOS!$I$4:$I$803,MOVIMIENTOS_COMPLEMENTOS!$C$4:$C$803,A745,MOVIMIENTOS_COMPLEMENTOS!$D$4:$D$803,B745,MOVIMIENTOS_COMPLEMENTOS!$E$4:$E$803,C745,MOVIMIENTOS_COMPLEMENTOS!$G$4:$G$803,E745,MOVIMIENTOS_COMPLEMENTOS!$H$4:$H$803,G745,MOVIMIENTOS_COMPLEMENTOS!$B$4:$B$803,"SALIDA"),0)</f>
        <v>0</v>
      </c>
      <c r="I745" s="102">
        <f t="array" ref="I745">IFERROR(INDEX(PRECIOS_COMPLEMENTOS!$C$4:$F$17,MATCH(B745&amp;"_"&amp;C745,PRECIOS_COMPLEMENTOS!$H$4:$H$17,0),IF(OR(G745="S",G745="20cm"),1,IF(OR(G745="M",G745="25cm"),2,IF(OR(G745="L",G745="30cm"),3,IF(OR(G745="XL",G745="35cm"),4,0))))),0)</f>
        <v>0.4</v>
      </c>
      <c r="J745" s="103">
        <f t="shared" si="1"/>
        <v>0</v>
      </c>
      <c r="K745" s="104" t="str">
        <f>IF(H745&lt;0,"ERROR",IF(H745=0,"",IF(H745&lt;CONFIG!$B$4,"CRÍTICO",IF(H745&lt;CONFIG!$B$5,"BAJO","OK"))))</f>
        <v/>
      </c>
    </row>
    <row r="746" ht="15.75" hidden="1" customHeight="1">
      <c r="A746" s="90" t="str">
        <f>IF(CLIENTES!A4="","",CLIENTES!A4)</f>
        <v>OverShark</v>
      </c>
      <c r="B746" s="90" t="s">
        <v>321</v>
      </c>
      <c r="C746" s="91" t="s">
        <v>328</v>
      </c>
      <c r="D746" s="109" t="s">
        <v>353</v>
      </c>
      <c r="E746" s="67" t="str">
        <f>COLORES!A9</f>
        <v>Melange</v>
      </c>
      <c r="F746" s="67" t="str">
        <f>COLORES!B9</f>
        <v>MELANGE</v>
      </c>
      <c r="G746" s="90" t="s">
        <v>377</v>
      </c>
      <c r="H746" s="100">
        <f>IFERROR(SUMIFS(MOVIMIENTOS_COMPLEMENTOS!$I$4:$I$803,MOVIMIENTOS_COMPLEMENTOS!$C$4:$C$803,A746,MOVIMIENTOS_COMPLEMENTOS!$D$4:$D$803,B746,MOVIMIENTOS_COMPLEMENTOS!$E$4:$E$803,C746,MOVIMIENTOS_COMPLEMENTOS!$G$4:$G$803,E746,MOVIMIENTOS_COMPLEMENTOS!$H$4:$H$803,G746,MOVIMIENTOS_COMPLEMENTOS!$B$4:$B$803,"INGRESO")+SUMIFS(MOVIMIENTOS_COMPLEMENTOS!$I$4:$I$803,MOVIMIENTOS_COMPLEMENTOS!$C$4:$C$803,A746,MOVIMIENTOS_COMPLEMENTOS!$D$4:$D$803,B746,MOVIMIENTOS_COMPLEMENTOS!$E$4:$E$803,C746,MOVIMIENTOS_COMPLEMENTOS!$G$4:$G$803,E746,MOVIMIENTOS_COMPLEMENTOS!$H$4:$H$803,G746,MOVIMIENTOS_COMPLEMENTOS!$B$4:$B$803,"DE CORTE")-SUMIFS(MOVIMIENTOS_COMPLEMENTOS!$I$4:$I$803,MOVIMIENTOS_COMPLEMENTOS!$C$4:$C$803,A746,MOVIMIENTOS_COMPLEMENTOS!$D$4:$D$803,B746,MOVIMIENTOS_COMPLEMENTOS!$E$4:$E$803,C746,MOVIMIENTOS_COMPLEMENTOS!$G$4:$G$803,E746,MOVIMIENTOS_COMPLEMENTOS!$H$4:$H$803,G746,MOVIMIENTOS_COMPLEMENTOS!$B$4:$B$803,"SALIDA"),0)</f>
        <v>0</v>
      </c>
      <c r="I746" s="102">
        <f t="array" ref="I746">IFERROR(INDEX(PRECIOS_COMPLEMENTOS!$C$4:$F$17,MATCH(B746&amp;"_"&amp;C746,PRECIOS_COMPLEMENTOS!$H$4:$H$17,0),IF(OR(G746="S",G746="20cm"),1,IF(OR(G746="M",G746="25cm"),2,IF(OR(G746="L",G746="30cm"),3,IF(OR(G746="XL",G746="35cm"),4,0))))),0)</f>
        <v>0.4</v>
      </c>
      <c r="J746" s="103">
        <f t="shared" si="1"/>
        <v>0</v>
      </c>
      <c r="K746" s="104" t="str">
        <f>IF(H746&lt;0,"ERROR",IF(H746=0,"",IF(H746&lt;CONFIG!$B$4,"CRÍTICO",IF(H746&lt;CONFIG!$B$5,"BAJO","OK"))))</f>
        <v/>
      </c>
    </row>
    <row r="747" ht="15.75" hidden="1" customHeight="1">
      <c r="A747" s="90" t="str">
        <f>IF(CLIENTES!A4="","",CLIENTES!A4)</f>
        <v>OverShark</v>
      </c>
      <c r="B747" s="90" t="s">
        <v>321</v>
      </c>
      <c r="C747" s="91" t="s">
        <v>328</v>
      </c>
      <c r="D747" s="109" t="s">
        <v>353</v>
      </c>
      <c r="E747" s="67" t="str">
        <f>COLORES!A9</f>
        <v>Melange</v>
      </c>
      <c r="F747" s="67" t="str">
        <f>COLORES!B9</f>
        <v>MELANGE</v>
      </c>
      <c r="G747" s="90" t="s">
        <v>379</v>
      </c>
      <c r="H747" s="100">
        <f>IFERROR(SUMIFS(MOVIMIENTOS_COMPLEMENTOS!$I$4:$I$803,MOVIMIENTOS_COMPLEMENTOS!$C$4:$C$803,A747,MOVIMIENTOS_COMPLEMENTOS!$D$4:$D$803,B747,MOVIMIENTOS_COMPLEMENTOS!$E$4:$E$803,C747,MOVIMIENTOS_COMPLEMENTOS!$G$4:$G$803,E747,MOVIMIENTOS_COMPLEMENTOS!$H$4:$H$803,G747,MOVIMIENTOS_COMPLEMENTOS!$B$4:$B$803,"INGRESO")+SUMIFS(MOVIMIENTOS_COMPLEMENTOS!$I$4:$I$803,MOVIMIENTOS_COMPLEMENTOS!$C$4:$C$803,A747,MOVIMIENTOS_COMPLEMENTOS!$D$4:$D$803,B747,MOVIMIENTOS_COMPLEMENTOS!$E$4:$E$803,C747,MOVIMIENTOS_COMPLEMENTOS!$G$4:$G$803,E747,MOVIMIENTOS_COMPLEMENTOS!$H$4:$H$803,G747,MOVIMIENTOS_COMPLEMENTOS!$B$4:$B$803,"DE CORTE")-SUMIFS(MOVIMIENTOS_COMPLEMENTOS!$I$4:$I$803,MOVIMIENTOS_COMPLEMENTOS!$C$4:$C$803,A747,MOVIMIENTOS_COMPLEMENTOS!$D$4:$D$803,B747,MOVIMIENTOS_COMPLEMENTOS!$E$4:$E$803,C747,MOVIMIENTOS_COMPLEMENTOS!$G$4:$G$803,E747,MOVIMIENTOS_COMPLEMENTOS!$H$4:$H$803,G747,MOVIMIENTOS_COMPLEMENTOS!$B$4:$B$803,"SALIDA"),0)</f>
        <v>0</v>
      </c>
      <c r="I747" s="102">
        <f t="array" ref="I747">IFERROR(INDEX(PRECIOS_COMPLEMENTOS!$C$4:$F$17,MATCH(B747&amp;"_"&amp;C747,PRECIOS_COMPLEMENTOS!$H$4:$H$17,0),IF(OR(G747="S",G747="20cm"),1,IF(OR(G747="M",G747="25cm"),2,IF(OR(G747="L",G747="30cm"),3,IF(OR(G747="XL",G747="35cm"),4,0))))),0)</f>
        <v>0.4</v>
      </c>
      <c r="J747" s="103">
        <f t="shared" si="1"/>
        <v>0</v>
      </c>
      <c r="K747" s="104" t="str">
        <f>IF(H747&lt;0,"ERROR",IF(H747=0,"",IF(H747&lt;CONFIG!$B$4,"CRÍTICO",IF(H747&lt;CONFIG!$B$5,"BAJO","OK"))))</f>
        <v/>
      </c>
    </row>
    <row r="748" ht="15.75" hidden="1" customHeight="1">
      <c r="A748" s="90" t="str">
        <f>IF(CLIENTES!A4="","",CLIENTES!A4)</f>
        <v>OverShark</v>
      </c>
      <c r="B748" s="90" t="s">
        <v>321</v>
      </c>
      <c r="C748" s="91" t="s">
        <v>328</v>
      </c>
      <c r="D748" s="109" t="s">
        <v>353</v>
      </c>
      <c r="E748" s="67" t="str">
        <f>COLORES!A10</f>
        <v>Botella</v>
      </c>
      <c r="F748" s="67" t="str">
        <f>COLORES!B10</f>
        <v>OSCURO</v>
      </c>
      <c r="G748" s="90" t="s">
        <v>378</v>
      </c>
      <c r="H748" s="100">
        <f>IFERROR(SUMIFS(MOVIMIENTOS_COMPLEMENTOS!$I$4:$I$803,MOVIMIENTOS_COMPLEMENTOS!$C$4:$C$803,A748,MOVIMIENTOS_COMPLEMENTOS!$D$4:$D$803,B748,MOVIMIENTOS_COMPLEMENTOS!$E$4:$E$803,C748,MOVIMIENTOS_COMPLEMENTOS!$G$4:$G$803,E748,MOVIMIENTOS_COMPLEMENTOS!$H$4:$H$803,G748,MOVIMIENTOS_COMPLEMENTOS!$B$4:$B$803,"INGRESO")+SUMIFS(MOVIMIENTOS_COMPLEMENTOS!$I$4:$I$803,MOVIMIENTOS_COMPLEMENTOS!$C$4:$C$803,A748,MOVIMIENTOS_COMPLEMENTOS!$D$4:$D$803,B748,MOVIMIENTOS_COMPLEMENTOS!$E$4:$E$803,C748,MOVIMIENTOS_COMPLEMENTOS!$G$4:$G$803,E748,MOVIMIENTOS_COMPLEMENTOS!$H$4:$H$803,G748,MOVIMIENTOS_COMPLEMENTOS!$B$4:$B$803,"DE CORTE")-SUMIFS(MOVIMIENTOS_COMPLEMENTOS!$I$4:$I$803,MOVIMIENTOS_COMPLEMENTOS!$C$4:$C$803,A748,MOVIMIENTOS_COMPLEMENTOS!$D$4:$D$803,B748,MOVIMIENTOS_COMPLEMENTOS!$E$4:$E$803,C748,MOVIMIENTOS_COMPLEMENTOS!$G$4:$G$803,E748,MOVIMIENTOS_COMPLEMENTOS!$H$4:$H$803,G748,MOVIMIENTOS_COMPLEMENTOS!$B$4:$B$803,"SALIDA"),0)</f>
        <v>0</v>
      </c>
      <c r="I748" s="102">
        <f t="array" ref="I748">IFERROR(INDEX(PRECIOS_COMPLEMENTOS!$C$4:$F$17,MATCH(B748&amp;"_"&amp;C748,PRECIOS_COMPLEMENTOS!$H$4:$H$17,0),IF(OR(G748="S",G748="20cm"),1,IF(OR(G748="M",G748="25cm"),2,IF(OR(G748="L",G748="30cm"),3,IF(OR(G748="XL",G748="35cm"),4,0))))),0)</f>
        <v>0.4</v>
      </c>
      <c r="J748" s="103">
        <f t="shared" si="1"/>
        <v>0</v>
      </c>
      <c r="K748" s="104" t="str">
        <f>IF(H748&lt;0,"ERROR",IF(H748=0,"",IF(H748&lt;CONFIG!$B$4,"CRÍTICO",IF(H748&lt;CONFIG!$B$5,"BAJO","OK"))))</f>
        <v/>
      </c>
    </row>
    <row r="749" ht="15.75" hidden="1" customHeight="1">
      <c r="A749" s="90" t="str">
        <f>IF(CLIENTES!A4="","",CLIENTES!A4)</f>
        <v>OverShark</v>
      </c>
      <c r="B749" s="90" t="s">
        <v>321</v>
      </c>
      <c r="C749" s="91" t="s">
        <v>328</v>
      </c>
      <c r="D749" s="109" t="s">
        <v>353</v>
      </c>
      <c r="E749" s="67" t="str">
        <f>COLORES!A10</f>
        <v>Botella</v>
      </c>
      <c r="F749" s="67" t="str">
        <f>COLORES!B10</f>
        <v>OSCURO</v>
      </c>
      <c r="G749" s="90" t="s">
        <v>376</v>
      </c>
      <c r="H749" s="100">
        <f>IFERROR(SUMIFS(MOVIMIENTOS_COMPLEMENTOS!$I$4:$I$803,MOVIMIENTOS_COMPLEMENTOS!$C$4:$C$803,A749,MOVIMIENTOS_COMPLEMENTOS!$D$4:$D$803,B749,MOVIMIENTOS_COMPLEMENTOS!$E$4:$E$803,C749,MOVIMIENTOS_COMPLEMENTOS!$G$4:$G$803,E749,MOVIMIENTOS_COMPLEMENTOS!$H$4:$H$803,G749,MOVIMIENTOS_COMPLEMENTOS!$B$4:$B$803,"INGRESO")+SUMIFS(MOVIMIENTOS_COMPLEMENTOS!$I$4:$I$803,MOVIMIENTOS_COMPLEMENTOS!$C$4:$C$803,A749,MOVIMIENTOS_COMPLEMENTOS!$D$4:$D$803,B749,MOVIMIENTOS_COMPLEMENTOS!$E$4:$E$803,C749,MOVIMIENTOS_COMPLEMENTOS!$G$4:$G$803,E749,MOVIMIENTOS_COMPLEMENTOS!$H$4:$H$803,G749,MOVIMIENTOS_COMPLEMENTOS!$B$4:$B$803,"DE CORTE")-SUMIFS(MOVIMIENTOS_COMPLEMENTOS!$I$4:$I$803,MOVIMIENTOS_COMPLEMENTOS!$C$4:$C$803,A749,MOVIMIENTOS_COMPLEMENTOS!$D$4:$D$803,B749,MOVIMIENTOS_COMPLEMENTOS!$E$4:$E$803,C749,MOVIMIENTOS_COMPLEMENTOS!$G$4:$G$803,E749,MOVIMIENTOS_COMPLEMENTOS!$H$4:$H$803,G749,MOVIMIENTOS_COMPLEMENTOS!$B$4:$B$803,"SALIDA"),0)</f>
        <v>0</v>
      </c>
      <c r="I749" s="102">
        <f t="array" ref="I749">IFERROR(INDEX(PRECIOS_COMPLEMENTOS!$C$4:$F$17,MATCH(B749&amp;"_"&amp;C749,PRECIOS_COMPLEMENTOS!$H$4:$H$17,0),IF(OR(G749="S",G749="20cm"),1,IF(OR(G749="M",G749="25cm"),2,IF(OR(G749="L",G749="30cm"),3,IF(OR(G749="XL",G749="35cm"),4,0))))),0)</f>
        <v>0.4</v>
      </c>
      <c r="J749" s="103">
        <f t="shared" si="1"/>
        <v>0</v>
      </c>
      <c r="K749" s="104" t="str">
        <f>IF(H749&lt;0,"ERROR",IF(H749=0,"",IF(H749&lt;CONFIG!$B$4,"CRÍTICO",IF(H749&lt;CONFIG!$B$5,"BAJO","OK"))))</f>
        <v/>
      </c>
    </row>
    <row r="750" ht="15.75" hidden="1" customHeight="1">
      <c r="A750" s="90" t="str">
        <f>IF(CLIENTES!A4="","",CLIENTES!A4)</f>
        <v>OverShark</v>
      </c>
      <c r="B750" s="90" t="s">
        <v>321</v>
      </c>
      <c r="C750" s="91" t="s">
        <v>328</v>
      </c>
      <c r="D750" s="109" t="s">
        <v>353</v>
      </c>
      <c r="E750" s="67" t="str">
        <f>COLORES!A10</f>
        <v>Botella</v>
      </c>
      <c r="F750" s="67" t="str">
        <f>COLORES!B10</f>
        <v>OSCURO</v>
      </c>
      <c r="G750" s="90" t="s">
        <v>377</v>
      </c>
      <c r="H750" s="100">
        <f>IFERROR(SUMIFS(MOVIMIENTOS_COMPLEMENTOS!$I$4:$I$803,MOVIMIENTOS_COMPLEMENTOS!$C$4:$C$803,A750,MOVIMIENTOS_COMPLEMENTOS!$D$4:$D$803,B750,MOVIMIENTOS_COMPLEMENTOS!$E$4:$E$803,C750,MOVIMIENTOS_COMPLEMENTOS!$G$4:$G$803,E750,MOVIMIENTOS_COMPLEMENTOS!$H$4:$H$803,G750,MOVIMIENTOS_COMPLEMENTOS!$B$4:$B$803,"INGRESO")+SUMIFS(MOVIMIENTOS_COMPLEMENTOS!$I$4:$I$803,MOVIMIENTOS_COMPLEMENTOS!$C$4:$C$803,A750,MOVIMIENTOS_COMPLEMENTOS!$D$4:$D$803,B750,MOVIMIENTOS_COMPLEMENTOS!$E$4:$E$803,C750,MOVIMIENTOS_COMPLEMENTOS!$G$4:$G$803,E750,MOVIMIENTOS_COMPLEMENTOS!$H$4:$H$803,G750,MOVIMIENTOS_COMPLEMENTOS!$B$4:$B$803,"DE CORTE")-SUMIFS(MOVIMIENTOS_COMPLEMENTOS!$I$4:$I$803,MOVIMIENTOS_COMPLEMENTOS!$C$4:$C$803,A750,MOVIMIENTOS_COMPLEMENTOS!$D$4:$D$803,B750,MOVIMIENTOS_COMPLEMENTOS!$E$4:$E$803,C750,MOVIMIENTOS_COMPLEMENTOS!$G$4:$G$803,E750,MOVIMIENTOS_COMPLEMENTOS!$H$4:$H$803,G750,MOVIMIENTOS_COMPLEMENTOS!$B$4:$B$803,"SALIDA"),0)</f>
        <v>0</v>
      </c>
      <c r="I750" s="102">
        <f t="array" ref="I750">IFERROR(INDEX(PRECIOS_COMPLEMENTOS!$C$4:$F$17,MATCH(B750&amp;"_"&amp;C750,PRECIOS_COMPLEMENTOS!$H$4:$H$17,0),IF(OR(G750="S",G750="20cm"),1,IF(OR(G750="M",G750="25cm"),2,IF(OR(G750="L",G750="30cm"),3,IF(OR(G750="XL",G750="35cm"),4,0))))),0)</f>
        <v>0.4</v>
      </c>
      <c r="J750" s="103">
        <f t="shared" si="1"/>
        <v>0</v>
      </c>
      <c r="K750" s="104" t="str">
        <f>IF(H750&lt;0,"ERROR",IF(H750=0,"",IF(H750&lt;CONFIG!$B$4,"CRÍTICO",IF(H750&lt;CONFIG!$B$5,"BAJO","OK"))))</f>
        <v/>
      </c>
    </row>
    <row r="751" ht="15.75" hidden="1" customHeight="1">
      <c r="A751" s="90" t="str">
        <f>IF(CLIENTES!A4="","",CLIENTES!A4)</f>
        <v>OverShark</v>
      </c>
      <c r="B751" s="90" t="s">
        <v>321</v>
      </c>
      <c r="C751" s="91" t="s">
        <v>328</v>
      </c>
      <c r="D751" s="109" t="s">
        <v>353</v>
      </c>
      <c r="E751" s="67" t="str">
        <f>COLORES!A10</f>
        <v>Botella</v>
      </c>
      <c r="F751" s="67" t="str">
        <f>COLORES!B10</f>
        <v>OSCURO</v>
      </c>
      <c r="G751" s="90" t="s">
        <v>379</v>
      </c>
      <c r="H751" s="100">
        <f>IFERROR(SUMIFS(MOVIMIENTOS_COMPLEMENTOS!$I$4:$I$803,MOVIMIENTOS_COMPLEMENTOS!$C$4:$C$803,A751,MOVIMIENTOS_COMPLEMENTOS!$D$4:$D$803,B751,MOVIMIENTOS_COMPLEMENTOS!$E$4:$E$803,C751,MOVIMIENTOS_COMPLEMENTOS!$G$4:$G$803,E751,MOVIMIENTOS_COMPLEMENTOS!$H$4:$H$803,G751,MOVIMIENTOS_COMPLEMENTOS!$B$4:$B$803,"INGRESO")+SUMIFS(MOVIMIENTOS_COMPLEMENTOS!$I$4:$I$803,MOVIMIENTOS_COMPLEMENTOS!$C$4:$C$803,A751,MOVIMIENTOS_COMPLEMENTOS!$D$4:$D$803,B751,MOVIMIENTOS_COMPLEMENTOS!$E$4:$E$803,C751,MOVIMIENTOS_COMPLEMENTOS!$G$4:$G$803,E751,MOVIMIENTOS_COMPLEMENTOS!$H$4:$H$803,G751,MOVIMIENTOS_COMPLEMENTOS!$B$4:$B$803,"DE CORTE")-SUMIFS(MOVIMIENTOS_COMPLEMENTOS!$I$4:$I$803,MOVIMIENTOS_COMPLEMENTOS!$C$4:$C$803,A751,MOVIMIENTOS_COMPLEMENTOS!$D$4:$D$803,B751,MOVIMIENTOS_COMPLEMENTOS!$E$4:$E$803,C751,MOVIMIENTOS_COMPLEMENTOS!$G$4:$G$803,E751,MOVIMIENTOS_COMPLEMENTOS!$H$4:$H$803,G751,MOVIMIENTOS_COMPLEMENTOS!$B$4:$B$803,"SALIDA"),0)</f>
        <v>0</v>
      </c>
      <c r="I751" s="102">
        <f t="array" ref="I751">IFERROR(INDEX(PRECIOS_COMPLEMENTOS!$C$4:$F$17,MATCH(B751&amp;"_"&amp;C751,PRECIOS_COMPLEMENTOS!$H$4:$H$17,0),IF(OR(G751="S",G751="20cm"),1,IF(OR(G751="M",G751="25cm"),2,IF(OR(G751="L",G751="30cm"),3,IF(OR(G751="XL",G751="35cm"),4,0))))),0)</f>
        <v>0.4</v>
      </c>
      <c r="J751" s="103">
        <f t="shared" si="1"/>
        <v>0</v>
      </c>
      <c r="K751" s="104" t="str">
        <f>IF(H751&lt;0,"ERROR",IF(H751=0,"",IF(H751&lt;CONFIG!$B$4,"CRÍTICO",IF(H751&lt;CONFIG!$B$5,"BAJO","OK"))))</f>
        <v/>
      </c>
    </row>
    <row r="752" ht="15.75" hidden="1" customHeight="1">
      <c r="A752" s="90" t="str">
        <f>IF(CLIENTES!A4="","",CLIENTES!A4)</f>
        <v>OverShark</v>
      </c>
      <c r="B752" s="90" t="s">
        <v>321</v>
      </c>
      <c r="C752" s="91" t="s">
        <v>328</v>
      </c>
      <c r="D752" s="109" t="s">
        <v>353</v>
      </c>
      <c r="E752" s="67" t="str">
        <f>COLORES!A11</f>
        <v>Pacay</v>
      </c>
      <c r="F752" s="67" t="str">
        <f>COLORES!B11</f>
        <v>CLARO</v>
      </c>
      <c r="G752" s="90" t="s">
        <v>378</v>
      </c>
      <c r="H752" s="100">
        <f>IFERROR(SUMIFS(MOVIMIENTOS_COMPLEMENTOS!$I$4:$I$803,MOVIMIENTOS_COMPLEMENTOS!$C$4:$C$803,A752,MOVIMIENTOS_COMPLEMENTOS!$D$4:$D$803,B752,MOVIMIENTOS_COMPLEMENTOS!$E$4:$E$803,C752,MOVIMIENTOS_COMPLEMENTOS!$G$4:$G$803,E752,MOVIMIENTOS_COMPLEMENTOS!$H$4:$H$803,G752,MOVIMIENTOS_COMPLEMENTOS!$B$4:$B$803,"INGRESO")+SUMIFS(MOVIMIENTOS_COMPLEMENTOS!$I$4:$I$803,MOVIMIENTOS_COMPLEMENTOS!$C$4:$C$803,A752,MOVIMIENTOS_COMPLEMENTOS!$D$4:$D$803,B752,MOVIMIENTOS_COMPLEMENTOS!$E$4:$E$803,C752,MOVIMIENTOS_COMPLEMENTOS!$G$4:$G$803,E752,MOVIMIENTOS_COMPLEMENTOS!$H$4:$H$803,G752,MOVIMIENTOS_COMPLEMENTOS!$B$4:$B$803,"DE CORTE")-SUMIFS(MOVIMIENTOS_COMPLEMENTOS!$I$4:$I$803,MOVIMIENTOS_COMPLEMENTOS!$C$4:$C$803,A752,MOVIMIENTOS_COMPLEMENTOS!$D$4:$D$803,B752,MOVIMIENTOS_COMPLEMENTOS!$E$4:$E$803,C752,MOVIMIENTOS_COMPLEMENTOS!$G$4:$G$803,E752,MOVIMIENTOS_COMPLEMENTOS!$H$4:$H$803,G752,MOVIMIENTOS_COMPLEMENTOS!$B$4:$B$803,"SALIDA"),0)</f>
        <v>0</v>
      </c>
      <c r="I752" s="102">
        <f t="array" ref="I752">IFERROR(INDEX(PRECIOS_COMPLEMENTOS!$C$4:$F$17,MATCH(B752&amp;"_"&amp;C752,PRECIOS_COMPLEMENTOS!$H$4:$H$17,0),IF(OR(G752="S",G752="20cm"),1,IF(OR(G752="M",G752="25cm"),2,IF(OR(G752="L",G752="30cm"),3,IF(OR(G752="XL",G752="35cm"),4,0))))),0)</f>
        <v>0.4</v>
      </c>
      <c r="J752" s="103">
        <f t="shared" si="1"/>
        <v>0</v>
      </c>
      <c r="K752" s="104" t="str">
        <f>IF(H752&lt;0,"ERROR",IF(H752=0,"",IF(H752&lt;CONFIG!$B$4,"CRÍTICO",IF(H752&lt;CONFIG!$B$5,"BAJO","OK"))))</f>
        <v/>
      </c>
    </row>
    <row r="753" ht="15.75" hidden="1" customHeight="1">
      <c r="A753" s="90" t="str">
        <f>IF(CLIENTES!A4="","",CLIENTES!A4)</f>
        <v>OverShark</v>
      </c>
      <c r="B753" s="90" t="s">
        <v>321</v>
      </c>
      <c r="C753" s="91" t="s">
        <v>328</v>
      </c>
      <c r="D753" s="109" t="s">
        <v>353</v>
      </c>
      <c r="E753" s="67" t="str">
        <f>COLORES!A11</f>
        <v>Pacay</v>
      </c>
      <c r="F753" s="67" t="str">
        <f>COLORES!B11</f>
        <v>CLARO</v>
      </c>
      <c r="G753" s="90" t="s">
        <v>376</v>
      </c>
      <c r="H753" s="100">
        <f>IFERROR(SUMIFS(MOVIMIENTOS_COMPLEMENTOS!$I$4:$I$803,MOVIMIENTOS_COMPLEMENTOS!$C$4:$C$803,A753,MOVIMIENTOS_COMPLEMENTOS!$D$4:$D$803,B753,MOVIMIENTOS_COMPLEMENTOS!$E$4:$E$803,C753,MOVIMIENTOS_COMPLEMENTOS!$G$4:$G$803,E753,MOVIMIENTOS_COMPLEMENTOS!$H$4:$H$803,G753,MOVIMIENTOS_COMPLEMENTOS!$B$4:$B$803,"INGRESO")+SUMIFS(MOVIMIENTOS_COMPLEMENTOS!$I$4:$I$803,MOVIMIENTOS_COMPLEMENTOS!$C$4:$C$803,A753,MOVIMIENTOS_COMPLEMENTOS!$D$4:$D$803,B753,MOVIMIENTOS_COMPLEMENTOS!$E$4:$E$803,C753,MOVIMIENTOS_COMPLEMENTOS!$G$4:$G$803,E753,MOVIMIENTOS_COMPLEMENTOS!$H$4:$H$803,G753,MOVIMIENTOS_COMPLEMENTOS!$B$4:$B$803,"DE CORTE")-SUMIFS(MOVIMIENTOS_COMPLEMENTOS!$I$4:$I$803,MOVIMIENTOS_COMPLEMENTOS!$C$4:$C$803,A753,MOVIMIENTOS_COMPLEMENTOS!$D$4:$D$803,B753,MOVIMIENTOS_COMPLEMENTOS!$E$4:$E$803,C753,MOVIMIENTOS_COMPLEMENTOS!$G$4:$G$803,E753,MOVIMIENTOS_COMPLEMENTOS!$H$4:$H$803,G753,MOVIMIENTOS_COMPLEMENTOS!$B$4:$B$803,"SALIDA"),0)</f>
        <v>0</v>
      </c>
      <c r="I753" s="102">
        <f t="array" ref="I753">IFERROR(INDEX(PRECIOS_COMPLEMENTOS!$C$4:$F$17,MATCH(B753&amp;"_"&amp;C753,PRECIOS_COMPLEMENTOS!$H$4:$H$17,0),IF(OR(G753="S",G753="20cm"),1,IF(OR(G753="M",G753="25cm"),2,IF(OR(G753="L",G753="30cm"),3,IF(OR(G753="XL",G753="35cm"),4,0))))),0)</f>
        <v>0.4</v>
      </c>
      <c r="J753" s="103">
        <f t="shared" si="1"/>
        <v>0</v>
      </c>
      <c r="K753" s="104" t="str">
        <f>IF(H753&lt;0,"ERROR",IF(H753=0,"",IF(H753&lt;CONFIG!$B$4,"CRÍTICO",IF(H753&lt;CONFIG!$B$5,"BAJO","OK"))))</f>
        <v/>
      </c>
    </row>
    <row r="754" ht="15.75" hidden="1" customHeight="1">
      <c r="A754" s="90" t="str">
        <f>IF(CLIENTES!A4="","",CLIENTES!A4)</f>
        <v>OverShark</v>
      </c>
      <c r="B754" s="90" t="s">
        <v>321</v>
      </c>
      <c r="C754" s="91" t="s">
        <v>328</v>
      </c>
      <c r="D754" s="109" t="s">
        <v>353</v>
      </c>
      <c r="E754" s="67" t="str">
        <f>COLORES!A11</f>
        <v>Pacay</v>
      </c>
      <c r="F754" s="67" t="str">
        <f>COLORES!B11</f>
        <v>CLARO</v>
      </c>
      <c r="G754" s="90" t="s">
        <v>377</v>
      </c>
      <c r="H754" s="100">
        <f>IFERROR(SUMIFS(MOVIMIENTOS_COMPLEMENTOS!$I$4:$I$803,MOVIMIENTOS_COMPLEMENTOS!$C$4:$C$803,A754,MOVIMIENTOS_COMPLEMENTOS!$D$4:$D$803,B754,MOVIMIENTOS_COMPLEMENTOS!$E$4:$E$803,C754,MOVIMIENTOS_COMPLEMENTOS!$G$4:$G$803,E754,MOVIMIENTOS_COMPLEMENTOS!$H$4:$H$803,G754,MOVIMIENTOS_COMPLEMENTOS!$B$4:$B$803,"INGRESO")+SUMIFS(MOVIMIENTOS_COMPLEMENTOS!$I$4:$I$803,MOVIMIENTOS_COMPLEMENTOS!$C$4:$C$803,A754,MOVIMIENTOS_COMPLEMENTOS!$D$4:$D$803,B754,MOVIMIENTOS_COMPLEMENTOS!$E$4:$E$803,C754,MOVIMIENTOS_COMPLEMENTOS!$G$4:$G$803,E754,MOVIMIENTOS_COMPLEMENTOS!$H$4:$H$803,G754,MOVIMIENTOS_COMPLEMENTOS!$B$4:$B$803,"DE CORTE")-SUMIFS(MOVIMIENTOS_COMPLEMENTOS!$I$4:$I$803,MOVIMIENTOS_COMPLEMENTOS!$C$4:$C$803,A754,MOVIMIENTOS_COMPLEMENTOS!$D$4:$D$803,B754,MOVIMIENTOS_COMPLEMENTOS!$E$4:$E$803,C754,MOVIMIENTOS_COMPLEMENTOS!$G$4:$G$803,E754,MOVIMIENTOS_COMPLEMENTOS!$H$4:$H$803,G754,MOVIMIENTOS_COMPLEMENTOS!$B$4:$B$803,"SALIDA"),0)</f>
        <v>0</v>
      </c>
      <c r="I754" s="102">
        <f t="array" ref="I754">IFERROR(INDEX(PRECIOS_COMPLEMENTOS!$C$4:$F$17,MATCH(B754&amp;"_"&amp;C754,PRECIOS_COMPLEMENTOS!$H$4:$H$17,0),IF(OR(G754="S",G754="20cm"),1,IF(OR(G754="M",G754="25cm"),2,IF(OR(G754="L",G754="30cm"),3,IF(OR(G754="XL",G754="35cm"),4,0))))),0)</f>
        <v>0.4</v>
      </c>
      <c r="J754" s="103">
        <f t="shared" si="1"/>
        <v>0</v>
      </c>
      <c r="K754" s="104" t="str">
        <f>IF(H754&lt;0,"ERROR",IF(H754=0,"",IF(H754&lt;CONFIG!$B$4,"CRÍTICO",IF(H754&lt;CONFIG!$B$5,"BAJO","OK"))))</f>
        <v/>
      </c>
    </row>
    <row r="755" ht="15.75" hidden="1" customHeight="1">
      <c r="A755" s="90" t="str">
        <f>IF(CLIENTES!A4="","",CLIENTES!A4)</f>
        <v>OverShark</v>
      </c>
      <c r="B755" s="90" t="s">
        <v>321</v>
      </c>
      <c r="C755" s="91" t="s">
        <v>328</v>
      </c>
      <c r="D755" s="109" t="s">
        <v>353</v>
      </c>
      <c r="E755" s="67" t="str">
        <f>COLORES!A11</f>
        <v>Pacay</v>
      </c>
      <c r="F755" s="67" t="str">
        <f>COLORES!B11</f>
        <v>CLARO</v>
      </c>
      <c r="G755" s="90" t="s">
        <v>379</v>
      </c>
      <c r="H755" s="100">
        <f>IFERROR(SUMIFS(MOVIMIENTOS_COMPLEMENTOS!$I$4:$I$803,MOVIMIENTOS_COMPLEMENTOS!$C$4:$C$803,A755,MOVIMIENTOS_COMPLEMENTOS!$D$4:$D$803,B755,MOVIMIENTOS_COMPLEMENTOS!$E$4:$E$803,C755,MOVIMIENTOS_COMPLEMENTOS!$G$4:$G$803,E755,MOVIMIENTOS_COMPLEMENTOS!$H$4:$H$803,G755,MOVIMIENTOS_COMPLEMENTOS!$B$4:$B$803,"INGRESO")+SUMIFS(MOVIMIENTOS_COMPLEMENTOS!$I$4:$I$803,MOVIMIENTOS_COMPLEMENTOS!$C$4:$C$803,A755,MOVIMIENTOS_COMPLEMENTOS!$D$4:$D$803,B755,MOVIMIENTOS_COMPLEMENTOS!$E$4:$E$803,C755,MOVIMIENTOS_COMPLEMENTOS!$G$4:$G$803,E755,MOVIMIENTOS_COMPLEMENTOS!$H$4:$H$803,G755,MOVIMIENTOS_COMPLEMENTOS!$B$4:$B$803,"DE CORTE")-SUMIFS(MOVIMIENTOS_COMPLEMENTOS!$I$4:$I$803,MOVIMIENTOS_COMPLEMENTOS!$C$4:$C$803,A755,MOVIMIENTOS_COMPLEMENTOS!$D$4:$D$803,B755,MOVIMIENTOS_COMPLEMENTOS!$E$4:$E$803,C755,MOVIMIENTOS_COMPLEMENTOS!$G$4:$G$803,E755,MOVIMIENTOS_COMPLEMENTOS!$H$4:$H$803,G755,MOVIMIENTOS_COMPLEMENTOS!$B$4:$B$803,"SALIDA"),0)</f>
        <v>0</v>
      </c>
      <c r="I755" s="102">
        <f t="array" ref="I755">IFERROR(INDEX(PRECIOS_COMPLEMENTOS!$C$4:$F$17,MATCH(B755&amp;"_"&amp;C755,PRECIOS_COMPLEMENTOS!$H$4:$H$17,0),IF(OR(G755="S",G755="20cm"),1,IF(OR(G755="M",G755="25cm"),2,IF(OR(G755="L",G755="30cm"),3,IF(OR(G755="XL",G755="35cm"),4,0))))),0)</f>
        <v>0.4</v>
      </c>
      <c r="J755" s="103">
        <f t="shared" si="1"/>
        <v>0</v>
      </c>
      <c r="K755" s="104" t="str">
        <f>IF(H755&lt;0,"ERROR",IF(H755=0,"",IF(H755&lt;CONFIG!$B$4,"CRÍTICO",IF(H755&lt;CONFIG!$B$5,"BAJO","OK"))))</f>
        <v/>
      </c>
    </row>
    <row r="756" ht="15.75" hidden="1" customHeight="1">
      <c r="A756" s="90" t="str">
        <f>IF(CLIENTES!A4="","",CLIENTES!A4)</f>
        <v>OverShark</v>
      </c>
      <c r="B756" s="90" t="s">
        <v>321</v>
      </c>
      <c r="C756" s="91" t="s">
        <v>328</v>
      </c>
      <c r="D756" s="109" t="s">
        <v>353</v>
      </c>
      <c r="E756" s="67" t="str">
        <f>COLORES!A12</f>
        <v>Cemento</v>
      </c>
      <c r="F756" s="67" t="str">
        <f>COLORES!B12</f>
        <v>CLARO</v>
      </c>
      <c r="G756" s="90" t="s">
        <v>378</v>
      </c>
      <c r="H756" s="100">
        <f>IFERROR(SUMIFS(MOVIMIENTOS_COMPLEMENTOS!$I$4:$I$803,MOVIMIENTOS_COMPLEMENTOS!$C$4:$C$803,A756,MOVIMIENTOS_COMPLEMENTOS!$D$4:$D$803,B756,MOVIMIENTOS_COMPLEMENTOS!$E$4:$E$803,C756,MOVIMIENTOS_COMPLEMENTOS!$G$4:$G$803,E756,MOVIMIENTOS_COMPLEMENTOS!$H$4:$H$803,G756,MOVIMIENTOS_COMPLEMENTOS!$B$4:$B$803,"INGRESO")+SUMIFS(MOVIMIENTOS_COMPLEMENTOS!$I$4:$I$803,MOVIMIENTOS_COMPLEMENTOS!$C$4:$C$803,A756,MOVIMIENTOS_COMPLEMENTOS!$D$4:$D$803,B756,MOVIMIENTOS_COMPLEMENTOS!$E$4:$E$803,C756,MOVIMIENTOS_COMPLEMENTOS!$G$4:$G$803,E756,MOVIMIENTOS_COMPLEMENTOS!$H$4:$H$803,G756,MOVIMIENTOS_COMPLEMENTOS!$B$4:$B$803,"DE CORTE")-SUMIFS(MOVIMIENTOS_COMPLEMENTOS!$I$4:$I$803,MOVIMIENTOS_COMPLEMENTOS!$C$4:$C$803,A756,MOVIMIENTOS_COMPLEMENTOS!$D$4:$D$803,B756,MOVIMIENTOS_COMPLEMENTOS!$E$4:$E$803,C756,MOVIMIENTOS_COMPLEMENTOS!$G$4:$G$803,E756,MOVIMIENTOS_COMPLEMENTOS!$H$4:$H$803,G756,MOVIMIENTOS_COMPLEMENTOS!$B$4:$B$803,"SALIDA"),0)</f>
        <v>0</v>
      </c>
      <c r="I756" s="102">
        <f t="array" ref="I756">IFERROR(INDEX(PRECIOS_COMPLEMENTOS!$C$4:$F$17,MATCH(B756&amp;"_"&amp;C756,PRECIOS_COMPLEMENTOS!$H$4:$H$17,0),IF(OR(G756="S",G756="20cm"),1,IF(OR(G756="M",G756="25cm"),2,IF(OR(G756="L",G756="30cm"),3,IF(OR(G756="XL",G756="35cm"),4,0))))),0)</f>
        <v>0.4</v>
      </c>
      <c r="J756" s="103">
        <f t="shared" si="1"/>
        <v>0</v>
      </c>
      <c r="K756" s="104" t="str">
        <f>IF(H756&lt;0,"ERROR",IF(H756=0,"",IF(H756&lt;CONFIG!$B$4,"CRÍTICO",IF(H756&lt;CONFIG!$B$5,"BAJO","OK"))))</f>
        <v/>
      </c>
    </row>
    <row r="757" ht="15.75" hidden="1" customHeight="1">
      <c r="A757" s="90" t="str">
        <f>IF(CLIENTES!A4="","",CLIENTES!A4)</f>
        <v>OverShark</v>
      </c>
      <c r="B757" s="90" t="s">
        <v>321</v>
      </c>
      <c r="C757" s="91" t="s">
        <v>328</v>
      </c>
      <c r="D757" s="109" t="s">
        <v>353</v>
      </c>
      <c r="E757" s="67" t="str">
        <f>COLORES!A12</f>
        <v>Cemento</v>
      </c>
      <c r="F757" s="67" t="str">
        <f>COLORES!B12</f>
        <v>CLARO</v>
      </c>
      <c r="G757" s="90" t="s">
        <v>376</v>
      </c>
      <c r="H757" s="100">
        <f>IFERROR(SUMIFS(MOVIMIENTOS_COMPLEMENTOS!$I$4:$I$803,MOVIMIENTOS_COMPLEMENTOS!$C$4:$C$803,A757,MOVIMIENTOS_COMPLEMENTOS!$D$4:$D$803,B757,MOVIMIENTOS_COMPLEMENTOS!$E$4:$E$803,C757,MOVIMIENTOS_COMPLEMENTOS!$G$4:$G$803,E757,MOVIMIENTOS_COMPLEMENTOS!$H$4:$H$803,G757,MOVIMIENTOS_COMPLEMENTOS!$B$4:$B$803,"INGRESO")+SUMIFS(MOVIMIENTOS_COMPLEMENTOS!$I$4:$I$803,MOVIMIENTOS_COMPLEMENTOS!$C$4:$C$803,A757,MOVIMIENTOS_COMPLEMENTOS!$D$4:$D$803,B757,MOVIMIENTOS_COMPLEMENTOS!$E$4:$E$803,C757,MOVIMIENTOS_COMPLEMENTOS!$G$4:$G$803,E757,MOVIMIENTOS_COMPLEMENTOS!$H$4:$H$803,G757,MOVIMIENTOS_COMPLEMENTOS!$B$4:$B$803,"DE CORTE")-SUMIFS(MOVIMIENTOS_COMPLEMENTOS!$I$4:$I$803,MOVIMIENTOS_COMPLEMENTOS!$C$4:$C$803,A757,MOVIMIENTOS_COMPLEMENTOS!$D$4:$D$803,B757,MOVIMIENTOS_COMPLEMENTOS!$E$4:$E$803,C757,MOVIMIENTOS_COMPLEMENTOS!$G$4:$G$803,E757,MOVIMIENTOS_COMPLEMENTOS!$H$4:$H$803,G757,MOVIMIENTOS_COMPLEMENTOS!$B$4:$B$803,"SALIDA"),0)</f>
        <v>0</v>
      </c>
      <c r="I757" s="102">
        <f t="array" ref="I757">IFERROR(INDEX(PRECIOS_COMPLEMENTOS!$C$4:$F$17,MATCH(B757&amp;"_"&amp;C757,PRECIOS_COMPLEMENTOS!$H$4:$H$17,0),IF(OR(G757="S",G757="20cm"),1,IF(OR(G757="M",G757="25cm"),2,IF(OR(G757="L",G757="30cm"),3,IF(OR(G757="XL",G757="35cm"),4,0))))),0)</f>
        <v>0.4</v>
      </c>
      <c r="J757" s="103">
        <f t="shared" si="1"/>
        <v>0</v>
      </c>
      <c r="K757" s="104" t="str">
        <f>IF(H757&lt;0,"ERROR",IF(H757=0,"",IF(H757&lt;CONFIG!$B$4,"CRÍTICO",IF(H757&lt;CONFIG!$B$5,"BAJO","OK"))))</f>
        <v/>
      </c>
    </row>
    <row r="758" ht="15.75" hidden="1" customHeight="1">
      <c r="A758" s="90" t="str">
        <f>IF(CLIENTES!A4="","",CLIENTES!A4)</f>
        <v>OverShark</v>
      </c>
      <c r="B758" s="90" t="s">
        <v>321</v>
      </c>
      <c r="C758" s="91" t="s">
        <v>328</v>
      </c>
      <c r="D758" s="109" t="s">
        <v>353</v>
      </c>
      <c r="E758" s="67" t="str">
        <f>COLORES!A12</f>
        <v>Cemento</v>
      </c>
      <c r="F758" s="67" t="str">
        <f>COLORES!B12</f>
        <v>CLARO</v>
      </c>
      <c r="G758" s="90" t="s">
        <v>377</v>
      </c>
      <c r="H758" s="100">
        <f>IFERROR(SUMIFS(MOVIMIENTOS_COMPLEMENTOS!$I$4:$I$803,MOVIMIENTOS_COMPLEMENTOS!$C$4:$C$803,A758,MOVIMIENTOS_COMPLEMENTOS!$D$4:$D$803,B758,MOVIMIENTOS_COMPLEMENTOS!$E$4:$E$803,C758,MOVIMIENTOS_COMPLEMENTOS!$G$4:$G$803,E758,MOVIMIENTOS_COMPLEMENTOS!$H$4:$H$803,G758,MOVIMIENTOS_COMPLEMENTOS!$B$4:$B$803,"INGRESO")+SUMIFS(MOVIMIENTOS_COMPLEMENTOS!$I$4:$I$803,MOVIMIENTOS_COMPLEMENTOS!$C$4:$C$803,A758,MOVIMIENTOS_COMPLEMENTOS!$D$4:$D$803,B758,MOVIMIENTOS_COMPLEMENTOS!$E$4:$E$803,C758,MOVIMIENTOS_COMPLEMENTOS!$G$4:$G$803,E758,MOVIMIENTOS_COMPLEMENTOS!$H$4:$H$803,G758,MOVIMIENTOS_COMPLEMENTOS!$B$4:$B$803,"DE CORTE")-SUMIFS(MOVIMIENTOS_COMPLEMENTOS!$I$4:$I$803,MOVIMIENTOS_COMPLEMENTOS!$C$4:$C$803,A758,MOVIMIENTOS_COMPLEMENTOS!$D$4:$D$803,B758,MOVIMIENTOS_COMPLEMENTOS!$E$4:$E$803,C758,MOVIMIENTOS_COMPLEMENTOS!$G$4:$G$803,E758,MOVIMIENTOS_COMPLEMENTOS!$H$4:$H$803,G758,MOVIMIENTOS_COMPLEMENTOS!$B$4:$B$803,"SALIDA"),0)</f>
        <v>0</v>
      </c>
      <c r="I758" s="102">
        <f t="array" ref="I758">IFERROR(INDEX(PRECIOS_COMPLEMENTOS!$C$4:$F$17,MATCH(B758&amp;"_"&amp;C758,PRECIOS_COMPLEMENTOS!$H$4:$H$17,0),IF(OR(G758="S",G758="20cm"),1,IF(OR(G758="M",G758="25cm"),2,IF(OR(G758="L",G758="30cm"),3,IF(OR(G758="XL",G758="35cm"),4,0))))),0)</f>
        <v>0.4</v>
      </c>
      <c r="J758" s="103">
        <f t="shared" si="1"/>
        <v>0</v>
      </c>
      <c r="K758" s="104" t="str">
        <f>IF(H758&lt;0,"ERROR",IF(H758=0,"",IF(H758&lt;CONFIG!$B$4,"CRÍTICO",IF(H758&lt;CONFIG!$B$5,"BAJO","OK"))))</f>
        <v/>
      </c>
    </row>
    <row r="759" ht="15.75" hidden="1" customHeight="1">
      <c r="A759" s="90" t="str">
        <f>IF(CLIENTES!A4="","",CLIENTES!A4)</f>
        <v>OverShark</v>
      </c>
      <c r="B759" s="90" t="s">
        <v>321</v>
      </c>
      <c r="C759" s="91" t="s">
        <v>328</v>
      </c>
      <c r="D759" s="109" t="s">
        <v>353</v>
      </c>
      <c r="E759" s="67" t="str">
        <f>COLORES!A12</f>
        <v>Cemento</v>
      </c>
      <c r="F759" s="67" t="str">
        <f>COLORES!B12</f>
        <v>CLARO</v>
      </c>
      <c r="G759" s="90" t="s">
        <v>379</v>
      </c>
      <c r="H759" s="100">
        <f>IFERROR(SUMIFS(MOVIMIENTOS_COMPLEMENTOS!$I$4:$I$803,MOVIMIENTOS_COMPLEMENTOS!$C$4:$C$803,A759,MOVIMIENTOS_COMPLEMENTOS!$D$4:$D$803,B759,MOVIMIENTOS_COMPLEMENTOS!$E$4:$E$803,C759,MOVIMIENTOS_COMPLEMENTOS!$G$4:$G$803,E759,MOVIMIENTOS_COMPLEMENTOS!$H$4:$H$803,G759,MOVIMIENTOS_COMPLEMENTOS!$B$4:$B$803,"INGRESO")+SUMIFS(MOVIMIENTOS_COMPLEMENTOS!$I$4:$I$803,MOVIMIENTOS_COMPLEMENTOS!$C$4:$C$803,A759,MOVIMIENTOS_COMPLEMENTOS!$D$4:$D$803,B759,MOVIMIENTOS_COMPLEMENTOS!$E$4:$E$803,C759,MOVIMIENTOS_COMPLEMENTOS!$G$4:$G$803,E759,MOVIMIENTOS_COMPLEMENTOS!$H$4:$H$803,G759,MOVIMIENTOS_COMPLEMENTOS!$B$4:$B$803,"DE CORTE")-SUMIFS(MOVIMIENTOS_COMPLEMENTOS!$I$4:$I$803,MOVIMIENTOS_COMPLEMENTOS!$C$4:$C$803,A759,MOVIMIENTOS_COMPLEMENTOS!$D$4:$D$803,B759,MOVIMIENTOS_COMPLEMENTOS!$E$4:$E$803,C759,MOVIMIENTOS_COMPLEMENTOS!$G$4:$G$803,E759,MOVIMIENTOS_COMPLEMENTOS!$H$4:$H$803,G759,MOVIMIENTOS_COMPLEMENTOS!$B$4:$B$803,"SALIDA"),0)</f>
        <v>0</v>
      </c>
      <c r="I759" s="102">
        <f t="array" ref="I759">IFERROR(INDEX(PRECIOS_COMPLEMENTOS!$C$4:$F$17,MATCH(B759&amp;"_"&amp;C759,PRECIOS_COMPLEMENTOS!$H$4:$H$17,0),IF(OR(G759="S",G759="20cm"),1,IF(OR(G759="M",G759="25cm"),2,IF(OR(G759="L",G759="30cm"),3,IF(OR(G759="XL",G759="35cm"),4,0))))),0)</f>
        <v>0.4</v>
      </c>
      <c r="J759" s="103">
        <f t="shared" si="1"/>
        <v>0</v>
      </c>
      <c r="K759" s="104" t="str">
        <f>IF(H759&lt;0,"ERROR",IF(H759=0,"",IF(H759&lt;CONFIG!$B$4,"CRÍTICO",IF(H759&lt;CONFIG!$B$5,"BAJO","OK"))))</f>
        <v/>
      </c>
    </row>
    <row r="760" ht="15.75" hidden="1" customHeight="1">
      <c r="A760" s="90" t="str">
        <f>IF(CLIENTES!A4="","",CLIENTES!A4)</f>
        <v>OverShark</v>
      </c>
      <c r="B760" s="90" t="s">
        <v>321</v>
      </c>
      <c r="C760" s="91" t="s">
        <v>328</v>
      </c>
      <c r="D760" s="109" t="s">
        <v>353</v>
      </c>
      <c r="E760" s="67" t="str">
        <f>COLORES!A13</f>
        <v>Camote</v>
      </c>
      <c r="F760" s="67" t="str">
        <f>COLORES!B13</f>
        <v>CLARO</v>
      </c>
      <c r="G760" s="90" t="s">
        <v>378</v>
      </c>
      <c r="H760" s="100">
        <f>IFERROR(SUMIFS(MOVIMIENTOS_COMPLEMENTOS!$I$4:$I$803,MOVIMIENTOS_COMPLEMENTOS!$C$4:$C$803,A760,MOVIMIENTOS_COMPLEMENTOS!$D$4:$D$803,B760,MOVIMIENTOS_COMPLEMENTOS!$E$4:$E$803,C760,MOVIMIENTOS_COMPLEMENTOS!$G$4:$G$803,E760,MOVIMIENTOS_COMPLEMENTOS!$H$4:$H$803,G760,MOVIMIENTOS_COMPLEMENTOS!$B$4:$B$803,"INGRESO")+SUMIFS(MOVIMIENTOS_COMPLEMENTOS!$I$4:$I$803,MOVIMIENTOS_COMPLEMENTOS!$C$4:$C$803,A760,MOVIMIENTOS_COMPLEMENTOS!$D$4:$D$803,B760,MOVIMIENTOS_COMPLEMENTOS!$E$4:$E$803,C760,MOVIMIENTOS_COMPLEMENTOS!$G$4:$G$803,E760,MOVIMIENTOS_COMPLEMENTOS!$H$4:$H$803,G760,MOVIMIENTOS_COMPLEMENTOS!$B$4:$B$803,"DE CORTE")-SUMIFS(MOVIMIENTOS_COMPLEMENTOS!$I$4:$I$803,MOVIMIENTOS_COMPLEMENTOS!$C$4:$C$803,A760,MOVIMIENTOS_COMPLEMENTOS!$D$4:$D$803,B760,MOVIMIENTOS_COMPLEMENTOS!$E$4:$E$803,C760,MOVIMIENTOS_COMPLEMENTOS!$G$4:$G$803,E760,MOVIMIENTOS_COMPLEMENTOS!$H$4:$H$803,G760,MOVIMIENTOS_COMPLEMENTOS!$B$4:$B$803,"SALIDA"),0)</f>
        <v>0</v>
      </c>
      <c r="I760" s="102">
        <f t="array" ref="I760">IFERROR(INDEX(PRECIOS_COMPLEMENTOS!$C$4:$F$17,MATCH(B760&amp;"_"&amp;C760,PRECIOS_COMPLEMENTOS!$H$4:$H$17,0),IF(OR(G760="S",G760="20cm"),1,IF(OR(G760="M",G760="25cm"),2,IF(OR(G760="L",G760="30cm"),3,IF(OR(G760="XL",G760="35cm"),4,0))))),0)</f>
        <v>0.4</v>
      </c>
      <c r="J760" s="103">
        <f t="shared" si="1"/>
        <v>0</v>
      </c>
      <c r="K760" s="104" t="str">
        <f>IF(H760&lt;0,"ERROR",IF(H760=0,"",IF(H760&lt;CONFIG!$B$4,"CRÍTICO",IF(H760&lt;CONFIG!$B$5,"BAJO","OK"))))</f>
        <v/>
      </c>
    </row>
    <row r="761" ht="15.75" hidden="1" customHeight="1">
      <c r="A761" s="90" t="str">
        <f>IF(CLIENTES!A4="","",CLIENTES!A4)</f>
        <v>OverShark</v>
      </c>
      <c r="B761" s="90" t="s">
        <v>321</v>
      </c>
      <c r="C761" s="91" t="s">
        <v>328</v>
      </c>
      <c r="D761" s="109" t="s">
        <v>353</v>
      </c>
      <c r="E761" s="67" t="str">
        <f>COLORES!A13</f>
        <v>Camote</v>
      </c>
      <c r="F761" s="67" t="str">
        <f>COLORES!B13</f>
        <v>CLARO</v>
      </c>
      <c r="G761" s="90" t="s">
        <v>376</v>
      </c>
      <c r="H761" s="100">
        <f>IFERROR(SUMIFS(MOVIMIENTOS_COMPLEMENTOS!$I$4:$I$803,MOVIMIENTOS_COMPLEMENTOS!$C$4:$C$803,A761,MOVIMIENTOS_COMPLEMENTOS!$D$4:$D$803,B761,MOVIMIENTOS_COMPLEMENTOS!$E$4:$E$803,C761,MOVIMIENTOS_COMPLEMENTOS!$G$4:$G$803,E761,MOVIMIENTOS_COMPLEMENTOS!$H$4:$H$803,G761,MOVIMIENTOS_COMPLEMENTOS!$B$4:$B$803,"INGRESO")+SUMIFS(MOVIMIENTOS_COMPLEMENTOS!$I$4:$I$803,MOVIMIENTOS_COMPLEMENTOS!$C$4:$C$803,A761,MOVIMIENTOS_COMPLEMENTOS!$D$4:$D$803,B761,MOVIMIENTOS_COMPLEMENTOS!$E$4:$E$803,C761,MOVIMIENTOS_COMPLEMENTOS!$G$4:$G$803,E761,MOVIMIENTOS_COMPLEMENTOS!$H$4:$H$803,G761,MOVIMIENTOS_COMPLEMENTOS!$B$4:$B$803,"DE CORTE")-SUMIFS(MOVIMIENTOS_COMPLEMENTOS!$I$4:$I$803,MOVIMIENTOS_COMPLEMENTOS!$C$4:$C$803,A761,MOVIMIENTOS_COMPLEMENTOS!$D$4:$D$803,B761,MOVIMIENTOS_COMPLEMENTOS!$E$4:$E$803,C761,MOVIMIENTOS_COMPLEMENTOS!$G$4:$G$803,E761,MOVIMIENTOS_COMPLEMENTOS!$H$4:$H$803,G761,MOVIMIENTOS_COMPLEMENTOS!$B$4:$B$803,"SALIDA"),0)</f>
        <v>0</v>
      </c>
      <c r="I761" s="102">
        <f t="array" ref="I761">IFERROR(INDEX(PRECIOS_COMPLEMENTOS!$C$4:$F$17,MATCH(B761&amp;"_"&amp;C761,PRECIOS_COMPLEMENTOS!$H$4:$H$17,0),IF(OR(G761="S",G761="20cm"),1,IF(OR(G761="M",G761="25cm"),2,IF(OR(G761="L",G761="30cm"),3,IF(OR(G761="XL",G761="35cm"),4,0))))),0)</f>
        <v>0.4</v>
      </c>
      <c r="J761" s="103">
        <f t="shared" si="1"/>
        <v>0</v>
      </c>
      <c r="K761" s="104" t="str">
        <f>IF(H761&lt;0,"ERROR",IF(H761=0,"",IF(H761&lt;CONFIG!$B$4,"CRÍTICO",IF(H761&lt;CONFIG!$B$5,"BAJO","OK"))))</f>
        <v/>
      </c>
    </row>
    <row r="762" ht="15.75" hidden="1" customHeight="1">
      <c r="A762" s="90" t="str">
        <f>IF(CLIENTES!A4="","",CLIENTES!A4)</f>
        <v>OverShark</v>
      </c>
      <c r="B762" s="90" t="s">
        <v>321</v>
      </c>
      <c r="C762" s="91" t="s">
        <v>328</v>
      </c>
      <c r="D762" s="109" t="s">
        <v>353</v>
      </c>
      <c r="E762" s="67" t="str">
        <f>COLORES!A13</f>
        <v>Camote</v>
      </c>
      <c r="F762" s="67" t="str">
        <f>COLORES!B13</f>
        <v>CLARO</v>
      </c>
      <c r="G762" s="90" t="s">
        <v>377</v>
      </c>
      <c r="H762" s="100">
        <f>IFERROR(SUMIFS(MOVIMIENTOS_COMPLEMENTOS!$I$4:$I$803,MOVIMIENTOS_COMPLEMENTOS!$C$4:$C$803,A762,MOVIMIENTOS_COMPLEMENTOS!$D$4:$D$803,B762,MOVIMIENTOS_COMPLEMENTOS!$E$4:$E$803,C762,MOVIMIENTOS_COMPLEMENTOS!$G$4:$G$803,E762,MOVIMIENTOS_COMPLEMENTOS!$H$4:$H$803,G762,MOVIMIENTOS_COMPLEMENTOS!$B$4:$B$803,"INGRESO")+SUMIFS(MOVIMIENTOS_COMPLEMENTOS!$I$4:$I$803,MOVIMIENTOS_COMPLEMENTOS!$C$4:$C$803,A762,MOVIMIENTOS_COMPLEMENTOS!$D$4:$D$803,B762,MOVIMIENTOS_COMPLEMENTOS!$E$4:$E$803,C762,MOVIMIENTOS_COMPLEMENTOS!$G$4:$G$803,E762,MOVIMIENTOS_COMPLEMENTOS!$H$4:$H$803,G762,MOVIMIENTOS_COMPLEMENTOS!$B$4:$B$803,"DE CORTE")-SUMIFS(MOVIMIENTOS_COMPLEMENTOS!$I$4:$I$803,MOVIMIENTOS_COMPLEMENTOS!$C$4:$C$803,A762,MOVIMIENTOS_COMPLEMENTOS!$D$4:$D$803,B762,MOVIMIENTOS_COMPLEMENTOS!$E$4:$E$803,C762,MOVIMIENTOS_COMPLEMENTOS!$G$4:$G$803,E762,MOVIMIENTOS_COMPLEMENTOS!$H$4:$H$803,G762,MOVIMIENTOS_COMPLEMENTOS!$B$4:$B$803,"SALIDA"),0)</f>
        <v>0</v>
      </c>
      <c r="I762" s="102">
        <f t="array" ref="I762">IFERROR(INDEX(PRECIOS_COMPLEMENTOS!$C$4:$F$17,MATCH(B762&amp;"_"&amp;C762,PRECIOS_COMPLEMENTOS!$H$4:$H$17,0),IF(OR(G762="S",G762="20cm"),1,IF(OR(G762="M",G762="25cm"),2,IF(OR(G762="L",G762="30cm"),3,IF(OR(G762="XL",G762="35cm"),4,0))))),0)</f>
        <v>0.4</v>
      </c>
      <c r="J762" s="103">
        <f t="shared" si="1"/>
        <v>0</v>
      </c>
      <c r="K762" s="104" t="str">
        <f>IF(H762&lt;0,"ERROR",IF(H762=0,"",IF(H762&lt;CONFIG!$B$4,"CRÍTICO",IF(H762&lt;CONFIG!$B$5,"BAJO","OK"))))</f>
        <v/>
      </c>
    </row>
    <row r="763" ht="15.75" hidden="1" customHeight="1">
      <c r="A763" s="90" t="str">
        <f>IF(CLIENTES!A4="","",CLIENTES!A4)</f>
        <v>OverShark</v>
      </c>
      <c r="B763" s="90" t="s">
        <v>321</v>
      </c>
      <c r="C763" s="91" t="s">
        <v>328</v>
      </c>
      <c r="D763" s="109" t="s">
        <v>353</v>
      </c>
      <c r="E763" s="67" t="str">
        <f>COLORES!A13</f>
        <v>Camote</v>
      </c>
      <c r="F763" s="67" t="str">
        <f>COLORES!B13</f>
        <v>CLARO</v>
      </c>
      <c r="G763" s="90" t="s">
        <v>379</v>
      </c>
      <c r="H763" s="100">
        <f>IFERROR(SUMIFS(MOVIMIENTOS_COMPLEMENTOS!$I$4:$I$803,MOVIMIENTOS_COMPLEMENTOS!$C$4:$C$803,A763,MOVIMIENTOS_COMPLEMENTOS!$D$4:$D$803,B763,MOVIMIENTOS_COMPLEMENTOS!$E$4:$E$803,C763,MOVIMIENTOS_COMPLEMENTOS!$G$4:$G$803,E763,MOVIMIENTOS_COMPLEMENTOS!$H$4:$H$803,G763,MOVIMIENTOS_COMPLEMENTOS!$B$4:$B$803,"INGRESO")+SUMIFS(MOVIMIENTOS_COMPLEMENTOS!$I$4:$I$803,MOVIMIENTOS_COMPLEMENTOS!$C$4:$C$803,A763,MOVIMIENTOS_COMPLEMENTOS!$D$4:$D$803,B763,MOVIMIENTOS_COMPLEMENTOS!$E$4:$E$803,C763,MOVIMIENTOS_COMPLEMENTOS!$G$4:$G$803,E763,MOVIMIENTOS_COMPLEMENTOS!$H$4:$H$803,G763,MOVIMIENTOS_COMPLEMENTOS!$B$4:$B$803,"DE CORTE")-SUMIFS(MOVIMIENTOS_COMPLEMENTOS!$I$4:$I$803,MOVIMIENTOS_COMPLEMENTOS!$C$4:$C$803,A763,MOVIMIENTOS_COMPLEMENTOS!$D$4:$D$803,B763,MOVIMIENTOS_COMPLEMENTOS!$E$4:$E$803,C763,MOVIMIENTOS_COMPLEMENTOS!$G$4:$G$803,E763,MOVIMIENTOS_COMPLEMENTOS!$H$4:$H$803,G763,MOVIMIENTOS_COMPLEMENTOS!$B$4:$B$803,"SALIDA"),0)</f>
        <v>0</v>
      </c>
      <c r="I763" s="102">
        <f t="array" ref="I763">IFERROR(INDEX(PRECIOS_COMPLEMENTOS!$C$4:$F$17,MATCH(B763&amp;"_"&amp;C763,PRECIOS_COMPLEMENTOS!$H$4:$H$17,0),IF(OR(G763="S",G763="20cm"),1,IF(OR(G763="M",G763="25cm"),2,IF(OR(G763="L",G763="30cm"),3,IF(OR(G763="XL",G763="35cm"),4,0))))),0)</f>
        <v>0.4</v>
      </c>
      <c r="J763" s="103">
        <f t="shared" si="1"/>
        <v>0</v>
      </c>
      <c r="K763" s="104" t="str">
        <f>IF(H763&lt;0,"ERROR",IF(H763=0,"",IF(H763&lt;CONFIG!$B$4,"CRÍTICO",IF(H763&lt;CONFIG!$B$5,"BAJO","OK"))))</f>
        <v/>
      </c>
    </row>
    <row r="764" ht="15.75" hidden="1" customHeight="1">
      <c r="A764" s="90" t="str">
        <f>IF(CLIENTES!A4="","",CLIENTES!A4)</f>
        <v>OverShark</v>
      </c>
      <c r="B764" s="90" t="s">
        <v>321</v>
      </c>
      <c r="C764" s="91" t="s">
        <v>328</v>
      </c>
      <c r="D764" s="109" t="s">
        <v>353</v>
      </c>
      <c r="E764" s="67" t="str">
        <f>COLORES!A14</f>
        <v>Denim</v>
      </c>
      <c r="F764" s="67" t="str">
        <f>COLORES!B14</f>
        <v>CLARO</v>
      </c>
      <c r="G764" s="90" t="s">
        <v>378</v>
      </c>
      <c r="H764" s="100">
        <f>IFERROR(SUMIFS(MOVIMIENTOS_COMPLEMENTOS!$I$4:$I$803,MOVIMIENTOS_COMPLEMENTOS!$C$4:$C$803,A764,MOVIMIENTOS_COMPLEMENTOS!$D$4:$D$803,B764,MOVIMIENTOS_COMPLEMENTOS!$E$4:$E$803,C764,MOVIMIENTOS_COMPLEMENTOS!$G$4:$G$803,E764,MOVIMIENTOS_COMPLEMENTOS!$H$4:$H$803,G764,MOVIMIENTOS_COMPLEMENTOS!$B$4:$B$803,"INGRESO")+SUMIFS(MOVIMIENTOS_COMPLEMENTOS!$I$4:$I$803,MOVIMIENTOS_COMPLEMENTOS!$C$4:$C$803,A764,MOVIMIENTOS_COMPLEMENTOS!$D$4:$D$803,B764,MOVIMIENTOS_COMPLEMENTOS!$E$4:$E$803,C764,MOVIMIENTOS_COMPLEMENTOS!$G$4:$G$803,E764,MOVIMIENTOS_COMPLEMENTOS!$H$4:$H$803,G764,MOVIMIENTOS_COMPLEMENTOS!$B$4:$B$803,"DE CORTE")-SUMIFS(MOVIMIENTOS_COMPLEMENTOS!$I$4:$I$803,MOVIMIENTOS_COMPLEMENTOS!$C$4:$C$803,A764,MOVIMIENTOS_COMPLEMENTOS!$D$4:$D$803,B764,MOVIMIENTOS_COMPLEMENTOS!$E$4:$E$803,C764,MOVIMIENTOS_COMPLEMENTOS!$G$4:$G$803,E764,MOVIMIENTOS_COMPLEMENTOS!$H$4:$H$803,G764,MOVIMIENTOS_COMPLEMENTOS!$B$4:$B$803,"SALIDA"),0)</f>
        <v>0</v>
      </c>
      <c r="I764" s="102">
        <f t="array" ref="I764">IFERROR(INDEX(PRECIOS_COMPLEMENTOS!$C$4:$F$17,MATCH(B764&amp;"_"&amp;C764,PRECIOS_COMPLEMENTOS!$H$4:$H$17,0),IF(OR(G764="S",G764="20cm"),1,IF(OR(G764="M",G764="25cm"),2,IF(OR(G764="L",G764="30cm"),3,IF(OR(G764="XL",G764="35cm"),4,0))))),0)</f>
        <v>0.4</v>
      </c>
      <c r="J764" s="103">
        <f t="shared" si="1"/>
        <v>0</v>
      </c>
      <c r="K764" s="104" t="str">
        <f>IF(H764&lt;0,"ERROR",IF(H764=0,"",IF(H764&lt;CONFIG!$B$4,"CRÍTICO",IF(H764&lt;CONFIG!$B$5,"BAJO","OK"))))</f>
        <v/>
      </c>
    </row>
    <row r="765" ht="15.75" hidden="1" customHeight="1">
      <c r="A765" s="90" t="str">
        <f>IF(CLIENTES!A4="","",CLIENTES!A4)</f>
        <v>OverShark</v>
      </c>
      <c r="B765" s="90" t="s">
        <v>321</v>
      </c>
      <c r="C765" s="91" t="s">
        <v>328</v>
      </c>
      <c r="D765" s="109" t="s">
        <v>353</v>
      </c>
      <c r="E765" s="67" t="str">
        <f>COLORES!A14</f>
        <v>Denim</v>
      </c>
      <c r="F765" s="67" t="str">
        <f>COLORES!B14</f>
        <v>CLARO</v>
      </c>
      <c r="G765" s="90" t="s">
        <v>376</v>
      </c>
      <c r="H765" s="100">
        <f>IFERROR(SUMIFS(MOVIMIENTOS_COMPLEMENTOS!$I$4:$I$803,MOVIMIENTOS_COMPLEMENTOS!$C$4:$C$803,A765,MOVIMIENTOS_COMPLEMENTOS!$D$4:$D$803,B765,MOVIMIENTOS_COMPLEMENTOS!$E$4:$E$803,C765,MOVIMIENTOS_COMPLEMENTOS!$G$4:$G$803,E765,MOVIMIENTOS_COMPLEMENTOS!$H$4:$H$803,G765,MOVIMIENTOS_COMPLEMENTOS!$B$4:$B$803,"INGRESO")+SUMIFS(MOVIMIENTOS_COMPLEMENTOS!$I$4:$I$803,MOVIMIENTOS_COMPLEMENTOS!$C$4:$C$803,A765,MOVIMIENTOS_COMPLEMENTOS!$D$4:$D$803,B765,MOVIMIENTOS_COMPLEMENTOS!$E$4:$E$803,C765,MOVIMIENTOS_COMPLEMENTOS!$G$4:$G$803,E765,MOVIMIENTOS_COMPLEMENTOS!$H$4:$H$803,G765,MOVIMIENTOS_COMPLEMENTOS!$B$4:$B$803,"DE CORTE")-SUMIFS(MOVIMIENTOS_COMPLEMENTOS!$I$4:$I$803,MOVIMIENTOS_COMPLEMENTOS!$C$4:$C$803,A765,MOVIMIENTOS_COMPLEMENTOS!$D$4:$D$803,B765,MOVIMIENTOS_COMPLEMENTOS!$E$4:$E$803,C765,MOVIMIENTOS_COMPLEMENTOS!$G$4:$G$803,E765,MOVIMIENTOS_COMPLEMENTOS!$H$4:$H$803,G765,MOVIMIENTOS_COMPLEMENTOS!$B$4:$B$803,"SALIDA"),0)</f>
        <v>0</v>
      </c>
      <c r="I765" s="102">
        <f t="array" ref="I765">IFERROR(INDEX(PRECIOS_COMPLEMENTOS!$C$4:$F$17,MATCH(B765&amp;"_"&amp;C765,PRECIOS_COMPLEMENTOS!$H$4:$H$17,0),IF(OR(G765="S",G765="20cm"),1,IF(OR(G765="M",G765="25cm"),2,IF(OR(G765="L",G765="30cm"),3,IF(OR(G765="XL",G765="35cm"),4,0))))),0)</f>
        <v>0.4</v>
      </c>
      <c r="J765" s="103">
        <f t="shared" si="1"/>
        <v>0</v>
      </c>
      <c r="K765" s="104" t="str">
        <f>IF(H765&lt;0,"ERROR",IF(H765=0,"",IF(H765&lt;CONFIG!$B$4,"CRÍTICO",IF(H765&lt;CONFIG!$B$5,"BAJO","OK"))))</f>
        <v/>
      </c>
    </row>
    <row r="766" ht="15.75" hidden="1" customHeight="1">
      <c r="A766" s="90" t="str">
        <f>IF(CLIENTES!A4="","",CLIENTES!A4)</f>
        <v>OverShark</v>
      </c>
      <c r="B766" s="90" t="s">
        <v>321</v>
      </c>
      <c r="C766" s="91" t="s">
        <v>328</v>
      </c>
      <c r="D766" s="109" t="s">
        <v>353</v>
      </c>
      <c r="E766" s="67" t="str">
        <f>COLORES!A14</f>
        <v>Denim</v>
      </c>
      <c r="F766" s="67" t="str">
        <f>COLORES!B14</f>
        <v>CLARO</v>
      </c>
      <c r="G766" s="90" t="s">
        <v>377</v>
      </c>
      <c r="H766" s="100">
        <f>IFERROR(SUMIFS(MOVIMIENTOS_COMPLEMENTOS!$I$4:$I$803,MOVIMIENTOS_COMPLEMENTOS!$C$4:$C$803,A766,MOVIMIENTOS_COMPLEMENTOS!$D$4:$D$803,B766,MOVIMIENTOS_COMPLEMENTOS!$E$4:$E$803,C766,MOVIMIENTOS_COMPLEMENTOS!$G$4:$G$803,E766,MOVIMIENTOS_COMPLEMENTOS!$H$4:$H$803,G766,MOVIMIENTOS_COMPLEMENTOS!$B$4:$B$803,"INGRESO")+SUMIFS(MOVIMIENTOS_COMPLEMENTOS!$I$4:$I$803,MOVIMIENTOS_COMPLEMENTOS!$C$4:$C$803,A766,MOVIMIENTOS_COMPLEMENTOS!$D$4:$D$803,B766,MOVIMIENTOS_COMPLEMENTOS!$E$4:$E$803,C766,MOVIMIENTOS_COMPLEMENTOS!$G$4:$G$803,E766,MOVIMIENTOS_COMPLEMENTOS!$H$4:$H$803,G766,MOVIMIENTOS_COMPLEMENTOS!$B$4:$B$803,"DE CORTE")-SUMIFS(MOVIMIENTOS_COMPLEMENTOS!$I$4:$I$803,MOVIMIENTOS_COMPLEMENTOS!$C$4:$C$803,A766,MOVIMIENTOS_COMPLEMENTOS!$D$4:$D$803,B766,MOVIMIENTOS_COMPLEMENTOS!$E$4:$E$803,C766,MOVIMIENTOS_COMPLEMENTOS!$G$4:$G$803,E766,MOVIMIENTOS_COMPLEMENTOS!$H$4:$H$803,G766,MOVIMIENTOS_COMPLEMENTOS!$B$4:$B$803,"SALIDA"),0)</f>
        <v>0</v>
      </c>
      <c r="I766" s="102">
        <f t="array" ref="I766">IFERROR(INDEX(PRECIOS_COMPLEMENTOS!$C$4:$F$17,MATCH(B766&amp;"_"&amp;C766,PRECIOS_COMPLEMENTOS!$H$4:$H$17,0),IF(OR(G766="S",G766="20cm"),1,IF(OR(G766="M",G766="25cm"),2,IF(OR(G766="L",G766="30cm"),3,IF(OR(G766="XL",G766="35cm"),4,0))))),0)</f>
        <v>0.4</v>
      </c>
      <c r="J766" s="103">
        <f t="shared" si="1"/>
        <v>0</v>
      </c>
      <c r="K766" s="104" t="str">
        <f>IF(H766&lt;0,"ERROR",IF(H766=0,"",IF(H766&lt;CONFIG!$B$4,"CRÍTICO",IF(H766&lt;CONFIG!$B$5,"BAJO","OK"))))</f>
        <v/>
      </c>
    </row>
    <row r="767" ht="15.75" hidden="1" customHeight="1">
      <c r="A767" s="90" t="str">
        <f>IF(CLIENTES!A4="","",CLIENTES!A4)</f>
        <v>OverShark</v>
      </c>
      <c r="B767" s="90" t="s">
        <v>321</v>
      </c>
      <c r="C767" s="91" t="s">
        <v>328</v>
      </c>
      <c r="D767" s="109" t="s">
        <v>353</v>
      </c>
      <c r="E767" s="67" t="str">
        <f>COLORES!A14</f>
        <v>Denim</v>
      </c>
      <c r="F767" s="67" t="str">
        <f>COLORES!B14</f>
        <v>CLARO</v>
      </c>
      <c r="G767" s="90" t="s">
        <v>379</v>
      </c>
      <c r="H767" s="100">
        <f>IFERROR(SUMIFS(MOVIMIENTOS_COMPLEMENTOS!$I$4:$I$803,MOVIMIENTOS_COMPLEMENTOS!$C$4:$C$803,A767,MOVIMIENTOS_COMPLEMENTOS!$D$4:$D$803,B767,MOVIMIENTOS_COMPLEMENTOS!$E$4:$E$803,C767,MOVIMIENTOS_COMPLEMENTOS!$G$4:$G$803,E767,MOVIMIENTOS_COMPLEMENTOS!$H$4:$H$803,G767,MOVIMIENTOS_COMPLEMENTOS!$B$4:$B$803,"INGRESO")+SUMIFS(MOVIMIENTOS_COMPLEMENTOS!$I$4:$I$803,MOVIMIENTOS_COMPLEMENTOS!$C$4:$C$803,A767,MOVIMIENTOS_COMPLEMENTOS!$D$4:$D$803,B767,MOVIMIENTOS_COMPLEMENTOS!$E$4:$E$803,C767,MOVIMIENTOS_COMPLEMENTOS!$G$4:$G$803,E767,MOVIMIENTOS_COMPLEMENTOS!$H$4:$H$803,G767,MOVIMIENTOS_COMPLEMENTOS!$B$4:$B$803,"DE CORTE")-SUMIFS(MOVIMIENTOS_COMPLEMENTOS!$I$4:$I$803,MOVIMIENTOS_COMPLEMENTOS!$C$4:$C$803,A767,MOVIMIENTOS_COMPLEMENTOS!$D$4:$D$803,B767,MOVIMIENTOS_COMPLEMENTOS!$E$4:$E$803,C767,MOVIMIENTOS_COMPLEMENTOS!$G$4:$G$803,E767,MOVIMIENTOS_COMPLEMENTOS!$H$4:$H$803,G767,MOVIMIENTOS_COMPLEMENTOS!$B$4:$B$803,"SALIDA"),0)</f>
        <v>0</v>
      </c>
      <c r="I767" s="102">
        <f t="array" ref="I767">IFERROR(INDEX(PRECIOS_COMPLEMENTOS!$C$4:$F$17,MATCH(B767&amp;"_"&amp;C767,PRECIOS_COMPLEMENTOS!$H$4:$H$17,0),IF(OR(G767="S",G767="20cm"),1,IF(OR(G767="M",G767="25cm"),2,IF(OR(G767="L",G767="30cm"),3,IF(OR(G767="XL",G767="35cm"),4,0))))),0)</f>
        <v>0.4</v>
      </c>
      <c r="J767" s="103">
        <f t="shared" si="1"/>
        <v>0</v>
      </c>
      <c r="K767" s="104" t="str">
        <f>IF(H767&lt;0,"ERROR",IF(H767=0,"",IF(H767&lt;CONFIG!$B$4,"CRÍTICO",IF(H767&lt;CONFIG!$B$5,"BAJO","OK"))))</f>
        <v/>
      </c>
    </row>
    <row r="768" ht="15.75" hidden="1" customHeight="1">
      <c r="A768" s="90" t="str">
        <f>IF(CLIENTES!A4="","",CLIENTES!A4)</f>
        <v>OverShark</v>
      </c>
      <c r="B768" s="90" t="s">
        <v>321</v>
      </c>
      <c r="C768" s="91" t="s">
        <v>328</v>
      </c>
      <c r="D768" s="109" t="s">
        <v>353</v>
      </c>
      <c r="E768" s="67" t="str">
        <f>COLORES!A15</f>
        <v>Plomo</v>
      </c>
      <c r="F768" s="67" t="str">
        <f>COLORES!B15</f>
        <v>OSCURO</v>
      </c>
      <c r="G768" s="90" t="s">
        <v>378</v>
      </c>
      <c r="H768" s="100">
        <f>IFERROR(SUMIFS(MOVIMIENTOS_COMPLEMENTOS!$I$4:$I$803,MOVIMIENTOS_COMPLEMENTOS!$C$4:$C$803,A768,MOVIMIENTOS_COMPLEMENTOS!$D$4:$D$803,B768,MOVIMIENTOS_COMPLEMENTOS!$E$4:$E$803,C768,MOVIMIENTOS_COMPLEMENTOS!$G$4:$G$803,E768,MOVIMIENTOS_COMPLEMENTOS!$H$4:$H$803,G768,MOVIMIENTOS_COMPLEMENTOS!$B$4:$B$803,"INGRESO")+SUMIFS(MOVIMIENTOS_COMPLEMENTOS!$I$4:$I$803,MOVIMIENTOS_COMPLEMENTOS!$C$4:$C$803,A768,MOVIMIENTOS_COMPLEMENTOS!$D$4:$D$803,B768,MOVIMIENTOS_COMPLEMENTOS!$E$4:$E$803,C768,MOVIMIENTOS_COMPLEMENTOS!$G$4:$G$803,E768,MOVIMIENTOS_COMPLEMENTOS!$H$4:$H$803,G768,MOVIMIENTOS_COMPLEMENTOS!$B$4:$B$803,"DE CORTE")-SUMIFS(MOVIMIENTOS_COMPLEMENTOS!$I$4:$I$803,MOVIMIENTOS_COMPLEMENTOS!$C$4:$C$803,A768,MOVIMIENTOS_COMPLEMENTOS!$D$4:$D$803,B768,MOVIMIENTOS_COMPLEMENTOS!$E$4:$E$803,C768,MOVIMIENTOS_COMPLEMENTOS!$G$4:$G$803,E768,MOVIMIENTOS_COMPLEMENTOS!$H$4:$H$803,G768,MOVIMIENTOS_COMPLEMENTOS!$B$4:$B$803,"SALIDA"),0)</f>
        <v>0</v>
      </c>
      <c r="I768" s="102">
        <f t="array" ref="I768">IFERROR(INDEX(PRECIOS_COMPLEMENTOS!$C$4:$F$17,MATCH(B768&amp;"_"&amp;C768,PRECIOS_COMPLEMENTOS!$H$4:$H$17,0),IF(OR(G768="S",G768="20cm"),1,IF(OR(G768="M",G768="25cm"),2,IF(OR(G768="L",G768="30cm"),3,IF(OR(G768="XL",G768="35cm"),4,0))))),0)</f>
        <v>0.4</v>
      </c>
      <c r="J768" s="103">
        <f t="shared" si="1"/>
        <v>0</v>
      </c>
      <c r="K768" s="104" t="str">
        <f>IF(H768&lt;0,"ERROR",IF(H768=0,"",IF(H768&lt;CONFIG!$B$4,"CRÍTICO",IF(H768&lt;CONFIG!$B$5,"BAJO","OK"))))</f>
        <v/>
      </c>
    </row>
    <row r="769" ht="15.75" hidden="1" customHeight="1">
      <c r="A769" s="90" t="str">
        <f>IF(CLIENTES!A4="","",CLIENTES!A4)</f>
        <v>OverShark</v>
      </c>
      <c r="B769" s="90" t="s">
        <v>321</v>
      </c>
      <c r="C769" s="91" t="s">
        <v>328</v>
      </c>
      <c r="D769" s="109" t="s">
        <v>353</v>
      </c>
      <c r="E769" s="67" t="str">
        <f>COLORES!A15</f>
        <v>Plomo</v>
      </c>
      <c r="F769" s="67" t="str">
        <f>COLORES!B15</f>
        <v>OSCURO</v>
      </c>
      <c r="G769" s="90" t="s">
        <v>376</v>
      </c>
      <c r="H769" s="100">
        <f>IFERROR(SUMIFS(MOVIMIENTOS_COMPLEMENTOS!$I$4:$I$803,MOVIMIENTOS_COMPLEMENTOS!$C$4:$C$803,A769,MOVIMIENTOS_COMPLEMENTOS!$D$4:$D$803,B769,MOVIMIENTOS_COMPLEMENTOS!$E$4:$E$803,C769,MOVIMIENTOS_COMPLEMENTOS!$G$4:$G$803,E769,MOVIMIENTOS_COMPLEMENTOS!$H$4:$H$803,G769,MOVIMIENTOS_COMPLEMENTOS!$B$4:$B$803,"INGRESO")+SUMIFS(MOVIMIENTOS_COMPLEMENTOS!$I$4:$I$803,MOVIMIENTOS_COMPLEMENTOS!$C$4:$C$803,A769,MOVIMIENTOS_COMPLEMENTOS!$D$4:$D$803,B769,MOVIMIENTOS_COMPLEMENTOS!$E$4:$E$803,C769,MOVIMIENTOS_COMPLEMENTOS!$G$4:$G$803,E769,MOVIMIENTOS_COMPLEMENTOS!$H$4:$H$803,G769,MOVIMIENTOS_COMPLEMENTOS!$B$4:$B$803,"DE CORTE")-SUMIFS(MOVIMIENTOS_COMPLEMENTOS!$I$4:$I$803,MOVIMIENTOS_COMPLEMENTOS!$C$4:$C$803,A769,MOVIMIENTOS_COMPLEMENTOS!$D$4:$D$803,B769,MOVIMIENTOS_COMPLEMENTOS!$E$4:$E$803,C769,MOVIMIENTOS_COMPLEMENTOS!$G$4:$G$803,E769,MOVIMIENTOS_COMPLEMENTOS!$H$4:$H$803,G769,MOVIMIENTOS_COMPLEMENTOS!$B$4:$B$803,"SALIDA"),0)</f>
        <v>0</v>
      </c>
      <c r="I769" s="102">
        <f t="array" ref="I769">IFERROR(INDEX(PRECIOS_COMPLEMENTOS!$C$4:$F$17,MATCH(B769&amp;"_"&amp;C769,PRECIOS_COMPLEMENTOS!$H$4:$H$17,0),IF(OR(G769="S",G769="20cm"),1,IF(OR(G769="M",G769="25cm"),2,IF(OR(G769="L",G769="30cm"),3,IF(OR(G769="XL",G769="35cm"),4,0))))),0)</f>
        <v>0.4</v>
      </c>
      <c r="J769" s="103">
        <f t="shared" si="1"/>
        <v>0</v>
      </c>
      <c r="K769" s="104" t="str">
        <f>IF(H769&lt;0,"ERROR",IF(H769=0,"",IF(H769&lt;CONFIG!$B$4,"CRÍTICO",IF(H769&lt;CONFIG!$B$5,"BAJO","OK"))))</f>
        <v/>
      </c>
    </row>
    <row r="770" ht="15.75" hidden="1" customHeight="1">
      <c r="A770" s="90" t="str">
        <f>IF(CLIENTES!A4="","",CLIENTES!A4)</f>
        <v>OverShark</v>
      </c>
      <c r="B770" s="90" t="s">
        <v>321</v>
      </c>
      <c r="C770" s="91" t="s">
        <v>328</v>
      </c>
      <c r="D770" s="109" t="s">
        <v>353</v>
      </c>
      <c r="E770" s="67" t="str">
        <f>COLORES!A15</f>
        <v>Plomo</v>
      </c>
      <c r="F770" s="67" t="str">
        <f>COLORES!B15</f>
        <v>OSCURO</v>
      </c>
      <c r="G770" s="90" t="s">
        <v>377</v>
      </c>
      <c r="H770" s="100">
        <f>IFERROR(SUMIFS(MOVIMIENTOS_COMPLEMENTOS!$I$4:$I$803,MOVIMIENTOS_COMPLEMENTOS!$C$4:$C$803,A770,MOVIMIENTOS_COMPLEMENTOS!$D$4:$D$803,B770,MOVIMIENTOS_COMPLEMENTOS!$E$4:$E$803,C770,MOVIMIENTOS_COMPLEMENTOS!$G$4:$G$803,E770,MOVIMIENTOS_COMPLEMENTOS!$H$4:$H$803,G770,MOVIMIENTOS_COMPLEMENTOS!$B$4:$B$803,"INGRESO")+SUMIFS(MOVIMIENTOS_COMPLEMENTOS!$I$4:$I$803,MOVIMIENTOS_COMPLEMENTOS!$C$4:$C$803,A770,MOVIMIENTOS_COMPLEMENTOS!$D$4:$D$803,B770,MOVIMIENTOS_COMPLEMENTOS!$E$4:$E$803,C770,MOVIMIENTOS_COMPLEMENTOS!$G$4:$G$803,E770,MOVIMIENTOS_COMPLEMENTOS!$H$4:$H$803,G770,MOVIMIENTOS_COMPLEMENTOS!$B$4:$B$803,"DE CORTE")-SUMIFS(MOVIMIENTOS_COMPLEMENTOS!$I$4:$I$803,MOVIMIENTOS_COMPLEMENTOS!$C$4:$C$803,A770,MOVIMIENTOS_COMPLEMENTOS!$D$4:$D$803,B770,MOVIMIENTOS_COMPLEMENTOS!$E$4:$E$803,C770,MOVIMIENTOS_COMPLEMENTOS!$G$4:$G$803,E770,MOVIMIENTOS_COMPLEMENTOS!$H$4:$H$803,G770,MOVIMIENTOS_COMPLEMENTOS!$B$4:$B$803,"SALIDA"),0)</f>
        <v>0</v>
      </c>
      <c r="I770" s="102">
        <f t="array" ref="I770">IFERROR(INDEX(PRECIOS_COMPLEMENTOS!$C$4:$F$17,MATCH(B770&amp;"_"&amp;C770,PRECIOS_COMPLEMENTOS!$H$4:$H$17,0),IF(OR(G770="S",G770="20cm"),1,IF(OR(G770="M",G770="25cm"),2,IF(OR(G770="L",G770="30cm"),3,IF(OR(G770="XL",G770="35cm"),4,0))))),0)</f>
        <v>0.4</v>
      </c>
      <c r="J770" s="103">
        <f t="shared" si="1"/>
        <v>0</v>
      </c>
      <c r="K770" s="104" t="str">
        <f>IF(H770&lt;0,"ERROR",IF(H770=0,"",IF(H770&lt;CONFIG!$B$4,"CRÍTICO",IF(H770&lt;CONFIG!$B$5,"BAJO","OK"))))</f>
        <v/>
      </c>
    </row>
    <row r="771" ht="15.75" hidden="1" customHeight="1">
      <c r="A771" s="90" t="str">
        <f>IF(CLIENTES!A4="","",CLIENTES!A4)</f>
        <v>OverShark</v>
      </c>
      <c r="B771" s="90" t="s">
        <v>321</v>
      </c>
      <c r="C771" s="91" t="s">
        <v>328</v>
      </c>
      <c r="D771" s="109" t="s">
        <v>353</v>
      </c>
      <c r="E771" s="67" t="str">
        <f>COLORES!A15</f>
        <v>Plomo</v>
      </c>
      <c r="F771" s="67" t="str">
        <f>COLORES!B15</f>
        <v>OSCURO</v>
      </c>
      <c r="G771" s="90" t="s">
        <v>379</v>
      </c>
      <c r="H771" s="100">
        <f>IFERROR(SUMIFS(MOVIMIENTOS_COMPLEMENTOS!$I$4:$I$803,MOVIMIENTOS_COMPLEMENTOS!$C$4:$C$803,A771,MOVIMIENTOS_COMPLEMENTOS!$D$4:$D$803,B771,MOVIMIENTOS_COMPLEMENTOS!$E$4:$E$803,C771,MOVIMIENTOS_COMPLEMENTOS!$G$4:$G$803,E771,MOVIMIENTOS_COMPLEMENTOS!$H$4:$H$803,G771,MOVIMIENTOS_COMPLEMENTOS!$B$4:$B$803,"INGRESO")+SUMIFS(MOVIMIENTOS_COMPLEMENTOS!$I$4:$I$803,MOVIMIENTOS_COMPLEMENTOS!$C$4:$C$803,A771,MOVIMIENTOS_COMPLEMENTOS!$D$4:$D$803,B771,MOVIMIENTOS_COMPLEMENTOS!$E$4:$E$803,C771,MOVIMIENTOS_COMPLEMENTOS!$G$4:$G$803,E771,MOVIMIENTOS_COMPLEMENTOS!$H$4:$H$803,G771,MOVIMIENTOS_COMPLEMENTOS!$B$4:$B$803,"DE CORTE")-SUMIFS(MOVIMIENTOS_COMPLEMENTOS!$I$4:$I$803,MOVIMIENTOS_COMPLEMENTOS!$C$4:$C$803,A771,MOVIMIENTOS_COMPLEMENTOS!$D$4:$D$803,B771,MOVIMIENTOS_COMPLEMENTOS!$E$4:$E$803,C771,MOVIMIENTOS_COMPLEMENTOS!$G$4:$G$803,E771,MOVIMIENTOS_COMPLEMENTOS!$H$4:$H$803,G771,MOVIMIENTOS_COMPLEMENTOS!$B$4:$B$803,"SALIDA"),0)</f>
        <v>0</v>
      </c>
      <c r="I771" s="102">
        <f t="array" ref="I771">IFERROR(INDEX(PRECIOS_COMPLEMENTOS!$C$4:$F$17,MATCH(B771&amp;"_"&amp;C771,PRECIOS_COMPLEMENTOS!$H$4:$H$17,0),IF(OR(G771="S",G771="20cm"),1,IF(OR(G771="M",G771="25cm"),2,IF(OR(G771="L",G771="30cm"),3,IF(OR(G771="XL",G771="35cm"),4,0))))),0)</f>
        <v>0.4</v>
      </c>
      <c r="J771" s="103">
        <f t="shared" si="1"/>
        <v>0</v>
      </c>
      <c r="K771" s="104" t="str">
        <f>IF(H771&lt;0,"ERROR",IF(H771=0,"",IF(H771&lt;CONFIG!$B$4,"CRÍTICO",IF(H771&lt;CONFIG!$B$5,"BAJO","OK"))))</f>
        <v/>
      </c>
    </row>
    <row r="772" ht="15.75" hidden="1" customHeight="1">
      <c r="A772" s="90" t="str">
        <f>IF(CLIENTES!A4="","",CLIENTES!A4)</f>
        <v>OverShark</v>
      </c>
      <c r="B772" s="90" t="s">
        <v>321</v>
      </c>
      <c r="C772" s="91" t="s">
        <v>328</v>
      </c>
      <c r="D772" s="109" t="s">
        <v>353</v>
      </c>
      <c r="E772" s="67" t="str">
        <f>COLORES!A16</f>
        <v>Topo</v>
      </c>
      <c r="F772" s="67" t="str">
        <f>COLORES!B16</f>
        <v>CLARO</v>
      </c>
      <c r="G772" s="90" t="s">
        <v>378</v>
      </c>
      <c r="H772" s="100">
        <f>IFERROR(SUMIFS(MOVIMIENTOS_COMPLEMENTOS!$I$4:$I$803,MOVIMIENTOS_COMPLEMENTOS!$C$4:$C$803,A772,MOVIMIENTOS_COMPLEMENTOS!$D$4:$D$803,B772,MOVIMIENTOS_COMPLEMENTOS!$E$4:$E$803,C772,MOVIMIENTOS_COMPLEMENTOS!$G$4:$G$803,E772,MOVIMIENTOS_COMPLEMENTOS!$H$4:$H$803,G772,MOVIMIENTOS_COMPLEMENTOS!$B$4:$B$803,"INGRESO")+SUMIFS(MOVIMIENTOS_COMPLEMENTOS!$I$4:$I$803,MOVIMIENTOS_COMPLEMENTOS!$C$4:$C$803,A772,MOVIMIENTOS_COMPLEMENTOS!$D$4:$D$803,B772,MOVIMIENTOS_COMPLEMENTOS!$E$4:$E$803,C772,MOVIMIENTOS_COMPLEMENTOS!$G$4:$G$803,E772,MOVIMIENTOS_COMPLEMENTOS!$H$4:$H$803,G772,MOVIMIENTOS_COMPLEMENTOS!$B$4:$B$803,"DE CORTE")-SUMIFS(MOVIMIENTOS_COMPLEMENTOS!$I$4:$I$803,MOVIMIENTOS_COMPLEMENTOS!$C$4:$C$803,A772,MOVIMIENTOS_COMPLEMENTOS!$D$4:$D$803,B772,MOVIMIENTOS_COMPLEMENTOS!$E$4:$E$803,C772,MOVIMIENTOS_COMPLEMENTOS!$G$4:$G$803,E772,MOVIMIENTOS_COMPLEMENTOS!$H$4:$H$803,G772,MOVIMIENTOS_COMPLEMENTOS!$B$4:$B$803,"SALIDA"),0)</f>
        <v>0</v>
      </c>
      <c r="I772" s="102">
        <f t="array" ref="I772">IFERROR(INDEX(PRECIOS_COMPLEMENTOS!$C$4:$F$17,MATCH(B772&amp;"_"&amp;C772,PRECIOS_COMPLEMENTOS!$H$4:$H$17,0),IF(OR(G772="S",G772="20cm"),1,IF(OR(G772="M",G772="25cm"),2,IF(OR(G772="L",G772="30cm"),3,IF(OR(G772="XL",G772="35cm"),4,0))))),0)</f>
        <v>0.4</v>
      </c>
      <c r="J772" s="103">
        <f t="shared" si="1"/>
        <v>0</v>
      </c>
      <c r="K772" s="104" t="str">
        <f>IF(H772&lt;0,"ERROR",IF(H772=0,"",IF(H772&lt;CONFIG!$B$4,"CRÍTICO",IF(H772&lt;CONFIG!$B$5,"BAJO","OK"))))</f>
        <v/>
      </c>
    </row>
    <row r="773" ht="15.75" hidden="1" customHeight="1">
      <c r="A773" s="90" t="str">
        <f>IF(CLIENTES!A4="","",CLIENTES!A4)</f>
        <v>OverShark</v>
      </c>
      <c r="B773" s="90" t="s">
        <v>321</v>
      </c>
      <c r="C773" s="91" t="s">
        <v>328</v>
      </c>
      <c r="D773" s="109" t="s">
        <v>353</v>
      </c>
      <c r="E773" s="67" t="str">
        <f>COLORES!A16</f>
        <v>Topo</v>
      </c>
      <c r="F773" s="67" t="str">
        <f>COLORES!B16</f>
        <v>CLARO</v>
      </c>
      <c r="G773" s="90" t="s">
        <v>376</v>
      </c>
      <c r="H773" s="100">
        <f>IFERROR(SUMIFS(MOVIMIENTOS_COMPLEMENTOS!$I$4:$I$803,MOVIMIENTOS_COMPLEMENTOS!$C$4:$C$803,A773,MOVIMIENTOS_COMPLEMENTOS!$D$4:$D$803,B773,MOVIMIENTOS_COMPLEMENTOS!$E$4:$E$803,C773,MOVIMIENTOS_COMPLEMENTOS!$G$4:$G$803,E773,MOVIMIENTOS_COMPLEMENTOS!$H$4:$H$803,G773,MOVIMIENTOS_COMPLEMENTOS!$B$4:$B$803,"INGRESO")+SUMIFS(MOVIMIENTOS_COMPLEMENTOS!$I$4:$I$803,MOVIMIENTOS_COMPLEMENTOS!$C$4:$C$803,A773,MOVIMIENTOS_COMPLEMENTOS!$D$4:$D$803,B773,MOVIMIENTOS_COMPLEMENTOS!$E$4:$E$803,C773,MOVIMIENTOS_COMPLEMENTOS!$G$4:$G$803,E773,MOVIMIENTOS_COMPLEMENTOS!$H$4:$H$803,G773,MOVIMIENTOS_COMPLEMENTOS!$B$4:$B$803,"DE CORTE")-SUMIFS(MOVIMIENTOS_COMPLEMENTOS!$I$4:$I$803,MOVIMIENTOS_COMPLEMENTOS!$C$4:$C$803,A773,MOVIMIENTOS_COMPLEMENTOS!$D$4:$D$803,B773,MOVIMIENTOS_COMPLEMENTOS!$E$4:$E$803,C773,MOVIMIENTOS_COMPLEMENTOS!$G$4:$G$803,E773,MOVIMIENTOS_COMPLEMENTOS!$H$4:$H$803,G773,MOVIMIENTOS_COMPLEMENTOS!$B$4:$B$803,"SALIDA"),0)</f>
        <v>0</v>
      </c>
      <c r="I773" s="102">
        <f t="array" ref="I773">IFERROR(INDEX(PRECIOS_COMPLEMENTOS!$C$4:$F$17,MATCH(B773&amp;"_"&amp;C773,PRECIOS_COMPLEMENTOS!$H$4:$H$17,0),IF(OR(G773="S",G773="20cm"),1,IF(OR(G773="M",G773="25cm"),2,IF(OR(G773="L",G773="30cm"),3,IF(OR(G773="XL",G773="35cm"),4,0))))),0)</f>
        <v>0.4</v>
      </c>
      <c r="J773" s="103">
        <f t="shared" si="1"/>
        <v>0</v>
      </c>
      <c r="K773" s="104" t="str">
        <f>IF(H773&lt;0,"ERROR",IF(H773=0,"",IF(H773&lt;CONFIG!$B$4,"CRÍTICO",IF(H773&lt;CONFIG!$B$5,"BAJO","OK"))))</f>
        <v/>
      </c>
    </row>
    <row r="774" ht="15.75" hidden="1" customHeight="1">
      <c r="A774" s="90" t="str">
        <f>IF(CLIENTES!A4="","",CLIENTES!A4)</f>
        <v>OverShark</v>
      </c>
      <c r="B774" s="90" t="s">
        <v>321</v>
      </c>
      <c r="C774" s="91" t="s">
        <v>328</v>
      </c>
      <c r="D774" s="109" t="s">
        <v>353</v>
      </c>
      <c r="E774" s="67" t="str">
        <f>COLORES!A16</f>
        <v>Topo</v>
      </c>
      <c r="F774" s="67" t="str">
        <f>COLORES!B16</f>
        <v>CLARO</v>
      </c>
      <c r="G774" s="90" t="s">
        <v>377</v>
      </c>
      <c r="H774" s="100">
        <f>IFERROR(SUMIFS(MOVIMIENTOS_COMPLEMENTOS!$I$4:$I$803,MOVIMIENTOS_COMPLEMENTOS!$C$4:$C$803,A774,MOVIMIENTOS_COMPLEMENTOS!$D$4:$D$803,B774,MOVIMIENTOS_COMPLEMENTOS!$E$4:$E$803,C774,MOVIMIENTOS_COMPLEMENTOS!$G$4:$G$803,E774,MOVIMIENTOS_COMPLEMENTOS!$H$4:$H$803,G774,MOVIMIENTOS_COMPLEMENTOS!$B$4:$B$803,"INGRESO")+SUMIFS(MOVIMIENTOS_COMPLEMENTOS!$I$4:$I$803,MOVIMIENTOS_COMPLEMENTOS!$C$4:$C$803,A774,MOVIMIENTOS_COMPLEMENTOS!$D$4:$D$803,B774,MOVIMIENTOS_COMPLEMENTOS!$E$4:$E$803,C774,MOVIMIENTOS_COMPLEMENTOS!$G$4:$G$803,E774,MOVIMIENTOS_COMPLEMENTOS!$H$4:$H$803,G774,MOVIMIENTOS_COMPLEMENTOS!$B$4:$B$803,"DE CORTE")-SUMIFS(MOVIMIENTOS_COMPLEMENTOS!$I$4:$I$803,MOVIMIENTOS_COMPLEMENTOS!$C$4:$C$803,A774,MOVIMIENTOS_COMPLEMENTOS!$D$4:$D$803,B774,MOVIMIENTOS_COMPLEMENTOS!$E$4:$E$803,C774,MOVIMIENTOS_COMPLEMENTOS!$G$4:$G$803,E774,MOVIMIENTOS_COMPLEMENTOS!$H$4:$H$803,G774,MOVIMIENTOS_COMPLEMENTOS!$B$4:$B$803,"SALIDA"),0)</f>
        <v>0</v>
      </c>
      <c r="I774" s="102">
        <f t="array" ref="I774">IFERROR(INDEX(PRECIOS_COMPLEMENTOS!$C$4:$F$17,MATCH(B774&amp;"_"&amp;C774,PRECIOS_COMPLEMENTOS!$H$4:$H$17,0),IF(OR(G774="S",G774="20cm"),1,IF(OR(G774="M",G774="25cm"),2,IF(OR(G774="L",G774="30cm"),3,IF(OR(G774="XL",G774="35cm"),4,0))))),0)</f>
        <v>0.4</v>
      </c>
      <c r="J774" s="103">
        <f t="shared" si="1"/>
        <v>0</v>
      </c>
      <c r="K774" s="104" t="str">
        <f>IF(H774&lt;0,"ERROR",IF(H774=0,"",IF(H774&lt;CONFIG!$B$4,"CRÍTICO",IF(H774&lt;CONFIG!$B$5,"BAJO","OK"))))</f>
        <v/>
      </c>
    </row>
    <row r="775" ht="15.75" hidden="1" customHeight="1">
      <c r="A775" s="90" t="str">
        <f>IF(CLIENTES!A4="","",CLIENTES!A4)</f>
        <v>OverShark</v>
      </c>
      <c r="B775" s="90" t="s">
        <v>321</v>
      </c>
      <c r="C775" s="91" t="s">
        <v>328</v>
      </c>
      <c r="D775" s="109" t="s">
        <v>353</v>
      </c>
      <c r="E775" s="67" t="str">
        <f>COLORES!A16</f>
        <v>Topo</v>
      </c>
      <c r="F775" s="67" t="str">
        <f>COLORES!B16</f>
        <v>CLARO</v>
      </c>
      <c r="G775" s="90" t="s">
        <v>379</v>
      </c>
      <c r="H775" s="100">
        <f>IFERROR(SUMIFS(MOVIMIENTOS_COMPLEMENTOS!$I$4:$I$803,MOVIMIENTOS_COMPLEMENTOS!$C$4:$C$803,A775,MOVIMIENTOS_COMPLEMENTOS!$D$4:$D$803,B775,MOVIMIENTOS_COMPLEMENTOS!$E$4:$E$803,C775,MOVIMIENTOS_COMPLEMENTOS!$G$4:$G$803,E775,MOVIMIENTOS_COMPLEMENTOS!$H$4:$H$803,G775,MOVIMIENTOS_COMPLEMENTOS!$B$4:$B$803,"INGRESO")+SUMIFS(MOVIMIENTOS_COMPLEMENTOS!$I$4:$I$803,MOVIMIENTOS_COMPLEMENTOS!$C$4:$C$803,A775,MOVIMIENTOS_COMPLEMENTOS!$D$4:$D$803,B775,MOVIMIENTOS_COMPLEMENTOS!$E$4:$E$803,C775,MOVIMIENTOS_COMPLEMENTOS!$G$4:$G$803,E775,MOVIMIENTOS_COMPLEMENTOS!$H$4:$H$803,G775,MOVIMIENTOS_COMPLEMENTOS!$B$4:$B$803,"DE CORTE")-SUMIFS(MOVIMIENTOS_COMPLEMENTOS!$I$4:$I$803,MOVIMIENTOS_COMPLEMENTOS!$C$4:$C$803,A775,MOVIMIENTOS_COMPLEMENTOS!$D$4:$D$803,B775,MOVIMIENTOS_COMPLEMENTOS!$E$4:$E$803,C775,MOVIMIENTOS_COMPLEMENTOS!$G$4:$G$803,E775,MOVIMIENTOS_COMPLEMENTOS!$H$4:$H$803,G775,MOVIMIENTOS_COMPLEMENTOS!$B$4:$B$803,"SALIDA"),0)</f>
        <v>0</v>
      </c>
      <c r="I775" s="102">
        <f t="array" ref="I775">IFERROR(INDEX(PRECIOS_COMPLEMENTOS!$C$4:$F$17,MATCH(B775&amp;"_"&amp;C775,PRECIOS_COMPLEMENTOS!$H$4:$H$17,0),IF(OR(G775="S",G775="20cm"),1,IF(OR(G775="M",G775="25cm"),2,IF(OR(G775="L",G775="30cm"),3,IF(OR(G775="XL",G775="35cm"),4,0))))),0)</f>
        <v>0.4</v>
      </c>
      <c r="J775" s="103">
        <f t="shared" si="1"/>
        <v>0</v>
      </c>
      <c r="K775" s="104" t="str">
        <f>IF(H775&lt;0,"ERROR",IF(H775=0,"",IF(H775&lt;CONFIG!$B$4,"CRÍTICO",IF(H775&lt;CONFIG!$B$5,"BAJO","OK"))))</f>
        <v/>
      </c>
    </row>
    <row r="776" ht="15.75" hidden="1" customHeight="1">
      <c r="A776" s="90" t="str">
        <f>IF(CLIENTES!A4="","",CLIENTES!A4)</f>
        <v>OverShark</v>
      </c>
      <c r="B776" s="90" t="s">
        <v>321</v>
      </c>
      <c r="C776" s="91" t="s">
        <v>328</v>
      </c>
      <c r="D776" s="109" t="s">
        <v>353</v>
      </c>
      <c r="E776" s="67" t="str">
        <f>COLORES!A17</f>
        <v>Vino</v>
      </c>
      <c r="F776" s="67" t="str">
        <f>COLORES!B17</f>
        <v>OSCURO</v>
      </c>
      <c r="G776" s="90" t="s">
        <v>378</v>
      </c>
      <c r="H776" s="100">
        <f>IFERROR(SUMIFS(MOVIMIENTOS_COMPLEMENTOS!$I$4:$I$803,MOVIMIENTOS_COMPLEMENTOS!$C$4:$C$803,A776,MOVIMIENTOS_COMPLEMENTOS!$D$4:$D$803,B776,MOVIMIENTOS_COMPLEMENTOS!$E$4:$E$803,C776,MOVIMIENTOS_COMPLEMENTOS!$G$4:$G$803,E776,MOVIMIENTOS_COMPLEMENTOS!$H$4:$H$803,G776,MOVIMIENTOS_COMPLEMENTOS!$B$4:$B$803,"INGRESO")+SUMIFS(MOVIMIENTOS_COMPLEMENTOS!$I$4:$I$803,MOVIMIENTOS_COMPLEMENTOS!$C$4:$C$803,A776,MOVIMIENTOS_COMPLEMENTOS!$D$4:$D$803,B776,MOVIMIENTOS_COMPLEMENTOS!$E$4:$E$803,C776,MOVIMIENTOS_COMPLEMENTOS!$G$4:$G$803,E776,MOVIMIENTOS_COMPLEMENTOS!$H$4:$H$803,G776,MOVIMIENTOS_COMPLEMENTOS!$B$4:$B$803,"DE CORTE")-SUMIFS(MOVIMIENTOS_COMPLEMENTOS!$I$4:$I$803,MOVIMIENTOS_COMPLEMENTOS!$C$4:$C$803,A776,MOVIMIENTOS_COMPLEMENTOS!$D$4:$D$803,B776,MOVIMIENTOS_COMPLEMENTOS!$E$4:$E$803,C776,MOVIMIENTOS_COMPLEMENTOS!$G$4:$G$803,E776,MOVIMIENTOS_COMPLEMENTOS!$H$4:$H$803,G776,MOVIMIENTOS_COMPLEMENTOS!$B$4:$B$803,"SALIDA"),0)</f>
        <v>0</v>
      </c>
      <c r="I776" s="102">
        <f t="array" ref="I776">IFERROR(INDEX(PRECIOS_COMPLEMENTOS!$C$4:$F$17,MATCH(B776&amp;"_"&amp;C776,PRECIOS_COMPLEMENTOS!$H$4:$H$17,0),IF(OR(G776="S",G776="20cm"),1,IF(OR(G776="M",G776="25cm"),2,IF(OR(G776="L",G776="30cm"),3,IF(OR(G776="XL",G776="35cm"),4,0))))),0)</f>
        <v>0.4</v>
      </c>
      <c r="J776" s="103">
        <f t="shared" si="1"/>
        <v>0</v>
      </c>
      <c r="K776" s="104" t="str">
        <f>IF(H776&lt;0,"ERROR",IF(H776=0,"",IF(H776&lt;CONFIG!$B$4,"CRÍTICO",IF(H776&lt;CONFIG!$B$5,"BAJO","OK"))))</f>
        <v/>
      </c>
    </row>
    <row r="777" ht="15.75" hidden="1" customHeight="1">
      <c r="A777" s="90" t="str">
        <f>IF(CLIENTES!A4="","",CLIENTES!A4)</f>
        <v>OverShark</v>
      </c>
      <c r="B777" s="90" t="s">
        <v>321</v>
      </c>
      <c r="C777" s="91" t="s">
        <v>328</v>
      </c>
      <c r="D777" s="109" t="s">
        <v>353</v>
      </c>
      <c r="E777" s="67" t="str">
        <f>COLORES!A17</f>
        <v>Vino</v>
      </c>
      <c r="F777" s="67" t="str">
        <f>COLORES!B17</f>
        <v>OSCURO</v>
      </c>
      <c r="G777" s="90" t="s">
        <v>376</v>
      </c>
      <c r="H777" s="100">
        <f>IFERROR(SUMIFS(MOVIMIENTOS_COMPLEMENTOS!$I$4:$I$803,MOVIMIENTOS_COMPLEMENTOS!$C$4:$C$803,A777,MOVIMIENTOS_COMPLEMENTOS!$D$4:$D$803,B777,MOVIMIENTOS_COMPLEMENTOS!$E$4:$E$803,C777,MOVIMIENTOS_COMPLEMENTOS!$G$4:$G$803,E777,MOVIMIENTOS_COMPLEMENTOS!$H$4:$H$803,G777,MOVIMIENTOS_COMPLEMENTOS!$B$4:$B$803,"INGRESO")+SUMIFS(MOVIMIENTOS_COMPLEMENTOS!$I$4:$I$803,MOVIMIENTOS_COMPLEMENTOS!$C$4:$C$803,A777,MOVIMIENTOS_COMPLEMENTOS!$D$4:$D$803,B777,MOVIMIENTOS_COMPLEMENTOS!$E$4:$E$803,C777,MOVIMIENTOS_COMPLEMENTOS!$G$4:$G$803,E777,MOVIMIENTOS_COMPLEMENTOS!$H$4:$H$803,G777,MOVIMIENTOS_COMPLEMENTOS!$B$4:$B$803,"DE CORTE")-SUMIFS(MOVIMIENTOS_COMPLEMENTOS!$I$4:$I$803,MOVIMIENTOS_COMPLEMENTOS!$C$4:$C$803,A777,MOVIMIENTOS_COMPLEMENTOS!$D$4:$D$803,B777,MOVIMIENTOS_COMPLEMENTOS!$E$4:$E$803,C777,MOVIMIENTOS_COMPLEMENTOS!$G$4:$G$803,E777,MOVIMIENTOS_COMPLEMENTOS!$H$4:$H$803,G777,MOVIMIENTOS_COMPLEMENTOS!$B$4:$B$803,"SALIDA"),0)</f>
        <v>0</v>
      </c>
      <c r="I777" s="102">
        <f t="array" ref="I777">IFERROR(INDEX(PRECIOS_COMPLEMENTOS!$C$4:$F$17,MATCH(B777&amp;"_"&amp;C777,PRECIOS_COMPLEMENTOS!$H$4:$H$17,0),IF(OR(G777="S",G777="20cm"),1,IF(OR(G777="M",G777="25cm"),2,IF(OR(G777="L",G777="30cm"),3,IF(OR(G777="XL",G777="35cm"),4,0))))),0)</f>
        <v>0.4</v>
      </c>
      <c r="J777" s="103">
        <f t="shared" si="1"/>
        <v>0</v>
      </c>
      <c r="K777" s="104" t="str">
        <f>IF(H777&lt;0,"ERROR",IF(H777=0,"",IF(H777&lt;CONFIG!$B$4,"CRÍTICO",IF(H777&lt;CONFIG!$B$5,"BAJO","OK"))))</f>
        <v/>
      </c>
    </row>
    <row r="778" ht="15.75" hidden="1" customHeight="1">
      <c r="A778" s="90" t="str">
        <f>IF(CLIENTES!A4="","",CLIENTES!A4)</f>
        <v>OverShark</v>
      </c>
      <c r="B778" s="90" t="s">
        <v>321</v>
      </c>
      <c r="C778" s="91" t="s">
        <v>328</v>
      </c>
      <c r="D778" s="109" t="s">
        <v>353</v>
      </c>
      <c r="E778" s="67" t="str">
        <f>COLORES!A17</f>
        <v>Vino</v>
      </c>
      <c r="F778" s="67" t="str">
        <f>COLORES!B17</f>
        <v>OSCURO</v>
      </c>
      <c r="G778" s="90" t="s">
        <v>377</v>
      </c>
      <c r="H778" s="100">
        <f>IFERROR(SUMIFS(MOVIMIENTOS_COMPLEMENTOS!$I$4:$I$803,MOVIMIENTOS_COMPLEMENTOS!$C$4:$C$803,A778,MOVIMIENTOS_COMPLEMENTOS!$D$4:$D$803,B778,MOVIMIENTOS_COMPLEMENTOS!$E$4:$E$803,C778,MOVIMIENTOS_COMPLEMENTOS!$G$4:$G$803,E778,MOVIMIENTOS_COMPLEMENTOS!$H$4:$H$803,G778,MOVIMIENTOS_COMPLEMENTOS!$B$4:$B$803,"INGRESO")+SUMIFS(MOVIMIENTOS_COMPLEMENTOS!$I$4:$I$803,MOVIMIENTOS_COMPLEMENTOS!$C$4:$C$803,A778,MOVIMIENTOS_COMPLEMENTOS!$D$4:$D$803,B778,MOVIMIENTOS_COMPLEMENTOS!$E$4:$E$803,C778,MOVIMIENTOS_COMPLEMENTOS!$G$4:$G$803,E778,MOVIMIENTOS_COMPLEMENTOS!$H$4:$H$803,G778,MOVIMIENTOS_COMPLEMENTOS!$B$4:$B$803,"DE CORTE")-SUMIFS(MOVIMIENTOS_COMPLEMENTOS!$I$4:$I$803,MOVIMIENTOS_COMPLEMENTOS!$C$4:$C$803,A778,MOVIMIENTOS_COMPLEMENTOS!$D$4:$D$803,B778,MOVIMIENTOS_COMPLEMENTOS!$E$4:$E$803,C778,MOVIMIENTOS_COMPLEMENTOS!$G$4:$G$803,E778,MOVIMIENTOS_COMPLEMENTOS!$H$4:$H$803,G778,MOVIMIENTOS_COMPLEMENTOS!$B$4:$B$803,"SALIDA"),0)</f>
        <v>0</v>
      </c>
      <c r="I778" s="102">
        <f t="array" ref="I778">IFERROR(INDEX(PRECIOS_COMPLEMENTOS!$C$4:$F$17,MATCH(B778&amp;"_"&amp;C778,PRECIOS_COMPLEMENTOS!$H$4:$H$17,0),IF(OR(G778="S",G778="20cm"),1,IF(OR(G778="M",G778="25cm"),2,IF(OR(G778="L",G778="30cm"),3,IF(OR(G778="XL",G778="35cm"),4,0))))),0)</f>
        <v>0.4</v>
      </c>
      <c r="J778" s="103">
        <f t="shared" si="1"/>
        <v>0</v>
      </c>
      <c r="K778" s="104" t="str">
        <f>IF(H778&lt;0,"ERROR",IF(H778=0,"",IF(H778&lt;CONFIG!$B$4,"CRÍTICO",IF(H778&lt;CONFIG!$B$5,"BAJO","OK"))))</f>
        <v/>
      </c>
    </row>
    <row r="779" ht="15.75" hidden="1" customHeight="1">
      <c r="A779" s="90" t="str">
        <f>IF(CLIENTES!A4="","",CLIENTES!A4)</f>
        <v>OverShark</v>
      </c>
      <c r="B779" s="90" t="s">
        <v>321</v>
      </c>
      <c r="C779" s="91" t="s">
        <v>328</v>
      </c>
      <c r="D779" s="109" t="s">
        <v>353</v>
      </c>
      <c r="E779" s="67" t="str">
        <f>COLORES!A17</f>
        <v>Vino</v>
      </c>
      <c r="F779" s="67" t="str">
        <f>COLORES!B17</f>
        <v>OSCURO</v>
      </c>
      <c r="G779" s="90" t="s">
        <v>379</v>
      </c>
      <c r="H779" s="100">
        <f>IFERROR(SUMIFS(MOVIMIENTOS_COMPLEMENTOS!$I$4:$I$803,MOVIMIENTOS_COMPLEMENTOS!$C$4:$C$803,A779,MOVIMIENTOS_COMPLEMENTOS!$D$4:$D$803,B779,MOVIMIENTOS_COMPLEMENTOS!$E$4:$E$803,C779,MOVIMIENTOS_COMPLEMENTOS!$G$4:$G$803,E779,MOVIMIENTOS_COMPLEMENTOS!$H$4:$H$803,G779,MOVIMIENTOS_COMPLEMENTOS!$B$4:$B$803,"INGRESO")+SUMIFS(MOVIMIENTOS_COMPLEMENTOS!$I$4:$I$803,MOVIMIENTOS_COMPLEMENTOS!$C$4:$C$803,A779,MOVIMIENTOS_COMPLEMENTOS!$D$4:$D$803,B779,MOVIMIENTOS_COMPLEMENTOS!$E$4:$E$803,C779,MOVIMIENTOS_COMPLEMENTOS!$G$4:$G$803,E779,MOVIMIENTOS_COMPLEMENTOS!$H$4:$H$803,G779,MOVIMIENTOS_COMPLEMENTOS!$B$4:$B$803,"DE CORTE")-SUMIFS(MOVIMIENTOS_COMPLEMENTOS!$I$4:$I$803,MOVIMIENTOS_COMPLEMENTOS!$C$4:$C$803,A779,MOVIMIENTOS_COMPLEMENTOS!$D$4:$D$803,B779,MOVIMIENTOS_COMPLEMENTOS!$E$4:$E$803,C779,MOVIMIENTOS_COMPLEMENTOS!$G$4:$G$803,E779,MOVIMIENTOS_COMPLEMENTOS!$H$4:$H$803,G779,MOVIMIENTOS_COMPLEMENTOS!$B$4:$B$803,"SALIDA"),0)</f>
        <v>0</v>
      </c>
      <c r="I779" s="102">
        <f t="array" ref="I779">IFERROR(INDEX(PRECIOS_COMPLEMENTOS!$C$4:$F$17,MATCH(B779&amp;"_"&amp;C779,PRECIOS_COMPLEMENTOS!$H$4:$H$17,0),IF(OR(G779="S",G779="20cm"),1,IF(OR(G779="M",G779="25cm"),2,IF(OR(G779="L",G779="30cm"),3,IF(OR(G779="XL",G779="35cm"),4,0))))),0)</f>
        <v>0.4</v>
      </c>
      <c r="J779" s="103">
        <f t="shared" si="1"/>
        <v>0</v>
      </c>
      <c r="K779" s="104" t="str">
        <f>IF(H779&lt;0,"ERROR",IF(H779=0,"",IF(H779&lt;CONFIG!$B$4,"CRÍTICO",IF(H779&lt;CONFIG!$B$5,"BAJO","OK"))))</f>
        <v/>
      </c>
    </row>
    <row r="780" ht="15.75" hidden="1" customHeight="1">
      <c r="A780" s="90" t="str">
        <f>IF(CLIENTES!A4="","",CLIENTES!A4)</f>
        <v>OverShark</v>
      </c>
      <c r="B780" s="90" t="s">
        <v>321</v>
      </c>
      <c r="C780" s="91" t="s">
        <v>328</v>
      </c>
      <c r="D780" s="109" t="s">
        <v>353</v>
      </c>
      <c r="E780" s="67" t="str">
        <f>COLORES!A18</f>
        <v>P. Rosa</v>
      </c>
      <c r="F780" s="67" t="str">
        <f>COLORES!B18</f>
        <v>CLARO</v>
      </c>
      <c r="G780" s="90" t="s">
        <v>378</v>
      </c>
      <c r="H780" s="100">
        <f>IFERROR(SUMIFS(MOVIMIENTOS_COMPLEMENTOS!$I$4:$I$803,MOVIMIENTOS_COMPLEMENTOS!$C$4:$C$803,A780,MOVIMIENTOS_COMPLEMENTOS!$D$4:$D$803,B780,MOVIMIENTOS_COMPLEMENTOS!$E$4:$E$803,C780,MOVIMIENTOS_COMPLEMENTOS!$G$4:$G$803,E780,MOVIMIENTOS_COMPLEMENTOS!$H$4:$H$803,G780,MOVIMIENTOS_COMPLEMENTOS!$B$4:$B$803,"INGRESO")+SUMIFS(MOVIMIENTOS_COMPLEMENTOS!$I$4:$I$803,MOVIMIENTOS_COMPLEMENTOS!$C$4:$C$803,A780,MOVIMIENTOS_COMPLEMENTOS!$D$4:$D$803,B780,MOVIMIENTOS_COMPLEMENTOS!$E$4:$E$803,C780,MOVIMIENTOS_COMPLEMENTOS!$G$4:$G$803,E780,MOVIMIENTOS_COMPLEMENTOS!$H$4:$H$803,G780,MOVIMIENTOS_COMPLEMENTOS!$B$4:$B$803,"DE CORTE")-SUMIFS(MOVIMIENTOS_COMPLEMENTOS!$I$4:$I$803,MOVIMIENTOS_COMPLEMENTOS!$C$4:$C$803,A780,MOVIMIENTOS_COMPLEMENTOS!$D$4:$D$803,B780,MOVIMIENTOS_COMPLEMENTOS!$E$4:$E$803,C780,MOVIMIENTOS_COMPLEMENTOS!$G$4:$G$803,E780,MOVIMIENTOS_COMPLEMENTOS!$H$4:$H$803,G780,MOVIMIENTOS_COMPLEMENTOS!$B$4:$B$803,"SALIDA"),0)</f>
        <v>0</v>
      </c>
      <c r="I780" s="102">
        <f t="array" ref="I780">IFERROR(INDEX(PRECIOS_COMPLEMENTOS!$C$4:$F$17,MATCH(B780&amp;"_"&amp;C780,PRECIOS_COMPLEMENTOS!$H$4:$H$17,0),IF(OR(G780="S",G780="20cm"),1,IF(OR(G780="M",G780="25cm"),2,IF(OR(G780="L",G780="30cm"),3,IF(OR(G780="XL",G780="35cm"),4,0))))),0)</f>
        <v>0.4</v>
      </c>
      <c r="J780" s="103">
        <f t="shared" si="1"/>
        <v>0</v>
      </c>
      <c r="K780" s="104" t="str">
        <f>IF(H780&lt;0,"ERROR",IF(H780=0,"",IF(H780&lt;CONFIG!$B$4,"CRÍTICO",IF(H780&lt;CONFIG!$B$5,"BAJO","OK"))))</f>
        <v/>
      </c>
    </row>
    <row r="781" ht="15.75" hidden="1" customHeight="1">
      <c r="A781" s="90" t="str">
        <f>IF(CLIENTES!A4="","",CLIENTES!A4)</f>
        <v>OverShark</v>
      </c>
      <c r="B781" s="90" t="s">
        <v>321</v>
      </c>
      <c r="C781" s="91" t="s">
        <v>328</v>
      </c>
      <c r="D781" s="109" t="s">
        <v>353</v>
      </c>
      <c r="E781" s="67" t="str">
        <f>COLORES!A18</f>
        <v>P. Rosa</v>
      </c>
      <c r="F781" s="67" t="str">
        <f>COLORES!B18</f>
        <v>CLARO</v>
      </c>
      <c r="G781" s="90" t="s">
        <v>376</v>
      </c>
      <c r="H781" s="100">
        <f>IFERROR(SUMIFS(MOVIMIENTOS_COMPLEMENTOS!$I$4:$I$803,MOVIMIENTOS_COMPLEMENTOS!$C$4:$C$803,A781,MOVIMIENTOS_COMPLEMENTOS!$D$4:$D$803,B781,MOVIMIENTOS_COMPLEMENTOS!$E$4:$E$803,C781,MOVIMIENTOS_COMPLEMENTOS!$G$4:$G$803,E781,MOVIMIENTOS_COMPLEMENTOS!$H$4:$H$803,G781,MOVIMIENTOS_COMPLEMENTOS!$B$4:$B$803,"INGRESO")+SUMIFS(MOVIMIENTOS_COMPLEMENTOS!$I$4:$I$803,MOVIMIENTOS_COMPLEMENTOS!$C$4:$C$803,A781,MOVIMIENTOS_COMPLEMENTOS!$D$4:$D$803,B781,MOVIMIENTOS_COMPLEMENTOS!$E$4:$E$803,C781,MOVIMIENTOS_COMPLEMENTOS!$G$4:$G$803,E781,MOVIMIENTOS_COMPLEMENTOS!$H$4:$H$803,G781,MOVIMIENTOS_COMPLEMENTOS!$B$4:$B$803,"DE CORTE")-SUMIFS(MOVIMIENTOS_COMPLEMENTOS!$I$4:$I$803,MOVIMIENTOS_COMPLEMENTOS!$C$4:$C$803,A781,MOVIMIENTOS_COMPLEMENTOS!$D$4:$D$803,B781,MOVIMIENTOS_COMPLEMENTOS!$E$4:$E$803,C781,MOVIMIENTOS_COMPLEMENTOS!$G$4:$G$803,E781,MOVIMIENTOS_COMPLEMENTOS!$H$4:$H$803,G781,MOVIMIENTOS_COMPLEMENTOS!$B$4:$B$803,"SALIDA"),0)</f>
        <v>0</v>
      </c>
      <c r="I781" s="102">
        <f t="array" ref="I781">IFERROR(INDEX(PRECIOS_COMPLEMENTOS!$C$4:$F$17,MATCH(B781&amp;"_"&amp;C781,PRECIOS_COMPLEMENTOS!$H$4:$H$17,0),IF(OR(G781="S",G781="20cm"),1,IF(OR(G781="M",G781="25cm"),2,IF(OR(G781="L",G781="30cm"),3,IF(OR(G781="XL",G781="35cm"),4,0))))),0)</f>
        <v>0.4</v>
      </c>
      <c r="J781" s="103">
        <f t="shared" si="1"/>
        <v>0</v>
      </c>
      <c r="K781" s="104" t="str">
        <f>IF(H781&lt;0,"ERROR",IF(H781=0,"",IF(H781&lt;CONFIG!$B$4,"CRÍTICO",IF(H781&lt;CONFIG!$B$5,"BAJO","OK"))))</f>
        <v/>
      </c>
    </row>
    <row r="782" ht="15.75" hidden="1" customHeight="1">
      <c r="A782" s="90" t="str">
        <f>IF(CLIENTES!A4="","",CLIENTES!A4)</f>
        <v>OverShark</v>
      </c>
      <c r="B782" s="90" t="s">
        <v>321</v>
      </c>
      <c r="C782" s="91" t="s">
        <v>328</v>
      </c>
      <c r="D782" s="109" t="s">
        <v>353</v>
      </c>
      <c r="E782" s="67" t="str">
        <f>COLORES!A18</f>
        <v>P. Rosa</v>
      </c>
      <c r="F782" s="67" t="str">
        <f>COLORES!B18</f>
        <v>CLARO</v>
      </c>
      <c r="G782" s="90" t="s">
        <v>377</v>
      </c>
      <c r="H782" s="100">
        <f>IFERROR(SUMIFS(MOVIMIENTOS_COMPLEMENTOS!$I$4:$I$803,MOVIMIENTOS_COMPLEMENTOS!$C$4:$C$803,A782,MOVIMIENTOS_COMPLEMENTOS!$D$4:$D$803,B782,MOVIMIENTOS_COMPLEMENTOS!$E$4:$E$803,C782,MOVIMIENTOS_COMPLEMENTOS!$G$4:$G$803,E782,MOVIMIENTOS_COMPLEMENTOS!$H$4:$H$803,G782,MOVIMIENTOS_COMPLEMENTOS!$B$4:$B$803,"INGRESO")+SUMIFS(MOVIMIENTOS_COMPLEMENTOS!$I$4:$I$803,MOVIMIENTOS_COMPLEMENTOS!$C$4:$C$803,A782,MOVIMIENTOS_COMPLEMENTOS!$D$4:$D$803,B782,MOVIMIENTOS_COMPLEMENTOS!$E$4:$E$803,C782,MOVIMIENTOS_COMPLEMENTOS!$G$4:$G$803,E782,MOVIMIENTOS_COMPLEMENTOS!$H$4:$H$803,G782,MOVIMIENTOS_COMPLEMENTOS!$B$4:$B$803,"DE CORTE")-SUMIFS(MOVIMIENTOS_COMPLEMENTOS!$I$4:$I$803,MOVIMIENTOS_COMPLEMENTOS!$C$4:$C$803,A782,MOVIMIENTOS_COMPLEMENTOS!$D$4:$D$803,B782,MOVIMIENTOS_COMPLEMENTOS!$E$4:$E$803,C782,MOVIMIENTOS_COMPLEMENTOS!$G$4:$G$803,E782,MOVIMIENTOS_COMPLEMENTOS!$H$4:$H$803,G782,MOVIMIENTOS_COMPLEMENTOS!$B$4:$B$803,"SALIDA"),0)</f>
        <v>0</v>
      </c>
      <c r="I782" s="102">
        <f t="array" ref="I782">IFERROR(INDEX(PRECIOS_COMPLEMENTOS!$C$4:$F$17,MATCH(B782&amp;"_"&amp;C782,PRECIOS_COMPLEMENTOS!$H$4:$H$17,0),IF(OR(G782="S",G782="20cm"),1,IF(OR(G782="M",G782="25cm"),2,IF(OR(G782="L",G782="30cm"),3,IF(OR(G782="XL",G782="35cm"),4,0))))),0)</f>
        <v>0.4</v>
      </c>
      <c r="J782" s="103">
        <f t="shared" si="1"/>
        <v>0</v>
      </c>
      <c r="K782" s="104" t="str">
        <f>IF(H782&lt;0,"ERROR",IF(H782=0,"",IF(H782&lt;CONFIG!$B$4,"CRÍTICO",IF(H782&lt;CONFIG!$B$5,"BAJO","OK"))))</f>
        <v/>
      </c>
    </row>
    <row r="783" ht="15.75" hidden="1" customHeight="1">
      <c r="A783" s="90" t="str">
        <f>IF(CLIENTES!A4="","",CLIENTES!A4)</f>
        <v>OverShark</v>
      </c>
      <c r="B783" s="90" t="s">
        <v>321</v>
      </c>
      <c r="C783" s="91" t="s">
        <v>328</v>
      </c>
      <c r="D783" s="109" t="s">
        <v>353</v>
      </c>
      <c r="E783" s="67" t="str">
        <f>COLORES!A18</f>
        <v>P. Rosa</v>
      </c>
      <c r="F783" s="67" t="str">
        <f>COLORES!B18</f>
        <v>CLARO</v>
      </c>
      <c r="G783" s="90" t="s">
        <v>379</v>
      </c>
      <c r="H783" s="100">
        <f>IFERROR(SUMIFS(MOVIMIENTOS_COMPLEMENTOS!$I$4:$I$803,MOVIMIENTOS_COMPLEMENTOS!$C$4:$C$803,A783,MOVIMIENTOS_COMPLEMENTOS!$D$4:$D$803,B783,MOVIMIENTOS_COMPLEMENTOS!$E$4:$E$803,C783,MOVIMIENTOS_COMPLEMENTOS!$G$4:$G$803,E783,MOVIMIENTOS_COMPLEMENTOS!$H$4:$H$803,G783,MOVIMIENTOS_COMPLEMENTOS!$B$4:$B$803,"INGRESO")+SUMIFS(MOVIMIENTOS_COMPLEMENTOS!$I$4:$I$803,MOVIMIENTOS_COMPLEMENTOS!$C$4:$C$803,A783,MOVIMIENTOS_COMPLEMENTOS!$D$4:$D$803,B783,MOVIMIENTOS_COMPLEMENTOS!$E$4:$E$803,C783,MOVIMIENTOS_COMPLEMENTOS!$G$4:$G$803,E783,MOVIMIENTOS_COMPLEMENTOS!$H$4:$H$803,G783,MOVIMIENTOS_COMPLEMENTOS!$B$4:$B$803,"DE CORTE")-SUMIFS(MOVIMIENTOS_COMPLEMENTOS!$I$4:$I$803,MOVIMIENTOS_COMPLEMENTOS!$C$4:$C$803,A783,MOVIMIENTOS_COMPLEMENTOS!$D$4:$D$803,B783,MOVIMIENTOS_COMPLEMENTOS!$E$4:$E$803,C783,MOVIMIENTOS_COMPLEMENTOS!$G$4:$G$803,E783,MOVIMIENTOS_COMPLEMENTOS!$H$4:$H$803,G783,MOVIMIENTOS_COMPLEMENTOS!$B$4:$B$803,"SALIDA"),0)</f>
        <v>0</v>
      </c>
      <c r="I783" s="102">
        <f t="array" ref="I783">IFERROR(INDEX(PRECIOS_COMPLEMENTOS!$C$4:$F$17,MATCH(B783&amp;"_"&amp;C783,PRECIOS_COMPLEMENTOS!$H$4:$H$17,0),IF(OR(G783="S",G783="20cm"),1,IF(OR(G783="M",G783="25cm"),2,IF(OR(G783="L",G783="30cm"),3,IF(OR(G783="XL",G783="35cm"),4,0))))),0)</f>
        <v>0.4</v>
      </c>
      <c r="J783" s="103">
        <f t="shared" si="1"/>
        <v>0</v>
      </c>
      <c r="K783" s="104" t="str">
        <f>IF(H783&lt;0,"ERROR",IF(H783=0,"",IF(H783&lt;CONFIG!$B$4,"CRÍTICO",IF(H783&lt;CONFIG!$B$5,"BAJO","OK"))))</f>
        <v/>
      </c>
    </row>
    <row r="784" ht="15.75" hidden="1" customHeight="1">
      <c r="A784" s="90" t="str">
        <f>IF(CLIENTES!A4="","",CLIENTES!A4)</f>
        <v>OverShark</v>
      </c>
      <c r="B784" s="90" t="s">
        <v>321</v>
      </c>
      <c r="C784" s="91" t="s">
        <v>328</v>
      </c>
      <c r="D784" s="109" t="s">
        <v>353</v>
      </c>
      <c r="E784" s="67" t="str">
        <f>COLORES!A19</f>
        <v/>
      </c>
      <c r="F784" s="67" t="str">
        <f>COLORES!B19</f>
        <v/>
      </c>
      <c r="G784" s="90" t="s">
        <v>378</v>
      </c>
      <c r="H784" s="100">
        <f>IFERROR(SUMIFS(MOVIMIENTOS_COMPLEMENTOS!$I$4:$I$803,MOVIMIENTOS_COMPLEMENTOS!$C$4:$C$803,A784,MOVIMIENTOS_COMPLEMENTOS!$D$4:$D$803,B784,MOVIMIENTOS_COMPLEMENTOS!$E$4:$E$803,C784,MOVIMIENTOS_COMPLEMENTOS!$G$4:$G$803,E784,MOVIMIENTOS_COMPLEMENTOS!$H$4:$H$803,G784,MOVIMIENTOS_COMPLEMENTOS!$B$4:$B$803,"INGRESO")+SUMIFS(MOVIMIENTOS_COMPLEMENTOS!$I$4:$I$803,MOVIMIENTOS_COMPLEMENTOS!$C$4:$C$803,A784,MOVIMIENTOS_COMPLEMENTOS!$D$4:$D$803,B784,MOVIMIENTOS_COMPLEMENTOS!$E$4:$E$803,C784,MOVIMIENTOS_COMPLEMENTOS!$G$4:$G$803,E784,MOVIMIENTOS_COMPLEMENTOS!$H$4:$H$803,G784,MOVIMIENTOS_COMPLEMENTOS!$B$4:$B$803,"DE CORTE")-SUMIFS(MOVIMIENTOS_COMPLEMENTOS!$I$4:$I$803,MOVIMIENTOS_COMPLEMENTOS!$C$4:$C$803,A784,MOVIMIENTOS_COMPLEMENTOS!$D$4:$D$803,B784,MOVIMIENTOS_COMPLEMENTOS!$E$4:$E$803,C784,MOVIMIENTOS_COMPLEMENTOS!$G$4:$G$803,E784,MOVIMIENTOS_COMPLEMENTOS!$H$4:$H$803,G784,MOVIMIENTOS_COMPLEMENTOS!$B$4:$B$803,"SALIDA"),0)</f>
        <v>0</v>
      </c>
      <c r="I784" s="102">
        <f t="array" ref="I784">IFERROR(INDEX(PRECIOS_COMPLEMENTOS!$C$4:$F$17,MATCH(B784&amp;"_"&amp;C784,PRECIOS_COMPLEMENTOS!$H$4:$H$17,0),IF(OR(G784="S",G784="20cm"),1,IF(OR(G784="M",G784="25cm"),2,IF(OR(G784="L",G784="30cm"),3,IF(OR(G784="XL",G784="35cm"),4,0))))),0)</f>
        <v>0.4</v>
      </c>
      <c r="J784" s="103">
        <f t="shared" si="1"/>
        <v>0</v>
      </c>
      <c r="K784" s="104" t="str">
        <f>IF(H784&lt;0,"ERROR",IF(H784=0,"",IF(H784&lt;CONFIG!$B$4,"CRÍTICO",IF(H784&lt;CONFIG!$B$5,"BAJO","OK"))))</f>
        <v/>
      </c>
    </row>
    <row r="785" ht="15.75" hidden="1" customHeight="1">
      <c r="A785" s="90" t="str">
        <f>IF(CLIENTES!A4="","",CLIENTES!A4)</f>
        <v>OverShark</v>
      </c>
      <c r="B785" s="90" t="s">
        <v>321</v>
      </c>
      <c r="C785" s="91" t="s">
        <v>328</v>
      </c>
      <c r="D785" s="109" t="s">
        <v>353</v>
      </c>
      <c r="E785" s="67" t="str">
        <f>COLORES!A19</f>
        <v/>
      </c>
      <c r="F785" s="67" t="str">
        <f>COLORES!B19</f>
        <v/>
      </c>
      <c r="G785" s="90" t="s">
        <v>376</v>
      </c>
      <c r="H785" s="100">
        <f>IFERROR(SUMIFS(MOVIMIENTOS_COMPLEMENTOS!$I$4:$I$803,MOVIMIENTOS_COMPLEMENTOS!$C$4:$C$803,A785,MOVIMIENTOS_COMPLEMENTOS!$D$4:$D$803,B785,MOVIMIENTOS_COMPLEMENTOS!$E$4:$E$803,C785,MOVIMIENTOS_COMPLEMENTOS!$G$4:$G$803,E785,MOVIMIENTOS_COMPLEMENTOS!$H$4:$H$803,G785,MOVIMIENTOS_COMPLEMENTOS!$B$4:$B$803,"INGRESO")+SUMIFS(MOVIMIENTOS_COMPLEMENTOS!$I$4:$I$803,MOVIMIENTOS_COMPLEMENTOS!$C$4:$C$803,A785,MOVIMIENTOS_COMPLEMENTOS!$D$4:$D$803,B785,MOVIMIENTOS_COMPLEMENTOS!$E$4:$E$803,C785,MOVIMIENTOS_COMPLEMENTOS!$G$4:$G$803,E785,MOVIMIENTOS_COMPLEMENTOS!$H$4:$H$803,G785,MOVIMIENTOS_COMPLEMENTOS!$B$4:$B$803,"DE CORTE")-SUMIFS(MOVIMIENTOS_COMPLEMENTOS!$I$4:$I$803,MOVIMIENTOS_COMPLEMENTOS!$C$4:$C$803,A785,MOVIMIENTOS_COMPLEMENTOS!$D$4:$D$803,B785,MOVIMIENTOS_COMPLEMENTOS!$E$4:$E$803,C785,MOVIMIENTOS_COMPLEMENTOS!$G$4:$G$803,E785,MOVIMIENTOS_COMPLEMENTOS!$H$4:$H$803,G785,MOVIMIENTOS_COMPLEMENTOS!$B$4:$B$803,"SALIDA"),0)</f>
        <v>0</v>
      </c>
      <c r="I785" s="102">
        <f t="array" ref="I785">IFERROR(INDEX(PRECIOS_COMPLEMENTOS!$C$4:$F$17,MATCH(B785&amp;"_"&amp;C785,PRECIOS_COMPLEMENTOS!$H$4:$H$17,0),IF(OR(G785="S",G785="20cm"),1,IF(OR(G785="M",G785="25cm"),2,IF(OR(G785="L",G785="30cm"),3,IF(OR(G785="XL",G785="35cm"),4,0))))),0)</f>
        <v>0.4</v>
      </c>
      <c r="J785" s="103">
        <f t="shared" si="1"/>
        <v>0</v>
      </c>
      <c r="K785" s="104" t="str">
        <f>IF(H785&lt;0,"ERROR",IF(H785=0,"",IF(H785&lt;CONFIG!$B$4,"CRÍTICO",IF(H785&lt;CONFIG!$B$5,"BAJO","OK"))))</f>
        <v/>
      </c>
    </row>
    <row r="786" ht="15.75" hidden="1" customHeight="1">
      <c r="A786" s="90" t="str">
        <f>IF(CLIENTES!A4="","",CLIENTES!A4)</f>
        <v>OverShark</v>
      </c>
      <c r="B786" s="90" t="s">
        <v>321</v>
      </c>
      <c r="C786" s="91" t="s">
        <v>328</v>
      </c>
      <c r="D786" s="109" t="s">
        <v>353</v>
      </c>
      <c r="E786" s="67" t="str">
        <f>COLORES!A19</f>
        <v/>
      </c>
      <c r="F786" s="67" t="str">
        <f>COLORES!B19</f>
        <v/>
      </c>
      <c r="G786" s="90" t="s">
        <v>377</v>
      </c>
      <c r="H786" s="100">
        <f>IFERROR(SUMIFS(MOVIMIENTOS_COMPLEMENTOS!$I$4:$I$803,MOVIMIENTOS_COMPLEMENTOS!$C$4:$C$803,A786,MOVIMIENTOS_COMPLEMENTOS!$D$4:$D$803,B786,MOVIMIENTOS_COMPLEMENTOS!$E$4:$E$803,C786,MOVIMIENTOS_COMPLEMENTOS!$G$4:$G$803,E786,MOVIMIENTOS_COMPLEMENTOS!$H$4:$H$803,G786,MOVIMIENTOS_COMPLEMENTOS!$B$4:$B$803,"INGRESO")+SUMIFS(MOVIMIENTOS_COMPLEMENTOS!$I$4:$I$803,MOVIMIENTOS_COMPLEMENTOS!$C$4:$C$803,A786,MOVIMIENTOS_COMPLEMENTOS!$D$4:$D$803,B786,MOVIMIENTOS_COMPLEMENTOS!$E$4:$E$803,C786,MOVIMIENTOS_COMPLEMENTOS!$G$4:$G$803,E786,MOVIMIENTOS_COMPLEMENTOS!$H$4:$H$803,G786,MOVIMIENTOS_COMPLEMENTOS!$B$4:$B$803,"DE CORTE")-SUMIFS(MOVIMIENTOS_COMPLEMENTOS!$I$4:$I$803,MOVIMIENTOS_COMPLEMENTOS!$C$4:$C$803,A786,MOVIMIENTOS_COMPLEMENTOS!$D$4:$D$803,B786,MOVIMIENTOS_COMPLEMENTOS!$E$4:$E$803,C786,MOVIMIENTOS_COMPLEMENTOS!$G$4:$G$803,E786,MOVIMIENTOS_COMPLEMENTOS!$H$4:$H$803,G786,MOVIMIENTOS_COMPLEMENTOS!$B$4:$B$803,"SALIDA"),0)</f>
        <v>0</v>
      </c>
      <c r="I786" s="102">
        <f t="array" ref="I786">IFERROR(INDEX(PRECIOS_COMPLEMENTOS!$C$4:$F$17,MATCH(B786&amp;"_"&amp;C786,PRECIOS_COMPLEMENTOS!$H$4:$H$17,0),IF(OR(G786="S",G786="20cm"),1,IF(OR(G786="M",G786="25cm"),2,IF(OR(G786="L",G786="30cm"),3,IF(OR(G786="XL",G786="35cm"),4,0))))),0)</f>
        <v>0.4</v>
      </c>
      <c r="J786" s="103">
        <f t="shared" si="1"/>
        <v>0</v>
      </c>
      <c r="K786" s="104" t="str">
        <f>IF(H786&lt;0,"ERROR",IF(H786=0,"",IF(H786&lt;CONFIG!$B$4,"CRÍTICO",IF(H786&lt;CONFIG!$B$5,"BAJO","OK"))))</f>
        <v/>
      </c>
    </row>
    <row r="787" ht="15.75" hidden="1" customHeight="1">
      <c r="A787" s="90" t="str">
        <f>IF(CLIENTES!A4="","",CLIENTES!A4)</f>
        <v>OverShark</v>
      </c>
      <c r="B787" s="90" t="s">
        <v>321</v>
      </c>
      <c r="C787" s="91" t="s">
        <v>328</v>
      </c>
      <c r="D787" s="109" t="s">
        <v>353</v>
      </c>
      <c r="E787" s="67" t="str">
        <f>COLORES!A19</f>
        <v/>
      </c>
      <c r="F787" s="67" t="str">
        <f>COLORES!B19</f>
        <v/>
      </c>
      <c r="G787" s="90" t="s">
        <v>379</v>
      </c>
      <c r="H787" s="100">
        <f>IFERROR(SUMIFS(MOVIMIENTOS_COMPLEMENTOS!$I$4:$I$803,MOVIMIENTOS_COMPLEMENTOS!$C$4:$C$803,A787,MOVIMIENTOS_COMPLEMENTOS!$D$4:$D$803,B787,MOVIMIENTOS_COMPLEMENTOS!$E$4:$E$803,C787,MOVIMIENTOS_COMPLEMENTOS!$G$4:$G$803,E787,MOVIMIENTOS_COMPLEMENTOS!$H$4:$H$803,G787,MOVIMIENTOS_COMPLEMENTOS!$B$4:$B$803,"INGRESO")+SUMIFS(MOVIMIENTOS_COMPLEMENTOS!$I$4:$I$803,MOVIMIENTOS_COMPLEMENTOS!$C$4:$C$803,A787,MOVIMIENTOS_COMPLEMENTOS!$D$4:$D$803,B787,MOVIMIENTOS_COMPLEMENTOS!$E$4:$E$803,C787,MOVIMIENTOS_COMPLEMENTOS!$G$4:$G$803,E787,MOVIMIENTOS_COMPLEMENTOS!$H$4:$H$803,G787,MOVIMIENTOS_COMPLEMENTOS!$B$4:$B$803,"DE CORTE")-SUMIFS(MOVIMIENTOS_COMPLEMENTOS!$I$4:$I$803,MOVIMIENTOS_COMPLEMENTOS!$C$4:$C$803,A787,MOVIMIENTOS_COMPLEMENTOS!$D$4:$D$803,B787,MOVIMIENTOS_COMPLEMENTOS!$E$4:$E$803,C787,MOVIMIENTOS_COMPLEMENTOS!$G$4:$G$803,E787,MOVIMIENTOS_COMPLEMENTOS!$H$4:$H$803,G787,MOVIMIENTOS_COMPLEMENTOS!$B$4:$B$803,"SALIDA"),0)</f>
        <v>0</v>
      </c>
      <c r="I787" s="102">
        <f t="array" ref="I787">IFERROR(INDEX(PRECIOS_COMPLEMENTOS!$C$4:$F$17,MATCH(B787&amp;"_"&amp;C787,PRECIOS_COMPLEMENTOS!$H$4:$H$17,0),IF(OR(G787="S",G787="20cm"),1,IF(OR(G787="M",G787="25cm"),2,IF(OR(G787="L",G787="30cm"),3,IF(OR(G787="XL",G787="35cm"),4,0))))),0)</f>
        <v>0.4</v>
      </c>
      <c r="J787" s="103">
        <f t="shared" si="1"/>
        <v>0</v>
      </c>
      <c r="K787" s="104" t="str">
        <f>IF(H787&lt;0,"ERROR",IF(H787=0,"",IF(H787&lt;CONFIG!$B$4,"CRÍTICO",IF(H787&lt;CONFIG!$B$5,"BAJO","OK"))))</f>
        <v/>
      </c>
    </row>
    <row r="788" ht="15.75" hidden="1" customHeight="1">
      <c r="A788" s="90" t="str">
        <f>IF(CLIENTES!A4="","",CLIENTES!A4)</f>
        <v>OverShark</v>
      </c>
      <c r="B788" s="90" t="s">
        <v>321</v>
      </c>
      <c r="C788" s="91" t="s">
        <v>328</v>
      </c>
      <c r="D788" s="109" t="s">
        <v>353</v>
      </c>
      <c r="E788" s="67" t="str">
        <f>COLORES!A20</f>
        <v/>
      </c>
      <c r="F788" s="67" t="str">
        <f>COLORES!B20</f>
        <v/>
      </c>
      <c r="G788" s="90" t="s">
        <v>378</v>
      </c>
      <c r="H788" s="100">
        <f>IFERROR(SUMIFS(MOVIMIENTOS_COMPLEMENTOS!$I$4:$I$803,MOVIMIENTOS_COMPLEMENTOS!$C$4:$C$803,A788,MOVIMIENTOS_COMPLEMENTOS!$D$4:$D$803,B788,MOVIMIENTOS_COMPLEMENTOS!$E$4:$E$803,C788,MOVIMIENTOS_COMPLEMENTOS!$G$4:$G$803,E788,MOVIMIENTOS_COMPLEMENTOS!$H$4:$H$803,G788,MOVIMIENTOS_COMPLEMENTOS!$B$4:$B$803,"INGRESO")+SUMIFS(MOVIMIENTOS_COMPLEMENTOS!$I$4:$I$803,MOVIMIENTOS_COMPLEMENTOS!$C$4:$C$803,A788,MOVIMIENTOS_COMPLEMENTOS!$D$4:$D$803,B788,MOVIMIENTOS_COMPLEMENTOS!$E$4:$E$803,C788,MOVIMIENTOS_COMPLEMENTOS!$G$4:$G$803,E788,MOVIMIENTOS_COMPLEMENTOS!$H$4:$H$803,G788,MOVIMIENTOS_COMPLEMENTOS!$B$4:$B$803,"DE CORTE")-SUMIFS(MOVIMIENTOS_COMPLEMENTOS!$I$4:$I$803,MOVIMIENTOS_COMPLEMENTOS!$C$4:$C$803,A788,MOVIMIENTOS_COMPLEMENTOS!$D$4:$D$803,B788,MOVIMIENTOS_COMPLEMENTOS!$E$4:$E$803,C788,MOVIMIENTOS_COMPLEMENTOS!$G$4:$G$803,E788,MOVIMIENTOS_COMPLEMENTOS!$H$4:$H$803,G788,MOVIMIENTOS_COMPLEMENTOS!$B$4:$B$803,"SALIDA"),0)</f>
        <v>0</v>
      </c>
      <c r="I788" s="102">
        <f t="array" ref="I788">IFERROR(INDEX(PRECIOS_COMPLEMENTOS!$C$4:$F$17,MATCH(B788&amp;"_"&amp;C788,PRECIOS_COMPLEMENTOS!$H$4:$H$17,0),IF(OR(G788="S",G788="20cm"),1,IF(OR(G788="M",G788="25cm"),2,IF(OR(G788="L",G788="30cm"),3,IF(OR(G788="XL",G788="35cm"),4,0))))),0)</f>
        <v>0.4</v>
      </c>
      <c r="J788" s="103">
        <f t="shared" si="1"/>
        <v>0</v>
      </c>
      <c r="K788" s="104" t="str">
        <f>IF(H788&lt;0,"ERROR",IF(H788=0,"",IF(H788&lt;CONFIG!$B$4,"CRÍTICO",IF(H788&lt;CONFIG!$B$5,"BAJO","OK"))))</f>
        <v/>
      </c>
    </row>
    <row r="789" ht="15.75" hidden="1" customHeight="1">
      <c r="A789" s="90" t="str">
        <f>IF(CLIENTES!A4="","",CLIENTES!A4)</f>
        <v>OverShark</v>
      </c>
      <c r="B789" s="90" t="s">
        <v>321</v>
      </c>
      <c r="C789" s="91" t="s">
        <v>328</v>
      </c>
      <c r="D789" s="109" t="s">
        <v>353</v>
      </c>
      <c r="E789" s="67" t="str">
        <f>COLORES!A20</f>
        <v/>
      </c>
      <c r="F789" s="67" t="str">
        <f>COLORES!B20</f>
        <v/>
      </c>
      <c r="G789" s="90" t="s">
        <v>376</v>
      </c>
      <c r="H789" s="100">
        <f>IFERROR(SUMIFS(MOVIMIENTOS_COMPLEMENTOS!$I$4:$I$803,MOVIMIENTOS_COMPLEMENTOS!$C$4:$C$803,A789,MOVIMIENTOS_COMPLEMENTOS!$D$4:$D$803,B789,MOVIMIENTOS_COMPLEMENTOS!$E$4:$E$803,C789,MOVIMIENTOS_COMPLEMENTOS!$G$4:$G$803,E789,MOVIMIENTOS_COMPLEMENTOS!$H$4:$H$803,G789,MOVIMIENTOS_COMPLEMENTOS!$B$4:$B$803,"INGRESO")+SUMIFS(MOVIMIENTOS_COMPLEMENTOS!$I$4:$I$803,MOVIMIENTOS_COMPLEMENTOS!$C$4:$C$803,A789,MOVIMIENTOS_COMPLEMENTOS!$D$4:$D$803,B789,MOVIMIENTOS_COMPLEMENTOS!$E$4:$E$803,C789,MOVIMIENTOS_COMPLEMENTOS!$G$4:$G$803,E789,MOVIMIENTOS_COMPLEMENTOS!$H$4:$H$803,G789,MOVIMIENTOS_COMPLEMENTOS!$B$4:$B$803,"DE CORTE")-SUMIFS(MOVIMIENTOS_COMPLEMENTOS!$I$4:$I$803,MOVIMIENTOS_COMPLEMENTOS!$C$4:$C$803,A789,MOVIMIENTOS_COMPLEMENTOS!$D$4:$D$803,B789,MOVIMIENTOS_COMPLEMENTOS!$E$4:$E$803,C789,MOVIMIENTOS_COMPLEMENTOS!$G$4:$G$803,E789,MOVIMIENTOS_COMPLEMENTOS!$H$4:$H$803,G789,MOVIMIENTOS_COMPLEMENTOS!$B$4:$B$803,"SALIDA"),0)</f>
        <v>0</v>
      </c>
      <c r="I789" s="102">
        <f t="array" ref="I789">IFERROR(INDEX(PRECIOS_COMPLEMENTOS!$C$4:$F$17,MATCH(B789&amp;"_"&amp;C789,PRECIOS_COMPLEMENTOS!$H$4:$H$17,0),IF(OR(G789="S",G789="20cm"),1,IF(OR(G789="M",G789="25cm"),2,IF(OR(G789="L",G789="30cm"),3,IF(OR(G789="XL",G789="35cm"),4,0))))),0)</f>
        <v>0.4</v>
      </c>
      <c r="J789" s="103">
        <f t="shared" si="1"/>
        <v>0</v>
      </c>
      <c r="K789" s="104" t="str">
        <f>IF(H789&lt;0,"ERROR",IF(H789=0,"",IF(H789&lt;CONFIG!$B$4,"CRÍTICO",IF(H789&lt;CONFIG!$B$5,"BAJO","OK"))))</f>
        <v/>
      </c>
    </row>
    <row r="790" ht="15.75" hidden="1" customHeight="1">
      <c r="A790" s="90" t="str">
        <f>IF(CLIENTES!A4="","",CLIENTES!A4)</f>
        <v>OverShark</v>
      </c>
      <c r="B790" s="90" t="s">
        <v>321</v>
      </c>
      <c r="C790" s="91" t="s">
        <v>328</v>
      </c>
      <c r="D790" s="109" t="s">
        <v>353</v>
      </c>
      <c r="E790" s="67" t="str">
        <f>COLORES!A20</f>
        <v/>
      </c>
      <c r="F790" s="67" t="str">
        <f>COLORES!B20</f>
        <v/>
      </c>
      <c r="G790" s="90" t="s">
        <v>377</v>
      </c>
      <c r="H790" s="100">
        <f>IFERROR(SUMIFS(MOVIMIENTOS_COMPLEMENTOS!$I$4:$I$803,MOVIMIENTOS_COMPLEMENTOS!$C$4:$C$803,A790,MOVIMIENTOS_COMPLEMENTOS!$D$4:$D$803,B790,MOVIMIENTOS_COMPLEMENTOS!$E$4:$E$803,C790,MOVIMIENTOS_COMPLEMENTOS!$G$4:$G$803,E790,MOVIMIENTOS_COMPLEMENTOS!$H$4:$H$803,G790,MOVIMIENTOS_COMPLEMENTOS!$B$4:$B$803,"INGRESO")+SUMIFS(MOVIMIENTOS_COMPLEMENTOS!$I$4:$I$803,MOVIMIENTOS_COMPLEMENTOS!$C$4:$C$803,A790,MOVIMIENTOS_COMPLEMENTOS!$D$4:$D$803,B790,MOVIMIENTOS_COMPLEMENTOS!$E$4:$E$803,C790,MOVIMIENTOS_COMPLEMENTOS!$G$4:$G$803,E790,MOVIMIENTOS_COMPLEMENTOS!$H$4:$H$803,G790,MOVIMIENTOS_COMPLEMENTOS!$B$4:$B$803,"DE CORTE")-SUMIFS(MOVIMIENTOS_COMPLEMENTOS!$I$4:$I$803,MOVIMIENTOS_COMPLEMENTOS!$C$4:$C$803,A790,MOVIMIENTOS_COMPLEMENTOS!$D$4:$D$803,B790,MOVIMIENTOS_COMPLEMENTOS!$E$4:$E$803,C790,MOVIMIENTOS_COMPLEMENTOS!$G$4:$G$803,E790,MOVIMIENTOS_COMPLEMENTOS!$H$4:$H$803,G790,MOVIMIENTOS_COMPLEMENTOS!$B$4:$B$803,"SALIDA"),0)</f>
        <v>0</v>
      </c>
      <c r="I790" s="102">
        <f t="array" ref="I790">IFERROR(INDEX(PRECIOS_COMPLEMENTOS!$C$4:$F$17,MATCH(B790&amp;"_"&amp;C790,PRECIOS_COMPLEMENTOS!$H$4:$H$17,0),IF(OR(G790="S",G790="20cm"),1,IF(OR(G790="M",G790="25cm"),2,IF(OR(G790="L",G790="30cm"),3,IF(OR(G790="XL",G790="35cm"),4,0))))),0)</f>
        <v>0.4</v>
      </c>
      <c r="J790" s="103">
        <f t="shared" si="1"/>
        <v>0</v>
      </c>
      <c r="K790" s="104" t="str">
        <f>IF(H790&lt;0,"ERROR",IF(H790=0,"",IF(H790&lt;CONFIG!$B$4,"CRÍTICO",IF(H790&lt;CONFIG!$B$5,"BAJO","OK"))))</f>
        <v/>
      </c>
    </row>
    <row r="791" ht="15.75" hidden="1" customHeight="1">
      <c r="A791" s="90" t="str">
        <f>IF(CLIENTES!A4="","",CLIENTES!A4)</f>
        <v>OverShark</v>
      </c>
      <c r="B791" s="90" t="s">
        <v>321</v>
      </c>
      <c r="C791" s="91" t="s">
        <v>328</v>
      </c>
      <c r="D791" s="109" t="s">
        <v>353</v>
      </c>
      <c r="E791" s="67" t="str">
        <f>COLORES!A20</f>
        <v/>
      </c>
      <c r="F791" s="67" t="str">
        <f>COLORES!B20</f>
        <v/>
      </c>
      <c r="G791" s="90" t="s">
        <v>379</v>
      </c>
      <c r="H791" s="100">
        <f>IFERROR(SUMIFS(MOVIMIENTOS_COMPLEMENTOS!$I$4:$I$803,MOVIMIENTOS_COMPLEMENTOS!$C$4:$C$803,A791,MOVIMIENTOS_COMPLEMENTOS!$D$4:$D$803,B791,MOVIMIENTOS_COMPLEMENTOS!$E$4:$E$803,C791,MOVIMIENTOS_COMPLEMENTOS!$G$4:$G$803,E791,MOVIMIENTOS_COMPLEMENTOS!$H$4:$H$803,G791,MOVIMIENTOS_COMPLEMENTOS!$B$4:$B$803,"INGRESO")+SUMIFS(MOVIMIENTOS_COMPLEMENTOS!$I$4:$I$803,MOVIMIENTOS_COMPLEMENTOS!$C$4:$C$803,A791,MOVIMIENTOS_COMPLEMENTOS!$D$4:$D$803,B791,MOVIMIENTOS_COMPLEMENTOS!$E$4:$E$803,C791,MOVIMIENTOS_COMPLEMENTOS!$G$4:$G$803,E791,MOVIMIENTOS_COMPLEMENTOS!$H$4:$H$803,G791,MOVIMIENTOS_COMPLEMENTOS!$B$4:$B$803,"DE CORTE")-SUMIFS(MOVIMIENTOS_COMPLEMENTOS!$I$4:$I$803,MOVIMIENTOS_COMPLEMENTOS!$C$4:$C$803,A791,MOVIMIENTOS_COMPLEMENTOS!$D$4:$D$803,B791,MOVIMIENTOS_COMPLEMENTOS!$E$4:$E$803,C791,MOVIMIENTOS_COMPLEMENTOS!$G$4:$G$803,E791,MOVIMIENTOS_COMPLEMENTOS!$H$4:$H$803,G791,MOVIMIENTOS_COMPLEMENTOS!$B$4:$B$803,"SALIDA"),0)</f>
        <v>0</v>
      </c>
      <c r="I791" s="102">
        <f t="array" ref="I791">IFERROR(INDEX(PRECIOS_COMPLEMENTOS!$C$4:$F$17,MATCH(B791&amp;"_"&amp;C791,PRECIOS_COMPLEMENTOS!$H$4:$H$17,0),IF(OR(G791="S",G791="20cm"),1,IF(OR(G791="M",G791="25cm"),2,IF(OR(G791="L",G791="30cm"),3,IF(OR(G791="XL",G791="35cm"),4,0))))),0)</f>
        <v>0.4</v>
      </c>
      <c r="J791" s="103">
        <f t="shared" si="1"/>
        <v>0</v>
      </c>
      <c r="K791" s="104" t="str">
        <f>IF(H791&lt;0,"ERROR",IF(H791=0,"",IF(H791&lt;CONFIG!$B$4,"CRÍTICO",IF(H791&lt;CONFIG!$B$5,"BAJO","OK"))))</f>
        <v/>
      </c>
    </row>
    <row r="792" ht="15.75" hidden="1" customHeight="1">
      <c r="A792" s="90" t="str">
        <f>IF(CLIENTES!A4="","",CLIENTES!A4)</f>
        <v>OverShark</v>
      </c>
      <c r="B792" s="90" t="s">
        <v>321</v>
      </c>
      <c r="C792" s="91" t="s">
        <v>328</v>
      </c>
      <c r="D792" s="109" t="s">
        <v>353</v>
      </c>
      <c r="E792" s="67" t="str">
        <f>COLORES!A21</f>
        <v/>
      </c>
      <c r="F792" s="67" t="str">
        <f>COLORES!B21</f>
        <v/>
      </c>
      <c r="G792" s="90" t="s">
        <v>378</v>
      </c>
      <c r="H792" s="100">
        <f>IFERROR(SUMIFS(MOVIMIENTOS_COMPLEMENTOS!$I$4:$I$803,MOVIMIENTOS_COMPLEMENTOS!$C$4:$C$803,A792,MOVIMIENTOS_COMPLEMENTOS!$D$4:$D$803,B792,MOVIMIENTOS_COMPLEMENTOS!$E$4:$E$803,C792,MOVIMIENTOS_COMPLEMENTOS!$G$4:$G$803,E792,MOVIMIENTOS_COMPLEMENTOS!$H$4:$H$803,G792,MOVIMIENTOS_COMPLEMENTOS!$B$4:$B$803,"INGRESO")+SUMIFS(MOVIMIENTOS_COMPLEMENTOS!$I$4:$I$803,MOVIMIENTOS_COMPLEMENTOS!$C$4:$C$803,A792,MOVIMIENTOS_COMPLEMENTOS!$D$4:$D$803,B792,MOVIMIENTOS_COMPLEMENTOS!$E$4:$E$803,C792,MOVIMIENTOS_COMPLEMENTOS!$G$4:$G$803,E792,MOVIMIENTOS_COMPLEMENTOS!$H$4:$H$803,G792,MOVIMIENTOS_COMPLEMENTOS!$B$4:$B$803,"DE CORTE")-SUMIFS(MOVIMIENTOS_COMPLEMENTOS!$I$4:$I$803,MOVIMIENTOS_COMPLEMENTOS!$C$4:$C$803,A792,MOVIMIENTOS_COMPLEMENTOS!$D$4:$D$803,B792,MOVIMIENTOS_COMPLEMENTOS!$E$4:$E$803,C792,MOVIMIENTOS_COMPLEMENTOS!$G$4:$G$803,E792,MOVIMIENTOS_COMPLEMENTOS!$H$4:$H$803,G792,MOVIMIENTOS_COMPLEMENTOS!$B$4:$B$803,"SALIDA"),0)</f>
        <v>0</v>
      </c>
      <c r="I792" s="102">
        <f t="array" ref="I792">IFERROR(INDEX(PRECIOS_COMPLEMENTOS!$C$4:$F$17,MATCH(B792&amp;"_"&amp;C792,PRECIOS_COMPLEMENTOS!$H$4:$H$17,0),IF(OR(G792="S",G792="20cm"),1,IF(OR(G792="M",G792="25cm"),2,IF(OR(G792="L",G792="30cm"),3,IF(OR(G792="XL",G792="35cm"),4,0))))),0)</f>
        <v>0.4</v>
      </c>
      <c r="J792" s="103">
        <f t="shared" si="1"/>
        <v>0</v>
      </c>
      <c r="K792" s="104" t="str">
        <f>IF(H792&lt;0,"ERROR",IF(H792=0,"",IF(H792&lt;CONFIG!$B$4,"CRÍTICO",IF(H792&lt;CONFIG!$B$5,"BAJO","OK"))))</f>
        <v/>
      </c>
    </row>
    <row r="793" ht="15.75" hidden="1" customHeight="1">
      <c r="A793" s="90" t="str">
        <f>IF(CLIENTES!A4="","",CLIENTES!A4)</f>
        <v>OverShark</v>
      </c>
      <c r="B793" s="90" t="s">
        <v>321</v>
      </c>
      <c r="C793" s="91" t="s">
        <v>328</v>
      </c>
      <c r="D793" s="109" t="s">
        <v>353</v>
      </c>
      <c r="E793" s="67" t="str">
        <f>COLORES!A21</f>
        <v/>
      </c>
      <c r="F793" s="67" t="str">
        <f>COLORES!B21</f>
        <v/>
      </c>
      <c r="G793" s="90" t="s">
        <v>376</v>
      </c>
      <c r="H793" s="100">
        <f>IFERROR(SUMIFS(MOVIMIENTOS_COMPLEMENTOS!$I$4:$I$803,MOVIMIENTOS_COMPLEMENTOS!$C$4:$C$803,A793,MOVIMIENTOS_COMPLEMENTOS!$D$4:$D$803,B793,MOVIMIENTOS_COMPLEMENTOS!$E$4:$E$803,C793,MOVIMIENTOS_COMPLEMENTOS!$G$4:$G$803,E793,MOVIMIENTOS_COMPLEMENTOS!$H$4:$H$803,G793,MOVIMIENTOS_COMPLEMENTOS!$B$4:$B$803,"INGRESO")+SUMIFS(MOVIMIENTOS_COMPLEMENTOS!$I$4:$I$803,MOVIMIENTOS_COMPLEMENTOS!$C$4:$C$803,A793,MOVIMIENTOS_COMPLEMENTOS!$D$4:$D$803,B793,MOVIMIENTOS_COMPLEMENTOS!$E$4:$E$803,C793,MOVIMIENTOS_COMPLEMENTOS!$G$4:$G$803,E793,MOVIMIENTOS_COMPLEMENTOS!$H$4:$H$803,G793,MOVIMIENTOS_COMPLEMENTOS!$B$4:$B$803,"DE CORTE")-SUMIFS(MOVIMIENTOS_COMPLEMENTOS!$I$4:$I$803,MOVIMIENTOS_COMPLEMENTOS!$C$4:$C$803,A793,MOVIMIENTOS_COMPLEMENTOS!$D$4:$D$803,B793,MOVIMIENTOS_COMPLEMENTOS!$E$4:$E$803,C793,MOVIMIENTOS_COMPLEMENTOS!$G$4:$G$803,E793,MOVIMIENTOS_COMPLEMENTOS!$H$4:$H$803,G793,MOVIMIENTOS_COMPLEMENTOS!$B$4:$B$803,"SALIDA"),0)</f>
        <v>0</v>
      </c>
      <c r="I793" s="102">
        <f t="array" ref="I793">IFERROR(INDEX(PRECIOS_COMPLEMENTOS!$C$4:$F$17,MATCH(B793&amp;"_"&amp;C793,PRECIOS_COMPLEMENTOS!$H$4:$H$17,0),IF(OR(G793="S",G793="20cm"),1,IF(OR(G793="M",G793="25cm"),2,IF(OR(G793="L",G793="30cm"),3,IF(OR(G793="XL",G793="35cm"),4,0))))),0)</f>
        <v>0.4</v>
      </c>
      <c r="J793" s="103">
        <f t="shared" si="1"/>
        <v>0</v>
      </c>
      <c r="K793" s="104" t="str">
        <f>IF(H793&lt;0,"ERROR",IF(H793=0,"",IF(H793&lt;CONFIG!$B$4,"CRÍTICO",IF(H793&lt;CONFIG!$B$5,"BAJO","OK"))))</f>
        <v/>
      </c>
    </row>
    <row r="794" ht="15.75" hidden="1" customHeight="1">
      <c r="A794" s="90" t="str">
        <f>IF(CLIENTES!A4="","",CLIENTES!A4)</f>
        <v>OverShark</v>
      </c>
      <c r="B794" s="90" t="s">
        <v>321</v>
      </c>
      <c r="C794" s="91" t="s">
        <v>328</v>
      </c>
      <c r="D794" s="109" t="s">
        <v>353</v>
      </c>
      <c r="E794" s="67" t="str">
        <f>COLORES!A21</f>
        <v/>
      </c>
      <c r="F794" s="67" t="str">
        <f>COLORES!B21</f>
        <v/>
      </c>
      <c r="G794" s="90" t="s">
        <v>377</v>
      </c>
      <c r="H794" s="100">
        <f>IFERROR(SUMIFS(MOVIMIENTOS_COMPLEMENTOS!$I$4:$I$803,MOVIMIENTOS_COMPLEMENTOS!$C$4:$C$803,A794,MOVIMIENTOS_COMPLEMENTOS!$D$4:$D$803,B794,MOVIMIENTOS_COMPLEMENTOS!$E$4:$E$803,C794,MOVIMIENTOS_COMPLEMENTOS!$G$4:$G$803,E794,MOVIMIENTOS_COMPLEMENTOS!$H$4:$H$803,G794,MOVIMIENTOS_COMPLEMENTOS!$B$4:$B$803,"INGRESO")+SUMIFS(MOVIMIENTOS_COMPLEMENTOS!$I$4:$I$803,MOVIMIENTOS_COMPLEMENTOS!$C$4:$C$803,A794,MOVIMIENTOS_COMPLEMENTOS!$D$4:$D$803,B794,MOVIMIENTOS_COMPLEMENTOS!$E$4:$E$803,C794,MOVIMIENTOS_COMPLEMENTOS!$G$4:$G$803,E794,MOVIMIENTOS_COMPLEMENTOS!$H$4:$H$803,G794,MOVIMIENTOS_COMPLEMENTOS!$B$4:$B$803,"DE CORTE")-SUMIFS(MOVIMIENTOS_COMPLEMENTOS!$I$4:$I$803,MOVIMIENTOS_COMPLEMENTOS!$C$4:$C$803,A794,MOVIMIENTOS_COMPLEMENTOS!$D$4:$D$803,B794,MOVIMIENTOS_COMPLEMENTOS!$E$4:$E$803,C794,MOVIMIENTOS_COMPLEMENTOS!$G$4:$G$803,E794,MOVIMIENTOS_COMPLEMENTOS!$H$4:$H$803,G794,MOVIMIENTOS_COMPLEMENTOS!$B$4:$B$803,"SALIDA"),0)</f>
        <v>0</v>
      </c>
      <c r="I794" s="102">
        <f t="array" ref="I794">IFERROR(INDEX(PRECIOS_COMPLEMENTOS!$C$4:$F$17,MATCH(B794&amp;"_"&amp;C794,PRECIOS_COMPLEMENTOS!$H$4:$H$17,0),IF(OR(G794="S",G794="20cm"),1,IF(OR(G794="M",G794="25cm"),2,IF(OR(G794="L",G794="30cm"),3,IF(OR(G794="XL",G794="35cm"),4,0))))),0)</f>
        <v>0.4</v>
      </c>
      <c r="J794" s="103">
        <f t="shared" si="1"/>
        <v>0</v>
      </c>
      <c r="K794" s="104" t="str">
        <f>IF(H794&lt;0,"ERROR",IF(H794=0,"",IF(H794&lt;CONFIG!$B$4,"CRÍTICO",IF(H794&lt;CONFIG!$B$5,"BAJO","OK"))))</f>
        <v/>
      </c>
    </row>
    <row r="795" ht="15.75" hidden="1" customHeight="1">
      <c r="A795" s="90" t="str">
        <f>IF(CLIENTES!A4="","",CLIENTES!A4)</f>
        <v>OverShark</v>
      </c>
      <c r="B795" s="90" t="s">
        <v>321</v>
      </c>
      <c r="C795" s="91" t="s">
        <v>328</v>
      </c>
      <c r="D795" s="109" t="s">
        <v>353</v>
      </c>
      <c r="E795" s="67" t="str">
        <f>COLORES!A21</f>
        <v/>
      </c>
      <c r="F795" s="67" t="str">
        <f>COLORES!B21</f>
        <v/>
      </c>
      <c r="G795" s="90" t="s">
        <v>379</v>
      </c>
      <c r="H795" s="100">
        <f>IFERROR(SUMIFS(MOVIMIENTOS_COMPLEMENTOS!$I$4:$I$803,MOVIMIENTOS_COMPLEMENTOS!$C$4:$C$803,A795,MOVIMIENTOS_COMPLEMENTOS!$D$4:$D$803,B795,MOVIMIENTOS_COMPLEMENTOS!$E$4:$E$803,C795,MOVIMIENTOS_COMPLEMENTOS!$G$4:$G$803,E795,MOVIMIENTOS_COMPLEMENTOS!$H$4:$H$803,G795,MOVIMIENTOS_COMPLEMENTOS!$B$4:$B$803,"INGRESO")+SUMIFS(MOVIMIENTOS_COMPLEMENTOS!$I$4:$I$803,MOVIMIENTOS_COMPLEMENTOS!$C$4:$C$803,A795,MOVIMIENTOS_COMPLEMENTOS!$D$4:$D$803,B795,MOVIMIENTOS_COMPLEMENTOS!$E$4:$E$803,C795,MOVIMIENTOS_COMPLEMENTOS!$G$4:$G$803,E795,MOVIMIENTOS_COMPLEMENTOS!$H$4:$H$803,G795,MOVIMIENTOS_COMPLEMENTOS!$B$4:$B$803,"DE CORTE")-SUMIFS(MOVIMIENTOS_COMPLEMENTOS!$I$4:$I$803,MOVIMIENTOS_COMPLEMENTOS!$C$4:$C$803,A795,MOVIMIENTOS_COMPLEMENTOS!$D$4:$D$803,B795,MOVIMIENTOS_COMPLEMENTOS!$E$4:$E$803,C795,MOVIMIENTOS_COMPLEMENTOS!$G$4:$G$803,E795,MOVIMIENTOS_COMPLEMENTOS!$H$4:$H$803,G795,MOVIMIENTOS_COMPLEMENTOS!$B$4:$B$803,"SALIDA"),0)</f>
        <v>0</v>
      </c>
      <c r="I795" s="102">
        <f t="array" ref="I795">IFERROR(INDEX(PRECIOS_COMPLEMENTOS!$C$4:$F$17,MATCH(B795&amp;"_"&amp;C795,PRECIOS_COMPLEMENTOS!$H$4:$H$17,0),IF(OR(G795="S",G795="20cm"),1,IF(OR(G795="M",G795="25cm"),2,IF(OR(G795="L",G795="30cm"),3,IF(OR(G795="XL",G795="35cm"),4,0))))),0)</f>
        <v>0.4</v>
      </c>
      <c r="J795" s="103">
        <f t="shared" si="1"/>
        <v>0</v>
      </c>
      <c r="K795" s="104" t="str">
        <f>IF(H795&lt;0,"ERROR",IF(H795=0,"",IF(H795&lt;CONFIG!$B$4,"CRÍTICO",IF(H795&lt;CONFIG!$B$5,"BAJO","OK"))))</f>
        <v/>
      </c>
    </row>
    <row r="796" ht="15.75" hidden="1" customHeight="1">
      <c r="A796" s="90" t="str">
        <f>IF(CLIENTES!A4="","",CLIENTES!A4)</f>
        <v>OverShark</v>
      </c>
      <c r="B796" s="90" t="s">
        <v>321</v>
      </c>
      <c r="C796" s="91" t="s">
        <v>328</v>
      </c>
      <c r="D796" s="109" t="s">
        <v>353</v>
      </c>
      <c r="E796" s="67" t="str">
        <f>COLORES!A22</f>
        <v/>
      </c>
      <c r="F796" s="67" t="str">
        <f>COLORES!B22</f>
        <v/>
      </c>
      <c r="G796" s="90" t="s">
        <v>378</v>
      </c>
      <c r="H796" s="100">
        <f>IFERROR(SUMIFS(MOVIMIENTOS_COMPLEMENTOS!$I$4:$I$803,MOVIMIENTOS_COMPLEMENTOS!$C$4:$C$803,A796,MOVIMIENTOS_COMPLEMENTOS!$D$4:$D$803,B796,MOVIMIENTOS_COMPLEMENTOS!$E$4:$E$803,C796,MOVIMIENTOS_COMPLEMENTOS!$G$4:$G$803,E796,MOVIMIENTOS_COMPLEMENTOS!$H$4:$H$803,G796,MOVIMIENTOS_COMPLEMENTOS!$B$4:$B$803,"INGRESO")+SUMIFS(MOVIMIENTOS_COMPLEMENTOS!$I$4:$I$803,MOVIMIENTOS_COMPLEMENTOS!$C$4:$C$803,A796,MOVIMIENTOS_COMPLEMENTOS!$D$4:$D$803,B796,MOVIMIENTOS_COMPLEMENTOS!$E$4:$E$803,C796,MOVIMIENTOS_COMPLEMENTOS!$G$4:$G$803,E796,MOVIMIENTOS_COMPLEMENTOS!$H$4:$H$803,G796,MOVIMIENTOS_COMPLEMENTOS!$B$4:$B$803,"DE CORTE")-SUMIFS(MOVIMIENTOS_COMPLEMENTOS!$I$4:$I$803,MOVIMIENTOS_COMPLEMENTOS!$C$4:$C$803,A796,MOVIMIENTOS_COMPLEMENTOS!$D$4:$D$803,B796,MOVIMIENTOS_COMPLEMENTOS!$E$4:$E$803,C796,MOVIMIENTOS_COMPLEMENTOS!$G$4:$G$803,E796,MOVIMIENTOS_COMPLEMENTOS!$H$4:$H$803,G796,MOVIMIENTOS_COMPLEMENTOS!$B$4:$B$803,"SALIDA"),0)</f>
        <v>0</v>
      </c>
      <c r="I796" s="102">
        <f t="array" ref="I796">IFERROR(INDEX(PRECIOS_COMPLEMENTOS!$C$4:$F$17,MATCH(B796&amp;"_"&amp;C796,PRECIOS_COMPLEMENTOS!$H$4:$H$17,0),IF(OR(G796="S",G796="20cm"),1,IF(OR(G796="M",G796="25cm"),2,IF(OR(G796="L",G796="30cm"),3,IF(OR(G796="XL",G796="35cm"),4,0))))),0)</f>
        <v>0.4</v>
      </c>
      <c r="J796" s="103">
        <f t="shared" si="1"/>
        <v>0</v>
      </c>
      <c r="K796" s="104" t="str">
        <f>IF(H796&lt;0,"ERROR",IF(H796=0,"",IF(H796&lt;CONFIG!$B$4,"CRÍTICO",IF(H796&lt;CONFIG!$B$5,"BAJO","OK"))))</f>
        <v/>
      </c>
    </row>
    <row r="797" ht="15.75" hidden="1" customHeight="1">
      <c r="A797" s="90" t="str">
        <f>IF(CLIENTES!A4="","",CLIENTES!A4)</f>
        <v>OverShark</v>
      </c>
      <c r="B797" s="90" t="s">
        <v>321</v>
      </c>
      <c r="C797" s="91" t="s">
        <v>328</v>
      </c>
      <c r="D797" s="109" t="s">
        <v>353</v>
      </c>
      <c r="E797" s="67" t="str">
        <f>COLORES!A22</f>
        <v/>
      </c>
      <c r="F797" s="67" t="str">
        <f>COLORES!B22</f>
        <v/>
      </c>
      <c r="G797" s="90" t="s">
        <v>376</v>
      </c>
      <c r="H797" s="100">
        <f>IFERROR(SUMIFS(MOVIMIENTOS_COMPLEMENTOS!$I$4:$I$803,MOVIMIENTOS_COMPLEMENTOS!$C$4:$C$803,A797,MOVIMIENTOS_COMPLEMENTOS!$D$4:$D$803,B797,MOVIMIENTOS_COMPLEMENTOS!$E$4:$E$803,C797,MOVIMIENTOS_COMPLEMENTOS!$G$4:$G$803,E797,MOVIMIENTOS_COMPLEMENTOS!$H$4:$H$803,G797,MOVIMIENTOS_COMPLEMENTOS!$B$4:$B$803,"INGRESO")+SUMIFS(MOVIMIENTOS_COMPLEMENTOS!$I$4:$I$803,MOVIMIENTOS_COMPLEMENTOS!$C$4:$C$803,A797,MOVIMIENTOS_COMPLEMENTOS!$D$4:$D$803,B797,MOVIMIENTOS_COMPLEMENTOS!$E$4:$E$803,C797,MOVIMIENTOS_COMPLEMENTOS!$G$4:$G$803,E797,MOVIMIENTOS_COMPLEMENTOS!$H$4:$H$803,G797,MOVIMIENTOS_COMPLEMENTOS!$B$4:$B$803,"DE CORTE")-SUMIFS(MOVIMIENTOS_COMPLEMENTOS!$I$4:$I$803,MOVIMIENTOS_COMPLEMENTOS!$C$4:$C$803,A797,MOVIMIENTOS_COMPLEMENTOS!$D$4:$D$803,B797,MOVIMIENTOS_COMPLEMENTOS!$E$4:$E$803,C797,MOVIMIENTOS_COMPLEMENTOS!$G$4:$G$803,E797,MOVIMIENTOS_COMPLEMENTOS!$H$4:$H$803,G797,MOVIMIENTOS_COMPLEMENTOS!$B$4:$B$803,"SALIDA"),0)</f>
        <v>0</v>
      </c>
      <c r="I797" s="102">
        <f t="array" ref="I797">IFERROR(INDEX(PRECIOS_COMPLEMENTOS!$C$4:$F$17,MATCH(B797&amp;"_"&amp;C797,PRECIOS_COMPLEMENTOS!$H$4:$H$17,0),IF(OR(G797="S",G797="20cm"),1,IF(OR(G797="M",G797="25cm"),2,IF(OR(G797="L",G797="30cm"),3,IF(OR(G797="XL",G797="35cm"),4,0))))),0)</f>
        <v>0.4</v>
      </c>
      <c r="J797" s="103">
        <f t="shared" si="1"/>
        <v>0</v>
      </c>
      <c r="K797" s="104" t="str">
        <f>IF(H797&lt;0,"ERROR",IF(H797=0,"",IF(H797&lt;CONFIG!$B$4,"CRÍTICO",IF(H797&lt;CONFIG!$B$5,"BAJO","OK"))))</f>
        <v/>
      </c>
    </row>
    <row r="798" ht="15.75" hidden="1" customHeight="1">
      <c r="A798" s="90" t="str">
        <f>IF(CLIENTES!A4="","",CLIENTES!A4)</f>
        <v>OverShark</v>
      </c>
      <c r="B798" s="90" t="s">
        <v>321</v>
      </c>
      <c r="C798" s="91" t="s">
        <v>328</v>
      </c>
      <c r="D798" s="109" t="s">
        <v>353</v>
      </c>
      <c r="E798" s="67" t="str">
        <f>COLORES!A22</f>
        <v/>
      </c>
      <c r="F798" s="67" t="str">
        <f>COLORES!B22</f>
        <v/>
      </c>
      <c r="G798" s="90" t="s">
        <v>377</v>
      </c>
      <c r="H798" s="100">
        <f>IFERROR(SUMIFS(MOVIMIENTOS_COMPLEMENTOS!$I$4:$I$803,MOVIMIENTOS_COMPLEMENTOS!$C$4:$C$803,A798,MOVIMIENTOS_COMPLEMENTOS!$D$4:$D$803,B798,MOVIMIENTOS_COMPLEMENTOS!$E$4:$E$803,C798,MOVIMIENTOS_COMPLEMENTOS!$G$4:$G$803,E798,MOVIMIENTOS_COMPLEMENTOS!$H$4:$H$803,G798,MOVIMIENTOS_COMPLEMENTOS!$B$4:$B$803,"INGRESO")+SUMIFS(MOVIMIENTOS_COMPLEMENTOS!$I$4:$I$803,MOVIMIENTOS_COMPLEMENTOS!$C$4:$C$803,A798,MOVIMIENTOS_COMPLEMENTOS!$D$4:$D$803,B798,MOVIMIENTOS_COMPLEMENTOS!$E$4:$E$803,C798,MOVIMIENTOS_COMPLEMENTOS!$G$4:$G$803,E798,MOVIMIENTOS_COMPLEMENTOS!$H$4:$H$803,G798,MOVIMIENTOS_COMPLEMENTOS!$B$4:$B$803,"DE CORTE")-SUMIFS(MOVIMIENTOS_COMPLEMENTOS!$I$4:$I$803,MOVIMIENTOS_COMPLEMENTOS!$C$4:$C$803,A798,MOVIMIENTOS_COMPLEMENTOS!$D$4:$D$803,B798,MOVIMIENTOS_COMPLEMENTOS!$E$4:$E$803,C798,MOVIMIENTOS_COMPLEMENTOS!$G$4:$G$803,E798,MOVIMIENTOS_COMPLEMENTOS!$H$4:$H$803,G798,MOVIMIENTOS_COMPLEMENTOS!$B$4:$B$803,"SALIDA"),0)</f>
        <v>0</v>
      </c>
      <c r="I798" s="102">
        <f t="array" ref="I798">IFERROR(INDEX(PRECIOS_COMPLEMENTOS!$C$4:$F$17,MATCH(B798&amp;"_"&amp;C798,PRECIOS_COMPLEMENTOS!$H$4:$H$17,0),IF(OR(G798="S",G798="20cm"),1,IF(OR(G798="M",G798="25cm"),2,IF(OR(G798="L",G798="30cm"),3,IF(OR(G798="XL",G798="35cm"),4,0))))),0)</f>
        <v>0.4</v>
      </c>
      <c r="J798" s="103">
        <f t="shared" si="1"/>
        <v>0</v>
      </c>
      <c r="K798" s="104" t="str">
        <f>IF(H798&lt;0,"ERROR",IF(H798=0,"",IF(H798&lt;CONFIG!$B$4,"CRÍTICO",IF(H798&lt;CONFIG!$B$5,"BAJO","OK"))))</f>
        <v/>
      </c>
    </row>
    <row r="799" ht="15.75" hidden="1" customHeight="1">
      <c r="A799" s="90" t="str">
        <f>IF(CLIENTES!A4="","",CLIENTES!A4)</f>
        <v>OverShark</v>
      </c>
      <c r="B799" s="90" t="s">
        <v>321</v>
      </c>
      <c r="C799" s="91" t="s">
        <v>328</v>
      </c>
      <c r="D799" s="109" t="s">
        <v>353</v>
      </c>
      <c r="E799" s="67" t="str">
        <f>COLORES!A22</f>
        <v/>
      </c>
      <c r="F799" s="67" t="str">
        <f>COLORES!B22</f>
        <v/>
      </c>
      <c r="G799" s="90" t="s">
        <v>379</v>
      </c>
      <c r="H799" s="100">
        <f>IFERROR(SUMIFS(MOVIMIENTOS_COMPLEMENTOS!$I$4:$I$803,MOVIMIENTOS_COMPLEMENTOS!$C$4:$C$803,A799,MOVIMIENTOS_COMPLEMENTOS!$D$4:$D$803,B799,MOVIMIENTOS_COMPLEMENTOS!$E$4:$E$803,C799,MOVIMIENTOS_COMPLEMENTOS!$G$4:$G$803,E799,MOVIMIENTOS_COMPLEMENTOS!$H$4:$H$803,G799,MOVIMIENTOS_COMPLEMENTOS!$B$4:$B$803,"INGRESO")+SUMIFS(MOVIMIENTOS_COMPLEMENTOS!$I$4:$I$803,MOVIMIENTOS_COMPLEMENTOS!$C$4:$C$803,A799,MOVIMIENTOS_COMPLEMENTOS!$D$4:$D$803,B799,MOVIMIENTOS_COMPLEMENTOS!$E$4:$E$803,C799,MOVIMIENTOS_COMPLEMENTOS!$G$4:$G$803,E799,MOVIMIENTOS_COMPLEMENTOS!$H$4:$H$803,G799,MOVIMIENTOS_COMPLEMENTOS!$B$4:$B$803,"DE CORTE")-SUMIFS(MOVIMIENTOS_COMPLEMENTOS!$I$4:$I$803,MOVIMIENTOS_COMPLEMENTOS!$C$4:$C$803,A799,MOVIMIENTOS_COMPLEMENTOS!$D$4:$D$803,B799,MOVIMIENTOS_COMPLEMENTOS!$E$4:$E$803,C799,MOVIMIENTOS_COMPLEMENTOS!$G$4:$G$803,E799,MOVIMIENTOS_COMPLEMENTOS!$H$4:$H$803,G799,MOVIMIENTOS_COMPLEMENTOS!$B$4:$B$803,"SALIDA"),0)</f>
        <v>0</v>
      </c>
      <c r="I799" s="102">
        <f t="array" ref="I799">IFERROR(INDEX(PRECIOS_COMPLEMENTOS!$C$4:$F$17,MATCH(B799&amp;"_"&amp;C799,PRECIOS_COMPLEMENTOS!$H$4:$H$17,0),IF(OR(G799="S",G799="20cm"),1,IF(OR(G799="M",G799="25cm"),2,IF(OR(G799="L",G799="30cm"),3,IF(OR(G799="XL",G799="35cm"),4,0))))),0)</f>
        <v>0.4</v>
      </c>
      <c r="J799" s="103">
        <f t="shared" si="1"/>
        <v>0</v>
      </c>
      <c r="K799" s="104" t="str">
        <f>IF(H799&lt;0,"ERROR",IF(H799=0,"",IF(H799&lt;CONFIG!$B$4,"CRÍTICO",IF(H799&lt;CONFIG!$B$5,"BAJO","OK"))))</f>
        <v/>
      </c>
    </row>
    <row r="800" ht="15.75" hidden="1" customHeight="1">
      <c r="A800" s="90" t="str">
        <f>IF(CLIENTES!A4="","",CLIENTES!A4)</f>
        <v>OverShark</v>
      </c>
      <c r="B800" s="90" t="s">
        <v>321</v>
      </c>
      <c r="C800" s="91" t="s">
        <v>328</v>
      </c>
      <c r="D800" s="109" t="s">
        <v>353</v>
      </c>
      <c r="E800" s="67" t="str">
        <f>COLORES!A23</f>
        <v/>
      </c>
      <c r="F800" s="67" t="str">
        <f>COLORES!B23</f>
        <v/>
      </c>
      <c r="G800" s="90" t="s">
        <v>378</v>
      </c>
      <c r="H800" s="100">
        <f>IFERROR(SUMIFS(MOVIMIENTOS_COMPLEMENTOS!$I$4:$I$803,MOVIMIENTOS_COMPLEMENTOS!$C$4:$C$803,A800,MOVIMIENTOS_COMPLEMENTOS!$D$4:$D$803,B800,MOVIMIENTOS_COMPLEMENTOS!$E$4:$E$803,C800,MOVIMIENTOS_COMPLEMENTOS!$G$4:$G$803,E800,MOVIMIENTOS_COMPLEMENTOS!$H$4:$H$803,G800,MOVIMIENTOS_COMPLEMENTOS!$B$4:$B$803,"INGRESO")+SUMIFS(MOVIMIENTOS_COMPLEMENTOS!$I$4:$I$803,MOVIMIENTOS_COMPLEMENTOS!$C$4:$C$803,A800,MOVIMIENTOS_COMPLEMENTOS!$D$4:$D$803,B800,MOVIMIENTOS_COMPLEMENTOS!$E$4:$E$803,C800,MOVIMIENTOS_COMPLEMENTOS!$G$4:$G$803,E800,MOVIMIENTOS_COMPLEMENTOS!$H$4:$H$803,G800,MOVIMIENTOS_COMPLEMENTOS!$B$4:$B$803,"DE CORTE")-SUMIFS(MOVIMIENTOS_COMPLEMENTOS!$I$4:$I$803,MOVIMIENTOS_COMPLEMENTOS!$C$4:$C$803,A800,MOVIMIENTOS_COMPLEMENTOS!$D$4:$D$803,B800,MOVIMIENTOS_COMPLEMENTOS!$E$4:$E$803,C800,MOVIMIENTOS_COMPLEMENTOS!$G$4:$G$803,E800,MOVIMIENTOS_COMPLEMENTOS!$H$4:$H$803,G800,MOVIMIENTOS_COMPLEMENTOS!$B$4:$B$803,"SALIDA"),0)</f>
        <v>0</v>
      </c>
      <c r="I800" s="102">
        <f t="array" ref="I800">IFERROR(INDEX(PRECIOS_COMPLEMENTOS!$C$4:$F$17,MATCH(B800&amp;"_"&amp;C800,PRECIOS_COMPLEMENTOS!$H$4:$H$17,0),IF(OR(G800="S",G800="20cm"),1,IF(OR(G800="M",G800="25cm"),2,IF(OR(G800="L",G800="30cm"),3,IF(OR(G800="XL",G800="35cm"),4,0))))),0)</f>
        <v>0.4</v>
      </c>
      <c r="J800" s="103">
        <f t="shared" si="1"/>
        <v>0</v>
      </c>
      <c r="K800" s="104" t="str">
        <f>IF(H800&lt;0,"ERROR",IF(H800=0,"",IF(H800&lt;CONFIG!$B$4,"CRÍTICO",IF(H800&lt;CONFIG!$B$5,"BAJO","OK"))))</f>
        <v/>
      </c>
    </row>
    <row r="801" ht="15.75" hidden="1" customHeight="1">
      <c r="A801" s="90" t="str">
        <f>IF(CLIENTES!A4="","",CLIENTES!A4)</f>
        <v>OverShark</v>
      </c>
      <c r="B801" s="90" t="s">
        <v>321</v>
      </c>
      <c r="C801" s="91" t="s">
        <v>328</v>
      </c>
      <c r="D801" s="109" t="s">
        <v>353</v>
      </c>
      <c r="E801" s="67" t="str">
        <f>COLORES!A23</f>
        <v/>
      </c>
      <c r="F801" s="67" t="str">
        <f>COLORES!B23</f>
        <v/>
      </c>
      <c r="G801" s="90" t="s">
        <v>376</v>
      </c>
      <c r="H801" s="100">
        <f>IFERROR(SUMIFS(MOVIMIENTOS_COMPLEMENTOS!$I$4:$I$803,MOVIMIENTOS_COMPLEMENTOS!$C$4:$C$803,A801,MOVIMIENTOS_COMPLEMENTOS!$D$4:$D$803,B801,MOVIMIENTOS_COMPLEMENTOS!$E$4:$E$803,C801,MOVIMIENTOS_COMPLEMENTOS!$G$4:$G$803,E801,MOVIMIENTOS_COMPLEMENTOS!$H$4:$H$803,G801,MOVIMIENTOS_COMPLEMENTOS!$B$4:$B$803,"INGRESO")+SUMIFS(MOVIMIENTOS_COMPLEMENTOS!$I$4:$I$803,MOVIMIENTOS_COMPLEMENTOS!$C$4:$C$803,A801,MOVIMIENTOS_COMPLEMENTOS!$D$4:$D$803,B801,MOVIMIENTOS_COMPLEMENTOS!$E$4:$E$803,C801,MOVIMIENTOS_COMPLEMENTOS!$G$4:$G$803,E801,MOVIMIENTOS_COMPLEMENTOS!$H$4:$H$803,G801,MOVIMIENTOS_COMPLEMENTOS!$B$4:$B$803,"DE CORTE")-SUMIFS(MOVIMIENTOS_COMPLEMENTOS!$I$4:$I$803,MOVIMIENTOS_COMPLEMENTOS!$C$4:$C$803,A801,MOVIMIENTOS_COMPLEMENTOS!$D$4:$D$803,B801,MOVIMIENTOS_COMPLEMENTOS!$E$4:$E$803,C801,MOVIMIENTOS_COMPLEMENTOS!$G$4:$G$803,E801,MOVIMIENTOS_COMPLEMENTOS!$H$4:$H$803,G801,MOVIMIENTOS_COMPLEMENTOS!$B$4:$B$803,"SALIDA"),0)</f>
        <v>0</v>
      </c>
      <c r="I801" s="102">
        <f t="array" ref="I801">IFERROR(INDEX(PRECIOS_COMPLEMENTOS!$C$4:$F$17,MATCH(B801&amp;"_"&amp;C801,PRECIOS_COMPLEMENTOS!$H$4:$H$17,0),IF(OR(G801="S",G801="20cm"),1,IF(OR(G801="M",G801="25cm"),2,IF(OR(G801="L",G801="30cm"),3,IF(OR(G801="XL",G801="35cm"),4,0))))),0)</f>
        <v>0.4</v>
      </c>
      <c r="J801" s="103">
        <f t="shared" si="1"/>
        <v>0</v>
      </c>
      <c r="K801" s="104" t="str">
        <f>IF(H801&lt;0,"ERROR",IF(H801=0,"",IF(H801&lt;CONFIG!$B$4,"CRÍTICO",IF(H801&lt;CONFIG!$B$5,"BAJO","OK"))))</f>
        <v/>
      </c>
    </row>
    <row r="802" ht="15.75" hidden="1" customHeight="1">
      <c r="A802" s="90" t="str">
        <f>IF(CLIENTES!A4="","",CLIENTES!A4)</f>
        <v>OverShark</v>
      </c>
      <c r="B802" s="90" t="s">
        <v>321</v>
      </c>
      <c r="C802" s="91" t="s">
        <v>328</v>
      </c>
      <c r="D802" s="109" t="s">
        <v>353</v>
      </c>
      <c r="E802" s="67" t="str">
        <f>COLORES!A23</f>
        <v/>
      </c>
      <c r="F802" s="67" t="str">
        <f>COLORES!B23</f>
        <v/>
      </c>
      <c r="G802" s="90" t="s">
        <v>377</v>
      </c>
      <c r="H802" s="100">
        <f>IFERROR(SUMIFS(MOVIMIENTOS_COMPLEMENTOS!$I$4:$I$803,MOVIMIENTOS_COMPLEMENTOS!$C$4:$C$803,A802,MOVIMIENTOS_COMPLEMENTOS!$D$4:$D$803,B802,MOVIMIENTOS_COMPLEMENTOS!$E$4:$E$803,C802,MOVIMIENTOS_COMPLEMENTOS!$G$4:$G$803,E802,MOVIMIENTOS_COMPLEMENTOS!$H$4:$H$803,G802,MOVIMIENTOS_COMPLEMENTOS!$B$4:$B$803,"INGRESO")+SUMIFS(MOVIMIENTOS_COMPLEMENTOS!$I$4:$I$803,MOVIMIENTOS_COMPLEMENTOS!$C$4:$C$803,A802,MOVIMIENTOS_COMPLEMENTOS!$D$4:$D$803,B802,MOVIMIENTOS_COMPLEMENTOS!$E$4:$E$803,C802,MOVIMIENTOS_COMPLEMENTOS!$G$4:$G$803,E802,MOVIMIENTOS_COMPLEMENTOS!$H$4:$H$803,G802,MOVIMIENTOS_COMPLEMENTOS!$B$4:$B$803,"DE CORTE")-SUMIFS(MOVIMIENTOS_COMPLEMENTOS!$I$4:$I$803,MOVIMIENTOS_COMPLEMENTOS!$C$4:$C$803,A802,MOVIMIENTOS_COMPLEMENTOS!$D$4:$D$803,B802,MOVIMIENTOS_COMPLEMENTOS!$E$4:$E$803,C802,MOVIMIENTOS_COMPLEMENTOS!$G$4:$G$803,E802,MOVIMIENTOS_COMPLEMENTOS!$H$4:$H$803,G802,MOVIMIENTOS_COMPLEMENTOS!$B$4:$B$803,"SALIDA"),0)</f>
        <v>0</v>
      </c>
      <c r="I802" s="102">
        <f t="array" ref="I802">IFERROR(INDEX(PRECIOS_COMPLEMENTOS!$C$4:$F$17,MATCH(B802&amp;"_"&amp;C802,PRECIOS_COMPLEMENTOS!$H$4:$H$17,0),IF(OR(G802="S",G802="20cm"),1,IF(OR(G802="M",G802="25cm"),2,IF(OR(G802="L",G802="30cm"),3,IF(OR(G802="XL",G802="35cm"),4,0))))),0)</f>
        <v>0.4</v>
      </c>
      <c r="J802" s="103">
        <f t="shared" si="1"/>
        <v>0</v>
      </c>
      <c r="K802" s="104" t="str">
        <f>IF(H802&lt;0,"ERROR",IF(H802=0,"",IF(H802&lt;CONFIG!$B$4,"CRÍTICO",IF(H802&lt;CONFIG!$B$5,"BAJO","OK"))))</f>
        <v/>
      </c>
    </row>
    <row r="803" ht="15.75" hidden="1" customHeight="1">
      <c r="A803" s="90" t="str">
        <f>IF(CLIENTES!A4="","",CLIENTES!A4)</f>
        <v>OverShark</v>
      </c>
      <c r="B803" s="90" t="s">
        <v>321</v>
      </c>
      <c r="C803" s="91" t="s">
        <v>328</v>
      </c>
      <c r="D803" s="109" t="s">
        <v>353</v>
      </c>
      <c r="E803" s="67" t="str">
        <f>COLORES!A23</f>
        <v/>
      </c>
      <c r="F803" s="67" t="str">
        <f>COLORES!B23</f>
        <v/>
      </c>
      <c r="G803" s="90" t="s">
        <v>379</v>
      </c>
      <c r="H803" s="100">
        <f>IFERROR(SUMIFS(MOVIMIENTOS_COMPLEMENTOS!$I$4:$I$803,MOVIMIENTOS_COMPLEMENTOS!$C$4:$C$803,A803,MOVIMIENTOS_COMPLEMENTOS!$D$4:$D$803,B803,MOVIMIENTOS_COMPLEMENTOS!$E$4:$E$803,C803,MOVIMIENTOS_COMPLEMENTOS!$G$4:$G$803,E803,MOVIMIENTOS_COMPLEMENTOS!$H$4:$H$803,G803,MOVIMIENTOS_COMPLEMENTOS!$B$4:$B$803,"INGRESO")+SUMIFS(MOVIMIENTOS_COMPLEMENTOS!$I$4:$I$803,MOVIMIENTOS_COMPLEMENTOS!$C$4:$C$803,A803,MOVIMIENTOS_COMPLEMENTOS!$D$4:$D$803,B803,MOVIMIENTOS_COMPLEMENTOS!$E$4:$E$803,C803,MOVIMIENTOS_COMPLEMENTOS!$G$4:$G$803,E803,MOVIMIENTOS_COMPLEMENTOS!$H$4:$H$803,G803,MOVIMIENTOS_COMPLEMENTOS!$B$4:$B$803,"DE CORTE")-SUMIFS(MOVIMIENTOS_COMPLEMENTOS!$I$4:$I$803,MOVIMIENTOS_COMPLEMENTOS!$C$4:$C$803,A803,MOVIMIENTOS_COMPLEMENTOS!$D$4:$D$803,B803,MOVIMIENTOS_COMPLEMENTOS!$E$4:$E$803,C803,MOVIMIENTOS_COMPLEMENTOS!$G$4:$G$803,E803,MOVIMIENTOS_COMPLEMENTOS!$H$4:$H$803,G803,MOVIMIENTOS_COMPLEMENTOS!$B$4:$B$803,"SALIDA"),0)</f>
        <v>0</v>
      </c>
      <c r="I803" s="102">
        <f t="array" ref="I803">IFERROR(INDEX(PRECIOS_COMPLEMENTOS!$C$4:$F$17,MATCH(B803&amp;"_"&amp;C803,PRECIOS_COMPLEMENTOS!$H$4:$H$17,0),IF(OR(G803="S",G803="20cm"),1,IF(OR(G803="M",G803="25cm"),2,IF(OR(G803="L",G803="30cm"),3,IF(OR(G803="XL",G803="35cm"),4,0))))),0)</f>
        <v>0.4</v>
      </c>
      <c r="J803" s="103">
        <f t="shared" si="1"/>
        <v>0</v>
      </c>
      <c r="K803" s="104" t="str">
        <f>IF(H803&lt;0,"ERROR",IF(H803=0,"",IF(H803&lt;CONFIG!$B$4,"CRÍTICO",IF(H803&lt;CONFIG!$B$5,"BAJO","OK"))))</f>
        <v/>
      </c>
    </row>
    <row r="804" ht="15.75" hidden="1" customHeight="1">
      <c r="A804" s="90" t="str">
        <f>IF(CLIENTES!A5="","",CLIENTES!A5)</f>
        <v>Bravos</v>
      </c>
      <c r="B804" s="90" t="s">
        <v>321</v>
      </c>
      <c r="C804" s="91" t="s">
        <v>328</v>
      </c>
      <c r="D804" s="109" t="s">
        <v>353</v>
      </c>
      <c r="E804" s="67" t="str">
        <f>COLORES!A4</f>
        <v>Negro</v>
      </c>
      <c r="F804" s="67" t="str">
        <f>COLORES!B4</f>
        <v>OSCURO</v>
      </c>
      <c r="G804" s="90" t="s">
        <v>378</v>
      </c>
      <c r="H804" s="100">
        <f>IFERROR(SUMIFS(MOVIMIENTOS_COMPLEMENTOS!$I$4:$I$803,MOVIMIENTOS_COMPLEMENTOS!$C$4:$C$803,A804,MOVIMIENTOS_COMPLEMENTOS!$D$4:$D$803,B804,MOVIMIENTOS_COMPLEMENTOS!$E$4:$E$803,C804,MOVIMIENTOS_COMPLEMENTOS!$G$4:$G$803,E804,MOVIMIENTOS_COMPLEMENTOS!$H$4:$H$803,G804,MOVIMIENTOS_COMPLEMENTOS!$B$4:$B$803,"INGRESO")+SUMIFS(MOVIMIENTOS_COMPLEMENTOS!$I$4:$I$803,MOVIMIENTOS_COMPLEMENTOS!$C$4:$C$803,A804,MOVIMIENTOS_COMPLEMENTOS!$D$4:$D$803,B804,MOVIMIENTOS_COMPLEMENTOS!$E$4:$E$803,C804,MOVIMIENTOS_COMPLEMENTOS!$G$4:$G$803,E804,MOVIMIENTOS_COMPLEMENTOS!$H$4:$H$803,G804,MOVIMIENTOS_COMPLEMENTOS!$B$4:$B$803,"DE CORTE")-SUMIFS(MOVIMIENTOS_COMPLEMENTOS!$I$4:$I$803,MOVIMIENTOS_COMPLEMENTOS!$C$4:$C$803,A804,MOVIMIENTOS_COMPLEMENTOS!$D$4:$D$803,B804,MOVIMIENTOS_COMPLEMENTOS!$E$4:$E$803,C804,MOVIMIENTOS_COMPLEMENTOS!$G$4:$G$803,E804,MOVIMIENTOS_COMPLEMENTOS!$H$4:$H$803,G804,MOVIMIENTOS_COMPLEMENTOS!$B$4:$B$803,"SALIDA"),0)</f>
        <v>0</v>
      </c>
      <c r="I804" s="102">
        <f t="array" ref="I804">IFERROR(INDEX(PRECIOS_COMPLEMENTOS!$C$4:$F$17,MATCH(B804&amp;"_"&amp;C804,PRECIOS_COMPLEMENTOS!$H$4:$H$17,0),IF(OR(G804="S",G804="20cm"),1,IF(OR(G804="M",G804="25cm"),2,IF(OR(G804="L",G804="30cm"),3,IF(OR(G804="XL",G804="35cm"),4,0))))),0)</f>
        <v>0.4</v>
      </c>
      <c r="J804" s="103">
        <f t="shared" si="1"/>
        <v>0</v>
      </c>
      <c r="K804" s="104" t="str">
        <f>IF(H804&lt;0,"ERROR",IF(H804=0,"",IF(H804&lt;CONFIG!$B$4,"CRÍTICO",IF(H804&lt;CONFIG!$B$5,"BAJO","OK"))))</f>
        <v/>
      </c>
    </row>
    <row r="805" ht="15.75" hidden="1" customHeight="1">
      <c r="A805" s="90" t="str">
        <f>IF(CLIENTES!A5="","",CLIENTES!A5)</f>
        <v>Bravos</v>
      </c>
      <c r="B805" s="90" t="s">
        <v>321</v>
      </c>
      <c r="C805" s="91" t="s">
        <v>328</v>
      </c>
      <c r="D805" s="109" t="s">
        <v>353</v>
      </c>
      <c r="E805" s="67" t="str">
        <f>COLORES!A4</f>
        <v>Negro</v>
      </c>
      <c r="F805" s="67" t="str">
        <f>COLORES!B4</f>
        <v>OSCURO</v>
      </c>
      <c r="G805" s="90" t="s">
        <v>376</v>
      </c>
      <c r="H805" s="100">
        <f>IFERROR(SUMIFS(MOVIMIENTOS_COMPLEMENTOS!$I$4:$I$803,MOVIMIENTOS_COMPLEMENTOS!$C$4:$C$803,A805,MOVIMIENTOS_COMPLEMENTOS!$D$4:$D$803,B805,MOVIMIENTOS_COMPLEMENTOS!$E$4:$E$803,C805,MOVIMIENTOS_COMPLEMENTOS!$G$4:$G$803,E805,MOVIMIENTOS_COMPLEMENTOS!$H$4:$H$803,G805,MOVIMIENTOS_COMPLEMENTOS!$B$4:$B$803,"INGRESO")+SUMIFS(MOVIMIENTOS_COMPLEMENTOS!$I$4:$I$803,MOVIMIENTOS_COMPLEMENTOS!$C$4:$C$803,A805,MOVIMIENTOS_COMPLEMENTOS!$D$4:$D$803,B805,MOVIMIENTOS_COMPLEMENTOS!$E$4:$E$803,C805,MOVIMIENTOS_COMPLEMENTOS!$G$4:$G$803,E805,MOVIMIENTOS_COMPLEMENTOS!$H$4:$H$803,G805,MOVIMIENTOS_COMPLEMENTOS!$B$4:$B$803,"DE CORTE")-SUMIFS(MOVIMIENTOS_COMPLEMENTOS!$I$4:$I$803,MOVIMIENTOS_COMPLEMENTOS!$C$4:$C$803,A805,MOVIMIENTOS_COMPLEMENTOS!$D$4:$D$803,B805,MOVIMIENTOS_COMPLEMENTOS!$E$4:$E$803,C805,MOVIMIENTOS_COMPLEMENTOS!$G$4:$G$803,E805,MOVIMIENTOS_COMPLEMENTOS!$H$4:$H$803,G805,MOVIMIENTOS_COMPLEMENTOS!$B$4:$B$803,"SALIDA"),0)</f>
        <v>0</v>
      </c>
      <c r="I805" s="102">
        <f t="array" ref="I805">IFERROR(INDEX(PRECIOS_COMPLEMENTOS!$C$4:$F$17,MATCH(B805&amp;"_"&amp;C805,PRECIOS_COMPLEMENTOS!$H$4:$H$17,0),IF(OR(G805="S",G805="20cm"),1,IF(OR(G805="M",G805="25cm"),2,IF(OR(G805="L",G805="30cm"),3,IF(OR(G805="XL",G805="35cm"),4,0))))),0)</f>
        <v>0.4</v>
      </c>
      <c r="J805" s="103">
        <f t="shared" si="1"/>
        <v>0</v>
      </c>
      <c r="K805" s="104" t="str">
        <f>IF(H805&lt;0,"ERROR",IF(H805=0,"",IF(H805&lt;CONFIG!$B$4,"CRÍTICO",IF(H805&lt;CONFIG!$B$5,"BAJO","OK"))))</f>
        <v/>
      </c>
    </row>
    <row r="806" ht="15.75" hidden="1" customHeight="1">
      <c r="A806" s="90" t="str">
        <f>IF(CLIENTES!A5="","",CLIENTES!A5)</f>
        <v>Bravos</v>
      </c>
      <c r="B806" s="90" t="s">
        <v>321</v>
      </c>
      <c r="C806" s="91" t="s">
        <v>328</v>
      </c>
      <c r="D806" s="109" t="s">
        <v>353</v>
      </c>
      <c r="E806" s="67" t="str">
        <f>COLORES!A4</f>
        <v>Negro</v>
      </c>
      <c r="F806" s="67" t="str">
        <f>COLORES!B4</f>
        <v>OSCURO</v>
      </c>
      <c r="G806" s="90" t="s">
        <v>377</v>
      </c>
      <c r="H806" s="100">
        <f>IFERROR(SUMIFS(MOVIMIENTOS_COMPLEMENTOS!$I$4:$I$803,MOVIMIENTOS_COMPLEMENTOS!$C$4:$C$803,A806,MOVIMIENTOS_COMPLEMENTOS!$D$4:$D$803,B806,MOVIMIENTOS_COMPLEMENTOS!$E$4:$E$803,C806,MOVIMIENTOS_COMPLEMENTOS!$G$4:$G$803,E806,MOVIMIENTOS_COMPLEMENTOS!$H$4:$H$803,G806,MOVIMIENTOS_COMPLEMENTOS!$B$4:$B$803,"INGRESO")+SUMIFS(MOVIMIENTOS_COMPLEMENTOS!$I$4:$I$803,MOVIMIENTOS_COMPLEMENTOS!$C$4:$C$803,A806,MOVIMIENTOS_COMPLEMENTOS!$D$4:$D$803,B806,MOVIMIENTOS_COMPLEMENTOS!$E$4:$E$803,C806,MOVIMIENTOS_COMPLEMENTOS!$G$4:$G$803,E806,MOVIMIENTOS_COMPLEMENTOS!$H$4:$H$803,G806,MOVIMIENTOS_COMPLEMENTOS!$B$4:$B$803,"DE CORTE")-SUMIFS(MOVIMIENTOS_COMPLEMENTOS!$I$4:$I$803,MOVIMIENTOS_COMPLEMENTOS!$C$4:$C$803,A806,MOVIMIENTOS_COMPLEMENTOS!$D$4:$D$803,B806,MOVIMIENTOS_COMPLEMENTOS!$E$4:$E$803,C806,MOVIMIENTOS_COMPLEMENTOS!$G$4:$G$803,E806,MOVIMIENTOS_COMPLEMENTOS!$H$4:$H$803,G806,MOVIMIENTOS_COMPLEMENTOS!$B$4:$B$803,"SALIDA"),0)</f>
        <v>0</v>
      </c>
      <c r="I806" s="102">
        <f t="array" ref="I806">IFERROR(INDEX(PRECIOS_COMPLEMENTOS!$C$4:$F$17,MATCH(B806&amp;"_"&amp;C806,PRECIOS_COMPLEMENTOS!$H$4:$H$17,0),IF(OR(G806="S",G806="20cm"),1,IF(OR(G806="M",G806="25cm"),2,IF(OR(G806="L",G806="30cm"),3,IF(OR(G806="XL",G806="35cm"),4,0))))),0)</f>
        <v>0.4</v>
      </c>
      <c r="J806" s="103">
        <f t="shared" si="1"/>
        <v>0</v>
      </c>
      <c r="K806" s="104" t="str">
        <f>IF(H806&lt;0,"ERROR",IF(H806=0,"",IF(H806&lt;CONFIG!$B$4,"CRÍTICO",IF(H806&lt;CONFIG!$B$5,"BAJO","OK"))))</f>
        <v/>
      </c>
    </row>
    <row r="807" ht="15.75" hidden="1" customHeight="1">
      <c r="A807" s="90" t="str">
        <f>IF(CLIENTES!A5="","",CLIENTES!A5)</f>
        <v>Bravos</v>
      </c>
      <c r="B807" s="90" t="s">
        <v>321</v>
      </c>
      <c r="C807" s="91" t="s">
        <v>328</v>
      </c>
      <c r="D807" s="109" t="s">
        <v>353</v>
      </c>
      <c r="E807" s="67" t="str">
        <f>COLORES!A4</f>
        <v>Negro</v>
      </c>
      <c r="F807" s="67" t="str">
        <f>COLORES!B4</f>
        <v>OSCURO</v>
      </c>
      <c r="G807" s="90" t="s">
        <v>379</v>
      </c>
      <c r="H807" s="100">
        <f>IFERROR(SUMIFS(MOVIMIENTOS_COMPLEMENTOS!$I$4:$I$803,MOVIMIENTOS_COMPLEMENTOS!$C$4:$C$803,A807,MOVIMIENTOS_COMPLEMENTOS!$D$4:$D$803,B807,MOVIMIENTOS_COMPLEMENTOS!$E$4:$E$803,C807,MOVIMIENTOS_COMPLEMENTOS!$G$4:$G$803,E807,MOVIMIENTOS_COMPLEMENTOS!$H$4:$H$803,G807,MOVIMIENTOS_COMPLEMENTOS!$B$4:$B$803,"INGRESO")+SUMIFS(MOVIMIENTOS_COMPLEMENTOS!$I$4:$I$803,MOVIMIENTOS_COMPLEMENTOS!$C$4:$C$803,A807,MOVIMIENTOS_COMPLEMENTOS!$D$4:$D$803,B807,MOVIMIENTOS_COMPLEMENTOS!$E$4:$E$803,C807,MOVIMIENTOS_COMPLEMENTOS!$G$4:$G$803,E807,MOVIMIENTOS_COMPLEMENTOS!$H$4:$H$803,G807,MOVIMIENTOS_COMPLEMENTOS!$B$4:$B$803,"DE CORTE")-SUMIFS(MOVIMIENTOS_COMPLEMENTOS!$I$4:$I$803,MOVIMIENTOS_COMPLEMENTOS!$C$4:$C$803,A807,MOVIMIENTOS_COMPLEMENTOS!$D$4:$D$803,B807,MOVIMIENTOS_COMPLEMENTOS!$E$4:$E$803,C807,MOVIMIENTOS_COMPLEMENTOS!$G$4:$G$803,E807,MOVIMIENTOS_COMPLEMENTOS!$H$4:$H$803,G807,MOVIMIENTOS_COMPLEMENTOS!$B$4:$B$803,"SALIDA"),0)</f>
        <v>0</v>
      </c>
      <c r="I807" s="102">
        <f t="array" ref="I807">IFERROR(INDEX(PRECIOS_COMPLEMENTOS!$C$4:$F$17,MATCH(B807&amp;"_"&amp;C807,PRECIOS_COMPLEMENTOS!$H$4:$H$17,0),IF(OR(G807="S",G807="20cm"),1,IF(OR(G807="M",G807="25cm"),2,IF(OR(G807="L",G807="30cm"),3,IF(OR(G807="XL",G807="35cm"),4,0))))),0)</f>
        <v>0.4</v>
      </c>
      <c r="J807" s="103">
        <f t="shared" si="1"/>
        <v>0</v>
      </c>
      <c r="K807" s="104" t="str">
        <f>IF(H807&lt;0,"ERROR",IF(H807=0,"",IF(H807&lt;CONFIG!$B$4,"CRÍTICO",IF(H807&lt;CONFIG!$B$5,"BAJO","OK"))))</f>
        <v/>
      </c>
    </row>
    <row r="808" ht="15.75" hidden="1" customHeight="1">
      <c r="A808" s="90" t="str">
        <f>IF(CLIENTES!A5="","",CLIENTES!A5)</f>
        <v>Bravos</v>
      </c>
      <c r="B808" s="90" t="s">
        <v>321</v>
      </c>
      <c r="C808" s="91" t="s">
        <v>328</v>
      </c>
      <c r="D808" s="109" t="s">
        <v>353</v>
      </c>
      <c r="E808" s="67" t="str">
        <f>COLORES!A5</f>
        <v>Perla</v>
      </c>
      <c r="F808" s="67" t="str">
        <f>COLORES!B5</f>
        <v>PPT</v>
      </c>
      <c r="G808" s="90" t="s">
        <v>378</v>
      </c>
      <c r="H808" s="100">
        <f>IFERROR(SUMIFS(MOVIMIENTOS_COMPLEMENTOS!$I$4:$I$803,MOVIMIENTOS_COMPLEMENTOS!$C$4:$C$803,A808,MOVIMIENTOS_COMPLEMENTOS!$D$4:$D$803,B808,MOVIMIENTOS_COMPLEMENTOS!$E$4:$E$803,C808,MOVIMIENTOS_COMPLEMENTOS!$G$4:$G$803,E808,MOVIMIENTOS_COMPLEMENTOS!$H$4:$H$803,G808,MOVIMIENTOS_COMPLEMENTOS!$B$4:$B$803,"INGRESO")+SUMIFS(MOVIMIENTOS_COMPLEMENTOS!$I$4:$I$803,MOVIMIENTOS_COMPLEMENTOS!$C$4:$C$803,A808,MOVIMIENTOS_COMPLEMENTOS!$D$4:$D$803,B808,MOVIMIENTOS_COMPLEMENTOS!$E$4:$E$803,C808,MOVIMIENTOS_COMPLEMENTOS!$G$4:$G$803,E808,MOVIMIENTOS_COMPLEMENTOS!$H$4:$H$803,G808,MOVIMIENTOS_COMPLEMENTOS!$B$4:$B$803,"DE CORTE")-SUMIFS(MOVIMIENTOS_COMPLEMENTOS!$I$4:$I$803,MOVIMIENTOS_COMPLEMENTOS!$C$4:$C$803,A808,MOVIMIENTOS_COMPLEMENTOS!$D$4:$D$803,B808,MOVIMIENTOS_COMPLEMENTOS!$E$4:$E$803,C808,MOVIMIENTOS_COMPLEMENTOS!$G$4:$G$803,E808,MOVIMIENTOS_COMPLEMENTOS!$H$4:$H$803,G808,MOVIMIENTOS_COMPLEMENTOS!$B$4:$B$803,"SALIDA"),0)</f>
        <v>0</v>
      </c>
      <c r="I808" s="102">
        <f t="array" ref="I808">IFERROR(INDEX(PRECIOS_COMPLEMENTOS!$C$4:$F$17,MATCH(B808&amp;"_"&amp;C808,PRECIOS_COMPLEMENTOS!$H$4:$H$17,0),IF(OR(G808="S",G808="20cm"),1,IF(OR(G808="M",G808="25cm"),2,IF(OR(G808="L",G808="30cm"),3,IF(OR(G808="XL",G808="35cm"),4,0))))),0)</f>
        <v>0.4</v>
      </c>
      <c r="J808" s="103">
        <f t="shared" si="1"/>
        <v>0</v>
      </c>
      <c r="K808" s="104" t="str">
        <f>IF(H808&lt;0,"ERROR",IF(H808=0,"",IF(H808&lt;CONFIG!$B$4,"CRÍTICO",IF(H808&lt;CONFIG!$B$5,"BAJO","OK"))))</f>
        <v/>
      </c>
    </row>
    <row r="809" ht="15.75" hidden="1" customHeight="1">
      <c r="A809" s="90" t="str">
        <f>IF(CLIENTES!A5="","",CLIENTES!A5)</f>
        <v>Bravos</v>
      </c>
      <c r="B809" s="90" t="s">
        <v>321</v>
      </c>
      <c r="C809" s="91" t="s">
        <v>328</v>
      </c>
      <c r="D809" s="109" t="s">
        <v>353</v>
      </c>
      <c r="E809" s="67" t="str">
        <f>COLORES!A5</f>
        <v>Perla</v>
      </c>
      <c r="F809" s="67" t="str">
        <f>COLORES!B5</f>
        <v>PPT</v>
      </c>
      <c r="G809" s="90" t="s">
        <v>376</v>
      </c>
      <c r="H809" s="100">
        <f>IFERROR(SUMIFS(MOVIMIENTOS_COMPLEMENTOS!$I$4:$I$803,MOVIMIENTOS_COMPLEMENTOS!$C$4:$C$803,A809,MOVIMIENTOS_COMPLEMENTOS!$D$4:$D$803,B809,MOVIMIENTOS_COMPLEMENTOS!$E$4:$E$803,C809,MOVIMIENTOS_COMPLEMENTOS!$G$4:$G$803,E809,MOVIMIENTOS_COMPLEMENTOS!$H$4:$H$803,G809,MOVIMIENTOS_COMPLEMENTOS!$B$4:$B$803,"INGRESO")+SUMIFS(MOVIMIENTOS_COMPLEMENTOS!$I$4:$I$803,MOVIMIENTOS_COMPLEMENTOS!$C$4:$C$803,A809,MOVIMIENTOS_COMPLEMENTOS!$D$4:$D$803,B809,MOVIMIENTOS_COMPLEMENTOS!$E$4:$E$803,C809,MOVIMIENTOS_COMPLEMENTOS!$G$4:$G$803,E809,MOVIMIENTOS_COMPLEMENTOS!$H$4:$H$803,G809,MOVIMIENTOS_COMPLEMENTOS!$B$4:$B$803,"DE CORTE")-SUMIFS(MOVIMIENTOS_COMPLEMENTOS!$I$4:$I$803,MOVIMIENTOS_COMPLEMENTOS!$C$4:$C$803,A809,MOVIMIENTOS_COMPLEMENTOS!$D$4:$D$803,B809,MOVIMIENTOS_COMPLEMENTOS!$E$4:$E$803,C809,MOVIMIENTOS_COMPLEMENTOS!$G$4:$G$803,E809,MOVIMIENTOS_COMPLEMENTOS!$H$4:$H$803,G809,MOVIMIENTOS_COMPLEMENTOS!$B$4:$B$803,"SALIDA"),0)</f>
        <v>0</v>
      </c>
      <c r="I809" s="102">
        <f t="array" ref="I809">IFERROR(INDEX(PRECIOS_COMPLEMENTOS!$C$4:$F$17,MATCH(B809&amp;"_"&amp;C809,PRECIOS_COMPLEMENTOS!$H$4:$H$17,0),IF(OR(G809="S",G809="20cm"),1,IF(OR(G809="M",G809="25cm"),2,IF(OR(G809="L",G809="30cm"),3,IF(OR(G809="XL",G809="35cm"),4,0))))),0)</f>
        <v>0.4</v>
      </c>
      <c r="J809" s="103">
        <f t="shared" si="1"/>
        <v>0</v>
      </c>
      <c r="K809" s="104" t="str">
        <f>IF(H809&lt;0,"ERROR",IF(H809=0,"",IF(H809&lt;CONFIG!$B$4,"CRÍTICO",IF(H809&lt;CONFIG!$B$5,"BAJO","OK"))))</f>
        <v/>
      </c>
    </row>
    <row r="810" ht="15.75" hidden="1" customHeight="1">
      <c r="A810" s="90" t="str">
        <f>IF(CLIENTES!A5="","",CLIENTES!A5)</f>
        <v>Bravos</v>
      </c>
      <c r="B810" s="90" t="s">
        <v>321</v>
      </c>
      <c r="C810" s="91" t="s">
        <v>328</v>
      </c>
      <c r="D810" s="109" t="s">
        <v>353</v>
      </c>
      <c r="E810" s="67" t="str">
        <f>COLORES!A5</f>
        <v>Perla</v>
      </c>
      <c r="F810" s="67" t="str">
        <f>COLORES!B5</f>
        <v>PPT</v>
      </c>
      <c r="G810" s="90" t="s">
        <v>377</v>
      </c>
      <c r="H810" s="100">
        <f>IFERROR(SUMIFS(MOVIMIENTOS_COMPLEMENTOS!$I$4:$I$803,MOVIMIENTOS_COMPLEMENTOS!$C$4:$C$803,A810,MOVIMIENTOS_COMPLEMENTOS!$D$4:$D$803,B810,MOVIMIENTOS_COMPLEMENTOS!$E$4:$E$803,C810,MOVIMIENTOS_COMPLEMENTOS!$G$4:$G$803,E810,MOVIMIENTOS_COMPLEMENTOS!$H$4:$H$803,G810,MOVIMIENTOS_COMPLEMENTOS!$B$4:$B$803,"INGRESO")+SUMIFS(MOVIMIENTOS_COMPLEMENTOS!$I$4:$I$803,MOVIMIENTOS_COMPLEMENTOS!$C$4:$C$803,A810,MOVIMIENTOS_COMPLEMENTOS!$D$4:$D$803,B810,MOVIMIENTOS_COMPLEMENTOS!$E$4:$E$803,C810,MOVIMIENTOS_COMPLEMENTOS!$G$4:$G$803,E810,MOVIMIENTOS_COMPLEMENTOS!$H$4:$H$803,G810,MOVIMIENTOS_COMPLEMENTOS!$B$4:$B$803,"DE CORTE")-SUMIFS(MOVIMIENTOS_COMPLEMENTOS!$I$4:$I$803,MOVIMIENTOS_COMPLEMENTOS!$C$4:$C$803,A810,MOVIMIENTOS_COMPLEMENTOS!$D$4:$D$803,B810,MOVIMIENTOS_COMPLEMENTOS!$E$4:$E$803,C810,MOVIMIENTOS_COMPLEMENTOS!$G$4:$G$803,E810,MOVIMIENTOS_COMPLEMENTOS!$H$4:$H$803,G810,MOVIMIENTOS_COMPLEMENTOS!$B$4:$B$803,"SALIDA"),0)</f>
        <v>0</v>
      </c>
      <c r="I810" s="102">
        <f t="array" ref="I810">IFERROR(INDEX(PRECIOS_COMPLEMENTOS!$C$4:$F$17,MATCH(B810&amp;"_"&amp;C810,PRECIOS_COMPLEMENTOS!$H$4:$H$17,0),IF(OR(G810="S",G810="20cm"),1,IF(OR(G810="M",G810="25cm"),2,IF(OR(G810="L",G810="30cm"),3,IF(OR(G810="XL",G810="35cm"),4,0))))),0)</f>
        <v>0.4</v>
      </c>
      <c r="J810" s="103">
        <f t="shared" si="1"/>
        <v>0</v>
      </c>
      <c r="K810" s="104" t="str">
        <f>IF(H810&lt;0,"ERROR",IF(H810=0,"",IF(H810&lt;CONFIG!$B$4,"CRÍTICO",IF(H810&lt;CONFIG!$B$5,"BAJO","OK"))))</f>
        <v/>
      </c>
    </row>
    <row r="811" ht="15.75" hidden="1" customHeight="1">
      <c r="A811" s="90" t="str">
        <f>IF(CLIENTES!A5="","",CLIENTES!A5)</f>
        <v>Bravos</v>
      </c>
      <c r="B811" s="90" t="s">
        <v>321</v>
      </c>
      <c r="C811" s="91" t="s">
        <v>328</v>
      </c>
      <c r="D811" s="109" t="s">
        <v>353</v>
      </c>
      <c r="E811" s="67" t="str">
        <f>COLORES!A5</f>
        <v>Perla</v>
      </c>
      <c r="F811" s="67" t="str">
        <f>COLORES!B5</f>
        <v>PPT</v>
      </c>
      <c r="G811" s="90" t="s">
        <v>379</v>
      </c>
      <c r="H811" s="100">
        <f>IFERROR(SUMIFS(MOVIMIENTOS_COMPLEMENTOS!$I$4:$I$803,MOVIMIENTOS_COMPLEMENTOS!$C$4:$C$803,A811,MOVIMIENTOS_COMPLEMENTOS!$D$4:$D$803,B811,MOVIMIENTOS_COMPLEMENTOS!$E$4:$E$803,C811,MOVIMIENTOS_COMPLEMENTOS!$G$4:$G$803,E811,MOVIMIENTOS_COMPLEMENTOS!$H$4:$H$803,G811,MOVIMIENTOS_COMPLEMENTOS!$B$4:$B$803,"INGRESO")+SUMIFS(MOVIMIENTOS_COMPLEMENTOS!$I$4:$I$803,MOVIMIENTOS_COMPLEMENTOS!$C$4:$C$803,A811,MOVIMIENTOS_COMPLEMENTOS!$D$4:$D$803,B811,MOVIMIENTOS_COMPLEMENTOS!$E$4:$E$803,C811,MOVIMIENTOS_COMPLEMENTOS!$G$4:$G$803,E811,MOVIMIENTOS_COMPLEMENTOS!$H$4:$H$803,G811,MOVIMIENTOS_COMPLEMENTOS!$B$4:$B$803,"DE CORTE")-SUMIFS(MOVIMIENTOS_COMPLEMENTOS!$I$4:$I$803,MOVIMIENTOS_COMPLEMENTOS!$C$4:$C$803,A811,MOVIMIENTOS_COMPLEMENTOS!$D$4:$D$803,B811,MOVIMIENTOS_COMPLEMENTOS!$E$4:$E$803,C811,MOVIMIENTOS_COMPLEMENTOS!$G$4:$G$803,E811,MOVIMIENTOS_COMPLEMENTOS!$H$4:$H$803,G811,MOVIMIENTOS_COMPLEMENTOS!$B$4:$B$803,"SALIDA"),0)</f>
        <v>0</v>
      </c>
      <c r="I811" s="102">
        <f t="array" ref="I811">IFERROR(INDEX(PRECIOS_COMPLEMENTOS!$C$4:$F$17,MATCH(B811&amp;"_"&amp;C811,PRECIOS_COMPLEMENTOS!$H$4:$H$17,0),IF(OR(G811="S",G811="20cm"),1,IF(OR(G811="M",G811="25cm"),2,IF(OR(G811="L",G811="30cm"),3,IF(OR(G811="XL",G811="35cm"),4,0))))),0)</f>
        <v>0.4</v>
      </c>
      <c r="J811" s="103">
        <f t="shared" si="1"/>
        <v>0</v>
      </c>
      <c r="K811" s="104" t="str">
        <f>IF(H811&lt;0,"ERROR",IF(H811=0,"",IF(H811&lt;CONFIG!$B$4,"CRÍTICO",IF(H811&lt;CONFIG!$B$5,"BAJO","OK"))))</f>
        <v/>
      </c>
    </row>
    <row r="812" ht="15.75" hidden="1" customHeight="1">
      <c r="A812" s="90" t="str">
        <f>IF(CLIENTES!A5="","",CLIENTES!A5)</f>
        <v>Bravos</v>
      </c>
      <c r="B812" s="90" t="s">
        <v>321</v>
      </c>
      <c r="C812" s="91" t="s">
        <v>328</v>
      </c>
      <c r="D812" s="109" t="s">
        <v>353</v>
      </c>
      <c r="E812" s="67" t="str">
        <f>COLORES!A6</f>
        <v>Blanco</v>
      </c>
      <c r="F812" s="67" t="str">
        <f>COLORES!B6</f>
        <v>PPT</v>
      </c>
      <c r="G812" s="90" t="s">
        <v>378</v>
      </c>
      <c r="H812" s="100">
        <f>IFERROR(SUMIFS(MOVIMIENTOS_COMPLEMENTOS!$I$4:$I$803,MOVIMIENTOS_COMPLEMENTOS!$C$4:$C$803,A812,MOVIMIENTOS_COMPLEMENTOS!$D$4:$D$803,B812,MOVIMIENTOS_COMPLEMENTOS!$E$4:$E$803,C812,MOVIMIENTOS_COMPLEMENTOS!$G$4:$G$803,E812,MOVIMIENTOS_COMPLEMENTOS!$H$4:$H$803,G812,MOVIMIENTOS_COMPLEMENTOS!$B$4:$B$803,"INGRESO")+SUMIFS(MOVIMIENTOS_COMPLEMENTOS!$I$4:$I$803,MOVIMIENTOS_COMPLEMENTOS!$C$4:$C$803,A812,MOVIMIENTOS_COMPLEMENTOS!$D$4:$D$803,B812,MOVIMIENTOS_COMPLEMENTOS!$E$4:$E$803,C812,MOVIMIENTOS_COMPLEMENTOS!$G$4:$G$803,E812,MOVIMIENTOS_COMPLEMENTOS!$H$4:$H$803,G812,MOVIMIENTOS_COMPLEMENTOS!$B$4:$B$803,"DE CORTE")-SUMIFS(MOVIMIENTOS_COMPLEMENTOS!$I$4:$I$803,MOVIMIENTOS_COMPLEMENTOS!$C$4:$C$803,A812,MOVIMIENTOS_COMPLEMENTOS!$D$4:$D$803,B812,MOVIMIENTOS_COMPLEMENTOS!$E$4:$E$803,C812,MOVIMIENTOS_COMPLEMENTOS!$G$4:$G$803,E812,MOVIMIENTOS_COMPLEMENTOS!$H$4:$H$803,G812,MOVIMIENTOS_COMPLEMENTOS!$B$4:$B$803,"SALIDA"),0)</f>
        <v>0</v>
      </c>
      <c r="I812" s="102">
        <f t="array" ref="I812">IFERROR(INDEX(PRECIOS_COMPLEMENTOS!$C$4:$F$17,MATCH(B812&amp;"_"&amp;C812,PRECIOS_COMPLEMENTOS!$H$4:$H$17,0),IF(OR(G812="S",G812="20cm"),1,IF(OR(G812="M",G812="25cm"),2,IF(OR(G812="L",G812="30cm"),3,IF(OR(G812="XL",G812="35cm"),4,0))))),0)</f>
        <v>0.4</v>
      </c>
      <c r="J812" s="103">
        <f t="shared" si="1"/>
        <v>0</v>
      </c>
      <c r="K812" s="104" t="str">
        <f>IF(H812&lt;0,"ERROR",IF(H812=0,"",IF(H812&lt;CONFIG!$B$4,"CRÍTICO",IF(H812&lt;CONFIG!$B$5,"BAJO","OK"))))</f>
        <v/>
      </c>
    </row>
    <row r="813" ht="15.75" hidden="1" customHeight="1">
      <c r="A813" s="90" t="str">
        <f>IF(CLIENTES!A5="","",CLIENTES!A5)</f>
        <v>Bravos</v>
      </c>
      <c r="B813" s="90" t="s">
        <v>321</v>
      </c>
      <c r="C813" s="91" t="s">
        <v>328</v>
      </c>
      <c r="D813" s="109" t="s">
        <v>353</v>
      </c>
      <c r="E813" s="67" t="str">
        <f>COLORES!A6</f>
        <v>Blanco</v>
      </c>
      <c r="F813" s="67" t="str">
        <f>COLORES!B6</f>
        <v>PPT</v>
      </c>
      <c r="G813" s="90" t="s">
        <v>376</v>
      </c>
      <c r="H813" s="100">
        <f>IFERROR(SUMIFS(MOVIMIENTOS_COMPLEMENTOS!$I$4:$I$803,MOVIMIENTOS_COMPLEMENTOS!$C$4:$C$803,A813,MOVIMIENTOS_COMPLEMENTOS!$D$4:$D$803,B813,MOVIMIENTOS_COMPLEMENTOS!$E$4:$E$803,C813,MOVIMIENTOS_COMPLEMENTOS!$G$4:$G$803,E813,MOVIMIENTOS_COMPLEMENTOS!$H$4:$H$803,G813,MOVIMIENTOS_COMPLEMENTOS!$B$4:$B$803,"INGRESO")+SUMIFS(MOVIMIENTOS_COMPLEMENTOS!$I$4:$I$803,MOVIMIENTOS_COMPLEMENTOS!$C$4:$C$803,A813,MOVIMIENTOS_COMPLEMENTOS!$D$4:$D$803,B813,MOVIMIENTOS_COMPLEMENTOS!$E$4:$E$803,C813,MOVIMIENTOS_COMPLEMENTOS!$G$4:$G$803,E813,MOVIMIENTOS_COMPLEMENTOS!$H$4:$H$803,G813,MOVIMIENTOS_COMPLEMENTOS!$B$4:$B$803,"DE CORTE")-SUMIFS(MOVIMIENTOS_COMPLEMENTOS!$I$4:$I$803,MOVIMIENTOS_COMPLEMENTOS!$C$4:$C$803,A813,MOVIMIENTOS_COMPLEMENTOS!$D$4:$D$803,B813,MOVIMIENTOS_COMPLEMENTOS!$E$4:$E$803,C813,MOVIMIENTOS_COMPLEMENTOS!$G$4:$G$803,E813,MOVIMIENTOS_COMPLEMENTOS!$H$4:$H$803,G813,MOVIMIENTOS_COMPLEMENTOS!$B$4:$B$803,"SALIDA"),0)</f>
        <v>0</v>
      </c>
      <c r="I813" s="102">
        <f t="array" ref="I813">IFERROR(INDEX(PRECIOS_COMPLEMENTOS!$C$4:$F$17,MATCH(B813&amp;"_"&amp;C813,PRECIOS_COMPLEMENTOS!$H$4:$H$17,0),IF(OR(G813="S",G813="20cm"),1,IF(OR(G813="M",G813="25cm"),2,IF(OR(G813="L",G813="30cm"),3,IF(OR(G813="XL",G813="35cm"),4,0))))),0)</f>
        <v>0.4</v>
      </c>
      <c r="J813" s="103">
        <f t="shared" si="1"/>
        <v>0</v>
      </c>
      <c r="K813" s="104" t="str">
        <f>IF(H813&lt;0,"ERROR",IF(H813=0,"",IF(H813&lt;CONFIG!$B$4,"CRÍTICO",IF(H813&lt;CONFIG!$B$5,"BAJO","OK"))))</f>
        <v/>
      </c>
    </row>
    <row r="814" ht="15.75" hidden="1" customHeight="1">
      <c r="A814" s="90" t="str">
        <f>IF(CLIENTES!A5="","",CLIENTES!A5)</f>
        <v>Bravos</v>
      </c>
      <c r="B814" s="90" t="s">
        <v>321</v>
      </c>
      <c r="C814" s="91" t="s">
        <v>328</v>
      </c>
      <c r="D814" s="109" t="s">
        <v>353</v>
      </c>
      <c r="E814" s="67" t="str">
        <f>COLORES!A6</f>
        <v>Blanco</v>
      </c>
      <c r="F814" s="67" t="str">
        <f>COLORES!B6</f>
        <v>PPT</v>
      </c>
      <c r="G814" s="90" t="s">
        <v>377</v>
      </c>
      <c r="H814" s="100">
        <f>IFERROR(SUMIFS(MOVIMIENTOS_COMPLEMENTOS!$I$4:$I$803,MOVIMIENTOS_COMPLEMENTOS!$C$4:$C$803,A814,MOVIMIENTOS_COMPLEMENTOS!$D$4:$D$803,B814,MOVIMIENTOS_COMPLEMENTOS!$E$4:$E$803,C814,MOVIMIENTOS_COMPLEMENTOS!$G$4:$G$803,E814,MOVIMIENTOS_COMPLEMENTOS!$H$4:$H$803,G814,MOVIMIENTOS_COMPLEMENTOS!$B$4:$B$803,"INGRESO")+SUMIFS(MOVIMIENTOS_COMPLEMENTOS!$I$4:$I$803,MOVIMIENTOS_COMPLEMENTOS!$C$4:$C$803,A814,MOVIMIENTOS_COMPLEMENTOS!$D$4:$D$803,B814,MOVIMIENTOS_COMPLEMENTOS!$E$4:$E$803,C814,MOVIMIENTOS_COMPLEMENTOS!$G$4:$G$803,E814,MOVIMIENTOS_COMPLEMENTOS!$H$4:$H$803,G814,MOVIMIENTOS_COMPLEMENTOS!$B$4:$B$803,"DE CORTE")-SUMIFS(MOVIMIENTOS_COMPLEMENTOS!$I$4:$I$803,MOVIMIENTOS_COMPLEMENTOS!$C$4:$C$803,A814,MOVIMIENTOS_COMPLEMENTOS!$D$4:$D$803,B814,MOVIMIENTOS_COMPLEMENTOS!$E$4:$E$803,C814,MOVIMIENTOS_COMPLEMENTOS!$G$4:$G$803,E814,MOVIMIENTOS_COMPLEMENTOS!$H$4:$H$803,G814,MOVIMIENTOS_COMPLEMENTOS!$B$4:$B$803,"SALIDA"),0)</f>
        <v>0</v>
      </c>
      <c r="I814" s="102">
        <f t="array" ref="I814">IFERROR(INDEX(PRECIOS_COMPLEMENTOS!$C$4:$F$17,MATCH(B814&amp;"_"&amp;C814,PRECIOS_COMPLEMENTOS!$H$4:$H$17,0),IF(OR(G814="S",G814="20cm"),1,IF(OR(G814="M",G814="25cm"),2,IF(OR(G814="L",G814="30cm"),3,IF(OR(G814="XL",G814="35cm"),4,0))))),0)</f>
        <v>0.4</v>
      </c>
      <c r="J814" s="103">
        <f t="shared" si="1"/>
        <v>0</v>
      </c>
      <c r="K814" s="104" t="str">
        <f>IF(H814&lt;0,"ERROR",IF(H814=0,"",IF(H814&lt;CONFIG!$B$4,"CRÍTICO",IF(H814&lt;CONFIG!$B$5,"BAJO","OK"))))</f>
        <v/>
      </c>
    </row>
    <row r="815" ht="15.75" hidden="1" customHeight="1">
      <c r="A815" s="90" t="str">
        <f>IF(CLIENTES!A5="","",CLIENTES!A5)</f>
        <v>Bravos</v>
      </c>
      <c r="B815" s="90" t="s">
        <v>321</v>
      </c>
      <c r="C815" s="91" t="s">
        <v>328</v>
      </c>
      <c r="D815" s="109" t="s">
        <v>353</v>
      </c>
      <c r="E815" s="67" t="str">
        <f>COLORES!A6</f>
        <v>Blanco</v>
      </c>
      <c r="F815" s="67" t="str">
        <f>COLORES!B6</f>
        <v>PPT</v>
      </c>
      <c r="G815" s="90" t="s">
        <v>379</v>
      </c>
      <c r="H815" s="100">
        <f>IFERROR(SUMIFS(MOVIMIENTOS_COMPLEMENTOS!$I$4:$I$803,MOVIMIENTOS_COMPLEMENTOS!$C$4:$C$803,A815,MOVIMIENTOS_COMPLEMENTOS!$D$4:$D$803,B815,MOVIMIENTOS_COMPLEMENTOS!$E$4:$E$803,C815,MOVIMIENTOS_COMPLEMENTOS!$G$4:$G$803,E815,MOVIMIENTOS_COMPLEMENTOS!$H$4:$H$803,G815,MOVIMIENTOS_COMPLEMENTOS!$B$4:$B$803,"INGRESO")+SUMIFS(MOVIMIENTOS_COMPLEMENTOS!$I$4:$I$803,MOVIMIENTOS_COMPLEMENTOS!$C$4:$C$803,A815,MOVIMIENTOS_COMPLEMENTOS!$D$4:$D$803,B815,MOVIMIENTOS_COMPLEMENTOS!$E$4:$E$803,C815,MOVIMIENTOS_COMPLEMENTOS!$G$4:$G$803,E815,MOVIMIENTOS_COMPLEMENTOS!$H$4:$H$803,G815,MOVIMIENTOS_COMPLEMENTOS!$B$4:$B$803,"DE CORTE")-SUMIFS(MOVIMIENTOS_COMPLEMENTOS!$I$4:$I$803,MOVIMIENTOS_COMPLEMENTOS!$C$4:$C$803,A815,MOVIMIENTOS_COMPLEMENTOS!$D$4:$D$803,B815,MOVIMIENTOS_COMPLEMENTOS!$E$4:$E$803,C815,MOVIMIENTOS_COMPLEMENTOS!$G$4:$G$803,E815,MOVIMIENTOS_COMPLEMENTOS!$H$4:$H$803,G815,MOVIMIENTOS_COMPLEMENTOS!$B$4:$B$803,"SALIDA"),0)</f>
        <v>0</v>
      </c>
      <c r="I815" s="102">
        <f t="array" ref="I815">IFERROR(INDEX(PRECIOS_COMPLEMENTOS!$C$4:$F$17,MATCH(B815&amp;"_"&amp;C815,PRECIOS_COMPLEMENTOS!$H$4:$H$17,0),IF(OR(G815="S",G815="20cm"),1,IF(OR(G815="M",G815="25cm"),2,IF(OR(G815="L",G815="30cm"),3,IF(OR(G815="XL",G815="35cm"),4,0))))),0)</f>
        <v>0.4</v>
      </c>
      <c r="J815" s="103">
        <f t="shared" si="1"/>
        <v>0</v>
      </c>
      <c r="K815" s="104" t="str">
        <f>IF(H815&lt;0,"ERROR",IF(H815=0,"",IF(H815&lt;CONFIG!$B$4,"CRÍTICO",IF(H815&lt;CONFIG!$B$5,"BAJO","OK"))))</f>
        <v/>
      </c>
    </row>
    <row r="816" ht="15.75" hidden="1" customHeight="1">
      <c r="A816" s="90" t="str">
        <f>IF(CLIENTES!A5="","",CLIENTES!A5)</f>
        <v>Bravos</v>
      </c>
      <c r="B816" s="90" t="s">
        <v>321</v>
      </c>
      <c r="C816" s="91" t="s">
        <v>328</v>
      </c>
      <c r="D816" s="109" t="s">
        <v>353</v>
      </c>
      <c r="E816" s="67" t="str">
        <f>COLORES!A7</f>
        <v>Azul</v>
      </c>
      <c r="F816" s="67" t="str">
        <f>COLORES!B7</f>
        <v>OSCURO</v>
      </c>
      <c r="G816" s="90" t="s">
        <v>378</v>
      </c>
      <c r="H816" s="100">
        <f>IFERROR(SUMIFS(MOVIMIENTOS_COMPLEMENTOS!$I$4:$I$803,MOVIMIENTOS_COMPLEMENTOS!$C$4:$C$803,A816,MOVIMIENTOS_COMPLEMENTOS!$D$4:$D$803,B816,MOVIMIENTOS_COMPLEMENTOS!$E$4:$E$803,C816,MOVIMIENTOS_COMPLEMENTOS!$G$4:$G$803,E816,MOVIMIENTOS_COMPLEMENTOS!$H$4:$H$803,G816,MOVIMIENTOS_COMPLEMENTOS!$B$4:$B$803,"INGRESO")+SUMIFS(MOVIMIENTOS_COMPLEMENTOS!$I$4:$I$803,MOVIMIENTOS_COMPLEMENTOS!$C$4:$C$803,A816,MOVIMIENTOS_COMPLEMENTOS!$D$4:$D$803,B816,MOVIMIENTOS_COMPLEMENTOS!$E$4:$E$803,C816,MOVIMIENTOS_COMPLEMENTOS!$G$4:$G$803,E816,MOVIMIENTOS_COMPLEMENTOS!$H$4:$H$803,G816,MOVIMIENTOS_COMPLEMENTOS!$B$4:$B$803,"DE CORTE")-SUMIFS(MOVIMIENTOS_COMPLEMENTOS!$I$4:$I$803,MOVIMIENTOS_COMPLEMENTOS!$C$4:$C$803,A816,MOVIMIENTOS_COMPLEMENTOS!$D$4:$D$803,B816,MOVIMIENTOS_COMPLEMENTOS!$E$4:$E$803,C816,MOVIMIENTOS_COMPLEMENTOS!$G$4:$G$803,E816,MOVIMIENTOS_COMPLEMENTOS!$H$4:$H$803,G816,MOVIMIENTOS_COMPLEMENTOS!$B$4:$B$803,"SALIDA"),0)</f>
        <v>0</v>
      </c>
      <c r="I816" s="102">
        <f t="array" ref="I816">IFERROR(INDEX(PRECIOS_COMPLEMENTOS!$C$4:$F$17,MATCH(B816&amp;"_"&amp;C816,PRECIOS_COMPLEMENTOS!$H$4:$H$17,0),IF(OR(G816="S",G816="20cm"),1,IF(OR(G816="M",G816="25cm"),2,IF(OR(G816="L",G816="30cm"),3,IF(OR(G816="XL",G816="35cm"),4,0))))),0)</f>
        <v>0.4</v>
      </c>
      <c r="J816" s="103">
        <f t="shared" si="1"/>
        <v>0</v>
      </c>
      <c r="K816" s="104" t="str">
        <f>IF(H816&lt;0,"ERROR",IF(H816=0,"",IF(H816&lt;CONFIG!$B$4,"CRÍTICO",IF(H816&lt;CONFIG!$B$5,"BAJO","OK"))))</f>
        <v/>
      </c>
    </row>
    <row r="817" ht="15.75" hidden="1" customHeight="1">
      <c r="A817" s="90" t="str">
        <f>IF(CLIENTES!A5="","",CLIENTES!A5)</f>
        <v>Bravos</v>
      </c>
      <c r="B817" s="90" t="s">
        <v>321</v>
      </c>
      <c r="C817" s="91" t="s">
        <v>328</v>
      </c>
      <c r="D817" s="109" t="s">
        <v>353</v>
      </c>
      <c r="E817" s="67" t="str">
        <f>COLORES!A7</f>
        <v>Azul</v>
      </c>
      <c r="F817" s="67" t="str">
        <f>COLORES!B7</f>
        <v>OSCURO</v>
      </c>
      <c r="G817" s="90" t="s">
        <v>376</v>
      </c>
      <c r="H817" s="100">
        <f>IFERROR(SUMIFS(MOVIMIENTOS_COMPLEMENTOS!$I$4:$I$803,MOVIMIENTOS_COMPLEMENTOS!$C$4:$C$803,A817,MOVIMIENTOS_COMPLEMENTOS!$D$4:$D$803,B817,MOVIMIENTOS_COMPLEMENTOS!$E$4:$E$803,C817,MOVIMIENTOS_COMPLEMENTOS!$G$4:$G$803,E817,MOVIMIENTOS_COMPLEMENTOS!$H$4:$H$803,G817,MOVIMIENTOS_COMPLEMENTOS!$B$4:$B$803,"INGRESO")+SUMIFS(MOVIMIENTOS_COMPLEMENTOS!$I$4:$I$803,MOVIMIENTOS_COMPLEMENTOS!$C$4:$C$803,A817,MOVIMIENTOS_COMPLEMENTOS!$D$4:$D$803,B817,MOVIMIENTOS_COMPLEMENTOS!$E$4:$E$803,C817,MOVIMIENTOS_COMPLEMENTOS!$G$4:$G$803,E817,MOVIMIENTOS_COMPLEMENTOS!$H$4:$H$803,G817,MOVIMIENTOS_COMPLEMENTOS!$B$4:$B$803,"DE CORTE")-SUMIFS(MOVIMIENTOS_COMPLEMENTOS!$I$4:$I$803,MOVIMIENTOS_COMPLEMENTOS!$C$4:$C$803,A817,MOVIMIENTOS_COMPLEMENTOS!$D$4:$D$803,B817,MOVIMIENTOS_COMPLEMENTOS!$E$4:$E$803,C817,MOVIMIENTOS_COMPLEMENTOS!$G$4:$G$803,E817,MOVIMIENTOS_COMPLEMENTOS!$H$4:$H$803,G817,MOVIMIENTOS_COMPLEMENTOS!$B$4:$B$803,"SALIDA"),0)</f>
        <v>0</v>
      </c>
      <c r="I817" s="102">
        <f t="array" ref="I817">IFERROR(INDEX(PRECIOS_COMPLEMENTOS!$C$4:$F$17,MATCH(B817&amp;"_"&amp;C817,PRECIOS_COMPLEMENTOS!$H$4:$H$17,0),IF(OR(G817="S",G817="20cm"),1,IF(OR(G817="M",G817="25cm"),2,IF(OR(G817="L",G817="30cm"),3,IF(OR(G817="XL",G817="35cm"),4,0))))),0)</f>
        <v>0.4</v>
      </c>
      <c r="J817" s="103">
        <f t="shared" si="1"/>
        <v>0</v>
      </c>
      <c r="K817" s="104" t="str">
        <f>IF(H817&lt;0,"ERROR",IF(H817=0,"",IF(H817&lt;CONFIG!$B$4,"CRÍTICO",IF(H817&lt;CONFIG!$B$5,"BAJO","OK"))))</f>
        <v/>
      </c>
    </row>
    <row r="818" ht="15.75" hidden="1" customHeight="1">
      <c r="A818" s="90" t="str">
        <f>IF(CLIENTES!A5="","",CLIENTES!A5)</f>
        <v>Bravos</v>
      </c>
      <c r="B818" s="90" t="s">
        <v>321</v>
      </c>
      <c r="C818" s="91" t="s">
        <v>328</v>
      </c>
      <c r="D818" s="109" t="s">
        <v>353</v>
      </c>
      <c r="E818" s="67" t="str">
        <f>COLORES!A7</f>
        <v>Azul</v>
      </c>
      <c r="F818" s="67" t="str">
        <f>COLORES!B7</f>
        <v>OSCURO</v>
      </c>
      <c r="G818" s="90" t="s">
        <v>377</v>
      </c>
      <c r="H818" s="100">
        <f>IFERROR(SUMIFS(MOVIMIENTOS_COMPLEMENTOS!$I$4:$I$803,MOVIMIENTOS_COMPLEMENTOS!$C$4:$C$803,A818,MOVIMIENTOS_COMPLEMENTOS!$D$4:$D$803,B818,MOVIMIENTOS_COMPLEMENTOS!$E$4:$E$803,C818,MOVIMIENTOS_COMPLEMENTOS!$G$4:$G$803,E818,MOVIMIENTOS_COMPLEMENTOS!$H$4:$H$803,G818,MOVIMIENTOS_COMPLEMENTOS!$B$4:$B$803,"INGRESO")+SUMIFS(MOVIMIENTOS_COMPLEMENTOS!$I$4:$I$803,MOVIMIENTOS_COMPLEMENTOS!$C$4:$C$803,A818,MOVIMIENTOS_COMPLEMENTOS!$D$4:$D$803,B818,MOVIMIENTOS_COMPLEMENTOS!$E$4:$E$803,C818,MOVIMIENTOS_COMPLEMENTOS!$G$4:$G$803,E818,MOVIMIENTOS_COMPLEMENTOS!$H$4:$H$803,G818,MOVIMIENTOS_COMPLEMENTOS!$B$4:$B$803,"DE CORTE")-SUMIFS(MOVIMIENTOS_COMPLEMENTOS!$I$4:$I$803,MOVIMIENTOS_COMPLEMENTOS!$C$4:$C$803,A818,MOVIMIENTOS_COMPLEMENTOS!$D$4:$D$803,B818,MOVIMIENTOS_COMPLEMENTOS!$E$4:$E$803,C818,MOVIMIENTOS_COMPLEMENTOS!$G$4:$G$803,E818,MOVIMIENTOS_COMPLEMENTOS!$H$4:$H$803,G818,MOVIMIENTOS_COMPLEMENTOS!$B$4:$B$803,"SALIDA"),0)</f>
        <v>0</v>
      </c>
      <c r="I818" s="102">
        <f t="array" ref="I818">IFERROR(INDEX(PRECIOS_COMPLEMENTOS!$C$4:$F$17,MATCH(B818&amp;"_"&amp;C818,PRECIOS_COMPLEMENTOS!$H$4:$H$17,0),IF(OR(G818="S",G818="20cm"),1,IF(OR(G818="M",G818="25cm"),2,IF(OR(G818="L",G818="30cm"),3,IF(OR(G818="XL",G818="35cm"),4,0))))),0)</f>
        <v>0.4</v>
      </c>
      <c r="J818" s="103">
        <f t="shared" si="1"/>
        <v>0</v>
      </c>
      <c r="K818" s="104" t="str">
        <f>IF(H818&lt;0,"ERROR",IF(H818=0,"",IF(H818&lt;CONFIG!$B$4,"CRÍTICO",IF(H818&lt;CONFIG!$B$5,"BAJO","OK"))))</f>
        <v/>
      </c>
    </row>
    <row r="819" ht="15.75" hidden="1" customHeight="1">
      <c r="A819" s="90" t="str">
        <f>IF(CLIENTES!A5="","",CLIENTES!A5)</f>
        <v>Bravos</v>
      </c>
      <c r="B819" s="90" t="s">
        <v>321</v>
      </c>
      <c r="C819" s="91" t="s">
        <v>328</v>
      </c>
      <c r="D819" s="109" t="s">
        <v>353</v>
      </c>
      <c r="E819" s="67" t="str">
        <f>COLORES!A7</f>
        <v>Azul</v>
      </c>
      <c r="F819" s="67" t="str">
        <f>COLORES!B7</f>
        <v>OSCURO</v>
      </c>
      <c r="G819" s="90" t="s">
        <v>379</v>
      </c>
      <c r="H819" s="100">
        <f>IFERROR(SUMIFS(MOVIMIENTOS_COMPLEMENTOS!$I$4:$I$803,MOVIMIENTOS_COMPLEMENTOS!$C$4:$C$803,A819,MOVIMIENTOS_COMPLEMENTOS!$D$4:$D$803,B819,MOVIMIENTOS_COMPLEMENTOS!$E$4:$E$803,C819,MOVIMIENTOS_COMPLEMENTOS!$G$4:$G$803,E819,MOVIMIENTOS_COMPLEMENTOS!$H$4:$H$803,G819,MOVIMIENTOS_COMPLEMENTOS!$B$4:$B$803,"INGRESO")+SUMIFS(MOVIMIENTOS_COMPLEMENTOS!$I$4:$I$803,MOVIMIENTOS_COMPLEMENTOS!$C$4:$C$803,A819,MOVIMIENTOS_COMPLEMENTOS!$D$4:$D$803,B819,MOVIMIENTOS_COMPLEMENTOS!$E$4:$E$803,C819,MOVIMIENTOS_COMPLEMENTOS!$G$4:$G$803,E819,MOVIMIENTOS_COMPLEMENTOS!$H$4:$H$803,G819,MOVIMIENTOS_COMPLEMENTOS!$B$4:$B$803,"DE CORTE")-SUMIFS(MOVIMIENTOS_COMPLEMENTOS!$I$4:$I$803,MOVIMIENTOS_COMPLEMENTOS!$C$4:$C$803,A819,MOVIMIENTOS_COMPLEMENTOS!$D$4:$D$803,B819,MOVIMIENTOS_COMPLEMENTOS!$E$4:$E$803,C819,MOVIMIENTOS_COMPLEMENTOS!$G$4:$G$803,E819,MOVIMIENTOS_COMPLEMENTOS!$H$4:$H$803,G819,MOVIMIENTOS_COMPLEMENTOS!$B$4:$B$803,"SALIDA"),0)</f>
        <v>0</v>
      </c>
      <c r="I819" s="102">
        <f t="array" ref="I819">IFERROR(INDEX(PRECIOS_COMPLEMENTOS!$C$4:$F$17,MATCH(B819&amp;"_"&amp;C819,PRECIOS_COMPLEMENTOS!$H$4:$H$17,0),IF(OR(G819="S",G819="20cm"),1,IF(OR(G819="M",G819="25cm"),2,IF(OR(G819="L",G819="30cm"),3,IF(OR(G819="XL",G819="35cm"),4,0))))),0)</f>
        <v>0.4</v>
      </c>
      <c r="J819" s="103">
        <f t="shared" si="1"/>
        <v>0</v>
      </c>
      <c r="K819" s="104" t="str">
        <f>IF(H819&lt;0,"ERROR",IF(H819=0,"",IF(H819&lt;CONFIG!$B$4,"CRÍTICO",IF(H819&lt;CONFIG!$B$5,"BAJO","OK"))))</f>
        <v/>
      </c>
    </row>
    <row r="820" ht="15.75" hidden="1" customHeight="1">
      <c r="A820" s="90" t="str">
        <f>IF(CLIENTES!A5="","",CLIENTES!A5)</f>
        <v>Bravos</v>
      </c>
      <c r="B820" s="90" t="s">
        <v>321</v>
      </c>
      <c r="C820" s="91" t="s">
        <v>328</v>
      </c>
      <c r="D820" s="109" t="s">
        <v>353</v>
      </c>
      <c r="E820" s="67" t="str">
        <f>COLORES!A8</f>
        <v>Beige</v>
      </c>
      <c r="F820" s="67" t="str">
        <f>COLORES!B8</f>
        <v>CLARO</v>
      </c>
      <c r="G820" s="90" t="s">
        <v>378</v>
      </c>
      <c r="H820" s="100">
        <f>IFERROR(SUMIFS(MOVIMIENTOS_COMPLEMENTOS!$I$4:$I$803,MOVIMIENTOS_COMPLEMENTOS!$C$4:$C$803,A820,MOVIMIENTOS_COMPLEMENTOS!$D$4:$D$803,B820,MOVIMIENTOS_COMPLEMENTOS!$E$4:$E$803,C820,MOVIMIENTOS_COMPLEMENTOS!$G$4:$G$803,E820,MOVIMIENTOS_COMPLEMENTOS!$H$4:$H$803,G820,MOVIMIENTOS_COMPLEMENTOS!$B$4:$B$803,"INGRESO")+SUMIFS(MOVIMIENTOS_COMPLEMENTOS!$I$4:$I$803,MOVIMIENTOS_COMPLEMENTOS!$C$4:$C$803,A820,MOVIMIENTOS_COMPLEMENTOS!$D$4:$D$803,B820,MOVIMIENTOS_COMPLEMENTOS!$E$4:$E$803,C820,MOVIMIENTOS_COMPLEMENTOS!$G$4:$G$803,E820,MOVIMIENTOS_COMPLEMENTOS!$H$4:$H$803,G820,MOVIMIENTOS_COMPLEMENTOS!$B$4:$B$803,"DE CORTE")-SUMIFS(MOVIMIENTOS_COMPLEMENTOS!$I$4:$I$803,MOVIMIENTOS_COMPLEMENTOS!$C$4:$C$803,A820,MOVIMIENTOS_COMPLEMENTOS!$D$4:$D$803,B820,MOVIMIENTOS_COMPLEMENTOS!$E$4:$E$803,C820,MOVIMIENTOS_COMPLEMENTOS!$G$4:$G$803,E820,MOVIMIENTOS_COMPLEMENTOS!$H$4:$H$803,G820,MOVIMIENTOS_COMPLEMENTOS!$B$4:$B$803,"SALIDA"),0)</f>
        <v>0</v>
      </c>
      <c r="I820" s="102">
        <f t="array" ref="I820">IFERROR(INDEX(PRECIOS_COMPLEMENTOS!$C$4:$F$17,MATCH(B820&amp;"_"&amp;C820,PRECIOS_COMPLEMENTOS!$H$4:$H$17,0),IF(OR(G820="S",G820="20cm"),1,IF(OR(G820="M",G820="25cm"),2,IF(OR(G820="L",G820="30cm"),3,IF(OR(G820="XL",G820="35cm"),4,0))))),0)</f>
        <v>0.4</v>
      </c>
      <c r="J820" s="103">
        <f t="shared" si="1"/>
        <v>0</v>
      </c>
      <c r="K820" s="104" t="str">
        <f>IF(H820&lt;0,"ERROR",IF(H820=0,"",IF(H820&lt;CONFIG!$B$4,"CRÍTICO",IF(H820&lt;CONFIG!$B$5,"BAJO","OK"))))</f>
        <v/>
      </c>
    </row>
    <row r="821" ht="15.75" hidden="1" customHeight="1">
      <c r="A821" s="90" t="str">
        <f>IF(CLIENTES!A5="","",CLIENTES!A5)</f>
        <v>Bravos</v>
      </c>
      <c r="B821" s="90" t="s">
        <v>321</v>
      </c>
      <c r="C821" s="91" t="s">
        <v>328</v>
      </c>
      <c r="D821" s="109" t="s">
        <v>353</v>
      </c>
      <c r="E821" s="67" t="str">
        <f>COLORES!A8</f>
        <v>Beige</v>
      </c>
      <c r="F821" s="67" t="str">
        <f>COLORES!B8</f>
        <v>CLARO</v>
      </c>
      <c r="G821" s="90" t="s">
        <v>376</v>
      </c>
      <c r="H821" s="100">
        <f>IFERROR(SUMIFS(MOVIMIENTOS_COMPLEMENTOS!$I$4:$I$803,MOVIMIENTOS_COMPLEMENTOS!$C$4:$C$803,A821,MOVIMIENTOS_COMPLEMENTOS!$D$4:$D$803,B821,MOVIMIENTOS_COMPLEMENTOS!$E$4:$E$803,C821,MOVIMIENTOS_COMPLEMENTOS!$G$4:$G$803,E821,MOVIMIENTOS_COMPLEMENTOS!$H$4:$H$803,G821,MOVIMIENTOS_COMPLEMENTOS!$B$4:$B$803,"INGRESO")+SUMIFS(MOVIMIENTOS_COMPLEMENTOS!$I$4:$I$803,MOVIMIENTOS_COMPLEMENTOS!$C$4:$C$803,A821,MOVIMIENTOS_COMPLEMENTOS!$D$4:$D$803,B821,MOVIMIENTOS_COMPLEMENTOS!$E$4:$E$803,C821,MOVIMIENTOS_COMPLEMENTOS!$G$4:$G$803,E821,MOVIMIENTOS_COMPLEMENTOS!$H$4:$H$803,G821,MOVIMIENTOS_COMPLEMENTOS!$B$4:$B$803,"DE CORTE")-SUMIFS(MOVIMIENTOS_COMPLEMENTOS!$I$4:$I$803,MOVIMIENTOS_COMPLEMENTOS!$C$4:$C$803,A821,MOVIMIENTOS_COMPLEMENTOS!$D$4:$D$803,B821,MOVIMIENTOS_COMPLEMENTOS!$E$4:$E$803,C821,MOVIMIENTOS_COMPLEMENTOS!$G$4:$G$803,E821,MOVIMIENTOS_COMPLEMENTOS!$H$4:$H$803,G821,MOVIMIENTOS_COMPLEMENTOS!$B$4:$B$803,"SALIDA"),0)</f>
        <v>0</v>
      </c>
      <c r="I821" s="102">
        <f t="array" ref="I821">IFERROR(INDEX(PRECIOS_COMPLEMENTOS!$C$4:$F$17,MATCH(B821&amp;"_"&amp;C821,PRECIOS_COMPLEMENTOS!$H$4:$H$17,0),IF(OR(G821="S",G821="20cm"),1,IF(OR(G821="M",G821="25cm"),2,IF(OR(G821="L",G821="30cm"),3,IF(OR(G821="XL",G821="35cm"),4,0))))),0)</f>
        <v>0.4</v>
      </c>
      <c r="J821" s="103">
        <f t="shared" si="1"/>
        <v>0</v>
      </c>
      <c r="K821" s="104" t="str">
        <f>IF(H821&lt;0,"ERROR",IF(H821=0,"",IF(H821&lt;CONFIG!$B$4,"CRÍTICO",IF(H821&lt;CONFIG!$B$5,"BAJO","OK"))))</f>
        <v/>
      </c>
    </row>
    <row r="822" ht="15.75" hidden="1" customHeight="1">
      <c r="A822" s="90" t="str">
        <f>IF(CLIENTES!A5="","",CLIENTES!A5)</f>
        <v>Bravos</v>
      </c>
      <c r="B822" s="90" t="s">
        <v>321</v>
      </c>
      <c r="C822" s="91" t="s">
        <v>328</v>
      </c>
      <c r="D822" s="109" t="s">
        <v>353</v>
      </c>
      <c r="E822" s="67" t="str">
        <f>COLORES!A8</f>
        <v>Beige</v>
      </c>
      <c r="F822" s="67" t="str">
        <f>COLORES!B8</f>
        <v>CLARO</v>
      </c>
      <c r="G822" s="90" t="s">
        <v>377</v>
      </c>
      <c r="H822" s="100">
        <f>IFERROR(SUMIFS(MOVIMIENTOS_COMPLEMENTOS!$I$4:$I$803,MOVIMIENTOS_COMPLEMENTOS!$C$4:$C$803,A822,MOVIMIENTOS_COMPLEMENTOS!$D$4:$D$803,B822,MOVIMIENTOS_COMPLEMENTOS!$E$4:$E$803,C822,MOVIMIENTOS_COMPLEMENTOS!$G$4:$G$803,E822,MOVIMIENTOS_COMPLEMENTOS!$H$4:$H$803,G822,MOVIMIENTOS_COMPLEMENTOS!$B$4:$B$803,"INGRESO")+SUMIFS(MOVIMIENTOS_COMPLEMENTOS!$I$4:$I$803,MOVIMIENTOS_COMPLEMENTOS!$C$4:$C$803,A822,MOVIMIENTOS_COMPLEMENTOS!$D$4:$D$803,B822,MOVIMIENTOS_COMPLEMENTOS!$E$4:$E$803,C822,MOVIMIENTOS_COMPLEMENTOS!$G$4:$G$803,E822,MOVIMIENTOS_COMPLEMENTOS!$H$4:$H$803,G822,MOVIMIENTOS_COMPLEMENTOS!$B$4:$B$803,"DE CORTE")-SUMIFS(MOVIMIENTOS_COMPLEMENTOS!$I$4:$I$803,MOVIMIENTOS_COMPLEMENTOS!$C$4:$C$803,A822,MOVIMIENTOS_COMPLEMENTOS!$D$4:$D$803,B822,MOVIMIENTOS_COMPLEMENTOS!$E$4:$E$803,C822,MOVIMIENTOS_COMPLEMENTOS!$G$4:$G$803,E822,MOVIMIENTOS_COMPLEMENTOS!$H$4:$H$803,G822,MOVIMIENTOS_COMPLEMENTOS!$B$4:$B$803,"SALIDA"),0)</f>
        <v>0</v>
      </c>
      <c r="I822" s="102">
        <f t="array" ref="I822">IFERROR(INDEX(PRECIOS_COMPLEMENTOS!$C$4:$F$17,MATCH(B822&amp;"_"&amp;C822,PRECIOS_COMPLEMENTOS!$H$4:$H$17,0),IF(OR(G822="S",G822="20cm"),1,IF(OR(G822="M",G822="25cm"),2,IF(OR(G822="L",G822="30cm"),3,IF(OR(G822="XL",G822="35cm"),4,0))))),0)</f>
        <v>0.4</v>
      </c>
      <c r="J822" s="103">
        <f t="shared" si="1"/>
        <v>0</v>
      </c>
      <c r="K822" s="104" t="str">
        <f>IF(H822&lt;0,"ERROR",IF(H822=0,"",IF(H822&lt;CONFIG!$B$4,"CRÍTICO",IF(H822&lt;CONFIG!$B$5,"BAJO","OK"))))</f>
        <v/>
      </c>
    </row>
    <row r="823" ht="15.75" hidden="1" customHeight="1">
      <c r="A823" s="90" t="str">
        <f>IF(CLIENTES!A5="","",CLIENTES!A5)</f>
        <v>Bravos</v>
      </c>
      <c r="B823" s="90" t="s">
        <v>321</v>
      </c>
      <c r="C823" s="91" t="s">
        <v>328</v>
      </c>
      <c r="D823" s="109" t="s">
        <v>353</v>
      </c>
      <c r="E823" s="67" t="str">
        <f>COLORES!A8</f>
        <v>Beige</v>
      </c>
      <c r="F823" s="67" t="str">
        <f>COLORES!B8</f>
        <v>CLARO</v>
      </c>
      <c r="G823" s="90" t="s">
        <v>379</v>
      </c>
      <c r="H823" s="100">
        <f>IFERROR(SUMIFS(MOVIMIENTOS_COMPLEMENTOS!$I$4:$I$803,MOVIMIENTOS_COMPLEMENTOS!$C$4:$C$803,A823,MOVIMIENTOS_COMPLEMENTOS!$D$4:$D$803,B823,MOVIMIENTOS_COMPLEMENTOS!$E$4:$E$803,C823,MOVIMIENTOS_COMPLEMENTOS!$G$4:$G$803,E823,MOVIMIENTOS_COMPLEMENTOS!$H$4:$H$803,G823,MOVIMIENTOS_COMPLEMENTOS!$B$4:$B$803,"INGRESO")+SUMIFS(MOVIMIENTOS_COMPLEMENTOS!$I$4:$I$803,MOVIMIENTOS_COMPLEMENTOS!$C$4:$C$803,A823,MOVIMIENTOS_COMPLEMENTOS!$D$4:$D$803,B823,MOVIMIENTOS_COMPLEMENTOS!$E$4:$E$803,C823,MOVIMIENTOS_COMPLEMENTOS!$G$4:$G$803,E823,MOVIMIENTOS_COMPLEMENTOS!$H$4:$H$803,G823,MOVIMIENTOS_COMPLEMENTOS!$B$4:$B$803,"DE CORTE")-SUMIFS(MOVIMIENTOS_COMPLEMENTOS!$I$4:$I$803,MOVIMIENTOS_COMPLEMENTOS!$C$4:$C$803,A823,MOVIMIENTOS_COMPLEMENTOS!$D$4:$D$803,B823,MOVIMIENTOS_COMPLEMENTOS!$E$4:$E$803,C823,MOVIMIENTOS_COMPLEMENTOS!$G$4:$G$803,E823,MOVIMIENTOS_COMPLEMENTOS!$H$4:$H$803,G823,MOVIMIENTOS_COMPLEMENTOS!$B$4:$B$803,"SALIDA"),0)</f>
        <v>0</v>
      </c>
      <c r="I823" s="102">
        <f t="array" ref="I823">IFERROR(INDEX(PRECIOS_COMPLEMENTOS!$C$4:$F$17,MATCH(B823&amp;"_"&amp;C823,PRECIOS_COMPLEMENTOS!$H$4:$H$17,0),IF(OR(G823="S",G823="20cm"),1,IF(OR(G823="M",G823="25cm"),2,IF(OR(G823="L",G823="30cm"),3,IF(OR(G823="XL",G823="35cm"),4,0))))),0)</f>
        <v>0.4</v>
      </c>
      <c r="J823" s="103">
        <f t="shared" si="1"/>
        <v>0</v>
      </c>
      <c r="K823" s="104" t="str">
        <f>IF(H823&lt;0,"ERROR",IF(H823=0,"",IF(H823&lt;CONFIG!$B$4,"CRÍTICO",IF(H823&lt;CONFIG!$B$5,"BAJO","OK"))))</f>
        <v/>
      </c>
    </row>
    <row r="824" ht="15.75" hidden="1" customHeight="1">
      <c r="A824" s="90" t="str">
        <f>IF(CLIENTES!A5="","",CLIENTES!A5)</f>
        <v>Bravos</v>
      </c>
      <c r="B824" s="90" t="s">
        <v>321</v>
      </c>
      <c r="C824" s="91" t="s">
        <v>328</v>
      </c>
      <c r="D824" s="109" t="s">
        <v>353</v>
      </c>
      <c r="E824" s="67" t="str">
        <f>COLORES!A9</f>
        <v>Melange</v>
      </c>
      <c r="F824" s="67" t="str">
        <f>COLORES!B9</f>
        <v>MELANGE</v>
      </c>
      <c r="G824" s="90" t="s">
        <v>378</v>
      </c>
      <c r="H824" s="100">
        <f>IFERROR(SUMIFS(MOVIMIENTOS_COMPLEMENTOS!$I$4:$I$803,MOVIMIENTOS_COMPLEMENTOS!$C$4:$C$803,A824,MOVIMIENTOS_COMPLEMENTOS!$D$4:$D$803,B824,MOVIMIENTOS_COMPLEMENTOS!$E$4:$E$803,C824,MOVIMIENTOS_COMPLEMENTOS!$G$4:$G$803,E824,MOVIMIENTOS_COMPLEMENTOS!$H$4:$H$803,G824,MOVIMIENTOS_COMPLEMENTOS!$B$4:$B$803,"INGRESO")+SUMIFS(MOVIMIENTOS_COMPLEMENTOS!$I$4:$I$803,MOVIMIENTOS_COMPLEMENTOS!$C$4:$C$803,A824,MOVIMIENTOS_COMPLEMENTOS!$D$4:$D$803,B824,MOVIMIENTOS_COMPLEMENTOS!$E$4:$E$803,C824,MOVIMIENTOS_COMPLEMENTOS!$G$4:$G$803,E824,MOVIMIENTOS_COMPLEMENTOS!$H$4:$H$803,G824,MOVIMIENTOS_COMPLEMENTOS!$B$4:$B$803,"DE CORTE")-SUMIFS(MOVIMIENTOS_COMPLEMENTOS!$I$4:$I$803,MOVIMIENTOS_COMPLEMENTOS!$C$4:$C$803,A824,MOVIMIENTOS_COMPLEMENTOS!$D$4:$D$803,B824,MOVIMIENTOS_COMPLEMENTOS!$E$4:$E$803,C824,MOVIMIENTOS_COMPLEMENTOS!$G$4:$G$803,E824,MOVIMIENTOS_COMPLEMENTOS!$H$4:$H$803,G824,MOVIMIENTOS_COMPLEMENTOS!$B$4:$B$803,"SALIDA"),0)</f>
        <v>0</v>
      </c>
      <c r="I824" s="102">
        <f t="array" ref="I824">IFERROR(INDEX(PRECIOS_COMPLEMENTOS!$C$4:$F$17,MATCH(B824&amp;"_"&amp;C824,PRECIOS_COMPLEMENTOS!$H$4:$H$17,0),IF(OR(G824="S",G824="20cm"),1,IF(OR(G824="M",G824="25cm"),2,IF(OR(G824="L",G824="30cm"),3,IF(OR(G824="XL",G824="35cm"),4,0))))),0)</f>
        <v>0.4</v>
      </c>
      <c r="J824" s="103">
        <f t="shared" si="1"/>
        <v>0</v>
      </c>
      <c r="K824" s="104" t="str">
        <f>IF(H824&lt;0,"ERROR",IF(H824=0,"",IF(H824&lt;CONFIG!$B$4,"CRÍTICO",IF(H824&lt;CONFIG!$B$5,"BAJO","OK"))))</f>
        <v/>
      </c>
    </row>
    <row r="825" ht="15.75" hidden="1" customHeight="1">
      <c r="A825" s="90" t="str">
        <f>IF(CLIENTES!A5="","",CLIENTES!A5)</f>
        <v>Bravos</v>
      </c>
      <c r="B825" s="90" t="s">
        <v>321</v>
      </c>
      <c r="C825" s="91" t="s">
        <v>328</v>
      </c>
      <c r="D825" s="109" t="s">
        <v>353</v>
      </c>
      <c r="E825" s="67" t="str">
        <f>COLORES!A9</f>
        <v>Melange</v>
      </c>
      <c r="F825" s="67" t="str">
        <f>COLORES!B9</f>
        <v>MELANGE</v>
      </c>
      <c r="G825" s="90" t="s">
        <v>376</v>
      </c>
      <c r="H825" s="100">
        <f>IFERROR(SUMIFS(MOVIMIENTOS_COMPLEMENTOS!$I$4:$I$803,MOVIMIENTOS_COMPLEMENTOS!$C$4:$C$803,A825,MOVIMIENTOS_COMPLEMENTOS!$D$4:$D$803,B825,MOVIMIENTOS_COMPLEMENTOS!$E$4:$E$803,C825,MOVIMIENTOS_COMPLEMENTOS!$G$4:$G$803,E825,MOVIMIENTOS_COMPLEMENTOS!$H$4:$H$803,G825,MOVIMIENTOS_COMPLEMENTOS!$B$4:$B$803,"INGRESO")+SUMIFS(MOVIMIENTOS_COMPLEMENTOS!$I$4:$I$803,MOVIMIENTOS_COMPLEMENTOS!$C$4:$C$803,A825,MOVIMIENTOS_COMPLEMENTOS!$D$4:$D$803,B825,MOVIMIENTOS_COMPLEMENTOS!$E$4:$E$803,C825,MOVIMIENTOS_COMPLEMENTOS!$G$4:$G$803,E825,MOVIMIENTOS_COMPLEMENTOS!$H$4:$H$803,G825,MOVIMIENTOS_COMPLEMENTOS!$B$4:$B$803,"DE CORTE")-SUMIFS(MOVIMIENTOS_COMPLEMENTOS!$I$4:$I$803,MOVIMIENTOS_COMPLEMENTOS!$C$4:$C$803,A825,MOVIMIENTOS_COMPLEMENTOS!$D$4:$D$803,B825,MOVIMIENTOS_COMPLEMENTOS!$E$4:$E$803,C825,MOVIMIENTOS_COMPLEMENTOS!$G$4:$G$803,E825,MOVIMIENTOS_COMPLEMENTOS!$H$4:$H$803,G825,MOVIMIENTOS_COMPLEMENTOS!$B$4:$B$803,"SALIDA"),0)</f>
        <v>0</v>
      </c>
      <c r="I825" s="102">
        <f t="array" ref="I825">IFERROR(INDEX(PRECIOS_COMPLEMENTOS!$C$4:$F$17,MATCH(B825&amp;"_"&amp;C825,PRECIOS_COMPLEMENTOS!$H$4:$H$17,0),IF(OR(G825="S",G825="20cm"),1,IF(OR(G825="M",G825="25cm"),2,IF(OR(G825="L",G825="30cm"),3,IF(OR(G825="XL",G825="35cm"),4,0))))),0)</f>
        <v>0.4</v>
      </c>
      <c r="J825" s="103">
        <f t="shared" si="1"/>
        <v>0</v>
      </c>
      <c r="K825" s="104" t="str">
        <f>IF(H825&lt;0,"ERROR",IF(H825=0,"",IF(H825&lt;CONFIG!$B$4,"CRÍTICO",IF(H825&lt;CONFIG!$B$5,"BAJO","OK"))))</f>
        <v/>
      </c>
    </row>
    <row r="826" ht="15.75" hidden="1" customHeight="1">
      <c r="A826" s="90" t="str">
        <f>IF(CLIENTES!A5="","",CLIENTES!A5)</f>
        <v>Bravos</v>
      </c>
      <c r="B826" s="90" t="s">
        <v>321</v>
      </c>
      <c r="C826" s="91" t="s">
        <v>328</v>
      </c>
      <c r="D826" s="109" t="s">
        <v>353</v>
      </c>
      <c r="E826" s="67" t="str">
        <f>COLORES!A9</f>
        <v>Melange</v>
      </c>
      <c r="F826" s="67" t="str">
        <f>COLORES!B9</f>
        <v>MELANGE</v>
      </c>
      <c r="G826" s="90" t="s">
        <v>377</v>
      </c>
      <c r="H826" s="100">
        <f>IFERROR(SUMIFS(MOVIMIENTOS_COMPLEMENTOS!$I$4:$I$803,MOVIMIENTOS_COMPLEMENTOS!$C$4:$C$803,A826,MOVIMIENTOS_COMPLEMENTOS!$D$4:$D$803,B826,MOVIMIENTOS_COMPLEMENTOS!$E$4:$E$803,C826,MOVIMIENTOS_COMPLEMENTOS!$G$4:$G$803,E826,MOVIMIENTOS_COMPLEMENTOS!$H$4:$H$803,G826,MOVIMIENTOS_COMPLEMENTOS!$B$4:$B$803,"INGRESO")+SUMIFS(MOVIMIENTOS_COMPLEMENTOS!$I$4:$I$803,MOVIMIENTOS_COMPLEMENTOS!$C$4:$C$803,A826,MOVIMIENTOS_COMPLEMENTOS!$D$4:$D$803,B826,MOVIMIENTOS_COMPLEMENTOS!$E$4:$E$803,C826,MOVIMIENTOS_COMPLEMENTOS!$G$4:$G$803,E826,MOVIMIENTOS_COMPLEMENTOS!$H$4:$H$803,G826,MOVIMIENTOS_COMPLEMENTOS!$B$4:$B$803,"DE CORTE")-SUMIFS(MOVIMIENTOS_COMPLEMENTOS!$I$4:$I$803,MOVIMIENTOS_COMPLEMENTOS!$C$4:$C$803,A826,MOVIMIENTOS_COMPLEMENTOS!$D$4:$D$803,B826,MOVIMIENTOS_COMPLEMENTOS!$E$4:$E$803,C826,MOVIMIENTOS_COMPLEMENTOS!$G$4:$G$803,E826,MOVIMIENTOS_COMPLEMENTOS!$H$4:$H$803,G826,MOVIMIENTOS_COMPLEMENTOS!$B$4:$B$803,"SALIDA"),0)</f>
        <v>0</v>
      </c>
      <c r="I826" s="102">
        <f t="array" ref="I826">IFERROR(INDEX(PRECIOS_COMPLEMENTOS!$C$4:$F$17,MATCH(B826&amp;"_"&amp;C826,PRECIOS_COMPLEMENTOS!$H$4:$H$17,0),IF(OR(G826="S",G826="20cm"),1,IF(OR(G826="M",G826="25cm"),2,IF(OR(G826="L",G826="30cm"),3,IF(OR(G826="XL",G826="35cm"),4,0))))),0)</f>
        <v>0.4</v>
      </c>
      <c r="J826" s="103">
        <f t="shared" si="1"/>
        <v>0</v>
      </c>
      <c r="K826" s="104" t="str">
        <f>IF(H826&lt;0,"ERROR",IF(H826=0,"",IF(H826&lt;CONFIG!$B$4,"CRÍTICO",IF(H826&lt;CONFIG!$B$5,"BAJO","OK"))))</f>
        <v/>
      </c>
    </row>
    <row r="827" ht="15.75" hidden="1" customHeight="1">
      <c r="A827" s="90" t="str">
        <f>IF(CLIENTES!A5="","",CLIENTES!A5)</f>
        <v>Bravos</v>
      </c>
      <c r="B827" s="90" t="s">
        <v>321</v>
      </c>
      <c r="C827" s="91" t="s">
        <v>328</v>
      </c>
      <c r="D827" s="109" t="s">
        <v>353</v>
      </c>
      <c r="E827" s="67" t="str">
        <f>COLORES!A9</f>
        <v>Melange</v>
      </c>
      <c r="F827" s="67" t="str">
        <f>COLORES!B9</f>
        <v>MELANGE</v>
      </c>
      <c r="G827" s="90" t="s">
        <v>379</v>
      </c>
      <c r="H827" s="100">
        <f>IFERROR(SUMIFS(MOVIMIENTOS_COMPLEMENTOS!$I$4:$I$803,MOVIMIENTOS_COMPLEMENTOS!$C$4:$C$803,A827,MOVIMIENTOS_COMPLEMENTOS!$D$4:$D$803,B827,MOVIMIENTOS_COMPLEMENTOS!$E$4:$E$803,C827,MOVIMIENTOS_COMPLEMENTOS!$G$4:$G$803,E827,MOVIMIENTOS_COMPLEMENTOS!$H$4:$H$803,G827,MOVIMIENTOS_COMPLEMENTOS!$B$4:$B$803,"INGRESO")+SUMIFS(MOVIMIENTOS_COMPLEMENTOS!$I$4:$I$803,MOVIMIENTOS_COMPLEMENTOS!$C$4:$C$803,A827,MOVIMIENTOS_COMPLEMENTOS!$D$4:$D$803,B827,MOVIMIENTOS_COMPLEMENTOS!$E$4:$E$803,C827,MOVIMIENTOS_COMPLEMENTOS!$G$4:$G$803,E827,MOVIMIENTOS_COMPLEMENTOS!$H$4:$H$803,G827,MOVIMIENTOS_COMPLEMENTOS!$B$4:$B$803,"DE CORTE")-SUMIFS(MOVIMIENTOS_COMPLEMENTOS!$I$4:$I$803,MOVIMIENTOS_COMPLEMENTOS!$C$4:$C$803,A827,MOVIMIENTOS_COMPLEMENTOS!$D$4:$D$803,B827,MOVIMIENTOS_COMPLEMENTOS!$E$4:$E$803,C827,MOVIMIENTOS_COMPLEMENTOS!$G$4:$G$803,E827,MOVIMIENTOS_COMPLEMENTOS!$H$4:$H$803,G827,MOVIMIENTOS_COMPLEMENTOS!$B$4:$B$803,"SALIDA"),0)</f>
        <v>0</v>
      </c>
      <c r="I827" s="102">
        <f t="array" ref="I827">IFERROR(INDEX(PRECIOS_COMPLEMENTOS!$C$4:$F$17,MATCH(B827&amp;"_"&amp;C827,PRECIOS_COMPLEMENTOS!$H$4:$H$17,0),IF(OR(G827="S",G827="20cm"),1,IF(OR(G827="M",G827="25cm"),2,IF(OR(G827="L",G827="30cm"),3,IF(OR(G827="XL",G827="35cm"),4,0))))),0)</f>
        <v>0.4</v>
      </c>
      <c r="J827" s="103">
        <f t="shared" si="1"/>
        <v>0</v>
      </c>
      <c r="K827" s="104" t="str">
        <f>IF(H827&lt;0,"ERROR",IF(H827=0,"",IF(H827&lt;CONFIG!$B$4,"CRÍTICO",IF(H827&lt;CONFIG!$B$5,"BAJO","OK"))))</f>
        <v/>
      </c>
    </row>
    <row r="828" ht="15.75" hidden="1" customHeight="1">
      <c r="A828" s="90" t="str">
        <f>IF(CLIENTES!A5="","",CLIENTES!A5)</f>
        <v>Bravos</v>
      </c>
      <c r="B828" s="90" t="s">
        <v>321</v>
      </c>
      <c r="C828" s="91" t="s">
        <v>328</v>
      </c>
      <c r="D828" s="109" t="s">
        <v>353</v>
      </c>
      <c r="E828" s="67" t="str">
        <f>COLORES!A10</f>
        <v>Botella</v>
      </c>
      <c r="F828" s="67" t="str">
        <f>COLORES!B10</f>
        <v>OSCURO</v>
      </c>
      <c r="G828" s="90" t="s">
        <v>378</v>
      </c>
      <c r="H828" s="100">
        <f>IFERROR(SUMIFS(MOVIMIENTOS_COMPLEMENTOS!$I$4:$I$803,MOVIMIENTOS_COMPLEMENTOS!$C$4:$C$803,A828,MOVIMIENTOS_COMPLEMENTOS!$D$4:$D$803,B828,MOVIMIENTOS_COMPLEMENTOS!$E$4:$E$803,C828,MOVIMIENTOS_COMPLEMENTOS!$G$4:$G$803,E828,MOVIMIENTOS_COMPLEMENTOS!$H$4:$H$803,G828,MOVIMIENTOS_COMPLEMENTOS!$B$4:$B$803,"INGRESO")+SUMIFS(MOVIMIENTOS_COMPLEMENTOS!$I$4:$I$803,MOVIMIENTOS_COMPLEMENTOS!$C$4:$C$803,A828,MOVIMIENTOS_COMPLEMENTOS!$D$4:$D$803,B828,MOVIMIENTOS_COMPLEMENTOS!$E$4:$E$803,C828,MOVIMIENTOS_COMPLEMENTOS!$G$4:$G$803,E828,MOVIMIENTOS_COMPLEMENTOS!$H$4:$H$803,G828,MOVIMIENTOS_COMPLEMENTOS!$B$4:$B$803,"DE CORTE")-SUMIFS(MOVIMIENTOS_COMPLEMENTOS!$I$4:$I$803,MOVIMIENTOS_COMPLEMENTOS!$C$4:$C$803,A828,MOVIMIENTOS_COMPLEMENTOS!$D$4:$D$803,B828,MOVIMIENTOS_COMPLEMENTOS!$E$4:$E$803,C828,MOVIMIENTOS_COMPLEMENTOS!$G$4:$G$803,E828,MOVIMIENTOS_COMPLEMENTOS!$H$4:$H$803,G828,MOVIMIENTOS_COMPLEMENTOS!$B$4:$B$803,"SALIDA"),0)</f>
        <v>0</v>
      </c>
      <c r="I828" s="102">
        <f t="array" ref="I828">IFERROR(INDEX(PRECIOS_COMPLEMENTOS!$C$4:$F$17,MATCH(B828&amp;"_"&amp;C828,PRECIOS_COMPLEMENTOS!$H$4:$H$17,0),IF(OR(G828="S",G828="20cm"),1,IF(OR(G828="M",G828="25cm"),2,IF(OR(G828="L",G828="30cm"),3,IF(OR(G828="XL",G828="35cm"),4,0))))),0)</f>
        <v>0.4</v>
      </c>
      <c r="J828" s="103">
        <f t="shared" si="1"/>
        <v>0</v>
      </c>
      <c r="K828" s="104" t="str">
        <f>IF(H828&lt;0,"ERROR",IF(H828=0,"",IF(H828&lt;CONFIG!$B$4,"CRÍTICO",IF(H828&lt;CONFIG!$B$5,"BAJO","OK"))))</f>
        <v/>
      </c>
    </row>
    <row r="829" ht="15.75" hidden="1" customHeight="1">
      <c r="A829" s="90" t="str">
        <f>IF(CLIENTES!A5="","",CLIENTES!A5)</f>
        <v>Bravos</v>
      </c>
      <c r="B829" s="90" t="s">
        <v>321</v>
      </c>
      <c r="C829" s="91" t="s">
        <v>328</v>
      </c>
      <c r="D829" s="109" t="s">
        <v>353</v>
      </c>
      <c r="E829" s="67" t="str">
        <f>COLORES!A10</f>
        <v>Botella</v>
      </c>
      <c r="F829" s="67" t="str">
        <f>COLORES!B10</f>
        <v>OSCURO</v>
      </c>
      <c r="G829" s="90" t="s">
        <v>376</v>
      </c>
      <c r="H829" s="100">
        <f>IFERROR(SUMIFS(MOVIMIENTOS_COMPLEMENTOS!$I$4:$I$803,MOVIMIENTOS_COMPLEMENTOS!$C$4:$C$803,A829,MOVIMIENTOS_COMPLEMENTOS!$D$4:$D$803,B829,MOVIMIENTOS_COMPLEMENTOS!$E$4:$E$803,C829,MOVIMIENTOS_COMPLEMENTOS!$G$4:$G$803,E829,MOVIMIENTOS_COMPLEMENTOS!$H$4:$H$803,G829,MOVIMIENTOS_COMPLEMENTOS!$B$4:$B$803,"INGRESO")+SUMIFS(MOVIMIENTOS_COMPLEMENTOS!$I$4:$I$803,MOVIMIENTOS_COMPLEMENTOS!$C$4:$C$803,A829,MOVIMIENTOS_COMPLEMENTOS!$D$4:$D$803,B829,MOVIMIENTOS_COMPLEMENTOS!$E$4:$E$803,C829,MOVIMIENTOS_COMPLEMENTOS!$G$4:$G$803,E829,MOVIMIENTOS_COMPLEMENTOS!$H$4:$H$803,G829,MOVIMIENTOS_COMPLEMENTOS!$B$4:$B$803,"DE CORTE")-SUMIFS(MOVIMIENTOS_COMPLEMENTOS!$I$4:$I$803,MOVIMIENTOS_COMPLEMENTOS!$C$4:$C$803,A829,MOVIMIENTOS_COMPLEMENTOS!$D$4:$D$803,B829,MOVIMIENTOS_COMPLEMENTOS!$E$4:$E$803,C829,MOVIMIENTOS_COMPLEMENTOS!$G$4:$G$803,E829,MOVIMIENTOS_COMPLEMENTOS!$H$4:$H$803,G829,MOVIMIENTOS_COMPLEMENTOS!$B$4:$B$803,"SALIDA"),0)</f>
        <v>0</v>
      </c>
      <c r="I829" s="102">
        <f t="array" ref="I829">IFERROR(INDEX(PRECIOS_COMPLEMENTOS!$C$4:$F$17,MATCH(B829&amp;"_"&amp;C829,PRECIOS_COMPLEMENTOS!$H$4:$H$17,0),IF(OR(G829="S",G829="20cm"),1,IF(OR(G829="M",G829="25cm"),2,IF(OR(G829="L",G829="30cm"),3,IF(OR(G829="XL",G829="35cm"),4,0))))),0)</f>
        <v>0.4</v>
      </c>
      <c r="J829" s="103">
        <f t="shared" si="1"/>
        <v>0</v>
      </c>
      <c r="K829" s="104" t="str">
        <f>IF(H829&lt;0,"ERROR",IF(H829=0,"",IF(H829&lt;CONFIG!$B$4,"CRÍTICO",IF(H829&lt;CONFIG!$B$5,"BAJO","OK"))))</f>
        <v/>
      </c>
    </row>
    <row r="830" ht="15.75" hidden="1" customHeight="1">
      <c r="A830" s="90" t="str">
        <f>IF(CLIENTES!A5="","",CLIENTES!A5)</f>
        <v>Bravos</v>
      </c>
      <c r="B830" s="90" t="s">
        <v>321</v>
      </c>
      <c r="C830" s="91" t="s">
        <v>328</v>
      </c>
      <c r="D830" s="109" t="s">
        <v>353</v>
      </c>
      <c r="E830" s="67" t="str">
        <f>COLORES!A10</f>
        <v>Botella</v>
      </c>
      <c r="F830" s="67" t="str">
        <f>COLORES!B10</f>
        <v>OSCURO</v>
      </c>
      <c r="G830" s="90" t="s">
        <v>377</v>
      </c>
      <c r="H830" s="100">
        <f>IFERROR(SUMIFS(MOVIMIENTOS_COMPLEMENTOS!$I$4:$I$803,MOVIMIENTOS_COMPLEMENTOS!$C$4:$C$803,A830,MOVIMIENTOS_COMPLEMENTOS!$D$4:$D$803,B830,MOVIMIENTOS_COMPLEMENTOS!$E$4:$E$803,C830,MOVIMIENTOS_COMPLEMENTOS!$G$4:$G$803,E830,MOVIMIENTOS_COMPLEMENTOS!$H$4:$H$803,G830,MOVIMIENTOS_COMPLEMENTOS!$B$4:$B$803,"INGRESO")+SUMIFS(MOVIMIENTOS_COMPLEMENTOS!$I$4:$I$803,MOVIMIENTOS_COMPLEMENTOS!$C$4:$C$803,A830,MOVIMIENTOS_COMPLEMENTOS!$D$4:$D$803,B830,MOVIMIENTOS_COMPLEMENTOS!$E$4:$E$803,C830,MOVIMIENTOS_COMPLEMENTOS!$G$4:$G$803,E830,MOVIMIENTOS_COMPLEMENTOS!$H$4:$H$803,G830,MOVIMIENTOS_COMPLEMENTOS!$B$4:$B$803,"DE CORTE")-SUMIFS(MOVIMIENTOS_COMPLEMENTOS!$I$4:$I$803,MOVIMIENTOS_COMPLEMENTOS!$C$4:$C$803,A830,MOVIMIENTOS_COMPLEMENTOS!$D$4:$D$803,B830,MOVIMIENTOS_COMPLEMENTOS!$E$4:$E$803,C830,MOVIMIENTOS_COMPLEMENTOS!$G$4:$G$803,E830,MOVIMIENTOS_COMPLEMENTOS!$H$4:$H$803,G830,MOVIMIENTOS_COMPLEMENTOS!$B$4:$B$803,"SALIDA"),0)</f>
        <v>0</v>
      </c>
      <c r="I830" s="102">
        <f t="array" ref="I830">IFERROR(INDEX(PRECIOS_COMPLEMENTOS!$C$4:$F$17,MATCH(B830&amp;"_"&amp;C830,PRECIOS_COMPLEMENTOS!$H$4:$H$17,0),IF(OR(G830="S",G830="20cm"),1,IF(OR(G830="M",G830="25cm"),2,IF(OR(G830="L",G830="30cm"),3,IF(OR(G830="XL",G830="35cm"),4,0))))),0)</f>
        <v>0.4</v>
      </c>
      <c r="J830" s="103">
        <f t="shared" si="1"/>
        <v>0</v>
      </c>
      <c r="K830" s="104" t="str">
        <f>IF(H830&lt;0,"ERROR",IF(H830=0,"",IF(H830&lt;CONFIG!$B$4,"CRÍTICO",IF(H830&lt;CONFIG!$B$5,"BAJO","OK"))))</f>
        <v/>
      </c>
    </row>
    <row r="831" ht="15.75" hidden="1" customHeight="1">
      <c r="A831" s="90" t="str">
        <f>IF(CLIENTES!A5="","",CLIENTES!A5)</f>
        <v>Bravos</v>
      </c>
      <c r="B831" s="90" t="s">
        <v>321</v>
      </c>
      <c r="C831" s="91" t="s">
        <v>328</v>
      </c>
      <c r="D831" s="109" t="s">
        <v>353</v>
      </c>
      <c r="E831" s="67" t="str">
        <f>COLORES!A10</f>
        <v>Botella</v>
      </c>
      <c r="F831" s="67" t="str">
        <f>COLORES!B10</f>
        <v>OSCURO</v>
      </c>
      <c r="G831" s="90" t="s">
        <v>379</v>
      </c>
      <c r="H831" s="100">
        <f>IFERROR(SUMIFS(MOVIMIENTOS_COMPLEMENTOS!$I$4:$I$803,MOVIMIENTOS_COMPLEMENTOS!$C$4:$C$803,A831,MOVIMIENTOS_COMPLEMENTOS!$D$4:$D$803,B831,MOVIMIENTOS_COMPLEMENTOS!$E$4:$E$803,C831,MOVIMIENTOS_COMPLEMENTOS!$G$4:$G$803,E831,MOVIMIENTOS_COMPLEMENTOS!$H$4:$H$803,G831,MOVIMIENTOS_COMPLEMENTOS!$B$4:$B$803,"INGRESO")+SUMIFS(MOVIMIENTOS_COMPLEMENTOS!$I$4:$I$803,MOVIMIENTOS_COMPLEMENTOS!$C$4:$C$803,A831,MOVIMIENTOS_COMPLEMENTOS!$D$4:$D$803,B831,MOVIMIENTOS_COMPLEMENTOS!$E$4:$E$803,C831,MOVIMIENTOS_COMPLEMENTOS!$G$4:$G$803,E831,MOVIMIENTOS_COMPLEMENTOS!$H$4:$H$803,G831,MOVIMIENTOS_COMPLEMENTOS!$B$4:$B$803,"DE CORTE")-SUMIFS(MOVIMIENTOS_COMPLEMENTOS!$I$4:$I$803,MOVIMIENTOS_COMPLEMENTOS!$C$4:$C$803,A831,MOVIMIENTOS_COMPLEMENTOS!$D$4:$D$803,B831,MOVIMIENTOS_COMPLEMENTOS!$E$4:$E$803,C831,MOVIMIENTOS_COMPLEMENTOS!$G$4:$G$803,E831,MOVIMIENTOS_COMPLEMENTOS!$H$4:$H$803,G831,MOVIMIENTOS_COMPLEMENTOS!$B$4:$B$803,"SALIDA"),0)</f>
        <v>0</v>
      </c>
      <c r="I831" s="102">
        <f t="array" ref="I831">IFERROR(INDEX(PRECIOS_COMPLEMENTOS!$C$4:$F$17,MATCH(B831&amp;"_"&amp;C831,PRECIOS_COMPLEMENTOS!$H$4:$H$17,0),IF(OR(G831="S",G831="20cm"),1,IF(OR(G831="M",G831="25cm"),2,IF(OR(G831="L",G831="30cm"),3,IF(OR(G831="XL",G831="35cm"),4,0))))),0)</f>
        <v>0.4</v>
      </c>
      <c r="J831" s="103">
        <f t="shared" si="1"/>
        <v>0</v>
      </c>
      <c r="K831" s="104" t="str">
        <f>IF(H831&lt;0,"ERROR",IF(H831=0,"",IF(H831&lt;CONFIG!$B$4,"CRÍTICO",IF(H831&lt;CONFIG!$B$5,"BAJO","OK"))))</f>
        <v/>
      </c>
    </row>
    <row r="832" ht="15.75" hidden="1" customHeight="1">
      <c r="A832" s="90" t="str">
        <f>IF(CLIENTES!A5="","",CLIENTES!A5)</f>
        <v>Bravos</v>
      </c>
      <c r="B832" s="90" t="s">
        <v>321</v>
      </c>
      <c r="C832" s="91" t="s">
        <v>328</v>
      </c>
      <c r="D832" s="109" t="s">
        <v>353</v>
      </c>
      <c r="E832" s="67" t="str">
        <f>COLORES!A11</f>
        <v>Pacay</v>
      </c>
      <c r="F832" s="67" t="str">
        <f>COLORES!B11</f>
        <v>CLARO</v>
      </c>
      <c r="G832" s="90" t="s">
        <v>378</v>
      </c>
      <c r="H832" s="100">
        <f>IFERROR(SUMIFS(MOVIMIENTOS_COMPLEMENTOS!$I$4:$I$803,MOVIMIENTOS_COMPLEMENTOS!$C$4:$C$803,A832,MOVIMIENTOS_COMPLEMENTOS!$D$4:$D$803,B832,MOVIMIENTOS_COMPLEMENTOS!$E$4:$E$803,C832,MOVIMIENTOS_COMPLEMENTOS!$G$4:$G$803,E832,MOVIMIENTOS_COMPLEMENTOS!$H$4:$H$803,G832,MOVIMIENTOS_COMPLEMENTOS!$B$4:$B$803,"INGRESO")+SUMIFS(MOVIMIENTOS_COMPLEMENTOS!$I$4:$I$803,MOVIMIENTOS_COMPLEMENTOS!$C$4:$C$803,A832,MOVIMIENTOS_COMPLEMENTOS!$D$4:$D$803,B832,MOVIMIENTOS_COMPLEMENTOS!$E$4:$E$803,C832,MOVIMIENTOS_COMPLEMENTOS!$G$4:$G$803,E832,MOVIMIENTOS_COMPLEMENTOS!$H$4:$H$803,G832,MOVIMIENTOS_COMPLEMENTOS!$B$4:$B$803,"DE CORTE")-SUMIFS(MOVIMIENTOS_COMPLEMENTOS!$I$4:$I$803,MOVIMIENTOS_COMPLEMENTOS!$C$4:$C$803,A832,MOVIMIENTOS_COMPLEMENTOS!$D$4:$D$803,B832,MOVIMIENTOS_COMPLEMENTOS!$E$4:$E$803,C832,MOVIMIENTOS_COMPLEMENTOS!$G$4:$G$803,E832,MOVIMIENTOS_COMPLEMENTOS!$H$4:$H$803,G832,MOVIMIENTOS_COMPLEMENTOS!$B$4:$B$803,"SALIDA"),0)</f>
        <v>0</v>
      </c>
      <c r="I832" s="102">
        <f t="array" ref="I832">IFERROR(INDEX(PRECIOS_COMPLEMENTOS!$C$4:$F$17,MATCH(B832&amp;"_"&amp;C832,PRECIOS_COMPLEMENTOS!$H$4:$H$17,0),IF(OR(G832="S",G832="20cm"),1,IF(OR(G832="M",G832="25cm"),2,IF(OR(G832="L",G832="30cm"),3,IF(OR(G832="XL",G832="35cm"),4,0))))),0)</f>
        <v>0.4</v>
      </c>
      <c r="J832" s="103">
        <f t="shared" si="1"/>
        <v>0</v>
      </c>
      <c r="K832" s="104" t="str">
        <f>IF(H832&lt;0,"ERROR",IF(H832=0,"",IF(H832&lt;CONFIG!$B$4,"CRÍTICO",IF(H832&lt;CONFIG!$B$5,"BAJO","OK"))))</f>
        <v/>
      </c>
    </row>
    <row r="833" ht="15.75" hidden="1" customHeight="1">
      <c r="A833" s="90" t="str">
        <f>IF(CLIENTES!A5="","",CLIENTES!A5)</f>
        <v>Bravos</v>
      </c>
      <c r="B833" s="90" t="s">
        <v>321</v>
      </c>
      <c r="C833" s="91" t="s">
        <v>328</v>
      </c>
      <c r="D833" s="109" t="s">
        <v>353</v>
      </c>
      <c r="E833" s="67" t="str">
        <f>COLORES!A11</f>
        <v>Pacay</v>
      </c>
      <c r="F833" s="67" t="str">
        <f>COLORES!B11</f>
        <v>CLARO</v>
      </c>
      <c r="G833" s="90" t="s">
        <v>376</v>
      </c>
      <c r="H833" s="100">
        <f>IFERROR(SUMIFS(MOVIMIENTOS_COMPLEMENTOS!$I$4:$I$803,MOVIMIENTOS_COMPLEMENTOS!$C$4:$C$803,A833,MOVIMIENTOS_COMPLEMENTOS!$D$4:$D$803,B833,MOVIMIENTOS_COMPLEMENTOS!$E$4:$E$803,C833,MOVIMIENTOS_COMPLEMENTOS!$G$4:$G$803,E833,MOVIMIENTOS_COMPLEMENTOS!$H$4:$H$803,G833,MOVIMIENTOS_COMPLEMENTOS!$B$4:$B$803,"INGRESO")+SUMIFS(MOVIMIENTOS_COMPLEMENTOS!$I$4:$I$803,MOVIMIENTOS_COMPLEMENTOS!$C$4:$C$803,A833,MOVIMIENTOS_COMPLEMENTOS!$D$4:$D$803,B833,MOVIMIENTOS_COMPLEMENTOS!$E$4:$E$803,C833,MOVIMIENTOS_COMPLEMENTOS!$G$4:$G$803,E833,MOVIMIENTOS_COMPLEMENTOS!$H$4:$H$803,G833,MOVIMIENTOS_COMPLEMENTOS!$B$4:$B$803,"DE CORTE")-SUMIFS(MOVIMIENTOS_COMPLEMENTOS!$I$4:$I$803,MOVIMIENTOS_COMPLEMENTOS!$C$4:$C$803,A833,MOVIMIENTOS_COMPLEMENTOS!$D$4:$D$803,B833,MOVIMIENTOS_COMPLEMENTOS!$E$4:$E$803,C833,MOVIMIENTOS_COMPLEMENTOS!$G$4:$G$803,E833,MOVIMIENTOS_COMPLEMENTOS!$H$4:$H$803,G833,MOVIMIENTOS_COMPLEMENTOS!$B$4:$B$803,"SALIDA"),0)</f>
        <v>0</v>
      </c>
      <c r="I833" s="102">
        <f t="array" ref="I833">IFERROR(INDEX(PRECIOS_COMPLEMENTOS!$C$4:$F$17,MATCH(B833&amp;"_"&amp;C833,PRECIOS_COMPLEMENTOS!$H$4:$H$17,0),IF(OR(G833="S",G833="20cm"),1,IF(OR(G833="M",G833="25cm"),2,IF(OR(G833="L",G833="30cm"),3,IF(OR(G833="XL",G833="35cm"),4,0))))),0)</f>
        <v>0.4</v>
      </c>
      <c r="J833" s="103">
        <f t="shared" si="1"/>
        <v>0</v>
      </c>
      <c r="K833" s="104" t="str">
        <f>IF(H833&lt;0,"ERROR",IF(H833=0,"",IF(H833&lt;CONFIG!$B$4,"CRÍTICO",IF(H833&lt;CONFIG!$B$5,"BAJO","OK"))))</f>
        <v/>
      </c>
    </row>
    <row r="834" ht="15.75" hidden="1" customHeight="1">
      <c r="A834" s="90" t="str">
        <f>IF(CLIENTES!A5="","",CLIENTES!A5)</f>
        <v>Bravos</v>
      </c>
      <c r="B834" s="90" t="s">
        <v>321</v>
      </c>
      <c r="C834" s="91" t="s">
        <v>328</v>
      </c>
      <c r="D834" s="109" t="s">
        <v>353</v>
      </c>
      <c r="E834" s="67" t="str">
        <f>COLORES!A11</f>
        <v>Pacay</v>
      </c>
      <c r="F834" s="67" t="str">
        <f>COLORES!B11</f>
        <v>CLARO</v>
      </c>
      <c r="G834" s="90" t="s">
        <v>377</v>
      </c>
      <c r="H834" s="100">
        <f>IFERROR(SUMIFS(MOVIMIENTOS_COMPLEMENTOS!$I$4:$I$803,MOVIMIENTOS_COMPLEMENTOS!$C$4:$C$803,A834,MOVIMIENTOS_COMPLEMENTOS!$D$4:$D$803,B834,MOVIMIENTOS_COMPLEMENTOS!$E$4:$E$803,C834,MOVIMIENTOS_COMPLEMENTOS!$G$4:$G$803,E834,MOVIMIENTOS_COMPLEMENTOS!$H$4:$H$803,G834,MOVIMIENTOS_COMPLEMENTOS!$B$4:$B$803,"INGRESO")+SUMIFS(MOVIMIENTOS_COMPLEMENTOS!$I$4:$I$803,MOVIMIENTOS_COMPLEMENTOS!$C$4:$C$803,A834,MOVIMIENTOS_COMPLEMENTOS!$D$4:$D$803,B834,MOVIMIENTOS_COMPLEMENTOS!$E$4:$E$803,C834,MOVIMIENTOS_COMPLEMENTOS!$G$4:$G$803,E834,MOVIMIENTOS_COMPLEMENTOS!$H$4:$H$803,G834,MOVIMIENTOS_COMPLEMENTOS!$B$4:$B$803,"DE CORTE")-SUMIFS(MOVIMIENTOS_COMPLEMENTOS!$I$4:$I$803,MOVIMIENTOS_COMPLEMENTOS!$C$4:$C$803,A834,MOVIMIENTOS_COMPLEMENTOS!$D$4:$D$803,B834,MOVIMIENTOS_COMPLEMENTOS!$E$4:$E$803,C834,MOVIMIENTOS_COMPLEMENTOS!$G$4:$G$803,E834,MOVIMIENTOS_COMPLEMENTOS!$H$4:$H$803,G834,MOVIMIENTOS_COMPLEMENTOS!$B$4:$B$803,"SALIDA"),0)</f>
        <v>0</v>
      </c>
      <c r="I834" s="102">
        <f t="array" ref="I834">IFERROR(INDEX(PRECIOS_COMPLEMENTOS!$C$4:$F$17,MATCH(B834&amp;"_"&amp;C834,PRECIOS_COMPLEMENTOS!$H$4:$H$17,0),IF(OR(G834="S",G834="20cm"),1,IF(OR(G834="M",G834="25cm"),2,IF(OR(G834="L",G834="30cm"),3,IF(OR(G834="XL",G834="35cm"),4,0))))),0)</f>
        <v>0.4</v>
      </c>
      <c r="J834" s="103">
        <f t="shared" si="1"/>
        <v>0</v>
      </c>
      <c r="K834" s="104" t="str">
        <f>IF(H834&lt;0,"ERROR",IF(H834=0,"",IF(H834&lt;CONFIG!$B$4,"CRÍTICO",IF(H834&lt;CONFIG!$B$5,"BAJO","OK"))))</f>
        <v/>
      </c>
    </row>
    <row r="835" ht="15.75" hidden="1" customHeight="1">
      <c r="A835" s="90" t="str">
        <f>IF(CLIENTES!A5="","",CLIENTES!A5)</f>
        <v>Bravos</v>
      </c>
      <c r="B835" s="90" t="s">
        <v>321</v>
      </c>
      <c r="C835" s="91" t="s">
        <v>328</v>
      </c>
      <c r="D835" s="109" t="s">
        <v>353</v>
      </c>
      <c r="E835" s="67" t="str">
        <f>COLORES!A11</f>
        <v>Pacay</v>
      </c>
      <c r="F835" s="67" t="str">
        <f>COLORES!B11</f>
        <v>CLARO</v>
      </c>
      <c r="G835" s="90" t="s">
        <v>379</v>
      </c>
      <c r="H835" s="100">
        <f>IFERROR(SUMIFS(MOVIMIENTOS_COMPLEMENTOS!$I$4:$I$803,MOVIMIENTOS_COMPLEMENTOS!$C$4:$C$803,A835,MOVIMIENTOS_COMPLEMENTOS!$D$4:$D$803,B835,MOVIMIENTOS_COMPLEMENTOS!$E$4:$E$803,C835,MOVIMIENTOS_COMPLEMENTOS!$G$4:$G$803,E835,MOVIMIENTOS_COMPLEMENTOS!$H$4:$H$803,G835,MOVIMIENTOS_COMPLEMENTOS!$B$4:$B$803,"INGRESO")+SUMIFS(MOVIMIENTOS_COMPLEMENTOS!$I$4:$I$803,MOVIMIENTOS_COMPLEMENTOS!$C$4:$C$803,A835,MOVIMIENTOS_COMPLEMENTOS!$D$4:$D$803,B835,MOVIMIENTOS_COMPLEMENTOS!$E$4:$E$803,C835,MOVIMIENTOS_COMPLEMENTOS!$G$4:$G$803,E835,MOVIMIENTOS_COMPLEMENTOS!$H$4:$H$803,G835,MOVIMIENTOS_COMPLEMENTOS!$B$4:$B$803,"DE CORTE")-SUMIFS(MOVIMIENTOS_COMPLEMENTOS!$I$4:$I$803,MOVIMIENTOS_COMPLEMENTOS!$C$4:$C$803,A835,MOVIMIENTOS_COMPLEMENTOS!$D$4:$D$803,B835,MOVIMIENTOS_COMPLEMENTOS!$E$4:$E$803,C835,MOVIMIENTOS_COMPLEMENTOS!$G$4:$G$803,E835,MOVIMIENTOS_COMPLEMENTOS!$H$4:$H$803,G835,MOVIMIENTOS_COMPLEMENTOS!$B$4:$B$803,"SALIDA"),0)</f>
        <v>0</v>
      </c>
      <c r="I835" s="102">
        <f t="array" ref="I835">IFERROR(INDEX(PRECIOS_COMPLEMENTOS!$C$4:$F$17,MATCH(B835&amp;"_"&amp;C835,PRECIOS_COMPLEMENTOS!$H$4:$H$17,0),IF(OR(G835="S",G835="20cm"),1,IF(OR(G835="M",G835="25cm"),2,IF(OR(G835="L",G835="30cm"),3,IF(OR(G835="XL",G835="35cm"),4,0))))),0)</f>
        <v>0.4</v>
      </c>
      <c r="J835" s="103">
        <f t="shared" si="1"/>
        <v>0</v>
      </c>
      <c r="K835" s="104" t="str">
        <f>IF(H835&lt;0,"ERROR",IF(H835=0,"",IF(H835&lt;CONFIG!$B$4,"CRÍTICO",IF(H835&lt;CONFIG!$B$5,"BAJO","OK"))))</f>
        <v/>
      </c>
    </row>
    <row r="836" ht="15.75" hidden="1" customHeight="1">
      <c r="A836" s="90" t="str">
        <f>IF(CLIENTES!A5="","",CLIENTES!A5)</f>
        <v>Bravos</v>
      </c>
      <c r="B836" s="90" t="s">
        <v>321</v>
      </c>
      <c r="C836" s="91" t="s">
        <v>328</v>
      </c>
      <c r="D836" s="109" t="s">
        <v>353</v>
      </c>
      <c r="E836" s="67" t="str">
        <f>COLORES!A12</f>
        <v>Cemento</v>
      </c>
      <c r="F836" s="67" t="str">
        <f>COLORES!B12</f>
        <v>CLARO</v>
      </c>
      <c r="G836" s="90" t="s">
        <v>378</v>
      </c>
      <c r="H836" s="100">
        <f>IFERROR(SUMIFS(MOVIMIENTOS_COMPLEMENTOS!$I$4:$I$803,MOVIMIENTOS_COMPLEMENTOS!$C$4:$C$803,A836,MOVIMIENTOS_COMPLEMENTOS!$D$4:$D$803,B836,MOVIMIENTOS_COMPLEMENTOS!$E$4:$E$803,C836,MOVIMIENTOS_COMPLEMENTOS!$G$4:$G$803,E836,MOVIMIENTOS_COMPLEMENTOS!$H$4:$H$803,G836,MOVIMIENTOS_COMPLEMENTOS!$B$4:$B$803,"INGRESO")+SUMIFS(MOVIMIENTOS_COMPLEMENTOS!$I$4:$I$803,MOVIMIENTOS_COMPLEMENTOS!$C$4:$C$803,A836,MOVIMIENTOS_COMPLEMENTOS!$D$4:$D$803,B836,MOVIMIENTOS_COMPLEMENTOS!$E$4:$E$803,C836,MOVIMIENTOS_COMPLEMENTOS!$G$4:$G$803,E836,MOVIMIENTOS_COMPLEMENTOS!$H$4:$H$803,G836,MOVIMIENTOS_COMPLEMENTOS!$B$4:$B$803,"DE CORTE")-SUMIFS(MOVIMIENTOS_COMPLEMENTOS!$I$4:$I$803,MOVIMIENTOS_COMPLEMENTOS!$C$4:$C$803,A836,MOVIMIENTOS_COMPLEMENTOS!$D$4:$D$803,B836,MOVIMIENTOS_COMPLEMENTOS!$E$4:$E$803,C836,MOVIMIENTOS_COMPLEMENTOS!$G$4:$G$803,E836,MOVIMIENTOS_COMPLEMENTOS!$H$4:$H$803,G836,MOVIMIENTOS_COMPLEMENTOS!$B$4:$B$803,"SALIDA"),0)</f>
        <v>0</v>
      </c>
      <c r="I836" s="102">
        <f t="array" ref="I836">IFERROR(INDEX(PRECIOS_COMPLEMENTOS!$C$4:$F$17,MATCH(B836&amp;"_"&amp;C836,PRECIOS_COMPLEMENTOS!$H$4:$H$17,0),IF(OR(G836="S",G836="20cm"),1,IF(OR(G836="M",G836="25cm"),2,IF(OR(G836="L",G836="30cm"),3,IF(OR(G836="XL",G836="35cm"),4,0))))),0)</f>
        <v>0.4</v>
      </c>
      <c r="J836" s="103">
        <f t="shared" si="1"/>
        <v>0</v>
      </c>
      <c r="K836" s="104" t="str">
        <f>IF(H836&lt;0,"ERROR",IF(H836=0,"",IF(H836&lt;CONFIG!$B$4,"CRÍTICO",IF(H836&lt;CONFIG!$B$5,"BAJO","OK"))))</f>
        <v/>
      </c>
    </row>
    <row r="837" ht="15.75" hidden="1" customHeight="1">
      <c r="A837" s="90" t="str">
        <f>IF(CLIENTES!A5="","",CLIENTES!A5)</f>
        <v>Bravos</v>
      </c>
      <c r="B837" s="90" t="s">
        <v>321</v>
      </c>
      <c r="C837" s="91" t="s">
        <v>328</v>
      </c>
      <c r="D837" s="109" t="s">
        <v>353</v>
      </c>
      <c r="E837" s="67" t="str">
        <f>COLORES!A12</f>
        <v>Cemento</v>
      </c>
      <c r="F837" s="67" t="str">
        <f>COLORES!B12</f>
        <v>CLARO</v>
      </c>
      <c r="G837" s="90" t="s">
        <v>376</v>
      </c>
      <c r="H837" s="100">
        <f>IFERROR(SUMIFS(MOVIMIENTOS_COMPLEMENTOS!$I$4:$I$803,MOVIMIENTOS_COMPLEMENTOS!$C$4:$C$803,A837,MOVIMIENTOS_COMPLEMENTOS!$D$4:$D$803,B837,MOVIMIENTOS_COMPLEMENTOS!$E$4:$E$803,C837,MOVIMIENTOS_COMPLEMENTOS!$G$4:$G$803,E837,MOVIMIENTOS_COMPLEMENTOS!$H$4:$H$803,G837,MOVIMIENTOS_COMPLEMENTOS!$B$4:$B$803,"INGRESO")+SUMIFS(MOVIMIENTOS_COMPLEMENTOS!$I$4:$I$803,MOVIMIENTOS_COMPLEMENTOS!$C$4:$C$803,A837,MOVIMIENTOS_COMPLEMENTOS!$D$4:$D$803,B837,MOVIMIENTOS_COMPLEMENTOS!$E$4:$E$803,C837,MOVIMIENTOS_COMPLEMENTOS!$G$4:$G$803,E837,MOVIMIENTOS_COMPLEMENTOS!$H$4:$H$803,G837,MOVIMIENTOS_COMPLEMENTOS!$B$4:$B$803,"DE CORTE")-SUMIFS(MOVIMIENTOS_COMPLEMENTOS!$I$4:$I$803,MOVIMIENTOS_COMPLEMENTOS!$C$4:$C$803,A837,MOVIMIENTOS_COMPLEMENTOS!$D$4:$D$803,B837,MOVIMIENTOS_COMPLEMENTOS!$E$4:$E$803,C837,MOVIMIENTOS_COMPLEMENTOS!$G$4:$G$803,E837,MOVIMIENTOS_COMPLEMENTOS!$H$4:$H$803,G837,MOVIMIENTOS_COMPLEMENTOS!$B$4:$B$803,"SALIDA"),0)</f>
        <v>0</v>
      </c>
      <c r="I837" s="102">
        <f t="array" ref="I837">IFERROR(INDEX(PRECIOS_COMPLEMENTOS!$C$4:$F$17,MATCH(B837&amp;"_"&amp;C837,PRECIOS_COMPLEMENTOS!$H$4:$H$17,0),IF(OR(G837="S",G837="20cm"),1,IF(OR(G837="M",G837="25cm"),2,IF(OR(G837="L",G837="30cm"),3,IF(OR(G837="XL",G837="35cm"),4,0))))),0)</f>
        <v>0.4</v>
      </c>
      <c r="J837" s="103">
        <f t="shared" si="1"/>
        <v>0</v>
      </c>
      <c r="K837" s="104" t="str">
        <f>IF(H837&lt;0,"ERROR",IF(H837=0,"",IF(H837&lt;CONFIG!$B$4,"CRÍTICO",IF(H837&lt;CONFIG!$B$5,"BAJO","OK"))))</f>
        <v/>
      </c>
    </row>
    <row r="838" ht="15.75" hidden="1" customHeight="1">
      <c r="A838" s="90" t="str">
        <f>IF(CLIENTES!A5="","",CLIENTES!A5)</f>
        <v>Bravos</v>
      </c>
      <c r="B838" s="90" t="s">
        <v>321</v>
      </c>
      <c r="C838" s="91" t="s">
        <v>328</v>
      </c>
      <c r="D838" s="109" t="s">
        <v>353</v>
      </c>
      <c r="E838" s="67" t="str">
        <f>COLORES!A12</f>
        <v>Cemento</v>
      </c>
      <c r="F838" s="67" t="str">
        <f>COLORES!B12</f>
        <v>CLARO</v>
      </c>
      <c r="G838" s="90" t="s">
        <v>377</v>
      </c>
      <c r="H838" s="100">
        <f>IFERROR(SUMIFS(MOVIMIENTOS_COMPLEMENTOS!$I$4:$I$803,MOVIMIENTOS_COMPLEMENTOS!$C$4:$C$803,A838,MOVIMIENTOS_COMPLEMENTOS!$D$4:$D$803,B838,MOVIMIENTOS_COMPLEMENTOS!$E$4:$E$803,C838,MOVIMIENTOS_COMPLEMENTOS!$G$4:$G$803,E838,MOVIMIENTOS_COMPLEMENTOS!$H$4:$H$803,G838,MOVIMIENTOS_COMPLEMENTOS!$B$4:$B$803,"INGRESO")+SUMIFS(MOVIMIENTOS_COMPLEMENTOS!$I$4:$I$803,MOVIMIENTOS_COMPLEMENTOS!$C$4:$C$803,A838,MOVIMIENTOS_COMPLEMENTOS!$D$4:$D$803,B838,MOVIMIENTOS_COMPLEMENTOS!$E$4:$E$803,C838,MOVIMIENTOS_COMPLEMENTOS!$G$4:$G$803,E838,MOVIMIENTOS_COMPLEMENTOS!$H$4:$H$803,G838,MOVIMIENTOS_COMPLEMENTOS!$B$4:$B$803,"DE CORTE")-SUMIFS(MOVIMIENTOS_COMPLEMENTOS!$I$4:$I$803,MOVIMIENTOS_COMPLEMENTOS!$C$4:$C$803,A838,MOVIMIENTOS_COMPLEMENTOS!$D$4:$D$803,B838,MOVIMIENTOS_COMPLEMENTOS!$E$4:$E$803,C838,MOVIMIENTOS_COMPLEMENTOS!$G$4:$G$803,E838,MOVIMIENTOS_COMPLEMENTOS!$H$4:$H$803,G838,MOVIMIENTOS_COMPLEMENTOS!$B$4:$B$803,"SALIDA"),0)</f>
        <v>0</v>
      </c>
      <c r="I838" s="102">
        <f t="array" ref="I838">IFERROR(INDEX(PRECIOS_COMPLEMENTOS!$C$4:$F$17,MATCH(B838&amp;"_"&amp;C838,PRECIOS_COMPLEMENTOS!$H$4:$H$17,0),IF(OR(G838="S",G838="20cm"),1,IF(OR(G838="M",G838="25cm"),2,IF(OR(G838="L",G838="30cm"),3,IF(OR(G838="XL",G838="35cm"),4,0))))),0)</f>
        <v>0.4</v>
      </c>
      <c r="J838" s="103">
        <f t="shared" si="1"/>
        <v>0</v>
      </c>
      <c r="K838" s="104" t="str">
        <f>IF(H838&lt;0,"ERROR",IF(H838=0,"",IF(H838&lt;CONFIG!$B$4,"CRÍTICO",IF(H838&lt;CONFIG!$B$5,"BAJO","OK"))))</f>
        <v/>
      </c>
    </row>
    <row r="839" ht="15.75" hidden="1" customHeight="1">
      <c r="A839" s="90" t="str">
        <f>IF(CLIENTES!A5="","",CLIENTES!A5)</f>
        <v>Bravos</v>
      </c>
      <c r="B839" s="90" t="s">
        <v>321</v>
      </c>
      <c r="C839" s="91" t="s">
        <v>328</v>
      </c>
      <c r="D839" s="109" t="s">
        <v>353</v>
      </c>
      <c r="E839" s="67" t="str">
        <f>COLORES!A12</f>
        <v>Cemento</v>
      </c>
      <c r="F839" s="67" t="str">
        <f>COLORES!B12</f>
        <v>CLARO</v>
      </c>
      <c r="G839" s="90" t="s">
        <v>379</v>
      </c>
      <c r="H839" s="100">
        <f>IFERROR(SUMIFS(MOVIMIENTOS_COMPLEMENTOS!$I$4:$I$803,MOVIMIENTOS_COMPLEMENTOS!$C$4:$C$803,A839,MOVIMIENTOS_COMPLEMENTOS!$D$4:$D$803,B839,MOVIMIENTOS_COMPLEMENTOS!$E$4:$E$803,C839,MOVIMIENTOS_COMPLEMENTOS!$G$4:$G$803,E839,MOVIMIENTOS_COMPLEMENTOS!$H$4:$H$803,G839,MOVIMIENTOS_COMPLEMENTOS!$B$4:$B$803,"INGRESO")+SUMIFS(MOVIMIENTOS_COMPLEMENTOS!$I$4:$I$803,MOVIMIENTOS_COMPLEMENTOS!$C$4:$C$803,A839,MOVIMIENTOS_COMPLEMENTOS!$D$4:$D$803,B839,MOVIMIENTOS_COMPLEMENTOS!$E$4:$E$803,C839,MOVIMIENTOS_COMPLEMENTOS!$G$4:$G$803,E839,MOVIMIENTOS_COMPLEMENTOS!$H$4:$H$803,G839,MOVIMIENTOS_COMPLEMENTOS!$B$4:$B$803,"DE CORTE")-SUMIFS(MOVIMIENTOS_COMPLEMENTOS!$I$4:$I$803,MOVIMIENTOS_COMPLEMENTOS!$C$4:$C$803,A839,MOVIMIENTOS_COMPLEMENTOS!$D$4:$D$803,B839,MOVIMIENTOS_COMPLEMENTOS!$E$4:$E$803,C839,MOVIMIENTOS_COMPLEMENTOS!$G$4:$G$803,E839,MOVIMIENTOS_COMPLEMENTOS!$H$4:$H$803,G839,MOVIMIENTOS_COMPLEMENTOS!$B$4:$B$803,"SALIDA"),0)</f>
        <v>0</v>
      </c>
      <c r="I839" s="102">
        <f t="array" ref="I839">IFERROR(INDEX(PRECIOS_COMPLEMENTOS!$C$4:$F$17,MATCH(B839&amp;"_"&amp;C839,PRECIOS_COMPLEMENTOS!$H$4:$H$17,0),IF(OR(G839="S",G839="20cm"),1,IF(OR(G839="M",G839="25cm"),2,IF(OR(G839="L",G839="30cm"),3,IF(OR(G839="XL",G839="35cm"),4,0))))),0)</f>
        <v>0.4</v>
      </c>
      <c r="J839" s="103">
        <f t="shared" si="1"/>
        <v>0</v>
      </c>
      <c r="K839" s="104" t="str">
        <f>IF(H839&lt;0,"ERROR",IF(H839=0,"",IF(H839&lt;CONFIG!$B$4,"CRÍTICO",IF(H839&lt;CONFIG!$B$5,"BAJO","OK"))))</f>
        <v/>
      </c>
    </row>
    <row r="840" ht="15.75" hidden="1" customHeight="1">
      <c r="A840" s="90" t="str">
        <f>IF(CLIENTES!A5="","",CLIENTES!A5)</f>
        <v>Bravos</v>
      </c>
      <c r="B840" s="90" t="s">
        <v>321</v>
      </c>
      <c r="C840" s="91" t="s">
        <v>328</v>
      </c>
      <c r="D840" s="109" t="s">
        <v>353</v>
      </c>
      <c r="E840" s="67" t="str">
        <f>COLORES!A13</f>
        <v>Camote</v>
      </c>
      <c r="F840" s="67" t="str">
        <f>COLORES!B13</f>
        <v>CLARO</v>
      </c>
      <c r="G840" s="90" t="s">
        <v>378</v>
      </c>
      <c r="H840" s="100">
        <f>IFERROR(SUMIFS(MOVIMIENTOS_COMPLEMENTOS!$I$4:$I$803,MOVIMIENTOS_COMPLEMENTOS!$C$4:$C$803,A840,MOVIMIENTOS_COMPLEMENTOS!$D$4:$D$803,B840,MOVIMIENTOS_COMPLEMENTOS!$E$4:$E$803,C840,MOVIMIENTOS_COMPLEMENTOS!$G$4:$G$803,E840,MOVIMIENTOS_COMPLEMENTOS!$H$4:$H$803,G840,MOVIMIENTOS_COMPLEMENTOS!$B$4:$B$803,"INGRESO")+SUMIFS(MOVIMIENTOS_COMPLEMENTOS!$I$4:$I$803,MOVIMIENTOS_COMPLEMENTOS!$C$4:$C$803,A840,MOVIMIENTOS_COMPLEMENTOS!$D$4:$D$803,B840,MOVIMIENTOS_COMPLEMENTOS!$E$4:$E$803,C840,MOVIMIENTOS_COMPLEMENTOS!$G$4:$G$803,E840,MOVIMIENTOS_COMPLEMENTOS!$H$4:$H$803,G840,MOVIMIENTOS_COMPLEMENTOS!$B$4:$B$803,"DE CORTE")-SUMIFS(MOVIMIENTOS_COMPLEMENTOS!$I$4:$I$803,MOVIMIENTOS_COMPLEMENTOS!$C$4:$C$803,A840,MOVIMIENTOS_COMPLEMENTOS!$D$4:$D$803,B840,MOVIMIENTOS_COMPLEMENTOS!$E$4:$E$803,C840,MOVIMIENTOS_COMPLEMENTOS!$G$4:$G$803,E840,MOVIMIENTOS_COMPLEMENTOS!$H$4:$H$803,G840,MOVIMIENTOS_COMPLEMENTOS!$B$4:$B$803,"SALIDA"),0)</f>
        <v>0</v>
      </c>
      <c r="I840" s="102">
        <f t="array" ref="I840">IFERROR(INDEX(PRECIOS_COMPLEMENTOS!$C$4:$F$17,MATCH(B840&amp;"_"&amp;C840,PRECIOS_COMPLEMENTOS!$H$4:$H$17,0),IF(OR(G840="S",G840="20cm"),1,IF(OR(G840="M",G840="25cm"),2,IF(OR(G840="L",G840="30cm"),3,IF(OR(G840="XL",G840="35cm"),4,0))))),0)</f>
        <v>0.4</v>
      </c>
      <c r="J840" s="103">
        <f t="shared" si="1"/>
        <v>0</v>
      </c>
      <c r="K840" s="104" t="str">
        <f>IF(H840&lt;0,"ERROR",IF(H840=0,"",IF(H840&lt;CONFIG!$B$4,"CRÍTICO",IF(H840&lt;CONFIG!$B$5,"BAJO","OK"))))</f>
        <v/>
      </c>
    </row>
    <row r="841" ht="15.75" hidden="1" customHeight="1">
      <c r="A841" s="90" t="str">
        <f>IF(CLIENTES!A5="","",CLIENTES!A5)</f>
        <v>Bravos</v>
      </c>
      <c r="B841" s="90" t="s">
        <v>321</v>
      </c>
      <c r="C841" s="91" t="s">
        <v>328</v>
      </c>
      <c r="D841" s="109" t="s">
        <v>353</v>
      </c>
      <c r="E841" s="67" t="str">
        <f>COLORES!A13</f>
        <v>Camote</v>
      </c>
      <c r="F841" s="67" t="str">
        <f>COLORES!B13</f>
        <v>CLARO</v>
      </c>
      <c r="G841" s="90" t="s">
        <v>376</v>
      </c>
      <c r="H841" s="100">
        <f>IFERROR(SUMIFS(MOVIMIENTOS_COMPLEMENTOS!$I$4:$I$803,MOVIMIENTOS_COMPLEMENTOS!$C$4:$C$803,A841,MOVIMIENTOS_COMPLEMENTOS!$D$4:$D$803,B841,MOVIMIENTOS_COMPLEMENTOS!$E$4:$E$803,C841,MOVIMIENTOS_COMPLEMENTOS!$G$4:$G$803,E841,MOVIMIENTOS_COMPLEMENTOS!$H$4:$H$803,G841,MOVIMIENTOS_COMPLEMENTOS!$B$4:$B$803,"INGRESO")+SUMIFS(MOVIMIENTOS_COMPLEMENTOS!$I$4:$I$803,MOVIMIENTOS_COMPLEMENTOS!$C$4:$C$803,A841,MOVIMIENTOS_COMPLEMENTOS!$D$4:$D$803,B841,MOVIMIENTOS_COMPLEMENTOS!$E$4:$E$803,C841,MOVIMIENTOS_COMPLEMENTOS!$G$4:$G$803,E841,MOVIMIENTOS_COMPLEMENTOS!$H$4:$H$803,G841,MOVIMIENTOS_COMPLEMENTOS!$B$4:$B$803,"DE CORTE")-SUMIFS(MOVIMIENTOS_COMPLEMENTOS!$I$4:$I$803,MOVIMIENTOS_COMPLEMENTOS!$C$4:$C$803,A841,MOVIMIENTOS_COMPLEMENTOS!$D$4:$D$803,B841,MOVIMIENTOS_COMPLEMENTOS!$E$4:$E$803,C841,MOVIMIENTOS_COMPLEMENTOS!$G$4:$G$803,E841,MOVIMIENTOS_COMPLEMENTOS!$H$4:$H$803,G841,MOVIMIENTOS_COMPLEMENTOS!$B$4:$B$803,"SALIDA"),0)</f>
        <v>0</v>
      </c>
      <c r="I841" s="102">
        <f t="array" ref="I841">IFERROR(INDEX(PRECIOS_COMPLEMENTOS!$C$4:$F$17,MATCH(B841&amp;"_"&amp;C841,PRECIOS_COMPLEMENTOS!$H$4:$H$17,0),IF(OR(G841="S",G841="20cm"),1,IF(OR(G841="M",G841="25cm"),2,IF(OR(G841="L",G841="30cm"),3,IF(OR(G841="XL",G841="35cm"),4,0))))),0)</f>
        <v>0.4</v>
      </c>
      <c r="J841" s="103">
        <f t="shared" si="1"/>
        <v>0</v>
      </c>
      <c r="K841" s="104" t="str">
        <f>IF(H841&lt;0,"ERROR",IF(H841=0,"",IF(H841&lt;CONFIG!$B$4,"CRÍTICO",IF(H841&lt;CONFIG!$B$5,"BAJO","OK"))))</f>
        <v/>
      </c>
    </row>
    <row r="842" ht="15.75" hidden="1" customHeight="1">
      <c r="A842" s="90" t="str">
        <f>IF(CLIENTES!A5="","",CLIENTES!A5)</f>
        <v>Bravos</v>
      </c>
      <c r="B842" s="90" t="s">
        <v>321</v>
      </c>
      <c r="C842" s="91" t="s">
        <v>328</v>
      </c>
      <c r="D842" s="109" t="s">
        <v>353</v>
      </c>
      <c r="E842" s="67" t="str">
        <f>COLORES!A13</f>
        <v>Camote</v>
      </c>
      <c r="F842" s="67" t="str">
        <f>COLORES!B13</f>
        <v>CLARO</v>
      </c>
      <c r="G842" s="90" t="s">
        <v>377</v>
      </c>
      <c r="H842" s="100">
        <f>IFERROR(SUMIFS(MOVIMIENTOS_COMPLEMENTOS!$I$4:$I$803,MOVIMIENTOS_COMPLEMENTOS!$C$4:$C$803,A842,MOVIMIENTOS_COMPLEMENTOS!$D$4:$D$803,B842,MOVIMIENTOS_COMPLEMENTOS!$E$4:$E$803,C842,MOVIMIENTOS_COMPLEMENTOS!$G$4:$G$803,E842,MOVIMIENTOS_COMPLEMENTOS!$H$4:$H$803,G842,MOVIMIENTOS_COMPLEMENTOS!$B$4:$B$803,"INGRESO")+SUMIFS(MOVIMIENTOS_COMPLEMENTOS!$I$4:$I$803,MOVIMIENTOS_COMPLEMENTOS!$C$4:$C$803,A842,MOVIMIENTOS_COMPLEMENTOS!$D$4:$D$803,B842,MOVIMIENTOS_COMPLEMENTOS!$E$4:$E$803,C842,MOVIMIENTOS_COMPLEMENTOS!$G$4:$G$803,E842,MOVIMIENTOS_COMPLEMENTOS!$H$4:$H$803,G842,MOVIMIENTOS_COMPLEMENTOS!$B$4:$B$803,"DE CORTE")-SUMIFS(MOVIMIENTOS_COMPLEMENTOS!$I$4:$I$803,MOVIMIENTOS_COMPLEMENTOS!$C$4:$C$803,A842,MOVIMIENTOS_COMPLEMENTOS!$D$4:$D$803,B842,MOVIMIENTOS_COMPLEMENTOS!$E$4:$E$803,C842,MOVIMIENTOS_COMPLEMENTOS!$G$4:$G$803,E842,MOVIMIENTOS_COMPLEMENTOS!$H$4:$H$803,G842,MOVIMIENTOS_COMPLEMENTOS!$B$4:$B$803,"SALIDA"),0)</f>
        <v>0</v>
      </c>
      <c r="I842" s="102">
        <f t="array" ref="I842">IFERROR(INDEX(PRECIOS_COMPLEMENTOS!$C$4:$F$17,MATCH(B842&amp;"_"&amp;C842,PRECIOS_COMPLEMENTOS!$H$4:$H$17,0),IF(OR(G842="S",G842="20cm"),1,IF(OR(G842="M",G842="25cm"),2,IF(OR(G842="L",G842="30cm"),3,IF(OR(G842="XL",G842="35cm"),4,0))))),0)</f>
        <v>0.4</v>
      </c>
      <c r="J842" s="103">
        <f t="shared" si="1"/>
        <v>0</v>
      </c>
      <c r="K842" s="104" t="str">
        <f>IF(H842&lt;0,"ERROR",IF(H842=0,"",IF(H842&lt;CONFIG!$B$4,"CRÍTICO",IF(H842&lt;CONFIG!$B$5,"BAJO","OK"))))</f>
        <v/>
      </c>
    </row>
    <row r="843" ht="15.75" hidden="1" customHeight="1">
      <c r="A843" s="90" t="str">
        <f>IF(CLIENTES!A5="","",CLIENTES!A5)</f>
        <v>Bravos</v>
      </c>
      <c r="B843" s="90" t="s">
        <v>321</v>
      </c>
      <c r="C843" s="91" t="s">
        <v>328</v>
      </c>
      <c r="D843" s="109" t="s">
        <v>353</v>
      </c>
      <c r="E843" s="67" t="str">
        <f>COLORES!A13</f>
        <v>Camote</v>
      </c>
      <c r="F843" s="67" t="str">
        <f>COLORES!B13</f>
        <v>CLARO</v>
      </c>
      <c r="G843" s="90" t="s">
        <v>379</v>
      </c>
      <c r="H843" s="100">
        <f>IFERROR(SUMIFS(MOVIMIENTOS_COMPLEMENTOS!$I$4:$I$803,MOVIMIENTOS_COMPLEMENTOS!$C$4:$C$803,A843,MOVIMIENTOS_COMPLEMENTOS!$D$4:$D$803,B843,MOVIMIENTOS_COMPLEMENTOS!$E$4:$E$803,C843,MOVIMIENTOS_COMPLEMENTOS!$G$4:$G$803,E843,MOVIMIENTOS_COMPLEMENTOS!$H$4:$H$803,G843,MOVIMIENTOS_COMPLEMENTOS!$B$4:$B$803,"INGRESO")+SUMIFS(MOVIMIENTOS_COMPLEMENTOS!$I$4:$I$803,MOVIMIENTOS_COMPLEMENTOS!$C$4:$C$803,A843,MOVIMIENTOS_COMPLEMENTOS!$D$4:$D$803,B843,MOVIMIENTOS_COMPLEMENTOS!$E$4:$E$803,C843,MOVIMIENTOS_COMPLEMENTOS!$G$4:$G$803,E843,MOVIMIENTOS_COMPLEMENTOS!$H$4:$H$803,G843,MOVIMIENTOS_COMPLEMENTOS!$B$4:$B$803,"DE CORTE")-SUMIFS(MOVIMIENTOS_COMPLEMENTOS!$I$4:$I$803,MOVIMIENTOS_COMPLEMENTOS!$C$4:$C$803,A843,MOVIMIENTOS_COMPLEMENTOS!$D$4:$D$803,B843,MOVIMIENTOS_COMPLEMENTOS!$E$4:$E$803,C843,MOVIMIENTOS_COMPLEMENTOS!$G$4:$G$803,E843,MOVIMIENTOS_COMPLEMENTOS!$H$4:$H$803,G843,MOVIMIENTOS_COMPLEMENTOS!$B$4:$B$803,"SALIDA"),0)</f>
        <v>0</v>
      </c>
      <c r="I843" s="102">
        <f t="array" ref="I843">IFERROR(INDEX(PRECIOS_COMPLEMENTOS!$C$4:$F$17,MATCH(B843&amp;"_"&amp;C843,PRECIOS_COMPLEMENTOS!$H$4:$H$17,0),IF(OR(G843="S",G843="20cm"),1,IF(OR(G843="M",G843="25cm"),2,IF(OR(G843="L",G843="30cm"),3,IF(OR(G843="XL",G843="35cm"),4,0))))),0)</f>
        <v>0.4</v>
      </c>
      <c r="J843" s="103">
        <f t="shared" si="1"/>
        <v>0</v>
      </c>
      <c r="K843" s="104" t="str">
        <f>IF(H843&lt;0,"ERROR",IF(H843=0,"",IF(H843&lt;CONFIG!$B$4,"CRÍTICO",IF(H843&lt;CONFIG!$B$5,"BAJO","OK"))))</f>
        <v/>
      </c>
    </row>
    <row r="844" ht="15.75" hidden="1" customHeight="1">
      <c r="A844" s="90" t="str">
        <f>IF(CLIENTES!A5="","",CLIENTES!A5)</f>
        <v>Bravos</v>
      </c>
      <c r="B844" s="90" t="s">
        <v>321</v>
      </c>
      <c r="C844" s="91" t="s">
        <v>328</v>
      </c>
      <c r="D844" s="109" t="s">
        <v>353</v>
      </c>
      <c r="E844" s="67" t="str">
        <f>COLORES!A14</f>
        <v>Denim</v>
      </c>
      <c r="F844" s="67" t="str">
        <f>COLORES!B14</f>
        <v>CLARO</v>
      </c>
      <c r="G844" s="90" t="s">
        <v>378</v>
      </c>
      <c r="H844" s="100">
        <f>IFERROR(SUMIFS(MOVIMIENTOS_COMPLEMENTOS!$I$4:$I$803,MOVIMIENTOS_COMPLEMENTOS!$C$4:$C$803,A844,MOVIMIENTOS_COMPLEMENTOS!$D$4:$D$803,B844,MOVIMIENTOS_COMPLEMENTOS!$E$4:$E$803,C844,MOVIMIENTOS_COMPLEMENTOS!$G$4:$G$803,E844,MOVIMIENTOS_COMPLEMENTOS!$H$4:$H$803,G844,MOVIMIENTOS_COMPLEMENTOS!$B$4:$B$803,"INGRESO")+SUMIFS(MOVIMIENTOS_COMPLEMENTOS!$I$4:$I$803,MOVIMIENTOS_COMPLEMENTOS!$C$4:$C$803,A844,MOVIMIENTOS_COMPLEMENTOS!$D$4:$D$803,B844,MOVIMIENTOS_COMPLEMENTOS!$E$4:$E$803,C844,MOVIMIENTOS_COMPLEMENTOS!$G$4:$G$803,E844,MOVIMIENTOS_COMPLEMENTOS!$H$4:$H$803,G844,MOVIMIENTOS_COMPLEMENTOS!$B$4:$B$803,"DE CORTE")-SUMIFS(MOVIMIENTOS_COMPLEMENTOS!$I$4:$I$803,MOVIMIENTOS_COMPLEMENTOS!$C$4:$C$803,A844,MOVIMIENTOS_COMPLEMENTOS!$D$4:$D$803,B844,MOVIMIENTOS_COMPLEMENTOS!$E$4:$E$803,C844,MOVIMIENTOS_COMPLEMENTOS!$G$4:$G$803,E844,MOVIMIENTOS_COMPLEMENTOS!$H$4:$H$803,G844,MOVIMIENTOS_COMPLEMENTOS!$B$4:$B$803,"SALIDA"),0)</f>
        <v>0</v>
      </c>
      <c r="I844" s="102">
        <f t="array" ref="I844">IFERROR(INDEX(PRECIOS_COMPLEMENTOS!$C$4:$F$17,MATCH(B844&amp;"_"&amp;C844,PRECIOS_COMPLEMENTOS!$H$4:$H$17,0),IF(OR(G844="S",G844="20cm"),1,IF(OR(G844="M",G844="25cm"),2,IF(OR(G844="L",G844="30cm"),3,IF(OR(G844="XL",G844="35cm"),4,0))))),0)</f>
        <v>0.4</v>
      </c>
      <c r="J844" s="103">
        <f t="shared" si="1"/>
        <v>0</v>
      </c>
      <c r="K844" s="104" t="str">
        <f>IF(H844&lt;0,"ERROR",IF(H844=0,"",IF(H844&lt;CONFIG!$B$4,"CRÍTICO",IF(H844&lt;CONFIG!$B$5,"BAJO","OK"))))</f>
        <v/>
      </c>
    </row>
    <row r="845" ht="15.75" hidden="1" customHeight="1">
      <c r="A845" s="90" t="str">
        <f>IF(CLIENTES!A5="","",CLIENTES!A5)</f>
        <v>Bravos</v>
      </c>
      <c r="B845" s="90" t="s">
        <v>321</v>
      </c>
      <c r="C845" s="91" t="s">
        <v>328</v>
      </c>
      <c r="D845" s="109" t="s">
        <v>353</v>
      </c>
      <c r="E845" s="67" t="str">
        <f>COLORES!A14</f>
        <v>Denim</v>
      </c>
      <c r="F845" s="67" t="str">
        <f>COLORES!B14</f>
        <v>CLARO</v>
      </c>
      <c r="G845" s="90" t="s">
        <v>376</v>
      </c>
      <c r="H845" s="100">
        <f>IFERROR(SUMIFS(MOVIMIENTOS_COMPLEMENTOS!$I$4:$I$803,MOVIMIENTOS_COMPLEMENTOS!$C$4:$C$803,A845,MOVIMIENTOS_COMPLEMENTOS!$D$4:$D$803,B845,MOVIMIENTOS_COMPLEMENTOS!$E$4:$E$803,C845,MOVIMIENTOS_COMPLEMENTOS!$G$4:$G$803,E845,MOVIMIENTOS_COMPLEMENTOS!$H$4:$H$803,G845,MOVIMIENTOS_COMPLEMENTOS!$B$4:$B$803,"INGRESO")+SUMIFS(MOVIMIENTOS_COMPLEMENTOS!$I$4:$I$803,MOVIMIENTOS_COMPLEMENTOS!$C$4:$C$803,A845,MOVIMIENTOS_COMPLEMENTOS!$D$4:$D$803,B845,MOVIMIENTOS_COMPLEMENTOS!$E$4:$E$803,C845,MOVIMIENTOS_COMPLEMENTOS!$G$4:$G$803,E845,MOVIMIENTOS_COMPLEMENTOS!$H$4:$H$803,G845,MOVIMIENTOS_COMPLEMENTOS!$B$4:$B$803,"DE CORTE")-SUMIFS(MOVIMIENTOS_COMPLEMENTOS!$I$4:$I$803,MOVIMIENTOS_COMPLEMENTOS!$C$4:$C$803,A845,MOVIMIENTOS_COMPLEMENTOS!$D$4:$D$803,B845,MOVIMIENTOS_COMPLEMENTOS!$E$4:$E$803,C845,MOVIMIENTOS_COMPLEMENTOS!$G$4:$G$803,E845,MOVIMIENTOS_COMPLEMENTOS!$H$4:$H$803,G845,MOVIMIENTOS_COMPLEMENTOS!$B$4:$B$803,"SALIDA"),0)</f>
        <v>0</v>
      </c>
      <c r="I845" s="102">
        <f t="array" ref="I845">IFERROR(INDEX(PRECIOS_COMPLEMENTOS!$C$4:$F$17,MATCH(B845&amp;"_"&amp;C845,PRECIOS_COMPLEMENTOS!$H$4:$H$17,0),IF(OR(G845="S",G845="20cm"),1,IF(OR(G845="M",G845="25cm"),2,IF(OR(G845="L",G845="30cm"),3,IF(OR(G845="XL",G845="35cm"),4,0))))),0)</f>
        <v>0.4</v>
      </c>
      <c r="J845" s="103">
        <f t="shared" si="1"/>
        <v>0</v>
      </c>
      <c r="K845" s="104" t="str">
        <f>IF(H845&lt;0,"ERROR",IF(H845=0,"",IF(H845&lt;CONFIG!$B$4,"CRÍTICO",IF(H845&lt;CONFIG!$B$5,"BAJO","OK"))))</f>
        <v/>
      </c>
    </row>
    <row r="846" ht="15.75" hidden="1" customHeight="1">
      <c r="A846" s="90" t="str">
        <f>IF(CLIENTES!A5="","",CLIENTES!A5)</f>
        <v>Bravos</v>
      </c>
      <c r="B846" s="90" t="s">
        <v>321</v>
      </c>
      <c r="C846" s="91" t="s">
        <v>328</v>
      </c>
      <c r="D846" s="109" t="s">
        <v>353</v>
      </c>
      <c r="E846" s="67" t="str">
        <f>COLORES!A14</f>
        <v>Denim</v>
      </c>
      <c r="F846" s="67" t="str">
        <f>COLORES!B14</f>
        <v>CLARO</v>
      </c>
      <c r="G846" s="90" t="s">
        <v>377</v>
      </c>
      <c r="H846" s="100">
        <f>IFERROR(SUMIFS(MOVIMIENTOS_COMPLEMENTOS!$I$4:$I$803,MOVIMIENTOS_COMPLEMENTOS!$C$4:$C$803,A846,MOVIMIENTOS_COMPLEMENTOS!$D$4:$D$803,B846,MOVIMIENTOS_COMPLEMENTOS!$E$4:$E$803,C846,MOVIMIENTOS_COMPLEMENTOS!$G$4:$G$803,E846,MOVIMIENTOS_COMPLEMENTOS!$H$4:$H$803,G846,MOVIMIENTOS_COMPLEMENTOS!$B$4:$B$803,"INGRESO")+SUMIFS(MOVIMIENTOS_COMPLEMENTOS!$I$4:$I$803,MOVIMIENTOS_COMPLEMENTOS!$C$4:$C$803,A846,MOVIMIENTOS_COMPLEMENTOS!$D$4:$D$803,B846,MOVIMIENTOS_COMPLEMENTOS!$E$4:$E$803,C846,MOVIMIENTOS_COMPLEMENTOS!$G$4:$G$803,E846,MOVIMIENTOS_COMPLEMENTOS!$H$4:$H$803,G846,MOVIMIENTOS_COMPLEMENTOS!$B$4:$B$803,"DE CORTE")-SUMIFS(MOVIMIENTOS_COMPLEMENTOS!$I$4:$I$803,MOVIMIENTOS_COMPLEMENTOS!$C$4:$C$803,A846,MOVIMIENTOS_COMPLEMENTOS!$D$4:$D$803,B846,MOVIMIENTOS_COMPLEMENTOS!$E$4:$E$803,C846,MOVIMIENTOS_COMPLEMENTOS!$G$4:$G$803,E846,MOVIMIENTOS_COMPLEMENTOS!$H$4:$H$803,G846,MOVIMIENTOS_COMPLEMENTOS!$B$4:$B$803,"SALIDA"),0)</f>
        <v>0</v>
      </c>
      <c r="I846" s="102">
        <f t="array" ref="I846">IFERROR(INDEX(PRECIOS_COMPLEMENTOS!$C$4:$F$17,MATCH(B846&amp;"_"&amp;C846,PRECIOS_COMPLEMENTOS!$H$4:$H$17,0),IF(OR(G846="S",G846="20cm"),1,IF(OR(G846="M",G846="25cm"),2,IF(OR(G846="L",G846="30cm"),3,IF(OR(G846="XL",G846="35cm"),4,0))))),0)</f>
        <v>0.4</v>
      </c>
      <c r="J846" s="103">
        <f t="shared" si="1"/>
        <v>0</v>
      </c>
      <c r="K846" s="104" t="str">
        <f>IF(H846&lt;0,"ERROR",IF(H846=0,"",IF(H846&lt;CONFIG!$B$4,"CRÍTICO",IF(H846&lt;CONFIG!$B$5,"BAJO","OK"))))</f>
        <v/>
      </c>
    </row>
    <row r="847" ht="15.75" hidden="1" customHeight="1">
      <c r="A847" s="90" t="str">
        <f>IF(CLIENTES!A5="","",CLIENTES!A5)</f>
        <v>Bravos</v>
      </c>
      <c r="B847" s="90" t="s">
        <v>321</v>
      </c>
      <c r="C847" s="91" t="s">
        <v>328</v>
      </c>
      <c r="D847" s="109" t="s">
        <v>353</v>
      </c>
      <c r="E847" s="67" t="str">
        <f>COLORES!A14</f>
        <v>Denim</v>
      </c>
      <c r="F847" s="67" t="str">
        <f>COLORES!B14</f>
        <v>CLARO</v>
      </c>
      <c r="G847" s="90" t="s">
        <v>379</v>
      </c>
      <c r="H847" s="100">
        <f>IFERROR(SUMIFS(MOVIMIENTOS_COMPLEMENTOS!$I$4:$I$803,MOVIMIENTOS_COMPLEMENTOS!$C$4:$C$803,A847,MOVIMIENTOS_COMPLEMENTOS!$D$4:$D$803,B847,MOVIMIENTOS_COMPLEMENTOS!$E$4:$E$803,C847,MOVIMIENTOS_COMPLEMENTOS!$G$4:$G$803,E847,MOVIMIENTOS_COMPLEMENTOS!$H$4:$H$803,G847,MOVIMIENTOS_COMPLEMENTOS!$B$4:$B$803,"INGRESO")+SUMIFS(MOVIMIENTOS_COMPLEMENTOS!$I$4:$I$803,MOVIMIENTOS_COMPLEMENTOS!$C$4:$C$803,A847,MOVIMIENTOS_COMPLEMENTOS!$D$4:$D$803,B847,MOVIMIENTOS_COMPLEMENTOS!$E$4:$E$803,C847,MOVIMIENTOS_COMPLEMENTOS!$G$4:$G$803,E847,MOVIMIENTOS_COMPLEMENTOS!$H$4:$H$803,G847,MOVIMIENTOS_COMPLEMENTOS!$B$4:$B$803,"DE CORTE")-SUMIFS(MOVIMIENTOS_COMPLEMENTOS!$I$4:$I$803,MOVIMIENTOS_COMPLEMENTOS!$C$4:$C$803,A847,MOVIMIENTOS_COMPLEMENTOS!$D$4:$D$803,B847,MOVIMIENTOS_COMPLEMENTOS!$E$4:$E$803,C847,MOVIMIENTOS_COMPLEMENTOS!$G$4:$G$803,E847,MOVIMIENTOS_COMPLEMENTOS!$H$4:$H$803,G847,MOVIMIENTOS_COMPLEMENTOS!$B$4:$B$803,"SALIDA"),0)</f>
        <v>0</v>
      </c>
      <c r="I847" s="102">
        <f t="array" ref="I847">IFERROR(INDEX(PRECIOS_COMPLEMENTOS!$C$4:$F$17,MATCH(B847&amp;"_"&amp;C847,PRECIOS_COMPLEMENTOS!$H$4:$H$17,0),IF(OR(G847="S",G847="20cm"),1,IF(OR(G847="M",G847="25cm"),2,IF(OR(G847="L",G847="30cm"),3,IF(OR(G847="XL",G847="35cm"),4,0))))),0)</f>
        <v>0.4</v>
      </c>
      <c r="J847" s="103">
        <f t="shared" si="1"/>
        <v>0</v>
      </c>
      <c r="K847" s="104" t="str">
        <f>IF(H847&lt;0,"ERROR",IF(H847=0,"",IF(H847&lt;CONFIG!$B$4,"CRÍTICO",IF(H847&lt;CONFIG!$B$5,"BAJO","OK"))))</f>
        <v/>
      </c>
    </row>
    <row r="848" ht="15.75" hidden="1" customHeight="1">
      <c r="A848" s="90" t="str">
        <f>IF(CLIENTES!A5="","",CLIENTES!A5)</f>
        <v>Bravos</v>
      </c>
      <c r="B848" s="90" t="s">
        <v>321</v>
      </c>
      <c r="C848" s="91" t="s">
        <v>328</v>
      </c>
      <c r="D848" s="109" t="s">
        <v>353</v>
      </c>
      <c r="E848" s="67" t="str">
        <f>COLORES!A15</f>
        <v>Plomo</v>
      </c>
      <c r="F848" s="67" t="str">
        <f>COLORES!B15</f>
        <v>OSCURO</v>
      </c>
      <c r="G848" s="90" t="s">
        <v>378</v>
      </c>
      <c r="H848" s="100">
        <f>IFERROR(SUMIFS(MOVIMIENTOS_COMPLEMENTOS!$I$4:$I$803,MOVIMIENTOS_COMPLEMENTOS!$C$4:$C$803,A848,MOVIMIENTOS_COMPLEMENTOS!$D$4:$D$803,B848,MOVIMIENTOS_COMPLEMENTOS!$E$4:$E$803,C848,MOVIMIENTOS_COMPLEMENTOS!$G$4:$G$803,E848,MOVIMIENTOS_COMPLEMENTOS!$H$4:$H$803,G848,MOVIMIENTOS_COMPLEMENTOS!$B$4:$B$803,"INGRESO")+SUMIFS(MOVIMIENTOS_COMPLEMENTOS!$I$4:$I$803,MOVIMIENTOS_COMPLEMENTOS!$C$4:$C$803,A848,MOVIMIENTOS_COMPLEMENTOS!$D$4:$D$803,B848,MOVIMIENTOS_COMPLEMENTOS!$E$4:$E$803,C848,MOVIMIENTOS_COMPLEMENTOS!$G$4:$G$803,E848,MOVIMIENTOS_COMPLEMENTOS!$H$4:$H$803,G848,MOVIMIENTOS_COMPLEMENTOS!$B$4:$B$803,"DE CORTE")-SUMIFS(MOVIMIENTOS_COMPLEMENTOS!$I$4:$I$803,MOVIMIENTOS_COMPLEMENTOS!$C$4:$C$803,A848,MOVIMIENTOS_COMPLEMENTOS!$D$4:$D$803,B848,MOVIMIENTOS_COMPLEMENTOS!$E$4:$E$803,C848,MOVIMIENTOS_COMPLEMENTOS!$G$4:$G$803,E848,MOVIMIENTOS_COMPLEMENTOS!$H$4:$H$803,G848,MOVIMIENTOS_COMPLEMENTOS!$B$4:$B$803,"SALIDA"),0)</f>
        <v>0</v>
      </c>
      <c r="I848" s="102">
        <f t="array" ref="I848">IFERROR(INDEX(PRECIOS_COMPLEMENTOS!$C$4:$F$17,MATCH(B848&amp;"_"&amp;C848,PRECIOS_COMPLEMENTOS!$H$4:$H$17,0),IF(OR(G848="S",G848="20cm"),1,IF(OR(G848="M",G848="25cm"),2,IF(OR(G848="L",G848="30cm"),3,IF(OR(G848="XL",G848="35cm"),4,0))))),0)</f>
        <v>0.4</v>
      </c>
      <c r="J848" s="103">
        <f t="shared" si="1"/>
        <v>0</v>
      </c>
      <c r="K848" s="104" t="str">
        <f>IF(H848&lt;0,"ERROR",IF(H848=0,"",IF(H848&lt;CONFIG!$B$4,"CRÍTICO",IF(H848&lt;CONFIG!$B$5,"BAJO","OK"))))</f>
        <v/>
      </c>
    </row>
    <row r="849" ht="15.75" hidden="1" customHeight="1">
      <c r="A849" s="90" t="str">
        <f>IF(CLIENTES!A5="","",CLIENTES!A5)</f>
        <v>Bravos</v>
      </c>
      <c r="B849" s="90" t="s">
        <v>321</v>
      </c>
      <c r="C849" s="91" t="s">
        <v>328</v>
      </c>
      <c r="D849" s="109" t="s">
        <v>353</v>
      </c>
      <c r="E849" s="67" t="str">
        <f>COLORES!A15</f>
        <v>Plomo</v>
      </c>
      <c r="F849" s="67" t="str">
        <f>COLORES!B15</f>
        <v>OSCURO</v>
      </c>
      <c r="G849" s="90" t="s">
        <v>376</v>
      </c>
      <c r="H849" s="100">
        <f>IFERROR(SUMIFS(MOVIMIENTOS_COMPLEMENTOS!$I$4:$I$803,MOVIMIENTOS_COMPLEMENTOS!$C$4:$C$803,A849,MOVIMIENTOS_COMPLEMENTOS!$D$4:$D$803,B849,MOVIMIENTOS_COMPLEMENTOS!$E$4:$E$803,C849,MOVIMIENTOS_COMPLEMENTOS!$G$4:$G$803,E849,MOVIMIENTOS_COMPLEMENTOS!$H$4:$H$803,G849,MOVIMIENTOS_COMPLEMENTOS!$B$4:$B$803,"INGRESO")+SUMIFS(MOVIMIENTOS_COMPLEMENTOS!$I$4:$I$803,MOVIMIENTOS_COMPLEMENTOS!$C$4:$C$803,A849,MOVIMIENTOS_COMPLEMENTOS!$D$4:$D$803,B849,MOVIMIENTOS_COMPLEMENTOS!$E$4:$E$803,C849,MOVIMIENTOS_COMPLEMENTOS!$G$4:$G$803,E849,MOVIMIENTOS_COMPLEMENTOS!$H$4:$H$803,G849,MOVIMIENTOS_COMPLEMENTOS!$B$4:$B$803,"DE CORTE")-SUMIFS(MOVIMIENTOS_COMPLEMENTOS!$I$4:$I$803,MOVIMIENTOS_COMPLEMENTOS!$C$4:$C$803,A849,MOVIMIENTOS_COMPLEMENTOS!$D$4:$D$803,B849,MOVIMIENTOS_COMPLEMENTOS!$E$4:$E$803,C849,MOVIMIENTOS_COMPLEMENTOS!$G$4:$G$803,E849,MOVIMIENTOS_COMPLEMENTOS!$H$4:$H$803,G849,MOVIMIENTOS_COMPLEMENTOS!$B$4:$B$803,"SALIDA"),0)</f>
        <v>0</v>
      </c>
      <c r="I849" s="102">
        <f t="array" ref="I849">IFERROR(INDEX(PRECIOS_COMPLEMENTOS!$C$4:$F$17,MATCH(B849&amp;"_"&amp;C849,PRECIOS_COMPLEMENTOS!$H$4:$H$17,0),IF(OR(G849="S",G849="20cm"),1,IF(OR(G849="M",G849="25cm"),2,IF(OR(G849="L",G849="30cm"),3,IF(OR(G849="XL",G849="35cm"),4,0))))),0)</f>
        <v>0.4</v>
      </c>
      <c r="J849" s="103">
        <f t="shared" si="1"/>
        <v>0</v>
      </c>
      <c r="K849" s="104" t="str">
        <f>IF(H849&lt;0,"ERROR",IF(H849=0,"",IF(H849&lt;CONFIG!$B$4,"CRÍTICO",IF(H849&lt;CONFIG!$B$5,"BAJO","OK"))))</f>
        <v/>
      </c>
    </row>
    <row r="850" ht="15.75" hidden="1" customHeight="1">
      <c r="A850" s="90" t="str">
        <f>IF(CLIENTES!A5="","",CLIENTES!A5)</f>
        <v>Bravos</v>
      </c>
      <c r="B850" s="90" t="s">
        <v>321</v>
      </c>
      <c r="C850" s="91" t="s">
        <v>328</v>
      </c>
      <c r="D850" s="109" t="s">
        <v>353</v>
      </c>
      <c r="E850" s="67" t="str">
        <f>COLORES!A15</f>
        <v>Plomo</v>
      </c>
      <c r="F850" s="67" t="str">
        <f>COLORES!B15</f>
        <v>OSCURO</v>
      </c>
      <c r="G850" s="90" t="s">
        <v>377</v>
      </c>
      <c r="H850" s="100">
        <f>IFERROR(SUMIFS(MOVIMIENTOS_COMPLEMENTOS!$I$4:$I$803,MOVIMIENTOS_COMPLEMENTOS!$C$4:$C$803,A850,MOVIMIENTOS_COMPLEMENTOS!$D$4:$D$803,B850,MOVIMIENTOS_COMPLEMENTOS!$E$4:$E$803,C850,MOVIMIENTOS_COMPLEMENTOS!$G$4:$G$803,E850,MOVIMIENTOS_COMPLEMENTOS!$H$4:$H$803,G850,MOVIMIENTOS_COMPLEMENTOS!$B$4:$B$803,"INGRESO")+SUMIFS(MOVIMIENTOS_COMPLEMENTOS!$I$4:$I$803,MOVIMIENTOS_COMPLEMENTOS!$C$4:$C$803,A850,MOVIMIENTOS_COMPLEMENTOS!$D$4:$D$803,B850,MOVIMIENTOS_COMPLEMENTOS!$E$4:$E$803,C850,MOVIMIENTOS_COMPLEMENTOS!$G$4:$G$803,E850,MOVIMIENTOS_COMPLEMENTOS!$H$4:$H$803,G850,MOVIMIENTOS_COMPLEMENTOS!$B$4:$B$803,"DE CORTE")-SUMIFS(MOVIMIENTOS_COMPLEMENTOS!$I$4:$I$803,MOVIMIENTOS_COMPLEMENTOS!$C$4:$C$803,A850,MOVIMIENTOS_COMPLEMENTOS!$D$4:$D$803,B850,MOVIMIENTOS_COMPLEMENTOS!$E$4:$E$803,C850,MOVIMIENTOS_COMPLEMENTOS!$G$4:$G$803,E850,MOVIMIENTOS_COMPLEMENTOS!$H$4:$H$803,G850,MOVIMIENTOS_COMPLEMENTOS!$B$4:$B$803,"SALIDA"),0)</f>
        <v>0</v>
      </c>
      <c r="I850" s="102">
        <f t="array" ref="I850">IFERROR(INDEX(PRECIOS_COMPLEMENTOS!$C$4:$F$17,MATCH(B850&amp;"_"&amp;C850,PRECIOS_COMPLEMENTOS!$H$4:$H$17,0),IF(OR(G850="S",G850="20cm"),1,IF(OR(G850="M",G850="25cm"),2,IF(OR(G850="L",G850="30cm"),3,IF(OR(G850="XL",G850="35cm"),4,0))))),0)</f>
        <v>0.4</v>
      </c>
      <c r="J850" s="103">
        <f t="shared" si="1"/>
        <v>0</v>
      </c>
      <c r="K850" s="104" t="str">
        <f>IF(H850&lt;0,"ERROR",IF(H850=0,"",IF(H850&lt;CONFIG!$B$4,"CRÍTICO",IF(H850&lt;CONFIG!$B$5,"BAJO","OK"))))</f>
        <v/>
      </c>
    </row>
    <row r="851" ht="15.75" hidden="1" customHeight="1">
      <c r="A851" s="90" t="str">
        <f>IF(CLIENTES!A5="","",CLIENTES!A5)</f>
        <v>Bravos</v>
      </c>
      <c r="B851" s="90" t="s">
        <v>321</v>
      </c>
      <c r="C851" s="91" t="s">
        <v>328</v>
      </c>
      <c r="D851" s="109" t="s">
        <v>353</v>
      </c>
      <c r="E851" s="67" t="str">
        <f>COLORES!A15</f>
        <v>Plomo</v>
      </c>
      <c r="F851" s="67" t="str">
        <f>COLORES!B15</f>
        <v>OSCURO</v>
      </c>
      <c r="G851" s="90" t="s">
        <v>379</v>
      </c>
      <c r="H851" s="100">
        <f>IFERROR(SUMIFS(MOVIMIENTOS_COMPLEMENTOS!$I$4:$I$803,MOVIMIENTOS_COMPLEMENTOS!$C$4:$C$803,A851,MOVIMIENTOS_COMPLEMENTOS!$D$4:$D$803,B851,MOVIMIENTOS_COMPLEMENTOS!$E$4:$E$803,C851,MOVIMIENTOS_COMPLEMENTOS!$G$4:$G$803,E851,MOVIMIENTOS_COMPLEMENTOS!$H$4:$H$803,G851,MOVIMIENTOS_COMPLEMENTOS!$B$4:$B$803,"INGRESO")+SUMIFS(MOVIMIENTOS_COMPLEMENTOS!$I$4:$I$803,MOVIMIENTOS_COMPLEMENTOS!$C$4:$C$803,A851,MOVIMIENTOS_COMPLEMENTOS!$D$4:$D$803,B851,MOVIMIENTOS_COMPLEMENTOS!$E$4:$E$803,C851,MOVIMIENTOS_COMPLEMENTOS!$G$4:$G$803,E851,MOVIMIENTOS_COMPLEMENTOS!$H$4:$H$803,G851,MOVIMIENTOS_COMPLEMENTOS!$B$4:$B$803,"DE CORTE")-SUMIFS(MOVIMIENTOS_COMPLEMENTOS!$I$4:$I$803,MOVIMIENTOS_COMPLEMENTOS!$C$4:$C$803,A851,MOVIMIENTOS_COMPLEMENTOS!$D$4:$D$803,B851,MOVIMIENTOS_COMPLEMENTOS!$E$4:$E$803,C851,MOVIMIENTOS_COMPLEMENTOS!$G$4:$G$803,E851,MOVIMIENTOS_COMPLEMENTOS!$H$4:$H$803,G851,MOVIMIENTOS_COMPLEMENTOS!$B$4:$B$803,"SALIDA"),0)</f>
        <v>0</v>
      </c>
      <c r="I851" s="102">
        <f t="array" ref="I851">IFERROR(INDEX(PRECIOS_COMPLEMENTOS!$C$4:$F$17,MATCH(B851&amp;"_"&amp;C851,PRECIOS_COMPLEMENTOS!$H$4:$H$17,0),IF(OR(G851="S",G851="20cm"),1,IF(OR(G851="M",G851="25cm"),2,IF(OR(G851="L",G851="30cm"),3,IF(OR(G851="XL",G851="35cm"),4,0))))),0)</f>
        <v>0.4</v>
      </c>
      <c r="J851" s="103">
        <f t="shared" si="1"/>
        <v>0</v>
      </c>
      <c r="K851" s="104" t="str">
        <f>IF(H851&lt;0,"ERROR",IF(H851=0,"",IF(H851&lt;CONFIG!$B$4,"CRÍTICO",IF(H851&lt;CONFIG!$B$5,"BAJO","OK"))))</f>
        <v/>
      </c>
    </row>
    <row r="852" ht="15.75" hidden="1" customHeight="1">
      <c r="A852" s="90" t="str">
        <f>IF(CLIENTES!A5="","",CLIENTES!A5)</f>
        <v>Bravos</v>
      </c>
      <c r="B852" s="90" t="s">
        <v>321</v>
      </c>
      <c r="C852" s="91" t="s">
        <v>328</v>
      </c>
      <c r="D852" s="109" t="s">
        <v>353</v>
      </c>
      <c r="E852" s="67" t="str">
        <f>COLORES!A16</f>
        <v>Topo</v>
      </c>
      <c r="F852" s="67" t="str">
        <f>COLORES!B16</f>
        <v>CLARO</v>
      </c>
      <c r="G852" s="90" t="s">
        <v>378</v>
      </c>
      <c r="H852" s="100">
        <f>IFERROR(SUMIFS(MOVIMIENTOS_COMPLEMENTOS!$I$4:$I$803,MOVIMIENTOS_COMPLEMENTOS!$C$4:$C$803,A852,MOVIMIENTOS_COMPLEMENTOS!$D$4:$D$803,B852,MOVIMIENTOS_COMPLEMENTOS!$E$4:$E$803,C852,MOVIMIENTOS_COMPLEMENTOS!$G$4:$G$803,E852,MOVIMIENTOS_COMPLEMENTOS!$H$4:$H$803,G852,MOVIMIENTOS_COMPLEMENTOS!$B$4:$B$803,"INGRESO")+SUMIFS(MOVIMIENTOS_COMPLEMENTOS!$I$4:$I$803,MOVIMIENTOS_COMPLEMENTOS!$C$4:$C$803,A852,MOVIMIENTOS_COMPLEMENTOS!$D$4:$D$803,B852,MOVIMIENTOS_COMPLEMENTOS!$E$4:$E$803,C852,MOVIMIENTOS_COMPLEMENTOS!$G$4:$G$803,E852,MOVIMIENTOS_COMPLEMENTOS!$H$4:$H$803,G852,MOVIMIENTOS_COMPLEMENTOS!$B$4:$B$803,"DE CORTE")-SUMIFS(MOVIMIENTOS_COMPLEMENTOS!$I$4:$I$803,MOVIMIENTOS_COMPLEMENTOS!$C$4:$C$803,A852,MOVIMIENTOS_COMPLEMENTOS!$D$4:$D$803,B852,MOVIMIENTOS_COMPLEMENTOS!$E$4:$E$803,C852,MOVIMIENTOS_COMPLEMENTOS!$G$4:$G$803,E852,MOVIMIENTOS_COMPLEMENTOS!$H$4:$H$803,G852,MOVIMIENTOS_COMPLEMENTOS!$B$4:$B$803,"SALIDA"),0)</f>
        <v>0</v>
      </c>
      <c r="I852" s="102">
        <f t="array" ref="I852">IFERROR(INDEX(PRECIOS_COMPLEMENTOS!$C$4:$F$17,MATCH(B852&amp;"_"&amp;C852,PRECIOS_COMPLEMENTOS!$H$4:$H$17,0),IF(OR(G852="S",G852="20cm"),1,IF(OR(G852="M",G852="25cm"),2,IF(OR(G852="L",G852="30cm"),3,IF(OR(G852="XL",G852="35cm"),4,0))))),0)</f>
        <v>0.4</v>
      </c>
      <c r="J852" s="103">
        <f t="shared" si="1"/>
        <v>0</v>
      </c>
      <c r="K852" s="104" t="str">
        <f>IF(H852&lt;0,"ERROR",IF(H852=0,"",IF(H852&lt;CONFIG!$B$4,"CRÍTICO",IF(H852&lt;CONFIG!$B$5,"BAJO","OK"))))</f>
        <v/>
      </c>
    </row>
    <row r="853" ht="15.75" hidden="1" customHeight="1">
      <c r="A853" s="90" t="str">
        <f>IF(CLIENTES!A5="","",CLIENTES!A5)</f>
        <v>Bravos</v>
      </c>
      <c r="B853" s="90" t="s">
        <v>321</v>
      </c>
      <c r="C853" s="91" t="s">
        <v>328</v>
      </c>
      <c r="D853" s="109" t="s">
        <v>353</v>
      </c>
      <c r="E853" s="67" t="str">
        <f>COLORES!A16</f>
        <v>Topo</v>
      </c>
      <c r="F853" s="67" t="str">
        <f>COLORES!B16</f>
        <v>CLARO</v>
      </c>
      <c r="G853" s="90" t="s">
        <v>376</v>
      </c>
      <c r="H853" s="100">
        <f>IFERROR(SUMIFS(MOVIMIENTOS_COMPLEMENTOS!$I$4:$I$803,MOVIMIENTOS_COMPLEMENTOS!$C$4:$C$803,A853,MOVIMIENTOS_COMPLEMENTOS!$D$4:$D$803,B853,MOVIMIENTOS_COMPLEMENTOS!$E$4:$E$803,C853,MOVIMIENTOS_COMPLEMENTOS!$G$4:$G$803,E853,MOVIMIENTOS_COMPLEMENTOS!$H$4:$H$803,G853,MOVIMIENTOS_COMPLEMENTOS!$B$4:$B$803,"INGRESO")+SUMIFS(MOVIMIENTOS_COMPLEMENTOS!$I$4:$I$803,MOVIMIENTOS_COMPLEMENTOS!$C$4:$C$803,A853,MOVIMIENTOS_COMPLEMENTOS!$D$4:$D$803,B853,MOVIMIENTOS_COMPLEMENTOS!$E$4:$E$803,C853,MOVIMIENTOS_COMPLEMENTOS!$G$4:$G$803,E853,MOVIMIENTOS_COMPLEMENTOS!$H$4:$H$803,G853,MOVIMIENTOS_COMPLEMENTOS!$B$4:$B$803,"DE CORTE")-SUMIFS(MOVIMIENTOS_COMPLEMENTOS!$I$4:$I$803,MOVIMIENTOS_COMPLEMENTOS!$C$4:$C$803,A853,MOVIMIENTOS_COMPLEMENTOS!$D$4:$D$803,B853,MOVIMIENTOS_COMPLEMENTOS!$E$4:$E$803,C853,MOVIMIENTOS_COMPLEMENTOS!$G$4:$G$803,E853,MOVIMIENTOS_COMPLEMENTOS!$H$4:$H$803,G853,MOVIMIENTOS_COMPLEMENTOS!$B$4:$B$803,"SALIDA"),0)</f>
        <v>0</v>
      </c>
      <c r="I853" s="102">
        <f t="array" ref="I853">IFERROR(INDEX(PRECIOS_COMPLEMENTOS!$C$4:$F$17,MATCH(B853&amp;"_"&amp;C853,PRECIOS_COMPLEMENTOS!$H$4:$H$17,0),IF(OR(G853="S",G853="20cm"),1,IF(OR(G853="M",G853="25cm"),2,IF(OR(G853="L",G853="30cm"),3,IF(OR(G853="XL",G853="35cm"),4,0))))),0)</f>
        <v>0.4</v>
      </c>
      <c r="J853" s="103">
        <f t="shared" si="1"/>
        <v>0</v>
      </c>
      <c r="K853" s="104" t="str">
        <f>IF(H853&lt;0,"ERROR",IF(H853=0,"",IF(H853&lt;CONFIG!$B$4,"CRÍTICO",IF(H853&lt;CONFIG!$B$5,"BAJO","OK"))))</f>
        <v/>
      </c>
    </row>
    <row r="854" ht="15.75" hidden="1" customHeight="1">
      <c r="A854" s="90" t="str">
        <f>IF(CLIENTES!A5="","",CLIENTES!A5)</f>
        <v>Bravos</v>
      </c>
      <c r="B854" s="90" t="s">
        <v>321</v>
      </c>
      <c r="C854" s="91" t="s">
        <v>328</v>
      </c>
      <c r="D854" s="109" t="s">
        <v>353</v>
      </c>
      <c r="E854" s="67" t="str">
        <f>COLORES!A16</f>
        <v>Topo</v>
      </c>
      <c r="F854" s="67" t="str">
        <f>COLORES!B16</f>
        <v>CLARO</v>
      </c>
      <c r="G854" s="90" t="s">
        <v>377</v>
      </c>
      <c r="H854" s="100">
        <f>IFERROR(SUMIFS(MOVIMIENTOS_COMPLEMENTOS!$I$4:$I$803,MOVIMIENTOS_COMPLEMENTOS!$C$4:$C$803,A854,MOVIMIENTOS_COMPLEMENTOS!$D$4:$D$803,B854,MOVIMIENTOS_COMPLEMENTOS!$E$4:$E$803,C854,MOVIMIENTOS_COMPLEMENTOS!$G$4:$G$803,E854,MOVIMIENTOS_COMPLEMENTOS!$H$4:$H$803,G854,MOVIMIENTOS_COMPLEMENTOS!$B$4:$B$803,"INGRESO")+SUMIFS(MOVIMIENTOS_COMPLEMENTOS!$I$4:$I$803,MOVIMIENTOS_COMPLEMENTOS!$C$4:$C$803,A854,MOVIMIENTOS_COMPLEMENTOS!$D$4:$D$803,B854,MOVIMIENTOS_COMPLEMENTOS!$E$4:$E$803,C854,MOVIMIENTOS_COMPLEMENTOS!$G$4:$G$803,E854,MOVIMIENTOS_COMPLEMENTOS!$H$4:$H$803,G854,MOVIMIENTOS_COMPLEMENTOS!$B$4:$B$803,"DE CORTE")-SUMIFS(MOVIMIENTOS_COMPLEMENTOS!$I$4:$I$803,MOVIMIENTOS_COMPLEMENTOS!$C$4:$C$803,A854,MOVIMIENTOS_COMPLEMENTOS!$D$4:$D$803,B854,MOVIMIENTOS_COMPLEMENTOS!$E$4:$E$803,C854,MOVIMIENTOS_COMPLEMENTOS!$G$4:$G$803,E854,MOVIMIENTOS_COMPLEMENTOS!$H$4:$H$803,G854,MOVIMIENTOS_COMPLEMENTOS!$B$4:$B$803,"SALIDA"),0)</f>
        <v>0</v>
      </c>
      <c r="I854" s="102">
        <f t="array" ref="I854">IFERROR(INDEX(PRECIOS_COMPLEMENTOS!$C$4:$F$17,MATCH(B854&amp;"_"&amp;C854,PRECIOS_COMPLEMENTOS!$H$4:$H$17,0),IF(OR(G854="S",G854="20cm"),1,IF(OR(G854="M",G854="25cm"),2,IF(OR(G854="L",G854="30cm"),3,IF(OR(G854="XL",G854="35cm"),4,0))))),0)</f>
        <v>0.4</v>
      </c>
      <c r="J854" s="103">
        <f t="shared" si="1"/>
        <v>0</v>
      </c>
      <c r="K854" s="104" t="str">
        <f>IF(H854&lt;0,"ERROR",IF(H854=0,"",IF(H854&lt;CONFIG!$B$4,"CRÍTICO",IF(H854&lt;CONFIG!$B$5,"BAJO","OK"))))</f>
        <v/>
      </c>
    </row>
    <row r="855" ht="15.75" hidden="1" customHeight="1">
      <c r="A855" s="90" t="str">
        <f>IF(CLIENTES!A5="","",CLIENTES!A5)</f>
        <v>Bravos</v>
      </c>
      <c r="B855" s="90" t="s">
        <v>321</v>
      </c>
      <c r="C855" s="91" t="s">
        <v>328</v>
      </c>
      <c r="D855" s="109" t="s">
        <v>353</v>
      </c>
      <c r="E855" s="67" t="str">
        <f>COLORES!A16</f>
        <v>Topo</v>
      </c>
      <c r="F855" s="67" t="str">
        <f>COLORES!B16</f>
        <v>CLARO</v>
      </c>
      <c r="G855" s="90" t="s">
        <v>379</v>
      </c>
      <c r="H855" s="100">
        <f>IFERROR(SUMIFS(MOVIMIENTOS_COMPLEMENTOS!$I$4:$I$803,MOVIMIENTOS_COMPLEMENTOS!$C$4:$C$803,A855,MOVIMIENTOS_COMPLEMENTOS!$D$4:$D$803,B855,MOVIMIENTOS_COMPLEMENTOS!$E$4:$E$803,C855,MOVIMIENTOS_COMPLEMENTOS!$G$4:$G$803,E855,MOVIMIENTOS_COMPLEMENTOS!$H$4:$H$803,G855,MOVIMIENTOS_COMPLEMENTOS!$B$4:$B$803,"INGRESO")+SUMIFS(MOVIMIENTOS_COMPLEMENTOS!$I$4:$I$803,MOVIMIENTOS_COMPLEMENTOS!$C$4:$C$803,A855,MOVIMIENTOS_COMPLEMENTOS!$D$4:$D$803,B855,MOVIMIENTOS_COMPLEMENTOS!$E$4:$E$803,C855,MOVIMIENTOS_COMPLEMENTOS!$G$4:$G$803,E855,MOVIMIENTOS_COMPLEMENTOS!$H$4:$H$803,G855,MOVIMIENTOS_COMPLEMENTOS!$B$4:$B$803,"DE CORTE")-SUMIFS(MOVIMIENTOS_COMPLEMENTOS!$I$4:$I$803,MOVIMIENTOS_COMPLEMENTOS!$C$4:$C$803,A855,MOVIMIENTOS_COMPLEMENTOS!$D$4:$D$803,B855,MOVIMIENTOS_COMPLEMENTOS!$E$4:$E$803,C855,MOVIMIENTOS_COMPLEMENTOS!$G$4:$G$803,E855,MOVIMIENTOS_COMPLEMENTOS!$H$4:$H$803,G855,MOVIMIENTOS_COMPLEMENTOS!$B$4:$B$803,"SALIDA"),0)</f>
        <v>0</v>
      </c>
      <c r="I855" s="102">
        <f t="array" ref="I855">IFERROR(INDEX(PRECIOS_COMPLEMENTOS!$C$4:$F$17,MATCH(B855&amp;"_"&amp;C855,PRECIOS_COMPLEMENTOS!$H$4:$H$17,0),IF(OR(G855="S",G855="20cm"),1,IF(OR(G855="M",G855="25cm"),2,IF(OR(G855="L",G855="30cm"),3,IF(OR(G855="XL",G855="35cm"),4,0))))),0)</f>
        <v>0.4</v>
      </c>
      <c r="J855" s="103">
        <f t="shared" si="1"/>
        <v>0</v>
      </c>
      <c r="K855" s="104" t="str">
        <f>IF(H855&lt;0,"ERROR",IF(H855=0,"",IF(H855&lt;CONFIG!$B$4,"CRÍTICO",IF(H855&lt;CONFIG!$B$5,"BAJO","OK"))))</f>
        <v/>
      </c>
    </row>
    <row r="856" ht="15.75" hidden="1" customHeight="1">
      <c r="A856" s="90" t="str">
        <f>IF(CLIENTES!A5="","",CLIENTES!A5)</f>
        <v>Bravos</v>
      </c>
      <c r="B856" s="90" t="s">
        <v>321</v>
      </c>
      <c r="C856" s="91" t="s">
        <v>328</v>
      </c>
      <c r="D856" s="109" t="s">
        <v>353</v>
      </c>
      <c r="E856" s="67" t="str">
        <f>COLORES!A17</f>
        <v>Vino</v>
      </c>
      <c r="F856" s="67" t="str">
        <f>COLORES!B17</f>
        <v>OSCURO</v>
      </c>
      <c r="G856" s="90" t="s">
        <v>378</v>
      </c>
      <c r="H856" s="100">
        <f>IFERROR(SUMIFS(MOVIMIENTOS_COMPLEMENTOS!$I$4:$I$803,MOVIMIENTOS_COMPLEMENTOS!$C$4:$C$803,A856,MOVIMIENTOS_COMPLEMENTOS!$D$4:$D$803,B856,MOVIMIENTOS_COMPLEMENTOS!$E$4:$E$803,C856,MOVIMIENTOS_COMPLEMENTOS!$G$4:$G$803,E856,MOVIMIENTOS_COMPLEMENTOS!$H$4:$H$803,G856,MOVIMIENTOS_COMPLEMENTOS!$B$4:$B$803,"INGRESO")+SUMIFS(MOVIMIENTOS_COMPLEMENTOS!$I$4:$I$803,MOVIMIENTOS_COMPLEMENTOS!$C$4:$C$803,A856,MOVIMIENTOS_COMPLEMENTOS!$D$4:$D$803,B856,MOVIMIENTOS_COMPLEMENTOS!$E$4:$E$803,C856,MOVIMIENTOS_COMPLEMENTOS!$G$4:$G$803,E856,MOVIMIENTOS_COMPLEMENTOS!$H$4:$H$803,G856,MOVIMIENTOS_COMPLEMENTOS!$B$4:$B$803,"DE CORTE")-SUMIFS(MOVIMIENTOS_COMPLEMENTOS!$I$4:$I$803,MOVIMIENTOS_COMPLEMENTOS!$C$4:$C$803,A856,MOVIMIENTOS_COMPLEMENTOS!$D$4:$D$803,B856,MOVIMIENTOS_COMPLEMENTOS!$E$4:$E$803,C856,MOVIMIENTOS_COMPLEMENTOS!$G$4:$G$803,E856,MOVIMIENTOS_COMPLEMENTOS!$H$4:$H$803,G856,MOVIMIENTOS_COMPLEMENTOS!$B$4:$B$803,"SALIDA"),0)</f>
        <v>0</v>
      </c>
      <c r="I856" s="102">
        <f t="array" ref="I856">IFERROR(INDEX(PRECIOS_COMPLEMENTOS!$C$4:$F$17,MATCH(B856&amp;"_"&amp;C856,PRECIOS_COMPLEMENTOS!$H$4:$H$17,0),IF(OR(G856="S",G856="20cm"),1,IF(OR(G856="M",G856="25cm"),2,IF(OR(G856="L",G856="30cm"),3,IF(OR(G856="XL",G856="35cm"),4,0))))),0)</f>
        <v>0.4</v>
      </c>
      <c r="J856" s="103">
        <f t="shared" si="1"/>
        <v>0</v>
      </c>
      <c r="K856" s="104" t="str">
        <f>IF(H856&lt;0,"ERROR",IF(H856=0,"",IF(H856&lt;CONFIG!$B$4,"CRÍTICO",IF(H856&lt;CONFIG!$B$5,"BAJO","OK"))))</f>
        <v/>
      </c>
    </row>
    <row r="857" ht="15.75" hidden="1" customHeight="1">
      <c r="A857" s="90" t="str">
        <f>IF(CLIENTES!A5="","",CLIENTES!A5)</f>
        <v>Bravos</v>
      </c>
      <c r="B857" s="90" t="s">
        <v>321</v>
      </c>
      <c r="C857" s="91" t="s">
        <v>328</v>
      </c>
      <c r="D857" s="109" t="s">
        <v>353</v>
      </c>
      <c r="E857" s="67" t="str">
        <f>COLORES!A17</f>
        <v>Vino</v>
      </c>
      <c r="F857" s="67" t="str">
        <f>COLORES!B17</f>
        <v>OSCURO</v>
      </c>
      <c r="G857" s="90" t="s">
        <v>376</v>
      </c>
      <c r="H857" s="100">
        <f>IFERROR(SUMIFS(MOVIMIENTOS_COMPLEMENTOS!$I$4:$I$803,MOVIMIENTOS_COMPLEMENTOS!$C$4:$C$803,A857,MOVIMIENTOS_COMPLEMENTOS!$D$4:$D$803,B857,MOVIMIENTOS_COMPLEMENTOS!$E$4:$E$803,C857,MOVIMIENTOS_COMPLEMENTOS!$G$4:$G$803,E857,MOVIMIENTOS_COMPLEMENTOS!$H$4:$H$803,G857,MOVIMIENTOS_COMPLEMENTOS!$B$4:$B$803,"INGRESO")+SUMIFS(MOVIMIENTOS_COMPLEMENTOS!$I$4:$I$803,MOVIMIENTOS_COMPLEMENTOS!$C$4:$C$803,A857,MOVIMIENTOS_COMPLEMENTOS!$D$4:$D$803,B857,MOVIMIENTOS_COMPLEMENTOS!$E$4:$E$803,C857,MOVIMIENTOS_COMPLEMENTOS!$G$4:$G$803,E857,MOVIMIENTOS_COMPLEMENTOS!$H$4:$H$803,G857,MOVIMIENTOS_COMPLEMENTOS!$B$4:$B$803,"DE CORTE")-SUMIFS(MOVIMIENTOS_COMPLEMENTOS!$I$4:$I$803,MOVIMIENTOS_COMPLEMENTOS!$C$4:$C$803,A857,MOVIMIENTOS_COMPLEMENTOS!$D$4:$D$803,B857,MOVIMIENTOS_COMPLEMENTOS!$E$4:$E$803,C857,MOVIMIENTOS_COMPLEMENTOS!$G$4:$G$803,E857,MOVIMIENTOS_COMPLEMENTOS!$H$4:$H$803,G857,MOVIMIENTOS_COMPLEMENTOS!$B$4:$B$803,"SALIDA"),0)</f>
        <v>0</v>
      </c>
      <c r="I857" s="102">
        <f t="array" ref="I857">IFERROR(INDEX(PRECIOS_COMPLEMENTOS!$C$4:$F$17,MATCH(B857&amp;"_"&amp;C857,PRECIOS_COMPLEMENTOS!$H$4:$H$17,0),IF(OR(G857="S",G857="20cm"),1,IF(OR(G857="M",G857="25cm"),2,IF(OR(G857="L",G857="30cm"),3,IF(OR(G857="XL",G857="35cm"),4,0))))),0)</f>
        <v>0.4</v>
      </c>
      <c r="J857" s="103">
        <f t="shared" si="1"/>
        <v>0</v>
      </c>
      <c r="K857" s="104" t="str">
        <f>IF(H857&lt;0,"ERROR",IF(H857=0,"",IF(H857&lt;CONFIG!$B$4,"CRÍTICO",IF(H857&lt;CONFIG!$B$5,"BAJO","OK"))))</f>
        <v/>
      </c>
    </row>
    <row r="858" ht="15.75" hidden="1" customHeight="1">
      <c r="A858" s="90" t="str">
        <f>IF(CLIENTES!A5="","",CLIENTES!A5)</f>
        <v>Bravos</v>
      </c>
      <c r="B858" s="90" t="s">
        <v>321</v>
      </c>
      <c r="C858" s="91" t="s">
        <v>328</v>
      </c>
      <c r="D858" s="109" t="s">
        <v>353</v>
      </c>
      <c r="E858" s="67" t="str">
        <f>COLORES!A17</f>
        <v>Vino</v>
      </c>
      <c r="F858" s="67" t="str">
        <f>COLORES!B17</f>
        <v>OSCURO</v>
      </c>
      <c r="G858" s="90" t="s">
        <v>377</v>
      </c>
      <c r="H858" s="100">
        <f>IFERROR(SUMIFS(MOVIMIENTOS_COMPLEMENTOS!$I$4:$I$803,MOVIMIENTOS_COMPLEMENTOS!$C$4:$C$803,A858,MOVIMIENTOS_COMPLEMENTOS!$D$4:$D$803,B858,MOVIMIENTOS_COMPLEMENTOS!$E$4:$E$803,C858,MOVIMIENTOS_COMPLEMENTOS!$G$4:$G$803,E858,MOVIMIENTOS_COMPLEMENTOS!$H$4:$H$803,G858,MOVIMIENTOS_COMPLEMENTOS!$B$4:$B$803,"INGRESO")+SUMIFS(MOVIMIENTOS_COMPLEMENTOS!$I$4:$I$803,MOVIMIENTOS_COMPLEMENTOS!$C$4:$C$803,A858,MOVIMIENTOS_COMPLEMENTOS!$D$4:$D$803,B858,MOVIMIENTOS_COMPLEMENTOS!$E$4:$E$803,C858,MOVIMIENTOS_COMPLEMENTOS!$G$4:$G$803,E858,MOVIMIENTOS_COMPLEMENTOS!$H$4:$H$803,G858,MOVIMIENTOS_COMPLEMENTOS!$B$4:$B$803,"DE CORTE")-SUMIFS(MOVIMIENTOS_COMPLEMENTOS!$I$4:$I$803,MOVIMIENTOS_COMPLEMENTOS!$C$4:$C$803,A858,MOVIMIENTOS_COMPLEMENTOS!$D$4:$D$803,B858,MOVIMIENTOS_COMPLEMENTOS!$E$4:$E$803,C858,MOVIMIENTOS_COMPLEMENTOS!$G$4:$G$803,E858,MOVIMIENTOS_COMPLEMENTOS!$H$4:$H$803,G858,MOVIMIENTOS_COMPLEMENTOS!$B$4:$B$803,"SALIDA"),0)</f>
        <v>0</v>
      </c>
      <c r="I858" s="102">
        <f t="array" ref="I858">IFERROR(INDEX(PRECIOS_COMPLEMENTOS!$C$4:$F$17,MATCH(B858&amp;"_"&amp;C858,PRECIOS_COMPLEMENTOS!$H$4:$H$17,0),IF(OR(G858="S",G858="20cm"),1,IF(OR(G858="M",G858="25cm"),2,IF(OR(G858="L",G858="30cm"),3,IF(OR(G858="XL",G858="35cm"),4,0))))),0)</f>
        <v>0.4</v>
      </c>
      <c r="J858" s="103">
        <f t="shared" si="1"/>
        <v>0</v>
      </c>
      <c r="K858" s="104" t="str">
        <f>IF(H858&lt;0,"ERROR",IF(H858=0,"",IF(H858&lt;CONFIG!$B$4,"CRÍTICO",IF(H858&lt;CONFIG!$B$5,"BAJO","OK"))))</f>
        <v/>
      </c>
    </row>
    <row r="859" ht="15.75" hidden="1" customHeight="1">
      <c r="A859" s="90" t="str">
        <f>IF(CLIENTES!A5="","",CLIENTES!A5)</f>
        <v>Bravos</v>
      </c>
      <c r="B859" s="90" t="s">
        <v>321</v>
      </c>
      <c r="C859" s="91" t="s">
        <v>328</v>
      </c>
      <c r="D859" s="109" t="s">
        <v>353</v>
      </c>
      <c r="E859" s="67" t="str">
        <f>COLORES!A17</f>
        <v>Vino</v>
      </c>
      <c r="F859" s="67" t="str">
        <f>COLORES!B17</f>
        <v>OSCURO</v>
      </c>
      <c r="G859" s="90" t="s">
        <v>379</v>
      </c>
      <c r="H859" s="100">
        <f>IFERROR(SUMIFS(MOVIMIENTOS_COMPLEMENTOS!$I$4:$I$803,MOVIMIENTOS_COMPLEMENTOS!$C$4:$C$803,A859,MOVIMIENTOS_COMPLEMENTOS!$D$4:$D$803,B859,MOVIMIENTOS_COMPLEMENTOS!$E$4:$E$803,C859,MOVIMIENTOS_COMPLEMENTOS!$G$4:$G$803,E859,MOVIMIENTOS_COMPLEMENTOS!$H$4:$H$803,G859,MOVIMIENTOS_COMPLEMENTOS!$B$4:$B$803,"INGRESO")+SUMIFS(MOVIMIENTOS_COMPLEMENTOS!$I$4:$I$803,MOVIMIENTOS_COMPLEMENTOS!$C$4:$C$803,A859,MOVIMIENTOS_COMPLEMENTOS!$D$4:$D$803,B859,MOVIMIENTOS_COMPLEMENTOS!$E$4:$E$803,C859,MOVIMIENTOS_COMPLEMENTOS!$G$4:$G$803,E859,MOVIMIENTOS_COMPLEMENTOS!$H$4:$H$803,G859,MOVIMIENTOS_COMPLEMENTOS!$B$4:$B$803,"DE CORTE")-SUMIFS(MOVIMIENTOS_COMPLEMENTOS!$I$4:$I$803,MOVIMIENTOS_COMPLEMENTOS!$C$4:$C$803,A859,MOVIMIENTOS_COMPLEMENTOS!$D$4:$D$803,B859,MOVIMIENTOS_COMPLEMENTOS!$E$4:$E$803,C859,MOVIMIENTOS_COMPLEMENTOS!$G$4:$G$803,E859,MOVIMIENTOS_COMPLEMENTOS!$H$4:$H$803,G859,MOVIMIENTOS_COMPLEMENTOS!$B$4:$B$803,"SALIDA"),0)</f>
        <v>0</v>
      </c>
      <c r="I859" s="102">
        <f t="array" ref="I859">IFERROR(INDEX(PRECIOS_COMPLEMENTOS!$C$4:$F$17,MATCH(B859&amp;"_"&amp;C859,PRECIOS_COMPLEMENTOS!$H$4:$H$17,0),IF(OR(G859="S",G859="20cm"),1,IF(OR(G859="M",G859="25cm"),2,IF(OR(G859="L",G859="30cm"),3,IF(OR(G859="XL",G859="35cm"),4,0))))),0)</f>
        <v>0.4</v>
      </c>
      <c r="J859" s="103">
        <f t="shared" si="1"/>
        <v>0</v>
      </c>
      <c r="K859" s="104" t="str">
        <f>IF(H859&lt;0,"ERROR",IF(H859=0,"",IF(H859&lt;CONFIG!$B$4,"CRÍTICO",IF(H859&lt;CONFIG!$B$5,"BAJO","OK"))))</f>
        <v/>
      </c>
    </row>
    <row r="860" ht="15.75" hidden="1" customHeight="1">
      <c r="A860" s="90" t="str">
        <f>IF(CLIENTES!A5="","",CLIENTES!A5)</f>
        <v>Bravos</v>
      </c>
      <c r="B860" s="90" t="s">
        <v>321</v>
      </c>
      <c r="C860" s="91" t="s">
        <v>328</v>
      </c>
      <c r="D860" s="109" t="s">
        <v>353</v>
      </c>
      <c r="E860" s="67" t="str">
        <f>COLORES!A18</f>
        <v>P. Rosa</v>
      </c>
      <c r="F860" s="67" t="str">
        <f>COLORES!B18</f>
        <v>CLARO</v>
      </c>
      <c r="G860" s="90" t="s">
        <v>378</v>
      </c>
      <c r="H860" s="100">
        <f>IFERROR(SUMIFS(MOVIMIENTOS_COMPLEMENTOS!$I$4:$I$803,MOVIMIENTOS_COMPLEMENTOS!$C$4:$C$803,A860,MOVIMIENTOS_COMPLEMENTOS!$D$4:$D$803,B860,MOVIMIENTOS_COMPLEMENTOS!$E$4:$E$803,C860,MOVIMIENTOS_COMPLEMENTOS!$G$4:$G$803,E860,MOVIMIENTOS_COMPLEMENTOS!$H$4:$H$803,G860,MOVIMIENTOS_COMPLEMENTOS!$B$4:$B$803,"INGRESO")+SUMIFS(MOVIMIENTOS_COMPLEMENTOS!$I$4:$I$803,MOVIMIENTOS_COMPLEMENTOS!$C$4:$C$803,A860,MOVIMIENTOS_COMPLEMENTOS!$D$4:$D$803,B860,MOVIMIENTOS_COMPLEMENTOS!$E$4:$E$803,C860,MOVIMIENTOS_COMPLEMENTOS!$G$4:$G$803,E860,MOVIMIENTOS_COMPLEMENTOS!$H$4:$H$803,G860,MOVIMIENTOS_COMPLEMENTOS!$B$4:$B$803,"DE CORTE")-SUMIFS(MOVIMIENTOS_COMPLEMENTOS!$I$4:$I$803,MOVIMIENTOS_COMPLEMENTOS!$C$4:$C$803,A860,MOVIMIENTOS_COMPLEMENTOS!$D$4:$D$803,B860,MOVIMIENTOS_COMPLEMENTOS!$E$4:$E$803,C860,MOVIMIENTOS_COMPLEMENTOS!$G$4:$G$803,E860,MOVIMIENTOS_COMPLEMENTOS!$H$4:$H$803,G860,MOVIMIENTOS_COMPLEMENTOS!$B$4:$B$803,"SALIDA"),0)</f>
        <v>0</v>
      </c>
      <c r="I860" s="102">
        <f t="array" ref="I860">IFERROR(INDEX(PRECIOS_COMPLEMENTOS!$C$4:$F$17,MATCH(B860&amp;"_"&amp;C860,PRECIOS_COMPLEMENTOS!$H$4:$H$17,0),IF(OR(G860="S",G860="20cm"),1,IF(OR(G860="M",G860="25cm"),2,IF(OR(G860="L",G860="30cm"),3,IF(OR(G860="XL",G860="35cm"),4,0))))),0)</f>
        <v>0.4</v>
      </c>
      <c r="J860" s="103">
        <f t="shared" si="1"/>
        <v>0</v>
      </c>
      <c r="K860" s="104" t="str">
        <f>IF(H860&lt;0,"ERROR",IF(H860=0,"",IF(H860&lt;CONFIG!$B$4,"CRÍTICO",IF(H860&lt;CONFIG!$B$5,"BAJO","OK"))))</f>
        <v/>
      </c>
    </row>
    <row r="861" ht="15.75" hidden="1" customHeight="1">
      <c r="A861" s="90" t="str">
        <f>IF(CLIENTES!A5="","",CLIENTES!A5)</f>
        <v>Bravos</v>
      </c>
      <c r="B861" s="90" t="s">
        <v>321</v>
      </c>
      <c r="C861" s="91" t="s">
        <v>328</v>
      </c>
      <c r="D861" s="109" t="s">
        <v>353</v>
      </c>
      <c r="E861" s="67" t="str">
        <f>COLORES!A18</f>
        <v>P. Rosa</v>
      </c>
      <c r="F861" s="67" t="str">
        <f>COLORES!B18</f>
        <v>CLARO</v>
      </c>
      <c r="G861" s="90" t="s">
        <v>376</v>
      </c>
      <c r="H861" s="100">
        <f>IFERROR(SUMIFS(MOVIMIENTOS_COMPLEMENTOS!$I$4:$I$803,MOVIMIENTOS_COMPLEMENTOS!$C$4:$C$803,A861,MOVIMIENTOS_COMPLEMENTOS!$D$4:$D$803,B861,MOVIMIENTOS_COMPLEMENTOS!$E$4:$E$803,C861,MOVIMIENTOS_COMPLEMENTOS!$G$4:$G$803,E861,MOVIMIENTOS_COMPLEMENTOS!$H$4:$H$803,G861,MOVIMIENTOS_COMPLEMENTOS!$B$4:$B$803,"INGRESO")+SUMIFS(MOVIMIENTOS_COMPLEMENTOS!$I$4:$I$803,MOVIMIENTOS_COMPLEMENTOS!$C$4:$C$803,A861,MOVIMIENTOS_COMPLEMENTOS!$D$4:$D$803,B861,MOVIMIENTOS_COMPLEMENTOS!$E$4:$E$803,C861,MOVIMIENTOS_COMPLEMENTOS!$G$4:$G$803,E861,MOVIMIENTOS_COMPLEMENTOS!$H$4:$H$803,G861,MOVIMIENTOS_COMPLEMENTOS!$B$4:$B$803,"DE CORTE")-SUMIFS(MOVIMIENTOS_COMPLEMENTOS!$I$4:$I$803,MOVIMIENTOS_COMPLEMENTOS!$C$4:$C$803,A861,MOVIMIENTOS_COMPLEMENTOS!$D$4:$D$803,B861,MOVIMIENTOS_COMPLEMENTOS!$E$4:$E$803,C861,MOVIMIENTOS_COMPLEMENTOS!$G$4:$G$803,E861,MOVIMIENTOS_COMPLEMENTOS!$H$4:$H$803,G861,MOVIMIENTOS_COMPLEMENTOS!$B$4:$B$803,"SALIDA"),0)</f>
        <v>0</v>
      </c>
      <c r="I861" s="102">
        <f t="array" ref="I861">IFERROR(INDEX(PRECIOS_COMPLEMENTOS!$C$4:$F$17,MATCH(B861&amp;"_"&amp;C861,PRECIOS_COMPLEMENTOS!$H$4:$H$17,0),IF(OR(G861="S",G861="20cm"),1,IF(OR(G861="M",G861="25cm"),2,IF(OR(G861="L",G861="30cm"),3,IF(OR(G861="XL",G861="35cm"),4,0))))),0)</f>
        <v>0.4</v>
      </c>
      <c r="J861" s="103">
        <f t="shared" si="1"/>
        <v>0</v>
      </c>
      <c r="K861" s="104" t="str">
        <f>IF(H861&lt;0,"ERROR",IF(H861=0,"",IF(H861&lt;CONFIG!$B$4,"CRÍTICO",IF(H861&lt;CONFIG!$B$5,"BAJO","OK"))))</f>
        <v/>
      </c>
    </row>
    <row r="862" ht="15.75" hidden="1" customHeight="1">
      <c r="A862" s="90" t="str">
        <f>IF(CLIENTES!A5="","",CLIENTES!A5)</f>
        <v>Bravos</v>
      </c>
      <c r="B862" s="90" t="s">
        <v>321</v>
      </c>
      <c r="C862" s="91" t="s">
        <v>328</v>
      </c>
      <c r="D862" s="109" t="s">
        <v>353</v>
      </c>
      <c r="E862" s="67" t="str">
        <f>COLORES!A18</f>
        <v>P. Rosa</v>
      </c>
      <c r="F862" s="67" t="str">
        <f>COLORES!B18</f>
        <v>CLARO</v>
      </c>
      <c r="G862" s="90" t="s">
        <v>377</v>
      </c>
      <c r="H862" s="100">
        <f>IFERROR(SUMIFS(MOVIMIENTOS_COMPLEMENTOS!$I$4:$I$803,MOVIMIENTOS_COMPLEMENTOS!$C$4:$C$803,A862,MOVIMIENTOS_COMPLEMENTOS!$D$4:$D$803,B862,MOVIMIENTOS_COMPLEMENTOS!$E$4:$E$803,C862,MOVIMIENTOS_COMPLEMENTOS!$G$4:$G$803,E862,MOVIMIENTOS_COMPLEMENTOS!$H$4:$H$803,G862,MOVIMIENTOS_COMPLEMENTOS!$B$4:$B$803,"INGRESO")+SUMIFS(MOVIMIENTOS_COMPLEMENTOS!$I$4:$I$803,MOVIMIENTOS_COMPLEMENTOS!$C$4:$C$803,A862,MOVIMIENTOS_COMPLEMENTOS!$D$4:$D$803,B862,MOVIMIENTOS_COMPLEMENTOS!$E$4:$E$803,C862,MOVIMIENTOS_COMPLEMENTOS!$G$4:$G$803,E862,MOVIMIENTOS_COMPLEMENTOS!$H$4:$H$803,G862,MOVIMIENTOS_COMPLEMENTOS!$B$4:$B$803,"DE CORTE")-SUMIFS(MOVIMIENTOS_COMPLEMENTOS!$I$4:$I$803,MOVIMIENTOS_COMPLEMENTOS!$C$4:$C$803,A862,MOVIMIENTOS_COMPLEMENTOS!$D$4:$D$803,B862,MOVIMIENTOS_COMPLEMENTOS!$E$4:$E$803,C862,MOVIMIENTOS_COMPLEMENTOS!$G$4:$G$803,E862,MOVIMIENTOS_COMPLEMENTOS!$H$4:$H$803,G862,MOVIMIENTOS_COMPLEMENTOS!$B$4:$B$803,"SALIDA"),0)</f>
        <v>0</v>
      </c>
      <c r="I862" s="102">
        <f t="array" ref="I862">IFERROR(INDEX(PRECIOS_COMPLEMENTOS!$C$4:$F$17,MATCH(B862&amp;"_"&amp;C862,PRECIOS_COMPLEMENTOS!$H$4:$H$17,0),IF(OR(G862="S",G862="20cm"),1,IF(OR(G862="M",G862="25cm"),2,IF(OR(G862="L",G862="30cm"),3,IF(OR(G862="XL",G862="35cm"),4,0))))),0)</f>
        <v>0.4</v>
      </c>
      <c r="J862" s="103">
        <f t="shared" si="1"/>
        <v>0</v>
      </c>
      <c r="K862" s="104" t="str">
        <f>IF(H862&lt;0,"ERROR",IF(H862=0,"",IF(H862&lt;CONFIG!$B$4,"CRÍTICO",IF(H862&lt;CONFIG!$B$5,"BAJO","OK"))))</f>
        <v/>
      </c>
    </row>
    <row r="863" ht="15.75" hidden="1" customHeight="1">
      <c r="A863" s="90" t="str">
        <f>IF(CLIENTES!A5="","",CLIENTES!A5)</f>
        <v>Bravos</v>
      </c>
      <c r="B863" s="90" t="s">
        <v>321</v>
      </c>
      <c r="C863" s="91" t="s">
        <v>328</v>
      </c>
      <c r="D863" s="109" t="s">
        <v>353</v>
      </c>
      <c r="E863" s="67" t="str">
        <f>COLORES!A18</f>
        <v>P. Rosa</v>
      </c>
      <c r="F863" s="67" t="str">
        <f>COLORES!B18</f>
        <v>CLARO</v>
      </c>
      <c r="G863" s="90" t="s">
        <v>379</v>
      </c>
      <c r="H863" s="100">
        <f>IFERROR(SUMIFS(MOVIMIENTOS_COMPLEMENTOS!$I$4:$I$803,MOVIMIENTOS_COMPLEMENTOS!$C$4:$C$803,A863,MOVIMIENTOS_COMPLEMENTOS!$D$4:$D$803,B863,MOVIMIENTOS_COMPLEMENTOS!$E$4:$E$803,C863,MOVIMIENTOS_COMPLEMENTOS!$G$4:$G$803,E863,MOVIMIENTOS_COMPLEMENTOS!$H$4:$H$803,G863,MOVIMIENTOS_COMPLEMENTOS!$B$4:$B$803,"INGRESO")+SUMIFS(MOVIMIENTOS_COMPLEMENTOS!$I$4:$I$803,MOVIMIENTOS_COMPLEMENTOS!$C$4:$C$803,A863,MOVIMIENTOS_COMPLEMENTOS!$D$4:$D$803,B863,MOVIMIENTOS_COMPLEMENTOS!$E$4:$E$803,C863,MOVIMIENTOS_COMPLEMENTOS!$G$4:$G$803,E863,MOVIMIENTOS_COMPLEMENTOS!$H$4:$H$803,G863,MOVIMIENTOS_COMPLEMENTOS!$B$4:$B$803,"DE CORTE")-SUMIFS(MOVIMIENTOS_COMPLEMENTOS!$I$4:$I$803,MOVIMIENTOS_COMPLEMENTOS!$C$4:$C$803,A863,MOVIMIENTOS_COMPLEMENTOS!$D$4:$D$803,B863,MOVIMIENTOS_COMPLEMENTOS!$E$4:$E$803,C863,MOVIMIENTOS_COMPLEMENTOS!$G$4:$G$803,E863,MOVIMIENTOS_COMPLEMENTOS!$H$4:$H$803,G863,MOVIMIENTOS_COMPLEMENTOS!$B$4:$B$803,"SALIDA"),0)</f>
        <v>0</v>
      </c>
      <c r="I863" s="102">
        <f t="array" ref="I863">IFERROR(INDEX(PRECIOS_COMPLEMENTOS!$C$4:$F$17,MATCH(B863&amp;"_"&amp;C863,PRECIOS_COMPLEMENTOS!$H$4:$H$17,0),IF(OR(G863="S",G863="20cm"),1,IF(OR(G863="M",G863="25cm"),2,IF(OR(G863="L",G863="30cm"),3,IF(OR(G863="XL",G863="35cm"),4,0))))),0)</f>
        <v>0.4</v>
      </c>
      <c r="J863" s="103">
        <f t="shared" si="1"/>
        <v>0</v>
      </c>
      <c r="K863" s="104" t="str">
        <f>IF(H863&lt;0,"ERROR",IF(H863=0,"",IF(H863&lt;CONFIG!$B$4,"CRÍTICO",IF(H863&lt;CONFIG!$B$5,"BAJO","OK"))))</f>
        <v/>
      </c>
    </row>
    <row r="864" ht="15.75" hidden="1" customHeight="1">
      <c r="A864" s="90" t="str">
        <f>IF(CLIENTES!A5="","",CLIENTES!A5)</f>
        <v>Bravos</v>
      </c>
      <c r="B864" s="90" t="s">
        <v>321</v>
      </c>
      <c r="C864" s="91" t="s">
        <v>328</v>
      </c>
      <c r="D864" s="109" t="s">
        <v>353</v>
      </c>
      <c r="E864" s="67" t="str">
        <f>COLORES!A19</f>
        <v/>
      </c>
      <c r="F864" s="67" t="str">
        <f>COLORES!B19</f>
        <v/>
      </c>
      <c r="G864" s="90" t="s">
        <v>378</v>
      </c>
      <c r="H864" s="100">
        <f>IFERROR(SUMIFS(MOVIMIENTOS_COMPLEMENTOS!$I$4:$I$803,MOVIMIENTOS_COMPLEMENTOS!$C$4:$C$803,A864,MOVIMIENTOS_COMPLEMENTOS!$D$4:$D$803,B864,MOVIMIENTOS_COMPLEMENTOS!$E$4:$E$803,C864,MOVIMIENTOS_COMPLEMENTOS!$G$4:$G$803,E864,MOVIMIENTOS_COMPLEMENTOS!$H$4:$H$803,G864,MOVIMIENTOS_COMPLEMENTOS!$B$4:$B$803,"INGRESO")+SUMIFS(MOVIMIENTOS_COMPLEMENTOS!$I$4:$I$803,MOVIMIENTOS_COMPLEMENTOS!$C$4:$C$803,A864,MOVIMIENTOS_COMPLEMENTOS!$D$4:$D$803,B864,MOVIMIENTOS_COMPLEMENTOS!$E$4:$E$803,C864,MOVIMIENTOS_COMPLEMENTOS!$G$4:$G$803,E864,MOVIMIENTOS_COMPLEMENTOS!$H$4:$H$803,G864,MOVIMIENTOS_COMPLEMENTOS!$B$4:$B$803,"DE CORTE")-SUMIFS(MOVIMIENTOS_COMPLEMENTOS!$I$4:$I$803,MOVIMIENTOS_COMPLEMENTOS!$C$4:$C$803,A864,MOVIMIENTOS_COMPLEMENTOS!$D$4:$D$803,B864,MOVIMIENTOS_COMPLEMENTOS!$E$4:$E$803,C864,MOVIMIENTOS_COMPLEMENTOS!$G$4:$G$803,E864,MOVIMIENTOS_COMPLEMENTOS!$H$4:$H$803,G864,MOVIMIENTOS_COMPLEMENTOS!$B$4:$B$803,"SALIDA"),0)</f>
        <v>0</v>
      </c>
      <c r="I864" s="102">
        <f t="array" ref="I864">IFERROR(INDEX(PRECIOS_COMPLEMENTOS!$C$4:$F$17,MATCH(B864&amp;"_"&amp;C864,PRECIOS_COMPLEMENTOS!$H$4:$H$17,0),IF(OR(G864="S",G864="20cm"),1,IF(OR(G864="M",G864="25cm"),2,IF(OR(G864="L",G864="30cm"),3,IF(OR(G864="XL",G864="35cm"),4,0))))),0)</f>
        <v>0.4</v>
      </c>
      <c r="J864" s="103">
        <f t="shared" si="1"/>
        <v>0</v>
      </c>
      <c r="K864" s="104" t="str">
        <f>IF(H864&lt;0,"ERROR",IF(H864=0,"",IF(H864&lt;CONFIG!$B$4,"CRÍTICO",IF(H864&lt;CONFIG!$B$5,"BAJO","OK"))))</f>
        <v/>
      </c>
    </row>
    <row r="865" ht="15.75" hidden="1" customHeight="1">
      <c r="A865" s="90" t="str">
        <f>IF(CLIENTES!A5="","",CLIENTES!A5)</f>
        <v>Bravos</v>
      </c>
      <c r="B865" s="90" t="s">
        <v>321</v>
      </c>
      <c r="C865" s="91" t="s">
        <v>328</v>
      </c>
      <c r="D865" s="109" t="s">
        <v>353</v>
      </c>
      <c r="E865" s="67" t="str">
        <f>COLORES!A19</f>
        <v/>
      </c>
      <c r="F865" s="67" t="str">
        <f>COLORES!B19</f>
        <v/>
      </c>
      <c r="G865" s="90" t="s">
        <v>376</v>
      </c>
      <c r="H865" s="100">
        <f>IFERROR(SUMIFS(MOVIMIENTOS_COMPLEMENTOS!$I$4:$I$803,MOVIMIENTOS_COMPLEMENTOS!$C$4:$C$803,A865,MOVIMIENTOS_COMPLEMENTOS!$D$4:$D$803,B865,MOVIMIENTOS_COMPLEMENTOS!$E$4:$E$803,C865,MOVIMIENTOS_COMPLEMENTOS!$G$4:$G$803,E865,MOVIMIENTOS_COMPLEMENTOS!$H$4:$H$803,G865,MOVIMIENTOS_COMPLEMENTOS!$B$4:$B$803,"INGRESO")+SUMIFS(MOVIMIENTOS_COMPLEMENTOS!$I$4:$I$803,MOVIMIENTOS_COMPLEMENTOS!$C$4:$C$803,A865,MOVIMIENTOS_COMPLEMENTOS!$D$4:$D$803,B865,MOVIMIENTOS_COMPLEMENTOS!$E$4:$E$803,C865,MOVIMIENTOS_COMPLEMENTOS!$G$4:$G$803,E865,MOVIMIENTOS_COMPLEMENTOS!$H$4:$H$803,G865,MOVIMIENTOS_COMPLEMENTOS!$B$4:$B$803,"DE CORTE")-SUMIFS(MOVIMIENTOS_COMPLEMENTOS!$I$4:$I$803,MOVIMIENTOS_COMPLEMENTOS!$C$4:$C$803,A865,MOVIMIENTOS_COMPLEMENTOS!$D$4:$D$803,B865,MOVIMIENTOS_COMPLEMENTOS!$E$4:$E$803,C865,MOVIMIENTOS_COMPLEMENTOS!$G$4:$G$803,E865,MOVIMIENTOS_COMPLEMENTOS!$H$4:$H$803,G865,MOVIMIENTOS_COMPLEMENTOS!$B$4:$B$803,"SALIDA"),0)</f>
        <v>0</v>
      </c>
      <c r="I865" s="102">
        <f t="array" ref="I865">IFERROR(INDEX(PRECIOS_COMPLEMENTOS!$C$4:$F$17,MATCH(B865&amp;"_"&amp;C865,PRECIOS_COMPLEMENTOS!$H$4:$H$17,0),IF(OR(G865="S",G865="20cm"),1,IF(OR(G865="M",G865="25cm"),2,IF(OR(G865="L",G865="30cm"),3,IF(OR(G865="XL",G865="35cm"),4,0))))),0)</f>
        <v>0.4</v>
      </c>
      <c r="J865" s="103">
        <f t="shared" si="1"/>
        <v>0</v>
      </c>
      <c r="K865" s="104" t="str">
        <f>IF(H865&lt;0,"ERROR",IF(H865=0,"",IF(H865&lt;CONFIG!$B$4,"CRÍTICO",IF(H865&lt;CONFIG!$B$5,"BAJO","OK"))))</f>
        <v/>
      </c>
    </row>
    <row r="866" ht="15.75" hidden="1" customHeight="1">
      <c r="A866" s="90" t="str">
        <f>IF(CLIENTES!A5="","",CLIENTES!A5)</f>
        <v>Bravos</v>
      </c>
      <c r="B866" s="90" t="s">
        <v>321</v>
      </c>
      <c r="C866" s="91" t="s">
        <v>328</v>
      </c>
      <c r="D866" s="109" t="s">
        <v>353</v>
      </c>
      <c r="E866" s="67" t="str">
        <f>COLORES!A19</f>
        <v/>
      </c>
      <c r="F866" s="67" t="str">
        <f>COLORES!B19</f>
        <v/>
      </c>
      <c r="G866" s="90" t="s">
        <v>377</v>
      </c>
      <c r="H866" s="100">
        <f>IFERROR(SUMIFS(MOVIMIENTOS_COMPLEMENTOS!$I$4:$I$803,MOVIMIENTOS_COMPLEMENTOS!$C$4:$C$803,A866,MOVIMIENTOS_COMPLEMENTOS!$D$4:$D$803,B866,MOVIMIENTOS_COMPLEMENTOS!$E$4:$E$803,C866,MOVIMIENTOS_COMPLEMENTOS!$G$4:$G$803,E866,MOVIMIENTOS_COMPLEMENTOS!$H$4:$H$803,G866,MOVIMIENTOS_COMPLEMENTOS!$B$4:$B$803,"INGRESO")+SUMIFS(MOVIMIENTOS_COMPLEMENTOS!$I$4:$I$803,MOVIMIENTOS_COMPLEMENTOS!$C$4:$C$803,A866,MOVIMIENTOS_COMPLEMENTOS!$D$4:$D$803,B866,MOVIMIENTOS_COMPLEMENTOS!$E$4:$E$803,C866,MOVIMIENTOS_COMPLEMENTOS!$G$4:$G$803,E866,MOVIMIENTOS_COMPLEMENTOS!$H$4:$H$803,G866,MOVIMIENTOS_COMPLEMENTOS!$B$4:$B$803,"DE CORTE")-SUMIFS(MOVIMIENTOS_COMPLEMENTOS!$I$4:$I$803,MOVIMIENTOS_COMPLEMENTOS!$C$4:$C$803,A866,MOVIMIENTOS_COMPLEMENTOS!$D$4:$D$803,B866,MOVIMIENTOS_COMPLEMENTOS!$E$4:$E$803,C866,MOVIMIENTOS_COMPLEMENTOS!$G$4:$G$803,E866,MOVIMIENTOS_COMPLEMENTOS!$H$4:$H$803,G866,MOVIMIENTOS_COMPLEMENTOS!$B$4:$B$803,"SALIDA"),0)</f>
        <v>0</v>
      </c>
      <c r="I866" s="102">
        <f t="array" ref="I866">IFERROR(INDEX(PRECIOS_COMPLEMENTOS!$C$4:$F$17,MATCH(B866&amp;"_"&amp;C866,PRECIOS_COMPLEMENTOS!$H$4:$H$17,0),IF(OR(G866="S",G866="20cm"),1,IF(OR(G866="M",G866="25cm"),2,IF(OR(G866="L",G866="30cm"),3,IF(OR(G866="XL",G866="35cm"),4,0))))),0)</f>
        <v>0.4</v>
      </c>
      <c r="J866" s="103">
        <f t="shared" si="1"/>
        <v>0</v>
      </c>
      <c r="K866" s="104" t="str">
        <f>IF(H866&lt;0,"ERROR",IF(H866=0,"",IF(H866&lt;CONFIG!$B$4,"CRÍTICO",IF(H866&lt;CONFIG!$B$5,"BAJO","OK"))))</f>
        <v/>
      </c>
    </row>
    <row r="867" ht="15.75" hidden="1" customHeight="1">
      <c r="A867" s="90" t="str">
        <f>IF(CLIENTES!A5="","",CLIENTES!A5)</f>
        <v>Bravos</v>
      </c>
      <c r="B867" s="90" t="s">
        <v>321</v>
      </c>
      <c r="C867" s="91" t="s">
        <v>328</v>
      </c>
      <c r="D867" s="109" t="s">
        <v>353</v>
      </c>
      <c r="E867" s="67" t="str">
        <f>COLORES!A19</f>
        <v/>
      </c>
      <c r="F867" s="67" t="str">
        <f>COLORES!B19</f>
        <v/>
      </c>
      <c r="G867" s="90" t="s">
        <v>379</v>
      </c>
      <c r="H867" s="100">
        <f>IFERROR(SUMIFS(MOVIMIENTOS_COMPLEMENTOS!$I$4:$I$803,MOVIMIENTOS_COMPLEMENTOS!$C$4:$C$803,A867,MOVIMIENTOS_COMPLEMENTOS!$D$4:$D$803,B867,MOVIMIENTOS_COMPLEMENTOS!$E$4:$E$803,C867,MOVIMIENTOS_COMPLEMENTOS!$G$4:$G$803,E867,MOVIMIENTOS_COMPLEMENTOS!$H$4:$H$803,G867,MOVIMIENTOS_COMPLEMENTOS!$B$4:$B$803,"INGRESO")+SUMIFS(MOVIMIENTOS_COMPLEMENTOS!$I$4:$I$803,MOVIMIENTOS_COMPLEMENTOS!$C$4:$C$803,A867,MOVIMIENTOS_COMPLEMENTOS!$D$4:$D$803,B867,MOVIMIENTOS_COMPLEMENTOS!$E$4:$E$803,C867,MOVIMIENTOS_COMPLEMENTOS!$G$4:$G$803,E867,MOVIMIENTOS_COMPLEMENTOS!$H$4:$H$803,G867,MOVIMIENTOS_COMPLEMENTOS!$B$4:$B$803,"DE CORTE")-SUMIFS(MOVIMIENTOS_COMPLEMENTOS!$I$4:$I$803,MOVIMIENTOS_COMPLEMENTOS!$C$4:$C$803,A867,MOVIMIENTOS_COMPLEMENTOS!$D$4:$D$803,B867,MOVIMIENTOS_COMPLEMENTOS!$E$4:$E$803,C867,MOVIMIENTOS_COMPLEMENTOS!$G$4:$G$803,E867,MOVIMIENTOS_COMPLEMENTOS!$H$4:$H$803,G867,MOVIMIENTOS_COMPLEMENTOS!$B$4:$B$803,"SALIDA"),0)</f>
        <v>0</v>
      </c>
      <c r="I867" s="102">
        <f t="array" ref="I867">IFERROR(INDEX(PRECIOS_COMPLEMENTOS!$C$4:$F$17,MATCH(B867&amp;"_"&amp;C867,PRECIOS_COMPLEMENTOS!$H$4:$H$17,0),IF(OR(G867="S",G867="20cm"),1,IF(OR(G867="M",G867="25cm"),2,IF(OR(G867="L",G867="30cm"),3,IF(OR(G867="XL",G867="35cm"),4,0))))),0)</f>
        <v>0.4</v>
      </c>
      <c r="J867" s="103">
        <f t="shared" si="1"/>
        <v>0</v>
      </c>
      <c r="K867" s="104" t="str">
        <f>IF(H867&lt;0,"ERROR",IF(H867=0,"",IF(H867&lt;CONFIG!$B$4,"CRÍTICO",IF(H867&lt;CONFIG!$B$5,"BAJO","OK"))))</f>
        <v/>
      </c>
    </row>
    <row r="868" ht="15.75" hidden="1" customHeight="1">
      <c r="A868" s="90" t="str">
        <f>IF(CLIENTES!A5="","",CLIENTES!A5)</f>
        <v>Bravos</v>
      </c>
      <c r="B868" s="90" t="s">
        <v>321</v>
      </c>
      <c r="C868" s="91" t="s">
        <v>328</v>
      </c>
      <c r="D868" s="109" t="s">
        <v>353</v>
      </c>
      <c r="E868" s="67" t="str">
        <f>COLORES!A20</f>
        <v/>
      </c>
      <c r="F868" s="67" t="str">
        <f>COLORES!B20</f>
        <v/>
      </c>
      <c r="G868" s="90" t="s">
        <v>378</v>
      </c>
      <c r="H868" s="100">
        <f>IFERROR(SUMIFS(MOVIMIENTOS_COMPLEMENTOS!$I$4:$I$803,MOVIMIENTOS_COMPLEMENTOS!$C$4:$C$803,A868,MOVIMIENTOS_COMPLEMENTOS!$D$4:$D$803,B868,MOVIMIENTOS_COMPLEMENTOS!$E$4:$E$803,C868,MOVIMIENTOS_COMPLEMENTOS!$G$4:$G$803,E868,MOVIMIENTOS_COMPLEMENTOS!$H$4:$H$803,G868,MOVIMIENTOS_COMPLEMENTOS!$B$4:$B$803,"INGRESO")+SUMIFS(MOVIMIENTOS_COMPLEMENTOS!$I$4:$I$803,MOVIMIENTOS_COMPLEMENTOS!$C$4:$C$803,A868,MOVIMIENTOS_COMPLEMENTOS!$D$4:$D$803,B868,MOVIMIENTOS_COMPLEMENTOS!$E$4:$E$803,C868,MOVIMIENTOS_COMPLEMENTOS!$G$4:$G$803,E868,MOVIMIENTOS_COMPLEMENTOS!$H$4:$H$803,G868,MOVIMIENTOS_COMPLEMENTOS!$B$4:$B$803,"DE CORTE")-SUMIFS(MOVIMIENTOS_COMPLEMENTOS!$I$4:$I$803,MOVIMIENTOS_COMPLEMENTOS!$C$4:$C$803,A868,MOVIMIENTOS_COMPLEMENTOS!$D$4:$D$803,B868,MOVIMIENTOS_COMPLEMENTOS!$E$4:$E$803,C868,MOVIMIENTOS_COMPLEMENTOS!$G$4:$G$803,E868,MOVIMIENTOS_COMPLEMENTOS!$H$4:$H$803,G868,MOVIMIENTOS_COMPLEMENTOS!$B$4:$B$803,"SALIDA"),0)</f>
        <v>0</v>
      </c>
      <c r="I868" s="102">
        <f t="array" ref="I868">IFERROR(INDEX(PRECIOS_COMPLEMENTOS!$C$4:$F$17,MATCH(B868&amp;"_"&amp;C868,PRECIOS_COMPLEMENTOS!$H$4:$H$17,0),IF(OR(G868="S",G868="20cm"),1,IF(OR(G868="M",G868="25cm"),2,IF(OR(G868="L",G868="30cm"),3,IF(OR(G868="XL",G868="35cm"),4,0))))),0)</f>
        <v>0.4</v>
      </c>
      <c r="J868" s="103">
        <f t="shared" si="1"/>
        <v>0</v>
      </c>
      <c r="K868" s="104" t="str">
        <f>IF(H868&lt;0,"ERROR",IF(H868=0,"",IF(H868&lt;CONFIG!$B$4,"CRÍTICO",IF(H868&lt;CONFIG!$B$5,"BAJO","OK"))))</f>
        <v/>
      </c>
    </row>
    <row r="869" ht="15.75" hidden="1" customHeight="1">
      <c r="A869" s="90" t="str">
        <f>IF(CLIENTES!A5="","",CLIENTES!A5)</f>
        <v>Bravos</v>
      </c>
      <c r="B869" s="90" t="s">
        <v>321</v>
      </c>
      <c r="C869" s="91" t="s">
        <v>328</v>
      </c>
      <c r="D869" s="109" t="s">
        <v>353</v>
      </c>
      <c r="E869" s="67" t="str">
        <f>COLORES!A20</f>
        <v/>
      </c>
      <c r="F869" s="67" t="str">
        <f>COLORES!B20</f>
        <v/>
      </c>
      <c r="G869" s="90" t="s">
        <v>376</v>
      </c>
      <c r="H869" s="100">
        <f>IFERROR(SUMIFS(MOVIMIENTOS_COMPLEMENTOS!$I$4:$I$803,MOVIMIENTOS_COMPLEMENTOS!$C$4:$C$803,A869,MOVIMIENTOS_COMPLEMENTOS!$D$4:$D$803,B869,MOVIMIENTOS_COMPLEMENTOS!$E$4:$E$803,C869,MOVIMIENTOS_COMPLEMENTOS!$G$4:$G$803,E869,MOVIMIENTOS_COMPLEMENTOS!$H$4:$H$803,G869,MOVIMIENTOS_COMPLEMENTOS!$B$4:$B$803,"INGRESO")+SUMIFS(MOVIMIENTOS_COMPLEMENTOS!$I$4:$I$803,MOVIMIENTOS_COMPLEMENTOS!$C$4:$C$803,A869,MOVIMIENTOS_COMPLEMENTOS!$D$4:$D$803,B869,MOVIMIENTOS_COMPLEMENTOS!$E$4:$E$803,C869,MOVIMIENTOS_COMPLEMENTOS!$G$4:$G$803,E869,MOVIMIENTOS_COMPLEMENTOS!$H$4:$H$803,G869,MOVIMIENTOS_COMPLEMENTOS!$B$4:$B$803,"DE CORTE")-SUMIFS(MOVIMIENTOS_COMPLEMENTOS!$I$4:$I$803,MOVIMIENTOS_COMPLEMENTOS!$C$4:$C$803,A869,MOVIMIENTOS_COMPLEMENTOS!$D$4:$D$803,B869,MOVIMIENTOS_COMPLEMENTOS!$E$4:$E$803,C869,MOVIMIENTOS_COMPLEMENTOS!$G$4:$G$803,E869,MOVIMIENTOS_COMPLEMENTOS!$H$4:$H$803,G869,MOVIMIENTOS_COMPLEMENTOS!$B$4:$B$803,"SALIDA"),0)</f>
        <v>0</v>
      </c>
      <c r="I869" s="102">
        <f t="array" ref="I869">IFERROR(INDEX(PRECIOS_COMPLEMENTOS!$C$4:$F$17,MATCH(B869&amp;"_"&amp;C869,PRECIOS_COMPLEMENTOS!$H$4:$H$17,0),IF(OR(G869="S",G869="20cm"),1,IF(OR(G869="M",G869="25cm"),2,IF(OR(G869="L",G869="30cm"),3,IF(OR(G869="XL",G869="35cm"),4,0))))),0)</f>
        <v>0.4</v>
      </c>
      <c r="J869" s="103">
        <f t="shared" si="1"/>
        <v>0</v>
      </c>
      <c r="K869" s="104" t="str">
        <f>IF(H869&lt;0,"ERROR",IF(H869=0,"",IF(H869&lt;CONFIG!$B$4,"CRÍTICO",IF(H869&lt;CONFIG!$B$5,"BAJO","OK"))))</f>
        <v/>
      </c>
    </row>
    <row r="870" ht="15.75" hidden="1" customHeight="1">
      <c r="A870" s="90" t="str">
        <f>IF(CLIENTES!A5="","",CLIENTES!A5)</f>
        <v>Bravos</v>
      </c>
      <c r="B870" s="90" t="s">
        <v>321</v>
      </c>
      <c r="C870" s="91" t="s">
        <v>328</v>
      </c>
      <c r="D870" s="109" t="s">
        <v>353</v>
      </c>
      <c r="E870" s="67" t="str">
        <f>COLORES!A20</f>
        <v/>
      </c>
      <c r="F870" s="67" t="str">
        <f>COLORES!B20</f>
        <v/>
      </c>
      <c r="G870" s="90" t="s">
        <v>377</v>
      </c>
      <c r="H870" s="100">
        <f>IFERROR(SUMIFS(MOVIMIENTOS_COMPLEMENTOS!$I$4:$I$803,MOVIMIENTOS_COMPLEMENTOS!$C$4:$C$803,A870,MOVIMIENTOS_COMPLEMENTOS!$D$4:$D$803,B870,MOVIMIENTOS_COMPLEMENTOS!$E$4:$E$803,C870,MOVIMIENTOS_COMPLEMENTOS!$G$4:$G$803,E870,MOVIMIENTOS_COMPLEMENTOS!$H$4:$H$803,G870,MOVIMIENTOS_COMPLEMENTOS!$B$4:$B$803,"INGRESO")+SUMIFS(MOVIMIENTOS_COMPLEMENTOS!$I$4:$I$803,MOVIMIENTOS_COMPLEMENTOS!$C$4:$C$803,A870,MOVIMIENTOS_COMPLEMENTOS!$D$4:$D$803,B870,MOVIMIENTOS_COMPLEMENTOS!$E$4:$E$803,C870,MOVIMIENTOS_COMPLEMENTOS!$G$4:$G$803,E870,MOVIMIENTOS_COMPLEMENTOS!$H$4:$H$803,G870,MOVIMIENTOS_COMPLEMENTOS!$B$4:$B$803,"DE CORTE")-SUMIFS(MOVIMIENTOS_COMPLEMENTOS!$I$4:$I$803,MOVIMIENTOS_COMPLEMENTOS!$C$4:$C$803,A870,MOVIMIENTOS_COMPLEMENTOS!$D$4:$D$803,B870,MOVIMIENTOS_COMPLEMENTOS!$E$4:$E$803,C870,MOVIMIENTOS_COMPLEMENTOS!$G$4:$G$803,E870,MOVIMIENTOS_COMPLEMENTOS!$H$4:$H$803,G870,MOVIMIENTOS_COMPLEMENTOS!$B$4:$B$803,"SALIDA"),0)</f>
        <v>0</v>
      </c>
      <c r="I870" s="102">
        <f t="array" ref="I870">IFERROR(INDEX(PRECIOS_COMPLEMENTOS!$C$4:$F$17,MATCH(B870&amp;"_"&amp;C870,PRECIOS_COMPLEMENTOS!$H$4:$H$17,0),IF(OR(G870="S",G870="20cm"),1,IF(OR(G870="M",G870="25cm"),2,IF(OR(G870="L",G870="30cm"),3,IF(OR(G870="XL",G870="35cm"),4,0))))),0)</f>
        <v>0.4</v>
      </c>
      <c r="J870" s="103">
        <f t="shared" si="1"/>
        <v>0</v>
      </c>
      <c r="K870" s="104" t="str">
        <f>IF(H870&lt;0,"ERROR",IF(H870=0,"",IF(H870&lt;CONFIG!$B$4,"CRÍTICO",IF(H870&lt;CONFIG!$B$5,"BAJO","OK"))))</f>
        <v/>
      </c>
    </row>
    <row r="871" ht="15.75" hidden="1" customHeight="1">
      <c r="A871" s="90" t="str">
        <f>IF(CLIENTES!A5="","",CLIENTES!A5)</f>
        <v>Bravos</v>
      </c>
      <c r="B871" s="90" t="s">
        <v>321</v>
      </c>
      <c r="C871" s="91" t="s">
        <v>328</v>
      </c>
      <c r="D871" s="109" t="s">
        <v>353</v>
      </c>
      <c r="E871" s="67" t="str">
        <f>COLORES!A20</f>
        <v/>
      </c>
      <c r="F871" s="67" t="str">
        <f>COLORES!B20</f>
        <v/>
      </c>
      <c r="G871" s="90" t="s">
        <v>379</v>
      </c>
      <c r="H871" s="100">
        <f>IFERROR(SUMIFS(MOVIMIENTOS_COMPLEMENTOS!$I$4:$I$803,MOVIMIENTOS_COMPLEMENTOS!$C$4:$C$803,A871,MOVIMIENTOS_COMPLEMENTOS!$D$4:$D$803,B871,MOVIMIENTOS_COMPLEMENTOS!$E$4:$E$803,C871,MOVIMIENTOS_COMPLEMENTOS!$G$4:$G$803,E871,MOVIMIENTOS_COMPLEMENTOS!$H$4:$H$803,G871,MOVIMIENTOS_COMPLEMENTOS!$B$4:$B$803,"INGRESO")+SUMIFS(MOVIMIENTOS_COMPLEMENTOS!$I$4:$I$803,MOVIMIENTOS_COMPLEMENTOS!$C$4:$C$803,A871,MOVIMIENTOS_COMPLEMENTOS!$D$4:$D$803,B871,MOVIMIENTOS_COMPLEMENTOS!$E$4:$E$803,C871,MOVIMIENTOS_COMPLEMENTOS!$G$4:$G$803,E871,MOVIMIENTOS_COMPLEMENTOS!$H$4:$H$803,G871,MOVIMIENTOS_COMPLEMENTOS!$B$4:$B$803,"DE CORTE")-SUMIFS(MOVIMIENTOS_COMPLEMENTOS!$I$4:$I$803,MOVIMIENTOS_COMPLEMENTOS!$C$4:$C$803,A871,MOVIMIENTOS_COMPLEMENTOS!$D$4:$D$803,B871,MOVIMIENTOS_COMPLEMENTOS!$E$4:$E$803,C871,MOVIMIENTOS_COMPLEMENTOS!$G$4:$G$803,E871,MOVIMIENTOS_COMPLEMENTOS!$H$4:$H$803,G871,MOVIMIENTOS_COMPLEMENTOS!$B$4:$B$803,"SALIDA"),0)</f>
        <v>0</v>
      </c>
      <c r="I871" s="102">
        <f t="array" ref="I871">IFERROR(INDEX(PRECIOS_COMPLEMENTOS!$C$4:$F$17,MATCH(B871&amp;"_"&amp;C871,PRECIOS_COMPLEMENTOS!$H$4:$H$17,0),IF(OR(G871="S",G871="20cm"),1,IF(OR(G871="M",G871="25cm"),2,IF(OR(G871="L",G871="30cm"),3,IF(OR(G871="XL",G871="35cm"),4,0))))),0)</f>
        <v>0.4</v>
      </c>
      <c r="J871" s="103">
        <f t="shared" si="1"/>
        <v>0</v>
      </c>
      <c r="K871" s="104" t="str">
        <f>IF(H871&lt;0,"ERROR",IF(H871=0,"",IF(H871&lt;CONFIG!$B$4,"CRÍTICO",IF(H871&lt;CONFIG!$B$5,"BAJO","OK"))))</f>
        <v/>
      </c>
    </row>
    <row r="872" ht="15.75" hidden="1" customHeight="1">
      <c r="A872" s="90" t="str">
        <f>IF(CLIENTES!A5="","",CLIENTES!A5)</f>
        <v>Bravos</v>
      </c>
      <c r="B872" s="90" t="s">
        <v>321</v>
      </c>
      <c r="C872" s="91" t="s">
        <v>328</v>
      </c>
      <c r="D872" s="109" t="s">
        <v>353</v>
      </c>
      <c r="E872" s="67" t="str">
        <f>COLORES!A21</f>
        <v/>
      </c>
      <c r="F872" s="67" t="str">
        <f>COLORES!B21</f>
        <v/>
      </c>
      <c r="G872" s="90" t="s">
        <v>378</v>
      </c>
      <c r="H872" s="100">
        <f>IFERROR(SUMIFS(MOVIMIENTOS_COMPLEMENTOS!$I$4:$I$803,MOVIMIENTOS_COMPLEMENTOS!$C$4:$C$803,A872,MOVIMIENTOS_COMPLEMENTOS!$D$4:$D$803,B872,MOVIMIENTOS_COMPLEMENTOS!$E$4:$E$803,C872,MOVIMIENTOS_COMPLEMENTOS!$G$4:$G$803,E872,MOVIMIENTOS_COMPLEMENTOS!$H$4:$H$803,G872,MOVIMIENTOS_COMPLEMENTOS!$B$4:$B$803,"INGRESO")+SUMIFS(MOVIMIENTOS_COMPLEMENTOS!$I$4:$I$803,MOVIMIENTOS_COMPLEMENTOS!$C$4:$C$803,A872,MOVIMIENTOS_COMPLEMENTOS!$D$4:$D$803,B872,MOVIMIENTOS_COMPLEMENTOS!$E$4:$E$803,C872,MOVIMIENTOS_COMPLEMENTOS!$G$4:$G$803,E872,MOVIMIENTOS_COMPLEMENTOS!$H$4:$H$803,G872,MOVIMIENTOS_COMPLEMENTOS!$B$4:$B$803,"DE CORTE")-SUMIFS(MOVIMIENTOS_COMPLEMENTOS!$I$4:$I$803,MOVIMIENTOS_COMPLEMENTOS!$C$4:$C$803,A872,MOVIMIENTOS_COMPLEMENTOS!$D$4:$D$803,B872,MOVIMIENTOS_COMPLEMENTOS!$E$4:$E$803,C872,MOVIMIENTOS_COMPLEMENTOS!$G$4:$G$803,E872,MOVIMIENTOS_COMPLEMENTOS!$H$4:$H$803,G872,MOVIMIENTOS_COMPLEMENTOS!$B$4:$B$803,"SALIDA"),0)</f>
        <v>0</v>
      </c>
      <c r="I872" s="102">
        <f t="array" ref="I872">IFERROR(INDEX(PRECIOS_COMPLEMENTOS!$C$4:$F$17,MATCH(B872&amp;"_"&amp;C872,PRECIOS_COMPLEMENTOS!$H$4:$H$17,0),IF(OR(G872="S",G872="20cm"),1,IF(OR(G872="M",G872="25cm"),2,IF(OR(G872="L",G872="30cm"),3,IF(OR(G872="XL",G872="35cm"),4,0))))),0)</f>
        <v>0.4</v>
      </c>
      <c r="J872" s="103">
        <f t="shared" si="1"/>
        <v>0</v>
      </c>
      <c r="K872" s="104" t="str">
        <f>IF(H872&lt;0,"ERROR",IF(H872=0,"",IF(H872&lt;CONFIG!$B$4,"CRÍTICO",IF(H872&lt;CONFIG!$B$5,"BAJO","OK"))))</f>
        <v/>
      </c>
    </row>
    <row r="873" ht="15.75" hidden="1" customHeight="1">
      <c r="A873" s="90" t="str">
        <f>IF(CLIENTES!A5="","",CLIENTES!A5)</f>
        <v>Bravos</v>
      </c>
      <c r="B873" s="90" t="s">
        <v>321</v>
      </c>
      <c r="C873" s="91" t="s">
        <v>328</v>
      </c>
      <c r="D873" s="109" t="s">
        <v>353</v>
      </c>
      <c r="E873" s="67" t="str">
        <f>COLORES!A21</f>
        <v/>
      </c>
      <c r="F873" s="67" t="str">
        <f>COLORES!B21</f>
        <v/>
      </c>
      <c r="G873" s="90" t="s">
        <v>376</v>
      </c>
      <c r="H873" s="100">
        <f>IFERROR(SUMIFS(MOVIMIENTOS_COMPLEMENTOS!$I$4:$I$803,MOVIMIENTOS_COMPLEMENTOS!$C$4:$C$803,A873,MOVIMIENTOS_COMPLEMENTOS!$D$4:$D$803,B873,MOVIMIENTOS_COMPLEMENTOS!$E$4:$E$803,C873,MOVIMIENTOS_COMPLEMENTOS!$G$4:$G$803,E873,MOVIMIENTOS_COMPLEMENTOS!$H$4:$H$803,G873,MOVIMIENTOS_COMPLEMENTOS!$B$4:$B$803,"INGRESO")+SUMIFS(MOVIMIENTOS_COMPLEMENTOS!$I$4:$I$803,MOVIMIENTOS_COMPLEMENTOS!$C$4:$C$803,A873,MOVIMIENTOS_COMPLEMENTOS!$D$4:$D$803,B873,MOVIMIENTOS_COMPLEMENTOS!$E$4:$E$803,C873,MOVIMIENTOS_COMPLEMENTOS!$G$4:$G$803,E873,MOVIMIENTOS_COMPLEMENTOS!$H$4:$H$803,G873,MOVIMIENTOS_COMPLEMENTOS!$B$4:$B$803,"DE CORTE")-SUMIFS(MOVIMIENTOS_COMPLEMENTOS!$I$4:$I$803,MOVIMIENTOS_COMPLEMENTOS!$C$4:$C$803,A873,MOVIMIENTOS_COMPLEMENTOS!$D$4:$D$803,B873,MOVIMIENTOS_COMPLEMENTOS!$E$4:$E$803,C873,MOVIMIENTOS_COMPLEMENTOS!$G$4:$G$803,E873,MOVIMIENTOS_COMPLEMENTOS!$H$4:$H$803,G873,MOVIMIENTOS_COMPLEMENTOS!$B$4:$B$803,"SALIDA"),0)</f>
        <v>0</v>
      </c>
      <c r="I873" s="102">
        <f t="array" ref="I873">IFERROR(INDEX(PRECIOS_COMPLEMENTOS!$C$4:$F$17,MATCH(B873&amp;"_"&amp;C873,PRECIOS_COMPLEMENTOS!$H$4:$H$17,0),IF(OR(G873="S",G873="20cm"),1,IF(OR(G873="M",G873="25cm"),2,IF(OR(G873="L",G873="30cm"),3,IF(OR(G873="XL",G873="35cm"),4,0))))),0)</f>
        <v>0.4</v>
      </c>
      <c r="J873" s="103">
        <f t="shared" si="1"/>
        <v>0</v>
      </c>
      <c r="K873" s="104" t="str">
        <f>IF(H873&lt;0,"ERROR",IF(H873=0,"",IF(H873&lt;CONFIG!$B$4,"CRÍTICO",IF(H873&lt;CONFIG!$B$5,"BAJO","OK"))))</f>
        <v/>
      </c>
    </row>
    <row r="874" ht="15.75" hidden="1" customHeight="1">
      <c r="A874" s="90" t="str">
        <f>IF(CLIENTES!A5="","",CLIENTES!A5)</f>
        <v>Bravos</v>
      </c>
      <c r="B874" s="90" t="s">
        <v>321</v>
      </c>
      <c r="C874" s="91" t="s">
        <v>328</v>
      </c>
      <c r="D874" s="109" t="s">
        <v>353</v>
      </c>
      <c r="E874" s="67" t="str">
        <f>COLORES!A21</f>
        <v/>
      </c>
      <c r="F874" s="67" t="str">
        <f>COLORES!B21</f>
        <v/>
      </c>
      <c r="G874" s="90" t="s">
        <v>377</v>
      </c>
      <c r="H874" s="100">
        <f>IFERROR(SUMIFS(MOVIMIENTOS_COMPLEMENTOS!$I$4:$I$803,MOVIMIENTOS_COMPLEMENTOS!$C$4:$C$803,A874,MOVIMIENTOS_COMPLEMENTOS!$D$4:$D$803,B874,MOVIMIENTOS_COMPLEMENTOS!$E$4:$E$803,C874,MOVIMIENTOS_COMPLEMENTOS!$G$4:$G$803,E874,MOVIMIENTOS_COMPLEMENTOS!$H$4:$H$803,G874,MOVIMIENTOS_COMPLEMENTOS!$B$4:$B$803,"INGRESO")+SUMIFS(MOVIMIENTOS_COMPLEMENTOS!$I$4:$I$803,MOVIMIENTOS_COMPLEMENTOS!$C$4:$C$803,A874,MOVIMIENTOS_COMPLEMENTOS!$D$4:$D$803,B874,MOVIMIENTOS_COMPLEMENTOS!$E$4:$E$803,C874,MOVIMIENTOS_COMPLEMENTOS!$G$4:$G$803,E874,MOVIMIENTOS_COMPLEMENTOS!$H$4:$H$803,G874,MOVIMIENTOS_COMPLEMENTOS!$B$4:$B$803,"DE CORTE")-SUMIFS(MOVIMIENTOS_COMPLEMENTOS!$I$4:$I$803,MOVIMIENTOS_COMPLEMENTOS!$C$4:$C$803,A874,MOVIMIENTOS_COMPLEMENTOS!$D$4:$D$803,B874,MOVIMIENTOS_COMPLEMENTOS!$E$4:$E$803,C874,MOVIMIENTOS_COMPLEMENTOS!$G$4:$G$803,E874,MOVIMIENTOS_COMPLEMENTOS!$H$4:$H$803,G874,MOVIMIENTOS_COMPLEMENTOS!$B$4:$B$803,"SALIDA"),0)</f>
        <v>0</v>
      </c>
      <c r="I874" s="102">
        <f t="array" ref="I874">IFERROR(INDEX(PRECIOS_COMPLEMENTOS!$C$4:$F$17,MATCH(B874&amp;"_"&amp;C874,PRECIOS_COMPLEMENTOS!$H$4:$H$17,0),IF(OR(G874="S",G874="20cm"),1,IF(OR(G874="M",G874="25cm"),2,IF(OR(G874="L",G874="30cm"),3,IF(OR(G874="XL",G874="35cm"),4,0))))),0)</f>
        <v>0.4</v>
      </c>
      <c r="J874" s="103">
        <f t="shared" si="1"/>
        <v>0</v>
      </c>
      <c r="K874" s="104" t="str">
        <f>IF(H874&lt;0,"ERROR",IF(H874=0,"",IF(H874&lt;CONFIG!$B$4,"CRÍTICO",IF(H874&lt;CONFIG!$B$5,"BAJO","OK"))))</f>
        <v/>
      </c>
    </row>
    <row r="875" ht="15.75" hidden="1" customHeight="1">
      <c r="A875" s="90" t="str">
        <f>IF(CLIENTES!A5="","",CLIENTES!A5)</f>
        <v>Bravos</v>
      </c>
      <c r="B875" s="90" t="s">
        <v>321</v>
      </c>
      <c r="C875" s="91" t="s">
        <v>328</v>
      </c>
      <c r="D875" s="109" t="s">
        <v>353</v>
      </c>
      <c r="E875" s="67" t="str">
        <f>COLORES!A21</f>
        <v/>
      </c>
      <c r="F875" s="67" t="str">
        <f>COLORES!B21</f>
        <v/>
      </c>
      <c r="G875" s="90" t="s">
        <v>379</v>
      </c>
      <c r="H875" s="100">
        <f>IFERROR(SUMIFS(MOVIMIENTOS_COMPLEMENTOS!$I$4:$I$803,MOVIMIENTOS_COMPLEMENTOS!$C$4:$C$803,A875,MOVIMIENTOS_COMPLEMENTOS!$D$4:$D$803,B875,MOVIMIENTOS_COMPLEMENTOS!$E$4:$E$803,C875,MOVIMIENTOS_COMPLEMENTOS!$G$4:$G$803,E875,MOVIMIENTOS_COMPLEMENTOS!$H$4:$H$803,G875,MOVIMIENTOS_COMPLEMENTOS!$B$4:$B$803,"INGRESO")+SUMIFS(MOVIMIENTOS_COMPLEMENTOS!$I$4:$I$803,MOVIMIENTOS_COMPLEMENTOS!$C$4:$C$803,A875,MOVIMIENTOS_COMPLEMENTOS!$D$4:$D$803,B875,MOVIMIENTOS_COMPLEMENTOS!$E$4:$E$803,C875,MOVIMIENTOS_COMPLEMENTOS!$G$4:$G$803,E875,MOVIMIENTOS_COMPLEMENTOS!$H$4:$H$803,G875,MOVIMIENTOS_COMPLEMENTOS!$B$4:$B$803,"DE CORTE")-SUMIFS(MOVIMIENTOS_COMPLEMENTOS!$I$4:$I$803,MOVIMIENTOS_COMPLEMENTOS!$C$4:$C$803,A875,MOVIMIENTOS_COMPLEMENTOS!$D$4:$D$803,B875,MOVIMIENTOS_COMPLEMENTOS!$E$4:$E$803,C875,MOVIMIENTOS_COMPLEMENTOS!$G$4:$G$803,E875,MOVIMIENTOS_COMPLEMENTOS!$H$4:$H$803,G875,MOVIMIENTOS_COMPLEMENTOS!$B$4:$B$803,"SALIDA"),0)</f>
        <v>0</v>
      </c>
      <c r="I875" s="102">
        <f t="array" ref="I875">IFERROR(INDEX(PRECIOS_COMPLEMENTOS!$C$4:$F$17,MATCH(B875&amp;"_"&amp;C875,PRECIOS_COMPLEMENTOS!$H$4:$H$17,0),IF(OR(G875="S",G875="20cm"),1,IF(OR(G875="M",G875="25cm"),2,IF(OR(G875="L",G875="30cm"),3,IF(OR(G875="XL",G875="35cm"),4,0))))),0)</f>
        <v>0.4</v>
      </c>
      <c r="J875" s="103">
        <f t="shared" si="1"/>
        <v>0</v>
      </c>
      <c r="K875" s="104" t="str">
        <f>IF(H875&lt;0,"ERROR",IF(H875=0,"",IF(H875&lt;CONFIG!$B$4,"CRÍTICO",IF(H875&lt;CONFIG!$B$5,"BAJO","OK"))))</f>
        <v/>
      </c>
    </row>
    <row r="876" ht="15.75" hidden="1" customHeight="1">
      <c r="A876" s="90" t="str">
        <f>IF(CLIENTES!A5="","",CLIENTES!A5)</f>
        <v>Bravos</v>
      </c>
      <c r="B876" s="90" t="s">
        <v>321</v>
      </c>
      <c r="C876" s="91" t="s">
        <v>328</v>
      </c>
      <c r="D876" s="109" t="s">
        <v>353</v>
      </c>
      <c r="E876" s="67" t="str">
        <f>COLORES!A22</f>
        <v/>
      </c>
      <c r="F876" s="67" t="str">
        <f>COLORES!B22</f>
        <v/>
      </c>
      <c r="G876" s="90" t="s">
        <v>378</v>
      </c>
      <c r="H876" s="100">
        <f>IFERROR(SUMIFS(MOVIMIENTOS_COMPLEMENTOS!$I$4:$I$803,MOVIMIENTOS_COMPLEMENTOS!$C$4:$C$803,A876,MOVIMIENTOS_COMPLEMENTOS!$D$4:$D$803,B876,MOVIMIENTOS_COMPLEMENTOS!$E$4:$E$803,C876,MOVIMIENTOS_COMPLEMENTOS!$G$4:$G$803,E876,MOVIMIENTOS_COMPLEMENTOS!$H$4:$H$803,G876,MOVIMIENTOS_COMPLEMENTOS!$B$4:$B$803,"INGRESO")+SUMIFS(MOVIMIENTOS_COMPLEMENTOS!$I$4:$I$803,MOVIMIENTOS_COMPLEMENTOS!$C$4:$C$803,A876,MOVIMIENTOS_COMPLEMENTOS!$D$4:$D$803,B876,MOVIMIENTOS_COMPLEMENTOS!$E$4:$E$803,C876,MOVIMIENTOS_COMPLEMENTOS!$G$4:$G$803,E876,MOVIMIENTOS_COMPLEMENTOS!$H$4:$H$803,G876,MOVIMIENTOS_COMPLEMENTOS!$B$4:$B$803,"DE CORTE")-SUMIFS(MOVIMIENTOS_COMPLEMENTOS!$I$4:$I$803,MOVIMIENTOS_COMPLEMENTOS!$C$4:$C$803,A876,MOVIMIENTOS_COMPLEMENTOS!$D$4:$D$803,B876,MOVIMIENTOS_COMPLEMENTOS!$E$4:$E$803,C876,MOVIMIENTOS_COMPLEMENTOS!$G$4:$G$803,E876,MOVIMIENTOS_COMPLEMENTOS!$H$4:$H$803,G876,MOVIMIENTOS_COMPLEMENTOS!$B$4:$B$803,"SALIDA"),0)</f>
        <v>0</v>
      </c>
      <c r="I876" s="102">
        <f t="array" ref="I876">IFERROR(INDEX(PRECIOS_COMPLEMENTOS!$C$4:$F$17,MATCH(B876&amp;"_"&amp;C876,PRECIOS_COMPLEMENTOS!$H$4:$H$17,0),IF(OR(G876="S",G876="20cm"),1,IF(OR(G876="M",G876="25cm"),2,IF(OR(G876="L",G876="30cm"),3,IF(OR(G876="XL",G876="35cm"),4,0))))),0)</f>
        <v>0.4</v>
      </c>
      <c r="J876" s="103">
        <f t="shared" si="1"/>
        <v>0</v>
      </c>
      <c r="K876" s="104" t="str">
        <f>IF(H876&lt;0,"ERROR",IF(H876=0,"",IF(H876&lt;CONFIG!$B$4,"CRÍTICO",IF(H876&lt;CONFIG!$B$5,"BAJO","OK"))))</f>
        <v/>
      </c>
    </row>
    <row r="877" ht="15.75" hidden="1" customHeight="1">
      <c r="A877" s="90" t="str">
        <f>IF(CLIENTES!A5="","",CLIENTES!A5)</f>
        <v>Bravos</v>
      </c>
      <c r="B877" s="90" t="s">
        <v>321</v>
      </c>
      <c r="C877" s="91" t="s">
        <v>328</v>
      </c>
      <c r="D877" s="109" t="s">
        <v>353</v>
      </c>
      <c r="E877" s="67" t="str">
        <f>COLORES!A22</f>
        <v/>
      </c>
      <c r="F877" s="67" t="str">
        <f>COLORES!B22</f>
        <v/>
      </c>
      <c r="G877" s="90" t="s">
        <v>376</v>
      </c>
      <c r="H877" s="100">
        <f>IFERROR(SUMIFS(MOVIMIENTOS_COMPLEMENTOS!$I$4:$I$803,MOVIMIENTOS_COMPLEMENTOS!$C$4:$C$803,A877,MOVIMIENTOS_COMPLEMENTOS!$D$4:$D$803,B877,MOVIMIENTOS_COMPLEMENTOS!$E$4:$E$803,C877,MOVIMIENTOS_COMPLEMENTOS!$G$4:$G$803,E877,MOVIMIENTOS_COMPLEMENTOS!$H$4:$H$803,G877,MOVIMIENTOS_COMPLEMENTOS!$B$4:$B$803,"INGRESO")+SUMIFS(MOVIMIENTOS_COMPLEMENTOS!$I$4:$I$803,MOVIMIENTOS_COMPLEMENTOS!$C$4:$C$803,A877,MOVIMIENTOS_COMPLEMENTOS!$D$4:$D$803,B877,MOVIMIENTOS_COMPLEMENTOS!$E$4:$E$803,C877,MOVIMIENTOS_COMPLEMENTOS!$G$4:$G$803,E877,MOVIMIENTOS_COMPLEMENTOS!$H$4:$H$803,G877,MOVIMIENTOS_COMPLEMENTOS!$B$4:$B$803,"DE CORTE")-SUMIFS(MOVIMIENTOS_COMPLEMENTOS!$I$4:$I$803,MOVIMIENTOS_COMPLEMENTOS!$C$4:$C$803,A877,MOVIMIENTOS_COMPLEMENTOS!$D$4:$D$803,B877,MOVIMIENTOS_COMPLEMENTOS!$E$4:$E$803,C877,MOVIMIENTOS_COMPLEMENTOS!$G$4:$G$803,E877,MOVIMIENTOS_COMPLEMENTOS!$H$4:$H$803,G877,MOVIMIENTOS_COMPLEMENTOS!$B$4:$B$803,"SALIDA"),0)</f>
        <v>0</v>
      </c>
      <c r="I877" s="102">
        <f t="array" ref="I877">IFERROR(INDEX(PRECIOS_COMPLEMENTOS!$C$4:$F$17,MATCH(B877&amp;"_"&amp;C877,PRECIOS_COMPLEMENTOS!$H$4:$H$17,0),IF(OR(G877="S",G877="20cm"),1,IF(OR(G877="M",G877="25cm"),2,IF(OR(G877="L",G877="30cm"),3,IF(OR(G877="XL",G877="35cm"),4,0))))),0)</f>
        <v>0.4</v>
      </c>
      <c r="J877" s="103">
        <f t="shared" si="1"/>
        <v>0</v>
      </c>
      <c r="K877" s="104" t="str">
        <f>IF(H877&lt;0,"ERROR",IF(H877=0,"",IF(H877&lt;CONFIG!$B$4,"CRÍTICO",IF(H877&lt;CONFIG!$B$5,"BAJO","OK"))))</f>
        <v/>
      </c>
    </row>
    <row r="878" ht="15.75" hidden="1" customHeight="1">
      <c r="A878" s="90" t="str">
        <f>IF(CLIENTES!A5="","",CLIENTES!A5)</f>
        <v>Bravos</v>
      </c>
      <c r="B878" s="90" t="s">
        <v>321</v>
      </c>
      <c r="C878" s="91" t="s">
        <v>328</v>
      </c>
      <c r="D878" s="109" t="s">
        <v>353</v>
      </c>
      <c r="E878" s="67" t="str">
        <f>COLORES!A22</f>
        <v/>
      </c>
      <c r="F878" s="67" t="str">
        <f>COLORES!B22</f>
        <v/>
      </c>
      <c r="G878" s="90" t="s">
        <v>377</v>
      </c>
      <c r="H878" s="100">
        <f>IFERROR(SUMIFS(MOVIMIENTOS_COMPLEMENTOS!$I$4:$I$803,MOVIMIENTOS_COMPLEMENTOS!$C$4:$C$803,A878,MOVIMIENTOS_COMPLEMENTOS!$D$4:$D$803,B878,MOVIMIENTOS_COMPLEMENTOS!$E$4:$E$803,C878,MOVIMIENTOS_COMPLEMENTOS!$G$4:$G$803,E878,MOVIMIENTOS_COMPLEMENTOS!$H$4:$H$803,G878,MOVIMIENTOS_COMPLEMENTOS!$B$4:$B$803,"INGRESO")+SUMIFS(MOVIMIENTOS_COMPLEMENTOS!$I$4:$I$803,MOVIMIENTOS_COMPLEMENTOS!$C$4:$C$803,A878,MOVIMIENTOS_COMPLEMENTOS!$D$4:$D$803,B878,MOVIMIENTOS_COMPLEMENTOS!$E$4:$E$803,C878,MOVIMIENTOS_COMPLEMENTOS!$G$4:$G$803,E878,MOVIMIENTOS_COMPLEMENTOS!$H$4:$H$803,G878,MOVIMIENTOS_COMPLEMENTOS!$B$4:$B$803,"DE CORTE")-SUMIFS(MOVIMIENTOS_COMPLEMENTOS!$I$4:$I$803,MOVIMIENTOS_COMPLEMENTOS!$C$4:$C$803,A878,MOVIMIENTOS_COMPLEMENTOS!$D$4:$D$803,B878,MOVIMIENTOS_COMPLEMENTOS!$E$4:$E$803,C878,MOVIMIENTOS_COMPLEMENTOS!$G$4:$G$803,E878,MOVIMIENTOS_COMPLEMENTOS!$H$4:$H$803,G878,MOVIMIENTOS_COMPLEMENTOS!$B$4:$B$803,"SALIDA"),0)</f>
        <v>0</v>
      </c>
      <c r="I878" s="102">
        <f t="array" ref="I878">IFERROR(INDEX(PRECIOS_COMPLEMENTOS!$C$4:$F$17,MATCH(B878&amp;"_"&amp;C878,PRECIOS_COMPLEMENTOS!$H$4:$H$17,0),IF(OR(G878="S",G878="20cm"),1,IF(OR(G878="M",G878="25cm"),2,IF(OR(G878="L",G878="30cm"),3,IF(OR(G878="XL",G878="35cm"),4,0))))),0)</f>
        <v>0.4</v>
      </c>
      <c r="J878" s="103">
        <f t="shared" si="1"/>
        <v>0</v>
      </c>
      <c r="K878" s="104" t="str">
        <f>IF(H878&lt;0,"ERROR",IF(H878=0,"",IF(H878&lt;CONFIG!$B$4,"CRÍTICO",IF(H878&lt;CONFIG!$B$5,"BAJO","OK"))))</f>
        <v/>
      </c>
    </row>
    <row r="879" ht="15.75" hidden="1" customHeight="1">
      <c r="A879" s="90" t="str">
        <f>IF(CLIENTES!A5="","",CLIENTES!A5)</f>
        <v>Bravos</v>
      </c>
      <c r="B879" s="90" t="s">
        <v>321</v>
      </c>
      <c r="C879" s="91" t="s">
        <v>328</v>
      </c>
      <c r="D879" s="109" t="s">
        <v>353</v>
      </c>
      <c r="E879" s="67" t="str">
        <f>COLORES!A22</f>
        <v/>
      </c>
      <c r="F879" s="67" t="str">
        <f>COLORES!B22</f>
        <v/>
      </c>
      <c r="G879" s="90" t="s">
        <v>379</v>
      </c>
      <c r="H879" s="100">
        <f>IFERROR(SUMIFS(MOVIMIENTOS_COMPLEMENTOS!$I$4:$I$803,MOVIMIENTOS_COMPLEMENTOS!$C$4:$C$803,A879,MOVIMIENTOS_COMPLEMENTOS!$D$4:$D$803,B879,MOVIMIENTOS_COMPLEMENTOS!$E$4:$E$803,C879,MOVIMIENTOS_COMPLEMENTOS!$G$4:$G$803,E879,MOVIMIENTOS_COMPLEMENTOS!$H$4:$H$803,G879,MOVIMIENTOS_COMPLEMENTOS!$B$4:$B$803,"INGRESO")+SUMIFS(MOVIMIENTOS_COMPLEMENTOS!$I$4:$I$803,MOVIMIENTOS_COMPLEMENTOS!$C$4:$C$803,A879,MOVIMIENTOS_COMPLEMENTOS!$D$4:$D$803,B879,MOVIMIENTOS_COMPLEMENTOS!$E$4:$E$803,C879,MOVIMIENTOS_COMPLEMENTOS!$G$4:$G$803,E879,MOVIMIENTOS_COMPLEMENTOS!$H$4:$H$803,G879,MOVIMIENTOS_COMPLEMENTOS!$B$4:$B$803,"DE CORTE")-SUMIFS(MOVIMIENTOS_COMPLEMENTOS!$I$4:$I$803,MOVIMIENTOS_COMPLEMENTOS!$C$4:$C$803,A879,MOVIMIENTOS_COMPLEMENTOS!$D$4:$D$803,B879,MOVIMIENTOS_COMPLEMENTOS!$E$4:$E$803,C879,MOVIMIENTOS_COMPLEMENTOS!$G$4:$G$803,E879,MOVIMIENTOS_COMPLEMENTOS!$H$4:$H$803,G879,MOVIMIENTOS_COMPLEMENTOS!$B$4:$B$803,"SALIDA"),0)</f>
        <v>0</v>
      </c>
      <c r="I879" s="102">
        <f t="array" ref="I879">IFERROR(INDEX(PRECIOS_COMPLEMENTOS!$C$4:$F$17,MATCH(B879&amp;"_"&amp;C879,PRECIOS_COMPLEMENTOS!$H$4:$H$17,0),IF(OR(G879="S",G879="20cm"),1,IF(OR(G879="M",G879="25cm"),2,IF(OR(G879="L",G879="30cm"),3,IF(OR(G879="XL",G879="35cm"),4,0))))),0)</f>
        <v>0.4</v>
      </c>
      <c r="J879" s="103">
        <f t="shared" si="1"/>
        <v>0</v>
      </c>
      <c r="K879" s="104" t="str">
        <f>IF(H879&lt;0,"ERROR",IF(H879=0,"",IF(H879&lt;CONFIG!$B$4,"CRÍTICO",IF(H879&lt;CONFIG!$B$5,"BAJO","OK"))))</f>
        <v/>
      </c>
    </row>
    <row r="880" ht="15.75" hidden="1" customHeight="1">
      <c r="A880" s="90" t="str">
        <f>IF(CLIENTES!A5="","",CLIENTES!A5)</f>
        <v>Bravos</v>
      </c>
      <c r="B880" s="90" t="s">
        <v>321</v>
      </c>
      <c r="C880" s="91" t="s">
        <v>328</v>
      </c>
      <c r="D880" s="109" t="s">
        <v>353</v>
      </c>
      <c r="E880" s="67" t="str">
        <f>COLORES!A23</f>
        <v/>
      </c>
      <c r="F880" s="67" t="str">
        <f>COLORES!B23</f>
        <v/>
      </c>
      <c r="G880" s="90" t="s">
        <v>378</v>
      </c>
      <c r="H880" s="100">
        <f>IFERROR(SUMIFS(MOVIMIENTOS_COMPLEMENTOS!$I$4:$I$803,MOVIMIENTOS_COMPLEMENTOS!$C$4:$C$803,A880,MOVIMIENTOS_COMPLEMENTOS!$D$4:$D$803,B880,MOVIMIENTOS_COMPLEMENTOS!$E$4:$E$803,C880,MOVIMIENTOS_COMPLEMENTOS!$G$4:$G$803,E880,MOVIMIENTOS_COMPLEMENTOS!$H$4:$H$803,G880,MOVIMIENTOS_COMPLEMENTOS!$B$4:$B$803,"INGRESO")+SUMIFS(MOVIMIENTOS_COMPLEMENTOS!$I$4:$I$803,MOVIMIENTOS_COMPLEMENTOS!$C$4:$C$803,A880,MOVIMIENTOS_COMPLEMENTOS!$D$4:$D$803,B880,MOVIMIENTOS_COMPLEMENTOS!$E$4:$E$803,C880,MOVIMIENTOS_COMPLEMENTOS!$G$4:$G$803,E880,MOVIMIENTOS_COMPLEMENTOS!$H$4:$H$803,G880,MOVIMIENTOS_COMPLEMENTOS!$B$4:$B$803,"DE CORTE")-SUMIFS(MOVIMIENTOS_COMPLEMENTOS!$I$4:$I$803,MOVIMIENTOS_COMPLEMENTOS!$C$4:$C$803,A880,MOVIMIENTOS_COMPLEMENTOS!$D$4:$D$803,B880,MOVIMIENTOS_COMPLEMENTOS!$E$4:$E$803,C880,MOVIMIENTOS_COMPLEMENTOS!$G$4:$G$803,E880,MOVIMIENTOS_COMPLEMENTOS!$H$4:$H$803,G880,MOVIMIENTOS_COMPLEMENTOS!$B$4:$B$803,"SALIDA"),0)</f>
        <v>0</v>
      </c>
      <c r="I880" s="102">
        <f t="array" ref="I880">IFERROR(INDEX(PRECIOS_COMPLEMENTOS!$C$4:$F$17,MATCH(B880&amp;"_"&amp;C880,PRECIOS_COMPLEMENTOS!$H$4:$H$17,0),IF(OR(G880="S",G880="20cm"),1,IF(OR(G880="M",G880="25cm"),2,IF(OR(G880="L",G880="30cm"),3,IF(OR(G880="XL",G880="35cm"),4,0))))),0)</f>
        <v>0.4</v>
      </c>
      <c r="J880" s="103">
        <f t="shared" si="1"/>
        <v>0</v>
      </c>
      <c r="K880" s="104" t="str">
        <f>IF(H880&lt;0,"ERROR",IF(H880=0,"",IF(H880&lt;CONFIG!$B$4,"CRÍTICO",IF(H880&lt;CONFIG!$B$5,"BAJO","OK"))))</f>
        <v/>
      </c>
    </row>
    <row r="881" ht="15.75" hidden="1" customHeight="1">
      <c r="A881" s="90" t="str">
        <f>IF(CLIENTES!A5="","",CLIENTES!A5)</f>
        <v>Bravos</v>
      </c>
      <c r="B881" s="90" t="s">
        <v>321</v>
      </c>
      <c r="C881" s="91" t="s">
        <v>328</v>
      </c>
      <c r="D881" s="109" t="s">
        <v>353</v>
      </c>
      <c r="E881" s="67" t="str">
        <f>COLORES!A23</f>
        <v/>
      </c>
      <c r="F881" s="67" t="str">
        <f>COLORES!B23</f>
        <v/>
      </c>
      <c r="G881" s="90" t="s">
        <v>376</v>
      </c>
      <c r="H881" s="100">
        <f>IFERROR(SUMIFS(MOVIMIENTOS_COMPLEMENTOS!$I$4:$I$803,MOVIMIENTOS_COMPLEMENTOS!$C$4:$C$803,A881,MOVIMIENTOS_COMPLEMENTOS!$D$4:$D$803,B881,MOVIMIENTOS_COMPLEMENTOS!$E$4:$E$803,C881,MOVIMIENTOS_COMPLEMENTOS!$G$4:$G$803,E881,MOVIMIENTOS_COMPLEMENTOS!$H$4:$H$803,G881,MOVIMIENTOS_COMPLEMENTOS!$B$4:$B$803,"INGRESO")+SUMIFS(MOVIMIENTOS_COMPLEMENTOS!$I$4:$I$803,MOVIMIENTOS_COMPLEMENTOS!$C$4:$C$803,A881,MOVIMIENTOS_COMPLEMENTOS!$D$4:$D$803,B881,MOVIMIENTOS_COMPLEMENTOS!$E$4:$E$803,C881,MOVIMIENTOS_COMPLEMENTOS!$G$4:$G$803,E881,MOVIMIENTOS_COMPLEMENTOS!$H$4:$H$803,G881,MOVIMIENTOS_COMPLEMENTOS!$B$4:$B$803,"DE CORTE")-SUMIFS(MOVIMIENTOS_COMPLEMENTOS!$I$4:$I$803,MOVIMIENTOS_COMPLEMENTOS!$C$4:$C$803,A881,MOVIMIENTOS_COMPLEMENTOS!$D$4:$D$803,B881,MOVIMIENTOS_COMPLEMENTOS!$E$4:$E$803,C881,MOVIMIENTOS_COMPLEMENTOS!$G$4:$G$803,E881,MOVIMIENTOS_COMPLEMENTOS!$H$4:$H$803,G881,MOVIMIENTOS_COMPLEMENTOS!$B$4:$B$803,"SALIDA"),0)</f>
        <v>0</v>
      </c>
      <c r="I881" s="102">
        <f t="array" ref="I881">IFERROR(INDEX(PRECIOS_COMPLEMENTOS!$C$4:$F$17,MATCH(B881&amp;"_"&amp;C881,PRECIOS_COMPLEMENTOS!$H$4:$H$17,0),IF(OR(G881="S",G881="20cm"),1,IF(OR(G881="M",G881="25cm"),2,IF(OR(G881="L",G881="30cm"),3,IF(OR(G881="XL",G881="35cm"),4,0))))),0)</f>
        <v>0.4</v>
      </c>
      <c r="J881" s="103">
        <f t="shared" si="1"/>
        <v>0</v>
      </c>
      <c r="K881" s="104" t="str">
        <f>IF(H881&lt;0,"ERROR",IF(H881=0,"",IF(H881&lt;CONFIG!$B$4,"CRÍTICO",IF(H881&lt;CONFIG!$B$5,"BAJO","OK"))))</f>
        <v/>
      </c>
    </row>
    <row r="882" ht="15.75" hidden="1" customHeight="1">
      <c r="A882" s="90" t="str">
        <f>IF(CLIENTES!A5="","",CLIENTES!A5)</f>
        <v>Bravos</v>
      </c>
      <c r="B882" s="90" t="s">
        <v>321</v>
      </c>
      <c r="C882" s="91" t="s">
        <v>328</v>
      </c>
      <c r="D882" s="109" t="s">
        <v>353</v>
      </c>
      <c r="E882" s="67" t="str">
        <f>COLORES!A23</f>
        <v/>
      </c>
      <c r="F882" s="67" t="str">
        <f>COLORES!B23</f>
        <v/>
      </c>
      <c r="G882" s="90" t="s">
        <v>377</v>
      </c>
      <c r="H882" s="100">
        <f>IFERROR(SUMIFS(MOVIMIENTOS_COMPLEMENTOS!$I$4:$I$803,MOVIMIENTOS_COMPLEMENTOS!$C$4:$C$803,A882,MOVIMIENTOS_COMPLEMENTOS!$D$4:$D$803,B882,MOVIMIENTOS_COMPLEMENTOS!$E$4:$E$803,C882,MOVIMIENTOS_COMPLEMENTOS!$G$4:$G$803,E882,MOVIMIENTOS_COMPLEMENTOS!$H$4:$H$803,G882,MOVIMIENTOS_COMPLEMENTOS!$B$4:$B$803,"INGRESO")+SUMIFS(MOVIMIENTOS_COMPLEMENTOS!$I$4:$I$803,MOVIMIENTOS_COMPLEMENTOS!$C$4:$C$803,A882,MOVIMIENTOS_COMPLEMENTOS!$D$4:$D$803,B882,MOVIMIENTOS_COMPLEMENTOS!$E$4:$E$803,C882,MOVIMIENTOS_COMPLEMENTOS!$G$4:$G$803,E882,MOVIMIENTOS_COMPLEMENTOS!$H$4:$H$803,G882,MOVIMIENTOS_COMPLEMENTOS!$B$4:$B$803,"DE CORTE")-SUMIFS(MOVIMIENTOS_COMPLEMENTOS!$I$4:$I$803,MOVIMIENTOS_COMPLEMENTOS!$C$4:$C$803,A882,MOVIMIENTOS_COMPLEMENTOS!$D$4:$D$803,B882,MOVIMIENTOS_COMPLEMENTOS!$E$4:$E$803,C882,MOVIMIENTOS_COMPLEMENTOS!$G$4:$G$803,E882,MOVIMIENTOS_COMPLEMENTOS!$H$4:$H$803,G882,MOVIMIENTOS_COMPLEMENTOS!$B$4:$B$803,"SALIDA"),0)</f>
        <v>0</v>
      </c>
      <c r="I882" s="102">
        <f t="array" ref="I882">IFERROR(INDEX(PRECIOS_COMPLEMENTOS!$C$4:$F$17,MATCH(B882&amp;"_"&amp;C882,PRECIOS_COMPLEMENTOS!$H$4:$H$17,0),IF(OR(G882="S",G882="20cm"),1,IF(OR(G882="M",G882="25cm"),2,IF(OR(G882="L",G882="30cm"),3,IF(OR(G882="XL",G882="35cm"),4,0))))),0)</f>
        <v>0.4</v>
      </c>
      <c r="J882" s="103">
        <f t="shared" si="1"/>
        <v>0</v>
      </c>
      <c r="K882" s="104" t="str">
        <f>IF(H882&lt;0,"ERROR",IF(H882=0,"",IF(H882&lt;CONFIG!$B$4,"CRÍTICO",IF(H882&lt;CONFIG!$B$5,"BAJO","OK"))))</f>
        <v/>
      </c>
    </row>
    <row r="883" ht="15.75" hidden="1" customHeight="1">
      <c r="A883" s="90" t="str">
        <f>IF(CLIENTES!A5="","",CLIENTES!A5)</f>
        <v>Bravos</v>
      </c>
      <c r="B883" s="90" t="s">
        <v>321</v>
      </c>
      <c r="C883" s="91" t="s">
        <v>328</v>
      </c>
      <c r="D883" s="109" t="s">
        <v>353</v>
      </c>
      <c r="E883" s="67" t="str">
        <f>COLORES!A23</f>
        <v/>
      </c>
      <c r="F883" s="67" t="str">
        <f>COLORES!B23</f>
        <v/>
      </c>
      <c r="G883" s="90" t="s">
        <v>379</v>
      </c>
      <c r="H883" s="100">
        <f>IFERROR(SUMIFS(MOVIMIENTOS_COMPLEMENTOS!$I$4:$I$803,MOVIMIENTOS_COMPLEMENTOS!$C$4:$C$803,A883,MOVIMIENTOS_COMPLEMENTOS!$D$4:$D$803,B883,MOVIMIENTOS_COMPLEMENTOS!$E$4:$E$803,C883,MOVIMIENTOS_COMPLEMENTOS!$G$4:$G$803,E883,MOVIMIENTOS_COMPLEMENTOS!$H$4:$H$803,G883,MOVIMIENTOS_COMPLEMENTOS!$B$4:$B$803,"INGRESO")+SUMIFS(MOVIMIENTOS_COMPLEMENTOS!$I$4:$I$803,MOVIMIENTOS_COMPLEMENTOS!$C$4:$C$803,A883,MOVIMIENTOS_COMPLEMENTOS!$D$4:$D$803,B883,MOVIMIENTOS_COMPLEMENTOS!$E$4:$E$803,C883,MOVIMIENTOS_COMPLEMENTOS!$G$4:$G$803,E883,MOVIMIENTOS_COMPLEMENTOS!$H$4:$H$803,G883,MOVIMIENTOS_COMPLEMENTOS!$B$4:$B$803,"DE CORTE")-SUMIFS(MOVIMIENTOS_COMPLEMENTOS!$I$4:$I$803,MOVIMIENTOS_COMPLEMENTOS!$C$4:$C$803,A883,MOVIMIENTOS_COMPLEMENTOS!$D$4:$D$803,B883,MOVIMIENTOS_COMPLEMENTOS!$E$4:$E$803,C883,MOVIMIENTOS_COMPLEMENTOS!$G$4:$G$803,E883,MOVIMIENTOS_COMPLEMENTOS!$H$4:$H$803,G883,MOVIMIENTOS_COMPLEMENTOS!$B$4:$B$803,"SALIDA"),0)</f>
        <v>0</v>
      </c>
      <c r="I883" s="102">
        <f t="array" ref="I883">IFERROR(INDEX(PRECIOS_COMPLEMENTOS!$C$4:$F$17,MATCH(B883&amp;"_"&amp;C883,PRECIOS_COMPLEMENTOS!$H$4:$H$17,0),IF(OR(G883="S",G883="20cm"),1,IF(OR(G883="M",G883="25cm"),2,IF(OR(G883="L",G883="30cm"),3,IF(OR(G883="XL",G883="35cm"),4,0))))),0)</f>
        <v>0.4</v>
      </c>
      <c r="J883" s="103">
        <f t="shared" si="1"/>
        <v>0</v>
      </c>
      <c r="K883" s="104" t="str">
        <f>IF(H883&lt;0,"ERROR",IF(H883=0,"",IF(H883&lt;CONFIG!$B$4,"CRÍTICO",IF(H883&lt;CONFIG!$B$5,"BAJO","OK"))))</f>
        <v/>
      </c>
    </row>
    <row r="884" ht="15.75" hidden="1" customHeight="1">
      <c r="A884" s="90" t="str">
        <f>IF(CLIENTES!A6="","",CLIENTES!A6)</f>
        <v/>
      </c>
      <c r="B884" s="90" t="s">
        <v>321</v>
      </c>
      <c r="C884" s="91" t="s">
        <v>328</v>
      </c>
      <c r="D884" s="109" t="s">
        <v>353</v>
      </c>
      <c r="E884" s="67" t="str">
        <f>COLORES!A4</f>
        <v>Negro</v>
      </c>
      <c r="F884" s="67" t="str">
        <f>COLORES!B4</f>
        <v>OSCURO</v>
      </c>
      <c r="G884" s="90" t="s">
        <v>378</v>
      </c>
      <c r="H884" s="100">
        <f>IFERROR(SUMIFS(MOVIMIENTOS_COMPLEMENTOS!$I$4:$I$803,MOVIMIENTOS_COMPLEMENTOS!$C$4:$C$803,A884,MOVIMIENTOS_COMPLEMENTOS!$D$4:$D$803,B884,MOVIMIENTOS_COMPLEMENTOS!$E$4:$E$803,C884,MOVIMIENTOS_COMPLEMENTOS!$G$4:$G$803,E884,MOVIMIENTOS_COMPLEMENTOS!$H$4:$H$803,G884,MOVIMIENTOS_COMPLEMENTOS!$B$4:$B$803,"INGRESO")+SUMIFS(MOVIMIENTOS_COMPLEMENTOS!$I$4:$I$803,MOVIMIENTOS_COMPLEMENTOS!$C$4:$C$803,A884,MOVIMIENTOS_COMPLEMENTOS!$D$4:$D$803,B884,MOVIMIENTOS_COMPLEMENTOS!$E$4:$E$803,C884,MOVIMIENTOS_COMPLEMENTOS!$G$4:$G$803,E884,MOVIMIENTOS_COMPLEMENTOS!$H$4:$H$803,G884,MOVIMIENTOS_COMPLEMENTOS!$B$4:$B$803,"DE CORTE")-SUMIFS(MOVIMIENTOS_COMPLEMENTOS!$I$4:$I$803,MOVIMIENTOS_COMPLEMENTOS!$C$4:$C$803,A884,MOVIMIENTOS_COMPLEMENTOS!$D$4:$D$803,B884,MOVIMIENTOS_COMPLEMENTOS!$E$4:$E$803,C884,MOVIMIENTOS_COMPLEMENTOS!$G$4:$G$803,E884,MOVIMIENTOS_COMPLEMENTOS!$H$4:$H$803,G884,MOVIMIENTOS_COMPLEMENTOS!$B$4:$B$803,"SALIDA"),0)</f>
        <v>0</v>
      </c>
      <c r="I884" s="102">
        <f t="array" ref="I884">IFERROR(INDEX(PRECIOS_COMPLEMENTOS!$C$4:$F$17,MATCH(B884&amp;"_"&amp;C884,PRECIOS_COMPLEMENTOS!$H$4:$H$17,0),IF(OR(G884="S",G884="20cm"),1,IF(OR(G884="M",G884="25cm"),2,IF(OR(G884="L",G884="30cm"),3,IF(OR(G884="XL",G884="35cm"),4,0))))),0)</f>
        <v>0.4</v>
      </c>
      <c r="J884" s="103">
        <f t="shared" si="1"/>
        <v>0</v>
      </c>
      <c r="K884" s="104" t="str">
        <f>IF(H884&lt;0,"ERROR",IF(H884=0,"",IF(H884&lt;CONFIG!$B$4,"CRÍTICO",IF(H884&lt;CONFIG!$B$5,"BAJO","OK"))))</f>
        <v/>
      </c>
    </row>
    <row r="885" ht="15.75" hidden="1" customHeight="1">
      <c r="A885" s="90" t="str">
        <f>IF(CLIENTES!A6="","",CLIENTES!A6)</f>
        <v/>
      </c>
      <c r="B885" s="90" t="s">
        <v>321</v>
      </c>
      <c r="C885" s="91" t="s">
        <v>328</v>
      </c>
      <c r="D885" s="109" t="s">
        <v>353</v>
      </c>
      <c r="E885" s="67" t="str">
        <f>COLORES!A4</f>
        <v>Negro</v>
      </c>
      <c r="F885" s="67" t="str">
        <f>COLORES!B4</f>
        <v>OSCURO</v>
      </c>
      <c r="G885" s="90" t="s">
        <v>376</v>
      </c>
      <c r="H885" s="100">
        <f>IFERROR(SUMIFS(MOVIMIENTOS_COMPLEMENTOS!$I$4:$I$803,MOVIMIENTOS_COMPLEMENTOS!$C$4:$C$803,A885,MOVIMIENTOS_COMPLEMENTOS!$D$4:$D$803,B885,MOVIMIENTOS_COMPLEMENTOS!$E$4:$E$803,C885,MOVIMIENTOS_COMPLEMENTOS!$G$4:$G$803,E885,MOVIMIENTOS_COMPLEMENTOS!$H$4:$H$803,G885,MOVIMIENTOS_COMPLEMENTOS!$B$4:$B$803,"INGRESO")+SUMIFS(MOVIMIENTOS_COMPLEMENTOS!$I$4:$I$803,MOVIMIENTOS_COMPLEMENTOS!$C$4:$C$803,A885,MOVIMIENTOS_COMPLEMENTOS!$D$4:$D$803,B885,MOVIMIENTOS_COMPLEMENTOS!$E$4:$E$803,C885,MOVIMIENTOS_COMPLEMENTOS!$G$4:$G$803,E885,MOVIMIENTOS_COMPLEMENTOS!$H$4:$H$803,G885,MOVIMIENTOS_COMPLEMENTOS!$B$4:$B$803,"DE CORTE")-SUMIFS(MOVIMIENTOS_COMPLEMENTOS!$I$4:$I$803,MOVIMIENTOS_COMPLEMENTOS!$C$4:$C$803,A885,MOVIMIENTOS_COMPLEMENTOS!$D$4:$D$803,B885,MOVIMIENTOS_COMPLEMENTOS!$E$4:$E$803,C885,MOVIMIENTOS_COMPLEMENTOS!$G$4:$G$803,E885,MOVIMIENTOS_COMPLEMENTOS!$H$4:$H$803,G885,MOVIMIENTOS_COMPLEMENTOS!$B$4:$B$803,"SALIDA"),0)</f>
        <v>0</v>
      </c>
      <c r="I885" s="102">
        <f t="array" ref="I885">IFERROR(INDEX(PRECIOS_COMPLEMENTOS!$C$4:$F$17,MATCH(B885&amp;"_"&amp;C885,PRECIOS_COMPLEMENTOS!$H$4:$H$17,0),IF(OR(G885="S",G885="20cm"),1,IF(OR(G885="M",G885="25cm"),2,IF(OR(G885="L",G885="30cm"),3,IF(OR(G885="XL",G885="35cm"),4,0))))),0)</f>
        <v>0.4</v>
      </c>
      <c r="J885" s="103">
        <f t="shared" si="1"/>
        <v>0</v>
      </c>
      <c r="K885" s="104" t="str">
        <f>IF(H885&lt;0,"ERROR",IF(H885=0,"",IF(H885&lt;CONFIG!$B$4,"CRÍTICO",IF(H885&lt;CONFIG!$B$5,"BAJO","OK"))))</f>
        <v/>
      </c>
    </row>
    <row r="886" ht="15.75" hidden="1" customHeight="1">
      <c r="A886" s="90" t="str">
        <f>IF(CLIENTES!A6="","",CLIENTES!A6)</f>
        <v/>
      </c>
      <c r="B886" s="90" t="s">
        <v>321</v>
      </c>
      <c r="C886" s="91" t="s">
        <v>328</v>
      </c>
      <c r="D886" s="109" t="s">
        <v>353</v>
      </c>
      <c r="E886" s="67" t="str">
        <f>COLORES!A4</f>
        <v>Negro</v>
      </c>
      <c r="F886" s="67" t="str">
        <f>COLORES!B4</f>
        <v>OSCURO</v>
      </c>
      <c r="G886" s="90" t="s">
        <v>377</v>
      </c>
      <c r="H886" s="100">
        <f>IFERROR(SUMIFS(MOVIMIENTOS_COMPLEMENTOS!$I$4:$I$803,MOVIMIENTOS_COMPLEMENTOS!$C$4:$C$803,A886,MOVIMIENTOS_COMPLEMENTOS!$D$4:$D$803,B886,MOVIMIENTOS_COMPLEMENTOS!$E$4:$E$803,C886,MOVIMIENTOS_COMPLEMENTOS!$G$4:$G$803,E886,MOVIMIENTOS_COMPLEMENTOS!$H$4:$H$803,G886,MOVIMIENTOS_COMPLEMENTOS!$B$4:$B$803,"INGRESO")+SUMIFS(MOVIMIENTOS_COMPLEMENTOS!$I$4:$I$803,MOVIMIENTOS_COMPLEMENTOS!$C$4:$C$803,A886,MOVIMIENTOS_COMPLEMENTOS!$D$4:$D$803,B886,MOVIMIENTOS_COMPLEMENTOS!$E$4:$E$803,C886,MOVIMIENTOS_COMPLEMENTOS!$G$4:$G$803,E886,MOVIMIENTOS_COMPLEMENTOS!$H$4:$H$803,G886,MOVIMIENTOS_COMPLEMENTOS!$B$4:$B$803,"DE CORTE")-SUMIFS(MOVIMIENTOS_COMPLEMENTOS!$I$4:$I$803,MOVIMIENTOS_COMPLEMENTOS!$C$4:$C$803,A886,MOVIMIENTOS_COMPLEMENTOS!$D$4:$D$803,B886,MOVIMIENTOS_COMPLEMENTOS!$E$4:$E$803,C886,MOVIMIENTOS_COMPLEMENTOS!$G$4:$G$803,E886,MOVIMIENTOS_COMPLEMENTOS!$H$4:$H$803,G886,MOVIMIENTOS_COMPLEMENTOS!$B$4:$B$803,"SALIDA"),0)</f>
        <v>0</v>
      </c>
      <c r="I886" s="102">
        <f t="array" ref="I886">IFERROR(INDEX(PRECIOS_COMPLEMENTOS!$C$4:$F$17,MATCH(B886&amp;"_"&amp;C886,PRECIOS_COMPLEMENTOS!$H$4:$H$17,0),IF(OR(G886="S",G886="20cm"),1,IF(OR(G886="M",G886="25cm"),2,IF(OR(G886="L",G886="30cm"),3,IF(OR(G886="XL",G886="35cm"),4,0))))),0)</f>
        <v>0.4</v>
      </c>
      <c r="J886" s="103">
        <f t="shared" si="1"/>
        <v>0</v>
      </c>
      <c r="K886" s="104" t="str">
        <f>IF(H886&lt;0,"ERROR",IF(H886=0,"",IF(H886&lt;CONFIG!$B$4,"CRÍTICO",IF(H886&lt;CONFIG!$B$5,"BAJO","OK"))))</f>
        <v/>
      </c>
    </row>
    <row r="887" ht="15.75" hidden="1" customHeight="1">
      <c r="A887" s="90" t="str">
        <f>IF(CLIENTES!A6="","",CLIENTES!A6)</f>
        <v/>
      </c>
      <c r="B887" s="90" t="s">
        <v>321</v>
      </c>
      <c r="C887" s="91" t="s">
        <v>328</v>
      </c>
      <c r="D887" s="109" t="s">
        <v>353</v>
      </c>
      <c r="E887" s="67" t="str">
        <f>COLORES!A4</f>
        <v>Negro</v>
      </c>
      <c r="F887" s="67" t="str">
        <f>COLORES!B4</f>
        <v>OSCURO</v>
      </c>
      <c r="G887" s="90" t="s">
        <v>379</v>
      </c>
      <c r="H887" s="100">
        <f>IFERROR(SUMIFS(MOVIMIENTOS_COMPLEMENTOS!$I$4:$I$803,MOVIMIENTOS_COMPLEMENTOS!$C$4:$C$803,A887,MOVIMIENTOS_COMPLEMENTOS!$D$4:$D$803,B887,MOVIMIENTOS_COMPLEMENTOS!$E$4:$E$803,C887,MOVIMIENTOS_COMPLEMENTOS!$G$4:$G$803,E887,MOVIMIENTOS_COMPLEMENTOS!$H$4:$H$803,G887,MOVIMIENTOS_COMPLEMENTOS!$B$4:$B$803,"INGRESO")+SUMIFS(MOVIMIENTOS_COMPLEMENTOS!$I$4:$I$803,MOVIMIENTOS_COMPLEMENTOS!$C$4:$C$803,A887,MOVIMIENTOS_COMPLEMENTOS!$D$4:$D$803,B887,MOVIMIENTOS_COMPLEMENTOS!$E$4:$E$803,C887,MOVIMIENTOS_COMPLEMENTOS!$G$4:$G$803,E887,MOVIMIENTOS_COMPLEMENTOS!$H$4:$H$803,G887,MOVIMIENTOS_COMPLEMENTOS!$B$4:$B$803,"DE CORTE")-SUMIFS(MOVIMIENTOS_COMPLEMENTOS!$I$4:$I$803,MOVIMIENTOS_COMPLEMENTOS!$C$4:$C$803,A887,MOVIMIENTOS_COMPLEMENTOS!$D$4:$D$803,B887,MOVIMIENTOS_COMPLEMENTOS!$E$4:$E$803,C887,MOVIMIENTOS_COMPLEMENTOS!$G$4:$G$803,E887,MOVIMIENTOS_COMPLEMENTOS!$H$4:$H$803,G887,MOVIMIENTOS_COMPLEMENTOS!$B$4:$B$803,"SALIDA"),0)</f>
        <v>0</v>
      </c>
      <c r="I887" s="102">
        <f t="array" ref="I887">IFERROR(INDEX(PRECIOS_COMPLEMENTOS!$C$4:$F$17,MATCH(B887&amp;"_"&amp;C887,PRECIOS_COMPLEMENTOS!$H$4:$H$17,0),IF(OR(G887="S",G887="20cm"),1,IF(OR(G887="M",G887="25cm"),2,IF(OR(G887="L",G887="30cm"),3,IF(OR(G887="XL",G887="35cm"),4,0))))),0)</f>
        <v>0.4</v>
      </c>
      <c r="J887" s="103">
        <f t="shared" si="1"/>
        <v>0</v>
      </c>
      <c r="K887" s="104" t="str">
        <f>IF(H887&lt;0,"ERROR",IF(H887=0,"",IF(H887&lt;CONFIG!$B$4,"CRÍTICO",IF(H887&lt;CONFIG!$B$5,"BAJO","OK"))))</f>
        <v/>
      </c>
    </row>
    <row r="888" ht="15.75" hidden="1" customHeight="1">
      <c r="A888" s="90" t="str">
        <f>IF(CLIENTES!A6="","",CLIENTES!A6)</f>
        <v/>
      </c>
      <c r="B888" s="90" t="s">
        <v>321</v>
      </c>
      <c r="C888" s="91" t="s">
        <v>328</v>
      </c>
      <c r="D888" s="109" t="s">
        <v>353</v>
      </c>
      <c r="E888" s="67" t="str">
        <f>COLORES!A5</f>
        <v>Perla</v>
      </c>
      <c r="F888" s="67" t="str">
        <f>COLORES!B5</f>
        <v>PPT</v>
      </c>
      <c r="G888" s="90" t="s">
        <v>378</v>
      </c>
      <c r="H888" s="100">
        <f>IFERROR(SUMIFS(MOVIMIENTOS_COMPLEMENTOS!$I$4:$I$803,MOVIMIENTOS_COMPLEMENTOS!$C$4:$C$803,A888,MOVIMIENTOS_COMPLEMENTOS!$D$4:$D$803,B888,MOVIMIENTOS_COMPLEMENTOS!$E$4:$E$803,C888,MOVIMIENTOS_COMPLEMENTOS!$G$4:$G$803,E888,MOVIMIENTOS_COMPLEMENTOS!$H$4:$H$803,G888,MOVIMIENTOS_COMPLEMENTOS!$B$4:$B$803,"INGRESO")+SUMIFS(MOVIMIENTOS_COMPLEMENTOS!$I$4:$I$803,MOVIMIENTOS_COMPLEMENTOS!$C$4:$C$803,A888,MOVIMIENTOS_COMPLEMENTOS!$D$4:$D$803,B888,MOVIMIENTOS_COMPLEMENTOS!$E$4:$E$803,C888,MOVIMIENTOS_COMPLEMENTOS!$G$4:$G$803,E888,MOVIMIENTOS_COMPLEMENTOS!$H$4:$H$803,G888,MOVIMIENTOS_COMPLEMENTOS!$B$4:$B$803,"DE CORTE")-SUMIFS(MOVIMIENTOS_COMPLEMENTOS!$I$4:$I$803,MOVIMIENTOS_COMPLEMENTOS!$C$4:$C$803,A888,MOVIMIENTOS_COMPLEMENTOS!$D$4:$D$803,B888,MOVIMIENTOS_COMPLEMENTOS!$E$4:$E$803,C888,MOVIMIENTOS_COMPLEMENTOS!$G$4:$G$803,E888,MOVIMIENTOS_COMPLEMENTOS!$H$4:$H$803,G888,MOVIMIENTOS_COMPLEMENTOS!$B$4:$B$803,"SALIDA"),0)</f>
        <v>0</v>
      </c>
      <c r="I888" s="102">
        <f t="array" ref="I888">IFERROR(INDEX(PRECIOS_COMPLEMENTOS!$C$4:$F$17,MATCH(B888&amp;"_"&amp;C888,PRECIOS_COMPLEMENTOS!$H$4:$H$17,0),IF(OR(G888="S",G888="20cm"),1,IF(OR(G888="M",G888="25cm"),2,IF(OR(G888="L",G888="30cm"),3,IF(OR(G888="XL",G888="35cm"),4,0))))),0)</f>
        <v>0.4</v>
      </c>
      <c r="J888" s="103">
        <f t="shared" si="1"/>
        <v>0</v>
      </c>
      <c r="K888" s="104" t="str">
        <f>IF(H888&lt;0,"ERROR",IF(H888=0,"",IF(H888&lt;CONFIG!$B$4,"CRÍTICO",IF(H888&lt;CONFIG!$B$5,"BAJO","OK"))))</f>
        <v/>
      </c>
    </row>
    <row r="889" ht="15.75" hidden="1" customHeight="1">
      <c r="A889" s="90" t="str">
        <f>IF(CLIENTES!A6="","",CLIENTES!A6)</f>
        <v/>
      </c>
      <c r="B889" s="90" t="s">
        <v>321</v>
      </c>
      <c r="C889" s="91" t="s">
        <v>328</v>
      </c>
      <c r="D889" s="109" t="s">
        <v>353</v>
      </c>
      <c r="E889" s="67" t="str">
        <f>COLORES!A5</f>
        <v>Perla</v>
      </c>
      <c r="F889" s="67" t="str">
        <f>COLORES!B5</f>
        <v>PPT</v>
      </c>
      <c r="G889" s="90" t="s">
        <v>376</v>
      </c>
      <c r="H889" s="100">
        <f>IFERROR(SUMIFS(MOVIMIENTOS_COMPLEMENTOS!$I$4:$I$803,MOVIMIENTOS_COMPLEMENTOS!$C$4:$C$803,A889,MOVIMIENTOS_COMPLEMENTOS!$D$4:$D$803,B889,MOVIMIENTOS_COMPLEMENTOS!$E$4:$E$803,C889,MOVIMIENTOS_COMPLEMENTOS!$G$4:$G$803,E889,MOVIMIENTOS_COMPLEMENTOS!$H$4:$H$803,G889,MOVIMIENTOS_COMPLEMENTOS!$B$4:$B$803,"INGRESO")+SUMIFS(MOVIMIENTOS_COMPLEMENTOS!$I$4:$I$803,MOVIMIENTOS_COMPLEMENTOS!$C$4:$C$803,A889,MOVIMIENTOS_COMPLEMENTOS!$D$4:$D$803,B889,MOVIMIENTOS_COMPLEMENTOS!$E$4:$E$803,C889,MOVIMIENTOS_COMPLEMENTOS!$G$4:$G$803,E889,MOVIMIENTOS_COMPLEMENTOS!$H$4:$H$803,G889,MOVIMIENTOS_COMPLEMENTOS!$B$4:$B$803,"DE CORTE")-SUMIFS(MOVIMIENTOS_COMPLEMENTOS!$I$4:$I$803,MOVIMIENTOS_COMPLEMENTOS!$C$4:$C$803,A889,MOVIMIENTOS_COMPLEMENTOS!$D$4:$D$803,B889,MOVIMIENTOS_COMPLEMENTOS!$E$4:$E$803,C889,MOVIMIENTOS_COMPLEMENTOS!$G$4:$G$803,E889,MOVIMIENTOS_COMPLEMENTOS!$H$4:$H$803,G889,MOVIMIENTOS_COMPLEMENTOS!$B$4:$B$803,"SALIDA"),0)</f>
        <v>0</v>
      </c>
      <c r="I889" s="102">
        <f t="array" ref="I889">IFERROR(INDEX(PRECIOS_COMPLEMENTOS!$C$4:$F$17,MATCH(B889&amp;"_"&amp;C889,PRECIOS_COMPLEMENTOS!$H$4:$H$17,0),IF(OR(G889="S",G889="20cm"),1,IF(OR(G889="M",G889="25cm"),2,IF(OR(G889="L",G889="30cm"),3,IF(OR(G889="XL",G889="35cm"),4,0))))),0)</f>
        <v>0.4</v>
      </c>
      <c r="J889" s="103">
        <f t="shared" si="1"/>
        <v>0</v>
      </c>
      <c r="K889" s="104" t="str">
        <f>IF(H889&lt;0,"ERROR",IF(H889=0,"",IF(H889&lt;CONFIG!$B$4,"CRÍTICO",IF(H889&lt;CONFIG!$B$5,"BAJO","OK"))))</f>
        <v/>
      </c>
    </row>
    <row r="890" ht="15.75" hidden="1" customHeight="1">
      <c r="A890" s="90" t="str">
        <f>IF(CLIENTES!A6="","",CLIENTES!A6)</f>
        <v/>
      </c>
      <c r="B890" s="90" t="s">
        <v>321</v>
      </c>
      <c r="C890" s="91" t="s">
        <v>328</v>
      </c>
      <c r="D890" s="109" t="s">
        <v>353</v>
      </c>
      <c r="E890" s="67" t="str">
        <f>COLORES!A5</f>
        <v>Perla</v>
      </c>
      <c r="F890" s="67" t="str">
        <f>COLORES!B5</f>
        <v>PPT</v>
      </c>
      <c r="G890" s="90" t="s">
        <v>377</v>
      </c>
      <c r="H890" s="100">
        <f>IFERROR(SUMIFS(MOVIMIENTOS_COMPLEMENTOS!$I$4:$I$803,MOVIMIENTOS_COMPLEMENTOS!$C$4:$C$803,A890,MOVIMIENTOS_COMPLEMENTOS!$D$4:$D$803,B890,MOVIMIENTOS_COMPLEMENTOS!$E$4:$E$803,C890,MOVIMIENTOS_COMPLEMENTOS!$G$4:$G$803,E890,MOVIMIENTOS_COMPLEMENTOS!$H$4:$H$803,G890,MOVIMIENTOS_COMPLEMENTOS!$B$4:$B$803,"INGRESO")+SUMIFS(MOVIMIENTOS_COMPLEMENTOS!$I$4:$I$803,MOVIMIENTOS_COMPLEMENTOS!$C$4:$C$803,A890,MOVIMIENTOS_COMPLEMENTOS!$D$4:$D$803,B890,MOVIMIENTOS_COMPLEMENTOS!$E$4:$E$803,C890,MOVIMIENTOS_COMPLEMENTOS!$G$4:$G$803,E890,MOVIMIENTOS_COMPLEMENTOS!$H$4:$H$803,G890,MOVIMIENTOS_COMPLEMENTOS!$B$4:$B$803,"DE CORTE")-SUMIFS(MOVIMIENTOS_COMPLEMENTOS!$I$4:$I$803,MOVIMIENTOS_COMPLEMENTOS!$C$4:$C$803,A890,MOVIMIENTOS_COMPLEMENTOS!$D$4:$D$803,B890,MOVIMIENTOS_COMPLEMENTOS!$E$4:$E$803,C890,MOVIMIENTOS_COMPLEMENTOS!$G$4:$G$803,E890,MOVIMIENTOS_COMPLEMENTOS!$H$4:$H$803,G890,MOVIMIENTOS_COMPLEMENTOS!$B$4:$B$803,"SALIDA"),0)</f>
        <v>0</v>
      </c>
      <c r="I890" s="102">
        <f t="array" ref="I890">IFERROR(INDEX(PRECIOS_COMPLEMENTOS!$C$4:$F$17,MATCH(B890&amp;"_"&amp;C890,PRECIOS_COMPLEMENTOS!$H$4:$H$17,0),IF(OR(G890="S",G890="20cm"),1,IF(OR(G890="M",G890="25cm"),2,IF(OR(G890="L",G890="30cm"),3,IF(OR(G890="XL",G890="35cm"),4,0))))),0)</f>
        <v>0.4</v>
      </c>
      <c r="J890" s="103">
        <f t="shared" si="1"/>
        <v>0</v>
      </c>
      <c r="K890" s="104" t="str">
        <f>IF(H890&lt;0,"ERROR",IF(H890=0,"",IF(H890&lt;CONFIG!$B$4,"CRÍTICO",IF(H890&lt;CONFIG!$B$5,"BAJO","OK"))))</f>
        <v/>
      </c>
    </row>
    <row r="891" ht="15.75" hidden="1" customHeight="1">
      <c r="A891" s="90" t="str">
        <f>IF(CLIENTES!A6="","",CLIENTES!A6)</f>
        <v/>
      </c>
      <c r="B891" s="90" t="s">
        <v>321</v>
      </c>
      <c r="C891" s="91" t="s">
        <v>328</v>
      </c>
      <c r="D891" s="109" t="s">
        <v>353</v>
      </c>
      <c r="E891" s="67" t="str">
        <f>COLORES!A5</f>
        <v>Perla</v>
      </c>
      <c r="F891" s="67" t="str">
        <f>COLORES!B5</f>
        <v>PPT</v>
      </c>
      <c r="G891" s="90" t="s">
        <v>379</v>
      </c>
      <c r="H891" s="100">
        <f>IFERROR(SUMIFS(MOVIMIENTOS_COMPLEMENTOS!$I$4:$I$803,MOVIMIENTOS_COMPLEMENTOS!$C$4:$C$803,A891,MOVIMIENTOS_COMPLEMENTOS!$D$4:$D$803,B891,MOVIMIENTOS_COMPLEMENTOS!$E$4:$E$803,C891,MOVIMIENTOS_COMPLEMENTOS!$G$4:$G$803,E891,MOVIMIENTOS_COMPLEMENTOS!$H$4:$H$803,G891,MOVIMIENTOS_COMPLEMENTOS!$B$4:$B$803,"INGRESO")+SUMIFS(MOVIMIENTOS_COMPLEMENTOS!$I$4:$I$803,MOVIMIENTOS_COMPLEMENTOS!$C$4:$C$803,A891,MOVIMIENTOS_COMPLEMENTOS!$D$4:$D$803,B891,MOVIMIENTOS_COMPLEMENTOS!$E$4:$E$803,C891,MOVIMIENTOS_COMPLEMENTOS!$G$4:$G$803,E891,MOVIMIENTOS_COMPLEMENTOS!$H$4:$H$803,G891,MOVIMIENTOS_COMPLEMENTOS!$B$4:$B$803,"DE CORTE")-SUMIFS(MOVIMIENTOS_COMPLEMENTOS!$I$4:$I$803,MOVIMIENTOS_COMPLEMENTOS!$C$4:$C$803,A891,MOVIMIENTOS_COMPLEMENTOS!$D$4:$D$803,B891,MOVIMIENTOS_COMPLEMENTOS!$E$4:$E$803,C891,MOVIMIENTOS_COMPLEMENTOS!$G$4:$G$803,E891,MOVIMIENTOS_COMPLEMENTOS!$H$4:$H$803,G891,MOVIMIENTOS_COMPLEMENTOS!$B$4:$B$803,"SALIDA"),0)</f>
        <v>0</v>
      </c>
      <c r="I891" s="102">
        <f t="array" ref="I891">IFERROR(INDEX(PRECIOS_COMPLEMENTOS!$C$4:$F$17,MATCH(B891&amp;"_"&amp;C891,PRECIOS_COMPLEMENTOS!$H$4:$H$17,0),IF(OR(G891="S",G891="20cm"),1,IF(OR(G891="M",G891="25cm"),2,IF(OR(G891="L",G891="30cm"),3,IF(OR(G891="XL",G891="35cm"),4,0))))),0)</f>
        <v>0.4</v>
      </c>
      <c r="J891" s="103">
        <f t="shared" si="1"/>
        <v>0</v>
      </c>
      <c r="K891" s="104" t="str">
        <f>IF(H891&lt;0,"ERROR",IF(H891=0,"",IF(H891&lt;CONFIG!$B$4,"CRÍTICO",IF(H891&lt;CONFIG!$B$5,"BAJO","OK"))))</f>
        <v/>
      </c>
    </row>
    <row r="892" ht="15.75" hidden="1" customHeight="1">
      <c r="A892" s="90" t="str">
        <f>IF(CLIENTES!A6="","",CLIENTES!A6)</f>
        <v/>
      </c>
      <c r="B892" s="90" t="s">
        <v>321</v>
      </c>
      <c r="C892" s="91" t="s">
        <v>328</v>
      </c>
      <c r="D892" s="109" t="s">
        <v>353</v>
      </c>
      <c r="E892" s="67" t="str">
        <f>COLORES!A6</f>
        <v>Blanco</v>
      </c>
      <c r="F892" s="67" t="str">
        <f>COLORES!B6</f>
        <v>PPT</v>
      </c>
      <c r="G892" s="90" t="s">
        <v>378</v>
      </c>
      <c r="H892" s="100">
        <f>IFERROR(SUMIFS(MOVIMIENTOS_COMPLEMENTOS!$I$4:$I$803,MOVIMIENTOS_COMPLEMENTOS!$C$4:$C$803,A892,MOVIMIENTOS_COMPLEMENTOS!$D$4:$D$803,B892,MOVIMIENTOS_COMPLEMENTOS!$E$4:$E$803,C892,MOVIMIENTOS_COMPLEMENTOS!$G$4:$G$803,E892,MOVIMIENTOS_COMPLEMENTOS!$H$4:$H$803,G892,MOVIMIENTOS_COMPLEMENTOS!$B$4:$B$803,"INGRESO")+SUMIFS(MOVIMIENTOS_COMPLEMENTOS!$I$4:$I$803,MOVIMIENTOS_COMPLEMENTOS!$C$4:$C$803,A892,MOVIMIENTOS_COMPLEMENTOS!$D$4:$D$803,B892,MOVIMIENTOS_COMPLEMENTOS!$E$4:$E$803,C892,MOVIMIENTOS_COMPLEMENTOS!$G$4:$G$803,E892,MOVIMIENTOS_COMPLEMENTOS!$H$4:$H$803,G892,MOVIMIENTOS_COMPLEMENTOS!$B$4:$B$803,"DE CORTE")-SUMIFS(MOVIMIENTOS_COMPLEMENTOS!$I$4:$I$803,MOVIMIENTOS_COMPLEMENTOS!$C$4:$C$803,A892,MOVIMIENTOS_COMPLEMENTOS!$D$4:$D$803,B892,MOVIMIENTOS_COMPLEMENTOS!$E$4:$E$803,C892,MOVIMIENTOS_COMPLEMENTOS!$G$4:$G$803,E892,MOVIMIENTOS_COMPLEMENTOS!$H$4:$H$803,G892,MOVIMIENTOS_COMPLEMENTOS!$B$4:$B$803,"SALIDA"),0)</f>
        <v>0</v>
      </c>
      <c r="I892" s="102">
        <f t="array" ref="I892">IFERROR(INDEX(PRECIOS_COMPLEMENTOS!$C$4:$F$17,MATCH(B892&amp;"_"&amp;C892,PRECIOS_COMPLEMENTOS!$H$4:$H$17,0),IF(OR(G892="S",G892="20cm"),1,IF(OR(G892="M",G892="25cm"),2,IF(OR(G892="L",G892="30cm"),3,IF(OR(G892="XL",G892="35cm"),4,0))))),0)</f>
        <v>0.4</v>
      </c>
      <c r="J892" s="103">
        <f t="shared" si="1"/>
        <v>0</v>
      </c>
      <c r="K892" s="104" t="str">
        <f>IF(H892&lt;0,"ERROR",IF(H892=0,"",IF(H892&lt;CONFIG!$B$4,"CRÍTICO",IF(H892&lt;CONFIG!$B$5,"BAJO","OK"))))</f>
        <v/>
      </c>
    </row>
    <row r="893" ht="15.75" hidden="1" customHeight="1">
      <c r="A893" s="90" t="str">
        <f>IF(CLIENTES!A6="","",CLIENTES!A6)</f>
        <v/>
      </c>
      <c r="B893" s="90" t="s">
        <v>321</v>
      </c>
      <c r="C893" s="91" t="s">
        <v>328</v>
      </c>
      <c r="D893" s="109" t="s">
        <v>353</v>
      </c>
      <c r="E893" s="67" t="str">
        <f>COLORES!A6</f>
        <v>Blanco</v>
      </c>
      <c r="F893" s="67" t="str">
        <f>COLORES!B6</f>
        <v>PPT</v>
      </c>
      <c r="G893" s="90" t="s">
        <v>376</v>
      </c>
      <c r="H893" s="100">
        <f>IFERROR(SUMIFS(MOVIMIENTOS_COMPLEMENTOS!$I$4:$I$803,MOVIMIENTOS_COMPLEMENTOS!$C$4:$C$803,A893,MOVIMIENTOS_COMPLEMENTOS!$D$4:$D$803,B893,MOVIMIENTOS_COMPLEMENTOS!$E$4:$E$803,C893,MOVIMIENTOS_COMPLEMENTOS!$G$4:$G$803,E893,MOVIMIENTOS_COMPLEMENTOS!$H$4:$H$803,G893,MOVIMIENTOS_COMPLEMENTOS!$B$4:$B$803,"INGRESO")+SUMIFS(MOVIMIENTOS_COMPLEMENTOS!$I$4:$I$803,MOVIMIENTOS_COMPLEMENTOS!$C$4:$C$803,A893,MOVIMIENTOS_COMPLEMENTOS!$D$4:$D$803,B893,MOVIMIENTOS_COMPLEMENTOS!$E$4:$E$803,C893,MOVIMIENTOS_COMPLEMENTOS!$G$4:$G$803,E893,MOVIMIENTOS_COMPLEMENTOS!$H$4:$H$803,G893,MOVIMIENTOS_COMPLEMENTOS!$B$4:$B$803,"DE CORTE")-SUMIFS(MOVIMIENTOS_COMPLEMENTOS!$I$4:$I$803,MOVIMIENTOS_COMPLEMENTOS!$C$4:$C$803,A893,MOVIMIENTOS_COMPLEMENTOS!$D$4:$D$803,B893,MOVIMIENTOS_COMPLEMENTOS!$E$4:$E$803,C893,MOVIMIENTOS_COMPLEMENTOS!$G$4:$G$803,E893,MOVIMIENTOS_COMPLEMENTOS!$H$4:$H$803,G893,MOVIMIENTOS_COMPLEMENTOS!$B$4:$B$803,"SALIDA"),0)</f>
        <v>0</v>
      </c>
      <c r="I893" s="102">
        <f t="array" ref="I893">IFERROR(INDEX(PRECIOS_COMPLEMENTOS!$C$4:$F$17,MATCH(B893&amp;"_"&amp;C893,PRECIOS_COMPLEMENTOS!$H$4:$H$17,0),IF(OR(G893="S",G893="20cm"),1,IF(OR(G893="M",G893="25cm"),2,IF(OR(G893="L",G893="30cm"),3,IF(OR(G893="XL",G893="35cm"),4,0))))),0)</f>
        <v>0.4</v>
      </c>
      <c r="J893" s="103">
        <f t="shared" si="1"/>
        <v>0</v>
      </c>
      <c r="K893" s="104" t="str">
        <f>IF(H893&lt;0,"ERROR",IF(H893=0,"",IF(H893&lt;CONFIG!$B$4,"CRÍTICO",IF(H893&lt;CONFIG!$B$5,"BAJO","OK"))))</f>
        <v/>
      </c>
    </row>
    <row r="894" ht="15.75" hidden="1" customHeight="1">
      <c r="A894" s="90" t="str">
        <f>IF(CLIENTES!A6="","",CLIENTES!A6)</f>
        <v/>
      </c>
      <c r="B894" s="90" t="s">
        <v>321</v>
      </c>
      <c r="C894" s="91" t="s">
        <v>328</v>
      </c>
      <c r="D894" s="109" t="s">
        <v>353</v>
      </c>
      <c r="E894" s="67" t="str">
        <f>COLORES!A6</f>
        <v>Blanco</v>
      </c>
      <c r="F894" s="67" t="str">
        <f>COLORES!B6</f>
        <v>PPT</v>
      </c>
      <c r="G894" s="90" t="s">
        <v>377</v>
      </c>
      <c r="H894" s="100">
        <f>IFERROR(SUMIFS(MOVIMIENTOS_COMPLEMENTOS!$I$4:$I$803,MOVIMIENTOS_COMPLEMENTOS!$C$4:$C$803,A894,MOVIMIENTOS_COMPLEMENTOS!$D$4:$D$803,B894,MOVIMIENTOS_COMPLEMENTOS!$E$4:$E$803,C894,MOVIMIENTOS_COMPLEMENTOS!$G$4:$G$803,E894,MOVIMIENTOS_COMPLEMENTOS!$H$4:$H$803,G894,MOVIMIENTOS_COMPLEMENTOS!$B$4:$B$803,"INGRESO")+SUMIFS(MOVIMIENTOS_COMPLEMENTOS!$I$4:$I$803,MOVIMIENTOS_COMPLEMENTOS!$C$4:$C$803,A894,MOVIMIENTOS_COMPLEMENTOS!$D$4:$D$803,B894,MOVIMIENTOS_COMPLEMENTOS!$E$4:$E$803,C894,MOVIMIENTOS_COMPLEMENTOS!$G$4:$G$803,E894,MOVIMIENTOS_COMPLEMENTOS!$H$4:$H$803,G894,MOVIMIENTOS_COMPLEMENTOS!$B$4:$B$803,"DE CORTE")-SUMIFS(MOVIMIENTOS_COMPLEMENTOS!$I$4:$I$803,MOVIMIENTOS_COMPLEMENTOS!$C$4:$C$803,A894,MOVIMIENTOS_COMPLEMENTOS!$D$4:$D$803,B894,MOVIMIENTOS_COMPLEMENTOS!$E$4:$E$803,C894,MOVIMIENTOS_COMPLEMENTOS!$G$4:$G$803,E894,MOVIMIENTOS_COMPLEMENTOS!$H$4:$H$803,G894,MOVIMIENTOS_COMPLEMENTOS!$B$4:$B$803,"SALIDA"),0)</f>
        <v>0</v>
      </c>
      <c r="I894" s="102">
        <f t="array" ref="I894">IFERROR(INDEX(PRECIOS_COMPLEMENTOS!$C$4:$F$17,MATCH(B894&amp;"_"&amp;C894,PRECIOS_COMPLEMENTOS!$H$4:$H$17,0),IF(OR(G894="S",G894="20cm"),1,IF(OR(G894="M",G894="25cm"),2,IF(OR(G894="L",G894="30cm"),3,IF(OR(G894="XL",G894="35cm"),4,0))))),0)</f>
        <v>0.4</v>
      </c>
      <c r="J894" s="103">
        <f t="shared" si="1"/>
        <v>0</v>
      </c>
      <c r="K894" s="104" t="str">
        <f>IF(H894&lt;0,"ERROR",IF(H894=0,"",IF(H894&lt;CONFIG!$B$4,"CRÍTICO",IF(H894&lt;CONFIG!$B$5,"BAJO","OK"))))</f>
        <v/>
      </c>
    </row>
    <row r="895" ht="15.75" hidden="1" customHeight="1">
      <c r="A895" s="90" t="str">
        <f>IF(CLIENTES!A6="","",CLIENTES!A6)</f>
        <v/>
      </c>
      <c r="B895" s="90" t="s">
        <v>321</v>
      </c>
      <c r="C895" s="91" t="s">
        <v>328</v>
      </c>
      <c r="D895" s="109" t="s">
        <v>353</v>
      </c>
      <c r="E895" s="67" t="str">
        <f>COLORES!A6</f>
        <v>Blanco</v>
      </c>
      <c r="F895" s="67" t="str">
        <f>COLORES!B6</f>
        <v>PPT</v>
      </c>
      <c r="G895" s="90" t="s">
        <v>379</v>
      </c>
      <c r="H895" s="100">
        <f>IFERROR(SUMIFS(MOVIMIENTOS_COMPLEMENTOS!$I$4:$I$803,MOVIMIENTOS_COMPLEMENTOS!$C$4:$C$803,A895,MOVIMIENTOS_COMPLEMENTOS!$D$4:$D$803,B895,MOVIMIENTOS_COMPLEMENTOS!$E$4:$E$803,C895,MOVIMIENTOS_COMPLEMENTOS!$G$4:$G$803,E895,MOVIMIENTOS_COMPLEMENTOS!$H$4:$H$803,G895,MOVIMIENTOS_COMPLEMENTOS!$B$4:$B$803,"INGRESO")+SUMIFS(MOVIMIENTOS_COMPLEMENTOS!$I$4:$I$803,MOVIMIENTOS_COMPLEMENTOS!$C$4:$C$803,A895,MOVIMIENTOS_COMPLEMENTOS!$D$4:$D$803,B895,MOVIMIENTOS_COMPLEMENTOS!$E$4:$E$803,C895,MOVIMIENTOS_COMPLEMENTOS!$G$4:$G$803,E895,MOVIMIENTOS_COMPLEMENTOS!$H$4:$H$803,G895,MOVIMIENTOS_COMPLEMENTOS!$B$4:$B$803,"DE CORTE")-SUMIFS(MOVIMIENTOS_COMPLEMENTOS!$I$4:$I$803,MOVIMIENTOS_COMPLEMENTOS!$C$4:$C$803,A895,MOVIMIENTOS_COMPLEMENTOS!$D$4:$D$803,B895,MOVIMIENTOS_COMPLEMENTOS!$E$4:$E$803,C895,MOVIMIENTOS_COMPLEMENTOS!$G$4:$G$803,E895,MOVIMIENTOS_COMPLEMENTOS!$H$4:$H$803,G895,MOVIMIENTOS_COMPLEMENTOS!$B$4:$B$803,"SALIDA"),0)</f>
        <v>0</v>
      </c>
      <c r="I895" s="102">
        <f t="array" ref="I895">IFERROR(INDEX(PRECIOS_COMPLEMENTOS!$C$4:$F$17,MATCH(B895&amp;"_"&amp;C895,PRECIOS_COMPLEMENTOS!$H$4:$H$17,0),IF(OR(G895="S",G895="20cm"),1,IF(OR(G895="M",G895="25cm"),2,IF(OR(G895="L",G895="30cm"),3,IF(OR(G895="XL",G895="35cm"),4,0))))),0)</f>
        <v>0.4</v>
      </c>
      <c r="J895" s="103">
        <f t="shared" si="1"/>
        <v>0</v>
      </c>
      <c r="K895" s="104" t="str">
        <f>IF(H895&lt;0,"ERROR",IF(H895=0,"",IF(H895&lt;CONFIG!$B$4,"CRÍTICO",IF(H895&lt;CONFIG!$B$5,"BAJO","OK"))))</f>
        <v/>
      </c>
    </row>
    <row r="896" ht="15.75" hidden="1" customHeight="1">
      <c r="A896" s="90" t="str">
        <f>IF(CLIENTES!A6="","",CLIENTES!A6)</f>
        <v/>
      </c>
      <c r="B896" s="90" t="s">
        <v>321</v>
      </c>
      <c r="C896" s="91" t="s">
        <v>328</v>
      </c>
      <c r="D896" s="109" t="s">
        <v>353</v>
      </c>
      <c r="E896" s="67" t="str">
        <f>COLORES!A7</f>
        <v>Azul</v>
      </c>
      <c r="F896" s="67" t="str">
        <f>COLORES!B7</f>
        <v>OSCURO</v>
      </c>
      <c r="G896" s="90" t="s">
        <v>378</v>
      </c>
      <c r="H896" s="100">
        <f>IFERROR(SUMIFS(MOVIMIENTOS_COMPLEMENTOS!$I$4:$I$803,MOVIMIENTOS_COMPLEMENTOS!$C$4:$C$803,A896,MOVIMIENTOS_COMPLEMENTOS!$D$4:$D$803,B896,MOVIMIENTOS_COMPLEMENTOS!$E$4:$E$803,C896,MOVIMIENTOS_COMPLEMENTOS!$G$4:$G$803,E896,MOVIMIENTOS_COMPLEMENTOS!$H$4:$H$803,G896,MOVIMIENTOS_COMPLEMENTOS!$B$4:$B$803,"INGRESO")+SUMIFS(MOVIMIENTOS_COMPLEMENTOS!$I$4:$I$803,MOVIMIENTOS_COMPLEMENTOS!$C$4:$C$803,A896,MOVIMIENTOS_COMPLEMENTOS!$D$4:$D$803,B896,MOVIMIENTOS_COMPLEMENTOS!$E$4:$E$803,C896,MOVIMIENTOS_COMPLEMENTOS!$G$4:$G$803,E896,MOVIMIENTOS_COMPLEMENTOS!$H$4:$H$803,G896,MOVIMIENTOS_COMPLEMENTOS!$B$4:$B$803,"DE CORTE")-SUMIFS(MOVIMIENTOS_COMPLEMENTOS!$I$4:$I$803,MOVIMIENTOS_COMPLEMENTOS!$C$4:$C$803,A896,MOVIMIENTOS_COMPLEMENTOS!$D$4:$D$803,B896,MOVIMIENTOS_COMPLEMENTOS!$E$4:$E$803,C896,MOVIMIENTOS_COMPLEMENTOS!$G$4:$G$803,E896,MOVIMIENTOS_COMPLEMENTOS!$H$4:$H$803,G896,MOVIMIENTOS_COMPLEMENTOS!$B$4:$B$803,"SALIDA"),0)</f>
        <v>0</v>
      </c>
      <c r="I896" s="102">
        <f t="array" ref="I896">IFERROR(INDEX(PRECIOS_COMPLEMENTOS!$C$4:$F$17,MATCH(B896&amp;"_"&amp;C896,PRECIOS_COMPLEMENTOS!$H$4:$H$17,0),IF(OR(G896="S",G896="20cm"),1,IF(OR(G896="M",G896="25cm"),2,IF(OR(G896="L",G896="30cm"),3,IF(OR(G896="XL",G896="35cm"),4,0))))),0)</f>
        <v>0.4</v>
      </c>
      <c r="J896" s="103">
        <f t="shared" si="1"/>
        <v>0</v>
      </c>
      <c r="K896" s="104" t="str">
        <f>IF(H896&lt;0,"ERROR",IF(H896=0,"",IF(H896&lt;CONFIG!$B$4,"CRÍTICO",IF(H896&lt;CONFIG!$B$5,"BAJO","OK"))))</f>
        <v/>
      </c>
    </row>
    <row r="897" ht="15.75" hidden="1" customHeight="1">
      <c r="A897" s="90" t="str">
        <f>IF(CLIENTES!A6="","",CLIENTES!A6)</f>
        <v/>
      </c>
      <c r="B897" s="90" t="s">
        <v>321</v>
      </c>
      <c r="C897" s="91" t="s">
        <v>328</v>
      </c>
      <c r="D897" s="109" t="s">
        <v>353</v>
      </c>
      <c r="E897" s="67" t="str">
        <f>COLORES!A7</f>
        <v>Azul</v>
      </c>
      <c r="F897" s="67" t="str">
        <f>COLORES!B7</f>
        <v>OSCURO</v>
      </c>
      <c r="G897" s="90" t="s">
        <v>376</v>
      </c>
      <c r="H897" s="100">
        <f>IFERROR(SUMIFS(MOVIMIENTOS_COMPLEMENTOS!$I$4:$I$803,MOVIMIENTOS_COMPLEMENTOS!$C$4:$C$803,A897,MOVIMIENTOS_COMPLEMENTOS!$D$4:$D$803,B897,MOVIMIENTOS_COMPLEMENTOS!$E$4:$E$803,C897,MOVIMIENTOS_COMPLEMENTOS!$G$4:$G$803,E897,MOVIMIENTOS_COMPLEMENTOS!$H$4:$H$803,G897,MOVIMIENTOS_COMPLEMENTOS!$B$4:$B$803,"INGRESO")+SUMIFS(MOVIMIENTOS_COMPLEMENTOS!$I$4:$I$803,MOVIMIENTOS_COMPLEMENTOS!$C$4:$C$803,A897,MOVIMIENTOS_COMPLEMENTOS!$D$4:$D$803,B897,MOVIMIENTOS_COMPLEMENTOS!$E$4:$E$803,C897,MOVIMIENTOS_COMPLEMENTOS!$G$4:$G$803,E897,MOVIMIENTOS_COMPLEMENTOS!$H$4:$H$803,G897,MOVIMIENTOS_COMPLEMENTOS!$B$4:$B$803,"DE CORTE")-SUMIFS(MOVIMIENTOS_COMPLEMENTOS!$I$4:$I$803,MOVIMIENTOS_COMPLEMENTOS!$C$4:$C$803,A897,MOVIMIENTOS_COMPLEMENTOS!$D$4:$D$803,B897,MOVIMIENTOS_COMPLEMENTOS!$E$4:$E$803,C897,MOVIMIENTOS_COMPLEMENTOS!$G$4:$G$803,E897,MOVIMIENTOS_COMPLEMENTOS!$H$4:$H$803,G897,MOVIMIENTOS_COMPLEMENTOS!$B$4:$B$803,"SALIDA"),0)</f>
        <v>0</v>
      </c>
      <c r="I897" s="102">
        <f t="array" ref="I897">IFERROR(INDEX(PRECIOS_COMPLEMENTOS!$C$4:$F$17,MATCH(B897&amp;"_"&amp;C897,PRECIOS_COMPLEMENTOS!$H$4:$H$17,0),IF(OR(G897="S",G897="20cm"),1,IF(OR(G897="M",G897="25cm"),2,IF(OR(G897="L",G897="30cm"),3,IF(OR(G897="XL",G897="35cm"),4,0))))),0)</f>
        <v>0.4</v>
      </c>
      <c r="J897" s="103">
        <f t="shared" si="1"/>
        <v>0</v>
      </c>
      <c r="K897" s="104" t="str">
        <f>IF(H897&lt;0,"ERROR",IF(H897=0,"",IF(H897&lt;CONFIG!$B$4,"CRÍTICO",IF(H897&lt;CONFIG!$B$5,"BAJO","OK"))))</f>
        <v/>
      </c>
    </row>
    <row r="898" ht="15.75" hidden="1" customHeight="1">
      <c r="A898" s="90" t="str">
        <f>IF(CLIENTES!A6="","",CLIENTES!A6)</f>
        <v/>
      </c>
      <c r="B898" s="90" t="s">
        <v>321</v>
      </c>
      <c r="C898" s="91" t="s">
        <v>328</v>
      </c>
      <c r="D898" s="109" t="s">
        <v>353</v>
      </c>
      <c r="E898" s="67" t="str">
        <f>COLORES!A7</f>
        <v>Azul</v>
      </c>
      <c r="F898" s="67" t="str">
        <f>COLORES!B7</f>
        <v>OSCURO</v>
      </c>
      <c r="G898" s="90" t="s">
        <v>377</v>
      </c>
      <c r="H898" s="100">
        <f>IFERROR(SUMIFS(MOVIMIENTOS_COMPLEMENTOS!$I$4:$I$803,MOVIMIENTOS_COMPLEMENTOS!$C$4:$C$803,A898,MOVIMIENTOS_COMPLEMENTOS!$D$4:$D$803,B898,MOVIMIENTOS_COMPLEMENTOS!$E$4:$E$803,C898,MOVIMIENTOS_COMPLEMENTOS!$G$4:$G$803,E898,MOVIMIENTOS_COMPLEMENTOS!$H$4:$H$803,G898,MOVIMIENTOS_COMPLEMENTOS!$B$4:$B$803,"INGRESO")+SUMIFS(MOVIMIENTOS_COMPLEMENTOS!$I$4:$I$803,MOVIMIENTOS_COMPLEMENTOS!$C$4:$C$803,A898,MOVIMIENTOS_COMPLEMENTOS!$D$4:$D$803,B898,MOVIMIENTOS_COMPLEMENTOS!$E$4:$E$803,C898,MOVIMIENTOS_COMPLEMENTOS!$G$4:$G$803,E898,MOVIMIENTOS_COMPLEMENTOS!$H$4:$H$803,G898,MOVIMIENTOS_COMPLEMENTOS!$B$4:$B$803,"DE CORTE")-SUMIFS(MOVIMIENTOS_COMPLEMENTOS!$I$4:$I$803,MOVIMIENTOS_COMPLEMENTOS!$C$4:$C$803,A898,MOVIMIENTOS_COMPLEMENTOS!$D$4:$D$803,B898,MOVIMIENTOS_COMPLEMENTOS!$E$4:$E$803,C898,MOVIMIENTOS_COMPLEMENTOS!$G$4:$G$803,E898,MOVIMIENTOS_COMPLEMENTOS!$H$4:$H$803,G898,MOVIMIENTOS_COMPLEMENTOS!$B$4:$B$803,"SALIDA"),0)</f>
        <v>0</v>
      </c>
      <c r="I898" s="102">
        <f t="array" ref="I898">IFERROR(INDEX(PRECIOS_COMPLEMENTOS!$C$4:$F$17,MATCH(B898&amp;"_"&amp;C898,PRECIOS_COMPLEMENTOS!$H$4:$H$17,0),IF(OR(G898="S",G898="20cm"),1,IF(OR(G898="M",G898="25cm"),2,IF(OR(G898="L",G898="30cm"),3,IF(OR(G898="XL",G898="35cm"),4,0))))),0)</f>
        <v>0.4</v>
      </c>
      <c r="J898" s="103">
        <f t="shared" si="1"/>
        <v>0</v>
      </c>
      <c r="K898" s="104" t="str">
        <f>IF(H898&lt;0,"ERROR",IF(H898=0,"",IF(H898&lt;CONFIG!$B$4,"CRÍTICO",IF(H898&lt;CONFIG!$B$5,"BAJO","OK"))))</f>
        <v/>
      </c>
    </row>
    <row r="899" ht="15.75" hidden="1" customHeight="1">
      <c r="A899" s="90" t="str">
        <f>IF(CLIENTES!A6="","",CLIENTES!A6)</f>
        <v/>
      </c>
      <c r="B899" s="90" t="s">
        <v>321</v>
      </c>
      <c r="C899" s="91" t="s">
        <v>328</v>
      </c>
      <c r="D899" s="109" t="s">
        <v>353</v>
      </c>
      <c r="E899" s="67" t="str">
        <f>COLORES!A7</f>
        <v>Azul</v>
      </c>
      <c r="F899" s="67" t="str">
        <f>COLORES!B7</f>
        <v>OSCURO</v>
      </c>
      <c r="G899" s="90" t="s">
        <v>379</v>
      </c>
      <c r="H899" s="100">
        <f>IFERROR(SUMIFS(MOVIMIENTOS_COMPLEMENTOS!$I$4:$I$803,MOVIMIENTOS_COMPLEMENTOS!$C$4:$C$803,A899,MOVIMIENTOS_COMPLEMENTOS!$D$4:$D$803,B899,MOVIMIENTOS_COMPLEMENTOS!$E$4:$E$803,C899,MOVIMIENTOS_COMPLEMENTOS!$G$4:$G$803,E899,MOVIMIENTOS_COMPLEMENTOS!$H$4:$H$803,G899,MOVIMIENTOS_COMPLEMENTOS!$B$4:$B$803,"INGRESO")+SUMIFS(MOVIMIENTOS_COMPLEMENTOS!$I$4:$I$803,MOVIMIENTOS_COMPLEMENTOS!$C$4:$C$803,A899,MOVIMIENTOS_COMPLEMENTOS!$D$4:$D$803,B899,MOVIMIENTOS_COMPLEMENTOS!$E$4:$E$803,C899,MOVIMIENTOS_COMPLEMENTOS!$G$4:$G$803,E899,MOVIMIENTOS_COMPLEMENTOS!$H$4:$H$803,G899,MOVIMIENTOS_COMPLEMENTOS!$B$4:$B$803,"DE CORTE")-SUMIFS(MOVIMIENTOS_COMPLEMENTOS!$I$4:$I$803,MOVIMIENTOS_COMPLEMENTOS!$C$4:$C$803,A899,MOVIMIENTOS_COMPLEMENTOS!$D$4:$D$803,B899,MOVIMIENTOS_COMPLEMENTOS!$E$4:$E$803,C899,MOVIMIENTOS_COMPLEMENTOS!$G$4:$G$803,E899,MOVIMIENTOS_COMPLEMENTOS!$H$4:$H$803,G899,MOVIMIENTOS_COMPLEMENTOS!$B$4:$B$803,"SALIDA"),0)</f>
        <v>0</v>
      </c>
      <c r="I899" s="102">
        <f t="array" ref="I899">IFERROR(INDEX(PRECIOS_COMPLEMENTOS!$C$4:$F$17,MATCH(B899&amp;"_"&amp;C899,PRECIOS_COMPLEMENTOS!$H$4:$H$17,0),IF(OR(G899="S",G899="20cm"),1,IF(OR(G899="M",G899="25cm"),2,IF(OR(G899="L",G899="30cm"),3,IF(OR(G899="XL",G899="35cm"),4,0))))),0)</f>
        <v>0.4</v>
      </c>
      <c r="J899" s="103">
        <f t="shared" si="1"/>
        <v>0</v>
      </c>
      <c r="K899" s="104" t="str">
        <f>IF(H899&lt;0,"ERROR",IF(H899=0,"",IF(H899&lt;CONFIG!$B$4,"CRÍTICO",IF(H899&lt;CONFIG!$B$5,"BAJO","OK"))))</f>
        <v/>
      </c>
    </row>
    <row r="900" ht="15.75" hidden="1" customHeight="1">
      <c r="A900" s="90" t="str">
        <f>IF(CLIENTES!A6="","",CLIENTES!A6)</f>
        <v/>
      </c>
      <c r="B900" s="90" t="s">
        <v>321</v>
      </c>
      <c r="C900" s="91" t="s">
        <v>328</v>
      </c>
      <c r="D900" s="109" t="s">
        <v>353</v>
      </c>
      <c r="E900" s="67" t="str">
        <f>COLORES!A8</f>
        <v>Beige</v>
      </c>
      <c r="F900" s="67" t="str">
        <f>COLORES!B8</f>
        <v>CLARO</v>
      </c>
      <c r="G900" s="90" t="s">
        <v>378</v>
      </c>
      <c r="H900" s="100">
        <f>IFERROR(SUMIFS(MOVIMIENTOS_COMPLEMENTOS!$I$4:$I$803,MOVIMIENTOS_COMPLEMENTOS!$C$4:$C$803,A900,MOVIMIENTOS_COMPLEMENTOS!$D$4:$D$803,B900,MOVIMIENTOS_COMPLEMENTOS!$E$4:$E$803,C900,MOVIMIENTOS_COMPLEMENTOS!$G$4:$G$803,E900,MOVIMIENTOS_COMPLEMENTOS!$H$4:$H$803,G900,MOVIMIENTOS_COMPLEMENTOS!$B$4:$B$803,"INGRESO")+SUMIFS(MOVIMIENTOS_COMPLEMENTOS!$I$4:$I$803,MOVIMIENTOS_COMPLEMENTOS!$C$4:$C$803,A900,MOVIMIENTOS_COMPLEMENTOS!$D$4:$D$803,B900,MOVIMIENTOS_COMPLEMENTOS!$E$4:$E$803,C900,MOVIMIENTOS_COMPLEMENTOS!$G$4:$G$803,E900,MOVIMIENTOS_COMPLEMENTOS!$H$4:$H$803,G900,MOVIMIENTOS_COMPLEMENTOS!$B$4:$B$803,"DE CORTE")-SUMIFS(MOVIMIENTOS_COMPLEMENTOS!$I$4:$I$803,MOVIMIENTOS_COMPLEMENTOS!$C$4:$C$803,A900,MOVIMIENTOS_COMPLEMENTOS!$D$4:$D$803,B900,MOVIMIENTOS_COMPLEMENTOS!$E$4:$E$803,C900,MOVIMIENTOS_COMPLEMENTOS!$G$4:$G$803,E900,MOVIMIENTOS_COMPLEMENTOS!$H$4:$H$803,G900,MOVIMIENTOS_COMPLEMENTOS!$B$4:$B$803,"SALIDA"),0)</f>
        <v>0</v>
      </c>
      <c r="I900" s="102">
        <f t="array" ref="I900">IFERROR(INDEX(PRECIOS_COMPLEMENTOS!$C$4:$F$17,MATCH(B900&amp;"_"&amp;C900,PRECIOS_COMPLEMENTOS!$H$4:$H$17,0),IF(OR(G900="S",G900="20cm"),1,IF(OR(G900="M",G900="25cm"),2,IF(OR(G900="L",G900="30cm"),3,IF(OR(G900="XL",G900="35cm"),4,0))))),0)</f>
        <v>0.4</v>
      </c>
      <c r="J900" s="103">
        <f t="shared" si="1"/>
        <v>0</v>
      </c>
      <c r="K900" s="104" t="str">
        <f>IF(H900&lt;0,"ERROR",IF(H900=0,"",IF(H900&lt;CONFIG!$B$4,"CRÍTICO",IF(H900&lt;CONFIG!$B$5,"BAJO","OK"))))</f>
        <v/>
      </c>
    </row>
    <row r="901" ht="15.75" hidden="1" customHeight="1">
      <c r="A901" s="90" t="str">
        <f>IF(CLIENTES!A6="","",CLIENTES!A6)</f>
        <v/>
      </c>
      <c r="B901" s="90" t="s">
        <v>321</v>
      </c>
      <c r="C901" s="91" t="s">
        <v>328</v>
      </c>
      <c r="D901" s="109" t="s">
        <v>353</v>
      </c>
      <c r="E901" s="67" t="str">
        <f>COLORES!A8</f>
        <v>Beige</v>
      </c>
      <c r="F901" s="67" t="str">
        <f>COLORES!B8</f>
        <v>CLARO</v>
      </c>
      <c r="G901" s="90" t="s">
        <v>376</v>
      </c>
      <c r="H901" s="100">
        <f>IFERROR(SUMIFS(MOVIMIENTOS_COMPLEMENTOS!$I$4:$I$803,MOVIMIENTOS_COMPLEMENTOS!$C$4:$C$803,A901,MOVIMIENTOS_COMPLEMENTOS!$D$4:$D$803,B901,MOVIMIENTOS_COMPLEMENTOS!$E$4:$E$803,C901,MOVIMIENTOS_COMPLEMENTOS!$G$4:$G$803,E901,MOVIMIENTOS_COMPLEMENTOS!$H$4:$H$803,G901,MOVIMIENTOS_COMPLEMENTOS!$B$4:$B$803,"INGRESO")+SUMIFS(MOVIMIENTOS_COMPLEMENTOS!$I$4:$I$803,MOVIMIENTOS_COMPLEMENTOS!$C$4:$C$803,A901,MOVIMIENTOS_COMPLEMENTOS!$D$4:$D$803,B901,MOVIMIENTOS_COMPLEMENTOS!$E$4:$E$803,C901,MOVIMIENTOS_COMPLEMENTOS!$G$4:$G$803,E901,MOVIMIENTOS_COMPLEMENTOS!$H$4:$H$803,G901,MOVIMIENTOS_COMPLEMENTOS!$B$4:$B$803,"DE CORTE")-SUMIFS(MOVIMIENTOS_COMPLEMENTOS!$I$4:$I$803,MOVIMIENTOS_COMPLEMENTOS!$C$4:$C$803,A901,MOVIMIENTOS_COMPLEMENTOS!$D$4:$D$803,B901,MOVIMIENTOS_COMPLEMENTOS!$E$4:$E$803,C901,MOVIMIENTOS_COMPLEMENTOS!$G$4:$G$803,E901,MOVIMIENTOS_COMPLEMENTOS!$H$4:$H$803,G901,MOVIMIENTOS_COMPLEMENTOS!$B$4:$B$803,"SALIDA"),0)</f>
        <v>0</v>
      </c>
      <c r="I901" s="102">
        <f t="array" ref="I901">IFERROR(INDEX(PRECIOS_COMPLEMENTOS!$C$4:$F$17,MATCH(B901&amp;"_"&amp;C901,PRECIOS_COMPLEMENTOS!$H$4:$H$17,0),IF(OR(G901="S",G901="20cm"),1,IF(OR(G901="M",G901="25cm"),2,IF(OR(G901="L",G901="30cm"),3,IF(OR(G901="XL",G901="35cm"),4,0))))),0)</f>
        <v>0.4</v>
      </c>
      <c r="J901" s="103">
        <f t="shared" si="1"/>
        <v>0</v>
      </c>
      <c r="K901" s="104" t="str">
        <f>IF(H901&lt;0,"ERROR",IF(H901=0,"",IF(H901&lt;CONFIG!$B$4,"CRÍTICO",IF(H901&lt;CONFIG!$B$5,"BAJO","OK"))))</f>
        <v/>
      </c>
    </row>
    <row r="902" ht="15.75" hidden="1" customHeight="1">
      <c r="A902" s="90" t="str">
        <f>IF(CLIENTES!A6="","",CLIENTES!A6)</f>
        <v/>
      </c>
      <c r="B902" s="90" t="s">
        <v>321</v>
      </c>
      <c r="C902" s="91" t="s">
        <v>328</v>
      </c>
      <c r="D902" s="109" t="s">
        <v>353</v>
      </c>
      <c r="E902" s="67" t="str">
        <f>COLORES!A8</f>
        <v>Beige</v>
      </c>
      <c r="F902" s="67" t="str">
        <f>COLORES!B8</f>
        <v>CLARO</v>
      </c>
      <c r="G902" s="90" t="s">
        <v>377</v>
      </c>
      <c r="H902" s="100">
        <f>IFERROR(SUMIFS(MOVIMIENTOS_COMPLEMENTOS!$I$4:$I$803,MOVIMIENTOS_COMPLEMENTOS!$C$4:$C$803,A902,MOVIMIENTOS_COMPLEMENTOS!$D$4:$D$803,B902,MOVIMIENTOS_COMPLEMENTOS!$E$4:$E$803,C902,MOVIMIENTOS_COMPLEMENTOS!$G$4:$G$803,E902,MOVIMIENTOS_COMPLEMENTOS!$H$4:$H$803,G902,MOVIMIENTOS_COMPLEMENTOS!$B$4:$B$803,"INGRESO")+SUMIFS(MOVIMIENTOS_COMPLEMENTOS!$I$4:$I$803,MOVIMIENTOS_COMPLEMENTOS!$C$4:$C$803,A902,MOVIMIENTOS_COMPLEMENTOS!$D$4:$D$803,B902,MOVIMIENTOS_COMPLEMENTOS!$E$4:$E$803,C902,MOVIMIENTOS_COMPLEMENTOS!$G$4:$G$803,E902,MOVIMIENTOS_COMPLEMENTOS!$H$4:$H$803,G902,MOVIMIENTOS_COMPLEMENTOS!$B$4:$B$803,"DE CORTE")-SUMIFS(MOVIMIENTOS_COMPLEMENTOS!$I$4:$I$803,MOVIMIENTOS_COMPLEMENTOS!$C$4:$C$803,A902,MOVIMIENTOS_COMPLEMENTOS!$D$4:$D$803,B902,MOVIMIENTOS_COMPLEMENTOS!$E$4:$E$803,C902,MOVIMIENTOS_COMPLEMENTOS!$G$4:$G$803,E902,MOVIMIENTOS_COMPLEMENTOS!$H$4:$H$803,G902,MOVIMIENTOS_COMPLEMENTOS!$B$4:$B$803,"SALIDA"),0)</f>
        <v>0</v>
      </c>
      <c r="I902" s="102">
        <f t="array" ref="I902">IFERROR(INDEX(PRECIOS_COMPLEMENTOS!$C$4:$F$17,MATCH(B902&amp;"_"&amp;C902,PRECIOS_COMPLEMENTOS!$H$4:$H$17,0),IF(OR(G902="S",G902="20cm"),1,IF(OR(G902="M",G902="25cm"),2,IF(OR(G902="L",G902="30cm"),3,IF(OR(G902="XL",G902="35cm"),4,0))))),0)</f>
        <v>0.4</v>
      </c>
      <c r="J902" s="103">
        <f t="shared" si="1"/>
        <v>0</v>
      </c>
      <c r="K902" s="104" t="str">
        <f>IF(H902&lt;0,"ERROR",IF(H902=0,"",IF(H902&lt;CONFIG!$B$4,"CRÍTICO",IF(H902&lt;CONFIG!$B$5,"BAJO","OK"))))</f>
        <v/>
      </c>
    </row>
    <row r="903" ht="15.75" hidden="1" customHeight="1">
      <c r="A903" s="90" t="str">
        <f>IF(CLIENTES!A6="","",CLIENTES!A6)</f>
        <v/>
      </c>
      <c r="B903" s="90" t="s">
        <v>321</v>
      </c>
      <c r="C903" s="91" t="s">
        <v>328</v>
      </c>
      <c r="D903" s="109" t="s">
        <v>353</v>
      </c>
      <c r="E903" s="67" t="str">
        <f>COLORES!A8</f>
        <v>Beige</v>
      </c>
      <c r="F903" s="67" t="str">
        <f>COLORES!B8</f>
        <v>CLARO</v>
      </c>
      <c r="G903" s="90" t="s">
        <v>379</v>
      </c>
      <c r="H903" s="100">
        <f>IFERROR(SUMIFS(MOVIMIENTOS_COMPLEMENTOS!$I$4:$I$803,MOVIMIENTOS_COMPLEMENTOS!$C$4:$C$803,A903,MOVIMIENTOS_COMPLEMENTOS!$D$4:$D$803,B903,MOVIMIENTOS_COMPLEMENTOS!$E$4:$E$803,C903,MOVIMIENTOS_COMPLEMENTOS!$G$4:$G$803,E903,MOVIMIENTOS_COMPLEMENTOS!$H$4:$H$803,G903,MOVIMIENTOS_COMPLEMENTOS!$B$4:$B$803,"INGRESO")+SUMIFS(MOVIMIENTOS_COMPLEMENTOS!$I$4:$I$803,MOVIMIENTOS_COMPLEMENTOS!$C$4:$C$803,A903,MOVIMIENTOS_COMPLEMENTOS!$D$4:$D$803,B903,MOVIMIENTOS_COMPLEMENTOS!$E$4:$E$803,C903,MOVIMIENTOS_COMPLEMENTOS!$G$4:$G$803,E903,MOVIMIENTOS_COMPLEMENTOS!$H$4:$H$803,G903,MOVIMIENTOS_COMPLEMENTOS!$B$4:$B$803,"DE CORTE")-SUMIFS(MOVIMIENTOS_COMPLEMENTOS!$I$4:$I$803,MOVIMIENTOS_COMPLEMENTOS!$C$4:$C$803,A903,MOVIMIENTOS_COMPLEMENTOS!$D$4:$D$803,B903,MOVIMIENTOS_COMPLEMENTOS!$E$4:$E$803,C903,MOVIMIENTOS_COMPLEMENTOS!$G$4:$G$803,E903,MOVIMIENTOS_COMPLEMENTOS!$H$4:$H$803,G903,MOVIMIENTOS_COMPLEMENTOS!$B$4:$B$803,"SALIDA"),0)</f>
        <v>0</v>
      </c>
      <c r="I903" s="102">
        <f t="array" ref="I903">IFERROR(INDEX(PRECIOS_COMPLEMENTOS!$C$4:$F$17,MATCH(B903&amp;"_"&amp;C903,PRECIOS_COMPLEMENTOS!$H$4:$H$17,0),IF(OR(G903="S",G903="20cm"),1,IF(OR(G903="M",G903="25cm"),2,IF(OR(G903="L",G903="30cm"),3,IF(OR(G903="XL",G903="35cm"),4,0))))),0)</f>
        <v>0.4</v>
      </c>
      <c r="J903" s="103">
        <f t="shared" si="1"/>
        <v>0</v>
      </c>
      <c r="K903" s="104" t="str">
        <f>IF(H903&lt;0,"ERROR",IF(H903=0,"",IF(H903&lt;CONFIG!$B$4,"CRÍTICO",IF(H903&lt;CONFIG!$B$5,"BAJO","OK"))))</f>
        <v/>
      </c>
    </row>
    <row r="904" ht="15.75" hidden="1" customHeight="1">
      <c r="A904" s="90" t="str">
        <f>IF(CLIENTES!A6="","",CLIENTES!A6)</f>
        <v/>
      </c>
      <c r="B904" s="90" t="s">
        <v>321</v>
      </c>
      <c r="C904" s="91" t="s">
        <v>328</v>
      </c>
      <c r="D904" s="109" t="s">
        <v>353</v>
      </c>
      <c r="E904" s="67" t="str">
        <f>COLORES!A9</f>
        <v>Melange</v>
      </c>
      <c r="F904" s="67" t="str">
        <f>COLORES!B9</f>
        <v>MELANGE</v>
      </c>
      <c r="G904" s="90" t="s">
        <v>378</v>
      </c>
      <c r="H904" s="100">
        <f>IFERROR(SUMIFS(MOVIMIENTOS_COMPLEMENTOS!$I$4:$I$803,MOVIMIENTOS_COMPLEMENTOS!$C$4:$C$803,A904,MOVIMIENTOS_COMPLEMENTOS!$D$4:$D$803,B904,MOVIMIENTOS_COMPLEMENTOS!$E$4:$E$803,C904,MOVIMIENTOS_COMPLEMENTOS!$G$4:$G$803,E904,MOVIMIENTOS_COMPLEMENTOS!$H$4:$H$803,G904,MOVIMIENTOS_COMPLEMENTOS!$B$4:$B$803,"INGRESO")+SUMIFS(MOVIMIENTOS_COMPLEMENTOS!$I$4:$I$803,MOVIMIENTOS_COMPLEMENTOS!$C$4:$C$803,A904,MOVIMIENTOS_COMPLEMENTOS!$D$4:$D$803,B904,MOVIMIENTOS_COMPLEMENTOS!$E$4:$E$803,C904,MOVIMIENTOS_COMPLEMENTOS!$G$4:$G$803,E904,MOVIMIENTOS_COMPLEMENTOS!$H$4:$H$803,G904,MOVIMIENTOS_COMPLEMENTOS!$B$4:$B$803,"DE CORTE")-SUMIFS(MOVIMIENTOS_COMPLEMENTOS!$I$4:$I$803,MOVIMIENTOS_COMPLEMENTOS!$C$4:$C$803,A904,MOVIMIENTOS_COMPLEMENTOS!$D$4:$D$803,B904,MOVIMIENTOS_COMPLEMENTOS!$E$4:$E$803,C904,MOVIMIENTOS_COMPLEMENTOS!$G$4:$G$803,E904,MOVIMIENTOS_COMPLEMENTOS!$H$4:$H$803,G904,MOVIMIENTOS_COMPLEMENTOS!$B$4:$B$803,"SALIDA"),0)</f>
        <v>0</v>
      </c>
      <c r="I904" s="102">
        <f t="array" ref="I904">IFERROR(INDEX(PRECIOS_COMPLEMENTOS!$C$4:$F$17,MATCH(B904&amp;"_"&amp;C904,PRECIOS_COMPLEMENTOS!$H$4:$H$17,0),IF(OR(G904="S",G904="20cm"),1,IF(OR(G904="M",G904="25cm"),2,IF(OR(G904="L",G904="30cm"),3,IF(OR(G904="XL",G904="35cm"),4,0))))),0)</f>
        <v>0.4</v>
      </c>
      <c r="J904" s="103">
        <f t="shared" si="1"/>
        <v>0</v>
      </c>
      <c r="K904" s="104" t="str">
        <f>IF(H904&lt;0,"ERROR",IF(H904=0,"",IF(H904&lt;CONFIG!$B$4,"CRÍTICO",IF(H904&lt;CONFIG!$B$5,"BAJO","OK"))))</f>
        <v/>
      </c>
    </row>
    <row r="905" ht="15.75" hidden="1" customHeight="1">
      <c r="A905" s="90" t="str">
        <f>IF(CLIENTES!A6="","",CLIENTES!A6)</f>
        <v/>
      </c>
      <c r="B905" s="90" t="s">
        <v>321</v>
      </c>
      <c r="C905" s="91" t="s">
        <v>328</v>
      </c>
      <c r="D905" s="109" t="s">
        <v>353</v>
      </c>
      <c r="E905" s="67" t="str">
        <f>COLORES!A9</f>
        <v>Melange</v>
      </c>
      <c r="F905" s="67" t="str">
        <f>COLORES!B9</f>
        <v>MELANGE</v>
      </c>
      <c r="G905" s="90" t="s">
        <v>376</v>
      </c>
      <c r="H905" s="100">
        <f>IFERROR(SUMIFS(MOVIMIENTOS_COMPLEMENTOS!$I$4:$I$803,MOVIMIENTOS_COMPLEMENTOS!$C$4:$C$803,A905,MOVIMIENTOS_COMPLEMENTOS!$D$4:$D$803,B905,MOVIMIENTOS_COMPLEMENTOS!$E$4:$E$803,C905,MOVIMIENTOS_COMPLEMENTOS!$G$4:$G$803,E905,MOVIMIENTOS_COMPLEMENTOS!$H$4:$H$803,G905,MOVIMIENTOS_COMPLEMENTOS!$B$4:$B$803,"INGRESO")+SUMIFS(MOVIMIENTOS_COMPLEMENTOS!$I$4:$I$803,MOVIMIENTOS_COMPLEMENTOS!$C$4:$C$803,A905,MOVIMIENTOS_COMPLEMENTOS!$D$4:$D$803,B905,MOVIMIENTOS_COMPLEMENTOS!$E$4:$E$803,C905,MOVIMIENTOS_COMPLEMENTOS!$G$4:$G$803,E905,MOVIMIENTOS_COMPLEMENTOS!$H$4:$H$803,G905,MOVIMIENTOS_COMPLEMENTOS!$B$4:$B$803,"DE CORTE")-SUMIFS(MOVIMIENTOS_COMPLEMENTOS!$I$4:$I$803,MOVIMIENTOS_COMPLEMENTOS!$C$4:$C$803,A905,MOVIMIENTOS_COMPLEMENTOS!$D$4:$D$803,B905,MOVIMIENTOS_COMPLEMENTOS!$E$4:$E$803,C905,MOVIMIENTOS_COMPLEMENTOS!$G$4:$G$803,E905,MOVIMIENTOS_COMPLEMENTOS!$H$4:$H$803,G905,MOVIMIENTOS_COMPLEMENTOS!$B$4:$B$803,"SALIDA"),0)</f>
        <v>0</v>
      </c>
      <c r="I905" s="102">
        <f t="array" ref="I905">IFERROR(INDEX(PRECIOS_COMPLEMENTOS!$C$4:$F$17,MATCH(B905&amp;"_"&amp;C905,PRECIOS_COMPLEMENTOS!$H$4:$H$17,0),IF(OR(G905="S",G905="20cm"),1,IF(OR(G905="M",G905="25cm"),2,IF(OR(G905="L",G905="30cm"),3,IF(OR(G905="XL",G905="35cm"),4,0))))),0)</f>
        <v>0.4</v>
      </c>
      <c r="J905" s="103">
        <f t="shared" si="1"/>
        <v>0</v>
      </c>
      <c r="K905" s="104" t="str">
        <f>IF(H905&lt;0,"ERROR",IF(H905=0,"",IF(H905&lt;CONFIG!$B$4,"CRÍTICO",IF(H905&lt;CONFIG!$B$5,"BAJO","OK"))))</f>
        <v/>
      </c>
    </row>
    <row r="906" ht="15.75" hidden="1" customHeight="1">
      <c r="A906" s="90" t="str">
        <f>IF(CLIENTES!A6="","",CLIENTES!A6)</f>
        <v/>
      </c>
      <c r="B906" s="90" t="s">
        <v>321</v>
      </c>
      <c r="C906" s="91" t="s">
        <v>328</v>
      </c>
      <c r="D906" s="109" t="s">
        <v>353</v>
      </c>
      <c r="E906" s="67" t="str">
        <f>COLORES!A9</f>
        <v>Melange</v>
      </c>
      <c r="F906" s="67" t="str">
        <f>COLORES!B9</f>
        <v>MELANGE</v>
      </c>
      <c r="G906" s="90" t="s">
        <v>377</v>
      </c>
      <c r="H906" s="100">
        <f>IFERROR(SUMIFS(MOVIMIENTOS_COMPLEMENTOS!$I$4:$I$803,MOVIMIENTOS_COMPLEMENTOS!$C$4:$C$803,A906,MOVIMIENTOS_COMPLEMENTOS!$D$4:$D$803,B906,MOVIMIENTOS_COMPLEMENTOS!$E$4:$E$803,C906,MOVIMIENTOS_COMPLEMENTOS!$G$4:$G$803,E906,MOVIMIENTOS_COMPLEMENTOS!$H$4:$H$803,G906,MOVIMIENTOS_COMPLEMENTOS!$B$4:$B$803,"INGRESO")+SUMIFS(MOVIMIENTOS_COMPLEMENTOS!$I$4:$I$803,MOVIMIENTOS_COMPLEMENTOS!$C$4:$C$803,A906,MOVIMIENTOS_COMPLEMENTOS!$D$4:$D$803,B906,MOVIMIENTOS_COMPLEMENTOS!$E$4:$E$803,C906,MOVIMIENTOS_COMPLEMENTOS!$G$4:$G$803,E906,MOVIMIENTOS_COMPLEMENTOS!$H$4:$H$803,G906,MOVIMIENTOS_COMPLEMENTOS!$B$4:$B$803,"DE CORTE")-SUMIFS(MOVIMIENTOS_COMPLEMENTOS!$I$4:$I$803,MOVIMIENTOS_COMPLEMENTOS!$C$4:$C$803,A906,MOVIMIENTOS_COMPLEMENTOS!$D$4:$D$803,B906,MOVIMIENTOS_COMPLEMENTOS!$E$4:$E$803,C906,MOVIMIENTOS_COMPLEMENTOS!$G$4:$G$803,E906,MOVIMIENTOS_COMPLEMENTOS!$H$4:$H$803,G906,MOVIMIENTOS_COMPLEMENTOS!$B$4:$B$803,"SALIDA"),0)</f>
        <v>0</v>
      </c>
      <c r="I906" s="102">
        <f t="array" ref="I906">IFERROR(INDEX(PRECIOS_COMPLEMENTOS!$C$4:$F$17,MATCH(B906&amp;"_"&amp;C906,PRECIOS_COMPLEMENTOS!$H$4:$H$17,0),IF(OR(G906="S",G906="20cm"),1,IF(OR(G906="M",G906="25cm"),2,IF(OR(G906="L",G906="30cm"),3,IF(OR(G906="XL",G906="35cm"),4,0))))),0)</f>
        <v>0.4</v>
      </c>
      <c r="J906" s="103">
        <f t="shared" si="1"/>
        <v>0</v>
      </c>
      <c r="K906" s="104" t="str">
        <f>IF(H906&lt;0,"ERROR",IF(H906=0,"",IF(H906&lt;CONFIG!$B$4,"CRÍTICO",IF(H906&lt;CONFIG!$B$5,"BAJO","OK"))))</f>
        <v/>
      </c>
    </row>
    <row r="907" ht="15.75" hidden="1" customHeight="1">
      <c r="A907" s="90" t="str">
        <f>IF(CLIENTES!A6="","",CLIENTES!A6)</f>
        <v/>
      </c>
      <c r="B907" s="90" t="s">
        <v>321</v>
      </c>
      <c r="C907" s="91" t="s">
        <v>328</v>
      </c>
      <c r="D907" s="109" t="s">
        <v>353</v>
      </c>
      <c r="E907" s="67" t="str">
        <f>COLORES!A9</f>
        <v>Melange</v>
      </c>
      <c r="F907" s="67" t="str">
        <f>COLORES!B9</f>
        <v>MELANGE</v>
      </c>
      <c r="G907" s="90" t="s">
        <v>379</v>
      </c>
      <c r="H907" s="100">
        <f>IFERROR(SUMIFS(MOVIMIENTOS_COMPLEMENTOS!$I$4:$I$803,MOVIMIENTOS_COMPLEMENTOS!$C$4:$C$803,A907,MOVIMIENTOS_COMPLEMENTOS!$D$4:$D$803,B907,MOVIMIENTOS_COMPLEMENTOS!$E$4:$E$803,C907,MOVIMIENTOS_COMPLEMENTOS!$G$4:$G$803,E907,MOVIMIENTOS_COMPLEMENTOS!$H$4:$H$803,G907,MOVIMIENTOS_COMPLEMENTOS!$B$4:$B$803,"INGRESO")+SUMIFS(MOVIMIENTOS_COMPLEMENTOS!$I$4:$I$803,MOVIMIENTOS_COMPLEMENTOS!$C$4:$C$803,A907,MOVIMIENTOS_COMPLEMENTOS!$D$4:$D$803,B907,MOVIMIENTOS_COMPLEMENTOS!$E$4:$E$803,C907,MOVIMIENTOS_COMPLEMENTOS!$G$4:$G$803,E907,MOVIMIENTOS_COMPLEMENTOS!$H$4:$H$803,G907,MOVIMIENTOS_COMPLEMENTOS!$B$4:$B$803,"DE CORTE")-SUMIFS(MOVIMIENTOS_COMPLEMENTOS!$I$4:$I$803,MOVIMIENTOS_COMPLEMENTOS!$C$4:$C$803,A907,MOVIMIENTOS_COMPLEMENTOS!$D$4:$D$803,B907,MOVIMIENTOS_COMPLEMENTOS!$E$4:$E$803,C907,MOVIMIENTOS_COMPLEMENTOS!$G$4:$G$803,E907,MOVIMIENTOS_COMPLEMENTOS!$H$4:$H$803,G907,MOVIMIENTOS_COMPLEMENTOS!$B$4:$B$803,"SALIDA"),0)</f>
        <v>0</v>
      </c>
      <c r="I907" s="102">
        <f t="array" ref="I907">IFERROR(INDEX(PRECIOS_COMPLEMENTOS!$C$4:$F$17,MATCH(B907&amp;"_"&amp;C907,PRECIOS_COMPLEMENTOS!$H$4:$H$17,0),IF(OR(G907="S",G907="20cm"),1,IF(OR(G907="M",G907="25cm"),2,IF(OR(G907="L",G907="30cm"),3,IF(OR(G907="XL",G907="35cm"),4,0))))),0)</f>
        <v>0.4</v>
      </c>
      <c r="J907" s="103">
        <f t="shared" si="1"/>
        <v>0</v>
      </c>
      <c r="K907" s="104" t="str">
        <f>IF(H907&lt;0,"ERROR",IF(H907=0,"",IF(H907&lt;CONFIG!$B$4,"CRÍTICO",IF(H907&lt;CONFIG!$B$5,"BAJO","OK"))))</f>
        <v/>
      </c>
    </row>
    <row r="908" ht="15.75" hidden="1" customHeight="1">
      <c r="A908" s="90" t="str">
        <f>IF(CLIENTES!A6="","",CLIENTES!A6)</f>
        <v/>
      </c>
      <c r="B908" s="90" t="s">
        <v>321</v>
      </c>
      <c r="C908" s="91" t="s">
        <v>328</v>
      </c>
      <c r="D908" s="109" t="s">
        <v>353</v>
      </c>
      <c r="E908" s="67" t="str">
        <f>COLORES!A10</f>
        <v>Botella</v>
      </c>
      <c r="F908" s="67" t="str">
        <f>COLORES!B10</f>
        <v>OSCURO</v>
      </c>
      <c r="G908" s="90" t="s">
        <v>378</v>
      </c>
      <c r="H908" s="100">
        <f>IFERROR(SUMIFS(MOVIMIENTOS_COMPLEMENTOS!$I$4:$I$803,MOVIMIENTOS_COMPLEMENTOS!$C$4:$C$803,A908,MOVIMIENTOS_COMPLEMENTOS!$D$4:$D$803,B908,MOVIMIENTOS_COMPLEMENTOS!$E$4:$E$803,C908,MOVIMIENTOS_COMPLEMENTOS!$G$4:$G$803,E908,MOVIMIENTOS_COMPLEMENTOS!$H$4:$H$803,G908,MOVIMIENTOS_COMPLEMENTOS!$B$4:$B$803,"INGRESO")+SUMIFS(MOVIMIENTOS_COMPLEMENTOS!$I$4:$I$803,MOVIMIENTOS_COMPLEMENTOS!$C$4:$C$803,A908,MOVIMIENTOS_COMPLEMENTOS!$D$4:$D$803,B908,MOVIMIENTOS_COMPLEMENTOS!$E$4:$E$803,C908,MOVIMIENTOS_COMPLEMENTOS!$G$4:$G$803,E908,MOVIMIENTOS_COMPLEMENTOS!$H$4:$H$803,G908,MOVIMIENTOS_COMPLEMENTOS!$B$4:$B$803,"DE CORTE")-SUMIFS(MOVIMIENTOS_COMPLEMENTOS!$I$4:$I$803,MOVIMIENTOS_COMPLEMENTOS!$C$4:$C$803,A908,MOVIMIENTOS_COMPLEMENTOS!$D$4:$D$803,B908,MOVIMIENTOS_COMPLEMENTOS!$E$4:$E$803,C908,MOVIMIENTOS_COMPLEMENTOS!$G$4:$G$803,E908,MOVIMIENTOS_COMPLEMENTOS!$H$4:$H$803,G908,MOVIMIENTOS_COMPLEMENTOS!$B$4:$B$803,"SALIDA"),0)</f>
        <v>0</v>
      </c>
      <c r="I908" s="102">
        <f t="array" ref="I908">IFERROR(INDEX(PRECIOS_COMPLEMENTOS!$C$4:$F$17,MATCH(B908&amp;"_"&amp;C908,PRECIOS_COMPLEMENTOS!$H$4:$H$17,0),IF(OR(G908="S",G908="20cm"),1,IF(OR(G908="M",G908="25cm"),2,IF(OR(G908="L",G908="30cm"),3,IF(OR(G908="XL",G908="35cm"),4,0))))),0)</f>
        <v>0.4</v>
      </c>
      <c r="J908" s="103">
        <f t="shared" si="1"/>
        <v>0</v>
      </c>
      <c r="K908" s="104" t="str">
        <f>IF(H908&lt;0,"ERROR",IF(H908=0,"",IF(H908&lt;CONFIG!$B$4,"CRÍTICO",IF(H908&lt;CONFIG!$B$5,"BAJO","OK"))))</f>
        <v/>
      </c>
    </row>
    <row r="909" ht="15.75" hidden="1" customHeight="1">
      <c r="A909" s="90" t="str">
        <f>IF(CLIENTES!A6="","",CLIENTES!A6)</f>
        <v/>
      </c>
      <c r="B909" s="90" t="s">
        <v>321</v>
      </c>
      <c r="C909" s="91" t="s">
        <v>328</v>
      </c>
      <c r="D909" s="109" t="s">
        <v>353</v>
      </c>
      <c r="E909" s="67" t="str">
        <f>COLORES!A10</f>
        <v>Botella</v>
      </c>
      <c r="F909" s="67" t="str">
        <f>COLORES!B10</f>
        <v>OSCURO</v>
      </c>
      <c r="G909" s="90" t="s">
        <v>376</v>
      </c>
      <c r="H909" s="100">
        <f>IFERROR(SUMIFS(MOVIMIENTOS_COMPLEMENTOS!$I$4:$I$803,MOVIMIENTOS_COMPLEMENTOS!$C$4:$C$803,A909,MOVIMIENTOS_COMPLEMENTOS!$D$4:$D$803,B909,MOVIMIENTOS_COMPLEMENTOS!$E$4:$E$803,C909,MOVIMIENTOS_COMPLEMENTOS!$G$4:$G$803,E909,MOVIMIENTOS_COMPLEMENTOS!$H$4:$H$803,G909,MOVIMIENTOS_COMPLEMENTOS!$B$4:$B$803,"INGRESO")+SUMIFS(MOVIMIENTOS_COMPLEMENTOS!$I$4:$I$803,MOVIMIENTOS_COMPLEMENTOS!$C$4:$C$803,A909,MOVIMIENTOS_COMPLEMENTOS!$D$4:$D$803,B909,MOVIMIENTOS_COMPLEMENTOS!$E$4:$E$803,C909,MOVIMIENTOS_COMPLEMENTOS!$G$4:$G$803,E909,MOVIMIENTOS_COMPLEMENTOS!$H$4:$H$803,G909,MOVIMIENTOS_COMPLEMENTOS!$B$4:$B$803,"DE CORTE")-SUMIFS(MOVIMIENTOS_COMPLEMENTOS!$I$4:$I$803,MOVIMIENTOS_COMPLEMENTOS!$C$4:$C$803,A909,MOVIMIENTOS_COMPLEMENTOS!$D$4:$D$803,B909,MOVIMIENTOS_COMPLEMENTOS!$E$4:$E$803,C909,MOVIMIENTOS_COMPLEMENTOS!$G$4:$G$803,E909,MOVIMIENTOS_COMPLEMENTOS!$H$4:$H$803,G909,MOVIMIENTOS_COMPLEMENTOS!$B$4:$B$803,"SALIDA"),0)</f>
        <v>0</v>
      </c>
      <c r="I909" s="102">
        <f t="array" ref="I909">IFERROR(INDEX(PRECIOS_COMPLEMENTOS!$C$4:$F$17,MATCH(B909&amp;"_"&amp;C909,PRECIOS_COMPLEMENTOS!$H$4:$H$17,0),IF(OR(G909="S",G909="20cm"),1,IF(OR(G909="M",G909="25cm"),2,IF(OR(G909="L",G909="30cm"),3,IF(OR(G909="XL",G909="35cm"),4,0))))),0)</f>
        <v>0.4</v>
      </c>
      <c r="J909" s="103">
        <f t="shared" si="1"/>
        <v>0</v>
      </c>
      <c r="K909" s="104" t="str">
        <f>IF(H909&lt;0,"ERROR",IF(H909=0,"",IF(H909&lt;CONFIG!$B$4,"CRÍTICO",IF(H909&lt;CONFIG!$B$5,"BAJO","OK"))))</f>
        <v/>
      </c>
    </row>
    <row r="910" ht="15.75" hidden="1" customHeight="1">
      <c r="A910" s="90" t="str">
        <f>IF(CLIENTES!A6="","",CLIENTES!A6)</f>
        <v/>
      </c>
      <c r="B910" s="90" t="s">
        <v>321</v>
      </c>
      <c r="C910" s="91" t="s">
        <v>328</v>
      </c>
      <c r="D910" s="109" t="s">
        <v>353</v>
      </c>
      <c r="E910" s="67" t="str">
        <f>COLORES!A10</f>
        <v>Botella</v>
      </c>
      <c r="F910" s="67" t="str">
        <f>COLORES!B10</f>
        <v>OSCURO</v>
      </c>
      <c r="G910" s="90" t="s">
        <v>377</v>
      </c>
      <c r="H910" s="100">
        <f>IFERROR(SUMIFS(MOVIMIENTOS_COMPLEMENTOS!$I$4:$I$803,MOVIMIENTOS_COMPLEMENTOS!$C$4:$C$803,A910,MOVIMIENTOS_COMPLEMENTOS!$D$4:$D$803,B910,MOVIMIENTOS_COMPLEMENTOS!$E$4:$E$803,C910,MOVIMIENTOS_COMPLEMENTOS!$G$4:$G$803,E910,MOVIMIENTOS_COMPLEMENTOS!$H$4:$H$803,G910,MOVIMIENTOS_COMPLEMENTOS!$B$4:$B$803,"INGRESO")+SUMIFS(MOVIMIENTOS_COMPLEMENTOS!$I$4:$I$803,MOVIMIENTOS_COMPLEMENTOS!$C$4:$C$803,A910,MOVIMIENTOS_COMPLEMENTOS!$D$4:$D$803,B910,MOVIMIENTOS_COMPLEMENTOS!$E$4:$E$803,C910,MOVIMIENTOS_COMPLEMENTOS!$G$4:$G$803,E910,MOVIMIENTOS_COMPLEMENTOS!$H$4:$H$803,G910,MOVIMIENTOS_COMPLEMENTOS!$B$4:$B$803,"DE CORTE")-SUMIFS(MOVIMIENTOS_COMPLEMENTOS!$I$4:$I$803,MOVIMIENTOS_COMPLEMENTOS!$C$4:$C$803,A910,MOVIMIENTOS_COMPLEMENTOS!$D$4:$D$803,B910,MOVIMIENTOS_COMPLEMENTOS!$E$4:$E$803,C910,MOVIMIENTOS_COMPLEMENTOS!$G$4:$G$803,E910,MOVIMIENTOS_COMPLEMENTOS!$H$4:$H$803,G910,MOVIMIENTOS_COMPLEMENTOS!$B$4:$B$803,"SALIDA"),0)</f>
        <v>0</v>
      </c>
      <c r="I910" s="102">
        <f t="array" ref="I910">IFERROR(INDEX(PRECIOS_COMPLEMENTOS!$C$4:$F$17,MATCH(B910&amp;"_"&amp;C910,PRECIOS_COMPLEMENTOS!$H$4:$H$17,0),IF(OR(G910="S",G910="20cm"),1,IF(OR(G910="M",G910="25cm"),2,IF(OR(G910="L",G910="30cm"),3,IF(OR(G910="XL",G910="35cm"),4,0))))),0)</f>
        <v>0.4</v>
      </c>
      <c r="J910" s="103">
        <f t="shared" si="1"/>
        <v>0</v>
      </c>
      <c r="K910" s="104" t="str">
        <f>IF(H910&lt;0,"ERROR",IF(H910=0,"",IF(H910&lt;CONFIG!$B$4,"CRÍTICO",IF(H910&lt;CONFIG!$B$5,"BAJO","OK"))))</f>
        <v/>
      </c>
    </row>
    <row r="911" ht="15.75" hidden="1" customHeight="1">
      <c r="A911" s="90" t="str">
        <f>IF(CLIENTES!A6="","",CLIENTES!A6)</f>
        <v/>
      </c>
      <c r="B911" s="90" t="s">
        <v>321</v>
      </c>
      <c r="C911" s="91" t="s">
        <v>328</v>
      </c>
      <c r="D911" s="109" t="s">
        <v>353</v>
      </c>
      <c r="E911" s="67" t="str">
        <f>COLORES!A10</f>
        <v>Botella</v>
      </c>
      <c r="F911" s="67" t="str">
        <f>COLORES!B10</f>
        <v>OSCURO</v>
      </c>
      <c r="G911" s="90" t="s">
        <v>379</v>
      </c>
      <c r="H911" s="100">
        <f>IFERROR(SUMIFS(MOVIMIENTOS_COMPLEMENTOS!$I$4:$I$803,MOVIMIENTOS_COMPLEMENTOS!$C$4:$C$803,A911,MOVIMIENTOS_COMPLEMENTOS!$D$4:$D$803,B911,MOVIMIENTOS_COMPLEMENTOS!$E$4:$E$803,C911,MOVIMIENTOS_COMPLEMENTOS!$G$4:$G$803,E911,MOVIMIENTOS_COMPLEMENTOS!$H$4:$H$803,G911,MOVIMIENTOS_COMPLEMENTOS!$B$4:$B$803,"INGRESO")+SUMIFS(MOVIMIENTOS_COMPLEMENTOS!$I$4:$I$803,MOVIMIENTOS_COMPLEMENTOS!$C$4:$C$803,A911,MOVIMIENTOS_COMPLEMENTOS!$D$4:$D$803,B911,MOVIMIENTOS_COMPLEMENTOS!$E$4:$E$803,C911,MOVIMIENTOS_COMPLEMENTOS!$G$4:$G$803,E911,MOVIMIENTOS_COMPLEMENTOS!$H$4:$H$803,G911,MOVIMIENTOS_COMPLEMENTOS!$B$4:$B$803,"DE CORTE")-SUMIFS(MOVIMIENTOS_COMPLEMENTOS!$I$4:$I$803,MOVIMIENTOS_COMPLEMENTOS!$C$4:$C$803,A911,MOVIMIENTOS_COMPLEMENTOS!$D$4:$D$803,B911,MOVIMIENTOS_COMPLEMENTOS!$E$4:$E$803,C911,MOVIMIENTOS_COMPLEMENTOS!$G$4:$G$803,E911,MOVIMIENTOS_COMPLEMENTOS!$H$4:$H$803,G911,MOVIMIENTOS_COMPLEMENTOS!$B$4:$B$803,"SALIDA"),0)</f>
        <v>0</v>
      </c>
      <c r="I911" s="102">
        <f t="array" ref="I911">IFERROR(INDEX(PRECIOS_COMPLEMENTOS!$C$4:$F$17,MATCH(B911&amp;"_"&amp;C911,PRECIOS_COMPLEMENTOS!$H$4:$H$17,0),IF(OR(G911="S",G911="20cm"),1,IF(OR(G911="M",G911="25cm"),2,IF(OR(G911="L",G911="30cm"),3,IF(OR(G911="XL",G911="35cm"),4,0))))),0)</f>
        <v>0.4</v>
      </c>
      <c r="J911" s="103">
        <f t="shared" si="1"/>
        <v>0</v>
      </c>
      <c r="K911" s="104" t="str">
        <f>IF(H911&lt;0,"ERROR",IF(H911=0,"",IF(H911&lt;CONFIG!$B$4,"CRÍTICO",IF(H911&lt;CONFIG!$B$5,"BAJO","OK"))))</f>
        <v/>
      </c>
    </row>
    <row r="912" ht="15.75" hidden="1" customHeight="1">
      <c r="A912" s="90" t="str">
        <f>IF(CLIENTES!A6="","",CLIENTES!A6)</f>
        <v/>
      </c>
      <c r="B912" s="90" t="s">
        <v>321</v>
      </c>
      <c r="C912" s="91" t="s">
        <v>328</v>
      </c>
      <c r="D912" s="109" t="s">
        <v>353</v>
      </c>
      <c r="E912" s="67" t="str">
        <f>COLORES!A11</f>
        <v>Pacay</v>
      </c>
      <c r="F912" s="67" t="str">
        <f>COLORES!B11</f>
        <v>CLARO</v>
      </c>
      <c r="G912" s="90" t="s">
        <v>378</v>
      </c>
      <c r="H912" s="100">
        <f>IFERROR(SUMIFS(MOVIMIENTOS_COMPLEMENTOS!$I$4:$I$803,MOVIMIENTOS_COMPLEMENTOS!$C$4:$C$803,A912,MOVIMIENTOS_COMPLEMENTOS!$D$4:$D$803,B912,MOVIMIENTOS_COMPLEMENTOS!$E$4:$E$803,C912,MOVIMIENTOS_COMPLEMENTOS!$G$4:$G$803,E912,MOVIMIENTOS_COMPLEMENTOS!$H$4:$H$803,G912,MOVIMIENTOS_COMPLEMENTOS!$B$4:$B$803,"INGRESO")+SUMIFS(MOVIMIENTOS_COMPLEMENTOS!$I$4:$I$803,MOVIMIENTOS_COMPLEMENTOS!$C$4:$C$803,A912,MOVIMIENTOS_COMPLEMENTOS!$D$4:$D$803,B912,MOVIMIENTOS_COMPLEMENTOS!$E$4:$E$803,C912,MOVIMIENTOS_COMPLEMENTOS!$G$4:$G$803,E912,MOVIMIENTOS_COMPLEMENTOS!$H$4:$H$803,G912,MOVIMIENTOS_COMPLEMENTOS!$B$4:$B$803,"DE CORTE")-SUMIFS(MOVIMIENTOS_COMPLEMENTOS!$I$4:$I$803,MOVIMIENTOS_COMPLEMENTOS!$C$4:$C$803,A912,MOVIMIENTOS_COMPLEMENTOS!$D$4:$D$803,B912,MOVIMIENTOS_COMPLEMENTOS!$E$4:$E$803,C912,MOVIMIENTOS_COMPLEMENTOS!$G$4:$G$803,E912,MOVIMIENTOS_COMPLEMENTOS!$H$4:$H$803,G912,MOVIMIENTOS_COMPLEMENTOS!$B$4:$B$803,"SALIDA"),0)</f>
        <v>0</v>
      </c>
      <c r="I912" s="102">
        <f t="array" ref="I912">IFERROR(INDEX(PRECIOS_COMPLEMENTOS!$C$4:$F$17,MATCH(B912&amp;"_"&amp;C912,PRECIOS_COMPLEMENTOS!$H$4:$H$17,0),IF(OR(G912="S",G912="20cm"),1,IF(OR(G912="M",G912="25cm"),2,IF(OR(G912="L",G912="30cm"),3,IF(OR(G912="XL",G912="35cm"),4,0))))),0)</f>
        <v>0.4</v>
      </c>
      <c r="J912" s="103">
        <f t="shared" si="1"/>
        <v>0</v>
      </c>
      <c r="K912" s="104" t="str">
        <f>IF(H912&lt;0,"ERROR",IF(H912=0,"",IF(H912&lt;CONFIG!$B$4,"CRÍTICO",IF(H912&lt;CONFIG!$B$5,"BAJO","OK"))))</f>
        <v/>
      </c>
    </row>
    <row r="913" ht="15.75" hidden="1" customHeight="1">
      <c r="A913" s="90" t="str">
        <f>IF(CLIENTES!A6="","",CLIENTES!A6)</f>
        <v/>
      </c>
      <c r="B913" s="90" t="s">
        <v>321</v>
      </c>
      <c r="C913" s="91" t="s">
        <v>328</v>
      </c>
      <c r="D913" s="109" t="s">
        <v>353</v>
      </c>
      <c r="E913" s="67" t="str">
        <f>COLORES!A11</f>
        <v>Pacay</v>
      </c>
      <c r="F913" s="67" t="str">
        <f>COLORES!B11</f>
        <v>CLARO</v>
      </c>
      <c r="G913" s="90" t="s">
        <v>376</v>
      </c>
      <c r="H913" s="100">
        <f>IFERROR(SUMIFS(MOVIMIENTOS_COMPLEMENTOS!$I$4:$I$803,MOVIMIENTOS_COMPLEMENTOS!$C$4:$C$803,A913,MOVIMIENTOS_COMPLEMENTOS!$D$4:$D$803,B913,MOVIMIENTOS_COMPLEMENTOS!$E$4:$E$803,C913,MOVIMIENTOS_COMPLEMENTOS!$G$4:$G$803,E913,MOVIMIENTOS_COMPLEMENTOS!$H$4:$H$803,G913,MOVIMIENTOS_COMPLEMENTOS!$B$4:$B$803,"INGRESO")+SUMIFS(MOVIMIENTOS_COMPLEMENTOS!$I$4:$I$803,MOVIMIENTOS_COMPLEMENTOS!$C$4:$C$803,A913,MOVIMIENTOS_COMPLEMENTOS!$D$4:$D$803,B913,MOVIMIENTOS_COMPLEMENTOS!$E$4:$E$803,C913,MOVIMIENTOS_COMPLEMENTOS!$G$4:$G$803,E913,MOVIMIENTOS_COMPLEMENTOS!$H$4:$H$803,G913,MOVIMIENTOS_COMPLEMENTOS!$B$4:$B$803,"DE CORTE")-SUMIFS(MOVIMIENTOS_COMPLEMENTOS!$I$4:$I$803,MOVIMIENTOS_COMPLEMENTOS!$C$4:$C$803,A913,MOVIMIENTOS_COMPLEMENTOS!$D$4:$D$803,B913,MOVIMIENTOS_COMPLEMENTOS!$E$4:$E$803,C913,MOVIMIENTOS_COMPLEMENTOS!$G$4:$G$803,E913,MOVIMIENTOS_COMPLEMENTOS!$H$4:$H$803,G913,MOVIMIENTOS_COMPLEMENTOS!$B$4:$B$803,"SALIDA"),0)</f>
        <v>0</v>
      </c>
      <c r="I913" s="102">
        <f t="array" ref="I913">IFERROR(INDEX(PRECIOS_COMPLEMENTOS!$C$4:$F$17,MATCH(B913&amp;"_"&amp;C913,PRECIOS_COMPLEMENTOS!$H$4:$H$17,0),IF(OR(G913="S",G913="20cm"),1,IF(OR(G913="M",G913="25cm"),2,IF(OR(G913="L",G913="30cm"),3,IF(OR(G913="XL",G913="35cm"),4,0))))),0)</f>
        <v>0.4</v>
      </c>
      <c r="J913" s="103">
        <f t="shared" si="1"/>
        <v>0</v>
      </c>
      <c r="K913" s="104" t="str">
        <f>IF(H913&lt;0,"ERROR",IF(H913=0,"",IF(H913&lt;CONFIG!$B$4,"CRÍTICO",IF(H913&lt;CONFIG!$B$5,"BAJO","OK"))))</f>
        <v/>
      </c>
    </row>
    <row r="914" ht="15.75" hidden="1" customHeight="1">
      <c r="A914" s="90" t="str">
        <f>IF(CLIENTES!A6="","",CLIENTES!A6)</f>
        <v/>
      </c>
      <c r="B914" s="90" t="s">
        <v>321</v>
      </c>
      <c r="C914" s="91" t="s">
        <v>328</v>
      </c>
      <c r="D914" s="109" t="s">
        <v>353</v>
      </c>
      <c r="E914" s="67" t="str">
        <f>COLORES!A11</f>
        <v>Pacay</v>
      </c>
      <c r="F914" s="67" t="str">
        <f>COLORES!B11</f>
        <v>CLARO</v>
      </c>
      <c r="G914" s="90" t="s">
        <v>377</v>
      </c>
      <c r="H914" s="100">
        <f>IFERROR(SUMIFS(MOVIMIENTOS_COMPLEMENTOS!$I$4:$I$803,MOVIMIENTOS_COMPLEMENTOS!$C$4:$C$803,A914,MOVIMIENTOS_COMPLEMENTOS!$D$4:$D$803,B914,MOVIMIENTOS_COMPLEMENTOS!$E$4:$E$803,C914,MOVIMIENTOS_COMPLEMENTOS!$G$4:$G$803,E914,MOVIMIENTOS_COMPLEMENTOS!$H$4:$H$803,G914,MOVIMIENTOS_COMPLEMENTOS!$B$4:$B$803,"INGRESO")+SUMIFS(MOVIMIENTOS_COMPLEMENTOS!$I$4:$I$803,MOVIMIENTOS_COMPLEMENTOS!$C$4:$C$803,A914,MOVIMIENTOS_COMPLEMENTOS!$D$4:$D$803,B914,MOVIMIENTOS_COMPLEMENTOS!$E$4:$E$803,C914,MOVIMIENTOS_COMPLEMENTOS!$G$4:$G$803,E914,MOVIMIENTOS_COMPLEMENTOS!$H$4:$H$803,G914,MOVIMIENTOS_COMPLEMENTOS!$B$4:$B$803,"DE CORTE")-SUMIFS(MOVIMIENTOS_COMPLEMENTOS!$I$4:$I$803,MOVIMIENTOS_COMPLEMENTOS!$C$4:$C$803,A914,MOVIMIENTOS_COMPLEMENTOS!$D$4:$D$803,B914,MOVIMIENTOS_COMPLEMENTOS!$E$4:$E$803,C914,MOVIMIENTOS_COMPLEMENTOS!$G$4:$G$803,E914,MOVIMIENTOS_COMPLEMENTOS!$H$4:$H$803,G914,MOVIMIENTOS_COMPLEMENTOS!$B$4:$B$803,"SALIDA"),0)</f>
        <v>0</v>
      </c>
      <c r="I914" s="102">
        <f t="array" ref="I914">IFERROR(INDEX(PRECIOS_COMPLEMENTOS!$C$4:$F$17,MATCH(B914&amp;"_"&amp;C914,PRECIOS_COMPLEMENTOS!$H$4:$H$17,0),IF(OR(G914="S",G914="20cm"),1,IF(OR(G914="M",G914="25cm"),2,IF(OR(G914="L",G914="30cm"),3,IF(OR(G914="XL",G914="35cm"),4,0))))),0)</f>
        <v>0.4</v>
      </c>
      <c r="J914" s="103">
        <f t="shared" si="1"/>
        <v>0</v>
      </c>
      <c r="K914" s="104" t="str">
        <f>IF(H914&lt;0,"ERROR",IF(H914=0,"",IF(H914&lt;CONFIG!$B$4,"CRÍTICO",IF(H914&lt;CONFIG!$B$5,"BAJO","OK"))))</f>
        <v/>
      </c>
    </row>
    <row r="915" ht="15.75" hidden="1" customHeight="1">
      <c r="A915" s="90" t="str">
        <f>IF(CLIENTES!A6="","",CLIENTES!A6)</f>
        <v/>
      </c>
      <c r="B915" s="90" t="s">
        <v>321</v>
      </c>
      <c r="C915" s="91" t="s">
        <v>328</v>
      </c>
      <c r="D915" s="109" t="s">
        <v>353</v>
      </c>
      <c r="E915" s="67" t="str">
        <f>COLORES!A11</f>
        <v>Pacay</v>
      </c>
      <c r="F915" s="67" t="str">
        <f>COLORES!B11</f>
        <v>CLARO</v>
      </c>
      <c r="G915" s="90" t="s">
        <v>379</v>
      </c>
      <c r="H915" s="100">
        <f>IFERROR(SUMIFS(MOVIMIENTOS_COMPLEMENTOS!$I$4:$I$803,MOVIMIENTOS_COMPLEMENTOS!$C$4:$C$803,A915,MOVIMIENTOS_COMPLEMENTOS!$D$4:$D$803,B915,MOVIMIENTOS_COMPLEMENTOS!$E$4:$E$803,C915,MOVIMIENTOS_COMPLEMENTOS!$G$4:$G$803,E915,MOVIMIENTOS_COMPLEMENTOS!$H$4:$H$803,G915,MOVIMIENTOS_COMPLEMENTOS!$B$4:$B$803,"INGRESO")+SUMIFS(MOVIMIENTOS_COMPLEMENTOS!$I$4:$I$803,MOVIMIENTOS_COMPLEMENTOS!$C$4:$C$803,A915,MOVIMIENTOS_COMPLEMENTOS!$D$4:$D$803,B915,MOVIMIENTOS_COMPLEMENTOS!$E$4:$E$803,C915,MOVIMIENTOS_COMPLEMENTOS!$G$4:$G$803,E915,MOVIMIENTOS_COMPLEMENTOS!$H$4:$H$803,G915,MOVIMIENTOS_COMPLEMENTOS!$B$4:$B$803,"DE CORTE")-SUMIFS(MOVIMIENTOS_COMPLEMENTOS!$I$4:$I$803,MOVIMIENTOS_COMPLEMENTOS!$C$4:$C$803,A915,MOVIMIENTOS_COMPLEMENTOS!$D$4:$D$803,B915,MOVIMIENTOS_COMPLEMENTOS!$E$4:$E$803,C915,MOVIMIENTOS_COMPLEMENTOS!$G$4:$G$803,E915,MOVIMIENTOS_COMPLEMENTOS!$H$4:$H$803,G915,MOVIMIENTOS_COMPLEMENTOS!$B$4:$B$803,"SALIDA"),0)</f>
        <v>0</v>
      </c>
      <c r="I915" s="102">
        <f t="array" ref="I915">IFERROR(INDEX(PRECIOS_COMPLEMENTOS!$C$4:$F$17,MATCH(B915&amp;"_"&amp;C915,PRECIOS_COMPLEMENTOS!$H$4:$H$17,0),IF(OR(G915="S",G915="20cm"),1,IF(OR(G915="M",G915="25cm"),2,IF(OR(G915="L",G915="30cm"),3,IF(OR(G915="XL",G915="35cm"),4,0))))),0)</f>
        <v>0.4</v>
      </c>
      <c r="J915" s="103">
        <f t="shared" si="1"/>
        <v>0</v>
      </c>
      <c r="K915" s="104" t="str">
        <f>IF(H915&lt;0,"ERROR",IF(H915=0,"",IF(H915&lt;CONFIG!$B$4,"CRÍTICO",IF(H915&lt;CONFIG!$B$5,"BAJO","OK"))))</f>
        <v/>
      </c>
    </row>
    <row r="916" ht="15.75" hidden="1" customHeight="1">
      <c r="A916" s="90" t="str">
        <f>IF(CLIENTES!A6="","",CLIENTES!A6)</f>
        <v/>
      </c>
      <c r="B916" s="90" t="s">
        <v>321</v>
      </c>
      <c r="C916" s="91" t="s">
        <v>328</v>
      </c>
      <c r="D916" s="109" t="s">
        <v>353</v>
      </c>
      <c r="E916" s="67" t="str">
        <f>COLORES!A12</f>
        <v>Cemento</v>
      </c>
      <c r="F916" s="67" t="str">
        <f>COLORES!B12</f>
        <v>CLARO</v>
      </c>
      <c r="G916" s="90" t="s">
        <v>378</v>
      </c>
      <c r="H916" s="100">
        <f>IFERROR(SUMIFS(MOVIMIENTOS_COMPLEMENTOS!$I$4:$I$803,MOVIMIENTOS_COMPLEMENTOS!$C$4:$C$803,A916,MOVIMIENTOS_COMPLEMENTOS!$D$4:$D$803,B916,MOVIMIENTOS_COMPLEMENTOS!$E$4:$E$803,C916,MOVIMIENTOS_COMPLEMENTOS!$G$4:$G$803,E916,MOVIMIENTOS_COMPLEMENTOS!$H$4:$H$803,G916,MOVIMIENTOS_COMPLEMENTOS!$B$4:$B$803,"INGRESO")+SUMIFS(MOVIMIENTOS_COMPLEMENTOS!$I$4:$I$803,MOVIMIENTOS_COMPLEMENTOS!$C$4:$C$803,A916,MOVIMIENTOS_COMPLEMENTOS!$D$4:$D$803,B916,MOVIMIENTOS_COMPLEMENTOS!$E$4:$E$803,C916,MOVIMIENTOS_COMPLEMENTOS!$G$4:$G$803,E916,MOVIMIENTOS_COMPLEMENTOS!$H$4:$H$803,G916,MOVIMIENTOS_COMPLEMENTOS!$B$4:$B$803,"DE CORTE")-SUMIFS(MOVIMIENTOS_COMPLEMENTOS!$I$4:$I$803,MOVIMIENTOS_COMPLEMENTOS!$C$4:$C$803,A916,MOVIMIENTOS_COMPLEMENTOS!$D$4:$D$803,B916,MOVIMIENTOS_COMPLEMENTOS!$E$4:$E$803,C916,MOVIMIENTOS_COMPLEMENTOS!$G$4:$G$803,E916,MOVIMIENTOS_COMPLEMENTOS!$H$4:$H$803,G916,MOVIMIENTOS_COMPLEMENTOS!$B$4:$B$803,"SALIDA"),0)</f>
        <v>0</v>
      </c>
      <c r="I916" s="102">
        <f t="array" ref="I916">IFERROR(INDEX(PRECIOS_COMPLEMENTOS!$C$4:$F$17,MATCH(B916&amp;"_"&amp;C916,PRECIOS_COMPLEMENTOS!$H$4:$H$17,0),IF(OR(G916="S",G916="20cm"),1,IF(OR(G916="M",G916="25cm"),2,IF(OR(G916="L",G916="30cm"),3,IF(OR(G916="XL",G916="35cm"),4,0))))),0)</f>
        <v>0.4</v>
      </c>
      <c r="J916" s="103">
        <f t="shared" si="1"/>
        <v>0</v>
      </c>
      <c r="K916" s="104" t="str">
        <f>IF(H916&lt;0,"ERROR",IF(H916=0,"",IF(H916&lt;CONFIG!$B$4,"CRÍTICO",IF(H916&lt;CONFIG!$B$5,"BAJO","OK"))))</f>
        <v/>
      </c>
    </row>
    <row r="917" ht="15.75" hidden="1" customHeight="1">
      <c r="A917" s="90" t="str">
        <f>IF(CLIENTES!A6="","",CLIENTES!A6)</f>
        <v/>
      </c>
      <c r="B917" s="90" t="s">
        <v>321</v>
      </c>
      <c r="C917" s="91" t="s">
        <v>328</v>
      </c>
      <c r="D917" s="109" t="s">
        <v>353</v>
      </c>
      <c r="E917" s="67" t="str">
        <f>COLORES!A12</f>
        <v>Cemento</v>
      </c>
      <c r="F917" s="67" t="str">
        <f>COLORES!B12</f>
        <v>CLARO</v>
      </c>
      <c r="G917" s="90" t="s">
        <v>376</v>
      </c>
      <c r="H917" s="100">
        <f>IFERROR(SUMIFS(MOVIMIENTOS_COMPLEMENTOS!$I$4:$I$803,MOVIMIENTOS_COMPLEMENTOS!$C$4:$C$803,A917,MOVIMIENTOS_COMPLEMENTOS!$D$4:$D$803,B917,MOVIMIENTOS_COMPLEMENTOS!$E$4:$E$803,C917,MOVIMIENTOS_COMPLEMENTOS!$G$4:$G$803,E917,MOVIMIENTOS_COMPLEMENTOS!$H$4:$H$803,G917,MOVIMIENTOS_COMPLEMENTOS!$B$4:$B$803,"INGRESO")+SUMIFS(MOVIMIENTOS_COMPLEMENTOS!$I$4:$I$803,MOVIMIENTOS_COMPLEMENTOS!$C$4:$C$803,A917,MOVIMIENTOS_COMPLEMENTOS!$D$4:$D$803,B917,MOVIMIENTOS_COMPLEMENTOS!$E$4:$E$803,C917,MOVIMIENTOS_COMPLEMENTOS!$G$4:$G$803,E917,MOVIMIENTOS_COMPLEMENTOS!$H$4:$H$803,G917,MOVIMIENTOS_COMPLEMENTOS!$B$4:$B$803,"DE CORTE")-SUMIFS(MOVIMIENTOS_COMPLEMENTOS!$I$4:$I$803,MOVIMIENTOS_COMPLEMENTOS!$C$4:$C$803,A917,MOVIMIENTOS_COMPLEMENTOS!$D$4:$D$803,B917,MOVIMIENTOS_COMPLEMENTOS!$E$4:$E$803,C917,MOVIMIENTOS_COMPLEMENTOS!$G$4:$G$803,E917,MOVIMIENTOS_COMPLEMENTOS!$H$4:$H$803,G917,MOVIMIENTOS_COMPLEMENTOS!$B$4:$B$803,"SALIDA"),0)</f>
        <v>0</v>
      </c>
      <c r="I917" s="102">
        <f t="array" ref="I917">IFERROR(INDEX(PRECIOS_COMPLEMENTOS!$C$4:$F$17,MATCH(B917&amp;"_"&amp;C917,PRECIOS_COMPLEMENTOS!$H$4:$H$17,0),IF(OR(G917="S",G917="20cm"),1,IF(OR(G917="M",G917="25cm"),2,IF(OR(G917="L",G917="30cm"),3,IF(OR(G917="XL",G917="35cm"),4,0))))),0)</f>
        <v>0.4</v>
      </c>
      <c r="J917" s="103">
        <f t="shared" si="1"/>
        <v>0</v>
      </c>
      <c r="K917" s="104" t="str">
        <f>IF(H917&lt;0,"ERROR",IF(H917=0,"",IF(H917&lt;CONFIG!$B$4,"CRÍTICO",IF(H917&lt;CONFIG!$B$5,"BAJO","OK"))))</f>
        <v/>
      </c>
    </row>
    <row r="918" ht="15.75" hidden="1" customHeight="1">
      <c r="A918" s="90" t="str">
        <f>IF(CLIENTES!A6="","",CLIENTES!A6)</f>
        <v/>
      </c>
      <c r="B918" s="90" t="s">
        <v>321</v>
      </c>
      <c r="C918" s="91" t="s">
        <v>328</v>
      </c>
      <c r="D918" s="109" t="s">
        <v>353</v>
      </c>
      <c r="E918" s="67" t="str">
        <f>COLORES!A12</f>
        <v>Cemento</v>
      </c>
      <c r="F918" s="67" t="str">
        <f>COLORES!B12</f>
        <v>CLARO</v>
      </c>
      <c r="G918" s="90" t="s">
        <v>377</v>
      </c>
      <c r="H918" s="100">
        <f>IFERROR(SUMIFS(MOVIMIENTOS_COMPLEMENTOS!$I$4:$I$803,MOVIMIENTOS_COMPLEMENTOS!$C$4:$C$803,A918,MOVIMIENTOS_COMPLEMENTOS!$D$4:$D$803,B918,MOVIMIENTOS_COMPLEMENTOS!$E$4:$E$803,C918,MOVIMIENTOS_COMPLEMENTOS!$G$4:$G$803,E918,MOVIMIENTOS_COMPLEMENTOS!$H$4:$H$803,G918,MOVIMIENTOS_COMPLEMENTOS!$B$4:$B$803,"INGRESO")+SUMIFS(MOVIMIENTOS_COMPLEMENTOS!$I$4:$I$803,MOVIMIENTOS_COMPLEMENTOS!$C$4:$C$803,A918,MOVIMIENTOS_COMPLEMENTOS!$D$4:$D$803,B918,MOVIMIENTOS_COMPLEMENTOS!$E$4:$E$803,C918,MOVIMIENTOS_COMPLEMENTOS!$G$4:$G$803,E918,MOVIMIENTOS_COMPLEMENTOS!$H$4:$H$803,G918,MOVIMIENTOS_COMPLEMENTOS!$B$4:$B$803,"DE CORTE")-SUMIFS(MOVIMIENTOS_COMPLEMENTOS!$I$4:$I$803,MOVIMIENTOS_COMPLEMENTOS!$C$4:$C$803,A918,MOVIMIENTOS_COMPLEMENTOS!$D$4:$D$803,B918,MOVIMIENTOS_COMPLEMENTOS!$E$4:$E$803,C918,MOVIMIENTOS_COMPLEMENTOS!$G$4:$G$803,E918,MOVIMIENTOS_COMPLEMENTOS!$H$4:$H$803,G918,MOVIMIENTOS_COMPLEMENTOS!$B$4:$B$803,"SALIDA"),0)</f>
        <v>0</v>
      </c>
      <c r="I918" s="102">
        <f t="array" ref="I918">IFERROR(INDEX(PRECIOS_COMPLEMENTOS!$C$4:$F$17,MATCH(B918&amp;"_"&amp;C918,PRECIOS_COMPLEMENTOS!$H$4:$H$17,0),IF(OR(G918="S",G918="20cm"),1,IF(OR(G918="M",G918="25cm"),2,IF(OR(G918="L",G918="30cm"),3,IF(OR(G918="XL",G918="35cm"),4,0))))),0)</f>
        <v>0.4</v>
      </c>
      <c r="J918" s="103">
        <f t="shared" si="1"/>
        <v>0</v>
      </c>
      <c r="K918" s="104" t="str">
        <f>IF(H918&lt;0,"ERROR",IF(H918=0,"",IF(H918&lt;CONFIG!$B$4,"CRÍTICO",IF(H918&lt;CONFIG!$B$5,"BAJO","OK"))))</f>
        <v/>
      </c>
    </row>
    <row r="919" ht="15.75" hidden="1" customHeight="1">
      <c r="A919" s="90" t="str">
        <f>IF(CLIENTES!A6="","",CLIENTES!A6)</f>
        <v/>
      </c>
      <c r="B919" s="90" t="s">
        <v>321</v>
      </c>
      <c r="C919" s="91" t="s">
        <v>328</v>
      </c>
      <c r="D919" s="109" t="s">
        <v>353</v>
      </c>
      <c r="E919" s="67" t="str">
        <f>COLORES!A12</f>
        <v>Cemento</v>
      </c>
      <c r="F919" s="67" t="str">
        <f>COLORES!B12</f>
        <v>CLARO</v>
      </c>
      <c r="G919" s="90" t="s">
        <v>379</v>
      </c>
      <c r="H919" s="100">
        <f>IFERROR(SUMIFS(MOVIMIENTOS_COMPLEMENTOS!$I$4:$I$803,MOVIMIENTOS_COMPLEMENTOS!$C$4:$C$803,A919,MOVIMIENTOS_COMPLEMENTOS!$D$4:$D$803,B919,MOVIMIENTOS_COMPLEMENTOS!$E$4:$E$803,C919,MOVIMIENTOS_COMPLEMENTOS!$G$4:$G$803,E919,MOVIMIENTOS_COMPLEMENTOS!$H$4:$H$803,G919,MOVIMIENTOS_COMPLEMENTOS!$B$4:$B$803,"INGRESO")+SUMIFS(MOVIMIENTOS_COMPLEMENTOS!$I$4:$I$803,MOVIMIENTOS_COMPLEMENTOS!$C$4:$C$803,A919,MOVIMIENTOS_COMPLEMENTOS!$D$4:$D$803,B919,MOVIMIENTOS_COMPLEMENTOS!$E$4:$E$803,C919,MOVIMIENTOS_COMPLEMENTOS!$G$4:$G$803,E919,MOVIMIENTOS_COMPLEMENTOS!$H$4:$H$803,G919,MOVIMIENTOS_COMPLEMENTOS!$B$4:$B$803,"DE CORTE")-SUMIFS(MOVIMIENTOS_COMPLEMENTOS!$I$4:$I$803,MOVIMIENTOS_COMPLEMENTOS!$C$4:$C$803,A919,MOVIMIENTOS_COMPLEMENTOS!$D$4:$D$803,B919,MOVIMIENTOS_COMPLEMENTOS!$E$4:$E$803,C919,MOVIMIENTOS_COMPLEMENTOS!$G$4:$G$803,E919,MOVIMIENTOS_COMPLEMENTOS!$H$4:$H$803,G919,MOVIMIENTOS_COMPLEMENTOS!$B$4:$B$803,"SALIDA"),0)</f>
        <v>0</v>
      </c>
      <c r="I919" s="102">
        <f t="array" ref="I919">IFERROR(INDEX(PRECIOS_COMPLEMENTOS!$C$4:$F$17,MATCH(B919&amp;"_"&amp;C919,PRECIOS_COMPLEMENTOS!$H$4:$H$17,0),IF(OR(G919="S",G919="20cm"),1,IF(OR(G919="M",G919="25cm"),2,IF(OR(G919="L",G919="30cm"),3,IF(OR(G919="XL",G919="35cm"),4,0))))),0)</f>
        <v>0.4</v>
      </c>
      <c r="J919" s="103">
        <f t="shared" si="1"/>
        <v>0</v>
      </c>
      <c r="K919" s="104" t="str">
        <f>IF(H919&lt;0,"ERROR",IF(H919=0,"",IF(H919&lt;CONFIG!$B$4,"CRÍTICO",IF(H919&lt;CONFIG!$B$5,"BAJO","OK"))))</f>
        <v/>
      </c>
    </row>
    <row r="920" ht="15.75" hidden="1" customHeight="1">
      <c r="A920" s="90" t="str">
        <f>IF(CLIENTES!A6="","",CLIENTES!A6)</f>
        <v/>
      </c>
      <c r="B920" s="90" t="s">
        <v>321</v>
      </c>
      <c r="C920" s="91" t="s">
        <v>328</v>
      </c>
      <c r="D920" s="109" t="s">
        <v>353</v>
      </c>
      <c r="E920" s="67" t="str">
        <f>COLORES!A13</f>
        <v>Camote</v>
      </c>
      <c r="F920" s="67" t="str">
        <f>COLORES!B13</f>
        <v>CLARO</v>
      </c>
      <c r="G920" s="90" t="s">
        <v>378</v>
      </c>
      <c r="H920" s="100">
        <f>IFERROR(SUMIFS(MOVIMIENTOS_COMPLEMENTOS!$I$4:$I$803,MOVIMIENTOS_COMPLEMENTOS!$C$4:$C$803,A920,MOVIMIENTOS_COMPLEMENTOS!$D$4:$D$803,B920,MOVIMIENTOS_COMPLEMENTOS!$E$4:$E$803,C920,MOVIMIENTOS_COMPLEMENTOS!$G$4:$G$803,E920,MOVIMIENTOS_COMPLEMENTOS!$H$4:$H$803,G920,MOVIMIENTOS_COMPLEMENTOS!$B$4:$B$803,"INGRESO")+SUMIFS(MOVIMIENTOS_COMPLEMENTOS!$I$4:$I$803,MOVIMIENTOS_COMPLEMENTOS!$C$4:$C$803,A920,MOVIMIENTOS_COMPLEMENTOS!$D$4:$D$803,B920,MOVIMIENTOS_COMPLEMENTOS!$E$4:$E$803,C920,MOVIMIENTOS_COMPLEMENTOS!$G$4:$G$803,E920,MOVIMIENTOS_COMPLEMENTOS!$H$4:$H$803,G920,MOVIMIENTOS_COMPLEMENTOS!$B$4:$B$803,"DE CORTE")-SUMIFS(MOVIMIENTOS_COMPLEMENTOS!$I$4:$I$803,MOVIMIENTOS_COMPLEMENTOS!$C$4:$C$803,A920,MOVIMIENTOS_COMPLEMENTOS!$D$4:$D$803,B920,MOVIMIENTOS_COMPLEMENTOS!$E$4:$E$803,C920,MOVIMIENTOS_COMPLEMENTOS!$G$4:$G$803,E920,MOVIMIENTOS_COMPLEMENTOS!$H$4:$H$803,G920,MOVIMIENTOS_COMPLEMENTOS!$B$4:$B$803,"SALIDA"),0)</f>
        <v>0</v>
      </c>
      <c r="I920" s="102">
        <f t="array" ref="I920">IFERROR(INDEX(PRECIOS_COMPLEMENTOS!$C$4:$F$17,MATCH(B920&amp;"_"&amp;C920,PRECIOS_COMPLEMENTOS!$H$4:$H$17,0),IF(OR(G920="S",G920="20cm"),1,IF(OR(G920="M",G920="25cm"),2,IF(OR(G920="L",G920="30cm"),3,IF(OR(G920="XL",G920="35cm"),4,0))))),0)</f>
        <v>0.4</v>
      </c>
      <c r="J920" s="103">
        <f t="shared" si="1"/>
        <v>0</v>
      </c>
      <c r="K920" s="104" t="str">
        <f>IF(H920&lt;0,"ERROR",IF(H920=0,"",IF(H920&lt;CONFIG!$B$4,"CRÍTICO",IF(H920&lt;CONFIG!$B$5,"BAJO","OK"))))</f>
        <v/>
      </c>
    </row>
    <row r="921" ht="15.75" hidden="1" customHeight="1">
      <c r="A921" s="90" t="str">
        <f>IF(CLIENTES!A6="","",CLIENTES!A6)</f>
        <v/>
      </c>
      <c r="B921" s="90" t="s">
        <v>321</v>
      </c>
      <c r="C921" s="91" t="s">
        <v>328</v>
      </c>
      <c r="D921" s="109" t="s">
        <v>353</v>
      </c>
      <c r="E921" s="67" t="str">
        <f>COLORES!A13</f>
        <v>Camote</v>
      </c>
      <c r="F921" s="67" t="str">
        <f>COLORES!B13</f>
        <v>CLARO</v>
      </c>
      <c r="G921" s="90" t="s">
        <v>376</v>
      </c>
      <c r="H921" s="100">
        <f>IFERROR(SUMIFS(MOVIMIENTOS_COMPLEMENTOS!$I$4:$I$803,MOVIMIENTOS_COMPLEMENTOS!$C$4:$C$803,A921,MOVIMIENTOS_COMPLEMENTOS!$D$4:$D$803,B921,MOVIMIENTOS_COMPLEMENTOS!$E$4:$E$803,C921,MOVIMIENTOS_COMPLEMENTOS!$G$4:$G$803,E921,MOVIMIENTOS_COMPLEMENTOS!$H$4:$H$803,G921,MOVIMIENTOS_COMPLEMENTOS!$B$4:$B$803,"INGRESO")+SUMIFS(MOVIMIENTOS_COMPLEMENTOS!$I$4:$I$803,MOVIMIENTOS_COMPLEMENTOS!$C$4:$C$803,A921,MOVIMIENTOS_COMPLEMENTOS!$D$4:$D$803,B921,MOVIMIENTOS_COMPLEMENTOS!$E$4:$E$803,C921,MOVIMIENTOS_COMPLEMENTOS!$G$4:$G$803,E921,MOVIMIENTOS_COMPLEMENTOS!$H$4:$H$803,G921,MOVIMIENTOS_COMPLEMENTOS!$B$4:$B$803,"DE CORTE")-SUMIFS(MOVIMIENTOS_COMPLEMENTOS!$I$4:$I$803,MOVIMIENTOS_COMPLEMENTOS!$C$4:$C$803,A921,MOVIMIENTOS_COMPLEMENTOS!$D$4:$D$803,B921,MOVIMIENTOS_COMPLEMENTOS!$E$4:$E$803,C921,MOVIMIENTOS_COMPLEMENTOS!$G$4:$G$803,E921,MOVIMIENTOS_COMPLEMENTOS!$H$4:$H$803,G921,MOVIMIENTOS_COMPLEMENTOS!$B$4:$B$803,"SALIDA"),0)</f>
        <v>0</v>
      </c>
      <c r="I921" s="102">
        <f t="array" ref="I921">IFERROR(INDEX(PRECIOS_COMPLEMENTOS!$C$4:$F$17,MATCH(B921&amp;"_"&amp;C921,PRECIOS_COMPLEMENTOS!$H$4:$H$17,0),IF(OR(G921="S",G921="20cm"),1,IF(OR(G921="M",G921="25cm"),2,IF(OR(G921="L",G921="30cm"),3,IF(OR(G921="XL",G921="35cm"),4,0))))),0)</f>
        <v>0.4</v>
      </c>
      <c r="J921" s="103">
        <f t="shared" si="1"/>
        <v>0</v>
      </c>
      <c r="K921" s="104" t="str">
        <f>IF(H921&lt;0,"ERROR",IF(H921=0,"",IF(H921&lt;CONFIG!$B$4,"CRÍTICO",IF(H921&lt;CONFIG!$B$5,"BAJO","OK"))))</f>
        <v/>
      </c>
    </row>
    <row r="922" ht="15.75" hidden="1" customHeight="1">
      <c r="A922" s="90" t="str">
        <f>IF(CLIENTES!A6="","",CLIENTES!A6)</f>
        <v/>
      </c>
      <c r="B922" s="90" t="s">
        <v>321</v>
      </c>
      <c r="C922" s="91" t="s">
        <v>328</v>
      </c>
      <c r="D922" s="109" t="s">
        <v>353</v>
      </c>
      <c r="E922" s="67" t="str">
        <f>COLORES!A13</f>
        <v>Camote</v>
      </c>
      <c r="F922" s="67" t="str">
        <f>COLORES!B13</f>
        <v>CLARO</v>
      </c>
      <c r="G922" s="90" t="s">
        <v>377</v>
      </c>
      <c r="H922" s="100">
        <f>IFERROR(SUMIFS(MOVIMIENTOS_COMPLEMENTOS!$I$4:$I$803,MOVIMIENTOS_COMPLEMENTOS!$C$4:$C$803,A922,MOVIMIENTOS_COMPLEMENTOS!$D$4:$D$803,B922,MOVIMIENTOS_COMPLEMENTOS!$E$4:$E$803,C922,MOVIMIENTOS_COMPLEMENTOS!$G$4:$G$803,E922,MOVIMIENTOS_COMPLEMENTOS!$H$4:$H$803,G922,MOVIMIENTOS_COMPLEMENTOS!$B$4:$B$803,"INGRESO")+SUMIFS(MOVIMIENTOS_COMPLEMENTOS!$I$4:$I$803,MOVIMIENTOS_COMPLEMENTOS!$C$4:$C$803,A922,MOVIMIENTOS_COMPLEMENTOS!$D$4:$D$803,B922,MOVIMIENTOS_COMPLEMENTOS!$E$4:$E$803,C922,MOVIMIENTOS_COMPLEMENTOS!$G$4:$G$803,E922,MOVIMIENTOS_COMPLEMENTOS!$H$4:$H$803,G922,MOVIMIENTOS_COMPLEMENTOS!$B$4:$B$803,"DE CORTE")-SUMIFS(MOVIMIENTOS_COMPLEMENTOS!$I$4:$I$803,MOVIMIENTOS_COMPLEMENTOS!$C$4:$C$803,A922,MOVIMIENTOS_COMPLEMENTOS!$D$4:$D$803,B922,MOVIMIENTOS_COMPLEMENTOS!$E$4:$E$803,C922,MOVIMIENTOS_COMPLEMENTOS!$G$4:$G$803,E922,MOVIMIENTOS_COMPLEMENTOS!$H$4:$H$803,G922,MOVIMIENTOS_COMPLEMENTOS!$B$4:$B$803,"SALIDA"),0)</f>
        <v>0</v>
      </c>
      <c r="I922" s="102">
        <f t="array" ref="I922">IFERROR(INDEX(PRECIOS_COMPLEMENTOS!$C$4:$F$17,MATCH(B922&amp;"_"&amp;C922,PRECIOS_COMPLEMENTOS!$H$4:$H$17,0),IF(OR(G922="S",G922="20cm"),1,IF(OR(G922="M",G922="25cm"),2,IF(OR(G922="L",G922="30cm"),3,IF(OR(G922="XL",G922="35cm"),4,0))))),0)</f>
        <v>0.4</v>
      </c>
      <c r="J922" s="103">
        <f t="shared" si="1"/>
        <v>0</v>
      </c>
      <c r="K922" s="104" t="str">
        <f>IF(H922&lt;0,"ERROR",IF(H922=0,"",IF(H922&lt;CONFIG!$B$4,"CRÍTICO",IF(H922&lt;CONFIG!$B$5,"BAJO","OK"))))</f>
        <v/>
      </c>
    </row>
    <row r="923" ht="15.75" hidden="1" customHeight="1">
      <c r="A923" s="90" t="str">
        <f>IF(CLIENTES!A6="","",CLIENTES!A6)</f>
        <v/>
      </c>
      <c r="B923" s="90" t="s">
        <v>321</v>
      </c>
      <c r="C923" s="91" t="s">
        <v>328</v>
      </c>
      <c r="D923" s="109" t="s">
        <v>353</v>
      </c>
      <c r="E923" s="67" t="str">
        <f>COLORES!A13</f>
        <v>Camote</v>
      </c>
      <c r="F923" s="67" t="str">
        <f>COLORES!B13</f>
        <v>CLARO</v>
      </c>
      <c r="G923" s="90" t="s">
        <v>379</v>
      </c>
      <c r="H923" s="100">
        <f>IFERROR(SUMIFS(MOVIMIENTOS_COMPLEMENTOS!$I$4:$I$803,MOVIMIENTOS_COMPLEMENTOS!$C$4:$C$803,A923,MOVIMIENTOS_COMPLEMENTOS!$D$4:$D$803,B923,MOVIMIENTOS_COMPLEMENTOS!$E$4:$E$803,C923,MOVIMIENTOS_COMPLEMENTOS!$G$4:$G$803,E923,MOVIMIENTOS_COMPLEMENTOS!$H$4:$H$803,G923,MOVIMIENTOS_COMPLEMENTOS!$B$4:$B$803,"INGRESO")+SUMIFS(MOVIMIENTOS_COMPLEMENTOS!$I$4:$I$803,MOVIMIENTOS_COMPLEMENTOS!$C$4:$C$803,A923,MOVIMIENTOS_COMPLEMENTOS!$D$4:$D$803,B923,MOVIMIENTOS_COMPLEMENTOS!$E$4:$E$803,C923,MOVIMIENTOS_COMPLEMENTOS!$G$4:$G$803,E923,MOVIMIENTOS_COMPLEMENTOS!$H$4:$H$803,G923,MOVIMIENTOS_COMPLEMENTOS!$B$4:$B$803,"DE CORTE")-SUMIFS(MOVIMIENTOS_COMPLEMENTOS!$I$4:$I$803,MOVIMIENTOS_COMPLEMENTOS!$C$4:$C$803,A923,MOVIMIENTOS_COMPLEMENTOS!$D$4:$D$803,B923,MOVIMIENTOS_COMPLEMENTOS!$E$4:$E$803,C923,MOVIMIENTOS_COMPLEMENTOS!$G$4:$G$803,E923,MOVIMIENTOS_COMPLEMENTOS!$H$4:$H$803,G923,MOVIMIENTOS_COMPLEMENTOS!$B$4:$B$803,"SALIDA"),0)</f>
        <v>0</v>
      </c>
      <c r="I923" s="102">
        <f t="array" ref="I923">IFERROR(INDEX(PRECIOS_COMPLEMENTOS!$C$4:$F$17,MATCH(B923&amp;"_"&amp;C923,PRECIOS_COMPLEMENTOS!$H$4:$H$17,0),IF(OR(G923="S",G923="20cm"),1,IF(OR(G923="M",G923="25cm"),2,IF(OR(G923="L",G923="30cm"),3,IF(OR(G923="XL",G923="35cm"),4,0))))),0)</f>
        <v>0.4</v>
      </c>
      <c r="J923" s="103">
        <f t="shared" si="1"/>
        <v>0</v>
      </c>
      <c r="K923" s="104" t="str">
        <f>IF(H923&lt;0,"ERROR",IF(H923=0,"",IF(H923&lt;CONFIG!$B$4,"CRÍTICO",IF(H923&lt;CONFIG!$B$5,"BAJO","OK"))))</f>
        <v/>
      </c>
    </row>
    <row r="924" ht="15.75" hidden="1" customHeight="1">
      <c r="A924" s="90" t="str">
        <f>IF(CLIENTES!A6="","",CLIENTES!A6)</f>
        <v/>
      </c>
      <c r="B924" s="90" t="s">
        <v>321</v>
      </c>
      <c r="C924" s="91" t="s">
        <v>328</v>
      </c>
      <c r="D924" s="109" t="s">
        <v>353</v>
      </c>
      <c r="E924" s="67" t="str">
        <f>COLORES!A14</f>
        <v>Denim</v>
      </c>
      <c r="F924" s="67" t="str">
        <f>COLORES!B14</f>
        <v>CLARO</v>
      </c>
      <c r="G924" s="90" t="s">
        <v>378</v>
      </c>
      <c r="H924" s="100">
        <f>IFERROR(SUMIFS(MOVIMIENTOS_COMPLEMENTOS!$I$4:$I$803,MOVIMIENTOS_COMPLEMENTOS!$C$4:$C$803,A924,MOVIMIENTOS_COMPLEMENTOS!$D$4:$D$803,B924,MOVIMIENTOS_COMPLEMENTOS!$E$4:$E$803,C924,MOVIMIENTOS_COMPLEMENTOS!$G$4:$G$803,E924,MOVIMIENTOS_COMPLEMENTOS!$H$4:$H$803,G924,MOVIMIENTOS_COMPLEMENTOS!$B$4:$B$803,"INGRESO")+SUMIFS(MOVIMIENTOS_COMPLEMENTOS!$I$4:$I$803,MOVIMIENTOS_COMPLEMENTOS!$C$4:$C$803,A924,MOVIMIENTOS_COMPLEMENTOS!$D$4:$D$803,B924,MOVIMIENTOS_COMPLEMENTOS!$E$4:$E$803,C924,MOVIMIENTOS_COMPLEMENTOS!$G$4:$G$803,E924,MOVIMIENTOS_COMPLEMENTOS!$H$4:$H$803,G924,MOVIMIENTOS_COMPLEMENTOS!$B$4:$B$803,"DE CORTE")-SUMIFS(MOVIMIENTOS_COMPLEMENTOS!$I$4:$I$803,MOVIMIENTOS_COMPLEMENTOS!$C$4:$C$803,A924,MOVIMIENTOS_COMPLEMENTOS!$D$4:$D$803,B924,MOVIMIENTOS_COMPLEMENTOS!$E$4:$E$803,C924,MOVIMIENTOS_COMPLEMENTOS!$G$4:$G$803,E924,MOVIMIENTOS_COMPLEMENTOS!$H$4:$H$803,G924,MOVIMIENTOS_COMPLEMENTOS!$B$4:$B$803,"SALIDA"),0)</f>
        <v>0</v>
      </c>
      <c r="I924" s="102">
        <f t="array" ref="I924">IFERROR(INDEX(PRECIOS_COMPLEMENTOS!$C$4:$F$17,MATCH(B924&amp;"_"&amp;C924,PRECIOS_COMPLEMENTOS!$H$4:$H$17,0),IF(OR(G924="S",G924="20cm"),1,IF(OR(G924="M",G924="25cm"),2,IF(OR(G924="L",G924="30cm"),3,IF(OR(G924="XL",G924="35cm"),4,0))))),0)</f>
        <v>0.4</v>
      </c>
      <c r="J924" s="103">
        <f t="shared" si="1"/>
        <v>0</v>
      </c>
      <c r="K924" s="104" t="str">
        <f>IF(H924&lt;0,"ERROR",IF(H924=0,"",IF(H924&lt;CONFIG!$B$4,"CRÍTICO",IF(H924&lt;CONFIG!$B$5,"BAJO","OK"))))</f>
        <v/>
      </c>
    </row>
    <row r="925" ht="15.75" hidden="1" customHeight="1">
      <c r="A925" s="90" t="str">
        <f>IF(CLIENTES!A6="","",CLIENTES!A6)</f>
        <v/>
      </c>
      <c r="B925" s="90" t="s">
        <v>321</v>
      </c>
      <c r="C925" s="91" t="s">
        <v>328</v>
      </c>
      <c r="D925" s="109" t="s">
        <v>353</v>
      </c>
      <c r="E925" s="67" t="str">
        <f>COLORES!A14</f>
        <v>Denim</v>
      </c>
      <c r="F925" s="67" t="str">
        <f>COLORES!B14</f>
        <v>CLARO</v>
      </c>
      <c r="G925" s="90" t="s">
        <v>376</v>
      </c>
      <c r="H925" s="100">
        <f>IFERROR(SUMIFS(MOVIMIENTOS_COMPLEMENTOS!$I$4:$I$803,MOVIMIENTOS_COMPLEMENTOS!$C$4:$C$803,A925,MOVIMIENTOS_COMPLEMENTOS!$D$4:$D$803,B925,MOVIMIENTOS_COMPLEMENTOS!$E$4:$E$803,C925,MOVIMIENTOS_COMPLEMENTOS!$G$4:$G$803,E925,MOVIMIENTOS_COMPLEMENTOS!$H$4:$H$803,G925,MOVIMIENTOS_COMPLEMENTOS!$B$4:$B$803,"INGRESO")+SUMIFS(MOVIMIENTOS_COMPLEMENTOS!$I$4:$I$803,MOVIMIENTOS_COMPLEMENTOS!$C$4:$C$803,A925,MOVIMIENTOS_COMPLEMENTOS!$D$4:$D$803,B925,MOVIMIENTOS_COMPLEMENTOS!$E$4:$E$803,C925,MOVIMIENTOS_COMPLEMENTOS!$G$4:$G$803,E925,MOVIMIENTOS_COMPLEMENTOS!$H$4:$H$803,G925,MOVIMIENTOS_COMPLEMENTOS!$B$4:$B$803,"DE CORTE")-SUMIFS(MOVIMIENTOS_COMPLEMENTOS!$I$4:$I$803,MOVIMIENTOS_COMPLEMENTOS!$C$4:$C$803,A925,MOVIMIENTOS_COMPLEMENTOS!$D$4:$D$803,B925,MOVIMIENTOS_COMPLEMENTOS!$E$4:$E$803,C925,MOVIMIENTOS_COMPLEMENTOS!$G$4:$G$803,E925,MOVIMIENTOS_COMPLEMENTOS!$H$4:$H$803,G925,MOVIMIENTOS_COMPLEMENTOS!$B$4:$B$803,"SALIDA"),0)</f>
        <v>0</v>
      </c>
      <c r="I925" s="102">
        <f t="array" ref="I925">IFERROR(INDEX(PRECIOS_COMPLEMENTOS!$C$4:$F$17,MATCH(B925&amp;"_"&amp;C925,PRECIOS_COMPLEMENTOS!$H$4:$H$17,0),IF(OR(G925="S",G925="20cm"),1,IF(OR(G925="M",G925="25cm"),2,IF(OR(G925="L",G925="30cm"),3,IF(OR(G925="XL",G925="35cm"),4,0))))),0)</f>
        <v>0.4</v>
      </c>
      <c r="J925" s="103">
        <f t="shared" si="1"/>
        <v>0</v>
      </c>
      <c r="K925" s="104" t="str">
        <f>IF(H925&lt;0,"ERROR",IF(H925=0,"",IF(H925&lt;CONFIG!$B$4,"CRÍTICO",IF(H925&lt;CONFIG!$B$5,"BAJO","OK"))))</f>
        <v/>
      </c>
    </row>
    <row r="926" ht="15.75" hidden="1" customHeight="1">
      <c r="A926" s="90" t="str">
        <f>IF(CLIENTES!A6="","",CLIENTES!A6)</f>
        <v/>
      </c>
      <c r="B926" s="90" t="s">
        <v>321</v>
      </c>
      <c r="C926" s="91" t="s">
        <v>328</v>
      </c>
      <c r="D926" s="109" t="s">
        <v>353</v>
      </c>
      <c r="E926" s="67" t="str">
        <f>COLORES!A14</f>
        <v>Denim</v>
      </c>
      <c r="F926" s="67" t="str">
        <f>COLORES!B14</f>
        <v>CLARO</v>
      </c>
      <c r="G926" s="90" t="s">
        <v>377</v>
      </c>
      <c r="H926" s="100">
        <f>IFERROR(SUMIFS(MOVIMIENTOS_COMPLEMENTOS!$I$4:$I$803,MOVIMIENTOS_COMPLEMENTOS!$C$4:$C$803,A926,MOVIMIENTOS_COMPLEMENTOS!$D$4:$D$803,B926,MOVIMIENTOS_COMPLEMENTOS!$E$4:$E$803,C926,MOVIMIENTOS_COMPLEMENTOS!$G$4:$G$803,E926,MOVIMIENTOS_COMPLEMENTOS!$H$4:$H$803,G926,MOVIMIENTOS_COMPLEMENTOS!$B$4:$B$803,"INGRESO")+SUMIFS(MOVIMIENTOS_COMPLEMENTOS!$I$4:$I$803,MOVIMIENTOS_COMPLEMENTOS!$C$4:$C$803,A926,MOVIMIENTOS_COMPLEMENTOS!$D$4:$D$803,B926,MOVIMIENTOS_COMPLEMENTOS!$E$4:$E$803,C926,MOVIMIENTOS_COMPLEMENTOS!$G$4:$G$803,E926,MOVIMIENTOS_COMPLEMENTOS!$H$4:$H$803,G926,MOVIMIENTOS_COMPLEMENTOS!$B$4:$B$803,"DE CORTE")-SUMIFS(MOVIMIENTOS_COMPLEMENTOS!$I$4:$I$803,MOVIMIENTOS_COMPLEMENTOS!$C$4:$C$803,A926,MOVIMIENTOS_COMPLEMENTOS!$D$4:$D$803,B926,MOVIMIENTOS_COMPLEMENTOS!$E$4:$E$803,C926,MOVIMIENTOS_COMPLEMENTOS!$G$4:$G$803,E926,MOVIMIENTOS_COMPLEMENTOS!$H$4:$H$803,G926,MOVIMIENTOS_COMPLEMENTOS!$B$4:$B$803,"SALIDA"),0)</f>
        <v>0</v>
      </c>
      <c r="I926" s="102">
        <f t="array" ref="I926">IFERROR(INDEX(PRECIOS_COMPLEMENTOS!$C$4:$F$17,MATCH(B926&amp;"_"&amp;C926,PRECIOS_COMPLEMENTOS!$H$4:$H$17,0),IF(OR(G926="S",G926="20cm"),1,IF(OR(G926="M",G926="25cm"),2,IF(OR(G926="L",G926="30cm"),3,IF(OR(G926="XL",G926="35cm"),4,0))))),0)</f>
        <v>0.4</v>
      </c>
      <c r="J926" s="103">
        <f t="shared" si="1"/>
        <v>0</v>
      </c>
      <c r="K926" s="104" t="str">
        <f>IF(H926&lt;0,"ERROR",IF(H926=0,"",IF(H926&lt;CONFIG!$B$4,"CRÍTICO",IF(H926&lt;CONFIG!$B$5,"BAJO","OK"))))</f>
        <v/>
      </c>
    </row>
    <row r="927" ht="15.75" hidden="1" customHeight="1">
      <c r="A927" s="90" t="str">
        <f>IF(CLIENTES!A6="","",CLIENTES!A6)</f>
        <v/>
      </c>
      <c r="B927" s="90" t="s">
        <v>321</v>
      </c>
      <c r="C927" s="91" t="s">
        <v>328</v>
      </c>
      <c r="D927" s="109" t="s">
        <v>353</v>
      </c>
      <c r="E927" s="67" t="str">
        <f>COLORES!A14</f>
        <v>Denim</v>
      </c>
      <c r="F927" s="67" t="str">
        <f>COLORES!B14</f>
        <v>CLARO</v>
      </c>
      <c r="G927" s="90" t="s">
        <v>379</v>
      </c>
      <c r="H927" s="100">
        <f>IFERROR(SUMIFS(MOVIMIENTOS_COMPLEMENTOS!$I$4:$I$803,MOVIMIENTOS_COMPLEMENTOS!$C$4:$C$803,A927,MOVIMIENTOS_COMPLEMENTOS!$D$4:$D$803,B927,MOVIMIENTOS_COMPLEMENTOS!$E$4:$E$803,C927,MOVIMIENTOS_COMPLEMENTOS!$G$4:$G$803,E927,MOVIMIENTOS_COMPLEMENTOS!$H$4:$H$803,G927,MOVIMIENTOS_COMPLEMENTOS!$B$4:$B$803,"INGRESO")+SUMIFS(MOVIMIENTOS_COMPLEMENTOS!$I$4:$I$803,MOVIMIENTOS_COMPLEMENTOS!$C$4:$C$803,A927,MOVIMIENTOS_COMPLEMENTOS!$D$4:$D$803,B927,MOVIMIENTOS_COMPLEMENTOS!$E$4:$E$803,C927,MOVIMIENTOS_COMPLEMENTOS!$G$4:$G$803,E927,MOVIMIENTOS_COMPLEMENTOS!$H$4:$H$803,G927,MOVIMIENTOS_COMPLEMENTOS!$B$4:$B$803,"DE CORTE")-SUMIFS(MOVIMIENTOS_COMPLEMENTOS!$I$4:$I$803,MOVIMIENTOS_COMPLEMENTOS!$C$4:$C$803,A927,MOVIMIENTOS_COMPLEMENTOS!$D$4:$D$803,B927,MOVIMIENTOS_COMPLEMENTOS!$E$4:$E$803,C927,MOVIMIENTOS_COMPLEMENTOS!$G$4:$G$803,E927,MOVIMIENTOS_COMPLEMENTOS!$H$4:$H$803,G927,MOVIMIENTOS_COMPLEMENTOS!$B$4:$B$803,"SALIDA"),0)</f>
        <v>0</v>
      </c>
      <c r="I927" s="102">
        <f t="array" ref="I927">IFERROR(INDEX(PRECIOS_COMPLEMENTOS!$C$4:$F$17,MATCH(B927&amp;"_"&amp;C927,PRECIOS_COMPLEMENTOS!$H$4:$H$17,0),IF(OR(G927="S",G927="20cm"),1,IF(OR(G927="M",G927="25cm"),2,IF(OR(G927="L",G927="30cm"),3,IF(OR(G927="XL",G927="35cm"),4,0))))),0)</f>
        <v>0.4</v>
      </c>
      <c r="J927" s="103">
        <f t="shared" si="1"/>
        <v>0</v>
      </c>
      <c r="K927" s="104" t="str">
        <f>IF(H927&lt;0,"ERROR",IF(H927=0,"",IF(H927&lt;CONFIG!$B$4,"CRÍTICO",IF(H927&lt;CONFIG!$B$5,"BAJO","OK"))))</f>
        <v/>
      </c>
    </row>
    <row r="928" ht="15.75" hidden="1" customHeight="1">
      <c r="A928" s="90" t="str">
        <f>IF(CLIENTES!A6="","",CLIENTES!A6)</f>
        <v/>
      </c>
      <c r="B928" s="90" t="s">
        <v>321</v>
      </c>
      <c r="C928" s="91" t="s">
        <v>328</v>
      </c>
      <c r="D928" s="109" t="s">
        <v>353</v>
      </c>
      <c r="E928" s="67" t="str">
        <f>COLORES!A15</f>
        <v>Plomo</v>
      </c>
      <c r="F928" s="67" t="str">
        <f>COLORES!B15</f>
        <v>OSCURO</v>
      </c>
      <c r="G928" s="90" t="s">
        <v>378</v>
      </c>
      <c r="H928" s="100">
        <f>IFERROR(SUMIFS(MOVIMIENTOS_COMPLEMENTOS!$I$4:$I$803,MOVIMIENTOS_COMPLEMENTOS!$C$4:$C$803,A928,MOVIMIENTOS_COMPLEMENTOS!$D$4:$D$803,B928,MOVIMIENTOS_COMPLEMENTOS!$E$4:$E$803,C928,MOVIMIENTOS_COMPLEMENTOS!$G$4:$G$803,E928,MOVIMIENTOS_COMPLEMENTOS!$H$4:$H$803,G928,MOVIMIENTOS_COMPLEMENTOS!$B$4:$B$803,"INGRESO")+SUMIFS(MOVIMIENTOS_COMPLEMENTOS!$I$4:$I$803,MOVIMIENTOS_COMPLEMENTOS!$C$4:$C$803,A928,MOVIMIENTOS_COMPLEMENTOS!$D$4:$D$803,B928,MOVIMIENTOS_COMPLEMENTOS!$E$4:$E$803,C928,MOVIMIENTOS_COMPLEMENTOS!$G$4:$G$803,E928,MOVIMIENTOS_COMPLEMENTOS!$H$4:$H$803,G928,MOVIMIENTOS_COMPLEMENTOS!$B$4:$B$803,"DE CORTE")-SUMIFS(MOVIMIENTOS_COMPLEMENTOS!$I$4:$I$803,MOVIMIENTOS_COMPLEMENTOS!$C$4:$C$803,A928,MOVIMIENTOS_COMPLEMENTOS!$D$4:$D$803,B928,MOVIMIENTOS_COMPLEMENTOS!$E$4:$E$803,C928,MOVIMIENTOS_COMPLEMENTOS!$G$4:$G$803,E928,MOVIMIENTOS_COMPLEMENTOS!$H$4:$H$803,G928,MOVIMIENTOS_COMPLEMENTOS!$B$4:$B$803,"SALIDA"),0)</f>
        <v>0</v>
      </c>
      <c r="I928" s="102">
        <f t="array" ref="I928">IFERROR(INDEX(PRECIOS_COMPLEMENTOS!$C$4:$F$17,MATCH(B928&amp;"_"&amp;C928,PRECIOS_COMPLEMENTOS!$H$4:$H$17,0),IF(OR(G928="S",G928="20cm"),1,IF(OR(G928="M",G928="25cm"),2,IF(OR(G928="L",G928="30cm"),3,IF(OR(G928="XL",G928="35cm"),4,0))))),0)</f>
        <v>0.4</v>
      </c>
      <c r="J928" s="103">
        <f t="shared" si="1"/>
        <v>0</v>
      </c>
      <c r="K928" s="104" t="str">
        <f>IF(H928&lt;0,"ERROR",IF(H928=0,"",IF(H928&lt;CONFIG!$B$4,"CRÍTICO",IF(H928&lt;CONFIG!$B$5,"BAJO","OK"))))</f>
        <v/>
      </c>
    </row>
    <row r="929" ht="15.75" hidden="1" customHeight="1">
      <c r="A929" s="90" t="str">
        <f>IF(CLIENTES!A6="","",CLIENTES!A6)</f>
        <v/>
      </c>
      <c r="B929" s="90" t="s">
        <v>321</v>
      </c>
      <c r="C929" s="91" t="s">
        <v>328</v>
      </c>
      <c r="D929" s="109" t="s">
        <v>353</v>
      </c>
      <c r="E929" s="67" t="str">
        <f>COLORES!A15</f>
        <v>Plomo</v>
      </c>
      <c r="F929" s="67" t="str">
        <f>COLORES!B15</f>
        <v>OSCURO</v>
      </c>
      <c r="G929" s="90" t="s">
        <v>376</v>
      </c>
      <c r="H929" s="100">
        <f>IFERROR(SUMIFS(MOVIMIENTOS_COMPLEMENTOS!$I$4:$I$803,MOVIMIENTOS_COMPLEMENTOS!$C$4:$C$803,A929,MOVIMIENTOS_COMPLEMENTOS!$D$4:$D$803,B929,MOVIMIENTOS_COMPLEMENTOS!$E$4:$E$803,C929,MOVIMIENTOS_COMPLEMENTOS!$G$4:$G$803,E929,MOVIMIENTOS_COMPLEMENTOS!$H$4:$H$803,G929,MOVIMIENTOS_COMPLEMENTOS!$B$4:$B$803,"INGRESO")+SUMIFS(MOVIMIENTOS_COMPLEMENTOS!$I$4:$I$803,MOVIMIENTOS_COMPLEMENTOS!$C$4:$C$803,A929,MOVIMIENTOS_COMPLEMENTOS!$D$4:$D$803,B929,MOVIMIENTOS_COMPLEMENTOS!$E$4:$E$803,C929,MOVIMIENTOS_COMPLEMENTOS!$G$4:$G$803,E929,MOVIMIENTOS_COMPLEMENTOS!$H$4:$H$803,G929,MOVIMIENTOS_COMPLEMENTOS!$B$4:$B$803,"DE CORTE")-SUMIFS(MOVIMIENTOS_COMPLEMENTOS!$I$4:$I$803,MOVIMIENTOS_COMPLEMENTOS!$C$4:$C$803,A929,MOVIMIENTOS_COMPLEMENTOS!$D$4:$D$803,B929,MOVIMIENTOS_COMPLEMENTOS!$E$4:$E$803,C929,MOVIMIENTOS_COMPLEMENTOS!$G$4:$G$803,E929,MOVIMIENTOS_COMPLEMENTOS!$H$4:$H$803,G929,MOVIMIENTOS_COMPLEMENTOS!$B$4:$B$803,"SALIDA"),0)</f>
        <v>0</v>
      </c>
      <c r="I929" s="102">
        <f t="array" ref="I929">IFERROR(INDEX(PRECIOS_COMPLEMENTOS!$C$4:$F$17,MATCH(B929&amp;"_"&amp;C929,PRECIOS_COMPLEMENTOS!$H$4:$H$17,0),IF(OR(G929="S",G929="20cm"),1,IF(OR(G929="M",G929="25cm"),2,IF(OR(G929="L",G929="30cm"),3,IF(OR(G929="XL",G929="35cm"),4,0))))),0)</f>
        <v>0.4</v>
      </c>
      <c r="J929" s="103">
        <f t="shared" si="1"/>
        <v>0</v>
      </c>
      <c r="K929" s="104" t="str">
        <f>IF(H929&lt;0,"ERROR",IF(H929=0,"",IF(H929&lt;CONFIG!$B$4,"CRÍTICO",IF(H929&lt;CONFIG!$B$5,"BAJO","OK"))))</f>
        <v/>
      </c>
    </row>
    <row r="930" ht="15.75" hidden="1" customHeight="1">
      <c r="A930" s="90" t="str">
        <f>IF(CLIENTES!A6="","",CLIENTES!A6)</f>
        <v/>
      </c>
      <c r="B930" s="90" t="s">
        <v>321</v>
      </c>
      <c r="C930" s="91" t="s">
        <v>328</v>
      </c>
      <c r="D930" s="109" t="s">
        <v>353</v>
      </c>
      <c r="E930" s="67" t="str">
        <f>COLORES!A15</f>
        <v>Plomo</v>
      </c>
      <c r="F930" s="67" t="str">
        <f>COLORES!B15</f>
        <v>OSCURO</v>
      </c>
      <c r="G930" s="90" t="s">
        <v>377</v>
      </c>
      <c r="H930" s="100">
        <f>IFERROR(SUMIFS(MOVIMIENTOS_COMPLEMENTOS!$I$4:$I$803,MOVIMIENTOS_COMPLEMENTOS!$C$4:$C$803,A930,MOVIMIENTOS_COMPLEMENTOS!$D$4:$D$803,B930,MOVIMIENTOS_COMPLEMENTOS!$E$4:$E$803,C930,MOVIMIENTOS_COMPLEMENTOS!$G$4:$G$803,E930,MOVIMIENTOS_COMPLEMENTOS!$H$4:$H$803,G930,MOVIMIENTOS_COMPLEMENTOS!$B$4:$B$803,"INGRESO")+SUMIFS(MOVIMIENTOS_COMPLEMENTOS!$I$4:$I$803,MOVIMIENTOS_COMPLEMENTOS!$C$4:$C$803,A930,MOVIMIENTOS_COMPLEMENTOS!$D$4:$D$803,B930,MOVIMIENTOS_COMPLEMENTOS!$E$4:$E$803,C930,MOVIMIENTOS_COMPLEMENTOS!$G$4:$G$803,E930,MOVIMIENTOS_COMPLEMENTOS!$H$4:$H$803,G930,MOVIMIENTOS_COMPLEMENTOS!$B$4:$B$803,"DE CORTE")-SUMIFS(MOVIMIENTOS_COMPLEMENTOS!$I$4:$I$803,MOVIMIENTOS_COMPLEMENTOS!$C$4:$C$803,A930,MOVIMIENTOS_COMPLEMENTOS!$D$4:$D$803,B930,MOVIMIENTOS_COMPLEMENTOS!$E$4:$E$803,C930,MOVIMIENTOS_COMPLEMENTOS!$G$4:$G$803,E930,MOVIMIENTOS_COMPLEMENTOS!$H$4:$H$803,G930,MOVIMIENTOS_COMPLEMENTOS!$B$4:$B$803,"SALIDA"),0)</f>
        <v>0</v>
      </c>
      <c r="I930" s="102">
        <f t="array" ref="I930">IFERROR(INDEX(PRECIOS_COMPLEMENTOS!$C$4:$F$17,MATCH(B930&amp;"_"&amp;C930,PRECIOS_COMPLEMENTOS!$H$4:$H$17,0),IF(OR(G930="S",G930="20cm"),1,IF(OR(G930="M",G930="25cm"),2,IF(OR(G930="L",G930="30cm"),3,IF(OR(G930="XL",G930="35cm"),4,0))))),0)</f>
        <v>0.4</v>
      </c>
      <c r="J930" s="103">
        <f t="shared" si="1"/>
        <v>0</v>
      </c>
      <c r="K930" s="104" t="str">
        <f>IF(H930&lt;0,"ERROR",IF(H930=0,"",IF(H930&lt;CONFIG!$B$4,"CRÍTICO",IF(H930&lt;CONFIG!$B$5,"BAJO","OK"))))</f>
        <v/>
      </c>
    </row>
    <row r="931" ht="15.75" hidden="1" customHeight="1">
      <c r="A931" s="90" t="str">
        <f>IF(CLIENTES!A6="","",CLIENTES!A6)</f>
        <v/>
      </c>
      <c r="B931" s="90" t="s">
        <v>321</v>
      </c>
      <c r="C931" s="91" t="s">
        <v>328</v>
      </c>
      <c r="D931" s="109" t="s">
        <v>353</v>
      </c>
      <c r="E931" s="67" t="str">
        <f>COLORES!A15</f>
        <v>Plomo</v>
      </c>
      <c r="F931" s="67" t="str">
        <f>COLORES!B15</f>
        <v>OSCURO</v>
      </c>
      <c r="G931" s="90" t="s">
        <v>379</v>
      </c>
      <c r="H931" s="100">
        <f>IFERROR(SUMIFS(MOVIMIENTOS_COMPLEMENTOS!$I$4:$I$803,MOVIMIENTOS_COMPLEMENTOS!$C$4:$C$803,A931,MOVIMIENTOS_COMPLEMENTOS!$D$4:$D$803,B931,MOVIMIENTOS_COMPLEMENTOS!$E$4:$E$803,C931,MOVIMIENTOS_COMPLEMENTOS!$G$4:$G$803,E931,MOVIMIENTOS_COMPLEMENTOS!$H$4:$H$803,G931,MOVIMIENTOS_COMPLEMENTOS!$B$4:$B$803,"INGRESO")+SUMIFS(MOVIMIENTOS_COMPLEMENTOS!$I$4:$I$803,MOVIMIENTOS_COMPLEMENTOS!$C$4:$C$803,A931,MOVIMIENTOS_COMPLEMENTOS!$D$4:$D$803,B931,MOVIMIENTOS_COMPLEMENTOS!$E$4:$E$803,C931,MOVIMIENTOS_COMPLEMENTOS!$G$4:$G$803,E931,MOVIMIENTOS_COMPLEMENTOS!$H$4:$H$803,G931,MOVIMIENTOS_COMPLEMENTOS!$B$4:$B$803,"DE CORTE")-SUMIFS(MOVIMIENTOS_COMPLEMENTOS!$I$4:$I$803,MOVIMIENTOS_COMPLEMENTOS!$C$4:$C$803,A931,MOVIMIENTOS_COMPLEMENTOS!$D$4:$D$803,B931,MOVIMIENTOS_COMPLEMENTOS!$E$4:$E$803,C931,MOVIMIENTOS_COMPLEMENTOS!$G$4:$G$803,E931,MOVIMIENTOS_COMPLEMENTOS!$H$4:$H$803,G931,MOVIMIENTOS_COMPLEMENTOS!$B$4:$B$803,"SALIDA"),0)</f>
        <v>0</v>
      </c>
      <c r="I931" s="102">
        <f t="array" ref="I931">IFERROR(INDEX(PRECIOS_COMPLEMENTOS!$C$4:$F$17,MATCH(B931&amp;"_"&amp;C931,PRECIOS_COMPLEMENTOS!$H$4:$H$17,0),IF(OR(G931="S",G931="20cm"),1,IF(OR(G931="M",G931="25cm"),2,IF(OR(G931="L",G931="30cm"),3,IF(OR(G931="XL",G931="35cm"),4,0))))),0)</f>
        <v>0.4</v>
      </c>
      <c r="J931" s="103">
        <f t="shared" si="1"/>
        <v>0</v>
      </c>
      <c r="K931" s="104" t="str">
        <f>IF(H931&lt;0,"ERROR",IF(H931=0,"",IF(H931&lt;CONFIG!$B$4,"CRÍTICO",IF(H931&lt;CONFIG!$B$5,"BAJO","OK"))))</f>
        <v/>
      </c>
    </row>
    <row r="932" ht="15.75" hidden="1" customHeight="1">
      <c r="A932" s="90" t="str">
        <f>IF(CLIENTES!A6="","",CLIENTES!A6)</f>
        <v/>
      </c>
      <c r="B932" s="90" t="s">
        <v>321</v>
      </c>
      <c r="C932" s="91" t="s">
        <v>328</v>
      </c>
      <c r="D932" s="109" t="s">
        <v>353</v>
      </c>
      <c r="E932" s="67" t="str">
        <f>COLORES!A16</f>
        <v>Topo</v>
      </c>
      <c r="F932" s="67" t="str">
        <f>COLORES!B16</f>
        <v>CLARO</v>
      </c>
      <c r="G932" s="90" t="s">
        <v>378</v>
      </c>
      <c r="H932" s="100">
        <f>IFERROR(SUMIFS(MOVIMIENTOS_COMPLEMENTOS!$I$4:$I$803,MOVIMIENTOS_COMPLEMENTOS!$C$4:$C$803,A932,MOVIMIENTOS_COMPLEMENTOS!$D$4:$D$803,B932,MOVIMIENTOS_COMPLEMENTOS!$E$4:$E$803,C932,MOVIMIENTOS_COMPLEMENTOS!$G$4:$G$803,E932,MOVIMIENTOS_COMPLEMENTOS!$H$4:$H$803,G932,MOVIMIENTOS_COMPLEMENTOS!$B$4:$B$803,"INGRESO")+SUMIFS(MOVIMIENTOS_COMPLEMENTOS!$I$4:$I$803,MOVIMIENTOS_COMPLEMENTOS!$C$4:$C$803,A932,MOVIMIENTOS_COMPLEMENTOS!$D$4:$D$803,B932,MOVIMIENTOS_COMPLEMENTOS!$E$4:$E$803,C932,MOVIMIENTOS_COMPLEMENTOS!$G$4:$G$803,E932,MOVIMIENTOS_COMPLEMENTOS!$H$4:$H$803,G932,MOVIMIENTOS_COMPLEMENTOS!$B$4:$B$803,"DE CORTE")-SUMIFS(MOVIMIENTOS_COMPLEMENTOS!$I$4:$I$803,MOVIMIENTOS_COMPLEMENTOS!$C$4:$C$803,A932,MOVIMIENTOS_COMPLEMENTOS!$D$4:$D$803,B932,MOVIMIENTOS_COMPLEMENTOS!$E$4:$E$803,C932,MOVIMIENTOS_COMPLEMENTOS!$G$4:$G$803,E932,MOVIMIENTOS_COMPLEMENTOS!$H$4:$H$803,G932,MOVIMIENTOS_COMPLEMENTOS!$B$4:$B$803,"SALIDA"),0)</f>
        <v>0</v>
      </c>
      <c r="I932" s="102">
        <f t="array" ref="I932">IFERROR(INDEX(PRECIOS_COMPLEMENTOS!$C$4:$F$17,MATCH(B932&amp;"_"&amp;C932,PRECIOS_COMPLEMENTOS!$H$4:$H$17,0),IF(OR(G932="S",G932="20cm"),1,IF(OR(G932="M",G932="25cm"),2,IF(OR(G932="L",G932="30cm"),3,IF(OR(G932="XL",G932="35cm"),4,0))))),0)</f>
        <v>0.4</v>
      </c>
      <c r="J932" s="103">
        <f t="shared" si="1"/>
        <v>0</v>
      </c>
      <c r="K932" s="104" t="str">
        <f>IF(H932&lt;0,"ERROR",IF(H932=0,"",IF(H932&lt;CONFIG!$B$4,"CRÍTICO",IF(H932&lt;CONFIG!$B$5,"BAJO","OK"))))</f>
        <v/>
      </c>
    </row>
    <row r="933" ht="15.75" hidden="1" customHeight="1">
      <c r="A933" s="90" t="str">
        <f>IF(CLIENTES!A6="","",CLIENTES!A6)</f>
        <v/>
      </c>
      <c r="B933" s="90" t="s">
        <v>321</v>
      </c>
      <c r="C933" s="91" t="s">
        <v>328</v>
      </c>
      <c r="D933" s="109" t="s">
        <v>353</v>
      </c>
      <c r="E933" s="67" t="str">
        <f>COLORES!A16</f>
        <v>Topo</v>
      </c>
      <c r="F933" s="67" t="str">
        <f>COLORES!B16</f>
        <v>CLARO</v>
      </c>
      <c r="G933" s="90" t="s">
        <v>376</v>
      </c>
      <c r="H933" s="100">
        <f>IFERROR(SUMIFS(MOVIMIENTOS_COMPLEMENTOS!$I$4:$I$803,MOVIMIENTOS_COMPLEMENTOS!$C$4:$C$803,A933,MOVIMIENTOS_COMPLEMENTOS!$D$4:$D$803,B933,MOVIMIENTOS_COMPLEMENTOS!$E$4:$E$803,C933,MOVIMIENTOS_COMPLEMENTOS!$G$4:$G$803,E933,MOVIMIENTOS_COMPLEMENTOS!$H$4:$H$803,G933,MOVIMIENTOS_COMPLEMENTOS!$B$4:$B$803,"INGRESO")+SUMIFS(MOVIMIENTOS_COMPLEMENTOS!$I$4:$I$803,MOVIMIENTOS_COMPLEMENTOS!$C$4:$C$803,A933,MOVIMIENTOS_COMPLEMENTOS!$D$4:$D$803,B933,MOVIMIENTOS_COMPLEMENTOS!$E$4:$E$803,C933,MOVIMIENTOS_COMPLEMENTOS!$G$4:$G$803,E933,MOVIMIENTOS_COMPLEMENTOS!$H$4:$H$803,G933,MOVIMIENTOS_COMPLEMENTOS!$B$4:$B$803,"DE CORTE")-SUMIFS(MOVIMIENTOS_COMPLEMENTOS!$I$4:$I$803,MOVIMIENTOS_COMPLEMENTOS!$C$4:$C$803,A933,MOVIMIENTOS_COMPLEMENTOS!$D$4:$D$803,B933,MOVIMIENTOS_COMPLEMENTOS!$E$4:$E$803,C933,MOVIMIENTOS_COMPLEMENTOS!$G$4:$G$803,E933,MOVIMIENTOS_COMPLEMENTOS!$H$4:$H$803,G933,MOVIMIENTOS_COMPLEMENTOS!$B$4:$B$803,"SALIDA"),0)</f>
        <v>0</v>
      </c>
      <c r="I933" s="102">
        <f t="array" ref="I933">IFERROR(INDEX(PRECIOS_COMPLEMENTOS!$C$4:$F$17,MATCH(B933&amp;"_"&amp;C933,PRECIOS_COMPLEMENTOS!$H$4:$H$17,0),IF(OR(G933="S",G933="20cm"),1,IF(OR(G933="M",G933="25cm"),2,IF(OR(G933="L",G933="30cm"),3,IF(OR(G933="XL",G933="35cm"),4,0))))),0)</f>
        <v>0.4</v>
      </c>
      <c r="J933" s="103">
        <f t="shared" si="1"/>
        <v>0</v>
      </c>
      <c r="K933" s="104" t="str">
        <f>IF(H933&lt;0,"ERROR",IF(H933=0,"",IF(H933&lt;CONFIG!$B$4,"CRÍTICO",IF(H933&lt;CONFIG!$B$5,"BAJO","OK"))))</f>
        <v/>
      </c>
    </row>
    <row r="934" ht="15.75" hidden="1" customHeight="1">
      <c r="A934" s="90" t="str">
        <f>IF(CLIENTES!A6="","",CLIENTES!A6)</f>
        <v/>
      </c>
      <c r="B934" s="90" t="s">
        <v>321</v>
      </c>
      <c r="C934" s="91" t="s">
        <v>328</v>
      </c>
      <c r="D934" s="109" t="s">
        <v>353</v>
      </c>
      <c r="E934" s="67" t="str">
        <f>COLORES!A16</f>
        <v>Topo</v>
      </c>
      <c r="F934" s="67" t="str">
        <f>COLORES!B16</f>
        <v>CLARO</v>
      </c>
      <c r="G934" s="90" t="s">
        <v>377</v>
      </c>
      <c r="H934" s="100">
        <f>IFERROR(SUMIFS(MOVIMIENTOS_COMPLEMENTOS!$I$4:$I$803,MOVIMIENTOS_COMPLEMENTOS!$C$4:$C$803,A934,MOVIMIENTOS_COMPLEMENTOS!$D$4:$D$803,B934,MOVIMIENTOS_COMPLEMENTOS!$E$4:$E$803,C934,MOVIMIENTOS_COMPLEMENTOS!$G$4:$G$803,E934,MOVIMIENTOS_COMPLEMENTOS!$H$4:$H$803,G934,MOVIMIENTOS_COMPLEMENTOS!$B$4:$B$803,"INGRESO")+SUMIFS(MOVIMIENTOS_COMPLEMENTOS!$I$4:$I$803,MOVIMIENTOS_COMPLEMENTOS!$C$4:$C$803,A934,MOVIMIENTOS_COMPLEMENTOS!$D$4:$D$803,B934,MOVIMIENTOS_COMPLEMENTOS!$E$4:$E$803,C934,MOVIMIENTOS_COMPLEMENTOS!$G$4:$G$803,E934,MOVIMIENTOS_COMPLEMENTOS!$H$4:$H$803,G934,MOVIMIENTOS_COMPLEMENTOS!$B$4:$B$803,"DE CORTE")-SUMIFS(MOVIMIENTOS_COMPLEMENTOS!$I$4:$I$803,MOVIMIENTOS_COMPLEMENTOS!$C$4:$C$803,A934,MOVIMIENTOS_COMPLEMENTOS!$D$4:$D$803,B934,MOVIMIENTOS_COMPLEMENTOS!$E$4:$E$803,C934,MOVIMIENTOS_COMPLEMENTOS!$G$4:$G$803,E934,MOVIMIENTOS_COMPLEMENTOS!$H$4:$H$803,G934,MOVIMIENTOS_COMPLEMENTOS!$B$4:$B$803,"SALIDA"),0)</f>
        <v>0</v>
      </c>
      <c r="I934" s="102">
        <f t="array" ref="I934">IFERROR(INDEX(PRECIOS_COMPLEMENTOS!$C$4:$F$17,MATCH(B934&amp;"_"&amp;C934,PRECIOS_COMPLEMENTOS!$H$4:$H$17,0),IF(OR(G934="S",G934="20cm"),1,IF(OR(G934="M",G934="25cm"),2,IF(OR(G934="L",G934="30cm"),3,IF(OR(G934="XL",G934="35cm"),4,0))))),0)</f>
        <v>0.4</v>
      </c>
      <c r="J934" s="103">
        <f t="shared" si="1"/>
        <v>0</v>
      </c>
      <c r="K934" s="104" t="str">
        <f>IF(H934&lt;0,"ERROR",IF(H934=0,"",IF(H934&lt;CONFIG!$B$4,"CRÍTICO",IF(H934&lt;CONFIG!$B$5,"BAJO","OK"))))</f>
        <v/>
      </c>
    </row>
    <row r="935" ht="15.75" hidden="1" customHeight="1">
      <c r="A935" s="90" t="str">
        <f>IF(CLIENTES!A6="","",CLIENTES!A6)</f>
        <v/>
      </c>
      <c r="B935" s="90" t="s">
        <v>321</v>
      </c>
      <c r="C935" s="91" t="s">
        <v>328</v>
      </c>
      <c r="D935" s="109" t="s">
        <v>353</v>
      </c>
      <c r="E935" s="67" t="str">
        <f>COLORES!A16</f>
        <v>Topo</v>
      </c>
      <c r="F935" s="67" t="str">
        <f>COLORES!B16</f>
        <v>CLARO</v>
      </c>
      <c r="G935" s="90" t="s">
        <v>379</v>
      </c>
      <c r="H935" s="100">
        <f>IFERROR(SUMIFS(MOVIMIENTOS_COMPLEMENTOS!$I$4:$I$803,MOVIMIENTOS_COMPLEMENTOS!$C$4:$C$803,A935,MOVIMIENTOS_COMPLEMENTOS!$D$4:$D$803,B935,MOVIMIENTOS_COMPLEMENTOS!$E$4:$E$803,C935,MOVIMIENTOS_COMPLEMENTOS!$G$4:$G$803,E935,MOVIMIENTOS_COMPLEMENTOS!$H$4:$H$803,G935,MOVIMIENTOS_COMPLEMENTOS!$B$4:$B$803,"INGRESO")+SUMIFS(MOVIMIENTOS_COMPLEMENTOS!$I$4:$I$803,MOVIMIENTOS_COMPLEMENTOS!$C$4:$C$803,A935,MOVIMIENTOS_COMPLEMENTOS!$D$4:$D$803,B935,MOVIMIENTOS_COMPLEMENTOS!$E$4:$E$803,C935,MOVIMIENTOS_COMPLEMENTOS!$G$4:$G$803,E935,MOVIMIENTOS_COMPLEMENTOS!$H$4:$H$803,G935,MOVIMIENTOS_COMPLEMENTOS!$B$4:$B$803,"DE CORTE")-SUMIFS(MOVIMIENTOS_COMPLEMENTOS!$I$4:$I$803,MOVIMIENTOS_COMPLEMENTOS!$C$4:$C$803,A935,MOVIMIENTOS_COMPLEMENTOS!$D$4:$D$803,B935,MOVIMIENTOS_COMPLEMENTOS!$E$4:$E$803,C935,MOVIMIENTOS_COMPLEMENTOS!$G$4:$G$803,E935,MOVIMIENTOS_COMPLEMENTOS!$H$4:$H$803,G935,MOVIMIENTOS_COMPLEMENTOS!$B$4:$B$803,"SALIDA"),0)</f>
        <v>0</v>
      </c>
      <c r="I935" s="102">
        <f t="array" ref="I935">IFERROR(INDEX(PRECIOS_COMPLEMENTOS!$C$4:$F$17,MATCH(B935&amp;"_"&amp;C935,PRECIOS_COMPLEMENTOS!$H$4:$H$17,0),IF(OR(G935="S",G935="20cm"),1,IF(OR(G935="M",G935="25cm"),2,IF(OR(G935="L",G935="30cm"),3,IF(OR(G935="XL",G935="35cm"),4,0))))),0)</f>
        <v>0.4</v>
      </c>
      <c r="J935" s="103">
        <f t="shared" si="1"/>
        <v>0</v>
      </c>
      <c r="K935" s="104" t="str">
        <f>IF(H935&lt;0,"ERROR",IF(H935=0,"",IF(H935&lt;CONFIG!$B$4,"CRÍTICO",IF(H935&lt;CONFIG!$B$5,"BAJO","OK"))))</f>
        <v/>
      </c>
    </row>
    <row r="936" ht="15.75" hidden="1" customHeight="1">
      <c r="A936" s="90" t="str">
        <f>IF(CLIENTES!A6="","",CLIENTES!A6)</f>
        <v/>
      </c>
      <c r="B936" s="90" t="s">
        <v>321</v>
      </c>
      <c r="C936" s="91" t="s">
        <v>328</v>
      </c>
      <c r="D936" s="109" t="s">
        <v>353</v>
      </c>
      <c r="E936" s="67" t="str">
        <f>COLORES!A17</f>
        <v>Vino</v>
      </c>
      <c r="F936" s="67" t="str">
        <f>COLORES!B17</f>
        <v>OSCURO</v>
      </c>
      <c r="G936" s="90" t="s">
        <v>378</v>
      </c>
      <c r="H936" s="100">
        <f>IFERROR(SUMIFS(MOVIMIENTOS_COMPLEMENTOS!$I$4:$I$803,MOVIMIENTOS_COMPLEMENTOS!$C$4:$C$803,A936,MOVIMIENTOS_COMPLEMENTOS!$D$4:$D$803,B936,MOVIMIENTOS_COMPLEMENTOS!$E$4:$E$803,C936,MOVIMIENTOS_COMPLEMENTOS!$G$4:$G$803,E936,MOVIMIENTOS_COMPLEMENTOS!$H$4:$H$803,G936,MOVIMIENTOS_COMPLEMENTOS!$B$4:$B$803,"INGRESO")+SUMIFS(MOVIMIENTOS_COMPLEMENTOS!$I$4:$I$803,MOVIMIENTOS_COMPLEMENTOS!$C$4:$C$803,A936,MOVIMIENTOS_COMPLEMENTOS!$D$4:$D$803,B936,MOVIMIENTOS_COMPLEMENTOS!$E$4:$E$803,C936,MOVIMIENTOS_COMPLEMENTOS!$G$4:$G$803,E936,MOVIMIENTOS_COMPLEMENTOS!$H$4:$H$803,G936,MOVIMIENTOS_COMPLEMENTOS!$B$4:$B$803,"DE CORTE")-SUMIFS(MOVIMIENTOS_COMPLEMENTOS!$I$4:$I$803,MOVIMIENTOS_COMPLEMENTOS!$C$4:$C$803,A936,MOVIMIENTOS_COMPLEMENTOS!$D$4:$D$803,B936,MOVIMIENTOS_COMPLEMENTOS!$E$4:$E$803,C936,MOVIMIENTOS_COMPLEMENTOS!$G$4:$G$803,E936,MOVIMIENTOS_COMPLEMENTOS!$H$4:$H$803,G936,MOVIMIENTOS_COMPLEMENTOS!$B$4:$B$803,"SALIDA"),0)</f>
        <v>0</v>
      </c>
      <c r="I936" s="102">
        <f t="array" ref="I936">IFERROR(INDEX(PRECIOS_COMPLEMENTOS!$C$4:$F$17,MATCH(B936&amp;"_"&amp;C936,PRECIOS_COMPLEMENTOS!$H$4:$H$17,0),IF(OR(G936="S",G936="20cm"),1,IF(OR(G936="M",G936="25cm"),2,IF(OR(G936="L",G936="30cm"),3,IF(OR(G936="XL",G936="35cm"),4,0))))),0)</f>
        <v>0.4</v>
      </c>
      <c r="J936" s="103">
        <f t="shared" si="1"/>
        <v>0</v>
      </c>
      <c r="K936" s="104" t="str">
        <f>IF(H936&lt;0,"ERROR",IF(H936=0,"",IF(H936&lt;CONFIG!$B$4,"CRÍTICO",IF(H936&lt;CONFIG!$B$5,"BAJO","OK"))))</f>
        <v/>
      </c>
    </row>
    <row r="937" ht="15.75" hidden="1" customHeight="1">
      <c r="A937" s="90" t="str">
        <f>IF(CLIENTES!A6="","",CLIENTES!A6)</f>
        <v/>
      </c>
      <c r="B937" s="90" t="s">
        <v>321</v>
      </c>
      <c r="C937" s="91" t="s">
        <v>328</v>
      </c>
      <c r="D937" s="109" t="s">
        <v>353</v>
      </c>
      <c r="E937" s="67" t="str">
        <f>COLORES!A17</f>
        <v>Vino</v>
      </c>
      <c r="F937" s="67" t="str">
        <f>COLORES!B17</f>
        <v>OSCURO</v>
      </c>
      <c r="G937" s="90" t="s">
        <v>376</v>
      </c>
      <c r="H937" s="100">
        <f>IFERROR(SUMIFS(MOVIMIENTOS_COMPLEMENTOS!$I$4:$I$803,MOVIMIENTOS_COMPLEMENTOS!$C$4:$C$803,A937,MOVIMIENTOS_COMPLEMENTOS!$D$4:$D$803,B937,MOVIMIENTOS_COMPLEMENTOS!$E$4:$E$803,C937,MOVIMIENTOS_COMPLEMENTOS!$G$4:$G$803,E937,MOVIMIENTOS_COMPLEMENTOS!$H$4:$H$803,G937,MOVIMIENTOS_COMPLEMENTOS!$B$4:$B$803,"INGRESO")+SUMIFS(MOVIMIENTOS_COMPLEMENTOS!$I$4:$I$803,MOVIMIENTOS_COMPLEMENTOS!$C$4:$C$803,A937,MOVIMIENTOS_COMPLEMENTOS!$D$4:$D$803,B937,MOVIMIENTOS_COMPLEMENTOS!$E$4:$E$803,C937,MOVIMIENTOS_COMPLEMENTOS!$G$4:$G$803,E937,MOVIMIENTOS_COMPLEMENTOS!$H$4:$H$803,G937,MOVIMIENTOS_COMPLEMENTOS!$B$4:$B$803,"DE CORTE")-SUMIFS(MOVIMIENTOS_COMPLEMENTOS!$I$4:$I$803,MOVIMIENTOS_COMPLEMENTOS!$C$4:$C$803,A937,MOVIMIENTOS_COMPLEMENTOS!$D$4:$D$803,B937,MOVIMIENTOS_COMPLEMENTOS!$E$4:$E$803,C937,MOVIMIENTOS_COMPLEMENTOS!$G$4:$G$803,E937,MOVIMIENTOS_COMPLEMENTOS!$H$4:$H$803,G937,MOVIMIENTOS_COMPLEMENTOS!$B$4:$B$803,"SALIDA"),0)</f>
        <v>0</v>
      </c>
      <c r="I937" s="102">
        <f t="array" ref="I937">IFERROR(INDEX(PRECIOS_COMPLEMENTOS!$C$4:$F$17,MATCH(B937&amp;"_"&amp;C937,PRECIOS_COMPLEMENTOS!$H$4:$H$17,0),IF(OR(G937="S",G937="20cm"),1,IF(OR(G937="M",G937="25cm"),2,IF(OR(G937="L",G937="30cm"),3,IF(OR(G937="XL",G937="35cm"),4,0))))),0)</f>
        <v>0.4</v>
      </c>
      <c r="J937" s="103">
        <f t="shared" si="1"/>
        <v>0</v>
      </c>
      <c r="K937" s="104" t="str">
        <f>IF(H937&lt;0,"ERROR",IF(H937=0,"",IF(H937&lt;CONFIG!$B$4,"CRÍTICO",IF(H937&lt;CONFIG!$B$5,"BAJO","OK"))))</f>
        <v/>
      </c>
    </row>
    <row r="938" ht="15.75" hidden="1" customHeight="1">
      <c r="A938" s="90" t="str">
        <f>IF(CLIENTES!A6="","",CLIENTES!A6)</f>
        <v/>
      </c>
      <c r="B938" s="90" t="s">
        <v>321</v>
      </c>
      <c r="C938" s="91" t="s">
        <v>328</v>
      </c>
      <c r="D938" s="109" t="s">
        <v>353</v>
      </c>
      <c r="E938" s="67" t="str">
        <f>COLORES!A17</f>
        <v>Vino</v>
      </c>
      <c r="F938" s="67" t="str">
        <f>COLORES!B17</f>
        <v>OSCURO</v>
      </c>
      <c r="G938" s="90" t="s">
        <v>377</v>
      </c>
      <c r="H938" s="100">
        <f>IFERROR(SUMIFS(MOVIMIENTOS_COMPLEMENTOS!$I$4:$I$803,MOVIMIENTOS_COMPLEMENTOS!$C$4:$C$803,A938,MOVIMIENTOS_COMPLEMENTOS!$D$4:$D$803,B938,MOVIMIENTOS_COMPLEMENTOS!$E$4:$E$803,C938,MOVIMIENTOS_COMPLEMENTOS!$G$4:$G$803,E938,MOVIMIENTOS_COMPLEMENTOS!$H$4:$H$803,G938,MOVIMIENTOS_COMPLEMENTOS!$B$4:$B$803,"INGRESO")+SUMIFS(MOVIMIENTOS_COMPLEMENTOS!$I$4:$I$803,MOVIMIENTOS_COMPLEMENTOS!$C$4:$C$803,A938,MOVIMIENTOS_COMPLEMENTOS!$D$4:$D$803,B938,MOVIMIENTOS_COMPLEMENTOS!$E$4:$E$803,C938,MOVIMIENTOS_COMPLEMENTOS!$G$4:$G$803,E938,MOVIMIENTOS_COMPLEMENTOS!$H$4:$H$803,G938,MOVIMIENTOS_COMPLEMENTOS!$B$4:$B$803,"DE CORTE")-SUMIFS(MOVIMIENTOS_COMPLEMENTOS!$I$4:$I$803,MOVIMIENTOS_COMPLEMENTOS!$C$4:$C$803,A938,MOVIMIENTOS_COMPLEMENTOS!$D$4:$D$803,B938,MOVIMIENTOS_COMPLEMENTOS!$E$4:$E$803,C938,MOVIMIENTOS_COMPLEMENTOS!$G$4:$G$803,E938,MOVIMIENTOS_COMPLEMENTOS!$H$4:$H$803,G938,MOVIMIENTOS_COMPLEMENTOS!$B$4:$B$803,"SALIDA"),0)</f>
        <v>0</v>
      </c>
      <c r="I938" s="102">
        <f t="array" ref="I938">IFERROR(INDEX(PRECIOS_COMPLEMENTOS!$C$4:$F$17,MATCH(B938&amp;"_"&amp;C938,PRECIOS_COMPLEMENTOS!$H$4:$H$17,0),IF(OR(G938="S",G938="20cm"),1,IF(OR(G938="M",G938="25cm"),2,IF(OR(G938="L",G938="30cm"),3,IF(OR(G938="XL",G938="35cm"),4,0))))),0)</f>
        <v>0.4</v>
      </c>
      <c r="J938" s="103">
        <f t="shared" si="1"/>
        <v>0</v>
      </c>
      <c r="K938" s="104" t="str">
        <f>IF(H938&lt;0,"ERROR",IF(H938=0,"",IF(H938&lt;CONFIG!$B$4,"CRÍTICO",IF(H938&lt;CONFIG!$B$5,"BAJO","OK"))))</f>
        <v/>
      </c>
    </row>
    <row r="939" ht="15.75" hidden="1" customHeight="1">
      <c r="A939" s="90" t="str">
        <f>IF(CLIENTES!A6="","",CLIENTES!A6)</f>
        <v/>
      </c>
      <c r="B939" s="90" t="s">
        <v>321</v>
      </c>
      <c r="C939" s="91" t="s">
        <v>328</v>
      </c>
      <c r="D939" s="109" t="s">
        <v>353</v>
      </c>
      <c r="E939" s="67" t="str">
        <f>COLORES!A17</f>
        <v>Vino</v>
      </c>
      <c r="F939" s="67" t="str">
        <f>COLORES!B17</f>
        <v>OSCURO</v>
      </c>
      <c r="G939" s="90" t="s">
        <v>379</v>
      </c>
      <c r="H939" s="100">
        <f>IFERROR(SUMIFS(MOVIMIENTOS_COMPLEMENTOS!$I$4:$I$803,MOVIMIENTOS_COMPLEMENTOS!$C$4:$C$803,A939,MOVIMIENTOS_COMPLEMENTOS!$D$4:$D$803,B939,MOVIMIENTOS_COMPLEMENTOS!$E$4:$E$803,C939,MOVIMIENTOS_COMPLEMENTOS!$G$4:$G$803,E939,MOVIMIENTOS_COMPLEMENTOS!$H$4:$H$803,G939,MOVIMIENTOS_COMPLEMENTOS!$B$4:$B$803,"INGRESO")+SUMIFS(MOVIMIENTOS_COMPLEMENTOS!$I$4:$I$803,MOVIMIENTOS_COMPLEMENTOS!$C$4:$C$803,A939,MOVIMIENTOS_COMPLEMENTOS!$D$4:$D$803,B939,MOVIMIENTOS_COMPLEMENTOS!$E$4:$E$803,C939,MOVIMIENTOS_COMPLEMENTOS!$G$4:$G$803,E939,MOVIMIENTOS_COMPLEMENTOS!$H$4:$H$803,G939,MOVIMIENTOS_COMPLEMENTOS!$B$4:$B$803,"DE CORTE")-SUMIFS(MOVIMIENTOS_COMPLEMENTOS!$I$4:$I$803,MOVIMIENTOS_COMPLEMENTOS!$C$4:$C$803,A939,MOVIMIENTOS_COMPLEMENTOS!$D$4:$D$803,B939,MOVIMIENTOS_COMPLEMENTOS!$E$4:$E$803,C939,MOVIMIENTOS_COMPLEMENTOS!$G$4:$G$803,E939,MOVIMIENTOS_COMPLEMENTOS!$H$4:$H$803,G939,MOVIMIENTOS_COMPLEMENTOS!$B$4:$B$803,"SALIDA"),0)</f>
        <v>0</v>
      </c>
      <c r="I939" s="102">
        <f t="array" ref="I939">IFERROR(INDEX(PRECIOS_COMPLEMENTOS!$C$4:$F$17,MATCH(B939&amp;"_"&amp;C939,PRECIOS_COMPLEMENTOS!$H$4:$H$17,0),IF(OR(G939="S",G939="20cm"),1,IF(OR(G939="M",G939="25cm"),2,IF(OR(G939="L",G939="30cm"),3,IF(OR(G939="XL",G939="35cm"),4,0))))),0)</f>
        <v>0.4</v>
      </c>
      <c r="J939" s="103">
        <f t="shared" si="1"/>
        <v>0</v>
      </c>
      <c r="K939" s="104" t="str">
        <f>IF(H939&lt;0,"ERROR",IF(H939=0,"",IF(H939&lt;CONFIG!$B$4,"CRÍTICO",IF(H939&lt;CONFIG!$B$5,"BAJO","OK"))))</f>
        <v/>
      </c>
    </row>
    <row r="940" ht="15.75" hidden="1" customHeight="1">
      <c r="A940" s="90" t="str">
        <f>IF(CLIENTES!A6="","",CLIENTES!A6)</f>
        <v/>
      </c>
      <c r="B940" s="90" t="s">
        <v>321</v>
      </c>
      <c r="C940" s="91" t="s">
        <v>328</v>
      </c>
      <c r="D940" s="109" t="s">
        <v>353</v>
      </c>
      <c r="E940" s="67" t="str">
        <f>COLORES!A18</f>
        <v>P. Rosa</v>
      </c>
      <c r="F940" s="67" t="str">
        <f>COLORES!B18</f>
        <v>CLARO</v>
      </c>
      <c r="G940" s="90" t="s">
        <v>378</v>
      </c>
      <c r="H940" s="100">
        <f>IFERROR(SUMIFS(MOVIMIENTOS_COMPLEMENTOS!$I$4:$I$803,MOVIMIENTOS_COMPLEMENTOS!$C$4:$C$803,A940,MOVIMIENTOS_COMPLEMENTOS!$D$4:$D$803,B940,MOVIMIENTOS_COMPLEMENTOS!$E$4:$E$803,C940,MOVIMIENTOS_COMPLEMENTOS!$G$4:$G$803,E940,MOVIMIENTOS_COMPLEMENTOS!$H$4:$H$803,G940,MOVIMIENTOS_COMPLEMENTOS!$B$4:$B$803,"INGRESO")+SUMIFS(MOVIMIENTOS_COMPLEMENTOS!$I$4:$I$803,MOVIMIENTOS_COMPLEMENTOS!$C$4:$C$803,A940,MOVIMIENTOS_COMPLEMENTOS!$D$4:$D$803,B940,MOVIMIENTOS_COMPLEMENTOS!$E$4:$E$803,C940,MOVIMIENTOS_COMPLEMENTOS!$G$4:$G$803,E940,MOVIMIENTOS_COMPLEMENTOS!$H$4:$H$803,G940,MOVIMIENTOS_COMPLEMENTOS!$B$4:$B$803,"DE CORTE")-SUMIFS(MOVIMIENTOS_COMPLEMENTOS!$I$4:$I$803,MOVIMIENTOS_COMPLEMENTOS!$C$4:$C$803,A940,MOVIMIENTOS_COMPLEMENTOS!$D$4:$D$803,B940,MOVIMIENTOS_COMPLEMENTOS!$E$4:$E$803,C940,MOVIMIENTOS_COMPLEMENTOS!$G$4:$G$803,E940,MOVIMIENTOS_COMPLEMENTOS!$H$4:$H$803,G940,MOVIMIENTOS_COMPLEMENTOS!$B$4:$B$803,"SALIDA"),0)</f>
        <v>0</v>
      </c>
      <c r="I940" s="102">
        <f t="array" ref="I940">IFERROR(INDEX(PRECIOS_COMPLEMENTOS!$C$4:$F$17,MATCH(B940&amp;"_"&amp;C940,PRECIOS_COMPLEMENTOS!$H$4:$H$17,0),IF(OR(G940="S",G940="20cm"),1,IF(OR(G940="M",G940="25cm"),2,IF(OR(G940="L",G940="30cm"),3,IF(OR(G940="XL",G940="35cm"),4,0))))),0)</f>
        <v>0.4</v>
      </c>
      <c r="J940" s="103">
        <f t="shared" si="1"/>
        <v>0</v>
      </c>
      <c r="K940" s="104" t="str">
        <f>IF(H940&lt;0,"ERROR",IF(H940=0,"",IF(H940&lt;CONFIG!$B$4,"CRÍTICO",IF(H940&lt;CONFIG!$B$5,"BAJO","OK"))))</f>
        <v/>
      </c>
    </row>
    <row r="941" ht="15.75" hidden="1" customHeight="1">
      <c r="A941" s="90" t="str">
        <f>IF(CLIENTES!A6="","",CLIENTES!A6)</f>
        <v/>
      </c>
      <c r="B941" s="90" t="s">
        <v>321</v>
      </c>
      <c r="C941" s="91" t="s">
        <v>328</v>
      </c>
      <c r="D941" s="109" t="s">
        <v>353</v>
      </c>
      <c r="E941" s="67" t="str">
        <f>COLORES!A18</f>
        <v>P. Rosa</v>
      </c>
      <c r="F941" s="67" t="str">
        <f>COLORES!B18</f>
        <v>CLARO</v>
      </c>
      <c r="G941" s="90" t="s">
        <v>376</v>
      </c>
      <c r="H941" s="100">
        <f>IFERROR(SUMIFS(MOVIMIENTOS_COMPLEMENTOS!$I$4:$I$803,MOVIMIENTOS_COMPLEMENTOS!$C$4:$C$803,A941,MOVIMIENTOS_COMPLEMENTOS!$D$4:$D$803,B941,MOVIMIENTOS_COMPLEMENTOS!$E$4:$E$803,C941,MOVIMIENTOS_COMPLEMENTOS!$G$4:$G$803,E941,MOVIMIENTOS_COMPLEMENTOS!$H$4:$H$803,G941,MOVIMIENTOS_COMPLEMENTOS!$B$4:$B$803,"INGRESO")+SUMIFS(MOVIMIENTOS_COMPLEMENTOS!$I$4:$I$803,MOVIMIENTOS_COMPLEMENTOS!$C$4:$C$803,A941,MOVIMIENTOS_COMPLEMENTOS!$D$4:$D$803,B941,MOVIMIENTOS_COMPLEMENTOS!$E$4:$E$803,C941,MOVIMIENTOS_COMPLEMENTOS!$G$4:$G$803,E941,MOVIMIENTOS_COMPLEMENTOS!$H$4:$H$803,G941,MOVIMIENTOS_COMPLEMENTOS!$B$4:$B$803,"DE CORTE")-SUMIFS(MOVIMIENTOS_COMPLEMENTOS!$I$4:$I$803,MOVIMIENTOS_COMPLEMENTOS!$C$4:$C$803,A941,MOVIMIENTOS_COMPLEMENTOS!$D$4:$D$803,B941,MOVIMIENTOS_COMPLEMENTOS!$E$4:$E$803,C941,MOVIMIENTOS_COMPLEMENTOS!$G$4:$G$803,E941,MOVIMIENTOS_COMPLEMENTOS!$H$4:$H$803,G941,MOVIMIENTOS_COMPLEMENTOS!$B$4:$B$803,"SALIDA"),0)</f>
        <v>0</v>
      </c>
      <c r="I941" s="102">
        <f t="array" ref="I941">IFERROR(INDEX(PRECIOS_COMPLEMENTOS!$C$4:$F$17,MATCH(B941&amp;"_"&amp;C941,PRECIOS_COMPLEMENTOS!$H$4:$H$17,0),IF(OR(G941="S",G941="20cm"),1,IF(OR(G941="M",G941="25cm"),2,IF(OR(G941="L",G941="30cm"),3,IF(OR(G941="XL",G941="35cm"),4,0))))),0)</f>
        <v>0.4</v>
      </c>
      <c r="J941" s="103">
        <f t="shared" si="1"/>
        <v>0</v>
      </c>
      <c r="K941" s="104" t="str">
        <f>IF(H941&lt;0,"ERROR",IF(H941=0,"",IF(H941&lt;CONFIG!$B$4,"CRÍTICO",IF(H941&lt;CONFIG!$B$5,"BAJO","OK"))))</f>
        <v/>
      </c>
    </row>
    <row r="942" ht="15.75" hidden="1" customHeight="1">
      <c r="A942" s="90" t="str">
        <f>IF(CLIENTES!A6="","",CLIENTES!A6)</f>
        <v/>
      </c>
      <c r="B942" s="90" t="s">
        <v>321</v>
      </c>
      <c r="C942" s="91" t="s">
        <v>328</v>
      </c>
      <c r="D942" s="109" t="s">
        <v>353</v>
      </c>
      <c r="E942" s="67" t="str">
        <f>COLORES!A18</f>
        <v>P. Rosa</v>
      </c>
      <c r="F942" s="67" t="str">
        <f>COLORES!B18</f>
        <v>CLARO</v>
      </c>
      <c r="G942" s="90" t="s">
        <v>377</v>
      </c>
      <c r="H942" s="100">
        <f>IFERROR(SUMIFS(MOVIMIENTOS_COMPLEMENTOS!$I$4:$I$803,MOVIMIENTOS_COMPLEMENTOS!$C$4:$C$803,A942,MOVIMIENTOS_COMPLEMENTOS!$D$4:$D$803,B942,MOVIMIENTOS_COMPLEMENTOS!$E$4:$E$803,C942,MOVIMIENTOS_COMPLEMENTOS!$G$4:$G$803,E942,MOVIMIENTOS_COMPLEMENTOS!$H$4:$H$803,G942,MOVIMIENTOS_COMPLEMENTOS!$B$4:$B$803,"INGRESO")+SUMIFS(MOVIMIENTOS_COMPLEMENTOS!$I$4:$I$803,MOVIMIENTOS_COMPLEMENTOS!$C$4:$C$803,A942,MOVIMIENTOS_COMPLEMENTOS!$D$4:$D$803,B942,MOVIMIENTOS_COMPLEMENTOS!$E$4:$E$803,C942,MOVIMIENTOS_COMPLEMENTOS!$G$4:$G$803,E942,MOVIMIENTOS_COMPLEMENTOS!$H$4:$H$803,G942,MOVIMIENTOS_COMPLEMENTOS!$B$4:$B$803,"DE CORTE")-SUMIFS(MOVIMIENTOS_COMPLEMENTOS!$I$4:$I$803,MOVIMIENTOS_COMPLEMENTOS!$C$4:$C$803,A942,MOVIMIENTOS_COMPLEMENTOS!$D$4:$D$803,B942,MOVIMIENTOS_COMPLEMENTOS!$E$4:$E$803,C942,MOVIMIENTOS_COMPLEMENTOS!$G$4:$G$803,E942,MOVIMIENTOS_COMPLEMENTOS!$H$4:$H$803,G942,MOVIMIENTOS_COMPLEMENTOS!$B$4:$B$803,"SALIDA"),0)</f>
        <v>0</v>
      </c>
      <c r="I942" s="102">
        <f t="array" ref="I942">IFERROR(INDEX(PRECIOS_COMPLEMENTOS!$C$4:$F$17,MATCH(B942&amp;"_"&amp;C942,PRECIOS_COMPLEMENTOS!$H$4:$H$17,0),IF(OR(G942="S",G942="20cm"),1,IF(OR(G942="M",G942="25cm"),2,IF(OR(G942="L",G942="30cm"),3,IF(OR(G942="XL",G942="35cm"),4,0))))),0)</f>
        <v>0.4</v>
      </c>
      <c r="J942" s="103">
        <f t="shared" si="1"/>
        <v>0</v>
      </c>
      <c r="K942" s="104" t="str">
        <f>IF(H942&lt;0,"ERROR",IF(H942=0,"",IF(H942&lt;CONFIG!$B$4,"CRÍTICO",IF(H942&lt;CONFIG!$B$5,"BAJO","OK"))))</f>
        <v/>
      </c>
    </row>
    <row r="943" ht="15.75" hidden="1" customHeight="1">
      <c r="A943" s="90" t="str">
        <f>IF(CLIENTES!A6="","",CLIENTES!A6)</f>
        <v/>
      </c>
      <c r="B943" s="90" t="s">
        <v>321</v>
      </c>
      <c r="C943" s="91" t="s">
        <v>328</v>
      </c>
      <c r="D943" s="109" t="s">
        <v>353</v>
      </c>
      <c r="E943" s="67" t="str">
        <f>COLORES!A18</f>
        <v>P. Rosa</v>
      </c>
      <c r="F943" s="67" t="str">
        <f>COLORES!B18</f>
        <v>CLARO</v>
      </c>
      <c r="G943" s="90" t="s">
        <v>379</v>
      </c>
      <c r="H943" s="100">
        <f>IFERROR(SUMIFS(MOVIMIENTOS_COMPLEMENTOS!$I$4:$I$803,MOVIMIENTOS_COMPLEMENTOS!$C$4:$C$803,A943,MOVIMIENTOS_COMPLEMENTOS!$D$4:$D$803,B943,MOVIMIENTOS_COMPLEMENTOS!$E$4:$E$803,C943,MOVIMIENTOS_COMPLEMENTOS!$G$4:$G$803,E943,MOVIMIENTOS_COMPLEMENTOS!$H$4:$H$803,G943,MOVIMIENTOS_COMPLEMENTOS!$B$4:$B$803,"INGRESO")+SUMIFS(MOVIMIENTOS_COMPLEMENTOS!$I$4:$I$803,MOVIMIENTOS_COMPLEMENTOS!$C$4:$C$803,A943,MOVIMIENTOS_COMPLEMENTOS!$D$4:$D$803,B943,MOVIMIENTOS_COMPLEMENTOS!$E$4:$E$803,C943,MOVIMIENTOS_COMPLEMENTOS!$G$4:$G$803,E943,MOVIMIENTOS_COMPLEMENTOS!$H$4:$H$803,G943,MOVIMIENTOS_COMPLEMENTOS!$B$4:$B$803,"DE CORTE")-SUMIFS(MOVIMIENTOS_COMPLEMENTOS!$I$4:$I$803,MOVIMIENTOS_COMPLEMENTOS!$C$4:$C$803,A943,MOVIMIENTOS_COMPLEMENTOS!$D$4:$D$803,B943,MOVIMIENTOS_COMPLEMENTOS!$E$4:$E$803,C943,MOVIMIENTOS_COMPLEMENTOS!$G$4:$G$803,E943,MOVIMIENTOS_COMPLEMENTOS!$H$4:$H$803,G943,MOVIMIENTOS_COMPLEMENTOS!$B$4:$B$803,"SALIDA"),0)</f>
        <v>0</v>
      </c>
      <c r="I943" s="102">
        <f t="array" ref="I943">IFERROR(INDEX(PRECIOS_COMPLEMENTOS!$C$4:$F$17,MATCH(B943&amp;"_"&amp;C943,PRECIOS_COMPLEMENTOS!$H$4:$H$17,0),IF(OR(G943="S",G943="20cm"),1,IF(OR(G943="M",G943="25cm"),2,IF(OR(G943="L",G943="30cm"),3,IF(OR(G943="XL",G943="35cm"),4,0))))),0)</f>
        <v>0.4</v>
      </c>
      <c r="J943" s="103">
        <f t="shared" si="1"/>
        <v>0</v>
      </c>
      <c r="K943" s="104" t="str">
        <f>IF(H943&lt;0,"ERROR",IF(H943=0,"",IF(H943&lt;CONFIG!$B$4,"CRÍTICO",IF(H943&lt;CONFIG!$B$5,"BAJO","OK"))))</f>
        <v/>
      </c>
    </row>
    <row r="944" ht="15.75" hidden="1" customHeight="1">
      <c r="A944" s="90" t="str">
        <f>IF(CLIENTES!A6="","",CLIENTES!A6)</f>
        <v/>
      </c>
      <c r="B944" s="90" t="s">
        <v>321</v>
      </c>
      <c r="C944" s="91" t="s">
        <v>328</v>
      </c>
      <c r="D944" s="109" t="s">
        <v>353</v>
      </c>
      <c r="E944" s="67" t="str">
        <f>COLORES!A19</f>
        <v/>
      </c>
      <c r="F944" s="67" t="str">
        <f>COLORES!B19</f>
        <v/>
      </c>
      <c r="G944" s="90" t="s">
        <v>378</v>
      </c>
      <c r="H944" s="100">
        <f>IFERROR(SUMIFS(MOVIMIENTOS_COMPLEMENTOS!$I$4:$I$803,MOVIMIENTOS_COMPLEMENTOS!$C$4:$C$803,A944,MOVIMIENTOS_COMPLEMENTOS!$D$4:$D$803,B944,MOVIMIENTOS_COMPLEMENTOS!$E$4:$E$803,C944,MOVIMIENTOS_COMPLEMENTOS!$G$4:$G$803,E944,MOVIMIENTOS_COMPLEMENTOS!$H$4:$H$803,G944,MOVIMIENTOS_COMPLEMENTOS!$B$4:$B$803,"INGRESO")+SUMIFS(MOVIMIENTOS_COMPLEMENTOS!$I$4:$I$803,MOVIMIENTOS_COMPLEMENTOS!$C$4:$C$803,A944,MOVIMIENTOS_COMPLEMENTOS!$D$4:$D$803,B944,MOVIMIENTOS_COMPLEMENTOS!$E$4:$E$803,C944,MOVIMIENTOS_COMPLEMENTOS!$G$4:$G$803,E944,MOVIMIENTOS_COMPLEMENTOS!$H$4:$H$803,G944,MOVIMIENTOS_COMPLEMENTOS!$B$4:$B$803,"DE CORTE")-SUMIFS(MOVIMIENTOS_COMPLEMENTOS!$I$4:$I$803,MOVIMIENTOS_COMPLEMENTOS!$C$4:$C$803,A944,MOVIMIENTOS_COMPLEMENTOS!$D$4:$D$803,B944,MOVIMIENTOS_COMPLEMENTOS!$E$4:$E$803,C944,MOVIMIENTOS_COMPLEMENTOS!$G$4:$G$803,E944,MOVIMIENTOS_COMPLEMENTOS!$H$4:$H$803,G944,MOVIMIENTOS_COMPLEMENTOS!$B$4:$B$803,"SALIDA"),0)</f>
        <v>0</v>
      </c>
      <c r="I944" s="102">
        <f t="array" ref="I944">IFERROR(INDEX(PRECIOS_COMPLEMENTOS!$C$4:$F$17,MATCH(B944&amp;"_"&amp;C944,PRECIOS_COMPLEMENTOS!$H$4:$H$17,0),IF(OR(G944="S",G944="20cm"),1,IF(OR(G944="M",G944="25cm"),2,IF(OR(G944="L",G944="30cm"),3,IF(OR(G944="XL",G944="35cm"),4,0))))),0)</f>
        <v>0.4</v>
      </c>
      <c r="J944" s="103">
        <f t="shared" si="1"/>
        <v>0</v>
      </c>
      <c r="K944" s="104" t="str">
        <f>IF(H944&lt;0,"ERROR",IF(H944=0,"",IF(H944&lt;CONFIG!$B$4,"CRÍTICO",IF(H944&lt;CONFIG!$B$5,"BAJO","OK"))))</f>
        <v/>
      </c>
    </row>
    <row r="945" ht="15.75" hidden="1" customHeight="1">
      <c r="A945" s="90" t="str">
        <f>IF(CLIENTES!A6="","",CLIENTES!A6)</f>
        <v/>
      </c>
      <c r="B945" s="90" t="s">
        <v>321</v>
      </c>
      <c r="C945" s="91" t="s">
        <v>328</v>
      </c>
      <c r="D945" s="109" t="s">
        <v>353</v>
      </c>
      <c r="E945" s="67" t="str">
        <f>COLORES!A19</f>
        <v/>
      </c>
      <c r="F945" s="67" t="str">
        <f>COLORES!B19</f>
        <v/>
      </c>
      <c r="G945" s="90" t="s">
        <v>376</v>
      </c>
      <c r="H945" s="100">
        <f>IFERROR(SUMIFS(MOVIMIENTOS_COMPLEMENTOS!$I$4:$I$803,MOVIMIENTOS_COMPLEMENTOS!$C$4:$C$803,A945,MOVIMIENTOS_COMPLEMENTOS!$D$4:$D$803,B945,MOVIMIENTOS_COMPLEMENTOS!$E$4:$E$803,C945,MOVIMIENTOS_COMPLEMENTOS!$G$4:$G$803,E945,MOVIMIENTOS_COMPLEMENTOS!$H$4:$H$803,G945,MOVIMIENTOS_COMPLEMENTOS!$B$4:$B$803,"INGRESO")+SUMIFS(MOVIMIENTOS_COMPLEMENTOS!$I$4:$I$803,MOVIMIENTOS_COMPLEMENTOS!$C$4:$C$803,A945,MOVIMIENTOS_COMPLEMENTOS!$D$4:$D$803,B945,MOVIMIENTOS_COMPLEMENTOS!$E$4:$E$803,C945,MOVIMIENTOS_COMPLEMENTOS!$G$4:$G$803,E945,MOVIMIENTOS_COMPLEMENTOS!$H$4:$H$803,G945,MOVIMIENTOS_COMPLEMENTOS!$B$4:$B$803,"DE CORTE")-SUMIFS(MOVIMIENTOS_COMPLEMENTOS!$I$4:$I$803,MOVIMIENTOS_COMPLEMENTOS!$C$4:$C$803,A945,MOVIMIENTOS_COMPLEMENTOS!$D$4:$D$803,B945,MOVIMIENTOS_COMPLEMENTOS!$E$4:$E$803,C945,MOVIMIENTOS_COMPLEMENTOS!$G$4:$G$803,E945,MOVIMIENTOS_COMPLEMENTOS!$H$4:$H$803,G945,MOVIMIENTOS_COMPLEMENTOS!$B$4:$B$803,"SALIDA"),0)</f>
        <v>0</v>
      </c>
      <c r="I945" s="102">
        <f t="array" ref="I945">IFERROR(INDEX(PRECIOS_COMPLEMENTOS!$C$4:$F$17,MATCH(B945&amp;"_"&amp;C945,PRECIOS_COMPLEMENTOS!$H$4:$H$17,0),IF(OR(G945="S",G945="20cm"),1,IF(OR(G945="M",G945="25cm"),2,IF(OR(G945="L",G945="30cm"),3,IF(OR(G945="XL",G945="35cm"),4,0))))),0)</f>
        <v>0.4</v>
      </c>
      <c r="J945" s="103">
        <f t="shared" si="1"/>
        <v>0</v>
      </c>
      <c r="K945" s="104" t="str">
        <f>IF(H945&lt;0,"ERROR",IF(H945=0,"",IF(H945&lt;CONFIG!$B$4,"CRÍTICO",IF(H945&lt;CONFIG!$B$5,"BAJO","OK"))))</f>
        <v/>
      </c>
    </row>
    <row r="946" ht="15.75" hidden="1" customHeight="1">
      <c r="A946" s="90" t="str">
        <f>IF(CLIENTES!A6="","",CLIENTES!A6)</f>
        <v/>
      </c>
      <c r="B946" s="90" t="s">
        <v>321</v>
      </c>
      <c r="C946" s="91" t="s">
        <v>328</v>
      </c>
      <c r="D946" s="109" t="s">
        <v>353</v>
      </c>
      <c r="E946" s="67" t="str">
        <f>COLORES!A19</f>
        <v/>
      </c>
      <c r="F946" s="67" t="str">
        <f>COLORES!B19</f>
        <v/>
      </c>
      <c r="G946" s="90" t="s">
        <v>377</v>
      </c>
      <c r="H946" s="100">
        <f>IFERROR(SUMIFS(MOVIMIENTOS_COMPLEMENTOS!$I$4:$I$803,MOVIMIENTOS_COMPLEMENTOS!$C$4:$C$803,A946,MOVIMIENTOS_COMPLEMENTOS!$D$4:$D$803,B946,MOVIMIENTOS_COMPLEMENTOS!$E$4:$E$803,C946,MOVIMIENTOS_COMPLEMENTOS!$G$4:$G$803,E946,MOVIMIENTOS_COMPLEMENTOS!$H$4:$H$803,G946,MOVIMIENTOS_COMPLEMENTOS!$B$4:$B$803,"INGRESO")+SUMIFS(MOVIMIENTOS_COMPLEMENTOS!$I$4:$I$803,MOVIMIENTOS_COMPLEMENTOS!$C$4:$C$803,A946,MOVIMIENTOS_COMPLEMENTOS!$D$4:$D$803,B946,MOVIMIENTOS_COMPLEMENTOS!$E$4:$E$803,C946,MOVIMIENTOS_COMPLEMENTOS!$G$4:$G$803,E946,MOVIMIENTOS_COMPLEMENTOS!$H$4:$H$803,G946,MOVIMIENTOS_COMPLEMENTOS!$B$4:$B$803,"DE CORTE")-SUMIFS(MOVIMIENTOS_COMPLEMENTOS!$I$4:$I$803,MOVIMIENTOS_COMPLEMENTOS!$C$4:$C$803,A946,MOVIMIENTOS_COMPLEMENTOS!$D$4:$D$803,B946,MOVIMIENTOS_COMPLEMENTOS!$E$4:$E$803,C946,MOVIMIENTOS_COMPLEMENTOS!$G$4:$G$803,E946,MOVIMIENTOS_COMPLEMENTOS!$H$4:$H$803,G946,MOVIMIENTOS_COMPLEMENTOS!$B$4:$B$803,"SALIDA"),0)</f>
        <v>0</v>
      </c>
      <c r="I946" s="102">
        <f t="array" ref="I946">IFERROR(INDEX(PRECIOS_COMPLEMENTOS!$C$4:$F$17,MATCH(B946&amp;"_"&amp;C946,PRECIOS_COMPLEMENTOS!$H$4:$H$17,0),IF(OR(G946="S",G946="20cm"),1,IF(OR(G946="M",G946="25cm"),2,IF(OR(G946="L",G946="30cm"),3,IF(OR(G946="XL",G946="35cm"),4,0))))),0)</f>
        <v>0.4</v>
      </c>
      <c r="J946" s="103">
        <f t="shared" si="1"/>
        <v>0</v>
      </c>
      <c r="K946" s="104" t="str">
        <f>IF(H946&lt;0,"ERROR",IF(H946=0,"",IF(H946&lt;CONFIG!$B$4,"CRÍTICO",IF(H946&lt;CONFIG!$B$5,"BAJO","OK"))))</f>
        <v/>
      </c>
    </row>
    <row r="947" ht="15.75" hidden="1" customHeight="1">
      <c r="A947" s="90" t="str">
        <f>IF(CLIENTES!A6="","",CLIENTES!A6)</f>
        <v/>
      </c>
      <c r="B947" s="90" t="s">
        <v>321</v>
      </c>
      <c r="C947" s="91" t="s">
        <v>328</v>
      </c>
      <c r="D947" s="109" t="s">
        <v>353</v>
      </c>
      <c r="E947" s="67" t="str">
        <f>COLORES!A19</f>
        <v/>
      </c>
      <c r="F947" s="67" t="str">
        <f>COLORES!B19</f>
        <v/>
      </c>
      <c r="G947" s="90" t="s">
        <v>379</v>
      </c>
      <c r="H947" s="100">
        <f>IFERROR(SUMIFS(MOVIMIENTOS_COMPLEMENTOS!$I$4:$I$803,MOVIMIENTOS_COMPLEMENTOS!$C$4:$C$803,A947,MOVIMIENTOS_COMPLEMENTOS!$D$4:$D$803,B947,MOVIMIENTOS_COMPLEMENTOS!$E$4:$E$803,C947,MOVIMIENTOS_COMPLEMENTOS!$G$4:$G$803,E947,MOVIMIENTOS_COMPLEMENTOS!$H$4:$H$803,G947,MOVIMIENTOS_COMPLEMENTOS!$B$4:$B$803,"INGRESO")+SUMIFS(MOVIMIENTOS_COMPLEMENTOS!$I$4:$I$803,MOVIMIENTOS_COMPLEMENTOS!$C$4:$C$803,A947,MOVIMIENTOS_COMPLEMENTOS!$D$4:$D$803,B947,MOVIMIENTOS_COMPLEMENTOS!$E$4:$E$803,C947,MOVIMIENTOS_COMPLEMENTOS!$G$4:$G$803,E947,MOVIMIENTOS_COMPLEMENTOS!$H$4:$H$803,G947,MOVIMIENTOS_COMPLEMENTOS!$B$4:$B$803,"DE CORTE")-SUMIFS(MOVIMIENTOS_COMPLEMENTOS!$I$4:$I$803,MOVIMIENTOS_COMPLEMENTOS!$C$4:$C$803,A947,MOVIMIENTOS_COMPLEMENTOS!$D$4:$D$803,B947,MOVIMIENTOS_COMPLEMENTOS!$E$4:$E$803,C947,MOVIMIENTOS_COMPLEMENTOS!$G$4:$G$803,E947,MOVIMIENTOS_COMPLEMENTOS!$H$4:$H$803,G947,MOVIMIENTOS_COMPLEMENTOS!$B$4:$B$803,"SALIDA"),0)</f>
        <v>0</v>
      </c>
      <c r="I947" s="102">
        <f t="array" ref="I947">IFERROR(INDEX(PRECIOS_COMPLEMENTOS!$C$4:$F$17,MATCH(B947&amp;"_"&amp;C947,PRECIOS_COMPLEMENTOS!$H$4:$H$17,0),IF(OR(G947="S",G947="20cm"),1,IF(OR(G947="M",G947="25cm"),2,IF(OR(G947="L",G947="30cm"),3,IF(OR(G947="XL",G947="35cm"),4,0))))),0)</f>
        <v>0.4</v>
      </c>
      <c r="J947" s="103">
        <f t="shared" si="1"/>
        <v>0</v>
      </c>
      <c r="K947" s="104" t="str">
        <f>IF(H947&lt;0,"ERROR",IF(H947=0,"",IF(H947&lt;CONFIG!$B$4,"CRÍTICO",IF(H947&lt;CONFIG!$B$5,"BAJO","OK"))))</f>
        <v/>
      </c>
    </row>
    <row r="948" ht="15.75" hidden="1" customHeight="1">
      <c r="A948" s="90" t="str">
        <f>IF(CLIENTES!A6="","",CLIENTES!A6)</f>
        <v/>
      </c>
      <c r="B948" s="90" t="s">
        <v>321</v>
      </c>
      <c r="C948" s="91" t="s">
        <v>328</v>
      </c>
      <c r="D948" s="109" t="s">
        <v>353</v>
      </c>
      <c r="E948" s="67" t="str">
        <f>COLORES!A20</f>
        <v/>
      </c>
      <c r="F948" s="67" t="str">
        <f>COLORES!B20</f>
        <v/>
      </c>
      <c r="G948" s="90" t="s">
        <v>378</v>
      </c>
      <c r="H948" s="100">
        <f>IFERROR(SUMIFS(MOVIMIENTOS_COMPLEMENTOS!$I$4:$I$803,MOVIMIENTOS_COMPLEMENTOS!$C$4:$C$803,A948,MOVIMIENTOS_COMPLEMENTOS!$D$4:$D$803,B948,MOVIMIENTOS_COMPLEMENTOS!$E$4:$E$803,C948,MOVIMIENTOS_COMPLEMENTOS!$G$4:$G$803,E948,MOVIMIENTOS_COMPLEMENTOS!$H$4:$H$803,G948,MOVIMIENTOS_COMPLEMENTOS!$B$4:$B$803,"INGRESO")+SUMIFS(MOVIMIENTOS_COMPLEMENTOS!$I$4:$I$803,MOVIMIENTOS_COMPLEMENTOS!$C$4:$C$803,A948,MOVIMIENTOS_COMPLEMENTOS!$D$4:$D$803,B948,MOVIMIENTOS_COMPLEMENTOS!$E$4:$E$803,C948,MOVIMIENTOS_COMPLEMENTOS!$G$4:$G$803,E948,MOVIMIENTOS_COMPLEMENTOS!$H$4:$H$803,G948,MOVIMIENTOS_COMPLEMENTOS!$B$4:$B$803,"DE CORTE")-SUMIFS(MOVIMIENTOS_COMPLEMENTOS!$I$4:$I$803,MOVIMIENTOS_COMPLEMENTOS!$C$4:$C$803,A948,MOVIMIENTOS_COMPLEMENTOS!$D$4:$D$803,B948,MOVIMIENTOS_COMPLEMENTOS!$E$4:$E$803,C948,MOVIMIENTOS_COMPLEMENTOS!$G$4:$G$803,E948,MOVIMIENTOS_COMPLEMENTOS!$H$4:$H$803,G948,MOVIMIENTOS_COMPLEMENTOS!$B$4:$B$803,"SALIDA"),0)</f>
        <v>0</v>
      </c>
      <c r="I948" s="102">
        <f t="array" ref="I948">IFERROR(INDEX(PRECIOS_COMPLEMENTOS!$C$4:$F$17,MATCH(B948&amp;"_"&amp;C948,PRECIOS_COMPLEMENTOS!$H$4:$H$17,0),IF(OR(G948="S",G948="20cm"),1,IF(OR(G948="M",G948="25cm"),2,IF(OR(G948="L",G948="30cm"),3,IF(OR(G948="XL",G948="35cm"),4,0))))),0)</f>
        <v>0.4</v>
      </c>
      <c r="J948" s="103">
        <f t="shared" si="1"/>
        <v>0</v>
      </c>
      <c r="K948" s="104" t="str">
        <f>IF(H948&lt;0,"ERROR",IF(H948=0,"",IF(H948&lt;CONFIG!$B$4,"CRÍTICO",IF(H948&lt;CONFIG!$B$5,"BAJO","OK"))))</f>
        <v/>
      </c>
    </row>
    <row r="949" ht="15.75" hidden="1" customHeight="1">
      <c r="A949" s="90" t="str">
        <f>IF(CLIENTES!A6="","",CLIENTES!A6)</f>
        <v/>
      </c>
      <c r="B949" s="90" t="s">
        <v>321</v>
      </c>
      <c r="C949" s="91" t="s">
        <v>328</v>
      </c>
      <c r="D949" s="109" t="s">
        <v>353</v>
      </c>
      <c r="E949" s="67" t="str">
        <f>COLORES!A20</f>
        <v/>
      </c>
      <c r="F949" s="67" t="str">
        <f>COLORES!B20</f>
        <v/>
      </c>
      <c r="G949" s="90" t="s">
        <v>376</v>
      </c>
      <c r="H949" s="100">
        <f>IFERROR(SUMIFS(MOVIMIENTOS_COMPLEMENTOS!$I$4:$I$803,MOVIMIENTOS_COMPLEMENTOS!$C$4:$C$803,A949,MOVIMIENTOS_COMPLEMENTOS!$D$4:$D$803,B949,MOVIMIENTOS_COMPLEMENTOS!$E$4:$E$803,C949,MOVIMIENTOS_COMPLEMENTOS!$G$4:$G$803,E949,MOVIMIENTOS_COMPLEMENTOS!$H$4:$H$803,G949,MOVIMIENTOS_COMPLEMENTOS!$B$4:$B$803,"INGRESO")+SUMIFS(MOVIMIENTOS_COMPLEMENTOS!$I$4:$I$803,MOVIMIENTOS_COMPLEMENTOS!$C$4:$C$803,A949,MOVIMIENTOS_COMPLEMENTOS!$D$4:$D$803,B949,MOVIMIENTOS_COMPLEMENTOS!$E$4:$E$803,C949,MOVIMIENTOS_COMPLEMENTOS!$G$4:$G$803,E949,MOVIMIENTOS_COMPLEMENTOS!$H$4:$H$803,G949,MOVIMIENTOS_COMPLEMENTOS!$B$4:$B$803,"DE CORTE")-SUMIFS(MOVIMIENTOS_COMPLEMENTOS!$I$4:$I$803,MOVIMIENTOS_COMPLEMENTOS!$C$4:$C$803,A949,MOVIMIENTOS_COMPLEMENTOS!$D$4:$D$803,B949,MOVIMIENTOS_COMPLEMENTOS!$E$4:$E$803,C949,MOVIMIENTOS_COMPLEMENTOS!$G$4:$G$803,E949,MOVIMIENTOS_COMPLEMENTOS!$H$4:$H$803,G949,MOVIMIENTOS_COMPLEMENTOS!$B$4:$B$803,"SALIDA"),0)</f>
        <v>0</v>
      </c>
      <c r="I949" s="102">
        <f t="array" ref="I949">IFERROR(INDEX(PRECIOS_COMPLEMENTOS!$C$4:$F$17,MATCH(B949&amp;"_"&amp;C949,PRECIOS_COMPLEMENTOS!$H$4:$H$17,0),IF(OR(G949="S",G949="20cm"),1,IF(OR(G949="M",G949="25cm"),2,IF(OR(G949="L",G949="30cm"),3,IF(OR(G949="XL",G949="35cm"),4,0))))),0)</f>
        <v>0.4</v>
      </c>
      <c r="J949" s="103">
        <f t="shared" si="1"/>
        <v>0</v>
      </c>
      <c r="K949" s="104" t="str">
        <f>IF(H949&lt;0,"ERROR",IF(H949=0,"",IF(H949&lt;CONFIG!$B$4,"CRÍTICO",IF(H949&lt;CONFIG!$B$5,"BAJO","OK"))))</f>
        <v/>
      </c>
    </row>
    <row r="950" ht="15.75" hidden="1" customHeight="1">
      <c r="A950" s="90" t="str">
        <f>IF(CLIENTES!A6="","",CLIENTES!A6)</f>
        <v/>
      </c>
      <c r="B950" s="90" t="s">
        <v>321</v>
      </c>
      <c r="C950" s="91" t="s">
        <v>328</v>
      </c>
      <c r="D950" s="109" t="s">
        <v>353</v>
      </c>
      <c r="E950" s="67" t="str">
        <f>COLORES!A20</f>
        <v/>
      </c>
      <c r="F950" s="67" t="str">
        <f>COLORES!B20</f>
        <v/>
      </c>
      <c r="G950" s="90" t="s">
        <v>377</v>
      </c>
      <c r="H950" s="100">
        <f>IFERROR(SUMIFS(MOVIMIENTOS_COMPLEMENTOS!$I$4:$I$803,MOVIMIENTOS_COMPLEMENTOS!$C$4:$C$803,A950,MOVIMIENTOS_COMPLEMENTOS!$D$4:$D$803,B950,MOVIMIENTOS_COMPLEMENTOS!$E$4:$E$803,C950,MOVIMIENTOS_COMPLEMENTOS!$G$4:$G$803,E950,MOVIMIENTOS_COMPLEMENTOS!$H$4:$H$803,G950,MOVIMIENTOS_COMPLEMENTOS!$B$4:$B$803,"INGRESO")+SUMIFS(MOVIMIENTOS_COMPLEMENTOS!$I$4:$I$803,MOVIMIENTOS_COMPLEMENTOS!$C$4:$C$803,A950,MOVIMIENTOS_COMPLEMENTOS!$D$4:$D$803,B950,MOVIMIENTOS_COMPLEMENTOS!$E$4:$E$803,C950,MOVIMIENTOS_COMPLEMENTOS!$G$4:$G$803,E950,MOVIMIENTOS_COMPLEMENTOS!$H$4:$H$803,G950,MOVIMIENTOS_COMPLEMENTOS!$B$4:$B$803,"DE CORTE")-SUMIFS(MOVIMIENTOS_COMPLEMENTOS!$I$4:$I$803,MOVIMIENTOS_COMPLEMENTOS!$C$4:$C$803,A950,MOVIMIENTOS_COMPLEMENTOS!$D$4:$D$803,B950,MOVIMIENTOS_COMPLEMENTOS!$E$4:$E$803,C950,MOVIMIENTOS_COMPLEMENTOS!$G$4:$G$803,E950,MOVIMIENTOS_COMPLEMENTOS!$H$4:$H$803,G950,MOVIMIENTOS_COMPLEMENTOS!$B$4:$B$803,"SALIDA"),0)</f>
        <v>0</v>
      </c>
      <c r="I950" s="102">
        <f t="array" ref="I950">IFERROR(INDEX(PRECIOS_COMPLEMENTOS!$C$4:$F$17,MATCH(B950&amp;"_"&amp;C950,PRECIOS_COMPLEMENTOS!$H$4:$H$17,0),IF(OR(G950="S",G950="20cm"),1,IF(OR(G950="M",G950="25cm"),2,IF(OR(G950="L",G950="30cm"),3,IF(OR(G950="XL",G950="35cm"),4,0))))),0)</f>
        <v>0.4</v>
      </c>
      <c r="J950" s="103">
        <f t="shared" si="1"/>
        <v>0</v>
      </c>
      <c r="K950" s="104" t="str">
        <f>IF(H950&lt;0,"ERROR",IF(H950=0,"",IF(H950&lt;CONFIG!$B$4,"CRÍTICO",IF(H950&lt;CONFIG!$B$5,"BAJO","OK"))))</f>
        <v/>
      </c>
    </row>
    <row r="951" ht="15.75" hidden="1" customHeight="1">
      <c r="A951" s="90" t="str">
        <f>IF(CLIENTES!A6="","",CLIENTES!A6)</f>
        <v/>
      </c>
      <c r="B951" s="90" t="s">
        <v>321</v>
      </c>
      <c r="C951" s="91" t="s">
        <v>328</v>
      </c>
      <c r="D951" s="109" t="s">
        <v>353</v>
      </c>
      <c r="E951" s="67" t="str">
        <f>COLORES!A20</f>
        <v/>
      </c>
      <c r="F951" s="67" t="str">
        <f>COLORES!B20</f>
        <v/>
      </c>
      <c r="G951" s="90" t="s">
        <v>379</v>
      </c>
      <c r="H951" s="100">
        <f>IFERROR(SUMIFS(MOVIMIENTOS_COMPLEMENTOS!$I$4:$I$803,MOVIMIENTOS_COMPLEMENTOS!$C$4:$C$803,A951,MOVIMIENTOS_COMPLEMENTOS!$D$4:$D$803,B951,MOVIMIENTOS_COMPLEMENTOS!$E$4:$E$803,C951,MOVIMIENTOS_COMPLEMENTOS!$G$4:$G$803,E951,MOVIMIENTOS_COMPLEMENTOS!$H$4:$H$803,G951,MOVIMIENTOS_COMPLEMENTOS!$B$4:$B$803,"INGRESO")+SUMIFS(MOVIMIENTOS_COMPLEMENTOS!$I$4:$I$803,MOVIMIENTOS_COMPLEMENTOS!$C$4:$C$803,A951,MOVIMIENTOS_COMPLEMENTOS!$D$4:$D$803,B951,MOVIMIENTOS_COMPLEMENTOS!$E$4:$E$803,C951,MOVIMIENTOS_COMPLEMENTOS!$G$4:$G$803,E951,MOVIMIENTOS_COMPLEMENTOS!$H$4:$H$803,G951,MOVIMIENTOS_COMPLEMENTOS!$B$4:$B$803,"DE CORTE")-SUMIFS(MOVIMIENTOS_COMPLEMENTOS!$I$4:$I$803,MOVIMIENTOS_COMPLEMENTOS!$C$4:$C$803,A951,MOVIMIENTOS_COMPLEMENTOS!$D$4:$D$803,B951,MOVIMIENTOS_COMPLEMENTOS!$E$4:$E$803,C951,MOVIMIENTOS_COMPLEMENTOS!$G$4:$G$803,E951,MOVIMIENTOS_COMPLEMENTOS!$H$4:$H$803,G951,MOVIMIENTOS_COMPLEMENTOS!$B$4:$B$803,"SALIDA"),0)</f>
        <v>0</v>
      </c>
      <c r="I951" s="102">
        <f t="array" ref="I951">IFERROR(INDEX(PRECIOS_COMPLEMENTOS!$C$4:$F$17,MATCH(B951&amp;"_"&amp;C951,PRECIOS_COMPLEMENTOS!$H$4:$H$17,0),IF(OR(G951="S",G951="20cm"),1,IF(OR(G951="M",G951="25cm"),2,IF(OR(G951="L",G951="30cm"),3,IF(OR(G951="XL",G951="35cm"),4,0))))),0)</f>
        <v>0.4</v>
      </c>
      <c r="J951" s="103">
        <f t="shared" si="1"/>
        <v>0</v>
      </c>
      <c r="K951" s="104" t="str">
        <f>IF(H951&lt;0,"ERROR",IF(H951=0,"",IF(H951&lt;CONFIG!$B$4,"CRÍTICO",IF(H951&lt;CONFIG!$B$5,"BAJO","OK"))))</f>
        <v/>
      </c>
    </row>
    <row r="952" ht="15.75" hidden="1" customHeight="1">
      <c r="A952" s="90" t="str">
        <f>IF(CLIENTES!A6="","",CLIENTES!A6)</f>
        <v/>
      </c>
      <c r="B952" s="90" t="s">
        <v>321</v>
      </c>
      <c r="C952" s="91" t="s">
        <v>328</v>
      </c>
      <c r="D952" s="109" t="s">
        <v>353</v>
      </c>
      <c r="E952" s="67" t="str">
        <f>COLORES!A21</f>
        <v/>
      </c>
      <c r="F952" s="67" t="str">
        <f>COLORES!B21</f>
        <v/>
      </c>
      <c r="G952" s="90" t="s">
        <v>378</v>
      </c>
      <c r="H952" s="100">
        <f>IFERROR(SUMIFS(MOVIMIENTOS_COMPLEMENTOS!$I$4:$I$803,MOVIMIENTOS_COMPLEMENTOS!$C$4:$C$803,A952,MOVIMIENTOS_COMPLEMENTOS!$D$4:$D$803,B952,MOVIMIENTOS_COMPLEMENTOS!$E$4:$E$803,C952,MOVIMIENTOS_COMPLEMENTOS!$G$4:$G$803,E952,MOVIMIENTOS_COMPLEMENTOS!$H$4:$H$803,G952,MOVIMIENTOS_COMPLEMENTOS!$B$4:$B$803,"INGRESO")+SUMIFS(MOVIMIENTOS_COMPLEMENTOS!$I$4:$I$803,MOVIMIENTOS_COMPLEMENTOS!$C$4:$C$803,A952,MOVIMIENTOS_COMPLEMENTOS!$D$4:$D$803,B952,MOVIMIENTOS_COMPLEMENTOS!$E$4:$E$803,C952,MOVIMIENTOS_COMPLEMENTOS!$G$4:$G$803,E952,MOVIMIENTOS_COMPLEMENTOS!$H$4:$H$803,G952,MOVIMIENTOS_COMPLEMENTOS!$B$4:$B$803,"DE CORTE")-SUMIFS(MOVIMIENTOS_COMPLEMENTOS!$I$4:$I$803,MOVIMIENTOS_COMPLEMENTOS!$C$4:$C$803,A952,MOVIMIENTOS_COMPLEMENTOS!$D$4:$D$803,B952,MOVIMIENTOS_COMPLEMENTOS!$E$4:$E$803,C952,MOVIMIENTOS_COMPLEMENTOS!$G$4:$G$803,E952,MOVIMIENTOS_COMPLEMENTOS!$H$4:$H$803,G952,MOVIMIENTOS_COMPLEMENTOS!$B$4:$B$803,"SALIDA"),0)</f>
        <v>0</v>
      </c>
      <c r="I952" s="102">
        <f t="array" ref="I952">IFERROR(INDEX(PRECIOS_COMPLEMENTOS!$C$4:$F$17,MATCH(B952&amp;"_"&amp;C952,PRECIOS_COMPLEMENTOS!$H$4:$H$17,0),IF(OR(G952="S",G952="20cm"),1,IF(OR(G952="M",G952="25cm"),2,IF(OR(G952="L",G952="30cm"),3,IF(OR(G952="XL",G952="35cm"),4,0))))),0)</f>
        <v>0.4</v>
      </c>
      <c r="J952" s="103">
        <f t="shared" si="1"/>
        <v>0</v>
      </c>
      <c r="K952" s="104" t="str">
        <f>IF(H952&lt;0,"ERROR",IF(H952=0,"",IF(H952&lt;CONFIG!$B$4,"CRÍTICO",IF(H952&lt;CONFIG!$B$5,"BAJO","OK"))))</f>
        <v/>
      </c>
    </row>
    <row r="953" ht="15.75" hidden="1" customHeight="1">
      <c r="A953" s="90" t="str">
        <f>IF(CLIENTES!A6="","",CLIENTES!A6)</f>
        <v/>
      </c>
      <c r="B953" s="90" t="s">
        <v>321</v>
      </c>
      <c r="C953" s="91" t="s">
        <v>328</v>
      </c>
      <c r="D953" s="109" t="s">
        <v>353</v>
      </c>
      <c r="E953" s="67" t="str">
        <f>COLORES!A21</f>
        <v/>
      </c>
      <c r="F953" s="67" t="str">
        <f>COLORES!B21</f>
        <v/>
      </c>
      <c r="G953" s="90" t="s">
        <v>376</v>
      </c>
      <c r="H953" s="100">
        <f>IFERROR(SUMIFS(MOVIMIENTOS_COMPLEMENTOS!$I$4:$I$803,MOVIMIENTOS_COMPLEMENTOS!$C$4:$C$803,A953,MOVIMIENTOS_COMPLEMENTOS!$D$4:$D$803,B953,MOVIMIENTOS_COMPLEMENTOS!$E$4:$E$803,C953,MOVIMIENTOS_COMPLEMENTOS!$G$4:$G$803,E953,MOVIMIENTOS_COMPLEMENTOS!$H$4:$H$803,G953,MOVIMIENTOS_COMPLEMENTOS!$B$4:$B$803,"INGRESO")+SUMIFS(MOVIMIENTOS_COMPLEMENTOS!$I$4:$I$803,MOVIMIENTOS_COMPLEMENTOS!$C$4:$C$803,A953,MOVIMIENTOS_COMPLEMENTOS!$D$4:$D$803,B953,MOVIMIENTOS_COMPLEMENTOS!$E$4:$E$803,C953,MOVIMIENTOS_COMPLEMENTOS!$G$4:$G$803,E953,MOVIMIENTOS_COMPLEMENTOS!$H$4:$H$803,G953,MOVIMIENTOS_COMPLEMENTOS!$B$4:$B$803,"DE CORTE")-SUMIFS(MOVIMIENTOS_COMPLEMENTOS!$I$4:$I$803,MOVIMIENTOS_COMPLEMENTOS!$C$4:$C$803,A953,MOVIMIENTOS_COMPLEMENTOS!$D$4:$D$803,B953,MOVIMIENTOS_COMPLEMENTOS!$E$4:$E$803,C953,MOVIMIENTOS_COMPLEMENTOS!$G$4:$G$803,E953,MOVIMIENTOS_COMPLEMENTOS!$H$4:$H$803,G953,MOVIMIENTOS_COMPLEMENTOS!$B$4:$B$803,"SALIDA"),0)</f>
        <v>0</v>
      </c>
      <c r="I953" s="102">
        <f t="array" ref="I953">IFERROR(INDEX(PRECIOS_COMPLEMENTOS!$C$4:$F$17,MATCH(B953&amp;"_"&amp;C953,PRECIOS_COMPLEMENTOS!$H$4:$H$17,0),IF(OR(G953="S",G953="20cm"),1,IF(OR(G953="M",G953="25cm"),2,IF(OR(G953="L",G953="30cm"),3,IF(OR(G953="XL",G953="35cm"),4,0))))),0)</f>
        <v>0.4</v>
      </c>
      <c r="J953" s="103">
        <f t="shared" si="1"/>
        <v>0</v>
      </c>
      <c r="K953" s="104" t="str">
        <f>IF(H953&lt;0,"ERROR",IF(H953=0,"",IF(H953&lt;CONFIG!$B$4,"CRÍTICO",IF(H953&lt;CONFIG!$B$5,"BAJO","OK"))))</f>
        <v/>
      </c>
    </row>
    <row r="954" ht="15.75" hidden="1" customHeight="1">
      <c r="A954" s="90" t="str">
        <f>IF(CLIENTES!A6="","",CLIENTES!A6)</f>
        <v/>
      </c>
      <c r="B954" s="90" t="s">
        <v>321</v>
      </c>
      <c r="C954" s="91" t="s">
        <v>328</v>
      </c>
      <c r="D954" s="109" t="s">
        <v>353</v>
      </c>
      <c r="E954" s="67" t="str">
        <f>COLORES!A21</f>
        <v/>
      </c>
      <c r="F954" s="67" t="str">
        <f>COLORES!B21</f>
        <v/>
      </c>
      <c r="G954" s="90" t="s">
        <v>377</v>
      </c>
      <c r="H954" s="100">
        <f>IFERROR(SUMIFS(MOVIMIENTOS_COMPLEMENTOS!$I$4:$I$803,MOVIMIENTOS_COMPLEMENTOS!$C$4:$C$803,A954,MOVIMIENTOS_COMPLEMENTOS!$D$4:$D$803,B954,MOVIMIENTOS_COMPLEMENTOS!$E$4:$E$803,C954,MOVIMIENTOS_COMPLEMENTOS!$G$4:$G$803,E954,MOVIMIENTOS_COMPLEMENTOS!$H$4:$H$803,G954,MOVIMIENTOS_COMPLEMENTOS!$B$4:$B$803,"INGRESO")+SUMIFS(MOVIMIENTOS_COMPLEMENTOS!$I$4:$I$803,MOVIMIENTOS_COMPLEMENTOS!$C$4:$C$803,A954,MOVIMIENTOS_COMPLEMENTOS!$D$4:$D$803,B954,MOVIMIENTOS_COMPLEMENTOS!$E$4:$E$803,C954,MOVIMIENTOS_COMPLEMENTOS!$G$4:$G$803,E954,MOVIMIENTOS_COMPLEMENTOS!$H$4:$H$803,G954,MOVIMIENTOS_COMPLEMENTOS!$B$4:$B$803,"DE CORTE")-SUMIFS(MOVIMIENTOS_COMPLEMENTOS!$I$4:$I$803,MOVIMIENTOS_COMPLEMENTOS!$C$4:$C$803,A954,MOVIMIENTOS_COMPLEMENTOS!$D$4:$D$803,B954,MOVIMIENTOS_COMPLEMENTOS!$E$4:$E$803,C954,MOVIMIENTOS_COMPLEMENTOS!$G$4:$G$803,E954,MOVIMIENTOS_COMPLEMENTOS!$H$4:$H$803,G954,MOVIMIENTOS_COMPLEMENTOS!$B$4:$B$803,"SALIDA"),0)</f>
        <v>0</v>
      </c>
      <c r="I954" s="102">
        <f t="array" ref="I954">IFERROR(INDEX(PRECIOS_COMPLEMENTOS!$C$4:$F$17,MATCH(B954&amp;"_"&amp;C954,PRECIOS_COMPLEMENTOS!$H$4:$H$17,0),IF(OR(G954="S",G954="20cm"),1,IF(OR(G954="M",G954="25cm"),2,IF(OR(G954="L",G954="30cm"),3,IF(OR(G954="XL",G954="35cm"),4,0))))),0)</f>
        <v>0.4</v>
      </c>
      <c r="J954" s="103">
        <f t="shared" si="1"/>
        <v>0</v>
      </c>
      <c r="K954" s="104" t="str">
        <f>IF(H954&lt;0,"ERROR",IF(H954=0,"",IF(H954&lt;CONFIG!$B$4,"CRÍTICO",IF(H954&lt;CONFIG!$B$5,"BAJO","OK"))))</f>
        <v/>
      </c>
    </row>
    <row r="955" ht="15.75" hidden="1" customHeight="1">
      <c r="A955" s="90" t="str">
        <f>IF(CLIENTES!A6="","",CLIENTES!A6)</f>
        <v/>
      </c>
      <c r="B955" s="90" t="s">
        <v>321</v>
      </c>
      <c r="C955" s="91" t="s">
        <v>328</v>
      </c>
      <c r="D955" s="109" t="s">
        <v>353</v>
      </c>
      <c r="E955" s="67" t="str">
        <f>COLORES!A21</f>
        <v/>
      </c>
      <c r="F955" s="67" t="str">
        <f>COLORES!B21</f>
        <v/>
      </c>
      <c r="G955" s="90" t="s">
        <v>379</v>
      </c>
      <c r="H955" s="100">
        <f>IFERROR(SUMIFS(MOVIMIENTOS_COMPLEMENTOS!$I$4:$I$803,MOVIMIENTOS_COMPLEMENTOS!$C$4:$C$803,A955,MOVIMIENTOS_COMPLEMENTOS!$D$4:$D$803,B955,MOVIMIENTOS_COMPLEMENTOS!$E$4:$E$803,C955,MOVIMIENTOS_COMPLEMENTOS!$G$4:$G$803,E955,MOVIMIENTOS_COMPLEMENTOS!$H$4:$H$803,G955,MOVIMIENTOS_COMPLEMENTOS!$B$4:$B$803,"INGRESO")+SUMIFS(MOVIMIENTOS_COMPLEMENTOS!$I$4:$I$803,MOVIMIENTOS_COMPLEMENTOS!$C$4:$C$803,A955,MOVIMIENTOS_COMPLEMENTOS!$D$4:$D$803,B955,MOVIMIENTOS_COMPLEMENTOS!$E$4:$E$803,C955,MOVIMIENTOS_COMPLEMENTOS!$G$4:$G$803,E955,MOVIMIENTOS_COMPLEMENTOS!$H$4:$H$803,G955,MOVIMIENTOS_COMPLEMENTOS!$B$4:$B$803,"DE CORTE")-SUMIFS(MOVIMIENTOS_COMPLEMENTOS!$I$4:$I$803,MOVIMIENTOS_COMPLEMENTOS!$C$4:$C$803,A955,MOVIMIENTOS_COMPLEMENTOS!$D$4:$D$803,B955,MOVIMIENTOS_COMPLEMENTOS!$E$4:$E$803,C955,MOVIMIENTOS_COMPLEMENTOS!$G$4:$G$803,E955,MOVIMIENTOS_COMPLEMENTOS!$H$4:$H$803,G955,MOVIMIENTOS_COMPLEMENTOS!$B$4:$B$803,"SALIDA"),0)</f>
        <v>0</v>
      </c>
      <c r="I955" s="102">
        <f t="array" ref="I955">IFERROR(INDEX(PRECIOS_COMPLEMENTOS!$C$4:$F$17,MATCH(B955&amp;"_"&amp;C955,PRECIOS_COMPLEMENTOS!$H$4:$H$17,0),IF(OR(G955="S",G955="20cm"),1,IF(OR(G955="M",G955="25cm"),2,IF(OR(G955="L",G955="30cm"),3,IF(OR(G955="XL",G955="35cm"),4,0))))),0)</f>
        <v>0.4</v>
      </c>
      <c r="J955" s="103">
        <f t="shared" si="1"/>
        <v>0</v>
      </c>
      <c r="K955" s="104" t="str">
        <f>IF(H955&lt;0,"ERROR",IF(H955=0,"",IF(H955&lt;CONFIG!$B$4,"CRÍTICO",IF(H955&lt;CONFIG!$B$5,"BAJO","OK"))))</f>
        <v/>
      </c>
    </row>
    <row r="956" ht="15.75" hidden="1" customHeight="1">
      <c r="A956" s="90" t="str">
        <f>IF(CLIENTES!A6="","",CLIENTES!A6)</f>
        <v/>
      </c>
      <c r="B956" s="90" t="s">
        <v>321</v>
      </c>
      <c r="C956" s="91" t="s">
        <v>328</v>
      </c>
      <c r="D956" s="109" t="s">
        <v>353</v>
      </c>
      <c r="E956" s="67" t="str">
        <f>COLORES!A22</f>
        <v/>
      </c>
      <c r="F956" s="67" t="str">
        <f>COLORES!B22</f>
        <v/>
      </c>
      <c r="G956" s="90" t="s">
        <v>378</v>
      </c>
      <c r="H956" s="100">
        <f>IFERROR(SUMIFS(MOVIMIENTOS_COMPLEMENTOS!$I$4:$I$803,MOVIMIENTOS_COMPLEMENTOS!$C$4:$C$803,A956,MOVIMIENTOS_COMPLEMENTOS!$D$4:$D$803,B956,MOVIMIENTOS_COMPLEMENTOS!$E$4:$E$803,C956,MOVIMIENTOS_COMPLEMENTOS!$G$4:$G$803,E956,MOVIMIENTOS_COMPLEMENTOS!$H$4:$H$803,G956,MOVIMIENTOS_COMPLEMENTOS!$B$4:$B$803,"INGRESO")+SUMIFS(MOVIMIENTOS_COMPLEMENTOS!$I$4:$I$803,MOVIMIENTOS_COMPLEMENTOS!$C$4:$C$803,A956,MOVIMIENTOS_COMPLEMENTOS!$D$4:$D$803,B956,MOVIMIENTOS_COMPLEMENTOS!$E$4:$E$803,C956,MOVIMIENTOS_COMPLEMENTOS!$G$4:$G$803,E956,MOVIMIENTOS_COMPLEMENTOS!$H$4:$H$803,G956,MOVIMIENTOS_COMPLEMENTOS!$B$4:$B$803,"DE CORTE")-SUMIFS(MOVIMIENTOS_COMPLEMENTOS!$I$4:$I$803,MOVIMIENTOS_COMPLEMENTOS!$C$4:$C$803,A956,MOVIMIENTOS_COMPLEMENTOS!$D$4:$D$803,B956,MOVIMIENTOS_COMPLEMENTOS!$E$4:$E$803,C956,MOVIMIENTOS_COMPLEMENTOS!$G$4:$G$803,E956,MOVIMIENTOS_COMPLEMENTOS!$H$4:$H$803,G956,MOVIMIENTOS_COMPLEMENTOS!$B$4:$B$803,"SALIDA"),0)</f>
        <v>0</v>
      </c>
      <c r="I956" s="102">
        <f t="array" ref="I956">IFERROR(INDEX(PRECIOS_COMPLEMENTOS!$C$4:$F$17,MATCH(B956&amp;"_"&amp;C956,PRECIOS_COMPLEMENTOS!$H$4:$H$17,0),IF(OR(G956="S",G956="20cm"),1,IF(OR(G956="M",G956="25cm"),2,IF(OR(G956="L",G956="30cm"),3,IF(OR(G956="XL",G956="35cm"),4,0))))),0)</f>
        <v>0.4</v>
      </c>
      <c r="J956" s="103">
        <f t="shared" si="1"/>
        <v>0</v>
      </c>
      <c r="K956" s="104" t="str">
        <f>IF(H956&lt;0,"ERROR",IF(H956=0,"",IF(H956&lt;CONFIG!$B$4,"CRÍTICO",IF(H956&lt;CONFIG!$B$5,"BAJO","OK"))))</f>
        <v/>
      </c>
    </row>
    <row r="957" ht="15.75" hidden="1" customHeight="1">
      <c r="A957" s="90" t="str">
        <f>IF(CLIENTES!A6="","",CLIENTES!A6)</f>
        <v/>
      </c>
      <c r="B957" s="90" t="s">
        <v>321</v>
      </c>
      <c r="C957" s="91" t="s">
        <v>328</v>
      </c>
      <c r="D957" s="109" t="s">
        <v>353</v>
      </c>
      <c r="E957" s="67" t="str">
        <f>COLORES!A22</f>
        <v/>
      </c>
      <c r="F957" s="67" t="str">
        <f>COLORES!B22</f>
        <v/>
      </c>
      <c r="G957" s="90" t="s">
        <v>376</v>
      </c>
      <c r="H957" s="100">
        <f>IFERROR(SUMIFS(MOVIMIENTOS_COMPLEMENTOS!$I$4:$I$803,MOVIMIENTOS_COMPLEMENTOS!$C$4:$C$803,A957,MOVIMIENTOS_COMPLEMENTOS!$D$4:$D$803,B957,MOVIMIENTOS_COMPLEMENTOS!$E$4:$E$803,C957,MOVIMIENTOS_COMPLEMENTOS!$G$4:$G$803,E957,MOVIMIENTOS_COMPLEMENTOS!$H$4:$H$803,G957,MOVIMIENTOS_COMPLEMENTOS!$B$4:$B$803,"INGRESO")+SUMIFS(MOVIMIENTOS_COMPLEMENTOS!$I$4:$I$803,MOVIMIENTOS_COMPLEMENTOS!$C$4:$C$803,A957,MOVIMIENTOS_COMPLEMENTOS!$D$4:$D$803,B957,MOVIMIENTOS_COMPLEMENTOS!$E$4:$E$803,C957,MOVIMIENTOS_COMPLEMENTOS!$G$4:$G$803,E957,MOVIMIENTOS_COMPLEMENTOS!$H$4:$H$803,G957,MOVIMIENTOS_COMPLEMENTOS!$B$4:$B$803,"DE CORTE")-SUMIFS(MOVIMIENTOS_COMPLEMENTOS!$I$4:$I$803,MOVIMIENTOS_COMPLEMENTOS!$C$4:$C$803,A957,MOVIMIENTOS_COMPLEMENTOS!$D$4:$D$803,B957,MOVIMIENTOS_COMPLEMENTOS!$E$4:$E$803,C957,MOVIMIENTOS_COMPLEMENTOS!$G$4:$G$803,E957,MOVIMIENTOS_COMPLEMENTOS!$H$4:$H$803,G957,MOVIMIENTOS_COMPLEMENTOS!$B$4:$B$803,"SALIDA"),0)</f>
        <v>0</v>
      </c>
      <c r="I957" s="102">
        <f t="array" ref="I957">IFERROR(INDEX(PRECIOS_COMPLEMENTOS!$C$4:$F$17,MATCH(B957&amp;"_"&amp;C957,PRECIOS_COMPLEMENTOS!$H$4:$H$17,0),IF(OR(G957="S",G957="20cm"),1,IF(OR(G957="M",G957="25cm"),2,IF(OR(G957="L",G957="30cm"),3,IF(OR(G957="XL",G957="35cm"),4,0))))),0)</f>
        <v>0.4</v>
      </c>
      <c r="J957" s="103">
        <f t="shared" si="1"/>
        <v>0</v>
      </c>
      <c r="K957" s="104" t="str">
        <f>IF(H957&lt;0,"ERROR",IF(H957=0,"",IF(H957&lt;CONFIG!$B$4,"CRÍTICO",IF(H957&lt;CONFIG!$B$5,"BAJO","OK"))))</f>
        <v/>
      </c>
    </row>
    <row r="958" ht="15.75" hidden="1" customHeight="1">
      <c r="A958" s="90" t="str">
        <f>IF(CLIENTES!A6="","",CLIENTES!A6)</f>
        <v/>
      </c>
      <c r="B958" s="90" t="s">
        <v>321</v>
      </c>
      <c r="C958" s="91" t="s">
        <v>328</v>
      </c>
      <c r="D958" s="109" t="s">
        <v>353</v>
      </c>
      <c r="E958" s="67" t="str">
        <f>COLORES!A22</f>
        <v/>
      </c>
      <c r="F958" s="67" t="str">
        <f>COLORES!B22</f>
        <v/>
      </c>
      <c r="G958" s="90" t="s">
        <v>377</v>
      </c>
      <c r="H958" s="100">
        <f>IFERROR(SUMIFS(MOVIMIENTOS_COMPLEMENTOS!$I$4:$I$803,MOVIMIENTOS_COMPLEMENTOS!$C$4:$C$803,A958,MOVIMIENTOS_COMPLEMENTOS!$D$4:$D$803,B958,MOVIMIENTOS_COMPLEMENTOS!$E$4:$E$803,C958,MOVIMIENTOS_COMPLEMENTOS!$G$4:$G$803,E958,MOVIMIENTOS_COMPLEMENTOS!$H$4:$H$803,G958,MOVIMIENTOS_COMPLEMENTOS!$B$4:$B$803,"INGRESO")+SUMIFS(MOVIMIENTOS_COMPLEMENTOS!$I$4:$I$803,MOVIMIENTOS_COMPLEMENTOS!$C$4:$C$803,A958,MOVIMIENTOS_COMPLEMENTOS!$D$4:$D$803,B958,MOVIMIENTOS_COMPLEMENTOS!$E$4:$E$803,C958,MOVIMIENTOS_COMPLEMENTOS!$G$4:$G$803,E958,MOVIMIENTOS_COMPLEMENTOS!$H$4:$H$803,G958,MOVIMIENTOS_COMPLEMENTOS!$B$4:$B$803,"DE CORTE")-SUMIFS(MOVIMIENTOS_COMPLEMENTOS!$I$4:$I$803,MOVIMIENTOS_COMPLEMENTOS!$C$4:$C$803,A958,MOVIMIENTOS_COMPLEMENTOS!$D$4:$D$803,B958,MOVIMIENTOS_COMPLEMENTOS!$E$4:$E$803,C958,MOVIMIENTOS_COMPLEMENTOS!$G$4:$G$803,E958,MOVIMIENTOS_COMPLEMENTOS!$H$4:$H$803,G958,MOVIMIENTOS_COMPLEMENTOS!$B$4:$B$803,"SALIDA"),0)</f>
        <v>0</v>
      </c>
      <c r="I958" s="102">
        <f t="array" ref="I958">IFERROR(INDEX(PRECIOS_COMPLEMENTOS!$C$4:$F$17,MATCH(B958&amp;"_"&amp;C958,PRECIOS_COMPLEMENTOS!$H$4:$H$17,0),IF(OR(G958="S",G958="20cm"),1,IF(OR(G958="M",G958="25cm"),2,IF(OR(G958="L",G958="30cm"),3,IF(OR(G958="XL",G958="35cm"),4,0))))),0)</f>
        <v>0.4</v>
      </c>
      <c r="J958" s="103">
        <f t="shared" si="1"/>
        <v>0</v>
      </c>
      <c r="K958" s="104" t="str">
        <f>IF(H958&lt;0,"ERROR",IF(H958=0,"",IF(H958&lt;CONFIG!$B$4,"CRÍTICO",IF(H958&lt;CONFIG!$B$5,"BAJO","OK"))))</f>
        <v/>
      </c>
    </row>
    <row r="959" ht="15.75" hidden="1" customHeight="1">
      <c r="A959" s="90" t="str">
        <f>IF(CLIENTES!A6="","",CLIENTES!A6)</f>
        <v/>
      </c>
      <c r="B959" s="90" t="s">
        <v>321</v>
      </c>
      <c r="C959" s="91" t="s">
        <v>328</v>
      </c>
      <c r="D959" s="109" t="s">
        <v>353</v>
      </c>
      <c r="E959" s="67" t="str">
        <f>COLORES!A22</f>
        <v/>
      </c>
      <c r="F959" s="67" t="str">
        <f>COLORES!B22</f>
        <v/>
      </c>
      <c r="G959" s="90" t="s">
        <v>379</v>
      </c>
      <c r="H959" s="100">
        <f>IFERROR(SUMIFS(MOVIMIENTOS_COMPLEMENTOS!$I$4:$I$803,MOVIMIENTOS_COMPLEMENTOS!$C$4:$C$803,A959,MOVIMIENTOS_COMPLEMENTOS!$D$4:$D$803,B959,MOVIMIENTOS_COMPLEMENTOS!$E$4:$E$803,C959,MOVIMIENTOS_COMPLEMENTOS!$G$4:$G$803,E959,MOVIMIENTOS_COMPLEMENTOS!$H$4:$H$803,G959,MOVIMIENTOS_COMPLEMENTOS!$B$4:$B$803,"INGRESO")+SUMIFS(MOVIMIENTOS_COMPLEMENTOS!$I$4:$I$803,MOVIMIENTOS_COMPLEMENTOS!$C$4:$C$803,A959,MOVIMIENTOS_COMPLEMENTOS!$D$4:$D$803,B959,MOVIMIENTOS_COMPLEMENTOS!$E$4:$E$803,C959,MOVIMIENTOS_COMPLEMENTOS!$G$4:$G$803,E959,MOVIMIENTOS_COMPLEMENTOS!$H$4:$H$803,G959,MOVIMIENTOS_COMPLEMENTOS!$B$4:$B$803,"DE CORTE")-SUMIFS(MOVIMIENTOS_COMPLEMENTOS!$I$4:$I$803,MOVIMIENTOS_COMPLEMENTOS!$C$4:$C$803,A959,MOVIMIENTOS_COMPLEMENTOS!$D$4:$D$803,B959,MOVIMIENTOS_COMPLEMENTOS!$E$4:$E$803,C959,MOVIMIENTOS_COMPLEMENTOS!$G$4:$G$803,E959,MOVIMIENTOS_COMPLEMENTOS!$H$4:$H$803,G959,MOVIMIENTOS_COMPLEMENTOS!$B$4:$B$803,"SALIDA"),0)</f>
        <v>0</v>
      </c>
      <c r="I959" s="102">
        <f t="array" ref="I959">IFERROR(INDEX(PRECIOS_COMPLEMENTOS!$C$4:$F$17,MATCH(B959&amp;"_"&amp;C959,PRECIOS_COMPLEMENTOS!$H$4:$H$17,0),IF(OR(G959="S",G959="20cm"),1,IF(OR(G959="M",G959="25cm"),2,IF(OR(G959="L",G959="30cm"),3,IF(OR(G959="XL",G959="35cm"),4,0))))),0)</f>
        <v>0.4</v>
      </c>
      <c r="J959" s="103">
        <f t="shared" si="1"/>
        <v>0</v>
      </c>
      <c r="K959" s="104" t="str">
        <f>IF(H959&lt;0,"ERROR",IF(H959=0,"",IF(H959&lt;CONFIG!$B$4,"CRÍTICO",IF(H959&lt;CONFIG!$B$5,"BAJO","OK"))))</f>
        <v/>
      </c>
    </row>
    <row r="960" ht="15.75" hidden="1" customHeight="1">
      <c r="A960" s="90" t="str">
        <f>IF(CLIENTES!A6="","",CLIENTES!A6)</f>
        <v/>
      </c>
      <c r="B960" s="90" t="s">
        <v>321</v>
      </c>
      <c r="C960" s="91" t="s">
        <v>328</v>
      </c>
      <c r="D960" s="109" t="s">
        <v>353</v>
      </c>
      <c r="E960" s="67" t="str">
        <f>COLORES!A23</f>
        <v/>
      </c>
      <c r="F960" s="67" t="str">
        <f>COLORES!B23</f>
        <v/>
      </c>
      <c r="G960" s="90" t="s">
        <v>378</v>
      </c>
      <c r="H960" s="100">
        <f>IFERROR(SUMIFS(MOVIMIENTOS_COMPLEMENTOS!$I$4:$I$803,MOVIMIENTOS_COMPLEMENTOS!$C$4:$C$803,A960,MOVIMIENTOS_COMPLEMENTOS!$D$4:$D$803,B960,MOVIMIENTOS_COMPLEMENTOS!$E$4:$E$803,C960,MOVIMIENTOS_COMPLEMENTOS!$G$4:$G$803,E960,MOVIMIENTOS_COMPLEMENTOS!$H$4:$H$803,G960,MOVIMIENTOS_COMPLEMENTOS!$B$4:$B$803,"INGRESO")+SUMIFS(MOVIMIENTOS_COMPLEMENTOS!$I$4:$I$803,MOVIMIENTOS_COMPLEMENTOS!$C$4:$C$803,A960,MOVIMIENTOS_COMPLEMENTOS!$D$4:$D$803,B960,MOVIMIENTOS_COMPLEMENTOS!$E$4:$E$803,C960,MOVIMIENTOS_COMPLEMENTOS!$G$4:$G$803,E960,MOVIMIENTOS_COMPLEMENTOS!$H$4:$H$803,G960,MOVIMIENTOS_COMPLEMENTOS!$B$4:$B$803,"DE CORTE")-SUMIFS(MOVIMIENTOS_COMPLEMENTOS!$I$4:$I$803,MOVIMIENTOS_COMPLEMENTOS!$C$4:$C$803,A960,MOVIMIENTOS_COMPLEMENTOS!$D$4:$D$803,B960,MOVIMIENTOS_COMPLEMENTOS!$E$4:$E$803,C960,MOVIMIENTOS_COMPLEMENTOS!$G$4:$G$803,E960,MOVIMIENTOS_COMPLEMENTOS!$H$4:$H$803,G960,MOVIMIENTOS_COMPLEMENTOS!$B$4:$B$803,"SALIDA"),0)</f>
        <v>0</v>
      </c>
      <c r="I960" s="102">
        <f t="array" ref="I960">IFERROR(INDEX(PRECIOS_COMPLEMENTOS!$C$4:$F$17,MATCH(B960&amp;"_"&amp;C960,PRECIOS_COMPLEMENTOS!$H$4:$H$17,0),IF(OR(G960="S",G960="20cm"),1,IF(OR(G960="M",G960="25cm"),2,IF(OR(G960="L",G960="30cm"),3,IF(OR(G960="XL",G960="35cm"),4,0))))),0)</f>
        <v>0.4</v>
      </c>
      <c r="J960" s="103">
        <f t="shared" si="1"/>
        <v>0</v>
      </c>
      <c r="K960" s="104" t="str">
        <f>IF(H960&lt;0,"ERROR",IF(H960=0,"",IF(H960&lt;CONFIG!$B$4,"CRÍTICO",IF(H960&lt;CONFIG!$B$5,"BAJO","OK"))))</f>
        <v/>
      </c>
    </row>
    <row r="961" ht="15.75" hidden="1" customHeight="1">
      <c r="A961" s="90" t="str">
        <f>IF(CLIENTES!A6="","",CLIENTES!A6)</f>
        <v/>
      </c>
      <c r="B961" s="90" t="s">
        <v>321</v>
      </c>
      <c r="C961" s="91" t="s">
        <v>328</v>
      </c>
      <c r="D961" s="109" t="s">
        <v>353</v>
      </c>
      <c r="E961" s="67" t="str">
        <f>COLORES!A23</f>
        <v/>
      </c>
      <c r="F961" s="67" t="str">
        <f>COLORES!B23</f>
        <v/>
      </c>
      <c r="G961" s="90" t="s">
        <v>376</v>
      </c>
      <c r="H961" s="100">
        <f>IFERROR(SUMIFS(MOVIMIENTOS_COMPLEMENTOS!$I$4:$I$803,MOVIMIENTOS_COMPLEMENTOS!$C$4:$C$803,A961,MOVIMIENTOS_COMPLEMENTOS!$D$4:$D$803,B961,MOVIMIENTOS_COMPLEMENTOS!$E$4:$E$803,C961,MOVIMIENTOS_COMPLEMENTOS!$G$4:$G$803,E961,MOVIMIENTOS_COMPLEMENTOS!$H$4:$H$803,G961,MOVIMIENTOS_COMPLEMENTOS!$B$4:$B$803,"INGRESO")+SUMIFS(MOVIMIENTOS_COMPLEMENTOS!$I$4:$I$803,MOVIMIENTOS_COMPLEMENTOS!$C$4:$C$803,A961,MOVIMIENTOS_COMPLEMENTOS!$D$4:$D$803,B961,MOVIMIENTOS_COMPLEMENTOS!$E$4:$E$803,C961,MOVIMIENTOS_COMPLEMENTOS!$G$4:$G$803,E961,MOVIMIENTOS_COMPLEMENTOS!$H$4:$H$803,G961,MOVIMIENTOS_COMPLEMENTOS!$B$4:$B$803,"DE CORTE")-SUMIFS(MOVIMIENTOS_COMPLEMENTOS!$I$4:$I$803,MOVIMIENTOS_COMPLEMENTOS!$C$4:$C$803,A961,MOVIMIENTOS_COMPLEMENTOS!$D$4:$D$803,B961,MOVIMIENTOS_COMPLEMENTOS!$E$4:$E$803,C961,MOVIMIENTOS_COMPLEMENTOS!$G$4:$G$803,E961,MOVIMIENTOS_COMPLEMENTOS!$H$4:$H$803,G961,MOVIMIENTOS_COMPLEMENTOS!$B$4:$B$803,"SALIDA"),0)</f>
        <v>0</v>
      </c>
      <c r="I961" s="102">
        <f t="array" ref="I961">IFERROR(INDEX(PRECIOS_COMPLEMENTOS!$C$4:$F$17,MATCH(B961&amp;"_"&amp;C961,PRECIOS_COMPLEMENTOS!$H$4:$H$17,0),IF(OR(G961="S",G961="20cm"),1,IF(OR(G961="M",G961="25cm"),2,IF(OR(G961="L",G961="30cm"),3,IF(OR(G961="XL",G961="35cm"),4,0))))),0)</f>
        <v>0.4</v>
      </c>
      <c r="J961" s="103">
        <f t="shared" si="1"/>
        <v>0</v>
      </c>
      <c r="K961" s="104" t="str">
        <f>IF(H961&lt;0,"ERROR",IF(H961=0,"",IF(H961&lt;CONFIG!$B$4,"CRÍTICO",IF(H961&lt;CONFIG!$B$5,"BAJO","OK"))))</f>
        <v/>
      </c>
    </row>
    <row r="962" ht="15.75" hidden="1" customHeight="1">
      <c r="A962" s="90" t="str">
        <f>IF(CLIENTES!A6="","",CLIENTES!A6)</f>
        <v/>
      </c>
      <c r="B962" s="90" t="s">
        <v>321</v>
      </c>
      <c r="C962" s="91" t="s">
        <v>328</v>
      </c>
      <c r="D962" s="109" t="s">
        <v>353</v>
      </c>
      <c r="E962" s="67" t="str">
        <f>COLORES!A23</f>
        <v/>
      </c>
      <c r="F962" s="67" t="str">
        <f>COLORES!B23</f>
        <v/>
      </c>
      <c r="G962" s="90" t="s">
        <v>377</v>
      </c>
      <c r="H962" s="100">
        <f>IFERROR(SUMIFS(MOVIMIENTOS_COMPLEMENTOS!$I$4:$I$803,MOVIMIENTOS_COMPLEMENTOS!$C$4:$C$803,A962,MOVIMIENTOS_COMPLEMENTOS!$D$4:$D$803,B962,MOVIMIENTOS_COMPLEMENTOS!$E$4:$E$803,C962,MOVIMIENTOS_COMPLEMENTOS!$G$4:$G$803,E962,MOVIMIENTOS_COMPLEMENTOS!$H$4:$H$803,G962,MOVIMIENTOS_COMPLEMENTOS!$B$4:$B$803,"INGRESO")+SUMIFS(MOVIMIENTOS_COMPLEMENTOS!$I$4:$I$803,MOVIMIENTOS_COMPLEMENTOS!$C$4:$C$803,A962,MOVIMIENTOS_COMPLEMENTOS!$D$4:$D$803,B962,MOVIMIENTOS_COMPLEMENTOS!$E$4:$E$803,C962,MOVIMIENTOS_COMPLEMENTOS!$G$4:$G$803,E962,MOVIMIENTOS_COMPLEMENTOS!$H$4:$H$803,G962,MOVIMIENTOS_COMPLEMENTOS!$B$4:$B$803,"DE CORTE")-SUMIFS(MOVIMIENTOS_COMPLEMENTOS!$I$4:$I$803,MOVIMIENTOS_COMPLEMENTOS!$C$4:$C$803,A962,MOVIMIENTOS_COMPLEMENTOS!$D$4:$D$803,B962,MOVIMIENTOS_COMPLEMENTOS!$E$4:$E$803,C962,MOVIMIENTOS_COMPLEMENTOS!$G$4:$G$803,E962,MOVIMIENTOS_COMPLEMENTOS!$H$4:$H$803,G962,MOVIMIENTOS_COMPLEMENTOS!$B$4:$B$803,"SALIDA"),0)</f>
        <v>0</v>
      </c>
      <c r="I962" s="102">
        <f t="array" ref="I962">IFERROR(INDEX(PRECIOS_COMPLEMENTOS!$C$4:$F$17,MATCH(B962&amp;"_"&amp;C962,PRECIOS_COMPLEMENTOS!$H$4:$H$17,0),IF(OR(G962="S",G962="20cm"),1,IF(OR(G962="M",G962="25cm"),2,IF(OR(G962="L",G962="30cm"),3,IF(OR(G962="XL",G962="35cm"),4,0))))),0)</f>
        <v>0.4</v>
      </c>
      <c r="J962" s="103">
        <f t="shared" si="1"/>
        <v>0</v>
      </c>
      <c r="K962" s="104" t="str">
        <f>IF(H962&lt;0,"ERROR",IF(H962=0,"",IF(H962&lt;CONFIG!$B$4,"CRÍTICO",IF(H962&lt;CONFIG!$B$5,"BAJO","OK"))))</f>
        <v/>
      </c>
    </row>
    <row r="963" ht="15.75" hidden="1" customHeight="1">
      <c r="A963" s="90" t="str">
        <f>IF(CLIENTES!A6="","",CLIENTES!A6)</f>
        <v/>
      </c>
      <c r="B963" s="90" t="s">
        <v>321</v>
      </c>
      <c r="C963" s="91" t="s">
        <v>328</v>
      </c>
      <c r="D963" s="109" t="s">
        <v>353</v>
      </c>
      <c r="E963" s="67" t="str">
        <f>COLORES!A23</f>
        <v/>
      </c>
      <c r="F963" s="67" t="str">
        <f>COLORES!B23</f>
        <v/>
      </c>
      <c r="G963" s="90" t="s">
        <v>379</v>
      </c>
      <c r="H963" s="100">
        <f>IFERROR(SUMIFS(MOVIMIENTOS_COMPLEMENTOS!$I$4:$I$803,MOVIMIENTOS_COMPLEMENTOS!$C$4:$C$803,A963,MOVIMIENTOS_COMPLEMENTOS!$D$4:$D$803,B963,MOVIMIENTOS_COMPLEMENTOS!$E$4:$E$803,C963,MOVIMIENTOS_COMPLEMENTOS!$G$4:$G$803,E963,MOVIMIENTOS_COMPLEMENTOS!$H$4:$H$803,G963,MOVIMIENTOS_COMPLEMENTOS!$B$4:$B$803,"INGRESO")+SUMIFS(MOVIMIENTOS_COMPLEMENTOS!$I$4:$I$803,MOVIMIENTOS_COMPLEMENTOS!$C$4:$C$803,A963,MOVIMIENTOS_COMPLEMENTOS!$D$4:$D$803,B963,MOVIMIENTOS_COMPLEMENTOS!$E$4:$E$803,C963,MOVIMIENTOS_COMPLEMENTOS!$G$4:$G$803,E963,MOVIMIENTOS_COMPLEMENTOS!$H$4:$H$803,G963,MOVIMIENTOS_COMPLEMENTOS!$B$4:$B$803,"DE CORTE")-SUMIFS(MOVIMIENTOS_COMPLEMENTOS!$I$4:$I$803,MOVIMIENTOS_COMPLEMENTOS!$C$4:$C$803,A963,MOVIMIENTOS_COMPLEMENTOS!$D$4:$D$803,B963,MOVIMIENTOS_COMPLEMENTOS!$E$4:$E$803,C963,MOVIMIENTOS_COMPLEMENTOS!$G$4:$G$803,E963,MOVIMIENTOS_COMPLEMENTOS!$H$4:$H$803,G963,MOVIMIENTOS_COMPLEMENTOS!$B$4:$B$803,"SALIDA"),0)</f>
        <v>0</v>
      </c>
      <c r="I963" s="102">
        <f t="array" ref="I963">IFERROR(INDEX(PRECIOS_COMPLEMENTOS!$C$4:$F$17,MATCH(B963&amp;"_"&amp;C963,PRECIOS_COMPLEMENTOS!$H$4:$H$17,0),IF(OR(G963="S",G963="20cm"),1,IF(OR(G963="M",G963="25cm"),2,IF(OR(G963="L",G963="30cm"),3,IF(OR(G963="XL",G963="35cm"),4,0))))),0)</f>
        <v>0.4</v>
      </c>
      <c r="J963" s="103">
        <f t="shared" si="1"/>
        <v>0</v>
      </c>
      <c r="K963" s="104" t="str">
        <f>IF(H963&lt;0,"ERROR",IF(H963=0,"",IF(H963&lt;CONFIG!$B$4,"CRÍTICO",IF(H963&lt;CONFIG!$B$5,"BAJO","OK"))))</f>
        <v/>
      </c>
    </row>
    <row r="964" ht="15.75" hidden="1" customHeight="1">
      <c r="A964" s="90" t="str">
        <f>IF(CLIENTES!A7="","",CLIENTES!A7)</f>
        <v/>
      </c>
      <c r="B964" s="90" t="s">
        <v>321</v>
      </c>
      <c r="C964" s="91" t="s">
        <v>328</v>
      </c>
      <c r="D964" s="109" t="s">
        <v>353</v>
      </c>
      <c r="E964" s="67" t="str">
        <f>COLORES!A4</f>
        <v>Negro</v>
      </c>
      <c r="F964" s="67" t="str">
        <f>COLORES!B4</f>
        <v>OSCURO</v>
      </c>
      <c r="G964" s="90" t="s">
        <v>378</v>
      </c>
      <c r="H964" s="100">
        <f>IFERROR(SUMIFS(MOVIMIENTOS_COMPLEMENTOS!$I$4:$I$803,MOVIMIENTOS_COMPLEMENTOS!$C$4:$C$803,A964,MOVIMIENTOS_COMPLEMENTOS!$D$4:$D$803,B964,MOVIMIENTOS_COMPLEMENTOS!$E$4:$E$803,C964,MOVIMIENTOS_COMPLEMENTOS!$G$4:$G$803,E964,MOVIMIENTOS_COMPLEMENTOS!$H$4:$H$803,G964,MOVIMIENTOS_COMPLEMENTOS!$B$4:$B$803,"INGRESO")+SUMIFS(MOVIMIENTOS_COMPLEMENTOS!$I$4:$I$803,MOVIMIENTOS_COMPLEMENTOS!$C$4:$C$803,A964,MOVIMIENTOS_COMPLEMENTOS!$D$4:$D$803,B964,MOVIMIENTOS_COMPLEMENTOS!$E$4:$E$803,C964,MOVIMIENTOS_COMPLEMENTOS!$G$4:$G$803,E964,MOVIMIENTOS_COMPLEMENTOS!$H$4:$H$803,G964,MOVIMIENTOS_COMPLEMENTOS!$B$4:$B$803,"DE CORTE")-SUMIFS(MOVIMIENTOS_COMPLEMENTOS!$I$4:$I$803,MOVIMIENTOS_COMPLEMENTOS!$C$4:$C$803,A964,MOVIMIENTOS_COMPLEMENTOS!$D$4:$D$803,B964,MOVIMIENTOS_COMPLEMENTOS!$E$4:$E$803,C964,MOVIMIENTOS_COMPLEMENTOS!$G$4:$G$803,E964,MOVIMIENTOS_COMPLEMENTOS!$H$4:$H$803,G964,MOVIMIENTOS_COMPLEMENTOS!$B$4:$B$803,"SALIDA"),0)</f>
        <v>0</v>
      </c>
      <c r="I964" s="102">
        <f t="array" ref="I964">IFERROR(INDEX(PRECIOS_COMPLEMENTOS!$C$4:$F$17,MATCH(B964&amp;"_"&amp;C964,PRECIOS_COMPLEMENTOS!$H$4:$H$17,0),IF(OR(G964="S",G964="20cm"),1,IF(OR(G964="M",G964="25cm"),2,IF(OR(G964="L",G964="30cm"),3,IF(OR(G964="XL",G964="35cm"),4,0))))),0)</f>
        <v>0.4</v>
      </c>
      <c r="J964" s="103">
        <f t="shared" si="1"/>
        <v>0</v>
      </c>
      <c r="K964" s="104" t="str">
        <f>IF(H964&lt;0,"ERROR",IF(H964=0,"",IF(H964&lt;CONFIG!$B$4,"CRÍTICO",IF(H964&lt;CONFIG!$B$5,"BAJO","OK"))))</f>
        <v/>
      </c>
    </row>
    <row r="965" ht="15.75" hidden="1" customHeight="1">
      <c r="A965" s="90" t="str">
        <f>IF(CLIENTES!A7="","",CLIENTES!A7)</f>
        <v/>
      </c>
      <c r="B965" s="90" t="s">
        <v>321</v>
      </c>
      <c r="C965" s="91" t="s">
        <v>328</v>
      </c>
      <c r="D965" s="109" t="s">
        <v>353</v>
      </c>
      <c r="E965" s="67" t="str">
        <f>COLORES!A4</f>
        <v>Negro</v>
      </c>
      <c r="F965" s="67" t="str">
        <f>COLORES!B4</f>
        <v>OSCURO</v>
      </c>
      <c r="G965" s="90" t="s">
        <v>376</v>
      </c>
      <c r="H965" s="100">
        <f>IFERROR(SUMIFS(MOVIMIENTOS_COMPLEMENTOS!$I$4:$I$803,MOVIMIENTOS_COMPLEMENTOS!$C$4:$C$803,A965,MOVIMIENTOS_COMPLEMENTOS!$D$4:$D$803,B965,MOVIMIENTOS_COMPLEMENTOS!$E$4:$E$803,C965,MOVIMIENTOS_COMPLEMENTOS!$G$4:$G$803,E965,MOVIMIENTOS_COMPLEMENTOS!$H$4:$H$803,G965,MOVIMIENTOS_COMPLEMENTOS!$B$4:$B$803,"INGRESO")+SUMIFS(MOVIMIENTOS_COMPLEMENTOS!$I$4:$I$803,MOVIMIENTOS_COMPLEMENTOS!$C$4:$C$803,A965,MOVIMIENTOS_COMPLEMENTOS!$D$4:$D$803,B965,MOVIMIENTOS_COMPLEMENTOS!$E$4:$E$803,C965,MOVIMIENTOS_COMPLEMENTOS!$G$4:$G$803,E965,MOVIMIENTOS_COMPLEMENTOS!$H$4:$H$803,G965,MOVIMIENTOS_COMPLEMENTOS!$B$4:$B$803,"DE CORTE")-SUMIFS(MOVIMIENTOS_COMPLEMENTOS!$I$4:$I$803,MOVIMIENTOS_COMPLEMENTOS!$C$4:$C$803,A965,MOVIMIENTOS_COMPLEMENTOS!$D$4:$D$803,B965,MOVIMIENTOS_COMPLEMENTOS!$E$4:$E$803,C965,MOVIMIENTOS_COMPLEMENTOS!$G$4:$G$803,E965,MOVIMIENTOS_COMPLEMENTOS!$H$4:$H$803,G965,MOVIMIENTOS_COMPLEMENTOS!$B$4:$B$803,"SALIDA"),0)</f>
        <v>0</v>
      </c>
      <c r="I965" s="102">
        <f t="array" ref="I965">IFERROR(INDEX(PRECIOS_COMPLEMENTOS!$C$4:$F$17,MATCH(B965&amp;"_"&amp;C965,PRECIOS_COMPLEMENTOS!$H$4:$H$17,0),IF(OR(G965="S",G965="20cm"),1,IF(OR(G965="M",G965="25cm"),2,IF(OR(G965="L",G965="30cm"),3,IF(OR(G965="XL",G965="35cm"),4,0))))),0)</f>
        <v>0.4</v>
      </c>
      <c r="J965" s="103">
        <f t="shared" si="1"/>
        <v>0</v>
      </c>
      <c r="K965" s="104" t="str">
        <f>IF(H965&lt;0,"ERROR",IF(H965=0,"",IF(H965&lt;CONFIG!$B$4,"CRÍTICO",IF(H965&lt;CONFIG!$B$5,"BAJO","OK"))))</f>
        <v/>
      </c>
    </row>
    <row r="966" ht="15.75" hidden="1" customHeight="1">
      <c r="A966" s="90" t="str">
        <f>IF(CLIENTES!A7="","",CLIENTES!A7)</f>
        <v/>
      </c>
      <c r="B966" s="90" t="s">
        <v>321</v>
      </c>
      <c r="C966" s="91" t="s">
        <v>328</v>
      </c>
      <c r="D966" s="109" t="s">
        <v>353</v>
      </c>
      <c r="E966" s="67" t="str">
        <f>COLORES!A4</f>
        <v>Negro</v>
      </c>
      <c r="F966" s="67" t="str">
        <f>COLORES!B4</f>
        <v>OSCURO</v>
      </c>
      <c r="G966" s="90" t="s">
        <v>377</v>
      </c>
      <c r="H966" s="100">
        <f>IFERROR(SUMIFS(MOVIMIENTOS_COMPLEMENTOS!$I$4:$I$803,MOVIMIENTOS_COMPLEMENTOS!$C$4:$C$803,A966,MOVIMIENTOS_COMPLEMENTOS!$D$4:$D$803,B966,MOVIMIENTOS_COMPLEMENTOS!$E$4:$E$803,C966,MOVIMIENTOS_COMPLEMENTOS!$G$4:$G$803,E966,MOVIMIENTOS_COMPLEMENTOS!$H$4:$H$803,G966,MOVIMIENTOS_COMPLEMENTOS!$B$4:$B$803,"INGRESO")+SUMIFS(MOVIMIENTOS_COMPLEMENTOS!$I$4:$I$803,MOVIMIENTOS_COMPLEMENTOS!$C$4:$C$803,A966,MOVIMIENTOS_COMPLEMENTOS!$D$4:$D$803,B966,MOVIMIENTOS_COMPLEMENTOS!$E$4:$E$803,C966,MOVIMIENTOS_COMPLEMENTOS!$G$4:$G$803,E966,MOVIMIENTOS_COMPLEMENTOS!$H$4:$H$803,G966,MOVIMIENTOS_COMPLEMENTOS!$B$4:$B$803,"DE CORTE")-SUMIFS(MOVIMIENTOS_COMPLEMENTOS!$I$4:$I$803,MOVIMIENTOS_COMPLEMENTOS!$C$4:$C$803,A966,MOVIMIENTOS_COMPLEMENTOS!$D$4:$D$803,B966,MOVIMIENTOS_COMPLEMENTOS!$E$4:$E$803,C966,MOVIMIENTOS_COMPLEMENTOS!$G$4:$G$803,E966,MOVIMIENTOS_COMPLEMENTOS!$H$4:$H$803,G966,MOVIMIENTOS_COMPLEMENTOS!$B$4:$B$803,"SALIDA"),0)</f>
        <v>0</v>
      </c>
      <c r="I966" s="102">
        <f t="array" ref="I966">IFERROR(INDEX(PRECIOS_COMPLEMENTOS!$C$4:$F$17,MATCH(B966&amp;"_"&amp;C966,PRECIOS_COMPLEMENTOS!$H$4:$H$17,0),IF(OR(G966="S",G966="20cm"),1,IF(OR(G966="M",G966="25cm"),2,IF(OR(G966="L",G966="30cm"),3,IF(OR(G966="XL",G966="35cm"),4,0))))),0)</f>
        <v>0.4</v>
      </c>
      <c r="J966" s="103">
        <f t="shared" si="1"/>
        <v>0</v>
      </c>
      <c r="K966" s="104" t="str">
        <f>IF(H966&lt;0,"ERROR",IF(H966=0,"",IF(H966&lt;CONFIG!$B$4,"CRÍTICO",IF(H966&lt;CONFIG!$B$5,"BAJO","OK"))))</f>
        <v/>
      </c>
    </row>
    <row r="967" ht="15.75" hidden="1" customHeight="1">
      <c r="A967" s="90" t="str">
        <f>IF(CLIENTES!A7="","",CLIENTES!A7)</f>
        <v/>
      </c>
      <c r="B967" s="90" t="s">
        <v>321</v>
      </c>
      <c r="C967" s="91" t="s">
        <v>328</v>
      </c>
      <c r="D967" s="109" t="s">
        <v>353</v>
      </c>
      <c r="E967" s="67" t="str">
        <f>COLORES!A4</f>
        <v>Negro</v>
      </c>
      <c r="F967" s="67" t="str">
        <f>COLORES!B4</f>
        <v>OSCURO</v>
      </c>
      <c r="G967" s="90" t="s">
        <v>379</v>
      </c>
      <c r="H967" s="100">
        <f>IFERROR(SUMIFS(MOVIMIENTOS_COMPLEMENTOS!$I$4:$I$803,MOVIMIENTOS_COMPLEMENTOS!$C$4:$C$803,A967,MOVIMIENTOS_COMPLEMENTOS!$D$4:$D$803,B967,MOVIMIENTOS_COMPLEMENTOS!$E$4:$E$803,C967,MOVIMIENTOS_COMPLEMENTOS!$G$4:$G$803,E967,MOVIMIENTOS_COMPLEMENTOS!$H$4:$H$803,G967,MOVIMIENTOS_COMPLEMENTOS!$B$4:$B$803,"INGRESO")+SUMIFS(MOVIMIENTOS_COMPLEMENTOS!$I$4:$I$803,MOVIMIENTOS_COMPLEMENTOS!$C$4:$C$803,A967,MOVIMIENTOS_COMPLEMENTOS!$D$4:$D$803,B967,MOVIMIENTOS_COMPLEMENTOS!$E$4:$E$803,C967,MOVIMIENTOS_COMPLEMENTOS!$G$4:$G$803,E967,MOVIMIENTOS_COMPLEMENTOS!$H$4:$H$803,G967,MOVIMIENTOS_COMPLEMENTOS!$B$4:$B$803,"DE CORTE")-SUMIFS(MOVIMIENTOS_COMPLEMENTOS!$I$4:$I$803,MOVIMIENTOS_COMPLEMENTOS!$C$4:$C$803,A967,MOVIMIENTOS_COMPLEMENTOS!$D$4:$D$803,B967,MOVIMIENTOS_COMPLEMENTOS!$E$4:$E$803,C967,MOVIMIENTOS_COMPLEMENTOS!$G$4:$G$803,E967,MOVIMIENTOS_COMPLEMENTOS!$H$4:$H$803,G967,MOVIMIENTOS_COMPLEMENTOS!$B$4:$B$803,"SALIDA"),0)</f>
        <v>0</v>
      </c>
      <c r="I967" s="102">
        <f t="array" ref="I967">IFERROR(INDEX(PRECIOS_COMPLEMENTOS!$C$4:$F$17,MATCH(B967&amp;"_"&amp;C967,PRECIOS_COMPLEMENTOS!$H$4:$H$17,0),IF(OR(G967="S",G967="20cm"),1,IF(OR(G967="M",G967="25cm"),2,IF(OR(G967="L",G967="30cm"),3,IF(OR(G967="XL",G967="35cm"),4,0))))),0)</f>
        <v>0.4</v>
      </c>
      <c r="J967" s="103">
        <f t="shared" si="1"/>
        <v>0</v>
      </c>
      <c r="K967" s="104" t="str">
        <f>IF(H967&lt;0,"ERROR",IF(H967=0,"",IF(H967&lt;CONFIG!$B$4,"CRÍTICO",IF(H967&lt;CONFIG!$B$5,"BAJO","OK"))))</f>
        <v/>
      </c>
    </row>
    <row r="968" ht="15.75" hidden="1" customHeight="1">
      <c r="A968" s="90" t="str">
        <f>IF(CLIENTES!A7="","",CLIENTES!A7)</f>
        <v/>
      </c>
      <c r="B968" s="90" t="s">
        <v>321</v>
      </c>
      <c r="C968" s="91" t="s">
        <v>328</v>
      </c>
      <c r="D968" s="109" t="s">
        <v>353</v>
      </c>
      <c r="E968" s="67" t="str">
        <f>COLORES!A5</f>
        <v>Perla</v>
      </c>
      <c r="F968" s="67" t="str">
        <f>COLORES!B5</f>
        <v>PPT</v>
      </c>
      <c r="G968" s="90" t="s">
        <v>378</v>
      </c>
      <c r="H968" s="100">
        <f>IFERROR(SUMIFS(MOVIMIENTOS_COMPLEMENTOS!$I$4:$I$803,MOVIMIENTOS_COMPLEMENTOS!$C$4:$C$803,A968,MOVIMIENTOS_COMPLEMENTOS!$D$4:$D$803,B968,MOVIMIENTOS_COMPLEMENTOS!$E$4:$E$803,C968,MOVIMIENTOS_COMPLEMENTOS!$G$4:$G$803,E968,MOVIMIENTOS_COMPLEMENTOS!$H$4:$H$803,G968,MOVIMIENTOS_COMPLEMENTOS!$B$4:$B$803,"INGRESO")+SUMIFS(MOVIMIENTOS_COMPLEMENTOS!$I$4:$I$803,MOVIMIENTOS_COMPLEMENTOS!$C$4:$C$803,A968,MOVIMIENTOS_COMPLEMENTOS!$D$4:$D$803,B968,MOVIMIENTOS_COMPLEMENTOS!$E$4:$E$803,C968,MOVIMIENTOS_COMPLEMENTOS!$G$4:$G$803,E968,MOVIMIENTOS_COMPLEMENTOS!$H$4:$H$803,G968,MOVIMIENTOS_COMPLEMENTOS!$B$4:$B$803,"DE CORTE")-SUMIFS(MOVIMIENTOS_COMPLEMENTOS!$I$4:$I$803,MOVIMIENTOS_COMPLEMENTOS!$C$4:$C$803,A968,MOVIMIENTOS_COMPLEMENTOS!$D$4:$D$803,B968,MOVIMIENTOS_COMPLEMENTOS!$E$4:$E$803,C968,MOVIMIENTOS_COMPLEMENTOS!$G$4:$G$803,E968,MOVIMIENTOS_COMPLEMENTOS!$H$4:$H$803,G968,MOVIMIENTOS_COMPLEMENTOS!$B$4:$B$803,"SALIDA"),0)</f>
        <v>0</v>
      </c>
      <c r="I968" s="102">
        <f t="array" ref="I968">IFERROR(INDEX(PRECIOS_COMPLEMENTOS!$C$4:$F$17,MATCH(B968&amp;"_"&amp;C968,PRECIOS_COMPLEMENTOS!$H$4:$H$17,0),IF(OR(G968="S",G968="20cm"),1,IF(OR(G968="M",G968="25cm"),2,IF(OR(G968="L",G968="30cm"),3,IF(OR(G968="XL",G968="35cm"),4,0))))),0)</f>
        <v>0.4</v>
      </c>
      <c r="J968" s="103">
        <f t="shared" si="1"/>
        <v>0</v>
      </c>
      <c r="K968" s="104" t="str">
        <f>IF(H968&lt;0,"ERROR",IF(H968=0,"",IF(H968&lt;CONFIG!$B$4,"CRÍTICO",IF(H968&lt;CONFIG!$B$5,"BAJO","OK"))))</f>
        <v/>
      </c>
    </row>
    <row r="969" ht="15.75" hidden="1" customHeight="1">
      <c r="A969" s="90" t="str">
        <f>IF(CLIENTES!A7="","",CLIENTES!A7)</f>
        <v/>
      </c>
      <c r="B969" s="90" t="s">
        <v>321</v>
      </c>
      <c r="C969" s="91" t="s">
        <v>328</v>
      </c>
      <c r="D969" s="109" t="s">
        <v>353</v>
      </c>
      <c r="E969" s="67" t="str">
        <f>COLORES!A5</f>
        <v>Perla</v>
      </c>
      <c r="F969" s="67" t="str">
        <f>COLORES!B5</f>
        <v>PPT</v>
      </c>
      <c r="G969" s="90" t="s">
        <v>376</v>
      </c>
      <c r="H969" s="100">
        <f>IFERROR(SUMIFS(MOVIMIENTOS_COMPLEMENTOS!$I$4:$I$803,MOVIMIENTOS_COMPLEMENTOS!$C$4:$C$803,A969,MOVIMIENTOS_COMPLEMENTOS!$D$4:$D$803,B969,MOVIMIENTOS_COMPLEMENTOS!$E$4:$E$803,C969,MOVIMIENTOS_COMPLEMENTOS!$G$4:$G$803,E969,MOVIMIENTOS_COMPLEMENTOS!$H$4:$H$803,G969,MOVIMIENTOS_COMPLEMENTOS!$B$4:$B$803,"INGRESO")+SUMIFS(MOVIMIENTOS_COMPLEMENTOS!$I$4:$I$803,MOVIMIENTOS_COMPLEMENTOS!$C$4:$C$803,A969,MOVIMIENTOS_COMPLEMENTOS!$D$4:$D$803,B969,MOVIMIENTOS_COMPLEMENTOS!$E$4:$E$803,C969,MOVIMIENTOS_COMPLEMENTOS!$G$4:$G$803,E969,MOVIMIENTOS_COMPLEMENTOS!$H$4:$H$803,G969,MOVIMIENTOS_COMPLEMENTOS!$B$4:$B$803,"DE CORTE")-SUMIFS(MOVIMIENTOS_COMPLEMENTOS!$I$4:$I$803,MOVIMIENTOS_COMPLEMENTOS!$C$4:$C$803,A969,MOVIMIENTOS_COMPLEMENTOS!$D$4:$D$803,B969,MOVIMIENTOS_COMPLEMENTOS!$E$4:$E$803,C969,MOVIMIENTOS_COMPLEMENTOS!$G$4:$G$803,E969,MOVIMIENTOS_COMPLEMENTOS!$H$4:$H$803,G969,MOVIMIENTOS_COMPLEMENTOS!$B$4:$B$803,"SALIDA"),0)</f>
        <v>0</v>
      </c>
      <c r="I969" s="102">
        <f t="array" ref="I969">IFERROR(INDEX(PRECIOS_COMPLEMENTOS!$C$4:$F$17,MATCH(B969&amp;"_"&amp;C969,PRECIOS_COMPLEMENTOS!$H$4:$H$17,0),IF(OR(G969="S",G969="20cm"),1,IF(OR(G969="M",G969="25cm"),2,IF(OR(G969="L",G969="30cm"),3,IF(OR(G969="XL",G969="35cm"),4,0))))),0)</f>
        <v>0.4</v>
      </c>
      <c r="J969" s="103">
        <f t="shared" si="1"/>
        <v>0</v>
      </c>
      <c r="K969" s="104" t="str">
        <f>IF(H969&lt;0,"ERROR",IF(H969=0,"",IF(H969&lt;CONFIG!$B$4,"CRÍTICO",IF(H969&lt;CONFIG!$B$5,"BAJO","OK"))))</f>
        <v/>
      </c>
    </row>
    <row r="970" ht="15.75" hidden="1" customHeight="1">
      <c r="A970" s="90" t="str">
        <f>IF(CLIENTES!A7="","",CLIENTES!A7)</f>
        <v/>
      </c>
      <c r="B970" s="90" t="s">
        <v>321</v>
      </c>
      <c r="C970" s="91" t="s">
        <v>328</v>
      </c>
      <c r="D970" s="109" t="s">
        <v>353</v>
      </c>
      <c r="E970" s="67" t="str">
        <f>COLORES!A5</f>
        <v>Perla</v>
      </c>
      <c r="F970" s="67" t="str">
        <f>COLORES!B5</f>
        <v>PPT</v>
      </c>
      <c r="G970" s="90" t="s">
        <v>377</v>
      </c>
      <c r="H970" s="100">
        <f>IFERROR(SUMIFS(MOVIMIENTOS_COMPLEMENTOS!$I$4:$I$803,MOVIMIENTOS_COMPLEMENTOS!$C$4:$C$803,A970,MOVIMIENTOS_COMPLEMENTOS!$D$4:$D$803,B970,MOVIMIENTOS_COMPLEMENTOS!$E$4:$E$803,C970,MOVIMIENTOS_COMPLEMENTOS!$G$4:$G$803,E970,MOVIMIENTOS_COMPLEMENTOS!$H$4:$H$803,G970,MOVIMIENTOS_COMPLEMENTOS!$B$4:$B$803,"INGRESO")+SUMIFS(MOVIMIENTOS_COMPLEMENTOS!$I$4:$I$803,MOVIMIENTOS_COMPLEMENTOS!$C$4:$C$803,A970,MOVIMIENTOS_COMPLEMENTOS!$D$4:$D$803,B970,MOVIMIENTOS_COMPLEMENTOS!$E$4:$E$803,C970,MOVIMIENTOS_COMPLEMENTOS!$G$4:$G$803,E970,MOVIMIENTOS_COMPLEMENTOS!$H$4:$H$803,G970,MOVIMIENTOS_COMPLEMENTOS!$B$4:$B$803,"DE CORTE")-SUMIFS(MOVIMIENTOS_COMPLEMENTOS!$I$4:$I$803,MOVIMIENTOS_COMPLEMENTOS!$C$4:$C$803,A970,MOVIMIENTOS_COMPLEMENTOS!$D$4:$D$803,B970,MOVIMIENTOS_COMPLEMENTOS!$E$4:$E$803,C970,MOVIMIENTOS_COMPLEMENTOS!$G$4:$G$803,E970,MOVIMIENTOS_COMPLEMENTOS!$H$4:$H$803,G970,MOVIMIENTOS_COMPLEMENTOS!$B$4:$B$803,"SALIDA"),0)</f>
        <v>0</v>
      </c>
      <c r="I970" s="102">
        <f t="array" ref="I970">IFERROR(INDEX(PRECIOS_COMPLEMENTOS!$C$4:$F$17,MATCH(B970&amp;"_"&amp;C970,PRECIOS_COMPLEMENTOS!$H$4:$H$17,0),IF(OR(G970="S",G970="20cm"),1,IF(OR(G970="M",G970="25cm"),2,IF(OR(G970="L",G970="30cm"),3,IF(OR(G970="XL",G970="35cm"),4,0))))),0)</f>
        <v>0.4</v>
      </c>
      <c r="J970" s="103">
        <f t="shared" si="1"/>
        <v>0</v>
      </c>
      <c r="K970" s="104" t="str">
        <f>IF(H970&lt;0,"ERROR",IF(H970=0,"",IF(H970&lt;CONFIG!$B$4,"CRÍTICO",IF(H970&lt;CONFIG!$B$5,"BAJO","OK"))))</f>
        <v/>
      </c>
    </row>
    <row r="971" ht="15.75" hidden="1" customHeight="1">
      <c r="A971" s="90" t="str">
        <f>IF(CLIENTES!A7="","",CLIENTES!A7)</f>
        <v/>
      </c>
      <c r="B971" s="90" t="s">
        <v>321</v>
      </c>
      <c r="C971" s="91" t="s">
        <v>328</v>
      </c>
      <c r="D971" s="109" t="s">
        <v>353</v>
      </c>
      <c r="E971" s="67" t="str">
        <f>COLORES!A5</f>
        <v>Perla</v>
      </c>
      <c r="F971" s="67" t="str">
        <f>COLORES!B5</f>
        <v>PPT</v>
      </c>
      <c r="G971" s="90" t="s">
        <v>379</v>
      </c>
      <c r="H971" s="100">
        <f>IFERROR(SUMIFS(MOVIMIENTOS_COMPLEMENTOS!$I$4:$I$803,MOVIMIENTOS_COMPLEMENTOS!$C$4:$C$803,A971,MOVIMIENTOS_COMPLEMENTOS!$D$4:$D$803,B971,MOVIMIENTOS_COMPLEMENTOS!$E$4:$E$803,C971,MOVIMIENTOS_COMPLEMENTOS!$G$4:$G$803,E971,MOVIMIENTOS_COMPLEMENTOS!$H$4:$H$803,G971,MOVIMIENTOS_COMPLEMENTOS!$B$4:$B$803,"INGRESO")+SUMIFS(MOVIMIENTOS_COMPLEMENTOS!$I$4:$I$803,MOVIMIENTOS_COMPLEMENTOS!$C$4:$C$803,A971,MOVIMIENTOS_COMPLEMENTOS!$D$4:$D$803,B971,MOVIMIENTOS_COMPLEMENTOS!$E$4:$E$803,C971,MOVIMIENTOS_COMPLEMENTOS!$G$4:$G$803,E971,MOVIMIENTOS_COMPLEMENTOS!$H$4:$H$803,G971,MOVIMIENTOS_COMPLEMENTOS!$B$4:$B$803,"DE CORTE")-SUMIFS(MOVIMIENTOS_COMPLEMENTOS!$I$4:$I$803,MOVIMIENTOS_COMPLEMENTOS!$C$4:$C$803,A971,MOVIMIENTOS_COMPLEMENTOS!$D$4:$D$803,B971,MOVIMIENTOS_COMPLEMENTOS!$E$4:$E$803,C971,MOVIMIENTOS_COMPLEMENTOS!$G$4:$G$803,E971,MOVIMIENTOS_COMPLEMENTOS!$H$4:$H$803,G971,MOVIMIENTOS_COMPLEMENTOS!$B$4:$B$803,"SALIDA"),0)</f>
        <v>0</v>
      </c>
      <c r="I971" s="102">
        <f t="array" ref="I971">IFERROR(INDEX(PRECIOS_COMPLEMENTOS!$C$4:$F$17,MATCH(B971&amp;"_"&amp;C971,PRECIOS_COMPLEMENTOS!$H$4:$H$17,0),IF(OR(G971="S",G971="20cm"),1,IF(OR(G971="M",G971="25cm"),2,IF(OR(G971="L",G971="30cm"),3,IF(OR(G971="XL",G971="35cm"),4,0))))),0)</f>
        <v>0.4</v>
      </c>
      <c r="J971" s="103">
        <f t="shared" si="1"/>
        <v>0</v>
      </c>
      <c r="K971" s="104" t="str">
        <f>IF(H971&lt;0,"ERROR",IF(H971=0,"",IF(H971&lt;CONFIG!$B$4,"CRÍTICO",IF(H971&lt;CONFIG!$B$5,"BAJO","OK"))))</f>
        <v/>
      </c>
    </row>
    <row r="972" ht="15.75" hidden="1" customHeight="1">
      <c r="A972" s="90" t="str">
        <f>IF(CLIENTES!A7="","",CLIENTES!A7)</f>
        <v/>
      </c>
      <c r="B972" s="90" t="s">
        <v>321</v>
      </c>
      <c r="C972" s="91" t="s">
        <v>328</v>
      </c>
      <c r="D972" s="109" t="s">
        <v>353</v>
      </c>
      <c r="E972" s="67" t="str">
        <f>COLORES!A6</f>
        <v>Blanco</v>
      </c>
      <c r="F972" s="67" t="str">
        <f>COLORES!B6</f>
        <v>PPT</v>
      </c>
      <c r="G972" s="90" t="s">
        <v>378</v>
      </c>
      <c r="H972" s="100">
        <f>IFERROR(SUMIFS(MOVIMIENTOS_COMPLEMENTOS!$I$4:$I$803,MOVIMIENTOS_COMPLEMENTOS!$C$4:$C$803,A972,MOVIMIENTOS_COMPLEMENTOS!$D$4:$D$803,B972,MOVIMIENTOS_COMPLEMENTOS!$E$4:$E$803,C972,MOVIMIENTOS_COMPLEMENTOS!$G$4:$G$803,E972,MOVIMIENTOS_COMPLEMENTOS!$H$4:$H$803,G972,MOVIMIENTOS_COMPLEMENTOS!$B$4:$B$803,"INGRESO")+SUMIFS(MOVIMIENTOS_COMPLEMENTOS!$I$4:$I$803,MOVIMIENTOS_COMPLEMENTOS!$C$4:$C$803,A972,MOVIMIENTOS_COMPLEMENTOS!$D$4:$D$803,B972,MOVIMIENTOS_COMPLEMENTOS!$E$4:$E$803,C972,MOVIMIENTOS_COMPLEMENTOS!$G$4:$G$803,E972,MOVIMIENTOS_COMPLEMENTOS!$H$4:$H$803,G972,MOVIMIENTOS_COMPLEMENTOS!$B$4:$B$803,"DE CORTE")-SUMIFS(MOVIMIENTOS_COMPLEMENTOS!$I$4:$I$803,MOVIMIENTOS_COMPLEMENTOS!$C$4:$C$803,A972,MOVIMIENTOS_COMPLEMENTOS!$D$4:$D$803,B972,MOVIMIENTOS_COMPLEMENTOS!$E$4:$E$803,C972,MOVIMIENTOS_COMPLEMENTOS!$G$4:$G$803,E972,MOVIMIENTOS_COMPLEMENTOS!$H$4:$H$803,G972,MOVIMIENTOS_COMPLEMENTOS!$B$4:$B$803,"SALIDA"),0)</f>
        <v>0</v>
      </c>
      <c r="I972" s="102">
        <f t="array" ref="I972">IFERROR(INDEX(PRECIOS_COMPLEMENTOS!$C$4:$F$17,MATCH(B972&amp;"_"&amp;C972,PRECIOS_COMPLEMENTOS!$H$4:$H$17,0),IF(OR(G972="S",G972="20cm"),1,IF(OR(G972="M",G972="25cm"),2,IF(OR(G972="L",G972="30cm"),3,IF(OR(G972="XL",G972="35cm"),4,0))))),0)</f>
        <v>0.4</v>
      </c>
      <c r="J972" s="103">
        <f t="shared" si="1"/>
        <v>0</v>
      </c>
      <c r="K972" s="104" t="str">
        <f>IF(H972&lt;0,"ERROR",IF(H972=0,"",IF(H972&lt;CONFIG!$B$4,"CRÍTICO",IF(H972&lt;CONFIG!$B$5,"BAJO","OK"))))</f>
        <v/>
      </c>
    </row>
    <row r="973" ht="15.75" hidden="1" customHeight="1">
      <c r="A973" s="90" t="str">
        <f>IF(CLIENTES!A7="","",CLIENTES!A7)</f>
        <v/>
      </c>
      <c r="B973" s="90" t="s">
        <v>321</v>
      </c>
      <c r="C973" s="91" t="s">
        <v>328</v>
      </c>
      <c r="D973" s="109" t="s">
        <v>353</v>
      </c>
      <c r="E973" s="67" t="str">
        <f>COLORES!A6</f>
        <v>Blanco</v>
      </c>
      <c r="F973" s="67" t="str">
        <f>COLORES!B6</f>
        <v>PPT</v>
      </c>
      <c r="G973" s="90" t="s">
        <v>376</v>
      </c>
      <c r="H973" s="100">
        <f>IFERROR(SUMIFS(MOVIMIENTOS_COMPLEMENTOS!$I$4:$I$803,MOVIMIENTOS_COMPLEMENTOS!$C$4:$C$803,A973,MOVIMIENTOS_COMPLEMENTOS!$D$4:$D$803,B973,MOVIMIENTOS_COMPLEMENTOS!$E$4:$E$803,C973,MOVIMIENTOS_COMPLEMENTOS!$G$4:$G$803,E973,MOVIMIENTOS_COMPLEMENTOS!$H$4:$H$803,G973,MOVIMIENTOS_COMPLEMENTOS!$B$4:$B$803,"INGRESO")+SUMIFS(MOVIMIENTOS_COMPLEMENTOS!$I$4:$I$803,MOVIMIENTOS_COMPLEMENTOS!$C$4:$C$803,A973,MOVIMIENTOS_COMPLEMENTOS!$D$4:$D$803,B973,MOVIMIENTOS_COMPLEMENTOS!$E$4:$E$803,C973,MOVIMIENTOS_COMPLEMENTOS!$G$4:$G$803,E973,MOVIMIENTOS_COMPLEMENTOS!$H$4:$H$803,G973,MOVIMIENTOS_COMPLEMENTOS!$B$4:$B$803,"DE CORTE")-SUMIFS(MOVIMIENTOS_COMPLEMENTOS!$I$4:$I$803,MOVIMIENTOS_COMPLEMENTOS!$C$4:$C$803,A973,MOVIMIENTOS_COMPLEMENTOS!$D$4:$D$803,B973,MOVIMIENTOS_COMPLEMENTOS!$E$4:$E$803,C973,MOVIMIENTOS_COMPLEMENTOS!$G$4:$G$803,E973,MOVIMIENTOS_COMPLEMENTOS!$H$4:$H$803,G973,MOVIMIENTOS_COMPLEMENTOS!$B$4:$B$803,"SALIDA"),0)</f>
        <v>0</v>
      </c>
      <c r="I973" s="102">
        <f t="array" ref="I973">IFERROR(INDEX(PRECIOS_COMPLEMENTOS!$C$4:$F$17,MATCH(B973&amp;"_"&amp;C973,PRECIOS_COMPLEMENTOS!$H$4:$H$17,0),IF(OR(G973="S",G973="20cm"),1,IF(OR(G973="M",G973="25cm"),2,IF(OR(G973="L",G973="30cm"),3,IF(OR(G973="XL",G973="35cm"),4,0))))),0)</f>
        <v>0.4</v>
      </c>
      <c r="J973" s="103">
        <f t="shared" si="1"/>
        <v>0</v>
      </c>
      <c r="K973" s="104" t="str">
        <f>IF(H973&lt;0,"ERROR",IF(H973=0,"",IF(H973&lt;CONFIG!$B$4,"CRÍTICO",IF(H973&lt;CONFIG!$B$5,"BAJO","OK"))))</f>
        <v/>
      </c>
    </row>
    <row r="974" ht="15.75" hidden="1" customHeight="1">
      <c r="A974" s="90" t="str">
        <f>IF(CLIENTES!A7="","",CLIENTES!A7)</f>
        <v/>
      </c>
      <c r="B974" s="90" t="s">
        <v>321</v>
      </c>
      <c r="C974" s="91" t="s">
        <v>328</v>
      </c>
      <c r="D974" s="109" t="s">
        <v>353</v>
      </c>
      <c r="E974" s="67" t="str">
        <f>COLORES!A6</f>
        <v>Blanco</v>
      </c>
      <c r="F974" s="67" t="str">
        <f>COLORES!B6</f>
        <v>PPT</v>
      </c>
      <c r="G974" s="90" t="s">
        <v>377</v>
      </c>
      <c r="H974" s="100">
        <f>IFERROR(SUMIFS(MOVIMIENTOS_COMPLEMENTOS!$I$4:$I$803,MOVIMIENTOS_COMPLEMENTOS!$C$4:$C$803,A974,MOVIMIENTOS_COMPLEMENTOS!$D$4:$D$803,B974,MOVIMIENTOS_COMPLEMENTOS!$E$4:$E$803,C974,MOVIMIENTOS_COMPLEMENTOS!$G$4:$G$803,E974,MOVIMIENTOS_COMPLEMENTOS!$H$4:$H$803,G974,MOVIMIENTOS_COMPLEMENTOS!$B$4:$B$803,"INGRESO")+SUMIFS(MOVIMIENTOS_COMPLEMENTOS!$I$4:$I$803,MOVIMIENTOS_COMPLEMENTOS!$C$4:$C$803,A974,MOVIMIENTOS_COMPLEMENTOS!$D$4:$D$803,B974,MOVIMIENTOS_COMPLEMENTOS!$E$4:$E$803,C974,MOVIMIENTOS_COMPLEMENTOS!$G$4:$G$803,E974,MOVIMIENTOS_COMPLEMENTOS!$H$4:$H$803,G974,MOVIMIENTOS_COMPLEMENTOS!$B$4:$B$803,"DE CORTE")-SUMIFS(MOVIMIENTOS_COMPLEMENTOS!$I$4:$I$803,MOVIMIENTOS_COMPLEMENTOS!$C$4:$C$803,A974,MOVIMIENTOS_COMPLEMENTOS!$D$4:$D$803,B974,MOVIMIENTOS_COMPLEMENTOS!$E$4:$E$803,C974,MOVIMIENTOS_COMPLEMENTOS!$G$4:$G$803,E974,MOVIMIENTOS_COMPLEMENTOS!$H$4:$H$803,G974,MOVIMIENTOS_COMPLEMENTOS!$B$4:$B$803,"SALIDA"),0)</f>
        <v>0</v>
      </c>
      <c r="I974" s="102">
        <f t="array" ref="I974">IFERROR(INDEX(PRECIOS_COMPLEMENTOS!$C$4:$F$17,MATCH(B974&amp;"_"&amp;C974,PRECIOS_COMPLEMENTOS!$H$4:$H$17,0),IF(OR(G974="S",G974="20cm"),1,IF(OR(G974="M",G974="25cm"),2,IF(OR(G974="L",G974="30cm"),3,IF(OR(G974="XL",G974="35cm"),4,0))))),0)</f>
        <v>0.4</v>
      </c>
      <c r="J974" s="103">
        <f t="shared" si="1"/>
        <v>0</v>
      </c>
      <c r="K974" s="104" t="str">
        <f>IF(H974&lt;0,"ERROR",IF(H974=0,"",IF(H974&lt;CONFIG!$B$4,"CRÍTICO",IF(H974&lt;CONFIG!$B$5,"BAJO","OK"))))</f>
        <v/>
      </c>
    </row>
    <row r="975" ht="15.75" hidden="1" customHeight="1">
      <c r="A975" s="90" t="str">
        <f>IF(CLIENTES!A7="","",CLIENTES!A7)</f>
        <v/>
      </c>
      <c r="B975" s="90" t="s">
        <v>321</v>
      </c>
      <c r="C975" s="91" t="s">
        <v>328</v>
      </c>
      <c r="D975" s="109" t="s">
        <v>353</v>
      </c>
      <c r="E975" s="67" t="str">
        <f>COLORES!A6</f>
        <v>Blanco</v>
      </c>
      <c r="F975" s="67" t="str">
        <f>COLORES!B6</f>
        <v>PPT</v>
      </c>
      <c r="G975" s="90" t="s">
        <v>379</v>
      </c>
      <c r="H975" s="100">
        <f>IFERROR(SUMIFS(MOVIMIENTOS_COMPLEMENTOS!$I$4:$I$803,MOVIMIENTOS_COMPLEMENTOS!$C$4:$C$803,A975,MOVIMIENTOS_COMPLEMENTOS!$D$4:$D$803,B975,MOVIMIENTOS_COMPLEMENTOS!$E$4:$E$803,C975,MOVIMIENTOS_COMPLEMENTOS!$G$4:$G$803,E975,MOVIMIENTOS_COMPLEMENTOS!$H$4:$H$803,G975,MOVIMIENTOS_COMPLEMENTOS!$B$4:$B$803,"INGRESO")+SUMIFS(MOVIMIENTOS_COMPLEMENTOS!$I$4:$I$803,MOVIMIENTOS_COMPLEMENTOS!$C$4:$C$803,A975,MOVIMIENTOS_COMPLEMENTOS!$D$4:$D$803,B975,MOVIMIENTOS_COMPLEMENTOS!$E$4:$E$803,C975,MOVIMIENTOS_COMPLEMENTOS!$G$4:$G$803,E975,MOVIMIENTOS_COMPLEMENTOS!$H$4:$H$803,G975,MOVIMIENTOS_COMPLEMENTOS!$B$4:$B$803,"DE CORTE")-SUMIFS(MOVIMIENTOS_COMPLEMENTOS!$I$4:$I$803,MOVIMIENTOS_COMPLEMENTOS!$C$4:$C$803,A975,MOVIMIENTOS_COMPLEMENTOS!$D$4:$D$803,B975,MOVIMIENTOS_COMPLEMENTOS!$E$4:$E$803,C975,MOVIMIENTOS_COMPLEMENTOS!$G$4:$G$803,E975,MOVIMIENTOS_COMPLEMENTOS!$H$4:$H$803,G975,MOVIMIENTOS_COMPLEMENTOS!$B$4:$B$803,"SALIDA"),0)</f>
        <v>0</v>
      </c>
      <c r="I975" s="102">
        <f t="array" ref="I975">IFERROR(INDEX(PRECIOS_COMPLEMENTOS!$C$4:$F$17,MATCH(B975&amp;"_"&amp;C975,PRECIOS_COMPLEMENTOS!$H$4:$H$17,0),IF(OR(G975="S",G975="20cm"),1,IF(OR(G975="M",G975="25cm"),2,IF(OR(G975="L",G975="30cm"),3,IF(OR(G975="XL",G975="35cm"),4,0))))),0)</f>
        <v>0.4</v>
      </c>
      <c r="J975" s="103">
        <f t="shared" si="1"/>
        <v>0</v>
      </c>
      <c r="K975" s="104" t="str">
        <f>IF(H975&lt;0,"ERROR",IF(H975=0,"",IF(H975&lt;CONFIG!$B$4,"CRÍTICO",IF(H975&lt;CONFIG!$B$5,"BAJO","OK"))))</f>
        <v/>
      </c>
    </row>
    <row r="976" ht="15.75" hidden="1" customHeight="1">
      <c r="A976" s="90" t="str">
        <f>IF(CLIENTES!A7="","",CLIENTES!A7)</f>
        <v/>
      </c>
      <c r="B976" s="90" t="s">
        <v>321</v>
      </c>
      <c r="C976" s="91" t="s">
        <v>328</v>
      </c>
      <c r="D976" s="109" t="s">
        <v>353</v>
      </c>
      <c r="E976" s="67" t="str">
        <f>COLORES!A7</f>
        <v>Azul</v>
      </c>
      <c r="F976" s="67" t="str">
        <f>COLORES!B7</f>
        <v>OSCURO</v>
      </c>
      <c r="G976" s="90" t="s">
        <v>378</v>
      </c>
      <c r="H976" s="100">
        <f>IFERROR(SUMIFS(MOVIMIENTOS_COMPLEMENTOS!$I$4:$I$803,MOVIMIENTOS_COMPLEMENTOS!$C$4:$C$803,A976,MOVIMIENTOS_COMPLEMENTOS!$D$4:$D$803,B976,MOVIMIENTOS_COMPLEMENTOS!$E$4:$E$803,C976,MOVIMIENTOS_COMPLEMENTOS!$G$4:$G$803,E976,MOVIMIENTOS_COMPLEMENTOS!$H$4:$H$803,G976,MOVIMIENTOS_COMPLEMENTOS!$B$4:$B$803,"INGRESO")+SUMIFS(MOVIMIENTOS_COMPLEMENTOS!$I$4:$I$803,MOVIMIENTOS_COMPLEMENTOS!$C$4:$C$803,A976,MOVIMIENTOS_COMPLEMENTOS!$D$4:$D$803,B976,MOVIMIENTOS_COMPLEMENTOS!$E$4:$E$803,C976,MOVIMIENTOS_COMPLEMENTOS!$G$4:$G$803,E976,MOVIMIENTOS_COMPLEMENTOS!$H$4:$H$803,G976,MOVIMIENTOS_COMPLEMENTOS!$B$4:$B$803,"DE CORTE")-SUMIFS(MOVIMIENTOS_COMPLEMENTOS!$I$4:$I$803,MOVIMIENTOS_COMPLEMENTOS!$C$4:$C$803,A976,MOVIMIENTOS_COMPLEMENTOS!$D$4:$D$803,B976,MOVIMIENTOS_COMPLEMENTOS!$E$4:$E$803,C976,MOVIMIENTOS_COMPLEMENTOS!$G$4:$G$803,E976,MOVIMIENTOS_COMPLEMENTOS!$H$4:$H$803,G976,MOVIMIENTOS_COMPLEMENTOS!$B$4:$B$803,"SALIDA"),0)</f>
        <v>0</v>
      </c>
      <c r="I976" s="102">
        <f t="array" ref="I976">IFERROR(INDEX(PRECIOS_COMPLEMENTOS!$C$4:$F$17,MATCH(B976&amp;"_"&amp;C976,PRECIOS_COMPLEMENTOS!$H$4:$H$17,0),IF(OR(G976="S",G976="20cm"),1,IF(OR(G976="M",G976="25cm"),2,IF(OR(G976="L",G976="30cm"),3,IF(OR(G976="XL",G976="35cm"),4,0))))),0)</f>
        <v>0.4</v>
      </c>
      <c r="J976" s="103">
        <f t="shared" si="1"/>
        <v>0</v>
      </c>
      <c r="K976" s="104" t="str">
        <f>IF(H976&lt;0,"ERROR",IF(H976=0,"",IF(H976&lt;CONFIG!$B$4,"CRÍTICO",IF(H976&lt;CONFIG!$B$5,"BAJO","OK"))))</f>
        <v/>
      </c>
    </row>
    <row r="977" ht="15.75" hidden="1" customHeight="1">
      <c r="A977" s="90" t="str">
        <f>IF(CLIENTES!A7="","",CLIENTES!A7)</f>
        <v/>
      </c>
      <c r="B977" s="90" t="s">
        <v>321</v>
      </c>
      <c r="C977" s="91" t="s">
        <v>328</v>
      </c>
      <c r="D977" s="109" t="s">
        <v>353</v>
      </c>
      <c r="E977" s="67" t="str">
        <f>COLORES!A7</f>
        <v>Azul</v>
      </c>
      <c r="F977" s="67" t="str">
        <f>COLORES!B7</f>
        <v>OSCURO</v>
      </c>
      <c r="G977" s="90" t="s">
        <v>376</v>
      </c>
      <c r="H977" s="100">
        <f>IFERROR(SUMIFS(MOVIMIENTOS_COMPLEMENTOS!$I$4:$I$803,MOVIMIENTOS_COMPLEMENTOS!$C$4:$C$803,A977,MOVIMIENTOS_COMPLEMENTOS!$D$4:$D$803,B977,MOVIMIENTOS_COMPLEMENTOS!$E$4:$E$803,C977,MOVIMIENTOS_COMPLEMENTOS!$G$4:$G$803,E977,MOVIMIENTOS_COMPLEMENTOS!$H$4:$H$803,G977,MOVIMIENTOS_COMPLEMENTOS!$B$4:$B$803,"INGRESO")+SUMIFS(MOVIMIENTOS_COMPLEMENTOS!$I$4:$I$803,MOVIMIENTOS_COMPLEMENTOS!$C$4:$C$803,A977,MOVIMIENTOS_COMPLEMENTOS!$D$4:$D$803,B977,MOVIMIENTOS_COMPLEMENTOS!$E$4:$E$803,C977,MOVIMIENTOS_COMPLEMENTOS!$G$4:$G$803,E977,MOVIMIENTOS_COMPLEMENTOS!$H$4:$H$803,G977,MOVIMIENTOS_COMPLEMENTOS!$B$4:$B$803,"DE CORTE")-SUMIFS(MOVIMIENTOS_COMPLEMENTOS!$I$4:$I$803,MOVIMIENTOS_COMPLEMENTOS!$C$4:$C$803,A977,MOVIMIENTOS_COMPLEMENTOS!$D$4:$D$803,B977,MOVIMIENTOS_COMPLEMENTOS!$E$4:$E$803,C977,MOVIMIENTOS_COMPLEMENTOS!$G$4:$G$803,E977,MOVIMIENTOS_COMPLEMENTOS!$H$4:$H$803,G977,MOVIMIENTOS_COMPLEMENTOS!$B$4:$B$803,"SALIDA"),0)</f>
        <v>0</v>
      </c>
      <c r="I977" s="102">
        <f t="array" ref="I977">IFERROR(INDEX(PRECIOS_COMPLEMENTOS!$C$4:$F$17,MATCH(B977&amp;"_"&amp;C977,PRECIOS_COMPLEMENTOS!$H$4:$H$17,0),IF(OR(G977="S",G977="20cm"),1,IF(OR(G977="M",G977="25cm"),2,IF(OR(G977="L",G977="30cm"),3,IF(OR(G977="XL",G977="35cm"),4,0))))),0)</f>
        <v>0.4</v>
      </c>
      <c r="J977" s="103">
        <f t="shared" si="1"/>
        <v>0</v>
      </c>
      <c r="K977" s="104" t="str">
        <f>IF(H977&lt;0,"ERROR",IF(H977=0,"",IF(H977&lt;CONFIG!$B$4,"CRÍTICO",IF(H977&lt;CONFIG!$B$5,"BAJO","OK"))))</f>
        <v/>
      </c>
    </row>
    <row r="978" ht="15.75" hidden="1" customHeight="1">
      <c r="A978" s="90" t="str">
        <f>IF(CLIENTES!A7="","",CLIENTES!A7)</f>
        <v/>
      </c>
      <c r="B978" s="90" t="s">
        <v>321</v>
      </c>
      <c r="C978" s="91" t="s">
        <v>328</v>
      </c>
      <c r="D978" s="109" t="s">
        <v>353</v>
      </c>
      <c r="E978" s="67" t="str">
        <f>COLORES!A7</f>
        <v>Azul</v>
      </c>
      <c r="F978" s="67" t="str">
        <f>COLORES!B7</f>
        <v>OSCURO</v>
      </c>
      <c r="G978" s="90" t="s">
        <v>377</v>
      </c>
      <c r="H978" s="100">
        <f>IFERROR(SUMIFS(MOVIMIENTOS_COMPLEMENTOS!$I$4:$I$803,MOVIMIENTOS_COMPLEMENTOS!$C$4:$C$803,A978,MOVIMIENTOS_COMPLEMENTOS!$D$4:$D$803,B978,MOVIMIENTOS_COMPLEMENTOS!$E$4:$E$803,C978,MOVIMIENTOS_COMPLEMENTOS!$G$4:$G$803,E978,MOVIMIENTOS_COMPLEMENTOS!$H$4:$H$803,G978,MOVIMIENTOS_COMPLEMENTOS!$B$4:$B$803,"INGRESO")+SUMIFS(MOVIMIENTOS_COMPLEMENTOS!$I$4:$I$803,MOVIMIENTOS_COMPLEMENTOS!$C$4:$C$803,A978,MOVIMIENTOS_COMPLEMENTOS!$D$4:$D$803,B978,MOVIMIENTOS_COMPLEMENTOS!$E$4:$E$803,C978,MOVIMIENTOS_COMPLEMENTOS!$G$4:$G$803,E978,MOVIMIENTOS_COMPLEMENTOS!$H$4:$H$803,G978,MOVIMIENTOS_COMPLEMENTOS!$B$4:$B$803,"DE CORTE")-SUMIFS(MOVIMIENTOS_COMPLEMENTOS!$I$4:$I$803,MOVIMIENTOS_COMPLEMENTOS!$C$4:$C$803,A978,MOVIMIENTOS_COMPLEMENTOS!$D$4:$D$803,B978,MOVIMIENTOS_COMPLEMENTOS!$E$4:$E$803,C978,MOVIMIENTOS_COMPLEMENTOS!$G$4:$G$803,E978,MOVIMIENTOS_COMPLEMENTOS!$H$4:$H$803,G978,MOVIMIENTOS_COMPLEMENTOS!$B$4:$B$803,"SALIDA"),0)</f>
        <v>0</v>
      </c>
      <c r="I978" s="102">
        <f t="array" ref="I978">IFERROR(INDEX(PRECIOS_COMPLEMENTOS!$C$4:$F$17,MATCH(B978&amp;"_"&amp;C978,PRECIOS_COMPLEMENTOS!$H$4:$H$17,0),IF(OR(G978="S",G978="20cm"),1,IF(OR(G978="M",G978="25cm"),2,IF(OR(G978="L",G978="30cm"),3,IF(OR(G978="XL",G978="35cm"),4,0))))),0)</f>
        <v>0.4</v>
      </c>
      <c r="J978" s="103">
        <f t="shared" si="1"/>
        <v>0</v>
      </c>
      <c r="K978" s="104" t="str">
        <f>IF(H978&lt;0,"ERROR",IF(H978=0,"",IF(H978&lt;CONFIG!$B$4,"CRÍTICO",IF(H978&lt;CONFIG!$B$5,"BAJO","OK"))))</f>
        <v/>
      </c>
    </row>
    <row r="979" ht="15.75" hidden="1" customHeight="1">
      <c r="A979" s="90" t="str">
        <f>IF(CLIENTES!A7="","",CLIENTES!A7)</f>
        <v/>
      </c>
      <c r="B979" s="90" t="s">
        <v>321</v>
      </c>
      <c r="C979" s="91" t="s">
        <v>328</v>
      </c>
      <c r="D979" s="109" t="s">
        <v>353</v>
      </c>
      <c r="E979" s="67" t="str">
        <f>COLORES!A7</f>
        <v>Azul</v>
      </c>
      <c r="F979" s="67" t="str">
        <f>COLORES!B7</f>
        <v>OSCURO</v>
      </c>
      <c r="G979" s="90" t="s">
        <v>379</v>
      </c>
      <c r="H979" s="100">
        <f>IFERROR(SUMIFS(MOVIMIENTOS_COMPLEMENTOS!$I$4:$I$803,MOVIMIENTOS_COMPLEMENTOS!$C$4:$C$803,A979,MOVIMIENTOS_COMPLEMENTOS!$D$4:$D$803,B979,MOVIMIENTOS_COMPLEMENTOS!$E$4:$E$803,C979,MOVIMIENTOS_COMPLEMENTOS!$G$4:$G$803,E979,MOVIMIENTOS_COMPLEMENTOS!$H$4:$H$803,G979,MOVIMIENTOS_COMPLEMENTOS!$B$4:$B$803,"INGRESO")+SUMIFS(MOVIMIENTOS_COMPLEMENTOS!$I$4:$I$803,MOVIMIENTOS_COMPLEMENTOS!$C$4:$C$803,A979,MOVIMIENTOS_COMPLEMENTOS!$D$4:$D$803,B979,MOVIMIENTOS_COMPLEMENTOS!$E$4:$E$803,C979,MOVIMIENTOS_COMPLEMENTOS!$G$4:$G$803,E979,MOVIMIENTOS_COMPLEMENTOS!$H$4:$H$803,G979,MOVIMIENTOS_COMPLEMENTOS!$B$4:$B$803,"DE CORTE")-SUMIFS(MOVIMIENTOS_COMPLEMENTOS!$I$4:$I$803,MOVIMIENTOS_COMPLEMENTOS!$C$4:$C$803,A979,MOVIMIENTOS_COMPLEMENTOS!$D$4:$D$803,B979,MOVIMIENTOS_COMPLEMENTOS!$E$4:$E$803,C979,MOVIMIENTOS_COMPLEMENTOS!$G$4:$G$803,E979,MOVIMIENTOS_COMPLEMENTOS!$H$4:$H$803,G979,MOVIMIENTOS_COMPLEMENTOS!$B$4:$B$803,"SALIDA"),0)</f>
        <v>0</v>
      </c>
      <c r="I979" s="102">
        <f t="array" ref="I979">IFERROR(INDEX(PRECIOS_COMPLEMENTOS!$C$4:$F$17,MATCH(B979&amp;"_"&amp;C979,PRECIOS_COMPLEMENTOS!$H$4:$H$17,0),IF(OR(G979="S",G979="20cm"),1,IF(OR(G979="M",G979="25cm"),2,IF(OR(G979="L",G979="30cm"),3,IF(OR(G979="XL",G979="35cm"),4,0))))),0)</f>
        <v>0.4</v>
      </c>
      <c r="J979" s="103">
        <f t="shared" si="1"/>
        <v>0</v>
      </c>
      <c r="K979" s="104" t="str">
        <f>IF(H979&lt;0,"ERROR",IF(H979=0,"",IF(H979&lt;CONFIG!$B$4,"CRÍTICO",IF(H979&lt;CONFIG!$B$5,"BAJO","OK"))))</f>
        <v/>
      </c>
    </row>
    <row r="980" ht="15.75" hidden="1" customHeight="1">
      <c r="A980" s="90" t="str">
        <f>IF(CLIENTES!A7="","",CLIENTES!A7)</f>
        <v/>
      </c>
      <c r="B980" s="90" t="s">
        <v>321</v>
      </c>
      <c r="C980" s="91" t="s">
        <v>328</v>
      </c>
      <c r="D980" s="109" t="s">
        <v>353</v>
      </c>
      <c r="E980" s="67" t="str">
        <f>COLORES!A8</f>
        <v>Beige</v>
      </c>
      <c r="F980" s="67" t="str">
        <f>COLORES!B8</f>
        <v>CLARO</v>
      </c>
      <c r="G980" s="90" t="s">
        <v>378</v>
      </c>
      <c r="H980" s="100">
        <f>IFERROR(SUMIFS(MOVIMIENTOS_COMPLEMENTOS!$I$4:$I$803,MOVIMIENTOS_COMPLEMENTOS!$C$4:$C$803,A980,MOVIMIENTOS_COMPLEMENTOS!$D$4:$D$803,B980,MOVIMIENTOS_COMPLEMENTOS!$E$4:$E$803,C980,MOVIMIENTOS_COMPLEMENTOS!$G$4:$G$803,E980,MOVIMIENTOS_COMPLEMENTOS!$H$4:$H$803,G980,MOVIMIENTOS_COMPLEMENTOS!$B$4:$B$803,"INGRESO")+SUMIFS(MOVIMIENTOS_COMPLEMENTOS!$I$4:$I$803,MOVIMIENTOS_COMPLEMENTOS!$C$4:$C$803,A980,MOVIMIENTOS_COMPLEMENTOS!$D$4:$D$803,B980,MOVIMIENTOS_COMPLEMENTOS!$E$4:$E$803,C980,MOVIMIENTOS_COMPLEMENTOS!$G$4:$G$803,E980,MOVIMIENTOS_COMPLEMENTOS!$H$4:$H$803,G980,MOVIMIENTOS_COMPLEMENTOS!$B$4:$B$803,"DE CORTE")-SUMIFS(MOVIMIENTOS_COMPLEMENTOS!$I$4:$I$803,MOVIMIENTOS_COMPLEMENTOS!$C$4:$C$803,A980,MOVIMIENTOS_COMPLEMENTOS!$D$4:$D$803,B980,MOVIMIENTOS_COMPLEMENTOS!$E$4:$E$803,C980,MOVIMIENTOS_COMPLEMENTOS!$G$4:$G$803,E980,MOVIMIENTOS_COMPLEMENTOS!$H$4:$H$803,G980,MOVIMIENTOS_COMPLEMENTOS!$B$4:$B$803,"SALIDA"),0)</f>
        <v>0</v>
      </c>
      <c r="I980" s="102">
        <f t="array" ref="I980">IFERROR(INDEX(PRECIOS_COMPLEMENTOS!$C$4:$F$17,MATCH(B980&amp;"_"&amp;C980,PRECIOS_COMPLEMENTOS!$H$4:$H$17,0),IF(OR(G980="S",G980="20cm"),1,IF(OR(G980="M",G980="25cm"),2,IF(OR(G980="L",G980="30cm"),3,IF(OR(G980="XL",G980="35cm"),4,0))))),0)</f>
        <v>0.4</v>
      </c>
      <c r="J980" s="103">
        <f t="shared" si="1"/>
        <v>0</v>
      </c>
      <c r="K980" s="104" t="str">
        <f>IF(H980&lt;0,"ERROR",IF(H980=0,"",IF(H980&lt;CONFIG!$B$4,"CRÍTICO",IF(H980&lt;CONFIG!$B$5,"BAJO","OK"))))</f>
        <v/>
      </c>
    </row>
    <row r="981" ht="15.75" hidden="1" customHeight="1">
      <c r="A981" s="90" t="str">
        <f>IF(CLIENTES!A7="","",CLIENTES!A7)</f>
        <v/>
      </c>
      <c r="B981" s="90" t="s">
        <v>321</v>
      </c>
      <c r="C981" s="91" t="s">
        <v>328</v>
      </c>
      <c r="D981" s="109" t="s">
        <v>353</v>
      </c>
      <c r="E981" s="67" t="str">
        <f>COLORES!A8</f>
        <v>Beige</v>
      </c>
      <c r="F981" s="67" t="str">
        <f>COLORES!B8</f>
        <v>CLARO</v>
      </c>
      <c r="G981" s="90" t="s">
        <v>376</v>
      </c>
      <c r="H981" s="100">
        <f>IFERROR(SUMIFS(MOVIMIENTOS_COMPLEMENTOS!$I$4:$I$803,MOVIMIENTOS_COMPLEMENTOS!$C$4:$C$803,A981,MOVIMIENTOS_COMPLEMENTOS!$D$4:$D$803,B981,MOVIMIENTOS_COMPLEMENTOS!$E$4:$E$803,C981,MOVIMIENTOS_COMPLEMENTOS!$G$4:$G$803,E981,MOVIMIENTOS_COMPLEMENTOS!$H$4:$H$803,G981,MOVIMIENTOS_COMPLEMENTOS!$B$4:$B$803,"INGRESO")+SUMIFS(MOVIMIENTOS_COMPLEMENTOS!$I$4:$I$803,MOVIMIENTOS_COMPLEMENTOS!$C$4:$C$803,A981,MOVIMIENTOS_COMPLEMENTOS!$D$4:$D$803,B981,MOVIMIENTOS_COMPLEMENTOS!$E$4:$E$803,C981,MOVIMIENTOS_COMPLEMENTOS!$G$4:$G$803,E981,MOVIMIENTOS_COMPLEMENTOS!$H$4:$H$803,G981,MOVIMIENTOS_COMPLEMENTOS!$B$4:$B$803,"DE CORTE")-SUMIFS(MOVIMIENTOS_COMPLEMENTOS!$I$4:$I$803,MOVIMIENTOS_COMPLEMENTOS!$C$4:$C$803,A981,MOVIMIENTOS_COMPLEMENTOS!$D$4:$D$803,B981,MOVIMIENTOS_COMPLEMENTOS!$E$4:$E$803,C981,MOVIMIENTOS_COMPLEMENTOS!$G$4:$G$803,E981,MOVIMIENTOS_COMPLEMENTOS!$H$4:$H$803,G981,MOVIMIENTOS_COMPLEMENTOS!$B$4:$B$803,"SALIDA"),0)</f>
        <v>0</v>
      </c>
      <c r="I981" s="102">
        <f t="array" ref="I981">IFERROR(INDEX(PRECIOS_COMPLEMENTOS!$C$4:$F$17,MATCH(B981&amp;"_"&amp;C981,PRECIOS_COMPLEMENTOS!$H$4:$H$17,0),IF(OR(G981="S",G981="20cm"),1,IF(OR(G981="M",G981="25cm"),2,IF(OR(G981="L",G981="30cm"),3,IF(OR(G981="XL",G981="35cm"),4,0))))),0)</f>
        <v>0.4</v>
      </c>
      <c r="J981" s="103">
        <f t="shared" si="1"/>
        <v>0</v>
      </c>
      <c r="K981" s="104" t="str">
        <f>IF(H981&lt;0,"ERROR",IF(H981=0,"",IF(H981&lt;CONFIG!$B$4,"CRÍTICO",IF(H981&lt;CONFIG!$B$5,"BAJO","OK"))))</f>
        <v/>
      </c>
    </row>
    <row r="982" ht="15.75" hidden="1" customHeight="1">
      <c r="A982" s="90" t="str">
        <f>IF(CLIENTES!A7="","",CLIENTES!A7)</f>
        <v/>
      </c>
      <c r="B982" s="90" t="s">
        <v>321</v>
      </c>
      <c r="C982" s="91" t="s">
        <v>328</v>
      </c>
      <c r="D982" s="109" t="s">
        <v>353</v>
      </c>
      <c r="E982" s="67" t="str">
        <f>COLORES!A8</f>
        <v>Beige</v>
      </c>
      <c r="F982" s="67" t="str">
        <f>COLORES!B8</f>
        <v>CLARO</v>
      </c>
      <c r="G982" s="90" t="s">
        <v>377</v>
      </c>
      <c r="H982" s="100">
        <f>IFERROR(SUMIFS(MOVIMIENTOS_COMPLEMENTOS!$I$4:$I$803,MOVIMIENTOS_COMPLEMENTOS!$C$4:$C$803,A982,MOVIMIENTOS_COMPLEMENTOS!$D$4:$D$803,B982,MOVIMIENTOS_COMPLEMENTOS!$E$4:$E$803,C982,MOVIMIENTOS_COMPLEMENTOS!$G$4:$G$803,E982,MOVIMIENTOS_COMPLEMENTOS!$H$4:$H$803,G982,MOVIMIENTOS_COMPLEMENTOS!$B$4:$B$803,"INGRESO")+SUMIFS(MOVIMIENTOS_COMPLEMENTOS!$I$4:$I$803,MOVIMIENTOS_COMPLEMENTOS!$C$4:$C$803,A982,MOVIMIENTOS_COMPLEMENTOS!$D$4:$D$803,B982,MOVIMIENTOS_COMPLEMENTOS!$E$4:$E$803,C982,MOVIMIENTOS_COMPLEMENTOS!$G$4:$G$803,E982,MOVIMIENTOS_COMPLEMENTOS!$H$4:$H$803,G982,MOVIMIENTOS_COMPLEMENTOS!$B$4:$B$803,"DE CORTE")-SUMIFS(MOVIMIENTOS_COMPLEMENTOS!$I$4:$I$803,MOVIMIENTOS_COMPLEMENTOS!$C$4:$C$803,A982,MOVIMIENTOS_COMPLEMENTOS!$D$4:$D$803,B982,MOVIMIENTOS_COMPLEMENTOS!$E$4:$E$803,C982,MOVIMIENTOS_COMPLEMENTOS!$G$4:$G$803,E982,MOVIMIENTOS_COMPLEMENTOS!$H$4:$H$803,G982,MOVIMIENTOS_COMPLEMENTOS!$B$4:$B$803,"SALIDA"),0)</f>
        <v>0</v>
      </c>
      <c r="I982" s="102">
        <f t="array" ref="I982">IFERROR(INDEX(PRECIOS_COMPLEMENTOS!$C$4:$F$17,MATCH(B982&amp;"_"&amp;C982,PRECIOS_COMPLEMENTOS!$H$4:$H$17,0),IF(OR(G982="S",G982="20cm"),1,IF(OR(G982="M",G982="25cm"),2,IF(OR(G982="L",G982="30cm"),3,IF(OR(G982="XL",G982="35cm"),4,0))))),0)</f>
        <v>0.4</v>
      </c>
      <c r="J982" s="103">
        <f t="shared" si="1"/>
        <v>0</v>
      </c>
      <c r="K982" s="104" t="str">
        <f>IF(H982&lt;0,"ERROR",IF(H982=0,"",IF(H982&lt;CONFIG!$B$4,"CRÍTICO",IF(H982&lt;CONFIG!$B$5,"BAJO","OK"))))</f>
        <v/>
      </c>
    </row>
    <row r="983" ht="15.75" hidden="1" customHeight="1">
      <c r="A983" s="90" t="str">
        <f>IF(CLIENTES!A7="","",CLIENTES!A7)</f>
        <v/>
      </c>
      <c r="B983" s="90" t="s">
        <v>321</v>
      </c>
      <c r="C983" s="91" t="s">
        <v>328</v>
      </c>
      <c r="D983" s="109" t="s">
        <v>353</v>
      </c>
      <c r="E983" s="67" t="str">
        <f>COLORES!A8</f>
        <v>Beige</v>
      </c>
      <c r="F983" s="67" t="str">
        <f>COLORES!B8</f>
        <v>CLARO</v>
      </c>
      <c r="G983" s="90" t="s">
        <v>379</v>
      </c>
      <c r="H983" s="100">
        <f>IFERROR(SUMIFS(MOVIMIENTOS_COMPLEMENTOS!$I$4:$I$803,MOVIMIENTOS_COMPLEMENTOS!$C$4:$C$803,A983,MOVIMIENTOS_COMPLEMENTOS!$D$4:$D$803,B983,MOVIMIENTOS_COMPLEMENTOS!$E$4:$E$803,C983,MOVIMIENTOS_COMPLEMENTOS!$G$4:$G$803,E983,MOVIMIENTOS_COMPLEMENTOS!$H$4:$H$803,G983,MOVIMIENTOS_COMPLEMENTOS!$B$4:$B$803,"INGRESO")+SUMIFS(MOVIMIENTOS_COMPLEMENTOS!$I$4:$I$803,MOVIMIENTOS_COMPLEMENTOS!$C$4:$C$803,A983,MOVIMIENTOS_COMPLEMENTOS!$D$4:$D$803,B983,MOVIMIENTOS_COMPLEMENTOS!$E$4:$E$803,C983,MOVIMIENTOS_COMPLEMENTOS!$G$4:$G$803,E983,MOVIMIENTOS_COMPLEMENTOS!$H$4:$H$803,G983,MOVIMIENTOS_COMPLEMENTOS!$B$4:$B$803,"DE CORTE")-SUMIFS(MOVIMIENTOS_COMPLEMENTOS!$I$4:$I$803,MOVIMIENTOS_COMPLEMENTOS!$C$4:$C$803,A983,MOVIMIENTOS_COMPLEMENTOS!$D$4:$D$803,B983,MOVIMIENTOS_COMPLEMENTOS!$E$4:$E$803,C983,MOVIMIENTOS_COMPLEMENTOS!$G$4:$G$803,E983,MOVIMIENTOS_COMPLEMENTOS!$H$4:$H$803,G983,MOVIMIENTOS_COMPLEMENTOS!$B$4:$B$803,"SALIDA"),0)</f>
        <v>0</v>
      </c>
      <c r="I983" s="102">
        <f t="array" ref="I983">IFERROR(INDEX(PRECIOS_COMPLEMENTOS!$C$4:$F$17,MATCH(B983&amp;"_"&amp;C983,PRECIOS_COMPLEMENTOS!$H$4:$H$17,0),IF(OR(G983="S",G983="20cm"),1,IF(OR(G983="M",G983="25cm"),2,IF(OR(G983="L",G983="30cm"),3,IF(OR(G983="XL",G983="35cm"),4,0))))),0)</f>
        <v>0.4</v>
      </c>
      <c r="J983" s="103">
        <f t="shared" si="1"/>
        <v>0</v>
      </c>
      <c r="K983" s="104" t="str">
        <f>IF(H983&lt;0,"ERROR",IF(H983=0,"",IF(H983&lt;CONFIG!$B$4,"CRÍTICO",IF(H983&lt;CONFIG!$B$5,"BAJO","OK"))))</f>
        <v/>
      </c>
    </row>
    <row r="984" ht="15.75" hidden="1" customHeight="1">
      <c r="A984" s="90" t="str">
        <f>IF(CLIENTES!A7="","",CLIENTES!A7)</f>
        <v/>
      </c>
      <c r="B984" s="90" t="s">
        <v>321</v>
      </c>
      <c r="C984" s="91" t="s">
        <v>328</v>
      </c>
      <c r="D984" s="109" t="s">
        <v>353</v>
      </c>
      <c r="E984" s="67" t="str">
        <f>COLORES!A9</f>
        <v>Melange</v>
      </c>
      <c r="F984" s="67" t="str">
        <f>COLORES!B9</f>
        <v>MELANGE</v>
      </c>
      <c r="G984" s="90" t="s">
        <v>378</v>
      </c>
      <c r="H984" s="100">
        <f>IFERROR(SUMIFS(MOVIMIENTOS_COMPLEMENTOS!$I$4:$I$803,MOVIMIENTOS_COMPLEMENTOS!$C$4:$C$803,A984,MOVIMIENTOS_COMPLEMENTOS!$D$4:$D$803,B984,MOVIMIENTOS_COMPLEMENTOS!$E$4:$E$803,C984,MOVIMIENTOS_COMPLEMENTOS!$G$4:$G$803,E984,MOVIMIENTOS_COMPLEMENTOS!$H$4:$H$803,G984,MOVIMIENTOS_COMPLEMENTOS!$B$4:$B$803,"INGRESO")+SUMIFS(MOVIMIENTOS_COMPLEMENTOS!$I$4:$I$803,MOVIMIENTOS_COMPLEMENTOS!$C$4:$C$803,A984,MOVIMIENTOS_COMPLEMENTOS!$D$4:$D$803,B984,MOVIMIENTOS_COMPLEMENTOS!$E$4:$E$803,C984,MOVIMIENTOS_COMPLEMENTOS!$G$4:$G$803,E984,MOVIMIENTOS_COMPLEMENTOS!$H$4:$H$803,G984,MOVIMIENTOS_COMPLEMENTOS!$B$4:$B$803,"DE CORTE")-SUMIFS(MOVIMIENTOS_COMPLEMENTOS!$I$4:$I$803,MOVIMIENTOS_COMPLEMENTOS!$C$4:$C$803,A984,MOVIMIENTOS_COMPLEMENTOS!$D$4:$D$803,B984,MOVIMIENTOS_COMPLEMENTOS!$E$4:$E$803,C984,MOVIMIENTOS_COMPLEMENTOS!$G$4:$G$803,E984,MOVIMIENTOS_COMPLEMENTOS!$H$4:$H$803,G984,MOVIMIENTOS_COMPLEMENTOS!$B$4:$B$803,"SALIDA"),0)</f>
        <v>0</v>
      </c>
      <c r="I984" s="102">
        <f t="array" ref="I984">IFERROR(INDEX(PRECIOS_COMPLEMENTOS!$C$4:$F$17,MATCH(B984&amp;"_"&amp;C984,PRECIOS_COMPLEMENTOS!$H$4:$H$17,0),IF(OR(G984="S",G984="20cm"),1,IF(OR(G984="M",G984="25cm"),2,IF(OR(G984="L",G984="30cm"),3,IF(OR(G984="XL",G984="35cm"),4,0))))),0)</f>
        <v>0.4</v>
      </c>
      <c r="J984" s="103">
        <f t="shared" si="1"/>
        <v>0</v>
      </c>
      <c r="K984" s="104" t="str">
        <f>IF(H984&lt;0,"ERROR",IF(H984=0,"",IF(H984&lt;CONFIG!$B$4,"CRÍTICO",IF(H984&lt;CONFIG!$B$5,"BAJO","OK"))))</f>
        <v/>
      </c>
    </row>
    <row r="985" ht="15.75" hidden="1" customHeight="1">
      <c r="A985" s="90" t="str">
        <f>IF(CLIENTES!A7="","",CLIENTES!A7)</f>
        <v/>
      </c>
      <c r="B985" s="90" t="s">
        <v>321</v>
      </c>
      <c r="C985" s="91" t="s">
        <v>328</v>
      </c>
      <c r="D985" s="109" t="s">
        <v>353</v>
      </c>
      <c r="E985" s="67" t="str">
        <f>COLORES!A9</f>
        <v>Melange</v>
      </c>
      <c r="F985" s="67" t="str">
        <f>COLORES!B9</f>
        <v>MELANGE</v>
      </c>
      <c r="G985" s="90" t="s">
        <v>376</v>
      </c>
      <c r="H985" s="100">
        <f>IFERROR(SUMIFS(MOVIMIENTOS_COMPLEMENTOS!$I$4:$I$803,MOVIMIENTOS_COMPLEMENTOS!$C$4:$C$803,A985,MOVIMIENTOS_COMPLEMENTOS!$D$4:$D$803,B985,MOVIMIENTOS_COMPLEMENTOS!$E$4:$E$803,C985,MOVIMIENTOS_COMPLEMENTOS!$G$4:$G$803,E985,MOVIMIENTOS_COMPLEMENTOS!$H$4:$H$803,G985,MOVIMIENTOS_COMPLEMENTOS!$B$4:$B$803,"INGRESO")+SUMIFS(MOVIMIENTOS_COMPLEMENTOS!$I$4:$I$803,MOVIMIENTOS_COMPLEMENTOS!$C$4:$C$803,A985,MOVIMIENTOS_COMPLEMENTOS!$D$4:$D$803,B985,MOVIMIENTOS_COMPLEMENTOS!$E$4:$E$803,C985,MOVIMIENTOS_COMPLEMENTOS!$G$4:$G$803,E985,MOVIMIENTOS_COMPLEMENTOS!$H$4:$H$803,G985,MOVIMIENTOS_COMPLEMENTOS!$B$4:$B$803,"DE CORTE")-SUMIFS(MOVIMIENTOS_COMPLEMENTOS!$I$4:$I$803,MOVIMIENTOS_COMPLEMENTOS!$C$4:$C$803,A985,MOVIMIENTOS_COMPLEMENTOS!$D$4:$D$803,B985,MOVIMIENTOS_COMPLEMENTOS!$E$4:$E$803,C985,MOVIMIENTOS_COMPLEMENTOS!$G$4:$G$803,E985,MOVIMIENTOS_COMPLEMENTOS!$H$4:$H$803,G985,MOVIMIENTOS_COMPLEMENTOS!$B$4:$B$803,"SALIDA"),0)</f>
        <v>0</v>
      </c>
      <c r="I985" s="102">
        <f t="array" ref="I985">IFERROR(INDEX(PRECIOS_COMPLEMENTOS!$C$4:$F$17,MATCH(B985&amp;"_"&amp;C985,PRECIOS_COMPLEMENTOS!$H$4:$H$17,0),IF(OR(G985="S",G985="20cm"),1,IF(OR(G985="M",G985="25cm"),2,IF(OR(G985="L",G985="30cm"),3,IF(OR(G985="XL",G985="35cm"),4,0))))),0)</f>
        <v>0.4</v>
      </c>
      <c r="J985" s="103">
        <f t="shared" si="1"/>
        <v>0</v>
      </c>
      <c r="K985" s="104" t="str">
        <f>IF(H985&lt;0,"ERROR",IF(H985=0,"",IF(H985&lt;CONFIG!$B$4,"CRÍTICO",IF(H985&lt;CONFIG!$B$5,"BAJO","OK"))))</f>
        <v/>
      </c>
    </row>
    <row r="986" ht="15.75" hidden="1" customHeight="1">
      <c r="A986" s="90" t="str">
        <f>IF(CLIENTES!A7="","",CLIENTES!A7)</f>
        <v/>
      </c>
      <c r="B986" s="90" t="s">
        <v>321</v>
      </c>
      <c r="C986" s="91" t="s">
        <v>328</v>
      </c>
      <c r="D986" s="109" t="s">
        <v>353</v>
      </c>
      <c r="E986" s="67" t="str">
        <f>COLORES!A9</f>
        <v>Melange</v>
      </c>
      <c r="F986" s="67" t="str">
        <f>COLORES!B9</f>
        <v>MELANGE</v>
      </c>
      <c r="G986" s="90" t="s">
        <v>377</v>
      </c>
      <c r="H986" s="100">
        <f>IFERROR(SUMIFS(MOVIMIENTOS_COMPLEMENTOS!$I$4:$I$803,MOVIMIENTOS_COMPLEMENTOS!$C$4:$C$803,A986,MOVIMIENTOS_COMPLEMENTOS!$D$4:$D$803,B986,MOVIMIENTOS_COMPLEMENTOS!$E$4:$E$803,C986,MOVIMIENTOS_COMPLEMENTOS!$G$4:$G$803,E986,MOVIMIENTOS_COMPLEMENTOS!$H$4:$H$803,G986,MOVIMIENTOS_COMPLEMENTOS!$B$4:$B$803,"INGRESO")+SUMIFS(MOVIMIENTOS_COMPLEMENTOS!$I$4:$I$803,MOVIMIENTOS_COMPLEMENTOS!$C$4:$C$803,A986,MOVIMIENTOS_COMPLEMENTOS!$D$4:$D$803,B986,MOVIMIENTOS_COMPLEMENTOS!$E$4:$E$803,C986,MOVIMIENTOS_COMPLEMENTOS!$G$4:$G$803,E986,MOVIMIENTOS_COMPLEMENTOS!$H$4:$H$803,G986,MOVIMIENTOS_COMPLEMENTOS!$B$4:$B$803,"DE CORTE")-SUMIFS(MOVIMIENTOS_COMPLEMENTOS!$I$4:$I$803,MOVIMIENTOS_COMPLEMENTOS!$C$4:$C$803,A986,MOVIMIENTOS_COMPLEMENTOS!$D$4:$D$803,B986,MOVIMIENTOS_COMPLEMENTOS!$E$4:$E$803,C986,MOVIMIENTOS_COMPLEMENTOS!$G$4:$G$803,E986,MOVIMIENTOS_COMPLEMENTOS!$H$4:$H$803,G986,MOVIMIENTOS_COMPLEMENTOS!$B$4:$B$803,"SALIDA"),0)</f>
        <v>0</v>
      </c>
      <c r="I986" s="102">
        <f t="array" ref="I986">IFERROR(INDEX(PRECIOS_COMPLEMENTOS!$C$4:$F$17,MATCH(B986&amp;"_"&amp;C986,PRECIOS_COMPLEMENTOS!$H$4:$H$17,0),IF(OR(G986="S",G986="20cm"),1,IF(OR(G986="M",G986="25cm"),2,IF(OR(G986="L",G986="30cm"),3,IF(OR(G986="XL",G986="35cm"),4,0))))),0)</f>
        <v>0.4</v>
      </c>
      <c r="J986" s="103">
        <f t="shared" si="1"/>
        <v>0</v>
      </c>
      <c r="K986" s="104" t="str">
        <f>IF(H986&lt;0,"ERROR",IF(H986=0,"",IF(H986&lt;CONFIG!$B$4,"CRÍTICO",IF(H986&lt;CONFIG!$B$5,"BAJO","OK"))))</f>
        <v/>
      </c>
    </row>
    <row r="987" ht="15.75" hidden="1" customHeight="1">
      <c r="A987" s="90" t="str">
        <f>IF(CLIENTES!A7="","",CLIENTES!A7)</f>
        <v/>
      </c>
      <c r="B987" s="90" t="s">
        <v>321</v>
      </c>
      <c r="C987" s="91" t="s">
        <v>328</v>
      </c>
      <c r="D987" s="109" t="s">
        <v>353</v>
      </c>
      <c r="E987" s="67" t="str">
        <f>COLORES!A9</f>
        <v>Melange</v>
      </c>
      <c r="F987" s="67" t="str">
        <f>COLORES!B9</f>
        <v>MELANGE</v>
      </c>
      <c r="G987" s="90" t="s">
        <v>379</v>
      </c>
      <c r="H987" s="100">
        <f>IFERROR(SUMIFS(MOVIMIENTOS_COMPLEMENTOS!$I$4:$I$803,MOVIMIENTOS_COMPLEMENTOS!$C$4:$C$803,A987,MOVIMIENTOS_COMPLEMENTOS!$D$4:$D$803,B987,MOVIMIENTOS_COMPLEMENTOS!$E$4:$E$803,C987,MOVIMIENTOS_COMPLEMENTOS!$G$4:$G$803,E987,MOVIMIENTOS_COMPLEMENTOS!$H$4:$H$803,G987,MOVIMIENTOS_COMPLEMENTOS!$B$4:$B$803,"INGRESO")+SUMIFS(MOVIMIENTOS_COMPLEMENTOS!$I$4:$I$803,MOVIMIENTOS_COMPLEMENTOS!$C$4:$C$803,A987,MOVIMIENTOS_COMPLEMENTOS!$D$4:$D$803,B987,MOVIMIENTOS_COMPLEMENTOS!$E$4:$E$803,C987,MOVIMIENTOS_COMPLEMENTOS!$G$4:$G$803,E987,MOVIMIENTOS_COMPLEMENTOS!$H$4:$H$803,G987,MOVIMIENTOS_COMPLEMENTOS!$B$4:$B$803,"DE CORTE")-SUMIFS(MOVIMIENTOS_COMPLEMENTOS!$I$4:$I$803,MOVIMIENTOS_COMPLEMENTOS!$C$4:$C$803,A987,MOVIMIENTOS_COMPLEMENTOS!$D$4:$D$803,B987,MOVIMIENTOS_COMPLEMENTOS!$E$4:$E$803,C987,MOVIMIENTOS_COMPLEMENTOS!$G$4:$G$803,E987,MOVIMIENTOS_COMPLEMENTOS!$H$4:$H$803,G987,MOVIMIENTOS_COMPLEMENTOS!$B$4:$B$803,"SALIDA"),0)</f>
        <v>0</v>
      </c>
      <c r="I987" s="102">
        <f t="array" ref="I987">IFERROR(INDEX(PRECIOS_COMPLEMENTOS!$C$4:$F$17,MATCH(B987&amp;"_"&amp;C987,PRECIOS_COMPLEMENTOS!$H$4:$H$17,0),IF(OR(G987="S",G987="20cm"),1,IF(OR(G987="M",G987="25cm"),2,IF(OR(G987="L",G987="30cm"),3,IF(OR(G987="XL",G987="35cm"),4,0))))),0)</f>
        <v>0.4</v>
      </c>
      <c r="J987" s="103">
        <f t="shared" si="1"/>
        <v>0</v>
      </c>
      <c r="K987" s="104" t="str">
        <f>IF(H987&lt;0,"ERROR",IF(H987=0,"",IF(H987&lt;CONFIG!$B$4,"CRÍTICO",IF(H987&lt;CONFIG!$B$5,"BAJO","OK"))))</f>
        <v/>
      </c>
    </row>
    <row r="988" ht="15.75" hidden="1" customHeight="1">
      <c r="A988" s="90" t="str">
        <f>IF(CLIENTES!A7="","",CLIENTES!A7)</f>
        <v/>
      </c>
      <c r="B988" s="90" t="s">
        <v>321</v>
      </c>
      <c r="C988" s="91" t="s">
        <v>328</v>
      </c>
      <c r="D988" s="109" t="s">
        <v>353</v>
      </c>
      <c r="E988" s="67" t="str">
        <f>COLORES!A10</f>
        <v>Botella</v>
      </c>
      <c r="F988" s="67" t="str">
        <f>COLORES!B10</f>
        <v>OSCURO</v>
      </c>
      <c r="G988" s="90" t="s">
        <v>378</v>
      </c>
      <c r="H988" s="100">
        <f>IFERROR(SUMIFS(MOVIMIENTOS_COMPLEMENTOS!$I$4:$I$803,MOVIMIENTOS_COMPLEMENTOS!$C$4:$C$803,A988,MOVIMIENTOS_COMPLEMENTOS!$D$4:$D$803,B988,MOVIMIENTOS_COMPLEMENTOS!$E$4:$E$803,C988,MOVIMIENTOS_COMPLEMENTOS!$G$4:$G$803,E988,MOVIMIENTOS_COMPLEMENTOS!$H$4:$H$803,G988,MOVIMIENTOS_COMPLEMENTOS!$B$4:$B$803,"INGRESO")+SUMIFS(MOVIMIENTOS_COMPLEMENTOS!$I$4:$I$803,MOVIMIENTOS_COMPLEMENTOS!$C$4:$C$803,A988,MOVIMIENTOS_COMPLEMENTOS!$D$4:$D$803,B988,MOVIMIENTOS_COMPLEMENTOS!$E$4:$E$803,C988,MOVIMIENTOS_COMPLEMENTOS!$G$4:$G$803,E988,MOVIMIENTOS_COMPLEMENTOS!$H$4:$H$803,G988,MOVIMIENTOS_COMPLEMENTOS!$B$4:$B$803,"DE CORTE")-SUMIFS(MOVIMIENTOS_COMPLEMENTOS!$I$4:$I$803,MOVIMIENTOS_COMPLEMENTOS!$C$4:$C$803,A988,MOVIMIENTOS_COMPLEMENTOS!$D$4:$D$803,B988,MOVIMIENTOS_COMPLEMENTOS!$E$4:$E$803,C988,MOVIMIENTOS_COMPLEMENTOS!$G$4:$G$803,E988,MOVIMIENTOS_COMPLEMENTOS!$H$4:$H$803,G988,MOVIMIENTOS_COMPLEMENTOS!$B$4:$B$803,"SALIDA"),0)</f>
        <v>0</v>
      </c>
      <c r="I988" s="102">
        <f t="array" ref="I988">IFERROR(INDEX(PRECIOS_COMPLEMENTOS!$C$4:$F$17,MATCH(B988&amp;"_"&amp;C988,PRECIOS_COMPLEMENTOS!$H$4:$H$17,0),IF(OR(G988="S",G988="20cm"),1,IF(OR(G988="M",G988="25cm"),2,IF(OR(G988="L",G988="30cm"),3,IF(OR(G988="XL",G988="35cm"),4,0))))),0)</f>
        <v>0.4</v>
      </c>
      <c r="J988" s="103">
        <f t="shared" si="1"/>
        <v>0</v>
      </c>
      <c r="K988" s="104" t="str">
        <f>IF(H988&lt;0,"ERROR",IF(H988=0,"",IF(H988&lt;CONFIG!$B$4,"CRÍTICO",IF(H988&lt;CONFIG!$B$5,"BAJO","OK"))))</f>
        <v/>
      </c>
    </row>
    <row r="989" ht="15.75" hidden="1" customHeight="1">
      <c r="A989" s="90" t="str">
        <f>IF(CLIENTES!A7="","",CLIENTES!A7)</f>
        <v/>
      </c>
      <c r="B989" s="90" t="s">
        <v>321</v>
      </c>
      <c r="C989" s="91" t="s">
        <v>328</v>
      </c>
      <c r="D989" s="109" t="s">
        <v>353</v>
      </c>
      <c r="E989" s="67" t="str">
        <f>COLORES!A10</f>
        <v>Botella</v>
      </c>
      <c r="F989" s="67" t="str">
        <f>COLORES!B10</f>
        <v>OSCURO</v>
      </c>
      <c r="G989" s="90" t="s">
        <v>376</v>
      </c>
      <c r="H989" s="100">
        <f>IFERROR(SUMIFS(MOVIMIENTOS_COMPLEMENTOS!$I$4:$I$803,MOVIMIENTOS_COMPLEMENTOS!$C$4:$C$803,A989,MOVIMIENTOS_COMPLEMENTOS!$D$4:$D$803,B989,MOVIMIENTOS_COMPLEMENTOS!$E$4:$E$803,C989,MOVIMIENTOS_COMPLEMENTOS!$G$4:$G$803,E989,MOVIMIENTOS_COMPLEMENTOS!$H$4:$H$803,G989,MOVIMIENTOS_COMPLEMENTOS!$B$4:$B$803,"INGRESO")+SUMIFS(MOVIMIENTOS_COMPLEMENTOS!$I$4:$I$803,MOVIMIENTOS_COMPLEMENTOS!$C$4:$C$803,A989,MOVIMIENTOS_COMPLEMENTOS!$D$4:$D$803,B989,MOVIMIENTOS_COMPLEMENTOS!$E$4:$E$803,C989,MOVIMIENTOS_COMPLEMENTOS!$G$4:$G$803,E989,MOVIMIENTOS_COMPLEMENTOS!$H$4:$H$803,G989,MOVIMIENTOS_COMPLEMENTOS!$B$4:$B$803,"DE CORTE")-SUMIFS(MOVIMIENTOS_COMPLEMENTOS!$I$4:$I$803,MOVIMIENTOS_COMPLEMENTOS!$C$4:$C$803,A989,MOVIMIENTOS_COMPLEMENTOS!$D$4:$D$803,B989,MOVIMIENTOS_COMPLEMENTOS!$E$4:$E$803,C989,MOVIMIENTOS_COMPLEMENTOS!$G$4:$G$803,E989,MOVIMIENTOS_COMPLEMENTOS!$H$4:$H$803,G989,MOVIMIENTOS_COMPLEMENTOS!$B$4:$B$803,"SALIDA"),0)</f>
        <v>0</v>
      </c>
      <c r="I989" s="102">
        <f t="array" ref="I989">IFERROR(INDEX(PRECIOS_COMPLEMENTOS!$C$4:$F$17,MATCH(B989&amp;"_"&amp;C989,PRECIOS_COMPLEMENTOS!$H$4:$H$17,0),IF(OR(G989="S",G989="20cm"),1,IF(OR(G989="M",G989="25cm"),2,IF(OR(G989="L",G989="30cm"),3,IF(OR(G989="XL",G989="35cm"),4,0))))),0)</f>
        <v>0.4</v>
      </c>
      <c r="J989" s="103">
        <f t="shared" si="1"/>
        <v>0</v>
      </c>
      <c r="K989" s="104" t="str">
        <f>IF(H989&lt;0,"ERROR",IF(H989=0,"",IF(H989&lt;CONFIG!$B$4,"CRÍTICO",IF(H989&lt;CONFIG!$B$5,"BAJO","OK"))))</f>
        <v/>
      </c>
    </row>
    <row r="990" ht="15.75" hidden="1" customHeight="1">
      <c r="A990" s="90" t="str">
        <f>IF(CLIENTES!A7="","",CLIENTES!A7)</f>
        <v/>
      </c>
      <c r="B990" s="90" t="s">
        <v>321</v>
      </c>
      <c r="C990" s="91" t="s">
        <v>328</v>
      </c>
      <c r="D990" s="109" t="s">
        <v>353</v>
      </c>
      <c r="E990" s="67" t="str">
        <f>COLORES!A10</f>
        <v>Botella</v>
      </c>
      <c r="F990" s="67" t="str">
        <f>COLORES!B10</f>
        <v>OSCURO</v>
      </c>
      <c r="G990" s="90" t="s">
        <v>377</v>
      </c>
      <c r="H990" s="100">
        <f>IFERROR(SUMIFS(MOVIMIENTOS_COMPLEMENTOS!$I$4:$I$803,MOVIMIENTOS_COMPLEMENTOS!$C$4:$C$803,A990,MOVIMIENTOS_COMPLEMENTOS!$D$4:$D$803,B990,MOVIMIENTOS_COMPLEMENTOS!$E$4:$E$803,C990,MOVIMIENTOS_COMPLEMENTOS!$G$4:$G$803,E990,MOVIMIENTOS_COMPLEMENTOS!$H$4:$H$803,G990,MOVIMIENTOS_COMPLEMENTOS!$B$4:$B$803,"INGRESO")+SUMIFS(MOVIMIENTOS_COMPLEMENTOS!$I$4:$I$803,MOVIMIENTOS_COMPLEMENTOS!$C$4:$C$803,A990,MOVIMIENTOS_COMPLEMENTOS!$D$4:$D$803,B990,MOVIMIENTOS_COMPLEMENTOS!$E$4:$E$803,C990,MOVIMIENTOS_COMPLEMENTOS!$G$4:$G$803,E990,MOVIMIENTOS_COMPLEMENTOS!$H$4:$H$803,G990,MOVIMIENTOS_COMPLEMENTOS!$B$4:$B$803,"DE CORTE")-SUMIFS(MOVIMIENTOS_COMPLEMENTOS!$I$4:$I$803,MOVIMIENTOS_COMPLEMENTOS!$C$4:$C$803,A990,MOVIMIENTOS_COMPLEMENTOS!$D$4:$D$803,B990,MOVIMIENTOS_COMPLEMENTOS!$E$4:$E$803,C990,MOVIMIENTOS_COMPLEMENTOS!$G$4:$G$803,E990,MOVIMIENTOS_COMPLEMENTOS!$H$4:$H$803,G990,MOVIMIENTOS_COMPLEMENTOS!$B$4:$B$803,"SALIDA"),0)</f>
        <v>0</v>
      </c>
      <c r="I990" s="102">
        <f t="array" ref="I990">IFERROR(INDEX(PRECIOS_COMPLEMENTOS!$C$4:$F$17,MATCH(B990&amp;"_"&amp;C990,PRECIOS_COMPLEMENTOS!$H$4:$H$17,0),IF(OR(G990="S",G990="20cm"),1,IF(OR(G990="M",G990="25cm"),2,IF(OR(G990="L",G990="30cm"),3,IF(OR(G990="XL",G990="35cm"),4,0))))),0)</f>
        <v>0.4</v>
      </c>
      <c r="J990" s="103">
        <f t="shared" si="1"/>
        <v>0</v>
      </c>
      <c r="K990" s="104" t="str">
        <f>IF(H990&lt;0,"ERROR",IF(H990=0,"",IF(H990&lt;CONFIG!$B$4,"CRÍTICO",IF(H990&lt;CONFIG!$B$5,"BAJO","OK"))))</f>
        <v/>
      </c>
    </row>
    <row r="991" ht="15.75" hidden="1" customHeight="1">
      <c r="A991" s="90" t="str">
        <f>IF(CLIENTES!A7="","",CLIENTES!A7)</f>
        <v/>
      </c>
      <c r="B991" s="90" t="s">
        <v>321</v>
      </c>
      <c r="C991" s="91" t="s">
        <v>328</v>
      </c>
      <c r="D991" s="109" t="s">
        <v>353</v>
      </c>
      <c r="E991" s="67" t="str">
        <f>COLORES!A10</f>
        <v>Botella</v>
      </c>
      <c r="F991" s="67" t="str">
        <f>COLORES!B10</f>
        <v>OSCURO</v>
      </c>
      <c r="G991" s="90" t="s">
        <v>379</v>
      </c>
      <c r="H991" s="100">
        <f>IFERROR(SUMIFS(MOVIMIENTOS_COMPLEMENTOS!$I$4:$I$803,MOVIMIENTOS_COMPLEMENTOS!$C$4:$C$803,A991,MOVIMIENTOS_COMPLEMENTOS!$D$4:$D$803,B991,MOVIMIENTOS_COMPLEMENTOS!$E$4:$E$803,C991,MOVIMIENTOS_COMPLEMENTOS!$G$4:$G$803,E991,MOVIMIENTOS_COMPLEMENTOS!$H$4:$H$803,G991,MOVIMIENTOS_COMPLEMENTOS!$B$4:$B$803,"INGRESO")+SUMIFS(MOVIMIENTOS_COMPLEMENTOS!$I$4:$I$803,MOVIMIENTOS_COMPLEMENTOS!$C$4:$C$803,A991,MOVIMIENTOS_COMPLEMENTOS!$D$4:$D$803,B991,MOVIMIENTOS_COMPLEMENTOS!$E$4:$E$803,C991,MOVIMIENTOS_COMPLEMENTOS!$G$4:$G$803,E991,MOVIMIENTOS_COMPLEMENTOS!$H$4:$H$803,G991,MOVIMIENTOS_COMPLEMENTOS!$B$4:$B$803,"DE CORTE")-SUMIFS(MOVIMIENTOS_COMPLEMENTOS!$I$4:$I$803,MOVIMIENTOS_COMPLEMENTOS!$C$4:$C$803,A991,MOVIMIENTOS_COMPLEMENTOS!$D$4:$D$803,B991,MOVIMIENTOS_COMPLEMENTOS!$E$4:$E$803,C991,MOVIMIENTOS_COMPLEMENTOS!$G$4:$G$803,E991,MOVIMIENTOS_COMPLEMENTOS!$H$4:$H$803,G991,MOVIMIENTOS_COMPLEMENTOS!$B$4:$B$803,"SALIDA"),0)</f>
        <v>0</v>
      </c>
      <c r="I991" s="102">
        <f t="array" ref="I991">IFERROR(INDEX(PRECIOS_COMPLEMENTOS!$C$4:$F$17,MATCH(B991&amp;"_"&amp;C991,PRECIOS_COMPLEMENTOS!$H$4:$H$17,0),IF(OR(G991="S",G991="20cm"),1,IF(OR(G991="M",G991="25cm"),2,IF(OR(G991="L",G991="30cm"),3,IF(OR(G991="XL",G991="35cm"),4,0))))),0)</f>
        <v>0.4</v>
      </c>
      <c r="J991" s="103">
        <f t="shared" si="1"/>
        <v>0</v>
      </c>
      <c r="K991" s="104" t="str">
        <f>IF(H991&lt;0,"ERROR",IF(H991=0,"",IF(H991&lt;CONFIG!$B$4,"CRÍTICO",IF(H991&lt;CONFIG!$B$5,"BAJO","OK"))))</f>
        <v/>
      </c>
    </row>
    <row r="992" ht="15.75" hidden="1" customHeight="1">
      <c r="A992" s="90" t="str">
        <f>IF(CLIENTES!A7="","",CLIENTES!A7)</f>
        <v/>
      </c>
      <c r="B992" s="90" t="s">
        <v>321</v>
      </c>
      <c r="C992" s="91" t="s">
        <v>328</v>
      </c>
      <c r="D992" s="109" t="s">
        <v>353</v>
      </c>
      <c r="E992" s="67" t="str">
        <f>COLORES!A11</f>
        <v>Pacay</v>
      </c>
      <c r="F992" s="67" t="str">
        <f>COLORES!B11</f>
        <v>CLARO</v>
      </c>
      <c r="G992" s="90" t="s">
        <v>378</v>
      </c>
      <c r="H992" s="100">
        <f>IFERROR(SUMIFS(MOVIMIENTOS_COMPLEMENTOS!$I$4:$I$803,MOVIMIENTOS_COMPLEMENTOS!$C$4:$C$803,A992,MOVIMIENTOS_COMPLEMENTOS!$D$4:$D$803,B992,MOVIMIENTOS_COMPLEMENTOS!$E$4:$E$803,C992,MOVIMIENTOS_COMPLEMENTOS!$G$4:$G$803,E992,MOVIMIENTOS_COMPLEMENTOS!$H$4:$H$803,G992,MOVIMIENTOS_COMPLEMENTOS!$B$4:$B$803,"INGRESO")+SUMIFS(MOVIMIENTOS_COMPLEMENTOS!$I$4:$I$803,MOVIMIENTOS_COMPLEMENTOS!$C$4:$C$803,A992,MOVIMIENTOS_COMPLEMENTOS!$D$4:$D$803,B992,MOVIMIENTOS_COMPLEMENTOS!$E$4:$E$803,C992,MOVIMIENTOS_COMPLEMENTOS!$G$4:$G$803,E992,MOVIMIENTOS_COMPLEMENTOS!$H$4:$H$803,G992,MOVIMIENTOS_COMPLEMENTOS!$B$4:$B$803,"DE CORTE")-SUMIFS(MOVIMIENTOS_COMPLEMENTOS!$I$4:$I$803,MOVIMIENTOS_COMPLEMENTOS!$C$4:$C$803,A992,MOVIMIENTOS_COMPLEMENTOS!$D$4:$D$803,B992,MOVIMIENTOS_COMPLEMENTOS!$E$4:$E$803,C992,MOVIMIENTOS_COMPLEMENTOS!$G$4:$G$803,E992,MOVIMIENTOS_COMPLEMENTOS!$H$4:$H$803,G992,MOVIMIENTOS_COMPLEMENTOS!$B$4:$B$803,"SALIDA"),0)</f>
        <v>0</v>
      </c>
      <c r="I992" s="102">
        <f t="array" ref="I992">IFERROR(INDEX(PRECIOS_COMPLEMENTOS!$C$4:$F$17,MATCH(B992&amp;"_"&amp;C992,PRECIOS_COMPLEMENTOS!$H$4:$H$17,0),IF(OR(G992="S",G992="20cm"),1,IF(OR(G992="M",G992="25cm"),2,IF(OR(G992="L",G992="30cm"),3,IF(OR(G992="XL",G992="35cm"),4,0))))),0)</f>
        <v>0.4</v>
      </c>
      <c r="J992" s="103">
        <f t="shared" si="1"/>
        <v>0</v>
      </c>
      <c r="K992" s="104" t="str">
        <f>IF(H992&lt;0,"ERROR",IF(H992=0,"",IF(H992&lt;CONFIG!$B$4,"CRÍTICO",IF(H992&lt;CONFIG!$B$5,"BAJO","OK"))))</f>
        <v/>
      </c>
    </row>
    <row r="993" ht="15.75" hidden="1" customHeight="1">
      <c r="A993" s="90" t="str">
        <f>IF(CLIENTES!A7="","",CLIENTES!A7)</f>
        <v/>
      </c>
      <c r="B993" s="90" t="s">
        <v>321</v>
      </c>
      <c r="C993" s="91" t="s">
        <v>328</v>
      </c>
      <c r="D993" s="109" t="s">
        <v>353</v>
      </c>
      <c r="E993" s="67" t="str">
        <f>COLORES!A11</f>
        <v>Pacay</v>
      </c>
      <c r="F993" s="67" t="str">
        <f>COLORES!B11</f>
        <v>CLARO</v>
      </c>
      <c r="G993" s="90" t="s">
        <v>376</v>
      </c>
      <c r="H993" s="100">
        <f>IFERROR(SUMIFS(MOVIMIENTOS_COMPLEMENTOS!$I$4:$I$803,MOVIMIENTOS_COMPLEMENTOS!$C$4:$C$803,A993,MOVIMIENTOS_COMPLEMENTOS!$D$4:$D$803,B993,MOVIMIENTOS_COMPLEMENTOS!$E$4:$E$803,C993,MOVIMIENTOS_COMPLEMENTOS!$G$4:$G$803,E993,MOVIMIENTOS_COMPLEMENTOS!$H$4:$H$803,G993,MOVIMIENTOS_COMPLEMENTOS!$B$4:$B$803,"INGRESO")+SUMIFS(MOVIMIENTOS_COMPLEMENTOS!$I$4:$I$803,MOVIMIENTOS_COMPLEMENTOS!$C$4:$C$803,A993,MOVIMIENTOS_COMPLEMENTOS!$D$4:$D$803,B993,MOVIMIENTOS_COMPLEMENTOS!$E$4:$E$803,C993,MOVIMIENTOS_COMPLEMENTOS!$G$4:$G$803,E993,MOVIMIENTOS_COMPLEMENTOS!$H$4:$H$803,G993,MOVIMIENTOS_COMPLEMENTOS!$B$4:$B$803,"DE CORTE")-SUMIFS(MOVIMIENTOS_COMPLEMENTOS!$I$4:$I$803,MOVIMIENTOS_COMPLEMENTOS!$C$4:$C$803,A993,MOVIMIENTOS_COMPLEMENTOS!$D$4:$D$803,B993,MOVIMIENTOS_COMPLEMENTOS!$E$4:$E$803,C993,MOVIMIENTOS_COMPLEMENTOS!$G$4:$G$803,E993,MOVIMIENTOS_COMPLEMENTOS!$H$4:$H$803,G993,MOVIMIENTOS_COMPLEMENTOS!$B$4:$B$803,"SALIDA"),0)</f>
        <v>0</v>
      </c>
      <c r="I993" s="102">
        <f t="array" ref="I993">IFERROR(INDEX(PRECIOS_COMPLEMENTOS!$C$4:$F$17,MATCH(B993&amp;"_"&amp;C993,PRECIOS_COMPLEMENTOS!$H$4:$H$17,0),IF(OR(G993="S",G993="20cm"),1,IF(OR(G993="M",G993="25cm"),2,IF(OR(G993="L",G993="30cm"),3,IF(OR(G993="XL",G993="35cm"),4,0))))),0)</f>
        <v>0.4</v>
      </c>
      <c r="J993" s="103">
        <f t="shared" si="1"/>
        <v>0</v>
      </c>
      <c r="K993" s="104" t="str">
        <f>IF(H993&lt;0,"ERROR",IF(H993=0,"",IF(H993&lt;CONFIG!$B$4,"CRÍTICO",IF(H993&lt;CONFIG!$B$5,"BAJO","OK"))))</f>
        <v/>
      </c>
    </row>
    <row r="994" ht="15.75" hidden="1" customHeight="1">
      <c r="A994" s="90" t="str">
        <f>IF(CLIENTES!A7="","",CLIENTES!A7)</f>
        <v/>
      </c>
      <c r="B994" s="90" t="s">
        <v>321</v>
      </c>
      <c r="C994" s="91" t="s">
        <v>328</v>
      </c>
      <c r="D994" s="109" t="s">
        <v>353</v>
      </c>
      <c r="E994" s="67" t="str">
        <f>COLORES!A11</f>
        <v>Pacay</v>
      </c>
      <c r="F994" s="67" t="str">
        <f>COLORES!B11</f>
        <v>CLARO</v>
      </c>
      <c r="G994" s="90" t="s">
        <v>377</v>
      </c>
      <c r="H994" s="100">
        <f>IFERROR(SUMIFS(MOVIMIENTOS_COMPLEMENTOS!$I$4:$I$803,MOVIMIENTOS_COMPLEMENTOS!$C$4:$C$803,A994,MOVIMIENTOS_COMPLEMENTOS!$D$4:$D$803,B994,MOVIMIENTOS_COMPLEMENTOS!$E$4:$E$803,C994,MOVIMIENTOS_COMPLEMENTOS!$G$4:$G$803,E994,MOVIMIENTOS_COMPLEMENTOS!$H$4:$H$803,G994,MOVIMIENTOS_COMPLEMENTOS!$B$4:$B$803,"INGRESO")+SUMIFS(MOVIMIENTOS_COMPLEMENTOS!$I$4:$I$803,MOVIMIENTOS_COMPLEMENTOS!$C$4:$C$803,A994,MOVIMIENTOS_COMPLEMENTOS!$D$4:$D$803,B994,MOVIMIENTOS_COMPLEMENTOS!$E$4:$E$803,C994,MOVIMIENTOS_COMPLEMENTOS!$G$4:$G$803,E994,MOVIMIENTOS_COMPLEMENTOS!$H$4:$H$803,G994,MOVIMIENTOS_COMPLEMENTOS!$B$4:$B$803,"DE CORTE")-SUMIFS(MOVIMIENTOS_COMPLEMENTOS!$I$4:$I$803,MOVIMIENTOS_COMPLEMENTOS!$C$4:$C$803,A994,MOVIMIENTOS_COMPLEMENTOS!$D$4:$D$803,B994,MOVIMIENTOS_COMPLEMENTOS!$E$4:$E$803,C994,MOVIMIENTOS_COMPLEMENTOS!$G$4:$G$803,E994,MOVIMIENTOS_COMPLEMENTOS!$H$4:$H$803,G994,MOVIMIENTOS_COMPLEMENTOS!$B$4:$B$803,"SALIDA"),0)</f>
        <v>0</v>
      </c>
      <c r="I994" s="102">
        <f t="array" ref="I994">IFERROR(INDEX(PRECIOS_COMPLEMENTOS!$C$4:$F$17,MATCH(B994&amp;"_"&amp;C994,PRECIOS_COMPLEMENTOS!$H$4:$H$17,0),IF(OR(G994="S",G994="20cm"),1,IF(OR(G994="M",G994="25cm"),2,IF(OR(G994="L",G994="30cm"),3,IF(OR(G994="XL",G994="35cm"),4,0))))),0)</f>
        <v>0.4</v>
      </c>
      <c r="J994" s="103">
        <f t="shared" si="1"/>
        <v>0</v>
      </c>
      <c r="K994" s="104" t="str">
        <f>IF(H994&lt;0,"ERROR",IF(H994=0,"",IF(H994&lt;CONFIG!$B$4,"CRÍTICO",IF(H994&lt;CONFIG!$B$5,"BAJO","OK"))))</f>
        <v/>
      </c>
    </row>
    <row r="995" ht="15.75" hidden="1" customHeight="1">
      <c r="A995" s="90" t="str">
        <f>IF(CLIENTES!A7="","",CLIENTES!A7)</f>
        <v/>
      </c>
      <c r="B995" s="90" t="s">
        <v>321</v>
      </c>
      <c r="C995" s="91" t="s">
        <v>328</v>
      </c>
      <c r="D995" s="109" t="s">
        <v>353</v>
      </c>
      <c r="E995" s="67" t="str">
        <f>COLORES!A11</f>
        <v>Pacay</v>
      </c>
      <c r="F995" s="67" t="str">
        <f>COLORES!B11</f>
        <v>CLARO</v>
      </c>
      <c r="G995" s="90" t="s">
        <v>379</v>
      </c>
      <c r="H995" s="100">
        <f>IFERROR(SUMIFS(MOVIMIENTOS_COMPLEMENTOS!$I$4:$I$803,MOVIMIENTOS_COMPLEMENTOS!$C$4:$C$803,A995,MOVIMIENTOS_COMPLEMENTOS!$D$4:$D$803,B995,MOVIMIENTOS_COMPLEMENTOS!$E$4:$E$803,C995,MOVIMIENTOS_COMPLEMENTOS!$G$4:$G$803,E995,MOVIMIENTOS_COMPLEMENTOS!$H$4:$H$803,G995,MOVIMIENTOS_COMPLEMENTOS!$B$4:$B$803,"INGRESO")+SUMIFS(MOVIMIENTOS_COMPLEMENTOS!$I$4:$I$803,MOVIMIENTOS_COMPLEMENTOS!$C$4:$C$803,A995,MOVIMIENTOS_COMPLEMENTOS!$D$4:$D$803,B995,MOVIMIENTOS_COMPLEMENTOS!$E$4:$E$803,C995,MOVIMIENTOS_COMPLEMENTOS!$G$4:$G$803,E995,MOVIMIENTOS_COMPLEMENTOS!$H$4:$H$803,G995,MOVIMIENTOS_COMPLEMENTOS!$B$4:$B$803,"DE CORTE")-SUMIFS(MOVIMIENTOS_COMPLEMENTOS!$I$4:$I$803,MOVIMIENTOS_COMPLEMENTOS!$C$4:$C$803,A995,MOVIMIENTOS_COMPLEMENTOS!$D$4:$D$803,B995,MOVIMIENTOS_COMPLEMENTOS!$E$4:$E$803,C995,MOVIMIENTOS_COMPLEMENTOS!$G$4:$G$803,E995,MOVIMIENTOS_COMPLEMENTOS!$H$4:$H$803,G995,MOVIMIENTOS_COMPLEMENTOS!$B$4:$B$803,"SALIDA"),0)</f>
        <v>0</v>
      </c>
      <c r="I995" s="102">
        <f t="array" ref="I995">IFERROR(INDEX(PRECIOS_COMPLEMENTOS!$C$4:$F$17,MATCH(B995&amp;"_"&amp;C995,PRECIOS_COMPLEMENTOS!$H$4:$H$17,0),IF(OR(G995="S",G995="20cm"),1,IF(OR(G995="M",G995="25cm"),2,IF(OR(G995="L",G995="30cm"),3,IF(OR(G995="XL",G995="35cm"),4,0))))),0)</f>
        <v>0.4</v>
      </c>
      <c r="J995" s="103">
        <f t="shared" si="1"/>
        <v>0</v>
      </c>
      <c r="K995" s="104" t="str">
        <f>IF(H995&lt;0,"ERROR",IF(H995=0,"",IF(H995&lt;CONFIG!$B$4,"CRÍTICO",IF(H995&lt;CONFIG!$B$5,"BAJO","OK"))))</f>
        <v/>
      </c>
    </row>
    <row r="996" ht="15.75" hidden="1" customHeight="1">
      <c r="A996" s="90" t="str">
        <f>IF(CLIENTES!A7="","",CLIENTES!A7)</f>
        <v/>
      </c>
      <c r="B996" s="90" t="s">
        <v>321</v>
      </c>
      <c r="C996" s="91" t="s">
        <v>328</v>
      </c>
      <c r="D996" s="109" t="s">
        <v>353</v>
      </c>
      <c r="E996" s="67" t="str">
        <f>COLORES!A12</f>
        <v>Cemento</v>
      </c>
      <c r="F996" s="67" t="str">
        <f>COLORES!B12</f>
        <v>CLARO</v>
      </c>
      <c r="G996" s="90" t="s">
        <v>378</v>
      </c>
      <c r="H996" s="100">
        <f>IFERROR(SUMIFS(MOVIMIENTOS_COMPLEMENTOS!$I$4:$I$803,MOVIMIENTOS_COMPLEMENTOS!$C$4:$C$803,A996,MOVIMIENTOS_COMPLEMENTOS!$D$4:$D$803,B996,MOVIMIENTOS_COMPLEMENTOS!$E$4:$E$803,C996,MOVIMIENTOS_COMPLEMENTOS!$G$4:$G$803,E996,MOVIMIENTOS_COMPLEMENTOS!$H$4:$H$803,G996,MOVIMIENTOS_COMPLEMENTOS!$B$4:$B$803,"INGRESO")+SUMIFS(MOVIMIENTOS_COMPLEMENTOS!$I$4:$I$803,MOVIMIENTOS_COMPLEMENTOS!$C$4:$C$803,A996,MOVIMIENTOS_COMPLEMENTOS!$D$4:$D$803,B996,MOVIMIENTOS_COMPLEMENTOS!$E$4:$E$803,C996,MOVIMIENTOS_COMPLEMENTOS!$G$4:$G$803,E996,MOVIMIENTOS_COMPLEMENTOS!$H$4:$H$803,G996,MOVIMIENTOS_COMPLEMENTOS!$B$4:$B$803,"DE CORTE")-SUMIFS(MOVIMIENTOS_COMPLEMENTOS!$I$4:$I$803,MOVIMIENTOS_COMPLEMENTOS!$C$4:$C$803,A996,MOVIMIENTOS_COMPLEMENTOS!$D$4:$D$803,B996,MOVIMIENTOS_COMPLEMENTOS!$E$4:$E$803,C996,MOVIMIENTOS_COMPLEMENTOS!$G$4:$G$803,E996,MOVIMIENTOS_COMPLEMENTOS!$H$4:$H$803,G996,MOVIMIENTOS_COMPLEMENTOS!$B$4:$B$803,"SALIDA"),0)</f>
        <v>0</v>
      </c>
      <c r="I996" s="102">
        <f t="array" ref="I996">IFERROR(INDEX(PRECIOS_COMPLEMENTOS!$C$4:$F$17,MATCH(B996&amp;"_"&amp;C996,PRECIOS_COMPLEMENTOS!$H$4:$H$17,0),IF(OR(G996="S",G996="20cm"),1,IF(OR(G996="M",G996="25cm"),2,IF(OR(G996="L",G996="30cm"),3,IF(OR(G996="XL",G996="35cm"),4,0))))),0)</f>
        <v>0.4</v>
      </c>
      <c r="J996" s="103">
        <f t="shared" si="1"/>
        <v>0</v>
      </c>
      <c r="K996" s="104" t="str">
        <f>IF(H996&lt;0,"ERROR",IF(H996=0,"",IF(H996&lt;CONFIG!$B$4,"CRÍTICO",IF(H996&lt;CONFIG!$B$5,"BAJO","OK"))))</f>
        <v/>
      </c>
    </row>
    <row r="997" ht="15.75" hidden="1" customHeight="1">
      <c r="A997" s="90" t="str">
        <f>IF(CLIENTES!A7="","",CLIENTES!A7)</f>
        <v/>
      </c>
      <c r="B997" s="90" t="s">
        <v>321</v>
      </c>
      <c r="C997" s="91" t="s">
        <v>328</v>
      </c>
      <c r="D997" s="109" t="s">
        <v>353</v>
      </c>
      <c r="E997" s="67" t="str">
        <f>COLORES!A12</f>
        <v>Cemento</v>
      </c>
      <c r="F997" s="67" t="str">
        <f>COLORES!B12</f>
        <v>CLARO</v>
      </c>
      <c r="G997" s="90" t="s">
        <v>376</v>
      </c>
      <c r="H997" s="100">
        <f>IFERROR(SUMIFS(MOVIMIENTOS_COMPLEMENTOS!$I$4:$I$803,MOVIMIENTOS_COMPLEMENTOS!$C$4:$C$803,A997,MOVIMIENTOS_COMPLEMENTOS!$D$4:$D$803,B997,MOVIMIENTOS_COMPLEMENTOS!$E$4:$E$803,C997,MOVIMIENTOS_COMPLEMENTOS!$G$4:$G$803,E997,MOVIMIENTOS_COMPLEMENTOS!$H$4:$H$803,G997,MOVIMIENTOS_COMPLEMENTOS!$B$4:$B$803,"INGRESO")+SUMIFS(MOVIMIENTOS_COMPLEMENTOS!$I$4:$I$803,MOVIMIENTOS_COMPLEMENTOS!$C$4:$C$803,A997,MOVIMIENTOS_COMPLEMENTOS!$D$4:$D$803,B997,MOVIMIENTOS_COMPLEMENTOS!$E$4:$E$803,C997,MOVIMIENTOS_COMPLEMENTOS!$G$4:$G$803,E997,MOVIMIENTOS_COMPLEMENTOS!$H$4:$H$803,G997,MOVIMIENTOS_COMPLEMENTOS!$B$4:$B$803,"DE CORTE")-SUMIFS(MOVIMIENTOS_COMPLEMENTOS!$I$4:$I$803,MOVIMIENTOS_COMPLEMENTOS!$C$4:$C$803,A997,MOVIMIENTOS_COMPLEMENTOS!$D$4:$D$803,B997,MOVIMIENTOS_COMPLEMENTOS!$E$4:$E$803,C997,MOVIMIENTOS_COMPLEMENTOS!$G$4:$G$803,E997,MOVIMIENTOS_COMPLEMENTOS!$H$4:$H$803,G997,MOVIMIENTOS_COMPLEMENTOS!$B$4:$B$803,"SALIDA"),0)</f>
        <v>0</v>
      </c>
      <c r="I997" s="102">
        <f t="array" ref="I997">IFERROR(INDEX(PRECIOS_COMPLEMENTOS!$C$4:$F$17,MATCH(B997&amp;"_"&amp;C997,PRECIOS_COMPLEMENTOS!$H$4:$H$17,0),IF(OR(G997="S",G997="20cm"),1,IF(OR(G997="M",G997="25cm"),2,IF(OR(G997="L",G997="30cm"),3,IF(OR(G997="XL",G997="35cm"),4,0))))),0)</f>
        <v>0.4</v>
      </c>
      <c r="J997" s="103">
        <f t="shared" si="1"/>
        <v>0</v>
      </c>
      <c r="K997" s="104" t="str">
        <f>IF(H997&lt;0,"ERROR",IF(H997=0,"",IF(H997&lt;CONFIG!$B$4,"CRÍTICO",IF(H997&lt;CONFIG!$B$5,"BAJO","OK"))))</f>
        <v/>
      </c>
    </row>
    <row r="998" ht="15.75" hidden="1" customHeight="1">
      <c r="A998" s="90" t="str">
        <f>IF(CLIENTES!A7="","",CLIENTES!A7)</f>
        <v/>
      </c>
      <c r="B998" s="90" t="s">
        <v>321</v>
      </c>
      <c r="C998" s="91" t="s">
        <v>328</v>
      </c>
      <c r="D998" s="109" t="s">
        <v>353</v>
      </c>
      <c r="E998" s="67" t="str">
        <f>COLORES!A12</f>
        <v>Cemento</v>
      </c>
      <c r="F998" s="67" t="str">
        <f>COLORES!B12</f>
        <v>CLARO</v>
      </c>
      <c r="G998" s="90" t="s">
        <v>377</v>
      </c>
      <c r="H998" s="100">
        <f>IFERROR(SUMIFS(MOVIMIENTOS_COMPLEMENTOS!$I$4:$I$803,MOVIMIENTOS_COMPLEMENTOS!$C$4:$C$803,A998,MOVIMIENTOS_COMPLEMENTOS!$D$4:$D$803,B998,MOVIMIENTOS_COMPLEMENTOS!$E$4:$E$803,C998,MOVIMIENTOS_COMPLEMENTOS!$G$4:$G$803,E998,MOVIMIENTOS_COMPLEMENTOS!$H$4:$H$803,G998,MOVIMIENTOS_COMPLEMENTOS!$B$4:$B$803,"INGRESO")+SUMIFS(MOVIMIENTOS_COMPLEMENTOS!$I$4:$I$803,MOVIMIENTOS_COMPLEMENTOS!$C$4:$C$803,A998,MOVIMIENTOS_COMPLEMENTOS!$D$4:$D$803,B998,MOVIMIENTOS_COMPLEMENTOS!$E$4:$E$803,C998,MOVIMIENTOS_COMPLEMENTOS!$G$4:$G$803,E998,MOVIMIENTOS_COMPLEMENTOS!$H$4:$H$803,G998,MOVIMIENTOS_COMPLEMENTOS!$B$4:$B$803,"DE CORTE")-SUMIFS(MOVIMIENTOS_COMPLEMENTOS!$I$4:$I$803,MOVIMIENTOS_COMPLEMENTOS!$C$4:$C$803,A998,MOVIMIENTOS_COMPLEMENTOS!$D$4:$D$803,B998,MOVIMIENTOS_COMPLEMENTOS!$E$4:$E$803,C998,MOVIMIENTOS_COMPLEMENTOS!$G$4:$G$803,E998,MOVIMIENTOS_COMPLEMENTOS!$H$4:$H$803,G998,MOVIMIENTOS_COMPLEMENTOS!$B$4:$B$803,"SALIDA"),0)</f>
        <v>0</v>
      </c>
      <c r="I998" s="102">
        <f t="array" ref="I998">IFERROR(INDEX(PRECIOS_COMPLEMENTOS!$C$4:$F$17,MATCH(B998&amp;"_"&amp;C998,PRECIOS_COMPLEMENTOS!$H$4:$H$17,0),IF(OR(G998="S",G998="20cm"),1,IF(OR(G998="M",G998="25cm"),2,IF(OR(G998="L",G998="30cm"),3,IF(OR(G998="XL",G998="35cm"),4,0))))),0)</f>
        <v>0.4</v>
      </c>
      <c r="J998" s="103">
        <f t="shared" si="1"/>
        <v>0</v>
      </c>
      <c r="K998" s="104" t="str">
        <f>IF(H998&lt;0,"ERROR",IF(H998=0,"",IF(H998&lt;CONFIG!$B$4,"CRÍTICO",IF(H998&lt;CONFIG!$B$5,"BAJO","OK"))))</f>
        <v/>
      </c>
    </row>
    <row r="999" ht="15.75" hidden="1" customHeight="1">
      <c r="A999" s="90" t="str">
        <f>IF(CLIENTES!A7="","",CLIENTES!A7)</f>
        <v/>
      </c>
      <c r="B999" s="90" t="s">
        <v>321</v>
      </c>
      <c r="C999" s="91" t="s">
        <v>328</v>
      </c>
      <c r="D999" s="109" t="s">
        <v>353</v>
      </c>
      <c r="E999" s="67" t="str">
        <f>COLORES!A12</f>
        <v>Cemento</v>
      </c>
      <c r="F999" s="67" t="str">
        <f>COLORES!B12</f>
        <v>CLARO</v>
      </c>
      <c r="G999" s="90" t="s">
        <v>379</v>
      </c>
      <c r="H999" s="100">
        <f>IFERROR(SUMIFS(MOVIMIENTOS_COMPLEMENTOS!$I$4:$I$803,MOVIMIENTOS_COMPLEMENTOS!$C$4:$C$803,A999,MOVIMIENTOS_COMPLEMENTOS!$D$4:$D$803,B999,MOVIMIENTOS_COMPLEMENTOS!$E$4:$E$803,C999,MOVIMIENTOS_COMPLEMENTOS!$G$4:$G$803,E999,MOVIMIENTOS_COMPLEMENTOS!$H$4:$H$803,G999,MOVIMIENTOS_COMPLEMENTOS!$B$4:$B$803,"INGRESO")+SUMIFS(MOVIMIENTOS_COMPLEMENTOS!$I$4:$I$803,MOVIMIENTOS_COMPLEMENTOS!$C$4:$C$803,A999,MOVIMIENTOS_COMPLEMENTOS!$D$4:$D$803,B999,MOVIMIENTOS_COMPLEMENTOS!$E$4:$E$803,C999,MOVIMIENTOS_COMPLEMENTOS!$G$4:$G$803,E999,MOVIMIENTOS_COMPLEMENTOS!$H$4:$H$803,G999,MOVIMIENTOS_COMPLEMENTOS!$B$4:$B$803,"DE CORTE")-SUMIFS(MOVIMIENTOS_COMPLEMENTOS!$I$4:$I$803,MOVIMIENTOS_COMPLEMENTOS!$C$4:$C$803,A999,MOVIMIENTOS_COMPLEMENTOS!$D$4:$D$803,B999,MOVIMIENTOS_COMPLEMENTOS!$E$4:$E$803,C999,MOVIMIENTOS_COMPLEMENTOS!$G$4:$G$803,E999,MOVIMIENTOS_COMPLEMENTOS!$H$4:$H$803,G999,MOVIMIENTOS_COMPLEMENTOS!$B$4:$B$803,"SALIDA"),0)</f>
        <v>0</v>
      </c>
      <c r="I999" s="102">
        <f t="array" ref="I999">IFERROR(INDEX(PRECIOS_COMPLEMENTOS!$C$4:$F$17,MATCH(B999&amp;"_"&amp;C999,PRECIOS_COMPLEMENTOS!$H$4:$H$17,0),IF(OR(G999="S",G999="20cm"),1,IF(OR(G999="M",G999="25cm"),2,IF(OR(G999="L",G999="30cm"),3,IF(OR(G999="XL",G999="35cm"),4,0))))),0)</f>
        <v>0.4</v>
      </c>
      <c r="J999" s="103">
        <f t="shared" si="1"/>
        <v>0</v>
      </c>
      <c r="K999" s="104" t="str">
        <f>IF(H999&lt;0,"ERROR",IF(H999=0,"",IF(H999&lt;CONFIG!$B$4,"CRÍTICO",IF(H999&lt;CONFIG!$B$5,"BAJO","OK"))))</f>
        <v/>
      </c>
    </row>
    <row r="1000" ht="15.75" hidden="1" customHeight="1">
      <c r="A1000" s="90" t="str">
        <f>IF(CLIENTES!A7="","",CLIENTES!A7)</f>
        <v/>
      </c>
      <c r="B1000" s="90" t="s">
        <v>321</v>
      </c>
      <c r="C1000" s="91" t="s">
        <v>328</v>
      </c>
      <c r="D1000" s="109" t="s">
        <v>353</v>
      </c>
      <c r="E1000" s="67" t="str">
        <f>COLORES!A13</f>
        <v>Camote</v>
      </c>
      <c r="F1000" s="67" t="str">
        <f>COLORES!B13</f>
        <v>CLARO</v>
      </c>
      <c r="G1000" s="90" t="s">
        <v>378</v>
      </c>
      <c r="H1000" s="100">
        <f>IFERROR(SUMIFS(MOVIMIENTOS_COMPLEMENTOS!$I$4:$I$803,MOVIMIENTOS_COMPLEMENTOS!$C$4:$C$803,A1000,MOVIMIENTOS_COMPLEMENTOS!$D$4:$D$803,B1000,MOVIMIENTOS_COMPLEMENTOS!$E$4:$E$803,C1000,MOVIMIENTOS_COMPLEMENTOS!$G$4:$G$803,E1000,MOVIMIENTOS_COMPLEMENTOS!$H$4:$H$803,G1000,MOVIMIENTOS_COMPLEMENTOS!$B$4:$B$803,"INGRESO")+SUMIFS(MOVIMIENTOS_COMPLEMENTOS!$I$4:$I$803,MOVIMIENTOS_COMPLEMENTOS!$C$4:$C$803,A1000,MOVIMIENTOS_COMPLEMENTOS!$D$4:$D$803,B1000,MOVIMIENTOS_COMPLEMENTOS!$E$4:$E$803,C1000,MOVIMIENTOS_COMPLEMENTOS!$G$4:$G$803,E1000,MOVIMIENTOS_COMPLEMENTOS!$H$4:$H$803,G1000,MOVIMIENTOS_COMPLEMENTOS!$B$4:$B$803,"DE CORTE")-SUMIFS(MOVIMIENTOS_COMPLEMENTOS!$I$4:$I$803,MOVIMIENTOS_COMPLEMENTOS!$C$4:$C$803,A1000,MOVIMIENTOS_COMPLEMENTOS!$D$4:$D$803,B1000,MOVIMIENTOS_COMPLEMENTOS!$E$4:$E$803,C1000,MOVIMIENTOS_COMPLEMENTOS!$G$4:$G$803,E1000,MOVIMIENTOS_COMPLEMENTOS!$H$4:$H$803,G1000,MOVIMIENTOS_COMPLEMENTOS!$B$4:$B$803,"SALIDA"),0)</f>
        <v>0</v>
      </c>
      <c r="I1000" s="102">
        <f t="array" ref="I1000">IFERROR(INDEX(PRECIOS_COMPLEMENTOS!$C$4:$F$17,MATCH(B1000&amp;"_"&amp;C1000,PRECIOS_COMPLEMENTOS!$H$4:$H$17,0),IF(OR(G1000="S",G1000="20cm"),1,IF(OR(G1000="M",G1000="25cm"),2,IF(OR(G1000="L",G1000="30cm"),3,IF(OR(G1000="XL",G1000="35cm"),4,0))))),0)</f>
        <v>0.4</v>
      </c>
      <c r="J1000" s="103">
        <f t="shared" si="1"/>
        <v>0</v>
      </c>
      <c r="K1000" s="104" t="str">
        <f>IF(H1000&lt;0,"ERROR",IF(H1000=0,"",IF(H1000&lt;CONFIG!$B$4,"CRÍTICO",IF(H1000&lt;CONFIG!$B$5,"BAJO","OK"))))</f>
        <v/>
      </c>
    </row>
    <row r="1001" ht="15.75" hidden="1" customHeight="1">
      <c r="A1001" s="90" t="str">
        <f>IF(CLIENTES!A7="","",CLIENTES!A7)</f>
        <v/>
      </c>
      <c r="B1001" s="90" t="s">
        <v>321</v>
      </c>
      <c r="C1001" s="91" t="s">
        <v>328</v>
      </c>
      <c r="D1001" s="109" t="s">
        <v>353</v>
      </c>
      <c r="E1001" s="67" t="str">
        <f>COLORES!A13</f>
        <v>Camote</v>
      </c>
      <c r="F1001" s="67" t="str">
        <f>COLORES!B13</f>
        <v>CLARO</v>
      </c>
      <c r="G1001" s="90" t="s">
        <v>376</v>
      </c>
      <c r="H1001" s="100">
        <f>IFERROR(SUMIFS(MOVIMIENTOS_COMPLEMENTOS!$I$4:$I$803,MOVIMIENTOS_COMPLEMENTOS!$C$4:$C$803,A1001,MOVIMIENTOS_COMPLEMENTOS!$D$4:$D$803,B1001,MOVIMIENTOS_COMPLEMENTOS!$E$4:$E$803,C1001,MOVIMIENTOS_COMPLEMENTOS!$G$4:$G$803,E1001,MOVIMIENTOS_COMPLEMENTOS!$H$4:$H$803,G1001,MOVIMIENTOS_COMPLEMENTOS!$B$4:$B$803,"INGRESO")+SUMIFS(MOVIMIENTOS_COMPLEMENTOS!$I$4:$I$803,MOVIMIENTOS_COMPLEMENTOS!$C$4:$C$803,A1001,MOVIMIENTOS_COMPLEMENTOS!$D$4:$D$803,B1001,MOVIMIENTOS_COMPLEMENTOS!$E$4:$E$803,C1001,MOVIMIENTOS_COMPLEMENTOS!$G$4:$G$803,E1001,MOVIMIENTOS_COMPLEMENTOS!$H$4:$H$803,G1001,MOVIMIENTOS_COMPLEMENTOS!$B$4:$B$803,"DE CORTE")-SUMIFS(MOVIMIENTOS_COMPLEMENTOS!$I$4:$I$803,MOVIMIENTOS_COMPLEMENTOS!$C$4:$C$803,A1001,MOVIMIENTOS_COMPLEMENTOS!$D$4:$D$803,B1001,MOVIMIENTOS_COMPLEMENTOS!$E$4:$E$803,C1001,MOVIMIENTOS_COMPLEMENTOS!$G$4:$G$803,E1001,MOVIMIENTOS_COMPLEMENTOS!$H$4:$H$803,G1001,MOVIMIENTOS_COMPLEMENTOS!$B$4:$B$803,"SALIDA"),0)</f>
        <v>0</v>
      </c>
      <c r="I1001" s="102">
        <f t="array" ref="I1001">IFERROR(INDEX(PRECIOS_COMPLEMENTOS!$C$4:$F$17,MATCH(B1001&amp;"_"&amp;C1001,PRECIOS_COMPLEMENTOS!$H$4:$H$17,0),IF(OR(G1001="S",G1001="20cm"),1,IF(OR(G1001="M",G1001="25cm"),2,IF(OR(G1001="L",G1001="30cm"),3,IF(OR(G1001="XL",G1001="35cm"),4,0))))),0)</f>
        <v>0.4</v>
      </c>
      <c r="J1001" s="103">
        <f t="shared" si="1"/>
        <v>0</v>
      </c>
      <c r="K1001" s="104" t="str">
        <f>IF(H1001&lt;0,"ERROR",IF(H1001=0,"",IF(H1001&lt;CONFIG!$B$4,"CRÍTICO",IF(H1001&lt;CONFIG!$B$5,"BAJO","OK"))))</f>
        <v/>
      </c>
    </row>
    <row r="1002" ht="15.75" hidden="1" customHeight="1">
      <c r="A1002" s="90" t="str">
        <f>IF(CLIENTES!A7="","",CLIENTES!A7)</f>
        <v/>
      </c>
      <c r="B1002" s="90" t="s">
        <v>321</v>
      </c>
      <c r="C1002" s="91" t="s">
        <v>328</v>
      </c>
      <c r="D1002" s="109" t="s">
        <v>353</v>
      </c>
      <c r="E1002" s="67" t="str">
        <f>COLORES!A13</f>
        <v>Camote</v>
      </c>
      <c r="F1002" s="67" t="str">
        <f>COLORES!B13</f>
        <v>CLARO</v>
      </c>
      <c r="G1002" s="90" t="s">
        <v>377</v>
      </c>
      <c r="H1002" s="100">
        <f>IFERROR(SUMIFS(MOVIMIENTOS_COMPLEMENTOS!$I$4:$I$803,MOVIMIENTOS_COMPLEMENTOS!$C$4:$C$803,A1002,MOVIMIENTOS_COMPLEMENTOS!$D$4:$D$803,B1002,MOVIMIENTOS_COMPLEMENTOS!$E$4:$E$803,C1002,MOVIMIENTOS_COMPLEMENTOS!$G$4:$G$803,E1002,MOVIMIENTOS_COMPLEMENTOS!$H$4:$H$803,G1002,MOVIMIENTOS_COMPLEMENTOS!$B$4:$B$803,"INGRESO")+SUMIFS(MOVIMIENTOS_COMPLEMENTOS!$I$4:$I$803,MOVIMIENTOS_COMPLEMENTOS!$C$4:$C$803,A1002,MOVIMIENTOS_COMPLEMENTOS!$D$4:$D$803,B1002,MOVIMIENTOS_COMPLEMENTOS!$E$4:$E$803,C1002,MOVIMIENTOS_COMPLEMENTOS!$G$4:$G$803,E1002,MOVIMIENTOS_COMPLEMENTOS!$H$4:$H$803,G1002,MOVIMIENTOS_COMPLEMENTOS!$B$4:$B$803,"DE CORTE")-SUMIFS(MOVIMIENTOS_COMPLEMENTOS!$I$4:$I$803,MOVIMIENTOS_COMPLEMENTOS!$C$4:$C$803,A1002,MOVIMIENTOS_COMPLEMENTOS!$D$4:$D$803,B1002,MOVIMIENTOS_COMPLEMENTOS!$E$4:$E$803,C1002,MOVIMIENTOS_COMPLEMENTOS!$G$4:$G$803,E1002,MOVIMIENTOS_COMPLEMENTOS!$H$4:$H$803,G1002,MOVIMIENTOS_COMPLEMENTOS!$B$4:$B$803,"SALIDA"),0)</f>
        <v>0</v>
      </c>
      <c r="I1002" s="102">
        <f t="array" ref="I1002">IFERROR(INDEX(PRECIOS_COMPLEMENTOS!$C$4:$F$17,MATCH(B1002&amp;"_"&amp;C1002,PRECIOS_COMPLEMENTOS!$H$4:$H$17,0),IF(OR(G1002="S",G1002="20cm"),1,IF(OR(G1002="M",G1002="25cm"),2,IF(OR(G1002="L",G1002="30cm"),3,IF(OR(G1002="XL",G1002="35cm"),4,0))))),0)</f>
        <v>0.4</v>
      </c>
      <c r="J1002" s="103">
        <f t="shared" si="1"/>
        <v>0</v>
      </c>
      <c r="K1002" s="104" t="str">
        <f>IF(H1002&lt;0,"ERROR",IF(H1002=0,"",IF(H1002&lt;CONFIG!$B$4,"CRÍTICO",IF(H1002&lt;CONFIG!$B$5,"BAJO","OK"))))</f>
        <v/>
      </c>
    </row>
    <row r="1003" ht="15.75" hidden="1" customHeight="1">
      <c r="A1003" s="90" t="str">
        <f>IF(CLIENTES!A7="","",CLIENTES!A7)</f>
        <v/>
      </c>
      <c r="B1003" s="90" t="s">
        <v>321</v>
      </c>
      <c r="C1003" s="91" t="s">
        <v>328</v>
      </c>
      <c r="D1003" s="109" t="s">
        <v>353</v>
      </c>
      <c r="E1003" s="67" t="str">
        <f>COLORES!A13</f>
        <v>Camote</v>
      </c>
      <c r="F1003" s="67" t="str">
        <f>COLORES!B13</f>
        <v>CLARO</v>
      </c>
      <c r="G1003" s="90" t="s">
        <v>379</v>
      </c>
      <c r="H1003" s="100">
        <f>IFERROR(SUMIFS(MOVIMIENTOS_COMPLEMENTOS!$I$4:$I$803,MOVIMIENTOS_COMPLEMENTOS!$C$4:$C$803,A1003,MOVIMIENTOS_COMPLEMENTOS!$D$4:$D$803,B1003,MOVIMIENTOS_COMPLEMENTOS!$E$4:$E$803,C1003,MOVIMIENTOS_COMPLEMENTOS!$G$4:$G$803,E1003,MOVIMIENTOS_COMPLEMENTOS!$H$4:$H$803,G1003,MOVIMIENTOS_COMPLEMENTOS!$B$4:$B$803,"INGRESO")+SUMIFS(MOVIMIENTOS_COMPLEMENTOS!$I$4:$I$803,MOVIMIENTOS_COMPLEMENTOS!$C$4:$C$803,A1003,MOVIMIENTOS_COMPLEMENTOS!$D$4:$D$803,B1003,MOVIMIENTOS_COMPLEMENTOS!$E$4:$E$803,C1003,MOVIMIENTOS_COMPLEMENTOS!$G$4:$G$803,E1003,MOVIMIENTOS_COMPLEMENTOS!$H$4:$H$803,G1003,MOVIMIENTOS_COMPLEMENTOS!$B$4:$B$803,"DE CORTE")-SUMIFS(MOVIMIENTOS_COMPLEMENTOS!$I$4:$I$803,MOVIMIENTOS_COMPLEMENTOS!$C$4:$C$803,A1003,MOVIMIENTOS_COMPLEMENTOS!$D$4:$D$803,B1003,MOVIMIENTOS_COMPLEMENTOS!$E$4:$E$803,C1003,MOVIMIENTOS_COMPLEMENTOS!$G$4:$G$803,E1003,MOVIMIENTOS_COMPLEMENTOS!$H$4:$H$803,G1003,MOVIMIENTOS_COMPLEMENTOS!$B$4:$B$803,"SALIDA"),0)</f>
        <v>0</v>
      </c>
      <c r="I1003" s="102">
        <f t="array" ref="I1003">IFERROR(INDEX(PRECIOS_COMPLEMENTOS!$C$4:$F$17,MATCH(B1003&amp;"_"&amp;C1003,PRECIOS_COMPLEMENTOS!$H$4:$H$17,0),IF(OR(G1003="S",G1003="20cm"),1,IF(OR(G1003="M",G1003="25cm"),2,IF(OR(G1003="L",G1003="30cm"),3,IF(OR(G1003="XL",G1003="35cm"),4,0))))),0)</f>
        <v>0.4</v>
      </c>
      <c r="J1003" s="103">
        <f t="shared" si="1"/>
        <v>0</v>
      </c>
      <c r="K1003" s="104" t="str">
        <f>IF(H1003&lt;0,"ERROR",IF(H1003=0,"",IF(H1003&lt;CONFIG!$B$4,"CRÍTICO",IF(H1003&lt;CONFIG!$B$5,"BAJO","OK"))))</f>
        <v/>
      </c>
    </row>
    <row r="1004" ht="15.75" hidden="1" customHeight="1">
      <c r="A1004" s="90" t="str">
        <f>IF(CLIENTES!A7="","",CLIENTES!A7)</f>
        <v/>
      </c>
      <c r="B1004" s="90" t="s">
        <v>321</v>
      </c>
      <c r="C1004" s="91" t="s">
        <v>328</v>
      </c>
      <c r="D1004" s="109" t="s">
        <v>353</v>
      </c>
      <c r="E1004" s="67" t="str">
        <f>COLORES!A14</f>
        <v>Denim</v>
      </c>
      <c r="F1004" s="67" t="str">
        <f>COLORES!B14</f>
        <v>CLARO</v>
      </c>
      <c r="G1004" s="90" t="s">
        <v>378</v>
      </c>
      <c r="H1004" s="100">
        <f>IFERROR(SUMIFS(MOVIMIENTOS_COMPLEMENTOS!$I$4:$I$803,MOVIMIENTOS_COMPLEMENTOS!$C$4:$C$803,A1004,MOVIMIENTOS_COMPLEMENTOS!$D$4:$D$803,B1004,MOVIMIENTOS_COMPLEMENTOS!$E$4:$E$803,C1004,MOVIMIENTOS_COMPLEMENTOS!$G$4:$G$803,E1004,MOVIMIENTOS_COMPLEMENTOS!$H$4:$H$803,G1004,MOVIMIENTOS_COMPLEMENTOS!$B$4:$B$803,"INGRESO")+SUMIFS(MOVIMIENTOS_COMPLEMENTOS!$I$4:$I$803,MOVIMIENTOS_COMPLEMENTOS!$C$4:$C$803,A1004,MOVIMIENTOS_COMPLEMENTOS!$D$4:$D$803,B1004,MOVIMIENTOS_COMPLEMENTOS!$E$4:$E$803,C1004,MOVIMIENTOS_COMPLEMENTOS!$G$4:$G$803,E1004,MOVIMIENTOS_COMPLEMENTOS!$H$4:$H$803,G1004,MOVIMIENTOS_COMPLEMENTOS!$B$4:$B$803,"DE CORTE")-SUMIFS(MOVIMIENTOS_COMPLEMENTOS!$I$4:$I$803,MOVIMIENTOS_COMPLEMENTOS!$C$4:$C$803,A1004,MOVIMIENTOS_COMPLEMENTOS!$D$4:$D$803,B1004,MOVIMIENTOS_COMPLEMENTOS!$E$4:$E$803,C1004,MOVIMIENTOS_COMPLEMENTOS!$G$4:$G$803,E1004,MOVIMIENTOS_COMPLEMENTOS!$H$4:$H$803,G1004,MOVIMIENTOS_COMPLEMENTOS!$B$4:$B$803,"SALIDA"),0)</f>
        <v>0</v>
      </c>
      <c r="I1004" s="102">
        <f t="array" ref="I1004">IFERROR(INDEX(PRECIOS_COMPLEMENTOS!$C$4:$F$17,MATCH(B1004&amp;"_"&amp;C1004,PRECIOS_COMPLEMENTOS!$H$4:$H$17,0),IF(OR(G1004="S",G1004="20cm"),1,IF(OR(G1004="M",G1004="25cm"),2,IF(OR(G1004="L",G1004="30cm"),3,IF(OR(G1004="XL",G1004="35cm"),4,0))))),0)</f>
        <v>0.4</v>
      </c>
      <c r="J1004" s="103">
        <f t="shared" si="1"/>
        <v>0</v>
      </c>
      <c r="K1004" s="104" t="str">
        <f>IF(H1004&lt;0,"ERROR",IF(H1004=0,"",IF(H1004&lt;CONFIG!$B$4,"CRÍTICO",IF(H1004&lt;CONFIG!$B$5,"BAJO","OK"))))</f>
        <v/>
      </c>
    </row>
    <row r="1005" ht="15.75" hidden="1" customHeight="1">
      <c r="A1005" s="90" t="str">
        <f>IF(CLIENTES!A7="","",CLIENTES!A7)</f>
        <v/>
      </c>
      <c r="B1005" s="90" t="s">
        <v>321</v>
      </c>
      <c r="C1005" s="91" t="s">
        <v>328</v>
      </c>
      <c r="D1005" s="109" t="s">
        <v>353</v>
      </c>
      <c r="E1005" s="67" t="str">
        <f>COLORES!A14</f>
        <v>Denim</v>
      </c>
      <c r="F1005" s="67" t="str">
        <f>COLORES!B14</f>
        <v>CLARO</v>
      </c>
      <c r="G1005" s="90" t="s">
        <v>376</v>
      </c>
      <c r="H1005" s="100">
        <f>IFERROR(SUMIFS(MOVIMIENTOS_COMPLEMENTOS!$I$4:$I$803,MOVIMIENTOS_COMPLEMENTOS!$C$4:$C$803,A1005,MOVIMIENTOS_COMPLEMENTOS!$D$4:$D$803,B1005,MOVIMIENTOS_COMPLEMENTOS!$E$4:$E$803,C1005,MOVIMIENTOS_COMPLEMENTOS!$G$4:$G$803,E1005,MOVIMIENTOS_COMPLEMENTOS!$H$4:$H$803,G1005,MOVIMIENTOS_COMPLEMENTOS!$B$4:$B$803,"INGRESO")+SUMIFS(MOVIMIENTOS_COMPLEMENTOS!$I$4:$I$803,MOVIMIENTOS_COMPLEMENTOS!$C$4:$C$803,A1005,MOVIMIENTOS_COMPLEMENTOS!$D$4:$D$803,B1005,MOVIMIENTOS_COMPLEMENTOS!$E$4:$E$803,C1005,MOVIMIENTOS_COMPLEMENTOS!$G$4:$G$803,E1005,MOVIMIENTOS_COMPLEMENTOS!$H$4:$H$803,G1005,MOVIMIENTOS_COMPLEMENTOS!$B$4:$B$803,"DE CORTE")-SUMIFS(MOVIMIENTOS_COMPLEMENTOS!$I$4:$I$803,MOVIMIENTOS_COMPLEMENTOS!$C$4:$C$803,A1005,MOVIMIENTOS_COMPLEMENTOS!$D$4:$D$803,B1005,MOVIMIENTOS_COMPLEMENTOS!$E$4:$E$803,C1005,MOVIMIENTOS_COMPLEMENTOS!$G$4:$G$803,E1005,MOVIMIENTOS_COMPLEMENTOS!$H$4:$H$803,G1005,MOVIMIENTOS_COMPLEMENTOS!$B$4:$B$803,"SALIDA"),0)</f>
        <v>0</v>
      </c>
      <c r="I1005" s="102">
        <f t="array" ref="I1005">IFERROR(INDEX(PRECIOS_COMPLEMENTOS!$C$4:$F$17,MATCH(B1005&amp;"_"&amp;C1005,PRECIOS_COMPLEMENTOS!$H$4:$H$17,0),IF(OR(G1005="S",G1005="20cm"),1,IF(OR(G1005="M",G1005="25cm"),2,IF(OR(G1005="L",G1005="30cm"),3,IF(OR(G1005="XL",G1005="35cm"),4,0))))),0)</f>
        <v>0.4</v>
      </c>
      <c r="J1005" s="103">
        <f t="shared" si="1"/>
        <v>0</v>
      </c>
      <c r="K1005" s="104" t="str">
        <f>IF(H1005&lt;0,"ERROR",IF(H1005=0,"",IF(H1005&lt;CONFIG!$B$4,"CRÍTICO",IF(H1005&lt;CONFIG!$B$5,"BAJO","OK"))))</f>
        <v/>
      </c>
    </row>
    <row r="1006" ht="15.75" hidden="1" customHeight="1">
      <c r="A1006" s="90" t="str">
        <f>IF(CLIENTES!A7="","",CLIENTES!A7)</f>
        <v/>
      </c>
      <c r="B1006" s="90" t="s">
        <v>321</v>
      </c>
      <c r="C1006" s="91" t="s">
        <v>328</v>
      </c>
      <c r="D1006" s="109" t="s">
        <v>353</v>
      </c>
      <c r="E1006" s="67" t="str">
        <f>COLORES!A14</f>
        <v>Denim</v>
      </c>
      <c r="F1006" s="67" t="str">
        <f>COLORES!B14</f>
        <v>CLARO</v>
      </c>
      <c r="G1006" s="90" t="s">
        <v>377</v>
      </c>
      <c r="H1006" s="100">
        <f>IFERROR(SUMIFS(MOVIMIENTOS_COMPLEMENTOS!$I$4:$I$803,MOVIMIENTOS_COMPLEMENTOS!$C$4:$C$803,A1006,MOVIMIENTOS_COMPLEMENTOS!$D$4:$D$803,B1006,MOVIMIENTOS_COMPLEMENTOS!$E$4:$E$803,C1006,MOVIMIENTOS_COMPLEMENTOS!$G$4:$G$803,E1006,MOVIMIENTOS_COMPLEMENTOS!$H$4:$H$803,G1006,MOVIMIENTOS_COMPLEMENTOS!$B$4:$B$803,"INGRESO")+SUMIFS(MOVIMIENTOS_COMPLEMENTOS!$I$4:$I$803,MOVIMIENTOS_COMPLEMENTOS!$C$4:$C$803,A1006,MOVIMIENTOS_COMPLEMENTOS!$D$4:$D$803,B1006,MOVIMIENTOS_COMPLEMENTOS!$E$4:$E$803,C1006,MOVIMIENTOS_COMPLEMENTOS!$G$4:$G$803,E1006,MOVIMIENTOS_COMPLEMENTOS!$H$4:$H$803,G1006,MOVIMIENTOS_COMPLEMENTOS!$B$4:$B$803,"DE CORTE")-SUMIFS(MOVIMIENTOS_COMPLEMENTOS!$I$4:$I$803,MOVIMIENTOS_COMPLEMENTOS!$C$4:$C$803,A1006,MOVIMIENTOS_COMPLEMENTOS!$D$4:$D$803,B1006,MOVIMIENTOS_COMPLEMENTOS!$E$4:$E$803,C1006,MOVIMIENTOS_COMPLEMENTOS!$G$4:$G$803,E1006,MOVIMIENTOS_COMPLEMENTOS!$H$4:$H$803,G1006,MOVIMIENTOS_COMPLEMENTOS!$B$4:$B$803,"SALIDA"),0)</f>
        <v>0</v>
      </c>
      <c r="I1006" s="102">
        <f t="array" ref="I1006">IFERROR(INDEX(PRECIOS_COMPLEMENTOS!$C$4:$F$17,MATCH(B1006&amp;"_"&amp;C1006,PRECIOS_COMPLEMENTOS!$H$4:$H$17,0),IF(OR(G1006="S",G1006="20cm"),1,IF(OR(G1006="M",G1006="25cm"),2,IF(OR(G1006="L",G1006="30cm"),3,IF(OR(G1006="XL",G1006="35cm"),4,0))))),0)</f>
        <v>0.4</v>
      </c>
      <c r="J1006" s="103">
        <f t="shared" si="1"/>
        <v>0</v>
      </c>
      <c r="K1006" s="104" t="str">
        <f>IF(H1006&lt;0,"ERROR",IF(H1006=0,"",IF(H1006&lt;CONFIG!$B$4,"CRÍTICO",IF(H1006&lt;CONFIG!$B$5,"BAJO","OK"))))</f>
        <v/>
      </c>
    </row>
    <row r="1007" ht="15.75" hidden="1" customHeight="1">
      <c r="A1007" s="90" t="str">
        <f>IF(CLIENTES!A7="","",CLIENTES!A7)</f>
        <v/>
      </c>
      <c r="B1007" s="90" t="s">
        <v>321</v>
      </c>
      <c r="C1007" s="91" t="s">
        <v>328</v>
      </c>
      <c r="D1007" s="109" t="s">
        <v>353</v>
      </c>
      <c r="E1007" s="67" t="str">
        <f>COLORES!A14</f>
        <v>Denim</v>
      </c>
      <c r="F1007" s="67" t="str">
        <f>COLORES!B14</f>
        <v>CLARO</v>
      </c>
      <c r="G1007" s="90" t="s">
        <v>379</v>
      </c>
      <c r="H1007" s="100">
        <f>IFERROR(SUMIFS(MOVIMIENTOS_COMPLEMENTOS!$I$4:$I$803,MOVIMIENTOS_COMPLEMENTOS!$C$4:$C$803,A1007,MOVIMIENTOS_COMPLEMENTOS!$D$4:$D$803,B1007,MOVIMIENTOS_COMPLEMENTOS!$E$4:$E$803,C1007,MOVIMIENTOS_COMPLEMENTOS!$G$4:$G$803,E1007,MOVIMIENTOS_COMPLEMENTOS!$H$4:$H$803,G1007,MOVIMIENTOS_COMPLEMENTOS!$B$4:$B$803,"INGRESO")+SUMIFS(MOVIMIENTOS_COMPLEMENTOS!$I$4:$I$803,MOVIMIENTOS_COMPLEMENTOS!$C$4:$C$803,A1007,MOVIMIENTOS_COMPLEMENTOS!$D$4:$D$803,B1007,MOVIMIENTOS_COMPLEMENTOS!$E$4:$E$803,C1007,MOVIMIENTOS_COMPLEMENTOS!$G$4:$G$803,E1007,MOVIMIENTOS_COMPLEMENTOS!$H$4:$H$803,G1007,MOVIMIENTOS_COMPLEMENTOS!$B$4:$B$803,"DE CORTE")-SUMIFS(MOVIMIENTOS_COMPLEMENTOS!$I$4:$I$803,MOVIMIENTOS_COMPLEMENTOS!$C$4:$C$803,A1007,MOVIMIENTOS_COMPLEMENTOS!$D$4:$D$803,B1007,MOVIMIENTOS_COMPLEMENTOS!$E$4:$E$803,C1007,MOVIMIENTOS_COMPLEMENTOS!$G$4:$G$803,E1007,MOVIMIENTOS_COMPLEMENTOS!$H$4:$H$803,G1007,MOVIMIENTOS_COMPLEMENTOS!$B$4:$B$803,"SALIDA"),0)</f>
        <v>0</v>
      </c>
      <c r="I1007" s="102">
        <f t="array" ref="I1007">IFERROR(INDEX(PRECIOS_COMPLEMENTOS!$C$4:$F$17,MATCH(B1007&amp;"_"&amp;C1007,PRECIOS_COMPLEMENTOS!$H$4:$H$17,0),IF(OR(G1007="S",G1007="20cm"),1,IF(OR(G1007="M",G1007="25cm"),2,IF(OR(G1007="L",G1007="30cm"),3,IF(OR(G1007="XL",G1007="35cm"),4,0))))),0)</f>
        <v>0.4</v>
      </c>
      <c r="J1007" s="103">
        <f t="shared" si="1"/>
        <v>0</v>
      </c>
      <c r="K1007" s="104" t="str">
        <f>IF(H1007&lt;0,"ERROR",IF(H1007=0,"",IF(H1007&lt;CONFIG!$B$4,"CRÍTICO",IF(H1007&lt;CONFIG!$B$5,"BAJO","OK"))))</f>
        <v/>
      </c>
    </row>
    <row r="1008" ht="15.75" hidden="1" customHeight="1">
      <c r="A1008" s="90" t="str">
        <f>IF(CLIENTES!A7="","",CLIENTES!A7)</f>
        <v/>
      </c>
      <c r="B1008" s="90" t="s">
        <v>321</v>
      </c>
      <c r="C1008" s="91" t="s">
        <v>328</v>
      </c>
      <c r="D1008" s="109" t="s">
        <v>353</v>
      </c>
      <c r="E1008" s="67" t="str">
        <f>COLORES!A15</f>
        <v>Plomo</v>
      </c>
      <c r="F1008" s="67" t="str">
        <f>COLORES!B15</f>
        <v>OSCURO</v>
      </c>
      <c r="G1008" s="90" t="s">
        <v>378</v>
      </c>
      <c r="H1008" s="100">
        <f>IFERROR(SUMIFS(MOVIMIENTOS_COMPLEMENTOS!$I$4:$I$803,MOVIMIENTOS_COMPLEMENTOS!$C$4:$C$803,A1008,MOVIMIENTOS_COMPLEMENTOS!$D$4:$D$803,B1008,MOVIMIENTOS_COMPLEMENTOS!$E$4:$E$803,C1008,MOVIMIENTOS_COMPLEMENTOS!$G$4:$G$803,E1008,MOVIMIENTOS_COMPLEMENTOS!$H$4:$H$803,G1008,MOVIMIENTOS_COMPLEMENTOS!$B$4:$B$803,"INGRESO")+SUMIFS(MOVIMIENTOS_COMPLEMENTOS!$I$4:$I$803,MOVIMIENTOS_COMPLEMENTOS!$C$4:$C$803,A1008,MOVIMIENTOS_COMPLEMENTOS!$D$4:$D$803,B1008,MOVIMIENTOS_COMPLEMENTOS!$E$4:$E$803,C1008,MOVIMIENTOS_COMPLEMENTOS!$G$4:$G$803,E1008,MOVIMIENTOS_COMPLEMENTOS!$H$4:$H$803,G1008,MOVIMIENTOS_COMPLEMENTOS!$B$4:$B$803,"DE CORTE")-SUMIFS(MOVIMIENTOS_COMPLEMENTOS!$I$4:$I$803,MOVIMIENTOS_COMPLEMENTOS!$C$4:$C$803,A1008,MOVIMIENTOS_COMPLEMENTOS!$D$4:$D$803,B1008,MOVIMIENTOS_COMPLEMENTOS!$E$4:$E$803,C1008,MOVIMIENTOS_COMPLEMENTOS!$G$4:$G$803,E1008,MOVIMIENTOS_COMPLEMENTOS!$H$4:$H$803,G1008,MOVIMIENTOS_COMPLEMENTOS!$B$4:$B$803,"SALIDA"),0)</f>
        <v>0</v>
      </c>
      <c r="I1008" s="102">
        <f t="array" ref="I1008">IFERROR(INDEX(PRECIOS_COMPLEMENTOS!$C$4:$F$17,MATCH(B1008&amp;"_"&amp;C1008,PRECIOS_COMPLEMENTOS!$H$4:$H$17,0),IF(OR(G1008="S",G1008="20cm"),1,IF(OR(G1008="M",G1008="25cm"),2,IF(OR(G1008="L",G1008="30cm"),3,IF(OR(G1008="XL",G1008="35cm"),4,0))))),0)</f>
        <v>0.4</v>
      </c>
      <c r="J1008" s="103">
        <f t="shared" si="1"/>
        <v>0</v>
      </c>
      <c r="K1008" s="104" t="str">
        <f>IF(H1008&lt;0,"ERROR",IF(H1008=0,"",IF(H1008&lt;CONFIG!$B$4,"CRÍTICO",IF(H1008&lt;CONFIG!$B$5,"BAJO","OK"))))</f>
        <v/>
      </c>
    </row>
    <row r="1009" ht="15.75" hidden="1" customHeight="1">
      <c r="A1009" s="90" t="str">
        <f>IF(CLIENTES!A7="","",CLIENTES!A7)</f>
        <v/>
      </c>
      <c r="B1009" s="90" t="s">
        <v>321</v>
      </c>
      <c r="C1009" s="91" t="s">
        <v>328</v>
      </c>
      <c r="D1009" s="109" t="s">
        <v>353</v>
      </c>
      <c r="E1009" s="67" t="str">
        <f>COLORES!A15</f>
        <v>Plomo</v>
      </c>
      <c r="F1009" s="67" t="str">
        <f>COLORES!B15</f>
        <v>OSCURO</v>
      </c>
      <c r="G1009" s="90" t="s">
        <v>376</v>
      </c>
      <c r="H1009" s="100">
        <f>IFERROR(SUMIFS(MOVIMIENTOS_COMPLEMENTOS!$I$4:$I$803,MOVIMIENTOS_COMPLEMENTOS!$C$4:$C$803,A1009,MOVIMIENTOS_COMPLEMENTOS!$D$4:$D$803,B1009,MOVIMIENTOS_COMPLEMENTOS!$E$4:$E$803,C1009,MOVIMIENTOS_COMPLEMENTOS!$G$4:$G$803,E1009,MOVIMIENTOS_COMPLEMENTOS!$H$4:$H$803,G1009,MOVIMIENTOS_COMPLEMENTOS!$B$4:$B$803,"INGRESO")+SUMIFS(MOVIMIENTOS_COMPLEMENTOS!$I$4:$I$803,MOVIMIENTOS_COMPLEMENTOS!$C$4:$C$803,A1009,MOVIMIENTOS_COMPLEMENTOS!$D$4:$D$803,B1009,MOVIMIENTOS_COMPLEMENTOS!$E$4:$E$803,C1009,MOVIMIENTOS_COMPLEMENTOS!$G$4:$G$803,E1009,MOVIMIENTOS_COMPLEMENTOS!$H$4:$H$803,G1009,MOVIMIENTOS_COMPLEMENTOS!$B$4:$B$803,"DE CORTE")-SUMIFS(MOVIMIENTOS_COMPLEMENTOS!$I$4:$I$803,MOVIMIENTOS_COMPLEMENTOS!$C$4:$C$803,A1009,MOVIMIENTOS_COMPLEMENTOS!$D$4:$D$803,B1009,MOVIMIENTOS_COMPLEMENTOS!$E$4:$E$803,C1009,MOVIMIENTOS_COMPLEMENTOS!$G$4:$G$803,E1009,MOVIMIENTOS_COMPLEMENTOS!$H$4:$H$803,G1009,MOVIMIENTOS_COMPLEMENTOS!$B$4:$B$803,"SALIDA"),0)</f>
        <v>0</v>
      </c>
      <c r="I1009" s="102">
        <f t="array" ref="I1009">IFERROR(INDEX(PRECIOS_COMPLEMENTOS!$C$4:$F$17,MATCH(B1009&amp;"_"&amp;C1009,PRECIOS_COMPLEMENTOS!$H$4:$H$17,0),IF(OR(G1009="S",G1009="20cm"),1,IF(OR(G1009="M",G1009="25cm"),2,IF(OR(G1009="L",G1009="30cm"),3,IF(OR(G1009="XL",G1009="35cm"),4,0))))),0)</f>
        <v>0.4</v>
      </c>
      <c r="J1009" s="103">
        <f t="shared" si="1"/>
        <v>0</v>
      </c>
      <c r="K1009" s="104" t="str">
        <f>IF(H1009&lt;0,"ERROR",IF(H1009=0,"",IF(H1009&lt;CONFIG!$B$4,"CRÍTICO",IF(H1009&lt;CONFIG!$B$5,"BAJO","OK"))))</f>
        <v/>
      </c>
    </row>
    <row r="1010" ht="15.75" hidden="1" customHeight="1">
      <c r="A1010" s="90" t="str">
        <f>IF(CLIENTES!A7="","",CLIENTES!A7)</f>
        <v/>
      </c>
      <c r="B1010" s="90" t="s">
        <v>321</v>
      </c>
      <c r="C1010" s="91" t="s">
        <v>328</v>
      </c>
      <c r="D1010" s="109" t="s">
        <v>353</v>
      </c>
      <c r="E1010" s="67" t="str">
        <f>COLORES!A15</f>
        <v>Plomo</v>
      </c>
      <c r="F1010" s="67" t="str">
        <f>COLORES!B15</f>
        <v>OSCURO</v>
      </c>
      <c r="G1010" s="90" t="s">
        <v>377</v>
      </c>
      <c r="H1010" s="100">
        <f>IFERROR(SUMIFS(MOVIMIENTOS_COMPLEMENTOS!$I$4:$I$803,MOVIMIENTOS_COMPLEMENTOS!$C$4:$C$803,A1010,MOVIMIENTOS_COMPLEMENTOS!$D$4:$D$803,B1010,MOVIMIENTOS_COMPLEMENTOS!$E$4:$E$803,C1010,MOVIMIENTOS_COMPLEMENTOS!$G$4:$G$803,E1010,MOVIMIENTOS_COMPLEMENTOS!$H$4:$H$803,G1010,MOVIMIENTOS_COMPLEMENTOS!$B$4:$B$803,"INGRESO")+SUMIFS(MOVIMIENTOS_COMPLEMENTOS!$I$4:$I$803,MOVIMIENTOS_COMPLEMENTOS!$C$4:$C$803,A1010,MOVIMIENTOS_COMPLEMENTOS!$D$4:$D$803,B1010,MOVIMIENTOS_COMPLEMENTOS!$E$4:$E$803,C1010,MOVIMIENTOS_COMPLEMENTOS!$G$4:$G$803,E1010,MOVIMIENTOS_COMPLEMENTOS!$H$4:$H$803,G1010,MOVIMIENTOS_COMPLEMENTOS!$B$4:$B$803,"DE CORTE")-SUMIFS(MOVIMIENTOS_COMPLEMENTOS!$I$4:$I$803,MOVIMIENTOS_COMPLEMENTOS!$C$4:$C$803,A1010,MOVIMIENTOS_COMPLEMENTOS!$D$4:$D$803,B1010,MOVIMIENTOS_COMPLEMENTOS!$E$4:$E$803,C1010,MOVIMIENTOS_COMPLEMENTOS!$G$4:$G$803,E1010,MOVIMIENTOS_COMPLEMENTOS!$H$4:$H$803,G1010,MOVIMIENTOS_COMPLEMENTOS!$B$4:$B$803,"SALIDA"),0)</f>
        <v>0</v>
      </c>
      <c r="I1010" s="102">
        <f t="array" ref="I1010">IFERROR(INDEX(PRECIOS_COMPLEMENTOS!$C$4:$F$17,MATCH(B1010&amp;"_"&amp;C1010,PRECIOS_COMPLEMENTOS!$H$4:$H$17,0),IF(OR(G1010="S",G1010="20cm"),1,IF(OR(G1010="M",G1010="25cm"),2,IF(OR(G1010="L",G1010="30cm"),3,IF(OR(G1010="XL",G1010="35cm"),4,0))))),0)</f>
        <v>0.4</v>
      </c>
      <c r="J1010" s="103">
        <f t="shared" si="1"/>
        <v>0</v>
      </c>
      <c r="K1010" s="104" t="str">
        <f>IF(H1010&lt;0,"ERROR",IF(H1010=0,"",IF(H1010&lt;CONFIG!$B$4,"CRÍTICO",IF(H1010&lt;CONFIG!$B$5,"BAJO","OK"))))</f>
        <v/>
      </c>
    </row>
    <row r="1011" ht="15.75" hidden="1" customHeight="1">
      <c r="A1011" s="90" t="str">
        <f>IF(CLIENTES!A7="","",CLIENTES!A7)</f>
        <v/>
      </c>
      <c r="B1011" s="90" t="s">
        <v>321</v>
      </c>
      <c r="C1011" s="91" t="s">
        <v>328</v>
      </c>
      <c r="D1011" s="109" t="s">
        <v>353</v>
      </c>
      <c r="E1011" s="67" t="str">
        <f>COLORES!A15</f>
        <v>Plomo</v>
      </c>
      <c r="F1011" s="67" t="str">
        <f>COLORES!B15</f>
        <v>OSCURO</v>
      </c>
      <c r="G1011" s="90" t="s">
        <v>379</v>
      </c>
      <c r="H1011" s="100">
        <f>IFERROR(SUMIFS(MOVIMIENTOS_COMPLEMENTOS!$I$4:$I$803,MOVIMIENTOS_COMPLEMENTOS!$C$4:$C$803,A1011,MOVIMIENTOS_COMPLEMENTOS!$D$4:$D$803,B1011,MOVIMIENTOS_COMPLEMENTOS!$E$4:$E$803,C1011,MOVIMIENTOS_COMPLEMENTOS!$G$4:$G$803,E1011,MOVIMIENTOS_COMPLEMENTOS!$H$4:$H$803,G1011,MOVIMIENTOS_COMPLEMENTOS!$B$4:$B$803,"INGRESO")+SUMIFS(MOVIMIENTOS_COMPLEMENTOS!$I$4:$I$803,MOVIMIENTOS_COMPLEMENTOS!$C$4:$C$803,A1011,MOVIMIENTOS_COMPLEMENTOS!$D$4:$D$803,B1011,MOVIMIENTOS_COMPLEMENTOS!$E$4:$E$803,C1011,MOVIMIENTOS_COMPLEMENTOS!$G$4:$G$803,E1011,MOVIMIENTOS_COMPLEMENTOS!$H$4:$H$803,G1011,MOVIMIENTOS_COMPLEMENTOS!$B$4:$B$803,"DE CORTE")-SUMIFS(MOVIMIENTOS_COMPLEMENTOS!$I$4:$I$803,MOVIMIENTOS_COMPLEMENTOS!$C$4:$C$803,A1011,MOVIMIENTOS_COMPLEMENTOS!$D$4:$D$803,B1011,MOVIMIENTOS_COMPLEMENTOS!$E$4:$E$803,C1011,MOVIMIENTOS_COMPLEMENTOS!$G$4:$G$803,E1011,MOVIMIENTOS_COMPLEMENTOS!$H$4:$H$803,G1011,MOVIMIENTOS_COMPLEMENTOS!$B$4:$B$803,"SALIDA"),0)</f>
        <v>0</v>
      </c>
      <c r="I1011" s="102">
        <f t="array" ref="I1011">IFERROR(INDEX(PRECIOS_COMPLEMENTOS!$C$4:$F$17,MATCH(B1011&amp;"_"&amp;C1011,PRECIOS_COMPLEMENTOS!$H$4:$H$17,0),IF(OR(G1011="S",G1011="20cm"),1,IF(OR(G1011="M",G1011="25cm"),2,IF(OR(G1011="L",G1011="30cm"),3,IF(OR(G1011="XL",G1011="35cm"),4,0))))),0)</f>
        <v>0.4</v>
      </c>
      <c r="J1011" s="103">
        <f t="shared" si="1"/>
        <v>0</v>
      </c>
      <c r="K1011" s="104" t="str">
        <f>IF(H1011&lt;0,"ERROR",IF(H1011=0,"",IF(H1011&lt;CONFIG!$B$4,"CRÍTICO",IF(H1011&lt;CONFIG!$B$5,"BAJO","OK"))))</f>
        <v/>
      </c>
    </row>
    <row r="1012" ht="15.75" hidden="1" customHeight="1">
      <c r="A1012" s="90" t="str">
        <f>IF(CLIENTES!A7="","",CLIENTES!A7)</f>
        <v/>
      </c>
      <c r="B1012" s="90" t="s">
        <v>321</v>
      </c>
      <c r="C1012" s="91" t="s">
        <v>328</v>
      </c>
      <c r="D1012" s="109" t="s">
        <v>353</v>
      </c>
      <c r="E1012" s="67" t="str">
        <f>COLORES!A16</f>
        <v>Topo</v>
      </c>
      <c r="F1012" s="67" t="str">
        <f>COLORES!B16</f>
        <v>CLARO</v>
      </c>
      <c r="G1012" s="90" t="s">
        <v>378</v>
      </c>
      <c r="H1012" s="100">
        <f>IFERROR(SUMIFS(MOVIMIENTOS_COMPLEMENTOS!$I$4:$I$803,MOVIMIENTOS_COMPLEMENTOS!$C$4:$C$803,A1012,MOVIMIENTOS_COMPLEMENTOS!$D$4:$D$803,B1012,MOVIMIENTOS_COMPLEMENTOS!$E$4:$E$803,C1012,MOVIMIENTOS_COMPLEMENTOS!$G$4:$G$803,E1012,MOVIMIENTOS_COMPLEMENTOS!$H$4:$H$803,G1012,MOVIMIENTOS_COMPLEMENTOS!$B$4:$B$803,"INGRESO")+SUMIFS(MOVIMIENTOS_COMPLEMENTOS!$I$4:$I$803,MOVIMIENTOS_COMPLEMENTOS!$C$4:$C$803,A1012,MOVIMIENTOS_COMPLEMENTOS!$D$4:$D$803,B1012,MOVIMIENTOS_COMPLEMENTOS!$E$4:$E$803,C1012,MOVIMIENTOS_COMPLEMENTOS!$G$4:$G$803,E1012,MOVIMIENTOS_COMPLEMENTOS!$H$4:$H$803,G1012,MOVIMIENTOS_COMPLEMENTOS!$B$4:$B$803,"DE CORTE")-SUMIFS(MOVIMIENTOS_COMPLEMENTOS!$I$4:$I$803,MOVIMIENTOS_COMPLEMENTOS!$C$4:$C$803,A1012,MOVIMIENTOS_COMPLEMENTOS!$D$4:$D$803,B1012,MOVIMIENTOS_COMPLEMENTOS!$E$4:$E$803,C1012,MOVIMIENTOS_COMPLEMENTOS!$G$4:$G$803,E1012,MOVIMIENTOS_COMPLEMENTOS!$H$4:$H$803,G1012,MOVIMIENTOS_COMPLEMENTOS!$B$4:$B$803,"SALIDA"),0)</f>
        <v>0</v>
      </c>
      <c r="I1012" s="102">
        <f t="array" ref="I1012">IFERROR(INDEX(PRECIOS_COMPLEMENTOS!$C$4:$F$17,MATCH(B1012&amp;"_"&amp;C1012,PRECIOS_COMPLEMENTOS!$H$4:$H$17,0),IF(OR(G1012="S",G1012="20cm"),1,IF(OR(G1012="M",G1012="25cm"),2,IF(OR(G1012="L",G1012="30cm"),3,IF(OR(G1012="XL",G1012="35cm"),4,0))))),0)</f>
        <v>0.4</v>
      </c>
      <c r="J1012" s="103">
        <f t="shared" si="1"/>
        <v>0</v>
      </c>
      <c r="K1012" s="104" t="str">
        <f>IF(H1012&lt;0,"ERROR",IF(H1012=0,"",IF(H1012&lt;CONFIG!$B$4,"CRÍTICO",IF(H1012&lt;CONFIG!$B$5,"BAJO","OK"))))</f>
        <v/>
      </c>
    </row>
    <row r="1013" ht="15.75" hidden="1" customHeight="1">
      <c r="A1013" s="90" t="str">
        <f>IF(CLIENTES!A7="","",CLIENTES!A7)</f>
        <v/>
      </c>
      <c r="B1013" s="90" t="s">
        <v>321</v>
      </c>
      <c r="C1013" s="91" t="s">
        <v>328</v>
      </c>
      <c r="D1013" s="109" t="s">
        <v>353</v>
      </c>
      <c r="E1013" s="67" t="str">
        <f>COLORES!A16</f>
        <v>Topo</v>
      </c>
      <c r="F1013" s="67" t="str">
        <f>COLORES!B16</f>
        <v>CLARO</v>
      </c>
      <c r="G1013" s="90" t="s">
        <v>376</v>
      </c>
      <c r="H1013" s="100">
        <f>IFERROR(SUMIFS(MOVIMIENTOS_COMPLEMENTOS!$I$4:$I$803,MOVIMIENTOS_COMPLEMENTOS!$C$4:$C$803,A1013,MOVIMIENTOS_COMPLEMENTOS!$D$4:$D$803,B1013,MOVIMIENTOS_COMPLEMENTOS!$E$4:$E$803,C1013,MOVIMIENTOS_COMPLEMENTOS!$G$4:$G$803,E1013,MOVIMIENTOS_COMPLEMENTOS!$H$4:$H$803,G1013,MOVIMIENTOS_COMPLEMENTOS!$B$4:$B$803,"INGRESO")+SUMIFS(MOVIMIENTOS_COMPLEMENTOS!$I$4:$I$803,MOVIMIENTOS_COMPLEMENTOS!$C$4:$C$803,A1013,MOVIMIENTOS_COMPLEMENTOS!$D$4:$D$803,B1013,MOVIMIENTOS_COMPLEMENTOS!$E$4:$E$803,C1013,MOVIMIENTOS_COMPLEMENTOS!$G$4:$G$803,E1013,MOVIMIENTOS_COMPLEMENTOS!$H$4:$H$803,G1013,MOVIMIENTOS_COMPLEMENTOS!$B$4:$B$803,"DE CORTE")-SUMIFS(MOVIMIENTOS_COMPLEMENTOS!$I$4:$I$803,MOVIMIENTOS_COMPLEMENTOS!$C$4:$C$803,A1013,MOVIMIENTOS_COMPLEMENTOS!$D$4:$D$803,B1013,MOVIMIENTOS_COMPLEMENTOS!$E$4:$E$803,C1013,MOVIMIENTOS_COMPLEMENTOS!$G$4:$G$803,E1013,MOVIMIENTOS_COMPLEMENTOS!$H$4:$H$803,G1013,MOVIMIENTOS_COMPLEMENTOS!$B$4:$B$803,"SALIDA"),0)</f>
        <v>0</v>
      </c>
      <c r="I1013" s="102">
        <f t="array" ref="I1013">IFERROR(INDEX(PRECIOS_COMPLEMENTOS!$C$4:$F$17,MATCH(B1013&amp;"_"&amp;C1013,PRECIOS_COMPLEMENTOS!$H$4:$H$17,0),IF(OR(G1013="S",G1013="20cm"),1,IF(OR(G1013="M",G1013="25cm"),2,IF(OR(G1013="L",G1013="30cm"),3,IF(OR(G1013="XL",G1013="35cm"),4,0))))),0)</f>
        <v>0.4</v>
      </c>
      <c r="J1013" s="103">
        <f t="shared" si="1"/>
        <v>0</v>
      </c>
      <c r="K1013" s="104" t="str">
        <f>IF(H1013&lt;0,"ERROR",IF(H1013=0,"",IF(H1013&lt;CONFIG!$B$4,"CRÍTICO",IF(H1013&lt;CONFIG!$B$5,"BAJO","OK"))))</f>
        <v/>
      </c>
    </row>
    <row r="1014" ht="15.75" hidden="1" customHeight="1">
      <c r="A1014" s="90" t="str">
        <f>IF(CLIENTES!A7="","",CLIENTES!A7)</f>
        <v/>
      </c>
      <c r="B1014" s="90" t="s">
        <v>321</v>
      </c>
      <c r="C1014" s="91" t="s">
        <v>328</v>
      </c>
      <c r="D1014" s="109" t="s">
        <v>353</v>
      </c>
      <c r="E1014" s="67" t="str">
        <f>COLORES!A16</f>
        <v>Topo</v>
      </c>
      <c r="F1014" s="67" t="str">
        <f>COLORES!B16</f>
        <v>CLARO</v>
      </c>
      <c r="G1014" s="90" t="s">
        <v>377</v>
      </c>
      <c r="H1014" s="100">
        <f>IFERROR(SUMIFS(MOVIMIENTOS_COMPLEMENTOS!$I$4:$I$803,MOVIMIENTOS_COMPLEMENTOS!$C$4:$C$803,A1014,MOVIMIENTOS_COMPLEMENTOS!$D$4:$D$803,B1014,MOVIMIENTOS_COMPLEMENTOS!$E$4:$E$803,C1014,MOVIMIENTOS_COMPLEMENTOS!$G$4:$G$803,E1014,MOVIMIENTOS_COMPLEMENTOS!$H$4:$H$803,G1014,MOVIMIENTOS_COMPLEMENTOS!$B$4:$B$803,"INGRESO")+SUMIFS(MOVIMIENTOS_COMPLEMENTOS!$I$4:$I$803,MOVIMIENTOS_COMPLEMENTOS!$C$4:$C$803,A1014,MOVIMIENTOS_COMPLEMENTOS!$D$4:$D$803,B1014,MOVIMIENTOS_COMPLEMENTOS!$E$4:$E$803,C1014,MOVIMIENTOS_COMPLEMENTOS!$G$4:$G$803,E1014,MOVIMIENTOS_COMPLEMENTOS!$H$4:$H$803,G1014,MOVIMIENTOS_COMPLEMENTOS!$B$4:$B$803,"DE CORTE")-SUMIFS(MOVIMIENTOS_COMPLEMENTOS!$I$4:$I$803,MOVIMIENTOS_COMPLEMENTOS!$C$4:$C$803,A1014,MOVIMIENTOS_COMPLEMENTOS!$D$4:$D$803,B1014,MOVIMIENTOS_COMPLEMENTOS!$E$4:$E$803,C1014,MOVIMIENTOS_COMPLEMENTOS!$G$4:$G$803,E1014,MOVIMIENTOS_COMPLEMENTOS!$H$4:$H$803,G1014,MOVIMIENTOS_COMPLEMENTOS!$B$4:$B$803,"SALIDA"),0)</f>
        <v>0</v>
      </c>
      <c r="I1014" s="102">
        <f t="array" ref="I1014">IFERROR(INDEX(PRECIOS_COMPLEMENTOS!$C$4:$F$17,MATCH(B1014&amp;"_"&amp;C1014,PRECIOS_COMPLEMENTOS!$H$4:$H$17,0),IF(OR(G1014="S",G1014="20cm"),1,IF(OR(G1014="M",G1014="25cm"),2,IF(OR(G1014="L",G1014="30cm"),3,IF(OR(G1014="XL",G1014="35cm"),4,0))))),0)</f>
        <v>0.4</v>
      </c>
      <c r="J1014" s="103">
        <f t="shared" si="1"/>
        <v>0</v>
      </c>
      <c r="K1014" s="104" t="str">
        <f>IF(H1014&lt;0,"ERROR",IF(H1014=0,"",IF(H1014&lt;CONFIG!$B$4,"CRÍTICO",IF(H1014&lt;CONFIG!$B$5,"BAJO","OK"))))</f>
        <v/>
      </c>
    </row>
    <row r="1015" ht="15.75" hidden="1" customHeight="1">
      <c r="A1015" s="90" t="str">
        <f>IF(CLIENTES!A7="","",CLIENTES!A7)</f>
        <v/>
      </c>
      <c r="B1015" s="90" t="s">
        <v>321</v>
      </c>
      <c r="C1015" s="91" t="s">
        <v>328</v>
      </c>
      <c r="D1015" s="109" t="s">
        <v>353</v>
      </c>
      <c r="E1015" s="67" t="str">
        <f>COLORES!A16</f>
        <v>Topo</v>
      </c>
      <c r="F1015" s="67" t="str">
        <f>COLORES!B16</f>
        <v>CLARO</v>
      </c>
      <c r="G1015" s="90" t="s">
        <v>379</v>
      </c>
      <c r="H1015" s="100">
        <f>IFERROR(SUMIFS(MOVIMIENTOS_COMPLEMENTOS!$I$4:$I$803,MOVIMIENTOS_COMPLEMENTOS!$C$4:$C$803,A1015,MOVIMIENTOS_COMPLEMENTOS!$D$4:$D$803,B1015,MOVIMIENTOS_COMPLEMENTOS!$E$4:$E$803,C1015,MOVIMIENTOS_COMPLEMENTOS!$G$4:$G$803,E1015,MOVIMIENTOS_COMPLEMENTOS!$H$4:$H$803,G1015,MOVIMIENTOS_COMPLEMENTOS!$B$4:$B$803,"INGRESO")+SUMIFS(MOVIMIENTOS_COMPLEMENTOS!$I$4:$I$803,MOVIMIENTOS_COMPLEMENTOS!$C$4:$C$803,A1015,MOVIMIENTOS_COMPLEMENTOS!$D$4:$D$803,B1015,MOVIMIENTOS_COMPLEMENTOS!$E$4:$E$803,C1015,MOVIMIENTOS_COMPLEMENTOS!$G$4:$G$803,E1015,MOVIMIENTOS_COMPLEMENTOS!$H$4:$H$803,G1015,MOVIMIENTOS_COMPLEMENTOS!$B$4:$B$803,"DE CORTE")-SUMIFS(MOVIMIENTOS_COMPLEMENTOS!$I$4:$I$803,MOVIMIENTOS_COMPLEMENTOS!$C$4:$C$803,A1015,MOVIMIENTOS_COMPLEMENTOS!$D$4:$D$803,B1015,MOVIMIENTOS_COMPLEMENTOS!$E$4:$E$803,C1015,MOVIMIENTOS_COMPLEMENTOS!$G$4:$G$803,E1015,MOVIMIENTOS_COMPLEMENTOS!$H$4:$H$803,G1015,MOVIMIENTOS_COMPLEMENTOS!$B$4:$B$803,"SALIDA"),0)</f>
        <v>0</v>
      </c>
      <c r="I1015" s="102">
        <f t="array" ref="I1015">IFERROR(INDEX(PRECIOS_COMPLEMENTOS!$C$4:$F$17,MATCH(B1015&amp;"_"&amp;C1015,PRECIOS_COMPLEMENTOS!$H$4:$H$17,0),IF(OR(G1015="S",G1015="20cm"),1,IF(OR(G1015="M",G1015="25cm"),2,IF(OR(G1015="L",G1015="30cm"),3,IF(OR(G1015="XL",G1015="35cm"),4,0))))),0)</f>
        <v>0.4</v>
      </c>
      <c r="J1015" s="103">
        <f t="shared" si="1"/>
        <v>0</v>
      </c>
      <c r="K1015" s="104" t="str">
        <f>IF(H1015&lt;0,"ERROR",IF(H1015=0,"",IF(H1015&lt;CONFIG!$B$4,"CRÍTICO",IF(H1015&lt;CONFIG!$B$5,"BAJO","OK"))))</f>
        <v/>
      </c>
    </row>
    <row r="1016" ht="15.75" hidden="1" customHeight="1">
      <c r="A1016" s="90" t="str">
        <f>IF(CLIENTES!A7="","",CLIENTES!A7)</f>
        <v/>
      </c>
      <c r="B1016" s="90" t="s">
        <v>321</v>
      </c>
      <c r="C1016" s="91" t="s">
        <v>328</v>
      </c>
      <c r="D1016" s="109" t="s">
        <v>353</v>
      </c>
      <c r="E1016" s="67" t="str">
        <f>COLORES!A17</f>
        <v>Vino</v>
      </c>
      <c r="F1016" s="67" t="str">
        <f>COLORES!B17</f>
        <v>OSCURO</v>
      </c>
      <c r="G1016" s="90" t="s">
        <v>378</v>
      </c>
      <c r="H1016" s="100">
        <f>IFERROR(SUMIFS(MOVIMIENTOS_COMPLEMENTOS!$I$4:$I$803,MOVIMIENTOS_COMPLEMENTOS!$C$4:$C$803,A1016,MOVIMIENTOS_COMPLEMENTOS!$D$4:$D$803,B1016,MOVIMIENTOS_COMPLEMENTOS!$E$4:$E$803,C1016,MOVIMIENTOS_COMPLEMENTOS!$G$4:$G$803,E1016,MOVIMIENTOS_COMPLEMENTOS!$H$4:$H$803,G1016,MOVIMIENTOS_COMPLEMENTOS!$B$4:$B$803,"INGRESO")+SUMIFS(MOVIMIENTOS_COMPLEMENTOS!$I$4:$I$803,MOVIMIENTOS_COMPLEMENTOS!$C$4:$C$803,A1016,MOVIMIENTOS_COMPLEMENTOS!$D$4:$D$803,B1016,MOVIMIENTOS_COMPLEMENTOS!$E$4:$E$803,C1016,MOVIMIENTOS_COMPLEMENTOS!$G$4:$G$803,E1016,MOVIMIENTOS_COMPLEMENTOS!$H$4:$H$803,G1016,MOVIMIENTOS_COMPLEMENTOS!$B$4:$B$803,"DE CORTE")-SUMIFS(MOVIMIENTOS_COMPLEMENTOS!$I$4:$I$803,MOVIMIENTOS_COMPLEMENTOS!$C$4:$C$803,A1016,MOVIMIENTOS_COMPLEMENTOS!$D$4:$D$803,B1016,MOVIMIENTOS_COMPLEMENTOS!$E$4:$E$803,C1016,MOVIMIENTOS_COMPLEMENTOS!$G$4:$G$803,E1016,MOVIMIENTOS_COMPLEMENTOS!$H$4:$H$803,G1016,MOVIMIENTOS_COMPLEMENTOS!$B$4:$B$803,"SALIDA"),0)</f>
        <v>0</v>
      </c>
      <c r="I1016" s="102">
        <f t="array" ref="I1016">IFERROR(INDEX(PRECIOS_COMPLEMENTOS!$C$4:$F$17,MATCH(B1016&amp;"_"&amp;C1016,PRECIOS_COMPLEMENTOS!$H$4:$H$17,0),IF(OR(G1016="S",G1016="20cm"),1,IF(OR(G1016="M",G1016="25cm"),2,IF(OR(G1016="L",G1016="30cm"),3,IF(OR(G1016="XL",G1016="35cm"),4,0))))),0)</f>
        <v>0.4</v>
      </c>
      <c r="J1016" s="103">
        <f t="shared" si="1"/>
        <v>0</v>
      </c>
      <c r="K1016" s="104" t="str">
        <f>IF(H1016&lt;0,"ERROR",IF(H1016=0,"",IF(H1016&lt;CONFIG!$B$4,"CRÍTICO",IF(H1016&lt;CONFIG!$B$5,"BAJO","OK"))))</f>
        <v/>
      </c>
    </row>
    <row r="1017" ht="15.75" hidden="1" customHeight="1">
      <c r="A1017" s="90" t="str">
        <f>IF(CLIENTES!A7="","",CLIENTES!A7)</f>
        <v/>
      </c>
      <c r="B1017" s="90" t="s">
        <v>321</v>
      </c>
      <c r="C1017" s="91" t="s">
        <v>328</v>
      </c>
      <c r="D1017" s="109" t="s">
        <v>353</v>
      </c>
      <c r="E1017" s="67" t="str">
        <f>COLORES!A17</f>
        <v>Vino</v>
      </c>
      <c r="F1017" s="67" t="str">
        <f>COLORES!B17</f>
        <v>OSCURO</v>
      </c>
      <c r="G1017" s="90" t="s">
        <v>376</v>
      </c>
      <c r="H1017" s="100">
        <f>IFERROR(SUMIFS(MOVIMIENTOS_COMPLEMENTOS!$I$4:$I$803,MOVIMIENTOS_COMPLEMENTOS!$C$4:$C$803,A1017,MOVIMIENTOS_COMPLEMENTOS!$D$4:$D$803,B1017,MOVIMIENTOS_COMPLEMENTOS!$E$4:$E$803,C1017,MOVIMIENTOS_COMPLEMENTOS!$G$4:$G$803,E1017,MOVIMIENTOS_COMPLEMENTOS!$H$4:$H$803,G1017,MOVIMIENTOS_COMPLEMENTOS!$B$4:$B$803,"INGRESO")+SUMIFS(MOVIMIENTOS_COMPLEMENTOS!$I$4:$I$803,MOVIMIENTOS_COMPLEMENTOS!$C$4:$C$803,A1017,MOVIMIENTOS_COMPLEMENTOS!$D$4:$D$803,B1017,MOVIMIENTOS_COMPLEMENTOS!$E$4:$E$803,C1017,MOVIMIENTOS_COMPLEMENTOS!$G$4:$G$803,E1017,MOVIMIENTOS_COMPLEMENTOS!$H$4:$H$803,G1017,MOVIMIENTOS_COMPLEMENTOS!$B$4:$B$803,"DE CORTE")-SUMIFS(MOVIMIENTOS_COMPLEMENTOS!$I$4:$I$803,MOVIMIENTOS_COMPLEMENTOS!$C$4:$C$803,A1017,MOVIMIENTOS_COMPLEMENTOS!$D$4:$D$803,B1017,MOVIMIENTOS_COMPLEMENTOS!$E$4:$E$803,C1017,MOVIMIENTOS_COMPLEMENTOS!$G$4:$G$803,E1017,MOVIMIENTOS_COMPLEMENTOS!$H$4:$H$803,G1017,MOVIMIENTOS_COMPLEMENTOS!$B$4:$B$803,"SALIDA"),0)</f>
        <v>0</v>
      </c>
      <c r="I1017" s="102">
        <f t="array" ref="I1017">IFERROR(INDEX(PRECIOS_COMPLEMENTOS!$C$4:$F$17,MATCH(B1017&amp;"_"&amp;C1017,PRECIOS_COMPLEMENTOS!$H$4:$H$17,0),IF(OR(G1017="S",G1017="20cm"),1,IF(OR(G1017="M",G1017="25cm"),2,IF(OR(G1017="L",G1017="30cm"),3,IF(OR(G1017="XL",G1017="35cm"),4,0))))),0)</f>
        <v>0.4</v>
      </c>
      <c r="J1017" s="103">
        <f t="shared" si="1"/>
        <v>0</v>
      </c>
      <c r="K1017" s="104" t="str">
        <f>IF(H1017&lt;0,"ERROR",IF(H1017=0,"",IF(H1017&lt;CONFIG!$B$4,"CRÍTICO",IF(H1017&lt;CONFIG!$B$5,"BAJO","OK"))))</f>
        <v/>
      </c>
    </row>
    <row r="1018" ht="15.75" hidden="1" customHeight="1">
      <c r="A1018" s="90" t="str">
        <f>IF(CLIENTES!A7="","",CLIENTES!A7)</f>
        <v/>
      </c>
      <c r="B1018" s="90" t="s">
        <v>321</v>
      </c>
      <c r="C1018" s="91" t="s">
        <v>328</v>
      </c>
      <c r="D1018" s="109" t="s">
        <v>353</v>
      </c>
      <c r="E1018" s="67" t="str">
        <f>COLORES!A17</f>
        <v>Vino</v>
      </c>
      <c r="F1018" s="67" t="str">
        <f>COLORES!B17</f>
        <v>OSCURO</v>
      </c>
      <c r="G1018" s="90" t="s">
        <v>377</v>
      </c>
      <c r="H1018" s="100">
        <f>IFERROR(SUMIFS(MOVIMIENTOS_COMPLEMENTOS!$I$4:$I$803,MOVIMIENTOS_COMPLEMENTOS!$C$4:$C$803,A1018,MOVIMIENTOS_COMPLEMENTOS!$D$4:$D$803,B1018,MOVIMIENTOS_COMPLEMENTOS!$E$4:$E$803,C1018,MOVIMIENTOS_COMPLEMENTOS!$G$4:$G$803,E1018,MOVIMIENTOS_COMPLEMENTOS!$H$4:$H$803,G1018,MOVIMIENTOS_COMPLEMENTOS!$B$4:$B$803,"INGRESO")+SUMIFS(MOVIMIENTOS_COMPLEMENTOS!$I$4:$I$803,MOVIMIENTOS_COMPLEMENTOS!$C$4:$C$803,A1018,MOVIMIENTOS_COMPLEMENTOS!$D$4:$D$803,B1018,MOVIMIENTOS_COMPLEMENTOS!$E$4:$E$803,C1018,MOVIMIENTOS_COMPLEMENTOS!$G$4:$G$803,E1018,MOVIMIENTOS_COMPLEMENTOS!$H$4:$H$803,G1018,MOVIMIENTOS_COMPLEMENTOS!$B$4:$B$803,"DE CORTE")-SUMIFS(MOVIMIENTOS_COMPLEMENTOS!$I$4:$I$803,MOVIMIENTOS_COMPLEMENTOS!$C$4:$C$803,A1018,MOVIMIENTOS_COMPLEMENTOS!$D$4:$D$803,B1018,MOVIMIENTOS_COMPLEMENTOS!$E$4:$E$803,C1018,MOVIMIENTOS_COMPLEMENTOS!$G$4:$G$803,E1018,MOVIMIENTOS_COMPLEMENTOS!$H$4:$H$803,G1018,MOVIMIENTOS_COMPLEMENTOS!$B$4:$B$803,"SALIDA"),0)</f>
        <v>0</v>
      </c>
      <c r="I1018" s="102">
        <f t="array" ref="I1018">IFERROR(INDEX(PRECIOS_COMPLEMENTOS!$C$4:$F$17,MATCH(B1018&amp;"_"&amp;C1018,PRECIOS_COMPLEMENTOS!$H$4:$H$17,0),IF(OR(G1018="S",G1018="20cm"),1,IF(OR(G1018="M",G1018="25cm"),2,IF(OR(G1018="L",G1018="30cm"),3,IF(OR(G1018="XL",G1018="35cm"),4,0))))),0)</f>
        <v>0.4</v>
      </c>
      <c r="J1018" s="103">
        <f t="shared" si="1"/>
        <v>0</v>
      </c>
      <c r="K1018" s="104" t="str">
        <f>IF(H1018&lt;0,"ERROR",IF(H1018=0,"",IF(H1018&lt;CONFIG!$B$4,"CRÍTICO",IF(H1018&lt;CONFIG!$B$5,"BAJO","OK"))))</f>
        <v/>
      </c>
    </row>
    <row r="1019" ht="15.75" hidden="1" customHeight="1">
      <c r="A1019" s="90" t="str">
        <f>IF(CLIENTES!A7="","",CLIENTES!A7)</f>
        <v/>
      </c>
      <c r="B1019" s="90" t="s">
        <v>321</v>
      </c>
      <c r="C1019" s="91" t="s">
        <v>328</v>
      </c>
      <c r="D1019" s="109" t="s">
        <v>353</v>
      </c>
      <c r="E1019" s="67" t="str">
        <f>COLORES!A17</f>
        <v>Vino</v>
      </c>
      <c r="F1019" s="67" t="str">
        <f>COLORES!B17</f>
        <v>OSCURO</v>
      </c>
      <c r="G1019" s="90" t="s">
        <v>379</v>
      </c>
      <c r="H1019" s="100">
        <f>IFERROR(SUMIFS(MOVIMIENTOS_COMPLEMENTOS!$I$4:$I$803,MOVIMIENTOS_COMPLEMENTOS!$C$4:$C$803,A1019,MOVIMIENTOS_COMPLEMENTOS!$D$4:$D$803,B1019,MOVIMIENTOS_COMPLEMENTOS!$E$4:$E$803,C1019,MOVIMIENTOS_COMPLEMENTOS!$G$4:$G$803,E1019,MOVIMIENTOS_COMPLEMENTOS!$H$4:$H$803,G1019,MOVIMIENTOS_COMPLEMENTOS!$B$4:$B$803,"INGRESO")+SUMIFS(MOVIMIENTOS_COMPLEMENTOS!$I$4:$I$803,MOVIMIENTOS_COMPLEMENTOS!$C$4:$C$803,A1019,MOVIMIENTOS_COMPLEMENTOS!$D$4:$D$803,B1019,MOVIMIENTOS_COMPLEMENTOS!$E$4:$E$803,C1019,MOVIMIENTOS_COMPLEMENTOS!$G$4:$G$803,E1019,MOVIMIENTOS_COMPLEMENTOS!$H$4:$H$803,G1019,MOVIMIENTOS_COMPLEMENTOS!$B$4:$B$803,"DE CORTE")-SUMIFS(MOVIMIENTOS_COMPLEMENTOS!$I$4:$I$803,MOVIMIENTOS_COMPLEMENTOS!$C$4:$C$803,A1019,MOVIMIENTOS_COMPLEMENTOS!$D$4:$D$803,B1019,MOVIMIENTOS_COMPLEMENTOS!$E$4:$E$803,C1019,MOVIMIENTOS_COMPLEMENTOS!$G$4:$G$803,E1019,MOVIMIENTOS_COMPLEMENTOS!$H$4:$H$803,G1019,MOVIMIENTOS_COMPLEMENTOS!$B$4:$B$803,"SALIDA"),0)</f>
        <v>0</v>
      </c>
      <c r="I1019" s="102">
        <f t="array" ref="I1019">IFERROR(INDEX(PRECIOS_COMPLEMENTOS!$C$4:$F$17,MATCH(B1019&amp;"_"&amp;C1019,PRECIOS_COMPLEMENTOS!$H$4:$H$17,0),IF(OR(G1019="S",G1019="20cm"),1,IF(OR(G1019="M",G1019="25cm"),2,IF(OR(G1019="L",G1019="30cm"),3,IF(OR(G1019="XL",G1019="35cm"),4,0))))),0)</f>
        <v>0.4</v>
      </c>
      <c r="J1019" s="103">
        <f t="shared" si="1"/>
        <v>0</v>
      </c>
      <c r="K1019" s="104" t="str">
        <f>IF(H1019&lt;0,"ERROR",IF(H1019=0,"",IF(H1019&lt;CONFIG!$B$4,"CRÍTICO",IF(H1019&lt;CONFIG!$B$5,"BAJO","OK"))))</f>
        <v/>
      </c>
    </row>
    <row r="1020" ht="15.75" hidden="1" customHeight="1">
      <c r="A1020" s="90" t="str">
        <f>IF(CLIENTES!A7="","",CLIENTES!A7)</f>
        <v/>
      </c>
      <c r="B1020" s="90" t="s">
        <v>321</v>
      </c>
      <c r="C1020" s="91" t="s">
        <v>328</v>
      </c>
      <c r="D1020" s="109" t="s">
        <v>353</v>
      </c>
      <c r="E1020" s="67" t="str">
        <f>COLORES!A18</f>
        <v>P. Rosa</v>
      </c>
      <c r="F1020" s="67" t="str">
        <f>COLORES!B18</f>
        <v>CLARO</v>
      </c>
      <c r="G1020" s="90" t="s">
        <v>378</v>
      </c>
      <c r="H1020" s="100">
        <f>IFERROR(SUMIFS(MOVIMIENTOS_COMPLEMENTOS!$I$4:$I$803,MOVIMIENTOS_COMPLEMENTOS!$C$4:$C$803,A1020,MOVIMIENTOS_COMPLEMENTOS!$D$4:$D$803,B1020,MOVIMIENTOS_COMPLEMENTOS!$E$4:$E$803,C1020,MOVIMIENTOS_COMPLEMENTOS!$G$4:$G$803,E1020,MOVIMIENTOS_COMPLEMENTOS!$H$4:$H$803,G1020,MOVIMIENTOS_COMPLEMENTOS!$B$4:$B$803,"INGRESO")+SUMIFS(MOVIMIENTOS_COMPLEMENTOS!$I$4:$I$803,MOVIMIENTOS_COMPLEMENTOS!$C$4:$C$803,A1020,MOVIMIENTOS_COMPLEMENTOS!$D$4:$D$803,B1020,MOVIMIENTOS_COMPLEMENTOS!$E$4:$E$803,C1020,MOVIMIENTOS_COMPLEMENTOS!$G$4:$G$803,E1020,MOVIMIENTOS_COMPLEMENTOS!$H$4:$H$803,G1020,MOVIMIENTOS_COMPLEMENTOS!$B$4:$B$803,"DE CORTE")-SUMIFS(MOVIMIENTOS_COMPLEMENTOS!$I$4:$I$803,MOVIMIENTOS_COMPLEMENTOS!$C$4:$C$803,A1020,MOVIMIENTOS_COMPLEMENTOS!$D$4:$D$803,B1020,MOVIMIENTOS_COMPLEMENTOS!$E$4:$E$803,C1020,MOVIMIENTOS_COMPLEMENTOS!$G$4:$G$803,E1020,MOVIMIENTOS_COMPLEMENTOS!$H$4:$H$803,G1020,MOVIMIENTOS_COMPLEMENTOS!$B$4:$B$803,"SALIDA"),0)</f>
        <v>0</v>
      </c>
      <c r="I1020" s="102">
        <f t="array" ref="I1020">IFERROR(INDEX(PRECIOS_COMPLEMENTOS!$C$4:$F$17,MATCH(B1020&amp;"_"&amp;C1020,PRECIOS_COMPLEMENTOS!$H$4:$H$17,0),IF(OR(G1020="S",G1020="20cm"),1,IF(OR(G1020="M",G1020="25cm"),2,IF(OR(G1020="L",G1020="30cm"),3,IF(OR(G1020="XL",G1020="35cm"),4,0))))),0)</f>
        <v>0.4</v>
      </c>
      <c r="J1020" s="103">
        <f t="shared" si="1"/>
        <v>0</v>
      </c>
      <c r="K1020" s="104" t="str">
        <f>IF(H1020&lt;0,"ERROR",IF(H1020=0,"",IF(H1020&lt;CONFIG!$B$4,"CRÍTICO",IF(H1020&lt;CONFIG!$B$5,"BAJO","OK"))))</f>
        <v/>
      </c>
    </row>
    <row r="1021" ht="15.75" hidden="1" customHeight="1">
      <c r="A1021" s="90" t="str">
        <f>IF(CLIENTES!A7="","",CLIENTES!A7)</f>
        <v/>
      </c>
      <c r="B1021" s="90" t="s">
        <v>321</v>
      </c>
      <c r="C1021" s="91" t="s">
        <v>328</v>
      </c>
      <c r="D1021" s="109" t="s">
        <v>353</v>
      </c>
      <c r="E1021" s="67" t="str">
        <f>COLORES!A18</f>
        <v>P. Rosa</v>
      </c>
      <c r="F1021" s="67" t="str">
        <f>COLORES!B18</f>
        <v>CLARO</v>
      </c>
      <c r="G1021" s="90" t="s">
        <v>376</v>
      </c>
      <c r="H1021" s="100">
        <f>IFERROR(SUMIFS(MOVIMIENTOS_COMPLEMENTOS!$I$4:$I$803,MOVIMIENTOS_COMPLEMENTOS!$C$4:$C$803,A1021,MOVIMIENTOS_COMPLEMENTOS!$D$4:$D$803,B1021,MOVIMIENTOS_COMPLEMENTOS!$E$4:$E$803,C1021,MOVIMIENTOS_COMPLEMENTOS!$G$4:$G$803,E1021,MOVIMIENTOS_COMPLEMENTOS!$H$4:$H$803,G1021,MOVIMIENTOS_COMPLEMENTOS!$B$4:$B$803,"INGRESO")+SUMIFS(MOVIMIENTOS_COMPLEMENTOS!$I$4:$I$803,MOVIMIENTOS_COMPLEMENTOS!$C$4:$C$803,A1021,MOVIMIENTOS_COMPLEMENTOS!$D$4:$D$803,B1021,MOVIMIENTOS_COMPLEMENTOS!$E$4:$E$803,C1021,MOVIMIENTOS_COMPLEMENTOS!$G$4:$G$803,E1021,MOVIMIENTOS_COMPLEMENTOS!$H$4:$H$803,G1021,MOVIMIENTOS_COMPLEMENTOS!$B$4:$B$803,"DE CORTE")-SUMIFS(MOVIMIENTOS_COMPLEMENTOS!$I$4:$I$803,MOVIMIENTOS_COMPLEMENTOS!$C$4:$C$803,A1021,MOVIMIENTOS_COMPLEMENTOS!$D$4:$D$803,B1021,MOVIMIENTOS_COMPLEMENTOS!$E$4:$E$803,C1021,MOVIMIENTOS_COMPLEMENTOS!$G$4:$G$803,E1021,MOVIMIENTOS_COMPLEMENTOS!$H$4:$H$803,G1021,MOVIMIENTOS_COMPLEMENTOS!$B$4:$B$803,"SALIDA"),0)</f>
        <v>0</v>
      </c>
      <c r="I1021" s="102">
        <f t="array" ref="I1021">IFERROR(INDEX(PRECIOS_COMPLEMENTOS!$C$4:$F$17,MATCH(B1021&amp;"_"&amp;C1021,PRECIOS_COMPLEMENTOS!$H$4:$H$17,0),IF(OR(G1021="S",G1021="20cm"),1,IF(OR(G1021="M",G1021="25cm"),2,IF(OR(G1021="L",G1021="30cm"),3,IF(OR(G1021="XL",G1021="35cm"),4,0))))),0)</f>
        <v>0.4</v>
      </c>
      <c r="J1021" s="103">
        <f t="shared" si="1"/>
        <v>0</v>
      </c>
      <c r="K1021" s="104" t="str">
        <f>IF(H1021&lt;0,"ERROR",IF(H1021=0,"",IF(H1021&lt;CONFIG!$B$4,"CRÍTICO",IF(H1021&lt;CONFIG!$B$5,"BAJO","OK"))))</f>
        <v/>
      </c>
    </row>
    <row r="1022" ht="15.75" hidden="1" customHeight="1">
      <c r="A1022" s="90" t="str">
        <f>IF(CLIENTES!A7="","",CLIENTES!A7)</f>
        <v/>
      </c>
      <c r="B1022" s="90" t="s">
        <v>321</v>
      </c>
      <c r="C1022" s="91" t="s">
        <v>328</v>
      </c>
      <c r="D1022" s="109" t="s">
        <v>353</v>
      </c>
      <c r="E1022" s="67" t="str">
        <f>COLORES!A18</f>
        <v>P. Rosa</v>
      </c>
      <c r="F1022" s="67" t="str">
        <f>COLORES!B18</f>
        <v>CLARO</v>
      </c>
      <c r="G1022" s="90" t="s">
        <v>377</v>
      </c>
      <c r="H1022" s="100">
        <f>IFERROR(SUMIFS(MOVIMIENTOS_COMPLEMENTOS!$I$4:$I$803,MOVIMIENTOS_COMPLEMENTOS!$C$4:$C$803,A1022,MOVIMIENTOS_COMPLEMENTOS!$D$4:$D$803,B1022,MOVIMIENTOS_COMPLEMENTOS!$E$4:$E$803,C1022,MOVIMIENTOS_COMPLEMENTOS!$G$4:$G$803,E1022,MOVIMIENTOS_COMPLEMENTOS!$H$4:$H$803,G1022,MOVIMIENTOS_COMPLEMENTOS!$B$4:$B$803,"INGRESO")+SUMIFS(MOVIMIENTOS_COMPLEMENTOS!$I$4:$I$803,MOVIMIENTOS_COMPLEMENTOS!$C$4:$C$803,A1022,MOVIMIENTOS_COMPLEMENTOS!$D$4:$D$803,B1022,MOVIMIENTOS_COMPLEMENTOS!$E$4:$E$803,C1022,MOVIMIENTOS_COMPLEMENTOS!$G$4:$G$803,E1022,MOVIMIENTOS_COMPLEMENTOS!$H$4:$H$803,G1022,MOVIMIENTOS_COMPLEMENTOS!$B$4:$B$803,"DE CORTE")-SUMIFS(MOVIMIENTOS_COMPLEMENTOS!$I$4:$I$803,MOVIMIENTOS_COMPLEMENTOS!$C$4:$C$803,A1022,MOVIMIENTOS_COMPLEMENTOS!$D$4:$D$803,B1022,MOVIMIENTOS_COMPLEMENTOS!$E$4:$E$803,C1022,MOVIMIENTOS_COMPLEMENTOS!$G$4:$G$803,E1022,MOVIMIENTOS_COMPLEMENTOS!$H$4:$H$803,G1022,MOVIMIENTOS_COMPLEMENTOS!$B$4:$B$803,"SALIDA"),0)</f>
        <v>0</v>
      </c>
      <c r="I1022" s="102">
        <f t="array" ref="I1022">IFERROR(INDEX(PRECIOS_COMPLEMENTOS!$C$4:$F$17,MATCH(B1022&amp;"_"&amp;C1022,PRECIOS_COMPLEMENTOS!$H$4:$H$17,0),IF(OR(G1022="S",G1022="20cm"),1,IF(OR(G1022="M",G1022="25cm"),2,IF(OR(G1022="L",G1022="30cm"),3,IF(OR(G1022="XL",G1022="35cm"),4,0))))),0)</f>
        <v>0.4</v>
      </c>
      <c r="J1022" s="103">
        <f t="shared" si="1"/>
        <v>0</v>
      </c>
      <c r="K1022" s="104" t="str">
        <f>IF(H1022&lt;0,"ERROR",IF(H1022=0,"",IF(H1022&lt;CONFIG!$B$4,"CRÍTICO",IF(H1022&lt;CONFIG!$B$5,"BAJO","OK"))))</f>
        <v/>
      </c>
    </row>
    <row r="1023" ht="15.75" hidden="1" customHeight="1">
      <c r="A1023" s="90" t="str">
        <f>IF(CLIENTES!A7="","",CLIENTES!A7)</f>
        <v/>
      </c>
      <c r="B1023" s="90" t="s">
        <v>321</v>
      </c>
      <c r="C1023" s="91" t="s">
        <v>328</v>
      </c>
      <c r="D1023" s="109" t="s">
        <v>353</v>
      </c>
      <c r="E1023" s="67" t="str">
        <f>COLORES!A18</f>
        <v>P. Rosa</v>
      </c>
      <c r="F1023" s="67" t="str">
        <f>COLORES!B18</f>
        <v>CLARO</v>
      </c>
      <c r="G1023" s="90" t="s">
        <v>379</v>
      </c>
      <c r="H1023" s="100">
        <f>IFERROR(SUMIFS(MOVIMIENTOS_COMPLEMENTOS!$I$4:$I$803,MOVIMIENTOS_COMPLEMENTOS!$C$4:$C$803,A1023,MOVIMIENTOS_COMPLEMENTOS!$D$4:$D$803,B1023,MOVIMIENTOS_COMPLEMENTOS!$E$4:$E$803,C1023,MOVIMIENTOS_COMPLEMENTOS!$G$4:$G$803,E1023,MOVIMIENTOS_COMPLEMENTOS!$H$4:$H$803,G1023,MOVIMIENTOS_COMPLEMENTOS!$B$4:$B$803,"INGRESO")+SUMIFS(MOVIMIENTOS_COMPLEMENTOS!$I$4:$I$803,MOVIMIENTOS_COMPLEMENTOS!$C$4:$C$803,A1023,MOVIMIENTOS_COMPLEMENTOS!$D$4:$D$803,B1023,MOVIMIENTOS_COMPLEMENTOS!$E$4:$E$803,C1023,MOVIMIENTOS_COMPLEMENTOS!$G$4:$G$803,E1023,MOVIMIENTOS_COMPLEMENTOS!$H$4:$H$803,G1023,MOVIMIENTOS_COMPLEMENTOS!$B$4:$B$803,"DE CORTE")-SUMIFS(MOVIMIENTOS_COMPLEMENTOS!$I$4:$I$803,MOVIMIENTOS_COMPLEMENTOS!$C$4:$C$803,A1023,MOVIMIENTOS_COMPLEMENTOS!$D$4:$D$803,B1023,MOVIMIENTOS_COMPLEMENTOS!$E$4:$E$803,C1023,MOVIMIENTOS_COMPLEMENTOS!$G$4:$G$803,E1023,MOVIMIENTOS_COMPLEMENTOS!$H$4:$H$803,G1023,MOVIMIENTOS_COMPLEMENTOS!$B$4:$B$803,"SALIDA"),0)</f>
        <v>0</v>
      </c>
      <c r="I1023" s="102">
        <f t="array" ref="I1023">IFERROR(INDEX(PRECIOS_COMPLEMENTOS!$C$4:$F$17,MATCH(B1023&amp;"_"&amp;C1023,PRECIOS_COMPLEMENTOS!$H$4:$H$17,0),IF(OR(G1023="S",G1023="20cm"),1,IF(OR(G1023="M",G1023="25cm"),2,IF(OR(G1023="L",G1023="30cm"),3,IF(OR(G1023="XL",G1023="35cm"),4,0))))),0)</f>
        <v>0.4</v>
      </c>
      <c r="J1023" s="103">
        <f t="shared" si="1"/>
        <v>0</v>
      </c>
      <c r="K1023" s="104" t="str">
        <f>IF(H1023&lt;0,"ERROR",IF(H1023=0,"",IF(H1023&lt;CONFIG!$B$4,"CRÍTICO",IF(H1023&lt;CONFIG!$B$5,"BAJO","OK"))))</f>
        <v/>
      </c>
    </row>
    <row r="1024" ht="15.75" hidden="1" customHeight="1">
      <c r="A1024" s="90" t="str">
        <f>IF(CLIENTES!A7="","",CLIENTES!A7)</f>
        <v/>
      </c>
      <c r="B1024" s="90" t="s">
        <v>321</v>
      </c>
      <c r="C1024" s="91" t="s">
        <v>328</v>
      </c>
      <c r="D1024" s="109" t="s">
        <v>353</v>
      </c>
      <c r="E1024" s="67" t="str">
        <f>COLORES!A19</f>
        <v/>
      </c>
      <c r="F1024" s="67" t="str">
        <f>COLORES!B19</f>
        <v/>
      </c>
      <c r="G1024" s="90" t="s">
        <v>378</v>
      </c>
      <c r="H1024" s="100">
        <f>IFERROR(SUMIFS(MOVIMIENTOS_COMPLEMENTOS!$I$4:$I$803,MOVIMIENTOS_COMPLEMENTOS!$C$4:$C$803,A1024,MOVIMIENTOS_COMPLEMENTOS!$D$4:$D$803,B1024,MOVIMIENTOS_COMPLEMENTOS!$E$4:$E$803,C1024,MOVIMIENTOS_COMPLEMENTOS!$G$4:$G$803,E1024,MOVIMIENTOS_COMPLEMENTOS!$H$4:$H$803,G1024,MOVIMIENTOS_COMPLEMENTOS!$B$4:$B$803,"INGRESO")+SUMIFS(MOVIMIENTOS_COMPLEMENTOS!$I$4:$I$803,MOVIMIENTOS_COMPLEMENTOS!$C$4:$C$803,A1024,MOVIMIENTOS_COMPLEMENTOS!$D$4:$D$803,B1024,MOVIMIENTOS_COMPLEMENTOS!$E$4:$E$803,C1024,MOVIMIENTOS_COMPLEMENTOS!$G$4:$G$803,E1024,MOVIMIENTOS_COMPLEMENTOS!$H$4:$H$803,G1024,MOVIMIENTOS_COMPLEMENTOS!$B$4:$B$803,"DE CORTE")-SUMIFS(MOVIMIENTOS_COMPLEMENTOS!$I$4:$I$803,MOVIMIENTOS_COMPLEMENTOS!$C$4:$C$803,A1024,MOVIMIENTOS_COMPLEMENTOS!$D$4:$D$803,B1024,MOVIMIENTOS_COMPLEMENTOS!$E$4:$E$803,C1024,MOVIMIENTOS_COMPLEMENTOS!$G$4:$G$803,E1024,MOVIMIENTOS_COMPLEMENTOS!$H$4:$H$803,G1024,MOVIMIENTOS_COMPLEMENTOS!$B$4:$B$803,"SALIDA"),0)</f>
        <v>0</v>
      </c>
      <c r="I1024" s="102">
        <f t="array" ref="I1024">IFERROR(INDEX(PRECIOS_COMPLEMENTOS!$C$4:$F$17,MATCH(B1024&amp;"_"&amp;C1024,PRECIOS_COMPLEMENTOS!$H$4:$H$17,0),IF(OR(G1024="S",G1024="20cm"),1,IF(OR(G1024="M",G1024="25cm"),2,IF(OR(G1024="L",G1024="30cm"),3,IF(OR(G1024="XL",G1024="35cm"),4,0))))),0)</f>
        <v>0.4</v>
      </c>
      <c r="J1024" s="103">
        <f t="shared" si="1"/>
        <v>0</v>
      </c>
      <c r="K1024" s="104" t="str">
        <f>IF(H1024&lt;0,"ERROR",IF(H1024=0,"",IF(H1024&lt;CONFIG!$B$4,"CRÍTICO",IF(H1024&lt;CONFIG!$B$5,"BAJO","OK"))))</f>
        <v/>
      </c>
    </row>
    <row r="1025" ht="15.75" hidden="1" customHeight="1">
      <c r="A1025" s="90" t="str">
        <f>IF(CLIENTES!A7="","",CLIENTES!A7)</f>
        <v/>
      </c>
      <c r="B1025" s="90" t="s">
        <v>321</v>
      </c>
      <c r="C1025" s="91" t="s">
        <v>328</v>
      </c>
      <c r="D1025" s="109" t="s">
        <v>353</v>
      </c>
      <c r="E1025" s="67" t="str">
        <f>COLORES!A19</f>
        <v/>
      </c>
      <c r="F1025" s="67" t="str">
        <f>COLORES!B19</f>
        <v/>
      </c>
      <c r="G1025" s="90" t="s">
        <v>376</v>
      </c>
      <c r="H1025" s="100">
        <f>IFERROR(SUMIFS(MOVIMIENTOS_COMPLEMENTOS!$I$4:$I$803,MOVIMIENTOS_COMPLEMENTOS!$C$4:$C$803,A1025,MOVIMIENTOS_COMPLEMENTOS!$D$4:$D$803,B1025,MOVIMIENTOS_COMPLEMENTOS!$E$4:$E$803,C1025,MOVIMIENTOS_COMPLEMENTOS!$G$4:$G$803,E1025,MOVIMIENTOS_COMPLEMENTOS!$H$4:$H$803,G1025,MOVIMIENTOS_COMPLEMENTOS!$B$4:$B$803,"INGRESO")+SUMIFS(MOVIMIENTOS_COMPLEMENTOS!$I$4:$I$803,MOVIMIENTOS_COMPLEMENTOS!$C$4:$C$803,A1025,MOVIMIENTOS_COMPLEMENTOS!$D$4:$D$803,B1025,MOVIMIENTOS_COMPLEMENTOS!$E$4:$E$803,C1025,MOVIMIENTOS_COMPLEMENTOS!$G$4:$G$803,E1025,MOVIMIENTOS_COMPLEMENTOS!$H$4:$H$803,G1025,MOVIMIENTOS_COMPLEMENTOS!$B$4:$B$803,"DE CORTE")-SUMIFS(MOVIMIENTOS_COMPLEMENTOS!$I$4:$I$803,MOVIMIENTOS_COMPLEMENTOS!$C$4:$C$803,A1025,MOVIMIENTOS_COMPLEMENTOS!$D$4:$D$803,B1025,MOVIMIENTOS_COMPLEMENTOS!$E$4:$E$803,C1025,MOVIMIENTOS_COMPLEMENTOS!$G$4:$G$803,E1025,MOVIMIENTOS_COMPLEMENTOS!$H$4:$H$803,G1025,MOVIMIENTOS_COMPLEMENTOS!$B$4:$B$803,"SALIDA"),0)</f>
        <v>0</v>
      </c>
      <c r="I1025" s="102">
        <f t="array" ref="I1025">IFERROR(INDEX(PRECIOS_COMPLEMENTOS!$C$4:$F$17,MATCH(B1025&amp;"_"&amp;C1025,PRECIOS_COMPLEMENTOS!$H$4:$H$17,0),IF(OR(G1025="S",G1025="20cm"),1,IF(OR(G1025="M",G1025="25cm"),2,IF(OR(G1025="L",G1025="30cm"),3,IF(OR(G1025="XL",G1025="35cm"),4,0))))),0)</f>
        <v>0.4</v>
      </c>
      <c r="J1025" s="103">
        <f t="shared" si="1"/>
        <v>0</v>
      </c>
      <c r="K1025" s="104" t="str">
        <f>IF(H1025&lt;0,"ERROR",IF(H1025=0,"",IF(H1025&lt;CONFIG!$B$4,"CRÍTICO",IF(H1025&lt;CONFIG!$B$5,"BAJO","OK"))))</f>
        <v/>
      </c>
    </row>
    <row r="1026" ht="15.75" hidden="1" customHeight="1">
      <c r="A1026" s="90" t="str">
        <f>IF(CLIENTES!A7="","",CLIENTES!A7)</f>
        <v/>
      </c>
      <c r="B1026" s="90" t="s">
        <v>321</v>
      </c>
      <c r="C1026" s="91" t="s">
        <v>328</v>
      </c>
      <c r="D1026" s="109" t="s">
        <v>353</v>
      </c>
      <c r="E1026" s="67" t="str">
        <f>COLORES!A19</f>
        <v/>
      </c>
      <c r="F1026" s="67" t="str">
        <f>COLORES!B19</f>
        <v/>
      </c>
      <c r="G1026" s="90" t="s">
        <v>377</v>
      </c>
      <c r="H1026" s="100">
        <f>IFERROR(SUMIFS(MOVIMIENTOS_COMPLEMENTOS!$I$4:$I$803,MOVIMIENTOS_COMPLEMENTOS!$C$4:$C$803,A1026,MOVIMIENTOS_COMPLEMENTOS!$D$4:$D$803,B1026,MOVIMIENTOS_COMPLEMENTOS!$E$4:$E$803,C1026,MOVIMIENTOS_COMPLEMENTOS!$G$4:$G$803,E1026,MOVIMIENTOS_COMPLEMENTOS!$H$4:$H$803,G1026,MOVIMIENTOS_COMPLEMENTOS!$B$4:$B$803,"INGRESO")+SUMIFS(MOVIMIENTOS_COMPLEMENTOS!$I$4:$I$803,MOVIMIENTOS_COMPLEMENTOS!$C$4:$C$803,A1026,MOVIMIENTOS_COMPLEMENTOS!$D$4:$D$803,B1026,MOVIMIENTOS_COMPLEMENTOS!$E$4:$E$803,C1026,MOVIMIENTOS_COMPLEMENTOS!$G$4:$G$803,E1026,MOVIMIENTOS_COMPLEMENTOS!$H$4:$H$803,G1026,MOVIMIENTOS_COMPLEMENTOS!$B$4:$B$803,"DE CORTE")-SUMIFS(MOVIMIENTOS_COMPLEMENTOS!$I$4:$I$803,MOVIMIENTOS_COMPLEMENTOS!$C$4:$C$803,A1026,MOVIMIENTOS_COMPLEMENTOS!$D$4:$D$803,B1026,MOVIMIENTOS_COMPLEMENTOS!$E$4:$E$803,C1026,MOVIMIENTOS_COMPLEMENTOS!$G$4:$G$803,E1026,MOVIMIENTOS_COMPLEMENTOS!$H$4:$H$803,G1026,MOVIMIENTOS_COMPLEMENTOS!$B$4:$B$803,"SALIDA"),0)</f>
        <v>0</v>
      </c>
      <c r="I1026" s="102">
        <f t="array" ref="I1026">IFERROR(INDEX(PRECIOS_COMPLEMENTOS!$C$4:$F$17,MATCH(B1026&amp;"_"&amp;C1026,PRECIOS_COMPLEMENTOS!$H$4:$H$17,0),IF(OR(G1026="S",G1026="20cm"),1,IF(OR(G1026="M",G1026="25cm"),2,IF(OR(G1026="L",G1026="30cm"),3,IF(OR(G1026="XL",G1026="35cm"),4,0))))),0)</f>
        <v>0.4</v>
      </c>
      <c r="J1026" s="103">
        <f t="shared" si="1"/>
        <v>0</v>
      </c>
      <c r="K1026" s="104" t="str">
        <f>IF(H1026&lt;0,"ERROR",IF(H1026=0,"",IF(H1026&lt;CONFIG!$B$4,"CRÍTICO",IF(H1026&lt;CONFIG!$B$5,"BAJO","OK"))))</f>
        <v/>
      </c>
    </row>
    <row r="1027" ht="15.75" hidden="1" customHeight="1">
      <c r="A1027" s="90" t="str">
        <f>IF(CLIENTES!A7="","",CLIENTES!A7)</f>
        <v/>
      </c>
      <c r="B1027" s="90" t="s">
        <v>321</v>
      </c>
      <c r="C1027" s="91" t="s">
        <v>328</v>
      </c>
      <c r="D1027" s="109" t="s">
        <v>353</v>
      </c>
      <c r="E1027" s="67" t="str">
        <f>COLORES!A19</f>
        <v/>
      </c>
      <c r="F1027" s="67" t="str">
        <f>COLORES!B19</f>
        <v/>
      </c>
      <c r="G1027" s="90" t="s">
        <v>379</v>
      </c>
      <c r="H1027" s="100">
        <f>IFERROR(SUMIFS(MOVIMIENTOS_COMPLEMENTOS!$I$4:$I$803,MOVIMIENTOS_COMPLEMENTOS!$C$4:$C$803,A1027,MOVIMIENTOS_COMPLEMENTOS!$D$4:$D$803,B1027,MOVIMIENTOS_COMPLEMENTOS!$E$4:$E$803,C1027,MOVIMIENTOS_COMPLEMENTOS!$G$4:$G$803,E1027,MOVIMIENTOS_COMPLEMENTOS!$H$4:$H$803,G1027,MOVIMIENTOS_COMPLEMENTOS!$B$4:$B$803,"INGRESO")+SUMIFS(MOVIMIENTOS_COMPLEMENTOS!$I$4:$I$803,MOVIMIENTOS_COMPLEMENTOS!$C$4:$C$803,A1027,MOVIMIENTOS_COMPLEMENTOS!$D$4:$D$803,B1027,MOVIMIENTOS_COMPLEMENTOS!$E$4:$E$803,C1027,MOVIMIENTOS_COMPLEMENTOS!$G$4:$G$803,E1027,MOVIMIENTOS_COMPLEMENTOS!$H$4:$H$803,G1027,MOVIMIENTOS_COMPLEMENTOS!$B$4:$B$803,"DE CORTE")-SUMIFS(MOVIMIENTOS_COMPLEMENTOS!$I$4:$I$803,MOVIMIENTOS_COMPLEMENTOS!$C$4:$C$803,A1027,MOVIMIENTOS_COMPLEMENTOS!$D$4:$D$803,B1027,MOVIMIENTOS_COMPLEMENTOS!$E$4:$E$803,C1027,MOVIMIENTOS_COMPLEMENTOS!$G$4:$G$803,E1027,MOVIMIENTOS_COMPLEMENTOS!$H$4:$H$803,G1027,MOVIMIENTOS_COMPLEMENTOS!$B$4:$B$803,"SALIDA"),0)</f>
        <v>0</v>
      </c>
      <c r="I1027" s="102">
        <f t="array" ref="I1027">IFERROR(INDEX(PRECIOS_COMPLEMENTOS!$C$4:$F$17,MATCH(B1027&amp;"_"&amp;C1027,PRECIOS_COMPLEMENTOS!$H$4:$H$17,0),IF(OR(G1027="S",G1027="20cm"),1,IF(OR(G1027="M",G1027="25cm"),2,IF(OR(G1027="L",G1027="30cm"),3,IF(OR(G1027="XL",G1027="35cm"),4,0))))),0)</f>
        <v>0.4</v>
      </c>
      <c r="J1027" s="103">
        <f t="shared" si="1"/>
        <v>0</v>
      </c>
      <c r="K1027" s="104" t="str">
        <f>IF(H1027&lt;0,"ERROR",IF(H1027=0,"",IF(H1027&lt;CONFIG!$B$4,"CRÍTICO",IF(H1027&lt;CONFIG!$B$5,"BAJO","OK"))))</f>
        <v/>
      </c>
    </row>
    <row r="1028" ht="15.75" hidden="1" customHeight="1">
      <c r="A1028" s="90" t="str">
        <f>IF(CLIENTES!A7="","",CLIENTES!A7)</f>
        <v/>
      </c>
      <c r="B1028" s="90" t="s">
        <v>321</v>
      </c>
      <c r="C1028" s="91" t="s">
        <v>328</v>
      </c>
      <c r="D1028" s="109" t="s">
        <v>353</v>
      </c>
      <c r="E1028" s="67" t="str">
        <f>COLORES!A20</f>
        <v/>
      </c>
      <c r="F1028" s="67" t="str">
        <f>COLORES!B20</f>
        <v/>
      </c>
      <c r="G1028" s="90" t="s">
        <v>378</v>
      </c>
      <c r="H1028" s="100">
        <f>IFERROR(SUMIFS(MOVIMIENTOS_COMPLEMENTOS!$I$4:$I$803,MOVIMIENTOS_COMPLEMENTOS!$C$4:$C$803,A1028,MOVIMIENTOS_COMPLEMENTOS!$D$4:$D$803,B1028,MOVIMIENTOS_COMPLEMENTOS!$E$4:$E$803,C1028,MOVIMIENTOS_COMPLEMENTOS!$G$4:$G$803,E1028,MOVIMIENTOS_COMPLEMENTOS!$H$4:$H$803,G1028,MOVIMIENTOS_COMPLEMENTOS!$B$4:$B$803,"INGRESO")+SUMIFS(MOVIMIENTOS_COMPLEMENTOS!$I$4:$I$803,MOVIMIENTOS_COMPLEMENTOS!$C$4:$C$803,A1028,MOVIMIENTOS_COMPLEMENTOS!$D$4:$D$803,B1028,MOVIMIENTOS_COMPLEMENTOS!$E$4:$E$803,C1028,MOVIMIENTOS_COMPLEMENTOS!$G$4:$G$803,E1028,MOVIMIENTOS_COMPLEMENTOS!$H$4:$H$803,G1028,MOVIMIENTOS_COMPLEMENTOS!$B$4:$B$803,"DE CORTE")-SUMIFS(MOVIMIENTOS_COMPLEMENTOS!$I$4:$I$803,MOVIMIENTOS_COMPLEMENTOS!$C$4:$C$803,A1028,MOVIMIENTOS_COMPLEMENTOS!$D$4:$D$803,B1028,MOVIMIENTOS_COMPLEMENTOS!$E$4:$E$803,C1028,MOVIMIENTOS_COMPLEMENTOS!$G$4:$G$803,E1028,MOVIMIENTOS_COMPLEMENTOS!$H$4:$H$803,G1028,MOVIMIENTOS_COMPLEMENTOS!$B$4:$B$803,"SALIDA"),0)</f>
        <v>0</v>
      </c>
      <c r="I1028" s="102">
        <f t="array" ref="I1028">IFERROR(INDEX(PRECIOS_COMPLEMENTOS!$C$4:$F$17,MATCH(B1028&amp;"_"&amp;C1028,PRECIOS_COMPLEMENTOS!$H$4:$H$17,0),IF(OR(G1028="S",G1028="20cm"),1,IF(OR(G1028="M",G1028="25cm"),2,IF(OR(G1028="L",G1028="30cm"),3,IF(OR(G1028="XL",G1028="35cm"),4,0))))),0)</f>
        <v>0.4</v>
      </c>
      <c r="J1028" s="103">
        <f t="shared" si="1"/>
        <v>0</v>
      </c>
      <c r="K1028" s="104" t="str">
        <f>IF(H1028&lt;0,"ERROR",IF(H1028=0,"",IF(H1028&lt;CONFIG!$B$4,"CRÍTICO",IF(H1028&lt;CONFIG!$B$5,"BAJO","OK"))))</f>
        <v/>
      </c>
    </row>
    <row r="1029" ht="15.75" hidden="1" customHeight="1">
      <c r="A1029" s="90" t="str">
        <f>IF(CLIENTES!A7="","",CLIENTES!A7)</f>
        <v/>
      </c>
      <c r="B1029" s="90" t="s">
        <v>321</v>
      </c>
      <c r="C1029" s="91" t="s">
        <v>328</v>
      </c>
      <c r="D1029" s="109" t="s">
        <v>353</v>
      </c>
      <c r="E1029" s="67" t="str">
        <f>COLORES!A20</f>
        <v/>
      </c>
      <c r="F1029" s="67" t="str">
        <f>COLORES!B20</f>
        <v/>
      </c>
      <c r="G1029" s="90" t="s">
        <v>376</v>
      </c>
      <c r="H1029" s="100">
        <f>IFERROR(SUMIFS(MOVIMIENTOS_COMPLEMENTOS!$I$4:$I$803,MOVIMIENTOS_COMPLEMENTOS!$C$4:$C$803,A1029,MOVIMIENTOS_COMPLEMENTOS!$D$4:$D$803,B1029,MOVIMIENTOS_COMPLEMENTOS!$E$4:$E$803,C1029,MOVIMIENTOS_COMPLEMENTOS!$G$4:$G$803,E1029,MOVIMIENTOS_COMPLEMENTOS!$H$4:$H$803,G1029,MOVIMIENTOS_COMPLEMENTOS!$B$4:$B$803,"INGRESO")+SUMIFS(MOVIMIENTOS_COMPLEMENTOS!$I$4:$I$803,MOVIMIENTOS_COMPLEMENTOS!$C$4:$C$803,A1029,MOVIMIENTOS_COMPLEMENTOS!$D$4:$D$803,B1029,MOVIMIENTOS_COMPLEMENTOS!$E$4:$E$803,C1029,MOVIMIENTOS_COMPLEMENTOS!$G$4:$G$803,E1029,MOVIMIENTOS_COMPLEMENTOS!$H$4:$H$803,G1029,MOVIMIENTOS_COMPLEMENTOS!$B$4:$B$803,"DE CORTE")-SUMIFS(MOVIMIENTOS_COMPLEMENTOS!$I$4:$I$803,MOVIMIENTOS_COMPLEMENTOS!$C$4:$C$803,A1029,MOVIMIENTOS_COMPLEMENTOS!$D$4:$D$803,B1029,MOVIMIENTOS_COMPLEMENTOS!$E$4:$E$803,C1029,MOVIMIENTOS_COMPLEMENTOS!$G$4:$G$803,E1029,MOVIMIENTOS_COMPLEMENTOS!$H$4:$H$803,G1029,MOVIMIENTOS_COMPLEMENTOS!$B$4:$B$803,"SALIDA"),0)</f>
        <v>0</v>
      </c>
      <c r="I1029" s="102">
        <f t="array" ref="I1029">IFERROR(INDEX(PRECIOS_COMPLEMENTOS!$C$4:$F$17,MATCH(B1029&amp;"_"&amp;C1029,PRECIOS_COMPLEMENTOS!$H$4:$H$17,0),IF(OR(G1029="S",G1029="20cm"),1,IF(OR(G1029="M",G1029="25cm"),2,IF(OR(G1029="L",G1029="30cm"),3,IF(OR(G1029="XL",G1029="35cm"),4,0))))),0)</f>
        <v>0.4</v>
      </c>
      <c r="J1029" s="103">
        <f t="shared" si="1"/>
        <v>0</v>
      </c>
      <c r="K1029" s="104" t="str">
        <f>IF(H1029&lt;0,"ERROR",IF(H1029=0,"",IF(H1029&lt;CONFIG!$B$4,"CRÍTICO",IF(H1029&lt;CONFIG!$B$5,"BAJO","OK"))))</f>
        <v/>
      </c>
    </row>
    <row r="1030" ht="15.75" hidden="1" customHeight="1">
      <c r="A1030" s="90" t="str">
        <f>IF(CLIENTES!A7="","",CLIENTES!A7)</f>
        <v/>
      </c>
      <c r="B1030" s="90" t="s">
        <v>321</v>
      </c>
      <c r="C1030" s="91" t="s">
        <v>328</v>
      </c>
      <c r="D1030" s="109" t="s">
        <v>353</v>
      </c>
      <c r="E1030" s="67" t="str">
        <f>COLORES!A20</f>
        <v/>
      </c>
      <c r="F1030" s="67" t="str">
        <f>COLORES!B20</f>
        <v/>
      </c>
      <c r="G1030" s="90" t="s">
        <v>377</v>
      </c>
      <c r="H1030" s="100">
        <f>IFERROR(SUMIFS(MOVIMIENTOS_COMPLEMENTOS!$I$4:$I$803,MOVIMIENTOS_COMPLEMENTOS!$C$4:$C$803,A1030,MOVIMIENTOS_COMPLEMENTOS!$D$4:$D$803,B1030,MOVIMIENTOS_COMPLEMENTOS!$E$4:$E$803,C1030,MOVIMIENTOS_COMPLEMENTOS!$G$4:$G$803,E1030,MOVIMIENTOS_COMPLEMENTOS!$H$4:$H$803,G1030,MOVIMIENTOS_COMPLEMENTOS!$B$4:$B$803,"INGRESO")+SUMIFS(MOVIMIENTOS_COMPLEMENTOS!$I$4:$I$803,MOVIMIENTOS_COMPLEMENTOS!$C$4:$C$803,A1030,MOVIMIENTOS_COMPLEMENTOS!$D$4:$D$803,B1030,MOVIMIENTOS_COMPLEMENTOS!$E$4:$E$803,C1030,MOVIMIENTOS_COMPLEMENTOS!$G$4:$G$803,E1030,MOVIMIENTOS_COMPLEMENTOS!$H$4:$H$803,G1030,MOVIMIENTOS_COMPLEMENTOS!$B$4:$B$803,"DE CORTE")-SUMIFS(MOVIMIENTOS_COMPLEMENTOS!$I$4:$I$803,MOVIMIENTOS_COMPLEMENTOS!$C$4:$C$803,A1030,MOVIMIENTOS_COMPLEMENTOS!$D$4:$D$803,B1030,MOVIMIENTOS_COMPLEMENTOS!$E$4:$E$803,C1030,MOVIMIENTOS_COMPLEMENTOS!$G$4:$G$803,E1030,MOVIMIENTOS_COMPLEMENTOS!$H$4:$H$803,G1030,MOVIMIENTOS_COMPLEMENTOS!$B$4:$B$803,"SALIDA"),0)</f>
        <v>0</v>
      </c>
      <c r="I1030" s="102">
        <f t="array" ref="I1030">IFERROR(INDEX(PRECIOS_COMPLEMENTOS!$C$4:$F$17,MATCH(B1030&amp;"_"&amp;C1030,PRECIOS_COMPLEMENTOS!$H$4:$H$17,0),IF(OR(G1030="S",G1030="20cm"),1,IF(OR(G1030="M",G1030="25cm"),2,IF(OR(G1030="L",G1030="30cm"),3,IF(OR(G1030="XL",G1030="35cm"),4,0))))),0)</f>
        <v>0.4</v>
      </c>
      <c r="J1030" s="103">
        <f t="shared" si="1"/>
        <v>0</v>
      </c>
      <c r="K1030" s="104" t="str">
        <f>IF(H1030&lt;0,"ERROR",IF(H1030=0,"",IF(H1030&lt;CONFIG!$B$4,"CRÍTICO",IF(H1030&lt;CONFIG!$B$5,"BAJO","OK"))))</f>
        <v/>
      </c>
    </row>
    <row r="1031" ht="15.75" hidden="1" customHeight="1">
      <c r="A1031" s="90" t="str">
        <f>IF(CLIENTES!A7="","",CLIENTES!A7)</f>
        <v/>
      </c>
      <c r="B1031" s="90" t="s">
        <v>321</v>
      </c>
      <c r="C1031" s="91" t="s">
        <v>328</v>
      </c>
      <c r="D1031" s="109" t="s">
        <v>353</v>
      </c>
      <c r="E1031" s="67" t="str">
        <f>COLORES!A20</f>
        <v/>
      </c>
      <c r="F1031" s="67" t="str">
        <f>COLORES!B20</f>
        <v/>
      </c>
      <c r="G1031" s="90" t="s">
        <v>379</v>
      </c>
      <c r="H1031" s="100">
        <f>IFERROR(SUMIFS(MOVIMIENTOS_COMPLEMENTOS!$I$4:$I$803,MOVIMIENTOS_COMPLEMENTOS!$C$4:$C$803,A1031,MOVIMIENTOS_COMPLEMENTOS!$D$4:$D$803,B1031,MOVIMIENTOS_COMPLEMENTOS!$E$4:$E$803,C1031,MOVIMIENTOS_COMPLEMENTOS!$G$4:$G$803,E1031,MOVIMIENTOS_COMPLEMENTOS!$H$4:$H$803,G1031,MOVIMIENTOS_COMPLEMENTOS!$B$4:$B$803,"INGRESO")+SUMIFS(MOVIMIENTOS_COMPLEMENTOS!$I$4:$I$803,MOVIMIENTOS_COMPLEMENTOS!$C$4:$C$803,A1031,MOVIMIENTOS_COMPLEMENTOS!$D$4:$D$803,B1031,MOVIMIENTOS_COMPLEMENTOS!$E$4:$E$803,C1031,MOVIMIENTOS_COMPLEMENTOS!$G$4:$G$803,E1031,MOVIMIENTOS_COMPLEMENTOS!$H$4:$H$803,G1031,MOVIMIENTOS_COMPLEMENTOS!$B$4:$B$803,"DE CORTE")-SUMIFS(MOVIMIENTOS_COMPLEMENTOS!$I$4:$I$803,MOVIMIENTOS_COMPLEMENTOS!$C$4:$C$803,A1031,MOVIMIENTOS_COMPLEMENTOS!$D$4:$D$803,B1031,MOVIMIENTOS_COMPLEMENTOS!$E$4:$E$803,C1031,MOVIMIENTOS_COMPLEMENTOS!$G$4:$G$803,E1031,MOVIMIENTOS_COMPLEMENTOS!$H$4:$H$803,G1031,MOVIMIENTOS_COMPLEMENTOS!$B$4:$B$803,"SALIDA"),0)</f>
        <v>0</v>
      </c>
      <c r="I1031" s="102">
        <f t="array" ref="I1031">IFERROR(INDEX(PRECIOS_COMPLEMENTOS!$C$4:$F$17,MATCH(B1031&amp;"_"&amp;C1031,PRECIOS_COMPLEMENTOS!$H$4:$H$17,0),IF(OR(G1031="S",G1031="20cm"),1,IF(OR(G1031="M",G1031="25cm"),2,IF(OR(G1031="L",G1031="30cm"),3,IF(OR(G1031="XL",G1031="35cm"),4,0))))),0)</f>
        <v>0.4</v>
      </c>
      <c r="J1031" s="103">
        <f t="shared" si="1"/>
        <v>0</v>
      </c>
      <c r="K1031" s="104" t="str">
        <f>IF(H1031&lt;0,"ERROR",IF(H1031=0,"",IF(H1031&lt;CONFIG!$B$4,"CRÍTICO",IF(H1031&lt;CONFIG!$B$5,"BAJO","OK"))))</f>
        <v/>
      </c>
    </row>
    <row r="1032" ht="15.75" hidden="1" customHeight="1">
      <c r="A1032" s="90" t="str">
        <f>IF(CLIENTES!A7="","",CLIENTES!A7)</f>
        <v/>
      </c>
      <c r="B1032" s="90" t="s">
        <v>321</v>
      </c>
      <c r="C1032" s="91" t="s">
        <v>328</v>
      </c>
      <c r="D1032" s="109" t="s">
        <v>353</v>
      </c>
      <c r="E1032" s="67" t="str">
        <f>COLORES!A21</f>
        <v/>
      </c>
      <c r="F1032" s="67" t="str">
        <f>COLORES!B21</f>
        <v/>
      </c>
      <c r="G1032" s="90" t="s">
        <v>378</v>
      </c>
      <c r="H1032" s="100">
        <f>IFERROR(SUMIFS(MOVIMIENTOS_COMPLEMENTOS!$I$4:$I$803,MOVIMIENTOS_COMPLEMENTOS!$C$4:$C$803,A1032,MOVIMIENTOS_COMPLEMENTOS!$D$4:$D$803,B1032,MOVIMIENTOS_COMPLEMENTOS!$E$4:$E$803,C1032,MOVIMIENTOS_COMPLEMENTOS!$G$4:$G$803,E1032,MOVIMIENTOS_COMPLEMENTOS!$H$4:$H$803,G1032,MOVIMIENTOS_COMPLEMENTOS!$B$4:$B$803,"INGRESO")+SUMIFS(MOVIMIENTOS_COMPLEMENTOS!$I$4:$I$803,MOVIMIENTOS_COMPLEMENTOS!$C$4:$C$803,A1032,MOVIMIENTOS_COMPLEMENTOS!$D$4:$D$803,B1032,MOVIMIENTOS_COMPLEMENTOS!$E$4:$E$803,C1032,MOVIMIENTOS_COMPLEMENTOS!$G$4:$G$803,E1032,MOVIMIENTOS_COMPLEMENTOS!$H$4:$H$803,G1032,MOVIMIENTOS_COMPLEMENTOS!$B$4:$B$803,"DE CORTE")-SUMIFS(MOVIMIENTOS_COMPLEMENTOS!$I$4:$I$803,MOVIMIENTOS_COMPLEMENTOS!$C$4:$C$803,A1032,MOVIMIENTOS_COMPLEMENTOS!$D$4:$D$803,B1032,MOVIMIENTOS_COMPLEMENTOS!$E$4:$E$803,C1032,MOVIMIENTOS_COMPLEMENTOS!$G$4:$G$803,E1032,MOVIMIENTOS_COMPLEMENTOS!$H$4:$H$803,G1032,MOVIMIENTOS_COMPLEMENTOS!$B$4:$B$803,"SALIDA"),0)</f>
        <v>0</v>
      </c>
      <c r="I1032" s="102">
        <f t="array" ref="I1032">IFERROR(INDEX(PRECIOS_COMPLEMENTOS!$C$4:$F$17,MATCH(B1032&amp;"_"&amp;C1032,PRECIOS_COMPLEMENTOS!$H$4:$H$17,0),IF(OR(G1032="S",G1032="20cm"),1,IF(OR(G1032="M",G1032="25cm"),2,IF(OR(G1032="L",G1032="30cm"),3,IF(OR(G1032="XL",G1032="35cm"),4,0))))),0)</f>
        <v>0.4</v>
      </c>
      <c r="J1032" s="103">
        <f t="shared" si="1"/>
        <v>0</v>
      </c>
      <c r="K1032" s="104" t="str">
        <f>IF(H1032&lt;0,"ERROR",IF(H1032=0,"",IF(H1032&lt;CONFIG!$B$4,"CRÍTICO",IF(H1032&lt;CONFIG!$B$5,"BAJO","OK"))))</f>
        <v/>
      </c>
    </row>
    <row r="1033" ht="15.75" hidden="1" customHeight="1">
      <c r="A1033" s="90" t="str">
        <f>IF(CLIENTES!A7="","",CLIENTES!A7)</f>
        <v/>
      </c>
      <c r="B1033" s="90" t="s">
        <v>321</v>
      </c>
      <c r="C1033" s="91" t="s">
        <v>328</v>
      </c>
      <c r="D1033" s="109" t="s">
        <v>353</v>
      </c>
      <c r="E1033" s="67" t="str">
        <f>COLORES!A21</f>
        <v/>
      </c>
      <c r="F1033" s="67" t="str">
        <f>COLORES!B21</f>
        <v/>
      </c>
      <c r="G1033" s="90" t="s">
        <v>376</v>
      </c>
      <c r="H1033" s="100">
        <f>IFERROR(SUMIFS(MOVIMIENTOS_COMPLEMENTOS!$I$4:$I$803,MOVIMIENTOS_COMPLEMENTOS!$C$4:$C$803,A1033,MOVIMIENTOS_COMPLEMENTOS!$D$4:$D$803,B1033,MOVIMIENTOS_COMPLEMENTOS!$E$4:$E$803,C1033,MOVIMIENTOS_COMPLEMENTOS!$G$4:$G$803,E1033,MOVIMIENTOS_COMPLEMENTOS!$H$4:$H$803,G1033,MOVIMIENTOS_COMPLEMENTOS!$B$4:$B$803,"INGRESO")+SUMIFS(MOVIMIENTOS_COMPLEMENTOS!$I$4:$I$803,MOVIMIENTOS_COMPLEMENTOS!$C$4:$C$803,A1033,MOVIMIENTOS_COMPLEMENTOS!$D$4:$D$803,B1033,MOVIMIENTOS_COMPLEMENTOS!$E$4:$E$803,C1033,MOVIMIENTOS_COMPLEMENTOS!$G$4:$G$803,E1033,MOVIMIENTOS_COMPLEMENTOS!$H$4:$H$803,G1033,MOVIMIENTOS_COMPLEMENTOS!$B$4:$B$803,"DE CORTE")-SUMIFS(MOVIMIENTOS_COMPLEMENTOS!$I$4:$I$803,MOVIMIENTOS_COMPLEMENTOS!$C$4:$C$803,A1033,MOVIMIENTOS_COMPLEMENTOS!$D$4:$D$803,B1033,MOVIMIENTOS_COMPLEMENTOS!$E$4:$E$803,C1033,MOVIMIENTOS_COMPLEMENTOS!$G$4:$G$803,E1033,MOVIMIENTOS_COMPLEMENTOS!$H$4:$H$803,G1033,MOVIMIENTOS_COMPLEMENTOS!$B$4:$B$803,"SALIDA"),0)</f>
        <v>0</v>
      </c>
      <c r="I1033" s="102">
        <f t="array" ref="I1033">IFERROR(INDEX(PRECIOS_COMPLEMENTOS!$C$4:$F$17,MATCH(B1033&amp;"_"&amp;C1033,PRECIOS_COMPLEMENTOS!$H$4:$H$17,0),IF(OR(G1033="S",G1033="20cm"),1,IF(OR(G1033="M",G1033="25cm"),2,IF(OR(G1033="L",G1033="30cm"),3,IF(OR(G1033="XL",G1033="35cm"),4,0))))),0)</f>
        <v>0.4</v>
      </c>
      <c r="J1033" s="103">
        <f t="shared" si="1"/>
        <v>0</v>
      </c>
      <c r="K1033" s="104" t="str">
        <f>IF(H1033&lt;0,"ERROR",IF(H1033=0,"",IF(H1033&lt;CONFIG!$B$4,"CRÍTICO",IF(H1033&lt;CONFIG!$B$5,"BAJO","OK"))))</f>
        <v/>
      </c>
    </row>
    <row r="1034" ht="15.75" hidden="1" customHeight="1">
      <c r="A1034" s="90" t="str">
        <f>IF(CLIENTES!A7="","",CLIENTES!A7)</f>
        <v/>
      </c>
      <c r="B1034" s="90" t="s">
        <v>321</v>
      </c>
      <c r="C1034" s="91" t="s">
        <v>328</v>
      </c>
      <c r="D1034" s="109" t="s">
        <v>353</v>
      </c>
      <c r="E1034" s="67" t="str">
        <f>COLORES!A21</f>
        <v/>
      </c>
      <c r="F1034" s="67" t="str">
        <f>COLORES!B21</f>
        <v/>
      </c>
      <c r="G1034" s="90" t="s">
        <v>377</v>
      </c>
      <c r="H1034" s="100">
        <f>IFERROR(SUMIFS(MOVIMIENTOS_COMPLEMENTOS!$I$4:$I$803,MOVIMIENTOS_COMPLEMENTOS!$C$4:$C$803,A1034,MOVIMIENTOS_COMPLEMENTOS!$D$4:$D$803,B1034,MOVIMIENTOS_COMPLEMENTOS!$E$4:$E$803,C1034,MOVIMIENTOS_COMPLEMENTOS!$G$4:$G$803,E1034,MOVIMIENTOS_COMPLEMENTOS!$H$4:$H$803,G1034,MOVIMIENTOS_COMPLEMENTOS!$B$4:$B$803,"INGRESO")+SUMIFS(MOVIMIENTOS_COMPLEMENTOS!$I$4:$I$803,MOVIMIENTOS_COMPLEMENTOS!$C$4:$C$803,A1034,MOVIMIENTOS_COMPLEMENTOS!$D$4:$D$803,B1034,MOVIMIENTOS_COMPLEMENTOS!$E$4:$E$803,C1034,MOVIMIENTOS_COMPLEMENTOS!$G$4:$G$803,E1034,MOVIMIENTOS_COMPLEMENTOS!$H$4:$H$803,G1034,MOVIMIENTOS_COMPLEMENTOS!$B$4:$B$803,"DE CORTE")-SUMIFS(MOVIMIENTOS_COMPLEMENTOS!$I$4:$I$803,MOVIMIENTOS_COMPLEMENTOS!$C$4:$C$803,A1034,MOVIMIENTOS_COMPLEMENTOS!$D$4:$D$803,B1034,MOVIMIENTOS_COMPLEMENTOS!$E$4:$E$803,C1034,MOVIMIENTOS_COMPLEMENTOS!$G$4:$G$803,E1034,MOVIMIENTOS_COMPLEMENTOS!$H$4:$H$803,G1034,MOVIMIENTOS_COMPLEMENTOS!$B$4:$B$803,"SALIDA"),0)</f>
        <v>0</v>
      </c>
      <c r="I1034" s="102">
        <f t="array" ref="I1034">IFERROR(INDEX(PRECIOS_COMPLEMENTOS!$C$4:$F$17,MATCH(B1034&amp;"_"&amp;C1034,PRECIOS_COMPLEMENTOS!$H$4:$H$17,0),IF(OR(G1034="S",G1034="20cm"),1,IF(OR(G1034="M",G1034="25cm"),2,IF(OR(G1034="L",G1034="30cm"),3,IF(OR(G1034="XL",G1034="35cm"),4,0))))),0)</f>
        <v>0.4</v>
      </c>
      <c r="J1034" s="103">
        <f t="shared" si="1"/>
        <v>0</v>
      </c>
      <c r="K1034" s="104" t="str">
        <f>IF(H1034&lt;0,"ERROR",IF(H1034=0,"",IF(H1034&lt;CONFIG!$B$4,"CRÍTICO",IF(H1034&lt;CONFIG!$B$5,"BAJO","OK"))))</f>
        <v/>
      </c>
    </row>
    <row r="1035" ht="15.75" hidden="1" customHeight="1">
      <c r="A1035" s="90" t="str">
        <f>IF(CLIENTES!A7="","",CLIENTES!A7)</f>
        <v/>
      </c>
      <c r="B1035" s="90" t="s">
        <v>321</v>
      </c>
      <c r="C1035" s="91" t="s">
        <v>328</v>
      </c>
      <c r="D1035" s="109" t="s">
        <v>353</v>
      </c>
      <c r="E1035" s="67" t="str">
        <f>COLORES!A21</f>
        <v/>
      </c>
      <c r="F1035" s="67" t="str">
        <f>COLORES!B21</f>
        <v/>
      </c>
      <c r="G1035" s="90" t="s">
        <v>379</v>
      </c>
      <c r="H1035" s="100">
        <f>IFERROR(SUMIFS(MOVIMIENTOS_COMPLEMENTOS!$I$4:$I$803,MOVIMIENTOS_COMPLEMENTOS!$C$4:$C$803,A1035,MOVIMIENTOS_COMPLEMENTOS!$D$4:$D$803,B1035,MOVIMIENTOS_COMPLEMENTOS!$E$4:$E$803,C1035,MOVIMIENTOS_COMPLEMENTOS!$G$4:$G$803,E1035,MOVIMIENTOS_COMPLEMENTOS!$H$4:$H$803,G1035,MOVIMIENTOS_COMPLEMENTOS!$B$4:$B$803,"INGRESO")+SUMIFS(MOVIMIENTOS_COMPLEMENTOS!$I$4:$I$803,MOVIMIENTOS_COMPLEMENTOS!$C$4:$C$803,A1035,MOVIMIENTOS_COMPLEMENTOS!$D$4:$D$803,B1035,MOVIMIENTOS_COMPLEMENTOS!$E$4:$E$803,C1035,MOVIMIENTOS_COMPLEMENTOS!$G$4:$G$803,E1035,MOVIMIENTOS_COMPLEMENTOS!$H$4:$H$803,G1035,MOVIMIENTOS_COMPLEMENTOS!$B$4:$B$803,"DE CORTE")-SUMIFS(MOVIMIENTOS_COMPLEMENTOS!$I$4:$I$803,MOVIMIENTOS_COMPLEMENTOS!$C$4:$C$803,A1035,MOVIMIENTOS_COMPLEMENTOS!$D$4:$D$803,B1035,MOVIMIENTOS_COMPLEMENTOS!$E$4:$E$803,C1035,MOVIMIENTOS_COMPLEMENTOS!$G$4:$G$803,E1035,MOVIMIENTOS_COMPLEMENTOS!$H$4:$H$803,G1035,MOVIMIENTOS_COMPLEMENTOS!$B$4:$B$803,"SALIDA"),0)</f>
        <v>0</v>
      </c>
      <c r="I1035" s="102">
        <f t="array" ref="I1035">IFERROR(INDEX(PRECIOS_COMPLEMENTOS!$C$4:$F$17,MATCH(B1035&amp;"_"&amp;C1035,PRECIOS_COMPLEMENTOS!$H$4:$H$17,0),IF(OR(G1035="S",G1035="20cm"),1,IF(OR(G1035="M",G1035="25cm"),2,IF(OR(G1035="L",G1035="30cm"),3,IF(OR(G1035="XL",G1035="35cm"),4,0))))),0)</f>
        <v>0.4</v>
      </c>
      <c r="J1035" s="103">
        <f t="shared" si="1"/>
        <v>0</v>
      </c>
      <c r="K1035" s="104" t="str">
        <f>IF(H1035&lt;0,"ERROR",IF(H1035=0,"",IF(H1035&lt;CONFIG!$B$4,"CRÍTICO",IF(H1035&lt;CONFIG!$B$5,"BAJO","OK"))))</f>
        <v/>
      </c>
    </row>
    <row r="1036" ht="15.75" hidden="1" customHeight="1">
      <c r="A1036" s="90" t="str">
        <f>IF(CLIENTES!A7="","",CLIENTES!A7)</f>
        <v/>
      </c>
      <c r="B1036" s="90" t="s">
        <v>321</v>
      </c>
      <c r="C1036" s="91" t="s">
        <v>328</v>
      </c>
      <c r="D1036" s="109" t="s">
        <v>353</v>
      </c>
      <c r="E1036" s="67" t="str">
        <f>COLORES!A22</f>
        <v/>
      </c>
      <c r="F1036" s="67" t="str">
        <f>COLORES!B22</f>
        <v/>
      </c>
      <c r="G1036" s="90" t="s">
        <v>378</v>
      </c>
      <c r="H1036" s="100">
        <f>IFERROR(SUMIFS(MOVIMIENTOS_COMPLEMENTOS!$I$4:$I$803,MOVIMIENTOS_COMPLEMENTOS!$C$4:$C$803,A1036,MOVIMIENTOS_COMPLEMENTOS!$D$4:$D$803,B1036,MOVIMIENTOS_COMPLEMENTOS!$E$4:$E$803,C1036,MOVIMIENTOS_COMPLEMENTOS!$G$4:$G$803,E1036,MOVIMIENTOS_COMPLEMENTOS!$H$4:$H$803,G1036,MOVIMIENTOS_COMPLEMENTOS!$B$4:$B$803,"INGRESO")+SUMIFS(MOVIMIENTOS_COMPLEMENTOS!$I$4:$I$803,MOVIMIENTOS_COMPLEMENTOS!$C$4:$C$803,A1036,MOVIMIENTOS_COMPLEMENTOS!$D$4:$D$803,B1036,MOVIMIENTOS_COMPLEMENTOS!$E$4:$E$803,C1036,MOVIMIENTOS_COMPLEMENTOS!$G$4:$G$803,E1036,MOVIMIENTOS_COMPLEMENTOS!$H$4:$H$803,G1036,MOVIMIENTOS_COMPLEMENTOS!$B$4:$B$803,"DE CORTE")-SUMIFS(MOVIMIENTOS_COMPLEMENTOS!$I$4:$I$803,MOVIMIENTOS_COMPLEMENTOS!$C$4:$C$803,A1036,MOVIMIENTOS_COMPLEMENTOS!$D$4:$D$803,B1036,MOVIMIENTOS_COMPLEMENTOS!$E$4:$E$803,C1036,MOVIMIENTOS_COMPLEMENTOS!$G$4:$G$803,E1036,MOVIMIENTOS_COMPLEMENTOS!$H$4:$H$803,G1036,MOVIMIENTOS_COMPLEMENTOS!$B$4:$B$803,"SALIDA"),0)</f>
        <v>0</v>
      </c>
      <c r="I1036" s="102">
        <f t="array" ref="I1036">IFERROR(INDEX(PRECIOS_COMPLEMENTOS!$C$4:$F$17,MATCH(B1036&amp;"_"&amp;C1036,PRECIOS_COMPLEMENTOS!$H$4:$H$17,0),IF(OR(G1036="S",G1036="20cm"),1,IF(OR(G1036="M",G1036="25cm"),2,IF(OR(G1036="L",G1036="30cm"),3,IF(OR(G1036="XL",G1036="35cm"),4,0))))),0)</f>
        <v>0.4</v>
      </c>
      <c r="J1036" s="103">
        <f t="shared" si="1"/>
        <v>0</v>
      </c>
      <c r="K1036" s="104" t="str">
        <f>IF(H1036&lt;0,"ERROR",IF(H1036=0,"",IF(H1036&lt;CONFIG!$B$4,"CRÍTICO",IF(H1036&lt;CONFIG!$B$5,"BAJO","OK"))))</f>
        <v/>
      </c>
    </row>
    <row r="1037" ht="15.75" hidden="1" customHeight="1">
      <c r="A1037" s="90" t="str">
        <f>IF(CLIENTES!A7="","",CLIENTES!A7)</f>
        <v/>
      </c>
      <c r="B1037" s="90" t="s">
        <v>321</v>
      </c>
      <c r="C1037" s="91" t="s">
        <v>328</v>
      </c>
      <c r="D1037" s="109" t="s">
        <v>353</v>
      </c>
      <c r="E1037" s="67" t="str">
        <f>COLORES!A22</f>
        <v/>
      </c>
      <c r="F1037" s="67" t="str">
        <f>COLORES!B22</f>
        <v/>
      </c>
      <c r="G1037" s="90" t="s">
        <v>376</v>
      </c>
      <c r="H1037" s="100">
        <f>IFERROR(SUMIFS(MOVIMIENTOS_COMPLEMENTOS!$I$4:$I$803,MOVIMIENTOS_COMPLEMENTOS!$C$4:$C$803,A1037,MOVIMIENTOS_COMPLEMENTOS!$D$4:$D$803,B1037,MOVIMIENTOS_COMPLEMENTOS!$E$4:$E$803,C1037,MOVIMIENTOS_COMPLEMENTOS!$G$4:$G$803,E1037,MOVIMIENTOS_COMPLEMENTOS!$H$4:$H$803,G1037,MOVIMIENTOS_COMPLEMENTOS!$B$4:$B$803,"INGRESO")+SUMIFS(MOVIMIENTOS_COMPLEMENTOS!$I$4:$I$803,MOVIMIENTOS_COMPLEMENTOS!$C$4:$C$803,A1037,MOVIMIENTOS_COMPLEMENTOS!$D$4:$D$803,B1037,MOVIMIENTOS_COMPLEMENTOS!$E$4:$E$803,C1037,MOVIMIENTOS_COMPLEMENTOS!$G$4:$G$803,E1037,MOVIMIENTOS_COMPLEMENTOS!$H$4:$H$803,G1037,MOVIMIENTOS_COMPLEMENTOS!$B$4:$B$803,"DE CORTE")-SUMIFS(MOVIMIENTOS_COMPLEMENTOS!$I$4:$I$803,MOVIMIENTOS_COMPLEMENTOS!$C$4:$C$803,A1037,MOVIMIENTOS_COMPLEMENTOS!$D$4:$D$803,B1037,MOVIMIENTOS_COMPLEMENTOS!$E$4:$E$803,C1037,MOVIMIENTOS_COMPLEMENTOS!$G$4:$G$803,E1037,MOVIMIENTOS_COMPLEMENTOS!$H$4:$H$803,G1037,MOVIMIENTOS_COMPLEMENTOS!$B$4:$B$803,"SALIDA"),0)</f>
        <v>0</v>
      </c>
      <c r="I1037" s="102">
        <f t="array" ref="I1037">IFERROR(INDEX(PRECIOS_COMPLEMENTOS!$C$4:$F$17,MATCH(B1037&amp;"_"&amp;C1037,PRECIOS_COMPLEMENTOS!$H$4:$H$17,0),IF(OR(G1037="S",G1037="20cm"),1,IF(OR(G1037="M",G1037="25cm"),2,IF(OR(G1037="L",G1037="30cm"),3,IF(OR(G1037="XL",G1037="35cm"),4,0))))),0)</f>
        <v>0.4</v>
      </c>
      <c r="J1037" s="103">
        <f t="shared" si="1"/>
        <v>0</v>
      </c>
      <c r="K1037" s="104" t="str">
        <f>IF(H1037&lt;0,"ERROR",IF(H1037=0,"",IF(H1037&lt;CONFIG!$B$4,"CRÍTICO",IF(H1037&lt;CONFIG!$B$5,"BAJO","OK"))))</f>
        <v/>
      </c>
    </row>
    <row r="1038" ht="15.75" hidden="1" customHeight="1">
      <c r="A1038" s="90" t="str">
        <f>IF(CLIENTES!A7="","",CLIENTES!A7)</f>
        <v/>
      </c>
      <c r="B1038" s="90" t="s">
        <v>321</v>
      </c>
      <c r="C1038" s="91" t="s">
        <v>328</v>
      </c>
      <c r="D1038" s="109" t="s">
        <v>353</v>
      </c>
      <c r="E1038" s="67" t="str">
        <f>COLORES!A22</f>
        <v/>
      </c>
      <c r="F1038" s="67" t="str">
        <f>COLORES!B22</f>
        <v/>
      </c>
      <c r="G1038" s="90" t="s">
        <v>377</v>
      </c>
      <c r="H1038" s="100">
        <f>IFERROR(SUMIFS(MOVIMIENTOS_COMPLEMENTOS!$I$4:$I$803,MOVIMIENTOS_COMPLEMENTOS!$C$4:$C$803,A1038,MOVIMIENTOS_COMPLEMENTOS!$D$4:$D$803,B1038,MOVIMIENTOS_COMPLEMENTOS!$E$4:$E$803,C1038,MOVIMIENTOS_COMPLEMENTOS!$G$4:$G$803,E1038,MOVIMIENTOS_COMPLEMENTOS!$H$4:$H$803,G1038,MOVIMIENTOS_COMPLEMENTOS!$B$4:$B$803,"INGRESO")+SUMIFS(MOVIMIENTOS_COMPLEMENTOS!$I$4:$I$803,MOVIMIENTOS_COMPLEMENTOS!$C$4:$C$803,A1038,MOVIMIENTOS_COMPLEMENTOS!$D$4:$D$803,B1038,MOVIMIENTOS_COMPLEMENTOS!$E$4:$E$803,C1038,MOVIMIENTOS_COMPLEMENTOS!$G$4:$G$803,E1038,MOVIMIENTOS_COMPLEMENTOS!$H$4:$H$803,G1038,MOVIMIENTOS_COMPLEMENTOS!$B$4:$B$803,"DE CORTE")-SUMIFS(MOVIMIENTOS_COMPLEMENTOS!$I$4:$I$803,MOVIMIENTOS_COMPLEMENTOS!$C$4:$C$803,A1038,MOVIMIENTOS_COMPLEMENTOS!$D$4:$D$803,B1038,MOVIMIENTOS_COMPLEMENTOS!$E$4:$E$803,C1038,MOVIMIENTOS_COMPLEMENTOS!$G$4:$G$803,E1038,MOVIMIENTOS_COMPLEMENTOS!$H$4:$H$803,G1038,MOVIMIENTOS_COMPLEMENTOS!$B$4:$B$803,"SALIDA"),0)</f>
        <v>0</v>
      </c>
      <c r="I1038" s="102">
        <f t="array" ref="I1038">IFERROR(INDEX(PRECIOS_COMPLEMENTOS!$C$4:$F$17,MATCH(B1038&amp;"_"&amp;C1038,PRECIOS_COMPLEMENTOS!$H$4:$H$17,0),IF(OR(G1038="S",G1038="20cm"),1,IF(OR(G1038="M",G1038="25cm"),2,IF(OR(G1038="L",G1038="30cm"),3,IF(OR(G1038="XL",G1038="35cm"),4,0))))),0)</f>
        <v>0.4</v>
      </c>
      <c r="J1038" s="103">
        <f t="shared" si="1"/>
        <v>0</v>
      </c>
      <c r="K1038" s="104" t="str">
        <f>IF(H1038&lt;0,"ERROR",IF(H1038=0,"",IF(H1038&lt;CONFIG!$B$4,"CRÍTICO",IF(H1038&lt;CONFIG!$B$5,"BAJO","OK"))))</f>
        <v/>
      </c>
    </row>
    <row r="1039" ht="15.75" hidden="1" customHeight="1">
      <c r="A1039" s="90" t="str">
        <f>IF(CLIENTES!A7="","",CLIENTES!A7)</f>
        <v/>
      </c>
      <c r="B1039" s="90" t="s">
        <v>321</v>
      </c>
      <c r="C1039" s="91" t="s">
        <v>328</v>
      </c>
      <c r="D1039" s="109" t="s">
        <v>353</v>
      </c>
      <c r="E1039" s="67" t="str">
        <f>COLORES!A22</f>
        <v/>
      </c>
      <c r="F1039" s="67" t="str">
        <f>COLORES!B22</f>
        <v/>
      </c>
      <c r="G1039" s="90" t="s">
        <v>379</v>
      </c>
      <c r="H1039" s="100">
        <f>IFERROR(SUMIFS(MOVIMIENTOS_COMPLEMENTOS!$I$4:$I$803,MOVIMIENTOS_COMPLEMENTOS!$C$4:$C$803,A1039,MOVIMIENTOS_COMPLEMENTOS!$D$4:$D$803,B1039,MOVIMIENTOS_COMPLEMENTOS!$E$4:$E$803,C1039,MOVIMIENTOS_COMPLEMENTOS!$G$4:$G$803,E1039,MOVIMIENTOS_COMPLEMENTOS!$H$4:$H$803,G1039,MOVIMIENTOS_COMPLEMENTOS!$B$4:$B$803,"INGRESO")+SUMIFS(MOVIMIENTOS_COMPLEMENTOS!$I$4:$I$803,MOVIMIENTOS_COMPLEMENTOS!$C$4:$C$803,A1039,MOVIMIENTOS_COMPLEMENTOS!$D$4:$D$803,B1039,MOVIMIENTOS_COMPLEMENTOS!$E$4:$E$803,C1039,MOVIMIENTOS_COMPLEMENTOS!$G$4:$G$803,E1039,MOVIMIENTOS_COMPLEMENTOS!$H$4:$H$803,G1039,MOVIMIENTOS_COMPLEMENTOS!$B$4:$B$803,"DE CORTE")-SUMIFS(MOVIMIENTOS_COMPLEMENTOS!$I$4:$I$803,MOVIMIENTOS_COMPLEMENTOS!$C$4:$C$803,A1039,MOVIMIENTOS_COMPLEMENTOS!$D$4:$D$803,B1039,MOVIMIENTOS_COMPLEMENTOS!$E$4:$E$803,C1039,MOVIMIENTOS_COMPLEMENTOS!$G$4:$G$803,E1039,MOVIMIENTOS_COMPLEMENTOS!$H$4:$H$803,G1039,MOVIMIENTOS_COMPLEMENTOS!$B$4:$B$803,"SALIDA"),0)</f>
        <v>0</v>
      </c>
      <c r="I1039" s="102">
        <f t="array" ref="I1039">IFERROR(INDEX(PRECIOS_COMPLEMENTOS!$C$4:$F$17,MATCH(B1039&amp;"_"&amp;C1039,PRECIOS_COMPLEMENTOS!$H$4:$H$17,0),IF(OR(G1039="S",G1039="20cm"),1,IF(OR(G1039="M",G1039="25cm"),2,IF(OR(G1039="L",G1039="30cm"),3,IF(OR(G1039="XL",G1039="35cm"),4,0))))),0)</f>
        <v>0.4</v>
      </c>
      <c r="J1039" s="103">
        <f t="shared" si="1"/>
        <v>0</v>
      </c>
      <c r="K1039" s="104" t="str">
        <f>IF(H1039&lt;0,"ERROR",IF(H1039=0,"",IF(H1039&lt;CONFIG!$B$4,"CRÍTICO",IF(H1039&lt;CONFIG!$B$5,"BAJO","OK"))))</f>
        <v/>
      </c>
    </row>
    <row r="1040" ht="15.75" hidden="1" customHeight="1">
      <c r="A1040" s="90" t="str">
        <f>IF(CLIENTES!A7="","",CLIENTES!A7)</f>
        <v/>
      </c>
      <c r="B1040" s="90" t="s">
        <v>321</v>
      </c>
      <c r="C1040" s="91" t="s">
        <v>328</v>
      </c>
      <c r="D1040" s="109" t="s">
        <v>353</v>
      </c>
      <c r="E1040" s="67" t="str">
        <f>COLORES!A23</f>
        <v/>
      </c>
      <c r="F1040" s="67" t="str">
        <f>COLORES!B23</f>
        <v/>
      </c>
      <c r="G1040" s="90" t="s">
        <v>378</v>
      </c>
      <c r="H1040" s="100">
        <f>IFERROR(SUMIFS(MOVIMIENTOS_COMPLEMENTOS!$I$4:$I$803,MOVIMIENTOS_COMPLEMENTOS!$C$4:$C$803,A1040,MOVIMIENTOS_COMPLEMENTOS!$D$4:$D$803,B1040,MOVIMIENTOS_COMPLEMENTOS!$E$4:$E$803,C1040,MOVIMIENTOS_COMPLEMENTOS!$G$4:$G$803,E1040,MOVIMIENTOS_COMPLEMENTOS!$H$4:$H$803,G1040,MOVIMIENTOS_COMPLEMENTOS!$B$4:$B$803,"INGRESO")+SUMIFS(MOVIMIENTOS_COMPLEMENTOS!$I$4:$I$803,MOVIMIENTOS_COMPLEMENTOS!$C$4:$C$803,A1040,MOVIMIENTOS_COMPLEMENTOS!$D$4:$D$803,B1040,MOVIMIENTOS_COMPLEMENTOS!$E$4:$E$803,C1040,MOVIMIENTOS_COMPLEMENTOS!$G$4:$G$803,E1040,MOVIMIENTOS_COMPLEMENTOS!$H$4:$H$803,G1040,MOVIMIENTOS_COMPLEMENTOS!$B$4:$B$803,"DE CORTE")-SUMIFS(MOVIMIENTOS_COMPLEMENTOS!$I$4:$I$803,MOVIMIENTOS_COMPLEMENTOS!$C$4:$C$803,A1040,MOVIMIENTOS_COMPLEMENTOS!$D$4:$D$803,B1040,MOVIMIENTOS_COMPLEMENTOS!$E$4:$E$803,C1040,MOVIMIENTOS_COMPLEMENTOS!$G$4:$G$803,E1040,MOVIMIENTOS_COMPLEMENTOS!$H$4:$H$803,G1040,MOVIMIENTOS_COMPLEMENTOS!$B$4:$B$803,"SALIDA"),0)</f>
        <v>0</v>
      </c>
      <c r="I1040" s="102">
        <f t="array" ref="I1040">IFERROR(INDEX(PRECIOS_COMPLEMENTOS!$C$4:$F$17,MATCH(B1040&amp;"_"&amp;C1040,PRECIOS_COMPLEMENTOS!$H$4:$H$17,0),IF(OR(G1040="S",G1040="20cm"),1,IF(OR(G1040="M",G1040="25cm"),2,IF(OR(G1040="L",G1040="30cm"),3,IF(OR(G1040="XL",G1040="35cm"),4,0))))),0)</f>
        <v>0.4</v>
      </c>
      <c r="J1040" s="103">
        <f t="shared" si="1"/>
        <v>0</v>
      </c>
      <c r="K1040" s="104" t="str">
        <f>IF(H1040&lt;0,"ERROR",IF(H1040=0,"",IF(H1040&lt;CONFIG!$B$4,"CRÍTICO",IF(H1040&lt;CONFIG!$B$5,"BAJO","OK"))))</f>
        <v/>
      </c>
    </row>
    <row r="1041" ht="15.75" hidden="1" customHeight="1">
      <c r="A1041" s="90" t="str">
        <f>IF(CLIENTES!A7="","",CLIENTES!A7)</f>
        <v/>
      </c>
      <c r="B1041" s="90" t="s">
        <v>321</v>
      </c>
      <c r="C1041" s="91" t="s">
        <v>328</v>
      </c>
      <c r="D1041" s="109" t="s">
        <v>353</v>
      </c>
      <c r="E1041" s="67" t="str">
        <f>COLORES!A23</f>
        <v/>
      </c>
      <c r="F1041" s="67" t="str">
        <f>COLORES!B23</f>
        <v/>
      </c>
      <c r="G1041" s="90" t="s">
        <v>376</v>
      </c>
      <c r="H1041" s="100">
        <f>IFERROR(SUMIFS(MOVIMIENTOS_COMPLEMENTOS!$I$4:$I$803,MOVIMIENTOS_COMPLEMENTOS!$C$4:$C$803,A1041,MOVIMIENTOS_COMPLEMENTOS!$D$4:$D$803,B1041,MOVIMIENTOS_COMPLEMENTOS!$E$4:$E$803,C1041,MOVIMIENTOS_COMPLEMENTOS!$G$4:$G$803,E1041,MOVIMIENTOS_COMPLEMENTOS!$H$4:$H$803,G1041,MOVIMIENTOS_COMPLEMENTOS!$B$4:$B$803,"INGRESO")+SUMIFS(MOVIMIENTOS_COMPLEMENTOS!$I$4:$I$803,MOVIMIENTOS_COMPLEMENTOS!$C$4:$C$803,A1041,MOVIMIENTOS_COMPLEMENTOS!$D$4:$D$803,B1041,MOVIMIENTOS_COMPLEMENTOS!$E$4:$E$803,C1041,MOVIMIENTOS_COMPLEMENTOS!$G$4:$G$803,E1041,MOVIMIENTOS_COMPLEMENTOS!$H$4:$H$803,G1041,MOVIMIENTOS_COMPLEMENTOS!$B$4:$B$803,"DE CORTE")-SUMIFS(MOVIMIENTOS_COMPLEMENTOS!$I$4:$I$803,MOVIMIENTOS_COMPLEMENTOS!$C$4:$C$803,A1041,MOVIMIENTOS_COMPLEMENTOS!$D$4:$D$803,B1041,MOVIMIENTOS_COMPLEMENTOS!$E$4:$E$803,C1041,MOVIMIENTOS_COMPLEMENTOS!$G$4:$G$803,E1041,MOVIMIENTOS_COMPLEMENTOS!$H$4:$H$803,G1041,MOVIMIENTOS_COMPLEMENTOS!$B$4:$B$803,"SALIDA"),0)</f>
        <v>0</v>
      </c>
      <c r="I1041" s="102">
        <f t="array" ref="I1041">IFERROR(INDEX(PRECIOS_COMPLEMENTOS!$C$4:$F$17,MATCH(B1041&amp;"_"&amp;C1041,PRECIOS_COMPLEMENTOS!$H$4:$H$17,0),IF(OR(G1041="S",G1041="20cm"),1,IF(OR(G1041="M",G1041="25cm"),2,IF(OR(G1041="L",G1041="30cm"),3,IF(OR(G1041="XL",G1041="35cm"),4,0))))),0)</f>
        <v>0.4</v>
      </c>
      <c r="J1041" s="103">
        <f t="shared" si="1"/>
        <v>0</v>
      </c>
      <c r="K1041" s="104" t="str">
        <f>IF(H1041&lt;0,"ERROR",IF(H1041=0,"",IF(H1041&lt;CONFIG!$B$4,"CRÍTICO",IF(H1041&lt;CONFIG!$B$5,"BAJO","OK"))))</f>
        <v/>
      </c>
    </row>
    <row r="1042" ht="15.75" hidden="1" customHeight="1">
      <c r="A1042" s="90" t="str">
        <f>IF(CLIENTES!A7="","",CLIENTES!A7)</f>
        <v/>
      </c>
      <c r="B1042" s="90" t="s">
        <v>321</v>
      </c>
      <c r="C1042" s="91" t="s">
        <v>328</v>
      </c>
      <c r="D1042" s="109" t="s">
        <v>353</v>
      </c>
      <c r="E1042" s="67" t="str">
        <f>COLORES!A23</f>
        <v/>
      </c>
      <c r="F1042" s="67" t="str">
        <f>COLORES!B23</f>
        <v/>
      </c>
      <c r="G1042" s="90" t="s">
        <v>377</v>
      </c>
      <c r="H1042" s="100">
        <f>IFERROR(SUMIFS(MOVIMIENTOS_COMPLEMENTOS!$I$4:$I$803,MOVIMIENTOS_COMPLEMENTOS!$C$4:$C$803,A1042,MOVIMIENTOS_COMPLEMENTOS!$D$4:$D$803,B1042,MOVIMIENTOS_COMPLEMENTOS!$E$4:$E$803,C1042,MOVIMIENTOS_COMPLEMENTOS!$G$4:$G$803,E1042,MOVIMIENTOS_COMPLEMENTOS!$H$4:$H$803,G1042,MOVIMIENTOS_COMPLEMENTOS!$B$4:$B$803,"INGRESO")+SUMIFS(MOVIMIENTOS_COMPLEMENTOS!$I$4:$I$803,MOVIMIENTOS_COMPLEMENTOS!$C$4:$C$803,A1042,MOVIMIENTOS_COMPLEMENTOS!$D$4:$D$803,B1042,MOVIMIENTOS_COMPLEMENTOS!$E$4:$E$803,C1042,MOVIMIENTOS_COMPLEMENTOS!$G$4:$G$803,E1042,MOVIMIENTOS_COMPLEMENTOS!$H$4:$H$803,G1042,MOVIMIENTOS_COMPLEMENTOS!$B$4:$B$803,"DE CORTE")-SUMIFS(MOVIMIENTOS_COMPLEMENTOS!$I$4:$I$803,MOVIMIENTOS_COMPLEMENTOS!$C$4:$C$803,A1042,MOVIMIENTOS_COMPLEMENTOS!$D$4:$D$803,B1042,MOVIMIENTOS_COMPLEMENTOS!$E$4:$E$803,C1042,MOVIMIENTOS_COMPLEMENTOS!$G$4:$G$803,E1042,MOVIMIENTOS_COMPLEMENTOS!$H$4:$H$803,G1042,MOVIMIENTOS_COMPLEMENTOS!$B$4:$B$803,"SALIDA"),0)</f>
        <v>0</v>
      </c>
      <c r="I1042" s="102">
        <f t="array" ref="I1042">IFERROR(INDEX(PRECIOS_COMPLEMENTOS!$C$4:$F$17,MATCH(B1042&amp;"_"&amp;C1042,PRECIOS_COMPLEMENTOS!$H$4:$H$17,0),IF(OR(G1042="S",G1042="20cm"),1,IF(OR(G1042="M",G1042="25cm"),2,IF(OR(G1042="L",G1042="30cm"),3,IF(OR(G1042="XL",G1042="35cm"),4,0))))),0)</f>
        <v>0.4</v>
      </c>
      <c r="J1042" s="103">
        <f t="shared" si="1"/>
        <v>0</v>
      </c>
      <c r="K1042" s="104" t="str">
        <f>IF(H1042&lt;0,"ERROR",IF(H1042=0,"",IF(H1042&lt;CONFIG!$B$4,"CRÍTICO",IF(H1042&lt;CONFIG!$B$5,"BAJO","OK"))))</f>
        <v/>
      </c>
    </row>
    <row r="1043" ht="15.75" hidden="1" customHeight="1">
      <c r="A1043" s="90" t="str">
        <f>IF(CLIENTES!A7="","",CLIENTES!A7)</f>
        <v/>
      </c>
      <c r="B1043" s="90" t="s">
        <v>321</v>
      </c>
      <c r="C1043" s="91" t="s">
        <v>328</v>
      </c>
      <c r="D1043" s="109" t="s">
        <v>353</v>
      </c>
      <c r="E1043" s="67" t="str">
        <f>COLORES!A23</f>
        <v/>
      </c>
      <c r="F1043" s="67" t="str">
        <f>COLORES!B23</f>
        <v/>
      </c>
      <c r="G1043" s="90" t="s">
        <v>379</v>
      </c>
      <c r="H1043" s="100">
        <f>IFERROR(SUMIFS(MOVIMIENTOS_COMPLEMENTOS!$I$4:$I$803,MOVIMIENTOS_COMPLEMENTOS!$C$4:$C$803,A1043,MOVIMIENTOS_COMPLEMENTOS!$D$4:$D$803,B1043,MOVIMIENTOS_COMPLEMENTOS!$E$4:$E$803,C1043,MOVIMIENTOS_COMPLEMENTOS!$G$4:$G$803,E1043,MOVIMIENTOS_COMPLEMENTOS!$H$4:$H$803,G1043,MOVIMIENTOS_COMPLEMENTOS!$B$4:$B$803,"INGRESO")+SUMIFS(MOVIMIENTOS_COMPLEMENTOS!$I$4:$I$803,MOVIMIENTOS_COMPLEMENTOS!$C$4:$C$803,A1043,MOVIMIENTOS_COMPLEMENTOS!$D$4:$D$803,B1043,MOVIMIENTOS_COMPLEMENTOS!$E$4:$E$803,C1043,MOVIMIENTOS_COMPLEMENTOS!$G$4:$G$803,E1043,MOVIMIENTOS_COMPLEMENTOS!$H$4:$H$803,G1043,MOVIMIENTOS_COMPLEMENTOS!$B$4:$B$803,"DE CORTE")-SUMIFS(MOVIMIENTOS_COMPLEMENTOS!$I$4:$I$803,MOVIMIENTOS_COMPLEMENTOS!$C$4:$C$803,A1043,MOVIMIENTOS_COMPLEMENTOS!$D$4:$D$803,B1043,MOVIMIENTOS_COMPLEMENTOS!$E$4:$E$803,C1043,MOVIMIENTOS_COMPLEMENTOS!$G$4:$G$803,E1043,MOVIMIENTOS_COMPLEMENTOS!$H$4:$H$803,G1043,MOVIMIENTOS_COMPLEMENTOS!$B$4:$B$803,"SALIDA"),0)</f>
        <v>0</v>
      </c>
      <c r="I1043" s="102">
        <f t="array" ref="I1043">IFERROR(INDEX(PRECIOS_COMPLEMENTOS!$C$4:$F$17,MATCH(B1043&amp;"_"&amp;C1043,PRECIOS_COMPLEMENTOS!$H$4:$H$17,0),IF(OR(G1043="S",G1043="20cm"),1,IF(OR(G1043="M",G1043="25cm"),2,IF(OR(G1043="L",G1043="30cm"),3,IF(OR(G1043="XL",G1043="35cm"),4,0))))),0)</f>
        <v>0.4</v>
      </c>
      <c r="J1043" s="103">
        <f t="shared" si="1"/>
        <v>0</v>
      </c>
      <c r="K1043" s="104" t="str">
        <f>IF(H1043&lt;0,"ERROR",IF(H1043=0,"",IF(H1043&lt;CONFIG!$B$4,"CRÍTICO",IF(H1043&lt;CONFIG!$B$5,"BAJO","OK"))))</f>
        <v/>
      </c>
    </row>
    <row r="1044" ht="15.75" hidden="1" customHeight="1">
      <c r="A1044" s="90" t="str">
        <f>IF(CLIENTES!A8="","",CLIENTES!A8)</f>
        <v/>
      </c>
      <c r="B1044" s="90" t="s">
        <v>321</v>
      </c>
      <c r="C1044" s="91" t="s">
        <v>328</v>
      </c>
      <c r="D1044" s="109" t="s">
        <v>353</v>
      </c>
      <c r="E1044" s="67" t="str">
        <f>COLORES!A4</f>
        <v>Negro</v>
      </c>
      <c r="F1044" s="67" t="str">
        <f>COLORES!B4</f>
        <v>OSCURO</v>
      </c>
      <c r="G1044" s="90" t="s">
        <v>378</v>
      </c>
      <c r="H1044" s="100">
        <f>IFERROR(SUMIFS(MOVIMIENTOS_COMPLEMENTOS!$I$4:$I$803,MOVIMIENTOS_COMPLEMENTOS!$C$4:$C$803,A1044,MOVIMIENTOS_COMPLEMENTOS!$D$4:$D$803,B1044,MOVIMIENTOS_COMPLEMENTOS!$E$4:$E$803,C1044,MOVIMIENTOS_COMPLEMENTOS!$G$4:$G$803,E1044,MOVIMIENTOS_COMPLEMENTOS!$H$4:$H$803,G1044,MOVIMIENTOS_COMPLEMENTOS!$B$4:$B$803,"INGRESO")+SUMIFS(MOVIMIENTOS_COMPLEMENTOS!$I$4:$I$803,MOVIMIENTOS_COMPLEMENTOS!$C$4:$C$803,A1044,MOVIMIENTOS_COMPLEMENTOS!$D$4:$D$803,B1044,MOVIMIENTOS_COMPLEMENTOS!$E$4:$E$803,C1044,MOVIMIENTOS_COMPLEMENTOS!$G$4:$G$803,E1044,MOVIMIENTOS_COMPLEMENTOS!$H$4:$H$803,G1044,MOVIMIENTOS_COMPLEMENTOS!$B$4:$B$803,"DE CORTE")-SUMIFS(MOVIMIENTOS_COMPLEMENTOS!$I$4:$I$803,MOVIMIENTOS_COMPLEMENTOS!$C$4:$C$803,A1044,MOVIMIENTOS_COMPLEMENTOS!$D$4:$D$803,B1044,MOVIMIENTOS_COMPLEMENTOS!$E$4:$E$803,C1044,MOVIMIENTOS_COMPLEMENTOS!$G$4:$G$803,E1044,MOVIMIENTOS_COMPLEMENTOS!$H$4:$H$803,G1044,MOVIMIENTOS_COMPLEMENTOS!$B$4:$B$803,"SALIDA"),0)</f>
        <v>0</v>
      </c>
      <c r="I1044" s="102">
        <f t="array" ref="I1044">IFERROR(INDEX(PRECIOS_COMPLEMENTOS!$C$4:$F$17,MATCH(B1044&amp;"_"&amp;C1044,PRECIOS_COMPLEMENTOS!$H$4:$H$17,0),IF(OR(G1044="S",G1044="20cm"),1,IF(OR(G1044="M",G1044="25cm"),2,IF(OR(G1044="L",G1044="30cm"),3,IF(OR(G1044="XL",G1044="35cm"),4,0))))),0)</f>
        <v>0.4</v>
      </c>
      <c r="J1044" s="103">
        <f t="shared" si="1"/>
        <v>0</v>
      </c>
      <c r="K1044" s="104" t="str">
        <f>IF(H1044&lt;0,"ERROR",IF(H1044=0,"",IF(H1044&lt;CONFIG!$B$4,"CRÍTICO",IF(H1044&lt;CONFIG!$B$5,"BAJO","OK"))))</f>
        <v/>
      </c>
    </row>
    <row r="1045" ht="15.75" hidden="1" customHeight="1">
      <c r="A1045" s="90" t="str">
        <f>IF(CLIENTES!A8="","",CLIENTES!A8)</f>
        <v/>
      </c>
      <c r="B1045" s="90" t="s">
        <v>321</v>
      </c>
      <c r="C1045" s="91" t="s">
        <v>328</v>
      </c>
      <c r="D1045" s="109" t="s">
        <v>353</v>
      </c>
      <c r="E1045" s="67" t="str">
        <f>COLORES!A4</f>
        <v>Negro</v>
      </c>
      <c r="F1045" s="67" t="str">
        <f>COLORES!B4</f>
        <v>OSCURO</v>
      </c>
      <c r="G1045" s="90" t="s">
        <v>376</v>
      </c>
      <c r="H1045" s="100">
        <f>IFERROR(SUMIFS(MOVIMIENTOS_COMPLEMENTOS!$I$4:$I$803,MOVIMIENTOS_COMPLEMENTOS!$C$4:$C$803,A1045,MOVIMIENTOS_COMPLEMENTOS!$D$4:$D$803,B1045,MOVIMIENTOS_COMPLEMENTOS!$E$4:$E$803,C1045,MOVIMIENTOS_COMPLEMENTOS!$G$4:$G$803,E1045,MOVIMIENTOS_COMPLEMENTOS!$H$4:$H$803,G1045,MOVIMIENTOS_COMPLEMENTOS!$B$4:$B$803,"INGRESO")+SUMIFS(MOVIMIENTOS_COMPLEMENTOS!$I$4:$I$803,MOVIMIENTOS_COMPLEMENTOS!$C$4:$C$803,A1045,MOVIMIENTOS_COMPLEMENTOS!$D$4:$D$803,B1045,MOVIMIENTOS_COMPLEMENTOS!$E$4:$E$803,C1045,MOVIMIENTOS_COMPLEMENTOS!$G$4:$G$803,E1045,MOVIMIENTOS_COMPLEMENTOS!$H$4:$H$803,G1045,MOVIMIENTOS_COMPLEMENTOS!$B$4:$B$803,"DE CORTE")-SUMIFS(MOVIMIENTOS_COMPLEMENTOS!$I$4:$I$803,MOVIMIENTOS_COMPLEMENTOS!$C$4:$C$803,A1045,MOVIMIENTOS_COMPLEMENTOS!$D$4:$D$803,B1045,MOVIMIENTOS_COMPLEMENTOS!$E$4:$E$803,C1045,MOVIMIENTOS_COMPLEMENTOS!$G$4:$G$803,E1045,MOVIMIENTOS_COMPLEMENTOS!$H$4:$H$803,G1045,MOVIMIENTOS_COMPLEMENTOS!$B$4:$B$803,"SALIDA"),0)</f>
        <v>0</v>
      </c>
      <c r="I1045" s="102">
        <f t="array" ref="I1045">IFERROR(INDEX(PRECIOS_COMPLEMENTOS!$C$4:$F$17,MATCH(B1045&amp;"_"&amp;C1045,PRECIOS_COMPLEMENTOS!$H$4:$H$17,0),IF(OR(G1045="S",G1045="20cm"),1,IF(OR(G1045="M",G1045="25cm"),2,IF(OR(G1045="L",G1045="30cm"),3,IF(OR(G1045="XL",G1045="35cm"),4,0))))),0)</f>
        <v>0.4</v>
      </c>
      <c r="J1045" s="103">
        <f t="shared" si="1"/>
        <v>0</v>
      </c>
      <c r="K1045" s="104" t="str">
        <f>IF(H1045&lt;0,"ERROR",IF(H1045=0,"",IF(H1045&lt;CONFIG!$B$4,"CRÍTICO",IF(H1045&lt;CONFIG!$B$5,"BAJO","OK"))))</f>
        <v/>
      </c>
    </row>
    <row r="1046" ht="15.75" hidden="1" customHeight="1">
      <c r="A1046" s="90" t="str">
        <f>IF(CLIENTES!A8="","",CLIENTES!A8)</f>
        <v/>
      </c>
      <c r="B1046" s="90" t="s">
        <v>321</v>
      </c>
      <c r="C1046" s="91" t="s">
        <v>328</v>
      </c>
      <c r="D1046" s="109" t="s">
        <v>353</v>
      </c>
      <c r="E1046" s="67" t="str">
        <f>COLORES!A4</f>
        <v>Negro</v>
      </c>
      <c r="F1046" s="67" t="str">
        <f>COLORES!B4</f>
        <v>OSCURO</v>
      </c>
      <c r="G1046" s="90" t="s">
        <v>377</v>
      </c>
      <c r="H1046" s="100">
        <f>IFERROR(SUMIFS(MOVIMIENTOS_COMPLEMENTOS!$I$4:$I$803,MOVIMIENTOS_COMPLEMENTOS!$C$4:$C$803,A1046,MOVIMIENTOS_COMPLEMENTOS!$D$4:$D$803,B1046,MOVIMIENTOS_COMPLEMENTOS!$E$4:$E$803,C1046,MOVIMIENTOS_COMPLEMENTOS!$G$4:$G$803,E1046,MOVIMIENTOS_COMPLEMENTOS!$H$4:$H$803,G1046,MOVIMIENTOS_COMPLEMENTOS!$B$4:$B$803,"INGRESO")+SUMIFS(MOVIMIENTOS_COMPLEMENTOS!$I$4:$I$803,MOVIMIENTOS_COMPLEMENTOS!$C$4:$C$803,A1046,MOVIMIENTOS_COMPLEMENTOS!$D$4:$D$803,B1046,MOVIMIENTOS_COMPLEMENTOS!$E$4:$E$803,C1046,MOVIMIENTOS_COMPLEMENTOS!$G$4:$G$803,E1046,MOVIMIENTOS_COMPLEMENTOS!$H$4:$H$803,G1046,MOVIMIENTOS_COMPLEMENTOS!$B$4:$B$803,"DE CORTE")-SUMIFS(MOVIMIENTOS_COMPLEMENTOS!$I$4:$I$803,MOVIMIENTOS_COMPLEMENTOS!$C$4:$C$803,A1046,MOVIMIENTOS_COMPLEMENTOS!$D$4:$D$803,B1046,MOVIMIENTOS_COMPLEMENTOS!$E$4:$E$803,C1046,MOVIMIENTOS_COMPLEMENTOS!$G$4:$G$803,E1046,MOVIMIENTOS_COMPLEMENTOS!$H$4:$H$803,G1046,MOVIMIENTOS_COMPLEMENTOS!$B$4:$B$803,"SALIDA"),0)</f>
        <v>0</v>
      </c>
      <c r="I1046" s="102">
        <f t="array" ref="I1046">IFERROR(INDEX(PRECIOS_COMPLEMENTOS!$C$4:$F$17,MATCH(B1046&amp;"_"&amp;C1046,PRECIOS_COMPLEMENTOS!$H$4:$H$17,0),IF(OR(G1046="S",G1046="20cm"),1,IF(OR(G1046="M",G1046="25cm"),2,IF(OR(G1046="L",G1046="30cm"),3,IF(OR(G1046="XL",G1046="35cm"),4,0))))),0)</f>
        <v>0.4</v>
      </c>
      <c r="J1046" s="103">
        <f t="shared" si="1"/>
        <v>0</v>
      </c>
      <c r="K1046" s="104" t="str">
        <f>IF(H1046&lt;0,"ERROR",IF(H1046=0,"",IF(H1046&lt;CONFIG!$B$4,"CRÍTICO",IF(H1046&lt;CONFIG!$B$5,"BAJO","OK"))))</f>
        <v/>
      </c>
    </row>
    <row r="1047" ht="15.75" hidden="1" customHeight="1">
      <c r="A1047" s="90" t="str">
        <f>IF(CLIENTES!A8="","",CLIENTES!A8)</f>
        <v/>
      </c>
      <c r="B1047" s="90" t="s">
        <v>321</v>
      </c>
      <c r="C1047" s="91" t="s">
        <v>328</v>
      </c>
      <c r="D1047" s="109" t="s">
        <v>353</v>
      </c>
      <c r="E1047" s="67" t="str">
        <f>COLORES!A4</f>
        <v>Negro</v>
      </c>
      <c r="F1047" s="67" t="str">
        <f>COLORES!B4</f>
        <v>OSCURO</v>
      </c>
      <c r="G1047" s="90" t="s">
        <v>379</v>
      </c>
      <c r="H1047" s="100">
        <f>IFERROR(SUMIFS(MOVIMIENTOS_COMPLEMENTOS!$I$4:$I$803,MOVIMIENTOS_COMPLEMENTOS!$C$4:$C$803,A1047,MOVIMIENTOS_COMPLEMENTOS!$D$4:$D$803,B1047,MOVIMIENTOS_COMPLEMENTOS!$E$4:$E$803,C1047,MOVIMIENTOS_COMPLEMENTOS!$G$4:$G$803,E1047,MOVIMIENTOS_COMPLEMENTOS!$H$4:$H$803,G1047,MOVIMIENTOS_COMPLEMENTOS!$B$4:$B$803,"INGRESO")+SUMIFS(MOVIMIENTOS_COMPLEMENTOS!$I$4:$I$803,MOVIMIENTOS_COMPLEMENTOS!$C$4:$C$803,A1047,MOVIMIENTOS_COMPLEMENTOS!$D$4:$D$803,B1047,MOVIMIENTOS_COMPLEMENTOS!$E$4:$E$803,C1047,MOVIMIENTOS_COMPLEMENTOS!$G$4:$G$803,E1047,MOVIMIENTOS_COMPLEMENTOS!$H$4:$H$803,G1047,MOVIMIENTOS_COMPLEMENTOS!$B$4:$B$803,"DE CORTE")-SUMIFS(MOVIMIENTOS_COMPLEMENTOS!$I$4:$I$803,MOVIMIENTOS_COMPLEMENTOS!$C$4:$C$803,A1047,MOVIMIENTOS_COMPLEMENTOS!$D$4:$D$803,B1047,MOVIMIENTOS_COMPLEMENTOS!$E$4:$E$803,C1047,MOVIMIENTOS_COMPLEMENTOS!$G$4:$G$803,E1047,MOVIMIENTOS_COMPLEMENTOS!$H$4:$H$803,G1047,MOVIMIENTOS_COMPLEMENTOS!$B$4:$B$803,"SALIDA"),0)</f>
        <v>0</v>
      </c>
      <c r="I1047" s="102">
        <f t="array" ref="I1047">IFERROR(INDEX(PRECIOS_COMPLEMENTOS!$C$4:$F$17,MATCH(B1047&amp;"_"&amp;C1047,PRECIOS_COMPLEMENTOS!$H$4:$H$17,0),IF(OR(G1047="S",G1047="20cm"),1,IF(OR(G1047="M",G1047="25cm"),2,IF(OR(G1047="L",G1047="30cm"),3,IF(OR(G1047="XL",G1047="35cm"),4,0))))),0)</f>
        <v>0.4</v>
      </c>
      <c r="J1047" s="103">
        <f t="shared" si="1"/>
        <v>0</v>
      </c>
      <c r="K1047" s="104" t="str">
        <f>IF(H1047&lt;0,"ERROR",IF(H1047=0,"",IF(H1047&lt;CONFIG!$B$4,"CRÍTICO",IF(H1047&lt;CONFIG!$B$5,"BAJO","OK"))))</f>
        <v/>
      </c>
    </row>
    <row r="1048" ht="15.75" hidden="1" customHeight="1">
      <c r="A1048" s="90" t="str">
        <f>IF(CLIENTES!A8="","",CLIENTES!A8)</f>
        <v/>
      </c>
      <c r="B1048" s="90" t="s">
        <v>321</v>
      </c>
      <c r="C1048" s="91" t="s">
        <v>328</v>
      </c>
      <c r="D1048" s="109" t="s">
        <v>353</v>
      </c>
      <c r="E1048" s="67" t="str">
        <f>COLORES!A5</f>
        <v>Perla</v>
      </c>
      <c r="F1048" s="67" t="str">
        <f>COLORES!B5</f>
        <v>PPT</v>
      </c>
      <c r="G1048" s="90" t="s">
        <v>378</v>
      </c>
      <c r="H1048" s="100">
        <f>IFERROR(SUMIFS(MOVIMIENTOS_COMPLEMENTOS!$I$4:$I$803,MOVIMIENTOS_COMPLEMENTOS!$C$4:$C$803,A1048,MOVIMIENTOS_COMPLEMENTOS!$D$4:$D$803,B1048,MOVIMIENTOS_COMPLEMENTOS!$E$4:$E$803,C1048,MOVIMIENTOS_COMPLEMENTOS!$G$4:$G$803,E1048,MOVIMIENTOS_COMPLEMENTOS!$H$4:$H$803,G1048,MOVIMIENTOS_COMPLEMENTOS!$B$4:$B$803,"INGRESO")+SUMIFS(MOVIMIENTOS_COMPLEMENTOS!$I$4:$I$803,MOVIMIENTOS_COMPLEMENTOS!$C$4:$C$803,A1048,MOVIMIENTOS_COMPLEMENTOS!$D$4:$D$803,B1048,MOVIMIENTOS_COMPLEMENTOS!$E$4:$E$803,C1048,MOVIMIENTOS_COMPLEMENTOS!$G$4:$G$803,E1048,MOVIMIENTOS_COMPLEMENTOS!$H$4:$H$803,G1048,MOVIMIENTOS_COMPLEMENTOS!$B$4:$B$803,"DE CORTE")-SUMIFS(MOVIMIENTOS_COMPLEMENTOS!$I$4:$I$803,MOVIMIENTOS_COMPLEMENTOS!$C$4:$C$803,A1048,MOVIMIENTOS_COMPLEMENTOS!$D$4:$D$803,B1048,MOVIMIENTOS_COMPLEMENTOS!$E$4:$E$803,C1048,MOVIMIENTOS_COMPLEMENTOS!$G$4:$G$803,E1048,MOVIMIENTOS_COMPLEMENTOS!$H$4:$H$803,G1048,MOVIMIENTOS_COMPLEMENTOS!$B$4:$B$803,"SALIDA"),0)</f>
        <v>0</v>
      </c>
      <c r="I1048" s="102">
        <f t="array" ref="I1048">IFERROR(INDEX(PRECIOS_COMPLEMENTOS!$C$4:$F$17,MATCH(B1048&amp;"_"&amp;C1048,PRECIOS_COMPLEMENTOS!$H$4:$H$17,0),IF(OR(G1048="S",G1048="20cm"),1,IF(OR(G1048="M",G1048="25cm"),2,IF(OR(G1048="L",G1048="30cm"),3,IF(OR(G1048="XL",G1048="35cm"),4,0))))),0)</f>
        <v>0.4</v>
      </c>
      <c r="J1048" s="103">
        <f t="shared" si="1"/>
        <v>0</v>
      </c>
      <c r="K1048" s="104" t="str">
        <f>IF(H1048&lt;0,"ERROR",IF(H1048=0,"",IF(H1048&lt;CONFIG!$B$4,"CRÍTICO",IF(H1048&lt;CONFIG!$B$5,"BAJO","OK"))))</f>
        <v/>
      </c>
    </row>
    <row r="1049" ht="15.75" hidden="1" customHeight="1">
      <c r="A1049" s="90" t="str">
        <f>IF(CLIENTES!A8="","",CLIENTES!A8)</f>
        <v/>
      </c>
      <c r="B1049" s="90" t="s">
        <v>321</v>
      </c>
      <c r="C1049" s="91" t="s">
        <v>328</v>
      </c>
      <c r="D1049" s="109" t="s">
        <v>353</v>
      </c>
      <c r="E1049" s="67" t="str">
        <f>COLORES!A5</f>
        <v>Perla</v>
      </c>
      <c r="F1049" s="67" t="str">
        <f>COLORES!B5</f>
        <v>PPT</v>
      </c>
      <c r="G1049" s="90" t="s">
        <v>376</v>
      </c>
      <c r="H1049" s="100">
        <f>IFERROR(SUMIFS(MOVIMIENTOS_COMPLEMENTOS!$I$4:$I$803,MOVIMIENTOS_COMPLEMENTOS!$C$4:$C$803,A1049,MOVIMIENTOS_COMPLEMENTOS!$D$4:$D$803,B1049,MOVIMIENTOS_COMPLEMENTOS!$E$4:$E$803,C1049,MOVIMIENTOS_COMPLEMENTOS!$G$4:$G$803,E1049,MOVIMIENTOS_COMPLEMENTOS!$H$4:$H$803,G1049,MOVIMIENTOS_COMPLEMENTOS!$B$4:$B$803,"INGRESO")+SUMIFS(MOVIMIENTOS_COMPLEMENTOS!$I$4:$I$803,MOVIMIENTOS_COMPLEMENTOS!$C$4:$C$803,A1049,MOVIMIENTOS_COMPLEMENTOS!$D$4:$D$803,B1049,MOVIMIENTOS_COMPLEMENTOS!$E$4:$E$803,C1049,MOVIMIENTOS_COMPLEMENTOS!$G$4:$G$803,E1049,MOVIMIENTOS_COMPLEMENTOS!$H$4:$H$803,G1049,MOVIMIENTOS_COMPLEMENTOS!$B$4:$B$803,"DE CORTE")-SUMIFS(MOVIMIENTOS_COMPLEMENTOS!$I$4:$I$803,MOVIMIENTOS_COMPLEMENTOS!$C$4:$C$803,A1049,MOVIMIENTOS_COMPLEMENTOS!$D$4:$D$803,B1049,MOVIMIENTOS_COMPLEMENTOS!$E$4:$E$803,C1049,MOVIMIENTOS_COMPLEMENTOS!$G$4:$G$803,E1049,MOVIMIENTOS_COMPLEMENTOS!$H$4:$H$803,G1049,MOVIMIENTOS_COMPLEMENTOS!$B$4:$B$803,"SALIDA"),0)</f>
        <v>0</v>
      </c>
      <c r="I1049" s="102">
        <f t="array" ref="I1049">IFERROR(INDEX(PRECIOS_COMPLEMENTOS!$C$4:$F$17,MATCH(B1049&amp;"_"&amp;C1049,PRECIOS_COMPLEMENTOS!$H$4:$H$17,0),IF(OR(G1049="S",G1049="20cm"),1,IF(OR(G1049="M",G1049="25cm"),2,IF(OR(G1049="L",G1049="30cm"),3,IF(OR(G1049="XL",G1049="35cm"),4,0))))),0)</f>
        <v>0.4</v>
      </c>
      <c r="J1049" s="103">
        <f t="shared" si="1"/>
        <v>0</v>
      </c>
      <c r="K1049" s="104" t="str">
        <f>IF(H1049&lt;0,"ERROR",IF(H1049=0,"",IF(H1049&lt;CONFIG!$B$4,"CRÍTICO",IF(H1049&lt;CONFIG!$B$5,"BAJO","OK"))))</f>
        <v/>
      </c>
    </row>
    <row r="1050" ht="15.75" hidden="1" customHeight="1">
      <c r="A1050" s="90" t="str">
        <f>IF(CLIENTES!A8="","",CLIENTES!A8)</f>
        <v/>
      </c>
      <c r="B1050" s="90" t="s">
        <v>321</v>
      </c>
      <c r="C1050" s="91" t="s">
        <v>328</v>
      </c>
      <c r="D1050" s="109" t="s">
        <v>353</v>
      </c>
      <c r="E1050" s="67" t="str">
        <f>COLORES!A5</f>
        <v>Perla</v>
      </c>
      <c r="F1050" s="67" t="str">
        <f>COLORES!B5</f>
        <v>PPT</v>
      </c>
      <c r="G1050" s="90" t="s">
        <v>377</v>
      </c>
      <c r="H1050" s="100">
        <f>IFERROR(SUMIFS(MOVIMIENTOS_COMPLEMENTOS!$I$4:$I$803,MOVIMIENTOS_COMPLEMENTOS!$C$4:$C$803,A1050,MOVIMIENTOS_COMPLEMENTOS!$D$4:$D$803,B1050,MOVIMIENTOS_COMPLEMENTOS!$E$4:$E$803,C1050,MOVIMIENTOS_COMPLEMENTOS!$G$4:$G$803,E1050,MOVIMIENTOS_COMPLEMENTOS!$H$4:$H$803,G1050,MOVIMIENTOS_COMPLEMENTOS!$B$4:$B$803,"INGRESO")+SUMIFS(MOVIMIENTOS_COMPLEMENTOS!$I$4:$I$803,MOVIMIENTOS_COMPLEMENTOS!$C$4:$C$803,A1050,MOVIMIENTOS_COMPLEMENTOS!$D$4:$D$803,B1050,MOVIMIENTOS_COMPLEMENTOS!$E$4:$E$803,C1050,MOVIMIENTOS_COMPLEMENTOS!$G$4:$G$803,E1050,MOVIMIENTOS_COMPLEMENTOS!$H$4:$H$803,G1050,MOVIMIENTOS_COMPLEMENTOS!$B$4:$B$803,"DE CORTE")-SUMIFS(MOVIMIENTOS_COMPLEMENTOS!$I$4:$I$803,MOVIMIENTOS_COMPLEMENTOS!$C$4:$C$803,A1050,MOVIMIENTOS_COMPLEMENTOS!$D$4:$D$803,B1050,MOVIMIENTOS_COMPLEMENTOS!$E$4:$E$803,C1050,MOVIMIENTOS_COMPLEMENTOS!$G$4:$G$803,E1050,MOVIMIENTOS_COMPLEMENTOS!$H$4:$H$803,G1050,MOVIMIENTOS_COMPLEMENTOS!$B$4:$B$803,"SALIDA"),0)</f>
        <v>0</v>
      </c>
      <c r="I1050" s="102">
        <f t="array" ref="I1050">IFERROR(INDEX(PRECIOS_COMPLEMENTOS!$C$4:$F$17,MATCH(B1050&amp;"_"&amp;C1050,PRECIOS_COMPLEMENTOS!$H$4:$H$17,0),IF(OR(G1050="S",G1050="20cm"),1,IF(OR(G1050="M",G1050="25cm"),2,IF(OR(G1050="L",G1050="30cm"),3,IF(OR(G1050="XL",G1050="35cm"),4,0))))),0)</f>
        <v>0.4</v>
      </c>
      <c r="J1050" s="103">
        <f t="shared" si="1"/>
        <v>0</v>
      </c>
      <c r="K1050" s="104" t="str">
        <f>IF(H1050&lt;0,"ERROR",IF(H1050=0,"",IF(H1050&lt;CONFIG!$B$4,"CRÍTICO",IF(H1050&lt;CONFIG!$B$5,"BAJO","OK"))))</f>
        <v/>
      </c>
    </row>
    <row r="1051" ht="15.75" hidden="1" customHeight="1">
      <c r="A1051" s="90" t="str">
        <f>IF(CLIENTES!A8="","",CLIENTES!A8)</f>
        <v/>
      </c>
      <c r="B1051" s="90" t="s">
        <v>321</v>
      </c>
      <c r="C1051" s="91" t="s">
        <v>328</v>
      </c>
      <c r="D1051" s="109" t="s">
        <v>353</v>
      </c>
      <c r="E1051" s="67" t="str">
        <f>COLORES!A5</f>
        <v>Perla</v>
      </c>
      <c r="F1051" s="67" t="str">
        <f>COLORES!B5</f>
        <v>PPT</v>
      </c>
      <c r="G1051" s="90" t="s">
        <v>379</v>
      </c>
      <c r="H1051" s="100">
        <f>IFERROR(SUMIFS(MOVIMIENTOS_COMPLEMENTOS!$I$4:$I$803,MOVIMIENTOS_COMPLEMENTOS!$C$4:$C$803,A1051,MOVIMIENTOS_COMPLEMENTOS!$D$4:$D$803,B1051,MOVIMIENTOS_COMPLEMENTOS!$E$4:$E$803,C1051,MOVIMIENTOS_COMPLEMENTOS!$G$4:$G$803,E1051,MOVIMIENTOS_COMPLEMENTOS!$H$4:$H$803,G1051,MOVIMIENTOS_COMPLEMENTOS!$B$4:$B$803,"INGRESO")+SUMIFS(MOVIMIENTOS_COMPLEMENTOS!$I$4:$I$803,MOVIMIENTOS_COMPLEMENTOS!$C$4:$C$803,A1051,MOVIMIENTOS_COMPLEMENTOS!$D$4:$D$803,B1051,MOVIMIENTOS_COMPLEMENTOS!$E$4:$E$803,C1051,MOVIMIENTOS_COMPLEMENTOS!$G$4:$G$803,E1051,MOVIMIENTOS_COMPLEMENTOS!$H$4:$H$803,G1051,MOVIMIENTOS_COMPLEMENTOS!$B$4:$B$803,"DE CORTE")-SUMIFS(MOVIMIENTOS_COMPLEMENTOS!$I$4:$I$803,MOVIMIENTOS_COMPLEMENTOS!$C$4:$C$803,A1051,MOVIMIENTOS_COMPLEMENTOS!$D$4:$D$803,B1051,MOVIMIENTOS_COMPLEMENTOS!$E$4:$E$803,C1051,MOVIMIENTOS_COMPLEMENTOS!$G$4:$G$803,E1051,MOVIMIENTOS_COMPLEMENTOS!$H$4:$H$803,G1051,MOVIMIENTOS_COMPLEMENTOS!$B$4:$B$803,"SALIDA"),0)</f>
        <v>0</v>
      </c>
      <c r="I1051" s="102">
        <f t="array" ref="I1051">IFERROR(INDEX(PRECIOS_COMPLEMENTOS!$C$4:$F$17,MATCH(B1051&amp;"_"&amp;C1051,PRECIOS_COMPLEMENTOS!$H$4:$H$17,0),IF(OR(G1051="S",G1051="20cm"),1,IF(OR(G1051="M",G1051="25cm"),2,IF(OR(G1051="L",G1051="30cm"),3,IF(OR(G1051="XL",G1051="35cm"),4,0))))),0)</f>
        <v>0.4</v>
      </c>
      <c r="J1051" s="103">
        <f t="shared" si="1"/>
        <v>0</v>
      </c>
      <c r="K1051" s="104" t="str">
        <f>IF(H1051&lt;0,"ERROR",IF(H1051=0,"",IF(H1051&lt;CONFIG!$B$4,"CRÍTICO",IF(H1051&lt;CONFIG!$B$5,"BAJO","OK"))))</f>
        <v/>
      </c>
    </row>
    <row r="1052" ht="15.75" hidden="1" customHeight="1">
      <c r="A1052" s="90" t="str">
        <f>IF(CLIENTES!A8="","",CLIENTES!A8)</f>
        <v/>
      </c>
      <c r="B1052" s="90" t="s">
        <v>321</v>
      </c>
      <c r="C1052" s="91" t="s">
        <v>328</v>
      </c>
      <c r="D1052" s="109" t="s">
        <v>353</v>
      </c>
      <c r="E1052" s="67" t="str">
        <f>COLORES!A6</f>
        <v>Blanco</v>
      </c>
      <c r="F1052" s="67" t="str">
        <f>COLORES!B6</f>
        <v>PPT</v>
      </c>
      <c r="G1052" s="90" t="s">
        <v>378</v>
      </c>
      <c r="H1052" s="100">
        <f>IFERROR(SUMIFS(MOVIMIENTOS_COMPLEMENTOS!$I$4:$I$803,MOVIMIENTOS_COMPLEMENTOS!$C$4:$C$803,A1052,MOVIMIENTOS_COMPLEMENTOS!$D$4:$D$803,B1052,MOVIMIENTOS_COMPLEMENTOS!$E$4:$E$803,C1052,MOVIMIENTOS_COMPLEMENTOS!$G$4:$G$803,E1052,MOVIMIENTOS_COMPLEMENTOS!$H$4:$H$803,G1052,MOVIMIENTOS_COMPLEMENTOS!$B$4:$B$803,"INGRESO")+SUMIFS(MOVIMIENTOS_COMPLEMENTOS!$I$4:$I$803,MOVIMIENTOS_COMPLEMENTOS!$C$4:$C$803,A1052,MOVIMIENTOS_COMPLEMENTOS!$D$4:$D$803,B1052,MOVIMIENTOS_COMPLEMENTOS!$E$4:$E$803,C1052,MOVIMIENTOS_COMPLEMENTOS!$G$4:$G$803,E1052,MOVIMIENTOS_COMPLEMENTOS!$H$4:$H$803,G1052,MOVIMIENTOS_COMPLEMENTOS!$B$4:$B$803,"DE CORTE")-SUMIFS(MOVIMIENTOS_COMPLEMENTOS!$I$4:$I$803,MOVIMIENTOS_COMPLEMENTOS!$C$4:$C$803,A1052,MOVIMIENTOS_COMPLEMENTOS!$D$4:$D$803,B1052,MOVIMIENTOS_COMPLEMENTOS!$E$4:$E$803,C1052,MOVIMIENTOS_COMPLEMENTOS!$G$4:$G$803,E1052,MOVIMIENTOS_COMPLEMENTOS!$H$4:$H$803,G1052,MOVIMIENTOS_COMPLEMENTOS!$B$4:$B$803,"SALIDA"),0)</f>
        <v>0</v>
      </c>
      <c r="I1052" s="102">
        <f t="array" ref="I1052">IFERROR(INDEX(PRECIOS_COMPLEMENTOS!$C$4:$F$17,MATCH(B1052&amp;"_"&amp;C1052,PRECIOS_COMPLEMENTOS!$H$4:$H$17,0),IF(OR(G1052="S",G1052="20cm"),1,IF(OR(G1052="M",G1052="25cm"),2,IF(OR(G1052="L",G1052="30cm"),3,IF(OR(G1052="XL",G1052="35cm"),4,0))))),0)</f>
        <v>0.4</v>
      </c>
      <c r="J1052" s="103">
        <f t="shared" si="1"/>
        <v>0</v>
      </c>
      <c r="K1052" s="104" t="str">
        <f>IF(H1052&lt;0,"ERROR",IF(H1052=0,"",IF(H1052&lt;CONFIG!$B$4,"CRÍTICO",IF(H1052&lt;CONFIG!$B$5,"BAJO","OK"))))</f>
        <v/>
      </c>
    </row>
    <row r="1053" ht="15.75" hidden="1" customHeight="1">
      <c r="A1053" s="90" t="str">
        <f>IF(CLIENTES!A8="","",CLIENTES!A8)</f>
        <v/>
      </c>
      <c r="B1053" s="90" t="s">
        <v>321</v>
      </c>
      <c r="C1053" s="91" t="s">
        <v>328</v>
      </c>
      <c r="D1053" s="109" t="s">
        <v>353</v>
      </c>
      <c r="E1053" s="67" t="str">
        <f>COLORES!A6</f>
        <v>Blanco</v>
      </c>
      <c r="F1053" s="67" t="str">
        <f>COLORES!B6</f>
        <v>PPT</v>
      </c>
      <c r="G1053" s="90" t="s">
        <v>376</v>
      </c>
      <c r="H1053" s="100">
        <f>IFERROR(SUMIFS(MOVIMIENTOS_COMPLEMENTOS!$I$4:$I$803,MOVIMIENTOS_COMPLEMENTOS!$C$4:$C$803,A1053,MOVIMIENTOS_COMPLEMENTOS!$D$4:$D$803,B1053,MOVIMIENTOS_COMPLEMENTOS!$E$4:$E$803,C1053,MOVIMIENTOS_COMPLEMENTOS!$G$4:$G$803,E1053,MOVIMIENTOS_COMPLEMENTOS!$H$4:$H$803,G1053,MOVIMIENTOS_COMPLEMENTOS!$B$4:$B$803,"INGRESO")+SUMIFS(MOVIMIENTOS_COMPLEMENTOS!$I$4:$I$803,MOVIMIENTOS_COMPLEMENTOS!$C$4:$C$803,A1053,MOVIMIENTOS_COMPLEMENTOS!$D$4:$D$803,B1053,MOVIMIENTOS_COMPLEMENTOS!$E$4:$E$803,C1053,MOVIMIENTOS_COMPLEMENTOS!$G$4:$G$803,E1053,MOVIMIENTOS_COMPLEMENTOS!$H$4:$H$803,G1053,MOVIMIENTOS_COMPLEMENTOS!$B$4:$B$803,"DE CORTE")-SUMIFS(MOVIMIENTOS_COMPLEMENTOS!$I$4:$I$803,MOVIMIENTOS_COMPLEMENTOS!$C$4:$C$803,A1053,MOVIMIENTOS_COMPLEMENTOS!$D$4:$D$803,B1053,MOVIMIENTOS_COMPLEMENTOS!$E$4:$E$803,C1053,MOVIMIENTOS_COMPLEMENTOS!$G$4:$G$803,E1053,MOVIMIENTOS_COMPLEMENTOS!$H$4:$H$803,G1053,MOVIMIENTOS_COMPLEMENTOS!$B$4:$B$803,"SALIDA"),0)</f>
        <v>0</v>
      </c>
      <c r="I1053" s="102">
        <f t="array" ref="I1053">IFERROR(INDEX(PRECIOS_COMPLEMENTOS!$C$4:$F$17,MATCH(B1053&amp;"_"&amp;C1053,PRECIOS_COMPLEMENTOS!$H$4:$H$17,0),IF(OR(G1053="S",G1053="20cm"),1,IF(OR(G1053="M",G1053="25cm"),2,IF(OR(G1053="L",G1053="30cm"),3,IF(OR(G1053="XL",G1053="35cm"),4,0))))),0)</f>
        <v>0.4</v>
      </c>
      <c r="J1053" s="103">
        <f t="shared" si="1"/>
        <v>0</v>
      </c>
      <c r="K1053" s="104" t="str">
        <f>IF(H1053&lt;0,"ERROR",IF(H1053=0,"",IF(H1053&lt;CONFIG!$B$4,"CRÍTICO",IF(H1053&lt;CONFIG!$B$5,"BAJO","OK"))))</f>
        <v/>
      </c>
    </row>
    <row r="1054" ht="15.75" hidden="1" customHeight="1">
      <c r="A1054" s="90" t="str">
        <f>IF(CLIENTES!A8="","",CLIENTES!A8)</f>
        <v/>
      </c>
      <c r="B1054" s="90" t="s">
        <v>321</v>
      </c>
      <c r="C1054" s="91" t="s">
        <v>328</v>
      </c>
      <c r="D1054" s="109" t="s">
        <v>353</v>
      </c>
      <c r="E1054" s="67" t="str">
        <f>COLORES!A6</f>
        <v>Blanco</v>
      </c>
      <c r="F1054" s="67" t="str">
        <f>COLORES!B6</f>
        <v>PPT</v>
      </c>
      <c r="G1054" s="90" t="s">
        <v>377</v>
      </c>
      <c r="H1054" s="100">
        <f>IFERROR(SUMIFS(MOVIMIENTOS_COMPLEMENTOS!$I$4:$I$803,MOVIMIENTOS_COMPLEMENTOS!$C$4:$C$803,A1054,MOVIMIENTOS_COMPLEMENTOS!$D$4:$D$803,B1054,MOVIMIENTOS_COMPLEMENTOS!$E$4:$E$803,C1054,MOVIMIENTOS_COMPLEMENTOS!$G$4:$G$803,E1054,MOVIMIENTOS_COMPLEMENTOS!$H$4:$H$803,G1054,MOVIMIENTOS_COMPLEMENTOS!$B$4:$B$803,"INGRESO")+SUMIFS(MOVIMIENTOS_COMPLEMENTOS!$I$4:$I$803,MOVIMIENTOS_COMPLEMENTOS!$C$4:$C$803,A1054,MOVIMIENTOS_COMPLEMENTOS!$D$4:$D$803,B1054,MOVIMIENTOS_COMPLEMENTOS!$E$4:$E$803,C1054,MOVIMIENTOS_COMPLEMENTOS!$G$4:$G$803,E1054,MOVIMIENTOS_COMPLEMENTOS!$H$4:$H$803,G1054,MOVIMIENTOS_COMPLEMENTOS!$B$4:$B$803,"DE CORTE")-SUMIFS(MOVIMIENTOS_COMPLEMENTOS!$I$4:$I$803,MOVIMIENTOS_COMPLEMENTOS!$C$4:$C$803,A1054,MOVIMIENTOS_COMPLEMENTOS!$D$4:$D$803,B1054,MOVIMIENTOS_COMPLEMENTOS!$E$4:$E$803,C1054,MOVIMIENTOS_COMPLEMENTOS!$G$4:$G$803,E1054,MOVIMIENTOS_COMPLEMENTOS!$H$4:$H$803,G1054,MOVIMIENTOS_COMPLEMENTOS!$B$4:$B$803,"SALIDA"),0)</f>
        <v>0</v>
      </c>
      <c r="I1054" s="102">
        <f t="array" ref="I1054">IFERROR(INDEX(PRECIOS_COMPLEMENTOS!$C$4:$F$17,MATCH(B1054&amp;"_"&amp;C1054,PRECIOS_COMPLEMENTOS!$H$4:$H$17,0),IF(OR(G1054="S",G1054="20cm"),1,IF(OR(G1054="M",G1054="25cm"),2,IF(OR(G1054="L",G1054="30cm"),3,IF(OR(G1054="XL",G1054="35cm"),4,0))))),0)</f>
        <v>0.4</v>
      </c>
      <c r="J1054" s="103">
        <f t="shared" si="1"/>
        <v>0</v>
      </c>
      <c r="K1054" s="104" t="str">
        <f>IF(H1054&lt;0,"ERROR",IF(H1054=0,"",IF(H1054&lt;CONFIG!$B$4,"CRÍTICO",IF(H1054&lt;CONFIG!$B$5,"BAJO","OK"))))</f>
        <v/>
      </c>
    </row>
    <row r="1055" ht="15.75" hidden="1" customHeight="1">
      <c r="A1055" s="90" t="str">
        <f>IF(CLIENTES!A8="","",CLIENTES!A8)</f>
        <v/>
      </c>
      <c r="B1055" s="90" t="s">
        <v>321</v>
      </c>
      <c r="C1055" s="91" t="s">
        <v>328</v>
      </c>
      <c r="D1055" s="109" t="s">
        <v>353</v>
      </c>
      <c r="E1055" s="67" t="str">
        <f>COLORES!A6</f>
        <v>Blanco</v>
      </c>
      <c r="F1055" s="67" t="str">
        <f>COLORES!B6</f>
        <v>PPT</v>
      </c>
      <c r="G1055" s="90" t="s">
        <v>379</v>
      </c>
      <c r="H1055" s="100">
        <f>IFERROR(SUMIFS(MOVIMIENTOS_COMPLEMENTOS!$I$4:$I$803,MOVIMIENTOS_COMPLEMENTOS!$C$4:$C$803,A1055,MOVIMIENTOS_COMPLEMENTOS!$D$4:$D$803,B1055,MOVIMIENTOS_COMPLEMENTOS!$E$4:$E$803,C1055,MOVIMIENTOS_COMPLEMENTOS!$G$4:$G$803,E1055,MOVIMIENTOS_COMPLEMENTOS!$H$4:$H$803,G1055,MOVIMIENTOS_COMPLEMENTOS!$B$4:$B$803,"INGRESO")+SUMIFS(MOVIMIENTOS_COMPLEMENTOS!$I$4:$I$803,MOVIMIENTOS_COMPLEMENTOS!$C$4:$C$803,A1055,MOVIMIENTOS_COMPLEMENTOS!$D$4:$D$803,B1055,MOVIMIENTOS_COMPLEMENTOS!$E$4:$E$803,C1055,MOVIMIENTOS_COMPLEMENTOS!$G$4:$G$803,E1055,MOVIMIENTOS_COMPLEMENTOS!$H$4:$H$803,G1055,MOVIMIENTOS_COMPLEMENTOS!$B$4:$B$803,"DE CORTE")-SUMIFS(MOVIMIENTOS_COMPLEMENTOS!$I$4:$I$803,MOVIMIENTOS_COMPLEMENTOS!$C$4:$C$803,A1055,MOVIMIENTOS_COMPLEMENTOS!$D$4:$D$803,B1055,MOVIMIENTOS_COMPLEMENTOS!$E$4:$E$803,C1055,MOVIMIENTOS_COMPLEMENTOS!$G$4:$G$803,E1055,MOVIMIENTOS_COMPLEMENTOS!$H$4:$H$803,G1055,MOVIMIENTOS_COMPLEMENTOS!$B$4:$B$803,"SALIDA"),0)</f>
        <v>0</v>
      </c>
      <c r="I1055" s="102">
        <f t="array" ref="I1055">IFERROR(INDEX(PRECIOS_COMPLEMENTOS!$C$4:$F$17,MATCH(B1055&amp;"_"&amp;C1055,PRECIOS_COMPLEMENTOS!$H$4:$H$17,0),IF(OR(G1055="S",G1055="20cm"),1,IF(OR(G1055="M",G1055="25cm"),2,IF(OR(G1055="L",G1055="30cm"),3,IF(OR(G1055="XL",G1055="35cm"),4,0))))),0)</f>
        <v>0.4</v>
      </c>
      <c r="J1055" s="103">
        <f t="shared" si="1"/>
        <v>0</v>
      </c>
      <c r="K1055" s="104" t="str">
        <f>IF(H1055&lt;0,"ERROR",IF(H1055=0,"",IF(H1055&lt;CONFIG!$B$4,"CRÍTICO",IF(H1055&lt;CONFIG!$B$5,"BAJO","OK"))))</f>
        <v/>
      </c>
    </row>
    <row r="1056" ht="15.75" hidden="1" customHeight="1">
      <c r="A1056" s="90" t="str">
        <f>IF(CLIENTES!A8="","",CLIENTES!A8)</f>
        <v/>
      </c>
      <c r="B1056" s="90" t="s">
        <v>321</v>
      </c>
      <c r="C1056" s="91" t="s">
        <v>328</v>
      </c>
      <c r="D1056" s="109" t="s">
        <v>353</v>
      </c>
      <c r="E1056" s="67" t="str">
        <f>COLORES!A7</f>
        <v>Azul</v>
      </c>
      <c r="F1056" s="67" t="str">
        <f>COLORES!B7</f>
        <v>OSCURO</v>
      </c>
      <c r="G1056" s="90" t="s">
        <v>378</v>
      </c>
      <c r="H1056" s="100">
        <f>IFERROR(SUMIFS(MOVIMIENTOS_COMPLEMENTOS!$I$4:$I$803,MOVIMIENTOS_COMPLEMENTOS!$C$4:$C$803,A1056,MOVIMIENTOS_COMPLEMENTOS!$D$4:$D$803,B1056,MOVIMIENTOS_COMPLEMENTOS!$E$4:$E$803,C1056,MOVIMIENTOS_COMPLEMENTOS!$G$4:$G$803,E1056,MOVIMIENTOS_COMPLEMENTOS!$H$4:$H$803,G1056,MOVIMIENTOS_COMPLEMENTOS!$B$4:$B$803,"INGRESO")+SUMIFS(MOVIMIENTOS_COMPLEMENTOS!$I$4:$I$803,MOVIMIENTOS_COMPLEMENTOS!$C$4:$C$803,A1056,MOVIMIENTOS_COMPLEMENTOS!$D$4:$D$803,B1056,MOVIMIENTOS_COMPLEMENTOS!$E$4:$E$803,C1056,MOVIMIENTOS_COMPLEMENTOS!$G$4:$G$803,E1056,MOVIMIENTOS_COMPLEMENTOS!$H$4:$H$803,G1056,MOVIMIENTOS_COMPLEMENTOS!$B$4:$B$803,"DE CORTE")-SUMIFS(MOVIMIENTOS_COMPLEMENTOS!$I$4:$I$803,MOVIMIENTOS_COMPLEMENTOS!$C$4:$C$803,A1056,MOVIMIENTOS_COMPLEMENTOS!$D$4:$D$803,B1056,MOVIMIENTOS_COMPLEMENTOS!$E$4:$E$803,C1056,MOVIMIENTOS_COMPLEMENTOS!$G$4:$G$803,E1056,MOVIMIENTOS_COMPLEMENTOS!$H$4:$H$803,G1056,MOVIMIENTOS_COMPLEMENTOS!$B$4:$B$803,"SALIDA"),0)</f>
        <v>0</v>
      </c>
      <c r="I1056" s="102">
        <f t="array" ref="I1056">IFERROR(INDEX(PRECIOS_COMPLEMENTOS!$C$4:$F$17,MATCH(B1056&amp;"_"&amp;C1056,PRECIOS_COMPLEMENTOS!$H$4:$H$17,0),IF(OR(G1056="S",G1056="20cm"),1,IF(OR(G1056="M",G1056="25cm"),2,IF(OR(G1056="L",G1056="30cm"),3,IF(OR(G1056="XL",G1056="35cm"),4,0))))),0)</f>
        <v>0.4</v>
      </c>
      <c r="J1056" s="103">
        <f t="shared" si="1"/>
        <v>0</v>
      </c>
      <c r="K1056" s="104" t="str">
        <f>IF(H1056&lt;0,"ERROR",IF(H1056=0,"",IF(H1056&lt;CONFIG!$B$4,"CRÍTICO",IF(H1056&lt;CONFIG!$B$5,"BAJO","OK"))))</f>
        <v/>
      </c>
    </row>
    <row r="1057" ht="15.75" hidden="1" customHeight="1">
      <c r="A1057" s="90" t="str">
        <f>IF(CLIENTES!A8="","",CLIENTES!A8)</f>
        <v/>
      </c>
      <c r="B1057" s="90" t="s">
        <v>321</v>
      </c>
      <c r="C1057" s="91" t="s">
        <v>328</v>
      </c>
      <c r="D1057" s="109" t="s">
        <v>353</v>
      </c>
      <c r="E1057" s="67" t="str">
        <f>COLORES!A7</f>
        <v>Azul</v>
      </c>
      <c r="F1057" s="67" t="str">
        <f>COLORES!B7</f>
        <v>OSCURO</v>
      </c>
      <c r="G1057" s="90" t="s">
        <v>376</v>
      </c>
      <c r="H1057" s="100">
        <f>IFERROR(SUMIFS(MOVIMIENTOS_COMPLEMENTOS!$I$4:$I$803,MOVIMIENTOS_COMPLEMENTOS!$C$4:$C$803,A1057,MOVIMIENTOS_COMPLEMENTOS!$D$4:$D$803,B1057,MOVIMIENTOS_COMPLEMENTOS!$E$4:$E$803,C1057,MOVIMIENTOS_COMPLEMENTOS!$G$4:$G$803,E1057,MOVIMIENTOS_COMPLEMENTOS!$H$4:$H$803,G1057,MOVIMIENTOS_COMPLEMENTOS!$B$4:$B$803,"INGRESO")+SUMIFS(MOVIMIENTOS_COMPLEMENTOS!$I$4:$I$803,MOVIMIENTOS_COMPLEMENTOS!$C$4:$C$803,A1057,MOVIMIENTOS_COMPLEMENTOS!$D$4:$D$803,B1057,MOVIMIENTOS_COMPLEMENTOS!$E$4:$E$803,C1057,MOVIMIENTOS_COMPLEMENTOS!$G$4:$G$803,E1057,MOVIMIENTOS_COMPLEMENTOS!$H$4:$H$803,G1057,MOVIMIENTOS_COMPLEMENTOS!$B$4:$B$803,"DE CORTE")-SUMIFS(MOVIMIENTOS_COMPLEMENTOS!$I$4:$I$803,MOVIMIENTOS_COMPLEMENTOS!$C$4:$C$803,A1057,MOVIMIENTOS_COMPLEMENTOS!$D$4:$D$803,B1057,MOVIMIENTOS_COMPLEMENTOS!$E$4:$E$803,C1057,MOVIMIENTOS_COMPLEMENTOS!$G$4:$G$803,E1057,MOVIMIENTOS_COMPLEMENTOS!$H$4:$H$803,G1057,MOVIMIENTOS_COMPLEMENTOS!$B$4:$B$803,"SALIDA"),0)</f>
        <v>0</v>
      </c>
      <c r="I1057" s="102">
        <f t="array" ref="I1057">IFERROR(INDEX(PRECIOS_COMPLEMENTOS!$C$4:$F$17,MATCH(B1057&amp;"_"&amp;C1057,PRECIOS_COMPLEMENTOS!$H$4:$H$17,0),IF(OR(G1057="S",G1057="20cm"),1,IF(OR(G1057="M",G1057="25cm"),2,IF(OR(G1057="L",G1057="30cm"),3,IF(OR(G1057="XL",G1057="35cm"),4,0))))),0)</f>
        <v>0.4</v>
      </c>
      <c r="J1057" s="103">
        <f t="shared" si="1"/>
        <v>0</v>
      </c>
      <c r="K1057" s="104" t="str">
        <f>IF(H1057&lt;0,"ERROR",IF(H1057=0,"",IF(H1057&lt;CONFIG!$B$4,"CRÍTICO",IF(H1057&lt;CONFIG!$B$5,"BAJO","OK"))))</f>
        <v/>
      </c>
    </row>
    <row r="1058" ht="15.75" hidden="1" customHeight="1">
      <c r="A1058" s="90" t="str">
        <f>IF(CLIENTES!A8="","",CLIENTES!A8)</f>
        <v/>
      </c>
      <c r="B1058" s="90" t="s">
        <v>321</v>
      </c>
      <c r="C1058" s="91" t="s">
        <v>328</v>
      </c>
      <c r="D1058" s="109" t="s">
        <v>353</v>
      </c>
      <c r="E1058" s="67" t="str">
        <f>COLORES!A7</f>
        <v>Azul</v>
      </c>
      <c r="F1058" s="67" t="str">
        <f>COLORES!B7</f>
        <v>OSCURO</v>
      </c>
      <c r="G1058" s="90" t="s">
        <v>377</v>
      </c>
      <c r="H1058" s="100">
        <f>IFERROR(SUMIFS(MOVIMIENTOS_COMPLEMENTOS!$I$4:$I$803,MOVIMIENTOS_COMPLEMENTOS!$C$4:$C$803,A1058,MOVIMIENTOS_COMPLEMENTOS!$D$4:$D$803,B1058,MOVIMIENTOS_COMPLEMENTOS!$E$4:$E$803,C1058,MOVIMIENTOS_COMPLEMENTOS!$G$4:$G$803,E1058,MOVIMIENTOS_COMPLEMENTOS!$H$4:$H$803,G1058,MOVIMIENTOS_COMPLEMENTOS!$B$4:$B$803,"INGRESO")+SUMIFS(MOVIMIENTOS_COMPLEMENTOS!$I$4:$I$803,MOVIMIENTOS_COMPLEMENTOS!$C$4:$C$803,A1058,MOVIMIENTOS_COMPLEMENTOS!$D$4:$D$803,B1058,MOVIMIENTOS_COMPLEMENTOS!$E$4:$E$803,C1058,MOVIMIENTOS_COMPLEMENTOS!$G$4:$G$803,E1058,MOVIMIENTOS_COMPLEMENTOS!$H$4:$H$803,G1058,MOVIMIENTOS_COMPLEMENTOS!$B$4:$B$803,"DE CORTE")-SUMIFS(MOVIMIENTOS_COMPLEMENTOS!$I$4:$I$803,MOVIMIENTOS_COMPLEMENTOS!$C$4:$C$803,A1058,MOVIMIENTOS_COMPLEMENTOS!$D$4:$D$803,B1058,MOVIMIENTOS_COMPLEMENTOS!$E$4:$E$803,C1058,MOVIMIENTOS_COMPLEMENTOS!$G$4:$G$803,E1058,MOVIMIENTOS_COMPLEMENTOS!$H$4:$H$803,G1058,MOVIMIENTOS_COMPLEMENTOS!$B$4:$B$803,"SALIDA"),0)</f>
        <v>0</v>
      </c>
      <c r="I1058" s="102">
        <f t="array" ref="I1058">IFERROR(INDEX(PRECIOS_COMPLEMENTOS!$C$4:$F$17,MATCH(B1058&amp;"_"&amp;C1058,PRECIOS_COMPLEMENTOS!$H$4:$H$17,0),IF(OR(G1058="S",G1058="20cm"),1,IF(OR(G1058="M",G1058="25cm"),2,IF(OR(G1058="L",G1058="30cm"),3,IF(OR(G1058="XL",G1058="35cm"),4,0))))),0)</f>
        <v>0.4</v>
      </c>
      <c r="J1058" s="103">
        <f t="shared" si="1"/>
        <v>0</v>
      </c>
      <c r="K1058" s="104" t="str">
        <f>IF(H1058&lt;0,"ERROR",IF(H1058=0,"",IF(H1058&lt;CONFIG!$B$4,"CRÍTICO",IF(H1058&lt;CONFIG!$B$5,"BAJO","OK"))))</f>
        <v/>
      </c>
    </row>
    <row r="1059" ht="15.75" hidden="1" customHeight="1">
      <c r="A1059" s="90" t="str">
        <f>IF(CLIENTES!A8="","",CLIENTES!A8)</f>
        <v/>
      </c>
      <c r="B1059" s="90" t="s">
        <v>321</v>
      </c>
      <c r="C1059" s="91" t="s">
        <v>328</v>
      </c>
      <c r="D1059" s="109" t="s">
        <v>353</v>
      </c>
      <c r="E1059" s="67" t="str">
        <f>COLORES!A7</f>
        <v>Azul</v>
      </c>
      <c r="F1059" s="67" t="str">
        <f>COLORES!B7</f>
        <v>OSCURO</v>
      </c>
      <c r="G1059" s="90" t="s">
        <v>379</v>
      </c>
      <c r="H1059" s="100">
        <f>IFERROR(SUMIFS(MOVIMIENTOS_COMPLEMENTOS!$I$4:$I$803,MOVIMIENTOS_COMPLEMENTOS!$C$4:$C$803,A1059,MOVIMIENTOS_COMPLEMENTOS!$D$4:$D$803,B1059,MOVIMIENTOS_COMPLEMENTOS!$E$4:$E$803,C1059,MOVIMIENTOS_COMPLEMENTOS!$G$4:$G$803,E1059,MOVIMIENTOS_COMPLEMENTOS!$H$4:$H$803,G1059,MOVIMIENTOS_COMPLEMENTOS!$B$4:$B$803,"INGRESO")+SUMIFS(MOVIMIENTOS_COMPLEMENTOS!$I$4:$I$803,MOVIMIENTOS_COMPLEMENTOS!$C$4:$C$803,A1059,MOVIMIENTOS_COMPLEMENTOS!$D$4:$D$803,B1059,MOVIMIENTOS_COMPLEMENTOS!$E$4:$E$803,C1059,MOVIMIENTOS_COMPLEMENTOS!$G$4:$G$803,E1059,MOVIMIENTOS_COMPLEMENTOS!$H$4:$H$803,G1059,MOVIMIENTOS_COMPLEMENTOS!$B$4:$B$803,"DE CORTE")-SUMIFS(MOVIMIENTOS_COMPLEMENTOS!$I$4:$I$803,MOVIMIENTOS_COMPLEMENTOS!$C$4:$C$803,A1059,MOVIMIENTOS_COMPLEMENTOS!$D$4:$D$803,B1059,MOVIMIENTOS_COMPLEMENTOS!$E$4:$E$803,C1059,MOVIMIENTOS_COMPLEMENTOS!$G$4:$G$803,E1059,MOVIMIENTOS_COMPLEMENTOS!$H$4:$H$803,G1059,MOVIMIENTOS_COMPLEMENTOS!$B$4:$B$803,"SALIDA"),0)</f>
        <v>0</v>
      </c>
      <c r="I1059" s="102">
        <f t="array" ref="I1059">IFERROR(INDEX(PRECIOS_COMPLEMENTOS!$C$4:$F$17,MATCH(B1059&amp;"_"&amp;C1059,PRECIOS_COMPLEMENTOS!$H$4:$H$17,0),IF(OR(G1059="S",G1059="20cm"),1,IF(OR(G1059="M",G1059="25cm"),2,IF(OR(G1059="L",G1059="30cm"),3,IF(OR(G1059="XL",G1059="35cm"),4,0))))),0)</f>
        <v>0.4</v>
      </c>
      <c r="J1059" s="103">
        <f t="shared" si="1"/>
        <v>0</v>
      </c>
      <c r="K1059" s="104" t="str">
        <f>IF(H1059&lt;0,"ERROR",IF(H1059=0,"",IF(H1059&lt;CONFIG!$B$4,"CRÍTICO",IF(H1059&lt;CONFIG!$B$5,"BAJO","OK"))))</f>
        <v/>
      </c>
    </row>
    <row r="1060" ht="15.75" hidden="1" customHeight="1">
      <c r="A1060" s="90" t="str">
        <f>IF(CLIENTES!A8="","",CLIENTES!A8)</f>
        <v/>
      </c>
      <c r="B1060" s="90" t="s">
        <v>321</v>
      </c>
      <c r="C1060" s="91" t="s">
        <v>328</v>
      </c>
      <c r="D1060" s="109" t="s">
        <v>353</v>
      </c>
      <c r="E1060" s="67" t="str">
        <f>COLORES!A8</f>
        <v>Beige</v>
      </c>
      <c r="F1060" s="67" t="str">
        <f>COLORES!B8</f>
        <v>CLARO</v>
      </c>
      <c r="G1060" s="90" t="s">
        <v>378</v>
      </c>
      <c r="H1060" s="100">
        <f>IFERROR(SUMIFS(MOVIMIENTOS_COMPLEMENTOS!$I$4:$I$803,MOVIMIENTOS_COMPLEMENTOS!$C$4:$C$803,A1060,MOVIMIENTOS_COMPLEMENTOS!$D$4:$D$803,B1060,MOVIMIENTOS_COMPLEMENTOS!$E$4:$E$803,C1060,MOVIMIENTOS_COMPLEMENTOS!$G$4:$G$803,E1060,MOVIMIENTOS_COMPLEMENTOS!$H$4:$H$803,G1060,MOVIMIENTOS_COMPLEMENTOS!$B$4:$B$803,"INGRESO")+SUMIFS(MOVIMIENTOS_COMPLEMENTOS!$I$4:$I$803,MOVIMIENTOS_COMPLEMENTOS!$C$4:$C$803,A1060,MOVIMIENTOS_COMPLEMENTOS!$D$4:$D$803,B1060,MOVIMIENTOS_COMPLEMENTOS!$E$4:$E$803,C1060,MOVIMIENTOS_COMPLEMENTOS!$G$4:$G$803,E1060,MOVIMIENTOS_COMPLEMENTOS!$H$4:$H$803,G1060,MOVIMIENTOS_COMPLEMENTOS!$B$4:$B$803,"DE CORTE")-SUMIFS(MOVIMIENTOS_COMPLEMENTOS!$I$4:$I$803,MOVIMIENTOS_COMPLEMENTOS!$C$4:$C$803,A1060,MOVIMIENTOS_COMPLEMENTOS!$D$4:$D$803,B1060,MOVIMIENTOS_COMPLEMENTOS!$E$4:$E$803,C1060,MOVIMIENTOS_COMPLEMENTOS!$G$4:$G$803,E1060,MOVIMIENTOS_COMPLEMENTOS!$H$4:$H$803,G1060,MOVIMIENTOS_COMPLEMENTOS!$B$4:$B$803,"SALIDA"),0)</f>
        <v>0</v>
      </c>
      <c r="I1060" s="102">
        <f t="array" ref="I1060">IFERROR(INDEX(PRECIOS_COMPLEMENTOS!$C$4:$F$17,MATCH(B1060&amp;"_"&amp;C1060,PRECIOS_COMPLEMENTOS!$H$4:$H$17,0),IF(OR(G1060="S",G1060="20cm"),1,IF(OR(G1060="M",G1060="25cm"),2,IF(OR(G1060="L",G1060="30cm"),3,IF(OR(G1060="XL",G1060="35cm"),4,0))))),0)</f>
        <v>0.4</v>
      </c>
      <c r="J1060" s="103">
        <f t="shared" si="1"/>
        <v>0</v>
      </c>
      <c r="K1060" s="104" t="str">
        <f>IF(H1060&lt;0,"ERROR",IF(H1060=0,"",IF(H1060&lt;CONFIG!$B$4,"CRÍTICO",IF(H1060&lt;CONFIG!$B$5,"BAJO","OK"))))</f>
        <v/>
      </c>
    </row>
    <row r="1061" ht="15.75" hidden="1" customHeight="1">
      <c r="A1061" s="90" t="str">
        <f>IF(CLIENTES!A8="","",CLIENTES!A8)</f>
        <v/>
      </c>
      <c r="B1061" s="90" t="s">
        <v>321</v>
      </c>
      <c r="C1061" s="91" t="s">
        <v>328</v>
      </c>
      <c r="D1061" s="109" t="s">
        <v>353</v>
      </c>
      <c r="E1061" s="67" t="str">
        <f>COLORES!A8</f>
        <v>Beige</v>
      </c>
      <c r="F1061" s="67" t="str">
        <f>COLORES!B8</f>
        <v>CLARO</v>
      </c>
      <c r="G1061" s="90" t="s">
        <v>376</v>
      </c>
      <c r="H1061" s="100">
        <f>IFERROR(SUMIFS(MOVIMIENTOS_COMPLEMENTOS!$I$4:$I$803,MOVIMIENTOS_COMPLEMENTOS!$C$4:$C$803,A1061,MOVIMIENTOS_COMPLEMENTOS!$D$4:$D$803,B1061,MOVIMIENTOS_COMPLEMENTOS!$E$4:$E$803,C1061,MOVIMIENTOS_COMPLEMENTOS!$G$4:$G$803,E1061,MOVIMIENTOS_COMPLEMENTOS!$H$4:$H$803,G1061,MOVIMIENTOS_COMPLEMENTOS!$B$4:$B$803,"INGRESO")+SUMIFS(MOVIMIENTOS_COMPLEMENTOS!$I$4:$I$803,MOVIMIENTOS_COMPLEMENTOS!$C$4:$C$803,A1061,MOVIMIENTOS_COMPLEMENTOS!$D$4:$D$803,B1061,MOVIMIENTOS_COMPLEMENTOS!$E$4:$E$803,C1061,MOVIMIENTOS_COMPLEMENTOS!$G$4:$G$803,E1061,MOVIMIENTOS_COMPLEMENTOS!$H$4:$H$803,G1061,MOVIMIENTOS_COMPLEMENTOS!$B$4:$B$803,"DE CORTE")-SUMIFS(MOVIMIENTOS_COMPLEMENTOS!$I$4:$I$803,MOVIMIENTOS_COMPLEMENTOS!$C$4:$C$803,A1061,MOVIMIENTOS_COMPLEMENTOS!$D$4:$D$803,B1061,MOVIMIENTOS_COMPLEMENTOS!$E$4:$E$803,C1061,MOVIMIENTOS_COMPLEMENTOS!$G$4:$G$803,E1061,MOVIMIENTOS_COMPLEMENTOS!$H$4:$H$803,G1061,MOVIMIENTOS_COMPLEMENTOS!$B$4:$B$803,"SALIDA"),0)</f>
        <v>0</v>
      </c>
      <c r="I1061" s="102">
        <f t="array" ref="I1061">IFERROR(INDEX(PRECIOS_COMPLEMENTOS!$C$4:$F$17,MATCH(B1061&amp;"_"&amp;C1061,PRECIOS_COMPLEMENTOS!$H$4:$H$17,0),IF(OR(G1061="S",G1061="20cm"),1,IF(OR(G1061="M",G1061="25cm"),2,IF(OR(G1061="L",G1061="30cm"),3,IF(OR(G1061="XL",G1061="35cm"),4,0))))),0)</f>
        <v>0.4</v>
      </c>
      <c r="J1061" s="103">
        <f t="shared" si="1"/>
        <v>0</v>
      </c>
      <c r="K1061" s="104" t="str">
        <f>IF(H1061&lt;0,"ERROR",IF(H1061=0,"",IF(H1061&lt;CONFIG!$B$4,"CRÍTICO",IF(H1061&lt;CONFIG!$B$5,"BAJO","OK"))))</f>
        <v/>
      </c>
    </row>
    <row r="1062" ht="15.75" hidden="1" customHeight="1">
      <c r="A1062" s="90" t="str">
        <f>IF(CLIENTES!A8="","",CLIENTES!A8)</f>
        <v/>
      </c>
      <c r="B1062" s="90" t="s">
        <v>321</v>
      </c>
      <c r="C1062" s="91" t="s">
        <v>328</v>
      </c>
      <c r="D1062" s="109" t="s">
        <v>353</v>
      </c>
      <c r="E1062" s="67" t="str">
        <f>COLORES!A8</f>
        <v>Beige</v>
      </c>
      <c r="F1062" s="67" t="str">
        <f>COLORES!B8</f>
        <v>CLARO</v>
      </c>
      <c r="G1062" s="90" t="s">
        <v>377</v>
      </c>
      <c r="H1062" s="100">
        <f>IFERROR(SUMIFS(MOVIMIENTOS_COMPLEMENTOS!$I$4:$I$803,MOVIMIENTOS_COMPLEMENTOS!$C$4:$C$803,A1062,MOVIMIENTOS_COMPLEMENTOS!$D$4:$D$803,B1062,MOVIMIENTOS_COMPLEMENTOS!$E$4:$E$803,C1062,MOVIMIENTOS_COMPLEMENTOS!$G$4:$G$803,E1062,MOVIMIENTOS_COMPLEMENTOS!$H$4:$H$803,G1062,MOVIMIENTOS_COMPLEMENTOS!$B$4:$B$803,"INGRESO")+SUMIFS(MOVIMIENTOS_COMPLEMENTOS!$I$4:$I$803,MOVIMIENTOS_COMPLEMENTOS!$C$4:$C$803,A1062,MOVIMIENTOS_COMPLEMENTOS!$D$4:$D$803,B1062,MOVIMIENTOS_COMPLEMENTOS!$E$4:$E$803,C1062,MOVIMIENTOS_COMPLEMENTOS!$G$4:$G$803,E1062,MOVIMIENTOS_COMPLEMENTOS!$H$4:$H$803,G1062,MOVIMIENTOS_COMPLEMENTOS!$B$4:$B$803,"DE CORTE")-SUMIFS(MOVIMIENTOS_COMPLEMENTOS!$I$4:$I$803,MOVIMIENTOS_COMPLEMENTOS!$C$4:$C$803,A1062,MOVIMIENTOS_COMPLEMENTOS!$D$4:$D$803,B1062,MOVIMIENTOS_COMPLEMENTOS!$E$4:$E$803,C1062,MOVIMIENTOS_COMPLEMENTOS!$G$4:$G$803,E1062,MOVIMIENTOS_COMPLEMENTOS!$H$4:$H$803,G1062,MOVIMIENTOS_COMPLEMENTOS!$B$4:$B$803,"SALIDA"),0)</f>
        <v>0</v>
      </c>
      <c r="I1062" s="102">
        <f t="array" ref="I1062">IFERROR(INDEX(PRECIOS_COMPLEMENTOS!$C$4:$F$17,MATCH(B1062&amp;"_"&amp;C1062,PRECIOS_COMPLEMENTOS!$H$4:$H$17,0),IF(OR(G1062="S",G1062="20cm"),1,IF(OR(G1062="M",G1062="25cm"),2,IF(OR(G1062="L",G1062="30cm"),3,IF(OR(G1062="XL",G1062="35cm"),4,0))))),0)</f>
        <v>0.4</v>
      </c>
      <c r="J1062" s="103">
        <f t="shared" si="1"/>
        <v>0</v>
      </c>
      <c r="K1062" s="104" t="str">
        <f>IF(H1062&lt;0,"ERROR",IF(H1062=0,"",IF(H1062&lt;CONFIG!$B$4,"CRÍTICO",IF(H1062&lt;CONFIG!$B$5,"BAJO","OK"))))</f>
        <v/>
      </c>
    </row>
    <row r="1063" ht="15.75" hidden="1" customHeight="1">
      <c r="A1063" s="90" t="str">
        <f>IF(CLIENTES!A8="","",CLIENTES!A8)</f>
        <v/>
      </c>
      <c r="B1063" s="90" t="s">
        <v>321</v>
      </c>
      <c r="C1063" s="91" t="s">
        <v>328</v>
      </c>
      <c r="D1063" s="109" t="s">
        <v>353</v>
      </c>
      <c r="E1063" s="67" t="str">
        <f>COLORES!A8</f>
        <v>Beige</v>
      </c>
      <c r="F1063" s="67" t="str">
        <f>COLORES!B8</f>
        <v>CLARO</v>
      </c>
      <c r="G1063" s="90" t="s">
        <v>379</v>
      </c>
      <c r="H1063" s="100">
        <f>IFERROR(SUMIFS(MOVIMIENTOS_COMPLEMENTOS!$I$4:$I$803,MOVIMIENTOS_COMPLEMENTOS!$C$4:$C$803,A1063,MOVIMIENTOS_COMPLEMENTOS!$D$4:$D$803,B1063,MOVIMIENTOS_COMPLEMENTOS!$E$4:$E$803,C1063,MOVIMIENTOS_COMPLEMENTOS!$G$4:$G$803,E1063,MOVIMIENTOS_COMPLEMENTOS!$H$4:$H$803,G1063,MOVIMIENTOS_COMPLEMENTOS!$B$4:$B$803,"INGRESO")+SUMIFS(MOVIMIENTOS_COMPLEMENTOS!$I$4:$I$803,MOVIMIENTOS_COMPLEMENTOS!$C$4:$C$803,A1063,MOVIMIENTOS_COMPLEMENTOS!$D$4:$D$803,B1063,MOVIMIENTOS_COMPLEMENTOS!$E$4:$E$803,C1063,MOVIMIENTOS_COMPLEMENTOS!$G$4:$G$803,E1063,MOVIMIENTOS_COMPLEMENTOS!$H$4:$H$803,G1063,MOVIMIENTOS_COMPLEMENTOS!$B$4:$B$803,"DE CORTE")-SUMIFS(MOVIMIENTOS_COMPLEMENTOS!$I$4:$I$803,MOVIMIENTOS_COMPLEMENTOS!$C$4:$C$803,A1063,MOVIMIENTOS_COMPLEMENTOS!$D$4:$D$803,B1063,MOVIMIENTOS_COMPLEMENTOS!$E$4:$E$803,C1063,MOVIMIENTOS_COMPLEMENTOS!$G$4:$G$803,E1063,MOVIMIENTOS_COMPLEMENTOS!$H$4:$H$803,G1063,MOVIMIENTOS_COMPLEMENTOS!$B$4:$B$803,"SALIDA"),0)</f>
        <v>0</v>
      </c>
      <c r="I1063" s="102">
        <f t="array" ref="I1063">IFERROR(INDEX(PRECIOS_COMPLEMENTOS!$C$4:$F$17,MATCH(B1063&amp;"_"&amp;C1063,PRECIOS_COMPLEMENTOS!$H$4:$H$17,0),IF(OR(G1063="S",G1063="20cm"),1,IF(OR(G1063="M",G1063="25cm"),2,IF(OR(G1063="L",G1063="30cm"),3,IF(OR(G1063="XL",G1063="35cm"),4,0))))),0)</f>
        <v>0.4</v>
      </c>
      <c r="J1063" s="103">
        <f t="shared" si="1"/>
        <v>0</v>
      </c>
      <c r="K1063" s="104" t="str">
        <f>IF(H1063&lt;0,"ERROR",IF(H1063=0,"",IF(H1063&lt;CONFIG!$B$4,"CRÍTICO",IF(H1063&lt;CONFIG!$B$5,"BAJO","OK"))))</f>
        <v/>
      </c>
    </row>
    <row r="1064" ht="15.75" hidden="1" customHeight="1">
      <c r="A1064" s="90" t="str">
        <f>IF(CLIENTES!A8="","",CLIENTES!A8)</f>
        <v/>
      </c>
      <c r="B1064" s="90" t="s">
        <v>321</v>
      </c>
      <c r="C1064" s="91" t="s">
        <v>328</v>
      </c>
      <c r="D1064" s="109" t="s">
        <v>353</v>
      </c>
      <c r="E1064" s="67" t="str">
        <f>COLORES!A9</f>
        <v>Melange</v>
      </c>
      <c r="F1064" s="67" t="str">
        <f>COLORES!B9</f>
        <v>MELANGE</v>
      </c>
      <c r="G1064" s="90" t="s">
        <v>378</v>
      </c>
      <c r="H1064" s="100">
        <f>IFERROR(SUMIFS(MOVIMIENTOS_COMPLEMENTOS!$I$4:$I$803,MOVIMIENTOS_COMPLEMENTOS!$C$4:$C$803,A1064,MOVIMIENTOS_COMPLEMENTOS!$D$4:$D$803,B1064,MOVIMIENTOS_COMPLEMENTOS!$E$4:$E$803,C1064,MOVIMIENTOS_COMPLEMENTOS!$G$4:$G$803,E1064,MOVIMIENTOS_COMPLEMENTOS!$H$4:$H$803,G1064,MOVIMIENTOS_COMPLEMENTOS!$B$4:$B$803,"INGRESO")+SUMIFS(MOVIMIENTOS_COMPLEMENTOS!$I$4:$I$803,MOVIMIENTOS_COMPLEMENTOS!$C$4:$C$803,A1064,MOVIMIENTOS_COMPLEMENTOS!$D$4:$D$803,B1064,MOVIMIENTOS_COMPLEMENTOS!$E$4:$E$803,C1064,MOVIMIENTOS_COMPLEMENTOS!$G$4:$G$803,E1064,MOVIMIENTOS_COMPLEMENTOS!$H$4:$H$803,G1064,MOVIMIENTOS_COMPLEMENTOS!$B$4:$B$803,"DE CORTE")-SUMIFS(MOVIMIENTOS_COMPLEMENTOS!$I$4:$I$803,MOVIMIENTOS_COMPLEMENTOS!$C$4:$C$803,A1064,MOVIMIENTOS_COMPLEMENTOS!$D$4:$D$803,B1064,MOVIMIENTOS_COMPLEMENTOS!$E$4:$E$803,C1064,MOVIMIENTOS_COMPLEMENTOS!$G$4:$G$803,E1064,MOVIMIENTOS_COMPLEMENTOS!$H$4:$H$803,G1064,MOVIMIENTOS_COMPLEMENTOS!$B$4:$B$803,"SALIDA"),0)</f>
        <v>0</v>
      </c>
      <c r="I1064" s="102">
        <f t="array" ref="I1064">IFERROR(INDEX(PRECIOS_COMPLEMENTOS!$C$4:$F$17,MATCH(B1064&amp;"_"&amp;C1064,PRECIOS_COMPLEMENTOS!$H$4:$H$17,0),IF(OR(G1064="S",G1064="20cm"),1,IF(OR(G1064="M",G1064="25cm"),2,IF(OR(G1064="L",G1064="30cm"),3,IF(OR(G1064="XL",G1064="35cm"),4,0))))),0)</f>
        <v>0.4</v>
      </c>
      <c r="J1064" s="103">
        <f t="shared" si="1"/>
        <v>0</v>
      </c>
      <c r="K1064" s="104" t="str">
        <f>IF(H1064&lt;0,"ERROR",IF(H1064=0,"",IF(H1064&lt;CONFIG!$B$4,"CRÍTICO",IF(H1064&lt;CONFIG!$B$5,"BAJO","OK"))))</f>
        <v/>
      </c>
    </row>
    <row r="1065" ht="15.75" hidden="1" customHeight="1">
      <c r="A1065" s="90" t="str">
        <f>IF(CLIENTES!A8="","",CLIENTES!A8)</f>
        <v/>
      </c>
      <c r="B1065" s="90" t="s">
        <v>321</v>
      </c>
      <c r="C1065" s="91" t="s">
        <v>328</v>
      </c>
      <c r="D1065" s="109" t="s">
        <v>353</v>
      </c>
      <c r="E1065" s="67" t="str">
        <f>COLORES!A9</f>
        <v>Melange</v>
      </c>
      <c r="F1065" s="67" t="str">
        <f>COLORES!B9</f>
        <v>MELANGE</v>
      </c>
      <c r="G1065" s="90" t="s">
        <v>376</v>
      </c>
      <c r="H1065" s="100">
        <f>IFERROR(SUMIFS(MOVIMIENTOS_COMPLEMENTOS!$I$4:$I$803,MOVIMIENTOS_COMPLEMENTOS!$C$4:$C$803,A1065,MOVIMIENTOS_COMPLEMENTOS!$D$4:$D$803,B1065,MOVIMIENTOS_COMPLEMENTOS!$E$4:$E$803,C1065,MOVIMIENTOS_COMPLEMENTOS!$G$4:$G$803,E1065,MOVIMIENTOS_COMPLEMENTOS!$H$4:$H$803,G1065,MOVIMIENTOS_COMPLEMENTOS!$B$4:$B$803,"INGRESO")+SUMIFS(MOVIMIENTOS_COMPLEMENTOS!$I$4:$I$803,MOVIMIENTOS_COMPLEMENTOS!$C$4:$C$803,A1065,MOVIMIENTOS_COMPLEMENTOS!$D$4:$D$803,B1065,MOVIMIENTOS_COMPLEMENTOS!$E$4:$E$803,C1065,MOVIMIENTOS_COMPLEMENTOS!$G$4:$G$803,E1065,MOVIMIENTOS_COMPLEMENTOS!$H$4:$H$803,G1065,MOVIMIENTOS_COMPLEMENTOS!$B$4:$B$803,"DE CORTE")-SUMIFS(MOVIMIENTOS_COMPLEMENTOS!$I$4:$I$803,MOVIMIENTOS_COMPLEMENTOS!$C$4:$C$803,A1065,MOVIMIENTOS_COMPLEMENTOS!$D$4:$D$803,B1065,MOVIMIENTOS_COMPLEMENTOS!$E$4:$E$803,C1065,MOVIMIENTOS_COMPLEMENTOS!$G$4:$G$803,E1065,MOVIMIENTOS_COMPLEMENTOS!$H$4:$H$803,G1065,MOVIMIENTOS_COMPLEMENTOS!$B$4:$B$803,"SALIDA"),0)</f>
        <v>0</v>
      </c>
      <c r="I1065" s="102">
        <f t="array" ref="I1065">IFERROR(INDEX(PRECIOS_COMPLEMENTOS!$C$4:$F$17,MATCH(B1065&amp;"_"&amp;C1065,PRECIOS_COMPLEMENTOS!$H$4:$H$17,0),IF(OR(G1065="S",G1065="20cm"),1,IF(OR(G1065="M",G1065="25cm"),2,IF(OR(G1065="L",G1065="30cm"),3,IF(OR(G1065="XL",G1065="35cm"),4,0))))),0)</f>
        <v>0.4</v>
      </c>
      <c r="J1065" s="103">
        <f t="shared" si="1"/>
        <v>0</v>
      </c>
      <c r="K1065" s="104" t="str">
        <f>IF(H1065&lt;0,"ERROR",IF(H1065=0,"",IF(H1065&lt;CONFIG!$B$4,"CRÍTICO",IF(H1065&lt;CONFIG!$B$5,"BAJO","OK"))))</f>
        <v/>
      </c>
    </row>
    <row r="1066" ht="15.75" hidden="1" customHeight="1">
      <c r="A1066" s="90" t="str">
        <f>IF(CLIENTES!A8="","",CLIENTES!A8)</f>
        <v/>
      </c>
      <c r="B1066" s="90" t="s">
        <v>321</v>
      </c>
      <c r="C1066" s="91" t="s">
        <v>328</v>
      </c>
      <c r="D1066" s="109" t="s">
        <v>353</v>
      </c>
      <c r="E1066" s="67" t="str">
        <f>COLORES!A9</f>
        <v>Melange</v>
      </c>
      <c r="F1066" s="67" t="str">
        <f>COLORES!B9</f>
        <v>MELANGE</v>
      </c>
      <c r="G1066" s="90" t="s">
        <v>377</v>
      </c>
      <c r="H1066" s="100">
        <f>IFERROR(SUMIFS(MOVIMIENTOS_COMPLEMENTOS!$I$4:$I$803,MOVIMIENTOS_COMPLEMENTOS!$C$4:$C$803,A1066,MOVIMIENTOS_COMPLEMENTOS!$D$4:$D$803,B1066,MOVIMIENTOS_COMPLEMENTOS!$E$4:$E$803,C1066,MOVIMIENTOS_COMPLEMENTOS!$G$4:$G$803,E1066,MOVIMIENTOS_COMPLEMENTOS!$H$4:$H$803,G1066,MOVIMIENTOS_COMPLEMENTOS!$B$4:$B$803,"INGRESO")+SUMIFS(MOVIMIENTOS_COMPLEMENTOS!$I$4:$I$803,MOVIMIENTOS_COMPLEMENTOS!$C$4:$C$803,A1066,MOVIMIENTOS_COMPLEMENTOS!$D$4:$D$803,B1066,MOVIMIENTOS_COMPLEMENTOS!$E$4:$E$803,C1066,MOVIMIENTOS_COMPLEMENTOS!$G$4:$G$803,E1066,MOVIMIENTOS_COMPLEMENTOS!$H$4:$H$803,G1066,MOVIMIENTOS_COMPLEMENTOS!$B$4:$B$803,"DE CORTE")-SUMIFS(MOVIMIENTOS_COMPLEMENTOS!$I$4:$I$803,MOVIMIENTOS_COMPLEMENTOS!$C$4:$C$803,A1066,MOVIMIENTOS_COMPLEMENTOS!$D$4:$D$803,B1066,MOVIMIENTOS_COMPLEMENTOS!$E$4:$E$803,C1066,MOVIMIENTOS_COMPLEMENTOS!$G$4:$G$803,E1066,MOVIMIENTOS_COMPLEMENTOS!$H$4:$H$803,G1066,MOVIMIENTOS_COMPLEMENTOS!$B$4:$B$803,"SALIDA"),0)</f>
        <v>0</v>
      </c>
      <c r="I1066" s="102">
        <f t="array" ref="I1066">IFERROR(INDEX(PRECIOS_COMPLEMENTOS!$C$4:$F$17,MATCH(B1066&amp;"_"&amp;C1066,PRECIOS_COMPLEMENTOS!$H$4:$H$17,0),IF(OR(G1066="S",G1066="20cm"),1,IF(OR(G1066="M",G1066="25cm"),2,IF(OR(G1066="L",G1066="30cm"),3,IF(OR(G1066="XL",G1066="35cm"),4,0))))),0)</f>
        <v>0.4</v>
      </c>
      <c r="J1066" s="103">
        <f t="shared" si="1"/>
        <v>0</v>
      </c>
      <c r="K1066" s="104" t="str">
        <f>IF(H1066&lt;0,"ERROR",IF(H1066=0,"",IF(H1066&lt;CONFIG!$B$4,"CRÍTICO",IF(H1066&lt;CONFIG!$B$5,"BAJO","OK"))))</f>
        <v/>
      </c>
    </row>
    <row r="1067" ht="15.75" hidden="1" customHeight="1">
      <c r="A1067" s="90" t="str">
        <f>IF(CLIENTES!A8="","",CLIENTES!A8)</f>
        <v/>
      </c>
      <c r="B1067" s="90" t="s">
        <v>321</v>
      </c>
      <c r="C1067" s="91" t="s">
        <v>328</v>
      </c>
      <c r="D1067" s="109" t="s">
        <v>353</v>
      </c>
      <c r="E1067" s="67" t="str">
        <f>COLORES!A9</f>
        <v>Melange</v>
      </c>
      <c r="F1067" s="67" t="str">
        <f>COLORES!B9</f>
        <v>MELANGE</v>
      </c>
      <c r="G1067" s="90" t="s">
        <v>379</v>
      </c>
      <c r="H1067" s="100">
        <f>IFERROR(SUMIFS(MOVIMIENTOS_COMPLEMENTOS!$I$4:$I$803,MOVIMIENTOS_COMPLEMENTOS!$C$4:$C$803,A1067,MOVIMIENTOS_COMPLEMENTOS!$D$4:$D$803,B1067,MOVIMIENTOS_COMPLEMENTOS!$E$4:$E$803,C1067,MOVIMIENTOS_COMPLEMENTOS!$G$4:$G$803,E1067,MOVIMIENTOS_COMPLEMENTOS!$H$4:$H$803,G1067,MOVIMIENTOS_COMPLEMENTOS!$B$4:$B$803,"INGRESO")+SUMIFS(MOVIMIENTOS_COMPLEMENTOS!$I$4:$I$803,MOVIMIENTOS_COMPLEMENTOS!$C$4:$C$803,A1067,MOVIMIENTOS_COMPLEMENTOS!$D$4:$D$803,B1067,MOVIMIENTOS_COMPLEMENTOS!$E$4:$E$803,C1067,MOVIMIENTOS_COMPLEMENTOS!$G$4:$G$803,E1067,MOVIMIENTOS_COMPLEMENTOS!$H$4:$H$803,G1067,MOVIMIENTOS_COMPLEMENTOS!$B$4:$B$803,"DE CORTE")-SUMIFS(MOVIMIENTOS_COMPLEMENTOS!$I$4:$I$803,MOVIMIENTOS_COMPLEMENTOS!$C$4:$C$803,A1067,MOVIMIENTOS_COMPLEMENTOS!$D$4:$D$803,B1067,MOVIMIENTOS_COMPLEMENTOS!$E$4:$E$803,C1067,MOVIMIENTOS_COMPLEMENTOS!$G$4:$G$803,E1067,MOVIMIENTOS_COMPLEMENTOS!$H$4:$H$803,G1067,MOVIMIENTOS_COMPLEMENTOS!$B$4:$B$803,"SALIDA"),0)</f>
        <v>0</v>
      </c>
      <c r="I1067" s="102">
        <f t="array" ref="I1067">IFERROR(INDEX(PRECIOS_COMPLEMENTOS!$C$4:$F$17,MATCH(B1067&amp;"_"&amp;C1067,PRECIOS_COMPLEMENTOS!$H$4:$H$17,0),IF(OR(G1067="S",G1067="20cm"),1,IF(OR(G1067="M",G1067="25cm"),2,IF(OR(G1067="L",G1067="30cm"),3,IF(OR(G1067="XL",G1067="35cm"),4,0))))),0)</f>
        <v>0.4</v>
      </c>
      <c r="J1067" s="103">
        <f t="shared" si="1"/>
        <v>0</v>
      </c>
      <c r="K1067" s="104" t="str">
        <f>IF(H1067&lt;0,"ERROR",IF(H1067=0,"",IF(H1067&lt;CONFIG!$B$4,"CRÍTICO",IF(H1067&lt;CONFIG!$B$5,"BAJO","OK"))))</f>
        <v/>
      </c>
    </row>
    <row r="1068" ht="15.75" hidden="1" customHeight="1">
      <c r="A1068" s="90" t="str">
        <f>IF(CLIENTES!A8="","",CLIENTES!A8)</f>
        <v/>
      </c>
      <c r="B1068" s="90" t="s">
        <v>321</v>
      </c>
      <c r="C1068" s="91" t="s">
        <v>328</v>
      </c>
      <c r="D1068" s="109" t="s">
        <v>353</v>
      </c>
      <c r="E1068" s="67" t="str">
        <f>COLORES!A10</f>
        <v>Botella</v>
      </c>
      <c r="F1068" s="67" t="str">
        <f>COLORES!B10</f>
        <v>OSCURO</v>
      </c>
      <c r="G1068" s="90" t="s">
        <v>378</v>
      </c>
      <c r="H1068" s="100">
        <f>IFERROR(SUMIFS(MOVIMIENTOS_COMPLEMENTOS!$I$4:$I$803,MOVIMIENTOS_COMPLEMENTOS!$C$4:$C$803,A1068,MOVIMIENTOS_COMPLEMENTOS!$D$4:$D$803,B1068,MOVIMIENTOS_COMPLEMENTOS!$E$4:$E$803,C1068,MOVIMIENTOS_COMPLEMENTOS!$G$4:$G$803,E1068,MOVIMIENTOS_COMPLEMENTOS!$H$4:$H$803,G1068,MOVIMIENTOS_COMPLEMENTOS!$B$4:$B$803,"INGRESO")+SUMIFS(MOVIMIENTOS_COMPLEMENTOS!$I$4:$I$803,MOVIMIENTOS_COMPLEMENTOS!$C$4:$C$803,A1068,MOVIMIENTOS_COMPLEMENTOS!$D$4:$D$803,B1068,MOVIMIENTOS_COMPLEMENTOS!$E$4:$E$803,C1068,MOVIMIENTOS_COMPLEMENTOS!$G$4:$G$803,E1068,MOVIMIENTOS_COMPLEMENTOS!$H$4:$H$803,G1068,MOVIMIENTOS_COMPLEMENTOS!$B$4:$B$803,"DE CORTE")-SUMIFS(MOVIMIENTOS_COMPLEMENTOS!$I$4:$I$803,MOVIMIENTOS_COMPLEMENTOS!$C$4:$C$803,A1068,MOVIMIENTOS_COMPLEMENTOS!$D$4:$D$803,B1068,MOVIMIENTOS_COMPLEMENTOS!$E$4:$E$803,C1068,MOVIMIENTOS_COMPLEMENTOS!$G$4:$G$803,E1068,MOVIMIENTOS_COMPLEMENTOS!$H$4:$H$803,G1068,MOVIMIENTOS_COMPLEMENTOS!$B$4:$B$803,"SALIDA"),0)</f>
        <v>0</v>
      </c>
      <c r="I1068" s="102">
        <f t="array" ref="I1068">IFERROR(INDEX(PRECIOS_COMPLEMENTOS!$C$4:$F$17,MATCH(B1068&amp;"_"&amp;C1068,PRECIOS_COMPLEMENTOS!$H$4:$H$17,0),IF(OR(G1068="S",G1068="20cm"),1,IF(OR(G1068="M",G1068="25cm"),2,IF(OR(G1068="L",G1068="30cm"),3,IF(OR(G1068="XL",G1068="35cm"),4,0))))),0)</f>
        <v>0.4</v>
      </c>
      <c r="J1068" s="103">
        <f t="shared" si="1"/>
        <v>0</v>
      </c>
      <c r="K1068" s="104" t="str">
        <f>IF(H1068&lt;0,"ERROR",IF(H1068=0,"",IF(H1068&lt;CONFIG!$B$4,"CRÍTICO",IF(H1068&lt;CONFIG!$B$5,"BAJO","OK"))))</f>
        <v/>
      </c>
    </row>
    <row r="1069" ht="15.75" hidden="1" customHeight="1">
      <c r="A1069" s="90" t="str">
        <f>IF(CLIENTES!A8="","",CLIENTES!A8)</f>
        <v/>
      </c>
      <c r="B1069" s="90" t="s">
        <v>321</v>
      </c>
      <c r="C1069" s="91" t="s">
        <v>328</v>
      </c>
      <c r="D1069" s="109" t="s">
        <v>353</v>
      </c>
      <c r="E1069" s="67" t="str">
        <f>COLORES!A10</f>
        <v>Botella</v>
      </c>
      <c r="F1069" s="67" t="str">
        <f>COLORES!B10</f>
        <v>OSCURO</v>
      </c>
      <c r="G1069" s="90" t="s">
        <v>376</v>
      </c>
      <c r="H1069" s="100">
        <f>IFERROR(SUMIFS(MOVIMIENTOS_COMPLEMENTOS!$I$4:$I$803,MOVIMIENTOS_COMPLEMENTOS!$C$4:$C$803,A1069,MOVIMIENTOS_COMPLEMENTOS!$D$4:$D$803,B1069,MOVIMIENTOS_COMPLEMENTOS!$E$4:$E$803,C1069,MOVIMIENTOS_COMPLEMENTOS!$G$4:$G$803,E1069,MOVIMIENTOS_COMPLEMENTOS!$H$4:$H$803,G1069,MOVIMIENTOS_COMPLEMENTOS!$B$4:$B$803,"INGRESO")+SUMIFS(MOVIMIENTOS_COMPLEMENTOS!$I$4:$I$803,MOVIMIENTOS_COMPLEMENTOS!$C$4:$C$803,A1069,MOVIMIENTOS_COMPLEMENTOS!$D$4:$D$803,B1069,MOVIMIENTOS_COMPLEMENTOS!$E$4:$E$803,C1069,MOVIMIENTOS_COMPLEMENTOS!$G$4:$G$803,E1069,MOVIMIENTOS_COMPLEMENTOS!$H$4:$H$803,G1069,MOVIMIENTOS_COMPLEMENTOS!$B$4:$B$803,"DE CORTE")-SUMIFS(MOVIMIENTOS_COMPLEMENTOS!$I$4:$I$803,MOVIMIENTOS_COMPLEMENTOS!$C$4:$C$803,A1069,MOVIMIENTOS_COMPLEMENTOS!$D$4:$D$803,B1069,MOVIMIENTOS_COMPLEMENTOS!$E$4:$E$803,C1069,MOVIMIENTOS_COMPLEMENTOS!$G$4:$G$803,E1069,MOVIMIENTOS_COMPLEMENTOS!$H$4:$H$803,G1069,MOVIMIENTOS_COMPLEMENTOS!$B$4:$B$803,"SALIDA"),0)</f>
        <v>0</v>
      </c>
      <c r="I1069" s="102">
        <f t="array" ref="I1069">IFERROR(INDEX(PRECIOS_COMPLEMENTOS!$C$4:$F$17,MATCH(B1069&amp;"_"&amp;C1069,PRECIOS_COMPLEMENTOS!$H$4:$H$17,0),IF(OR(G1069="S",G1069="20cm"),1,IF(OR(G1069="M",G1069="25cm"),2,IF(OR(G1069="L",G1069="30cm"),3,IF(OR(G1069="XL",G1069="35cm"),4,0))))),0)</f>
        <v>0.4</v>
      </c>
      <c r="J1069" s="103">
        <f t="shared" si="1"/>
        <v>0</v>
      </c>
      <c r="K1069" s="104" t="str">
        <f>IF(H1069&lt;0,"ERROR",IF(H1069=0,"",IF(H1069&lt;CONFIG!$B$4,"CRÍTICO",IF(H1069&lt;CONFIG!$B$5,"BAJO","OK"))))</f>
        <v/>
      </c>
    </row>
    <row r="1070" ht="15.75" hidden="1" customHeight="1">
      <c r="A1070" s="90" t="str">
        <f>IF(CLIENTES!A8="","",CLIENTES!A8)</f>
        <v/>
      </c>
      <c r="B1070" s="90" t="s">
        <v>321</v>
      </c>
      <c r="C1070" s="91" t="s">
        <v>328</v>
      </c>
      <c r="D1070" s="109" t="s">
        <v>353</v>
      </c>
      <c r="E1070" s="67" t="str">
        <f>COLORES!A10</f>
        <v>Botella</v>
      </c>
      <c r="F1070" s="67" t="str">
        <f>COLORES!B10</f>
        <v>OSCURO</v>
      </c>
      <c r="G1070" s="90" t="s">
        <v>377</v>
      </c>
      <c r="H1070" s="100">
        <f>IFERROR(SUMIFS(MOVIMIENTOS_COMPLEMENTOS!$I$4:$I$803,MOVIMIENTOS_COMPLEMENTOS!$C$4:$C$803,A1070,MOVIMIENTOS_COMPLEMENTOS!$D$4:$D$803,B1070,MOVIMIENTOS_COMPLEMENTOS!$E$4:$E$803,C1070,MOVIMIENTOS_COMPLEMENTOS!$G$4:$G$803,E1070,MOVIMIENTOS_COMPLEMENTOS!$H$4:$H$803,G1070,MOVIMIENTOS_COMPLEMENTOS!$B$4:$B$803,"INGRESO")+SUMIFS(MOVIMIENTOS_COMPLEMENTOS!$I$4:$I$803,MOVIMIENTOS_COMPLEMENTOS!$C$4:$C$803,A1070,MOVIMIENTOS_COMPLEMENTOS!$D$4:$D$803,B1070,MOVIMIENTOS_COMPLEMENTOS!$E$4:$E$803,C1070,MOVIMIENTOS_COMPLEMENTOS!$G$4:$G$803,E1070,MOVIMIENTOS_COMPLEMENTOS!$H$4:$H$803,G1070,MOVIMIENTOS_COMPLEMENTOS!$B$4:$B$803,"DE CORTE")-SUMIFS(MOVIMIENTOS_COMPLEMENTOS!$I$4:$I$803,MOVIMIENTOS_COMPLEMENTOS!$C$4:$C$803,A1070,MOVIMIENTOS_COMPLEMENTOS!$D$4:$D$803,B1070,MOVIMIENTOS_COMPLEMENTOS!$E$4:$E$803,C1070,MOVIMIENTOS_COMPLEMENTOS!$G$4:$G$803,E1070,MOVIMIENTOS_COMPLEMENTOS!$H$4:$H$803,G1070,MOVIMIENTOS_COMPLEMENTOS!$B$4:$B$803,"SALIDA"),0)</f>
        <v>0</v>
      </c>
      <c r="I1070" s="102">
        <f t="array" ref="I1070">IFERROR(INDEX(PRECIOS_COMPLEMENTOS!$C$4:$F$17,MATCH(B1070&amp;"_"&amp;C1070,PRECIOS_COMPLEMENTOS!$H$4:$H$17,0),IF(OR(G1070="S",G1070="20cm"),1,IF(OR(G1070="M",G1070="25cm"),2,IF(OR(G1070="L",G1070="30cm"),3,IF(OR(G1070="XL",G1070="35cm"),4,0))))),0)</f>
        <v>0.4</v>
      </c>
      <c r="J1070" s="103">
        <f t="shared" si="1"/>
        <v>0</v>
      </c>
      <c r="K1070" s="104" t="str">
        <f>IF(H1070&lt;0,"ERROR",IF(H1070=0,"",IF(H1070&lt;CONFIG!$B$4,"CRÍTICO",IF(H1070&lt;CONFIG!$B$5,"BAJO","OK"))))</f>
        <v/>
      </c>
    </row>
    <row r="1071" ht="15.75" hidden="1" customHeight="1">
      <c r="A1071" s="90" t="str">
        <f>IF(CLIENTES!A8="","",CLIENTES!A8)</f>
        <v/>
      </c>
      <c r="B1071" s="90" t="s">
        <v>321</v>
      </c>
      <c r="C1071" s="91" t="s">
        <v>328</v>
      </c>
      <c r="D1071" s="109" t="s">
        <v>353</v>
      </c>
      <c r="E1071" s="67" t="str">
        <f>COLORES!A10</f>
        <v>Botella</v>
      </c>
      <c r="F1071" s="67" t="str">
        <f>COLORES!B10</f>
        <v>OSCURO</v>
      </c>
      <c r="G1071" s="90" t="s">
        <v>379</v>
      </c>
      <c r="H1071" s="100">
        <f>IFERROR(SUMIFS(MOVIMIENTOS_COMPLEMENTOS!$I$4:$I$803,MOVIMIENTOS_COMPLEMENTOS!$C$4:$C$803,A1071,MOVIMIENTOS_COMPLEMENTOS!$D$4:$D$803,B1071,MOVIMIENTOS_COMPLEMENTOS!$E$4:$E$803,C1071,MOVIMIENTOS_COMPLEMENTOS!$G$4:$G$803,E1071,MOVIMIENTOS_COMPLEMENTOS!$H$4:$H$803,G1071,MOVIMIENTOS_COMPLEMENTOS!$B$4:$B$803,"INGRESO")+SUMIFS(MOVIMIENTOS_COMPLEMENTOS!$I$4:$I$803,MOVIMIENTOS_COMPLEMENTOS!$C$4:$C$803,A1071,MOVIMIENTOS_COMPLEMENTOS!$D$4:$D$803,B1071,MOVIMIENTOS_COMPLEMENTOS!$E$4:$E$803,C1071,MOVIMIENTOS_COMPLEMENTOS!$G$4:$G$803,E1071,MOVIMIENTOS_COMPLEMENTOS!$H$4:$H$803,G1071,MOVIMIENTOS_COMPLEMENTOS!$B$4:$B$803,"DE CORTE")-SUMIFS(MOVIMIENTOS_COMPLEMENTOS!$I$4:$I$803,MOVIMIENTOS_COMPLEMENTOS!$C$4:$C$803,A1071,MOVIMIENTOS_COMPLEMENTOS!$D$4:$D$803,B1071,MOVIMIENTOS_COMPLEMENTOS!$E$4:$E$803,C1071,MOVIMIENTOS_COMPLEMENTOS!$G$4:$G$803,E1071,MOVIMIENTOS_COMPLEMENTOS!$H$4:$H$803,G1071,MOVIMIENTOS_COMPLEMENTOS!$B$4:$B$803,"SALIDA"),0)</f>
        <v>0</v>
      </c>
      <c r="I1071" s="102">
        <f t="array" ref="I1071">IFERROR(INDEX(PRECIOS_COMPLEMENTOS!$C$4:$F$17,MATCH(B1071&amp;"_"&amp;C1071,PRECIOS_COMPLEMENTOS!$H$4:$H$17,0),IF(OR(G1071="S",G1071="20cm"),1,IF(OR(G1071="M",G1071="25cm"),2,IF(OR(G1071="L",G1071="30cm"),3,IF(OR(G1071="XL",G1071="35cm"),4,0))))),0)</f>
        <v>0.4</v>
      </c>
      <c r="J1071" s="103">
        <f t="shared" si="1"/>
        <v>0</v>
      </c>
      <c r="K1071" s="104" t="str">
        <f>IF(H1071&lt;0,"ERROR",IF(H1071=0,"",IF(H1071&lt;CONFIG!$B$4,"CRÍTICO",IF(H1071&lt;CONFIG!$B$5,"BAJO","OK"))))</f>
        <v/>
      </c>
    </row>
    <row r="1072" ht="15.75" hidden="1" customHeight="1">
      <c r="A1072" s="90" t="str">
        <f>IF(CLIENTES!A8="","",CLIENTES!A8)</f>
        <v/>
      </c>
      <c r="B1072" s="90" t="s">
        <v>321</v>
      </c>
      <c r="C1072" s="91" t="s">
        <v>328</v>
      </c>
      <c r="D1072" s="109" t="s">
        <v>353</v>
      </c>
      <c r="E1072" s="67" t="str">
        <f>COLORES!A11</f>
        <v>Pacay</v>
      </c>
      <c r="F1072" s="67" t="str">
        <f>COLORES!B11</f>
        <v>CLARO</v>
      </c>
      <c r="G1072" s="90" t="s">
        <v>378</v>
      </c>
      <c r="H1072" s="100">
        <f>IFERROR(SUMIFS(MOVIMIENTOS_COMPLEMENTOS!$I$4:$I$803,MOVIMIENTOS_COMPLEMENTOS!$C$4:$C$803,A1072,MOVIMIENTOS_COMPLEMENTOS!$D$4:$D$803,B1072,MOVIMIENTOS_COMPLEMENTOS!$E$4:$E$803,C1072,MOVIMIENTOS_COMPLEMENTOS!$G$4:$G$803,E1072,MOVIMIENTOS_COMPLEMENTOS!$H$4:$H$803,G1072,MOVIMIENTOS_COMPLEMENTOS!$B$4:$B$803,"INGRESO")+SUMIFS(MOVIMIENTOS_COMPLEMENTOS!$I$4:$I$803,MOVIMIENTOS_COMPLEMENTOS!$C$4:$C$803,A1072,MOVIMIENTOS_COMPLEMENTOS!$D$4:$D$803,B1072,MOVIMIENTOS_COMPLEMENTOS!$E$4:$E$803,C1072,MOVIMIENTOS_COMPLEMENTOS!$G$4:$G$803,E1072,MOVIMIENTOS_COMPLEMENTOS!$H$4:$H$803,G1072,MOVIMIENTOS_COMPLEMENTOS!$B$4:$B$803,"DE CORTE")-SUMIFS(MOVIMIENTOS_COMPLEMENTOS!$I$4:$I$803,MOVIMIENTOS_COMPLEMENTOS!$C$4:$C$803,A1072,MOVIMIENTOS_COMPLEMENTOS!$D$4:$D$803,B1072,MOVIMIENTOS_COMPLEMENTOS!$E$4:$E$803,C1072,MOVIMIENTOS_COMPLEMENTOS!$G$4:$G$803,E1072,MOVIMIENTOS_COMPLEMENTOS!$H$4:$H$803,G1072,MOVIMIENTOS_COMPLEMENTOS!$B$4:$B$803,"SALIDA"),0)</f>
        <v>0</v>
      </c>
      <c r="I1072" s="102">
        <f t="array" ref="I1072">IFERROR(INDEX(PRECIOS_COMPLEMENTOS!$C$4:$F$17,MATCH(B1072&amp;"_"&amp;C1072,PRECIOS_COMPLEMENTOS!$H$4:$H$17,0),IF(OR(G1072="S",G1072="20cm"),1,IF(OR(G1072="M",G1072="25cm"),2,IF(OR(G1072="L",G1072="30cm"),3,IF(OR(G1072="XL",G1072="35cm"),4,0))))),0)</f>
        <v>0.4</v>
      </c>
      <c r="J1072" s="103">
        <f t="shared" si="1"/>
        <v>0</v>
      </c>
      <c r="K1072" s="104" t="str">
        <f>IF(H1072&lt;0,"ERROR",IF(H1072=0,"",IF(H1072&lt;CONFIG!$B$4,"CRÍTICO",IF(H1072&lt;CONFIG!$B$5,"BAJO","OK"))))</f>
        <v/>
      </c>
    </row>
    <row r="1073" ht="15.75" hidden="1" customHeight="1">
      <c r="A1073" s="90" t="str">
        <f>IF(CLIENTES!A8="","",CLIENTES!A8)</f>
        <v/>
      </c>
      <c r="B1073" s="90" t="s">
        <v>321</v>
      </c>
      <c r="C1073" s="91" t="s">
        <v>328</v>
      </c>
      <c r="D1073" s="109" t="s">
        <v>353</v>
      </c>
      <c r="E1073" s="67" t="str">
        <f>COLORES!A11</f>
        <v>Pacay</v>
      </c>
      <c r="F1073" s="67" t="str">
        <f>COLORES!B11</f>
        <v>CLARO</v>
      </c>
      <c r="G1073" s="90" t="s">
        <v>376</v>
      </c>
      <c r="H1073" s="100">
        <f>IFERROR(SUMIFS(MOVIMIENTOS_COMPLEMENTOS!$I$4:$I$803,MOVIMIENTOS_COMPLEMENTOS!$C$4:$C$803,A1073,MOVIMIENTOS_COMPLEMENTOS!$D$4:$D$803,B1073,MOVIMIENTOS_COMPLEMENTOS!$E$4:$E$803,C1073,MOVIMIENTOS_COMPLEMENTOS!$G$4:$G$803,E1073,MOVIMIENTOS_COMPLEMENTOS!$H$4:$H$803,G1073,MOVIMIENTOS_COMPLEMENTOS!$B$4:$B$803,"INGRESO")+SUMIFS(MOVIMIENTOS_COMPLEMENTOS!$I$4:$I$803,MOVIMIENTOS_COMPLEMENTOS!$C$4:$C$803,A1073,MOVIMIENTOS_COMPLEMENTOS!$D$4:$D$803,B1073,MOVIMIENTOS_COMPLEMENTOS!$E$4:$E$803,C1073,MOVIMIENTOS_COMPLEMENTOS!$G$4:$G$803,E1073,MOVIMIENTOS_COMPLEMENTOS!$H$4:$H$803,G1073,MOVIMIENTOS_COMPLEMENTOS!$B$4:$B$803,"DE CORTE")-SUMIFS(MOVIMIENTOS_COMPLEMENTOS!$I$4:$I$803,MOVIMIENTOS_COMPLEMENTOS!$C$4:$C$803,A1073,MOVIMIENTOS_COMPLEMENTOS!$D$4:$D$803,B1073,MOVIMIENTOS_COMPLEMENTOS!$E$4:$E$803,C1073,MOVIMIENTOS_COMPLEMENTOS!$G$4:$G$803,E1073,MOVIMIENTOS_COMPLEMENTOS!$H$4:$H$803,G1073,MOVIMIENTOS_COMPLEMENTOS!$B$4:$B$803,"SALIDA"),0)</f>
        <v>0</v>
      </c>
      <c r="I1073" s="102">
        <f t="array" ref="I1073">IFERROR(INDEX(PRECIOS_COMPLEMENTOS!$C$4:$F$17,MATCH(B1073&amp;"_"&amp;C1073,PRECIOS_COMPLEMENTOS!$H$4:$H$17,0),IF(OR(G1073="S",G1073="20cm"),1,IF(OR(G1073="M",G1073="25cm"),2,IF(OR(G1073="L",G1073="30cm"),3,IF(OR(G1073="XL",G1073="35cm"),4,0))))),0)</f>
        <v>0.4</v>
      </c>
      <c r="J1073" s="103">
        <f t="shared" si="1"/>
        <v>0</v>
      </c>
      <c r="K1073" s="104" t="str">
        <f>IF(H1073&lt;0,"ERROR",IF(H1073=0,"",IF(H1073&lt;CONFIG!$B$4,"CRÍTICO",IF(H1073&lt;CONFIG!$B$5,"BAJO","OK"))))</f>
        <v/>
      </c>
    </row>
    <row r="1074" ht="15.75" hidden="1" customHeight="1">
      <c r="A1074" s="90" t="str">
        <f>IF(CLIENTES!A8="","",CLIENTES!A8)</f>
        <v/>
      </c>
      <c r="B1074" s="90" t="s">
        <v>321</v>
      </c>
      <c r="C1074" s="91" t="s">
        <v>328</v>
      </c>
      <c r="D1074" s="109" t="s">
        <v>353</v>
      </c>
      <c r="E1074" s="67" t="str">
        <f>COLORES!A11</f>
        <v>Pacay</v>
      </c>
      <c r="F1074" s="67" t="str">
        <f>COLORES!B11</f>
        <v>CLARO</v>
      </c>
      <c r="G1074" s="90" t="s">
        <v>377</v>
      </c>
      <c r="H1074" s="100">
        <f>IFERROR(SUMIFS(MOVIMIENTOS_COMPLEMENTOS!$I$4:$I$803,MOVIMIENTOS_COMPLEMENTOS!$C$4:$C$803,A1074,MOVIMIENTOS_COMPLEMENTOS!$D$4:$D$803,B1074,MOVIMIENTOS_COMPLEMENTOS!$E$4:$E$803,C1074,MOVIMIENTOS_COMPLEMENTOS!$G$4:$G$803,E1074,MOVIMIENTOS_COMPLEMENTOS!$H$4:$H$803,G1074,MOVIMIENTOS_COMPLEMENTOS!$B$4:$B$803,"INGRESO")+SUMIFS(MOVIMIENTOS_COMPLEMENTOS!$I$4:$I$803,MOVIMIENTOS_COMPLEMENTOS!$C$4:$C$803,A1074,MOVIMIENTOS_COMPLEMENTOS!$D$4:$D$803,B1074,MOVIMIENTOS_COMPLEMENTOS!$E$4:$E$803,C1074,MOVIMIENTOS_COMPLEMENTOS!$G$4:$G$803,E1074,MOVIMIENTOS_COMPLEMENTOS!$H$4:$H$803,G1074,MOVIMIENTOS_COMPLEMENTOS!$B$4:$B$803,"DE CORTE")-SUMIFS(MOVIMIENTOS_COMPLEMENTOS!$I$4:$I$803,MOVIMIENTOS_COMPLEMENTOS!$C$4:$C$803,A1074,MOVIMIENTOS_COMPLEMENTOS!$D$4:$D$803,B1074,MOVIMIENTOS_COMPLEMENTOS!$E$4:$E$803,C1074,MOVIMIENTOS_COMPLEMENTOS!$G$4:$G$803,E1074,MOVIMIENTOS_COMPLEMENTOS!$H$4:$H$803,G1074,MOVIMIENTOS_COMPLEMENTOS!$B$4:$B$803,"SALIDA"),0)</f>
        <v>0</v>
      </c>
      <c r="I1074" s="102">
        <f t="array" ref="I1074">IFERROR(INDEX(PRECIOS_COMPLEMENTOS!$C$4:$F$17,MATCH(B1074&amp;"_"&amp;C1074,PRECIOS_COMPLEMENTOS!$H$4:$H$17,0),IF(OR(G1074="S",G1074="20cm"),1,IF(OR(G1074="M",G1074="25cm"),2,IF(OR(G1074="L",G1074="30cm"),3,IF(OR(G1074="XL",G1074="35cm"),4,0))))),0)</f>
        <v>0.4</v>
      </c>
      <c r="J1074" s="103">
        <f t="shared" si="1"/>
        <v>0</v>
      </c>
      <c r="K1074" s="104" t="str">
        <f>IF(H1074&lt;0,"ERROR",IF(H1074=0,"",IF(H1074&lt;CONFIG!$B$4,"CRÍTICO",IF(H1074&lt;CONFIG!$B$5,"BAJO","OK"))))</f>
        <v/>
      </c>
    </row>
    <row r="1075" ht="15.75" hidden="1" customHeight="1">
      <c r="A1075" s="90" t="str">
        <f>IF(CLIENTES!A8="","",CLIENTES!A8)</f>
        <v/>
      </c>
      <c r="B1075" s="90" t="s">
        <v>321</v>
      </c>
      <c r="C1075" s="91" t="s">
        <v>328</v>
      </c>
      <c r="D1075" s="109" t="s">
        <v>353</v>
      </c>
      <c r="E1075" s="67" t="str">
        <f>COLORES!A11</f>
        <v>Pacay</v>
      </c>
      <c r="F1075" s="67" t="str">
        <f>COLORES!B11</f>
        <v>CLARO</v>
      </c>
      <c r="G1075" s="90" t="s">
        <v>379</v>
      </c>
      <c r="H1075" s="100">
        <f>IFERROR(SUMIFS(MOVIMIENTOS_COMPLEMENTOS!$I$4:$I$803,MOVIMIENTOS_COMPLEMENTOS!$C$4:$C$803,A1075,MOVIMIENTOS_COMPLEMENTOS!$D$4:$D$803,B1075,MOVIMIENTOS_COMPLEMENTOS!$E$4:$E$803,C1075,MOVIMIENTOS_COMPLEMENTOS!$G$4:$G$803,E1075,MOVIMIENTOS_COMPLEMENTOS!$H$4:$H$803,G1075,MOVIMIENTOS_COMPLEMENTOS!$B$4:$B$803,"INGRESO")+SUMIFS(MOVIMIENTOS_COMPLEMENTOS!$I$4:$I$803,MOVIMIENTOS_COMPLEMENTOS!$C$4:$C$803,A1075,MOVIMIENTOS_COMPLEMENTOS!$D$4:$D$803,B1075,MOVIMIENTOS_COMPLEMENTOS!$E$4:$E$803,C1075,MOVIMIENTOS_COMPLEMENTOS!$G$4:$G$803,E1075,MOVIMIENTOS_COMPLEMENTOS!$H$4:$H$803,G1075,MOVIMIENTOS_COMPLEMENTOS!$B$4:$B$803,"DE CORTE")-SUMIFS(MOVIMIENTOS_COMPLEMENTOS!$I$4:$I$803,MOVIMIENTOS_COMPLEMENTOS!$C$4:$C$803,A1075,MOVIMIENTOS_COMPLEMENTOS!$D$4:$D$803,B1075,MOVIMIENTOS_COMPLEMENTOS!$E$4:$E$803,C1075,MOVIMIENTOS_COMPLEMENTOS!$G$4:$G$803,E1075,MOVIMIENTOS_COMPLEMENTOS!$H$4:$H$803,G1075,MOVIMIENTOS_COMPLEMENTOS!$B$4:$B$803,"SALIDA"),0)</f>
        <v>0</v>
      </c>
      <c r="I1075" s="102">
        <f t="array" ref="I1075">IFERROR(INDEX(PRECIOS_COMPLEMENTOS!$C$4:$F$17,MATCH(B1075&amp;"_"&amp;C1075,PRECIOS_COMPLEMENTOS!$H$4:$H$17,0),IF(OR(G1075="S",G1075="20cm"),1,IF(OR(G1075="M",G1075="25cm"),2,IF(OR(G1075="L",G1075="30cm"),3,IF(OR(G1075="XL",G1075="35cm"),4,0))))),0)</f>
        <v>0.4</v>
      </c>
      <c r="J1075" s="103">
        <f t="shared" si="1"/>
        <v>0</v>
      </c>
      <c r="K1075" s="104" t="str">
        <f>IF(H1075&lt;0,"ERROR",IF(H1075=0,"",IF(H1075&lt;CONFIG!$B$4,"CRÍTICO",IF(H1075&lt;CONFIG!$B$5,"BAJO","OK"))))</f>
        <v/>
      </c>
    </row>
    <row r="1076" ht="15.75" hidden="1" customHeight="1">
      <c r="A1076" s="90" t="str">
        <f>IF(CLIENTES!A8="","",CLIENTES!A8)</f>
        <v/>
      </c>
      <c r="B1076" s="90" t="s">
        <v>321</v>
      </c>
      <c r="C1076" s="91" t="s">
        <v>328</v>
      </c>
      <c r="D1076" s="109" t="s">
        <v>353</v>
      </c>
      <c r="E1076" s="67" t="str">
        <f>COLORES!A12</f>
        <v>Cemento</v>
      </c>
      <c r="F1076" s="67" t="str">
        <f>COLORES!B12</f>
        <v>CLARO</v>
      </c>
      <c r="G1076" s="90" t="s">
        <v>378</v>
      </c>
      <c r="H1076" s="100">
        <f>IFERROR(SUMIFS(MOVIMIENTOS_COMPLEMENTOS!$I$4:$I$803,MOVIMIENTOS_COMPLEMENTOS!$C$4:$C$803,A1076,MOVIMIENTOS_COMPLEMENTOS!$D$4:$D$803,B1076,MOVIMIENTOS_COMPLEMENTOS!$E$4:$E$803,C1076,MOVIMIENTOS_COMPLEMENTOS!$G$4:$G$803,E1076,MOVIMIENTOS_COMPLEMENTOS!$H$4:$H$803,G1076,MOVIMIENTOS_COMPLEMENTOS!$B$4:$B$803,"INGRESO")+SUMIFS(MOVIMIENTOS_COMPLEMENTOS!$I$4:$I$803,MOVIMIENTOS_COMPLEMENTOS!$C$4:$C$803,A1076,MOVIMIENTOS_COMPLEMENTOS!$D$4:$D$803,B1076,MOVIMIENTOS_COMPLEMENTOS!$E$4:$E$803,C1076,MOVIMIENTOS_COMPLEMENTOS!$G$4:$G$803,E1076,MOVIMIENTOS_COMPLEMENTOS!$H$4:$H$803,G1076,MOVIMIENTOS_COMPLEMENTOS!$B$4:$B$803,"DE CORTE")-SUMIFS(MOVIMIENTOS_COMPLEMENTOS!$I$4:$I$803,MOVIMIENTOS_COMPLEMENTOS!$C$4:$C$803,A1076,MOVIMIENTOS_COMPLEMENTOS!$D$4:$D$803,B1076,MOVIMIENTOS_COMPLEMENTOS!$E$4:$E$803,C1076,MOVIMIENTOS_COMPLEMENTOS!$G$4:$G$803,E1076,MOVIMIENTOS_COMPLEMENTOS!$H$4:$H$803,G1076,MOVIMIENTOS_COMPLEMENTOS!$B$4:$B$803,"SALIDA"),0)</f>
        <v>0</v>
      </c>
      <c r="I1076" s="102">
        <f t="array" ref="I1076">IFERROR(INDEX(PRECIOS_COMPLEMENTOS!$C$4:$F$17,MATCH(B1076&amp;"_"&amp;C1076,PRECIOS_COMPLEMENTOS!$H$4:$H$17,0),IF(OR(G1076="S",G1076="20cm"),1,IF(OR(G1076="M",G1076="25cm"),2,IF(OR(G1076="L",G1076="30cm"),3,IF(OR(G1076="XL",G1076="35cm"),4,0))))),0)</f>
        <v>0.4</v>
      </c>
      <c r="J1076" s="103">
        <f t="shared" si="1"/>
        <v>0</v>
      </c>
      <c r="K1076" s="104" t="str">
        <f>IF(H1076&lt;0,"ERROR",IF(H1076=0,"",IF(H1076&lt;CONFIG!$B$4,"CRÍTICO",IF(H1076&lt;CONFIG!$B$5,"BAJO","OK"))))</f>
        <v/>
      </c>
    </row>
    <row r="1077" ht="15.75" hidden="1" customHeight="1">
      <c r="A1077" s="90" t="str">
        <f>IF(CLIENTES!A8="","",CLIENTES!A8)</f>
        <v/>
      </c>
      <c r="B1077" s="90" t="s">
        <v>321</v>
      </c>
      <c r="C1077" s="91" t="s">
        <v>328</v>
      </c>
      <c r="D1077" s="109" t="s">
        <v>353</v>
      </c>
      <c r="E1077" s="67" t="str">
        <f>COLORES!A12</f>
        <v>Cemento</v>
      </c>
      <c r="F1077" s="67" t="str">
        <f>COLORES!B12</f>
        <v>CLARO</v>
      </c>
      <c r="G1077" s="90" t="s">
        <v>376</v>
      </c>
      <c r="H1077" s="100">
        <f>IFERROR(SUMIFS(MOVIMIENTOS_COMPLEMENTOS!$I$4:$I$803,MOVIMIENTOS_COMPLEMENTOS!$C$4:$C$803,A1077,MOVIMIENTOS_COMPLEMENTOS!$D$4:$D$803,B1077,MOVIMIENTOS_COMPLEMENTOS!$E$4:$E$803,C1077,MOVIMIENTOS_COMPLEMENTOS!$G$4:$G$803,E1077,MOVIMIENTOS_COMPLEMENTOS!$H$4:$H$803,G1077,MOVIMIENTOS_COMPLEMENTOS!$B$4:$B$803,"INGRESO")+SUMIFS(MOVIMIENTOS_COMPLEMENTOS!$I$4:$I$803,MOVIMIENTOS_COMPLEMENTOS!$C$4:$C$803,A1077,MOVIMIENTOS_COMPLEMENTOS!$D$4:$D$803,B1077,MOVIMIENTOS_COMPLEMENTOS!$E$4:$E$803,C1077,MOVIMIENTOS_COMPLEMENTOS!$G$4:$G$803,E1077,MOVIMIENTOS_COMPLEMENTOS!$H$4:$H$803,G1077,MOVIMIENTOS_COMPLEMENTOS!$B$4:$B$803,"DE CORTE")-SUMIFS(MOVIMIENTOS_COMPLEMENTOS!$I$4:$I$803,MOVIMIENTOS_COMPLEMENTOS!$C$4:$C$803,A1077,MOVIMIENTOS_COMPLEMENTOS!$D$4:$D$803,B1077,MOVIMIENTOS_COMPLEMENTOS!$E$4:$E$803,C1077,MOVIMIENTOS_COMPLEMENTOS!$G$4:$G$803,E1077,MOVIMIENTOS_COMPLEMENTOS!$H$4:$H$803,G1077,MOVIMIENTOS_COMPLEMENTOS!$B$4:$B$803,"SALIDA"),0)</f>
        <v>0</v>
      </c>
      <c r="I1077" s="102">
        <f t="array" ref="I1077">IFERROR(INDEX(PRECIOS_COMPLEMENTOS!$C$4:$F$17,MATCH(B1077&amp;"_"&amp;C1077,PRECIOS_COMPLEMENTOS!$H$4:$H$17,0),IF(OR(G1077="S",G1077="20cm"),1,IF(OR(G1077="M",G1077="25cm"),2,IF(OR(G1077="L",G1077="30cm"),3,IF(OR(G1077="XL",G1077="35cm"),4,0))))),0)</f>
        <v>0.4</v>
      </c>
      <c r="J1077" s="103">
        <f t="shared" si="1"/>
        <v>0</v>
      </c>
      <c r="K1077" s="104" t="str">
        <f>IF(H1077&lt;0,"ERROR",IF(H1077=0,"",IF(H1077&lt;CONFIG!$B$4,"CRÍTICO",IF(H1077&lt;CONFIG!$B$5,"BAJO","OK"))))</f>
        <v/>
      </c>
    </row>
    <row r="1078" ht="15.75" hidden="1" customHeight="1">
      <c r="A1078" s="90" t="str">
        <f>IF(CLIENTES!A8="","",CLIENTES!A8)</f>
        <v/>
      </c>
      <c r="B1078" s="90" t="s">
        <v>321</v>
      </c>
      <c r="C1078" s="91" t="s">
        <v>328</v>
      </c>
      <c r="D1078" s="109" t="s">
        <v>353</v>
      </c>
      <c r="E1078" s="67" t="str">
        <f>COLORES!A12</f>
        <v>Cemento</v>
      </c>
      <c r="F1078" s="67" t="str">
        <f>COLORES!B12</f>
        <v>CLARO</v>
      </c>
      <c r="G1078" s="90" t="s">
        <v>377</v>
      </c>
      <c r="H1078" s="100">
        <f>IFERROR(SUMIFS(MOVIMIENTOS_COMPLEMENTOS!$I$4:$I$803,MOVIMIENTOS_COMPLEMENTOS!$C$4:$C$803,A1078,MOVIMIENTOS_COMPLEMENTOS!$D$4:$D$803,B1078,MOVIMIENTOS_COMPLEMENTOS!$E$4:$E$803,C1078,MOVIMIENTOS_COMPLEMENTOS!$G$4:$G$803,E1078,MOVIMIENTOS_COMPLEMENTOS!$H$4:$H$803,G1078,MOVIMIENTOS_COMPLEMENTOS!$B$4:$B$803,"INGRESO")+SUMIFS(MOVIMIENTOS_COMPLEMENTOS!$I$4:$I$803,MOVIMIENTOS_COMPLEMENTOS!$C$4:$C$803,A1078,MOVIMIENTOS_COMPLEMENTOS!$D$4:$D$803,B1078,MOVIMIENTOS_COMPLEMENTOS!$E$4:$E$803,C1078,MOVIMIENTOS_COMPLEMENTOS!$G$4:$G$803,E1078,MOVIMIENTOS_COMPLEMENTOS!$H$4:$H$803,G1078,MOVIMIENTOS_COMPLEMENTOS!$B$4:$B$803,"DE CORTE")-SUMIFS(MOVIMIENTOS_COMPLEMENTOS!$I$4:$I$803,MOVIMIENTOS_COMPLEMENTOS!$C$4:$C$803,A1078,MOVIMIENTOS_COMPLEMENTOS!$D$4:$D$803,B1078,MOVIMIENTOS_COMPLEMENTOS!$E$4:$E$803,C1078,MOVIMIENTOS_COMPLEMENTOS!$G$4:$G$803,E1078,MOVIMIENTOS_COMPLEMENTOS!$H$4:$H$803,G1078,MOVIMIENTOS_COMPLEMENTOS!$B$4:$B$803,"SALIDA"),0)</f>
        <v>0</v>
      </c>
      <c r="I1078" s="102">
        <f t="array" ref="I1078">IFERROR(INDEX(PRECIOS_COMPLEMENTOS!$C$4:$F$17,MATCH(B1078&amp;"_"&amp;C1078,PRECIOS_COMPLEMENTOS!$H$4:$H$17,0),IF(OR(G1078="S",G1078="20cm"),1,IF(OR(G1078="M",G1078="25cm"),2,IF(OR(G1078="L",G1078="30cm"),3,IF(OR(G1078="XL",G1078="35cm"),4,0))))),0)</f>
        <v>0.4</v>
      </c>
      <c r="J1078" s="103">
        <f t="shared" si="1"/>
        <v>0</v>
      </c>
      <c r="K1078" s="104" t="str">
        <f>IF(H1078&lt;0,"ERROR",IF(H1078=0,"",IF(H1078&lt;CONFIG!$B$4,"CRÍTICO",IF(H1078&lt;CONFIG!$B$5,"BAJO","OK"))))</f>
        <v/>
      </c>
    </row>
    <row r="1079" ht="15.75" hidden="1" customHeight="1">
      <c r="A1079" s="90" t="str">
        <f>IF(CLIENTES!A8="","",CLIENTES!A8)</f>
        <v/>
      </c>
      <c r="B1079" s="90" t="s">
        <v>321</v>
      </c>
      <c r="C1079" s="91" t="s">
        <v>328</v>
      </c>
      <c r="D1079" s="109" t="s">
        <v>353</v>
      </c>
      <c r="E1079" s="67" t="str">
        <f>COLORES!A12</f>
        <v>Cemento</v>
      </c>
      <c r="F1079" s="67" t="str">
        <f>COLORES!B12</f>
        <v>CLARO</v>
      </c>
      <c r="G1079" s="90" t="s">
        <v>379</v>
      </c>
      <c r="H1079" s="100">
        <f>IFERROR(SUMIFS(MOVIMIENTOS_COMPLEMENTOS!$I$4:$I$803,MOVIMIENTOS_COMPLEMENTOS!$C$4:$C$803,A1079,MOVIMIENTOS_COMPLEMENTOS!$D$4:$D$803,B1079,MOVIMIENTOS_COMPLEMENTOS!$E$4:$E$803,C1079,MOVIMIENTOS_COMPLEMENTOS!$G$4:$G$803,E1079,MOVIMIENTOS_COMPLEMENTOS!$H$4:$H$803,G1079,MOVIMIENTOS_COMPLEMENTOS!$B$4:$B$803,"INGRESO")+SUMIFS(MOVIMIENTOS_COMPLEMENTOS!$I$4:$I$803,MOVIMIENTOS_COMPLEMENTOS!$C$4:$C$803,A1079,MOVIMIENTOS_COMPLEMENTOS!$D$4:$D$803,B1079,MOVIMIENTOS_COMPLEMENTOS!$E$4:$E$803,C1079,MOVIMIENTOS_COMPLEMENTOS!$G$4:$G$803,E1079,MOVIMIENTOS_COMPLEMENTOS!$H$4:$H$803,G1079,MOVIMIENTOS_COMPLEMENTOS!$B$4:$B$803,"DE CORTE")-SUMIFS(MOVIMIENTOS_COMPLEMENTOS!$I$4:$I$803,MOVIMIENTOS_COMPLEMENTOS!$C$4:$C$803,A1079,MOVIMIENTOS_COMPLEMENTOS!$D$4:$D$803,B1079,MOVIMIENTOS_COMPLEMENTOS!$E$4:$E$803,C1079,MOVIMIENTOS_COMPLEMENTOS!$G$4:$G$803,E1079,MOVIMIENTOS_COMPLEMENTOS!$H$4:$H$803,G1079,MOVIMIENTOS_COMPLEMENTOS!$B$4:$B$803,"SALIDA"),0)</f>
        <v>0</v>
      </c>
      <c r="I1079" s="102">
        <f t="array" ref="I1079">IFERROR(INDEX(PRECIOS_COMPLEMENTOS!$C$4:$F$17,MATCH(B1079&amp;"_"&amp;C1079,PRECIOS_COMPLEMENTOS!$H$4:$H$17,0),IF(OR(G1079="S",G1079="20cm"),1,IF(OR(G1079="M",G1079="25cm"),2,IF(OR(G1079="L",G1079="30cm"),3,IF(OR(G1079="XL",G1079="35cm"),4,0))))),0)</f>
        <v>0.4</v>
      </c>
      <c r="J1079" s="103">
        <f t="shared" si="1"/>
        <v>0</v>
      </c>
      <c r="K1079" s="104" t="str">
        <f>IF(H1079&lt;0,"ERROR",IF(H1079=0,"",IF(H1079&lt;CONFIG!$B$4,"CRÍTICO",IF(H1079&lt;CONFIG!$B$5,"BAJO","OK"))))</f>
        <v/>
      </c>
    </row>
    <row r="1080" ht="15.75" hidden="1" customHeight="1">
      <c r="A1080" s="90" t="str">
        <f>IF(CLIENTES!A8="","",CLIENTES!A8)</f>
        <v/>
      </c>
      <c r="B1080" s="90" t="s">
        <v>321</v>
      </c>
      <c r="C1080" s="91" t="s">
        <v>328</v>
      </c>
      <c r="D1080" s="109" t="s">
        <v>353</v>
      </c>
      <c r="E1080" s="67" t="str">
        <f>COLORES!A13</f>
        <v>Camote</v>
      </c>
      <c r="F1080" s="67" t="str">
        <f>COLORES!B13</f>
        <v>CLARO</v>
      </c>
      <c r="G1080" s="90" t="s">
        <v>378</v>
      </c>
      <c r="H1080" s="100">
        <f>IFERROR(SUMIFS(MOVIMIENTOS_COMPLEMENTOS!$I$4:$I$803,MOVIMIENTOS_COMPLEMENTOS!$C$4:$C$803,A1080,MOVIMIENTOS_COMPLEMENTOS!$D$4:$D$803,B1080,MOVIMIENTOS_COMPLEMENTOS!$E$4:$E$803,C1080,MOVIMIENTOS_COMPLEMENTOS!$G$4:$G$803,E1080,MOVIMIENTOS_COMPLEMENTOS!$H$4:$H$803,G1080,MOVIMIENTOS_COMPLEMENTOS!$B$4:$B$803,"INGRESO")+SUMIFS(MOVIMIENTOS_COMPLEMENTOS!$I$4:$I$803,MOVIMIENTOS_COMPLEMENTOS!$C$4:$C$803,A1080,MOVIMIENTOS_COMPLEMENTOS!$D$4:$D$803,B1080,MOVIMIENTOS_COMPLEMENTOS!$E$4:$E$803,C1080,MOVIMIENTOS_COMPLEMENTOS!$G$4:$G$803,E1080,MOVIMIENTOS_COMPLEMENTOS!$H$4:$H$803,G1080,MOVIMIENTOS_COMPLEMENTOS!$B$4:$B$803,"DE CORTE")-SUMIFS(MOVIMIENTOS_COMPLEMENTOS!$I$4:$I$803,MOVIMIENTOS_COMPLEMENTOS!$C$4:$C$803,A1080,MOVIMIENTOS_COMPLEMENTOS!$D$4:$D$803,B1080,MOVIMIENTOS_COMPLEMENTOS!$E$4:$E$803,C1080,MOVIMIENTOS_COMPLEMENTOS!$G$4:$G$803,E1080,MOVIMIENTOS_COMPLEMENTOS!$H$4:$H$803,G1080,MOVIMIENTOS_COMPLEMENTOS!$B$4:$B$803,"SALIDA"),0)</f>
        <v>0</v>
      </c>
      <c r="I1080" s="102">
        <f t="array" ref="I1080">IFERROR(INDEX(PRECIOS_COMPLEMENTOS!$C$4:$F$17,MATCH(B1080&amp;"_"&amp;C1080,PRECIOS_COMPLEMENTOS!$H$4:$H$17,0),IF(OR(G1080="S",G1080="20cm"),1,IF(OR(G1080="M",G1080="25cm"),2,IF(OR(G1080="L",G1080="30cm"),3,IF(OR(G1080="XL",G1080="35cm"),4,0))))),0)</f>
        <v>0.4</v>
      </c>
      <c r="J1080" s="103">
        <f t="shared" si="1"/>
        <v>0</v>
      </c>
      <c r="K1080" s="104" t="str">
        <f>IF(H1080&lt;0,"ERROR",IF(H1080=0,"",IF(H1080&lt;CONFIG!$B$4,"CRÍTICO",IF(H1080&lt;CONFIG!$B$5,"BAJO","OK"))))</f>
        <v/>
      </c>
    </row>
    <row r="1081" ht="15.75" hidden="1" customHeight="1">
      <c r="A1081" s="90" t="str">
        <f>IF(CLIENTES!A8="","",CLIENTES!A8)</f>
        <v/>
      </c>
      <c r="B1081" s="90" t="s">
        <v>321</v>
      </c>
      <c r="C1081" s="91" t="s">
        <v>328</v>
      </c>
      <c r="D1081" s="109" t="s">
        <v>353</v>
      </c>
      <c r="E1081" s="67" t="str">
        <f>COLORES!A13</f>
        <v>Camote</v>
      </c>
      <c r="F1081" s="67" t="str">
        <f>COLORES!B13</f>
        <v>CLARO</v>
      </c>
      <c r="G1081" s="90" t="s">
        <v>376</v>
      </c>
      <c r="H1081" s="100">
        <f>IFERROR(SUMIFS(MOVIMIENTOS_COMPLEMENTOS!$I$4:$I$803,MOVIMIENTOS_COMPLEMENTOS!$C$4:$C$803,A1081,MOVIMIENTOS_COMPLEMENTOS!$D$4:$D$803,B1081,MOVIMIENTOS_COMPLEMENTOS!$E$4:$E$803,C1081,MOVIMIENTOS_COMPLEMENTOS!$G$4:$G$803,E1081,MOVIMIENTOS_COMPLEMENTOS!$H$4:$H$803,G1081,MOVIMIENTOS_COMPLEMENTOS!$B$4:$B$803,"INGRESO")+SUMIFS(MOVIMIENTOS_COMPLEMENTOS!$I$4:$I$803,MOVIMIENTOS_COMPLEMENTOS!$C$4:$C$803,A1081,MOVIMIENTOS_COMPLEMENTOS!$D$4:$D$803,B1081,MOVIMIENTOS_COMPLEMENTOS!$E$4:$E$803,C1081,MOVIMIENTOS_COMPLEMENTOS!$G$4:$G$803,E1081,MOVIMIENTOS_COMPLEMENTOS!$H$4:$H$803,G1081,MOVIMIENTOS_COMPLEMENTOS!$B$4:$B$803,"DE CORTE")-SUMIFS(MOVIMIENTOS_COMPLEMENTOS!$I$4:$I$803,MOVIMIENTOS_COMPLEMENTOS!$C$4:$C$803,A1081,MOVIMIENTOS_COMPLEMENTOS!$D$4:$D$803,B1081,MOVIMIENTOS_COMPLEMENTOS!$E$4:$E$803,C1081,MOVIMIENTOS_COMPLEMENTOS!$G$4:$G$803,E1081,MOVIMIENTOS_COMPLEMENTOS!$H$4:$H$803,G1081,MOVIMIENTOS_COMPLEMENTOS!$B$4:$B$803,"SALIDA"),0)</f>
        <v>0</v>
      </c>
      <c r="I1081" s="102">
        <f t="array" ref="I1081">IFERROR(INDEX(PRECIOS_COMPLEMENTOS!$C$4:$F$17,MATCH(B1081&amp;"_"&amp;C1081,PRECIOS_COMPLEMENTOS!$H$4:$H$17,0),IF(OR(G1081="S",G1081="20cm"),1,IF(OR(G1081="M",G1081="25cm"),2,IF(OR(G1081="L",G1081="30cm"),3,IF(OR(G1081="XL",G1081="35cm"),4,0))))),0)</f>
        <v>0.4</v>
      </c>
      <c r="J1081" s="103">
        <f t="shared" si="1"/>
        <v>0</v>
      </c>
      <c r="K1081" s="104" t="str">
        <f>IF(H1081&lt;0,"ERROR",IF(H1081=0,"",IF(H1081&lt;CONFIG!$B$4,"CRÍTICO",IF(H1081&lt;CONFIG!$B$5,"BAJO","OK"))))</f>
        <v/>
      </c>
    </row>
    <row r="1082" ht="15.75" hidden="1" customHeight="1">
      <c r="A1082" s="90" t="str">
        <f>IF(CLIENTES!A8="","",CLIENTES!A8)</f>
        <v/>
      </c>
      <c r="B1082" s="90" t="s">
        <v>321</v>
      </c>
      <c r="C1082" s="91" t="s">
        <v>328</v>
      </c>
      <c r="D1082" s="109" t="s">
        <v>353</v>
      </c>
      <c r="E1082" s="67" t="str">
        <f>COLORES!A13</f>
        <v>Camote</v>
      </c>
      <c r="F1082" s="67" t="str">
        <f>COLORES!B13</f>
        <v>CLARO</v>
      </c>
      <c r="G1082" s="90" t="s">
        <v>377</v>
      </c>
      <c r="H1082" s="100">
        <f>IFERROR(SUMIFS(MOVIMIENTOS_COMPLEMENTOS!$I$4:$I$803,MOVIMIENTOS_COMPLEMENTOS!$C$4:$C$803,A1082,MOVIMIENTOS_COMPLEMENTOS!$D$4:$D$803,B1082,MOVIMIENTOS_COMPLEMENTOS!$E$4:$E$803,C1082,MOVIMIENTOS_COMPLEMENTOS!$G$4:$G$803,E1082,MOVIMIENTOS_COMPLEMENTOS!$H$4:$H$803,G1082,MOVIMIENTOS_COMPLEMENTOS!$B$4:$B$803,"INGRESO")+SUMIFS(MOVIMIENTOS_COMPLEMENTOS!$I$4:$I$803,MOVIMIENTOS_COMPLEMENTOS!$C$4:$C$803,A1082,MOVIMIENTOS_COMPLEMENTOS!$D$4:$D$803,B1082,MOVIMIENTOS_COMPLEMENTOS!$E$4:$E$803,C1082,MOVIMIENTOS_COMPLEMENTOS!$G$4:$G$803,E1082,MOVIMIENTOS_COMPLEMENTOS!$H$4:$H$803,G1082,MOVIMIENTOS_COMPLEMENTOS!$B$4:$B$803,"DE CORTE")-SUMIFS(MOVIMIENTOS_COMPLEMENTOS!$I$4:$I$803,MOVIMIENTOS_COMPLEMENTOS!$C$4:$C$803,A1082,MOVIMIENTOS_COMPLEMENTOS!$D$4:$D$803,B1082,MOVIMIENTOS_COMPLEMENTOS!$E$4:$E$803,C1082,MOVIMIENTOS_COMPLEMENTOS!$G$4:$G$803,E1082,MOVIMIENTOS_COMPLEMENTOS!$H$4:$H$803,G1082,MOVIMIENTOS_COMPLEMENTOS!$B$4:$B$803,"SALIDA"),0)</f>
        <v>0</v>
      </c>
      <c r="I1082" s="102">
        <f t="array" ref="I1082">IFERROR(INDEX(PRECIOS_COMPLEMENTOS!$C$4:$F$17,MATCH(B1082&amp;"_"&amp;C1082,PRECIOS_COMPLEMENTOS!$H$4:$H$17,0),IF(OR(G1082="S",G1082="20cm"),1,IF(OR(G1082="M",G1082="25cm"),2,IF(OR(G1082="L",G1082="30cm"),3,IF(OR(G1082="XL",G1082="35cm"),4,0))))),0)</f>
        <v>0.4</v>
      </c>
      <c r="J1082" s="103">
        <f t="shared" si="1"/>
        <v>0</v>
      </c>
      <c r="K1082" s="104" t="str">
        <f>IF(H1082&lt;0,"ERROR",IF(H1082=0,"",IF(H1082&lt;CONFIG!$B$4,"CRÍTICO",IF(H1082&lt;CONFIG!$B$5,"BAJO","OK"))))</f>
        <v/>
      </c>
    </row>
    <row r="1083" ht="15.75" hidden="1" customHeight="1">
      <c r="A1083" s="90" t="str">
        <f>IF(CLIENTES!A8="","",CLIENTES!A8)</f>
        <v/>
      </c>
      <c r="B1083" s="90" t="s">
        <v>321</v>
      </c>
      <c r="C1083" s="91" t="s">
        <v>328</v>
      </c>
      <c r="D1083" s="109" t="s">
        <v>353</v>
      </c>
      <c r="E1083" s="67" t="str">
        <f>COLORES!A13</f>
        <v>Camote</v>
      </c>
      <c r="F1083" s="67" t="str">
        <f>COLORES!B13</f>
        <v>CLARO</v>
      </c>
      <c r="G1083" s="90" t="s">
        <v>379</v>
      </c>
      <c r="H1083" s="100">
        <f>IFERROR(SUMIFS(MOVIMIENTOS_COMPLEMENTOS!$I$4:$I$803,MOVIMIENTOS_COMPLEMENTOS!$C$4:$C$803,A1083,MOVIMIENTOS_COMPLEMENTOS!$D$4:$D$803,B1083,MOVIMIENTOS_COMPLEMENTOS!$E$4:$E$803,C1083,MOVIMIENTOS_COMPLEMENTOS!$G$4:$G$803,E1083,MOVIMIENTOS_COMPLEMENTOS!$H$4:$H$803,G1083,MOVIMIENTOS_COMPLEMENTOS!$B$4:$B$803,"INGRESO")+SUMIFS(MOVIMIENTOS_COMPLEMENTOS!$I$4:$I$803,MOVIMIENTOS_COMPLEMENTOS!$C$4:$C$803,A1083,MOVIMIENTOS_COMPLEMENTOS!$D$4:$D$803,B1083,MOVIMIENTOS_COMPLEMENTOS!$E$4:$E$803,C1083,MOVIMIENTOS_COMPLEMENTOS!$G$4:$G$803,E1083,MOVIMIENTOS_COMPLEMENTOS!$H$4:$H$803,G1083,MOVIMIENTOS_COMPLEMENTOS!$B$4:$B$803,"DE CORTE")-SUMIFS(MOVIMIENTOS_COMPLEMENTOS!$I$4:$I$803,MOVIMIENTOS_COMPLEMENTOS!$C$4:$C$803,A1083,MOVIMIENTOS_COMPLEMENTOS!$D$4:$D$803,B1083,MOVIMIENTOS_COMPLEMENTOS!$E$4:$E$803,C1083,MOVIMIENTOS_COMPLEMENTOS!$G$4:$G$803,E1083,MOVIMIENTOS_COMPLEMENTOS!$H$4:$H$803,G1083,MOVIMIENTOS_COMPLEMENTOS!$B$4:$B$803,"SALIDA"),0)</f>
        <v>0</v>
      </c>
      <c r="I1083" s="102">
        <f t="array" ref="I1083">IFERROR(INDEX(PRECIOS_COMPLEMENTOS!$C$4:$F$17,MATCH(B1083&amp;"_"&amp;C1083,PRECIOS_COMPLEMENTOS!$H$4:$H$17,0),IF(OR(G1083="S",G1083="20cm"),1,IF(OR(G1083="M",G1083="25cm"),2,IF(OR(G1083="L",G1083="30cm"),3,IF(OR(G1083="XL",G1083="35cm"),4,0))))),0)</f>
        <v>0.4</v>
      </c>
      <c r="J1083" s="103">
        <f t="shared" si="1"/>
        <v>0</v>
      </c>
      <c r="K1083" s="104" t="str">
        <f>IF(H1083&lt;0,"ERROR",IF(H1083=0,"",IF(H1083&lt;CONFIG!$B$4,"CRÍTICO",IF(H1083&lt;CONFIG!$B$5,"BAJO","OK"))))</f>
        <v/>
      </c>
    </row>
    <row r="1084" ht="15.75" hidden="1" customHeight="1">
      <c r="A1084" s="90" t="str">
        <f>IF(CLIENTES!A8="","",CLIENTES!A8)</f>
        <v/>
      </c>
      <c r="B1084" s="90" t="s">
        <v>321</v>
      </c>
      <c r="C1084" s="91" t="s">
        <v>328</v>
      </c>
      <c r="D1084" s="109" t="s">
        <v>353</v>
      </c>
      <c r="E1084" s="67" t="str">
        <f>COLORES!A14</f>
        <v>Denim</v>
      </c>
      <c r="F1084" s="67" t="str">
        <f>COLORES!B14</f>
        <v>CLARO</v>
      </c>
      <c r="G1084" s="90" t="s">
        <v>378</v>
      </c>
      <c r="H1084" s="100">
        <f>IFERROR(SUMIFS(MOVIMIENTOS_COMPLEMENTOS!$I$4:$I$803,MOVIMIENTOS_COMPLEMENTOS!$C$4:$C$803,A1084,MOVIMIENTOS_COMPLEMENTOS!$D$4:$D$803,B1084,MOVIMIENTOS_COMPLEMENTOS!$E$4:$E$803,C1084,MOVIMIENTOS_COMPLEMENTOS!$G$4:$G$803,E1084,MOVIMIENTOS_COMPLEMENTOS!$H$4:$H$803,G1084,MOVIMIENTOS_COMPLEMENTOS!$B$4:$B$803,"INGRESO")+SUMIFS(MOVIMIENTOS_COMPLEMENTOS!$I$4:$I$803,MOVIMIENTOS_COMPLEMENTOS!$C$4:$C$803,A1084,MOVIMIENTOS_COMPLEMENTOS!$D$4:$D$803,B1084,MOVIMIENTOS_COMPLEMENTOS!$E$4:$E$803,C1084,MOVIMIENTOS_COMPLEMENTOS!$G$4:$G$803,E1084,MOVIMIENTOS_COMPLEMENTOS!$H$4:$H$803,G1084,MOVIMIENTOS_COMPLEMENTOS!$B$4:$B$803,"DE CORTE")-SUMIFS(MOVIMIENTOS_COMPLEMENTOS!$I$4:$I$803,MOVIMIENTOS_COMPLEMENTOS!$C$4:$C$803,A1084,MOVIMIENTOS_COMPLEMENTOS!$D$4:$D$803,B1084,MOVIMIENTOS_COMPLEMENTOS!$E$4:$E$803,C1084,MOVIMIENTOS_COMPLEMENTOS!$G$4:$G$803,E1084,MOVIMIENTOS_COMPLEMENTOS!$H$4:$H$803,G1084,MOVIMIENTOS_COMPLEMENTOS!$B$4:$B$803,"SALIDA"),0)</f>
        <v>0</v>
      </c>
      <c r="I1084" s="102">
        <f t="array" ref="I1084">IFERROR(INDEX(PRECIOS_COMPLEMENTOS!$C$4:$F$17,MATCH(B1084&amp;"_"&amp;C1084,PRECIOS_COMPLEMENTOS!$H$4:$H$17,0),IF(OR(G1084="S",G1084="20cm"),1,IF(OR(G1084="M",G1084="25cm"),2,IF(OR(G1084="L",G1084="30cm"),3,IF(OR(G1084="XL",G1084="35cm"),4,0))))),0)</f>
        <v>0.4</v>
      </c>
      <c r="J1084" s="103">
        <f t="shared" si="1"/>
        <v>0</v>
      </c>
      <c r="K1084" s="104" t="str">
        <f>IF(H1084&lt;0,"ERROR",IF(H1084=0,"",IF(H1084&lt;CONFIG!$B$4,"CRÍTICO",IF(H1084&lt;CONFIG!$B$5,"BAJO","OK"))))</f>
        <v/>
      </c>
    </row>
    <row r="1085" ht="15.75" hidden="1" customHeight="1">
      <c r="A1085" s="90" t="str">
        <f>IF(CLIENTES!A8="","",CLIENTES!A8)</f>
        <v/>
      </c>
      <c r="B1085" s="90" t="s">
        <v>321</v>
      </c>
      <c r="C1085" s="91" t="s">
        <v>328</v>
      </c>
      <c r="D1085" s="109" t="s">
        <v>353</v>
      </c>
      <c r="E1085" s="67" t="str">
        <f>COLORES!A14</f>
        <v>Denim</v>
      </c>
      <c r="F1085" s="67" t="str">
        <f>COLORES!B14</f>
        <v>CLARO</v>
      </c>
      <c r="G1085" s="90" t="s">
        <v>376</v>
      </c>
      <c r="H1085" s="100">
        <f>IFERROR(SUMIFS(MOVIMIENTOS_COMPLEMENTOS!$I$4:$I$803,MOVIMIENTOS_COMPLEMENTOS!$C$4:$C$803,A1085,MOVIMIENTOS_COMPLEMENTOS!$D$4:$D$803,B1085,MOVIMIENTOS_COMPLEMENTOS!$E$4:$E$803,C1085,MOVIMIENTOS_COMPLEMENTOS!$G$4:$G$803,E1085,MOVIMIENTOS_COMPLEMENTOS!$H$4:$H$803,G1085,MOVIMIENTOS_COMPLEMENTOS!$B$4:$B$803,"INGRESO")+SUMIFS(MOVIMIENTOS_COMPLEMENTOS!$I$4:$I$803,MOVIMIENTOS_COMPLEMENTOS!$C$4:$C$803,A1085,MOVIMIENTOS_COMPLEMENTOS!$D$4:$D$803,B1085,MOVIMIENTOS_COMPLEMENTOS!$E$4:$E$803,C1085,MOVIMIENTOS_COMPLEMENTOS!$G$4:$G$803,E1085,MOVIMIENTOS_COMPLEMENTOS!$H$4:$H$803,G1085,MOVIMIENTOS_COMPLEMENTOS!$B$4:$B$803,"DE CORTE")-SUMIFS(MOVIMIENTOS_COMPLEMENTOS!$I$4:$I$803,MOVIMIENTOS_COMPLEMENTOS!$C$4:$C$803,A1085,MOVIMIENTOS_COMPLEMENTOS!$D$4:$D$803,B1085,MOVIMIENTOS_COMPLEMENTOS!$E$4:$E$803,C1085,MOVIMIENTOS_COMPLEMENTOS!$G$4:$G$803,E1085,MOVIMIENTOS_COMPLEMENTOS!$H$4:$H$803,G1085,MOVIMIENTOS_COMPLEMENTOS!$B$4:$B$803,"SALIDA"),0)</f>
        <v>0</v>
      </c>
      <c r="I1085" s="102">
        <f t="array" ref="I1085">IFERROR(INDEX(PRECIOS_COMPLEMENTOS!$C$4:$F$17,MATCH(B1085&amp;"_"&amp;C1085,PRECIOS_COMPLEMENTOS!$H$4:$H$17,0),IF(OR(G1085="S",G1085="20cm"),1,IF(OR(G1085="M",G1085="25cm"),2,IF(OR(G1085="L",G1085="30cm"),3,IF(OR(G1085="XL",G1085="35cm"),4,0))))),0)</f>
        <v>0.4</v>
      </c>
      <c r="J1085" s="103">
        <f t="shared" si="1"/>
        <v>0</v>
      </c>
      <c r="K1085" s="104" t="str">
        <f>IF(H1085&lt;0,"ERROR",IF(H1085=0,"",IF(H1085&lt;CONFIG!$B$4,"CRÍTICO",IF(H1085&lt;CONFIG!$B$5,"BAJO","OK"))))</f>
        <v/>
      </c>
    </row>
    <row r="1086" ht="15.75" hidden="1" customHeight="1">
      <c r="A1086" s="90" t="str">
        <f>IF(CLIENTES!A8="","",CLIENTES!A8)</f>
        <v/>
      </c>
      <c r="B1086" s="90" t="s">
        <v>321</v>
      </c>
      <c r="C1086" s="91" t="s">
        <v>328</v>
      </c>
      <c r="D1086" s="109" t="s">
        <v>353</v>
      </c>
      <c r="E1086" s="67" t="str">
        <f>COLORES!A14</f>
        <v>Denim</v>
      </c>
      <c r="F1086" s="67" t="str">
        <f>COLORES!B14</f>
        <v>CLARO</v>
      </c>
      <c r="G1086" s="90" t="s">
        <v>377</v>
      </c>
      <c r="H1086" s="100">
        <f>IFERROR(SUMIFS(MOVIMIENTOS_COMPLEMENTOS!$I$4:$I$803,MOVIMIENTOS_COMPLEMENTOS!$C$4:$C$803,A1086,MOVIMIENTOS_COMPLEMENTOS!$D$4:$D$803,B1086,MOVIMIENTOS_COMPLEMENTOS!$E$4:$E$803,C1086,MOVIMIENTOS_COMPLEMENTOS!$G$4:$G$803,E1086,MOVIMIENTOS_COMPLEMENTOS!$H$4:$H$803,G1086,MOVIMIENTOS_COMPLEMENTOS!$B$4:$B$803,"INGRESO")+SUMIFS(MOVIMIENTOS_COMPLEMENTOS!$I$4:$I$803,MOVIMIENTOS_COMPLEMENTOS!$C$4:$C$803,A1086,MOVIMIENTOS_COMPLEMENTOS!$D$4:$D$803,B1086,MOVIMIENTOS_COMPLEMENTOS!$E$4:$E$803,C1086,MOVIMIENTOS_COMPLEMENTOS!$G$4:$G$803,E1086,MOVIMIENTOS_COMPLEMENTOS!$H$4:$H$803,G1086,MOVIMIENTOS_COMPLEMENTOS!$B$4:$B$803,"DE CORTE")-SUMIFS(MOVIMIENTOS_COMPLEMENTOS!$I$4:$I$803,MOVIMIENTOS_COMPLEMENTOS!$C$4:$C$803,A1086,MOVIMIENTOS_COMPLEMENTOS!$D$4:$D$803,B1086,MOVIMIENTOS_COMPLEMENTOS!$E$4:$E$803,C1086,MOVIMIENTOS_COMPLEMENTOS!$G$4:$G$803,E1086,MOVIMIENTOS_COMPLEMENTOS!$H$4:$H$803,G1086,MOVIMIENTOS_COMPLEMENTOS!$B$4:$B$803,"SALIDA"),0)</f>
        <v>0</v>
      </c>
      <c r="I1086" s="102">
        <f t="array" ref="I1086">IFERROR(INDEX(PRECIOS_COMPLEMENTOS!$C$4:$F$17,MATCH(B1086&amp;"_"&amp;C1086,PRECIOS_COMPLEMENTOS!$H$4:$H$17,0),IF(OR(G1086="S",G1086="20cm"),1,IF(OR(G1086="M",G1086="25cm"),2,IF(OR(G1086="L",G1086="30cm"),3,IF(OR(G1086="XL",G1086="35cm"),4,0))))),0)</f>
        <v>0.4</v>
      </c>
      <c r="J1086" s="103">
        <f t="shared" si="1"/>
        <v>0</v>
      </c>
      <c r="K1086" s="104" t="str">
        <f>IF(H1086&lt;0,"ERROR",IF(H1086=0,"",IF(H1086&lt;CONFIG!$B$4,"CRÍTICO",IF(H1086&lt;CONFIG!$B$5,"BAJO","OK"))))</f>
        <v/>
      </c>
    </row>
    <row r="1087" ht="15.75" hidden="1" customHeight="1">
      <c r="A1087" s="90" t="str">
        <f>IF(CLIENTES!A8="","",CLIENTES!A8)</f>
        <v/>
      </c>
      <c r="B1087" s="90" t="s">
        <v>321</v>
      </c>
      <c r="C1087" s="91" t="s">
        <v>328</v>
      </c>
      <c r="D1087" s="109" t="s">
        <v>353</v>
      </c>
      <c r="E1087" s="67" t="str">
        <f>COLORES!A14</f>
        <v>Denim</v>
      </c>
      <c r="F1087" s="67" t="str">
        <f>COLORES!B14</f>
        <v>CLARO</v>
      </c>
      <c r="G1087" s="90" t="s">
        <v>379</v>
      </c>
      <c r="H1087" s="100">
        <f>IFERROR(SUMIFS(MOVIMIENTOS_COMPLEMENTOS!$I$4:$I$803,MOVIMIENTOS_COMPLEMENTOS!$C$4:$C$803,A1087,MOVIMIENTOS_COMPLEMENTOS!$D$4:$D$803,B1087,MOVIMIENTOS_COMPLEMENTOS!$E$4:$E$803,C1087,MOVIMIENTOS_COMPLEMENTOS!$G$4:$G$803,E1087,MOVIMIENTOS_COMPLEMENTOS!$H$4:$H$803,G1087,MOVIMIENTOS_COMPLEMENTOS!$B$4:$B$803,"INGRESO")+SUMIFS(MOVIMIENTOS_COMPLEMENTOS!$I$4:$I$803,MOVIMIENTOS_COMPLEMENTOS!$C$4:$C$803,A1087,MOVIMIENTOS_COMPLEMENTOS!$D$4:$D$803,B1087,MOVIMIENTOS_COMPLEMENTOS!$E$4:$E$803,C1087,MOVIMIENTOS_COMPLEMENTOS!$G$4:$G$803,E1087,MOVIMIENTOS_COMPLEMENTOS!$H$4:$H$803,G1087,MOVIMIENTOS_COMPLEMENTOS!$B$4:$B$803,"DE CORTE")-SUMIFS(MOVIMIENTOS_COMPLEMENTOS!$I$4:$I$803,MOVIMIENTOS_COMPLEMENTOS!$C$4:$C$803,A1087,MOVIMIENTOS_COMPLEMENTOS!$D$4:$D$803,B1087,MOVIMIENTOS_COMPLEMENTOS!$E$4:$E$803,C1087,MOVIMIENTOS_COMPLEMENTOS!$G$4:$G$803,E1087,MOVIMIENTOS_COMPLEMENTOS!$H$4:$H$803,G1087,MOVIMIENTOS_COMPLEMENTOS!$B$4:$B$803,"SALIDA"),0)</f>
        <v>0</v>
      </c>
      <c r="I1087" s="102">
        <f t="array" ref="I1087">IFERROR(INDEX(PRECIOS_COMPLEMENTOS!$C$4:$F$17,MATCH(B1087&amp;"_"&amp;C1087,PRECIOS_COMPLEMENTOS!$H$4:$H$17,0),IF(OR(G1087="S",G1087="20cm"),1,IF(OR(G1087="M",G1087="25cm"),2,IF(OR(G1087="L",G1087="30cm"),3,IF(OR(G1087="XL",G1087="35cm"),4,0))))),0)</f>
        <v>0.4</v>
      </c>
      <c r="J1087" s="103">
        <f t="shared" si="1"/>
        <v>0</v>
      </c>
      <c r="K1087" s="104" t="str">
        <f>IF(H1087&lt;0,"ERROR",IF(H1087=0,"",IF(H1087&lt;CONFIG!$B$4,"CRÍTICO",IF(H1087&lt;CONFIG!$B$5,"BAJO","OK"))))</f>
        <v/>
      </c>
    </row>
    <row r="1088" ht="15.75" hidden="1" customHeight="1">
      <c r="A1088" s="90" t="str">
        <f>IF(CLIENTES!A8="","",CLIENTES!A8)</f>
        <v/>
      </c>
      <c r="B1088" s="90" t="s">
        <v>321</v>
      </c>
      <c r="C1088" s="91" t="s">
        <v>328</v>
      </c>
      <c r="D1088" s="109" t="s">
        <v>353</v>
      </c>
      <c r="E1088" s="67" t="str">
        <f>COLORES!A15</f>
        <v>Plomo</v>
      </c>
      <c r="F1088" s="67" t="str">
        <f>COLORES!B15</f>
        <v>OSCURO</v>
      </c>
      <c r="G1088" s="90" t="s">
        <v>378</v>
      </c>
      <c r="H1088" s="100">
        <f>IFERROR(SUMIFS(MOVIMIENTOS_COMPLEMENTOS!$I$4:$I$803,MOVIMIENTOS_COMPLEMENTOS!$C$4:$C$803,A1088,MOVIMIENTOS_COMPLEMENTOS!$D$4:$D$803,B1088,MOVIMIENTOS_COMPLEMENTOS!$E$4:$E$803,C1088,MOVIMIENTOS_COMPLEMENTOS!$G$4:$G$803,E1088,MOVIMIENTOS_COMPLEMENTOS!$H$4:$H$803,G1088,MOVIMIENTOS_COMPLEMENTOS!$B$4:$B$803,"INGRESO")+SUMIFS(MOVIMIENTOS_COMPLEMENTOS!$I$4:$I$803,MOVIMIENTOS_COMPLEMENTOS!$C$4:$C$803,A1088,MOVIMIENTOS_COMPLEMENTOS!$D$4:$D$803,B1088,MOVIMIENTOS_COMPLEMENTOS!$E$4:$E$803,C1088,MOVIMIENTOS_COMPLEMENTOS!$G$4:$G$803,E1088,MOVIMIENTOS_COMPLEMENTOS!$H$4:$H$803,G1088,MOVIMIENTOS_COMPLEMENTOS!$B$4:$B$803,"DE CORTE")-SUMIFS(MOVIMIENTOS_COMPLEMENTOS!$I$4:$I$803,MOVIMIENTOS_COMPLEMENTOS!$C$4:$C$803,A1088,MOVIMIENTOS_COMPLEMENTOS!$D$4:$D$803,B1088,MOVIMIENTOS_COMPLEMENTOS!$E$4:$E$803,C1088,MOVIMIENTOS_COMPLEMENTOS!$G$4:$G$803,E1088,MOVIMIENTOS_COMPLEMENTOS!$H$4:$H$803,G1088,MOVIMIENTOS_COMPLEMENTOS!$B$4:$B$803,"SALIDA"),0)</f>
        <v>0</v>
      </c>
      <c r="I1088" s="102">
        <f t="array" ref="I1088">IFERROR(INDEX(PRECIOS_COMPLEMENTOS!$C$4:$F$17,MATCH(B1088&amp;"_"&amp;C1088,PRECIOS_COMPLEMENTOS!$H$4:$H$17,0),IF(OR(G1088="S",G1088="20cm"),1,IF(OR(G1088="M",G1088="25cm"),2,IF(OR(G1088="L",G1088="30cm"),3,IF(OR(G1088="XL",G1088="35cm"),4,0))))),0)</f>
        <v>0.4</v>
      </c>
      <c r="J1088" s="103">
        <f t="shared" si="1"/>
        <v>0</v>
      </c>
      <c r="K1088" s="104" t="str">
        <f>IF(H1088&lt;0,"ERROR",IF(H1088=0,"",IF(H1088&lt;CONFIG!$B$4,"CRÍTICO",IF(H1088&lt;CONFIG!$B$5,"BAJO","OK"))))</f>
        <v/>
      </c>
    </row>
    <row r="1089" ht="15.75" hidden="1" customHeight="1">
      <c r="A1089" s="90" t="str">
        <f>IF(CLIENTES!A8="","",CLIENTES!A8)</f>
        <v/>
      </c>
      <c r="B1089" s="90" t="s">
        <v>321</v>
      </c>
      <c r="C1089" s="91" t="s">
        <v>328</v>
      </c>
      <c r="D1089" s="109" t="s">
        <v>353</v>
      </c>
      <c r="E1089" s="67" t="str">
        <f>COLORES!A15</f>
        <v>Plomo</v>
      </c>
      <c r="F1089" s="67" t="str">
        <f>COLORES!B15</f>
        <v>OSCURO</v>
      </c>
      <c r="G1089" s="90" t="s">
        <v>376</v>
      </c>
      <c r="H1089" s="100">
        <f>IFERROR(SUMIFS(MOVIMIENTOS_COMPLEMENTOS!$I$4:$I$803,MOVIMIENTOS_COMPLEMENTOS!$C$4:$C$803,A1089,MOVIMIENTOS_COMPLEMENTOS!$D$4:$D$803,B1089,MOVIMIENTOS_COMPLEMENTOS!$E$4:$E$803,C1089,MOVIMIENTOS_COMPLEMENTOS!$G$4:$G$803,E1089,MOVIMIENTOS_COMPLEMENTOS!$H$4:$H$803,G1089,MOVIMIENTOS_COMPLEMENTOS!$B$4:$B$803,"INGRESO")+SUMIFS(MOVIMIENTOS_COMPLEMENTOS!$I$4:$I$803,MOVIMIENTOS_COMPLEMENTOS!$C$4:$C$803,A1089,MOVIMIENTOS_COMPLEMENTOS!$D$4:$D$803,B1089,MOVIMIENTOS_COMPLEMENTOS!$E$4:$E$803,C1089,MOVIMIENTOS_COMPLEMENTOS!$G$4:$G$803,E1089,MOVIMIENTOS_COMPLEMENTOS!$H$4:$H$803,G1089,MOVIMIENTOS_COMPLEMENTOS!$B$4:$B$803,"DE CORTE")-SUMIFS(MOVIMIENTOS_COMPLEMENTOS!$I$4:$I$803,MOVIMIENTOS_COMPLEMENTOS!$C$4:$C$803,A1089,MOVIMIENTOS_COMPLEMENTOS!$D$4:$D$803,B1089,MOVIMIENTOS_COMPLEMENTOS!$E$4:$E$803,C1089,MOVIMIENTOS_COMPLEMENTOS!$G$4:$G$803,E1089,MOVIMIENTOS_COMPLEMENTOS!$H$4:$H$803,G1089,MOVIMIENTOS_COMPLEMENTOS!$B$4:$B$803,"SALIDA"),0)</f>
        <v>0</v>
      </c>
      <c r="I1089" s="102">
        <f t="array" ref="I1089">IFERROR(INDEX(PRECIOS_COMPLEMENTOS!$C$4:$F$17,MATCH(B1089&amp;"_"&amp;C1089,PRECIOS_COMPLEMENTOS!$H$4:$H$17,0),IF(OR(G1089="S",G1089="20cm"),1,IF(OR(G1089="M",G1089="25cm"),2,IF(OR(G1089="L",G1089="30cm"),3,IF(OR(G1089="XL",G1089="35cm"),4,0))))),0)</f>
        <v>0.4</v>
      </c>
      <c r="J1089" s="103">
        <f t="shared" si="1"/>
        <v>0</v>
      </c>
      <c r="K1089" s="104" t="str">
        <f>IF(H1089&lt;0,"ERROR",IF(H1089=0,"",IF(H1089&lt;CONFIG!$B$4,"CRÍTICO",IF(H1089&lt;CONFIG!$B$5,"BAJO","OK"))))</f>
        <v/>
      </c>
    </row>
    <row r="1090" ht="15.75" hidden="1" customHeight="1">
      <c r="A1090" s="90" t="str">
        <f>IF(CLIENTES!A8="","",CLIENTES!A8)</f>
        <v/>
      </c>
      <c r="B1090" s="90" t="s">
        <v>321</v>
      </c>
      <c r="C1090" s="91" t="s">
        <v>328</v>
      </c>
      <c r="D1090" s="109" t="s">
        <v>353</v>
      </c>
      <c r="E1090" s="67" t="str">
        <f>COLORES!A15</f>
        <v>Plomo</v>
      </c>
      <c r="F1090" s="67" t="str">
        <f>COLORES!B15</f>
        <v>OSCURO</v>
      </c>
      <c r="G1090" s="90" t="s">
        <v>377</v>
      </c>
      <c r="H1090" s="100">
        <f>IFERROR(SUMIFS(MOVIMIENTOS_COMPLEMENTOS!$I$4:$I$803,MOVIMIENTOS_COMPLEMENTOS!$C$4:$C$803,A1090,MOVIMIENTOS_COMPLEMENTOS!$D$4:$D$803,B1090,MOVIMIENTOS_COMPLEMENTOS!$E$4:$E$803,C1090,MOVIMIENTOS_COMPLEMENTOS!$G$4:$G$803,E1090,MOVIMIENTOS_COMPLEMENTOS!$H$4:$H$803,G1090,MOVIMIENTOS_COMPLEMENTOS!$B$4:$B$803,"INGRESO")+SUMIFS(MOVIMIENTOS_COMPLEMENTOS!$I$4:$I$803,MOVIMIENTOS_COMPLEMENTOS!$C$4:$C$803,A1090,MOVIMIENTOS_COMPLEMENTOS!$D$4:$D$803,B1090,MOVIMIENTOS_COMPLEMENTOS!$E$4:$E$803,C1090,MOVIMIENTOS_COMPLEMENTOS!$G$4:$G$803,E1090,MOVIMIENTOS_COMPLEMENTOS!$H$4:$H$803,G1090,MOVIMIENTOS_COMPLEMENTOS!$B$4:$B$803,"DE CORTE")-SUMIFS(MOVIMIENTOS_COMPLEMENTOS!$I$4:$I$803,MOVIMIENTOS_COMPLEMENTOS!$C$4:$C$803,A1090,MOVIMIENTOS_COMPLEMENTOS!$D$4:$D$803,B1090,MOVIMIENTOS_COMPLEMENTOS!$E$4:$E$803,C1090,MOVIMIENTOS_COMPLEMENTOS!$G$4:$G$803,E1090,MOVIMIENTOS_COMPLEMENTOS!$H$4:$H$803,G1090,MOVIMIENTOS_COMPLEMENTOS!$B$4:$B$803,"SALIDA"),0)</f>
        <v>0</v>
      </c>
      <c r="I1090" s="102">
        <f t="array" ref="I1090">IFERROR(INDEX(PRECIOS_COMPLEMENTOS!$C$4:$F$17,MATCH(B1090&amp;"_"&amp;C1090,PRECIOS_COMPLEMENTOS!$H$4:$H$17,0),IF(OR(G1090="S",G1090="20cm"),1,IF(OR(G1090="M",G1090="25cm"),2,IF(OR(G1090="L",G1090="30cm"),3,IF(OR(G1090="XL",G1090="35cm"),4,0))))),0)</f>
        <v>0.4</v>
      </c>
      <c r="J1090" s="103">
        <f t="shared" si="1"/>
        <v>0</v>
      </c>
      <c r="K1090" s="104" t="str">
        <f>IF(H1090&lt;0,"ERROR",IF(H1090=0,"",IF(H1090&lt;CONFIG!$B$4,"CRÍTICO",IF(H1090&lt;CONFIG!$B$5,"BAJO","OK"))))</f>
        <v/>
      </c>
    </row>
    <row r="1091" ht="15.75" hidden="1" customHeight="1">
      <c r="A1091" s="90" t="str">
        <f>IF(CLIENTES!A8="","",CLIENTES!A8)</f>
        <v/>
      </c>
      <c r="B1091" s="90" t="s">
        <v>321</v>
      </c>
      <c r="C1091" s="91" t="s">
        <v>328</v>
      </c>
      <c r="D1091" s="109" t="s">
        <v>353</v>
      </c>
      <c r="E1091" s="67" t="str">
        <f>COLORES!A15</f>
        <v>Plomo</v>
      </c>
      <c r="F1091" s="67" t="str">
        <f>COLORES!B15</f>
        <v>OSCURO</v>
      </c>
      <c r="G1091" s="90" t="s">
        <v>379</v>
      </c>
      <c r="H1091" s="100">
        <f>IFERROR(SUMIFS(MOVIMIENTOS_COMPLEMENTOS!$I$4:$I$803,MOVIMIENTOS_COMPLEMENTOS!$C$4:$C$803,A1091,MOVIMIENTOS_COMPLEMENTOS!$D$4:$D$803,B1091,MOVIMIENTOS_COMPLEMENTOS!$E$4:$E$803,C1091,MOVIMIENTOS_COMPLEMENTOS!$G$4:$G$803,E1091,MOVIMIENTOS_COMPLEMENTOS!$H$4:$H$803,G1091,MOVIMIENTOS_COMPLEMENTOS!$B$4:$B$803,"INGRESO")+SUMIFS(MOVIMIENTOS_COMPLEMENTOS!$I$4:$I$803,MOVIMIENTOS_COMPLEMENTOS!$C$4:$C$803,A1091,MOVIMIENTOS_COMPLEMENTOS!$D$4:$D$803,B1091,MOVIMIENTOS_COMPLEMENTOS!$E$4:$E$803,C1091,MOVIMIENTOS_COMPLEMENTOS!$G$4:$G$803,E1091,MOVIMIENTOS_COMPLEMENTOS!$H$4:$H$803,G1091,MOVIMIENTOS_COMPLEMENTOS!$B$4:$B$803,"DE CORTE")-SUMIFS(MOVIMIENTOS_COMPLEMENTOS!$I$4:$I$803,MOVIMIENTOS_COMPLEMENTOS!$C$4:$C$803,A1091,MOVIMIENTOS_COMPLEMENTOS!$D$4:$D$803,B1091,MOVIMIENTOS_COMPLEMENTOS!$E$4:$E$803,C1091,MOVIMIENTOS_COMPLEMENTOS!$G$4:$G$803,E1091,MOVIMIENTOS_COMPLEMENTOS!$H$4:$H$803,G1091,MOVIMIENTOS_COMPLEMENTOS!$B$4:$B$803,"SALIDA"),0)</f>
        <v>0</v>
      </c>
      <c r="I1091" s="102">
        <f t="array" ref="I1091">IFERROR(INDEX(PRECIOS_COMPLEMENTOS!$C$4:$F$17,MATCH(B1091&amp;"_"&amp;C1091,PRECIOS_COMPLEMENTOS!$H$4:$H$17,0),IF(OR(G1091="S",G1091="20cm"),1,IF(OR(G1091="M",G1091="25cm"),2,IF(OR(G1091="L",G1091="30cm"),3,IF(OR(G1091="XL",G1091="35cm"),4,0))))),0)</f>
        <v>0.4</v>
      </c>
      <c r="J1091" s="103">
        <f t="shared" si="1"/>
        <v>0</v>
      </c>
      <c r="K1091" s="104" t="str">
        <f>IF(H1091&lt;0,"ERROR",IF(H1091=0,"",IF(H1091&lt;CONFIG!$B$4,"CRÍTICO",IF(H1091&lt;CONFIG!$B$5,"BAJO","OK"))))</f>
        <v/>
      </c>
    </row>
    <row r="1092" ht="15.75" hidden="1" customHeight="1">
      <c r="A1092" s="90" t="str">
        <f>IF(CLIENTES!A8="","",CLIENTES!A8)</f>
        <v/>
      </c>
      <c r="B1092" s="90" t="s">
        <v>321</v>
      </c>
      <c r="C1092" s="91" t="s">
        <v>328</v>
      </c>
      <c r="D1092" s="109" t="s">
        <v>353</v>
      </c>
      <c r="E1092" s="67" t="str">
        <f>COLORES!A16</f>
        <v>Topo</v>
      </c>
      <c r="F1092" s="67" t="str">
        <f>COLORES!B16</f>
        <v>CLARO</v>
      </c>
      <c r="G1092" s="90" t="s">
        <v>378</v>
      </c>
      <c r="H1092" s="100">
        <f>IFERROR(SUMIFS(MOVIMIENTOS_COMPLEMENTOS!$I$4:$I$803,MOVIMIENTOS_COMPLEMENTOS!$C$4:$C$803,A1092,MOVIMIENTOS_COMPLEMENTOS!$D$4:$D$803,B1092,MOVIMIENTOS_COMPLEMENTOS!$E$4:$E$803,C1092,MOVIMIENTOS_COMPLEMENTOS!$G$4:$G$803,E1092,MOVIMIENTOS_COMPLEMENTOS!$H$4:$H$803,G1092,MOVIMIENTOS_COMPLEMENTOS!$B$4:$B$803,"INGRESO")+SUMIFS(MOVIMIENTOS_COMPLEMENTOS!$I$4:$I$803,MOVIMIENTOS_COMPLEMENTOS!$C$4:$C$803,A1092,MOVIMIENTOS_COMPLEMENTOS!$D$4:$D$803,B1092,MOVIMIENTOS_COMPLEMENTOS!$E$4:$E$803,C1092,MOVIMIENTOS_COMPLEMENTOS!$G$4:$G$803,E1092,MOVIMIENTOS_COMPLEMENTOS!$H$4:$H$803,G1092,MOVIMIENTOS_COMPLEMENTOS!$B$4:$B$803,"DE CORTE")-SUMIFS(MOVIMIENTOS_COMPLEMENTOS!$I$4:$I$803,MOVIMIENTOS_COMPLEMENTOS!$C$4:$C$803,A1092,MOVIMIENTOS_COMPLEMENTOS!$D$4:$D$803,B1092,MOVIMIENTOS_COMPLEMENTOS!$E$4:$E$803,C1092,MOVIMIENTOS_COMPLEMENTOS!$G$4:$G$803,E1092,MOVIMIENTOS_COMPLEMENTOS!$H$4:$H$803,G1092,MOVIMIENTOS_COMPLEMENTOS!$B$4:$B$803,"SALIDA"),0)</f>
        <v>0</v>
      </c>
      <c r="I1092" s="102">
        <f t="array" ref="I1092">IFERROR(INDEX(PRECIOS_COMPLEMENTOS!$C$4:$F$17,MATCH(B1092&amp;"_"&amp;C1092,PRECIOS_COMPLEMENTOS!$H$4:$H$17,0),IF(OR(G1092="S",G1092="20cm"),1,IF(OR(G1092="M",G1092="25cm"),2,IF(OR(G1092="L",G1092="30cm"),3,IF(OR(G1092="XL",G1092="35cm"),4,0))))),0)</f>
        <v>0.4</v>
      </c>
      <c r="J1092" s="103">
        <f t="shared" si="1"/>
        <v>0</v>
      </c>
      <c r="K1092" s="104" t="str">
        <f>IF(H1092&lt;0,"ERROR",IF(H1092=0,"",IF(H1092&lt;CONFIG!$B$4,"CRÍTICO",IF(H1092&lt;CONFIG!$B$5,"BAJO","OK"))))</f>
        <v/>
      </c>
    </row>
    <row r="1093" ht="15.75" hidden="1" customHeight="1">
      <c r="A1093" s="90" t="str">
        <f>IF(CLIENTES!A8="","",CLIENTES!A8)</f>
        <v/>
      </c>
      <c r="B1093" s="90" t="s">
        <v>321</v>
      </c>
      <c r="C1093" s="91" t="s">
        <v>328</v>
      </c>
      <c r="D1093" s="109" t="s">
        <v>353</v>
      </c>
      <c r="E1093" s="67" t="str">
        <f>COLORES!A16</f>
        <v>Topo</v>
      </c>
      <c r="F1093" s="67" t="str">
        <f>COLORES!B16</f>
        <v>CLARO</v>
      </c>
      <c r="G1093" s="90" t="s">
        <v>376</v>
      </c>
      <c r="H1093" s="100">
        <f>IFERROR(SUMIFS(MOVIMIENTOS_COMPLEMENTOS!$I$4:$I$803,MOVIMIENTOS_COMPLEMENTOS!$C$4:$C$803,A1093,MOVIMIENTOS_COMPLEMENTOS!$D$4:$D$803,B1093,MOVIMIENTOS_COMPLEMENTOS!$E$4:$E$803,C1093,MOVIMIENTOS_COMPLEMENTOS!$G$4:$G$803,E1093,MOVIMIENTOS_COMPLEMENTOS!$H$4:$H$803,G1093,MOVIMIENTOS_COMPLEMENTOS!$B$4:$B$803,"INGRESO")+SUMIFS(MOVIMIENTOS_COMPLEMENTOS!$I$4:$I$803,MOVIMIENTOS_COMPLEMENTOS!$C$4:$C$803,A1093,MOVIMIENTOS_COMPLEMENTOS!$D$4:$D$803,B1093,MOVIMIENTOS_COMPLEMENTOS!$E$4:$E$803,C1093,MOVIMIENTOS_COMPLEMENTOS!$G$4:$G$803,E1093,MOVIMIENTOS_COMPLEMENTOS!$H$4:$H$803,G1093,MOVIMIENTOS_COMPLEMENTOS!$B$4:$B$803,"DE CORTE")-SUMIFS(MOVIMIENTOS_COMPLEMENTOS!$I$4:$I$803,MOVIMIENTOS_COMPLEMENTOS!$C$4:$C$803,A1093,MOVIMIENTOS_COMPLEMENTOS!$D$4:$D$803,B1093,MOVIMIENTOS_COMPLEMENTOS!$E$4:$E$803,C1093,MOVIMIENTOS_COMPLEMENTOS!$G$4:$G$803,E1093,MOVIMIENTOS_COMPLEMENTOS!$H$4:$H$803,G1093,MOVIMIENTOS_COMPLEMENTOS!$B$4:$B$803,"SALIDA"),0)</f>
        <v>0</v>
      </c>
      <c r="I1093" s="102">
        <f t="array" ref="I1093">IFERROR(INDEX(PRECIOS_COMPLEMENTOS!$C$4:$F$17,MATCH(B1093&amp;"_"&amp;C1093,PRECIOS_COMPLEMENTOS!$H$4:$H$17,0),IF(OR(G1093="S",G1093="20cm"),1,IF(OR(G1093="M",G1093="25cm"),2,IF(OR(G1093="L",G1093="30cm"),3,IF(OR(G1093="XL",G1093="35cm"),4,0))))),0)</f>
        <v>0.4</v>
      </c>
      <c r="J1093" s="103">
        <f t="shared" si="1"/>
        <v>0</v>
      </c>
      <c r="K1093" s="104" t="str">
        <f>IF(H1093&lt;0,"ERROR",IF(H1093=0,"",IF(H1093&lt;CONFIG!$B$4,"CRÍTICO",IF(H1093&lt;CONFIG!$B$5,"BAJO","OK"))))</f>
        <v/>
      </c>
    </row>
    <row r="1094" ht="15.75" hidden="1" customHeight="1">
      <c r="A1094" s="90" t="str">
        <f>IF(CLIENTES!A8="","",CLIENTES!A8)</f>
        <v/>
      </c>
      <c r="B1094" s="90" t="s">
        <v>321</v>
      </c>
      <c r="C1094" s="91" t="s">
        <v>328</v>
      </c>
      <c r="D1094" s="109" t="s">
        <v>353</v>
      </c>
      <c r="E1094" s="67" t="str">
        <f>COLORES!A16</f>
        <v>Topo</v>
      </c>
      <c r="F1094" s="67" t="str">
        <f>COLORES!B16</f>
        <v>CLARO</v>
      </c>
      <c r="G1094" s="90" t="s">
        <v>377</v>
      </c>
      <c r="H1094" s="100">
        <f>IFERROR(SUMIFS(MOVIMIENTOS_COMPLEMENTOS!$I$4:$I$803,MOVIMIENTOS_COMPLEMENTOS!$C$4:$C$803,A1094,MOVIMIENTOS_COMPLEMENTOS!$D$4:$D$803,B1094,MOVIMIENTOS_COMPLEMENTOS!$E$4:$E$803,C1094,MOVIMIENTOS_COMPLEMENTOS!$G$4:$G$803,E1094,MOVIMIENTOS_COMPLEMENTOS!$H$4:$H$803,G1094,MOVIMIENTOS_COMPLEMENTOS!$B$4:$B$803,"INGRESO")+SUMIFS(MOVIMIENTOS_COMPLEMENTOS!$I$4:$I$803,MOVIMIENTOS_COMPLEMENTOS!$C$4:$C$803,A1094,MOVIMIENTOS_COMPLEMENTOS!$D$4:$D$803,B1094,MOVIMIENTOS_COMPLEMENTOS!$E$4:$E$803,C1094,MOVIMIENTOS_COMPLEMENTOS!$G$4:$G$803,E1094,MOVIMIENTOS_COMPLEMENTOS!$H$4:$H$803,G1094,MOVIMIENTOS_COMPLEMENTOS!$B$4:$B$803,"DE CORTE")-SUMIFS(MOVIMIENTOS_COMPLEMENTOS!$I$4:$I$803,MOVIMIENTOS_COMPLEMENTOS!$C$4:$C$803,A1094,MOVIMIENTOS_COMPLEMENTOS!$D$4:$D$803,B1094,MOVIMIENTOS_COMPLEMENTOS!$E$4:$E$803,C1094,MOVIMIENTOS_COMPLEMENTOS!$G$4:$G$803,E1094,MOVIMIENTOS_COMPLEMENTOS!$H$4:$H$803,G1094,MOVIMIENTOS_COMPLEMENTOS!$B$4:$B$803,"SALIDA"),0)</f>
        <v>0</v>
      </c>
      <c r="I1094" s="102">
        <f t="array" ref="I1094">IFERROR(INDEX(PRECIOS_COMPLEMENTOS!$C$4:$F$17,MATCH(B1094&amp;"_"&amp;C1094,PRECIOS_COMPLEMENTOS!$H$4:$H$17,0),IF(OR(G1094="S",G1094="20cm"),1,IF(OR(G1094="M",G1094="25cm"),2,IF(OR(G1094="L",G1094="30cm"),3,IF(OR(G1094="XL",G1094="35cm"),4,0))))),0)</f>
        <v>0.4</v>
      </c>
      <c r="J1094" s="103">
        <f t="shared" si="1"/>
        <v>0</v>
      </c>
      <c r="K1094" s="104" t="str">
        <f>IF(H1094&lt;0,"ERROR",IF(H1094=0,"",IF(H1094&lt;CONFIG!$B$4,"CRÍTICO",IF(H1094&lt;CONFIG!$B$5,"BAJO","OK"))))</f>
        <v/>
      </c>
    </row>
    <row r="1095" ht="15.75" hidden="1" customHeight="1">
      <c r="A1095" s="90" t="str">
        <f>IF(CLIENTES!A8="","",CLIENTES!A8)</f>
        <v/>
      </c>
      <c r="B1095" s="90" t="s">
        <v>321</v>
      </c>
      <c r="C1095" s="91" t="s">
        <v>328</v>
      </c>
      <c r="D1095" s="109" t="s">
        <v>353</v>
      </c>
      <c r="E1095" s="67" t="str">
        <f>COLORES!A16</f>
        <v>Topo</v>
      </c>
      <c r="F1095" s="67" t="str">
        <f>COLORES!B16</f>
        <v>CLARO</v>
      </c>
      <c r="G1095" s="90" t="s">
        <v>379</v>
      </c>
      <c r="H1095" s="100">
        <f>IFERROR(SUMIFS(MOVIMIENTOS_COMPLEMENTOS!$I$4:$I$803,MOVIMIENTOS_COMPLEMENTOS!$C$4:$C$803,A1095,MOVIMIENTOS_COMPLEMENTOS!$D$4:$D$803,B1095,MOVIMIENTOS_COMPLEMENTOS!$E$4:$E$803,C1095,MOVIMIENTOS_COMPLEMENTOS!$G$4:$G$803,E1095,MOVIMIENTOS_COMPLEMENTOS!$H$4:$H$803,G1095,MOVIMIENTOS_COMPLEMENTOS!$B$4:$B$803,"INGRESO")+SUMIFS(MOVIMIENTOS_COMPLEMENTOS!$I$4:$I$803,MOVIMIENTOS_COMPLEMENTOS!$C$4:$C$803,A1095,MOVIMIENTOS_COMPLEMENTOS!$D$4:$D$803,B1095,MOVIMIENTOS_COMPLEMENTOS!$E$4:$E$803,C1095,MOVIMIENTOS_COMPLEMENTOS!$G$4:$G$803,E1095,MOVIMIENTOS_COMPLEMENTOS!$H$4:$H$803,G1095,MOVIMIENTOS_COMPLEMENTOS!$B$4:$B$803,"DE CORTE")-SUMIFS(MOVIMIENTOS_COMPLEMENTOS!$I$4:$I$803,MOVIMIENTOS_COMPLEMENTOS!$C$4:$C$803,A1095,MOVIMIENTOS_COMPLEMENTOS!$D$4:$D$803,B1095,MOVIMIENTOS_COMPLEMENTOS!$E$4:$E$803,C1095,MOVIMIENTOS_COMPLEMENTOS!$G$4:$G$803,E1095,MOVIMIENTOS_COMPLEMENTOS!$H$4:$H$803,G1095,MOVIMIENTOS_COMPLEMENTOS!$B$4:$B$803,"SALIDA"),0)</f>
        <v>0</v>
      </c>
      <c r="I1095" s="102">
        <f t="array" ref="I1095">IFERROR(INDEX(PRECIOS_COMPLEMENTOS!$C$4:$F$17,MATCH(B1095&amp;"_"&amp;C1095,PRECIOS_COMPLEMENTOS!$H$4:$H$17,0),IF(OR(G1095="S",G1095="20cm"),1,IF(OR(G1095="M",G1095="25cm"),2,IF(OR(G1095="L",G1095="30cm"),3,IF(OR(G1095="XL",G1095="35cm"),4,0))))),0)</f>
        <v>0.4</v>
      </c>
      <c r="J1095" s="103">
        <f t="shared" si="1"/>
        <v>0</v>
      </c>
      <c r="K1095" s="104" t="str">
        <f>IF(H1095&lt;0,"ERROR",IF(H1095=0,"",IF(H1095&lt;CONFIG!$B$4,"CRÍTICO",IF(H1095&lt;CONFIG!$B$5,"BAJO","OK"))))</f>
        <v/>
      </c>
    </row>
    <row r="1096" ht="15.75" hidden="1" customHeight="1">
      <c r="A1096" s="90" t="str">
        <f>IF(CLIENTES!A8="","",CLIENTES!A8)</f>
        <v/>
      </c>
      <c r="B1096" s="90" t="s">
        <v>321</v>
      </c>
      <c r="C1096" s="91" t="s">
        <v>328</v>
      </c>
      <c r="D1096" s="109" t="s">
        <v>353</v>
      </c>
      <c r="E1096" s="67" t="str">
        <f>COLORES!A17</f>
        <v>Vino</v>
      </c>
      <c r="F1096" s="67" t="str">
        <f>COLORES!B17</f>
        <v>OSCURO</v>
      </c>
      <c r="G1096" s="90" t="s">
        <v>378</v>
      </c>
      <c r="H1096" s="100">
        <f>IFERROR(SUMIFS(MOVIMIENTOS_COMPLEMENTOS!$I$4:$I$803,MOVIMIENTOS_COMPLEMENTOS!$C$4:$C$803,A1096,MOVIMIENTOS_COMPLEMENTOS!$D$4:$D$803,B1096,MOVIMIENTOS_COMPLEMENTOS!$E$4:$E$803,C1096,MOVIMIENTOS_COMPLEMENTOS!$G$4:$G$803,E1096,MOVIMIENTOS_COMPLEMENTOS!$H$4:$H$803,G1096,MOVIMIENTOS_COMPLEMENTOS!$B$4:$B$803,"INGRESO")+SUMIFS(MOVIMIENTOS_COMPLEMENTOS!$I$4:$I$803,MOVIMIENTOS_COMPLEMENTOS!$C$4:$C$803,A1096,MOVIMIENTOS_COMPLEMENTOS!$D$4:$D$803,B1096,MOVIMIENTOS_COMPLEMENTOS!$E$4:$E$803,C1096,MOVIMIENTOS_COMPLEMENTOS!$G$4:$G$803,E1096,MOVIMIENTOS_COMPLEMENTOS!$H$4:$H$803,G1096,MOVIMIENTOS_COMPLEMENTOS!$B$4:$B$803,"DE CORTE")-SUMIFS(MOVIMIENTOS_COMPLEMENTOS!$I$4:$I$803,MOVIMIENTOS_COMPLEMENTOS!$C$4:$C$803,A1096,MOVIMIENTOS_COMPLEMENTOS!$D$4:$D$803,B1096,MOVIMIENTOS_COMPLEMENTOS!$E$4:$E$803,C1096,MOVIMIENTOS_COMPLEMENTOS!$G$4:$G$803,E1096,MOVIMIENTOS_COMPLEMENTOS!$H$4:$H$803,G1096,MOVIMIENTOS_COMPLEMENTOS!$B$4:$B$803,"SALIDA"),0)</f>
        <v>0</v>
      </c>
      <c r="I1096" s="102">
        <f t="array" ref="I1096">IFERROR(INDEX(PRECIOS_COMPLEMENTOS!$C$4:$F$17,MATCH(B1096&amp;"_"&amp;C1096,PRECIOS_COMPLEMENTOS!$H$4:$H$17,0),IF(OR(G1096="S",G1096="20cm"),1,IF(OR(G1096="M",G1096="25cm"),2,IF(OR(G1096="L",G1096="30cm"),3,IF(OR(G1096="XL",G1096="35cm"),4,0))))),0)</f>
        <v>0.4</v>
      </c>
      <c r="J1096" s="103">
        <f t="shared" si="1"/>
        <v>0</v>
      </c>
      <c r="K1096" s="104" t="str">
        <f>IF(H1096&lt;0,"ERROR",IF(H1096=0,"",IF(H1096&lt;CONFIG!$B$4,"CRÍTICO",IF(H1096&lt;CONFIG!$B$5,"BAJO","OK"))))</f>
        <v/>
      </c>
    </row>
    <row r="1097" ht="15.75" hidden="1" customHeight="1">
      <c r="A1097" s="90" t="str">
        <f>IF(CLIENTES!A8="","",CLIENTES!A8)</f>
        <v/>
      </c>
      <c r="B1097" s="90" t="s">
        <v>321</v>
      </c>
      <c r="C1097" s="91" t="s">
        <v>328</v>
      </c>
      <c r="D1097" s="109" t="s">
        <v>353</v>
      </c>
      <c r="E1097" s="67" t="str">
        <f>COLORES!A17</f>
        <v>Vino</v>
      </c>
      <c r="F1097" s="67" t="str">
        <f>COLORES!B17</f>
        <v>OSCURO</v>
      </c>
      <c r="G1097" s="90" t="s">
        <v>376</v>
      </c>
      <c r="H1097" s="100">
        <f>IFERROR(SUMIFS(MOVIMIENTOS_COMPLEMENTOS!$I$4:$I$803,MOVIMIENTOS_COMPLEMENTOS!$C$4:$C$803,A1097,MOVIMIENTOS_COMPLEMENTOS!$D$4:$D$803,B1097,MOVIMIENTOS_COMPLEMENTOS!$E$4:$E$803,C1097,MOVIMIENTOS_COMPLEMENTOS!$G$4:$G$803,E1097,MOVIMIENTOS_COMPLEMENTOS!$H$4:$H$803,G1097,MOVIMIENTOS_COMPLEMENTOS!$B$4:$B$803,"INGRESO")+SUMIFS(MOVIMIENTOS_COMPLEMENTOS!$I$4:$I$803,MOVIMIENTOS_COMPLEMENTOS!$C$4:$C$803,A1097,MOVIMIENTOS_COMPLEMENTOS!$D$4:$D$803,B1097,MOVIMIENTOS_COMPLEMENTOS!$E$4:$E$803,C1097,MOVIMIENTOS_COMPLEMENTOS!$G$4:$G$803,E1097,MOVIMIENTOS_COMPLEMENTOS!$H$4:$H$803,G1097,MOVIMIENTOS_COMPLEMENTOS!$B$4:$B$803,"DE CORTE")-SUMIFS(MOVIMIENTOS_COMPLEMENTOS!$I$4:$I$803,MOVIMIENTOS_COMPLEMENTOS!$C$4:$C$803,A1097,MOVIMIENTOS_COMPLEMENTOS!$D$4:$D$803,B1097,MOVIMIENTOS_COMPLEMENTOS!$E$4:$E$803,C1097,MOVIMIENTOS_COMPLEMENTOS!$G$4:$G$803,E1097,MOVIMIENTOS_COMPLEMENTOS!$H$4:$H$803,G1097,MOVIMIENTOS_COMPLEMENTOS!$B$4:$B$803,"SALIDA"),0)</f>
        <v>0</v>
      </c>
      <c r="I1097" s="102">
        <f t="array" ref="I1097">IFERROR(INDEX(PRECIOS_COMPLEMENTOS!$C$4:$F$17,MATCH(B1097&amp;"_"&amp;C1097,PRECIOS_COMPLEMENTOS!$H$4:$H$17,0),IF(OR(G1097="S",G1097="20cm"),1,IF(OR(G1097="M",G1097="25cm"),2,IF(OR(G1097="L",G1097="30cm"),3,IF(OR(G1097="XL",G1097="35cm"),4,0))))),0)</f>
        <v>0.4</v>
      </c>
      <c r="J1097" s="103">
        <f t="shared" si="1"/>
        <v>0</v>
      </c>
      <c r="K1097" s="104" t="str">
        <f>IF(H1097&lt;0,"ERROR",IF(H1097=0,"",IF(H1097&lt;CONFIG!$B$4,"CRÍTICO",IF(H1097&lt;CONFIG!$B$5,"BAJO","OK"))))</f>
        <v/>
      </c>
    </row>
    <row r="1098" ht="15.75" hidden="1" customHeight="1">
      <c r="A1098" s="90" t="str">
        <f>IF(CLIENTES!A8="","",CLIENTES!A8)</f>
        <v/>
      </c>
      <c r="B1098" s="90" t="s">
        <v>321</v>
      </c>
      <c r="C1098" s="91" t="s">
        <v>328</v>
      </c>
      <c r="D1098" s="109" t="s">
        <v>353</v>
      </c>
      <c r="E1098" s="67" t="str">
        <f>COLORES!A17</f>
        <v>Vino</v>
      </c>
      <c r="F1098" s="67" t="str">
        <f>COLORES!B17</f>
        <v>OSCURO</v>
      </c>
      <c r="G1098" s="90" t="s">
        <v>377</v>
      </c>
      <c r="H1098" s="100">
        <f>IFERROR(SUMIFS(MOVIMIENTOS_COMPLEMENTOS!$I$4:$I$803,MOVIMIENTOS_COMPLEMENTOS!$C$4:$C$803,A1098,MOVIMIENTOS_COMPLEMENTOS!$D$4:$D$803,B1098,MOVIMIENTOS_COMPLEMENTOS!$E$4:$E$803,C1098,MOVIMIENTOS_COMPLEMENTOS!$G$4:$G$803,E1098,MOVIMIENTOS_COMPLEMENTOS!$H$4:$H$803,G1098,MOVIMIENTOS_COMPLEMENTOS!$B$4:$B$803,"INGRESO")+SUMIFS(MOVIMIENTOS_COMPLEMENTOS!$I$4:$I$803,MOVIMIENTOS_COMPLEMENTOS!$C$4:$C$803,A1098,MOVIMIENTOS_COMPLEMENTOS!$D$4:$D$803,B1098,MOVIMIENTOS_COMPLEMENTOS!$E$4:$E$803,C1098,MOVIMIENTOS_COMPLEMENTOS!$G$4:$G$803,E1098,MOVIMIENTOS_COMPLEMENTOS!$H$4:$H$803,G1098,MOVIMIENTOS_COMPLEMENTOS!$B$4:$B$803,"DE CORTE")-SUMIFS(MOVIMIENTOS_COMPLEMENTOS!$I$4:$I$803,MOVIMIENTOS_COMPLEMENTOS!$C$4:$C$803,A1098,MOVIMIENTOS_COMPLEMENTOS!$D$4:$D$803,B1098,MOVIMIENTOS_COMPLEMENTOS!$E$4:$E$803,C1098,MOVIMIENTOS_COMPLEMENTOS!$G$4:$G$803,E1098,MOVIMIENTOS_COMPLEMENTOS!$H$4:$H$803,G1098,MOVIMIENTOS_COMPLEMENTOS!$B$4:$B$803,"SALIDA"),0)</f>
        <v>0</v>
      </c>
      <c r="I1098" s="102">
        <f t="array" ref="I1098">IFERROR(INDEX(PRECIOS_COMPLEMENTOS!$C$4:$F$17,MATCH(B1098&amp;"_"&amp;C1098,PRECIOS_COMPLEMENTOS!$H$4:$H$17,0),IF(OR(G1098="S",G1098="20cm"),1,IF(OR(G1098="M",G1098="25cm"),2,IF(OR(G1098="L",G1098="30cm"),3,IF(OR(G1098="XL",G1098="35cm"),4,0))))),0)</f>
        <v>0.4</v>
      </c>
      <c r="J1098" s="103">
        <f t="shared" si="1"/>
        <v>0</v>
      </c>
      <c r="K1098" s="104" t="str">
        <f>IF(H1098&lt;0,"ERROR",IF(H1098=0,"",IF(H1098&lt;CONFIG!$B$4,"CRÍTICO",IF(H1098&lt;CONFIG!$B$5,"BAJO","OK"))))</f>
        <v/>
      </c>
    </row>
    <row r="1099" ht="15.75" hidden="1" customHeight="1">
      <c r="A1099" s="90" t="str">
        <f>IF(CLIENTES!A8="","",CLIENTES!A8)</f>
        <v/>
      </c>
      <c r="B1099" s="90" t="s">
        <v>321</v>
      </c>
      <c r="C1099" s="91" t="s">
        <v>328</v>
      </c>
      <c r="D1099" s="109" t="s">
        <v>353</v>
      </c>
      <c r="E1099" s="67" t="str">
        <f>COLORES!A17</f>
        <v>Vino</v>
      </c>
      <c r="F1099" s="67" t="str">
        <f>COLORES!B17</f>
        <v>OSCURO</v>
      </c>
      <c r="G1099" s="90" t="s">
        <v>379</v>
      </c>
      <c r="H1099" s="100">
        <f>IFERROR(SUMIFS(MOVIMIENTOS_COMPLEMENTOS!$I$4:$I$803,MOVIMIENTOS_COMPLEMENTOS!$C$4:$C$803,A1099,MOVIMIENTOS_COMPLEMENTOS!$D$4:$D$803,B1099,MOVIMIENTOS_COMPLEMENTOS!$E$4:$E$803,C1099,MOVIMIENTOS_COMPLEMENTOS!$G$4:$G$803,E1099,MOVIMIENTOS_COMPLEMENTOS!$H$4:$H$803,G1099,MOVIMIENTOS_COMPLEMENTOS!$B$4:$B$803,"INGRESO")+SUMIFS(MOVIMIENTOS_COMPLEMENTOS!$I$4:$I$803,MOVIMIENTOS_COMPLEMENTOS!$C$4:$C$803,A1099,MOVIMIENTOS_COMPLEMENTOS!$D$4:$D$803,B1099,MOVIMIENTOS_COMPLEMENTOS!$E$4:$E$803,C1099,MOVIMIENTOS_COMPLEMENTOS!$G$4:$G$803,E1099,MOVIMIENTOS_COMPLEMENTOS!$H$4:$H$803,G1099,MOVIMIENTOS_COMPLEMENTOS!$B$4:$B$803,"DE CORTE")-SUMIFS(MOVIMIENTOS_COMPLEMENTOS!$I$4:$I$803,MOVIMIENTOS_COMPLEMENTOS!$C$4:$C$803,A1099,MOVIMIENTOS_COMPLEMENTOS!$D$4:$D$803,B1099,MOVIMIENTOS_COMPLEMENTOS!$E$4:$E$803,C1099,MOVIMIENTOS_COMPLEMENTOS!$G$4:$G$803,E1099,MOVIMIENTOS_COMPLEMENTOS!$H$4:$H$803,G1099,MOVIMIENTOS_COMPLEMENTOS!$B$4:$B$803,"SALIDA"),0)</f>
        <v>0</v>
      </c>
      <c r="I1099" s="102">
        <f t="array" ref="I1099">IFERROR(INDEX(PRECIOS_COMPLEMENTOS!$C$4:$F$17,MATCH(B1099&amp;"_"&amp;C1099,PRECIOS_COMPLEMENTOS!$H$4:$H$17,0),IF(OR(G1099="S",G1099="20cm"),1,IF(OR(G1099="M",G1099="25cm"),2,IF(OR(G1099="L",G1099="30cm"),3,IF(OR(G1099="XL",G1099="35cm"),4,0))))),0)</f>
        <v>0.4</v>
      </c>
      <c r="J1099" s="103">
        <f t="shared" si="1"/>
        <v>0</v>
      </c>
      <c r="K1099" s="104" t="str">
        <f>IF(H1099&lt;0,"ERROR",IF(H1099=0,"",IF(H1099&lt;CONFIG!$B$4,"CRÍTICO",IF(H1099&lt;CONFIG!$B$5,"BAJO","OK"))))</f>
        <v/>
      </c>
    </row>
    <row r="1100" ht="15.75" hidden="1" customHeight="1">
      <c r="A1100" s="90" t="str">
        <f>IF(CLIENTES!A8="","",CLIENTES!A8)</f>
        <v/>
      </c>
      <c r="B1100" s="90" t="s">
        <v>321</v>
      </c>
      <c r="C1100" s="91" t="s">
        <v>328</v>
      </c>
      <c r="D1100" s="109" t="s">
        <v>353</v>
      </c>
      <c r="E1100" s="67" t="str">
        <f>COLORES!A18</f>
        <v>P. Rosa</v>
      </c>
      <c r="F1100" s="67" t="str">
        <f>COLORES!B18</f>
        <v>CLARO</v>
      </c>
      <c r="G1100" s="90" t="s">
        <v>378</v>
      </c>
      <c r="H1100" s="100">
        <f>IFERROR(SUMIFS(MOVIMIENTOS_COMPLEMENTOS!$I$4:$I$803,MOVIMIENTOS_COMPLEMENTOS!$C$4:$C$803,A1100,MOVIMIENTOS_COMPLEMENTOS!$D$4:$D$803,B1100,MOVIMIENTOS_COMPLEMENTOS!$E$4:$E$803,C1100,MOVIMIENTOS_COMPLEMENTOS!$G$4:$G$803,E1100,MOVIMIENTOS_COMPLEMENTOS!$H$4:$H$803,G1100,MOVIMIENTOS_COMPLEMENTOS!$B$4:$B$803,"INGRESO")+SUMIFS(MOVIMIENTOS_COMPLEMENTOS!$I$4:$I$803,MOVIMIENTOS_COMPLEMENTOS!$C$4:$C$803,A1100,MOVIMIENTOS_COMPLEMENTOS!$D$4:$D$803,B1100,MOVIMIENTOS_COMPLEMENTOS!$E$4:$E$803,C1100,MOVIMIENTOS_COMPLEMENTOS!$G$4:$G$803,E1100,MOVIMIENTOS_COMPLEMENTOS!$H$4:$H$803,G1100,MOVIMIENTOS_COMPLEMENTOS!$B$4:$B$803,"DE CORTE")-SUMIFS(MOVIMIENTOS_COMPLEMENTOS!$I$4:$I$803,MOVIMIENTOS_COMPLEMENTOS!$C$4:$C$803,A1100,MOVIMIENTOS_COMPLEMENTOS!$D$4:$D$803,B1100,MOVIMIENTOS_COMPLEMENTOS!$E$4:$E$803,C1100,MOVIMIENTOS_COMPLEMENTOS!$G$4:$G$803,E1100,MOVIMIENTOS_COMPLEMENTOS!$H$4:$H$803,G1100,MOVIMIENTOS_COMPLEMENTOS!$B$4:$B$803,"SALIDA"),0)</f>
        <v>0</v>
      </c>
      <c r="I1100" s="102">
        <f t="array" ref="I1100">IFERROR(INDEX(PRECIOS_COMPLEMENTOS!$C$4:$F$17,MATCH(B1100&amp;"_"&amp;C1100,PRECIOS_COMPLEMENTOS!$H$4:$H$17,0),IF(OR(G1100="S",G1100="20cm"),1,IF(OR(G1100="M",G1100="25cm"),2,IF(OR(G1100="L",G1100="30cm"),3,IF(OR(G1100="XL",G1100="35cm"),4,0))))),0)</f>
        <v>0.4</v>
      </c>
      <c r="J1100" s="103">
        <f t="shared" si="1"/>
        <v>0</v>
      </c>
      <c r="K1100" s="104" t="str">
        <f>IF(H1100&lt;0,"ERROR",IF(H1100=0,"",IF(H1100&lt;CONFIG!$B$4,"CRÍTICO",IF(H1100&lt;CONFIG!$B$5,"BAJO","OK"))))</f>
        <v/>
      </c>
    </row>
    <row r="1101" ht="15.75" hidden="1" customHeight="1">
      <c r="A1101" s="90" t="str">
        <f>IF(CLIENTES!A8="","",CLIENTES!A8)</f>
        <v/>
      </c>
      <c r="B1101" s="90" t="s">
        <v>321</v>
      </c>
      <c r="C1101" s="91" t="s">
        <v>328</v>
      </c>
      <c r="D1101" s="109" t="s">
        <v>353</v>
      </c>
      <c r="E1101" s="67" t="str">
        <f>COLORES!A18</f>
        <v>P. Rosa</v>
      </c>
      <c r="F1101" s="67" t="str">
        <f>COLORES!B18</f>
        <v>CLARO</v>
      </c>
      <c r="G1101" s="90" t="s">
        <v>376</v>
      </c>
      <c r="H1101" s="100">
        <f>IFERROR(SUMIFS(MOVIMIENTOS_COMPLEMENTOS!$I$4:$I$803,MOVIMIENTOS_COMPLEMENTOS!$C$4:$C$803,A1101,MOVIMIENTOS_COMPLEMENTOS!$D$4:$D$803,B1101,MOVIMIENTOS_COMPLEMENTOS!$E$4:$E$803,C1101,MOVIMIENTOS_COMPLEMENTOS!$G$4:$G$803,E1101,MOVIMIENTOS_COMPLEMENTOS!$H$4:$H$803,G1101,MOVIMIENTOS_COMPLEMENTOS!$B$4:$B$803,"INGRESO")+SUMIFS(MOVIMIENTOS_COMPLEMENTOS!$I$4:$I$803,MOVIMIENTOS_COMPLEMENTOS!$C$4:$C$803,A1101,MOVIMIENTOS_COMPLEMENTOS!$D$4:$D$803,B1101,MOVIMIENTOS_COMPLEMENTOS!$E$4:$E$803,C1101,MOVIMIENTOS_COMPLEMENTOS!$G$4:$G$803,E1101,MOVIMIENTOS_COMPLEMENTOS!$H$4:$H$803,G1101,MOVIMIENTOS_COMPLEMENTOS!$B$4:$B$803,"DE CORTE")-SUMIFS(MOVIMIENTOS_COMPLEMENTOS!$I$4:$I$803,MOVIMIENTOS_COMPLEMENTOS!$C$4:$C$803,A1101,MOVIMIENTOS_COMPLEMENTOS!$D$4:$D$803,B1101,MOVIMIENTOS_COMPLEMENTOS!$E$4:$E$803,C1101,MOVIMIENTOS_COMPLEMENTOS!$G$4:$G$803,E1101,MOVIMIENTOS_COMPLEMENTOS!$H$4:$H$803,G1101,MOVIMIENTOS_COMPLEMENTOS!$B$4:$B$803,"SALIDA"),0)</f>
        <v>0</v>
      </c>
      <c r="I1101" s="102">
        <f t="array" ref="I1101">IFERROR(INDEX(PRECIOS_COMPLEMENTOS!$C$4:$F$17,MATCH(B1101&amp;"_"&amp;C1101,PRECIOS_COMPLEMENTOS!$H$4:$H$17,0),IF(OR(G1101="S",G1101="20cm"),1,IF(OR(G1101="M",G1101="25cm"),2,IF(OR(G1101="L",G1101="30cm"),3,IF(OR(G1101="XL",G1101="35cm"),4,0))))),0)</f>
        <v>0.4</v>
      </c>
      <c r="J1101" s="103">
        <f t="shared" si="1"/>
        <v>0</v>
      </c>
      <c r="K1101" s="104" t="str">
        <f>IF(H1101&lt;0,"ERROR",IF(H1101=0,"",IF(H1101&lt;CONFIG!$B$4,"CRÍTICO",IF(H1101&lt;CONFIG!$B$5,"BAJO","OK"))))</f>
        <v/>
      </c>
    </row>
    <row r="1102" ht="15.75" hidden="1" customHeight="1">
      <c r="A1102" s="90" t="str">
        <f>IF(CLIENTES!A8="","",CLIENTES!A8)</f>
        <v/>
      </c>
      <c r="B1102" s="90" t="s">
        <v>321</v>
      </c>
      <c r="C1102" s="91" t="s">
        <v>328</v>
      </c>
      <c r="D1102" s="109" t="s">
        <v>353</v>
      </c>
      <c r="E1102" s="67" t="str">
        <f>COLORES!A18</f>
        <v>P. Rosa</v>
      </c>
      <c r="F1102" s="67" t="str">
        <f>COLORES!B18</f>
        <v>CLARO</v>
      </c>
      <c r="G1102" s="90" t="s">
        <v>377</v>
      </c>
      <c r="H1102" s="100">
        <f>IFERROR(SUMIFS(MOVIMIENTOS_COMPLEMENTOS!$I$4:$I$803,MOVIMIENTOS_COMPLEMENTOS!$C$4:$C$803,A1102,MOVIMIENTOS_COMPLEMENTOS!$D$4:$D$803,B1102,MOVIMIENTOS_COMPLEMENTOS!$E$4:$E$803,C1102,MOVIMIENTOS_COMPLEMENTOS!$G$4:$G$803,E1102,MOVIMIENTOS_COMPLEMENTOS!$H$4:$H$803,G1102,MOVIMIENTOS_COMPLEMENTOS!$B$4:$B$803,"INGRESO")+SUMIFS(MOVIMIENTOS_COMPLEMENTOS!$I$4:$I$803,MOVIMIENTOS_COMPLEMENTOS!$C$4:$C$803,A1102,MOVIMIENTOS_COMPLEMENTOS!$D$4:$D$803,B1102,MOVIMIENTOS_COMPLEMENTOS!$E$4:$E$803,C1102,MOVIMIENTOS_COMPLEMENTOS!$G$4:$G$803,E1102,MOVIMIENTOS_COMPLEMENTOS!$H$4:$H$803,G1102,MOVIMIENTOS_COMPLEMENTOS!$B$4:$B$803,"DE CORTE")-SUMIFS(MOVIMIENTOS_COMPLEMENTOS!$I$4:$I$803,MOVIMIENTOS_COMPLEMENTOS!$C$4:$C$803,A1102,MOVIMIENTOS_COMPLEMENTOS!$D$4:$D$803,B1102,MOVIMIENTOS_COMPLEMENTOS!$E$4:$E$803,C1102,MOVIMIENTOS_COMPLEMENTOS!$G$4:$G$803,E1102,MOVIMIENTOS_COMPLEMENTOS!$H$4:$H$803,G1102,MOVIMIENTOS_COMPLEMENTOS!$B$4:$B$803,"SALIDA"),0)</f>
        <v>0</v>
      </c>
      <c r="I1102" s="102">
        <f t="array" ref="I1102">IFERROR(INDEX(PRECIOS_COMPLEMENTOS!$C$4:$F$17,MATCH(B1102&amp;"_"&amp;C1102,PRECIOS_COMPLEMENTOS!$H$4:$H$17,0),IF(OR(G1102="S",G1102="20cm"),1,IF(OR(G1102="M",G1102="25cm"),2,IF(OR(G1102="L",G1102="30cm"),3,IF(OR(G1102="XL",G1102="35cm"),4,0))))),0)</f>
        <v>0.4</v>
      </c>
      <c r="J1102" s="103">
        <f t="shared" si="1"/>
        <v>0</v>
      </c>
      <c r="K1102" s="104" t="str">
        <f>IF(H1102&lt;0,"ERROR",IF(H1102=0,"",IF(H1102&lt;CONFIG!$B$4,"CRÍTICO",IF(H1102&lt;CONFIG!$B$5,"BAJO","OK"))))</f>
        <v/>
      </c>
    </row>
    <row r="1103" ht="15.75" hidden="1" customHeight="1">
      <c r="A1103" s="90" t="str">
        <f>IF(CLIENTES!A8="","",CLIENTES!A8)</f>
        <v/>
      </c>
      <c r="B1103" s="90" t="s">
        <v>321</v>
      </c>
      <c r="C1103" s="91" t="s">
        <v>328</v>
      </c>
      <c r="D1103" s="109" t="s">
        <v>353</v>
      </c>
      <c r="E1103" s="67" t="str">
        <f>COLORES!A18</f>
        <v>P. Rosa</v>
      </c>
      <c r="F1103" s="67" t="str">
        <f>COLORES!B18</f>
        <v>CLARO</v>
      </c>
      <c r="G1103" s="90" t="s">
        <v>379</v>
      </c>
      <c r="H1103" s="100">
        <f>IFERROR(SUMIFS(MOVIMIENTOS_COMPLEMENTOS!$I$4:$I$803,MOVIMIENTOS_COMPLEMENTOS!$C$4:$C$803,A1103,MOVIMIENTOS_COMPLEMENTOS!$D$4:$D$803,B1103,MOVIMIENTOS_COMPLEMENTOS!$E$4:$E$803,C1103,MOVIMIENTOS_COMPLEMENTOS!$G$4:$G$803,E1103,MOVIMIENTOS_COMPLEMENTOS!$H$4:$H$803,G1103,MOVIMIENTOS_COMPLEMENTOS!$B$4:$B$803,"INGRESO")+SUMIFS(MOVIMIENTOS_COMPLEMENTOS!$I$4:$I$803,MOVIMIENTOS_COMPLEMENTOS!$C$4:$C$803,A1103,MOVIMIENTOS_COMPLEMENTOS!$D$4:$D$803,B1103,MOVIMIENTOS_COMPLEMENTOS!$E$4:$E$803,C1103,MOVIMIENTOS_COMPLEMENTOS!$G$4:$G$803,E1103,MOVIMIENTOS_COMPLEMENTOS!$H$4:$H$803,G1103,MOVIMIENTOS_COMPLEMENTOS!$B$4:$B$803,"DE CORTE")-SUMIFS(MOVIMIENTOS_COMPLEMENTOS!$I$4:$I$803,MOVIMIENTOS_COMPLEMENTOS!$C$4:$C$803,A1103,MOVIMIENTOS_COMPLEMENTOS!$D$4:$D$803,B1103,MOVIMIENTOS_COMPLEMENTOS!$E$4:$E$803,C1103,MOVIMIENTOS_COMPLEMENTOS!$G$4:$G$803,E1103,MOVIMIENTOS_COMPLEMENTOS!$H$4:$H$803,G1103,MOVIMIENTOS_COMPLEMENTOS!$B$4:$B$803,"SALIDA"),0)</f>
        <v>0</v>
      </c>
      <c r="I1103" s="102">
        <f t="array" ref="I1103">IFERROR(INDEX(PRECIOS_COMPLEMENTOS!$C$4:$F$17,MATCH(B1103&amp;"_"&amp;C1103,PRECIOS_COMPLEMENTOS!$H$4:$H$17,0),IF(OR(G1103="S",G1103="20cm"),1,IF(OR(G1103="M",G1103="25cm"),2,IF(OR(G1103="L",G1103="30cm"),3,IF(OR(G1103="XL",G1103="35cm"),4,0))))),0)</f>
        <v>0.4</v>
      </c>
      <c r="J1103" s="103">
        <f t="shared" si="1"/>
        <v>0</v>
      </c>
      <c r="K1103" s="104" t="str">
        <f>IF(H1103&lt;0,"ERROR",IF(H1103=0,"",IF(H1103&lt;CONFIG!$B$4,"CRÍTICO",IF(H1103&lt;CONFIG!$B$5,"BAJO","OK"))))</f>
        <v/>
      </c>
    </row>
    <row r="1104" ht="15.75" hidden="1" customHeight="1">
      <c r="A1104" s="90" t="str">
        <f>IF(CLIENTES!A8="","",CLIENTES!A8)</f>
        <v/>
      </c>
      <c r="B1104" s="90" t="s">
        <v>321</v>
      </c>
      <c r="C1104" s="91" t="s">
        <v>328</v>
      </c>
      <c r="D1104" s="109" t="s">
        <v>353</v>
      </c>
      <c r="E1104" s="67" t="str">
        <f>COLORES!A19</f>
        <v/>
      </c>
      <c r="F1104" s="67" t="str">
        <f>COLORES!B19</f>
        <v/>
      </c>
      <c r="G1104" s="90" t="s">
        <v>378</v>
      </c>
      <c r="H1104" s="100">
        <f>IFERROR(SUMIFS(MOVIMIENTOS_COMPLEMENTOS!$I$4:$I$803,MOVIMIENTOS_COMPLEMENTOS!$C$4:$C$803,A1104,MOVIMIENTOS_COMPLEMENTOS!$D$4:$D$803,B1104,MOVIMIENTOS_COMPLEMENTOS!$E$4:$E$803,C1104,MOVIMIENTOS_COMPLEMENTOS!$G$4:$G$803,E1104,MOVIMIENTOS_COMPLEMENTOS!$H$4:$H$803,G1104,MOVIMIENTOS_COMPLEMENTOS!$B$4:$B$803,"INGRESO")+SUMIFS(MOVIMIENTOS_COMPLEMENTOS!$I$4:$I$803,MOVIMIENTOS_COMPLEMENTOS!$C$4:$C$803,A1104,MOVIMIENTOS_COMPLEMENTOS!$D$4:$D$803,B1104,MOVIMIENTOS_COMPLEMENTOS!$E$4:$E$803,C1104,MOVIMIENTOS_COMPLEMENTOS!$G$4:$G$803,E1104,MOVIMIENTOS_COMPLEMENTOS!$H$4:$H$803,G1104,MOVIMIENTOS_COMPLEMENTOS!$B$4:$B$803,"DE CORTE")-SUMIFS(MOVIMIENTOS_COMPLEMENTOS!$I$4:$I$803,MOVIMIENTOS_COMPLEMENTOS!$C$4:$C$803,A1104,MOVIMIENTOS_COMPLEMENTOS!$D$4:$D$803,B1104,MOVIMIENTOS_COMPLEMENTOS!$E$4:$E$803,C1104,MOVIMIENTOS_COMPLEMENTOS!$G$4:$G$803,E1104,MOVIMIENTOS_COMPLEMENTOS!$H$4:$H$803,G1104,MOVIMIENTOS_COMPLEMENTOS!$B$4:$B$803,"SALIDA"),0)</f>
        <v>0</v>
      </c>
      <c r="I1104" s="102">
        <f t="array" ref="I1104">IFERROR(INDEX(PRECIOS_COMPLEMENTOS!$C$4:$F$17,MATCH(B1104&amp;"_"&amp;C1104,PRECIOS_COMPLEMENTOS!$H$4:$H$17,0),IF(OR(G1104="S",G1104="20cm"),1,IF(OR(G1104="M",G1104="25cm"),2,IF(OR(G1104="L",G1104="30cm"),3,IF(OR(G1104="XL",G1104="35cm"),4,0))))),0)</f>
        <v>0.4</v>
      </c>
      <c r="J1104" s="103">
        <f t="shared" si="1"/>
        <v>0</v>
      </c>
      <c r="K1104" s="104" t="str">
        <f>IF(H1104&lt;0,"ERROR",IF(H1104=0,"",IF(H1104&lt;CONFIG!$B$4,"CRÍTICO",IF(H1104&lt;CONFIG!$B$5,"BAJO","OK"))))</f>
        <v/>
      </c>
    </row>
    <row r="1105" ht="15.75" hidden="1" customHeight="1">
      <c r="A1105" s="90" t="str">
        <f>IF(CLIENTES!A8="","",CLIENTES!A8)</f>
        <v/>
      </c>
      <c r="B1105" s="90" t="s">
        <v>321</v>
      </c>
      <c r="C1105" s="91" t="s">
        <v>328</v>
      </c>
      <c r="D1105" s="109" t="s">
        <v>353</v>
      </c>
      <c r="E1105" s="67" t="str">
        <f>COLORES!A19</f>
        <v/>
      </c>
      <c r="F1105" s="67" t="str">
        <f>COLORES!B19</f>
        <v/>
      </c>
      <c r="G1105" s="90" t="s">
        <v>376</v>
      </c>
      <c r="H1105" s="100">
        <f>IFERROR(SUMIFS(MOVIMIENTOS_COMPLEMENTOS!$I$4:$I$803,MOVIMIENTOS_COMPLEMENTOS!$C$4:$C$803,A1105,MOVIMIENTOS_COMPLEMENTOS!$D$4:$D$803,B1105,MOVIMIENTOS_COMPLEMENTOS!$E$4:$E$803,C1105,MOVIMIENTOS_COMPLEMENTOS!$G$4:$G$803,E1105,MOVIMIENTOS_COMPLEMENTOS!$H$4:$H$803,G1105,MOVIMIENTOS_COMPLEMENTOS!$B$4:$B$803,"INGRESO")+SUMIFS(MOVIMIENTOS_COMPLEMENTOS!$I$4:$I$803,MOVIMIENTOS_COMPLEMENTOS!$C$4:$C$803,A1105,MOVIMIENTOS_COMPLEMENTOS!$D$4:$D$803,B1105,MOVIMIENTOS_COMPLEMENTOS!$E$4:$E$803,C1105,MOVIMIENTOS_COMPLEMENTOS!$G$4:$G$803,E1105,MOVIMIENTOS_COMPLEMENTOS!$H$4:$H$803,G1105,MOVIMIENTOS_COMPLEMENTOS!$B$4:$B$803,"DE CORTE")-SUMIFS(MOVIMIENTOS_COMPLEMENTOS!$I$4:$I$803,MOVIMIENTOS_COMPLEMENTOS!$C$4:$C$803,A1105,MOVIMIENTOS_COMPLEMENTOS!$D$4:$D$803,B1105,MOVIMIENTOS_COMPLEMENTOS!$E$4:$E$803,C1105,MOVIMIENTOS_COMPLEMENTOS!$G$4:$G$803,E1105,MOVIMIENTOS_COMPLEMENTOS!$H$4:$H$803,G1105,MOVIMIENTOS_COMPLEMENTOS!$B$4:$B$803,"SALIDA"),0)</f>
        <v>0</v>
      </c>
      <c r="I1105" s="102">
        <f t="array" ref="I1105">IFERROR(INDEX(PRECIOS_COMPLEMENTOS!$C$4:$F$17,MATCH(B1105&amp;"_"&amp;C1105,PRECIOS_COMPLEMENTOS!$H$4:$H$17,0),IF(OR(G1105="S",G1105="20cm"),1,IF(OR(G1105="M",G1105="25cm"),2,IF(OR(G1105="L",G1105="30cm"),3,IF(OR(G1105="XL",G1105="35cm"),4,0))))),0)</f>
        <v>0.4</v>
      </c>
      <c r="J1105" s="103">
        <f t="shared" si="1"/>
        <v>0</v>
      </c>
      <c r="K1105" s="104" t="str">
        <f>IF(H1105&lt;0,"ERROR",IF(H1105=0,"",IF(H1105&lt;CONFIG!$B$4,"CRÍTICO",IF(H1105&lt;CONFIG!$B$5,"BAJO","OK"))))</f>
        <v/>
      </c>
    </row>
    <row r="1106" ht="15.75" hidden="1" customHeight="1">
      <c r="A1106" s="90" t="str">
        <f>IF(CLIENTES!A8="","",CLIENTES!A8)</f>
        <v/>
      </c>
      <c r="B1106" s="90" t="s">
        <v>321</v>
      </c>
      <c r="C1106" s="91" t="s">
        <v>328</v>
      </c>
      <c r="D1106" s="109" t="s">
        <v>353</v>
      </c>
      <c r="E1106" s="67" t="str">
        <f>COLORES!A19</f>
        <v/>
      </c>
      <c r="F1106" s="67" t="str">
        <f>COLORES!B19</f>
        <v/>
      </c>
      <c r="G1106" s="90" t="s">
        <v>377</v>
      </c>
      <c r="H1106" s="100">
        <f>IFERROR(SUMIFS(MOVIMIENTOS_COMPLEMENTOS!$I$4:$I$803,MOVIMIENTOS_COMPLEMENTOS!$C$4:$C$803,A1106,MOVIMIENTOS_COMPLEMENTOS!$D$4:$D$803,B1106,MOVIMIENTOS_COMPLEMENTOS!$E$4:$E$803,C1106,MOVIMIENTOS_COMPLEMENTOS!$G$4:$G$803,E1106,MOVIMIENTOS_COMPLEMENTOS!$H$4:$H$803,G1106,MOVIMIENTOS_COMPLEMENTOS!$B$4:$B$803,"INGRESO")+SUMIFS(MOVIMIENTOS_COMPLEMENTOS!$I$4:$I$803,MOVIMIENTOS_COMPLEMENTOS!$C$4:$C$803,A1106,MOVIMIENTOS_COMPLEMENTOS!$D$4:$D$803,B1106,MOVIMIENTOS_COMPLEMENTOS!$E$4:$E$803,C1106,MOVIMIENTOS_COMPLEMENTOS!$G$4:$G$803,E1106,MOVIMIENTOS_COMPLEMENTOS!$H$4:$H$803,G1106,MOVIMIENTOS_COMPLEMENTOS!$B$4:$B$803,"DE CORTE")-SUMIFS(MOVIMIENTOS_COMPLEMENTOS!$I$4:$I$803,MOVIMIENTOS_COMPLEMENTOS!$C$4:$C$803,A1106,MOVIMIENTOS_COMPLEMENTOS!$D$4:$D$803,B1106,MOVIMIENTOS_COMPLEMENTOS!$E$4:$E$803,C1106,MOVIMIENTOS_COMPLEMENTOS!$G$4:$G$803,E1106,MOVIMIENTOS_COMPLEMENTOS!$H$4:$H$803,G1106,MOVIMIENTOS_COMPLEMENTOS!$B$4:$B$803,"SALIDA"),0)</f>
        <v>0</v>
      </c>
      <c r="I1106" s="102">
        <f t="array" ref="I1106">IFERROR(INDEX(PRECIOS_COMPLEMENTOS!$C$4:$F$17,MATCH(B1106&amp;"_"&amp;C1106,PRECIOS_COMPLEMENTOS!$H$4:$H$17,0),IF(OR(G1106="S",G1106="20cm"),1,IF(OR(G1106="M",G1106="25cm"),2,IF(OR(G1106="L",G1106="30cm"),3,IF(OR(G1106="XL",G1106="35cm"),4,0))))),0)</f>
        <v>0.4</v>
      </c>
      <c r="J1106" s="103">
        <f t="shared" si="1"/>
        <v>0</v>
      </c>
      <c r="K1106" s="104" t="str">
        <f>IF(H1106&lt;0,"ERROR",IF(H1106=0,"",IF(H1106&lt;CONFIG!$B$4,"CRÍTICO",IF(H1106&lt;CONFIG!$B$5,"BAJO","OK"))))</f>
        <v/>
      </c>
    </row>
    <row r="1107" ht="15.75" hidden="1" customHeight="1">
      <c r="A1107" s="90" t="str">
        <f>IF(CLIENTES!A8="","",CLIENTES!A8)</f>
        <v/>
      </c>
      <c r="B1107" s="90" t="s">
        <v>321</v>
      </c>
      <c r="C1107" s="91" t="s">
        <v>328</v>
      </c>
      <c r="D1107" s="109" t="s">
        <v>353</v>
      </c>
      <c r="E1107" s="67" t="str">
        <f>COLORES!A19</f>
        <v/>
      </c>
      <c r="F1107" s="67" t="str">
        <f>COLORES!B19</f>
        <v/>
      </c>
      <c r="G1107" s="90" t="s">
        <v>379</v>
      </c>
      <c r="H1107" s="100">
        <f>IFERROR(SUMIFS(MOVIMIENTOS_COMPLEMENTOS!$I$4:$I$803,MOVIMIENTOS_COMPLEMENTOS!$C$4:$C$803,A1107,MOVIMIENTOS_COMPLEMENTOS!$D$4:$D$803,B1107,MOVIMIENTOS_COMPLEMENTOS!$E$4:$E$803,C1107,MOVIMIENTOS_COMPLEMENTOS!$G$4:$G$803,E1107,MOVIMIENTOS_COMPLEMENTOS!$H$4:$H$803,G1107,MOVIMIENTOS_COMPLEMENTOS!$B$4:$B$803,"INGRESO")+SUMIFS(MOVIMIENTOS_COMPLEMENTOS!$I$4:$I$803,MOVIMIENTOS_COMPLEMENTOS!$C$4:$C$803,A1107,MOVIMIENTOS_COMPLEMENTOS!$D$4:$D$803,B1107,MOVIMIENTOS_COMPLEMENTOS!$E$4:$E$803,C1107,MOVIMIENTOS_COMPLEMENTOS!$G$4:$G$803,E1107,MOVIMIENTOS_COMPLEMENTOS!$H$4:$H$803,G1107,MOVIMIENTOS_COMPLEMENTOS!$B$4:$B$803,"DE CORTE")-SUMIFS(MOVIMIENTOS_COMPLEMENTOS!$I$4:$I$803,MOVIMIENTOS_COMPLEMENTOS!$C$4:$C$803,A1107,MOVIMIENTOS_COMPLEMENTOS!$D$4:$D$803,B1107,MOVIMIENTOS_COMPLEMENTOS!$E$4:$E$803,C1107,MOVIMIENTOS_COMPLEMENTOS!$G$4:$G$803,E1107,MOVIMIENTOS_COMPLEMENTOS!$H$4:$H$803,G1107,MOVIMIENTOS_COMPLEMENTOS!$B$4:$B$803,"SALIDA"),0)</f>
        <v>0</v>
      </c>
      <c r="I1107" s="102">
        <f t="array" ref="I1107">IFERROR(INDEX(PRECIOS_COMPLEMENTOS!$C$4:$F$17,MATCH(B1107&amp;"_"&amp;C1107,PRECIOS_COMPLEMENTOS!$H$4:$H$17,0),IF(OR(G1107="S",G1107="20cm"),1,IF(OR(G1107="M",G1107="25cm"),2,IF(OR(G1107="L",G1107="30cm"),3,IF(OR(G1107="XL",G1107="35cm"),4,0))))),0)</f>
        <v>0.4</v>
      </c>
      <c r="J1107" s="103">
        <f t="shared" si="1"/>
        <v>0</v>
      </c>
      <c r="K1107" s="104" t="str">
        <f>IF(H1107&lt;0,"ERROR",IF(H1107=0,"",IF(H1107&lt;CONFIG!$B$4,"CRÍTICO",IF(H1107&lt;CONFIG!$B$5,"BAJO","OK"))))</f>
        <v/>
      </c>
    </row>
    <row r="1108" ht="15.75" hidden="1" customHeight="1">
      <c r="A1108" s="90" t="str">
        <f>IF(CLIENTES!A8="","",CLIENTES!A8)</f>
        <v/>
      </c>
      <c r="B1108" s="90" t="s">
        <v>321</v>
      </c>
      <c r="C1108" s="91" t="s">
        <v>328</v>
      </c>
      <c r="D1108" s="109" t="s">
        <v>353</v>
      </c>
      <c r="E1108" s="67" t="str">
        <f>COLORES!A20</f>
        <v/>
      </c>
      <c r="F1108" s="67" t="str">
        <f>COLORES!B20</f>
        <v/>
      </c>
      <c r="G1108" s="90" t="s">
        <v>378</v>
      </c>
      <c r="H1108" s="100">
        <f>IFERROR(SUMIFS(MOVIMIENTOS_COMPLEMENTOS!$I$4:$I$803,MOVIMIENTOS_COMPLEMENTOS!$C$4:$C$803,A1108,MOVIMIENTOS_COMPLEMENTOS!$D$4:$D$803,B1108,MOVIMIENTOS_COMPLEMENTOS!$E$4:$E$803,C1108,MOVIMIENTOS_COMPLEMENTOS!$G$4:$G$803,E1108,MOVIMIENTOS_COMPLEMENTOS!$H$4:$H$803,G1108,MOVIMIENTOS_COMPLEMENTOS!$B$4:$B$803,"INGRESO")+SUMIFS(MOVIMIENTOS_COMPLEMENTOS!$I$4:$I$803,MOVIMIENTOS_COMPLEMENTOS!$C$4:$C$803,A1108,MOVIMIENTOS_COMPLEMENTOS!$D$4:$D$803,B1108,MOVIMIENTOS_COMPLEMENTOS!$E$4:$E$803,C1108,MOVIMIENTOS_COMPLEMENTOS!$G$4:$G$803,E1108,MOVIMIENTOS_COMPLEMENTOS!$H$4:$H$803,G1108,MOVIMIENTOS_COMPLEMENTOS!$B$4:$B$803,"DE CORTE")-SUMIFS(MOVIMIENTOS_COMPLEMENTOS!$I$4:$I$803,MOVIMIENTOS_COMPLEMENTOS!$C$4:$C$803,A1108,MOVIMIENTOS_COMPLEMENTOS!$D$4:$D$803,B1108,MOVIMIENTOS_COMPLEMENTOS!$E$4:$E$803,C1108,MOVIMIENTOS_COMPLEMENTOS!$G$4:$G$803,E1108,MOVIMIENTOS_COMPLEMENTOS!$H$4:$H$803,G1108,MOVIMIENTOS_COMPLEMENTOS!$B$4:$B$803,"SALIDA"),0)</f>
        <v>0</v>
      </c>
      <c r="I1108" s="102">
        <f t="array" ref="I1108">IFERROR(INDEX(PRECIOS_COMPLEMENTOS!$C$4:$F$17,MATCH(B1108&amp;"_"&amp;C1108,PRECIOS_COMPLEMENTOS!$H$4:$H$17,0),IF(OR(G1108="S",G1108="20cm"),1,IF(OR(G1108="M",G1108="25cm"),2,IF(OR(G1108="L",G1108="30cm"),3,IF(OR(G1108="XL",G1108="35cm"),4,0))))),0)</f>
        <v>0.4</v>
      </c>
      <c r="J1108" s="103">
        <f t="shared" si="1"/>
        <v>0</v>
      </c>
      <c r="K1108" s="104" t="str">
        <f>IF(H1108&lt;0,"ERROR",IF(H1108=0,"",IF(H1108&lt;CONFIG!$B$4,"CRÍTICO",IF(H1108&lt;CONFIG!$B$5,"BAJO","OK"))))</f>
        <v/>
      </c>
    </row>
    <row r="1109" ht="15.75" hidden="1" customHeight="1">
      <c r="A1109" s="90" t="str">
        <f>IF(CLIENTES!A8="","",CLIENTES!A8)</f>
        <v/>
      </c>
      <c r="B1109" s="90" t="s">
        <v>321</v>
      </c>
      <c r="C1109" s="91" t="s">
        <v>328</v>
      </c>
      <c r="D1109" s="109" t="s">
        <v>353</v>
      </c>
      <c r="E1109" s="67" t="str">
        <f>COLORES!A20</f>
        <v/>
      </c>
      <c r="F1109" s="67" t="str">
        <f>COLORES!B20</f>
        <v/>
      </c>
      <c r="G1109" s="90" t="s">
        <v>376</v>
      </c>
      <c r="H1109" s="100">
        <f>IFERROR(SUMIFS(MOVIMIENTOS_COMPLEMENTOS!$I$4:$I$803,MOVIMIENTOS_COMPLEMENTOS!$C$4:$C$803,A1109,MOVIMIENTOS_COMPLEMENTOS!$D$4:$D$803,B1109,MOVIMIENTOS_COMPLEMENTOS!$E$4:$E$803,C1109,MOVIMIENTOS_COMPLEMENTOS!$G$4:$G$803,E1109,MOVIMIENTOS_COMPLEMENTOS!$H$4:$H$803,G1109,MOVIMIENTOS_COMPLEMENTOS!$B$4:$B$803,"INGRESO")+SUMIFS(MOVIMIENTOS_COMPLEMENTOS!$I$4:$I$803,MOVIMIENTOS_COMPLEMENTOS!$C$4:$C$803,A1109,MOVIMIENTOS_COMPLEMENTOS!$D$4:$D$803,B1109,MOVIMIENTOS_COMPLEMENTOS!$E$4:$E$803,C1109,MOVIMIENTOS_COMPLEMENTOS!$G$4:$G$803,E1109,MOVIMIENTOS_COMPLEMENTOS!$H$4:$H$803,G1109,MOVIMIENTOS_COMPLEMENTOS!$B$4:$B$803,"DE CORTE")-SUMIFS(MOVIMIENTOS_COMPLEMENTOS!$I$4:$I$803,MOVIMIENTOS_COMPLEMENTOS!$C$4:$C$803,A1109,MOVIMIENTOS_COMPLEMENTOS!$D$4:$D$803,B1109,MOVIMIENTOS_COMPLEMENTOS!$E$4:$E$803,C1109,MOVIMIENTOS_COMPLEMENTOS!$G$4:$G$803,E1109,MOVIMIENTOS_COMPLEMENTOS!$H$4:$H$803,G1109,MOVIMIENTOS_COMPLEMENTOS!$B$4:$B$803,"SALIDA"),0)</f>
        <v>0</v>
      </c>
      <c r="I1109" s="102">
        <f t="array" ref="I1109">IFERROR(INDEX(PRECIOS_COMPLEMENTOS!$C$4:$F$17,MATCH(B1109&amp;"_"&amp;C1109,PRECIOS_COMPLEMENTOS!$H$4:$H$17,0),IF(OR(G1109="S",G1109="20cm"),1,IF(OR(G1109="M",G1109="25cm"),2,IF(OR(G1109="L",G1109="30cm"),3,IF(OR(G1109="XL",G1109="35cm"),4,0))))),0)</f>
        <v>0.4</v>
      </c>
      <c r="J1109" s="103">
        <f t="shared" si="1"/>
        <v>0</v>
      </c>
      <c r="K1109" s="104" t="str">
        <f>IF(H1109&lt;0,"ERROR",IF(H1109=0,"",IF(H1109&lt;CONFIG!$B$4,"CRÍTICO",IF(H1109&lt;CONFIG!$B$5,"BAJO","OK"))))</f>
        <v/>
      </c>
    </row>
    <row r="1110" ht="15.75" hidden="1" customHeight="1">
      <c r="A1110" s="90" t="str">
        <f>IF(CLIENTES!A8="","",CLIENTES!A8)</f>
        <v/>
      </c>
      <c r="B1110" s="90" t="s">
        <v>321</v>
      </c>
      <c r="C1110" s="91" t="s">
        <v>328</v>
      </c>
      <c r="D1110" s="109" t="s">
        <v>353</v>
      </c>
      <c r="E1110" s="67" t="str">
        <f>COLORES!A20</f>
        <v/>
      </c>
      <c r="F1110" s="67" t="str">
        <f>COLORES!B20</f>
        <v/>
      </c>
      <c r="G1110" s="90" t="s">
        <v>377</v>
      </c>
      <c r="H1110" s="100">
        <f>IFERROR(SUMIFS(MOVIMIENTOS_COMPLEMENTOS!$I$4:$I$803,MOVIMIENTOS_COMPLEMENTOS!$C$4:$C$803,A1110,MOVIMIENTOS_COMPLEMENTOS!$D$4:$D$803,B1110,MOVIMIENTOS_COMPLEMENTOS!$E$4:$E$803,C1110,MOVIMIENTOS_COMPLEMENTOS!$G$4:$G$803,E1110,MOVIMIENTOS_COMPLEMENTOS!$H$4:$H$803,G1110,MOVIMIENTOS_COMPLEMENTOS!$B$4:$B$803,"INGRESO")+SUMIFS(MOVIMIENTOS_COMPLEMENTOS!$I$4:$I$803,MOVIMIENTOS_COMPLEMENTOS!$C$4:$C$803,A1110,MOVIMIENTOS_COMPLEMENTOS!$D$4:$D$803,B1110,MOVIMIENTOS_COMPLEMENTOS!$E$4:$E$803,C1110,MOVIMIENTOS_COMPLEMENTOS!$G$4:$G$803,E1110,MOVIMIENTOS_COMPLEMENTOS!$H$4:$H$803,G1110,MOVIMIENTOS_COMPLEMENTOS!$B$4:$B$803,"DE CORTE")-SUMIFS(MOVIMIENTOS_COMPLEMENTOS!$I$4:$I$803,MOVIMIENTOS_COMPLEMENTOS!$C$4:$C$803,A1110,MOVIMIENTOS_COMPLEMENTOS!$D$4:$D$803,B1110,MOVIMIENTOS_COMPLEMENTOS!$E$4:$E$803,C1110,MOVIMIENTOS_COMPLEMENTOS!$G$4:$G$803,E1110,MOVIMIENTOS_COMPLEMENTOS!$H$4:$H$803,G1110,MOVIMIENTOS_COMPLEMENTOS!$B$4:$B$803,"SALIDA"),0)</f>
        <v>0</v>
      </c>
      <c r="I1110" s="102">
        <f t="array" ref="I1110">IFERROR(INDEX(PRECIOS_COMPLEMENTOS!$C$4:$F$17,MATCH(B1110&amp;"_"&amp;C1110,PRECIOS_COMPLEMENTOS!$H$4:$H$17,0),IF(OR(G1110="S",G1110="20cm"),1,IF(OR(G1110="M",G1110="25cm"),2,IF(OR(G1110="L",G1110="30cm"),3,IF(OR(G1110="XL",G1110="35cm"),4,0))))),0)</f>
        <v>0.4</v>
      </c>
      <c r="J1110" s="103">
        <f t="shared" si="1"/>
        <v>0</v>
      </c>
      <c r="K1110" s="104" t="str">
        <f>IF(H1110&lt;0,"ERROR",IF(H1110=0,"",IF(H1110&lt;CONFIG!$B$4,"CRÍTICO",IF(H1110&lt;CONFIG!$B$5,"BAJO","OK"))))</f>
        <v/>
      </c>
    </row>
    <row r="1111" ht="15.75" hidden="1" customHeight="1">
      <c r="A1111" s="90" t="str">
        <f>IF(CLIENTES!A8="","",CLIENTES!A8)</f>
        <v/>
      </c>
      <c r="B1111" s="90" t="s">
        <v>321</v>
      </c>
      <c r="C1111" s="91" t="s">
        <v>328</v>
      </c>
      <c r="D1111" s="109" t="s">
        <v>353</v>
      </c>
      <c r="E1111" s="67" t="str">
        <f>COLORES!A20</f>
        <v/>
      </c>
      <c r="F1111" s="67" t="str">
        <f>COLORES!B20</f>
        <v/>
      </c>
      <c r="G1111" s="90" t="s">
        <v>379</v>
      </c>
      <c r="H1111" s="100">
        <f>IFERROR(SUMIFS(MOVIMIENTOS_COMPLEMENTOS!$I$4:$I$803,MOVIMIENTOS_COMPLEMENTOS!$C$4:$C$803,A1111,MOVIMIENTOS_COMPLEMENTOS!$D$4:$D$803,B1111,MOVIMIENTOS_COMPLEMENTOS!$E$4:$E$803,C1111,MOVIMIENTOS_COMPLEMENTOS!$G$4:$G$803,E1111,MOVIMIENTOS_COMPLEMENTOS!$H$4:$H$803,G1111,MOVIMIENTOS_COMPLEMENTOS!$B$4:$B$803,"INGRESO")+SUMIFS(MOVIMIENTOS_COMPLEMENTOS!$I$4:$I$803,MOVIMIENTOS_COMPLEMENTOS!$C$4:$C$803,A1111,MOVIMIENTOS_COMPLEMENTOS!$D$4:$D$803,B1111,MOVIMIENTOS_COMPLEMENTOS!$E$4:$E$803,C1111,MOVIMIENTOS_COMPLEMENTOS!$G$4:$G$803,E1111,MOVIMIENTOS_COMPLEMENTOS!$H$4:$H$803,G1111,MOVIMIENTOS_COMPLEMENTOS!$B$4:$B$803,"DE CORTE")-SUMIFS(MOVIMIENTOS_COMPLEMENTOS!$I$4:$I$803,MOVIMIENTOS_COMPLEMENTOS!$C$4:$C$803,A1111,MOVIMIENTOS_COMPLEMENTOS!$D$4:$D$803,B1111,MOVIMIENTOS_COMPLEMENTOS!$E$4:$E$803,C1111,MOVIMIENTOS_COMPLEMENTOS!$G$4:$G$803,E1111,MOVIMIENTOS_COMPLEMENTOS!$H$4:$H$803,G1111,MOVIMIENTOS_COMPLEMENTOS!$B$4:$B$803,"SALIDA"),0)</f>
        <v>0</v>
      </c>
      <c r="I1111" s="102">
        <f t="array" ref="I1111">IFERROR(INDEX(PRECIOS_COMPLEMENTOS!$C$4:$F$17,MATCH(B1111&amp;"_"&amp;C1111,PRECIOS_COMPLEMENTOS!$H$4:$H$17,0),IF(OR(G1111="S",G1111="20cm"),1,IF(OR(G1111="M",G1111="25cm"),2,IF(OR(G1111="L",G1111="30cm"),3,IF(OR(G1111="XL",G1111="35cm"),4,0))))),0)</f>
        <v>0.4</v>
      </c>
      <c r="J1111" s="103">
        <f t="shared" si="1"/>
        <v>0</v>
      </c>
      <c r="K1111" s="104" t="str">
        <f>IF(H1111&lt;0,"ERROR",IF(H1111=0,"",IF(H1111&lt;CONFIG!$B$4,"CRÍTICO",IF(H1111&lt;CONFIG!$B$5,"BAJO","OK"))))</f>
        <v/>
      </c>
    </row>
    <row r="1112" ht="15.75" hidden="1" customHeight="1">
      <c r="A1112" s="90" t="str">
        <f>IF(CLIENTES!A8="","",CLIENTES!A8)</f>
        <v/>
      </c>
      <c r="B1112" s="90" t="s">
        <v>321</v>
      </c>
      <c r="C1112" s="91" t="s">
        <v>328</v>
      </c>
      <c r="D1112" s="109" t="s">
        <v>353</v>
      </c>
      <c r="E1112" s="67" t="str">
        <f>COLORES!A21</f>
        <v/>
      </c>
      <c r="F1112" s="67" t="str">
        <f>COLORES!B21</f>
        <v/>
      </c>
      <c r="G1112" s="90" t="s">
        <v>378</v>
      </c>
      <c r="H1112" s="100">
        <f>IFERROR(SUMIFS(MOVIMIENTOS_COMPLEMENTOS!$I$4:$I$803,MOVIMIENTOS_COMPLEMENTOS!$C$4:$C$803,A1112,MOVIMIENTOS_COMPLEMENTOS!$D$4:$D$803,B1112,MOVIMIENTOS_COMPLEMENTOS!$E$4:$E$803,C1112,MOVIMIENTOS_COMPLEMENTOS!$G$4:$G$803,E1112,MOVIMIENTOS_COMPLEMENTOS!$H$4:$H$803,G1112,MOVIMIENTOS_COMPLEMENTOS!$B$4:$B$803,"INGRESO")+SUMIFS(MOVIMIENTOS_COMPLEMENTOS!$I$4:$I$803,MOVIMIENTOS_COMPLEMENTOS!$C$4:$C$803,A1112,MOVIMIENTOS_COMPLEMENTOS!$D$4:$D$803,B1112,MOVIMIENTOS_COMPLEMENTOS!$E$4:$E$803,C1112,MOVIMIENTOS_COMPLEMENTOS!$G$4:$G$803,E1112,MOVIMIENTOS_COMPLEMENTOS!$H$4:$H$803,G1112,MOVIMIENTOS_COMPLEMENTOS!$B$4:$B$803,"DE CORTE")-SUMIFS(MOVIMIENTOS_COMPLEMENTOS!$I$4:$I$803,MOVIMIENTOS_COMPLEMENTOS!$C$4:$C$803,A1112,MOVIMIENTOS_COMPLEMENTOS!$D$4:$D$803,B1112,MOVIMIENTOS_COMPLEMENTOS!$E$4:$E$803,C1112,MOVIMIENTOS_COMPLEMENTOS!$G$4:$G$803,E1112,MOVIMIENTOS_COMPLEMENTOS!$H$4:$H$803,G1112,MOVIMIENTOS_COMPLEMENTOS!$B$4:$B$803,"SALIDA"),0)</f>
        <v>0</v>
      </c>
      <c r="I1112" s="102">
        <f t="array" ref="I1112">IFERROR(INDEX(PRECIOS_COMPLEMENTOS!$C$4:$F$17,MATCH(B1112&amp;"_"&amp;C1112,PRECIOS_COMPLEMENTOS!$H$4:$H$17,0),IF(OR(G1112="S",G1112="20cm"),1,IF(OR(G1112="M",G1112="25cm"),2,IF(OR(G1112="L",G1112="30cm"),3,IF(OR(G1112="XL",G1112="35cm"),4,0))))),0)</f>
        <v>0.4</v>
      </c>
      <c r="J1112" s="103">
        <f t="shared" si="1"/>
        <v>0</v>
      </c>
      <c r="K1112" s="104" t="str">
        <f>IF(H1112&lt;0,"ERROR",IF(H1112=0,"",IF(H1112&lt;CONFIG!$B$4,"CRÍTICO",IF(H1112&lt;CONFIG!$B$5,"BAJO","OK"))))</f>
        <v/>
      </c>
    </row>
    <row r="1113" ht="15.75" hidden="1" customHeight="1">
      <c r="A1113" s="90" t="str">
        <f>IF(CLIENTES!A8="","",CLIENTES!A8)</f>
        <v/>
      </c>
      <c r="B1113" s="90" t="s">
        <v>321</v>
      </c>
      <c r="C1113" s="91" t="s">
        <v>328</v>
      </c>
      <c r="D1113" s="109" t="s">
        <v>353</v>
      </c>
      <c r="E1113" s="67" t="str">
        <f>COLORES!A21</f>
        <v/>
      </c>
      <c r="F1113" s="67" t="str">
        <f>COLORES!B21</f>
        <v/>
      </c>
      <c r="G1113" s="90" t="s">
        <v>376</v>
      </c>
      <c r="H1113" s="100">
        <f>IFERROR(SUMIFS(MOVIMIENTOS_COMPLEMENTOS!$I$4:$I$803,MOVIMIENTOS_COMPLEMENTOS!$C$4:$C$803,A1113,MOVIMIENTOS_COMPLEMENTOS!$D$4:$D$803,B1113,MOVIMIENTOS_COMPLEMENTOS!$E$4:$E$803,C1113,MOVIMIENTOS_COMPLEMENTOS!$G$4:$G$803,E1113,MOVIMIENTOS_COMPLEMENTOS!$H$4:$H$803,G1113,MOVIMIENTOS_COMPLEMENTOS!$B$4:$B$803,"INGRESO")+SUMIFS(MOVIMIENTOS_COMPLEMENTOS!$I$4:$I$803,MOVIMIENTOS_COMPLEMENTOS!$C$4:$C$803,A1113,MOVIMIENTOS_COMPLEMENTOS!$D$4:$D$803,B1113,MOVIMIENTOS_COMPLEMENTOS!$E$4:$E$803,C1113,MOVIMIENTOS_COMPLEMENTOS!$G$4:$G$803,E1113,MOVIMIENTOS_COMPLEMENTOS!$H$4:$H$803,G1113,MOVIMIENTOS_COMPLEMENTOS!$B$4:$B$803,"DE CORTE")-SUMIFS(MOVIMIENTOS_COMPLEMENTOS!$I$4:$I$803,MOVIMIENTOS_COMPLEMENTOS!$C$4:$C$803,A1113,MOVIMIENTOS_COMPLEMENTOS!$D$4:$D$803,B1113,MOVIMIENTOS_COMPLEMENTOS!$E$4:$E$803,C1113,MOVIMIENTOS_COMPLEMENTOS!$G$4:$G$803,E1113,MOVIMIENTOS_COMPLEMENTOS!$H$4:$H$803,G1113,MOVIMIENTOS_COMPLEMENTOS!$B$4:$B$803,"SALIDA"),0)</f>
        <v>0</v>
      </c>
      <c r="I1113" s="102">
        <f t="array" ref="I1113">IFERROR(INDEX(PRECIOS_COMPLEMENTOS!$C$4:$F$17,MATCH(B1113&amp;"_"&amp;C1113,PRECIOS_COMPLEMENTOS!$H$4:$H$17,0),IF(OR(G1113="S",G1113="20cm"),1,IF(OR(G1113="M",G1113="25cm"),2,IF(OR(G1113="L",G1113="30cm"),3,IF(OR(G1113="XL",G1113="35cm"),4,0))))),0)</f>
        <v>0.4</v>
      </c>
      <c r="J1113" s="103">
        <f t="shared" si="1"/>
        <v>0</v>
      </c>
      <c r="K1113" s="104" t="str">
        <f>IF(H1113&lt;0,"ERROR",IF(H1113=0,"",IF(H1113&lt;CONFIG!$B$4,"CRÍTICO",IF(H1113&lt;CONFIG!$B$5,"BAJO","OK"))))</f>
        <v/>
      </c>
    </row>
    <row r="1114" ht="15.75" hidden="1" customHeight="1">
      <c r="A1114" s="90" t="str">
        <f>IF(CLIENTES!A8="","",CLIENTES!A8)</f>
        <v/>
      </c>
      <c r="B1114" s="90" t="s">
        <v>321</v>
      </c>
      <c r="C1114" s="91" t="s">
        <v>328</v>
      </c>
      <c r="D1114" s="109" t="s">
        <v>353</v>
      </c>
      <c r="E1114" s="67" t="str">
        <f>COLORES!A21</f>
        <v/>
      </c>
      <c r="F1114" s="67" t="str">
        <f>COLORES!B21</f>
        <v/>
      </c>
      <c r="G1114" s="90" t="s">
        <v>377</v>
      </c>
      <c r="H1114" s="100">
        <f>IFERROR(SUMIFS(MOVIMIENTOS_COMPLEMENTOS!$I$4:$I$803,MOVIMIENTOS_COMPLEMENTOS!$C$4:$C$803,A1114,MOVIMIENTOS_COMPLEMENTOS!$D$4:$D$803,B1114,MOVIMIENTOS_COMPLEMENTOS!$E$4:$E$803,C1114,MOVIMIENTOS_COMPLEMENTOS!$G$4:$G$803,E1114,MOVIMIENTOS_COMPLEMENTOS!$H$4:$H$803,G1114,MOVIMIENTOS_COMPLEMENTOS!$B$4:$B$803,"INGRESO")+SUMIFS(MOVIMIENTOS_COMPLEMENTOS!$I$4:$I$803,MOVIMIENTOS_COMPLEMENTOS!$C$4:$C$803,A1114,MOVIMIENTOS_COMPLEMENTOS!$D$4:$D$803,B1114,MOVIMIENTOS_COMPLEMENTOS!$E$4:$E$803,C1114,MOVIMIENTOS_COMPLEMENTOS!$G$4:$G$803,E1114,MOVIMIENTOS_COMPLEMENTOS!$H$4:$H$803,G1114,MOVIMIENTOS_COMPLEMENTOS!$B$4:$B$803,"DE CORTE")-SUMIFS(MOVIMIENTOS_COMPLEMENTOS!$I$4:$I$803,MOVIMIENTOS_COMPLEMENTOS!$C$4:$C$803,A1114,MOVIMIENTOS_COMPLEMENTOS!$D$4:$D$803,B1114,MOVIMIENTOS_COMPLEMENTOS!$E$4:$E$803,C1114,MOVIMIENTOS_COMPLEMENTOS!$G$4:$G$803,E1114,MOVIMIENTOS_COMPLEMENTOS!$H$4:$H$803,G1114,MOVIMIENTOS_COMPLEMENTOS!$B$4:$B$803,"SALIDA"),0)</f>
        <v>0</v>
      </c>
      <c r="I1114" s="102">
        <f t="array" ref="I1114">IFERROR(INDEX(PRECIOS_COMPLEMENTOS!$C$4:$F$17,MATCH(B1114&amp;"_"&amp;C1114,PRECIOS_COMPLEMENTOS!$H$4:$H$17,0),IF(OR(G1114="S",G1114="20cm"),1,IF(OR(G1114="M",G1114="25cm"),2,IF(OR(G1114="L",G1114="30cm"),3,IF(OR(G1114="XL",G1114="35cm"),4,0))))),0)</f>
        <v>0.4</v>
      </c>
      <c r="J1114" s="103">
        <f t="shared" si="1"/>
        <v>0</v>
      </c>
      <c r="K1114" s="104" t="str">
        <f>IF(H1114&lt;0,"ERROR",IF(H1114=0,"",IF(H1114&lt;CONFIG!$B$4,"CRÍTICO",IF(H1114&lt;CONFIG!$B$5,"BAJO","OK"))))</f>
        <v/>
      </c>
    </row>
    <row r="1115" ht="15.75" hidden="1" customHeight="1">
      <c r="A1115" s="90" t="str">
        <f>IF(CLIENTES!A8="","",CLIENTES!A8)</f>
        <v/>
      </c>
      <c r="B1115" s="90" t="s">
        <v>321</v>
      </c>
      <c r="C1115" s="91" t="s">
        <v>328</v>
      </c>
      <c r="D1115" s="109" t="s">
        <v>353</v>
      </c>
      <c r="E1115" s="67" t="str">
        <f>COLORES!A21</f>
        <v/>
      </c>
      <c r="F1115" s="67" t="str">
        <f>COLORES!B21</f>
        <v/>
      </c>
      <c r="G1115" s="90" t="s">
        <v>379</v>
      </c>
      <c r="H1115" s="100">
        <f>IFERROR(SUMIFS(MOVIMIENTOS_COMPLEMENTOS!$I$4:$I$803,MOVIMIENTOS_COMPLEMENTOS!$C$4:$C$803,A1115,MOVIMIENTOS_COMPLEMENTOS!$D$4:$D$803,B1115,MOVIMIENTOS_COMPLEMENTOS!$E$4:$E$803,C1115,MOVIMIENTOS_COMPLEMENTOS!$G$4:$G$803,E1115,MOVIMIENTOS_COMPLEMENTOS!$H$4:$H$803,G1115,MOVIMIENTOS_COMPLEMENTOS!$B$4:$B$803,"INGRESO")+SUMIFS(MOVIMIENTOS_COMPLEMENTOS!$I$4:$I$803,MOVIMIENTOS_COMPLEMENTOS!$C$4:$C$803,A1115,MOVIMIENTOS_COMPLEMENTOS!$D$4:$D$803,B1115,MOVIMIENTOS_COMPLEMENTOS!$E$4:$E$803,C1115,MOVIMIENTOS_COMPLEMENTOS!$G$4:$G$803,E1115,MOVIMIENTOS_COMPLEMENTOS!$H$4:$H$803,G1115,MOVIMIENTOS_COMPLEMENTOS!$B$4:$B$803,"DE CORTE")-SUMIFS(MOVIMIENTOS_COMPLEMENTOS!$I$4:$I$803,MOVIMIENTOS_COMPLEMENTOS!$C$4:$C$803,A1115,MOVIMIENTOS_COMPLEMENTOS!$D$4:$D$803,B1115,MOVIMIENTOS_COMPLEMENTOS!$E$4:$E$803,C1115,MOVIMIENTOS_COMPLEMENTOS!$G$4:$G$803,E1115,MOVIMIENTOS_COMPLEMENTOS!$H$4:$H$803,G1115,MOVIMIENTOS_COMPLEMENTOS!$B$4:$B$803,"SALIDA"),0)</f>
        <v>0</v>
      </c>
      <c r="I1115" s="102">
        <f t="array" ref="I1115">IFERROR(INDEX(PRECIOS_COMPLEMENTOS!$C$4:$F$17,MATCH(B1115&amp;"_"&amp;C1115,PRECIOS_COMPLEMENTOS!$H$4:$H$17,0),IF(OR(G1115="S",G1115="20cm"),1,IF(OR(G1115="M",G1115="25cm"),2,IF(OR(G1115="L",G1115="30cm"),3,IF(OR(G1115="XL",G1115="35cm"),4,0))))),0)</f>
        <v>0.4</v>
      </c>
      <c r="J1115" s="103">
        <f t="shared" si="1"/>
        <v>0</v>
      </c>
      <c r="K1115" s="104" t="str">
        <f>IF(H1115&lt;0,"ERROR",IF(H1115=0,"",IF(H1115&lt;CONFIG!$B$4,"CRÍTICO",IF(H1115&lt;CONFIG!$B$5,"BAJO","OK"))))</f>
        <v/>
      </c>
    </row>
    <row r="1116" ht="15.75" hidden="1" customHeight="1">
      <c r="A1116" s="90" t="str">
        <f>IF(CLIENTES!A8="","",CLIENTES!A8)</f>
        <v/>
      </c>
      <c r="B1116" s="90" t="s">
        <v>321</v>
      </c>
      <c r="C1116" s="91" t="s">
        <v>328</v>
      </c>
      <c r="D1116" s="109" t="s">
        <v>353</v>
      </c>
      <c r="E1116" s="67" t="str">
        <f>COLORES!A22</f>
        <v/>
      </c>
      <c r="F1116" s="67" t="str">
        <f>COLORES!B22</f>
        <v/>
      </c>
      <c r="G1116" s="90" t="s">
        <v>378</v>
      </c>
      <c r="H1116" s="100">
        <f>IFERROR(SUMIFS(MOVIMIENTOS_COMPLEMENTOS!$I$4:$I$803,MOVIMIENTOS_COMPLEMENTOS!$C$4:$C$803,A1116,MOVIMIENTOS_COMPLEMENTOS!$D$4:$D$803,B1116,MOVIMIENTOS_COMPLEMENTOS!$E$4:$E$803,C1116,MOVIMIENTOS_COMPLEMENTOS!$G$4:$G$803,E1116,MOVIMIENTOS_COMPLEMENTOS!$H$4:$H$803,G1116,MOVIMIENTOS_COMPLEMENTOS!$B$4:$B$803,"INGRESO")+SUMIFS(MOVIMIENTOS_COMPLEMENTOS!$I$4:$I$803,MOVIMIENTOS_COMPLEMENTOS!$C$4:$C$803,A1116,MOVIMIENTOS_COMPLEMENTOS!$D$4:$D$803,B1116,MOVIMIENTOS_COMPLEMENTOS!$E$4:$E$803,C1116,MOVIMIENTOS_COMPLEMENTOS!$G$4:$G$803,E1116,MOVIMIENTOS_COMPLEMENTOS!$H$4:$H$803,G1116,MOVIMIENTOS_COMPLEMENTOS!$B$4:$B$803,"DE CORTE")-SUMIFS(MOVIMIENTOS_COMPLEMENTOS!$I$4:$I$803,MOVIMIENTOS_COMPLEMENTOS!$C$4:$C$803,A1116,MOVIMIENTOS_COMPLEMENTOS!$D$4:$D$803,B1116,MOVIMIENTOS_COMPLEMENTOS!$E$4:$E$803,C1116,MOVIMIENTOS_COMPLEMENTOS!$G$4:$G$803,E1116,MOVIMIENTOS_COMPLEMENTOS!$H$4:$H$803,G1116,MOVIMIENTOS_COMPLEMENTOS!$B$4:$B$803,"SALIDA"),0)</f>
        <v>0</v>
      </c>
      <c r="I1116" s="102">
        <f t="array" ref="I1116">IFERROR(INDEX(PRECIOS_COMPLEMENTOS!$C$4:$F$17,MATCH(B1116&amp;"_"&amp;C1116,PRECIOS_COMPLEMENTOS!$H$4:$H$17,0),IF(OR(G1116="S",G1116="20cm"),1,IF(OR(G1116="M",G1116="25cm"),2,IF(OR(G1116="L",G1116="30cm"),3,IF(OR(G1116="XL",G1116="35cm"),4,0))))),0)</f>
        <v>0.4</v>
      </c>
      <c r="J1116" s="103">
        <f t="shared" si="1"/>
        <v>0</v>
      </c>
      <c r="K1116" s="104" t="str">
        <f>IF(H1116&lt;0,"ERROR",IF(H1116=0,"",IF(H1116&lt;CONFIG!$B$4,"CRÍTICO",IF(H1116&lt;CONFIG!$B$5,"BAJO","OK"))))</f>
        <v/>
      </c>
    </row>
    <row r="1117" ht="15.75" hidden="1" customHeight="1">
      <c r="A1117" s="90" t="str">
        <f>IF(CLIENTES!A8="","",CLIENTES!A8)</f>
        <v/>
      </c>
      <c r="B1117" s="90" t="s">
        <v>321</v>
      </c>
      <c r="C1117" s="91" t="s">
        <v>328</v>
      </c>
      <c r="D1117" s="109" t="s">
        <v>353</v>
      </c>
      <c r="E1117" s="67" t="str">
        <f>COLORES!A22</f>
        <v/>
      </c>
      <c r="F1117" s="67" t="str">
        <f>COLORES!B22</f>
        <v/>
      </c>
      <c r="G1117" s="90" t="s">
        <v>376</v>
      </c>
      <c r="H1117" s="100">
        <f>IFERROR(SUMIFS(MOVIMIENTOS_COMPLEMENTOS!$I$4:$I$803,MOVIMIENTOS_COMPLEMENTOS!$C$4:$C$803,A1117,MOVIMIENTOS_COMPLEMENTOS!$D$4:$D$803,B1117,MOVIMIENTOS_COMPLEMENTOS!$E$4:$E$803,C1117,MOVIMIENTOS_COMPLEMENTOS!$G$4:$G$803,E1117,MOVIMIENTOS_COMPLEMENTOS!$H$4:$H$803,G1117,MOVIMIENTOS_COMPLEMENTOS!$B$4:$B$803,"INGRESO")+SUMIFS(MOVIMIENTOS_COMPLEMENTOS!$I$4:$I$803,MOVIMIENTOS_COMPLEMENTOS!$C$4:$C$803,A1117,MOVIMIENTOS_COMPLEMENTOS!$D$4:$D$803,B1117,MOVIMIENTOS_COMPLEMENTOS!$E$4:$E$803,C1117,MOVIMIENTOS_COMPLEMENTOS!$G$4:$G$803,E1117,MOVIMIENTOS_COMPLEMENTOS!$H$4:$H$803,G1117,MOVIMIENTOS_COMPLEMENTOS!$B$4:$B$803,"DE CORTE")-SUMIFS(MOVIMIENTOS_COMPLEMENTOS!$I$4:$I$803,MOVIMIENTOS_COMPLEMENTOS!$C$4:$C$803,A1117,MOVIMIENTOS_COMPLEMENTOS!$D$4:$D$803,B1117,MOVIMIENTOS_COMPLEMENTOS!$E$4:$E$803,C1117,MOVIMIENTOS_COMPLEMENTOS!$G$4:$G$803,E1117,MOVIMIENTOS_COMPLEMENTOS!$H$4:$H$803,G1117,MOVIMIENTOS_COMPLEMENTOS!$B$4:$B$803,"SALIDA"),0)</f>
        <v>0</v>
      </c>
      <c r="I1117" s="102">
        <f t="array" ref="I1117">IFERROR(INDEX(PRECIOS_COMPLEMENTOS!$C$4:$F$17,MATCH(B1117&amp;"_"&amp;C1117,PRECIOS_COMPLEMENTOS!$H$4:$H$17,0),IF(OR(G1117="S",G1117="20cm"),1,IF(OR(G1117="M",G1117="25cm"),2,IF(OR(G1117="L",G1117="30cm"),3,IF(OR(G1117="XL",G1117="35cm"),4,0))))),0)</f>
        <v>0.4</v>
      </c>
      <c r="J1117" s="103">
        <f t="shared" si="1"/>
        <v>0</v>
      </c>
      <c r="K1117" s="104" t="str">
        <f>IF(H1117&lt;0,"ERROR",IF(H1117=0,"",IF(H1117&lt;CONFIG!$B$4,"CRÍTICO",IF(H1117&lt;CONFIG!$B$5,"BAJO","OK"))))</f>
        <v/>
      </c>
    </row>
    <row r="1118" ht="15.75" hidden="1" customHeight="1">
      <c r="A1118" s="90" t="str">
        <f>IF(CLIENTES!A8="","",CLIENTES!A8)</f>
        <v/>
      </c>
      <c r="B1118" s="90" t="s">
        <v>321</v>
      </c>
      <c r="C1118" s="91" t="s">
        <v>328</v>
      </c>
      <c r="D1118" s="109" t="s">
        <v>353</v>
      </c>
      <c r="E1118" s="67" t="str">
        <f>COLORES!A22</f>
        <v/>
      </c>
      <c r="F1118" s="67" t="str">
        <f>COLORES!B22</f>
        <v/>
      </c>
      <c r="G1118" s="90" t="s">
        <v>377</v>
      </c>
      <c r="H1118" s="100">
        <f>IFERROR(SUMIFS(MOVIMIENTOS_COMPLEMENTOS!$I$4:$I$803,MOVIMIENTOS_COMPLEMENTOS!$C$4:$C$803,A1118,MOVIMIENTOS_COMPLEMENTOS!$D$4:$D$803,B1118,MOVIMIENTOS_COMPLEMENTOS!$E$4:$E$803,C1118,MOVIMIENTOS_COMPLEMENTOS!$G$4:$G$803,E1118,MOVIMIENTOS_COMPLEMENTOS!$H$4:$H$803,G1118,MOVIMIENTOS_COMPLEMENTOS!$B$4:$B$803,"INGRESO")+SUMIFS(MOVIMIENTOS_COMPLEMENTOS!$I$4:$I$803,MOVIMIENTOS_COMPLEMENTOS!$C$4:$C$803,A1118,MOVIMIENTOS_COMPLEMENTOS!$D$4:$D$803,B1118,MOVIMIENTOS_COMPLEMENTOS!$E$4:$E$803,C1118,MOVIMIENTOS_COMPLEMENTOS!$G$4:$G$803,E1118,MOVIMIENTOS_COMPLEMENTOS!$H$4:$H$803,G1118,MOVIMIENTOS_COMPLEMENTOS!$B$4:$B$803,"DE CORTE")-SUMIFS(MOVIMIENTOS_COMPLEMENTOS!$I$4:$I$803,MOVIMIENTOS_COMPLEMENTOS!$C$4:$C$803,A1118,MOVIMIENTOS_COMPLEMENTOS!$D$4:$D$803,B1118,MOVIMIENTOS_COMPLEMENTOS!$E$4:$E$803,C1118,MOVIMIENTOS_COMPLEMENTOS!$G$4:$G$803,E1118,MOVIMIENTOS_COMPLEMENTOS!$H$4:$H$803,G1118,MOVIMIENTOS_COMPLEMENTOS!$B$4:$B$803,"SALIDA"),0)</f>
        <v>0</v>
      </c>
      <c r="I1118" s="102">
        <f t="array" ref="I1118">IFERROR(INDEX(PRECIOS_COMPLEMENTOS!$C$4:$F$17,MATCH(B1118&amp;"_"&amp;C1118,PRECIOS_COMPLEMENTOS!$H$4:$H$17,0),IF(OR(G1118="S",G1118="20cm"),1,IF(OR(G1118="M",G1118="25cm"),2,IF(OR(G1118="L",G1118="30cm"),3,IF(OR(G1118="XL",G1118="35cm"),4,0))))),0)</f>
        <v>0.4</v>
      </c>
      <c r="J1118" s="103">
        <f t="shared" si="1"/>
        <v>0</v>
      </c>
      <c r="K1118" s="104" t="str">
        <f>IF(H1118&lt;0,"ERROR",IF(H1118=0,"",IF(H1118&lt;CONFIG!$B$4,"CRÍTICO",IF(H1118&lt;CONFIG!$B$5,"BAJO","OK"))))</f>
        <v/>
      </c>
    </row>
    <row r="1119" ht="15.75" hidden="1" customHeight="1">
      <c r="A1119" s="90" t="str">
        <f>IF(CLIENTES!A8="","",CLIENTES!A8)</f>
        <v/>
      </c>
      <c r="B1119" s="90" t="s">
        <v>321</v>
      </c>
      <c r="C1119" s="91" t="s">
        <v>328</v>
      </c>
      <c r="D1119" s="109" t="s">
        <v>353</v>
      </c>
      <c r="E1119" s="67" t="str">
        <f>COLORES!A22</f>
        <v/>
      </c>
      <c r="F1119" s="67" t="str">
        <f>COLORES!B22</f>
        <v/>
      </c>
      <c r="G1119" s="90" t="s">
        <v>379</v>
      </c>
      <c r="H1119" s="100">
        <f>IFERROR(SUMIFS(MOVIMIENTOS_COMPLEMENTOS!$I$4:$I$803,MOVIMIENTOS_COMPLEMENTOS!$C$4:$C$803,A1119,MOVIMIENTOS_COMPLEMENTOS!$D$4:$D$803,B1119,MOVIMIENTOS_COMPLEMENTOS!$E$4:$E$803,C1119,MOVIMIENTOS_COMPLEMENTOS!$G$4:$G$803,E1119,MOVIMIENTOS_COMPLEMENTOS!$H$4:$H$803,G1119,MOVIMIENTOS_COMPLEMENTOS!$B$4:$B$803,"INGRESO")+SUMIFS(MOVIMIENTOS_COMPLEMENTOS!$I$4:$I$803,MOVIMIENTOS_COMPLEMENTOS!$C$4:$C$803,A1119,MOVIMIENTOS_COMPLEMENTOS!$D$4:$D$803,B1119,MOVIMIENTOS_COMPLEMENTOS!$E$4:$E$803,C1119,MOVIMIENTOS_COMPLEMENTOS!$G$4:$G$803,E1119,MOVIMIENTOS_COMPLEMENTOS!$H$4:$H$803,G1119,MOVIMIENTOS_COMPLEMENTOS!$B$4:$B$803,"DE CORTE")-SUMIFS(MOVIMIENTOS_COMPLEMENTOS!$I$4:$I$803,MOVIMIENTOS_COMPLEMENTOS!$C$4:$C$803,A1119,MOVIMIENTOS_COMPLEMENTOS!$D$4:$D$803,B1119,MOVIMIENTOS_COMPLEMENTOS!$E$4:$E$803,C1119,MOVIMIENTOS_COMPLEMENTOS!$G$4:$G$803,E1119,MOVIMIENTOS_COMPLEMENTOS!$H$4:$H$803,G1119,MOVIMIENTOS_COMPLEMENTOS!$B$4:$B$803,"SALIDA"),0)</f>
        <v>0</v>
      </c>
      <c r="I1119" s="102">
        <f t="array" ref="I1119">IFERROR(INDEX(PRECIOS_COMPLEMENTOS!$C$4:$F$17,MATCH(B1119&amp;"_"&amp;C1119,PRECIOS_COMPLEMENTOS!$H$4:$H$17,0),IF(OR(G1119="S",G1119="20cm"),1,IF(OR(G1119="M",G1119="25cm"),2,IF(OR(G1119="L",G1119="30cm"),3,IF(OR(G1119="XL",G1119="35cm"),4,0))))),0)</f>
        <v>0.4</v>
      </c>
      <c r="J1119" s="103">
        <f t="shared" si="1"/>
        <v>0</v>
      </c>
      <c r="K1119" s="104" t="str">
        <f>IF(H1119&lt;0,"ERROR",IF(H1119=0,"",IF(H1119&lt;CONFIG!$B$4,"CRÍTICO",IF(H1119&lt;CONFIG!$B$5,"BAJO","OK"))))</f>
        <v/>
      </c>
    </row>
    <row r="1120" ht="15.75" hidden="1" customHeight="1">
      <c r="A1120" s="90" t="str">
        <f>IF(CLIENTES!A8="","",CLIENTES!A8)</f>
        <v/>
      </c>
      <c r="B1120" s="90" t="s">
        <v>321</v>
      </c>
      <c r="C1120" s="91" t="s">
        <v>328</v>
      </c>
      <c r="D1120" s="109" t="s">
        <v>353</v>
      </c>
      <c r="E1120" s="67" t="str">
        <f>COLORES!A23</f>
        <v/>
      </c>
      <c r="F1120" s="67" t="str">
        <f>COLORES!B23</f>
        <v/>
      </c>
      <c r="G1120" s="90" t="s">
        <v>378</v>
      </c>
      <c r="H1120" s="100">
        <f>IFERROR(SUMIFS(MOVIMIENTOS_COMPLEMENTOS!$I$4:$I$803,MOVIMIENTOS_COMPLEMENTOS!$C$4:$C$803,A1120,MOVIMIENTOS_COMPLEMENTOS!$D$4:$D$803,B1120,MOVIMIENTOS_COMPLEMENTOS!$E$4:$E$803,C1120,MOVIMIENTOS_COMPLEMENTOS!$G$4:$G$803,E1120,MOVIMIENTOS_COMPLEMENTOS!$H$4:$H$803,G1120,MOVIMIENTOS_COMPLEMENTOS!$B$4:$B$803,"INGRESO")+SUMIFS(MOVIMIENTOS_COMPLEMENTOS!$I$4:$I$803,MOVIMIENTOS_COMPLEMENTOS!$C$4:$C$803,A1120,MOVIMIENTOS_COMPLEMENTOS!$D$4:$D$803,B1120,MOVIMIENTOS_COMPLEMENTOS!$E$4:$E$803,C1120,MOVIMIENTOS_COMPLEMENTOS!$G$4:$G$803,E1120,MOVIMIENTOS_COMPLEMENTOS!$H$4:$H$803,G1120,MOVIMIENTOS_COMPLEMENTOS!$B$4:$B$803,"DE CORTE")-SUMIFS(MOVIMIENTOS_COMPLEMENTOS!$I$4:$I$803,MOVIMIENTOS_COMPLEMENTOS!$C$4:$C$803,A1120,MOVIMIENTOS_COMPLEMENTOS!$D$4:$D$803,B1120,MOVIMIENTOS_COMPLEMENTOS!$E$4:$E$803,C1120,MOVIMIENTOS_COMPLEMENTOS!$G$4:$G$803,E1120,MOVIMIENTOS_COMPLEMENTOS!$H$4:$H$803,G1120,MOVIMIENTOS_COMPLEMENTOS!$B$4:$B$803,"SALIDA"),0)</f>
        <v>0</v>
      </c>
      <c r="I1120" s="102">
        <f t="array" ref="I1120">IFERROR(INDEX(PRECIOS_COMPLEMENTOS!$C$4:$F$17,MATCH(B1120&amp;"_"&amp;C1120,PRECIOS_COMPLEMENTOS!$H$4:$H$17,0),IF(OR(G1120="S",G1120="20cm"),1,IF(OR(G1120="M",G1120="25cm"),2,IF(OR(G1120="L",G1120="30cm"),3,IF(OR(G1120="XL",G1120="35cm"),4,0))))),0)</f>
        <v>0.4</v>
      </c>
      <c r="J1120" s="103">
        <f t="shared" si="1"/>
        <v>0</v>
      </c>
      <c r="K1120" s="104" t="str">
        <f>IF(H1120&lt;0,"ERROR",IF(H1120=0,"",IF(H1120&lt;CONFIG!$B$4,"CRÍTICO",IF(H1120&lt;CONFIG!$B$5,"BAJO","OK"))))</f>
        <v/>
      </c>
    </row>
    <row r="1121" ht="15.75" hidden="1" customHeight="1">
      <c r="A1121" s="90" t="str">
        <f>IF(CLIENTES!A8="","",CLIENTES!A8)</f>
        <v/>
      </c>
      <c r="B1121" s="90" t="s">
        <v>321</v>
      </c>
      <c r="C1121" s="91" t="s">
        <v>328</v>
      </c>
      <c r="D1121" s="109" t="s">
        <v>353</v>
      </c>
      <c r="E1121" s="67" t="str">
        <f>COLORES!A23</f>
        <v/>
      </c>
      <c r="F1121" s="67" t="str">
        <f>COLORES!B23</f>
        <v/>
      </c>
      <c r="G1121" s="90" t="s">
        <v>376</v>
      </c>
      <c r="H1121" s="100">
        <f>IFERROR(SUMIFS(MOVIMIENTOS_COMPLEMENTOS!$I$4:$I$803,MOVIMIENTOS_COMPLEMENTOS!$C$4:$C$803,A1121,MOVIMIENTOS_COMPLEMENTOS!$D$4:$D$803,B1121,MOVIMIENTOS_COMPLEMENTOS!$E$4:$E$803,C1121,MOVIMIENTOS_COMPLEMENTOS!$G$4:$G$803,E1121,MOVIMIENTOS_COMPLEMENTOS!$H$4:$H$803,G1121,MOVIMIENTOS_COMPLEMENTOS!$B$4:$B$803,"INGRESO")+SUMIFS(MOVIMIENTOS_COMPLEMENTOS!$I$4:$I$803,MOVIMIENTOS_COMPLEMENTOS!$C$4:$C$803,A1121,MOVIMIENTOS_COMPLEMENTOS!$D$4:$D$803,B1121,MOVIMIENTOS_COMPLEMENTOS!$E$4:$E$803,C1121,MOVIMIENTOS_COMPLEMENTOS!$G$4:$G$803,E1121,MOVIMIENTOS_COMPLEMENTOS!$H$4:$H$803,G1121,MOVIMIENTOS_COMPLEMENTOS!$B$4:$B$803,"DE CORTE")-SUMIFS(MOVIMIENTOS_COMPLEMENTOS!$I$4:$I$803,MOVIMIENTOS_COMPLEMENTOS!$C$4:$C$803,A1121,MOVIMIENTOS_COMPLEMENTOS!$D$4:$D$803,B1121,MOVIMIENTOS_COMPLEMENTOS!$E$4:$E$803,C1121,MOVIMIENTOS_COMPLEMENTOS!$G$4:$G$803,E1121,MOVIMIENTOS_COMPLEMENTOS!$H$4:$H$803,G1121,MOVIMIENTOS_COMPLEMENTOS!$B$4:$B$803,"SALIDA"),0)</f>
        <v>0</v>
      </c>
      <c r="I1121" s="102">
        <f t="array" ref="I1121">IFERROR(INDEX(PRECIOS_COMPLEMENTOS!$C$4:$F$17,MATCH(B1121&amp;"_"&amp;C1121,PRECIOS_COMPLEMENTOS!$H$4:$H$17,0),IF(OR(G1121="S",G1121="20cm"),1,IF(OR(G1121="M",G1121="25cm"),2,IF(OR(G1121="L",G1121="30cm"),3,IF(OR(G1121="XL",G1121="35cm"),4,0))))),0)</f>
        <v>0.4</v>
      </c>
      <c r="J1121" s="103">
        <f t="shared" si="1"/>
        <v>0</v>
      </c>
      <c r="K1121" s="104" t="str">
        <f>IF(H1121&lt;0,"ERROR",IF(H1121=0,"",IF(H1121&lt;CONFIG!$B$4,"CRÍTICO",IF(H1121&lt;CONFIG!$B$5,"BAJO","OK"))))</f>
        <v/>
      </c>
    </row>
    <row r="1122" ht="15.75" hidden="1" customHeight="1">
      <c r="A1122" s="90" t="str">
        <f>IF(CLIENTES!A8="","",CLIENTES!A8)</f>
        <v/>
      </c>
      <c r="B1122" s="90" t="s">
        <v>321</v>
      </c>
      <c r="C1122" s="91" t="s">
        <v>328</v>
      </c>
      <c r="D1122" s="109" t="s">
        <v>353</v>
      </c>
      <c r="E1122" s="67" t="str">
        <f>COLORES!A23</f>
        <v/>
      </c>
      <c r="F1122" s="67" t="str">
        <f>COLORES!B23</f>
        <v/>
      </c>
      <c r="G1122" s="90" t="s">
        <v>377</v>
      </c>
      <c r="H1122" s="100">
        <f>IFERROR(SUMIFS(MOVIMIENTOS_COMPLEMENTOS!$I$4:$I$803,MOVIMIENTOS_COMPLEMENTOS!$C$4:$C$803,A1122,MOVIMIENTOS_COMPLEMENTOS!$D$4:$D$803,B1122,MOVIMIENTOS_COMPLEMENTOS!$E$4:$E$803,C1122,MOVIMIENTOS_COMPLEMENTOS!$G$4:$G$803,E1122,MOVIMIENTOS_COMPLEMENTOS!$H$4:$H$803,G1122,MOVIMIENTOS_COMPLEMENTOS!$B$4:$B$803,"INGRESO")+SUMIFS(MOVIMIENTOS_COMPLEMENTOS!$I$4:$I$803,MOVIMIENTOS_COMPLEMENTOS!$C$4:$C$803,A1122,MOVIMIENTOS_COMPLEMENTOS!$D$4:$D$803,B1122,MOVIMIENTOS_COMPLEMENTOS!$E$4:$E$803,C1122,MOVIMIENTOS_COMPLEMENTOS!$G$4:$G$803,E1122,MOVIMIENTOS_COMPLEMENTOS!$H$4:$H$803,G1122,MOVIMIENTOS_COMPLEMENTOS!$B$4:$B$803,"DE CORTE")-SUMIFS(MOVIMIENTOS_COMPLEMENTOS!$I$4:$I$803,MOVIMIENTOS_COMPLEMENTOS!$C$4:$C$803,A1122,MOVIMIENTOS_COMPLEMENTOS!$D$4:$D$803,B1122,MOVIMIENTOS_COMPLEMENTOS!$E$4:$E$803,C1122,MOVIMIENTOS_COMPLEMENTOS!$G$4:$G$803,E1122,MOVIMIENTOS_COMPLEMENTOS!$H$4:$H$803,G1122,MOVIMIENTOS_COMPLEMENTOS!$B$4:$B$803,"SALIDA"),0)</f>
        <v>0</v>
      </c>
      <c r="I1122" s="102">
        <f t="array" ref="I1122">IFERROR(INDEX(PRECIOS_COMPLEMENTOS!$C$4:$F$17,MATCH(B1122&amp;"_"&amp;C1122,PRECIOS_COMPLEMENTOS!$H$4:$H$17,0),IF(OR(G1122="S",G1122="20cm"),1,IF(OR(G1122="M",G1122="25cm"),2,IF(OR(G1122="L",G1122="30cm"),3,IF(OR(G1122="XL",G1122="35cm"),4,0))))),0)</f>
        <v>0.4</v>
      </c>
      <c r="J1122" s="103">
        <f t="shared" si="1"/>
        <v>0</v>
      </c>
      <c r="K1122" s="104" t="str">
        <f>IF(H1122&lt;0,"ERROR",IF(H1122=0,"",IF(H1122&lt;CONFIG!$B$4,"CRÍTICO",IF(H1122&lt;CONFIG!$B$5,"BAJO","OK"))))</f>
        <v/>
      </c>
    </row>
    <row r="1123" ht="15.75" hidden="1" customHeight="1">
      <c r="A1123" s="90" t="str">
        <f>IF(CLIENTES!A8="","",CLIENTES!A8)</f>
        <v/>
      </c>
      <c r="B1123" s="90" t="s">
        <v>321</v>
      </c>
      <c r="C1123" s="91" t="s">
        <v>328</v>
      </c>
      <c r="D1123" s="109" t="s">
        <v>353</v>
      </c>
      <c r="E1123" s="67" t="str">
        <f>COLORES!A23</f>
        <v/>
      </c>
      <c r="F1123" s="67" t="str">
        <f>COLORES!B23</f>
        <v/>
      </c>
      <c r="G1123" s="90" t="s">
        <v>379</v>
      </c>
      <c r="H1123" s="100">
        <f>IFERROR(SUMIFS(MOVIMIENTOS_COMPLEMENTOS!$I$4:$I$803,MOVIMIENTOS_COMPLEMENTOS!$C$4:$C$803,A1123,MOVIMIENTOS_COMPLEMENTOS!$D$4:$D$803,B1123,MOVIMIENTOS_COMPLEMENTOS!$E$4:$E$803,C1123,MOVIMIENTOS_COMPLEMENTOS!$G$4:$G$803,E1123,MOVIMIENTOS_COMPLEMENTOS!$H$4:$H$803,G1123,MOVIMIENTOS_COMPLEMENTOS!$B$4:$B$803,"INGRESO")+SUMIFS(MOVIMIENTOS_COMPLEMENTOS!$I$4:$I$803,MOVIMIENTOS_COMPLEMENTOS!$C$4:$C$803,A1123,MOVIMIENTOS_COMPLEMENTOS!$D$4:$D$803,B1123,MOVIMIENTOS_COMPLEMENTOS!$E$4:$E$803,C1123,MOVIMIENTOS_COMPLEMENTOS!$G$4:$G$803,E1123,MOVIMIENTOS_COMPLEMENTOS!$H$4:$H$803,G1123,MOVIMIENTOS_COMPLEMENTOS!$B$4:$B$803,"DE CORTE")-SUMIFS(MOVIMIENTOS_COMPLEMENTOS!$I$4:$I$803,MOVIMIENTOS_COMPLEMENTOS!$C$4:$C$803,A1123,MOVIMIENTOS_COMPLEMENTOS!$D$4:$D$803,B1123,MOVIMIENTOS_COMPLEMENTOS!$E$4:$E$803,C1123,MOVIMIENTOS_COMPLEMENTOS!$G$4:$G$803,E1123,MOVIMIENTOS_COMPLEMENTOS!$H$4:$H$803,G1123,MOVIMIENTOS_COMPLEMENTOS!$B$4:$B$803,"SALIDA"),0)</f>
        <v>0</v>
      </c>
      <c r="I1123" s="102">
        <f t="array" ref="I1123">IFERROR(INDEX(PRECIOS_COMPLEMENTOS!$C$4:$F$17,MATCH(B1123&amp;"_"&amp;C1123,PRECIOS_COMPLEMENTOS!$H$4:$H$17,0),IF(OR(G1123="S",G1123="20cm"),1,IF(OR(G1123="M",G1123="25cm"),2,IF(OR(G1123="L",G1123="30cm"),3,IF(OR(G1123="XL",G1123="35cm"),4,0))))),0)</f>
        <v>0.4</v>
      </c>
      <c r="J1123" s="103">
        <f t="shared" si="1"/>
        <v>0</v>
      </c>
      <c r="K1123" s="104" t="str">
        <f>IF(H1123&lt;0,"ERROR",IF(H1123=0,"",IF(H1123&lt;CONFIG!$B$4,"CRÍTICO",IF(H1123&lt;CONFIG!$B$5,"BAJO","OK"))))</f>
        <v/>
      </c>
    </row>
    <row r="1124" ht="15.75" hidden="1" customHeight="1">
      <c r="A1124" s="90" t="str">
        <f>IF(CLIENTES!A9="","",CLIENTES!A9)</f>
        <v/>
      </c>
      <c r="B1124" s="90" t="s">
        <v>321</v>
      </c>
      <c r="C1124" s="91" t="s">
        <v>328</v>
      </c>
      <c r="D1124" s="109" t="s">
        <v>353</v>
      </c>
      <c r="E1124" s="67" t="str">
        <f>COLORES!A4</f>
        <v>Negro</v>
      </c>
      <c r="F1124" s="67" t="str">
        <f>COLORES!B4</f>
        <v>OSCURO</v>
      </c>
      <c r="G1124" s="90" t="s">
        <v>378</v>
      </c>
      <c r="H1124" s="100">
        <f>IFERROR(SUMIFS(MOVIMIENTOS_COMPLEMENTOS!$I$4:$I$803,MOVIMIENTOS_COMPLEMENTOS!$C$4:$C$803,A1124,MOVIMIENTOS_COMPLEMENTOS!$D$4:$D$803,B1124,MOVIMIENTOS_COMPLEMENTOS!$E$4:$E$803,C1124,MOVIMIENTOS_COMPLEMENTOS!$G$4:$G$803,E1124,MOVIMIENTOS_COMPLEMENTOS!$H$4:$H$803,G1124,MOVIMIENTOS_COMPLEMENTOS!$B$4:$B$803,"INGRESO")+SUMIFS(MOVIMIENTOS_COMPLEMENTOS!$I$4:$I$803,MOVIMIENTOS_COMPLEMENTOS!$C$4:$C$803,A1124,MOVIMIENTOS_COMPLEMENTOS!$D$4:$D$803,B1124,MOVIMIENTOS_COMPLEMENTOS!$E$4:$E$803,C1124,MOVIMIENTOS_COMPLEMENTOS!$G$4:$G$803,E1124,MOVIMIENTOS_COMPLEMENTOS!$H$4:$H$803,G1124,MOVIMIENTOS_COMPLEMENTOS!$B$4:$B$803,"DE CORTE")-SUMIFS(MOVIMIENTOS_COMPLEMENTOS!$I$4:$I$803,MOVIMIENTOS_COMPLEMENTOS!$C$4:$C$803,A1124,MOVIMIENTOS_COMPLEMENTOS!$D$4:$D$803,B1124,MOVIMIENTOS_COMPLEMENTOS!$E$4:$E$803,C1124,MOVIMIENTOS_COMPLEMENTOS!$G$4:$G$803,E1124,MOVIMIENTOS_COMPLEMENTOS!$H$4:$H$803,G1124,MOVIMIENTOS_COMPLEMENTOS!$B$4:$B$803,"SALIDA"),0)</f>
        <v>0</v>
      </c>
      <c r="I1124" s="102">
        <f t="array" ref="I1124">IFERROR(INDEX(PRECIOS_COMPLEMENTOS!$C$4:$F$17,MATCH(B1124&amp;"_"&amp;C1124,PRECIOS_COMPLEMENTOS!$H$4:$H$17,0),IF(OR(G1124="S",G1124="20cm"),1,IF(OR(G1124="M",G1124="25cm"),2,IF(OR(G1124="L",G1124="30cm"),3,IF(OR(G1124="XL",G1124="35cm"),4,0))))),0)</f>
        <v>0.4</v>
      </c>
      <c r="J1124" s="103">
        <f t="shared" si="1"/>
        <v>0</v>
      </c>
      <c r="K1124" s="104" t="str">
        <f>IF(H1124&lt;0,"ERROR",IF(H1124=0,"",IF(H1124&lt;CONFIG!$B$4,"CRÍTICO",IF(H1124&lt;CONFIG!$B$5,"BAJO","OK"))))</f>
        <v/>
      </c>
    </row>
    <row r="1125" ht="15.75" hidden="1" customHeight="1">
      <c r="A1125" s="90" t="str">
        <f>IF(CLIENTES!A9="","",CLIENTES!A9)</f>
        <v/>
      </c>
      <c r="B1125" s="90" t="s">
        <v>321</v>
      </c>
      <c r="C1125" s="91" t="s">
        <v>328</v>
      </c>
      <c r="D1125" s="109" t="s">
        <v>353</v>
      </c>
      <c r="E1125" s="67" t="str">
        <f>COLORES!A4</f>
        <v>Negro</v>
      </c>
      <c r="F1125" s="67" t="str">
        <f>COLORES!B4</f>
        <v>OSCURO</v>
      </c>
      <c r="G1125" s="90" t="s">
        <v>376</v>
      </c>
      <c r="H1125" s="100">
        <f>IFERROR(SUMIFS(MOVIMIENTOS_COMPLEMENTOS!$I$4:$I$803,MOVIMIENTOS_COMPLEMENTOS!$C$4:$C$803,A1125,MOVIMIENTOS_COMPLEMENTOS!$D$4:$D$803,B1125,MOVIMIENTOS_COMPLEMENTOS!$E$4:$E$803,C1125,MOVIMIENTOS_COMPLEMENTOS!$G$4:$G$803,E1125,MOVIMIENTOS_COMPLEMENTOS!$H$4:$H$803,G1125,MOVIMIENTOS_COMPLEMENTOS!$B$4:$B$803,"INGRESO")+SUMIFS(MOVIMIENTOS_COMPLEMENTOS!$I$4:$I$803,MOVIMIENTOS_COMPLEMENTOS!$C$4:$C$803,A1125,MOVIMIENTOS_COMPLEMENTOS!$D$4:$D$803,B1125,MOVIMIENTOS_COMPLEMENTOS!$E$4:$E$803,C1125,MOVIMIENTOS_COMPLEMENTOS!$G$4:$G$803,E1125,MOVIMIENTOS_COMPLEMENTOS!$H$4:$H$803,G1125,MOVIMIENTOS_COMPLEMENTOS!$B$4:$B$803,"DE CORTE")-SUMIFS(MOVIMIENTOS_COMPLEMENTOS!$I$4:$I$803,MOVIMIENTOS_COMPLEMENTOS!$C$4:$C$803,A1125,MOVIMIENTOS_COMPLEMENTOS!$D$4:$D$803,B1125,MOVIMIENTOS_COMPLEMENTOS!$E$4:$E$803,C1125,MOVIMIENTOS_COMPLEMENTOS!$G$4:$G$803,E1125,MOVIMIENTOS_COMPLEMENTOS!$H$4:$H$803,G1125,MOVIMIENTOS_COMPLEMENTOS!$B$4:$B$803,"SALIDA"),0)</f>
        <v>0</v>
      </c>
      <c r="I1125" s="102">
        <f t="array" ref="I1125">IFERROR(INDEX(PRECIOS_COMPLEMENTOS!$C$4:$F$17,MATCH(B1125&amp;"_"&amp;C1125,PRECIOS_COMPLEMENTOS!$H$4:$H$17,0),IF(OR(G1125="S",G1125="20cm"),1,IF(OR(G1125="M",G1125="25cm"),2,IF(OR(G1125="L",G1125="30cm"),3,IF(OR(G1125="XL",G1125="35cm"),4,0))))),0)</f>
        <v>0.4</v>
      </c>
      <c r="J1125" s="103">
        <f t="shared" si="1"/>
        <v>0</v>
      </c>
      <c r="K1125" s="104" t="str">
        <f>IF(H1125&lt;0,"ERROR",IF(H1125=0,"",IF(H1125&lt;CONFIG!$B$4,"CRÍTICO",IF(H1125&lt;CONFIG!$B$5,"BAJO","OK"))))</f>
        <v/>
      </c>
    </row>
    <row r="1126" ht="15.75" hidden="1" customHeight="1">
      <c r="A1126" s="90" t="str">
        <f>IF(CLIENTES!A9="","",CLIENTES!A9)</f>
        <v/>
      </c>
      <c r="B1126" s="90" t="s">
        <v>321</v>
      </c>
      <c r="C1126" s="91" t="s">
        <v>328</v>
      </c>
      <c r="D1126" s="109" t="s">
        <v>353</v>
      </c>
      <c r="E1126" s="67" t="str">
        <f>COLORES!A4</f>
        <v>Negro</v>
      </c>
      <c r="F1126" s="67" t="str">
        <f>COLORES!B4</f>
        <v>OSCURO</v>
      </c>
      <c r="G1126" s="90" t="s">
        <v>377</v>
      </c>
      <c r="H1126" s="100">
        <f>IFERROR(SUMIFS(MOVIMIENTOS_COMPLEMENTOS!$I$4:$I$803,MOVIMIENTOS_COMPLEMENTOS!$C$4:$C$803,A1126,MOVIMIENTOS_COMPLEMENTOS!$D$4:$D$803,B1126,MOVIMIENTOS_COMPLEMENTOS!$E$4:$E$803,C1126,MOVIMIENTOS_COMPLEMENTOS!$G$4:$G$803,E1126,MOVIMIENTOS_COMPLEMENTOS!$H$4:$H$803,G1126,MOVIMIENTOS_COMPLEMENTOS!$B$4:$B$803,"INGRESO")+SUMIFS(MOVIMIENTOS_COMPLEMENTOS!$I$4:$I$803,MOVIMIENTOS_COMPLEMENTOS!$C$4:$C$803,A1126,MOVIMIENTOS_COMPLEMENTOS!$D$4:$D$803,B1126,MOVIMIENTOS_COMPLEMENTOS!$E$4:$E$803,C1126,MOVIMIENTOS_COMPLEMENTOS!$G$4:$G$803,E1126,MOVIMIENTOS_COMPLEMENTOS!$H$4:$H$803,G1126,MOVIMIENTOS_COMPLEMENTOS!$B$4:$B$803,"DE CORTE")-SUMIFS(MOVIMIENTOS_COMPLEMENTOS!$I$4:$I$803,MOVIMIENTOS_COMPLEMENTOS!$C$4:$C$803,A1126,MOVIMIENTOS_COMPLEMENTOS!$D$4:$D$803,B1126,MOVIMIENTOS_COMPLEMENTOS!$E$4:$E$803,C1126,MOVIMIENTOS_COMPLEMENTOS!$G$4:$G$803,E1126,MOVIMIENTOS_COMPLEMENTOS!$H$4:$H$803,G1126,MOVIMIENTOS_COMPLEMENTOS!$B$4:$B$803,"SALIDA"),0)</f>
        <v>0</v>
      </c>
      <c r="I1126" s="102">
        <f t="array" ref="I1126">IFERROR(INDEX(PRECIOS_COMPLEMENTOS!$C$4:$F$17,MATCH(B1126&amp;"_"&amp;C1126,PRECIOS_COMPLEMENTOS!$H$4:$H$17,0),IF(OR(G1126="S",G1126="20cm"),1,IF(OR(G1126="M",G1126="25cm"),2,IF(OR(G1126="L",G1126="30cm"),3,IF(OR(G1126="XL",G1126="35cm"),4,0))))),0)</f>
        <v>0.4</v>
      </c>
      <c r="J1126" s="103">
        <f t="shared" si="1"/>
        <v>0</v>
      </c>
      <c r="K1126" s="104" t="str">
        <f>IF(H1126&lt;0,"ERROR",IF(H1126=0,"",IF(H1126&lt;CONFIG!$B$4,"CRÍTICO",IF(H1126&lt;CONFIG!$B$5,"BAJO","OK"))))</f>
        <v/>
      </c>
    </row>
    <row r="1127" ht="15.75" hidden="1" customHeight="1">
      <c r="A1127" s="90" t="str">
        <f>IF(CLIENTES!A9="","",CLIENTES!A9)</f>
        <v/>
      </c>
      <c r="B1127" s="90" t="s">
        <v>321</v>
      </c>
      <c r="C1127" s="91" t="s">
        <v>328</v>
      </c>
      <c r="D1127" s="109" t="s">
        <v>353</v>
      </c>
      <c r="E1127" s="67" t="str">
        <f>COLORES!A4</f>
        <v>Negro</v>
      </c>
      <c r="F1127" s="67" t="str">
        <f>COLORES!B4</f>
        <v>OSCURO</v>
      </c>
      <c r="G1127" s="90" t="s">
        <v>379</v>
      </c>
      <c r="H1127" s="100">
        <f>IFERROR(SUMIFS(MOVIMIENTOS_COMPLEMENTOS!$I$4:$I$803,MOVIMIENTOS_COMPLEMENTOS!$C$4:$C$803,A1127,MOVIMIENTOS_COMPLEMENTOS!$D$4:$D$803,B1127,MOVIMIENTOS_COMPLEMENTOS!$E$4:$E$803,C1127,MOVIMIENTOS_COMPLEMENTOS!$G$4:$G$803,E1127,MOVIMIENTOS_COMPLEMENTOS!$H$4:$H$803,G1127,MOVIMIENTOS_COMPLEMENTOS!$B$4:$B$803,"INGRESO")+SUMIFS(MOVIMIENTOS_COMPLEMENTOS!$I$4:$I$803,MOVIMIENTOS_COMPLEMENTOS!$C$4:$C$803,A1127,MOVIMIENTOS_COMPLEMENTOS!$D$4:$D$803,B1127,MOVIMIENTOS_COMPLEMENTOS!$E$4:$E$803,C1127,MOVIMIENTOS_COMPLEMENTOS!$G$4:$G$803,E1127,MOVIMIENTOS_COMPLEMENTOS!$H$4:$H$803,G1127,MOVIMIENTOS_COMPLEMENTOS!$B$4:$B$803,"DE CORTE")-SUMIFS(MOVIMIENTOS_COMPLEMENTOS!$I$4:$I$803,MOVIMIENTOS_COMPLEMENTOS!$C$4:$C$803,A1127,MOVIMIENTOS_COMPLEMENTOS!$D$4:$D$803,B1127,MOVIMIENTOS_COMPLEMENTOS!$E$4:$E$803,C1127,MOVIMIENTOS_COMPLEMENTOS!$G$4:$G$803,E1127,MOVIMIENTOS_COMPLEMENTOS!$H$4:$H$803,G1127,MOVIMIENTOS_COMPLEMENTOS!$B$4:$B$803,"SALIDA"),0)</f>
        <v>0</v>
      </c>
      <c r="I1127" s="102">
        <f t="array" ref="I1127">IFERROR(INDEX(PRECIOS_COMPLEMENTOS!$C$4:$F$17,MATCH(B1127&amp;"_"&amp;C1127,PRECIOS_COMPLEMENTOS!$H$4:$H$17,0),IF(OR(G1127="S",G1127="20cm"),1,IF(OR(G1127="M",G1127="25cm"),2,IF(OR(G1127="L",G1127="30cm"),3,IF(OR(G1127="XL",G1127="35cm"),4,0))))),0)</f>
        <v>0.4</v>
      </c>
      <c r="J1127" s="103">
        <f t="shared" si="1"/>
        <v>0</v>
      </c>
      <c r="K1127" s="104" t="str">
        <f>IF(H1127&lt;0,"ERROR",IF(H1127=0,"",IF(H1127&lt;CONFIG!$B$4,"CRÍTICO",IF(H1127&lt;CONFIG!$B$5,"BAJO","OK"))))</f>
        <v/>
      </c>
    </row>
    <row r="1128" ht="15.75" hidden="1" customHeight="1">
      <c r="A1128" s="90" t="str">
        <f>IF(CLIENTES!A9="","",CLIENTES!A9)</f>
        <v/>
      </c>
      <c r="B1128" s="90" t="s">
        <v>321</v>
      </c>
      <c r="C1128" s="91" t="s">
        <v>328</v>
      </c>
      <c r="D1128" s="109" t="s">
        <v>353</v>
      </c>
      <c r="E1128" s="67" t="str">
        <f>COLORES!A5</f>
        <v>Perla</v>
      </c>
      <c r="F1128" s="67" t="str">
        <f>COLORES!B5</f>
        <v>PPT</v>
      </c>
      <c r="G1128" s="90" t="s">
        <v>378</v>
      </c>
      <c r="H1128" s="100">
        <f>IFERROR(SUMIFS(MOVIMIENTOS_COMPLEMENTOS!$I$4:$I$803,MOVIMIENTOS_COMPLEMENTOS!$C$4:$C$803,A1128,MOVIMIENTOS_COMPLEMENTOS!$D$4:$D$803,B1128,MOVIMIENTOS_COMPLEMENTOS!$E$4:$E$803,C1128,MOVIMIENTOS_COMPLEMENTOS!$G$4:$G$803,E1128,MOVIMIENTOS_COMPLEMENTOS!$H$4:$H$803,G1128,MOVIMIENTOS_COMPLEMENTOS!$B$4:$B$803,"INGRESO")+SUMIFS(MOVIMIENTOS_COMPLEMENTOS!$I$4:$I$803,MOVIMIENTOS_COMPLEMENTOS!$C$4:$C$803,A1128,MOVIMIENTOS_COMPLEMENTOS!$D$4:$D$803,B1128,MOVIMIENTOS_COMPLEMENTOS!$E$4:$E$803,C1128,MOVIMIENTOS_COMPLEMENTOS!$G$4:$G$803,E1128,MOVIMIENTOS_COMPLEMENTOS!$H$4:$H$803,G1128,MOVIMIENTOS_COMPLEMENTOS!$B$4:$B$803,"DE CORTE")-SUMIFS(MOVIMIENTOS_COMPLEMENTOS!$I$4:$I$803,MOVIMIENTOS_COMPLEMENTOS!$C$4:$C$803,A1128,MOVIMIENTOS_COMPLEMENTOS!$D$4:$D$803,B1128,MOVIMIENTOS_COMPLEMENTOS!$E$4:$E$803,C1128,MOVIMIENTOS_COMPLEMENTOS!$G$4:$G$803,E1128,MOVIMIENTOS_COMPLEMENTOS!$H$4:$H$803,G1128,MOVIMIENTOS_COMPLEMENTOS!$B$4:$B$803,"SALIDA"),0)</f>
        <v>0</v>
      </c>
      <c r="I1128" s="102">
        <f t="array" ref="I1128">IFERROR(INDEX(PRECIOS_COMPLEMENTOS!$C$4:$F$17,MATCH(B1128&amp;"_"&amp;C1128,PRECIOS_COMPLEMENTOS!$H$4:$H$17,0),IF(OR(G1128="S",G1128="20cm"),1,IF(OR(G1128="M",G1128="25cm"),2,IF(OR(G1128="L",G1128="30cm"),3,IF(OR(G1128="XL",G1128="35cm"),4,0))))),0)</f>
        <v>0.4</v>
      </c>
      <c r="J1128" s="103">
        <f t="shared" si="1"/>
        <v>0</v>
      </c>
      <c r="K1128" s="104" t="str">
        <f>IF(H1128&lt;0,"ERROR",IF(H1128=0,"",IF(H1128&lt;CONFIG!$B$4,"CRÍTICO",IF(H1128&lt;CONFIG!$B$5,"BAJO","OK"))))</f>
        <v/>
      </c>
    </row>
    <row r="1129" ht="15.75" hidden="1" customHeight="1">
      <c r="A1129" s="90" t="str">
        <f>IF(CLIENTES!A9="","",CLIENTES!A9)</f>
        <v/>
      </c>
      <c r="B1129" s="90" t="s">
        <v>321</v>
      </c>
      <c r="C1129" s="91" t="s">
        <v>328</v>
      </c>
      <c r="D1129" s="109" t="s">
        <v>353</v>
      </c>
      <c r="E1129" s="67" t="str">
        <f>COLORES!A5</f>
        <v>Perla</v>
      </c>
      <c r="F1129" s="67" t="str">
        <f>COLORES!B5</f>
        <v>PPT</v>
      </c>
      <c r="G1129" s="90" t="s">
        <v>376</v>
      </c>
      <c r="H1129" s="100">
        <f>IFERROR(SUMIFS(MOVIMIENTOS_COMPLEMENTOS!$I$4:$I$803,MOVIMIENTOS_COMPLEMENTOS!$C$4:$C$803,A1129,MOVIMIENTOS_COMPLEMENTOS!$D$4:$D$803,B1129,MOVIMIENTOS_COMPLEMENTOS!$E$4:$E$803,C1129,MOVIMIENTOS_COMPLEMENTOS!$G$4:$G$803,E1129,MOVIMIENTOS_COMPLEMENTOS!$H$4:$H$803,G1129,MOVIMIENTOS_COMPLEMENTOS!$B$4:$B$803,"INGRESO")+SUMIFS(MOVIMIENTOS_COMPLEMENTOS!$I$4:$I$803,MOVIMIENTOS_COMPLEMENTOS!$C$4:$C$803,A1129,MOVIMIENTOS_COMPLEMENTOS!$D$4:$D$803,B1129,MOVIMIENTOS_COMPLEMENTOS!$E$4:$E$803,C1129,MOVIMIENTOS_COMPLEMENTOS!$G$4:$G$803,E1129,MOVIMIENTOS_COMPLEMENTOS!$H$4:$H$803,G1129,MOVIMIENTOS_COMPLEMENTOS!$B$4:$B$803,"DE CORTE")-SUMIFS(MOVIMIENTOS_COMPLEMENTOS!$I$4:$I$803,MOVIMIENTOS_COMPLEMENTOS!$C$4:$C$803,A1129,MOVIMIENTOS_COMPLEMENTOS!$D$4:$D$803,B1129,MOVIMIENTOS_COMPLEMENTOS!$E$4:$E$803,C1129,MOVIMIENTOS_COMPLEMENTOS!$G$4:$G$803,E1129,MOVIMIENTOS_COMPLEMENTOS!$H$4:$H$803,G1129,MOVIMIENTOS_COMPLEMENTOS!$B$4:$B$803,"SALIDA"),0)</f>
        <v>0</v>
      </c>
      <c r="I1129" s="102">
        <f t="array" ref="I1129">IFERROR(INDEX(PRECIOS_COMPLEMENTOS!$C$4:$F$17,MATCH(B1129&amp;"_"&amp;C1129,PRECIOS_COMPLEMENTOS!$H$4:$H$17,0),IF(OR(G1129="S",G1129="20cm"),1,IF(OR(G1129="M",G1129="25cm"),2,IF(OR(G1129="L",G1129="30cm"),3,IF(OR(G1129="XL",G1129="35cm"),4,0))))),0)</f>
        <v>0.4</v>
      </c>
      <c r="J1129" s="103">
        <f t="shared" si="1"/>
        <v>0</v>
      </c>
      <c r="K1129" s="104" t="str">
        <f>IF(H1129&lt;0,"ERROR",IF(H1129=0,"",IF(H1129&lt;CONFIG!$B$4,"CRÍTICO",IF(H1129&lt;CONFIG!$B$5,"BAJO","OK"))))</f>
        <v/>
      </c>
    </row>
    <row r="1130" ht="15.75" hidden="1" customHeight="1">
      <c r="A1130" s="90" t="str">
        <f>IF(CLIENTES!A9="","",CLIENTES!A9)</f>
        <v/>
      </c>
      <c r="B1130" s="90" t="s">
        <v>321</v>
      </c>
      <c r="C1130" s="91" t="s">
        <v>328</v>
      </c>
      <c r="D1130" s="109" t="s">
        <v>353</v>
      </c>
      <c r="E1130" s="67" t="str">
        <f>COLORES!A5</f>
        <v>Perla</v>
      </c>
      <c r="F1130" s="67" t="str">
        <f>COLORES!B5</f>
        <v>PPT</v>
      </c>
      <c r="G1130" s="90" t="s">
        <v>377</v>
      </c>
      <c r="H1130" s="100">
        <f>IFERROR(SUMIFS(MOVIMIENTOS_COMPLEMENTOS!$I$4:$I$803,MOVIMIENTOS_COMPLEMENTOS!$C$4:$C$803,A1130,MOVIMIENTOS_COMPLEMENTOS!$D$4:$D$803,B1130,MOVIMIENTOS_COMPLEMENTOS!$E$4:$E$803,C1130,MOVIMIENTOS_COMPLEMENTOS!$G$4:$G$803,E1130,MOVIMIENTOS_COMPLEMENTOS!$H$4:$H$803,G1130,MOVIMIENTOS_COMPLEMENTOS!$B$4:$B$803,"INGRESO")+SUMIFS(MOVIMIENTOS_COMPLEMENTOS!$I$4:$I$803,MOVIMIENTOS_COMPLEMENTOS!$C$4:$C$803,A1130,MOVIMIENTOS_COMPLEMENTOS!$D$4:$D$803,B1130,MOVIMIENTOS_COMPLEMENTOS!$E$4:$E$803,C1130,MOVIMIENTOS_COMPLEMENTOS!$G$4:$G$803,E1130,MOVIMIENTOS_COMPLEMENTOS!$H$4:$H$803,G1130,MOVIMIENTOS_COMPLEMENTOS!$B$4:$B$803,"DE CORTE")-SUMIFS(MOVIMIENTOS_COMPLEMENTOS!$I$4:$I$803,MOVIMIENTOS_COMPLEMENTOS!$C$4:$C$803,A1130,MOVIMIENTOS_COMPLEMENTOS!$D$4:$D$803,B1130,MOVIMIENTOS_COMPLEMENTOS!$E$4:$E$803,C1130,MOVIMIENTOS_COMPLEMENTOS!$G$4:$G$803,E1130,MOVIMIENTOS_COMPLEMENTOS!$H$4:$H$803,G1130,MOVIMIENTOS_COMPLEMENTOS!$B$4:$B$803,"SALIDA"),0)</f>
        <v>0</v>
      </c>
      <c r="I1130" s="102">
        <f t="array" ref="I1130">IFERROR(INDEX(PRECIOS_COMPLEMENTOS!$C$4:$F$17,MATCH(B1130&amp;"_"&amp;C1130,PRECIOS_COMPLEMENTOS!$H$4:$H$17,0),IF(OR(G1130="S",G1130="20cm"),1,IF(OR(G1130="M",G1130="25cm"),2,IF(OR(G1130="L",G1130="30cm"),3,IF(OR(G1130="XL",G1130="35cm"),4,0))))),0)</f>
        <v>0.4</v>
      </c>
      <c r="J1130" s="103">
        <f t="shared" si="1"/>
        <v>0</v>
      </c>
      <c r="K1130" s="104" t="str">
        <f>IF(H1130&lt;0,"ERROR",IF(H1130=0,"",IF(H1130&lt;CONFIG!$B$4,"CRÍTICO",IF(H1130&lt;CONFIG!$B$5,"BAJO","OK"))))</f>
        <v/>
      </c>
    </row>
    <row r="1131" ht="15.75" hidden="1" customHeight="1">
      <c r="A1131" s="90" t="str">
        <f>IF(CLIENTES!A9="","",CLIENTES!A9)</f>
        <v/>
      </c>
      <c r="B1131" s="90" t="s">
        <v>321</v>
      </c>
      <c r="C1131" s="91" t="s">
        <v>328</v>
      </c>
      <c r="D1131" s="109" t="s">
        <v>353</v>
      </c>
      <c r="E1131" s="67" t="str">
        <f>COLORES!A5</f>
        <v>Perla</v>
      </c>
      <c r="F1131" s="67" t="str">
        <f>COLORES!B5</f>
        <v>PPT</v>
      </c>
      <c r="G1131" s="90" t="s">
        <v>379</v>
      </c>
      <c r="H1131" s="100">
        <f>IFERROR(SUMIFS(MOVIMIENTOS_COMPLEMENTOS!$I$4:$I$803,MOVIMIENTOS_COMPLEMENTOS!$C$4:$C$803,A1131,MOVIMIENTOS_COMPLEMENTOS!$D$4:$D$803,B1131,MOVIMIENTOS_COMPLEMENTOS!$E$4:$E$803,C1131,MOVIMIENTOS_COMPLEMENTOS!$G$4:$G$803,E1131,MOVIMIENTOS_COMPLEMENTOS!$H$4:$H$803,G1131,MOVIMIENTOS_COMPLEMENTOS!$B$4:$B$803,"INGRESO")+SUMIFS(MOVIMIENTOS_COMPLEMENTOS!$I$4:$I$803,MOVIMIENTOS_COMPLEMENTOS!$C$4:$C$803,A1131,MOVIMIENTOS_COMPLEMENTOS!$D$4:$D$803,B1131,MOVIMIENTOS_COMPLEMENTOS!$E$4:$E$803,C1131,MOVIMIENTOS_COMPLEMENTOS!$G$4:$G$803,E1131,MOVIMIENTOS_COMPLEMENTOS!$H$4:$H$803,G1131,MOVIMIENTOS_COMPLEMENTOS!$B$4:$B$803,"DE CORTE")-SUMIFS(MOVIMIENTOS_COMPLEMENTOS!$I$4:$I$803,MOVIMIENTOS_COMPLEMENTOS!$C$4:$C$803,A1131,MOVIMIENTOS_COMPLEMENTOS!$D$4:$D$803,B1131,MOVIMIENTOS_COMPLEMENTOS!$E$4:$E$803,C1131,MOVIMIENTOS_COMPLEMENTOS!$G$4:$G$803,E1131,MOVIMIENTOS_COMPLEMENTOS!$H$4:$H$803,G1131,MOVIMIENTOS_COMPLEMENTOS!$B$4:$B$803,"SALIDA"),0)</f>
        <v>0</v>
      </c>
      <c r="I1131" s="102">
        <f t="array" ref="I1131">IFERROR(INDEX(PRECIOS_COMPLEMENTOS!$C$4:$F$17,MATCH(B1131&amp;"_"&amp;C1131,PRECIOS_COMPLEMENTOS!$H$4:$H$17,0),IF(OR(G1131="S",G1131="20cm"),1,IF(OR(G1131="M",G1131="25cm"),2,IF(OR(G1131="L",G1131="30cm"),3,IF(OR(G1131="XL",G1131="35cm"),4,0))))),0)</f>
        <v>0.4</v>
      </c>
      <c r="J1131" s="103">
        <f t="shared" si="1"/>
        <v>0</v>
      </c>
      <c r="K1131" s="104" t="str">
        <f>IF(H1131&lt;0,"ERROR",IF(H1131=0,"",IF(H1131&lt;CONFIG!$B$4,"CRÍTICO",IF(H1131&lt;CONFIG!$B$5,"BAJO","OK"))))</f>
        <v/>
      </c>
    </row>
    <row r="1132" ht="15.75" hidden="1" customHeight="1">
      <c r="A1132" s="90" t="str">
        <f>IF(CLIENTES!A9="","",CLIENTES!A9)</f>
        <v/>
      </c>
      <c r="B1132" s="90" t="s">
        <v>321</v>
      </c>
      <c r="C1132" s="91" t="s">
        <v>328</v>
      </c>
      <c r="D1132" s="109" t="s">
        <v>353</v>
      </c>
      <c r="E1132" s="67" t="str">
        <f>COLORES!A6</f>
        <v>Blanco</v>
      </c>
      <c r="F1132" s="67" t="str">
        <f>COLORES!B6</f>
        <v>PPT</v>
      </c>
      <c r="G1132" s="90" t="s">
        <v>378</v>
      </c>
      <c r="H1132" s="100">
        <f>IFERROR(SUMIFS(MOVIMIENTOS_COMPLEMENTOS!$I$4:$I$803,MOVIMIENTOS_COMPLEMENTOS!$C$4:$C$803,A1132,MOVIMIENTOS_COMPLEMENTOS!$D$4:$D$803,B1132,MOVIMIENTOS_COMPLEMENTOS!$E$4:$E$803,C1132,MOVIMIENTOS_COMPLEMENTOS!$G$4:$G$803,E1132,MOVIMIENTOS_COMPLEMENTOS!$H$4:$H$803,G1132,MOVIMIENTOS_COMPLEMENTOS!$B$4:$B$803,"INGRESO")+SUMIFS(MOVIMIENTOS_COMPLEMENTOS!$I$4:$I$803,MOVIMIENTOS_COMPLEMENTOS!$C$4:$C$803,A1132,MOVIMIENTOS_COMPLEMENTOS!$D$4:$D$803,B1132,MOVIMIENTOS_COMPLEMENTOS!$E$4:$E$803,C1132,MOVIMIENTOS_COMPLEMENTOS!$G$4:$G$803,E1132,MOVIMIENTOS_COMPLEMENTOS!$H$4:$H$803,G1132,MOVIMIENTOS_COMPLEMENTOS!$B$4:$B$803,"DE CORTE")-SUMIFS(MOVIMIENTOS_COMPLEMENTOS!$I$4:$I$803,MOVIMIENTOS_COMPLEMENTOS!$C$4:$C$803,A1132,MOVIMIENTOS_COMPLEMENTOS!$D$4:$D$803,B1132,MOVIMIENTOS_COMPLEMENTOS!$E$4:$E$803,C1132,MOVIMIENTOS_COMPLEMENTOS!$G$4:$G$803,E1132,MOVIMIENTOS_COMPLEMENTOS!$H$4:$H$803,G1132,MOVIMIENTOS_COMPLEMENTOS!$B$4:$B$803,"SALIDA"),0)</f>
        <v>0</v>
      </c>
      <c r="I1132" s="102">
        <f t="array" ref="I1132">IFERROR(INDEX(PRECIOS_COMPLEMENTOS!$C$4:$F$17,MATCH(B1132&amp;"_"&amp;C1132,PRECIOS_COMPLEMENTOS!$H$4:$H$17,0),IF(OR(G1132="S",G1132="20cm"),1,IF(OR(G1132="M",G1132="25cm"),2,IF(OR(G1132="L",G1132="30cm"),3,IF(OR(G1132="XL",G1132="35cm"),4,0))))),0)</f>
        <v>0.4</v>
      </c>
      <c r="J1132" s="103">
        <f t="shared" si="1"/>
        <v>0</v>
      </c>
      <c r="K1132" s="104" t="str">
        <f>IF(H1132&lt;0,"ERROR",IF(H1132=0,"",IF(H1132&lt;CONFIG!$B$4,"CRÍTICO",IF(H1132&lt;CONFIG!$B$5,"BAJO","OK"))))</f>
        <v/>
      </c>
    </row>
    <row r="1133" ht="15.75" hidden="1" customHeight="1">
      <c r="A1133" s="90" t="str">
        <f>IF(CLIENTES!A9="","",CLIENTES!A9)</f>
        <v/>
      </c>
      <c r="B1133" s="90" t="s">
        <v>321</v>
      </c>
      <c r="C1133" s="91" t="s">
        <v>328</v>
      </c>
      <c r="D1133" s="109" t="s">
        <v>353</v>
      </c>
      <c r="E1133" s="67" t="str">
        <f>COLORES!A6</f>
        <v>Blanco</v>
      </c>
      <c r="F1133" s="67" t="str">
        <f>COLORES!B6</f>
        <v>PPT</v>
      </c>
      <c r="G1133" s="90" t="s">
        <v>376</v>
      </c>
      <c r="H1133" s="100">
        <f>IFERROR(SUMIFS(MOVIMIENTOS_COMPLEMENTOS!$I$4:$I$803,MOVIMIENTOS_COMPLEMENTOS!$C$4:$C$803,A1133,MOVIMIENTOS_COMPLEMENTOS!$D$4:$D$803,B1133,MOVIMIENTOS_COMPLEMENTOS!$E$4:$E$803,C1133,MOVIMIENTOS_COMPLEMENTOS!$G$4:$G$803,E1133,MOVIMIENTOS_COMPLEMENTOS!$H$4:$H$803,G1133,MOVIMIENTOS_COMPLEMENTOS!$B$4:$B$803,"INGRESO")+SUMIFS(MOVIMIENTOS_COMPLEMENTOS!$I$4:$I$803,MOVIMIENTOS_COMPLEMENTOS!$C$4:$C$803,A1133,MOVIMIENTOS_COMPLEMENTOS!$D$4:$D$803,B1133,MOVIMIENTOS_COMPLEMENTOS!$E$4:$E$803,C1133,MOVIMIENTOS_COMPLEMENTOS!$G$4:$G$803,E1133,MOVIMIENTOS_COMPLEMENTOS!$H$4:$H$803,G1133,MOVIMIENTOS_COMPLEMENTOS!$B$4:$B$803,"DE CORTE")-SUMIFS(MOVIMIENTOS_COMPLEMENTOS!$I$4:$I$803,MOVIMIENTOS_COMPLEMENTOS!$C$4:$C$803,A1133,MOVIMIENTOS_COMPLEMENTOS!$D$4:$D$803,B1133,MOVIMIENTOS_COMPLEMENTOS!$E$4:$E$803,C1133,MOVIMIENTOS_COMPLEMENTOS!$G$4:$G$803,E1133,MOVIMIENTOS_COMPLEMENTOS!$H$4:$H$803,G1133,MOVIMIENTOS_COMPLEMENTOS!$B$4:$B$803,"SALIDA"),0)</f>
        <v>0</v>
      </c>
      <c r="I1133" s="102">
        <f t="array" ref="I1133">IFERROR(INDEX(PRECIOS_COMPLEMENTOS!$C$4:$F$17,MATCH(B1133&amp;"_"&amp;C1133,PRECIOS_COMPLEMENTOS!$H$4:$H$17,0),IF(OR(G1133="S",G1133="20cm"),1,IF(OR(G1133="M",G1133="25cm"),2,IF(OR(G1133="L",G1133="30cm"),3,IF(OR(G1133="XL",G1133="35cm"),4,0))))),0)</f>
        <v>0.4</v>
      </c>
      <c r="J1133" s="103">
        <f t="shared" si="1"/>
        <v>0</v>
      </c>
      <c r="K1133" s="104" t="str">
        <f>IF(H1133&lt;0,"ERROR",IF(H1133=0,"",IF(H1133&lt;CONFIG!$B$4,"CRÍTICO",IF(H1133&lt;CONFIG!$B$5,"BAJO","OK"))))</f>
        <v/>
      </c>
    </row>
    <row r="1134" ht="15.75" hidden="1" customHeight="1">
      <c r="A1134" s="90" t="str">
        <f>IF(CLIENTES!A9="","",CLIENTES!A9)</f>
        <v/>
      </c>
      <c r="B1134" s="90" t="s">
        <v>321</v>
      </c>
      <c r="C1134" s="91" t="s">
        <v>328</v>
      </c>
      <c r="D1134" s="109" t="s">
        <v>353</v>
      </c>
      <c r="E1134" s="67" t="str">
        <f>COLORES!A6</f>
        <v>Blanco</v>
      </c>
      <c r="F1134" s="67" t="str">
        <f>COLORES!B6</f>
        <v>PPT</v>
      </c>
      <c r="G1134" s="90" t="s">
        <v>377</v>
      </c>
      <c r="H1134" s="100">
        <f>IFERROR(SUMIFS(MOVIMIENTOS_COMPLEMENTOS!$I$4:$I$803,MOVIMIENTOS_COMPLEMENTOS!$C$4:$C$803,A1134,MOVIMIENTOS_COMPLEMENTOS!$D$4:$D$803,B1134,MOVIMIENTOS_COMPLEMENTOS!$E$4:$E$803,C1134,MOVIMIENTOS_COMPLEMENTOS!$G$4:$G$803,E1134,MOVIMIENTOS_COMPLEMENTOS!$H$4:$H$803,G1134,MOVIMIENTOS_COMPLEMENTOS!$B$4:$B$803,"INGRESO")+SUMIFS(MOVIMIENTOS_COMPLEMENTOS!$I$4:$I$803,MOVIMIENTOS_COMPLEMENTOS!$C$4:$C$803,A1134,MOVIMIENTOS_COMPLEMENTOS!$D$4:$D$803,B1134,MOVIMIENTOS_COMPLEMENTOS!$E$4:$E$803,C1134,MOVIMIENTOS_COMPLEMENTOS!$G$4:$G$803,E1134,MOVIMIENTOS_COMPLEMENTOS!$H$4:$H$803,G1134,MOVIMIENTOS_COMPLEMENTOS!$B$4:$B$803,"DE CORTE")-SUMIFS(MOVIMIENTOS_COMPLEMENTOS!$I$4:$I$803,MOVIMIENTOS_COMPLEMENTOS!$C$4:$C$803,A1134,MOVIMIENTOS_COMPLEMENTOS!$D$4:$D$803,B1134,MOVIMIENTOS_COMPLEMENTOS!$E$4:$E$803,C1134,MOVIMIENTOS_COMPLEMENTOS!$G$4:$G$803,E1134,MOVIMIENTOS_COMPLEMENTOS!$H$4:$H$803,G1134,MOVIMIENTOS_COMPLEMENTOS!$B$4:$B$803,"SALIDA"),0)</f>
        <v>0</v>
      </c>
      <c r="I1134" s="102">
        <f t="array" ref="I1134">IFERROR(INDEX(PRECIOS_COMPLEMENTOS!$C$4:$F$17,MATCH(B1134&amp;"_"&amp;C1134,PRECIOS_COMPLEMENTOS!$H$4:$H$17,0),IF(OR(G1134="S",G1134="20cm"),1,IF(OR(G1134="M",G1134="25cm"),2,IF(OR(G1134="L",G1134="30cm"),3,IF(OR(G1134="XL",G1134="35cm"),4,0))))),0)</f>
        <v>0.4</v>
      </c>
      <c r="J1134" s="103">
        <f t="shared" si="1"/>
        <v>0</v>
      </c>
      <c r="K1134" s="104" t="str">
        <f>IF(H1134&lt;0,"ERROR",IF(H1134=0,"",IF(H1134&lt;CONFIG!$B$4,"CRÍTICO",IF(H1134&lt;CONFIG!$B$5,"BAJO","OK"))))</f>
        <v/>
      </c>
    </row>
    <row r="1135" ht="15.75" hidden="1" customHeight="1">
      <c r="A1135" s="90" t="str">
        <f>IF(CLIENTES!A9="","",CLIENTES!A9)</f>
        <v/>
      </c>
      <c r="B1135" s="90" t="s">
        <v>321</v>
      </c>
      <c r="C1135" s="91" t="s">
        <v>328</v>
      </c>
      <c r="D1135" s="109" t="s">
        <v>353</v>
      </c>
      <c r="E1135" s="67" t="str">
        <f>COLORES!A6</f>
        <v>Blanco</v>
      </c>
      <c r="F1135" s="67" t="str">
        <f>COLORES!B6</f>
        <v>PPT</v>
      </c>
      <c r="G1135" s="90" t="s">
        <v>379</v>
      </c>
      <c r="H1135" s="100">
        <f>IFERROR(SUMIFS(MOVIMIENTOS_COMPLEMENTOS!$I$4:$I$803,MOVIMIENTOS_COMPLEMENTOS!$C$4:$C$803,A1135,MOVIMIENTOS_COMPLEMENTOS!$D$4:$D$803,B1135,MOVIMIENTOS_COMPLEMENTOS!$E$4:$E$803,C1135,MOVIMIENTOS_COMPLEMENTOS!$G$4:$G$803,E1135,MOVIMIENTOS_COMPLEMENTOS!$H$4:$H$803,G1135,MOVIMIENTOS_COMPLEMENTOS!$B$4:$B$803,"INGRESO")+SUMIFS(MOVIMIENTOS_COMPLEMENTOS!$I$4:$I$803,MOVIMIENTOS_COMPLEMENTOS!$C$4:$C$803,A1135,MOVIMIENTOS_COMPLEMENTOS!$D$4:$D$803,B1135,MOVIMIENTOS_COMPLEMENTOS!$E$4:$E$803,C1135,MOVIMIENTOS_COMPLEMENTOS!$G$4:$G$803,E1135,MOVIMIENTOS_COMPLEMENTOS!$H$4:$H$803,G1135,MOVIMIENTOS_COMPLEMENTOS!$B$4:$B$803,"DE CORTE")-SUMIFS(MOVIMIENTOS_COMPLEMENTOS!$I$4:$I$803,MOVIMIENTOS_COMPLEMENTOS!$C$4:$C$803,A1135,MOVIMIENTOS_COMPLEMENTOS!$D$4:$D$803,B1135,MOVIMIENTOS_COMPLEMENTOS!$E$4:$E$803,C1135,MOVIMIENTOS_COMPLEMENTOS!$G$4:$G$803,E1135,MOVIMIENTOS_COMPLEMENTOS!$H$4:$H$803,G1135,MOVIMIENTOS_COMPLEMENTOS!$B$4:$B$803,"SALIDA"),0)</f>
        <v>0</v>
      </c>
      <c r="I1135" s="102">
        <f t="array" ref="I1135">IFERROR(INDEX(PRECIOS_COMPLEMENTOS!$C$4:$F$17,MATCH(B1135&amp;"_"&amp;C1135,PRECIOS_COMPLEMENTOS!$H$4:$H$17,0),IF(OR(G1135="S",G1135="20cm"),1,IF(OR(G1135="M",G1135="25cm"),2,IF(OR(G1135="L",G1135="30cm"),3,IF(OR(G1135="XL",G1135="35cm"),4,0))))),0)</f>
        <v>0.4</v>
      </c>
      <c r="J1135" s="103">
        <f t="shared" si="1"/>
        <v>0</v>
      </c>
      <c r="K1135" s="104" t="str">
        <f>IF(H1135&lt;0,"ERROR",IF(H1135=0,"",IF(H1135&lt;CONFIG!$B$4,"CRÍTICO",IF(H1135&lt;CONFIG!$B$5,"BAJO","OK"))))</f>
        <v/>
      </c>
    </row>
    <row r="1136" ht="15.75" hidden="1" customHeight="1">
      <c r="A1136" s="90" t="str">
        <f>IF(CLIENTES!A9="","",CLIENTES!A9)</f>
        <v/>
      </c>
      <c r="B1136" s="90" t="s">
        <v>321</v>
      </c>
      <c r="C1136" s="91" t="s">
        <v>328</v>
      </c>
      <c r="D1136" s="109" t="s">
        <v>353</v>
      </c>
      <c r="E1136" s="67" t="str">
        <f>COLORES!A7</f>
        <v>Azul</v>
      </c>
      <c r="F1136" s="67" t="str">
        <f>COLORES!B7</f>
        <v>OSCURO</v>
      </c>
      <c r="G1136" s="90" t="s">
        <v>378</v>
      </c>
      <c r="H1136" s="100">
        <f>IFERROR(SUMIFS(MOVIMIENTOS_COMPLEMENTOS!$I$4:$I$803,MOVIMIENTOS_COMPLEMENTOS!$C$4:$C$803,A1136,MOVIMIENTOS_COMPLEMENTOS!$D$4:$D$803,B1136,MOVIMIENTOS_COMPLEMENTOS!$E$4:$E$803,C1136,MOVIMIENTOS_COMPLEMENTOS!$G$4:$G$803,E1136,MOVIMIENTOS_COMPLEMENTOS!$H$4:$H$803,G1136,MOVIMIENTOS_COMPLEMENTOS!$B$4:$B$803,"INGRESO")+SUMIFS(MOVIMIENTOS_COMPLEMENTOS!$I$4:$I$803,MOVIMIENTOS_COMPLEMENTOS!$C$4:$C$803,A1136,MOVIMIENTOS_COMPLEMENTOS!$D$4:$D$803,B1136,MOVIMIENTOS_COMPLEMENTOS!$E$4:$E$803,C1136,MOVIMIENTOS_COMPLEMENTOS!$G$4:$G$803,E1136,MOVIMIENTOS_COMPLEMENTOS!$H$4:$H$803,G1136,MOVIMIENTOS_COMPLEMENTOS!$B$4:$B$803,"DE CORTE")-SUMIFS(MOVIMIENTOS_COMPLEMENTOS!$I$4:$I$803,MOVIMIENTOS_COMPLEMENTOS!$C$4:$C$803,A1136,MOVIMIENTOS_COMPLEMENTOS!$D$4:$D$803,B1136,MOVIMIENTOS_COMPLEMENTOS!$E$4:$E$803,C1136,MOVIMIENTOS_COMPLEMENTOS!$G$4:$G$803,E1136,MOVIMIENTOS_COMPLEMENTOS!$H$4:$H$803,G1136,MOVIMIENTOS_COMPLEMENTOS!$B$4:$B$803,"SALIDA"),0)</f>
        <v>0</v>
      </c>
      <c r="I1136" s="102">
        <f t="array" ref="I1136">IFERROR(INDEX(PRECIOS_COMPLEMENTOS!$C$4:$F$17,MATCH(B1136&amp;"_"&amp;C1136,PRECIOS_COMPLEMENTOS!$H$4:$H$17,0),IF(OR(G1136="S",G1136="20cm"),1,IF(OR(G1136="M",G1136="25cm"),2,IF(OR(G1136="L",G1136="30cm"),3,IF(OR(G1136="XL",G1136="35cm"),4,0))))),0)</f>
        <v>0.4</v>
      </c>
      <c r="J1136" s="103">
        <f t="shared" si="1"/>
        <v>0</v>
      </c>
      <c r="K1136" s="104" t="str">
        <f>IF(H1136&lt;0,"ERROR",IF(H1136=0,"",IF(H1136&lt;CONFIG!$B$4,"CRÍTICO",IF(H1136&lt;CONFIG!$B$5,"BAJO","OK"))))</f>
        <v/>
      </c>
    </row>
    <row r="1137" ht="15.75" hidden="1" customHeight="1">
      <c r="A1137" s="90" t="str">
        <f>IF(CLIENTES!A9="","",CLIENTES!A9)</f>
        <v/>
      </c>
      <c r="B1137" s="90" t="s">
        <v>321</v>
      </c>
      <c r="C1137" s="91" t="s">
        <v>328</v>
      </c>
      <c r="D1137" s="109" t="s">
        <v>353</v>
      </c>
      <c r="E1137" s="67" t="str">
        <f>COLORES!A7</f>
        <v>Azul</v>
      </c>
      <c r="F1137" s="67" t="str">
        <f>COLORES!B7</f>
        <v>OSCURO</v>
      </c>
      <c r="G1137" s="90" t="s">
        <v>376</v>
      </c>
      <c r="H1137" s="100">
        <f>IFERROR(SUMIFS(MOVIMIENTOS_COMPLEMENTOS!$I$4:$I$803,MOVIMIENTOS_COMPLEMENTOS!$C$4:$C$803,A1137,MOVIMIENTOS_COMPLEMENTOS!$D$4:$D$803,B1137,MOVIMIENTOS_COMPLEMENTOS!$E$4:$E$803,C1137,MOVIMIENTOS_COMPLEMENTOS!$G$4:$G$803,E1137,MOVIMIENTOS_COMPLEMENTOS!$H$4:$H$803,G1137,MOVIMIENTOS_COMPLEMENTOS!$B$4:$B$803,"INGRESO")+SUMIFS(MOVIMIENTOS_COMPLEMENTOS!$I$4:$I$803,MOVIMIENTOS_COMPLEMENTOS!$C$4:$C$803,A1137,MOVIMIENTOS_COMPLEMENTOS!$D$4:$D$803,B1137,MOVIMIENTOS_COMPLEMENTOS!$E$4:$E$803,C1137,MOVIMIENTOS_COMPLEMENTOS!$G$4:$G$803,E1137,MOVIMIENTOS_COMPLEMENTOS!$H$4:$H$803,G1137,MOVIMIENTOS_COMPLEMENTOS!$B$4:$B$803,"DE CORTE")-SUMIFS(MOVIMIENTOS_COMPLEMENTOS!$I$4:$I$803,MOVIMIENTOS_COMPLEMENTOS!$C$4:$C$803,A1137,MOVIMIENTOS_COMPLEMENTOS!$D$4:$D$803,B1137,MOVIMIENTOS_COMPLEMENTOS!$E$4:$E$803,C1137,MOVIMIENTOS_COMPLEMENTOS!$G$4:$G$803,E1137,MOVIMIENTOS_COMPLEMENTOS!$H$4:$H$803,G1137,MOVIMIENTOS_COMPLEMENTOS!$B$4:$B$803,"SALIDA"),0)</f>
        <v>0</v>
      </c>
      <c r="I1137" s="102">
        <f t="array" ref="I1137">IFERROR(INDEX(PRECIOS_COMPLEMENTOS!$C$4:$F$17,MATCH(B1137&amp;"_"&amp;C1137,PRECIOS_COMPLEMENTOS!$H$4:$H$17,0),IF(OR(G1137="S",G1137="20cm"),1,IF(OR(G1137="M",G1137="25cm"),2,IF(OR(G1137="L",G1137="30cm"),3,IF(OR(G1137="XL",G1137="35cm"),4,0))))),0)</f>
        <v>0.4</v>
      </c>
      <c r="J1137" s="103">
        <f t="shared" si="1"/>
        <v>0</v>
      </c>
      <c r="K1137" s="104" t="str">
        <f>IF(H1137&lt;0,"ERROR",IF(H1137=0,"",IF(H1137&lt;CONFIG!$B$4,"CRÍTICO",IF(H1137&lt;CONFIG!$B$5,"BAJO","OK"))))</f>
        <v/>
      </c>
    </row>
    <row r="1138" ht="15.75" hidden="1" customHeight="1">
      <c r="A1138" s="90" t="str">
        <f>IF(CLIENTES!A9="","",CLIENTES!A9)</f>
        <v/>
      </c>
      <c r="B1138" s="90" t="s">
        <v>321</v>
      </c>
      <c r="C1138" s="91" t="s">
        <v>328</v>
      </c>
      <c r="D1138" s="109" t="s">
        <v>353</v>
      </c>
      <c r="E1138" s="67" t="str">
        <f>COLORES!A7</f>
        <v>Azul</v>
      </c>
      <c r="F1138" s="67" t="str">
        <f>COLORES!B7</f>
        <v>OSCURO</v>
      </c>
      <c r="G1138" s="90" t="s">
        <v>377</v>
      </c>
      <c r="H1138" s="100">
        <f>IFERROR(SUMIFS(MOVIMIENTOS_COMPLEMENTOS!$I$4:$I$803,MOVIMIENTOS_COMPLEMENTOS!$C$4:$C$803,A1138,MOVIMIENTOS_COMPLEMENTOS!$D$4:$D$803,B1138,MOVIMIENTOS_COMPLEMENTOS!$E$4:$E$803,C1138,MOVIMIENTOS_COMPLEMENTOS!$G$4:$G$803,E1138,MOVIMIENTOS_COMPLEMENTOS!$H$4:$H$803,G1138,MOVIMIENTOS_COMPLEMENTOS!$B$4:$B$803,"INGRESO")+SUMIFS(MOVIMIENTOS_COMPLEMENTOS!$I$4:$I$803,MOVIMIENTOS_COMPLEMENTOS!$C$4:$C$803,A1138,MOVIMIENTOS_COMPLEMENTOS!$D$4:$D$803,B1138,MOVIMIENTOS_COMPLEMENTOS!$E$4:$E$803,C1138,MOVIMIENTOS_COMPLEMENTOS!$G$4:$G$803,E1138,MOVIMIENTOS_COMPLEMENTOS!$H$4:$H$803,G1138,MOVIMIENTOS_COMPLEMENTOS!$B$4:$B$803,"DE CORTE")-SUMIFS(MOVIMIENTOS_COMPLEMENTOS!$I$4:$I$803,MOVIMIENTOS_COMPLEMENTOS!$C$4:$C$803,A1138,MOVIMIENTOS_COMPLEMENTOS!$D$4:$D$803,B1138,MOVIMIENTOS_COMPLEMENTOS!$E$4:$E$803,C1138,MOVIMIENTOS_COMPLEMENTOS!$G$4:$G$803,E1138,MOVIMIENTOS_COMPLEMENTOS!$H$4:$H$803,G1138,MOVIMIENTOS_COMPLEMENTOS!$B$4:$B$803,"SALIDA"),0)</f>
        <v>0</v>
      </c>
      <c r="I1138" s="102">
        <f t="array" ref="I1138">IFERROR(INDEX(PRECIOS_COMPLEMENTOS!$C$4:$F$17,MATCH(B1138&amp;"_"&amp;C1138,PRECIOS_COMPLEMENTOS!$H$4:$H$17,0),IF(OR(G1138="S",G1138="20cm"),1,IF(OR(G1138="M",G1138="25cm"),2,IF(OR(G1138="L",G1138="30cm"),3,IF(OR(G1138="XL",G1138="35cm"),4,0))))),0)</f>
        <v>0.4</v>
      </c>
      <c r="J1138" s="103">
        <f t="shared" si="1"/>
        <v>0</v>
      </c>
      <c r="K1138" s="104" t="str">
        <f>IF(H1138&lt;0,"ERROR",IF(H1138=0,"",IF(H1138&lt;CONFIG!$B$4,"CRÍTICO",IF(H1138&lt;CONFIG!$B$5,"BAJO","OK"))))</f>
        <v/>
      </c>
    </row>
    <row r="1139" ht="15.75" hidden="1" customHeight="1">
      <c r="A1139" s="90" t="str">
        <f>IF(CLIENTES!A9="","",CLIENTES!A9)</f>
        <v/>
      </c>
      <c r="B1139" s="90" t="s">
        <v>321</v>
      </c>
      <c r="C1139" s="91" t="s">
        <v>328</v>
      </c>
      <c r="D1139" s="109" t="s">
        <v>353</v>
      </c>
      <c r="E1139" s="67" t="str">
        <f>COLORES!A7</f>
        <v>Azul</v>
      </c>
      <c r="F1139" s="67" t="str">
        <f>COLORES!B7</f>
        <v>OSCURO</v>
      </c>
      <c r="G1139" s="90" t="s">
        <v>379</v>
      </c>
      <c r="H1139" s="100">
        <f>IFERROR(SUMIFS(MOVIMIENTOS_COMPLEMENTOS!$I$4:$I$803,MOVIMIENTOS_COMPLEMENTOS!$C$4:$C$803,A1139,MOVIMIENTOS_COMPLEMENTOS!$D$4:$D$803,B1139,MOVIMIENTOS_COMPLEMENTOS!$E$4:$E$803,C1139,MOVIMIENTOS_COMPLEMENTOS!$G$4:$G$803,E1139,MOVIMIENTOS_COMPLEMENTOS!$H$4:$H$803,G1139,MOVIMIENTOS_COMPLEMENTOS!$B$4:$B$803,"INGRESO")+SUMIFS(MOVIMIENTOS_COMPLEMENTOS!$I$4:$I$803,MOVIMIENTOS_COMPLEMENTOS!$C$4:$C$803,A1139,MOVIMIENTOS_COMPLEMENTOS!$D$4:$D$803,B1139,MOVIMIENTOS_COMPLEMENTOS!$E$4:$E$803,C1139,MOVIMIENTOS_COMPLEMENTOS!$G$4:$G$803,E1139,MOVIMIENTOS_COMPLEMENTOS!$H$4:$H$803,G1139,MOVIMIENTOS_COMPLEMENTOS!$B$4:$B$803,"DE CORTE")-SUMIFS(MOVIMIENTOS_COMPLEMENTOS!$I$4:$I$803,MOVIMIENTOS_COMPLEMENTOS!$C$4:$C$803,A1139,MOVIMIENTOS_COMPLEMENTOS!$D$4:$D$803,B1139,MOVIMIENTOS_COMPLEMENTOS!$E$4:$E$803,C1139,MOVIMIENTOS_COMPLEMENTOS!$G$4:$G$803,E1139,MOVIMIENTOS_COMPLEMENTOS!$H$4:$H$803,G1139,MOVIMIENTOS_COMPLEMENTOS!$B$4:$B$803,"SALIDA"),0)</f>
        <v>0</v>
      </c>
      <c r="I1139" s="102">
        <f t="array" ref="I1139">IFERROR(INDEX(PRECIOS_COMPLEMENTOS!$C$4:$F$17,MATCH(B1139&amp;"_"&amp;C1139,PRECIOS_COMPLEMENTOS!$H$4:$H$17,0),IF(OR(G1139="S",G1139="20cm"),1,IF(OR(G1139="M",G1139="25cm"),2,IF(OR(G1139="L",G1139="30cm"),3,IF(OR(G1139="XL",G1139="35cm"),4,0))))),0)</f>
        <v>0.4</v>
      </c>
      <c r="J1139" s="103">
        <f t="shared" si="1"/>
        <v>0</v>
      </c>
      <c r="K1139" s="104" t="str">
        <f>IF(H1139&lt;0,"ERROR",IF(H1139=0,"",IF(H1139&lt;CONFIG!$B$4,"CRÍTICO",IF(H1139&lt;CONFIG!$B$5,"BAJO","OK"))))</f>
        <v/>
      </c>
    </row>
    <row r="1140" ht="15.75" hidden="1" customHeight="1">
      <c r="A1140" s="90" t="str">
        <f>IF(CLIENTES!A9="","",CLIENTES!A9)</f>
        <v/>
      </c>
      <c r="B1140" s="90" t="s">
        <v>321</v>
      </c>
      <c r="C1140" s="91" t="s">
        <v>328</v>
      </c>
      <c r="D1140" s="109" t="s">
        <v>353</v>
      </c>
      <c r="E1140" s="67" t="str">
        <f>COLORES!A8</f>
        <v>Beige</v>
      </c>
      <c r="F1140" s="67" t="str">
        <f>COLORES!B8</f>
        <v>CLARO</v>
      </c>
      <c r="G1140" s="90" t="s">
        <v>378</v>
      </c>
      <c r="H1140" s="100">
        <f>IFERROR(SUMIFS(MOVIMIENTOS_COMPLEMENTOS!$I$4:$I$803,MOVIMIENTOS_COMPLEMENTOS!$C$4:$C$803,A1140,MOVIMIENTOS_COMPLEMENTOS!$D$4:$D$803,B1140,MOVIMIENTOS_COMPLEMENTOS!$E$4:$E$803,C1140,MOVIMIENTOS_COMPLEMENTOS!$G$4:$G$803,E1140,MOVIMIENTOS_COMPLEMENTOS!$H$4:$H$803,G1140,MOVIMIENTOS_COMPLEMENTOS!$B$4:$B$803,"INGRESO")+SUMIFS(MOVIMIENTOS_COMPLEMENTOS!$I$4:$I$803,MOVIMIENTOS_COMPLEMENTOS!$C$4:$C$803,A1140,MOVIMIENTOS_COMPLEMENTOS!$D$4:$D$803,B1140,MOVIMIENTOS_COMPLEMENTOS!$E$4:$E$803,C1140,MOVIMIENTOS_COMPLEMENTOS!$G$4:$G$803,E1140,MOVIMIENTOS_COMPLEMENTOS!$H$4:$H$803,G1140,MOVIMIENTOS_COMPLEMENTOS!$B$4:$B$803,"DE CORTE")-SUMIFS(MOVIMIENTOS_COMPLEMENTOS!$I$4:$I$803,MOVIMIENTOS_COMPLEMENTOS!$C$4:$C$803,A1140,MOVIMIENTOS_COMPLEMENTOS!$D$4:$D$803,B1140,MOVIMIENTOS_COMPLEMENTOS!$E$4:$E$803,C1140,MOVIMIENTOS_COMPLEMENTOS!$G$4:$G$803,E1140,MOVIMIENTOS_COMPLEMENTOS!$H$4:$H$803,G1140,MOVIMIENTOS_COMPLEMENTOS!$B$4:$B$803,"SALIDA"),0)</f>
        <v>0</v>
      </c>
      <c r="I1140" s="102">
        <f t="array" ref="I1140">IFERROR(INDEX(PRECIOS_COMPLEMENTOS!$C$4:$F$17,MATCH(B1140&amp;"_"&amp;C1140,PRECIOS_COMPLEMENTOS!$H$4:$H$17,0),IF(OR(G1140="S",G1140="20cm"),1,IF(OR(G1140="M",G1140="25cm"),2,IF(OR(G1140="L",G1140="30cm"),3,IF(OR(G1140="XL",G1140="35cm"),4,0))))),0)</f>
        <v>0.4</v>
      </c>
      <c r="J1140" s="103">
        <f t="shared" si="1"/>
        <v>0</v>
      </c>
      <c r="K1140" s="104" t="str">
        <f>IF(H1140&lt;0,"ERROR",IF(H1140=0,"",IF(H1140&lt;CONFIG!$B$4,"CRÍTICO",IF(H1140&lt;CONFIG!$B$5,"BAJO","OK"))))</f>
        <v/>
      </c>
    </row>
    <row r="1141" ht="15.75" hidden="1" customHeight="1">
      <c r="A1141" s="90" t="str">
        <f>IF(CLIENTES!A9="","",CLIENTES!A9)</f>
        <v/>
      </c>
      <c r="B1141" s="90" t="s">
        <v>321</v>
      </c>
      <c r="C1141" s="91" t="s">
        <v>328</v>
      </c>
      <c r="D1141" s="109" t="s">
        <v>353</v>
      </c>
      <c r="E1141" s="67" t="str">
        <f>COLORES!A8</f>
        <v>Beige</v>
      </c>
      <c r="F1141" s="67" t="str">
        <f>COLORES!B8</f>
        <v>CLARO</v>
      </c>
      <c r="G1141" s="90" t="s">
        <v>376</v>
      </c>
      <c r="H1141" s="100">
        <f>IFERROR(SUMIFS(MOVIMIENTOS_COMPLEMENTOS!$I$4:$I$803,MOVIMIENTOS_COMPLEMENTOS!$C$4:$C$803,A1141,MOVIMIENTOS_COMPLEMENTOS!$D$4:$D$803,B1141,MOVIMIENTOS_COMPLEMENTOS!$E$4:$E$803,C1141,MOVIMIENTOS_COMPLEMENTOS!$G$4:$G$803,E1141,MOVIMIENTOS_COMPLEMENTOS!$H$4:$H$803,G1141,MOVIMIENTOS_COMPLEMENTOS!$B$4:$B$803,"INGRESO")+SUMIFS(MOVIMIENTOS_COMPLEMENTOS!$I$4:$I$803,MOVIMIENTOS_COMPLEMENTOS!$C$4:$C$803,A1141,MOVIMIENTOS_COMPLEMENTOS!$D$4:$D$803,B1141,MOVIMIENTOS_COMPLEMENTOS!$E$4:$E$803,C1141,MOVIMIENTOS_COMPLEMENTOS!$G$4:$G$803,E1141,MOVIMIENTOS_COMPLEMENTOS!$H$4:$H$803,G1141,MOVIMIENTOS_COMPLEMENTOS!$B$4:$B$803,"DE CORTE")-SUMIFS(MOVIMIENTOS_COMPLEMENTOS!$I$4:$I$803,MOVIMIENTOS_COMPLEMENTOS!$C$4:$C$803,A1141,MOVIMIENTOS_COMPLEMENTOS!$D$4:$D$803,B1141,MOVIMIENTOS_COMPLEMENTOS!$E$4:$E$803,C1141,MOVIMIENTOS_COMPLEMENTOS!$G$4:$G$803,E1141,MOVIMIENTOS_COMPLEMENTOS!$H$4:$H$803,G1141,MOVIMIENTOS_COMPLEMENTOS!$B$4:$B$803,"SALIDA"),0)</f>
        <v>0</v>
      </c>
      <c r="I1141" s="102">
        <f t="array" ref="I1141">IFERROR(INDEX(PRECIOS_COMPLEMENTOS!$C$4:$F$17,MATCH(B1141&amp;"_"&amp;C1141,PRECIOS_COMPLEMENTOS!$H$4:$H$17,0),IF(OR(G1141="S",G1141="20cm"),1,IF(OR(G1141="M",G1141="25cm"),2,IF(OR(G1141="L",G1141="30cm"),3,IF(OR(G1141="XL",G1141="35cm"),4,0))))),0)</f>
        <v>0.4</v>
      </c>
      <c r="J1141" s="103">
        <f t="shared" si="1"/>
        <v>0</v>
      </c>
      <c r="K1141" s="104" t="str">
        <f>IF(H1141&lt;0,"ERROR",IF(H1141=0,"",IF(H1141&lt;CONFIG!$B$4,"CRÍTICO",IF(H1141&lt;CONFIG!$B$5,"BAJO","OK"))))</f>
        <v/>
      </c>
    </row>
    <row r="1142" ht="15.75" hidden="1" customHeight="1">
      <c r="A1142" s="90" t="str">
        <f>IF(CLIENTES!A9="","",CLIENTES!A9)</f>
        <v/>
      </c>
      <c r="B1142" s="90" t="s">
        <v>321</v>
      </c>
      <c r="C1142" s="91" t="s">
        <v>328</v>
      </c>
      <c r="D1142" s="109" t="s">
        <v>353</v>
      </c>
      <c r="E1142" s="67" t="str">
        <f>COLORES!A8</f>
        <v>Beige</v>
      </c>
      <c r="F1142" s="67" t="str">
        <f>COLORES!B8</f>
        <v>CLARO</v>
      </c>
      <c r="G1142" s="90" t="s">
        <v>377</v>
      </c>
      <c r="H1142" s="100">
        <f>IFERROR(SUMIFS(MOVIMIENTOS_COMPLEMENTOS!$I$4:$I$803,MOVIMIENTOS_COMPLEMENTOS!$C$4:$C$803,A1142,MOVIMIENTOS_COMPLEMENTOS!$D$4:$D$803,B1142,MOVIMIENTOS_COMPLEMENTOS!$E$4:$E$803,C1142,MOVIMIENTOS_COMPLEMENTOS!$G$4:$G$803,E1142,MOVIMIENTOS_COMPLEMENTOS!$H$4:$H$803,G1142,MOVIMIENTOS_COMPLEMENTOS!$B$4:$B$803,"INGRESO")+SUMIFS(MOVIMIENTOS_COMPLEMENTOS!$I$4:$I$803,MOVIMIENTOS_COMPLEMENTOS!$C$4:$C$803,A1142,MOVIMIENTOS_COMPLEMENTOS!$D$4:$D$803,B1142,MOVIMIENTOS_COMPLEMENTOS!$E$4:$E$803,C1142,MOVIMIENTOS_COMPLEMENTOS!$G$4:$G$803,E1142,MOVIMIENTOS_COMPLEMENTOS!$H$4:$H$803,G1142,MOVIMIENTOS_COMPLEMENTOS!$B$4:$B$803,"DE CORTE")-SUMIFS(MOVIMIENTOS_COMPLEMENTOS!$I$4:$I$803,MOVIMIENTOS_COMPLEMENTOS!$C$4:$C$803,A1142,MOVIMIENTOS_COMPLEMENTOS!$D$4:$D$803,B1142,MOVIMIENTOS_COMPLEMENTOS!$E$4:$E$803,C1142,MOVIMIENTOS_COMPLEMENTOS!$G$4:$G$803,E1142,MOVIMIENTOS_COMPLEMENTOS!$H$4:$H$803,G1142,MOVIMIENTOS_COMPLEMENTOS!$B$4:$B$803,"SALIDA"),0)</f>
        <v>0</v>
      </c>
      <c r="I1142" s="102">
        <f t="array" ref="I1142">IFERROR(INDEX(PRECIOS_COMPLEMENTOS!$C$4:$F$17,MATCH(B1142&amp;"_"&amp;C1142,PRECIOS_COMPLEMENTOS!$H$4:$H$17,0),IF(OR(G1142="S",G1142="20cm"),1,IF(OR(G1142="M",G1142="25cm"),2,IF(OR(G1142="L",G1142="30cm"),3,IF(OR(G1142="XL",G1142="35cm"),4,0))))),0)</f>
        <v>0.4</v>
      </c>
      <c r="J1142" s="103">
        <f t="shared" si="1"/>
        <v>0</v>
      </c>
      <c r="K1142" s="104" t="str">
        <f>IF(H1142&lt;0,"ERROR",IF(H1142=0,"",IF(H1142&lt;CONFIG!$B$4,"CRÍTICO",IF(H1142&lt;CONFIG!$B$5,"BAJO","OK"))))</f>
        <v/>
      </c>
    </row>
    <row r="1143" ht="15.75" hidden="1" customHeight="1">
      <c r="A1143" s="90" t="str">
        <f>IF(CLIENTES!A9="","",CLIENTES!A9)</f>
        <v/>
      </c>
      <c r="B1143" s="90" t="s">
        <v>321</v>
      </c>
      <c r="C1143" s="91" t="s">
        <v>328</v>
      </c>
      <c r="D1143" s="109" t="s">
        <v>353</v>
      </c>
      <c r="E1143" s="67" t="str">
        <f>COLORES!A8</f>
        <v>Beige</v>
      </c>
      <c r="F1143" s="67" t="str">
        <f>COLORES!B8</f>
        <v>CLARO</v>
      </c>
      <c r="G1143" s="90" t="s">
        <v>379</v>
      </c>
      <c r="H1143" s="100">
        <f>IFERROR(SUMIFS(MOVIMIENTOS_COMPLEMENTOS!$I$4:$I$803,MOVIMIENTOS_COMPLEMENTOS!$C$4:$C$803,A1143,MOVIMIENTOS_COMPLEMENTOS!$D$4:$D$803,B1143,MOVIMIENTOS_COMPLEMENTOS!$E$4:$E$803,C1143,MOVIMIENTOS_COMPLEMENTOS!$G$4:$G$803,E1143,MOVIMIENTOS_COMPLEMENTOS!$H$4:$H$803,G1143,MOVIMIENTOS_COMPLEMENTOS!$B$4:$B$803,"INGRESO")+SUMIFS(MOVIMIENTOS_COMPLEMENTOS!$I$4:$I$803,MOVIMIENTOS_COMPLEMENTOS!$C$4:$C$803,A1143,MOVIMIENTOS_COMPLEMENTOS!$D$4:$D$803,B1143,MOVIMIENTOS_COMPLEMENTOS!$E$4:$E$803,C1143,MOVIMIENTOS_COMPLEMENTOS!$G$4:$G$803,E1143,MOVIMIENTOS_COMPLEMENTOS!$H$4:$H$803,G1143,MOVIMIENTOS_COMPLEMENTOS!$B$4:$B$803,"DE CORTE")-SUMIFS(MOVIMIENTOS_COMPLEMENTOS!$I$4:$I$803,MOVIMIENTOS_COMPLEMENTOS!$C$4:$C$803,A1143,MOVIMIENTOS_COMPLEMENTOS!$D$4:$D$803,B1143,MOVIMIENTOS_COMPLEMENTOS!$E$4:$E$803,C1143,MOVIMIENTOS_COMPLEMENTOS!$G$4:$G$803,E1143,MOVIMIENTOS_COMPLEMENTOS!$H$4:$H$803,G1143,MOVIMIENTOS_COMPLEMENTOS!$B$4:$B$803,"SALIDA"),0)</f>
        <v>0</v>
      </c>
      <c r="I1143" s="102">
        <f t="array" ref="I1143">IFERROR(INDEX(PRECIOS_COMPLEMENTOS!$C$4:$F$17,MATCH(B1143&amp;"_"&amp;C1143,PRECIOS_COMPLEMENTOS!$H$4:$H$17,0),IF(OR(G1143="S",G1143="20cm"),1,IF(OR(G1143="M",G1143="25cm"),2,IF(OR(G1143="L",G1143="30cm"),3,IF(OR(G1143="XL",G1143="35cm"),4,0))))),0)</f>
        <v>0.4</v>
      </c>
      <c r="J1143" s="103">
        <f t="shared" si="1"/>
        <v>0</v>
      </c>
      <c r="K1143" s="104" t="str">
        <f>IF(H1143&lt;0,"ERROR",IF(H1143=0,"",IF(H1143&lt;CONFIG!$B$4,"CRÍTICO",IF(H1143&lt;CONFIG!$B$5,"BAJO","OK"))))</f>
        <v/>
      </c>
    </row>
    <row r="1144" ht="15.75" hidden="1" customHeight="1">
      <c r="A1144" s="90" t="str">
        <f>IF(CLIENTES!A9="","",CLIENTES!A9)</f>
        <v/>
      </c>
      <c r="B1144" s="90" t="s">
        <v>321</v>
      </c>
      <c r="C1144" s="91" t="s">
        <v>328</v>
      </c>
      <c r="D1144" s="109" t="s">
        <v>353</v>
      </c>
      <c r="E1144" s="67" t="str">
        <f>COLORES!A9</f>
        <v>Melange</v>
      </c>
      <c r="F1144" s="67" t="str">
        <f>COLORES!B9</f>
        <v>MELANGE</v>
      </c>
      <c r="G1144" s="90" t="s">
        <v>378</v>
      </c>
      <c r="H1144" s="100">
        <f>IFERROR(SUMIFS(MOVIMIENTOS_COMPLEMENTOS!$I$4:$I$803,MOVIMIENTOS_COMPLEMENTOS!$C$4:$C$803,A1144,MOVIMIENTOS_COMPLEMENTOS!$D$4:$D$803,B1144,MOVIMIENTOS_COMPLEMENTOS!$E$4:$E$803,C1144,MOVIMIENTOS_COMPLEMENTOS!$G$4:$G$803,E1144,MOVIMIENTOS_COMPLEMENTOS!$H$4:$H$803,G1144,MOVIMIENTOS_COMPLEMENTOS!$B$4:$B$803,"INGRESO")+SUMIFS(MOVIMIENTOS_COMPLEMENTOS!$I$4:$I$803,MOVIMIENTOS_COMPLEMENTOS!$C$4:$C$803,A1144,MOVIMIENTOS_COMPLEMENTOS!$D$4:$D$803,B1144,MOVIMIENTOS_COMPLEMENTOS!$E$4:$E$803,C1144,MOVIMIENTOS_COMPLEMENTOS!$G$4:$G$803,E1144,MOVIMIENTOS_COMPLEMENTOS!$H$4:$H$803,G1144,MOVIMIENTOS_COMPLEMENTOS!$B$4:$B$803,"DE CORTE")-SUMIFS(MOVIMIENTOS_COMPLEMENTOS!$I$4:$I$803,MOVIMIENTOS_COMPLEMENTOS!$C$4:$C$803,A1144,MOVIMIENTOS_COMPLEMENTOS!$D$4:$D$803,B1144,MOVIMIENTOS_COMPLEMENTOS!$E$4:$E$803,C1144,MOVIMIENTOS_COMPLEMENTOS!$G$4:$G$803,E1144,MOVIMIENTOS_COMPLEMENTOS!$H$4:$H$803,G1144,MOVIMIENTOS_COMPLEMENTOS!$B$4:$B$803,"SALIDA"),0)</f>
        <v>0</v>
      </c>
      <c r="I1144" s="102">
        <f t="array" ref="I1144">IFERROR(INDEX(PRECIOS_COMPLEMENTOS!$C$4:$F$17,MATCH(B1144&amp;"_"&amp;C1144,PRECIOS_COMPLEMENTOS!$H$4:$H$17,0),IF(OR(G1144="S",G1144="20cm"),1,IF(OR(G1144="M",G1144="25cm"),2,IF(OR(G1144="L",G1144="30cm"),3,IF(OR(G1144="XL",G1144="35cm"),4,0))))),0)</f>
        <v>0.4</v>
      </c>
      <c r="J1144" s="103">
        <f t="shared" si="1"/>
        <v>0</v>
      </c>
      <c r="K1144" s="104" t="str">
        <f>IF(H1144&lt;0,"ERROR",IF(H1144=0,"",IF(H1144&lt;CONFIG!$B$4,"CRÍTICO",IF(H1144&lt;CONFIG!$B$5,"BAJO","OK"))))</f>
        <v/>
      </c>
    </row>
    <row r="1145" ht="15.75" hidden="1" customHeight="1">
      <c r="A1145" s="90" t="str">
        <f>IF(CLIENTES!A9="","",CLIENTES!A9)</f>
        <v/>
      </c>
      <c r="B1145" s="90" t="s">
        <v>321</v>
      </c>
      <c r="C1145" s="91" t="s">
        <v>328</v>
      </c>
      <c r="D1145" s="109" t="s">
        <v>353</v>
      </c>
      <c r="E1145" s="67" t="str">
        <f>COLORES!A9</f>
        <v>Melange</v>
      </c>
      <c r="F1145" s="67" t="str">
        <f>COLORES!B9</f>
        <v>MELANGE</v>
      </c>
      <c r="G1145" s="90" t="s">
        <v>376</v>
      </c>
      <c r="H1145" s="100">
        <f>IFERROR(SUMIFS(MOVIMIENTOS_COMPLEMENTOS!$I$4:$I$803,MOVIMIENTOS_COMPLEMENTOS!$C$4:$C$803,A1145,MOVIMIENTOS_COMPLEMENTOS!$D$4:$D$803,B1145,MOVIMIENTOS_COMPLEMENTOS!$E$4:$E$803,C1145,MOVIMIENTOS_COMPLEMENTOS!$G$4:$G$803,E1145,MOVIMIENTOS_COMPLEMENTOS!$H$4:$H$803,G1145,MOVIMIENTOS_COMPLEMENTOS!$B$4:$B$803,"INGRESO")+SUMIFS(MOVIMIENTOS_COMPLEMENTOS!$I$4:$I$803,MOVIMIENTOS_COMPLEMENTOS!$C$4:$C$803,A1145,MOVIMIENTOS_COMPLEMENTOS!$D$4:$D$803,B1145,MOVIMIENTOS_COMPLEMENTOS!$E$4:$E$803,C1145,MOVIMIENTOS_COMPLEMENTOS!$G$4:$G$803,E1145,MOVIMIENTOS_COMPLEMENTOS!$H$4:$H$803,G1145,MOVIMIENTOS_COMPLEMENTOS!$B$4:$B$803,"DE CORTE")-SUMIFS(MOVIMIENTOS_COMPLEMENTOS!$I$4:$I$803,MOVIMIENTOS_COMPLEMENTOS!$C$4:$C$803,A1145,MOVIMIENTOS_COMPLEMENTOS!$D$4:$D$803,B1145,MOVIMIENTOS_COMPLEMENTOS!$E$4:$E$803,C1145,MOVIMIENTOS_COMPLEMENTOS!$G$4:$G$803,E1145,MOVIMIENTOS_COMPLEMENTOS!$H$4:$H$803,G1145,MOVIMIENTOS_COMPLEMENTOS!$B$4:$B$803,"SALIDA"),0)</f>
        <v>0</v>
      </c>
      <c r="I1145" s="102">
        <f t="array" ref="I1145">IFERROR(INDEX(PRECIOS_COMPLEMENTOS!$C$4:$F$17,MATCH(B1145&amp;"_"&amp;C1145,PRECIOS_COMPLEMENTOS!$H$4:$H$17,0),IF(OR(G1145="S",G1145="20cm"),1,IF(OR(G1145="M",G1145="25cm"),2,IF(OR(G1145="L",G1145="30cm"),3,IF(OR(G1145="XL",G1145="35cm"),4,0))))),0)</f>
        <v>0.4</v>
      </c>
      <c r="J1145" s="103">
        <f t="shared" si="1"/>
        <v>0</v>
      </c>
      <c r="K1145" s="104" t="str">
        <f>IF(H1145&lt;0,"ERROR",IF(H1145=0,"",IF(H1145&lt;CONFIG!$B$4,"CRÍTICO",IF(H1145&lt;CONFIG!$B$5,"BAJO","OK"))))</f>
        <v/>
      </c>
    </row>
    <row r="1146" ht="15.75" hidden="1" customHeight="1">
      <c r="A1146" s="90" t="str">
        <f>IF(CLIENTES!A9="","",CLIENTES!A9)</f>
        <v/>
      </c>
      <c r="B1146" s="90" t="s">
        <v>321</v>
      </c>
      <c r="C1146" s="91" t="s">
        <v>328</v>
      </c>
      <c r="D1146" s="109" t="s">
        <v>353</v>
      </c>
      <c r="E1146" s="67" t="str">
        <f>COLORES!A9</f>
        <v>Melange</v>
      </c>
      <c r="F1146" s="67" t="str">
        <f>COLORES!B9</f>
        <v>MELANGE</v>
      </c>
      <c r="G1146" s="90" t="s">
        <v>377</v>
      </c>
      <c r="H1146" s="100">
        <f>IFERROR(SUMIFS(MOVIMIENTOS_COMPLEMENTOS!$I$4:$I$803,MOVIMIENTOS_COMPLEMENTOS!$C$4:$C$803,A1146,MOVIMIENTOS_COMPLEMENTOS!$D$4:$D$803,B1146,MOVIMIENTOS_COMPLEMENTOS!$E$4:$E$803,C1146,MOVIMIENTOS_COMPLEMENTOS!$G$4:$G$803,E1146,MOVIMIENTOS_COMPLEMENTOS!$H$4:$H$803,G1146,MOVIMIENTOS_COMPLEMENTOS!$B$4:$B$803,"INGRESO")+SUMIFS(MOVIMIENTOS_COMPLEMENTOS!$I$4:$I$803,MOVIMIENTOS_COMPLEMENTOS!$C$4:$C$803,A1146,MOVIMIENTOS_COMPLEMENTOS!$D$4:$D$803,B1146,MOVIMIENTOS_COMPLEMENTOS!$E$4:$E$803,C1146,MOVIMIENTOS_COMPLEMENTOS!$G$4:$G$803,E1146,MOVIMIENTOS_COMPLEMENTOS!$H$4:$H$803,G1146,MOVIMIENTOS_COMPLEMENTOS!$B$4:$B$803,"DE CORTE")-SUMIFS(MOVIMIENTOS_COMPLEMENTOS!$I$4:$I$803,MOVIMIENTOS_COMPLEMENTOS!$C$4:$C$803,A1146,MOVIMIENTOS_COMPLEMENTOS!$D$4:$D$803,B1146,MOVIMIENTOS_COMPLEMENTOS!$E$4:$E$803,C1146,MOVIMIENTOS_COMPLEMENTOS!$G$4:$G$803,E1146,MOVIMIENTOS_COMPLEMENTOS!$H$4:$H$803,G1146,MOVIMIENTOS_COMPLEMENTOS!$B$4:$B$803,"SALIDA"),0)</f>
        <v>0</v>
      </c>
      <c r="I1146" s="102">
        <f t="array" ref="I1146">IFERROR(INDEX(PRECIOS_COMPLEMENTOS!$C$4:$F$17,MATCH(B1146&amp;"_"&amp;C1146,PRECIOS_COMPLEMENTOS!$H$4:$H$17,0),IF(OR(G1146="S",G1146="20cm"),1,IF(OR(G1146="M",G1146="25cm"),2,IF(OR(G1146="L",G1146="30cm"),3,IF(OR(G1146="XL",G1146="35cm"),4,0))))),0)</f>
        <v>0.4</v>
      </c>
      <c r="J1146" s="103">
        <f t="shared" si="1"/>
        <v>0</v>
      </c>
      <c r="K1146" s="104" t="str">
        <f>IF(H1146&lt;0,"ERROR",IF(H1146=0,"",IF(H1146&lt;CONFIG!$B$4,"CRÍTICO",IF(H1146&lt;CONFIG!$B$5,"BAJO","OK"))))</f>
        <v/>
      </c>
    </row>
    <row r="1147" ht="15.75" hidden="1" customHeight="1">
      <c r="A1147" s="90" t="str">
        <f>IF(CLIENTES!A9="","",CLIENTES!A9)</f>
        <v/>
      </c>
      <c r="B1147" s="90" t="s">
        <v>321</v>
      </c>
      <c r="C1147" s="91" t="s">
        <v>328</v>
      </c>
      <c r="D1147" s="109" t="s">
        <v>353</v>
      </c>
      <c r="E1147" s="67" t="str">
        <f>COLORES!A9</f>
        <v>Melange</v>
      </c>
      <c r="F1147" s="67" t="str">
        <f>COLORES!B9</f>
        <v>MELANGE</v>
      </c>
      <c r="G1147" s="90" t="s">
        <v>379</v>
      </c>
      <c r="H1147" s="100">
        <f>IFERROR(SUMIFS(MOVIMIENTOS_COMPLEMENTOS!$I$4:$I$803,MOVIMIENTOS_COMPLEMENTOS!$C$4:$C$803,A1147,MOVIMIENTOS_COMPLEMENTOS!$D$4:$D$803,B1147,MOVIMIENTOS_COMPLEMENTOS!$E$4:$E$803,C1147,MOVIMIENTOS_COMPLEMENTOS!$G$4:$G$803,E1147,MOVIMIENTOS_COMPLEMENTOS!$H$4:$H$803,G1147,MOVIMIENTOS_COMPLEMENTOS!$B$4:$B$803,"INGRESO")+SUMIFS(MOVIMIENTOS_COMPLEMENTOS!$I$4:$I$803,MOVIMIENTOS_COMPLEMENTOS!$C$4:$C$803,A1147,MOVIMIENTOS_COMPLEMENTOS!$D$4:$D$803,B1147,MOVIMIENTOS_COMPLEMENTOS!$E$4:$E$803,C1147,MOVIMIENTOS_COMPLEMENTOS!$G$4:$G$803,E1147,MOVIMIENTOS_COMPLEMENTOS!$H$4:$H$803,G1147,MOVIMIENTOS_COMPLEMENTOS!$B$4:$B$803,"DE CORTE")-SUMIFS(MOVIMIENTOS_COMPLEMENTOS!$I$4:$I$803,MOVIMIENTOS_COMPLEMENTOS!$C$4:$C$803,A1147,MOVIMIENTOS_COMPLEMENTOS!$D$4:$D$803,B1147,MOVIMIENTOS_COMPLEMENTOS!$E$4:$E$803,C1147,MOVIMIENTOS_COMPLEMENTOS!$G$4:$G$803,E1147,MOVIMIENTOS_COMPLEMENTOS!$H$4:$H$803,G1147,MOVIMIENTOS_COMPLEMENTOS!$B$4:$B$803,"SALIDA"),0)</f>
        <v>0</v>
      </c>
      <c r="I1147" s="102">
        <f t="array" ref="I1147">IFERROR(INDEX(PRECIOS_COMPLEMENTOS!$C$4:$F$17,MATCH(B1147&amp;"_"&amp;C1147,PRECIOS_COMPLEMENTOS!$H$4:$H$17,0),IF(OR(G1147="S",G1147="20cm"),1,IF(OR(G1147="M",G1147="25cm"),2,IF(OR(G1147="L",G1147="30cm"),3,IF(OR(G1147="XL",G1147="35cm"),4,0))))),0)</f>
        <v>0.4</v>
      </c>
      <c r="J1147" s="103">
        <f t="shared" si="1"/>
        <v>0</v>
      </c>
      <c r="K1147" s="104" t="str">
        <f>IF(H1147&lt;0,"ERROR",IF(H1147=0,"",IF(H1147&lt;CONFIG!$B$4,"CRÍTICO",IF(H1147&lt;CONFIG!$B$5,"BAJO","OK"))))</f>
        <v/>
      </c>
    </row>
    <row r="1148" ht="15.75" hidden="1" customHeight="1">
      <c r="A1148" s="90" t="str">
        <f>IF(CLIENTES!A9="","",CLIENTES!A9)</f>
        <v/>
      </c>
      <c r="B1148" s="90" t="s">
        <v>321</v>
      </c>
      <c r="C1148" s="91" t="s">
        <v>328</v>
      </c>
      <c r="D1148" s="109" t="s">
        <v>353</v>
      </c>
      <c r="E1148" s="67" t="str">
        <f>COLORES!A10</f>
        <v>Botella</v>
      </c>
      <c r="F1148" s="67" t="str">
        <f>COLORES!B10</f>
        <v>OSCURO</v>
      </c>
      <c r="G1148" s="90" t="s">
        <v>378</v>
      </c>
      <c r="H1148" s="100">
        <f>IFERROR(SUMIFS(MOVIMIENTOS_COMPLEMENTOS!$I$4:$I$803,MOVIMIENTOS_COMPLEMENTOS!$C$4:$C$803,A1148,MOVIMIENTOS_COMPLEMENTOS!$D$4:$D$803,B1148,MOVIMIENTOS_COMPLEMENTOS!$E$4:$E$803,C1148,MOVIMIENTOS_COMPLEMENTOS!$G$4:$G$803,E1148,MOVIMIENTOS_COMPLEMENTOS!$H$4:$H$803,G1148,MOVIMIENTOS_COMPLEMENTOS!$B$4:$B$803,"INGRESO")+SUMIFS(MOVIMIENTOS_COMPLEMENTOS!$I$4:$I$803,MOVIMIENTOS_COMPLEMENTOS!$C$4:$C$803,A1148,MOVIMIENTOS_COMPLEMENTOS!$D$4:$D$803,B1148,MOVIMIENTOS_COMPLEMENTOS!$E$4:$E$803,C1148,MOVIMIENTOS_COMPLEMENTOS!$G$4:$G$803,E1148,MOVIMIENTOS_COMPLEMENTOS!$H$4:$H$803,G1148,MOVIMIENTOS_COMPLEMENTOS!$B$4:$B$803,"DE CORTE")-SUMIFS(MOVIMIENTOS_COMPLEMENTOS!$I$4:$I$803,MOVIMIENTOS_COMPLEMENTOS!$C$4:$C$803,A1148,MOVIMIENTOS_COMPLEMENTOS!$D$4:$D$803,B1148,MOVIMIENTOS_COMPLEMENTOS!$E$4:$E$803,C1148,MOVIMIENTOS_COMPLEMENTOS!$G$4:$G$803,E1148,MOVIMIENTOS_COMPLEMENTOS!$H$4:$H$803,G1148,MOVIMIENTOS_COMPLEMENTOS!$B$4:$B$803,"SALIDA"),0)</f>
        <v>0</v>
      </c>
      <c r="I1148" s="102">
        <f t="array" ref="I1148">IFERROR(INDEX(PRECIOS_COMPLEMENTOS!$C$4:$F$17,MATCH(B1148&amp;"_"&amp;C1148,PRECIOS_COMPLEMENTOS!$H$4:$H$17,0),IF(OR(G1148="S",G1148="20cm"),1,IF(OR(G1148="M",G1148="25cm"),2,IF(OR(G1148="L",G1148="30cm"),3,IF(OR(G1148="XL",G1148="35cm"),4,0))))),0)</f>
        <v>0.4</v>
      </c>
      <c r="J1148" s="103">
        <f t="shared" si="1"/>
        <v>0</v>
      </c>
      <c r="K1148" s="104" t="str">
        <f>IF(H1148&lt;0,"ERROR",IF(H1148=0,"",IF(H1148&lt;CONFIG!$B$4,"CRÍTICO",IF(H1148&lt;CONFIG!$B$5,"BAJO","OK"))))</f>
        <v/>
      </c>
    </row>
    <row r="1149" ht="15.75" hidden="1" customHeight="1">
      <c r="A1149" s="90" t="str">
        <f>IF(CLIENTES!A9="","",CLIENTES!A9)</f>
        <v/>
      </c>
      <c r="B1149" s="90" t="s">
        <v>321</v>
      </c>
      <c r="C1149" s="91" t="s">
        <v>328</v>
      </c>
      <c r="D1149" s="109" t="s">
        <v>353</v>
      </c>
      <c r="E1149" s="67" t="str">
        <f>COLORES!A10</f>
        <v>Botella</v>
      </c>
      <c r="F1149" s="67" t="str">
        <f>COLORES!B10</f>
        <v>OSCURO</v>
      </c>
      <c r="G1149" s="90" t="s">
        <v>376</v>
      </c>
      <c r="H1149" s="100">
        <f>IFERROR(SUMIFS(MOVIMIENTOS_COMPLEMENTOS!$I$4:$I$803,MOVIMIENTOS_COMPLEMENTOS!$C$4:$C$803,A1149,MOVIMIENTOS_COMPLEMENTOS!$D$4:$D$803,B1149,MOVIMIENTOS_COMPLEMENTOS!$E$4:$E$803,C1149,MOVIMIENTOS_COMPLEMENTOS!$G$4:$G$803,E1149,MOVIMIENTOS_COMPLEMENTOS!$H$4:$H$803,G1149,MOVIMIENTOS_COMPLEMENTOS!$B$4:$B$803,"INGRESO")+SUMIFS(MOVIMIENTOS_COMPLEMENTOS!$I$4:$I$803,MOVIMIENTOS_COMPLEMENTOS!$C$4:$C$803,A1149,MOVIMIENTOS_COMPLEMENTOS!$D$4:$D$803,B1149,MOVIMIENTOS_COMPLEMENTOS!$E$4:$E$803,C1149,MOVIMIENTOS_COMPLEMENTOS!$G$4:$G$803,E1149,MOVIMIENTOS_COMPLEMENTOS!$H$4:$H$803,G1149,MOVIMIENTOS_COMPLEMENTOS!$B$4:$B$803,"DE CORTE")-SUMIFS(MOVIMIENTOS_COMPLEMENTOS!$I$4:$I$803,MOVIMIENTOS_COMPLEMENTOS!$C$4:$C$803,A1149,MOVIMIENTOS_COMPLEMENTOS!$D$4:$D$803,B1149,MOVIMIENTOS_COMPLEMENTOS!$E$4:$E$803,C1149,MOVIMIENTOS_COMPLEMENTOS!$G$4:$G$803,E1149,MOVIMIENTOS_COMPLEMENTOS!$H$4:$H$803,G1149,MOVIMIENTOS_COMPLEMENTOS!$B$4:$B$803,"SALIDA"),0)</f>
        <v>0</v>
      </c>
      <c r="I1149" s="102">
        <f t="array" ref="I1149">IFERROR(INDEX(PRECIOS_COMPLEMENTOS!$C$4:$F$17,MATCH(B1149&amp;"_"&amp;C1149,PRECIOS_COMPLEMENTOS!$H$4:$H$17,0),IF(OR(G1149="S",G1149="20cm"),1,IF(OR(G1149="M",G1149="25cm"),2,IF(OR(G1149="L",G1149="30cm"),3,IF(OR(G1149="XL",G1149="35cm"),4,0))))),0)</f>
        <v>0.4</v>
      </c>
      <c r="J1149" s="103">
        <f t="shared" si="1"/>
        <v>0</v>
      </c>
      <c r="K1149" s="104" t="str">
        <f>IF(H1149&lt;0,"ERROR",IF(H1149=0,"",IF(H1149&lt;CONFIG!$B$4,"CRÍTICO",IF(H1149&lt;CONFIG!$B$5,"BAJO","OK"))))</f>
        <v/>
      </c>
    </row>
    <row r="1150" ht="15.75" hidden="1" customHeight="1">
      <c r="A1150" s="90" t="str">
        <f>IF(CLIENTES!A9="","",CLIENTES!A9)</f>
        <v/>
      </c>
      <c r="B1150" s="90" t="s">
        <v>321</v>
      </c>
      <c r="C1150" s="91" t="s">
        <v>328</v>
      </c>
      <c r="D1150" s="109" t="s">
        <v>353</v>
      </c>
      <c r="E1150" s="67" t="str">
        <f>COLORES!A10</f>
        <v>Botella</v>
      </c>
      <c r="F1150" s="67" t="str">
        <f>COLORES!B10</f>
        <v>OSCURO</v>
      </c>
      <c r="G1150" s="90" t="s">
        <v>377</v>
      </c>
      <c r="H1150" s="100">
        <f>IFERROR(SUMIFS(MOVIMIENTOS_COMPLEMENTOS!$I$4:$I$803,MOVIMIENTOS_COMPLEMENTOS!$C$4:$C$803,A1150,MOVIMIENTOS_COMPLEMENTOS!$D$4:$D$803,B1150,MOVIMIENTOS_COMPLEMENTOS!$E$4:$E$803,C1150,MOVIMIENTOS_COMPLEMENTOS!$G$4:$G$803,E1150,MOVIMIENTOS_COMPLEMENTOS!$H$4:$H$803,G1150,MOVIMIENTOS_COMPLEMENTOS!$B$4:$B$803,"INGRESO")+SUMIFS(MOVIMIENTOS_COMPLEMENTOS!$I$4:$I$803,MOVIMIENTOS_COMPLEMENTOS!$C$4:$C$803,A1150,MOVIMIENTOS_COMPLEMENTOS!$D$4:$D$803,B1150,MOVIMIENTOS_COMPLEMENTOS!$E$4:$E$803,C1150,MOVIMIENTOS_COMPLEMENTOS!$G$4:$G$803,E1150,MOVIMIENTOS_COMPLEMENTOS!$H$4:$H$803,G1150,MOVIMIENTOS_COMPLEMENTOS!$B$4:$B$803,"DE CORTE")-SUMIFS(MOVIMIENTOS_COMPLEMENTOS!$I$4:$I$803,MOVIMIENTOS_COMPLEMENTOS!$C$4:$C$803,A1150,MOVIMIENTOS_COMPLEMENTOS!$D$4:$D$803,B1150,MOVIMIENTOS_COMPLEMENTOS!$E$4:$E$803,C1150,MOVIMIENTOS_COMPLEMENTOS!$G$4:$G$803,E1150,MOVIMIENTOS_COMPLEMENTOS!$H$4:$H$803,G1150,MOVIMIENTOS_COMPLEMENTOS!$B$4:$B$803,"SALIDA"),0)</f>
        <v>0</v>
      </c>
      <c r="I1150" s="102">
        <f t="array" ref="I1150">IFERROR(INDEX(PRECIOS_COMPLEMENTOS!$C$4:$F$17,MATCH(B1150&amp;"_"&amp;C1150,PRECIOS_COMPLEMENTOS!$H$4:$H$17,0),IF(OR(G1150="S",G1150="20cm"),1,IF(OR(G1150="M",G1150="25cm"),2,IF(OR(G1150="L",G1150="30cm"),3,IF(OR(G1150="XL",G1150="35cm"),4,0))))),0)</f>
        <v>0.4</v>
      </c>
      <c r="J1150" s="103">
        <f t="shared" si="1"/>
        <v>0</v>
      </c>
      <c r="K1150" s="104" t="str">
        <f>IF(H1150&lt;0,"ERROR",IF(H1150=0,"",IF(H1150&lt;CONFIG!$B$4,"CRÍTICO",IF(H1150&lt;CONFIG!$B$5,"BAJO","OK"))))</f>
        <v/>
      </c>
    </row>
    <row r="1151" ht="15.75" hidden="1" customHeight="1">
      <c r="A1151" s="90" t="str">
        <f>IF(CLIENTES!A9="","",CLIENTES!A9)</f>
        <v/>
      </c>
      <c r="B1151" s="90" t="s">
        <v>321</v>
      </c>
      <c r="C1151" s="91" t="s">
        <v>328</v>
      </c>
      <c r="D1151" s="109" t="s">
        <v>353</v>
      </c>
      <c r="E1151" s="67" t="str">
        <f>COLORES!A10</f>
        <v>Botella</v>
      </c>
      <c r="F1151" s="67" t="str">
        <f>COLORES!B10</f>
        <v>OSCURO</v>
      </c>
      <c r="G1151" s="90" t="s">
        <v>379</v>
      </c>
      <c r="H1151" s="100">
        <f>IFERROR(SUMIFS(MOVIMIENTOS_COMPLEMENTOS!$I$4:$I$803,MOVIMIENTOS_COMPLEMENTOS!$C$4:$C$803,A1151,MOVIMIENTOS_COMPLEMENTOS!$D$4:$D$803,B1151,MOVIMIENTOS_COMPLEMENTOS!$E$4:$E$803,C1151,MOVIMIENTOS_COMPLEMENTOS!$G$4:$G$803,E1151,MOVIMIENTOS_COMPLEMENTOS!$H$4:$H$803,G1151,MOVIMIENTOS_COMPLEMENTOS!$B$4:$B$803,"INGRESO")+SUMIFS(MOVIMIENTOS_COMPLEMENTOS!$I$4:$I$803,MOVIMIENTOS_COMPLEMENTOS!$C$4:$C$803,A1151,MOVIMIENTOS_COMPLEMENTOS!$D$4:$D$803,B1151,MOVIMIENTOS_COMPLEMENTOS!$E$4:$E$803,C1151,MOVIMIENTOS_COMPLEMENTOS!$G$4:$G$803,E1151,MOVIMIENTOS_COMPLEMENTOS!$H$4:$H$803,G1151,MOVIMIENTOS_COMPLEMENTOS!$B$4:$B$803,"DE CORTE")-SUMIFS(MOVIMIENTOS_COMPLEMENTOS!$I$4:$I$803,MOVIMIENTOS_COMPLEMENTOS!$C$4:$C$803,A1151,MOVIMIENTOS_COMPLEMENTOS!$D$4:$D$803,B1151,MOVIMIENTOS_COMPLEMENTOS!$E$4:$E$803,C1151,MOVIMIENTOS_COMPLEMENTOS!$G$4:$G$803,E1151,MOVIMIENTOS_COMPLEMENTOS!$H$4:$H$803,G1151,MOVIMIENTOS_COMPLEMENTOS!$B$4:$B$803,"SALIDA"),0)</f>
        <v>0</v>
      </c>
      <c r="I1151" s="102">
        <f t="array" ref="I1151">IFERROR(INDEX(PRECIOS_COMPLEMENTOS!$C$4:$F$17,MATCH(B1151&amp;"_"&amp;C1151,PRECIOS_COMPLEMENTOS!$H$4:$H$17,0),IF(OR(G1151="S",G1151="20cm"),1,IF(OR(G1151="M",G1151="25cm"),2,IF(OR(G1151="L",G1151="30cm"),3,IF(OR(G1151="XL",G1151="35cm"),4,0))))),0)</f>
        <v>0.4</v>
      </c>
      <c r="J1151" s="103">
        <f t="shared" si="1"/>
        <v>0</v>
      </c>
      <c r="K1151" s="104" t="str">
        <f>IF(H1151&lt;0,"ERROR",IF(H1151=0,"",IF(H1151&lt;CONFIG!$B$4,"CRÍTICO",IF(H1151&lt;CONFIG!$B$5,"BAJO","OK"))))</f>
        <v/>
      </c>
    </row>
    <row r="1152" ht="15.75" hidden="1" customHeight="1">
      <c r="A1152" s="90" t="str">
        <f>IF(CLIENTES!A9="","",CLIENTES!A9)</f>
        <v/>
      </c>
      <c r="B1152" s="90" t="s">
        <v>321</v>
      </c>
      <c r="C1152" s="91" t="s">
        <v>328</v>
      </c>
      <c r="D1152" s="109" t="s">
        <v>353</v>
      </c>
      <c r="E1152" s="67" t="str">
        <f>COLORES!A11</f>
        <v>Pacay</v>
      </c>
      <c r="F1152" s="67" t="str">
        <f>COLORES!B11</f>
        <v>CLARO</v>
      </c>
      <c r="G1152" s="90" t="s">
        <v>378</v>
      </c>
      <c r="H1152" s="100">
        <f>IFERROR(SUMIFS(MOVIMIENTOS_COMPLEMENTOS!$I$4:$I$803,MOVIMIENTOS_COMPLEMENTOS!$C$4:$C$803,A1152,MOVIMIENTOS_COMPLEMENTOS!$D$4:$D$803,B1152,MOVIMIENTOS_COMPLEMENTOS!$E$4:$E$803,C1152,MOVIMIENTOS_COMPLEMENTOS!$G$4:$G$803,E1152,MOVIMIENTOS_COMPLEMENTOS!$H$4:$H$803,G1152,MOVIMIENTOS_COMPLEMENTOS!$B$4:$B$803,"INGRESO")+SUMIFS(MOVIMIENTOS_COMPLEMENTOS!$I$4:$I$803,MOVIMIENTOS_COMPLEMENTOS!$C$4:$C$803,A1152,MOVIMIENTOS_COMPLEMENTOS!$D$4:$D$803,B1152,MOVIMIENTOS_COMPLEMENTOS!$E$4:$E$803,C1152,MOVIMIENTOS_COMPLEMENTOS!$G$4:$G$803,E1152,MOVIMIENTOS_COMPLEMENTOS!$H$4:$H$803,G1152,MOVIMIENTOS_COMPLEMENTOS!$B$4:$B$803,"DE CORTE")-SUMIFS(MOVIMIENTOS_COMPLEMENTOS!$I$4:$I$803,MOVIMIENTOS_COMPLEMENTOS!$C$4:$C$803,A1152,MOVIMIENTOS_COMPLEMENTOS!$D$4:$D$803,B1152,MOVIMIENTOS_COMPLEMENTOS!$E$4:$E$803,C1152,MOVIMIENTOS_COMPLEMENTOS!$G$4:$G$803,E1152,MOVIMIENTOS_COMPLEMENTOS!$H$4:$H$803,G1152,MOVIMIENTOS_COMPLEMENTOS!$B$4:$B$803,"SALIDA"),0)</f>
        <v>0</v>
      </c>
      <c r="I1152" s="102">
        <f t="array" ref="I1152">IFERROR(INDEX(PRECIOS_COMPLEMENTOS!$C$4:$F$17,MATCH(B1152&amp;"_"&amp;C1152,PRECIOS_COMPLEMENTOS!$H$4:$H$17,0),IF(OR(G1152="S",G1152="20cm"),1,IF(OR(G1152="M",G1152="25cm"),2,IF(OR(G1152="L",G1152="30cm"),3,IF(OR(G1152="XL",G1152="35cm"),4,0))))),0)</f>
        <v>0.4</v>
      </c>
      <c r="J1152" s="103">
        <f t="shared" si="1"/>
        <v>0</v>
      </c>
      <c r="K1152" s="104" t="str">
        <f>IF(H1152&lt;0,"ERROR",IF(H1152=0,"",IF(H1152&lt;CONFIG!$B$4,"CRÍTICO",IF(H1152&lt;CONFIG!$B$5,"BAJO","OK"))))</f>
        <v/>
      </c>
    </row>
    <row r="1153" ht="15.75" hidden="1" customHeight="1">
      <c r="A1153" s="90" t="str">
        <f>IF(CLIENTES!A9="","",CLIENTES!A9)</f>
        <v/>
      </c>
      <c r="B1153" s="90" t="s">
        <v>321</v>
      </c>
      <c r="C1153" s="91" t="s">
        <v>328</v>
      </c>
      <c r="D1153" s="109" t="s">
        <v>353</v>
      </c>
      <c r="E1153" s="67" t="str">
        <f>COLORES!A11</f>
        <v>Pacay</v>
      </c>
      <c r="F1153" s="67" t="str">
        <f>COLORES!B11</f>
        <v>CLARO</v>
      </c>
      <c r="G1153" s="90" t="s">
        <v>376</v>
      </c>
      <c r="H1153" s="100">
        <f>IFERROR(SUMIFS(MOVIMIENTOS_COMPLEMENTOS!$I$4:$I$803,MOVIMIENTOS_COMPLEMENTOS!$C$4:$C$803,A1153,MOVIMIENTOS_COMPLEMENTOS!$D$4:$D$803,B1153,MOVIMIENTOS_COMPLEMENTOS!$E$4:$E$803,C1153,MOVIMIENTOS_COMPLEMENTOS!$G$4:$G$803,E1153,MOVIMIENTOS_COMPLEMENTOS!$H$4:$H$803,G1153,MOVIMIENTOS_COMPLEMENTOS!$B$4:$B$803,"INGRESO")+SUMIFS(MOVIMIENTOS_COMPLEMENTOS!$I$4:$I$803,MOVIMIENTOS_COMPLEMENTOS!$C$4:$C$803,A1153,MOVIMIENTOS_COMPLEMENTOS!$D$4:$D$803,B1153,MOVIMIENTOS_COMPLEMENTOS!$E$4:$E$803,C1153,MOVIMIENTOS_COMPLEMENTOS!$G$4:$G$803,E1153,MOVIMIENTOS_COMPLEMENTOS!$H$4:$H$803,G1153,MOVIMIENTOS_COMPLEMENTOS!$B$4:$B$803,"DE CORTE")-SUMIFS(MOVIMIENTOS_COMPLEMENTOS!$I$4:$I$803,MOVIMIENTOS_COMPLEMENTOS!$C$4:$C$803,A1153,MOVIMIENTOS_COMPLEMENTOS!$D$4:$D$803,B1153,MOVIMIENTOS_COMPLEMENTOS!$E$4:$E$803,C1153,MOVIMIENTOS_COMPLEMENTOS!$G$4:$G$803,E1153,MOVIMIENTOS_COMPLEMENTOS!$H$4:$H$803,G1153,MOVIMIENTOS_COMPLEMENTOS!$B$4:$B$803,"SALIDA"),0)</f>
        <v>0</v>
      </c>
      <c r="I1153" s="102">
        <f t="array" ref="I1153">IFERROR(INDEX(PRECIOS_COMPLEMENTOS!$C$4:$F$17,MATCH(B1153&amp;"_"&amp;C1153,PRECIOS_COMPLEMENTOS!$H$4:$H$17,0),IF(OR(G1153="S",G1153="20cm"),1,IF(OR(G1153="M",G1153="25cm"),2,IF(OR(G1153="L",G1153="30cm"),3,IF(OR(G1153="XL",G1153="35cm"),4,0))))),0)</f>
        <v>0.4</v>
      </c>
      <c r="J1153" s="103">
        <f t="shared" si="1"/>
        <v>0</v>
      </c>
      <c r="K1153" s="104" t="str">
        <f>IF(H1153&lt;0,"ERROR",IF(H1153=0,"",IF(H1153&lt;CONFIG!$B$4,"CRÍTICO",IF(H1153&lt;CONFIG!$B$5,"BAJO","OK"))))</f>
        <v/>
      </c>
    </row>
    <row r="1154" ht="15.75" hidden="1" customHeight="1">
      <c r="A1154" s="90" t="str">
        <f>IF(CLIENTES!A9="","",CLIENTES!A9)</f>
        <v/>
      </c>
      <c r="B1154" s="90" t="s">
        <v>321</v>
      </c>
      <c r="C1154" s="91" t="s">
        <v>328</v>
      </c>
      <c r="D1154" s="109" t="s">
        <v>353</v>
      </c>
      <c r="E1154" s="67" t="str">
        <f>COLORES!A11</f>
        <v>Pacay</v>
      </c>
      <c r="F1154" s="67" t="str">
        <f>COLORES!B11</f>
        <v>CLARO</v>
      </c>
      <c r="G1154" s="90" t="s">
        <v>377</v>
      </c>
      <c r="H1154" s="100">
        <f>IFERROR(SUMIFS(MOVIMIENTOS_COMPLEMENTOS!$I$4:$I$803,MOVIMIENTOS_COMPLEMENTOS!$C$4:$C$803,A1154,MOVIMIENTOS_COMPLEMENTOS!$D$4:$D$803,B1154,MOVIMIENTOS_COMPLEMENTOS!$E$4:$E$803,C1154,MOVIMIENTOS_COMPLEMENTOS!$G$4:$G$803,E1154,MOVIMIENTOS_COMPLEMENTOS!$H$4:$H$803,G1154,MOVIMIENTOS_COMPLEMENTOS!$B$4:$B$803,"INGRESO")+SUMIFS(MOVIMIENTOS_COMPLEMENTOS!$I$4:$I$803,MOVIMIENTOS_COMPLEMENTOS!$C$4:$C$803,A1154,MOVIMIENTOS_COMPLEMENTOS!$D$4:$D$803,B1154,MOVIMIENTOS_COMPLEMENTOS!$E$4:$E$803,C1154,MOVIMIENTOS_COMPLEMENTOS!$G$4:$G$803,E1154,MOVIMIENTOS_COMPLEMENTOS!$H$4:$H$803,G1154,MOVIMIENTOS_COMPLEMENTOS!$B$4:$B$803,"DE CORTE")-SUMIFS(MOVIMIENTOS_COMPLEMENTOS!$I$4:$I$803,MOVIMIENTOS_COMPLEMENTOS!$C$4:$C$803,A1154,MOVIMIENTOS_COMPLEMENTOS!$D$4:$D$803,B1154,MOVIMIENTOS_COMPLEMENTOS!$E$4:$E$803,C1154,MOVIMIENTOS_COMPLEMENTOS!$G$4:$G$803,E1154,MOVIMIENTOS_COMPLEMENTOS!$H$4:$H$803,G1154,MOVIMIENTOS_COMPLEMENTOS!$B$4:$B$803,"SALIDA"),0)</f>
        <v>0</v>
      </c>
      <c r="I1154" s="102">
        <f t="array" ref="I1154">IFERROR(INDEX(PRECIOS_COMPLEMENTOS!$C$4:$F$17,MATCH(B1154&amp;"_"&amp;C1154,PRECIOS_COMPLEMENTOS!$H$4:$H$17,0),IF(OR(G1154="S",G1154="20cm"),1,IF(OR(G1154="M",G1154="25cm"),2,IF(OR(G1154="L",G1154="30cm"),3,IF(OR(G1154="XL",G1154="35cm"),4,0))))),0)</f>
        <v>0.4</v>
      </c>
      <c r="J1154" s="103">
        <f t="shared" si="1"/>
        <v>0</v>
      </c>
      <c r="K1154" s="104" t="str">
        <f>IF(H1154&lt;0,"ERROR",IF(H1154=0,"",IF(H1154&lt;CONFIG!$B$4,"CRÍTICO",IF(H1154&lt;CONFIG!$B$5,"BAJO","OK"))))</f>
        <v/>
      </c>
    </row>
    <row r="1155" ht="15.75" hidden="1" customHeight="1">
      <c r="A1155" s="90" t="str">
        <f>IF(CLIENTES!A9="","",CLIENTES!A9)</f>
        <v/>
      </c>
      <c r="B1155" s="90" t="s">
        <v>321</v>
      </c>
      <c r="C1155" s="91" t="s">
        <v>328</v>
      </c>
      <c r="D1155" s="109" t="s">
        <v>353</v>
      </c>
      <c r="E1155" s="67" t="str">
        <f>COLORES!A11</f>
        <v>Pacay</v>
      </c>
      <c r="F1155" s="67" t="str">
        <f>COLORES!B11</f>
        <v>CLARO</v>
      </c>
      <c r="G1155" s="90" t="s">
        <v>379</v>
      </c>
      <c r="H1155" s="100">
        <f>IFERROR(SUMIFS(MOVIMIENTOS_COMPLEMENTOS!$I$4:$I$803,MOVIMIENTOS_COMPLEMENTOS!$C$4:$C$803,A1155,MOVIMIENTOS_COMPLEMENTOS!$D$4:$D$803,B1155,MOVIMIENTOS_COMPLEMENTOS!$E$4:$E$803,C1155,MOVIMIENTOS_COMPLEMENTOS!$G$4:$G$803,E1155,MOVIMIENTOS_COMPLEMENTOS!$H$4:$H$803,G1155,MOVIMIENTOS_COMPLEMENTOS!$B$4:$B$803,"INGRESO")+SUMIFS(MOVIMIENTOS_COMPLEMENTOS!$I$4:$I$803,MOVIMIENTOS_COMPLEMENTOS!$C$4:$C$803,A1155,MOVIMIENTOS_COMPLEMENTOS!$D$4:$D$803,B1155,MOVIMIENTOS_COMPLEMENTOS!$E$4:$E$803,C1155,MOVIMIENTOS_COMPLEMENTOS!$G$4:$G$803,E1155,MOVIMIENTOS_COMPLEMENTOS!$H$4:$H$803,G1155,MOVIMIENTOS_COMPLEMENTOS!$B$4:$B$803,"DE CORTE")-SUMIFS(MOVIMIENTOS_COMPLEMENTOS!$I$4:$I$803,MOVIMIENTOS_COMPLEMENTOS!$C$4:$C$803,A1155,MOVIMIENTOS_COMPLEMENTOS!$D$4:$D$803,B1155,MOVIMIENTOS_COMPLEMENTOS!$E$4:$E$803,C1155,MOVIMIENTOS_COMPLEMENTOS!$G$4:$G$803,E1155,MOVIMIENTOS_COMPLEMENTOS!$H$4:$H$803,G1155,MOVIMIENTOS_COMPLEMENTOS!$B$4:$B$803,"SALIDA"),0)</f>
        <v>0</v>
      </c>
      <c r="I1155" s="102">
        <f t="array" ref="I1155">IFERROR(INDEX(PRECIOS_COMPLEMENTOS!$C$4:$F$17,MATCH(B1155&amp;"_"&amp;C1155,PRECIOS_COMPLEMENTOS!$H$4:$H$17,0),IF(OR(G1155="S",G1155="20cm"),1,IF(OR(G1155="M",G1155="25cm"),2,IF(OR(G1155="L",G1155="30cm"),3,IF(OR(G1155="XL",G1155="35cm"),4,0))))),0)</f>
        <v>0.4</v>
      </c>
      <c r="J1155" s="103">
        <f t="shared" si="1"/>
        <v>0</v>
      </c>
      <c r="K1155" s="104" t="str">
        <f>IF(H1155&lt;0,"ERROR",IF(H1155=0,"",IF(H1155&lt;CONFIG!$B$4,"CRÍTICO",IF(H1155&lt;CONFIG!$B$5,"BAJO","OK"))))</f>
        <v/>
      </c>
    </row>
    <row r="1156" ht="15.75" hidden="1" customHeight="1">
      <c r="A1156" s="90" t="str">
        <f>IF(CLIENTES!A9="","",CLIENTES!A9)</f>
        <v/>
      </c>
      <c r="B1156" s="90" t="s">
        <v>321</v>
      </c>
      <c r="C1156" s="91" t="s">
        <v>328</v>
      </c>
      <c r="D1156" s="109" t="s">
        <v>353</v>
      </c>
      <c r="E1156" s="67" t="str">
        <f>COLORES!A12</f>
        <v>Cemento</v>
      </c>
      <c r="F1156" s="67" t="str">
        <f>COLORES!B12</f>
        <v>CLARO</v>
      </c>
      <c r="G1156" s="90" t="s">
        <v>378</v>
      </c>
      <c r="H1156" s="100">
        <f>IFERROR(SUMIFS(MOVIMIENTOS_COMPLEMENTOS!$I$4:$I$803,MOVIMIENTOS_COMPLEMENTOS!$C$4:$C$803,A1156,MOVIMIENTOS_COMPLEMENTOS!$D$4:$D$803,B1156,MOVIMIENTOS_COMPLEMENTOS!$E$4:$E$803,C1156,MOVIMIENTOS_COMPLEMENTOS!$G$4:$G$803,E1156,MOVIMIENTOS_COMPLEMENTOS!$H$4:$H$803,G1156,MOVIMIENTOS_COMPLEMENTOS!$B$4:$B$803,"INGRESO")+SUMIFS(MOVIMIENTOS_COMPLEMENTOS!$I$4:$I$803,MOVIMIENTOS_COMPLEMENTOS!$C$4:$C$803,A1156,MOVIMIENTOS_COMPLEMENTOS!$D$4:$D$803,B1156,MOVIMIENTOS_COMPLEMENTOS!$E$4:$E$803,C1156,MOVIMIENTOS_COMPLEMENTOS!$G$4:$G$803,E1156,MOVIMIENTOS_COMPLEMENTOS!$H$4:$H$803,G1156,MOVIMIENTOS_COMPLEMENTOS!$B$4:$B$803,"DE CORTE")-SUMIFS(MOVIMIENTOS_COMPLEMENTOS!$I$4:$I$803,MOVIMIENTOS_COMPLEMENTOS!$C$4:$C$803,A1156,MOVIMIENTOS_COMPLEMENTOS!$D$4:$D$803,B1156,MOVIMIENTOS_COMPLEMENTOS!$E$4:$E$803,C1156,MOVIMIENTOS_COMPLEMENTOS!$G$4:$G$803,E1156,MOVIMIENTOS_COMPLEMENTOS!$H$4:$H$803,G1156,MOVIMIENTOS_COMPLEMENTOS!$B$4:$B$803,"SALIDA"),0)</f>
        <v>0</v>
      </c>
      <c r="I1156" s="102">
        <f t="array" ref="I1156">IFERROR(INDEX(PRECIOS_COMPLEMENTOS!$C$4:$F$17,MATCH(B1156&amp;"_"&amp;C1156,PRECIOS_COMPLEMENTOS!$H$4:$H$17,0),IF(OR(G1156="S",G1156="20cm"),1,IF(OR(G1156="M",G1156="25cm"),2,IF(OR(G1156="L",G1156="30cm"),3,IF(OR(G1156="XL",G1156="35cm"),4,0))))),0)</f>
        <v>0.4</v>
      </c>
      <c r="J1156" s="103">
        <f t="shared" si="1"/>
        <v>0</v>
      </c>
      <c r="K1156" s="104" t="str">
        <f>IF(H1156&lt;0,"ERROR",IF(H1156=0,"",IF(H1156&lt;CONFIG!$B$4,"CRÍTICO",IF(H1156&lt;CONFIG!$B$5,"BAJO","OK"))))</f>
        <v/>
      </c>
    </row>
    <row r="1157" ht="15.75" hidden="1" customHeight="1">
      <c r="A1157" s="90" t="str">
        <f>IF(CLIENTES!A9="","",CLIENTES!A9)</f>
        <v/>
      </c>
      <c r="B1157" s="90" t="s">
        <v>321</v>
      </c>
      <c r="C1157" s="91" t="s">
        <v>328</v>
      </c>
      <c r="D1157" s="109" t="s">
        <v>353</v>
      </c>
      <c r="E1157" s="67" t="str">
        <f>COLORES!A12</f>
        <v>Cemento</v>
      </c>
      <c r="F1157" s="67" t="str">
        <f>COLORES!B12</f>
        <v>CLARO</v>
      </c>
      <c r="G1157" s="90" t="s">
        <v>376</v>
      </c>
      <c r="H1157" s="100">
        <f>IFERROR(SUMIFS(MOVIMIENTOS_COMPLEMENTOS!$I$4:$I$803,MOVIMIENTOS_COMPLEMENTOS!$C$4:$C$803,A1157,MOVIMIENTOS_COMPLEMENTOS!$D$4:$D$803,B1157,MOVIMIENTOS_COMPLEMENTOS!$E$4:$E$803,C1157,MOVIMIENTOS_COMPLEMENTOS!$G$4:$G$803,E1157,MOVIMIENTOS_COMPLEMENTOS!$H$4:$H$803,G1157,MOVIMIENTOS_COMPLEMENTOS!$B$4:$B$803,"INGRESO")+SUMIFS(MOVIMIENTOS_COMPLEMENTOS!$I$4:$I$803,MOVIMIENTOS_COMPLEMENTOS!$C$4:$C$803,A1157,MOVIMIENTOS_COMPLEMENTOS!$D$4:$D$803,B1157,MOVIMIENTOS_COMPLEMENTOS!$E$4:$E$803,C1157,MOVIMIENTOS_COMPLEMENTOS!$G$4:$G$803,E1157,MOVIMIENTOS_COMPLEMENTOS!$H$4:$H$803,G1157,MOVIMIENTOS_COMPLEMENTOS!$B$4:$B$803,"DE CORTE")-SUMIFS(MOVIMIENTOS_COMPLEMENTOS!$I$4:$I$803,MOVIMIENTOS_COMPLEMENTOS!$C$4:$C$803,A1157,MOVIMIENTOS_COMPLEMENTOS!$D$4:$D$803,B1157,MOVIMIENTOS_COMPLEMENTOS!$E$4:$E$803,C1157,MOVIMIENTOS_COMPLEMENTOS!$G$4:$G$803,E1157,MOVIMIENTOS_COMPLEMENTOS!$H$4:$H$803,G1157,MOVIMIENTOS_COMPLEMENTOS!$B$4:$B$803,"SALIDA"),0)</f>
        <v>0</v>
      </c>
      <c r="I1157" s="102">
        <f t="array" ref="I1157">IFERROR(INDEX(PRECIOS_COMPLEMENTOS!$C$4:$F$17,MATCH(B1157&amp;"_"&amp;C1157,PRECIOS_COMPLEMENTOS!$H$4:$H$17,0),IF(OR(G1157="S",G1157="20cm"),1,IF(OR(G1157="M",G1157="25cm"),2,IF(OR(G1157="L",G1157="30cm"),3,IF(OR(G1157="XL",G1157="35cm"),4,0))))),0)</f>
        <v>0.4</v>
      </c>
      <c r="J1157" s="103">
        <f t="shared" si="1"/>
        <v>0</v>
      </c>
      <c r="K1157" s="104" t="str">
        <f>IF(H1157&lt;0,"ERROR",IF(H1157=0,"",IF(H1157&lt;CONFIG!$B$4,"CRÍTICO",IF(H1157&lt;CONFIG!$B$5,"BAJO","OK"))))</f>
        <v/>
      </c>
    </row>
    <row r="1158" ht="15.75" hidden="1" customHeight="1">
      <c r="A1158" s="90" t="str">
        <f>IF(CLIENTES!A9="","",CLIENTES!A9)</f>
        <v/>
      </c>
      <c r="B1158" s="90" t="s">
        <v>321</v>
      </c>
      <c r="C1158" s="91" t="s">
        <v>328</v>
      </c>
      <c r="D1158" s="109" t="s">
        <v>353</v>
      </c>
      <c r="E1158" s="67" t="str">
        <f>COLORES!A12</f>
        <v>Cemento</v>
      </c>
      <c r="F1158" s="67" t="str">
        <f>COLORES!B12</f>
        <v>CLARO</v>
      </c>
      <c r="G1158" s="90" t="s">
        <v>377</v>
      </c>
      <c r="H1158" s="100">
        <f>IFERROR(SUMIFS(MOVIMIENTOS_COMPLEMENTOS!$I$4:$I$803,MOVIMIENTOS_COMPLEMENTOS!$C$4:$C$803,A1158,MOVIMIENTOS_COMPLEMENTOS!$D$4:$D$803,B1158,MOVIMIENTOS_COMPLEMENTOS!$E$4:$E$803,C1158,MOVIMIENTOS_COMPLEMENTOS!$G$4:$G$803,E1158,MOVIMIENTOS_COMPLEMENTOS!$H$4:$H$803,G1158,MOVIMIENTOS_COMPLEMENTOS!$B$4:$B$803,"INGRESO")+SUMIFS(MOVIMIENTOS_COMPLEMENTOS!$I$4:$I$803,MOVIMIENTOS_COMPLEMENTOS!$C$4:$C$803,A1158,MOVIMIENTOS_COMPLEMENTOS!$D$4:$D$803,B1158,MOVIMIENTOS_COMPLEMENTOS!$E$4:$E$803,C1158,MOVIMIENTOS_COMPLEMENTOS!$G$4:$G$803,E1158,MOVIMIENTOS_COMPLEMENTOS!$H$4:$H$803,G1158,MOVIMIENTOS_COMPLEMENTOS!$B$4:$B$803,"DE CORTE")-SUMIFS(MOVIMIENTOS_COMPLEMENTOS!$I$4:$I$803,MOVIMIENTOS_COMPLEMENTOS!$C$4:$C$803,A1158,MOVIMIENTOS_COMPLEMENTOS!$D$4:$D$803,B1158,MOVIMIENTOS_COMPLEMENTOS!$E$4:$E$803,C1158,MOVIMIENTOS_COMPLEMENTOS!$G$4:$G$803,E1158,MOVIMIENTOS_COMPLEMENTOS!$H$4:$H$803,G1158,MOVIMIENTOS_COMPLEMENTOS!$B$4:$B$803,"SALIDA"),0)</f>
        <v>0</v>
      </c>
      <c r="I1158" s="102">
        <f t="array" ref="I1158">IFERROR(INDEX(PRECIOS_COMPLEMENTOS!$C$4:$F$17,MATCH(B1158&amp;"_"&amp;C1158,PRECIOS_COMPLEMENTOS!$H$4:$H$17,0),IF(OR(G1158="S",G1158="20cm"),1,IF(OR(G1158="M",G1158="25cm"),2,IF(OR(G1158="L",G1158="30cm"),3,IF(OR(G1158="XL",G1158="35cm"),4,0))))),0)</f>
        <v>0.4</v>
      </c>
      <c r="J1158" s="103">
        <f t="shared" si="1"/>
        <v>0</v>
      </c>
      <c r="K1158" s="104" t="str">
        <f>IF(H1158&lt;0,"ERROR",IF(H1158=0,"",IF(H1158&lt;CONFIG!$B$4,"CRÍTICO",IF(H1158&lt;CONFIG!$B$5,"BAJO","OK"))))</f>
        <v/>
      </c>
    </row>
    <row r="1159" ht="15.75" hidden="1" customHeight="1">
      <c r="A1159" s="90" t="str">
        <f>IF(CLIENTES!A9="","",CLIENTES!A9)</f>
        <v/>
      </c>
      <c r="B1159" s="90" t="s">
        <v>321</v>
      </c>
      <c r="C1159" s="91" t="s">
        <v>328</v>
      </c>
      <c r="D1159" s="109" t="s">
        <v>353</v>
      </c>
      <c r="E1159" s="67" t="str">
        <f>COLORES!A12</f>
        <v>Cemento</v>
      </c>
      <c r="F1159" s="67" t="str">
        <f>COLORES!B12</f>
        <v>CLARO</v>
      </c>
      <c r="G1159" s="90" t="s">
        <v>379</v>
      </c>
      <c r="H1159" s="100">
        <f>IFERROR(SUMIFS(MOVIMIENTOS_COMPLEMENTOS!$I$4:$I$803,MOVIMIENTOS_COMPLEMENTOS!$C$4:$C$803,A1159,MOVIMIENTOS_COMPLEMENTOS!$D$4:$D$803,B1159,MOVIMIENTOS_COMPLEMENTOS!$E$4:$E$803,C1159,MOVIMIENTOS_COMPLEMENTOS!$G$4:$G$803,E1159,MOVIMIENTOS_COMPLEMENTOS!$H$4:$H$803,G1159,MOVIMIENTOS_COMPLEMENTOS!$B$4:$B$803,"INGRESO")+SUMIFS(MOVIMIENTOS_COMPLEMENTOS!$I$4:$I$803,MOVIMIENTOS_COMPLEMENTOS!$C$4:$C$803,A1159,MOVIMIENTOS_COMPLEMENTOS!$D$4:$D$803,B1159,MOVIMIENTOS_COMPLEMENTOS!$E$4:$E$803,C1159,MOVIMIENTOS_COMPLEMENTOS!$G$4:$G$803,E1159,MOVIMIENTOS_COMPLEMENTOS!$H$4:$H$803,G1159,MOVIMIENTOS_COMPLEMENTOS!$B$4:$B$803,"DE CORTE")-SUMIFS(MOVIMIENTOS_COMPLEMENTOS!$I$4:$I$803,MOVIMIENTOS_COMPLEMENTOS!$C$4:$C$803,A1159,MOVIMIENTOS_COMPLEMENTOS!$D$4:$D$803,B1159,MOVIMIENTOS_COMPLEMENTOS!$E$4:$E$803,C1159,MOVIMIENTOS_COMPLEMENTOS!$G$4:$G$803,E1159,MOVIMIENTOS_COMPLEMENTOS!$H$4:$H$803,G1159,MOVIMIENTOS_COMPLEMENTOS!$B$4:$B$803,"SALIDA"),0)</f>
        <v>0</v>
      </c>
      <c r="I1159" s="102">
        <f t="array" ref="I1159">IFERROR(INDEX(PRECIOS_COMPLEMENTOS!$C$4:$F$17,MATCH(B1159&amp;"_"&amp;C1159,PRECIOS_COMPLEMENTOS!$H$4:$H$17,0),IF(OR(G1159="S",G1159="20cm"),1,IF(OR(G1159="M",G1159="25cm"),2,IF(OR(G1159="L",G1159="30cm"),3,IF(OR(G1159="XL",G1159="35cm"),4,0))))),0)</f>
        <v>0.4</v>
      </c>
      <c r="J1159" s="103">
        <f t="shared" si="1"/>
        <v>0</v>
      </c>
      <c r="K1159" s="104" t="str">
        <f>IF(H1159&lt;0,"ERROR",IF(H1159=0,"",IF(H1159&lt;CONFIG!$B$4,"CRÍTICO",IF(H1159&lt;CONFIG!$B$5,"BAJO","OK"))))</f>
        <v/>
      </c>
    </row>
    <row r="1160" ht="15.75" hidden="1" customHeight="1">
      <c r="A1160" s="90" t="str">
        <f>IF(CLIENTES!A9="","",CLIENTES!A9)</f>
        <v/>
      </c>
      <c r="B1160" s="90" t="s">
        <v>321</v>
      </c>
      <c r="C1160" s="91" t="s">
        <v>328</v>
      </c>
      <c r="D1160" s="109" t="s">
        <v>353</v>
      </c>
      <c r="E1160" s="67" t="str">
        <f>COLORES!A13</f>
        <v>Camote</v>
      </c>
      <c r="F1160" s="67" t="str">
        <f>COLORES!B13</f>
        <v>CLARO</v>
      </c>
      <c r="G1160" s="90" t="s">
        <v>378</v>
      </c>
      <c r="H1160" s="100">
        <f>IFERROR(SUMIFS(MOVIMIENTOS_COMPLEMENTOS!$I$4:$I$803,MOVIMIENTOS_COMPLEMENTOS!$C$4:$C$803,A1160,MOVIMIENTOS_COMPLEMENTOS!$D$4:$D$803,B1160,MOVIMIENTOS_COMPLEMENTOS!$E$4:$E$803,C1160,MOVIMIENTOS_COMPLEMENTOS!$G$4:$G$803,E1160,MOVIMIENTOS_COMPLEMENTOS!$H$4:$H$803,G1160,MOVIMIENTOS_COMPLEMENTOS!$B$4:$B$803,"INGRESO")+SUMIFS(MOVIMIENTOS_COMPLEMENTOS!$I$4:$I$803,MOVIMIENTOS_COMPLEMENTOS!$C$4:$C$803,A1160,MOVIMIENTOS_COMPLEMENTOS!$D$4:$D$803,B1160,MOVIMIENTOS_COMPLEMENTOS!$E$4:$E$803,C1160,MOVIMIENTOS_COMPLEMENTOS!$G$4:$G$803,E1160,MOVIMIENTOS_COMPLEMENTOS!$H$4:$H$803,G1160,MOVIMIENTOS_COMPLEMENTOS!$B$4:$B$803,"DE CORTE")-SUMIFS(MOVIMIENTOS_COMPLEMENTOS!$I$4:$I$803,MOVIMIENTOS_COMPLEMENTOS!$C$4:$C$803,A1160,MOVIMIENTOS_COMPLEMENTOS!$D$4:$D$803,B1160,MOVIMIENTOS_COMPLEMENTOS!$E$4:$E$803,C1160,MOVIMIENTOS_COMPLEMENTOS!$G$4:$G$803,E1160,MOVIMIENTOS_COMPLEMENTOS!$H$4:$H$803,G1160,MOVIMIENTOS_COMPLEMENTOS!$B$4:$B$803,"SALIDA"),0)</f>
        <v>0</v>
      </c>
      <c r="I1160" s="102">
        <f t="array" ref="I1160">IFERROR(INDEX(PRECIOS_COMPLEMENTOS!$C$4:$F$17,MATCH(B1160&amp;"_"&amp;C1160,PRECIOS_COMPLEMENTOS!$H$4:$H$17,0),IF(OR(G1160="S",G1160="20cm"),1,IF(OR(G1160="M",G1160="25cm"),2,IF(OR(G1160="L",G1160="30cm"),3,IF(OR(G1160="XL",G1160="35cm"),4,0))))),0)</f>
        <v>0.4</v>
      </c>
      <c r="J1160" s="103">
        <f t="shared" si="1"/>
        <v>0</v>
      </c>
      <c r="K1160" s="104" t="str">
        <f>IF(H1160&lt;0,"ERROR",IF(H1160=0,"",IF(H1160&lt;CONFIG!$B$4,"CRÍTICO",IF(H1160&lt;CONFIG!$B$5,"BAJO","OK"))))</f>
        <v/>
      </c>
    </row>
    <row r="1161" ht="15.75" hidden="1" customHeight="1">
      <c r="A1161" s="90" t="str">
        <f>IF(CLIENTES!A9="","",CLIENTES!A9)</f>
        <v/>
      </c>
      <c r="B1161" s="90" t="s">
        <v>321</v>
      </c>
      <c r="C1161" s="91" t="s">
        <v>328</v>
      </c>
      <c r="D1161" s="109" t="s">
        <v>353</v>
      </c>
      <c r="E1161" s="67" t="str">
        <f>COLORES!A13</f>
        <v>Camote</v>
      </c>
      <c r="F1161" s="67" t="str">
        <f>COLORES!B13</f>
        <v>CLARO</v>
      </c>
      <c r="G1161" s="90" t="s">
        <v>376</v>
      </c>
      <c r="H1161" s="100">
        <f>IFERROR(SUMIFS(MOVIMIENTOS_COMPLEMENTOS!$I$4:$I$803,MOVIMIENTOS_COMPLEMENTOS!$C$4:$C$803,A1161,MOVIMIENTOS_COMPLEMENTOS!$D$4:$D$803,B1161,MOVIMIENTOS_COMPLEMENTOS!$E$4:$E$803,C1161,MOVIMIENTOS_COMPLEMENTOS!$G$4:$G$803,E1161,MOVIMIENTOS_COMPLEMENTOS!$H$4:$H$803,G1161,MOVIMIENTOS_COMPLEMENTOS!$B$4:$B$803,"INGRESO")+SUMIFS(MOVIMIENTOS_COMPLEMENTOS!$I$4:$I$803,MOVIMIENTOS_COMPLEMENTOS!$C$4:$C$803,A1161,MOVIMIENTOS_COMPLEMENTOS!$D$4:$D$803,B1161,MOVIMIENTOS_COMPLEMENTOS!$E$4:$E$803,C1161,MOVIMIENTOS_COMPLEMENTOS!$G$4:$G$803,E1161,MOVIMIENTOS_COMPLEMENTOS!$H$4:$H$803,G1161,MOVIMIENTOS_COMPLEMENTOS!$B$4:$B$803,"DE CORTE")-SUMIFS(MOVIMIENTOS_COMPLEMENTOS!$I$4:$I$803,MOVIMIENTOS_COMPLEMENTOS!$C$4:$C$803,A1161,MOVIMIENTOS_COMPLEMENTOS!$D$4:$D$803,B1161,MOVIMIENTOS_COMPLEMENTOS!$E$4:$E$803,C1161,MOVIMIENTOS_COMPLEMENTOS!$G$4:$G$803,E1161,MOVIMIENTOS_COMPLEMENTOS!$H$4:$H$803,G1161,MOVIMIENTOS_COMPLEMENTOS!$B$4:$B$803,"SALIDA"),0)</f>
        <v>0</v>
      </c>
      <c r="I1161" s="102">
        <f t="array" ref="I1161">IFERROR(INDEX(PRECIOS_COMPLEMENTOS!$C$4:$F$17,MATCH(B1161&amp;"_"&amp;C1161,PRECIOS_COMPLEMENTOS!$H$4:$H$17,0),IF(OR(G1161="S",G1161="20cm"),1,IF(OR(G1161="M",G1161="25cm"),2,IF(OR(G1161="L",G1161="30cm"),3,IF(OR(G1161="XL",G1161="35cm"),4,0))))),0)</f>
        <v>0.4</v>
      </c>
      <c r="J1161" s="103">
        <f t="shared" si="1"/>
        <v>0</v>
      </c>
      <c r="K1161" s="104" t="str">
        <f>IF(H1161&lt;0,"ERROR",IF(H1161=0,"",IF(H1161&lt;CONFIG!$B$4,"CRÍTICO",IF(H1161&lt;CONFIG!$B$5,"BAJO","OK"))))</f>
        <v/>
      </c>
    </row>
    <row r="1162" ht="15.75" hidden="1" customHeight="1">
      <c r="A1162" s="90" t="str">
        <f>IF(CLIENTES!A9="","",CLIENTES!A9)</f>
        <v/>
      </c>
      <c r="B1162" s="90" t="s">
        <v>321</v>
      </c>
      <c r="C1162" s="91" t="s">
        <v>328</v>
      </c>
      <c r="D1162" s="109" t="s">
        <v>353</v>
      </c>
      <c r="E1162" s="67" t="str">
        <f>COLORES!A13</f>
        <v>Camote</v>
      </c>
      <c r="F1162" s="67" t="str">
        <f>COLORES!B13</f>
        <v>CLARO</v>
      </c>
      <c r="G1162" s="90" t="s">
        <v>377</v>
      </c>
      <c r="H1162" s="100">
        <f>IFERROR(SUMIFS(MOVIMIENTOS_COMPLEMENTOS!$I$4:$I$803,MOVIMIENTOS_COMPLEMENTOS!$C$4:$C$803,A1162,MOVIMIENTOS_COMPLEMENTOS!$D$4:$D$803,B1162,MOVIMIENTOS_COMPLEMENTOS!$E$4:$E$803,C1162,MOVIMIENTOS_COMPLEMENTOS!$G$4:$G$803,E1162,MOVIMIENTOS_COMPLEMENTOS!$H$4:$H$803,G1162,MOVIMIENTOS_COMPLEMENTOS!$B$4:$B$803,"INGRESO")+SUMIFS(MOVIMIENTOS_COMPLEMENTOS!$I$4:$I$803,MOVIMIENTOS_COMPLEMENTOS!$C$4:$C$803,A1162,MOVIMIENTOS_COMPLEMENTOS!$D$4:$D$803,B1162,MOVIMIENTOS_COMPLEMENTOS!$E$4:$E$803,C1162,MOVIMIENTOS_COMPLEMENTOS!$G$4:$G$803,E1162,MOVIMIENTOS_COMPLEMENTOS!$H$4:$H$803,G1162,MOVIMIENTOS_COMPLEMENTOS!$B$4:$B$803,"DE CORTE")-SUMIFS(MOVIMIENTOS_COMPLEMENTOS!$I$4:$I$803,MOVIMIENTOS_COMPLEMENTOS!$C$4:$C$803,A1162,MOVIMIENTOS_COMPLEMENTOS!$D$4:$D$803,B1162,MOVIMIENTOS_COMPLEMENTOS!$E$4:$E$803,C1162,MOVIMIENTOS_COMPLEMENTOS!$G$4:$G$803,E1162,MOVIMIENTOS_COMPLEMENTOS!$H$4:$H$803,G1162,MOVIMIENTOS_COMPLEMENTOS!$B$4:$B$803,"SALIDA"),0)</f>
        <v>0</v>
      </c>
      <c r="I1162" s="102">
        <f t="array" ref="I1162">IFERROR(INDEX(PRECIOS_COMPLEMENTOS!$C$4:$F$17,MATCH(B1162&amp;"_"&amp;C1162,PRECIOS_COMPLEMENTOS!$H$4:$H$17,0),IF(OR(G1162="S",G1162="20cm"),1,IF(OR(G1162="M",G1162="25cm"),2,IF(OR(G1162="L",G1162="30cm"),3,IF(OR(G1162="XL",G1162="35cm"),4,0))))),0)</f>
        <v>0.4</v>
      </c>
      <c r="J1162" s="103">
        <f t="shared" si="1"/>
        <v>0</v>
      </c>
      <c r="K1162" s="104" t="str">
        <f>IF(H1162&lt;0,"ERROR",IF(H1162=0,"",IF(H1162&lt;CONFIG!$B$4,"CRÍTICO",IF(H1162&lt;CONFIG!$B$5,"BAJO","OK"))))</f>
        <v/>
      </c>
    </row>
    <row r="1163" ht="15.75" hidden="1" customHeight="1">
      <c r="A1163" s="90" t="str">
        <f>IF(CLIENTES!A9="","",CLIENTES!A9)</f>
        <v/>
      </c>
      <c r="B1163" s="90" t="s">
        <v>321</v>
      </c>
      <c r="C1163" s="91" t="s">
        <v>328</v>
      </c>
      <c r="D1163" s="109" t="s">
        <v>353</v>
      </c>
      <c r="E1163" s="67" t="str">
        <f>COLORES!A13</f>
        <v>Camote</v>
      </c>
      <c r="F1163" s="67" t="str">
        <f>COLORES!B13</f>
        <v>CLARO</v>
      </c>
      <c r="G1163" s="90" t="s">
        <v>379</v>
      </c>
      <c r="H1163" s="100">
        <f>IFERROR(SUMIFS(MOVIMIENTOS_COMPLEMENTOS!$I$4:$I$803,MOVIMIENTOS_COMPLEMENTOS!$C$4:$C$803,A1163,MOVIMIENTOS_COMPLEMENTOS!$D$4:$D$803,B1163,MOVIMIENTOS_COMPLEMENTOS!$E$4:$E$803,C1163,MOVIMIENTOS_COMPLEMENTOS!$G$4:$G$803,E1163,MOVIMIENTOS_COMPLEMENTOS!$H$4:$H$803,G1163,MOVIMIENTOS_COMPLEMENTOS!$B$4:$B$803,"INGRESO")+SUMIFS(MOVIMIENTOS_COMPLEMENTOS!$I$4:$I$803,MOVIMIENTOS_COMPLEMENTOS!$C$4:$C$803,A1163,MOVIMIENTOS_COMPLEMENTOS!$D$4:$D$803,B1163,MOVIMIENTOS_COMPLEMENTOS!$E$4:$E$803,C1163,MOVIMIENTOS_COMPLEMENTOS!$G$4:$G$803,E1163,MOVIMIENTOS_COMPLEMENTOS!$H$4:$H$803,G1163,MOVIMIENTOS_COMPLEMENTOS!$B$4:$B$803,"DE CORTE")-SUMIFS(MOVIMIENTOS_COMPLEMENTOS!$I$4:$I$803,MOVIMIENTOS_COMPLEMENTOS!$C$4:$C$803,A1163,MOVIMIENTOS_COMPLEMENTOS!$D$4:$D$803,B1163,MOVIMIENTOS_COMPLEMENTOS!$E$4:$E$803,C1163,MOVIMIENTOS_COMPLEMENTOS!$G$4:$G$803,E1163,MOVIMIENTOS_COMPLEMENTOS!$H$4:$H$803,G1163,MOVIMIENTOS_COMPLEMENTOS!$B$4:$B$803,"SALIDA"),0)</f>
        <v>0</v>
      </c>
      <c r="I1163" s="102">
        <f t="array" ref="I1163">IFERROR(INDEX(PRECIOS_COMPLEMENTOS!$C$4:$F$17,MATCH(B1163&amp;"_"&amp;C1163,PRECIOS_COMPLEMENTOS!$H$4:$H$17,0),IF(OR(G1163="S",G1163="20cm"),1,IF(OR(G1163="M",G1163="25cm"),2,IF(OR(G1163="L",G1163="30cm"),3,IF(OR(G1163="XL",G1163="35cm"),4,0))))),0)</f>
        <v>0.4</v>
      </c>
      <c r="J1163" s="103">
        <f t="shared" si="1"/>
        <v>0</v>
      </c>
      <c r="K1163" s="104" t="str">
        <f>IF(H1163&lt;0,"ERROR",IF(H1163=0,"",IF(H1163&lt;CONFIG!$B$4,"CRÍTICO",IF(H1163&lt;CONFIG!$B$5,"BAJO","OK"))))</f>
        <v/>
      </c>
    </row>
    <row r="1164" ht="15.75" hidden="1" customHeight="1">
      <c r="A1164" s="90" t="str">
        <f>IF(CLIENTES!A9="","",CLIENTES!A9)</f>
        <v/>
      </c>
      <c r="B1164" s="90" t="s">
        <v>321</v>
      </c>
      <c r="C1164" s="91" t="s">
        <v>328</v>
      </c>
      <c r="D1164" s="109" t="s">
        <v>353</v>
      </c>
      <c r="E1164" s="67" t="str">
        <f>COLORES!A14</f>
        <v>Denim</v>
      </c>
      <c r="F1164" s="67" t="str">
        <f>COLORES!B14</f>
        <v>CLARO</v>
      </c>
      <c r="G1164" s="90" t="s">
        <v>378</v>
      </c>
      <c r="H1164" s="100">
        <f>IFERROR(SUMIFS(MOVIMIENTOS_COMPLEMENTOS!$I$4:$I$803,MOVIMIENTOS_COMPLEMENTOS!$C$4:$C$803,A1164,MOVIMIENTOS_COMPLEMENTOS!$D$4:$D$803,B1164,MOVIMIENTOS_COMPLEMENTOS!$E$4:$E$803,C1164,MOVIMIENTOS_COMPLEMENTOS!$G$4:$G$803,E1164,MOVIMIENTOS_COMPLEMENTOS!$H$4:$H$803,G1164,MOVIMIENTOS_COMPLEMENTOS!$B$4:$B$803,"INGRESO")+SUMIFS(MOVIMIENTOS_COMPLEMENTOS!$I$4:$I$803,MOVIMIENTOS_COMPLEMENTOS!$C$4:$C$803,A1164,MOVIMIENTOS_COMPLEMENTOS!$D$4:$D$803,B1164,MOVIMIENTOS_COMPLEMENTOS!$E$4:$E$803,C1164,MOVIMIENTOS_COMPLEMENTOS!$G$4:$G$803,E1164,MOVIMIENTOS_COMPLEMENTOS!$H$4:$H$803,G1164,MOVIMIENTOS_COMPLEMENTOS!$B$4:$B$803,"DE CORTE")-SUMIFS(MOVIMIENTOS_COMPLEMENTOS!$I$4:$I$803,MOVIMIENTOS_COMPLEMENTOS!$C$4:$C$803,A1164,MOVIMIENTOS_COMPLEMENTOS!$D$4:$D$803,B1164,MOVIMIENTOS_COMPLEMENTOS!$E$4:$E$803,C1164,MOVIMIENTOS_COMPLEMENTOS!$G$4:$G$803,E1164,MOVIMIENTOS_COMPLEMENTOS!$H$4:$H$803,G1164,MOVIMIENTOS_COMPLEMENTOS!$B$4:$B$803,"SALIDA"),0)</f>
        <v>0</v>
      </c>
      <c r="I1164" s="102">
        <f t="array" ref="I1164">IFERROR(INDEX(PRECIOS_COMPLEMENTOS!$C$4:$F$17,MATCH(B1164&amp;"_"&amp;C1164,PRECIOS_COMPLEMENTOS!$H$4:$H$17,0),IF(OR(G1164="S",G1164="20cm"),1,IF(OR(G1164="M",G1164="25cm"),2,IF(OR(G1164="L",G1164="30cm"),3,IF(OR(G1164="XL",G1164="35cm"),4,0))))),0)</f>
        <v>0.4</v>
      </c>
      <c r="J1164" s="103">
        <f t="shared" si="1"/>
        <v>0</v>
      </c>
      <c r="K1164" s="104" t="str">
        <f>IF(H1164&lt;0,"ERROR",IF(H1164=0,"",IF(H1164&lt;CONFIG!$B$4,"CRÍTICO",IF(H1164&lt;CONFIG!$B$5,"BAJO","OK"))))</f>
        <v/>
      </c>
    </row>
    <row r="1165" ht="15.75" hidden="1" customHeight="1">
      <c r="A1165" s="90" t="str">
        <f>IF(CLIENTES!A9="","",CLIENTES!A9)</f>
        <v/>
      </c>
      <c r="B1165" s="90" t="s">
        <v>321</v>
      </c>
      <c r="C1165" s="91" t="s">
        <v>328</v>
      </c>
      <c r="D1165" s="109" t="s">
        <v>353</v>
      </c>
      <c r="E1165" s="67" t="str">
        <f>COLORES!A14</f>
        <v>Denim</v>
      </c>
      <c r="F1165" s="67" t="str">
        <f>COLORES!B14</f>
        <v>CLARO</v>
      </c>
      <c r="G1165" s="90" t="s">
        <v>376</v>
      </c>
      <c r="H1165" s="100">
        <f>IFERROR(SUMIFS(MOVIMIENTOS_COMPLEMENTOS!$I$4:$I$803,MOVIMIENTOS_COMPLEMENTOS!$C$4:$C$803,A1165,MOVIMIENTOS_COMPLEMENTOS!$D$4:$D$803,B1165,MOVIMIENTOS_COMPLEMENTOS!$E$4:$E$803,C1165,MOVIMIENTOS_COMPLEMENTOS!$G$4:$G$803,E1165,MOVIMIENTOS_COMPLEMENTOS!$H$4:$H$803,G1165,MOVIMIENTOS_COMPLEMENTOS!$B$4:$B$803,"INGRESO")+SUMIFS(MOVIMIENTOS_COMPLEMENTOS!$I$4:$I$803,MOVIMIENTOS_COMPLEMENTOS!$C$4:$C$803,A1165,MOVIMIENTOS_COMPLEMENTOS!$D$4:$D$803,B1165,MOVIMIENTOS_COMPLEMENTOS!$E$4:$E$803,C1165,MOVIMIENTOS_COMPLEMENTOS!$G$4:$G$803,E1165,MOVIMIENTOS_COMPLEMENTOS!$H$4:$H$803,G1165,MOVIMIENTOS_COMPLEMENTOS!$B$4:$B$803,"DE CORTE")-SUMIFS(MOVIMIENTOS_COMPLEMENTOS!$I$4:$I$803,MOVIMIENTOS_COMPLEMENTOS!$C$4:$C$803,A1165,MOVIMIENTOS_COMPLEMENTOS!$D$4:$D$803,B1165,MOVIMIENTOS_COMPLEMENTOS!$E$4:$E$803,C1165,MOVIMIENTOS_COMPLEMENTOS!$G$4:$G$803,E1165,MOVIMIENTOS_COMPLEMENTOS!$H$4:$H$803,G1165,MOVIMIENTOS_COMPLEMENTOS!$B$4:$B$803,"SALIDA"),0)</f>
        <v>0</v>
      </c>
      <c r="I1165" s="102">
        <f t="array" ref="I1165">IFERROR(INDEX(PRECIOS_COMPLEMENTOS!$C$4:$F$17,MATCH(B1165&amp;"_"&amp;C1165,PRECIOS_COMPLEMENTOS!$H$4:$H$17,0),IF(OR(G1165="S",G1165="20cm"),1,IF(OR(G1165="M",G1165="25cm"),2,IF(OR(G1165="L",G1165="30cm"),3,IF(OR(G1165="XL",G1165="35cm"),4,0))))),0)</f>
        <v>0.4</v>
      </c>
      <c r="J1165" s="103">
        <f t="shared" si="1"/>
        <v>0</v>
      </c>
      <c r="K1165" s="104" t="str">
        <f>IF(H1165&lt;0,"ERROR",IF(H1165=0,"",IF(H1165&lt;CONFIG!$B$4,"CRÍTICO",IF(H1165&lt;CONFIG!$B$5,"BAJO","OK"))))</f>
        <v/>
      </c>
    </row>
    <row r="1166" ht="15.75" hidden="1" customHeight="1">
      <c r="A1166" s="90" t="str">
        <f>IF(CLIENTES!A9="","",CLIENTES!A9)</f>
        <v/>
      </c>
      <c r="B1166" s="90" t="s">
        <v>321</v>
      </c>
      <c r="C1166" s="91" t="s">
        <v>328</v>
      </c>
      <c r="D1166" s="109" t="s">
        <v>353</v>
      </c>
      <c r="E1166" s="67" t="str">
        <f>COLORES!A14</f>
        <v>Denim</v>
      </c>
      <c r="F1166" s="67" t="str">
        <f>COLORES!B14</f>
        <v>CLARO</v>
      </c>
      <c r="G1166" s="90" t="s">
        <v>377</v>
      </c>
      <c r="H1166" s="100">
        <f>IFERROR(SUMIFS(MOVIMIENTOS_COMPLEMENTOS!$I$4:$I$803,MOVIMIENTOS_COMPLEMENTOS!$C$4:$C$803,A1166,MOVIMIENTOS_COMPLEMENTOS!$D$4:$D$803,B1166,MOVIMIENTOS_COMPLEMENTOS!$E$4:$E$803,C1166,MOVIMIENTOS_COMPLEMENTOS!$G$4:$G$803,E1166,MOVIMIENTOS_COMPLEMENTOS!$H$4:$H$803,G1166,MOVIMIENTOS_COMPLEMENTOS!$B$4:$B$803,"INGRESO")+SUMIFS(MOVIMIENTOS_COMPLEMENTOS!$I$4:$I$803,MOVIMIENTOS_COMPLEMENTOS!$C$4:$C$803,A1166,MOVIMIENTOS_COMPLEMENTOS!$D$4:$D$803,B1166,MOVIMIENTOS_COMPLEMENTOS!$E$4:$E$803,C1166,MOVIMIENTOS_COMPLEMENTOS!$G$4:$G$803,E1166,MOVIMIENTOS_COMPLEMENTOS!$H$4:$H$803,G1166,MOVIMIENTOS_COMPLEMENTOS!$B$4:$B$803,"DE CORTE")-SUMIFS(MOVIMIENTOS_COMPLEMENTOS!$I$4:$I$803,MOVIMIENTOS_COMPLEMENTOS!$C$4:$C$803,A1166,MOVIMIENTOS_COMPLEMENTOS!$D$4:$D$803,B1166,MOVIMIENTOS_COMPLEMENTOS!$E$4:$E$803,C1166,MOVIMIENTOS_COMPLEMENTOS!$G$4:$G$803,E1166,MOVIMIENTOS_COMPLEMENTOS!$H$4:$H$803,G1166,MOVIMIENTOS_COMPLEMENTOS!$B$4:$B$803,"SALIDA"),0)</f>
        <v>0</v>
      </c>
      <c r="I1166" s="102">
        <f t="array" ref="I1166">IFERROR(INDEX(PRECIOS_COMPLEMENTOS!$C$4:$F$17,MATCH(B1166&amp;"_"&amp;C1166,PRECIOS_COMPLEMENTOS!$H$4:$H$17,0),IF(OR(G1166="S",G1166="20cm"),1,IF(OR(G1166="M",G1166="25cm"),2,IF(OR(G1166="L",G1166="30cm"),3,IF(OR(G1166="XL",G1166="35cm"),4,0))))),0)</f>
        <v>0.4</v>
      </c>
      <c r="J1166" s="103">
        <f t="shared" si="1"/>
        <v>0</v>
      </c>
      <c r="K1166" s="104" t="str">
        <f>IF(H1166&lt;0,"ERROR",IF(H1166=0,"",IF(H1166&lt;CONFIG!$B$4,"CRÍTICO",IF(H1166&lt;CONFIG!$B$5,"BAJO","OK"))))</f>
        <v/>
      </c>
    </row>
    <row r="1167" ht="15.75" hidden="1" customHeight="1">
      <c r="A1167" s="90" t="str">
        <f>IF(CLIENTES!A9="","",CLIENTES!A9)</f>
        <v/>
      </c>
      <c r="B1167" s="90" t="s">
        <v>321</v>
      </c>
      <c r="C1167" s="91" t="s">
        <v>328</v>
      </c>
      <c r="D1167" s="109" t="s">
        <v>353</v>
      </c>
      <c r="E1167" s="67" t="str">
        <f>COLORES!A14</f>
        <v>Denim</v>
      </c>
      <c r="F1167" s="67" t="str">
        <f>COLORES!B14</f>
        <v>CLARO</v>
      </c>
      <c r="G1167" s="90" t="s">
        <v>379</v>
      </c>
      <c r="H1167" s="100">
        <f>IFERROR(SUMIFS(MOVIMIENTOS_COMPLEMENTOS!$I$4:$I$803,MOVIMIENTOS_COMPLEMENTOS!$C$4:$C$803,A1167,MOVIMIENTOS_COMPLEMENTOS!$D$4:$D$803,B1167,MOVIMIENTOS_COMPLEMENTOS!$E$4:$E$803,C1167,MOVIMIENTOS_COMPLEMENTOS!$G$4:$G$803,E1167,MOVIMIENTOS_COMPLEMENTOS!$H$4:$H$803,G1167,MOVIMIENTOS_COMPLEMENTOS!$B$4:$B$803,"INGRESO")+SUMIFS(MOVIMIENTOS_COMPLEMENTOS!$I$4:$I$803,MOVIMIENTOS_COMPLEMENTOS!$C$4:$C$803,A1167,MOVIMIENTOS_COMPLEMENTOS!$D$4:$D$803,B1167,MOVIMIENTOS_COMPLEMENTOS!$E$4:$E$803,C1167,MOVIMIENTOS_COMPLEMENTOS!$G$4:$G$803,E1167,MOVIMIENTOS_COMPLEMENTOS!$H$4:$H$803,G1167,MOVIMIENTOS_COMPLEMENTOS!$B$4:$B$803,"DE CORTE")-SUMIFS(MOVIMIENTOS_COMPLEMENTOS!$I$4:$I$803,MOVIMIENTOS_COMPLEMENTOS!$C$4:$C$803,A1167,MOVIMIENTOS_COMPLEMENTOS!$D$4:$D$803,B1167,MOVIMIENTOS_COMPLEMENTOS!$E$4:$E$803,C1167,MOVIMIENTOS_COMPLEMENTOS!$G$4:$G$803,E1167,MOVIMIENTOS_COMPLEMENTOS!$H$4:$H$803,G1167,MOVIMIENTOS_COMPLEMENTOS!$B$4:$B$803,"SALIDA"),0)</f>
        <v>0</v>
      </c>
      <c r="I1167" s="102">
        <f t="array" ref="I1167">IFERROR(INDEX(PRECIOS_COMPLEMENTOS!$C$4:$F$17,MATCH(B1167&amp;"_"&amp;C1167,PRECIOS_COMPLEMENTOS!$H$4:$H$17,0),IF(OR(G1167="S",G1167="20cm"),1,IF(OR(G1167="M",G1167="25cm"),2,IF(OR(G1167="L",G1167="30cm"),3,IF(OR(G1167="XL",G1167="35cm"),4,0))))),0)</f>
        <v>0.4</v>
      </c>
      <c r="J1167" s="103">
        <f t="shared" si="1"/>
        <v>0</v>
      </c>
      <c r="K1167" s="104" t="str">
        <f>IF(H1167&lt;0,"ERROR",IF(H1167=0,"",IF(H1167&lt;CONFIG!$B$4,"CRÍTICO",IF(H1167&lt;CONFIG!$B$5,"BAJO","OK"))))</f>
        <v/>
      </c>
    </row>
    <row r="1168" ht="15.75" hidden="1" customHeight="1">
      <c r="A1168" s="90" t="str">
        <f>IF(CLIENTES!A9="","",CLIENTES!A9)</f>
        <v/>
      </c>
      <c r="B1168" s="90" t="s">
        <v>321</v>
      </c>
      <c r="C1168" s="91" t="s">
        <v>328</v>
      </c>
      <c r="D1168" s="109" t="s">
        <v>353</v>
      </c>
      <c r="E1168" s="67" t="str">
        <f>COLORES!A15</f>
        <v>Plomo</v>
      </c>
      <c r="F1168" s="67" t="str">
        <f>COLORES!B15</f>
        <v>OSCURO</v>
      </c>
      <c r="G1168" s="90" t="s">
        <v>378</v>
      </c>
      <c r="H1168" s="100">
        <f>IFERROR(SUMIFS(MOVIMIENTOS_COMPLEMENTOS!$I$4:$I$803,MOVIMIENTOS_COMPLEMENTOS!$C$4:$C$803,A1168,MOVIMIENTOS_COMPLEMENTOS!$D$4:$D$803,B1168,MOVIMIENTOS_COMPLEMENTOS!$E$4:$E$803,C1168,MOVIMIENTOS_COMPLEMENTOS!$G$4:$G$803,E1168,MOVIMIENTOS_COMPLEMENTOS!$H$4:$H$803,G1168,MOVIMIENTOS_COMPLEMENTOS!$B$4:$B$803,"INGRESO")+SUMIFS(MOVIMIENTOS_COMPLEMENTOS!$I$4:$I$803,MOVIMIENTOS_COMPLEMENTOS!$C$4:$C$803,A1168,MOVIMIENTOS_COMPLEMENTOS!$D$4:$D$803,B1168,MOVIMIENTOS_COMPLEMENTOS!$E$4:$E$803,C1168,MOVIMIENTOS_COMPLEMENTOS!$G$4:$G$803,E1168,MOVIMIENTOS_COMPLEMENTOS!$H$4:$H$803,G1168,MOVIMIENTOS_COMPLEMENTOS!$B$4:$B$803,"DE CORTE")-SUMIFS(MOVIMIENTOS_COMPLEMENTOS!$I$4:$I$803,MOVIMIENTOS_COMPLEMENTOS!$C$4:$C$803,A1168,MOVIMIENTOS_COMPLEMENTOS!$D$4:$D$803,B1168,MOVIMIENTOS_COMPLEMENTOS!$E$4:$E$803,C1168,MOVIMIENTOS_COMPLEMENTOS!$G$4:$G$803,E1168,MOVIMIENTOS_COMPLEMENTOS!$H$4:$H$803,G1168,MOVIMIENTOS_COMPLEMENTOS!$B$4:$B$803,"SALIDA"),0)</f>
        <v>0</v>
      </c>
      <c r="I1168" s="102">
        <f t="array" ref="I1168">IFERROR(INDEX(PRECIOS_COMPLEMENTOS!$C$4:$F$17,MATCH(B1168&amp;"_"&amp;C1168,PRECIOS_COMPLEMENTOS!$H$4:$H$17,0),IF(OR(G1168="S",G1168="20cm"),1,IF(OR(G1168="M",G1168="25cm"),2,IF(OR(G1168="L",G1168="30cm"),3,IF(OR(G1168="XL",G1168="35cm"),4,0))))),0)</f>
        <v>0.4</v>
      </c>
      <c r="J1168" s="103">
        <f t="shared" si="1"/>
        <v>0</v>
      </c>
      <c r="K1168" s="104" t="str">
        <f>IF(H1168&lt;0,"ERROR",IF(H1168=0,"",IF(H1168&lt;CONFIG!$B$4,"CRÍTICO",IF(H1168&lt;CONFIG!$B$5,"BAJO","OK"))))</f>
        <v/>
      </c>
    </row>
    <row r="1169" ht="15.75" hidden="1" customHeight="1">
      <c r="A1169" s="90" t="str">
        <f>IF(CLIENTES!A9="","",CLIENTES!A9)</f>
        <v/>
      </c>
      <c r="B1169" s="90" t="s">
        <v>321</v>
      </c>
      <c r="C1169" s="91" t="s">
        <v>328</v>
      </c>
      <c r="D1169" s="109" t="s">
        <v>353</v>
      </c>
      <c r="E1169" s="67" t="str">
        <f>COLORES!A15</f>
        <v>Plomo</v>
      </c>
      <c r="F1169" s="67" t="str">
        <f>COLORES!B15</f>
        <v>OSCURO</v>
      </c>
      <c r="G1169" s="90" t="s">
        <v>376</v>
      </c>
      <c r="H1169" s="100">
        <f>IFERROR(SUMIFS(MOVIMIENTOS_COMPLEMENTOS!$I$4:$I$803,MOVIMIENTOS_COMPLEMENTOS!$C$4:$C$803,A1169,MOVIMIENTOS_COMPLEMENTOS!$D$4:$D$803,B1169,MOVIMIENTOS_COMPLEMENTOS!$E$4:$E$803,C1169,MOVIMIENTOS_COMPLEMENTOS!$G$4:$G$803,E1169,MOVIMIENTOS_COMPLEMENTOS!$H$4:$H$803,G1169,MOVIMIENTOS_COMPLEMENTOS!$B$4:$B$803,"INGRESO")+SUMIFS(MOVIMIENTOS_COMPLEMENTOS!$I$4:$I$803,MOVIMIENTOS_COMPLEMENTOS!$C$4:$C$803,A1169,MOVIMIENTOS_COMPLEMENTOS!$D$4:$D$803,B1169,MOVIMIENTOS_COMPLEMENTOS!$E$4:$E$803,C1169,MOVIMIENTOS_COMPLEMENTOS!$G$4:$G$803,E1169,MOVIMIENTOS_COMPLEMENTOS!$H$4:$H$803,G1169,MOVIMIENTOS_COMPLEMENTOS!$B$4:$B$803,"DE CORTE")-SUMIFS(MOVIMIENTOS_COMPLEMENTOS!$I$4:$I$803,MOVIMIENTOS_COMPLEMENTOS!$C$4:$C$803,A1169,MOVIMIENTOS_COMPLEMENTOS!$D$4:$D$803,B1169,MOVIMIENTOS_COMPLEMENTOS!$E$4:$E$803,C1169,MOVIMIENTOS_COMPLEMENTOS!$G$4:$G$803,E1169,MOVIMIENTOS_COMPLEMENTOS!$H$4:$H$803,G1169,MOVIMIENTOS_COMPLEMENTOS!$B$4:$B$803,"SALIDA"),0)</f>
        <v>0</v>
      </c>
      <c r="I1169" s="102">
        <f t="array" ref="I1169">IFERROR(INDEX(PRECIOS_COMPLEMENTOS!$C$4:$F$17,MATCH(B1169&amp;"_"&amp;C1169,PRECIOS_COMPLEMENTOS!$H$4:$H$17,0),IF(OR(G1169="S",G1169="20cm"),1,IF(OR(G1169="M",G1169="25cm"),2,IF(OR(G1169="L",G1169="30cm"),3,IF(OR(G1169="XL",G1169="35cm"),4,0))))),0)</f>
        <v>0.4</v>
      </c>
      <c r="J1169" s="103">
        <f t="shared" si="1"/>
        <v>0</v>
      </c>
      <c r="K1169" s="104" t="str">
        <f>IF(H1169&lt;0,"ERROR",IF(H1169=0,"",IF(H1169&lt;CONFIG!$B$4,"CRÍTICO",IF(H1169&lt;CONFIG!$B$5,"BAJO","OK"))))</f>
        <v/>
      </c>
    </row>
    <row r="1170" ht="15.75" hidden="1" customHeight="1">
      <c r="A1170" s="90" t="str">
        <f>IF(CLIENTES!A9="","",CLIENTES!A9)</f>
        <v/>
      </c>
      <c r="B1170" s="90" t="s">
        <v>321</v>
      </c>
      <c r="C1170" s="91" t="s">
        <v>328</v>
      </c>
      <c r="D1170" s="109" t="s">
        <v>353</v>
      </c>
      <c r="E1170" s="67" t="str">
        <f>COLORES!A15</f>
        <v>Plomo</v>
      </c>
      <c r="F1170" s="67" t="str">
        <f>COLORES!B15</f>
        <v>OSCURO</v>
      </c>
      <c r="G1170" s="90" t="s">
        <v>377</v>
      </c>
      <c r="H1170" s="100">
        <f>IFERROR(SUMIFS(MOVIMIENTOS_COMPLEMENTOS!$I$4:$I$803,MOVIMIENTOS_COMPLEMENTOS!$C$4:$C$803,A1170,MOVIMIENTOS_COMPLEMENTOS!$D$4:$D$803,B1170,MOVIMIENTOS_COMPLEMENTOS!$E$4:$E$803,C1170,MOVIMIENTOS_COMPLEMENTOS!$G$4:$G$803,E1170,MOVIMIENTOS_COMPLEMENTOS!$H$4:$H$803,G1170,MOVIMIENTOS_COMPLEMENTOS!$B$4:$B$803,"INGRESO")+SUMIFS(MOVIMIENTOS_COMPLEMENTOS!$I$4:$I$803,MOVIMIENTOS_COMPLEMENTOS!$C$4:$C$803,A1170,MOVIMIENTOS_COMPLEMENTOS!$D$4:$D$803,B1170,MOVIMIENTOS_COMPLEMENTOS!$E$4:$E$803,C1170,MOVIMIENTOS_COMPLEMENTOS!$G$4:$G$803,E1170,MOVIMIENTOS_COMPLEMENTOS!$H$4:$H$803,G1170,MOVIMIENTOS_COMPLEMENTOS!$B$4:$B$803,"DE CORTE")-SUMIFS(MOVIMIENTOS_COMPLEMENTOS!$I$4:$I$803,MOVIMIENTOS_COMPLEMENTOS!$C$4:$C$803,A1170,MOVIMIENTOS_COMPLEMENTOS!$D$4:$D$803,B1170,MOVIMIENTOS_COMPLEMENTOS!$E$4:$E$803,C1170,MOVIMIENTOS_COMPLEMENTOS!$G$4:$G$803,E1170,MOVIMIENTOS_COMPLEMENTOS!$H$4:$H$803,G1170,MOVIMIENTOS_COMPLEMENTOS!$B$4:$B$803,"SALIDA"),0)</f>
        <v>0</v>
      </c>
      <c r="I1170" s="102">
        <f t="array" ref="I1170">IFERROR(INDEX(PRECIOS_COMPLEMENTOS!$C$4:$F$17,MATCH(B1170&amp;"_"&amp;C1170,PRECIOS_COMPLEMENTOS!$H$4:$H$17,0),IF(OR(G1170="S",G1170="20cm"),1,IF(OR(G1170="M",G1170="25cm"),2,IF(OR(G1170="L",G1170="30cm"),3,IF(OR(G1170="XL",G1170="35cm"),4,0))))),0)</f>
        <v>0.4</v>
      </c>
      <c r="J1170" s="103">
        <f t="shared" si="1"/>
        <v>0</v>
      </c>
      <c r="K1170" s="104" t="str">
        <f>IF(H1170&lt;0,"ERROR",IF(H1170=0,"",IF(H1170&lt;CONFIG!$B$4,"CRÍTICO",IF(H1170&lt;CONFIG!$B$5,"BAJO","OK"))))</f>
        <v/>
      </c>
    </row>
    <row r="1171" ht="15.75" hidden="1" customHeight="1">
      <c r="A1171" s="90" t="str">
        <f>IF(CLIENTES!A9="","",CLIENTES!A9)</f>
        <v/>
      </c>
      <c r="B1171" s="90" t="s">
        <v>321</v>
      </c>
      <c r="C1171" s="91" t="s">
        <v>328</v>
      </c>
      <c r="D1171" s="109" t="s">
        <v>353</v>
      </c>
      <c r="E1171" s="67" t="str">
        <f>COLORES!A15</f>
        <v>Plomo</v>
      </c>
      <c r="F1171" s="67" t="str">
        <f>COLORES!B15</f>
        <v>OSCURO</v>
      </c>
      <c r="G1171" s="90" t="s">
        <v>379</v>
      </c>
      <c r="H1171" s="100">
        <f>IFERROR(SUMIFS(MOVIMIENTOS_COMPLEMENTOS!$I$4:$I$803,MOVIMIENTOS_COMPLEMENTOS!$C$4:$C$803,A1171,MOVIMIENTOS_COMPLEMENTOS!$D$4:$D$803,B1171,MOVIMIENTOS_COMPLEMENTOS!$E$4:$E$803,C1171,MOVIMIENTOS_COMPLEMENTOS!$G$4:$G$803,E1171,MOVIMIENTOS_COMPLEMENTOS!$H$4:$H$803,G1171,MOVIMIENTOS_COMPLEMENTOS!$B$4:$B$803,"INGRESO")+SUMIFS(MOVIMIENTOS_COMPLEMENTOS!$I$4:$I$803,MOVIMIENTOS_COMPLEMENTOS!$C$4:$C$803,A1171,MOVIMIENTOS_COMPLEMENTOS!$D$4:$D$803,B1171,MOVIMIENTOS_COMPLEMENTOS!$E$4:$E$803,C1171,MOVIMIENTOS_COMPLEMENTOS!$G$4:$G$803,E1171,MOVIMIENTOS_COMPLEMENTOS!$H$4:$H$803,G1171,MOVIMIENTOS_COMPLEMENTOS!$B$4:$B$803,"DE CORTE")-SUMIFS(MOVIMIENTOS_COMPLEMENTOS!$I$4:$I$803,MOVIMIENTOS_COMPLEMENTOS!$C$4:$C$803,A1171,MOVIMIENTOS_COMPLEMENTOS!$D$4:$D$803,B1171,MOVIMIENTOS_COMPLEMENTOS!$E$4:$E$803,C1171,MOVIMIENTOS_COMPLEMENTOS!$G$4:$G$803,E1171,MOVIMIENTOS_COMPLEMENTOS!$H$4:$H$803,G1171,MOVIMIENTOS_COMPLEMENTOS!$B$4:$B$803,"SALIDA"),0)</f>
        <v>0</v>
      </c>
      <c r="I1171" s="102">
        <f t="array" ref="I1171">IFERROR(INDEX(PRECIOS_COMPLEMENTOS!$C$4:$F$17,MATCH(B1171&amp;"_"&amp;C1171,PRECIOS_COMPLEMENTOS!$H$4:$H$17,0),IF(OR(G1171="S",G1171="20cm"),1,IF(OR(G1171="M",G1171="25cm"),2,IF(OR(G1171="L",G1171="30cm"),3,IF(OR(G1171="XL",G1171="35cm"),4,0))))),0)</f>
        <v>0.4</v>
      </c>
      <c r="J1171" s="103">
        <f t="shared" si="1"/>
        <v>0</v>
      </c>
      <c r="K1171" s="104" t="str">
        <f>IF(H1171&lt;0,"ERROR",IF(H1171=0,"",IF(H1171&lt;CONFIG!$B$4,"CRÍTICO",IF(H1171&lt;CONFIG!$B$5,"BAJO","OK"))))</f>
        <v/>
      </c>
    </row>
    <row r="1172" ht="15.75" hidden="1" customHeight="1">
      <c r="A1172" s="90" t="str">
        <f>IF(CLIENTES!A9="","",CLIENTES!A9)</f>
        <v/>
      </c>
      <c r="B1172" s="90" t="s">
        <v>321</v>
      </c>
      <c r="C1172" s="91" t="s">
        <v>328</v>
      </c>
      <c r="D1172" s="109" t="s">
        <v>353</v>
      </c>
      <c r="E1172" s="67" t="str">
        <f>COLORES!A16</f>
        <v>Topo</v>
      </c>
      <c r="F1172" s="67" t="str">
        <f>COLORES!B16</f>
        <v>CLARO</v>
      </c>
      <c r="G1172" s="90" t="s">
        <v>378</v>
      </c>
      <c r="H1172" s="100">
        <f>IFERROR(SUMIFS(MOVIMIENTOS_COMPLEMENTOS!$I$4:$I$803,MOVIMIENTOS_COMPLEMENTOS!$C$4:$C$803,A1172,MOVIMIENTOS_COMPLEMENTOS!$D$4:$D$803,B1172,MOVIMIENTOS_COMPLEMENTOS!$E$4:$E$803,C1172,MOVIMIENTOS_COMPLEMENTOS!$G$4:$G$803,E1172,MOVIMIENTOS_COMPLEMENTOS!$H$4:$H$803,G1172,MOVIMIENTOS_COMPLEMENTOS!$B$4:$B$803,"INGRESO")+SUMIFS(MOVIMIENTOS_COMPLEMENTOS!$I$4:$I$803,MOVIMIENTOS_COMPLEMENTOS!$C$4:$C$803,A1172,MOVIMIENTOS_COMPLEMENTOS!$D$4:$D$803,B1172,MOVIMIENTOS_COMPLEMENTOS!$E$4:$E$803,C1172,MOVIMIENTOS_COMPLEMENTOS!$G$4:$G$803,E1172,MOVIMIENTOS_COMPLEMENTOS!$H$4:$H$803,G1172,MOVIMIENTOS_COMPLEMENTOS!$B$4:$B$803,"DE CORTE")-SUMIFS(MOVIMIENTOS_COMPLEMENTOS!$I$4:$I$803,MOVIMIENTOS_COMPLEMENTOS!$C$4:$C$803,A1172,MOVIMIENTOS_COMPLEMENTOS!$D$4:$D$803,B1172,MOVIMIENTOS_COMPLEMENTOS!$E$4:$E$803,C1172,MOVIMIENTOS_COMPLEMENTOS!$G$4:$G$803,E1172,MOVIMIENTOS_COMPLEMENTOS!$H$4:$H$803,G1172,MOVIMIENTOS_COMPLEMENTOS!$B$4:$B$803,"SALIDA"),0)</f>
        <v>0</v>
      </c>
      <c r="I1172" s="102">
        <f t="array" ref="I1172">IFERROR(INDEX(PRECIOS_COMPLEMENTOS!$C$4:$F$17,MATCH(B1172&amp;"_"&amp;C1172,PRECIOS_COMPLEMENTOS!$H$4:$H$17,0),IF(OR(G1172="S",G1172="20cm"),1,IF(OR(G1172="M",G1172="25cm"),2,IF(OR(G1172="L",G1172="30cm"),3,IF(OR(G1172="XL",G1172="35cm"),4,0))))),0)</f>
        <v>0.4</v>
      </c>
      <c r="J1172" s="103">
        <f t="shared" si="1"/>
        <v>0</v>
      </c>
      <c r="K1172" s="104" t="str">
        <f>IF(H1172&lt;0,"ERROR",IF(H1172=0,"",IF(H1172&lt;CONFIG!$B$4,"CRÍTICO",IF(H1172&lt;CONFIG!$B$5,"BAJO","OK"))))</f>
        <v/>
      </c>
    </row>
    <row r="1173" ht="15.75" hidden="1" customHeight="1">
      <c r="A1173" s="90" t="str">
        <f>IF(CLIENTES!A9="","",CLIENTES!A9)</f>
        <v/>
      </c>
      <c r="B1173" s="90" t="s">
        <v>321</v>
      </c>
      <c r="C1173" s="91" t="s">
        <v>328</v>
      </c>
      <c r="D1173" s="109" t="s">
        <v>353</v>
      </c>
      <c r="E1173" s="67" t="str">
        <f>COLORES!A16</f>
        <v>Topo</v>
      </c>
      <c r="F1173" s="67" t="str">
        <f>COLORES!B16</f>
        <v>CLARO</v>
      </c>
      <c r="G1173" s="90" t="s">
        <v>376</v>
      </c>
      <c r="H1173" s="100">
        <f>IFERROR(SUMIFS(MOVIMIENTOS_COMPLEMENTOS!$I$4:$I$803,MOVIMIENTOS_COMPLEMENTOS!$C$4:$C$803,A1173,MOVIMIENTOS_COMPLEMENTOS!$D$4:$D$803,B1173,MOVIMIENTOS_COMPLEMENTOS!$E$4:$E$803,C1173,MOVIMIENTOS_COMPLEMENTOS!$G$4:$G$803,E1173,MOVIMIENTOS_COMPLEMENTOS!$H$4:$H$803,G1173,MOVIMIENTOS_COMPLEMENTOS!$B$4:$B$803,"INGRESO")+SUMIFS(MOVIMIENTOS_COMPLEMENTOS!$I$4:$I$803,MOVIMIENTOS_COMPLEMENTOS!$C$4:$C$803,A1173,MOVIMIENTOS_COMPLEMENTOS!$D$4:$D$803,B1173,MOVIMIENTOS_COMPLEMENTOS!$E$4:$E$803,C1173,MOVIMIENTOS_COMPLEMENTOS!$G$4:$G$803,E1173,MOVIMIENTOS_COMPLEMENTOS!$H$4:$H$803,G1173,MOVIMIENTOS_COMPLEMENTOS!$B$4:$B$803,"DE CORTE")-SUMIFS(MOVIMIENTOS_COMPLEMENTOS!$I$4:$I$803,MOVIMIENTOS_COMPLEMENTOS!$C$4:$C$803,A1173,MOVIMIENTOS_COMPLEMENTOS!$D$4:$D$803,B1173,MOVIMIENTOS_COMPLEMENTOS!$E$4:$E$803,C1173,MOVIMIENTOS_COMPLEMENTOS!$G$4:$G$803,E1173,MOVIMIENTOS_COMPLEMENTOS!$H$4:$H$803,G1173,MOVIMIENTOS_COMPLEMENTOS!$B$4:$B$803,"SALIDA"),0)</f>
        <v>0</v>
      </c>
      <c r="I1173" s="102">
        <f t="array" ref="I1173">IFERROR(INDEX(PRECIOS_COMPLEMENTOS!$C$4:$F$17,MATCH(B1173&amp;"_"&amp;C1173,PRECIOS_COMPLEMENTOS!$H$4:$H$17,0),IF(OR(G1173="S",G1173="20cm"),1,IF(OR(G1173="M",G1173="25cm"),2,IF(OR(G1173="L",G1173="30cm"),3,IF(OR(G1173="XL",G1173="35cm"),4,0))))),0)</f>
        <v>0.4</v>
      </c>
      <c r="J1173" s="103">
        <f t="shared" si="1"/>
        <v>0</v>
      </c>
      <c r="K1173" s="104" t="str">
        <f>IF(H1173&lt;0,"ERROR",IF(H1173=0,"",IF(H1173&lt;CONFIG!$B$4,"CRÍTICO",IF(H1173&lt;CONFIG!$B$5,"BAJO","OK"))))</f>
        <v/>
      </c>
    </row>
    <row r="1174" ht="15.75" hidden="1" customHeight="1">
      <c r="A1174" s="90" t="str">
        <f>IF(CLIENTES!A9="","",CLIENTES!A9)</f>
        <v/>
      </c>
      <c r="B1174" s="90" t="s">
        <v>321</v>
      </c>
      <c r="C1174" s="91" t="s">
        <v>328</v>
      </c>
      <c r="D1174" s="109" t="s">
        <v>353</v>
      </c>
      <c r="E1174" s="67" t="str">
        <f>COLORES!A16</f>
        <v>Topo</v>
      </c>
      <c r="F1174" s="67" t="str">
        <f>COLORES!B16</f>
        <v>CLARO</v>
      </c>
      <c r="G1174" s="90" t="s">
        <v>377</v>
      </c>
      <c r="H1174" s="100">
        <f>IFERROR(SUMIFS(MOVIMIENTOS_COMPLEMENTOS!$I$4:$I$803,MOVIMIENTOS_COMPLEMENTOS!$C$4:$C$803,A1174,MOVIMIENTOS_COMPLEMENTOS!$D$4:$D$803,B1174,MOVIMIENTOS_COMPLEMENTOS!$E$4:$E$803,C1174,MOVIMIENTOS_COMPLEMENTOS!$G$4:$G$803,E1174,MOVIMIENTOS_COMPLEMENTOS!$H$4:$H$803,G1174,MOVIMIENTOS_COMPLEMENTOS!$B$4:$B$803,"INGRESO")+SUMIFS(MOVIMIENTOS_COMPLEMENTOS!$I$4:$I$803,MOVIMIENTOS_COMPLEMENTOS!$C$4:$C$803,A1174,MOVIMIENTOS_COMPLEMENTOS!$D$4:$D$803,B1174,MOVIMIENTOS_COMPLEMENTOS!$E$4:$E$803,C1174,MOVIMIENTOS_COMPLEMENTOS!$G$4:$G$803,E1174,MOVIMIENTOS_COMPLEMENTOS!$H$4:$H$803,G1174,MOVIMIENTOS_COMPLEMENTOS!$B$4:$B$803,"DE CORTE")-SUMIFS(MOVIMIENTOS_COMPLEMENTOS!$I$4:$I$803,MOVIMIENTOS_COMPLEMENTOS!$C$4:$C$803,A1174,MOVIMIENTOS_COMPLEMENTOS!$D$4:$D$803,B1174,MOVIMIENTOS_COMPLEMENTOS!$E$4:$E$803,C1174,MOVIMIENTOS_COMPLEMENTOS!$G$4:$G$803,E1174,MOVIMIENTOS_COMPLEMENTOS!$H$4:$H$803,G1174,MOVIMIENTOS_COMPLEMENTOS!$B$4:$B$803,"SALIDA"),0)</f>
        <v>0</v>
      </c>
      <c r="I1174" s="102">
        <f t="array" ref="I1174">IFERROR(INDEX(PRECIOS_COMPLEMENTOS!$C$4:$F$17,MATCH(B1174&amp;"_"&amp;C1174,PRECIOS_COMPLEMENTOS!$H$4:$H$17,0),IF(OR(G1174="S",G1174="20cm"),1,IF(OR(G1174="M",G1174="25cm"),2,IF(OR(G1174="L",G1174="30cm"),3,IF(OR(G1174="XL",G1174="35cm"),4,0))))),0)</f>
        <v>0.4</v>
      </c>
      <c r="J1174" s="103">
        <f t="shared" si="1"/>
        <v>0</v>
      </c>
      <c r="K1174" s="104" t="str">
        <f>IF(H1174&lt;0,"ERROR",IF(H1174=0,"",IF(H1174&lt;CONFIG!$B$4,"CRÍTICO",IF(H1174&lt;CONFIG!$B$5,"BAJO","OK"))))</f>
        <v/>
      </c>
    </row>
    <row r="1175" ht="15.75" hidden="1" customHeight="1">
      <c r="A1175" s="90" t="str">
        <f>IF(CLIENTES!A9="","",CLIENTES!A9)</f>
        <v/>
      </c>
      <c r="B1175" s="90" t="s">
        <v>321</v>
      </c>
      <c r="C1175" s="91" t="s">
        <v>328</v>
      </c>
      <c r="D1175" s="109" t="s">
        <v>353</v>
      </c>
      <c r="E1175" s="67" t="str">
        <f>COLORES!A16</f>
        <v>Topo</v>
      </c>
      <c r="F1175" s="67" t="str">
        <f>COLORES!B16</f>
        <v>CLARO</v>
      </c>
      <c r="G1175" s="90" t="s">
        <v>379</v>
      </c>
      <c r="H1175" s="100">
        <f>IFERROR(SUMIFS(MOVIMIENTOS_COMPLEMENTOS!$I$4:$I$803,MOVIMIENTOS_COMPLEMENTOS!$C$4:$C$803,A1175,MOVIMIENTOS_COMPLEMENTOS!$D$4:$D$803,B1175,MOVIMIENTOS_COMPLEMENTOS!$E$4:$E$803,C1175,MOVIMIENTOS_COMPLEMENTOS!$G$4:$G$803,E1175,MOVIMIENTOS_COMPLEMENTOS!$H$4:$H$803,G1175,MOVIMIENTOS_COMPLEMENTOS!$B$4:$B$803,"INGRESO")+SUMIFS(MOVIMIENTOS_COMPLEMENTOS!$I$4:$I$803,MOVIMIENTOS_COMPLEMENTOS!$C$4:$C$803,A1175,MOVIMIENTOS_COMPLEMENTOS!$D$4:$D$803,B1175,MOVIMIENTOS_COMPLEMENTOS!$E$4:$E$803,C1175,MOVIMIENTOS_COMPLEMENTOS!$G$4:$G$803,E1175,MOVIMIENTOS_COMPLEMENTOS!$H$4:$H$803,G1175,MOVIMIENTOS_COMPLEMENTOS!$B$4:$B$803,"DE CORTE")-SUMIFS(MOVIMIENTOS_COMPLEMENTOS!$I$4:$I$803,MOVIMIENTOS_COMPLEMENTOS!$C$4:$C$803,A1175,MOVIMIENTOS_COMPLEMENTOS!$D$4:$D$803,B1175,MOVIMIENTOS_COMPLEMENTOS!$E$4:$E$803,C1175,MOVIMIENTOS_COMPLEMENTOS!$G$4:$G$803,E1175,MOVIMIENTOS_COMPLEMENTOS!$H$4:$H$803,G1175,MOVIMIENTOS_COMPLEMENTOS!$B$4:$B$803,"SALIDA"),0)</f>
        <v>0</v>
      </c>
      <c r="I1175" s="102">
        <f t="array" ref="I1175">IFERROR(INDEX(PRECIOS_COMPLEMENTOS!$C$4:$F$17,MATCH(B1175&amp;"_"&amp;C1175,PRECIOS_COMPLEMENTOS!$H$4:$H$17,0),IF(OR(G1175="S",G1175="20cm"),1,IF(OR(G1175="M",G1175="25cm"),2,IF(OR(G1175="L",G1175="30cm"),3,IF(OR(G1175="XL",G1175="35cm"),4,0))))),0)</f>
        <v>0.4</v>
      </c>
      <c r="J1175" s="103">
        <f t="shared" si="1"/>
        <v>0</v>
      </c>
      <c r="K1175" s="104" t="str">
        <f>IF(H1175&lt;0,"ERROR",IF(H1175=0,"",IF(H1175&lt;CONFIG!$B$4,"CRÍTICO",IF(H1175&lt;CONFIG!$B$5,"BAJO","OK"))))</f>
        <v/>
      </c>
    </row>
    <row r="1176" ht="15.75" hidden="1" customHeight="1">
      <c r="A1176" s="90" t="str">
        <f>IF(CLIENTES!A9="","",CLIENTES!A9)</f>
        <v/>
      </c>
      <c r="B1176" s="90" t="s">
        <v>321</v>
      </c>
      <c r="C1176" s="91" t="s">
        <v>328</v>
      </c>
      <c r="D1176" s="109" t="s">
        <v>353</v>
      </c>
      <c r="E1176" s="67" t="str">
        <f>COLORES!A17</f>
        <v>Vino</v>
      </c>
      <c r="F1176" s="67" t="str">
        <f>COLORES!B17</f>
        <v>OSCURO</v>
      </c>
      <c r="G1176" s="90" t="s">
        <v>378</v>
      </c>
      <c r="H1176" s="100">
        <f>IFERROR(SUMIFS(MOVIMIENTOS_COMPLEMENTOS!$I$4:$I$803,MOVIMIENTOS_COMPLEMENTOS!$C$4:$C$803,A1176,MOVIMIENTOS_COMPLEMENTOS!$D$4:$D$803,B1176,MOVIMIENTOS_COMPLEMENTOS!$E$4:$E$803,C1176,MOVIMIENTOS_COMPLEMENTOS!$G$4:$G$803,E1176,MOVIMIENTOS_COMPLEMENTOS!$H$4:$H$803,G1176,MOVIMIENTOS_COMPLEMENTOS!$B$4:$B$803,"INGRESO")+SUMIFS(MOVIMIENTOS_COMPLEMENTOS!$I$4:$I$803,MOVIMIENTOS_COMPLEMENTOS!$C$4:$C$803,A1176,MOVIMIENTOS_COMPLEMENTOS!$D$4:$D$803,B1176,MOVIMIENTOS_COMPLEMENTOS!$E$4:$E$803,C1176,MOVIMIENTOS_COMPLEMENTOS!$G$4:$G$803,E1176,MOVIMIENTOS_COMPLEMENTOS!$H$4:$H$803,G1176,MOVIMIENTOS_COMPLEMENTOS!$B$4:$B$803,"DE CORTE")-SUMIFS(MOVIMIENTOS_COMPLEMENTOS!$I$4:$I$803,MOVIMIENTOS_COMPLEMENTOS!$C$4:$C$803,A1176,MOVIMIENTOS_COMPLEMENTOS!$D$4:$D$803,B1176,MOVIMIENTOS_COMPLEMENTOS!$E$4:$E$803,C1176,MOVIMIENTOS_COMPLEMENTOS!$G$4:$G$803,E1176,MOVIMIENTOS_COMPLEMENTOS!$H$4:$H$803,G1176,MOVIMIENTOS_COMPLEMENTOS!$B$4:$B$803,"SALIDA"),0)</f>
        <v>0</v>
      </c>
      <c r="I1176" s="102">
        <f t="array" ref="I1176">IFERROR(INDEX(PRECIOS_COMPLEMENTOS!$C$4:$F$17,MATCH(B1176&amp;"_"&amp;C1176,PRECIOS_COMPLEMENTOS!$H$4:$H$17,0),IF(OR(G1176="S",G1176="20cm"),1,IF(OR(G1176="M",G1176="25cm"),2,IF(OR(G1176="L",G1176="30cm"),3,IF(OR(G1176="XL",G1176="35cm"),4,0))))),0)</f>
        <v>0.4</v>
      </c>
      <c r="J1176" s="103">
        <f t="shared" si="1"/>
        <v>0</v>
      </c>
      <c r="K1176" s="104" t="str">
        <f>IF(H1176&lt;0,"ERROR",IF(H1176=0,"",IF(H1176&lt;CONFIG!$B$4,"CRÍTICO",IF(H1176&lt;CONFIG!$B$5,"BAJO","OK"))))</f>
        <v/>
      </c>
    </row>
    <row r="1177" ht="15.75" hidden="1" customHeight="1">
      <c r="A1177" s="90" t="str">
        <f>IF(CLIENTES!A9="","",CLIENTES!A9)</f>
        <v/>
      </c>
      <c r="B1177" s="90" t="s">
        <v>321</v>
      </c>
      <c r="C1177" s="91" t="s">
        <v>328</v>
      </c>
      <c r="D1177" s="109" t="s">
        <v>353</v>
      </c>
      <c r="E1177" s="67" t="str">
        <f>COLORES!A17</f>
        <v>Vino</v>
      </c>
      <c r="F1177" s="67" t="str">
        <f>COLORES!B17</f>
        <v>OSCURO</v>
      </c>
      <c r="G1177" s="90" t="s">
        <v>376</v>
      </c>
      <c r="H1177" s="100">
        <f>IFERROR(SUMIFS(MOVIMIENTOS_COMPLEMENTOS!$I$4:$I$803,MOVIMIENTOS_COMPLEMENTOS!$C$4:$C$803,A1177,MOVIMIENTOS_COMPLEMENTOS!$D$4:$D$803,B1177,MOVIMIENTOS_COMPLEMENTOS!$E$4:$E$803,C1177,MOVIMIENTOS_COMPLEMENTOS!$G$4:$G$803,E1177,MOVIMIENTOS_COMPLEMENTOS!$H$4:$H$803,G1177,MOVIMIENTOS_COMPLEMENTOS!$B$4:$B$803,"INGRESO")+SUMIFS(MOVIMIENTOS_COMPLEMENTOS!$I$4:$I$803,MOVIMIENTOS_COMPLEMENTOS!$C$4:$C$803,A1177,MOVIMIENTOS_COMPLEMENTOS!$D$4:$D$803,B1177,MOVIMIENTOS_COMPLEMENTOS!$E$4:$E$803,C1177,MOVIMIENTOS_COMPLEMENTOS!$G$4:$G$803,E1177,MOVIMIENTOS_COMPLEMENTOS!$H$4:$H$803,G1177,MOVIMIENTOS_COMPLEMENTOS!$B$4:$B$803,"DE CORTE")-SUMIFS(MOVIMIENTOS_COMPLEMENTOS!$I$4:$I$803,MOVIMIENTOS_COMPLEMENTOS!$C$4:$C$803,A1177,MOVIMIENTOS_COMPLEMENTOS!$D$4:$D$803,B1177,MOVIMIENTOS_COMPLEMENTOS!$E$4:$E$803,C1177,MOVIMIENTOS_COMPLEMENTOS!$G$4:$G$803,E1177,MOVIMIENTOS_COMPLEMENTOS!$H$4:$H$803,G1177,MOVIMIENTOS_COMPLEMENTOS!$B$4:$B$803,"SALIDA"),0)</f>
        <v>0</v>
      </c>
      <c r="I1177" s="102">
        <f t="array" ref="I1177">IFERROR(INDEX(PRECIOS_COMPLEMENTOS!$C$4:$F$17,MATCH(B1177&amp;"_"&amp;C1177,PRECIOS_COMPLEMENTOS!$H$4:$H$17,0),IF(OR(G1177="S",G1177="20cm"),1,IF(OR(G1177="M",G1177="25cm"),2,IF(OR(G1177="L",G1177="30cm"),3,IF(OR(G1177="XL",G1177="35cm"),4,0))))),0)</f>
        <v>0.4</v>
      </c>
      <c r="J1177" s="103">
        <f t="shared" si="1"/>
        <v>0</v>
      </c>
      <c r="K1177" s="104" t="str">
        <f>IF(H1177&lt;0,"ERROR",IF(H1177=0,"",IF(H1177&lt;CONFIG!$B$4,"CRÍTICO",IF(H1177&lt;CONFIG!$B$5,"BAJO","OK"))))</f>
        <v/>
      </c>
    </row>
    <row r="1178" ht="15.75" hidden="1" customHeight="1">
      <c r="A1178" s="90" t="str">
        <f>IF(CLIENTES!A9="","",CLIENTES!A9)</f>
        <v/>
      </c>
      <c r="B1178" s="90" t="s">
        <v>321</v>
      </c>
      <c r="C1178" s="91" t="s">
        <v>328</v>
      </c>
      <c r="D1178" s="109" t="s">
        <v>353</v>
      </c>
      <c r="E1178" s="67" t="str">
        <f>COLORES!A17</f>
        <v>Vino</v>
      </c>
      <c r="F1178" s="67" t="str">
        <f>COLORES!B17</f>
        <v>OSCURO</v>
      </c>
      <c r="G1178" s="90" t="s">
        <v>377</v>
      </c>
      <c r="H1178" s="100">
        <f>IFERROR(SUMIFS(MOVIMIENTOS_COMPLEMENTOS!$I$4:$I$803,MOVIMIENTOS_COMPLEMENTOS!$C$4:$C$803,A1178,MOVIMIENTOS_COMPLEMENTOS!$D$4:$D$803,B1178,MOVIMIENTOS_COMPLEMENTOS!$E$4:$E$803,C1178,MOVIMIENTOS_COMPLEMENTOS!$G$4:$G$803,E1178,MOVIMIENTOS_COMPLEMENTOS!$H$4:$H$803,G1178,MOVIMIENTOS_COMPLEMENTOS!$B$4:$B$803,"INGRESO")+SUMIFS(MOVIMIENTOS_COMPLEMENTOS!$I$4:$I$803,MOVIMIENTOS_COMPLEMENTOS!$C$4:$C$803,A1178,MOVIMIENTOS_COMPLEMENTOS!$D$4:$D$803,B1178,MOVIMIENTOS_COMPLEMENTOS!$E$4:$E$803,C1178,MOVIMIENTOS_COMPLEMENTOS!$G$4:$G$803,E1178,MOVIMIENTOS_COMPLEMENTOS!$H$4:$H$803,G1178,MOVIMIENTOS_COMPLEMENTOS!$B$4:$B$803,"DE CORTE")-SUMIFS(MOVIMIENTOS_COMPLEMENTOS!$I$4:$I$803,MOVIMIENTOS_COMPLEMENTOS!$C$4:$C$803,A1178,MOVIMIENTOS_COMPLEMENTOS!$D$4:$D$803,B1178,MOVIMIENTOS_COMPLEMENTOS!$E$4:$E$803,C1178,MOVIMIENTOS_COMPLEMENTOS!$G$4:$G$803,E1178,MOVIMIENTOS_COMPLEMENTOS!$H$4:$H$803,G1178,MOVIMIENTOS_COMPLEMENTOS!$B$4:$B$803,"SALIDA"),0)</f>
        <v>0</v>
      </c>
      <c r="I1178" s="102">
        <f t="array" ref="I1178">IFERROR(INDEX(PRECIOS_COMPLEMENTOS!$C$4:$F$17,MATCH(B1178&amp;"_"&amp;C1178,PRECIOS_COMPLEMENTOS!$H$4:$H$17,0),IF(OR(G1178="S",G1178="20cm"),1,IF(OR(G1178="M",G1178="25cm"),2,IF(OR(G1178="L",G1178="30cm"),3,IF(OR(G1178="XL",G1178="35cm"),4,0))))),0)</f>
        <v>0.4</v>
      </c>
      <c r="J1178" s="103">
        <f t="shared" si="1"/>
        <v>0</v>
      </c>
      <c r="K1178" s="104" t="str">
        <f>IF(H1178&lt;0,"ERROR",IF(H1178=0,"",IF(H1178&lt;CONFIG!$B$4,"CRÍTICO",IF(H1178&lt;CONFIG!$B$5,"BAJO","OK"))))</f>
        <v/>
      </c>
    </row>
    <row r="1179" ht="15.75" hidden="1" customHeight="1">
      <c r="A1179" s="90" t="str">
        <f>IF(CLIENTES!A9="","",CLIENTES!A9)</f>
        <v/>
      </c>
      <c r="B1179" s="90" t="s">
        <v>321</v>
      </c>
      <c r="C1179" s="91" t="s">
        <v>328</v>
      </c>
      <c r="D1179" s="109" t="s">
        <v>353</v>
      </c>
      <c r="E1179" s="67" t="str">
        <f>COLORES!A17</f>
        <v>Vino</v>
      </c>
      <c r="F1179" s="67" t="str">
        <f>COLORES!B17</f>
        <v>OSCURO</v>
      </c>
      <c r="G1179" s="90" t="s">
        <v>379</v>
      </c>
      <c r="H1179" s="100">
        <f>IFERROR(SUMIFS(MOVIMIENTOS_COMPLEMENTOS!$I$4:$I$803,MOVIMIENTOS_COMPLEMENTOS!$C$4:$C$803,A1179,MOVIMIENTOS_COMPLEMENTOS!$D$4:$D$803,B1179,MOVIMIENTOS_COMPLEMENTOS!$E$4:$E$803,C1179,MOVIMIENTOS_COMPLEMENTOS!$G$4:$G$803,E1179,MOVIMIENTOS_COMPLEMENTOS!$H$4:$H$803,G1179,MOVIMIENTOS_COMPLEMENTOS!$B$4:$B$803,"INGRESO")+SUMIFS(MOVIMIENTOS_COMPLEMENTOS!$I$4:$I$803,MOVIMIENTOS_COMPLEMENTOS!$C$4:$C$803,A1179,MOVIMIENTOS_COMPLEMENTOS!$D$4:$D$803,B1179,MOVIMIENTOS_COMPLEMENTOS!$E$4:$E$803,C1179,MOVIMIENTOS_COMPLEMENTOS!$G$4:$G$803,E1179,MOVIMIENTOS_COMPLEMENTOS!$H$4:$H$803,G1179,MOVIMIENTOS_COMPLEMENTOS!$B$4:$B$803,"DE CORTE")-SUMIFS(MOVIMIENTOS_COMPLEMENTOS!$I$4:$I$803,MOVIMIENTOS_COMPLEMENTOS!$C$4:$C$803,A1179,MOVIMIENTOS_COMPLEMENTOS!$D$4:$D$803,B1179,MOVIMIENTOS_COMPLEMENTOS!$E$4:$E$803,C1179,MOVIMIENTOS_COMPLEMENTOS!$G$4:$G$803,E1179,MOVIMIENTOS_COMPLEMENTOS!$H$4:$H$803,G1179,MOVIMIENTOS_COMPLEMENTOS!$B$4:$B$803,"SALIDA"),0)</f>
        <v>0</v>
      </c>
      <c r="I1179" s="102">
        <f t="array" ref="I1179">IFERROR(INDEX(PRECIOS_COMPLEMENTOS!$C$4:$F$17,MATCH(B1179&amp;"_"&amp;C1179,PRECIOS_COMPLEMENTOS!$H$4:$H$17,0),IF(OR(G1179="S",G1179="20cm"),1,IF(OR(G1179="M",G1179="25cm"),2,IF(OR(G1179="L",G1179="30cm"),3,IF(OR(G1179="XL",G1179="35cm"),4,0))))),0)</f>
        <v>0.4</v>
      </c>
      <c r="J1179" s="103">
        <f t="shared" si="1"/>
        <v>0</v>
      </c>
      <c r="K1179" s="104" t="str">
        <f>IF(H1179&lt;0,"ERROR",IF(H1179=0,"",IF(H1179&lt;CONFIG!$B$4,"CRÍTICO",IF(H1179&lt;CONFIG!$B$5,"BAJO","OK"))))</f>
        <v/>
      </c>
    </row>
    <row r="1180" ht="15.75" hidden="1" customHeight="1">
      <c r="A1180" s="90" t="str">
        <f>IF(CLIENTES!A9="","",CLIENTES!A9)</f>
        <v/>
      </c>
      <c r="B1180" s="90" t="s">
        <v>321</v>
      </c>
      <c r="C1180" s="91" t="s">
        <v>328</v>
      </c>
      <c r="D1180" s="109" t="s">
        <v>353</v>
      </c>
      <c r="E1180" s="67" t="str">
        <f>COLORES!A18</f>
        <v>P. Rosa</v>
      </c>
      <c r="F1180" s="67" t="str">
        <f>COLORES!B18</f>
        <v>CLARO</v>
      </c>
      <c r="G1180" s="90" t="s">
        <v>378</v>
      </c>
      <c r="H1180" s="100">
        <f>IFERROR(SUMIFS(MOVIMIENTOS_COMPLEMENTOS!$I$4:$I$803,MOVIMIENTOS_COMPLEMENTOS!$C$4:$C$803,A1180,MOVIMIENTOS_COMPLEMENTOS!$D$4:$D$803,B1180,MOVIMIENTOS_COMPLEMENTOS!$E$4:$E$803,C1180,MOVIMIENTOS_COMPLEMENTOS!$G$4:$G$803,E1180,MOVIMIENTOS_COMPLEMENTOS!$H$4:$H$803,G1180,MOVIMIENTOS_COMPLEMENTOS!$B$4:$B$803,"INGRESO")+SUMIFS(MOVIMIENTOS_COMPLEMENTOS!$I$4:$I$803,MOVIMIENTOS_COMPLEMENTOS!$C$4:$C$803,A1180,MOVIMIENTOS_COMPLEMENTOS!$D$4:$D$803,B1180,MOVIMIENTOS_COMPLEMENTOS!$E$4:$E$803,C1180,MOVIMIENTOS_COMPLEMENTOS!$G$4:$G$803,E1180,MOVIMIENTOS_COMPLEMENTOS!$H$4:$H$803,G1180,MOVIMIENTOS_COMPLEMENTOS!$B$4:$B$803,"DE CORTE")-SUMIFS(MOVIMIENTOS_COMPLEMENTOS!$I$4:$I$803,MOVIMIENTOS_COMPLEMENTOS!$C$4:$C$803,A1180,MOVIMIENTOS_COMPLEMENTOS!$D$4:$D$803,B1180,MOVIMIENTOS_COMPLEMENTOS!$E$4:$E$803,C1180,MOVIMIENTOS_COMPLEMENTOS!$G$4:$G$803,E1180,MOVIMIENTOS_COMPLEMENTOS!$H$4:$H$803,G1180,MOVIMIENTOS_COMPLEMENTOS!$B$4:$B$803,"SALIDA"),0)</f>
        <v>0</v>
      </c>
      <c r="I1180" s="102">
        <f t="array" ref="I1180">IFERROR(INDEX(PRECIOS_COMPLEMENTOS!$C$4:$F$17,MATCH(B1180&amp;"_"&amp;C1180,PRECIOS_COMPLEMENTOS!$H$4:$H$17,0),IF(OR(G1180="S",G1180="20cm"),1,IF(OR(G1180="M",G1180="25cm"),2,IF(OR(G1180="L",G1180="30cm"),3,IF(OR(G1180="XL",G1180="35cm"),4,0))))),0)</f>
        <v>0.4</v>
      </c>
      <c r="J1180" s="103">
        <f t="shared" si="1"/>
        <v>0</v>
      </c>
      <c r="K1180" s="104" t="str">
        <f>IF(H1180&lt;0,"ERROR",IF(H1180=0,"",IF(H1180&lt;CONFIG!$B$4,"CRÍTICO",IF(H1180&lt;CONFIG!$B$5,"BAJO","OK"))))</f>
        <v/>
      </c>
    </row>
    <row r="1181" ht="15.75" hidden="1" customHeight="1">
      <c r="A1181" s="90" t="str">
        <f>IF(CLIENTES!A9="","",CLIENTES!A9)</f>
        <v/>
      </c>
      <c r="B1181" s="90" t="s">
        <v>321</v>
      </c>
      <c r="C1181" s="91" t="s">
        <v>328</v>
      </c>
      <c r="D1181" s="109" t="s">
        <v>353</v>
      </c>
      <c r="E1181" s="67" t="str">
        <f>COLORES!A18</f>
        <v>P. Rosa</v>
      </c>
      <c r="F1181" s="67" t="str">
        <f>COLORES!B18</f>
        <v>CLARO</v>
      </c>
      <c r="G1181" s="90" t="s">
        <v>376</v>
      </c>
      <c r="H1181" s="100">
        <f>IFERROR(SUMIFS(MOVIMIENTOS_COMPLEMENTOS!$I$4:$I$803,MOVIMIENTOS_COMPLEMENTOS!$C$4:$C$803,A1181,MOVIMIENTOS_COMPLEMENTOS!$D$4:$D$803,B1181,MOVIMIENTOS_COMPLEMENTOS!$E$4:$E$803,C1181,MOVIMIENTOS_COMPLEMENTOS!$G$4:$G$803,E1181,MOVIMIENTOS_COMPLEMENTOS!$H$4:$H$803,G1181,MOVIMIENTOS_COMPLEMENTOS!$B$4:$B$803,"INGRESO")+SUMIFS(MOVIMIENTOS_COMPLEMENTOS!$I$4:$I$803,MOVIMIENTOS_COMPLEMENTOS!$C$4:$C$803,A1181,MOVIMIENTOS_COMPLEMENTOS!$D$4:$D$803,B1181,MOVIMIENTOS_COMPLEMENTOS!$E$4:$E$803,C1181,MOVIMIENTOS_COMPLEMENTOS!$G$4:$G$803,E1181,MOVIMIENTOS_COMPLEMENTOS!$H$4:$H$803,G1181,MOVIMIENTOS_COMPLEMENTOS!$B$4:$B$803,"DE CORTE")-SUMIFS(MOVIMIENTOS_COMPLEMENTOS!$I$4:$I$803,MOVIMIENTOS_COMPLEMENTOS!$C$4:$C$803,A1181,MOVIMIENTOS_COMPLEMENTOS!$D$4:$D$803,B1181,MOVIMIENTOS_COMPLEMENTOS!$E$4:$E$803,C1181,MOVIMIENTOS_COMPLEMENTOS!$G$4:$G$803,E1181,MOVIMIENTOS_COMPLEMENTOS!$H$4:$H$803,G1181,MOVIMIENTOS_COMPLEMENTOS!$B$4:$B$803,"SALIDA"),0)</f>
        <v>0</v>
      </c>
      <c r="I1181" s="102">
        <f t="array" ref="I1181">IFERROR(INDEX(PRECIOS_COMPLEMENTOS!$C$4:$F$17,MATCH(B1181&amp;"_"&amp;C1181,PRECIOS_COMPLEMENTOS!$H$4:$H$17,0),IF(OR(G1181="S",G1181="20cm"),1,IF(OR(G1181="M",G1181="25cm"),2,IF(OR(G1181="L",G1181="30cm"),3,IF(OR(G1181="XL",G1181="35cm"),4,0))))),0)</f>
        <v>0.4</v>
      </c>
      <c r="J1181" s="103">
        <f t="shared" si="1"/>
        <v>0</v>
      </c>
      <c r="K1181" s="104" t="str">
        <f>IF(H1181&lt;0,"ERROR",IF(H1181=0,"",IF(H1181&lt;CONFIG!$B$4,"CRÍTICO",IF(H1181&lt;CONFIG!$B$5,"BAJO","OK"))))</f>
        <v/>
      </c>
    </row>
    <row r="1182" ht="15.75" hidden="1" customHeight="1">
      <c r="A1182" s="90" t="str">
        <f>IF(CLIENTES!A9="","",CLIENTES!A9)</f>
        <v/>
      </c>
      <c r="B1182" s="90" t="s">
        <v>321</v>
      </c>
      <c r="C1182" s="91" t="s">
        <v>328</v>
      </c>
      <c r="D1182" s="109" t="s">
        <v>353</v>
      </c>
      <c r="E1182" s="67" t="str">
        <f>COLORES!A18</f>
        <v>P. Rosa</v>
      </c>
      <c r="F1182" s="67" t="str">
        <f>COLORES!B18</f>
        <v>CLARO</v>
      </c>
      <c r="G1182" s="90" t="s">
        <v>377</v>
      </c>
      <c r="H1182" s="100">
        <f>IFERROR(SUMIFS(MOVIMIENTOS_COMPLEMENTOS!$I$4:$I$803,MOVIMIENTOS_COMPLEMENTOS!$C$4:$C$803,A1182,MOVIMIENTOS_COMPLEMENTOS!$D$4:$D$803,B1182,MOVIMIENTOS_COMPLEMENTOS!$E$4:$E$803,C1182,MOVIMIENTOS_COMPLEMENTOS!$G$4:$G$803,E1182,MOVIMIENTOS_COMPLEMENTOS!$H$4:$H$803,G1182,MOVIMIENTOS_COMPLEMENTOS!$B$4:$B$803,"INGRESO")+SUMIFS(MOVIMIENTOS_COMPLEMENTOS!$I$4:$I$803,MOVIMIENTOS_COMPLEMENTOS!$C$4:$C$803,A1182,MOVIMIENTOS_COMPLEMENTOS!$D$4:$D$803,B1182,MOVIMIENTOS_COMPLEMENTOS!$E$4:$E$803,C1182,MOVIMIENTOS_COMPLEMENTOS!$G$4:$G$803,E1182,MOVIMIENTOS_COMPLEMENTOS!$H$4:$H$803,G1182,MOVIMIENTOS_COMPLEMENTOS!$B$4:$B$803,"DE CORTE")-SUMIFS(MOVIMIENTOS_COMPLEMENTOS!$I$4:$I$803,MOVIMIENTOS_COMPLEMENTOS!$C$4:$C$803,A1182,MOVIMIENTOS_COMPLEMENTOS!$D$4:$D$803,B1182,MOVIMIENTOS_COMPLEMENTOS!$E$4:$E$803,C1182,MOVIMIENTOS_COMPLEMENTOS!$G$4:$G$803,E1182,MOVIMIENTOS_COMPLEMENTOS!$H$4:$H$803,G1182,MOVIMIENTOS_COMPLEMENTOS!$B$4:$B$803,"SALIDA"),0)</f>
        <v>0</v>
      </c>
      <c r="I1182" s="102">
        <f t="array" ref="I1182">IFERROR(INDEX(PRECIOS_COMPLEMENTOS!$C$4:$F$17,MATCH(B1182&amp;"_"&amp;C1182,PRECIOS_COMPLEMENTOS!$H$4:$H$17,0),IF(OR(G1182="S",G1182="20cm"),1,IF(OR(G1182="M",G1182="25cm"),2,IF(OR(G1182="L",G1182="30cm"),3,IF(OR(G1182="XL",G1182="35cm"),4,0))))),0)</f>
        <v>0.4</v>
      </c>
      <c r="J1182" s="103">
        <f t="shared" si="1"/>
        <v>0</v>
      </c>
      <c r="K1182" s="104" t="str">
        <f>IF(H1182&lt;0,"ERROR",IF(H1182=0,"",IF(H1182&lt;CONFIG!$B$4,"CRÍTICO",IF(H1182&lt;CONFIG!$B$5,"BAJO","OK"))))</f>
        <v/>
      </c>
    </row>
    <row r="1183" ht="15.75" hidden="1" customHeight="1">
      <c r="A1183" s="90" t="str">
        <f>IF(CLIENTES!A9="","",CLIENTES!A9)</f>
        <v/>
      </c>
      <c r="B1183" s="90" t="s">
        <v>321</v>
      </c>
      <c r="C1183" s="91" t="s">
        <v>328</v>
      </c>
      <c r="D1183" s="109" t="s">
        <v>353</v>
      </c>
      <c r="E1183" s="67" t="str">
        <f>COLORES!A18</f>
        <v>P. Rosa</v>
      </c>
      <c r="F1183" s="67" t="str">
        <f>COLORES!B18</f>
        <v>CLARO</v>
      </c>
      <c r="G1183" s="90" t="s">
        <v>379</v>
      </c>
      <c r="H1183" s="100">
        <f>IFERROR(SUMIFS(MOVIMIENTOS_COMPLEMENTOS!$I$4:$I$803,MOVIMIENTOS_COMPLEMENTOS!$C$4:$C$803,A1183,MOVIMIENTOS_COMPLEMENTOS!$D$4:$D$803,B1183,MOVIMIENTOS_COMPLEMENTOS!$E$4:$E$803,C1183,MOVIMIENTOS_COMPLEMENTOS!$G$4:$G$803,E1183,MOVIMIENTOS_COMPLEMENTOS!$H$4:$H$803,G1183,MOVIMIENTOS_COMPLEMENTOS!$B$4:$B$803,"INGRESO")+SUMIFS(MOVIMIENTOS_COMPLEMENTOS!$I$4:$I$803,MOVIMIENTOS_COMPLEMENTOS!$C$4:$C$803,A1183,MOVIMIENTOS_COMPLEMENTOS!$D$4:$D$803,B1183,MOVIMIENTOS_COMPLEMENTOS!$E$4:$E$803,C1183,MOVIMIENTOS_COMPLEMENTOS!$G$4:$G$803,E1183,MOVIMIENTOS_COMPLEMENTOS!$H$4:$H$803,G1183,MOVIMIENTOS_COMPLEMENTOS!$B$4:$B$803,"DE CORTE")-SUMIFS(MOVIMIENTOS_COMPLEMENTOS!$I$4:$I$803,MOVIMIENTOS_COMPLEMENTOS!$C$4:$C$803,A1183,MOVIMIENTOS_COMPLEMENTOS!$D$4:$D$803,B1183,MOVIMIENTOS_COMPLEMENTOS!$E$4:$E$803,C1183,MOVIMIENTOS_COMPLEMENTOS!$G$4:$G$803,E1183,MOVIMIENTOS_COMPLEMENTOS!$H$4:$H$803,G1183,MOVIMIENTOS_COMPLEMENTOS!$B$4:$B$803,"SALIDA"),0)</f>
        <v>0</v>
      </c>
      <c r="I1183" s="102">
        <f t="array" ref="I1183">IFERROR(INDEX(PRECIOS_COMPLEMENTOS!$C$4:$F$17,MATCH(B1183&amp;"_"&amp;C1183,PRECIOS_COMPLEMENTOS!$H$4:$H$17,0),IF(OR(G1183="S",G1183="20cm"),1,IF(OR(G1183="M",G1183="25cm"),2,IF(OR(G1183="L",G1183="30cm"),3,IF(OR(G1183="XL",G1183="35cm"),4,0))))),0)</f>
        <v>0.4</v>
      </c>
      <c r="J1183" s="103">
        <f t="shared" si="1"/>
        <v>0</v>
      </c>
      <c r="K1183" s="104" t="str">
        <f>IF(H1183&lt;0,"ERROR",IF(H1183=0,"",IF(H1183&lt;CONFIG!$B$4,"CRÍTICO",IF(H1183&lt;CONFIG!$B$5,"BAJO","OK"))))</f>
        <v/>
      </c>
    </row>
    <row r="1184" ht="15.75" hidden="1" customHeight="1">
      <c r="A1184" s="90" t="str">
        <f>IF(CLIENTES!A9="","",CLIENTES!A9)</f>
        <v/>
      </c>
      <c r="B1184" s="90" t="s">
        <v>321</v>
      </c>
      <c r="C1184" s="91" t="s">
        <v>328</v>
      </c>
      <c r="D1184" s="109" t="s">
        <v>353</v>
      </c>
      <c r="E1184" s="67" t="str">
        <f>COLORES!A19</f>
        <v/>
      </c>
      <c r="F1184" s="67" t="str">
        <f>COLORES!B19</f>
        <v/>
      </c>
      <c r="G1184" s="90" t="s">
        <v>378</v>
      </c>
      <c r="H1184" s="100">
        <f>IFERROR(SUMIFS(MOVIMIENTOS_COMPLEMENTOS!$I$4:$I$803,MOVIMIENTOS_COMPLEMENTOS!$C$4:$C$803,A1184,MOVIMIENTOS_COMPLEMENTOS!$D$4:$D$803,B1184,MOVIMIENTOS_COMPLEMENTOS!$E$4:$E$803,C1184,MOVIMIENTOS_COMPLEMENTOS!$G$4:$G$803,E1184,MOVIMIENTOS_COMPLEMENTOS!$H$4:$H$803,G1184,MOVIMIENTOS_COMPLEMENTOS!$B$4:$B$803,"INGRESO")+SUMIFS(MOVIMIENTOS_COMPLEMENTOS!$I$4:$I$803,MOVIMIENTOS_COMPLEMENTOS!$C$4:$C$803,A1184,MOVIMIENTOS_COMPLEMENTOS!$D$4:$D$803,B1184,MOVIMIENTOS_COMPLEMENTOS!$E$4:$E$803,C1184,MOVIMIENTOS_COMPLEMENTOS!$G$4:$G$803,E1184,MOVIMIENTOS_COMPLEMENTOS!$H$4:$H$803,G1184,MOVIMIENTOS_COMPLEMENTOS!$B$4:$B$803,"DE CORTE")-SUMIFS(MOVIMIENTOS_COMPLEMENTOS!$I$4:$I$803,MOVIMIENTOS_COMPLEMENTOS!$C$4:$C$803,A1184,MOVIMIENTOS_COMPLEMENTOS!$D$4:$D$803,B1184,MOVIMIENTOS_COMPLEMENTOS!$E$4:$E$803,C1184,MOVIMIENTOS_COMPLEMENTOS!$G$4:$G$803,E1184,MOVIMIENTOS_COMPLEMENTOS!$H$4:$H$803,G1184,MOVIMIENTOS_COMPLEMENTOS!$B$4:$B$803,"SALIDA"),0)</f>
        <v>0</v>
      </c>
      <c r="I1184" s="102">
        <f t="array" ref="I1184">IFERROR(INDEX(PRECIOS_COMPLEMENTOS!$C$4:$F$17,MATCH(B1184&amp;"_"&amp;C1184,PRECIOS_COMPLEMENTOS!$H$4:$H$17,0),IF(OR(G1184="S",G1184="20cm"),1,IF(OR(G1184="M",G1184="25cm"),2,IF(OR(G1184="L",G1184="30cm"),3,IF(OR(G1184="XL",G1184="35cm"),4,0))))),0)</f>
        <v>0.4</v>
      </c>
      <c r="J1184" s="103">
        <f t="shared" si="1"/>
        <v>0</v>
      </c>
      <c r="K1184" s="104" t="str">
        <f>IF(H1184&lt;0,"ERROR",IF(H1184=0,"",IF(H1184&lt;CONFIG!$B$4,"CRÍTICO",IF(H1184&lt;CONFIG!$B$5,"BAJO","OK"))))</f>
        <v/>
      </c>
    </row>
    <row r="1185" ht="15.75" hidden="1" customHeight="1">
      <c r="A1185" s="90" t="str">
        <f>IF(CLIENTES!A9="","",CLIENTES!A9)</f>
        <v/>
      </c>
      <c r="B1185" s="90" t="s">
        <v>321</v>
      </c>
      <c r="C1185" s="91" t="s">
        <v>328</v>
      </c>
      <c r="D1185" s="109" t="s">
        <v>353</v>
      </c>
      <c r="E1185" s="67" t="str">
        <f>COLORES!A19</f>
        <v/>
      </c>
      <c r="F1185" s="67" t="str">
        <f>COLORES!B19</f>
        <v/>
      </c>
      <c r="G1185" s="90" t="s">
        <v>376</v>
      </c>
      <c r="H1185" s="100">
        <f>IFERROR(SUMIFS(MOVIMIENTOS_COMPLEMENTOS!$I$4:$I$803,MOVIMIENTOS_COMPLEMENTOS!$C$4:$C$803,A1185,MOVIMIENTOS_COMPLEMENTOS!$D$4:$D$803,B1185,MOVIMIENTOS_COMPLEMENTOS!$E$4:$E$803,C1185,MOVIMIENTOS_COMPLEMENTOS!$G$4:$G$803,E1185,MOVIMIENTOS_COMPLEMENTOS!$H$4:$H$803,G1185,MOVIMIENTOS_COMPLEMENTOS!$B$4:$B$803,"INGRESO")+SUMIFS(MOVIMIENTOS_COMPLEMENTOS!$I$4:$I$803,MOVIMIENTOS_COMPLEMENTOS!$C$4:$C$803,A1185,MOVIMIENTOS_COMPLEMENTOS!$D$4:$D$803,B1185,MOVIMIENTOS_COMPLEMENTOS!$E$4:$E$803,C1185,MOVIMIENTOS_COMPLEMENTOS!$G$4:$G$803,E1185,MOVIMIENTOS_COMPLEMENTOS!$H$4:$H$803,G1185,MOVIMIENTOS_COMPLEMENTOS!$B$4:$B$803,"DE CORTE")-SUMIFS(MOVIMIENTOS_COMPLEMENTOS!$I$4:$I$803,MOVIMIENTOS_COMPLEMENTOS!$C$4:$C$803,A1185,MOVIMIENTOS_COMPLEMENTOS!$D$4:$D$803,B1185,MOVIMIENTOS_COMPLEMENTOS!$E$4:$E$803,C1185,MOVIMIENTOS_COMPLEMENTOS!$G$4:$G$803,E1185,MOVIMIENTOS_COMPLEMENTOS!$H$4:$H$803,G1185,MOVIMIENTOS_COMPLEMENTOS!$B$4:$B$803,"SALIDA"),0)</f>
        <v>0</v>
      </c>
      <c r="I1185" s="102">
        <f t="array" ref="I1185">IFERROR(INDEX(PRECIOS_COMPLEMENTOS!$C$4:$F$17,MATCH(B1185&amp;"_"&amp;C1185,PRECIOS_COMPLEMENTOS!$H$4:$H$17,0),IF(OR(G1185="S",G1185="20cm"),1,IF(OR(G1185="M",G1185="25cm"),2,IF(OR(G1185="L",G1185="30cm"),3,IF(OR(G1185="XL",G1185="35cm"),4,0))))),0)</f>
        <v>0.4</v>
      </c>
      <c r="J1185" s="103">
        <f t="shared" si="1"/>
        <v>0</v>
      </c>
      <c r="K1185" s="104" t="str">
        <f>IF(H1185&lt;0,"ERROR",IF(H1185=0,"",IF(H1185&lt;CONFIG!$B$4,"CRÍTICO",IF(H1185&lt;CONFIG!$B$5,"BAJO","OK"))))</f>
        <v/>
      </c>
    </row>
    <row r="1186" ht="15.75" hidden="1" customHeight="1">
      <c r="A1186" s="90" t="str">
        <f>IF(CLIENTES!A9="","",CLIENTES!A9)</f>
        <v/>
      </c>
      <c r="B1186" s="90" t="s">
        <v>321</v>
      </c>
      <c r="C1186" s="91" t="s">
        <v>328</v>
      </c>
      <c r="D1186" s="109" t="s">
        <v>353</v>
      </c>
      <c r="E1186" s="67" t="str">
        <f>COLORES!A19</f>
        <v/>
      </c>
      <c r="F1186" s="67" t="str">
        <f>COLORES!B19</f>
        <v/>
      </c>
      <c r="G1186" s="90" t="s">
        <v>377</v>
      </c>
      <c r="H1186" s="100">
        <f>IFERROR(SUMIFS(MOVIMIENTOS_COMPLEMENTOS!$I$4:$I$803,MOVIMIENTOS_COMPLEMENTOS!$C$4:$C$803,A1186,MOVIMIENTOS_COMPLEMENTOS!$D$4:$D$803,B1186,MOVIMIENTOS_COMPLEMENTOS!$E$4:$E$803,C1186,MOVIMIENTOS_COMPLEMENTOS!$G$4:$G$803,E1186,MOVIMIENTOS_COMPLEMENTOS!$H$4:$H$803,G1186,MOVIMIENTOS_COMPLEMENTOS!$B$4:$B$803,"INGRESO")+SUMIFS(MOVIMIENTOS_COMPLEMENTOS!$I$4:$I$803,MOVIMIENTOS_COMPLEMENTOS!$C$4:$C$803,A1186,MOVIMIENTOS_COMPLEMENTOS!$D$4:$D$803,B1186,MOVIMIENTOS_COMPLEMENTOS!$E$4:$E$803,C1186,MOVIMIENTOS_COMPLEMENTOS!$G$4:$G$803,E1186,MOVIMIENTOS_COMPLEMENTOS!$H$4:$H$803,G1186,MOVIMIENTOS_COMPLEMENTOS!$B$4:$B$803,"DE CORTE")-SUMIFS(MOVIMIENTOS_COMPLEMENTOS!$I$4:$I$803,MOVIMIENTOS_COMPLEMENTOS!$C$4:$C$803,A1186,MOVIMIENTOS_COMPLEMENTOS!$D$4:$D$803,B1186,MOVIMIENTOS_COMPLEMENTOS!$E$4:$E$803,C1186,MOVIMIENTOS_COMPLEMENTOS!$G$4:$G$803,E1186,MOVIMIENTOS_COMPLEMENTOS!$H$4:$H$803,G1186,MOVIMIENTOS_COMPLEMENTOS!$B$4:$B$803,"SALIDA"),0)</f>
        <v>0</v>
      </c>
      <c r="I1186" s="102">
        <f t="array" ref="I1186">IFERROR(INDEX(PRECIOS_COMPLEMENTOS!$C$4:$F$17,MATCH(B1186&amp;"_"&amp;C1186,PRECIOS_COMPLEMENTOS!$H$4:$H$17,0),IF(OR(G1186="S",G1186="20cm"),1,IF(OR(G1186="M",G1186="25cm"),2,IF(OR(G1186="L",G1186="30cm"),3,IF(OR(G1186="XL",G1186="35cm"),4,0))))),0)</f>
        <v>0.4</v>
      </c>
      <c r="J1186" s="103">
        <f t="shared" si="1"/>
        <v>0</v>
      </c>
      <c r="K1186" s="104" t="str">
        <f>IF(H1186&lt;0,"ERROR",IF(H1186=0,"",IF(H1186&lt;CONFIG!$B$4,"CRÍTICO",IF(H1186&lt;CONFIG!$B$5,"BAJO","OK"))))</f>
        <v/>
      </c>
    </row>
    <row r="1187" ht="15.75" hidden="1" customHeight="1">
      <c r="A1187" s="90" t="str">
        <f>IF(CLIENTES!A9="","",CLIENTES!A9)</f>
        <v/>
      </c>
      <c r="B1187" s="90" t="s">
        <v>321</v>
      </c>
      <c r="C1187" s="91" t="s">
        <v>328</v>
      </c>
      <c r="D1187" s="109" t="s">
        <v>353</v>
      </c>
      <c r="E1187" s="67" t="str">
        <f>COLORES!A19</f>
        <v/>
      </c>
      <c r="F1187" s="67" t="str">
        <f>COLORES!B19</f>
        <v/>
      </c>
      <c r="G1187" s="90" t="s">
        <v>379</v>
      </c>
      <c r="H1187" s="100">
        <f>IFERROR(SUMIFS(MOVIMIENTOS_COMPLEMENTOS!$I$4:$I$803,MOVIMIENTOS_COMPLEMENTOS!$C$4:$C$803,A1187,MOVIMIENTOS_COMPLEMENTOS!$D$4:$D$803,B1187,MOVIMIENTOS_COMPLEMENTOS!$E$4:$E$803,C1187,MOVIMIENTOS_COMPLEMENTOS!$G$4:$G$803,E1187,MOVIMIENTOS_COMPLEMENTOS!$H$4:$H$803,G1187,MOVIMIENTOS_COMPLEMENTOS!$B$4:$B$803,"INGRESO")+SUMIFS(MOVIMIENTOS_COMPLEMENTOS!$I$4:$I$803,MOVIMIENTOS_COMPLEMENTOS!$C$4:$C$803,A1187,MOVIMIENTOS_COMPLEMENTOS!$D$4:$D$803,B1187,MOVIMIENTOS_COMPLEMENTOS!$E$4:$E$803,C1187,MOVIMIENTOS_COMPLEMENTOS!$G$4:$G$803,E1187,MOVIMIENTOS_COMPLEMENTOS!$H$4:$H$803,G1187,MOVIMIENTOS_COMPLEMENTOS!$B$4:$B$803,"DE CORTE")-SUMIFS(MOVIMIENTOS_COMPLEMENTOS!$I$4:$I$803,MOVIMIENTOS_COMPLEMENTOS!$C$4:$C$803,A1187,MOVIMIENTOS_COMPLEMENTOS!$D$4:$D$803,B1187,MOVIMIENTOS_COMPLEMENTOS!$E$4:$E$803,C1187,MOVIMIENTOS_COMPLEMENTOS!$G$4:$G$803,E1187,MOVIMIENTOS_COMPLEMENTOS!$H$4:$H$803,G1187,MOVIMIENTOS_COMPLEMENTOS!$B$4:$B$803,"SALIDA"),0)</f>
        <v>0</v>
      </c>
      <c r="I1187" s="102">
        <f t="array" ref="I1187">IFERROR(INDEX(PRECIOS_COMPLEMENTOS!$C$4:$F$17,MATCH(B1187&amp;"_"&amp;C1187,PRECIOS_COMPLEMENTOS!$H$4:$H$17,0),IF(OR(G1187="S",G1187="20cm"),1,IF(OR(G1187="M",G1187="25cm"),2,IF(OR(G1187="L",G1187="30cm"),3,IF(OR(G1187="XL",G1187="35cm"),4,0))))),0)</f>
        <v>0.4</v>
      </c>
      <c r="J1187" s="103">
        <f t="shared" si="1"/>
        <v>0</v>
      </c>
      <c r="K1187" s="104" t="str">
        <f>IF(H1187&lt;0,"ERROR",IF(H1187=0,"",IF(H1187&lt;CONFIG!$B$4,"CRÍTICO",IF(H1187&lt;CONFIG!$B$5,"BAJO","OK"))))</f>
        <v/>
      </c>
    </row>
    <row r="1188" ht="15.75" hidden="1" customHeight="1">
      <c r="A1188" s="90" t="str">
        <f>IF(CLIENTES!A9="","",CLIENTES!A9)</f>
        <v/>
      </c>
      <c r="B1188" s="90" t="s">
        <v>321</v>
      </c>
      <c r="C1188" s="91" t="s">
        <v>328</v>
      </c>
      <c r="D1188" s="109" t="s">
        <v>353</v>
      </c>
      <c r="E1188" s="67" t="str">
        <f>COLORES!A20</f>
        <v/>
      </c>
      <c r="F1188" s="67" t="str">
        <f>COLORES!B20</f>
        <v/>
      </c>
      <c r="G1188" s="90" t="s">
        <v>378</v>
      </c>
      <c r="H1188" s="100">
        <f>IFERROR(SUMIFS(MOVIMIENTOS_COMPLEMENTOS!$I$4:$I$803,MOVIMIENTOS_COMPLEMENTOS!$C$4:$C$803,A1188,MOVIMIENTOS_COMPLEMENTOS!$D$4:$D$803,B1188,MOVIMIENTOS_COMPLEMENTOS!$E$4:$E$803,C1188,MOVIMIENTOS_COMPLEMENTOS!$G$4:$G$803,E1188,MOVIMIENTOS_COMPLEMENTOS!$H$4:$H$803,G1188,MOVIMIENTOS_COMPLEMENTOS!$B$4:$B$803,"INGRESO")+SUMIFS(MOVIMIENTOS_COMPLEMENTOS!$I$4:$I$803,MOVIMIENTOS_COMPLEMENTOS!$C$4:$C$803,A1188,MOVIMIENTOS_COMPLEMENTOS!$D$4:$D$803,B1188,MOVIMIENTOS_COMPLEMENTOS!$E$4:$E$803,C1188,MOVIMIENTOS_COMPLEMENTOS!$G$4:$G$803,E1188,MOVIMIENTOS_COMPLEMENTOS!$H$4:$H$803,G1188,MOVIMIENTOS_COMPLEMENTOS!$B$4:$B$803,"DE CORTE")-SUMIFS(MOVIMIENTOS_COMPLEMENTOS!$I$4:$I$803,MOVIMIENTOS_COMPLEMENTOS!$C$4:$C$803,A1188,MOVIMIENTOS_COMPLEMENTOS!$D$4:$D$803,B1188,MOVIMIENTOS_COMPLEMENTOS!$E$4:$E$803,C1188,MOVIMIENTOS_COMPLEMENTOS!$G$4:$G$803,E1188,MOVIMIENTOS_COMPLEMENTOS!$H$4:$H$803,G1188,MOVIMIENTOS_COMPLEMENTOS!$B$4:$B$803,"SALIDA"),0)</f>
        <v>0</v>
      </c>
      <c r="I1188" s="102">
        <f t="array" ref="I1188">IFERROR(INDEX(PRECIOS_COMPLEMENTOS!$C$4:$F$17,MATCH(B1188&amp;"_"&amp;C1188,PRECIOS_COMPLEMENTOS!$H$4:$H$17,0),IF(OR(G1188="S",G1188="20cm"),1,IF(OR(G1188="M",G1188="25cm"),2,IF(OR(G1188="L",G1188="30cm"),3,IF(OR(G1188="XL",G1188="35cm"),4,0))))),0)</f>
        <v>0.4</v>
      </c>
      <c r="J1188" s="103">
        <f t="shared" si="1"/>
        <v>0</v>
      </c>
      <c r="K1188" s="104" t="str">
        <f>IF(H1188&lt;0,"ERROR",IF(H1188=0,"",IF(H1188&lt;CONFIG!$B$4,"CRÍTICO",IF(H1188&lt;CONFIG!$B$5,"BAJO","OK"))))</f>
        <v/>
      </c>
    </row>
    <row r="1189" ht="15.75" hidden="1" customHeight="1">
      <c r="A1189" s="90" t="str">
        <f>IF(CLIENTES!A9="","",CLIENTES!A9)</f>
        <v/>
      </c>
      <c r="B1189" s="90" t="s">
        <v>321</v>
      </c>
      <c r="C1189" s="91" t="s">
        <v>328</v>
      </c>
      <c r="D1189" s="109" t="s">
        <v>353</v>
      </c>
      <c r="E1189" s="67" t="str">
        <f>COLORES!A20</f>
        <v/>
      </c>
      <c r="F1189" s="67" t="str">
        <f>COLORES!B20</f>
        <v/>
      </c>
      <c r="G1189" s="90" t="s">
        <v>376</v>
      </c>
      <c r="H1189" s="100">
        <f>IFERROR(SUMIFS(MOVIMIENTOS_COMPLEMENTOS!$I$4:$I$803,MOVIMIENTOS_COMPLEMENTOS!$C$4:$C$803,A1189,MOVIMIENTOS_COMPLEMENTOS!$D$4:$D$803,B1189,MOVIMIENTOS_COMPLEMENTOS!$E$4:$E$803,C1189,MOVIMIENTOS_COMPLEMENTOS!$G$4:$G$803,E1189,MOVIMIENTOS_COMPLEMENTOS!$H$4:$H$803,G1189,MOVIMIENTOS_COMPLEMENTOS!$B$4:$B$803,"INGRESO")+SUMIFS(MOVIMIENTOS_COMPLEMENTOS!$I$4:$I$803,MOVIMIENTOS_COMPLEMENTOS!$C$4:$C$803,A1189,MOVIMIENTOS_COMPLEMENTOS!$D$4:$D$803,B1189,MOVIMIENTOS_COMPLEMENTOS!$E$4:$E$803,C1189,MOVIMIENTOS_COMPLEMENTOS!$G$4:$G$803,E1189,MOVIMIENTOS_COMPLEMENTOS!$H$4:$H$803,G1189,MOVIMIENTOS_COMPLEMENTOS!$B$4:$B$803,"DE CORTE")-SUMIFS(MOVIMIENTOS_COMPLEMENTOS!$I$4:$I$803,MOVIMIENTOS_COMPLEMENTOS!$C$4:$C$803,A1189,MOVIMIENTOS_COMPLEMENTOS!$D$4:$D$803,B1189,MOVIMIENTOS_COMPLEMENTOS!$E$4:$E$803,C1189,MOVIMIENTOS_COMPLEMENTOS!$G$4:$G$803,E1189,MOVIMIENTOS_COMPLEMENTOS!$H$4:$H$803,G1189,MOVIMIENTOS_COMPLEMENTOS!$B$4:$B$803,"SALIDA"),0)</f>
        <v>0</v>
      </c>
      <c r="I1189" s="102">
        <f t="array" ref="I1189">IFERROR(INDEX(PRECIOS_COMPLEMENTOS!$C$4:$F$17,MATCH(B1189&amp;"_"&amp;C1189,PRECIOS_COMPLEMENTOS!$H$4:$H$17,0),IF(OR(G1189="S",G1189="20cm"),1,IF(OR(G1189="M",G1189="25cm"),2,IF(OR(G1189="L",G1189="30cm"),3,IF(OR(G1189="XL",G1189="35cm"),4,0))))),0)</f>
        <v>0.4</v>
      </c>
      <c r="J1189" s="103">
        <f t="shared" si="1"/>
        <v>0</v>
      </c>
      <c r="K1189" s="104" t="str">
        <f>IF(H1189&lt;0,"ERROR",IF(H1189=0,"",IF(H1189&lt;CONFIG!$B$4,"CRÍTICO",IF(H1189&lt;CONFIG!$B$5,"BAJO","OK"))))</f>
        <v/>
      </c>
    </row>
    <row r="1190" ht="15.75" hidden="1" customHeight="1">
      <c r="A1190" s="90" t="str">
        <f>IF(CLIENTES!A9="","",CLIENTES!A9)</f>
        <v/>
      </c>
      <c r="B1190" s="90" t="s">
        <v>321</v>
      </c>
      <c r="C1190" s="91" t="s">
        <v>328</v>
      </c>
      <c r="D1190" s="109" t="s">
        <v>353</v>
      </c>
      <c r="E1190" s="67" t="str">
        <f>COLORES!A20</f>
        <v/>
      </c>
      <c r="F1190" s="67" t="str">
        <f>COLORES!B20</f>
        <v/>
      </c>
      <c r="G1190" s="90" t="s">
        <v>377</v>
      </c>
      <c r="H1190" s="100">
        <f>IFERROR(SUMIFS(MOVIMIENTOS_COMPLEMENTOS!$I$4:$I$803,MOVIMIENTOS_COMPLEMENTOS!$C$4:$C$803,A1190,MOVIMIENTOS_COMPLEMENTOS!$D$4:$D$803,B1190,MOVIMIENTOS_COMPLEMENTOS!$E$4:$E$803,C1190,MOVIMIENTOS_COMPLEMENTOS!$G$4:$G$803,E1190,MOVIMIENTOS_COMPLEMENTOS!$H$4:$H$803,G1190,MOVIMIENTOS_COMPLEMENTOS!$B$4:$B$803,"INGRESO")+SUMIFS(MOVIMIENTOS_COMPLEMENTOS!$I$4:$I$803,MOVIMIENTOS_COMPLEMENTOS!$C$4:$C$803,A1190,MOVIMIENTOS_COMPLEMENTOS!$D$4:$D$803,B1190,MOVIMIENTOS_COMPLEMENTOS!$E$4:$E$803,C1190,MOVIMIENTOS_COMPLEMENTOS!$G$4:$G$803,E1190,MOVIMIENTOS_COMPLEMENTOS!$H$4:$H$803,G1190,MOVIMIENTOS_COMPLEMENTOS!$B$4:$B$803,"DE CORTE")-SUMIFS(MOVIMIENTOS_COMPLEMENTOS!$I$4:$I$803,MOVIMIENTOS_COMPLEMENTOS!$C$4:$C$803,A1190,MOVIMIENTOS_COMPLEMENTOS!$D$4:$D$803,B1190,MOVIMIENTOS_COMPLEMENTOS!$E$4:$E$803,C1190,MOVIMIENTOS_COMPLEMENTOS!$G$4:$G$803,E1190,MOVIMIENTOS_COMPLEMENTOS!$H$4:$H$803,G1190,MOVIMIENTOS_COMPLEMENTOS!$B$4:$B$803,"SALIDA"),0)</f>
        <v>0</v>
      </c>
      <c r="I1190" s="102">
        <f t="array" ref="I1190">IFERROR(INDEX(PRECIOS_COMPLEMENTOS!$C$4:$F$17,MATCH(B1190&amp;"_"&amp;C1190,PRECIOS_COMPLEMENTOS!$H$4:$H$17,0),IF(OR(G1190="S",G1190="20cm"),1,IF(OR(G1190="M",G1190="25cm"),2,IF(OR(G1190="L",G1190="30cm"),3,IF(OR(G1190="XL",G1190="35cm"),4,0))))),0)</f>
        <v>0.4</v>
      </c>
      <c r="J1190" s="103">
        <f t="shared" si="1"/>
        <v>0</v>
      </c>
      <c r="K1190" s="104" t="str">
        <f>IF(H1190&lt;0,"ERROR",IF(H1190=0,"",IF(H1190&lt;CONFIG!$B$4,"CRÍTICO",IF(H1190&lt;CONFIG!$B$5,"BAJO","OK"))))</f>
        <v/>
      </c>
    </row>
    <row r="1191" ht="15.75" hidden="1" customHeight="1">
      <c r="A1191" s="90" t="str">
        <f>IF(CLIENTES!A9="","",CLIENTES!A9)</f>
        <v/>
      </c>
      <c r="B1191" s="90" t="s">
        <v>321</v>
      </c>
      <c r="C1191" s="91" t="s">
        <v>328</v>
      </c>
      <c r="D1191" s="109" t="s">
        <v>353</v>
      </c>
      <c r="E1191" s="67" t="str">
        <f>COLORES!A20</f>
        <v/>
      </c>
      <c r="F1191" s="67" t="str">
        <f>COLORES!B20</f>
        <v/>
      </c>
      <c r="G1191" s="90" t="s">
        <v>379</v>
      </c>
      <c r="H1191" s="100">
        <f>IFERROR(SUMIFS(MOVIMIENTOS_COMPLEMENTOS!$I$4:$I$803,MOVIMIENTOS_COMPLEMENTOS!$C$4:$C$803,A1191,MOVIMIENTOS_COMPLEMENTOS!$D$4:$D$803,B1191,MOVIMIENTOS_COMPLEMENTOS!$E$4:$E$803,C1191,MOVIMIENTOS_COMPLEMENTOS!$G$4:$G$803,E1191,MOVIMIENTOS_COMPLEMENTOS!$H$4:$H$803,G1191,MOVIMIENTOS_COMPLEMENTOS!$B$4:$B$803,"INGRESO")+SUMIFS(MOVIMIENTOS_COMPLEMENTOS!$I$4:$I$803,MOVIMIENTOS_COMPLEMENTOS!$C$4:$C$803,A1191,MOVIMIENTOS_COMPLEMENTOS!$D$4:$D$803,B1191,MOVIMIENTOS_COMPLEMENTOS!$E$4:$E$803,C1191,MOVIMIENTOS_COMPLEMENTOS!$G$4:$G$803,E1191,MOVIMIENTOS_COMPLEMENTOS!$H$4:$H$803,G1191,MOVIMIENTOS_COMPLEMENTOS!$B$4:$B$803,"DE CORTE")-SUMIFS(MOVIMIENTOS_COMPLEMENTOS!$I$4:$I$803,MOVIMIENTOS_COMPLEMENTOS!$C$4:$C$803,A1191,MOVIMIENTOS_COMPLEMENTOS!$D$4:$D$803,B1191,MOVIMIENTOS_COMPLEMENTOS!$E$4:$E$803,C1191,MOVIMIENTOS_COMPLEMENTOS!$G$4:$G$803,E1191,MOVIMIENTOS_COMPLEMENTOS!$H$4:$H$803,G1191,MOVIMIENTOS_COMPLEMENTOS!$B$4:$B$803,"SALIDA"),0)</f>
        <v>0</v>
      </c>
      <c r="I1191" s="102">
        <f t="array" ref="I1191">IFERROR(INDEX(PRECIOS_COMPLEMENTOS!$C$4:$F$17,MATCH(B1191&amp;"_"&amp;C1191,PRECIOS_COMPLEMENTOS!$H$4:$H$17,0),IF(OR(G1191="S",G1191="20cm"),1,IF(OR(G1191="M",G1191="25cm"),2,IF(OR(G1191="L",G1191="30cm"),3,IF(OR(G1191="XL",G1191="35cm"),4,0))))),0)</f>
        <v>0.4</v>
      </c>
      <c r="J1191" s="103">
        <f t="shared" si="1"/>
        <v>0</v>
      </c>
      <c r="K1191" s="104" t="str">
        <f>IF(H1191&lt;0,"ERROR",IF(H1191=0,"",IF(H1191&lt;CONFIG!$B$4,"CRÍTICO",IF(H1191&lt;CONFIG!$B$5,"BAJO","OK"))))</f>
        <v/>
      </c>
    </row>
    <row r="1192" ht="15.75" hidden="1" customHeight="1">
      <c r="A1192" s="90" t="str">
        <f>IF(CLIENTES!A9="","",CLIENTES!A9)</f>
        <v/>
      </c>
      <c r="B1192" s="90" t="s">
        <v>321</v>
      </c>
      <c r="C1192" s="91" t="s">
        <v>328</v>
      </c>
      <c r="D1192" s="109" t="s">
        <v>353</v>
      </c>
      <c r="E1192" s="67" t="str">
        <f>COLORES!A21</f>
        <v/>
      </c>
      <c r="F1192" s="67" t="str">
        <f>COLORES!B21</f>
        <v/>
      </c>
      <c r="G1192" s="90" t="s">
        <v>378</v>
      </c>
      <c r="H1192" s="100">
        <f>IFERROR(SUMIFS(MOVIMIENTOS_COMPLEMENTOS!$I$4:$I$803,MOVIMIENTOS_COMPLEMENTOS!$C$4:$C$803,A1192,MOVIMIENTOS_COMPLEMENTOS!$D$4:$D$803,B1192,MOVIMIENTOS_COMPLEMENTOS!$E$4:$E$803,C1192,MOVIMIENTOS_COMPLEMENTOS!$G$4:$G$803,E1192,MOVIMIENTOS_COMPLEMENTOS!$H$4:$H$803,G1192,MOVIMIENTOS_COMPLEMENTOS!$B$4:$B$803,"INGRESO")+SUMIFS(MOVIMIENTOS_COMPLEMENTOS!$I$4:$I$803,MOVIMIENTOS_COMPLEMENTOS!$C$4:$C$803,A1192,MOVIMIENTOS_COMPLEMENTOS!$D$4:$D$803,B1192,MOVIMIENTOS_COMPLEMENTOS!$E$4:$E$803,C1192,MOVIMIENTOS_COMPLEMENTOS!$G$4:$G$803,E1192,MOVIMIENTOS_COMPLEMENTOS!$H$4:$H$803,G1192,MOVIMIENTOS_COMPLEMENTOS!$B$4:$B$803,"DE CORTE")-SUMIFS(MOVIMIENTOS_COMPLEMENTOS!$I$4:$I$803,MOVIMIENTOS_COMPLEMENTOS!$C$4:$C$803,A1192,MOVIMIENTOS_COMPLEMENTOS!$D$4:$D$803,B1192,MOVIMIENTOS_COMPLEMENTOS!$E$4:$E$803,C1192,MOVIMIENTOS_COMPLEMENTOS!$G$4:$G$803,E1192,MOVIMIENTOS_COMPLEMENTOS!$H$4:$H$803,G1192,MOVIMIENTOS_COMPLEMENTOS!$B$4:$B$803,"SALIDA"),0)</f>
        <v>0</v>
      </c>
      <c r="I1192" s="102">
        <f t="array" ref="I1192">IFERROR(INDEX(PRECIOS_COMPLEMENTOS!$C$4:$F$17,MATCH(B1192&amp;"_"&amp;C1192,PRECIOS_COMPLEMENTOS!$H$4:$H$17,0),IF(OR(G1192="S",G1192="20cm"),1,IF(OR(G1192="M",G1192="25cm"),2,IF(OR(G1192="L",G1192="30cm"),3,IF(OR(G1192="XL",G1192="35cm"),4,0))))),0)</f>
        <v>0.4</v>
      </c>
      <c r="J1192" s="103">
        <f t="shared" si="1"/>
        <v>0</v>
      </c>
      <c r="K1192" s="104" t="str">
        <f>IF(H1192&lt;0,"ERROR",IF(H1192=0,"",IF(H1192&lt;CONFIG!$B$4,"CRÍTICO",IF(H1192&lt;CONFIG!$B$5,"BAJO","OK"))))</f>
        <v/>
      </c>
    </row>
    <row r="1193" ht="15.75" hidden="1" customHeight="1">
      <c r="A1193" s="90" t="str">
        <f>IF(CLIENTES!A9="","",CLIENTES!A9)</f>
        <v/>
      </c>
      <c r="B1193" s="90" t="s">
        <v>321</v>
      </c>
      <c r="C1193" s="91" t="s">
        <v>328</v>
      </c>
      <c r="D1193" s="109" t="s">
        <v>353</v>
      </c>
      <c r="E1193" s="67" t="str">
        <f>COLORES!A21</f>
        <v/>
      </c>
      <c r="F1193" s="67" t="str">
        <f>COLORES!B21</f>
        <v/>
      </c>
      <c r="G1193" s="90" t="s">
        <v>376</v>
      </c>
      <c r="H1193" s="100">
        <f>IFERROR(SUMIFS(MOVIMIENTOS_COMPLEMENTOS!$I$4:$I$803,MOVIMIENTOS_COMPLEMENTOS!$C$4:$C$803,A1193,MOVIMIENTOS_COMPLEMENTOS!$D$4:$D$803,B1193,MOVIMIENTOS_COMPLEMENTOS!$E$4:$E$803,C1193,MOVIMIENTOS_COMPLEMENTOS!$G$4:$G$803,E1193,MOVIMIENTOS_COMPLEMENTOS!$H$4:$H$803,G1193,MOVIMIENTOS_COMPLEMENTOS!$B$4:$B$803,"INGRESO")+SUMIFS(MOVIMIENTOS_COMPLEMENTOS!$I$4:$I$803,MOVIMIENTOS_COMPLEMENTOS!$C$4:$C$803,A1193,MOVIMIENTOS_COMPLEMENTOS!$D$4:$D$803,B1193,MOVIMIENTOS_COMPLEMENTOS!$E$4:$E$803,C1193,MOVIMIENTOS_COMPLEMENTOS!$G$4:$G$803,E1193,MOVIMIENTOS_COMPLEMENTOS!$H$4:$H$803,G1193,MOVIMIENTOS_COMPLEMENTOS!$B$4:$B$803,"DE CORTE")-SUMIFS(MOVIMIENTOS_COMPLEMENTOS!$I$4:$I$803,MOVIMIENTOS_COMPLEMENTOS!$C$4:$C$803,A1193,MOVIMIENTOS_COMPLEMENTOS!$D$4:$D$803,B1193,MOVIMIENTOS_COMPLEMENTOS!$E$4:$E$803,C1193,MOVIMIENTOS_COMPLEMENTOS!$G$4:$G$803,E1193,MOVIMIENTOS_COMPLEMENTOS!$H$4:$H$803,G1193,MOVIMIENTOS_COMPLEMENTOS!$B$4:$B$803,"SALIDA"),0)</f>
        <v>0</v>
      </c>
      <c r="I1193" s="102">
        <f t="array" ref="I1193">IFERROR(INDEX(PRECIOS_COMPLEMENTOS!$C$4:$F$17,MATCH(B1193&amp;"_"&amp;C1193,PRECIOS_COMPLEMENTOS!$H$4:$H$17,0),IF(OR(G1193="S",G1193="20cm"),1,IF(OR(G1193="M",G1193="25cm"),2,IF(OR(G1193="L",G1193="30cm"),3,IF(OR(G1193="XL",G1193="35cm"),4,0))))),0)</f>
        <v>0.4</v>
      </c>
      <c r="J1193" s="103">
        <f t="shared" si="1"/>
        <v>0</v>
      </c>
      <c r="K1193" s="104" t="str">
        <f>IF(H1193&lt;0,"ERROR",IF(H1193=0,"",IF(H1193&lt;CONFIG!$B$4,"CRÍTICO",IF(H1193&lt;CONFIG!$B$5,"BAJO","OK"))))</f>
        <v/>
      </c>
    </row>
    <row r="1194" ht="15.75" hidden="1" customHeight="1">
      <c r="A1194" s="90" t="str">
        <f>IF(CLIENTES!A9="","",CLIENTES!A9)</f>
        <v/>
      </c>
      <c r="B1194" s="90" t="s">
        <v>321</v>
      </c>
      <c r="C1194" s="91" t="s">
        <v>328</v>
      </c>
      <c r="D1194" s="109" t="s">
        <v>353</v>
      </c>
      <c r="E1194" s="67" t="str">
        <f>COLORES!A21</f>
        <v/>
      </c>
      <c r="F1194" s="67" t="str">
        <f>COLORES!B21</f>
        <v/>
      </c>
      <c r="G1194" s="90" t="s">
        <v>377</v>
      </c>
      <c r="H1194" s="100">
        <f>IFERROR(SUMIFS(MOVIMIENTOS_COMPLEMENTOS!$I$4:$I$803,MOVIMIENTOS_COMPLEMENTOS!$C$4:$C$803,A1194,MOVIMIENTOS_COMPLEMENTOS!$D$4:$D$803,B1194,MOVIMIENTOS_COMPLEMENTOS!$E$4:$E$803,C1194,MOVIMIENTOS_COMPLEMENTOS!$G$4:$G$803,E1194,MOVIMIENTOS_COMPLEMENTOS!$H$4:$H$803,G1194,MOVIMIENTOS_COMPLEMENTOS!$B$4:$B$803,"INGRESO")+SUMIFS(MOVIMIENTOS_COMPLEMENTOS!$I$4:$I$803,MOVIMIENTOS_COMPLEMENTOS!$C$4:$C$803,A1194,MOVIMIENTOS_COMPLEMENTOS!$D$4:$D$803,B1194,MOVIMIENTOS_COMPLEMENTOS!$E$4:$E$803,C1194,MOVIMIENTOS_COMPLEMENTOS!$G$4:$G$803,E1194,MOVIMIENTOS_COMPLEMENTOS!$H$4:$H$803,G1194,MOVIMIENTOS_COMPLEMENTOS!$B$4:$B$803,"DE CORTE")-SUMIFS(MOVIMIENTOS_COMPLEMENTOS!$I$4:$I$803,MOVIMIENTOS_COMPLEMENTOS!$C$4:$C$803,A1194,MOVIMIENTOS_COMPLEMENTOS!$D$4:$D$803,B1194,MOVIMIENTOS_COMPLEMENTOS!$E$4:$E$803,C1194,MOVIMIENTOS_COMPLEMENTOS!$G$4:$G$803,E1194,MOVIMIENTOS_COMPLEMENTOS!$H$4:$H$803,G1194,MOVIMIENTOS_COMPLEMENTOS!$B$4:$B$803,"SALIDA"),0)</f>
        <v>0</v>
      </c>
      <c r="I1194" s="102">
        <f t="array" ref="I1194">IFERROR(INDEX(PRECIOS_COMPLEMENTOS!$C$4:$F$17,MATCH(B1194&amp;"_"&amp;C1194,PRECIOS_COMPLEMENTOS!$H$4:$H$17,0),IF(OR(G1194="S",G1194="20cm"),1,IF(OR(G1194="M",G1194="25cm"),2,IF(OR(G1194="L",G1194="30cm"),3,IF(OR(G1194="XL",G1194="35cm"),4,0))))),0)</f>
        <v>0.4</v>
      </c>
      <c r="J1194" s="103">
        <f t="shared" si="1"/>
        <v>0</v>
      </c>
      <c r="K1194" s="104" t="str">
        <f>IF(H1194&lt;0,"ERROR",IF(H1194=0,"",IF(H1194&lt;CONFIG!$B$4,"CRÍTICO",IF(H1194&lt;CONFIG!$B$5,"BAJO","OK"))))</f>
        <v/>
      </c>
    </row>
    <row r="1195" ht="15.75" hidden="1" customHeight="1">
      <c r="A1195" s="90" t="str">
        <f>IF(CLIENTES!A9="","",CLIENTES!A9)</f>
        <v/>
      </c>
      <c r="B1195" s="90" t="s">
        <v>321</v>
      </c>
      <c r="C1195" s="91" t="s">
        <v>328</v>
      </c>
      <c r="D1195" s="109" t="s">
        <v>353</v>
      </c>
      <c r="E1195" s="67" t="str">
        <f>COLORES!A21</f>
        <v/>
      </c>
      <c r="F1195" s="67" t="str">
        <f>COLORES!B21</f>
        <v/>
      </c>
      <c r="G1195" s="90" t="s">
        <v>379</v>
      </c>
      <c r="H1195" s="100">
        <f>IFERROR(SUMIFS(MOVIMIENTOS_COMPLEMENTOS!$I$4:$I$803,MOVIMIENTOS_COMPLEMENTOS!$C$4:$C$803,A1195,MOVIMIENTOS_COMPLEMENTOS!$D$4:$D$803,B1195,MOVIMIENTOS_COMPLEMENTOS!$E$4:$E$803,C1195,MOVIMIENTOS_COMPLEMENTOS!$G$4:$G$803,E1195,MOVIMIENTOS_COMPLEMENTOS!$H$4:$H$803,G1195,MOVIMIENTOS_COMPLEMENTOS!$B$4:$B$803,"INGRESO")+SUMIFS(MOVIMIENTOS_COMPLEMENTOS!$I$4:$I$803,MOVIMIENTOS_COMPLEMENTOS!$C$4:$C$803,A1195,MOVIMIENTOS_COMPLEMENTOS!$D$4:$D$803,B1195,MOVIMIENTOS_COMPLEMENTOS!$E$4:$E$803,C1195,MOVIMIENTOS_COMPLEMENTOS!$G$4:$G$803,E1195,MOVIMIENTOS_COMPLEMENTOS!$H$4:$H$803,G1195,MOVIMIENTOS_COMPLEMENTOS!$B$4:$B$803,"DE CORTE")-SUMIFS(MOVIMIENTOS_COMPLEMENTOS!$I$4:$I$803,MOVIMIENTOS_COMPLEMENTOS!$C$4:$C$803,A1195,MOVIMIENTOS_COMPLEMENTOS!$D$4:$D$803,B1195,MOVIMIENTOS_COMPLEMENTOS!$E$4:$E$803,C1195,MOVIMIENTOS_COMPLEMENTOS!$G$4:$G$803,E1195,MOVIMIENTOS_COMPLEMENTOS!$H$4:$H$803,G1195,MOVIMIENTOS_COMPLEMENTOS!$B$4:$B$803,"SALIDA"),0)</f>
        <v>0</v>
      </c>
      <c r="I1195" s="102">
        <f t="array" ref="I1195">IFERROR(INDEX(PRECIOS_COMPLEMENTOS!$C$4:$F$17,MATCH(B1195&amp;"_"&amp;C1195,PRECIOS_COMPLEMENTOS!$H$4:$H$17,0),IF(OR(G1195="S",G1195="20cm"),1,IF(OR(G1195="M",G1195="25cm"),2,IF(OR(G1195="L",G1195="30cm"),3,IF(OR(G1195="XL",G1195="35cm"),4,0))))),0)</f>
        <v>0.4</v>
      </c>
      <c r="J1195" s="103">
        <f t="shared" si="1"/>
        <v>0</v>
      </c>
      <c r="K1195" s="104" t="str">
        <f>IF(H1195&lt;0,"ERROR",IF(H1195=0,"",IF(H1195&lt;CONFIG!$B$4,"CRÍTICO",IF(H1195&lt;CONFIG!$B$5,"BAJO","OK"))))</f>
        <v/>
      </c>
    </row>
    <row r="1196" ht="15.75" hidden="1" customHeight="1">
      <c r="A1196" s="90" t="str">
        <f>IF(CLIENTES!A9="","",CLIENTES!A9)</f>
        <v/>
      </c>
      <c r="B1196" s="90" t="s">
        <v>321</v>
      </c>
      <c r="C1196" s="91" t="s">
        <v>328</v>
      </c>
      <c r="D1196" s="109" t="s">
        <v>353</v>
      </c>
      <c r="E1196" s="67" t="str">
        <f>COLORES!A22</f>
        <v/>
      </c>
      <c r="F1196" s="67" t="str">
        <f>COLORES!B22</f>
        <v/>
      </c>
      <c r="G1196" s="90" t="s">
        <v>378</v>
      </c>
      <c r="H1196" s="100">
        <f>IFERROR(SUMIFS(MOVIMIENTOS_COMPLEMENTOS!$I$4:$I$803,MOVIMIENTOS_COMPLEMENTOS!$C$4:$C$803,A1196,MOVIMIENTOS_COMPLEMENTOS!$D$4:$D$803,B1196,MOVIMIENTOS_COMPLEMENTOS!$E$4:$E$803,C1196,MOVIMIENTOS_COMPLEMENTOS!$G$4:$G$803,E1196,MOVIMIENTOS_COMPLEMENTOS!$H$4:$H$803,G1196,MOVIMIENTOS_COMPLEMENTOS!$B$4:$B$803,"INGRESO")+SUMIFS(MOVIMIENTOS_COMPLEMENTOS!$I$4:$I$803,MOVIMIENTOS_COMPLEMENTOS!$C$4:$C$803,A1196,MOVIMIENTOS_COMPLEMENTOS!$D$4:$D$803,B1196,MOVIMIENTOS_COMPLEMENTOS!$E$4:$E$803,C1196,MOVIMIENTOS_COMPLEMENTOS!$G$4:$G$803,E1196,MOVIMIENTOS_COMPLEMENTOS!$H$4:$H$803,G1196,MOVIMIENTOS_COMPLEMENTOS!$B$4:$B$803,"DE CORTE")-SUMIFS(MOVIMIENTOS_COMPLEMENTOS!$I$4:$I$803,MOVIMIENTOS_COMPLEMENTOS!$C$4:$C$803,A1196,MOVIMIENTOS_COMPLEMENTOS!$D$4:$D$803,B1196,MOVIMIENTOS_COMPLEMENTOS!$E$4:$E$803,C1196,MOVIMIENTOS_COMPLEMENTOS!$G$4:$G$803,E1196,MOVIMIENTOS_COMPLEMENTOS!$H$4:$H$803,G1196,MOVIMIENTOS_COMPLEMENTOS!$B$4:$B$803,"SALIDA"),0)</f>
        <v>0</v>
      </c>
      <c r="I1196" s="102">
        <f t="array" ref="I1196">IFERROR(INDEX(PRECIOS_COMPLEMENTOS!$C$4:$F$17,MATCH(B1196&amp;"_"&amp;C1196,PRECIOS_COMPLEMENTOS!$H$4:$H$17,0),IF(OR(G1196="S",G1196="20cm"),1,IF(OR(G1196="M",G1196="25cm"),2,IF(OR(G1196="L",G1196="30cm"),3,IF(OR(G1196="XL",G1196="35cm"),4,0))))),0)</f>
        <v>0.4</v>
      </c>
      <c r="J1196" s="103">
        <f t="shared" si="1"/>
        <v>0</v>
      </c>
      <c r="K1196" s="104" t="str">
        <f>IF(H1196&lt;0,"ERROR",IF(H1196=0,"",IF(H1196&lt;CONFIG!$B$4,"CRÍTICO",IF(H1196&lt;CONFIG!$B$5,"BAJO","OK"))))</f>
        <v/>
      </c>
    </row>
    <row r="1197" ht="15.75" hidden="1" customHeight="1">
      <c r="A1197" s="90" t="str">
        <f>IF(CLIENTES!A9="","",CLIENTES!A9)</f>
        <v/>
      </c>
      <c r="B1197" s="90" t="s">
        <v>321</v>
      </c>
      <c r="C1197" s="91" t="s">
        <v>328</v>
      </c>
      <c r="D1197" s="109" t="s">
        <v>353</v>
      </c>
      <c r="E1197" s="67" t="str">
        <f>COLORES!A22</f>
        <v/>
      </c>
      <c r="F1197" s="67" t="str">
        <f>COLORES!B22</f>
        <v/>
      </c>
      <c r="G1197" s="90" t="s">
        <v>376</v>
      </c>
      <c r="H1197" s="100">
        <f>IFERROR(SUMIFS(MOVIMIENTOS_COMPLEMENTOS!$I$4:$I$803,MOVIMIENTOS_COMPLEMENTOS!$C$4:$C$803,A1197,MOVIMIENTOS_COMPLEMENTOS!$D$4:$D$803,B1197,MOVIMIENTOS_COMPLEMENTOS!$E$4:$E$803,C1197,MOVIMIENTOS_COMPLEMENTOS!$G$4:$G$803,E1197,MOVIMIENTOS_COMPLEMENTOS!$H$4:$H$803,G1197,MOVIMIENTOS_COMPLEMENTOS!$B$4:$B$803,"INGRESO")+SUMIFS(MOVIMIENTOS_COMPLEMENTOS!$I$4:$I$803,MOVIMIENTOS_COMPLEMENTOS!$C$4:$C$803,A1197,MOVIMIENTOS_COMPLEMENTOS!$D$4:$D$803,B1197,MOVIMIENTOS_COMPLEMENTOS!$E$4:$E$803,C1197,MOVIMIENTOS_COMPLEMENTOS!$G$4:$G$803,E1197,MOVIMIENTOS_COMPLEMENTOS!$H$4:$H$803,G1197,MOVIMIENTOS_COMPLEMENTOS!$B$4:$B$803,"DE CORTE")-SUMIFS(MOVIMIENTOS_COMPLEMENTOS!$I$4:$I$803,MOVIMIENTOS_COMPLEMENTOS!$C$4:$C$803,A1197,MOVIMIENTOS_COMPLEMENTOS!$D$4:$D$803,B1197,MOVIMIENTOS_COMPLEMENTOS!$E$4:$E$803,C1197,MOVIMIENTOS_COMPLEMENTOS!$G$4:$G$803,E1197,MOVIMIENTOS_COMPLEMENTOS!$H$4:$H$803,G1197,MOVIMIENTOS_COMPLEMENTOS!$B$4:$B$803,"SALIDA"),0)</f>
        <v>0</v>
      </c>
      <c r="I1197" s="102">
        <f t="array" ref="I1197">IFERROR(INDEX(PRECIOS_COMPLEMENTOS!$C$4:$F$17,MATCH(B1197&amp;"_"&amp;C1197,PRECIOS_COMPLEMENTOS!$H$4:$H$17,0),IF(OR(G1197="S",G1197="20cm"),1,IF(OR(G1197="M",G1197="25cm"),2,IF(OR(G1197="L",G1197="30cm"),3,IF(OR(G1197="XL",G1197="35cm"),4,0))))),0)</f>
        <v>0.4</v>
      </c>
      <c r="J1197" s="103">
        <f t="shared" si="1"/>
        <v>0</v>
      </c>
      <c r="K1197" s="104" t="str">
        <f>IF(H1197&lt;0,"ERROR",IF(H1197=0,"",IF(H1197&lt;CONFIG!$B$4,"CRÍTICO",IF(H1197&lt;CONFIG!$B$5,"BAJO","OK"))))</f>
        <v/>
      </c>
    </row>
    <row r="1198" ht="15.75" hidden="1" customHeight="1">
      <c r="A1198" s="90" t="str">
        <f>IF(CLIENTES!A9="","",CLIENTES!A9)</f>
        <v/>
      </c>
      <c r="B1198" s="90" t="s">
        <v>321</v>
      </c>
      <c r="C1198" s="91" t="s">
        <v>328</v>
      </c>
      <c r="D1198" s="109" t="s">
        <v>353</v>
      </c>
      <c r="E1198" s="67" t="str">
        <f>COLORES!A22</f>
        <v/>
      </c>
      <c r="F1198" s="67" t="str">
        <f>COLORES!B22</f>
        <v/>
      </c>
      <c r="G1198" s="90" t="s">
        <v>377</v>
      </c>
      <c r="H1198" s="100">
        <f>IFERROR(SUMIFS(MOVIMIENTOS_COMPLEMENTOS!$I$4:$I$803,MOVIMIENTOS_COMPLEMENTOS!$C$4:$C$803,A1198,MOVIMIENTOS_COMPLEMENTOS!$D$4:$D$803,B1198,MOVIMIENTOS_COMPLEMENTOS!$E$4:$E$803,C1198,MOVIMIENTOS_COMPLEMENTOS!$G$4:$G$803,E1198,MOVIMIENTOS_COMPLEMENTOS!$H$4:$H$803,G1198,MOVIMIENTOS_COMPLEMENTOS!$B$4:$B$803,"INGRESO")+SUMIFS(MOVIMIENTOS_COMPLEMENTOS!$I$4:$I$803,MOVIMIENTOS_COMPLEMENTOS!$C$4:$C$803,A1198,MOVIMIENTOS_COMPLEMENTOS!$D$4:$D$803,B1198,MOVIMIENTOS_COMPLEMENTOS!$E$4:$E$803,C1198,MOVIMIENTOS_COMPLEMENTOS!$G$4:$G$803,E1198,MOVIMIENTOS_COMPLEMENTOS!$H$4:$H$803,G1198,MOVIMIENTOS_COMPLEMENTOS!$B$4:$B$803,"DE CORTE")-SUMIFS(MOVIMIENTOS_COMPLEMENTOS!$I$4:$I$803,MOVIMIENTOS_COMPLEMENTOS!$C$4:$C$803,A1198,MOVIMIENTOS_COMPLEMENTOS!$D$4:$D$803,B1198,MOVIMIENTOS_COMPLEMENTOS!$E$4:$E$803,C1198,MOVIMIENTOS_COMPLEMENTOS!$G$4:$G$803,E1198,MOVIMIENTOS_COMPLEMENTOS!$H$4:$H$803,G1198,MOVIMIENTOS_COMPLEMENTOS!$B$4:$B$803,"SALIDA"),0)</f>
        <v>0</v>
      </c>
      <c r="I1198" s="102">
        <f t="array" ref="I1198">IFERROR(INDEX(PRECIOS_COMPLEMENTOS!$C$4:$F$17,MATCH(B1198&amp;"_"&amp;C1198,PRECIOS_COMPLEMENTOS!$H$4:$H$17,0),IF(OR(G1198="S",G1198="20cm"),1,IF(OR(G1198="M",G1198="25cm"),2,IF(OR(G1198="L",G1198="30cm"),3,IF(OR(G1198="XL",G1198="35cm"),4,0))))),0)</f>
        <v>0.4</v>
      </c>
      <c r="J1198" s="103">
        <f t="shared" si="1"/>
        <v>0</v>
      </c>
      <c r="K1198" s="104" t="str">
        <f>IF(H1198&lt;0,"ERROR",IF(H1198=0,"",IF(H1198&lt;CONFIG!$B$4,"CRÍTICO",IF(H1198&lt;CONFIG!$B$5,"BAJO","OK"))))</f>
        <v/>
      </c>
    </row>
    <row r="1199" ht="15.75" hidden="1" customHeight="1">
      <c r="A1199" s="90" t="str">
        <f>IF(CLIENTES!A9="","",CLIENTES!A9)</f>
        <v/>
      </c>
      <c r="B1199" s="90" t="s">
        <v>321</v>
      </c>
      <c r="C1199" s="91" t="s">
        <v>328</v>
      </c>
      <c r="D1199" s="109" t="s">
        <v>353</v>
      </c>
      <c r="E1199" s="67" t="str">
        <f>COLORES!A22</f>
        <v/>
      </c>
      <c r="F1199" s="67" t="str">
        <f>COLORES!B22</f>
        <v/>
      </c>
      <c r="G1199" s="90" t="s">
        <v>379</v>
      </c>
      <c r="H1199" s="100">
        <f>IFERROR(SUMIFS(MOVIMIENTOS_COMPLEMENTOS!$I$4:$I$803,MOVIMIENTOS_COMPLEMENTOS!$C$4:$C$803,A1199,MOVIMIENTOS_COMPLEMENTOS!$D$4:$D$803,B1199,MOVIMIENTOS_COMPLEMENTOS!$E$4:$E$803,C1199,MOVIMIENTOS_COMPLEMENTOS!$G$4:$G$803,E1199,MOVIMIENTOS_COMPLEMENTOS!$H$4:$H$803,G1199,MOVIMIENTOS_COMPLEMENTOS!$B$4:$B$803,"INGRESO")+SUMIFS(MOVIMIENTOS_COMPLEMENTOS!$I$4:$I$803,MOVIMIENTOS_COMPLEMENTOS!$C$4:$C$803,A1199,MOVIMIENTOS_COMPLEMENTOS!$D$4:$D$803,B1199,MOVIMIENTOS_COMPLEMENTOS!$E$4:$E$803,C1199,MOVIMIENTOS_COMPLEMENTOS!$G$4:$G$803,E1199,MOVIMIENTOS_COMPLEMENTOS!$H$4:$H$803,G1199,MOVIMIENTOS_COMPLEMENTOS!$B$4:$B$803,"DE CORTE")-SUMIFS(MOVIMIENTOS_COMPLEMENTOS!$I$4:$I$803,MOVIMIENTOS_COMPLEMENTOS!$C$4:$C$803,A1199,MOVIMIENTOS_COMPLEMENTOS!$D$4:$D$803,B1199,MOVIMIENTOS_COMPLEMENTOS!$E$4:$E$803,C1199,MOVIMIENTOS_COMPLEMENTOS!$G$4:$G$803,E1199,MOVIMIENTOS_COMPLEMENTOS!$H$4:$H$803,G1199,MOVIMIENTOS_COMPLEMENTOS!$B$4:$B$803,"SALIDA"),0)</f>
        <v>0</v>
      </c>
      <c r="I1199" s="102">
        <f t="array" ref="I1199">IFERROR(INDEX(PRECIOS_COMPLEMENTOS!$C$4:$F$17,MATCH(B1199&amp;"_"&amp;C1199,PRECIOS_COMPLEMENTOS!$H$4:$H$17,0),IF(OR(G1199="S",G1199="20cm"),1,IF(OR(G1199="M",G1199="25cm"),2,IF(OR(G1199="L",G1199="30cm"),3,IF(OR(G1199="XL",G1199="35cm"),4,0))))),0)</f>
        <v>0.4</v>
      </c>
      <c r="J1199" s="103">
        <f t="shared" si="1"/>
        <v>0</v>
      </c>
      <c r="K1199" s="104" t="str">
        <f>IF(H1199&lt;0,"ERROR",IF(H1199=0,"",IF(H1199&lt;CONFIG!$B$4,"CRÍTICO",IF(H1199&lt;CONFIG!$B$5,"BAJO","OK"))))</f>
        <v/>
      </c>
    </row>
    <row r="1200" ht="15.75" hidden="1" customHeight="1">
      <c r="A1200" s="90" t="str">
        <f>IF(CLIENTES!A9="","",CLIENTES!A9)</f>
        <v/>
      </c>
      <c r="B1200" s="90" t="s">
        <v>321</v>
      </c>
      <c r="C1200" s="91" t="s">
        <v>328</v>
      </c>
      <c r="D1200" s="109" t="s">
        <v>353</v>
      </c>
      <c r="E1200" s="67" t="str">
        <f>COLORES!A23</f>
        <v/>
      </c>
      <c r="F1200" s="67" t="str">
        <f>COLORES!B23</f>
        <v/>
      </c>
      <c r="G1200" s="90" t="s">
        <v>378</v>
      </c>
      <c r="H1200" s="100">
        <f>IFERROR(SUMIFS(MOVIMIENTOS_COMPLEMENTOS!$I$4:$I$803,MOVIMIENTOS_COMPLEMENTOS!$C$4:$C$803,A1200,MOVIMIENTOS_COMPLEMENTOS!$D$4:$D$803,B1200,MOVIMIENTOS_COMPLEMENTOS!$E$4:$E$803,C1200,MOVIMIENTOS_COMPLEMENTOS!$G$4:$G$803,E1200,MOVIMIENTOS_COMPLEMENTOS!$H$4:$H$803,G1200,MOVIMIENTOS_COMPLEMENTOS!$B$4:$B$803,"INGRESO")+SUMIFS(MOVIMIENTOS_COMPLEMENTOS!$I$4:$I$803,MOVIMIENTOS_COMPLEMENTOS!$C$4:$C$803,A1200,MOVIMIENTOS_COMPLEMENTOS!$D$4:$D$803,B1200,MOVIMIENTOS_COMPLEMENTOS!$E$4:$E$803,C1200,MOVIMIENTOS_COMPLEMENTOS!$G$4:$G$803,E1200,MOVIMIENTOS_COMPLEMENTOS!$H$4:$H$803,G1200,MOVIMIENTOS_COMPLEMENTOS!$B$4:$B$803,"DE CORTE")-SUMIFS(MOVIMIENTOS_COMPLEMENTOS!$I$4:$I$803,MOVIMIENTOS_COMPLEMENTOS!$C$4:$C$803,A1200,MOVIMIENTOS_COMPLEMENTOS!$D$4:$D$803,B1200,MOVIMIENTOS_COMPLEMENTOS!$E$4:$E$803,C1200,MOVIMIENTOS_COMPLEMENTOS!$G$4:$G$803,E1200,MOVIMIENTOS_COMPLEMENTOS!$H$4:$H$803,G1200,MOVIMIENTOS_COMPLEMENTOS!$B$4:$B$803,"SALIDA"),0)</f>
        <v>0</v>
      </c>
      <c r="I1200" s="102">
        <f t="array" ref="I1200">IFERROR(INDEX(PRECIOS_COMPLEMENTOS!$C$4:$F$17,MATCH(B1200&amp;"_"&amp;C1200,PRECIOS_COMPLEMENTOS!$H$4:$H$17,0),IF(OR(G1200="S",G1200="20cm"),1,IF(OR(G1200="M",G1200="25cm"),2,IF(OR(G1200="L",G1200="30cm"),3,IF(OR(G1200="XL",G1200="35cm"),4,0))))),0)</f>
        <v>0.4</v>
      </c>
      <c r="J1200" s="103">
        <f t="shared" si="1"/>
        <v>0</v>
      </c>
      <c r="K1200" s="104" t="str">
        <f>IF(H1200&lt;0,"ERROR",IF(H1200=0,"",IF(H1200&lt;CONFIG!$B$4,"CRÍTICO",IF(H1200&lt;CONFIG!$B$5,"BAJO","OK"))))</f>
        <v/>
      </c>
    </row>
    <row r="1201" ht="15.75" hidden="1" customHeight="1">
      <c r="A1201" s="90" t="str">
        <f>IF(CLIENTES!A9="","",CLIENTES!A9)</f>
        <v/>
      </c>
      <c r="B1201" s="90" t="s">
        <v>321</v>
      </c>
      <c r="C1201" s="91" t="s">
        <v>328</v>
      </c>
      <c r="D1201" s="109" t="s">
        <v>353</v>
      </c>
      <c r="E1201" s="67" t="str">
        <f>COLORES!A23</f>
        <v/>
      </c>
      <c r="F1201" s="67" t="str">
        <f>COLORES!B23</f>
        <v/>
      </c>
      <c r="G1201" s="90" t="s">
        <v>376</v>
      </c>
      <c r="H1201" s="100">
        <f>IFERROR(SUMIFS(MOVIMIENTOS_COMPLEMENTOS!$I$4:$I$803,MOVIMIENTOS_COMPLEMENTOS!$C$4:$C$803,A1201,MOVIMIENTOS_COMPLEMENTOS!$D$4:$D$803,B1201,MOVIMIENTOS_COMPLEMENTOS!$E$4:$E$803,C1201,MOVIMIENTOS_COMPLEMENTOS!$G$4:$G$803,E1201,MOVIMIENTOS_COMPLEMENTOS!$H$4:$H$803,G1201,MOVIMIENTOS_COMPLEMENTOS!$B$4:$B$803,"INGRESO")+SUMIFS(MOVIMIENTOS_COMPLEMENTOS!$I$4:$I$803,MOVIMIENTOS_COMPLEMENTOS!$C$4:$C$803,A1201,MOVIMIENTOS_COMPLEMENTOS!$D$4:$D$803,B1201,MOVIMIENTOS_COMPLEMENTOS!$E$4:$E$803,C1201,MOVIMIENTOS_COMPLEMENTOS!$G$4:$G$803,E1201,MOVIMIENTOS_COMPLEMENTOS!$H$4:$H$803,G1201,MOVIMIENTOS_COMPLEMENTOS!$B$4:$B$803,"DE CORTE")-SUMIFS(MOVIMIENTOS_COMPLEMENTOS!$I$4:$I$803,MOVIMIENTOS_COMPLEMENTOS!$C$4:$C$803,A1201,MOVIMIENTOS_COMPLEMENTOS!$D$4:$D$803,B1201,MOVIMIENTOS_COMPLEMENTOS!$E$4:$E$803,C1201,MOVIMIENTOS_COMPLEMENTOS!$G$4:$G$803,E1201,MOVIMIENTOS_COMPLEMENTOS!$H$4:$H$803,G1201,MOVIMIENTOS_COMPLEMENTOS!$B$4:$B$803,"SALIDA"),0)</f>
        <v>0</v>
      </c>
      <c r="I1201" s="102">
        <f t="array" ref="I1201">IFERROR(INDEX(PRECIOS_COMPLEMENTOS!$C$4:$F$17,MATCH(B1201&amp;"_"&amp;C1201,PRECIOS_COMPLEMENTOS!$H$4:$H$17,0),IF(OR(G1201="S",G1201="20cm"),1,IF(OR(G1201="M",G1201="25cm"),2,IF(OR(G1201="L",G1201="30cm"),3,IF(OR(G1201="XL",G1201="35cm"),4,0))))),0)</f>
        <v>0.4</v>
      </c>
      <c r="J1201" s="103">
        <f t="shared" si="1"/>
        <v>0</v>
      </c>
      <c r="K1201" s="104" t="str">
        <f>IF(H1201&lt;0,"ERROR",IF(H1201=0,"",IF(H1201&lt;CONFIG!$B$4,"CRÍTICO",IF(H1201&lt;CONFIG!$B$5,"BAJO","OK"))))</f>
        <v/>
      </c>
    </row>
    <row r="1202" ht="15.75" hidden="1" customHeight="1">
      <c r="A1202" s="90" t="str">
        <f>IF(CLIENTES!A9="","",CLIENTES!A9)</f>
        <v/>
      </c>
      <c r="B1202" s="90" t="s">
        <v>321</v>
      </c>
      <c r="C1202" s="91" t="s">
        <v>328</v>
      </c>
      <c r="D1202" s="109" t="s">
        <v>353</v>
      </c>
      <c r="E1202" s="67" t="str">
        <f>COLORES!A23</f>
        <v/>
      </c>
      <c r="F1202" s="67" t="str">
        <f>COLORES!B23</f>
        <v/>
      </c>
      <c r="G1202" s="90" t="s">
        <v>377</v>
      </c>
      <c r="H1202" s="100">
        <f>IFERROR(SUMIFS(MOVIMIENTOS_COMPLEMENTOS!$I$4:$I$803,MOVIMIENTOS_COMPLEMENTOS!$C$4:$C$803,A1202,MOVIMIENTOS_COMPLEMENTOS!$D$4:$D$803,B1202,MOVIMIENTOS_COMPLEMENTOS!$E$4:$E$803,C1202,MOVIMIENTOS_COMPLEMENTOS!$G$4:$G$803,E1202,MOVIMIENTOS_COMPLEMENTOS!$H$4:$H$803,G1202,MOVIMIENTOS_COMPLEMENTOS!$B$4:$B$803,"INGRESO")+SUMIFS(MOVIMIENTOS_COMPLEMENTOS!$I$4:$I$803,MOVIMIENTOS_COMPLEMENTOS!$C$4:$C$803,A1202,MOVIMIENTOS_COMPLEMENTOS!$D$4:$D$803,B1202,MOVIMIENTOS_COMPLEMENTOS!$E$4:$E$803,C1202,MOVIMIENTOS_COMPLEMENTOS!$G$4:$G$803,E1202,MOVIMIENTOS_COMPLEMENTOS!$H$4:$H$803,G1202,MOVIMIENTOS_COMPLEMENTOS!$B$4:$B$803,"DE CORTE")-SUMIFS(MOVIMIENTOS_COMPLEMENTOS!$I$4:$I$803,MOVIMIENTOS_COMPLEMENTOS!$C$4:$C$803,A1202,MOVIMIENTOS_COMPLEMENTOS!$D$4:$D$803,B1202,MOVIMIENTOS_COMPLEMENTOS!$E$4:$E$803,C1202,MOVIMIENTOS_COMPLEMENTOS!$G$4:$G$803,E1202,MOVIMIENTOS_COMPLEMENTOS!$H$4:$H$803,G1202,MOVIMIENTOS_COMPLEMENTOS!$B$4:$B$803,"SALIDA"),0)</f>
        <v>0</v>
      </c>
      <c r="I1202" s="102">
        <f t="array" ref="I1202">IFERROR(INDEX(PRECIOS_COMPLEMENTOS!$C$4:$F$17,MATCH(B1202&amp;"_"&amp;C1202,PRECIOS_COMPLEMENTOS!$H$4:$H$17,0),IF(OR(G1202="S",G1202="20cm"),1,IF(OR(G1202="M",G1202="25cm"),2,IF(OR(G1202="L",G1202="30cm"),3,IF(OR(G1202="XL",G1202="35cm"),4,0))))),0)</f>
        <v>0.4</v>
      </c>
      <c r="J1202" s="103">
        <f t="shared" si="1"/>
        <v>0</v>
      </c>
      <c r="K1202" s="104" t="str">
        <f>IF(H1202&lt;0,"ERROR",IF(H1202=0,"",IF(H1202&lt;CONFIG!$B$4,"CRÍTICO",IF(H1202&lt;CONFIG!$B$5,"BAJO","OK"))))</f>
        <v/>
      </c>
    </row>
    <row r="1203" ht="15.75" hidden="1" customHeight="1">
      <c r="A1203" s="90" t="str">
        <f>IF(CLIENTES!A9="","",CLIENTES!A9)</f>
        <v/>
      </c>
      <c r="B1203" s="90" t="s">
        <v>321</v>
      </c>
      <c r="C1203" s="91" t="s">
        <v>328</v>
      </c>
      <c r="D1203" s="109" t="s">
        <v>353</v>
      </c>
      <c r="E1203" s="67" t="str">
        <f>COLORES!A23</f>
        <v/>
      </c>
      <c r="F1203" s="67" t="str">
        <f>COLORES!B23</f>
        <v/>
      </c>
      <c r="G1203" s="90" t="s">
        <v>379</v>
      </c>
      <c r="H1203" s="100">
        <f>IFERROR(SUMIFS(MOVIMIENTOS_COMPLEMENTOS!$I$4:$I$803,MOVIMIENTOS_COMPLEMENTOS!$C$4:$C$803,A1203,MOVIMIENTOS_COMPLEMENTOS!$D$4:$D$803,B1203,MOVIMIENTOS_COMPLEMENTOS!$E$4:$E$803,C1203,MOVIMIENTOS_COMPLEMENTOS!$G$4:$G$803,E1203,MOVIMIENTOS_COMPLEMENTOS!$H$4:$H$803,G1203,MOVIMIENTOS_COMPLEMENTOS!$B$4:$B$803,"INGRESO")+SUMIFS(MOVIMIENTOS_COMPLEMENTOS!$I$4:$I$803,MOVIMIENTOS_COMPLEMENTOS!$C$4:$C$803,A1203,MOVIMIENTOS_COMPLEMENTOS!$D$4:$D$803,B1203,MOVIMIENTOS_COMPLEMENTOS!$E$4:$E$803,C1203,MOVIMIENTOS_COMPLEMENTOS!$G$4:$G$803,E1203,MOVIMIENTOS_COMPLEMENTOS!$H$4:$H$803,G1203,MOVIMIENTOS_COMPLEMENTOS!$B$4:$B$803,"DE CORTE")-SUMIFS(MOVIMIENTOS_COMPLEMENTOS!$I$4:$I$803,MOVIMIENTOS_COMPLEMENTOS!$C$4:$C$803,A1203,MOVIMIENTOS_COMPLEMENTOS!$D$4:$D$803,B1203,MOVIMIENTOS_COMPLEMENTOS!$E$4:$E$803,C1203,MOVIMIENTOS_COMPLEMENTOS!$G$4:$G$803,E1203,MOVIMIENTOS_COMPLEMENTOS!$H$4:$H$803,G1203,MOVIMIENTOS_COMPLEMENTOS!$B$4:$B$803,"SALIDA"),0)</f>
        <v>0</v>
      </c>
      <c r="I1203" s="102">
        <f t="array" ref="I1203">IFERROR(INDEX(PRECIOS_COMPLEMENTOS!$C$4:$F$17,MATCH(B1203&amp;"_"&amp;C1203,PRECIOS_COMPLEMENTOS!$H$4:$H$17,0),IF(OR(G1203="S",G1203="20cm"),1,IF(OR(G1203="M",G1203="25cm"),2,IF(OR(G1203="L",G1203="30cm"),3,IF(OR(G1203="XL",G1203="35cm"),4,0))))),0)</f>
        <v>0.4</v>
      </c>
      <c r="J1203" s="103">
        <f t="shared" si="1"/>
        <v>0</v>
      </c>
      <c r="K1203" s="104" t="str">
        <f>IF(H1203&lt;0,"ERROR",IF(H1203=0,"",IF(H1203&lt;CONFIG!$B$4,"CRÍTICO",IF(H1203&lt;CONFIG!$B$5,"BAJO","OK"))))</f>
        <v/>
      </c>
    </row>
    <row r="1204" ht="15.75" hidden="1" customHeight="1">
      <c r="A1204" s="90" t="str">
        <f>IF(CLIENTES!A4="","",CLIENTES!A4)</f>
        <v>OverShark</v>
      </c>
      <c r="B1204" s="90" t="s">
        <v>324</v>
      </c>
      <c r="C1204" s="91" t="s">
        <v>322</v>
      </c>
      <c r="D1204" s="109" t="s">
        <v>353</v>
      </c>
      <c r="E1204" s="67" t="str">
        <f>COLORES!A4</f>
        <v>Negro</v>
      </c>
      <c r="F1204" s="67" t="str">
        <f>COLORES!B4</f>
        <v>OSCURO</v>
      </c>
      <c r="G1204" s="90" t="s">
        <v>376</v>
      </c>
      <c r="H1204" s="100">
        <f>IFERROR(SUMIFS(MOVIMIENTOS_COMPLEMENTOS!$I$4:$I$803,MOVIMIENTOS_COMPLEMENTOS!$C$4:$C$803,A1204,MOVIMIENTOS_COMPLEMENTOS!$D$4:$D$803,B1204,MOVIMIENTOS_COMPLEMENTOS!$E$4:$E$803,C1204,MOVIMIENTOS_COMPLEMENTOS!$G$4:$G$803,E1204,MOVIMIENTOS_COMPLEMENTOS!$H$4:$H$803,G1204,MOVIMIENTOS_COMPLEMENTOS!$B$4:$B$803,"INGRESO")+SUMIFS(MOVIMIENTOS_COMPLEMENTOS!$I$4:$I$803,MOVIMIENTOS_COMPLEMENTOS!$C$4:$C$803,A1204,MOVIMIENTOS_COMPLEMENTOS!$D$4:$D$803,B1204,MOVIMIENTOS_COMPLEMENTOS!$E$4:$E$803,C1204,MOVIMIENTOS_COMPLEMENTOS!$G$4:$G$803,E1204,MOVIMIENTOS_COMPLEMENTOS!$H$4:$H$803,G1204,MOVIMIENTOS_COMPLEMENTOS!$B$4:$B$803,"DE CORTE")-SUMIFS(MOVIMIENTOS_COMPLEMENTOS!$I$4:$I$803,MOVIMIENTOS_COMPLEMENTOS!$C$4:$C$803,A1204,MOVIMIENTOS_COMPLEMENTOS!$D$4:$D$803,B1204,MOVIMIENTOS_COMPLEMENTOS!$E$4:$E$803,C1204,MOVIMIENTOS_COMPLEMENTOS!$G$4:$G$803,E1204,MOVIMIENTOS_COMPLEMENTOS!$H$4:$H$803,G1204,MOVIMIENTOS_COMPLEMENTOS!$B$4:$B$803,"SALIDA"),0)</f>
        <v>0</v>
      </c>
      <c r="I1204" s="102">
        <f t="array" ref="I1204">IFERROR(INDEX(PRECIOS_COMPLEMENTOS!$C$4:$F$17,MATCH(B1204&amp;"_"&amp;C1204,PRECIOS_COMPLEMENTOS!$H$4:$H$17,0),IF(OR(G1204="S",G1204="20cm"),1,IF(OR(G1204="M",G1204="25cm"),2,IF(OR(G1204="L",G1204="30cm"),3,IF(OR(G1204="XL",G1204="35cm"),4,0))))),0)</f>
        <v>0.3</v>
      </c>
      <c r="J1204" s="103">
        <f t="shared" si="1"/>
        <v>0</v>
      </c>
      <c r="K1204" s="104" t="str">
        <f>IF(H1204&lt;0,"ERROR",IF(H1204=0,"",IF(H1204&lt;CONFIG!$B$4,"CRÍTICO",IF(H1204&lt;CONFIG!$B$5,"BAJO","OK"))))</f>
        <v/>
      </c>
    </row>
    <row r="1205" ht="15.75" hidden="1" customHeight="1">
      <c r="A1205" s="90" t="str">
        <f>IF(CLIENTES!A4="","",CLIENTES!A4)</f>
        <v>OverShark</v>
      </c>
      <c r="B1205" s="90" t="s">
        <v>324</v>
      </c>
      <c r="C1205" s="91" t="s">
        <v>322</v>
      </c>
      <c r="D1205" s="109" t="s">
        <v>353</v>
      </c>
      <c r="E1205" s="67" t="str">
        <f>COLORES!A4</f>
        <v>Negro</v>
      </c>
      <c r="F1205" s="67" t="str">
        <f>COLORES!B4</f>
        <v>OSCURO</v>
      </c>
      <c r="G1205" s="90" t="s">
        <v>377</v>
      </c>
      <c r="H1205" s="100">
        <f>IFERROR(SUMIFS(MOVIMIENTOS_COMPLEMENTOS!$I$4:$I$803,MOVIMIENTOS_COMPLEMENTOS!$C$4:$C$803,A1205,MOVIMIENTOS_COMPLEMENTOS!$D$4:$D$803,B1205,MOVIMIENTOS_COMPLEMENTOS!$E$4:$E$803,C1205,MOVIMIENTOS_COMPLEMENTOS!$G$4:$G$803,E1205,MOVIMIENTOS_COMPLEMENTOS!$H$4:$H$803,G1205,MOVIMIENTOS_COMPLEMENTOS!$B$4:$B$803,"INGRESO")+SUMIFS(MOVIMIENTOS_COMPLEMENTOS!$I$4:$I$803,MOVIMIENTOS_COMPLEMENTOS!$C$4:$C$803,A1205,MOVIMIENTOS_COMPLEMENTOS!$D$4:$D$803,B1205,MOVIMIENTOS_COMPLEMENTOS!$E$4:$E$803,C1205,MOVIMIENTOS_COMPLEMENTOS!$G$4:$G$803,E1205,MOVIMIENTOS_COMPLEMENTOS!$H$4:$H$803,G1205,MOVIMIENTOS_COMPLEMENTOS!$B$4:$B$803,"DE CORTE")-SUMIFS(MOVIMIENTOS_COMPLEMENTOS!$I$4:$I$803,MOVIMIENTOS_COMPLEMENTOS!$C$4:$C$803,A1205,MOVIMIENTOS_COMPLEMENTOS!$D$4:$D$803,B1205,MOVIMIENTOS_COMPLEMENTOS!$E$4:$E$803,C1205,MOVIMIENTOS_COMPLEMENTOS!$G$4:$G$803,E1205,MOVIMIENTOS_COMPLEMENTOS!$H$4:$H$803,G1205,MOVIMIENTOS_COMPLEMENTOS!$B$4:$B$803,"SALIDA"),0)</f>
        <v>0</v>
      </c>
      <c r="I1205" s="102">
        <f t="array" ref="I1205">IFERROR(INDEX(PRECIOS_COMPLEMENTOS!$C$4:$F$17,MATCH(B1205&amp;"_"&amp;C1205,PRECIOS_COMPLEMENTOS!$H$4:$H$17,0),IF(OR(G1205="S",G1205="20cm"),1,IF(OR(G1205="M",G1205="25cm"),2,IF(OR(G1205="L",G1205="30cm"),3,IF(OR(G1205="XL",G1205="35cm"),4,0))))),0)</f>
        <v>0.35</v>
      </c>
      <c r="J1205" s="103">
        <f t="shared" si="1"/>
        <v>0</v>
      </c>
      <c r="K1205" s="104" t="str">
        <f>IF(H1205&lt;0,"ERROR",IF(H1205=0,"",IF(H1205&lt;CONFIG!$B$4,"CRÍTICO",IF(H1205&lt;CONFIG!$B$5,"BAJO","OK"))))</f>
        <v/>
      </c>
    </row>
    <row r="1206" ht="15.75" hidden="1" customHeight="1">
      <c r="A1206" s="90" t="str">
        <f>IF(CLIENTES!A4="","",CLIENTES!A4)</f>
        <v>OverShark</v>
      </c>
      <c r="B1206" s="90" t="s">
        <v>324</v>
      </c>
      <c r="C1206" s="91" t="s">
        <v>322</v>
      </c>
      <c r="D1206" s="109" t="s">
        <v>353</v>
      </c>
      <c r="E1206" s="67" t="str">
        <f>COLORES!A5</f>
        <v>Perla</v>
      </c>
      <c r="F1206" s="67" t="str">
        <f>COLORES!B5</f>
        <v>PPT</v>
      </c>
      <c r="G1206" s="90" t="s">
        <v>376</v>
      </c>
      <c r="H1206" s="100">
        <f>IFERROR(SUMIFS(MOVIMIENTOS_COMPLEMENTOS!$I$4:$I$803,MOVIMIENTOS_COMPLEMENTOS!$C$4:$C$803,A1206,MOVIMIENTOS_COMPLEMENTOS!$D$4:$D$803,B1206,MOVIMIENTOS_COMPLEMENTOS!$E$4:$E$803,C1206,MOVIMIENTOS_COMPLEMENTOS!$G$4:$G$803,E1206,MOVIMIENTOS_COMPLEMENTOS!$H$4:$H$803,G1206,MOVIMIENTOS_COMPLEMENTOS!$B$4:$B$803,"INGRESO")+SUMIFS(MOVIMIENTOS_COMPLEMENTOS!$I$4:$I$803,MOVIMIENTOS_COMPLEMENTOS!$C$4:$C$803,A1206,MOVIMIENTOS_COMPLEMENTOS!$D$4:$D$803,B1206,MOVIMIENTOS_COMPLEMENTOS!$E$4:$E$803,C1206,MOVIMIENTOS_COMPLEMENTOS!$G$4:$G$803,E1206,MOVIMIENTOS_COMPLEMENTOS!$H$4:$H$803,G1206,MOVIMIENTOS_COMPLEMENTOS!$B$4:$B$803,"DE CORTE")-SUMIFS(MOVIMIENTOS_COMPLEMENTOS!$I$4:$I$803,MOVIMIENTOS_COMPLEMENTOS!$C$4:$C$803,A1206,MOVIMIENTOS_COMPLEMENTOS!$D$4:$D$803,B1206,MOVIMIENTOS_COMPLEMENTOS!$E$4:$E$803,C1206,MOVIMIENTOS_COMPLEMENTOS!$G$4:$G$803,E1206,MOVIMIENTOS_COMPLEMENTOS!$H$4:$H$803,G1206,MOVIMIENTOS_COMPLEMENTOS!$B$4:$B$803,"SALIDA"),0)</f>
        <v>0</v>
      </c>
      <c r="I1206" s="102">
        <f t="array" ref="I1206">IFERROR(INDEX(PRECIOS_COMPLEMENTOS!$C$4:$F$17,MATCH(B1206&amp;"_"&amp;C1206,PRECIOS_COMPLEMENTOS!$H$4:$H$17,0),IF(OR(G1206="S",G1206="20cm"),1,IF(OR(G1206="M",G1206="25cm"),2,IF(OR(G1206="L",G1206="30cm"),3,IF(OR(G1206="XL",G1206="35cm"),4,0))))),0)</f>
        <v>0.3</v>
      </c>
      <c r="J1206" s="103">
        <f t="shared" si="1"/>
        <v>0</v>
      </c>
      <c r="K1206" s="104" t="str">
        <f>IF(H1206&lt;0,"ERROR",IF(H1206=0,"",IF(H1206&lt;CONFIG!$B$4,"CRÍTICO",IF(H1206&lt;CONFIG!$B$5,"BAJO","OK"))))</f>
        <v/>
      </c>
    </row>
    <row r="1207" ht="15.75" hidden="1" customHeight="1">
      <c r="A1207" s="90" t="str">
        <f>IF(CLIENTES!A4="","",CLIENTES!A4)</f>
        <v>OverShark</v>
      </c>
      <c r="B1207" s="90" t="s">
        <v>324</v>
      </c>
      <c r="C1207" s="91" t="s">
        <v>322</v>
      </c>
      <c r="D1207" s="109" t="s">
        <v>353</v>
      </c>
      <c r="E1207" s="67" t="str">
        <f>COLORES!A5</f>
        <v>Perla</v>
      </c>
      <c r="F1207" s="67" t="str">
        <f>COLORES!B5</f>
        <v>PPT</v>
      </c>
      <c r="G1207" s="90" t="s">
        <v>377</v>
      </c>
      <c r="H1207" s="100">
        <f>IFERROR(SUMIFS(MOVIMIENTOS_COMPLEMENTOS!$I$4:$I$803,MOVIMIENTOS_COMPLEMENTOS!$C$4:$C$803,A1207,MOVIMIENTOS_COMPLEMENTOS!$D$4:$D$803,B1207,MOVIMIENTOS_COMPLEMENTOS!$E$4:$E$803,C1207,MOVIMIENTOS_COMPLEMENTOS!$G$4:$G$803,E1207,MOVIMIENTOS_COMPLEMENTOS!$H$4:$H$803,G1207,MOVIMIENTOS_COMPLEMENTOS!$B$4:$B$803,"INGRESO")+SUMIFS(MOVIMIENTOS_COMPLEMENTOS!$I$4:$I$803,MOVIMIENTOS_COMPLEMENTOS!$C$4:$C$803,A1207,MOVIMIENTOS_COMPLEMENTOS!$D$4:$D$803,B1207,MOVIMIENTOS_COMPLEMENTOS!$E$4:$E$803,C1207,MOVIMIENTOS_COMPLEMENTOS!$G$4:$G$803,E1207,MOVIMIENTOS_COMPLEMENTOS!$H$4:$H$803,G1207,MOVIMIENTOS_COMPLEMENTOS!$B$4:$B$803,"DE CORTE")-SUMIFS(MOVIMIENTOS_COMPLEMENTOS!$I$4:$I$803,MOVIMIENTOS_COMPLEMENTOS!$C$4:$C$803,A1207,MOVIMIENTOS_COMPLEMENTOS!$D$4:$D$803,B1207,MOVIMIENTOS_COMPLEMENTOS!$E$4:$E$803,C1207,MOVIMIENTOS_COMPLEMENTOS!$G$4:$G$803,E1207,MOVIMIENTOS_COMPLEMENTOS!$H$4:$H$803,G1207,MOVIMIENTOS_COMPLEMENTOS!$B$4:$B$803,"SALIDA"),0)</f>
        <v>0</v>
      </c>
      <c r="I1207" s="102">
        <f t="array" ref="I1207">IFERROR(INDEX(PRECIOS_COMPLEMENTOS!$C$4:$F$17,MATCH(B1207&amp;"_"&amp;C1207,PRECIOS_COMPLEMENTOS!$H$4:$H$17,0),IF(OR(G1207="S",G1207="20cm"),1,IF(OR(G1207="M",G1207="25cm"),2,IF(OR(G1207="L",G1207="30cm"),3,IF(OR(G1207="XL",G1207="35cm"),4,0))))),0)</f>
        <v>0.35</v>
      </c>
      <c r="J1207" s="103">
        <f t="shared" si="1"/>
        <v>0</v>
      </c>
      <c r="K1207" s="104" t="str">
        <f>IF(H1207&lt;0,"ERROR",IF(H1207=0,"",IF(H1207&lt;CONFIG!$B$4,"CRÍTICO",IF(H1207&lt;CONFIG!$B$5,"BAJO","OK"))))</f>
        <v/>
      </c>
    </row>
    <row r="1208" ht="15.75" hidden="1" customHeight="1">
      <c r="A1208" s="90" t="str">
        <f>IF(CLIENTES!A4="","",CLIENTES!A4)</f>
        <v>OverShark</v>
      </c>
      <c r="B1208" s="90" t="s">
        <v>324</v>
      </c>
      <c r="C1208" s="91" t="s">
        <v>322</v>
      </c>
      <c r="D1208" s="109" t="s">
        <v>353</v>
      </c>
      <c r="E1208" s="67" t="str">
        <f>COLORES!A6</f>
        <v>Blanco</v>
      </c>
      <c r="F1208" s="67" t="str">
        <f>COLORES!B6</f>
        <v>PPT</v>
      </c>
      <c r="G1208" s="90" t="s">
        <v>376</v>
      </c>
      <c r="H1208" s="100">
        <f>IFERROR(SUMIFS(MOVIMIENTOS_COMPLEMENTOS!$I$4:$I$803,MOVIMIENTOS_COMPLEMENTOS!$C$4:$C$803,A1208,MOVIMIENTOS_COMPLEMENTOS!$D$4:$D$803,B1208,MOVIMIENTOS_COMPLEMENTOS!$E$4:$E$803,C1208,MOVIMIENTOS_COMPLEMENTOS!$G$4:$G$803,E1208,MOVIMIENTOS_COMPLEMENTOS!$H$4:$H$803,G1208,MOVIMIENTOS_COMPLEMENTOS!$B$4:$B$803,"INGRESO")+SUMIFS(MOVIMIENTOS_COMPLEMENTOS!$I$4:$I$803,MOVIMIENTOS_COMPLEMENTOS!$C$4:$C$803,A1208,MOVIMIENTOS_COMPLEMENTOS!$D$4:$D$803,B1208,MOVIMIENTOS_COMPLEMENTOS!$E$4:$E$803,C1208,MOVIMIENTOS_COMPLEMENTOS!$G$4:$G$803,E1208,MOVIMIENTOS_COMPLEMENTOS!$H$4:$H$803,G1208,MOVIMIENTOS_COMPLEMENTOS!$B$4:$B$803,"DE CORTE")-SUMIFS(MOVIMIENTOS_COMPLEMENTOS!$I$4:$I$803,MOVIMIENTOS_COMPLEMENTOS!$C$4:$C$803,A1208,MOVIMIENTOS_COMPLEMENTOS!$D$4:$D$803,B1208,MOVIMIENTOS_COMPLEMENTOS!$E$4:$E$803,C1208,MOVIMIENTOS_COMPLEMENTOS!$G$4:$G$803,E1208,MOVIMIENTOS_COMPLEMENTOS!$H$4:$H$803,G1208,MOVIMIENTOS_COMPLEMENTOS!$B$4:$B$803,"SALIDA"),0)</f>
        <v>0</v>
      </c>
      <c r="I1208" s="102">
        <f t="array" ref="I1208">IFERROR(INDEX(PRECIOS_COMPLEMENTOS!$C$4:$F$17,MATCH(B1208&amp;"_"&amp;C1208,PRECIOS_COMPLEMENTOS!$H$4:$H$17,0),IF(OR(G1208="S",G1208="20cm"),1,IF(OR(G1208="M",G1208="25cm"),2,IF(OR(G1208="L",G1208="30cm"),3,IF(OR(G1208="XL",G1208="35cm"),4,0))))),0)</f>
        <v>0.3</v>
      </c>
      <c r="J1208" s="103">
        <f t="shared" si="1"/>
        <v>0</v>
      </c>
      <c r="K1208" s="104" t="str">
        <f>IF(H1208&lt;0,"ERROR",IF(H1208=0,"",IF(H1208&lt;CONFIG!$B$4,"CRÍTICO",IF(H1208&lt;CONFIG!$B$5,"BAJO","OK"))))</f>
        <v/>
      </c>
    </row>
    <row r="1209" ht="15.75" hidden="1" customHeight="1">
      <c r="A1209" s="90" t="str">
        <f>IF(CLIENTES!A4="","",CLIENTES!A4)</f>
        <v>OverShark</v>
      </c>
      <c r="B1209" s="90" t="s">
        <v>324</v>
      </c>
      <c r="C1209" s="91" t="s">
        <v>322</v>
      </c>
      <c r="D1209" s="109" t="s">
        <v>353</v>
      </c>
      <c r="E1209" s="67" t="str">
        <f>COLORES!A6</f>
        <v>Blanco</v>
      </c>
      <c r="F1209" s="67" t="str">
        <f>COLORES!B6</f>
        <v>PPT</v>
      </c>
      <c r="G1209" s="90" t="s">
        <v>377</v>
      </c>
      <c r="H1209" s="100">
        <f>IFERROR(SUMIFS(MOVIMIENTOS_COMPLEMENTOS!$I$4:$I$803,MOVIMIENTOS_COMPLEMENTOS!$C$4:$C$803,A1209,MOVIMIENTOS_COMPLEMENTOS!$D$4:$D$803,B1209,MOVIMIENTOS_COMPLEMENTOS!$E$4:$E$803,C1209,MOVIMIENTOS_COMPLEMENTOS!$G$4:$G$803,E1209,MOVIMIENTOS_COMPLEMENTOS!$H$4:$H$803,G1209,MOVIMIENTOS_COMPLEMENTOS!$B$4:$B$803,"INGRESO")+SUMIFS(MOVIMIENTOS_COMPLEMENTOS!$I$4:$I$803,MOVIMIENTOS_COMPLEMENTOS!$C$4:$C$803,A1209,MOVIMIENTOS_COMPLEMENTOS!$D$4:$D$803,B1209,MOVIMIENTOS_COMPLEMENTOS!$E$4:$E$803,C1209,MOVIMIENTOS_COMPLEMENTOS!$G$4:$G$803,E1209,MOVIMIENTOS_COMPLEMENTOS!$H$4:$H$803,G1209,MOVIMIENTOS_COMPLEMENTOS!$B$4:$B$803,"DE CORTE")-SUMIFS(MOVIMIENTOS_COMPLEMENTOS!$I$4:$I$803,MOVIMIENTOS_COMPLEMENTOS!$C$4:$C$803,A1209,MOVIMIENTOS_COMPLEMENTOS!$D$4:$D$803,B1209,MOVIMIENTOS_COMPLEMENTOS!$E$4:$E$803,C1209,MOVIMIENTOS_COMPLEMENTOS!$G$4:$G$803,E1209,MOVIMIENTOS_COMPLEMENTOS!$H$4:$H$803,G1209,MOVIMIENTOS_COMPLEMENTOS!$B$4:$B$803,"SALIDA"),0)</f>
        <v>0</v>
      </c>
      <c r="I1209" s="102">
        <f t="array" ref="I1209">IFERROR(INDEX(PRECIOS_COMPLEMENTOS!$C$4:$F$17,MATCH(B1209&amp;"_"&amp;C1209,PRECIOS_COMPLEMENTOS!$H$4:$H$17,0),IF(OR(G1209="S",G1209="20cm"),1,IF(OR(G1209="M",G1209="25cm"),2,IF(OR(G1209="L",G1209="30cm"),3,IF(OR(G1209="XL",G1209="35cm"),4,0))))),0)</f>
        <v>0.35</v>
      </c>
      <c r="J1209" s="103">
        <f t="shared" si="1"/>
        <v>0</v>
      </c>
      <c r="K1209" s="104" t="str">
        <f>IF(H1209&lt;0,"ERROR",IF(H1209=0,"",IF(H1209&lt;CONFIG!$B$4,"CRÍTICO",IF(H1209&lt;CONFIG!$B$5,"BAJO","OK"))))</f>
        <v/>
      </c>
    </row>
    <row r="1210" ht="15.75" hidden="1" customHeight="1">
      <c r="A1210" s="90" t="str">
        <f>IF(CLIENTES!A4="","",CLIENTES!A4)</f>
        <v>OverShark</v>
      </c>
      <c r="B1210" s="90" t="s">
        <v>324</v>
      </c>
      <c r="C1210" s="91" t="s">
        <v>322</v>
      </c>
      <c r="D1210" s="109" t="s">
        <v>353</v>
      </c>
      <c r="E1210" s="67" t="str">
        <f>COLORES!A7</f>
        <v>Azul</v>
      </c>
      <c r="F1210" s="67" t="str">
        <f>COLORES!B7</f>
        <v>OSCURO</v>
      </c>
      <c r="G1210" s="90" t="s">
        <v>376</v>
      </c>
      <c r="H1210" s="100">
        <f>IFERROR(SUMIFS(MOVIMIENTOS_COMPLEMENTOS!$I$4:$I$803,MOVIMIENTOS_COMPLEMENTOS!$C$4:$C$803,A1210,MOVIMIENTOS_COMPLEMENTOS!$D$4:$D$803,B1210,MOVIMIENTOS_COMPLEMENTOS!$E$4:$E$803,C1210,MOVIMIENTOS_COMPLEMENTOS!$G$4:$G$803,E1210,MOVIMIENTOS_COMPLEMENTOS!$H$4:$H$803,G1210,MOVIMIENTOS_COMPLEMENTOS!$B$4:$B$803,"INGRESO")+SUMIFS(MOVIMIENTOS_COMPLEMENTOS!$I$4:$I$803,MOVIMIENTOS_COMPLEMENTOS!$C$4:$C$803,A1210,MOVIMIENTOS_COMPLEMENTOS!$D$4:$D$803,B1210,MOVIMIENTOS_COMPLEMENTOS!$E$4:$E$803,C1210,MOVIMIENTOS_COMPLEMENTOS!$G$4:$G$803,E1210,MOVIMIENTOS_COMPLEMENTOS!$H$4:$H$803,G1210,MOVIMIENTOS_COMPLEMENTOS!$B$4:$B$803,"DE CORTE")-SUMIFS(MOVIMIENTOS_COMPLEMENTOS!$I$4:$I$803,MOVIMIENTOS_COMPLEMENTOS!$C$4:$C$803,A1210,MOVIMIENTOS_COMPLEMENTOS!$D$4:$D$803,B1210,MOVIMIENTOS_COMPLEMENTOS!$E$4:$E$803,C1210,MOVIMIENTOS_COMPLEMENTOS!$G$4:$G$803,E1210,MOVIMIENTOS_COMPLEMENTOS!$H$4:$H$803,G1210,MOVIMIENTOS_COMPLEMENTOS!$B$4:$B$803,"SALIDA"),0)</f>
        <v>0</v>
      </c>
      <c r="I1210" s="102">
        <f t="array" ref="I1210">IFERROR(INDEX(PRECIOS_COMPLEMENTOS!$C$4:$F$17,MATCH(B1210&amp;"_"&amp;C1210,PRECIOS_COMPLEMENTOS!$H$4:$H$17,0),IF(OR(G1210="S",G1210="20cm"),1,IF(OR(G1210="M",G1210="25cm"),2,IF(OR(G1210="L",G1210="30cm"),3,IF(OR(G1210="XL",G1210="35cm"),4,0))))),0)</f>
        <v>0.3</v>
      </c>
      <c r="J1210" s="103">
        <f t="shared" si="1"/>
        <v>0</v>
      </c>
      <c r="K1210" s="104" t="str">
        <f>IF(H1210&lt;0,"ERROR",IF(H1210=0,"",IF(H1210&lt;CONFIG!$B$4,"CRÍTICO",IF(H1210&lt;CONFIG!$B$5,"BAJO","OK"))))</f>
        <v/>
      </c>
    </row>
    <row r="1211" ht="15.75" hidden="1" customHeight="1">
      <c r="A1211" s="90" t="str">
        <f>IF(CLIENTES!A4="","",CLIENTES!A4)</f>
        <v>OverShark</v>
      </c>
      <c r="B1211" s="90" t="s">
        <v>324</v>
      </c>
      <c r="C1211" s="91" t="s">
        <v>322</v>
      </c>
      <c r="D1211" s="109" t="s">
        <v>353</v>
      </c>
      <c r="E1211" s="67" t="str">
        <f>COLORES!A7</f>
        <v>Azul</v>
      </c>
      <c r="F1211" s="67" t="str">
        <f>COLORES!B7</f>
        <v>OSCURO</v>
      </c>
      <c r="G1211" s="90" t="s">
        <v>377</v>
      </c>
      <c r="H1211" s="100">
        <f>IFERROR(SUMIFS(MOVIMIENTOS_COMPLEMENTOS!$I$4:$I$803,MOVIMIENTOS_COMPLEMENTOS!$C$4:$C$803,A1211,MOVIMIENTOS_COMPLEMENTOS!$D$4:$D$803,B1211,MOVIMIENTOS_COMPLEMENTOS!$E$4:$E$803,C1211,MOVIMIENTOS_COMPLEMENTOS!$G$4:$G$803,E1211,MOVIMIENTOS_COMPLEMENTOS!$H$4:$H$803,G1211,MOVIMIENTOS_COMPLEMENTOS!$B$4:$B$803,"INGRESO")+SUMIFS(MOVIMIENTOS_COMPLEMENTOS!$I$4:$I$803,MOVIMIENTOS_COMPLEMENTOS!$C$4:$C$803,A1211,MOVIMIENTOS_COMPLEMENTOS!$D$4:$D$803,B1211,MOVIMIENTOS_COMPLEMENTOS!$E$4:$E$803,C1211,MOVIMIENTOS_COMPLEMENTOS!$G$4:$G$803,E1211,MOVIMIENTOS_COMPLEMENTOS!$H$4:$H$803,G1211,MOVIMIENTOS_COMPLEMENTOS!$B$4:$B$803,"DE CORTE")-SUMIFS(MOVIMIENTOS_COMPLEMENTOS!$I$4:$I$803,MOVIMIENTOS_COMPLEMENTOS!$C$4:$C$803,A1211,MOVIMIENTOS_COMPLEMENTOS!$D$4:$D$803,B1211,MOVIMIENTOS_COMPLEMENTOS!$E$4:$E$803,C1211,MOVIMIENTOS_COMPLEMENTOS!$G$4:$G$803,E1211,MOVIMIENTOS_COMPLEMENTOS!$H$4:$H$803,G1211,MOVIMIENTOS_COMPLEMENTOS!$B$4:$B$803,"SALIDA"),0)</f>
        <v>0</v>
      </c>
      <c r="I1211" s="102">
        <f t="array" ref="I1211">IFERROR(INDEX(PRECIOS_COMPLEMENTOS!$C$4:$F$17,MATCH(B1211&amp;"_"&amp;C1211,PRECIOS_COMPLEMENTOS!$H$4:$H$17,0),IF(OR(G1211="S",G1211="20cm"),1,IF(OR(G1211="M",G1211="25cm"),2,IF(OR(G1211="L",G1211="30cm"),3,IF(OR(G1211="XL",G1211="35cm"),4,0))))),0)</f>
        <v>0.35</v>
      </c>
      <c r="J1211" s="103">
        <f t="shared" si="1"/>
        <v>0</v>
      </c>
      <c r="K1211" s="104" t="str">
        <f>IF(H1211&lt;0,"ERROR",IF(H1211=0,"",IF(H1211&lt;CONFIG!$B$4,"CRÍTICO",IF(H1211&lt;CONFIG!$B$5,"BAJO","OK"))))</f>
        <v/>
      </c>
    </row>
    <row r="1212" ht="15.75" hidden="1" customHeight="1">
      <c r="A1212" s="90" t="str">
        <f>IF(CLIENTES!A4="","",CLIENTES!A4)</f>
        <v>OverShark</v>
      </c>
      <c r="B1212" s="90" t="s">
        <v>324</v>
      </c>
      <c r="C1212" s="91" t="s">
        <v>322</v>
      </c>
      <c r="D1212" s="109" t="s">
        <v>353</v>
      </c>
      <c r="E1212" s="67" t="str">
        <f>COLORES!A8</f>
        <v>Beige</v>
      </c>
      <c r="F1212" s="67" t="str">
        <f>COLORES!B8</f>
        <v>CLARO</v>
      </c>
      <c r="G1212" s="90" t="s">
        <v>376</v>
      </c>
      <c r="H1212" s="100">
        <f>IFERROR(SUMIFS(MOVIMIENTOS_COMPLEMENTOS!$I$4:$I$803,MOVIMIENTOS_COMPLEMENTOS!$C$4:$C$803,A1212,MOVIMIENTOS_COMPLEMENTOS!$D$4:$D$803,B1212,MOVIMIENTOS_COMPLEMENTOS!$E$4:$E$803,C1212,MOVIMIENTOS_COMPLEMENTOS!$G$4:$G$803,E1212,MOVIMIENTOS_COMPLEMENTOS!$H$4:$H$803,G1212,MOVIMIENTOS_COMPLEMENTOS!$B$4:$B$803,"INGRESO")+SUMIFS(MOVIMIENTOS_COMPLEMENTOS!$I$4:$I$803,MOVIMIENTOS_COMPLEMENTOS!$C$4:$C$803,A1212,MOVIMIENTOS_COMPLEMENTOS!$D$4:$D$803,B1212,MOVIMIENTOS_COMPLEMENTOS!$E$4:$E$803,C1212,MOVIMIENTOS_COMPLEMENTOS!$G$4:$G$803,E1212,MOVIMIENTOS_COMPLEMENTOS!$H$4:$H$803,G1212,MOVIMIENTOS_COMPLEMENTOS!$B$4:$B$803,"DE CORTE")-SUMIFS(MOVIMIENTOS_COMPLEMENTOS!$I$4:$I$803,MOVIMIENTOS_COMPLEMENTOS!$C$4:$C$803,A1212,MOVIMIENTOS_COMPLEMENTOS!$D$4:$D$803,B1212,MOVIMIENTOS_COMPLEMENTOS!$E$4:$E$803,C1212,MOVIMIENTOS_COMPLEMENTOS!$G$4:$G$803,E1212,MOVIMIENTOS_COMPLEMENTOS!$H$4:$H$803,G1212,MOVIMIENTOS_COMPLEMENTOS!$B$4:$B$803,"SALIDA"),0)</f>
        <v>0</v>
      </c>
      <c r="I1212" s="102">
        <f t="array" ref="I1212">IFERROR(INDEX(PRECIOS_COMPLEMENTOS!$C$4:$F$17,MATCH(B1212&amp;"_"&amp;C1212,PRECIOS_COMPLEMENTOS!$H$4:$H$17,0),IF(OR(G1212="S",G1212="20cm"),1,IF(OR(G1212="M",G1212="25cm"),2,IF(OR(G1212="L",G1212="30cm"),3,IF(OR(G1212="XL",G1212="35cm"),4,0))))),0)</f>
        <v>0.3</v>
      </c>
      <c r="J1212" s="103">
        <f t="shared" si="1"/>
        <v>0</v>
      </c>
      <c r="K1212" s="104" t="str">
        <f>IF(H1212&lt;0,"ERROR",IF(H1212=0,"",IF(H1212&lt;CONFIG!$B$4,"CRÍTICO",IF(H1212&lt;CONFIG!$B$5,"BAJO","OK"))))</f>
        <v/>
      </c>
    </row>
    <row r="1213" ht="15.75" hidden="1" customHeight="1">
      <c r="A1213" s="90" t="str">
        <f>IF(CLIENTES!A4="","",CLIENTES!A4)</f>
        <v>OverShark</v>
      </c>
      <c r="B1213" s="90" t="s">
        <v>324</v>
      </c>
      <c r="C1213" s="91" t="s">
        <v>322</v>
      </c>
      <c r="D1213" s="109" t="s">
        <v>353</v>
      </c>
      <c r="E1213" s="67" t="str">
        <f>COLORES!A8</f>
        <v>Beige</v>
      </c>
      <c r="F1213" s="67" t="str">
        <f>COLORES!B8</f>
        <v>CLARO</v>
      </c>
      <c r="G1213" s="90" t="s">
        <v>377</v>
      </c>
      <c r="H1213" s="100">
        <f>IFERROR(SUMIFS(MOVIMIENTOS_COMPLEMENTOS!$I$4:$I$803,MOVIMIENTOS_COMPLEMENTOS!$C$4:$C$803,A1213,MOVIMIENTOS_COMPLEMENTOS!$D$4:$D$803,B1213,MOVIMIENTOS_COMPLEMENTOS!$E$4:$E$803,C1213,MOVIMIENTOS_COMPLEMENTOS!$G$4:$G$803,E1213,MOVIMIENTOS_COMPLEMENTOS!$H$4:$H$803,G1213,MOVIMIENTOS_COMPLEMENTOS!$B$4:$B$803,"INGRESO")+SUMIFS(MOVIMIENTOS_COMPLEMENTOS!$I$4:$I$803,MOVIMIENTOS_COMPLEMENTOS!$C$4:$C$803,A1213,MOVIMIENTOS_COMPLEMENTOS!$D$4:$D$803,B1213,MOVIMIENTOS_COMPLEMENTOS!$E$4:$E$803,C1213,MOVIMIENTOS_COMPLEMENTOS!$G$4:$G$803,E1213,MOVIMIENTOS_COMPLEMENTOS!$H$4:$H$803,G1213,MOVIMIENTOS_COMPLEMENTOS!$B$4:$B$803,"DE CORTE")-SUMIFS(MOVIMIENTOS_COMPLEMENTOS!$I$4:$I$803,MOVIMIENTOS_COMPLEMENTOS!$C$4:$C$803,A1213,MOVIMIENTOS_COMPLEMENTOS!$D$4:$D$803,B1213,MOVIMIENTOS_COMPLEMENTOS!$E$4:$E$803,C1213,MOVIMIENTOS_COMPLEMENTOS!$G$4:$G$803,E1213,MOVIMIENTOS_COMPLEMENTOS!$H$4:$H$803,G1213,MOVIMIENTOS_COMPLEMENTOS!$B$4:$B$803,"SALIDA"),0)</f>
        <v>0</v>
      </c>
      <c r="I1213" s="102">
        <f t="array" ref="I1213">IFERROR(INDEX(PRECIOS_COMPLEMENTOS!$C$4:$F$17,MATCH(B1213&amp;"_"&amp;C1213,PRECIOS_COMPLEMENTOS!$H$4:$H$17,0),IF(OR(G1213="S",G1213="20cm"),1,IF(OR(G1213="M",G1213="25cm"),2,IF(OR(G1213="L",G1213="30cm"),3,IF(OR(G1213="XL",G1213="35cm"),4,0))))),0)</f>
        <v>0.35</v>
      </c>
      <c r="J1213" s="103">
        <f t="shared" si="1"/>
        <v>0</v>
      </c>
      <c r="K1213" s="104" t="str">
        <f>IF(H1213&lt;0,"ERROR",IF(H1213=0,"",IF(H1213&lt;CONFIG!$B$4,"CRÍTICO",IF(H1213&lt;CONFIG!$B$5,"BAJO","OK"))))</f>
        <v/>
      </c>
    </row>
    <row r="1214" ht="15.75" hidden="1" customHeight="1">
      <c r="A1214" s="90" t="str">
        <f>IF(CLIENTES!A4="","",CLIENTES!A4)</f>
        <v>OverShark</v>
      </c>
      <c r="B1214" s="90" t="s">
        <v>324</v>
      </c>
      <c r="C1214" s="91" t="s">
        <v>322</v>
      </c>
      <c r="D1214" s="109" t="s">
        <v>353</v>
      </c>
      <c r="E1214" s="67" t="str">
        <f>COLORES!A9</f>
        <v>Melange</v>
      </c>
      <c r="F1214" s="67" t="str">
        <f>COLORES!B9</f>
        <v>MELANGE</v>
      </c>
      <c r="G1214" s="90" t="s">
        <v>376</v>
      </c>
      <c r="H1214" s="100">
        <f>IFERROR(SUMIFS(MOVIMIENTOS_COMPLEMENTOS!$I$4:$I$803,MOVIMIENTOS_COMPLEMENTOS!$C$4:$C$803,A1214,MOVIMIENTOS_COMPLEMENTOS!$D$4:$D$803,B1214,MOVIMIENTOS_COMPLEMENTOS!$E$4:$E$803,C1214,MOVIMIENTOS_COMPLEMENTOS!$G$4:$G$803,E1214,MOVIMIENTOS_COMPLEMENTOS!$H$4:$H$803,G1214,MOVIMIENTOS_COMPLEMENTOS!$B$4:$B$803,"INGRESO")+SUMIFS(MOVIMIENTOS_COMPLEMENTOS!$I$4:$I$803,MOVIMIENTOS_COMPLEMENTOS!$C$4:$C$803,A1214,MOVIMIENTOS_COMPLEMENTOS!$D$4:$D$803,B1214,MOVIMIENTOS_COMPLEMENTOS!$E$4:$E$803,C1214,MOVIMIENTOS_COMPLEMENTOS!$G$4:$G$803,E1214,MOVIMIENTOS_COMPLEMENTOS!$H$4:$H$803,G1214,MOVIMIENTOS_COMPLEMENTOS!$B$4:$B$803,"DE CORTE")-SUMIFS(MOVIMIENTOS_COMPLEMENTOS!$I$4:$I$803,MOVIMIENTOS_COMPLEMENTOS!$C$4:$C$803,A1214,MOVIMIENTOS_COMPLEMENTOS!$D$4:$D$803,B1214,MOVIMIENTOS_COMPLEMENTOS!$E$4:$E$803,C1214,MOVIMIENTOS_COMPLEMENTOS!$G$4:$G$803,E1214,MOVIMIENTOS_COMPLEMENTOS!$H$4:$H$803,G1214,MOVIMIENTOS_COMPLEMENTOS!$B$4:$B$803,"SALIDA"),0)</f>
        <v>0</v>
      </c>
      <c r="I1214" s="102">
        <f t="array" ref="I1214">IFERROR(INDEX(PRECIOS_COMPLEMENTOS!$C$4:$F$17,MATCH(B1214&amp;"_"&amp;C1214,PRECIOS_COMPLEMENTOS!$H$4:$H$17,0),IF(OR(G1214="S",G1214="20cm"),1,IF(OR(G1214="M",G1214="25cm"),2,IF(OR(G1214="L",G1214="30cm"),3,IF(OR(G1214="XL",G1214="35cm"),4,0))))),0)</f>
        <v>0.3</v>
      </c>
      <c r="J1214" s="103">
        <f t="shared" si="1"/>
        <v>0</v>
      </c>
      <c r="K1214" s="104" t="str">
        <f>IF(H1214&lt;0,"ERROR",IF(H1214=0,"",IF(H1214&lt;CONFIG!$B$4,"CRÍTICO",IF(H1214&lt;CONFIG!$B$5,"BAJO","OK"))))</f>
        <v/>
      </c>
    </row>
    <row r="1215" ht="15.75" hidden="1" customHeight="1">
      <c r="A1215" s="90" t="str">
        <f>IF(CLIENTES!A4="","",CLIENTES!A4)</f>
        <v>OverShark</v>
      </c>
      <c r="B1215" s="90" t="s">
        <v>324</v>
      </c>
      <c r="C1215" s="91" t="s">
        <v>322</v>
      </c>
      <c r="D1215" s="109" t="s">
        <v>353</v>
      </c>
      <c r="E1215" s="67" t="str">
        <f>COLORES!A9</f>
        <v>Melange</v>
      </c>
      <c r="F1215" s="67" t="str">
        <f>COLORES!B9</f>
        <v>MELANGE</v>
      </c>
      <c r="G1215" s="90" t="s">
        <v>377</v>
      </c>
      <c r="H1215" s="100">
        <f>IFERROR(SUMIFS(MOVIMIENTOS_COMPLEMENTOS!$I$4:$I$803,MOVIMIENTOS_COMPLEMENTOS!$C$4:$C$803,A1215,MOVIMIENTOS_COMPLEMENTOS!$D$4:$D$803,B1215,MOVIMIENTOS_COMPLEMENTOS!$E$4:$E$803,C1215,MOVIMIENTOS_COMPLEMENTOS!$G$4:$G$803,E1215,MOVIMIENTOS_COMPLEMENTOS!$H$4:$H$803,G1215,MOVIMIENTOS_COMPLEMENTOS!$B$4:$B$803,"INGRESO")+SUMIFS(MOVIMIENTOS_COMPLEMENTOS!$I$4:$I$803,MOVIMIENTOS_COMPLEMENTOS!$C$4:$C$803,A1215,MOVIMIENTOS_COMPLEMENTOS!$D$4:$D$803,B1215,MOVIMIENTOS_COMPLEMENTOS!$E$4:$E$803,C1215,MOVIMIENTOS_COMPLEMENTOS!$G$4:$G$803,E1215,MOVIMIENTOS_COMPLEMENTOS!$H$4:$H$803,G1215,MOVIMIENTOS_COMPLEMENTOS!$B$4:$B$803,"DE CORTE")-SUMIFS(MOVIMIENTOS_COMPLEMENTOS!$I$4:$I$803,MOVIMIENTOS_COMPLEMENTOS!$C$4:$C$803,A1215,MOVIMIENTOS_COMPLEMENTOS!$D$4:$D$803,B1215,MOVIMIENTOS_COMPLEMENTOS!$E$4:$E$803,C1215,MOVIMIENTOS_COMPLEMENTOS!$G$4:$G$803,E1215,MOVIMIENTOS_COMPLEMENTOS!$H$4:$H$803,G1215,MOVIMIENTOS_COMPLEMENTOS!$B$4:$B$803,"SALIDA"),0)</f>
        <v>0</v>
      </c>
      <c r="I1215" s="102">
        <f t="array" ref="I1215">IFERROR(INDEX(PRECIOS_COMPLEMENTOS!$C$4:$F$17,MATCH(B1215&amp;"_"&amp;C1215,PRECIOS_COMPLEMENTOS!$H$4:$H$17,0),IF(OR(G1215="S",G1215="20cm"),1,IF(OR(G1215="M",G1215="25cm"),2,IF(OR(G1215="L",G1215="30cm"),3,IF(OR(G1215="XL",G1215="35cm"),4,0))))),0)</f>
        <v>0.35</v>
      </c>
      <c r="J1215" s="103">
        <f t="shared" si="1"/>
        <v>0</v>
      </c>
      <c r="K1215" s="104" t="str">
        <f>IF(H1215&lt;0,"ERROR",IF(H1215=0,"",IF(H1215&lt;CONFIG!$B$4,"CRÍTICO",IF(H1215&lt;CONFIG!$B$5,"BAJO","OK"))))</f>
        <v/>
      </c>
    </row>
    <row r="1216" ht="15.75" hidden="1" customHeight="1">
      <c r="A1216" s="90" t="str">
        <f>IF(CLIENTES!A4="","",CLIENTES!A4)</f>
        <v>OverShark</v>
      </c>
      <c r="B1216" s="90" t="s">
        <v>324</v>
      </c>
      <c r="C1216" s="91" t="s">
        <v>322</v>
      </c>
      <c r="D1216" s="109" t="s">
        <v>353</v>
      </c>
      <c r="E1216" s="67" t="str">
        <f>COLORES!A10</f>
        <v>Botella</v>
      </c>
      <c r="F1216" s="67" t="str">
        <f>COLORES!B10</f>
        <v>OSCURO</v>
      </c>
      <c r="G1216" s="90" t="s">
        <v>376</v>
      </c>
      <c r="H1216" s="100">
        <f>IFERROR(SUMIFS(MOVIMIENTOS_COMPLEMENTOS!$I$4:$I$803,MOVIMIENTOS_COMPLEMENTOS!$C$4:$C$803,A1216,MOVIMIENTOS_COMPLEMENTOS!$D$4:$D$803,B1216,MOVIMIENTOS_COMPLEMENTOS!$E$4:$E$803,C1216,MOVIMIENTOS_COMPLEMENTOS!$G$4:$G$803,E1216,MOVIMIENTOS_COMPLEMENTOS!$H$4:$H$803,G1216,MOVIMIENTOS_COMPLEMENTOS!$B$4:$B$803,"INGRESO")+SUMIFS(MOVIMIENTOS_COMPLEMENTOS!$I$4:$I$803,MOVIMIENTOS_COMPLEMENTOS!$C$4:$C$803,A1216,MOVIMIENTOS_COMPLEMENTOS!$D$4:$D$803,B1216,MOVIMIENTOS_COMPLEMENTOS!$E$4:$E$803,C1216,MOVIMIENTOS_COMPLEMENTOS!$G$4:$G$803,E1216,MOVIMIENTOS_COMPLEMENTOS!$H$4:$H$803,G1216,MOVIMIENTOS_COMPLEMENTOS!$B$4:$B$803,"DE CORTE")-SUMIFS(MOVIMIENTOS_COMPLEMENTOS!$I$4:$I$803,MOVIMIENTOS_COMPLEMENTOS!$C$4:$C$803,A1216,MOVIMIENTOS_COMPLEMENTOS!$D$4:$D$803,B1216,MOVIMIENTOS_COMPLEMENTOS!$E$4:$E$803,C1216,MOVIMIENTOS_COMPLEMENTOS!$G$4:$G$803,E1216,MOVIMIENTOS_COMPLEMENTOS!$H$4:$H$803,G1216,MOVIMIENTOS_COMPLEMENTOS!$B$4:$B$803,"SALIDA"),0)</f>
        <v>0</v>
      </c>
      <c r="I1216" s="102">
        <f t="array" ref="I1216">IFERROR(INDEX(PRECIOS_COMPLEMENTOS!$C$4:$F$17,MATCH(B1216&amp;"_"&amp;C1216,PRECIOS_COMPLEMENTOS!$H$4:$H$17,0),IF(OR(G1216="S",G1216="20cm"),1,IF(OR(G1216="M",G1216="25cm"),2,IF(OR(G1216="L",G1216="30cm"),3,IF(OR(G1216="XL",G1216="35cm"),4,0))))),0)</f>
        <v>0.3</v>
      </c>
      <c r="J1216" s="103">
        <f t="shared" si="1"/>
        <v>0</v>
      </c>
      <c r="K1216" s="104" t="str">
        <f>IF(H1216&lt;0,"ERROR",IF(H1216=0,"",IF(H1216&lt;CONFIG!$B$4,"CRÍTICO",IF(H1216&lt;CONFIG!$B$5,"BAJO","OK"))))</f>
        <v/>
      </c>
    </row>
    <row r="1217" ht="15.75" hidden="1" customHeight="1">
      <c r="A1217" s="90" t="str">
        <f>IF(CLIENTES!A4="","",CLIENTES!A4)</f>
        <v>OverShark</v>
      </c>
      <c r="B1217" s="90" t="s">
        <v>324</v>
      </c>
      <c r="C1217" s="91" t="s">
        <v>322</v>
      </c>
      <c r="D1217" s="109" t="s">
        <v>353</v>
      </c>
      <c r="E1217" s="67" t="str">
        <f>COLORES!A10</f>
        <v>Botella</v>
      </c>
      <c r="F1217" s="67" t="str">
        <f>COLORES!B10</f>
        <v>OSCURO</v>
      </c>
      <c r="G1217" s="90" t="s">
        <v>377</v>
      </c>
      <c r="H1217" s="100">
        <f>IFERROR(SUMIFS(MOVIMIENTOS_COMPLEMENTOS!$I$4:$I$803,MOVIMIENTOS_COMPLEMENTOS!$C$4:$C$803,A1217,MOVIMIENTOS_COMPLEMENTOS!$D$4:$D$803,B1217,MOVIMIENTOS_COMPLEMENTOS!$E$4:$E$803,C1217,MOVIMIENTOS_COMPLEMENTOS!$G$4:$G$803,E1217,MOVIMIENTOS_COMPLEMENTOS!$H$4:$H$803,G1217,MOVIMIENTOS_COMPLEMENTOS!$B$4:$B$803,"INGRESO")+SUMIFS(MOVIMIENTOS_COMPLEMENTOS!$I$4:$I$803,MOVIMIENTOS_COMPLEMENTOS!$C$4:$C$803,A1217,MOVIMIENTOS_COMPLEMENTOS!$D$4:$D$803,B1217,MOVIMIENTOS_COMPLEMENTOS!$E$4:$E$803,C1217,MOVIMIENTOS_COMPLEMENTOS!$G$4:$G$803,E1217,MOVIMIENTOS_COMPLEMENTOS!$H$4:$H$803,G1217,MOVIMIENTOS_COMPLEMENTOS!$B$4:$B$803,"DE CORTE")-SUMIFS(MOVIMIENTOS_COMPLEMENTOS!$I$4:$I$803,MOVIMIENTOS_COMPLEMENTOS!$C$4:$C$803,A1217,MOVIMIENTOS_COMPLEMENTOS!$D$4:$D$803,B1217,MOVIMIENTOS_COMPLEMENTOS!$E$4:$E$803,C1217,MOVIMIENTOS_COMPLEMENTOS!$G$4:$G$803,E1217,MOVIMIENTOS_COMPLEMENTOS!$H$4:$H$803,G1217,MOVIMIENTOS_COMPLEMENTOS!$B$4:$B$803,"SALIDA"),0)</f>
        <v>0</v>
      </c>
      <c r="I1217" s="102">
        <f t="array" ref="I1217">IFERROR(INDEX(PRECIOS_COMPLEMENTOS!$C$4:$F$17,MATCH(B1217&amp;"_"&amp;C1217,PRECIOS_COMPLEMENTOS!$H$4:$H$17,0),IF(OR(G1217="S",G1217="20cm"),1,IF(OR(G1217="M",G1217="25cm"),2,IF(OR(G1217="L",G1217="30cm"),3,IF(OR(G1217="XL",G1217="35cm"),4,0))))),0)</f>
        <v>0.35</v>
      </c>
      <c r="J1217" s="103">
        <f t="shared" si="1"/>
        <v>0</v>
      </c>
      <c r="K1217" s="104" t="str">
        <f>IF(H1217&lt;0,"ERROR",IF(H1217=0,"",IF(H1217&lt;CONFIG!$B$4,"CRÍTICO",IF(H1217&lt;CONFIG!$B$5,"BAJO","OK"))))</f>
        <v/>
      </c>
    </row>
    <row r="1218" ht="15.75" hidden="1" customHeight="1">
      <c r="A1218" s="90" t="str">
        <f>IF(CLIENTES!A4="","",CLIENTES!A4)</f>
        <v>OverShark</v>
      </c>
      <c r="B1218" s="90" t="s">
        <v>324</v>
      </c>
      <c r="C1218" s="91" t="s">
        <v>322</v>
      </c>
      <c r="D1218" s="109" t="s">
        <v>353</v>
      </c>
      <c r="E1218" s="67" t="str">
        <f>COLORES!A11</f>
        <v>Pacay</v>
      </c>
      <c r="F1218" s="67" t="str">
        <f>COLORES!B11</f>
        <v>CLARO</v>
      </c>
      <c r="G1218" s="90" t="s">
        <v>376</v>
      </c>
      <c r="H1218" s="100">
        <f>IFERROR(SUMIFS(MOVIMIENTOS_COMPLEMENTOS!$I$4:$I$803,MOVIMIENTOS_COMPLEMENTOS!$C$4:$C$803,A1218,MOVIMIENTOS_COMPLEMENTOS!$D$4:$D$803,B1218,MOVIMIENTOS_COMPLEMENTOS!$E$4:$E$803,C1218,MOVIMIENTOS_COMPLEMENTOS!$G$4:$G$803,E1218,MOVIMIENTOS_COMPLEMENTOS!$H$4:$H$803,G1218,MOVIMIENTOS_COMPLEMENTOS!$B$4:$B$803,"INGRESO")+SUMIFS(MOVIMIENTOS_COMPLEMENTOS!$I$4:$I$803,MOVIMIENTOS_COMPLEMENTOS!$C$4:$C$803,A1218,MOVIMIENTOS_COMPLEMENTOS!$D$4:$D$803,B1218,MOVIMIENTOS_COMPLEMENTOS!$E$4:$E$803,C1218,MOVIMIENTOS_COMPLEMENTOS!$G$4:$G$803,E1218,MOVIMIENTOS_COMPLEMENTOS!$H$4:$H$803,G1218,MOVIMIENTOS_COMPLEMENTOS!$B$4:$B$803,"DE CORTE")-SUMIFS(MOVIMIENTOS_COMPLEMENTOS!$I$4:$I$803,MOVIMIENTOS_COMPLEMENTOS!$C$4:$C$803,A1218,MOVIMIENTOS_COMPLEMENTOS!$D$4:$D$803,B1218,MOVIMIENTOS_COMPLEMENTOS!$E$4:$E$803,C1218,MOVIMIENTOS_COMPLEMENTOS!$G$4:$G$803,E1218,MOVIMIENTOS_COMPLEMENTOS!$H$4:$H$803,G1218,MOVIMIENTOS_COMPLEMENTOS!$B$4:$B$803,"SALIDA"),0)</f>
        <v>0</v>
      </c>
      <c r="I1218" s="102">
        <f t="array" ref="I1218">IFERROR(INDEX(PRECIOS_COMPLEMENTOS!$C$4:$F$17,MATCH(B1218&amp;"_"&amp;C1218,PRECIOS_COMPLEMENTOS!$H$4:$H$17,0),IF(OR(G1218="S",G1218="20cm"),1,IF(OR(G1218="M",G1218="25cm"),2,IF(OR(G1218="L",G1218="30cm"),3,IF(OR(G1218="XL",G1218="35cm"),4,0))))),0)</f>
        <v>0.3</v>
      </c>
      <c r="J1218" s="103">
        <f t="shared" si="1"/>
        <v>0</v>
      </c>
      <c r="K1218" s="104" t="str">
        <f>IF(H1218&lt;0,"ERROR",IF(H1218=0,"",IF(H1218&lt;CONFIG!$B$4,"CRÍTICO",IF(H1218&lt;CONFIG!$B$5,"BAJO","OK"))))</f>
        <v/>
      </c>
    </row>
    <row r="1219" ht="15.75" hidden="1" customHeight="1">
      <c r="A1219" s="90" t="str">
        <f>IF(CLIENTES!A4="","",CLIENTES!A4)</f>
        <v>OverShark</v>
      </c>
      <c r="B1219" s="90" t="s">
        <v>324</v>
      </c>
      <c r="C1219" s="91" t="s">
        <v>322</v>
      </c>
      <c r="D1219" s="109" t="s">
        <v>353</v>
      </c>
      <c r="E1219" s="67" t="str">
        <f>COLORES!A11</f>
        <v>Pacay</v>
      </c>
      <c r="F1219" s="67" t="str">
        <f>COLORES!B11</f>
        <v>CLARO</v>
      </c>
      <c r="G1219" s="90" t="s">
        <v>377</v>
      </c>
      <c r="H1219" s="100">
        <f>IFERROR(SUMIFS(MOVIMIENTOS_COMPLEMENTOS!$I$4:$I$803,MOVIMIENTOS_COMPLEMENTOS!$C$4:$C$803,A1219,MOVIMIENTOS_COMPLEMENTOS!$D$4:$D$803,B1219,MOVIMIENTOS_COMPLEMENTOS!$E$4:$E$803,C1219,MOVIMIENTOS_COMPLEMENTOS!$G$4:$G$803,E1219,MOVIMIENTOS_COMPLEMENTOS!$H$4:$H$803,G1219,MOVIMIENTOS_COMPLEMENTOS!$B$4:$B$803,"INGRESO")+SUMIFS(MOVIMIENTOS_COMPLEMENTOS!$I$4:$I$803,MOVIMIENTOS_COMPLEMENTOS!$C$4:$C$803,A1219,MOVIMIENTOS_COMPLEMENTOS!$D$4:$D$803,B1219,MOVIMIENTOS_COMPLEMENTOS!$E$4:$E$803,C1219,MOVIMIENTOS_COMPLEMENTOS!$G$4:$G$803,E1219,MOVIMIENTOS_COMPLEMENTOS!$H$4:$H$803,G1219,MOVIMIENTOS_COMPLEMENTOS!$B$4:$B$803,"DE CORTE")-SUMIFS(MOVIMIENTOS_COMPLEMENTOS!$I$4:$I$803,MOVIMIENTOS_COMPLEMENTOS!$C$4:$C$803,A1219,MOVIMIENTOS_COMPLEMENTOS!$D$4:$D$803,B1219,MOVIMIENTOS_COMPLEMENTOS!$E$4:$E$803,C1219,MOVIMIENTOS_COMPLEMENTOS!$G$4:$G$803,E1219,MOVIMIENTOS_COMPLEMENTOS!$H$4:$H$803,G1219,MOVIMIENTOS_COMPLEMENTOS!$B$4:$B$803,"SALIDA"),0)</f>
        <v>0</v>
      </c>
      <c r="I1219" s="102">
        <f t="array" ref="I1219">IFERROR(INDEX(PRECIOS_COMPLEMENTOS!$C$4:$F$17,MATCH(B1219&amp;"_"&amp;C1219,PRECIOS_COMPLEMENTOS!$H$4:$H$17,0),IF(OR(G1219="S",G1219="20cm"),1,IF(OR(G1219="M",G1219="25cm"),2,IF(OR(G1219="L",G1219="30cm"),3,IF(OR(G1219="XL",G1219="35cm"),4,0))))),0)</f>
        <v>0.35</v>
      </c>
      <c r="J1219" s="103">
        <f t="shared" si="1"/>
        <v>0</v>
      </c>
      <c r="K1219" s="104" t="str">
        <f>IF(H1219&lt;0,"ERROR",IF(H1219=0,"",IF(H1219&lt;CONFIG!$B$4,"CRÍTICO",IF(H1219&lt;CONFIG!$B$5,"BAJO","OK"))))</f>
        <v/>
      </c>
    </row>
    <row r="1220" ht="15.75" hidden="1" customHeight="1">
      <c r="A1220" s="90" t="str">
        <f>IF(CLIENTES!A4="","",CLIENTES!A4)</f>
        <v>OverShark</v>
      </c>
      <c r="B1220" s="90" t="s">
        <v>324</v>
      </c>
      <c r="C1220" s="91" t="s">
        <v>322</v>
      </c>
      <c r="D1220" s="109" t="s">
        <v>353</v>
      </c>
      <c r="E1220" s="67" t="str">
        <f>COLORES!A12</f>
        <v>Cemento</v>
      </c>
      <c r="F1220" s="67" t="str">
        <f>COLORES!B12</f>
        <v>CLARO</v>
      </c>
      <c r="G1220" s="90" t="s">
        <v>376</v>
      </c>
      <c r="H1220" s="100">
        <f>IFERROR(SUMIFS(MOVIMIENTOS_COMPLEMENTOS!$I$4:$I$803,MOVIMIENTOS_COMPLEMENTOS!$C$4:$C$803,A1220,MOVIMIENTOS_COMPLEMENTOS!$D$4:$D$803,B1220,MOVIMIENTOS_COMPLEMENTOS!$E$4:$E$803,C1220,MOVIMIENTOS_COMPLEMENTOS!$G$4:$G$803,E1220,MOVIMIENTOS_COMPLEMENTOS!$H$4:$H$803,G1220,MOVIMIENTOS_COMPLEMENTOS!$B$4:$B$803,"INGRESO")+SUMIFS(MOVIMIENTOS_COMPLEMENTOS!$I$4:$I$803,MOVIMIENTOS_COMPLEMENTOS!$C$4:$C$803,A1220,MOVIMIENTOS_COMPLEMENTOS!$D$4:$D$803,B1220,MOVIMIENTOS_COMPLEMENTOS!$E$4:$E$803,C1220,MOVIMIENTOS_COMPLEMENTOS!$G$4:$G$803,E1220,MOVIMIENTOS_COMPLEMENTOS!$H$4:$H$803,G1220,MOVIMIENTOS_COMPLEMENTOS!$B$4:$B$803,"DE CORTE")-SUMIFS(MOVIMIENTOS_COMPLEMENTOS!$I$4:$I$803,MOVIMIENTOS_COMPLEMENTOS!$C$4:$C$803,A1220,MOVIMIENTOS_COMPLEMENTOS!$D$4:$D$803,B1220,MOVIMIENTOS_COMPLEMENTOS!$E$4:$E$803,C1220,MOVIMIENTOS_COMPLEMENTOS!$G$4:$G$803,E1220,MOVIMIENTOS_COMPLEMENTOS!$H$4:$H$803,G1220,MOVIMIENTOS_COMPLEMENTOS!$B$4:$B$803,"SALIDA"),0)</f>
        <v>0</v>
      </c>
      <c r="I1220" s="102">
        <f t="array" ref="I1220">IFERROR(INDEX(PRECIOS_COMPLEMENTOS!$C$4:$F$17,MATCH(B1220&amp;"_"&amp;C1220,PRECIOS_COMPLEMENTOS!$H$4:$H$17,0),IF(OR(G1220="S",G1220="20cm"),1,IF(OR(G1220="M",G1220="25cm"),2,IF(OR(G1220="L",G1220="30cm"),3,IF(OR(G1220="XL",G1220="35cm"),4,0))))),0)</f>
        <v>0.3</v>
      </c>
      <c r="J1220" s="103">
        <f t="shared" si="1"/>
        <v>0</v>
      </c>
      <c r="K1220" s="104" t="str">
        <f>IF(H1220&lt;0,"ERROR",IF(H1220=0,"",IF(H1220&lt;CONFIG!$B$4,"CRÍTICO",IF(H1220&lt;CONFIG!$B$5,"BAJO","OK"))))</f>
        <v/>
      </c>
    </row>
    <row r="1221" ht="15.75" hidden="1" customHeight="1">
      <c r="A1221" s="90" t="str">
        <f>IF(CLIENTES!A4="","",CLIENTES!A4)</f>
        <v>OverShark</v>
      </c>
      <c r="B1221" s="90" t="s">
        <v>324</v>
      </c>
      <c r="C1221" s="91" t="s">
        <v>322</v>
      </c>
      <c r="D1221" s="109" t="s">
        <v>353</v>
      </c>
      <c r="E1221" s="67" t="str">
        <f>COLORES!A12</f>
        <v>Cemento</v>
      </c>
      <c r="F1221" s="67" t="str">
        <f>COLORES!B12</f>
        <v>CLARO</v>
      </c>
      <c r="G1221" s="90" t="s">
        <v>377</v>
      </c>
      <c r="H1221" s="100">
        <f>IFERROR(SUMIFS(MOVIMIENTOS_COMPLEMENTOS!$I$4:$I$803,MOVIMIENTOS_COMPLEMENTOS!$C$4:$C$803,A1221,MOVIMIENTOS_COMPLEMENTOS!$D$4:$D$803,B1221,MOVIMIENTOS_COMPLEMENTOS!$E$4:$E$803,C1221,MOVIMIENTOS_COMPLEMENTOS!$G$4:$G$803,E1221,MOVIMIENTOS_COMPLEMENTOS!$H$4:$H$803,G1221,MOVIMIENTOS_COMPLEMENTOS!$B$4:$B$803,"INGRESO")+SUMIFS(MOVIMIENTOS_COMPLEMENTOS!$I$4:$I$803,MOVIMIENTOS_COMPLEMENTOS!$C$4:$C$803,A1221,MOVIMIENTOS_COMPLEMENTOS!$D$4:$D$803,B1221,MOVIMIENTOS_COMPLEMENTOS!$E$4:$E$803,C1221,MOVIMIENTOS_COMPLEMENTOS!$G$4:$G$803,E1221,MOVIMIENTOS_COMPLEMENTOS!$H$4:$H$803,G1221,MOVIMIENTOS_COMPLEMENTOS!$B$4:$B$803,"DE CORTE")-SUMIFS(MOVIMIENTOS_COMPLEMENTOS!$I$4:$I$803,MOVIMIENTOS_COMPLEMENTOS!$C$4:$C$803,A1221,MOVIMIENTOS_COMPLEMENTOS!$D$4:$D$803,B1221,MOVIMIENTOS_COMPLEMENTOS!$E$4:$E$803,C1221,MOVIMIENTOS_COMPLEMENTOS!$G$4:$G$803,E1221,MOVIMIENTOS_COMPLEMENTOS!$H$4:$H$803,G1221,MOVIMIENTOS_COMPLEMENTOS!$B$4:$B$803,"SALIDA"),0)</f>
        <v>0</v>
      </c>
      <c r="I1221" s="102">
        <f t="array" ref="I1221">IFERROR(INDEX(PRECIOS_COMPLEMENTOS!$C$4:$F$17,MATCH(B1221&amp;"_"&amp;C1221,PRECIOS_COMPLEMENTOS!$H$4:$H$17,0),IF(OR(G1221="S",G1221="20cm"),1,IF(OR(G1221="M",G1221="25cm"),2,IF(OR(G1221="L",G1221="30cm"),3,IF(OR(G1221="XL",G1221="35cm"),4,0))))),0)</f>
        <v>0.35</v>
      </c>
      <c r="J1221" s="103">
        <f t="shared" si="1"/>
        <v>0</v>
      </c>
      <c r="K1221" s="104" t="str">
        <f>IF(H1221&lt;0,"ERROR",IF(H1221=0,"",IF(H1221&lt;CONFIG!$B$4,"CRÍTICO",IF(H1221&lt;CONFIG!$B$5,"BAJO","OK"))))</f>
        <v/>
      </c>
    </row>
    <row r="1222" ht="15.75" hidden="1" customHeight="1">
      <c r="A1222" s="90" t="str">
        <f>IF(CLIENTES!A4="","",CLIENTES!A4)</f>
        <v>OverShark</v>
      </c>
      <c r="B1222" s="90" t="s">
        <v>324</v>
      </c>
      <c r="C1222" s="91" t="s">
        <v>322</v>
      </c>
      <c r="D1222" s="109" t="s">
        <v>353</v>
      </c>
      <c r="E1222" s="67" t="str">
        <f>COLORES!A13</f>
        <v>Camote</v>
      </c>
      <c r="F1222" s="67" t="str">
        <f>COLORES!B13</f>
        <v>CLARO</v>
      </c>
      <c r="G1222" s="90" t="s">
        <v>376</v>
      </c>
      <c r="H1222" s="100">
        <f>IFERROR(SUMIFS(MOVIMIENTOS_COMPLEMENTOS!$I$4:$I$803,MOVIMIENTOS_COMPLEMENTOS!$C$4:$C$803,A1222,MOVIMIENTOS_COMPLEMENTOS!$D$4:$D$803,B1222,MOVIMIENTOS_COMPLEMENTOS!$E$4:$E$803,C1222,MOVIMIENTOS_COMPLEMENTOS!$G$4:$G$803,E1222,MOVIMIENTOS_COMPLEMENTOS!$H$4:$H$803,G1222,MOVIMIENTOS_COMPLEMENTOS!$B$4:$B$803,"INGRESO")+SUMIFS(MOVIMIENTOS_COMPLEMENTOS!$I$4:$I$803,MOVIMIENTOS_COMPLEMENTOS!$C$4:$C$803,A1222,MOVIMIENTOS_COMPLEMENTOS!$D$4:$D$803,B1222,MOVIMIENTOS_COMPLEMENTOS!$E$4:$E$803,C1222,MOVIMIENTOS_COMPLEMENTOS!$G$4:$G$803,E1222,MOVIMIENTOS_COMPLEMENTOS!$H$4:$H$803,G1222,MOVIMIENTOS_COMPLEMENTOS!$B$4:$B$803,"DE CORTE")-SUMIFS(MOVIMIENTOS_COMPLEMENTOS!$I$4:$I$803,MOVIMIENTOS_COMPLEMENTOS!$C$4:$C$803,A1222,MOVIMIENTOS_COMPLEMENTOS!$D$4:$D$803,B1222,MOVIMIENTOS_COMPLEMENTOS!$E$4:$E$803,C1222,MOVIMIENTOS_COMPLEMENTOS!$G$4:$G$803,E1222,MOVIMIENTOS_COMPLEMENTOS!$H$4:$H$803,G1222,MOVIMIENTOS_COMPLEMENTOS!$B$4:$B$803,"SALIDA"),0)</f>
        <v>0</v>
      </c>
      <c r="I1222" s="102">
        <f t="array" ref="I1222">IFERROR(INDEX(PRECIOS_COMPLEMENTOS!$C$4:$F$17,MATCH(B1222&amp;"_"&amp;C1222,PRECIOS_COMPLEMENTOS!$H$4:$H$17,0),IF(OR(G1222="S",G1222="20cm"),1,IF(OR(G1222="M",G1222="25cm"),2,IF(OR(G1222="L",G1222="30cm"),3,IF(OR(G1222="XL",G1222="35cm"),4,0))))),0)</f>
        <v>0.3</v>
      </c>
      <c r="J1222" s="103">
        <f t="shared" si="1"/>
        <v>0</v>
      </c>
      <c r="K1222" s="104" t="str">
        <f>IF(H1222&lt;0,"ERROR",IF(H1222=0,"",IF(H1222&lt;CONFIG!$B$4,"CRÍTICO",IF(H1222&lt;CONFIG!$B$5,"BAJO","OK"))))</f>
        <v/>
      </c>
    </row>
    <row r="1223" ht="15.75" hidden="1" customHeight="1">
      <c r="A1223" s="90" t="str">
        <f>IF(CLIENTES!A4="","",CLIENTES!A4)</f>
        <v>OverShark</v>
      </c>
      <c r="B1223" s="90" t="s">
        <v>324</v>
      </c>
      <c r="C1223" s="91" t="s">
        <v>322</v>
      </c>
      <c r="D1223" s="109" t="s">
        <v>353</v>
      </c>
      <c r="E1223" s="67" t="str">
        <f>COLORES!A13</f>
        <v>Camote</v>
      </c>
      <c r="F1223" s="67" t="str">
        <f>COLORES!B13</f>
        <v>CLARO</v>
      </c>
      <c r="G1223" s="90" t="s">
        <v>377</v>
      </c>
      <c r="H1223" s="100">
        <f>IFERROR(SUMIFS(MOVIMIENTOS_COMPLEMENTOS!$I$4:$I$803,MOVIMIENTOS_COMPLEMENTOS!$C$4:$C$803,A1223,MOVIMIENTOS_COMPLEMENTOS!$D$4:$D$803,B1223,MOVIMIENTOS_COMPLEMENTOS!$E$4:$E$803,C1223,MOVIMIENTOS_COMPLEMENTOS!$G$4:$G$803,E1223,MOVIMIENTOS_COMPLEMENTOS!$H$4:$H$803,G1223,MOVIMIENTOS_COMPLEMENTOS!$B$4:$B$803,"INGRESO")+SUMIFS(MOVIMIENTOS_COMPLEMENTOS!$I$4:$I$803,MOVIMIENTOS_COMPLEMENTOS!$C$4:$C$803,A1223,MOVIMIENTOS_COMPLEMENTOS!$D$4:$D$803,B1223,MOVIMIENTOS_COMPLEMENTOS!$E$4:$E$803,C1223,MOVIMIENTOS_COMPLEMENTOS!$G$4:$G$803,E1223,MOVIMIENTOS_COMPLEMENTOS!$H$4:$H$803,G1223,MOVIMIENTOS_COMPLEMENTOS!$B$4:$B$803,"DE CORTE")-SUMIFS(MOVIMIENTOS_COMPLEMENTOS!$I$4:$I$803,MOVIMIENTOS_COMPLEMENTOS!$C$4:$C$803,A1223,MOVIMIENTOS_COMPLEMENTOS!$D$4:$D$803,B1223,MOVIMIENTOS_COMPLEMENTOS!$E$4:$E$803,C1223,MOVIMIENTOS_COMPLEMENTOS!$G$4:$G$803,E1223,MOVIMIENTOS_COMPLEMENTOS!$H$4:$H$803,G1223,MOVIMIENTOS_COMPLEMENTOS!$B$4:$B$803,"SALIDA"),0)</f>
        <v>0</v>
      </c>
      <c r="I1223" s="102">
        <f t="array" ref="I1223">IFERROR(INDEX(PRECIOS_COMPLEMENTOS!$C$4:$F$17,MATCH(B1223&amp;"_"&amp;C1223,PRECIOS_COMPLEMENTOS!$H$4:$H$17,0),IF(OR(G1223="S",G1223="20cm"),1,IF(OR(G1223="M",G1223="25cm"),2,IF(OR(G1223="L",G1223="30cm"),3,IF(OR(G1223="XL",G1223="35cm"),4,0))))),0)</f>
        <v>0.35</v>
      </c>
      <c r="J1223" s="103">
        <f t="shared" si="1"/>
        <v>0</v>
      </c>
      <c r="K1223" s="104" t="str">
        <f>IF(H1223&lt;0,"ERROR",IF(H1223=0,"",IF(H1223&lt;CONFIG!$B$4,"CRÍTICO",IF(H1223&lt;CONFIG!$B$5,"BAJO","OK"))))</f>
        <v/>
      </c>
    </row>
    <row r="1224" ht="15.75" hidden="1" customHeight="1">
      <c r="A1224" s="90" t="str">
        <f>IF(CLIENTES!A4="","",CLIENTES!A4)</f>
        <v>OverShark</v>
      </c>
      <c r="B1224" s="90" t="s">
        <v>324</v>
      </c>
      <c r="C1224" s="91" t="s">
        <v>322</v>
      </c>
      <c r="D1224" s="109" t="s">
        <v>353</v>
      </c>
      <c r="E1224" s="67" t="str">
        <f>COLORES!A14</f>
        <v>Denim</v>
      </c>
      <c r="F1224" s="67" t="str">
        <f>COLORES!B14</f>
        <v>CLARO</v>
      </c>
      <c r="G1224" s="90" t="s">
        <v>376</v>
      </c>
      <c r="H1224" s="100">
        <f>IFERROR(SUMIFS(MOVIMIENTOS_COMPLEMENTOS!$I$4:$I$803,MOVIMIENTOS_COMPLEMENTOS!$C$4:$C$803,A1224,MOVIMIENTOS_COMPLEMENTOS!$D$4:$D$803,B1224,MOVIMIENTOS_COMPLEMENTOS!$E$4:$E$803,C1224,MOVIMIENTOS_COMPLEMENTOS!$G$4:$G$803,E1224,MOVIMIENTOS_COMPLEMENTOS!$H$4:$H$803,G1224,MOVIMIENTOS_COMPLEMENTOS!$B$4:$B$803,"INGRESO")+SUMIFS(MOVIMIENTOS_COMPLEMENTOS!$I$4:$I$803,MOVIMIENTOS_COMPLEMENTOS!$C$4:$C$803,A1224,MOVIMIENTOS_COMPLEMENTOS!$D$4:$D$803,B1224,MOVIMIENTOS_COMPLEMENTOS!$E$4:$E$803,C1224,MOVIMIENTOS_COMPLEMENTOS!$G$4:$G$803,E1224,MOVIMIENTOS_COMPLEMENTOS!$H$4:$H$803,G1224,MOVIMIENTOS_COMPLEMENTOS!$B$4:$B$803,"DE CORTE")-SUMIFS(MOVIMIENTOS_COMPLEMENTOS!$I$4:$I$803,MOVIMIENTOS_COMPLEMENTOS!$C$4:$C$803,A1224,MOVIMIENTOS_COMPLEMENTOS!$D$4:$D$803,B1224,MOVIMIENTOS_COMPLEMENTOS!$E$4:$E$803,C1224,MOVIMIENTOS_COMPLEMENTOS!$G$4:$G$803,E1224,MOVIMIENTOS_COMPLEMENTOS!$H$4:$H$803,G1224,MOVIMIENTOS_COMPLEMENTOS!$B$4:$B$803,"SALIDA"),0)</f>
        <v>0</v>
      </c>
      <c r="I1224" s="102">
        <f t="array" ref="I1224">IFERROR(INDEX(PRECIOS_COMPLEMENTOS!$C$4:$F$17,MATCH(B1224&amp;"_"&amp;C1224,PRECIOS_COMPLEMENTOS!$H$4:$H$17,0),IF(OR(G1224="S",G1224="20cm"),1,IF(OR(G1224="M",G1224="25cm"),2,IF(OR(G1224="L",G1224="30cm"),3,IF(OR(G1224="XL",G1224="35cm"),4,0))))),0)</f>
        <v>0.3</v>
      </c>
      <c r="J1224" s="103">
        <f t="shared" si="1"/>
        <v>0</v>
      </c>
      <c r="K1224" s="104" t="str">
        <f>IF(H1224&lt;0,"ERROR",IF(H1224=0,"",IF(H1224&lt;CONFIG!$B$4,"CRÍTICO",IF(H1224&lt;CONFIG!$B$5,"BAJO","OK"))))</f>
        <v/>
      </c>
    </row>
    <row r="1225" ht="15.75" hidden="1" customHeight="1">
      <c r="A1225" s="90" t="str">
        <f>IF(CLIENTES!A4="","",CLIENTES!A4)</f>
        <v>OverShark</v>
      </c>
      <c r="B1225" s="90" t="s">
        <v>324</v>
      </c>
      <c r="C1225" s="91" t="s">
        <v>322</v>
      </c>
      <c r="D1225" s="109" t="s">
        <v>353</v>
      </c>
      <c r="E1225" s="67" t="str">
        <f>COLORES!A14</f>
        <v>Denim</v>
      </c>
      <c r="F1225" s="67" t="str">
        <f>COLORES!B14</f>
        <v>CLARO</v>
      </c>
      <c r="G1225" s="90" t="s">
        <v>377</v>
      </c>
      <c r="H1225" s="100">
        <f>IFERROR(SUMIFS(MOVIMIENTOS_COMPLEMENTOS!$I$4:$I$803,MOVIMIENTOS_COMPLEMENTOS!$C$4:$C$803,A1225,MOVIMIENTOS_COMPLEMENTOS!$D$4:$D$803,B1225,MOVIMIENTOS_COMPLEMENTOS!$E$4:$E$803,C1225,MOVIMIENTOS_COMPLEMENTOS!$G$4:$G$803,E1225,MOVIMIENTOS_COMPLEMENTOS!$H$4:$H$803,G1225,MOVIMIENTOS_COMPLEMENTOS!$B$4:$B$803,"INGRESO")+SUMIFS(MOVIMIENTOS_COMPLEMENTOS!$I$4:$I$803,MOVIMIENTOS_COMPLEMENTOS!$C$4:$C$803,A1225,MOVIMIENTOS_COMPLEMENTOS!$D$4:$D$803,B1225,MOVIMIENTOS_COMPLEMENTOS!$E$4:$E$803,C1225,MOVIMIENTOS_COMPLEMENTOS!$G$4:$G$803,E1225,MOVIMIENTOS_COMPLEMENTOS!$H$4:$H$803,G1225,MOVIMIENTOS_COMPLEMENTOS!$B$4:$B$803,"DE CORTE")-SUMIFS(MOVIMIENTOS_COMPLEMENTOS!$I$4:$I$803,MOVIMIENTOS_COMPLEMENTOS!$C$4:$C$803,A1225,MOVIMIENTOS_COMPLEMENTOS!$D$4:$D$803,B1225,MOVIMIENTOS_COMPLEMENTOS!$E$4:$E$803,C1225,MOVIMIENTOS_COMPLEMENTOS!$G$4:$G$803,E1225,MOVIMIENTOS_COMPLEMENTOS!$H$4:$H$803,G1225,MOVIMIENTOS_COMPLEMENTOS!$B$4:$B$803,"SALIDA"),0)</f>
        <v>0</v>
      </c>
      <c r="I1225" s="102">
        <f t="array" ref="I1225">IFERROR(INDEX(PRECIOS_COMPLEMENTOS!$C$4:$F$17,MATCH(B1225&amp;"_"&amp;C1225,PRECIOS_COMPLEMENTOS!$H$4:$H$17,0),IF(OR(G1225="S",G1225="20cm"),1,IF(OR(G1225="M",G1225="25cm"),2,IF(OR(G1225="L",G1225="30cm"),3,IF(OR(G1225="XL",G1225="35cm"),4,0))))),0)</f>
        <v>0.35</v>
      </c>
      <c r="J1225" s="103">
        <f t="shared" si="1"/>
        <v>0</v>
      </c>
      <c r="K1225" s="104" t="str">
        <f>IF(H1225&lt;0,"ERROR",IF(H1225=0,"",IF(H1225&lt;CONFIG!$B$4,"CRÍTICO",IF(H1225&lt;CONFIG!$B$5,"BAJO","OK"))))</f>
        <v/>
      </c>
    </row>
    <row r="1226" ht="15.75" hidden="1" customHeight="1">
      <c r="A1226" s="90" t="str">
        <f>IF(CLIENTES!A4="","",CLIENTES!A4)</f>
        <v>OverShark</v>
      </c>
      <c r="B1226" s="90" t="s">
        <v>324</v>
      </c>
      <c r="C1226" s="91" t="s">
        <v>322</v>
      </c>
      <c r="D1226" s="109" t="s">
        <v>353</v>
      </c>
      <c r="E1226" s="67" t="str">
        <f>COLORES!A15</f>
        <v>Plomo</v>
      </c>
      <c r="F1226" s="67" t="str">
        <f>COLORES!B15</f>
        <v>OSCURO</v>
      </c>
      <c r="G1226" s="90" t="s">
        <v>376</v>
      </c>
      <c r="H1226" s="100">
        <f>IFERROR(SUMIFS(MOVIMIENTOS_COMPLEMENTOS!$I$4:$I$803,MOVIMIENTOS_COMPLEMENTOS!$C$4:$C$803,A1226,MOVIMIENTOS_COMPLEMENTOS!$D$4:$D$803,B1226,MOVIMIENTOS_COMPLEMENTOS!$E$4:$E$803,C1226,MOVIMIENTOS_COMPLEMENTOS!$G$4:$G$803,E1226,MOVIMIENTOS_COMPLEMENTOS!$H$4:$H$803,G1226,MOVIMIENTOS_COMPLEMENTOS!$B$4:$B$803,"INGRESO")+SUMIFS(MOVIMIENTOS_COMPLEMENTOS!$I$4:$I$803,MOVIMIENTOS_COMPLEMENTOS!$C$4:$C$803,A1226,MOVIMIENTOS_COMPLEMENTOS!$D$4:$D$803,B1226,MOVIMIENTOS_COMPLEMENTOS!$E$4:$E$803,C1226,MOVIMIENTOS_COMPLEMENTOS!$G$4:$G$803,E1226,MOVIMIENTOS_COMPLEMENTOS!$H$4:$H$803,G1226,MOVIMIENTOS_COMPLEMENTOS!$B$4:$B$803,"DE CORTE")-SUMIFS(MOVIMIENTOS_COMPLEMENTOS!$I$4:$I$803,MOVIMIENTOS_COMPLEMENTOS!$C$4:$C$803,A1226,MOVIMIENTOS_COMPLEMENTOS!$D$4:$D$803,B1226,MOVIMIENTOS_COMPLEMENTOS!$E$4:$E$803,C1226,MOVIMIENTOS_COMPLEMENTOS!$G$4:$G$803,E1226,MOVIMIENTOS_COMPLEMENTOS!$H$4:$H$803,G1226,MOVIMIENTOS_COMPLEMENTOS!$B$4:$B$803,"SALIDA"),0)</f>
        <v>0</v>
      </c>
      <c r="I1226" s="102">
        <f t="array" ref="I1226">IFERROR(INDEX(PRECIOS_COMPLEMENTOS!$C$4:$F$17,MATCH(B1226&amp;"_"&amp;C1226,PRECIOS_COMPLEMENTOS!$H$4:$H$17,0),IF(OR(G1226="S",G1226="20cm"),1,IF(OR(G1226="M",G1226="25cm"),2,IF(OR(G1226="L",G1226="30cm"),3,IF(OR(G1226="XL",G1226="35cm"),4,0))))),0)</f>
        <v>0.3</v>
      </c>
      <c r="J1226" s="103">
        <f t="shared" si="1"/>
        <v>0</v>
      </c>
      <c r="K1226" s="104" t="str">
        <f>IF(H1226&lt;0,"ERROR",IF(H1226=0,"",IF(H1226&lt;CONFIG!$B$4,"CRÍTICO",IF(H1226&lt;CONFIG!$B$5,"BAJO","OK"))))</f>
        <v/>
      </c>
    </row>
    <row r="1227" ht="15.75" hidden="1" customHeight="1">
      <c r="A1227" s="90" t="str">
        <f>IF(CLIENTES!A4="","",CLIENTES!A4)</f>
        <v>OverShark</v>
      </c>
      <c r="B1227" s="90" t="s">
        <v>324</v>
      </c>
      <c r="C1227" s="91" t="s">
        <v>322</v>
      </c>
      <c r="D1227" s="109" t="s">
        <v>353</v>
      </c>
      <c r="E1227" s="67" t="str">
        <f>COLORES!A15</f>
        <v>Plomo</v>
      </c>
      <c r="F1227" s="67" t="str">
        <f>COLORES!B15</f>
        <v>OSCURO</v>
      </c>
      <c r="G1227" s="90" t="s">
        <v>377</v>
      </c>
      <c r="H1227" s="100">
        <f>IFERROR(SUMIFS(MOVIMIENTOS_COMPLEMENTOS!$I$4:$I$803,MOVIMIENTOS_COMPLEMENTOS!$C$4:$C$803,A1227,MOVIMIENTOS_COMPLEMENTOS!$D$4:$D$803,B1227,MOVIMIENTOS_COMPLEMENTOS!$E$4:$E$803,C1227,MOVIMIENTOS_COMPLEMENTOS!$G$4:$G$803,E1227,MOVIMIENTOS_COMPLEMENTOS!$H$4:$H$803,G1227,MOVIMIENTOS_COMPLEMENTOS!$B$4:$B$803,"INGRESO")+SUMIFS(MOVIMIENTOS_COMPLEMENTOS!$I$4:$I$803,MOVIMIENTOS_COMPLEMENTOS!$C$4:$C$803,A1227,MOVIMIENTOS_COMPLEMENTOS!$D$4:$D$803,B1227,MOVIMIENTOS_COMPLEMENTOS!$E$4:$E$803,C1227,MOVIMIENTOS_COMPLEMENTOS!$G$4:$G$803,E1227,MOVIMIENTOS_COMPLEMENTOS!$H$4:$H$803,G1227,MOVIMIENTOS_COMPLEMENTOS!$B$4:$B$803,"DE CORTE")-SUMIFS(MOVIMIENTOS_COMPLEMENTOS!$I$4:$I$803,MOVIMIENTOS_COMPLEMENTOS!$C$4:$C$803,A1227,MOVIMIENTOS_COMPLEMENTOS!$D$4:$D$803,B1227,MOVIMIENTOS_COMPLEMENTOS!$E$4:$E$803,C1227,MOVIMIENTOS_COMPLEMENTOS!$G$4:$G$803,E1227,MOVIMIENTOS_COMPLEMENTOS!$H$4:$H$803,G1227,MOVIMIENTOS_COMPLEMENTOS!$B$4:$B$803,"SALIDA"),0)</f>
        <v>0</v>
      </c>
      <c r="I1227" s="102">
        <f t="array" ref="I1227">IFERROR(INDEX(PRECIOS_COMPLEMENTOS!$C$4:$F$17,MATCH(B1227&amp;"_"&amp;C1227,PRECIOS_COMPLEMENTOS!$H$4:$H$17,0),IF(OR(G1227="S",G1227="20cm"),1,IF(OR(G1227="M",G1227="25cm"),2,IF(OR(G1227="L",G1227="30cm"),3,IF(OR(G1227="XL",G1227="35cm"),4,0))))),0)</f>
        <v>0.35</v>
      </c>
      <c r="J1227" s="103">
        <f t="shared" si="1"/>
        <v>0</v>
      </c>
      <c r="K1227" s="104" t="str">
        <f>IF(H1227&lt;0,"ERROR",IF(H1227=0,"",IF(H1227&lt;CONFIG!$B$4,"CRÍTICO",IF(H1227&lt;CONFIG!$B$5,"BAJO","OK"))))</f>
        <v/>
      </c>
    </row>
    <row r="1228" ht="15.75" hidden="1" customHeight="1">
      <c r="A1228" s="90" t="str">
        <f>IF(CLIENTES!A4="","",CLIENTES!A4)</f>
        <v>OverShark</v>
      </c>
      <c r="B1228" s="90" t="s">
        <v>324</v>
      </c>
      <c r="C1228" s="91" t="s">
        <v>322</v>
      </c>
      <c r="D1228" s="109" t="s">
        <v>353</v>
      </c>
      <c r="E1228" s="67" t="str">
        <f>COLORES!A16</f>
        <v>Topo</v>
      </c>
      <c r="F1228" s="67" t="str">
        <f>COLORES!B16</f>
        <v>CLARO</v>
      </c>
      <c r="G1228" s="90" t="s">
        <v>376</v>
      </c>
      <c r="H1228" s="100">
        <f>IFERROR(SUMIFS(MOVIMIENTOS_COMPLEMENTOS!$I$4:$I$803,MOVIMIENTOS_COMPLEMENTOS!$C$4:$C$803,A1228,MOVIMIENTOS_COMPLEMENTOS!$D$4:$D$803,B1228,MOVIMIENTOS_COMPLEMENTOS!$E$4:$E$803,C1228,MOVIMIENTOS_COMPLEMENTOS!$G$4:$G$803,E1228,MOVIMIENTOS_COMPLEMENTOS!$H$4:$H$803,G1228,MOVIMIENTOS_COMPLEMENTOS!$B$4:$B$803,"INGRESO")+SUMIFS(MOVIMIENTOS_COMPLEMENTOS!$I$4:$I$803,MOVIMIENTOS_COMPLEMENTOS!$C$4:$C$803,A1228,MOVIMIENTOS_COMPLEMENTOS!$D$4:$D$803,B1228,MOVIMIENTOS_COMPLEMENTOS!$E$4:$E$803,C1228,MOVIMIENTOS_COMPLEMENTOS!$G$4:$G$803,E1228,MOVIMIENTOS_COMPLEMENTOS!$H$4:$H$803,G1228,MOVIMIENTOS_COMPLEMENTOS!$B$4:$B$803,"DE CORTE")-SUMIFS(MOVIMIENTOS_COMPLEMENTOS!$I$4:$I$803,MOVIMIENTOS_COMPLEMENTOS!$C$4:$C$803,A1228,MOVIMIENTOS_COMPLEMENTOS!$D$4:$D$803,B1228,MOVIMIENTOS_COMPLEMENTOS!$E$4:$E$803,C1228,MOVIMIENTOS_COMPLEMENTOS!$G$4:$G$803,E1228,MOVIMIENTOS_COMPLEMENTOS!$H$4:$H$803,G1228,MOVIMIENTOS_COMPLEMENTOS!$B$4:$B$803,"SALIDA"),0)</f>
        <v>0</v>
      </c>
      <c r="I1228" s="102">
        <f t="array" ref="I1228">IFERROR(INDEX(PRECIOS_COMPLEMENTOS!$C$4:$F$17,MATCH(B1228&amp;"_"&amp;C1228,PRECIOS_COMPLEMENTOS!$H$4:$H$17,0),IF(OR(G1228="S",G1228="20cm"),1,IF(OR(G1228="M",G1228="25cm"),2,IF(OR(G1228="L",G1228="30cm"),3,IF(OR(G1228="XL",G1228="35cm"),4,0))))),0)</f>
        <v>0.3</v>
      </c>
      <c r="J1228" s="103">
        <f t="shared" si="1"/>
        <v>0</v>
      </c>
      <c r="K1228" s="104" t="str">
        <f>IF(H1228&lt;0,"ERROR",IF(H1228=0,"",IF(H1228&lt;CONFIG!$B$4,"CRÍTICO",IF(H1228&lt;CONFIG!$B$5,"BAJO","OK"))))</f>
        <v/>
      </c>
    </row>
    <row r="1229" ht="15.75" hidden="1" customHeight="1">
      <c r="A1229" s="90" t="str">
        <f>IF(CLIENTES!A4="","",CLIENTES!A4)</f>
        <v>OverShark</v>
      </c>
      <c r="B1229" s="90" t="s">
        <v>324</v>
      </c>
      <c r="C1229" s="91" t="s">
        <v>322</v>
      </c>
      <c r="D1229" s="109" t="s">
        <v>353</v>
      </c>
      <c r="E1229" s="67" t="str">
        <f>COLORES!A16</f>
        <v>Topo</v>
      </c>
      <c r="F1229" s="67" t="str">
        <f>COLORES!B16</f>
        <v>CLARO</v>
      </c>
      <c r="G1229" s="90" t="s">
        <v>377</v>
      </c>
      <c r="H1229" s="100">
        <f>IFERROR(SUMIFS(MOVIMIENTOS_COMPLEMENTOS!$I$4:$I$803,MOVIMIENTOS_COMPLEMENTOS!$C$4:$C$803,A1229,MOVIMIENTOS_COMPLEMENTOS!$D$4:$D$803,B1229,MOVIMIENTOS_COMPLEMENTOS!$E$4:$E$803,C1229,MOVIMIENTOS_COMPLEMENTOS!$G$4:$G$803,E1229,MOVIMIENTOS_COMPLEMENTOS!$H$4:$H$803,G1229,MOVIMIENTOS_COMPLEMENTOS!$B$4:$B$803,"INGRESO")+SUMIFS(MOVIMIENTOS_COMPLEMENTOS!$I$4:$I$803,MOVIMIENTOS_COMPLEMENTOS!$C$4:$C$803,A1229,MOVIMIENTOS_COMPLEMENTOS!$D$4:$D$803,B1229,MOVIMIENTOS_COMPLEMENTOS!$E$4:$E$803,C1229,MOVIMIENTOS_COMPLEMENTOS!$G$4:$G$803,E1229,MOVIMIENTOS_COMPLEMENTOS!$H$4:$H$803,G1229,MOVIMIENTOS_COMPLEMENTOS!$B$4:$B$803,"DE CORTE")-SUMIFS(MOVIMIENTOS_COMPLEMENTOS!$I$4:$I$803,MOVIMIENTOS_COMPLEMENTOS!$C$4:$C$803,A1229,MOVIMIENTOS_COMPLEMENTOS!$D$4:$D$803,B1229,MOVIMIENTOS_COMPLEMENTOS!$E$4:$E$803,C1229,MOVIMIENTOS_COMPLEMENTOS!$G$4:$G$803,E1229,MOVIMIENTOS_COMPLEMENTOS!$H$4:$H$803,G1229,MOVIMIENTOS_COMPLEMENTOS!$B$4:$B$803,"SALIDA"),0)</f>
        <v>0</v>
      </c>
      <c r="I1229" s="102">
        <f t="array" ref="I1229">IFERROR(INDEX(PRECIOS_COMPLEMENTOS!$C$4:$F$17,MATCH(B1229&amp;"_"&amp;C1229,PRECIOS_COMPLEMENTOS!$H$4:$H$17,0),IF(OR(G1229="S",G1229="20cm"),1,IF(OR(G1229="M",G1229="25cm"),2,IF(OR(G1229="L",G1229="30cm"),3,IF(OR(G1229="XL",G1229="35cm"),4,0))))),0)</f>
        <v>0.35</v>
      </c>
      <c r="J1229" s="103">
        <f t="shared" si="1"/>
        <v>0</v>
      </c>
      <c r="K1229" s="104" t="str">
        <f>IF(H1229&lt;0,"ERROR",IF(H1229=0,"",IF(H1229&lt;CONFIG!$B$4,"CRÍTICO",IF(H1229&lt;CONFIG!$B$5,"BAJO","OK"))))</f>
        <v/>
      </c>
    </row>
    <row r="1230" ht="15.75" hidden="1" customHeight="1">
      <c r="A1230" s="90" t="str">
        <f>IF(CLIENTES!A4="","",CLIENTES!A4)</f>
        <v>OverShark</v>
      </c>
      <c r="B1230" s="90" t="s">
        <v>324</v>
      </c>
      <c r="C1230" s="91" t="s">
        <v>322</v>
      </c>
      <c r="D1230" s="109" t="s">
        <v>353</v>
      </c>
      <c r="E1230" s="67" t="str">
        <f>COLORES!A17</f>
        <v>Vino</v>
      </c>
      <c r="F1230" s="67" t="str">
        <f>COLORES!B17</f>
        <v>OSCURO</v>
      </c>
      <c r="G1230" s="90" t="s">
        <v>376</v>
      </c>
      <c r="H1230" s="100">
        <f>IFERROR(SUMIFS(MOVIMIENTOS_COMPLEMENTOS!$I$4:$I$803,MOVIMIENTOS_COMPLEMENTOS!$C$4:$C$803,A1230,MOVIMIENTOS_COMPLEMENTOS!$D$4:$D$803,B1230,MOVIMIENTOS_COMPLEMENTOS!$E$4:$E$803,C1230,MOVIMIENTOS_COMPLEMENTOS!$G$4:$G$803,E1230,MOVIMIENTOS_COMPLEMENTOS!$H$4:$H$803,G1230,MOVIMIENTOS_COMPLEMENTOS!$B$4:$B$803,"INGRESO")+SUMIFS(MOVIMIENTOS_COMPLEMENTOS!$I$4:$I$803,MOVIMIENTOS_COMPLEMENTOS!$C$4:$C$803,A1230,MOVIMIENTOS_COMPLEMENTOS!$D$4:$D$803,B1230,MOVIMIENTOS_COMPLEMENTOS!$E$4:$E$803,C1230,MOVIMIENTOS_COMPLEMENTOS!$G$4:$G$803,E1230,MOVIMIENTOS_COMPLEMENTOS!$H$4:$H$803,G1230,MOVIMIENTOS_COMPLEMENTOS!$B$4:$B$803,"DE CORTE")-SUMIFS(MOVIMIENTOS_COMPLEMENTOS!$I$4:$I$803,MOVIMIENTOS_COMPLEMENTOS!$C$4:$C$803,A1230,MOVIMIENTOS_COMPLEMENTOS!$D$4:$D$803,B1230,MOVIMIENTOS_COMPLEMENTOS!$E$4:$E$803,C1230,MOVIMIENTOS_COMPLEMENTOS!$G$4:$G$803,E1230,MOVIMIENTOS_COMPLEMENTOS!$H$4:$H$803,G1230,MOVIMIENTOS_COMPLEMENTOS!$B$4:$B$803,"SALIDA"),0)</f>
        <v>0</v>
      </c>
      <c r="I1230" s="102">
        <f t="array" ref="I1230">IFERROR(INDEX(PRECIOS_COMPLEMENTOS!$C$4:$F$17,MATCH(B1230&amp;"_"&amp;C1230,PRECIOS_COMPLEMENTOS!$H$4:$H$17,0),IF(OR(G1230="S",G1230="20cm"),1,IF(OR(G1230="M",G1230="25cm"),2,IF(OR(G1230="L",G1230="30cm"),3,IF(OR(G1230="XL",G1230="35cm"),4,0))))),0)</f>
        <v>0.3</v>
      </c>
      <c r="J1230" s="103">
        <f t="shared" si="1"/>
        <v>0</v>
      </c>
      <c r="K1230" s="104" t="str">
        <f>IF(H1230&lt;0,"ERROR",IF(H1230=0,"",IF(H1230&lt;CONFIG!$B$4,"CRÍTICO",IF(H1230&lt;CONFIG!$B$5,"BAJO","OK"))))</f>
        <v/>
      </c>
    </row>
    <row r="1231" ht="15.75" hidden="1" customHeight="1">
      <c r="A1231" s="90" t="str">
        <f>IF(CLIENTES!A4="","",CLIENTES!A4)</f>
        <v>OverShark</v>
      </c>
      <c r="B1231" s="90" t="s">
        <v>324</v>
      </c>
      <c r="C1231" s="91" t="s">
        <v>322</v>
      </c>
      <c r="D1231" s="109" t="s">
        <v>353</v>
      </c>
      <c r="E1231" s="67" t="str">
        <f>COLORES!A17</f>
        <v>Vino</v>
      </c>
      <c r="F1231" s="67" t="str">
        <f>COLORES!B17</f>
        <v>OSCURO</v>
      </c>
      <c r="G1231" s="90" t="s">
        <v>377</v>
      </c>
      <c r="H1231" s="100">
        <f>IFERROR(SUMIFS(MOVIMIENTOS_COMPLEMENTOS!$I$4:$I$803,MOVIMIENTOS_COMPLEMENTOS!$C$4:$C$803,A1231,MOVIMIENTOS_COMPLEMENTOS!$D$4:$D$803,B1231,MOVIMIENTOS_COMPLEMENTOS!$E$4:$E$803,C1231,MOVIMIENTOS_COMPLEMENTOS!$G$4:$G$803,E1231,MOVIMIENTOS_COMPLEMENTOS!$H$4:$H$803,G1231,MOVIMIENTOS_COMPLEMENTOS!$B$4:$B$803,"INGRESO")+SUMIFS(MOVIMIENTOS_COMPLEMENTOS!$I$4:$I$803,MOVIMIENTOS_COMPLEMENTOS!$C$4:$C$803,A1231,MOVIMIENTOS_COMPLEMENTOS!$D$4:$D$803,B1231,MOVIMIENTOS_COMPLEMENTOS!$E$4:$E$803,C1231,MOVIMIENTOS_COMPLEMENTOS!$G$4:$G$803,E1231,MOVIMIENTOS_COMPLEMENTOS!$H$4:$H$803,G1231,MOVIMIENTOS_COMPLEMENTOS!$B$4:$B$803,"DE CORTE")-SUMIFS(MOVIMIENTOS_COMPLEMENTOS!$I$4:$I$803,MOVIMIENTOS_COMPLEMENTOS!$C$4:$C$803,A1231,MOVIMIENTOS_COMPLEMENTOS!$D$4:$D$803,B1231,MOVIMIENTOS_COMPLEMENTOS!$E$4:$E$803,C1231,MOVIMIENTOS_COMPLEMENTOS!$G$4:$G$803,E1231,MOVIMIENTOS_COMPLEMENTOS!$H$4:$H$803,G1231,MOVIMIENTOS_COMPLEMENTOS!$B$4:$B$803,"SALIDA"),0)</f>
        <v>0</v>
      </c>
      <c r="I1231" s="102">
        <f t="array" ref="I1231">IFERROR(INDEX(PRECIOS_COMPLEMENTOS!$C$4:$F$17,MATCH(B1231&amp;"_"&amp;C1231,PRECIOS_COMPLEMENTOS!$H$4:$H$17,0),IF(OR(G1231="S",G1231="20cm"),1,IF(OR(G1231="M",G1231="25cm"),2,IF(OR(G1231="L",G1231="30cm"),3,IF(OR(G1231="XL",G1231="35cm"),4,0))))),0)</f>
        <v>0.35</v>
      </c>
      <c r="J1231" s="103">
        <f t="shared" si="1"/>
        <v>0</v>
      </c>
      <c r="K1231" s="104" t="str">
        <f>IF(H1231&lt;0,"ERROR",IF(H1231=0,"",IF(H1231&lt;CONFIG!$B$4,"CRÍTICO",IF(H1231&lt;CONFIG!$B$5,"BAJO","OK"))))</f>
        <v/>
      </c>
    </row>
    <row r="1232" ht="15.75" hidden="1" customHeight="1">
      <c r="A1232" s="90" t="str">
        <f>IF(CLIENTES!A4="","",CLIENTES!A4)</f>
        <v>OverShark</v>
      </c>
      <c r="B1232" s="90" t="s">
        <v>324</v>
      </c>
      <c r="C1232" s="91" t="s">
        <v>322</v>
      </c>
      <c r="D1232" s="109" t="s">
        <v>353</v>
      </c>
      <c r="E1232" s="67" t="str">
        <f>COLORES!A18</f>
        <v>P. Rosa</v>
      </c>
      <c r="F1232" s="67" t="str">
        <f>COLORES!B18</f>
        <v>CLARO</v>
      </c>
      <c r="G1232" s="90" t="s">
        <v>376</v>
      </c>
      <c r="H1232" s="100">
        <f>IFERROR(SUMIFS(MOVIMIENTOS_COMPLEMENTOS!$I$4:$I$803,MOVIMIENTOS_COMPLEMENTOS!$C$4:$C$803,A1232,MOVIMIENTOS_COMPLEMENTOS!$D$4:$D$803,B1232,MOVIMIENTOS_COMPLEMENTOS!$E$4:$E$803,C1232,MOVIMIENTOS_COMPLEMENTOS!$G$4:$G$803,E1232,MOVIMIENTOS_COMPLEMENTOS!$H$4:$H$803,G1232,MOVIMIENTOS_COMPLEMENTOS!$B$4:$B$803,"INGRESO")+SUMIFS(MOVIMIENTOS_COMPLEMENTOS!$I$4:$I$803,MOVIMIENTOS_COMPLEMENTOS!$C$4:$C$803,A1232,MOVIMIENTOS_COMPLEMENTOS!$D$4:$D$803,B1232,MOVIMIENTOS_COMPLEMENTOS!$E$4:$E$803,C1232,MOVIMIENTOS_COMPLEMENTOS!$G$4:$G$803,E1232,MOVIMIENTOS_COMPLEMENTOS!$H$4:$H$803,G1232,MOVIMIENTOS_COMPLEMENTOS!$B$4:$B$803,"DE CORTE")-SUMIFS(MOVIMIENTOS_COMPLEMENTOS!$I$4:$I$803,MOVIMIENTOS_COMPLEMENTOS!$C$4:$C$803,A1232,MOVIMIENTOS_COMPLEMENTOS!$D$4:$D$803,B1232,MOVIMIENTOS_COMPLEMENTOS!$E$4:$E$803,C1232,MOVIMIENTOS_COMPLEMENTOS!$G$4:$G$803,E1232,MOVIMIENTOS_COMPLEMENTOS!$H$4:$H$803,G1232,MOVIMIENTOS_COMPLEMENTOS!$B$4:$B$803,"SALIDA"),0)</f>
        <v>0</v>
      </c>
      <c r="I1232" s="102">
        <f t="array" ref="I1232">IFERROR(INDEX(PRECIOS_COMPLEMENTOS!$C$4:$F$17,MATCH(B1232&amp;"_"&amp;C1232,PRECIOS_COMPLEMENTOS!$H$4:$H$17,0),IF(OR(G1232="S",G1232="20cm"),1,IF(OR(G1232="M",G1232="25cm"),2,IF(OR(G1232="L",G1232="30cm"),3,IF(OR(G1232="XL",G1232="35cm"),4,0))))),0)</f>
        <v>0.3</v>
      </c>
      <c r="J1232" s="103">
        <f t="shared" si="1"/>
        <v>0</v>
      </c>
      <c r="K1232" s="104" t="str">
        <f>IF(H1232&lt;0,"ERROR",IF(H1232=0,"",IF(H1232&lt;CONFIG!$B$4,"CRÍTICO",IF(H1232&lt;CONFIG!$B$5,"BAJO","OK"))))</f>
        <v/>
      </c>
    </row>
    <row r="1233" ht="15.75" hidden="1" customHeight="1">
      <c r="A1233" s="90" t="str">
        <f>IF(CLIENTES!A4="","",CLIENTES!A4)</f>
        <v>OverShark</v>
      </c>
      <c r="B1233" s="90" t="s">
        <v>324</v>
      </c>
      <c r="C1233" s="91" t="s">
        <v>322</v>
      </c>
      <c r="D1233" s="109" t="s">
        <v>353</v>
      </c>
      <c r="E1233" s="67" t="str">
        <f>COLORES!A18</f>
        <v>P. Rosa</v>
      </c>
      <c r="F1233" s="67" t="str">
        <f>COLORES!B18</f>
        <v>CLARO</v>
      </c>
      <c r="G1233" s="90" t="s">
        <v>377</v>
      </c>
      <c r="H1233" s="100">
        <f>IFERROR(SUMIFS(MOVIMIENTOS_COMPLEMENTOS!$I$4:$I$803,MOVIMIENTOS_COMPLEMENTOS!$C$4:$C$803,A1233,MOVIMIENTOS_COMPLEMENTOS!$D$4:$D$803,B1233,MOVIMIENTOS_COMPLEMENTOS!$E$4:$E$803,C1233,MOVIMIENTOS_COMPLEMENTOS!$G$4:$G$803,E1233,MOVIMIENTOS_COMPLEMENTOS!$H$4:$H$803,G1233,MOVIMIENTOS_COMPLEMENTOS!$B$4:$B$803,"INGRESO")+SUMIFS(MOVIMIENTOS_COMPLEMENTOS!$I$4:$I$803,MOVIMIENTOS_COMPLEMENTOS!$C$4:$C$803,A1233,MOVIMIENTOS_COMPLEMENTOS!$D$4:$D$803,B1233,MOVIMIENTOS_COMPLEMENTOS!$E$4:$E$803,C1233,MOVIMIENTOS_COMPLEMENTOS!$G$4:$G$803,E1233,MOVIMIENTOS_COMPLEMENTOS!$H$4:$H$803,G1233,MOVIMIENTOS_COMPLEMENTOS!$B$4:$B$803,"DE CORTE")-SUMIFS(MOVIMIENTOS_COMPLEMENTOS!$I$4:$I$803,MOVIMIENTOS_COMPLEMENTOS!$C$4:$C$803,A1233,MOVIMIENTOS_COMPLEMENTOS!$D$4:$D$803,B1233,MOVIMIENTOS_COMPLEMENTOS!$E$4:$E$803,C1233,MOVIMIENTOS_COMPLEMENTOS!$G$4:$G$803,E1233,MOVIMIENTOS_COMPLEMENTOS!$H$4:$H$803,G1233,MOVIMIENTOS_COMPLEMENTOS!$B$4:$B$803,"SALIDA"),0)</f>
        <v>0</v>
      </c>
      <c r="I1233" s="102">
        <f t="array" ref="I1233">IFERROR(INDEX(PRECIOS_COMPLEMENTOS!$C$4:$F$17,MATCH(B1233&amp;"_"&amp;C1233,PRECIOS_COMPLEMENTOS!$H$4:$H$17,0),IF(OR(G1233="S",G1233="20cm"),1,IF(OR(G1233="M",G1233="25cm"),2,IF(OR(G1233="L",G1233="30cm"),3,IF(OR(G1233="XL",G1233="35cm"),4,0))))),0)</f>
        <v>0.35</v>
      </c>
      <c r="J1233" s="103">
        <f t="shared" si="1"/>
        <v>0</v>
      </c>
      <c r="K1233" s="104" t="str">
        <f>IF(H1233&lt;0,"ERROR",IF(H1233=0,"",IF(H1233&lt;CONFIG!$B$4,"CRÍTICO",IF(H1233&lt;CONFIG!$B$5,"BAJO","OK"))))</f>
        <v/>
      </c>
    </row>
    <row r="1234" ht="15.75" hidden="1" customHeight="1">
      <c r="A1234" s="90" t="str">
        <f>IF(CLIENTES!A4="","",CLIENTES!A4)</f>
        <v>OverShark</v>
      </c>
      <c r="B1234" s="90" t="s">
        <v>324</v>
      </c>
      <c r="C1234" s="91" t="s">
        <v>322</v>
      </c>
      <c r="D1234" s="109" t="s">
        <v>353</v>
      </c>
      <c r="E1234" s="67" t="str">
        <f>COLORES!A19</f>
        <v/>
      </c>
      <c r="F1234" s="67" t="str">
        <f>COLORES!B19</f>
        <v/>
      </c>
      <c r="G1234" s="90" t="s">
        <v>376</v>
      </c>
      <c r="H1234" s="100">
        <f>IFERROR(SUMIFS(MOVIMIENTOS_COMPLEMENTOS!$I$4:$I$803,MOVIMIENTOS_COMPLEMENTOS!$C$4:$C$803,A1234,MOVIMIENTOS_COMPLEMENTOS!$D$4:$D$803,B1234,MOVIMIENTOS_COMPLEMENTOS!$E$4:$E$803,C1234,MOVIMIENTOS_COMPLEMENTOS!$G$4:$G$803,E1234,MOVIMIENTOS_COMPLEMENTOS!$H$4:$H$803,G1234,MOVIMIENTOS_COMPLEMENTOS!$B$4:$B$803,"INGRESO")+SUMIFS(MOVIMIENTOS_COMPLEMENTOS!$I$4:$I$803,MOVIMIENTOS_COMPLEMENTOS!$C$4:$C$803,A1234,MOVIMIENTOS_COMPLEMENTOS!$D$4:$D$803,B1234,MOVIMIENTOS_COMPLEMENTOS!$E$4:$E$803,C1234,MOVIMIENTOS_COMPLEMENTOS!$G$4:$G$803,E1234,MOVIMIENTOS_COMPLEMENTOS!$H$4:$H$803,G1234,MOVIMIENTOS_COMPLEMENTOS!$B$4:$B$803,"DE CORTE")-SUMIFS(MOVIMIENTOS_COMPLEMENTOS!$I$4:$I$803,MOVIMIENTOS_COMPLEMENTOS!$C$4:$C$803,A1234,MOVIMIENTOS_COMPLEMENTOS!$D$4:$D$803,B1234,MOVIMIENTOS_COMPLEMENTOS!$E$4:$E$803,C1234,MOVIMIENTOS_COMPLEMENTOS!$G$4:$G$803,E1234,MOVIMIENTOS_COMPLEMENTOS!$H$4:$H$803,G1234,MOVIMIENTOS_COMPLEMENTOS!$B$4:$B$803,"SALIDA"),0)</f>
        <v>0</v>
      </c>
      <c r="I1234" s="102">
        <f t="array" ref="I1234">IFERROR(INDEX(PRECIOS_COMPLEMENTOS!$C$4:$F$17,MATCH(B1234&amp;"_"&amp;C1234,PRECIOS_COMPLEMENTOS!$H$4:$H$17,0),IF(OR(G1234="S",G1234="20cm"),1,IF(OR(G1234="M",G1234="25cm"),2,IF(OR(G1234="L",G1234="30cm"),3,IF(OR(G1234="XL",G1234="35cm"),4,0))))),0)</f>
        <v>0.3</v>
      </c>
      <c r="J1234" s="103">
        <f t="shared" si="1"/>
        <v>0</v>
      </c>
      <c r="K1234" s="104" t="str">
        <f>IF(H1234&lt;0,"ERROR",IF(H1234=0,"",IF(H1234&lt;CONFIG!$B$4,"CRÍTICO",IF(H1234&lt;CONFIG!$B$5,"BAJO","OK"))))</f>
        <v/>
      </c>
    </row>
    <row r="1235" ht="15.75" hidden="1" customHeight="1">
      <c r="A1235" s="90" t="str">
        <f>IF(CLIENTES!A4="","",CLIENTES!A4)</f>
        <v>OverShark</v>
      </c>
      <c r="B1235" s="90" t="s">
        <v>324</v>
      </c>
      <c r="C1235" s="91" t="s">
        <v>322</v>
      </c>
      <c r="D1235" s="109" t="s">
        <v>353</v>
      </c>
      <c r="E1235" s="67" t="str">
        <f>COLORES!A19</f>
        <v/>
      </c>
      <c r="F1235" s="67" t="str">
        <f>COLORES!B19</f>
        <v/>
      </c>
      <c r="G1235" s="90" t="s">
        <v>377</v>
      </c>
      <c r="H1235" s="100">
        <f>IFERROR(SUMIFS(MOVIMIENTOS_COMPLEMENTOS!$I$4:$I$803,MOVIMIENTOS_COMPLEMENTOS!$C$4:$C$803,A1235,MOVIMIENTOS_COMPLEMENTOS!$D$4:$D$803,B1235,MOVIMIENTOS_COMPLEMENTOS!$E$4:$E$803,C1235,MOVIMIENTOS_COMPLEMENTOS!$G$4:$G$803,E1235,MOVIMIENTOS_COMPLEMENTOS!$H$4:$H$803,G1235,MOVIMIENTOS_COMPLEMENTOS!$B$4:$B$803,"INGRESO")+SUMIFS(MOVIMIENTOS_COMPLEMENTOS!$I$4:$I$803,MOVIMIENTOS_COMPLEMENTOS!$C$4:$C$803,A1235,MOVIMIENTOS_COMPLEMENTOS!$D$4:$D$803,B1235,MOVIMIENTOS_COMPLEMENTOS!$E$4:$E$803,C1235,MOVIMIENTOS_COMPLEMENTOS!$G$4:$G$803,E1235,MOVIMIENTOS_COMPLEMENTOS!$H$4:$H$803,G1235,MOVIMIENTOS_COMPLEMENTOS!$B$4:$B$803,"DE CORTE")-SUMIFS(MOVIMIENTOS_COMPLEMENTOS!$I$4:$I$803,MOVIMIENTOS_COMPLEMENTOS!$C$4:$C$803,A1235,MOVIMIENTOS_COMPLEMENTOS!$D$4:$D$803,B1235,MOVIMIENTOS_COMPLEMENTOS!$E$4:$E$803,C1235,MOVIMIENTOS_COMPLEMENTOS!$G$4:$G$803,E1235,MOVIMIENTOS_COMPLEMENTOS!$H$4:$H$803,G1235,MOVIMIENTOS_COMPLEMENTOS!$B$4:$B$803,"SALIDA"),0)</f>
        <v>0</v>
      </c>
      <c r="I1235" s="102">
        <f t="array" ref="I1235">IFERROR(INDEX(PRECIOS_COMPLEMENTOS!$C$4:$F$17,MATCH(B1235&amp;"_"&amp;C1235,PRECIOS_COMPLEMENTOS!$H$4:$H$17,0),IF(OR(G1235="S",G1235="20cm"),1,IF(OR(G1235="M",G1235="25cm"),2,IF(OR(G1235="L",G1235="30cm"),3,IF(OR(G1235="XL",G1235="35cm"),4,0))))),0)</f>
        <v>0.35</v>
      </c>
      <c r="J1235" s="103">
        <f t="shared" si="1"/>
        <v>0</v>
      </c>
      <c r="K1235" s="104" t="str">
        <f>IF(H1235&lt;0,"ERROR",IF(H1235=0,"",IF(H1235&lt;CONFIG!$B$4,"CRÍTICO",IF(H1235&lt;CONFIG!$B$5,"BAJO","OK"))))</f>
        <v/>
      </c>
    </row>
    <row r="1236" ht="15.75" hidden="1" customHeight="1">
      <c r="A1236" s="90" t="str">
        <f>IF(CLIENTES!A4="","",CLIENTES!A4)</f>
        <v>OverShark</v>
      </c>
      <c r="B1236" s="90" t="s">
        <v>324</v>
      </c>
      <c r="C1236" s="91" t="s">
        <v>322</v>
      </c>
      <c r="D1236" s="109" t="s">
        <v>353</v>
      </c>
      <c r="E1236" s="67" t="str">
        <f>COLORES!A20</f>
        <v/>
      </c>
      <c r="F1236" s="67" t="str">
        <f>COLORES!B20</f>
        <v/>
      </c>
      <c r="G1236" s="90" t="s">
        <v>376</v>
      </c>
      <c r="H1236" s="100">
        <f>IFERROR(SUMIFS(MOVIMIENTOS_COMPLEMENTOS!$I$4:$I$803,MOVIMIENTOS_COMPLEMENTOS!$C$4:$C$803,A1236,MOVIMIENTOS_COMPLEMENTOS!$D$4:$D$803,B1236,MOVIMIENTOS_COMPLEMENTOS!$E$4:$E$803,C1236,MOVIMIENTOS_COMPLEMENTOS!$G$4:$G$803,E1236,MOVIMIENTOS_COMPLEMENTOS!$H$4:$H$803,G1236,MOVIMIENTOS_COMPLEMENTOS!$B$4:$B$803,"INGRESO")+SUMIFS(MOVIMIENTOS_COMPLEMENTOS!$I$4:$I$803,MOVIMIENTOS_COMPLEMENTOS!$C$4:$C$803,A1236,MOVIMIENTOS_COMPLEMENTOS!$D$4:$D$803,B1236,MOVIMIENTOS_COMPLEMENTOS!$E$4:$E$803,C1236,MOVIMIENTOS_COMPLEMENTOS!$G$4:$G$803,E1236,MOVIMIENTOS_COMPLEMENTOS!$H$4:$H$803,G1236,MOVIMIENTOS_COMPLEMENTOS!$B$4:$B$803,"DE CORTE")-SUMIFS(MOVIMIENTOS_COMPLEMENTOS!$I$4:$I$803,MOVIMIENTOS_COMPLEMENTOS!$C$4:$C$803,A1236,MOVIMIENTOS_COMPLEMENTOS!$D$4:$D$803,B1236,MOVIMIENTOS_COMPLEMENTOS!$E$4:$E$803,C1236,MOVIMIENTOS_COMPLEMENTOS!$G$4:$G$803,E1236,MOVIMIENTOS_COMPLEMENTOS!$H$4:$H$803,G1236,MOVIMIENTOS_COMPLEMENTOS!$B$4:$B$803,"SALIDA"),0)</f>
        <v>0</v>
      </c>
      <c r="I1236" s="102">
        <f t="array" ref="I1236">IFERROR(INDEX(PRECIOS_COMPLEMENTOS!$C$4:$F$17,MATCH(B1236&amp;"_"&amp;C1236,PRECIOS_COMPLEMENTOS!$H$4:$H$17,0),IF(OR(G1236="S",G1236="20cm"),1,IF(OR(G1236="M",G1236="25cm"),2,IF(OR(G1236="L",G1236="30cm"),3,IF(OR(G1236="XL",G1236="35cm"),4,0))))),0)</f>
        <v>0.3</v>
      </c>
      <c r="J1236" s="103">
        <f t="shared" si="1"/>
        <v>0</v>
      </c>
      <c r="K1236" s="104" t="str">
        <f>IF(H1236&lt;0,"ERROR",IF(H1236=0,"",IF(H1236&lt;CONFIG!$B$4,"CRÍTICO",IF(H1236&lt;CONFIG!$B$5,"BAJO","OK"))))</f>
        <v/>
      </c>
    </row>
    <row r="1237" ht="15.75" hidden="1" customHeight="1">
      <c r="A1237" s="90" t="str">
        <f>IF(CLIENTES!A4="","",CLIENTES!A4)</f>
        <v>OverShark</v>
      </c>
      <c r="B1237" s="90" t="s">
        <v>324</v>
      </c>
      <c r="C1237" s="91" t="s">
        <v>322</v>
      </c>
      <c r="D1237" s="109" t="s">
        <v>353</v>
      </c>
      <c r="E1237" s="67" t="str">
        <f>COLORES!A20</f>
        <v/>
      </c>
      <c r="F1237" s="67" t="str">
        <f>COLORES!B20</f>
        <v/>
      </c>
      <c r="G1237" s="90" t="s">
        <v>377</v>
      </c>
      <c r="H1237" s="100">
        <f>IFERROR(SUMIFS(MOVIMIENTOS_COMPLEMENTOS!$I$4:$I$803,MOVIMIENTOS_COMPLEMENTOS!$C$4:$C$803,A1237,MOVIMIENTOS_COMPLEMENTOS!$D$4:$D$803,B1237,MOVIMIENTOS_COMPLEMENTOS!$E$4:$E$803,C1237,MOVIMIENTOS_COMPLEMENTOS!$G$4:$G$803,E1237,MOVIMIENTOS_COMPLEMENTOS!$H$4:$H$803,G1237,MOVIMIENTOS_COMPLEMENTOS!$B$4:$B$803,"INGRESO")+SUMIFS(MOVIMIENTOS_COMPLEMENTOS!$I$4:$I$803,MOVIMIENTOS_COMPLEMENTOS!$C$4:$C$803,A1237,MOVIMIENTOS_COMPLEMENTOS!$D$4:$D$803,B1237,MOVIMIENTOS_COMPLEMENTOS!$E$4:$E$803,C1237,MOVIMIENTOS_COMPLEMENTOS!$G$4:$G$803,E1237,MOVIMIENTOS_COMPLEMENTOS!$H$4:$H$803,G1237,MOVIMIENTOS_COMPLEMENTOS!$B$4:$B$803,"DE CORTE")-SUMIFS(MOVIMIENTOS_COMPLEMENTOS!$I$4:$I$803,MOVIMIENTOS_COMPLEMENTOS!$C$4:$C$803,A1237,MOVIMIENTOS_COMPLEMENTOS!$D$4:$D$803,B1237,MOVIMIENTOS_COMPLEMENTOS!$E$4:$E$803,C1237,MOVIMIENTOS_COMPLEMENTOS!$G$4:$G$803,E1237,MOVIMIENTOS_COMPLEMENTOS!$H$4:$H$803,G1237,MOVIMIENTOS_COMPLEMENTOS!$B$4:$B$803,"SALIDA"),0)</f>
        <v>0</v>
      </c>
      <c r="I1237" s="102">
        <f t="array" ref="I1237">IFERROR(INDEX(PRECIOS_COMPLEMENTOS!$C$4:$F$17,MATCH(B1237&amp;"_"&amp;C1237,PRECIOS_COMPLEMENTOS!$H$4:$H$17,0),IF(OR(G1237="S",G1237="20cm"),1,IF(OR(G1237="M",G1237="25cm"),2,IF(OR(G1237="L",G1237="30cm"),3,IF(OR(G1237="XL",G1237="35cm"),4,0))))),0)</f>
        <v>0.35</v>
      </c>
      <c r="J1237" s="103">
        <f t="shared" si="1"/>
        <v>0</v>
      </c>
      <c r="K1237" s="104" t="str">
        <f>IF(H1237&lt;0,"ERROR",IF(H1237=0,"",IF(H1237&lt;CONFIG!$B$4,"CRÍTICO",IF(H1237&lt;CONFIG!$B$5,"BAJO","OK"))))</f>
        <v/>
      </c>
    </row>
    <row r="1238" ht="15.75" hidden="1" customHeight="1">
      <c r="A1238" s="90" t="str">
        <f>IF(CLIENTES!A4="","",CLIENTES!A4)</f>
        <v>OverShark</v>
      </c>
      <c r="B1238" s="90" t="s">
        <v>324</v>
      </c>
      <c r="C1238" s="91" t="s">
        <v>322</v>
      </c>
      <c r="D1238" s="109" t="s">
        <v>353</v>
      </c>
      <c r="E1238" s="67" t="str">
        <f>COLORES!A21</f>
        <v/>
      </c>
      <c r="F1238" s="67" t="str">
        <f>COLORES!B21</f>
        <v/>
      </c>
      <c r="G1238" s="90" t="s">
        <v>376</v>
      </c>
      <c r="H1238" s="100">
        <f>IFERROR(SUMIFS(MOVIMIENTOS_COMPLEMENTOS!$I$4:$I$803,MOVIMIENTOS_COMPLEMENTOS!$C$4:$C$803,A1238,MOVIMIENTOS_COMPLEMENTOS!$D$4:$D$803,B1238,MOVIMIENTOS_COMPLEMENTOS!$E$4:$E$803,C1238,MOVIMIENTOS_COMPLEMENTOS!$G$4:$G$803,E1238,MOVIMIENTOS_COMPLEMENTOS!$H$4:$H$803,G1238,MOVIMIENTOS_COMPLEMENTOS!$B$4:$B$803,"INGRESO")+SUMIFS(MOVIMIENTOS_COMPLEMENTOS!$I$4:$I$803,MOVIMIENTOS_COMPLEMENTOS!$C$4:$C$803,A1238,MOVIMIENTOS_COMPLEMENTOS!$D$4:$D$803,B1238,MOVIMIENTOS_COMPLEMENTOS!$E$4:$E$803,C1238,MOVIMIENTOS_COMPLEMENTOS!$G$4:$G$803,E1238,MOVIMIENTOS_COMPLEMENTOS!$H$4:$H$803,G1238,MOVIMIENTOS_COMPLEMENTOS!$B$4:$B$803,"DE CORTE")-SUMIFS(MOVIMIENTOS_COMPLEMENTOS!$I$4:$I$803,MOVIMIENTOS_COMPLEMENTOS!$C$4:$C$803,A1238,MOVIMIENTOS_COMPLEMENTOS!$D$4:$D$803,B1238,MOVIMIENTOS_COMPLEMENTOS!$E$4:$E$803,C1238,MOVIMIENTOS_COMPLEMENTOS!$G$4:$G$803,E1238,MOVIMIENTOS_COMPLEMENTOS!$H$4:$H$803,G1238,MOVIMIENTOS_COMPLEMENTOS!$B$4:$B$803,"SALIDA"),0)</f>
        <v>0</v>
      </c>
      <c r="I1238" s="102">
        <f t="array" ref="I1238">IFERROR(INDEX(PRECIOS_COMPLEMENTOS!$C$4:$F$17,MATCH(B1238&amp;"_"&amp;C1238,PRECIOS_COMPLEMENTOS!$H$4:$H$17,0),IF(OR(G1238="S",G1238="20cm"),1,IF(OR(G1238="M",G1238="25cm"),2,IF(OR(G1238="L",G1238="30cm"),3,IF(OR(G1238="XL",G1238="35cm"),4,0))))),0)</f>
        <v>0.3</v>
      </c>
      <c r="J1238" s="103">
        <f t="shared" si="1"/>
        <v>0</v>
      </c>
      <c r="K1238" s="104" t="str">
        <f>IF(H1238&lt;0,"ERROR",IF(H1238=0,"",IF(H1238&lt;CONFIG!$B$4,"CRÍTICO",IF(H1238&lt;CONFIG!$B$5,"BAJO","OK"))))</f>
        <v/>
      </c>
    </row>
    <row r="1239" ht="15.75" hidden="1" customHeight="1">
      <c r="A1239" s="90" t="str">
        <f>IF(CLIENTES!A4="","",CLIENTES!A4)</f>
        <v>OverShark</v>
      </c>
      <c r="B1239" s="90" t="s">
        <v>324</v>
      </c>
      <c r="C1239" s="91" t="s">
        <v>322</v>
      </c>
      <c r="D1239" s="109" t="s">
        <v>353</v>
      </c>
      <c r="E1239" s="67" t="str">
        <f>COLORES!A21</f>
        <v/>
      </c>
      <c r="F1239" s="67" t="str">
        <f>COLORES!B21</f>
        <v/>
      </c>
      <c r="G1239" s="90" t="s">
        <v>377</v>
      </c>
      <c r="H1239" s="100">
        <f>IFERROR(SUMIFS(MOVIMIENTOS_COMPLEMENTOS!$I$4:$I$803,MOVIMIENTOS_COMPLEMENTOS!$C$4:$C$803,A1239,MOVIMIENTOS_COMPLEMENTOS!$D$4:$D$803,B1239,MOVIMIENTOS_COMPLEMENTOS!$E$4:$E$803,C1239,MOVIMIENTOS_COMPLEMENTOS!$G$4:$G$803,E1239,MOVIMIENTOS_COMPLEMENTOS!$H$4:$H$803,G1239,MOVIMIENTOS_COMPLEMENTOS!$B$4:$B$803,"INGRESO")+SUMIFS(MOVIMIENTOS_COMPLEMENTOS!$I$4:$I$803,MOVIMIENTOS_COMPLEMENTOS!$C$4:$C$803,A1239,MOVIMIENTOS_COMPLEMENTOS!$D$4:$D$803,B1239,MOVIMIENTOS_COMPLEMENTOS!$E$4:$E$803,C1239,MOVIMIENTOS_COMPLEMENTOS!$G$4:$G$803,E1239,MOVIMIENTOS_COMPLEMENTOS!$H$4:$H$803,G1239,MOVIMIENTOS_COMPLEMENTOS!$B$4:$B$803,"DE CORTE")-SUMIFS(MOVIMIENTOS_COMPLEMENTOS!$I$4:$I$803,MOVIMIENTOS_COMPLEMENTOS!$C$4:$C$803,A1239,MOVIMIENTOS_COMPLEMENTOS!$D$4:$D$803,B1239,MOVIMIENTOS_COMPLEMENTOS!$E$4:$E$803,C1239,MOVIMIENTOS_COMPLEMENTOS!$G$4:$G$803,E1239,MOVIMIENTOS_COMPLEMENTOS!$H$4:$H$803,G1239,MOVIMIENTOS_COMPLEMENTOS!$B$4:$B$803,"SALIDA"),0)</f>
        <v>0</v>
      </c>
      <c r="I1239" s="102">
        <f t="array" ref="I1239">IFERROR(INDEX(PRECIOS_COMPLEMENTOS!$C$4:$F$17,MATCH(B1239&amp;"_"&amp;C1239,PRECIOS_COMPLEMENTOS!$H$4:$H$17,0),IF(OR(G1239="S",G1239="20cm"),1,IF(OR(G1239="M",G1239="25cm"),2,IF(OR(G1239="L",G1239="30cm"),3,IF(OR(G1239="XL",G1239="35cm"),4,0))))),0)</f>
        <v>0.35</v>
      </c>
      <c r="J1239" s="103">
        <f t="shared" si="1"/>
        <v>0</v>
      </c>
      <c r="K1239" s="104" t="str">
        <f>IF(H1239&lt;0,"ERROR",IF(H1239=0,"",IF(H1239&lt;CONFIG!$B$4,"CRÍTICO",IF(H1239&lt;CONFIG!$B$5,"BAJO","OK"))))</f>
        <v/>
      </c>
    </row>
    <row r="1240" ht="15.75" hidden="1" customHeight="1">
      <c r="A1240" s="90" t="str">
        <f>IF(CLIENTES!A4="","",CLIENTES!A4)</f>
        <v>OverShark</v>
      </c>
      <c r="B1240" s="90" t="s">
        <v>324</v>
      </c>
      <c r="C1240" s="91" t="s">
        <v>322</v>
      </c>
      <c r="D1240" s="109" t="s">
        <v>353</v>
      </c>
      <c r="E1240" s="67" t="str">
        <f>COLORES!A22</f>
        <v/>
      </c>
      <c r="F1240" s="67" t="str">
        <f>COLORES!B22</f>
        <v/>
      </c>
      <c r="G1240" s="90" t="s">
        <v>376</v>
      </c>
      <c r="H1240" s="100">
        <f>IFERROR(SUMIFS(MOVIMIENTOS_COMPLEMENTOS!$I$4:$I$803,MOVIMIENTOS_COMPLEMENTOS!$C$4:$C$803,A1240,MOVIMIENTOS_COMPLEMENTOS!$D$4:$D$803,B1240,MOVIMIENTOS_COMPLEMENTOS!$E$4:$E$803,C1240,MOVIMIENTOS_COMPLEMENTOS!$G$4:$G$803,E1240,MOVIMIENTOS_COMPLEMENTOS!$H$4:$H$803,G1240,MOVIMIENTOS_COMPLEMENTOS!$B$4:$B$803,"INGRESO")+SUMIFS(MOVIMIENTOS_COMPLEMENTOS!$I$4:$I$803,MOVIMIENTOS_COMPLEMENTOS!$C$4:$C$803,A1240,MOVIMIENTOS_COMPLEMENTOS!$D$4:$D$803,B1240,MOVIMIENTOS_COMPLEMENTOS!$E$4:$E$803,C1240,MOVIMIENTOS_COMPLEMENTOS!$G$4:$G$803,E1240,MOVIMIENTOS_COMPLEMENTOS!$H$4:$H$803,G1240,MOVIMIENTOS_COMPLEMENTOS!$B$4:$B$803,"DE CORTE")-SUMIFS(MOVIMIENTOS_COMPLEMENTOS!$I$4:$I$803,MOVIMIENTOS_COMPLEMENTOS!$C$4:$C$803,A1240,MOVIMIENTOS_COMPLEMENTOS!$D$4:$D$803,B1240,MOVIMIENTOS_COMPLEMENTOS!$E$4:$E$803,C1240,MOVIMIENTOS_COMPLEMENTOS!$G$4:$G$803,E1240,MOVIMIENTOS_COMPLEMENTOS!$H$4:$H$803,G1240,MOVIMIENTOS_COMPLEMENTOS!$B$4:$B$803,"SALIDA"),0)</f>
        <v>0</v>
      </c>
      <c r="I1240" s="102">
        <f t="array" ref="I1240">IFERROR(INDEX(PRECIOS_COMPLEMENTOS!$C$4:$F$17,MATCH(B1240&amp;"_"&amp;C1240,PRECIOS_COMPLEMENTOS!$H$4:$H$17,0),IF(OR(G1240="S",G1240="20cm"),1,IF(OR(G1240="M",G1240="25cm"),2,IF(OR(G1240="L",G1240="30cm"),3,IF(OR(G1240="XL",G1240="35cm"),4,0))))),0)</f>
        <v>0.3</v>
      </c>
      <c r="J1240" s="103">
        <f t="shared" si="1"/>
        <v>0</v>
      </c>
      <c r="K1240" s="104" t="str">
        <f>IF(H1240&lt;0,"ERROR",IF(H1240=0,"",IF(H1240&lt;CONFIG!$B$4,"CRÍTICO",IF(H1240&lt;CONFIG!$B$5,"BAJO","OK"))))</f>
        <v/>
      </c>
    </row>
    <row r="1241" ht="15.75" hidden="1" customHeight="1">
      <c r="A1241" s="90" t="str">
        <f>IF(CLIENTES!A4="","",CLIENTES!A4)</f>
        <v>OverShark</v>
      </c>
      <c r="B1241" s="90" t="s">
        <v>324</v>
      </c>
      <c r="C1241" s="91" t="s">
        <v>322</v>
      </c>
      <c r="D1241" s="109" t="s">
        <v>353</v>
      </c>
      <c r="E1241" s="67" t="str">
        <f>COLORES!A22</f>
        <v/>
      </c>
      <c r="F1241" s="67" t="str">
        <f>COLORES!B22</f>
        <v/>
      </c>
      <c r="G1241" s="90" t="s">
        <v>377</v>
      </c>
      <c r="H1241" s="100">
        <f>IFERROR(SUMIFS(MOVIMIENTOS_COMPLEMENTOS!$I$4:$I$803,MOVIMIENTOS_COMPLEMENTOS!$C$4:$C$803,A1241,MOVIMIENTOS_COMPLEMENTOS!$D$4:$D$803,B1241,MOVIMIENTOS_COMPLEMENTOS!$E$4:$E$803,C1241,MOVIMIENTOS_COMPLEMENTOS!$G$4:$G$803,E1241,MOVIMIENTOS_COMPLEMENTOS!$H$4:$H$803,G1241,MOVIMIENTOS_COMPLEMENTOS!$B$4:$B$803,"INGRESO")+SUMIFS(MOVIMIENTOS_COMPLEMENTOS!$I$4:$I$803,MOVIMIENTOS_COMPLEMENTOS!$C$4:$C$803,A1241,MOVIMIENTOS_COMPLEMENTOS!$D$4:$D$803,B1241,MOVIMIENTOS_COMPLEMENTOS!$E$4:$E$803,C1241,MOVIMIENTOS_COMPLEMENTOS!$G$4:$G$803,E1241,MOVIMIENTOS_COMPLEMENTOS!$H$4:$H$803,G1241,MOVIMIENTOS_COMPLEMENTOS!$B$4:$B$803,"DE CORTE")-SUMIFS(MOVIMIENTOS_COMPLEMENTOS!$I$4:$I$803,MOVIMIENTOS_COMPLEMENTOS!$C$4:$C$803,A1241,MOVIMIENTOS_COMPLEMENTOS!$D$4:$D$803,B1241,MOVIMIENTOS_COMPLEMENTOS!$E$4:$E$803,C1241,MOVIMIENTOS_COMPLEMENTOS!$G$4:$G$803,E1241,MOVIMIENTOS_COMPLEMENTOS!$H$4:$H$803,G1241,MOVIMIENTOS_COMPLEMENTOS!$B$4:$B$803,"SALIDA"),0)</f>
        <v>0</v>
      </c>
      <c r="I1241" s="102">
        <f t="array" ref="I1241">IFERROR(INDEX(PRECIOS_COMPLEMENTOS!$C$4:$F$17,MATCH(B1241&amp;"_"&amp;C1241,PRECIOS_COMPLEMENTOS!$H$4:$H$17,0),IF(OR(G1241="S",G1241="20cm"),1,IF(OR(G1241="M",G1241="25cm"),2,IF(OR(G1241="L",G1241="30cm"),3,IF(OR(G1241="XL",G1241="35cm"),4,0))))),0)</f>
        <v>0.35</v>
      </c>
      <c r="J1241" s="103">
        <f t="shared" si="1"/>
        <v>0</v>
      </c>
      <c r="K1241" s="104" t="str">
        <f>IF(H1241&lt;0,"ERROR",IF(H1241=0,"",IF(H1241&lt;CONFIG!$B$4,"CRÍTICO",IF(H1241&lt;CONFIG!$B$5,"BAJO","OK"))))</f>
        <v/>
      </c>
    </row>
    <row r="1242" ht="15.75" hidden="1" customHeight="1">
      <c r="A1242" s="90" t="str">
        <f>IF(CLIENTES!A4="","",CLIENTES!A4)</f>
        <v>OverShark</v>
      </c>
      <c r="B1242" s="90" t="s">
        <v>324</v>
      </c>
      <c r="C1242" s="91" t="s">
        <v>322</v>
      </c>
      <c r="D1242" s="109" t="s">
        <v>353</v>
      </c>
      <c r="E1242" s="67" t="str">
        <f>COLORES!A23</f>
        <v/>
      </c>
      <c r="F1242" s="67" t="str">
        <f>COLORES!B23</f>
        <v/>
      </c>
      <c r="G1242" s="90" t="s">
        <v>376</v>
      </c>
      <c r="H1242" s="100">
        <f>IFERROR(SUMIFS(MOVIMIENTOS_COMPLEMENTOS!$I$4:$I$803,MOVIMIENTOS_COMPLEMENTOS!$C$4:$C$803,A1242,MOVIMIENTOS_COMPLEMENTOS!$D$4:$D$803,B1242,MOVIMIENTOS_COMPLEMENTOS!$E$4:$E$803,C1242,MOVIMIENTOS_COMPLEMENTOS!$G$4:$G$803,E1242,MOVIMIENTOS_COMPLEMENTOS!$H$4:$H$803,G1242,MOVIMIENTOS_COMPLEMENTOS!$B$4:$B$803,"INGRESO")+SUMIFS(MOVIMIENTOS_COMPLEMENTOS!$I$4:$I$803,MOVIMIENTOS_COMPLEMENTOS!$C$4:$C$803,A1242,MOVIMIENTOS_COMPLEMENTOS!$D$4:$D$803,B1242,MOVIMIENTOS_COMPLEMENTOS!$E$4:$E$803,C1242,MOVIMIENTOS_COMPLEMENTOS!$G$4:$G$803,E1242,MOVIMIENTOS_COMPLEMENTOS!$H$4:$H$803,G1242,MOVIMIENTOS_COMPLEMENTOS!$B$4:$B$803,"DE CORTE")-SUMIFS(MOVIMIENTOS_COMPLEMENTOS!$I$4:$I$803,MOVIMIENTOS_COMPLEMENTOS!$C$4:$C$803,A1242,MOVIMIENTOS_COMPLEMENTOS!$D$4:$D$803,B1242,MOVIMIENTOS_COMPLEMENTOS!$E$4:$E$803,C1242,MOVIMIENTOS_COMPLEMENTOS!$G$4:$G$803,E1242,MOVIMIENTOS_COMPLEMENTOS!$H$4:$H$803,G1242,MOVIMIENTOS_COMPLEMENTOS!$B$4:$B$803,"SALIDA"),0)</f>
        <v>0</v>
      </c>
      <c r="I1242" s="102">
        <f t="array" ref="I1242">IFERROR(INDEX(PRECIOS_COMPLEMENTOS!$C$4:$F$17,MATCH(B1242&amp;"_"&amp;C1242,PRECIOS_COMPLEMENTOS!$H$4:$H$17,0),IF(OR(G1242="S",G1242="20cm"),1,IF(OR(G1242="M",G1242="25cm"),2,IF(OR(G1242="L",G1242="30cm"),3,IF(OR(G1242="XL",G1242="35cm"),4,0))))),0)</f>
        <v>0.3</v>
      </c>
      <c r="J1242" s="103">
        <f t="shared" si="1"/>
        <v>0</v>
      </c>
      <c r="K1242" s="104" t="str">
        <f>IF(H1242&lt;0,"ERROR",IF(H1242=0,"",IF(H1242&lt;CONFIG!$B$4,"CRÍTICO",IF(H1242&lt;CONFIG!$B$5,"BAJO","OK"))))</f>
        <v/>
      </c>
    </row>
    <row r="1243" ht="15.75" hidden="1" customHeight="1">
      <c r="A1243" s="90" t="str">
        <f>IF(CLIENTES!A4="","",CLIENTES!A4)</f>
        <v>OverShark</v>
      </c>
      <c r="B1243" s="90" t="s">
        <v>324</v>
      </c>
      <c r="C1243" s="91" t="s">
        <v>322</v>
      </c>
      <c r="D1243" s="109" t="s">
        <v>353</v>
      </c>
      <c r="E1243" s="67" t="str">
        <f>COLORES!A23</f>
        <v/>
      </c>
      <c r="F1243" s="67" t="str">
        <f>COLORES!B23</f>
        <v/>
      </c>
      <c r="G1243" s="90" t="s">
        <v>377</v>
      </c>
      <c r="H1243" s="100">
        <f>IFERROR(SUMIFS(MOVIMIENTOS_COMPLEMENTOS!$I$4:$I$803,MOVIMIENTOS_COMPLEMENTOS!$C$4:$C$803,A1243,MOVIMIENTOS_COMPLEMENTOS!$D$4:$D$803,B1243,MOVIMIENTOS_COMPLEMENTOS!$E$4:$E$803,C1243,MOVIMIENTOS_COMPLEMENTOS!$G$4:$G$803,E1243,MOVIMIENTOS_COMPLEMENTOS!$H$4:$H$803,G1243,MOVIMIENTOS_COMPLEMENTOS!$B$4:$B$803,"INGRESO")+SUMIFS(MOVIMIENTOS_COMPLEMENTOS!$I$4:$I$803,MOVIMIENTOS_COMPLEMENTOS!$C$4:$C$803,A1243,MOVIMIENTOS_COMPLEMENTOS!$D$4:$D$803,B1243,MOVIMIENTOS_COMPLEMENTOS!$E$4:$E$803,C1243,MOVIMIENTOS_COMPLEMENTOS!$G$4:$G$803,E1243,MOVIMIENTOS_COMPLEMENTOS!$H$4:$H$803,G1243,MOVIMIENTOS_COMPLEMENTOS!$B$4:$B$803,"DE CORTE")-SUMIFS(MOVIMIENTOS_COMPLEMENTOS!$I$4:$I$803,MOVIMIENTOS_COMPLEMENTOS!$C$4:$C$803,A1243,MOVIMIENTOS_COMPLEMENTOS!$D$4:$D$803,B1243,MOVIMIENTOS_COMPLEMENTOS!$E$4:$E$803,C1243,MOVIMIENTOS_COMPLEMENTOS!$G$4:$G$803,E1243,MOVIMIENTOS_COMPLEMENTOS!$H$4:$H$803,G1243,MOVIMIENTOS_COMPLEMENTOS!$B$4:$B$803,"SALIDA"),0)</f>
        <v>0</v>
      </c>
      <c r="I1243" s="102">
        <f t="array" ref="I1243">IFERROR(INDEX(PRECIOS_COMPLEMENTOS!$C$4:$F$17,MATCH(B1243&amp;"_"&amp;C1243,PRECIOS_COMPLEMENTOS!$H$4:$H$17,0),IF(OR(G1243="S",G1243="20cm"),1,IF(OR(G1243="M",G1243="25cm"),2,IF(OR(G1243="L",G1243="30cm"),3,IF(OR(G1243="XL",G1243="35cm"),4,0))))),0)</f>
        <v>0.35</v>
      </c>
      <c r="J1243" s="103">
        <f t="shared" si="1"/>
        <v>0</v>
      </c>
      <c r="K1243" s="104" t="str">
        <f>IF(H1243&lt;0,"ERROR",IF(H1243=0,"",IF(H1243&lt;CONFIG!$B$4,"CRÍTICO",IF(H1243&lt;CONFIG!$B$5,"BAJO","OK"))))</f>
        <v/>
      </c>
    </row>
    <row r="1244" ht="15.75" hidden="1" customHeight="1">
      <c r="A1244" s="90" t="str">
        <f>IF(CLIENTES!A5="","",CLIENTES!A5)</f>
        <v>Bravos</v>
      </c>
      <c r="B1244" s="90" t="s">
        <v>324</v>
      </c>
      <c r="C1244" s="91" t="s">
        <v>322</v>
      </c>
      <c r="D1244" s="109" t="s">
        <v>353</v>
      </c>
      <c r="E1244" s="67" t="str">
        <f>COLORES!A4</f>
        <v>Negro</v>
      </c>
      <c r="F1244" s="67" t="str">
        <f>COLORES!B4</f>
        <v>OSCURO</v>
      </c>
      <c r="G1244" s="90" t="s">
        <v>376</v>
      </c>
      <c r="H1244" s="100">
        <f>IFERROR(SUMIFS(MOVIMIENTOS_COMPLEMENTOS!$I$4:$I$803,MOVIMIENTOS_COMPLEMENTOS!$C$4:$C$803,A1244,MOVIMIENTOS_COMPLEMENTOS!$D$4:$D$803,B1244,MOVIMIENTOS_COMPLEMENTOS!$E$4:$E$803,C1244,MOVIMIENTOS_COMPLEMENTOS!$G$4:$G$803,E1244,MOVIMIENTOS_COMPLEMENTOS!$H$4:$H$803,G1244,MOVIMIENTOS_COMPLEMENTOS!$B$4:$B$803,"INGRESO")+SUMIFS(MOVIMIENTOS_COMPLEMENTOS!$I$4:$I$803,MOVIMIENTOS_COMPLEMENTOS!$C$4:$C$803,A1244,MOVIMIENTOS_COMPLEMENTOS!$D$4:$D$803,B1244,MOVIMIENTOS_COMPLEMENTOS!$E$4:$E$803,C1244,MOVIMIENTOS_COMPLEMENTOS!$G$4:$G$803,E1244,MOVIMIENTOS_COMPLEMENTOS!$H$4:$H$803,G1244,MOVIMIENTOS_COMPLEMENTOS!$B$4:$B$803,"DE CORTE")-SUMIFS(MOVIMIENTOS_COMPLEMENTOS!$I$4:$I$803,MOVIMIENTOS_COMPLEMENTOS!$C$4:$C$803,A1244,MOVIMIENTOS_COMPLEMENTOS!$D$4:$D$803,B1244,MOVIMIENTOS_COMPLEMENTOS!$E$4:$E$803,C1244,MOVIMIENTOS_COMPLEMENTOS!$G$4:$G$803,E1244,MOVIMIENTOS_COMPLEMENTOS!$H$4:$H$803,G1244,MOVIMIENTOS_COMPLEMENTOS!$B$4:$B$803,"SALIDA"),0)</f>
        <v>0</v>
      </c>
      <c r="I1244" s="102">
        <f t="array" ref="I1244">IFERROR(INDEX(PRECIOS_COMPLEMENTOS!$C$4:$F$17,MATCH(B1244&amp;"_"&amp;C1244,PRECIOS_COMPLEMENTOS!$H$4:$H$17,0),IF(OR(G1244="S",G1244="20cm"),1,IF(OR(G1244="M",G1244="25cm"),2,IF(OR(G1244="L",G1244="30cm"),3,IF(OR(G1244="XL",G1244="35cm"),4,0))))),0)</f>
        <v>0.3</v>
      </c>
      <c r="J1244" s="103">
        <f t="shared" si="1"/>
        <v>0</v>
      </c>
      <c r="K1244" s="104" t="str">
        <f>IF(H1244&lt;0,"ERROR",IF(H1244=0,"",IF(H1244&lt;CONFIG!$B$4,"CRÍTICO",IF(H1244&lt;CONFIG!$B$5,"BAJO","OK"))))</f>
        <v/>
      </c>
    </row>
    <row r="1245" ht="15.75" hidden="1" customHeight="1">
      <c r="A1245" s="90" t="str">
        <f>IF(CLIENTES!A5="","",CLIENTES!A5)</f>
        <v>Bravos</v>
      </c>
      <c r="B1245" s="90" t="s">
        <v>324</v>
      </c>
      <c r="C1245" s="91" t="s">
        <v>322</v>
      </c>
      <c r="D1245" s="109" t="s">
        <v>353</v>
      </c>
      <c r="E1245" s="67" t="str">
        <f>COLORES!A4</f>
        <v>Negro</v>
      </c>
      <c r="F1245" s="67" t="str">
        <f>COLORES!B4</f>
        <v>OSCURO</v>
      </c>
      <c r="G1245" s="90" t="s">
        <v>377</v>
      </c>
      <c r="H1245" s="100">
        <f>IFERROR(SUMIFS(MOVIMIENTOS_COMPLEMENTOS!$I$4:$I$803,MOVIMIENTOS_COMPLEMENTOS!$C$4:$C$803,A1245,MOVIMIENTOS_COMPLEMENTOS!$D$4:$D$803,B1245,MOVIMIENTOS_COMPLEMENTOS!$E$4:$E$803,C1245,MOVIMIENTOS_COMPLEMENTOS!$G$4:$G$803,E1245,MOVIMIENTOS_COMPLEMENTOS!$H$4:$H$803,G1245,MOVIMIENTOS_COMPLEMENTOS!$B$4:$B$803,"INGRESO")+SUMIFS(MOVIMIENTOS_COMPLEMENTOS!$I$4:$I$803,MOVIMIENTOS_COMPLEMENTOS!$C$4:$C$803,A1245,MOVIMIENTOS_COMPLEMENTOS!$D$4:$D$803,B1245,MOVIMIENTOS_COMPLEMENTOS!$E$4:$E$803,C1245,MOVIMIENTOS_COMPLEMENTOS!$G$4:$G$803,E1245,MOVIMIENTOS_COMPLEMENTOS!$H$4:$H$803,G1245,MOVIMIENTOS_COMPLEMENTOS!$B$4:$B$803,"DE CORTE")-SUMIFS(MOVIMIENTOS_COMPLEMENTOS!$I$4:$I$803,MOVIMIENTOS_COMPLEMENTOS!$C$4:$C$803,A1245,MOVIMIENTOS_COMPLEMENTOS!$D$4:$D$803,B1245,MOVIMIENTOS_COMPLEMENTOS!$E$4:$E$803,C1245,MOVIMIENTOS_COMPLEMENTOS!$G$4:$G$803,E1245,MOVIMIENTOS_COMPLEMENTOS!$H$4:$H$803,G1245,MOVIMIENTOS_COMPLEMENTOS!$B$4:$B$803,"SALIDA"),0)</f>
        <v>0</v>
      </c>
      <c r="I1245" s="102">
        <f t="array" ref="I1245">IFERROR(INDEX(PRECIOS_COMPLEMENTOS!$C$4:$F$17,MATCH(B1245&amp;"_"&amp;C1245,PRECIOS_COMPLEMENTOS!$H$4:$H$17,0),IF(OR(G1245="S",G1245="20cm"),1,IF(OR(G1245="M",G1245="25cm"),2,IF(OR(G1245="L",G1245="30cm"),3,IF(OR(G1245="XL",G1245="35cm"),4,0))))),0)</f>
        <v>0.35</v>
      </c>
      <c r="J1245" s="103">
        <f t="shared" si="1"/>
        <v>0</v>
      </c>
      <c r="K1245" s="104" t="str">
        <f>IF(H1245&lt;0,"ERROR",IF(H1245=0,"",IF(H1245&lt;CONFIG!$B$4,"CRÍTICO",IF(H1245&lt;CONFIG!$B$5,"BAJO","OK"))))</f>
        <v/>
      </c>
    </row>
    <row r="1246" ht="15.75" hidden="1" customHeight="1">
      <c r="A1246" s="90" t="str">
        <f>IF(CLIENTES!A5="","",CLIENTES!A5)</f>
        <v>Bravos</v>
      </c>
      <c r="B1246" s="90" t="s">
        <v>324</v>
      </c>
      <c r="C1246" s="91" t="s">
        <v>322</v>
      </c>
      <c r="D1246" s="109" t="s">
        <v>353</v>
      </c>
      <c r="E1246" s="67" t="str">
        <f>COLORES!A5</f>
        <v>Perla</v>
      </c>
      <c r="F1246" s="67" t="str">
        <f>COLORES!B5</f>
        <v>PPT</v>
      </c>
      <c r="G1246" s="90" t="s">
        <v>376</v>
      </c>
      <c r="H1246" s="100">
        <f>IFERROR(SUMIFS(MOVIMIENTOS_COMPLEMENTOS!$I$4:$I$803,MOVIMIENTOS_COMPLEMENTOS!$C$4:$C$803,A1246,MOVIMIENTOS_COMPLEMENTOS!$D$4:$D$803,B1246,MOVIMIENTOS_COMPLEMENTOS!$E$4:$E$803,C1246,MOVIMIENTOS_COMPLEMENTOS!$G$4:$G$803,E1246,MOVIMIENTOS_COMPLEMENTOS!$H$4:$H$803,G1246,MOVIMIENTOS_COMPLEMENTOS!$B$4:$B$803,"INGRESO")+SUMIFS(MOVIMIENTOS_COMPLEMENTOS!$I$4:$I$803,MOVIMIENTOS_COMPLEMENTOS!$C$4:$C$803,A1246,MOVIMIENTOS_COMPLEMENTOS!$D$4:$D$803,B1246,MOVIMIENTOS_COMPLEMENTOS!$E$4:$E$803,C1246,MOVIMIENTOS_COMPLEMENTOS!$G$4:$G$803,E1246,MOVIMIENTOS_COMPLEMENTOS!$H$4:$H$803,G1246,MOVIMIENTOS_COMPLEMENTOS!$B$4:$B$803,"DE CORTE")-SUMIFS(MOVIMIENTOS_COMPLEMENTOS!$I$4:$I$803,MOVIMIENTOS_COMPLEMENTOS!$C$4:$C$803,A1246,MOVIMIENTOS_COMPLEMENTOS!$D$4:$D$803,B1246,MOVIMIENTOS_COMPLEMENTOS!$E$4:$E$803,C1246,MOVIMIENTOS_COMPLEMENTOS!$G$4:$G$803,E1246,MOVIMIENTOS_COMPLEMENTOS!$H$4:$H$803,G1246,MOVIMIENTOS_COMPLEMENTOS!$B$4:$B$803,"SALIDA"),0)</f>
        <v>0</v>
      </c>
      <c r="I1246" s="102">
        <f t="array" ref="I1246">IFERROR(INDEX(PRECIOS_COMPLEMENTOS!$C$4:$F$17,MATCH(B1246&amp;"_"&amp;C1246,PRECIOS_COMPLEMENTOS!$H$4:$H$17,0),IF(OR(G1246="S",G1246="20cm"),1,IF(OR(G1246="M",G1246="25cm"),2,IF(OR(G1246="L",G1246="30cm"),3,IF(OR(G1246="XL",G1246="35cm"),4,0))))),0)</f>
        <v>0.3</v>
      </c>
      <c r="J1246" s="103">
        <f t="shared" si="1"/>
        <v>0</v>
      </c>
      <c r="K1246" s="104" t="str">
        <f>IF(H1246&lt;0,"ERROR",IF(H1246=0,"",IF(H1246&lt;CONFIG!$B$4,"CRÍTICO",IF(H1246&lt;CONFIG!$B$5,"BAJO","OK"))))</f>
        <v/>
      </c>
    </row>
    <row r="1247" ht="15.75" hidden="1" customHeight="1">
      <c r="A1247" s="90" t="str">
        <f>IF(CLIENTES!A5="","",CLIENTES!A5)</f>
        <v>Bravos</v>
      </c>
      <c r="B1247" s="90" t="s">
        <v>324</v>
      </c>
      <c r="C1247" s="91" t="s">
        <v>322</v>
      </c>
      <c r="D1247" s="109" t="s">
        <v>353</v>
      </c>
      <c r="E1247" s="67" t="str">
        <f>COLORES!A5</f>
        <v>Perla</v>
      </c>
      <c r="F1247" s="67" t="str">
        <f>COLORES!B5</f>
        <v>PPT</v>
      </c>
      <c r="G1247" s="90" t="s">
        <v>377</v>
      </c>
      <c r="H1247" s="100">
        <f>IFERROR(SUMIFS(MOVIMIENTOS_COMPLEMENTOS!$I$4:$I$803,MOVIMIENTOS_COMPLEMENTOS!$C$4:$C$803,A1247,MOVIMIENTOS_COMPLEMENTOS!$D$4:$D$803,B1247,MOVIMIENTOS_COMPLEMENTOS!$E$4:$E$803,C1247,MOVIMIENTOS_COMPLEMENTOS!$G$4:$G$803,E1247,MOVIMIENTOS_COMPLEMENTOS!$H$4:$H$803,G1247,MOVIMIENTOS_COMPLEMENTOS!$B$4:$B$803,"INGRESO")+SUMIFS(MOVIMIENTOS_COMPLEMENTOS!$I$4:$I$803,MOVIMIENTOS_COMPLEMENTOS!$C$4:$C$803,A1247,MOVIMIENTOS_COMPLEMENTOS!$D$4:$D$803,B1247,MOVIMIENTOS_COMPLEMENTOS!$E$4:$E$803,C1247,MOVIMIENTOS_COMPLEMENTOS!$G$4:$G$803,E1247,MOVIMIENTOS_COMPLEMENTOS!$H$4:$H$803,G1247,MOVIMIENTOS_COMPLEMENTOS!$B$4:$B$803,"DE CORTE")-SUMIFS(MOVIMIENTOS_COMPLEMENTOS!$I$4:$I$803,MOVIMIENTOS_COMPLEMENTOS!$C$4:$C$803,A1247,MOVIMIENTOS_COMPLEMENTOS!$D$4:$D$803,B1247,MOVIMIENTOS_COMPLEMENTOS!$E$4:$E$803,C1247,MOVIMIENTOS_COMPLEMENTOS!$G$4:$G$803,E1247,MOVIMIENTOS_COMPLEMENTOS!$H$4:$H$803,G1247,MOVIMIENTOS_COMPLEMENTOS!$B$4:$B$803,"SALIDA"),0)</f>
        <v>0</v>
      </c>
      <c r="I1247" s="102">
        <f t="array" ref="I1247">IFERROR(INDEX(PRECIOS_COMPLEMENTOS!$C$4:$F$17,MATCH(B1247&amp;"_"&amp;C1247,PRECIOS_COMPLEMENTOS!$H$4:$H$17,0),IF(OR(G1247="S",G1247="20cm"),1,IF(OR(G1247="M",G1247="25cm"),2,IF(OR(G1247="L",G1247="30cm"),3,IF(OR(G1247="XL",G1247="35cm"),4,0))))),0)</f>
        <v>0.35</v>
      </c>
      <c r="J1247" s="103">
        <f t="shared" si="1"/>
        <v>0</v>
      </c>
      <c r="K1247" s="104" t="str">
        <f>IF(H1247&lt;0,"ERROR",IF(H1247=0,"",IF(H1247&lt;CONFIG!$B$4,"CRÍTICO",IF(H1247&lt;CONFIG!$B$5,"BAJO","OK"))))</f>
        <v/>
      </c>
    </row>
    <row r="1248" ht="15.75" hidden="1" customHeight="1">
      <c r="A1248" s="90" t="str">
        <f>IF(CLIENTES!A5="","",CLIENTES!A5)</f>
        <v>Bravos</v>
      </c>
      <c r="B1248" s="90" t="s">
        <v>324</v>
      </c>
      <c r="C1248" s="91" t="s">
        <v>322</v>
      </c>
      <c r="D1248" s="109" t="s">
        <v>353</v>
      </c>
      <c r="E1248" s="67" t="str">
        <f>COLORES!A6</f>
        <v>Blanco</v>
      </c>
      <c r="F1248" s="67" t="str">
        <f>COLORES!B6</f>
        <v>PPT</v>
      </c>
      <c r="G1248" s="90" t="s">
        <v>376</v>
      </c>
      <c r="H1248" s="100">
        <f>IFERROR(SUMIFS(MOVIMIENTOS_COMPLEMENTOS!$I$4:$I$803,MOVIMIENTOS_COMPLEMENTOS!$C$4:$C$803,A1248,MOVIMIENTOS_COMPLEMENTOS!$D$4:$D$803,B1248,MOVIMIENTOS_COMPLEMENTOS!$E$4:$E$803,C1248,MOVIMIENTOS_COMPLEMENTOS!$G$4:$G$803,E1248,MOVIMIENTOS_COMPLEMENTOS!$H$4:$H$803,G1248,MOVIMIENTOS_COMPLEMENTOS!$B$4:$B$803,"INGRESO")+SUMIFS(MOVIMIENTOS_COMPLEMENTOS!$I$4:$I$803,MOVIMIENTOS_COMPLEMENTOS!$C$4:$C$803,A1248,MOVIMIENTOS_COMPLEMENTOS!$D$4:$D$803,B1248,MOVIMIENTOS_COMPLEMENTOS!$E$4:$E$803,C1248,MOVIMIENTOS_COMPLEMENTOS!$G$4:$G$803,E1248,MOVIMIENTOS_COMPLEMENTOS!$H$4:$H$803,G1248,MOVIMIENTOS_COMPLEMENTOS!$B$4:$B$803,"DE CORTE")-SUMIFS(MOVIMIENTOS_COMPLEMENTOS!$I$4:$I$803,MOVIMIENTOS_COMPLEMENTOS!$C$4:$C$803,A1248,MOVIMIENTOS_COMPLEMENTOS!$D$4:$D$803,B1248,MOVIMIENTOS_COMPLEMENTOS!$E$4:$E$803,C1248,MOVIMIENTOS_COMPLEMENTOS!$G$4:$G$803,E1248,MOVIMIENTOS_COMPLEMENTOS!$H$4:$H$803,G1248,MOVIMIENTOS_COMPLEMENTOS!$B$4:$B$803,"SALIDA"),0)</f>
        <v>0</v>
      </c>
      <c r="I1248" s="102">
        <f t="array" ref="I1248">IFERROR(INDEX(PRECIOS_COMPLEMENTOS!$C$4:$F$17,MATCH(B1248&amp;"_"&amp;C1248,PRECIOS_COMPLEMENTOS!$H$4:$H$17,0),IF(OR(G1248="S",G1248="20cm"),1,IF(OR(G1248="M",G1248="25cm"),2,IF(OR(G1248="L",G1248="30cm"),3,IF(OR(G1248="XL",G1248="35cm"),4,0))))),0)</f>
        <v>0.3</v>
      </c>
      <c r="J1248" s="103">
        <f t="shared" si="1"/>
        <v>0</v>
      </c>
      <c r="K1248" s="104" t="str">
        <f>IF(H1248&lt;0,"ERROR",IF(H1248=0,"",IF(H1248&lt;CONFIG!$B$4,"CRÍTICO",IF(H1248&lt;CONFIG!$B$5,"BAJO","OK"))))</f>
        <v/>
      </c>
    </row>
    <row r="1249" ht="15.75" hidden="1" customHeight="1">
      <c r="A1249" s="90" t="str">
        <f>IF(CLIENTES!A5="","",CLIENTES!A5)</f>
        <v>Bravos</v>
      </c>
      <c r="B1249" s="90" t="s">
        <v>324</v>
      </c>
      <c r="C1249" s="91" t="s">
        <v>322</v>
      </c>
      <c r="D1249" s="109" t="s">
        <v>353</v>
      </c>
      <c r="E1249" s="67" t="str">
        <f>COLORES!A6</f>
        <v>Blanco</v>
      </c>
      <c r="F1249" s="67" t="str">
        <f>COLORES!B6</f>
        <v>PPT</v>
      </c>
      <c r="G1249" s="90" t="s">
        <v>377</v>
      </c>
      <c r="H1249" s="100">
        <f>IFERROR(SUMIFS(MOVIMIENTOS_COMPLEMENTOS!$I$4:$I$803,MOVIMIENTOS_COMPLEMENTOS!$C$4:$C$803,A1249,MOVIMIENTOS_COMPLEMENTOS!$D$4:$D$803,B1249,MOVIMIENTOS_COMPLEMENTOS!$E$4:$E$803,C1249,MOVIMIENTOS_COMPLEMENTOS!$G$4:$G$803,E1249,MOVIMIENTOS_COMPLEMENTOS!$H$4:$H$803,G1249,MOVIMIENTOS_COMPLEMENTOS!$B$4:$B$803,"INGRESO")+SUMIFS(MOVIMIENTOS_COMPLEMENTOS!$I$4:$I$803,MOVIMIENTOS_COMPLEMENTOS!$C$4:$C$803,A1249,MOVIMIENTOS_COMPLEMENTOS!$D$4:$D$803,B1249,MOVIMIENTOS_COMPLEMENTOS!$E$4:$E$803,C1249,MOVIMIENTOS_COMPLEMENTOS!$G$4:$G$803,E1249,MOVIMIENTOS_COMPLEMENTOS!$H$4:$H$803,G1249,MOVIMIENTOS_COMPLEMENTOS!$B$4:$B$803,"DE CORTE")-SUMIFS(MOVIMIENTOS_COMPLEMENTOS!$I$4:$I$803,MOVIMIENTOS_COMPLEMENTOS!$C$4:$C$803,A1249,MOVIMIENTOS_COMPLEMENTOS!$D$4:$D$803,B1249,MOVIMIENTOS_COMPLEMENTOS!$E$4:$E$803,C1249,MOVIMIENTOS_COMPLEMENTOS!$G$4:$G$803,E1249,MOVIMIENTOS_COMPLEMENTOS!$H$4:$H$803,G1249,MOVIMIENTOS_COMPLEMENTOS!$B$4:$B$803,"SALIDA"),0)</f>
        <v>0</v>
      </c>
      <c r="I1249" s="102">
        <f t="array" ref="I1249">IFERROR(INDEX(PRECIOS_COMPLEMENTOS!$C$4:$F$17,MATCH(B1249&amp;"_"&amp;C1249,PRECIOS_COMPLEMENTOS!$H$4:$H$17,0),IF(OR(G1249="S",G1249="20cm"),1,IF(OR(G1249="M",G1249="25cm"),2,IF(OR(G1249="L",G1249="30cm"),3,IF(OR(G1249="XL",G1249="35cm"),4,0))))),0)</f>
        <v>0.35</v>
      </c>
      <c r="J1249" s="103">
        <f t="shared" si="1"/>
        <v>0</v>
      </c>
      <c r="K1249" s="104" t="str">
        <f>IF(H1249&lt;0,"ERROR",IF(H1249=0,"",IF(H1249&lt;CONFIG!$B$4,"CRÍTICO",IF(H1249&lt;CONFIG!$B$5,"BAJO","OK"))))</f>
        <v/>
      </c>
    </row>
    <row r="1250" ht="15.75" hidden="1" customHeight="1">
      <c r="A1250" s="90" t="str">
        <f>IF(CLIENTES!A5="","",CLIENTES!A5)</f>
        <v>Bravos</v>
      </c>
      <c r="B1250" s="90" t="s">
        <v>324</v>
      </c>
      <c r="C1250" s="91" t="s">
        <v>322</v>
      </c>
      <c r="D1250" s="109" t="s">
        <v>353</v>
      </c>
      <c r="E1250" s="67" t="str">
        <f>COLORES!A7</f>
        <v>Azul</v>
      </c>
      <c r="F1250" s="67" t="str">
        <f>COLORES!B7</f>
        <v>OSCURO</v>
      </c>
      <c r="G1250" s="90" t="s">
        <v>376</v>
      </c>
      <c r="H1250" s="100">
        <f>IFERROR(SUMIFS(MOVIMIENTOS_COMPLEMENTOS!$I$4:$I$803,MOVIMIENTOS_COMPLEMENTOS!$C$4:$C$803,A1250,MOVIMIENTOS_COMPLEMENTOS!$D$4:$D$803,B1250,MOVIMIENTOS_COMPLEMENTOS!$E$4:$E$803,C1250,MOVIMIENTOS_COMPLEMENTOS!$G$4:$G$803,E1250,MOVIMIENTOS_COMPLEMENTOS!$H$4:$H$803,G1250,MOVIMIENTOS_COMPLEMENTOS!$B$4:$B$803,"INGRESO")+SUMIFS(MOVIMIENTOS_COMPLEMENTOS!$I$4:$I$803,MOVIMIENTOS_COMPLEMENTOS!$C$4:$C$803,A1250,MOVIMIENTOS_COMPLEMENTOS!$D$4:$D$803,B1250,MOVIMIENTOS_COMPLEMENTOS!$E$4:$E$803,C1250,MOVIMIENTOS_COMPLEMENTOS!$G$4:$G$803,E1250,MOVIMIENTOS_COMPLEMENTOS!$H$4:$H$803,G1250,MOVIMIENTOS_COMPLEMENTOS!$B$4:$B$803,"DE CORTE")-SUMIFS(MOVIMIENTOS_COMPLEMENTOS!$I$4:$I$803,MOVIMIENTOS_COMPLEMENTOS!$C$4:$C$803,A1250,MOVIMIENTOS_COMPLEMENTOS!$D$4:$D$803,B1250,MOVIMIENTOS_COMPLEMENTOS!$E$4:$E$803,C1250,MOVIMIENTOS_COMPLEMENTOS!$G$4:$G$803,E1250,MOVIMIENTOS_COMPLEMENTOS!$H$4:$H$803,G1250,MOVIMIENTOS_COMPLEMENTOS!$B$4:$B$803,"SALIDA"),0)</f>
        <v>0</v>
      </c>
      <c r="I1250" s="102">
        <f t="array" ref="I1250">IFERROR(INDEX(PRECIOS_COMPLEMENTOS!$C$4:$F$17,MATCH(B1250&amp;"_"&amp;C1250,PRECIOS_COMPLEMENTOS!$H$4:$H$17,0),IF(OR(G1250="S",G1250="20cm"),1,IF(OR(G1250="M",G1250="25cm"),2,IF(OR(G1250="L",G1250="30cm"),3,IF(OR(G1250="XL",G1250="35cm"),4,0))))),0)</f>
        <v>0.3</v>
      </c>
      <c r="J1250" s="103">
        <f t="shared" si="1"/>
        <v>0</v>
      </c>
      <c r="K1250" s="104" t="str">
        <f>IF(H1250&lt;0,"ERROR",IF(H1250=0,"",IF(H1250&lt;CONFIG!$B$4,"CRÍTICO",IF(H1250&lt;CONFIG!$B$5,"BAJO","OK"))))</f>
        <v/>
      </c>
    </row>
    <row r="1251" ht="15.75" hidden="1" customHeight="1">
      <c r="A1251" s="90" t="str">
        <f>IF(CLIENTES!A5="","",CLIENTES!A5)</f>
        <v>Bravos</v>
      </c>
      <c r="B1251" s="90" t="s">
        <v>324</v>
      </c>
      <c r="C1251" s="91" t="s">
        <v>322</v>
      </c>
      <c r="D1251" s="109" t="s">
        <v>353</v>
      </c>
      <c r="E1251" s="67" t="str">
        <f>COLORES!A7</f>
        <v>Azul</v>
      </c>
      <c r="F1251" s="67" t="str">
        <f>COLORES!B7</f>
        <v>OSCURO</v>
      </c>
      <c r="G1251" s="90" t="s">
        <v>377</v>
      </c>
      <c r="H1251" s="100">
        <f>IFERROR(SUMIFS(MOVIMIENTOS_COMPLEMENTOS!$I$4:$I$803,MOVIMIENTOS_COMPLEMENTOS!$C$4:$C$803,A1251,MOVIMIENTOS_COMPLEMENTOS!$D$4:$D$803,B1251,MOVIMIENTOS_COMPLEMENTOS!$E$4:$E$803,C1251,MOVIMIENTOS_COMPLEMENTOS!$G$4:$G$803,E1251,MOVIMIENTOS_COMPLEMENTOS!$H$4:$H$803,G1251,MOVIMIENTOS_COMPLEMENTOS!$B$4:$B$803,"INGRESO")+SUMIFS(MOVIMIENTOS_COMPLEMENTOS!$I$4:$I$803,MOVIMIENTOS_COMPLEMENTOS!$C$4:$C$803,A1251,MOVIMIENTOS_COMPLEMENTOS!$D$4:$D$803,B1251,MOVIMIENTOS_COMPLEMENTOS!$E$4:$E$803,C1251,MOVIMIENTOS_COMPLEMENTOS!$G$4:$G$803,E1251,MOVIMIENTOS_COMPLEMENTOS!$H$4:$H$803,G1251,MOVIMIENTOS_COMPLEMENTOS!$B$4:$B$803,"DE CORTE")-SUMIFS(MOVIMIENTOS_COMPLEMENTOS!$I$4:$I$803,MOVIMIENTOS_COMPLEMENTOS!$C$4:$C$803,A1251,MOVIMIENTOS_COMPLEMENTOS!$D$4:$D$803,B1251,MOVIMIENTOS_COMPLEMENTOS!$E$4:$E$803,C1251,MOVIMIENTOS_COMPLEMENTOS!$G$4:$G$803,E1251,MOVIMIENTOS_COMPLEMENTOS!$H$4:$H$803,G1251,MOVIMIENTOS_COMPLEMENTOS!$B$4:$B$803,"SALIDA"),0)</f>
        <v>0</v>
      </c>
      <c r="I1251" s="102">
        <f t="array" ref="I1251">IFERROR(INDEX(PRECIOS_COMPLEMENTOS!$C$4:$F$17,MATCH(B1251&amp;"_"&amp;C1251,PRECIOS_COMPLEMENTOS!$H$4:$H$17,0),IF(OR(G1251="S",G1251="20cm"),1,IF(OR(G1251="M",G1251="25cm"),2,IF(OR(G1251="L",G1251="30cm"),3,IF(OR(G1251="XL",G1251="35cm"),4,0))))),0)</f>
        <v>0.35</v>
      </c>
      <c r="J1251" s="103">
        <f t="shared" si="1"/>
        <v>0</v>
      </c>
      <c r="K1251" s="104" t="str">
        <f>IF(H1251&lt;0,"ERROR",IF(H1251=0,"",IF(H1251&lt;CONFIG!$B$4,"CRÍTICO",IF(H1251&lt;CONFIG!$B$5,"BAJO","OK"))))</f>
        <v/>
      </c>
    </row>
    <row r="1252" ht="15.75" hidden="1" customHeight="1">
      <c r="A1252" s="90" t="str">
        <f>IF(CLIENTES!A5="","",CLIENTES!A5)</f>
        <v>Bravos</v>
      </c>
      <c r="B1252" s="90" t="s">
        <v>324</v>
      </c>
      <c r="C1252" s="91" t="s">
        <v>322</v>
      </c>
      <c r="D1252" s="109" t="s">
        <v>353</v>
      </c>
      <c r="E1252" s="67" t="str">
        <f>COLORES!A8</f>
        <v>Beige</v>
      </c>
      <c r="F1252" s="67" t="str">
        <f>COLORES!B8</f>
        <v>CLARO</v>
      </c>
      <c r="G1252" s="90" t="s">
        <v>376</v>
      </c>
      <c r="H1252" s="100">
        <f>IFERROR(SUMIFS(MOVIMIENTOS_COMPLEMENTOS!$I$4:$I$803,MOVIMIENTOS_COMPLEMENTOS!$C$4:$C$803,A1252,MOVIMIENTOS_COMPLEMENTOS!$D$4:$D$803,B1252,MOVIMIENTOS_COMPLEMENTOS!$E$4:$E$803,C1252,MOVIMIENTOS_COMPLEMENTOS!$G$4:$G$803,E1252,MOVIMIENTOS_COMPLEMENTOS!$H$4:$H$803,G1252,MOVIMIENTOS_COMPLEMENTOS!$B$4:$B$803,"INGRESO")+SUMIFS(MOVIMIENTOS_COMPLEMENTOS!$I$4:$I$803,MOVIMIENTOS_COMPLEMENTOS!$C$4:$C$803,A1252,MOVIMIENTOS_COMPLEMENTOS!$D$4:$D$803,B1252,MOVIMIENTOS_COMPLEMENTOS!$E$4:$E$803,C1252,MOVIMIENTOS_COMPLEMENTOS!$G$4:$G$803,E1252,MOVIMIENTOS_COMPLEMENTOS!$H$4:$H$803,G1252,MOVIMIENTOS_COMPLEMENTOS!$B$4:$B$803,"DE CORTE")-SUMIFS(MOVIMIENTOS_COMPLEMENTOS!$I$4:$I$803,MOVIMIENTOS_COMPLEMENTOS!$C$4:$C$803,A1252,MOVIMIENTOS_COMPLEMENTOS!$D$4:$D$803,B1252,MOVIMIENTOS_COMPLEMENTOS!$E$4:$E$803,C1252,MOVIMIENTOS_COMPLEMENTOS!$G$4:$G$803,E1252,MOVIMIENTOS_COMPLEMENTOS!$H$4:$H$803,G1252,MOVIMIENTOS_COMPLEMENTOS!$B$4:$B$803,"SALIDA"),0)</f>
        <v>0</v>
      </c>
      <c r="I1252" s="102">
        <f t="array" ref="I1252">IFERROR(INDEX(PRECIOS_COMPLEMENTOS!$C$4:$F$17,MATCH(B1252&amp;"_"&amp;C1252,PRECIOS_COMPLEMENTOS!$H$4:$H$17,0),IF(OR(G1252="S",G1252="20cm"),1,IF(OR(G1252="M",G1252="25cm"),2,IF(OR(G1252="L",G1252="30cm"),3,IF(OR(G1252="XL",G1252="35cm"),4,0))))),0)</f>
        <v>0.3</v>
      </c>
      <c r="J1252" s="103">
        <f t="shared" si="1"/>
        <v>0</v>
      </c>
      <c r="K1252" s="104" t="str">
        <f>IF(H1252&lt;0,"ERROR",IF(H1252=0,"",IF(H1252&lt;CONFIG!$B$4,"CRÍTICO",IF(H1252&lt;CONFIG!$B$5,"BAJO","OK"))))</f>
        <v/>
      </c>
    </row>
    <row r="1253" ht="15.75" hidden="1" customHeight="1">
      <c r="A1253" s="90" t="str">
        <f>IF(CLIENTES!A5="","",CLIENTES!A5)</f>
        <v>Bravos</v>
      </c>
      <c r="B1253" s="90" t="s">
        <v>324</v>
      </c>
      <c r="C1253" s="91" t="s">
        <v>322</v>
      </c>
      <c r="D1253" s="109" t="s">
        <v>353</v>
      </c>
      <c r="E1253" s="67" t="str">
        <f>COLORES!A8</f>
        <v>Beige</v>
      </c>
      <c r="F1253" s="67" t="str">
        <f>COLORES!B8</f>
        <v>CLARO</v>
      </c>
      <c r="G1253" s="90" t="s">
        <v>377</v>
      </c>
      <c r="H1253" s="100">
        <f>IFERROR(SUMIFS(MOVIMIENTOS_COMPLEMENTOS!$I$4:$I$803,MOVIMIENTOS_COMPLEMENTOS!$C$4:$C$803,A1253,MOVIMIENTOS_COMPLEMENTOS!$D$4:$D$803,B1253,MOVIMIENTOS_COMPLEMENTOS!$E$4:$E$803,C1253,MOVIMIENTOS_COMPLEMENTOS!$G$4:$G$803,E1253,MOVIMIENTOS_COMPLEMENTOS!$H$4:$H$803,G1253,MOVIMIENTOS_COMPLEMENTOS!$B$4:$B$803,"INGRESO")+SUMIFS(MOVIMIENTOS_COMPLEMENTOS!$I$4:$I$803,MOVIMIENTOS_COMPLEMENTOS!$C$4:$C$803,A1253,MOVIMIENTOS_COMPLEMENTOS!$D$4:$D$803,B1253,MOVIMIENTOS_COMPLEMENTOS!$E$4:$E$803,C1253,MOVIMIENTOS_COMPLEMENTOS!$G$4:$G$803,E1253,MOVIMIENTOS_COMPLEMENTOS!$H$4:$H$803,G1253,MOVIMIENTOS_COMPLEMENTOS!$B$4:$B$803,"DE CORTE")-SUMIFS(MOVIMIENTOS_COMPLEMENTOS!$I$4:$I$803,MOVIMIENTOS_COMPLEMENTOS!$C$4:$C$803,A1253,MOVIMIENTOS_COMPLEMENTOS!$D$4:$D$803,B1253,MOVIMIENTOS_COMPLEMENTOS!$E$4:$E$803,C1253,MOVIMIENTOS_COMPLEMENTOS!$G$4:$G$803,E1253,MOVIMIENTOS_COMPLEMENTOS!$H$4:$H$803,G1253,MOVIMIENTOS_COMPLEMENTOS!$B$4:$B$803,"SALIDA"),0)</f>
        <v>0</v>
      </c>
      <c r="I1253" s="102">
        <f t="array" ref="I1253">IFERROR(INDEX(PRECIOS_COMPLEMENTOS!$C$4:$F$17,MATCH(B1253&amp;"_"&amp;C1253,PRECIOS_COMPLEMENTOS!$H$4:$H$17,0),IF(OR(G1253="S",G1253="20cm"),1,IF(OR(G1253="M",G1253="25cm"),2,IF(OR(G1253="L",G1253="30cm"),3,IF(OR(G1253="XL",G1253="35cm"),4,0))))),0)</f>
        <v>0.35</v>
      </c>
      <c r="J1253" s="103">
        <f t="shared" si="1"/>
        <v>0</v>
      </c>
      <c r="K1253" s="104" t="str">
        <f>IF(H1253&lt;0,"ERROR",IF(H1253=0,"",IF(H1253&lt;CONFIG!$B$4,"CRÍTICO",IF(H1253&lt;CONFIG!$B$5,"BAJO","OK"))))</f>
        <v/>
      </c>
    </row>
    <row r="1254" ht="15.75" hidden="1" customHeight="1">
      <c r="A1254" s="90" t="str">
        <f>IF(CLIENTES!A5="","",CLIENTES!A5)</f>
        <v>Bravos</v>
      </c>
      <c r="B1254" s="90" t="s">
        <v>324</v>
      </c>
      <c r="C1254" s="91" t="s">
        <v>322</v>
      </c>
      <c r="D1254" s="109" t="s">
        <v>353</v>
      </c>
      <c r="E1254" s="67" t="str">
        <f>COLORES!A9</f>
        <v>Melange</v>
      </c>
      <c r="F1254" s="67" t="str">
        <f>COLORES!B9</f>
        <v>MELANGE</v>
      </c>
      <c r="G1254" s="90" t="s">
        <v>376</v>
      </c>
      <c r="H1254" s="100">
        <f>IFERROR(SUMIFS(MOVIMIENTOS_COMPLEMENTOS!$I$4:$I$803,MOVIMIENTOS_COMPLEMENTOS!$C$4:$C$803,A1254,MOVIMIENTOS_COMPLEMENTOS!$D$4:$D$803,B1254,MOVIMIENTOS_COMPLEMENTOS!$E$4:$E$803,C1254,MOVIMIENTOS_COMPLEMENTOS!$G$4:$G$803,E1254,MOVIMIENTOS_COMPLEMENTOS!$H$4:$H$803,G1254,MOVIMIENTOS_COMPLEMENTOS!$B$4:$B$803,"INGRESO")+SUMIFS(MOVIMIENTOS_COMPLEMENTOS!$I$4:$I$803,MOVIMIENTOS_COMPLEMENTOS!$C$4:$C$803,A1254,MOVIMIENTOS_COMPLEMENTOS!$D$4:$D$803,B1254,MOVIMIENTOS_COMPLEMENTOS!$E$4:$E$803,C1254,MOVIMIENTOS_COMPLEMENTOS!$G$4:$G$803,E1254,MOVIMIENTOS_COMPLEMENTOS!$H$4:$H$803,G1254,MOVIMIENTOS_COMPLEMENTOS!$B$4:$B$803,"DE CORTE")-SUMIFS(MOVIMIENTOS_COMPLEMENTOS!$I$4:$I$803,MOVIMIENTOS_COMPLEMENTOS!$C$4:$C$803,A1254,MOVIMIENTOS_COMPLEMENTOS!$D$4:$D$803,B1254,MOVIMIENTOS_COMPLEMENTOS!$E$4:$E$803,C1254,MOVIMIENTOS_COMPLEMENTOS!$G$4:$G$803,E1254,MOVIMIENTOS_COMPLEMENTOS!$H$4:$H$803,G1254,MOVIMIENTOS_COMPLEMENTOS!$B$4:$B$803,"SALIDA"),0)</f>
        <v>0</v>
      </c>
      <c r="I1254" s="102">
        <f t="array" ref="I1254">IFERROR(INDEX(PRECIOS_COMPLEMENTOS!$C$4:$F$17,MATCH(B1254&amp;"_"&amp;C1254,PRECIOS_COMPLEMENTOS!$H$4:$H$17,0),IF(OR(G1254="S",G1254="20cm"),1,IF(OR(G1254="M",G1254="25cm"),2,IF(OR(G1254="L",G1254="30cm"),3,IF(OR(G1254="XL",G1254="35cm"),4,0))))),0)</f>
        <v>0.3</v>
      </c>
      <c r="J1254" s="103">
        <f t="shared" si="1"/>
        <v>0</v>
      </c>
      <c r="K1254" s="104" t="str">
        <f>IF(H1254&lt;0,"ERROR",IF(H1254=0,"",IF(H1254&lt;CONFIG!$B$4,"CRÍTICO",IF(H1254&lt;CONFIG!$B$5,"BAJO","OK"))))</f>
        <v/>
      </c>
    </row>
    <row r="1255" ht="15.75" hidden="1" customHeight="1">
      <c r="A1255" s="90" t="str">
        <f>IF(CLIENTES!A5="","",CLIENTES!A5)</f>
        <v>Bravos</v>
      </c>
      <c r="B1255" s="90" t="s">
        <v>324</v>
      </c>
      <c r="C1255" s="91" t="s">
        <v>322</v>
      </c>
      <c r="D1255" s="109" t="s">
        <v>353</v>
      </c>
      <c r="E1255" s="67" t="str">
        <f>COLORES!A9</f>
        <v>Melange</v>
      </c>
      <c r="F1255" s="67" t="str">
        <f>COLORES!B9</f>
        <v>MELANGE</v>
      </c>
      <c r="G1255" s="90" t="s">
        <v>377</v>
      </c>
      <c r="H1255" s="100">
        <f>IFERROR(SUMIFS(MOVIMIENTOS_COMPLEMENTOS!$I$4:$I$803,MOVIMIENTOS_COMPLEMENTOS!$C$4:$C$803,A1255,MOVIMIENTOS_COMPLEMENTOS!$D$4:$D$803,B1255,MOVIMIENTOS_COMPLEMENTOS!$E$4:$E$803,C1255,MOVIMIENTOS_COMPLEMENTOS!$G$4:$G$803,E1255,MOVIMIENTOS_COMPLEMENTOS!$H$4:$H$803,G1255,MOVIMIENTOS_COMPLEMENTOS!$B$4:$B$803,"INGRESO")+SUMIFS(MOVIMIENTOS_COMPLEMENTOS!$I$4:$I$803,MOVIMIENTOS_COMPLEMENTOS!$C$4:$C$803,A1255,MOVIMIENTOS_COMPLEMENTOS!$D$4:$D$803,B1255,MOVIMIENTOS_COMPLEMENTOS!$E$4:$E$803,C1255,MOVIMIENTOS_COMPLEMENTOS!$G$4:$G$803,E1255,MOVIMIENTOS_COMPLEMENTOS!$H$4:$H$803,G1255,MOVIMIENTOS_COMPLEMENTOS!$B$4:$B$803,"DE CORTE")-SUMIFS(MOVIMIENTOS_COMPLEMENTOS!$I$4:$I$803,MOVIMIENTOS_COMPLEMENTOS!$C$4:$C$803,A1255,MOVIMIENTOS_COMPLEMENTOS!$D$4:$D$803,B1255,MOVIMIENTOS_COMPLEMENTOS!$E$4:$E$803,C1255,MOVIMIENTOS_COMPLEMENTOS!$G$4:$G$803,E1255,MOVIMIENTOS_COMPLEMENTOS!$H$4:$H$803,G1255,MOVIMIENTOS_COMPLEMENTOS!$B$4:$B$803,"SALIDA"),0)</f>
        <v>0</v>
      </c>
      <c r="I1255" s="102">
        <f t="array" ref="I1255">IFERROR(INDEX(PRECIOS_COMPLEMENTOS!$C$4:$F$17,MATCH(B1255&amp;"_"&amp;C1255,PRECIOS_COMPLEMENTOS!$H$4:$H$17,0),IF(OR(G1255="S",G1255="20cm"),1,IF(OR(G1255="M",G1255="25cm"),2,IF(OR(G1255="L",G1255="30cm"),3,IF(OR(G1255="XL",G1255="35cm"),4,0))))),0)</f>
        <v>0.35</v>
      </c>
      <c r="J1255" s="103">
        <f t="shared" si="1"/>
        <v>0</v>
      </c>
      <c r="K1255" s="104" t="str">
        <f>IF(H1255&lt;0,"ERROR",IF(H1255=0,"",IF(H1255&lt;CONFIG!$B$4,"CRÍTICO",IF(H1255&lt;CONFIG!$B$5,"BAJO","OK"))))</f>
        <v/>
      </c>
    </row>
    <row r="1256" ht="15.75" hidden="1" customHeight="1">
      <c r="A1256" s="90" t="str">
        <f>IF(CLIENTES!A5="","",CLIENTES!A5)</f>
        <v>Bravos</v>
      </c>
      <c r="B1256" s="90" t="s">
        <v>324</v>
      </c>
      <c r="C1256" s="91" t="s">
        <v>322</v>
      </c>
      <c r="D1256" s="109" t="s">
        <v>353</v>
      </c>
      <c r="E1256" s="67" t="str">
        <f>COLORES!A10</f>
        <v>Botella</v>
      </c>
      <c r="F1256" s="67" t="str">
        <f>COLORES!B10</f>
        <v>OSCURO</v>
      </c>
      <c r="G1256" s="90" t="s">
        <v>376</v>
      </c>
      <c r="H1256" s="100">
        <f>IFERROR(SUMIFS(MOVIMIENTOS_COMPLEMENTOS!$I$4:$I$803,MOVIMIENTOS_COMPLEMENTOS!$C$4:$C$803,A1256,MOVIMIENTOS_COMPLEMENTOS!$D$4:$D$803,B1256,MOVIMIENTOS_COMPLEMENTOS!$E$4:$E$803,C1256,MOVIMIENTOS_COMPLEMENTOS!$G$4:$G$803,E1256,MOVIMIENTOS_COMPLEMENTOS!$H$4:$H$803,G1256,MOVIMIENTOS_COMPLEMENTOS!$B$4:$B$803,"INGRESO")+SUMIFS(MOVIMIENTOS_COMPLEMENTOS!$I$4:$I$803,MOVIMIENTOS_COMPLEMENTOS!$C$4:$C$803,A1256,MOVIMIENTOS_COMPLEMENTOS!$D$4:$D$803,B1256,MOVIMIENTOS_COMPLEMENTOS!$E$4:$E$803,C1256,MOVIMIENTOS_COMPLEMENTOS!$G$4:$G$803,E1256,MOVIMIENTOS_COMPLEMENTOS!$H$4:$H$803,G1256,MOVIMIENTOS_COMPLEMENTOS!$B$4:$B$803,"DE CORTE")-SUMIFS(MOVIMIENTOS_COMPLEMENTOS!$I$4:$I$803,MOVIMIENTOS_COMPLEMENTOS!$C$4:$C$803,A1256,MOVIMIENTOS_COMPLEMENTOS!$D$4:$D$803,B1256,MOVIMIENTOS_COMPLEMENTOS!$E$4:$E$803,C1256,MOVIMIENTOS_COMPLEMENTOS!$G$4:$G$803,E1256,MOVIMIENTOS_COMPLEMENTOS!$H$4:$H$803,G1256,MOVIMIENTOS_COMPLEMENTOS!$B$4:$B$803,"SALIDA"),0)</f>
        <v>0</v>
      </c>
      <c r="I1256" s="102">
        <f t="array" ref="I1256">IFERROR(INDEX(PRECIOS_COMPLEMENTOS!$C$4:$F$17,MATCH(B1256&amp;"_"&amp;C1256,PRECIOS_COMPLEMENTOS!$H$4:$H$17,0),IF(OR(G1256="S",G1256="20cm"),1,IF(OR(G1256="M",G1256="25cm"),2,IF(OR(G1256="L",G1256="30cm"),3,IF(OR(G1256="XL",G1256="35cm"),4,0))))),0)</f>
        <v>0.3</v>
      </c>
      <c r="J1256" s="103">
        <f t="shared" si="1"/>
        <v>0</v>
      </c>
      <c r="K1256" s="104" t="str">
        <f>IF(H1256&lt;0,"ERROR",IF(H1256=0,"",IF(H1256&lt;CONFIG!$B$4,"CRÍTICO",IF(H1256&lt;CONFIG!$B$5,"BAJO","OK"))))</f>
        <v/>
      </c>
    </row>
    <row r="1257" ht="15.75" hidden="1" customHeight="1">
      <c r="A1257" s="90" t="str">
        <f>IF(CLIENTES!A5="","",CLIENTES!A5)</f>
        <v>Bravos</v>
      </c>
      <c r="B1257" s="90" t="s">
        <v>324</v>
      </c>
      <c r="C1257" s="91" t="s">
        <v>322</v>
      </c>
      <c r="D1257" s="109" t="s">
        <v>353</v>
      </c>
      <c r="E1257" s="67" t="str">
        <f>COLORES!A10</f>
        <v>Botella</v>
      </c>
      <c r="F1257" s="67" t="str">
        <f>COLORES!B10</f>
        <v>OSCURO</v>
      </c>
      <c r="G1257" s="90" t="s">
        <v>377</v>
      </c>
      <c r="H1257" s="100">
        <f>IFERROR(SUMIFS(MOVIMIENTOS_COMPLEMENTOS!$I$4:$I$803,MOVIMIENTOS_COMPLEMENTOS!$C$4:$C$803,A1257,MOVIMIENTOS_COMPLEMENTOS!$D$4:$D$803,B1257,MOVIMIENTOS_COMPLEMENTOS!$E$4:$E$803,C1257,MOVIMIENTOS_COMPLEMENTOS!$G$4:$G$803,E1257,MOVIMIENTOS_COMPLEMENTOS!$H$4:$H$803,G1257,MOVIMIENTOS_COMPLEMENTOS!$B$4:$B$803,"INGRESO")+SUMIFS(MOVIMIENTOS_COMPLEMENTOS!$I$4:$I$803,MOVIMIENTOS_COMPLEMENTOS!$C$4:$C$803,A1257,MOVIMIENTOS_COMPLEMENTOS!$D$4:$D$803,B1257,MOVIMIENTOS_COMPLEMENTOS!$E$4:$E$803,C1257,MOVIMIENTOS_COMPLEMENTOS!$G$4:$G$803,E1257,MOVIMIENTOS_COMPLEMENTOS!$H$4:$H$803,G1257,MOVIMIENTOS_COMPLEMENTOS!$B$4:$B$803,"DE CORTE")-SUMIFS(MOVIMIENTOS_COMPLEMENTOS!$I$4:$I$803,MOVIMIENTOS_COMPLEMENTOS!$C$4:$C$803,A1257,MOVIMIENTOS_COMPLEMENTOS!$D$4:$D$803,B1257,MOVIMIENTOS_COMPLEMENTOS!$E$4:$E$803,C1257,MOVIMIENTOS_COMPLEMENTOS!$G$4:$G$803,E1257,MOVIMIENTOS_COMPLEMENTOS!$H$4:$H$803,G1257,MOVIMIENTOS_COMPLEMENTOS!$B$4:$B$803,"SALIDA"),0)</f>
        <v>0</v>
      </c>
      <c r="I1257" s="102">
        <f t="array" ref="I1257">IFERROR(INDEX(PRECIOS_COMPLEMENTOS!$C$4:$F$17,MATCH(B1257&amp;"_"&amp;C1257,PRECIOS_COMPLEMENTOS!$H$4:$H$17,0),IF(OR(G1257="S",G1257="20cm"),1,IF(OR(G1257="M",G1257="25cm"),2,IF(OR(G1257="L",G1257="30cm"),3,IF(OR(G1257="XL",G1257="35cm"),4,0))))),0)</f>
        <v>0.35</v>
      </c>
      <c r="J1257" s="103">
        <f t="shared" si="1"/>
        <v>0</v>
      </c>
      <c r="K1257" s="104" t="str">
        <f>IF(H1257&lt;0,"ERROR",IF(H1257=0,"",IF(H1257&lt;CONFIG!$B$4,"CRÍTICO",IF(H1257&lt;CONFIG!$B$5,"BAJO","OK"))))</f>
        <v/>
      </c>
    </row>
    <row r="1258" ht="15.75" hidden="1" customHeight="1">
      <c r="A1258" s="90" t="str">
        <f>IF(CLIENTES!A5="","",CLIENTES!A5)</f>
        <v>Bravos</v>
      </c>
      <c r="B1258" s="90" t="s">
        <v>324</v>
      </c>
      <c r="C1258" s="91" t="s">
        <v>322</v>
      </c>
      <c r="D1258" s="109" t="s">
        <v>353</v>
      </c>
      <c r="E1258" s="67" t="str">
        <f>COLORES!A11</f>
        <v>Pacay</v>
      </c>
      <c r="F1258" s="67" t="str">
        <f>COLORES!B11</f>
        <v>CLARO</v>
      </c>
      <c r="G1258" s="90" t="s">
        <v>376</v>
      </c>
      <c r="H1258" s="100">
        <f>IFERROR(SUMIFS(MOVIMIENTOS_COMPLEMENTOS!$I$4:$I$803,MOVIMIENTOS_COMPLEMENTOS!$C$4:$C$803,A1258,MOVIMIENTOS_COMPLEMENTOS!$D$4:$D$803,B1258,MOVIMIENTOS_COMPLEMENTOS!$E$4:$E$803,C1258,MOVIMIENTOS_COMPLEMENTOS!$G$4:$G$803,E1258,MOVIMIENTOS_COMPLEMENTOS!$H$4:$H$803,G1258,MOVIMIENTOS_COMPLEMENTOS!$B$4:$B$803,"INGRESO")+SUMIFS(MOVIMIENTOS_COMPLEMENTOS!$I$4:$I$803,MOVIMIENTOS_COMPLEMENTOS!$C$4:$C$803,A1258,MOVIMIENTOS_COMPLEMENTOS!$D$4:$D$803,B1258,MOVIMIENTOS_COMPLEMENTOS!$E$4:$E$803,C1258,MOVIMIENTOS_COMPLEMENTOS!$G$4:$G$803,E1258,MOVIMIENTOS_COMPLEMENTOS!$H$4:$H$803,G1258,MOVIMIENTOS_COMPLEMENTOS!$B$4:$B$803,"DE CORTE")-SUMIFS(MOVIMIENTOS_COMPLEMENTOS!$I$4:$I$803,MOVIMIENTOS_COMPLEMENTOS!$C$4:$C$803,A1258,MOVIMIENTOS_COMPLEMENTOS!$D$4:$D$803,B1258,MOVIMIENTOS_COMPLEMENTOS!$E$4:$E$803,C1258,MOVIMIENTOS_COMPLEMENTOS!$G$4:$G$803,E1258,MOVIMIENTOS_COMPLEMENTOS!$H$4:$H$803,G1258,MOVIMIENTOS_COMPLEMENTOS!$B$4:$B$803,"SALIDA"),0)</f>
        <v>0</v>
      </c>
      <c r="I1258" s="102">
        <f t="array" ref="I1258">IFERROR(INDEX(PRECIOS_COMPLEMENTOS!$C$4:$F$17,MATCH(B1258&amp;"_"&amp;C1258,PRECIOS_COMPLEMENTOS!$H$4:$H$17,0),IF(OR(G1258="S",G1258="20cm"),1,IF(OR(G1258="M",G1258="25cm"),2,IF(OR(G1258="L",G1258="30cm"),3,IF(OR(G1258="XL",G1258="35cm"),4,0))))),0)</f>
        <v>0.3</v>
      </c>
      <c r="J1258" s="103">
        <f t="shared" si="1"/>
        <v>0</v>
      </c>
      <c r="K1258" s="104" t="str">
        <f>IF(H1258&lt;0,"ERROR",IF(H1258=0,"",IF(H1258&lt;CONFIG!$B$4,"CRÍTICO",IF(H1258&lt;CONFIG!$B$5,"BAJO","OK"))))</f>
        <v/>
      </c>
    </row>
    <row r="1259" ht="15.75" hidden="1" customHeight="1">
      <c r="A1259" s="90" t="str">
        <f>IF(CLIENTES!A5="","",CLIENTES!A5)</f>
        <v>Bravos</v>
      </c>
      <c r="B1259" s="90" t="s">
        <v>324</v>
      </c>
      <c r="C1259" s="91" t="s">
        <v>322</v>
      </c>
      <c r="D1259" s="109" t="s">
        <v>353</v>
      </c>
      <c r="E1259" s="67" t="str">
        <f>COLORES!A11</f>
        <v>Pacay</v>
      </c>
      <c r="F1259" s="67" t="str">
        <f>COLORES!B11</f>
        <v>CLARO</v>
      </c>
      <c r="G1259" s="90" t="s">
        <v>377</v>
      </c>
      <c r="H1259" s="100">
        <f>IFERROR(SUMIFS(MOVIMIENTOS_COMPLEMENTOS!$I$4:$I$803,MOVIMIENTOS_COMPLEMENTOS!$C$4:$C$803,A1259,MOVIMIENTOS_COMPLEMENTOS!$D$4:$D$803,B1259,MOVIMIENTOS_COMPLEMENTOS!$E$4:$E$803,C1259,MOVIMIENTOS_COMPLEMENTOS!$G$4:$G$803,E1259,MOVIMIENTOS_COMPLEMENTOS!$H$4:$H$803,G1259,MOVIMIENTOS_COMPLEMENTOS!$B$4:$B$803,"INGRESO")+SUMIFS(MOVIMIENTOS_COMPLEMENTOS!$I$4:$I$803,MOVIMIENTOS_COMPLEMENTOS!$C$4:$C$803,A1259,MOVIMIENTOS_COMPLEMENTOS!$D$4:$D$803,B1259,MOVIMIENTOS_COMPLEMENTOS!$E$4:$E$803,C1259,MOVIMIENTOS_COMPLEMENTOS!$G$4:$G$803,E1259,MOVIMIENTOS_COMPLEMENTOS!$H$4:$H$803,G1259,MOVIMIENTOS_COMPLEMENTOS!$B$4:$B$803,"DE CORTE")-SUMIFS(MOVIMIENTOS_COMPLEMENTOS!$I$4:$I$803,MOVIMIENTOS_COMPLEMENTOS!$C$4:$C$803,A1259,MOVIMIENTOS_COMPLEMENTOS!$D$4:$D$803,B1259,MOVIMIENTOS_COMPLEMENTOS!$E$4:$E$803,C1259,MOVIMIENTOS_COMPLEMENTOS!$G$4:$G$803,E1259,MOVIMIENTOS_COMPLEMENTOS!$H$4:$H$803,G1259,MOVIMIENTOS_COMPLEMENTOS!$B$4:$B$803,"SALIDA"),0)</f>
        <v>0</v>
      </c>
      <c r="I1259" s="102">
        <f t="array" ref="I1259">IFERROR(INDEX(PRECIOS_COMPLEMENTOS!$C$4:$F$17,MATCH(B1259&amp;"_"&amp;C1259,PRECIOS_COMPLEMENTOS!$H$4:$H$17,0),IF(OR(G1259="S",G1259="20cm"),1,IF(OR(G1259="M",G1259="25cm"),2,IF(OR(G1259="L",G1259="30cm"),3,IF(OR(G1259="XL",G1259="35cm"),4,0))))),0)</f>
        <v>0.35</v>
      </c>
      <c r="J1259" s="103">
        <f t="shared" si="1"/>
        <v>0</v>
      </c>
      <c r="K1259" s="104" t="str">
        <f>IF(H1259&lt;0,"ERROR",IF(H1259=0,"",IF(H1259&lt;CONFIG!$B$4,"CRÍTICO",IF(H1259&lt;CONFIG!$B$5,"BAJO","OK"))))</f>
        <v/>
      </c>
    </row>
    <row r="1260" ht="15.75" hidden="1" customHeight="1">
      <c r="A1260" s="90" t="str">
        <f>IF(CLIENTES!A5="","",CLIENTES!A5)</f>
        <v>Bravos</v>
      </c>
      <c r="B1260" s="90" t="s">
        <v>324</v>
      </c>
      <c r="C1260" s="91" t="s">
        <v>322</v>
      </c>
      <c r="D1260" s="109" t="s">
        <v>353</v>
      </c>
      <c r="E1260" s="67" t="str">
        <f>COLORES!A12</f>
        <v>Cemento</v>
      </c>
      <c r="F1260" s="67" t="str">
        <f>COLORES!B12</f>
        <v>CLARO</v>
      </c>
      <c r="G1260" s="90" t="s">
        <v>376</v>
      </c>
      <c r="H1260" s="100">
        <f>IFERROR(SUMIFS(MOVIMIENTOS_COMPLEMENTOS!$I$4:$I$803,MOVIMIENTOS_COMPLEMENTOS!$C$4:$C$803,A1260,MOVIMIENTOS_COMPLEMENTOS!$D$4:$D$803,B1260,MOVIMIENTOS_COMPLEMENTOS!$E$4:$E$803,C1260,MOVIMIENTOS_COMPLEMENTOS!$G$4:$G$803,E1260,MOVIMIENTOS_COMPLEMENTOS!$H$4:$H$803,G1260,MOVIMIENTOS_COMPLEMENTOS!$B$4:$B$803,"INGRESO")+SUMIFS(MOVIMIENTOS_COMPLEMENTOS!$I$4:$I$803,MOVIMIENTOS_COMPLEMENTOS!$C$4:$C$803,A1260,MOVIMIENTOS_COMPLEMENTOS!$D$4:$D$803,B1260,MOVIMIENTOS_COMPLEMENTOS!$E$4:$E$803,C1260,MOVIMIENTOS_COMPLEMENTOS!$G$4:$G$803,E1260,MOVIMIENTOS_COMPLEMENTOS!$H$4:$H$803,G1260,MOVIMIENTOS_COMPLEMENTOS!$B$4:$B$803,"DE CORTE")-SUMIFS(MOVIMIENTOS_COMPLEMENTOS!$I$4:$I$803,MOVIMIENTOS_COMPLEMENTOS!$C$4:$C$803,A1260,MOVIMIENTOS_COMPLEMENTOS!$D$4:$D$803,B1260,MOVIMIENTOS_COMPLEMENTOS!$E$4:$E$803,C1260,MOVIMIENTOS_COMPLEMENTOS!$G$4:$G$803,E1260,MOVIMIENTOS_COMPLEMENTOS!$H$4:$H$803,G1260,MOVIMIENTOS_COMPLEMENTOS!$B$4:$B$803,"SALIDA"),0)</f>
        <v>0</v>
      </c>
      <c r="I1260" s="102">
        <f t="array" ref="I1260">IFERROR(INDEX(PRECIOS_COMPLEMENTOS!$C$4:$F$17,MATCH(B1260&amp;"_"&amp;C1260,PRECIOS_COMPLEMENTOS!$H$4:$H$17,0),IF(OR(G1260="S",G1260="20cm"),1,IF(OR(G1260="M",G1260="25cm"),2,IF(OR(G1260="L",G1260="30cm"),3,IF(OR(G1260="XL",G1260="35cm"),4,0))))),0)</f>
        <v>0.3</v>
      </c>
      <c r="J1260" s="103">
        <f t="shared" si="1"/>
        <v>0</v>
      </c>
      <c r="K1260" s="104" t="str">
        <f>IF(H1260&lt;0,"ERROR",IF(H1260=0,"",IF(H1260&lt;CONFIG!$B$4,"CRÍTICO",IF(H1260&lt;CONFIG!$B$5,"BAJO","OK"))))</f>
        <v/>
      </c>
    </row>
    <row r="1261" ht="15.75" hidden="1" customHeight="1">
      <c r="A1261" s="90" t="str">
        <f>IF(CLIENTES!A5="","",CLIENTES!A5)</f>
        <v>Bravos</v>
      </c>
      <c r="B1261" s="90" t="s">
        <v>324</v>
      </c>
      <c r="C1261" s="91" t="s">
        <v>322</v>
      </c>
      <c r="D1261" s="109" t="s">
        <v>353</v>
      </c>
      <c r="E1261" s="67" t="str">
        <f>COLORES!A12</f>
        <v>Cemento</v>
      </c>
      <c r="F1261" s="67" t="str">
        <f>COLORES!B12</f>
        <v>CLARO</v>
      </c>
      <c r="G1261" s="90" t="s">
        <v>377</v>
      </c>
      <c r="H1261" s="100">
        <f>IFERROR(SUMIFS(MOVIMIENTOS_COMPLEMENTOS!$I$4:$I$803,MOVIMIENTOS_COMPLEMENTOS!$C$4:$C$803,A1261,MOVIMIENTOS_COMPLEMENTOS!$D$4:$D$803,B1261,MOVIMIENTOS_COMPLEMENTOS!$E$4:$E$803,C1261,MOVIMIENTOS_COMPLEMENTOS!$G$4:$G$803,E1261,MOVIMIENTOS_COMPLEMENTOS!$H$4:$H$803,G1261,MOVIMIENTOS_COMPLEMENTOS!$B$4:$B$803,"INGRESO")+SUMIFS(MOVIMIENTOS_COMPLEMENTOS!$I$4:$I$803,MOVIMIENTOS_COMPLEMENTOS!$C$4:$C$803,A1261,MOVIMIENTOS_COMPLEMENTOS!$D$4:$D$803,B1261,MOVIMIENTOS_COMPLEMENTOS!$E$4:$E$803,C1261,MOVIMIENTOS_COMPLEMENTOS!$G$4:$G$803,E1261,MOVIMIENTOS_COMPLEMENTOS!$H$4:$H$803,G1261,MOVIMIENTOS_COMPLEMENTOS!$B$4:$B$803,"DE CORTE")-SUMIFS(MOVIMIENTOS_COMPLEMENTOS!$I$4:$I$803,MOVIMIENTOS_COMPLEMENTOS!$C$4:$C$803,A1261,MOVIMIENTOS_COMPLEMENTOS!$D$4:$D$803,B1261,MOVIMIENTOS_COMPLEMENTOS!$E$4:$E$803,C1261,MOVIMIENTOS_COMPLEMENTOS!$G$4:$G$803,E1261,MOVIMIENTOS_COMPLEMENTOS!$H$4:$H$803,G1261,MOVIMIENTOS_COMPLEMENTOS!$B$4:$B$803,"SALIDA"),0)</f>
        <v>0</v>
      </c>
      <c r="I1261" s="102">
        <f t="array" ref="I1261">IFERROR(INDEX(PRECIOS_COMPLEMENTOS!$C$4:$F$17,MATCH(B1261&amp;"_"&amp;C1261,PRECIOS_COMPLEMENTOS!$H$4:$H$17,0),IF(OR(G1261="S",G1261="20cm"),1,IF(OR(G1261="M",G1261="25cm"),2,IF(OR(G1261="L",G1261="30cm"),3,IF(OR(G1261="XL",G1261="35cm"),4,0))))),0)</f>
        <v>0.35</v>
      </c>
      <c r="J1261" s="103">
        <f t="shared" si="1"/>
        <v>0</v>
      </c>
      <c r="K1261" s="104" t="str">
        <f>IF(H1261&lt;0,"ERROR",IF(H1261=0,"",IF(H1261&lt;CONFIG!$B$4,"CRÍTICO",IF(H1261&lt;CONFIG!$B$5,"BAJO","OK"))))</f>
        <v/>
      </c>
    </row>
    <row r="1262" ht="15.75" hidden="1" customHeight="1">
      <c r="A1262" s="90" t="str">
        <f>IF(CLIENTES!A5="","",CLIENTES!A5)</f>
        <v>Bravos</v>
      </c>
      <c r="B1262" s="90" t="s">
        <v>324</v>
      </c>
      <c r="C1262" s="91" t="s">
        <v>322</v>
      </c>
      <c r="D1262" s="109" t="s">
        <v>353</v>
      </c>
      <c r="E1262" s="67" t="str">
        <f>COLORES!A13</f>
        <v>Camote</v>
      </c>
      <c r="F1262" s="67" t="str">
        <f>COLORES!B13</f>
        <v>CLARO</v>
      </c>
      <c r="G1262" s="90" t="s">
        <v>376</v>
      </c>
      <c r="H1262" s="100">
        <f>IFERROR(SUMIFS(MOVIMIENTOS_COMPLEMENTOS!$I$4:$I$803,MOVIMIENTOS_COMPLEMENTOS!$C$4:$C$803,A1262,MOVIMIENTOS_COMPLEMENTOS!$D$4:$D$803,B1262,MOVIMIENTOS_COMPLEMENTOS!$E$4:$E$803,C1262,MOVIMIENTOS_COMPLEMENTOS!$G$4:$G$803,E1262,MOVIMIENTOS_COMPLEMENTOS!$H$4:$H$803,G1262,MOVIMIENTOS_COMPLEMENTOS!$B$4:$B$803,"INGRESO")+SUMIFS(MOVIMIENTOS_COMPLEMENTOS!$I$4:$I$803,MOVIMIENTOS_COMPLEMENTOS!$C$4:$C$803,A1262,MOVIMIENTOS_COMPLEMENTOS!$D$4:$D$803,B1262,MOVIMIENTOS_COMPLEMENTOS!$E$4:$E$803,C1262,MOVIMIENTOS_COMPLEMENTOS!$G$4:$G$803,E1262,MOVIMIENTOS_COMPLEMENTOS!$H$4:$H$803,G1262,MOVIMIENTOS_COMPLEMENTOS!$B$4:$B$803,"DE CORTE")-SUMIFS(MOVIMIENTOS_COMPLEMENTOS!$I$4:$I$803,MOVIMIENTOS_COMPLEMENTOS!$C$4:$C$803,A1262,MOVIMIENTOS_COMPLEMENTOS!$D$4:$D$803,B1262,MOVIMIENTOS_COMPLEMENTOS!$E$4:$E$803,C1262,MOVIMIENTOS_COMPLEMENTOS!$G$4:$G$803,E1262,MOVIMIENTOS_COMPLEMENTOS!$H$4:$H$803,G1262,MOVIMIENTOS_COMPLEMENTOS!$B$4:$B$803,"SALIDA"),0)</f>
        <v>0</v>
      </c>
      <c r="I1262" s="102">
        <f t="array" ref="I1262">IFERROR(INDEX(PRECIOS_COMPLEMENTOS!$C$4:$F$17,MATCH(B1262&amp;"_"&amp;C1262,PRECIOS_COMPLEMENTOS!$H$4:$H$17,0),IF(OR(G1262="S",G1262="20cm"),1,IF(OR(G1262="M",G1262="25cm"),2,IF(OR(G1262="L",G1262="30cm"),3,IF(OR(G1262="XL",G1262="35cm"),4,0))))),0)</f>
        <v>0.3</v>
      </c>
      <c r="J1262" s="103">
        <f t="shared" si="1"/>
        <v>0</v>
      </c>
      <c r="K1262" s="104" t="str">
        <f>IF(H1262&lt;0,"ERROR",IF(H1262=0,"",IF(H1262&lt;CONFIG!$B$4,"CRÍTICO",IF(H1262&lt;CONFIG!$B$5,"BAJO","OK"))))</f>
        <v/>
      </c>
    </row>
    <row r="1263" ht="15.75" hidden="1" customHeight="1">
      <c r="A1263" s="90" t="str">
        <f>IF(CLIENTES!A5="","",CLIENTES!A5)</f>
        <v>Bravos</v>
      </c>
      <c r="B1263" s="90" t="s">
        <v>324</v>
      </c>
      <c r="C1263" s="91" t="s">
        <v>322</v>
      </c>
      <c r="D1263" s="109" t="s">
        <v>353</v>
      </c>
      <c r="E1263" s="67" t="str">
        <f>COLORES!A13</f>
        <v>Camote</v>
      </c>
      <c r="F1263" s="67" t="str">
        <f>COLORES!B13</f>
        <v>CLARO</v>
      </c>
      <c r="G1263" s="90" t="s">
        <v>377</v>
      </c>
      <c r="H1263" s="100">
        <f>IFERROR(SUMIFS(MOVIMIENTOS_COMPLEMENTOS!$I$4:$I$803,MOVIMIENTOS_COMPLEMENTOS!$C$4:$C$803,A1263,MOVIMIENTOS_COMPLEMENTOS!$D$4:$D$803,B1263,MOVIMIENTOS_COMPLEMENTOS!$E$4:$E$803,C1263,MOVIMIENTOS_COMPLEMENTOS!$G$4:$G$803,E1263,MOVIMIENTOS_COMPLEMENTOS!$H$4:$H$803,G1263,MOVIMIENTOS_COMPLEMENTOS!$B$4:$B$803,"INGRESO")+SUMIFS(MOVIMIENTOS_COMPLEMENTOS!$I$4:$I$803,MOVIMIENTOS_COMPLEMENTOS!$C$4:$C$803,A1263,MOVIMIENTOS_COMPLEMENTOS!$D$4:$D$803,B1263,MOVIMIENTOS_COMPLEMENTOS!$E$4:$E$803,C1263,MOVIMIENTOS_COMPLEMENTOS!$G$4:$G$803,E1263,MOVIMIENTOS_COMPLEMENTOS!$H$4:$H$803,G1263,MOVIMIENTOS_COMPLEMENTOS!$B$4:$B$803,"DE CORTE")-SUMIFS(MOVIMIENTOS_COMPLEMENTOS!$I$4:$I$803,MOVIMIENTOS_COMPLEMENTOS!$C$4:$C$803,A1263,MOVIMIENTOS_COMPLEMENTOS!$D$4:$D$803,B1263,MOVIMIENTOS_COMPLEMENTOS!$E$4:$E$803,C1263,MOVIMIENTOS_COMPLEMENTOS!$G$4:$G$803,E1263,MOVIMIENTOS_COMPLEMENTOS!$H$4:$H$803,G1263,MOVIMIENTOS_COMPLEMENTOS!$B$4:$B$803,"SALIDA"),0)</f>
        <v>0</v>
      </c>
      <c r="I1263" s="102">
        <f t="array" ref="I1263">IFERROR(INDEX(PRECIOS_COMPLEMENTOS!$C$4:$F$17,MATCH(B1263&amp;"_"&amp;C1263,PRECIOS_COMPLEMENTOS!$H$4:$H$17,0),IF(OR(G1263="S",G1263="20cm"),1,IF(OR(G1263="M",G1263="25cm"),2,IF(OR(G1263="L",G1263="30cm"),3,IF(OR(G1263="XL",G1263="35cm"),4,0))))),0)</f>
        <v>0.35</v>
      </c>
      <c r="J1263" s="103">
        <f t="shared" si="1"/>
        <v>0</v>
      </c>
      <c r="K1263" s="104" t="str">
        <f>IF(H1263&lt;0,"ERROR",IF(H1263=0,"",IF(H1263&lt;CONFIG!$B$4,"CRÍTICO",IF(H1263&lt;CONFIG!$B$5,"BAJO","OK"))))</f>
        <v/>
      </c>
    </row>
    <row r="1264" ht="15.75" hidden="1" customHeight="1">
      <c r="A1264" s="90" t="str">
        <f>IF(CLIENTES!A5="","",CLIENTES!A5)</f>
        <v>Bravos</v>
      </c>
      <c r="B1264" s="90" t="s">
        <v>324</v>
      </c>
      <c r="C1264" s="91" t="s">
        <v>322</v>
      </c>
      <c r="D1264" s="109" t="s">
        <v>353</v>
      </c>
      <c r="E1264" s="67" t="str">
        <f>COLORES!A14</f>
        <v>Denim</v>
      </c>
      <c r="F1264" s="67" t="str">
        <f>COLORES!B14</f>
        <v>CLARO</v>
      </c>
      <c r="G1264" s="90" t="s">
        <v>376</v>
      </c>
      <c r="H1264" s="100">
        <f>IFERROR(SUMIFS(MOVIMIENTOS_COMPLEMENTOS!$I$4:$I$803,MOVIMIENTOS_COMPLEMENTOS!$C$4:$C$803,A1264,MOVIMIENTOS_COMPLEMENTOS!$D$4:$D$803,B1264,MOVIMIENTOS_COMPLEMENTOS!$E$4:$E$803,C1264,MOVIMIENTOS_COMPLEMENTOS!$G$4:$G$803,E1264,MOVIMIENTOS_COMPLEMENTOS!$H$4:$H$803,G1264,MOVIMIENTOS_COMPLEMENTOS!$B$4:$B$803,"INGRESO")+SUMIFS(MOVIMIENTOS_COMPLEMENTOS!$I$4:$I$803,MOVIMIENTOS_COMPLEMENTOS!$C$4:$C$803,A1264,MOVIMIENTOS_COMPLEMENTOS!$D$4:$D$803,B1264,MOVIMIENTOS_COMPLEMENTOS!$E$4:$E$803,C1264,MOVIMIENTOS_COMPLEMENTOS!$G$4:$G$803,E1264,MOVIMIENTOS_COMPLEMENTOS!$H$4:$H$803,G1264,MOVIMIENTOS_COMPLEMENTOS!$B$4:$B$803,"DE CORTE")-SUMIFS(MOVIMIENTOS_COMPLEMENTOS!$I$4:$I$803,MOVIMIENTOS_COMPLEMENTOS!$C$4:$C$803,A1264,MOVIMIENTOS_COMPLEMENTOS!$D$4:$D$803,B1264,MOVIMIENTOS_COMPLEMENTOS!$E$4:$E$803,C1264,MOVIMIENTOS_COMPLEMENTOS!$G$4:$G$803,E1264,MOVIMIENTOS_COMPLEMENTOS!$H$4:$H$803,G1264,MOVIMIENTOS_COMPLEMENTOS!$B$4:$B$803,"SALIDA"),0)</f>
        <v>0</v>
      </c>
      <c r="I1264" s="102">
        <f t="array" ref="I1264">IFERROR(INDEX(PRECIOS_COMPLEMENTOS!$C$4:$F$17,MATCH(B1264&amp;"_"&amp;C1264,PRECIOS_COMPLEMENTOS!$H$4:$H$17,0),IF(OR(G1264="S",G1264="20cm"),1,IF(OR(G1264="M",G1264="25cm"),2,IF(OR(G1264="L",G1264="30cm"),3,IF(OR(G1264="XL",G1264="35cm"),4,0))))),0)</f>
        <v>0.3</v>
      </c>
      <c r="J1264" s="103">
        <f t="shared" si="1"/>
        <v>0</v>
      </c>
      <c r="K1264" s="104" t="str">
        <f>IF(H1264&lt;0,"ERROR",IF(H1264=0,"",IF(H1264&lt;CONFIG!$B$4,"CRÍTICO",IF(H1264&lt;CONFIG!$B$5,"BAJO","OK"))))</f>
        <v/>
      </c>
    </row>
    <row r="1265" ht="15.75" hidden="1" customHeight="1">
      <c r="A1265" s="90" t="str">
        <f>IF(CLIENTES!A5="","",CLIENTES!A5)</f>
        <v>Bravos</v>
      </c>
      <c r="B1265" s="90" t="s">
        <v>324</v>
      </c>
      <c r="C1265" s="91" t="s">
        <v>322</v>
      </c>
      <c r="D1265" s="109" t="s">
        <v>353</v>
      </c>
      <c r="E1265" s="67" t="str">
        <f>COLORES!A14</f>
        <v>Denim</v>
      </c>
      <c r="F1265" s="67" t="str">
        <f>COLORES!B14</f>
        <v>CLARO</v>
      </c>
      <c r="G1265" s="90" t="s">
        <v>377</v>
      </c>
      <c r="H1265" s="100">
        <f>IFERROR(SUMIFS(MOVIMIENTOS_COMPLEMENTOS!$I$4:$I$803,MOVIMIENTOS_COMPLEMENTOS!$C$4:$C$803,A1265,MOVIMIENTOS_COMPLEMENTOS!$D$4:$D$803,B1265,MOVIMIENTOS_COMPLEMENTOS!$E$4:$E$803,C1265,MOVIMIENTOS_COMPLEMENTOS!$G$4:$G$803,E1265,MOVIMIENTOS_COMPLEMENTOS!$H$4:$H$803,G1265,MOVIMIENTOS_COMPLEMENTOS!$B$4:$B$803,"INGRESO")+SUMIFS(MOVIMIENTOS_COMPLEMENTOS!$I$4:$I$803,MOVIMIENTOS_COMPLEMENTOS!$C$4:$C$803,A1265,MOVIMIENTOS_COMPLEMENTOS!$D$4:$D$803,B1265,MOVIMIENTOS_COMPLEMENTOS!$E$4:$E$803,C1265,MOVIMIENTOS_COMPLEMENTOS!$G$4:$G$803,E1265,MOVIMIENTOS_COMPLEMENTOS!$H$4:$H$803,G1265,MOVIMIENTOS_COMPLEMENTOS!$B$4:$B$803,"DE CORTE")-SUMIFS(MOVIMIENTOS_COMPLEMENTOS!$I$4:$I$803,MOVIMIENTOS_COMPLEMENTOS!$C$4:$C$803,A1265,MOVIMIENTOS_COMPLEMENTOS!$D$4:$D$803,B1265,MOVIMIENTOS_COMPLEMENTOS!$E$4:$E$803,C1265,MOVIMIENTOS_COMPLEMENTOS!$G$4:$G$803,E1265,MOVIMIENTOS_COMPLEMENTOS!$H$4:$H$803,G1265,MOVIMIENTOS_COMPLEMENTOS!$B$4:$B$803,"SALIDA"),0)</f>
        <v>0</v>
      </c>
      <c r="I1265" s="102">
        <f t="array" ref="I1265">IFERROR(INDEX(PRECIOS_COMPLEMENTOS!$C$4:$F$17,MATCH(B1265&amp;"_"&amp;C1265,PRECIOS_COMPLEMENTOS!$H$4:$H$17,0),IF(OR(G1265="S",G1265="20cm"),1,IF(OR(G1265="M",G1265="25cm"),2,IF(OR(G1265="L",G1265="30cm"),3,IF(OR(G1265="XL",G1265="35cm"),4,0))))),0)</f>
        <v>0.35</v>
      </c>
      <c r="J1265" s="103">
        <f t="shared" si="1"/>
        <v>0</v>
      </c>
      <c r="K1265" s="104" t="str">
        <f>IF(H1265&lt;0,"ERROR",IF(H1265=0,"",IF(H1265&lt;CONFIG!$B$4,"CRÍTICO",IF(H1265&lt;CONFIG!$B$5,"BAJO","OK"))))</f>
        <v/>
      </c>
    </row>
    <row r="1266" ht="15.75" hidden="1" customHeight="1">
      <c r="A1266" s="90" t="str">
        <f>IF(CLIENTES!A5="","",CLIENTES!A5)</f>
        <v>Bravos</v>
      </c>
      <c r="B1266" s="90" t="s">
        <v>324</v>
      </c>
      <c r="C1266" s="91" t="s">
        <v>322</v>
      </c>
      <c r="D1266" s="109" t="s">
        <v>353</v>
      </c>
      <c r="E1266" s="67" t="str">
        <f>COLORES!A15</f>
        <v>Plomo</v>
      </c>
      <c r="F1266" s="67" t="str">
        <f>COLORES!B15</f>
        <v>OSCURO</v>
      </c>
      <c r="G1266" s="90" t="s">
        <v>376</v>
      </c>
      <c r="H1266" s="100">
        <f>IFERROR(SUMIFS(MOVIMIENTOS_COMPLEMENTOS!$I$4:$I$803,MOVIMIENTOS_COMPLEMENTOS!$C$4:$C$803,A1266,MOVIMIENTOS_COMPLEMENTOS!$D$4:$D$803,B1266,MOVIMIENTOS_COMPLEMENTOS!$E$4:$E$803,C1266,MOVIMIENTOS_COMPLEMENTOS!$G$4:$G$803,E1266,MOVIMIENTOS_COMPLEMENTOS!$H$4:$H$803,G1266,MOVIMIENTOS_COMPLEMENTOS!$B$4:$B$803,"INGRESO")+SUMIFS(MOVIMIENTOS_COMPLEMENTOS!$I$4:$I$803,MOVIMIENTOS_COMPLEMENTOS!$C$4:$C$803,A1266,MOVIMIENTOS_COMPLEMENTOS!$D$4:$D$803,B1266,MOVIMIENTOS_COMPLEMENTOS!$E$4:$E$803,C1266,MOVIMIENTOS_COMPLEMENTOS!$G$4:$G$803,E1266,MOVIMIENTOS_COMPLEMENTOS!$H$4:$H$803,G1266,MOVIMIENTOS_COMPLEMENTOS!$B$4:$B$803,"DE CORTE")-SUMIFS(MOVIMIENTOS_COMPLEMENTOS!$I$4:$I$803,MOVIMIENTOS_COMPLEMENTOS!$C$4:$C$803,A1266,MOVIMIENTOS_COMPLEMENTOS!$D$4:$D$803,B1266,MOVIMIENTOS_COMPLEMENTOS!$E$4:$E$803,C1266,MOVIMIENTOS_COMPLEMENTOS!$G$4:$G$803,E1266,MOVIMIENTOS_COMPLEMENTOS!$H$4:$H$803,G1266,MOVIMIENTOS_COMPLEMENTOS!$B$4:$B$803,"SALIDA"),0)</f>
        <v>0</v>
      </c>
      <c r="I1266" s="102">
        <f t="array" ref="I1266">IFERROR(INDEX(PRECIOS_COMPLEMENTOS!$C$4:$F$17,MATCH(B1266&amp;"_"&amp;C1266,PRECIOS_COMPLEMENTOS!$H$4:$H$17,0),IF(OR(G1266="S",G1266="20cm"),1,IF(OR(G1266="M",G1266="25cm"),2,IF(OR(G1266="L",G1266="30cm"),3,IF(OR(G1266="XL",G1266="35cm"),4,0))))),0)</f>
        <v>0.3</v>
      </c>
      <c r="J1266" s="103">
        <f t="shared" si="1"/>
        <v>0</v>
      </c>
      <c r="K1266" s="104" t="str">
        <f>IF(H1266&lt;0,"ERROR",IF(H1266=0,"",IF(H1266&lt;CONFIG!$B$4,"CRÍTICO",IF(H1266&lt;CONFIG!$B$5,"BAJO","OK"))))</f>
        <v/>
      </c>
    </row>
    <row r="1267" ht="15.75" hidden="1" customHeight="1">
      <c r="A1267" s="90" t="str">
        <f>IF(CLIENTES!A5="","",CLIENTES!A5)</f>
        <v>Bravos</v>
      </c>
      <c r="B1267" s="90" t="s">
        <v>324</v>
      </c>
      <c r="C1267" s="91" t="s">
        <v>322</v>
      </c>
      <c r="D1267" s="109" t="s">
        <v>353</v>
      </c>
      <c r="E1267" s="67" t="str">
        <f>COLORES!A15</f>
        <v>Plomo</v>
      </c>
      <c r="F1267" s="67" t="str">
        <f>COLORES!B15</f>
        <v>OSCURO</v>
      </c>
      <c r="G1267" s="90" t="s">
        <v>377</v>
      </c>
      <c r="H1267" s="100">
        <f>IFERROR(SUMIFS(MOVIMIENTOS_COMPLEMENTOS!$I$4:$I$803,MOVIMIENTOS_COMPLEMENTOS!$C$4:$C$803,A1267,MOVIMIENTOS_COMPLEMENTOS!$D$4:$D$803,B1267,MOVIMIENTOS_COMPLEMENTOS!$E$4:$E$803,C1267,MOVIMIENTOS_COMPLEMENTOS!$G$4:$G$803,E1267,MOVIMIENTOS_COMPLEMENTOS!$H$4:$H$803,G1267,MOVIMIENTOS_COMPLEMENTOS!$B$4:$B$803,"INGRESO")+SUMIFS(MOVIMIENTOS_COMPLEMENTOS!$I$4:$I$803,MOVIMIENTOS_COMPLEMENTOS!$C$4:$C$803,A1267,MOVIMIENTOS_COMPLEMENTOS!$D$4:$D$803,B1267,MOVIMIENTOS_COMPLEMENTOS!$E$4:$E$803,C1267,MOVIMIENTOS_COMPLEMENTOS!$G$4:$G$803,E1267,MOVIMIENTOS_COMPLEMENTOS!$H$4:$H$803,G1267,MOVIMIENTOS_COMPLEMENTOS!$B$4:$B$803,"DE CORTE")-SUMIFS(MOVIMIENTOS_COMPLEMENTOS!$I$4:$I$803,MOVIMIENTOS_COMPLEMENTOS!$C$4:$C$803,A1267,MOVIMIENTOS_COMPLEMENTOS!$D$4:$D$803,B1267,MOVIMIENTOS_COMPLEMENTOS!$E$4:$E$803,C1267,MOVIMIENTOS_COMPLEMENTOS!$G$4:$G$803,E1267,MOVIMIENTOS_COMPLEMENTOS!$H$4:$H$803,G1267,MOVIMIENTOS_COMPLEMENTOS!$B$4:$B$803,"SALIDA"),0)</f>
        <v>0</v>
      </c>
      <c r="I1267" s="102">
        <f t="array" ref="I1267">IFERROR(INDEX(PRECIOS_COMPLEMENTOS!$C$4:$F$17,MATCH(B1267&amp;"_"&amp;C1267,PRECIOS_COMPLEMENTOS!$H$4:$H$17,0),IF(OR(G1267="S",G1267="20cm"),1,IF(OR(G1267="M",G1267="25cm"),2,IF(OR(G1267="L",G1267="30cm"),3,IF(OR(G1267="XL",G1267="35cm"),4,0))))),0)</f>
        <v>0.35</v>
      </c>
      <c r="J1267" s="103">
        <f t="shared" si="1"/>
        <v>0</v>
      </c>
      <c r="K1267" s="104" t="str">
        <f>IF(H1267&lt;0,"ERROR",IF(H1267=0,"",IF(H1267&lt;CONFIG!$B$4,"CRÍTICO",IF(H1267&lt;CONFIG!$B$5,"BAJO","OK"))))</f>
        <v/>
      </c>
    </row>
    <row r="1268" ht="15.75" hidden="1" customHeight="1">
      <c r="A1268" s="90" t="str">
        <f>IF(CLIENTES!A5="","",CLIENTES!A5)</f>
        <v>Bravos</v>
      </c>
      <c r="B1268" s="90" t="s">
        <v>324</v>
      </c>
      <c r="C1268" s="91" t="s">
        <v>322</v>
      </c>
      <c r="D1268" s="109" t="s">
        <v>353</v>
      </c>
      <c r="E1268" s="67" t="str">
        <f>COLORES!A16</f>
        <v>Topo</v>
      </c>
      <c r="F1268" s="67" t="str">
        <f>COLORES!B16</f>
        <v>CLARO</v>
      </c>
      <c r="G1268" s="90" t="s">
        <v>376</v>
      </c>
      <c r="H1268" s="100">
        <f>IFERROR(SUMIFS(MOVIMIENTOS_COMPLEMENTOS!$I$4:$I$803,MOVIMIENTOS_COMPLEMENTOS!$C$4:$C$803,A1268,MOVIMIENTOS_COMPLEMENTOS!$D$4:$D$803,B1268,MOVIMIENTOS_COMPLEMENTOS!$E$4:$E$803,C1268,MOVIMIENTOS_COMPLEMENTOS!$G$4:$G$803,E1268,MOVIMIENTOS_COMPLEMENTOS!$H$4:$H$803,G1268,MOVIMIENTOS_COMPLEMENTOS!$B$4:$B$803,"INGRESO")+SUMIFS(MOVIMIENTOS_COMPLEMENTOS!$I$4:$I$803,MOVIMIENTOS_COMPLEMENTOS!$C$4:$C$803,A1268,MOVIMIENTOS_COMPLEMENTOS!$D$4:$D$803,B1268,MOVIMIENTOS_COMPLEMENTOS!$E$4:$E$803,C1268,MOVIMIENTOS_COMPLEMENTOS!$G$4:$G$803,E1268,MOVIMIENTOS_COMPLEMENTOS!$H$4:$H$803,G1268,MOVIMIENTOS_COMPLEMENTOS!$B$4:$B$803,"DE CORTE")-SUMIFS(MOVIMIENTOS_COMPLEMENTOS!$I$4:$I$803,MOVIMIENTOS_COMPLEMENTOS!$C$4:$C$803,A1268,MOVIMIENTOS_COMPLEMENTOS!$D$4:$D$803,B1268,MOVIMIENTOS_COMPLEMENTOS!$E$4:$E$803,C1268,MOVIMIENTOS_COMPLEMENTOS!$G$4:$G$803,E1268,MOVIMIENTOS_COMPLEMENTOS!$H$4:$H$803,G1268,MOVIMIENTOS_COMPLEMENTOS!$B$4:$B$803,"SALIDA"),0)</f>
        <v>0</v>
      </c>
      <c r="I1268" s="102">
        <f t="array" ref="I1268">IFERROR(INDEX(PRECIOS_COMPLEMENTOS!$C$4:$F$17,MATCH(B1268&amp;"_"&amp;C1268,PRECIOS_COMPLEMENTOS!$H$4:$H$17,0),IF(OR(G1268="S",G1268="20cm"),1,IF(OR(G1268="M",G1268="25cm"),2,IF(OR(G1268="L",G1268="30cm"),3,IF(OR(G1268="XL",G1268="35cm"),4,0))))),0)</f>
        <v>0.3</v>
      </c>
      <c r="J1268" s="103">
        <f t="shared" si="1"/>
        <v>0</v>
      </c>
      <c r="K1268" s="104" t="str">
        <f>IF(H1268&lt;0,"ERROR",IF(H1268=0,"",IF(H1268&lt;CONFIG!$B$4,"CRÍTICO",IF(H1268&lt;CONFIG!$B$5,"BAJO","OK"))))</f>
        <v/>
      </c>
    </row>
    <row r="1269" ht="15.75" hidden="1" customHeight="1">
      <c r="A1269" s="90" t="str">
        <f>IF(CLIENTES!A5="","",CLIENTES!A5)</f>
        <v>Bravos</v>
      </c>
      <c r="B1269" s="90" t="s">
        <v>324</v>
      </c>
      <c r="C1269" s="91" t="s">
        <v>322</v>
      </c>
      <c r="D1269" s="109" t="s">
        <v>353</v>
      </c>
      <c r="E1269" s="67" t="str">
        <f>COLORES!A16</f>
        <v>Topo</v>
      </c>
      <c r="F1269" s="67" t="str">
        <f>COLORES!B16</f>
        <v>CLARO</v>
      </c>
      <c r="G1269" s="90" t="s">
        <v>377</v>
      </c>
      <c r="H1269" s="100">
        <f>IFERROR(SUMIFS(MOVIMIENTOS_COMPLEMENTOS!$I$4:$I$803,MOVIMIENTOS_COMPLEMENTOS!$C$4:$C$803,A1269,MOVIMIENTOS_COMPLEMENTOS!$D$4:$D$803,B1269,MOVIMIENTOS_COMPLEMENTOS!$E$4:$E$803,C1269,MOVIMIENTOS_COMPLEMENTOS!$G$4:$G$803,E1269,MOVIMIENTOS_COMPLEMENTOS!$H$4:$H$803,G1269,MOVIMIENTOS_COMPLEMENTOS!$B$4:$B$803,"INGRESO")+SUMIFS(MOVIMIENTOS_COMPLEMENTOS!$I$4:$I$803,MOVIMIENTOS_COMPLEMENTOS!$C$4:$C$803,A1269,MOVIMIENTOS_COMPLEMENTOS!$D$4:$D$803,B1269,MOVIMIENTOS_COMPLEMENTOS!$E$4:$E$803,C1269,MOVIMIENTOS_COMPLEMENTOS!$G$4:$G$803,E1269,MOVIMIENTOS_COMPLEMENTOS!$H$4:$H$803,G1269,MOVIMIENTOS_COMPLEMENTOS!$B$4:$B$803,"DE CORTE")-SUMIFS(MOVIMIENTOS_COMPLEMENTOS!$I$4:$I$803,MOVIMIENTOS_COMPLEMENTOS!$C$4:$C$803,A1269,MOVIMIENTOS_COMPLEMENTOS!$D$4:$D$803,B1269,MOVIMIENTOS_COMPLEMENTOS!$E$4:$E$803,C1269,MOVIMIENTOS_COMPLEMENTOS!$G$4:$G$803,E1269,MOVIMIENTOS_COMPLEMENTOS!$H$4:$H$803,G1269,MOVIMIENTOS_COMPLEMENTOS!$B$4:$B$803,"SALIDA"),0)</f>
        <v>0</v>
      </c>
      <c r="I1269" s="102">
        <f t="array" ref="I1269">IFERROR(INDEX(PRECIOS_COMPLEMENTOS!$C$4:$F$17,MATCH(B1269&amp;"_"&amp;C1269,PRECIOS_COMPLEMENTOS!$H$4:$H$17,0),IF(OR(G1269="S",G1269="20cm"),1,IF(OR(G1269="M",G1269="25cm"),2,IF(OR(G1269="L",G1269="30cm"),3,IF(OR(G1269="XL",G1269="35cm"),4,0))))),0)</f>
        <v>0.35</v>
      </c>
      <c r="J1269" s="103">
        <f t="shared" si="1"/>
        <v>0</v>
      </c>
      <c r="K1269" s="104" t="str">
        <f>IF(H1269&lt;0,"ERROR",IF(H1269=0,"",IF(H1269&lt;CONFIG!$B$4,"CRÍTICO",IF(H1269&lt;CONFIG!$B$5,"BAJO","OK"))))</f>
        <v/>
      </c>
    </row>
    <row r="1270" ht="15.75" hidden="1" customHeight="1">
      <c r="A1270" s="90" t="str">
        <f>IF(CLIENTES!A5="","",CLIENTES!A5)</f>
        <v>Bravos</v>
      </c>
      <c r="B1270" s="90" t="s">
        <v>324</v>
      </c>
      <c r="C1270" s="91" t="s">
        <v>322</v>
      </c>
      <c r="D1270" s="109" t="s">
        <v>353</v>
      </c>
      <c r="E1270" s="67" t="str">
        <f>COLORES!A17</f>
        <v>Vino</v>
      </c>
      <c r="F1270" s="67" t="str">
        <f>COLORES!B17</f>
        <v>OSCURO</v>
      </c>
      <c r="G1270" s="90" t="s">
        <v>376</v>
      </c>
      <c r="H1270" s="100">
        <f>IFERROR(SUMIFS(MOVIMIENTOS_COMPLEMENTOS!$I$4:$I$803,MOVIMIENTOS_COMPLEMENTOS!$C$4:$C$803,A1270,MOVIMIENTOS_COMPLEMENTOS!$D$4:$D$803,B1270,MOVIMIENTOS_COMPLEMENTOS!$E$4:$E$803,C1270,MOVIMIENTOS_COMPLEMENTOS!$G$4:$G$803,E1270,MOVIMIENTOS_COMPLEMENTOS!$H$4:$H$803,G1270,MOVIMIENTOS_COMPLEMENTOS!$B$4:$B$803,"INGRESO")+SUMIFS(MOVIMIENTOS_COMPLEMENTOS!$I$4:$I$803,MOVIMIENTOS_COMPLEMENTOS!$C$4:$C$803,A1270,MOVIMIENTOS_COMPLEMENTOS!$D$4:$D$803,B1270,MOVIMIENTOS_COMPLEMENTOS!$E$4:$E$803,C1270,MOVIMIENTOS_COMPLEMENTOS!$G$4:$G$803,E1270,MOVIMIENTOS_COMPLEMENTOS!$H$4:$H$803,G1270,MOVIMIENTOS_COMPLEMENTOS!$B$4:$B$803,"DE CORTE")-SUMIFS(MOVIMIENTOS_COMPLEMENTOS!$I$4:$I$803,MOVIMIENTOS_COMPLEMENTOS!$C$4:$C$803,A1270,MOVIMIENTOS_COMPLEMENTOS!$D$4:$D$803,B1270,MOVIMIENTOS_COMPLEMENTOS!$E$4:$E$803,C1270,MOVIMIENTOS_COMPLEMENTOS!$G$4:$G$803,E1270,MOVIMIENTOS_COMPLEMENTOS!$H$4:$H$803,G1270,MOVIMIENTOS_COMPLEMENTOS!$B$4:$B$803,"SALIDA"),0)</f>
        <v>0</v>
      </c>
      <c r="I1270" s="102">
        <f t="array" ref="I1270">IFERROR(INDEX(PRECIOS_COMPLEMENTOS!$C$4:$F$17,MATCH(B1270&amp;"_"&amp;C1270,PRECIOS_COMPLEMENTOS!$H$4:$H$17,0),IF(OR(G1270="S",G1270="20cm"),1,IF(OR(G1270="M",G1270="25cm"),2,IF(OR(G1270="L",G1270="30cm"),3,IF(OR(G1270="XL",G1270="35cm"),4,0))))),0)</f>
        <v>0.3</v>
      </c>
      <c r="J1270" s="103">
        <f t="shared" si="1"/>
        <v>0</v>
      </c>
      <c r="K1270" s="104" t="str">
        <f>IF(H1270&lt;0,"ERROR",IF(H1270=0,"",IF(H1270&lt;CONFIG!$B$4,"CRÍTICO",IF(H1270&lt;CONFIG!$B$5,"BAJO","OK"))))</f>
        <v/>
      </c>
    </row>
    <row r="1271" ht="15.75" hidden="1" customHeight="1">
      <c r="A1271" s="90" t="str">
        <f>IF(CLIENTES!A5="","",CLIENTES!A5)</f>
        <v>Bravos</v>
      </c>
      <c r="B1271" s="90" t="s">
        <v>324</v>
      </c>
      <c r="C1271" s="91" t="s">
        <v>322</v>
      </c>
      <c r="D1271" s="109" t="s">
        <v>353</v>
      </c>
      <c r="E1271" s="67" t="str">
        <f>COLORES!A17</f>
        <v>Vino</v>
      </c>
      <c r="F1271" s="67" t="str">
        <f>COLORES!B17</f>
        <v>OSCURO</v>
      </c>
      <c r="G1271" s="90" t="s">
        <v>377</v>
      </c>
      <c r="H1271" s="100">
        <f>IFERROR(SUMIFS(MOVIMIENTOS_COMPLEMENTOS!$I$4:$I$803,MOVIMIENTOS_COMPLEMENTOS!$C$4:$C$803,A1271,MOVIMIENTOS_COMPLEMENTOS!$D$4:$D$803,B1271,MOVIMIENTOS_COMPLEMENTOS!$E$4:$E$803,C1271,MOVIMIENTOS_COMPLEMENTOS!$G$4:$G$803,E1271,MOVIMIENTOS_COMPLEMENTOS!$H$4:$H$803,G1271,MOVIMIENTOS_COMPLEMENTOS!$B$4:$B$803,"INGRESO")+SUMIFS(MOVIMIENTOS_COMPLEMENTOS!$I$4:$I$803,MOVIMIENTOS_COMPLEMENTOS!$C$4:$C$803,A1271,MOVIMIENTOS_COMPLEMENTOS!$D$4:$D$803,B1271,MOVIMIENTOS_COMPLEMENTOS!$E$4:$E$803,C1271,MOVIMIENTOS_COMPLEMENTOS!$G$4:$G$803,E1271,MOVIMIENTOS_COMPLEMENTOS!$H$4:$H$803,G1271,MOVIMIENTOS_COMPLEMENTOS!$B$4:$B$803,"DE CORTE")-SUMIFS(MOVIMIENTOS_COMPLEMENTOS!$I$4:$I$803,MOVIMIENTOS_COMPLEMENTOS!$C$4:$C$803,A1271,MOVIMIENTOS_COMPLEMENTOS!$D$4:$D$803,B1271,MOVIMIENTOS_COMPLEMENTOS!$E$4:$E$803,C1271,MOVIMIENTOS_COMPLEMENTOS!$G$4:$G$803,E1271,MOVIMIENTOS_COMPLEMENTOS!$H$4:$H$803,G1271,MOVIMIENTOS_COMPLEMENTOS!$B$4:$B$803,"SALIDA"),0)</f>
        <v>0</v>
      </c>
      <c r="I1271" s="102">
        <f t="array" ref="I1271">IFERROR(INDEX(PRECIOS_COMPLEMENTOS!$C$4:$F$17,MATCH(B1271&amp;"_"&amp;C1271,PRECIOS_COMPLEMENTOS!$H$4:$H$17,0),IF(OR(G1271="S",G1271="20cm"),1,IF(OR(G1271="M",G1271="25cm"),2,IF(OR(G1271="L",G1271="30cm"),3,IF(OR(G1271="XL",G1271="35cm"),4,0))))),0)</f>
        <v>0.35</v>
      </c>
      <c r="J1271" s="103">
        <f t="shared" si="1"/>
        <v>0</v>
      </c>
      <c r="K1271" s="104" t="str">
        <f>IF(H1271&lt;0,"ERROR",IF(H1271=0,"",IF(H1271&lt;CONFIG!$B$4,"CRÍTICO",IF(H1271&lt;CONFIG!$B$5,"BAJO","OK"))))</f>
        <v/>
      </c>
    </row>
    <row r="1272" ht="15.75" hidden="1" customHeight="1">
      <c r="A1272" s="90" t="str">
        <f>IF(CLIENTES!A5="","",CLIENTES!A5)</f>
        <v>Bravos</v>
      </c>
      <c r="B1272" s="90" t="s">
        <v>324</v>
      </c>
      <c r="C1272" s="91" t="s">
        <v>322</v>
      </c>
      <c r="D1272" s="109" t="s">
        <v>353</v>
      </c>
      <c r="E1272" s="67" t="str">
        <f>COLORES!A18</f>
        <v>P. Rosa</v>
      </c>
      <c r="F1272" s="67" t="str">
        <f>COLORES!B18</f>
        <v>CLARO</v>
      </c>
      <c r="G1272" s="90" t="s">
        <v>376</v>
      </c>
      <c r="H1272" s="100">
        <f>IFERROR(SUMIFS(MOVIMIENTOS_COMPLEMENTOS!$I$4:$I$803,MOVIMIENTOS_COMPLEMENTOS!$C$4:$C$803,A1272,MOVIMIENTOS_COMPLEMENTOS!$D$4:$D$803,B1272,MOVIMIENTOS_COMPLEMENTOS!$E$4:$E$803,C1272,MOVIMIENTOS_COMPLEMENTOS!$G$4:$G$803,E1272,MOVIMIENTOS_COMPLEMENTOS!$H$4:$H$803,G1272,MOVIMIENTOS_COMPLEMENTOS!$B$4:$B$803,"INGRESO")+SUMIFS(MOVIMIENTOS_COMPLEMENTOS!$I$4:$I$803,MOVIMIENTOS_COMPLEMENTOS!$C$4:$C$803,A1272,MOVIMIENTOS_COMPLEMENTOS!$D$4:$D$803,B1272,MOVIMIENTOS_COMPLEMENTOS!$E$4:$E$803,C1272,MOVIMIENTOS_COMPLEMENTOS!$G$4:$G$803,E1272,MOVIMIENTOS_COMPLEMENTOS!$H$4:$H$803,G1272,MOVIMIENTOS_COMPLEMENTOS!$B$4:$B$803,"DE CORTE")-SUMIFS(MOVIMIENTOS_COMPLEMENTOS!$I$4:$I$803,MOVIMIENTOS_COMPLEMENTOS!$C$4:$C$803,A1272,MOVIMIENTOS_COMPLEMENTOS!$D$4:$D$803,B1272,MOVIMIENTOS_COMPLEMENTOS!$E$4:$E$803,C1272,MOVIMIENTOS_COMPLEMENTOS!$G$4:$G$803,E1272,MOVIMIENTOS_COMPLEMENTOS!$H$4:$H$803,G1272,MOVIMIENTOS_COMPLEMENTOS!$B$4:$B$803,"SALIDA"),0)</f>
        <v>0</v>
      </c>
      <c r="I1272" s="102">
        <f t="array" ref="I1272">IFERROR(INDEX(PRECIOS_COMPLEMENTOS!$C$4:$F$17,MATCH(B1272&amp;"_"&amp;C1272,PRECIOS_COMPLEMENTOS!$H$4:$H$17,0),IF(OR(G1272="S",G1272="20cm"),1,IF(OR(G1272="M",G1272="25cm"),2,IF(OR(G1272="L",G1272="30cm"),3,IF(OR(G1272="XL",G1272="35cm"),4,0))))),0)</f>
        <v>0.3</v>
      </c>
      <c r="J1272" s="103">
        <f t="shared" si="1"/>
        <v>0</v>
      </c>
      <c r="K1272" s="104" t="str">
        <f>IF(H1272&lt;0,"ERROR",IF(H1272=0,"",IF(H1272&lt;CONFIG!$B$4,"CRÍTICO",IF(H1272&lt;CONFIG!$B$5,"BAJO","OK"))))</f>
        <v/>
      </c>
    </row>
    <row r="1273" ht="15.75" hidden="1" customHeight="1">
      <c r="A1273" s="90" t="str">
        <f>IF(CLIENTES!A5="","",CLIENTES!A5)</f>
        <v>Bravos</v>
      </c>
      <c r="B1273" s="90" t="s">
        <v>324</v>
      </c>
      <c r="C1273" s="91" t="s">
        <v>322</v>
      </c>
      <c r="D1273" s="109" t="s">
        <v>353</v>
      </c>
      <c r="E1273" s="67" t="str">
        <f>COLORES!A18</f>
        <v>P. Rosa</v>
      </c>
      <c r="F1273" s="67" t="str">
        <f>COLORES!B18</f>
        <v>CLARO</v>
      </c>
      <c r="G1273" s="90" t="s">
        <v>377</v>
      </c>
      <c r="H1273" s="100">
        <f>IFERROR(SUMIFS(MOVIMIENTOS_COMPLEMENTOS!$I$4:$I$803,MOVIMIENTOS_COMPLEMENTOS!$C$4:$C$803,A1273,MOVIMIENTOS_COMPLEMENTOS!$D$4:$D$803,B1273,MOVIMIENTOS_COMPLEMENTOS!$E$4:$E$803,C1273,MOVIMIENTOS_COMPLEMENTOS!$G$4:$G$803,E1273,MOVIMIENTOS_COMPLEMENTOS!$H$4:$H$803,G1273,MOVIMIENTOS_COMPLEMENTOS!$B$4:$B$803,"INGRESO")+SUMIFS(MOVIMIENTOS_COMPLEMENTOS!$I$4:$I$803,MOVIMIENTOS_COMPLEMENTOS!$C$4:$C$803,A1273,MOVIMIENTOS_COMPLEMENTOS!$D$4:$D$803,B1273,MOVIMIENTOS_COMPLEMENTOS!$E$4:$E$803,C1273,MOVIMIENTOS_COMPLEMENTOS!$G$4:$G$803,E1273,MOVIMIENTOS_COMPLEMENTOS!$H$4:$H$803,G1273,MOVIMIENTOS_COMPLEMENTOS!$B$4:$B$803,"DE CORTE")-SUMIFS(MOVIMIENTOS_COMPLEMENTOS!$I$4:$I$803,MOVIMIENTOS_COMPLEMENTOS!$C$4:$C$803,A1273,MOVIMIENTOS_COMPLEMENTOS!$D$4:$D$803,B1273,MOVIMIENTOS_COMPLEMENTOS!$E$4:$E$803,C1273,MOVIMIENTOS_COMPLEMENTOS!$G$4:$G$803,E1273,MOVIMIENTOS_COMPLEMENTOS!$H$4:$H$803,G1273,MOVIMIENTOS_COMPLEMENTOS!$B$4:$B$803,"SALIDA"),0)</f>
        <v>0</v>
      </c>
      <c r="I1273" s="102">
        <f t="array" ref="I1273">IFERROR(INDEX(PRECIOS_COMPLEMENTOS!$C$4:$F$17,MATCH(B1273&amp;"_"&amp;C1273,PRECIOS_COMPLEMENTOS!$H$4:$H$17,0),IF(OR(G1273="S",G1273="20cm"),1,IF(OR(G1273="M",G1273="25cm"),2,IF(OR(G1273="L",G1273="30cm"),3,IF(OR(G1273="XL",G1273="35cm"),4,0))))),0)</f>
        <v>0.35</v>
      </c>
      <c r="J1273" s="103">
        <f t="shared" si="1"/>
        <v>0</v>
      </c>
      <c r="K1273" s="104" t="str">
        <f>IF(H1273&lt;0,"ERROR",IF(H1273=0,"",IF(H1273&lt;CONFIG!$B$4,"CRÍTICO",IF(H1273&lt;CONFIG!$B$5,"BAJO","OK"))))</f>
        <v/>
      </c>
    </row>
    <row r="1274" ht="15.75" hidden="1" customHeight="1">
      <c r="A1274" s="90" t="str">
        <f>IF(CLIENTES!A5="","",CLIENTES!A5)</f>
        <v>Bravos</v>
      </c>
      <c r="B1274" s="90" t="s">
        <v>324</v>
      </c>
      <c r="C1274" s="91" t="s">
        <v>322</v>
      </c>
      <c r="D1274" s="109" t="s">
        <v>353</v>
      </c>
      <c r="E1274" s="67" t="str">
        <f>COLORES!A19</f>
        <v/>
      </c>
      <c r="F1274" s="67" t="str">
        <f>COLORES!B19</f>
        <v/>
      </c>
      <c r="G1274" s="90" t="s">
        <v>376</v>
      </c>
      <c r="H1274" s="100">
        <f>IFERROR(SUMIFS(MOVIMIENTOS_COMPLEMENTOS!$I$4:$I$803,MOVIMIENTOS_COMPLEMENTOS!$C$4:$C$803,A1274,MOVIMIENTOS_COMPLEMENTOS!$D$4:$D$803,B1274,MOVIMIENTOS_COMPLEMENTOS!$E$4:$E$803,C1274,MOVIMIENTOS_COMPLEMENTOS!$G$4:$G$803,E1274,MOVIMIENTOS_COMPLEMENTOS!$H$4:$H$803,G1274,MOVIMIENTOS_COMPLEMENTOS!$B$4:$B$803,"INGRESO")+SUMIFS(MOVIMIENTOS_COMPLEMENTOS!$I$4:$I$803,MOVIMIENTOS_COMPLEMENTOS!$C$4:$C$803,A1274,MOVIMIENTOS_COMPLEMENTOS!$D$4:$D$803,B1274,MOVIMIENTOS_COMPLEMENTOS!$E$4:$E$803,C1274,MOVIMIENTOS_COMPLEMENTOS!$G$4:$G$803,E1274,MOVIMIENTOS_COMPLEMENTOS!$H$4:$H$803,G1274,MOVIMIENTOS_COMPLEMENTOS!$B$4:$B$803,"DE CORTE")-SUMIFS(MOVIMIENTOS_COMPLEMENTOS!$I$4:$I$803,MOVIMIENTOS_COMPLEMENTOS!$C$4:$C$803,A1274,MOVIMIENTOS_COMPLEMENTOS!$D$4:$D$803,B1274,MOVIMIENTOS_COMPLEMENTOS!$E$4:$E$803,C1274,MOVIMIENTOS_COMPLEMENTOS!$G$4:$G$803,E1274,MOVIMIENTOS_COMPLEMENTOS!$H$4:$H$803,G1274,MOVIMIENTOS_COMPLEMENTOS!$B$4:$B$803,"SALIDA"),0)</f>
        <v>0</v>
      </c>
      <c r="I1274" s="102">
        <f t="array" ref="I1274">IFERROR(INDEX(PRECIOS_COMPLEMENTOS!$C$4:$F$17,MATCH(B1274&amp;"_"&amp;C1274,PRECIOS_COMPLEMENTOS!$H$4:$H$17,0),IF(OR(G1274="S",G1274="20cm"),1,IF(OR(G1274="M",G1274="25cm"),2,IF(OR(G1274="L",G1274="30cm"),3,IF(OR(G1274="XL",G1274="35cm"),4,0))))),0)</f>
        <v>0.3</v>
      </c>
      <c r="J1274" s="103">
        <f t="shared" si="1"/>
        <v>0</v>
      </c>
      <c r="K1274" s="104" t="str">
        <f>IF(H1274&lt;0,"ERROR",IF(H1274=0,"",IF(H1274&lt;CONFIG!$B$4,"CRÍTICO",IF(H1274&lt;CONFIG!$B$5,"BAJO","OK"))))</f>
        <v/>
      </c>
    </row>
    <row r="1275" ht="15.75" hidden="1" customHeight="1">
      <c r="A1275" s="90" t="str">
        <f>IF(CLIENTES!A5="","",CLIENTES!A5)</f>
        <v>Bravos</v>
      </c>
      <c r="B1275" s="90" t="s">
        <v>324</v>
      </c>
      <c r="C1275" s="91" t="s">
        <v>322</v>
      </c>
      <c r="D1275" s="109" t="s">
        <v>353</v>
      </c>
      <c r="E1275" s="67" t="str">
        <f>COLORES!A19</f>
        <v/>
      </c>
      <c r="F1275" s="67" t="str">
        <f>COLORES!B19</f>
        <v/>
      </c>
      <c r="G1275" s="90" t="s">
        <v>377</v>
      </c>
      <c r="H1275" s="100">
        <f>IFERROR(SUMIFS(MOVIMIENTOS_COMPLEMENTOS!$I$4:$I$803,MOVIMIENTOS_COMPLEMENTOS!$C$4:$C$803,A1275,MOVIMIENTOS_COMPLEMENTOS!$D$4:$D$803,B1275,MOVIMIENTOS_COMPLEMENTOS!$E$4:$E$803,C1275,MOVIMIENTOS_COMPLEMENTOS!$G$4:$G$803,E1275,MOVIMIENTOS_COMPLEMENTOS!$H$4:$H$803,G1275,MOVIMIENTOS_COMPLEMENTOS!$B$4:$B$803,"INGRESO")+SUMIFS(MOVIMIENTOS_COMPLEMENTOS!$I$4:$I$803,MOVIMIENTOS_COMPLEMENTOS!$C$4:$C$803,A1275,MOVIMIENTOS_COMPLEMENTOS!$D$4:$D$803,B1275,MOVIMIENTOS_COMPLEMENTOS!$E$4:$E$803,C1275,MOVIMIENTOS_COMPLEMENTOS!$G$4:$G$803,E1275,MOVIMIENTOS_COMPLEMENTOS!$H$4:$H$803,G1275,MOVIMIENTOS_COMPLEMENTOS!$B$4:$B$803,"DE CORTE")-SUMIFS(MOVIMIENTOS_COMPLEMENTOS!$I$4:$I$803,MOVIMIENTOS_COMPLEMENTOS!$C$4:$C$803,A1275,MOVIMIENTOS_COMPLEMENTOS!$D$4:$D$803,B1275,MOVIMIENTOS_COMPLEMENTOS!$E$4:$E$803,C1275,MOVIMIENTOS_COMPLEMENTOS!$G$4:$G$803,E1275,MOVIMIENTOS_COMPLEMENTOS!$H$4:$H$803,G1275,MOVIMIENTOS_COMPLEMENTOS!$B$4:$B$803,"SALIDA"),0)</f>
        <v>0</v>
      </c>
      <c r="I1275" s="102">
        <f t="array" ref="I1275">IFERROR(INDEX(PRECIOS_COMPLEMENTOS!$C$4:$F$17,MATCH(B1275&amp;"_"&amp;C1275,PRECIOS_COMPLEMENTOS!$H$4:$H$17,0),IF(OR(G1275="S",G1275="20cm"),1,IF(OR(G1275="M",G1275="25cm"),2,IF(OR(G1275="L",G1275="30cm"),3,IF(OR(G1275="XL",G1275="35cm"),4,0))))),0)</f>
        <v>0.35</v>
      </c>
      <c r="J1275" s="103">
        <f t="shared" si="1"/>
        <v>0</v>
      </c>
      <c r="K1275" s="104" t="str">
        <f>IF(H1275&lt;0,"ERROR",IF(H1275=0,"",IF(H1275&lt;CONFIG!$B$4,"CRÍTICO",IF(H1275&lt;CONFIG!$B$5,"BAJO","OK"))))</f>
        <v/>
      </c>
    </row>
    <row r="1276" ht="15.75" hidden="1" customHeight="1">
      <c r="A1276" s="90" t="str">
        <f>IF(CLIENTES!A5="","",CLIENTES!A5)</f>
        <v>Bravos</v>
      </c>
      <c r="B1276" s="90" t="s">
        <v>324</v>
      </c>
      <c r="C1276" s="91" t="s">
        <v>322</v>
      </c>
      <c r="D1276" s="109" t="s">
        <v>353</v>
      </c>
      <c r="E1276" s="67" t="str">
        <f>COLORES!A20</f>
        <v/>
      </c>
      <c r="F1276" s="67" t="str">
        <f>COLORES!B20</f>
        <v/>
      </c>
      <c r="G1276" s="90" t="s">
        <v>376</v>
      </c>
      <c r="H1276" s="100">
        <f>IFERROR(SUMIFS(MOVIMIENTOS_COMPLEMENTOS!$I$4:$I$803,MOVIMIENTOS_COMPLEMENTOS!$C$4:$C$803,A1276,MOVIMIENTOS_COMPLEMENTOS!$D$4:$D$803,B1276,MOVIMIENTOS_COMPLEMENTOS!$E$4:$E$803,C1276,MOVIMIENTOS_COMPLEMENTOS!$G$4:$G$803,E1276,MOVIMIENTOS_COMPLEMENTOS!$H$4:$H$803,G1276,MOVIMIENTOS_COMPLEMENTOS!$B$4:$B$803,"INGRESO")+SUMIFS(MOVIMIENTOS_COMPLEMENTOS!$I$4:$I$803,MOVIMIENTOS_COMPLEMENTOS!$C$4:$C$803,A1276,MOVIMIENTOS_COMPLEMENTOS!$D$4:$D$803,B1276,MOVIMIENTOS_COMPLEMENTOS!$E$4:$E$803,C1276,MOVIMIENTOS_COMPLEMENTOS!$G$4:$G$803,E1276,MOVIMIENTOS_COMPLEMENTOS!$H$4:$H$803,G1276,MOVIMIENTOS_COMPLEMENTOS!$B$4:$B$803,"DE CORTE")-SUMIFS(MOVIMIENTOS_COMPLEMENTOS!$I$4:$I$803,MOVIMIENTOS_COMPLEMENTOS!$C$4:$C$803,A1276,MOVIMIENTOS_COMPLEMENTOS!$D$4:$D$803,B1276,MOVIMIENTOS_COMPLEMENTOS!$E$4:$E$803,C1276,MOVIMIENTOS_COMPLEMENTOS!$G$4:$G$803,E1276,MOVIMIENTOS_COMPLEMENTOS!$H$4:$H$803,G1276,MOVIMIENTOS_COMPLEMENTOS!$B$4:$B$803,"SALIDA"),0)</f>
        <v>0</v>
      </c>
      <c r="I1276" s="102">
        <f t="array" ref="I1276">IFERROR(INDEX(PRECIOS_COMPLEMENTOS!$C$4:$F$17,MATCH(B1276&amp;"_"&amp;C1276,PRECIOS_COMPLEMENTOS!$H$4:$H$17,0),IF(OR(G1276="S",G1276="20cm"),1,IF(OR(G1276="M",G1276="25cm"),2,IF(OR(G1276="L",G1276="30cm"),3,IF(OR(G1276="XL",G1276="35cm"),4,0))))),0)</f>
        <v>0.3</v>
      </c>
      <c r="J1276" s="103">
        <f t="shared" si="1"/>
        <v>0</v>
      </c>
      <c r="K1276" s="104" t="str">
        <f>IF(H1276&lt;0,"ERROR",IF(H1276=0,"",IF(H1276&lt;CONFIG!$B$4,"CRÍTICO",IF(H1276&lt;CONFIG!$B$5,"BAJO","OK"))))</f>
        <v/>
      </c>
    </row>
    <row r="1277" ht="15.75" hidden="1" customHeight="1">
      <c r="A1277" s="90" t="str">
        <f>IF(CLIENTES!A5="","",CLIENTES!A5)</f>
        <v>Bravos</v>
      </c>
      <c r="B1277" s="90" t="s">
        <v>324</v>
      </c>
      <c r="C1277" s="91" t="s">
        <v>322</v>
      </c>
      <c r="D1277" s="109" t="s">
        <v>353</v>
      </c>
      <c r="E1277" s="67" t="str">
        <f>COLORES!A20</f>
        <v/>
      </c>
      <c r="F1277" s="67" t="str">
        <f>COLORES!B20</f>
        <v/>
      </c>
      <c r="G1277" s="90" t="s">
        <v>377</v>
      </c>
      <c r="H1277" s="100">
        <f>IFERROR(SUMIFS(MOVIMIENTOS_COMPLEMENTOS!$I$4:$I$803,MOVIMIENTOS_COMPLEMENTOS!$C$4:$C$803,A1277,MOVIMIENTOS_COMPLEMENTOS!$D$4:$D$803,B1277,MOVIMIENTOS_COMPLEMENTOS!$E$4:$E$803,C1277,MOVIMIENTOS_COMPLEMENTOS!$G$4:$G$803,E1277,MOVIMIENTOS_COMPLEMENTOS!$H$4:$H$803,G1277,MOVIMIENTOS_COMPLEMENTOS!$B$4:$B$803,"INGRESO")+SUMIFS(MOVIMIENTOS_COMPLEMENTOS!$I$4:$I$803,MOVIMIENTOS_COMPLEMENTOS!$C$4:$C$803,A1277,MOVIMIENTOS_COMPLEMENTOS!$D$4:$D$803,B1277,MOVIMIENTOS_COMPLEMENTOS!$E$4:$E$803,C1277,MOVIMIENTOS_COMPLEMENTOS!$G$4:$G$803,E1277,MOVIMIENTOS_COMPLEMENTOS!$H$4:$H$803,G1277,MOVIMIENTOS_COMPLEMENTOS!$B$4:$B$803,"DE CORTE")-SUMIFS(MOVIMIENTOS_COMPLEMENTOS!$I$4:$I$803,MOVIMIENTOS_COMPLEMENTOS!$C$4:$C$803,A1277,MOVIMIENTOS_COMPLEMENTOS!$D$4:$D$803,B1277,MOVIMIENTOS_COMPLEMENTOS!$E$4:$E$803,C1277,MOVIMIENTOS_COMPLEMENTOS!$G$4:$G$803,E1277,MOVIMIENTOS_COMPLEMENTOS!$H$4:$H$803,G1277,MOVIMIENTOS_COMPLEMENTOS!$B$4:$B$803,"SALIDA"),0)</f>
        <v>0</v>
      </c>
      <c r="I1277" s="102">
        <f t="array" ref="I1277">IFERROR(INDEX(PRECIOS_COMPLEMENTOS!$C$4:$F$17,MATCH(B1277&amp;"_"&amp;C1277,PRECIOS_COMPLEMENTOS!$H$4:$H$17,0),IF(OR(G1277="S",G1277="20cm"),1,IF(OR(G1277="M",G1277="25cm"),2,IF(OR(G1277="L",G1277="30cm"),3,IF(OR(G1277="XL",G1277="35cm"),4,0))))),0)</f>
        <v>0.35</v>
      </c>
      <c r="J1277" s="103">
        <f t="shared" si="1"/>
        <v>0</v>
      </c>
      <c r="K1277" s="104" t="str">
        <f>IF(H1277&lt;0,"ERROR",IF(H1277=0,"",IF(H1277&lt;CONFIG!$B$4,"CRÍTICO",IF(H1277&lt;CONFIG!$B$5,"BAJO","OK"))))</f>
        <v/>
      </c>
    </row>
    <row r="1278" ht="15.75" hidden="1" customHeight="1">
      <c r="A1278" s="90" t="str">
        <f>IF(CLIENTES!A5="","",CLIENTES!A5)</f>
        <v>Bravos</v>
      </c>
      <c r="B1278" s="90" t="s">
        <v>324</v>
      </c>
      <c r="C1278" s="91" t="s">
        <v>322</v>
      </c>
      <c r="D1278" s="109" t="s">
        <v>353</v>
      </c>
      <c r="E1278" s="67" t="str">
        <f>COLORES!A21</f>
        <v/>
      </c>
      <c r="F1278" s="67" t="str">
        <f>COLORES!B21</f>
        <v/>
      </c>
      <c r="G1278" s="90" t="s">
        <v>376</v>
      </c>
      <c r="H1278" s="100">
        <f>IFERROR(SUMIFS(MOVIMIENTOS_COMPLEMENTOS!$I$4:$I$803,MOVIMIENTOS_COMPLEMENTOS!$C$4:$C$803,A1278,MOVIMIENTOS_COMPLEMENTOS!$D$4:$D$803,B1278,MOVIMIENTOS_COMPLEMENTOS!$E$4:$E$803,C1278,MOVIMIENTOS_COMPLEMENTOS!$G$4:$G$803,E1278,MOVIMIENTOS_COMPLEMENTOS!$H$4:$H$803,G1278,MOVIMIENTOS_COMPLEMENTOS!$B$4:$B$803,"INGRESO")+SUMIFS(MOVIMIENTOS_COMPLEMENTOS!$I$4:$I$803,MOVIMIENTOS_COMPLEMENTOS!$C$4:$C$803,A1278,MOVIMIENTOS_COMPLEMENTOS!$D$4:$D$803,B1278,MOVIMIENTOS_COMPLEMENTOS!$E$4:$E$803,C1278,MOVIMIENTOS_COMPLEMENTOS!$G$4:$G$803,E1278,MOVIMIENTOS_COMPLEMENTOS!$H$4:$H$803,G1278,MOVIMIENTOS_COMPLEMENTOS!$B$4:$B$803,"DE CORTE")-SUMIFS(MOVIMIENTOS_COMPLEMENTOS!$I$4:$I$803,MOVIMIENTOS_COMPLEMENTOS!$C$4:$C$803,A1278,MOVIMIENTOS_COMPLEMENTOS!$D$4:$D$803,B1278,MOVIMIENTOS_COMPLEMENTOS!$E$4:$E$803,C1278,MOVIMIENTOS_COMPLEMENTOS!$G$4:$G$803,E1278,MOVIMIENTOS_COMPLEMENTOS!$H$4:$H$803,G1278,MOVIMIENTOS_COMPLEMENTOS!$B$4:$B$803,"SALIDA"),0)</f>
        <v>0</v>
      </c>
      <c r="I1278" s="102">
        <f t="array" ref="I1278">IFERROR(INDEX(PRECIOS_COMPLEMENTOS!$C$4:$F$17,MATCH(B1278&amp;"_"&amp;C1278,PRECIOS_COMPLEMENTOS!$H$4:$H$17,0),IF(OR(G1278="S",G1278="20cm"),1,IF(OR(G1278="M",G1278="25cm"),2,IF(OR(G1278="L",G1278="30cm"),3,IF(OR(G1278="XL",G1278="35cm"),4,0))))),0)</f>
        <v>0.3</v>
      </c>
      <c r="J1278" s="103">
        <f t="shared" si="1"/>
        <v>0</v>
      </c>
      <c r="K1278" s="104" t="str">
        <f>IF(H1278&lt;0,"ERROR",IF(H1278=0,"",IF(H1278&lt;CONFIG!$B$4,"CRÍTICO",IF(H1278&lt;CONFIG!$B$5,"BAJO","OK"))))</f>
        <v/>
      </c>
    </row>
    <row r="1279" ht="15.75" hidden="1" customHeight="1">
      <c r="A1279" s="90" t="str">
        <f>IF(CLIENTES!A5="","",CLIENTES!A5)</f>
        <v>Bravos</v>
      </c>
      <c r="B1279" s="90" t="s">
        <v>324</v>
      </c>
      <c r="C1279" s="91" t="s">
        <v>322</v>
      </c>
      <c r="D1279" s="109" t="s">
        <v>353</v>
      </c>
      <c r="E1279" s="67" t="str">
        <f>COLORES!A21</f>
        <v/>
      </c>
      <c r="F1279" s="67" t="str">
        <f>COLORES!B21</f>
        <v/>
      </c>
      <c r="G1279" s="90" t="s">
        <v>377</v>
      </c>
      <c r="H1279" s="100">
        <f>IFERROR(SUMIFS(MOVIMIENTOS_COMPLEMENTOS!$I$4:$I$803,MOVIMIENTOS_COMPLEMENTOS!$C$4:$C$803,A1279,MOVIMIENTOS_COMPLEMENTOS!$D$4:$D$803,B1279,MOVIMIENTOS_COMPLEMENTOS!$E$4:$E$803,C1279,MOVIMIENTOS_COMPLEMENTOS!$G$4:$G$803,E1279,MOVIMIENTOS_COMPLEMENTOS!$H$4:$H$803,G1279,MOVIMIENTOS_COMPLEMENTOS!$B$4:$B$803,"INGRESO")+SUMIFS(MOVIMIENTOS_COMPLEMENTOS!$I$4:$I$803,MOVIMIENTOS_COMPLEMENTOS!$C$4:$C$803,A1279,MOVIMIENTOS_COMPLEMENTOS!$D$4:$D$803,B1279,MOVIMIENTOS_COMPLEMENTOS!$E$4:$E$803,C1279,MOVIMIENTOS_COMPLEMENTOS!$G$4:$G$803,E1279,MOVIMIENTOS_COMPLEMENTOS!$H$4:$H$803,G1279,MOVIMIENTOS_COMPLEMENTOS!$B$4:$B$803,"DE CORTE")-SUMIFS(MOVIMIENTOS_COMPLEMENTOS!$I$4:$I$803,MOVIMIENTOS_COMPLEMENTOS!$C$4:$C$803,A1279,MOVIMIENTOS_COMPLEMENTOS!$D$4:$D$803,B1279,MOVIMIENTOS_COMPLEMENTOS!$E$4:$E$803,C1279,MOVIMIENTOS_COMPLEMENTOS!$G$4:$G$803,E1279,MOVIMIENTOS_COMPLEMENTOS!$H$4:$H$803,G1279,MOVIMIENTOS_COMPLEMENTOS!$B$4:$B$803,"SALIDA"),0)</f>
        <v>0</v>
      </c>
      <c r="I1279" s="102">
        <f t="array" ref="I1279">IFERROR(INDEX(PRECIOS_COMPLEMENTOS!$C$4:$F$17,MATCH(B1279&amp;"_"&amp;C1279,PRECIOS_COMPLEMENTOS!$H$4:$H$17,0),IF(OR(G1279="S",G1279="20cm"),1,IF(OR(G1279="M",G1279="25cm"),2,IF(OR(G1279="L",G1279="30cm"),3,IF(OR(G1279="XL",G1279="35cm"),4,0))))),0)</f>
        <v>0.35</v>
      </c>
      <c r="J1279" s="103">
        <f t="shared" si="1"/>
        <v>0</v>
      </c>
      <c r="K1279" s="104" t="str">
        <f>IF(H1279&lt;0,"ERROR",IF(H1279=0,"",IF(H1279&lt;CONFIG!$B$4,"CRÍTICO",IF(H1279&lt;CONFIG!$B$5,"BAJO","OK"))))</f>
        <v/>
      </c>
    </row>
    <row r="1280" ht="15.75" hidden="1" customHeight="1">
      <c r="A1280" s="90" t="str">
        <f>IF(CLIENTES!A5="","",CLIENTES!A5)</f>
        <v>Bravos</v>
      </c>
      <c r="B1280" s="90" t="s">
        <v>324</v>
      </c>
      <c r="C1280" s="91" t="s">
        <v>322</v>
      </c>
      <c r="D1280" s="109" t="s">
        <v>353</v>
      </c>
      <c r="E1280" s="67" t="str">
        <f>COLORES!A22</f>
        <v/>
      </c>
      <c r="F1280" s="67" t="str">
        <f>COLORES!B22</f>
        <v/>
      </c>
      <c r="G1280" s="90" t="s">
        <v>376</v>
      </c>
      <c r="H1280" s="100">
        <f>IFERROR(SUMIFS(MOVIMIENTOS_COMPLEMENTOS!$I$4:$I$803,MOVIMIENTOS_COMPLEMENTOS!$C$4:$C$803,A1280,MOVIMIENTOS_COMPLEMENTOS!$D$4:$D$803,B1280,MOVIMIENTOS_COMPLEMENTOS!$E$4:$E$803,C1280,MOVIMIENTOS_COMPLEMENTOS!$G$4:$G$803,E1280,MOVIMIENTOS_COMPLEMENTOS!$H$4:$H$803,G1280,MOVIMIENTOS_COMPLEMENTOS!$B$4:$B$803,"INGRESO")+SUMIFS(MOVIMIENTOS_COMPLEMENTOS!$I$4:$I$803,MOVIMIENTOS_COMPLEMENTOS!$C$4:$C$803,A1280,MOVIMIENTOS_COMPLEMENTOS!$D$4:$D$803,B1280,MOVIMIENTOS_COMPLEMENTOS!$E$4:$E$803,C1280,MOVIMIENTOS_COMPLEMENTOS!$G$4:$G$803,E1280,MOVIMIENTOS_COMPLEMENTOS!$H$4:$H$803,G1280,MOVIMIENTOS_COMPLEMENTOS!$B$4:$B$803,"DE CORTE")-SUMIFS(MOVIMIENTOS_COMPLEMENTOS!$I$4:$I$803,MOVIMIENTOS_COMPLEMENTOS!$C$4:$C$803,A1280,MOVIMIENTOS_COMPLEMENTOS!$D$4:$D$803,B1280,MOVIMIENTOS_COMPLEMENTOS!$E$4:$E$803,C1280,MOVIMIENTOS_COMPLEMENTOS!$G$4:$G$803,E1280,MOVIMIENTOS_COMPLEMENTOS!$H$4:$H$803,G1280,MOVIMIENTOS_COMPLEMENTOS!$B$4:$B$803,"SALIDA"),0)</f>
        <v>0</v>
      </c>
      <c r="I1280" s="102">
        <f t="array" ref="I1280">IFERROR(INDEX(PRECIOS_COMPLEMENTOS!$C$4:$F$17,MATCH(B1280&amp;"_"&amp;C1280,PRECIOS_COMPLEMENTOS!$H$4:$H$17,0),IF(OR(G1280="S",G1280="20cm"),1,IF(OR(G1280="M",G1280="25cm"),2,IF(OR(G1280="L",G1280="30cm"),3,IF(OR(G1280="XL",G1280="35cm"),4,0))))),0)</f>
        <v>0.3</v>
      </c>
      <c r="J1280" s="103">
        <f t="shared" si="1"/>
        <v>0</v>
      </c>
      <c r="K1280" s="104" t="str">
        <f>IF(H1280&lt;0,"ERROR",IF(H1280=0,"",IF(H1280&lt;CONFIG!$B$4,"CRÍTICO",IF(H1280&lt;CONFIG!$B$5,"BAJO","OK"))))</f>
        <v/>
      </c>
    </row>
    <row r="1281" ht="15.75" hidden="1" customHeight="1">
      <c r="A1281" s="90" t="str">
        <f>IF(CLIENTES!A5="","",CLIENTES!A5)</f>
        <v>Bravos</v>
      </c>
      <c r="B1281" s="90" t="s">
        <v>324</v>
      </c>
      <c r="C1281" s="91" t="s">
        <v>322</v>
      </c>
      <c r="D1281" s="109" t="s">
        <v>353</v>
      </c>
      <c r="E1281" s="67" t="str">
        <f>COLORES!A22</f>
        <v/>
      </c>
      <c r="F1281" s="67" t="str">
        <f>COLORES!B22</f>
        <v/>
      </c>
      <c r="G1281" s="90" t="s">
        <v>377</v>
      </c>
      <c r="H1281" s="100">
        <f>IFERROR(SUMIFS(MOVIMIENTOS_COMPLEMENTOS!$I$4:$I$803,MOVIMIENTOS_COMPLEMENTOS!$C$4:$C$803,A1281,MOVIMIENTOS_COMPLEMENTOS!$D$4:$D$803,B1281,MOVIMIENTOS_COMPLEMENTOS!$E$4:$E$803,C1281,MOVIMIENTOS_COMPLEMENTOS!$G$4:$G$803,E1281,MOVIMIENTOS_COMPLEMENTOS!$H$4:$H$803,G1281,MOVIMIENTOS_COMPLEMENTOS!$B$4:$B$803,"INGRESO")+SUMIFS(MOVIMIENTOS_COMPLEMENTOS!$I$4:$I$803,MOVIMIENTOS_COMPLEMENTOS!$C$4:$C$803,A1281,MOVIMIENTOS_COMPLEMENTOS!$D$4:$D$803,B1281,MOVIMIENTOS_COMPLEMENTOS!$E$4:$E$803,C1281,MOVIMIENTOS_COMPLEMENTOS!$G$4:$G$803,E1281,MOVIMIENTOS_COMPLEMENTOS!$H$4:$H$803,G1281,MOVIMIENTOS_COMPLEMENTOS!$B$4:$B$803,"DE CORTE")-SUMIFS(MOVIMIENTOS_COMPLEMENTOS!$I$4:$I$803,MOVIMIENTOS_COMPLEMENTOS!$C$4:$C$803,A1281,MOVIMIENTOS_COMPLEMENTOS!$D$4:$D$803,B1281,MOVIMIENTOS_COMPLEMENTOS!$E$4:$E$803,C1281,MOVIMIENTOS_COMPLEMENTOS!$G$4:$G$803,E1281,MOVIMIENTOS_COMPLEMENTOS!$H$4:$H$803,G1281,MOVIMIENTOS_COMPLEMENTOS!$B$4:$B$803,"SALIDA"),0)</f>
        <v>0</v>
      </c>
      <c r="I1281" s="102">
        <f t="array" ref="I1281">IFERROR(INDEX(PRECIOS_COMPLEMENTOS!$C$4:$F$17,MATCH(B1281&amp;"_"&amp;C1281,PRECIOS_COMPLEMENTOS!$H$4:$H$17,0),IF(OR(G1281="S",G1281="20cm"),1,IF(OR(G1281="M",G1281="25cm"),2,IF(OR(G1281="L",G1281="30cm"),3,IF(OR(G1281="XL",G1281="35cm"),4,0))))),0)</f>
        <v>0.35</v>
      </c>
      <c r="J1281" s="103">
        <f t="shared" si="1"/>
        <v>0</v>
      </c>
      <c r="K1281" s="104" t="str">
        <f>IF(H1281&lt;0,"ERROR",IF(H1281=0,"",IF(H1281&lt;CONFIG!$B$4,"CRÍTICO",IF(H1281&lt;CONFIG!$B$5,"BAJO","OK"))))</f>
        <v/>
      </c>
    </row>
    <row r="1282" ht="15.75" hidden="1" customHeight="1">
      <c r="A1282" s="90" t="str">
        <f>IF(CLIENTES!A5="","",CLIENTES!A5)</f>
        <v>Bravos</v>
      </c>
      <c r="B1282" s="90" t="s">
        <v>324</v>
      </c>
      <c r="C1282" s="91" t="s">
        <v>322</v>
      </c>
      <c r="D1282" s="109" t="s">
        <v>353</v>
      </c>
      <c r="E1282" s="67" t="str">
        <f>COLORES!A23</f>
        <v/>
      </c>
      <c r="F1282" s="67" t="str">
        <f>COLORES!B23</f>
        <v/>
      </c>
      <c r="G1282" s="90" t="s">
        <v>376</v>
      </c>
      <c r="H1282" s="100">
        <f>IFERROR(SUMIFS(MOVIMIENTOS_COMPLEMENTOS!$I$4:$I$803,MOVIMIENTOS_COMPLEMENTOS!$C$4:$C$803,A1282,MOVIMIENTOS_COMPLEMENTOS!$D$4:$D$803,B1282,MOVIMIENTOS_COMPLEMENTOS!$E$4:$E$803,C1282,MOVIMIENTOS_COMPLEMENTOS!$G$4:$G$803,E1282,MOVIMIENTOS_COMPLEMENTOS!$H$4:$H$803,G1282,MOVIMIENTOS_COMPLEMENTOS!$B$4:$B$803,"INGRESO")+SUMIFS(MOVIMIENTOS_COMPLEMENTOS!$I$4:$I$803,MOVIMIENTOS_COMPLEMENTOS!$C$4:$C$803,A1282,MOVIMIENTOS_COMPLEMENTOS!$D$4:$D$803,B1282,MOVIMIENTOS_COMPLEMENTOS!$E$4:$E$803,C1282,MOVIMIENTOS_COMPLEMENTOS!$G$4:$G$803,E1282,MOVIMIENTOS_COMPLEMENTOS!$H$4:$H$803,G1282,MOVIMIENTOS_COMPLEMENTOS!$B$4:$B$803,"DE CORTE")-SUMIFS(MOVIMIENTOS_COMPLEMENTOS!$I$4:$I$803,MOVIMIENTOS_COMPLEMENTOS!$C$4:$C$803,A1282,MOVIMIENTOS_COMPLEMENTOS!$D$4:$D$803,B1282,MOVIMIENTOS_COMPLEMENTOS!$E$4:$E$803,C1282,MOVIMIENTOS_COMPLEMENTOS!$G$4:$G$803,E1282,MOVIMIENTOS_COMPLEMENTOS!$H$4:$H$803,G1282,MOVIMIENTOS_COMPLEMENTOS!$B$4:$B$803,"SALIDA"),0)</f>
        <v>0</v>
      </c>
      <c r="I1282" s="102">
        <f t="array" ref="I1282">IFERROR(INDEX(PRECIOS_COMPLEMENTOS!$C$4:$F$17,MATCH(B1282&amp;"_"&amp;C1282,PRECIOS_COMPLEMENTOS!$H$4:$H$17,0),IF(OR(G1282="S",G1282="20cm"),1,IF(OR(G1282="M",G1282="25cm"),2,IF(OR(G1282="L",G1282="30cm"),3,IF(OR(G1282="XL",G1282="35cm"),4,0))))),0)</f>
        <v>0.3</v>
      </c>
      <c r="J1282" s="103">
        <f t="shared" si="1"/>
        <v>0</v>
      </c>
      <c r="K1282" s="104" t="str">
        <f>IF(H1282&lt;0,"ERROR",IF(H1282=0,"",IF(H1282&lt;CONFIG!$B$4,"CRÍTICO",IF(H1282&lt;CONFIG!$B$5,"BAJO","OK"))))</f>
        <v/>
      </c>
    </row>
    <row r="1283" ht="15.75" hidden="1" customHeight="1">
      <c r="A1283" s="90" t="str">
        <f>IF(CLIENTES!A5="","",CLIENTES!A5)</f>
        <v>Bravos</v>
      </c>
      <c r="B1283" s="90" t="s">
        <v>324</v>
      </c>
      <c r="C1283" s="91" t="s">
        <v>322</v>
      </c>
      <c r="D1283" s="109" t="s">
        <v>353</v>
      </c>
      <c r="E1283" s="67" t="str">
        <f>COLORES!A23</f>
        <v/>
      </c>
      <c r="F1283" s="67" t="str">
        <f>COLORES!B23</f>
        <v/>
      </c>
      <c r="G1283" s="90" t="s">
        <v>377</v>
      </c>
      <c r="H1283" s="100">
        <f>IFERROR(SUMIFS(MOVIMIENTOS_COMPLEMENTOS!$I$4:$I$803,MOVIMIENTOS_COMPLEMENTOS!$C$4:$C$803,A1283,MOVIMIENTOS_COMPLEMENTOS!$D$4:$D$803,B1283,MOVIMIENTOS_COMPLEMENTOS!$E$4:$E$803,C1283,MOVIMIENTOS_COMPLEMENTOS!$G$4:$G$803,E1283,MOVIMIENTOS_COMPLEMENTOS!$H$4:$H$803,G1283,MOVIMIENTOS_COMPLEMENTOS!$B$4:$B$803,"INGRESO")+SUMIFS(MOVIMIENTOS_COMPLEMENTOS!$I$4:$I$803,MOVIMIENTOS_COMPLEMENTOS!$C$4:$C$803,A1283,MOVIMIENTOS_COMPLEMENTOS!$D$4:$D$803,B1283,MOVIMIENTOS_COMPLEMENTOS!$E$4:$E$803,C1283,MOVIMIENTOS_COMPLEMENTOS!$G$4:$G$803,E1283,MOVIMIENTOS_COMPLEMENTOS!$H$4:$H$803,G1283,MOVIMIENTOS_COMPLEMENTOS!$B$4:$B$803,"DE CORTE")-SUMIFS(MOVIMIENTOS_COMPLEMENTOS!$I$4:$I$803,MOVIMIENTOS_COMPLEMENTOS!$C$4:$C$803,A1283,MOVIMIENTOS_COMPLEMENTOS!$D$4:$D$803,B1283,MOVIMIENTOS_COMPLEMENTOS!$E$4:$E$803,C1283,MOVIMIENTOS_COMPLEMENTOS!$G$4:$G$803,E1283,MOVIMIENTOS_COMPLEMENTOS!$H$4:$H$803,G1283,MOVIMIENTOS_COMPLEMENTOS!$B$4:$B$803,"SALIDA"),0)</f>
        <v>0</v>
      </c>
      <c r="I1283" s="102">
        <f t="array" ref="I1283">IFERROR(INDEX(PRECIOS_COMPLEMENTOS!$C$4:$F$17,MATCH(B1283&amp;"_"&amp;C1283,PRECIOS_COMPLEMENTOS!$H$4:$H$17,0),IF(OR(G1283="S",G1283="20cm"),1,IF(OR(G1283="M",G1283="25cm"),2,IF(OR(G1283="L",G1283="30cm"),3,IF(OR(G1283="XL",G1283="35cm"),4,0))))),0)</f>
        <v>0.35</v>
      </c>
      <c r="J1283" s="103">
        <f t="shared" si="1"/>
        <v>0</v>
      </c>
      <c r="K1283" s="104" t="str">
        <f>IF(H1283&lt;0,"ERROR",IF(H1283=0,"",IF(H1283&lt;CONFIG!$B$4,"CRÍTICO",IF(H1283&lt;CONFIG!$B$5,"BAJO","OK"))))</f>
        <v/>
      </c>
    </row>
    <row r="1284" ht="15.75" hidden="1" customHeight="1">
      <c r="A1284" s="90" t="str">
        <f>IF(CLIENTES!A6="","",CLIENTES!A6)</f>
        <v/>
      </c>
      <c r="B1284" s="90" t="s">
        <v>324</v>
      </c>
      <c r="C1284" s="91" t="s">
        <v>322</v>
      </c>
      <c r="D1284" s="109" t="s">
        <v>353</v>
      </c>
      <c r="E1284" s="67" t="str">
        <f>COLORES!A4</f>
        <v>Negro</v>
      </c>
      <c r="F1284" s="67" t="str">
        <f>COLORES!B4</f>
        <v>OSCURO</v>
      </c>
      <c r="G1284" s="90" t="s">
        <v>376</v>
      </c>
      <c r="H1284" s="100">
        <f>IFERROR(SUMIFS(MOVIMIENTOS_COMPLEMENTOS!$I$4:$I$803,MOVIMIENTOS_COMPLEMENTOS!$C$4:$C$803,A1284,MOVIMIENTOS_COMPLEMENTOS!$D$4:$D$803,B1284,MOVIMIENTOS_COMPLEMENTOS!$E$4:$E$803,C1284,MOVIMIENTOS_COMPLEMENTOS!$G$4:$G$803,E1284,MOVIMIENTOS_COMPLEMENTOS!$H$4:$H$803,G1284,MOVIMIENTOS_COMPLEMENTOS!$B$4:$B$803,"INGRESO")+SUMIFS(MOVIMIENTOS_COMPLEMENTOS!$I$4:$I$803,MOVIMIENTOS_COMPLEMENTOS!$C$4:$C$803,A1284,MOVIMIENTOS_COMPLEMENTOS!$D$4:$D$803,B1284,MOVIMIENTOS_COMPLEMENTOS!$E$4:$E$803,C1284,MOVIMIENTOS_COMPLEMENTOS!$G$4:$G$803,E1284,MOVIMIENTOS_COMPLEMENTOS!$H$4:$H$803,G1284,MOVIMIENTOS_COMPLEMENTOS!$B$4:$B$803,"DE CORTE")-SUMIFS(MOVIMIENTOS_COMPLEMENTOS!$I$4:$I$803,MOVIMIENTOS_COMPLEMENTOS!$C$4:$C$803,A1284,MOVIMIENTOS_COMPLEMENTOS!$D$4:$D$803,B1284,MOVIMIENTOS_COMPLEMENTOS!$E$4:$E$803,C1284,MOVIMIENTOS_COMPLEMENTOS!$G$4:$G$803,E1284,MOVIMIENTOS_COMPLEMENTOS!$H$4:$H$803,G1284,MOVIMIENTOS_COMPLEMENTOS!$B$4:$B$803,"SALIDA"),0)</f>
        <v>0</v>
      </c>
      <c r="I1284" s="102">
        <f t="array" ref="I1284">IFERROR(INDEX(PRECIOS_COMPLEMENTOS!$C$4:$F$17,MATCH(B1284&amp;"_"&amp;C1284,PRECIOS_COMPLEMENTOS!$H$4:$H$17,0),IF(OR(G1284="S",G1284="20cm"),1,IF(OR(G1284="M",G1284="25cm"),2,IF(OR(G1284="L",G1284="30cm"),3,IF(OR(G1284="XL",G1284="35cm"),4,0))))),0)</f>
        <v>0.3</v>
      </c>
      <c r="J1284" s="103">
        <f t="shared" si="1"/>
        <v>0</v>
      </c>
      <c r="K1284" s="104" t="str">
        <f>IF(H1284&lt;0,"ERROR",IF(H1284=0,"",IF(H1284&lt;CONFIG!$B$4,"CRÍTICO",IF(H1284&lt;CONFIG!$B$5,"BAJO","OK"))))</f>
        <v/>
      </c>
    </row>
    <row r="1285" ht="15.75" hidden="1" customHeight="1">
      <c r="A1285" s="90" t="str">
        <f>IF(CLIENTES!A6="","",CLIENTES!A6)</f>
        <v/>
      </c>
      <c r="B1285" s="90" t="s">
        <v>324</v>
      </c>
      <c r="C1285" s="91" t="s">
        <v>322</v>
      </c>
      <c r="D1285" s="109" t="s">
        <v>353</v>
      </c>
      <c r="E1285" s="67" t="str">
        <f>COLORES!A4</f>
        <v>Negro</v>
      </c>
      <c r="F1285" s="67" t="str">
        <f>COLORES!B4</f>
        <v>OSCURO</v>
      </c>
      <c r="G1285" s="90" t="s">
        <v>377</v>
      </c>
      <c r="H1285" s="100">
        <f>IFERROR(SUMIFS(MOVIMIENTOS_COMPLEMENTOS!$I$4:$I$803,MOVIMIENTOS_COMPLEMENTOS!$C$4:$C$803,A1285,MOVIMIENTOS_COMPLEMENTOS!$D$4:$D$803,B1285,MOVIMIENTOS_COMPLEMENTOS!$E$4:$E$803,C1285,MOVIMIENTOS_COMPLEMENTOS!$G$4:$G$803,E1285,MOVIMIENTOS_COMPLEMENTOS!$H$4:$H$803,G1285,MOVIMIENTOS_COMPLEMENTOS!$B$4:$B$803,"INGRESO")+SUMIFS(MOVIMIENTOS_COMPLEMENTOS!$I$4:$I$803,MOVIMIENTOS_COMPLEMENTOS!$C$4:$C$803,A1285,MOVIMIENTOS_COMPLEMENTOS!$D$4:$D$803,B1285,MOVIMIENTOS_COMPLEMENTOS!$E$4:$E$803,C1285,MOVIMIENTOS_COMPLEMENTOS!$G$4:$G$803,E1285,MOVIMIENTOS_COMPLEMENTOS!$H$4:$H$803,G1285,MOVIMIENTOS_COMPLEMENTOS!$B$4:$B$803,"DE CORTE")-SUMIFS(MOVIMIENTOS_COMPLEMENTOS!$I$4:$I$803,MOVIMIENTOS_COMPLEMENTOS!$C$4:$C$803,A1285,MOVIMIENTOS_COMPLEMENTOS!$D$4:$D$803,B1285,MOVIMIENTOS_COMPLEMENTOS!$E$4:$E$803,C1285,MOVIMIENTOS_COMPLEMENTOS!$G$4:$G$803,E1285,MOVIMIENTOS_COMPLEMENTOS!$H$4:$H$803,G1285,MOVIMIENTOS_COMPLEMENTOS!$B$4:$B$803,"SALIDA"),0)</f>
        <v>0</v>
      </c>
      <c r="I1285" s="102">
        <f t="array" ref="I1285">IFERROR(INDEX(PRECIOS_COMPLEMENTOS!$C$4:$F$17,MATCH(B1285&amp;"_"&amp;C1285,PRECIOS_COMPLEMENTOS!$H$4:$H$17,0),IF(OR(G1285="S",G1285="20cm"),1,IF(OR(G1285="M",G1285="25cm"),2,IF(OR(G1285="L",G1285="30cm"),3,IF(OR(G1285="XL",G1285="35cm"),4,0))))),0)</f>
        <v>0.35</v>
      </c>
      <c r="J1285" s="103">
        <f t="shared" si="1"/>
        <v>0</v>
      </c>
      <c r="K1285" s="104" t="str">
        <f>IF(H1285&lt;0,"ERROR",IF(H1285=0,"",IF(H1285&lt;CONFIG!$B$4,"CRÍTICO",IF(H1285&lt;CONFIG!$B$5,"BAJO","OK"))))</f>
        <v/>
      </c>
    </row>
    <row r="1286" ht="15.75" hidden="1" customHeight="1">
      <c r="A1286" s="90" t="str">
        <f>IF(CLIENTES!A6="","",CLIENTES!A6)</f>
        <v/>
      </c>
      <c r="B1286" s="90" t="s">
        <v>324</v>
      </c>
      <c r="C1286" s="91" t="s">
        <v>322</v>
      </c>
      <c r="D1286" s="109" t="s">
        <v>353</v>
      </c>
      <c r="E1286" s="67" t="str">
        <f>COLORES!A5</f>
        <v>Perla</v>
      </c>
      <c r="F1286" s="67" t="str">
        <f>COLORES!B5</f>
        <v>PPT</v>
      </c>
      <c r="G1286" s="90" t="s">
        <v>376</v>
      </c>
      <c r="H1286" s="100">
        <f>IFERROR(SUMIFS(MOVIMIENTOS_COMPLEMENTOS!$I$4:$I$803,MOVIMIENTOS_COMPLEMENTOS!$C$4:$C$803,A1286,MOVIMIENTOS_COMPLEMENTOS!$D$4:$D$803,B1286,MOVIMIENTOS_COMPLEMENTOS!$E$4:$E$803,C1286,MOVIMIENTOS_COMPLEMENTOS!$G$4:$G$803,E1286,MOVIMIENTOS_COMPLEMENTOS!$H$4:$H$803,G1286,MOVIMIENTOS_COMPLEMENTOS!$B$4:$B$803,"INGRESO")+SUMIFS(MOVIMIENTOS_COMPLEMENTOS!$I$4:$I$803,MOVIMIENTOS_COMPLEMENTOS!$C$4:$C$803,A1286,MOVIMIENTOS_COMPLEMENTOS!$D$4:$D$803,B1286,MOVIMIENTOS_COMPLEMENTOS!$E$4:$E$803,C1286,MOVIMIENTOS_COMPLEMENTOS!$G$4:$G$803,E1286,MOVIMIENTOS_COMPLEMENTOS!$H$4:$H$803,G1286,MOVIMIENTOS_COMPLEMENTOS!$B$4:$B$803,"DE CORTE")-SUMIFS(MOVIMIENTOS_COMPLEMENTOS!$I$4:$I$803,MOVIMIENTOS_COMPLEMENTOS!$C$4:$C$803,A1286,MOVIMIENTOS_COMPLEMENTOS!$D$4:$D$803,B1286,MOVIMIENTOS_COMPLEMENTOS!$E$4:$E$803,C1286,MOVIMIENTOS_COMPLEMENTOS!$G$4:$G$803,E1286,MOVIMIENTOS_COMPLEMENTOS!$H$4:$H$803,G1286,MOVIMIENTOS_COMPLEMENTOS!$B$4:$B$803,"SALIDA"),0)</f>
        <v>0</v>
      </c>
      <c r="I1286" s="102">
        <f t="array" ref="I1286">IFERROR(INDEX(PRECIOS_COMPLEMENTOS!$C$4:$F$17,MATCH(B1286&amp;"_"&amp;C1286,PRECIOS_COMPLEMENTOS!$H$4:$H$17,0),IF(OR(G1286="S",G1286="20cm"),1,IF(OR(G1286="M",G1286="25cm"),2,IF(OR(G1286="L",G1286="30cm"),3,IF(OR(G1286="XL",G1286="35cm"),4,0))))),0)</f>
        <v>0.3</v>
      </c>
      <c r="J1286" s="103">
        <f t="shared" si="1"/>
        <v>0</v>
      </c>
      <c r="K1286" s="104" t="str">
        <f>IF(H1286&lt;0,"ERROR",IF(H1286=0,"",IF(H1286&lt;CONFIG!$B$4,"CRÍTICO",IF(H1286&lt;CONFIG!$B$5,"BAJO","OK"))))</f>
        <v/>
      </c>
    </row>
    <row r="1287" ht="15.75" hidden="1" customHeight="1">
      <c r="A1287" s="90" t="str">
        <f>IF(CLIENTES!A6="","",CLIENTES!A6)</f>
        <v/>
      </c>
      <c r="B1287" s="90" t="s">
        <v>324</v>
      </c>
      <c r="C1287" s="91" t="s">
        <v>322</v>
      </c>
      <c r="D1287" s="109" t="s">
        <v>353</v>
      </c>
      <c r="E1287" s="67" t="str">
        <f>COLORES!A5</f>
        <v>Perla</v>
      </c>
      <c r="F1287" s="67" t="str">
        <f>COLORES!B5</f>
        <v>PPT</v>
      </c>
      <c r="G1287" s="90" t="s">
        <v>377</v>
      </c>
      <c r="H1287" s="100">
        <f>IFERROR(SUMIFS(MOVIMIENTOS_COMPLEMENTOS!$I$4:$I$803,MOVIMIENTOS_COMPLEMENTOS!$C$4:$C$803,A1287,MOVIMIENTOS_COMPLEMENTOS!$D$4:$D$803,B1287,MOVIMIENTOS_COMPLEMENTOS!$E$4:$E$803,C1287,MOVIMIENTOS_COMPLEMENTOS!$G$4:$G$803,E1287,MOVIMIENTOS_COMPLEMENTOS!$H$4:$H$803,G1287,MOVIMIENTOS_COMPLEMENTOS!$B$4:$B$803,"INGRESO")+SUMIFS(MOVIMIENTOS_COMPLEMENTOS!$I$4:$I$803,MOVIMIENTOS_COMPLEMENTOS!$C$4:$C$803,A1287,MOVIMIENTOS_COMPLEMENTOS!$D$4:$D$803,B1287,MOVIMIENTOS_COMPLEMENTOS!$E$4:$E$803,C1287,MOVIMIENTOS_COMPLEMENTOS!$G$4:$G$803,E1287,MOVIMIENTOS_COMPLEMENTOS!$H$4:$H$803,G1287,MOVIMIENTOS_COMPLEMENTOS!$B$4:$B$803,"DE CORTE")-SUMIFS(MOVIMIENTOS_COMPLEMENTOS!$I$4:$I$803,MOVIMIENTOS_COMPLEMENTOS!$C$4:$C$803,A1287,MOVIMIENTOS_COMPLEMENTOS!$D$4:$D$803,B1287,MOVIMIENTOS_COMPLEMENTOS!$E$4:$E$803,C1287,MOVIMIENTOS_COMPLEMENTOS!$G$4:$G$803,E1287,MOVIMIENTOS_COMPLEMENTOS!$H$4:$H$803,G1287,MOVIMIENTOS_COMPLEMENTOS!$B$4:$B$803,"SALIDA"),0)</f>
        <v>0</v>
      </c>
      <c r="I1287" s="102">
        <f t="array" ref="I1287">IFERROR(INDEX(PRECIOS_COMPLEMENTOS!$C$4:$F$17,MATCH(B1287&amp;"_"&amp;C1287,PRECIOS_COMPLEMENTOS!$H$4:$H$17,0),IF(OR(G1287="S",G1287="20cm"),1,IF(OR(G1287="M",G1287="25cm"),2,IF(OR(G1287="L",G1287="30cm"),3,IF(OR(G1287="XL",G1287="35cm"),4,0))))),0)</f>
        <v>0.35</v>
      </c>
      <c r="J1287" s="103">
        <f t="shared" si="1"/>
        <v>0</v>
      </c>
      <c r="K1287" s="104" t="str">
        <f>IF(H1287&lt;0,"ERROR",IF(H1287=0,"",IF(H1287&lt;CONFIG!$B$4,"CRÍTICO",IF(H1287&lt;CONFIG!$B$5,"BAJO","OK"))))</f>
        <v/>
      </c>
    </row>
    <row r="1288" ht="15.75" hidden="1" customHeight="1">
      <c r="A1288" s="90" t="str">
        <f>IF(CLIENTES!A6="","",CLIENTES!A6)</f>
        <v/>
      </c>
      <c r="B1288" s="90" t="s">
        <v>324</v>
      </c>
      <c r="C1288" s="91" t="s">
        <v>322</v>
      </c>
      <c r="D1288" s="109" t="s">
        <v>353</v>
      </c>
      <c r="E1288" s="67" t="str">
        <f>COLORES!A6</f>
        <v>Blanco</v>
      </c>
      <c r="F1288" s="67" t="str">
        <f>COLORES!B6</f>
        <v>PPT</v>
      </c>
      <c r="G1288" s="90" t="s">
        <v>376</v>
      </c>
      <c r="H1288" s="100">
        <f>IFERROR(SUMIFS(MOVIMIENTOS_COMPLEMENTOS!$I$4:$I$803,MOVIMIENTOS_COMPLEMENTOS!$C$4:$C$803,A1288,MOVIMIENTOS_COMPLEMENTOS!$D$4:$D$803,B1288,MOVIMIENTOS_COMPLEMENTOS!$E$4:$E$803,C1288,MOVIMIENTOS_COMPLEMENTOS!$G$4:$G$803,E1288,MOVIMIENTOS_COMPLEMENTOS!$H$4:$H$803,G1288,MOVIMIENTOS_COMPLEMENTOS!$B$4:$B$803,"INGRESO")+SUMIFS(MOVIMIENTOS_COMPLEMENTOS!$I$4:$I$803,MOVIMIENTOS_COMPLEMENTOS!$C$4:$C$803,A1288,MOVIMIENTOS_COMPLEMENTOS!$D$4:$D$803,B1288,MOVIMIENTOS_COMPLEMENTOS!$E$4:$E$803,C1288,MOVIMIENTOS_COMPLEMENTOS!$G$4:$G$803,E1288,MOVIMIENTOS_COMPLEMENTOS!$H$4:$H$803,G1288,MOVIMIENTOS_COMPLEMENTOS!$B$4:$B$803,"DE CORTE")-SUMIFS(MOVIMIENTOS_COMPLEMENTOS!$I$4:$I$803,MOVIMIENTOS_COMPLEMENTOS!$C$4:$C$803,A1288,MOVIMIENTOS_COMPLEMENTOS!$D$4:$D$803,B1288,MOVIMIENTOS_COMPLEMENTOS!$E$4:$E$803,C1288,MOVIMIENTOS_COMPLEMENTOS!$G$4:$G$803,E1288,MOVIMIENTOS_COMPLEMENTOS!$H$4:$H$803,G1288,MOVIMIENTOS_COMPLEMENTOS!$B$4:$B$803,"SALIDA"),0)</f>
        <v>0</v>
      </c>
      <c r="I1288" s="102">
        <f t="array" ref="I1288">IFERROR(INDEX(PRECIOS_COMPLEMENTOS!$C$4:$F$17,MATCH(B1288&amp;"_"&amp;C1288,PRECIOS_COMPLEMENTOS!$H$4:$H$17,0),IF(OR(G1288="S",G1288="20cm"),1,IF(OR(G1288="M",G1288="25cm"),2,IF(OR(G1288="L",G1288="30cm"),3,IF(OR(G1288="XL",G1288="35cm"),4,0))))),0)</f>
        <v>0.3</v>
      </c>
      <c r="J1288" s="103">
        <f t="shared" si="1"/>
        <v>0</v>
      </c>
      <c r="K1288" s="104" t="str">
        <f>IF(H1288&lt;0,"ERROR",IF(H1288=0,"",IF(H1288&lt;CONFIG!$B$4,"CRÍTICO",IF(H1288&lt;CONFIG!$B$5,"BAJO","OK"))))</f>
        <v/>
      </c>
    </row>
    <row r="1289" ht="15.75" hidden="1" customHeight="1">
      <c r="A1289" s="90" t="str">
        <f>IF(CLIENTES!A6="","",CLIENTES!A6)</f>
        <v/>
      </c>
      <c r="B1289" s="90" t="s">
        <v>324</v>
      </c>
      <c r="C1289" s="91" t="s">
        <v>322</v>
      </c>
      <c r="D1289" s="109" t="s">
        <v>353</v>
      </c>
      <c r="E1289" s="67" t="str">
        <f>COLORES!A6</f>
        <v>Blanco</v>
      </c>
      <c r="F1289" s="67" t="str">
        <f>COLORES!B6</f>
        <v>PPT</v>
      </c>
      <c r="G1289" s="90" t="s">
        <v>377</v>
      </c>
      <c r="H1289" s="100">
        <f>IFERROR(SUMIFS(MOVIMIENTOS_COMPLEMENTOS!$I$4:$I$803,MOVIMIENTOS_COMPLEMENTOS!$C$4:$C$803,A1289,MOVIMIENTOS_COMPLEMENTOS!$D$4:$D$803,B1289,MOVIMIENTOS_COMPLEMENTOS!$E$4:$E$803,C1289,MOVIMIENTOS_COMPLEMENTOS!$G$4:$G$803,E1289,MOVIMIENTOS_COMPLEMENTOS!$H$4:$H$803,G1289,MOVIMIENTOS_COMPLEMENTOS!$B$4:$B$803,"INGRESO")+SUMIFS(MOVIMIENTOS_COMPLEMENTOS!$I$4:$I$803,MOVIMIENTOS_COMPLEMENTOS!$C$4:$C$803,A1289,MOVIMIENTOS_COMPLEMENTOS!$D$4:$D$803,B1289,MOVIMIENTOS_COMPLEMENTOS!$E$4:$E$803,C1289,MOVIMIENTOS_COMPLEMENTOS!$G$4:$G$803,E1289,MOVIMIENTOS_COMPLEMENTOS!$H$4:$H$803,G1289,MOVIMIENTOS_COMPLEMENTOS!$B$4:$B$803,"DE CORTE")-SUMIFS(MOVIMIENTOS_COMPLEMENTOS!$I$4:$I$803,MOVIMIENTOS_COMPLEMENTOS!$C$4:$C$803,A1289,MOVIMIENTOS_COMPLEMENTOS!$D$4:$D$803,B1289,MOVIMIENTOS_COMPLEMENTOS!$E$4:$E$803,C1289,MOVIMIENTOS_COMPLEMENTOS!$G$4:$G$803,E1289,MOVIMIENTOS_COMPLEMENTOS!$H$4:$H$803,G1289,MOVIMIENTOS_COMPLEMENTOS!$B$4:$B$803,"SALIDA"),0)</f>
        <v>0</v>
      </c>
      <c r="I1289" s="102">
        <f t="array" ref="I1289">IFERROR(INDEX(PRECIOS_COMPLEMENTOS!$C$4:$F$17,MATCH(B1289&amp;"_"&amp;C1289,PRECIOS_COMPLEMENTOS!$H$4:$H$17,0),IF(OR(G1289="S",G1289="20cm"),1,IF(OR(G1289="M",G1289="25cm"),2,IF(OR(G1289="L",G1289="30cm"),3,IF(OR(G1289="XL",G1289="35cm"),4,0))))),0)</f>
        <v>0.35</v>
      </c>
      <c r="J1289" s="103">
        <f t="shared" si="1"/>
        <v>0</v>
      </c>
      <c r="K1289" s="104" t="str">
        <f>IF(H1289&lt;0,"ERROR",IF(H1289=0,"",IF(H1289&lt;CONFIG!$B$4,"CRÍTICO",IF(H1289&lt;CONFIG!$B$5,"BAJO","OK"))))</f>
        <v/>
      </c>
    </row>
    <row r="1290" ht="15.75" hidden="1" customHeight="1">
      <c r="A1290" s="90" t="str">
        <f>IF(CLIENTES!A6="","",CLIENTES!A6)</f>
        <v/>
      </c>
      <c r="B1290" s="90" t="s">
        <v>324</v>
      </c>
      <c r="C1290" s="91" t="s">
        <v>322</v>
      </c>
      <c r="D1290" s="109" t="s">
        <v>353</v>
      </c>
      <c r="E1290" s="67" t="str">
        <f>COLORES!A7</f>
        <v>Azul</v>
      </c>
      <c r="F1290" s="67" t="str">
        <f>COLORES!B7</f>
        <v>OSCURO</v>
      </c>
      <c r="G1290" s="90" t="s">
        <v>376</v>
      </c>
      <c r="H1290" s="100">
        <f>IFERROR(SUMIFS(MOVIMIENTOS_COMPLEMENTOS!$I$4:$I$803,MOVIMIENTOS_COMPLEMENTOS!$C$4:$C$803,A1290,MOVIMIENTOS_COMPLEMENTOS!$D$4:$D$803,B1290,MOVIMIENTOS_COMPLEMENTOS!$E$4:$E$803,C1290,MOVIMIENTOS_COMPLEMENTOS!$G$4:$G$803,E1290,MOVIMIENTOS_COMPLEMENTOS!$H$4:$H$803,G1290,MOVIMIENTOS_COMPLEMENTOS!$B$4:$B$803,"INGRESO")+SUMIFS(MOVIMIENTOS_COMPLEMENTOS!$I$4:$I$803,MOVIMIENTOS_COMPLEMENTOS!$C$4:$C$803,A1290,MOVIMIENTOS_COMPLEMENTOS!$D$4:$D$803,B1290,MOVIMIENTOS_COMPLEMENTOS!$E$4:$E$803,C1290,MOVIMIENTOS_COMPLEMENTOS!$G$4:$G$803,E1290,MOVIMIENTOS_COMPLEMENTOS!$H$4:$H$803,G1290,MOVIMIENTOS_COMPLEMENTOS!$B$4:$B$803,"DE CORTE")-SUMIFS(MOVIMIENTOS_COMPLEMENTOS!$I$4:$I$803,MOVIMIENTOS_COMPLEMENTOS!$C$4:$C$803,A1290,MOVIMIENTOS_COMPLEMENTOS!$D$4:$D$803,B1290,MOVIMIENTOS_COMPLEMENTOS!$E$4:$E$803,C1290,MOVIMIENTOS_COMPLEMENTOS!$G$4:$G$803,E1290,MOVIMIENTOS_COMPLEMENTOS!$H$4:$H$803,G1290,MOVIMIENTOS_COMPLEMENTOS!$B$4:$B$803,"SALIDA"),0)</f>
        <v>0</v>
      </c>
      <c r="I1290" s="102">
        <f t="array" ref="I1290">IFERROR(INDEX(PRECIOS_COMPLEMENTOS!$C$4:$F$17,MATCH(B1290&amp;"_"&amp;C1290,PRECIOS_COMPLEMENTOS!$H$4:$H$17,0),IF(OR(G1290="S",G1290="20cm"),1,IF(OR(G1290="M",G1290="25cm"),2,IF(OR(G1290="L",G1290="30cm"),3,IF(OR(G1290="XL",G1290="35cm"),4,0))))),0)</f>
        <v>0.3</v>
      </c>
      <c r="J1290" s="103">
        <f t="shared" si="1"/>
        <v>0</v>
      </c>
      <c r="K1290" s="104" t="str">
        <f>IF(H1290&lt;0,"ERROR",IF(H1290=0,"",IF(H1290&lt;CONFIG!$B$4,"CRÍTICO",IF(H1290&lt;CONFIG!$B$5,"BAJO","OK"))))</f>
        <v/>
      </c>
    </row>
    <row r="1291" ht="15.75" hidden="1" customHeight="1">
      <c r="A1291" s="90" t="str">
        <f>IF(CLIENTES!A6="","",CLIENTES!A6)</f>
        <v/>
      </c>
      <c r="B1291" s="90" t="s">
        <v>324</v>
      </c>
      <c r="C1291" s="91" t="s">
        <v>322</v>
      </c>
      <c r="D1291" s="109" t="s">
        <v>353</v>
      </c>
      <c r="E1291" s="67" t="str">
        <f>COLORES!A7</f>
        <v>Azul</v>
      </c>
      <c r="F1291" s="67" t="str">
        <f>COLORES!B7</f>
        <v>OSCURO</v>
      </c>
      <c r="G1291" s="90" t="s">
        <v>377</v>
      </c>
      <c r="H1291" s="100">
        <f>IFERROR(SUMIFS(MOVIMIENTOS_COMPLEMENTOS!$I$4:$I$803,MOVIMIENTOS_COMPLEMENTOS!$C$4:$C$803,A1291,MOVIMIENTOS_COMPLEMENTOS!$D$4:$D$803,B1291,MOVIMIENTOS_COMPLEMENTOS!$E$4:$E$803,C1291,MOVIMIENTOS_COMPLEMENTOS!$G$4:$G$803,E1291,MOVIMIENTOS_COMPLEMENTOS!$H$4:$H$803,G1291,MOVIMIENTOS_COMPLEMENTOS!$B$4:$B$803,"INGRESO")+SUMIFS(MOVIMIENTOS_COMPLEMENTOS!$I$4:$I$803,MOVIMIENTOS_COMPLEMENTOS!$C$4:$C$803,A1291,MOVIMIENTOS_COMPLEMENTOS!$D$4:$D$803,B1291,MOVIMIENTOS_COMPLEMENTOS!$E$4:$E$803,C1291,MOVIMIENTOS_COMPLEMENTOS!$G$4:$G$803,E1291,MOVIMIENTOS_COMPLEMENTOS!$H$4:$H$803,G1291,MOVIMIENTOS_COMPLEMENTOS!$B$4:$B$803,"DE CORTE")-SUMIFS(MOVIMIENTOS_COMPLEMENTOS!$I$4:$I$803,MOVIMIENTOS_COMPLEMENTOS!$C$4:$C$803,A1291,MOVIMIENTOS_COMPLEMENTOS!$D$4:$D$803,B1291,MOVIMIENTOS_COMPLEMENTOS!$E$4:$E$803,C1291,MOVIMIENTOS_COMPLEMENTOS!$G$4:$G$803,E1291,MOVIMIENTOS_COMPLEMENTOS!$H$4:$H$803,G1291,MOVIMIENTOS_COMPLEMENTOS!$B$4:$B$803,"SALIDA"),0)</f>
        <v>0</v>
      </c>
      <c r="I1291" s="102">
        <f t="array" ref="I1291">IFERROR(INDEX(PRECIOS_COMPLEMENTOS!$C$4:$F$17,MATCH(B1291&amp;"_"&amp;C1291,PRECIOS_COMPLEMENTOS!$H$4:$H$17,0),IF(OR(G1291="S",G1291="20cm"),1,IF(OR(G1291="M",G1291="25cm"),2,IF(OR(G1291="L",G1291="30cm"),3,IF(OR(G1291="XL",G1291="35cm"),4,0))))),0)</f>
        <v>0.35</v>
      </c>
      <c r="J1291" s="103">
        <f t="shared" si="1"/>
        <v>0</v>
      </c>
      <c r="K1291" s="104" t="str">
        <f>IF(H1291&lt;0,"ERROR",IF(H1291=0,"",IF(H1291&lt;CONFIG!$B$4,"CRÍTICO",IF(H1291&lt;CONFIG!$B$5,"BAJO","OK"))))</f>
        <v/>
      </c>
    </row>
    <row r="1292" ht="15.75" hidden="1" customHeight="1">
      <c r="A1292" s="90" t="str">
        <f>IF(CLIENTES!A6="","",CLIENTES!A6)</f>
        <v/>
      </c>
      <c r="B1292" s="90" t="s">
        <v>324</v>
      </c>
      <c r="C1292" s="91" t="s">
        <v>322</v>
      </c>
      <c r="D1292" s="109" t="s">
        <v>353</v>
      </c>
      <c r="E1292" s="67" t="str">
        <f>COLORES!A8</f>
        <v>Beige</v>
      </c>
      <c r="F1292" s="67" t="str">
        <f>COLORES!B8</f>
        <v>CLARO</v>
      </c>
      <c r="G1292" s="90" t="s">
        <v>376</v>
      </c>
      <c r="H1292" s="100">
        <f>IFERROR(SUMIFS(MOVIMIENTOS_COMPLEMENTOS!$I$4:$I$803,MOVIMIENTOS_COMPLEMENTOS!$C$4:$C$803,A1292,MOVIMIENTOS_COMPLEMENTOS!$D$4:$D$803,B1292,MOVIMIENTOS_COMPLEMENTOS!$E$4:$E$803,C1292,MOVIMIENTOS_COMPLEMENTOS!$G$4:$G$803,E1292,MOVIMIENTOS_COMPLEMENTOS!$H$4:$H$803,G1292,MOVIMIENTOS_COMPLEMENTOS!$B$4:$B$803,"INGRESO")+SUMIFS(MOVIMIENTOS_COMPLEMENTOS!$I$4:$I$803,MOVIMIENTOS_COMPLEMENTOS!$C$4:$C$803,A1292,MOVIMIENTOS_COMPLEMENTOS!$D$4:$D$803,B1292,MOVIMIENTOS_COMPLEMENTOS!$E$4:$E$803,C1292,MOVIMIENTOS_COMPLEMENTOS!$G$4:$G$803,E1292,MOVIMIENTOS_COMPLEMENTOS!$H$4:$H$803,G1292,MOVIMIENTOS_COMPLEMENTOS!$B$4:$B$803,"DE CORTE")-SUMIFS(MOVIMIENTOS_COMPLEMENTOS!$I$4:$I$803,MOVIMIENTOS_COMPLEMENTOS!$C$4:$C$803,A1292,MOVIMIENTOS_COMPLEMENTOS!$D$4:$D$803,B1292,MOVIMIENTOS_COMPLEMENTOS!$E$4:$E$803,C1292,MOVIMIENTOS_COMPLEMENTOS!$G$4:$G$803,E1292,MOVIMIENTOS_COMPLEMENTOS!$H$4:$H$803,G1292,MOVIMIENTOS_COMPLEMENTOS!$B$4:$B$803,"SALIDA"),0)</f>
        <v>0</v>
      </c>
      <c r="I1292" s="102">
        <f t="array" ref="I1292">IFERROR(INDEX(PRECIOS_COMPLEMENTOS!$C$4:$F$17,MATCH(B1292&amp;"_"&amp;C1292,PRECIOS_COMPLEMENTOS!$H$4:$H$17,0),IF(OR(G1292="S",G1292="20cm"),1,IF(OR(G1292="M",G1292="25cm"),2,IF(OR(G1292="L",G1292="30cm"),3,IF(OR(G1292="XL",G1292="35cm"),4,0))))),0)</f>
        <v>0.3</v>
      </c>
      <c r="J1292" s="103">
        <f t="shared" si="1"/>
        <v>0</v>
      </c>
      <c r="K1292" s="104" t="str">
        <f>IF(H1292&lt;0,"ERROR",IF(H1292=0,"",IF(H1292&lt;CONFIG!$B$4,"CRÍTICO",IF(H1292&lt;CONFIG!$B$5,"BAJO","OK"))))</f>
        <v/>
      </c>
    </row>
    <row r="1293" ht="15.75" hidden="1" customHeight="1">
      <c r="A1293" s="90" t="str">
        <f>IF(CLIENTES!A6="","",CLIENTES!A6)</f>
        <v/>
      </c>
      <c r="B1293" s="90" t="s">
        <v>324</v>
      </c>
      <c r="C1293" s="91" t="s">
        <v>322</v>
      </c>
      <c r="D1293" s="109" t="s">
        <v>353</v>
      </c>
      <c r="E1293" s="67" t="str">
        <f>COLORES!A8</f>
        <v>Beige</v>
      </c>
      <c r="F1293" s="67" t="str">
        <f>COLORES!B8</f>
        <v>CLARO</v>
      </c>
      <c r="G1293" s="90" t="s">
        <v>377</v>
      </c>
      <c r="H1293" s="100">
        <f>IFERROR(SUMIFS(MOVIMIENTOS_COMPLEMENTOS!$I$4:$I$803,MOVIMIENTOS_COMPLEMENTOS!$C$4:$C$803,A1293,MOVIMIENTOS_COMPLEMENTOS!$D$4:$D$803,B1293,MOVIMIENTOS_COMPLEMENTOS!$E$4:$E$803,C1293,MOVIMIENTOS_COMPLEMENTOS!$G$4:$G$803,E1293,MOVIMIENTOS_COMPLEMENTOS!$H$4:$H$803,G1293,MOVIMIENTOS_COMPLEMENTOS!$B$4:$B$803,"INGRESO")+SUMIFS(MOVIMIENTOS_COMPLEMENTOS!$I$4:$I$803,MOVIMIENTOS_COMPLEMENTOS!$C$4:$C$803,A1293,MOVIMIENTOS_COMPLEMENTOS!$D$4:$D$803,B1293,MOVIMIENTOS_COMPLEMENTOS!$E$4:$E$803,C1293,MOVIMIENTOS_COMPLEMENTOS!$G$4:$G$803,E1293,MOVIMIENTOS_COMPLEMENTOS!$H$4:$H$803,G1293,MOVIMIENTOS_COMPLEMENTOS!$B$4:$B$803,"DE CORTE")-SUMIFS(MOVIMIENTOS_COMPLEMENTOS!$I$4:$I$803,MOVIMIENTOS_COMPLEMENTOS!$C$4:$C$803,A1293,MOVIMIENTOS_COMPLEMENTOS!$D$4:$D$803,B1293,MOVIMIENTOS_COMPLEMENTOS!$E$4:$E$803,C1293,MOVIMIENTOS_COMPLEMENTOS!$G$4:$G$803,E1293,MOVIMIENTOS_COMPLEMENTOS!$H$4:$H$803,G1293,MOVIMIENTOS_COMPLEMENTOS!$B$4:$B$803,"SALIDA"),0)</f>
        <v>0</v>
      </c>
      <c r="I1293" s="102">
        <f t="array" ref="I1293">IFERROR(INDEX(PRECIOS_COMPLEMENTOS!$C$4:$F$17,MATCH(B1293&amp;"_"&amp;C1293,PRECIOS_COMPLEMENTOS!$H$4:$H$17,0),IF(OR(G1293="S",G1293="20cm"),1,IF(OR(G1293="M",G1293="25cm"),2,IF(OR(G1293="L",G1293="30cm"),3,IF(OR(G1293="XL",G1293="35cm"),4,0))))),0)</f>
        <v>0.35</v>
      </c>
      <c r="J1293" s="103">
        <f t="shared" si="1"/>
        <v>0</v>
      </c>
      <c r="K1293" s="104" t="str">
        <f>IF(H1293&lt;0,"ERROR",IF(H1293=0,"",IF(H1293&lt;CONFIG!$B$4,"CRÍTICO",IF(H1293&lt;CONFIG!$B$5,"BAJO","OK"))))</f>
        <v/>
      </c>
    </row>
    <row r="1294" ht="15.75" hidden="1" customHeight="1">
      <c r="A1294" s="90" t="str">
        <f>IF(CLIENTES!A6="","",CLIENTES!A6)</f>
        <v/>
      </c>
      <c r="B1294" s="90" t="s">
        <v>324</v>
      </c>
      <c r="C1294" s="91" t="s">
        <v>322</v>
      </c>
      <c r="D1294" s="109" t="s">
        <v>353</v>
      </c>
      <c r="E1294" s="67" t="str">
        <f>COLORES!A9</f>
        <v>Melange</v>
      </c>
      <c r="F1294" s="67" t="str">
        <f>COLORES!B9</f>
        <v>MELANGE</v>
      </c>
      <c r="G1294" s="90" t="s">
        <v>376</v>
      </c>
      <c r="H1294" s="100">
        <f>IFERROR(SUMIFS(MOVIMIENTOS_COMPLEMENTOS!$I$4:$I$803,MOVIMIENTOS_COMPLEMENTOS!$C$4:$C$803,A1294,MOVIMIENTOS_COMPLEMENTOS!$D$4:$D$803,B1294,MOVIMIENTOS_COMPLEMENTOS!$E$4:$E$803,C1294,MOVIMIENTOS_COMPLEMENTOS!$G$4:$G$803,E1294,MOVIMIENTOS_COMPLEMENTOS!$H$4:$H$803,G1294,MOVIMIENTOS_COMPLEMENTOS!$B$4:$B$803,"INGRESO")+SUMIFS(MOVIMIENTOS_COMPLEMENTOS!$I$4:$I$803,MOVIMIENTOS_COMPLEMENTOS!$C$4:$C$803,A1294,MOVIMIENTOS_COMPLEMENTOS!$D$4:$D$803,B1294,MOVIMIENTOS_COMPLEMENTOS!$E$4:$E$803,C1294,MOVIMIENTOS_COMPLEMENTOS!$G$4:$G$803,E1294,MOVIMIENTOS_COMPLEMENTOS!$H$4:$H$803,G1294,MOVIMIENTOS_COMPLEMENTOS!$B$4:$B$803,"DE CORTE")-SUMIFS(MOVIMIENTOS_COMPLEMENTOS!$I$4:$I$803,MOVIMIENTOS_COMPLEMENTOS!$C$4:$C$803,A1294,MOVIMIENTOS_COMPLEMENTOS!$D$4:$D$803,B1294,MOVIMIENTOS_COMPLEMENTOS!$E$4:$E$803,C1294,MOVIMIENTOS_COMPLEMENTOS!$G$4:$G$803,E1294,MOVIMIENTOS_COMPLEMENTOS!$H$4:$H$803,G1294,MOVIMIENTOS_COMPLEMENTOS!$B$4:$B$803,"SALIDA"),0)</f>
        <v>0</v>
      </c>
      <c r="I1294" s="102">
        <f t="array" ref="I1294">IFERROR(INDEX(PRECIOS_COMPLEMENTOS!$C$4:$F$17,MATCH(B1294&amp;"_"&amp;C1294,PRECIOS_COMPLEMENTOS!$H$4:$H$17,0),IF(OR(G1294="S",G1294="20cm"),1,IF(OR(G1294="M",G1294="25cm"),2,IF(OR(G1294="L",G1294="30cm"),3,IF(OR(G1294="XL",G1294="35cm"),4,0))))),0)</f>
        <v>0.3</v>
      </c>
      <c r="J1294" s="103">
        <f t="shared" si="1"/>
        <v>0</v>
      </c>
      <c r="K1294" s="104" t="str">
        <f>IF(H1294&lt;0,"ERROR",IF(H1294=0,"",IF(H1294&lt;CONFIG!$B$4,"CRÍTICO",IF(H1294&lt;CONFIG!$B$5,"BAJO","OK"))))</f>
        <v/>
      </c>
    </row>
    <row r="1295" ht="15.75" hidden="1" customHeight="1">
      <c r="A1295" s="90" t="str">
        <f>IF(CLIENTES!A6="","",CLIENTES!A6)</f>
        <v/>
      </c>
      <c r="B1295" s="90" t="s">
        <v>324</v>
      </c>
      <c r="C1295" s="91" t="s">
        <v>322</v>
      </c>
      <c r="D1295" s="109" t="s">
        <v>353</v>
      </c>
      <c r="E1295" s="67" t="str">
        <f>COLORES!A9</f>
        <v>Melange</v>
      </c>
      <c r="F1295" s="67" t="str">
        <f>COLORES!B9</f>
        <v>MELANGE</v>
      </c>
      <c r="G1295" s="90" t="s">
        <v>377</v>
      </c>
      <c r="H1295" s="100">
        <f>IFERROR(SUMIFS(MOVIMIENTOS_COMPLEMENTOS!$I$4:$I$803,MOVIMIENTOS_COMPLEMENTOS!$C$4:$C$803,A1295,MOVIMIENTOS_COMPLEMENTOS!$D$4:$D$803,B1295,MOVIMIENTOS_COMPLEMENTOS!$E$4:$E$803,C1295,MOVIMIENTOS_COMPLEMENTOS!$G$4:$G$803,E1295,MOVIMIENTOS_COMPLEMENTOS!$H$4:$H$803,G1295,MOVIMIENTOS_COMPLEMENTOS!$B$4:$B$803,"INGRESO")+SUMIFS(MOVIMIENTOS_COMPLEMENTOS!$I$4:$I$803,MOVIMIENTOS_COMPLEMENTOS!$C$4:$C$803,A1295,MOVIMIENTOS_COMPLEMENTOS!$D$4:$D$803,B1295,MOVIMIENTOS_COMPLEMENTOS!$E$4:$E$803,C1295,MOVIMIENTOS_COMPLEMENTOS!$G$4:$G$803,E1295,MOVIMIENTOS_COMPLEMENTOS!$H$4:$H$803,G1295,MOVIMIENTOS_COMPLEMENTOS!$B$4:$B$803,"DE CORTE")-SUMIFS(MOVIMIENTOS_COMPLEMENTOS!$I$4:$I$803,MOVIMIENTOS_COMPLEMENTOS!$C$4:$C$803,A1295,MOVIMIENTOS_COMPLEMENTOS!$D$4:$D$803,B1295,MOVIMIENTOS_COMPLEMENTOS!$E$4:$E$803,C1295,MOVIMIENTOS_COMPLEMENTOS!$G$4:$G$803,E1295,MOVIMIENTOS_COMPLEMENTOS!$H$4:$H$803,G1295,MOVIMIENTOS_COMPLEMENTOS!$B$4:$B$803,"SALIDA"),0)</f>
        <v>0</v>
      </c>
      <c r="I1295" s="102">
        <f t="array" ref="I1295">IFERROR(INDEX(PRECIOS_COMPLEMENTOS!$C$4:$F$17,MATCH(B1295&amp;"_"&amp;C1295,PRECIOS_COMPLEMENTOS!$H$4:$H$17,0),IF(OR(G1295="S",G1295="20cm"),1,IF(OR(G1295="M",G1295="25cm"),2,IF(OR(G1295="L",G1295="30cm"),3,IF(OR(G1295="XL",G1295="35cm"),4,0))))),0)</f>
        <v>0.35</v>
      </c>
      <c r="J1295" s="103">
        <f t="shared" si="1"/>
        <v>0</v>
      </c>
      <c r="K1295" s="104" t="str">
        <f>IF(H1295&lt;0,"ERROR",IF(H1295=0,"",IF(H1295&lt;CONFIG!$B$4,"CRÍTICO",IF(H1295&lt;CONFIG!$B$5,"BAJO","OK"))))</f>
        <v/>
      </c>
    </row>
    <row r="1296" ht="15.75" hidden="1" customHeight="1">
      <c r="A1296" s="90" t="str">
        <f>IF(CLIENTES!A6="","",CLIENTES!A6)</f>
        <v/>
      </c>
      <c r="B1296" s="90" t="s">
        <v>324</v>
      </c>
      <c r="C1296" s="91" t="s">
        <v>322</v>
      </c>
      <c r="D1296" s="109" t="s">
        <v>353</v>
      </c>
      <c r="E1296" s="67" t="str">
        <f>COLORES!A10</f>
        <v>Botella</v>
      </c>
      <c r="F1296" s="67" t="str">
        <f>COLORES!B10</f>
        <v>OSCURO</v>
      </c>
      <c r="G1296" s="90" t="s">
        <v>376</v>
      </c>
      <c r="H1296" s="100">
        <f>IFERROR(SUMIFS(MOVIMIENTOS_COMPLEMENTOS!$I$4:$I$803,MOVIMIENTOS_COMPLEMENTOS!$C$4:$C$803,A1296,MOVIMIENTOS_COMPLEMENTOS!$D$4:$D$803,B1296,MOVIMIENTOS_COMPLEMENTOS!$E$4:$E$803,C1296,MOVIMIENTOS_COMPLEMENTOS!$G$4:$G$803,E1296,MOVIMIENTOS_COMPLEMENTOS!$H$4:$H$803,G1296,MOVIMIENTOS_COMPLEMENTOS!$B$4:$B$803,"INGRESO")+SUMIFS(MOVIMIENTOS_COMPLEMENTOS!$I$4:$I$803,MOVIMIENTOS_COMPLEMENTOS!$C$4:$C$803,A1296,MOVIMIENTOS_COMPLEMENTOS!$D$4:$D$803,B1296,MOVIMIENTOS_COMPLEMENTOS!$E$4:$E$803,C1296,MOVIMIENTOS_COMPLEMENTOS!$G$4:$G$803,E1296,MOVIMIENTOS_COMPLEMENTOS!$H$4:$H$803,G1296,MOVIMIENTOS_COMPLEMENTOS!$B$4:$B$803,"DE CORTE")-SUMIFS(MOVIMIENTOS_COMPLEMENTOS!$I$4:$I$803,MOVIMIENTOS_COMPLEMENTOS!$C$4:$C$803,A1296,MOVIMIENTOS_COMPLEMENTOS!$D$4:$D$803,B1296,MOVIMIENTOS_COMPLEMENTOS!$E$4:$E$803,C1296,MOVIMIENTOS_COMPLEMENTOS!$G$4:$G$803,E1296,MOVIMIENTOS_COMPLEMENTOS!$H$4:$H$803,G1296,MOVIMIENTOS_COMPLEMENTOS!$B$4:$B$803,"SALIDA"),0)</f>
        <v>0</v>
      </c>
      <c r="I1296" s="102">
        <f t="array" ref="I1296">IFERROR(INDEX(PRECIOS_COMPLEMENTOS!$C$4:$F$17,MATCH(B1296&amp;"_"&amp;C1296,PRECIOS_COMPLEMENTOS!$H$4:$H$17,0),IF(OR(G1296="S",G1296="20cm"),1,IF(OR(G1296="M",G1296="25cm"),2,IF(OR(G1296="L",G1296="30cm"),3,IF(OR(G1296="XL",G1296="35cm"),4,0))))),0)</f>
        <v>0.3</v>
      </c>
      <c r="J1296" s="103">
        <f t="shared" si="1"/>
        <v>0</v>
      </c>
      <c r="K1296" s="104" t="str">
        <f>IF(H1296&lt;0,"ERROR",IF(H1296=0,"",IF(H1296&lt;CONFIG!$B$4,"CRÍTICO",IF(H1296&lt;CONFIG!$B$5,"BAJO","OK"))))</f>
        <v/>
      </c>
    </row>
    <row r="1297" ht="15.75" hidden="1" customHeight="1">
      <c r="A1297" s="90" t="str">
        <f>IF(CLIENTES!A6="","",CLIENTES!A6)</f>
        <v/>
      </c>
      <c r="B1297" s="90" t="s">
        <v>324</v>
      </c>
      <c r="C1297" s="91" t="s">
        <v>322</v>
      </c>
      <c r="D1297" s="109" t="s">
        <v>353</v>
      </c>
      <c r="E1297" s="67" t="str">
        <f>COLORES!A10</f>
        <v>Botella</v>
      </c>
      <c r="F1297" s="67" t="str">
        <f>COLORES!B10</f>
        <v>OSCURO</v>
      </c>
      <c r="G1297" s="90" t="s">
        <v>377</v>
      </c>
      <c r="H1297" s="100">
        <f>IFERROR(SUMIFS(MOVIMIENTOS_COMPLEMENTOS!$I$4:$I$803,MOVIMIENTOS_COMPLEMENTOS!$C$4:$C$803,A1297,MOVIMIENTOS_COMPLEMENTOS!$D$4:$D$803,B1297,MOVIMIENTOS_COMPLEMENTOS!$E$4:$E$803,C1297,MOVIMIENTOS_COMPLEMENTOS!$G$4:$G$803,E1297,MOVIMIENTOS_COMPLEMENTOS!$H$4:$H$803,G1297,MOVIMIENTOS_COMPLEMENTOS!$B$4:$B$803,"INGRESO")+SUMIFS(MOVIMIENTOS_COMPLEMENTOS!$I$4:$I$803,MOVIMIENTOS_COMPLEMENTOS!$C$4:$C$803,A1297,MOVIMIENTOS_COMPLEMENTOS!$D$4:$D$803,B1297,MOVIMIENTOS_COMPLEMENTOS!$E$4:$E$803,C1297,MOVIMIENTOS_COMPLEMENTOS!$G$4:$G$803,E1297,MOVIMIENTOS_COMPLEMENTOS!$H$4:$H$803,G1297,MOVIMIENTOS_COMPLEMENTOS!$B$4:$B$803,"DE CORTE")-SUMIFS(MOVIMIENTOS_COMPLEMENTOS!$I$4:$I$803,MOVIMIENTOS_COMPLEMENTOS!$C$4:$C$803,A1297,MOVIMIENTOS_COMPLEMENTOS!$D$4:$D$803,B1297,MOVIMIENTOS_COMPLEMENTOS!$E$4:$E$803,C1297,MOVIMIENTOS_COMPLEMENTOS!$G$4:$G$803,E1297,MOVIMIENTOS_COMPLEMENTOS!$H$4:$H$803,G1297,MOVIMIENTOS_COMPLEMENTOS!$B$4:$B$803,"SALIDA"),0)</f>
        <v>0</v>
      </c>
      <c r="I1297" s="102">
        <f t="array" ref="I1297">IFERROR(INDEX(PRECIOS_COMPLEMENTOS!$C$4:$F$17,MATCH(B1297&amp;"_"&amp;C1297,PRECIOS_COMPLEMENTOS!$H$4:$H$17,0),IF(OR(G1297="S",G1297="20cm"),1,IF(OR(G1297="M",G1297="25cm"),2,IF(OR(G1297="L",G1297="30cm"),3,IF(OR(G1297="XL",G1297="35cm"),4,0))))),0)</f>
        <v>0.35</v>
      </c>
      <c r="J1297" s="103">
        <f t="shared" si="1"/>
        <v>0</v>
      </c>
      <c r="K1297" s="104" t="str">
        <f>IF(H1297&lt;0,"ERROR",IF(H1297=0,"",IF(H1297&lt;CONFIG!$B$4,"CRÍTICO",IF(H1297&lt;CONFIG!$B$5,"BAJO","OK"))))</f>
        <v/>
      </c>
    </row>
    <row r="1298" ht="15.75" hidden="1" customHeight="1">
      <c r="A1298" s="90" t="str">
        <f>IF(CLIENTES!A6="","",CLIENTES!A6)</f>
        <v/>
      </c>
      <c r="B1298" s="90" t="s">
        <v>324</v>
      </c>
      <c r="C1298" s="91" t="s">
        <v>322</v>
      </c>
      <c r="D1298" s="109" t="s">
        <v>353</v>
      </c>
      <c r="E1298" s="67" t="str">
        <f>COLORES!A11</f>
        <v>Pacay</v>
      </c>
      <c r="F1298" s="67" t="str">
        <f>COLORES!B11</f>
        <v>CLARO</v>
      </c>
      <c r="G1298" s="90" t="s">
        <v>376</v>
      </c>
      <c r="H1298" s="100">
        <f>IFERROR(SUMIFS(MOVIMIENTOS_COMPLEMENTOS!$I$4:$I$803,MOVIMIENTOS_COMPLEMENTOS!$C$4:$C$803,A1298,MOVIMIENTOS_COMPLEMENTOS!$D$4:$D$803,B1298,MOVIMIENTOS_COMPLEMENTOS!$E$4:$E$803,C1298,MOVIMIENTOS_COMPLEMENTOS!$G$4:$G$803,E1298,MOVIMIENTOS_COMPLEMENTOS!$H$4:$H$803,G1298,MOVIMIENTOS_COMPLEMENTOS!$B$4:$B$803,"INGRESO")+SUMIFS(MOVIMIENTOS_COMPLEMENTOS!$I$4:$I$803,MOVIMIENTOS_COMPLEMENTOS!$C$4:$C$803,A1298,MOVIMIENTOS_COMPLEMENTOS!$D$4:$D$803,B1298,MOVIMIENTOS_COMPLEMENTOS!$E$4:$E$803,C1298,MOVIMIENTOS_COMPLEMENTOS!$G$4:$G$803,E1298,MOVIMIENTOS_COMPLEMENTOS!$H$4:$H$803,G1298,MOVIMIENTOS_COMPLEMENTOS!$B$4:$B$803,"DE CORTE")-SUMIFS(MOVIMIENTOS_COMPLEMENTOS!$I$4:$I$803,MOVIMIENTOS_COMPLEMENTOS!$C$4:$C$803,A1298,MOVIMIENTOS_COMPLEMENTOS!$D$4:$D$803,B1298,MOVIMIENTOS_COMPLEMENTOS!$E$4:$E$803,C1298,MOVIMIENTOS_COMPLEMENTOS!$G$4:$G$803,E1298,MOVIMIENTOS_COMPLEMENTOS!$H$4:$H$803,G1298,MOVIMIENTOS_COMPLEMENTOS!$B$4:$B$803,"SALIDA"),0)</f>
        <v>0</v>
      </c>
      <c r="I1298" s="102">
        <f t="array" ref="I1298">IFERROR(INDEX(PRECIOS_COMPLEMENTOS!$C$4:$F$17,MATCH(B1298&amp;"_"&amp;C1298,PRECIOS_COMPLEMENTOS!$H$4:$H$17,0),IF(OR(G1298="S",G1298="20cm"),1,IF(OR(G1298="M",G1298="25cm"),2,IF(OR(G1298="L",G1298="30cm"),3,IF(OR(G1298="XL",G1298="35cm"),4,0))))),0)</f>
        <v>0.3</v>
      </c>
      <c r="J1298" s="103">
        <f t="shared" si="1"/>
        <v>0</v>
      </c>
      <c r="K1298" s="104" t="str">
        <f>IF(H1298&lt;0,"ERROR",IF(H1298=0,"",IF(H1298&lt;CONFIG!$B$4,"CRÍTICO",IF(H1298&lt;CONFIG!$B$5,"BAJO","OK"))))</f>
        <v/>
      </c>
    </row>
    <row r="1299" ht="15.75" hidden="1" customHeight="1">
      <c r="A1299" s="90" t="str">
        <f>IF(CLIENTES!A6="","",CLIENTES!A6)</f>
        <v/>
      </c>
      <c r="B1299" s="90" t="s">
        <v>324</v>
      </c>
      <c r="C1299" s="91" t="s">
        <v>322</v>
      </c>
      <c r="D1299" s="109" t="s">
        <v>353</v>
      </c>
      <c r="E1299" s="67" t="str">
        <f>COLORES!A11</f>
        <v>Pacay</v>
      </c>
      <c r="F1299" s="67" t="str">
        <f>COLORES!B11</f>
        <v>CLARO</v>
      </c>
      <c r="G1299" s="90" t="s">
        <v>377</v>
      </c>
      <c r="H1299" s="100">
        <f>IFERROR(SUMIFS(MOVIMIENTOS_COMPLEMENTOS!$I$4:$I$803,MOVIMIENTOS_COMPLEMENTOS!$C$4:$C$803,A1299,MOVIMIENTOS_COMPLEMENTOS!$D$4:$D$803,B1299,MOVIMIENTOS_COMPLEMENTOS!$E$4:$E$803,C1299,MOVIMIENTOS_COMPLEMENTOS!$G$4:$G$803,E1299,MOVIMIENTOS_COMPLEMENTOS!$H$4:$H$803,G1299,MOVIMIENTOS_COMPLEMENTOS!$B$4:$B$803,"INGRESO")+SUMIFS(MOVIMIENTOS_COMPLEMENTOS!$I$4:$I$803,MOVIMIENTOS_COMPLEMENTOS!$C$4:$C$803,A1299,MOVIMIENTOS_COMPLEMENTOS!$D$4:$D$803,B1299,MOVIMIENTOS_COMPLEMENTOS!$E$4:$E$803,C1299,MOVIMIENTOS_COMPLEMENTOS!$G$4:$G$803,E1299,MOVIMIENTOS_COMPLEMENTOS!$H$4:$H$803,G1299,MOVIMIENTOS_COMPLEMENTOS!$B$4:$B$803,"DE CORTE")-SUMIFS(MOVIMIENTOS_COMPLEMENTOS!$I$4:$I$803,MOVIMIENTOS_COMPLEMENTOS!$C$4:$C$803,A1299,MOVIMIENTOS_COMPLEMENTOS!$D$4:$D$803,B1299,MOVIMIENTOS_COMPLEMENTOS!$E$4:$E$803,C1299,MOVIMIENTOS_COMPLEMENTOS!$G$4:$G$803,E1299,MOVIMIENTOS_COMPLEMENTOS!$H$4:$H$803,G1299,MOVIMIENTOS_COMPLEMENTOS!$B$4:$B$803,"SALIDA"),0)</f>
        <v>0</v>
      </c>
      <c r="I1299" s="102">
        <f t="array" ref="I1299">IFERROR(INDEX(PRECIOS_COMPLEMENTOS!$C$4:$F$17,MATCH(B1299&amp;"_"&amp;C1299,PRECIOS_COMPLEMENTOS!$H$4:$H$17,0),IF(OR(G1299="S",G1299="20cm"),1,IF(OR(G1299="M",G1299="25cm"),2,IF(OR(G1299="L",G1299="30cm"),3,IF(OR(G1299="XL",G1299="35cm"),4,0))))),0)</f>
        <v>0.35</v>
      </c>
      <c r="J1299" s="103">
        <f t="shared" si="1"/>
        <v>0</v>
      </c>
      <c r="K1299" s="104" t="str">
        <f>IF(H1299&lt;0,"ERROR",IF(H1299=0,"",IF(H1299&lt;CONFIG!$B$4,"CRÍTICO",IF(H1299&lt;CONFIG!$B$5,"BAJO","OK"))))</f>
        <v/>
      </c>
    </row>
    <row r="1300" ht="15.75" hidden="1" customHeight="1">
      <c r="A1300" s="90" t="str">
        <f>IF(CLIENTES!A6="","",CLIENTES!A6)</f>
        <v/>
      </c>
      <c r="B1300" s="90" t="s">
        <v>324</v>
      </c>
      <c r="C1300" s="91" t="s">
        <v>322</v>
      </c>
      <c r="D1300" s="109" t="s">
        <v>353</v>
      </c>
      <c r="E1300" s="67" t="str">
        <f>COLORES!A12</f>
        <v>Cemento</v>
      </c>
      <c r="F1300" s="67" t="str">
        <f>COLORES!B12</f>
        <v>CLARO</v>
      </c>
      <c r="G1300" s="90" t="s">
        <v>376</v>
      </c>
      <c r="H1300" s="100">
        <f>IFERROR(SUMIFS(MOVIMIENTOS_COMPLEMENTOS!$I$4:$I$803,MOVIMIENTOS_COMPLEMENTOS!$C$4:$C$803,A1300,MOVIMIENTOS_COMPLEMENTOS!$D$4:$D$803,B1300,MOVIMIENTOS_COMPLEMENTOS!$E$4:$E$803,C1300,MOVIMIENTOS_COMPLEMENTOS!$G$4:$G$803,E1300,MOVIMIENTOS_COMPLEMENTOS!$H$4:$H$803,G1300,MOVIMIENTOS_COMPLEMENTOS!$B$4:$B$803,"INGRESO")+SUMIFS(MOVIMIENTOS_COMPLEMENTOS!$I$4:$I$803,MOVIMIENTOS_COMPLEMENTOS!$C$4:$C$803,A1300,MOVIMIENTOS_COMPLEMENTOS!$D$4:$D$803,B1300,MOVIMIENTOS_COMPLEMENTOS!$E$4:$E$803,C1300,MOVIMIENTOS_COMPLEMENTOS!$G$4:$G$803,E1300,MOVIMIENTOS_COMPLEMENTOS!$H$4:$H$803,G1300,MOVIMIENTOS_COMPLEMENTOS!$B$4:$B$803,"DE CORTE")-SUMIFS(MOVIMIENTOS_COMPLEMENTOS!$I$4:$I$803,MOVIMIENTOS_COMPLEMENTOS!$C$4:$C$803,A1300,MOVIMIENTOS_COMPLEMENTOS!$D$4:$D$803,B1300,MOVIMIENTOS_COMPLEMENTOS!$E$4:$E$803,C1300,MOVIMIENTOS_COMPLEMENTOS!$G$4:$G$803,E1300,MOVIMIENTOS_COMPLEMENTOS!$H$4:$H$803,G1300,MOVIMIENTOS_COMPLEMENTOS!$B$4:$B$803,"SALIDA"),0)</f>
        <v>0</v>
      </c>
      <c r="I1300" s="102">
        <f t="array" ref="I1300">IFERROR(INDEX(PRECIOS_COMPLEMENTOS!$C$4:$F$17,MATCH(B1300&amp;"_"&amp;C1300,PRECIOS_COMPLEMENTOS!$H$4:$H$17,0),IF(OR(G1300="S",G1300="20cm"),1,IF(OR(G1300="M",G1300="25cm"),2,IF(OR(G1300="L",G1300="30cm"),3,IF(OR(G1300="XL",G1300="35cm"),4,0))))),0)</f>
        <v>0.3</v>
      </c>
      <c r="J1300" s="103">
        <f t="shared" si="1"/>
        <v>0</v>
      </c>
      <c r="K1300" s="104" t="str">
        <f>IF(H1300&lt;0,"ERROR",IF(H1300=0,"",IF(H1300&lt;CONFIG!$B$4,"CRÍTICO",IF(H1300&lt;CONFIG!$B$5,"BAJO","OK"))))</f>
        <v/>
      </c>
    </row>
    <row r="1301" ht="15.75" hidden="1" customHeight="1">
      <c r="A1301" s="90" t="str">
        <f>IF(CLIENTES!A6="","",CLIENTES!A6)</f>
        <v/>
      </c>
      <c r="B1301" s="90" t="s">
        <v>324</v>
      </c>
      <c r="C1301" s="91" t="s">
        <v>322</v>
      </c>
      <c r="D1301" s="109" t="s">
        <v>353</v>
      </c>
      <c r="E1301" s="67" t="str">
        <f>COLORES!A12</f>
        <v>Cemento</v>
      </c>
      <c r="F1301" s="67" t="str">
        <f>COLORES!B12</f>
        <v>CLARO</v>
      </c>
      <c r="G1301" s="90" t="s">
        <v>377</v>
      </c>
      <c r="H1301" s="100">
        <f>IFERROR(SUMIFS(MOVIMIENTOS_COMPLEMENTOS!$I$4:$I$803,MOVIMIENTOS_COMPLEMENTOS!$C$4:$C$803,A1301,MOVIMIENTOS_COMPLEMENTOS!$D$4:$D$803,B1301,MOVIMIENTOS_COMPLEMENTOS!$E$4:$E$803,C1301,MOVIMIENTOS_COMPLEMENTOS!$G$4:$G$803,E1301,MOVIMIENTOS_COMPLEMENTOS!$H$4:$H$803,G1301,MOVIMIENTOS_COMPLEMENTOS!$B$4:$B$803,"INGRESO")+SUMIFS(MOVIMIENTOS_COMPLEMENTOS!$I$4:$I$803,MOVIMIENTOS_COMPLEMENTOS!$C$4:$C$803,A1301,MOVIMIENTOS_COMPLEMENTOS!$D$4:$D$803,B1301,MOVIMIENTOS_COMPLEMENTOS!$E$4:$E$803,C1301,MOVIMIENTOS_COMPLEMENTOS!$G$4:$G$803,E1301,MOVIMIENTOS_COMPLEMENTOS!$H$4:$H$803,G1301,MOVIMIENTOS_COMPLEMENTOS!$B$4:$B$803,"DE CORTE")-SUMIFS(MOVIMIENTOS_COMPLEMENTOS!$I$4:$I$803,MOVIMIENTOS_COMPLEMENTOS!$C$4:$C$803,A1301,MOVIMIENTOS_COMPLEMENTOS!$D$4:$D$803,B1301,MOVIMIENTOS_COMPLEMENTOS!$E$4:$E$803,C1301,MOVIMIENTOS_COMPLEMENTOS!$G$4:$G$803,E1301,MOVIMIENTOS_COMPLEMENTOS!$H$4:$H$803,G1301,MOVIMIENTOS_COMPLEMENTOS!$B$4:$B$803,"SALIDA"),0)</f>
        <v>0</v>
      </c>
      <c r="I1301" s="102">
        <f t="array" ref="I1301">IFERROR(INDEX(PRECIOS_COMPLEMENTOS!$C$4:$F$17,MATCH(B1301&amp;"_"&amp;C1301,PRECIOS_COMPLEMENTOS!$H$4:$H$17,0),IF(OR(G1301="S",G1301="20cm"),1,IF(OR(G1301="M",G1301="25cm"),2,IF(OR(G1301="L",G1301="30cm"),3,IF(OR(G1301="XL",G1301="35cm"),4,0))))),0)</f>
        <v>0.35</v>
      </c>
      <c r="J1301" s="103">
        <f t="shared" si="1"/>
        <v>0</v>
      </c>
      <c r="K1301" s="104" t="str">
        <f>IF(H1301&lt;0,"ERROR",IF(H1301=0,"",IF(H1301&lt;CONFIG!$B$4,"CRÍTICO",IF(H1301&lt;CONFIG!$B$5,"BAJO","OK"))))</f>
        <v/>
      </c>
    </row>
    <row r="1302" ht="15.75" hidden="1" customHeight="1">
      <c r="A1302" s="90" t="str">
        <f>IF(CLIENTES!A6="","",CLIENTES!A6)</f>
        <v/>
      </c>
      <c r="B1302" s="90" t="s">
        <v>324</v>
      </c>
      <c r="C1302" s="91" t="s">
        <v>322</v>
      </c>
      <c r="D1302" s="109" t="s">
        <v>353</v>
      </c>
      <c r="E1302" s="67" t="str">
        <f>COLORES!A13</f>
        <v>Camote</v>
      </c>
      <c r="F1302" s="67" t="str">
        <f>COLORES!B13</f>
        <v>CLARO</v>
      </c>
      <c r="G1302" s="90" t="s">
        <v>376</v>
      </c>
      <c r="H1302" s="100">
        <f>IFERROR(SUMIFS(MOVIMIENTOS_COMPLEMENTOS!$I$4:$I$803,MOVIMIENTOS_COMPLEMENTOS!$C$4:$C$803,A1302,MOVIMIENTOS_COMPLEMENTOS!$D$4:$D$803,B1302,MOVIMIENTOS_COMPLEMENTOS!$E$4:$E$803,C1302,MOVIMIENTOS_COMPLEMENTOS!$G$4:$G$803,E1302,MOVIMIENTOS_COMPLEMENTOS!$H$4:$H$803,G1302,MOVIMIENTOS_COMPLEMENTOS!$B$4:$B$803,"INGRESO")+SUMIFS(MOVIMIENTOS_COMPLEMENTOS!$I$4:$I$803,MOVIMIENTOS_COMPLEMENTOS!$C$4:$C$803,A1302,MOVIMIENTOS_COMPLEMENTOS!$D$4:$D$803,B1302,MOVIMIENTOS_COMPLEMENTOS!$E$4:$E$803,C1302,MOVIMIENTOS_COMPLEMENTOS!$G$4:$G$803,E1302,MOVIMIENTOS_COMPLEMENTOS!$H$4:$H$803,G1302,MOVIMIENTOS_COMPLEMENTOS!$B$4:$B$803,"DE CORTE")-SUMIFS(MOVIMIENTOS_COMPLEMENTOS!$I$4:$I$803,MOVIMIENTOS_COMPLEMENTOS!$C$4:$C$803,A1302,MOVIMIENTOS_COMPLEMENTOS!$D$4:$D$803,B1302,MOVIMIENTOS_COMPLEMENTOS!$E$4:$E$803,C1302,MOVIMIENTOS_COMPLEMENTOS!$G$4:$G$803,E1302,MOVIMIENTOS_COMPLEMENTOS!$H$4:$H$803,G1302,MOVIMIENTOS_COMPLEMENTOS!$B$4:$B$803,"SALIDA"),0)</f>
        <v>0</v>
      </c>
      <c r="I1302" s="102">
        <f t="array" ref="I1302">IFERROR(INDEX(PRECIOS_COMPLEMENTOS!$C$4:$F$17,MATCH(B1302&amp;"_"&amp;C1302,PRECIOS_COMPLEMENTOS!$H$4:$H$17,0),IF(OR(G1302="S",G1302="20cm"),1,IF(OR(G1302="M",G1302="25cm"),2,IF(OR(G1302="L",G1302="30cm"),3,IF(OR(G1302="XL",G1302="35cm"),4,0))))),0)</f>
        <v>0.3</v>
      </c>
      <c r="J1302" s="103">
        <f t="shared" si="1"/>
        <v>0</v>
      </c>
      <c r="K1302" s="104" t="str">
        <f>IF(H1302&lt;0,"ERROR",IF(H1302=0,"",IF(H1302&lt;CONFIG!$B$4,"CRÍTICO",IF(H1302&lt;CONFIG!$B$5,"BAJO","OK"))))</f>
        <v/>
      </c>
    </row>
    <row r="1303" ht="15.75" hidden="1" customHeight="1">
      <c r="A1303" s="90" t="str">
        <f>IF(CLIENTES!A6="","",CLIENTES!A6)</f>
        <v/>
      </c>
      <c r="B1303" s="90" t="s">
        <v>324</v>
      </c>
      <c r="C1303" s="91" t="s">
        <v>322</v>
      </c>
      <c r="D1303" s="109" t="s">
        <v>353</v>
      </c>
      <c r="E1303" s="67" t="str">
        <f>COLORES!A13</f>
        <v>Camote</v>
      </c>
      <c r="F1303" s="67" t="str">
        <f>COLORES!B13</f>
        <v>CLARO</v>
      </c>
      <c r="G1303" s="90" t="s">
        <v>377</v>
      </c>
      <c r="H1303" s="100">
        <f>IFERROR(SUMIFS(MOVIMIENTOS_COMPLEMENTOS!$I$4:$I$803,MOVIMIENTOS_COMPLEMENTOS!$C$4:$C$803,A1303,MOVIMIENTOS_COMPLEMENTOS!$D$4:$D$803,B1303,MOVIMIENTOS_COMPLEMENTOS!$E$4:$E$803,C1303,MOVIMIENTOS_COMPLEMENTOS!$G$4:$G$803,E1303,MOVIMIENTOS_COMPLEMENTOS!$H$4:$H$803,G1303,MOVIMIENTOS_COMPLEMENTOS!$B$4:$B$803,"INGRESO")+SUMIFS(MOVIMIENTOS_COMPLEMENTOS!$I$4:$I$803,MOVIMIENTOS_COMPLEMENTOS!$C$4:$C$803,A1303,MOVIMIENTOS_COMPLEMENTOS!$D$4:$D$803,B1303,MOVIMIENTOS_COMPLEMENTOS!$E$4:$E$803,C1303,MOVIMIENTOS_COMPLEMENTOS!$G$4:$G$803,E1303,MOVIMIENTOS_COMPLEMENTOS!$H$4:$H$803,G1303,MOVIMIENTOS_COMPLEMENTOS!$B$4:$B$803,"DE CORTE")-SUMIFS(MOVIMIENTOS_COMPLEMENTOS!$I$4:$I$803,MOVIMIENTOS_COMPLEMENTOS!$C$4:$C$803,A1303,MOVIMIENTOS_COMPLEMENTOS!$D$4:$D$803,B1303,MOVIMIENTOS_COMPLEMENTOS!$E$4:$E$803,C1303,MOVIMIENTOS_COMPLEMENTOS!$G$4:$G$803,E1303,MOVIMIENTOS_COMPLEMENTOS!$H$4:$H$803,G1303,MOVIMIENTOS_COMPLEMENTOS!$B$4:$B$803,"SALIDA"),0)</f>
        <v>0</v>
      </c>
      <c r="I1303" s="102">
        <f t="array" ref="I1303">IFERROR(INDEX(PRECIOS_COMPLEMENTOS!$C$4:$F$17,MATCH(B1303&amp;"_"&amp;C1303,PRECIOS_COMPLEMENTOS!$H$4:$H$17,0),IF(OR(G1303="S",G1303="20cm"),1,IF(OR(G1303="M",G1303="25cm"),2,IF(OR(G1303="L",G1303="30cm"),3,IF(OR(G1303="XL",G1303="35cm"),4,0))))),0)</f>
        <v>0.35</v>
      </c>
      <c r="J1303" s="103">
        <f t="shared" si="1"/>
        <v>0</v>
      </c>
      <c r="K1303" s="104" t="str">
        <f>IF(H1303&lt;0,"ERROR",IF(H1303=0,"",IF(H1303&lt;CONFIG!$B$4,"CRÍTICO",IF(H1303&lt;CONFIG!$B$5,"BAJO","OK"))))</f>
        <v/>
      </c>
    </row>
    <row r="1304" ht="15.75" hidden="1" customHeight="1">
      <c r="A1304" s="90" t="str">
        <f>IF(CLIENTES!A6="","",CLIENTES!A6)</f>
        <v/>
      </c>
      <c r="B1304" s="90" t="s">
        <v>324</v>
      </c>
      <c r="C1304" s="91" t="s">
        <v>322</v>
      </c>
      <c r="D1304" s="109" t="s">
        <v>353</v>
      </c>
      <c r="E1304" s="67" t="str">
        <f>COLORES!A14</f>
        <v>Denim</v>
      </c>
      <c r="F1304" s="67" t="str">
        <f>COLORES!B14</f>
        <v>CLARO</v>
      </c>
      <c r="G1304" s="90" t="s">
        <v>376</v>
      </c>
      <c r="H1304" s="100">
        <f>IFERROR(SUMIFS(MOVIMIENTOS_COMPLEMENTOS!$I$4:$I$803,MOVIMIENTOS_COMPLEMENTOS!$C$4:$C$803,A1304,MOVIMIENTOS_COMPLEMENTOS!$D$4:$D$803,B1304,MOVIMIENTOS_COMPLEMENTOS!$E$4:$E$803,C1304,MOVIMIENTOS_COMPLEMENTOS!$G$4:$G$803,E1304,MOVIMIENTOS_COMPLEMENTOS!$H$4:$H$803,G1304,MOVIMIENTOS_COMPLEMENTOS!$B$4:$B$803,"INGRESO")+SUMIFS(MOVIMIENTOS_COMPLEMENTOS!$I$4:$I$803,MOVIMIENTOS_COMPLEMENTOS!$C$4:$C$803,A1304,MOVIMIENTOS_COMPLEMENTOS!$D$4:$D$803,B1304,MOVIMIENTOS_COMPLEMENTOS!$E$4:$E$803,C1304,MOVIMIENTOS_COMPLEMENTOS!$G$4:$G$803,E1304,MOVIMIENTOS_COMPLEMENTOS!$H$4:$H$803,G1304,MOVIMIENTOS_COMPLEMENTOS!$B$4:$B$803,"DE CORTE")-SUMIFS(MOVIMIENTOS_COMPLEMENTOS!$I$4:$I$803,MOVIMIENTOS_COMPLEMENTOS!$C$4:$C$803,A1304,MOVIMIENTOS_COMPLEMENTOS!$D$4:$D$803,B1304,MOVIMIENTOS_COMPLEMENTOS!$E$4:$E$803,C1304,MOVIMIENTOS_COMPLEMENTOS!$G$4:$G$803,E1304,MOVIMIENTOS_COMPLEMENTOS!$H$4:$H$803,G1304,MOVIMIENTOS_COMPLEMENTOS!$B$4:$B$803,"SALIDA"),0)</f>
        <v>0</v>
      </c>
      <c r="I1304" s="102">
        <f t="array" ref="I1304">IFERROR(INDEX(PRECIOS_COMPLEMENTOS!$C$4:$F$17,MATCH(B1304&amp;"_"&amp;C1304,PRECIOS_COMPLEMENTOS!$H$4:$H$17,0),IF(OR(G1304="S",G1304="20cm"),1,IF(OR(G1304="M",G1304="25cm"),2,IF(OR(G1304="L",G1304="30cm"),3,IF(OR(G1304="XL",G1304="35cm"),4,0))))),0)</f>
        <v>0.3</v>
      </c>
      <c r="J1304" s="103">
        <f t="shared" si="1"/>
        <v>0</v>
      </c>
      <c r="K1304" s="104" t="str">
        <f>IF(H1304&lt;0,"ERROR",IF(H1304=0,"",IF(H1304&lt;CONFIG!$B$4,"CRÍTICO",IF(H1304&lt;CONFIG!$B$5,"BAJO","OK"))))</f>
        <v/>
      </c>
    </row>
    <row r="1305" ht="15.75" hidden="1" customHeight="1">
      <c r="A1305" s="90" t="str">
        <f>IF(CLIENTES!A6="","",CLIENTES!A6)</f>
        <v/>
      </c>
      <c r="B1305" s="90" t="s">
        <v>324</v>
      </c>
      <c r="C1305" s="91" t="s">
        <v>322</v>
      </c>
      <c r="D1305" s="109" t="s">
        <v>353</v>
      </c>
      <c r="E1305" s="67" t="str">
        <f>COLORES!A14</f>
        <v>Denim</v>
      </c>
      <c r="F1305" s="67" t="str">
        <f>COLORES!B14</f>
        <v>CLARO</v>
      </c>
      <c r="G1305" s="90" t="s">
        <v>377</v>
      </c>
      <c r="H1305" s="100">
        <f>IFERROR(SUMIFS(MOVIMIENTOS_COMPLEMENTOS!$I$4:$I$803,MOVIMIENTOS_COMPLEMENTOS!$C$4:$C$803,A1305,MOVIMIENTOS_COMPLEMENTOS!$D$4:$D$803,B1305,MOVIMIENTOS_COMPLEMENTOS!$E$4:$E$803,C1305,MOVIMIENTOS_COMPLEMENTOS!$G$4:$G$803,E1305,MOVIMIENTOS_COMPLEMENTOS!$H$4:$H$803,G1305,MOVIMIENTOS_COMPLEMENTOS!$B$4:$B$803,"INGRESO")+SUMIFS(MOVIMIENTOS_COMPLEMENTOS!$I$4:$I$803,MOVIMIENTOS_COMPLEMENTOS!$C$4:$C$803,A1305,MOVIMIENTOS_COMPLEMENTOS!$D$4:$D$803,B1305,MOVIMIENTOS_COMPLEMENTOS!$E$4:$E$803,C1305,MOVIMIENTOS_COMPLEMENTOS!$G$4:$G$803,E1305,MOVIMIENTOS_COMPLEMENTOS!$H$4:$H$803,G1305,MOVIMIENTOS_COMPLEMENTOS!$B$4:$B$803,"DE CORTE")-SUMIFS(MOVIMIENTOS_COMPLEMENTOS!$I$4:$I$803,MOVIMIENTOS_COMPLEMENTOS!$C$4:$C$803,A1305,MOVIMIENTOS_COMPLEMENTOS!$D$4:$D$803,B1305,MOVIMIENTOS_COMPLEMENTOS!$E$4:$E$803,C1305,MOVIMIENTOS_COMPLEMENTOS!$G$4:$G$803,E1305,MOVIMIENTOS_COMPLEMENTOS!$H$4:$H$803,G1305,MOVIMIENTOS_COMPLEMENTOS!$B$4:$B$803,"SALIDA"),0)</f>
        <v>0</v>
      </c>
      <c r="I1305" s="102">
        <f t="array" ref="I1305">IFERROR(INDEX(PRECIOS_COMPLEMENTOS!$C$4:$F$17,MATCH(B1305&amp;"_"&amp;C1305,PRECIOS_COMPLEMENTOS!$H$4:$H$17,0),IF(OR(G1305="S",G1305="20cm"),1,IF(OR(G1305="M",G1305="25cm"),2,IF(OR(G1305="L",G1305="30cm"),3,IF(OR(G1305="XL",G1305="35cm"),4,0))))),0)</f>
        <v>0.35</v>
      </c>
      <c r="J1305" s="103">
        <f t="shared" si="1"/>
        <v>0</v>
      </c>
      <c r="K1305" s="104" t="str">
        <f>IF(H1305&lt;0,"ERROR",IF(H1305=0,"",IF(H1305&lt;CONFIG!$B$4,"CRÍTICO",IF(H1305&lt;CONFIG!$B$5,"BAJO","OK"))))</f>
        <v/>
      </c>
    </row>
    <row r="1306" ht="15.75" hidden="1" customHeight="1">
      <c r="A1306" s="90" t="str">
        <f>IF(CLIENTES!A6="","",CLIENTES!A6)</f>
        <v/>
      </c>
      <c r="B1306" s="90" t="s">
        <v>324</v>
      </c>
      <c r="C1306" s="91" t="s">
        <v>322</v>
      </c>
      <c r="D1306" s="109" t="s">
        <v>353</v>
      </c>
      <c r="E1306" s="67" t="str">
        <f>COLORES!A15</f>
        <v>Plomo</v>
      </c>
      <c r="F1306" s="67" t="str">
        <f>COLORES!B15</f>
        <v>OSCURO</v>
      </c>
      <c r="G1306" s="90" t="s">
        <v>376</v>
      </c>
      <c r="H1306" s="100">
        <f>IFERROR(SUMIFS(MOVIMIENTOS_COMPLEMENTOS!$I$4:$I$803,MOVIMIENTOS_COMPLEMENTOS!$C$4:$C$803,A1306,MOVIMIENTOS_COMPLEMENTOS!$D$4:$D$803,B1306,MOVIMIENTOS_COMPLEMENTOS!$E$4:$E$803,C1306,MOVIMIENTOS_COMPLEMENTOS!$G$4:$G$803,E1306,MOVIMIENTOS_COMPLEMENTOS!$H$4:$H$803,G1306,MOVIMIENTOS_COMPLEMENTOS!$B$4:$B$803,"INGRESO")+SUMIFS(MOVIMIENTOS_COMPLEMENTOS!$I$4:$I$803,MOVIMIENTOS_COMPLEMENTOS!$C$4:$C$803,A1306,MOVIMIENTOS_COMPLEMENTOS!$D$4:$D$803,B1306,MOVIMIENTOS_COMPLEMENTOS!$E$4:$E$803,C1306,MOVIMIENTOS_COMPLEMENTOS!$G$4:$G$803,E1306,MOVIMIENTOS_COMPLEMENTOS!$H$4:$H$803,G1306,MOVIMIENTOS_COMPLEMENTOS!$B$4:$B$803,"DE CORTE")-SUMIFS(MOVIMIENTOS_COMPLEMENTOS!$I$4:$I$803,MOVIMIENTOS_COMPLEMENTOS!$C$4:$C$803,A1306,MOVIMIENTOS_COMPLEMENTOS!$D$4:$D$803,B1306,MOVIMIENTOS_COMPLEMENTOS!$E$4:$E$803,C1306,MOVIMIENTOS_COMPLEMENTOS!$G$4:$G$803,E1306,MOVIMIENTOS_COMPLEMENTOS!$H$4:$H$803,G1306,MOVIMIENTOS_COMPLEMENTOS!$B$4:$B$803,"SALIDA"),0)</f>
        <v>0</v>
      </c>
      <c r="I1306" s="102">
        <f t="array" ref="I1306">IFERROR(INDEX(PRECIOS_COMPLEMENTOS!$C$4:$F$17,MATCH(B1306&amp;"_"&amp;C1306,PRECIOS_COMPLEMENTOS!$H$4:$H$17,0),IF(OR(G1306="S",G1306="20cm"),1,IF(OR(G1306="M",G1306="25cm"),2,IF(OR(G1306="L",G1306="30cm"),3,IF(OR(G1306="XL",G1306="35cm"),4,0))))),0)</f>
        <v>0.3</v>
      </c>
      <c r="J1306" s="103">
        <f t="shared" si="1"/>
        <v>0</v>
      </c>
      <c r="K1306" s="104" t="str">
        <f>IF(H1306&lt;0,"ERROR",IF(H1306=0,"",IF(H1306&lt;CONFIG!$B$4,"CRÍTICO",IF(H1306&lt;CONFIG!$B$5,"BAJO","OK"))))</f>
        <v/>
      </c>
    </row>
    <row r="1307" ht="15.75" hidden="1" customHeight="1">
      <c r="A1307" s="90" t="str">
        <f>IF(CLIENTES!A6="","",CLIENTES!A6)</f>
        <v/>
      </c>
      <c r="B1307" s="90" t="s">
        <v>324</v>
      </c>
      <c r="C1307" s="91" t="s">
        <v>322</v>
      </c>
      <c r="D1307" s="109" t="s">
        <v>353</v>
      </c>
      <c r="E1307" s="67" t="str">
        <f>COLORES!A15</f>
        <v>Plomo</v>
      </c>
      <c r="F1307" s="67" t="str">
        <f>COLORES!B15</f>
        <v>OSCURO</v>
      </c>
      <c r="G1307" s="90" t="s">
        <v>377</v>
      </c>
      <c r="H1307" s="100">
        <f>IFERROR(SUMIFS(MOVIMIENTOS_COMPLEMENTOS!$I$4:$I$803,MOVIMIENTOS_COMPLEMENTOS!$C$4:$C$803,A1307,MOVIMIENTOS_COMPLEMENTOS!$D$4:$D$803,B1307,MOVIMIENTOS_COMPLEMENTOS!$E$4:$E$803,C1307,MOVIMIENTOS_COMPLEMENTOS!$G$4:$G$803,E1307,MOVIMIENTOS_COMPLEMENTOS!$H$4:$H$803,G1307,MOVIMIENTOS_COMPLEMENTOS!$B$4:$B$803,"INGRESO")+SUMIFS(MOVIMIENTOS_COMPLEMENTOS!$I$4:$I$803,MOVIMIENTOS_COMPLEMENTOS!$C$4:$C$803,A1307,MOVIMIENTOS_COMPLEMENTOS!$D$4:$D$803,B1307,MOVIMIENTOS_COMPLEMENTOS!$E$4:$E$803,C1307,MOVIMIENTOS_COMPLEMENTOS!$G$4:$G$803,E1307,MOVIMIENTOS_COMPLEMENTOS!$H$4:$H$803,G1307,MOVIMIENTOS_COMPLEMENTOS!$B$4:$B$803,"DE CORTE")-SUMIFS(MOVIMIENTOS_COMPLEMENTOS!$I$4:$I$803,MOVIMIENTOS_COMPLEMENTOS!$C$4:$C$803,A1307,MOVIMIENTOS_COMPLEMENTOS!$D$4:$D$803,B1307,MOVIMIENTOS_COMPLEMENTOS!$E$4:$E$803,C1307,MOVIMIENTOS_COMPLEMENTOS!$G$4:$G$803,E1307,MOVIMIENTOS_COMPLEMENTOS!$H$4:$H$803,G1307,MOVIMIENTOS_COMPLEMENTOS!$B$4:$B$803,"SALIDA"),0)</f>
        <v>0</v>
      </c>
      <c r="I1307" s="102">
        <f t="array" ref="I1307">IFERROR(INDEX(PRECIOS_COMPLEMENTOS!$C$4:$F$17,MATCH(B1307&amp;"_"&amp;C1307,PRECIOS_COMPLEMENTOS!$H$4:$H$17,0),IF(OR(G1307="S",G1307="20cm"),1,IF(OR(G1307="M",G1307="25cm"),2,IF(OR(G1307="L",G1307="30cm"),3,IF(OR(G1307="XL",G1307="35cm"),4,0))))),0)</f>
        <v>0.35</v>
      </c>
      <c r="J1307" s="103">
        <f t="shared" si="1"/>
        <v>0</v>
      </c>
      <c r="K1307" s="104" t="str">
        <f>IF(H1307&lt;0,"ERROR",IF(H1307=0,"",IF(H1307&lt;CONFIG!$B$4,"CRÍTICO",IF(H1307&lt;CONFIG!$B$5,"BAJO","OK"))))</f>
        <v/>
      </c>
    </row>
    <row r="1308" ht="15.75" hidden="1" customHeight="1">
      <c r="A1308" s="90" t="str">
        <f>IF(CLIENTES!A6="","",CLIENTES!A6)</f>
        <v/>
      </c>
      <c r="B1308" s="90" t="s">
        <v>324</v>
      </c>
      <c r="C1308" s="91" t="s">
        <v>322</v>
      </c>
      <c r="D1308" s="109" t="s">
        <v>353</v>
      </c>
      <c r="E1308" s="67" t="str">
        <f>COLORES!A16</f>
        <v>Topo</v>
      </c>
      <c r="F1308" s="67" t="str">
        <f>COLORES!B16</f>
        <v>CLARO</v>
      </c>
      <c r="G1308" s="90" t="s">
        <v>376</v>
      </c>
      <c r="H1308" s="100">
        <f>IFERROR(SUMIFS(MOVIMIENTOS_COMPLEMENTOS!$I$4:$I$803,MOVIMIENTOS_COMPLEMENTOS!$C$4:$C$803,A1308,MOVIMIENTOS_COMPLEMENTOS!$D$4:$D$803,B1308,MOVIMIENTOS_COMPLEMENTOS!$E$4:$E$803,C1308,MOVIMIENTOS_COMPLEMENTOS!$G$4:$G$803,E1308,MOVIMIENTOS_COMPLEMENTOS!$H$4:$H$803,G1308,MOVIMIENTOS_COMPLEMENTOS!$B$4:$B$803,"INGRESO")+SUMIFS(MOVIMIENTOS_COMPLEMENTOS!$I$4:$I$803,MOVIMIENTOS_COMPLEMENTOS!$C$4:$C$803,A1308,MOVIMIENTOS_COMPLEMENTOS!$D$4:$D$803,B1308,MOVIMIENTOS_COMPLEMENTOS!$E$4:$E$803,C1308,MOVIMIENTOS_COMPLEMENTOS!$G$4:$G$803,E1308,MOVIMIENTOS_COMPLEMENTOS!$H$4:$H$803,G1308,MOVIMIENTOS_COMPLEMENTOS!$B$4:$B$803,"DE CORTE")-SUMIFS(MOVIMIENTOS_COMPLEMENTOS!$I$4:$I$803,MOVIMIENTOS_COMPLEMENTOS!$C$4:$C$803,A1308,MOVIMIENTOS_COMPLEMENTOS!$D$4:$D$803,B1308,MOVIMIENTOS_COMPLEMENTOS!$E$4:$E$803,C1308,MOVIMIENTOS_COMPLEMENTOS!$G$4:$G$803,E1308,MOVIMIENTOS_COMPLEMENTOS!$H$4:$H$803,G1308,MOVIMIENTOS_COMPLEMENTOS!$B$4:$B$803,"SALIDA"),0)</f>
        <v>0</v>
      </c>
      <c r="I1308" s="102">
        <f t="array" ref="I1308">IFERROR(INDEX(PRECIOS_COMPLEMENTOS!$C$4:$F$17,MATCH(B1308&amp;"_"&amp;C1308,PRECIOS_COMPLEMENTOS!$H$4:$H$17,0),IF(OR(G1308="S",G1308="20cm"),1,IF(OR(G1308="M",G1308="25cm"),2,IF(OR(G1308="L",G1308="30cm"),3,IF(OR(G1308="XL",G1308="35cm"),4,0))))),0)</f>
        <v>0.3</v>
      </c>
      <c r="J1308" s="103">
        <f t="shared" si="1"/>
        <v>0</v>
      </c>
      <c r="K1308" s="104" t="str">
        <f>IF(H1308&lt;0,"ERROR",IF(H1308=0,"",IF(H1308&lt;CONFIG!$B$4,"CRÍTICO",IF(H1308&lt;CONFIG!$B$5,"BAJO","OK"))))</f>
        <v/>
      </c>
    </row>
    <row r="1309" ht="15.75" hidden="1" customHeight="1">
      <c r="A1309" s="90" t="str">
        <f>IF(CLIENTES!A6="","",CLIENTES!A6)</f>
        <v/>
      </c>
      <c r="B1309" s="90" t="s">
        <v>324</v>
      </c>
      <c r="C1309" s="91" t="s">
        <v>322</v>
      </c>
      <c r="D1309" s="109" t="s">
        <v>353</v>
      </c>
      <c r="E1309" s="67" t="str">
        <f>COLORES!A16</f>
        <v>Topo</v>
      </c>
      <c r="F1309" s="67" t="str">
        <f>COLORES!B16</f>
        <v>CLARO</v>
      </c>
      <c r="G1309" s="90" t="s">
        <v>377</v>
      </c>
      <c r="H1309" s="100">
        <f>IFERROR(SUMIFS(MOVIMIENTOS_COMPLEMENTOS!$I$4:$I$803,MOVIMIENTOS_COMPLEMENTOS!$C$4:$C$803,A1309,MOVIMIENTOS_COMPLEMENTOS!$D$4:$D$803,B1309,MOVIMIENTOS_COMPLEMENTOS!$E$4:$E$803,C1309,MOVIMIENTOS_COMPLEMENTOS!$G$4:$G$803,E1309,MOVIMIENTOS_COMPLEMENTOS!$H$4:$H$803,G1309,MOVIMIENTOS_COMPLEMENTOS!$B$4:$B$803,"INGRESO")+SUMIFS(MOVIMIENTOS_COMPLEMENTOS!$I$4:$I$803,MOVIMIENTOS_COMPLEMENTOS!$C$4:$C$803,A1309,MOVIMIENTOS_COMPLEMENTOS!$D$4:$D$803,B1309,MOVIMIENTOS_COMPLEMENTOS!$E$4:$E$803,C1309,MOVIMIENTOS_COMPLEMENTOS!$G$4:$G$803,E1309,MOVIMIENTOS_COMPLEMENTOS!$H$4:$H$803,G1309,MOVIMIENTOS_COMPLEMENTOS!$B$4:$B$803,"DE CORTE")-SUMIFS(MOVIMIENTOS_COMPLEMENTOS!$I$4:$I$803,MOVIMIENTOS_COMPLEMENTOS!$C$4:$C$803,A1309,MOVIMIENTOS_COMPLEMENTOS!$D$4:$D$803,B1309,MOVIMIENTOS_COMPLEMENTOS!$E$4:$E$803,C1309,MOVIMIENTOS_COMPLEMENTOS!$G$4:$G$803,E1309,MOVIMIENTOS_COMPLEMENTOS!$H$4:$H$803,G1309,MOVIMIENTOS_COMPLEMENTOS!$B$4:$B$803,"SALIDA"),0)</f>
        <v>0</v>
      </c>
      <c r="I1309" s="102">
        <f t="array" ref="I1309">IFERROR(INDEX(PRECIOS_COMPLEMENTOS!$C$4:$F$17,MATCH(B1309&amp;"_"&amp;C1309,PRECIOS_COMPLEMENTOS!$H$4:$H$17,0),IF(OR(G1309="S",G1309="20cm"),1,IF(OR(G1309="M",G1309="25cm"),2,IF(OR(G1309="L",G1309="30cm"),3,IF(OR(G1309="XL",G1309="35cm"),4,0))))),0)</f>
        <v>0.35</v>
      </c>
      <c r="J1309" s="103">
        <f t="shared" si="1"/>
        <v>0</v>
      </c>
      <c r="K1309" s="104" t="str">
        <f>IF(H1309&lt;0,"ERROR",IF(H1309=0,"",IF(H1309&lt;CONFIG!$B$4,"CRÍTICO",IF(H1309&lt;CONFIG!$B$5,"BAJO","OK"))))</f>
        <v/>
      </c>
    </row>
    <row r="1310" ht="15.75" hidden="1" customHeight="1">
      <c r="A1310" s="90" t="str">
        <f>IF(CLIENTES!A6="","",CLIENTES!A6)</f>
        <v/>
      </c>
      <c r="B1310" s="90" t="s">
        <v>324</v>
      </c>
      <c r="C1310" s="91" t="s">
        <v>322</v>
      </c>
      <c r="D1310" s="109" t="s">
        <v>353</v>
      </c>
      <c r="E1310" s="67" t="str">
        <f>COLORES!A17</f>
        <v>Vino</v>
      </c>
      <c r="F1310" s="67" t="str">
        <f>COLORES!B17</f>
        <v>OSCURO</v>
      </c>
      <c r="G1310" s="90" t="s">
        <v>376</v>
      </c>
      <c r="H1310" s="100">
        <f>IFERROR(SUMIFS(MOVIMIENTOS_COMPLEMENTOS!$I$4:$I$803,MOVIMIENTOS_COMPLEMENTOS!$C$4:$C$803,A1310,MOVIMIENTOS_COMPLEMENTOS!$D$4:$D$803,B1310,MOVIMIENTOS_COMPLEMENTOS!$E$4:$E$803,C1310,MOVIMIENTOS_COMPLEMENTOS!$G$4:$G$803,E1310,MOVIMIENTOS_COMPLEMENTOS!$H$4:$H$803,G1310,MOVIMIENTOS_COMPLEMENTOS!$B$4:$B$803,"INGRESO")+SUMIFS(MOVIMIENTOS_COMPLEMENTOS!$I$4:$I$803,MOVIMIENTOS_COMPLEMENTOS!$C$4:$C$803,A1310,MOVIMIENTOS_COMPLEMENTOS!$D$4:$D$803,B1310,MOVIMIENTOS_COMPLEMENTOS!$E$4:$E$803,C1310,MOVIMIENTOS_COMPLEMENTOS!$G$4:$G$803,E1310,MOVIMIENTOS_COMPLEMENTOS!$H$4:$H$803,G1310,MOVIMIENTOS_COMPLEMENTOS!$B$4:$B$803,"DE CORTE")-SUMIFS(MOVIMIENTOS_COMPLEMENTOS!$I$4:$I$803,MOVIMIENTOS_COMPLEMENTOS!$C$4:$C$803,A1310,MOVIMIENTOS_COMPLEMENTOS!$D$4:$D$803,B1310,MOVIMIENTOS_COMPLEMENTOS!$E$4:$E$803,C1310,MOVIMIENTOS_COMPLEMENTOS!$G$4:$G$803,E1310,MOVIMIENTOS_COMPLEMENTOS!$H$4:$H$803,G1310,MOVIMIENTOS_COMPLEMENTOS!$B$4:$B$803,"SALIDA"),0)</f>
        <v>0</v>
      </c>
      <c r="I1310" s="102">
        <f t="array" ref="I1310">IFERROR(INDEX(PRECIOS_COMPLEMENTOS!$C$4:$F$17,MATCH(B1310&amp;"_"&amp;C1310,PRECIOS_COMPLEMENTOS!$H$4:$H$17,0),IF(OR(G1310="S",G1310="20cm"),1,IF(OR(G1310="M",G1310="25cm"),2,IF(OR(G1310="L",G1310="30cm"),3,IF(OR(G1310="XL",G1310="35cm"),4,0))))),0)</f>
        <v>0.3</v>
      </c>
      <c r="J1310" s="103">
        <f t="shared" si="1"/>
        <v>0</v>
      </c>
      <c r="K1310" s="104" t="str">
        <f>IF(H1310&lt;0,"ERROR",IF(H1310=0,"",IF(H1310&lt;CONFIG!$B$4,"CRÍTICO",IF(H1310&lt;CONFIG!$B$5,"BAJO","OK"))))</f>
        <v/>
      </c>
    </row>
    <row r="1311" ht="15.75" hidden="1" customHeight="1">
      <c r="A1311" s="90" t="str">
        <f>IF(CLIENTES!A6="","",CLIENTES!A6)</f>
        <v/>
      </c>
      <c r="B1311" s="90" t="s">
        <v>324</v>
      </c>
      <c r="C1311" s="91" t="s">
        <v>322</v>
      </c>
      <c r="D1311" s="109" t="s">
        <v>353</v>
      </c>
      <c r="E1311" s="67" t="str">
        <f>COLORES!A17</f>
        <v>Vino</v>
      </c>
      <c r="F1311" s="67" t="str">
        <f>COLORES!B17</f>
        <v>OSCURO</v>
      </c>
      <c r="G1311" s="90" t="s">
        <v>377</v>
      </c>
      <c r="H1311" s="100">
        <f>IFERROR(SUMIFS(MOVIMIENTOS_COMPLEMENTOS!$I$4:$I$803,MOVIMIENTOS_COMPLEMENTOS!$C$4:$C$803,A1311,MOVIMIENTOS_COMPLEMENTOS!$D$4:$D$803,B1311,MOVIMIENTOS_COMPLEMENTOS!$E$4:$E$803,C1311,MOVIMIENTOS_COMPLEMENTOS!$G$4:$G$803,E1311,MOVIMIENTOS_COMPLEMENTOS!$H$4:$H$803,G1311,MOVIMIENTOS_COMPLEMENTOS!$B$4:$B$803,"INGRESO")+SUMIFS(MOVIMIENTOS_COMPLEMENTOS!$I$4:$I$803,MOVIMIENTOS_COMPLEMENTOS!$C$4:$C$803,A1311,MOVIMIENTOS_COMPLEMENTOS!$D$4:$D$803,B1311,MOVIMIENTOS_COMPLEMENTOS!$E$4:$E$803,C1311,MOVIMIENTOS_COMPLEMENTOS!$G$4:$G$803,E1311,MOVIMIENTOS_COMPLEMENTOS!$H$4:$H$803,G1311,MOVIMIENTOS_COMPLEMENTOS!$B$4:$B$803,"DE CORTE")-SUMIFS(MOVIMIENTOS_COMPLEMENTOS!$I$4:$I$803,MOVIMIENTOS_COMPLEMENTOS!$C$4:$C$803,A1311,MOVIMIENTOS_COMPLEMENTOS!$D$4:$D$803,B1311,MOVIMIENTOS_COMPLEMENTOS!$E$4:$E$803,C1311,MOVIMIENTOS_COMPLEMENTOS!$G$4:$G$803,E1311,MOVIMIENTOS_COMPLEMENTOS!$H$4:$H$803,G1311,MOVIMIENTOS_COMPLEMENTOS!$B$4:$B$803,"SALIDA"),0)</f>
        <v>0</v>
      </c>
      <c r="I1311" s="102">
        <f t="array" ref="I1311">IFERROR(INDEX(PRECIOS_COMPLEMENTOS!$C$4:$F$17,MATCH(B1311&amp;"_"&amp;C1311,PRECIOS_COMPLEMENTOS!$H$4:$H$17,0),IF(OR(G1311="S",G1311="20cm"),1,IF(OR(G1311="M",G1311="25cm"),2,IF(OR(G1311="L",G1311="30cm"),3,IF(OR(G1311="XL",G1311="35cm"),4,0))))),0)</f>
        <v>0.35</v>
      </c>
      <c r="J1311" s="103">
        <f t="shared" si="1"/>
        <v>0</v>
      </c>
      <c r="K1311" s="104" t="str">
        <f>IF(H1311&lt;0,"ERROR",IF(H1311=0,"",IF(H1311&lt;CONFIG!$B$4,"CRÍTICO",IF(H1311&lt;CONFIG!$B$5,"BAJO","OK"))))</f>
        <v/>
      </c>
    </row>
    <row r="1312" ht="15.75" hidden="1" customHeight="1">
      <c r="A1312" s="90" t="str">
        <f>IF(CLIENTES!A6="","",CLIENTES!A6)</f>
        <v/>
      </c>
      <c r="B1312" s="90" t="s">
        <v>324</v>
      </c>
      <c r="C1312" s="91" t="s">
        <v>322</v>
      </c>
      <c r="D1312" s="109" t="s">
        <v>353</v>
      </c>
      <c r="E1312" s="67" t="str">
        <f>COLORES!A18</f>
        <v>P. Rosa</v>
      </c>
      <c r="F1312" s="67" t="str">
        <f>COLORES!B18</f>
        <v>CLARO</v>
      </c>
      <c r="G1312" s="90" t="s">
        <v>376</v>
      </c>
      <c r="H1312" s="100">
        <f>IFERROR(SUMIFS(MOVIMIENTOS_COMPLEMENTOS!$I$4:$I$803,MOVIMIENTOS_COMPLEMENTOS!$C$4:$C$803,A1312,MOVIMIENTOS_COMPLEMENTOS!$D$4:$D$803,B1312,MOVIMIENTOS_COMPLEMENTOS!$E$4:$E$803,C1312,MOVIMIENTOS_COMPLEMENTOS!$G$4:$G$803,E1312,MOVIMIENTOS_COMPLEMENTOS!$H$4:$H$803,G1312,MOVIMIENTOS_COMPLEMENTOS!$B$4:$B$803,"INGRESO")+SUMIFS(MOVIMIENTOS_COMPLEMENTOS!$I$4:$I$803,MOVIMIENTOS_COMPLEMENTOS!$C$4:$C$803,A1312,MOVIMIENTOS_COMPLEMENTOS!$D$4:$D$803,B1312,MOVIMIENTOS_COMPLEMENTOS!$E$4:$E$803,C1312,MOVIMIENTOS_COMPLEMENTOS!$G$4:$G$803,E1312,MOVIMIENTOS_COMPLEMENTOS!$H$4:$H$803,G1312,MOVIMIENTOS_COMPLEMENTOS!$B$4:$B$803,"DE CORTE")-SUMIFS(MOVIMIENTOS_COMPLEMENTOS!$I$4:$I$803,MOVIMIENTOS_COMPLEMENTOS!$C$4:$C$803,A1312,MOVIMIENTOS_COMPLEMENTOS!$D$4:$D$803,B1312,MOVIMIENTOS_COMPLEMENTOS!$E$4:$E$803,C1312,MOVIMIENTOS_COMPLEMENTOS!$G$4:$G$803,E1312,MOVIMIENTOS_COMPLEMENTOS!$H$4:$H$803,G1312,MOVIMIENTOS_COMPLEMENTOS!$B$4:$B$803,"SALIDA"),0)</f>
        <v>0</v>
      </c>
      <c r="I1312" s="102">
        <f t="array" ref="I1312">IFERROR(INDEX(PRECIOS_COMPLEMENTOS!$C$4:$F$17,MATCH(B1312&amp;"_"&amp;C1312,PRECIOS_COMPLEMENTOS!$H$4:$H$17,0),IF(OR(G1312="S",G1312="20cm"),1,IF(OR(G1312="M",G1312="25cm"),2,IF(OR(G1312="L",G1312="30cm"),3,IF(OR(G1312="XL",G1312="35cm"),4,0))))),0)</f>
        <v>0.3</v>
      </c>
      <c r="J1312" s="103">
        <f t="shared" si="1"/>
        <v>0</v>
      </c>
      <c r="K1312" s="104" t="str">
        <f>IF(H1312&lt;0,"ERROR",IF(H1312=0,"",IF(H1312&lt;CONFIG!$B$4,"CRÍTICO",IF(H1312&lt;CONFIG!$B$5,"BAJO","OK"))))</f>
        <v/>
      </c>
    </row>
    <row r="1313" ht="15.75" hidden="1" customHeight="1">
      <c r="A1313" s="90" t="str">
        <f>IF(CLIENTES!A6="","",CLIENTES!A6)</f>
        <v/>
      </c>
      <c r="B1313" s="90" t="s">
        <v>324</v>
      </c>
      <c r="C1313" s="91" t="s">
        <v>322</v>
      </c>
      <c r="D1313" s="109" t="s">
        <v>353</v>
      </c>
      <c r="E1313" s="67" t="str">
        <f>COLORES!A18</f>
        <v>P. Rosa</v>
      </c>
      <c r="F1313" s="67" t="str">
        <f>COLORES!B18</f>
        <v>CLARO</v>
      </c>
      <c r="G1313" s="90" t="s">
        <v>377</v>
      </c>
      <c r="H1313" s="100">
        <f>IFERROR(SUMIFS(MOVIMIENTOS_COMPLEMENTOS!$I$4:$I$803,MOVIMIENTOS_COMPLEMENTOS!$C$4:$C$803,A1313,MOVIMIENTOS_COMPLEMENTOS!$D$4:$D$803,B1313,MOVIMIENTOS_COMPLEMENTOS!$E$4:$E$803,C1313,MOVIMIENTOS_COMPLEMENTOS!$G$4:$G$803,E1313,MOVIMIENTOS_COMPLEMENTOS!$H$4:$H$803,G1313,MOVIMIENTOS_COMPLEMENTOS!$B$4:$B$803,"INGRESO")+SUMIFS(MOVIMIENTOS_COMPLEMENTOS!$I$4:$I$803,MOVIMIENTOS_COMPLEMENTOS!$C$4:$C$803,A1313,MOVIMIENTOS_COMPLEMENTOS!$D$4:$D$803,B1313,MOVIMIENTOS_COMPLEMENTOS!$E$4:$E$803,C1313,MOVIMIENTOS_COMPLEMENTOS!$G$4:$G$803,E1313,MOVIMIENTOS_COMPLEMENTOS!$H$4:$H$803,G1313,MOVIMIENTOS_COMPLEMENTOS!$B$4:$B$803,"DE CORTE")-SUMIFS(MOVIMIENTOS_COMPLEMENTOS!$I$4:$I$803,MOVIMIENTOS_COMPLEMENTOS!$C$4:$C$803,A1313,MOVIMIENTOS_COMPLEMENTOS!$D$4:$D$803,B1313,MOVIMIENTOS_COMPLEMENTOS!$E$4:$E$803,C1313,MOVIMIENTOS_COMPLEMENTOS!$G$4:$G$803,E1313,MOVIMIENTOS_COMPLEMENTOS!$H$4:$H$803,G1313,MOVIMIENTOS_COMPLEMENTOS!$B$4:$B$803,"SALIDA"),0)</f>
        <v>0</v>
      </c>
      <c r="I1313" s="102">
        <f t="array" ref="I1313">IFERROR(INDEX(PRECIOS_COMPLEMENTOS!$C$4:$F$17,MATCH(B1313&amp;"_"&amp;C1313,PRECIOS_COMPLEMENTOS!$H$4:$H$17,0),IF(OR(G1313="S",G1313="20cm"),1,IF(OR(G1313="M",G1313="25cm"),2,IF(OR(G1313="L",G1313="30cm"),3,IF(OR(G1313="XL",G1313="35cm"),4,0))))),0)</f>
        <v>0.35</v>
      </c>
      <c r="J1313" s="103">
        <f t="shared" si="1"/>
        <v>0</v>
      </c>
      <c r="K1313" s="104" t="str">
        <f>IF(H1313&lt;0,"ERROR",IF(H1313=0,"",IF(H1313&lt;CONFIG!$B$4,"CRÍTICO",IF(H1313&lt;CONFIG!$B$5,"BAJO","OK"))))</f>
        <v/>
      </c>
    </row>
    <row r="1314" ht="15.75" hidden="1" customHeight="1">
      <c r="A1314" s="90" t="str">
        <f>IF(CLIENTES!A6="","",CLIENTES!A6)</f>
        <v/>
      </c>
      <c r="B1314" s="90" t="s">
        <v>324</v>
      </c>
      <c r="C1314" s="91" t="s">
        <v>322</v>
      </c>
      <c r="D1314" s="109" t="s">
        <v>353</v>
      </c>
      <c r="E1314" s="67" t="str">
        <f>COLORES!A19</f>
        <v/>
      </c>
      <c r="F1314" s="67" t="str">
        <f>COLORES!B19</f>
        <v/>
      </c>
      <c r="G1314" s="90" t="s">
        <v>376</v>
      </c>
      <c r="H1314" s="100">
        <f>IFERROR(SUMIFS(MOVIMIENTOS_COMPLEMENTOS!$I$4:$I$803,MOVIMIENTOS_COMPLEMENTOS!$C$4:$C$803,A1314,MOVIMIENTOS_COMPLEMENTOS!$D$4:$D$803,B1314,MOVIMIENTOS_COMPLEMENTOS!$E$4:$E$803,C1314,MOVIMIENTOS_COMPLEMENTOS!$G$4:$G$803,E1314,MOVIMIENTOS_COMPLEMENTOS!$H$4:$H$803,G1314,MOVIMIENTOS_COMPLEMENTOS!$B$4:$B$803,"INGRESO")+SUMIFS(MOVIMIENTOS_COMPLEMENTOS!$I$4:$I$803,MOVIMIENTOS_COMPLEMENTOS!$C$4:$C$803,A1314,MOVIMIENTOS_COMPLEMENTOS!$D$4:$D$803,B1314,MOVIMIENTOS_COMPLEMENTOS!$E$4:$E$803,C1314,MOVIMIENTOS_COMPLEMENTOS!$G$4:$G$803,E1314,MOVIMIENTOS_COMPLEMENTOS!$H$4:$H$803,G1314,MOVIMIENTOS_COMPLEMENTOS!$B$4:$B$803,"DE CORTE")-SUMIFS(MOVIMIENTOS_COMPLEMENTOS!$I$4:$I$803,MOVIMIENTOS_COMPLEMENTOS!$C$4:$C$803,A1314,MOVIMIENTOS_COMPLEMENTOS!$D$4:$D$803,B1314,MOVIMIENTOS_COMPLEMENTOS!$E$4:$E$803,C1314,MOVIMIENTOS_COMPLEMENTOS!$G$4:$G$803,E1314,MOVIMIENTOS_COMPLEMENTOS!$H$4:$H$803,G1314,MOVIMIENTOS_COMPLEMENTOS!$B$4:$B$803,"SALIDA"),0)</f>
        <v>0</v>
      </c>
      <c r="I1314" s="102">
        <f t="array" ref="I1314">IFERROR(INDEX(PRECIOS_COMPLEMENTOS!$C$4:$F$17,MATCH(B1314&amp;"_"&amp;C1314,PRECIOS_COMPLEMENTOS!$H$4:$H$17,0),IF(OR(G1314="S",G1314="20cm"),1,IF(OR(G1314="M",G1314="25cm"),2,IF(OR(G1314="L",G1314="30cm"),3,IF(OR(G1314="XL",G1314="35cm"),4,0))))),0)</f>
        <v>0.3</v>
      </c>
      <c r="J1314" s="103">
        <f t="shared" si="1"/>
        <v>0</v>
      </c>
      <c r="K1314" s="104" t="str">
        <f>IF(H1314&lt;0,"ERROR",IF(H1314=0,"",IF(H1314&lt;CONFIG!$B$4,"CRÍTICO",IF(H1314&lt;CONFIG!$B$5,"BAJO","OK"))))</f>
        <v/>
      </c>
    </row>
    <row r="1315" ht="15.75" hidden="1" customHeight="1">
      <c r="A1315" s="90" t="str">
        <f>IF(CLIENTES!A6="","",CLIENTES!A6)</f>
        <v/>
      </c>
      <c r="B1315" s="90" t="s">
        <v>324</v>
      </c>
      <c r="C1315" s="91" t="s">
        <v>322</v>
      </c>
      <c r="D1315" s="109" t="s">
        <v>353</v>
      </c>
      <c r="E1315" s="67" t="str">
        <f>COLORES!A19</f>
        <v/>
      </c>
      <c r="F1315" s="67" t="str">
        <f>COLORES!B19</f>
        <v/>
      </c>
      <c r="G1315" s="90" t="s">
        <v>377</v>
      </c>
      <c r="H1315" s="100">
        <f>IFERROR(SUMIFS(MOVIMIENTOS_COMPLEMENTOS!$I$4:$I$803,MOVIMIENTOS_COMPLEMENTOS!$C$4:$C$803,A1315,MOVIMIENTOS_COMPLEMENTOS!$D$4:$D$803,B1315,MOVIMIENTOS_COMPLEMENTOS!$E$4:$E$803,C1315,MOVIMIENTOS_COMPLEMENTOS!$G$4:$G$803,E1315,MOVIMIENTOS_COMPLEMENTOS!$H$4:$H$803,G1315,MOVIMIENTOS_COMPLEMENTOS!$B$4:$B$803,"INGRESO")+SUMIFS(MOVIMIENTOS_COMPLEMENTOS!$I$4:$I$803,MOVIMIENTOS_COMPLEMENTOS!$C$4:$C$803,A1315,MOVIMIENTOS_COMPLEMENTOS!$D$4:$D$803,B1315,MOVIMIENTOS_COMPLEMENTOS!$E$4:$E$803,C1315,MOVIMIENTOS_COMPLEMENTOS!$G$4:$G$803,E1315,MOVIMIENTOS_COMPLEMENTOS!$H$4:$H$803,G1315,MOVIMIENTOS_COMPLEMENTOS!$B$4:$B$803,"DE CORTE")-SUMIFS(MOVIMIENTOS_COMPLEMENTOS!$I$4:$I$803,MOVIMIENTOS_COMPLEMENTOS!$C$4:$C$803,A1315,MOVIMIENTOS_COMPLEMENTOS!$D$4:$D$803,B1315,MOVIMIENTOS_COMPLEMENTOS!$E$4:$E$803,C1315,MOVIMIENTOS_COMPLEMENTOS!$G$4:$G$803,E1315,MOVIMIENTOS_COMPLEMENTOS!$H$4:$H$803,G1315,MOVIMIENTOS_COMPLEMENTOS!$B$4:$B$803,"SALIDA"),0)</f>
        <v>0</v>
      </c>
      <c r="I1315" s="102">
        <f t="array" ref="I1315">IFERROR(INDEX(PRECIOS_COMPLEMENTOS!$C$4:$F$17,MATCH(B1315&amp;"_"&amp;C1315,PRECIOS_COMPLEMENTOS!$H$4:$H$17,0),IF(OR(G1315="S",G1315="20cm"),1,IF(OR(G1315="M",G1315="25cm"),2,IF(OR(G1315="L",G1315="30cm"),3,IF(OR(G1315="XL",G1315="35cm"),4,0))))),0)</f>
        <v>0.35</v>
      </c>
      <c r="J1315" s="103">
        <f t="shared" si="1"/>
        <v>0</v>
      </c>
      <c r="K1315" s="104" t="str">
        <f>IF(H1315&lt;0,"ERROR",IF(H1315=0,"",IF(H1315&lt;CONFIG!$B$4,"CRÍTICO",IF(H1315&lt;CONFIG!$B$5,"BAJO","OK"))))</f>
        <v/>
      </c>
    </row>
    <row r="1316" ht="15.75" hidden="1" customHeight="1">
      <c r="A1316" s="90" t="str">
        <f>IF(CLIENTES!A6="","",CLIENTES!A6)</f>
        <v/>
      </c>
      <c r="B1316" s="90" t="s">
        <v>324</v>
      </c>
      <c r="C1316" s="91" t="s">
        <v>322</v>
      </c>
      <c r="D1316" s="109" t="s">
        <v>353</v>
      </c>
      <c r="E1316" s="67" t="str">
        <f>COLORES!A20</f>
        <v/>
      </c>
      <c r="F1316" s="67" t="str">
        <f>COLORES!B20</f>
        <v/>
      </c>
      <c r="G1316" s="90" t="s">
        <v>376</v>
      </c>
      <c r="H1316" s="100">
        <f>IFERROR(SUMIFS(MOVIMIENTOS_COMPLEMENTOS!$I$4:$I$803,MOVIMIENTOS_COMPLEMENTOS!$C$4:$C$803,A1316,MOVIMIENTOS_COMPLEMENTOS!$D$4:$D$803,B1316,MOVIMIENTOS_COMPLEMENTOS!$E$4:$E$803,C1316,MOVIMIENTOS_COMPLEMENTOS!$G$4:$G$803,E1316,MOVIMIENTOS_COMPLEMENTOS!$H$4:$H$803,G1316,MOVIMIENTOS_COMPLEMENTOS!$B$4:$B$803,"INGRESO")+SUMIFS(MOVIMIENTOS_COMPLEMENTOS!$I$4:$I$803,MOVIMIENTOS_COMPLEMENTOS!$C$4:$C$803,A1316,MOVIMIENTOS_COMPLEMENTOS!$D$4:$D$803,B1316,MOVIMIENTOS_COMPLEMENTOS!$E$4:$E$803,C1316,MOVIMIENTOS_COMPLEMENTOS!$G$4:$G$803,E1316,MOVIMIENTOS_COMPLEMENTOS!$H$4:$H$803,G1316,MOVIMIENTOS_COMPLEMENTOS!$B$4:$B$803,"DE CORTE")-SUMIFS(MOVIMIENTOS_COMPLEMENTOS!$I$4:$I$803,MOVIMIENTOS_COMPLEMENTOS!$C$4:$C$803,A1316,MOVIMIENTOS_COMPLEMENTOS!$D$4:$D$803,B1316,MOVIMIENTOS_COMPLEMENTOS!$E$4:$E$803,C1316,MOVIMIENTOS_COMPLEMENTOS!$G$4:$G$803,E1316,MOVIMIENTOS_COMPLEMENTOS!$H$4:$H$803,G1316,MOVIMIENTOS_COMPLEMENTOS!$B$4:$B$803,"SALIDA"),0)</f>
        <v>0</v>
      </c>
      <c r="I1316" s="102">
        <f t="array" ref="I1316">IFERROR(INDEX(PRECIOS_COMPLEMENTOS!$C$4:$F$17,MATCH(B1316&amp;"_"&amp;C1316,PRECIOS_COMPLEMENTOS!$H$4:$H$17,0),IF(OR(G1316="S",G1316="20cm"),1,IF(OR(G1316="M",G1316="25cm"),2,IF(OR(G1316="L",G1316="30cm"),3,IF(OR(G1316="XL",G1316="35cm"),4,0))))),0)</f>
        <v>0.3</v>
      </c>
      <c r="J1316" s="103">
        <f t="shared" si="1"/>
        <v>0</v>
      </c>
      <c r="K1316" s="104" t="str">
        <f>IF(H1316&lt;0,"ERROR",IF(H1316=0,"",IF(H1316&lt;CONFIG!$B$4,"CRÍTICO",IF(H1316&lt;CONFIG!$B$5,"BAJO","OK"))))</f>
        <v/>
      </c>
    </row>
    <row r="1317" ht="15.75" hidden="1" customHeight="1">
      <c r="A1317" s="90" t="str">
        <f>IF(CLIENTES!A6="","",CLIENTES!A6)</f>
        <v/>
      </c>
      <c r="B1317" s="90" t="s">
        <v>324</v>
      </c>
      <c r="C1317" s="91" t="s">
        <v>322</v>
      </c>
      <c r="D1317" s="109" t="s">
        <v>353</v>
      </c>
      <c r="E1317" s="67" t="str">
        <f>COLORES!A20</f>
        <v/>
      </c>
      <c r="F1317" s="67" t="str">
        <f>COLORES!B20</f>
        <v/>
      </c>
      <c r="G1317" s="90" t="s">
        <v>377</v>
      </c>
      <c r="H1317" s="100">
        <f>IFERROR(SUMIFS(MOVIMIENTOS_COMPLEMENTOS!$I$4:$I$803,MOVIMIENTOS_COMPLEMENTOS!$C$4:$C$803,A1317,MOVIMIENTOS_COMPLEMENTOS!$D$4:$D$803,B1317,MOVIMIENTOS_COMPLEMENTOS!$E$4:$E$803,C1317,MOVIMIENTOS_COMPLEMENTOS!$G$4:$G$803,E1317,MOVIMIENTOS_COMPLEMENTOS!$H$4:$H$803,G1317,MOVIMIENTOS_COMPLEMENTOS!$B$4:$B$803,"INGRESO")+SUMIFS(MOVIMIENTOS_COMPLEMENTOS!$I$4:$I$803,MOVIMIENTOS_COMPLEMENTOS!$C$4:$C$803,A1317,MOVIMIENTOS_COMPLEMENTOS!$D$4:$D$803,B1317,MOVIMIENTOS_COMPLEMENTOS!$E$4:$E$803,C1317,MOVIMIENTOS_COMPLEMENTOS!$G$4:$G$803,E1317,MOVIMIENTOS_COMPLEMENTOS!$H$4:$H$803,G1317,MOVIMIENTOS_COMPLEMENTOS!$B$4:$B$803,"DE CORTE")-SUMIFS(MOVIMIENTOS_COMPLEMENTOS!$I$4:$I$803,MOVIMIENTOS_COMPLEMENTOS!$C$4:$C$803,A1317,MOVIMIENTOS_COMPLEMENTOS!$D$4:$D$803,B1317,MOVIMIENTOS_COMPLEMENTOS!$E$4:$E$803,C1317,MOVIMIENTOS_COMPLEMENTOS!$G$4:$G$803,E1317,MOVIMIENTOS_COMPLEMENTOS!$H$4:$H$803,G1317,MOVIMIENTOS_COMPLEMENTOS!$B$4:$B$803,"SALIDA"),0)</f>
        <v>0</v>
      </c>
      <c r="I1317" s="102">
        <f t="array" ref="I1317">IFERROR(INDEX(PRECIOS_COMPLEMENTOS!$C$4:$F$17,MATCH(B1317&amp;"_"&amp;C1317,PRECIOS_COMPLEMENTOS!$H$4:$H$17,0),IF(OR(G1317="S",G1317="20cm"),1,IF(OR(G1317="M",G1317="25cm"),2,IF(OR(G1317="L",G1317="30cm"),3,IF(OR(G1317="XL",G1317="35cm"),4,0))))),0)</f>
        <v>0.35</v>
      </c>
      <c r="J1317" s="103">
        <f t="shared" si="1"/>
        <v>0</v>
      </c>
      <c r="K1317" s="104" t="str">
        <f>IF(H1317&lt;0,"ERROR",IF(H1317=0,"",IF(H1317&lt;CONFIG!$B$4,"CRÍTICO",IF(H1317&lt;CONFIG!$B$5,"BAJO","OK"))))</f>
        <v/>
      </c>
    </row>
    <row r="1318" ht="15.75" hidden="1" customHeight="1">
      <c r="A1318" s="90" t="str">
        <f>IF(CLIENTES!A6="","",CLIENTES!A6)</f>
        <v/>
      </c>
      <c r="B1318" s="90" t="s">
        <v>324</v>
      </c>
      <c r="C1318" s="91" t="s">
        <v>322</v>
      </c>
      <c r="D1318" s="109" t="s">
        <v>353</v>
      </c>
      <c r="E1318" s="67" t="str">
        <f>COLORES!A21</f>
        <v/>
      </c>
      <c r="F1318" s="67" t="str">
        <f>COLORES!B21</f>
        <v/>
      </c>
      <c r="G1318" s="90" t="s">
        <v>376</v>
      </c>
      <c r="H1318" s="100">
        <f>IFERROR(SUMIFS(MOVIMIENTOS_COMPLEMENTOS!$I$4:$I$803,MOVIMIENTOS_COMPLEMENTOS!$C$4:$C$803,A1318,MOVIMIENTOS_COMPLEMENTOS!$D$4:$D$803,B1318,MOVIMIENTOS_COMPLEMENTOS!$E$4:$E$803,C1318,MOVIMIENTOS_COMPLEMENTOS!$G$4:$G$803,E1318,MOVIMIENTOS_COMPLEMENTOS!$H$4:$H$803,G1318,MOVIMIENTOS_COMPLEMENTOS!$B$4:$B$803,"INGRESO")+SUMIFS(MOVIMIENTOS_COMPLEMENTOS!$I$4:$I$803,MOVIMIENTOS_COMPLEMENTOS!$C$4:$C$803,A1318,MOVIMIENTOS_COMPLEMENTOS!$D$4:$D$803,B1318,MOVIMIENTOS_COMPLEMENTOS!$E$4:$E$803,C1318,MOVIMIENTOS_COMPLEMENTOS!$G$4:$G$803,E1318,MOVIMIENTOS_COMPLEMENTOS!$H$4:$H$803,G1318,MOVIMIENTOS_COMPLEMENTOS!$B$4:$B$803,"DE CORTE")-SUMIFS(MOVIMIENTOS_COMPLEMENTOS!$I$4:$I$803,MOVIMIENTOS_COMPLEMENTOS!$C$4:$C$803,A1318,MOVIMIENTOS_COMPLEMENTOS!$D$4:$D$803,B1318,MOVIMIENTOS_COMPLEMENTOS!$E$4:$E$803,C1318,MOVIMIENTOS_COMPLEMENTOS!$G$4:$G$803,E1318,MOVIMIENTOS_COMPLEMENTOS!$H$4:$H$803,G1318,MOVIMIENTOS_COMPLEMENTOS!$B$4:$B$803,"SALIDA"),0)</f>
        <v>0</v>
      </c>
      <c r="I1318" s="102">
        <f t="array" ref="I1318">IFERROR(INDEX(PRECIOS_COMPLEMENTOS!$C$4:$F$17,MATCH(B1318&amp;"_"&amp;C1318,PRECIOS_COMPLEMENTOS!$H$4:$H$17,0),IF(OR(G1318="S",G1318="20cm"),1,IF(OR(G1318="M",G1318="25cm"),2,IF(OR(G1318="L",G1318="30cm"),3,IF(OR(G1318="XL",G1318="35cm"),4,0))))),0)</f>
        <v>0.3</v>
      </c>
      <c r="J1318" s="103">
        <f t="shared" si="1"/>
        <v>0</v>
      </c>
      <c r="K1318" s="104" t="str">
        <f>IF(H1318&lt;0,"ERROR",IF(H1318=0,"",IF(H1318&lt;CONFIG!$B$4,"CRÍTICO",IF(H1318&lt;CONFIG!$B$5,"BAJO","OK"))))</f>
        <v/>
      </c>
    </row>
    <row r="1319" ht="15.75" hidden="1" customHeight="1">
      <c r="A1319" s="90" t="str">
        <f>IF(CLIENTES!A6="","",CLIENTES!A6)</f>
        <v/>
      </c>
      <c r="B1319" s="90" t="s">
        <v>324</v>
      </c>
      <c r="C1319" s="91" t="s">
        <v>322</v>
      </c>
      <c r="D1319" s="109" t="s">
        <v>353</v>
      </c>
      <c r="E1319" s="67" t="str">
        <f>COLORES!A21</f>
        <v/>
      </c>
      <c r="F1319" s="67" t="str">
        <f>COLORES!B21</f>
        <v/>
      </c>
      <c r="G1319" s="90" t="s">
        <v>377</v>
      </c>
      <c r="H1319" s="100">
        <f>IFERROR(SUMIFS(MOVIMIENTOS_COMPLEMENTOS!$I$4:$I$803,MOVIMIENTOS_COMPLEMENTOS!$C$4:$C$803,A1319,MOVIMIENTOS_COMPLEMENTOS!$D$4:$D$803,B1319,MOVIMIENTOS_COMPLEMENTOS!$E$4:$E$803,C1319,MOVIMIENTOS_COMPLEMENTOS!$G$4:$G$803,E1319,MOVIMIENTOS_COMPLEMENTOS!$H$4:$H$803,G1319,MOVIMIENTOS_COMPLEMENTOS!$B$4:$B$803,"INGRESO")+SUMIFS(MOVIMIENTOS_COMPLEMENTOS!$I$4:$I$803,MOVIMIENTOS_COMPLEMENTOS!$C$4:$C$803,A1319,MOVIMIENTOS_COMPLEMENTOS!$D$4:$D$803,B1319,MOVIMIENTOS_COMPLEMENTOS!$E$4:$E$803,C1319,MOVIMIENTOS_COMPLEMENTOS!$G$4:$G$803,E1319,MOVIMIENTOS_COMPLEMENTOS!$H$4:$H$803,G1319,MOVIMIENTOS_COMPLEMENTOS!$B$4:$B$803,"DE CORTE")-SUMIFS(MOVIMIENTOS_COMPLEMENTOS!$I$4:$I$803,MOVIMIENTOS_COMPLEMENTOS!$C$4:$C$803,A1319,MOVIMIENTOS_COMPLEMENTOS!$D$4:$D$803,B1319,MOVIMIENTOS_COMPLEMENTOS!$E$4:$E$803,C1319,MOVIMIENTOS_COMPLEMENTOS!$G$4:$G$803,E1319,MOVIMIENTOS_COMPLEMENTOS!$H$4:$H$803,G1319,MOVIMIENTOS_COMPLEMENTOS!$B$4:$B$803,"SALIDA"),0)</f>
        <v>0</v>
      </c>
      <c r="I1319" s="102">
        <f t="array" ref="I1319">IFERROR(INDEX(PRECIOS_COMPLEMENTOS!$C$4:$F$17,MATCH(B1319&amp;"_"&amp;C1319,PRECIOS_COMPLEMENTOS!$H$4:$H$17,0),IF(OR(G1319="S",G1319="20cm"),1,IF(OR(G1319="M",G1319="25cm"),2,IF(OR(G1319="L",G1319="30cm"),3,IF(OR(G1319="XL",G1319="35cm"),4,0))))),0)</f>
        <v>0.35</v>
      </c>
      <c r="J1319" s="103">
        <f t="shared" si="1"/>
        <v>0</v>
      </c>
      <c r="K1319" s="104" t="str">
        <f>IF(H1319&lt;0,"ERROR",IF(H1319=0,"",IF(H1319&lt;CONFIG!$B$4,"CRÍTICO",IF(H1319&lt;CONFIG!$B$5,"BAJO","OK"))))</f>
        <v/>
      </c>
    </row>
    <row r="1320" ht="15.75" hidden="1" customHeight="1">
      <c r="A1320" s="90" t="str">
        <f>IF(CLIENTES!A6="","",CLIENTES!A6)</f>
        <v/>
      </c>
      <c r="B1320" s="90" t="s">
        <v>324</v>
      </c>
      <c r="C1320" s="91" t="s">
        <v>322</v>
      </c>
      <c r="D1320" s="109" t="s">
        <v>353</v>
      </c>
      <c r="E1320" s="67" t="str">
        <f>COLORES!A22</f>
        <v/>
      </c>
      <c r="F1320" s="67" t="str">
        <f>COLORES!B22</f>
        <v/>
      </c>
      <c r="G1320" s="90" t="s">
        <v>376</v>
      </c>
      <c r="H1320" s="100">
        <f>IFERROR(SUMIFS(MOVIMIENTOS_COMPLEMENTOS!$I$4:$I$803,MOVIMIENTOS_COMPLEMENTOS!$C$4:$C$803,A1320,MOVIMIENTOS_COMPLEMENTOS!$D$4:$D$803,B1320,MOVIMIENTOS_COMPLEMENTOS!$E$4:$E$803,C1320,MOVIMIENTOS_COMPLEMENTOS!$G$4:$G$803,E1320,MOVIMIENTOS_COMPLEMENTOS!$H$4:$H$803,G1320,MOVIMIENTOS_COMPLEMENTOS!$B$4:$B$803,"INGRESO")+SUMIFS(MOVIMIENTOS_COMPLEMENTOS!$I$4:$I$803,MOVIMIENTOS_COMPLEMENTOS!$C$4:$C$803,A1320,MOVIMIENTOS_COMPLEMENTOS!$D$4:$D$803,B1320,MOVIMIENTOS_COMPLEMENTOS!$E$4:$E$803,C1320,MOVIMIENTOS_COMPLEMENTOS!$G$4:$G$803,E1320,MOVIMIENTOS_COMPLEMENTOS!$H$4:$H$803,G1320,MOVIMIENTOS_COMPLEMENTOS!$B$4:$B$803,"DE CORTE")-SUMIFS(MOVIMIENTOS_COMPLEMENTOS!$I$4:$I$803,MOVIMIENTOS_COMPLEMENTOS!$C$4:$C$803,A1320,MOVIMIENTOS_COMPLEMENTOS!$D$4:$D$803,B1320,MOVIMIENTOS_COMPLEMENTOS!$E$4:$E$803,C1320,MOVIMIENTOS_COMPLEMENTOS!$G$4:$G$803,E1320,MOVIMIENTOS_COMPLEMENTOS!$H$4:$H$803,G1320,MOVIMIENTOS_COMPLEMENTOS!$B$4:$B$803,"SALIDA"),0)</f>
        <v>0</v>
      </c>
      <c r="I1320" s="102">
        <f t="array" ref="I1320">IFERROR(INDEX(PRECIOS_COMPLEMENTOS!$C$4:$F$17,MATCH(B1320&amp;"_"&amp;C1320,PRECIOS_COMPLEMENTOS!$H$4:$H$17,0),IF(OR(G1320="S",G1320="20cm"),1,IF(OR(G1320="M",G1320="25cm"),2,IF(OR(G1320="L",G1320="30cm"),3,IF(OR(G1320="XL",G1320="35cm"),4,0))))),0)</f>
        <v>0.3</v>
      </c>
      <c r="J1320" s="103">
        <f t="shared" si="1"/>
        <v>0</v>
      </c>
      <c r="K1320" s="104" t="str">
        <f>IF(H1320&lt;0,"ERROR",IF(H1320=0,"",IF(H1320&lt;CONFIG!$B$4,"CRÍTICO",IF(H1320&lt;CONFIG!$B$5,"BAJO","OK"))))</f>
        <v/>
      </c>
    </row>
    <row r="1321" ht="15.75" hidden="1" customHeight="1">
      <c r="A1321" s="90" t="str">
        <f>IF(CLIENTES!A6="","",CLIENTES!A6)</f>
        <v/>
      </c>
      <c r="B1321" s="90" t="s">
        <v>324</v>
      </c>
      <c r="C1321" s="91" t="s">
        <v>322</v>
      </c>
      <c r="D1321" s="109" t="s">
        <v>353</v>
      </c>
      <c r="E1321" s="67" t="str">
        <f>COLORES!A22</f>
        <v/>
      </c>
      <c r="F1321" s="67" t="str">
        <f>COLORES!B22</f>
        <v/>
      </c>
      <c r="G1321" s="90" t="s">
        <v>377</v>
      </c>
      <c r="H1321" s="100">
        <f>IFERROR(SUMIFS(MOVIMIENTOS_COMPLEMENTOS!$I$4:$I$803,MOVIMIENTOS_COMPLEMENTOS!$C$4:$C$803,A1321,MOVIMIENTOS_COMPLEMENTOS!$D$4:$D$803,B1321,MOVIMIENTOS_COMPLEMENTOS!$E$4:$E$803,C1321,MOVIMIENTOS_COMPLEMENTOS!$G$4:$G$803,E1321,MOVIMIENTOS_COMPLEMENTOS!$H$4:$H$803,G1321,MOVIMIENTOS_COMPLEMENTOS!$B$4:$B$803,"INGRESO")+SUMIFS(MOVIMIENTOS_COMPLEMENTOS!$I$4:$I$803,MOVIMIENTOS_COMPLEMENTOS!$C$4:$C$803,A1321,MOVIMIENTOS_COMPLEMENTOS!$D$4:$D$803,B1321,MOVIMIENTOS_COMPLEMENTOS!$E$4:$E$803,C1321,MOVIMIENTOS_COMPLEMENTOS!$G$4:$G$803,E1321,MOVIMIENTOS_COMPLEMENTOS!$H$4:$H$803,G1321,MOVIMIENTOS_COMPLEMENTOS!$B$4:$B$803,"DE CORTE")-SUMIFS(MOVIMIENTOS_COMPLEMENTOS!$I$4:$I$803,MOVIMIENTOS_COMPLEMENTOS!$C$4:$C$803,A1321,MOVIMIENTOS_COMPLEMENTOS!$D$4:$D$803,B1321,MOVIMIENTOS_COMPLEMENTOS!$E$4:$E$803,C1321,MOVIMIENTOS_COMPLEMENTOS!$G$4:$G$803,E1321,MOVIMIENTOS_COMPLEMENTOS!$H$4:$H$803,G1321,MOVIMIENTOS_COMPLEMENTOS!$B$4:$B$803,"SALIDA"),0)</f>
        <v>0</v>
      </c>
      <c r="I1321" s="102">
        <f t="array" ref="I1321">IFERROR(INDEX(PRECIOS_COMPLEMENTOS!$C$4:$F$17,MATCH(B1321&amp;"_"&amp;C1321,PRECIOS_COMPLEMENTOS!$H$4:$H$17,0),IF(OR(G1321="S",G1321="20cm"),1,IF(OR(G1321="M",G1321="25cm"),2,IF(OR(G1321="L",G1321="30cm"),3,IF(OR(G1321="XL",G1321="35cm"),4,0))))),0)</f>
        <v>0.35</v>
      </c>
      <c r="J1321" s="103">
        <f t="shared" si="1"/>
        <v>0</v>
      </c>
      <c r="K1321" s="104" t="str">
        <f>IF(H1321&lt;0,"ERROR",IF(H1321=0,"",IF(H1321&lt;CONFIG!$B$4,"CRÍTICO",IF(H1321&lt;CONFIG!$B$5,"BAJO","OK"))))</f>
        <v/>
      </c>
    </row>
    <row r="1322" ht="15.75" hidden="1" customHeight="1">
      <c r="A1322" s="90" t="str">
        <f>IF(CLIENTES!A6="","",CLIENTES!A6)</f>
        <v/>
      </c>
      <c r="B1322" s="90" t="s">
        <v>324</v>
      </c>
      <c r="C1322" s="91" t="s">
        <v>322</v>
      </c>
      <c r="D1322" s="109" t="s">
        <v>353</v>
      </c>
      <c r="E1322" s="67" t="str">
        <f>COLORES!A23</f>
        <v/>
      </c>
      <c r="F1322" s="67" t="str">
        <f>COLORES!B23</f>
        <v/>
      </c>
      <c r="G1322" s="90" t="s">
        <v>376</v>
      </c>
      <c r="H1322" s="100">
        <f>IFERROR(SUMIFS(MOVIMIENTOS_COMPLEMENTOS!$I$4:$I$803,MOVIMIENTOS_COMPLEMENTOS!$C$4:$C$803,A1322,MOVIMIENTOS_COMPLEMENTOS!$D$4:$D$803,B1322,MOVIMIENTOS_COMPLEMENTOS!$E$4:$E$803,C1322,MOVIMIENTOS_COMPLEMENTOS!$G$4:$G$803,E1322,MOVIMIENTOS_COMPLEMENTOS!$H$4:$H$803,G1322,MOVIMIENTOS_COMPLEMENTOS!$B$4:$B$803,"INGRESO")+SUMIFS(MOVIMIENTOS_COMPLEMENTOS!$I$4:$I$803,MOVIMIENTOS_COMPLEMENTOS!$C$4:$C$803,A1322,MOVIMIENTOS_COMPLEMENTOS!$D$4:$D$803,B1322,MOVIMIENTOS_COMPLEMENTOS!$E$4:$E$803,C1322,MOVIMIENTOS_COMPLEMENTOS!$G$4:$G$803,E1322,MOVIMIENTOS_COMPLEMENTOS!$H$4:$H$803,G1322,MOVIMIENTOS_COMPLEMENTOS!$B$4:$B$803,"DE CORTE")-SUMIFS(MOVIMIENTOS_COMPLEMENTOS!$I$4:$I$803,MOVIMIENTOS_COMPLEMENTOS!$C$4:$C$803,A1322,MOVIMIENTOS_COMPLEMENTOS!$D$4:$D$803,B1322,MOVIMIENTOS_COMPLEMENTOS!$E$4:$E$803,C1322,MOVIMIENTOS_COMPLEMENTOS!$G$4:$G$803,E1322,MOVIMIENTOS_COMPLEMENTOS!$H$4:$H$803,G1322,MOVIMIENTOS_COMPLEMENTOS!$B$4:$B$803,"SALIDA"),0)</f>
        <v>0</v>
      </c>
      <c r="I1322" s="102">
        <f t="array" ref="I1322">IFERROR(INDEX(PRECIOS_COMPLEMENTOS!$C$4:$F$17,MATCH(B1322&amp;"_"&amp;C1322,PRECIOS_COMPLEMENTOS!$H$4:$H$17,0),IF(OR(G1322="S",G1322="20cm"),1,IF(OR(G1322="M",G1322="25cm"),2,IF(OR(G1322="L",G1322="30cm"),3,IF(OR(G1322="XL",G1322="35cm"),4,0))))),0)</f>
        <v>0.3</v>
      </c>
      <c r="J1322" s="103">
        <f t="shared" si="1"/>
        <v>0</v>
      </c>
      <c r="K1322" s="104" t="str">
        <f>IF(H1322&lt;0,"ERROR",IF(H1322=0,"",IF(H1322&lt;CONFIG!$B$4,"CRÍTICO",IF(H1322&lt;CONFIG!$B$5,"BAJO","OK"))))</f>
        <v/>
      </c>
    </row>
    <row r="1323" ht="15.75" hidden="1" customHeight="1">
      <c r="A1323" s="90" t="str">
        <f>IF(CLIENTES!A6="","",CLIENTES!A6)</f>
        <v/>
      </c>
      <c r="B1323" s="90" t="s">
        <v>324</v>
      </c>
      <c r="C1323" s="91" t="s">
        <v>322</v>
      </c>
      <c r="D1323" s="109" t="s">
        <v>353</v>
      </c>
      <c r="E1323" s="67" t="str">
        <f>COLORES!A23</f>
        <v/>
      </c>
      <c r="F1323" s="67" t="str">
        <f>COLORES!B23</f>
        <v/>
      </c>
      <c r="G1323" s="90" t="s">
        <v>377</v>
      </c>
      <c r="H1323" s="100">
        <f>IFERROR(SUMIFS(MOVIMIENTOS_COMPLEMENTOS!$I$4:$I$803,MOVIMIENTOS_COMPLEMENTOS!$C$4:$C$803,A1323,MOVIMIENTOS_COMPLEMENTOS!$D$4:$D$803,B1323,MOVIMIENTOS_COMPLEMENTOS!$E$4:$E$803,C1323,MOVIMIENTOS_COMPLEMENTOS!$G$4:$G$803,E1323,MOVIMIENTOS_COMPLEMENTOS!$H$4:$H$803,G1323,MOVIMIENTOS_COMPLEMENTOS!$B$4:$B$803,"INGRESO")+SUMIFS(MOVIMIENTOS_COMPLEMENTOS!$I$4:$I$803,MOVIMIENTOS_COMPLEMENTOS!$C$4:$C$803,A1323,MOVIMIENTOS_COMPLEMENTOS!$D$4:$D$803,B1323,MOVIMIENTOS_COMPLEMENTOS!$E$4:$E$803,C1323,MOVIMIENTOS_COMPLEMENTOS!$G$4:$G$803,E1323,MOVIMIENTOS_COMPLEMENTOS!$H$4:$H$803,G1323,MOVIMIENTOS_COMPLEMENTOS!$B$4:$B$803,"DE CORTE")-SUMIFS(MOVIMIENTOS_COMPLEMENTOS!$I$4:$I$803,MOVIMIENTOS_COMPLEMENTOS!$C$4:$C$803,A1323,MOVIMIENTOS_COMPLEMENTOS!$D$4:$D$803,B1323,MOVIMIENTOS_COMPLEMENTOS!$E$4:$E$803,C1323,MOVIMIENTOS_COMPLEMENTOS!$G$4:$G$803,E1323,MOVIMIENTOS_COMPLEMENTOS!$H$4:$H$803,G1323,MOVIMIENTOS_COMPLEMENTOS!$B$4:$B$803,"SALIDA"),0)</f>
        <v>0</v>
      </c>
      <c r="I1323" s="102">
        <f t="array" ref="I1323">IFERROR(INDEX(PRECIOS_COMPLEMENTOS!$C$4:$F$17,MATCH(B1323&amp;"_"&amp;C1323,PRECIOS_COMPLEMENTOS!$H$4:$H$17,0),IF(OR(G1323="S",G1323="20cm"),1,IF(OR(G1323="M",G1323="25cm"),2,IF(OR(G1323="L",G1323="30cm"),3,IF(OR(G1323="XL",G1323="35cm"),4,0))))),0)</f>
        <v>0.35</v>
      </c>
      <c r="J1323" s="103">
        <f t="shared" si="1"/>
        <v>0</v>
      </c>
      <c r="K1323" s="104" t="str">
        <f>IF(H1323&lt;0,"ERROR",IF(H1323=0,"",IF(H1323&lt;CONFIG!$B$4,"CRÍTICO",IF(H1323&lt;CONFIG!$B$5,"BAJO","OK"))))</f>
        <v/>
      </c>
    </row>
    <row r="1324" ht="15.75" hidden="1" customHeight="1">
      <c r="A1324" s="90" t="str">
        <f>IF(CLIENTES!A7="","",CLIENTES!A7)</f>
        <v/>
      </c>
      <c r="B1324" s="90" t="s">
        <v>324</v>
      </c>
      <c r="C1324" s="91" t="s">
        <v>322</v>
      </c>
      <c r="D1324" s="109" t="s">
        <v>353</v>
      </c>
      <c r="E1324" s="67" t="str">
        <f>COLORES!A4</f>
        <v>Negro</v>
      </c>
      <c r="F1324" s="67" t="str">
        <f>COLORES!B4</f>
        <v>OSCURO</v>
      </c>
      <c r="G1324" s="90" t="s">
        <v>376</v>
      </c>
      <c r="H1324" s="100">
        <f>IFERROR(SUMIFS(MOVIMIENTOS_COMPLEMENTOS!$I$4:$I$803,MOVIMIENTOS_COMPLEMENTOS!$C$4:$C$803,A1324,MOVIMIENTOS_COMPLEMENTOS!$D$4:$D$803,B1324,MOVIMIENTOS_COMPLEMENTOS!$E$4:$E$803,C1324,MOVIMIENTOS_COMPLEMENTOS!$G$4:$G$803,E1324,MOVIMIENTOS_COMPLEMENTOS!$H$4:$H$803,G1324,MOVIMIENTOS_COMPLEMENTOS!$B$4:$B$803,"INGRESO")+SUMIFS(MOVIMIENTOS_COMPLEMENTOS!$I$4:$I$803,MOVIMIENTOS_COMPLEMENTOS!$C$4:$C$803,A1324,MOVIMIENTOS_COMPLEMENTOS!$D$4:$D$803,B1324,MOVIMIENTOS_COMPLEMENTOS!$E$4:$E$803,C1324,MOVIMIENTOS_COMPLEMENTOS!$G$4:$G$803,E1324,MOVIMIENTOS_COMPLEMENTOS!$H$4:$H$803,G1324,MOVIMIENTOS_COMPLEMENTOS!$B$4:$B$803,"DE CORTE")-SUMIFS(MOVIMIENTOS_COMPLEMENTOS!$I$4:$I$803,MOVIMIENTOS_COMPLEMENTOS!$C$4:$C$803,A1324,MOVIMIENTOS_COMPLEMENTOS!$D$4:$D$803,B1324,MOVIMIENTOS_COMPLEMENTOS!$E$4:$E$803,C1324,MOVIMIENTOS_COMPLEMENTOS!$G$4:$G$803,E1324,MOVIMIENTOS_COMPLEMENTOS!$H$4:$H$803,G1324,MOVIMIENTOS_COMPLEMENTOS!$B$4:$B$803,"SALIDA"),0)</f>
        <v>0</v>
      </c>
      <c r="I1324" s="102">
        <f t="array" ref="I1324">IFERROR(INDEX(PRECIOS_COMPLEMENTOS!$C$4:$F$17,MATCH(B1324&amp;"_"&amp;C1324,PRECIOS_COMPLEMENTOS!$H$4:$H$17,0),IF(OR(G1324="S",G1324="20cm"),1,IF(OR(G1324="M",G1324="25cm"),2,IF(OR(G1324="L",G1324="30cm"),3,IF(OR(G1324="XL",G1324="35cm"),4,0))))),0)</f>
        <v>0.3</v>
      </c>
      <c r="J1324" s="103">
        <f t="shared" si="1"/>
        <v>0</v>
      </c>
      <c r="K1324" s="104" t="str">
        <f>IF(H1324&lt;0,"ERROR",IF(H1324=0,"",IF(H1324&lt;CONFIG!$B$4,"CRÍTICO",IF(H1324&lt;CONFIG!$B$5,"BAJO","OK"))))</f>
        <v/>
      </c>
    </row>
    <row r="1325" ht="15.75" hidden="1" customHeight="1">
      <c r="A1325" s="90" t="str">
        <f>IF(CLIENTES!A7="","",CLIENTES!A7)</f>
        <v/>
      </c>
      <c r="B1325" s="90" t="s">
        <v>324</v>
      </c>
      <c r="C1325" s="91" t="s">
        <v>322</v>
      </c>
      <c r="D1325" s="109" t="s">
        <v>353</v>
      </c>
      <c r="E1325" s="67" t="str">
        <f>COLORES!A4</f>
        <v>Negro</v>
      </c>
      <c r="F1325" s="67" t="str">
        <f>COLORES!B4</f>
        <v>OSCURO</v>
      </c>
      <c r="G1325" s="90" t="s">
        <v>377</v>
      </c>
      <c r="H1325" s="100">
        <f>IFERROR(SUMIFS(MOVIMIENTOS_COMPLEMENTOS!$I$4:$I$803,MOVIMIENTOS_COMPLEMENTOS!$C$4:$C$803,A1325,MOVIMIENTOS_COMPLEMENTOS!$D$4:$D$803,B1325,MOVIMIENTOS_COMPLEMENTOS!$E$4:$E$803,C1325,MOVIMIENTOS_COMPLEMENTOS!$G$4:$G$803,E1325,MOVIMIENTOS_COMPLEMENTOS!$H$4:$H$803,G1325,MOVIMIENTOS_COMPLEMENTOS!$B$4:$B$803,"INGRESO")+SUMIFS(MOVIMIENTOS_COMPLEMENTOS!$I$4:$I$803,MOVIMIENTOS_COMPLEMENTOS!$C$4:$C$803,A1325,MOVIMIENTOS_COMPLEMENTOS!$D$4:$D$803,B1325,MOVIMIENTOS_COMPLEMENTOS!$E$4:$E$803,C1325,MOVIMIENTOS_COMPLEMENTOS!$G$4:$G$803,E1325,MOVIMIENTOS_COMPLEMENTOS!$H$4:$H$803,G1325,MOVIMIENTOS_COMPLEMENTOS!$B$4:$B$803,"DE CORTE")-SUMIFS(MOVIMIENTOS_COMPLEMENTOS!$I$4:$I$803,MOVIMIENTOS_COMPLEMENTOS!$C$4:$C$803,A1325,MOVIMIENTOS_COMPLEMENTOS!$D$4:$D$803,B1325,MOVIMIENTOS_COMPLEMENTOS!$E$4:$E$803,C1325,MOVIMIENTOS_COMPLEMENTOS!$G$4:$G$803,E1325,MOVIMIENTOS_COMPLEMENTOS!$H$4:$H$803,G1325,MOVIMIENTOS_COMPLEMENTOS!$B$4:$B$803,"SALIDA"),0)</f>
        <v>0</v>
      </c>
      <c r="I1325" s="102">
        <f t="array" ref="I1325">IFERROR(INDEX(PRECIOS_COMPLEMENTOS!$C$4:$F$17,MATCH(B1325&amp;"_"&amp;C1325,PRECIOS_COMPLEMENTOS!$H$4:$H$17,0),IF(OR(G1325="S",G1325="20cm"),1,IF(OR(G1325="M",G1325="25cm"),2,IF(OR(G1325="L",G1325="30cm"),3,IF(OR(G1325="XL",G1325="35cm"),4,0))))),0)</f>
        <v>0.35</v>
      </c>
      <c r="J1325" s="103">
        <f t="shared" si="1"/>
        <v>0</v>
      </c>
      <c r="K1325" s="104" t="str">
        <f>IF(H1325&lt;0,"ERROR",IF(H1325=0,"",IF(H1325&lt;CONFIG!$B$4,"CRÍTICO",IF(H1325&lt;CONFIG!$B$5,"BAJO","OK"))))</f>
        <v/>
      </c>
    </row>
    <row r="1326" ht="15.75" hidden="1" customHeight="1">
      <c r="A1326" s="90" t="str">
        <f>IF(CLIENTES!A7="","",CLIENTES!A7)</f>
        <v/>
      </c>
      <c r="B1326" s="90" t="s">
        <v>324</v>
      </c>
      <c r="C1326" s="91" t="s">
        <v>322</v>
      </c>
      <c r="D1326" s="109" t="s">
        <v>353</v>
      </c>
      <c r="E1326" s="67" t="str">
        <f>COLORES!A5</f>
        <v>Perla</v>
      </c>
      <c r="F1326" s="67" t="str">
        <f>COLORES!B5</f>
        <v>PPT</v>
      </c>
      <c r="G1326" s="90" t="s">
        <v>376</v>
      </c>
      <c r="H1326" s="100">
        <f>IFERROR(SUMIFS(MOVIMIENTOS_COMPLEMENTOS!$I$4:$I$803,MOVIMIENTOS_COMPLEMENTOS!$C$4:$C$803,A1326,MOVIMIENTOS_COMPLEMENTOS!$D$4:$D$803,B1326,MOVIMIENTOS_COMPLEMENTOS!$E$4:$E$803,C1326,MOVIMIENTOS_COMPLEMENTOS!$G$4:$G$803,E1326,MOVIMIENTOS_COMPLEMENTOS!$H$4:$H$803,G1326,MOVIMIENTOS_COMPLEMENTOS!$B$4:$B$803,"INGRESO")+SUMIFS(MOVIMIENTOS_COMPLEMENTOS!$I$4:$I$803,MOVIMIENTOS_COMPLEMENTOS!$C$4:$C$803,A1326,MOVIMIENTOS_COMPLEMENTOS!$D$4:$D$803,B1326,MOVIMIENTOS_COMPLEMENTOS!$E$4:$E$803,C1326,MOVIMIENTOS_COMPLEMENTOS!$G$4:$G$803,E1326,MOVIMIENTOS_COMPLEMENTOS!$H$4:$H$803,G1326,MOVIMIENTOS_COMPLEMENTOS!$B$4:$B$803,"DE CORTE")-SUMIFS(MOVIMIENTOS_COMPLEMENTOS!$I$4:$I$803,MOVIMIENTOS_COMPLEMENTOS!$C$4:$C$803,A1326,MOVIMIENTOS_COMPLEMENTOS!$D$4:$D$803,B1326,MOVIMIENTOS_COMPLEMENTOS!$E$4:$E$803,C1326,MOVIMIENTOS_COMPLEMENTOS!$G$4:$G$803,E1326,MOVIMIENTOS_COMPLEMENTOS!$H$4:$H$803,G1326,MOVIMIENTOS_COMPLEMENTOS!$B$4:$B$803,"SALIDA"),0)</f>
        <v>0</v>
      </c>
      <c r="I1326" s="102">
        <f t="array" ref="I1326">IFERROR(INDEX(PRECIOS_COMPLEMENTOS!$C$4:$F$17,MATCH(B1326&amp;"_"&amp;C1326,PRECIOS_COMPLEMENTOS!$H$4:$H$17,0),IF(OR(G1326="S",G1326="20cm"),1,IF(OR(G1326="M",G1326="25cm"),2,IF(OR(G1326="L",G1326="30cm"),3,IF(OR(G1326="XL",G1326="35cm"),4,0))))),0)</f>
        <v>0.3</v>
      </c>
      <c r="J1326" s="103">
        <f t="shared" si="1"/>
        <v>0</v>
      </c>
      <c r="K1326" s="104" t="str">
        <f>IF(H1326&lt;0,"ERROR",IF(H1326=0,"",IF(H1326&lt;CONFIG!$B$4,"CRÍTICO",IF(H1326&lt;CONFIG!$B$5,"BAJO","OK"))))</f>
        <v/>
      </c>
    </row>
    <row r="1327" ht="15.75" hidden="1" customHeight="1">
      <c r="A1327" s="90" t="str">
        <f>IF(CLIENTES!A7="","",CLIENTES!A7)</f>
        <v/>
      </c>
      <c r="B1327" s="90" t="s">
        <v>324</v>
      </c>
      <c r="C1327" s="91" t="s">
        <v>322</v>
      </c>
      <c r="D1327" s="109" t="s">
        <v>353</v>
      </c>
      <c r="E1327" s="67" t="str">
        <f>COLORES!A5</f>
        <v>Perla</v>
      </c>
      <c r="F1327" s="67" t="str">
        <f>COLORES!B5</f>
        <v>PPT</v>
      </c>
      <c r="G1327" s="90" t="s">
        <v>377</v>
      </c>
      <c r="H1327" s="100">
        <f>IFERROR(SUMIFS(MOVIMIENTOS_COMPLEMENTOS!$I$4:$I$803,MOVIMIENTOS_COMPLEMENTOS!$C$4:$C$803,A1327,MOVIMIENTOS_COMPLEMENTOS!$D$4:$D$803,B1327,MOVIMIENTOS_COMPLEMENTOS!$E$4:$E$803,C1327,MOVIMIENTOS_COMPLEMENTOS!$G$4:$G$803,E1327,MOVIMIENTOS_COMPLEMENTOS!$H$4:$H$803,G1327,MOVIMIENTOS_COMPLEMENTOS!$B$4:$B$803,"INGRESO")+SUMIFS(MOVIMIENTOS_COMPLEMENTOS!$I$4:$I$803,MOVIMIENTOS_COMPLEMENTOS!$C$4:$C$803,A1327,MOVIMIENTOS_COMPLEMENTOS!$D$4:$D$803,B1327,MOVIMIENTOS_COMPLEMENTOS!$E$4:$E$803,C1327,MOVIMIENTOS_COMPLEMENTOS!$G$4:$G$803,E1327,MOVIMIENTOS_COMPLEMENTOS!$H$4:$H$803,G1327,MOVIMIENTOS_COMPLEMENTOS!$B$4:$B$803,"DE CORTE")-SUMIFS(MOVIMIENTOS_COMPLEMENTOS!$I$4:$I$803,MOVIMIENTOS_COMPLEMENTOS!$C$4:$C$803,A1327,MOVIMIENTOS_COMPLEMENTOS!$D$4:$D$803,B1327,MOVIMIENTOS_COMPLEMENTOS!$E$4:$E$803,C1327,MOVIMIENTOS_COMPLEMENTOS!$G$4:$G$803,E1327,MOVIMIENTOS_COMPLEMENTOS!$H$4:$H$803,G1327,MOVIMIENTOS_COMPLEMENTOS!$B$4:$B$803,"SALIDA"),0)</f>
        <v>0</v>
      </c>
      <c r="I1327" s="102">
        <f t="array" ref="I1327">IFERROR(INDEX(PRECIOS_COMPLEMENTOS!$C$4:$F$17,MATCH(B1327&amp;"_"&amp;C1327,PRECIOS_COMPLEMENTOS!$H$4:$H$17,0),IF(OR(G1327="S",G1327="20cm"),1,IF(OR(G1327="M",G1327="25cm"),2,IF(OR(G1327="L",G1327="30cm"),3,IF(OR(G1327="XL",G1327="35cm"),4,0))))),0)</f>
        <v>0.35</v>
      </c>
      <c r="J1327" s="103">
        <f t="shared" si="1"/>
        <v>0</v>
      </c>
      <c r="K1327" s="104" t="str">
        <f>IF(H1327&lt;0,"ERROR",IF(H1327=0,"",IF(H1327&lt;CONFIG!$B$4,"CRÍTICO",IF(H1327&lt;CONFIG!$B$5,"BAJO","OK"))))</f>
        <v/>
      </c>
    </row>
    <row r="1328" ht="15.75" hidden="1" customHeight="1">
      <c r="A1328" s="90" t="str">
        <f>IF(CLIENTES!A7="","",CLIENTES!A7)</f>
        <v/>
      </c>
      <c r="B1328" s="90" t="s">
        <v>324</v>
      </c>
      <c r="C1328" s="91" t="s">
        <v>322</v>
      </c>
      <c r="D1328" s="109" t="s">
        <v>353</v>
      </c>
      <c r="E1328" s="67" t="str">
        <f>COLORES!A6</f>
        <v>Blanco</v>
      </c>
      <c r="F1328" s="67" t="str">
        <f>COLORES!B6</f>
        <v>PPT</v>
      </c>
      <c r="G1328" s="90" t="s">
        <v>376</v>
      </c>
      <c r="H1328" s="100">
        <f>IFERROR(SUMIFS(MOVIMIENTOS_COMPLEMENTOS!$I$4:$I$803,MOVIMIENTOS_COMPLEMENTOS!$C$4:$C$803,A1328,MOVIMIENTOS_COMPLEMENTOS!$D$4:$D$803,B1328,MOVIMIENTOS_COMPLEMENTOS!$E$4:$E$803,C1328,MOVIMIENTOS_COMPLEMENTOS!$G$4:$G$803,E1328,MOVIMIENTOS_COMPLEMENTOS!$H$4:$H$803,G1328,MOVIMIENTOS_COMPLEMENTOS!$B$4:$B$803,"INGRESO")+SUMIFS(MOVIMIENTOS_COMPLEMENTOS!$I$4:$I$803,MOVIMIENTOS_COMPLEMENTOS!$C$4:$C$803,A1328,MOVIMIENTOS_COMPLEMENTOS!$D$4:$D$803,B1328,MOVIMIENTOS_COMPLEMENTOS!$E$4:$E$803,C1328,MOVIMIENTOS_COMPLEMENTOS!$G$4:$G$803,E1328,MOVIMIENTOS_COMPLEMENTOS!$H$4:$H$803,G1328,MOVIMIENTOS_COMPLEMENTOS!$B$4:$B$803,"DE CORTE")-SUMIFS(MOVIMIENTOS_COMPLEMENTOS!$I$4:$I$803,MOVIMIENTOS_COMPLEMENTOS!$C$4:$C$803,A1328,MOVIMIENTOS_COMPLEMENTOS!$D$4:$D$803,B1328,MOVIMIENTOS_COMPLEMENTOS!$E$4:$E$803,C1328,MOVIMIENTOS_COMPLEMENTOS!$G$4:$G$803,E1328,MOVIMIENTOS_COMPLEMENTOS!$H$4:$H$803,G1328,MOVIMIENTOS_COMPLEMENTOS!$B$4:$B$803,"SALIDA"),0)</f>
        <v>0</v>
      </c>
      <c r="I1328" s="102">
        <f t="array" ref="I1328">IFERROR(INDEX(PRECIOS_COMPLEMENTOS!$C$4:$F$17,MATCH(B1328&amp;"_"&amp;C1328,PRECIOS_COMPLEMENTOS!$H$4:$H$17,0),IF(OR(G1328="S",G1328="20cm"),1,IF(OR(G1328="M",G1328="25cm"),2,IF(OR(G1328="L",G1328="30cm"),3,IF(OR(G1328="XL",G1328="35cm"),4,0))))),0)</f>
        <v>0.3</v>
      </c>
      <c r="J1328" s="103">
        <f t="shared" si="1"/>
        <v>0</v>
      </c>
      <c r="K1328" s="104" t="str">
        <f>IF(H1328&lt;0,"ERROR",IF(H1328=0,"",IF(H1328&lt;CONFIG!$B$4,"CRÍTICO",IF(H1328&lt;CONFIG!$B$5,"BAJO","OK"))))</f>
        <v/>
      </c>
    </row>
    <row r="1329" ht="15.75" hidden="1" customHeight="1">
      <c r="A1329" s="90" t="str">
        <f>IF(CLIENTES!A7="","",CLIENTES!A7)</f>
        <v/>
      </c>
      <c r="B1329" s="90" t="s">
        <v>324</v>
      </c>
      <c r="C1329" s="91" t="s">
        <v>322</v>
      </c>
      <c r="D1329" s="109" t="s">
        <v>353</v>
      </c>
      <c r="E1329" s="67" t="str">
        <f>COLORES!A6</f>
        <v>Blanco</v>
      </c>
      <c r="F1329" s="67" t="str">
        <f>COLORES!B6</f>
        <v>PPT</v>
      </c>
      <c r="G1329" s="90" t="s">
        <v>377</v>
      </c>
      <c r="H1329" s="100">
        <f>IFERROR(SUMIFS(MOVIMIENTOS_COMPLEMENTOS!$I$4:$I$803,MOVIMIENTOS_COMPLEMENTOS!$C$4:$C$803,A1329,MOVIMIENTOS_COMPLEMENTOS!$D$4:$D$803,B1329,MOVIMIENTOS_COMPLEMENTOS!$E$4:$E$803,C1329,MOVIMIENTOS_COMPLEMENTOS!$G$4:$G$803,E1329,MOVIMIENTOS_COMPLEMENTOS!$H$4:$H$803,G1329,MOVIMIENTOS_COMPLEMENTOS!$B$4:$B$803,"INGRESO")+SUMIFS(MOVIMIENTOS_COMPLEMENTOS!$I$4:$I$803,MOVIMIENTOS_COMPLEMENTOS!$C$4:$C$803,A1329,MOVIMIENTOS_COMPLEMENTOS!$D$4:$D$803,B1329,MOVIMIENTOS_COMPLEMENTOS!$E$4:$E$803,C1329,MOVIMIENTOS_COMPLEMENTOS!$G$4:$G$803,E1329,MOVIMIENTOS_COMPLEMENTOS!$H$4:$H$803,G1329,MOVIMIENTOS_COMPLEMENTOS!$B$4:$B$803,"DE CORTE")-SUMIFS(MOVIMIENTOS_COMPLEMENTOS!$I$4:$I$803,MOVIMIENTOS_COMPLEMENTOS!$C$4:$C$803,A1329,MOVIMIENTOS_COMPLEMENTOS!$D$4:$D$803,B1329,MOVIMIENTOS_COMPLEMENTOS!$E$4:$E$803,C1329,MOVIMIENTOS_COMPLEMENTOS!$G$4:$G$803,E1329,MOVIMIENTOS_COMPLEMENTOS!$H$4:$H$803,G1329,MOVIMIENTOS_COMPLEMENTOS!$B$4:$B$803,"SALIDA"),0)</f>
        <v>0</v>
      </c>
      <c r="I1329" s="102">
        <f t="array" ref="I1329">IFERROR(INDEX(PRECIOS_COMPLEMENTOS!$C$4:$F$17,MATCH(B1329&amp;"_"&amp;C1329,PRECIOS_COMPLEMENTOS!$H$4:$H$17,0),IF(OR(G1329="S",G1329="20cm"),1,IF(OR(G1329="M",G1329="25cm"),2,IF(OR(G1329="L",G1329="30cm"),3,IF(OR(G1329="XL",G1329="35cm"),4,0))))),0)</f>
        <v>0.35</v>
      </c>
      <c r="J1329" s="103">
        <f t="shared" si="1"/>
        <v>0</v>
      </c>
      <c r="K1329" s="104" t="str">
        <f>IF(H1329&lt;0,"ERROR",IF(H1329=0,"",IF(H1329&lt;CONFIG!$B$4,"CRÍTICO",IF(H1329&lt;CONFIG!$B$5,"BAJO","OK"))))</f>
        <v/>
      </c>
    </row>
    <row r="1330" ht="15.75" hidden="1" customHeight="1">
      <c r="A1330" s="90" t="str">
        <f>IF(CLIENTES!A7="","",CLIENTES!A7)</f>
        <v/>
      </c>
      <c r="B1330" s="90" t="s">
        <v>324</v>
      </c>
      <c r="C1330" s="91" t="s">
        <v>322</v>
      </c>
      <c r="D1330" s="109" t="s">
        <v>353</v>
      </c>
      <c r="E1330" s="67" t="str">
        <f>COLORES!A7</f>
        <v>Azul</v>
      </c>
      <c r="F1330" s="67" t="str">
        <f>COLORES!B7</f>
        <v>OSCURO</v>
      </c>
      <c r="G1330" s="90" t="s">
        <v>376</v>
      </c>
      <c r="H1330" s="100">
        <f>IFERROR(SUMIFS(MOVIMIENTOS_COMPLEMENTOS!$I$4:$I$803,MOVIMIENTOS_COMPLEMENTOS!$C$4:$C$803,A1330,MOVIMIENTOS_COMPLEMENTOS!$D$4:$D$803,B1330,MOVIMIENTOS_COMPLEMENTOS!$E$4:$E$803,C1330,MOVIMIENTOS_COMPLEMENTOS!$G$4:$G$803,E1330,MOVIMIENTOS_COMPLEMENTOS!$H$4:$H$803,G1330,MOVIMIENTOS_COMPLEMENTOS!$B$4:$B$803,"INGRESO")+SUMIFS(MOVIMIENTOS_COMPLEMENTOS!$I$4:$I$803,MOVIMIENTOS_COMPLEMENTOS!$C$4:$C$803,A1330,MOVIMIENTOS_COMPLEMENTOS!$D$4:$D$803,B1330,MOVIMIENTOS_COMPLEMENTOS!$E$4:$E$803,C1330,MOVIMIENTOS_COMPLEMENTOS!$G$4:$G$803,E1330,MOVIMIENTOS_COMPLEMENTOS!$H$4:$H$803,G1330,MOVIMIENTOS_COMPLEMENTOS!$B$4:$B$803,"DE CORTE")-SUMIFS(MOVIMIENTOS_COMPLEMENTOS!$I$4:$I$803,MOVIMIENTOS_COMPLEMENTOS!$C$4:$C$803,A1330,MOVIMIENTOS_COMPLEMENTOS!$D$4:$D$803,B1330,MOVIMIENTOS_COMPLEMENTOS!$E$4:$E$803,C1330,MOVIMIENTOS_COMPLEMENTOS!$G$4:$G$803,E1330,MOVIMIENTOS_COMPLEMENTOS!$H$4:$H$803,G1330,MOVIMIENTOS_COMPLEMENTOS!$B$4:$B$803,"SALIDA"),0)</f>
        <v>0</v>
      </c>
      <c r="I1330" s="102">
        <f t="array" ref="I1330">IFERROR(INDEX(PRECIOS_COMPLEMENTOS!$C$4:$F$17,MATCH(B1330&amp;"_"&amp;C1330,PRECIOS_COMPLEMENTOS!$H$4:$H$17,0),IF(OR(G1330="S",G1330="20cm"),1,IF(OR(G1330="M",G1330="25cm"),2,IF(OR(G1330="L",G1330="30cm"),3,IF(OR(G1330="XL",G1330="35cm"),4,0))))),0)</f>
        <v>0.3</v>
      </c>
      <c r="J1330" s="103">
        <f t="shared" si="1"/>
        <v>0</v>
      </c>
      <c r="K1330" s="104" t="str">
        <f>IF(H1330&lt;0,"ERROR",IF(H1330=0,"",IF(H1330&lt;CONFIG!$B$4,"CRÍTICO",IF(H1330&lt;CONFIG!$B$5,"BAJO","OK"))))</f>
        <v/>
      </c>
    </row>
    <row r="1331" ht="15.75" hidden="1" customHeight="1">
      <c r="A1331" s="90" t="str">
        <f>IF(CLIENTES!A7="","",CLIENTES!A7)</f>
        <v/>
      </c>
      <c r="B1331" s="90" t="s">
        <v>324</v>
      </c>
      <c r="C1331" s="91" t="s">
        <v>322</v>
      </c>
      <c r="D1331" s="109" t="s">
        <v>353</v>
      </c>
      <c r="E1331" s="67" t="str">
        <f>COLORES!A7</f>
        <v>Azul</v>
      </c>
      <c r="F1331" s="67" t="str">
        <f>COLORES!B7</f>
        <v>OSCURO</v>
      </c>
      <c r="G1331" s="90" t="s">
        <v>377</v>
      </c>
      <c r="H1331" s="100">
        <f>IFERROR(SUMIFS(MOVIMIENTOS_COMPLEMENTOS!$I$4:$I$803,MOVIMIENTOS_COMPLEMENTOS!$C$4:$C$803,A1331,MOVIMIENTOS_COMPLEMENTOS!$D$4:$D$803,B1331,MOVIMIENTOS_COMPLEMENTOS!$E$4:$E$803,C1331,MOVIMIENTOS_COMPLEMENTOS!$G$4:$G$803,E1331,MOVIMIENTOS_COMPLEMENTOS!$H$4:$H$803,G1331,MOVIMIENTOS_COMPLEMENTOS!$B$4:$B$803,"INGRESO")+SUMIFS(MOVIMIENTOS_COMPLEMENTOS!$I$4:$I$803,MOVIMIENTOS_COMPLEMENTOS!$C$4:$C$803,A1331,MOVIMIENTOS_COMPLEMENTOS!$D$4:$D$803,B1331,MOVIMIENTOS_COMPLEMENTOS!$E$4:$E$803,C1331,MOVIMIENTOS_COMPLEMENTOS!$G$4:$G$803,E1331,MOVIMIENTOS_COMPLEMENTOS!$H$4:$H$803,G1331,MOVIMIENTOS_COMPLEMENTOS!$B$4:$B$803,"DE CORTE")-SUMIFS(MOVIMIENTOS_COMPLEMENTOS!$I$4:$I$803,MOVIMIENTOS_COMPLEMENTOS!$C$4:$C$803,A1331,MOVIMIENTOS_COMPLEMENTOS!$D$4:$D$803,B1331,MOVIMIENTOS_COMPLEMENTOS!$E$4:$E$803,C1331,MOVIMIENTOS_COMPLEMENTOS!$G$4:$G$803,E1331,MOVIMIENTOS_COMPLEMENTOS!$H$4:$H$803,G1331,MOVIMIENTOS_COMPLEMENTOS!$B$4:$B$803,"SALIDA"),0)</f>
        <v>0</v>
      </c>
      <c r="I1331" s="102">
        <f t="array" ref="I1331">IFERROR(INDEX(PRECIOS_COMPLEMENTOS!$C$4:$F$17,MATCH(B1331&amp;"_"&amp;C1331,PRECIOS_COMPLEMENTOS!$H$4:$H$17,0),IF(OR(G1331="S",G1331="20cm"),1,IF(OR(G1331="M",G1331="25cm"),2,IF(OR(G1331="L",G1331="30cm"),3,IF(OR(G1331="XL",G1331="35cm"),4,0))))),0)</f>
        <v>0.35</v>
      </c>
      <c r="J1331" s="103">
        <f t="shared" si="1"/>
        <v>0</v>
      </c>
      <c r="K1331" s="104" t="str">
        <f>IF(H1331&lt;0,"ERROR",IF(H1331=0,"",IF(H1331&lt;CONFIG!$B$4,"CRÍTICO",IF(H1331&lt;CONFIG!$B$5,"BAJO","OK"))))</f>
        <v/>
      </c>
    </row>
    <row r="1332" ht="15.75" hidden="1" customHeight="1">
      <c r="A1332" s="90" t="str">
        <f>IF(CLIENTES!A7="","",CLIENTES!A7)</f>
        <v/>
      </c>
      <c r="B1332" s="90" t="s">
        <v>324</v>
      </c>
      <c r="C1332" s="91" t="s">
        <v>322</v>
      </c>
      <c r="D1332" s="109" t="s">
        <v>353</v>
      </c>
      <c r="E1332" s="67" t="str">
        <f>COLORES!A8</f>
        <v>Beige</v>
      </c>
      <c r="F1332" s="67" t="str">
        <f>COLORES!B8</f>
        <v>CLARO</v>
      </c>
      <c r="G1332" s="90" t="s">
        <v>376</v>
      </c>
      <c r="H1332" s="100">
        <f>IFERROR(SUMIFS(MOVIMIENTOS_COMPLEMENTOS!$I$4:$I$803,MOVIMIENTOS_COMPLEMENTOS!$C$4:$C$803,A1332,MOVIMIENTOS_COMPLEMENTOS!$D$4:$D$803,B1332,MOVIMIENTOS_COMPLEMENTOS!$E$4:$E$803,C1332,MOVIMIENTOS_COMPLEMENTOS!$G$4:$G$803,E1332,MOVIMIENTOS_COMPLEMENTOS!$H$4:$H$803,G1332,MOVIMIENTOS_COMPLEMENTOS!$B$4:$B$803,"INGRESO")+SUMIFS(MOVIMIENTOS_COMPLEMENTOS!$I$4:$I$803,MOVIMIENTOS_COMPLEMENTOS!$C$4:$C$803,A1332,MOVIMIENTOS_COMPLEMENTOS!$D$4:$D$803,B1332,MOVIMIENTOS_COMPLEMENTOS!$E$4:$E$803,C1332,MOVIMIENTOS_COMPLEMENTOS!$G$4:$G$803,E1332,MOVIMIENTOS_COMPLEMENTOS!$H$4:$H$803,G1332,MOVIMIENTOS_COMPLEMENTOS!$B$4:$B$803,"DE CORTE")-SUMIFS(MOVIMIENTOS_COMPLEMENTOS!$I$4:$I$803,MOVIMIENTOS_COMPLEMENTOS!$C$4:$C$803,A1332,MOVIMIENTOS_COMPLEMENTOS!$D$4:$D$803,B1332,MOVIMIENTOS_COMPLEMENTOS!$E$4:$E$803,C1332,MOVIMIENTOS_COMPLEMENTOS!$G$4:$G$803,E1332,MOVIMIENTOS_COMPLEMENTOS!$H$4:$H$803,G1332,MOVIMIENTOS_COMPLEMENTOS!$B$4:$B$803,"SALIDA"),0)</f>
        <v>0</v>
      </c>
      <c r="I1332" s="102">
        <f t="array" ref="I1332">IFERROR(INDEX(PRECIOS_COMPLEMENTOS!$C$4:$F$17,MATCH(B1332&amp;"_"&amp;C1332,PRECIOS_COMPLEMENTOS!$H$4:$H$17,0),IF(OR(G1332="S",G1332="20cm"),1,IF(OR(G1332="M",G1332="25cm"),2,IF(OR(G1332="L",G1332="30cm"),3,IF(OR(G1332="XL",G1332="35cm"),4,0))))),0)</f>
        <v>0.3</v>
      </c>
      <c r="J1332" s="103">
        <f t="shared" si="1"/>
        <v>0</v>
      </c>
      <c r="K1332" s="104" t="str">
        <f>IF(H1332&lt;0,"ERROR",IF(H1332=0,"",IF(H1332&lt;CONFIG!$B$4,"CRÍTICO",IF(H1332&lt;CONFIG!$B$5,"BAJO","OK"))))</f>
        <v/>
      </c>
    </row>
    <row r="1333" ht="15.75" hidden="1" customHeight="1">
      <c r="A1333" s="90" t="str">
        <f>IF(CLIENTES!A7="","",CLIENTES!A7)</f>
        <v/>
      </c>
      <c r="B1333" s="90" t="s">
        <v>324</v>
      </c>
      <c r="C1333" s="91" t="s">
        <v>322</v>
      </c>
      <c r="D1333" s="109" t="s">
        <v>353</v>
      </c>
      <c r="E1333" s="67" t="str">
        <f>COLORES!A8</f>
        <v>Beige</v>
      </c>
      <c r="F1333" s="67" t="str">
        <f>COLORES!B8</f>
        <v>CLARO</v>
      </c>
      <c r="G1333" s="90" t="s">
        <v>377</v>
      </c>
      <c r="H1333" s="100">
        <f>IFERROR(SUMIFS(MOVIMIENTOS_COMPLEMENTOS!$I$4:$I$803,MOVIMIENTOS_COMPLEMENTOS!$C$4:$C$803,A1333,MOVIMIENTOS_COMPLEMENTOS!$D$4:$D$803,B1333,MOVIMIENTOS_COMPLEMENTOS!$E$4:$E$803,C1333,MOVIMIENTOS_COMPLEMENTOS!$G$4:$G$803,E1333,MOVIMIENTOS_COMPLEMENTOS!$H$4:$H$803,G1333,MOVIMIENTOS_COMPLEMENTOS!$B$4:$B$803,"INGRESO")+SUMIFS(MOVIMIENTOS_COMPLEMENTOS!$I$4:$I$803,MOVIMIENTOS_COMPLEMENTOS!$C$4:$C$803,A1333,MOVIMIENTOS_COMPLEMENTOS!$D$4:$D$803,B1333,MOVIMIENTOS_COMPLEMENTOS!$E$4:$E$803,C1333,MOVIMIENTOS_COMPLEMENTOS!$G$4:$G$803,E1333,MOVIMIENTOS_COMPLEMENTOS!$H$4:$H$803,G1333,MOVIMIENTOS_COMPLEMENTOS!$B$4:$B$803,"DE CORTE")-SUMIFS(MOVIMIENTOS_COMPLEMENTOS!$I$4:$I$803,MOVIMIENTOS_COMPLEMENTOS!$C$4:$C$803,A1333,MOVIMIENTOS_COMPLEMENTOS!$D$4:$D$803,B1333,MOVIMIENTOS_COMPLEMENTOS!$E$4:$E$803,C1333,MOVIMIENTOS_COMPLEMENTOS!$G$4:$G$803,E1333,MOVIMIENTOS_COMPLEMENTOS!$H$4:$H$803,G1333,MOVIMIENTOS_COMPLEMENTOS!$B$4:$B$803,"SALIDA"),0)</f>
        <v>0</v>
      </c>
      <c r="I1333" s="102">
        <f t="array" ref="I1333">IFERROR(INDEX(PRECIOS_COMPLEMENTOS!$C$4:$F$17,MATCH(B1333&amp;"_"&amp;C1333,PRECIOS_COMPLEMENTOS!$H$4:$H$17,0),IF(OR(G1333="S",G1333="20cm"),1,IF(OR(G1333="M",G1333="25cm"),2,IF(OR(G1333="L",G1333="30cm"),3,IF(OR(G1333="XL",G1333="35cm"),4,0))))),0)</f>
        <v>0.35</v>
      </c>
      <c r="J1333" s="103">
        <f t="shared" si="1"/>
        <v>0</v>
      </c>
      <c r="K1333" s="104" t="str">
        <f>IF(H1333&lt;0,"ERROR",IF(H1333=0,"",IF(H1333&lt;CONFIG!$B$4,"CRÍTICO",IF(H1333&lt;CONFIG!$B$5,"BAJO","OK"))))</f>
        <v/>
      </c>
    </row>
    <row r="1334" ht="15.75" hidden="1" customHeight="1">
      <c r="A1334" s="90" t="str">
        <f>IF(CLIENTES!A7="","",CLIENTES!A7)</f>
        <v/>
      </c>
      <c r="B1334" s="90" t="s">
        <v>324</v>
      </c>
      <c r="C1334" s="91" t="s">
        <v>322</v>
      </c>
      <c r="D1334" s="109" t="s">
        <v>353</v>
      </c>
      <c r="E1334" s="67" t="str">
        <f>COLORES!A9</f>
        <v>Melange</v>
      </c>
      <c r="F1334" s="67" t="str">
        <f>COLORES!B9</f>
        <v>MELANGE</v>
      </c>
      <c r="G1334" s="90" t="s">
        <v>376</v>
      </c>
      <c r="H1334" s="100">
        <f>IFERROR(SUMIFS(MOVIMIENTOS_COMPLEMENTOS!$I$4:$I$803,MOVIMIENTOS_COMPLEMENTOS!$C$4:$C$803,A1334,MOVIMIENTOS_COMPLEMENTOS!$D$4:$D$803,B1334,MOVIMIENTOS_COMPLEMENTOS!$E$4:$E$803,C1334,MOVIMIENTOS_COMPLEMENTOS!$G$4:$G$803,E1334,MOVIMIENTOS_COMPLEMENTOS!$H$4:$H$803,G1334,MOVIMIENTOS_COMPLEMENTOS!$B$4:$B$803,"INGRESO")+SUMIFS(MOVIMIENTOS_COMPLEMENTOS!$I$4:$I$803,MOVIMIENTOS_COMPLEMENTOS!$C$4:$C$803,A1334,MOVIMIENTOS_COMPLEMENTOS!$D$4:$D$803,B1334,MOVIMIENTOS_COMPLEMENTOS!$E$4:$E$803,C1334,MOVIMIENTOS_COMPLEMENTOS!$G$4:$G$803,E1334,MOVIMIENTOS_COMPLEMENTOS!$H$4:$H$803,G1334,MOVIMIENTOS_COMPLEMENTOS!$B$4:$B$803,"DE CORTE")-SUMIFS(MOVIMIENTOS_COMPLEMENTOS!$I$4:$I$803,MOVIMIENTOS_COMPLEMENTOS!$C$4:$C$803,A1334,MOVIMIENTOS_COMPLEMENTOS!$D$4:$D$803,B1334,MOVIMIENTOS_COMPLEMENTOS!$E$4:$E$803,C1334,MOVIMIENTOS_COMPLEMENTOS!$G$4:$G$803,E1334,MOVIMIENTOS_COMPLEMENTOS!$H$4:$H$803,G1334,MOVIMIENTOS_COMPLEMENTOS!$B$4:$B$803,"SALIDA"),0)</f>
        <v>0</v>
      </c>
      <c r="I1334" s="102">
        <f t="array" ref="I1334">IFERROR(INDEX(PRECIOS_COMPLEMENTOS!$C$4:$F$17,MATCH(B1334&amp;"_"&amp;C1334,PRECIOS_COMPLEMENTOS!$H$4:$H$17,0),IF(OR(G1334="S",G1334="20cm"),1,IF(OR(G1334="M",G1334="25cm"),2,IF(OR(G1334="L",G1334="30cm"),3,IF(OR(G1334="XL",G1334="35cm"),4,0))))),0)</f>
        <v>0.3</v>
      </c>
      <c r="J1334" s="103">
        <f t="shared" si="1"/>
        <v>0</v>
      </c>
      <c r="K1334" s="104" t="str">
        <f>IF(H1334&lt;0,"ERROR",IF(H1334=0,"",IF(H1334&lt;CONFIG!$B$4,"CRÍTICO",IF(H1334&lt;CONFIG!$B$5,"BAJO","OK"))))</f>
        <v/>
      </c>
    </row>
    <row r="1335" ht="15.75" hidden="1" customHeight="1">
      <c r="A1335" s="90" t="str">
        <f>IF(CLIENTES!A7="","",CLIENTES!A7)</f>
        <v/>
      </c>
      <c r="B1335" s="90" t="s">
        <v>324</v>
      </c>
      <c r="C1335" s="91" t="s">
        <v>322</v>
      </c>
      <c r="D1335" s="109" t="s">
        <v>353</v>
      </c>
      <c r="E1335" s="67" t="str">
        <f>COLORES!A9</f>
        <v>Melange</v>
      </c>
      <c r="F1335" s="67" t="str">
        <f>COLORES!B9</f>
        <v>MELANGE</v>
      </c>
      <c r="G1335" s="90" t="s">
        <v>377</v>
      </c>
      <c r="H1335" s="100">
        <f>IFERROR(SUMIFS(MOVIMIENTOS_COMPLEMENTOS!$I$4:$I$803,MOVIMIENTOS_COMPLEMENTOS!$C$4:$C$803,A1335,MOVIMIENTOS_COMPLEMENTOS!$D$4:$D$803,B1335,MOVIMIENTOS_COMPLEMENTOS!$E$4:$E$803,C1335,MOVIMIENTOS_COMPLEMENTOS!$G$4:$G$803,E1335,MOVIMIENTOS_COMPLEMENTOS!$H$4:$H$803,G1335,MOVIMIENTOS_COMPLEMENTOS!$B$4:$B$803,"INGRESO")+SUMIFS(MOVIMIENTOS_COMPLEMENTOS!$I$4:$I$803,MOVIMIENTOS_COMPLEMENTOS!$C$4:$C$803,A1335,MOVIMIENTOS_COMPLEMENTOS!$D$4:$D$803,B1335,MOVIMIENTOS_COMPLEMENTOS!$E$4:$E$803,C1335,MOVIMIENTOS_COMPLEMENTOS!$G$4:$G$803,E1335,MOVIMIENTOS_COMPLEMENTOS!$H$4:$H$803,G1335,MOVIMIENTOS_COMPLEMENTOS!$B$4:$B$803,"DE CORTE")-SUMIFS(MOVIMIENTOS_COMPLEMENTOS!$I$4:$I$803,MOVIMIENTOS_COMPLEMENTOS!$C$4:$C$803,A1335,MOVIMIENTOS_COMPLEMENTOS!$D$4:$D$803,B1335,MOVIMIENTOS_COMPLEMENTOS!$E$4:$E$803,C1335,MOVIMIENTOS_COMPLEMENTOS!$G$4:$G$803,E1335,MOVIMIENTOS_COMPLEMENTOS!$H$4:$H$803,G1335,MOVIMIENTOS_COMPLEMENTOS!$B$4:$B$803,"SALIDA"),0)</f>
        <v>0</v>
      </c>
      <c r="I1335" s="102">
        <f t="array" ref="I1335">IFERROR(INDEX(PRECIOS_COMPLEMENTOS!$C$4:$F$17,MATCH(B1335&amp;"_"&amp;C1335,PRECIOS_COMPLEMENTOS!$H$4:$H$17,0),IF(OR(G1335="S",G1335="20cm"),1,IF(OR(G1335="M",G1335="25cm"),2,IF(OR(G1335="L",G1335="30cm"),3,IF(OR(G1335="XL",G1335="35cm"),4,0))))),0)</f>
        <v>0.35</v>
      </c>
      <c r="J1335" s="103">
        <f t="shared" si="1"/>
        <v>0</v>
      </c>
      <c r="K1335" s="104" t="str">
        <f>IF(H1335&lt;0,"ERROR",IF(H1335=0,"",IF(H1335&lt;CONFIG!$B$4,"CRÍTICO",IF(H1335&lt;CONFIG!$B$5,"BAJO","OK"))))</f>
        <v/>
      </c>
    </row>
    <row r="1336" ht="15.75" hidden="1" customHeight="1">
      <c r="A1336" s="90" t="str">
        <f>IF(CLIENTES!A7="","",CLIENTES!A7)</f>
        <v/>
      </c>
      <c r="B1336" s="90" t="s">
        <v>324</v>
      </c>
      <c r="C1336" s="91" t="s">
        <v>322</v>
      </c>
      <c r="D1336" s="109" t="s">
        <v>353</v>
      </c>
      <c r="E1336" s="67" t="str">
        <f>COLORES!A10</f>
        <v>Botella</v>
      </c>
      <c r="F1336" s="67" t="str">
        <f>COLORES!B10</f>
        <v>OSCURO</v>
      </c>
      <c r="G1336" s="90" t="s">
        <v>376</v>
      </c>
      <c r="H1336" s="100">
        <f>IFERROR(SUMIFS(MOVIMIENTOS_COMPLEMENTOS!$I$4:$I$803,MOVIMIENTOS_COMPLEMENTOS!$C$4:$C$803,A1336,MOVIMIENTOS_COMPLEMENTOS!$D$4:$D$803,B1336,MOVIMIENTOS_COMPLEMENTOS!$E$4:$E$803,C1336,MOVIMIENTOS_COMPLEMENTOS!$G$4:$G$803,E1336,MOVIMIENTOS_COMPLEMENTOS!$H$4:$H$803,G1336,MOVIMIENTOS_COMPLEMENTOS!$B$4:$B$803,"INGRESO")+SUMIFS(MOVIMIENTOS_COMPLEMENTOS!$I$4:$I$803,MOVIMIENTOS_COMPLEMENTOS!$C$4:$C$803,A1336,MOVIMIENTOS_COMPLEMENTOS!$D$4:$D$803,B1336,MOVIMIENTOS_COMPLEMENTOS!$E$4:$E$803,C1336,MOVIMIENTOS_COMPLEMENTOS!$G$4:$G$803,E1336,MOVIMIENTOS_COMPLEMENTOS!$H$4:$H$803,G1336,MOVIMIENTOS_COMPLEMENTOS!$B$4:$B$803,"DE CORTE")-SUMIFS(MOVIMIENTOS_COMPLEMENTOS!$I$4:$I$803,MOVIMIENTOS_COMPLEMENTOS!$C$4:$C$803,A1336,MOVIMIENTOS_COMPLEMENTOS!$D$4:$D$803,B1336,MOVIMIENTOS_COMPLEMENTOS!$E$4:$E$803,C1336,MOVIMIENTOS_COMPLEMENTOS!$G$4:$G$803,E1336,MOVIMIENTOS_COMPLEMENTOS!$H$4:$H$803,G1336,MOVIMIENTOS_COMPLEMENTOS!$B$4:$B$803,"SALIDA"),0)</f>
        <v>0</v>
      </c>
      <c r="I1336" s="102">
        <f t="array" ref="I1336">IFERROR(INDEX(PRECIOS_COMPLEMENTOS!$C$4:$F$17,MATCH(B1336&amp;"_"&amp;C1336,PRECIOS_COMPLEMENTOS!$H$4:$H$17,0),IF(OR(G1336="S",G1336="20cm"),1,IF(OR(G1336="M",G1336="25cm"),2,IF(OR(G1336="L",G1336="30cm"),3,IF(OR(G1336="XL",G1336="35cm"),4,0))))),0)</f>
        <v>0.3</v>
      </c>
      <c r="J1336" s="103">
        <f t="shared" si="1"/>
        <v>0</v>
      </c>
      <c r="K1336" s="104" t="str">
        <f>IF(H1336&lt;0,"ERROR",IF(H1336=0,"",IF(H1336&lt;CONFIG!$B$4,"CRÍTICO",IF(H1336&lt;CONFIG!$B$5,"BAJO","OK"))))</f>
        <v/>
      </c>
    </row>
    <row r="1337" ht="15.75" hidden="1" customHeight="1">
      <c r="A1337" s="90" t="str">
        <f>IF(CLIENTES!A7="","",CLIENTES!A7)</f>
        <v/>
      </c>
      <c r="B1337" s="90" t="s">
        <v>324</v>
      </c>
      <c r="C1337" s="91" t="s">
        <v>322</v>
      </c>
      <c r="D1337" s="109" t="s">
        <v>353</v>
      </c>
      <c r="E1337" s="67" t="str">
        <f>COLORES!A10</f>
        <v>Botella</v>
      </c>
      <c r="F1337" s="67" t="str">
        <f>COLORES!B10</f>
        <v>OSCURO</v>
      </c>
      <c r="G1337" s="90" t="s">
        <v>377</v>
      </c>
      <c r="H1337" s="100">
        <f>IFERROR(SUMIFS(MOVIMIENTOS_COMPLEMENTOS!$I$4:$I$803,MOVIMIENTOS_COMPLEMENTOS!$C$4:$C$803,A1337,MOVIMIENTOS_COMPLEMENTOS!$D$4:$D$803,B1337,MOVIMIENTOS_COMPLEMENTOS!$E$4:$E$803,C1337,MOVIMIENTOS_COMPLEMENTOS!$G$4:$G$803,E1337,MOVIMIENTOS_COMPLEMENTOS!$H$4:$H$803,G1337,MOVIMIENTOS_COMPLEMENTOS!$B$4:$B$803,"INGRESO")+SUMIFS(MOVIMIENTOS_COMPLEMENTOS!$I$4:$I$803,MOVIMIENTOS_COMPLEMENTOS!$C$4:$C$803,A1337,MOVIMIENTOS_COMPLEMENTOS!$D$4:$D$803,B1337,MOVIMIENTOS_COMPLEMENTOS!$E$4:$E$803,C1337,MOVIMIENTOS_COMPLEMENTOS!$G$4:$G$803,E1337,MOVIMIENTOS_COMPLEMENTOS!$H$4:$H$803,G1337,MOVIMIENTOS_COMPLEMENTOS!$B$4:$B$803,"DE CORTE")-SUMIFS(MOVIMIENTOS_COMPLEMENTOS!$I$4:$I$803,MOVIMIENTOS_COMPLEMENTOS!$C$4:$C$803,A1337,MOVIMIENTOS_COMPLEMENTOS!$D$4:$D$803,B1337,MOVIMIENTOS_COMPLEMENTOS!$E$4:$E$803,C1337,MOVIMIENTOS_COMPLEMENTOS!$G$4:$G$803,E1337,MOVIMIENTOS_COMPLEMENTOS!$H$4:$H$803,G1337,MOVIMIENTOS_COMPLEMENTOS!$B$4:$B$803,"SALIDA"),0)</f>
        <v>0</v>
      </c>
      <c r="I1337" s="102">
        <f t="array" ref="I1337">IFERROR(INDEX(PRECIOS_COMPLEMENTOS!$C$4:$F$17,MATCH(B1337&amp;"_"&amp;C1337,PRECIOS_COMPLEMENTOS!$H$4:$H$17,0),IF(OR(G1337="S",G1337="20cm"),1,IF(OR(G1337="M",G1337="25cm"),2,IF(OR(G1337="L",G1337="30cm"),3,IF(OR(G1337="XL",G1337="35cm"),4,0))))),0)</f>
        <v>0.35</v>
      </c>
      <c r="J1337" s="103">
        <f t="shared" si="1"/>
        <v>0</v>
      </c>
      <c r="K1337" s="104" t="str">
        <f>IF(H1337&lt;0,"ERROR",IF(H1337=0,"",IF(H1337&lt;CONFIG!$B$4,"CRÍTICO",IF(H1337&lt;CONFIG!$B$5,"BAJO","OK"))))</f>
        <v/>
      </c>
    </row>
    <row r="1338" ht="15.75" hidden="1" customHeight="1">
      <c r="A1338" s="90" t="str">
        <f>IF(CLIENTES!A7="","",CLIENTES!A7)</f>
        <v/>
      </c>
      <c r="B1338" s="90" t="s">
        <v>324</v>
      </c>
      <c r="C1338" s="91" t="s">
        <v>322</v>
      </c>
      <c r="D1338" s="109" t="s">
        <v>353</v>
      </c>
      <c r="E1338" s="67" t="str">
        <f>COLORES!A11</f>
        <v>Pacay</v>
      </c>
      <c r="F1338" s="67" t="str">
        <f>COLORES!B11</f>
        <v>CLARO</v>
      </c>
      <c r="G1338" s="90" t="s">
        <v>376</v>
      </c>
      <c r="H1338" s="100">
        <f>IFERROR(SUMIFS(MOVIMIENTOS_COMPLEMENTOS!$I$4:$I$803,MOVIMIENTOS_COMPLEMENTOS!$C$4:$C$803,A1338,MOVIMIENTOS_COMPLEMENTOS!$D$4:$D$803,B1338,MOVIMIENTOS_COMPLEMENTOS!$E$4:$E$803,C1338,MOVIMIENTOS_COMPLEMENTOS!$G$4:$G$803,E1338,MOVIMIENTOS_COMPLEMENTOS!$H$4:$H$803,G1338,MOVIMIENTOS_COMPLEMENTOS!$B$4:$B$803,"INGRESO")+SUMIFS(MOVIMIENTOS_COMPLEMENTOS!$I$4:$I$803,MOVIMIENTOS_COMPLEMENTOS!$C$4:$C$803,A1338,MOVIMIENTOS_COMPLEMENTOS!$D$4:$D$803,B1338,MOVIMIENTOS_COMPLEMENTOS!$E$4:$E$803,C1338,MOVIMIENTOS_COMPLEMENTOS!$G$4:$G$803,E1338,MOVIMIENTOS_COMPLEMENTOS!$H$4:$H$803,G1338,MOVIMIENTOS_COMPLEMENTOS!$B$4:$B$803,"DE CORTE")-SUMIFS(MOVIMIENTOS_COMPLEMENTOS!$I$4:$I$803,MOVIMIENTOS_COMPLEMENTOS!$C$4:$C$803,A1338,MOVIMIENTOS_COMPLEMENTOS!$D$4:$D$803,B1338,MOVIMIENTOS_COMPLEMENTOS!$E$4:$E$803,C1338,MOVIMIENTOS_COMPLEMENTOS!$G$4:$G$803,E1338,MOVIMIENTOS_COMPLEMENTOS!$H$4:$H$803,G1338,MOVIMIENTOS_COMPLEMENTOS!$B$4:$B$803,"SALIDA"),0)</f>
        <v>0</v>
      </c>
      <c r="I1338" s="102">
        <f t="array" ref="I1338">IFERROR(INDEX(PRECIOS_COMPLEMENTOS!$C$4:$F$17,MATCH(B1338&amp;"_"&amp;C1338,PRECIOS_COMPLEMENTOS!$H$4:$H$17,0),IF(OR(G1338="S",G1338="20cm"),1,IF(OR(G1338="M",G1338="25cm"),2,IF(OR(G1338="L",G1338="30cm"),3,IF(OR(G1338="XL",G1338="35cm"),4,0))))),0)</f>
        <v>0.3</v>
      </c>
      <c r="J1338" s="103">
        <f t="shared" si="1"/>
        <v>0</v>
      </c>
      <c r="K1338" s="104" t="str">
        <f>IF(H1338&lt;0,"ERROR",IF(H1338=0,"",IF(H1338&lt;CONFIG!$B$4,"CRÍTICO",IF(H1338&lt;CONFIG!$B$5,"BAJO","OK"))))</f>
        <v/>
      </c>
    </row>
    <row r="1339" ht="15.75" hidden="1" customHeight="1">
      <c r="A1339" s="90" t="str">
        <f>IF(CLIENTES!A7="","",CLIENTES!A7)</f>
        <v/>
      </c>
      <c r="B1339" s="90" t="s">
        <v>324</v>
      </c>
      <c r="C1339" s="91" t="s">
        <v>322</v>
      </c>
      <c r="D1339" s="109" t="s">
        <v>353</v>
      </c>
      <c r="E1339" s="67" t="str">
        <f>COLORES!A11</f>
        <v>Pacay</v>
      </c>
      <c r="F1339" s="67" t="str">
        <f>COLORES!B11</f>
        <v>CLARO</v>
      </c>
      <c r="G1339" s="90" t="s">
        <v>377</v>
      </c>
      <c r="H1339" s="100">
        <f>IFERROR(SUMIFS(MOVIMIENTOS_COMPLEMENTOS!$I$4:$I$803,MOVIMIENTOS_COMPLEMENTOS!$C$4:$C$803,A1339,MOVIMIENTOS_COMPLEMENTOS!$D$4:$D$803,B1339,MOVIMIENTOS_COMPLEMENTOS!$E$4:$E$803,C1339,MOVIMIENTOS_COMPLEMENTOS!$G$4:$G$803,E1339,MOVIMIENTOS_COMPLEMENTOS!$H$4:$H$803,G1339,MOVIMIENTOS_COMPLEMENTOS!$B$4:$B$803,"INGRESO")+SUMIFS(MOVIMIENTOS_COMPLEMENTOS!$I$4:$I$803,MOVIMIENTOS_COMPLEMENTOS!$C$4:$C$803,A1339,MOVIMIENTOS_COMPLEMENTOS!$D$4:$D$803,B1339,MOVIMIENTOS_COMPLEMENTOS!$E$4:$E$803,C1339,MOVIMIENTOS_COMPLEMENTOS!$G$4:$G$803,E1339,MOVIMIENTOS_COMPLEMENTOS!$H$4:$H$803,G1339,MOVIMIENTOS_COMPLEMENTOS!$B$4:$B$803,"DE CORTE")-SUMIFS(MOVIMIENTOS_COMPLEMENTOS!$I$4:$I$803,MOVIMIENTOS_COMPLEMENTOS!$C$4:$C$803,A1339,MOVIMIENTOS_COMPLEMENTOS!$D$4:$D$803,B1339,MOVIMIENTOS_COMPLEMENTOS!$E$4:$E$803,C1339,MOVIMIENTOS_COMPLEMENTOS!$G$4:$G$803,E1339,MOVIMIENTOS_COMPLEMENTOS!$H$4:$H$803,G1339,MOVIMIENTOS_COMPLEMENTOS!$B$4:$B$803,"SALIDA"),0)</f>
        <v>0</v>
      </c>
      <c r="I1339" s="102">
        <f t="array" ref="I1339">IFERROR(INDEX(PRECIOS_COMPLEMENTOS!$C$4:$F$17,MATCH(B1339&amp;"_"&amp;C1339,PRECIOS_COMPLEMENTOS!$H$4:$H$17,0),IF(OR(G1339="S",G1339="20cm"),1,IF(OR(G1339="M",G1339="25cm"),2,IF(OR(G1339="L",G1339="30cm"),3,IF(OR(G1339="XL",G1339="35cm"),4,0))))),0)</f>
        <v>0.35</v>
      </c>
      <c r="J1339" s="103">
        <f t="shared" si="1"/>
        <v>0</v>
      </c>
      <c r="K1339" s="104" t="str">
        <f>IF(H1339&lt;0,"ERROR",IF(H1339=0,"",IF(H1339&lt;CONFIG!$B$4,"CRÍTICO",IF(H1339&lt;CONFIG!$B$5,"BAJO","OK"))))</f>
        <v/>
      </c>
    </row>
    <row r="1340" ht="15.75" hidden="1" customHeight="1">
      <c r="A1340" s="90" t="str">
        <f>IF(CLIENTES!A7="","",CLIENTES!A7)</f>
        <v/>
      </c>
      <c r="B1340" s="90" t="s">
        <v>324</v>
      </c>
      <c r="C1340" s="91" t="s">
        <v>322</v>
      </c>
      <c r="D1340" s="109" t="s">
        <v>353</v>
      </c>
      <c r="E1340" s="67" t="str">
        <f>COLORES!A12</f>
        <v>Cemento</v>
      </c>
      <c r="F1340" s="67" t="str">
        <f>COLORES!B12</f>
        <v>CLARO</v>
      </c>
      <c r="G1340" s="90" t="s">
        <v>376</v>
      </c>
      <c r="H1340" s="100">
        <f>IFERROR(SUMIFS(MOVIMIENTOS_COMPLEMENTOS!$I$4:$I$803,MOVIMIENTOS_COMPLEMENTOS!$C$4:$C$803,A1340,MOVIMIENTOS_COMPLEMENTOS!$D$4:$D$803,B1340,MOVIMIENTOS_COMPLEMENTOS!$E$4:$E$803,C1340,MOVIMIENTOS_COMPLEMENTOS!$G$4:$G$803,E1340,MOVIMIENTOS_COMPLEMENTOS!$H$4:$H$803,G1340,MOVIMIENTOS_COMPLEMENTOS!$B$4:$B$803,"INGRESO")+SUMIFS(MOVIMIENTOS_COMPLEMENTOS!$I$4:$I$803,MOVIMIENTOS_COMPLEMENTOS!$C$4:$C$803,A1340,MOVIMIENTOS_COMPLEMENTOS!$D$4:$D$803,B1340,MOVIMIENTOS_COMPLEMENTOS!$E$4:$E$803,C1340,MOVIMIENTOS_COMPLEMENTOS!$G$4:$G$803,E1340,MOVIMIENTOS_COMPLEMENTOS!$H$4:$H$803,G1340,MOVIMIENTOS_COMPLEMENTOS!$B$4:$B$803,"DE CORTE")-SUMIFS(MOVIMIENTOS_COMPLEMENTOS!$I$4:$I$803,MOVIMIENTOS_COMPLEMENTOS!$C$4:$C$803,A1340,MOVIMIENTOS_COMPLEMENTOS!$D$4:$D$803,B1340,MOVIMIENTOS_COMPLEMENTOS!$E$4:$E$803,C1340,MOVIMIENTOS_COMPLEMENTOS!$G$4:$G$803,E1340,MOVIMIENTOS_COMPLEMENTOS!$H$4:$H$803,G1340,MOVIMIENTOS_COMPLEMENTOS!$B$4:$B$803,"SALIDA"),0)</f>
        <v>0</v>
      </c>
      <c r="I1340" s="102">
        <f t="array" ref="I1340">IFERROR(INDEX(PRECIOS_COMPLEMENTOS!$C$4:$F$17,MATCH(B1340&amp;"_"&amp;C1340,PRECIOS_COMPLEMENTOS!$H$4:$H$17,0),IF(OR(G1340="S",G1340="20cm"),1,IF(OR(G1340="M",G1340="25cm"),2,IF(OR(G1340="L",G1340="30cm"),3,IF(OR(G1340="XL",G1340="35cm"),4,0))))),0)</f>
        <v>0.3</v>
      </c>
      <c r="J1340" s="103">
        <f t="shared" si="1"/>
        <v>0</v>
      </c>
      <c r="K1340" s="104" t="str">
        <f>IF(H1340&lt;0,"ERROR",IF(H1340=0,"",IF(H1340&lt;CONFIG!$B$4,"CRÍTICO",IF(H1340&lt;CONFIG!$B$5,"BAJO","OK"))))</f>
        <v/>
      </c>
    </row>
    <row r="1341" ht="15.75" hidden="1" customHeight="1">
      <c r="A1341" s="90" t="str">
        <f>IF(CLIENTES!A7="","",CLIENTES!A7)</f>
        <v/>
      </c>
      <c r="B1341" s="90" t="s">
        <v>324</v>
      </c>
      <c r="C1341" s="91" t="s">
        <v>322</v>
      </c>
      <c r="D1341" s="109" t="s">
        <v>353</v>
      </c>
      <c r="E1341" s="67" t="str">
        <f>COLORES!A12</f>
        <v>Cemento</v>
      </c>
      <c r="F1341" s="67" t="str">
        <f>COLORES!B12</f>
        <v>CLARO</v>
      </c>
      <c r="G1341" s="90" t="s">
        <v>377</v>
      </c>
      <c r="H1341" s="100">
        <f>IFERROR(SUMIFS(MOVIMIENTOS_COMPLEMENTOS!$I$4:$I$803,MOVIMIENTOS_COMPLEMENTOS!$C$4:$C$803,A1341,MOVIMIENTOS_COMPLEMENTOS!$D$4:$D$803,B1341,MOVIMIENTOS_COMPLEMENTOS!$E$4:$E$803,C1341,MOVIMIENTOS_COMPLEMENTOS!$G$4:$G$803,E1341,MOVIMIENTOS_COMPLEMENTOS!$H$4:$H$803,G1341,MOVIMIENTOS_COMPLEMENTOS!$B$4:$B$803,"INGRESO")+SUMIFS(MOVIMIENTOS_COMPLEMENTOS!$I$4:$I$803,MOVIMIENTOS_COMPLEMENTOS!$C$4:$C$803,A1341,MOVIMIENTOS_COMPLEMENTOS!$D$4:$D$803,B1341,MOVIMIENTOS_COMPLEMENTOS!$E$4:$E$803,C1341,MOVIMIENTOS_COMPLEMENTOS!$G$4:$G$803,E1341,MOVIMIENTOS_COMPLEMENTOS!$H$4:$H$803,G1341,MOVIMIENTOS_COMPLEMENTOS!$B$4:$B$803,"DE CORTE")-SUMIFS(MOVIMIENTOS_COMPLEMENTOS!$I$4:$I$803,MOVIMIENTOS_COMPLEMENTOS!$C$4:$C$803,A1341,MOVIMIENTOS_COMPLEMENTOS!$D$4:$D$803,B1341,MOVIMIENTOS_COMPLEMENTOS!$E$4:$E$803,C1341,MOVIMIENTOS_COMPLEMENTOS!$G$4:$G$803,E1341,MOVIMIENTOS_COMPLEMENTOS!$H$4:$H$803,G1341,MOVIMIENTOS_COMPLEMENTOS!$B$4:$B$803,"SALIDA"),0)</f>
        <v>0</v>
      </c>
      <c r="I1341" s="102">
        <f t="array" ref="I1341">IFERROR(INDEX(PRECIOS_COMPLEMENTOS!$C$4:$F$17,MATCH(B1341&amp;"_"&amp;C1341,PRECIOS_COMPLEMENTOS!$H$4:$H$17,0),IF(OR(G1341="S",G1341="20cm"),1,IF(OR(G1341="M",G1341="25cm"),2,IF(OR(G1341="L",G1341="30cm"),3,IF(OR(G1341="XL",G1341="35cm"),4,0))))),0)</f>
        <v>0.35</v>
      </c>
      <c r="J1341" s="103">
        <f t="shared" si="1"/>
        <v>0</v>
      </c>
      <c r="K1341" s="104" t="str">
        <f>IF(H1341&lt;0,"ERROR",IF(H1341=0,"",IF(H1341&lt;CONFIG!$B$4,"CRÍTICO",IF(H1341&lt;CONFIG!$B$5,"BAJO","OK"))))</f>
        <v/>
      </c>
    </row>
    <row r="1342" ht="15.75" hidden="1" customHeight="1">
      <c r="A1342" s="90" t="str">
        <f>IF(CLIENTES!A7="","",CLIENTES!A7)</f>
        <v/>
      </c>
      <c r="B1342" s="90" t="s">
        <v>324</v>
      </c>
      <c r="C1342" s="91" t="s">
        <v>322</v>
      </c>
      <c r="D1342" s="109" t="s">
        <v>353</v>
      </c>
      <c r="E1342" s="67" t="str">
        <f>COLORES!A13</f>
        <v>Camote</v>
      </c>
      <c r="F1342" s="67" t="str">
        <f>COLORES!B13</f>
        <v>CLARO</v>
      </c>
      <c r="G1342" s="90" t="s">
        <v>376</v>
      </c>
      <c r="H1342" s="100">
        <f>IFERROR(SUMIFS(MOVIMIENTOS_COMPLEMENTOS!$I$4:$I$803,MOVIMIENTOS_COMPLEMENTOS!$C$4:$C$803,A1342,MOVIMIENTOS_COMPLEMENTOS!$D$4:$D$803,B1342,MOVIMIENTOS_COMPLEMENTOS!$E$4:$E$803,C1342,MOVIMIENTOS_COMPLEMENTOS!$G$4:$G$803,E1342,MOVIMIENTOS_COMPLEMENTOS!$H$4:$H$803,G1342,MOVIMIENTOS_COMPLEMENTOS!$B$4:$B$803,"INGRESO")+SUMIFS(MOVIMIENTOS_COMPLEMENTOS!$I$4:$I$803,MOVIMIENTOS_COMPLEMENTOS!$C$4:$C$803,A1342,MOVIMIENTOS_COMPLEMENTOS!$D$4:$D$803,B1342,MOVIMIENTOS_COMPLEMENTOS!$E$4:$E$803,C1342,MOVIMIENTOS_COMPLEMENTOS!$G$4:$G$803,E1342,MOVIMIENTOS_COMPLEMENTOS!$H$4:$H$803,G1342,MOVIMIENTOS_COMPLEMENTOS!$B$4:$B$803,"DE CORTE")-SUMIFS(MOVIMIENTOS_COMPLEMENTOS!$I$4:$I$803,MOVIMIENTOS_COMPLEMENTOS!$C$4:$C$803,A1342,MOVIMIENTOS_COMPLEMENTOS!$D$4:$D$803,B1342,MOVIMIENTOS_COMPLEMENTOS!$E$4:$E$803,C1342,MOVIMIENTOS_COMPLEMENTOS!$G$4:$G$803,E1342,MOVIMIENTOS_COMPLEMENTOS!$H$4:$H$803,G1342,MOVIMIENTOS_COMPLEMENTOS!$B$4:$B$803,"SALIDA"),0)</f>
        <v>0</v>
      </c>
      <c r="I1342" s="102">
        <f t="array" ref="I1342">IFERROR(INDEX(PRECIOS_COMPLEMENTOS!$C$4:$F$17,MATCH(B1342&amp;"_"&amp;C1342,PRECIOS_COMPLEMENTOS!$H$4:$H$17,0),IF(OR(G1342="S",G1342="20cm"),1,IF(OR(G1342="M",G1342="25cm"),2,IF(OR(G1342="L",G1342="30cm"),3,IF(OR(G1342="XL",G1342="35cm"),4,0))))),0)</f>
        <v>0.3</v>
      </c>
      <c r="J1342" s="103">
        <f t="shared" si="1"/>
        <v>0</v>
      </c>
      <c r="K1342" s="104" t="str">
        <f>IF(H1342&lt;0,"ERROR",IF(H1342=0,"",IF(H1342&lt;CONFIG!$B$4,"CRÍTICO",IF(H1342&lt;CONFIG!$B$5,"BAJO","OK"))))</f>
        <v/>
      </c>
    </row>
    <row r="1343" ht="15.75" hidden="1" customHeight="1">
      <c r="A1343" s="90" t="str">
        <f>IF(CLIENTES!A7="","",CLIENTES!A7)</f>
        <v/>
      </c>
      <c r="B1343" s="90" t="s">
        <v>324</v>
      </c>
      <c r="C1343" s="91" t="s">
        <v>322</v>
      </c>
      <c r="D1343" s="109" t="s">
        <v>353</v>
      </c>
      <c r="E1343" s="67" t="str">
        <f>COLORES!A13</f>
        <v>Camote</v>
      </c>
      <c r="F1343" s="67" t="str">
        <f>COLORES!B13</f>
        <v>CLARO</v>
      </c>
      <c r="G1343" s="90" t="s">
        <v>377</v>
      </c>
      <c r="H1343" s="100">
        <f>IFERROR(SUMIFS(MOVIMIENTOS_COMPLEMENTOS!$I$4:$I$803,MOVIMIENTOS_COMPLEMENTOS!$C$4:$C$803,A1343,MOVIMIENTOS_COMPLEMENTOS!$D$4:$D$803,B1343,MOVIMIENTOS_COMPLEMENTOS!$E$4:$E$803,C1343,MOVIMIENTOS_COMPLEMENTOS!$G$4:$G$803,E1343,MOVIMIENTOS_COMPLEMENTOS!$H$4:$H$803,G1343,MOVIMIENTOS_COMPLEMENTOS!$B$4:$B$803,"INGRESO")+SUMIFS(MOVIMIENTOS_COMPLEMENTOS!$I$4:$I$803,MOVIMIENTOS_COMPLEMENTOS!$C$4:$C$803,A1343,MOVIMIENTOS_COMPLEMENTOS!$D$4:$D$803,B1343,MOVIMIENTOS_COMPLEMENTOS!$E$4:$E$803,C1343,MOVIMIENTOS_COMPLEMENTOS!$G$4:$G$803,E1343,MOVIMIENTOS_COMPLEMENTOS!$H$4:$H$803,G1343,MOVIMIENTOS_COMPLEMENTOS!$B$4:$B$803,"DE CORTE")-SUMIFS(MOVIMIENTOS_COMPLEMENTOS!$I$4:$I$803,MOVIMIENTOS_COMPLEMENTOS!$C$4:$C$803,A1343,MOVIMIENTOS_COMPLEMENTOS!$D$4:$D$803,B1343,MOVIMIENTOS_COMPLEMENTOS!$E$4:$E$803,C1343,MOVIMIENTOS_COMPLEMENTOS!$G$4:$G$803,E1343,MOVIMIENTOS_COMPLEMENTOS!$H$4:$H$803,G1343,MOVIMIENTOS_COMPLEMENTOS!$B$4:$B$803,"SALIDA"),0)</f>
        <v>0</v>
      </c>
      <c r="I1343" s="102">
        <f t="array" ref="I1343">IFERROR(INDEX(PRECIOS_COMPLEMENTOS!$C$4:$F$17,MATCH(B1343&amp;"_"&amp;C1343,PRECIOS_COMPLEMENTOS!$H$4:$H$17,0),IF(OR(G1343="S",G1343="20cm"),1,IF(OR(G1343="M",G1343="25cm"),2,IF(OR(G1343="L",G1343="30cm"),3,IF(OR(G1343="XL",G1343="35cm"),4,0))))),0)</f>
        <v>0.35</v>
      </c>
      <c r="J1343" s="103">
        <f t="shared" si="1"/>
        <v>0</v>
      </c>
      <c r="K1343" s="104" t="str">
        <f>IF(H1343&lt;0,"ERROR",IF(H1343=0,"",IF(H1343&lt;CONFIG!$B$4,"CRÍTICO",IF(H1343&lt;CONFIG!$B$5,"BAJO","OK"))))</f>
        <v/>
      </c>
    </row>
    <row r="1344" ht="15.75" hidden="1" customHeight="1">
      <c r="A1344" s="90" t="str">
        <f>IF(CLIENTES!A7="","",CLIENTES!A7)</f>
        <v/>
      </c>
      <c r="B1344" s="90" t="s">
        <v>324</v>
      </c>
      <c r="C1344" s="91" t="s">
        <v>322</v>
      </c>
      <c r="D1344" s="109" t="s">
        <v>353</v>
      </c>
      <c r="E1344" s="67" t="str">
        <f>COLORES!A14</f>
        <v>Denim</v>
      </c>
      <c r="F1344" s="67" t="str">
        <f>COLORES!B14</f>
        <v>CLARO</v>
      </c>
      <c r="G1344" s="90" t="s">
        <v>376</v>
      </c>
      <c r="H1344" s="100">
        <f>IFERROR(SUMIFS(MOVIMIENTOS_COMPLEMENTOS!$I$4:$I$803,MOVIMIENTOS_COMPLEMENTOS!$C$4:$C$803,A1344,MOVIMIENTOS_COMPLEMENTOS!$D$4:$D$803,B1344,MOVIMIENTOS_COMPLEMENTOS!$E$4:$E$803,C1344,MOVIMIENTOS_COMPLEMENTOS!$G$4:$G$803,E1344,MOVIMIENTOS_COMPLEMENTOS!$H$4:$H$803,G1344,MOVIMIENTOS_COMPLEMENTOS!$B$4:$B$803,"INGRESO")+SUMIFS(MOVIMIENTOS_COMPLEMENTOS!$I$4:$I$803,MOVIMIENTOS_COMPLEMENTOS!$C$4:$C$803,A1344,MOVIMIENTOS_COMPLEMENTOS!$D$4:$D$803,B1344,MOVIMIENTOS_COMPLEMENTOS!$E$4:$E$803,C1344,MOVIMIENTOS_COMPLEMENTOS!$G$4:$G$803,E1344,MOVIMIENTOS_COMPLEMENTOS!$H$4:$H$803,G1344,MOVIMIENTOS_COMPLEMENTOS!$B$4:$B$803,"DE CORTE")-SUMIFS(MOVIMIENTOS_COMPLEMENTOS!$I$4:$I$803,MOVIMIENTOS_COMPLEMENTOS!$C$4:$C$803,A1344,MOVIMIENTOS_COMPLEMENTOS!$D$4:$D$803,B1344,MOVIMIENTOS_COMPLEMENTOS!$E$4:$E$803,C1344,MOVIMIENTOS_COMPLEMENTOS!$G$4:$G$803,E1344,MOVIMIENTOS_COMPLEMENTOS!$H$4:$H$803,G1344,MOVIMIENTOS_COMPLEMENTOS!$B$4:$B$803,"SALIDA"),0)</f>
        <v>0</v>
      </c>
      <c r="I1344" s="102">
        <f t="array" ref="I1344">IFERROR(INDEX(PRECIOS_COMPLEMENTOS!$C$4:$F$17,MATCH(B1344&amp;"_"&amp;C1344,PRECIOS_COMPLEMENTOS!$H$4:$H$17,0),IF(OR(G1344="S",G1344="20cm"),1,IF(OR(G1344="M",G1344="25cm"),2,IF(OR(G1344="L",G1344="30cm"),3,IF(OR(G1344="XL",G1344="35cm"),4,0))))),0)</f>
        <v>0.3</v>
      </c>
      <c r="J1344" s="103">
        <f t="shared" si="1"/>
        <v>0</v>
      </c>
      <c r="K1344" s="104" t="str">
        <f>IF(H1344&lt;0,"ERROR",IF(H1344=0,"",IF(H1344&lt;CONFIG!$B$4,"CRÍTICO",IF(H1344&lt;CONFIG!$B$5,"BAJO","OK"))))</f>
        <v/>
      </c>
    </row>
    <row r="1345" ht="15.75" hidden="1" customHeight="1">
      <c r="A1345" s="90" t="str">
        <f>IF(CLIENTES!A7="","",CLIENTES!A7)</f>
        <v/>
      </c>
      <c r="B1345" s="90" t="s">
        <v>324</v>
      </c>
      <c r="C1345" s="91" t="s">
        <v>322</v>
      </c>
      <c r="D1345" s="109" t="s">
        <v>353</v>
      </c>
      <c r="E1345" s="67" t="str">
        <f>COLORES!A14</f>
        <v>Denim</v>
      </c>
      <c r="F1345" s="67" t="str">
        <f>COLORES!B14</f>
        <v>CLARO</v>
      </c>
      <c r="G1345" s="90" t="s">
        <v>377</v>
      </c>
      <c r="H1345" s="100">
        <f>IFERROR(SUMIFS(MOVIMIENTOS_COMPLEMENTOS!$I$4:$I$803,MOVIMIENTOS_COMPLEMENTOS!$C$4:$C$803,A1345,MOVIMIENTOS_COMPLEMENTOS!$D$4:$D$803,B1345,MOVIMIENTOS_COMPLEMENTOS!$E$4:$E$803,C1345,MOVIMIENTOS_COMPLEMENTOS!$G$4:$G$803,E1345,MOVIMIENTOS_COMPLEMENTOS!$H$4:$H$803,G1345,MOVIMIENTOS_COMPLEMENTOS!$B$4:$B$803,"INGRESO")+SUMIFS(MOVIMIENTOS_COMPLEMENTOS!$I$4:$I$803,MOVIMIENTOS_COMPLEMENTOS!$C$4:$C$803,A1345,MOVIMIENTOS_COMPLEMENTOS!$D$4:$D$803,B1345,MOVIMIENTOS_COMPLEMENTOS!$E$4:$E$803,C1345,MOVIMIENTOS_COMPLEMENTOS!$G$4:$G$803,E1345,MOVIMIENTOS_COMPLEMENTOS!$H$4:$H$803,G1345,MOVIMIENTOS_COMPLEMENTOS!$B$4:$B$803,"DE CORTE")-SUMIFS(MOVIMIENTOS_COMPLEMENTOS!$I$4:$I$803,MOVIMIENTOS_COMPLEMENTOS!$C$4:$C$803,A1345,MOVIMIENTOS_COMPLEMENTOS!$D$4:$D$803,B1345,MOVIMIENTOS_COMPLEMENTOS!$E$4:$E$803,C1345,MOVIMIENTOS_COMPLEMENTOS!$G$4:$G$803,E1345,MOVIMIENTOS_COMPLEMENTOS!$H$4:$H$803,G1345,MOVIMIENTOS_COMPLEMENTOS!$B$4:$B$803,"SALIDA"),0)</f>
        <v>0</v>
      </c>
      <c r="I1345" s="102">
        <f t="array" ref="I1345">IFERROR(INDEX(PRECIOS_COMPLEMENTOS!$C$4:$F$17,MATCH(B1345&amp;"_"&amp;C1345,PRECIOS_COMPLEMENTOS!$H$4:$H$17,0),IF(OR(G1345="S",G1345="20cm"),1,IF(OR(G1345="M",G1345="25cm"),2,IF(OR(G1345="L",G1345="30cm"),3,IF(OR(G1345="XL",G1345="35cm"),4,0))))),0)</f>
        <v>0.35</v>
      </c>
      <c r="J1345" s="103">
        <f t="shared" si="1"/>
        <v>0</v>
      </c>
      <c r="K1345" s="104" t="str">
        <f>IF(H1345&lt;0,"ERROR",IF(H1345=0,"",IF(H1345&lt;CONFIG!$B$4,"CRÍTICO",IF(H1345&lt;CONFIG!$B$5,"BAJO","OK"))))</f>
        <v/>
      </c>
    </row>
    <row r="1346" ht="15.75" hidden="1" customHeight="1">
      <c r="A1346" s="90" t="str">
        <f>IF(CLIENTES!A7="","",CLIENTES!A7)</f>
        <v/>
      </c>
      <c r="B1346" s="90" t="s">
        <v>324</v>
      </c>
      <c r="C1346" s="91" t="s">
        <v>322</v>
      </c>
      <c r="D1346" s="109" t="s">
        <v>353</v>
      </c>
      <c r="E1346" s="67" t="str">
        <f>COLORES!A15</f>
        <v>Plomo</v>
      </c>
      <c r="F1346" s="67" t="str">
        <f>COLORES!B15</f>
        <v>OSCURO</v>
      </c>
      <c r="G1346" s="90" t="s">
        <v>376</v>
      </c>
      <c r="H1346" s="100">
        <f>IFERROR(SUMIFS(MOVIMIENTOS_COMPLEMENTOS!$I$4:$I$803,MOVIMIENTOS_COMPLEMENTOS!$C$4:$C$803,A1346,MOVIMIENTOS_COMPLEMENTOS!$D$4:$D$803,B1346,MOVIMIENTOS_COMPLEMENTOS!$E$4:$E$803,C1346,MOVIMIENTOS_COMPLEMENTOS!$G$4:$G$803,E1346,MOVIMIENTOS_COMPLEMENTOS!$H$4:$H$803,G1346,MOVIMIENTOS_COMPLEMENTOS!$B$4:$B$803,"INGRESO")+SUMIFS(MOVIMIENTOS_COMPLEMENTOS!$I$4:$I$803,MOVIMIENTOS_COMPLEMENTOS!$C$4:$C$803,A1346,MOVIMIENTOS_COMPLEMENTOS!$D$4:$D$803,B1346,MOVIMIENTOS_COMPLEMENTOS!$E$4:$E$803,C1346,MOVIMIENTOS_COMPLEMENTOS!$G$4:$G$803,E1346,MOVIMIENTOS_COMPLEMENTOS!$H$4:$H$803,G1346,MOVIMIENTOS_COMPLEMENTOS!$B$4:$B$803,"DE CORTE")-SUMIFS(MOVIMIENTOS_COMPLEMENTOS!$I$4:$I$803,MOVIMIENTOS_COMPLEMENTOS!$C$4:$C$803,A1346,MOVIMIENTOS_COMPLEMENTOS!$D$4:$D$803,B1346,MOVIMIENTOS_COMPLEMENTOS!$E$4:$E$803,C1346,MOVIMIENTOS_COMPLEMENTOS!$G$4:$G$803,E1346,MOVIMIENTOS_COMPLEMENTOS!$H$4:$H$803,G1346,MOVIMIENTOS_COMPLEMENTOS!$B$4:$B$803,"SALIDA"),0)</f>
        <v>0</v>
      </c>
      <c r="I1346" s="102">
        <f t="array" ref="I1346">IFERROR(INDEX(PRECIOS_COMPLEMENTOS!$C$4:$F$17,MATCH(B1346&amp;"_"&amp;C1346,PRECIOS_COMPLEMENTOS!$H$4:$H$17,0),IF(OR(G1346="S",G1346="20cm"),1,IF(OR(G1346="M",G1346="25cm"),2,IF(OR(G1346="L",G1346="30cm"),3,IF(OR(G1346="XL",G1346="35cm"),4,0))))),0)</f>
        <v>0.3</v>
      </c>
      <c r="J1346" s="103">
        <f t="shared" si="1"/>
        <v>0</v>
      </c>
      <c r="K1346" s="104" t="str">
        <f>IF(H1346&lt;0,"ERROR",IF(H1346=0,"",IF(H1346&lt;CONFIG!$B$4,"CRÍTICO",IF(H1346&lt;CONFIG!$B$5,"BAJO","OK"))))</f>
        <v/>
      </c>
    </row>
    <row r="1347" ht="15.75" hidden="1" customHeight="1">
      <c r="A1347" s="90" t="str">
        <f>IF(CLIENTES!A7="","",CLIENTES!A7)</f>
        <v/>
      </c>
      <c r="B1347" s="90" t="s">
        <v>324</v>
      </c>
      <c r="C1347" s="91" t="s">
        <v>322</v>
      </c>
      <c r="D1347" s="109" t="s">
        <v>353</v>
      </c>
      <c r="E1347" s="67" t="str">
        <f>COLORES!A15</f>
        <v>Plomo</v>
      </c>
      <c r="F1347" s="67" t="str">
        <f>COLORES!B15</f>
        <v>OSCURO</v>
      </c>
      <c r="G1347" s="90" t="s">
        <v>377</v>
      </c>
      <c r="H1347" s="100">
        <f>IFERROR(SUMIFS(MOVIMIENTOS_COMPLEMENTOS!$I$4:$I$803,MOVIMIENTOS_COMPLEMENTOS!$C$4:$C$803,A1347,MOVIMIENTOS_COMPLEMENTOS!$D$4:$D$803,B1347,MOVIMIENTOS_COMPLEMENTOS!$E$4:$E$803,C1347,MOVIMIENTOS_COMPLEMENTOS!$G$4:$G$803,E1347,MOVIMIENTOS_COMPLEMENTOS!$H$4:$H$803,G1347,MOVIMIENTOS_COMPLEMENTOS!$B$4:$B$803,"INGRESO")+SUMIFS(MOVIMIENTOS_COMPLEMENTOS!$I$4:$I$803,MOVIMIENTOS_COMPLEMENTOS!$C$4:$C$803,A1347,MOVIMIENTOS_COMPLEMENTOS!$D$4:$D$803,B1347,MOVIMIENTOS_COMPLEMENTOS!$E$4:$E$803,C1347,MOVIMIENTOS_COMPLEMENTOS!$G$4:$G$803,E1347,MOVIMIENTOS_COMPLEMENTOS!$H$4:$H$803,G1347,MOVIMIENTOS_COMPLEMENTOS!$B$4:$B$803,"DE CORTE")-SUMIFS(MOVIMIENTOS_COMPLEMENTOS!$I$4:$I$803,MOVIMIENTOS_COMPLEMENTOS!$C$4:$C$803,A1347,MOVIMIENTOS_COMPLEMENTOS!$D$4:$D$803,B1347,MOVIMIENTOS_COMPLEMENTOS!$E$4:$E$803,C1347,MOVIMIENTOS_COMPLEMENTOS!$G$4:$G$803,E1347,MOVIMIENTOS_COMPLEMENTOS!$H$4:$H$803,G1347,MOVIMIENTOS_COMPLEMENTOS!$B$4:$B$803,"SALIDA"),0)</f>
        <v>0</v>
      </c>
      <c r="I1347" s="102">
        <f t="array" ref="I1347">IFERROR(INDEX(PRECIOS_COMPLEMENTOS!$C$4:$F$17,MATCH(B1347&amp;"_"&amp;C1347,PRECIOS_COMPLEMENTOS!$H$4:$H$17,0),IF(OR(G1347="S",G1347="20cm"),1,IF(OR(G1347="M",G1347="25cm"),2,IF(OR(G1347="L",G1347="30cm"),3,IF(OR(G1347="XL",G1347="35cm"),4,0))))),0)</f>
        <v>0.35</v>
      </c>
      <c r="J1347" s="103">
        <f t="shared" si="1"/>
        <v>0</v>
      </c>
      <c r="K1347" s="104" t="str">
        <f>IF(H1347&lt;0,"ERROR",IF(H1347=0,"",IF(H1347&lt;CONFIG!$B$4,"CRÍTICO",IF(H1347&lt;CONFIG!$B$5,"BAJO","OK"))))</f>
        <v/>
      </c>
    </row>
    <row r="1348" ht="15.75" hidden="1" customHeight="1">
      <c r="A1348" s="90" t="str">
        <f>IF(CLIENTES!A7="","",CLIENTES!A7)</f>
        <v/>
      </c>
      <c r="B1348" s="90" t="s">
        <v>324</v>
      </c>
      <c r="C1348" s="91" t="s">
        <v>322</v>
      </c>
      <c r="D1348" s="109" t="s">
        <v>353</v>
      </c>
      <c r="E1348" s="67" t="str">
        <f>COLORES!A16</f>
        <v>Topo</v>
      </c>
      <c r="F1348" s="67" t="str">
        <f>COLORES!B16</f>
        <v>CLARO</v>
      </c>
      <c r="G1348" s="90" t="s">
        <v>376</v>
      </c>
      <c r="H1348" s="100">
        <f>IFERROR(SUMIFS(MOVIMIENTOS_COMPLEMENTOS!$I$4:$I$803,MOVIMIENTOS_COMPLEMENTOS!$C$4:$C$803,A1348,MOVIMIENTOS_COMPLEMENTOS!$D$4:$D$803,B1348,MOVIMIENTOS_COMPLEMENTOS!$E$4:$E$803,C1348,MOVIMIENTOS_COMPLEMENTOS!$G$4:$G$803,E1348,MOVIMIENTOS_COMPLEMENTOS!$H$4:$H$803,G1348,MOVIMIENTOS_COMPLEMENTOS!$B$4:$B$803,"INGRESO")+SUMIFS(MOVIMIENTOS_COMPLEMENTOS!$I$4:$I$803,MOVIMIENTOS_COMPLEMENTOS!$C$4:$C$803,A1348,MOVIMIENTOS_COMPLEMENTOS!$D$4:$D$803,B1348,MOVIMIENTOS_COMPLEMENTOS!$E$4:$E$803,C1348,MOVIMIENTOS_COMPLEMENTOS!$G$4:$G$803,E1348,MOVIMIENTOS_COMPLEMENTOS!$H$4:$H$803,G1348,MOVIMIENTOS_COMPLEMENTOS!$B$4:$B$803,"DE CORTE")-SUMIFS(MOVIMIENTOS_COMPLEMENTOS!$I$4:$I$803,MOVIMIENTOS_COMPLEMENTOS!$C$4:$C$803,A1348,MOVIMIENTOS_COMPLEMENTOS!$D$4:$D$803,B1348,MOVIMIENTOS_COMPLEMENTOS!$E$4:$E$803,C1348,MOVIMIENTOS_COMPLEMENTOS!$G$4:$G$803,E1348,MOVIMIENTOS_COMPLEMENTOS!$H$4:$H$803,G1348,MOVIMIENTOS_COMPLEMENTOS!$B$4:$B$803,"SALIDA"),0)</f>
        <v>0</v>
      </c>
      <c r="I1348" s="102">
        <f t="array" ref="I1348">IFERROR(INDEX(PRECIOS_COMPLEMENTOS!$C$4:$F$17,MATCH(B1348&amp;"_"&amp;C1348,PRECIOS_COMPLEMENTOS!$H$4:$H$17,0),IF(OR(G1348="S",G1348="20cm"),1,IF(OR(G1348="M",G1348="25cm"),2,IF(OR(G1348="L",G1348="30cm"),3,IF(OR(G1348="XL",G1348="35cm"),4,0))))),0)</f>
        <v>0.3</v>
      </c>
      <c r="J1348" s="103">
        <f t="shared" si="1"/>
        <v>0</v>
      </c>
      <c r="K1348" s="104" t="str">
        <f>IF(H1348&lt;0,"ERROR",IF(H1348=0,"",IF(H1348&lt;CONFIG!$B$4,"CRÍTICO",IF(H1348&lt;CONFIG!$B$5,"BAJO","OK"))))</f>
        <v/>
      </c>
    </row>
    <row r="1349" ht="15.75" hidden="1" customHeight="1">
      <c r="A1349" s="90" t="str">
        <f>IF(CLIENTES!A7="","",CLIENTES!A7)</f>
        <v/>
      </c>
      <c r="B1349" s="90" t="s">
        <v>324</v>
      </c>
      <c r="C1349" s="91" t="s">
        <v>322</v>
      </c>
      <c r="D1349" s="109" t="s">
        <v>353</v>
      </c>
      <c r="E1349" s="67" t="str">
        <f>COLORES!A16</f>
        <v>Topo</v>
      </c>
      <c r="F1349" s="67" t="str">
        <f>COLORES!B16</f>
        <v>CLARO</v>
      </c>
      <c r="G1349" s="90" t="s">
        <v>377</v>
      </c>
      <c r="H1349" s="100">
        <f>IFERROR(SUMIFS(MOVIMIENTOS_COMPLEMENTOS!$I$4:$I$803,MOVIMIENTOS_COMPLEMENTOS!$C$4:$C$803,A1349,MOVIMIENTOS_COMPLEMENTOS!$D$4:$D$803,B1349,MOVIMIENTOS_COMPLEMENTOS!$E$4:$E$803,C1349,MOVIMIENTOS_COMPLEMENTOS!$G$4:$G$803,E1349,MOVIMIENTOS_COMPLEMENTOS!$H$4:$H$803,G1349,MOVIMIENTOS_COMPLEMENTOS!$B$4:$B$803,"INGRESO")+SUMIFS(MOVIMIENTOS_COMPLEMENTOS!$I$4:$I$803,MOVIMIENTOS_COMPLEMENTOS!$C$4:$C$803,A1349,MOVIMIENTOS_COMPLEMENTOS!$D$4:$D$803,B1349,MOVIMIENTOS_COMPLEMENTOS!$E$4:$E$803,C1349,MOVIMIENTOS_COMPLEMENTOS!$G$4:$G$803,E1349,MOVIMIENTOS_COMPLEMENTOS!$H$4:$H$803,G1349,MOVIMIENTOS_COMPLEMENTOS!$B$4:$B$803,"DE CORTE")-SUMIFS(MOVIMIENTOS_COMPLEMENTOS!$I$4:$I$803,MOVIMIENTOS_COMPLEMENTOS!$C$4:$C$803,A1349,MOVIMIENTOS_COMPLEMENTOS!$D$4:$D$803,B1349,MOVIMIENTOS_COMPLEMENTOS!$E$4:$E$803,C1349,MOVIMIENTOS_COMPLEMENTOS!$G$4:$G$803,E1349,MOVIMIENTOS_COMPLEMENTOS!$H$4:$H$803,G1349,MOVIMIENTOS_COMPLEMENTOS!$B$4:$B$803,"SALIDA"),0)</f>
        <v>0</v>
      </c>
      <c r="I1349" s="102">
        <f t="array" ref="I1349">IFERROR(INDEX(PRECIOS_COMPLEMENTOS!$C$4:$F$17,MATCH(B1349&amp;"_"&amp;C1349,PRECIOS_COMPLEMENTOS!$H$4:$H$17,0),IF(OR(G1349="S",G1349="20cm"),1,IF(OR(G1349="M",G1349="25cm"),2,IF(OR(G1349="L",G1349="30cm"),3,IF(OR(G1349="XL",G1349="35cm"),4,0))))),0)</f>
        <v>0.35</v>
      </c>
      <c r="J1349" s="103">
        <f t="shared" si="1"/>
        <v>0</v>
      </c>
      <c r="K1349" s="104" t="str">
        <f>IF(H1349&lt;0,"ERROR",IF(H1349=0,"",IF(H1349&lt;CONFIG!$B$4,"CRÍTICO",IF(H1349&lt;CONFIG!$B$5,"BAJO","OK"))))</f>
        <v/>
      </c>
    </row>
    <row r="1350" ht="15.75" hidden="1" customHeight="1">
      <c r="A1350" s="90" t="str">
        <f>IF(CLIENTES!A7="","",CLIENTES!A7)</f>
        <v/>
      </c>
      <c r="B1350" s="90" t="s">
        <v>324</v>
      </c>
      <c r="C1350" s="91" t="s">
        <v>322</v>
      </c>
      <c r="D1350" s="109" t="s">
        <v>353</v>
      </c>
      <c r="E1350" s="67" t="str">
        <f>COLORES!A17</f>
        <v>Vino</v>
      </c>
      <c r="F1350" s="67" t="str">
        <f>COLORES!B17</f>
        <v>OSCURO</v>
      </c>
      <c r="G1350" s="90" t="s">
        <v>376</v>
      </c>
      <c r="H1350" s="100">
        <f>IFERROR(SUMIFS(MOVIMIENTOS_COMPLEMENTOS!$I$4:$I$803,MOVIMIENTOS_COMPLEMENTOS!$C$4:$C$803,A1350,MOVIMIENTOS_COMPLEMENTOS!$D$4:$D$803,B1350,MOVIMIENTOS_COMPLEMENTOS!$E$4:$E$803,C1350,MOVIMIENTOS_COMPLEMENTOS!$G$4:$G$803,E1350,MOVIMIENTOS_COMPLEMENTOS!$H$4:$H$803,G1350,MOVIMIENTOS_COMPLEMENTOS!$B$4:$B$803,"INGRESO")+SUMIFS(MOVIMIENTOS_COMPLEMENTOS!$I$4:$I$803,MOVIMIENTOS_COMPLEMENTOS!$C$4:$C$803,A1350,MOVIMIENTOS_COMPLEMENTOS!$D$4:$D$803,B1350,MOVIMIENTOS_COMPLEMENTOS!$E$4:$E$803,C1350,MOVIMIENTOS_COMPLEMENTOS!$G$4:$G$803,E1350,MOVIMIENTOS_COMPLEMENTOS!$H$4:$H$803,G1350,MOVIMIENTOS_COMPLEMENTOS!$B$4:$B$803,"DE CORTE")-SUMIFS(MOVIMIENTOS_COMPLEMENTOS!$I$4:$I$803,MOVIMIENTOS_COMPLEMENTOS!$C$4:$C$803,A1350,MOVIMIENTOS_COMPLEMENTOS!$D$4:$D$803,B1350,MOVIMIENTOS_COMPLEMENTOS!$E$4:$E$803,C1350,MOVIMIENTOS_COMPLEMENTOS!$G$4:$G$803,E1350,MOVIMIENTOS_COMPLEMENTOS!$H$4:$H$803,G1350,MOVIMIENTOS_COMPLEMENTOS!$B$4:$B$803,"SALIDA"),0)</f>
        <v>0</v>
      </c>
      <c r="I1350" s="102">
        <f t="array" ref="I1350">IFERROR(INDEX(PRECIOS_COMPLEMENTOS!$C$4:$F$17,MATCH(B1350&amp;"_"&amp;C1350,PRECIOS_COMPLEMENTOS!$H$4:$H$17,0),IF(OR(G1350="S",G1350="20cm"),1,IF(OR(G1350="M",G1350="25cm"),2,IF(OR(G1350="L",G1350="30cm"),3,IF(OR(G1350="XL",G1350="35cm"),4,0))))),0)</f>
        <v>0.3</v>
      </c>
      <c r="J1350" s="103">
        <f t="shared" si="1"/>
        <v>0</v>
      </c>
      <c r="K1350" s="104" t="str">
        <f>IF(H1350&lt;0,"ERROR",IF(H1350=0,"",IF(H1350&lt;CONFIG!$B$4,"CRÍTICO",IF(H1350&lt;CONFIG!$B$5,"BAJO","OK"))))</f>
        <v/>
      </c>
    </row>
    <row r="1351" ht="15.75" hidden="1" customHeight="1">
      <c r="A1351" s="90" t="str">
        <f>IF(CLIENTES!A7="","",CLIENTES!A7)</f>
        <v/>
      </c>
      <c r="B1351" s="90" t="s">
        <v>324</v>
      </c>
      <c r="C1351" s="91" t="s">
        <v>322</v>
      </c>
      <c r="D1351" s="109" t="s">
        <v>353</v>
      </c>
      <c r="E1351" s="67" t="str">
        <f>COLORES!A17</f>
        <v>Vino</v>
      </c>
      <c r="F1351" s="67" t="str">
        <f>COLORES!B17</f>
        <v>OSCURO</v>
      </c>
      <c r="G1351" s="90" t="s">
        <v>377</v>
      </c>
      <c r="H1351" s="100">
        <f>IFERROR(SUMIFS(MOVIMIENTOS_COMPLEMENTOS!$I$4:$I$803,MOVIMIENTOS_COMPLEMENTOS!$C$4:$C$803,A1351,MOVIMIENTOS_COMPLEMENTOS!$D$4:$D$803,B1351,MOVIMIENTOS_COMPLEMENTOS!$E$4:$E$803,C1351,MOVIMIENTOS_COMPLEMENTOS!$G$4:$G$803,E1351,MOVIMIENTOS_COMPLEMENTOS!$H$4:$H$803,G1351,MOVIMIENTOS_COMPLEMENTOS!$B$4:$B$803,"INGRESO")+SUMIFS(MOVIMIENTOS_COMPLEMENTOS!$I$4:$I$803,MOVIMIENTOS_COMPLEMENTOS!$C$4:$C$803,A1351,MOVIMIENTOS_COMPLEMENTOS!$D$4:$D$803,B1351,MOVIMIENTOS_COMPLEMENTOS!$E$4:$E$803,C1351,MOVIMIENTOS_COMPLEMENTOS!$G$4:$G$803,E1351,MOVIMIENTOS_COMPLEMENTOS!$H$4:$H$803,G1351,MOVIMIENTOS_COMPLEMENTOS!$B$4:$B$803,"DE CORTE")-SUMIFS(MOVIMIENTOS_COMPLEMENTOS!$I$4:$I$803,MOVIMIENTOS_COMPLEMENTOS!$C$4:$C$803,A1351,MOVIMIENTOS_COMPLEMENTOS!$D$4:$D$803,B1351,MOVIMIENTOS_COMPLEMENTOS!$E$4:$E$803,C1351,MOVIMIENTOS_COMPLEMENTOS!$G$4:$G$803,E1351,MOVIMIENTOS_COMPLEMENTOS!$H$4:$H$803,G1351,MOVIMIENTOS_COMPLEMENTOS!$B$4:$B$803,"SALIDA"),0)</f>
        <v>0</v>
      </c>
      <c r="I1351" s="102">
        <f t="array" ref="I1351">IFERROR(INDEX(PRECIOS_COMPLEMENTOS!$C$4:$F$17,MATCH(B1351&amp;"_"&amp;C1351,PRECIOS_COMPLEMENTOS!$H$4:$H$17,0),IF(OR(G1351="S",G1351="20cm"),1,IF(OR(G1351="M",G1351="25cm"),2,IF(OR(G1351="L",G1351="30cm"),3,IF(OR(G1351="XL",G1351="35cm"),4,0))))),0)</f>
        <v>0.35</v>
      </c>
      <c r="J1351" s="103">
        <f t="shared" si="1"/>
        <v>0</v>
      </c>
      <c r="K1351" s="104" t="str">
        <f>IF(H1351&lt;0,"ERROR",IF(H1351=0,"",IF(H1351&lt;CONFIG!$B$4,"CRÍTICO",IF(H1351&lt;CONFIG!$B$5,"BAJO","OK"))))</f>
        <v/>
      </c>
    </row>
    <row r="1352" ht="15.75" hidden="1" customHeight="1">
      <c r="A1352" s="90" t="str">
        <f>IF(CLIENTES!A7="","",CLIENTES!A7)</f>
        <v/>
      </c>
      <c r="B1352" s="90" t="s">
        <v>324</v>
      </c>
      <c r="C1352" s="91" t="s">
        <v>322</v>
      </c>
      <c r="D1352" s="109" t="s">
        <v>353</v>
      </c>
      <c r="E1352" s="67" t="str">
        <f>COLORES!A18</f>
        <v>P. Rosa</v>
      </c>
      <c r="F1352" s="67" t="str">
        <f>COLORES!B18</f>
        <v>CLARO</v>
      </c>
      <c r="G1352" s="90" t="s">
        <v>376</v>
      </c>
      <c r="H1352" s="100">
        <f>IFERROR(SUMIFS(MOVIMIENTOS_COMPLEMENTOS!$I$4:$I$803,MOVIMIENTOS_COMPLEMENTOS!$C$4:$C$803,A1352,MOVIMIENTOS_COMPLEMENTOS!$D$4:$D$803,B1352,MOVIMIENTOS_COMPLEMENTOS!$E$4:$E$803,C1352,MOVIMIENTOS_COMPLEMENTOS!$G$4:$G$803,E1352,MOVIMIENTOS_COMPLEMENTOS!$H$4:$H$803,G1352,MOVIMIENTOS_COMPLEMENTOS!$B$4:$B$803,"INGRESO")+SUMIFS(MOVIMIENTOS_COMPLEMENTOS!$I$4:$I$803,MOVIMIENTOS_COMPLEMENTOS!$C$4:$C$803,A1352,MOVIMIENTOS_COMPLEMENTOS!$D$4:$D$803,B1352,MOVIMIENTOS_COMPLEMENTOS!$E$4:$E$803,C1352,MOVIMIENTOS_COMPLEMENTOS!$G$4:$G$803,E1352,MOVIMIENTOS_COMPLEMENTOS!$H$4:$H$803,G1352,MOVIMIENTOS_COMPLEMENTOS!$B$4:$B$803,"DE CORTE")-SUMIFS(MOVIMIENTOS_COMPLEMENTOS!$I$4:$I$803,MOVIMIENTOS_COMPLEMENTOS!$C$4:$C$803,A1352,MOVIMIENTOS_COMPLEMENTOS!$D$4:$D$803,B1352,MOVIMIENTOS_COMPLEMENTOS!$E$4:$E$803,C1352,MOVIMIENTOS_COMPLEMENTOS!$G$4:$G$803,E1352,MOVIMIENTOS_COMPLEMENTOS!$H$4:$H$803,G1352,MOVIMIENTOS_COMPLEMENTOS!$B$4:$B$803,"SALIDA"),0)</f>
        <v>0</v>
      </c>
      <c r="I1352" s="102">
        <f t="array" ref="I1352">IFERROR(INDEX(PRECIOS_COMPLEMENTOS!$C$4:$F$17,MATCH(B1352&amp;"_"&amp;C1352,PRECIOS_COMPLEMENTOS!$H$4:$H$17,0),IF(OR(G1352="S",G1352="20cm"),1,IF(OR(G1352="M",G1352="25cm"),2,IF(OR(G1352="L",G1352="30cm"),3,IF(OR(G1352="XL",G1352="35cm"),4,0))))),0)</f>
        <v>0.3</v>
      </c>
      <c r="J1352" s="103">
        <f t="shared" si="1"/>
        <v>0</v>
      </c>
      <c r="K1352" s="104" t="str">
        <f>IF(H1352&lt;0,"ERROR",IF(H1352=0,"",IF(H1352&lt;CONFIG!$B$4,"CRÍTICO",IF(H1352&lt;CONFIG!$B$5,"BAJO","OK"))))</f>
        <v/>
      </c>
    </row>
    <row r="1353" ht="15.75" hidden="1" customHeight="1">
      <c r="A1353" s="90" t="str">
        <f>IF(CLIENTES!A7="","",CLIENTES!A7)</f>
        <v/>
      </c>
      <c r="B1353" s="90" t="s">
        <v>324</v>
      </c>
      <c r="C1353" s="91" t="s">
        <v>322</v>
      </c>
      <c r="D1353" s="109" t="s">
        <v>353</v>
      </c>
      <c r="E1353" s="67" t="str">
        <f>COLORES!A18</f>
        <v>P. Rosa</v>
      </c>
      <c r="F1353" s="67" t="str">
        <f>COLORES!B18</f>
        <v>CLARO</v>
      </c>
      <c r="G1353" s="90" t="s">
        <v>377</v>
      </c>
      <c r="H1353" s="100">
        <f>IFERROR(SUMIFS(MOVIMIENTOS_COMPLEMENTOS!$I$4:$I$803,MOVIMIENTOS_COMPLEMENTOS!$C$4:$C$803,A1353,MOVIMIENTOS_COMPLEMENTOS!$D$4:$D$803,B1353,MOVIMIENTOS_COMPLEMENTOS!$E$4:$E$803,C1353,MOVIMIENTOS_COMPLEMENTOS!$G$4:$G$803,E1353,MOVIMIENTOS_COMPLEMENTOS!$H$4:$H$803,G1353,MOVIMIENTOS_COMPLEMENTOS!$B$4:$B$803,"INGRESO")+SUMIFS(MOVIMIENTOS_COMPLEMENTOS!$I$4:$I$803,MOVIMIENTOS_COMPLEMENTOS!$C$4:$C$803,A1353,MOVIMIENTOS_COMPLEMENTOS!$D$4:$D$803,B1353,MOVIMIENTOS_COMPLEMENTOS!$E$4:$E$803,C1353,MOVIMIENTOS_COMPLEMENTOS!$G$4:$G$803,E1353,MOVIMIENTOS_COMPLEMENTOS!$H$4:$H$803,G1353,MOVIMIENTOS_COMPLEMENTOS!$B$4:$B$803,"DE CORTE")-SUMIFS(MOVIMIENTOS_COMPLEMENTOS!$I$4:$I$803,MOVIMIENTOS_COMPLEMENTOS!$C$4:$C$803,A1353,MOVIMIENTOS_COMPLEMENTOS!$D$4:$D$803,B1353,MOVIMIENTOS_COMPLEMENTOS!$E$4:$E$803,C1353,MOVIMIENTOS_COMPLEMENTOS!$G$4:$G$803,E1353,MOVIMIENTOS_COMPLEMENTOS!$H$4:$H$803,G1353,MOVIMIENTOS_COMPLEMENTOS!$B$4:$B$803,"SALIDA"),0)</f>
        <v>0</v>
      </c>
      <c r="I1353" s="102">
        <f t="array" ref="I1353">IFERROR(INDEX(PRECIOS_COMPLEMENTOS!$C$4:$F$17,MATCH(B1353&amp;"_"&amp;C1353,PRECIOS_COMPLEMENTOS!$H$4:$H$17,0),IF(OR(G1353="S",G1353="20cm"),1,IF(OR(G1353="M",G1353="25cm"),2,IF(OR(G1353="L",G1353="30cm"),3,IF(OR(G1353="XL",G1353="35cm"),4,0))))),0)</f>
        <v>0.35</v>
      </c>
      <c r="J1353" s="103">
        <f t="shared" si="1"/>
        <v>0</v>
      </c>
      <c r="K1353" s="104" t="str">
        <f>IF(H1353&lt;0,"ERROR",IF(H1353=0,"",IF(H1353&lt;CONFIG!$B$4,"CRÍTICO",IF(H1353&lt;CONFIG!$B$5,"BAJO","OK"))))</f>
        <v/>
      </c>
    </row>
    <row r="1354" ht="15.75" hidden="1" customHeight="1">
      <c r="A1354" s="90" t="str">
        <f>IF(CLIENTES!A7="","",CLIENTES!A7)</f>
        <v/>
      </c>
      <c r="B1354" s="90" t="s">
        <v>324</v>
      </c>
      <c r="C1354" s="91" t="s">
        <v>322</v>
      </c>
      <c r="D1354" s="109" t="s">
        <v>353</v>
      </c>
      <c r="E1354" s="67" t="str">
        <f>COLORES!A19</f>
        <v/>
      </c>
      <c r="F1354" s="67" t="str">
        <f>COLORES!B19</f>
        <v/>
      </c>
      <c r="G1354" s="90" t="s">
        <v>376</v>
      </c>
      <c r="H1354" s="100">
        <f>IFERROR(SUMIFS(MOVIMIENTOS_COMPLEMENTOS!$I$4:$I$803,MOVIMIENTOS_COMPLEMENTOS!$C$4:$C$803,A1354,MOVIMIENTOS_COMPLEMENTOS!$D$4:$D$803,B1354,MOVIMIENTOS_COMPLEMENTOS!$E$4:$E$803,C1354,MOVIMIENTOS_COMPLEMENTOS!$G$4:$G$803,E1354,MOVIMIENTOS_COMPLEMENTOS!$H$4:$H$803,G1354,MOVIMIENTOS_COMPLEMENTOS!$B$4:$B$803,"INGRESO")+SUMIFS(MOVIMIENTOS_COMPLEMENTOS!$I$4:$I$803,MOVIMIENTOS_COMPLEMENTOS!$C$4:$C$803,A1354,MOVIMIENTOS_COMPLEMENTOS!$D$4:$D$803,B1354,MOVIMIENTOS_COMPLEMENTOS!$E$4:$E$803,C1354,MOVIMIENTOS_COMPLEMENTOS!$G$4:$G$803,E1354,MOVIMIENTOS_COMPLEMENTOS!$H$4:$H$803,G1354,MOVIMIENTOS_COMPLEMENTOS!$B$4:$B$803,"DE CORTE")-SUMIFS(MOVIMIENTOS_COMPLEMENTOS!$I$4:$I$803,MOVIMIENTOS_COMPLEMENTOS!$C$4:$C$803,A1354,MOVIMIENTOS_COMPLEMENTOS!$D$4:$D$803,B1354,MOVIMIENTOS_COMPLEMENTOS!$E$4:$E$803,C1354,MOVIMIENTOS_COMPLEMENTOS!$G$4:$G$803,E1354,MOVIMIENTOS_COMPLEMENTOS!$H$4:$H$803,G1354,MOVIMIENTOS_COMPLEMENTOS!$B$4:$B$803,"SALIDA"),0)</f>
        <v>0</v>
      </c>
      <c r="I1354" s="102">
        <f t="array" ref="I1354">IFERROR(INDEX(PRECIOS_COMPLEMENTOS!$C$4:$F$17,MATCH(B1354&amp;"_"&amp;C1354,PRECIOS_COMPLEMENTOS!$H$4:$H$17,0),IF(OR(G1354="S",G1354="20cm"),1,IF(OR(G1354="M",G1354="25cm"),2,IF(OR(G1354="L",G1354="30cm"),3,IF(OR(G1354="XL",G1354="35cm"),4,0))))),0)</f>
        <v>0.3</v>
      </c>
      <c r="J1354" s="103">
        <f t="shared" si="1"/>
        <v>0</v>
      </c>
      <c r="K1354" s="104" t="str">
        <f>IF(H1354&lt;0,"ERROR",IF(H1354=0,"",IF(H1354&lt;CONFIG!$B$4,"CRÍTICO",IF(H1354&lt;CONFIG!$B$5,"BAJO","OK"))))</f>
        <v/>
      </c>
    </row>
    <row r="1355" ht="15.75" hidden="1" customHeight="1">
      <c r="A1355" s="90" t="str">
        <f>IF(CLIENTES!A7="","",CLIENTES!A7)</f>
        <v/>
      </c>
      <c r="B1355" s="90" t="s">
        <v>324</v>
      </c>
      <c r="C1355" s="91" t="s">
        <v>322</v>
      </c>
      <c r="D1355" s="109" t="s">
        <v>353</v>
      </c>
      <c r="E1355" s="67" t="str">
        <f>COLORES!A19</f>
        <v/>
      </c>
      <c r="F1355" s="67" t="str">
        <f>COLORES!B19</f>
        <v/>
      </c>
      <c r="G1355" s="90" t="s">
        <v>377</v>
      </c>
      <c r="H1355" s="100">
        <f>IFERROR(SUMIFS(MOVIMIENTOS_COMPLEMENTOS!$I$4:$I$803,MOVIMIENTOS_COMPLEMENTOS!$C$4:$C$803,A1355,MOVIMIENTOS_COMPLEMENTOS!$D$4:$D$803,B1355,MOVIMIENTOS_COMPLEMENTOS!$E$4:$E$803,C1355,MOVIMIENTOS_COMPLEMENTOS!$G$4:$G$803,E1355,MOVIMIENTOS_COMPLEMENTOS!$H$4:$H$803,G1355,MOVIMIENTOS_COMPLEMENTOS!$B$4:$B$803,"INGRESO")+SUMIFS(MOVIMIENTOS_COMPLEMENTOS!$I$4:$I$803,MOVIMIENTOS_COMPLEMENTOS!$C$4:$C$803,A1355,MOVIMIENTOS_COMPLEMENTOS!$D$4:$D$803,B1355,MOVIMIENTOS_COMPLEMENTOS!$E$4:$E$803,C1355,MOVIMIENTOS_COMPLEMENTOS!$G$4:$G$803,E1355,MOVIMIENTOS_COMPLEMENTOS!$H$4:$H$803,G1355,MOVIMIENTOS_COMPLEMENTOS!$B$4:$B$803,"DE CORTE")-SUMIFS(MOVIMIENTOS_COMPLEMENTOS!$I$4:$I$803,MOVIMIENTOS_COMPLEMENTOS!$C$4:$C$803,A1355,MOVIMIENTOS_COMPLEMENTOS!$D$4:$D$803,B1355,MOVIMIENTOS_COMPLEMENTOS!$E$4:$E$803,C1355,MOVIMIENTOS_COMPLEMENTOS!$G$4:$G$803,E1355,MOVIMIENTOS_COMPLEMENTOS!$H$4:$H$803,G1355,MOVIMIENTOS_COMPLEMENTOS!$B$4:$B$803,"SALIDA"),0)</f>
        <v>0</v>
      </c>
      <c r="I1355" s="102">
        <f t="array" ref="I1355">IFERROR(INDEX(PRECIOS_COMPLEMENTOS!$C$4:$F$17,MATCH(B1355&amp;"_"&amp;C1355,PRECIOS_COMPLEMENTOS!$H$4:$H$17,0),IF(OR(G1355="S",G1355="20cm"),1,IF(OR(G1355="M",G1355="25cm"),2,IF(OR(G1355="L",G1355="30cm"),3,IF(OR(G1355="XL",G1355="35cm"),4,0))))),0)</f>
        <v>0.35</v>
      </c>
      <c r="J1355" s="103">
        <f t="shared" si="1"/>
        <v>0</v>
      </c>
      <c r="K1355" s="104" t="str">
        <f>IF(H1355&lt;0,"ERROR",IF(H1355=0,"",IF(H1355&lt;CONFIG!$B$4,"CRÍTICO",IF(H1355&lt;CONFIG!$B$5,"BAJO","OK"))))</f>
        <v/>
      </c>
    </row>
    <row r="1356" ht="15.75" hidden="1" customHeight="1">
      <c r="A1356" s="90" t="str">
        <f>IF(CLIENTES!A7="","",CLIENTES!A7)</f>
        <v/>
      </c>
      <c r="B1356" s="90" t="s">
        <v>324</v>
      </c>
      <c r="C1356" s="91" t="s">
        <v>322</v>
      </c>
      <c r="D1356" s="109" t="s">
        <v>353</v>
      </c>
      <c r="E1356" s="67" t="str">
        <f>COLORES!A20</f>
        <v/>
      </c>
      <c r="F1356" s="67" t="str">
        <f>COLORES!B20</f>
        <v/>
      </c>
      <c r="G1356" s="90" t="s">
        <v>376</v>
      </c>
      <c r="H1356" s="100">
        <f>IFERROR(SUMIFS(MOVIMIENTOS_COMPLEMENTOS!$I$4:$I$803,MOVIMIENTOS_COMPLEMENTOS!$C$4:$C$803,A1356,MOVIMIENTOS_COMPLEMENTOS!$D$4:$D$803,B1356,MOVIMIENTOS_COMPLEMENTOS!$E$4:$E$803,C1356,MOVIMIENTOS_COMPLEMENTOS!$G$4:$G$803,E1356,MOVIMIENTOS_COMPLEMENTOS!$H$4:$H$803,G1356,MOVIMIENTOS_COMPLEMENTOS!$B$4:$B$803,"INGRESO")+SUMIFS(MOVIMIENTOS_COMPLEMENTOS!$I$4:$I$803,MOVIMIENTOS_COMPLEMENTOS!$C$4:$C$803,A1356,MOVIMIENTOS_COMPLEMENTOS!$D$4:$D$803,B1356,MOVIMIENTOS_COMPLEMENTOS!$E$4:$E$803,C1356,MOVIMIENTOS_COMPLEMENTOS!$G$4:$G$803,E1356,MOVIMIENTOS_COMPLEMENTOS!$H$4:$H$803,G1356,MOVIMIENTOS_COMPLEMENTOS!$B$4:$B$803,"DE CORTE")-SUMIFS(MOVIMIENTOS_COMPLEMENTOS!$I$4:$I$803,MOVIMIENTOS_COMPLEMENTOS!$C$4:$C$803,A1356,MOVIMIENTOS_COMPLEMENTOS!$D$4:$D$803,B1356,MOVIMIENTOS_COMPLEMENTOS!$E$4:$E$803,C1356,MOVIMIENTOS_COMPLEMENTOS!$G$4:$G$803,E1356,MOVIMIENTOS_COMPLEMENTOS!$H$4:$H$803,G1356,MOVIMIENTOS_COMPLEMENTOS!$B$4:$B$803,"SALIDA"),0)</f>
        <v>0</v>
      </c>
      <c r="I1356" s="102">
        <f t="array" ref="I1356">IFERROR(INDEX(PRECIOS_COMPLEMENTOS!$C$4:$F$17,MATCH(B1356&amp;"_"&amp;C1356,PRECIOS_COMPLEMENTOS!$H$4:$H$17,0),IF(OR(G1356="S",G1356="20cm"),1,IF(OR(G1356="M",G1356="25cm"),2,IF(OR(G1356="L",G1356="30cm"),3,IF(OR(G1356="XL",G1356="35cm"),4,0))))),0)</f>
        <v>0.3</v>
      </c>
      <c r="J1356" s="103">
        <f t="shared" si="1"/>
        <v>0</v>
      </c>
      <c r="K1356" s="104" t="str">
        <f>IF(H1356&lt;0,"ERROR",IF(H1356=0,"",IF(H1356&lt;CONFIG!$B$4,"CRÍTICO",IF(H1356&lt;CONFIG!$B$5,"BAJO","OK"))))</f>
        <v/>
      </c>
    </row>
    <row r="1357" ht="15.75" hidden="1" customHeight="1">
      <c r="A1357" s="90" t="str">
        <f>IF(CLIENTES!A7="","",CLIENTES!A7)</f>
        <v/>
      </c>
      <c r="B1357" s="90" t="s">
        <v>324</v>
      </c>
      <c r="C1357" s="91" t="s">
        <v>322</v>
      </c>
      <c r="D1357" s="109" t="s">
        <v>353</v>
      </c>
      <c r="E1357" s="67" t="str">
        <f>COLORES!A20</f>
        <v/>
      </c>
      <c r="F1357" s="67" t="str">
        <f>COLORES!B20</f>
        <v/>
      </c>
      <c r="G1357" s="90" t="s">
        <v>377</v>
      </c>
      <c r="H1357" s="100">
        <f>IFERROR(SUMIFS(MOVIMIENTOS_COMPLEMENTOS!$I$4:$I$803,MOVIMIENTOS_COMPLEMENTOS!$C$4:$C$803,A1357,MOVIMIENTOS_COMPLEMENTOS!$D$4:$D$803,B1357,MOVIMIENTOS_COMPLEMENTOS!$E$4:$E$803,C1357,MOVIMIENTOS_COMPLEMENTOS!$G$4:$G$803,E1357,MOVIMIENTOS_COMPLEMENTOS!$H$4:$H$803,G1357,MOVIMIENTOS_COMPLEMENTOS!$B$4:$B$803,"INGRESO")+SUMIFS(MOVIMIENTOS_COMPLEMENTOS!$I$4:$I$803,MOVIMIENTOS_COMPLEMENTOS!$C$4:$C$803,A1357,MOVIMIENTOS_COMPLEMENTOS!$D$4:$D$803,B1357,MOVIMIENTOS_COMPLEMENTOS!$E$4:$E$803,C1357,MOVIMIENTOS_COMPLEMENTOS!$G$4:$G$803,E1357,MOVIMIENTOS_COMPLEMENTOS!$H$4:$H$803,G1357,MOVIMIENTOS_COMPLEMENTOS!$B$4:$B$803,"DE CORTE")-SUMIFS(MOVIMIENTOS_COMPLEMENTOS!$I$4:$I$803,MOVIMIENTOS_COMPLEMENTOS!$C$4:$C$803,A1357,MOVIMIENTOS_COMPLEMENTOS!$D$4:$D$803,B1357,MOVIMIENTOS_COMPLEMENTOS!$E$4:$E$803,C1357,MOVIMIENTOS_COMPLEMENTOS!$G$4:$G$803,E1357,MOVIMIENTOS_COMPLEMENTOS!$H$4:$H$803,G1357,MOVIMIENTOS_COMPLEMENTOS!$B$4:$B$803,"SALIDA"),0)</f>
        <v>0</v>
      </c>
      <c r="I1357" s="102">
        <f t="array" ref="I1357">IFERROR(INDEX(PRECIOS_COMPLEMENTOS!$C$4:$F$17,MATCH(B1357&amp;"_"&amp;C1357,PRECIOS_COMPLEMENTOS!$H$4:$H$17,0),IF(OR(G1357="S",G1357="20cm"),1,IF(OR(G1357="M",G1357="25cm"),2,IF(OR(G1357="L",G1357="30cm"),3,IF(OR(G1357="XL",G1357="35cm"),4,0))))),0)</f>
        <v>0.35</v>
      </c>
      <c r="J1357" s="103">
        <f t="shared" si="1"/>
        <v>0</v>
      </c>
      <c r="K1357" s="104" t="str">
        <f>IF(H1357&lt;0,"ERROR",IF(H1357=0,"",IF(H1357&lt;CONFIG!$B$4,"CRÍTICO",IF(H1357&lt;CONFIG!$B$5,"BAJO","OK"))))</f>
        <v/>
      </c>
    </row>
    <row r="1358" ht="15.75" hidden="1" customHeight="1">
      <c r="A1358" s="90" t="str">
        <f>IF(CLIENTES!A7="","",CLIENTES!A7)</f>
        <v/>
      </c>
      <c r="B1358" s="90" t="s">
        <v>324</v>
      </c>
      <c r="C1358" s="91" t="s">
        <v>322</v>
      </c>
      <c r="D1358" s="109" t="s">
        <v>353</v>
      </c>
      <c r="E1358" s="67" t="str">
        <f>COLORES!A21</f>
        <v/>
      </c>
      <c r="F1358" s="67" t="str">
        <f>COLORES!B21</f>
        <v/>
      </c>
      <c r="G1358" s="90" t="s">
        <v>376</v>
      </c>
      <c r="H1358" s="100">
        <f>IFERROR(SUMIFS(MOVIMIENTOS_COMPLEMENTOS!$I$4:$I$803,MOVIMIENTOS_COMPLEMENTOS!$C$4:$C$803,A1358,MOVIMIENTOS_COMPLEMENTOS!$D$4:$D$803,B1358,MOVIMIENTOS_COMPLEMENTOS!$E$4:$E$803,C1358,MOVIMIENTOS_COMPLEMENTOS!$G$4:$G$803,E1358,MOVIMIENTOS_COMPLEMENTOS!$H$4:$H$803,G1358,MOVIMIENTOS_COMPLEMENTOS!$B$4:$B$803,"INGRESO")+SUMIFS(MOVIMIENTOS_COMPLEMENTOS!$I$4:$I$803,MOVIMIENTOS_COMPLEMENTOS!$C$4:$C$803,A1358,MOVIMIENTOS_COMPLEMENTOS!$D$4:$D$803,B1358,MOVIMIENTOS_COMPLEMENTOS!$E$4:$E$803,C1358,MOVIMIENTOS_COMPLEMENTOS!$G$4:$G$803,E1358,MOVIMIENTOS_COMPLEMENTOS!$H$4:$H$803,G1358,MOVIMIENTOS_COMPLEMENTOS!$B$4:$B$803,"DE CORTE")-SUMIFS(MOVIMIENTOS_COMPLEMENTOS!$I$4:$I$803,MOVIMIENTOS_COMPLEMENTOS!$C$4:$C$803,A1358,MOVIMIENTOS_COMPLEMENTOS!$D$4:$D$803,B1358,MOVIMIENTOS_COMPLEMENTOS!$E$4:$E$803,C1358,MOVIMIENTOS_COMPLEMENTOS!$G$4:$G$803,E1358,MOVIMIENTOS_COMPLEMENTOS!$H$4:$H$803,G1358,MOVIMIENTOS_COMPLEMENTOS!$B$4:$B$803,"SALIDA"),0)</f>
        <v>0</v>
      </c>
      <c r="I1358" s="102">
        <f t="array" ref="I1358">IFERROR(INDEX(PRECIOS_COMPLEMENTOS!$C$4:$F$17,MATCH(B1358&amp;"_"&amp;C1358,PRECIOS_COMPLEMENTOS!$H$4:$H$17,0),IF(OR(G1358="S",G1358="20cm"),1,IF(OR(G1358="M",G1358="25cm"),2,IF(OR(G1358="L",G1358="30cm"),3,IF(OR(G1358="XL",G1358="35cm"),4,0))))),0)</f>
        <v>0.3</v>
      </c>
      <c r="J1358" s="103">
        <f t="shared" si="1"/>
        <v>0</v>
      </c>
      <c r="K1358" s="104" t="str">
        <f>IF(H1358&lt;0,"ERROR",IF(H1358=0,"",IF(H1358&lt;CONFIG!$B$4,"CRÍTICO",IF(H1358&lt;CONFIG!$B$5,"BAJO","OK"))))</f>
        <v/>
      </c>
    </row>
    <row r="1359" ht="15.75" hidden="1" customHeight="1">
      <c r="A1359" s="90" t="str">
        <f>IF(CLIENTES!A7="","",CLIENTES!A7)</f>
        <v/>
      </c>
      <c r="B1359" s="90" t="s">
        <v>324</v>
      </c>
      <c r="C1359" s="91" t="s">
        <v>322</v>
      </c>
      <c r="D1359" s="109" t="s">
        <v>353</v>
      </c>
      <c r="E1359" s="67" t="str">
        <f>COLORES!A21</f>
        <v/>
      </c>
      <c r="F1359" s="67" t="str">
        <f>COLORES!B21</f>
        <v/>
      </c>
      <c r="G1359" s="90" t="s">
        <v>377</v>
      </c>
      <c r="H1359" s="100">
        <f>IFERROR(SUMIFS(MOVIMIENTOS_COMPLEMENTOS!$I$4:$I$803,MOVIMIENTOS_COMPLEMENTOS!$C$4:$C$803,A1359,MOVIMIENTOS_COMPLEMENTOS!$D$4:$D$803,B1359,MOVIMIENTOS_COMPLEMENTOS!$E$4:$E$803,C1359,MOVIMIENTOS_COMPLEMENTOS!$G$4:$G$803,E1359,MOVIMIENTOS_COMPLEMENTOS!$H$4:$H$803,G1359,MOVIMIENTOS_COMPLEMENTOS!$B$4:$B$803,"INGRESO")+SUMIFS(MOVIMIENTOS_COMPLEMENTOS!$I$4:$I$803,MOVIMIENTOS_COMPLEMENTOS!$C$4:$C$803,A1359,MOVIMIENTOS_COMPLEMENTOS!$D$4:$D$803,B1359,MOVIMIENTOS_COMPLEMENTOS!$E$4:$E$803,C1359,MOVIMIENTOS_COMPLEMENTOS!$G$4:$G$803,E1359,MOVIMIENTOS_COMPLEMENTOS!$H$4:$H$803,G1359,MOVIMIENTOS_COMPLEMENTOS!$B$4:$B$803,"DE CORTE")-SUMIFS(MOVIMIENTOS_COMPLEMENTOS!$I$4:$I$803,MOVIMIENTOS_COMPLEMENTOS!$C$4:$C$803,A1359,MOVIMIENTOS_COMPLEMENTOS!$D$4:$D$803,B1359,MOVIMIENTOS_COMPLEMENTOS!$E$4:$E$803,C1359,MOVIMIENTOS_COMPLEMENTOS!$G$4:$G$803,E1359,MOVIMIENTOS_COMPLEMENTOS!$H$4:$H$803,G1359,MOVIMIENTOS_COMPLEMENTOS!$B$4:$B$803,"SALIDA"),0)</f>
        <v>0</v>
      </c>
      <c r="I1359" s="102">
        <f t="array" ref="I1359">IFERROR(INDEX(PRECIOS_COMPLEMENTOS!$C$4:$F$17,MATCH(B1359&amp;"_"&amp;C1359,PRECIOS_COMPLEMENTOS!$H$4:$H$17,0),IF(OR(G1359="S",G1359="20cm"),1,IF(OR(G1359="M",G1359="25cm"),2,IF(OR(G1359="L",G1359="30cm"),3,IF(OR(G1359="XL",G1359="35cm"),4,0))))),0)</f>
        <v>0.35</v>
      </c>
      <c r="J1359" s="103">
        <f t="shared" si="1"/>
        <v>0</v>
      </c>
      <c r="K1359" s="104" t="str">
        <f>IF(H1359&lt;0,"ERROR",IF(H1359=0,"",IF(H1359&lt;CONFIG!$B$4,"CRÍTICO",IF(H1359&lt;CONFIG!$B$5,"BAJO","OK"))))</f>
        <v/>
      </c>
    </row>
    <row r="1360" ht="15.75" hidden="1" customHeight="1">
      <c r="A1360" s="90" t="str">
        <f>IF(CLIENTES!A7="","",CLIENTES!A7)</f>
        <v/>
      </c>
      <c r="B1360" s="90" t="s">
        <v>324</v>
      </c>
      <c r="C1360" s="91" t="s">
        <v>322</v>
      </c>
      <c r="D1360" s="109" t="s">
        <v>353</v>
      </c>
      <c r="E1360" s="67" t="str">
        <f>COLORES!A22</f>
        <v/>
      </c>
      <c r="F1360" s="67" t="str">
        <f>COLORES!B22</f>
        <v/>
      </c>
      <c r="G1360" s="90" t="s">
        <v>376</v>
      </c>
      <c r="H1360" s="100">
        <f>IFERROR(SUMIFS(MOVIMIENTOS_COMPLEMENTOS!$I$4:$I$803,MOVIMIENTOS_COMPLEMENTOS!$C$4:$C$803,A1360,MOVIMIENTOS_COMPLEMENTOS!$D$4:$D$803,B1360,MOVIMIENTOS_COMPLEMENTOS!$E$4:$E$803,C1360,MOVIMIENTOS_COMPLEMENTOS!$G$4:$G$803,E1360,MOVIMIENTOS_COMPLEMENTOS!$H$4:$H$803,G1360,MOVIMIENTOS_COMPLEMENTOS!$B$4:$B$803,"INGRESO")+SUMIFS(MOVIMIENTOS_COMPLEMENTOS!$I$4:$I$803,MOVIMIENTOS_COMPLEMENTOS!$C$4:$C$803,A1360,MOVIMIENTOS_COMPLEMENTOS!$D$4:$D$803,B1360,MOVIMIENTOS_COMPLEMENTOS!$E$4:$E$803,C1360,MOVIMIENTOS_COMPLEMENTOS!$G$4:$G$803,E1360,MOVIMIENTOS_COMPLEMENTOS!$H$4:$H$803,G1360,MOVIMIENTOS_COMPLEMENTOS!$B$4:$B$803,"DE CORTE")-SUMIFS(MOVIMIENTOS_COMPLEMENTOS!$I$4:$I$803,MOVIMIENTOS_COMPLEMENTOS!$C$4:$C$803,A1360,MOVIMIENTOS_COMPLEMENTOS!$D$4:$D$803,B1360,MOVIMIENTOS_COMPLEMENTOS!$E$4:$E$803,C1360,MOVIMIENTOS_COMPLEMENTOS!$G$4:$G$803,E1360,MOVIMIENTOS_COMPLEMENTOS!$H$4:$H$803,G1360,MOVIMIENTOS_COMPLEMENTOS!$B$4:$B$803,"SALIDA"),0)</f>
        <v>0</v>
      </c>
      <c r="I1360" s="102">
        <f t="array" ref="I1360">IFERROR(INDEX(PRECIOS_COMPLEMENTOS!$C$4:$F$17,MATCH(B1360&amp;"_"&amp;C1360,PRECIOS_COMPLEMENTOS!$H$4:$H$17,0),IF(OR(G1360="S",G1360="20cm"),1,IF(OR(G1360="M",G1360="25cm"),2,IF(OR(G1360="L",G1360="30cm"),3,IF(OR(G1360="XL",G1360="35cm"),4,0))))),0)</f>
        <v>0.3</v>
      </c>
      <c r="J1360" s="103">
        <f t="shared" si="1"/>
        <v>0</v>
      </c>
      <c r="K1360" s="104" t="str">
        <f>IF(H1360&lt;0,"ERROR",IF(H1360=0,"",IF(H1360&lt;CONFIG!$B$4,"CRÍTICO",IF(H1360&lt;CONFIG!$B$5,"BAJO","OK"))))</f>
        <v/>
      </c>
    </row>
    <row r="1361" ht="15.75" hidden="1" customHeight="1">
      <c r="A1361" s="90" t="str">
        <f>IF(CLIENTES!A7="","",CLIENTES!A7)</f>
        <v/>
      </c>
      <c r="B1361" s="90" t="s">
        <v>324</v>
      </c>
      <c r="C1361" s="91" t="s">
        <v>322</v>
      </c>
      <c r="D1361" s="109" t="s">
        <v>353</v>
      </c>
      <c r="E1361" s="67" t="str">
        <f>COLORES!A22</f>
        <v/>
      </c>
      <c r="F1361" s="67" t="str">
        <f>COLORES!B22</f>
        <v/>
      </c>
      <c r="G1361" s="90" t="s">
        <v>377</v>
      </c>
      <c r="H1361" s="100">
        <f>IFERROR(SUMIFS(MOVIMIENTOS_COMPLEMENTOS!$I$4:$I$803,MOVIMIENTOS_COMPLEMENTOS!$C$4:$C$803,A1361,MOVIMIENTOS_COMPLEMENTOS!$D$4:$D$803,B1361,MOVIMIENTOS_COMPLEMENTOS!$E$4:$E$803,C1361,MOVIMIENTOS_COMPLEMENTOS!$G$4:$G$803,E1361,MOVIMIENTOS_COMPLEMENTOS!$H$4:$H$803,G1361,MOVIMIENTOS_COMPLEMENTOS!$B$4:$B$803,"INGRESO")+SUMIFS(MOVIMIENTOS_COMPLEMENTOS!$I$4:$I$803,MOVIMIENTOS_COMPLEMENTOS!$C$4:$C$803,A1361,MOVIMIENTOS_COMPLEMENTOS!$D$4:$D$803,B1361,MOVIMIENTOS_COMPLEMENTOS!$E$4:$E$803,C1361,MOVIMIENTOS_COMPLEMENTOS!$G$4:$G$803,E1361,MOVIMIENTOS_COMPLEMENTOS!$H$4:$H$803,G1361,MOVIMIENTOS_COMPLEMENTOS!$B$4:$B$803,"DE CORTE")-SUMIFS(MOVIMIENTOS_COMPLEMENTOS!$I$4:$I$803,MOVIMIENTOS_COMPLEMENTOS!$C$4:$C$803,A1361,MOVIMIENTOS_COMPLEMENTOS!$D$4:$D$803,B1361,MOVIMIENTOS_COMPLEMENTOS!$E$4:$E$803,C1361,MOVIMIENTOS_COMPLEMENTOS!$G$4:$G$803,E1361,MOVIMIENTOS_COMPLEMENTOS!$H$4:$H$803,G1361,MOVIMIENTOS_COMPLEMENTOS!$B$4:$B$803,"SALIDA"),0)</f>
        <v>0</v>
      </c>
      <c r="I1361" s="102">
        <f t="array" ref="I1361">IFERROR(INDEX(PRECIOS_COMPLEMENTOS!$C$4:$F$17,MATCH(B1361&amp;"_"&amp;C1361,PRECIOS_COMPLEMENTOS!$H$4:$H$17,0),IF(OR(G1361="S",G1361="20cm"),1,IF(OR(G1361="M",G1361="25cm"),2,IF(OR(G1361="L",G1361="30cm"),3,IF(OR(G1361="XL",G1361="35cm"),4,0))))),0)</f>
        <v>0.35</v>
      </c>
      <c r="J1361" s="103">
        <f t="shared" si="1"/>
        <v>0</v>
      </c>
      <c r="K1361" s="104" t="str">
        <f>IF(H1361&lt;0,"ERROR",IF(H1361=0,"",IF(H1361&lt;CONFIG!$B$4,"CRÍTICO",IF(H1361&lt;CONFIG!$B$5,"BAJO","OK"))))</f>
        <v/>
      </c>
    </row>
    <row r="1362" ht="15.75" hidden="1" customHeight="1">
      <c r="A1362" s="90" t="str">
        <f>IF(CLIENTES!A7="","",CLIENTES!A7)</f>
        <v/>
      </c>
      <c r="B1362" s="90" t="s">
        <v>324</v>
      </c>
      <c r="C1362" s="91" t="s">
        <v>322</v>
      </c>
      <c r="D1362" s="109" t="s">
        <v>353</v>
      </c>
      <c r="E1362" s="67" t="str">
        <f>COLORES!A23</f>
        <v/>
      </c>
      <c r="F1362" s="67" t="str">
        <f>COLORES!B23</f>
        <v/>
      </c>
      <c r="G1362" s="90" t="s">
        <v>376</v>
      </c>
      <c r="H1362" s="100">
        <f>IFERROR(SUMIFS(MOVIMIENTOS_COMPLEMENTOS!$I$4:$I$803,MOVIMIENTOS_COMPLEMENTOS!$C$4:$C$803,A1362,MOVIMIENTOS_COMPLEMENTOS!$D$4:$D$803,B1362,MOVIMIENTOS_COMPLEMENTOS!$E$4:$E$803,C1362,MOVIMIENTOS_COMPLEMENTOS!$G$4:$G$803,E1362,MOVIMIENTOS_COMPLEMENTOS!$H$4:$H$803,G1362,MOVIMIENTOS_COMPLEMENTOS!$B$4:$B$803,"INGRESO")+SUMIFS(MOVIMIENTOS_COMPLEMENTOS!$I$4:$I$803,MOVIMIENTOS_COMPLEMENTOS!$C$4:$C$803,A1362,MOVIMIENTOS_COMPLEMENTOS!$D$4:$D$803,B1362,MOVIMIENTOS_COMPLEMENTOS!$E$4:$E$803,C1362,MOVIMIENTOS_COMPLEMENTOS!$G$4:$G$803,E1362,MOVIMIENTOS_COMPLEMENTOS!$H$4:$H$803,G1362,MOVIMIENTOS_COMPLEMENTOS!$B$4:$B$803,"DE CORTE")-SUMIFS(MOVIMIENTOS_COMPLEMENTOS!$I$4:$I$803,MOVIMIENTOS_COMPLEMENTOS!$C$4:$C$803,A1362,MOVIMIENTOS_COMPLEMENTOS!$D$4:$D$803,B1362,MOVIMIENTOS_COMPLEMENTOS!$E$4:$E$803,C1362,MOVIMIENTOS_COMPLEMENTOS!$G$4:$G$803,E1362,MOVIMIENTOS_COMPLEMENTOS!$H$4:$H$803,G1362,MOVIMIENTOS_COMPLEMENTOS!$B$4:$B$803,"SALIDA"),0)</f>
        <v>0</v>
      </c>
      <c r="I1362" s="102">
        <f t="array" ref="I1362">IFERROR(INDEX(PRECIOS_COMPLEMENTOS!$C$4:$F$17,MATCH(B1362&amp;"_"&amp;C1362,PRECIOS_COMPLEMENTOS!$H$4:$H$17,0),IF(OR(G1362="S",G1362="20cm"),1,IF(OR(G1362="M",G1362="25cm"),2,IF(OR(G1362="L",G1362="30cm"),3,IF(OR(G1362="XL",G1362="35cm"),4,0))))),0)</f>
        <v>0.3</v>
      </c>
      <c r="J1362" s="103">
        <f t="shared" si="1"/>
        <v>0</v>
      </c>
      <c r="K1362" s="104" t="str">
        <f>IF(H1362&lt;0,"ERROR",IF(H1362=0,"",IF(H1362&lt;CONFIG!$B$4,"CRÍTICO",IF(H1362&lt;CONFIG!$B$5,"BAJO","OK"))))</f>
        <v/>
      </c>
    </row>
    <row r="1363" ht="15.75" hidden="1" customHeight="1">
      <c r="A1363" s="90" t="str">
        <f>IF(CLIENTES!A7="","",CLIENTES!A7)</f>
        <v/>
      </c>
      <c r="B1363" s="90" t="s">
        <v>324</v>
      </c>
      <c r="C1363" s="91" t="s">
        <v>322</v>
      </c>
      <c r="D1363" s="109" t="s">
        <v>353</v>
      </c>
      <c r="E1363" s="67" t="str">
        <f>COLORES!A23</f>
        <v/>
      </c>
      <c r="F1363" s="67" t="str">
        <f>COLORES!B23</f>
        <v/>
      </c>
      <c r="G1363" s="90" t="s">
        <v>377</v>
      </c>
      <c r="H1363" s="100">
        <f>IFERROR(SUMIFS(MOVIMIENTOS_COMPLEMENTOS!$I$4:$I$803,MOVIMIENTOS_COMPLEMENTOS!$C$4:$C$803,A1363,MOVIMIENTOS_COMPLEMENTOS!$D$4:$D$803,B1363,MOVIMIENTOS_COMPLEMENTOS!$E$4:$E$803,C1363,MOVIMIENTOS_COMPLEMENTOS!$G$4:$G$803,E1363,MOVIMIENTOS_COMPLEMENTOS!$H$4:$H$803,G1363,MOVIMIENTOS_COMPLEMENTOS!$B$4:$B$803,"INGRESO")+SUMIFS(MOVIMIENTOS_COMPLEMENTOS!$I$4:$I$803,MOVIMIENTOS_COMPLEMENTOS!$C$4:$C$803,A1363,MOVIMIENTOS_COMPLEMENTOS!$D$4:$D$803,B1363,MOVIMIENTOS_COMPLEMENTOS!$E$4:$E$803,C1363,MOVIMIENTOS_COMPLEMENTOS!$G$4:$G$803,E1363,MOVIMIENTOS_COMPLEMENTOS!$H$4:$H$803,G1363,MOVIMIENTOS_COMPLEMENTOS!$B$4:$B$803,"DE CORTE")-SUMIFS(MOVIMIENTOS_COMPLEMENTOS!$I$4:$I$803,MOVIMIENTOS_COMPLEMENTOS!$C$4:$C$803,A1363,MOVIMIENTOS_COMPLEMENTOS!$D$4:$D$803,B1363,MOVIMIENTOS_COMPLEMENTOS!$E$4:$E$803,C1363,MOVIMIENTOS_COMPLEMENTOS!$G$4:$G$803,E1363,MOVIMIENTOS_COMPLEMENTOS!$H$4:$H$803,G1363,MOVIMIENTOS_COMPLEMENTOS!$B$4:$B$803,"SALIDA"),0)</f>
        <v>0</v>
      </c>
      <c r="I1363" s="102">
        <f t="array" ref="I1363">IFERROR(INDEX(PRECIOS_COMPLEMENTOS!$C$4:$F$17,MATCH(B1363&amp;"_"&amp;C1363,PRECIOS_COMPLEMENTOS!$H$4:$H$17,0),IF(OR(G1363="S",G1363="20cm"),1,IF(OR(G1363="M",G1363="25cm"),2,IF(OR(G1363="L",G1363="30cm"),3,IF(OR(G1363="XL",G1363="35cm"),4,0))))),0)</f>
        <v>0.35</v>
      </c>
      <c r="J1363" s="103">
        <f t="shared" si="1"/>
        <v>0</v>
      </c>
      <c r="K1363" s="104" t="str">
        <f>IF(H1363&lt;0,"ERROR",IF(H1363=0,"",IF(H1363&lt;CONFIG!$B$4,"CRÍTICO",IF(H1363&lt;CONFIG!$B$5,"BAJO","OK"))))</f>
        <v/>
      </c>
    </row>
    <row r="1364" ht="15.75" hidden="1" customHeight="1">
      <c r="A1364" s="90" t="str">
        <f>IF(CLIENTES!A8="","",CLIENTES!A8)</f>
        <v/>
      </c>
      <c r="B1364" s="90" t="s">
        <v>324</v>
      </c>
      <c r="C1364" s="91" t="s">
        <v>322</v>
      </c>
      <c r="D1364" s="109" t="s">
        <v>353</v>
      </c>
      <c r="E1364" s="67" t="str">
        <f>COLORES!A4</f>
        <v>Negro</v>
      </c>
      <c r="F1364" s="67" t="str">
        <f>COLORES!B4</f>
        <v>OSCURO</v>
      </c>
      <c r="G1364" s="90" t="s">
        <v>376</v>
      </c>
      <c r="H1364" s="100">
        <f>IFERROR(SUMIFS(MOVIMIENTOS_COMPLEMENTOS!$I$4:$I$803,MOVIMIENTOS_COMPLEMENTOS!$C$4:$C$803,A1364,MOVIMIENTOS_COMPLEMENTOS!$D$4:$D$803,B1364,MOVIMIENTOS_COMPLEMENTOS!$E$4:$E$803,C1364,MOVIMIENTOS_COMPLEMENTOS!$G$4:$G$803,E1364,MOVIMIENTOS_COMPLEMENTOS!$H$4:$H$803,G1364,MOVIMIENTOS_COMPLEMENTOS!$B$4:$B$803,"INGRESO")+SUMIFS(MOVIMIENTOS_COMPLEMENTOS!$I$4:$I$803,MOVIMIENTOS_COMPLEMENTOS!$C$4:$C$803,A1364,MOVIMIENTOS_COMPLEMENTOS!$D$4:$D$803,B1364,MOVIMIENTOS_COMPLEMENTOS!$E$4:$E$803,C1364,MOVIMIENTOS_COMPLEMENTOS!$G$4:$G$803,E1364,MOVIMIENTOS_COMPLEMENTOS!$H$4:$H$803,G1364,MOVIMIENTOS_COMPLEMENTOS!$B$4:$B$803,"DE CORTE")-SUMIFS(MOVIMIENTOS_COMPLEMENTOS!$I$4:$I$803,MOVIMIENTOS_COMPLEMENTOS!$C$4:$C$803,A1364,MOVIMIENTOS_COMPLEMENTOS!$D$4:$D$803,B1364,MOVIMIENTOS_COMPLEMENTOS!$E$4:$E$803,C1364,MOVIMIENTOS_COMPLEMENTOS!$G$4:$G$803,E1364,MOVIMIENTOS_COMPLEMENTOS!$H$4:$H$803,G1364,MOVIMIENTOS_COMPLEMENTOS!$B$4:$B$803,"SALIDA"),0)</f>
        <v>0</v>
      </c>
      <c r="I1364" s="102">
        <f t="array" ref="I1364">IFERROR(INDEX(PRECIOS_COMPLEMENTOS!$C$4:$F$17,MATCH(B1364&amp;"_"&amp;C1364,PRECIOS_COMPLEMENTOS!$H$4:$H$17,0),IF(OR(G1364="S",G1364="20cm"),1,IF(OR(G1364="M",G1364="25cm"),2,IF(OR(G1364="L",G1364="30cm"),3,IF(OR(G1364="XL",G1364="35cm"),4,0))))),0)</f>
        <v>0.3</v>
      </c>
      <c r="J1364" s="103">
        <f t="shared" si="1"/>
        <v>0</v>
      </c>
      <c r="K1364" s="104" t="str">
        <f>IF(H1364&lt;0,"ERROR",IF(H1364=0,"",IF(H1364&lt;CONFIG!$B$4,"CRÍTICO",IF(H1364&lt;CONFIG!$B$5,"BAJO","OK"))))</f>
        <v/>
      </c>
    </row>
    <row r="1365" ht="15.75" hidden="1" customHeight="1">
      <c r="A1365" s="90" t="str">
        <f>IF(CLIENTES!A8="","",CLIENTES!A8)</f>
        <v/>
      </c>
      <c r="B1365" s="90" t="s">
        <v>324</v>
      </c>
      <c r="C1365" s="91" t="s">
        <v>322</v>
      </c>
      <c r="D1365" s="109" t="s">
        <v>353</v>
      </c>
      <c r="E1365" s="67" t="str">
        <f>COLORES!A4</f>
        <v>Negro</v>
      </c>
      <c r="F1365" s="67" t="str">
        <f>COLORES!B4</f>
        <v>OSCURO</v>
      </c>
      <c r="G1365" s="90" t="s">
        <v>377</v>
      </c>
      <c r="H1365" s="100">
        <f>IFERROR(SUMIFS(MOVIMIENTOS_COMPLEMENTOS!$I$4:$I$803,MOVIMIENTOS_COMPLEMENTOS!$C$4:$C$803,A1365,MOVIMIENTOS_COMPLEMENTOS!$D$4:$D$803,B1365,MOVIMIENTOS_COMPLEMENTOS!$E$4:$E$803,C1365,MOVIMIENTOS_COMPLEMENTOS!$G$4:$G$803,E1365,MOVIMIENTOS_COMPLEMENTOS!$H$4:$H$803,G1365,MOVIMIENTOS_COMPLEMENTOS!$B$4:$B$803,"INGRESO")+SUMIFS(MOVIMIENTOS_COMPLEMENTOS!$I$4:$I$803,MOVIMIENTOS_COMPLEMENTOS!$C$4:$C$803,A1365,MOVIMIENTOS_COMPLEMENTOS!$D$4:$D$803,B1365,MOVIMIENTOS_COMPLEMENTOS!$E$4:$E$803,C1365,MOVIMIENTOS_COMPLEMENTOS!$G$4:$G$803,E1365,MOVIMIENTOS_COMPLEMENTOS!$H$4:$H$803,G1365,MOVIMIENTOS_COMPLEMENTOS!$B$4:$B$803,"DE CORTE")-SUMIFS(MOVIMIENTOS_COMPLEMENTOS!$I$4:$I$803,MOVIMIENTOS_COMPLEMENTOS!$C$4:$C$803,A1365,MOVIMIENTOS_COMPLEMENTOS!$D$4:$D$803,B1365,MOVIMIENTOS_COMPLEMENTOS!$E$4:$E$803,C1365,MOVIMIENTOS_COMPLEMENTOS!$G$4:$G$803,E1365,MOVIMIENTOS_COMPLEMENTOS!$H$4:$H$803,G1365,MOVIMIENTOS_COMPLEMENTOS!$B$4:$B$803,"SALIDA"),0)</f>
        <v>0</v>
      </c>
      <c r="I1365" s="102">
        <f t="array" ref="I1365">IFERROR(INDEX(PRECIOS_COMPLEMENTOS!$C$4:$F$17,MATCH(B1365&amp;"_"&amp;C1365,PRECIOS_COMPLEMENTOS!$H$4:$H$17,0),IF(OR(G1365="S",G1365="20cm"),1,IF(OR(G1365="M",G1365="25cm"),2,IF(OR(G1365="L",G1365="30cm"),3,IF(OR(G1365="XL",G1365="35cm"),4,0))))),0)</f>
        <v>0.35</v>
      </c>
      <c r="J1365" s="103">
        <f t="shared" si="1"/>
        <v>0</v>
      </c>
      <c r="K1365" s="104" t="str">
        <f>IF(H1365&lt;0,"ERROR",IF(H1365=0,"",IF(H1365&lt;CONFIG!$B$4,"CRÍTICO",IF(H1365&lt;CONFIG!$B$5,"BAJO","OK"))))</f>
        <v/>
      </c>
    </row>
    <row r="1366" ht="15.75" hidden="1" customHeight="1">
      <c r="A1366" s="90" t="str">
        <f>IF(CLIENTES!A8="","",CLIENTES!A8)</f>
        <v/>
      </c>
      <c r="B1366" s="90" t="s">
        <v>324</v>
      </c>
      <c r="C1366" s="91" t="s">
        <v>322</v>
      </c>
      <c r="D1366" s="109" t="s">
        <v>353</v>
      </c>
      <c r="E1366" s="67" t="str">
        <f>COLORES!A5</f>
        <v>Perla</v>
      </c>
      <c r="F1366" s="67" t="str">
        <f>COLORES!B5</f>
        <v>PPT</v>
      </c>
      <c r="G1366" s="90" t="s">
        <v>376</v>
      </c>
      <c r="H1366" s="100">
        <f>IFERROR(SUMIFS(MOVIMIENTOS_COMPLEMENTOS!$I$4:$I$803,MOVIMIENTOS_COMPLEMENTOS!$C$4:$C$803,A1366,MOVIMIENTOS_COMPLEMENTOS!$D$4:$D$803,B1366,MOVIMIENTOS_COMPLEMENTOS!$E$4:$E$803,C1366,MOVIMIENTOS_COMPLEMENTOS!$G$4:$G$803,E1366,MOVIMIENTOS_COMPLEMENTOS!$H$4:$H$803,G1366,MOVIMIENTOS_COMPLEMENTOS!$B$4:$B$803,"INGRESO")+SUMIFS(MOVIMIENTOS_COMPLEMENTOS!$I$4:$I$803,MOVIMIENTOS_COMPLEMENTOS!$C$4:$C$803,A1366,MOVIMIENTOS_COMPLEMENTOS!$D$4:$D$803,B1366,MOVIMIENTOS_COMPLEMENTOS!$E$4:$E$803,C1366,MOVIMIENTOS_COMPLEMENTOS!$G$4:$G$803,E1366,MOVIMIENTOS_COMPLEMENTOS!$H$4:$H$803,G1366,MOVIMIENTOS_COMPLEMENTOS!$B$4:$B$803,"DE CORTE")-SUMIFS(MOVIMIENTOS_COMPLEMENTOS!$I$4:$I$803,MOVIMIENTOS_COMPLEMENTOS!$C$4:$C$803,A1366,MOVIMIENTOS_COMPLEMENTOS!$D$4:$D$803,B1366,MOVIMIENTOS_COMPLEMENTOS!$E$4:$E$803,C1366,MOVIMIENTOS_COMPLEMENTOS!$G$4:$G$803,E1366,MOVIMIENTOS_COMPLEMENTOS!$H$4:$H$803,G1366,MOVIMIENTOS_COMPLEMENTOS!$B$4:$B$803,"SALIDA"),0)</f>
        <v>0</v>
      </c>
      <c r="I1366" s="102">
        <f t="array" ref="I1366">IFERROR(INDEX(PRECIOS_COMPLEMENTOS!$C$4:$F$17,MATCH(B1366&amp;"_"&amp;C1366,PRECIOS_COMPLEMENTOS!$H$4:$H$17,0),IF(OR(G1366="S",G1366="20cm"),1,IF(OR(G1366="M",G1366="25cm"),2,IF(OR(G1366="L",G1366="30cm"),3,IF(OR(G1366="XL",G1366="35cm"),4,0))))),0)</f>
        <v>0.3</v>
      </c>
      <c r="J1366" s="103">
        <f t="shared" si="1"/>
        <v>0</v>
      </c>
      <c r="K1366" s="104" t="str">
        <f>IF(H1366&lt;0,"ERROR",IF(H1366=0,"",IF(H1366&lt;CONFIG!$B$4,"CRÍTICO",IF(H1366&lt;CONFIG!$B$5,"BAJO","OK"))))</f>
        <v/>
      </c>
    </row>
    <row r="1367" ht="15.75" hidden="1" customHeight="1">
      <c r="A1367" s="90" t="str">
        <f>IF(CLIENTES!A8="","",CLIENTES!A8)</f>
        <v/>
      </c>
      <c r="B1367" s="90" t="s">
        <v>324</v>
      </c>
      <c r="C1367" s="91" t="s">
        <v>322</v>
      </c>
      <c r="D1367" s="109" t="s">
        <v>353</v>
      </c>
      <c r="E1367" s="67" t="str">
        <f>COLORES!A5</f>
        <v>Perla</v>
      </c>
      <c r="F1367" s="67" t="str">
        <f>COLORES!B5</f>
        <v>PPT</v>
      </c>
      <c r="G1367" s="90" t="s">
        <v>377</v>
      </c>
      <c r="H1367" s="100">
        <f>IFERROR(SUMIFS(MOVIMIENTOS_COMPLEMENTOS!$I$4:$I$803,MOVIMIENTOS_COMPLEMENTOS!$C$4:$C$803,A1367,MOVIMIENTOS_COMPLEMENTOS!$D$4:$D$803,B1367,MOVIMIENTOS_COMPLEMENTOS!$E$4:$E$803,C1367,MOVIMIENTOS_COMPLEMENTOS!$G$4:$G$803,E1367,MOVIMIENTOS_COMPLEMENTOS!$H$4:$H$803,G1367,MOVIMIENTOS_COMPLEMENTOS!$B$4:$B$803,"INGRESO")+SUMIFS(MOVIMIENTOS_COMPLEMENTOS!$I$4:$I$803,MOVIMIENTOS_COMPLEMENTOS!$C$4:$C$803,A1367,MOVIMIENTOS_COMPLEMENTOS!$D$4:$D$803,B1367,MOVIMIENTOS_COMPLEMENTOS!$E$4:$E$803,C1367,MOVIMIENTOS_COMPLEMENTOS!$G$4:$G$803,E1367,MOVIMIENTOS_COMPLEMENTOS!$H$4:$H$803,G1367,MOVIMIENTOS_COMPLEMENTOS!$B$4:$B$803,"DE CORTE")-SUMIFS(MOVIMIENTOS_COMPLEMENTOS!$I$4:$I$803,MOVIMIENTOS_COMPLEMENTOS!$C$4:$C$803,A1367,MOVIMIENTOS_COMPLEMENTOS!$D$4:$D$803,B1367,MOVIMIENTOS_COMPLEMENTOS!$E$4:$E$803,C1367,MOVIMIENTOS_COMPLEMENTOS!$G$4:$G$803,E1367,MOVIMIENTOS_COMPLEMENTOS!$H$4:$H$803,G1367,MOVIMIENTOS_COMPLEMENTOS!$B$4:$B$803,"SALIDA"),0)</f>
        <v>0</v>
      </c>
      <c r="I1367" s="102">
        <f t="array" ref="I1367">IFERROR(INDEX(PRECIOS_COMPLEMENTOS!$C$4:$F$17,MATCH(B1367&amp;"_"&amp;C1367,PRECIOS_COMPLEMENTOS!$H$4:$H$17,0),IF(OR(G1367="S",G1367="20cm"),1,IF(OR(G1367="M",G1367="25cm"),2,IF(OR(G1367="L",G1367="30cm"),3,IF(OR(G1367="XL",G1367="35cm"),4,0))))),0)</f>
        <v>0.35</v>
      </c>
      <c r="J1367" s="103">
        <f t="shared" si="1"/>
        <v>0</v>
      </c>
      <c r="K1367" s="104" t="str">
        <f>IF(H1367&lt;0,"ERROR",IF(H1367=0,"",IF(H1367&lt;CONFIG!$B$4,"CRÍTICO",IF(H1367&lt;CONFIG!$B$5,"BAJO","OK"))))</f>
        <v/>
      </c>
    </row>
    <row r="1368" ht="15.75" hidden="1" customHeight="1">
      <c r="A1368" s="90" t="str">
        <f>IF(CLIENTES!A8="","",CLIENTES!A8)</f>
        <v/>
      </c>
      <c r="B1368" s="90" t="s">
        <v>324</v>
      </c>
      <c r="C1368" s="91" t="s">
        <v>322</v>
      </c>
      <c r="D1368" s="109" t="s">
        <v>353</v>
      </c>
      <c r="E1368" s="67" t="str">
        <f>COLORES!A6</f>
        <v>Blanco</v>
      </c>
      <c r="F1368" s="67" t="str">
        <f>COLORES!B6</f>
        <v>PPT</v>
      </c>
      <c r="G1368" s="90" t="s">
        <v>376</v>
      </c>
      <c r="H1368" s="100">
        <f>IFERROR(SUMIFS(MOVIMIENTOS_COMPLEMENTOS!$I$4:$I$803,MOVIMIENTOS_COMPLEMENTOS!$C$4:$C$803,A1368,MOVIMIENTOS_COMPLEMENTOS!$D$4:$D$803,B1368,MOVIMIENTOS_COMPLEMENTOS!$E$4:$E$803,C1368,MOVIMIENTOS_COMPLEMENTOS!$G$4:$G$803,E1368,MOVIMIENTOS_COMPLEMENTOS!$H$4:$H$803,G1368,MOVIMIENTOS_COMPLEMENTOS!$B$4:$B$803,"INGRESO")+SUMIFS(MOVIMIENTOS_COMPLEMENTOS!$I$4:$I$803,MOVIMIENTOS_COMPLEMENTOS!$C$4:$C$803,A1368,MOVIMIENTOS_COMPLEMENTOS!$D$4:$D$803,B1368,MOVIMIENTOS_COMPLEMENTOS!$E$4:$E$803,C1368,MOVIMIENTOS_COMPLEMENTOS!$G$4:$G$803,E1368,MOVIMIENTOS_COMPLEMENTOS!$H$4:$H$803,G1368,MOVIMIENTOS_COMPLEMENTOS!$B$4:$B$803,"DE CORTE")-SUMIFS(MOVIMIENTOS_COMPLEMENTOS!$I$4:$I$803,MOVIMIENTOS_COMPLEMENTOS!$C$4:$C$803,A1368,MOVIMIENTOS_COMPLEMENTOS!$D$4:$D$803,B1368,MOVIMIENTOS_COMPLEMENTOS!$E$4:$E$803,C1368,MOVIMIENTOS_COMPLEMENTOS!$G$4:$G$803,E1368,MOVIMIENTOS_COMPLEMENTOS!$H$4:$H$803,G1368,MOVIMIENTOS_COMPLEMENTOS!$B$4:$B$803,"SALIDA"),0)</f>
        <v>0</v>
      </c>
      <c r="I1368" s="102">
        <f t="array" ref="I1368">IFERROR(INDEX(PRECIOS_COMPLEMENTOS!$C$4:$F$17,MATCH(B1368&amp;"_"&amp;C1368,PRECIOS_COMPLEMENTOS!$H$4:$H$17,0),IF(OR(G1368="S",G1368="20cm"),1,IF(OR(G1368="M",G1368="25cm"),2,IF(OR(G1368="L",G1368="30cm"),3,IF(OR(G1368="XL",G1368="35cm"),4,0))))),0)</f>
        <v>0.3</v>
      </c>
      <c r="J1368" s="103">
        <f t="shared" si="1"/>
        <v>0</v>
      </c>
      <c r="K1368" s="104" t="str">
        <f>IF(H1368&lt;0,"ERROR",IF(H1368=0,"",IF(H1368&lt;CONFIG!$B$4,"CRÍTICO",IF(H1368&lt;CONFIG!$B$5,"BAJO","OK"))))</f>
        <v/>
      </c>
    </row>
    <row r="1369" ht="15.75" hidden="1" customHeight="1">
      <c r="A1369" s="90" t="str">
        <f>IF(CLIENTES!A8="","",CLIENTES!A8)</f>
        <v/>
      </c>
      <c r="B1369" s="90" t="s">
        <v>324</v>
      </c>
      <c r="C1369" s="91" t="s">
        <v>322</v>
      </c>
      <c r="D1369" s="109" t="s">
        <v>353</v>
      </c>
      <c r="E1369" s="67" t="str">
        <f>COLORES!A6</f>
        <v>Blanco</v>
      </c>
      <c r="F1369" s="67" t="str">
        <f>COLORES!B6</f>
        <v>PPT</v>
      </c>
      <c r="G1369" s="90" t="s">
        <v>377</v>
      </c>
      <c r="H1369" s="100">
        <f>IFERROR(SUMIFS(MOVIMIENTOS_COMPLEMENTOS!$I$4:$I$803,MOVIMIENTOS_COMPLEMENTOS!$C$4:$C$803,A1369,MOVIMIENTOS_COMPLEMENTOS!$D$4:$D$803,B1369,MOVIMIENTOS_COMPLEMENTOS!$E$4:$E$803,C1369,MOVIMIENTOS_COMPLEMENTOS!$G$4:$G$803,E1369,MOVIMIENTOS_COMPLEMENTOS!$H$4:$H$803,G1369,MOVIMIENTOS_COMPLEMENTOS!$B$4:$B$803,"INGRESO")+SUMIFS(MOVIMIENTOS_COMPLEMENTOS!$I$4:$I$803,MOVIMIENTOS_COMPLEMENTOS!$C$4:$C$803,A1369,MOVIMIENTOS_COMPLEMENTOS!$D$4:$D$803,B1369,MOVIMIENTOS_COMPLEMENTOS!$E$4:$E$803,C1369,MOVIMIENTOS_COMPLEMENTOS!$G$4:$G$803,E1369,MOVIMIENTOS_COMPLEMENTOS!$H$4:$H$803,G1369,MOVIMIENTOS_COMPLEMENTOS!$B$4:$B$803,"DE CORTE")-SUMIFS(MOVIMIENTOS_COMPLEMENTOS!$I$4:$I$803,MOVIMIENTOS_COMPLEMENTOS!$C$4:$C$803,A1369,MOVIMIENTOS_COMPLEMENTOS!$D$4:$D$803,B1369,MOVIMIENTOS_COMPLEMENTOS!$E$4:$E$803,C1369,MOVIMIENTOS_COMPLEMENTOS!$G$4:$G$803,E1369,MOVIMIENTOS_COMPLEMENTOS!$H$4:$H$803,G1369,MOVIMIENTOS_COMPLEMENTOS!$B$4:$B$803,"SALIDA"),0)</f>
        <v>0</v>
      </c>
      <c r="I1369" s="102">
        <f t="array" ref="I1369">IFERROR(INDEX(PRECIOS_COMPLEMENTOS!$C$4:$F$17,MATCH(B1369&amp;"_"&amp;C1369,PRECIOS_COMPLEMENTOS!$H$4:$H$17,0),IF(OR(G1369="S",G1369="20cm"),1,IF(OR(G1369="M",G1369="25cm"),2,IF(OR(G1369="L",G1369="30cm"),3,IF(OR(G1369="XL",G1369="35cm"),4,0))))),0)</f>
        <v>0.35</v>
      </c>
      <c r="J1369" s="103">
        <f t="shared" si="1"/>
        <v>0</v>
      </c>
      <c r="K1369" s="104" t="str">
        <f>IF(H1369&lt;0,"ERROR",IF(H1369=0,"",IF(H1369&lt;CONFIG!$B$4,"CRÍTICO",IF(H1369&lt;CONFIG!$B$5,"BAJO","OK"))))</f>
        <v/>
      </c>
    </row>
    <row r="1370" ht="15.75" hidden="1" customHeight="1">
      <c r="A1370" s="90" t="str">
        <f>IF(CLIENTES!A8="","",CLIENTES!A8)</f>
        <v/>
      </c>
      <c r="B1370" s="90" t="s">
        <v>324</v>
      </c>
      <c r="C1370" s="91" t="s">
        <v>322</v>
      </c>
      <c r="D1370" s="109" t="s">
        <v>353</v>
      </c>
      <c r="E1370" s="67" t="str">
        <f>COLORES!A7</f>
        <v>Azul</v>
      </c>
      <c r="F1370" s="67" t="str">
        <f>COLORES!B7</f>
        <v>OSCURO</v>
      </c>
      <c r="G1370" s="90" t="s">
        <v>376</v>
      </c>
      <c r="H1370" s="100">
        <f>IFERROR(SUMIFS(MOVIMIENTOS_COMPLEMENTOS!$I$4:$I$803,MOVIMIENTOS_COMPLEMENTOS!$C$4:$C$803,A1370,MOVIMIENTOS_COMPLEMENTOS!$D$4:$D$803,B1370,MOVIMIENTOS_COMPLEMENTOS!$E$4:$E$803,C1370,MOVIMIENTOS_COMPLEMENTOS!$G$4:$G$803,E1370,MOVIMIENTOS_COMPLEMENTOS!$H$4:$H$803,G1370,MOVIMIENTOS_COMPLEMENTOS!$B$4:$B$803,"INGRESO")+SUMIFS(MOVIMIENTOS_COMPLEMENTOS!$I$4:$I$803,MOVIMIENTOS_COMPLEMENTOS!$C$4:$C$803,A1370,MOVIMIENTOS_COMPLEMENTOS!$D$4:$D$803,B1370,MOVIMIENTOS_COMPLEMENTOS!$E$4:$E$803,C1370,MOVIMIENTOS_COMPLEMENTOS!$G$4:$G$803,E1370,MOVIMIENTOS_COMPLEMENTOS!$H$4:$H$803,G1370,MOVIMIENTOS_COMPLEMENTOS!$B$4:$B$803,"DE CORTE")-SUMIFS(MOVIMIENTOS_COMPLEMENTOS!$I$4:$I$803,MOVIMIENTOS_COMPLEMENTOS!$C$4:$C$803,A1370,MOVIMIENTOS_COMPLEMENTOS!$D$4:$D$803,B1370,MOVIMIENTOS_COMPLEMENTOS!$E$4:$E$803,C1370,MOVIMIENTOS_COMPLEMENTOS!$G$4:$G$803,E1370,MOVIMIENTOS_COMPLEMENTOS!$H$4:$H$803,G1370,MOVIMIENTOS_COMPLEMENTOS!$B$4:$B$803,"SALIDA"),0)</f>
        <v>0</v>
      </c>
      <c r="I1370" s="102">
        <f t="array" ref="I1370">IFERROR(INDEX(PRECIOS_COMPLEMENTOS!$C$4:$F$17,MATCH(B1370&amp;"_"&amp;C1370,PRECIOS_COMPLEMENTOS!$H$4:$H$17,0),IF(OR(G1370="S",G1370="20cm"),1,IF(OR(G1370="M",G1370="25cm"),2,IF(OR(G1370="L",G1370="30cm"),3,IF(OR(G1370="XL",G1370="35cm"),4,0))))),0)</f>
        <v>0.3</v>
      </c>
      <c r="J1370" s="103">
        <f t="shared" si="1"/>
        <v>0</v>
      </c>
      <c r="K1370" s="104" t="str">
        <f>IF(H1370&lt;0,"ERROR",IF(H1370=0,"",IF(H1370&lt;CONFIG!$B$4,"CRÍTICO",IF(H1370&lt;CONFIG!$B$5,"BAJO","OK"))))</f>
        <v/>
      </c>
    </row>
    <row r="1371" ht="15.75" hidden="1" customHeight="1">
      <c r="A1371" s="90" t="str">
        <f>IF(CLIENTES!A8="","",CLIENTES!A8)</f>
        <v/>
      </c>
      <c r="B1371" s="90" t="s">
        <v>324</v>
      </c>
      <c r="C1371" s="91" t="s">
        <v>322</v>
      </c>
      <c r="D1371" s="109" t="s">
        <v>353</v>
      </c>
      <c r="E1371" s="67" t="str">
        <f>COLORES!A7</f>
        <v>Azul</v>
      </c>
      <c r="F1371" s="67" t="str">
        <f>COLORES!B7</f>
        <v>OSCURO</v>
      </c>
      <c r="G1371" s="90" t="s">
        <v>377</v>
      </c>
      <c r="H1371" s="100">
        <f>IFERROR(SUMIFS(MOVIMIENTOS_COMPLEMENTOS!$I$4:$I$803,MOVIMIENTOS_COMPLEMENTOS!$C$4:$C$803,A1371,MOVIMIENTOS_COMPLEMENTOS!$D$4:$D$803,B1371,MOVIMIENTOS_COMPLEMENTOS!$E$4:$E$803,C1371,MOVIMIENTOS_COMPLEMENTOS!$G$4:$G$803,E1371,MOVIMIENTOS_COMPLEMENTOS!$H$4:$H$803,G1371,MOVIMIENTOS_COMPLEMENTOS!$B$4:$B$803,"INGRESO")+SUMIFS(MOVIMIENTOS_COMPLEMENTOS!$I$4:$I$803,MOVIMIENTOS_COMPLEMENTOS!$C$4:$C$803,A1371,MOVIMIENTOS_COMPLEMENTOS!$D$4:$D$803,B1371,MOVIMIENTOS_COMPLEMENTOS!$E$4:$E$803,C1371,MOVIMIENTOS_COMPLEMENTOS!$G$4:$G$803,E1371,MOVIMIENTOS_COMPLEMENTOS!$H$4:$H$803,G1371,MOVIMIENTOS_COMPLEMENTOS!$B$4:$B$803,"DE CORTE")-SUMIFS(MOVIMIENTOS_COMPLEMENTOS!$I$4:$I$803,MOVIMIENTOS_COMPLEMENTOS!$C$4:$C$803,A1371,MOVIMIENTOS_COMPLEMENTOS!$D$4:$D$803,B1371,MOVIMIENTOS_COMPLEMENTOS!$E$4:$E$803,C1371,MOVIMIENTOS_COMPLEMENTOS!$G$4:$G$803,E1371,MOVIMIENTOS_COMPLEMENTOS!$H$4:$H$803,G1371,MOVIMIENTOS_COMPLEMENTOS!$B$4:$B$803,"SALIDA"),0)</f>
        <v>0</v>
      </c>
      <c r="I1371" s="102">
        <f t="array" ref="I1371">IFERROR(INDEX(PRECIOS_COMPLEMENTOS!$C$4:$F$17,MATCH(B1371&amp;"_"&amp;C1371,PRECIOS_COMPLEMENTOS!$H$4:$H$17,0),IF(OR(G1371="S",G1371="20cm"),1,IF(OR(G1371="M",G1371="25cm"),2,IF(OR(G1371="L",G1371="30cm"),3,IF(OR(G1371="XL",G1371="35cm"),4,0))))),0)</f>
        <v>0.35</v>
      </c>
      <c r="J1371" s="103">
        <f t="shared" si="1"/>
        <v>0</v>
      </c>
      <c r="K1371" s="104" t="str">
        <f>IF(H1371&lt;0,"ERROR",IF(H1371=0,"",IF(H1371&lt;CONFIG!$B$4,"CRÍTICO",IF(H1371&lt;CONFIG!$B$5,"BAJO","OK"))))</f>
        <v/>
      </c>
    </row>
    <row r="1372" ht="15.75" hidden="1" customHeight="1">
      <c r="A1372" s="90" t="str">
        <f>IF(CLIENTES!A8="","",CLIENTES!A8)</f>
        <v/>
      </c>
      <c r="B1372" s="90" t="s">
        <v>324</v>
      </c>
      <c r="C1372" s="91" t="s">
        <v>322</v>
      </c>
      <c r="D1372" s="109" t="s">
        <v>353</v>
      </c>
      <c r="E1372" s="67" t="str">
        <f>COLORES!A8</f>
        <v>Beige</v>
      </c>
      <c r="F1372" s="67" t="str">
        <f>COLORES!B8</f>
        <v>CLARO</v>
      </c>
      <c r="G1372" s="90" t="s">
        <v>376</v>
      </c>
      <c r="H1372" s="100">
        <f>IFERROR(SUMIFS(MOVIMIENTOS_COMPLEMENTOS!$I$4:$I$803,MOVIMIENTOS_COMPLEMENTOS!$C$4:$C$803,A1372,MOVIMIENTOS_COMPLEMENTOS!$D$4:$D$803,B1372,MOVIMIENTOS_COMPLEMENTOS!$E$4:$E$803,C1372,MOVIMIENTOS_COMPLEMENTOS!$G$4:$G$803,E1372,MOVIMIENTOS_COMPLEMENTOS!$H$4:$H$803,G1372,MOVIMIENTOS_COMPLEMENTOS!$B$4:$B$803,"INGRESO")+SUMIFS(MOVIMIENTOS_COMPLEMENTOS!$I$4:$I$803,MOVIMIENTOS_COMPLEMENTOS!$C$4:$C$803,A1372,MOVIMIENTOS_COMPLEMENTOS!$D$4:$D$803,B1372,MOVIMIENTOS_COMPLEMENTOS!$E$4:$E$803,C1372,MOVIMIENTOS_COMPLEMENTOS!$G$4:$G$803,E1372,MOVIMIENTOS_COMPLEMENTOS!$H$4:$H$803,G1372,MOVIMIENTOS_COMPLEMENTOS!$B$4:$B$803,"DE CORTE")-SUMIFS(MOVIMIENTOS_COMPLEMENTOS!$I$4:$I$803,MOVIMIENTOS_COMPLEMENTOS!$C$4:$C$803,A1372,MOVIMIENTOS_COMPLEMENTOS!$D$4:$D$803,B1372,MOVIMIENTOS_COMPLEMENTOS!$E$4:$E$803,C1372,MOVIMIENTOS_COMPLEMENTOS!$G$4:$G$803,E1372,MOVIMIENTOS_COMPLEMENTOS!$H$4:$H$803,G1372,MOVIMIENTOS_COMPLEMENTOS!$B$4:$B$803,"SALIDA"),0)</f>
        <v>0</v>
      </c>
      <c r="I1372" s="102">
        <f t="array" ref="I1372">IFERROR(INDEX(PRECIOS_COMPLEMENTOS!$C$4:$F$17,MATCH(B1372&amp;"_"&amp;C1372,PRECIOS_COMPLEMENTOS!$H$4:$H$17,0),IF(OR(G1372="S",G1372="20cm"),1,IF(OR(G1372="M",G1372="25cm"),2,IF(OR(G1372="L",G1372="30cm"),3,IF(OR(G1372="XL",G1372="35cm"),4,0))))),0)</f>
        <v>0.3</v>
      </c>
      <c r="J1372" s="103">
        <f t="shared" si="1"/>
        <v>0</v>
      </c>
      <c r="K1372" s="104" t="str">
        <f>IF(H1372&lt;0,"ERROR",IF(H1372=0,"",IF(H1372&lt;CONFIG!$B$4,"CRÍTICO",IF(H1372&lt;CONFIG!$B$5,"BAJO","OK"))))</f>
        <v/>
      </c>
    </row>
    <row r="1373" ht="15.75" hidden="1" customHeight="1">
      <c r="A1373" s="90" t="str">
        <f>IF(CLIENTES!A8="","",CLIENTES!A8)</f>
        <v/>
      </c>
      <c r="B1373" s="90" t="s">
        <v>324</v>
      </c>
      <c r="C1373" s="91" t="s">
        <v>322</v>
      </c>
      <c r="D1373" s="109" t="s">
        <v>353</v>
      </c>
      <c r="E1373" s="67" t="str">
        <f>COLORES!A8</f>
        <v>Beige</v>
      </c>
      <c r="F1373" s="67" t="str">
        <f>COLORES!B8</f>
        <v>CLARO</v>
      </c>
      <c r="G1373" s="90" t="s">
        <v>377</v>
      </c>
      <c r="H1373" s="100">
        <f>IFERROR(SUMIFS(MOVIMIENTOS_COMPLEMENTOS!$I$4:$I$803,MOVIMIENTOS_COMPLEMENTOS!$C$4:$C$803,A1373,MOVIMIENTOS_COMPLEMENTOS!$D$4:$D$803,B1373,MOVIMIENTOS_COMPLEMENTOS!$E$4:$E$803,C1373,MOVIMIENTOS_COMPLEMENTOS!$G$4:$G$803,E1373,MOVIMIENTOS_COMPLEMENTOS!$H$4:$H$803,G1373,MOVIMIENTOS_COMPLEMENTOS!$B$4:$B$803,"INGRESO")+SUMIFS(MOVIMIENTOS_COMPLEMENTOS!$I$4:$I$803,MOVIMIENTOS_COMPLEMENTOS!$C$4:$C$803,A1373,MOVIMIENTOS_COMPLEMENTOS!$D$4:$D$803,B1373,MOVIMIENTOS_COMPLEMENTOS!$E$4:$E$803,C1373,MOVIMIENTOS_COMPLEMENTOS!$G$4:$G$803,E1373,MOVIMIENTOS_COMPLEMENTOS!$H$4:$H$803,G1373,MOVIMIENTOS_COMPLEMENTOS!$B$4:$B$803,"DE CORTE")-SUMIFS(MOVIMIENTOS_COMPLEMENTOS!$I$4:$I$803,MOVIMIENTOS_COMPLEMENTOS!$C$4:$C$803,A1373,MOVIMIENTOS_COMPLEMENTOS!$D$4:$D$803,B1373,MOVIMIENTOS_COMPLEMENTOS!$E$4:$E$803,C1373,MOVIMIENTOS_COMPLEMENTOS!$G$4:$G$803,E1373,MOVIMIENTOS_COMPLEMENTOS!$H$4:$H$803,G1373,MOVIMIENTOS_COMPLEMENTOS!$B$4:$B$803,"SALIDA"),0)</f>
        <v>0</v>
      </c>
      <c r="I1373" s="102">
        <f t="array" ref="I1373">IFERROR(INDEX(PRECIOS_COMPLEMENTOS!$C$4:$F$17,MATCH(B1373&amp;"_"&amp;C1373,PRECIOS_COMPLEMENTOS!$H$4:$H$17,0),IF(OR(G1373="S",G1373="20cm"),1,IF(OR(G1373="M",G1373="25cm"),2,IF(OR(G1373="L",G1373="30cm"),3,IF(OR(G1373="XL",G1373="35cm"),4,0))))),0)</f>
        <v>0.35</v>
      </c>
      <c r="J1373" s="103">
        <f t="shared" si="1"/>
        <v>0</v>
      </c>
      <c r="K1373" s="104" t="str">
        <f>IF(H1373&lt;0,"ERROR",IF(H1373=0,"",IF(H1373&lt;CONFIG!$B$4,"CRÍTICO",IF(H1373&lt;CONFIG!$B$5,"BAJO","OK"))))</f>
        <v/>
      </c>
    </row>
    <row r="1374" ht="15.75" hidden="1" customHeight="1">
      <c r="A1374" s="90" t="str">
        <f>IF(CLIENTES!A8="","",CLIENTES!A8)</f>
        <v/>
      </c>
      <c r="B1374" s="90" t="s">
        <v>324</v>
      </c>
      <c r="C1374" s="91" t="s">
        <v>322</v>
      </c>
      <c r="D1374" s="109" t="s">
        <v>353</v>
      </c>
      <c r="E1374" s="67" t="str">
        <f>COLORES!A9</f>
        <v>Melange</v>
      </c>
      <c r="F1374" s="67" t="str">
        <f>COLORES!B9</f>
        <v>MELANGE</v>
      </c>
      <c r="G1374" s="90" t="s">
        <v>376</v>
      </c>
      <c r="H1374" s="100">
        <f>IFERROR(SUMIFS(MOVIMIENTOS_COMPLEMENTOS!$I$4:$I$803,MOVIMIENTOS_COMPLEMENTOS!$C$4:$C$803,A1374,MOVIMIENTOS_COMPLEMENTOS!$D$4:$D$803,B1374,MOVIMIENTOS_COMPLEMENTOS!$E$4:$E$803,C1374,MOVIMIENTOS_COMPLEMENTOS!$G$4:$G$803,E1374,MOVIMIENTOS_COMPLEMENTOS!$H$4:$H$803,G1374,MOVIMIENTOS_COMPLEMENTOS!$B$4:$B$803,"INGRESO")+SUMIFS(MOVIMIENTOS_COMPLEMENTOS!$I$4:$I$803,MOVIMIENTOS_COMPLEMENTOS!$C$4:$C$803,A1374,MOVIMIENTOS_COMPLEMENTOS!$D$4:$D$803,B1374,MOVIMIENTOS_COMPLEMENTOS!$E$4:$E$803,C1374,MOVIMIENTOS_COMPLEMENTOS!$G$4:$G$803,E1374,MOVIMIENTOS_COMPLEMENTOS!$H$4:$H$803,G1374,MOVIMIENTOS_COMPLEMENTOS!$B$4:$B$803,"DE CORTE")-SUMIFS(MOVIMIENTOS_COMPLEMENTOS!$I$4:$I$803,MOVIMIENTOS_COMPLEMENTOS!$C$4:$C$803,A1374,MOVIMIENTOS_COMPLEMENTOS!$D$4:$D$803,B1374,MOVIMIENTOS_COMPLEMENTOS!$E$4:$E$803,C1374,MOVIMIENTOS_COMPLEMENTOS!$G$4:$G$803,E1374,MOVIMIENTOS_COMPLEMENTOS!$H$4:$H$803,G1374,MOVIMIENTOS_COMPLEMENTOS!$B$4:$B$803,"SALIDA"),0)</f>
        <v>0</v>
      </c>
      <c r="I1374" s="102">
        <f t="array" ref="I1374">IFERROR(INDEX(PRECIOS_COMPLEMENTOS!$C$4:$F$17,MATCH(B1374&amp;"_"&amp;C1374,PRECIOS_COMPLEMENTOS!$H$4:$H$17,0),IF(OR(G1374="S",G1374="20cm"),1,IF(OR(G1374="M",G1374="25cm"),2,IF(OR(G1374="L",G1374="30cm"),3,IF(OR(G1374="XL",G1374="35cm"),4,0))))),0)</f>
        <v>0.3</v>
      </c>
      <c r="J1374" s="103">
        <f t="shared" si="1"/>
        <v>0</v>
      </c>
      <c r="K1374" s="104" t="str">
        <f>IF(H1374&lt;0,"ERROR",IF(H1374=0,"",IF(H1374&lt;CONFIG!$B$4,"CRÍTICO",IF(H1374&lt;CONFIG!$B$5,"BAJO","OK"))))</f>
        <v/>
      </c>
    </row>
    <row r="1375" ht="15.75" hidden="1" customHeight="1">
      <c r="A1375" s="90" t="str">
        <f>IF(CLIENTES!A8="","",CLIENTES!A8)</f>
        <v/>
      </c>
      <c r="B1375" s="90" t="s">
        <v>324</v>
      </c>
      <c r="C1375" s="91" t="s">
        <v>322</v>
      </c>
      <c r="D1375" s="109" t="s">
        <v>353</v>
      </c>
      <c r="E1375" s="67" t="str">
        <f>COLORES!A9</f>
        <v>Melange</v>
      </c>
      <c r="F1375" s="67" t="str">
        <f>COLORES!B9</f>
        <v>MELANGE</v>
      </c>
      <c r="G1375" s="90" t="s">
        <v>377</v>
      </c>
      <c r="H1375" s="100">
        <f>IFERROR(SUMIFS(MOVIMIENTOS_COMPLEMENTOS!$I$4:$I$803,MOVIMIENTOS_COMPLEMENTOS!$C$4:$C$803,A1375,MOVIMIENTOS_COMPLEMENTOS!$D$4:$D$803,B1375,MOVIMIENTOS_COMPLEMENTOS!$E$4:$E$803,C1375,MOVIMIENTOS_COMPLEMENTOS!$G$4:$G$803,E1375,MOVIMIENTOS_COMPLEMENTOS!$H$4:$H$803,G1375,MOVIMIENTOS_COMPLEMENTOS!$B$4:$B$803,"INGRESO")+SUMIFS(MOVIMIENTOS_COMPLEMENTOS!$I$4:$I$803,MOVIMIENTOS_COMPLEMENTOS!$C$4:$C$803,A1375,MOVIMIENTOS_COMPLEMENTOS!$D$4:$D$803,B1375,MOVIMIENTOS_COMPLEMENTOS!$E$4:$E$803,C1375,MOVIMIENTOS_COMPLEMENTOS!$G$4:$G$803,E1375,MOVIMIENTOS_COMPLEMENTOS!$H$4:$H$803,G1375,MOVIMIENTOS_COMPLEMENTOS!$B$4:$B$803,"DE CORTE")-SUMIFS(MOVIMIENTOS_COMPLEMENTOS!$I$4:$I$803,MOVIMIENTOS_COMPLEMENTOS!$C$4:$C$803,A1375,MOVIMIENTOS_COMPLEMENTOS!$D$4:$D$803,B1375,MOVIMIENTOS_COMPLEMENTOS!$E$4:$E$803,C1375,MOVIMIENTOS_COMPLEMENTOS!$G$4:$G$803,E1375,MOVIMIENTOS_COMPLEMENTOS!$H$4:$H$803,G1375,MOVIMIENTOS_COMPLEMENTOS!$B$4:$B$803,"SALIDA"),0)</f>
        <v>0</v>
      </c>
      <c r="I1375" s="102">
        <f t="array" ref="I1375">IFERROR(INDEX(PRECIOS_COMPLEMENTOS!$C$4:$F$17,MATCH(B1375&amp;"_"&amp;C1375,PRECIOS_COMPLEMENTOS!$H$4:$H$17,0),IF(OR(G1375="S",G1375="20cm"),1,IF(OR(G1375="M",G1375="25cm"),2,IF(OR(G1375="L",G1375="30cm"),3,IF(OR(G1375="XL",G1375="35cm"),4,0))))),0)</f>
        <v>0.35</v>
      </c>
      <c r="J1375" s="103">
        <f t="shared" si="1"/>
        <v>0</v>
      </c>
      <c r="K1375" s="104" t="str">
        <f>IF(H1375&lt;0,"ERROR",IF(H1375=0,"",IF(H1375&lt;CONFIG!$B$4,"CRÍTICO",IF(H1375&lt;CONFIG!$B$5,"BAJO","OK"))))</f>
        <v/>
      </c>
    </row>
    <row r="1376" ht="15.75" hidden="1" customHeight="1">
      <c r="A1376" s="90" t="str">
        <f>IF(CLIENTES!A8="","",CLIENTES!A8)</f>
        <v/>
      </c>
      <c r="B1376" s="90" t="s">
        <v>324</v>
      </c>
      <c r="C1376" s="91" t="s">
        <v>322</v>
      </c>
      <c r="D1376" s="109" t="s">
        <v>353</v>
      </c>
      <c r="E1376" s="67" t="str">
        <f>COLORES!A10</f>
        <v>Botella</v>
      </c>
      <c r="F1376" s="67" t="str">
        <f>COLORES!B10</f>
        <v>OSCURO</v>
      </c>
      <c r="G1376" s="90" t="s">
        <v>376</v>
      </c>
      <c r="H1376" s="100">
        <f>IFERROR(SUMIFS(MOVIMIENTOS_COMPLEMENTOS!$I$4:$I$803,MOVIMIENTOS_COMPLEMENTOS!$C$4:$C$803,A1376,MOVIMIENTOS_COMPLEMENTOS!$D$4:$D$803,B1376,MOVIMIENTOS_COMPLEMENTOS!$E$4:$E$803,C1376,MOVIMIENTOS_COMPLEMENTOS!$G$4:$G$803,E1376,MOVIMIENTOS_COMPLEMENTOS!$H$4:$H$803,G1376,MOVIMIENTOS_COMPLEMENTOS!$B$4:$B$803,"INGRESO")+SUMIFS(MOVIMIENTOS_COMPLEMENTOS!$I$4:$I$803,MOVIMIENTOS_COMPLEMENTOS!$C$4:$C$803,A1376,MOVIMIENTOS_COMPLEMENTOS!$D$4:$D$803,B1376,MOVIMIENTOS_COMPLEMENTOS!$E$4:$E$803,C1376,MOVIMIENTOS_COMPLEMENTOS!$G$4:$G$803,E1376,MOVIMIENTOS_COMPLEMENTOS!$H$4:$H$803,G1376,MOVIMIENTOS_COMPLEMENTOS!$B$4:$B$803,"DE CORTE")-SUMIFS(MOVIMIENTOS_COMPLEMENTOS!$I$4:$I$803,MOVIMIENTOS_COMPLEMENTOS!$C$4:$C$803,A1376,MOVIMIENTOS_COMPLEMENTOS!$D$4:$D$803,B1376,MOVIMIENTOS_COMPLEMENTOS!$E$4:$E$803,C1376,MOVIMIENTOS_COMPLEMENTOS!$G$4:$G$803,E1376,MOVIMIENTOS_COMPLEMENTOS!$H$4:$H$803,G1376,MOVIMIENTOS_COMPLEMENTOS!$B$4:$B$803,"SALIDA"),0)</f>
        <v>0</v>
      </c>
      <c r="I1376" s="102">
        <f t="array" ref="I1376">IFERROR(INDEX(PRECIOS_COMPLEMENTOS!$C$4:$F$17,MATCH(B1376&amp;"_"&amp;C1376,PRECIOS_COMPLEMENTOS!$H$4:$H$17,0),IF(OR(G1376="S",G1376="20cm"),1,IF(OR(G1376="M",G1376="25cm"),2,IF(OR(G1376="L",G1376="30cm"),3,IF(OR(G1376="XL",G1376="35cm"),4,0))))),0)</f>
        <v>0.3</v>
      </c>
      <c r="J1376" s="103">
        <f t="shared" si="1"/>
        <v>0</v>
      </c>
      <c r="K1376" s="104" t="str">
        <f>IF(H1376&lt;0,"ERROR",IF(H1376=0,"",IF(H1376&lt;CONFIG!$B$4,"CRÍTICO",IF(H1376&lt;CONFIG!$B$5,"BAJO","OK"))))</f>
        <v/>
      </c>
    </row>
    <row r="1377" ht="15.75" hidden="1" customHeight="1">
      <c r="A1377" s="90" t="str">
        <f>IF(CLIENTES!A8="","",CLIENTES!A8)</f>
        <v/>
      </c>
      <c r="B1377" s="90" t="s">
        <v>324</v>
      </c>
      <c r="C1377" s="91" t="s">
        <v>322</v>
      </c>
      <c r="D1377" s="109" t="s">
        <v>353</v>
      </c>
      <c r="E1377" s="67" t="str">
        <f>COLORES!A10</f>
        <v>Botella</v>
      </c>
      <c r="F1377" s="67" t="str">
        <f>COLORES!B10</f>
        <v>OSCURO</v>
      </c>
      <c r="G1377" s="90" t="s">
        <v>377</v>
      </c>
      <c r="H1377" s="100">
        <f>IFERROR(SUMIFS(MOVIMIENTOS_COMPLEMENTOS!$I$4:$I$803,MOVIMIENTOS_COMPLEMENTOS!$C$4:$C$803,A1377,MOVIMIENTOS_COMPLEMENTOS!$D$4:$D$803,B1377,MOVIMIENTOS_COMPLEMENTOS!$E$4:$E$803,C1377,MOVIMIENTOS_COMPLEMENTOS!$G$4:$G$803,E1377,MOVIMIENTOS_COMPLEMENTOS!$H$4:$H$803,G1377,MOVIMIENTOS_COMPLEMENTOS!$B$4:$B$803,"INGRESO")+SUMIFS(MOVIMIENTOS_COMPLEMENTOS!$I$4:$I$803,MOVIMIENTOS_COMPLEMENTOS!$C$4:$C$803,A1377,MOVIMIENTOS_COMPLEMENTOS!$D$4:$D$803,B1377,MOVIMIENTOS_COMPLEMENTOS!$E$4:$E$803,C1377,MOVIMIENTOS_COMPLEMENTOS!$G$4:$G$803,E1377,MOVIMIENTOS_COMPLEMENTOS!$H$4:$H$803,G1377,MOVIMIENTOS_COMPLEMENTOS!$B$4:$B$803,"DE CORTE")-SUMIFS(MOVIMIENTOS_COMPLEMENTOS!$I$4:$I$803,MOVIMIENTOS_COMPLEMENTOS!$C$4:$C$803,A1377,MOVIMIENTOS_COMPLEMENTOS!$D$4:$D$803,B1377,MOVIMIENTOS_COMPLEMENTOS!$E$4:$E$803,C1377,MOVIMIENTOS_COMPLEMENTOS!$G$4:$G$803,E1377,MOVIMIENTOS_COMPLEMENTOS!$H$4:$H$803,G1377,MOVIMIENTOS_COMPLEMENTOS!$B$4:$B$803,"SALIDA"),0)</f>
        <v>0</v>
      </c>
      <c r="I1377" s="102">
        <f t="array" ref="I1377">IFERROR(INDEX(PRECIOS_COMPLEMENTOS!$C$4:$F$17,MATCH(B1377&amp;"_"&amp;C1377,PRECIOS_COMPLEMENTOS!$H$4:$H$17,0),IF(OR(G1377="S",G1377="20cm"),1,IF(OR(G1377="M",G1377="25cm"),2,IF(OR(G1377="L",G1377="30cm"),3,IF(OR(G1377="XL",G1377="35cm"),4,0))))),0)</f>
        <v>0.35</v>
      </c>
      <c r="J1377" s="103">
        <f t="shared" si="1"/>
        <v>0</v>
      </c>
      <c r="K1377" s="104" t="str">
        <f>IF(H1377&lt;0,"ERROR",IF(H1377=0,"",IF(H1377&lt;CONFIG!$B$4,"CRÍTICO",IF(H1377&lt;CONFIG!$B$5,"BAJO","OK"))))</f>
        <v/>
      </c>
    </row>
    <row r="1378" ht="15.75" hidden="1" customHeight="1">
      <c r="A1378" s="90" t="str">
        <f>IF(CLIENTES!A8="","",CLIENTES!A8)</f>
        <v/>
      </c>
      <c r="B1378" s="90" t="s">
        <v>324</v>
      </c>
      <c r="C1378" s="91" t="s">
        <v>322</v>
      </c>
      <c r="D1378" s="109" t="s">
        <v>353</v>
      </c>
      <c r="E1378" s="67" t="str">
        <f>COLORES!A11</f>
        <v>Pacay</v>
      </c>
      <c r="F1378" s="67" t="str">
        <f>COLORES!B11</f>
        <v>CLARO</v>
      </c>
      <c r="G1378" s="90" t="s">
        <v>376</v>
      </c>
      <c r="H1378" s="100">
        <f>IFERROR(SUMIFS(MOVIMIENTOS_COMPLEMENTOS!$I$4:$I$803,MOVIMIENTOS_COMPLEMENTOS!$C$4:$C$803,A1378,MOVIMIENTOS_COMPLEMENTOS!$D$4:$D$803,B1378,MOVIMIENTOS_COMPLEMENTOS!$E$4:$E$803,C1378,MOVIMIENTOS_COMPLEMENTOS!$G$4:$G$803,E1378,MOVIMIENTOS_COMPLEMENTOS!$H$4:$H$803,G1378,MOVIMIENTOS_COMPLEMENTOS!$B$4:$B$803,"INGRESO")+SUMIFS(MOVIMIENTOS_COMPLEMENTOS!$I$4:$I$803,MOVIMIENTOS_COMPLEMENTOS!$C$4:$C$803,A1378,MOVIMIENTOS_COMPLEMENTOS!$D$4:$D$803,B1378,MOVIMIENTOS_COMPLEMENTOS!$E$4:$E$803,C1378,MOVIMIENTOS_COMPLEMENTOS!$G$4:$G$803,E1378,MOVIMIENTOS_COMPLEMENTOS!$H$4:$H$803,G1378,MOVIMIENTOS_COMPLEMENTOS!$B$4:$B$803,"DE CORTE")-SUMIFS(MOVIMIENTOS_COMPLEMENTOS!$I$4:$I$803,MOVIMIENTOS_COMPLEMENTOS!$C$4:$C$803,A1378,MOVIMIENTOS_COMPLEMENTOS!$D$4:$D$803,B1378,MOVIMIENTOS_COMPLEMENTOS!$E$4:$E$803,C1378,MOVIMIENTOS_COMPLEMENTOS!$G$4:$G$803,E1378,MOVIMIENTOS_COMPLEMENTOS!$H$4:$H$803,G1378,MOVIMIENTOS_COMPLEMENTOS!$B$4:$B$803,"SALIDA"),0)</f>
        <v>0</v>
      </c>
      <c r="I1378" s="102">
        <f t="array" ref="I1378">IFERROR(INDEX(PRECIOS_COMPLEMENTOS!$C$4:$F$17,MATCH(B1378&amp;"_"&amp;C1378,PRECIOS_COMPLEMENTOS!$H$4:$H$17,0),IF(OR(G1378="S",G1378="20cm"),1,IF(OR(G1378="M",G1378="25cm"),2,IF(OR(G1378="L",G1378="30cm"),3,IF(OR(G1378="XL",G1378="35cm"),4,0))))),0)</f>
        <v>0.3</v>
      </c>
      <c r="J1378" s="103">
        <f t="shared" si="1"/>
        <v>0</v>
      </c>
      <c r="K1378" s="104" t="str">
        <f>IF(H1378&lt;0,"ERROR",IF(H1378=0,"",IF(H1378&lt;CONFIG!$B$4,"CRÍTICO",IF(H1378&lt;CONFIG!$B$5,"BAJO","OK"))))</f>
        <v/>
      </c>
    </row>
    <row r="1379" ht="15.75" hidden="1" customHeight="1">
      <c r="A1379" s="90" t="str">
        <f>IF(CLIENTES!A8="","",CLIENTES!A8)</f>
        <v/>
      </c>
      <c r="B1379" s="90" t="s">
        <v>324</v>
      </c>
      <c r="C1379" s="91" t="s">
        <v>322</v>
      </c>
      <c r="D1379" s="109" t="s">
        <v>353</v>
      </c>
      <c r="E1379" s="67" t="str">
        <f>COLORES!A11</f>
        <v>Pacay</v>
      </c>
      <c r="F1379" s="67" t="str">
        <f>COLORES!B11</f>
        <v>CLARO</v>
      </c>
      <c r="G1379" s="90" t="s">
        <v>377</v>
      </c>
      <c r="H1379" s="100">
        <f>IFERROR(SUMIFS(MOVIMIENTOS_COMPLEMENTOS!$I$4:$I$803,MOVIMIENTOS_COMPLEMENTOS!$C$4:$C$803,A1379,MOVIMIENTOS_COMPLEMENTOS!$D$4:$D$803,B1379,MOVIMIENTOS_COMPLEMENTOS!$E$4:$E$803,C1379,MOVIMIENTOS_COMPLEMENTOS!$G$4:$G$803,E1379,MOVIMIENTOS_COMPLEMENTOS!$H$4:$H$803,G1379,MOVIMIENTOS_COMPLEMENTOS!$B$4:$B$803,"INGRESO")+SUMIFS(MOVIMIENTOS_COMPLEMENTOS!$I$4:$I$803,MOVIMIENTOS_COMPLEMENTOS!$C$4:$C$803,A1379,MOVIMIENTOS_COMPLEMENTOS!$D$4:$D$803,B1379,MOVIMIENTOS_COMPLEMENTOS!$E$4:$E$803,C1379,MOVIMIENTOS_COMPLEMENTOS!$G$4:$G$803,E1379,MOVIMIENTOS_COMPLEMENTOS!$H$4:$H$803,G1379,MOVIMIENTOS_COMPLEMENTOS!$B$4:$B$803,"DE CORTE")-SUMIFS(MOVIMIENTOS_COMPLEMENTOS!$I$4:$I$803,MOVIMIENTOS_COMPLEMENTOS!$C$4:$C$803,A1379,MOVIMIENTOS_COMPLEMENTOS!$D$4:$D$803,B1379,MOVIMIENTOS_COMPLEMENTOS!$E$4:$E$803,C1379,MOVIMIENTOS_COMPLEMENTOS!$G$4:$G$803,E1379,MOVIMIENTOS_COMPLEMENTOS!$H$4:$H$803,G1379,MOVIMIENTOS_COMPLEMENTOS!$B$4:$B$803,"SALIDA"),0)</f>
        <v>0</v>
      </c>
      <c r="I1379" s="102">
        <f t="array" ref="I1379">IFERROR(INDEX(PRECIOS_COMPLEMENTOS!$C$4:$F$17,MATCH(B1379&amp;"_"&amp;C1379,PRECIOS_COMPLEMENTOS!$H$4:$H$17,0),IF(OR(G1379="S",G1379="20cm"),1,IF(OR(G1379="M",G1379="25cm"),2,IF(OR(G1379="L",G1379="30cm"),3,IF(OR(G1379="XL",G1379="35cm"),4,0))))),0)</f>
        <v>0.35</v>
      </c>
      <c r="J1379" s="103">
        <f t="shared" si="1"/>
        <v>0</v>
      </c>
      <c r="K1379" s="104" t="str">
        <f>IF(H1379&lt;0,"ERROR",IF(H1379=0,"",IF(H1379&lt;CONFIG!$B$4,"CRÍTICO",IF(H1379&lt;CONFIG!$B$5,"BAJO","OK"))))</f>
        <v/>
      </c>
    </row>
    <row r="1380" ht="15.75" hidden="1" customHeight="1">
      <c r="A1380" s="90" t="str">
        <f>IF(CLIENTES!A8="","",CLIENTES!A8)</f>
        <v/>
      </c>
      <c r="B1380" s="90" t="s">
        <v>324</v>
      </c>
      <c r="C1380" s="91" t="s">
        <v>322</v>
      </c>
      <c r="D1380" s="109" t="s">
        <v>353</v>
      </c>
      <c r="E1380" s="67" t="str">
        <f>COLORES!A12</f>
        <v>Cemento</v>
      </c>
      <c r="F1380" s="67" t="str">
        <f>COLORES!B12</f>
        <v>CLARO</v>
      </c>
      <c r="G1380" s="90" t="s">
        <v>376</v>
      </c>
      <c r="H1380" s="100">
        <f>IFERROR(SUMIFS(MOVIMIENTOS_COMPLEMENTOS!$I$4:$I$803,MOVIMIENTOS_COMPLEMENTOS!$C$4:$C$803,A1380,MOVIMIENTOS_COMPLEMENTOS!$D$4:$D$803,B1380,MOVIMIENTOS_COMPLEMENTOS!$E$4:$E$803,C1380,MOVIMIENTOS_COMPLEMENTOS!$G$4:$G$803,E1380,MOVIMIENTOS_COMPLEMENTOS!$H$4:$H$803,G1380,MOVIMIENTOS_COMPLEMENTOS!$B$4:$B$803,"INGRESO")+SUMIFS(MOVIMIENTOS_COMPLEMENTOS!$I$4:$I$803,MOVIMIENTOS_COMPLEMENTOS!$C$4:$C$803,A1380,MOVIMIENTOS_COMPLEMENTOS!$D$4:$D$803,B1380,MOVIMIENTOS_COMPLEMENTOS!$E$4:$E$803,C1380,MOVIMIENTOS_COMPLEMENTOS!$G$4:$G$803,E1380,MOVIMIENTOS_COMPLEMENTOS!$H$4:$H$803,G1380,MOVIMIENTOS_COMPLEMENTOS!$B$4:$B$803,"DE CORTE")-SUMIFS(MOVIMIENTOS_COMPLEMENTOS!$I$4:$I$803,MOVIMIENTOS_COMPLEMENTOS!$C$4:$C$803,A1380,MOVIMIENTOS_COMPLEMENTOS!$D$4:$D$803,B1380,MOVIMIENTOS_COMPLEMENTOS!$E$4:$E$803,C1380,MOVIMIENTOS_COMPLEMENTOS!$G$4:$G$803,E1380,MOVIMIENTOS_COMPLEMENTOS!$H$4:$H$803,G1380,MOVIMIENTOS_COMPLEMENTOS!$B$4:$B$803,"SALIDA"),0)</f>
        <v>0</v>
      </c>
      <c r="I1380" s="102">
        <f t="array" ref="I1380">IFERROR(INDEX(PRECIOS_COMPLEMENTOS!$C$4:$F$17,MATCH(B1380&amp;"_"&amp;C1380,PRECIOS_COMPLEMENTOS!$H$4:$H$17,0),IF(OR(G1380="S",G1380="20cm"),1,IF(OR(G1380="M",G1380="25cm"),2,IF(OR(G1380="L",G1380="30cm"),3,IF(OR(G1380="XL",G1380="35cm"),4,0))))),0)</f>
        <v>0.3</v>
      </c>
      <c r="J1380" s="103">
        <f t="shared" si="1"/>
        <v>0</v>
      </c>
      <c r="K1380" s="104" t="str">
        <f>IF(H1380&lt;0,"ERROR",IF(H1380=0,"",IF(H1380&lt;CONFIG!$B$4,"CRÍTICO",IF(H1380&lt;CONFIG!$B$5,"BAJO","OK"))))</f>
        <v/>
      </c>
    </row>
    <row r="1381" ht="15.75" hidden="1" customHeight="1">
      <c r="A1381" s="90" t="str">
        <f>IF(CLIENTES!A8="","",CLIENTES!A8)</f>
        <v/>
      </c>
      <c r="B1381" s="90" t="s">
        <v>324</v>
      </c>
      <c r="C1381" s="91" t="s">
        <v>322</v>
      </c>
      <c r="D1381" s="109" t="s">
        <v>353</v>
      </c>
      <c r="E1381" s="67" t="str">
        <f>COLORES!A12</f>
        <v>Cemento</v>
      </c>
      <c r="F1381" s="67" t="str">
        <f>COLORES!B12</f>
        <v>CLARO</v>
      </c>
      <c r="G1381" s="90" t="s">
        <v>377</v>
      </c>
      <c r="H1381" s="100">
        <f>IFERROR(SUMIFS(MOVIMIENTOS_COMPLEMENTOS!$I$4:$I$803,MOVIMIENTOS_COMPLEMENTOS!$C$4:$C$803,A1381,MOVIMIENTOS_COMPLEMENTOS!$D$4:$D$803,B1381,MOVIMIENTOS_COMPLEMENTOS!$E$4:$E$803,C1381,MOVIMIENTOS_COMPLEMENTOS!$G$4:$G$803,E1381,MOVIMIENTOS_COMPLEMENTOS!$H$4:$H$803,G1381,MOVIMIENTOS_COMPLEMENTOS!$B$4:$B$803,"INGRESO")+SUMIFS(MOVIMIENTOS_COMPLEMENTOS!$I$4:$I$803,MOVIMIENTOS_COMPLEMENTOS!$C$4:$C$803,A1381,MOVIMIENTOS_COMPLEMENTOS!$D$4:$D$803,B1381,MOVIMIENTOS_COMPLEMENTOS!$E$4:$E$803,C1381,MOVIMIENTOS_COMPLEMENTOS!$G$4:$G$803,E1381,MOVIMIENTOS_COMPLEMENTOS!$H$4:$H$803,G1381,MOVIMIENTOS_COMPLEMENTOS!$B$4:$B$803,"DE CORTE")-SUMIFS(MOVIMIENTOS_COMPLEMENTOS!$I$4:$I$803,MOVIMIENTOS_COMPLEMENTOS!$C$4:$C$803,A1381,MOVIMIENTOS_COMPLEMENTOS!$D$4:$D$803,B1381,MOVIMIENTOS_COMPLEMENTOS!$E$4:$E$803,C1381,MOVIMIENTOS_COMPLEMENTOS!$G$4:$G$803,E1381,MOVIMIENTOS_COMPLEMENTOS!$H$4:$H$803,G1381,MOVIMIENTOS_COMPLEMENTOS!$B$4:$B$803,"SALIDA"),0)</f>
        <v>0</v>
      </c>
      <c r="I1381" s="102">
        <f t="array" ref="I1381">IFERROR(INDEX(PRECIOS_COMPLEMENTOS!$C$4:$F$17,MATCH(B1381&amp;"_"&amp;C1381,PRECIOS_COMPLEMENTOS!$H$4:$H$17,0),IF(OR(G1381="S",G1381="20cm"),1,IF(OR(G1381="M",G1381="25cm"),2,IF(OR(G1381="L",G1381="30cm"),3,IF(OR(G1381="XL",G1381="35cm"),4,0))))),0)</f>
        <v>0.35</v>
      </c>
      <c r="J1381" s="103">
        <f t="shared" si="1"/>
        <v>0</v>
      </c>
      <c r="K1381" s="104" t="str">
        <f>IF(H1381&lt;0,"ERROR",IF(H1381=0,"",IF(H1381&lt;CONFIG!$B$4,"CRÍTICO",IF(H1381&lt;CONFIG!$B$5,"BAJO","OK"))))</f>
        <v/>
      </c>
    </row>
    <row r="1382" ht="15.75" hidden="1" customHeight="1">
      <c r="A1382" s="90" t="str">
        <f>IF(CLIENTES!A8="","",CLIENTES!A8)</f>
        <v/>
      </c>
      <c r="B1382" s="90" t="s">
        <v>324</v>
      </c>
      <c r="C1382" s="91" t="s">
        <v>322</v>
      </c>
      <c r="D1382" s="109" t="s">
        <v>353</v>
      </c>
      <c r="E1382" s="67" t="str">
        <f>COLORES!A13</f>
        <v>Camote</v>
      </c>
      <c r="F1382" s="67" t="str">
        <f>COLORES!B13</f>
        <v>CLARO</v>
      </c>
      <c r="G1382" s="90" t="s">
        <v>376</v>
      </c>
      <c r="H1382" s="100">
        <f>IFERROR(SUMIFS(MOVIMIENTOS_COMPLEMENTOS!$I$4:$I$803,MOVIMIENTOS_COMPLEMENTOS!$C$4:$C$803,A1382,MOVIMIENTOS_COMPLEMENTOS!$D$4:$D$803,B1382,MOVIMIENTOS_COMPLEMENTOS!$E$4:$E$803,C1382,MOVIMIENTOS_COMPLEMENTOS!$G$4:$G$803,E1382,MOVIMIENTOS_COMPLEMENTOS!$H$4:$H$803,G1382,MOVIMIENTOS_COMPLEMENTOS!$B$4:$B$803,"INGRESO")+SUMIFS(MOVIMIENTOS_COMPLEMENTOS!$I$4:$I$803,MOVIMIENTOS_COMPLEMENTOS!$C$4:$C$803,A1382,MOVIMIENTOS_COMPLEMENTOS!$D$4:$D$803,B1382,MOVIMIENTOS_COMPLEMENTOS!$E$4:$E$803,C1382,MOVIMIENTOS_COMPLEMENTOS!$G$4:$G$803,E1382,MOVIMIENTOS_COMPLEMENTOS!$H$4:$H$803,G1382,MOVIMIENTOS_COMPLEMENTOS!$B$4:$B$803,"DE CORTE")-SUMIFS(MOVIMIENTOS_COMPLEMENTOS!$I$4:$I$803,MOVIMIENTOS_COMPLEMENTOS!$C$4:$C$803,A1382,MOVIMIENTOS_COMPLEMENTOS!$D$4:$D$803,B1382,MOVIMIENTOS_COMPLEMENTOS!$E$4:$E$803,C1382,MOVIMIENTOS_COMPLEMENTOS!$G$4:$G$803,E1382,MOVIMIENTOS_COMPLEMENTOS!$H$4:$H$803,G1382,MOVIMIENTOS_COMPLEMENTOS!$B$4:$B$803,"SALIDA"),0)</f>
        <v>0</v>
      </c>
      <c r="I1382" s="102">
        <f t="array" ref="I1382">IFERROR(INDEX(PRECIOS_COMPLEMENTOS!$C$4:$F$17,MATCH(B1382&amp;"_"&amp;C1382,PRECIOS_COMPLEMENTOS!$H$4:$H$17,0),IF(OR(G1382="S",G1382="20cm"),1,IF(OR(G1382="M",G1382="25cm"),2,IF(OR(G1382="L",G1382="30cm"),3,IF(OR(G1382="XL",G1382="35cm"),4,0))))),0)</f>
        <v>0.3</v>
      </c>
      <c r="J1382" s="103">
        <f t="shared" si="1"/>
        <v>0</v>
      </c>
      <c r="K1382" s="104" t="str">
        <f>IF(H1382&lt;0,"ERROR",IF(H1382=0,"",IF(H1382&lt;CONFIG!$B$4,"CRÍTICO",IF(H1382&lt;CONFIG!$B$5,"BAJO","OK"))))</f>
        <v/>
      </c>
    </row>
    <row r="1383" ht="15.75" hidden="1" customHeight="1">
      <c r="A1383" s="90" t="str">
        <f>IF(CLIENTES!A8="","",CLIENTES!A8)</f>
        <v/>
      </c>
      <c r="B1383" s="90" t="s">
        <v>324</v>
      </c>
      <c r="C1383" s="91" t="s">
        <v>322</v>
      </c>
      <c r="D1383" s="109" t="s">
        <v>353</v>
      </c>
      <c r="E1383" s="67" t="str">
        <f>COLORES!A13</f>
        <v>Camote</v>
      </c>
      <c r="F1383" s="67" t="str">
        <f>COLORES!B13</f>
        <v>CLARO</v>
      </c>
      <c r="G1383" s="90" t="s">
        <v>377</v>
      </c>
      <c r="H1383" s="100">
        <f>IFERROR(SUMIFS(MOVIMIENTOS_COMPLEMENTOS!$I$4:$I$803,MOVIMIENTOS_COMPLEMENTOS!$C$4:$C$803,A1383,MOVIMIENTOS_COMPLEMENTOS!$D$4:$D$803,B1383,MOVIMIENTOS_COMPLEMENTOS!$E$4:$E$803,C1383,MOVIMIENTOS_COMPLEMENTOS!$G$4:$G$803,E1383,MOVIMIENTOS_COMPLEMENTOS!$H$4:$H$803,G1383,MOVIMIENTOS_COMPLEMENTOS!$B$4:$B$803,"INGRESO")+SUMIFS(MOVIMIENTOS_COMPLEMENTOS!$I$4:$I$803,MOVIMIENTOS_COMPLEMENTOS!$C$4:$C$803,A1383,MOVIMIENTOS_COMPLEMENTOS!$D$4:$D$803,B1383,MOVIMIENTOS_COMPLEMENTOS!$E$4:$E$803,C1383,MOVIMIENTOS_COMPLEMENTOS!$G$4:$G$803,E1383,MOVIMIENTOS_COMPLEMENTOS!$H$4:$H$803,G1383,MOVIMIENTOS_COMPLEMENTOS!$B$4:$B$803,"DE CORTE")-SUMIFS(MOVIMIENTOS_COMPLEMENTOS!$I$4:$I$803,MOVIMIENTOS_COMPLEMENTOS!$C$4:$C$803,A1383,MOVIMIENTOS_COMPLEMENTOS!$D$4:$D$803,B1383,MOVIMIENTOS_COMPLEMENTOS!$E$4:$E$803,C1383,MOVIMIENTOS_COMPLEMENTOS!$G$4:$G$803,E1383,MOVIMIENTOS_COMPLEMENTOS!$H$4:$H$803,G1383,MOVIMIENTOS_COMPLEMENTOS!$B$4:$B$803,"SALIDA"),0)</f>
        <v>0</v>
      </c>
      <c r="I1383" s="102">
        <f t="array" ref="I1383">IFERROR(INDEX(PRECIOS_COMPLEMENTOS!$C$4:$F$17,MATCH(B1383&amp;"_"&amp;C1383,PRECIOS_COMPLEMENTOS!$H$4:$H$17,0),IF(OR(G1383="S",G1383="20cm"),1,IF(OR(G1383="M",G1383="25cm"),2,IF(OR(G1383="L",G1383="30cm"),3,IF(OR(G1383="XL",G1383="35cm"),4,0))))),0)</f>
        <v>0.35</v>
      </c>
      <c r="J1383" s="103">
        <f t="shared" si="1"/>
        <v>0</v>
      </c>
      <c r="K1383" s="104" t="str">
        <f>IF(H1383&lt;0,"ERROR",IF(H1383=0,"",IF(H1383&lt;CONFIG!$B$4,"CRÍTICO",IF(H1383&lt;CONFIG!$B$5,"BAJO","OK"))))</f>
        <v/>
      </c>
    </row>
    <row r="1384" ht="15.75" hidden="1" customHeight="1">
      <c r="A1384" s="90" t="str">
        <f>IF(CLIENTES!A8="","",CLIENTES!A8)</f>
        <v/>
      </c>
      <c r="B1384" s="90" t="s">
        <v>324</v>
      </c>
      <c r="C1384" s="91" t="s">
        <v>322</v>
      </c>
      <c r="D1384" s="109" t="s">
        <v>353</v>
      </c>
      <c r="E1384" s="67" t="str">
        <f>COLORES!A14</f>
        <v>Denim</v>
      </c>
      <c r="F1384" s="67" t="str">
        <f>COLORES!B14</f>
        <v>CLARO</v>
      </c>
      <c r="G1384" s="90" t="s">
        <v>376</v>
      </c>
      <c r="H1384" s="100">
        <f>IFERROR(SUMIFS(MOVIMIENTOS_COMPLEMENTOS!$I$4:$I$803,MOVIMIENTOS_COMPLEMENTOS!$C$4:$C$803,A1384,MOVIMIENTOS_COMPLEMENTOS!$D$4:$D$803,B1384,MOVIMIENTOS_COMPLEMENTOS!$E$4:$E$803,C1384,MOVIMIENTOS_COMPLEMENTOS!$G$4:$G$803,E1384,MOVIMIENTOS_COMPLEMENTOS!$H$4:$H$803,G1384,MOVIMIENTOS_COMPLEMENTOS!$B$4:$B$803,"INGRESO")+SUMIFS(MOVIMIENTOS_COMPLEMENTOS!$I$4:$I$803,MOVIMIENTOS_COMPLEMENTOS!$C$4:$C$803,A1384,MOVIMIENTOS_COMPLEMENTOS!$D$4:$D$803,B1384,MOVIMIENTOS_COMPLEMENTOS!$E$4:$E$803,C1384,MOVIMIENTOS_COMPLEMENTOS!$G$4:$G$803,E1384,MOVIMIENTOS_COMPLEMENTOS!$H$4:$H$803,G1384,MOVIMIENTOS_COMPLEMENTOS!$B$4:$B$803,"DE CORTE")-SUMIFS(MOVIMIENTOS_COMPLEMENTOS!$I$4:$I$803,MOVIMIENTOS_COMPLEMENTOS!$C$4:$C$803,A1384,MOVIMIENTOS_COMPLEMENTOS!$D$4:$D$803,B1384,MOVIMIENTOS_COMPLEMENTOS!$E$4:$E$803,C1384,MOVIMIENTOS_COMPLEMENTOS!$G$4:$G$803,E1384,MOVIMIENTOS_COMPLEMENTOS!$H$4:$H$803,G1384,MOVIMIENTOS_COMPLEMENTOS!$B$4:$B$803,"SALIDA"),0)</f>
        <v>0</v>
      </c>
      <c r="I1384" s="102">
        <f t="array" ref="I1384">IFERROR(INDEX(PRECIOS_COMPLEMENTOS!$C$4:$F$17,MATCH(B1384&amp;"_"&amp;C1384,PRECIOS_COMPLEMENTOS!$H$4:$H$17,0),IF(OR(G1384="S",G1384="20cm"),1,IF(OR(G1384="M",G1384="25cm"),2,IF(OR(G1384="L",G1384="30cm"),3,IF(OR(G1384="XL",G1384="35cm"),4,0))))),0)</f>
        <v>0.3</v>
      </c>
      <c r="J1384" s="103">
        <f t="shared" si="1"/>
        <v>0</v>
      </c>
      <c r="K1384" s="104" t="str">
        <f>IF(H1384&lt;0,"ERROR",IF(H1384=0,"",IF(H1384&lt;CONFIG!$B$4,"CRÍTICO",IF(H1384&lt;CONFIG!$B$5,"BAJO","OK"))))</f>
        <v/>
      </c>
    </row>
    <row r="1385" ht="15.75" hidden="1" customHeight="1">
      <c r="A1385" s="90" t="str">
        <f>IF(CLIENTES!A8="","",CLIENTES!A8)</f>
        <v/>
      </c>
      <c r="B1385" s="90" t="s">
        <v>324</v>
      </c>
      <c r="C1385" s="91" t="s">
        <v>322</v>
      </c>
      <c r="D1385" s="109" t="s">
        <v>353</v>
      </c>
      <c r="E1385" s="67" t="str">
        <f>COLORES!A14</f>
        <v>Denim</v>
      </c>
      <c r="F1385" s="67" t="str">
        <f>COLORES!B14</f>
        <v>CLARO</v>
      </c>
      <c r="G1385" s="90" t="s">
        <v>377</v>
      </c>
      <c r="H1385" s="100">
        <f>IFERROR(SUMIFS(MOVIMIENTOS_COMPLEMENTOS!$I$4:$I$803,MOVIMIENTOS_COMPLEMENTOS!$C$4:$C$803,A1385,MOVIMIENTOS_COMPLEMENTOS!$D$4:$D$803,B1385,MOVIMIENTOS_COMPLEMENTOS!$E$4:$E$803,C1385,MOVIMIENTOS_COMPLEMENTOS!$G$4:$G$803,E1385,MOVIMIENTOS_COMPLEMENTOS!$H$4:$H$803,G1385,MOVIMIENTOS_COMPLEMENTOS!$B$4:$B$803,"INGRESO")+SUMIFS(MOVIMIENTOS_COMPLEMENTOS!$I$4:$I$803,MOVIMIENTOS_COMPLEMENTOS!$C$4:$C$803,A1385,MOVIMIENTOS_COMPLEMENTOS!$D$4:$D$803,B1385,MOVIMIENTOS_COMPLEMENTOS!$E$4:$E$803,C1385,MOVIMIENTOS_COMPLEMENTOS!$G$4:$G$803,E1385,MOVIMIENTOS_COMPLEMENTOS!$H$4:$H$803,G1385,MOVIMIENTOS_COMPLEMENTOS!$B$4:$B$803,"DE CORTE")-SUMIFS(MOVIMIENTOS_COMPLEMENTOS!$I$4:$I$803,MOVIMIENTOS_COMPLEMENTOS!$C$4:$C$803,A1385,MOVIMIENTOS_COMPLEMENTOS!$D$4:$D$803,B1385,MOVIMIENTOS_COMPLEMENTOS!$E$4:$E$803,C1385,MOVIMIENTOS_COMPLEMENTOS!$G$4:$G$803,E1385,MOVIMIENTOS_COMPLEMENTOS!$H$4:$H$803,G1385,MOVIMIENTOS_COMPLEMENTOS!$B$4:$B$803,"SALIDA"),0)</f>
        <v>0</v>
      </c>
      <c r="I1385" s="102">
        <f t="array" ref="I1385">IFERROR(INDEX(PRECIOS_COMPLEMENTOS!$C$4:$F$17,MATCH(B1385&amp;"_"&amp;C1385,PRECIOS_COMPLEMENTOS!$H$4:$H$17,0),IF(OR(G1385="S",G1385="20cm"),1,IF(OR(G1385="M",G1385="25cm"),2,IF(OR(G1385="L",G1385="30cm"),3,IF(OR(G1385="XL",G1385="35cm"),4,0))))),0)</f>
        <v>0.35</v>
      </c>
      <c r="J1385" s="103">
        <f t="shared" si="1"/>
        <v>0</v>
      </c>
      <c r="K1385" s="104" t="str">
        <f>IF(H1385&lt;0,"ERROR",IF(H1385=0,"",IF(H1385&lt;CONFIG!$B$4,"CRÍTICO",IF(H1385&lt;CONFIG!$B$5,"BAJO","OK"))))</f>
        <v/>
      </c>
    </row>
    <row r="1386" ht="15.75" hidden="1" customHeight="1">
      <c r="A1386" s="90" t="str">
        <f>IF(CLIENTES!A8="","",CLIENTES!A8)</f>
        <v/>
      </c>
      <c r="B1386" s="90" t="s">
        <v>324</v>
      </c>
      <c r="C1386" s="91" t="s">
        <v>322</v>
      </c>
      <c r="D1386" s="109" t="s">
        <v>353</v>
      </c>
      <c r="E1386" s="67" t="str">
        <f>COLORES!A15</f>
        <v>Plomo</v>
      </c>
      <c r="F1386" s="67" t="str">
        <f>COLORES!B15</f>
        <v>OSCURO</v>
      </c>
      <c r="G1386" s="90" t="s">
        <v>376</v>
      </c>
      <c r="H1386" s="100">
        <f>IFERROR(SUMIFS(MOVIMIENTOS_COMPLEMENTOS!$I$4:$I$803,MOVIMIENTOS_COMPLEMENTOS!$C$4:$C$803,A1386,MOVIMIENTOS_COMPLEMENTOS!$D$4:$D$803,B1386,MOVIMIENTOS_COMPLEMENTOS!$E$4:$E$803,C1386,MOVIMIENTOS_COMPLEMENTOS!$G$4:$G$803,E1386,MOVIMIENTOS_COMPLEMENTOS!$H$4:$H$803,G1386,MOVIMIENTOS_COMPLEMENTOS!$B$4:$B$803,"INGRESO")+SUMIFS(MOVIMIENTOS_COMPLEMENTOS!$I$4:$I$803,MOVIMIENTOS_COMPLEMENTOS!$C$4:$C$803,A1386,MOVIMIENTOS_COMPLEMENTOS!$D$4:$D$803,B1386,MOVIMIENTOS_COMPLEMENTOS!$E$4:$E$803,C1386,MOVIMIENTOS_COMPLEMENTOS!$G$4:$G$803,E1386,MOVIMIENTOS_COMPLEMENTOS!$H$4:$H$803,G1386,MOVIMIENTOS_COMPLEMENTOS!$B$4:$B$803,"DE CORTE")-SUMIFS(MOVIMIENTOS_COMPLEMENTOS!$I$4:$I$803,MOVIMIENTOS_COMPLEMENTOS!$C$4:$C$803,A1386,MOVIMIENTOS_COMPLEMENTOS!$D$4:$D$803,B1386,MOVIMIENTOS_COMPLEMENTOS!$E$4:$E$803,C1386,MOVIMIENTOS_COMPLEMENTOS!$G$4:$G$803,E1386,MOVIMIENTOS_COMPLEMENTOS!$H$4:$H$803,G1386,MOVIMIENTOS_COMPLEMENTOS!$B$4:$B$803,"SALIDA"),0)</f>
        <v>0</v>
      </c>
      <c r="I1386" s="102">
        <f t="array" ref="I1386">IFERROR(INDEX(PRECIOS_COMPLEMENTOS!$C$4:$F$17,MATCH(B1386&amp;"_"&amp;C1386,PRECIOS_COMPLEMENTOS!$H$4:$H$17,0),IF(OR(G1386="S",G1386="20cm"),1,IF(OR(G1386="M",G1386="25cm"),2,IF(OR(G1386="L",G1386="30cm"),3,IF(OR(G1386="XL",G1386="35cm"),4,0))))),0)</f>
        <v>0.3</v>
      </c>
      <c r="J1386" s="103">
        <f t="shared" si="1"/>
        <v>0</v>
      </c>
      <c r="K1386" s="104" t="str">
        <f>IF(H1386&lt;0,"ERROR",IF(H1386=0,"",IF(H1386&lt;CONFIG!$B$4,"CRÍTICO",IF(H1386&lt;CONFIG!$B$5,"BAJO","OK"))))</f>
        <v/>
      </c>
    </row>
    <row r="1387" ht="15.75" hidden="1" customHeight="1">
      <c r="A1387" s="90" t="str">
        <f>IF(CLIENTES!A8="","",CLIENTES!A8)</f>
        <v/>
      </c>
      <c r="B1387" s="90" t="s">
        <v>324</v>
      </c>
      <c r="C1387" s="91" t="s">
        <v>322</v>
      </c>
      <c r="D1387" s="109" t="s">
        <v>353</v>
      </c>
      <c r="E1387" s="67" t="str">
        <f>COLORES!A15</f>
        <v>Plomo</v>
      </c>
      <c r="F1387" s="67" t="str">
        <f>COLORES!B15</f>
        <v>OSCURO</v>
      </c>
      <c r="G1387" s="90" t="s">
        <v>377</v>
      </c>
      <c r="H1387" s="100">
        <f>IFERROR(SUMIFS(MOVIMIENTOS_COMPLEMENTOS!$I$4:$I$803,MOVIMIENTOS_COMPLEMENTOS!$C$4:$C$803,A1387,MOVIMIENTOS_COMPLEMENTOS!$D$4:$D$803,B1387,MOVIMIENTOS_COMPLEMENTOS!$E$4:$E$803,C1387,MOVIMIENTOS_COMPLEMENTOS!$G$4:$G$803,E1387,MOVIMIENTOS_COMPLEMENTOS!$H$4:$H$803,G1387,MOVIMIENTOS_COMPLEMENTOS!$B$4:$B$803,"INGRESO")+SUMIFS(MOVIMIENTOS_COMPLEMENTOS!$I$4:$I$803,MOVIMIENTOS_COMPLEMENTOS!$C$4:$C$803,A1387,MOVIMIENTOS_COMPLEMENTOS!$D$4:$D$803,B1387,MOVIMIENTOS_COMPLEMENTOS!$E$4:$E$803,C1387,MOVIMIENTOS_COMPLEMENTOS!$G$4:$G$803,E1387,MOVIMIENTOS_COMPLEMENTOS!$H$4:$H$803,G1387,MOVIMIENTOS_COMPLEMENTOS!$B$4:$B$803,"DE CORTE")-SUMIFS(MOVIMIENTOS_COMPLEMENTOS!$I$4:$I$803,MOVIMIENTOS_COMPLEMENTOS!$C$4:$C$803,A1387,MOVIMIENTOS_COMPLEMENTOS!$D$4:$D$803,B1387,MOVIMIENTOS_COMPLEMENTOS!$E$4:$E$803,C1387,MOVIMIENTOS_COMPLEMENTOS!$G$4:$G$803,E1387,MOVIMIENTOS_COMPLEMENTOS!$H$4:$H$803,G1387,MOVIMIENTOS_COMPLEMENTOS!$B$4:$B$803,"SALIDA"),0)</f>
        <v>0</v>
      </c>
      <c r="I1387" s="102">
        <f t="array" ref="I1387">IFERROR(INDEX(PRECIOS_COMPLEMENTOS!$C$4:$F$17,MATCH(B1387&amp;"_"&amp;C1387,PRECIOS_COMPLEMENTOS!$H$4:$H$17,0),IF(OR(G1387="S",G1387="20cm"),1,IF(OR(G1387="M",G1387="25cm"),2,IF(OR(G1387="L",G1387="30cm"),3,IF(OR(G1387="XL",G1387="35cm"),4,0))))),0)</f>
        <v>0.35</v>
      </c>
      <c r="J1387" s="103">
        <f t="shared" si="1"/>
        <v>0</v>
      </c>
      <c r="K1387" s="104" t="str">
        <f>IF(H1387&lt;0,"ERROR",IF(H1387=0,"",IF(H1387&lt;CONFIG!$B$4,"CRÍTICO",IF(H1387&lt;CONFIG!$B$5,"BAJO","OK"))))</f>
        <v/>
      </c>
    </row>
    <row r="1388" ht="15.75" hidden="1" customHeight="1">
      <c r="A1388" s="90" t="str">
        <f>IF(CLIENTES!A8="","",CLIENTES!A8)</f>
        <v/>
      </c>
      <c r="B1388" s="90" t="s">
        <v>324</v>
      </c>
      <c r="C1388" s="91" t="s">
        <v>322</v>
      </c>
      <c r="D1388" s="109" t="s">
        <v>353</v>
      </c>
      <c r="E1388" s="67" t="str">
        <f>COLORES!A16</f>
        <v>Topo</v>
      </c>
      <c r="F1388" s="67" t="str">
        <f>COLORES!B16</f>
        <v>CLARO</v>
      </c>
      <c r="G1388" s="90" t="s">
        <v>376</v>
      </c>
      <c r="H1388" s="100">
        <f>IFERROR(SUMIFS(MOVIMIENTOS_COMPLEMENTOS!$I$4:$I$803,MOVIMIENTOS_COMPLEMENTOS!$C$4:$C$803,A1388,MOVIMIENTOS_COMPLEMENTOS!$D$4:$D$803,B1388,MOVIMIENTOS_COMPLEMENTOS!$E$4:$E$803,C1388,MOVIMIENTOS_COMPLEMENTOS!$G$4:$G$803,E1388,MOVIMIENTOS_COMPLEMENTOS!$H$4:$H$803,G1388,MOVIMIENTOS_COMPLEMENTOS!$B$4:$B$803,"INGRESO")+SUMIFS(MOVIMIENTOS_COMPLEMENTOS!$I$4:$I$803,MOVIMIENTOS_COMPLEMENTOS!$C$4:$C$803,A1388,MOVIMIENTOS_COMPLEMENTOS!$D$4:$D$803,B1388,MOVIMIENTOS_COMPLEMENTOS!$E$4:$E$803,C1388,MOVIMIENTOS_COMPLEMENTOS!$G$4:$G$803,E1388,MOVIMIENTOS_COMPLEMENTOS!$H$4:$H$803,G1388,MOVIMIENTOS_COMPLEMENTOS!$B$4:$B$803,"DE CORTE")-SUMIFS(MOVIMIENTOS_COMPLEMENTOS!$I$4:$I$803,MOVIMIENTOS_COMPLEMENTOS!$C$4:$C$803,A1388,MOVIMIENTOS_COMPLEMENTOS!$D$4:$D$803,B1388,MOVIMIENTOS_COMPLEMENTOS!$E$4:$E$803,C1388,MOVIMIENTOS_COMPLEMENTOS!$G$4:$G$803,E1388,MOVIMIENTOS_COMPLEMENTOS!$H$4:$H$803,G1388,MOVIMIENTOS_COMPLEMENTOS!$B$4:$B$803,"SALIDA"),0)</f>
        <v>0</v>
      </c>
      <c r="I1388" s="102">
        <f t="array" ref="I1388">IFERROR(INDEX(PRECIOS_COMPLEMENTOS!$C$4:$F$17,MATCH(B1388&amp;"_"&amp;C1388,PRECIOS_COMPLEMENTOS!$H$4:$H$17,0),IF(OR(G1388="S",G1388="20cm"),1,IF(OR(G1388="M",G1388="25cm"),2,IF(OR(G1388="L",G1388="30cm"),3,IF(OR(G1388="XL",G1388="35cm"),4,0))))),0)</f>
        <v>0.3</v>
      </c>
      <c r="J1388" s="103">
        <f t="shared" si="1"/>
        <v>0</v>
      </c>
      <c r="K1388" s="104" t="str">
        <f>IF(H1388&lt;0,"ERROR",IF(H1388=0,"",IF(H1388&lt;CONFIG!$B$4,"CRÍTICO",IF(H1388&lt;CONFIG!$B$5,"BAJO","OK"))))</f>
        <v/>
      </c>
    </row>
    <row r="1389" ht="15.75" hidden="1" customHeight="1">
      <c r="A1389" s="90" t="str">
        <f>IF(CLIENTES!A8="","",CLIENTES!A8)</f>
        <v/>
      </c>
      <c r="B1389" s="90" t="s">
        <v>324</v>
      </c>
      <c r="C1389" s="91" t="s">
        <v>322</v>
      </c>
      <c r="D1389" s="109" t="s">
        <v>353</v>
      </c>
      <c r="E1389" s="67" t="str">
        <f>COLORES!A16</f>
        <v>Topo</v>
      </c>
      <c r="F1389" s="67" t="str">
        <f>COLORES!B16</f>
        <v>CLARO</v>
      </c>
      <c r="G1389" s="90" t="s">
        <v>377</v>
      </c>
      <c r="H1389" s="100">
        <f>IFERROR(SUMIFS(MOVIMIENTOS_COMPLEMENTOS!$I$4:$I$803,MOVIMIENTOS_COMPLEMENTOS!$C$4:$C$803,A1389,MOVIMIENTOS_COMPLEMENTOS!$D$4:$D$803,B1389,MOVIMIENTOS_COMPLEMENTOS!$E$4:$E$803,C1389,MOVIMIENTOS_COMPLEMENTOS!$G$4:$G$803,E1389,MOVIMIENTOS_COMPLEMENTOS!$H$4:$H$803,G1389,MOVIMIENTOS_COMPLEMENTOS!$B$4:$B$803,"INGRESO")+SUMIFS(MOVIMIENTOS_COMPLEMENTOS!$I$4:$I$803,MOVIMIENTOS_COMPLEMENTOS!$C$4:$C$803,A1389,MOVIMIENTOS_COMPLEMENTOS!$D$4:$D$803,B1389,MOVIMIENTOS_COMPLEMENTOS!$E$4:$E$803,C1389,MOVIMIENTOS_COMPLEMENTOS!$G$4:$G$803,E1389,MOVIMIENTOS_COMPLEMENTOS!$H$4:$H$803,G1389,MOVIMIENTOS_COMPLEMENTOS!$B$4:$B$803,"DE CORTE")-SUMIFS(MOVIMIENTOS_COMPLEMENTOS!$I$4:$I$803,MOVIMIENTOS_COMPLEMENTOS!$C$4:$C$803,A1389,MOVIMIENTOS_COMPLEMENTOS!$D$4:$D$803,B1389,MOVIMIENTOS_COMPLEMENTOS!$E$4:$E$803,C1389,MOVIMIENTOS_COMPLEMENTOS!$G$4:$G$803,E1389,MOVIMIENTOS_COMPLEMENTOS!$H$4:$H$803,G1389,MOVIMIENTOS_COMPLEMENTOS!$B$4:$B$803,"SALIDA"),0)</f>
        <v>0</v>
      </c>
      <c r="I1389" s="102">
        <f t="array" ref="I1389">IFERROR(INDEX(PRECIOS_COMPLEMENTOS!$C$4:$F$17,MATCH(B1389&amp;"_"&amp;C1389,PRECIOS_COMPLEMENTOS!$H$4:$H$17,0),IF(OR(G1389="S",G1389="20cm"),1,IF(OR(G1389="M",G1389="25cm"),2,IF(OR(G1389="L",G1389="30cm"),3,IF(OR(G1389="XL",G1389="35cm"),4,0))))),0)</f>
        <v>0.35</v>
      </c>
      <c r="J1389" s="103">
        <f t="shared" si="1"/>
        <v>0</v>
      </c>
      <c r="K1389" s="104" t="str">
        <f>IF(H1389&lt;0,"ERROR",IF(H1389=0,"",IF(H1389&lt;CONFIG!$B$4,"CRÍTICO",IF(H1389&lt;CONFIG!$B$5,"BAJO","OK"))))</f>
        <v/>
      </c>
    </row>
    <row r="1390" ht="15.75" hidden="1" customHeight="1">
      <c r="A1390" s="90" t="str">
        <f>IF(CLIENTES!A8="","",CLIENTES!A8)</f>
        <v/>
      </c>
      <c r="B1390" s="90" t="s">
        <v>324</v>
      </c>
      <c r="C1390" s="91" t="s">
        <v>322</v>
      </c>
      <c r="D1390" s="109" t="s">
        <v>353</v>
      </c>
      <c r="E1390" s="67" t="str">
        <f>COLORES!A17</f>
        <v>Vino</v>
      </c>
      <c r="F1390" s="67" t="str">
        <f>COLORES!B17</f>
        <v>OSCURO</v>
      </c>
      <c r="G1390" s="90" t="s">
        <v>376</v>
      </c>
      <c r="H1390" s="100">
        <f>IFERROR(SUMIFS(MOVIMIENTOS_COMPLEMENTOS!$I$4:$I$803,MOVIMIENTOS_COMPLEMENTOS!$C$4:$C$803,A1390,MOVIMIENTOS_COMPLEMENTOS!$D$4:$D$803,B1390,MOVIMIENTOS_COMPLEMENTOS!$E$4:$E$803,C1390,MOVIMIENTOS_COMPLEMENTOS!$G$4:$G$803,E1390,MOVIMIENTOS_COMPLEMENTOS!$H$4:$H$803,G1390,MOVIMIENTOS_COMPLEMENTOS!$B$4:$B$803,"INGRESO")+SUMIFS(MOVIMIENTOS_COMPLEMENTOS!$I$4:$I$803,MOVIMIENTOS_COMPLEMENTOS!$C$4:$C$803,A1390,MOVIMIENTOS_COMPLEMENTOS!$D$4:$D$803,B1390,MOVIMIENTOS_COMPLEMENTOS!$E$4:$E$803,C1390,MOVIMIENTOS_COMPLEMENTOS!$G$4:$G$803,E1390,MOVIMIENTOS_COMPLEMENTOS!$H$4:$H$803,G1390,MOVIMIENTOS_COMPLEMENTOS!$B$4:$B$803,"DE CORTE")-SUMIFS(MOVIMIENTOS_COMPLEMENTOS!$I$4:$I$803,MOVIMIENTOS_COMPLEMENTOS!$C$4:$C$803,A1390,MOVIMIENTOS_COMPLEMENTOS!$D$4:$D$803,B1390,MOVIMIENTOS_COMPLEMENTOS!$E$4:$E$803,C1390,MOVIMIENTOS_COMPLEMENTOS!$G$4:$G$803,E1390,MOVIMIENTOS_COMPLEMENTOS!$H$4:$H$803,G1390,MOVIMIENTOS_COMPLEMENTOS!$B$4:$B$803,"SALIDA"),0)</f>
        <v>0</v>
      </c>
      <c r="I1390" s="102">
        <f t="array" ref="I1390">IFERROR(INDEX(PRECIOS_COMPLEMENTOS!$C$4:$F$17,MATCH(B1390&amp;"_"&amp;C1390,PRECIOS_COMPLEMENTOS!$H$4:$H$17,0),IF(OR(G1390="S",G1390="20cm"),1,IF(OR(G1390="M",G1390="25cm"),2,IF(OR(G1390="L",G1390="30cm"),3,IF(OR(G1390="XL",G1390="35cm"),4,0))))),0)</f>
        <v>0.3</v>
      </c>
      <c r="J1390" s="103">
        <f t="shared" si="1"/>
        <v>0</v>
      </c>
      <c r="K1390" s="104" t="str">
        <f>IF(H1390&lt;0,"ERROR",IF(H1390=0,"",IF(H1390&lt;CONFIG!$B$4,"CRÍTICO",IF(H1390&lt;CONFIG!$B$5,"BAJO","OK"))))</f>
        <v/>
      </c>
    </row>
    <row r="1391" ht="15.75" hidden="1" customHeight="1">
      <c r="A1391" s="90" t="str">
        <f>IF(CLIENTES!A8="","",CLIENTES!A8)</f>
        <v/>
      </c>
      <c r="B1391" s="90" t="s">
        <v>324</v>
      </c>
      <c r="C1391" s="91" t="s">
        <v>322</v>
      </c>
      <c r="D1391" s="109" t="s">
        <v>353</v>
      </c>
      <c r="E1391" s="67" t="str">
        <f>COLORES!A17</f>
        <v>Vino</v>
      </c>
      <c r="F1391" s="67" t="str">
        <f>COLORES!B17</f>
        <v>OSCURO</v>
      </c>
      <c r="G1391" s="90" t="s">
        <v>377</v>
      </c>
      <c r="H1391" s="100">
        <f>IFERROR(SUMIFS(MOVIMIENTOS_COMPLEMENTOS!$I$4:$I$803,MOVIMIENTOS_COMPLEMENTOS!$C$4:$C$803,A1391,MOVIMIENTOS_COMPLEMENTOS!$D$4:$D$803,B1391,MOVIMIENTOS_COMPLEMENTOS!$E$4:$E$803,C1391,MOVIMIENTOS_COMPLEMENTOS!$G$4:$G$803,E1391,MOVIMIENTOS_COMPLEMENTOS!$H$4:$H$803,G1391,MOVIMIENTOS_COMPLEMENTOS!$B$4:$B$803,"INGRESO")+SUMIFS(MOVIMIENTOS_COMPLEMENTOS!$I$4:$I$803,MOVIMIENTOS_COMPLEMENTOS!$C$4:$C$803,A1391,MOVIMIENTOS_COMPLEMENTOS!$D$4:$D$803,B1391,MOVIMIENTOS_COMPLEMENTOS!$E$4:$E$803,C1391,MOVIMIENTOS_COMPLEMENTOS!$G$4:$G$803,E1391,MOVIMIENTOS_COMPLEMENTOS!$H$4:$H$803,G1391,MOVIMIENTOS_COMPLEMENTOS!$B$4:$B$803,"DE CORTE")-SUMIFS(MOVIMIENTOS_COMPLEMENTOS!$I$4:$I$803,MOVIMIENTOS_COMPLEMENTOS!$C$4:$C$803,A1391,MOVIMIENTOS_COMPLEMENTOS!$D$4:$D$803,B1391,MOVIMIENTOS_COMPLEMENTOS!$E$4:$E$803,C1391,MOVIMIENTOS_COMPLEMENTOS!$G$4:$G$803,E1391,MOVIMIENTOS_COMPLEMENTOS!$H$4:$H$803,G1391,MOVIMIENTOS_COMPLEMENTOS!$B$4:$B$803,"SALIDA"),0)</f>
        <v>0</v>
      </c>
      <c r="I1391" s="102">
        <f t="array" ref="I1391">IFERROR(INDEX(PRECIOS_COMPLEMENTOS!$C$4:$F$17,MATCH(B1391&amp;"_"&amp;C1391,PRECIOS_COMPLEMENTOS!$H$4:$H$17,0),IF(OR(G1391="S",G1391="20cm"),1,IF(OR(G1391="M",G1391="25cm"),2,IF(OR(G1391="L",G1391="30cm"),3,IF(OR(G1391="XL",G1391="35cm"),4,0))))),0)</f>
        <v>0.35</v>
      </c>
      <c r="J1391" s="103">
        <f t="shared" si="1"/>
        <v>0</v>
      </c>
      <c r="K1391" s="104" t="str">
        <f>IF(H1391&lt;0,"ERROR",IF(H1391=0,"",IF(H1391&lt;CONFIG!$B$4,"CRÍTICO",IF(H1391&lt;CONFIG!$B$5,"BAJO","OK"))))</f>
        <v/>
      </c>
    </row>
    <row r="1392" ht="15.75" hidden="1" customHeight="1">
      <c r="A1392" s="90" t="str">
        <f>IF(CLIENTES!A8="","",CLIENTES!A8)</f>
        <v/>
      </c>
      <c r="B1392" s="90" t="s">
        <v>324</v>
      </c>
      <c r="C1392" s="91" t="s">
        <v>322</v>
      </c>
      <c r="D1392" s="109" t="s">
        <v>353</v>
      </c>
      <c r="E1392" s="67" t="str">
        <f>COLORES!A18</f>
        <v>P. Rosa</v>
      </c>
      <c r="F1392" s="67" t="str">
        <f>COLORES!B18</f>
        <v>CLARO</v>
      </c>
      <c r="G1392" s="90" t="s">
        <v>376</v>
      </c>
      <c r="H1392" s="100">
        <f>IFERROR(SUMIFS(MOVIMIENTOS_COMPLEMENTOS!$I$4:$I$803,MOVIMIENTOS_COMPLEMENTOS!$C$4:$C$803,A1392,MOVIMIENTOS_COMPLEMENTOS!$D$4:$D$803,B1392,MOVIMIENTOS_COMPLEMENTOS!$E$4:$E$803,C1392,MOVIMIENTOS_COMPLEMENTOS!$G$4:$G$803,E1392,MOVIMIENTOS_COMPLEMENTOS!$H$4:$H$803,G1392,MOVIMIENTOS_COMPLEMENTOS!$B$4:$B$803,"INGRESO")+SUMIFS(MOVIMIENTOS_COMPLEMENTOS!$I$4:$I$803,MOVIMIENTOS_COMPLEMENTOS!$C$4:$C$803,A1392,MOVIMIENTOS_COMPLEMENTOS!$D$4:$D$803,B1392,MOVIMIENTOS_COMPLEMENTOS!$E$4:$E$803,C1392,MOVIMIENTOS_COMPLEMENTOS!$G$4:$G$803,E1392,MOVIMIENTOS_COMPLEMENTOS!$H$4:$H$803,G1392,MOVIMIENTOS_COMPLEMENTOS!$B$4:$B$803,"DE CORTE")-SUMIFS(MOVIMIENTOS_COMPLEMENTOS!$I$4:$I$803,MOVIMIENTOS_COMPLEMENTOS!$C$4:$C$803,A1392,MOVIMIENTOS_COMPLEMENTOS!$D$4:$D$803,B1392,MOVIMIENTOS_COMPLEMENTOS!$E$4:$E$803,C1392,MOVIMIENTOS_COMPLEMENTOS!$G$4:$G$803,E1392,MOVIMIENTOS_COMPLEMENTOS!$H$4:$H$803,G1392,MOVIMIENTOS_COMPLEMENTOS!$B$4:$B$803,"SALIDA"),0)</f>
        <v>0</v>
      </c>
      <c r="I1392" s="102">
        <f t="array" ref="I1392">IFERROR(INDEX(PRECIOS_COMPLEMENTOS!$C$4:$F$17,MATCH(B1392&amp;"_"&amp;C1392,PRECIOS_COMPLEMENTOS!$H$4:$H$17,0),IF(OR(G1392="S",G1392="20cm"),1,IF(OR(G1392="M",G1392="25cm"),2,IF(OR(G1392="L",G1392="30cm"),3,IF(OR(G1392="XL",G1392="35cm"),4,0))))),0)</f>
        <v>0.3</v>
      </c>
      <c r="J1392" s="103">
        <f t="shared" si="1"/>
        <v>0</v>
      </c>
      <c r="K1392" s="104" t="str">
        <f>IF(H1392&lt;0,"ERROR",IF(H1392=0,"",IF(H1392&lt;CONFIG!$B$4,"CRÍTICO",IF(H1392&lt;CONFIG!$B$5,"BAJO","OK"))))</f>
        <v/>
      </c>
    </row>
    <row r="1393" ht="15.75" hidden="1" customHeight="1">
      <c r="A1393" s="90" t="str">
        <f>IF(CLIENTES!A8="","",CLIENTES!A8)</f>
        <v/>
      </c>
      <c r="B1393" s="90" t="s">
        <v>324</v>
      </c>
      <c r="C1393" s="91" t="s">
        <v>322</v>
      </c>
      <c r="D1393" s="109" t="s">
        <v>353</v>
      </c>
      <c r="E1393" s="67" t="str">
        <f>COLORES!A18</f>
        <v>P. Rosa</v>
      </c>
      <c r="F1393" s="67" t="str">
        <f>COLORES!B18</f>
        <v>CLARO</v>
      </c>
      <c r="G1393" s="90" t="s">
        <v>377</v>
      </c>
      <c r="H1393" s="100">
        <f>IFERROR(SUMIFS(MOVIMIENTOS_COMPLEMENTOS!$I$4:$I$803,MOVIMIENTOS_COMPLEMENTOS!$C$4:$C$803,A1393,MOVIMIENTOS_COMPLEMENTOS!$D$4:$D$803,B1393,MOVIMIENTOS_COMPLEMENTOS!$E$4:$E$803,C1393,MOVIMIENTOS_COMPLEMENTOS!$G$4:$G$803,E1393,MOVIMIENTOS_COMPLEMENTOS!$H$4:$H$803,G1393,MOVIMIENTOS_COMPLEMENTOS!$B$4:$B$803,"INGRESO")+SUMIFS(MOVIMIENTOS_COMPLEMENTOS!$I$4:$I$803,MOVIMIENTOS_COMPLEMENTOS!$C$4:$C$803,A1393,MOVIMIENTOS_COMPLEMENTOS!$D$4:$D$803,B1393,MOVIMIENTOS_COMPLEMENTOS!$E$4:$E$803,C1393,MOVIMIENTOS_COMPLEMENTOS!$G$4:$G$803,E1393,MOVIMIENTOS_COMPLEMENTOS!$H$4:$H$803,G1393,MOVIMIENTOS_COMPLEMENTOS!$B$4:$B$803,"DE CORTE")-SUMIFS(MOVIMIENTOS_COMPLEMENTOS!$I$4:$I$803,MOVIMIENTOS_COMPLEMENTOS!$C$4:$C$803,A1393,MOVIMIENTOS_COMPLEMENTOS!$D$4:$D$803,B1393,MOVIMIENTOS_COMPLEMENTOS!$E$4:$E$803,C1393,MOVIMIENTOS_COMPLEMENTOS!$G$4:$G$803,E1393,MOVIMIENTOS_COMPLEMENTOS!$H$4:$H$803,G1393,MOVIMIENTOS_COMPLEMENTOS!$B$4:$B$803,"SALIDA"),0)</f>
        <v>0</v>
      </c>
      <c r="I1393" s="102">
        <f t="array" ref="I1393">IFERROR(INDEX(PRECIOS_COMPLEMENTOS!$C$4:$F$17,MATCH(B1393&amp;"_"&amp;C1393,PRECIOS_COMPLEMENTOS!$H$4:$H$17,0),IF(OR(G1393="S",G1393="20cm"),1,IF(OR(G1393="M",G1393="25cm"),2,IF(OR(G1393="L",G1393="30cm"),3,IF(OR(G1393="XL",G1393="35cm"),4,0))))),0)</f>
        <v>0.35</v>
      </c>
      <c r="J1393" s="103">
        <f t="shared" si="1"/>
        <v>0</v>
      </c>
      <c r="K1393" s="104" t="str">
        <f>IF(H1393&lt;0,"ERROR",IF(H1393=0,"",IF(H1393&lt;CONFIG!$B$4,"CRÍTICO",IF(H1393&lt;CONFIG!$B$5,"BAJO","OK"))))</f>
        <v/>
      </c>
    </row>
    <row r="1394" ht="15.75" hidden="1" customHeight="1">
      <c r="A1394" s="90" t="str">
        <f>IF(CLIENTES!A8="","",CLIENTES!A8)</f>
        <v/>
      </c>
      <c r="B1394" s="90" t="s">
        <v>324</v>
      </c>
      <c r="C1394" s="91" t="s">
        <v>322</v>
      </c>
      <c r="D1394" s="109" t="s">
        <v>353</v>
      </c>
      <c r="E1394" s="67" t="str">
        <f>COLORES!A19</f>
        <v/>
      </c>
      <c r="F1394" s="67" t="str">
        <f>COLORES!B19</f>
        <v/>
      </c>
      <c r="G1394" s="90" t="s">
        <v>376</v>
      </c>
      <c r="H1394" s="100">
        <f>IFERROR(SUMIFS(MOVIMIENTOS_COMPLEMENTOS!$I$4:$I$803,MOVIMIENTOS_COMPLEMENTOS!$C$4:$C$803,A1394,MOVIMIENTOS_COMPLEMENTOS!$D$4:$D$803,B1394,MOVIMIENTOS_COMPLEMENTOS!$E$4:$E$803,C1394,MOVIMIENTOS_COMPLEMENTOS!$G$4:$G$803,E1394,MOVIMIENTOS_COMPLEMENTOS!$H$4:$H$803,G1394,MOVIMIENTOS_COMPLEMENTOS!$B$4:$B$803,"INGRESO")+SUMIFS(MOVIMIENTOS_COMPLEMENTOS!$I$4:$I$803,MOVIMIENTOS_COMPLEMENTOS!$C$4:$C$803,A1394,MOVIMIENTOS_COMPLEMENTOS!$D$4:$D$803,B1394,MOVIMIENTOS_COMPLEMENTOS!$E$4:$E$803,C1394,MOVIMIENTOS_COMPLEMENTOS!$G$4:$G$803,E1394,MOVIMIENTOS_COMPLEMENTOS!$H$4:$H$803,G1394,MOVIMIENTOS_COMPLEMENTOS!$B$4:$B$803,"DE CORTE")-SUMIFS(MOVIMIENTOS_COMPLEMENTOS!$I$4:$I$803,MOVIMIENTOS_COMPLEMENTOS!$C$4:$C$803,A1394,MOVIMIENTOS_COMPLEMENTOS!$D$4:$D$803,B1394,MOVIMIENTOS_COMPLEMENTOS!$E$4:$E$803,C1394,MOVIMIENTOS_COMPLEMENTOS!$G$4:$G$803,E1394,MOVIMIENTOS_COMPLEMENTOS!$H$4:$H$803,G1394,MOVIMIENTOS_COMPLEMENTOS!$B$4:$B$803,"SALIDA"),0)</f>
        <v>0</v>
      </c>
      <c r="I1394" s="102">
        <f t="array" ref="I1394">IFERROR(INDEX(PRECIOS_COMPLEMENTOS!$C$4:$F$17,MATCH(B1394&amp;"_"&amp;C1394,PRECIOS_COMPLEMENTOS!$H$4:$H$17,0),IF(OR(G1394="S",G1394="20cm"),1,IF(OR(G1394="M",G1394="25cm"),2,IF(OR(G1394="L",G1394="30cm"),3,IF(OR(G1394="XL",G1394="35cm"),4,0))))),0)</f>
        <v>0.3</v>
      </c>
      <c r="J1394" s="103">
        <f t="shared" si="1"/>
        <v>0</v>
      </c>
      <c r="K1394" s="104" t="str">
        <f>IF(H1394&lt;0,"ERROR",IF(H1394=0,"",IF(H1394&lt;CONFIG!$B$4,"CRÍTICO",IF(H1394&lt;CONFIG!$B$5,"BAJO","OK"))))</f>
        <v/>
      </c>
    </row>
    <row r="1395" ht="15.75" hidden="1" customHeight="1">
      <c r="A1395" s="90" t="str">
        <f>IF(CLIENTES!A8="","",CLIENTES!A8)</f>
        <v/>
      </c>
      <c r="B1395" s="90" t="s">
        <v>324</v>
      </c>
      <c r="C1395" s="91" t="s">
        <v>322</v>
      </c>
      <c r="D1395" s="109" t="s">
        <v>353</v>
      </c>
      <c r="E1395" s="67" t="str">
        <f>COLORES!A19</f>
        <v/>
      </c>
      <c r="F1395" s="67" t="str">
        <f>COLORES!B19</f>
        <v/>
      </c>
      <c r="G1395" s="90" t="s">
        <v>377</v>
      </c>
      <c r="H1395" s="100">
        <f>IFERROR(SUMIFS(MOVIMIENTOS_COMPLEMENTOS!$I$4:$I$803,MOVIMIENTOS_COMPLEMENTOS!$C$4:$C$803,A1395,MOVIMIENTOS_COMPLEMENTOS!$D$4:$D$803,B1395,MOVIMIENTOS_COMPLEMENTOS!$E$4:$E$803,C1395,MOVIMIENTOS_COMPLEMENTOS!$G$4:$G$803,E1395,MOVIMIENTOS_COMPLEMENTOS!$H$4:$H$803,G1395,MOVIMIENTOS_COMPLEMENTOS!$B$4:$B$803,"INGRESO")+SUMIFS(MOVIMIENTOS_COMPLEMENTOS!$I$4:$I$803,MOVIMIENTOS_COMPLEMENTOS!$C$4:$C$803,A1395,MOVIMIENTOS_COMPLEMENTOS!$D$4:$D$803,B1395,MOVIMIENTOS_COMPLEMENTOS!$E$4:$E$803,C1395,MOVIMIENTOS_COMPLEMENTOS!$G$4:$G$803,E1395,MOVIMIENTOS_COMPLEMENTOS!$H$4:$H$803,G1395,MOVIMIENTOS_COMPLEMENTOS!$B$4:$B$803,"DE CORTE")-SUMIFS(MOVIMIENTOS_COMPLEMENTOS!$I$4:$I$803,MOVIMIENTOS_COMPLEMENTOS!$C$4:$C$803,A1395,MOVIMIENTOS_COMPLEMENTOS!$D$4:$D$803,B1395,MOVIMIENTOS_COMPLEMENTOS!$E$4:$E$803,C1395,MOVIMIENTOS_COMPLEMENTOS!$G$4:$G$803,E1395,MOVIMIENTOS_COMPLEMENTOS!$H$4:$H$803,G1395,MOVIMIENTOS_COMPLEMENTOS!$B$4:$B$803,"SALIDA"),0)</f>
        <v>0</v>
      </c>
      <c r="I1395" s="102">
        <f t="array" ref="I1395">IFERROR(INDEX(PRECIOS_COMPLEMENTOS!$C$4:$F$17,MATCH(B1395&amp;"_"&amp;C1395,PRECIOS_COMPLEMENTOS!$H$4:$H$17,0),IF(OR(G1395="S",G1395="20cm"),1,IF(OR(G1395="M",G1395="25cm"),2,IF(OR(G1395="L",G1395="30cm"),3,IF(OR(G1395="XL",G1395="35cm"),4,0))))),0)</f>
        <v>0.35</v>
      </c>
      <c r="J1395" s="103">
        <f t="shared" si="1"/>
        <v>0</v>
      </c>
      <c r="K1395" s="104" t="str">
        <f>IF(H1395&lt;0,"ERROR",IF(H1395=0,"",IF(H1395&lt;CONFIG!$B$4,"CRÍTICO",IF(H1395&lt;CONFIG!$B$5,"BAJO","OK"))))</f>
        <v/>
      </c>
    </row>
    <row r="1396" ht="15.75" hidden="1" customHeight="1">
      <c r="A1396" s="90" t="str">
        <f>IF(CLIENTES!A8="","",CLIENTES!A8)</f>
        <v/>
      </c>
      <c r="B1396" s="90" t="s">
        <v>324</v>
      </c>
      <c r="C1396" s="91" t="s">
        <v>322</v>
      </c>
      <c r="D1396" s="109" t="s">
        <v>353</v>
      </c>
      <c r="E1396" s="67" t="str">
        <f>COLORES!A20</f>
        <v/>
      </c>
      <c r="F1396" s="67" t="str">
        <f>COLORES!B20</f>
        <v/>
      </c>
      <c r="G1396" s="90" t="s">
        <v>376</v>
      </c>
      <c r="H1396" s="100">
        <f>IFERROR(SUMIFS(MOVIMIENTOS_COMPLEMENTOS!$I$4:$I$803,MOVIMIENTOS_COMPLEMENTOS!$C$4:$C$803,A1396,MOVIMIENTOS_COMPLEMENTOS!$D$4:$D$803,B1396,MOVIMIENTOS_COMPLEMENTOS!$E$4:$E$803,C1396,MOVIMIENTOS_COMPLEMENTOS!$G$4:$G$803,E1396,MOVIMIENTOS_COMPLEMENTOS!$H$4:$H$803,G1396,MOVIMIENTOS_COMPLEMENTOS!$B$4:$B$803,"INGRESO")+SUMIFS(MOVIMIENTOS_COMPLEMENTOS!$I$4:$I$803,MOVIMIENTOS_COMPLEMENTOS!$C$4:$C$803,A1396,MOVIMIENTOS_COMPLEMENTOS!$D$4:$D$803,B1396,MOVIMIENTOS_COMPLEMENTOS!$E$4:$E$803,C1396,MOVIMIENTOS_COMPLEMENTOS!$G$4:$G$803,E1396,MOVIMIENTOS_COMPLEMENTOS!$H$4:$H$803,G1396,MOVIMIENTOS_COMPLEMENTOS!$B$4:$B$803,"DE CORTE")-SUMIFS(MOVIMIENTOS_COMPLEMENTOS!$I$4:$I$803,MOVIMIENTOS_COMPLEMENTOS!$C$4:$C$803,A1396,MOVIMIENTOS_COMPLEMENTOS!$D$4:$D$803,B1396,MOVIMIENTOS_COMPLEMENTOS!$E$4:$E$803,C1396,MOVIMIENTOS_COMPLEMENTOS!$G$4:$G$803,E1396,MOVIMIENTOS_COMPLEMENTOS!$H$4:$H$803,G1396,MOVIMIENTOS_COMPLEMENTOS!$B$4:$B$803,"SALIDA"),0)</f>
        <v>0</v>
      </c>
      <c r="I1396" s="102">
        <f t="array" ref="I1396">IFERROR(INDEX(PRECIOS_COMPLEMENTOS!$C$4:$F$17,MATCH(B1396&amp;"_"&amp;C1396,PRECIOS_COMPLEMENTOS!$H$4:$H$17,0),IF(OR(G1396="S",G1396="20cm"),1,IF(OR(G1396="M",G1396="25cm"),2,IF(OR(G1396="L",G1396="30cm"),3,IF(OR(G1396="XL",G1396="35cm"),4,0))))),0)</f>
        <v>0.3</v>
      </c>
      <c r="J1396" s="103">
        <f t="shared" si="1"/>
        <v>0</v>
      </c>
      <c r="K1396" s="104" t="str">
        <f>IF(H1396&lt;0,"ERROR",IF(H1396=0,"",IF(H1396&lt;CONFIG!$B$4,"CRÍTICO",IF(H1396&lt;CONFIG!$B$5,"BAJO","OK"))))</f>
        <v/>
      </c>
    </row>
    <row r="1397" ht="15.75" hidden="1" customHeight="1">
      <c r="A1397" s="90" t="str">
        <f>IF(CLIENTES!A8="","",CLIENTES!A8)</f>
        <v/>
      </c>
      <c r="B1397" s="90" t="s">
        <v>324</v>
      </c>
      <c r="C1397" s="91" t="s">
        <v>322</v>
      </c>
      <c r="D1397" s="109" t="s">
        <v>353</v>
      </c>
      <c r="E1397" s="67" t="str">
        <f>COLORES!A20</f>
        <v/>
      </c>
      <c r="F1397" s="67" t="str">
        <f>COLORES!B20</f>
        <v/>
      </c>
      <c r="G1397" s="90" t="s">
        <v>377</v>
      </c>
      <c r="H1397" s="100">
        <f>IFERROR(SUMIFS(MOVIMIENTOS_COMPLEMENTOS!$I$4:$I$803,MOVIMIENTOS_COMPLEMENTOS!$C$4:$C$803,A1397,MOVIMIENTOS_COMPLEMENTOS!$D$4:$D$803,B1397,MOVIMIENTOS_COMPLEMENTOS!$E$4:$E$803,C1397,MOVIMIENTOS_COMPLEMENTOS!$G$4:$G$803,E1397,MOVIMIENTOS_COMPLEMENTOS!$H$4:$H$803,G1397,MOVIMIENTOS_COMPLEMENTOS!$B$4:$B$803,"INGRESO")+SUMIFS(MOVIMIENTOS_COMPLEMENTOS!$I$4:$I$803,MOVIMIENTOS_COMPLEMENTOS!$C$4:$C$803,A1397,MOVIMIENTOS_COMPLEMENTOS!$D$4:$D$803,B1397,MOVIMIENTOS_COMPLEMENTOS!$E$4:$E$803,C1397,MOVIMIENTOS_COMPLEMENTOS!$G$4:$G$803,E1397,MOVIMIENTOS_COMPLEMENTOS!$H$4:$H$803,G1397,MOVIMIENTOS_COMPLEMENTOS!$B$4:$B$803,"DE CORTE")-SUMIFS(MOVIMIENTOS_COMPLEMENTOS!$I$4:$I$803,MOVIMIENTOS_COMPLEMENTOS!$C$4:$C$803,A1397,MOVIMIENTOS_COMPLEMENTOS!$D$4:$D$803,B1397,MOVIMIENTOS_COMPLEMENTOS!$E$4:$E$803,C1397,MOVIMIENTOS_COMPLEMENTOS!$G$4:$G$803,E1397,MOVIMIENTOS_COMPLEMENTOS!$H$4:$H$803,G1397,MOVIMIENTOS_COMPLEMENTOS!$B$4:$B$803,"SALIDA"),0)</f>
        <v>0</v>
      </c>
      <c r="I1397" s="102">
        <f t="array" ref="I1397">IFERROR(INDEX(PRECIOS_COMPLEMENTOS!$C$4:$F$17,MATCH(B1397&amp;"_"&amp;C1397,PRECIOS_COMPLEMENTOS!$H$4:$H$17,0),IF(OR(G1397="S",G1397="20cm"),1,IF(OR(G1397="M",G1397="25cm"),2,IF(OR(G1397="L",G1397="30cm"),3,IF(OR(G1397="XL",G1397="35cm"),4,0))))),0)</f>
        <v>0.35</v>
      </c>
      <c r="J1397" s="103">
        <f t="shared" si="1"/>
        <v>0</v>
      </c>
      <c r="K1397" s="104" t="str">
        <f>IF(H1397&lt;0,"ERROR",IF(H1397=0,"",IF(H1397&lt;CONFIG!$B$4,"CRÍTICO",IF(H1397&lt;CONFIG!$B$5,"BAJO","OK"))))</f>
        <v/>
      </c>
    </row>
    <row r="1398" ht="15.75" hidden="1" customHeight="1">
      <c r="A1398" s="90" t="str">
        <f>IF(CLIENTES!A8="","",CLIENTES!A8)</f>
        <v/>
      </c>
      <c r="B1398" s="90" t="s">
        <v>324</v>
      </c>
      <c r="C1398" s="91" t="s">
        <v>322</v>
      </c>
      <c r="D1398" s="109" t="s">
        <v>353</v>
      </c>
      <c r="E1398" s="67" t="str">
        <f>COLORES!A21</f>
        <v/>
      </c>
      <c r="F1398" s="67" t="str">
        <f>COLORES!B21</f>
        <v/>
      </c>
      <c r="G1398" s="90" t="s">
        <v>376</v>
      </c>
      <c r="H1398" s="100">
        <f>IFERROR(SUMIFS(MOVIMIENTOS_COMPLEMENTOS!$I$4:$I$803,MOVIMIENTOS_COMPLEMENTOS!$C$4:$C$803,A1398,MOVIMIENTOS_COMPLEMENTOS!$D$4:$D$803,B1398,MOVIMIENTOS_COMPLEMENTOS!$E$4:$E$803,C1398,MOVIMIENTOS_COMPLEMENTOS!$G$4:$G$803,E1398,MOVIMIENTOS_COMPLEMENTOS!$H$4:$H$803,G1398,MOVIMIENTOS_COMPLEMENTOS!$B$4:$B$803,"INGRESO")+SUMIFS(MOVIMIENTOS_COMPLEMENTOS!$I$4:$I$803,MOVIMIENTOS_COMPLEMENTOS!$C$4:$C$803,A1398,MOVIMIENTOS_COMPLEMENTOS!$D$4:$D$803,B1398,MOVIMIENTOS_COMPLEMENTOS!$E$4:$E$803,C1398,MOVIMIENTOS_COMPLEMENTOS!$G$4:$G$803,E1398,MOVIMIENTOS_COMPLEMENTOS!$H$4:$H$803,G1398,MOVIMIENTOS_COMPLEMENTOS!$B$4:$B$803,"DE CORTE")-SUMIFS(MOVIMIENTOS_COMPLEMENTOS!$I$4:$I$803,MOVIMIENTOS_COMPLEMENTOS!$C$4:$C$803,A1398,MOVIMIENTOS_COMPLEMENTOS!$D$4:$D$803,B1398,MOVIMIENTOS_COMPLEMENTOS!$E$4:$E$803,C1398,MOVIMIENTOS_COMPLEMENTOS!$G$4:$G$803,E1398,MOVIMIENTOS_COMPLEMENTOS!$H$4:$H$803,G1398,MOVIMIENTOS_COMPLEMENTOS!$B$4:$B$803,"SALIDA"),0)</f>
        <v>0</v>
      </c>
      <c r="I1398" s="102">
        <f t="array" ref="I1398">IFERROR(INDEX(PRECIOS_COMPLEMENTOS!$C$4:$F$17,MATCH(B1398&amp;"_"&amp;C1398,PRECIOS_COMPLEMENTOS!$H$4:$H$17,0),IF(OR(G1398="S",G1398="20cm"),1,IF(OR(G1398="M",G1398="25cm"),2,IF(OR(G1398="L",G1398="30cm"),3,IF(OR(G1398="XL",G1398="35cm"),4,0))))),0)</f>
        <v>0.3</v>
      </c>
      <c r="J1398" s="103">
        <f t="shared" si="1"/>
        <v>0</v>
      </c>
      <c r="K1398" s="104" t="str">
        <f>IF(H1398&lt;0,"ERROR",IF(H1398=0,"",IF(H1398&lt;CONFIG!$B$4,"CRÍTICO",IF(H1398&lt;CONFIG!$B$5,"BAJO","OK"))))</f>
        <v/>
      </c>
    </row>
    <row r="1399" ht="15.75" hidden="1" customHeight="1">
      <c r="A1399" s="90" t="str">
        <f>IF(CLIENTES!A8="","",CLIENTES!A8)</f>
        <v/>
      </c>
      <c r="B1399" s="90" t="s">
        <v>324</v>
      </c>
      <c r="C1399" s="91" t="s">
        <v>322</v>
      </c>
      <c r="D1399" s="109" t="s">
        <v>353</v>
      </c>
      <c r="E1399" s="67" t="str">
        <f>COLORES!A21</f>
        <v/>
      </c>
      <c r="F1399" s="67" t="str">
        <f>COLORES!B21</f>
        <v/>
      </c>
      <c r="G1399" s="90" t="s">
        <v>377</v>
      </c>
      <c r="H1399" s="100">
        <f>IFERROR(SUMIFS(MOVIMIENTOS_COMPLEMENTOS!$I$4:$I$803,MOVIMIENTOS_COMPLEMENTOS!$C$4:$C$803,A1399,MOVIMIENTOS_COMPLEMENTOS!$D$4:$D$803,B1399,MOVIMIENTOS_COMPLEMENTOS!$E$4:$E$803,C1399,MOVIMIENTOS_COMPLEMENTOS!$G$4:$G$803,E1399,MOVIMIENTOS_COMPLEMENTOS!$H$4:$H$803,G1399,MOVIMIENTOS_COMPLEMENTOS!$B$4:$B$803,"INGRESO")+SUMIFS(MOVIMIENTOS_COMPLEMENTOS!$I$4:$I$803,MOVIMIENTOS_COMPLEMENTOS!$C$4:$C$803,A1399,MOVIMIENTOS_COMPLEMENTOS!$D$4:$D$803,B1399,MOVIMIENTOS_COMPLEMENTOS!$E$4:$E$803,C1399,MOVIMIENTOS_COMPLEMENTOS!$G$4:$G$803,E1399,MOVIMIENTOS_COMPLEMENTOS!$H$4:$H$803,G1399,MOVIMIENTOS_COMPLEMENTOS!$B$4:$B$803,"DE CORTE")-SUMIFS(MOVIMIENTOS_COMPLEMENTOS!$I$4:$I$803,MOVIMIENTOS_COMPLEMENTOS!$C$4:$C$803,A1399,MOVIMIENTOS_COMPLEMENTOS!$D$4:$D$803,B1399,MOVIMIENTOS_COMPLEMENTOS!$E$4:$E$803,C1399,MOVIMIENTOS_COMPLEMENTOS!$G$4:$G$803,E1399,MOVIMIENTOS_COMPLEMENTOS!$H$4:$H$803,G1399,MOVIMIENTOS_COMPLEMENTOS!$B$4:$B$803,"SALIDA"),0)</f>
        <v>0</v>
      </c>
      <c r="I1399" s="102">
        <f t="array" ref="I1399">IFERROR(INDEX(PRECIOS_COMPLEMENTOS!$C$4:$F$17,MATCH(B1399&amp;"_"&amp;C1399,PRECIOS_COMPLEMENTOS!$H$4:$H$17,0),IF(OR(G1399="S",G1399="20cm"),1,IF(OR(G1399="M",G1399="25cm"),2,IF(OR(G1399="L",G1399="30cm"),3,IF(OR(G1399="XL",G1399="35cm"),4,0))))),0)</f>
        <v>0.35</v>
      </c>
      <c r="J1399" s="103">
        <f t="shared" si="1"/>
        <v>0</v>
      </c>
      <c r="K1399" s="104" t="str">
        <f>IF(H1399&lt;0,"ERROR",IF(H1399=0,"",IF(H1399&lt;CONFIG!$B$4,"CRÍTICO",IF(H1399&lt;CONFIG!$B$5,"BAJO","OK"))))</f>
        <v/>
      </c>
    </row>
    <row r="1400" ht="15.75" hidden="1" customHeight="1">
      <c r="A1400" s="90" t="str">
        <f>IF(CLIENTES!A8="","",CLIENTES!A8)</f>
        <v/>
      </c>
      <c r="B1400" s="90" t="s">
        <v>324</v>
      </c>
      <c r="C1400" s="91" t="s">
        <v>322</v>
      </c>
      <c r="D1400" s="109" t="s">
        <v>353</v>
      </c>
      <c r="E1400" s="67" t="str">
        <f>COLORES!A22</f>
        <v/>
      </c>
      <c r="F1400" s="67" t="str">
        <f>COLORES!B22</f>
        <v/>
      </c>
      <c r="G1400" s="90" t="s">
        <v>376</v>
      </c>
      <c r="H1400" s="100">
        <f>IFERROR(SUMIFS(MOVIMIENTOS_COMPLEMENTOS!$I$4:$I$803,MOVIMIENTOS_COMPLEMENTOS!$C$4:$C$803,A1400,MOVIMIENTOS_COMPLEMENTOS!$D$4:$D$803,B1400,MOVIMIENTOS_COMPLEMENTOS!$E$4:$E$803,C1400,MOVIMIENTOS_COMPLEMENTOS!$G$4:$G$803,E1400,MOVIMIENTOS_COMPLEMENTOS!$H$4:$H$803,G1400,MOVIMIENTOS_COMPLEMENTOS!$B$4:$B$803,"INGRESO")+SUMIFS(MOVIMIENTOS_COMPLEMENTOS!$I$4:$I$803,MOVIMIENTOS_COMPLEMENTOS!$C$4:$C$803,A1400,MOVIMIENTOS_COMPLEMENTOS!$D$4:$D$803,B1400,MOVIMIENTOS_COMPLEMENTOS!$E$4:$E$803,C1400,MOVIMIENTOS_COMPLEMENTOS!$G$4:$G$803,E1400,MOVIMIENTOS_COMPLEMENTOS!$H$4:$H$803,G1400,MOVIMIENTOS_COMPLEMENTOS!$B$4:$B$803,"DE CORTE")-SUMIFS(MOVIMIENTOS_COMPLEMENTOS!$I$4:$I$803,MOVIMIENTOS_COMPLEMENTOS!$C$4:$C$803,A1400,MOVIMIENTOS_COMPLEMENTOS!$D$4:$D$803,B1400,MOVIMIENTOS_COMPLEMENTOS!$E$4:$E$803,C1400,MOVIMIENTOS_COMPLEMENTOS!$G$4:$G$803,E1400,MOVIMIENTOS_COMPLEMENTOS!$H$4:$H$803,G1400,MOVIMIENTOS_COMPLEMENTOS!$B$4:$B$803,"SALIDA"),0)</f>
        <v>0</v>
      </c>
      <c r="I1400" s="102">
        <f t="array" ref="I1400">IFERROR(INDEX(PRECIOS_COMPLEMENTOS!$C$4:$F$17,MATCH(B1400&amp;"_"&amp;C1400,PRECIOS_COMPLEMENTOS!$H$4:$H$17,0),IF(OR(G1400="S",G1400="20cm"),1,IF(OR(G1400="M",G1400="25cm"),2,IF(OR(G1400="L",G1400="30cm"),3,IF(OR(G1400="XL",G1400="35cm"),4,0))))),0)</f>
        <v>0.3</v>
      </c>
      <c r="J1400" s="103">
        <f t="shared" si="1"/>
        <v>0</v>
      </c>
      <c r="K1400" s="104" t="str">
        <f>IF(H1400&lt;0,"ERROR",IF(H1400=0,"",IF(H1400&lt;CONFIG!$B$4,"CRÍTICO",IF(H1400&lt;CONFIG!$B$5,"BAJO","OK"))))</f>
        <v/>
      </c>
    </row>
    <row r="1401" ht="15.75" hidden="1" customHeight="1">
      <c r="A1401" s="90" t="str">
        <f>IF(CLIENTES!A8="","",CLIENTES!A8)</f>
        <v/>
      </c>
      <c r="B1401" s="90" t="s">
        <v>324</v>
      </c>
      <c r="C1401" s="91" t="s">
        <v>322</v>
      </c>
      <c r="D1401" s="109" t="s">
        <v>353</v>
      </c>
      <c r="E1401" s="67" t="str">
        <f>COLORES!A22</f>
        <v/>
      </c>
      <c r="F1401" s="67" t="str">
        <f>COLORES!B22</f>
        <v/>
      </c>
      <c r="G1401" s="90" t="s">
        <v>377</v>
      </c>
      <c r="H1401" s="100">
        <f>IFERROR(SUMIFS(MOVIMIENTOS_COMPLEMENTOS!$I$4:$I$803,MOVIMIENTOS_COMPLEMENTOS!$C$4:$C$803,A1401,MOVIMIENTOS_COMPLEMENTOS!$D$4:$D$803,B1401,MOVIMIENTOS_COMPLEMENTOS!$E$4:$E$803,C1401,MOVIMIENTOS_COMPLEMENTOS!$G$4:$G$803,E1401,MOVIMIENTOS_COMPLEMENTOS!$H$4:$H$803,G1401,MOVIMIENTOS_COMPLEMENTOS!$B$4:$B$803,"INGRESO")+SUMIFS(MOVIMIENTOS_COMPLEMENTOS!$I$4:$I$803,MOVIMIENTOS_COMPLEMENTOS!$C$4:$C$803,A1401,MOVIMIENTOS_COMPLEMENTOS!$D$4:$D$803,B1401,MOVIMIENTOS_COMPLEMENTOS!$E$4:$E$803,C1401,MOVIMIENTOS_COMPLEMENTOS!$G$4:$G$803,E1401,MOVIMIENTOS_COMPLEMENTOS!$H$4:$H$803,G1401,MOVIMIENTOS_COMPLEMENTOS!$B$4:$B$803,"DE CORTE")-SUMIFS(MOVIMIENTOS_COMPLEMENTOS!$I$4:$I$803,MOVIMIENTOS_COMPLEMENTOS!$C$4:$C$803,A1401,MOVIMIENTOS_COMPLEMENTOS!$D$4:$D$803,B1401,MOVIMIENTOS_COMPLEMENTOS!$E$4:$E$803,C1401,MOVIMIENTOS_COMPLEMENTOS!$G$4:$G$803,E1401,MOVIMIENTOS_COMPLEMENTOS!$H$4:$H$803,G1401,MOVIMIENTOS_COMPLEMENTOS!$B$4:$B$803,"SALIDA"),0)</f>
        <v>0</v>
      </c>
      <c r="I1401" s="102">
        <f t="array" ref="I1401">IFERROR(INDEX(PRECIOS_COMPLEMENTOS!$C$4:$F$17,MATCH(B1401&amp;"_"&amp;C1401,PRECIOS_COMPLEMENTOS!$H$4:$H$17,0),IF(OR(G1401="S",G1401="20cm"),1,IF(OR(G1401="M",G1401="25cm"),2,IF(OR(G1401="L",G1401="30cm"),3,IF(OR(G1401="XL",G1401="35cm"),4,0))))),0)</f>
        <v>0.35</v>
      </c>
      <c r="J1401" s="103">
        <f t="shared" si="1"/>
        <v>0</v>
      </c>
      <c r="K1401" s="104" t="str">
        <f>IF(H1401&lt;0,"ERROR",IF(H1401=0,"",IF(H1401&lt;CONFIG!$B$4,"CRÍTICO",IF(H1401&lt;CONFIG!$B$5,"BAJO","OK"))))</f>
        <v/>
      </c>
    </row>
    <row r="1402" ht="15.75" hidden="1" customHeight="1">
      <c r="A1402" s="90" t="str">
        <f>IF(CLIENTES!A8="","",CLIENTES!A8)</f>
        <v/>
      </c>
      <c r="B1402" s="90" t="s">
        <v>324</v>
      </c>
      <c r="C1402" s="91" t="s">
        <v>322</v>
      </c>
      <c r="D1402" s="109" t="s">
        <v>353</v>
      </c>
      <c r="E1402" s="67" t="str">
        <f>COLORES!A23</f>
        <v/>
      </c>
      <c r="F1402" s="67" t="str">
        <f>COLORES!B23</f>
        <v/>
      </c>
      <c r="G1402" s="90" t="s">
        <v>376</v>
      </c>
      <c r="H1402" s="100">
        <f>IFERROR(SUMIFS(MOVIMIENTOS_COMPLEMENTOS!$I$4:$I$803,MOVIMIENTOS_COMPLEMENTOS!$C$4:$C$803,A1402,MOVIMIENTOS_COMPLEMENTOS!$D$4:$D$803,B1402,MOVIMIENTOS_COMPLEMENTOS!$E$4:$E$803,C1402,MOVIMIENTOS_COMPLEMENTOS!$G$4:$G$803,E1402,MOVIMIENTOS_COMPLEMENTOS!$H$4:$H$803,G1402,MOVIMIENTOS_COMPLEMENTOS!$B$4:$B$803,"INGRESO")+SUMIFS(MOVIMIENTOS_COMPLEMENTOS!$I$4:$I$803,MOVIMIENTOS_COMPLEMENTOS!$C$4:$C$803,A1402,MOVIMIENTOS_COMPLEMENTOS!$D$4:$D$803,B1402,MOVIMIENTOS_COMPLEMENTOS!$E$4:$E$803,C1402,MOVIMIENTOS_COMPLEMENTOS!$G$4:$G$803,E1402,MOVIMIENTOS_COMPLEMENTOS!$H$4:$H$803,G1402,MOVIMIENTOS_COMPLEMENTOS!$B$4:$B$803,"DE CORTE")-SUMIFS(MOVIMIENTOS_COMPLEMENTOS!$I$4:$I$803,MOVIMIENTOS_COMPLEMENTOS!$C$4:$C$803,A1402,MOVIMIENTOS_COMPLEMENTOS!$D$4:$D$803,B1402,MOVIMIENTOS_COMPLEMENTOS!$E$4:$E$803,C1402,MOVIMIENTOS_COMPLEMENTOS!$G$4:$G$803,E1402,MOVIMIENTOS_COMPLEMENTOS!$H$4:$H$803,G1402,MOVIMIENTOS_COMPLEMENTOS!$B$4:$B$803,"SALIDA"),0)</f>
        <v>0</v>
      </c>
      <c r="I1402" s="102">
        <f t="array" ref="I1402">IFERROR(INDEX(PRECIOS_COMPLEMENTOS!$C$4:$F$17,MATCH(B1402&amp;"_"&amp;C1402,PRECIOS_COMPLEMENTOS!$H$4:$H$17,0),IF(OR(G1402="S",G1402="20cm"),1,IF(OR(G1402="M",G1402="25cm"),2,IF(OR(G1402="L",G1402="30cm"),3,IF(OR(G1402="XL",G1402="35cm"),4,0))))),0)</f>
        <v>0.3</v>
      </c>
      <c r="J1402" s="103">
        <f t="shared" si="1"/>
        <v>0</v>
      </c>
      <c r="K1402" s="104" t="str">
        <f>IF(H1402&lt;0,"ERROR",IF(H1402=0,"",IF(H1402&lt;CONFIG!$B$4,"CRÍTICO",IF(H1402&lt;CONFIG!$B$5,"BAJO","OK"))))</f>
        <v/>
      </c>
    </row>
    <row r="1403" ht="15.75" hidden="1" customHeight="1">
      <c r="A1403" s="90" t="str">
        <f>IF(CLIENTES!A8="","",CLIENTES!A8)</f>
        <v/>
      </c>
      <c r="B1403" s="90" t="s">
        <v>324</v>
      </c>
      <c r="C1403" s="91" t="s">
        <v>322</v>
      </c>
      <c r="D1403" s="109" t="s">
        <v>353</v>
      </c>
      <c r="E1403" s="67" t="str">
        <f>COLORES!A23</f>
        <v/>
      </c>
      <c r="F1403" s="67" t="str">
        <f>COLORES!B23</f>
        <v/>
      </c>
      <c r="G1403" s="90" t="s">
        <v>377</v>
      </c>
      <c r="H1403" s="100">
        <f>IFERROR(SUMIFS(MOVIMIENTOS_COMPLEMENTOS!$I$4:$I$803,MOVIMIENTOS_COMPLEMENTOS!$C$4:$C$803,A1403,MOVIMIENTOS_COMPLEMENTOS!$D$4:$D$803,B1403,MOVIMIENTOS_COMPLEMENTOS!$E$4:$E$803,C1403,MOVIMIENTOS_COMPLEMENTOS!$G$4:$G$803,E1403,MOVIMIENTOS_COMPLEMENTOS!$H$4:$H$803,G1403,MOVIMIENTOS_COMPLEMENTOS!$B$4:$B$803,"INGRESO")+SUMIFS(MOVIMIENTOS_COMPLEMENTOS!$I$4:$I$803,MOVIMIENTOS_COMPLEMENTOS!$C$4:$C$803,A1403,MOVIMIENTOS_COMPLEMENTOS!$D$4:$D$803,B1403,MOVIMIENTOS_COMPLEMENTOS!$E$4:$E$803,C1403,MOVIMIENTOS_COMPLEMENTOS!$G$4:$G$803,E1403,MOVIMIENTOS_COMPLEMENTOS!$H$4:$H$803,G1403,MOVIMIENTOS_COMPLEMENTOS!$B$4:$B$803,"DE CORTE")-SUMIFS(MOVIMIENTOS_COMPLEMENTOS!$I$4:$I$803,MOVIMIENTOS_COMPLEMENTOS!$C$4:$C$803,A1403,MOVIMIENTOS_COMPLEMENTOS!$D$4:$D$803,B1403,MOVIMIENTOS_COMPLEMENTOS!$E$4:$E$803,C1403,MOVIMIENTOS_COMPLEMENTOS!$G$4:$G$803,E1403,MOVIMIENTOS_COMPLEMENTOS!$H$4:$H$803,G1403,MOVIMIENTOS_COMPLEMENTOS!$B$4:$B$803,"SALIDA"),0)</f>
        <v>0</v>
      </c>
      <c r="I1403" s="102">
        <f t="array" ref="I1403">IFERROR(INDEX(PRECIOS_COMPLEMENTOS!$C$4:$F$17,MATCH(B1403&amp;"_"&amp;C1403,PRECIOS_COMPLEMENTOS!$H$4:$H$17,0),IF(OR(G1403="S",G1403="20cm"),1,IF(OR(G1403="M",G1403="25cm"),2,IF(OR(G1403="L",G1403="30cm"),3,IF(OR(G1403="XL",G1403="35cm"),4,0))))),0)</f>
        <v>0.35</v>
      </c>
      <c r="J1403" s="103">
        <f t="shared" si="1"/>
        <v>0</v>
      </c>
      <c r="K1403" s="104" t="str">
        <f>IF(H1403&lt;0,"ERROR",IF(H1403=0,"",IF(H1403&lt;CONFIG!$B$4,"CRÍTICO",IF(H1403&lt;CONFIG!$B$5,"BAJO","OK"))))</f>
        <v/>
      </c>
    </row>
    <row r="1404" ht="15.75" hidden="1" customHeight="1">
      <c r="A1404" s="90" t="str">
        <f>IF(CLIENTES!A9="","",CLIENTES!A9)</f>
        <v/>
      </c>
      <c r="B1404" s="90" t="s">
        <v>324</v>
      </c>
      <c r="C1404" s="91" t="s">
        <v>322</v>
      </c>
      <c r="D1404" s="109" t="s">
        <v>353</v>
      </c>
      <c r="E1404" s="67" t="str">
        <f>COLORES!A4</f>
        <v>Negro</v>
      </c>
      <c r="F1404" s="67" t="str">
        <f>COLORES!B4</f>
        <v>OSCURO</v>
      </c>
      <c r="G1404" s="90" t="s">
        <v>376</v>
      </c>
      <c r="H1404" s="100">
        <f>IFERROR(SUMIFS(MOVIMIENTOS_COMPLEMENTOS!$I$4:$I$803,MOVIMIENTOS_COMPLEMENTOS!$C$4:$C$803,A1404,MOVIMIENTOS_COMPLEMENTOS!$D$4:$D$803,B1404,MOVIMIENTOS_COMPLEMENTOS!$E$4:$E$803,C1404,MOVIMIENTOS_COMPLEMENTOS!$G$4:$G$803,E1404,MOVIMIENTOS_COMPLEMENTOS!$H$4:$H$803,G1404,MOVIMIENTOS_COMPLEMENTOS!$B$4:$B$803,"INGRESO")+SUMIFS(MOVIMIENTOS_COMPLEMENTOS!$I$4:$I$803,MOVIMIENTOS_COMPLEMENTOS!$C$4:$C$803,A1404,MOVIMIENTOS_COMPLEMENTOS!$D$4:$D$803,B1404,MOVIMIENTOS_COMPLEMENTOS!$E$4:$E$803,C1404,MOVIMIENTOS_COMPLEMENTOS!$G$4:$G$803,E1404,MOVIMIENTOS_COMPLEMENTOS!$H$4:$H$803,G1404,MOVIMIENTOS_COMPLEMENTOS!$B$4:$B$803,"DE CORTE")-SUMIFS(MOVIMIENTOS_COMPLEMENTOS!$I$4:$I$803,MOVIMIENTOS_COMPLEMENTOS!$C$4:$C$803,A1404,MOVIMIENTOS_COMPLEMENTOS!$D$4:$D$803,B1404,MOVIMIENTOS_COMPLEMENTOS!$E$4:$E$803,C1404,MOVIMIENTOS_COMPLEMENTOS!$G$4:$G$803,E1404,MOVIMIENTOS_COMPLEMENTOS!$H$4:$H$803,G1404,MOVIMIENTOS_COMPLEMENTOS!$B$4:$B$803,"SALIDA"),0)</f>
        <v>0</v>
      </c>
      <c r="I1404" s="102">
        <f t="array" ref="I1404">IFERROR(INDEX(PRECIOS_COMPLEMENTOS!$C$4:$F$17,MATCH(B1404&amp;"_"&amp;C1404,PRECIOS_COMPLEMENTOS!$H$4:$H$17,0),IF(OR(G1404="S",G1404="20cm"),1,IF(OR(G1404="M",G1404="25cm"),2,IF(OR(G1404="L",G1404="30cm"),3,IF(OR(G1404="XL",G1404="35cm"),4,0))))),0)</f>
        <v>0.3</v>
      </c>
      <c r="J1404" s="103">
        <f t="shared" si="1"/>
        <v>0</v>
      </c>
      <c r="K1404" s="104" t="str">
        <f>IF(H1404&lt;0,"ERROR",IF(H1404=0,"",IF(H1404&lt;CONFIG!$B$4,"CRÍTICO",IF(H1404&lt;CONFIG!$B$5,"BAJO","OK"))))</f>
        <v/>
      </c>
    </row>
    <row r="1405" ht="15.75" hidden="1" customHeight="1">
      <c r="A1405" s="90" t="str">
        <f>IF(CLIENTES!A9="","",CLIENTES!A9)</f>
        <v/>
      </c>
      <c r="B1405" s="90" t="s">
        <v>324</v>
      </c>
      <c r="C1405" s="91" t="s">
        <v>322</v>
      </c>
      <c r="D1405" s="109" t="s">
        <v>353</v>
      </c>
      <c r="E1405" s="67" t="str">
        <f>COLORES!A4</f>
        <v>Negro</v>
      </c>
      <c r="F1405" s="67" t="str">
        <f>COLORES!B4</f>
        <v>OSCURO</v>
      </c>
      <c r="G1405" s="90" t="s">
        <v>377</v>
      </c>
      <c r="H1405" s="100">
        <f>IFERROR(SUMIFS(MOVIMIENTOS_COMPLEMENTOS!$I$4:$I$803,MOVIMIENTOS_COMPLEMENTOS!$C$4:$C$803,A1405,MOVIMIENTOS_COMPLEMENTOS!$D$4:$D$803,B1405,MOVIMIENTOS_COMPLEMENTOS!$E$4:$E$803,C1405,MOVIMIENTOS_COMPLEMENTOS!$G$4:$G$803,E1405,MOVIMIENTOS_COMPLEMENTOS!$H$4:$H$803,G1405,MOVIMIENTOS_COMPLEMENTOS!$B$4:$B$803,"INGRESO")+SUMIFS(MOVIMIENTOS_COMPLEMENTOS!$I$4:$I$803,MOVIMIENTOS_COMPLEMENTOS!$C$4:$C$803,A1405,MOVIMIENTOS_COMPLEMENTOS!$D$4:$D$803,B1405,MOVIMIENTOS_COMPLEMENTOS!$E$4:$E$803,C1405,MOVIMIENTOS_COMPLEMENTOS!$G$4:$G$803,E1405,MOVIMIENTOS_COMPLEMENTOS!$H$4:$H$803,G1405,MOVIMIENTOS_COMPLEMENTOS!$B$4:$B$803,"DE CORTE")-SUMIFS(MOVIMIENTOS_COMPLEMENTOS!$I$4:$I$803,MOVIMIENTOS_COMPLEMENTOS!$C$4:$C$803,A1405,MOVIMIENTOS_COMPLEMENTOS!$D$4:$D$803,B1405,MOVIMIENTOS_COMPLEMENTOS!$E$4:$E$803,C1405,MOVIMIENTOS_COMPLEMENTOS!$G$4:$G$803,E1405,MOVIMIENTOS_COMPLEMENTOS!$H$4:$H$803,G1405,MOVIMIENTOS_COMPLEMENTOS!$B$4:$B$803,"SALIDA"),0)</f>
        <v>0</v>
      </c>
      <c r="I1405" s="102">
        <f t="array" ref="I1405">IFERROR(INDEX(PRECIOS_COMPLEMENTOS!$C$4:$F$17,MATCH(B1405&amp;"_"&amp;C1405,PRECIOS_COMPLEMENTOS!$H$4:$H$17,0),IF(OR(G1405="S",G1405="20cm"),1,IF(OR(G1405="M",G1405="25cm"),2,IF(OR(G1405="L",G1405="30cm"),3,IF(OR(G1405="XL",G1405="35cm"),4,0))))),0)</f>
        <v>0.35</v>
      </c>
      <c r="J1405" s="103">
        <f t="shared" si="1"/>
        <v>0</v>
      </c>
      <c r="K1405" s="104" t="str">
        <f>IF(H1405&lt;0,"ERROR",IF(H1405=0,"",IF(H1405&lt;CONFIG!$B$4,"CRÍTICO",IF(H1405&lt;CONFIG!$B$5,"BAJO","OK"))))</f>
        <v/>
      </c>
    </row>
    <row r="1406" ht="15.75" hidden="1" customHeight="1">
      <c r="A1406" s="90" t="str">
        <f>IF(CLIENTES!A9="","",CLIENTES!A9)</f>
        <v/>
      </c>
      <c r="B1406" s="90" t="s">
        <v>324</v>
      </c>
      <c r="C1406" s="91" t="s">
        <v>322</v>
      </c>
      <c r="D1406" s="109" t="s">
        <v>353</v>
      </c>
      <c r="E1406" s="67" t="str">
        <f>COLORES!A5</f>
        <v>Perla</v>
      </c>
      <c r="F1406" s="67" t="str">
        <f>COLORES!B5</f>
        <v>PPT</v>
      </c>
      <c r="G1406" s="90" t="s">
        <v>376</v>
      </c>
      <c r="H1406" s="100">
        <f>IFERROR(SUMIFS(MOVIMIENTOS_COMPLEMENTOS!$I$4:$I$803,MOVIMIENTOS_COMPLEMENTOS!$C$4:$C$803,A1406,MOVIMIENTOS_COMPLEMENTOS!$D$4:$D$803,B1406,MOVIMIENTOS_COMPLEMENTOS!$E$4:$E$803,C1406,MOVIMIENTOS_COMPLEMENTOS!$G$4:$G$803,E1406,MOVIMIENTOS_COMPLEMENTOS!$H$4:$H$803,G1406,MOVIMIENTOS_COMPLEMENTOS!$B$4:$B$803,"INGRESO")+SUMIFS(MOVIMIENTOS_COMPLEMENTOS!$I$4:$I$803,MOVIMIENTOS_COMPLEMENTOS!$C$4:$C$803,A1406,MOVIMIENTOS_COMPLEMENTOS!$D$4:$D$803,B1406,MOVIMIENTOS_COMPLEMENTOS!$E$4:$E$803,C1406,MOVIMIENTOS_COMPLEMENTOS!$G$4:$G$803,E1406,MOVIMIENTOS_COMPLEMENTOS!$H$4:$H$803,G1406,MOVIMIENTOS_COMPLEMENTOS!$B$4:$B$803,"DE CORTE")-SUMIFS(MOVIMIENTOS_COMPLEMENTOS!$I$4:$I$803,MOVIMIENTOS_COMPLEMENTOS!$C$4:$C$803,A1406,MOVIMIENTOS_COMPLEMENTOS!$D$4:$D$803,B1406,MOVIMIENTOS_COMPLEMENTOS!$E$4:$E$803,C1406,MOVIMIENTOS_COMPLEMENTOS!$G$4:$G$803,E1406,MOVIMIENTOS_COMPLEMENTOS!$H$4:$H$803,G1406,MOVIMIENTOS_COMPLEMENTOS!$B$4:$B$803,"SALIDA"),0)</f>
        <v>0</v>
      </c>
      <c r="I1406" s="102">
        <f t="array" ref="I1406">IFERROR(INDEX(PRECIOS_COMPLEMENTOS!$C$4:$F$17,MATCH(B1406&amp;"_"&amp;C1406,PRECIOS_COMPLEMENTOS!$H$4:$H$17,0),IF(OR(G1406="S",G1406="20cm"),1,IF(OR(G1406="M",G1406="25cm"),2,IF(OR(G1406="L",G1406="30cm"),3,IF(OR(G1406="XL",G1406="35cm"),4,0))))),0)</f>
        <v>0.3</v>
      </c>
      <c r="J1406" s="103">
        <f t="shared" si="1"/>
        <v>0</v>
      </c>
      <c r="K1406" s="104" t="str">
        <f>IF(H1406&lt;0,"ERROR",IF(H1406=0,"",IF(H1406&lt;CONFIG!$B$4,"CRÍTICO",IF(H1406&lt;CONFIG!$B$5,"BAJO","OK"))))</f>
        <v/>
      </c>
    </row>
    <row r="1407" ht="15.75" hidden="1" customHeight="1">
      <c r="A1407" s="90" t="str">
        <f>IF(CLIENTES!A9="","",CLIENTES!A9)</f>
        <v/>
      </c>
      <c r="B1407" s="90" t="s">
        <v>324</v>
      </c>
      <c r="C1407" s="91" t="s">
        <v>322</v>
      </c>
      <c r="D1407" s="109" t="s">
        <v>353</v>
      </c>
      <c r="E1407" s="67" t="str">
        <f>COLORES!A5</f>
        <v>Perla</v>
      </c>
      <c r="F1407" s="67" t="str">
        <f>COLORES!B5</f>
        <v>PPT</v>
      </c>
      <c r="G1407" s="90" t="s">
        <v>377</v>
      </c>
      <c r="H1407" s="100">
        <f>IFERROR(SUMIFS(MOVIMIENTOS_COMPLEMENTOS!$I$4:$I$803,MOVIMIENTOS_COMPLEMENTOS!$C$4:$C$803,A1407,MOVIMIENTOS_COMPLEMENTOS!$D$4:$D$803,B1407,MOVIMIENTOS_COMPLEMENTOS!$E$4:$E$803,C1407,MOVIMIENTOS_COMPLEMENTOS!$G$4:$G$803,E1407,MOVIMIENTOS_COMPLEMENTOS!$H$4:$H$803,G1407,MOVIMIENTOS_COMPLEMENTOS!$B$4:$B$803,"INGRESO")+SUMIFS(MOVIMIENTOS_COMPLEMENTOS!$I$4:$I$803,MOVIMIENTOS_COMPLEMENTOS!$C$4:$C$803,A1407,MOVIMIENTOS_COMPLEMENTOS!$D$4:$D$803,B1407,MOVIMIENTOS_COMPLEMENTOS!$E$4:$E$803,C1407,MOVIMIENTOS_COMPLEMENTOS!$G$4:$G$803,E1407,MOVIMIENTOS_COMPLEMENTOS!$H$4:$H$803,G1407,MOVIMIENTOS_COMPLEMENTOS!$B$4:$B$803,"DE CORTE")-SUMIFS(MOVIMIENTOS_COMPLEMENTOS!$I$4:$I$803,MOVIMIENTOS_COMPLEMENTOS!$C$4:$C$803,A1407,MOVIMIENTOS_COMPLEMENTOS!$D$4:$D$803,B1407,MOVIMIENTOS_COMPLEMENTOS!$E$4:$E$803,C1407,MOVIMIENTOS_COMPLEMENTOS!$G$4:$G$803,E1407,MOVIMIENTOS_COMPLEMENTOS!$H$4:$H$803,G1407,MOVIMIENTOS_COMPLEMENTOS!$B$4:$B$803,"SALIDA"),0)</f>
        <v>0</v>
      </c>
      <c r="I1407" s="102">
        <f t="array" ref="I1407">IFERROR(INDEX(PRECIOS_COMPLEMENTOS!$C$4:$F$17,MATCH(B1407&amp;"_"&amp;C1407,PRECIOS_COMPLEMENTOS!$H$4:$H$17,0),IF(OR(G1407="S",G1407="20cm"),1,IF(OR(G1407="M",G1407="25cm"),2,IF(OR(G1407="L",G1407="30cm"),3,IF(OR(G1407="XL",G1407="35cm"),4,0))))),0)</f>
        <v>0.35</v>
      </c>
      <c r="J1407" s="103">
        <f t="shared" si="1"/>
        <v>0</v>
      </c>
      <c r="K1407" s="104" t="str">
        <f>IF(H1407&lt;0,"ERROR",IF(H1407=0,"",IF(H1407&lt;CONFIG!$B$4,"CRÍTICO",IF(H1407&lt;CONFIG!$B$5,"BAJO","OK"))))</f>
        <v/>
      </c>
    </row>
    <row r="1408" ht="15.75" hidden="1" customHeight="1">
      <c r="A1408" s="90" t="str">
        <f>IF(CLIENTES!A9="","",CLIENTES!A9)</f>
        <v/>
      </c>
      <c r="B1408" s="90" t="s">
        <v>324</v>
      </c>
      <c r="C1408" s="91" t="s">
        <v>322</v>
      </c>
      <c r="D1408" s="109" t="s">
        <v>353</v>
      </c>
      <c r="E1408" s="67" t="str">
        <f>COLORES!A6</f>
        <v>Blanco</v>
      </c>
      <c r="F1408" s="67" t="str">
        <f>COLORES!B6</f>
        <v>PPT</v>
      </c>
      <c r="G1408" s="90" t="s">
        <v>376</v>
      </c>
      <c r="H1408" s="100">
        <f>IFERROR(SUMIFS(MOVIMIENTOS_COMPLEMENTOS!$I$4:$I$803,MOVIMIENTOS_COMPLEMENTOS!$C$4:$C$803,A1408,MOVIMIENTOS_COMPLEMENTOS!$D$4:$D$803,B1408,MOVIMIENTOS_COMPLEMENTOS!$E$4:$E$803,C1408,MOVIMIENTOS_COMPLEMENTOS!$G$4:$G$803,E1408,MOVIMIENTOS_COMPLEMENTOS!$H$4:$H$803,G1408,MOVIMIENTOS_COMPLEMENTOS!$B$4:$B$803,"INGRESO")+SUMIFS(MOVIMIENTOS_COMPLEMENTOS!$I$4:$I$803,MOVIMIENTOS_COMPLEMENTOS!$C$4:$C$803,A1408,MOVIMIENTOS_COMPLEMENTOS!$D$4:$D$803,B1408,MOVIMIENTOS_COMPLEMENTOS!$E$4:$E$803,C1408,MOVIMIENTOS_COMPLEMENTOS!$G$4:$G$803,E1408,MOVIMIENTOS_COMPLEMENTOS!$H$4:$H$803,G1408,MOVIMIENTOS_COMPLEMENTOS!$B$4:$B$803,"DE CORTE")-SUMIFS(MOVIMIENTOS_COMPLEMENTOS!$I$4:$I$803,MOVIMIENTOS_COMPLEMENTOS!$C$4:$C$803,A1408,MOVIMIENTOS_COMPLEMENTOS!$D$4:$D$803,B1408,MOVIMIENTOS_COMPLEMENTOS!$E$4:$E$803,C1408,MOVIMIENTOS_COMPLEMENTOS!$G$4:$G$803,E1408,MOVIMIENTOS_COMPLEMENTOS!$H$4:$H$803,G1408,MOVIMIENTOS_COMPLEMENTOS!$B$4:$B$803,"SALIDA"),0)</f>
        <v>0</v>
      </c>
      <c r="I1408" s="102">
        <f t="array" ref="I1408">IFERROR(INDEX(PRECIOS_COMPLEMENTOS!$C$4:$F$17,MATCH(B1408&amp;"_"&amp;C1408,PRECIOS_COMPLEMENTOS!$H$4:$H$17,0),IF(OR(G1408="S",G1408="20cm"),1,IF(OR(G1408="M",G1408="25cm"),2,IF(OR(G1408="L",G1408="30cm"),3,IF(OR(G1408="XL",G1408="35cm"),4,0))))),0)</f>
        <v>0.3</v>
      </c>
      <c r="J1408" s="103">
        <f t="shared" si="1"/>
        <v>0</v>
      </c>
      <c r="K1408" s="104" t="str">
        <f>IF(H1408&lt;0,"ERROR",IF(H1408=0,"",IF(H1408&lt;CONFIG!$B$4,"CRÍTICO",IF(H1408&lt;CONFIG!$B$5,"BAJO","OK"))))</f>
        <v/>
      </c>
    </row>
    <row r="1409" ht="15.75" hidden="1" customHeight="1">
      <c r="A1409" s="90" t="str">
        <f>IF(CLIENTES!A9="","",CLIENTES!A9)</f>
        <v/>
      </c>
      <c r="B1409" s="90" t="s">
        <v>324</v>
      </c>
      <c r="C1409" s="91" t="s">
        <v>322</v>
      </c>
      <c r="D1409" s="109" t="s">
        <v>353</v>
      </c>
      <c r="E1409" s="67" t="str">
        <f>COLORES!A6</f>
        <v>Blanco</v>
      </c>
      <c r="F1409" s="67" t="str">
        <f>COLORES!B6</f>
        <v>PPT</v>
      </c>
      <c r="G1409" s="90" t="s">
        <v>377</v>
      </c>
      <c r="H1409" s="100">
        <f>IFERROR(SUMIFS(MOVIMIENTOS_COMPLEMENTOS!$I$4:$I$803,MOVIMIENTOS_COMPLEMENTOS!$C$4:$C$803,A1409,MOVIMIENTOS_COMPLEMENTOS!$D$4:$D$803,B1409,MOVIMIENTOS_COMPLEMENTOS!$E$4:$E$803,C1409,MOVIMIENTOS_COMPLEMENTOS!$G$4:$G$803,E1409,MOVIMIENTOS_COMPLEMENTOS!$H$4:$H$803,G1409,MOVIMIENTOS_COMPLEMENTOS!$B$4:$B$803,"INGRESO")+SUMIFS(MOVIMIENTOS_COMPLEMENTOS!$I$4:$I$803,MOVIMIENTOS_COMPLEMENTOS!$C$4:$C$803,A1409,MOVIMIENTOS_COMPLEMENTOS!$D$4:$D$803,B1409,MOVIMIENTOS_COMPLEMENTOS!$E$4:$E$803,C1409,MOVIMIENTOS_COMPLEMENTOS!$G$4:$G$803,E1409,MOVIMIENTOS_COMPLEMENTOS!$H$4:$H$803,G1409,MOVIMIENTOS_COMPLEMENTOS!$B$4:$B$803,"DE CORTE")-SUMIFS(MOVIMIENTOS_COMPLEMENTOS!$I$4:$I$803,MOVIMIENTOS_COMPLEMENTOS!$C$4:$C$803,A1409,MOVIMIENTOS_COMPLEMENTOS!$D$4:$D$803,B1409,MOVIMIENTOS_COMPLEMENTOS!$E$4:$E$803,C1409,MOVIMIENTOS_COMPLEMENTOS!$G$4:$G$803,E1409,MOVIMIENTOS_COMPLEMENTOS!$H$4:$H$803,G1409,MOVIMIENTOS_COMPLEMENTOS!$B$4:$B$803,"SALIDA"),0)</f>
        <v>0</v>
      </c>
      <c r="I1409" s="102">
        <f t="array" ref="I1409">IFERROR(INDEX(PRECIOS_COMPLEMENTOS!$C$4:$F$17,MATCH(B1409&amp;"_"&amp;C1409,PRECIOS_COMPLEMENTOS!$H$4:$H$17,0),IF(OR(G1409="S",G1409="20cm"),1,IF(OR(G1409="M",G1409="25cm"),2,IF(OR(G1409="L",G1409="30cm"),3,IF(OR(G1409="XL",G1409="35cm"),4,0))))),0)</f>
        <v>0.35</v>
      </c>
      <c r="J1409" s="103">
        <f t="shared" si="1"/>
        <v>0</v>
      </c>
      <c r="K1409" s="104" t="str">
        <f>IF(H1409&lt;0,"ERROR",IF(H1409=0,"",IF(H1409&lt;CONFIG!$B$4,"CRÍTICO",IF(H1409&lt;CONFIG!$B$5,"BAJO","OK"))))</f>
        <v/>
      </c>
    </row>
    <row r="1410" ht="15.75" hidden="1" customHeight="1">
      <c r="A1410" s="90" t="str">
        <f>IF(CLIENTES!A9="","",CLIENTES!A9)</f>
        <v/>
      </c>
      <c r="B1410" s="90" t="s">
        <v>324</v>
      </c>
      <c r="C1410" s="91" t="s">
        <v>322</v>
      </c>
      <c r="D1410" s="109" t="s">
        <v>353</v>
      </c>
      <c r="E1410" s="67" t="str">
        <f>COLORES!A7</f>
        <v>Azul</v>
      </c>
      <c r="F1410" s="67" t="str">
        <f>COLORES!B7</f>
        <v>OSCURO</v>
      </c>
      <c r="G1410" s="90" t="s">
        <v>376</v>
      </c>
      <c r="H1410" s="100">
        <f>IFERROR(SUMIFS(MOVIMIENTOS_COMPLEMENTOS!$I$4:$I$803,MOVIMIENTOS_COMPLEMENTOS!$C$4:$C$803,A1410,MOVIMIENTOS_COMPLEMENTOS!$D$4:$D$803,B1410,MOVIMIENTOS_COMPLEMENTOS!$E$4:$E$803,C1410,MOVIMIENTOS_COMPLEMENTOS!$G$4:$G$803,E1410,MOVIMIENTOS_COMPLEMENTOS!$H$4:$H$803,G1410,MOVIMIENTOS_COMPLEMENTOS!$B$4:$B$803,"INGRESO")+SUMIFS(MOVIMIENTOS_COMPLEMENTOS!$I$4:$I$803,MOVIMIENTOS_COMPLEMENTOS!$C$4:$C$803,A1410,MOVIMIENTOS_COMPLEMENTOS!$D$4:$D$803,B1410,MOVIMIENTOS_COMPLEMENTOS!$E$4:$E$803,C1410,MOVIMIENTOS_COMPLEMENTOS!$G$4:$G$803,E1410,MOVIMIENTOS_COMPLEMENTOS!$H$4:$H$803,G1410,MOVIMIENTOS_COMPLEMENTOS!$B$4:$B$803,"DE CORTE")-SUMIFS(MOVIMIENTOS_COMPLEMENTOS!$I$4:$I$803,MOVIMIENTOS_COMPLEMENTOS!$C$4:$C$803,A1410,MOVIMIENTOS_COMPLEMENTOS!$D$4:$D$803,B1410,MOVIMIENTOS_COMPLEMENTOS!$E$4:$E$803,C1410,MOVIMIENTOS_COMPLEMENTOS!$G$4:$G$803,E1410,MOVIMIENTOS_COMPLEMENTOS!$H$4:$H$803,G1410,MOVIMIENTOS_COMPLEMENTOS!$B$4:$B$803,"SALIDA"),0)</f>
        <v>0</v>
      </c>
      <c r="I1410" s="102">
        <f t="array" ref="I1410">IFERROR(INDEX(PRECIOS_COMPLEMENTOS!$C$4:$F$17,MATCH(B1410&amp;"_"&amp;C1410,PRECIOS_COMPLEMENTOS!$H$4:$H$17,0),IF(OR(G1410="S",G1410="20cm"),1,IF(OR(G1410="M",G1410="25cm"),2,IF(OR(G1410="L",G1410="30cm"),3,IF(OR(G1410="XL",G1410="35cm"),4,0))))),0)</f>
        <v>0.3</v>
      </c>
      <c r="J1410" s="103">
        <f t="shared" si="1"/>
        <v>0</v>
      </c>
      <c r="K1410" s="104" t="str">
        <f>IF(H1410&lt;0,"ERROR",IF(H1410=0,"",IF(H1410&lt;CONFIG!$B$4,"CRÍTICO",IF(H1410&lt;CONFIG!$B$5,"BAJO","OK"))))</f>
        <v/>
      </c>
    </row>
    <row r="1411" ht="15.75" hidden="1" customHeight="1">
      <c r="A1411" s="90" t="str">
        <f>IF(CLIENTES!A9="","",CLIENTES!A9)</f>
        <v/>
      </c>
      <c r="B1411" s="90" t="s">
        <v>324</v>
      </c>
      <c r="C1411" s="91" t="s">
        <v>322</v>
      </c>
      <c r="D1411" s="109" t="s">
        <v>353</v>
      </c>
      <c r="E1411" s="67" t="str">
        <f>COLORES!A7</f>
        <v>Azul</v>
      </c>
      <c r="F1411" s="67" t="str">
        <f>COLORES!B7</f>
        <v>OSCURO</v>
      </c>
      <c r="G1411" s="90" t="s">
        <v>377</v>
      </c>
      <c r="H1411" s="100">
        <f>IFERROR(SUMIFS(MOVIMIENTOS_COMPLEMENTOS!$I$4:$I$803,MOVIMIENTOS_COMPLEMENTOS!$C$4:$C$803,A1411,MOVIMIENTOS_COMPLEMENTOS!$D$4:$D$803,B1411,MOVIMIENTOS_COMPLEMENTOS!$E$4:$E$803,C1411,MOVIMIENTOS_COMPLEMENTOS!$G$4:$G$803,E1411,MOVIMIENTOS_COMPLEMENTOS!$H$4:$H$803,G1411,MOVIMIENTOS_COMPLEMENTOS!$B$4:$B$803,"INGRESO")+SUMIFS(MOVIMIENTOS_COMPLEMENTOS!$I$4:$I$803,MOVIMIENTOS_COMPLEMENTOS!$C$4:$C$803,A1411,MOVIMIENTOS_COMPLEMENTOS!$D$4:$D$803,B1411,MOVIMIENTOS_COMPLEMENTOS!$E$4:$E$803,C1411,MOVIMIENTOS_COMPLEMENTOS!$G$4:$G$803,E1411,MOVIMIENTOS_COMPLEMENTOS!$H$4:$H$803,G1411,MOVIMIENTOS_COMPLEMENTOS!$B$4:$B$803,"DE CORTE")-SUMIFS(MOVIMIENTOS_COMPLEMENTOS!$I$4:$I$803,MOVIMIENTOS_COMPLEMENTOS!$C$4:$C$803,A1411,MOVIMIENTOS_COMPLEMENTOS!$D$4:$D$803,B1411,MOVIMIENTOS_COMPLEMENTOS!$E$4:$E$803,C1411,MOVIMIENTOS_COMPLEMENTOS!$G$4:$G$803,E1411,MOVIMIENTOS_COMPLEMENTOS!$H$4:$H$803,G1411,MOVIMIENTOS_COMPLEMENTOS!$B$4:$B$803,"SALIDA"),0)</f>
        <v>0</v>
      </c>
      <c r="I1411" s="102">
        <f t="array" ref="I1411">IFERROR(INDEX(PRECIOS_COMPLEMENTOS!$C$4:$F$17,MATCH(B1411&amp;"_"&amp;C1411,PRECIOS_COMPLEMENTOS!$H$4:$H$17,0),IF(OR(G1411="S",G1411="20cm"),1,IF(OR(G1411="M",G1411="25cm"),2,IF(OR(G1411="L",G1411="30cm"),3,IF(OR(G1411="XL",G1411="35cm"),4,0))))),0)</f>
        <v>0.35</v>
      </c>
      <c r="J1411" s="103">
        <f t="shared" si="1"/>
        <v>0</v>
      </c>
      <c r="K1411" s="104" t="str">
        <f>IF(H1411&lt;0,"ERROR",IF(H1411=0,"",IF(H1411&lt;CONFIG!$B$4,"CRÍTICO",IF(H1411&lt;CONFIG!$B$5,"BAJO","OK"))))</f>
        <v/>
      </c>
    </row>
    <row r="1412" ht="15.75" hidden="1" customHeight="1">
      <c r="A1412" s="90" t="str">
        <f>IF(CLIENTES!A9="","",CLIENTES!A9)</f>
        <v/>
      </c>
      <c r="B1412" s="90" t="s">
        <v>324</v>
      </c>
      <c r="C1412" s="91" t="s">
        <v>322</v>
      </c>
      <c r="D1412" s="109" t="s">
        <v>353</v>
      </c>
      <c r="E1412" s="67" t="str">
        <f>COLORES!A8</f>
        <v>Beige</v>
      </c>
      <c r="F1412" s="67" t="str">
        <f>COLORES!B8</f>
        <v>CLARO</v>
      </c>
      <c r="G1412" s="90" t="s">
        <v>376</v>
      </c>
      <c r="H1412" s="100">
        <f>IFERROR(SUMIFS(MOVIMIENTOS_COMPLEMENTOS!$I$4:$I$803,MOVIMIENTOS_COMPLEMENTOS!$C$4:$C$803,A1412,MOVIMIENTOS_COMPLEMENTOS!$D$4:$D$803,B1412,MOVIMIENTOS_COMPLEMENTOS!$E$4:$E$803,C1412,MOVIMIENTOS_COMPLEMENTOS!$G$4:$G$803,E1412,MOVIMIENTOS_COMPLEMENTOS!$H$4:$H$803,G1412,MOVIMIENTOS_COMPLEMENTOS!$B$4:$B$803,"INGRESO")+SUMIFS(MOVIMIENTOS_COMPLEMENTOS!$I$4:$I$803,MOVIMIENTOS_COMPLEMENTOS!$C$4:$C$803,A1412,MOVIMIENTOS_COMPLEMENTOS!$D$4:$D$803,B1412,MOVIMIENTOS_COMPLEMENTOS!$E$4:$E$803,C1412,MOVIMIENTOS_COMPLEMENTOS!$G$4:$G$803,E1412,MOVIMIENTOS_COMPLEMENTOS!$H$4:$H$803,G1412,MOVIMIENTOS_COMPLEMENTOS!$B$4:$B$803,"DE CORTE")-SUMIFS(MOVIMIENTOS_COMPLEMENTOS!$I$4:$I$803,MOVIMIENTOS_COMPLEMENTOS!$C$4:$C$803,A1412,MOVIMIENTOS_COMPLEMENTOS!$D$4:$D$803,B1412,MOVIMIENTOS_COMPLEMENTOS!$E$4:$E$803,C1412,MOVIMIENTOS_COMPLEMENTOS!$G$4:$G$803,E1412,MOVIMIENTOS_COMPLEMENTOS!$H$4:$H$803,G1412,MOVIMIENTOS_COMPLEMENTOS!$B$4:$B$803,"SALIDA"),0)</f>
        <v>0</v>
      </c>
      <c r="I1412" s="102">
        <f t="array" ref="I1412">IFERROR(INDEX(PRECIOS_COMPLEMENTOS!$C$4:$F$17,MATCH(B1412&amp;"_"&amp;C1412,PRECIOS_COMPLEMENTOS!$H$4:$H$17,0),IF(OR(G1412="S",G1412="20cm"),1,IF(OR(G1412="M",G1412="25cm"),2,IF(OR(G1412="L",G1412="30cm"),3,IF(OR(G1412="XL",G1412="35cm"),4,0))))),0)</f>
        <v>0.3</v>
      </c>
      <c r="J1412" s="103">
        <f t="shared" si="1"/>
        <v>0</v>
      </c>
      <c r="K1412" s="104" t="str">
        <f>IF(H1412&lt;0,"ERROR",IF(H1412=0,"",IF(H1412&lt;CONFIG!$B$4,"CRÍTICO",IF(H1412&lt;CONFIG!$B$5,"BAJO","OK"))))</f>
        <v/>
      </c>
    </row>
    <row r="1413" ht="15.75" hidden="1" customHeight="1">
      <c r="A1413" s="90" t="str">
        <f>IF(CLIENTES!A9="","",CLIENTES!A9)</f>
        <v/>
      </c>
      <c r="B1413" s="90" t="s">
        <v>324</v>
      </c>
      <c r="C1413" s="91" t="s">
        <v>322</v>
      </c>
      <c r="D1413" s="109" t="s">
        <v>353</v>
      </c>
      <c r="E1413" s="67" t="str">
        <f>COLORES!A8</f>
        <v>Beige</v>
      </c>
      <c r="F1413" s="67" t="str">
        <f>COLORES!B8</f>
        <v>CLARO</v>
      </c>
      <c r="G1413" s="90" t="s">
        <v>377</v>
      </c>
      <c r="H1413" s="100">
        <f>IFERROR(SUMIFS(MOVIMIENTOS_COMPLEMENTOS!$I$4:$I$803,MOVIMIENTOS_COMPLEMENTOS!$C$4:$C$803,A1413,MOVIMIENTOS_COMPLEMENTOS!$D$4:$D$803,B1413,MOVIMIENTOS_COMPLEMENTOS!$E$4:$E$803,C1413,MOVIMIENTOS_COMPLEMENTOS!$G$4:$G$803,E1413,MOVIMIENTOS_COMPLEMENTOS!$H$4:$H$803,G1413,MOVIMIENTOS_COMPLEMENTOS!$B$4:$B$803,"INGRESO")+SUMIFS(MOVIMIENTOS_COMPLEMENTOS!$I$4:$I$803,MOVIMIENTOS_COMPLEMENTOS!$C$4:$C$803,A1413,MOVIMIENTOS_COMPLEMENTOS!$D$4:$D$803,B1413,MOVIMIENTOS_COMPLEMENTOS!$E$4:$E$803,C1413,MOVIMIENTOS_COMPLEMENTOS!$G$4:$G$803,E1413,MOVIMIENTOS_COMPLEMENTOS!$H$4:$H$803,G1413,MOVIMIENTOS_COMPLEMENTOS!$B$4:$B$803,"DE CORTE")-SUMIFS(MOVIMIENTOS_COMPLEMENTOS!$I$4:$I$803,MOVIMIENTOS_COMPLEMENTOS!$C$4:$C$803,A1413,MOVIMIENTOS_COMPLEMENTOS!$D$4:$D$803,B1413,MOVIMIENTOS_COMPLEMENTOS!$E$4:$E$803,C1413,MOVIMIENTOS_COMPLEMENTOS!$G$4:$G$803,E1413,MOVIMIENTOS_COMPLEMENTOS!$H$4:$H$803,G1413,MOVIMIENTOS_COMPLEMENTOS!$B$4:$B$803,"SALIDA"),0)</f>
        <v>0</v>
      </c>
      <c r="I1413" s="102">
        <f t="array" ref="I1413">IFERROR(INDEX(PRECIOS_COMPLEMENTOS!$C$4:$F$17,MATCH(B1413&amp;"_"&amp;C1413,PRECIOS_COMPLEMENTOS!$H$4:$H$17,0),IF(OR(G1413="S",G1413="20cm"),1,IF(OR(G1413="M",G1413="25cm"),2,IF(OR(G1413="L",G1413="30cm"),3,IF(OR(G1413="XL",G1413="35cm"),4,0))))),0)</f>
        <v>0.35</v>
      </c>
      <c r="J1413" s="103">
        <f t="shared" si="1"/>
        <v>0</v>
      </c>
      <c r="K1413" s="104" t="str">
        <f>IF(H1413&lt;0,"ERROR",IF(H1413=0,"",IF(H1413&lt;CONFIG!$B$4,"CRÍTICO",IF(H1413&lt;CONFIG!$B$5,"BAJO","OK"))))</f>
        <v/>
      </c>
    </row>
    <row r="1414" ht="15.75" hidden="1" customHeight="1">
      <c r="A1414" s="90" t="str">
        <f>IF(CLIENTES!A9="","",CLIENTES!A9)</f>
        <v/>
      </c>
      <c r="B1414" s="90" t="s">
        <v>324</v>
      </c>
      <c r="C1414" s="91" t="s">
        <v>322</v>
      </c>
      <c r="D1414" s="109" t="s">
        <v>353</v>
      </c>
      <c r="E1414" s="67" t="str">
        <f>COLORES!A9</f>
        <v>Melange</v>
      </c>
      <c r="F1414" s="67" t="str">
        <f>COLORES!B9</f>
        <v>MELANGE</v>
      </c>
      <c r="G1414" s="90" t="s">
        <v>376</v>
      </c>
      <c r="H1414" s="100">
        <f>IFERROR(SUMIFS(MOVIMIENTOS_COMPLEMENTOS!$I$4:$I$803,MOVIMIENTOS_COMPLEMENTOS!$C$4:$C$803,A1414,MOVIMIENTOS_COMPLEMENTOS!$D$4:$D$803,B1414,MOVIMIENTOS_COMPLEMENTOS!$E$4:$E$803,C1414,MOVIMIENTOS_COMPLEMENTOS!$G$4:$G$803,E1414,MOVIMIENTOS_COMPLEMENTOS!$H$4:$H$803,G1414,MOVIMIENTOS_COMPLEMENTOS!$B$4:$B$803,"INGRESO")+SUMIFS(MOVIMIENTOS_COMPLEMENTOS!$I$4:$I$803,MOVIMIENTOS_COMPLEMENTOS!$C$4:$C$803,A1414,MOVIMIENTOS_COMPLEMENTOS!$D$4:$D$803,B1414,MOVIMIENTOS_COMPLEMENTOS!$E$4:$E$803,C1414,MOVIMIENTOS_COMPLEMENTOS!$G$4:$G$803,E1414,MOVIMIENTOS_COMPLEMENTOS!$H$4:$H$803,G1414,MOVIMIENTOS_COMPLEMENTOS!$B$4:$B$803,"DE CORTE")-SUMIFS(MOVIMIENTOS_COMPLEMENTOS!$I$4:$I$803,MOVIMIENTOS_COMPLEMENTOS!$C$4:$C$803,A1414,MOVIMIENTOS_COMPLEMENTOS!$D$4:$D$803,B1414,MOVIMIENTOS_COMPLEMENTOS!$E$4:$E$803,C1414,MOVIMIENTOS_COMPLEMENTOS!$G$4:$G$803,E1414,MOVIMIENTOS_COMPLEMENTOS!$H$4:$H$803,G1414,MOVIMIENTOS_COMPLEMENTOS!$B$4:$B$803,"SALIDA"),0)</f>
        <v>0</v>
      </c>
      <c r="I1414" s="102">
        <f t="array" ref="I1414">IFERROR(INDEX(PRECIOS_COMPLEMENTOS!$C$4:$F$17,MATCH(B1414&amp;"_"&amp;C1414,PRECIOS_COMPLEMENTOS!$H$4:$H$17,0),IF(OR(G1414="S",G1414="20cm"),1,IF(OR(G1414="M",G1414="25cm"),2,IF(OR(G1414="L",G1414="30cm"),3,IF(OR(G1414="XL",G1414="35cm"),4,0))))),0)</f>
        <v>0.3</v>
      </c>
      <c r="J1414" s="103">
        <f t="shared" si="1"/>
        <v>0</v>
      </c>
      <c r="K1414" s="104" t="str">
        <f>IF(H1414&lt;0,"ERROR",IF(H1414=0,"",IF(H1414&lt;CONFIG!$B$4,"CRÍTICO",IF(H1414&lt;CONFIG!$B$5,"BAJO","OK"))))</f>
        <v/>
      </c>
    </row>
    <row r="1415" ht="15.75" hidden="1" customHeight="1">
      <c r="A1415" s="90" t="str">
        <f>IF(CLIENTES!A9="","",CLIENTES!A9)</f>
        <v/>
      </c>
      <c r="B1415" s="90" t="s">
        <v>324</v>
      </c>
      <c r="C1415" s="91" t="s">
        <v>322</v>
      </c>
      <c r="D1415" s="109" t="s">
        <v>353</v>
      </c>
      <c r="E1415" s="67" t="str">
        <f>COLORES!A9</f>
        <v>Melange</v>
      </c>
      <c r="F1415" s="67" t="str">
        <f>COLORES!B9</f>
        <v>MELANGE</v>
      </c>
      <c r="G1415" s="90" t="s">
        <v>377</v>
      </c>
      <c r="H1415" s="100">
        <f>IFERROR(SUMIFS(MOVIMIENTOS_COMPLEMENTOS!$I$4:$I$803,MOVIMIENTOS_COMPLEMENTOS!$C$4:$C$803,A1415,MOVIMIENTOS_COMPLEMENTOS!$D$4:$D$803,B1415,MOVIMIENTOS_COMPLEMENTOS!$E$4:$E$803,C1415,MOVIMIENTOS_COMPLEMENTOS!$G$4:$G$803,E1415,MOVIMIENTOS_COMPLEMENTOS!$H$4:$H$803,G1415,MOVIMIENTOS_COMPLEMENTOS!$B$4:$B$803,"INGRESO")+SUMIFS(MOVIMIENTOS_COMPLEMENTOS!$I$4:$I$803,MOVIMIENTOS_COMPLEMENTOS!$C$4:$C$803,A1415,MOVIMIENTOS_COMPLEMENTOS!$D$4:$D$803,B1415,MOVIMIENTOS_COMPLEMENTOS!$E$4:$E$803,C1415,MOVIMIENTOS_COMPLEMENTOS!$G$4:$G$803,E1415,MOVIMIENTOS_COMPLEMENTOS!$H$4:$H$803,G1415,MOVIMIENTOS_COMPLEMENTOS!$B$4:$B$803,"DE CORTE")-SUMIFS(MOVIMIENTOS_COMPLEMENTOS!$I$4:$I$803,MOVIMIENTOS_COMPLEMENTOS!$C$4:$C$803,A1415,MOVIMIENTOS_COMPLEMENTOS!$D$4:$D$803,B1415,MOVIMIENTOS_COMPLEMENTOS!$E$4:$E$803,C1415,MOVIMIENTOS_COMPLEMENTOS!$G$4:$G$803,E1415,MOVIMIENTOS_COMPLEMENTOS!$H$4:$H$803,G1415,MOVIMIENTOS_COMPLEMENTOS!$B$4:$B$803,"SALIDA"),0)</f>
        <v>0</v>
      </c>
      <c r="I1415" s="102">
        <f t="array" ref="I1415">IFERROR(INDEX(PRECIOS_COMPLEMENTOS!$C$4:$F$17,MATCH(B1415&amp;"_"&amp;C1415,PRECIOS_COMPLEMENTOS!$H$4:$H$17,0),IF(OR(G1415="S",G1415="20cm"),1,IF(OR(G1415="M",G1415="25cm"),2,IF(OR(G1415="L",G1415="30cm"),3,IF(OR(G1415="XL",G1415="35cm"),4,0))))),0)</f>
        <v>0.35</v>
      </c>
      <c r="J1415" s="103">
        <f t="shared" si="1"/>
        <v>0</v>
      </c>
      <c r="K1415" s="104" t="str">
        <f>IF(H1415&lt;0,"ERROR",IF(H1415=0,"",IF(H1415&lt;CONFIG!$B$4,"CRÍTICO",IF(H1415&lt;CONFIG!$B$5,"BAJO","OK"))))</f>
        <v/>
      </c>
    </row>
    <row r="1416" ht="15.75" hidden="1" customHeight="1">
      <c r="A1416" s="90" t="str">
        <f>IF(CLIENTES!A9="","",CLIENTES!A9)</f>
        <v/>
      </c>
      <c r="B1416" s="90" t="s">
        <v>324</v>
      </c>
      <c r="C1416" s="91" t="s">
        <v>322</v>
      </c>
      <c r="D1416" s="109" t="s">
        <v>353</v>
      </c>
      <c r="E1416" s="67" t="str">
        <f>COLORES!A10</f>
        <v>Botella</v>
      </c>
      <c r="F1416" s="67" t="str">
        <f>COLORES!B10</f>
        <v>OSCURO</v>
      </c>
      <c r="G1416" s="90" t="s">
        <v>376</v>
      </c>
      <c r="H1416" s="100">
        <f>IFERROR(SUMIFS(MOVIMIENTOS_COMPLEMENTOS!$I$4:$I$803,MOVIMIENTOS_COMPLEMENTOS!$C$4:$C$803,A1416,MOVIMIENTOS_COMPLEMENTOS!$D$4:$D$803,B1416,MOVIMIENTOS_COMPLEMENTOS!$E$4:$E$803,C1416,MOVIMIENTOS_COMPLEMENTOS!$G$4:$G$803,E1416,MOVIMIENTOS_COMPLEMENTOS!$H$4:$H$803,G1416,MOVIMIENTOS_COMPLEMENTOS!$B$4:$B$803,"INGRESO")+SUMIFS(MOVIMIENTOS_COMPLEMENTOS!$I$4:$I$803,MOVIMIENTOS_COMPLEMENTOS!$C$4:$C$803,A1416,MOVIMIENTOS_COMPLEMENTOS!$D$4:$D$803,B1416,MOVIMIENTOS_COMPLEMENTOS!$E$4:$E$803,C1416,MOVIMIENTOS_COMPLEMENTOS!$G$4:$G$803,E1416,MOVIMIENTOS_COMPLEMENTOS!$H$4:$H$803,G1416,MOVIMIENTOS_COMPLEMENTOS!$B$4:$B$803,"DE CORTE")-SUMIFS(MOVIMIENTOS_COMPLEMENTOS!$I$4:$I$803,MOVIMIENTOS_COMPLEMENTOS!$C$4:$C$803,A1416,MOVIMIENTOS_COMPLEMENTOS!$D$4:$D$803,B1416,MOVIMIENTOS_COMPLEMENTOS!$E$4:$E$803,C1416,MOVIMIENTOS_COMPLEMENTOS!$G$4:$G$803,E1416,MOVIMIENTOS_COMPLEMENTOS!$H$4:$H$803,G1416,MOVIMIENTOS_COMPLEMENTOS!$B$4:$B$803,"SALIDA"),0)</f>
        <v>0</v>
      </c>
      <c r="I1416" s="102">
        <f t="array" ref="I1416">IFERROR(INDEX(PRECIOS_COMPLEMENTOS!$C$4:$F$17,MATCH(B1416&amp;"_"&amp;C1416,PRECIOS_COMPLEMENTOS!$H$4:$H$17,0),IF(OR(G1416="S",G1416="20cm"),1,IF(OR(G1416="M",G1416="25cm"),2,IF(OR(G1416="L",G1416="30cm"),3,IF(OR(G1416="XL",G1416="35cm"),4,0))))),0)</f>
        <v>0.3</v>
      </c>
      <c r="J1416" s="103">
        <f t="shared" si="1"/>
        <v>0</v>
      </c>
      <c r="K1416" s="104" t="str">
        <f>IF(H1416&lt;0,"ERROR",IF(H1416=0,"",IF(H1416&lt;CONFIG!$B$4,"CRÍTICO",IF(H1416&lt;CONFIG!$B$5,"BAJO","OK"))))</f>
        <v/>
      </c>
    </row>
    <row r="1417" ht="15.75" hidden="1" customHeight="1">
      <c r="A1417" s="90" t="str">
        <f>IF(CLIENTES!A9="","",CLIENTES!A9)</f>
        <v/>
      </c>
      <c r="B1417" s="90" t="s">
        <v>324</v>
      </c>
      <c r="C1417" s="91" t="s">
        <v>322</v>
      </c>
      <c r="D1417" s="109" t="s">
        <v>353</v>
      </c>
      <c r="E1417" s="67" t="str">
        <f>COLORES!A10</f>
        <v>Botella</v>
      </c>
      <c r="F1417" s="67" t="str">
        <f>COLORES!B10</f>
        <v>OSCURO</v>
      </c>
      <c r="G1417" s="90" t="s">
        <v>377</v>
      </c>
      <c r="H1417" s="100">
        <f>IFERROR(SUMIFS(MOVIMIENTOS_COMPLEMENTOS!$I$4:$I$803,MOVIMIENTOS_COMPLEMENTOS!$C$4:$C$803,A1417,MOVIMIENTOS_COMPLEMENTOS!$D$4:$D$803,B1417,MOVIMIENTOS_COMPLEMENTOS!$E$4:$E$803,C1417,MOVIMIENTOS_COMPLEMENTOS!$G$4:$G$803,E1417,MOVIMIENTOS_COMPLEMENTOS!$H$4:$H$803,G1417,MOVIMIENTOS_COMPLEMENTOS!$B$4:$B$803,"INGRESO")+SUMIFS(MOVIMIENTOS_COMPLEMENTOS!$I$4:$I$803,MOVIMIENTOS_COMPLEMENTOS!$C$4:$C$803,A1417,MOVIMIENTOS_COMPLEMENTOS!$D$4:$D$803,B1417,MOVIMIENTOS_COMPLEMENTOS!$E$4:$E$803,C1417,MOVIMIENTOS_COMPLEMENTOS!$G$4:$G$803,E1417,MOVIMIENTOS_COMPLEMENTOS!$H$4:$H$803,G1417,MOVIMIENTOS_COMPLEMENTOS!$B$4:$B$803,"DE CORTE")-SUMIFS(MOVIMIENTOS_COMPLEMENTOS!$I$4:$I$803,MOVIMIENTOS_COMPLEMENTOS!$C$4:$C$803,A1417,MOVIMIENTOS_COMPLEMENTOS!$D$4:$D$803,B1417,MOVIMIENTOS_COMPLEMENTOS!$E$4:$E$803,C1417,MOVIMIENTOS_COMPLEMENTOS!$G$4:$G$803,E1417,MOVIMIENTOS_COMPLEMENTOS!$H$4:$H$803,G1417,MOVIMIENTOS_COMPLEMENTOS!$B$4:$B$803,"SALIDA"),0)</f>
        <v>0</v>
      </c>
      <c r="I1417" s="102">
        <f t="array" ref="I1417">IFERROR(INDEX(PRECIOS_COMPLEMENTOS!$C$4:$F$17,MATCH(B1417&amp;"_"&amp;C1417,PRECIOS_COMPLEMENTOS!$H$4:$H$17,0),IF(OR(G1417="S",G1417="20cm"),1,IF(OR(G1417="M",G1417="25cm"),2,IF(OR(G1417="L",G1417="30cm"),3,IF(OR(G1417="XL",G1417="35cm"),4,0))))),0)</f>
        <v>0.35</v>
      </c>
      <c r="J1417" s="103">
        <f t="shared" si="1"/>
        <v>0</v>
      </c>
      <c r="K1417" s="104" t="str">
        <f>IF(H1417&lt;0,"ERROR",IF(H1417=0,"",IF(H1417&lt;CONFIG!$B$4,"CRÍTICO",IF(H1417&lt;CONFIG!$B$5,"BAJO","OK"))))</f>
        <v/>
      </c>
    </row>
    <row r="1418" ht="15.75" hidden="1" customHeight="1">
      <c r="A1418" s="90" t="str">
        <f>IF(CLIENTES!A9="","",CLIENTES!A9)</f>
        <v/>
      </c>
      <c r="B1418" s="90" t="s">
        <v>324</v>
      </c>
      <c r="C1418" s="91" t="s">
        <v>322</v>
      </c>
      <c r="D1418" s="109" t="s">
        <v>353</v>
      </c>
      <c r="E1418" s="67" t="str">
        <f>COLORES!A11</f>
        <v>Pacay</v>
      </c>
      <c r="F1418" s="67" t="str">
        <f>COLORES!B11</f>
        <v>CLARO</v>
      </c>
      <c r="G1418" s="90" t="s">
        <v>376</v>
      </c>
      <c r="H1418" s="100">
        <f>IFERROR(SUMIFS(MOVIMIENTOS_COMPLEMENTOS!$I$4:$I$803,MOVIMIENTOS_COMPLEMENTOS!$C$4:$C$803,A1418,MOVIMIENTOS_COMPLEMENTOS!$D$4:$D$803,B1418,MOVIMIENTOS_COMPLEMENTOS!$E$4:$E$803,C1418,MOVIMIENTOS_COMPLEMENTOS!$G$4:$G$803,E1418,MOVIMIENTOS_COMPLEMENTOS!$H$4:$H$803,G1418,MOVIMIENTOS_COMPLEMENTOS!$B$4:$B$803,"INGRESO")+SUMIFS(MOVIMIENTOS_COMPLEMENTOS!$I$4:$I$803,MOVIMIENTOS_COMPLEMENTOS!$C$4:$C$803,A1418,MOVIMIENTOS_COMPLEMENTOS!$D$4:$D$803,B1418,MOVIMIENTOS_COMPLEMENTOS!$E$4:$E$803,C1418,MOVIMIENTOS_COMPLEMENTOS!$G$4:$G$803,E1418,MOVIMIENTOS_COMPLEMENTOS!$H$4:$H$803,G1418,MOVIMIENTOS_COMPLEMENTOS!$B$4:$B$803,"DE CORTE")-SUMIFS(MOVIMIENTOS_COMPLEMENTOS!$I$4:$I$803,MOVIMIENTOS_COMPLEMENTOS!$C$4:$C$803,A1418,MOVIMIENTOS_COMPLEMENTOS!$D$4:$D$803,B1418,MOVIMIENTOS_COMPLEMENTOS!$E$4:$E$803,C1418,MOVIMIENTOS_COMPLEMENTOS!$G$4:$G$803,E1418,MOVIMIENTOS_COMPLEMENTOS!$H$4:$H$803,G1418,MOVIMIENTOS_COMPLEMENTOS!$B$4:$B$803,"SALIDA"),0)</f>
        <v>0</v>
      </c>
      <c r="I1418" s="102">
        <f t="array" ref="I1418">IFERROR(INDEX(PRECIOS_COMPLEMENTOS!$C$4:$F$17,MATCH(B1418&amp;"_"&amp;C1418,PRECIOS_COMPLEMENTOS!$H$4:$H$17,0),IF(OR(G1418="S",G1418="20cm"),1,IF(OR(G1418="M",G1418="25cm"),2,IF(OR(G1418="L",G1418="30cm"),3,IF(OR(G1418="XL",G1418="35cm"),4,0))))),0)</f>
        <v>0.3</v>
      </c>
      <c r="J1418" s="103">
        <f t="shared" si="1"/>
        <v>0</v>
      </c>
      <c r="K1418" s="104" t="str">
        <f>IF(H1418&lt;0,"ERROR",IF(H1418=0,"",IF(H1418&lt;CONFIG!$B$4,"CRÍTICO",IF(H1418&lt;CONFIG!$B$5,"BAJO","OK"))))</f>
        <v/>
      </c>
    </row>
    <row r="1419" ht="15.75" hidden="1" customHeight="1">
      <c r="A1419" s="90" t="str">
        <f>IF(CLIENTES!A9="","",CLIENTES!A9)</f>
        <v/>
      </c>
      <c r="B1419" s="90" t="s">
        <v>324</v>
      </c>
      <c r="C1419" s="91" t="s">
        <v>322</v>
      </c>
      <c r="D1419" s="109" t="s">
        <v>353</v>
      </c>
      <c r="E1419" s="67" t="str">
        <f>COLORES!A11</f>
        <v>Pacay</v>
      </c>
      <c r="F1419" s="67" t="str">
        <f>COLORES!B11</f>
        <v>CLARO</v>
      </c>
      <c r="G1419" s="90" t="s">
        <v>377</v>
      </c>
      <c r="H1419" s="100">
        <f>IFERROR(SUMIFS(MOVIMIENTOS_COMPLEMENTOS!$I$4:$I$803,MOVIMIENTOS_COMPLEMENTOS!$C$4:$C$803,A1419,MOVIMIENTOS_COMPLEMENTOS!$D$4:$D$803,B1419,MOVIMIENTOS_COMPLEMENTOS!$E$4:$E$803,C1419,MOVIMIENTOS_COMPLEMENTOS!$G$4:$G$803,E1419,MOVIMIENTOS_COMPLEMENTOS!$H$4:$H$803,G1419,MOVIMIENTOS_COMPLEMENTOS!$B$4:$B$803,"INGRESO")+SUMIFS(MOVIMIENTOS_COMPLEMENTOS!$I$4:$I$803,MOVIMIENTOS_COMPLEMENTOS!$C$4:$C$803,A1419,MOVIMIENTOS_COMPLEMENTOS!$D$4:$D$803,B1419,MOVIMIENTOS_COMPLEMENTOS!$E$4:$E$803,C1419,MOVIMIENTOS_COMPLEMENTOS!$G$4:$G$803,E1419,MOVIMIENTOS_COMPLEMENTOS!$H$4:$H$803,G1419,MOVIMIENTOS_COMPLEMENTOS!$B$4:$B$803,"DE CORTE")-SUMIFS(MOVIMIENTOS_COMPLEMENTOS!$I$4:$I$803,MOVIMIENTOS_COMPLEMENTOS!$C$4:$C$803,A1419,MOVIMIENTOS_COMPLEMENTOS!$D$4:$D$803,B1419,MOVIMIENTOS_COMPLEMENTOS!$E$4:$E$803,C1419,MOVIMIENTOS_COMPLEMENTOS!$G$4:$G$803,E1419,MOVIMIENTOS_COMPLEMENTOS!$H$4:$H$803,G1419,MOVIMIENTOS_COMPLEMENTOS!$B$4:$B$803,"SALIDA"),0)</f>
        <v>0</v>
      </c>
      <c r="I1419" s="102">
        <f t="array" ref="I1419">IFERROR(INDEX(PRECIOS_COMPLEMENTOS!$C$4:$F$17,MATCH(B1419&amp;"_"&amp;C1419,PRECIOS_COMPLEMENTOS!$H$4:$H$17,0),IF(OR(G1419="S",G1419="20cm"),1,IF(OR(G1419="M",G1419="25cm"),2,IF(OR(G1419="L",G1419="30cm"),3,IF(OR(G1419="XL",G1419="35cm"),4,0))))),0)</f>
        <v>0.35</v>
      </c>
      <c r="J1419" s="103">
        <f t="shared" si="1"/>
        <v>0</v>
      </c>
      <c r="K1419" s="104" t="str">
        <f>IF(H1419&lt;0,"ERROR",IF(H1419=0,"",IF(H1419&lt;CONFIG!$B$4,"CRÍTICO",IF(H1419&lt;CONFIG!$B$5,"BAJO","OK"))))</f>
        <v/>
      </c>
    </row>
    <row r="1420" ht="15.75" hidden="1" customHeight="1">
      <c r="A1420" s="90" t="str">
        <f>IF(CLIENTES!A9="","",CLIENTES!A9)</f>
        <v/>
      </c>
      <c r="B1420" s="90" t="s">
        <v>324</v>
      </c>
      <c r="C1420" s="91" t="s">
        <v>322</v>
      </c>
      <c r="D1420" s="109" t="s">
        <v>353</v>
      </c>
      <c r="E1420" s="67" t="str">
        <f>COLORES!A12</f>
        <v>Cemento</v>
      </c>
      <c r="F1420" s="67" t="str">
        <f>COLORES!B12</f>
        <v>CLARO</v>
      </c>
      <c r="G1420" s="90" t="s">
        <v>376</v>
      </c>
      <c r="H1420" s="100">
        <f>IFERROR(SUMIFS(MOVIMIENTOS_COMPLEMENTOS!$I$4:$I$803,MOVIMIENTOS_COMPLEMENTOS!$C$4:$C$803,A1420,MOVIMIENTOS_COMPLEMENTOS!$D$4:$D$803,B1420,MOVIMIENTOS_COMPLEMENTOS!$E$4:$E$803,C1420,MOVIMIENTOS_COMPLEMENTOS!$G$4:$G$803,E1420,MOVIMIENTOS_COMPLEMENTOS!$H$4:$H$803,G1420,MOVIMIENTOS_COMPLEMENTOS!$B$4:$B$803,"INGRESO")+SUMIFS(MOVIMIENTOS_COMPLEMENTOS!$I$4:$I$803,MOVIMIENTOS_COMPLEMENTOS!$C$4:$C$803,A1420,MOVIMIENTOS_COMPLEMENTOS!$D$4:$D$803,B1420,MOVIMIENTOS_COMPLEMENTOS!$E$4:$E$803,C1420,MOVIMIENTOS_COMPLEMENTOS!$G$4:$G$803,E1420,MOVIMIENTOS_COMPLEMENTOS!$H$4:$H$803,G1420,MOVIMIENTOS_COMPLEMENTOS!$B$4:$B$803,"DE CORTE")-SUMIFS(MOVIMIENTOS_COMPLEMENTOS!$I$4:$I$803,MOVIMIENTOS_COMPLEMENTOS!$C$4:$C$803,A1420,MOVIMIENTOS_COMPLEMENTOS!$D$4:$D$803,B1420,MOVIMIENTOS_COMPLEMENTOS!$E$4:$E$803,C1420,MOVIMIENTOS_COMPLEMENTOS!$G$4:$G$803,E1420,MOVIMIENTOS_COMPLEMENTOS!$H$4:$H$803,G1420,MOVIMIENTOS_COMPLEMENTOS!$B$4:$B$803,"SALIDA"),0)</f>
        <v>0</v>
      </c>
      <c r="I1420" s="102">
        <f t="array" ref="I1420">IFERROR(INDEX(PRECIOS_COMPLEMENTOS!$C$4:$F$17,MATCH(B1420&amp;"_"&amp;C1420,PRECIOS_COMPLEMENTOS!$H$4:$H$17,0),IF(OR(G1420="S",G1420="20cm"),1,IF(OR(G1420="M",G1420="25cm"),2,IF(OR(G1420="L",G1420="30cm"),3,IF(OR(G1420="XL",G1420="35cm"),4,0))))),0)</f>
        <v>0.3</v>
      </c>
      <c r="J1420" s="103">
        <f t="shared" si="1"/>
        <v>0</v>
      </c>
      <c r="K1420" s="104" t="str">
        <f>IF(H1420&lt;0,"ERROR",IF(H1420=0,"",IF(H1420&lt;CONFIG!$B$4,"CRÍTICO",IF(H1420&lt;CONFIG!$B$5,"BAJO","OK"))))</f>
        <v/>
      </c>
    </row>
    <row r="1421" ht="15.75" hidden="1" customHeight="1">
      <c r="A1421" s="90" t="str">
        <f>IF(CLIENTES!A9="","",CLIENTES!A9)</f>
        <v/>
      </c>
      <c r="B1421" s="90" t="s">
        <v>324</v>
      </c>
      <c r="C1421" s="91" t="s">
        <v>322</v>
      </c>
      <c r="D1421" s="109" t="s">
        <v>353</v>
      </c>
      <c r="E1421" s="67" t="str">
        <f>COLORES!A12</f>
        <v>Cemento</v>
      </c>
      <c r="F1421" s="67" t="str">
        <f>COLORES!B12</f>
        <v>CLARO</v>
      </c>
      <c r="G1421" s="90" t="s">
        <v>377</v>
      </c>
      <c r="H1421" s="100">
        <f>IFERROR(SUMIFS(MOVIMIENTOS_COMPLEMENTOS!$I$4:$I$803,MOVIMIENTOS_COMPLEMENTOS!$C$4:$C$803,A1421,MOVIMIENTOS_COMPLEMENTOS!$D$4:$D$803,B1421,MOVIMIENTOS_COMPLEMENTOS!$E$4:$E$803,C1421,MOVIMIENTOS_COMPLEMENTOS!$G$4:$G$803,E1421,MOVIMIENTOS_COMPLEMENTOS!$H$4:$H$803,G1421,MOVIMIENTOS_COMPLEMENTOS!$B$4:$B$803,"INGRESO")+SUMIFS(MOVIMIENTOS_COMPLEMENTOS!$I$4:$I$803,MOVIMIENTOS_COMPLEMENTOS!$C$4:$C$803,A1421,MOVIMIENTOS_COMPLEMENTOS!$D$4:$D$803,B1421,MOVIMIENTOS_COMPLEMENTOS!$E$4:$E$803,C1421,MOVIMIENTOS_COMPLEMENTOS!$G$4:$G$803,E1421,MOVIMIENTOS_COMPLEMENTOS!$H$4:$H$803,G1421,MOVIMIENTOS_COMPLEMENTOS!$B$4:$B$803,"DE CORTE")-SUMIFS(MOVIMIENTOS_COMPLEMENTOS!$I$4:$I$803,MOVIMIENTOS_COMPLEMENTOS!$C$4:$C$803,A1421,MOVIMIENTOS_COMPLEMENTOS!$D$4:$D$803,B1421,MOVIMIENTOS_COMPLEMENTOS!$E$4:$E$803,C1421,MOVIMIENTOS_COMPLEMENTOS!$G$4:$G$803,E1421,MOVIMIENTOS_COMPLEMENTOS!$H$4:$H$803,G1421,MOVIMIENTOS_COMPLEMENTOS!$B$4:$B$803,"SALIDA"),0)</f>
        <v>0</v>
      </c>
      <c r="I1421" s="102">
        <f t="array" ref="I1421">IFERROR(INDEX(PRECIOS_COMPLEMENTOS!$C$4:$F$17,MATCH(B1421&amp;"_"&amp;C1421,PRECIOS_COMPLEMENTOS!$H$4:$H$17,0),IF(OR(G1421="S",G1421="20cm"),1,IF(OR(G1421="M",G1421="25cm"),2,IF(OR(G1421="L",G1421="30cm"),3,IF(OR(G1421="XL",G1421="35cm"),4,0))))),0)</f>
        <v>0.35</v>
      </c>
      <c r="J1421" s="103">
        <f t="shared" si="1"/>
        <v>0</v>
      </c>
      <c r="K1421" s="104" t="str">
        <f>IF(H1421&lt;0,"ERROR",IF(H1421=0,"",IF(H1421&lt;CONFIG!$B$4,"CRÍTICO",IF(H1421&lt;CONFIG!$B$5,"BAJO","OK"))))</f>
        <v/>
      </c>
    </row>
    <row r="1422" ht="15.75" hidden="1" customHeight="1">
      <c r="A1422" s="90" t="str">
        <f>IF(CLIENTES!A9="","",CLIENTES!A9)</f>
        <v/>
      </c>
      <c r="B1422" s="90" t="s">
        <v>324</v>
      </c>
      <c r="C1422" s="91" t="s">
        <v>322</v>
      </c>
      <c r="D1422" s="109" t="s">
        <v>353</v>
      </c>
      <c r="E1422" s="67" t="str">
        <f>COLORES!A13</f>
        <v>Camote</v>
      </c>
      <c r="F1422" s="67" t="str">
        <f>COLORES!B13</f>
        <v>CLARO</v>
      </c>
      <c r="G1422" s="90" t="s">
        <v>376</v>
      </c>
      <c r="H1422" s="100">
        <f>IFERROR(SUMIFS(MOVIMIENTOS_COMPLEMENTOS!$I$4:$I$803,MOVIMIENTOS_COMPLEMENTOS!$C$4:$C$803,A1422,MOVIMIENTOS_COMPLEMENTOS!$D$4:$D$803,B1422,MOVIMIENTOS_COMPLEMENTOS!$E$4:$E$803,C1422,MOVIMIENTOS_COMPLEMENTOS!$G$4:$G$803,E1422,MOVIMIENTOS_COMPLEMENTOS!$H$4:$H$803,G1422,MOVIMIENTOS_COMPLEMENTOS!$B$4:$B$803,"INGRESO")+SUMIFS(MOVIMIENTOS_COMPLEMENTOS!$I$4:$I$803,MOVIMIENTOS_COMPLEMENTOS!$C$4:$C$803,A1422,MOVIMIENTOS_COMPLEMENTOS!$D$4:$D$803,B1422,MOVIMIENTOS_COMPLEMENTOS!$E$4:$E$803,C1422,MOVIMIENTOS_COMPLEMENTOS!$G$4:$G$803,E1422,MOVIMIENTOS_COMPLEMENTOS!$H$4:$H$803,G1422,MOVIMIENTOS_COMPLEMENTOS!$B$4:$B$803,"DE CORTE")-SUMIFS(MOVIMIENTOS_COMPLEMENTOS!$I$4:$I$803,MOVIMIENTOS_COMPLEMENTOS!$C$4:$C$803,A1422,MOVIMIENTOS_COMPLEMENTOS!$D$4:$D$803,B1422,MOVIMIENTOS_COMPLEMENTOS!$E$4:$E$803,C1422,MOVIMIENTOS_COMPLEMENTOS!$G$4:$G$803,E1422,MOVIMIENTOS_COMPLEMENTOS!$H$4:$H$803,G1422,MOVIMIENTOS_COMPLEMENTOS!$B$4:$B$803,"SALIDA"),0)</f>
        <v>0</v>
      </c>
      <c r="I1422" s="102">
        <f t="array" ref="I1422">IFERROR(INDEX(PRECIOS_COMPLEMENTOS!$C$4:$F$17,MATCH(B1422&amp;"_"&amp;C1422,PRECIOS_COMPLEMENTOS!$H$4:$H$17,0),IF(OR(G1422="S",G1422="20cm"),1,IF(OR(G1422="M",G1422="25cm"),2,IF(OR(G1422="L",G1422="30cm"),3,IF(OR(G1422="XL",G1422="35cm"),4,0))))),0)</f>
        <v>0.3</v>
      </c>
      <c r="J1422" s="103">
        <f t="shared" si="1"/>
        <v>0</v>
      </c>
      <c r="K1422" s="104" t="str">
        <f>IF(H1422&lt;0,"ERROR",IF(H1422=0,"",IF(H1422&lt;CONFIG!$B$4,"CRÍTICO",IF(H1422&lt;CONFIG!$B$5,"BAJO","OK"))))</f>
        <v/>
      </c>
    </row>
    <row r="1423" ht="15.75" hidden="1" customHeight="1">
      <c r="A1423" s="90" t="str">
        <f>IF(CLIENTES!A9="","",CLIENTES!A9)</f>
        <v/>
      </c>
      <c r="B1423" s="90" t="s">
        <v>324</v>
      </c>
      <c r="C1423" s="91" t="s">
        <v>322</v>
      </c>
      <c r="D1423" s="109" t="s">
        <v>353</v>
      </c>
      <c r="E1423" s="67" t="str">
        <f>COLORES!A13</f>
        <v>Camote</v>
      </c>
      <c r="F1423" s="67" t="str">
        <f>COLORES!B13</f>
        <v>CLARO</v>
      </c>
      <c r="G1423" s="90" t="s">
        <v>377</v>
      </c>
      <c r="H1423" s="100">
        <f>IFERROR(SUMIFS(MOVIMIENTOS_COMPLEMENTOS!$I$4:$I$803,MOVIMIENTOS_COMPLEMENTOS!$C$4:$C$803,A1423,MOVIMIENTOS_COMPLEMENTOS!$D$4:$D$803,B1423,MOVIMIENTOS_COMPLEMENTOS!$E$4:$E$803,C1423,MOVIMIENTOS_COMPLEMENTOS!$G$4:$G$803,E1423,MOVIMIENTOS_COMPLEMENTOS!$H$4:$H$803,G1423,MOVIMIENTOS_COMPLEMENTOS!$B$4:$B$803,"INGRESO")+SUMIFS(MOVIMIENTOS_COMPLEMENTOS!$I$4:$I$803,MOVIMIENTOS_COMPLEMENTOS!$C$4:$C$803,A1423,MOVIMIENTOS_COMPLEMENTOS!$D$4:$D$803,B1423,MOVIMIENTOS_COMPLEMENTOS!$E$4:$E$803,C1423,MOVIMIENTOS_COMPLEMENTOS!$G$4:$G$803,E1423,MOVIMIENTOS_COMPLEMENTOS!$H$4:$H$803,G1423,MOVIMIENTOS_COMPLEMENTOS!$B$4:$B$803,"DE CORTE")-SUMIFS(MOVIMIENTOS_COMPLEMENTOS!$I$4:$I$803,MOVIMIENTOS_COMPLEMENTOS!$C$4:$C$803,A1423,MOVIMIENTOS_COMPLEMENTOS!$D$4:$D$803,B1423,MOVIMIENTOS_COMPLEMENTOS!$E$4:$E$803,C1423,MOVIMIENTOS_COMPLEMENTOS!$G$4:$G$803,E1423,MOVIMIENTOS_COMPLEMENTOS!$H$4:$H$803,G1423,MOVIMIENTOS_COMPLEMENTOS!$B$4:$B$803,"SALIDA"),0)</f>
        <v>0</v>
      </c>
      <c r="I1423" s="102">
        <f t="array" ref="I1423">IFERROR(INDEX(PRECIOS_COMPLEMENTOS!$C$4:$F$17,MATCH(B1423&amp;"_"&amp;C1423,PRECIOS_COMPLEMENTOS!$H$4:$H$17,0),IF(OR(G1423="S",G1423="20cm"),1,IF(OR(G1423="M",G1423="25cm"),2,IF(OR(G1423="L",G1423="30cm"),3,IF(OR(G1423="XL",G1423="35cm"),4,0))))),0)</f>
        <v>0.35</v>
      </c>
      <c r="J1423" s="103">
        <f t="shared" si="1"/>
        <v>0</v>
      </c>
      <c r="K1423" s="104" t="str">
        <f>IF(H1423&lt;0,"ERROR",IF(H1423=0,"",IF(H1423&lt;CONFIG!$B$4,"CRÍTICO",IF(H1423&lt;CONFIG!$B$5,"BAJO","OK"))))</f>
        <v/>
      </c>
    </row>
    <row r="1424" ht="15.75" hidden="1" customHeight="1">
      <c r="A1424" s="90" t="str">
        <f>IF(CLIENTES!A9="","",CLIENTES!A9)</f>
        <v/>
      </c>
      <c r="B1424" s="90" t="s">
        <v>324</v>
      </c>
      <c r="C1424" s="91" t="s">
        <v>322</v>
      </c>
      <c r="D1424" s="109" t="s">
        <v>353</v>
      </c>
      <c r="E1424" s="67" t="str">
        <f>COLORES!A14</f>
        <v>Denim</v>
      </c>
      <c r="F1424" s="67" t="str">
        <f>COLORES!B14</f>
        <v>CLARO</v>
      </c>
      <c r="G1424" s="90" t="s">
        <v>376</v>
      </c>
      <c r="H1424" s="100">
        <f>IFERROR(SUMIFS(MOVIMIENTOS_COMPLEMENTOS!$I$4:$I$803,MOVIMIENTOS_COMPLEMENTOS!$C$4:$C$803,A1424,MOVIMIENTOS_COMPLEMENTOS!$D$4:$D$803,B1424,MOVIMIENTOS_COMPLEMENTOS!$E$4:$E$803,C1424,MOVIMIENTOS_COMPLEMENTOS!$G$4:$G$803,E1424,MOVIMIENTOS_COMPLEMENTOS!$H$4:$H$803,G1424,MOVIMIENTOS_COMPLEMENTOS!$B$4:$B$803,"INGRESO")+SUMIFS(MOVIMIENTOS_COMPLEMENTOS!$I$4:$I$803,MOVIMIENTOS_COMPLEMENTOS!$C$4:$C$803,A1424,MOVIMIENTOS_COMPLEMENTOS!$D$4:$D$803,B1424,MOVIMIENTOS_COMPLEMENTOS!$E$4:$E$803,C1424,MOVIMIENTOS_COMPLEMENTOS!$G$4:$G$803,E1424,MOVIMIENTOS_COMPLEMENTOS!$H$4:$H$803,G1424,MOVIMIENTOS_COMPLEMENTOS!$B$4:$B$803,"DE CORTE")-SUMIFS(MOVIMIENTOS_COMPLEMENTOS!$I$4:$I$803,MOVIMIENTOS_COMPLEMENTOS!$C$4:$C$803,A1424,MOVIMIENTOS_COMPLEMENTOS!$D$4:$D$803,B1424,MOVIMIENTOS_COMPLEMENTOS!$E$4:$E$803,C1424,MOVIMIENTOS_COMPLEMENTOS!$G$4:$G$803,E1424,MOVIMIENTOS_COMPLEMENTOS!$H$4:$H$803,G1424,MOVIMIENTOS_COMPLEMENTOS!$B$4:$B$803,"SALIDA"),0)</f>
        <v>0</v>
      </c>
      <c r="I1424" s="102">
        <f t="array" ref="I1424">IFERROR(INDEX(PRECIOS_COMPLEMENTOS!$C$4:$F$17,MATCH(B1424&amp;"_"&amp;C1424,PRECIOS_COMPLEMENTOS!$H$4:$H$17,0),IF(OR(G1424="S",G1424="20cm"),1,IF(OR(G1424="M",G1424="25cm"),2,IF(OR(G1424="L",G1424="30cm"),3,IF(OR(G1424="XL",G1424="35cm"),4,0))))),0)</f>
        <v>0.3</v>
      </c>
      <c r="J1424" s="103">
        <f t="shared" si="1"/>
        <v>0</v>
      </c>
      <c r="K1424" s="104" t="str">
        <f>IF(H1424&lt;0,"ERROR",IF(H1424=0,"",IF(H1424&lt;CONFIG!$B$4,"CRÍTICO",IF(H1424&lt;CONFIG!$B$5,"BAJO","OK"))))</f>
        <v/>
      </c>
    </row>
    <row r="1425" ht="15.75" hidden="1" customHeight="1">
      <c r="A1425" s="90" t="str">
        <f>IF(CLIENTES!A9="","",CLIENTES!A9)</f>
        <v/>
      </c>
      <c r="B1425" s="90" t="s">
        <v>324</v>
      </c>
      <c r="C1425" s="91" t="s">
        <v>322</v>
      </c>
      <c r="D1425" s="109" t="s">
        <v>353</v>
      </c>
      <c r="E1425" s="67" t="str">
        <f>COLORES!A14</f>
        <v>Denim</v>
      </c>
      <c r="F1425" s="67" t="str">
        <f>COLORES!B14</f>
        <v>CLARO</v>
      </c>
      <c r="G1425" s="90" t="s">
        <v>377</v>
      </c>
      <c r="H1425" s="100">
        <f>IFERROR(SUMIFS(MOVIMIENTOS_COMPLEMENTOS!$I$4:$I$803,MOVIMIENTOS_COMPLEMENTOS!$C$4:$C$803,A1425,MOVIMIENTOS_COMPLEMENTOS!$D$4:$D$803,B1425,MOVIMIENTOS_COMPLEMENTOS!$E$4:$E$803,C1425,MOVIMIENTOS_COMPLEMENTOS!$G$4:$G$803,E1425,MOVIMIENTOS_COMPLEMENTOS!$H$4:$H$803,G1425,MOVIMIENTOS_COMPLEMENTOS!$B$4:$B$803,"INGRESO")+SUMIFS(MOVIMIENTOS_COMPLEMENTOS!$I$4:$I$803,MOVIMIENTOS_COMPLEMENTOS!$C$4:$C$803,A1425,MOVIMIENTOS_COMPLEMENTOS!$D$4:$D$803,B1425,MOVIMIENTOS_COMPLEMENTOS!$E$4:$E$803,C1425,MOVIMIENTOS_COMPLEMENTOS!$G$4:$G$803,E1425,MOVIMIENTOS_COMPLEMENTOS!$H$4:$H$803,G1425,MOVIMIENTOS_COMPLEMENTOS!$B$4:$B$803,"DE CORTE")-SUMIFS(MOVIMIENTOS_COMPLEMENTOS!$I$4:$I$803,MOVIMIENTOS_COMPLEMENTOS!$C$4:$C$803,A1425,MOVIMIENTOS_COMPLEMENTOS!$D$4:$D$803,B1425,MOVIMIENTOS_COMPLEMENTOS!$E$4:$E$803,C1425,MOVIMIENTOS_COMPLEMENTOS!$G$4:$G$803,E1425,MOVIMIENTOS_COMPLEMENTOS!$H$4:$H$803,G1425,MOVIMIENTOS_COMPLEMENTOS!$B$4:$B$803,"SALIDA"),0)</f>
        <v>0</v>
      </c>
      <c r="I1425" s="102">
        <f t="array" ref="I1425">IFERROR(INDEX(PRECIOS_COMPLEMENTOS!$C$4:$F$17,MATCH(B1425&amp;"_"&amp;C1425,PRECIOS_COMPLEMENTOS!$H$4:$H$17,0),IF(OR(G1425="S",G1425="20cm"),1,IF(OR(G1425="M",G1425="25cm"),2,IF(OR(G1425="L",G1425="30cm"),3,IF(OR(G1425="XL",G1425="35cm"),4,0))))),0)</f>
        <v>0.35</v>
      </c>
      <c r="J1425" s="103">
        <f t="shared" si="1"/>
        <v>0</v>
      </c>
      <c r="K1425" s="104" t="str">
        <f>IF(H1425&lt;0,"ERROR",IF(H1425=0,"",IF(H1425&lt;CONFIG!$B$4,"CRÍTICO",IF(H1425&lt;CONFIG!$B$5,"BAJO","OK"))))</f>
        <v/>
      </c>
    </row>
    <row r="1426" ht="15.75" hidden="1" customHeight="1">
      <c r="A1426" s="90" t="str">
        <f>IF(CLIENTES!A9="","",CLIENTES!A9)</f>
        <v/>
      </c>
      <c r="B1426" s="90" t="s">
        <v>324</v>
      </c>
      <c r="C1426" s="91" t="s">
        <v>322</v>
      </c>
      <c r="D1426" s="109" t="s">
        <v>353</v>
      </c>
      <c r="E1426" s="67" t="str">
        <f>COLORES!A15</f>
        <v>Plomo</v>
      </c>
      <c r="F1426" s="67" t="str">
        <f>COLORES!B15</f>
        <v>OSCURO</v>
      </c>
      <c r="G1426" s="90" t="s">
        <v>376</v>
      </c>
      <c r="H1426" s="100">
        <f>IFERROR(SUMIFS(MOVIMIENTOS_COMPLEMENTOS!$I$4:$I$803,MOVIMIENTOS_COMPLEMENTOS!$C$4:$C$803,A1426,MOVIMIENTOS_COMPLEMENTOS!$D$4:$D$803,B1426,MOVIMIENTOS_COMPLEMENTOS!$E$4:$E$803,C1426,MOVIMIENTOS_COMPLEMENTOS!$G$4:$G$803,E1426,MOVIMIENTOS_COMPLEMENTOS!$H$4:$H$803,G1426,MOVIMIENTOS_COMPLEMENTOS!$B$4:$B$803,"INGRESO")+SUMIFS(MOVIMIENTOS_COMPLEMENTOS!$I$4:$I$803,MOVIMIENTOS_COMPLEMENTOS!$C$4:$C$803,A1426,MOVIMIENTOS_COMPLEMENTOS!$D$4:$D$803,B1426,MOVIMIENTOS_COMPLEMENTOS!$E$4:$E$803,C1426,MOVIMIENTOS_COMPLEMENTOS!$G$4:$G$803,E1426,MOVIMIENTOS_COMPLEMENTOS!$H$4:$H$803,G1426,MOVIMIENTOS_COMPLEMENTOS!$B$4:$B$803,"DE CORTE")-SUMIFS(MOVIMIENTOS_COMPLEMENTOS!$I$4:$I$803,MOVIMIENTOS_COMPLEMENTOS!$C$4:$C$803,A1426,MOVIMIENTOS_COMPLEMENTOS!$D$4:$D$803,B1426,MOVIMIENTOS_COMPLEMENTOS!$E$4:$E$803,C1426,MOVIMIENTOS_COMPLEMENTOS!$G$4:$G$803,E1426,MOVIMIENTOS_COMPLEMENTOS!$H$4:$H$803,G1426,MOVIMIENTOS_COMPLEMENTOS!$B$4:$B$803,"SALIDA"),0)</f>
        <v>0</v>
      </c>
      <c r="I1426" s="102">
        <f t="array" ref="I1426">IFERROR(INDEX(PRECIOS_COMPLEMENTOS!$C$4:$F$17,MATCH(B1426&amp;"_"&amp;C1426,PRECIOS_COMPLEMENTOS!$H$4:$H$17,0),IF(OR(G1426="S",G1426="20cm"),1,IF(OR(G1426="M",G1426="25cm"),2,IF(OR(G1426="L",G1426="30cm"),3,IF(OR(G1426="XL",G1426="35cm"),4,0))))),0)</f>
        <v>0.3</v>
      </c>
      <c r="J1426" s="103">
        <f t="shared" si="1"/>
        <v>0</v>
      </c>
      <c r="K1426" s="104" t="str">
        <f>IF(H1426&lt;0,"ERROR",IF(H1426=0,"",IF(H1426&lt;CONFIG!$B$4,"CRÍTICO",IF(H1426&lt;CONFIG!$B$5,"BAJO","OK"))))</f>
        <v/>
      </c>
    </row>
    <row r="1427" ht="15.75" hidden="1" customHeight="1">
      <c r="A1427" s="90" t="str">
        <f>IF(CLIENTES!A9="","",CLIENTES!A9)</f>
        <v/>
      </c>
      <c r="B1427" s="90" t="s">
        <v>324</v>
      </c>
      <c r="C1427" s="91" t="s">
        <v>322</v>
      </c>
      <c r="D1427" s="109" t="s">
        <v>353</v>
      </c>
      <c r="E1427" s="67" t="str">
        <f>COLORES!A15</f>
        <v>Plomo</v>
      </c>
      <c r="F1427" s="67" t="str">
        <f>COLORES!B15</f>
        <v>OSCURO</v>
      </c>
      <c r="G1427" s="90" t="s">
        <v>377</v>
      </c>
      <c r="H1427" s="100">
        <f>IFERROR(SUMIFS(MOVIMIENTOS_COMPLEMENTOS!$I$4:$I$803,MOVIMIENTOS_COMPLEMENTOS!$C$4:$C$803,A1427,MOVIMIENTOS_COMPLEMENTOS!$D$4:$D$803,B1427,MOVIMIENTOS_COMPLEMENTOS!$E$4:$E$803,C1427,MOVIMIENTOS_COMPLEMENTOS!$G$4:$G$803,E1427,MOVIMIENTOS_COMPLEMENTOS!$H$4:$H$803,G1427,MOVIMIENTOS_COMPLEMENTOS!$B$4:$B$803,"INGRESO")+SUMIFS(MOVIMIENTOS_COMPLEMENTOS!$I$4:$I$803,MOVIMIENTOS_COMPLEMENTOS!$C$4:$C$803,A1427,MOVIMIENTOS_COMPLEMENTOS!$D$4:$D$803,B1427,MOVIMIENTOS_COMPLEMENTOS!$E$4:$E$803,C1427,MOVIMIENTOS_COMPLEMENTOS!$G$4:$G$803,E1427,MOVIMIENTOS_COMPLEMENTOS!$H$4:$H$803,G1427,MOVIMIENTOS_COMPLEMENTOS!$B$4:$B$803,"DE CORTE")-SUMIFS(MOVIMIENTOS_COMPLEMENTOS!$I$4:$I$803,MOVIMIENTOS_COMPLEMENTOS!$C$4:$C$803,A1427,MOVIMIENTOS_COMPLEMENTOS!$D$4:$D$803,B1427,MOVIMIENTOS_COMPLEMENTOS!$E$4:$E$803,C1427,MOVIMIENTOS_COMPLEMENTOS!$G$4:$G$803,E1427,MOVIMIENTOS_COMPLEMENTOS!$H$4:$H$803,G1427,MOVIMIENTOS_COMPLEMENTOS!$B$4:$B$803,"SALIDA"),0)</f>
        <v>0</v>
      </c>
      <c r="I1427" s="102">
        <f t="array" ref="I1427">IFERROR(INDEX(PRECIOS_COMPLEMENTOS!$C$4:$F$17,MATCH(B1427&amp;"_"&amp;C1427,PRECIOS_COMPLEMENTOS!$H$4:$H$17,0),IF(OR(G1427="S",G1427="20cm"),1,IF(OR(G1427="M",G1427="25cm"),2,IF(OR(G1427="L",G1427="30cm"),3,IF(OR(G1427="XL",G1427="35cm"),4,0))))),0)</f>
        <v>0.35</v>
      </c>
      <c r="J1427" s="103">
        <f t="shared" si="1"/>
        <v>0</v>
      </c>
      <c r="K1427" s="104" t="str">
        <f>IF(H1427&lt;0,"ERROR",IF(H1427=0,"",IF(H1427&lt;CONFIG!$B$4,"CRÍTICO",IF(H1427&lt;CONFIG!$B$5,"BAJO","OK"))))</f>
        <v/>
      </c>
    </row>
    <row r="1428" ht="15.75" hidden="1" customHeight="1">
      <c r="A1428" s="90" t="str">
        <f>IF(CLIENTES!A9="","",CLIENTES!A9)</f>
        <v/>
      </c>
      <c r="B1428" s="90" t="s">
        <v>324</v>
      </c>
      <c r="C1428" s="91" t="s">
        <v>322</v>
      </c>
      <c r="D1428" s="109" t="s">
        <v>353</v>
      </c>
      <c r="E1428" s="67" t="str">
        <f>COLORES!A16</f>
        <v>Topo</v>
      </c>
      <c r="F1428" s="67" t="str">
        <f>COLORES!B16</f>
        <v>CLARO</v>
      </c>
      <c r="G1428" s="90" t="s">
        <v>376</v>
      </c>
      <c r="H1428" s="100">
        <f>IFERROR(SUMIFS(MOVIMIENTOS_COMPLEMENTOS!$I$4:$I$803,MOVIMIENTOS_COMPLEMENTOS!$C$4:$C$803,A1428,MOVIMIENTOS_COMPLEMENTOS!$D$4:$D$803,B1428,MOVIMIENTOS_COMPLEMENTOS!$E$4:$E$803,C1428,MOVIMIENTOS_COMPLEMENTOS!$G$4:$G$803,E1428,MOVIMIENTOS_COMPLEMENTOS!$H$4:$H$803,G1428,MOVIMIENTOS_COMPLEMENTOS!$B$4:$B$803,"INGRESO")+SUMIFS(MOVIMIENTOS_COMPLEMENTOS!$I$4:$I$803,MOVIMIENTOS_COMPLEMENTOS!$C$4:$C$803,A1428,MOVIMIENTOS_COMPLEMENTOS!$D$4:$D$803,B1428,MOVIMIENTOS_COMPLEMENTOS!$E$4:$E$803,C1428,MOVIMIENTOS_COMPLEMENTOS!$G$4:$G$803,E1428,MOVIMIENTOS_COMPLEMENTOS!$H$4:$H$803,G1428,MOVIMIENTOS_COMPLEMENTOS!$B$4:$B$803,"DE CORTE")-SUMIFS(MOVIMIENTOS_COMPLEMENTOS!$I$4:$I$803,MOVIMIENTOS_COMPLEMENTOS!$C$4:$C$803,A1428,MOVIMIENTOS_COMPLEMENTOS!$D$4:$D$803,B1428,MOVIMIENTOS_COMPLEMENTOS!$E$4:$E$803,C1428,MOVIMIENTOS_COMPLEMENTOS!$G$4:$G$803,E1428,MOVIMIENTOS_COMPLEMENTOS!$H$4:$H$803,G1428,MOVIMIENTOS_COMPLEMENTOS!$B$4:$B$803,"SALIDA"),0)</f>
        <v>0</v>
      </c>
      <c r="I1428" s="102">
        <f t="array" ref="I1428">IFERROR(INDEX(PRECIOS_COMPLEMENTOS!$C$4:$F$17,MATCH(B1428&amp;"_"&amp;C1428,PRECIOS_COMPLEMENTOS!$H$4:$H$17,0),IF(OR(G1428="S",G1428="20cm"),1,IF(OR(G1428="M",G1428="25cm"),2,IF(OR(G1428="L",G1428="30cm"),3,IF(OR(G1428="XL",G1428="35cm"),4,0))))),0)</f>
        <v>0.3</v>
      </c>
      <c r="J1428" s="103">
        <f t="shared" si="1"/>
        <v>0</v>
      </c>
      <c r="K1428" s="104" t="str">
        <f>IF(H1428&lt;0,"ERROR",IF(H1428=0,"",IF(H1428&lt;CONFIG!$B$4,"CRÍTICO",IF(H1428&lt;CONFIG!$B$5,"BAJO","OK"))))</f>
        <v/>
      </c>
    </row>
    <row r="1429" ht="15.75" hidden="1" customHeight="1">
      <c r="A1429" s="90" t="str">
        <f>IF(CLIENTES!A9="","",CLIENTES!A9)</f>
        <v/>
      </c>
      <c r="B1429" s="90" t="s">
        <v>324</v>
      </c>
      <c r="C1429" s="91" t="s">
        <v>322</v>
      </c>
      <c r="D1429" s="109" t="s">
        <v>353</v>
      </c>
      <c r="E1429" s="67" t="str">
        <f>COLORES!A16</f>
        <v>Topo</v>
      </c>
      <c r="F1429" s="67" t="str">
        <f>COLORES!B16</f>
        <v>CLARO</v>
      </c>
      <c r="G1429" s="90" t="s">
        <v>377</v>
      </c>
      <c r="H1429" s="100">
        <f>IFERROR(SUMIFS(MOVIMIENTOS_COMPLEMENTOS!$I$4:$I$803,MOVIMIENTOS_COMPLEMENTOS!$C$4:$C$803,A1429,MOVIMIENTOS_COMPLEMENTOS!$D$4:$D$803,B1429,MOVIMIENTOS_COMPLEMENTOS!$E$4:$E$803,C1429,MOVIMIENTOS_COMPLEMENTOS!$G$4:$G$803,E1429,MOVIMIENTOS_COMPLEMENTOS!$H$4:$H$803,G1429,MOVIMIENTOS_COMPLEMENTOS!$B$4:$B$803,"INGRESO")+SUMIFS(MOVIMIENTOS_COMPLEMENTOS!$I$4:$I$803,MOVIMIENTOS_COMPLEMENTOS!$C$4:$C$803,A1429,MOVIMIENTOS_COMPLEMENTOS!$D$4:$D$803,B1429,MOVIMIENTOS_COMPLEMENTOS!$E$4:$E$803,C1429,MOVIMIENTOS_COMPLEMENTOS!$G$4:$G$803,E1429,MOVIMIENTOS_COMPLEMENTOS!$H$4:$H$803,G1429,MOVIMIENTOS_COMPLEMENTOS!$B$4:$B$803,"DE CORTE")-SUMIFS(MOVIMIENTOS_COMPLEMENTOS!$I$4:$I$803,MOVIMIENTOS_COMPLEMENTOS!$C$4:$C$803,A1429,MOVIMIENTOS_COMPLEMENTOS!$D$4:$D$803,B1429,MOVIMIENTOS_COMPLEMENTOS!$E$4:$E$803,C1429,MOVIMIENTOS_COMPLEMENTOS!$G$4:$G$803,E1429,MOVIMIENTOS_COMPLEMENTOS!$H$4:$H$803,G1429,MOVIMIENTOS_COMPLEMENTOS!$B$4:$B$803,"SALIDA"),0)</f>
        <v>0</v>
      </c>
      <c r="I1429" s="102">
        <f t="array" ref="I1429">IFERROR(INDEX(PRECIOS_COMPLEMENTOS!$C$4:$F$17,MATCH(B1429&amp;"_"&amp;C1429,PRECIOS_COMPLEMENTOS!$H$4:$H$17,0),IF(OR(G1429="S",G1429="20cm"),1,IF(OR(G1429="M",G1429="25cm"),2,IF(OR(G1429="L",G1429="30cm"),3,IF(OR(G1429="XL",G1429="35cm"),4,0))))),0)</f>
        <v>0.35</v>
      </c>
      <c r="J1429" s="103">
        <f t="shared" si="1"/>
        <v>0</v>
      </c>
      <c r="K1429" s="104" t="str">
        <f>IF(H1429&lt;0,"ERROR",IF(H1429=0,"",IF(H1429&lt;CONFIG!$B$4,"CRÍTICO",IF(H1429&lt;CONFIG!$B$5,"BAJO","OK"))))</f>
        <v/>
      </c>
    </row>
    <row r="1430" ht="15.75" hidden="1" customHeight="1">
      <c r="A1430" s="90" t="str">
        <f>IF(CLIENTES!A9="","",CLIENTES!A9)</f>
        <v/>
      </c>
      <c r="B1430" s="90" t="s">
        <v>324</v>
      </c>
      <c r="C1430" s="91" t="s">
        <v>322</v>
      </c>
      <c r="D1430" s="109" t="s">
        <v>353</v>
      </c>
      <c r="E1430" s="67" t="str">
        <f>COLORES!A17</f>
        <v>Vino</v>
      </c>
      <c r="F1430" s="67" t="str">
        <f>COLORES!B17</f>
        <v>OSCURO</v>
      </c>
      <c r="G1430" s="90" t="s">
        <v>376</v>
      </c>
      <c r="H1430" s="100">
        <f>IFERROR(SUMIFS(MOVIMIENTOS_COMPLEMENTOS!$I$4:$I$803,MOVIMIENTOS_COMPLEMENTOS!$C$4:$C$803,A1430,MOVIMIENTOS_COMPLEMENTOS!$D$4:$D$803,B1430,MOVIMIENTOS_COMPLEMENTOS!$E$4:$E$803,C1430,MOVIMIENTOS_COMPLEMENTOS!$G$4:$G$803,E1430,MOVIMIENTOS_COMPLEMENTOS!$H$4:$H$803,G1430,MOVIMIENTOS_COMPLEMENTOS!$B$4:$B$803,"INGRESO")+SUMIFS(MOVIMIENTOS_COMPLEMENTOS!$I$4:$I$803,MOVIMIENTOS_COMPLEMENTOS!$C$4:$C$803,A1430,MOVIMIENTOS_COMPLEMENTOS!$D$4:$D$803,B1430,MOVIMIENTOS_COMPLEMENTOS!$E$4:$E$803,C1430,MOVIMIENTOS_COMPLEMENTOS!$G$4:$G$803,E1430,MOVIMIENTOS_COMPLEMENTOS!$H$4:$H$803,G1430,MOVIMIENTOS_COMPLEMENTOS!$B$4:$B$803,"DE CORTE")-SUMIFS(MOVIMIENTOS_COMPLEMENTOS!$I$4:$I$803,MOVIMIENTOS_COMPLEMENTOS!$C$4:$C$803,A1430,MOVIMIENTOS_COMPLEMENTOS!$D$4:$D$803,B1430,MOVIMIENTOS_COMPLEMENTOS!$E$4:$E$803,C1430,MOVIMIENTOS_COMPLEMENTOS!$G$4:$G$803,E1430,MOVIMIENTOS_COMPLEMENTOS!$H$4:$H$803,G1430,MOVIMIENTOS_COMPLEMENTOS!$B$4:$B$803,"SALIDA"),0)</f>
        <v>0</v>
      </c>
      <c r="I1430" s="102">
        <f t="array" ref="I1430">IFERROR(INDEX(PRECIOS_COMPLEMENTOS!$C$4:$F$17,MATCH(B1430&amp;"_"&amp;C1430,PRECIOS_COMPLEMENTOS!$H$4:$H$17,0),IF(OR(G1430="S",G1430="20cm"),1,IF(OR(G1430="M",G1430="25cm"),2,IF(OR(G1430="L",G1430="30cm"),3,IF(OR(G1430="XL",G1430="35cm"),4,0))))),0)</f>
        <v>0.3</v>
      </c>
      <c r="J1430" s="103">
        <f t="shared" si="1"/>
        <v>0</v>
      </c>
      <c r="K1430" s="104" t="str">
        <f>IF(H1430&lt;0,"ERROR",IF(H1430=0,"",IF(H1430&lt;CONFIG!$B$4,"CRÍTICO",IF(H1430&lt;CONFIG!$B$5,"BAJO","OK"))))</f>
        <v/>
      </c>
    </row>
    <row r="1431" ht="15.75" hidden="1" customHeight="1">
      <c r="A1431" s="90" t="str">
        <f>IF(CLIENTES!A9="","",CLIENTES!A9)</f>
        <v/>
      </c>
      <c r="B1431" s="90" t="s">
        <v>324</v>
      </c>
      <c r="C1431" s="91" t="s">
        <v>322</v>
      </c>
      <c r="D1431" s="109" t="s">
        <v>353</v>
      </c>
      <c r="E1431" s="67" t="str">
        <f>COLORES!A17</f>
        <v>Vino</v>
      </c>
      <c r="F1431" s="67" t="str">
        <f>COLORES!B17</f>
        <v>OSCURO</v>
      </c>
      <c r="G1431" s="90" t="s">
        <v>377</v>
      </c>
      <c r="H1431" s="100">
        <f>IFERROR(SUMIFS(MOVIMIENTOS_COMPLEMENTOS!$I$4:$I$803,MOVIMIENTOS_COMPLEMENTOS!$C$4:$C$803,A1431,MOVIMIENTOS_COMPLEMENTOS!$D$4:$D$803,B1431,MOVIMIENTOS_COMPLEMENTOS!$E$4:$E$803,C1431,MOVIMIENTOS_COMPLEMENTOS!$G$4:$G$803,E1431,MOVIMIENTOS_COMPLEMENTOS!$H$4:$H$803,G1431,MOVIMIENTOS_COMPLEMENTOS!$B$4:$B$803,"INGRESO")+SUMIFS(MOVIMIENTOS_COMPLEMENTOS!$I$4:$I$803,MOVIMIENTOS_COMPLEMENTOS!$C$4:$C$803,A1431,MOVIMIENTOS_COMPLEMENTOS!$D$4:$D$803,B1431,MOVIMIENTOS_COMPLEMENTOS!$E$4:$E$803,C1431,MOVIMIENTOS_COMPLEMENTOS!$G$4:$G$803,E1431,MOVIMIENTOS_COMPLEMENTOS!$H$4:$H$803,G1431,MOVIMIENTOS_COMPLEMENTOS!$B$4:$B$803,"DE CORTE")-SUMIFS(MOVIMIENTOS_COMPLEMENTOS!$I$4:$I$803,MOVIMIENTOS_COMPLEMENTOS!$C$4:$C$803,A1431,MOVIMIENTOS_COMPLEMENTOS!$D$4:$D$803,B1431,MOVIMIENTOS_COMPLEMENTOS!$E$4:$E$803,C1431,MOVIMIENTOS_COMPLEMENTOS!$G$4:$G$803,E1431,MOVIMIENTOS_COMPLEMENTOS!$H$4:$H$803,G1431,MOVIMIENTOS_COMPLEMENTOS!$B$4:$B$803,"SALIDA"),0)</f>
        <v>0</v>
      </c>
      <c r="I1431" s="102">
        <f t="array" ref="I1431">IFERROR(INDEX(PRECIOS_COMPLEMENTOS!$C$4:$F$17,MATCH(B1431&amp;"_"&amp;C1431,PRECIOS_COMPLEMENTOS!$H$4:$H$17,0),IF(OR(G1431="S",G1431="20cm"),1,IF(OR(G1431="M",G1431="25cm"),2,IF(OR(G1431="L",G1431="30cm"),3,IF(OR(G1431="XL",G1431="35cm"),4,0))))),0)</f>
        <v>0.35</v>
      </c>
      <c r="J1431" s="103">
        <f t="shared" si="1"/>
        <v>0</v>
      </c>
      <c r="K1431" s="104" t="str">
        <f>IF(H1431&lt;0,"ERROR",IF(H1431=0,"",IF(H1431&lt;CONFIG!$B$4,"CRÍTICO",IF(H1431&lt;CONFIG!$B$5,"BAJO","OK"))))</f>
        <v/>
      </c>
    </row>
    <row r="1432" ht="15.75" hidden="1" customHeight="1">
      <c r="A1432" s="90" t="str">
        <f>IF(CLIENTES!A9="","",CLIENTES!A9)</f>
        <v/>
      </c>
      <c r="B1432" s="90" t="s">
        <v>324</v>
      </c>
      <c r="C1432" s="91" t="s">
        <v>322</v>
      </c>
      <c r="D1432" s="109" t="s">
        <v>353</v>
      </c>
      <c r="E1432" s="67" t="str">
        <f>COLORES!A18</f>
        <v>P. Rosa</v>
      </c>
      <c r="F1432" s="67" t="str">
        <f>COLORES!B18</f>
        <v>CLARO</v>
      </c>
      <c r="G1432" s="90" t="s">
        <v>376</v>
      </c>
      <c r="H1432" s="100">
        <f>IFERROR(SUMIFS(MOVIMIENTOS_COMPLEMENTOS!$I$4:$I$803,MOVIMIENTOS_COMPLEMENTOS!$C$4:$C$803,A1432,MOVIMIENTOS_COMPLEMENTOS!$D$4:$D$803,B1432,MOVIMIENTOS_COMPLEMENTOS!$E$4:$E$803,C1432,MOVIMIENTOS_COMPLEMENTOS!$G$4:$G$803,E1432,MOVIMIENTOS_COMPLEMENTOS!$H$4:$H$803,G1432,MOVIMIENTOS_COMPLEMENTOS!$B$4:$B$803,"INGRESO")+SUMIFS(MOVIMIENTOS_COMPLEMENTOS!$I$4:$I$803,MOVIMIENTOS_COMPLEMENTOS!$C$4:$C$803,A1432,MOVIMIENTOS_COMPLEMENTOS!$D$4:$D$803,B1432,MOVIMIENTOS_COMPLEMENTOS!$E$4:$E$803,C1432,MOVIMIENTOS_COMPLEMENTOS!$G$4:$G$803,E1432,MOVIMIENTOS_COMPLEMENTOS!$H$4:$H$803,G1432,MOVIMIENTOS_COMPLEMENTOS!$B$4:$B$803,"DE CORTE")-SUMIFS(MOVIMIENTOS_COMPLEMENTOS!$I$4:$I$803,MOVIMIENTOS_COMPLEMENTOS!$C$4:$C$803,A1432,MOVIMIENTOS_COMPLEMENTOS!$D$4:$D$803,B1432,MOVIMIENTOS_COMPLEMENTOS!$E$4:$E$803,C1432,MOVIMIENTOS_COMPLEMENTOS!$G$4:$G$803,E1432,MOVIMIENTOS_COMPLEMENTOS!$H$4:$H$803,G1432,MOVIMIENTOS_COMPLEMENTOS!$B$4:$B$803,"SALIDA"),0)</f>
        <v>0</v>
      </c>
      <c r="I1432" s="102">
        <f t="array" ref="I1432">IFERROR(INDEX(PRECIOS_COMPLEMENTOS!$C$4:$F$17,MATCH(B1432&amp;"_"&amp;C1432,PRECIOS_COMPLEMENTOS!$H$4:$H$17,0),IF(OR(G1432="S",G1432="20cm"),1,IF(OR(G1432="M",G1432="25cm"),2,IF(OR(G1432="L",G1432="30cm"),3,IF(OR(G1432="XL",G1432="35cm"),4,0))))),0)</f>
        <v>0.3</v>
      </c>
      <c r="J1432" s="103">
        <f t="shared" si="1"/>
        <v>0</v>
      </c>
      <c r="K1432" s="104" t="str">
        <f>IF(H1432&lt;0,"ERROR",IF(H1432=0,"",IF(H1432&lt;CONFIG!$B$4,"CRÍTICO",IF(H1432&lt;CONFIG!$B$5,"BAJO","OK"))))</f>
        <v/>
      </c>
    </row>
    <row r="1433" ht="15.75" hidden="1" customHeight="1">
      <c r="A1433" s="90" t="str">
        <f>IF(CLIENTES!A9="","",CLIENTES!A9)</f>
        <v/>
      </c>
      <c r="B1433" s="90" t="s">
        <v>324</v>
      </c>
      <c r="C1433" s="91" t="s">
        <v>322</v>
      </c>
      <c r="D1433" s="109" t="s">
        <v>353</v>
      </c>
      <c r="E1433" s="67" t="str">
        <f>COLORES!A18</f>
        <v>P. Rosa</v>
      </c>
      <c r="F1433" s="67" t="str">
        <f>COLORES!B18</f>
        <v>CLARO</v>
      </c>
      <c r="G1433" s="90" t="s">
        <v>377</v>
      </c>
      <c r="H1433" s="100">
        <f>IFERROR(SUMIFS(MOVIMIENTOS_COMPLEMENTOS!$I$4:$I$803,MOVIMIENTOS_COMPLEMENTOS!$C$4:$C$803,A1433,MOVIMIENTOS_COMPLEMENTOS!$D$4:$D$803,B1433,MOVIMIENTOS_COMPLEMENTOS!$E$4:$E$803,C1433,MOVIMIENTOS_COMPLEMENTOS!$G$4:$G$803,E1433,MOVIMIENTOS_COMPLEMENTOS!$H$4:$H$803,G1433,MOVIMIENTOS_COMPLEMENTOS!$B$4:$B$803,"INGRESO")+SUMIFS(MOVIMIENTOS_COMPLEMENTOS!$I$4:$I$803,MOVIMIENTOS_COMPLEMENTOS!$C$4:$C$803,A1433,MOVIMIENTOS_COMPLEMENTOS!$D$4:$D$803,B1433,MOVIMIENTOS_COMPLEMENTOS!$E$4:$E$803,C1433,MOVIMIENTOS_COMPLEMENTOS!$G$4:$G$803,E1433,MOVIMIENTOS_COMPLEMENTOS!$H$4:$H$803,G1433,MOVIMIENTOS_COMPLEMENTOS!$B$4:$B$803,"DE CORTE")-SUMIFS(MOVIMIENTOS_COMPLEMENTOS!$I$4:$I$803,MOVIMIENTOS_COMPLEMENTOS!$C$4:$C$803,A1433,MOVIMIENTOS_COMPLEMENTOS!$D$4:$D$803,B1433,MOVIMIENTOS_COMPLEMENTOS!$E$4:$E$803,C1433,MOVIMIENTOS_COMPLEMENTOS!$G$4:$G$803,E1433,MOVIMIENTOS_COMPLEMENTOS!$H$4:$H$803,G1433,MOVIMIENTOS_COMPLEMENTOS!$B$4:$B$803,"SALIDA"),0)</f>
        <v>0</v>
      </c>
      <c r="I1433" s="102">
        <f t="array" ref="I1433">IFERROR(INDEX(PRECIOS_COMPLEMENTOS!$C$4:$F$17,MATCH(B1433&amp;"_"&amp;C1433,PRECIOS_COMPLEMENTOS!$H$4:$H$17,0),IF(OR(G1433="S",G1433="20cm"),1,IF(OR(G1433="M",G1433="25cm"),2,IF(OR(G1433="L",G1433="30cm"),3,IF(OR(G1433="XL",G1433="35cm"),4,0))))),0)</f>
        <v>0.35</v>
      </c>
      <c r="J1433" s="103">
        <f t="shared" si="1"/>
        <v>0</v>
      </c>
      <c r="K1433" s="104" t="str">
        <f>IF(H1433&lt;0,"ERROR",IF(H1433=0,"",IF(H1433&lt;CONFIG!$B$4,"CRÍTICO",IF(H1433&lt;CONFIG!$B$5,"BAJO","OK"))))</f>
        <v/>
      </c>
    </row>
    <row r="1434" ht="15.75" hidden="1" customHeight="1">
      <c r="A1434" s="90" t="str">
        <f>IF(CLIENTES!A9="","",CLIENTES!A9)</f>
        <v/>
      </c>
      <c r="B1434" s="90" t="s">
        <v>324</v>
      </c>
      <c r="C1434" s="91" t="s">
        <v>322</v>
      </c>
      <c r="D1434" s="109" t="s">
        <v>353</v>
      </c>
      <c r="E1434" s="67" t="str">
        <f>COLORES!A19</f>
        <v/>
      </c>
      <c r="F1434" s="67" t="str">
        <f>COLORES!B19</f>
        <v/>
      </c>
      <c r="G1434" s="90" t="s">
        <v>376</v>
      </c>
      <c r="H1434" s="100">
        <f>IFERROR(SUMIFS(MOVIMIENTOS_COMPLEMENTOS!$I$4:$I$803,MOVIMIENTOS_COMPLEMENTOS!$C$4:$C$803,A1434,MOVIMIENTOS_COMPLEMENTOS!$D$4:$D$803,B1434,MOVIMIENTOS_COMPLEMENTOS!$E$4:$E$803,C1434,MOVIMIENTOS_COMPLEMENTOS!$G$4:$G$803,E1434,MOVIMIENTOS_COMPLEMENTOS!$H$4:$H$803,G1434,MOVIMIENTOS_COMPLEMENTOS!$B$4:$B$803,"INGRESO")+SUMIFS(MOVIMIENTOS_COMPLEMENTOS!$I$4:$I$803,MOVIMIENTOS_COMPLEMENTOS!$C$4:$C$803,A1434,MOVIMIENTOS_COMPLEMENTOS!$D$4:$D$803,B1434,MOVIMIENTOS_COMPLEMENTOS!$E$4:$E$803,C1434,MOVIMIENTOS_COMPLEMENTOS!$G$4:$G$803,E1434,MOVIMIENTOS_COMPLEMENTOS!$H$4:$H$803,G1434,MOVIMIENTOS_COMPLEMENTOS!$B$4:$B$803,"DE CORTE")-SUMIFS(MOVIMIENTOS_COMPLEMENTOS!$I$4:$I$803,MOVIMIENTOS_COMPLEMENTOS!$C$4:$C$803,A1434,MOVIMIENTOS_COMPLEMENTOS!$D$4:$D$803,B1434,MOVIMIENTOS_COMPLEMENTOS!$E$4:$E$803,C1434,MOVIMIENTOS_COMPLEMENTOS!$G$4:$G$803,E1434,MOVIMIENTOS_COMPLEMENTOS!$H$4:$H$803,G1434,MOVIMIENTOS_COMPLEMENTOS!$B$4:$B$803,"SALIDA"),0)</f>
        <v>0</v>
      </c>
      <c r="I1434" s="102">
        <f t="array" ref="I1434">IFERROR(INDEX(PRECIOS_COMPLEMENTOS!$C$4:$F$17,MATCH(B1434&amp;"_"&amp;C1434,PRECIOS_COMPLEMENTOS!$H$4:$H$17,0),IF(OR(G1434="S",G1434="20cm"),1,IF(OR(G1434="M",G1434="25cm"),2,IF(OR(G1434="L",G1434="30cm"),3,IF(OR(G1434="XL",G1434="35cm"),4,0))))),0)</f>
        <v>0.3</v>
      </c>
      <c r="J1434" s="103">
        <f t="shared" si="1"/>
        <v>0</v>
      </c>
      <c r="K1434" s="104" t="str">
        <f>IF(H1434&lt;0,"ERROR",IF(H1434=0,"",IF(H1434&lt;CONFIG!$B$4,"CRÍTICO",IF(H1434&lt;CONFIG!$B$5,"BAJO","OK"))))</f>
        <v/>
      </c>
    </row>
    <row r="1435" ht="15.75" hidden="1" customHeight="1">
      <c r="A1435" s="90" t="str">
        <f>IF(CLIENTES!A9="","",CLIENTES!A9)</f>
        <v/>
      </c>
      <c r="B1435" s="90" t="s">
        <v>324</v>
      </c>
      <c r="C1435" s="91" t="s">
        <v>322</v>
      </c>
      <c r="D1435" s="109" t="s">
        <v>353</v>
      </c>
      <c r="E1435" s="67" t="str">
        <f>COLORES!A19</f>
        <v/>
      </c>
      <c r="F1435" s="67" t="str">
        <f>COLORES!B19</f>
        <v/>
      </c>
      <c r="G1435" s="90" t="s">
        <v>377</v>
      </c>
      <c r="H1435" s="100">
        <f>IFERROR(SUMIFS(MOVIMIENTOS_COMPLEMENTOS!$I$4:$I$803,MOVIMIENTOS_COMPLEMENTOS!$C$4:$C$803,A1435,MOVIMIENTOS_COMPLEMENTOS!$D$4:$D$803,B1435,MOVIMIENTOS_COMPLEMENTOS!$E$4:$E$803,C1435,MOVIMIENTOS_COMPLEMENTOS!$G$4:$G$803,E1435,MOVIMIENTOS_COMPLEMENTOS!$H$4:$H$803,G1435,MOVIMIENTOS_COMPLEMENTOS!$B$4:$B$803,"INGRESO")+SUMIFS(MOVIMIENTOS_COMPLEMENTOS!$I$4:$I$803,MOVIMIENTOS_COMPLEMENTOS!$C$4:$C$803,A1435,MOVIMIENTOS_COMPLEMENTOS!$D$4:$D$803,B1435,MOVIMIENTOS_COMPLEMENTOS!$E$4:$E$803,C1435,MOVIMIENTOS_COMPLEMENTOS!$G$4:$G$803,E1435,MOVIMIENTOS_COMPLEMENTOS!$H$4:$H$803,G1435,MOVIMIENTOS_COMPLEMENTOS!$B$4:$B$803,"DE CORTE")-SUMIFS(MOVIMIENTOS_COMPLEMENTOS!$I$4:$I$803,MOVIMIENTOS_COMPLEMENTOS!$C$4:$C$803,A1435,MOVIMIENTOS_COMPLEMENTOS!$D$4:$D$803,B1435,MOVIMIENTOS_COMPLEMENTOS!$E$4:$E$803,C1435,MOVIMIENTOS_COMPLEMENTOS!$G$4:$G$803,E1435,MOVIMIENTOS_COMPLEMENTOS!$H$4:$H$803,G1435,MOVIMIENTOS_COMPLEMENTOS!$B$4:$B$803,"SALIDA"),0)</f>
        <v>0</v>
      </c>
      <c r="I1435" s="102">
        <f t="array" ref="I1435">IFERROR(INDEX(PRECIOS_COMPLEMENTOS!$C$4:$F$17,MATCH(B1435&amp;"_"&amp;C1435,PRECIOS_COMPLEMENTOS!$H$4:$H$17,0),IF(OR(G1435="S",G1435="20cm"),1,IF(OR(G1435="M",G1435="25cm"),2,IF(OR(G1435="L",G1435="30cm"),3,IF(OR(G1435="XL",G1435="35cm"),4,0))))),0)</f>
        <v>0.35</v>
      </c>
      <c r="J1435" s="103">
        <f t="shared" si="1"/>
        <v>0</v>
      </c>
      <c r="K1435" s="104" t="str">
        <f>IF(H1435&lt;0,"ERROR",IF(H1435=0,"",IF(H1435&lt;CONFIG!$B$4,"CRÍTICO",IF(H1435&lt;CONFIG!$B$5,"BAJO","OK"))))</f>
        <v/>
      </c>
    </row>
    <row r="1436" ht="15.75" hidden="1" customHeight="1">
      <c r="A1436" s="90" t="str">
        <f>IF(CLIENTES!A9="","",CLIENTES!A9)</f>
        <v/>
      </c>
      <c r="B1436" s="90" t="s">
        <v>324</v>
      </c>
      <c r="C1436" s="91" t="s">
        <v>322</v>
      </c>
      <c r="D1436" s="109" t="s">
        <v>353</v>
      </c>
      <c r="E1436" s="67" t="str">
        <f>COLORES!A20</f>
        <v/>
      </c>
      <c r="F1436" s="67" t="str">
        <f>COLORES!B20</f>
        <v/>
      </c>
      <c r="G1436" s="90" t="s">
        <v>376</v>
      </c>
      <c r="H1436" s="100">
        <f>IFERROR(SUMIFS(MOVIMIENTOS_COMPLEMENTOS!$I$4:$I$803,MOVIMIENTOS_COMPLEMENTOS!$C$4:$C$803,A1436,MOVIMIENTOS_COMPLEMENTOS!$D$4:$D$803,B1436,MOVIMIENTOS_COMPLEMENTOS!$E$4:$E$803,C1436,MOVIMIENTOS_COMPLEMENTOS!$G$4:$G$803,E1436,MOVIMIENTOS_COMPLEMENTOS!$H$4:$H$803,G1436,MOVIMIENTOS_COMPLEMENTOS!$B$4:$B$803,"INGRESO")+SUMIFS(MOVIMIENTOS_COMPLEMENTOS!$I$4:$I$803,MOVIMIENTOS_COMPLEMENTOS!$C$4:$C$803,A1436,MOVIMIENTOS_COMPLEMENTOS!$D$4:$D$803,B1436,MOVIMIENTOS_COMPLEMENTOS!$E$4:$E$803,C1436,MOVIMIENTOS_COMPLEMENTOS!$G$4:$G$803,E1436,MOVIMIENTOS_COMPLEMENTOS!$H$4:$H$803,G1436,MOVIMIENTOS_COMPLEMENTOS!$B$4:$B$803,"DE CORTE")-SUMIFS(MOVIMIENTOS_COMPLEMENTOS!$I$4:$I$803,MOVIMIENTOS_COMPLEMENTOS!$C$4:$C$803,A1436,MOVIMIENTOS_COMPLEMENTOS!$D$4:$D$803,B1436,MOVIMIENTOS_COMPLEMENTOS!$E$4:$E$803,C1436,MOVIMIENTOS_COMPLEMENTOS!$G$4:$G$803,E1436,MOVIMIENTOS_COMPLEMENTOS!$H$4:$H$803,G1436,MOVIMIENTOS_COMPLEMENTOS!$B$4:$B$803,"SALIDA"),0)</f>
        <v>0</v>
      </c>
      <c r="I1436" s="102">
        <f t="array" ref="I1436">IFERROR(INDEX(PRECIOS_COMPLEMENTOS!$C$4:$F$17,MATCH(B1436&amp;"_"&amp;C1436,PRECIOS_COMPLEMENTOS!$H$4:$H$17,0),IF(OR(G1436="S",G1436="20cm"),1,IF(OR(G1436="M",G1436="25cm"),2,IF(OR(G1436="L",G1436="30cm"),3,IF(OR(G1436="XL",G1436="35cm"),4,0))))),0)</f>
        <v>0.3</v>
      </c>
      <c r="J1436" s="103">
        <f t="shared" si="1"/>
        <v>0</v>
      </c>
      <c r="K1436" s="104" t="str">
        <f>IF(H1436&lt;0,"ERROR",IF(H1436=0,"",IF(H1436&lt;CONFIG!$B$4,"CRÍTICO",IF(H1436&lt;CONFIG!$B$5,"BAJO","OK"))))</f>
        <v/>
      </c>
    </row>
    <row r="1437" ht="15.75" hidden="1" customHeight="1">
      <c r="A1437" s="90" t="str">
        <f>IF(CLIENTES!A9="","",CLIENTES!A9)</f>
        <v/>
      </c>
      <c r="B1437" s="90" t="s">
        <v>324</v>
      </c>
      <c r="C1437" s="91" t="s">
        <v>322</v>
      </c>
      <c r="D1437" s="109" t="s">
        <v>353</v>
      </c>
      <c r="E1437" s="67" t="str">
        <f>COLORES!A20</f>
        <v/>
      </c>
      <c r="F1437" s="67" t="str">
        <f>COLORES!B20</f>
        <v/>
      </c>
      <c r="G1437" s="90" t="s">
        <v>377</v>
      </c>
      <c r="H1437" s="100">
        <f>IFERROR(SUMIFS(MOVIMIENTOS_COMPLEMENTOS!$I$4:$I$803,MOVIMIENTOS_COMPLEMENTOS!$C$4:$C$803,A1437,MOVIMIENTOS_COMPLEMENTOS!$D$4:$D$803,B1437,MOVIMIENTOS_COMPLEMENTOS!$E$4:$E$803,C1437,MOVIMIENTOS_COMPLEMENTOS!$G$4:$G$803,E1437,MOVIMIENTOS_COMPLEMENTOS!$H$4:$H$803,G1437,MOVIMIENTOS_COMPLEMENTOS!$B$4:$B$803,"INGRESO")+SUMIFS(MOVIMIENTOS_COMPLEMENTOS!$I$4:$I$803,MOVIMIENTOS_COMPLEMENTOS!$C$4:$C$803,A1437,MOVIMIENTOS_COMPLEMENTOS!$D$4:$D$803,B1437,MOVIMIENTOS_COMPLEMENTOS!$E$4:$E$803,C1437,MOVIMIENTOS_COMPLEMENTOS!$G$4:$G$803,E1437,MOVIMIENTOS_COMPLEMENTOS!$H$4:$H$803,G1437,MOVIMIENTOS_COMPLEMENTOS!$B$4:$B$803,"DE CORTE")-SUMIFS(MOVIMIENTOS_COMPLEMENTOS!$I$4:$I$803,MOVIMIENTOS_COMPLEMENTOS!$C$4:$C$803,A1437,MOVIMIENTOS_COMPLEMENTOS!$D$4:$D$803,B1437,MOVIMIENTOS_COMPLEMENTOS!$E$4:$E$803,C1437,MOVIMIENTOS_COMPLEMENTOS!$G$4:$G$803,E1437,MOVIMIENTOS_COMPLEMENTOS!$H$4:$H$803,G1437,MOVIMIENTOS_COMPLEMENTOS!$B$4:$B$803,"SALIDA"),0)</f>
        <v>0</v>
      </c>
      <c r="I1437" s="102">
        <f t="array" ref="I1437">IFERROR(INDEX(PRECIOS_COMPLEMENTOS!$C$4:$F$17,MATCH(B1437&amp;"_"&amp;C1437,PRECIOS_COMPLEMENTOS!$H$4:$H$17,0),IF(OR(G1437="S",G1437="20cm"),1,IF(OR(G1437="M",G1437="25cm"),2,IF(OR(G1437="L",G1437="30cm"),3,IF(OR(G1437="XL",G1437="35cm"),4,0))))),0)</f>
        <v>0.35</v>
      </c>
      <c r="J1437" s="103">
        <f t="shared" si="1"/>
        <v>0</v>
      </c>
      <c r="K1437" s="104" t="str">
        <f>IF(H1437&lt;0,"ERROR",IF(H1437=0,"",IF(H1437&lt;CONFIG!$B$4,"CRÍTICO",IF(H1437&lt;CONFIG!$B$5,"BAJO","OK"))))</f>
        <v/>
      </c>
    </row>
    <row r="1438" ht="15.75" hidden="1" customHeight="1">
      <c r="A1438" s="90" t="str">
        <f>IF(CLIENTES!A9="","",CLIENTES!A9)</f>
        <v/>
      </c>
      <c r="B1438" s="90" t="s">
        <v>324</v>
      </c>
      <c r="C1438" s="91" t="s">
        <v>322</v>
      </c>
      <c r="D1438" s="109" t="s">
        <v>353</v>
      </c>
      <c r="E1438" s="67" t="str">
        <f>COLORES!A21</f>
        <v/>
      </c>
      <c r="F1438" s="67" t="str">
        <f>COLORES!B21</f>
        <v/>
      </c>
      <c r="G1438" s="90" t="s">
        <v>376</v>
      </c>
      <c r="H1438" s="100">
        <f>IFERROR(SUMIFS(MOVIMIENTOS_COMPLEMENTOS!$I$4:$I$803,MOVIMIENTOS_COMPLEMENTOS!$C$4:$C$803,A1438,MOVIMIENTOS_COMPLEMENTOS!$D$4:$D$803,B1438,MOVIMIENTOS_COMPLEMENTOS!$E$4:$E$803,C1438,MOVIMIENTOS_COMPLEMENTOS!$G$4:$G$803,E1438,MOVIMIENTOS_COMPLEMENTOS!$H$4:$H$803,G1438,MOVIMIENTOS_COMPLEMENTOS!$B$4:$B$803,"INGRESO")+SUMIFS(MOVIMIENTOS_COMPLEMENTOS!$I$4:$I$803,MOVIMIENTOS_COMPLEMENTOS!$C$4:$C$803,A1438,MOVIMIENTOS_COMPLEMENTOS!$D$4:$D$803,B1438,MOVIMIENTOS_COMPLEMENTOS!$E$4:$E$803,C1438,MOVIMIENTOS_COMPLEMENTOS!$G$4:$G$803,E1438,MOVIMIENTOS_COMPLEMENTOS!$H$4:$H$803,G1438,MOVIMIENTOS_COMPLEMENTOS!$B$4:$B$803,"DE CORTE")-SUMIFS(MOVIMIENTOS_COMPLEMENTOS!$I$4:$I$803,MOVIMIENTOS_COMPLEMENTOS!$C$4:$C$803,A1438,MOVIMIENTOS_COMPLEMENTOS!$D$4:$D$803,B1438,MOVIMIENTOS_COMPLEMENTOS!$E$4:$E$803,C1438,MOVIMIENTOS_COMPLEMENTOS!$G$4:$G$803,E1438,MOVIMIENTOS_COMPLEMENTOS!$H$4:$H$803,G1438,MOVIMIENTOS_COMPLEMENTOS!$B$4:$B$803,"SALIDA"),0)</f>
        <v>0</v>
      </c>
      <c r="I1438" s="102">
        <f t="array" ref="I1438">IFERROR(INDEX(PRECIOS_COMPLEMENTOS!$C$4:$F$17,MATCH(B1438&amp;"_"&amp;C1438,PRECIOS_COMPLEMENTOS!$H$4:$H$17,0),IF(OR(G1438="S",G1438="20cm"),1,IF(OR(G1438="M",G1438="25cm"),2,IF(OR(G1438="L",G1438="30cm"),3,IF(OR(G1438="XL",G1438="35cm"),4,0))))),0)</f>
        <v>0.3</v>
      </c>
      <c r="J1438" s="103">
        <f t="shared" si="1"/>
        <v>0</v>
      </c>
      <c r="K1438" s="104" t="str">
        <f>IF(H1438&lt;0,"ERROR",IF(H1438=0,"",IF(H1438&lt;CONFIG!$B$4,"CRÍTICO",IF(H1438&lt;CONFIG!$B$5,"BAJO","OK"))))</f>
        <v/>
      </c>
    </row>
    <row r="1439" ht="15.75" hidden="1" customHeight="1">
      <c r="A1439" s="90" t="str">
        <f>IF(CLIENTES!A9="","",CLIENTES!A9)</f>
        <v/>
      </c>
      <c r="B1439" s="90" t="s">
        <v>324</v>
      </c>
      <c r="C1439" s="91" t="s">
        <v>322</v>
      </c>
      <c r="D1439" s="109" t="s">
        <v>353</v>
      </c>
      <c r="E1439" s="67" t="str">
        <f>COLORES!A21</f>
        <v/>
      </c>
      <c r="F1439" s="67" t="str">
        <f>COLORES!B21</f>
        <v/>
      </c>
      <c r="G1439" s="90" t="s">
        <v>377</v>
      </c>
      <c r="H1439" s="100">
        <f>IFERROR(SUMIFS(MOVIMIENTOS_COMPLEMENTOS!$I$4:$I$803,MOVIMIENTOS_COMPLEMENTOS!$C$4:$C$803,A1439,MOVIMIENTOS_COMPLEMENTOS!$D$4:$D$803,B1439,MOVIMIENTOS_COMPLEMENTOS!$E$4:$E$803,C1439,MOVIMIENTOS_COMPLEMENTOS!$G$4:$G$803,E1439,MOVIMIENTOS_COMPLEMENTOS!$H$4:$H$803,G1439,MOVIMIENTOS_COMPLEMENTOS!$B$4:$B$803,"INGRESO")+SUMIFS(MOVIMIENTOS_COMPLEMENTOS!$I$4:$I$803,MOVIMIENTOS_COMPLEMENTOS!$C$4:$C$803,A1439,MOVIMIENTOS_COMPLEMENTOS!$D$4:$D$803,B1439,MOVIMIENTOS_COMPLEMENTOS!$E$4:$E$803,C1439,MOVIMIENTOS_COMPLEMENTOS!$G$4:$G$803,E1439,MOVIMIENTOS_COMPLEMENTOS!$H$4:$H$803,G1439,MOVIMIENTOS_COMPLEMENTOS!$B$4:$B$803,"DE CORTE")-SUMIFS(MOVIMIENTOS_COMPLEMENTOS!$I$4:$I$803,MOVIMIENTOS_COMPLEMENTOS!$C$4:$C$803,A1439,MOVIMIENTOS_COMPLEMENTOS!$D$4:$D$803,B1439,MOVIMIENTOS_COMPLEMENTOS!$E$4:$E$803,C1439,MOVIMIENTOS_COMPLEMENTOS!$G$4:$G$803,E1439,MOVIMIENTOS_COMPLEMENTOS!$H$4:$H$803,G1439,MOVIMIENTOS_COMPLEMENTOS!$B$4:$B$803,"SALIDA"),0)</f>
        <v>0</v>
      </c>
      <c r="I1439" s="102">
        <f t="array" ref="I1439">IFERROR(INDEX(PRECIOS_COMPLEMENTOS!$C$4:$F$17,MATCH(B1439&amp;"_"&amp;C1439,PRECIOS_COMPLEMENTOS!$H$4:$H$17,0),IF(OR(G1439="S",G1439="20cm"),1,IF(OR(G1439="M",G1439="25cm"),2,IF(OR(G1439="L",G1439="30cm"),3,IF(OR(G1439="XL",G1439="35cm"),4,0))))),0)</f>
        <v>0.35</v>
      </c>
      <c r="J1439" s="103">
        <f t="shared" si="1"/>
        <v>0</v>
      </c>
      <c r="K1439" s="104" t="str">
        <f>IF(H1439&lt;0,"ERROR",IF(H1439=0,"",IF(H1439&lt;CONFIG!$B$4,"CRÍTICO",IF(H1439&lt;CONFIG!$B$5,"BAJO","OK"))))</f>
        <v/>
      </c>
    </row>
    <row r="1440" ht="15.75" hidden="1" customHeight="1">
      <c r="A1440" s="90" t="str">
        <f>IF(CLIENTES!A9="","",CLIENTES!A9)</f>
        <v/>
      </c>
      <c r="B1440" s="90" t="s">
        <v>324</v>
      </c>
      <c r="C1440" s="91" t="s">
        <v>322</v>
      </c>
      <c r="D1440" s="109" t="s">
        <v>353</v>
      </c>
      <c r="E1440" s="67" t="str">
        <f>COLORES!A22</f>
        <v/>
      </c>
      <c r="F1440" s="67" t="str">
        <f>COLORES!B22</f>
        <v/>
      </c>
      <c r="G1440" s="90" t="s">
        <v>376</v>
      </c>
      <c r="H1440" s="100">
        <f>IFERROR(SUMIFS(MOVIMIENTOS_COMPLEMENTOS!$I$4:$I$803,MOVIMIENTOS_COMPLEMENTOS!$C$4:$C$803,A1440,MOVIMIENTOS_COMPLEMENTOS!$D$4:$D$803,B1440,MOVIMIENTOS_COMPLEMENTOS!$E$4:$E$803,C1440,MOVIMIENTOS_COMPLEMENTOS!$G$4:$G$803,E1440,MOVIMIENTOS_COMPLEMENTOS!$H$4:$H$803,G1440,MOVIMIENTOS_COMPLEMENTOS!$B$4:$B$803,"INGRESO")+SUMIFS(MOVIMIENTOS_COMPLEMENTOS!$I$4:$I$803,MOVIMIENTOS_COMPLEMENTOS!$C$4:$C$803,A1440,MOVIMIENTOS_COMPLEMENTOS!$D$4:$D$803,B1440,MOVIMIENTOS_COMPLEMENTOS!$E$4:$E$803,C1440,MOVIMIENTOS_COMPLEMENTOS!$G$4:$G$803,E1440,MOVIMIENTOS_COMPLEMENTOS!$H$4:$H$803,G1440,MOVIMIENTOS_COMPLEMENTOS!$B$4:$B$803,"DE CORTE")-SUMIFS(MOVIMIENTOS_COMPLEMENTOS!$I$4:$I$803,MOVIMIENTOS_COMPLEMENTOS!$C$4:$C$803,A1440,MOVIMIENTOS_COMPLEMENTOS!$D$4:$D$803,B1440,MOVIMIENTOS_COMPLEMENTOS!$E$4:$E$803,C1440,MOVIMIENTOS_COMPLEMENTOS!$G$4:$G$803,E1440,MOVIMIENTOS_COMPLEMENTOS!$H$4:$H$803,G1440,MOVIMIENTOS_COMPLEMENTOS!$B$4:$B$803,"SALIDA"),0)</f>
        <v>0</v>
      </c>
      <c r="I1440" s="102">
        <f t="array" ref="I1440">IFERROR(INDEX(PRECIOS_COMPLEMENTOS!$C$4:$F$17,MATCH(B1440&amp;"_"&amp;C1440,PRECIOS_COMPLEMENTOS!$H$4:$H$17,0),IF(OR(G1440="S",G1440="20cm"),1,IF(OR(G1440="M",G1440="25cm"),2,IF(OR(G1440="L",G1440="30cm"),3,IF(OR(G1440="XL",G1440="35cm"),4,0))))),0)</f>
        <v>0.3</v>
      </c>
      <c r="J1440" s="103">
        <f t="shared" si="1"/>
        <v>0</v>
      </c>
      <c r="K1440" s="104" t="str">
        <f>IF(H1440&lt;0,"ERROR",IF(H1440=0,"",IF(H1440&lt;CONFIG!$B$4,"CRÍTICO",IF(H1440&lt;CONFIG!$B$5,"BAJO","OK"))))</f>
        <v/>
      </c>
    </row>
    <row r="1441" ht="15.75" hidden="1" customHeight="1">
      <c r="A1441" s="90" t="str">
        <f>IF(CLIENTES!A9="","",CLIENTES!A9)</f>
        <v/>
      </c>
      <c r="B1441" s="90" t="s">
        <v>324</v>
      </c>
      <c r="C1441" s="91" t="s">
        <v>322</v>
      </c>
      <c r="D1441" s="109" t="s">
        <v>353</v>
      </c>
      <c r="E1441" s="67" t="str">
        <f>COLORES!A22</f>
        <v/>
      </c>
      <c r="F1441" s="67" t="str">
        <f>COLORES!B22</f>
        <v/>
      </c>
      <c r="G1441" s="90" t="s">
        <v>377</v>
      </c>
      <c r="H1441" s="100">
        <f>IFERROR(SUMIFS(MOVIMIENTOS_COMPLEMENTOS!$I$4:$I$803,MOVIMIENTOS_COMPLEMENTOS!$C$4:$C$803,A1441,MOVIMIENTOS_COMPLEMENTOS!$D$4:$D$803,B1441,MOVIMIENTOS_COMPLEMENTOS!$E$4:$E$803,C1441,MOVIMIENTOS_COMPLEMENTOS!$G$4:$G$803,E1441,MOVIMIENTOS_COMPLEMENTOS!$H$4:$H$803,G1441,MOVIMIENTOS_COMPLEMENTOS!$B$4:$B$803,"INGRESO")+SUMIFS(MOVIMIENTOS_COMPLEMENTOS!$I$4:$I$803,MOVIMIENTOS_COMPLEMENTOS!$C$4:$C$803,A1441,MOVIMIENTOS_COMPLEMENTOS!$D$4:$D$803,B1441,MOVIMIENTOS_COMPLEMENTOS!$E$4:$E$803,C1441,MOVIMIENTOS_COMPLEMENTOS!$G$4:$G$803,E1441,MOVIMIENTOS_COMPLEMENTOS!$H$4:$H$803,G1441,MOVIMIENTOS_COMPLEMENTOS!$B$4:$B$803,"DE CORTE")-SUMIFS(MOVIMIENTOS_COMPLEMENTOS!$I$4:$I$803,MOVIMIENTOS_COMPLEMENTOS!$C$4:$C$803,A1441,MOVIMIENTOS_COMPLEMENTOS!$D$4:$D$803,B1441,MOVIMIENTOS_COMPLEMENTOS!$E$4:$E$803,C1441,MOVIMIENTOS_COMPLEMENTOS!$G$4:$G$803,E1441,MOVIMIENTOS_COMPLEMENTOS!$H$4:$H$803,G1441,MOVIMIENTOS_COMPLEMENTOS!$B$4:$B$803,"SALIDA"),0)</f>
        <v>0</v>
      </c>
      <c r="I1441" s="102">
        <f t="array" ref="I1441">IFERROR(INDEX(PRECIOS_COMPLEMENTOS!$C$4:$F$17,MATCH(B1441&amp;"_"&amp;C1441,PRECIOS_COMPLEMENTOS!$H$4:$H$17,0),IF(OR(G1441="S",G1441="20cm"),1,IF(OR(G1441="M",G1441="25cm"),2,IF(OR(G1441="L",G1441="30cm"),3,IF(OR(G1441="XL",G1441="35cm"),4,0))))),0)</f>
        <v>0.35</v>
      </c>
      <c r="J1441" s="103">
        <f t="shared" si="1"/>
        <v>0</v>
      </c>
      <c r="K1441" s="104" t="str">
        <f>IF(H1441&lt;0,"ERROR",IF(H1441=0,"",IF(H1441&lt;CONFIG!$B$4,"CRÍTICO",IF(H1441&lt;CONFIG!$B$5,"BAJO","OK"))))</f>
        <v/>
      </c>
    </row>
    <row r="1442" ht="15.75" hidden="1" customHeight="1">
      <c r="A1442" s="90" t="str">
        <f>IF(CLIENTES!A9="","",CLIENTES!A9)</f>
        <v/>
      </c>
      <c r="B1442" s="90" t="s">
        <v>324</v>
      </c>
      <c r="C1442" s="91" t="s">
        <v>322</v>
      </c>
      <c r="D1442" s="109" t="s">
        <v>353</v>
      </c>
      <c r="E1442" s="67" t="str">
        <f>COLORES!A23</f>
        <v/>
      </c>
      <c r="F1442" s="67" t="str">
        <f>COLORES!B23</f>
        <v/>
      </c>
      <c r="G1442" s="90" t="s">
        <v>376</v>
      </c>
      <c r="H1442" s="100">
        <f>IFERROR(SUMIFS(MOVIMIENTOS_COMPLEMENTOS!$I$4:$I$803,MOVIMIENTOS_COMPLEMENTOS!$C$4:$C$803,A1442,MOVIMIENTOS_COMPLEMENTOS!$D$4:$D$803,B1442,MOVIMIENTOS_COMPLEMENTOS!$E$4:$E$803,C1442,MOVIMIENTOS_COMPLEMENTOS!$G$4:$G$803,E1442,MOVIMIENTOS_COMPLEMENTOS!$H$4:$H$803,G1442,MOVIMIENTOS_COMPLEMENTOS!$B$4:$B$803,"INGRESO")+SUMIFS(MOVIMIENTOS_COMPLEMENTOS!$I$4:$I$803,MOVIMIENTOS_COMPLEMENTOS!$C$4:$C$803,A1442,MOVIMIENTOS_COMPLEMENTOS!$D$4:$D$803,B1442,MOVIMIENTOS_COMPLEMENTOS!$E$4:$E$803,C1442,MOVIMIENTOS_COMPLEMENTOS!$G$4:$G$803,E1442,MOVIMIENTOS_COMPLEMENTOS!$H$4:$H$803,G1442,MOVIMIENTOS_COMPLEMENTOS!$B$4:$B$803,"DE CORTE")-SUMIFS(MOVIMIENTOS_COMPLEMENTOS!$I$4:$I$803,MOVIMIENTOS_COMPLEMENTOS!$C$4:$C$803,A1442,MOVIMIENTOS_COMPLEMENTOS!$D$4:$D$803,B1442,MOVIMIENTOS_COMPLEMENTOS!$E$4:$E$803,C1442,MOVIMIENTOS_COMPLEMENTOS!$G$4:$G$803,E1442,MOVIMIENTOS_COMPLEMENTOS!$H$4:$H$803,G1442,MOVIMIENTOS_COMPLEMENTOS!$B$4:$B$803,"SALIDA"),0)</f>
        <v>0</v>
      </c>
      <c r="I1442" s="102">
        <f t="array" ref="I1442">IFERROR(INDEX(PRECIOS_COMPLEMENTOS!$C$4:$F$17,MATCH(B1442&amp;"_"&amp;C1442,PRECIOS_COMPLEMENTOS!$H$4:$H$17,0),IF(OR(G1442="S",G1442="20cm"),1,IF(OR(G1442="M",G1442="25cm"),2,IF(OR(G1442="L",G1442="30cm"),3,IF(OR(G1442="XL",G1442="35cm"),4,0))))),0)</f>
        <v>0.3</v>
      </c>
      <c r="J1442" s="103">
        <f t="shared" si="1"/>
        <v>0</v>
      </c>
      <c r="K1442" s="104" t="str">
        <f>IF(H1442&lt;0,"ERROR",IF(H1442=0,"",IF(H1442&lt;CONFIG!$B$4,"CRÍTICO",IF(H1442&lt;CONFIG!$B$5,"BAJO","OK"))))</f>
        <v/>
      </c>
    </row>
    <row r="1443" ht="15.75" hidden="1" customHeight="1">
      <c r="A1443" s="90" t="str">
        <f>IF(CLIENTES!A9="","",CLIENTES!A9)</f>
        <v/>
      </c>
      <c r="B1443" s="90" t="s">
        <v>324</v>
      </c>
      <c r="C1443" s="91" t="s">
        <v>322</v>
      </c>
      <c r="D1443" s="109" t="s">
        <v>353</v>
      </c>
      <c r="E1443" s="67" t="str">
        <f>COLORES!A23</f>
        <v/>
      </c>
      <c r="F1443" s="67" t="str">
        <f>COLORES!B23</f>
        <v/>
      </c>
      <c r="G1443" s="90" t="s">
        <v>377</v>
      </c>
      <c r="H1443" s="100">
        <f>IFERROR(SUMIFS(MOVIMIENTOS_COMPLEMENTOS!$I$4:$I$803,MOVIMIENTOS_COMPLEMENTOS!$C$4:$C$803,A1443,MOVIMIENTOS_COMPLEMENTOS!$D$4:$D$803,B1443,MOVIMIENTOS_COMPLEMENTOS!$E$4:$E$803,C1443,MOVIMIENTOS_COMPLEMENTOS!$G$4:$G$803,E1443,MOVIMIENTOS_COMPLEMENTOS!$H$4:$H$803,G1443,MOVIMIENTOS_COMPLEMENTOS!$B$4:$B$803,"INGRESO")+SUMIFS(MOVIMIENTOS_COMPLEMENTOS!$I$4:$I$803,MOVIMIENTOS_COMPLEMENTOS!$C$4:$C$803,A1443,MOVIMIENTOS_COMPLEMENTOS!$D$4:$D$803,B1443,MOVIMIENTOS_COMPLEMENTOS!$E$4:$E$803,C1443,MOVIMIENTOS_COMPLEMENTOS!$G$4:$G$803,E1443,MOVIMIENTOS_COMPLEMENTOS!$H$4:$H$803,G1443,MOVIMIENTOS_COMPLEMENTOS!$B$4:$B$803,"DE CORTE")-SUMIFS(MOVIMIENTOS_COMPLEMENTOS!$I$4:$I$803,MOVIMIENTOS_COMPLEMENTOS!$C$4:$C$803,A1443,MOVIMIENTOS_COMPLEMENTOS!$D$4:$D$803,B1443,MOVIMIENTOS_COMPLEMENTOS!$E$4:$E$803,C1443,MOVIMIENTOS_COMPLEMENTOS!$G$4:$G$803,E1443,MOVIMIENTOS_COMPLEMENTOS!$H$4:$H$803,G1443,MOVIMIENTOS_COMPLEMENTOS!$B$4:$B$803,"SALIDA"),0)</f>
        <v>0</v>
      </c>
      <c r="I1443" s="102">
        <f t="array" ref="I1443">IFERROR(INDEX(PRECIOS_COMPLEMENTOS!$C$4:$F$17,MATCH(B1443&amp;"_"&amp;C1443,PRECIOS_COMPLEMENTOS!$H$4:$H$17,0),IF(OR(G1443="S",G1443="20cm"),1,IF(OR(G1443="M",G1443="25cm"),2,IF(OR(G1443="L",G1443="30cm"),3,IF(OR(G1443="XL",G1443="35cm"),4,0))))),0)</f>
        <v>0.35</v>
      </c>
      <c r="J1443" s="103">
        <f t="shared" si="1"/>
        <v>0</v>
      </c>
      <c r="K1443" s="104" t="str">
        <f>IF(H1443&lt;0,"ERROR",IF(H1443=0,"",IF(H1443&lt;CONFIG!$B$4,"CRÍTICO",IF(H1443&lt;CONFIG!$B$5,"BAJO","OK"))))</f>
        <v/>
      </c>
    </row>
    <row r="1444" ht="15.75" hidden="1" customHeight="1">
      <c r="A1444" s="90" t="str">
        <f>IF(CLIENTES!A4="","",CLIENTES!A4)</f>
        <v>OverShark</v>
      </c>
      <c r="B1444" s="90" t="s">
        <v>324</v>
      </c>
      <c r="C1444" s="91" t="s">
        <v>328</v>
      </c>
      <c r="D1444" s="109" t="s">
        <v>353</v>
      </c>
      <c r="E1444" s="67" t="str">
        <f>COLORES!A4</f>
        <v>Negro</v>
      </c>
      <c r="F1444" s="67" t="str">
        <f>COLORES!B4</f>
        <v>OSCURO</v>
      </c>
      <c r="G1444" s="90" t="s">
        <v>378</v>
      </c>
      <c r="H1444" s="100">
        <f>IFERROR(SUMIFS(MOVIMIENTOS_COMPLEMENTOS!$I$4:$I$803,MOVIMIENTOS_COMPLEMENTOS!$C$4:$C$803,A1444,MOVIMIENTOS_COMPLEMENTOS!$D$4:$D$803,B1444,MOVIMIENTOS_COMPLEMENTOS!$E$4:$E$803,C1444,MOVIMIENTOS_COMPLEMENTOS!$G$4:$G$803,E1444,MOVIMIENTOS_COMPLEMENTOS!$H$4:$H$803,G1444,MOVIMIENTOS_COMPLEMENTOS!$B$4:$B$803,"INGRESO")+SUMIFS(MOVIMIENTOS_COMPLEMENTOS!$I$4:$I$803,MOVIMIENTOS_COMPLEMENTOS!$C$4:$C$803,A1444,MOVIMIENTOS_COMPLEMENTOS!$D$4:$D$803,B1444,MOVIMIENTOS_COMPLEMENTOS!$E$4:$E$803,C1444,MOVIMIENTOS_COMPLEMENTOS!$G$4:$G$803,E1444,MOVIMIENTOS_COMPLEMENTOS!$H$4:$H$803,G1444,MOVIMIENTOS_COMPLEMENTOS!$B$4:$B$803,"DE CORTE")-SUMIFS(MOVIMIENTOS_COMPLEMENTOS!$I$4:$I$803,MOVIMIENTOS_COMPLEMENTOS!$C$4:$C$803,A1444,MOVIMIENTOS_COMPLEMENTOS!$D$4:$D$803,B1444,MOVIMIENTOS_COMPLEMENTOS!$E$4:$E$803,C1444,MOVIMIENTOS_COMPLEMENTOS!$G$4:$G$803,E1444,MOVIMIENTOS_COMPLEMENTOS!$H$4:$H$803,G1444,MOVIMIENTOS_COMPLEMENTOS!$B$4:$B$803,"SALIDA"),0)</f>
        <v>0</v>
      </c>
      <c r="I1444" s="102">
        <f t="array" ref="I1444">IFERROR(INDEX(PRECIOS_COMPLEMENTOS!$C$4:$F$17,MATCH(B1444&amp;"_"&amp;C1444,PRECIOS_COMPLEMENTOS!$H$4:$H$17,0),IF(OR(G1444="S",G1444="20cm"),1,IF(OR(G1444="M",G1444="25cm"),2,IF(OR(G1444="L",G1444="30cm"),3,IF(OR(G1444="XL",G1444="35cm"),4,0))))),0)</f>
        <v>0.3</v>
      </c>
      <c r="J1444" s="103">
        <f t="shared" si="1"/>
        <v>0</v>
      </c>
      <c r="K1444" s="104" t="str">
        <f>IF(H1444&lt;0,"ERROR",IF(H1444=0,"",IF(H1444&lt;CONFIG!$B$4,"CRÍTICO",IF(H1444&lt;CONFIG!$B$5,"BAJO","OK"))))</f>
        <v/>
      </c>
    </row>
    <row r="1445" ht="15.75" hidden="1" customHeight="1">
      <c r="A1445" s="90" t="str">
        <f>IF(CLIENTES!A4="","",CLIENTES!A4)</f>
        <v>OverShark</v>
      </c>
      <c r="B1445" s="90" t="s">
        <v>324</v>
      </c>
      <c r="C1445" s="91" t="s">
        <v>328</v>
      </c>
      <c r="D1445" s="109" t="s">
        <v>353</v>
      </c>
      <c r="E1445" s="67" t="str">
        <f>COLORES!A4</f>
        <v>Negro</v>
      </c>
      <c r="F1445" s="67" t="str">
        <f>COLORES!B4</f>
        <v>OSCURO</v>
      </c>
      <c r="G1445" s="90" t="s">
        <v>376</v>
      </c>
      <c r="H1445" s="100">
        <f>IFERROR(SUMIFS(MOVIMIENTOS_COMPLEMENTOS!$I$4:$I$803,MOVIMIENTOS_COMPLEMENTOS!$C$4:$C$803,A1445,MOVIMIENTOS_COMPLEMENTOS!$D$4:$D$803,B1445,MOVIMIENTOS_COMPLEMENTOS!$E$4:$E$803,C1445,MOVIMIENTOS_COMPLEMENTOS!$G$4:$G$803,E1445,MOVIMIENTOS_COMPLEMENTOS!$H$4:$H$803,G1445,MOVIMIENTOS_COMPLEMENTOS!$B$4:$B$803,"INGRESO")+SUMIFS(MOVIMIENTOS_COMPLEMENTOS!$I$4:$I$803,MOVIMIENTOS_COMPLEMENTOS!$C$4:$C$803,A1445,MOVIMIENTOS_COMPLEMENTOS!$D$4:$D$803,B1445,MOVIMIENTOS_COMPLEMENTOS!$E$4:$E$803,C1445,MOVIMIENTOS_COMPLEMENTOS!$G$4:$G$803,E1445,MOVIMIENTOS_COMPLEMENTOS!$H$4:$H$803,G1445,MOVIMIENTOS_COMPLEMENTOS!$B$4:$B$803,"DE CORTE")-SUMIFS(MOVIMIENTOS_COMPLEMENTOS!$I$4:$I$803,MOVIMIENTOS_COMPLEMENTOS!$C$4:$C$803,A1445,MOVIMIENTOS_COMPLEMENTOS!$D$4:$D$803,B1445,MOVIMIENTOS_COMPLEMENTOS!$E$4:$E$803,C1445,MOVIMIENTOS_COMPLEMENTOS!$G$4:$G$803,E1445,MOVIMIENTOS_COMPLEMENTOS!$H$4:$H$803,G1445,MOVIMIENTOS_COMPLEMENTOS!$B$4:$B$803,"SALIDA"),0)</f>
        <v>0</v>
      </c>
      <c r="I1445" s="102">
        <f t="array" ref="I1445">IFERROR(INDEX(PRECIOS_COMPLEMENTOS!$C$4:$F$17,MATCH(B1445&amp;"_"&amp;C1445,PRECIOS_COMPLEMENTOS!$H$4:$H$17,0),IF(OR(G1445="S",G1445="20cm"),1,IF(OR(G1445="M",G1445="25cm"),2,IF(OR(G1445="L",G1445="30cm"),3,IF(OR(G1445="XL",G1445="35cm"),4,0))))),0)</f>
        <v>0.3</v>
      </c>
      <c r="J1445" s="103">
        <f t="shared" si="1"/>
        <v>0</v>
      </c>
      <c r="K1445" s="104" t="str">
        <f>IF(H1445&lt;0,"ERROR",IF(H1445=0,"",IF(H1445&lt;CONFIG!$B$4,"CRÍTICO",IF(H1445&lt;CONFIG!$B$5,"BAJO","OK"))))</f>
        <v/>
      </c>
    </row>
    <row r="1446" ht="15.75" hidden="1" customHeight="1">
      <c r="A1446" s="90" t="str">
        <f>IF(CLIENTES!A4="","",CLIENTES!A4)</f>
        <v>OverShark</v>
      </c>
      <c r="B1446" s="90" t="s">
        <v>324</v>
      </c>
      <c r="C1446" s="91" t="s">
        <v>328</v>
      </c>
      <c r="D1446" s="109" t="s">
        <v>353</v>
      </c>
      <c r="E1446" s="67" t="str">
        <f>COLORES!A4</f>
        <v>Negro</v>
      </c>
      <c r="F1446" s="67" t="str">
        <f>COLORES!B4</f>
        <v>OSCURO</v>
      </c>
      <c r="G1446" s="90" t="s">
        <v>377</v>
      </c>
      <c r="H1446" s="100">
        <f>IFERROR(SUMIFS(MOVIMIENTOS_COMPLEMENTOS!$I$4:$I$803,MOVIMIENTOS_COMPLEMENTOS!$C$4:$C$803,A1446,MOVIMIENTOS_COMPLEMENTOS!$D$4:$D$803,B1446,MOVIMIENTOS_COMPLEMENTOS!$E$4:$E$803,C1446,MOVIMIENTOS_COMPLEMENTOS!$G$4:$G$803,E1446,MOVIMIENTOS_COMPLEMENTOS!$H$4:$H$803,G1446,MOVIMIENTOS_COMPLEMENTOS!$B$4:$B$803,"INGRESO")+SUMIFS(MOVIMIENTOS_COMPLEMENTOS!$I$4:$I$803,MOVIMIENTOS_COMPLEMENTOS!$C$4:$C$803,A1446,MOVIMIENTOS_COMPLEMENTOS!$D$4:$D$803,B1446,MOVIMIENTOS_COMPLEMENTOS!$E$4:$E$803,C1446,MOVIMIENTOS_COMPLEMENTOS!$G$4:$G$803,E1446,MOVIMIENTOS_COMPLEMENTOS!$H$4:$H$803,G1446,MOVIMIENTOS_COMPLEMENTOS!$B$4:$B$803,"DE CORTE")-SUMIFS(MOVIMIENTOS_COMPLEMENTOS!$I$4:$I$803,MOVIMIENTOS_COMPLEMENTOS!$C$4:$C$803,A1446,MOVIMIENTOS_COMPLEMENTOS!$D$4:$D$803,B1446,MOVIMIENTOS_COMPLEMENTOS!$E$4:$E$803,C1446,MOVIMIENTOS_COMPLEMENTOS!$G$4:$G$803,E1446,MOVIMIENTOS_COMPLEMENTOS!$H$4:$H$803,G1446,MOVIMIENTOS_COMPLEMENTOS!$B$4:$B$803,"SALIDA"),0)</f>
        <v>0</v>
      </c>
      <c r="I1446" s="102">
        <f t="array" ref="I1446">IFERROR(INDEX(PRECIOS_COMPLEMENTOS!$C$4:$F$17,MATCH(B1446&amp;"_"&amp;C1446,PRECIOS_COMPLEMENTOS!$H$4:$H$17,0),IF(OR(G1446="S",G1446="20cm"),1,IF(OR(G1446="M",G1446="25cm"),2,IF(OR(G1446="L",G1446="30cm"),3,IF(OR(G1446="XL",G1446="35cm"),4,0))))),0)</f>
        <v>0.3</v>
      </c>
      <c r="J1446" s="103">
        <f t="shared" si="1"/>
        <v>0</v>
      </c>
      <c r="K1446" s="104" t="str">
        <f>IF(H1446&lt;0,"ERROR",IF(H1446=0,"",IF(H1446&lt;CONFIG!$B$4,"CRÍTICO",IF(H1446&lt;CONFIG!$B$5,"BAJO","OK"))))</f>
        <v/>
      </c>
    </row>
    <row r="1447" ht="15.75" hidden="1" customHeight="1">
      <c r="A1447" s="90" t="str">
        <f>IF(CLIENTES!A4="","",CLIENTES!A4)</f>
        <v>OverShark</v>
      </c>
      <c r="B1447" s="90" t="s">
        <v>324</v>
      </c>
      <c r="C1447" s="91" t="s">
        <v>328</v>
      </c>
      <c r="D1447" s="109" t="s">
        <v>353</v>
      </c>
      <c r="E1447" s="67" t="str">
        <f>COLORES!A4</f>
        <v>Negro</v>
      </c>
      <c r="F1447" s="67" t="str">
        <f>COLORES!B4</f>
        <v>OSCURO</v>
      </c>
      <c r="G1447" s="90" t="s">
        <v>379</v>
      </c>
      <c r="H1447" s="100">
        <f>IFERROR(SUMIFS(MOVIMIENTOS_COMPLEMENTOS!$I$4:$I$803,MOVIMIENTOS_COMPLEMENTOS!$C$4:$C$803,A1447,MOVIMIENTOS_COMPLEMENTOS!$D$4:$D$803,B1447,MOVIMIENTOS_COMPLEMENTOS!$E$4:$E$803,C1447,MOVIMIENTOS_COMPLEMENTOS!$G$4:$G$803,E1447,MOVIMIENTOS_COMPLEMENTOS!$H$4:$H$803,G1447,MOVIMIENTOS_COMPLEMENTOS!$B$4:$B$803,"INGRESO")+SUMIFS(MOVIMIENTOS_COMPLEMENTOS!$I$4:$I$803,MOVIMIENTOS_COMPLEMENTOS!$C$4:$C$803,A1447,MOVIMIENTOS_COMPLEMENTOS!$D$4:$D$803,B1447,MOVIMIENTOS_COMPLEMENTOS!$E$4:$E$803,C1447,MOVIMIENTOS_COMPLEMENTOS!$G$4:$G$803,E1447,MOVIMIENTOS_COMPLEMENTOS!$H$4:$H$803,G1447,MOVIMIENTOS_COMPLEMENTOS!$B$4:$B$803,"DE CORTE")-SUMIFS(MOVIMIENTOS_COMPLEMENTOS!$I$4:$I$803,MOVIMIENTOS_COMPLEMENTOS!$C$4:$C$803,A1447,MOVIMIENTOS_COMPLEMENTOS!$D$4:$D$803,B1447,MOVIMIENTOS_COMPLEMENTOS!$E$4:$E$803,C1447,MOVIMIENTOS_COMPLEMENTOS!$G$4:$G$803,E1447,MOVIMIENTOS_COMPLEMENTOS!$H$4:$H$803,G1447,MOVIMIENTOS_COMPLEMENTOS!$B$4:$B$803,"SALIDA"),0)</f>
        <v>0</v>
      </c>
      <c r="I1447" s="102">
        <f t="array" ref="I1447">IFERROR(INDEX(PRECIOS_COMPLEMENTOS!$C$4:$F$17,MATCH(B1447&amp;"_"&amp;C1447,PRECIOS_COMPLEMENTOS!$H$4:$H$17,0),IF(OR(G1447="S",G1447="20cm"),1,IF(OR(G1447="M",G1447="25cm"),2,IF(OR(G1447="L",G1447="30cm"),3,IF(OR(G1447="XL",G1447="35cm"),4,0))))),0)</f>
        <v>0.3</v>
      </c>
      <c r="J1447" s="103">
        <f t="shared" si="1"/>
        <v>0</v>
      </c>
      <c r="K1447" s="104" t="str">
        <f>IF(H1447&lt;0,"ERROR",IF(H1447=0,"",IF(H1447&lt;CONFIG!$B$4,"CRÍTICO",IF(H1447&lt;CONFIG!$B$5,"BAJO","OK"))))</f>
        <v/>
      </c>
    </row>
    <row r="1448" ht="15.75" hidden="1" customHeight="1">
      <c r="A1448" s="90" t="str">
        <f>IF(CLIENTES!A4="","",CLIENTES!A4)</f>
        <v>OverShark</v>
      </c>
      <c r="B1448" s="90" t="s">
        <v>324</v>
      </c>
      <c r="C1448" s="91" t="s">
        <v>328</v>
      </c>
      <c r="D1448" s="109" t="s">
        <v>353</v>
      </c>
      <c r="E1448" s="67" t="str">
        <f>COLORES!A5</f>
        <v>Perla</v>
      </c>
      <c r="F1448" s="67" t="str">
        <f>COLORES!B5</f>
        <v>PPT</v>
      </c>
      <c r="G1448" s="90" t="s">
        <v>378</v>
      </c>
      <c r="H1448" s="100">
        <f>IFERROR(SUMIFS(MOVIMIENTOS_COMPLEMENTOS!$I$4:$I$803,MOVIMIENTOS_COMPLEMENTOS!$C$4:$C$803,A1448,MOVIMIENTOS_COMPLEMENTOS!$D$4:$D$803,B1448,MOVIMIENTOS_COMPLEMENTOS!$E$4:$E$803,C1448,MOVIMIENTOS_COMPLEMENTOS!$G$4:$G$803,E1448,MOVIMIENTOS_COMPLEMENTOS!$H$4:$H$803,G1448,MOVIMIENTOS_COMPLEMENTOS!$B$4:$B$803,"INGRESO")+SUMIFS(MOVIMIENTOS_COMPLEMENTOS!$I$4:$I$803,MOVIMIENTOS_COMPLEMENTOS!$C$4:$C$803,A1448,MOVIMIENTOS_COMPLEMENTOS!$D$4:$D$803,B1448,MOVIMIENTOS_COMPLEMENTOS!$E$4:$E$803,C1448,MOVIMIENTOS_COMPLEMENTOS!$G$4:$G$803,E1448,MOVIMIENTOS_COMPLEMENTOS!$H$4:$H$803,G1448,MOVIMIENTOS_COMPLEMENTOS!$B$4:$B$803,"DE CORTE")-SUMIFS(MOVIMIENTOS_COMPLEMENTOS!$I$4:$I$803,MOVIMIENTOS_COMPLEMENTOS!$C$4:$C$803,A1448,MOVIMIENTOS_COMPLEMENTOS!$D$4:$D$803,B1448,MOVIMIENTOS_COMPLEMENTOS!$E$4:$E$803,C1448,MOVIMIENTOS_COMPLEMENTOS!$G$4:$G$803,E1448,MOVIMIENTOS_COMPLEMENTOS!$H$4:$H$803,G1448,MOVIMIENTOS_COMPLEMENTOS!$B$4:$B$803,"SALIDA"),0)</f>
        <v>0</v>
      </c>
      <c r="I1448" s="102">
        <f t="array" ref="I1448">IFERROR(INDEX(PRECIOS_COMPLEMENTOS!$C$4:$F$17,MATCH(B1448&amp;"_"&amp;C1448,PRECIOS_COMPLEMENTOS!$H$4:$H$17,0),IF(OR(G1448="S",G1448="20cm"),1,IF(OR(G1448="M",G1448="25cm"),2,IF(OR(G1448="L",G1448="30cm"),3,IF(OR(G1448="XL",G1448="35cm"),4,0))))),0)</f>
        <v>0.3</v>
      </c>
      <c r="J1448" s="103">
        <f t="shared" si="1"/>
        <v>0</v>
      </c>
      <c r="K1448" s="104" t="str">
        <f>IF(H1448&lt;0,"ERROR",IF(H1448=0,"",IF(H1448&lt;CONFIG!$B$4,"CRÍTICO",IF(H1448&lt;CONFIG!$B$5,"BAJO","OK"))))</f>
        <v/>
      </c>
    </row>
    <row r="1449" ht="15.75" hidden="1" customHeight="1">
      <c r="A1449" s="90" t="str">
        <f>IF(CLIENTES!A4="","",CLIENTES!A4)</f>
        <v>OverShark</v>
      </c>
      <c r="B1449" s="90" t="s">
        <v>324</v>
      </c>
      <c r="C1449" s="91" t="s">
        <v>328</v>
      </c>
      <c r="D1449" s="109" t="s">
        <v>353</v>
      </c>
      <c r="E1449" s="67" t="str">
        <f>COLORES!A5</f>
        <v>Perla</v>
      </c>
      <c r="F1449" s="67" t="str">
        <f>COLORES!B5</f>
        <v>PPT</v>
      </c>
      <c r="G1449" s="90" t="s">
        <v>376</v>
      </c>
      <c r="H1449" s="100">
        <f>IFERROR(SUMIFS(MOVIMIENTOS_COMPLEMENTOS!$I$4:$I$803,MOVIMIENTOS_COMPLEMENTOS!$C$4:$C$803,A1449,MOVIMIENTOS_COMPLEMENTOS!$D$4:$D$803,B1449,MOVIMIENTOS_COMPLEMENTOS!$E$4:$E$803,C1449,MOVIMIENTOS_COMPLEMENTOS!$G$4:$G$803,E1449,MOVIMIENTOS_COMPLEMENTOS!$H$4:$H$803,G1449,MOVIMIENTOS_COMPLEMENTOS!$B$4:$B$803,"INGRESO")+SUMIFS(MOVIMIENTOS_COMPLEMENTOS!$I$4:$I$803,MOVIMIENTOS_COMPLEMENTOS!$C$4:$C$803,A1449,MOVIMIENTOS_COMPLEMENTOS!$D$4:$D$803,B1449,MOVIMIENTOS_COMPLEMENTOS!$E$4:$E$803,C1449,MOVIMIENTOS_COMPLEMENTOS!$G$4:$G$803,E1449,MOVIMIENTOS_COMPLEMENTOS!$H$4:$H$803,G1449,MOVIMIENTOS_COMPLEMENTOS!$B$4:$B$803,"DE CORTE")-SUMIFS(MOVIMIENTOS_COMPLEMENTOS!$I$4:$I$803,MOVIMIENTOS_COMPLEMENTOS!$C$4:$C$803,A1449,MOVIMIENTOS_COMPLEMENTOS!$D$4:$D$803,B1449,MOVIMIENTOS_COMPLEMENTOS!$E$4:$E$803,C1449,MOVIMIENTOS_COMPLEMENTOS!$G$4:$G$803,E1449,MOVIMIENTOS_COMPLEMENTOS!$H$4:$H$803,G1449,MOVIMIENTOS_COMPLEMENTOS!$B$4:$B$803,"SALIDA"),0)</f>
        <v>0</v>
      </c>
      <c r="I1449" s="102">
        <f t="array" ref="I1449">IFERROR(INDEX(PRECIOS_COMPLEMENTOS!$C$4:$F$17,MATCH(B1449&amp;"_"&amp;C1449,PRECIOS_COMPLEMENTOS!$H$4:$H$17,0),IF(OR(G1449="S",G1449="20cm"),1,IF(OR(G1449="M",G1449="25cm"),2,IF(OR(G1449="L",G1449="30cm"),3,IF(OR(G1449="XL",G1449="35cm"),4,0))))),0)</f>
        <v>0.3</v>
      </c>
      <c r="J1449" s="103">
        <f t="shared" si="1"/>
        <v>0</v>
      </c>
      <c r="K1449" s="104" t="str">
        <f>IF(H1449&lt;0,"ERROR",IF(H1449=0,"",IF(H1449&lt;CONFIG!$B$4,"CRÍTICO",IF(H1449&lt;CONFIG!$B$5,"BAJO","OK"))))</f>
        <v/>
      </c>
    </row>
    <row r="1450" ht="15.75" hidden="1" customHeight="1">
      <c r="A1450" s="90" t="str">
        <f>IF(CLIENTES!A4="","",CLIENTES!A4)</f>
        <v>OverShark</v>
      </c>
      <c r="B1450" s="90" t="s">
        <v>324</v>
      </c>
      <c r="C1450" s="91" t="s">
        <v>328</v>
      </c>
      <c r="D1450" s="109" t="s">
        <v>353</v>
      </c>
      <c r="E1450" s="67" t="str">
        <f>COLORES!A5</f>
        <v>Perla</v>
      </c>
      <c r="F1450" s="67" t="str">
        <f>COLORES!B5</f>
        <v>PPT</v>
      </c>
      <c r="G1450" s="90" t="s">
        <v>377</v>
      </c>
      <c r="H1450" s="100">
        <f>IFERROR(SUMIFS(MOVIMIENTOS_COMPLEMENTOS!$I$4:$I$803,MOVIMIENTOS_COMPLEMENTOS!$C$4:$C$803,A1450,MOVIMIENTOS_COMPLEMENTOS!$D$4:$D$803,B1450,MOVIMIENTOS_COMPLEMENTOS!$E$4:$E$803,C1450,MOVIMIENTOS_COMPLEMENTOS!$G$4:$G$803,E1450,MOVIMIENTOS_COMPLEMENTOS!$H$4:$H$803,G1450,MOVIMIENTOS_COMPLEMENTOS!$B$4:$B$803,"INGRESO")+SUMIFS(MOVIMIENTOS_COMPLEMENTOS!$I$4:$I$803,MOVIMIENTOS_COMPLEMENTOS!$C$4:$C$803,A1450,MOVIMIENTOS_COMPLEMENTOS!$D$4:$D$803,B1450,MOVIMIENTOS_COMPLEMENTOS!$E$4:$E$803,C1450,MOVIMIENTOS_COMPLEMENTOS!$G$4:$G$803,E1450,MOVIMIENTOS_COMPLEMENTOS!$H$4:$H$803,G1450,MOVIMIENTOS_COMPLEMENTOS!$B$4:$B$803,"DE CORTE")-SUMIFS(MOVIMIENTOS_COMPLEMENTOS!$I$4:$I$803,MOVIMIENTOS_COMPLEMENTOS!$C$4:$C$803,A1450,MOVIMIENTOS_COMPLEMENTOS!$D$4:$D$803,B1450,MOVIMIENTOS_COMPLEMENTOS!$E$4:$E$803,C1450,MOVIMIENTOS_COMPLEMENTOS!$G$4:$G$803,E1450,MOVIMIENTOS_COMPLEMENTOS!$H$4:$H$803,G1450,MOVIMIENTOS_COMPLEMENTOS!$B$4:$B$803,"SALIDA"),0)</f>
        <v>0</v>
      </c>
      <c r="I1450" s="102">
        <f t="array" ref="I1450">IFERROR(INDEX(PRECIOS_COMPLEMENTOS!$C$4:$F$17,MATCH(B1450&amp;"_"&amp;C1450,PRECIOS_COMPLEMENTOS!$H$4:$H$17,0),IF(OR(G1450="S",G1450="20cm"),1,IF(OR(G1450="M",G1450="25cm"),2,IF(OR(G1450="L",G1450="30cm"),3,IF(OR(G1450="XL",G1450="35cm"),4,0))))),0)</f>
        <v>0.3</v>
      </c>
      <c r="J1450" s="103">
        <f t="shared" si="1"/>
        <v>0</v>
      </c>
      <c r="K1450" s="104" t="str">
        <f>IF(H1450&lt;0,"ERROR",IF(H1450=0,"",IF(H1450&lt;CONFIG!$B$4,"CRÍTICO",IF(H1450&lt;CONFIG!$B$5,"BAJO","OK"))))</f>
        <v/>
      </c>
    </row>
    <row r="1451" ht="15.75" hidden="1" customHeight="1">
      <c r="A1451" s="90" t="str">
        <f>IF(CLIENTES!A4="","",CLIENTES!A4)</f>
        <v>OverShark</v>
      </c>
      <c r="B1451" s="90" t="s">
        <v>324</v>
      </c>
      <c r="C1451" s="91" t="s">
        <v>328</v>
      </c>
      <c r="D1451" s="109" t="s">
        <v>353</v>
      </c>
      <c r="E1451" s="67" t="str">
        <f>COLORES!A5</f>
        <v>Perla</v>
      </c>
      <c r="F1451" s="67" t="str">
        <f>COLORES!B5</f>
        <v>PPT</v>
      </c>
      <c r="G1451" s="90" t="s">
        <v>379</v>
      </c>
      <c r="H1451" s="100">
        <f>IFERROR(SUMIFS(MOVIMIENTOS_COMPLEMENTOS!$I$4:$I$803,MOVIMIENTOS_COMPLEMENTOS!$C$4:$C$803,A1451,MOVIMIENTOS_COMPLEMENTOS!$D$4:$D$803,B1451,MOVIMIENTOS_COMPLEMENTOS!$E$4:$E$803,C1451,MOVIMIENTOS_COMPLEMENTOS!$G$4:$G$803,E1451,MOVIMIENTOS_COMPLEMENTOS!$H$4:$H$803,G1451,MOVIMIENTOS_COMPLEMENTOS!$B$4:$B$803,"INGRESO")+SUMIFS(MOVIMIENTOS_COMPLEMENTOS!$I$4:$I$803,MOVIMIENTOS_COMPLEMENTOS!$C$4:$C$803,A1451,MOVIMIENTOS_COMPLEMENTOS!$D$4:$D$803,B1451,MOVIMIENTOS_COMPLEMENTOS!$E$4:$E$803,C1451,MOVIMIENTOS_COMPLEMENTOS!$G$4:$G$803,E1451,MOVIMIENTOS_COMPLEMENTOS!$H$4:$H$803,G1451,MOVIMIENTOS_COMPLEMENTOS!$B$4:$B$803,"DE CORTE")-SUMIFS(MOVIMIENTOS_COMPLEMENTOS!$I$4:$I$803,MOVIMIENTOS_COMPLEMENTOS!$C$4:$C$803,A1451,MOVIMIENTOS_COMPLEMENTOS!$D$4:$D$803,B1451,MOVIMIENTOS_COMPLEMENTOS!$E$4:$E$803,C1451,MOVIMIENTOS_COMPLEMENTOS!$G$4:$G$803,E1451,MOVIMIENTOS_COMPLEMENTOS!$H$4:$H$803,G1451,MOVIMIENTOS_COMPLEMENTOS!$B$4:$B$803,"SALIDA"),0)</f>
        <v>0</v>
      </c>
      <c r="I1451" s="102">
        <f t="array" ref="I1451">IFERROR(INDEX(PRECIOS_COMPLEMENTOS!$C$4:$F$17,MATCH(B1451&amp;"_"&amp;C1451,PRECIOS_COMPLEMENTOS!$H$4:$H$17,0),IF(OR(G1451="S",G1451="20cm"),1,IF(OR(G1451="M",G1451="25cm"),2,IF(OR(G1451="L",G1451="30cm"),3,IF(OR(G1451="XL",G1451="35cm"),4,0))))),0)</f>
        <v>0.3</v>
      </c>
      <c r="J1451" s="103">
        <f t="shared" si="1"/>
        <v>0</v>
      </c>
      <c r="K1451" s="104" t="str">
        <f>IF(H1451&lt;0,"ERROR",IF(H1451=0,"",IF(H1451&lt;CONFIG!$B$4,"CRÍTICO",IF(H1451&lt;CONFIG!$B$5,"BAJO","OK"))))</f>
        <v/>
      </c>
    </row>
    <row r="1452" ht="15.75" hidden="1" customHeight="1">
      <c r="A1452" s="90" t="str">
        <f>IF(CLIENTES!A4="","",CLIENTES!A4)</f>
        <v>OverShark</v>
      </c>
      <c r="B1452" s="90" t="s">
        <v>324</v>
      </c>
      <c r="C1452" s="91" t="s">
        <v>328</v>
      </c>
      <c r="D1452" s="109" t="s">
        <v>353</v>
      </c>
      <c r="E1452" s="67" t="str">
        <f>COLORES!A6</f>
        <v>Blanco</v>
      </c>
      <c r="F1452" s="67" t="str">
        <f>COLORES!B6</f>
        <v>PPT</v>
      </c>
      <c r="G1452" s="90" t="s">
        <v>378</v>
      </c>
      <c r="H1452" s="100">
        <f>IFERROR(SUMIFS(MOVIMIENTOS_COMPLEMENTOS!$I$4:$I$803,MOVIMIENTOS_COMPLEMENTOS!$C$4:$C$803,A1452,MOVIMIENTOS_COMPLEMENTOS!$D$4:$D$803,B1452,MOVIMIENTOS_COMPLEMENTOS!$E$4:$E$803,C1452,MOVIMIENTOS_COMPLEMENTOS!$G$4:$G$803,E1452,MOVIMIENTOS_COMPLEMENTOS!$H$4:$H$803,G1452,MOVIMIENTOS_COMPLEMENTOS!$B$4:$B$803,"INGRESO")+SUMIFS(MOVIMIENTOS_COMPLEMENTOS!$I$4:$I$803,MOVIMIENTOS_COMPLEMENTOS!$C$4:$C$803,A1452,MOVIMIENTOS_COMPLEMENTOS!$D$4:$D$803,B1452,MOVIMIENTOS_COMPLEMENTOS!$E$4:$E$803,C1452,MOVIMIENTOS_COMPLEMENTOS!$G$4:$G$803,E1452,MOVIMIENTOS_COMPLEMENTOS!$H$4:$H$803,G1452,MOVIMIENTOS_COMPLEMENTOS!$B$4:$B$803,"DE CORTE")-SUMIFS(MOVIMIENTOS_COMPLEMENTOS!$I$4:$I$803,MOVIMIENTOS_COMPLEMENTOS!$C$4:$C$803,A1452,MOVIMIENTOS_COMPLEMENTOS!$D$4:$D$803,B1452,MOVIMIENTOS_COMPLEMENTOS!$E$4:$E$803,C1452,MOVIMIENTOS_COMPLEMENTOS!$G$4:$G$803,E1452,MOVIMIENTOS_COMPLEMENTOS!$H$4:$H$803,G1452,MOVIMIENTOS_COMPLEMENTOS!$B$4:$B$803,"SALIDA"),0)</f>
        <v>0</v>
      </c>
      <c r="I1452" s="102">
        <f t="array" ref="I1452">IFERROR(INDEX(PRECIOS_COMPLEMENTOS!$C$4:$F$17,MATCH(B1452&amp;"_"&amp;C1452,PRECIOS_COMPLEMENTOS!$H$4:$H$17,0),IF(OR(G1452="S",G1452="20cm"),1,IF(OR(G1452="M",G1452="25cm"),2,IF(OR(G1452="L",G1452="30cm"),3,IF(OR(G1452="XL",G1452="35cm"),4,0))))),0)</f>
        <v>0.3</v>
      </c>
      <c r="J1452" s="103">
        <f t="shared" si="1"/>
        <v>0</v>
      </c>
      <c r="K1452" s="104" t="str">
        <f>IF(H1452&lt;0,"ERROR",IF(H1452=0,"",IF(H1452&lt;CONFIG!$B$4,"CRÍTICO",IF(H1452&lt;CONFIG!$B$5,"BAJO","OK"))))</f>
        <v/>
      </c>
    </row>
    <row r="1453" ht="15.75" hidden="1" customHeight="1">
      <c r="A1453" s="90" t="str">
        <f>IF(CLIENTES!A4="","",CLIENTES!A4)</f>
        <v>OverShark</v>
      </c>
      <c r="B1453" s="90" t="s">
        <v>324</v>
      </c>
      <c r="C1453" s="91" t="s">
        <v>328</v>
      </c>
      <c r="D1453" s="109" t="s">
        <v>353</v>
      </c>
      <c r="E1453" s="67" t="str">
        <f>COLORES!A6</f>
        <v>Blanco</v>
      </c>
      <c r="F1453" s="67" t="str">
        <f>COLORES!B6</f>
        <v>PPT</v>
      </c>
      <c r="G1453" s="90" t="s">
        <v>376</v>
      </c>
      <c r="H1453" s="100">
        <f>IFERROR(SUMIFS(MOVIMIENTOS_COMPLEMENTOS!$I$4:$I$803,MOVIMIENTOS_COMPLEMENTOS!$C$4:$C$803,A1453,MOVIMIENTOS_COMPLEMENTOS!$D$4:$D$803,B1453,MOVIMIENTOS_COMPLEMENTOS!$E$4:$E$803,C1453,MOVIMIENTOS_COMPLEMENTOS!$G$4:$G$803,E1453,MOVIMIENTOS_COMPLEMENTOS!$H$4:$H$803,G1453,MOVIMIENTOS_COMPLEMENTOS!$B$4:$B$803,"INGRESO")+SUMIFS(MOVIMIENTOS_COMPLEMENTOS!$I$4:$I$803,MOVIMIENTOS_COMPLEMENTOS!$C$4:$C$803,A1453,MOVIMIENTOS_COMPLEMENTOS!$D$4:$D$803,B1453,MOVIMIENTOS_COMPLEMENTOS!$E$4:$E$803,C1453,MOVIMIENTOS_COMPLEMENTOS!$G$4:$G$803,E1453,MOVIMIENTOS_COMPLEMENTOS!$H$4:$H$803,G1453,MOVIMIENTOS_COMPLEMENTOS!$B$4:$B$803,"DE CORTE")-SUMIFS(MOVIMIENTOS_COMPLEMENTOS!$I$4:$I$803,MOVIMIENTOS_COMPLEMENTOS!$C$4:$C$803,A1453,MOVIMIENTOS_COMPLEMENTOS!$D$4:$D$803,B1453,MOVIMIENTOS_COMPLEMENTOS!$E$4:$E$803,C1453,MOVIMIENTOS_COMPLEMENTOS!$G$4:$G$803,E1453,MOVIMIENTOS_COMPLEMENTOS!$H$4:$H$803,G1453,MOVIMIENTOS_COMPLEMENTOS!$B$4:$B$803,"SALIDA"),0)</f>
        <v>0</v>
      </c>
      <c r="I1453" s="102">
        <f t="array" ref="I1453">IFERROR(INDEX(PRECIOS_COMPLEMENTOS!$C$4:$F$17,MATCH(B1453&amp;"_"&amp;C1453,PRECIOS_COMPLEMENTOS!$H$4:$H$17,0),IF(OR(G1453="S",G1453="20cm"),1,IF(OR(G1453="M",G1453="25cm"),2,IF(OR(G1453="L",G1453="30cm"),3,IF(OR(G1453="XL",G1453="35cm"),4,0))))),0)</f>
        <v>0.3</v>
      </c>
      <c r="J1453" s="103">
        <f t="shared" si="1"/>
        <v>0</v>
      </c>
      <c r="K1453" s="104" t="str">
        <f>IF(H1453&lt;0,"ERROR",IF(H1453=0,"",IF(H1453&lt;CONFIG!$B$4,"CRÍTICO",IF(H1453&lt;CONFIG!$B$5,"BAJO","OK"))))</f>
        <v/>
      </c>
    </row>
    <row r="1454" ht="15.75" hidden="1" customHeight="1">
      <c r="A1454" s="90" t="str">
        <f>IF(CLIENTES!A4="","",CLIENTES!A4)</f>
        <v>OverShark</v>
      </c>
      <c r="B1454" s="90" t="s">
        <v>324</v>
      </c>
      <c r="C1454" s="91" t="s">
        <v>328</v>
      </c>
      <c r="D1454" s="109" t="s">
        <v>353</v>
      </c>
      <c r="E1454" s="67" t="str">
        <f>COLORES!A6</f>
        <v>Blanco</v>
      </c>
      <c r="F1454" s="67" t="str">
        <f>COLORES!B6</f>
        <v>PPT</v>
      </c>
      <c r="G1454" s="90" t="s">
        <v>377</v>
      </c>
      <c r="H1454" s="100">
        <f>IFERROR(SUMIFS(MOVIMIENTOS_COMPLEMENTOS!$I$4:$I$803,MOVIMIENTOS_COMPLEMENTOS!$C$4:$C$803,A1454,MOVIMIENTOS_COMPLEMENTOS!$D$4:$D$803,B1454,MOVIMIENTOS_COMPLEMENTOS!$E$4:$E$803,C1454,MOVIMIENTOS_COMPLEMENTOS!$G$4:$G$803,E1454,MOVIMIENTOS_COMPLEMENTOS!$H$4:$H$803,G1454,MOVIMIENTOS_COMPLEMENTOS!$B$4:$B$803,"INGRESO")+SUMIFS(MOVIMIENTOS_COMPLEMENTOS!$I$4:$I$803,MOVIMIENTOS_COMPLEMENTOS!$C$4:$C$803,A1454,MOVIMIENTOS_COMPLEMENTOS!$D$4:$D$803,B1454,MOVIMIENTOS_COMPLEMENTOS!$E$4:$E$803,C1454,MOVIMIENTOS_COMPLEMENTOS!$G$4:$G$803,E1454,MOVIMIENTOS_COMPLEMENTOS!$H$4:$H$803,G1454,MOVIMIENTOS_COMPLEMENTOS!$B$4:$B$803,"DE CORTE")-SUMIFS(MOVIMIENTOS_COMPLEMENTOS!$I$4:$I$803,MOVIMIENTOS_COMPLEMENTOS!$C$4:$C$803,A1454,MOVIMIENTOS_COMPLEMENTOS!$D$4:$D$803,B1454,MOVIMIENTOS_COMPLEMENTOS!$E$4:$E$803,C1454,MOVIMIENTOS_COMPLEMENTOS!$G$4:$G$803,E1454,MOVIMIENTOS_COMPLEMENTOS!$H$4:$H$803,G1454,MOVIMIENTOS_COMPLEMENTOS!$B$4:$B$803,"SALIDA"),0)</f>
        <v>0</v>
      </c>
      <c r="I1454" s="102">
        <f t="array" ref="I1454">IFERROR(INDEX(PRECIOS_COMPLEMENTOS!$C$4:$F$17,MATCH(B1454&amp;"_"&amp;C1454,PRECIOS_COMPLEMENTOS!$H$4:$H$17,0),IF(OR(G1454="S",G1454="20cm"),1,IF(OR(G1454="M",G1454="25cm"),2,IF(OR(G1454="L",G1454="30cm"),3,IF(OR(G1454="XL",G1454="35cm"),4,0))))),0)</f>
        <v>0.3</v>
      </c>
      <c r="J1454" s="103">
        <f t="shared" si="1"/>
        <v>0</v>
      </c>
      <c r="K1454" s="104" t="str">
        <f>IF(H1454&lt;0,"ERROR",IF(H1454=0,"",IF(H1454&lt;CONFIG!$B$4,"CRÍTICO",IF(H1454&lt;CONFIG!$B$5,"BAJO","OK"))))</f>
        <v/>
      </c>
    </row>
    <row r="1455" ht="15.75" hidden="1" customHeight="1">
      <c r="A1455" s="90" t="str">
        <f>IF(CLIENTES!A4="","",CLIENTES!A4)</f>
        <v>OverShark</v>
      </c>
      <c r="B1455" s="90" t="s">
        <v>324</v>
      </c>
      <c r="C1455" s="91" t="s">
        <v>328</v>
      </c>
      <c r="D1455" s="109" t="s">
        <v>353</v>
      </c>
      <c r="E1455" s="67" t="str">
        <f>COLORES!A6</f>
        <v>Blanco</v>
      </c>
      <c r="F1455" s="67" t="str">
        <f>COLORES!B6</f>
        <v>PPT</v>
      </c>
      <c r="G1455" s="90" t="s">
        <v>379</v>
      </c>
      <c r="H1455" s="100">
        <f>IFERROR(SUMIFS(MOVIMIENTOS_COMPLEMENTOS!$I$4:$I$803,MOVIMIENTOS_COMPLEMENTOS!$C$4:$C$803,A1455,MOVIMIENTOS_COMPLEMENTOS!$D$4:$D$803,B1455,MOVIMIENTOS_COMPLEMENTOS!$E$4:$E$803,C1455,MOVIMIENTOS_COMPLEMENTOS!$G$4:$G$803,E1455,MOVIMIENTOS_COMPLEMENTOS!$H$4:$H$803,G1455,MOVIMIENTOS_COMPLEMENTOS!$B$4:$B$803,"INGRESO")+SUMIFS(MOVIMIENTOS_COMPLEMENTOS!$I$4:$I$803,MOVIMIENTOS_COMPLEMENTOS!$C$4:$C$803,A1455,MOVIMIENTOS_COMPLEMENTOS!$D$4:$D$803,B1455,MOVIMIENTOS_COMPLEMENTOS!$E$4:$E$803,C1455,MOVIMIENTOS_COMPLEMENTOS!$G$4:$G$803,E1455,MOVIMIENTOS_COMPLEMENTOS!$H$4:$H$803,G1455,MOVIMIENTOS_COMPLEMENTOS!$B$4:$B$803,"DE CORTE")-SUMIFS(MOVIMIENTOS_COMPLEMENTOS!$I$4:$I$803,MOVIMIENTOS_COMPLEMENTOS!$C$4:$C$803,A1455,MOVIMIENTOS_COMPLEMENTOS!$D$4:$D$803,B1455,MOVIMIENTOS_COMPLEMENTOS!$E$4:$E$803,C1455,MOVIMIENTOS_COMPLEMENTOS!$G$4:$G$803,E1455,MOVIMIENTOS_COMPLEMENTOS!$H$4:$H$803,G1455,MOVIMIENTOS_COMPLEMENTOS!$B$4:$B$803,"SALIDA"),0)</f>
        <v>0</v>
      </c>
      <c r="I1455" s="102">
        <f t="array" ref="I1455">IFERROR(INDEX(PRECIOS_COMPLEMENTOS!$C$4:$F$17,MATCH(B1455&amp;"_"&amp;C1455,PRECIOS_COMPLEMENTOS!$H$4:$H$17,0),IF(OR(G1455="S",G1455="20cm"),1,IF(OR(G1455="M",G1455="25cm"),2,IF(OR(G1455="L",G1455="30cm"),3,IF(OR(G1455="XL",G1455="35cm"),4,0))))),0)</f>
        <v>0.3</v>
      </c>
      <c r="J1455" s="103">
        <f t="shared" si="1"/>
        <v>0</v>
      </c>
      <c r="K1455" s="104" t="str">
        <f>IF(H1455&lt;0,"ERROR",IF(H1455=0,"",IF(H1455&lt;CONFIG!$B$4,"CRÍTICO",IF(H1455&lt;CONFIG!$B$5,"BAJO","OK"))))</f>
        <v/>
      </c>
    </row>
    <row r="1456" ht="15.75" hidden="1" customHeight="1">
      <c r="A1456" s="90" t="str">
        <f>IF(CLIENTES!A4="","",CLIENTES!A4)</f>
        <v>OverShark</v>
      </c>
      <c r="B1456" s="90" t="s">
        <v>324</v>
      </c>
      <c r="C1456" s="91" t="s">
        <v>328</v>
      </c>
      <c r="D1456" s="109" t="s">
        <v>353</v>
      </c>
      <c r="E1456" s="67" t="str">
        <f>COLORES!A7</f>
        <v>Azul</v>
      </c>
      <c r="F1456" s="67" t="str">
        <f>COLORES!B7</f>
        <v>OSCURO</v>
      </c>
      <c r="G1456" s="90" t="s">
        <v>378</v>
      </c>
      <c r="H1456" s="100">
        <f>IFERROR(SUMIFS(MOVIMIENTOS_COMPLEMENTOS!$I$4:$I$803,MOVIMIENTOS_COMPLEMENTOS!$C$4:$C$803,A1456,MOVIMIENTOS_COMPLEMENTOS!$D$4:$D$803,B1456,MOVIMIENTOS_COMPLEMENTOS!$E$4:$E$803,C1456,MOVIMIENTOS_COMPLEMENTOS!$G$4:$G$803,E1456,MOVIMIENTOS_COMPLEMENTOS!$H$4:$H$803,G1456,MOVIMIENTOS_COMPLEMENTOS!$B$4:$B$803,"INGRESO")+SUMIFS(MOVIMIENTOS_COMPLEMENTOS!$I$4:$I$803,MOVIMIENTOS_COMPLEMENTOS!$C$4:$C$803,A1456,MOVIMIENTOS_COMPLEMENTOS!$D$4:$D$803,B1456,MOVIMIENTOS_COMPLEMENTOS!$E$4:$E$803,C1456,MOVIMIENTOS_COMPLEMENTOS!$G$4:$G$803,E1456,MOVIMIENTOS_COMPLEMENTOS!$H$4:$H$803,G1456,MOVIMIENTOS_COMPLEMENTOS!$B$4:$B$803,"DE CORTE")-SUMIFS(MOVIMIENTOS_COMPLEMENTOS!$I$4:$I$803,MOVIMIENTOS_COMPLEMENTOS!$C$4:$C$803,A1456,MOVIMIENTOS_COMPLEMENTOS!$D$4:$D$803,B1456,MOVIMIENTOS_COMPLEMENTOS!$E$4:$E$803,C1456,MOVIMIENTOS_COMPLEMENTOS!$G$4:$G$803,E1456,MOVIMIENTOS_COMPLEMENTOS!$H$4:$H$803,G1456,MOVIMIENTOS_COMPLEMENTOS!$B$4:$B$803,"SALIDA"),0)</f>
        <v>0</v>
      </c>
      <c r="I1456" s="102">
        <f t="array" ref="I1456">IFERROR(INDEX(PRECIOS_COMPLEMENTOS!$C$4:$F$17,MATCH(B1456&amp;"_"&amp;C1456,PRECIOS_COMPLEMENTOS!$H$4:$H$17,0),IF(OR(G1456="S",G1456="20cm"),1,IF(OR(G1456="M",G1456="25cm"),2,IF(OR(G1456="L",G1456="30cm"),3,IF(OR(G1456="XL",G1456="35cm"),4,0))))),0)</f>
        <v>0.3</v>
      </c>
      <c r="J1456" s="103">
        <f t="shared" si="1"/>
        <v>0</v>
      </c>
      <c r="K1456" s="104" t="str">
        <f>IF(H1456&lt;0,"ERROR",IF(H1456=0,"",IF(H1456&lt;CONFIG!$B$4,"CRÍTICO",IF(H1456&lt;CONFIG!$B$5,"BAJO","OK"))))</f>
        <v/>
      </c>
    </row>
    <row r="1457" ht="15.75" hidden="1" customHeight="1">
      <c r="A1457" s="90" t="str">
        <f>IF(CLIENTES!A4="","",CLIENTES!A4)</f>
        <v>OverShark</v>
      </c>
      <c r="B1457" s="90" t="s">
        <v>324</v>
      </c>
      <c r="C1457" s="91" t="s">
        <v>328</v>
      </c>
      <c r="D1457" s="109" t="s">
        <v>353</v>
      </c>
      <c r="E1457" s="67" t="str">
        <f>COLORES!A7</f>
        <v>Azul</v>
      </c>
      <c r="F1457" s="67" t="str">
        <f>COLORES!B7</f>
        <v>OSCURO</v>
      </c>
      <c r="G1457" s="90" t="s">
        <v>376</v>
      </c>
      <c r="H1457" s="100">
        <f>IFERROR(SUMIFS(MOVIMIENTOS_COMPLEMENTOS!$I$4:$I$803,MOVIMIENTOS_COMPLEMENTOS!$C$4:$C$803,A1457,MOVIMIENTOS_COMPLEMENTOS!$D$4:$D$803,B1457,MOVIMIENTOS_COMPLEMENTOS!$E$4:$E$803,C1457,MOVIMIENTOS_COMPLEMENTOS!$G$4:$G$803,E1457,MOVIMIENTOS_COMPLEMENTOS!$H$4:$H$803,G1457,MOVIMIENTOS_COMPLEMENTOS!$B$4:$B$803,"INGRESO")+SUMIFS(MOVIMIENTOS_COMPLEMENTOS!$I$4:$I$803,MOVIMIENTOS_COMPLEMENTOS!$C$4:$C$803,A1457,MOVIMIENTOS_COMPLEMENTOS!$D$4:$D$803,B1457,MOVIMIENTOS_COMPLEMENTOS!$E$4:$E$803,C1457,MOVIMIENTOS_COMPLEMENTOS!$G$4:$G$803,E1457,MOVIMIENTOS_COMPLEMENTOS!$H$4:$H$803,G1457,MOVIMIENTOS_COMPLEMENTOS!$B$4:$B$803,"DE CORTE")-SUMIFS(MOVIMIENTOS_COMPLEMENTOS!$I$4:$I$803,MOVIMIENTOS_COMPLEMENTOS!$C$4:$C$803,A1457,MOVIMIENTOS_COMPLEMENTOS!$D$4:$D$803,B1457,MOVIMIENTOS_COMPLEMENTOS!$E$4:$E$803,C1457,MOVIMIENTOS_COMPLEMENTOS!$G$4:$G$803,E1457,MOVIMIENTOS_COMPLEMENTOS!$H$4:$H$803,G1457,MOVIMIENTOS_COMPLEMENTOS!$B$4:$B$803,"SALIDA"),0)</f>
        <v>0</v>
      </c>
      <c r="I1457" s="102">
        <f t="array" ref="I1457">IFERROR(INDEX(PRECIOS_COMPLEMENTOS!$C$4:$F$17,MATCH(B1457&amp;"_"&amp;C1457,PRECIOS_COMPLEMENTOS!$H$4:$H$17,0),IF(OR(G1457="S",G1457="20cm"),1,IF(OR(G1457="M",G1457="25cm"),2,IF(OR(G1457="L",G1457="30cm"),3,IF(OR(G1457="XL",G1457="35cm"),4,0))))),0)</f>
        <v>0.3</v>
      </c>
      <c r="J1457" s="103">
        <f t="shared" si="1"/>
        <v>0</v>
      </c>
      <c r="K1457" s="104" t="str">
        <f>IF(H1457&lt;0,"ERROR",IF(H1457=0,"",IF(H1457&lt;CONFIG!$B$4,"CRÍTICO",IF(H1457&lt;CONFIG!$B$5,"BAJO","OK"))))</f>
        <v/>
      </c>
    </row>
    <row r="1458" ht="15.75" hidden="1" customHeight="1">
      <c r="A1458" s="90" t="str">
        <f>IF(CLIENTES!A4="","",CLIENTES!A4)</f>
        <v>OverShark</v>
      </c>
      <c r="B1458" s="90" t="s">
        <v>324</v>
      </c>
      <c r="C1458" s="91" t="s">
        <v>328</v>
      </c>
      <c r="D1458" s="109" t="s">
        <v>353</v>
      </c>
      <c r="E1458" s="67" t="str">
        <f>COLORES!A7</f>
        <v>Azul</v>
      </c>
      <c r="F1458" s="67" t="str">
        <f>COLORES!B7</f>
        <v>OSCURO</v>
      </c>
      <c r="G1458" s="90" t="s">
        <v>377</v>
      </c>
      <c r="H1458" s="100">
        <f>IFERROR(SUMIFS(MOVIMIENTOS_COMPLEMENTOS!$I$4:$I$803,MOVIMIENTOS_COMPLEMENTOS!$C$4:$C$803,A1458,MOVIMIENTOS_COMPLEMENTOS!$D$4:$D$803,B1458,MOVIMIENTOS_COMPLEMENTOS!$E$4:$E$803,C1458,MOVIMIENTOS_COMPLEMENTOS!$G$4:$G$803,E1458,MOVIMIENTOS_COMPLEMENTOS!$H$4:$H$803,G1458,MOVIMIENTOS_COMPLEMENTOS!$B$4:$B$803,"INGRESO")+SUMIFS(MOVIMIENTOS_COMPLEMENTOS!$I$4:$I$803,MOVIMIENTOS_COMPLEMENTOS!$C$4:$C$803,A1458,MOVIMIENTOS_COMPLEMENTOS!$D$4:$D$803,B1458,MOVIMIENTOS_COMPLEMENTOS!$E$4:$E$803,C1458,MOVIMIENTOS_COMPLEMENTOS!$G$4:$G$803,E1458,MOVIMIENTOS_COMPLEMENTOS!$H$4:$H$803,G1458,MOVIMIENTOS_COMPLEMENTOS!$B$4:$B$803,"DE CORTE")-SUMIFS(MOVIMIENTOS_COMPLEMENTOS!$I$4:$I$803,MOVIMIENTOS_COMPLEMENTOS!$C$4:$C$803,A1458,MOVIMIENTOS_COMPLEMENTOS!$D$4:$D$803,B1458,MOVIMIENTOS_COMPLEMENTOS!$E$4:$E$803,C1458,MOVIMIENTOS_COMPLEMENTOS!$G$4:$G$803,E1458,MOVIMIENTOS_COMPLEMENTOS!$H$4:$H$803,G1458,MOVIMIENTOS_COMPLEMENTOS!$B$4:$B$803,"SALIDA"),0)</f>
        <v>0</v>
      </c>
      <c r="I1458" s="102">
        <f t="array" ref="I1458">IFERROR(INDEX(PRECIOS_COMPLEMENTOS!$C$4:$F$17,MATCH(B1458&amp;"_"&amp;C1458,PRECIOS_COMPLEMENTOS!$H$4:$H$17,0),IF(OR(G1458="S",G1458="20cm"),1,IF(OR(G1458="M",G1458="25cm"),2,IF(OR(G1458="L",G1458="30cm"),3,IF(OR(G1458="XL",G1458="35cm"),4,0))))),0)</f>
        <v>0.3</v>
      </c>
      <c r="J1458" s="103">
        <f t="shared" si="1"/>
        <v>0</v>
      </c>
      <c r="K1458" s="104" t="str">
        <f>IF(H1458&lt;0,"ERROR",IF(H1458=0,"",IF(H1458&lt;CONFIG!$B$4,"CRÍTICO",IF(H1458&lt;CONFIG!$B$5,"BAJO","OK"))))</f>
        <v/>
      </c>
    </row>
    <row r="1459" ht="15.75" hidden="1" customHeight="1">
      <c r="A1459" s="90" t="str">
        <f>IF(CLIENTES!A4="","",CLIENTES!A4)</f>
        <v>OverShark</v>
      </c>
      <c r="B1459" s="90" t="s">
        <v>324</v>
      </c>
      <c r="C1459" s="91" t="s">
        <v>328</v>
      </c>
      <c r="D1459" s="109" t="s">
        <v>353</v>
      </c>
      <c r="E1459" s="67" t="str">
        <f>COLORES!A7</f>
        <v>Azul</v>
      </c>
      <c r="F1459" s="67" t="str">
        <f>COLORES!B7</f>
        <v>OSCURO</v>
      </c>
      <c r="G1459" s="90" t="s">
        <v>379</v>
      </c>
      <c r="H1459" s="100">
        <f>IFERROR(SUMIFS(MOVIMIENTOS_COMPLEMENTOS!$I$4:$I$803,MOVIMIENTOS_COMPLEMENTOS!$C$4:$C$803,A1459,MOVIMIENTOS_COMPLEMENTOS!$D$4:$D$803,B1459,MOVIMIENTOS_COMPLEMENTOS!$E$4:$E$803,C1459,MOVIMIENTOS_COMPLEMENTOS!$G$4:$G$803,E1459,MOVIMIENTOS_COMPLEMENTOS!$H$4:$H$803,G1459,MOVIMIENTOS_COMPLEMENTOS!$B$4:$B$803,"INGRESO")+SUMIFS(MOVIMIENTOS_COMPLEMENTOS!$I$4:$I$803,MOVIMIENTOS_COMPLEMENTOS!$C$4:$C$803,A1459,MOVIMIENTOS_COMPLEMENTOS!$D$4:$D$803,B1459,MOVIMIENTOS_COMPLEMENTOS!$E$4:$E$803,C1459,MOVIMIENTOS_COMPLEMENTOS!$G$4:$G$803,E1459,MOVIMIENTOS_COMPLEMENTOS!$H$4:$H$803,G1459,MOVIMIENTOS_COMPLEMENTOS!$B$4:$B$803,"DE CORTE")-SUMIFS(MOVIMIENTOS_COMPLEMENTOS!$I$4:$I$803,MOVIMIENTOS_COMPLEMENTOS!$C$4:$C$803,A1459,MOVIMIENTOS_COMPLEMENTOS!$D$4:$D$803,B1459,MOVIMIENTOS_COMPLEMENTOS!$E$4:$E$803,C1459,MOVIMIENTOS_COMPLEMENTOS!$G$4:$G$803,E1459,MOVIMIENTOS_COMPLEMENTOS!$H$4:$H$803,G1459,MOVIMIENTOS_COMPLEMENTOS!$B$4:$B$803,"SALIDA"),0)</f>
        <v>0</v>
      </c>
      <c r="I1459" s="102">
        <f t="array" ref="I1459">IFERROR(INDEX(PRECIOS_COMPLEMENTOS!$C$4:$F$17,MATCH(B1459&amp;"_"&amp;C1459,PRECIOS_COMPLEMENTOS!$H$4:$H$17,0),IF(OR(G1459="S",G1459="20cm"),1,IF(OR(G1459="M",G1459="25cm"),2,IF(OR(G1459="L",G1459="30cm"),3,IF(OR(G1459="XL",G1459="35cm"),4,0))))),0)</f>
        <v>0.3</v>
      </c>
      <c r="J1459" s="103">
        <f t="shared" si="1"/>
        <v>0</v>
      </c>
      <c r="K1459" s="104" t="str">
        <f>IF(H1459&lt;0,"ERROR",IF(H1459=0,"",IF(H1459&lt;CONFIG!$B$4,"CRÍTICO",IF(H1459&lt;CONFIG!$B$5,"BAJO","OK"))))</f>
        <v/>
      </c>
    </row>
    <row r="1460" ht="15.75" hidden="1" customHeight="1">
      <c r="A1460" s="90" t="str">
        <f>IF(CLIENTES!A4="","",CLIENTES!A4)</f>
        <v>OverShark</v>
      </c>
      <c r="B1460" s="90" t="s">
        <v>324</v>
      </c>
      <c r="C1460" s="91" t="s">
        <v>328</v>
      </c>
      <c r="D1460" s="109" t="s">
        <v>353</v>
      </c>
      <c r="E1460" s="67" t="str">
        <f>COLORES!A8</f>
        <v>Beige</v>
      </c>
      <c r="F1460" s="67" t="str">
        <f>COLORES!B8</f>
        <v>CLARO</v>
      </c>
      <c r="G1460" s="90" t="s">
        <v>378</v>
      </c>
      <c r="H1460" s="100">
        <f>IFERROR(SUMIFS(MOVIMIENTOS_COMPLEMENTOS!$I$4:$I$803,MOVIMIENTOS_COMPLEMENTOS!$C$4:$C$803,A1460,MOVIMIENTOS_COMPLEMENTOS!$D$4:$D$803,B1460,MOVIMIENTOS_COMPLEMENTOS!$E$4:$E$803,C1460,MOVIMIENTOS_COMPLEMENTOS!$G$4:$G$803,E1460,MOVIMIENTOS_COMPLEMENTOS!$H$4:$H$803,G1460,MOVIMIENTOS_COMPLEMENTOS!$B$4:$B$803,"INGRESO")+SUMIFS(MOVIMIENTOS_COMPLEMENTOS!$I$4:$I$803,MOVIMIENTOS_COMPLEMENTOS!$C$4:$C$803,A1460,MOVIMIENTOS_COMPLEMENTOS!$D$4:$D$803,B1460,MOVIMIENTOS_COMPLEMENTOS!$E$4:$E$803,C1460,MOVIMIENTOS_COMPLEMENTOS!$G$4:$G$803,E1460,MOVIMIENTOS_COMPLEMENTOS!$H$4:$H$803,G1460,MOVIMIENTOS_COMPLEMENTOS!$B$4:$B$803,"DE CORTE")-SUMIFS(MOVIMIENTOS_COMPLEMENTOS!$I$4:$I$803,MOVIMIENTOS_COMPLEMENTOS!$C$4:$C$803,A1460,MOVIMIENTOS_COMPLEMENTOS!$D$4:$D$803,B1460,MOVIMIENTOS_COMPLEMENTOS!$E$4:$E$803,C1460,MOVIMIENTOS_COMPLEMENTOS!$G$4:$G$803,E1460,MOVIMIENTOS_COMPLEMENTOS!$H$4:$H$803,G1460,MOVIMIENTOS_COMPLEMENTOS!$B$4:$B$803,"SALIDA"),0)</f>
        <v>0</v>
      </c>
      <c r="I1460" s="102">
        <f t="array" ref="I1460">IFERROR(INDEX(PRECIOS_COMPLEMENTOS!$C$4:$F$17,MATCH(B1460&amp;"_"&amp;C1460,PRECIOS_COMPLEMENTOS!$H$4:$H$17,0),IF(OR(G1460="S",G1460="20cm"),1,IF(OR(G1460="M",G1460="25cm"),2,IF(OR(G1460="L",G1460="30cm"),3,IF(OR(G1460="XL",G1460="35cm"),4,0))))),0)</f>
        <v>0.3</v>
      </c>
      <c r="J1460" s="103">
        <f t="shared" si="1"/>
        <v>0</v>
      </c>
      <c r="K1460" s="104" t="str">
        <f>IF(H1460&lt;0,"ERROR",IF(H1460=0,"",IF(H1460&lt;CONFIG!$B$4,"CRÍTICO",IF(H1460&lt;CONFIG!$B$5,"BAJO","OK"))))</f>
        <v/>
      </c>
    </row>
    <row r="1461" ht="15.75" hidden="1" customHeight="1">
      <c r="A1461" s="90" t="str">
        <f>IF(CLIENTES!A4="","",CLIENTES!A4)</f>
        <v>OverShark</v>
      </c>
      <c r="B1461" s="90" t="s">
        <v>324</v>
      </c>
      <c r="C1461" s="91" t="s">
        <v>328</v>
      </c>
      <c r="D1461" s="109" t="s">
        <v>353</v>
      </c>
      <c r="E1461" s="67" t="str">
        <f>COLORES!A8</f>
        <v>Beige</v>
      </c>
      <c r="F1461" s="67" t="str">
        <f>COLORES!B8</f>
        <v>CLARO</v>
      </c>
      <c r="G1461" s="90" t="s">
        <v>376</v>
      </c>
      <c r="H1461" s="100">
        <f>IFERROR(SUMIFS(MOVIMIENTOS_COMPLEMENTOS!$I$4:$I$803,MOVIMIENTOS_COMPLEMENTOS!$C$4:$C$803,A1461,MOVIMIENTOS_COMPLEMENTOS!$D$4:$D$803,B1461,MOVIMIENTOS_COMPLEMENTOS!$E$4:$E$803,C1461,MOVIMIENTOS_COMPLEMENTOS!$G$4:$G$803,E1461,MOVIMIENTOS_COMPLEMENTOS!$H$4:$H$803,G1461,MOVIMIENTOS_COMPLEMENTOS!$B$4:$B$803,"INGRESO")+SUMIFS(MOVIMIENTOS_COMPLEMENTOS!$I$4:$I$803,MOVIMIENTOS_COMPLEMENTOS!$C$4:$C$803,A1461,MOVIMIENTOS_COMPLEMENTOS!$D$4:$D$803,B1461,MOVIMIENTOS_COMPLEMENTOS!$E$4:$E$803,C1461,MOVIMIENTOS_COMPLEMENTOS!$G$4:$G$803,E1461,MOVIMIENTOS_COMPLEMENTOS!$H$4:$H$803,G1461,MOVIMIENTOS_COMPLEMENTOS!$B$4:$B$803,"DE CORTE")-SUMIFS(MOVIMIENTOS_COMPLEMENTOS!$I$4:$I$803,MOVIMIENTOS_COMPLEMENTOS!$C$4:$C$803,A1461,MOVIMIENTOS_COMPLEMENTOS!$D$4:$D$803,B1461,MOVIMIENTOS_COMPLEMENTOS!$E$4:$E$803,C1461,MOVIMIENTOS_COMPLEMENTOS!$G$4:$G$803,E1461,MOVIMIENTOS_COMPLEMENTOS!$H$4:$H$803,G1461,MOVIMIENTOS_COMPLEMENTOS!$B$4:$B$803,"SALIDA"),0)</f>
        <v>0</v>
      </c>
      <c r="I1461" s="102">
        <f t="array" ref="I1461">IFERROR(INDEX(PRECIOS_COMPLEMENTOS!$C$4:$F$17,MATCH(B1461&amp;"_"&amp;C1461,PRECIOS_COMPLEMENTOS!$H$4:$H$17,0),IF(OR(G1461="S",G1461="20cm"),1,IF(OR(G1461="M",G1461="25cm"),2,IF(OR(G1461="L",G1461="30cm"),3,IF(OR(G1461="XL",G1461="35cm"),4,0))))),0)</f>
        <v>0.3</v>
      </c>
      <c r="J1461" s="103">
        <f t="shared" si="1"/>
        <v>0</v>
      </c>
      <c r="K1461" s="104" t="str">
        <f>IF(H1461&lt;0,"ERROR",IF(H1461=0,"",IF(H1461&lt;CONFIG!$B$4,"CRÍTICO",IF(H1461&lt;CONFIG!$B$5,"BAJO","OK"))))</f>
        <v/>
      </c>
    </row>
    <row r="1462" ht="15.75" hidden="1" customHeight="1">
      <c r="A1462" s="90" t="str">
        <f>IF(CLIENTES!A4="","",CLIENTES!A4)</f>
        <v>OverShark</v>
      </c>
      <c r="B1462" s="90" t="s">
        <v>324</v>
      </c>
      <c r="C1462" s="91" t="s">
        <v>328</v>
      </c>
      <c r="D1462" s="109" t="s">
        <v>353</v>
      </c>
      <c r="E1462" s="67" t="str">
        <f>COLORES!A8</f>
        <v>Beige</v>
      </c>
      <c r="F1462" s="67" t="str">
        <f>COLORES!B8</f>
        <v>CLARO</v>
      </c>
      <c r="G1462" s="90" t="s">
        <v>377</v>
      </c>
      <c r="H1462" s="100">
        <f>IFERROR(SUMIFS(MOVIMIENTOS_COMPLEMENTOS!$I$4:$I$803,MOVIMIENTOS_COMPLEMENTOS!$C$4:$C$803,A1462,MOVIMIENTOS_COMPLEMENTOS!$D$4:$D$803,B1462,MOVIMIENTOS_COMPLEMENTOS!$E$4:$E$803,C1462,MOVIMIENTOS_COMPLEMENTOS!$G$4:$G$803,E1462,MOVIMIENTOS_COMPLEMENTOS!$H$4:$H$803,G1462,MOVIMIENTOS_COMPLEMENTOS!$B$4:$B$803,"INGRESO")+SUMIFS(MOVIMIENTOS_COMPLEMENTOS!$I$4:$I$803,MOVIMIENTOS_COMPLEMENTOS!$C$4:$C$803,A1462,MOVIMIENTOS_COMPLEMENTOS!$D$4:$D$803,B1462,MOVIMIENTOS_COMPLEMENTOS!$E$4:$E$803,C1462,MOVIMIENTOS_COMPLEMENTOS!$G$4:$G$803,E1462,MOVIMIENTOS_COMPLEMENTOS!$H$4:$H$803,G1462,MOVIMIENTOS_COMPLEMENTOS!$B$4:$B$803,"DE CORTE")-SUMIFS(MOVIMIENTOS_COMPLEMENTOS!$I$4:$I$803,MOVIMIENTOS_COMPLEMENTOS!$C$4:$C$803,A1462,MOVIMIENTOS_COMPLEMENTOS!$D$4:$D$803,B1462,MOVIMIENTOS_COMPLEMENTOS!$E$4:$E$803,C1462,MOVIMIENTOS_COMPLEMENTOS!$G$4:$G$803,E1462,MOVIMIENTOS_COMPLEMENTOS!$H$4:$H$803,G1462,MOVIMIENTOS_COMPLEMENTOS!$B$4:$B$803,"SALIDA"),0)</f>
        <v>0</v>
      </c>
      <c r="I1462" s="102">
        <f t="array" ref="I1462">IFERROR(INDEX(PRECIOS_COMPLEMENTOS!$C$4:$F$17,MATCH(B1462&amp;"_"&amp;C1462,PRECIOS_COMPLEMENTOS!$H$4:$H$17,0),IF(OR(G1462="S",G1462="20cm"),1,IF(OR(G1462="M",G1462="25cm"),2,IF(OR(G1462="L",G1462="30cm"),3,IF(OR(G1462="XL",G1462="35cm"),4,0))))),0)</f>
        <v>0.3</v>
      </c>
      <c r="J1462" s="103">
        <f t="shared" si="1"/>
        <v>0</v>
      </c>
      <c r="K1462" s="104" t="str">
        <f>IF(H1462&lt;0,"ERROR",IF(H1462=0,"",IF(H1462&lt;CONFIG!$B$4,"CRÍTICO",IF(H1462&lt;CONFIG!$B$5,"BAJO","OK"))))</f>
        <v/>
      </c>
    </row>
    <row r="1463" ht="15.75" hidden="1" customHeight="1">
      <c r="A1463" s="90" t="str">
        <f>IF(CLIENTES!A4="","",CLIENTES!A4)</f>
        <v>OverShark</v>
      </c>
      <c r="B1463" s="90" t="s">
        <v>324</v>
      </c>
      <c r="C1463" s="91" t="s">
        <v>328</v>
      </c>
      <c r="D1463" s="109" t="s">
        <v>353</v>
      </c>
      <c r="E1463" s="67" t="str">
        <f>COLORES!A8</f>
        <v>Beige</v>
      </c>
      <c r="F1463" s="67" t="str">
        <f>COLORES!B8</f>
        <v>CLARO</v>
      </c>
      <c r="G1463" s="90" t="s">
        <v>379</v>
      </c>
      <c r="H1463" s="100">
        <f>IFERROR(SUMIFS(MOVIMIENTOS_COMPLEMENTOS!$I$4:$I$803,MOVIMIENTOS_COMPLEMENTOS!$C$4:$C$803,A1463,MOVIMIENTOS_COMPLEMENTOS!$D$4:$D$803,B1463,MOVIMIENTOS_COMPLEMENTOS!$E$4:$E$803,C1463,MOVIMIENTOS_COMPLEMENTOS!$G$4:$G$803,E1463,MOVIMIENTOS_COMPLEMENTOS!$H$4:$H$803,G1463,MOVIMIENTOS_COMPLEMENTOS!$B$4:$B$803,"INGRESO")+SUMIFS(MOVIMIENTOS_COMPLEMENTOS!$I$4:$I$803,MOVIMIENTOS_COMPLEMENTOS!$C$4:$C$803,A1463,MOVIMIENTOS_COMPLEMENTOS!$D$4:$D$803,B1463,MOVIMIENTOS_COMPLEMENTOS!$E$4:$E$803,C1463,MOVIMIENTOS_COMPLEMENTOS!$G$4:$G$803,E1463,MOVIMIENTOS_COMPLEMENTOS!$H$4:$H$803,G1463,MOVIMIENTOS_COMPLEMENTOS!$B$4:$B$803,"DE CORTE")-SUMIFS(MOVIMIENTOS_COMPLEMENTOS!$I$4:$I$803,MOVIMIENTOS_COMPLEMENTOS!$C$4:$C$803,A1463,MOVIMIENTOS_COMPLEMENTOS!$D$4:$D$803,B1463,MOVIMIENTOS_COMPLEMENTOS!$E$4:$E$803,C1463,MOVIMIENTOS_COMPLEMENTOS!$G$4:$G$803,E1463,MOVIMIENTOS_COMPLEMENTOS!$H$4:$H$803,G1463,MOVIMIENTOS_COMPLEMENTOS!$B$4:$B$803,"SALIDA"),0)</f>
        <v>0</v>
      </c>
      <c r="I1463" s="102">
        <f t="array" ref="I1463">IFERROR(INDEX(PRECIOS_COMPLEMENTOS!$C$4:$F$17,MATCH(B1463&amp;"_"&amp;C1463,PRECIOS_COMPLEMENTOS!$H$4:$H$17,0),IF(OR(G1463="S",G1463="20cm"),1,IF(OR(G1463="M",G1463="25cm"),2,IF(OR(G1463="L",G1463="30cm"),3,IF(OR(G1463="XL",G1463="35cm"),4,0))))),0)</f>
        <v>0.3</v>
      </c>
      <c r="J1463" s="103">
        <f t="shared" si="1"/>
        <v>0</v>
      </c>
      <c r="K1463" s="104" t="str">
        <f>IF(H1463&lt;0,"ERROR",IF(H1463=0,"",IF(H1463&lt;CONFIG!$B$4,"CRÍTICO",IF(H1463&lt;CONFIG!$B$5,"BAJO","OK"))))</f>
        <v/>
      </c>
    </row>
    <row r="1464" ht="15.75" hidden="1" customHeight="1">
      <c r="A1464" s="90" t="str">
        <f>IF(CLIENTES!A4="","",CLIENTES!A4)</f>
        <v>OverShark</v>
      </c>
      <c r="B1464" s="90" t="s">
        <v>324</v>
      </c>
      <c r="C1464" s="91" t="s">
        <v>328</v>
      </c>
      <c r="D1464" s="109" t="s">
        <v>353</v>
      </c>
      <c r="E1464" s="67" t="str">
        <f>COLORES!A9</f>
        <v>Melange</v>
      </c>
      <c r="F1464" s="67" t="str">
        <f>COLORES!B9</f>
        <v>MELANGE</v>
      </c>
      <c r="G1464" s="90" t="s">
        <v>378</v>
      </c>
      <c r="H1464" s="100">
        <f>IFERROR(SUMIFS(MOVIMIENTOS_COMPLEMENTOS!$I$4:$I$803,MOVIMIENTOS_COMPLEMENTOS!$C$4:$C$803,A1464,MOVIMIENTOS_COMPLEMENTOS!$D$4:$D$803,B1464,MOVIMIENTOS_COMPLEMENTOS!$E$4:$E$803,C1464,MOVIMIENTOS_COMPLEMENTOS!$G$4:$G$803,E1464,MOVIMIENTOS_COMPLEMENTOS!$H$4:$H$803,G1464,MOVIMIENTOS_COMPLEMENTOS!$B$4:$B$803,"INGRESO")+SUMIFS(MOVIMIENTOS_COMPLEMENTOS!$I$4:$I$803,MOVIMIENTOS_COMPLEMENTOS!$C$4:$C$803,A1464,MOVIMIENTOS_COMPLEMENTOS!$D$4:$D$803,B1464,MOVIMIENTOS_COMPLEMENTOS!$E$4:$E$803,C1464,MOVIMIENTOS_COMPLEMENTOS!$G$4:$G$803,E1464,MOVIMIENTOS_COMPLEMENTOS!$H$4:$H$803,G1464,MOVIMIENTOS_COMPLEMENTOS!$B$4:$B$803,"DE CORTE")-SUMIFS(MOVIMIENTOS_COMPLEMENTOS!$I$4:$I$803,MOVIMIENTOS_COMPLEMENTOS!$C$4:$C$803,A1464,MOVIMIENTOS_COMPLEMENTOS!$D$4:$D$803,B1464,MOVIMIENTOS_COMPLEMENTOS!$E$4:$E$803,C1464,MOVIMIENTOS_COMPLEMENTOS!$G$4:$G$803,E1464,MOVIMIENTOS_COMPLEMENTOS!$H$4:$H$803,G1464,MOVIMIENTOS_COMPLEMENTOS!$B$4:$B$803,"SALIDA"),0)</f>
        <v>0</v>
      </c>
      <c r="I1464" s="102">
        <f t="array" ref="I1464">IFERROR(INDEX(PRECIOS_COMPLEMENTOS!$C$4:$F$17,MATCH(B1464&amp;"_"&amp;C1464,PRECIOS_COMPLEMENTOS!$H$4:$H$17,0),IF(OR(G1464="S",G1464="20cm"),1,IF(OR(G1464="M",G1464="25cm"),2,IF(OR(G1464="L",G1464="30cm"),3,IF(OR(G1464="XL",G1464="35cm"),4,0))))),0)</f>
        <v>0.3</v>
      </c>
      <c r="J1464" s="103">
        <f t="shared" si="1"/>
        <v>0</v>
      </c>
      <c r="K1464" s="104" t="str">
        <f>IF(H1464&lt;0,"ERROR",IF(H1464=0,"",IF(H1464&lt;CONFIG!$B$4,"CRÍTICO",IF(H1464&lt;CONFIG!$B$5,"BAJO","OK"))))</f>
        <v/>
      </c>
    </row>
    <row r="1465" ht="15.75" hidden="1" customHeight="1">
      <c r="A1465" s="90" t="str">
        <f>IF(CLIENTES!A4="","",CLIENTES!A4)</f>
        <v>OverShark</v>
      </c>
      <c r="B1465" s="90" t="s">
        <v>324</v>
      </c>
      <c r="C1465" s="91" t="s">
        <v>328</v>
      </c>
      <c r="D1465" s="109" t="s">
        <v>353</v>
      </c>
      <c r="E1465" s="67" t="str">
        <f>COLORES!A9</f>
        <v>Melange</v>
      </c>
      <c r="F1465" s="67" t="str">
        <f>COLORES!B9</f>
        <v>MELANGE</v>
      </c>
      <c r="G1465" s="90" t="s">
        <v>376</v>
      </c>
      <c r="H1465" s="100">
        <f>IFERROR(SUMIFS(MOVIMIENTOS_COMPLEMENTOS!$I$4:$I$803,MOVIMIENTOS_COMPLEMENTOS!$C$4:$C$803,A1465,MOVIMIENTOS_COMPLEMENTOS!$D$4:$D$803,B1465,MOVIMIENTOS_COMPLEMENTOS!$E$4:$E$803,C1465,MOVIMIENTOS_COMPLEMENTOS!$G$4:$G$803,E1465,MOVIMIENTOS_COMPLEMENTOS!$H$4:$H$803,G1465,MOVIMIENTOS_COMPLEMENTOS!$B$4:$B$803,"INGRESO")+SUMIFS(MOVIMIENTOS_COMPLEMENTOS!$I$4:$I$803,MOVIMIENTOS_COMPLEMENTOS!$C$4:$C$803,A1465,MOVIMIENTOS_COMPLEMENTOS!$D$4:$D$803,B1465,MOVIMIENTOS_COMPLEMENTOS!$E$4:$E$803,C1465,MOVIMIENTOS_COMPLEMENTOS!$G$4:$G$803,E1465,MOVIMIENTOS_COMPLEMENTOS!$H$4:$H$803,G1465,MOVIMIENTOS_COMPLEMENTOS!$B$4:$B$803,"DE CORTE")-SUMIFS(MOVIMIENTOS_COMPLEMENTOS!$I$4:$I$803,MOVIMIENTOS_COMPLEMENTOS!$C$4:$C$803,A1465,MOVIMIENTOS_COMPLEMENTOS!$D$4:$D$803,B1465,MOVIMIENTOS_COMPLEMENTOS!$E$4:$E$803,C1465,MOVIMIENTOS_COMPLEMENTOS!$G$4:$G$803,E1465,MOVIMIENTOS_COMPLEMENTOS!$H$4:$H$803,G1465,MOVIMIENTOS_COMPLEMENTOS!$B$4:$B$803,"SALIDA"),0)</f>
        <v>0</v>
      </c>
      <c r="I1465" s="102">
        <f t="array" ref="I1465">IFERROR(INDEX(PRECIOS_COMPLEMENTOS!$C$4:$F$17,MATCH(B1465&amp;"_"&amp;C1465,PRECIOS_COMPLEMENTOS!$H$4:$H$17,0),IF(OR(G1465="S",G1465="20cm"),1,IF(OR(G1465="M",G1465="25cm"),2,IF(OR(G1465="L",G1465="30cm"),3,IF(OR(G1465="XL",G1465="35cm"),4,0))))),0)</f>
        <v>0.3</v>
      </c>
      <c r="J1465" s="103">
        <f t="shared" si="1"/>
        <v>0</v>
      </c>
      <c r="K1465" s="104" t="str">
        <f>IF(H1465&lt;0,"ERROR",IF(H1465=0,"",IF(H1465&lt;CONFIG!$B$4,"CRÍTICO",IF(H1465&lt;CONFIG!$B$5,"BAJO","OK"))))</f>
        <v/>
      </c>
    </row>
    <row r="1466" ht="15.75" hidden="1" customHeight="1">
      <c r="A1466" s="90" t="str">
        <f>IF(CLIENTES!A4="","",CLIENTES!A4)</f>
        <v>OverShark</v>
      </c>
      <c r="B1466" s="90" t="s">
        <v>324</v>
      </c>
      <c r="C1466" s="91" t="s">
        <v>328</v>
      </c>
      <c r="D1466" s="109" t="s">
        <v>353</v>
      </c>
      <c r="E1466" s="67" t="str">
        <f>COLORES!A9</f>
        <v>Melange</v>
      </c>
      <c r="F1466" s="67" t="str">
        <f>COLORES!B9</f>
        <v>MELANGE</v>
      </c>
      <c r="G1466" s="90" t="s">
        <v>377</v>
      </c>
      <c r="H1466" s="100">
        <f>IFERROR(SUMIFS(MOVIMIENTOS_COMPLEMENTOS!$I$4:$I$803,MOVIMIENTOS_COMPLEMENTOS!$C$4:$C$803,A1466,MOVIMIENTOS_COMPLEMENTOS!$D$4:$D$803,B1466,MOVIMIENTOS_COMPLEMENTOS!$E$4:$E$803,C1466,MOVIMIENTOS_COMPLEMENTOS!$G$4:$G$803,E1466,MOVIMIENTOS_COMPLEMENTOS!$H$4:$H$803,G1466,MOVIMIENTOS_COMPLEMENTOS!$B$4:$B$803,"INGRESO")+SUMIFS(MOVIMIENTOS_COMPLEMENTOS!$I$4:$I$803,MOVIMIENTOS_COMPLEMENTOS!$C$4:$C$803,A1466,MOVIMIENTOS_COMPLEMENTOS!$D$4:$D$803,B1466,MOVIMIENTOS_COMPLEMENTOS!$E$4:$E$803,C1466,MOVIMIENTOS_COMPLEMENTOS!$G$4:$G$803,E1466,MOVIMIENTOS_COMPLEMENTOS!$H$4:$H$803,G1466,MOVIMIENTOS_COMPLEMENTOS!$B$4:$B$803,"DE CORTE")-SUMIFS(MOVIMIENTOS_COMPLEMENTOS!$I$4:$I$803,MOVIMIENTOS_COMPLEMENTOS!$C$4:$C$803,A1466,MOVIMIENTOS_COMPLEMENTOS!$D$4:$D$803,B1466,MOVIMIENTOS_COMPLEMENTOS!$E$4:$E$803,C1466,MOVIMIENTOS_COMPLEMENTOS!$G$4:$G$803,E1466,MOVIMIENTOS_COMPLEMENTOS!$H$4:$H$803,G1466,MOVIMIENTOS_COMPLEMENTOS!$B$4:$B$803,"SALIDA"),0)</f>
        <v>0</v>
      </c>
      <c r="I1466" s="102">
        <f t="array" ref="I1466">IFERROR(INDEX(PRECIOS_COMPLEMENTOS!$C$4:$F$17,MATCH(B1466&amp;"_"&amp;C1466,PRECIOS_COMPLEMENTOS!$H$4:$H$17,0),IF(OR(G1466="S",G1466="20cm"),1,IF(OR(G1466="M",G1466="25cm"),2,IF(OR(G1466="L",G1466="30cm"),3,IF(OR(G1466="XL",G1466="35cm"),4,0))))),0)</f>
        <v>0.3</v>
      </c>
      <c r="J1466" s="103">
        <f t="shared" si="1"/>
        <v>0</v>
      </c>
      <c r="K1466" s="104" t="str">
        <f>IF(H1466&lt;0,"ERROR",IF(H1466=0,"",IF(H1466&lt;CONFIG!$B$4,"CRÍTICO",IF(H1466&lt;CONFIG!$B$5,"BAJO","OK"))))</f>
        <v/>
      </c>
    </row>
    <row r="1467" ht="15.75" hidden="1" customHeight="1">
      <c r="A1467" s="90" t="str">
        <f>IF(CLIENTES!A4="","",CLIENTES!A4)</f>
        <v>OverShark</v>
      </c>
      <c r="B1467" s="90" t="s">
        <v>324</v>
      </c>
      <c r="C1467" s="91" t="s">
        <v>328</v>
      </c>
      <c r="D1467" s="109" t="s">
        <v>353</v>
      </c>
      <c r="E1467" s="67" t="str">
        <f>COLORES!A9</f>
        <v>Melange</v>
      </c>
      <c r="F1467" s="67" t="str">
        <f>COLORES!B9</f>
        <v>MELANGE</v>
      </c>
      <c r="G1467" s="90" t="s">
        <v>379</v>
      </c>
      <c r="H1467" s="100">
        <f>IFERROR(SUMIFS(MOVIMIENTOS_COMPLEMENTOS!$I$4:$I$803,MOVIMIENTOS_COMPLEMENTOS!$C$4:$C$803,A1467,MOVIMIENTOS_COMPLEMENTOS!$D$4:$D$803,B1467,MOVIMIENTOS_COMPLEMENTOS!$E$4:$E$803,C1467,MOVIMIENTOS_COMPLEMENTOS!$G$4:$G$803,E1467,MOVIMIENTOS_COMPLEMENTOS!$H$4:$H$803,G1467,MOVIMIENTOS_COMPLEMENTOS!$B$4:$B$803,"INGRESO")+SUMIFS(MOVIMIENTOS_COMPLEMENTOS!$I$4:$I$803,MOVIMIENTOS_COMPLEMENTOS!$C$4:$C$803,A1467,MOVIMIENTOS_COMPLEMENTOS!$D$4:$D$803,B1467,MOVIMIENTOS_COMPLEMENTOS!$E$4:$E$803,C1467,MOVIMIENTOS_COMPLEMENTOS!$G$4:$G$803,E1467,MOVIMIENTOS_COMPLEMENTOS!$H$4:$H$803,G1467,MOVIMIENTOS_COMPLEMENTOS!$B$4:$B$803,"DE CORTE")-SUMIFS(MOVIMIENTOS_COMPLEMENTOS!$I$4:$I$803,MOVIMIENTOS_COMPLEMENTOS!$C$4:$C$803,A1467,MOVIMIENTOS_COMPLEMENTOS!$D$4:$D$803,B1467,MOVIMIENTOS_COMPLEMENTOS!$E$4:$E$803,C1467,MOVIMIENTOS_COMPLEMENTOS!$G$4:$G$803,E1467,MOVIMIENTOS_COMPLEMENTOS!$H$4:$H$803,G1467,MOVIMIENTOS_COMPLEMENTOS!$B$4:$B$803,"SALIDA"),0)</f>
        <v>0</v>
      </c>
      <c r="I1467" s="102">
        <f t="array" ref="I1467">IFERROR(INDEX(PRECIOS_COMPLEMENTOS!$C$4:$F$17,MATCH(B1467&amp;"_"&amp;C1467,PRECIOS_COMPLEMENTOS!$H$4:$H$17,0),IF(OR(G1467="S",G1467="20cm"),1,IF(OR(G1467="M",G1467="25cm"),2,IF(OR(G1467="L",G1467="30cm"),3,IF(OR(G1467="XL",G1467="35cm"),4,0))))),0)</f>
        <v>0.3</v>
      </c>
      <c r="J1467" s="103">
        <f t="shared" si="1"/>
        <v>0</v>
      </c>
      <c r="K1467" s="104" t="str">
        <f>IF(H1467&lt;0,"ERROR",IF(H1467=0,"",IF(H1467&lt;CONFIG!$B$4,"CRÍTICO",IF(H1467&lt;CONFIG!$B$5,"BAJO","OK"))))</f>
        <v/>
      </c>
    </row>
    <row r="1468" ht="15.75" hidden="1" customHeight="1">
      <c r="A1468" s="90" t="str">
        <f>IF(CLIENTES!A4="","",CLIENTES!A4)</f>
        <v>OverShark</v>
      </c>
      <c r="B1468" s="90" t="s">
        <v>324</v>
      </c>
      <c r="C1468" s="91" t="s">
        <v>328</v>
      </c>
      <c r="D1468" s="109" t="s">
        <v>353</v>
      </c>
      <c r="E1468" s="67" t="str">
        <f>COLORES!A10</f>
        <v>Botella</v>
      </c>
      <c r="F1468" s="67" t="str">
        <f>COLORES!B10</f>
        <v>OSCURO</v>
      </c>
      <c r="G1468" s="90" t="s">
        <v>378</v>
      </c>
      <c r="H1468" s="100">
        <f>IFERROR(SUMIFS(MOVIMIENTOS_COMPLEMENTOS!$I$4:$I$803,MOVIMIENTOS_COMPLEMENTOS!$C$4:$C$803,A1468,MOVIMIENTOS_COMPLEMENTOS!$D$4:$D$803,B1468,MOVIMIENTOS_COMPLEMENTOS!$E$4:$E$803,C1468,MOVIMIENTOS_COMPLEMENTOS!$G$4:$G$803,E1468,MOVIMIENTOS_COMPLEMENTOS!$H$4:$H$803,G1468,MOVIMIENTOS_COMPLEMENTOS!$B$4:$B$803,"INGRESO")+SUMIFS(MOVIMIENTOS_COMPLEMENTOS!$I$4:$I$803,MOVIMIENTOS_COMPLEMENTOS!$C$4:$C$803,A1468,MOVIMIENTOS_COMPLEMENTOS!$D$4:$D$803,B1468,MOVIMIENTOS_COMPLEMENTOS!$E$4:$E$803,C1468,MOVIMIENTOS_COMPLEMENTOS!$G$4:$G$803,E1468,MOVIMIENTOS_COMPLEMENTOS!$H$4:$H$803,G1468,MOVIMIENTOS_COMPLEMENTOS!$B$4:$B$803,"DE CORTE")-SUMIFS(MOVIMIENTOS_COMPLEMENTOS!$I$4:$I$803,MOVIMIENTOS_COMPLEMENTOS!$C$4:$C$803,A1468,MOVIMIENTOS_COMPLEMENTOS!$D$4:$D$803,B1468,MOVIMIENTOS_COMPLEMENTOS!$E$4:$E$803,C1468,MOVIMIENTOS_COMPLEMENTOS!$G$4:$G$803,E1468,MOVIMIENTOS_COMPLEMENTOS!$H$4:$H$803,G1468,MOVIMIENTOS_COMPLEMENTOS!$B$4:$B$803,"SALIDA"),0)</f>
        <v>0</v>
      </c>
      <c r="I1468" s="102">
        <f t="array" ref="I1468">IFERROR(INDEX(PRECIOS_COMPLEMENTOS!$C$4:$F$17,MATCH(B1468&amp;"_"&amp;C1468,PRECIOS_COMPLEMENTOS!$H$4:$H$17,0),IF(OR(G1468="S",G1468="20cm"),1,IF(OR(G1468="M",G1468="25cm"),2,IF(OR(G1468="L",G1468="30cm"),3,IF(OR(G1468="XL",G1468="35cm"),4,0))))),0)</f>
        <v>0.3</v>
      </c>
      <c r="J1468" s="103">
        <f t="shared" si="1"/>
        <v>0</v>
      </c>
      <c r="K1468" s="104" t="str">
        <f>IF(H1468&lt;0,"ERROR",IF(H1468=0,"",IF(H1468&lt;CONFIG!$B$4,"CRÍTICO",IF(H1468&lt;CONFIG!$B$5,"BAJO","OK"))))</f>
        <v/>
      </c>
    </row>
    <row r="1469" ht="15.75" hidden="1" customHeight="1">
      <c r="A1469" s="90" t="str">
        <f>IF(CLIENTES!A4="","",CLIENTES!A4)</f>
        <v>OverShark</v>
      </c>
      <c r="B1469" s="90" t="s">
        <v>324</v>
      </c>
      <c r="C1469" s="91" t="s">
        <v>328</v>
      </c>
      <c r="D1469" s="109" t="s">
        <v>353</v>
      </c>
      <c r="E1469" s="67" t="str">
        <f>COLORES!A10</f>
        <v>Botella</v>
      </c>
      <c r="F1469" s="67" t="str">
        <f>COLORES!B10</f>
        <v>OSCURO</v>
      </c>
      <c r="G1469" s="90" t="s">
        <v>376</v>
      </c>
      <c r="H1469" s="100">
        <f>IFERROR(SUMIFS(MOVIMIENTOS_COMPLEMENTOS!$I$4:$I$803,MOVIMIENTOS_COMPLEMENTOS!$C$4:$C$803,A1469,MOVIMIENTOS_COMPLEMENTOS!$D$4:$D$803,B1469,MOVIMIENTOS_COMPLEMENTOS!$E$4:$E$803,C1469,MOVIMIENTOS_COMPLEMENTOS!$G$4:$G$803,E1469,MOVIMIENTOS_COMPLEMENTOS!$H$4:$H$803,G1469,MOVIMIENTOS_COMPLEMENTOS!$B$4:$B$803,"INGRESO")+SUMIFS(MOVIMIENTOS_COMPLEMENTOS!$I$4:$I$803,MOVIMIENTOS_COMPLEMENTOS!$C$4:$C$803,A1469,MOVIMIENTOS_COMPLEMENTOS!$D$4:$D$803,B1469,MOVIMIENTOS_COMPLEMENTOS!$E$4:$E$803,C1469,MOVIMIENTOS_COMPLEMENTOS!$G$4:$G$803,E1469,MOVIMIENTOS_COMPLEMENTOS!$H$4:$H$803,G1469,MOVIMIENTOS_COMPLEMENTOS!$B$4:$B$803,"DE CORTE")-SUMIFS(MOVIMIENTOS_COMPLEMENTOS!$I$4:$I$803,MOVIMIENTOS_COMPLEMENTOS!$C$4:$C$803,A1469,MOVIMIENTOS_COMPLEMENTOS!$D$4:$D$803,B1469,MOVIMIENTOS_COMPLEMENTOS!$E$4:$E$803,C1469,MOVIMIENTOS_COMPLEMENTOS!$G$4:$G$803,E1469,MOVIMIENTOS_COMPLEMENTOS!$H$4:$H$803,G1469,MOVIMIENTOS_COMPLEMENTOS!$B$4:$B$803,"SALIDA"),0)</f>
        <v>0</v>
      </c>
      <c r="I1469" s="102">
        <f t="array" ref="I1469">IFERROR(INDEX(PRECIOS_COMPLEMENTOS!$C$4:$F$17,MATCH(B1469&amp;"_"&amp;C1469,PRECIOS_COMPLEMENTOS!$H$4:$H$17,0),IF(OR(G1469="S",G1469="20cm"),1,IF(OR(G1469="M",G1469="25cm"),2,IF(OR(G1469="L",G1469="30cm"),3,IF(OR(G1469="XL",G1469="35cm"),4,0))))),0)</f>
        <v>0.3</v>
      </c>
      <c r="J1469" s="103">
        <f t="shared" si="1"/>
        <v>0</v>
      </c>
      <c r="K1469" s="104" t="str">
        <f>IF(H1469&lt;0,"ERROR",IF(H1469=0,"",IF(H1469&lt;CONFIG!$B$4,"CRÍTICO",IF(H1469&lt;CONFIG!$B$5,"BAJO","OK"))))</f>
        <v/>
      </c>
    </row>
    <row r="1470" ht="15.75" hidden="1" customHeight="1">
      <c r="A1470" s="90" t="str">
        <f>IF(CLIENTES!A4="","",CLIENTES!A4)</f>
        <v>OverShark</v>
      </c>
      <c r="B1470" s="90" t="s">
        <v>324</v>
      </c>
      <c r="C1470" s="91" t="s">
        <v>328</v>
      </c>
      <c r="D1470" s="109" t="s">
        <v>353</v>
      </c>
      <c r="E1470" s="67" t="str">
        <f>COLORES!A10</f>
        <v>Botella</v>
      </c>
      <c r="F1470" s="67" t="str">
        <f>COLORES!B10</f>
        <v>OSCURO</v>
      </c>
      <c r="G1470" s="90" t="s">
        <v>377</v>
      </c>
      <c r="H1470" s="100">
        <f>IFERROR(SUMIFS(MOVIMIENTOS_COMPLEMENTOS!$I$4:$I$803,MOVIMIENTOS_COMPLEMENTOS!$C$4:$C$803,A1470,MOVIMIENTOS_COMPLEMENTOS!$D$4:$D$803,B1470,MOVIMIENTOS_COMPLEMENTOS!$E$4:$E$803,C1470,MOVIMIENTOS_COMPLEMENTOS!$G$4:$G$803,E1470,MOVIMIENTOS_COMPLEMENTOS!$H$4:$H$803,G1470,MOVIMIENTOS_COMPLEMENTOS!$B$4:$B$803,"INGRESO")+SUMIFS(MOVIMIENTOS_COMPLEMENTOS!$I$4:$I$803,MOVIMIENTOS_COMPLEMENTOS!$C$4:$C$803,A1470,MOVIMIENTOS_COMPLEMENTOS!$D$4:$D$803,B1470,MOVIMIENTOS_COMPLEMENTOS!$E$4:$E$803,C1470,MOVIMIENTOS_COMPLEMENTOS!$G$4:$G$803,E1470,MOVIMIENTOS_COMPLEMENTOS!$H$4:$H$803,G1470,MOVIMIENTOS_COMPLEMENTOS!$B$4:$B$803,"DE CORTE")-SUMIFS(MOVIMIENTOS_COMPLEMENTOS!$I$4:$I$803,MOVIMIENTOS_COMPLEMENTOS!$C$4:$C$803,A1470,MOVIMIENTOS_COMPLEMENTOS!$D$4:$D$803,B1470,MOVIMIENTOS_COMPLEMENTOS!$E$4:$E$803,C1470,MOVIMIENTOS_COMPLEMENTOS!$G$4:$G$803,E1470,MOVIMIENTOS_COMPLEMENTOS!$H$4:$H$803,G1470,MOVIMIENTOS_COMPLEMENTOS!$B$4:$B$803,"SALIDA"),0)</f>
        <v>0</v>
      </c>
      <c r="I1470" s="102">
        <f t="array" ref="I1470">IFERROR(INDEX(PRECIOS_COMPLEMENTOS!$C$4:$F$17,MATCH(B1470&amp;"_"&amp;C1470,PRECIOS_COMPLEMENTOS!$H$4:$H$17,0),IF(OR(G1470="S",G1470="20cm"),1,IF(OR(G1470="M",G1470="25cm"),2,IF(OR(G1470="L",G1470="30cm"),3,IF(OR(G1470="XL",G1470="35cm"),4,0))))),0)</f>
        <v>0.3</v>
      </c>
      <c r="J1470" s="103">
        <f t="shared" si="1"/>
        <v>0</v>
      </c>
      <c r="K1470" s="104" t="str">
        <f>IF(H1470&lt;0,"ERROR",IF(H1470=0,"",IF(H1470&lt;CONFIG!$B$4,"CRÍTICO",IF(H1470&lt;CONFIG!$B$5,"BAJO","OK"))))</f>
        <v/>
      </c>
    </row>
    <row r="1471" ht="15.75" hidden="1" customHeight="1">
      <c r="A1471" s="90" t="str">
        <f>IF(CLIENTES!A4="","",CLIENTES!A4)</f>
        <v>OverShark</v>
      </c>
      <c r="B1471" s="90" t="s">
        <v>324</v>
      </c>
      <c r="C1471" s="91" t="s">
        <v>328</v>
      </c>
      <c r="D1471" s="109" t="s">
        <v>353</v>
      </c>
      <c r="E1471" s="67" t="str">
        <f>COLORES!A10</f>
        <v>Botella</v>
      </c>
      <c r="F1471" s="67" t="str">
        <f>COLORES!B10</f>
        <v>OSCURO</v>
      </c>
      <c r="G1471" s="90" t="s">
        <v>379</v>
      </c>
      <c r="H1471" s="100">
        <f>IFERROR(SUMIFS(MOVIMIENTOS_COMPLEMENTOS!$I$4:$I$803,MOVIMIENTOS_COMPLEMENTOS!$C$4:$C$803,A1471,MOVIMIENTOS_COMPLEMENTOS!$D$4:$D$803,B1471,MOVIMIENTOS_COMPLEMENTOS!$E$4:$E$803,C1471,MOVIMIENTOS_COMPLEMENTOS!$G$4:$G$803,E1471,MOVIMIENTOS_COMPLEMENTOS!$H$4:$H$803,G1471,MOVIMIENTOS_COMPLEMENTOS!$B$4:$B$803,"INGRESO")+SUMIFS(MOVIMIENTOS_COMPLEMENTOS!$I$4:$I$803,MOVIMIENTOS_COMPLEMENTOS!$C$4:$C$803,A1471,MOVIMIENTOS_COMPLEMENTOS!$D$4:$D$803,B1471,MOVIMIENTOS_COMPLEMENTOS!$E$4:$E$803,C1471,MOVIMIENTOS_COMPLEMENTOS!$G$4:$G$803,E1471,MOVIMIENTOS_COMPLEMENTOS!$H$4:$H$803,G1471,MOVIMIENTOS_COMPLEMENTOS!$B$4:$B$803,"DE CORTE")-SUMIFS(MOVIMIENTOS_COMPLEMENTOS!$I$4:$I$803,MOVIMIENTOS_COMPLEMENTOS!$C$4:$C$803,A1471,MOVIMIENTOS_COMPLEMENTOS!$D$4:$D$803,B1471,MOVIMIENTOS_COMPLEMENTOS!$E$4:$E$803,C1471,MOVIMIENTOS_COMPLEMENTOS!$G$4:$G$803,E1471,MOVIMIENTOS_COMPLEMENTOS!$H$4:$H$803,G1471,MOVIMIENTOS_COMPLEMENTOS!$B$4:$B$803,"SALIDA"),0)</f>
        <v>0</v>
      </c>
      <c r="I1471" s="102">
        <f t="array" ref="I1471">IFERROR(INDEX(PRECIOS_COMPLEMENTOS!$C$4:$F$17,MATCH(B1471&amp;"_"&amp;C1471,PRECIOS_COMPLEMENTOS!$H$4:$H$17,0),IF(OR(G1471="S",G1471="20cm"),1,IF(OR(G1471="M",G1471="25cm"),2,IF(OR(G1471="L",G1471="30cm"),3,IF(OR(G1471="XL",G1471="35cm"),4,0))))),0)</f>
        <v>0.3</v>
      </c>
      <c r="J1471" s="103">
        <f t="shared" si="1"/>
        <v>0</v>
      </c>
      <c r="K1471" s="104" t="str">
        <f>IF(H1471&lt;0,"ERROR",IF(H1471=0,"",IF(H1471&lt;CONFIG!$B$4,"CRÍTICO",IF(H1471&lt;CONFIG!$B$5,"BAJO","OK"))))</f>
        <v/>
      </c>
    </row>
    <row r="1472" ht="15.75" hidden="1" customHeight="1">
      <c r="A1472" s="90" t="str">
        <f>IF(CLIENTES!A4="","",CLIENTES!A4)</f>
        <v>OverShark</v>
      </c>
      <c r="B1472" s="90" t="s">
        <v>324</v>
      </c>
      <c r="C1472" s="91" t="s">
        <v>328</v>
      </c>
      <c r="D1472" s="109" t="s">
        <v>353</v>
      </c>
      <c r="E1472" s="67" t="str">
        <f>COLORES!A11</f>
        <v>Pacay</v>
      </c>
      <c r="F1472" s="67" t="str">
        <f>COLORES!B11</f>
        <v>CLARO</v>
      </c>
      <c r="G1472" s="90" t="s">
        <v>378</v>
      </c>
      <c r="H1472" s="100">
        <f>IFERROR(SUMIFS(MOVIMIENTOS_COMPLEMENTOS!$I$4:$I$803,MOVIMIENTOS_COMPLEMENTOS!$C$4:$C$803,A1472,MOVIMIENTOS_COMPLEMENTOS!$D$4:$D$803,B1472,MOVIMIENTOS_COMPLEMENTOS!$E$4:$E$803,C1472,MOVIMIENTOS_COMPLEMENTOS!$G$4:$G$803,E1472,MOVIMIENTOS_COMPLEMENTOS!$H$4:$H$803,G1472,MOVIMIENTOS_COMPLEMENTOS!$B$4:$B$803,"INGRESO")+SUMIFS(MOVIMIENTOS_COMPLEMENTOS!$I$4:$I$803,MOVIMIENTOS_COMPLEMENTOS!$C$4:$C$803,A1472,MOVIMIENTOS_COMPLEMENTOS!$D$4:$D$803,B1472,MOVIMIENTOS_COMPLEMENTOS!$E$4:$E$803,C1472,MOVIMIENTOS_COMPLEMENTOS!$G$4:$G$803,E1472,MOVIMIENTOS_COMPLEMENTOS!$H$4:$H$803,G1472,MOVIMIENTOS_COMPLEMENTOS!$B$4:$B$803,"DE CORTE")-SUMIFS(MOVIMIENTOS_COMPLEMENTOS!$I$4:$I$803,MOVIMIENTOS_COMPLEMENTOS!$C$4:$C$803,A1472,MOVIMIENTOS_COMPLEMENTOS!$D$4:$D$803,B1472,MOVIMIENTOS_COMPLEMENTOS!$E$4:$E$803,C1472,MOVIMIENTOS_COMPLEMENTOS!$G$4:$G$803,E1472,MOVIMIENTOS_COMPLEMENTOS!$H$4:$H$803,G1472,MOVIMIENTOS_COMPLEMENTOS!$B$4:$B$803,"SALIDA"),0)</f>
        <v>0</v>
      </c>
      <c r="I1472" s="102">
        <f t="array" ref="I1472">IFERROR(INDEX(PRECIOS_COMPLEMENTOS!$C$4:$F$17,MATCH(B1472&amp;"_"&amp;C1472,PRECIOS_COMPLEMENTOS!$H$4:$H$17,0),IF(OR(G1472="S",G1472="20cm"),1,IF(OR(G1472="M",G1472="25cm"),2,IF(OR(G1472="L",G1472="30cm"),3,IF(OR(G1472="XL",G1472="35cm"),4,0))))),0)</f>
        <v>0.3</v>
      </c>
      <c r="J1472" s="103">
        <f t="shared" si="1"/>
        <v>0</v>
      </c>
      <c r="K1472" s="104" t="str">
        <f>IF(H1472&lt;0,"ERROR",IF(H1472=0,"",IF(H1472&lt;CONFIG!$B$4,"CRÍTICO",IF(H1472&lt;CONFIG!$B$5,"BAJO","OK"))))</f>
        <v/>
      </c>
    </row>
    <row r="1473" ht="15.75" hidden="1" customHeight="1">
      <c r="A1473" s="90" t="str">
        <f>IF(CLIENTES!A4="","",CLIENTES!A4)</f>
        <v>OverShark</v>
      </c>
      <c r="B1473" s="90" t="s">
        <v>324</v>
      </c>
      <c r="C1473" s="91" t="s">
        <v>328</v>
      </c>
      <c r="D1473" s="109" t="s">
        <v>353</v>
      </c>
      <c r="E1473" s="67" t="str">
        <f>COLORES!A11</f>
        <v>Pacay</v>
      </c>
      <c r="F1473" s="67" t="str">
        <f>COLORES!B11</f>
        <v>CLARO</v>
      </c>
      <c r="G1473" s="90" t="s">
        <v>376</v>
      </c>
      <c r="H1473" s="100">
        <f>IFERROR(SUMIFS(MOVIMIENTOS_COMPLEMENTOS!$I$4:$I$803,MOVIMIENTOS_COMPLEMENTOS!$C$4:$C$803,A1473,MOVIMIENTOS_COMPLEMENTOS!$D$4:$D$803,B1473,MOVIMIENTOS_COMPLEMENTOS!$E$4:$E$803,C1473,MOVIMIENTOS_COMPLEMENTOS!$G$4:$G$803,E1473,MOVIMIENTOS_COMPLEMENTOS!$H$4:$H$803,G1473,MOVIMIENTOS_COMPLEMENTOS!$B$4:$B$803,"INGRESO")+SUMIFS(MOVIMIENTOS_COMPLEMENTOS!$I$4:$I$803,MOVIMIENTOS_COMPLEMENTOS!$C$4:$C$803,A1473,MOVIMIENTOS_COMPLEMENTOS!$D$4:$D$803,B1473,MOVIMIENTOS_COMPLEMENTOS!$E$4:$E$803,C1473,MOVIMIENTOS_COMPLEMENTOS!$G$4:$G$803,E1473,MOVIMIENTOS_COMPLEMENTOS!$H$4:$H$803,G1473,MOVIMIENTOS_COMPLEMENTOS!$B$4:$B$803,"DE CORTE")-SUMIFS(MOVIMIENTOS_COMPLEMENTOS!$I$4:$I$803,MOVIMIENTOS_COMPLEMENTOS!$C$4:$C$803,A1473,MOVIMIENTOS_COMPLEMENTOS!$D$4:$D$803,B1473,MOVIMIENTOS_COMPLEMENTOS!$E$4:$E$803,C1473,MOVIMIENTOS_COMPLEMENTOS!$G$4:$G$803,E1473,MOVIMIENTOS_COMPLEMENTOS!$H$4:$H$803,G1473,MOVIMIENTOS_COMPLEMENTOS!$B$4:$B$803,"SALIDA"),0)</f>
        <v>0</v>
      </c>
      <c r="I1473" s="102">
        <f t="array" ref="I1473">IFERROR(INDEX(PRECIOS_COMPLEMENTOS!$C$4:$F$17,MATCH(B1473&amp;"_"&amp;C1473,PRECIOS_COMPLEMENTOS!$H$4:$H$17,0),IF(OR(G1473="S",G1473="20cm"),1,IF(OR(G1473="M",G1473="25cm"),2,IF(OR(G1473="L",G1473="30cm"),3,IF(OR(G1473="XL",G1473="35cm"),4,0))))),0)</f>
        <v>0.3</v>
      </c>
      <c r="J1473" s="103">
        <f t="shared" si="1"/>
        <v>0</v>
      </c>
      <c r="K1473" s="104" t="str">
        <f>IF(H1473&lt;0,"ERROR",IF(H1473=0,"",IF(H1473&lt;CONFIG!$B$4,"CRÍTICO",IF(H1473&lt;CONFIG!$B$5,"BAJO","OK"))))</f>
        <v/>
      </c>
    </row>
    <row r="1474" ht="15.75" hidden="1" customHeight="1">
      <c r="A1474" s="90" t="str">
        <f>IF(CLIENTES!A4="","",CLIENTES!A4)</f>
        <v>OverShark</v>
      </c>
      <c r="B1474" s="90" t="s">
        <v>324</v>
      </c>
      <c r="C1474" s="91" t="s">
        <v>328</v>
      </c>
      <c r="D1474" s="109" t="s">
        <v>353</v>
      </c>
      <c r="E1474" s="67" t="str">
        <f>COLORES!A11</f>
        <v>Pacay</v>
      </c>
      <c r="F1474" s="67" t="str">
        <f>COLORES!B11</f>
        <v>CLARO</v>
      </c>
      <c r="G1474" s="90" t="s">
        <v>377</v>
      </c>
      <c r="H1474" s="100">
        <f>IFERROR(SUMIFS(MOVIMIENTOS_COMPLEMENTOS!$I$4:$I$803,MOVIMIENTOS_COMPLEMENTOS!$C$4:$C$803,A1474,MOVIMIENTOS_COMPLEMENTOS!$D$4:$D$803,B1474,MOVIMIENTOS_COMPLEMENTOS!$E$4:$E$803,C1474,MOVIMIENTOS_COMPLEMENTOS!$G$4:$G$803,E1474,MOVIMIENTOS_COMPLEMENTOS!$H$4:$H$803,G1474,MOVIMIENTOS_COMPLEMENTOS!$B$4:$B$803,"INGRESO")+SUMIFS(MOVIMIENTOS_COMPLEMENTOS!$I$4:$I$803,MOVIMIENTOS_COMPLEMENTOS!$C$4:$C$803,A1474,MOVIMIENTOS_COMPLEMENTOS!$D$4:$D$803,B1474,MOVIMIENTOS_COMPLEMENTOS!$E$4:$E$803,C1474,MOVIMIENTOS_COMPLEMENTOS!$G$4:$G$803,E1474,MOVIMIENTOS_COMPLEMENTOS!$H$4:$H$803,G1474,MOVIMIENTOS_COMPLEMENTOS!$B$4:$B$803,"DE CORTE")-SUMIFS(MOVIMIENTOS_COMPLEMENTOS!$I$4:$I$803,MOVIMIENTOS_COMPLEMENTOS!$C$4:$C$803,A1474,MOVIMIENTOS_COMPLEMENTOS!$D$4:$D$803,B1474,MOVIMIENTOS_COMPLEMENTOS!$E$4:$E$803,C1474,MOVIMIENTOS_COMPLEMENTOS!$G$4:$G$803,E1474,MOVIMIENTOS_COMPLEMENTOS!$H$4:$H$803,G1474,MOVIMIENTOS_COMPLEMENTOS!$B$4:$B$803,"SALIDA"),0)</f>
        <v>0</v>
      </c>
      <c r="I1474" s="102">
        <f t="array" ref="I1474">IFERROR(INDEX(PRECIOS_COMPLEMENTOS!$C$4:$F$17,MATCH(B1474&amp;"_"&amp;C1474,PRECIOS_COMPLEMENTOS!$H$4:$H$17,0),IF(OR(G1474="S",G1474="20cm"),1,IF(OR(G1474="M",G1474="25cm"),2,IF(OR(G1474="L",G1474="30cm"),3,IF(OR(G1474="XL",G1474="35cm"),4,0))))),0)</f>
        <v>0.3</v>
      </c>
      <c r="J1474" s="103">
        <f t="shared" si="1"/>
        <v>0</v>
      </c>
      <c r="K1474" s="104" t="str">
        <f>IF(H1474&lt;0,"ERROR",IF(H1474=0,"",IF(H1474&lt;CONFIG!$B$4,"CRÍTICO",IF(H1474&lt;CONFIG!$B$5,"BAJO","OK"))))</f>
        <v/>
      </c>
    </row>
    <row r="1475" ht="15.75" hidden="1" customHeight="1">
      <c r="A1475" s="90" t="str">
        <f>IF(CLIENTES!A4="","",CLIENTES!A4)</f>
        <v>OverShark</v>
      </c>
      <c r="B1475" s="90" t="s">
        <v>324</v>
      </c>
      <c r="C1475" s="91" t="s">
        <v>328</v>
      </c>
      <c r="D1475" s="109" t="s">
        <v>353</v>
      </c>
      <c r="E1475" s="67" t="str">
        <f>COLORES!A11</f>
        <v>Pacay</v>
      </c>
      <c r="F1475" s="67" t="str">
        <f>COLORES!B11</f>
        <v>CLARO</v>
      </c>
      <c r="G1475" s="90" t="s">
        <v>379</v>
      </c>
      <c r="H1475" s="100">
        <f>IFERROR(SUMIFS(MOVIMIENTOS_COMPLEMENTOS!$I$4:$I$803,MOVIMIENTOS_COMPLEMENTOS!$C$4:$C$803,A1475,MOVIMIENTOS_COMPLEMENTOS!$D$4:$D$803,B1475,MOVIMIENTOS_COMPLEMENTOS!$E$4:$E$803,C1475,MOVIMIENTOS_COMPLEMENTOS!$G$4:$G$803,E1475,MOVIMIENTOS_COMPLEMENTOS!$H$4:$H$803,G1475,MOVIMIENTOS_COMPLEMENTOS!$B$4:$B$803,"INGRESO")+SUMIFS(MOVIMIENTOS_COMPLEMENTOS!$I$4:$I$803,MOVIMIENTOS_COMPLEMENTOS!$C$4:$C$803,A1475,MOVIMIENTOS_COMPLEMENTOS!$D$4:$D$803,B1475,MOVIMIENTOS_COMPLEMENTOS!$E$4:$E$803,C1475,MOVIMIENTOS_COMPLEMENTOS!$G$4:$G$803,E1475,MOVIMIENTOS_COMPLEMENTOS!$H$4:$H$803,G1475,MOVIMIENTOS_COMPLEMENTOS!$B$4:$B$803,"DE CORTE")-SUMIFS(MOVIMIENTOS_COMPLEMENTOS!$I$4:$I$803,MOVIMIENTOS_COMPLEMENTOS!$C$4:$C$803,A1475,MOVIMIENTOS_COMPLEMENTOS!$D$4:$D$803,B1475,MOVIMIENTOS_COMPLEMENTOS!$E$4:$E$803,C1475,MOVIMIENTOS_COMPLEMENTOS!$G$4:$G$803,E1475,MOVIMIENTOS_COMPLEMENTOS!$H$4:$H$803,G1475,MOVIMIENTOS_COMPLEMENTOS!$B$4:$B$803,"SALIDA"),0)</f>
        <v>0</v>
      </c>
      <c r="I1475" s="102">
        <f t="array" ref="I1475">IFERROR(INDEX(PRECIOS_COMPLEMENTOS!$C$4:$F$17,MATCH(B1475&amp;"_"&amp;C1475,PRECIOS_COMPLEMENTOS!$H$4:$H$17,0),IF(OR(G1475="S",G1475="20cm"),1,IF(OR(G1475="M",G1475="25cm"),2,IF(OR(G1475="L",G1475="30cm"),3,IF(OR(G1475="XL",G1475="35cm"),4,0))))),0)</f>
        <v>0.3</v>
      </c>
      <c r="J1475" s="103">
        <f t="shared" si="1"/>
        <v>0</v>
      </c>
      <c r="K1475" s="104" t="str">
        <f>IF(H1475&lt;0,"ERROR",IF(H1475=0,"",IF(H1475&lt;CONFIG!$B$4,"CRÍTICO",IF(H1475&lt;CONFIG!$B$5,"BAJO","OK"))))</f>
        <v/>
      </c>
    </row>
    <row r="1476" ht="15.75" hidden="1" customHeight="1">
      <c r="A1476" s="90" t="str">
        <f>IF(CLIENTES!A4="","",CLIENTES!A4)</f>
        <v>OverShark</v>
      </c>
      <c r="B1476" s="90" t="s">
        <v>324</v>
      </c>
      <c r="C1476" s="91" t="s">
        <v>328</v>
      </c>
      <c r="D1476" s="109" t="s">
        <v>353</v>
      </c>
      <c r="E1476" s="67" t="str">
        <f>COLORES!A12</f>
        <v>Cemento</v>
      </c>
      <c r="F1476" s="67" t="str">
        <f>COLORES!B12</f>
        <v>CLARO</v>
      </c>
      <c r="G1476" s="90" t="s">
        <v>378</v>
      </c>
      <c r="H1476" s="100">
        <f>IFERROR(SUMIFS(MOVIMIENTOS_COMPLEMENTOS!$I$4:$I$803,MOVIMIENTOS_COMPLEMENTOS!$C$4:$C$803,A1476,MOVIMIENTOS_COMPLEMENTOS!$D$4:$D$803,B1476,MOVIMIENTOS_COMPLEMENTOS!$E$4:$E$803,C1476,MOVIMIENTOS_COMPLEMENTOS!$G$4:$G$803,E1476,MOVIMIENTOS_COMPLEMENTOS!$H$4:$H$803,G1476,MOVIMIENTOS_COMPLEMENTOS!$B$4:$B$803,"INGRESO")+SUMIFS(MOVIMIENTOS_COMPLEMENTOS!$I$4:$I$803,MOVIMIENTOS_COMPLEMENTOS!$C$4:$C$803,A1476,MOVIMIENTOS_COMPLEMENTOS!$D$4:$D$803,B1476,MOVIMIENTOS_COMPLEMENTOS!$E$4:$E$803,C1476,MOVIMIENTOS_COMPLEMENTOS!$G$4:$G$803,E1476,MOVIMIENTOS_COMPLEMENTOS!$H$4:$H$803,G1476,MOVIMIENTOS_COMPLEMENTOS!$B$4:$B$803,"DE CORTE")-SUMIFS(MOVIMIENTOS_COMPLEMENTOS!$I$4:$I$803,MOVIMIENTOS_COMPLEMENTOS!$C$4:$C$803,A1476,MOVIMIENTOS_COMPLEMENTOS!$D$4:$D$803,B1476,MOVIMIENTOS_COMPLEMENTOS!$E$4:$E$803,C1476,MOVIMIENTOS_COMPLEMENTOS!$G$4:$G$803,E1476,MOVIMIENTOS_COMPLEMENTOS!$H$4:$H$803,G1476,MOVIMIENTOS_COMPLEMENTOS!$B$4:$B$803,"SALIDA"),0)</f>
        <v>0</v>
      </c>
      <c r="I1476" s="102">
        <f t="array" ref="I1476">IFERROR(INDEX(PRECIOS_COMPLEMENTOS!$C$4:$F$17,MATCH(B1476&amp;"_"&amp;C1476,PRECIOS_COMPLEMENTOS!$H$4:$H$17,0),IF(OR(G1476="S",G1476="20cm"),1,IF(OR(G1476="M",G1476="25cm"),2,IF(OR(G1476="L",G1476="30cm"),3,IF(OR(G1476="XL",G1476="35cm"),4,0))))),0)</f>
        <v>0.3</v>
      </c>
      <c r="J1476" s="103">
        <f t="shared" si="1"/>
        <v>0</v>
      </c>
      <c r="K1476" s="104" t="str">
        <f>IF(H1476&lt;0,"ERROR",IF(H1476=0,"",IF(H1476&lt;CONFIG!$B$4,"CRÍTICO",IF(H1476&lt;CONFIG!$B$5,"BAJO","OK"))))</f>
        <v/>
      </c>
    </row>
    <row r="1477" ht="15.75" hidden="1" customHeight="1">
      <c r="A1477" s="90" t="str">
        <f>IF(CLIENTES!A4="","",CLIENTES!A4)</f>
        <v>OverShark</v>
      </c>
      <c r="B1477" s="90" t="s">
        <v>324</v>
      </c>
      <c r="C1477" s="91" t="s">
        <v>328</v>
      </c>
      <c r="D1477" s="109" t="s">
        <v>353</v>
      </c>
      <c r="E1477" s="67" t="str">
        <f>COLORES!A12</f>
        <v>Cemento</v>
      </c>
      <c r="F1477" s="67" t="str">
        <f>COLORES!B12</f>
        <v>CLARO</v>
      </c>
      <c r="G1477" s="90" t="s">
        <v>376</v>
      </c>
      <c r="H1477" s="100">
        <f>IFERROR(SUMIFS(MOVIMIENTOS_COMPLEMENTOS!$I$4:$I$803,MOVIMIENTOS_COMPLEMENTOS!$C$4:$C$803,A1477,MOVIMIENTOS_COMPLEMENTOS!$D$4:$D$803,B1477,MOVIMIENTOS_COMPLEMENTOS!$E$4:$E$803,C1477,MOVIMIENTOS_COMPLEMENTOS!$G$4:$G$803,E1477,MOVIMIENTOS_COMPLEMENTOS!$H$4:$H$803,G1477,MOVIMIENTOS_COMPLEMENTOS!$B$4:$B$803,"INGRESO")+SUMIFS(MOVIMIENTOS_COMPLEMENTOS!$I$4:$I$803,MOVIMIENTOS_COMPLEMENTOS!$C$4:$C$803,A1477,MOVIMIENTOS_COMPLEMENTOS!$D$4:$D$803,B1477,MOVIMIENTOS_COMPLEMENTOS!$E$4:$E$803,C1477,MOVIMIENTOS_COMPLEMENTOS!$G$4:$G$803,E1477,MOVIMIENTOS_COMPLEMENTOS!$H$4:$H$803,G1477,MOVIMIENTOS_COMPLEMENTOS!$B$4:$B$803,"DE CORTE")-SUMIFS(MOVIMIENTOS_COMPLEMENTOS!$I$4:$I$803,MOVIMIENTOS_COMPLEMENTOS!$C$4:$C$803,A1477,MOVIMIENTOS_COMPLEMENTOS!$D$4:$D$803,B1477,MOVIMIENTOS_COMPLEMENTOS!$E$4:$E$803,C1477,MOVIMIENTOS_COMPLEMENTOS!$G$4:$G$803,E1477,MOVIMIENTOS_COMPLEMENTOS!$H$4:$H$803,G1477,MOVIMIENTOS_COMPLEMENTOS!$B$4:$B$803,"SALIDA"),0)</f>
        <v>0</v>
      </c>
      <c r="I1477" s="102">
        <f t="array" ref="I1477">IFERROR(INDEX(PRECIOS_COMPLEMENTOS!$C$4:$F$17,MATCH(B1477&amp;"_"&amp;C1477,PRECIOS_COMPLEMENTOS!$H$4:$H$17,0),IF(OR(G1477="S",G1477="20cm"),1,IF(OR(G1477="M",G1477="25cm"),2,IF(OR(G1477="L",G1477="30cm"),3,IF(OR(G1477="XL",G1477="35cm"),4,0))))),0)</f>
        <v>0.3</v>
      </c>
      <c r="J1477" s="103">
        <f t="shared" si="1"/>
        <v>0</v>
      </c>
      <c r="K1477" s="104" t="str">
        <f>IF(H1477&lt;0,"ERROR",IF(H1477=0,"",IF(H1477&lt;CONFIG!$B$4,"CRÍTICO",IF(H1477&lt;CONFIG!$B$5,"BAJO","OK"))))</f>
        <v/>
      </c>
    </row>
    <row r="1478" ht="15.75" hidden="1" customHeight="1">
      <c r="A1478" s="90" t="str">
        <f>IF(CLIENTES!A4="","",CLIENTES!A4)</f>
        <v>OverShark</v>
      </c>
      <c r="B1478" s="90" t="s">
        <v>324</v>
      </c>
      <c r="C1478" s="91" t="s">
        <v>328</v>
      </c>
      <c r="D1478" s="109" t="s">
        <v>353</v>
      </c>
      <c r="E1478" s="67" t="str">
        <f>COLORES!A12</f>
        <v>Cemento</v>
      </c>
      <c r="F1478" s="67" t="str">
        <f>COLORES!B12</f>
        <v>CLARO</v>
      </c>
      <c r="G1478" s="90" t="s">
        <v>377</v>
      </c>
      <c r="H1478" s="100">
        <f>IFERROR(SUMIFS(MOVIMIENTOS_COMPLEMENTOS!$I$4:$I$803,MOVIMIENTOS_COMPLEMENTOS!$C$4:$C$803,A1478,MOVIMIENTOS_COMPLEMENTOS!$D$4:$D$803,B1478,MOVIMIENTOS_COMPLEMENTOS!$E$4:$E$803,C1478,MOVIMIENTOS_COMPLEMENTOS!$G$4:$G$803,E1478,MOVIMIENTOS_COMPLEMENTOS!$H$4:$H$803,G1478,MOVIMIENTOS_COMPLEMENTOS!$B$4:$B$803,"INGRESO")+SUMIFS(MOVIMIENTOS_COMPLEMENTOS!$I$4:$I$803,MOVIMIENTOS_COMPLEMENTOS!$C$4:$C$803,A1478,MOVIMIENTOS_COMPLEMENTOS!$D$4:$D$803,B1478,MOVIMIENTOS_COMPLEMENTOS!$E$4:$E$803,C1478,MOVIMIENTOS_COMPLEMENTOS!$G$4:$G$803,E1478,MOVIMIENTOS_COMPLEMENTOS!$H$4:$H$803,G1478,MOVIMIENTOS_COMPLEMENTOS!$B$4:$B$803,"DE CORTE")-SUMIFS(MOVIMIENTOS_COMPLEMENTOS!$I$4:$I$803,MOVIMIENTOS_COMPLEMENTOS!$C$4:$C$803,A1478,MOVIMIENTOS_COMPLEMENTOS!$D$4:$D$803,B1478,MOVIMIENTOS_COMPLEMENTOS!$E$4:$E$803,C1478,MOVIMIENTOS_COMPLEMENTOS!$G$4:$G$803,E1478,MOVIMIENTOS_COMPLEMENTOS!$H$4:$H$803,G1478,MOVIMIENTOS_COMPLEMENTOS!$B$4:$B$803,"SALIDA"),0)</f>
        <v>0</v>
      </c>
      <c r="I1478" s="102">
        <f t="array" ref="I1478">IFERROR(INDEX(PRECIOS_COMPLEMENTOS!$C$4:$F$17,MATCH(B1478&amp;"_"&amp;C1478,PRECIOS_COMPLEMENTOS!$H$4:$H$17,0),IF(OR(G1478="S",G1478="20cm"),1,IF(OR(G1478="M",G1478="25cm"),2,IF(OR(G1478="L",G1478="30cm"),3,IF(OR(G1478="XL",G1478="35cm"),4,0))))),0)</f>
        <v>0.3</v>
      </c>
      <c r="J1478" s="103">
        <f t="shared" si="1"/>
        <v>0</v>
      </c>
      <c r="K1478" s="104" t="str">
        <f>IF(H1478&lt;0,"ERROR",IF(H1478=0,"",IF(H1478&lt;CONFIG!$B$4,"CRÍTICO",IF(H1478&lt;CONFIG!$B$5,"BAJO","OK"))))</f>
        <v/>
      </c>
    </row>
    <row r="1479" ht="15.75" hidden="1" customHeight="1">
      <c r="A1479" s="90" t="str">
        <f>IF(CLIENTES!A4="","",CLIENTES!A4)</f>
        <v>OverShark</v>
      </c>
      <c r="B1479" s="90" t="s">
        <v>324</v>
      </c>
      <c r="C1479" s="91" t="s">
        <v>328</v>
      </c>
      <c r="D1479" s="109" t="s">
        <v>353</v>
      </c>
      <c r="E1479" s="67" t="str">
        <f>COLORES!A12</f>
        <v>Cemento</v>
      </c>
      <c r="F1479" s="67" t="str">
        <f>COLORES!B12</f>
        <v>CLARO</v>
      </c>
      <c r="G1479" s="90" t="s">
        <v>379</v>
      </c>
      <c r="H1479" s="100">
        <f>IFERROR(SUMIFS(MOVIMIENTOS_COMPLEMENTOS!$I$4:$I$803,MOVIMIENTOS_COMPLEMENTOS!$C$4:$C$803,A1479,MOVIMIENTOS_COMPLEMENTOS!$D$4:$D$803,B1479,MOVIMIENTOS_COMPLEMENTOS!$E$4:$E$803,C1479,MOVIMIENTOS_COMPLEMENTOS!$G$4:$G$803,E1479,MOVIMIENTOS_COMPLEMENTOS!$H$4:$H$803,G1479,MOVIMIENTOS_COMPLEMENTOS!$B$4:$B$803,"INGRESO")+SUMIFS(MOVIMIENTOS_COMPLEMENTOS!$I$4:$I$803,MOVIMIENTOS_COMPLEMENTOS!$C$4:$C$803,A1479,MOVIMIENTOS_COMPLEMENTOS!$D$4:$D$803,B1479,MOVIMIENTOS_COMPLEMENTOS!$E$4:$E$803,C1479,MOVIMIENTOS_COMPLEMENTOS!$G$4:$G$803,E1479,MOVIMIENTOS_COMPLEMENTOS!$H$4:$H$803,G1479,MOVIMIENTOS_COMPLEMENTOS!$B$4:$B$803,"DE CORTE")-SUMIFS(MOVIMIENTOS_COMPLEMENTOS!$I$4:$I$803,MOVIMIENTOS_COMPLEMENTOS!$C$4:$C$803,A1479,MOVIMIENTOS_COMPLEMENTOS!$D$4:$D$803,B1479,MOVIMIENTOS_COMPLEMENTOS!$E$4:$E$803,C1479,MOVIMIENTOS_COMPLEMENTOS!$G$4:$G$803,E1479,MOVIMIENTOS_COMPLEMENTOS!$H$4:$H$803,G1479,MOVIMIENTOS_COMPLEMENTOS!$B$4:$B$803,"SALIDA"),0)</f>
        <v>0</v>
      </c>
      <c r="I1479" s="102">
        <f t="array" ref="I1479">IFERROR(INDEX(PRECIOS_COMPLEMENTOS!$C$4:$F$17,MATCH(B1479&amp;"_"&amp;C1479,PRECIOS_COMPLEMENTOS!$H$4:$H$17,0),IF(OR(G1479="S",G1479="20cm"),1,IF(OR(G1479="M",G1479="25cm"),2,IF(OR(G1479="L",G1479="30cm"),3,IF(OR(G1479="XL",G1479="35cm"),4,0))))),0)</f>
        <v>0.3</v>
      </c>
      <c r="J1479" s="103">
        <f t="shared" si="1"/>
        <v>0</v>
      </c>
      <c r="K1479" s="104" t="str">
        <f>IF(H1479&lt;0,"ERROR",IF(H1479=0,"",IF(H1479&lt;CONFIG!$B$4,"CRÍTICO",IF(H1479&lt;CONFIG!$B$5,"BAJO","OK"))))</f>
        <v/>
      </c>
    </row>
    <row r="1480" ht="15.75" hidden="1" customHeight="1">
      <c r="A1480" s="90" t="str">
        <f>IF(CLIENTES!A4="","",CLIENTES!A4)</f>
        <v>OverShark</v>
      </c>
      <c r="B1480" s="90" t="s">
        <v>324</v>
      </c>
      <c r="C1480" s="91" t="s">
        <v>328</v>
      </c>
      <c r="D1480" s="109" t="s">
        <v>353</v>
      </c>
      <c r="E1480" s="67" t="str">
        <f>COLORES!A13</f>
        <v>Camote</v>
      </c>
      <c r="F1480" s="67" t="str">
        <f>COLORES!B13</f>
        <v>CLARO</v>
      </c>
      <c r="G1480" s="90" t="s">
        <v>378</v>
      </c>
      <c r="H1480" s="100">
        <f>IFERROR(SUMIFS(MOVIMIENTOS_COMPLEMENTOS!$I$4:$I$803,MOVIMIENTOS_COMPLEMENTOS!$C$4:$C$803,A1480,MOVIMIENTOS_COMPLEMENTOS!$D$4:$D$803,B1480,MOVIMIENTOS_COMPLEMENTOS!$E$4:$E$803,C1480,MOVIMIENTOS_COMPLEMENTOS!$G$4:$G$803,E1480,MOVIMIENTOS_COMPLEMENTOS!$H$4:$H$803,G1480,MOVIMIENTOS_COMPLEMENTOS!$B$4:$B$803,"INGRESO")+SUMIFS(MOVIMIENTOS_COMPLEMENTOS!$I$4:$I$803,MOVIMIENTOS_COMPLEMENTOS!$C$4:$C$803,A1480,MOVIMIENTOS_COMPLEMENTOS!$D$4:$D$803,B1480,MOVIMIENTOS_COMPLEMENTOS!$E$4:$E$803,C1480,MOVIMIENTOS_COMPLEMENTOS!$G$4:$G$803,E1480,MOVIMIENTOS_COMPLEMENTOS!$H$4:$H$803,G1480,MOVIMIENTOS_COMPLEMENTOS!$B$4:$B$803,"DE CORTE")-SUMIFS(MOVIMIENTOS_COMPLEMENTOS!$I$4:$I$803,MOVIMIENTOS_COMPLEMENTOS!$C$4:$C$803,A1480,MOVIMIENTOS_COMPLEMENTOS!$D$4:$D$803,B1480,MOVIMIENTOS_COMPLEMENTOS!$E$4:$E$803,C1480,MOVIMIENTOS_COMPLEMENTOS!$G$4:$G$803,E1480,MOVIMIENTOS_COMPLEMENTOS!$H$4:$H$803,G1480,MOVIMIENTOS_COMPLEMENTOS!$B$4:$B$803,"SALIDA"),0)</f>
        <v>0</v>
      </c>
      <c r="I1480" s="102">
        <f t="array" ref="I1480">IFERROR(INDEX(PRECIOS_COMPLEMENTOS!$C$4:$F$17,MATCH(B1480&amp;"_"&amp;C1480,PRECIOS_COMPLEMENTOS!$H$4:$H$17,0),IF(OR(G1480="S",G1480="20cm"),1,IF(OR(G1480="M",G1480="25cm"),2,IF(OR(G1480="L",G1480="30cm"),3,IF(OR(G1480="XL",G1480="35cm"),4,0))))),0)</f>
        <v>0.3</v>
      </c>
      <c r="J1480" s="103">
        <f t="shared" si="1"/>
        <v>0</v>
      </c>
      <c r="K1480" s="104" t="str">
        <f>IF(H1480&lt;0,"ERROR",IF(H1480=0,"",IF(H1480&lt;CONFIG!$B$4,"CRÍTICO",IF(H1480&lt;CONFIG!$B$5,"BAJO","OK"))))</f>
        <v/>
      </c>
    </row>
    <row r="1481" ht="15.75" hidden="1" customHeight="1">
      <c r="A1481" s="90" t="str">
        <f>IF(CLIENTES!A4="","",CLIENTES!A4)</f>
        <v>OverShark</v>
      </c>
      <c r="B1481" s="90" t="s">
        <v>324</v>
      </c>
      <c r="C1481" s="91" t="s">
        <v>328</v>
      </c>
      <c r="D1481" s="109" t="s">
        <v>353</v>
      </c>
      <c r="E1481" s="67" t="str">
        <f>COLORES!A13</f>
        <v>Camote</v>
      </c>
      <c r="F1481" s="67" t="str">
        <f>COLORES!B13</f>
        <v>CLARO</v>
      </c>
      <c r="G1481" s="90" t="s">
        <v>376</v>
      </c>
      <c r="H1481" s="100">
        <f>IFERROR(SUMIFS(MOVIMIENTOS_COMPLEMENTOS!$I$4:$I$803,MOVIMIENTOS_COMPLEMENTOS!$C$4:$C$803,A1481,MOVIMIENTOS_COMPLEMENTOS!$D$4:$D$803,B1481,MOVIMIENTOS_COMPLEMENTOS!$E$4:$E$803,C1481,MOVIMIENTOS_COMPLEMENTOS!$G$4:$G$803,E1481,MOVIMIENTOS_COMPLEMENTOS!$H$4:$H$803,G1481,MOVIMIENTOS_COMPLEMENTOS!$B$4:$B$803,"INGRESO")+SUMIFS(MOVIMIENTOS_COMPLEMENTOS!$I$4:$I$803,MOVIMIENTOS_COMPLEMENTOS!$C$4:$C$803,A1481,MOVIMIENTOS_COMPLEMENTOS!$D$4:$D$803,B1481,MOVIMIENTOS_COMPLEMENTOS!$E$4:$E$803,C1481,MOVIMIENTOS_COMPLEMENTOS!$G$4:$G$803,E1481,MOVIMIENTOS_COMPLEMENTOS!$H$4:$H$803,G1481,MOVIMIENTOS_COMPLEMENTOS!$B$4:$B$803,"DE CORTE")-SUMIFS(MOVIMIENTOS_COMPLEMENTOS!$I$4:$I$803,MOVIMIENTOS_COMPLEMENTOS!$C$4:$C$803,A1481,MOVIMIENTOS_COMPLEMENTOS!$D$4:$D$803,B1481,MOVIMIENTOS_COMPLEMENTOS!$E$4:$E$803,C1481,MOVIMIENTOS_COMPLEMENTOS!$G$4:$G$803,E1481,MOVIMIENTOS_COMPLEMENTOS!$H$4:$H$803,G1481,MOVIMIENTOS_COMPLEMENTOS!$B$4:$B$803,"SALIDA"),0)</f>
        <v>0</v>
      </c>
      <c r="I1481" s="102">
        <f t="array" ref="I1481">IFERROR(INDEX(PRECIOS_COMPLEMENTOS!$C$4:$F$17,MATCH(B1481&amp;"_"&amp;C1481,PRECIOS_COMPLEMENTOS!$H$4:$H$17,0),IF(OR(G1481="S",G1481="20cm"),1,IF(OR(G1481="M",G1481="25cm"),2,IF(OR(G1481="L",G1481="30cm"),3,IF(OR(G1481="XL",G1481="35cm"),4,0))))),0)</f>
        <v>0.3</v>
      </c>
      <c r="J1481" s="103">
        <f t="shared" si="1"/>
        <v>0</v>
      </c>
      <c r="K1481" s="104" t="str">
        <f>IF(H1481&lt;0,"ERROR",IF(H1481=0,"",IF(H1481&lt;CONFIG!$B$4,"CRÍTICO",IF(H1481&lt;CONFIG!$B$5,"BAJO","OK"))))</f>
        <v/>
      </c>
    </row>
    <row r="1482" ht="15.75" hidden="1" customHeight="1">
      <c r="A1482" s="90" t="str">
        <f>IF(CLIENTES!A4="","",CLIENTES!A4)</f>
        <v>OverShark</v>
      </c>
      <c r="B1482" s="90" t="s">
        <v>324</v>
      </c>
      <c r="C1482" s="91" t="s">
        <v>328</v>
      </c>
      <c r="D1482" s="109" t="s">
        <v>353</v>
      </c>
      <c r="E1482" s="67" t="str">
        <f>COLORES!A13</f>
        <v>Camote</v>
      </c>
      <c r="F1482" s="67" t="str">
        <f>COLORES!B13</f>
        <v>CLARO</v>
      </c>
      <c r="G1482" s="90" t="s">
        <v>377</v>
      </c>
      <c r="H1482" s="100">
        <f>IFERROR(SUMIFS(MOVIMIENTOS_COMPLEMENTOS!$I$4:$I$803,MOVIMIENTOS_COMPLEMENTOS!$C$4:$C$803,A1482,MOVIMIENTOS_COMPLEMENTOS!$D$4:$D$803,B1482,MOVIMIENTOS_COMPLEMENTOS!$E$4:$E$803,C1482,MOVIMIENTOS_COMPLEMENTOS!$G$4:$G$803,E1482,MOVIMIENTOS_COMPLEMENTOS!$H$4:$H$803,G1482,MOVIMIENTOS_COMPLEMENTOS!$B$4:$B$803,"INGRESO")+SUMIFS(MOVIMIENTOS_COMPLEMENTOS!$I$4:$I$803,MOVIMIENTOS_COMPLEMENTOS!$C$4:$C$803,A1482,MOVIMIENTOS_COMPLEMENTOS!$D$4:$D$803,B1482,MOVIMIENTOS_COMPLEMENTOS!$E$4:$E$803,C1482,MOVIMIENTOS_COMPLEMENTOS!$G$4:$G$803,E1482,MOVIMIENTOS_COMPLEMENTOS!$H$4:$H$803,G1482,MOVIMIENTOS_COMPLEMENTOS!$B$4:$B$803,"DE CORTE")-SUMIFS(MOVIMIENTOS_COMPLEMENTOS!$I$4:$I$803,MOVIMIENTOS_COMPLEMENTOS!$C$4:$C$803,A1482,MOVIMIENTOS_COMPLEMENTOS!$D$4:$D$803,B1482,MOVIMIENTOS_COMPLEMENTOS!$E$4:$E$803,C1482,MOVIMIENTOS_COMPLEMENTOS!$G$4:$G$803,E1482,MOVIMIENTOS_COMPLEMENTOS!$H$4:$H$803,G1482,MOVIMIENTOS_COMPLEMENTOS!$B$4:$B$803,"SALIDA"),0)</f>
        <v>0</v>
      </c>
      <c r="I1482" s="102">
        <f t="array" ref="I1482">IFERROR(INDEX(PRECIOS_COMPLEMENTOS!$C$4:$F$17,MATCH(B1482&amp;"_"&amp;C1482,PRECIOS_COMPLEMENTOS!$H$4:$H$17,0),IF(OR(G1482="S",G1482="20cm"),1,IF(OR(G1482="M",G1482="25cm"),2,IF(OR(G1482="L",G1482="30cm"),3,IF(OR(G1482="XL",G1482="35cm"),4,0))))),0)</f>
        <v>0.3</v>
      </c>
      <c r="J1482" s="103">
        <f t="shared" si="1"/>
        <v>0</v>
      </c>
      <c r="K1482" s="104" t="str">
        <f>IF(H1482&lt;0,"ERROR",IF(H1482=0,"",IF(H1482&lt;CONFIG!$B$4,"CRÍTICO",IF(H1482&lt;CONFIG!$B$5,"BAJO","OK"))))</f>
        <v/>
      </c>
    </row>
    <row r="1483" ht="15.75" hidden="1" customHeight="1">
      <c r="A1483" s="90" t="str">
        <f>IF(CLIENTES!A4="","",CLIENTES!A4)</f>
        <v>OverShark</v>
      </c>
      <c r="B1483" s="90" t="s">
        <v>324</v>
      </c>
      <c r="C1483" s="91" t="s">
        <v>328</v>
      </c>
      <c r="D1483" s="109" t="s">
        <v>353</v>
      </c>
      <c r="E1483" s="67" t="str">
        <f>COLORES!A13</f>
        <v>Camote</v>
      </c>
      <c r="F1483" s="67" t="str">
        <f>COLORES!B13</f>
        <v>CLARO</v>
      </c>
      <c r="G1483" s="90" t="s">
        <v>379</v>
      </c>
      <c r="H1483" s="100">
        <f>IFERROR(SUMIFS(MOVIMIENTOS_COMPLEMENTOS!$I$4:$I$803,MOVIMIENTOS_COMPLEMENTOS!$C$4:$C$803,A1483,MOVIMIENTOS_COMPLEMENTOS!$D$4:$D$803,B1483,MOVIMIENTOS_COMPLEMENTOS!$E$4:$E$803,C1483,MOVIMIENTOS_COMPLEMENTOS!$G$4:$G$803,E1483,MOVIMIENTOS_COMPLEMENTOS!$H$4:$H$803,G1483,MOVIMIENTOS_COMPLEMENTOS!$B$4:$B$803,"INGRESO")+SUMIFS(MOVIMIENTOS_COMPLEMENTOS!$I$4:$I$803,MOVIMIENTOS_COMPLEMENTOS!$C$4:$C$803,A1483,MOVIMIENTOS_COMPLEMENTOS!$D$4:$D$803,B1483,MOVIMIENTOS_COMPLEMENTOS!$E$4:$E$803,C1483,MOVIMIENTOS_COMPLEMENTOS!$G$4:$G$803,E1483,MOVIMIENTOS_COMPLEMENTOS!$H$4:$H$803,G1483,MOVIMIENTOS_COMPLEMENTOS!$B$4:$B$803,"DE CORTE")-SUMIFS(MOVIMIENTOS_COMPLEMENTOS!$I$4:$I$803,MOVIMIENTOS_COMPLEMENTOS!$C$4:$C$803,A1483,MOVIMIENTOS_COMPLEMENTOS!$D$4:$D$803,B1483,MOVIMIENTOS_COMPLEMENTOS!$E$4:$E$803,C1483,MOVIMIENTOS_COMPLEMENTOS!$G$4:$G$803,E1483,MOVIMIENTOS_COMPLEMENTOS!$H$4:$H$803,G1483,MOVIMIENTOS_COMPLEMENTOS!$B$4:$B$803,"SALIDA"),0)</f>
        <v>0</v>
      </c>
      <c r="I1483" s="102">
        <f t="array" ref="I1483">IFERROR(INDEX(PRECIOS_COMPLEMENTOS!$C$4:$F$17,MATCH(B1483&amp;"_"&amp;C1483,PRECIOS_COMPLEMENTOS!$H$4:$H$17,0),IF(OR(G1483="S",G1483="20cm"),1,IF(OR(G1483="M",G1483="25cm"),2,IF(OR(G1483="L",G1483="30cm"),3,IF(OR(G1483="XL",G1483="35cm"),4,0))))),0)</f>
        <v>0.3</v>
      </c>
      <c r="J1483" s="103">
        <f t="shared" si="1"/>
        <v>0</v>
      </c>
      <c r="K1483" s="104" t="str">
        <f>IF(H1483&lt;0,"ERROR",IF(H1483=0,"",IF(H1483&lt;CONFIG!$B$4,"CRÍTICO",IF(H1483&lt;CONFIG!$B$5,"BAJO","OK"))))</f>
        <v/>
      </c>
    </row>
    <row r="1484" ht="15.75" hidden="1" customHeight="1">
      <c r="A1484" s="90" t="str">
        <f>IF(CLIENTES!A4="","",CLIENTES!A4)</f>
        <v>OverShark</v>
      </c>
      <c r="B1484" s="90" t="s">
        <v>324</v>
      </c>
      <c r="C1484" s="91" t="s">
        <v>328</v>
      </c>
      <c r="D1484" s="109" t="s">
        <v>353</v>
      </c>
      <c r="E1484" s="67" t="str">
        <f>COLORES!A14</f>
        <v>Denim</v>
      </c>
      <c r="F1484" s="67" t="str">
        <f>COLORES!B14</f>
        <v>CLARO</v>
      </c>
      <c r="G1484" s="90" t="s">
        <v>378</v>
      </c>
      <c r="H1484" s="100">
        <f>IFERROR(SUMIFS(MOVIMIENTOS_COMPLEMENTOS!$I$4:$I$803,MOVIMIENTOS_COMPLEMENTOS!$C$4:$C$803,A1484,MOVIMIENTOS_COMPLEMENTOS!$D$4:$D$803,B1484,MOVIMIENTOS_COMPLEMENTOS!$E$4:$E$803,C1484,MOVIMIENTOS_COMPLEMENTOS!$G$4:$G$803,E1484,MOVIMIENTOS_COMPLEMENTOS!$H$4:$H$803,G1484,MOVIMIENTOS_COMPLEMENTOS!$B$4:$B$803,"INGRESO")+SUMIFS(MOVIMIENTOS_COMPLEMENTOS!$I$4:$I$803,MOVIMIENTOS_COMPLEMENTOS!$C$4:$C$803,A1484,MOVIMIENTOS_COMPLEMENTOS!$D$4:$D$803,B1484,MOVIMIENTOS_COMPLEMENTOS!$E$4:$E$803,C1484,MOVIMIENTOS_COMPLEMENTOS!$G$4:$G$803,E1484,MOVIMIENTOS_COMPLEMENTOS!$H$4:$H$803,G1484,MOVIMIENTOS_COMPLEMENTOS!$B$4:$B$803,"DE CORTE")-SUMIFS(MOVIMIENTOS_COMPLEMENTOS!$I$4:$I$803,MOVIMIENTOS_COMPLEMENTOS!$C$4:$C$803,A1484,MOVIMIENTOS_COMPLEMENTOS!$D$4:$D$803,B1484,MOVIMIENTOS_COMPLEMENTOS!$E$4:$E$803,C1484,MOVIMIENTOS_COMPLEMENTOS!$G$4:$G$803,E1484,MOVIMIENTOS_COMPLEMENTOS!$H$4:$H$803,G1484,MOVIMIENTOS_COMPLEMENTOS!$B$4:$B$803,"SALIDA"),0)</f>
        <v>0</v>
      </c>
      <c r="I1484" s="102">
        <f t="array" ref="I1484">IFERROR(INDEX(PRECIOS_COMPLEMENTOS!$C$4:$F$17,MATCH(B1484&amp;"_"&amp;C1484,PRECIOS_COMPLEMENTOS!$H$4:$H$17,0),IF(OR(G1484="S",G1484="20cm"),1,IF(OR(G1484="M",G1484="25cm"),2,IF(OR(G1484="L",G1484="30cm"),3,IF(OR(G1484="XL",G1484="35cm"),4,0))))),0)</f>
        <v>0.3</v>
      </c>
      <c r="J1484" s="103">
        <f t="shared" si="1"/>
        <v>0</v>
      </c>
      <c r="K1484" s="104" t="str">
        <f>IF(H1484&lt;0,"ERROR",IF(H1484=0,"",IF(H1484&lt;CONFIG!$B$4,"CRÍTICO",IF(H1484&lt;CONFIG!$B$5,"BAJO","OK"))))</f>
        <v/>
      </c>
    </row>
    <row r="1485" ht="15.75" hidden="1" customHeight="1">
      <c r="A1485" s="90" t="str">
        <f>IF(CLIENTES!A4="","",CLIENTES!A4)</f>
        <v>OverShark</v>
      </c>
      <c r="B1485" s="90" t="s">
        <v>324</v>
      </c>
      <c r="C1485" s="91" t="s">
        <v>328</v>
      </c>
      <c r="D1485" s="109" t="s">
        <v>353</v>
      </c>
      <c r="E1485" s="67" t="str">
        <f>COLORES!A14</f>
        <v>Denim</v>
      </c>
      <c r="F1485" s="67" t="str">
        <f>COLORES!B14</f>
        <v>CLARO</v>
      </c>
      <c r="G1485" s="90" t="s">
        <v>376</v>
      </c>
      <c r="H1485" s="100">
        <f>IFERROR(SUMIFS(MOVIMIENTOS_COMPLEMENTOS!$I$4:$I$803,MOVIMIENTOS_COMPLEMENTOS!$C$4:$C$803,A1485,MOVIMIENTOS_COMPLEMENTOS!$D$4:$D$803,B1485,MOVIMIENTOS_COMPLEMENTOS!$E$4:$E$803,C1485,MOVIMIENTOS_COMPLEMENTOS!$G$4:$G$803,E1485,MOVIMIENTOS_COMPLEMENTOS!$H$4:$H$803,G1485,MOVIMIENTOS_COMPLEMENTOS!$B$4:$B$803,"INGRESO")+SUMIFS(MOVIMIENTOS_COMPLEMENTOS!$I$4:$I$803,MOVIMIENTOS_COMPLEMENTOS!$C$4:$C$803,A1485,MOVIMIENTOS_COMPLEMENTOS!$D$4:$D$803,B1485,MOVIMIENTOS_COMPLEMENTOS!$E$4:$E$803,C1485,MOVIMIENTOS_COMPLEMENTOS!$G$4:$G$803,E1485,MOVIMIENTOS_COMPLEMENTOS!$H$4:$H$803,G1485,MOVIMIENTOS_COMPLEMENTOS!$B$4:$B$803,"DE CORTE")-SUMIFS(MOVIMIENTOS_COMPLEMENTOS!$I$4:$I$803,MOVIMIENTOS_COMPLEMENTOS!$C$4:$C$803,A1485,MOVIMIENTOS_COMPLEMENTOS!$D$4:$D$803,B1485,MOVIMIENTOS_COMPLEMENTOS!$E$4:$E$803,C1485,MOVIMIENTOS_COMPLEMENTOS!$G$4:$G$803,E1485,MOVIMIENTOS_COMPLEMENTOS!$H$4:$H$803,G1485,MOVIMIENTOS_COMPLEMENTOS!$B$4:$B$803,"SALIDA"),0)</f>
        <v>0</v>
      </c>
      <c r="I1485" s="102">
        <f t="array" ref="I1485">IFERROR(INDEX(PRECIOS_COMPLEMENTOS!$C$4:$F$17,MATCH(B1485&amp;"_"&amp;C1485,PRECIOS_COMPLEMENTOS!$H$4:$H$17,0),IF(OR(G1485="S",G1485="20cm"),1,IF(OR(G1485="M",G1485="25cm"),2,IF(OR(G1485="L",G1485="30cm"),3,IF(OR(G1485="XL",G1485="35cm"),4,0))))),0)</f>
        <v>0.3</v>
      </c>
      <c r="J1485" s="103">
        <f t="shared" si="1"/>
        <v>0</v>
      </c>
      <c r="K1485" s="104" t="str">
        <f>IF(H1485&lt;0,"ERROR",IF(H1485=0,"",IF(H1485&lt;CONFIG!$B$4,"CRÍTICO",IF(H1485&lt;CONFIG!$B$5,"BAJO","OK"))))</f>
        <v/>
      </c>
    </row>
    <row r="1486" ht="15.75" hidden="1" customHeight="1">
      <c r="A1486" s="90" t="str">
        <f>IF(CLIENTES!A4="","",CLIENTES!A4)</f>
        <v>OverShark</v>
      </c>
      <c r="B1486" s="90" t="s">
        <v>324</v>
      </c>
      <c r="C1486" s="91" t="s">
        <v>328</v>
      </c>
      <c r="D1486" s="109" t="s">
        <v>353</v>
      </c>
      <c r="E1486" s="67" t="str">
        <f>COLORES!A14</f>
        <v>Denim</v>
      </c>
      <c r="F1486" s="67" t="str">
        <f>COLORES!B14</f>
        <v>CLARO</v>
      </c>
      <c r="G1486" s="90" t="s">
        <v>377</v>
      </c>
      <c r="H1486" s="100">
        <f>IFERROR(SUMIFS(MOVIMIENTOS_COMPLEMENTOS!$I$4:$I$803,MOVIMIENTOS_COMPLEMENTOS!$C$4:$C$803,A1486,MOVIMIENTOS_COMPLEMENTOS!$D$4:$D$803,B1486,MOVIMIENTOS_COMPLEMENTOS!$E$4:$E$803,C1486,MOVIMIENTOS_COMPLEMENTOS!$G$4:$G$803,E1486,MOVIMIENTOS_COMPLEMENTOS!$H$4:$H$803,G1486,MOVIMIENTOS_COMPLEMENTOS!$B$4:$B$803,"INGRESO")+SUMIFS(MOVIMIENTOS_COMPLEMENTOS!$I$4:$I$803,MOVIMIENTOS_COMPLEMENTOS!$C$4:$C$803,A1486,MOVIMIENTOS_COMPLEMENTOS!$D$4:$D$803,B1486,MOVIMIENTOS_COMPLEMENTOS!$E$4:$E$803,C1486,MOVIMIENTOS_COMPLEMENTOS!$G$4:$G$803,E1486,MOVIMIENTOS_COMPLEMENTOS!$H$4:$H$803,G1486,MOVIMIENTOS_COMPLEMENTOS!$B$4:$B$803,"DE CORTE")-SUMIFS(MOVIMIENTOS_COMPLEMENTOS!$I$4:$I$803,MOVIMIENTOS_COMPLEMENTOS!$C$4:$C$803,A1486,MOVIMIENTOS_COMPLEMENTOS!$D$4:$D$803,B1486,MOVIMIENTOS_COMPLEMENTOS!$E$4:$E$803,C1486,MOVIMIENTOS_COMPLEMENTOS!$G$4:$G$803,E1486,MOVIMIENTOS_COMPLEMENTOS!$H$4:$H$803,G1486,MOVIMIENTOS_COMPLEMENTOS!$B$4:$B$803,"SALIDA"),0)</f>
        <v>0</v>
      </c>
      <c r="I1486" s="102">
        <f t="array" ref="I1486">IFERROR(INDEX(PRECIOS_COMPLEMENTOS!$C$4:$F$17,MATCH(B1486&amp;"_"&amp;C1486,PRECIOS_COMPLEMENTOS!$H$4:$H$17,0),IF(OR(G1486="S",G1486="20cm"),1,IF(OR(G1486="M",G1486="25cm"),2,IF(OR(G1486="L",G1486="30cm"),3,IF(OR(G1486="XL",G1486="35cm"),4,0))))),0)</f>
        <v>0.3</v>
      </c>
      <c r="J1486" s="103">
        <f t="shared" si="1"/>
        <v>0</v>
      </c>
      <c r="K1486" s="104" t="str">
        <f>IF(H1486&lt;0,"ERROR",IF(H1486=0,"",IF(H1486&lt;CONFIG!$B$4,"CRÍTICO",IF(H1486&lt;CONFIG!$B$5,"BAJO","OK"))))</f>
        <v/>
      </c>
    </row>
    <row r="1487" ht="15.75" hidden="1" customHeight="1">
      <c r="A1487" s="90" t="str">
        <f>IF(CLIENTES!A4="","",CLIENTES!A4)</f>
        <v>OverShark</v>
      </c>
      <c r="B1487" s="90" t="s">
        <v>324</v>
      </c>
      <c r="C1487" s="91" t="s">
        <v>328</v>
      </c>
      <c r="D1487" s="109" t="s">
        <v>353</v>
      </c>
      <c r="E1487" s="67" t="str">
        <f>COLORES!A14</f>
        <v>Denim</v>
      </c>
      <c r="F1487" s="67" t="str">
        <f>COLORES!B14</f>
        <v>CLARO</v>
      </c>
      <c r="G1487" s="90" t="s">
        <v>379</v>
      </c>
      <c r="H1487" s="100">
        <f>IFERROR(SUMIFS(MOVIMIENTOS_COMPLEMENTOS!$I$4:$I$803,MOVIMIENTOS_COMPLEMENTOS!$C$4:$C$803,A1487,MOVIMIENTOS_COMPLEMENTOS!$D$4:$D$803,B1487,MOVIMIENTOS_COMPLEMENTOS!$E$4:$E$803,C1487,MOVIMIENTOS_COMPLEMENTOS!$G$4:$G$803,E1487,MOVIMIENTOS_COMPLEMENTOS!$H$4:$H$803,G1487,MOVIMIENTOS_COMPLEMENTOS!$B$4:$B$803,"INGRESO")+SUMIFS(MOVIMIENTOS_COMPLEMENTOS!$I$4:$I$803,MOVIMIENTOS_COMPLEMENTOS!$C$4:$C$803,A1487,MOVIMIENTOS_COMPLEMENTOS!$D$4:$D$803,B1487,MOVIMIENTOS_COMPLEMENTOS!$E$4:$E$803,C1487,MOVIMIENTOS_COMPLEMENTOS!$G$4:$G$803,E1487,MOVIMIENTOS_COMPLEMENTOS!$H$4:$H$803,G1487,MOVIMIENTOS_COMPLEMENTOS!$B$4:$B$803,"DE CORTE")-SUMIFS(MOVIMIENTOS_COMPLEMENTOS!$I$4:$I$803,MOVIMIENTOS_COMPLEMENTOS!$C$4:$C$803,A1487,MOVIMIENTOS_COMPLEMENTOS!$D$4:$D$803,B1487,MOVIMIENTOS_COMPLEMENTOS!$E$4:$E$803,C1487,MOVIMIENTOS_COMPLEMENTOS!$G$4:$G$803,E1487,MOVIMIENTOS_COMPLEMENTOS!$H$4:$H$803,G1487,MOVIMIENTOS_COMPLEMENTOS!$B$4:$B$803,"SALIDA"),0)</f>
        <v>0</v>
      </c>
      <c r="I1487" s="102">
        <f t="array" ref="I1487">IFERROR(INDEX(PRECIOS_COMPLEMENTOS!$C$4:$F$17,MATCH(B1487&amp;"_"&amp;C1487,PRECIOS_COMPLEMENTOS!$H$4:$H$17,0),IF(OR(G1487="S",G1487="20cm"),1,IF(OR(G1487="M",G1487="25cm"),2,IF(OR(G1487="L",G1487="30cm"),3,IF(OR(G1487="XL",G1487="35cm"),4,0))))),0)</f>
        <v>0.3</v>
      </c>
      <c r="J1487" s="103">
        <f t="shared" si="1"/>
        <v>0</v>
      </c>
      <c r="K1487" s="104" t="str">
        <f>IF(H1487&lt;0,"ERROR",IF(H1487=0,"",IF(H1487&lt;CONFIG!$B$4,"CRÍTICO",IF(H1487&lt;CONFIG!$B$5,"BAJO","OK"))))</f>
        <v/>
      </c>
    </row>
    <row r="1488" ht="15.75" hidden="1" customHeight="1">
      <c r="A1488" s="90" t="str">
        <f>IF(CLIENTES!A4="","",CLIENTES!A4)</f>
        <v>OverShark</v>
      </c>
      <c r="B1488" s="90" t="s">
        <v>324</v>
      </c>
      <c r="C1488" s="91" t="s">
        <v>328</v>
      </c>
      <c r="D1488" s="109" t="s">
        <v>353</v>
      </c>
      <c r="E1488" s="67" t="str">
        <f>COLORES!A15</f>
        <v>Plomo</v>
      </c>
      <c r="F1488" s="67" t="str">
        <f>COLORES!B15</f>
        <v>OSCURO</v>
      </c>
      <c r="G1488" s="90" t="s">
        <v>378</v>
      </c>
      <c r="H1488" s="100">
        <f>IFERROR(SUMIFS(MOVIMIENTOS_COMPLEMENTOS!$I$4:$I$803,MOVIMIENTOS_COMPLEMENTOS!$C$4:$C$803,A1488,MOVIMIENTOS_COMPLEMENTOS!$D$4:$D$803,B1488,MOVIMIENTOS_COMPLEMENTOS!$E$4:$E$803,C1488,MOVIMIENTOS_COMPLEMENTOS!$G$4:$G$803,E1488,MOVIMIENTOS_COMPLEMENTOS!$H$4:$H$803,G1488,MOVIMIENTOS_COMPLEMENTOS!$B$4:$B$803,"INGRESO")+SUMIFS(MOVIMIENTOS_COMPLEMENTOS!$I$4:$I$803,MOVIMIENTOS_COMPLEMENTOS!$C$4:$C$803,A1488,MOVIMIENTOS_COMPLEMENTOS!$D$4:$D$803,B1488,MOVIMIENTOS_COMPLEMENTOS!$E$4:$E$803,C1488,MOVIMIENTOS_COMPLEMENTOS!$G$4:$G$803,E1488,MOVIMIENTOS_COMPLEMENTOS!$H$4:$H$803,G1488,MOVIMIENTOS_COMPLEMENTOS!$B$4:$B$803,"DE CORTE")-SUMIFS(MOVIMIENTOS_COMPLEMENTOS!$I$4:$I$803,MOVIMIENTOS_COMPLEMENTOS!$C$4:$C$803,A1488,MOVIMIENTOS_COMPLEMENTOS!$D$4:$D$803,B1488,MOVIMIENTOS_COMPLEMENTOS!$E$4:$E$803,C1488,MOVIMIENTOS_COMPLEMENTOS!$G$4:$G$803,E1488,MOVIMIENTOS_COMPLEMENTOS!$H$4:$H$803,G1488,MOVIMIENTOS_COMPLEMENTOS!$B$4:$B$803,"SALIDA"),0)</f>
        <v>0</v>
      </c>
      <c r="I1488" s="102">
        <f t="array" ref="I1488">IFERROR(INDEX(PRECIOS_COMPLEMENTOS!$C$4:$F$17,MATCH(B1488&amp;"_"&amp;C1488,PRECIOS_COMPLEMENTOS!$H$4:$H$17,0),IF(OR(G1488="S",G1488="20cm"),1,IF(OR(G1488="M",G1488="25cm"),2,IF(OR(G1488="L",G1488="30cm"),3,IF(OR(G1488="XL",G1488="35cm"),4,0))))),0)</f>
        <v>0.3</v>
      </c>
      <c r="J1488" s="103">
        <f t="shared" si="1"/>
        <v>0</v>
      </c>
      <c r="K1488" s="104" t="str">
        <f>IF(H1488&lt;0,"ERROR",IF(H1488=0,"",IF(H1488&lt;CONFIG!$B$4,"CRÍTICO",IF(H1488&lt;CONFIG!$B$5,"BAJO","OK"))))</f>
        <v/>
      </c>
    </row>
    <row r="1489" ht="15.75" hidden="1" customHeight="1">
      <c r="A1489" s="90" t="str">
        <f>IF(CLIENTES!A4="","",CLIENTES!A4)</f>
        <v>OverShark</v>
      </c>
      <c r="B1489" s="90" t="s">
        <v>324</v>
      </c>
      <c r="C1489" s="91" t="s">
        <v>328</v>
      </c>
      <c r="D1489" s="109" t="s">
        <v>353</v>
      </c>
      <c r="E1489" s="67" t="str">
        <f>COLORES!A15</f>
        <v>Plomo</v>
      </c>
      <c r="F1489" s="67" t="str">
        <f>COLORES!B15</f>
        <v>OSCURO</v>
      </c>
      <c r="G1489" s="90" t="s">
        <v>376</v>
      </c>
      <c r="H1489" s="100">
        <f>IFERROR(SUMIFS(MOVIMIENTOS_COMPLEMENTOS!$I$4:$I$803,MOVIMIENTOS_COMPLEMENTOS!$C$4:$C$803,A1489,MOVIMIENTOS_COMPLEMENTOS!$D$4:$D$803,B1489,MOVIMIENTOS_COMPLEMENTOS!$E$4:$E$803,C1489,MOVIMIENTOS_COMPLEMENTOS!$G$4:$G$803,E1489,MOVIMIENTOS_COMPLEMENTOS!$H$4:$H$803,G1489,MOVIMIENTOS_COMPLEMENTOS!$B$4:$B$803,"INGRESO")+SUMIFS(MOVIMIENTOS_COMPLEMENTOS!$I$4:$I$803,MOVIMIENTOS_COMPLEMENTOS!$C$4:$C$803,A1489,MOVIMIENTOS_COMPLEMENTOS!$D$4:$D$803,B1489,MOVIMIENTOS_COMPLEMENTOS!$E$4:$E$803,C1489,MOVIMIENTOS_COMPLEMENTOS!$G$4:$G$803,E1489,MOVIMIENTOS_COMPLEMENTOS!$H$4:$H$803,G1489,MOVIMIENTOS_COMPLEMENTOS!$B$4:$B$803,"DE CORTE")-SUMIFS(MOVIMIENTOS_COMPLEMENTOS!$I$4:$I$803,MOVIMIENTOS_COMPLEMENTOS!$C$4:$C$803,A1489,MOVIMIENTOS_COMPLEMENTOS!$D$4:$D$803,B1489,MOVIMIENTOS_COMPLEMENTOS!$E$4:$E$803,C1489,MOVIMIENTOS_COMPLEMENTOS!$G$4:$G$803,E1489,MOVIMIENTOS_COMPLEMENTOS!$H$4:$H$803,G1489,MOVIMIENTOS_COMPLEMENTOS!$B$4:$B$803,"SALIDA"),0)</f>
        <v>0</v>
      </c>
      <c r="I1489" s="102">
        <f t="array" ref="I1489">IFERROR(INDEX(PRECIOS_COMPLEMENTOS!$C$4:$F$17,MATCH(B1489&amp;"_"&amp;C1489,PRECIOS_COMPLEMENTOS!$H$4:$H$17,0),IF(OR(G1489="S",G1489="20cm"),1,IF(OR(G1489="M",G1489="25cm"),2,IF(OR(G1489="L",G1489="30cm"),3,IF(OR(G1489="XL",G1489="35cm"),4,0))))),0)</f>
        <v>0.3</v>
      </c>
      <c r="J1489" s="103">
        <f t="shared" si="1"/>
        <v>0</v>
      </c>
      <c r="K1489" s="104" t="str">
        <f>IF(H1489&lt;0,"ERROR",IF(H1489=0,"",IF(H1489&lt;CONFIG!$B$4,"CRÍTICO",IF(H1489&lt;CONFIG!$B$5,"BAJO","OK"))))</f>
        <v/>
      </c>
    </row>
    <row r="1490" ht="15.75" hidden="1" customHeight="1">
      <c r="A1490" s="90" t="str">
        <f>IF(CLIENTES!A4="","",CLIENTES!A4)</f>
        <v>OverShark</v>
      </c>
      <c r="B1490" s="90" t="s">
        <v>324</v>
      </c>
      <c r="C1490" s="91" t="s">
        <v>328</v>
      </c>
      <c r="D1490" s="109" t="s">
        <v>353</v>
      </c>
      <c r="E1490" s="67" t="str">
        <f>COLORES!A15</f>
        <v>Plomo</v>
      </c>
      <c r="F1490" s="67" t="str">
        <f>COLORES!B15</f>
        <v>OSCURO</v>
      </c>
      <c r="G1490" s="90" t="s">
        <v>377</v>
      </c>
      <c r="H1490" s="100">
        <f>IFERROR(SUMIFS(MOVIMIENTOS_COMPLEMENTOS!$I$4:$I$803,MOVIMIENTOS_COMPLEMENTOS!$C$4:$C$803,A1490,MOVIMIENTOS_COMPLEMENTOS!$D$4:$D$803,B1490,MOVIMIENTOS_COMPLEMENTOS!$E$4:$E$803,C1490,MOVIMIENTOS_COMPLEMENTOS!$G$4:$G$803,E1490,MOVIMIENTOS_COMPLEMENTOS!$H$4:$H$803,G1490,MOVIMIENTOS_COMPLEMENTOS!$B$4:$B$803,"INGRESO")+SUMIFS(MOVIMIENTOS_COMPLEMENTOS!$I$4:$I$803,MOVIMIENTOS_COMPLEMENTOS!$C$4:$C$803,A1490,MOVIMIENTOS_COMPLEMENTOS!$D$4:$D$803,B1490,MOVIMIENTOS_COMPLEMENTOS!$E$4:$E$803,C1490,MOVIMIENTOS_COMPLEMENTOS!$G$4:$G$803,E1490,MOVIMIENTOS_COMPLEMENTOS!$H$4:$H$803,G1490,MOVIMIENTOS_COMPLEMENTOS!$B$4:$B$803,"DE CORTE")-SUMIFS(MOVIMIENTOS_COMPLEMENTOS!$I$4:$I$803,MOVIMIENTOS_COMPLEMENTOS!$C$4:$C$803,A1490,MOVIMIENTOS_COMPLEMENTOS!$D$4:$D$803,B1490,MOVIMIENTOS_COMPLEMENTOS!$E$4:$E$803,C1490,MOVIMIENTOS_COMPLEMENTOS!$G$4:$G$803,E1490,MOVIMIENTOS_COMPLEMENTOS!$H$4:$H$803,G1490,MOVIMIENTOS_COMPLEMENTOS!$B$4:$B$803,"SALIDA"),0)</f>
        <v>0</v>
      </c>
      <c r="I1490" s="102">
        <f t="array" ref="I1490">IFERROR(INDEX(PRECIOS_COMPLEMENTOS!$C$4:$F$17,MATCH(B1490&amp;"_"&amp;C1490,PRECIOS_COMPLEMENTOS!$H$4:$H$17,0),IF(OR(G1490="S",G1490="20cm"),1,IF(OR(G1490="M",G1490="25cm"),2,IF(OR(G1490="L",G1490="30cm"),3,IF(OR(G1490="XL",G1490="35cm"),4,0))))),0)</f>
        <v>0.3</v>
      </c>
      <c r="J1490" s="103">
        <f t="shared" si="1"/>
        <v>0</v>
      </c>
      <c r="K1490" s="104" t="str">
        <f>IF(H1490&lt;0,"ERROR",IF(H1490=0,"",IF(H1490&lt;CONFIG!$B$4,"CRÍTICO",IF(H1490&lt;CONFIG!$B$5,"BAJO","OK"))))</f>
        <v/>
      </c>
    </row>
    <row r="1491" ht="15.75" hidden="1" customHeight="1">
      <c r="A1491" s="90" t="str">
        <f>IF(CLIENTES!A4="","",CLIENTES!A4)</f>
        <v>OverShark</v>
      </c>
      <c r="B1491" s="90" t="s">
        <v>324</v>
      </c>
      <c r="C1491" s="91" t="s">
        <v>328</v>
      </c>
      <c r="D1491" s="109" t="s">
        <v>353</v>
      </c>
      <c r="E1491" s="67" t="str">
        <f>COLORES!A15</f>
        <v>Plomo</v>
      </c>
      <c r="F1491" s="67" t="str">
        <f>COLORES!B15</f>
        <v>OSCURO</v>
      </c>
      <c r="G1491" s="90" t="s">
        <v>379</v>
      </c>
      <c r="H1491" s="100">
        <f>IFERROR(SUMIFS(MOVIMIENTOS_COMPLEMENTOS!$I$4:$I$803,MOVIMIENTOS_COMPLEMENTOS!$C$4:$C$803,A1491,MOVIMIENTOS_COMPLEMENTOS!$D$4:$D$803,B1491,MOVIMIENTOS_COMPLEMENTOS!$E$4:$E$803,C1491,MOVIMIENTOS_COMPLEMENTOS!$G$4:$G$803,E1491,MOVIMIENTOS_COMPLEMENTOS!$H$4:$H$803,G1491,MOVIMIENTOS_COMPLEMENTOS!$B$4:$B$803,"INGRESO")+SUMIFS(MOVIMIENTOS_COMPLEMENTOS!$I$4:$I$803,MOVIMIENTOS_COMPLEMENTOS!$C$4:$C$803,A1491,MOVIMIENTOS_COMPLEMENTOS!$D$4:$D$803,B1491,MOVIMIENTOS_COMPLEMENTOS!$E$4:$E$803,C1491,MOVIMIENTOS_COMPLEMENTOS!$G$4:$G$803,E1491,MOVIMIENTOS_COMPLEMENTOS!$H$4:$H$803,G1491,MOVIMIENTOS_COMPLEMENTOS!$B$4:$B$803,"DE CORTE")-SUMIFS(MOVIMIENTOS_COMPLEMENTOS!$I$4:$I$803,MOVIMIENTOS_COMPLEMENTOS!$C$4:$C$803,A1491,MOVIMIENTOS_COMPLEMENTOS!$D$4:$D$803,B1491,MOVIMIENTOS_COMPLEMENTOS!$E$4:$E$803,C1491,MOVIMIENTOS_COMPLEMENTOS!$G$4:$G$803,E1491,MOVIMIENTOS_COMPLEMENTOS!$H$4:$H$803,G1491,MOVIMIENTOS_COMPLEMENTOS!$B$4:$B$803,"SALIDA"),0)</f>
        <v>0</v>
      </c>
      <c r="I1491" s="102">
        <f t="array" ref="I1491">IFERROR(INDEX(PRECIOS_COMPLEMENTOS!$C$4:$F$17,MATCH(B1491&amp;"_"&amp;C1491,PRECIOS_COMPLEMENTOS!$H$4:$H$17,0),IF(OR(G1491="S",G1491="20cm"),1,IF(OR(G1491="M",G1491="25cm"),2,IF(OR(G1491="L",G1491="30cm"),3,IF(OR(G1491="XL",G1491="35cm"),4,0))))),0)</f>
        <v>0.3</v>
      </c>
      <c r="J1491" s="103">
        <f t="shared" si="1"/>
        <v>0</v>
      </c>
      <c r="K1491" s="104" t="str">
        <f>IF(H1491&lt;0,"ERROR",IF(H1491=0,"",IF(H1491&lt;CONFIG!$B$4,"CRÍTICO",IF(H1491&lt;CONFIG!$B$5,"BAJO","OK"))))</f>
        <v/>
      </c>
    </row>
    <row r="1492" ht="15.75" hidden="1" customHeight="1">
      <c r="A1492" s="90" t="str">
        <f>IF(CLIENTES!A4="","",CLIENTES!A4)</f>
        <v>OverShark</v>
      </c>
      <c r="B1492" s="90" t="s">
        <v>324</v>
      </c>
      <c r="C1492" s="91" t="s">
        <v>328</v>
      </c>
      <c r="D1492" s="109" t="s">
        <v>353</v>
      </c>
      <c r="E1492" s="67" t="str">
        <f>COLORES!A16</f>
        <v>Topo</v>
      </c>
      <c r="F1492" s="67" t="str">
        <f>COLORES!B16</f>
        <v>CLARO</v>
      </c>
      <c r="G1492" s="90" t="s">
        <v>378</v>
      </c>
      <c r="H1492" s="100">
        <f>IFERROR(SUMIFS(MOVIMIENTOS_COMPLEMENTOS!$I$4:$I$803,MOVIMIENTOS_COMPLEMENTOS!$C$4:$C$803,A1492,MOVIMIENTOS_COMPLEMENTOS!$D$4:$D$803,B1492,MOVIMIENTOS_COMPLEMENTOS!$E$4:$E$803,C1492,MOVIMIENTOS_COMPLEMENTOS!$G$4:$G$803,E1492,MOVIMIENTOS_COMPLEMENTOS!$H$4:$H$803,G1492,MOVIMIENTOS_COMPLEMENTOS!$B$4:$B$803,"INGRESO")+SUMIFS(MOVIMIENTOS_COMPLEMENTOS!$I$4:$I$803,MOVIMIENTOS_COMPLEMENTOS!$C$4:$C$803,A1492,MOVIMIENTOS_COMPLEMENTOS!$D$4:$D$803,B1492,MOVIMIENTOS_COMPLEMENTOS!$E$4:$E$803,C1492,MOVIMIENTOS_COMPLEMENTOS!$G$4:$G$803,E1492,MOVIMIENTOS_COMPLEMENTOS!$H$4:$H$803,G1492,MOVIMIENTOS_COMPLEMENTOS!$B$4:$B$803,"DE CORTE")-SUMIFS(MOVIMIENTOS_COMPLEMENTOS!$I$4:$I$803,MOVIMIENTOS_COMPLEMENTOS!$C$4:$C$803,A1492,MOVIMIENTOS_COMPLEMENTOS!$D$4:$D$803,B1492,MOVIMIENTOS_COMPLEMENTOS!$E$4:$E$803,C1492,MOVIMIENTOS_COMPLEMENTOS!$G$4:$G$803,E1492,MOVIMIENTOS_COMPLEMENTOS!$H$4:$H$803,G1492,MOVIMIENTOS_COMPLEMENTOS!$B$4:$B$803,"SALIDA"),0)</f>
        <v>0</v>
      </c>
      <c r="I1492" s="102">
        <f t="array" ref="I1492">IFERROR(INDEX(PRECIOS_COMPLEMENTOS!$C$4:$F$17,MATCH(B1492&amp;"_"&amp;C1492,PRECIOS_COMPLEMENTOS!$H$4:$H$17,0),IF(OR(G1492="S",G1492="20cm"),1,IF(OR(G1492="M",G1492="25cm"),2,IF(OR(G1492="L",G1492="30cm"),3,IF(OR(G1492="XL",G1492="35cm"),4,0))))),0)</f>
        <v>0.3</v>
      </c>
      <c r="J1492" s="103">
        <f t="shared" si="1"/>
        <v>0</v>
      </c>
      <c r="K1492" s="104" t="str">
        <f>IF(H1492&lt;0,"ERROR",IF(H1492=0,"",IF(H1492&lt;CONFIG!$B$4,"CRÍTICO",IF(H1492&lt;CONFIG!$B$5,"BAJO","OK"))))</f>
        <v/>
      </c>
    </row>
    <row r="1493" ht="15.75" hidden="1" customHeight="1">
      <c r="A1493" s="90" t="str">
        <f>IF(CLIENTES!A4="","",CLIENTES!A4)</f>
        <v>OverShark</v>
      </c>
      <c r="B1493" s="90" t="s">
        <v>324</v>
      </c>
      <c r="C1493" s="91" t="s">
        <v>328</v>
      </c>
      <c r="D1493" s="109" t="s">
        <v>353</v>
      </c>
      <c r="E1493" s="67" t="str">
        <f>COLORES!A16</f>
        <v>Topo</v>
      </c>
      <c r="F1493" s="67" t="str">
        <f>COLORES!B16</f>
        <v>CLARO</v>
      </c>
      <c r="G1493" s="90" t="s">
        <v>376</v>
      </c>
      <c r="H1493" s="100">
        <f>IFERROR(SUMIFS(MOVIMIENTOS_COMPLEMENTOS!$I$4:$I$803,MOVIMIENTOS_COMPLEMENTOS!$C$4:$C$803,A1493,MOVIMIENTOS_COMPLEMENTOS!$D$4:$D$803,B1493,MOVIMIENTOS_COMPLEMENTOS!$E$4:$E$803,C1493,MOVIMIENTOS_COMPLEMENTOS!$G$4:$G$803,E1493,MOVIMIENTOS_COMPLEMENTOS!$H$4:$H$803,G1493,MOVIMIENTOS_COMPLEMENTOS!$B$4:$B$803,"INGRESO")+SUMIFS(MOVIMIENTOS_COMPLEMENTOS!$I$4:$I$803,MOVIMIENTOS_COMPLEMENTOS!$C$4:$C$803,A1493,MOVIMIENTOS_COMPLEMENTOS!$D$4:$D$803,B1493,MOVIMIENTOS_COMPLEMENTOS!$E$4:$E$803,C1493,MOVIMIENTOS_COMPLEMENTOS!$G$4:$G$803,E1493,MOVIMIENTOS_COMPLEMENTOS!$H$4:$H$803,G1493,MOVIMIENTOS_COMPLEMENTOS!$B$4:$B$803,"DE CORTE")-SUMIFS(MOVIMIENTOS_COMPLEMENTOS!$I$4:$I$803,MOVIMIENTOS_COMPLEMENTOS!$C$4:$C$803,A1493,MOVIMIENTOS_COMPLEMENTOS!$D$4:$D$803,B1493,MOVIMIENTOS_COMPLEMENTOS!$E$4:$E$803,C1493,MOVIMIENTOS_COMPLEMENTOS!$G$4:$G$803,E1493,MOVIMIENTOS_COMPLEMENTOS!$H$4:$H$803,G1493,MOVIMIENTOS_COMPLEMENTOS!$B$4:$B$803,"SALIDA"),0)</f>
        <v>0</v>
      </c>
      <c r="I1493" s="102">
        <f t="array" ref="I1493">IFERROR(INDEX(PRECIOS_COMPLEMENTOS!$C$4:$F$17,MATCH(B1493&amp;"_"&amp;C1493,PRECIOS_COMPLEMENTOS!$H$4:$H$17,0),IF(OR(G1493="S",G1493="20cm"),1,IF(OR(G1493="M",G1493="25cm"),2,IF(OR(G1493="L",G1493="30cm"),3,IF(OR(G1493="XL",G1493="35cm"),4,0))))),0)</f>
        <v>0.3</v>
      </c>
      <c r="J1493" s="103">
        <f t="shared" si="1"/>
        <v>0</v>
      </c>
      <c r="K1493" s="104" t="str">
        <f>IF(H1493&lt;0,"ERROR",IF(H1493=0,"",IF(H1493&lt;CONFIG!$B$4,"CRÍTICO",IF(H1493&lt;CONFIG!$B$5,"BAJO","OK"))))</f>
        <v/>
      </c>
    </row>
    <row r="1494" ht="15.75" hidden="1" customHeight="1">
      <c r="A1494" s="90" t="str">
        <f>IF(CLIENTES!A4="","",CLIENTES!A4)</f>
        <v>OverShark</v>
      </c>
      <c r="B1494" s="90" t="s">
        <v>324</v>
      </c>
      <c r="C1494" s="91" t="s">
        <v>328</v>
      </c>
      <c r="D1494" s="109" t="s">
        <v>353</v>
      </c>
      <c r="E1494" s="67" t="str">
        <f>COLORES!A16</f>
        <v>Topo</v>
      </c>
      <c r="F1494" s="67" t="str">
        <f>COLORES!B16</f>
        <v>CLARO</v>
      </c>
      <c r="G1494" s="90" t="s">
        <v>377</v>
      </c>
      <c r="H1494" s="100">
        <f>IFERROR(SUMIFS(MOVIMIENTOS_COMPLEMENTOS!$I$4:$I$803,MOVIMIENTOS_COMPLEMENTOS!$C$4:$C$803,A1494,MOVIMIENTOS_COMPLEMENTOS!$D$4:$D$803,B1494,MOVIMIENTOS_COMPLEMENTOS!$E$4:$E$803,C1494,MOVIMIENTOS_COMPLEMENTOS!$G$4:$G$803,E1494,MOVIMIENTOS_COMPLEMENTOS!$H$4:$H$803,G1494,MOVIMIENTOS_COMPLEMENTOS!$B$4:$B$803,"INGRESO")+SUMIFS(MOVIMIENTOS_COMPLEMENTOS!$I$4:$I$803,MOVIMIENTOS_COMPLEMENTOS!$C$4:$C$803,A1494,MOVIMIENTOS_COMPLEMENTOS!$D$4:$D$803,B1494,MOVIMIENTOS_COMPLEMENTOS!$E$4:$E$803,C1494,MOVIMIENTOS_COMPLEMENTOS!$G$4:$G$803,E1494,MOVIMIENTOS_COMPLEMENTOS!$H$4:$H$803,G1494,MOVIMIENTOS_COMPLEMENTOS!$B$4:$B$803,"DE CORTE")-SUMIFS(MOVIMIENTOS_COMPLEMENTOS!$I$4:$I$803,MOVIMIENTOS_COMPLEMENTOS!$C$4:$C$803,A1494,MOVIMIENTOS_COMPLEMENTOS!$D$4:$D$803,B1494,MOVIMIENTOS_COMPLEMENTOS!$E$4:$E$803,C1494,MOVIMIENTOS_COMPLEMENTOS!$G$4:$G$803,E1494,MOVIMIENTOS_COMPLEMENTOS!$H$4:$H$803,G1494,MOVIMIENTOS_COMPLEMENTOS!$B$4:$B$803,"SALIDA"),0)</f>
        <v>0</v>
      </c>
      <c r="I1494" s="102">
        <f t="array" ref="I1494">IFERROR(INDEX(PRECIOS_COMPLEMENTOS!$C$4:$F$17,MATCH(B1494&amp;"_"&amp;C1494,PRECIOS_COMPLEMENTOS!$H$4:$H$17,0),IF(OR(G1494="S",G1494="20cm"),1,IF(OR(G1494="M",G1494="25cm"),2,IF(OR(G1494="L",G1494="30cm"),3,IF(OR(G1494="XL",G1494="35cm"),4,0))))),0)</f>
        <v>0.3</v>
      </c>
      <c r="J1494" s="103">
        <f t="shared" si="1"/>
        <v>0</v>
      </c>
      <c r="K1494" s="104" t="str">
        <f>IF(H1494&lt;0,"ERROR",IF(H1494=0,"",IF(H1494&lt;CONFIG!$B$4,"CRÍTICO",IF(H1494&lt;CONFIG!$B$5,"BAJO","OK"))))</f>
        <v/>
      </c>
    </row>
    <row r="1495" ht="15.75" hidden="1" customHeight="1">
      <c r="A1495" s="90" t="str">
        <f>IF(CLIENTES!A4="","",CLIENTES!A4)</f>
        <v>OverShark</v>
      </c>
      <c r="B1495" s="90" t="s">
        <v>324</v>
      </c>
      <c r="C1495" s="91" t="s">
        <v>328</v>
      </c>
      <c r="D1495" s="109" t="s">
        <v>353</v>
      </c>
      <c r="E1495" s="67" t="str">
        <f>COLORES!A16</f>
        <v>Topo</v>
      </c>
      <c r="F1495" s="67" t="str">
        <f>COLORES!B16</f>
        <v>CLARO</v>
      </c>
      <c r="G1495" s="90" t="s">
        <v>379</v>
      </c>
      <c r="H1495" s="100">
        <f>IFERROR(SUMIFS(MOVIMIENTOS_COMPLEMENTOS!$I$4:$I$803,MOVIMIENTOS_COMPLEMENTOS!$C$4:$C$803,A1495,MOVIMIENTOS_COMPLEMENTOS!$D$4:$D$803,B1495,MOVIMIENTOS_COMPLEMENTOS!$E$4:$E$803,C1495,MOVIMIENTOS_COMPLEMENTOS!$G$4:$G$803,E1495,MOVIMIENTOS_COMPLEMENTOS!$H$4:$H$803,G1495,MOVIMIENTOS_COMPLEMENTOS!$B$4:$B$803,"INGRESO")+SUMIFS(MOVIMIENTOS_COMPLEMENTOS!$I$4:$I$803,MOVIMIENTOS_COMPLEMENTOS!$C$4:$C$803,A1495,MOVIMIENTOS_COMPLEMENTOS!$D$4:$D$803,B1495,MOVIMIENTOS_COMPLEMENTOS!$E$4:$E$803,C1495,MOVIMIENTOS_COMPLEMENTOS!$G$4:$G$803,E1495,MOVIMIENTOS_COMPLEMENTOS!$H$4:$H$803,G1495,MOVIMIENTOS_COMPLEMENTOS!$B$4:$B$803,"DE CORTE")-SUMIFS(MOVIMIENTOS_COMPLEMENTOS!$I$4:$I$803,MOVIMIENTOS_COMPLEMENTOS!$C$4:$C$803,A1495,MOVIMIENTOS_COMPLEMENTOS!$D$4:$D$803,B1495,MOVIMIENTOS_COMPLEMENTOS!$E$4:$E$803,C1495,MOVIMIENTOS_COMPLEMENTOS!$G$4:$G$803,E1495,MOVIMIENTOS_COMPLEMENTOS!$H$4:$H$803,G1495,MOVIMIENTOS_COMPLEMENTOS!$B$4:$B$803,"SALIDA"),0)</f>
        <v>0</v>
      </c>
      <c r="I1495" s="102">
        <f t="array" ref="I1495">IFERROR(INDEX(PRECIOS_COMPLEMENTOS!$C$4:$F$17,MATCH(B1495&amp;"_"&amp;C1495,PRECIOS_COMPLEMENTOS!$H$4:$H$17,0),IF(OR(G1495="S",G1495="20cm"),1,IF(OR(G1495="M",G1495="25cm"),2,IF(OR(G1495="L",G1495="30cm"),3,IF(OR(G1495="XL",G1495="35cm"),4,0))))),0)</f>
        <v>0.3</v>
      </c>
      <c r="J1495" s="103">
        <f t="shared" si="1"/>
        <v>0</v>
      </c>
      <c r="K1495" s="104" t="str">
        <f>IF(H1495&lt;0,"ERROR",IF(H1495=0,"",IF(H1495&lt;CONFIG!$B$4,"CRÍTICO",IF(H1495&lt;CONFIG!$B$5,"BAJO","OK"))))</f>
        <v/>
      </c>
    </row>
    <row r="1496" ht="15.75" hidden="1" customHeight="1">
      <c r="A1496" s="90" t="str">
        <f>IF(CLIENTES!A4="","",CLIENTES!A4)</f>
        <v>OverShark</v>
      </c>
      <c r="B1496" s="90" t="s">
        <v>324</v>
      </c>
      <c r="C1496" s="91" t="s">
        <v>328</v>
      </c>
      <c r="D1496" s="109" t="s">
        <v>353</v>
      </c>
      <c r="E1496" s="67" t="str">
        <f>COLORES!A17</f>
        <v>Vino</v>
      </c>
      <c r="F1496" s="67" t="str">
        <f>COLORES!B17</f>
        <v>OSCURO</v>
      </c>
      <c r="G1496" s="90" t="s">
        <v>378</v>
      </c>
      <c r="H1496" s="100">
        <f>IFERROR(SUMIFS(MOVIMIENTOS_COMPLEMENTOS!$I$4:$I$803,MOVIMIENTOS_COMPLEMENTOS!$C$4:$C$803,A1496,MOVIMIENTOS_COMPLEMENTOS!$D$4:$D$803,B1496,MOVIMIENTOS_COMPLEMENTOS!$E$4:$E$803,C1496,MOVIMIENTOS_COMPLEMENTOS!$G$4:$G$803,E1496,MOVIMIENTOS_COMPLEMENTOS!$H$4:$H$803,G1496,MOVIMIENTOS_COMPLEMENTOS!$B$4:$B$803,"INGRESO")+SUMIFS(MOVIMIENTOS_COMPLEMENTOS!$I$4:$I$803,MOVIMIENTOS_COMPLEMENTOS!$C$4:$C$803,A1496,MOVIMIENTOS_COMPLEMENTOS!$D$4:$D$803,B1496,MOVIMIENTOS_COMPLEMENTOS!$E$4:$E$803,C1496,MOVIMIENTOS_COMPLEMENTOS!$G$4:$G$803,E1496,MOVIMIENTOS_COMPLEMENTOS!$H$4:$H$803,G1496,MOVIMIENTOS_COMPLEMENTOS!$B$4:$B$803,"DE CORTE")-SUMIFS(MOVIMIENTOS_COMPLEMENTOS!$I$4:$I$803,MOVIMIENTOS_COMPLEMENTOS!$C$4:$C$803,A1496,MOVIMIENTOS_COMPLEMENTOS!$D$4:$D$803,B1496,MOVIMIENTOS_COMPLEMENTOS!$E$4:$E$803,C1496,MOVIMIENTOS_COMPLEMENTOS!$G$4:$G$803,E1496,MOVIMIENTOS_COMPLEMENTOS!$H$4:$H$803,G1496,MOVIMIENTOS_COMPLEMENTOS!$B$4:$B$803,"SALIDA"),0)</f>
        <v>0</v>
      </c>
      <c r="I1496" s="102">
        <f t="array" ref="I1496">IFERROR(INDEX(PRECIOS_COMPLEMENTOS!$C$4:$F$17,MATCH(B1496&amp;"_"&amp;C1496,PRECIOS_COMPLEMENTOS!$H$4:$H$17,0),IF(OR(G1496="S",G1496="20cm"),1,IF(OR(G1496="M",G1496="25cm"),2,IF(OR(G1496="L",G1496="30cm"),3,IF(OR(G1496="XL",G1496="35cm"),4,0))))),0)</f>
        <v>0.3</v>
      </c>
      <c r="J1496" s="103">
        <f t="shared" si="1"/>
        <v>0</v>
      </c>
      <c r="K1496" s="104" t="str">
        <f>IF(H1496&lt;0,"ERROR",IF(H1496=0,"",IF(H1496&lt;CONFIG!$B$4,"CRÍTICO",IF(H1496&lt;CONFIG!$B$5,"BAJO","OK"))))</f>
        <v/>
      </c>
    </row>
    <row r="1497" ht="15.75" hidden="1" customHeight="1">
      <c r="A1497" s="90" t="str">
        <f>IF(CLIENTES!A4="","",CLIENTES!A4)</f>
        <v>OverShark</v>
      </c>
      <c r="B1497" s="90" t="s">
        <v>324</v>
      </c>
      <c r="C1497" s="91" t="s">
        <v>328</v>
      </c>
      <c r="D1497" s="109" t="s">
        <v>353</v>
      </c>
      <c r="E1497" s="67" t="str">
        <f>COLORES!A17</f>
        <v>Vino</v>
      </c>
      <c r="F1497" s="67" t="str">
        <f>COLORES!B17</f>
        <v>OSCURO</v>
      </c>
      <c r="G1497" s="90" t="s">
        <v>376</v>
      </c>
      <c r="H1497" s="100">
        <f>IFERROR(SUMIFS(MOVIMIENTOS_COMPLEMENTOS!$I$4:$I$803,MOVIMIENTOS_COMPLEMENTOS!$C$4:$C$803,A1497,MOVIMIENTOS_COMPLEMENTOS!$D$4:$D$803,B1497,MOVIMIENTOS_COMPLEMENTOS!$E$4:$E$803,C1497,MOVIMIENTOS_COMPLEMENTOS!$G$4:$G$803,E1497,MOVIMIENTOS_COMPLEMENTOS!$H$4:$H$803,G1497,MOVIMIENTOS_COMPLEMENTOS!$B$4:$B$803,"INGRESO")+SUMIFS(MOVIMIENTOS_COMPLEMENTOS!$I$4:$I$803,MOVIMIENTOS_COMPLEMENTOS!$C$4:$C$803,A1497,MOVIMIENTOS_COMPLEMENTOS!$D$4:$D$803,B1497,MOVIMIENTOS_COMPLEMENTOS!$E$4:$E$803,C1497,MOVIMIENTOS_COMPLEMENTOS!$G$4:$G$803,E1497,MOVIMIENTOS_COMPLEMENTOS!$H$4:$H$803,G1497,MOVIMIENTOS_COMPLEMENTOS!$B$4:$B$803,"DE CORTE")-SUMIFS(MOVIMIENTOS_COMPLEMENTOS!$I$4:$I$803,MOVIMIENTOS_COMPLEMENTOS!$C$4:$C$803,A1497,MOVIMIENTOS_COMPLEMENTOS!$D$4:$D$803,B1497,MOVIMIENTOS_COMPLEMENTOS!$E$4:$E$803,C1497,MOVIMIENTOS_COMPLEMENTOS!$G$4:$G$803,E1497,MOVIMIENTOS_COMPLEMENTOS!$H$4:$H$803,G1497,MOVIMIENTOS_COMPLEMENTOS!$B$4:$B$803,"SALIDA"),0)</f>
        <v>0</v>
      </c>
      <c r="I1497" s="102">
        <f t="array" ref="I1497">IFERROR(INDEX(PRECIOS_COMPLEMENTOS!$C$4:$F$17,MATCH(B1497&amp;"_"&amp;C1497,PRECIOS_COMPLEMENTOS!$H$4:$H$17,0),IF(OR(G1497="S",G1497="20cm"),1,IF(OR(G1497="M",G1497="25cm"),2,IF(OR(G1497="L",G1497="30cm"),3,IF(OR(G1497="XL",G1497="35cm"),4,0))))),0)</f>
        <v>0.3</v>
      </c>
      <c r="J1497" s="103">
        <f t="shared" si="1"/>
        <v>0</v>
      </c>
      <c r="K1497" s="104" t="str">
        <f>IF(H1497&lt;0,"ERROR",IF(H1497=0,"",IF(H1497&lt;CONFIG!$B$4,"CRÍTICO",IF(H1497&lt;CONFIG!$B$5,"BAJO","OK"))))</f>
        <v/>
      </c>
    </row>
    <row r="1498" ht="15.75" hidden="1" customHeight="1">
      <c r="A1498" s="90" t="str">
        <f>IF(CLIENTES!A4="","",CLIENTES!A4)</f>
        <v>OverShark</v>
      </c>
      <c r="B1498" s="90" t="s">
        <v>324</v>
      </c>
      <c r="C1498" s="91" t="s">
        <v>328</v>
      </c>
      <c r="D1498" s="109" t="s">
        <v>353</v>
      </c>
      <c r="E1498" s="67" t="str">
        <f>COLORES!A17</f>
        <v>Vino</v>
      </c>
      <c r="F1498" s="67" t="str">
        <f>COLORES!B17</f>
        <v>OSCURO</v>
      </c>
      <c r="G1498" s="90" t="s">
        <v>377</v>
      </c>
      <c r="H1498" s="100">
        <f>IFERROR(SUMIFS(MOVIMIENTOS_COMPLEMENTOS!$I$4:$I$803,MOVIMIENTOS_COMPLEMENTOS!$C$4:$C$803,A1498,MOVIMIENTOS_COMPLEMENTOS!$D$4:$D$803,B1498,MOVIMIENTOS_COMPLEMENTOS!$E$4:$E$803,C1498,MOVIMIENTOS_COMPLEMENTOS!$G$4:$G$803,E1498,MOVIMIENTOS_COMPLEMENTOS!$H$4:$H$803,G1498,MOVIMIENTOS_COMPLEMENTOS!$B$4:$B$803,"INGRESO")+SUMIFS(MOVIMIENTOS_COMPLEMENTOS!$I$4:$I$803,MOVIMIENTOS_COMPLEMENTOS!$C$4:$C$803,A1498,MOVIMIENTOS_COMPLEMENTOS!$D$4:$D$803,B1498,MOVIMIENTOS_COMPLEMENTOS!$E$4:$E$803,C1498,MOVIMIENTOS_COMPLEMENTOS!$G$4:$G$803,E1498,MOVIMIENTOS_COMPLEMENTOS!$H$4:$H$803,G1498,MOVIMIENTOS_COMPLEMENTOS!$B$4:$B$803,"DE CORTE")-SUMIFS(MOVIMIENTOS_COMPLEMENTOS!$I$4:$I$803,MOVIMIENTOS_COMPLEMENTOS!$C$4:$C$803,A1498,MOVIMIENTOS_COMPLEMENTOS!$D$4:$D$803,B1498,MOVIMIENTOS_COMPLEMENTOS!$E$4:$E$803,C1498,MOVIMIENTOS_COMPLEMENTOS!$G$4:$G$803,E1498,MOVIMIENTOS_COMPLEMENTOS!$H$4:$H$803,G1498,MOVIMIENTOS_COMPLEMENTOS!$B$4:$B$803,"SALIDA"),0)</f>
        <v>0</v>
      </c>
      <c r="I1498" s="102">
        <f t="array" ref="I1498">IFERROR(INDEX(PRECIOS_COMPLEMENTOS!$C$4:$F$17,MATCH(B1498&amp;"_"&amp;C1498,PRECIOS_COMPLEMENTOS!$H$4:$H$17,0),IF(OR(G1498="S",G1498="20cm"),1,IF(OR(G1498="M",G1498="25cm"),2,IF(OR(G1498="L",G1498="30cm"),3,IF(OR(G1498="XL",G1498="35cm"),4,0))))),0)</f>
        <v>0.3</v>
      </c>
      <c r="J1498" s="103">
        <f t="shared" si="1"/>
        <v>0</v>
      </c>
      <c r="K1498" s="104" t="str">
        <f>IF(H1498&lt;0,"ERROR",IF(H1498=0,"",IF(H1498&lt;CONFIG!$B$4,"CRÍTICO",IF(H1498&lt;CONFIG!$B$5,"BAJO","OK"))))</f>
        <v/>
      </c>
    </row>
    <row r="1499" ht="15.75" hidden="1" customHeight="1">
      <c r="A1499" s="90" t="str">
        <f>IF(CLIENTES!A4="","",CLIENTES!A4)</f>
        <v>OverShark</v>
      </c>
      <c r="B1499" s="90" t="s">
        <v>324</v>
      </c>
      <c r="C1499" s="91" t="s">
        <v>328</v>
      </c>
      <c r="D1499" s="109" t="s">
        <v>353</v>
      </c>
      <c r="E1499" s="67" t="str">
        <f>COLORES!A17</f>
        <v>Vino</v>
      </c>
      <c r="F1499" s="67" t="str">
        <f>COLORES!B17</f>
        <v>OSCURO</v>
      </c>
      <c r="G1499" s="90" t="s">
        <v>379</v>
      </c>
      <c r="H1499" s="100">
        <f>IFERROR(SUMIFS(MOVIMIENTOS_COMPLEMENTOS!$I$4:$I$803,MOVIMIENTOS_COMPLEMENTOS!$C$4:$C$803,A1499,MOVIMIENTOS_COMPLEMENTOS!$D$4:$D$803,B1499,MOVIMIENTOS_COMPLEMENTOS!$E$4:$E$803,C1499,MOVIMIENTOS_COMPLEMENTOS!$G$4:$G$803,E1499,MOVIMIENTOS_COMPLEMENTOS!$H$4:$H$803,G1499,MOVIMIENTOS_COMPLEMENTOS!$B$4:$B$803,"INGRESO")+SUMIFS(MOVIMIENTOS_COMPLEMENTOS!$I$4:$I$803,MOVIMIENTOS_COMPLEMENTOS!$C$4:$C$803,A1499,MOVIMIENTOS_COMPLEMENTOS!$D$4:$D$803,B1499,MOVIMIENTOS_COMPLEMENTOS!$E$4:$E$803,C1499,MOVIMIENTOS_COMPLEMENTOS!$G$4:$G$803,E1499,MOVIMIENTOS_COMPLEMENTOS!$H$4:$H$803,G1499,MOVIMIENTOS_COMPLEMENTOS!$B$4:$B$803,"DE CORTE")-SUMIFS(MOVIMIENTOS_COMPLEMENTOS!$I$4:$I$803,MOVIMIENTOS_COMPLEMENTOS!$C$4:$C$803,A1499,MOVIMIENTOS_COMPLEMENTOS!$D$4:$D$803,B1499,MOVIMIENTOS_COMPLEMENTOS!$E$4:$E$803,C1499,MOVIMIENTOS_COMPLEMENTOS!$G$4:$G$803,E1499,MOVIMIENTOS_COMPLEMENTOS!$H$4:$H$803,G1499,MOVIMIENTOS_COMPLEMENTOS!$B$4:$B$803,"SALIDA"),0)</f>
        <v>0</v>
      </c>
      <c r="I1499" s="102">
        <f t="array" ref="I1499">IFERROR(INDEX(PRECIOS_COMPLEMENTOS!$C$4:$F$17,MATCH(B1499&amp;"_"&amp;C1499,PRECIOS_COMPLEMENTOS!$H$4:$H$17,0),IF(OR(G1499="S",G1499="20cm"),1,IF(OR(G1499="M",G1499="25cm"),2,IF(OR(G1499="L",G1499="30cm"),3,IF(OR(G1499="XL",G1499="35cm"),4,0))))),0)</f>
        <v>0.3</v>
      </c>
      <c r="J1499" s="103">
        <f t="shared" si="1"/>
        <v>0</v>
      </c>
      <c r="K1499" s="104" t="str">
        <f>IF(H1499&lt;0,"ERROR",IF(H1499=0,"",IF(H1499&lt;CONFIG!$B$4,"CRÍTICO",IF(H1499&lt;CONFIG!$B$5,"BAJO","OK"))))</f>
        <v/>
      </c>
    </row>
    <row r="1500" ht="15.75" hidden="1" customHeight="1">
      <c r="A1500" s="90" t="str">
        <f>IF(CLIENTES!A4="","",CLIENTES!A4)</f>
        <v>OverShark</v>
      </c>
      <c r="B1500" s="90" t="s">
        <v>324</v>
      </c>
      <c r="C1500" s="91" t="s">
        <v>328</v>
      </c>
      <c r="D1500" s="109" t="s">
        <v>353</v>
      </c>
      <c r="E1500" s="67" t="str">
        <f>COLORES!A18</f>
        <v>P. Rosa</v>
      </c>
      <c r="F1500" s="67" t="str">
        <f>COLORES!B18</f>
        <v>CLARO</v>
      </c>
      <c r="G1500" s="90" t="s">
        <v>378</v>
      </c>
      <c r="H1500" s="100">
        <f>IFERROR(SUMIFS(MOVIMIENTOS_COMPLEMENTOS!$I$4:$I$803,MOVIMIENTOS_COMPLEMENTOS!$C$4:$C$803,A1500,MOVIMIENTOS_COMPLEMENTOS!$D$4:$D$803,B1500,MOVIMIENTOS_COMPLEMENTOS!$E$4:$E$803,C1500,MOVIMIENTOS_COMPLEMENTOS!$G$4:$G$803,E1500,MOVIMIENTOS_COMPLEMENTOS!$H$4:$H$803,G1500,MOVIMIENTOS_COMPLEMENTOS!$B$4:$B$803,"INGRESO")+SUMIFS(MOVIMIENTOS_COMPLEMENTOS!$I$4:$I$803,MOVIMIENTOS_COMPLEMENTOS!$C$4:$C$803,A1500,MOVIMIENTOS_COMPLEMENTOS!$D$4:$D$803,B1500,MOVIMIENTOS_COMPLEMENTOS!$E$4:$E$803,C1500,MOVIMIENTOS_COMPLEMENTOS!$G$4:$G$803,E1500,MOVIMIENTOS_COMPLEMENTOS!$H$4:$H$803,G1500,MOVIMIENTOS_COMPLEMENTOS!$B$4:$B$803,"DE CORTE")-SUMIFS(MOVIMIENTOS_COMPLEMENTOS!$I$4:$I$803,MOVIMIENTOS_COMPLEMENTOS!$C$4:$C$803,A1500,MOVIMIENTOS_COMPLEMENTOS!$D$4:$D$803,B1500,MOVIMIENTOS_COMPLEMENTOS!$E$4:$E$803,C1500,MOVIMIENTOS_COMPLEMENTOS!$G$4:$G$803,E1500,MOVIMIENTOS_COMPLEMENTOS!$H$4:$H$803,G1500,MOVIMIENTOS_COMPLEMENTOS!$B$4:$B$803,"SALIDA"),0)</f>
        <v>0</v>
      </c>
      <c r="I1500" s="102">
        <f t="array" ref="I1500">IFERROR(INDEX(PRECIOS_COMPLEMENTOS!$C$4:$F$17,MATCH(B1500&amp;"_"&amp;C1500,PRECIOS_COMPLEMENTOS!$H$4:$H$17,0),IF(OR(G1500="S",G1500="20cm"),1,IF(OR(G1500="M",G1500="25cm"),2,IF(OR(G1500="L",G1500="30cm"),3,IF(OR(G1500="XL",G1500="35cm"),4,0))))),0)</f>
        <v>0.3</v>
      </c>
      <c r="J1500" s="103">
        <f t="shared" si="1"/>
        <v>0</v>
      </c>
      <c r="K1500" s="104" t="str">
        <f>IF(H1500&lt;0,"ERROR",IF(H1500=0,"",IF(H1500&lt;CONFIG!$B$4,"CRÍTICO",IF(H1500&lt;CONFIG!$B$5,"BAJO","OK"))))</f>
        <v/>
      </c>
    </row>
    <row r="1501" ht="15.75" hidden="1" customHeight="1">
      <c r="A1501" s="90" t="str">
        <f>IF(CLIENTES!A4="","",CLIENTES!A4)</f>
        <v>OverShark</v>
      </c>
      <c r="B1501" s="90" t="s">
        <v>324</v>
      </c>
      <c r="C1501" s="91" t="s">
        <v>328</v>
      </c>
      <c r="D1501" s="109" t="s">
        <v>353</v>
      </c>
      <c r="E1501" s="67" t="str">
        <f>COLORES!A18</f>
        <v>P. Rosa</v>
      </c>
      <c r="F1501" s="67" t="str">
        <f>COLORES!B18</f>
        <v>CLARO</v>
      </c>
      <c r="G1501" s="90" t="s">
        <v>376</v>
      </c>
      <c r="H1501" s="100">
        <f>IFERROR(SUMIFS(MOVIMIENTOS_COMPLEMENTOS!$I$4:$I$803,MOVIMIENTOS_COMPLEMENTOS!$C$4:$C$803,A1501,MOVIMIENTOS_COMPLEMENTOS!$D$4:$D$803,B1501,MOVIMIENTOS_COMPLEMENTOS!$E$4:$E$803,C1501,MOVIMIENTOS_COMPLEMENTOS!$G$4:$G$803,E1501,MOVIMIENTOS_COMPLEMENTOS!$H$4:$H$803,G1501,MOVIMIENTOS_COMPLEMENTOS!$B$4:$B$803,"INGRESO")+SUMIFS(MOVIMIENTOS_COMPLEMENTOS!$I$4:$I$803,MOVIMIENTOS_COMPLEMENTOS!$C$4:$C$803,A1501,MOVIMIENTOS_COMPLEMENTOS!$D$4:$D$803,B1501,MOVIMIENTOS_COMPLEMENTOS!$E$4:$E$803,C1501,MOVIMIENTOS_COMPLEMENTOS!$G$4:$G$803,E1501,MOVIMIENTOS_COMPLEMENTOS!$H$4:$H$803,G1501,MOVIMIENTOS_COMPLEMENTOS!$B$4:$B$803,"DE CORTE")-SUMIFS(MOVIMIENTOS_COMPLEMENTOS!$I$4:$I$803,MOVIMIENTOS_COMPLEMENTOS!$C$4:$C$803,A1501,MOVIMIENTOS_COMPLEMENTOS!$D$4:$D$803,B1501,MOVIMIENTOS_COMPLEMENTOS!$E$4:$E$803,C1501,MOVIMIENTOS_COMPLEMENTOS!$G$4:$G$803,E1501,MOVIMIENTOS_COMPLEMENTOS!$H$4:$H$803,G1501,MOVIMIENTOS_COMPLEMENTOS!$B$4:$B$803,"SALIDA"),0)</f>
        <v>0</v>
      </c>
      <c r="I1501" s="102">
        <f t="array" ref="I1501">IFERROR(INDEX(PRECIOS_COMPLEMENTOS!$C$4:$F$17,MATCH(B1501&amp;"_"&amp;C1501,PRECIOS_COMPLEMENTOS!$H$4:$H$17,0),IF(OR(G1501="S",G1501="20cm"),1,IF(OR(G1501="M",G1501="25cm"),2,IF(OR(G1501="L",G1501="30cm"),3,IF(OR(G1501="XL",G1501="35cm"),4,0))))),0)</f>
        <v>0.3</v>
      </c>
      <c r="J1501" s="103">
        <f t="shared" si="1"/>
        <v>0</v>
      </c>
      <c r="K1501" s="104" t="str">
        <f>IF(H1501&lt;0,"ERROR",IF(H1501=0,"",IF(H1501&lt;CONFIG!$B$4,"CRÍTICO",IF(H1501&lt;CONFIG!$B$5,"BAJO","OK"))))</f>
        <v/>
      </c>
    </row>
    <row r="1502" ht="15.75" hidden="1" customHeight="1">
      <c r="A1502" s="90" t="str">
        <f>IF(CLIENTES!A4="","",CLIENTES!A4)</f>
        <v>OverShark</v>
      </c>
      <c r="B1502" s="90" t="s">
        <v>324</v>
      </c>
      <c r="C1502" s="91" t="s">
        <v>328</v>
      </c>
      <c r="D1502" s="109" t="s">
        <v>353</v>
      </c>
      <c r="E1502" s="67" t="str">
        <f>COLORES!A18</f>
        <v>P. Rosa</v>
      </c>
      <c r="F1502" s="67" t="str">
        <f>COLORES!B18</f>
        <v>CLARO</v>
      </c>
      <c r="G1502" s="90" t="s">
        <v>377</v>
      </c>
      <c r="H1502" s="100">
        <f>IFERROR(SUMIFS(MOVIMIENTOS_COMPLEMENTOS!$I$4:$I$803,MOVIMIENTOS_COMPLEMENTOS!$C$4:$C$803,A1502,MOVIMIENTOS_COMPLEMENTOS!$D$4:$D$803,B1502,MOVIMIENTOS_COMPLEMENTOS!$E$4:$E$803,C1502,MOVIMIENTOS_COMPLEMENTOS!$G$4:$G$803,E1502,MOVIMIENTOS_COMPLEMENTOS!$H$4:$H$803,G1502,MOVIMIENTOS_COMPLEMENTOS!$B$4:$B$803,"INGRESO")+SUMIFS(MOVIMIENTOS_COMPLEMENTOS!$I$4:$I$803,MOVIMIENTOS_COMPLEMENTOS!$C$4:$C$803,A1502,MOVIMIENTOS_COMPLEMENTOS!$D$4:$D$803,B1502,MOVIMIENTOS_COMPLEMENTOS!$E$4:$E$803,C1502,MOVIMIENTOS_COMPLEMENTOS!$G$4:$G$803,E1502,MOVIMIENTOS_COMPLEMENTOS!$H$4:$H$803,G1502,MOVIMIENTOS_COMPLEMENTOS!$B$4:$B$803,"DE CORTE")-SUMIFS(MOVIMIENTOS_COMPLEMENTOS!$I$4:$I$803,MOVIMIENTOS_COMPLEMENTOS!$C$4:$C$803,A1502,MOVIMIENTOS_COMPLEMENTOS!$D$4:$D$803,B1502,MOVIMIENTOS_COMPLEMENTOS!$E$4:$E$803,C1502,MOVIMIENTOS_COMPLEMENTOS!$G$4:$G$803,E1502,MOVIMIENTOS_COMPLEMENTOS!$H$4:$H$803,G1502,MOVIMIENTOS_COMPLEMENTOS!$B$4:$B$803,"SALIDA"),0)</f>
        <v>0</v>
      </c>
      <c r="I1502" s="102">
        <f t="array" ref="I1502">IFERROR(INDEX(PRECIOS_COMPLEMENTOS!$C$4:$F$17,MATCH(B1502&amp;"_"&amp;C1502,PRECIOS_COMPLEMENTOS!$H$4:$H$17,0),IF(OR(G1502="S",G1502="20cm"),1,IF(OR(G1502="M",G1502="25cm"),2,IF(OR(G1502="L",G1502="30cm"),3,IF(OR(G1502="XL",G1502="35cm"),4,0))))),0)</f>
        <v>0.3</v>
      </c>
      <c r="J1502" s="103">
        <f t="shared" si="1"/>
        <v>0</v>
      </c>
      <c r="K1502" s="104" t="str">
        <f>IF(H1502&lt;0,"ERROR",IF(H1502=0,"",IF(H1502&lt;CONFIG!$B$4,"CRÍTICO",IF(H1502&lt;CONFIG!$B$5,"BAJO","OK"))))</f>
        <v/>
      </c>
    </row>
    <row r="1503" ht="15.75" hidden="1" customHeight="1">
      <c r="A1503" s="90" t="str">
        <f>IF(CLIENTES!A4="","",CLIENTES!A4)</f>
        <v>OverShark</v>
      </c>
      <c r="B1503" s="90" t="s">
        <v>324</v>
      </c>
      <c r="C1503" s="91" t="s">
        <v>328</v>
      </c>
      <c r="D1503" s="109" t="s">
        <v>353</v>
      </c>
      <c r="E1503" s="67" t="str">
        <f>COLORES!A18</f>
        <v>P. Rosa</v>
      </c>
      <c r="F1503" s="67" t="str">
        <f>COLORES!B18</f>
        <v>CLARO</v>
      </c>
      <c r="G1503" s="90" t="s">
        <v>379</v>
      </c>
      <c r="H1503" s="100">
        <f>IFERROR(SUMIFS(MOVIMIENTOS_COMPLEMENTOS!$I$4:$I$803,MOVIMIENTOS_COMPLEMENTOS!$C$4:$C$803,A1503,MOVIMIENTOS_COMPLEMENTOS!$D$4:$D$803,B1503,MOVIMIENTOS_COMPLEMENTOS!$E$4:$E$803,C1503,MOVIMIENTOS_COMPLEMENTOS!$G$4:$G$803,E1503,MOVIMIENTOS_COMPLEMENTOS!$H$4:$H$803,G1503,MOVIMIENTOS_COMPLEMENTOS!$B$4:$B$803,"INGRESO")+SUMIFS(MOVIMIENTOS_COMPLEMENTOS!$I$4:$I$803,MOVIMIENTOS_COMPLEMENTOS!$C$4:$C$803,A1503,MOVIMIENTOS_COMPLEMENTOS!$D$4:$D$803,B1503,MOVIMIENTOS_COMPLEMENTOS!$E$4:$E$803,C1503,MOVIMIENTOS_COMPLEMENTOS!$G$4:$G$803,E1503,MOVIMIENTOS_COMPLEMENTOS!$H$4:$H$803,G1503,MOVIMIENTOS_COMPLEMENTOS!$B$4:$B$803,"DE CORTE")-SUMIFS(MOVIMIENTOS_COMPLEMENTOS!$I$4:$I$803,MOVIMIENTOS_COMPLEMENTOS!$C$4:$C$803,A1503,MOVIMIENTOS_COMPLEMENTOS!$D$4:$D$803,B1503,MOVIMIENTOS_COMPLEMENTOS!$E$4:$E$803,C1503,MOVIMIENTOS_COMPLEMENTOS!$G$4:$G$803,E1503,MOVIMIENTOS_COMPLEMENTOS!$H$4:$H$803,G1503,MOVIMIENTOS_COMPLEMENTOS!$B$4:$B$803,"SALIDA"),0)</f>
        <v>0</v>
      </c>
      <c r="I1503" s="102">
        <f t="array" ref="I1503">IFERROR(INDEX(PRECIOS_COMPLEMENTOS!$C$4:$F$17,MATCH(B1503&amp;"_"&amp;C1503,PRECIOS_COMPLEMENTOS!$H$4:$H$17,0),IF(OR(G1503="S",G1503="20cm"),1,IF(OR(G1503="M",G1503="25cm"),2,IF(OR(G1503="L",G1503="30cm"),3,IF(OR(G1503="XL",G1503="35cm"),4,0))))),0)</f>
        <v>0.3</v>
      </c>
      <c r="J1503" s="103">
        <f t="shared" si="1"/>
        <v>0</v>
      </c>
      <c r="K1503" s="104" t="str">
        <f>IF(H1503&lt;0,"ERROR",IF(H1503=0,"",IF(H1503&lt;CONFIG!$B$4,"CRÍTICO",IF(H1503&lt;CONFIG!$B$5,"BAJO","OK"))))</f>
        <v/>
      </c>
    </row>
    <row r="1504" ht="15.75" hidden="1" customHeight="1">
      <c r="A1504" s="90" t="str">
        <f>IF(CLIENTES!A4="","",CLIENTES!A4)</f>
        <v>OverShark</v>
      </c>
      <c r="B1504" s="90" t="s">
        <v>324</v>
      </c>
      <c r="C1504" s="91" t="s">
        <v>328</v>
      </c>
      <c r="D1504" s="109" t="s">
        <v>353</v>
      </c>
      <c r="E1504" s="67" t="str">
        <f>COLORES!A19</f>
        <v/>
      </c>
      <c r="F1504" s="67" t="str">
        <f>COLORES!B19</f>
        <v/>
      </c>
      <c r="G1504" s="90" t="s">
        <v>378</v>
      </c>
      <c r="H1504" s="100">
        <f>IFERROR(SUMIFS(MOVIMIENTOS_COMPLEMENTOS!$I$4:$I$803,MOVIMIENTOS_COMPLEMENTOS!$C$4:$C$803,A1504,MOVIMIENTOS_COMPLEMENTOS!$D$4:$D$803,B1504,MOVIMIENTOS_COMPLEMENTOS!$E$4:$E$803,C1504,MOVIMIENTOS_COMPLEMENTOS!$G$4:$G$803,E1504,MOVIMIENTOS_COMPLEMENTOS!$H$4:$H$803,G1504,MOVIMIENTOS_COMPLEMENTOS!$B$4:$B$803,"INGRESO")+SUMIFS(MOVIMIENTOS_COMPLEMENTOS!$I$4:$I$803,MOVIMIENTOS_COMPLEMENTOS!$C$4:$C$803,A1504,MOVIMIENTOS_COMPLEMENTOS!$D$4:$D$803,B1504,MOVIMIENTOS_COMPLEMENTOS!$E$4:$E$803,C1504,MOVIMIENTOS_COMPLEMENTOS!$G$4:$G$803,E1504,MOVIMIENTOS_COMPLEMENTOS!$H$4:$H$803,G1504,MOVIMIENTOS_COMPLEMENTOS!$B$4:$B$803,"DE CORTE")-SUMIFS(MOVIMIENTOS_COMPLEMENTOS!$I$4:$I$803,MOVIMIENTOS_COMPLEMENTOS!$C$4:$C$803,A1504,MOVIMIENTOS_COMPLEMENTOS!$D$4:$D$803,B1504,MOVIMIENTOS_COMPLEMENTOS!$E$4:$E$803,C1504,MOVIMIENTOS_COMPLEMENTOS!$G$4:$G$803,E1504,MOVIMIENTOS_COMPLEMENTOS!$H$4:$H$803,G1504,MOVIMIENTOS_COMPLEMENTOS!$B$4:$B$803,"SALIDA"),0)</f>
        <v>0</v>
      </c>
      <c r="I1504" s="102">
        <f t="array" ref="I1504">IFERROR(INDEX(PRECIOS_COMPLEMENTOS!$C$4:$F$17,MATCH(B1504&amp;"_"&amp;C1504,PRECIOS_COMPLEMENTOS!$H$4:$H$17,0),IF(OR(G1504="S",G1504="20cm"),1,IF(OR(G1504="M",G1504="25cm"),2,IF(OR(G1504="L",G1504="30cm"),3,IF(OR(G1504="XL",G1504="35cm"),4,0))))),0)</f>
        <v>0.3</v>
      </c>
      <c r="J1504" s="103">
        <f t="shared" si="1"/>
        <v>0</v>
      </c>
      <c r="K1504" s="104" t="str">
        <f>IF(H1504&lt;0,"ERROR",IF(H1504=0,"",IF(H1504&lt;CONFIG!$B$4,"CRÍTICO",IF(H1504&lt;CONFIG!$B$5,"BAJO","OK"))))</f>
        <v/>
      </c>
    </row>
    <row r="1505" ht="15.75" hidden="1" customHeight="1">
      <c r="A1505" s="90" t="str">
        <f>IF(CLIENTES!A4="","",CLIENTES!A4)</f>
        <v>OverShark</v>
      </c>
      <c r="B1505" s="90" t="s">
        <v>324</v>
      </c>
      <c r="C1505" s="91" t="s">
        <v>328</v>
      </c>
      <c r="D1505" s="109" t="s">
        <v>353</v>
      </c>
      <c r="E1505" s="67" t="str">
        <f>COLORES!A19</f>
        <v/>
      </c>
      <c r="F1505" s="67" t="str">
        <f>COLORES!B19</f>
        <v/>
      </c>
      <c r="G1505" s="90" t="s">
        <v>376</v>
      </c>
      <c r="H1505" s="100">
        <f>IFERROR(SUMIFS(MOVIMIENTOS_COMPLEMENTOS!$I$4:$I$803,MOVIMIENTOS_COMPLEMENTOS!$C$4:$C$803,A1505,MOVIMIENTOS_COMPLEMENTOS!$D$4:$D$803,B1505,MOVIMIENTOS_COMPLEMENTOS!$E$4:$E$803,C1505,MOVIMIENTOS_COMPLEMENTOS!$G$4:$G$803,E1505,MOVIMIENTOS_COMPLEMENTOS!$H$4:$H$803,G1505,MOVIMIENTOS_COMPLEMENTOS!$B$4:$B$803,"INGRESO")+SUMIFS(MOVIMIENTOS_COMPLEMENTOS!$I$4:$I$803,MOVIMIENTOS_COMPLEMENTOS!$C$4:$C$803,A1505,MOVIMIENTOS_COMPLEMENTOS!$D$4:$D$803,B1505,MOVIMIENTOS_COMPLEMENTOS!$E$4:$E$803,C1505,MOVIMIENTOS_COMPLEMENTOS!$G$4:$G$803,E1505,MOVIMIENTOS_COMPLEMENTOS!$H$4:$H$803,G1505,MOVIMIENTOS_COMPLEMENTOS!$B$4:$B$803,"DE CORTE")-SUMIFS(MOVIMIENTOS_COMPLEMENTOS!$I$4:$I$803,MOVIMIENTOS_COMPLEMENTOS!$C$4:$C$803,A1505,MOVIMIENTOS_COMPLEMENTOS!$D$4:$D$803,B1505,MOVIMIENTOS_COMPLEMENTOS!$E$4:$E$803,C1505,MOVIMIENTOS_COMPLEMENTOS!$G$4:$G$803,E1505,MOVIMIENTOS_COMPLEMENTOS!$H$4:$H$803,G1505,MOVIMIENTOS_COMPLEMENTOS!$B$4:$B$803,"SALIDA"),0)</f>
        <v>0</v>
      </c>
      <c r="I1505" s="102">
        <f t="array" ref="I1505">IFERROR(INDEX(PRECIOS_COMPLEMENTOS!$C$4:$F$17,MATCH(B1505&amp;"_"&amp;C1505,PRECIOS_COMPLEMENTOS!$H$4:$H$17,0),IF(OR(G1505="S",G1505="20cm"),1,IF(OR(G1505="M",G1505="25cm"),2,IF(OR(G1505="L",G1505="30cm"),3,IF(OR(G1505="XL",G1505="35cm"),4,0))))),0)</f>
        <v>0.3</v>
      </c>
      <c r="J1505" s="103">
        <f t="shared" si="1"/>
        <v>0</v>
      </c>
      <c r="K1505" s="104" t="str">
        <f>IF(H1505&lt;0,"ERROR",IF(H1505=0,"",IF(H1505&lt;CONFIG!$B$4,"CRÍTICO",IF(H1505&lt;CONFIG!$B$5,"BAJO","OK"))))</f>
        <v/>
      </c>
    </row>
    <row r="1506" ht="15.75" hidden="1" customHeight="1">
      <c r="A1506" s="90" t="str">
        <f>IF(CLIENTES!A4="","",CLIENTES!A4)</f>
        <v>OverShark</v>
      </c>
      <c r="B1506" s="90" t="s">
        <v>324</v>
      </c>
      <c r="C1506" s="91" t="s">
        <v>328</v>
      </c>
      <c r="D1506" s="109" t="s">
        <v>353</v>
      </c>
      <c r="E1506" s="67" t="str">
        <f>COLORES!A19</f>
        <v/>
      </c>
      <c r="F1506" s="67" t="str">
        <f>COLORES!B19</f>
        <v/>
      </c>
      <c r="G1506" s="90" t="s">
        <v>377</v>
      </c>
      <c r="H1506" s="100">
        <f>IFERROR(SUMIFS(MOVIMIENTOS_COMPLEMENTOS!$I$4:$I$803,MOVIMIENTOS_COMPLEMENTOS!$C$4:$C$803,A1506,MOVIMIENTOS_COMPLEMENTOS!$D$4:$D$803,B1506,MOVIMIENTOS_COMPLEMENTOS!$E$4:$E$803,C1506,MOVIMIENTOS_COMPLEMENTOS!$G$4:$G$803,E1506,MOVIMIENTOS_COMPLEMENTOS!$H$4:$H$803,G1506,MOVIMIENTOS_COMPLEMENTOS!$B$4:$B$803,"INGRESO")+SUMIFS(MOVIMIENTOS_COMPLEMENTOS!$I$4:$I$803,MOVIMIENTOS_COMPLEMENTOS!$C$4:$C$803,A1506,MOVIMIENTOS_COMPLEMENTOS!$D$4:$D$803,B1506,MOVIMIENTOS_COMPLEMENTOS!$E$4:$E$803,C1506,MOVIMIENTOS_COMPLEMENTOS!$G$4:$G$803,E1506,MOVIMIENTOS_COMPLEMENTOS!$H$4:$H$803,G1506,MOVIMIENTOS_COMPLEMENTOS!$B$4:$B$803,"DE CORTE")-SUMIFS(MOVIMIENTOS_COMPLEMENTOS!$I$4:$I$803,MOVIMIENTOS_COMPLEMENTOS!$C$4:$C$803,A1506,MOVIMIENTOS_COMPLEMENTOS!$D$4:$D$803,B1506,MOVIMIENTOS_COMPLEMENTOS!$E$4:$E$803,C1506,MOVIMIENTOS_COMPLEMENTOS!$G$4:$G$803,E1506,MOVIMIENTOS_COMPLEMENTOS!$H$4:$H$803,G1506,MOVIMIENTOS_COMPLEMENTOS!$B$4:$B$803,"SALIDA"),0)</f>
        <v>0</v>
      </c>
      <c r="I1506" s="102">
        <f t="array" ref="I1506">IFERROR(INDEX(PRECIOS_COMPLEMENTOS!$C$4:$F$17,MATCH(B1506&amp;"_"&amp;C1506,PRECIOS_COMPLEMENTOS!$H$4:$H$17,0),IF(OR(G1506="S",G1506="20cm"),1,IF(OR(G1506="M",G1506="25cm"),2,IF(OR(G1506="L",G1506="30cm"),3,IF(OR(G1506="XL",G1506="35cm"),4,0))))),0)</f>
        <v>0.3</v>
      </c>
      <c r="J1506" s="103">
        <f t="shared" si="1"/>
        <v>0</v>
      </c>
      <c r="K1506" s="104" t="str">
        <f>IF(H1506&lt;0,"ERROR",IF(H1506=0,"",IF(H1506&lt;CONFIG!$B$4,"CRÍTICO",IF(H1506&lt;CONFIG!$B$5,"BAJO","OK"))))</f>
        <v/>
      </c>
    </row>
    <row r="1507" ht="15.75" hidden="1" customHeight="1">
      <c r="A1507" s="90" t="str">
        <f>IF(CLIENTES!A4="","",CLIENTES!A4)</f>
        <v>OverShark</v>
      </c>
      <c r="B1507" s="90" t="s">
        <v>324</v>
      </c>
      <c r="C1507" s="91" t="s">
        <v>328</v>
      </c>
      <c r="D1507" s="109" t="s">
        <v>353</v>
      </c>
      <c r="E1507" s="67" t="str">
        <f>COLORES!A19</f>
        <v/>
      </c>
      <c r="F1507" s="67" t="str">
        <f>COLORES!B19</f>
        <v/>
      </c>
      <c r="G1507" s="90" t="s">
        <v>379</v>
      </c>
      <c r="H1507" s="100">
        <f>IFERROR(SUMIFS(MOVIMIENTOS_COMPLEMENTOS!$I$4:$I$803,MOVIMIENTOS_COMPLEMENTOS!$C$4:$C$803,A1507,MOVIMIENTOS_COMPLEMENTOS!$D$4:$D$803,B1507,MOVIMIENTOS_COMPLEMENTOS!$E$4:$E$803,C1507,MOVIMIENTOS_COMPLEMENTOS!$G$4:$G$803,E1507,MOVIMIENTOS_COMPLEMENTOS!$H$4:$H$803,G1507,MOVIMIENTOS_COMPLEMENTOS!$B$4:$B$803,"INGRESO")+SUMIFS(MOVIMIENTOS_COMPLEMENTOS!$I$4:$I$803,MOVIMIENTOS_COMPLEMENTOS!$C$4:$C$803,A1507,MOVIMIENTOS_COMPLEMENTOS!$D$4:$D$803,B1507,MOVIMIENTOS_COMPLEMENTOS!$E$4:$E$803,C1507,MOVIMIENTOS_COMPLEMENTOS!$G$4:$G$803,E1507,MOVIMIENTOS_COMPLEMENTOS!$H$4:$H$803,G1507,MOVIMIENTOS_COMPLEMENTOS!$B$4:$B$803,"DE CORTE")-SUMIFS(MOVIMIENTOS_COMPLEMENTOS!$I$4:$I$803,MOVIMIENTOS_COMPLEMENTOS!$C$4:$C$803,A1507,MOVIMIENTOS_COMPLEMENTOS!$D$4:$D$803,B1507,MOVIMIENTOS_COMPLEMENTOS!$E$4:$E$803,C1507,MOVIMIENTOS_COMPLEMENTOS!$G$4:$G$803,E1507,MOVIMIENTOS_COMPLEMENTOS!$H$4:$H$803,G1507,MOVIMIENTOS_COMPLEMENTOS!$B$4:$B$803,"SALIDA"),0)</f>
        <v>0</v>
      </c>
      <c r="I1507" s="102">
        <f t="array" ref="I1507">IFERROR(INDEX(PRECIOS_COMPLEMENTOS!$C$4:$F$17,MATCH(B1507&amp;"_"&amp;C1507,PRECIOS_COMPLEMENTOS!$H$4:$H$17,0),IF(OR(G1507="S",G1507="20cm"),1,IF(OR(G1507="M",G1507="25cm"),2,IF(OR(G1507="L",G1507="30cm"),3,IF(OR(G1507="XL",G1507="35cm"),4,0))))),0)</f>
        <v>0.3</v>
      </c>
      <c r="J1507" s="103">
        <f t="shared" si="1"/>
        <v>0</v>
      </c>
      <c r="K1507" s="104" t="str">
        <f>IF(H1507&lt;0,"ERROR",IF(H1507=0,"",IF(H1507&lt;CONFIG!$B$4,"CRÍTICO",IF(H1507&lt;CONFIG!$B$5,"BAJO","OK"))))</f>
        <v/>
      </c>
    </row>
    <row r="1508" ht="15.75" hidden="1" customHeight="1">
      <c r="A1508" s="90" t="str">
        <f>IF(CLIENTES!A4="","",CLIENTES!A4)</f>
        <v>OverShark</v>
      </c>
      <c r="B1508" s="90" t="s">
        <v>324</v>
      </c>
      <c r="C1508" s="91" t="s">
        <v>328</v>
      </c>
      <c r="D1508" s="109" t="s">
        <v>353</v>
      </c>
      <c r="E1508" s="67" t="str">
        <f>COLORES!A20</f>
        <v/>
      </c>
      <c r="F1508" s="67" t="str">
        <f>COLORES!B20</f>
        <v/>
      </c>
      <c r="G1508" s="90" t="s">
        <v>378</v>
      </c>
      <c r="H1508" s="100">
        <f>IFERROR(SUMIFS(MOVIMIENTOS_COMPLEMENTOS!$I$4:$I$803,MOVIMIENTOS_COMPLEMENTOS!$C$4:$C$803,A1508,MOVIMIENTOS_COMPLEMENTOS!$D$4:$D$803,B1508,MOVIMIENTOS_COMPLEMENTOS!$E$4:$E$803,C1508,MOVIMIENTOS_COMPLEMENTOS!$G$4:$G$803,E1508,MOVIMIENTOS_COMPLEMENTOS!$H$4:$H$803,G1508,MOVIMIENTOS_COMPLEMENTOS!$B$4:$B$803,"INGRESO")+SUMIFS(MOVIMIENTOS_COMPLEMENTOS!$I$4:$I$803,MOVIMIENTOS_COMPLEMENTOS!$C$4:$C$803,A1508,MOVIMIENTOS_COMPLEMENTOS!$D$4:$D$803,B1508,MOVIMIENTOS_COMPLEMENTOS!$E$4:$E$803,C1508,MOVIMIENTOS_COMPLEMENTOS!$G$4:$G$803,E1508,MOVIMIENTOS_COMPLEMENTOS!$H$4:$H$803,G1508,MOVIMIENTOS_COMPLEMENTOS!$B$4:$B$803,"DE CORTE")-SUMIFS(MOVIMIENTOS_COMPLEMENTOS!$I$4:$I$803,MOVIMIENTOS_COMPLEMENTOS!$C$4:$C$803,A1508,MOVIMIENTOS_COMPLEMENTOS!$D$4:$D$803,B1508,MOVIMIENTOS_COMPLEMENTOS!$E$4:$E$803,C1508,MOVIMIENTOS_COMPLEMENTOS!$G$4:$G$803,E1508,MOVIMIENTOS_COMPLEMENTOS!$H$4:$H$803,G1508,MOVIMIENTOS_COMPLEMENTOS!$B$4:$B$803,"SALIDA"),0)</f>
        <v>0</v>
      </c>
      <c r="I1508" s="102">
        <f t="array" ref="I1508">IFERROR(INDEX(PRECIOS_COMPLEMENTOS!$C$4:$F$17,MATCH(B1508&amp;"_"&amp;C1508,PRECIOS_COMPLEMENTOS!$H$4:$H$17,0),IF(OR(G1508="S",G1508="20cm"),1,IF(OR(G1508="M",G1508="25cm"),2,IF(OR(G1508="L",G1508="30cm"),3,IF(OR(G1508="XL",G1508="35cm"),4,0))))),0)</f>
        <v>0.3</v>
      </c>
      <c r="J1508" s="103">
        <f t="shared" si="1"/>
        <v>0</v>
      </c>
      <c r="K1508" s="104" t="str">
        <f>IF(H1508&lt;0,"ERROR",IF(H1508=0,"",IF(H1508&lt;CONFIG!$B$4,"CRÍTICO",IF(H1508&lt;CONFIG!$B$5,"BAJO","OK"))))</f>
        <v/>
      </c>
    </row>
    <row r="1509" ht="15.75" hidden="1" customHeight="1">
      <c r="A1509" s="90" t="str">
        <f>IF(CLIENTES!A4="","",CLIENTES!A4)</f>
        <v>OverShark</v>
      </c>
      <c r="B1509" s="90" t="s">
        <v>324</v>
      </c>
      <c r="C1509" s="91" t="s">
        <v>328</v>
      </c>
      <c r="D1509" s="109" t="s">
        <v>353</v>
      </c>
      <c r="E1509" s="67" t="str">
        <f>COLORES!A20</f>
        <v/>
      </c>
      <c r="F1509" s="67" t="str">
        <f>COLORES!B20</f>
        <v/>
      </c>
      <c r="G1509" s="90" t="s">
        <v>376</v>
      </c>
      <c r="H1509" s="100">
        <f>IFERROR(SUMIFS(MOVIMIENTOS_COMPLEMENTOS!$I$4:$I$803,MOVIMIENTOS_COMPLEMENTOS!$C$4:$C$803,A1509,MOVIMIENTOS_COMPLEMENTOS!$D$4:$D$803,B1509,MOVIMIENTOS_COMPLEMENTOS!$E$4:$E$803,C1509,MOVIMIENTOS_COMPLEMENTOS!$G$4:$G$803,E1509,MOVIMIENTOS_COMPLEMENTOS!$H$4:$H$803,G1509,MOVIMIENTOS_COMPLEMENTOS!$B$4:$B$803,"INGRESO")+SUMIFS(MOVIMIENTOS_COMPLEMENTOS!$I$4:$I$803,MOVIMIENTOS_COMPLEMENTOS!$C$4:$C$803,A1509,MOVIMIENTOS_COMPLEMENTOS!$D$4:$D$803,B1509,MOVIMIENTOS_COMPLEMENTOS!$E$4:$E$803,C1509,MOVIMIENTOS_COMPLEMENTOS!$G$4:$G$803,E1509,MOVIMIENTOS_COMPLEMENTOS!$H$4:$H$803,G1509,MOVIMIENTOS_COMPLEMENTOS!$B$4:$B$803,"DE CORTE")-SUMIFS(MOVIMIENTOS_COMPLEMENTOS!$I$4:$I$803,MOVIMIENTOS_COMPLEMENTOS!$C$4:$C$803,A1509,MOVIMIENTOS_COMPLEMENTOS!$D$4:$D$803,B1509,MOVIMIENTOS_COMPLEMENTOS!$E$4:$E$803,C1509,MOVIMIENTOS_COMPLEMENTOS!$G$4:$G$803,E1509,MOVIMIENTOS_COMPLEMENTOS!$H$4:$H$803,G1509,MOVIMIENTOS_COMPLEMENTOS!$B$4:$B$803,"SALIDA"),0)</f>
        <v>0</v>
      </c>
      <c r="I1509" s="102">
        <f t="array" ref="I1509">IFERROR(INDEX(PRECIOS_COMPLEMENTOS!$C$4:$F$17,MATCH(B1509&amp;"_"&amp;C1509,PRECIOS_COMPLEMENTOS!$H$4:$H$17,0),IF(OR(G1509="S",G1509="20cm"),1,IF(OR(G1509="M",G1509="25cm"),2,IF(OR(G1509="L",G1509="30cm"),3,IF(OR(G1509="XL",G1509="35cm"),4,0))))),0)</f>
        <v>0.3</v>
      </c>
      <c r="J1509" s="103">
        <f t="shared" si="1"/>
        <v>0</v>
      </c>
      <c r="K1509" s="104" t="str">
        <f>IF(H1509&lt;0,"ERROR",IF(H1509=0,"",IF(H1509&lt;CONFIG!$B$4,"CRÍTICO",IF(H1509&lt;CONFIG!$B$5,"BAJO","OK"))))</f>
        <v/>
      </c>
    </row>
    <row r="1510" ht="15.75" hidden="1" customHeight="1">
      <c r="A1510" s="90" t="str">
        <f>IF(CLIENTES!A4="","",CLIENTES!A4)</f>
        <v>OverShark</v>
      </c>
      <c r="B1510" s="90" t="s">
        <v>324</v>
      </c>
      <c r="C1510" s="91" t="s">
        <v>328</v>
      </c>
      <c r="D1510" s="109" t="s">
        <v>353</v>
      </c>
      <c r="E1510" s="67" t="str">
        <f>COLORES!A20</f>
        <v/>
      </c>
      <c r="F1510" s="67" t="str">
        <f>COLORES!B20</f>
        <v/>
      </c>
      <c r="G1510" s="90" t="s">
        <v>377</v>
      </c>
      <c r="H1510" s="100">
        <f>IFERROR(SUMIFS(MOVIMIENTOS_COMPLEMENTOS!$I$4:$I$803,MOVIMIENTOS_COMPLEMENTOS!$C$4:$C$803,A1510,MOVIMIENTOS_COMPLEMENTOS!$D$4:$D$803,B1510,MOVIMIENTOS_COMPLEMENTOS!$E$4:$E$803,C1510,MOVIMIENTOS_COMPLEMENTOS!$G$4:$G$803,E1510,MOVIMIENTOS_COMPLEMENTOS!$H$4:$H$803,G1510,MOVIMIENTOS_COMPLEMENTOS!$B$4:$B$803,"INGRESO")+SUMIFS(MOVIMIENTOS_COMPLEMENTOS!$I$4:$I$803,MOVIMIENTOS_COMPLEMENTOS!$C$4:$C$803,A1510,MOVIMIENTOS_COMPLEMENTOS!$D$4:$D$803,B1510,MOVIMIENTOS_COMPLEMENTOS!$E$4:$E$803,C1510,MOVIMIENTOS_COMPLEMENTOS!$G$4:$G$803,E1510,MOVIMIENTOS_COMPLEMENTOS!$H$4:$H$803,G1510,MOVIMIENTOS_COMPLEMENTOS!$B$4:$B$803,"DE CORTE")-SUMIFS(MOVIMIENTOS_COMPLEMENTOS!$I$4:$I$803,MOVIMIENTOS_COMPLEMENTOS!$C$4:$C$803,A1510,MOVIMIENTOS_COMPLEMENTOS!$D$4:$D$803,B1510,MOVIMIENTOS_COMPLEMENTOS!$E$4:$E$803,C1510,MOVIMIENTOS_COMPLEMENTOS!$G$4:$G$803,E1510,MOVIMIENTOS_COMPLEMENTOS!$H$4:$H$803,G1510,MOVIMIENTOS_COMPLEMENTOS!$B$4:$B$803,"SALIDA"),0)</f>
        <v>0</v>
      </c>
      <c r="I1510" s="102">
        <f t="array" ref="I1510">IFERROR(INDEX(PRECIOS_COMPLEMENTOS!$C$4:$F$17,MATCH(B1510&amp;"_"&amp;C1510,PRECIOS_COMPLEMENTOS!$H$4:$H$17,0),IF(OR(G1510="S",G1510="20cm"),1,IF(OR(G1510="M",G1510="25cm"),2,IF(OR(G1510="L",G1510="30cm"),3,IF(OR(G1510="XL",G1510="35cm"),4,0))))),0)</f>
        <v>0.3</v>
      </c>
      <c r="J1510" s="103">
        <f t="shared" si="1"/>
        <v>0</v>
      </c>
      <c r="K1510" s="104" t="str">
        <f>IF(H1510&lt;0,"ERROR",IF(H1510=0,"",IF(H1510&lt;CONFIG!$B$4,"CRÍTICO",IF(H1510&lt;CONFIG!$B$5,"BAJO","OK"))))</f>
        <v/>
      </c>
    </row>
    <row r="1511" ht="15.75" hidden="1" customHeight="1">
      <c r="A1511" s="90" t="str">
        <f>IF(CLIENTES!A4="","",CLIENTES!A4)</f>
        <v>OverShark</v>
      </c>
      <c r="B1511" s="90" t="s">
        <v>324</v>
      </c>
      <c r="C1511" s="91" t="s">
        <v>328</v>
      </c>
      <c r="D1511" s="109" t="s">
        <v>353</v>
      </c>
      <c r="E1511" s="67" t="str">
        <f>COLORES!A20</f>
        <v/>
      </c>
      <c r="F1511" s="67" t="str">
        <f>COLORES!B20</f>
        <v/>
      </c>
      <c r="G1511" s="90" t="s">
        <v>379</v>
      </c>
      <c r="H1511" s="100">
        <f>IFERROR(SUMIFS(MOVIMIENTOS_COMPLEMENTOS!$I$4:$I$803,MOVIMIENTOS_COMPLEMENTOS!$C$4:$C$803,A1511,MOVIMIENTOS_COMPLEMENTOS!$D$4:$D$803,B1511,MOVIMIENTOS_COMPLEMENTOS!$E$4:$E$803,C1511,MOVIMIENTOS_COMPLEMENTOS!$G$4:$G$803,E1511,MOVIMIENTOS_COMPLEMENTOS!$H$4:$H$803,G1511,MOVIMIENTOS_COMPLEMENTOS!$B$4:$B$803,"INGRESO")+SUMIFS(MOVIMIENTOS_COMPLEMENTOS!$I$4:$I$803,MOVIMIENTOS_COMPLEMENTOS!$C$4:$C$803,A1511,MOVIMIENTOS_COMPLEMENTOS!$D$4:$D$803,B1511,MOVIMIENTOS_COMPLEMENTOS!$E$4:$E$803,C1511,MOVIMIENTOS_COMPLEMENTOS!$G$4:$G$803,E1511,MOVIMIENTOS_COMPLEMENTOS!$H$4:$H$803,G1511,MOVIMIENTOS_COMPLEMENTOS!$B$4:$B$803,"DE CORTE")-SUMIFS(MOVIMIENTOS_COMPLEMENTOS!$I$4:$I$803,MOVIMIENTOS_COMPLEMENTOS!$C$4:$C$803,A1511,MOVIMIENTOS_COMPLEMENTOS!$D$4:$D$803,B1511,MOVIMIENTOS_COMPLEMENTOS!$E$4:$E$803,C1511,MOVIMIENTOS_COMPLEMENTOS!$G$4:$G$803,E1511,MOVIMIENTOS_COMPLEMENTOS!$H$4:$H$803,G1511,MOVIMIENTOS_COMPLEMENTOS!$B$4:$B$803,"SALIDA"),0)</f>
        <v>0</v>
      </c>
      <c r="I1511" s="102">
        <f t="array" ref="I1511">IFERROR(INDEX(PRECIOS_COMPLEMENTOS!$C$4:$F$17,MATCH(B1511&amp;"_"&amp;C1511,PRECIOS_COMPLEMENTOS!$H$4:$H$17,0),IF(OR(G1511="S",G1511="20cm"),1,IF(OR(G1511="M",G1511="25cm"),2,IF(OR(G1511="L",G1511="30cm"),3,IF(OR(G1511="XL",G1511="35cm"),4,0))))),0)</f>
        <v>0.3</v>
      </c>
      <c r="J1511" s="103">
        <f t="shared" si="1"/>
        <v>0</v>
      </c>
      <c r="K1511" s="104" t="str">
        <f>IF(H1511&lt;0,"ERROR",IF(H1511=0,"",IF(H1511&lt;CONFIG!$B$4,"CRÍTICO",IF(H1511&lt;CONFIG!$B$5,"BAJO","OK"))))</f>
        <v/>
      </c>
    </row>
    <row r="1512" ht="15.75" hidden="1" customHeight="1">
      <c r="A1512" s="90" t="str">
        <f>IF(CLIENTES!A4="","",CLIENTES!A4)</f>
        <v>OverShark</v>
      </c>
      <c r="B1512" s="90" t="s">
        <v>324</v>
      </c>
      <c r="C1512" s="91" t="s">
        <v>328</v>
      </c>
      <c r="D1512" s="109" t="s">
        <v>353</v>
      </c>
      <c r="E1512" s="67" t="str">
        <f>COLORES!A21</f>
        <v/>
      </c>
      <c r="F1512" s="67" t="str">
        <f>COLORES!B21</f>
        <v/>
      </c>
      <c r="G1512" s="90" t="s">
        <v>378</v>
      </c>
      <c r="H1512" s="100">
        <f>IFERROR(SUMIFS(MOVIMIENTOS_COMPLEMENTOS!$I$4:$I$803,MOVIMIENTOS_COMPLEMENTOS!$C$4:$C$803,A1512,MOVIMIENTOS_COMPLEMENTOS!$D$4:$D$803,B1512,MOVIMIENTOS_COMPLEMENTOS!$E$4:$E$803,C1512,MOVIMIENTOS_COMPLEMENTOS!$G$4:$G$803,E1512,MOVIMIENTOS_COMPLEMENTOS!$H$4:$H$803,G1512,MOVIMIENTOS_COMPLEMENTOS!$B$4:$B$803,"INGRESO")+SUMIFS(MOVIMIENTOS_COMPLEMENTOS!$I$4:$I$803,MOVIMIENTOS_COMPLEMENTOS!$C$4:$C$803,A1512,MOVIMIENTOS_COMPLEMENTOS!$D$4:$D$803,B1512,MOVIMIENTOS_COMPLEMENTOS!$E$4:$E$803,C1512,MOVIMIENTOS_COMPLEMENTOS!$G$4:$G$803,E1512,MOVIMIENTOS_COMPLEMENTOS!$H$4:$H$803,G1512,MOVIMIENTOS_COMPLEMENTOS!$B$4:$B$803,"DE CORTE")-SUMIFS(MOVIMIENTOS_COMPLEMENTOS!$I$4:$I$803,MOVIMIENTOS_COMPLEMENTOS!$C$4:$C$803,A1512,MOVIMIENTOS_COMPLEMENTOS!$D$4:$D$803,B1512,MOVIMIENTOS_COMPLEMENTOS!$E$4:$E$803,C1512,MOVIMIENTOS_COMPLEMENTOS!$G$4:$G$803,E1512,MOVIMIENTOS_COMPLEMENTOS!$H$4:$H$803,G1512,MOVIMIENTOS_COMPLEMENTOS!$B$4:$B$803,"SALIDA"),0)</f>
        <v>0</v>
      </c>
      <c r="I1512" s="102">
        <f t="array" ref="I1512">IFERROR(INDEX(PRECIOS_COMPLEMENTOS!$C$4:$F$17,MATCH(B1512&amp;"_"&amp;C1512,PRECIOS_COMPLEMENTOS!$H$4:$H$17,0),IF(OR(G1512="S",G1512="20cm"),1,IF(OR(G1512="M",G1512="25cm"),2,IF(OR(G1512="L",G1512="30cm"),3,IF(OR(G1512="XL",G1512="35cm"),4,0))))),0)</f>
        <v>0.3</v>
      </c>
      <c r="J1512" s="103">
        <f t="shared" si="1"/>
        <v>0</v>
      </c>
      <c r="K1512" s="104" t="str">
        <f>IF(H1512&lt;0,"ERROR",IF(H1512=0,"",IF(H1512&lt;CONFIG!$B$4,"CRÍTICO",IF(H1512&lt;CONFIG!$B$5,"BAJO","OK"))))</f>
        <v/>
      </c>
    </row>
    <row r="1513" ht="15.75" hidden="1" customHeight="1">
      <c r="A1513" s="90" t="str">
        <f>IF(CLIENTES!A4="","",CLIENTES!A4)</f>
        <v>OverShark</v>
      </c>
      <c r="B1513" s="90" t="s">
        <v>324</v>
      </c>
      <c r="C1513" s="91" t="s">
        <v>328</v>
      </c>
      <c r="D1513" s="109" t="s">
        <v>353</v>
      </c>
      <c r="E1513" s="67" t="str">
        <f>COLORES!A21</f>
        <v/>
      </c>
      <c r="F1513" s="67" t="str">
        <f>COLORES!B21</f>
        <v/>
      </c>
      <c r="G1513" s="90" t="s">
        <v>376</v>
      </c>
      <c r="H1513" s="100">
        <f>IFERROR(SUMIFS(MOVIMIENTOS_COMPLEMENTOS!$I$4:$I$803,MOVIMIENTOS_COMPLEMENTOS!$C$4:$C$803,A1513,MOVIMIENTOS_COMPLEMENTOS!$D$4:$D$803,B1513,MOVIMIENTOS_COMPLEMENTOS!$E$4:$E$803,C1513,MOVIMIENTOS_COMPLEMENTOS!$G$4:$G$803,E1513,MOVIMIENTOS_COMPLEMENTOS!$H$4:$H$803,G1513,MOVIMIENTOS_COMPLEMENTOS!$B$4:$B$803,"INGRESO")+SUMIFS(MOVIMIENTOS_COMPLEMENTOS!$I$4:$I$803,MOVIMIENTOS_COMPLEMENTOS!$C$4:$C$803,A1513,MOVIMIENTOS_COMPLEMENTOS!$D$4:$D$803,B1513,MOVIMIENTOS_COMPLEMENTOS!$E$4:$E$803,C1513,MOVIMIENTOS_COMPLEMENTOS!$G$4:$G$803,E1513,MOVIMIENTOS_COMPLEMENTOS!$H$4:$H$803,G1513,MOVIMIENTOS_COMPLEMENTOS!$B$4:$B$803,"DE CORTE")-SUMIFS(MOVIMIENTOS_COMPLEMENTOS!$I$4:$I$803,MOVIMIENTOS_COMPLEMENTOS!$C$4:$C$803,A1513,MOVIMIENTOS_COMPLEMENTOS!$D$4:$D$803,B1513,MOVIMIENTOS_COMPLEMENTOS!$E$4:$E$803,C1513,MOVIMIENTOS_COMPLEMENTOS!$G$4:$G$803,E1513,MOVIMIENTOS_COMPLEMENTOS!$H$4:$H$803,G1513,MOVIMIENTOS_COMPLEMENTOS!$B$4:$B$803,"SALIDA"),0)</f>
        <v>0</v>
      </c>
      <c r="I1513" s="102">
        <f t="array" ref="I1513">IFERROR(INDEX(PRECIOS_COMPLEMENTOS!$C$4:$F$17,MATCH(B1513&amp;"_"&amp;C1513,PRECIOS_COMPLEMENTOS!$H$4:$H$17,0),IF(OR(G1513="S",G1513="20cm"),1,IF(OR(G1513="M",G1513="25cm"),2,IF(OR(G1513="L",G1513="30cm"),3,IF(OR(G1513="XL",G1513="35cm"),4,0))))),0)</f>
        <v>0.3</v>
      </c>
      <c r="J1513" s="103">
        <f t="shared" si="1"/>
        <v>0</v>
      </c>
      <c r="K1513" s="104" t="str">
        <f>IF(H1513&lt;0,"ERROR",IF(H1513=0,"",IF(H1513&lt;CONFIG!$B$4,"CRÍTICO",IF(H1513&lt;CONFIG!$B$5,"BAJO","OK"))))</f>
        <v/>
      </c>
    </row>
    <row r="1514" ht="15.75" hidden="1" customHeight="1">
      <c r="A1514" s="90" t="str">
        <f>IF(CLIENTES!A4="","",CLIENTES!A4)</f>
        <v>OverShark</v>
      </c>
      <c r="B1514" s="90" t="s">
        <v>324</v>
      </c>
      <c r="C1514" s="91" t="s">
        <v>328</v>
      </c>
      <c r="D1514" s="109" t="s">
        <v>353</v>
      </c>
      <c r="E1514" s="67" t="str">
        <f>COLORES!A21</f>
        <v/>
      </c>
      <c r="F1514" s="67" t="str">
        <f>COLORES!B21</f>
        <v/>
      </c>
      <c r="G1514" s="90" t="s">
        <v>377</v>
      </c>
      <c r="H1514" s="100">
        <f>IFERROR(SUMIFS(MOVIMIENTOS_COMPLEMENTOS!$I$4:$I$803,MOVIMIENTOS_COMPLEMENTOS!$C$4:$C$803,A1514,MOVIMIENTOS_COMPLEMENTOS!$D$4:$D$803,B1514,MOVIMIENTOS_COMPLEMENTOS!$E$4:$E$803,C1514,MOVIMIENTOS_COMPLEMENTOS!$G$4:$G$803,E1514,MOVIMIENTOS_COMPLEMENTOS!$H$4:$H$803,G1514,MOVIMIENTOS_COMPLEMENTOS!$B$4:$B$803,"INGRESO")+SUMIFS(MOVIMIENTOS_COMPLEMENTOS!$I$4:$I$803,MOVIMIENTOS_COMPLEMENTOS!$C$4:$C$803,A1514,MOVIMIENTOS_COMPLEMENTOS!$D$4:$D$803,B1514,MOVIMIENTOS_COMPLEMENTOS!$E$4:$E$803,C1514,MOVIMIENTOS_COMPLEMENTOS!$G$4:$G$803,E1514,MOVIMIENTOS_COMPLEMENTOS!$H$4:$H$803,G1514,MOVIMIENTOS_COMPLEMENTOS!$B$4:$B$803,"DE CORTE")-SUMIFS(MOVIMIENTOS_COMPLEMENTOS!$I$4:$I$803,MOVIMIENTOS_COMPLEMENTOS!$C$4:$C$803,A1514,MOVIMIENTOS_COMPLEMENTOS!$D$4:$D$803,B1514,MOVIMIENTOS_COMPLEMENTOS!$E$4:$E$803,C1514,MOVIMIENTOS_COMPLEMENTOS!$G$4:$G$803,E1514,MOVIMIENTOS_COMPLEMENTOS!$H$4:$H$803,G1514,MOVIMIENTOS_COMPLEMENTOS!$B$4:$B$803,"SALIDA"),0)</f>
        <v>0</v>
      </c>
      <c r="I1514" s="102">
        <f t="array" ref="I1514">IFERROR(INDEX(PRECIOS_COMPLEMENTOS!$C$4:$F$17,MATCH(B1514&amp;"_"&amp;C1514,PRECIOS_COMPLEMENTOS!$H$4:$H$17,0),IF(OR(G1514="S",G1514="20cm"),1,IF(OR(G1514="M",G1514="25cm"),2,IF(OR(G1514="L",G1514="30cm"),3,IF(OR(G1514="XL",G1514="35cm"),4,0))))),0)</f>
        <v>0.3</v>
      </c>
      <c r="J1514" s="103">
        <f t="shared" si="1"/>
        <v>0</v>
      </c>
      <c r="K1514" s="104" t="str">
        <f>IF(H1514&lt;0,"ERROR",IF(H1514=0,"",IF(H1514&lt;CONFIG!$B$4,"CRÍTICO",IF(H1514&lt;CONFIG!$B$5,"BAJO","OK"))))</f>
        <v/>
      </c>
    </row>
    <row r="1515" ht="15.75" hidden="1" customHeight="1">
      <c r="A1515" s="90" t="str">
        <f>IF(CLIENTES!A4="","",CLIENTES!A4)</f>
        <v>OverShark</v>
      </c>
      <c r="B1515" s="90" t="s">
        <v>324</v>
      </c>
      <c r="C1515" s="91" t="s">
        <v>328</v>
      </c>
      <c r="D1515" s="109" t="s">
        <v>353</v>
      </c>
      <c r="E1515" s="67" t="str">
        <f>COLORES!A21</f>
        <v/>
      </c>
      <c r="F1515" s="67" t="str">
        <f>COLORES!B21</f>
        <v/>
      </c>
      <c r="G1515" s="90" t="s">
        <v>379</v>
      </c>
      <c r="H1515" s="100">
        <f>IFERROR(SUMIFS(MOVIMIENTOS_COMPLEMENTOS!$I$4:$I$803,MOVIMIENTOS_COMPLEMENTOS!$C$4:$C$803,A1515,MOVIMIENTOS_COMPLEMENTOS!$D$4:$D$803,B1515,MOVIMIENTOS_COMPLEMENTOS!$E$4:$E$803,C1515,MOVIMIENTOS_COMPLEMENTOS!$G$4:$G$803,E1515,MOVIMIENTOS_COMPLEMENTOS!$H$4:$H$803,G1515,MOVIMIENTOS_COMPLEMENTOS!$B$4:$B$803,"INGRESO")+SUMIFS(MOVIMIENTOS_COMPLEMENTOS!$I$4:$I$803,MOVIMIENTOS_COMPLEMENTOS!$C$4:$C$803,A1515,MOVIMIENTOS_COMPLEMENTOS!$D$4:$D$803,B1515,MOVIMIENTOS_COMPLEMENTOS!$E$4:$E$803,C1515,MOVIMIENTOS_COMPLEMENTOS!$G$4:$G$803,E1515,MOVIMIENTOS_COMPLEMENTOS!$H$4:$H$803,G1515,MOVIMIENTOS_COMPLEMENTOS!$B$4:$B$803,"DE CORTE")-SUMIFS(MOVIMIENTOS_COMPLEMENTOS!$I$4:$I$803,MOVIMIENTOS_COMPLEMENTOS!$C$4:$C$803,A1515,MOVIMIENTOS_COMPLEMENTOS!$D$4:$D$803,B1515,MOVIMIENTOS_COMPLEMENTOS!$E$4:$E$803,C1515,MOVIMIENTOS_COMPLEMENTOS!$G$4:$G$803,E1515,MOVIMIENTOS_COMPLEMENTOS!$H$4:$H$803,G1515,MOVIMIENTOS_COMPLEMENTOS!$B$4:$B$803,"SALIDA"),0)</f>
        <v>0</v>
      </c>
      <c r="I1515" s="102">
        <f t="array" ref="I1515">IFERROR(INDEX(PRECIOS_COMPLEMENTOS!$C$4:$F$17,MATCH(B1515&amp;"_"&amp;C1515,PRECIOS_COMPLEMENTOS!$H$4:$H$17,0),IF(OR(G1515="S",G1515="20cm"),1,IF(OR(G1515="M",G1515="25cm"),2,IF(OR(G1515="L",G1515="30cm"),3,IF(OR(G1515="XL",G1515="35cm"),4,0))))),0)</f>
        <v>0.3</v>
      </c>
      <c r="J1515" s="103">
        <f t="shared" si="1"/>
        <v>0</v>
      </c>
      <c r="K1515" s="104" t="str">
        <f>IF(H1515&lt;0,"ERROR",IF(H1515=0,"",IF(H1515&lt;CONFIG!$B$4,"CRÍTICO",IF(H1515&lt;CONFIG!$B$5,"BAJO","OK"))))</f>
        <v/>
      </c>
    </row>
    <row r="1516" ht="15.75" hidden="1" customHeight="1">
      <c r="A1516" s="90" t="str">
        <f>IF(CLIENTES!A4="","",CLIENTES!A4)</f>
        <v>OverShark</v>
      </c>
      <c r="B1516" s="90" t="s">
        <v>324</v>
      </c>
      <c r="C1516" s="91" t="s">
        <v>328</v>
      </c>
      <c r="D1516" s="109" t="s">
        <v>353</v>
      </c>
      <c r="E1516" s="67" t="str">
        <f>COLORES!A22</f>
        <v/>
      </c>
      <c r="F1516" s="67" t="str">
        <f>COLORES!B22</f>
        <v/>
      </c>
      <c r="G1516" s="90" t="s">
        <v>378</v>
      </c>
      <c r="H1516" s="100">
        <f>IFERROR(SUMIFS(MOVIMIENTOS_COMPLEMENTOS!$I$4:$I$803,MOVIMIENTOS_COMPLEMENTOS!$C$4:$C$803,A1516,MOVIMIENTOS_COMPLEMENTOS!$D$4:$D$803,B1516,MOVIMIENTOS_COMPLEMENTOS!$E$4:$E$803,C1516,MOVIMIENTOS_COMPLEMENTOS!$G$4:$G$803,E1516,MOVIMIENTOS_COMPLEMENTOS!$H$4:$H$803,G1516,MOVIMIENTOS_COMPLEMENTOS!$B$4:$B$803,"INGRESO")+SUMIFS(MOVIMIENTOS_COMPLEMENTOS!$I$4:$I$803,MOVIMIENTOS_COMPLEMENTOS!$C$4:$C$803,A1516,MOVIMIENTOS_COMPLEMENTOS!$D$4:$D$803,B1516,MOVIMIENTOS_COMPLEMENTOS!$E$4:$E$803,C1516,MOVIMIENTOS_COMPLEMENTOS!$G$4:$G$803,E1516,MOVIMIENTOS_COMPLEMENTOS!$H$4:$H$803,G1516,MOVIMIENTOS_COMPLEMENTOS!$B$4:$B$803,"DE CORTE")-SUMIFS(MOVIMIENTOS_COMPLEMENTOS!$I$4:$I$803,MOVIMIENTOS_COMPLEMENTOS!$C$4:$C$803,A1516,MOVIMIENTOS_COMPLEMENTOS!$D$4:$D$803,B1516,MOVIMIENTOS_COMPLEMENTOS!$E$4:$E$803,C1516,MOVIMIENTOS_COMPLEMENTOS!$G$4:$G$803,E1516,MOVIMIENTOS_COMPLEMENTOS!$H$4:$H$803,G1516,MOVIMIENTOS_COMPLEMENTOS!$B$4:$B$803,"SALIDA"),0)</f>
        <v>0</v>
      </c>
      <c r="I1516" s="102">
        <f t="array" ref="I1516">IFERROR(INDEX(PRECIOS_COMPLEMENTOS!$C$4:$F$17,MATCH(B1516&amp;"_"&amp;C1516,PRECIOS_COMPLEMENTOS!$H$4:$H$17,0),IF(OR(G1516="S",G1516="20cm"),1,IF(OR(G1516="M",G1516="25cm"),2,IF(OR(G1516="L",G1516="30cm"),3,IF(OR(G1516="XL",G1516="35cm"),4,0))))),0)</f>
        <v>0.3</v>
      </c>
      <c r="J1516" s="103">
        <f t="shared" si="1"/>
        <v>0</v>
      </c>
      <c r="K1516" s="104" t="str">
        <f>IF(H1516&lt;0,"ERROR",IF(H1516=0,"",IF(H1516&lt;CONFIG!$B$4,"CRÍTICO",IF(H1516&lt;CONFIG!$B$5,"BAJO","OK"))))</f>
        <v/>
      </c>
    </row>
    <row r="1517" ht="15.75" hidden="1" customHeight="1">
      <c r="A1517" s="90" t="str">
        <f>IF(CLIENTES!A4="","",CLIENTES!A4)</f>
        <v>OverShark</v>
      </c>
      <c r="B1517" s="90" t="s">
        <v>324</v>
      </c>
      <c r="C1517" s="91" t="s">
        <v>328</v>
      </c>
      <c r="D1517" s="109" t="s">
        <v>353</v>
      </c>
      <c r="E1517" s="67" t="str">
        <f>COLORES!A22</f>
        <v/>
      </c>
      <c r="F1517" s="67" t="str">
        <f>COLORES!B22</f>
        <v/>
      </c>
      <c r="G1517" s="90" t="s">
        <v>376</v>
      </c>
      <c r="H1517" s="100">
        <f>IFERROR(SUMIFS(MOVIMIENTOS_COMPLEMENTOS!$I$4:$I$803,MOVIMIENTOS_COMPLEMENTOS!$C$4:$C$803,A1517,MOVIMIENTOS_COMPLEMENTOS!$D$4:$D$803,B1517,MOVIMIENTOS_COMPLEMENTOS!$E$4:$E$803,C1517,MOVIMIENTOS_COMPLEMENTOS!$G$4:$G$803,E1517,MOVIMIENTOS_COMPLEMENTOS!$H$4:$H$803,G1517,MOVIMIENTOS_COMPLEMENTOS!$B$4:$B$803,"INGRESO")+SUMIFS(MOVIMIENTOS_COMPLEMENTOS!$I$4:$I$803,MOVIMIENTOS_COMPLEMENTOS!$C$4:$C$803,A1517,MOVIMIENTOS_COMPLEMENTOS!$D$4:$D$803,B1517,MOVIMIENTOS_COMPLEMENTOS!$E$4:$E$803,C1517,MOVIMIENTOS_COMPLEMENTOS!$G$4:$G$803,E1517,MOVIMIENTOS_COMPLEMENTOS!$H$4:$H$803,G1517,MOVIMIENTOS_COMPLEMENTOS!$B$4:$B$803,"DE CORTE")-SUMIFS(MOVIMIENTOS_COMPLEMENTOS!$I$4:$I$803,MOVIMIENTOS_COMPLEMENTOS!$C$4:$C$803,A1517,MOVIMIENTOS_COMPLEMENTOS!$D$4:$D$803,B1517,MOVIMIENTOS_COMPLEMENTOS!$E$4:$E$803,C1517,MOVIMIENTOS_COMPLEMENTOS!$G$4:$G$803,E1517,MOVIMIENTOS_COMPLEMENTOS!$H$4:$H$803,G1517,MOVIMIENTOS_COMPLEMENTOS!$B$4:$B$803,"SALIDA"),0)</f>
        <v>0</v>
      </c>
      <c r="I1517" s="102">
        <f t="array" ref="I1517">IFERROR(INDEX(PRECIOS_COMPLEMENTOS!$C$4:$F$17,MATCH(B1517&amp;"_"&amp;C1517,PRECIOS_COMPLEMENTOS!$H$4:$H$17,0),IF(OR(G1517="S",G1517="20cm"),1,IF(OR(G1517="M",G1517="25cm"),2,IF(OR(G1517="L",G1517="30cm"),3,IF(OR(G1517="XL",G1517="35cm"),4,0))))),0)</f>
        <v>0.3</v>
      </c>
      <c r="J1517" s="103">
        <f t="shared" si="1"/>
        <v>0</v>
      </c>
      <c r="K1517" s="104" t="str">
        <f>IF(H1517&lt;0,"ERROR",IF(H1517=0,"",IF(H1517&lt;CONFIG!$B$4,"CRÍTICO",IF(H1517&lt;CONFIG!$B$5,"BAJO","OK"))))</f>
        <v/>
      </c>
    </row>
    <row r="1518" ht="15.75" hidden="1" customHeight="1">
      <c r="A1518" s="90" t="str">
        <f>IF(CLIENTES!A4="","",CLIENTES!A4)</f>
        <v>OverShark</v>
      </c>
      <c r="B1518" s="90" t="s">
        <v>324</v>
      </c>
      <c r="C1518" s="91" t="s">
        <v>328</v>
      </c>
      <c r="D1518" s="109" t="s">
        <v>353</v>
      </c>
      <c r="E1518" s="67" t="str">
        <f>COLORES!A22</f>
        <v/>
      </c>
      <c r="F1518" s="67" t="str">
        <f>COLORES!B22</f>
        <v/>
      </c>
      <c r="G1518" s="90" t="s">
        <v>377</v>
      </c>
      <c r="H1518" s="100">
        <f>IFERROR(SUMIFS(MOVIMIENTOS_COMPLEMENTOS!$I$4:$I$803,MOVIMIENTOS_COMPLEMENTOS!$C$4:$C$803,A1518,MOVIMIENTOS_COMPLEMENTOS!$D$4:$D$803,B1518,MOVIMIENTOS_COMPLEMENTOS!$E$4:$E$803,C1518,MOVIMIENTOS_COMPLEMENTOS!$G$4:$G$803,E1518,MOVIMIENTOS_COMPLEMENTOS!$H$4:$H$803,G1518,MOVIMIENTOS_COMPLEMENTOS!$B$4:$B$803,"INGRESO")+SUMIFS(MOVIMIENTOS_COMPLEMENTOS!$I$4:$I$803,MOVIMIENTOS_COMPLEMENTOS!$C$4:$C$803,A1518,MOVIMIENTOS_COMPLEMENTOS!$D$4:$D$803,B1518,MOVIMIENTOS_COMPLEMENTOS!$E$4:$E$803,C1518,MOVIMIENTOS_COMPLEMENTOS!$G$4:$G$803,E1518,MOVIMIENTOS_COMPLEMENTOS!$H$4:$H$803,G1518,MOVIMIENTOS_COMPLEMENTOS!$B$4:$B$803,"DE CORTE")-SUMIFS(MOVIMIENTOS_COMPLEMENTOS!$I$4:$I$803,MOVIMIENTOS_COMPLEMENTOS!$C$4:$C$803,A1518,MOVIMIENTOS_COMPLEMENTOS!$D$4:$D$803,B1518,MOVIMIENTOS_COMPLEMENTOS!$E$4:$E$803,C1518,MOVIMIENTOS_COMPLEMENTOS!$G$4:$G$803,E1518,MOVIMIENTOS_COMPLEMENTOS!$H$4:$H$803,G1518,MOVIMIENTOS_COMPLEMENTOS!$B$4:$B$803,"SALIDA"),0)</f>
        <v>0</v>
      </c>
      <c r="I1518" s="102">
        <f t="array" ref="I1518">IFERROR(INDEX(PRECIOS_COMPLEMENTOS!$C$4:$F$17,MATCH(B1518&amp;"_"&amp;C1518,PRECIOS_COMPLEMENTOS!$H$4:$H$17,0),IF(OR(G1518="S",G1518="20cm"),1,IF(OR(G1518="M",G1518="25cm"),2,IF(OR(G1518="L",G1518="30cm"),3,IF(OR(G1518="XL",G1518="35cm"),4,0))))),0)</f>
        <v>0.3</v>
      </c>
      <c r="J1518" s="103">
        <f t="shared" si="1"/>
        <v>0</v>
      </c>
      <c r="K1518" s="104" t="str">
        <f>IF(H1518&lt;0,"ERROR",IF(H1518=0,"",IF(H1518&lt;CONFIG!$B$4,"CRÍTICO",IF(H1518&lt;CONFIG!$B$5,"BAJO","OK"))))</f>
        <v/>
      </c>
    </row>
    <row r="1519" ht="15.75" hidden="1" customHeight="1">
      <c r="A1519" s="90" t="str">
        <f>IF(CLIENTES!A4="","",CLIENTES!A4)</f>
        <v>OverShark</v>
      </c>
      <c r="B1519" s="90" t="s">
        <v>324</v>
      </c>
      <c r="C1519" s="91" t="s">
        <v>328</v>
      </c>
      <c r="D1519" s="109" t="s">
        <v>353</v>
      </c>
      <c r="E1519" s="67" t="str">
        <f>COLORES!A22</f>
        <v/>
      </c>
      <c r="F1519" s="67" t="str">
        <f>COLORES!B22</f>
        <v/>
      </c>
      <c r="G1519" s="90" t="s">
        <v>379</v>
      </c>
      <c r="H1519" s="100">
        <f>IFERROR(SUMIFS(MOVIMIENTOS_COMPLEMENTOS!$I$4:$I$803,MOVIMIENTOS_COMPLEMENTOS!$C$4:$C$803,A1519,MOVIMIENTOS_COMPLEMENTOS!$D$4:$D$803,B1519,MOVIMIENTOS_COMPLEMENTOS!$E$4:$E$803,C1519,MOVIMIENTOS_COMPLEMENTOS!$G$4:$G$803,E1519,MOVIMIENTOS_COMPLEMENTOS!$H$4:$H$803,G1519,MOVIMIENTOS_COMPLEMENTOS!$B$4:$B$803,"INGRESO")+SUMIFS(MOVIMIENTOS_COMPLEMENTOS!$I$4:$I$803,MOVIMIENTOS_COMPLEMENTOS!$C$4:$C$803,A1519,MOVIMIENTOS_COMPLEMENTOS!$D$4:$D$803,B1519,MOVIMIENTOS_COMPLEMENTOS!$E$4:$E$803,C1519,MOVIMIENTOS_COMPLEMENTOS!$G$4:$G$803,E1519,MOVIMIENTOS_COMPLEMENTOS!$H$4:$H$803,G1519,MOVIMIENTOS_COMPLEMENTOS!$B$4:$B$803,"DE CORTE")-SUMIFS(MOVIMIENTOS_COMPLEMENTOS!$I$4:$I$803,MOVIMIENTOS_COMPLEMENTOS!$C$4:$C$803,A1519,MOVIMIENTOS_COMPLEMENTOS!$D$4:$D$803,B1519,MOVIMIENTOS_COMPLEMENTOS!$E$4:$E$803,C1519,MOVIMIENTOS_COMPLEMENTOS!$G$4:$G$803,E1519,MOVIMIENTOS_COMPLEMENTOS!$H$4:$H$803,G1519,MOVIMIENTOS_COMPLEMENTOS!$B$4:$B$803,"SALIDA"),0)</f>
        <v>0</v>
      </c>
      <c r="I1519" s="102">
        <f t="array" ref="I1519">IFERROR(INDEX(PRECIOS_COMPLEMENTOS!$C$4:$F$17,MATCH(B1519&amp;"_"&amp;C1519,PRECIOS_COMPLEMENTOS!$H$4:$H$17,0),IF(OR(G1519="S",G1519="20cm"),1,IF(OR(G1519="M",G1519="25cm"),2,IF(OR(G1519="L",G1519="30cm"),3,IF(OR(G1519="XL",G1519="35cm"),4,0))))),0)</f>
        <v>0.3</v>
      </c>
      <c r="J1519" s="103">
        <f t="shared" si="1"/>
        <v>0</v>
      </c>
      <c r="K1519" s="104" t="str">
        <f>IF(H1519&lt;0,"ERROR",IF(H1519=0,"",IF(H1519&lt;CONFIG!$B$4,"CRÍTICO",IF(H1519&lt;CONFIG!$B$5,"BAJO","OK"))))</f>
        <v/>
      </c>
    </row>
    <row r="1520" ht="15.75" hidden="1" customHeight="1">
      <c r="A1520" s="90" t="str">
        <f>IF(CLIENTES!A4="","",CLIENTES!A4)</f>
        <v>OverShark</v>
      </c>
      <c r="B1520" s="90" t="s">
        <v>324</v>
      </c>
      <c r="C1520" s="91" t="s">
        <v>328</v>
      </c>
      <c r="D1520" s="109" t="s">
        <v>353</v>
      </c>
      <c r="E1520" s="67" t="str">
        <f>COLORES!A23</f>
        <v/>
      </c>
      <c r="F1520" s="67" t="str">
        <f>COLORES!B23</f>
        <v/>
      </c>
      <c r="G1520" s="90" t="s">
        <v>378</v>
      </c>
      <c r="H1520" s="100">
        <f>IFERROR(SUMIFS(MOVIMIENTOS_COMPLEMENTOS!$I$4:$I$803,MOVIMIENTOS_COMPLEMENTOS!$C$4:$C$803,A1520,MOVIMIENTOS_COMPLEMENTOS!$D$4:$D$803,B1520,MOVIMIENTOS_COMPLEMENTOS!$E$4:$E$803,C1520,MOVIMIENTOS_COMPLEMENTOS!$G$4:$G$803,E1520,MOVIMIENTOS_COMPLEMENTOS!$H$4:$H$803,G1520,MOVIMIENTOS_COMPLEMENTOS!$B$4:$B$803,"INGRESO")+SUMIFS(MOVIMIENTOS_COMPLEMENTOS!$I$4:$I$803,MOVIMIENTOS_COMPLEMENTOS!$C$4:$C$803,A1520,MOVIMIENTOS_COMPLEMENTOS!$D$4:$D$803,B1520,MOVIMIENTOS_COMPLEMENTOS!$E$4:$E$803,C1520,MOVIMIENTOS_COMPLEMENTOS!$G$4:$G$803,E1520,MOVIMIENTOS_COMPLEMENTOS!$H$4:$H$803,G1520,MOVIMIENTOS_COMPLEMENTOS!$B$4:$B$803,"DE CORTE")-SUMIFS(MOVIMIENTOS_COMPLEMENTOS!$I$4:$I$803,MOVIMIENTOS_COMPLEMENTOS!$C$4:$C$803,A1520,MOVIMIENTOS_COMPLEMENTOS!$D$4:$D$803,B1520,MOVIMIENTOS_COMPLEMENTOS!$E$4:$E$803,C1520,MOVIMIENTOS_COMPLEMENTOS!$G$4:$G$803,E1520,MOVIMIENTOS_COMPLEMENTOS!$H$4:$H$803,G1520,MOVIMIENTOS_COMPLEMENTOS!$B$4:$B$803,"SALIDA"),0)</f>
        <v>0</v>
      </c>
      <c r="I1520" s="102">
        <f t="array" ref="I1520">IFERROR(INDEX(PRECIOS_COMPLEMENTOS!$C$4:$F$17,MATCH(B1520&amp;"_"&amp;C1520,PRECIOS_COMPLEMENTOS!$H$4:$H$17,0),IF(OR(G1520="S",G1520="20cm"),1,IF(OR(G1520="M",G1520="25cm"),2,IF(OR(G1520="L",G1520="30cm"),3,IF(OR(G1520="XL",G1520="35cm"),4,0))))),0)</f>
        <v>0.3</v>
      </c>
      <c r="J1520" s="103">
        <f t="shared" si="1"/>
        <v>0</v>
      </c>
      <c r="K1520" s="104" t="str">
        <f>IF(H1520&lt;0,"ERROR",IF(H1520=0,"",IF(H1520&lt;CONFIG!$B$4,"CRÍTICO",IF(H1520&lt;CONFIG!$B$5,"BAJO","OK"))))</f>
        <v/>
      </c>
    </row>
    <row r="1521" ht="15.75" hidden="1" customHeight="1">
      <c r="A1521" s="90" t="str">
        <f>IF(CLIENTES!A4="","",CLIENTES!A4)</f>
        <v>OverShark</v>
      </c>
      <c r="B1521" s="90" t="s">
        <v>324</v>
      </c>
      <c r="C1521" s="91" t="s">
        <v>328</v>
      </c>
      <c r="D1521" s="109" t="s">
        <v>353</v>
      </c>
      <c r="E1521" s="67" t="str">
        <f>COLORES!A23</f>
        <v/>
      </c>
      <c r="F1521" s="67" t="str">
        <f>COLORES!B23</f>
        <v/>
      </c>
      <c r="G1521" s="90" t="s">
        <v>376</v>
      </c>
      <c r="H1521" s="100">
        <f>IFERROR(SUMIFS(MOVIMIENTOS_COMPLEMENTOS!$I$4:$I$803,MOVIMIENTOS_COMPLEMENTOS!$C$4:$C$803,A1521,MOVIMIENTOS_COMPLEMENTOS!$D$4:$D$803,B1521,MOVIMIENTOS_COMPLEMENTOS!$E$4:$E$803,C1521,MOVIMIENTOS_COMPLEMENTOS!$G$4:$G$803,E1521,MOVIMIENTOS_COMPLEMENTOS!$H$4:$H$803,G1521,MOVIMIENTOS_COMPLEMENTOS!$B$4:$B$803,"INGRESO")+SUMIFS(MOVIMIENTOS_COMPLEMENTOS!$I$4:$I$803,MOVIMIENTOS_COMPLEMENTOS!$C$4:$C$803,A1521,MOVIMIENTOS_COMPLEMENTOS!$D$4:$D$803,B1521,MOVIMIENTOS_COMPLEMENTOS!$E$4:$E$803,C1521,MOVIMIENTOS_COMPLEMENTOS!$G$4:$G$803,E1521,MOVIMIENTOS_COMPLEMENTOS!$H$4:$H$803,G1521,MOVIMIENTOS_COMPLEMENTOS!$B$4:$B$803,"DE CORTE")-SUMIFS(MOVIMIENTOS_COMPLEMENTOS!$I$4:$I$803,MOVIMIENTOS_COMPLEMENTOS!$C$4:$C$803,A1521,MOVIMIENTOS_COMPLEMENTOS!$D$4:$D$803,B1521,MOVIMIENTOS_COMPLEMENTOS!$E$4:$E$803,C1521,MOVIMIENTOS_COMPLEMENTOS!$G$4:$G$803,E1521,MOVIMIENTOS_COMPLEMENTOS!$H$4:$H$803,G1521,MOVIMIENTOS_COMPLEMENTOS!$B$4:$B$803,"SALIDA"),0)</f>
        <v>0</v>
      </c>
      <c r="I1521" s="102">
        <f t="array" ref="I1521">IFERROR(INDEX(PRECIOS_COMPLEMENTOS!$C$4:$F$17,MATCH(B1521&amp;"_"&amp;C1521,PRECIOS_COMPLEMENTOS!$H$4:$H$17,0),IF(OR(G1521="S",G1521="20cm"),1,IF(OR(G1521="M",G1521="25cm"),2,IF(OR(G1521="L",G1521="30cm"),3,IF(OR(G1521="XL",G1521="35cm"),4,0))))),0)</f>
        <v>0.3</v>
      </c>
      <c r="J1521" s="103">
        <f t="shared" si="1"/>
        <v>0</v>
      </c>
      <c r="K1521" s="104" t="str">
        <f>IF(H1521&lt;0,"ERROR",IF(H1521=0,"",IF(H1521&lt;CONFIG!$B$4,"CRÍTICO",IF(H1521&lt;CONFIG!$B$5,"BAJO","OK"))))</f>
        <v/>
      </c>
    </row>
    <row r="1522" ht="15.75" hidden="1" customHeight="1">
      <c r="A1522" s="90" t="str">
        <f>IF(CLIENTES!A4="","",CLIENTES!A4)</f>
        <v>OverShark</v>
      </c>
      <c r="B1522" s="90" t="s">
        <v>324</v>
      </c>
      <c r="C1522" s="91" t="s">
        <v>328</v>
      </c>
      <c r="D1522" s="109" t="s">
        <v>353</v>
      </c>
      <c r="E1522" s="67" t="str">
        <f>COLORES!A23</f>
        <v/>
      </c>
      <c r="F1522" s="67" t="str">
        <f>COLORES!B23</f>
        <v/>
      </c>
      <c r="G1522" s="90" t="s">
        <v>377</v>
      </c>
      <c r="H1522" s="100">
        <f>IFERROR(SUMIFS(MOVIMIENTOS_COMPLEMENTOS!$I$4:$I$803,MOVIMIENTOS_COMPLEMENTOS!$C$4:$C$803,A1522,MOVIMIENTOS_COMPLEMENTOS!$D$4:$D$803,B1522,MOVIMIENTOS_COMPLEMENTOS!$E$4:$E$803,C1522,MOVIMIENTOS_COMPLEMENTOS!$G$4:$G$803,E1522,MOVIMIENTOS_COMPLEMENTOS!$H$4:$H$803,G1522,MOVIMIENTOS_COMPLEMENTOS!$B$4:$B$803,"INGRESO")+SUMIFS(MOVIMIENTOS_COMPLEMENTOS!$I$4:$I$803,MOVIMIENTOS_COMPLEMENTOS!$C$4:$C$803,A1522,MOVIMIENTOS_COMPLEMENTOS!$D$4:$D$803,B1522,MOVIMIENTOS_COMPLEMENTOS!$E$4:$E$803,C1522,MOVIMIENTOS_COMPLEMENTOS!$G$4:$G$803,E1522,MOVIMIENTOS_COMPLEMENTOS!$H$4:$H$803,G1522,MOVIMIENTOS_COMPLEMENTOS!$B$4:$B$803,"DE CORTE")-SUMIFS(MOVIMIENTOS_COMPLEMENTOS!$I$4:$I$803,MOVIMIENTOS_COMPLEMENTOS!$C$4:$C$803,A1522,MOVIMIENTOS_COMPLEMENTOS!$D$4:$D$803,B1522,MOVIMIENTOS_COMPLEMENTOS!$E$4:$E$803,C1522,MOVIMIENTOS_COMPLEMENTOS!$G$4:$G$803,E1522,MOVIMIENTOS_COMPLEMENTOS!$H$4:$H$803,G1522,MOVIMIENTOS_COMPLEMENTOS!$B$4:$B$803,"SALIDA"),0)</f>
        <v>0</v>
      </c>
      <c r="I1522" s="102">
        <f t="array" ref="I1522">IFERROR(INDEX(PRECIOS_COMPLEMENTOS!$C$4:$F$17,MATCH(B1522&amp;"_"&amp;C1522,PRECIOS_COMPLEMENTOS!$H$4:$H$17,0),IF(OR(G1522="S",G1522="20cm"),1,IF(OR(G1522="M",G1522="25cm"),2,IF(OR(G1522="L",G1522="30cm"),3,IF(OR(G1522="XL",G1522="35cm"),4,0))))),0)</f>
        <v>0.3</v>
      </c>
      <c r="J1522" s="103">
        <f t="shared" si="1"/>
        <v>0</v>
      </c>
      <c r="K1522" s="104" t="str">
        <f>IF(H1522&lt;0,"ERROR",IF(H1522=0,"",IF(H1522&lt;CONFIG!$B$4,"CRÍTICO",IF(H1522&lt;CONFIG!$B$5,"BAJO","OK"))))</f>
        <v/>
      </c>
    </row>
    <row r="1523" ht="15.75" hidden="1" customHeight="1">
      <c r="A1523" s="90" t="str">
        <f>IF(CLIENTES!A4="","",CLIENTES!A4)</f>
        <v>OverShark</v>
      </c>
      <c r="B1523" s="90" t="s">
        <v>324</v>
      </c>
      <c r="C1523" s="91" t="s">
        <v>328</v>
      </c>
      <c r="D1523" s="109" t="s">
        <v>353</v>
      </c>
      <c r="E1523" s="67" t="str">
        <f>COLORES!A23</f>
        <v/>
      </c>
      <c r="F1523" s="67" t="str">
        <f>COLORES!B23</f>
        <v/>
      </c>
      <c r="G1523" s="90" t="s">
        <v>379</v>
      </c>
      <c r="H1523" s="100">
        <f>IFERROR(SUMIFS(MOVIMIENTOS_COMPLEMENTOS!$I$4:$I$803,MOVIMIENTOS_COMPLEMENTOS!$C$4:$C$803,A1523,MOVIMIENTOS_COMPLEMENTOS!$D$4:$D$803,B1523,MOVIMIENTOS_COMPLEMENTOS!$E$4:$E$803,C1523,MOVIMIENTOS_COMPLEMENTOS!$G$4:$G$803,E1523,MOVIMIENTOS_COMPLEMENTOS!$H$4:$H$803,G1523,MOVIMIENTOS_COMPLEMENTOS!$B$4:$B$803,"INGRESO")+SUMIFS(MOVIMIENTOS_COMPLEMENTOS!$I$4:$I$803,MOVIMIENTOS_COMPLEMENTOS!$C$4:$C$803,A1523,MOVIMIENTOS_COMPLEMENTOS!$D$4:$D$803,B1523,MOVIMIENTOS_COMPLEMENTOS!$E$4:$E$803,C1523,MOVIMIENTOS_COMPLEMENTOS!$G$4:$G$803,E1523,MOVIMIENTOS_COMPLEMENTOS!$H$4:$H$803,G1523,MOVIMIENTOS_COMPLEMENTOS!$B$4:$B$803,"DE CORTE")-SUMIFS(MOVIMIENTOS_COMPLEMENTOS!$I$4:$I$803,MOVIMIENTOS_COMPLEMENTOS!$C$4:$C$803,A1523,MOVIMIENTOS_COMPLEMENTOS!$D$4:$D$803,B1523,MOVIMIENTOS_COMPLEMENTOS!$E$4:$E$803,C1523,MOVIMIENTOS_COMPLEMENTOS!$G$4:$G$803,E1523,MOVIMIENTOS_COMPLEMENTOS!$H$4:$H$803,G1523,MOVIMIENTOS_COMPLEMENTOS!$B$4:$B$803,"SALIDA"),0)</f>
        <v>0</v>
      </c>
      <c r="I1523" s="102">
        <f t="array" ref="I1523">IFERROR(INDEX(PRECIOS_COMPLEMENTOS!$C$4:$F$17,MATCH(B1523&amp;"_"&amp;C1523,PRECIOS_COMPLEMENTOS!$H$4:$H$17,0),IF(OR(G1523="S",G1523="20cm"),1,IF(OR(G1523="M",G1523="25cm"),2,IF(OR(G1523="L",G1523="30cm"),3,IF(OR(G1523="XL",G1523="35cm"),4,0))))),0)</f>
        <v>0.3</v>
      </c>
      <c r="J1523" s="103">
        <f t="shared" si="1"/>
        <v>0</v>
      </c>
      <c r="K1523" s="104" t="str">
        <f>IF(H1523&lt;0,"ERROR",IF(H1523=0,"",IF(H1523&lt;CONFIG!$B$4,"CRÍTICO",IF(H1523&lt;CONFIG!$B$5,"BAJO","OK"))))</f>
        <v/>
      </c>
    </row>
    <row r="1524" ht="15.75" hidden="1" customHeight="1">
      <c r="A1524" s="90" t="str">
        <f>IF(CLIENTES!A5="","",CLIENTES!A5)</f>
        <v>Bravos</v>
      </c>
      <c r="B1524" s="90" t="s">
        <v>324</v>
      </c>
      <c r="C1524" s="91" t="s">
        <v>328</v>
      </c>
      <c r="D1524" s="109" t="s">
        <v>353</v>
      </c>
      <c r="E1524" s="67" t="str">
        <f>COLORES!A4</f>
        <v>Negro</v>
      </c>
      <c r="F1524" s="67" t="str">
        <f>COLORES!B4</f>
        <v>OSCURO</v>
      </c>
      <c r="G1524" s="90" t="s">
        <v>378</v>
      </c>
      <c r="H1524" s="100">
        <f>IFERROR(SUMIFS(MOVIMIENTOS_COMPLEMENTOS!$I$4:$I$803,MOVIMIENTOS_COMPLEMENTOS!$C$4:$C$803,A1524,MOVIMIENTOS_COMPLEMENTOS!$D$4:$D$803,B1524,MOVIMIENTOS_COMPLEMENTOS!$E$4:$E$803,C1524,MOVIMIENTOS_COMPLEMENTOS!$G$4:$G$803,E1524,MOVIMIENTOS_COMPLEMENTOS!$H$4:$H$803,G1524,MOVIMIENTOS_COMPLEMENTOS!$B$4:$B$803,"INGRESO")+SUMIFS(MOVIMIENTOS_COMPLEMENTOS!$I$4:$I$803,MOVIMIENTOS_COMPLEMENTOS!$C$4:$C$803,A1524,MOVIMIENTOS_COMPLEMENTOS!$D$4:$D$803,B1524,MOVIMIENTOS_COMPLEMENTOS!$E$4:$E$803,C1524,MOVIMIENTOS_COMPLEMENTOS!$G$4:$G$803,E1524,MOVIMIENTOS_COMPLEMENTOS!$H$4:$H$803,G1524,MOVIMIENTOS_COMPLEMENTOS!$B$4:$B$803,"DE CORTE")-SUMIFS(MOVIMIENTOS_COMPLEMENTOS!$I$4:$I$803,MOVIMIENTOS_COMPLEMENTOS!$C$4:$C$803,A1524,MOVIMIENTOS_COMPLEMENTOS!$D$4:$D$803,B1524,MOVIMIENTOS_COMPLEMENTOS!$E$4:$E$803,C1524,MOVIMIENTOS_COMPLEMENTOS!$G$4:$G$803,E1524,MOVIMIENTOS_COMPLEMENTOS!$H$4:$H$803,G1524,MOVIMIENTOS_COMPLEMENTOS!$B$4:$B$803,"SALIDA"),0)</f>
        <v>0</v>
      </c>
      <c r="I1524" s="102">
        <f t="array" ref="I1524">IFERROR(INDEX(PRECIOS_COMPLEMENTOS!$C$4:$F$17,MATCH(B1524&amp;"_"&amp;C1524,PRECIOS_COMPLEMENTOS!$H$4:$H$17,0),IF(OR(G1524="S",G1524="20cm"),1,IF(OR(G1524="M",G1524="25cm"),2,IF(OR(G1524="L",G1524="30cm"),3,IF(OR(G1524="XL",G1524="35cm"),4,0))))),0)</f>
        <v>0.3</v>
      </c>
      <c r="J1524" s="103">
        <f t="shared" si="1"/>
        <v>0</v>
      </c>
      <c r="K1524" s="104" t="str">
        <f>IF(H1524&lt;0,"ERROR",IF(H1524=0,"",IF(H1524&lt;CONFIG!$B$4,"CRÍTICO",IF(H1524&lt;CONFIG!$B$5,"BAJO","OK"))))</f>
        <v/>
      </c>
    </row>
    <row r="1525" ht="15.75" hidden="1" customHeight="1">
      <c r="A1525" s="90" t="str">
        <f>IF(CLIENTES!A5="","",CLIENTES!A5)</f>
        <v>Bravos</v>
      </c>
      <c r="B1525" s="90" t="s">
        <v>324</v>
      </c>
      <c r="C1525" s="91" t="s">
        <v>328</v>
      </c>
      <c r="D1525" s="109" t="s">
        <v>353</v>
      </c>
      <c r="E1525" s="67" t="str">
        <f>COLORES!A4</f>
        <v>Negro</v>
      </c>
      <c r="F1525" s="67" t="str">
        <f>COLORES!B4</f>
        <v>OSCURO</v>
      </c>
      <c r="G1525" s="90" t="s">
        <v>376</v>
      </c>
      <c r="H1525" s="100">
        <f>IFERROR(SUMIFS(MOVIMIENTOS_COMPLEMENTOS!$I$4:$I$803,MOVIMIENTOS_COMPLEMENTOS!$C$4:$C$803,A1525,MOVIMIENTOS_COMPLEMENTOS!$D$4:$D$803,B1525,MOVIMIENTOS_COMPLEMENTOS!$E$4:$E$803,C1525,MOVIMIENTOS_COMPLEMENTOS!$G$4:$G$803,E1525,MOVIMIENTOS_COMPLEMENTOS!$H$4:$H$803,G1525,MOVIMIENTOS_COMPLEMENTOS!$B$4:$B$803,"INGRESO")+SUMIFS(MOVIMIENTOS_COMPLEMENTOS!$I$4:$I$803,MOVIMIENTOS_COMPLEMENTOS!$C$4:$C$803,A1525,MOVIMIENTOS_COMPLEMENTOS!$D$4:$D$803,B1525,MOVIMIENTOS_COMPLEMENTOS!$E$4:$E$803,C1525,MOVIMIENTOS_COMPLEMENTOS!$G$4:$G$803,E1525,MOVIMIENTOS_COMPLEMENTOS!$H$4:$H$803,G1525,MOVIMIENTOS_COMPLEMENTOS!$B$4:$B$803,"DE CORTE")-SUMIFS(MOVIMIENTOS_COMPLEMENTOS!$I$4:$I$803,MOVIMIENTOS_COMPLEMENTOS!$C$4:$C$803,A1525,MOVIMIENTOS_COMPLEMENTOS!$D$4:$D$803,B1525,MOVIMIENTOS_COMPLEMENTOS!$E$4:$E$803,C1525,MOVIMIENTOS_COMPLEMENTOS!$G$4:$G$803,E1525,MOVIMIENTOS_COMPLEMENTOS!$H$4:$H$803,G1525,MOVIMIENTOS_COMPLEMENTOS!$B$4:$B$803,"SALIDA"),0)</f>
        <v>0</v>
      </c>
      <c r="I1525" s="102">
        <f t="array" ref="I1525">IFERROR(INDEX(PRECIOS_COMPLEMENTOS!$C$4:$F$17,MATCH(B1525&amp;"_"&amp;C1525,PRECIOS_COMPLEMENTOS!$H$4:$H$17,0),IF(OR(G1525="S",G1525="20cm"),1,IF(OR(G1525="M",G1525="25cm"),2,IF(OR(G1525="L",G1525="30cm"),3,IF(OR(G1525="XL",G1525="35cm"),4,0))))),0)</f>
        <v>0.3</v>
      </c>
      <c r="J1525" s="103">
        <f t="shared" si="1"/>
        <v>0</v>
      </c>
      <c r="K1525" s="104" t="str">
        <f>IF(H1525&lt;0,"ERROR",IF(H1525=0,"",IF(H1525&lt;CONFIG!$B$4,"CRÍTICO",IF(H1525&lt;CONFIG!$B$5,"BAJO","OK"))))</f>
        <v/>
      </c>
    </row>
    <row r="1526" ht="15.75" hidden="1" customHeight="1">
      <c r="A1526" s="90" t="str">
        <f>IF(CLIENTES!A5="","",CLIENTES!A5)</f>
        <v>Bravos</v>
      </c>
      <c r="B1526" s="90" t="s">
        <v>324</v>
      </c>
      <c r="C1526" s="91" t="s">
        <v>328</v>
      </c>
      <c r="D1526" s="109" t="s">
        <v>353</v>
      </c>
      <c r="E1526" s="67" t="str">
        <f>COLORES!A4</f>
        <v>Negro</v>
      </c>
      <c r="F1526" s="67" t="str">
        <f>COLORES!B4</f>
        <v>OSCURO</v>
      </c>
      <c r="G1526" s="90" t="s">
        <v>377</v>
      </c>
      <c r="H1526" s="100">
        <f>IFERROR(SUMIFS(MOVIMIENTOS_COMPLEMENTOS!$I$4:$I$803,MOVIMIENTOS_COMPLEMENTOS!$C$4:$C$803,A1526,MOVIMIENTOS_COMPLEMENTOS!$D$4:$D$803,B1526,MOVIMIENTOS_COMPLEMENTOS!$E$4:$E$803,C1526,MOVIMIENTOS_COMPLEMENTOS!$G$4:$G$803,E1526,MOVIMIENTOS_COMPLEMENTOS!$H$4:$H$803,G1526,MOVIMIENTOS_COMPLEMENTOS!$B$4:$B$803,"INGRESO")+SUMIFS(MOVIMIENTOS_COMPLEMENTOS!$I$4:$I$803,MOVIMIENTOS_COMPLEMENTOS!$C$4:$C$803,A1526,MOVIMIENTOS_COMPLEMENTOS!$D$4:$D$803,B1526,MOVIMIENTOS_COMPLEMENTOS!$E$4:$E$803,C1526,MOVIMIENTOS_COMPLEMENTOS!$G$4:$G$803,E1526,MOVIMIENTOS_COMPLEMENTOS!$H$4:$H$803,G1526,MOVIMIENTOS_COMPLEMENTOS!$B$4:$B$803,"DE CORTE")-SUMIFS(MOVIMIENTOS_COMPLEMENTOS!$I$4:$I$803,MOVIMIENTOS_COMPLEMENTOS!$C$4:$C$803,A1526,MOVIMIENTOS_COMPLEMENTOS!$D$4:$D$803,B1526,MOVIMIENTOS_COMPLEMENTOS!$E$4:$E$803,C1526,MOVIMIENTOS_COMPLEMENTOS!$G$4:$G$803,E1526,MOVIMIENTOS_COMPLEMENTOS!$H$4:$H$803,G1526,MOVIMIENTOS_COMPLEMENTOS!$B$4:$B$803,"SALIDA"),0)</f>
        <v>0</v>
      </c>
      <c r="I1526" s="102">
        <f t="array" ref="I1526">IFERROR(INDEX(PRECIOS_COMPLEMENTOS!$C$4:$F$17,MATCH(B1526&amp;"_"&amp;C1526,PRECIOS_COMPLEMENTOS!$H$4:$H$17,0),IF(OR(G1526="S",G1526="20cm"),1,IF(OR(G1526="M",G1526="25cm"),2,IF(OR(G1526="L",G1526="30cm"),3,IF(OR(G1526="XL",G1526="35cm"),4,0))))),0)</f>
        <v>0.3</v>
      </c>
      <c r="J1526" s="103">
        <f t="shared" si="1"/>
        <v>0</v>
      </c>
      <c r="K1526" s="104" t="str">
        <f>IF(H1526&lt;0,"ERROR",IF(H1526=0,"",IF(H1526&lt;CONFIG!$B$4,"CRÍTICO",IF(H1526&lt;CONFIG!$B$5,"BAJO","OK"))))</f>
        <v/>
      </c>
    </row>
    <row r="1527" ht="15.75" hidden="1" customHeight="1">
      <c r="A1527" s="90" t="str">
        <f>IF(CLIENTES!A5="","",CLIENTES!A5)</f>
        <v>Bravos</v>
      </c>
      <c r="B1527" s="90" t="s">
        <v>324</v>
      </c>
      <c r="C1527" s="91" t="s">
        <v>328</v>
      </c>
      <c r="D1527" s="109" t="s">
        <v>353</v>
      </c>
      <c r="E1527" s="67" t="str">
        <f>COLORES!A4</f>
        <v>Negro</v>
      </c>
      <c r="F1527" s="67" t="str">
        <f>COLORES!B4</f>
        <v>OSCURO</v>
      </c>
      <c r="G1527" s="90" t="s">
        <v>379</v>
      </c>
      <c r="H1527" s="100">
        <f>IFERROR(SUMIFS(MOVIMIENTOS_COMPLEMENTOS!$I$4:$I$803,MOVIMIENTOS_COMPLEMENTOS!$C$4:$C$803,A1527,MOVIMIENTOS_COMPLEMENTOS!$D$4:$D$803,B1527,MOVIMIENTOS_COMPLEMENTOS!$E$4:$E$803,C1527,MOVIMIENTOS_COMPLEMENTOS!$G$4:$G$803,E1527,MOVIMIENTOS_COMPLEMENTOS!$H$4:$H$803,G1527,MOVIMIENTOS_COMPLEMENTOS!$B$4:$B$803,"INGRESO")+SUMIFS(MOVIMIENTOS_COMPLEMENTOS!$I$4:$I$803,MOVIMIENTOS_COMPLEMENTOS!$C$4:$C$803,A1527,MOVIMIENTOS_COMPLEMENTOS!$D$4:$D$803,B1527,MOVIMIENTOS_COMPLEMENTOS!$E$4:$E$803,C1527,MOVIMIENTOS_COMPLEMENTOS!$G$4:$G$803,E1527,MOVIMIENTOS_COMPLEMENTOS!$H$4:$H$803,G1527,MOVIMIENTOS_COMPLEMENTOS!$B$4:$B$803,"DE CORTE")-SUMIFS(MOVIMIENTOS_COMPLEMENTOS!$I$4:$I$803,MOVIMIENTOS_COMPLEMENTOS!$C$4:$C$803,A1527,MOVIMIENTOS_COMPLEMENTOS!$D$4:$D$803,B1527,MOVIMIENTOS_COMPLEMENTOS!$E$4:$E$803,C1527,MOVIMIENTOS_COMPLEMENTOS!$G$4:$G$803,E1527,MOVIMIENTOS_COMPLEMENTOS!$H$4:$H$803,G1527,MOVIMIENTOS_COMPLEMENTOS!$B$4:$B$803,"SALIDA"),0)</f>
        <v>0</v>
      </c>
      <c r="I1527" s="102">
        <f t="array" ref="I1527">IFERROR(INDEX(PRECIOS_COMPLEMENTOS!$C$4:$F$17,MATCH(B1527&amp;"_"&amp;C1527,PRECIOS_COMPLEMENTOS!$H$4:$H$17,0),IF(OR(G1527="S",G1527="20cm"),1,IF(OR(G1527="M",G1527="25cm"),2,IF(OR(G1527="L",G1527="30cm"),3,IF(OR(G1527="XL",G1527="35cm"),4,0))))),0)</f>
        <v>0.3</v>
      </c>
      <c r="J1527" s="103">
        <f t="shared" si="1"/>
        <v>0</v>
      </c>
      <c r="K1527" s="104" t="str">
        <f>IF(H1527&lt;0,"ERROR",IF(H1527=0,"",IF(H1527&lt;CONFIG!$B$4,"CRÍTICO",IF(H1527&lt;CONFIG!$B$5,"BAJO","OK"))))</f>
        <v/>
      </c>
    </row>
    <row r="1528" ht="15.75" hidden="1" customHeight="1">
      <c r="A1528" s="90" t="str">
        <f>IF(CLIENTES!A5="","",CLIENTES!A5)</f>
        <v>Bravos</v>
      </c>
      <c r="B1528" s="90" t="s">
        <v>324</v>
      </c>
      <c r="C1528" s="91" t="s">
        <v>328</v>
      </c>
      <c r="D1528" s="109" t="s">
        <v>353</v>
      </c>
      <c r="E1528" s="67" t="str">
        <f>COLORES!A5</f>
        <v>Perla</v>
      </c>
      <c r="F1528" s="67" t="str">
        <f>COLORES!B5</f>
        <v>PPT</v>
      </c>
      <c r="G1528" s="90" t="s">
        <v>378</v>
      </c>
      <c r="H1528" s="100">
        <f>IFERROR(SUMIFS(MOVIMIENTOS_COMPLEMENTOS!$I$4:$I$803,MOVIMIENTOS_COMPLEMENTOS!$C$4:$C$803,A1528,MOVIMIENTOS_COMPLEMENTOS!$D$4:$D$803,B1528,MOVIMIENTOS_COMPLEMENTOS!$E$4:$E$803,C1528,MOVIMIENTOS_COMPLEMENTOS!$G$4:$G$803,E1528,MOVIMIENTOS_COMPLEMENTOS!$H$4:$H$803,G1528,MOVIMIENTOS_COMPLEMENTOS!$B$4:$B$803,"INGRESO")+SUMIFS(MOVIMIENTOS_COMPLEMENTOS!$I$4:$I$803,MOVIMIENTOS_COMPLEMENTOS!$C$4:$C$803,A1528,MOVIMIENTOS_COMPLEMENTOS!$D$4:$D$803,B1528,MOVIMIENTOS_COMPLEMENTOS!$E$4:$E$803,C1528,MOVIMIENTOS_COMPLEMENTOS!$G$4:$G$803,E1528,MOVIMIENTOS_COMPLEMENTOS!$H$4:$H$803,G1528,MOVIMIENTOS_COMPLEMENTOS!$B$4:$B$803,"DE CORTE")-SUMIFS(MOVIMIENTOS_COMPLEMENTOS!$I$4:$I$803,MOVIMIENTOS_COMPLEMENTOS!$C$4:$C$803,A1528,MOVIMIENTOS_COMPLEMENTOS!$D$4:$D$803,B1528,MOVIMIENTOS_COMPLEMENTOS!$E$4:$E$803,C1528,MOVIMIENTOS_COMPLEMENTOS!$G$4:$G$803,E1528,MOVIMIENTOS_COMPLEMENTOS!$H$4:$H$803,G1528,MOVIMIENTOS_COMPLEMENTOS!$B$4:$B$803,"SALIDA"),0)</f>
        <v>0</v>
      </c>
      <c r="I1528" s="102">
        <f t="array" ref="I1528">IFERROR(INDEX(PRECIOS_COMPLEMENTOS!$C$4:$F$17,MATCH(B1528&amp;"_"&amp;C1528,PRECIOS_COMPLEMENTOS!$H$4:$H$17,0),IF(OR(G1528="S",G1528="20cm"),1,IF(OR(G1528="M",G1528="25cm"),2,IF(OR(G1528="L",G1528="30cm"),3,IF(OR(G1528="XL",G1528="35cm"),4,0))))),0)</f>
        <v>0.3</v>
      </c>
      <c r="J1528" s="103">
        <f t="shared" si="1"/>
        <v>0</v>
      </c>
      <c r="K1528" s="104" t="str">
        <f>IF(H1528&lt;0,"ERROR",IF(H1528=0,"",IF(H1528&lt;CONFIG!$B$4,"CRÍTICO",IF(H1528&lt;CONFIG!$B$5,"BAJO","OK"))))</f>
        <v/>
      </c>
    </row>
    <row r="1529" ht="15.75" hidden="1" customHeight="1">
      <c r="A1529" s="90" t="str">
        <f>IF(CLIENTES!A5="","",CLIENTES!A5)</f>
        <v>Bravos</v>
      </c>
      <c r="B1529" s="90" t="s">
        <v>324</v>
      </c>
      <c r="C1529" s="91" t="s">
        <v>328</v>
      </c>
      <c r="D1529" s="109" t="s">
        <v>353</v>
      </c>
      <c r="E1529" s="67" t="str">
        <f>COLORES!A5</f>
        <v>Perla</v>
      </c>
      <c r="F1529" s="67" t="str">
        <f>COLORES!B5</f>
        <v>PPT</v>
      </c>
      <c r="G1529" s="90" t="s">
        <v>376</v>
      </c>
      <c r="H1529" s="100">
        <f>IFERROR(SUMIFS(MOVIMIENTOS_COMPLEMENTOS!$I$4:$I$803,MOVIMIENTOS_COMPLEMENTOS!$C$4:$C$803,A1529,MOVIMIENTOS_COMPLEMENTOS!$D$4:$D$803,B1529,MOVIMIENTOS_COMPLEMENTOS!$E$4:$E$803,C1529,MOVIMIENTOS_COMPLEMENTOS!$G$4:$G$803,E1529,MOVIMIENTOS_COMPLEMENTOS!$H$4:$H$803,G1529,MOVIMIENTOS_COMPLEMENTOS!$B$4:$B$803,"INGRESO")+SUMIFS(MOVIMIENTOS_COMPLEMENTOS!$I$4:$I$803,MOVIMIENTOS_COMPLEMENTOS!$C$4:$C$803,A1529,MOVIMIENTOS_COMPLEMENTOS!$D$4:$D$803,B1529,MOVIMIENTOS_COMPLEMENTOS!$E$4:$E$803,C1529,MOVIMIENTOS_COMPLEMENTOS!$G$4:$G$803,E1529,MOVIMIENTOS_COMPLEMENTOS!$H$4:$H$803,G1529,MOVIMIENTOS_COMPLEMENTOS!$B$4:$B$803,"DE CORTE")-SUMIFS(MOVIMIENTOS_COMPLEMENTOS!$I$4:$I$803,MOVIMIENTOS_COMPLEMENTOS!$C$4:$C$803,A1529,MOVIMIENTOS_COMPLEMENTOS!$D$4:$D$803,B1529,MOVIMIENTOS_COMPLEMENTOS!$E$4:$E$803,C1529,MOVIMIENTOS_COMPLEMENTOS!$G$4:$G$803,E1529,MOVIMIENTOS_COMPLEMENTOS!$H$4:$H$803,G1529,MOVIMIENTOS_COMPLEMENTOS!$B$4:$B$803,"SALIDA"),0)</f>
        <v>0</v>
      </c>
      <c r="I1529" s="102">
        <f t="array" ref="I1529">IFERROR(INDEX(PRECIOS_COMPLEMENTOS!$C$4:$F$17,MATCH(B1529&amp;"_"&amp;C1529,PRECIOS_COMPLEMENTOS!$H$4:$H$17,0),IF(OR(G1529="S",G1529="20cm"),1,IF(OR(G1529="M",G1529="25cm"),2,IF(OR(G1529="L",G1529="30cm"),3,IF(OR(G1529="XL",G1529="35cm"),4,0))))),0)</f>
        <v>0.3</v>
      </c>
      <c r="J1529" s="103">
        <f t="shared" si="1"/>
        <v>0</v>
      </c>
      <c r="K1529" s="104" t="str">
        <f>IF(H1529&lt;0,"ERROR",IF(H1529=0,"",IF(H1529&lt;CONFIG!$B$4,"CRÍTICO",IF(H1529&lt;CONFIG!$B$5,"BAJO","OK"))))</f>
        <v/>
      </c>
    </row>
    <row r="1530" ht="15.75" hidden="1" customHeight="1">
      <c r="A1530" s="90" t="str">
        <f>IF(CLIENTES!A5="","",CLIENTES!A5)</f>
        <v>Bravos</v>
      </c>
      <c r="B1530" s="90" t="s">
        <v>324</v>
      </c>
      <c r="C1530" s="91" t="s">
        <v>328</v>
      </c>
      <c r="D1530" s="109" t="s">
        <v>353</v>
      </c>
      <c r="E1530" s="67" t="str">
        <f>COLORES!A5</f>
        <v>Perla</v>
      </c>
      <c r="F1530" s="67" t="str">
        <f>COLORES!B5</f>
        <v>PPT</v>
      </c>
      <c r="G1530" s="90" t="s">
        <v>377</v>
      </c>
      <c r="H1530" s="100">
        <f>IFERROR(SUMIFS(MOVIMIENTOS_COMPLEMENTOS!$I$4:$I$803,MOVIMIENTOS_COMPLEMENTOS!$C$4:$C$803,A1530,MOVIMIENTOS_COMPLEMENTOS!$D$4:$D$803,B1530,MOVIMIENTOS_COMPLEMENTOS!$E$4:$E$803,C1530,MOVIMIENTOS_COMPLEMENTOS!$G$4:$G$803,E1530,MOVIMIENTOS_COMPLEMENTOS!$H$4:$H$803,G1530,MOVIMIENTOS_COMPLEMENTOS!$B$4:$B$803,"INGRESO")+SUMIFS(MOVIMIENTOS_COMPLEMENTOS!$I$4:$I$803,MOVIMIENTOS_COMPLEMENTOS!$C$4:$C$803,A1530,MOVIMIENTOS_COMPLEMENTOS!$D$4:$D$803,B1530,MOVIMIENTOS_COMPLEMENTOS!$E$4:$E$803,C1530,MOVIMIENTOS_COMPLEMENTOS!$G$4:$G$803,E1530,MOVIMIENTOS_COMPLEMENTOS!$H$4:$H$803,G1530,MOVIMIENTOS_COMPLEMENTOS!$B$4:$B$803,"DE CORTE")-SUMIFS(MOVIMIENTOS_COMPLEMENTOS!$I$4:$I$803,MOVIMIENTOS_COMPLEMENTOS!$C$4:$C$803,A1530,MOVIMIENTOS_COMPLEMENTOS!$D$4:$D$803,B1530,MOVIMIENTOS_COMPLEMENTOS!$E$4:$E$803,C1530,MOVIMIENTOS_COMPLEMENTOS!$G$4:$G$803,E1530,MOVIMIENTOS_COMPLEMENTOS!$H$4:$H$803,G1530,MOVIMIENTOS_COMPLEMENTOS!$B$4:$B$803,"SALIDA"),0)</f>
        <v>0</v>
      </c>
      <c r="I1530" s="102">
        <f t="array" ref="I1530">IFERROR(INDEX(PRECIOS_COMPLEMENTOS!$C$4:$F$17,MATCH(B1530&amp;"_"&amp;C1530,PRECIOS_COMPLEMENTOS!$H$4:$H$17,0),IF(OR(G1530="S",G1530="20cm"),1,IF(OR(G1530="M",G1530="25cm"),2,IF(OR(G1530="L",G1530="30cm"),3,IF(OR(G1530="XL",G1530="35cm"),4,0))))),0)</f>
        <v>0.3</v>
      </c>
      <c r="J1530" s="103">
        <f t="shared" si="1"/>
        <v>0</v>
      </c>
      <c r="K1530" s="104" t="str">
        <f>IF(H1530&lt;0,"ERROR",IF(H1530=0,"",IF(H1530&lt;CONFIG!$B$4,"CRÍTICO",IF(H1530&lt;CONFIG!$B$5,"BAJO","OK"))))</f>
        <v/>
      </c>
    </row>
    <row r="1531" ht="15.75" hidden="1" customHeight="1">
      <c r="A1531" s="90" t="str">
        <f>IF(CLIENTES!A5="","",CLIENTES!A5)</f>
        <v>Bravos</v>
      </c>
      <c r="B1531" s="90" t="s">
        <v>324</v>
      </c>
      <c r="C1531" s="91" t="s">
        <v>328</v>
      </c>
      <c r="D1531" s="109" t="s">
        <v>353</v>
      </c>
      <c r="E1531" s="67" t="str">
        <f>COLORES!A5</f>
        <v>Perla</v>
      </c>
      <c r="F1531" s="67" t="str">
        <f>COLORES!B5</f>
        <v>PPT</v>
      </c>
      <c r="G1531" s="90" t="s">
        <v>379</v>
      </c>
      <c r="H1531" s="100">
        <f>IFERROR(SUMIFS(MOVIMIENTOS_COMPLEMENTOS!$I$4:$I$803,MOVIMIENTOS_COMPLEMENTOS!$C$4:$C$803,A1531,MOVIMIENTOS_COMPLEMENTOS!$D$4:$D$803,B1531,MOVIMIENTOS_COMPLEMENTOS!$E$4:$E$803,C1531,MOVIMIENTOS_COMPLEMENTOS!$G$4:$G$803,E1531,MOVIMIENTOS_COMPLEMENTOS!$H$4:$H$803,G1531,MOVIMIENTOS_COMPLEMENTOS!$B$4:$B$803,"INGRESO")+SUMIFS(MOVIMIENTOS_COMPLEMENTOS!$I$4:$I$803,MOVIMIENTOS_COMPLEMENTOS!$C$4:$C$803,A1531,MOVIMIENTOS_COMPLEMENTOS!$D$4:$D$803,B1531,MOVIMIENTOS_COMPLEMENTOS!$E$4:$E$803,C1531,MOVIMIENTOS_COMPLEMENTOS!$G$4:$G$803,E1531,MOVIMIENTOS_COMPLEMENTOS!$H$4:$H$803,G1531,MOVIMIENTOS_COMPLEMENTOS!$B$4:$B$803,"DE CORTE")-SUMIFS(MOVIMIENTOS_COMPLEMENTOS!$I$4:$I$803,MOVIMIENTOS_COMPLEMENTOS!$C$4:$C$803,A1531,MOVIMIENTOS_COMPLEMENTOS!$D$4:$D$803,B1531,MOVIMIENTOS_COMPLEMENTOS!$E$4:$E$803,C1531,MOVIMIENTOS_COMPLEMENTOS!$G$4:$G$803,E1531,MOVIMIENTOS_COMPLEMENTOS!$H$4:$H$803,G1531,MOVIMIENTOS_COMPLEMENTOS!$B$4:$B$803,"SALIDA"),0)</f>
        <v>0</v>
      </c>
      <c r="I1531" s="102">
        <f t="array" ref="I1531">IFERROR(INDEX(PRECIOS_COMPLEMENTOS!$C$4:$F$17,MATCH(B1531&amp;"_"&amp;C1531,PRECIOS_COMPLEMENTOS!$H$4:$H$17,0),IF(OR(G1531="S",G1531="20cm"),1,IF(OR(G1531="M",G1531="25cm"),2,IF(OR(G1531="L",G1531="30cm"),3,IF(OR(G1531="XL",G1531="35cm"),4,0))))),0)</f>
        <v>0.3</v>
      </c>
      <c r="J1531" s="103">
        <f t="shared" si="1"/>
        <v>0</v>
      </c>
      <c r="K1531" s="104" t="str">
        <f>IF(H1531&lt;0,"ERROR",IF(H1531=0,"",IF(H1531&lt;CONFIG!$B$4,"CRÍTICO",IF(H1531&lt;CONFIG!$B$5,"BAJO","OK"))))</f>
        <v/>
      </c>
    </row>
    <row r="1532" ht="15.75" hidden="1" customHeight="1">
      <c r="A1532" s="90" t="str">
        <f>IF(CLIENTES!A5="","",CLIENTES!A5)</f>
        <v>Bravos</v>
      </c>
      <c r="B1532" s="90" t="s">
        <v>324</v>
      </c>
      <c r="C1532" s="91" t="s">
        <v>328</v>
      </c>
      <c r="D1532" s="109" t="s">
        <v>353</v>
      </c>
      <c r="E1532" s="67" t="str">
        <f>COLORES!A6</f>
        <v>Blanco</v>
      </c>
      <c r="F1532" s="67" t="str">
        <f>COLORES!B6</f>
        <v>PPT</v>
      </c>
      <c r="G1532" s="90" t="s">
        <v>378</v>
      </c>
      <c r="H1532" s="100">
        <f>IFERROR(SUMIFS(MOVIMIENTOS_COMPLEMENTOS!$I$4:$I$803,MOVIMIENTOS_COMPLEMENTOS!$C$4:$C$803,A1532,MOVIMIENTOS_COMPLEMENTOS!$D$4:$D$803,B1532,MOVIMIENTOS_COMPLEMENTOS!$E$4:$E$803,C1532,MOVIMIENTOS_COMPLEMENTOS!$G$4:$G$803,E1532,MOVIMIENTOS_COMPLEMENTOS!$H$4:$H$803,G1532,MOVIMIENTOS_COMPLEMENTOS!$B$4:$B$803,"INGRESO")+SUMIFS(MOVIMIENTOS_COMPLEMENTOS!$I$4:$I$803,MOVIMIENTOS_COMPLEMENTOS!$C$4:$C$803,A1532,MOVIMIENTOS_COMPLEMENTOS!$D$4:$D$803,B1532,MOVIMIENTOS_COMPLEMENTOS!$E$4:$E$803,C1532,MOVIMIENTOS_COMPLEMENTOS!$G$4:$G$803,E1532,MOVIMIENTOS_COMPLEMENTOS!$H$4:$H$803,G1532,MOVIMIENTOS_COMPLEMENTOS!$B$4:$B$803,"DE CORTE")-SUMIFS(MOVIMIENTOS_COMPLEMENTOS!$I$4:$I$803,MOVIMIENTOS_COMPLEMENTOS!$C$4:$C$803,A1532,MOVIMIENTOS_COMPLEMENTOS!$D$4:$D$803,B1532,MOVIMIENTOS_COMPLEMENTOS!$E$4:$E$803,C1532,MOVIMIENTOS_COMPLEMENTOS!$G$4:$G$803,E1532,MOVIMIENTOS_COMPLEMENTOS!$H$4:$H$803,G1532,MOVIMIENTOS_COMPLEMENTOS!$B$4:$B$803,"SALIDA"),0)</f>
        <v>0</v>
      </c>
      <c r="I1532" s="102">
        <f t="array" ref="I1532">IFERROR(INDEX(PRECIOS_COMPLEMENTOS!$C$4:$F$17,MATCH(B1532&amp;"_"&amp;C1532,PRECIOS_COMPLEMENTOS!$H$4:$H$17,0),IF(OR(G1532="S",G1532="20cm"),1,IF(OR(G1532="M",G1532="25cm"),2,IF(OR(G1532="L",G1532="30cm"),3,IF(OR(G1532="XL",G1532="35cm"),4,0))))),0)</f>
        <v>0.3</v>
      </c>
      <c r="J1532" s="103">
        <f t="shared" si="1"/>
        <v>0</v>
      </c>
      <c r="K1532" s="104" t="str">
        <f>IF(H1532&lt;0,"ERROR",IF(H1532=0,"",IF(H1532&lt;CONFIG!$B$4,"CRÍTICO",IF(H1532&lt;CONFIG!$B$5,"BAJO","OK"))))</f>
        <v/>
      </c>
    </row>
    <row r="1533" ht="15.75" hidden="1" customHeight="1">
      <c r="A1533" s="90" t="str">
        <f>IF(CLIENTES!A5="","",CLIENTES!A5)</f>
        <v>Bravos</v>
      </c>
      <c r="B1533" s="90" t="s">
        <v>324</v>
      </c>
      <c r="C1533" s="91" t="s">
        <v>328</v>
      </c>
      <c r="D1533" s="109" t="s">
        <v>353</v>
      </c>
      <c r="E1533" s="67" t="str">
        <f>COLORES!A6</f>
        <v>Blanco</v>
      </c>
      <c r="F1533" s="67" t="str">
        <f>COLORES!B6</f>
        <v>PPT</v>
      </c>
      <c r="G1533" s="90" t="s">
        <v>376</v>
      </c>
      <c r="H1533" s="100">
        <f>IFERROR(SUMIFS(MOVIMIENTOS_COMPLEMENTOS!$I$4:$I$803,MOVIMIENTOS_COMPLEMENTOS!$C$4:$C$803,A1533,MOVIMIENTOS_COMPLEMENTOS!$D$4:$D$803,B1533,MOVIMIENTOS_COMPLEMENTOS!$E$4:$E$803,C1533,MOVIMIENTOS_COMPLEMENTOS!$G$4:$G$803,E1533,MOVIMIENTOS_COMPLEMENTOS!$H$4:$H$803,G1533,MOVIMIENTOS_COMPLEMENTOS!$B$4:$B$803,"INGRESO")+SUMIFS(MOVIMIENTOS_COMPLEMENTOS!$I$4:$I$803,MOVIMIENTOS_COMPLEMENTOS!$C$4:$C$803,A1533,MOVIMIENTOS_COMPLEMENTOS!$D$4:$D$803,B1533,MOVIMIENTOS_COMPLEMENTOS!$E$4:$E$803,C1533,MOVIMIENTOS_COMPLEMENTOS!$G$4:$G$803,E1533,MOVIMIENTOS_COMPLEMENTOS!$H$4:$H$803,G1533,MOVIMIENTOS_COMPLEMENTOS!$B$4:$B$803,"DE CORTE")-SUMIFS(MOVIMIENTOS_COMPLEMENTOS!$I$4:$I$803,MOVIMIENTOS_COMPLEMENTOS!$C$4:$C$803,A1533,MOVIMIENTOS_COMPLEMENTOS!$D$4:$D$803,B1533,MOVIMIENTOS_COMPLEMENTOS!$E$4:$E$803,C1533,MOVIMIENTOS_COMPLEMENTOS!$G$4:$G$803,E1533,MOVIMIENTOS_COMPLEMENTOS!$H$4:$H$803,G1533,MOVIMIENTOS_COMPLEMENTOS!$B$4:$B$803,"SALIDA"),0)</f>
        <v>0</v>
      </c>
      <c r="I1533" s="102">
        <f t="array" ref="I1533">IFERROR(INDEX(PRECIOS_COMPLEMENTOS!$C$4:$F$17,MATCH(B1533&amp;"_"&amp;C1533,PRECIOS_COMPLEMENTOS!$H$4:$H$17,0),IF(OR(G1533="S",G1533="20cm"),1,IF(OR(G1533="M",G1533="25cm"),2,IF(OR(G1533="L",G1533="30cm"),3,IF(OR(G1533="XL",G1533="35cm"),4,0))))),0)</f>
        <v>0.3</v>
      </c>
      <c r="J1533" s="103">
        <f t="shared" si="1"/>
        <v>0</v>
      </c>
      <c r="K1533" s="104" t="str">
        <f>IF(H1533&lt;0,"ERROR",IF(H1533=0,"",IF(H1533&lt;CONFIG!$B$4,"CRÍTICO",IF(H1533&lt;CONFIG!$B$5,"BAJO","OK"))))</f>
        <v/>
      </c>
    </row>
    <row r="1534" ht="15.75" hidden="1" customHeight="1">
      <c r="A1534" s="90" t="str">
        <f>IF(CLIENTES!A5="","",CLIENTES!A5)</f>
        <v>Bravos</v>
      </c>
      <c r="B1534" s="90" t="s">
        <v>324</v>
      </c>
      <c r="C1534" s="91" t="s">
        <v>328</v>
      </c>
      <c r="D1534" s="109" t="s">
        <v>353</v>
      </c>
      <c r="E1534" s="67" t="str">
        <f>COLORES!A6</f>
        <v>Blanco</v>
      </c>
      <c r="F1534" s="67" t="str">
        <f>COLORES!B6</f>
        <v>PPT</v>
      </c>
      <c r="G1534" s="90" t="s">
        <v>377</v>
      </c>
      <c r="H1534" s="100">
        <f>IFERROR(SUMIFS(MOVIMIENTOS_COMPLEMENTOS!$I$4:$I$803,MOVIMIENTOS_COMPLEMENTOS!$C$4:$C$803,A1534,MOVIMIENTOS_COMPLEMENTOS!$D$4:$D$803,B1534,MOVIMIENTOS_COMPLEMENTOS!$E$4:$E$803,C1534,MOVIMIENTOS_COMPLEMENTOS!$G$4:$G$803,E1534,MOVIMIENTOS_COMPLEMENTOS!$H$4:$H$803,G1534,MOVIMIENTOS_COMPLEMENTOS!$B$4:$B$803,"INGRESO")+SUMIFS(MOVIMIENTOS_COMPLEMENTOS!$I$4:$I$803,MOVIMIENTOS_COMPLEMENTOS!$C$4:$C$803,A1534,MOVIMIENTOS_COMPLEMENTOS!$D$4:$D$803,B1534,MOVIMIENTOS_COMPLEMENTOS!$E$4:$E$803,C1534,MOVIMIENTOS_COMPLEMENTOS!$G$4:$G$803,E1534,MOVIMIENTOS_COMPLEMENTOS!$H$4:$H$803,G1534,MOVIMIENTOS_COMPLEMENTOS!$B$4:$B$803,"DE CORTE")-SUMIFS(MOVIMIENTOS_COMPLEMENTOS!$I$4:$I$803,MOVIMIENTOS_COMPLEMENTOS!$C$4:$C$803,A1534,MOVIMIENTOS_COMPLEMENTOS!$D$4:$D$803,B1534,MOVIMIENTOS_COMPLEMENTOS!$E$4:$E$803,C1534,MOVIMIENTOS_COMPLEMENTOS!$G$4:$G$803,E1534,MOVIMIENTOS_COMPLEMENTOS!$H$4:$H$803,G1534,MOVIMIENTOS_COMPLEMENTOS!$B$4:$B$803,"SALIDA"),0)</f>
        <v>0</v>
      </c>
      <c r="I1534" s="102">
        <f t="array" ref="I1534">IFERROR(INDEX(PRECIOS_COMPLEMENTOS!$C$4:$F$17,MATCH(B1534&amp;"_"&amp;C1534,PRECIOS_COMPLEMENTOS!$H$4:$H$17,0),IF(OR(G1534="S",G1534="20cm"),1,IF(OR(G1534="M",G1534="25cm"),2,IF(OR(G1534="L",G1534="30cm"),3,IF(OR(G1534="XL",G1534="35cm"),4,0))))),0)</f>
        <v>0.3</v>
      </c>
      <c r="J1534" s="103">
        <f t="shared" si="1"/>
        <v>0</v>
      </c>
      <c r="K1534" s="104" t="str">
        <f>IF(H1534&lt;0,"ERROR",IF(H1534=0,"",IF(H1534&lt;CONFIG!$B$4,"CRÍTICO",IF(H1534&lt;CONFIG!$B$5,"BAJO","OK"))))</f>
        <v/>
      </c>
    </row>
    <row r="1535" ht="15.75" hidden="1" customHeight="1">
      <c r="A1535" s="90" t="str">
        <f>IF(CLIENTES!A5="","",CLIENTES!A5)</f>
        <v>Bravos</v>
      </c>
      <c r="B1535" s="90" t="s">
        <v>324</v>
      </c>
      <c r="C1535" s="91" t="s">
        <v>328</v>
      </c>
      <c r="D1535" s="109" t="s">
        <v>353</v>
      </c>
      <c r="E1535" s="67" t="str">
        <f>COLORES!A6</f>
        <v>Blanco</v>
      </c>
      <c r="F1535" s="67" t="str">
        <f>COLORES!B6</f>
        <v>PPT</v>
      </c>
      <c r="G1535" s="90" t="s">
        <v>379</v>
      </c>
      <c r="H1535" s="100">
        <f>IFERROR(SUMIFS(MOVIMIENTOS_COMPLEMENTOS!$I$4:$I$803,MOVIMIENTOS_COMPLEMENTOS!$C$4:$C$803,A1535,MOVIMIENTOS_COMPLEMENTOS!$D$4:$D$803,B1535,MOVIMIENTOS_COMPLEMENTOS!$E$4:$E$803,C1535,MOVIMIENTOS_COMPLEMENTOS!$G$4:$G$803,E1535,MOVIMIENTOS_COMPLEMENTOS!$H$4:$H$803,G1535,MOVIMIENTOS_COMPLEMENTOS!$B$4:$B$803,"INGRESO")+SUMIFS(MOVIMIENTOS_COMPLEMENTOS!$I$4:$I$803,MOVIMIENTOS_COMPLEMENTOS!$C$4:$C$803,A1535,MOVIMIENTOS_COMPLEMENTOS!$D$4:$D$803,B1535,MOVIMIENTOS_COMPLEMENTOS!$E$4:$E$803,C1535,MOVIMIENTOS_COMPLEMENTOS!$G$4:$G$803,E1535,MOVIMIENTOS_COMPLEMENTOS!$H$4:$H$803,G1535,MOVIMIENTOS_COMPLEMENTOS!$B$4:$B$803,"DE CORTE")-SUMIFS(MOVIMIENTOS_COMPLEMENTOS!$I$4:$I$803,MOVIMIENTOS_COMPLEMENTOS!$C$4:$C$803,A1535,MOVIMIENTOS_COMPLEMENTOS!$D$4:$D$803,B1535,MOVIMIENTOS_COMPLEMENTOS!$E$4:$E$803,C1535,MOVIMIENTOS_COMPLEMENTOS!$G$4:$G$803,E1535,MOVIMIENTOS_COMPLEMENTOS!$H$4:$H$803,G1535,MOVIMIENTOS_COMPLEMENTOS!$B$4:$B$803,"SALIDA"),0)</f>
        <v>0</v>
      </c>
      <c r="I1535" s="102">
        <f t="array" ref="I1535">IFERROR(INDEX(PRECIOS_COMPLEMENTOS!$C$4:$F$17,MATCH(B1535&amp;"_"&amp;C1535,PRECIOS_COMPLEMENTOS!$H$4:$H$17,0),IF(OR(G1535="S",G1535="20cm"),1,IF(OR(G1535="M",G1535="25cm"),2,IF(OR(G1535="L",G1535="30cm"),3,IF(OR(G1535="XL",G1535="35cm"),4,0))))),0)</f>
        <v>0.3</v>
      </c>
      <c r="J1535" s="103">
        <f t="shared" si="1"/>
        <v>0</v>
      </c>
      <c r="K1535" s="104" t="str">
        <f>IF(H1535&lt;0,"ERROR",IF(H1535=0,"",IF(H1535&lt;CONFIG!$B$4,"CRÍTICO",IF(H1535&lt;CONFIG!$B$5,"BAJO","OK"))))</f>
        <v/>
      </c>
    </row>
    <row r="1536" ht="15.75" hidden="1" customHeight="1">
      <c r="A1536" s="90" t="str">
        <f>IF(CLIENTES!A5="","",CLIENTES!A5)</f>
        <v>Bravos</v>
      </c>
      <c r="B1536" s="90" t="s">
        <v>324</v>
      </c>
      <c r="C1536" s="91" t="s">
        <v>328</v>
      </c>
      <c r="D1536" s="109" t="s">
        <v>353</v>
      </c>
      <c r="E1536" s="67" t="str">
        <f>COLORES!A7</f>
        <v>Azul</v>
      </c>
      <c r="F1536" s="67" t="str">
        <f>COLORES!B7</f>
        <v>OSCURO</v>
      </c>
      <c r="G1536" s="90" t="s">
        <v>378</v>
      </c>
      <c r="H1536" s="100">
        <f>IFERROR(SUMIFS(MOVIMIENTOS_COMPLEMENTOS!$I$4:$I$803,MOVIMIENTOS_COMPLEMENTOS!$C$4:$C$803,A1536,MOVIMIENTOS_COMPLEMENTOS!$D$4:$D$803,B1536,MOVIMIENTOS_COMPLEMENTOS!$E$4:$E$803,C1536,MOVIMIENTOS_COMPLEMENTOS!$G$4:$G$803,E1536,MOVIMIENTOS_COMPLEMENTOS!$H$4:$H$803,G1536,MOVIMIENTOS_COMPLEMENTOS!$B$4:$B$803,"INGRESO")+SUMIFS(MOVIMIENTOS_COMPLEMENTOS!$I$4:$I$803,MOVIMIENTOS_COMPLEMENTOS!$C$4:$C$803,A1536,MOVIMIENTOS_COMPLEMENTOS!$D$4:$D$803,B1536,MOVIMIENTOS_COMPLEMENTOS!$E$4:$E$803,C1536,MOVIMIENTOS_COMPLEMENTOS!$G$4:$G$803,E1536,MOVIMIENTOS_COMPLEMENTOS!$H$4:$H$803,G1536,MOVIMIENTOS_COMPLEMENTOS!$B$4:$B$803,"DE CORTE")-SUMIFS(MOVIMIENTOS_COMPLEMENTOS!$I$4:$I$803,MOVIMIENTOS_COMPLEMENTOS!$C$4:$C$803,A1536,MOVIMIENTOS_COMPLEMENTOS!$D$4:$D$803,B1536,MOVIMIENTOS_COMPLEMENTOS!$E$4:$E$803,C1536,MOVIMIENTOS_COMPLEMENTOS!$G$4:$G$803,E1536,MOVIMIENTOS_COMPLEMENTOS!$H$4:$H$803,G1536,MOVIMIENTOS_COMPLEMENTOS!$B$4:$B$803,"SALIDA"),0)</f>
        <v>0</v>
      </c>
      <c r="I1536" s="102">
        <f t="array" ref="I1536">IFERROR(INDEX(PRECIOS_COMPLEMENTOS!$C$4:$F$17,MATCH(B1536&amp;"_"&amp;C1536,PRECIOS_COMPLEMENTOS!$H$4:$H$17,0),IF(OR(G1536="S",G1536="20cm"),1,IF(OR(G1536="M",G1536="25cm"),2,IF(OR(G1536="L",G1536="30cm"),3,IF(OR(G1536="XL",G1536="35cm"),4,0))))),0)</f>
        <v>0.3</v>
      </c>
      <c r="J1536" s="103">
        <f t="shared" si="1"/>
        <v>0</v>
      </c>
      <c r="K1536" s="104" t="str">
        <f>IF(H1536&lt;0,"ERROR",IF(H1536=0,"",IF(H1536&lt;CONFIG!$B$4,"CRÍTICO",IF(H1536&lt;CONFIG!$B$5,"BAJO","OK"))))</f>
        <v/>
      </c>
    </row>
    <row r="1537" ht="15.75" hidden="1" customHeight="1">
      <c r="A1537" s="90" t="str">
        <f>IF(CLIENTES!A5="","",CLIENTES!A5)</f>
        <v>Bravos</v>
      </c>
      <c r="B1537" s="90" t="s">
        <v>324</v>
      </c>
      <c r="C1537" s="91" t="s">
        <v>328</v>
      </c>
      <c r="D1537" s="109" t="s">
        <v>353</v>
      </c>
      <c r="E1537" s="67" t="str">
        <f>COLORES!A7</f>
        <v>Azul</v>
      </c>
      <c r="F1537" s="67" t="str">
        <f>COLORES!B7</f>
        <v>OSCURO</v>
      </c>
      <c r="G1537" s="90" t="s">
        <v>376</v>
      </c>
      <c r="H1537" s="100">
        <f>IFERROR(SUMIFS(MOVIMIENTOS_COMPLEMENTOS!$I$4:$I$803,MOVIMIENTOS_COMPLEMENTOS!$C$4:$C$803,A1537,MOVIMIENTOS_COMPLEMENTOS!$D$4:$D$803,B1537,MOVIMIENTOS_COMPLEMENTOS!$E$4:$E$803,C1537,MOVIMIENTOS_COMPLEMENTOS!$G$4:$G$803,E1537,MOVIMIENTOS_COMPLEMENTOS!$H$4:$H$803,G1537,MOVIMIENTOS_COMPLEMENTOS!$B$4:$B$803,"INGRESO")+SUMIFS(MOVIMIENTOS_COMPLEMENTOS!$I$4:$I$803,MOVIMIENTOS_COMPLEMENTOS!$C$4:$C$803,A1537,MOVIMIENTOS_COMPLEMENTOS!$D$4:$D$803,B1537,MOVIMIENTOS_COMPLEMENTOS!$E$4:$E$803,C1537,MOVIMIENTOS_COMPLEMENTOS!$G$4:$G$803,E1537,MOVIMIENTOS_COMPLEMENTOS!$H$4:$H$803,G1537,MOVIMIENTOS_COMPLEMENTOS!$B$4:$B$803,"DE CORTE")-SUMIFS(MOVIMIENTOS_COMPLEMENTOS!$I$4:$I$803,MOVIMIENTOS_COMPLEMENTOS!$C$4:$C$803,A1537,MOVIMIENTOS_COMPLEMENTOS!$D$4:$D$803,B1537,MOVIMIENTOS_COMPLEMENTOS!$E$4:$E$803,C1537,MOVIMIENTOS_COMPLEMENTOS!$G$4:$G$803,E1537,MOVIMIENTOS_COMPLEMENTOS!$H$4:$H$803,G1537,MOVIMIENTOS_COMPLEMENTOS!$B$4:$B$803,"SALIDA"),0)</f>
        <v>0</v>
      </c>
      <c r="I1537" s="102">
        <f t="array" ref="I1537">IFERROR(INDEX(PRECIOS_COMPLEMENTOS!$C$4:$F$17,MATCH(B1537&amp;"_"&amp;C1537,PRECIOS_COMPLEMENTOS!$H$4:$H$17,0),IF(OR(G1537="S",G1537="20cm"),1,IF(OR(G1537="M",G1537="25cm"),2,IF(OR(G1537="L",G1537="30cm"),3,IF(OR(G1537="XL",G1537="35cm"),4,0))))),0)</f>
        <v>0.3</v>
      </c>
      <c r="J1537" s="103">
        <f t="shared" si="1"/>
        <v>0</v>
      </c>
      <c r="K1537" s="104" t="str">
        <f>IF(H1537&lt;0,"ERROR",IF(H1537=0,"",IF(H1537&lt;CONFIG!$B$4,"CRÍTICO",IF(H1537&lt;CONFIG!$B$5,"BAJO","OK"))))</f>
        <v/>
      </c>
    </row>
    <row r="1538" ht="15.75" hidden="1" customHeight="1">
      <c r="A1538" s="90" t="str">
        <f>IF(CLIENTES!A5="","",CLIENTES!A5)</f>
        <v>Bravos</v>
      </c>
      <c r="B1538" s="90" t="s">
        <v>324</v>
      </c>
      <c r="C1538" s="91" t="s">
        <v>328</v>
      </c>
      <c r="D1538" s="109" t="s">
        <v>353</v>
      </c>
      <c r="E1538" s="67" t="str">
        <f>COLORES!A7</f>
        <v>Azul</v>
      </c>
      <c r="F1538" s="67" t="str">
        <f>COLORES!B7</f>
        <v>OSCURO</v>
      </c>
      <c r="G1538" s="90" t="s">
        <v>377</v>
      </c>
      <c r="H1538" s="100">
        <f>IFERROR(SUMIFS(MOVIMIENTOS_COMPLEMENTOS!$I$4:$I$803,MOVIMIENTOS_COMPLEMENTOS!$C$4:$C$803,A1538,MOVIMIENTOS_COMPLEMENTOS!$D$4:$D$803,B1538,MOVIMIENTOS_COMPLEMENTOS!$E$4:$E$803,C1538,MOVIMIENTOS_COMPLEMENTOS!$G$4:$G$803,E1538,MOVIMIENTOS_COMPLEMENTOS!$H$4:$H$803,G1538,MOVIMIENTOS_COMPLEMENTOS!$B$4:$B$803,"INGRESO")+SUMIFS(MOVIMIENTOS_COMPLEMENTOS!$I$4:$I$803,MOVIMIENTOS_COMPLEMENTOS!$C$4:$C$803,A1538,MOVIMIENTOS_COMPLEMENTOS!$D$4:$D$803,B1538,MOVIMIENTOS_COMPLEMENTOS!$E$4:$E$803,C1538,MOVIMIENTOS_COMPLEMENTOS!$G$4:$G$803,E1538,MOVIMIENTOS_COMPLEMENTOS!$H$4:$H$803,G1538,MOVIMIENTOS_COMPLEMENTOS!$B$4:$B$803,"DE CORTE")-SUMIFS(MOVIMIENTOS_COMPLEMENTOS!$I$4:$I$803,MOVIMIENTOS_COMPLEMENTOS!$C$4:$C$803,A1538,MOVIMIENTOS_COMPLEMENTOS!$D$4:$D$803,B1538,MOVIMIENTOS_COMPLEMENTOS!$E$4:$E$803,C1538,MOVIMIENTOS_COMPLEMENTOS!$G$4:$G$803,E1538,MOVIMIENTOS_COMPLEMENTOS!$H$4:$H$803,G1538,MOVIMIENTOS_COMPLEMENTOS!$B$4:$B$803,"SALIDA"),0)</f>
        <v>0</v>
      </c>
      <c r="I1538" s="102">
        <f t="array" ref="I1538">IFERROR(INDEX(PRECIOS_COMPLEMENTOS!$C$4:$F$17,MATCH(B1538&amp;"_"&amp;C1538,PRECIOS_COMPLEMENTOS!$H$4:$H$17,0),IF(OR(G1538="S",G1538="20cm"),1,IF(OR(G1538="M",G1538="25cm"),2,IF(OR(G1538="L",G1538="30cm"),3,IF(OR(G1538="XL",G1538="35cm"),4,0))))),0)</f>
        <v>0.3</v>
      </c>
      <c r="J1538" s="103">
        <f t="shared" si="1"/>
        <v>0</v>
      </c>
      <c r="K1538" s="104" t="str">
        <f>IF(H1538&lt;0,"ERROR",IF(H1538=0,"",IF(H1538&lt;CONFIG!$B$4,"CRÍTICO",IF(H1538&lt;CONFIG!$B$5,"BAJO","OK"))))</f>
        <v/>
      </c>
    </row>
    <row r="1539" ht="15.75" hidden="1" customHeight="1">
      <c r="A1539" s="90" t="str">
        <f>IF(CLIENTES!A5="","",CLIENTES!A5)</f>
        <v>Bravos</v>
      </c>
      <c r="B1539" s="90" t="s">
        <v>324</v>
      </c>
      <c r="C1539" s="91" t="s">
        <v>328</v>
      </c>
      <c r="D1539" s="109" t="s">
        <v>353</v>
      </c>
      <c r="E1539" s="67" t="str">
        <f>COLORES!A7</f>
        <v>Azul</v>
      </c>
      <c r="F1539" s="67" t="str">
        <f>COLORES!B7</f>
        <v>OSCURO</v>
      </c>
      <c r="G1539" s="90" t="s">
        <v>379</v>
      </c>
      <c r="H1539" s="100">
        <f>IFERROR(SUMIFS(MOVIMIENTOS_COMPLEMENTOS!$I$4:$I$803,MOVIMIENTOS_COMPLEMENTOS!$C$4:$C$803,A1539,MOVIMIENTOS_COMPLEMENTOS!$D$4:$D$803,B1539,MOVIMIENTOS_COMPLEMENTOS!$E$4:$E$803,C1539,MOVIMIENTOS_COMPLEMENTOS!$G$4:$G$803,E1539,MOVIMIENTOS_COMPLEMENTOS!$H$4:$H$803,G1539,MOVIMIENTOS_COMPLEMENTOS!$B$4:$B$803,"INGRESO")+SUMIFS(MOVIMIENTOS_COMPLEMENTOS!$I$4:$I$803,MOVIMIENTOS_COMPLEMENTOS!$C$4:$C$803,A1539,MOVIMIENTOS_COMPLEMENTOS!$D$4:$D$803,B1539,MOVIMIENTOS_COMPLEMENTOS!$E$4:$E$803,C1539,MOVIMIENTOS_COMPLEMENTOS!$G$4:$G$803,E1539,MOVIMIENTOS_COMPLEMENTOS!$H$4:$H$803,G1539,MOVIMIENTOS_COMPLEMENTOS!$B$4:$B$803,"DE CORTE")-SUMIFS(MOVIMIENTOS_COMPLEMENTOS!$I$4:$I$803,MOVIMIENTOS_COMPLEMENTOS!$C$4:$C$803,A1539,MOVIMIENTOS_COMPLEMENTOS!$D$4:$D$803,B1539,MOVIMIENTOS_COMPLEMENTOS!$E$4:$E$803,C1539,MOVIMIENTOS_COMPLEMENTOS!$G$4:$G$803,E1539,MOVIMIENTOS_COMPLEMENTOS!$H$4:$H$803,G1539,MOVIMIENTOS_COMPLEMENTOS!$B$4:$B$803,"SALIDA"),0)</f>
        <v>0</v>
      </c>
      <c r="I1539" s="102">
        <f t="array" ref="I1539">IFERROR(INDEX(PRECIOS_COMPLEMENTOS!$C$4:$F$17,MATCH(B1539&amp;"_"&amp;C1539,PRECIOS_COMPLEMENTOS!$H$4:$H$17,0),IF(OR(G1539="S",G1539="20cm"),1,IF(OR(G1539="M",G1539="25cm"),2,IF(OR(G1539="L",G1539="30cm"),3,IF(OR(G1539="XL",G1539="35cm"),4,0))))),0)</f>
        <v>0.3</v>
      </c>
      <c r="J1539" s="103">
        <f t="shared" si="1"/>
        <v>0</v>
      </c>
      <c r="K1539" s="104" t="str">
        <f>IF(H1539&lt;0,"ERROR",IF(H1539=0,"",IF(H1539&lt;CONFIG!$B$4,"CRÍTICO",IF(H1539&lt;CONFIG!$B$5,"BAJO","OK"))))</f>
        <v/>
      </c>
    </row>
    <row r="1540" ht="15.75" hidden="1" customHeight="1">
      <c r="A1540" s="90" t="str">
        <f>IF(CLIENTES!A5="","",CLIENTES!A5)</f>
        <v>Bravos</v>
      </c>
      <c r="B1540" s="90" t="s">
        <v>324</v>
      </c>
      <c r="C1540" s="91" t="s">
        <v>328</v>
      </c>
      <c r="D1540" s="109" t="s">
        <v>353</v>
      </c>
      <c r="E1540" s="67" t="str">
        <f>COLORES!A8</f>
        <v>Beige</v>
      </c>
      <c r="F1540" s="67" t="str">
        <f>COLORES!B8</f>
        <v>CLARO</v>
      </c>
      <c r="G1540" s="90" t="s">
        <v>378</v>
      </c>
      <c r="H1540" s="100">
        <f>IFERROR(SUMIFS(MOVIMIENTOS_COMPLEMENTOS!$I$4:$I$803,MOVIMIENTOS_COMPLEMENTOS!$C$4:$C$803,A1540,MOVIMIENTOS_COMPLEMENTOS!$D$4:$D$803,B1540,MOVIMIENTOS_COMPLEMENTOS!$E$4:$E$803,C1540,MOVIMIENTOS_COMPLEMENTOS!$G$4:$G$803,E1540,MOVIMIENTOS_COMPLEMENTOS!$H$4:$H$803,G1540,MOVIMIENTOS_COMPLEMENTOS!$B$4:$B$803,"INGRESO")+SUMIFS(MOVIMIENTOS_COMPLEMENTOS!$I$4:$I$803,MOVIMIENTOS_COMPLEMENTOS!$C$4:$C$803,A1540,MOVIMIENTOS_COMPLEMENTOS!$D$4:$D$803,B1540,MOVIMIENTOS_COMPLEMENTOS!$E$4:$E$803,C1540,MOVIMIENTOS_COMPLEMENTOS!$G$4:$G$803,E1540,MOVIMIENTOS_COMPLEMENTOS!$H$4:$H$803,G1540,MOVIMIENTOS_COMPLEMENTOS!$B$4:$B$803,"DE CORTE")-SUMIFS(MOVIMIENTOS_COMPLEMENTOS!$I$4:$I$803,MOVIMIENTOS_COMPLEMENTOS!$C$4:$C$803,A1540,MOVIMIENTOS_COMPLEMENTOS!$D$4:$D$803,B1540,MOVIMIENTOS_COMPLEMENTOS!$E$4:$E$803,C1540,MOVIMIENTOS_COMPLEMENTOS!$G$4:$G$803,E1540,MOVIMIENTOS_COMPLEMENTOS!$H$4:$H$803,G1540,MOVIMIENTOS_COMPLEMENTOS!$B$4:$B$803,"SALIDA"),0)</f>
        <v>0</v>
      </c>
      <c r="I1540" s="102">
        <f t="array" ref="I1540">IFERROR(INDEX(PRECIOS_COMPLEMENTOS!$C$4:$F$17,MATCH(B1540&amp;"_"&amp;C1540,PRECIOS_COMPLEMENTOS!$H$4:$H$17,0),IF(OR(G1540="S",G1540="20cm"),1,IF(OR(G1540="M",G1540="25cm"),2,IF(OR(G1540="L",G1540="30cm"),3,IF(OR(G1540="XL",G1540="35cm"),4,0))))),0)</f>
        <v>0.3</v>
      </c>
      <c r="J1540" s="103">
        <f t="shared" si="1"/>
        <v>0</v>
      </c>
      <c r="K1540" s="104" t="str">
        <f>IF(H1540&lt;0,"ERROR",IF(H1540=0,"",IF(H1540&lt;CONFIG!$B$4,"CRÍTICO",IF(H1540&lt;CONFIG!$B$5,"BAJO","OK"))))</f>
        <v/>
      </c>
    </row>
    <row r="1541" ht="15.75" hidden="1" customHeight="1">
      <c r="A1541" s="90" t="str">
        <f>IF(CLIENTES!A5="","",CLIENTES!A5)</f>
        <v>Bravos</v>
      </c>
      <c r="B1541" s="90" t="s">
        <v>324</v>
      </c>
      <c r="C1541" s="91" t="s">
        <v>328</v>
      </c>
      <c r="D1541" s="109" t="s">
        <v>353</v>
      </c>
      <c r="E1541" s="67" t="str">
        <f>COLORES!A8</f>
        <v>Beige</v>
      </c>
      <c r="F1541" s="67" t="str">
        <f>COLORES!B8</f>
        <v>CLARO</v>
      </c>
      <c r="G1541" s="90" t="s">
        <v>376</v>
      </c>
      <c r="H1541" s="100">
        <f>IFERROR(SUMIFS(MOVIMIENTOS_COMPLEMENTOS!$I$4:$I$803,MOVIMIENTOS_COMPLEMENTOS!$C$4:$C$803,A1541,MOVIMIENTOS_COMPLEMENTOS!$D$4:$D$803,B1541,MOVIMIENTOS_COMPLEMENTOS!$E$4:$E$803,C1541,MOVIMIENTOS_COMPLEMENTOS!$G$4:$G$803,E1541,MOVIMIENTOS_COMPLEMENTOS!$H$4:$H$803,G1541,MOVIMIENTOS_COMPLEMENTOS!$B$4:$B$803,"INGRESO")+SUMIFS(MOVIMIENTOS_COMPLEMENTOS!$I$4:$I$803,MOVIMIENTOS_COMPLEMENTOS!$C$4:$C$803,A1541,MOVIMIENTOS_COMPLEMENTOS!$D$4:$D$803,B1541,MOVIMIENTOS_COMPLEMENTOS!$E$4:$E$803,C1541,MOVIMIENTOS_COMPLEMENTOS!$G$4:$G$803,E1541,MOVIMIENTOS_COMPLEMENTOS!$H$4:$H$803,G1541,MOVIMIENTOS_COMPLEMENTOS!$B$4:$B$803,"DE CORTE")-SUMIFS(MOVIMIENTOS_COMPLEMENTOS!$I$4:$I$803,MOVIMIENTOS_COMPLEMENTOS!$C$4:$C$803,A1541,MOVIMIENTOS_COMPLEMENTOS!$D$4:$D$803,B1541,MOVIMIENTOS_COMPLEMENTOS!$E$4:$E$803,C1541,MOVIMIENTOS_COMPLEMENTOS!$G$4:$G$803,E1541,MOVIMIENTOS_COMPLEMENTOS!$H$4:$H$803,G1541,MOVIMIENTOS_COMPLEMENTOS!$B$4:$B$803,"SALIDA"),0)</f>
        <v>0</v>
      </c>
      <c r="I1541" s="102">
        <f t="array" ref="I1541">IFERROR(INDEX(PRECIOS_COMPLEMENTOS!$C$4:$F$17,MATCH(B1541&amp;"_"&amp;C1541,PRECIOS_COMPLEMENTOS!$H$4:$H$17,0),IF(OR(G1541="S",G1541="20cm"),1,IF(OR(G1541="M",G1541="25cm"),2,IF(OR(G1541="L",G1541="30cm"),3,IF(OR(G1541="XL",G1541="35cm"),4,0))))),0)</f>
        <v>0.3</v>
      </c>
      <c r="J1541" s="103">
        <f t="shared" si="1"/>
        <v>0</v>
      </c>
      <c r="K1541" s="104" t="str">
        <f>IF(H1541&lt;0,"ERROR",IF(H1541=0,"",IF(H1541&lt;CONFIG!$B$4,"CRÍTICO",IF(H1541&lt;CONFIG!$B$5,"BAJO","OK"))))</f>
        <v/>
      </c>
    </row>
    <row r="1542" ht="15.75" hidden="1" customHeight="1">
      <c r="A1542" s="90" t="str">
        <f>IF(CLIENTES!A5="","",CLIENTES!A5)</f>
        <v>Bravos</v>
      </c>
      <c r="B1542" s="90" t="s">
        <v>324</v>
      </c>
      <c r="C1542" s="91" t="s">
        <v>328</v>
      </c>
      <c r="D1542" s="109" t="s">
        <v>353</v>
      </c>
      <c r="E1542" s="67" t="str">
        <f>COLORES!A8</f>
        <v>Beige</v>
      </c>
      <c r="F1542" s="67" t="str">
        <f>COLORES!B8</f>
        <v>CLARO</v>
      </c>
      <c r="G1542" s="90" t="s">
        <v>377</v>
      </c>
      <c r="H1542" s="100">
        <f>IFERROR(SUMIFS(MOVIMIENTOS_COMPLEMENTOS!$I$4:$I$803,MOVIMIENTOS_COMPLEMENTOS!$C$4:$C$803,A1542,MOVIMIENTOS_COMPLEMENTOS!$D$4:$D$803,B1542,MOVIMIENTOS_COMPLEMENTOS!$E$4:$E$803,C1542,MOVIMIENTOS_COMPLEMENTOS!$G$4:$G$803,E1542,MOVIMIENTOS_COMPLEMENTOS!$H$4:$H$803,G1542,MOVIMIENTOS_COMPLEMENTOS!$B$4:$B$803,"INGRESO")+SUMIFS(MOVIMIENTOS_COMPLEMENTOS!$I$4:$I$803,MOVIMIENTOS_COMPLEMENTOS!$C$4:$C$803,A1542,MOVIMIENTOS_COMPLEMENTOS!$D$4:$D$803,B1542,MOVIMIENTOS_COMPLEMENTOS!$E$4:$E$803,C1542,MOVIMIENTOS_COMPLEMENTOS!$G$4:$G$803,E1542,MOVIMIENTOS_COMPLEMENTOS!$H$4:$H$803,G1542,MOVIMIENTOS_COMPLEMENTOS!$B$4:$B$803,"DE CORTE")-SUMIFS(MOVIMIENTOS_COMPLEMENTOS!$I$4:$I$803,MOVIMIENTOS_COMPLEMENTOS!$C$4:$C$803,A1542,MOVIMIENTOS_COMPLEMENTOS!$D$4:$D$803,B1542,MOVIMIENTOS_COMPLEMENTOS!$E$4:$E$803,C1542,MOVIMIENTOS_COMPLEMENTOS!$G$4:$G$803,E1542,MOVIMIENTOS_COMPLEMENTOS!$H$4:$H$803,G1542,MOVIMIENTOS_COMPLEMENTOS!$B$4:$B$803,"SALIDA"),0)</f>
        <v>0</v>
      </c>
      <c r="I1542" s="102">
        <f t="array" ref="I1542">IFERROR(INDEX(PRECIOS_COMPLEMENTOS!$C$4:$F$17,MATCH(B1542&amp;"_"&amp;C1542,PRECIOS_COMPLEMENTOS!$H$4:$H$17,0),IF(OR(G1542="S",G1542="20cm"),1,IF(OR(G1542="M",G1542="25cm"),2,IF(OR(G1542="L",G1542="30cm"),3,IF(OR(G1542="XL",G1542="35cm"),4,0))))),0)</f>
        <v>0.3</v>
      </c>
      <c r="J1542" s="103">
        <f t="shared" si="1"/>
        <v>0</v>
      </c>
      <c r="K1542" s="104" t="str">
        <f>IF(H1542&lt;0,"ERROR",IF(H1542=0,"",IF(H1542&lt;CONFIG!$B$4,"CRÍTICO",IF(H1542&lt;CONFIG!$B$5,"BAJO","OK"))))</f>
        <v/>
      </c>
    </row>
    <row r="1543" ht="15.75" hidden="1" customHeight="1">
      <c r="A1543" s="90" t="str">
        <f>IF(CLIENTES!A5="","",CLIENTES!A5)</f>
        <v>Bravos</v>
      </c>
      <c r="B1543" s="90" t="s">
        <v>324</v>
      </c>
      <c r="C1543" s="91" t="s">
        <v>328</v>
      </c>
      <c r="D1543" s="109" t="s">
        <v>353</v>
      </c>
      <c r="E1543" s="67" t="str">
        <f>COLORES!A8</f>
        <v>Beige</v>
      </c>
      <c r="F1543" s="67" t="str">
        <f>COLORES!B8</f>
        <v>CLARO</v>
      </c>
      <c r="G1543" s="90" t="s">
        <v>379</v>
      </c>
      <c r="H1543" s="100">
        <f>IFERROR(SUMIFS(MOVIMIENTOS_COMPLEMENTOS!$I$4:$I$803,MOVIMIENTOS_COMPLEMENTOS!$C$4:$C$803,A1543,MOVIMIENTOS_COMPLEMENTOS!$D$4:$D$803,B1543,MOVIMIENTOS_COMPLEMENTOS!$E$4:$E$803,C1543,MOVIMIENTOS_COMPLEMENTOS!$G$4:$G$803,E1543,MOVIMIENTOS_COMPLEMENTOS!$H$4:$H$803,G1543,MOVIMIENTOS_COMPLEMENTOS!$B$4:$B$803,"INGRESO")+SUMIFS(MOVIMIENTOS_COMPLEMENTOS!$I$4:$I$803,MOVIMIENTOS_COMPLEMENTOS!$C$4:$C$803,A1543,MOVIMIENTOS_COMPLEMENTOS!$D$4:$D$803,B1543,MOVIMIENTOS_COMPLEMENTOS!$E$4:$E$803,C1543,MOVIMIENTOS_COMPLEMENTOS!$G$4:$G$803,E1543,MOVIMIENTOS_COMPLEMENTOS!$H$4:$H$803,G1543,MOVIMIENTOS_COMPLEMENTOS!$B$4:$B$803,"DE CORTE")-SUMIFS(MOVIMIENTOS_COMPLEMENTOS!$I$4:$I$803,MOVIMIENTOS_COMPLEMENTOS!$C$4:$C$803,A1543,MOVIMIENTOS_COMPLEMENTOS!$D$4:$D$803,B1543,MOVIMIENTOS_COMPLEMENTOS!$E$4:$E$803,C1543,MOVIMIENTOS_COMPLEMENTOS!$G$4:$G$803,E1543,MOVIMIENTOS_COMPLEMENTOS!$H$4:$H$803,G1543,MOVIMIENTOS_COMPLEMENTOS!$B$4:$B$803,"SALIDA"),0)</f>
        <v>0</v>
      </c>
      <c r="I1543" s="102">
        <f t="array" ref="I1543">IFERROR(INDEX(PRECIOS_COMPLEMENTOS!$C$4:$F$17,MATCH(B1543&amp;"_"&amp;C1543,PRECIOS_COMPLEMENTOS!$H$4:$H$17,0),IF(OR(G1543="S",G1543="20cm"),1,IF(OR(G1543="M",G1543="25cm"),2,IF(OR(G1543="L",G1543="30cm"),3,IF(OR(G1543="XL",G1543="35cm"),4,0))))),0)</f>
        <v>0.3</v>
      </c>
      <c r="J1543" s="103">
        <f t="shared" si="1"/>
        <v>0</v>
      </c>
      <c r="K1543" s="104" t="str">
        <f>IF(H1543&lt;0,"ERROR",IF(H1543=0,"",IF(H1543&lt;CONFIG!$B$4,"CRÍTICO",IF(H1543&lt;CONFIG!$B$5,"BAJO","OK"))))</f>
        <v/>
      </c>
    </row>
    <row r="1544" ht="15.75" hidden="1" customHeight="1">
      <c r="A1544" s="90" t="str">
        <f>IF(CLIENTES!A5="","",CLIENTES!A5)</f>
        <v>Bravos</v>
      </c>
      <c r="B1544" s="90" t="s">
        <v>324</v>
      </c>
      <c r="C1544" s="91" t="s">
        <v>328</v>
      </c>
      <c r="D1544" s="109" t="s">
        <v>353</v>
      </c>
      <c r="E1544" s="67" t="str">
        <f>COLORES!A9</f>
        <v>Melange</v>
      </c>
      <c r="F1544" s="67" t="str">
        <f>COLORES!B9</f>
        <v>MELANGE</v>
      </c>
      <c r="G1544" s="90" t="s">
        <v>378</v>
      </c>
      <c r="H1544" s="100">
        <f>IFERROR(SUMIFS(MOVIMIENTOS_COMPLEMENTOS!$I$4:$I$803,MOVIMIENTOS_COMPLEMENTOS!$C$4:$C$803,A1544,MOVIMIENTOS_COMPLEMENTOS!$D$4:$D$803,B1544,MOVIMIENTOS_COMPLEMENTOS!$E$4:$E$803,C1544,MOVIMIENTOS_COMPLEMENTOS!$G$4:$G$803,E1544,MOVIMIENTOS_COMPLEMENTOS!$H$4:$H$803,G1544,MOVIMIENTOS_COMPLEMENTOS!$B$4:$B$803,"INGRESO")+SUMIFS(MOVIMIENTOS_COMPLEMENTOS!$I$4:$I$803,MOVIMIENTOS_COMPLEMENTOS!$C$4:$C$803,A1544,MOVIMIENTOS_COMPLEMENTOS!$D$4:$D$803,B1544,MOVIMIENTOS_COMPLEMENTOS!$E$4:$E$803,C1544,MOVIMIENTOS_COMPLEMENTOS!$G$4:$G$803,E1544,MOVIMIENTOS_COMPLEMENTOS!$H$4:$H$803,G1544,MOVIMIENTOS_COMPLEMENTOS!$B$4:$B$803,"DE CORTE")-SUMIFS(MOVIMIENTOS_COMPLEMENTOS!$I$4:$I$803,MOVIMIENTOS_COMPLEMENTOS!$C$4:$C$803,A1544,MOVIMIENTOS_COMPLEMENTOS!$D$4:$D$803,B1544,MOVIMIENTOS_COMPLEMENTOS!$E$4:$E$803,C1544,MOVIMIENTOS_COMPLEMENTOS!$G$4:$G$803,E1544,MOVIMIENTOS_COMPLEMENTOS!$H$4:$H$803,G1544,MOVIMIENTOS_COMPLEMENTOS!$B$4:$B$803,"SALIDA"),0)</f>
        <v>0</v>
      </c>
      <c r="I1544" s="102">
        <f t="array" ref="I1544">IFERROR(INDEX(PRECIOS_COMPLEMENTOS!$C$4:$F$17,MATCH(B1544&amp;"_"&amp;C1544,PRECIOS_COMPLEMENTOS!$H$4:$H$17,0),IF(OR(G1544="S",G1544="20cm"),1,IF(OR(G1544="M",G1544="25cm"),2,IF(OR(G1544="L",G1544="30cm"),3,IF(OR(G1544="XL",G1544="35cm"),4,0))))),0)</f>
        <v>0.3</v>
      </c>
      <c r="J1544" s="103">
        <f t="shared" si="1"/>
        <v>0</v>
      </c>
      <c r="K1544" s="104" t="str">
        <f>IF(H1544&lt;0,"ERROR",IF(H1544=0,"",IF(H1544&lt;CONFIG!$B$4,"CRÍTICO",IF(H1544&lt;CONFIG!$B$5,"BAJO","OK"))))</f>
        <v/>
      </c>
    </row>
    <row r="1545" ht="15.75" hidden="1" customHeight="1">
      <c r="A1545" s="90" t="str">
        <f>IF(CLIENTES!A5="","",CLIENTES!A5)</f>
        <v>Bravos</v>
      </c>
      <c r="B1545" s="90" t="s">
        <v>324</v>
      </c>
      <c r="C1545" s="91" t="s">
        <v>328</v>
      </c>
      <c r="D1545" s="109" t="s">
        <v>353</v>
      </c>
      <c r="E1545" s="67" t="str">
        <f>COLORES!A9</f>
        <v>Melange</v>
      </c>
      <c r="F1545" s="67" t="str">
        <f>COLORES!B9</f>
        <v>MELANGE</v>
      </c>
      <c r="G1545" s="90" t="s">
        <v>376</v>
      </c>
      <c r="H1545" s="100">
        <f>IFERROR(SUMIFS(MOVIMIENTOS_COMPLEMENTOS!$I$4:$I$803,MOVIMIENTOS_COMPLEMENTOS!$C$4:$C$803,A1545,MOVIMIENTOS_COMPLEMENTOS!$D$4:$D$803,B1545,MOVIMIENTOS_COMPLEMENTOS!$E$4:$E$803,C1545,MOVIMIENTOS_COMPLEMENTOS!$G$4:$G$803,E1545,MOVIMIENTOS_COMPLEMENTOS!$H$4:$H$803,G1545,MOVIMIENTOS_COMPLEMENTOS!$B$4:$B$803,"INGRESO")+SUMIFS(MOVIMIENTOS_COMPLEMENTOS!$I$4:$I$803,MOVIMIENTOS_COMPLEMENTOS!$C$4:$C$803,A1545,MOVIMIENTOS_COMPLEMENTOS!$D$4:$D$803,B1545,MOVIMIENTOS_COMPLEMENTOS!$E$4:$E$803,C1545,MOVIMIENTOS_COMPLEMENTOS!$G$4:$G$803,E1545,MOVIMIENTOS_COMPLEMENTOS!$H$4:$H$803,G1545,MOVIMIENTOS_COMPLEMENTOS!$B$4:$B$803,"DE CORTE")-SUMIFS(MOVIMIENTOS_COMPLEMENTOS!$I$4:$I$803,MOVIMIENTOS_COMPLEMENTOS!$C$4:$C$803,A1545,MOVIMIENTOS_COMPLEMENTOS!$D$4:$D$803,B1545,MOVIMIENTOS_COMPLEMENTOS!$E$4:$E$803,C1545,MOVIMIENTOS_COMPLEMENTOS!$G$4:$G$803,E1545,MOVIMIENTOS_COMPLEMENTOS!$H$4:$H$803,G1545,MOVIMIENTOS_COMPLEMENTOS!$B$4:$B$803,"SALIDA"),0)</f>
        <v>0</v>
      </c>
      <c r="I1545" s="102">
        <f t="array" ref="I1545">IFERROR(INDEX(PRECIOS_COMPLEMENTOS!$C$4:$F$17,MATCH(B1545&amp;"_"&amp;C1545,PRECIOS_COMPLEMENTOS!$H$4:$H$17,0),IF(OR(G1545="S",G1545="20cm"),1,IF(OR(G1545="M",G1545="25cm"),2,IF(OR(G1545="L",G1545="30cm"),3,IF(OR(G1545="XL",G1545="35cm"),4,0))))),0)</f>
        <v>0.3</v>
      </c>
      <c r="J1545" s="103">
        <f t="shared" si="1"/>
        <v>0</v>
      </c>
      <c r="K1545" s="104" t="str">
        <f>IF(H1545&lt;0,"ERROR",IF(H1545=0,"",IF(H1545&lt;CONFIG!$B$4,"CRÍTICO",IF(H1545&lt;CONFIG!$B$5,"BAJO","OK"))))</f>
        <v/>
      </c>
    </row>
    <row r="1546" ht="15.75" hidden="1" customHeight="1">
      <c r="A1546" s="90" t="str">
        <f>IF(CLIENTES!A5="","",CLIENTES!A5)</f>
        <v>Bravos</v>
      </c>
      <c r="B1546" s="90" t="s">
        <v>324</v>
      </c>
      <c r="C1546" s="91" t="s">
        <v>328</v>
      </c>
      <c r="D1546" s="109" t="s">
        <v>353</v>
      </c>
      <c r="E1546" s="67" t="str">
        <f>COLORES!A9</f>
        <v>Melange</v>
      </c>
      <c r="F1546" s="67" t="str">
        <f>COLORES!B9</f>
        <v>MELANGE</v>
      </c>
      <c r="G1546" s="90" t="s">
        <v>377</v>
      </c>
      <c r="H1546" s="100">
        <f>IFERROR(SUMIFS(MOVIMIENTOS_COMPLEMENTOS!$I$4:$I$803,MOVIMIENTOS_COMPLEMENTOS!$C$4:$C$803,A1546,MOVIMIENTOS_COMPLEMENTOS!$D$4:$D$803,B1546,MOVIMIENTOS_COMPLEMENTOS!$E$4:$E$803,C1546,MOVIMIENTOS_COMPLEMENTOS!$G$4:$G$803,E1546,MOVIMIENTOS_COMPLEMENTOS!$H$4:$H$803,G1546,MOVIMIENTOS_COMPLEMENTOS!$B$4:$B$803,"INGRESO")+SUMIFS(MOVIMIENTOS_COMPLEMENTOS!$I$4:$I$803,MOVIMIENTOS_COMPLEMENTOS!$C$4:$C$803,A1546,MOVIMIENTOS_COMPLEMENTOS!$D$4:$D$803,B1546,MOVIMIENTOS_COMPLEMENTOS!$E$4:$E$803,C1546,MOVIMIENTOS_COMPLEMENTOS!$G$4:$G$803,E1546,MOVIMIENTOS_COMPLEMENTOS!$H$4:$H$803,G1546,MOVIMIENTOS_COMPLEMENTOS!$B$4:$B$803,"DE CORTE")-SUMIFS(MOVIMIENTOS_COMPLEMENTOS!$I$4:$I$803,MOVIMIENTOS_COMPLEMENTOS!$C$4:$C$803,A1546,MOVIMIENTOS_COMPLEMENTOS!$D$4:$D$803,B1546,MOVIMIENTOS_COMPLEMENTOS!$E$4:$E$803,C1546,MOVIMIENTOS_COMPLEMENTOS!$G$4:$G$803,E1546,MOVIMIENTOS_COMPLEMENTOS!$H$4:$H$803,G1546,MOVIMIENTOS_COMPLEMENTOS!$B$4:$B$803,"SALIDA"),0)</f>
        <v>0</v>
      </c>
      <c r="I1546" s="102">
        <f t="array" ref="I1546">IFERROR(INDEX(PRECIOS_COMPLEMENTOS!$C$4:$F$17,MATCH(B1546&amp;"_"&amp;C1546,PRECIOS_COMPLEMENTOS!$H$4:$H$17,0),IF(OR(G1546="S",G1546="20cm"),1,IF(OR(G1546="M",G1546="25cm"),2,IF(OR(G1546="L",G1546="30cm"),3,IF(OR(G1546="XL",G1546="35cm"),4,0))))),0)</f>
        <v>0.3</v>
      </c>
      <c r="J1546" s="103">
        <f t="shared" si="1"/>
        <v>0</v>
      </c>
      <c r="K1546" s="104" t="str">
        <f>IF(H1546&lt;0,"ERROR",IF(H1546=0,"",IF(H1546&lt;CONFIG!$B$4,"CRÍTICO",IF(H1546&lt;CONFIG!$B$5,"BAJO","OK"))))</f>
        <v/>
      </c>
    </row>
    <row r="1547" ht="15.75" hidden="1" customHeight="1">
      <c r="A1547" s="90" t="str">
        <f>IF(CLIENTES!A5="","",CLIENTES!A5)</f>
        <v>Bravos</v>
      </c>
      <c r="B1547" s="90" t="s">
        <v>324</v>
      </c>
      <c r="C1547" s="91" t="s">
        <v>328</v>
      </c>
      <c r="D1547" s="109" t="s">
        <v>353</v>
      </c>
      <c r="E1547" s="67" t="str">
        <f>COLORES!A9</f>
        <v>Melange</v>
      </c>
      <c r="F1547" s="67" t="str">
        <f>COLORES!B9</f>
        <v>MELANGE</v>
      </c>
      <c r="G1547" s="90" t="s">
        <v>379</v>
      </c>
      <c r="H1547" s="100">
        <f>IFERROR(SUMIFS(MOVIMIENTOS_COMPLEMENTOS!$I$4:$I$803,MOVIMIENTOS_COMPLEMENTOS!$C$4:$C$803,A1547,MOVIMIENTOS_COMPLEMENTOS!$D$4:$D$803,B1547,MOVIMIENTOS_COMPLEMENTOS!$E$4:$E$803,C1547,MOVIMIENTOS_COMPLEMENTOS!$G$4:$G$803,E1547,MOVIMIENTOS_COMPLEMENTOS!$H$4:$H$803,G1547,MOVIMIENTOS_COMPLEMENTOS!$B$4:$B$803,"INGRESO")+SUMIFS(MOVIMIENTOS_COMPLEMENTOS!$I$4:$I$803,MOVIMIENTOS_COMPLEMENTOS!$C$4:$C$803,A1547,MOVIMIENTOS_COMPLEMENTOS!$D$4:$D$803,B1547,MOVIMIENTOS_COMPLEMENTOS!$E$4:$E$803,C1547,MOVIMIENTOS_COMPLEMENTOS!$G$4:$G$803,E1547,MOVIMIENTOS_COMPLEMENTOS!$H$4:$H$803,G1547,MOVIMIENTOS_COMPLEMENTOS!$B$4:$B$803,"DE CORTE")-SUMIFS(MOVIMIENTOS_COMPLEMENTOS!$I$4:$I$803,MOVIMIENTOS_COMPLEMENTOS!$C$4:$C$803,A1547,MOVIMIENTOS_COMPLEMENTOS!$D$4:$D$803,B1547,MOVIMIENTOS_COMPLEMENTOS!$E$4:$E$803,C1547,MOVIMIENTOS_COMPLEMENTOS!$G$4:$G$803,E1547,MOVIMIENTOS_COMPLEMENTOS!$H$4:$H$803,G1547,MOVIMIENTOS_COMPLEMENTOS!$B$4:$B$803,"SALIDA"),0)</f>
        <v>0</v>
      </c>
      <c r="I1547" s="102">
        <f t="array" ref="I1547">IFERROR(INDEX(PRECIOS_COMPLEMENTOS!$C$4:$F$17,MATCH(B1547&amp;"_"&amp;C1547,PRECIOS_COMPLEMENTOS!$H$4:$H$17,0),IF(OR(G1547="S",G1547="20cm"),1,IF(OR(G1547="M",G1547="25cm"),2,IF(OR(G1547="L",G1547="30cm"),3,IF(OR(G1547="XL",G1547="35cm"),4,0))))),0)</f>
        <v>0.3</v>
      </c>
      <c r="J1547" s="103">
        <f t="shared" si="1"/>
        <v>0</v>
      </c>
      <c r="K1547" s="104" t="str">
        <f>IF(H1547&lt;0,"ERROR",IF(H1547=0,"",IF(H1547&lt;CONFIG!$B$4,"CRÍTICO",IF(H1547&lt;CONFIG!$B$5,"BAJO","OK"))))</f>
        <v/>
      </c>
    </row>
    <row r="1548" ht="15.75" hidden="1" customHeight="1">
      <c r="A1548" s="90" t="str">
        <f>IF(CLIENTES!A5="","",CLIENTES!A5)</f>
        <v>Bravos</v>
      </c>
      <c r="B1548" s="90" t="s">
        <v>324</v>
      </c>
      <c r="C1548" s="91" t="s">
        <v>328</v>
      </c>
      <c r="D1548" s="109" t="s">
        <v>353</v>
      </c>
      <c r="E1548" s="67" t="str">
        <f>COLORES!A10</f>
        <v>Botella</v>
      </c>
      <c r="F1548" s="67" t="str">
        <f>COLORES!B10</f>
        <v>OSCURO</v>
      </c>
      <c r="G1548" s="90" t="s">
        <v>378</v>
      </c>
      <c r="H1548" s="100">
        <f>IFERROR(SUMIFS(MOVIMIENTOS_COMPLEMENTOS!$I$4:$I$803,MOVIMIENTOS_COMPLEMENTOS!$C$4:$C$803,A1548,MOVIMIENTOS_COMPLEMENTOS!$D$4:$D$803,B1548,MOVIMIENTOS_COMPLEMENTOS!$E$4:$E$803,C1548,MOVIMIENTOS_COMPLEMENTOS!$G$4:$G$803,E1548,MOVIMIENTOS_COMPLEMENTOS!$H$4:$H$803,G1548,MOVIMIENTOS_COMPLEMENTOS!$B$4:$B$803,"INGRESO")+SUMIFS(MOVIMIENTOS_COMPLEMENTOS!$I$4:$I$803,MOVIMIENTOS_COMPLEMENTOS!$C$4:$C$803,A1548,MOVIMIENTOS_COMPLEMENTOS!$D$4:$D$803,B1548,MOVIMIENTOS_COMPLEMENTOS!$E$4:$E$803,C1548,MOVIMIENTOS_COMPLEMENTOS!$G$4:$G$803,E1548,MOVIMIENTOS_COMPLEMENTOS!$H$4:$H$803,G1548,MOVIMIENTOS_COMPLEMENTOS!$B$4:$B$803,"DE CORTE")-SUMIFS(MOVIMIENTOS_COMPLEMENTOS!$I$4:$I$803,MOVIMIENTOS_COMPLEMENTOS!$C$4:$C$803,A1548,MOVIMIENTOS_COMPLEMENTOS!$D$4:$D$803,B1548,MOVIMIENTOS_COMPLEMENTOS!$E$4:$E$803,C1548,MOVIMIENTOS_COMPLEMENTOS!$G$4:$G$803,E1548,MOVIMIENTOS_COMPLEMENTOS!$H$4:$H$803,G1548,MOVIMIENTOS_COMPLEMENTOS!$B$4:$B$803,"SALIDA"),0)</f>
        <v>0</v>
      </c>
      <c r="I1548" s="102">
        <f t="array" ref="I1548">IFERROR(INDEX(PRECIOS_COMPLEMENTOS!$C$4:$F$17,MATCH(B1548&amp;"_"&amp;C1548,PRECIOS_COMPLEMENTOS!$H$4:$H$17,0),IF(OR(G1548="S",G1548="20cm"),1,IF(OR(G1548="M",G1548="25cm"),2,IF(OR(G1548="L",G1548="30cm"),3,IF(OR(G1548="XL",G1548="35cm"),4,0))))),0)</f>
        <v>0.3</v>
      </c>
      <c r="J1548" s="103">
        <f t="shared" si="1"/>
        <v>0</v>
      </c>
      <c r="K1548" s="104" t="str">
        <f>IF(H1548&lt;0,"ERROR",IF(H1548=0,"",IF(H1548&lt;CONFIG!$B$4,"CRÍTICO",IF(H1548&lt;CONFIG!$B$5,"BAJO","OK"))))</f>
        <v/>
      </c>
    </row>
    <row r="1549" ht="15.75" hidden="1" customHeight="1">
      <c r="A1549" s="90" t="str">
        <f>IF(CLIENTES!A5="","",CLIENTES!A5)</f>
        <v>Bravos</v>
      </c>
      <c r="B1549" s="90" t="s">
        <v>324</v>
      </c>
      <c r="C1549" s="91" t="s">
        <v>328</v>
      </c>
      <c r="D1549" s="109" t="s">
        <v>353</v>
      </c>
      <c r="E1549" s="67" t="str">
        <f>COLORES!A10</f>
        <v>Botella</v>
      </c>
      <c r="F1549" s="67" t="str">
        <f>COLORES!B10</f>
        <v>OSCURO</v>
      </c>
      <c r="G1549" s="90" t="s">
        <v>376</v>
      </c>
      <c r="H1549" s="100">
        <f>IFERROR(SUMIFS(MOVIMIENTOS_COMPLEMENTOS!$I$4:$I$803,MOVIMIENTOS_COMPLEMENTOS!$C$4:$C$803,A1549,MOVIMIENTOS_COMPLEMENTOS!$D$4:$D$803,B1549,MOVIMIENTOS_COMPLEMENTOS!$E$4:$E$803,C1549,MOVIMIENTOS_COMPLEMENTOS!$G$4:$G$803,E1549,MOVIMIENTOS_COMPLEMENTOS!$H$4:$H$803,G1549,MOVIMIENTOS_COMPLEMENTOS!$B$4:$B$803,"INGRESO")+SUMIFS(MOVIMIENTOS_COMPLEMENTOS!$I$4:$I$803,MOVIMIENTOS_COMPLEMENTOS!$C$4:$C$803,A1549,MOVIMIENTOS_COMPLEMENTOS!$D$4:$D$803,B1549,MOVIMIENTOS_COMPLEMENTOS!$E$4:$E$803,C1549,MOVIMIENTOS_COMPLEMENTOS!$G$4:$G$803,E1549,MOVIMIENTOS_COMPLEMENTOS!$H$4:$H$803,G1549,MOVIMIENTOS_COMPLEMENTOS!$B$4:$B$803,"DE CORTE")-SUMIFS(MOVIMIENTOS_COMPLEMENTOS!$I$4:$I$803,MOVIMIENTOS_COMPLEMENTOS!$C$4:$C$803,A1549,MOVIMIENTOS_COMPLEMENTOS!$D$4:$D$803,B1549,MOVIMIENTOS_COMPLEMENTOS!$E$4:$E$803,C1549,MOVIMIENTOS_COMPLEMENTOS!$G$4:$G$803,E1549,MOVIMIENTOS_COMPLEMENTOS!$H$4:$H$803,G1549,MOVIMIENTOS_COMPLEMENTOS!$B$4:$B$803,"SALIDA"),0)</f>
        <v>0</v>
      </c>
      <c r="I1549" s="102">
        <f t="array" ref="I1549">IFERROR(INDEX(PRECIOS_COMPLEMENTOS!$C$4:$F$17,MATCH(B1549&amp;"_"&amp;C1549,PRECIOS_COMPLEMENTOS!$H$4:$H$17,0),IF(OR(G1549="S",G1549="20cm"),1,IF(OR(G1549="M",G1549="25cm"),2,IF(OR(G1549="L",G1549="30cm"),3,IF(OR(G1549="XL",G1549="35cm"),4,0))))),0)</f>
        <v>0.3</v>
      </c>
      <c r="J1549" s="103">
        <f t="shared" si="1"/>
        <v>0</v>
      </c>
      <c r="K1549" s="104" t="str">
        <f>IF(H1549&lt;0,"ERROR",IF(H1549=0,"",IF(H1549&lt;CONFIG!$B$4,"CRÍTICO",IF(H1549&lt;CONFIG!$B$5,"BAJO","OK"))))</f>
        <v/>
      </c>
    </row>
    <row r="1550" ht="15.75" hidden="1" customHeight="1">
      <c r="A1550" s="90" t="str">
        <f>IF(CLIENTES!A5="","",CLIENTES!A5)</f>
        <v>Bravos</v>
      </c>
      <c r="B1550" s="90" t="s">
        <v>324</v>
      </c>
      <c r="C1550" s="91" t="s">
        <v>328</v>
      </c>
      <c r="D1550" s="109" t="s">
        <v>353</v>
      </c>
      <c r="E1550" s="67" t="str">
        <f>COLORES!A10</f>
        <v>Botella</v>
      </c>
      <c r="F1550" s="67" t="str">
        <f>COLORES!B10</f>
        <v>OSCURO</v>
      </c>
      <c r="G1550" s="90" t="s">
        <v>377</v>
      </c>
      <c r="H1550" s="100">
        <f>IFERROR(SUMIFS(MOVIMIENTOS_COMPLEMENTOS!$I$4:$I$803,MOVIMIENTOS_COMPLEMENTOS!$C$4:$C$803,A1550,MOVIMIENTOS_COMPLEMENTOS!$D$4:$D$803,B1550,MOVIMIENTOS_COMPLEMENTOS!$E$4:$E$803,C1550,MOVIMIENTOS_COMPLEMENTOS!$G$4:$G$803,E1550,MOVIMIENTOS_COMPLEMENTOS!$H$4:$H$803,G1550,MOVIMIENTOS_COMPLEMENTOS!$B$4:$B$803,"INGRESO")+SUMIFS(MOVIMIENTOS_COMPLEMENTOS!$I$4:$I$803,MOVIMIENTOS_COMPLEMENTOS!$C$4:$C$803,A1550,MOVIMIENTOS_COMPLEMENTOS!$D$4:$D$803,B1550,MOVIMIENTOS_COMPLEMENTOS!$E$4:$E$803,C1550,MOVIMIENTOS_COMPLEMENTOS!$G$4:$G$803,E1550,MOVIMIENTOS_COMPLEMENTOS!$H$4:$H$803,G1550,MOVIMIENTOS_COMPLEMENTOS!$B$4:$B$803,"DE CORTE")-SUMIFS(MOVIMIENTOS_COMPLEMENTOS!$I$4:$I$803,MOVIMIENTOS_COMPLEMENTOS!$C$4:$C$803,A1550,MOVIMIENTOS_COMPLEMENTOS!$D$4:$D$803,B1550,MOVIMIENTOS_COMPLEMENTOS!$E$4:$E$803,C1550,MOVIMIENTOS_COMPLEMENTOS!$G$4:$G$803,E1550,MOVIMIENTOS_COMPLEMENTOS!$H$4:$H$803,G1550,MOVIMIENTOS_COMPLEMENTOS!$B$4:$B$803,"SALIDA"),0)</f>
        <v>0</v>
      </c>
      <c r="I1550" s="102">
        <f t="array" ref="I1550">IFERROR(INDEX(PRECIOS_COMPLEMENTOS!$C$4:$F$17,MATCH(B1550&amp;"_"&amp;C1550,PRECIOS_COMPLEMENTOS!$H$4:$H$17,0),IF(OR(G1550="S",G1550="20cm"),1,IF(OR(G1550="M",G1550="25cm"),2,IF(OR(G1550="L",G1550="30cm"),3,IF(OR(G1550="XL",G1550="35cm"),4,0))))),0)</f>
        <v>0.3</v>
      </c>
      <c r="J1550" s="103">
        <f t="shared" si="1"/>
        <v>0</v>
      </c>
      <c r="K1550" s="104" t="str">
        <f>IF(H1550&lt;0,"ERROR",IF(H1550=0,"",IF(H1550&lt;CONFIG!$B$4,"CRÍTICO",IF(H1550&lt;CONFIG!$B$5,"BAJO","OK"))))</f>
        <v/>
      </c>
    </row>
    <row r="1551" ht="15.75" hidden="1" customHeight="1">
      <c r="A1551" s="90" t="str">
        <f>IF(CLIENTES!A5="","",CLIENTES!A5)</f>
        <v>Bravos</v>
      </c>
      <c r="B1551" s="90" t="s">
        <v>324</v>
      </c>
      <c r="C1551" s="91" t="s">
        <v>328</v>
      </c>
      <c r="D1551" s="109" t="s">
        <v>353</v>
      </c>
      <c r="E1551" s="67" t="str">
        <f>COLORES!A10</f>
        <v>Botella</v>
      </c>
      <c r="F1551" s="67" t="str">
        <f>COLORES!B10</f>
        <v>OSCURO</v>
      </c>
      <c r="G1551" s="90" t="s">
        <v>379</v>
      </c>
      <c r="H1551" s="100">
        <f>IFERROR(SUMIFS(MOVIMIENTOS_COMPLEMENTOS!$I$4:$I$803,MOVIMIENTOS_COMPLEMENTOS!$C$4:$C$803,A1551,MOVIMIENTOS_COMPLEMENTOS!$D$4:$D$803,B1551,MOVIMIENTOS_COMPLEMENTOS!$E$4:$E$803,C1551,MOVIMIENTOS_COMPLEMENTOS!$G$4:$G$803,E1551,MOVIMIENTOS_COMPLEMENTOS!$H$4:$H$803,G1551,MOVIMIENTOS_COMPLEMENTOS!$B$4:$B$803,"INGRESO")+SUMIFS(MOVIMIENTOS_COMPLEMENTOS!$I$4:$I$803,MOVIMIENTOS_COMPLEMENTOS!$C$4:$C$803,A1551,MOVIMIENTOS_COMPLEMENTOS!$D$4:$D$803,B1551,MOVIMIENTOS_COMPLEMENTOS!$E$4:$E$803,C1551,MOVIMIENTOS_COMPLEMENTOS!$G$4:$G$803,E1551,MOVIMIENTOS_COMPLEMENTOS!$H$4:$H$803,G1551,MOVIMIENTOS_COMPLEMENTOS!$B$4:$B$803,"DE CORTE")-SUMIFS(MOVIMIENTOS_COMPLEMENTOS!$I$4:$I$803,MOVIMIENTOS_COMPLEMENTOS!$C$4:$C$803,A1551,MOVIMIENTOS_COMPLEMENTOS!$D$4:$D$803,B1551,MOVIMIENTOS_COMPLEMENTOS!$E$4:$E$803,C1551,MOVIMIENTOS_COMPLEMENTOS!$G$4:$G$803,E1551,MOVIMIENTOS_COMPLEMENTOS!$H$4:$H$803,G1551,MOVIMIENTOS_COMPLEMENTOS!$B$4:$B$803,"SALIDA"),0)</f>
        <v>0</v>
      </c>
      <c r="I1551" s="102">
        <f t="array" ref="I1551">IFERROR(INDEX(PRECIOS_COMPLEMENTOS!$C$4:$F$17,MATCH(B1551&amp;"_"&amp;C1551,PRECIOS_COMPLEMENTOS!$H$4:$H$17,0),IF(OR(G1551="S",G1551="20cm"),1,IF(OR(G1551="M",G1551="25cm"),2,IF(OR(G1551="L",G1551="30cm"),3,IF(OR(G1551="XL",G1551="35cm"),4,0))))),0)</f>
        <v>0.3</v>
      </c>
      <c r="J1551" s="103">
        <f t="shared" si="1"/>
        <v>0</v>
      </c>
      <c r="K1551" s="104" t="str">
        <f>IF(H1551&lt;0,"ERROR",IF(H1551=0,"",IF(H1551&lt;CONFIG!$B$4,"CRÍTICO",IF(H1551&lt;CONFIG!$B$5,"BAJO","OK"))))</f>
        <v/>
      </c>
    </row>
    <row r="1552" ht="15.75" hidden="1" customHeight="1">
      <c r="A1552" s="90" t="str">
        <f>IF(CLIENTES!A5="","",CLIENTES!A5)</f>
        <v>Bravos</v>
      </c>
      <c r="B1552" s="90" t="s">
        <v>324</v>
      </c>
      <c r="C1552" s="91" t="s">
        <v>328</v>
      </c>
      <c r="D1552" s="109" t="s">
        <v>353</v>
      </c>
      <c r="E1552" s="67" t="str">
        <f>COLORES!A11</f>
        <v>Pacay</v>
      </c>
      <c r="F1552" s="67" t="str">
        <f>COLORES!B11</f>
        <v>CLARO</v>
      </c>
      <c r="G1552" s="90" t="s">
        <v>378</v>
      </c>
      <c r="H1552" s="100">
        <f>IFERROR(SUMIFS(MOVIMIENTOS_COMPLEMENTOS!$I$4:$I$803,MOVIMIENTOS_COMPLEMENTOS!$C$4:$C$803,A1552,MOVIMIENTOS_COMPLEMENTOS!$D$4:$D$803,B1552,MOVIMIENTOS_COMPLEMENTOS!$E$4:$E$803,C1552,MOVIMIENTOS_COMPLEMENTOS!$G$4:$G$803,E1552,MOVIMIENTOS_COMPLEMENTOS!$H$4:$H$803,G1552,MOVIMIENTOS_COMPLEMENTOS!$B$4:$B$803,"INGRESO")+SUMIFS(MOVIMIENTOS_COMPLEMENTOS!$I$4:$I$803,MOVIMIENTOS_COMPLEMENTOS!$C$4:$C$803,A1552,MOVIMIENTOS_COMPLEMENTOS!$D$4:$D$803,B1552,MOVIMIENTOS_COMPLEMENTOS!$E$4:$E$803,C1552,MOVIMIENTOS_COMPLEMENTOS!$G$4:$G$803,E1552,MOVIMIENTOS_COMPLEMENTOS!$H$4:$H$803,G1552,MOVIMIENTOS_COMPLEMENTOS!$B$4:$B$803,"DE CORTE")-SUMIFS(MOVIMIENTOS_COMPLEMENTOS!$I$4:$I$803,MOVIMIENTOS_COMPLEMENTOS!$C$4:$C$803,A1552,MOVIMIENTOS_COMPLEMENTOS!$D$4:$D$803,B1552,MOVIMIENTOS_COMPLEMENTOS!$E$4:$E$803,C1552,MOVIMIENTOS_COMPLEMENTOS!$G$4:$G$803,E1552,MOVIMIENTOS_COMPLEMENTOS!$H$4:$H$803,G1552,MOVIMIENTOS_COMPLEMENTOS!$B$4:$B$803,"SALIDA"),0)</f>
        <v>0</v>
      </c>
      <c r="I1552" s="102">
        <f t="array" ref="I1552">IFERROR(INDEX(PRECIOS_COMPLEMENTOS!$C$4:$F$17,MATCH(B1552&amp;"_"&amp;C1552,PRECIOS_COMPLEMENTOS!$H$4:$H$17,0),IF(OR(G1552="S",G1552="20cm"),1,IF(OR(G1552="M",G1552="25cm"),2,IF(OR(G1552="L",G1552="30cm"),3,IF(OR(G1552="XL",G1552="35cm"),4,0))))),0)</f>
        <v>0.3</v>
      </c>
      <c r="J1552" s="103">
        <f t="shared" si="1"/>
        <v>0</v>
      </c>
      <c r="K1552" s="104" t="str">
        <f>IF(H1552&lt;0,"ERROR",IF(H1552=0,"",IF(H1552&lt;CONFIG!$B$4,"CRÍTICO",IF(H1552&lt;CONFIG!$B$5,"BAJO","OK"))))</f>
        <v/>
      </c>
    </row>
    <row r="1553" ht="15.75" hidden="1" customHeight="1">
      <c r="A1553" s="90" t="str">
        <f>IF(CLIENTES!A5="","",CLIENTES!A5)</f>
        <v>Bravos</v>
      </c>
      <c r="B1553" s="90" t="s">
        <v>324</v>
      </c>
      <c r="C1553" s="91" t="s">
        <v>328</v>
      </c>
      <c r="D1553" s="109" t="s">
        <v>353</v>
      </c>
      <c r="E1553" s="67" t="str">
        <f>COLORES!A11</f>
        <v>Pacay</v>
      </c>
      <c r="F1553" s="67" t="str">
        <f>COLORES!B11</f>
        <v>CLARO</v>
      </c>
      <c r="G1553" s="90" t="s">
        <v>376</v>
      </c>
      <c r="H1553" s="100">
        <f>IFERROR(SUMIFS(MOVIMIENTOS_COMPLEMENTOS!$I$4:$I$803,MOVIMIENTOS_COMPLEMENTOS!$C$4:$C$803,A1553,MOVIMIENTOS_COMPLEMENTOS!$D$4:$D$803,B1553,MOVIMIENTOS_COMPLEMENTOS!$E$4:$E$803,C1553,MOVIMIENTOS_COMPLEMENTOS!$G$4:$G$803,E1553,MOVIMIENTOS_COMPLEMENTOS!$H$4:$H$803,G1553,MOVIMIENTOS_COMPLEMENTOS!$B$4:$B$803,"INGRESO")+SUMIFS(MOVIMIENTOS_COMPLEMENTOS!$I$4:$I$803,MOVIMIENTOS_COMPLEMENTOS!$C$4:$C$803,A1553,MOVIMIENTOS_COMPLEMENTOS!$D$4:$D$803,B1553,MOVIMIENTOS_COMPLEMENTOS!$E$4:$E$803,C1553,MOVIMIENTOS_COMPLEMENTOS!$G$4:$G$803,E1553,MOVIMIENTOS_COMPLEMENTOS!$H$4:$H$803,G1553,MOVIMIENTOS_COMPLEMENTOS!$B$4:$B$803,"DE CORTE")-SUMIFS(MOVIMIENTOS_COMPLEMENTOS!$I$4:$I$803,MOVIMIENTOS_COMPLEMENTOS!$C$4:$C$803,A1553,MOVIMIENTOS_COMPLEMENTOS!$D$4:$D$803,B1553,MOVIMIENTOS_COMPLEMENTOS!$E$4:$E$803,C1553,MOVIMIENTOS_COMPLEMENTOS!$G$4:$G$803,E1553,MOVIMIENTOS_COMPLEMENTOS!$H$4:$H$803,G1553,MOVIMIENTOS_COMPLEMENTOS!$B$4:$B$803,"SALIDA"),0)</f>
        <v>0</v>
      </c>
      <c r="I1553" s="102">
        <f t="array" ref="I1553">IFERROR(INDEX(PRECIOS_COMPLEMENTOS!$C$4:$F$17,MATCH(B1553&amp;"_"&amp;C1553,PRECIOS_COMPLEMENTOS!$H$4:$H$17,0),IF(OR(G1553="S",G1553="20cm"),1,IF(OR(G1553="M",G1553="25cm"),2,IF(OR(G1553="L",G1553="30cm"),3,IF(OR(G1553="XL",G1553="35cm"),4,0))))),0)</f>
        <v>0.3</v>
      </c>
      <c r="J1553" s="103">
        <f t="shared" si="1"/>
        <v>0</v>
      </c>
      <c r="K1553" s="104" t="str">
        <f>IF(H1553&lt;0,"ERROR",IF(H1553=0,"",IF(H1553&lt;CONFIG!$B$4,"CRÍTICO",IF(H1553&lt;CONFIG!$B$5,"BAJO","OK"))))</f>
        <v/>
      </c>
    </row>
    <row r="1554" ht="15.75" hidden="1" customHeight="1">
      <c r="A1554" s="90" t="str">
        <f>IF(CLIENTES!A5="","",CLIENTES!A5)</f>
        <v>Bravos</v>
      </c>
      <c r="B1554" s="90" t="s">
        <v>324</v>
      </c>
      <c r="C1554" s="91" t="s">
        <v>328</v>
      </c>
      <c r="D1554" s="109" t="s">
        <v>353</v>
      </c>
      <c r="E1554" s="67" t="str">
        <f>COLORES!A11</f>
        <v>Pacay</v>
      </c>
      <c r="F1554" s="67" t="str">
        <f>COLORES!B11</f>
        <v>CLARO</v>
      </c>
      <c r="G1554" s="90" t="s">
        <v>377</v>
      </c>
      <c r="H1554" s="100">
        <f>IFERROR(SUMIFS(MOVIMIENTOS_COMPLEMENTOS!$I$4:$I$803,MOVIMIENTOS_COMPLEMENTOS!$C$4:$C$803,A1554,MOVIMIENTOS_COMPLEMENTOS!$D$4:$D$803,B1554,MOVIMIENTOS_COMPLEMENTOS!$E$4:$E$803,C1554,MOVIMIENTOS_COMPLEMENTOS!$G$4:$G$803,E1554,MOVIMIENTOS_COMPLEMENTOS!$H$4:$H$803,G1554,MOVIMIENTOS_COMPLEMENTOS!$B$4:$B$803,"INGRESO")+SUMIFS(MOVIMIENTOS_COMPLEMENTOS!$I$4:$I$803,MOVIMIENTOS_COMPLEMENTOS!$C$4:$C$803,A1554,MOVIMIENTOS_COMPLEMENTOS!$D$4:$D$803,B1554,MOVIMIENTOS_COMPLEMENTOS!$E$4:$E$803,C1554,MOVIMIENTOS_COMPLEMENTOS!$G$4:$G$803,E1554,MOVIMIENTOS_COMPLEMENTOS!$H$4:$H$803,G1554,MOVIMIENTOS_COMPLEMENTOS!$B$4:$B$803,"DE CORTE")-SUMIFS(MOVIMIENTOS_COMPLEMENTOS!$I$4:$I$803,MOVIMIENTOS_COMPLEMENTOS!$C$4:$C$803,A1554,MOVIMIENTOS_COMPLEMENTOS!$D$4:$D$803,B1554,MOVIMIENTOS_COMPLEMENTOS!$E$4:$E$803,C1554,MOVIMIENTOS_COMPLEMENTOS!$G$4:$G$803,E1554,MOVIMIENTOS_COMPLEMENTOS!$H$4:$H$803,G1554,MOVIMIENTOS_COMPLEMENTOS!$B$4:$B$803,"SALIDA"),0)</f>
        <v>0</v>
      </c>
      <c r="I1554" s="102">
        <f t="array" ref="I1554">IFERROR(INDEX(PRECIOS_COMPLEMENTOS!$C$4:$F$17,MATCH(B1554&amp;"_"&amp;C1554,PRECIOS_COMPLEMENTOS!$H$4:$H$17,0),IF(OR(G1554="S",G1554="20cm"),1,IF(OR(G1554="M",G1554="25cm"),2,IF(OR(G1554="L",G1554="30cm"),3,IF(OR(G1554="XL",G1554="35cm"),4,0))))),0)</f>
        <v>0.3</v>
      </c>
      <c r="J1554" s="103">
        <f t="shared" si="1"/>
        <v>0</v>
      </c>
      <c r="K1554" s="104" t="str">
        <f>IF(H1554&lt;0,"ERROR",IF(H1554=0,"",IF(H1554&lt;CONFIG!$B$4,"CRÍTICO",IF(H1554&lt;CONFIG!$B$5,"BAJO","OK"))))</f>
        <v/>
      </c>
    </row>
    <row r="1555" ht="15.75" hidden="1" customHeight="1">
      <c r="A1555" s="90" t="str">
        <f>IF(CLIENTES!A5="","",CLIENTES!A5)</f>
        <v>Bravos</v>
      </c>
      <c r="B1555" s="90" t="s">
        <v>324</v>
      </c>
      <c r="C1555" s="91" t="s">
        <v>328</v>
      </c>
      <c r="D1555" s="109" t="s">
        <v>353</v>
      </c>
      <c r="E1555" s="67" t="str">
        <f>COLORES!A11</f>
        <v>Pacay</v>
      </c>
      <c r="F1555" s="67" t="str">
        <f>COLORES!B11</f>
        <v>CLARO</v>
      </c>
      <c r="G1555" s="90" t="s">
        <v>379</v>
      </c>
      <c r="H1555" s="100">
        <f>IFERROR(SUMIFS(MOVIMIENTOS_COMPLEMENTOS!$I$4:$I$803,MOVIMIENTOS_COMPLEMENTOS!$C$4:$C$803,A1555,MOVIMIENTOS_COMPLEMENTOS!$D$4:$D$803,B1555,MOVIMIENTOS_COMPLEMENTOS!$E$4:$E$803,C1555,MOVIMIENTOS_COMPLEMENTOS!$G$4:$G$803,E1555,MOVIMIENTOS_COMPLEMENTOS!$H$4:$H$803,G1555,MOVIMIENTOS_COMPLEMENTOS!$B$4:$B$803,"INGRESO")+SUMIFS(MOVIMIENTOS_COMPLEMENTOS!$I$4:$I$803,MOVIMIENTOS_COMPLEMENTOS!$C$4:$C$803,A1555,MOVIMIENTOS_COMPLEMENTOS!$D$4:$D$803,B1555,MOVIMIENTOS_COMPLEMENTOS!$E$4:$E$803,C1555,MOVIMIENTOS_COMPLEMENTOS!$G$4:$G$803,E1555,MOVIMIENTOS_COMPLEMENTOS!$H$4:$H$803,G1555,MOVIMIENTOS_COMPLEMENTOS!$B$4:$B$803,"DE CORTE")-SUMIFS(MOVIMIENTOS_COMPLEMENTOS!$I$4:$I$803,MOVIMIENTOS_COMPLEMENTOS!$C$4:$C$803,A1555,MOVIMIENTOS_COMPLEMENTOS!$D$4:$D$803,B1555,MOVIMIENTOS_COMPLEMENTOS!$E$4:$E$803,C1555,MOVIMIENTOS_COMPLEMENTOS!$G$4:$G$803,E1555,MOVIMIENTOS_COMPLEMENTOS!$H$4:$H$803,G1555,MOVIMIENTOS_COMPLEMENTOS!$B$4:$B$803,"SALIDA"),0)</f>
        <v>0</v>
      </c>
      <c r="I1555" s="102">
        <f t="array" ref="I1555">IFERROR(INDEX(PRECIOS_COMPLEMENTOS!$C$4:$F$17,MATCH(B1555&amp;"_"&amp;C1555,PRECIOS_COMPLEMENTOS!$H$4:$H$17,0),IF(OR(G1555="S",G1555="20cm"),1,IF(OR(G1555="M",G1555="25cm"),2,IF(OR(G1555="L",G1555="30cm"),3,IF(OR(G1555="XL",G1555="35cm"),4,0))))),0)</f>
        <v>0.3</v>
      </c>
      <c r="J1555" s="103">
        <f t="shared" si="1"/>
        <v>0</v>
      </c>
      <c r="K1555" s="104" t="str">
        <f>IF(H1555&lt;0,"ERROR",IF(H1555=0,"",IF(H1555&lt;CONFIG!$B$4,"CRÍTICO",IF(H1555&lt;CONFIG!$B$5,"BAJO","OK"))))</f>
        <v/>
      </c>
    </row>
    <row r="1556" ht="15.75" hidden="1" customHeight="1">
      <c r="A1556" s="90" t="str">
        <f>IF(CLIENTES!A5="","",CLIENTES!A5)</f>
        <v>Bravos</v>
      </c>
      <c r="B1556" s="90" t="s">
        <v>324</v>
      </c>
      <c r="C1556" s="91" t="s">
        <v>328</v>
      </c>
      <c r="D1556" s="109" t="s">
        <v>353</v>
      </c>
      <c r="E1556" s="67" t="str">
        <f>COLORES!A12</f>
        <v>Cemento</v>
      </c>
      <c r="F1556" s="67" t="str">
        <f>COLORES!B12</f>
        <v>CLARO</v>
      </c>
      <c r="G1556" s="90" t="s">
        <v>378</v>
      </c>
      <c r="H1556" s="100">
        <f>IFERROR(SUMIFS(MOVIMIENTOS_COMPLEMENTOS!$I$4:$I$803,MOVIMIENTOS_COMPLEMENTOS!$C$4:$C$803,A1556,MOVIMIENTOS_COMPLEMENTOS!$D$4:$D$803,B1556,MOVIMIENTOS_COMPLEMENTOS!$E$4:$E$803,C1556,MOVIMIENTOS_COMPLEMENTOS!$G$4:$G$803,E1556,MOVIMIENTOS_COMPLEMENTOS!$H$4:$H$803,G1556,MOVIMIENTOS_COMPLEMENTOS!$B$4:$B$803,"INGRESO")+SUMIFS(MOVIMIENTOS_COMPLEMENTOS!$I$4:$I$803,MOVIMIENTOS_COMPLEMENTOS!$C$4:$C$803,A1556,MOVIMIENTOS_COMPLEMENTOS!$D$4:$D$803,B1556,MOVIMIENTOS_COMPLEMENTOS!$E$4:$E$803,C1556,MOVIMIENTOS_COMPLEMENTOS!$G$4:$G$803,E1556,MOVIMIENTOS_COMPLEMENTOS!$H$4:$H$803,G1556,MOVIMIENTOS_COMPLEMENTOS!$B$4:$B$803,"DE CORTE")-SUMIFS(MOVIMIENTOS_COMPLEMENTOS!$I$4:$I$803,MOVIMIENTOS_COMPLEMENTOS!$C$4:$C$803,A1556,MOVIMIENTOS_COMPLEMENTOS!$D$4:$D$803,B1556,MOVIMIENTOS_COMPLEMENTOS!$E$4:$E$803,C1556,MOVIMIENTOS_COMPLEMENTOS!$G$4:$G$803,E1556,MOVIMIENTOS_COMPLEMENTOS!$H$4:$H$803,G1556,MOVIMIENTOS_COMPLEMENTOS!$B$4:$B$803,"SALIDA"),0)</f>
        <v>0</v>
      </c>
      <c r="I1556" s="102">
        <f t="array" ref="I1556">IFERROR(INDEX(PRECIOS_COMPLEMENTOS!$C$4:$F$17,MATCH(B1556&amp;"_"&amp;C1556,PRECIOS_COMPLEMENTOS!$H$4:$H$17,0),IF(OR(G1556="S",G1556="20cm"),1,IF(OR(G1556="M",G1556="25cm"),2,IF(OR(G1556="L",G1556="30cm"),3,IF(OR(G1556="XL",G1556="35cm"),4,0))))),0)</f>
        <v>0.3</v>
      </c>
      <c r="J1556" s="103">
        <f t="shared" si="1"/>
        <v>0</v>
      </c>
      <c r="K1556" s="104" t="str">
        <f>IF(H1556&lt;0,"ERROR",IF(H1556=0,"",IF(H1556&lt;CONFIG!$B$4,"CRÍTICO",IF(H1556&lt;CONFIG!$B$5,"BAJO","OK"))))</f>
        <v/>
      </c>
    </row>
    <row r="1557" ht="15.75" hidden="1" customHeight="1">
      <c r="A1557" s="90" t="str">
        <f>IF(CLIENTES!A5="","",CLIENTES!A5)</f>
        <v>Bravos</v>
      </c>
      <c r="B1557" s="90" t="s">
        <v>324</v>
      </c>
      <c r="C1557" s="91" t="s">
        <v>328</v>
      </c>
      <c r="D1557" s="109" t="s">
        <v>353</v>
      </c>
      <c r="E1557" s="67" t="str">
        <f>COLORES!A12</f>
        <v>Cemento</v>
      </c>
      <c r="F1557" s="67" t="str">
        <f>COLORES!B12</f>
        <v>CLARO</v>
      </c>
      <c r="G1557" s="90" t="s">
        <v>376</v>
      </c>
      <c r="H1557" s="100">
        <f>IFERROR(SUMIFS(MOVIMIENTOS_COMPLEMENTOS!$I$4:$I$803,MOVIMIENTOS_COMPLEMENTOS!$C$4:$C$803,A1557,MOVIMIENTOS_COMPLEMENTOS!$D$4:$D$803,B1557,MOVIMIENTOS_COMPLEMENTOS!$E$4:$E$803,C1557,MOVIMIENTOS_COMPLEMENTOS!$G$4:$G$803,E1557,MOVIMIENTOS_COMPLEMENTOS!$H$4:$H$803,G1557,MOVIMIENTOS_COMPLEMENTOS!$B$4:$B$803,"INGRESO")+SUMIFS(MOVIMIENTOS_COMPLEMENTOS!$I$4:$I$803,MOVIMIENTOS_COMPLEMENTOS!$C$4:$C$803,A1557,MOVIMIENTOS_COMPLEMENTOS!$D$4:$D$803,B1557,MOVIMIENTOS_COMPLEMENTOS!$E$4:$E$803,C1557,MOVIMIENTOS_COMPLEMENTOS!$G$4:$G$803,E1557,MOVIMIENTOS_COMPLEMENTOS!$H$4:$H$803,G1557,MOVIMIENTOS_COMPLEMENTOS!$B$4:$B$803,"DE CORTE")-SUMIFS(MOVIMIENTOS_COMPLEMENTOS!$I$4:$I$803,MOVIMIENTOS_COMPLEMENTOS!$C$4:$C$803,A1557,MOVIMIENTOS_COMPLEMENTOS!$D$4:$D$803,B1557,MOVIMIENTOS_COMPLEMENTOS!$E$4:$E$803,C1557,MOVIMIENTOS_COMPLEMENTOS!$G$4:$G$803,E1557,MOVIMIENTOS_COMPLEMENTOS!$H$4:$H$803,G1557,MOVIMIENTOS_COMPLEMENTOS!$B$4:$B$803,"SALIDA"),0)</f>
        <v>0</v>
      </c>
      <c r="I1557" s="102">
        <f t="array" ref="I1557">IFERROR(INDEX(PRECIOS_COMPLEMENTOS!$C$4:$F$17,MATCH(B1557&amp;"_"&amp;C1557,PRECIOS_COMPLEMENTOS!$H$4:$H$17,0),IF(OR(G1557="S",G1557="20cm"),1,IF(OR(G1557="M",G1557="25cm"),2,IF(OR(G1557="L",G1557="30cm"),3,IF(OR(G1557="XL",G1557="35cm"),4,0))))),0)</f>
        <v>0.3</v>
      </c>
      <c r="J1557" s="103">
        <f t="shared" si="1"/>
        <v>0</v>
      </c>
      <c r="K1557" s="104" t="str">
        <f>IF(H1557&lt;0,"ERROR",IF(H1557=0,"",IF(H1557&lt;CONFIG!$B$4,"CRÍTICO",IF(H1557&lt;CONFIG!$B$5,"BAJO","OK"))))</f>
        <v/>
      </c>
    </row>
    <row r="1558" ht="15.75" hidden="1" customHeight="1">
      <c r="A1558" s="90" t="str">
        <f>IF(CLIENTES!A5="","",CLIENTES!A5)</f>
        <v>Bravos</v>
      </c>
      <c r="B1558" s="90" t="s">
        <v>324</v>
      </c>
      <c r="C1558" s="91" t="s">
        <v>328</v>
      </c>
      <c r="D1558" s="109" t="s">
        <v>353</v>
      </c>
      <c r="E1558" s="67" t="str">
        <f>COLORES!A12</f>
        <v>Cemento</v>
      </c>
      <c r="F1558" s="67" t="str">
        <f>COLORES!B12</f>
        <v>CLARO</v>
      </c>
      <c r="G1558" s="90" t="s">
        <v>377</v>
      </c>
      <c r="H1558" s="100">
        <f>IFERROR(SUMIFS(MOVIMIENTOS_COMPLEMENTOS!$I$4:$I$803,MOVIMIENTOS_COMPLEMENTOS!$C$4:$C$803,A1558,MOVIMIENTOS_COMPLEMENTOS!$D$4:$D$803,B1558,MOVIMIENTOS_COMPLEMENTOS!$E$4:$E$803,C1558,MOVIMIENTOS_COMPLEMENTOS!$G$4:$G$803,E1558,MOVIMIENTOS_COMPLEMENTOS!$H$4:$H$803,G1558,MOVIMIENTOS_COMPLEMENTOS!$B$4:$B$803,"INGRESO")+SUMIFS(MOVIMIENTOS_COMPLEMENTOS!$I$4:$I$803,MOVIMIENTOS_COMPLEMENTOS!$C$4:$C$803,A1558,MOVIMIENTOS_COMPLEMENTOS!$D$4:$D$803,B1558,MOVIMIENTOS_COMPLEMENTOS!$E$4:$E$803,C1558,MOVIMIENTOS_COMPLEMENTOS!$G$4:$G$803,E1558,MOVIMIENTOS_COMPLEMENTOS!$H$4:$H$803,G1558,MOVIMIENTOS_COMPLEMENTOS!$B$4:$B$803,"DE CORTE")-SUMIFS(MOVIMIENTOS_COMPLEMENTOS!$I$4:$I$803,MOVIMIENTOS_COMPLEMENTOS!$C$4:$C$803,A1558,MOVIMIENTOS_COMPLEMENTOS!$D$4:$D$803,B1558,MOVIMIENTOS_COMPLEMENTOS!$E$4:$E$803,C1558,MOVIMIENTOS_COMPLEMENTOS!$G$4:$G$803,E1558,MOVIMIENTOS_COMPLEMENTOS!$H$4:$H$803,G1558,MOVIMIENTOS_COMPLEMENTOS!$B$4:$B$803,"SALIDA"),0)</f>
        <v>0</v>
      </c>
      <c r="I1558" s="102">
        <f t="array" ref="I1558">IFERROR(INDEX(PRECIOS_COMPLEMENTOS!$C$4:$F$17,MATCH(B1558&amp;"_"&amp;C1558,PRECIOS_COMPLEMENTOS!$H$4:$H$17,0),IF(OR(G1558="S",G1558="20cm"),1,IF(OR(G1558="M",G1558="25cm"),2,IF(OR(G1558="L",G1558="30cm"),3,IF(OR(G1558="XL",G1558="35cm"),4,0))))),0)</f>
        <v>0.3</v>
      </c>
      <c r="J1558" s="103">
        <f t="shared" si="1"/>
        <v>0</v>
      </c>
      <c r="K1558" s="104" t="str">
        <f>IF(H1558&lt;0,"ERROR",IF(H1558=0,"",IF(H1558&lt;CONFIG!$B$4,"CRÍTICO",IF(H1558&lt;CONFIG!$B$5,"BAJO","OK"))))</f>
        <v/>
      </c>
    </row>
    <row r="1559" ht="15.75" hidden="1" customHeight="1">
      <c r="A1559" s="90" t="str">
        <f>IF(CLIENTES!A5="","",CLIENTES!A5)</f>
        <v>Bravos</v>
      </c>
      <c r="B1559" s="90" t="s">
        <v>324</v>
      </c>
      <c r="C1559" s="91" t="s">
        <v>328</v>
      </c>
      <c r="D1559" s="109" t="s">
        <v>353</v>
      </c>
      <c r="E1559" s="67" t="str">
        <f>COLORES!A12</f>
        <v>Cemento</v>
      </c>
      <c r="F1559" s="67" t="str">
        <f>COLORES!B12</f>
        <v>CLARO</v>
      </c>
      <c r="G1559" s="90" t="s">
        <v>379</v>
      </c>
      <c r="H1559" s="100">
        <f>IFERROR(SUMIFS(MOVIMIENTOS_COMPLEMENTOS!$I$4:$I$803,MOVIMIENTOS_COMPLEMENTOS!$C$4:$C$803,A1559,MOVIMIENTOS_COMPLEMENTOS!$D$4:$D$803,B1559,MOVIMIENTOS_COMPLEMENTOS!$E$4:$E$803,C1559,MOVIMIENTOS_COMPLEMENTOS!$G$4:$G$803,E1559,MOVIMIENTOS_COMPLEMENTOS!$H$4:$H$803,G1559,MOVIMIENTOS_COMPLEMENTOS!$B$4:$B$803,"INGRESO")+SUMIFS(MOVIMIENTOS_COMPLEMENTOS!$I$4:$I$803,MOVIMIENTOS_COMPLEMENTOS!$C$4:$C$803,A1559,MOVIMIENTOS_COMPLEMENTOS!$D$4:$D$803,B1559,MOVIMIENTOS_COMPLEMENTOS!$E$4:$E$803,C1559,MOVIMIENTOS_COMPLEMENTOS!$G$4:$G$803,E1559,MOVIMIENTOS_COMPLEMENTOS!$H$4:$H$803,G1559,MOVIMIENTOS_COMPLEMENTOS!$B$4:$B$803,"DE CORTE")-SUMIFS(MOVIMIENTOS_COMPLEMENTOS!$I$4:$I$803,MOVIMIENTOS_COMPLEMENTOS!$C$4:$C$803,A1559,MOVIMIENTOS_COMPLEMENTOS!$D$4:$D$803,B1559,MOVIMIENTOS_COMPLEMENTOS!$E$4:$E$803,C1559,MOVIMIENTOS_COMPLEMENTOS!$G$4:$G$803,E1559,MOVIMIENTOS_COMPLEMENTOS!$H$4:$H$803,G1559,MOVIMIENTOS_COMPLEMENTOS!$B$4:$B$803,"SALIDA"),0)</f>
        <v>0</v>
      </c>
      <c r="I1559" s="102">
        <f t="array" ref="I1559">IFERROR(INDEX(PRECIOS_COMPLEMENTOS!$C$4:$F$17,MATCH(B1559&amp;"_"&amp;C1559,PRECIOS_COMPLEMENTOS!$H$4:$H$17,0),IF(OR(G1559="S",G1559="20cm"),1,IF(OR(G1559="M",G1559="25cm"),2,IF(OR(G1559="L",G1559="30cm"),3,IF(OR(G1559="XL",G1559="35cm"),4,0))))),0)</f>
        <v>0.3</v>
      </c>
      <c r="J1559" s="103">
        <f t="shared" si="1"/>
        <v>0</v>
      </c>
      <c r="K1559" s="104" t="str">
        <f>IF(H1559&lt;0,"ERROR",IF(H1559=0,"",IF(H1559&lt;CONFIG!$B$4,"CRÍTICO",IF(H1559&lt;CONFIG!$B$5,"BAJO","OK"))))</f>
        <v/>
      </c>
    </row>
    <row r="1560" ht="15.75" hidden="1" customHeight="1">
      <c r="A1560" s="90" t="str">
        <f>IF(CLIENTES!A5="","",CLIENTES!A5)</f>
        <v>Bravos</v>
      </c>
      <c r="B1560" s="90" t="s">
        <v>324</v>
      </c>
      <c r="C1560" s="91" t="s">
        <v>328</v>
      </c>
      <c r="D1560" s="109" t="s">
        <v>353</v>
      </c>
      <c r="E1560" s="67" t="str">
        <f>COLORES!A13</f>
        <v>Camote</v>
      </c>
      <c r="F1560" s="67" t="str">
        <f>COLORES!B13</f>
        <v>CLARO</v>
      </c>
      <c r="G1560" s="90" t="s">
        <v>378</v>
      </c>
      <c r="H1560" s="100">
        <f>IFERROR(SUMIFS(MOVIMIENTOS_COMPLEMENTOS!$I$4:$I$803,MOVIMIENTOS_COMPLEMENTOS!$C$4:$C$803,A1560,MOVIMIENTOS_COMPLEMENTOS!$D$4:$D$803,B1560,MOVIMIENTOS_COMPLEMENTOS!$E$4:$E$803,C1560,MOVIMIENTOS_COMPLEMENTOS!$G$4:$G$803,E1560,MOVIMIENTOS_COMPLEMENTOS!$H$4:$H$803,G1560,MOVIMIENTOS_COMPLEMENTOS!$B$4:$B$803,"INGRESO")+SUMIFS(MOVIMIENTOS_COMPLEMENTOS!$I$4:$I$803,MOVIMIENTOS_COMPLEMENTOS!$C$4:$C$803,A1560,MOVIMIENTOS_COMPLEMENTOS!$D$4:$D$803,B1560,MOVIMIENTOS_COMPLEMENTOS!$E$4:$E$803,C1560,MOVIMIENTOS_COMPLEMENTOS!$G$4:$G$803,E1560,MOVIMIENTOS_COMPLEMENTOS!$H$4:$H$803,G1560,MOVIMIENTOS_COMPLEMENTOS!$B$4:$B$803,"DE CORTE")-SUMIFS(MOVIMIENTOS_COMPLEMENTOS!$I$4:$I$803,MOVIMIENTOS_COMPLEMENTOS!$C$4:$C$803,A1560,MOVIMIENTOS_COMPLEMENTOS!$D$4:$D$803,B1560,MOVIMIENTOS_COMPLEMENTOS!$E$4:$E$803,C1560,MOVIMIENTOS_COMPLEMENTOS!$G$4:$G$803,E1560,MOVIMIENTOS_COMPLEMENTOS!$H$4:$H$803,G1560,MOVIMIENTOS_COMPLEMENTOS!$B$4:$B$803,"SALIDA"),0)</f>
        <v>0</v>
      </c>
      <c r="I1560" s="102">
        <f t="array" ref="I1560">IFERROR(INDEX(PRECIOS_COMPLEMENTOS!$C$4:$F$17,MATCH(B1560&amp;"_"&amp;C1560,PRECIOS_COMPLEMENTOS!$H$4:$H$17,0),IF(OR(G1560="S",G1560="20cm"),1,IF(OR(G1560="M",G1560="25cm"),2,IF(OR(G1560="L",G1560="30cm"),3,IF(OR(G1560="XL",G1560="35cm"),4,0))))),0)</f>
        <v>0.3</v>
      </c>
      <c r="J1560" s="103">
        <f t="shared" si="1"/>
        <v>0</v>
      </c>
      <c r="K1560" s="104" t="str">
        <f>IF(H1560&lt;0,"ERROR",IF(H1560=0,"",IF(H1560&lt;CONFIG!$B$4,"CRÍTICO",IF(H1560&lt;CONFIG!$B$5,"BAJO","OK"))))</f>
        <v/>
      </c>
    </row>
    <row r="1561" ht="15.75" hidden="1" customHeight="1">
      <c r="A1561" s="90" t="str">
        <f>IF(CLIENTES!A5="","",CLIENTES!A5)</f>
        <v>Bravos</v>
      </c>
      <c r="B1561" s="90" t="s">
        <v>324</v>
      </c>
      <c r="C1561" s="91" t="s">
        <v>328</v>
      </c>
      <c r="D1561" s="109" t="s">
        <v>353</v>
      </c>
      <c r="E1561" s="67" t="str">
        <f>COLORES!A13</f>
        <v>Camote</v>
      </c>
      <c r="F1561" s="67" t="str">
        <f>COLORES!B13</f>
        <v>CLARO</v>
      </c>
      <c r="G1561" s="90" t="s">
        <v>376</v>
      </c>
      <c r="H1561" s="100">
        <f>IFERROR(SUMIFS(MOVIMIENTOS_COMPLEMENTOS!$I$4:$I$803,MOVIMIENTOS_COMPLEMENTOS!$C$4:$C$803,A1561,MOVIMIENTOS_COMPLEMENTOS!$D$4:$D$803,B1561,MOVIMIENTOS_COMPLEMENTOS!$E$4:$E$803,C1561,MOVIMIENTOS_COMPLEMENTOS!$G$4:$G$803,E1561,MOVIMIENTOS_COMPLEMENTOS!$H$4:$H$803,G1561,MOVIMIENTOS_COMPLEMENTOS!$B$4:$B$803,"INGRESO")+SUMIFS(MOVIMIENTOS_COMPLEMENTOS!$I$4:$I$803,MOVIMIENTOS_COMPLEMENTOS!$C$4:$C$803,A1561,MOVIMIENTOS_COMPLEMENTOS!$D$4:$D$803,B1561,MOVIMIENTOS_COMPLEMENTOS!$E$4:$E$803,C1561,MOVIMIENTOS_COMPLEMENTOS!$G$4:$G$803,E1561,MOVIMIENTOS_COMPLEMENTOS!$H$4:$H$803,G1561,MOVIMIENTOS_COMPLEMENTOS!$B$4:$B$803,"DE CORTE")-SUMIFS(MOVIMIENTOS_COMPLEMENTOS!$I$4:$I$803,MOVIMIENTOS_COMPLEMENTOS!$C$4:$C$803,A1561,MOVIMIENTOS_COMPLEMENTOS!$D$4:$D$803,B1561,MOVIMIENTOS_COMPLEMENTOS!$E$4:$E$803,C1561,MOVIMIENTOS_COMPLEMENTOS!$G$4:$G$803,E1561,MOVIMIENTOS_COMPLEMENTOS!$H$4:$H$803,G1561,MOVIMIENTOS_COMPLEMENTOS!$B$4:$B$803,"SALIDA"),0)</f>
        <v>0</v>
      </c>
      <c r="I1561" s="102">
        <f t="array" ref="I1561">IFERROR(INDEX(PRECIOS_COMPLEMENTOS!$C$4:$F$17,MATCH(B1561&amp;"_"&amp;C1561,PRECIOS_COMPLEMENTOS!$H$4:$H$17,0),IF(OR(G1561="S",G1561="20cm"),1,IF(OR(G1561="M",G1561="25cm"),2,IF(OR(G1561="L",G1561="30cm"),3,IF(OR(G1561="XL",G1561="35cm"),4,0))))),0)</f>
        <v>0.3</v>
      </c>
      <c r="J1561" s="103">
        <f t="shared" si="1"/>
        <v>0</v>
      </c>
      <c r="K1561" s="104" t="str">
        <f>IF(H1561&lt;0,"ERROR",IF(H1561=0,"",IF(H1561&lt;CONFIG!$B$4,"CRÍTICO",IF(H1561&lt;CONFIG!$B$5,"BAJO","OK"))))</f>
        <v/>
      </c>
    </row>
    <row r="1562" ht="15.75" hidden="1" customHeight="1">
      <c r="A1562" s="90" t="str">
        <f>IF(CLIENTES!A5="","",CLIENTES!A5)</f>
        <v>Bravos</v>
      </c>
      <c r="B1562" s="90" t="s">
        <v>324</v>
      </c>
      <c r="C1562" s="91" t="s">
        <v>328</v>
      </c>
      <c r="D1562" s="109" t="s">
        <v>353</v>
      </c>
      <c r="E1562" s="67" t="str">
        <f>COLORES!A13</f>
        <v>Camote</v>
      </c>
      <c r="F1562" s="67" t="str">
        <f>COLORES!B13</f>
        <v>CLARO</v>
      </c>
      <c r="G1562" s="90" t="s">
        <v>377</v>
      </c>
      <c r="H1562" s="100">
        <f>IFERROR(SUMIFS(MOVIMIENTOS_COMPLEMENTOS!$I$4:$I$803,MOVIMIENTOS_COMPLEMENTOS!$C$4:$C$803,A1562,MOVIMIENTOS_COMPLEMENTOS!$D$4:$D$803,B1562,MOVIMIENTOS_COMPLEMENTOS!$E$4:$E$803,C1562,MOVIMIENTOS_COMPLEMENTOS!$G$4:$G$803,E1562,MOVIMIENTOS_COMPLEMENTOS!$H$4:$H$803,G1562,MOVIMIENTOS_COMPLEMENTOS!$B$4:$B$803,"INGRESO")+SUMIFS(MOVIMIENTOS_COMPLEMENTOS!$I$4:$I$803,MOVIMIENTOS_COMPLEMENTOS!$C$4:$C$803,A1562,MOVIMIENTOS_COMPLEMENTOS!$D$4:$D$803,B1562,MOVIMIENTOS_COMPLEMENTOS!$E$4:$E$803,C1562,MOVIMIENTOS_COMPLEMENTOS!$G$4:$G$803,E1562,MOVIMIENTOS_COMPLEMENTOS!$H$4:$H$803,G1562,MOVIMIENTOS_COMPLEMENTOS!$B$4:$B$803,"DE CORTE")-SUMIFS(MOVIMIENTOS_COMPLEMENTOS!$I$4:$I$803,MOVIMIENTOS_COMPLEMENTOS!$C$4:$C$803,A1562,MOVIMIENTOS_COMPLEMENTOS!$D$4:$D$803,B1562,MOVIMIENTOS_COMPLEMENTOS!$E$4:$E$803,C1562,MOVIMIENTOS_COMPLEMENTOS!$G$4:$G$803,E1562,MOVIMIENTOS_COMPLEMENTOS!$H$4:$H$803,G1562,MOVIMIENTOS_COMPLEMENTOS!$B$4:$B$803,"SALIDA"),0)</f>
        <v>0</v>
      </c>
      <c r="I1562" s="102">
        <f t="array" ref="I1562">IFERROR(INDEX(PRECIOS_COMPLEMENTOS!$C$4:$F$17,MATCH(B1562&amp;"_"&amp;C1562,PRECIOS_COMPLEMENTOS!$H$4:$H$17,0),IF(OR(G1562="S",G1562="20cm"),1,IF(OR(G1562="M",G1562="25cm"),2,IF(OR(G1562="L",G1562="30cm"),3,IF(OR(G1562="XL",G1562="35cm"),4,0))))),0)</f>
        <v>0.3</v>
      </c>
      <c r="J1562" s="103">
        <f t="shared" si="1"/>
        <v>0</v>
      </c>
      <c r="K1562" s="104" t="str">
        <f>IF(H1562&lt;0,"ERROR",IF(H1562=0,"",IF(H1562&lt;CONFIG!$B$4,"CRÍTICO",IF(H1562&lt;CONFIG!$B$5,"BAJO","OK"))))</f>
        <v/>
      </c>
    </row>
    <row r="1563" ht="15.75" hidden="1" customHeight="1">
      <c r="A1563" s="90" t="str">
        <f>IF(CLIENTES!A5="","",CLIENTES!A5)</f>
        <v>Bravos</v>
      </c>
      <c r="B1563" s="90" t="s">
        <v>324</v>
      </c>
      <c r="C1563" s="91" t="s">
        <v>328</v>
      </c>
      <c r="D1563" s="109" t="s">
        <v>353</v>
      </c>
      <c r="E1563" s="67" t="str">
        <f>COLORES!A13</f>
        <v>Camote</v>
      </c>
      <c r="F1563" s="67" t="str">
        <f>COLORES!B13</f>
        <v>CLARO</v>
      </c>
      <c r="G1563" s="90" t="s">
        <v>379</v>
      </c>
      <c r="H1563" s="100">
        <f>IFERROR(SUMIFS(MOVIMIENTOS_COMPLEMENTOS!$I$4:$I$803,MOVIMIENTOS_COMPLEMENTOS!$C$4:$C$803,A1563,MOVIMIENTOS_COMPLEMENTOS!$D$4:$D$803,B1563,MOVIMIENTOS_COMPLEMENTOS!$E$4:$E$803,C1563,MOVIMIENTOS_COMPLEMENTOS!$G$4:$G$803,E1563,MOVIMIENTOS_COMPLEMENTOS!$H$4:$H$803,G1563,MOVIMIENTOS_COMPLEMENTOS!$B$4:$B$803,"INGRESO")+SUMIFS(MOVIMIENTOS_COMPLEMENTOS!$I$4:$I$803,MOVIMIENTOS_COMPLEMENTOS!$C$4:$C$803,A1563,MOVIMIENTOS_COMPLEMENTOS!$D$4:$D$803,B1563,MOVIMIENTOS_COMPLEMENTOS!$E$4:$E$803,C1563,MOVIMIENTOS_COMPLEMENTOS!$G$4:$G$803,E1563,MOVIMIENTOS_COMPLEMENTOS!$H$4:$H$803,G1563,MOVIMIENTOS_COMPLEMENTOS!$B$4:$B$803,"DE CORTE")-SUMIFS(MOVIMIENTOS_COMPLEMENTOS!$I$4:$I$803,MOVIMIENTOS_COMPLEMENTOS!$C$4:$C$803,A1563,MOVIMIENTOS_COMPLEMENTOS!$D$4:$D$803,B1563,MOVIMIENTOS_COMPLEMENTOS!$E$4:$E$803,C1563,MOVIMIENTOS_COMPLEMENTOS!$G$4:$G$803,E1563,MOVIMIENTOS_COMPLEMENTOS!$H$4:$H$803,G1563,MOVIMIENTOS_COMPLEMENTOS!$B$4:$B$803,"SALIDA"),0)</f>
        <v>0</v>
      </c>
      <c r="I1563" s="102">
        <f t="array" ref="I1563">IFERROR(INDEX(PRECIOS_COMPLEMENTOS!$C$4:$F$17,MATCH(B1563&amp;"_"&amp;C1563,PRECIOS_COMPLEMENTOS!$H$4:$H$17,0),IF(OR(G1563="S",G1563="20cm"),1,IF(OR(G1563="M",G1563="25cm"),2,IF(OR(G1563="L",G1563="30cm"),3,IF(OR(G1563="XL",G1563="35cm"),4,0))))),0)</f>
        <v>0.3</v>
      </c>
      <c r="J1563" s="103">
        <f t="shared" si="1"/>
        <v>0</v>
      </c>
      <c r="K1563" s="104" t="str">
        <f>IF(H1563&lt;0,"ERROR",IF(H1563=0,"",IF(H1563&lt;CONFIG!$B$4,"CRÍTICO",IF(H1563&lt;CONFIG!$B$5,"BAJO","OK"))))</f>
        <v/>
      </c>
    </row>
    <row r="1564" ht="15.75" hidden="1" customHeight="1">
      <c r="A1564" s="90" t="str">
        <f>IF(CLIENTES!A5="","",CLIENTES!A5)</f>
        <v>Bravos</v>
      </c>
      <c r="B1564" s="90" t="s">
        <v>324</v>
      </c>
      <c r="C1564" s="91" t="s">
        <v>328</v>
      </c>
      <c r="D1564" s="109" t="s">
        <v>353</v>
      </c>
      <c r="E1564" s="67" t="str">
        <f>COLORES!A14</f>
        <v>Denim</v>
      </c>
      <c r="F1564" s="67" t="str">
        <f>COLORES!B14</f>
        <v>CLARO</v>
      </c>
      <c r="G1564" s="90" t="s">
        <v>378</v>
      </c>
      <c r="H1564" s="100">
        <f>IFERROR(SUMIFS(MOVIMIENTOS_COMPLEMENTOS!$I$4:$I$803,MOVIMIENTOS_COMPLEMENTOS!$C$4:$C$803,A1564,MOVIMIENTOS_COMPLEMENTOS!$D$4:$D$803,B1564,MOVIMIENTOS_COMPLEMENTOS!$E$4:$E$803,C1564,MOVIMIENTOS_COMPLEMENTOS!$G$4:$G$803,E1564,MOVIMIENTOS_COMPLEMENTOS!$H$4:$H$803,G1564,MOVIMIENTOS_COMPLEMENTOS!$B$4:$B$803,"INGRESO")+SUMIFS(MOVIMIENTOS_COMPLEMENTOS!$I$4:$I$803,MOVIMIENTOS_COMPLEMENTOS!$C$4:$C$803,A1564,MOVIMIENTOS_COMPLEMENTOS!$D$4:$D$803,B1564,MOVIMIENTOS_COMPLEMENTOS!$E$4:$E$803,C1564,MOVIMIENTOS_COMPLEMENTOS!$G$4:$G$803,E1564,MOVIMIENTOS_COMPLEMENTOS!$H$4:$H$803,G1564,MOVIMIENTOS_COMPLEMENTOS!$B$4:$B$803,"DE CORTE")-SUMIFS(MOVIMIENTOS_COMPLEMENTOS!$I$4:$I$803,MOVIMIENTOS_COMPLEMENTOS!$C$4:$C$803,A1564,MOVIMIENTOS_COMPLEMENTOS!$D$4:$D$803,B1564,MOVIMIENTOS_COMPLEMENTOS!$E$4:$E$803,C1564,MOVIMIENTOS_COMPLEMENTOS!$G$4:$G$803,E1564,MOVIMIENTOS_COMPLEMENTOS!$H$4:$H$803,G1564,MOVIMIENTOS_COMPLEMENTOS!$B$4:$B$803,"SALIDA"),0)</f>
        <v>0</v>
      </c>
      <c r="I1564" s="102">
        <f t="array" ref="I1564">IFERROR(INDEX(PRECIOS_COMPLEMENTOS!$C$4:$F$17,MATCH(B1564&amp;"_"&amp;C1564,PRECIOS_COMPLEMENTOS!$H$4:$H$17,0),IF(OR(G1564="S",G1564="20cm"),1,IF(OR(G1564="M",G1564="25cm"),2,IF(OR(G1564="L",G1564="30cm"),3,IF(OR(G1564="XL",G1564="35cm"),4,0))))),0)</f>
        <v>0.3</v>
      </c>
      <c r="J1564" s="103">
        <f t="shared" si="1"/>
        <v>0</v>
      </c>
      <c r="K1564" s="104" t="str">
        <f>IF(H1564&lt;0,"ERROR",IF(H1564=0,"",IF(H1564&lt;CONFIG!$B$4,"CRÍTICO",IF(H1564&lt;CONFIG!$B$5,"BAJO","OK"))))</f>
        <v/>
      </c>
    </row>
    <row r="1565" ht="15.75" hidden="1" customHeight="1">
      <c r="A1565" s="90" t="str">
        <f>IF(CLIENTES!A5="","",CLIENTES!A5)</f>
        <v>Bravos</v>
      </c>
      <c r="B1565" s="90" t="s">
        <v>324</v>
      </c>
      <c r="C1565" s="91" t="s">
        <v>328</v>
      </c>
      <c r="D1565" s="109" t="s">
        <v>353</v>
      </c>
      <c r="E1565" s="67" t="str">
        <f>COLORES!A14</f>
        <v>Denim</v>
      </c>
      <c r="F1565" s="67" t="str">
        <f>COLORES!B14</f>
        <v>CLARO</v>
      </c>
      <c r="G1565" s="90" t="s">
        <v>376</v>
      </c>
      <c r="H1565" s="100">
        <f>IFERROR(SUMIFS(MOVIMIENTOS_COMPLEMENTOS!$I$4:$I$803,MOVIMIENTOS_COMPLEMENTOS!$C$4:$C$803,A1565,MOVIMIENTOS_COMPLEMENTOS!$D$4:$D$803,B1565,MOVIMIENTOS_COMPLEMENTOS!$E$4:$E$803,C1565,MOVIMIENTOS_COMPLEMENTOS!$G$4:$G$803,E1565,MOVIMIENTOS_COMPLEMENTOS!$H$4:$H$803,G1565,MOVIMIENTOS_COMPLEMENTOS!$B$4:$B$803,"INGRESO")+SUMIFS(MOVIMIENTOS_COMPLEMENTOS!$I$4:$I$803,MOVIMIENTOS_COMPLEMENTOS!$C$4:$C$803,A1565,MOVIMIENTOS_COMPLEMENTOS!$D$4:$D$803,B1565,MOVIMIENTOS_COMPLEMENTOS!$E$4:$E$803,C1565,MOVIMIENTOS_COMPLEMENTOS!$G$4:$G$803,E1565,MOVIMIENTOS_COMPLEMENTOS!$H$4:$H$803,G1565,MOVIMIENTOS_COMPLEMENTOS!$B$4:$B$803,"DE CORTE")-SUMIFS(MOVIMIENTOS_COMPLEMENTOS!$I$4:$I$803,MOVIMIENTOS_COMPLEMENTOS!$C$4:$C$803,A1565,MOVIMIENTOS_COMPLEMENTOS!$D$4:$D$803,B1565,MOVIMIENTOS_COMPLEMENTOS!$E$4:$E$803,C1565,MOVIMIENTOS_COMPLEMENTOS!$G$4:$G$803,E1565,MOVIMIENTOS_COMPLEMENTOS!$H$4:$H$803,G1565,MOVIMIENTOS_COMPLEMENTOS!$B$4:$B$803,"SALIDA"),0)</f>
        <v>0</v>
      </c>
      <c r="I1565" s="102">
        <f t="array" ref="I1565">IFERROR(INDEX(PRECIOS_COMPLEMENTOS!$C$4:$F$17,MATCH(B1565&amp;"_"&amp;C1565,PRECIOS_COMPLEMENTOS!$H$4:$H$17,0),IF(OR(G1565="S",G1565="20cm"),1,IF(OR(G1565="M",G1565="25cm"),2,IF(OR(G1565="L",G1565="30cm"),3,IF(OR(G1565="XL",G1565="35cm"),4,0))))),0)</f>
        <v>0.3</v>
      </c>
      <c r="J1565" s="103">
        <f t="shared" si="1"/>
        <v>0</v>
      </c>
      <c r="K1565" s="104" t="str">
        <f>IF(H1565&lt;0,"ERROR",IF(H1565=0,"",IF(H1565&lt;CONFIG!$B$4,"CRÍTICO",IF(H1565&lt;CONFIG!$B$5,"BAJO","OK"))))</f>
        <v/>
      </c>
    </row>
    <row r="1566" ht="15.75" hidden="1" customHeight="1">
      <c r="A1566" s="90" t="str">
        <f>IF(CLIENTES!A5="","",CLIENTES!A5)</f>
        <v>Bravos</v>
      </c>
      <c r="B1566" s="90" t="s">
        <v>324</v>
      </c>
      <c r="C1566" s="91" t="s">
        <v>328</v>
      </c>
      <c r="D1566" s="109" t="s">
        <v>353</v>
      </c>
      <c r="E1566" s="67" t="str">
        <f>COLORES!A14</f>
        <v>Denim</v>
      </c>
      <c r="F1566" s="67" t="str">
        <f>COLORES!B14</f>
        <v>CLARO</v>
      </c>
      <c r="G1566" s="90" t="s">
        <v>377</v>
      </c>
      <c r="H1566" s="100">
        <f>IFERROR(SUMIFS(MOVIMIENTOS_COMPLEMENTOS!$I$4:$I$803,MOVIMIENTOS_COMPLEMENTOS!$C$4:$C$803,A1566,MOVIMIENTOS_COMPLEMENTOS!$D$4:$D$803,B1566,MOVIMIENTOS_COMPLEMENTOS!$E$4:$E$803,C1566,MOVIMIENTOS_COMPLEMENTOS!$G$4:$G$803,E1566,MOVIMIENTOS_COMPLEMENTOS!$H$4:$H$803,G1566,MOVIMIENTOS_COMPLEMENTOS!$B$4:$B$803,"INGRESO")+SUMIFS(MOVIMIENTOS_COMPLEMENTOS!$I$4:$I$803,MOVIMIENTOS_COMPLEMENTOS!$C$4:$C$803,A1566,MOVIMIENTOS_COMPLEMENTOS!$D$4:$D$803,B1566,MOVIMIENTOS_COMPLEMENTOS!$E$4:$E$803,C1566,MOVIMIENTOS_COMPLEMENTOS!$G$4:$G$803,E1566,MOVIMIENTOS_COMPLEMENTOS!$H$4:$H$803,G1566,MOVIMIENTOS_COMPLEMENTOS!$B$4:$B$803,"DE CORTE")-SUMIFS(MOVIMIENTOS_COMPLEMENTOS!$I$4:$I$803,MOVIMIENTOS_COMPLEMENTOS!$C$4:$C$803,A1566,MOVIMIENTOS_COMPLEMENTOS!$D$4:$D$803,B1566,MOVIMIENTOS_COMPLEMENTOS!$E$4:$E$803,C1566,MOVIMIENTOS_COMPLEMENTOS!$G$4:$G$803,E1566,MOVIMIENTOS_COMPLEMENTOS!$H$4:$H$803,G1566,MOVIMIENTOS_COMPLEMENTOS!$B$4:$B$803,"SALIDA"),0)</f>
        <v>0</v>
      </c>
      <c r="I1566" s="102">
        <f t="array" ref="I1566">IFERROR(INDEX(PRECIOS_COMPLEMENTOS!$C$4:$F$17,MATCH(B1566&amp;"_"&amp;C1566,PRECIOS_COMPLEMENTOS!$H$4:$H$17,0),IF(OR(G1566="S",G1566="20cm"),1,IF(OR(G1566="M",G1566="25cm"),2,IF(OR(G1566="L",G1566="30cm"),3,IF(OR(G1566="XL",G1566="35cm"),4,0))))),0)</f>
        <v>0.3</v>
      </c>
      <c r="J1566" s="103">
        <f t="shared" si="1"/>
        <v>0</v>
      </c>
      <c r="K1566" s="104" t="str">
        <f>IF(H1566&lt;0,"ERROR",IF(H1566=0,"",IF(H1566&lt;CONFIG!$B$4,"CRÍTICO",IF(H1566&lt;CONFIG!$B$5,"BAJO","OK"))))</f>
        <v/>
      </c>
    </row>
    <row r="1567" ht="15.75" hidden="1" customHeight="1">
      <c r="A1567" s="90" t="str">
        <f>IF(CLIENTES!A5="","",CLIENTES!A5)</f>
        <v>Bravos</v>
      </c>
      <c r="B1567" s="90" t="s">
        <v>324</v>
      </c>
      <c r="C1567" s="91" t="s">
        <v>328</v>
      </c>
      <c r="D1567" s="109" t="s">
        <v>353</v>
      </c>
      <c r="E1567" s="67" t="str">
        <f>COLORES!A14</f>
        <v>Denim</v>
      </c>
      <c r="F1567" s="67" t="str">
        <f>COLORES!B14</f>
        <v>CLARO</v>
      </c>
      <c r="G1567" s="90" t="s">
        <v>379</v>
      </c>
      <c r="H1567" s="100">
        <f>IFERROR(SUMIFS(MOVIMIENTOS_COMPLEMENTOS!$I$4:$I$803,MOVIMIENTOS_COMPLEMENTOS!$C$4:$C$803,A1567,MOVIMIENTOS_COMPLEMENTOS!$D$4:$D$803,B1567,MOVIMIENTOS_COMPLEMENTOS!$E$4:$E$803,C1567,MOVIMIENTOS_COMPLEMENTOS!$G$4:$G$803,E1567,MOVIMIENTOS_COMPLEMENTOS!$H$4:$H$803,G1567,MOVIMIENTOS_COMPLEMENTOS!$B$4:$B$803,"INGRESO")+SUMIFS(MOVIMIENTOS_COMPLEMENTOS!$I$4:$I$803,MOVIMIENTOS_COMPLEMENTOS!$C$4:$C$803,A1567,MOVIMIENTOS_COMPLEMENTOS!$D$4:$D$803,B1567,MOVIMIENTOS_COMPLEMENTOS!$E$4:$E$803,C1567,MOVIMIENTOS_COMPLEMENTOS!$G$4:$G$803,E1567,MOVIMIENTOS_COMPLEMENTOS!$H$4:$H$803,G1567,MOVIMIENTOS_COMPLEMENTOS!$B$4:$B$803,"DE CORTE")-SUMIFS(MOVIMIENTOS_COMPLEMENTOS!$I$4:$I$803,MOVIMIENTOS_COMPLEMENTOS!$C$4:$C$803,A1567,MOVIMIENTOS_COMPLEMENTOS!$D$4:$D$803,B1567,MOVIMIENTOS_COMPLEMENTOS!$E$4:$E$803,C1567,MOVIMIENTOS_COMPLEMENTOS!$G$4:$G$803,E1567,MOVIMIENTOS_COMPLEMENTOS!$H$4:$H$803,G1567,MOVIMIENTOS_COMPLEMENTOS!$B$4:$B$803,"SALIDA"),0)</f>
        <v>0</v>
      </c>
      <c r="I1567" s="102">
        <f t="array" ref="I1567">IFERROR(INDEX(PRECIOS_COMPLEMENTOS!$C$4:$F$17,MATCH(B1567&amp;"_"&amp;C1567,PRECIOS_COMPLEMENTOS!$H$4:$H$17,0),IF(OR(G1567="S",G1567="20cm"),1,IF(OR(G1567="M",G1567="25cm"),2,IF(OR(G1567="L",G1567="30cm"),3,IF(OR(G1567="XL",G1567="35cm"),4,0))))),0)</f>
        <v>0.3</v>
      </c>
      <c r="J1567" s="103">
        <f t="shared" si="1"/>
        <v>0</v>
      </c>
      <c r="K1567" s="104" t="str">
        <f>IF(H1567&lt;0,"ERROR",IF(H1567=0,"",IF(H1567&lt;CONFIG!$B$4,"CRÍTICO",IF(H1567&lt;CONFIG!$B$5,"BAJO","OK"))))</f>
        <v/>
      </c>
    </row>
    <row r="1568" ht="15.75" hidden="1" customHeight="1">
      <c r="A1568" s="90" t="str">
        <f>IF(CLIENTES!A5="","",CLIENTES!A5)</f>
        <v>Bravos</v>
      </c>
      <c r="B1568" s="90" t="s">
        <v>324</v>
      </c>
      <c r="C1568" s="91" t="s">
        <v>328</v>
      </c>
      <c r="D1568" s="109" t="s">
        <v>353</v>
      </c>
      <c r="E1568" s="67" t="str">
        <f>COLORES!A15</f>
        <v>Plomo</v>
      </c>
      <c r="F1568" s="67" t="str">
        <f>COLORES!B15</f>
        <v>OSCURO</v>
      </c>
      <c r="G1568" s="90" t="s">
        <v>378</v>
      </c>
      <c r="H1568" s="100">
        <f>IFERROR(SUMIFS(MOVIMIENTOS_COMPLEMENTOS!$I$4:$I$803,MOVIMIENTOS_COMPLEMENTOS!$C$4:$C$803,A1568,MOVIMIENTOS_COMPLEMENTOS!$D$4:$D$803,B1568,MOVIMIENTOS_COMPLEMENTOS!$E$4:$E$803,C1568,MOVIMIENTOS_COMPLEMENTOS!$G$4:$G$803,E1568,MOVIMIENTOS_COMPLEMENTOS!$H$4:$H$803,G1568,MOVIMIENTOS_COMPLEMENTOS!$B$4:$B$803,"INGRESO")+SUMIFS(MOVIMIENTOS_COMPLEMENTOS!$I$4:$I$803,MOVIMIENTOS_COMPLEMENTOS!$C$4:$C$803,A1568,MOVIMIENTOS_COMPLEMENTOS!$D$4:$D$803,B1568,MOVIMIENTOS_COMPLEMENTOS!$E$4:$E$803,C1568,MOVIMIENTOS_COMPLEMENTOS!$G$4:$G$803,E1568,MOVIMIENTOS_COMPLEMENTOS!$H$4:$H$803,G1568,MOVIMIENTOS_COMPLEMENTOS!$B$4:$B$803,"DE CORTE")-SUMIFS(MOVIMIENTOS_COMPLEMENTOS!$I$4:$I$803,MOVIMIENTOS_COMPLEMENTOS!$C$4:$C$803,A1568,MOVIMIENTOS_COMPLEMENTOS!$D$4:$D$803,B1568,MOVIMIENTOS_COMPLEMENTOS!$E$4:$E$803,C1568,MOVIMIENTOS_COMPLEMENTOS!$G$4:$G$803,E1568,MOVIMIENTOS_COMPLEMENTOS!$H$4:$H$803,G1568,MOVIMIENTOS_COMPLEMENTOS!$B$4:$B$803,"SALIDA"),0)</f>
        <v>0</v>
      </c>
      <c r="I1568" s="102">
        <f t="array" ref="I1568">IFERROR(INDEX(PRECIOS_COMPLEMENTOS!$C$4:$F$17,MATCH(B1568&amp;"_"&amp;C1568,PRECIOS_COMPLEMENTOS!$H$4:$H$17,0),IF(OR(G1568="S",G1568="20cm"),1,IF(OR(G1568="M",G1568="25cm"),2,IF(OR(G1568="L",G1568="30cm"),3,IF(OR(G1568="XL",G1568="35cm"),4,0))))),0)</f>
        <v>0.3</v>
      </c>
      <c r="J1568" s="103">
        <f t="shared" si="1"/>
        <v>0</v>
      </c>
      <c r="K1568" s="104" t="str">
        <f>IF(H1568&lt;0,"ERROR",IF(H1568=0,"",IF(H1568&lt;CONFIG!$B$4,"CRÍTICO",IF(H1568&lt;CONFIG!$B$5,"BAJO","OK"))))</f>
        <v/>
      </c>
    </row>
    <row r="1569" ht="15.75" hidden="1" customHeight="1">
      <c r="A1569" s="90" t="str">
        <f>IF(CLIENTES!A5="","",CLIENTES!A5)</f>
        <v>Bravos</v>
      </c>
      <c r="B1569" s="90" t="s">
        <v>324</v>
      </c>
      <c r="C1569" s="91" t="s">
        <v>328</v>
      </c>
      <c r="D1569" s="109" t="s">
        <v>353</v>
      </c>
      <c r="E1569" s="67" t="str">
        <f>COLORES!A15</f>
        <v>Plomo</v>
      </c>
      <c r="F1569" s="67" t="str">
        <f>COLORES!B15</f>
        <v>OSCURO</v>
      </c>
      <c r="G1569" s="90" t="s">
        <v>376</v>
      </c>
      <c r="H1569" s="100">
        <f>IFERROR(SUMIFS(MOVIMIENTOS_COMPLEMENTOS!$I$4:$I$803,MOVIMIENTOS_COMPLEMENTOS!$C$4:$C$803,A1569,MOVIMIENTOS_COMPLEMENTOS!$D$4:$D$803,B1569,MOVIMIENTOS_COMPLEMENTOS!$E$4:$E$803,C1569,MOVIMIENTOS_COMPLEMENTOS!$G$4:$G$803,E1569,MOVIMIENTOS_COMPLEMENTOS!$H$4:$H$803,G1569,MOVIMIENTOS_COMPLEMENTOS!$B$4:$B$803,"INGRESO")+SUMIFS(MOVIMIENTOS_COMPLEMENTOS!$I$4:$I$803,MOVIMIENTOS_COMPLEMENTOS!$C$4:$C$803,A1569,MOVIMIENTOS_COMPLEMENTOS!$D$4:$D$803,B1569,MOVIMIENTOS_COMPLEMENTOS!$E$4:$E$803,C1569,MOVIMIENTOS_COMPLEMENTOS!$G$4:$G$803,E1569,MOVIMIENTOS_COMPLEMENTOS!$H$4:$H$803,G1569,MOVIMIENTOS_COMPLEMENTOS!$B$4:$B$803,"DE CORTE")-SUMIFS(MOVIMIENTOS_COMPLEMENTOS!$I$4:$I$803,MOVIMIENTOS_COMPLEMENTOS!$C$4:$C$803,A1569,MOVIMIENTOS_COMPLEMENTOS!$D$4:$D$803,B1569,MOVIMIENTOS_COMPLEMENTOS!$E$4:$E$803,C1569,MOVIMIENTOS_COMPLEMENTOS!$G$4:$G$803,E1569,MOVIMIENTOS_COMPLEMENTOS!$H$4:$H$803,G1569,MOVIMIENTOS_COMPLEMENTOS!$B$4:$B$803,"SALIDA"),0)</f>
        <v>0</v>
      </c>
      <c r="I1569" s="102">
        <f t="array" ref="I1569">IFERROR(INDEX(PRECIOS_COMPLEMENTOS!$C$4:$F$17,MATCH(B1569&amp;"_"&amp;C1569,PRECIOS_COMPLEMENTOS!$H$4:$H$17,0),IF(OR(G1569="S",G1569="20cm"),1,IF(OR(G1569="M",G1569="25cm"),2,IF(OR(G1569="L",G1569="30cm"),3,IF(OR(G1569="XL",G1569="35cm"),4,0))))),0)</f>
        <v>0.3</v>
      </c>
      <c r="J1569" s="103">
        <f t="shared" si="1"/>
        <v>0</v>
      </c>
      <c r="K1569" s="104" t="str">
        <f>IF(H1569&lt;0,"ERROR",IF(H1569=0,"",IF(H1569&lt;CONFIG!$B$4,"CRÍTICO",IF(H1569&lt;CONFIG!$B$5,"BAJO","OK"))))</f>
        <v/>
      </c>
    </row>
    <row r="1570" ht="15.75" hidden="1" customHeight="1">
      <c r="A1570" s="90" t="str">
        <f>IF(CLIENTES!A5="","",CLIENTES!A5)</f>
        <v>Bravos</v>
      </c>
      <c r="B1570" s="90" t="s">
        <v>324</v>
      </c>
      <c r="C1570" s="91" t="s">
        <v>328</v>
      </c>
      <c r="D1570" s="109" t="s">
        <v>353</v>
      </c>
      <c r="E1570" s="67" t="str">
        <f>COLORES!A15</f>
        <v>Plomo</v>
      </c>
      <c r="F1570" s="67" t="str">
        <f>COLORES!B15</f>
        <v>OSCURO</v>
      </c>
      <c r="G1570" s="90" t="s">
        <v>377</v>
      </c>
      <c r="H1570" s="100">
        <f>IFERROR(SUMIFS(MOVIMIENTOS_COMPLEMENTOS!$I$4:$I$803,MOVIMIENTOS_COMPLEMENTOS!$C$4:$C$803,A1570,MOVIMIENTOS_COMPLEMENTOS!$D$4:$D$803,B1570,MOVIMIENTOS_COMPLEMENTOS!$E$4:$E$803,C1570,MOVIMIENTOS_COMPLEMENTOS!$G$4:$G$803,E1570,MOVIMIENTOS_COMPLEMENTOS!$H$4:$H$803,G1570,MOVIMIENTOS_COMPLEMENTOS!$B$4:$B$803,"INGRESO")+SUMIFS(MOVIMIENTOS_COMPLEMENTOS!$I$4:$I$803,MOVIMIENTOS_COMPLEMENTOS!$C$4:$C$803,A1570,MOVIMIENTOS_COMPLEMENTOS!$D$4:$D$803,B1570,MOVIMIENTOS_COMPLEMENTOS!$E$4:$E$803,C1570,MOVIMIENTOS_COMPLEMENTOS!$G$4:$G$803,E1570,MOVIMIENTOS_COMPLEMENTOS!$H$4:$H$803,G1570,MOVIMIENTOS_COMPLEMENTOS!$B$4:$B$803,"DE CORTE")-SUMIFS(MOVIMIENTOS_COMPLEMENTOS!$I$4:$I$803,MOVIMIENTOS_COMPLEMENTOS!$C$4:$C$803,A1570,MOVIMIENTOS_COMPLEMENTOS!$D$4:$D$803,B1570,MOVIMIENTOS_COMPLEMENTOS!$E$4:$E$803,C1570,MOVIMIENTOS_COMPLEMENTOS!$G$4:$G$803,E1570,MOVIMIENTOS_COMPLEMENTOS!$H$4:$H$803,G1570,MOVIMIENTOS_COMPLEMENTOS!$B$4:$B$803,"SALIDA"),0)</f>
        <v>0</v>
      </c>
      <c r="I1570" s="102">
        <f t="array" ref="I1570">IFERROR(INDEX(PRECIOS_COMPLEMENTOS!$C$4:$F$17,MATCH(B1570&amp;"_"&amp;C1570,PRECIOS_COMPLEMENTOS!$H$4:$H$17,0),IF(OR(G1570="S",G1570="20cm"),1,IF(OR(G1570="M",G1570="25cm"),2,IF(OR(G1570="L",G1570="30cm"),3,IF(OR(G1570="XL",G1570="35cm"),4,0))))),0)</f>
        <v>0.3</v>
      </c>
      <c r="J1570" s="103">
        <f t="shared" si="1"/>
        <v>0</v>
      </c>
      <c r="K1570" s="104" t="str">
        <f>IF(H1570&lt;0,"ERROR",IF(H1570=0,"",IF(H1570&lt;CONFIG!$B$4,"CRÍTICO",IF(H1570&lt;CONFIG!$B$5,"BAJO","OK"))))</f>
        <v/>
      </c>
    </row>
    <row r="1571" ht="15.75" hidden="1" customHeight="1">
      <c r="A1571" s="90" t="str">
        <f>IF(CLIENTES!A5="","",CLIENTES!A5)</f>
        <v>Bravos</v>
      </c>
      <c r="B1571" s="90" t="s">
        <v>324</v>
      </c>
      <c r="C1571" s="91" t="s">
        <v>328</v>
      </c>
      <c r="D1571" s="109" t="s">
        <v>353</v>
      </c>
      <c r="E1571" s="67" t="str">
        <f>COLORES!A15</f>
        <v>Plomo</v>
      </c>
      <c r="F1571" s="67" t="str">
        <f>COLORES!B15</f>
        <v>OSCURO</v>
      </c>
      <c r="G1571" s="90" t="s">
        <v>379</v>
      </c>
      <c r="H1571" s="100">
        <f>IFERROR(SUMIFS(MOVIMIENTOS_COMPLEMENTOS!$I$4:$I$803,MOVIMIENTOS_COMPLEMENTOS!$C$4:$C$803,A1571,MOVIMIENTOS_COMPLEMENTOS!$D$4:$D$803,B1571,MOVIMIENTOS_COMPLEMENTOS!$E$4:$E$803,C1571,MOVIMIENTOS_COMPLEMENTOS!$G$4:$G$803,E1571,MOVIMIENTOS_COMPLEMENTOS!$H$4:$H$803,G1571,MOVIMIENTOS_COMPLEMENTOS!$B$4:$B$803,"INGRESO")+SUMIFS(MOVIMIENTOS_COMPLEMENTOS!$I$4:$I$803,MOVIMIENTOS_COMPLEMENTOS!$C$4:$C$803,A1571,MOVIMIENTOS_COMPLEMENTOS!$D$4:$D$803,B1571,MOVIMIENTOS_COMPLEMENTOS!$E$4:$E$803,C1571,MOVIMIENTOS_COMPLEMENTOS!$G$4:$G$803,E1571,MOVIMIENTOS_COMPLEMENTOS!$H$4:$H$803,G1571,MOVIMIENTOS_COMPLEMENTOS!$B$4:$B$803,"DE CORTE")-SUMIFS(MOVIMIENTOS_COMPLEMENTOS!$I$4:$I$803,MOVIMIENTOS_COMPLEMENTOS!$C$4:$C$803,A1571,MOVIMIENTOS_COMPLEMENTOS!$D$4:$D$803,B1571,MOVIMIENTOS_COMPLEMENTOS!$E$4:$E$803,C1571,MOVIMIENTOS_COMPLEMENTOS!$G$4:$G$803,E1571,MOVIMIENTOS_COMPLEMENTOS!$H$4:$H$803,G1571,MOVIMIENTOS_COMPLEMENTOS!$B$4:$B$803,"SALIDA"),0)</f>
        <v>0</v>
      </c>
      <c r="I1571" s="102">
        <f t="array" ref="I1571">IFERROR(INDEX(PRECIOS_COMPLEMENTOS!$C$4:$F$17,MATCH(B1571&amp;"_"&amp;C1571,PRECIOS_COMPLEMENTOS!$H$4:$H$17,0),IF(OR(G1571="S",G1571="20cm"),1,IF(OR(G1571="M",G1571="25cm"),2,IF(OR(G1571="L",G1571="30cm"),3,IF(OR(G1571="XL",G1571="35cm"),4,0))))),0)</f>
        <v>0.3</v>
      </c>
      <c r="J1571" s="103">
        <f t="shared" si="1"/>
        <v>0</v>
      </c>
      <c r="K1571" s="104" t="str">
        <f>IF(H1571&lt;0,"ERROR",IF(H1571=0,"",IF(H1571&lt;CONFIG!$B$4,"CRÍTICO",IF(H1571&lt;CONFIG!$B$5,"BAJO","OK"))))</f>
        <v/>
      </c>
    </row>
    <row r="1572" ht="15.75" hidden="1" customHeight="1">
      <c r="A1572" s="90" t="str">
        <f>IF(CLIENTES!A5="","",CLIENTES!A5)</f>
        <v>Bravos</v>
      </c>
      <c r="B1572" s="90" t="s">
        <v>324</v>
      </c>
      <c r="C1572" s="91" t="s">
        <v>328</v>
      </c>
      <c r="D1572" s="109" t="s">
        <v>353</v>
      </c>
      <c r="E1572" s="67" t="str">
        <f>COLORES!A16</f>
        <v>Topo</v>
      </c>
      <c r="F1572" s="67" t="str">
        <f>COLORES!B16</f>
        <v>CLARO</v>
      </c>
      <c r="G1572" s="90" t="s">
        <v>378</v>
      </c>
      <c r="H1572" s="100">
        <f>IFERROR(SUMIFS(MOVIMIENTOS_COMPLEMENTOS!$I$4:$I$803,MOVIMIENTOS_COMPLEMENTOS!$C$4:$C$803,A1572,MOVIMIENTOS_COMPLEMENTOS!$D$4:$D$803,B1572,MOVIMIENTOS_COMPLEMENTOS!$E$4:$E$803,C1572,MOVIMIENTOS_COMPLEMENTOS!$G$4:$G$803,E1572,MOVIMIENTOS_COMPLEMENTOS!$H$4:$H$803,G1572,MOVIMIENTOS_COMPLEMENTOS!$B$4:$B$803,"INGRESO")+SUMIFS(MOVIMIENTOS_COMPLEMENTOS!$I$4:$I$803,MOVIMIENTOS_COMPLEMENTOS!$C$4:$C$803,A1572,MOVIMIENTOS_COMPLEMENTOS!$D$4:$D$803,B1572,MOVIMIENTOS_COMPLEMENTOS!$E$4:$E$803,C1572,MOVIMIENTOS_COMPLEMENTOS!$G$4:$G$803,E1572,MOVIMIENTOS_COMPLEMENTOS!$H$4:$H$803,G1572,MOVIMIENTOS_COMPLEMENTOS!$B$4:$B$803,"DE CORTE")-SUMIFS(MOVIMIENTOS_COMPLEMENTOS!$I$4:$I$803,MOVIMIENTOS_COMPLEMENTOS!$C$4:$C$803,A1572,MOVIMIENTOS_COMPLEMENTOS!$D$4:$D$803,B1572,MOVIMIENTOS_COMPLEMENTOS!$E$4:$E$803,C1572,MOVIMIENTOS_COMPLEMENTOS!$G$4:$G$803,E1572,MOVIMIENTOS_COMPLEMENTOS!$H$4:$H$803,G1572,MOVIMIENTOS_COMPLEMENTOS!$B$4:$B$803,"SALIDA"),0)</f>
        <v>0</v>
      </c>
      <c r="I1572" s="102">
        <f t="array" ref="I1572">IFERROR(INDEX(PRECIOS_COMPLEMENTOS!$C$4:$F$17,MATCH(B1572&amp;"_"&amp;C1572,PRECIOS_COMPLEMENTOS!$H$4:$H$17,0),IF(OR(G1572="S",G1572="20cm"),1,IF(OR(G1572="M",G1572="25cm"),2,IF(OR(G1572="L",G1572="30cm"),3,IF(OR(G1572="XL",G1572="35cm"),4,0))))),0)</f>
        <v>0.3</v>
      </c>
      <c r="J1572" s="103">
        <f t="shared" si="1"/>
        <v>0</v>
      </c>
      <c r="K1572" s="104" t="str">
        <f>IF(H1572&lt;0,"ERROR",IF(H1572=0,"",IF(H1572&lt;CONFIG!$B$4,"CRÍTICO",IF(H1572&lt;CONFIG!$B$5,"BAJO","OK"))))</f>
        <v/>
      </c>
    </row>
    <row r="1573" ht="15.75" hidden="1" customHeight="1">
      <c r="A1573" s="90" t="str">
        <f>IF(CLIENTES!A5="","",CLIENTES!A5)</f>
        <v>Bravos</v>
      </c>
      <c r="B1573" s="90" t="s">
        <v>324</v>
      </c>
      <c r="C1573" s="91" t="s">
        <v>328</v>
      </c>
      <c r="D1573" s="109" t="s">
        <v>353</v>
      </c>
      <c r="E1573" s="67" t="str">
        <f>COLORES!A16</f>
        <v>Topo</v>
      </c>
      <c r="F1573" s="67" t="str">
        <f>COLORES!B16</f>
        <v>CLARO</v>
      </c>
      <c r="G1573" s="90" t="s">
        <v>376</v>
      </c>
      <c r="H1573" s="100">
        <f>IFERROR(SUMIFS(MOVIMIENTOS_COMPLEMENTOS!$I$4:$I$803,MOVIMIENTOS_COMPLEMENTOS!$C$4:$C$803,A1573,MOVIMIENTOS_COMPLEMENTOS!$D$4:$D$803,B1573,MOVIMIENTOS_COMPLEMENTOS!$E$4:$E$803,C1573,MOVIMIENTOS_COMPLEMENTOS!$G$4:$G$803,E1573,MOVIMIENTOS_COMPLEMENTOS!$H$4:$H$803,G1573,MOVIMIENTOS_COMPLEMENTOS!$B$4:$B$803,"INGRESO")+SUMIFS(MOVIMIENTOS_COMPLEMENTOS!$I$4:$I$803,MOVIMIENTOS_COMPLEMENTOS!$C$4:$C$803,A1573,MOVIMIENTOS_COMPLEMENTOS!$D$4:$D$803,B1573,MOVIMIENTOS_COMPLEMENTOS!$E$4:$E$803,C1573,MOVIMIENTOS_COMPLEMENTOS!$G$4:$G$803,E1573,MOVIMIENTOS_COMPLEMENTOS!$H$4:$H$803,G1573,MOVIMIENTOS_COMPLEMENTOS!$B$4:$B$803,"DE CORTE")-SUMIFS(MOVIMIENTOS_COMPLEMENTOS!$I$4:$I$803,MOVIMIENTOS_COMPLEMENTOS!$C$4:$C$803,A1573,MOVIMIENTOS_COMPLEMENTOS!$D$4:$D$803,B1573,MOVIMIENTOS_COMPLEMENTOS!$E$4:$E$803,C1573,MOVIMIENTOS_COMPLEMENTOS!$G$4:$G$803,E1573,MOVIMIENTOS_COMPLEMENTOS!$H$4:$H$803,G1573,MOVIMIENTOS_COMPLEMENTOS!$B$4:$B$803,"SALIDA"),0)</f>
        <v>0</v>
      </c>
      <c r="I1573" s="102">
        <f t="array" ref="I1573">IFERROR(INDEX(PRECIOS_COMPLEMENTOS!$C$4:$F$17,MATCH(B1573&amp;"_"&amp;C1573,PRECIOS_COMPLEMENTOS!$H$4:$H$17,0),IF(OR(G1573="S",G1573="20cm"),1,IF(OR(G1573="M",G1573="25cm"),2,IF(OR(G1573="L",G1573="30cm"),3,IF(OR(G1573="XL",G1573="35cm"),4,0))))),0)</f>
        <v>0.3</v>
      </c>
      <c r="J1573" s="103">
        <f t="shared" si="1"/>
        <v>0</v>
      </c>
      <c r="K1573" s="104" t="str">
        <f>IF(H1573&lt;0,"ERROR",IF(H1573=0,"",IF(H1573&lt;CONFIG!$B$4,"CRÍTICO",IF(H1573&lt;CONFIG!$B$5,"BAJO","OK"))))</f>
        <v/>
      </c>
    </row>
    <row r="1574" ht="15.75" hidden="1" customHeight="1">
      <c r="A1574" s="90" t="str">
        <f>IF(CLIENTES!A5="","",CLIENTES!A5)</f>
        <v>Bravos</v>
      </c>
      <c r="B1574" s="90" t="s">
        <v>324</v>
      </c>
      <c r="C1574" s="91" t="s">
        <v>328</v>
      </c>
      <c r="D1574" s="109" t="s">
        <v>353</v>
      </c>
      <c r="E1574" s="67" t="str">
        <f>COLORES!A16</f>
        <v>Topo</v>
      </c>
      <c r="F1574" s="67" t="str">
        <f>COLORES!B16</f>
        <v>CLARO</v>
      </c>
      <c r="G1574" s="90" t="s">
        <v>377</v>
      </c>
      <c r="H1574" s="100">
        <f>IFERROR(SUMIFS(MOVIMIENTOS_COMPLEMENTOS!$I$4:$I$803,MOVIMIENTOS_COMPLEMENTOS!$C$4:$C$803,A1574,MOVIMIENTOS_COMPLEMENTOS!$D$4:$D$803,B1574,MOVIMIENTOS_COMPLEMENTOS!$E$4:$E$803,C1574,MOVIMIENTOS_COMPLEMENTOS!$G$4:$G$803,E1574,MOVIMIENTOS_COMPLEMENTOS!$H$4:$H$803,G1574,MOVIMIENTOS_COMPLEMENTOS!$B$4:$B$803,"INGRESO")+SUMIFS(MOVIMIENTOS_COMPLEMENTOS!$I$4:$I$803,MOVIMIENTOS_COMPLEMENTOS!$C$4:$C$803,A1574,MOVIMIENTOS_COMPLEMENTOS!$D$4:$D$803,B1574,MOVIMIENTOS_COMPLEMENTOS!$E$4:$E$803,C1574,MOVIMIENTOS_COMPLEMENTOS!$G$4:$G$803,E1574,MOVIMIENTOS_COMPLEMENTOS!$H$4:$H$803,G1574,MOVIMIENTOS_COMPLEMENTOS!$B$4:$B$803,"DE CORTE")-SUMIFS(MOVIMIENTOS_COMPLEMENTOS!$I$4:$I$803,MOVIMIENTOS_COMPLEMENTOS!$C$4:$C$803,A1574,MOVIMIENTOS_COMPLEMENTOS!$D$4:$D$803,B1574,MOVIMIENTOS_COMPLEMENTOS!$E$4:$E$803,C1574,MOVIMIENTOS_COMPLEMENTOS!$G$4:$G$803,E1574,MOVIMIENTOS_COMPLEMENTOS!$H$4:$H$803,G1574,MOVIMIENTOS_COMPLEMENTOS!$B$4:$B$803,"SALIDA"),0)</f>
        <v>0</v>
      </c>
      <c r="I1574" s="102">
        <f t="array" ref="I1574">IFERROR(INDEX(PRECIOS_COMPLEMENTOS!$C$4:$F$17,MATCH(B1574&amp;"_"&amp;C1574,PRECIOS_COMPLEMENTOS!$H$4:$H$17,0),IF(OR(G1574="S",G1574="20cm"),1,IF(OR(G1574="M",G1574="25cm"),2,IF(OR(G1574="L",G1574="30cm"),3,IF(OR(G1574="XL",G1574="35cm"),4,0))))),0)</f>
        <v>0.3</v>
      </c>
      <c r="J1574" s="103">
        <f t="shared" si="1"/>
        <v>0</v>
      </c>
      <c r="K1574" s="104" t="str">
        <f>IF(H1574&lt;0,"ERROR",IF(H1574=0,"",IF(H1574&lt;CONFIG!$B$4,"CRÍTICO",IF(H1574&lt;CONFIG!$B$5,"BAJO","OK"))))</f>
        <v/>
      </c>
    </row>
    <row r="1575" ht="15.75" hidden="1" customHeight="1">
      <c r="A1575" s="90" t="str">
        <f>IF(CLIENTES!A5="","",CLIENTES!A5)</f>
        <v>Bravos</v>
      </c>
      <c r="B1575" s="90" t="s">
        <v>324</v>
      </c>
      <c r="C1575" s="91" t="s">
        <v>328</v>
      </c>
      <c r="D1575" s="109" t="s">
        <v>353</v>
      </c>
      <c r="E1575" s="67" t="str">
        <f>COLORES!A16</f>
        <v>Topo</v>
      </c>
      <c r="F1575" s="67" t="str">
        <f>COLORES!B16</f>
        <v>CLARO</v>
      </c>
      <c r="G1575" s="90" t="s">
        <v>379</v>
      </c>
      <c r="H1575" s="100">
        <f>IFERROR(SUMIFS(MOVIMIENTOS_COMPLEMENTOS!$I$4:$I$803,MOVIMIENTOS_COMPLEMENTOS!$C$4:$C$803,A1575,MOVIMIENTOS_COMPLEMENTOS!$D$4:$D$803,B1575,MOVIMIENTOS_COMPLEMENTOS!$E$4:$E$803,C1575,MOVIMIENTOS_COMPLEMENTOS!$G$4:$G$803,E1575,MOVIMIENTOS_COMPLEMENTOS!$H$4:$H$803,G1575,MOVIMIENTOS_COMPLEMENTOS!$B$4:$B$803,"INGRESO")+SUMIFS(MOVIMIENTOS_COMPLEMENTOS!$I$4:$I$803,MOVIMIENTOS_COMPLEMENTOS!$C$4:$C$803,A1575,MOVIMIENTOS_COMPLEMENTOS!$D$4:$D$803,B1575,MOVIMIENTOS_COMPLEMENTOS!$E$4:$E$803,C1575,MOVIMIENTOS_COMPLEMENTOS!$G$4:$G$803,E1575,MOVIMIENTOS_COMPLEMENTOS!$H$4:$H$803,G1575,MOVIMIENTOS_COMPLEMENTOS!$B$4:$B$803,"DE CORTE")-SUMIFS(MOVIMIENTOS_COMPLEMENTOS!$I$4:$I$803,MOVIMIENTOS_COMPLEMENTOS!$C$4:$C$803,A1575,MOVIMIENTOS_COMPLEMENTOS!$D$4:$D$803,B1575,MOVIMIENTOS_COMPLEMENTOS!$E$4:$E$803,C1575,MOVIMIENTOS_COMPLEMENTOS!$G$4:$G$803,E1575,MOVIMIENTOS_COMPLEMENTOS!$H$4:$H$803,G1575,MOVIMIENTOS_COMPLEMENTOS!$B$4:$B$803,"SALIDA"),0)</f>
        <v>0</v>
      </c>
      <c r="I1575" s="102">
        <f t="array" ref="I1575">IFERROR(INDEX(PRECIOS_COMPLEMENTOS!$C$4:$F$17,MATCH(B1575&amp;"_"&amp;C1575,PRECIOS_COMPLEMENTOS!$H$4:$H$17,0),IF(OR(G1575="S",G1575="20cm"),1,IF(OR(G1575="M",G1575="25cm"),2,IF(OR(G1575="L",G1575="30cm"),3,IF(OR(G1575="XL",G1575="35cm"),4,0))))),0)</f>
        <v>0.3</v>
      </c>
      <c r="J1575" s="103">
        <f t="shared" si="1"/>
        <v>0</v>
      </c>
      <c r="K1575" s="104" t="str">
        <f>IF(H1575&lt;0,"ERROR",IF(H1575=0,"",IF(H1575&lt;CONFIG!$B$4,"CRÍTICO",IF(H1575&lt;CONFIG!$B$5,"BAJO","OK"))))</f>
        <v/>
      </c>
    </row>
    <row r="1576" ht="15.75" hidden="1" customHeight="1">
      <c r="A1576" s="90" t="str">
        <f>IF(CLIENTES!A5="","",CLIENTES!A5)</f>
        <v>Bravos</v>
      </c>
      <c r="B1576" s="90" t="s">
        <v>324</v>
      </c>
      <c r="C1576" s="91" t="s">
        <v>328</v>
      </c>
      <c r="D1576" s="109" t="s">
        <v>353</v>
      </c>
      <c r="E1576" s="67" t="str">
        <f>COLORES!A17</f>
        <v>Vino</v>
      </c>
      <c r="F1576" s="67" t="str">
        <f>COLORES!B17</f>
        <v>OSCURO</v>
      </c>
      <c r="G1576" s="90" t="s">
        <v>378</v>
      </c>
      <c r="H1576" s="100">
        <f>IFERROR(SUMIFS(MOVIMIENTOS_COMPLEMENTOS!$I$4:$I$803,MOVIMIENTOS_COMPLEMENTOS!$C$4:$C$803,A1576,MOVIMIENTOS_COMPLEMENTOS!$D$4:$D$803,B1576,MOVIMIENTOS_COMPLEMENTOS!$E$4:$E$803,C1576,MOVIMIENTOS_COMPLEMENTOS!$G$4:$G$803,E1576,MOVIMIENTOS_COMPLEMENTOS!$H$4:$H$803,G1576,MOVIMIENTOS_COMPLEMENTOS!$B$4:$B$803,"INGRESO")+SUMIFS(MOVIMIENTOS_COMPLEMENTOS!$I$4:$I$803,MOVIMIENTOS_COMPLEMENTOS!$C$4:$C$803,A1576,MOVIMIENTOS_COMPLEMENTOS!$D$4:$D$803,B1576,MOVIMIENTOS_COMPLEMENTOS!$E$4:$E$803,C1576,MOVIMIENTOS_COMPLEMENTOS!$G$4:$G$803,E1576,MOVIMIENTOS_COMPLEMENTOS!$H$4:$H$803,G1576,MOVIMIENTOS_COMPLEMENTOS!$B$4:$B$803,"DE CORTE")-SUMIFS(MOVIMIENTOS_COMPLEMENTOS!$I$4:$I$803,MOVIMIENTOS_COMPLEMENTOS!$C$4:$C$803,A1576,MOVIMIENTOS_COMPLEMENTOS!$D$4:$D$803,B1576,MOVIMIENTOS_COMPLEMENTOS!$E$4:$E$803,C1576,MOVIMIENTOS_COMPLEMENTOS!$G$4:$G$803,E1576,MOVIMIENTOS_COMPLEMENTOS!$H$4:$H$803,G1576,MOVIMIENTOS_COMPLEMENTOS!$B$4:$B$803,"SALIDA"),0)</f>
        <v>0</v>
      </c>
      <c r="I1576" s="102">
        <f t="array" ref="I1576">IFERROR(INDEX(PRECIOS_COMPLEMENTOS!$C$4:$F$17,MATCH(B1576&amp;"_"&amp;C1576,PRECIOS_COMPLEMENTOS!$H$4:$H$17,0),IF(OR(G1576="S",G1576="20cm"),1,IF(OR(G1576="M",G1576="25cm"),2,IF(OR(G1576="L",G1576="30cm"),3,IF(OR(G1576="XL",G1576="35cm"),4,0))))),0)</f>
        <v>0.3</v>
      </c>
      <c r="J1576" s="103">
        <f t="shared" si="1"/>
        <v>0</v>
      </c>
      <c r="K1576" s="104" t="str">
        <f>IF(H1576&lt;0,"ERROR",IF(H1576=0,"",IF(H1576&lt;CONFIG!$B$4,"CRÍTICO",IF(H1576&lt;CONFIG!$B$5,"BAJO","OK"))))</f>
        <v/>
      </c>
    </row>
    <row r="1577" ht="15.75" hidden="1" customHeight="1">
      <c r="A1577" s="90" t="str">
        <f>IF(CLIENTES!A5="","",CLIENTES!A5)</f>
        <v>Bravos</v>
      </c>
      <c r="B1577" s="90" t="s">
        <v>324</v>
      </c>
      <c r="C1577" s="91" t="s">
        <v>328</v>
      </c>
      <c r="D1577" s="109" t="s">
        <v>353</v>
      </c>
      <c r="E1577" s="67" t="str">
        <f>COLORES!A17</f>
        <v>Vino</v>
      </c>
      <c r="F1577" s="67" t="str">
        <f>COLORES!B17</f>
        <v>OSCURO</v>
      </c>
      <c r="G1577" s="90" t="s">
        <v>376</v>
      </c>
      <c r="H1577" s="100">
        <f>IFERROR(SUMIFS(MOVIMIENTOS_COMPLEMENTOS!$I$4:$I$803,MOVIMIENTOS_COMPLEMENTOS!$C$4:$C$803,A1577,MOVIMIENTOS_COMPLEMENTOS!$D$4:$D$803,B1577,MOVIMIENTOS_COMPLEMENTOS!$E$4:$E$803,C1577,MOVIMIENTOS_COMPLEMENTOS!$G$4:$G$803,E1577,MOVIMIENTOS_COMPLEMENTOS!$H$4:$H$803,G1577,MOVIMIENTOS_COMPLEMENTOS!$B$4:$B$803,"INGRESO")+SUMIFS(MOVIMIENTOS_COMPLEMENTOS!$I$4:$I$803,MOVIMIENTOS_COMPLEMENTOS!$C$4:$C$803,A1577,MOVIMIENTOS_COMPLEMENTOS!$D$4:$D$803,B1577,MOVIMIENTOS_COMPLEMENTOS!$E$4:$E$803,C1577,MOVIMIENTOS_COMPLEMENTOS!$G$4:$G$803,E1577,MOVIMIENTOS_COMPLEMENTOS!$H$4:$H$803,G1577,MOVIMIENTOS_COMPLEMENTOS!$B$4:$B$803,"DE CORTE")-SUMIFS(MOVIMIENTOS_COMPLEMENTOS!$I$4:$I$803,MOVIMIENTOS_COMPLEMENTOS!$C$4:$C$803,A1577,MOVIMIENTOS_COMPLEMENTOS!$D$4:$D$803,B1577,MOVIMIENTOS_COMPLEMENTOS!$E$4:$E$803,C1577,MOVIMIENTOS_COMPLEMENTOS!$G$4:$G$803,E1577,MOVIMIENTOS_COMPLEMENTOS!$H$4:$H$803,G1577,MOVIMIENTOS_COMPLEMENTOS!$B$4:$B$803,"SALIDA"),0)</f>
        <v>0</v>
      </c>
      <c r="I1577" s="102">
        <f t="array" ref="I1577">IFERROR(INDEX(PRECIOS_COMPLEMENTOS!$C$4:$F$17,MATCH(B1577&amp;"_"&amp;C1577,PRECIOS_COMPLEMENTOS!$H$4:$H$17,0),IF(OR(G1577="S",G1577="20cm"),1,IF(OR(G1577="M",G1577="25cm"),2,IF(OR(G1577="L",G1577="30cm"),3,IF(OR(G1577="XL",G1577="35cm"),4,0))))),0)</f>
        <v>0.3</v>
      </c>
      <c r="J1577" s="103">
        <f t="shared" si="1"/>
        <v>0</v>
      </c>
      <c r="K1577" s="104" t="str">
        <f>IF(H1577&lt;0,"ERROR",IF(H1577=0,"",IF(H1577&lt;CONFIG!$B$4,"CRÍTICO",IF(H1577&lt;CONFIG!$B$5,"BAJO","OK"))))</f>
        <v/>
      </c>
    </row>
    <row r="1578" ht="15.75" hidden="1" customHeight="1">
      <c r="A1578" s="90" t="str">
        <f>IF(CLIENTES!A5="","",CLIENTES!A5)</f>
        <v>Bravos</v>
      </c>
      <c r="B1578" s="90" t="s">
        <v>324</v>
      </c>
      <c r="C1578" s="91" t="s">
        <v>328</v>
      </c>
      <c r="D1578" s="109" t="s">
        <v>353</v>
      </c>
      <c r="E1578" s="67" t="str">
        <f>COLORES!A17</f>
        <v>Vino</v>
      </c>
      <c r="F1578" s="67" t="str">
        <f>COLORES!B17</f>
        <v>OSCURO</v>
      </c>
      <c r="G1578" s="90" t="s">
        <v>377</v>
      </c>
      <c r="H1578" s="100">
        <f>IFERROR(SUMIFS(MOVIMIENTOS_COMPLEMENTOS!$I$4:$I$803,MOVIMIENTOS_COMPLEMENTOS!$C$4:$C$803,A1578,MOVIMIENTOS_COMPLEMENTOS!$D$4:$D$803,B1578,MOVIMIENTOS_COMPLEMENTOS!$E$4:$E$803,C1578,MOVIMIENTOS_COMPLEMENTOS!$G$4:$G$803,E1578,MOVIMIENTOS_COMPLEMENTOS!$H$4:$H$803,G1578,MOVIMIENTOS_COMPLEMENTOS!$B$4:$B$803,"INGRESO")+SUMIFS(MOVIMIENTOS_COMPLEMENTOS!$I$4:$I$803,MOVIMIENTOS_COMPLEMENTOS!$C$4:$C$803,A1578,MOVIMIENTOS_COMPLEMENTOS!$D$4:$D$803,B1578,MOVIMIENTOS_COMPLEMENTOS!$E$4:$E$803,C1578,MOVIMIENTOS_COMPLEMENTOS!$G$4:$G$803,E1578,MOVIMIENTOS_COMPLEMENTOS!$H$4:$H$803,G1578,MOVIMIENTOS_COMPLEMENTOS!$B$4:$B$803,"DE CORTE")-SUMIFS(MOVIMIENTOS_COMPLEMENTOS!$I$4:$I$803,MOVIMIENTOS_COMPLEMENTOS!$C$4:$C$803,A1578,MOVIMIENTOS_COMPLEMENTOS!$D$4:$D$803,B1578,MOVIMIENTOS_COMPLEMENTOS!$E$4:$E$803,C1578,MOVIMIENTOS_COMPLEMENTOS!$G$4:$G$803,E1578,MOVIMIENTOS_COMPLEMENTOS!$H$4:$H$803,G1578,MOVIMIENTOS_COMPLEMENTOS!$B$4:$B$803,"SALIDA"),0)</f>
        <v>0</v>
      </c>
      <c r="I1578" s="102">
        <f t="array" ref="I1578">IFERROR(INDEX(PRECIOS_COMPLEMENTOS!$C$4:$F$17,MATCH(B1578&amp;"_"&amp;C1578,PRECIOS_COMPLEMENTOS!$H$4:$H$17,0),IF(OR(G1578="S",G1578="20cm"),1,IF(OR(G1578="M",G1578="25cm"),2,IF(OR(G1578="L",G1578="30cm"),3,IF(OR(G1578="XL",G1578="35cm"),4,0))))),0)</f>
        <v>0.3</v>
      </c>
      <c r="J1578" s="103">
        <f t="shared" si="1"/>
        <v>0</v>
      </c>
      <c r="K1578" s="104" t="str">
        <f>IF(H1578&lt;0,"ERROR",IF(H1578=0,"",IF(H1578&lt;CONFIG!$B$4,"CRÍTICO",IF(H1578&lt;CONFIG!$B$5,"BAJO","OK"))))</f>
        <v/>
      </c>
    </row>
    <row r="1579" ht="15.75" hidden="1" customHeight="1">
      <c r="A1579" s="90" t="str">
        <f>IF(CLIENTES!A5="","",CLIENTES!A5)</f>
        <v>Bravos</v>
      </c>
      <c r="B1579" s="90" t="s">
        <v>324</v>
      </c>
      <c r="C1579" s="91" t="s">
        <v>328</v>
      </c>
      <c r="D1579" s="109" t="s">
        <v>353</v>
      </c>
      <c r="E1579" s="67" t="str">
        <f>COLORES!A17</f>
        <v>Vino</v>
      </c>
      <c r="F1579" s="67" t="str">
        <f>COLORES!B17</f>
        <v>OSCURO</v>
      </c>
      <c r="G1579" s="90" t="s">
        <v>379</v>
      </c>
      <c r="H1579" s="100">
        <f>IFERROR(SUMIFS(MOVIMIENTOS_COMPLEMENTOS!$I$4:$I$803,MOVIMIENTOS_COMPLEMENTOS!$C$4:$C$803,A1579,MOVIMIENTOS_COMPLEMENTOS!$D$4:$D$803,B1579,MOVIMIENTOS_COMPLEMENTOS!$E$4:$E$803,C1579,MOVIMIENTOS_COMPLEMENTOS!$G$4:$G$803,E1579,MOVIMIENTOS_COMPLEMENTOS!$H$4:$H$803,G1579,MOVIMIENTOS_COMPLEMENTOS!$B$4:$B$803,"INGRESO")+SUMIFS(MOVIMIENTOS_COMPLEMENTOS!$I$4:$I$803,MOVIMIENTOS_COMPLEMENTOS!$C$4:$C$803,A1579,MOVIMIENTOS_COMPLEMENTOS!$D$4:$D$803,B1579,MOVIMIENTOS_COMPLEMENTOS!$E$4:$E$803,C1579,MOVIMIENTOS_COMPLEMENTOS!$G$4:$G$803,E1579,MOVIMIENTOS_COMPLEMENTOS!$H$4:$H$803,G1579,MOVIMIENTOS_COMPLEMENTOS!$B$4:$B$803,"DE CORTE")-SUMIFS(MOVIMIENTOS_COMPLEMENTOS!$I$4:$I$803,MOVIMIENTOS_COMPLEMENTOS!$C$4:$C$803,A1579,MOVIMIENTOS_COMPLEMENTOS!$D$4:$D$803,B1579,MOVIMIENTOS_COMPLEMENTOS!$E$4:$E$803,C1579,MOVIMIENTOS_COMPLEMENTOS!$G$4:$G$803,E1579,MOVIMIENTOS_COMPLEMENTOS!$H$4:$H$803,G1579,MOVIMIENTOS_COMPLEMENTOS!$B$4:$B$803,"SALIDA"),0)</f>
        <v>0</v>
      </c>
      <c r="I1579" s="102">
        <f t="array" ref="I1579">IFERROR(INDEX(PRECIOS_COMPLEMENTOS!$C$4:$F$17,MATCH(B1579&amp;"_"&amp;C1579,PRECIOS_COMPLEMENTOS!$H$4:$H$17,0),IF(OR(G1579="S",G1579="20cm"),1,IF(OR(G1579="M",G1579="25cm"),2,IF(OR(G1579="L",G1579="30cm"),3,IF(OR(G1579="XL",G1579="35cm"),4,0))))),0)</f>
        <v>0.3</v>
      </c>
      <c r="J1579" s="103">
        <f t="shared" si="1"/>
        <v>0</v>
      </c>
      <c r="K1579" s="104" t="str">
        <f>IF(H1579&lt;0,"ERROR",IF(H1579=0,"",IF(H1579&lt;CONFIG!$B$4,"CRÍTICO",IF(H1579&lt;CONFIG!$B$5,"BAJO","OK"))))</f>
        <v/>
      </c>
    </row>
    <row r="1580" ht="15.75" hidden="1" customHeight="1">
      <c r="A1580" s="90" t="str">
        <f>IF(CLIENTES!A5="","",CLIENTES!A5)</f>
        <v>Bravos</v>
      </c>
      <c r="B1580" s="90" t="s">
        <v>324</v>
      </c>
      <c r="C1580" s="91" t="s">
        <v>328</v>
      </c>
      <c r="D1580" s="109" t="s">
        <v>353</v>
      </c>
      <c r="E1580" s="67" t="str">
        <f>COLORES!A18</f>
        <v>P. Rosa</v>
      </c>
      <c r="F1580" s="67" t="str">
        <f>COLORES!B18</f>
        <v>CLARO</v>
      </c>
      <c r="G1580" s="90" t="s">
        <v>378</v>
      </c>
      <c r="H1580" s="100">
        <f>IFERROR(SUMIFS(MOVIMIENTOS_COMPLEMENTOS!$I$4:$I$803,MOVIMIENTOS_COMPLEMENTOS!$C$4:$C$803,A1580,MOVIMIENTOS_COMPLEMENTOS!$D$4:$D$803,B1580,MOVIMIENTOS_COMPLEMENTOS!$E$4:$E$803,C1580,MOVIMIENTOS_COMPLEMENTOS!$G$4:$G$803,E1580,MOVIMIENTOS_COMPLEMENTOS!$H$4:$H$803,G1580,MOVIMIENTOS_COMPLEMENTOS!$B$4:$B$803,"INGRESO")+SUMIFS(MOVIMIENTOS_COMPLEMENTOS!$I$4:$I$803,MOVIMIENTOS_COMPLEMENTOS!$C$4:$C$803,A1580,MOVIMIENTOS_COMPLEMENTOS!$D$4:$D$803,B1580,MOVIMIENTOS_COMPLEMENTOS!$E$4:$E$803,C1580,MOVIMIENTOS_COMPLEMENTOS!$G$4:$G$803,E1580,MOVIMIENTOS_COMPLEMENTOS!$H$4:$H$803,G1580,MOVIMIENTOS_COMPLEMENTOS!$B$4:$B$803,"DE CORTE")-SUMIFS(MOVIMIENTOS_COMPLEMENTOS!$I$4:$I$803,MOVIMIENTOS_COMPLEMENTOS!$C$4:$C$803,A1580,MOVIMIENTOS_COMPLEMENTOS!$D$4:$D$803,B1580,MOVIMIENTOS_COMPLEMENTOS!$E$4:$E$803,C1580,MOVIMIENTOS_COMPLEMENTOS!$G$4:$G$803,E1580,MOVIMIENTOS_COMPLEMENTOS!$H$4:$H$803,G1580,MOVIMIENTOS_COMPLEMENTOS!$B$4:$B$803,"SALIDA"),0)</f>
        <v>0</v>
      </c>
      <c r="I1580" s="102">
        <f t="array" ref="I1580">IFERROR(INDEX(PRECIOS_COMPLEMENTOS!$C$4:$F$17,MATCH(B1580&amp;"_"&amp;C1580,PRECIOS_COMPLEMENTOS!$H$4:$H$17,0),IF(OR(G1580="S",G1580="20cm"),1,IF(OR(G1580="M",G1580="25cm"),2,IF(OR(G1580="L",G1580="30cm"),3,IF(OR(G1580="XL",G1580="35cm"),4,0))))),0)</f>
        <v>0.3</v>
      </c>
      <c r="J1580" s="103">
        <f t="shared" si="1"/>
        <v>0</v>
      </c>
      <c r="K1580" s="104" t="str">
        <f>IF(H1580&lt;0,"ERROR",IF(H1580=0,"",IF(H1580&lt;CONFIG!$B$4,"CRÍTICO",IF(H1580&lt;CONFIG!$B$5,"BAJO","OK"))))</f>
        <v/>
      </c>
    </row>
    <row r="1581" ht="15.75" hidden="1" customHeight="1">
      <c r="A1581" s="90" t="str">
        <f>IF(CLIENTES!A5="","",CLIENTES!A5)</f>
        <v>Bravos</v>
      </c>
      <c r="B1581" s="90" t="s">
        <v>324</v>
      </c>
      <c r="C1581" s="91" t="s">
        <v>328</v>
      </c>
      <c r="D1581" s="109" t="s">
        <v>353</v>
      </c>
      <c r="E1581" s="67" t="str">
        <f>COLORES!A18</f>
        <v>P. Rosa</v>
      </c>
      <c r="F1581" s="67" t="str">
        <f>COLORES!B18</f>
        <v>CLARO</v>
      </c>
      <c r="G1581" s="90" t="s">
        <v>376</v>
      </c>
      <c r="H1581" s="100">
        <f>IFERROR(SUMIFS(MOVIMIENTOS_COMPLEMENTOS!$I$4:$I$803,MOVIMIENTOS_COMPLEMENTOS!$C$4:$C$803,A1581,MOVIMIENTOS_COMPLEMENTOS!$D$4:$D$803,B1581,MOVIMIENTOS_COMPLEMENTOS!$E$4:$E$803,C1581,MOVIMIENTOS_COMPLEMENTOS!$G$4:$G$803,E1581,MOVIMIENTOS_COMPLEMENTOS!$H$4:$H$803,G1581,MOVIMIENTOS_COMPLEMENTOS!$B$4:$B$803,"INGRESO")+SUMIFS(MOVIMIENTOS_COMPLEMENTOS!$I$4:$I$803,MOVIMIENTOS_COMPLEMENTOS!$C$4:$C$803,A1581,MOVIMIENTOS_COMPLEMENTOS!$D$4:$D$803,B1581,MOVIMIENTOS_COMPLEMENTOS!$E$4:$E$803,C1581,MOVIMIENTOS_COMPLEMENTOS!$G$4:$G$803,E1581,MOVIMIENTOS_COMPLEMENTOS!$H$4:$H$803,G1581,MOVIMIENTOS_COMPLEMENTOS!$B$4:$B$803,"DE CORTE")-SUMIFS(MOVIMIENTOS_COMPLEMENTOS!$I$4:$I$803,MOVIMIENTOS_COMPLEMENTOS!$C$4:$C$803,A1581,MOVIMIENTOS_COMPLEMENTOS!$D$4:$D$803,B1581,MOVIMIENTOS_COMPLEMENTOS!$E$4:$E$803,C1581,MOVIMIENTOS_COMPLEMENTOS!$G$4:$G$803,E1581,MOVIMIENTOS_COMPLEMENTOS!$H$4:$H$803,G1581,MOVIMIENTOS_COMPLEMENTOS!$B$4:$B$803,"SALIDA"),0)</f>
        <v>0</v>
      </c>
      <c r="I1581" s="102">
        <f t="array" ref="I1581">IFERROR(INDEX(PRECIOS_COMPLEMENTOS!$C$4:$F$17,MATCH(B1581&amp;"_"&amp;C1581,PRECIOS_COMPLEMENTOS!$H$4:$H$17,0),IF(OR(G1581="S",G1581="20cm"),1,IF(OR(G1581="M",G1581="25cm"),2,IF(OR(G1581="L",G1581="30cm"),3,IF(OR(G1581="XL",G1581="35cm"),4,0))))),0)</f>
        <v>0.3</v>
      </c>
      <c r="J1581" s="103">
        <f t="shared" si="1"/>
        <v>0</v>
      </c>
      <c r="K1581" s="104" t="str">
        <f>IF(H1581&lt;0,"ERROR",IF(H1581=0,"",IF(H1581&lt;CONFIG!$B$4,"CRÍTICO",IF(H1581&lt;CONFIG!$B$5,"BAJO","OK"))))</f>
        <v/>
      </c>
    </row>
    <row r="1582" ht="15.75" hidden="1" customHeight="1">
      <c r="A1582" s="90" t="str">
        <f>IF(CLIENTES!A5="","",CLIENTES!A5)</f>
        <v>Bravos</v>
      </c>
      <c r="B1582" s="90" t="s">
        <v>324</v>
      </c>
      <c r="C1582" s="91" t="s">
        <v>328</v>
      </c>
      <c r="D1582" s="109" t="s">
        <v>353</v>
      </c>
      <c r="E1582" s="67" t="str">
        <f>COLORES!A18</f>
        <v>P. Rosa</v>
      </c>
      <c r="F1582" s="67" t="str">
        <f>COLORES!B18</f>
        <v>CLARO</v>
      </c>
      <c r="G1582" s="90" t="s">
        <v>377</v>
      </c>
      <c r="H1582" s="100">
        <f>IFERROR(SUMIFS(MOVIMIENTOS_COMPLEMENTOS!$I$4:$I$803,MOVIMIENTOS_COMPLEMENTOS!$C$4:$C$803,A1582,MOVIMIENTOS_COMPLEMENTOS!$D$4:$D$803,B1582,MOVIMIENTOS_COMPLEMENTOS!$E$4:$E$803,C1582,MOVIMIENTOS_COMPLEMENTOS!$G$4:$G$803,E1582,MOVIMIENTOS_COMPLEMENTOS!$H$4:$H$803,G1582,MOVIMIENTOS_COMPLEMENTOS!$B$4:$B$803,"INGRESO")+SUMIFS(MOVIMIENTOS_COMPLEMENTOS!$I$4:$I$803,MOVIMIENTOS_COMPLEMENTOS!$C$4:$C$803,A1582,MOVIMIENTOS_COMPLEMENTOS!$D$4:$D$803,B1582,MOVIMIENTOS_COMPLEMENTOS!$E$4:$E$803,C1582,MOVIMIENTOS_COMPLEMENTOS!$G$4:$G$803,E1582,MOVIMIENTOS_COMPLEMENTOS!$H$4:$H$803,G1582,MOVIMIENTOS_COMPLEMENTOS!$B$4:$B$803,"DE CORTE")-SUMIFS(MOVIMIENTOS_COMPLEMENTOS!$I$4:$I$803,MOVIMIENTOS_COMPLEMENTOS!$C$4:$C$803,A1582,MOVIMIENTOS_COMPLEMENTOS!$D$4:$D$803,B1582,MOVIMIENTOS_COMPLEMENTOS!$E$4:$E$803,C1582,MOVIMIENTOS_COMPLEMENTOS!$G$4:$G$803,E1582,MOVIMIENTOS_COMPLEMENTOS!$H$4:$H$803,G1582,MOVIMIENTOS_COMPLEMENTOS!$B$4:$B$803,"SALIDA"),0)</f>
        <v>0</v>
      </c>
      <c r="I1582" s="102">
        <f t="array" ref="I1582">IFERROR(INDEX(PRECIOS_COMPLEMENTOS!$C$4:$F$17,MATCH(B1582&amp;"_"&amp;C1582,PRECIOS_COMPLEMENTOS!$H$4:$H$17,0),IF(OR(G1582="S",G1582="20cm"),1,IF(OR(G1582="M",G1582="25cm"),2,IF(OR(G1582="L",G1582="30cm"),3,IF(OR(G1582="XL",G1582="35cm"),4,0))))),0)</f>
        <v>0.3</v>
      </c>
      <c r="J1582" s="103">
        <f t="shared" si="1"/>
        <v>0</v>
      </c>
      <c r="K1582" s="104" t="str">
        <f>IF(H1582&lt;0,"ERROR",IF(H1582=0,"",IF(H1582&lt;CONFIG!$B$4,"CRÍTICO",IF(H1582&lt;CONFIG!$B$5,"BAJO","OK"))))</f>
        <v/>
      </c>
    </row>
    <row r="1583" ht="15.75" hidden="1" customHeight="1">
      <c r="A1583" s="90" t="str">
        <f>IF(CLIENTES!A5="","",CLIENTES!A5)</f>
        <v>Bravos</v>
      </c>
      <c r="B1583" s="90" t="s">
        <v>324</v>
      </c>
      <c r="C1583" s="91" t="s">
        <v>328</v>
      </c>
      <c r="D1583" s="109" t="s">
        <v>353</v>
      </c>
      <c r="E1583" s="67" t="str">
        <f>COLORES!A18</f>
        <v>P. Rosa</v>
      </c>
      <c r="F1583" s="67" t="str">
        <f>COLORES!B18</f>
        <v>CLARO</v>
      </c>
      <c r="G1583" s="90" t="s">
        <v>379</v>
      </c>
      <c r="H1583" s="100">
        <f>IFERROR(SUMIFS(MOVIMIENTOS_COMPLEMENTOS!$I$4:$I$803,MOVIMIENTOS_COMPLEMENTOS!$C$4:$C$803,A1583,MOVIMIENTOS_COMPLEMENTOS!$D$4:$D$803,B1583,MOVIMIENTOS_COMPLEMENTOS!$E$4:$E$803,C1583,MOVIMIENTOS_COMPLEMENTOS!$G$4:$G$803,E1583,MOVIMIENTOS_COMPLEMENTOS!$H$4:$H$803,G1583,MOVIMIENTOS_COMPLEMENTOS!$B$4:$B$803,"INGRESO")+SUMIFS(MOVIMIENTOS_COMPLEMENTOS!$I$4:$I$803,MOVIMIENTOS_COMPLEMENTOS!$C$4:$C$803,A1583,MOVIMIENTOS_COMPLEMENTOS!$D$4:$D$803,B1583,MOVIMIENTOS_COMPLEMENTOS!$E$4:$E$803,C1583,MOVIMIENTOS_COMPLEMENTOS!$G$4:$G$803,E1583,MOVIMIENTOS_COMPLEMENTOS!$H$4:$H$803,G1583,MOVIMIENTOS_COMPLEMENTOS!$B$4:$B$803,"DE CORTE")-SUMIFS(MOVIMIENTOS_COMPLEMENTOS!$I$4:$I$803,MOVIMIENTOS_COMPLEMENTOS!$C$4:$C$803,A1583,MOVIMIENTOS_COMPLEMENTOS!$D$4:$D$803,B1583,MOVIMIENTOS_COMPLEMENTOS!$E$4:$E$803,C1583,MOVIMIENTOS_COMPLEMENTOS!$G$4:$G$803,E1583,MOVIMIENTOS_COMPLEMENTOS!$H$4:$H$803,G1583,MOVIMIENTOS_COMPLEMENTOS!$B$4:$B$803,"SALIDA"),0)</f>
        <v>0</v>
      </c>
      <c r="I1583" s="102">
        <f t="array" ref="I1583">IFERROR(INDEX(PRECIOS_COMPLEMENTOS!$C$4:$F$17,MATCH(B1583&amp;"_"&amp;C1583,PRECIOS_COMPLEMENTOS!$H$4:$H$17,0),IF(OR(G1583="S",G1583="20cm"),1,IF(OR(G1583="M",G1583="25cm"),2,IF(OR(G1583="L",G1583="30cm"),3,IF(OR(G1583="XL",G1583="35cm"),4,0))))),0)</f>
        <v>0.3</v>
      </c>
      <c r="J1583" s="103">
        <f t="shared" si="1"/>
        <v>0</v>
      </c>
      <c r="K1583" s="104" t="str">
        <f>IF(H1583&lt;0,"ERROR",IF(H1583=0,"",IF(H1583&lt;CONFIG!$B$4,"CRÍTICO",IF(H1583&lt;CONFIG!$B$5,"BAJO","OK"))))</f>
        <v/>
      </c>
    </row>
    <row r="1584" ht="15.75" hidden="1" customHeight="1">
      <c r="A1584" s="90" t="str">
        <f>IF(CLIENTES!A5="","",CLIENTES!A5)</f>
        <v>Bravos</v>
      </c>
      <c r="B1584" s="90" t="s">
        <v>324</v>
      </c>
      <c r="C1584" s="91" t="s">
        <v>328</v>
      </c>
      <c r="D1584" s="109" t="s">
        <v>353</v>
      </c>
      <c r="E1584" s="67" t="str">
        <f>COLORES!A19</f>
        <v/>
      </c>
      <c r="F1584" s="67" t="str">
        <f>COLORES!B19</f>
        <v/>
      </c>
      <c r="G1584" s="90" t="s">
        <v>378</v>
      </c>
      <c r="H1584" s="100">
        <f>IFERROR(SUMIFS(MOVIMIENTOS_COMPLEMENTOS!$I$4:$I$803,MOVIMIENTOS_COMPLEMENTOS!$C$4:$C$803,A1584,MOVIMIENTOS_COMPLEMENTOS!$D$4:$D$803,B1584,MOVIMIENTOS_COMPLEMENTOS!$E$4:$E$803,C1584,MOVIMIENTOS_COMPLEMENTOS!$G$4:$G$803,E1584,MOVIMIENTOS_COMPLEMENTOS!$H$4:$H$803,G1584,MOVIMIENTOS_COMPLEMENTOS!$B$4:$B$803,"INGRESO")+SUMIFS(MOVIMIENTOS_COMPLEMENTOS!$I$4:$I$803,MOVIMIENTOS_COMPLEMENTOS!$C$4:$C$803,A1584,MOVIMIENTOS_COMPLEMENTOS!$D$4:$D$803,B1584,MOVIMIENTOS_COMPLEMENTOS!$E$4:$E$803,C1584,MOVIMIENTOS_COMPLEMENTOS!$G$4:$G$803,E1584,MOVIMIENTOS_COMPLEMENTOS!$H$4:$H$803,G1584,MOVIMIENTOS_COMPLEMENTOS!$B$4:$B$803,"DE CORTE")-SUMIFS(MOVIMIENTOS_COMPLEMENTOS!$I$4:$I$803,MOVIMIENTOS_COMPLEMENTOS!$C$4:$C$803,A1584,MOVIMIENTOS_COMPLEMENTOS!$D$4:$D$803,B1584,MOVIMIENTOS_COMPLEMENTOS!$E$4:$E$803,C1584,MOVIMIENTOS_COMPLEMENTOS!$G$4:$G$803,E1584,MOVIMIENTOS_COMPLEMENTOS!$H$4:$H$803,G1584,MOVIMIENTOS_COMPLEMENTOS!$B$4:$B$803,"SALIDA"),0)</f>
        <v>0</v>
      </c>
      <c r="I1584" s="102">
        <f t="array" ref="I1584">IFERROR(INDEX(PRECIOS_COMPLEMENTOS!$C$4:$F$17,MATCH(B1584&amp;"_"&amp;C1584,PRECIOS_COMPLEMENTOS!$H$4:$H$17,0),IF(OR(G1584="S",G1584="20cm"),1,IF(OR(G1584="M",G1584="25cm"),2,IF(OR(G1584="L",G1584="30cm"),3,IF(OR(G1584="XL",G1584="35cm"),4,0))))),0)</f>
        <v>0.3</v>
      </c>
      <c r="J1584" s="103">
        <f t="shared" si="1"/>
        <v>0</v>
      </c>
      <c r="K1584" s="104" t="str">
        <f>IF(H1584&lt;0,"ERROR",IF(H1584=0,"",IF(H1584&lt;CONFIG!$B$4,"CRÍTICO",IF(H1584&lt;CONFIG!$B$5,"BAJO","OK"))))</f>
        <v/>
      </c>
    </row>
    <row r="1585" ht="15.75" hidden="1" customHeight="1">
      <c r="A1585" s="90" t="str">
        <f>IF(CLIENTES!A5="","",CLIENTES!A5)</f>
        <v>Bravos</v>
      </c>
      <c r="B1585" s="90" t="s">
        <v>324</v>
      </c>
      <c r="C1585" s="91" t="s">
        <v>328</v>
      </c>
      <c r="D1585" s="109" t="s">
        <v>353</v>
      </c>
      <c r="E1585" s="67" t="str">
        <f>COLORES!A19</f>
        <v/>
      </c>
      <c r="F1585" s="67" t="str">
        <f>COLORES!B19</f>
        <v/>
      </c>
      <c r="G1585" s="90" t="s">
        <v>376</v>
      </c>
      <c r="H1585" s="100">
        <f>IFERROR(SUMIFS(MOVIMIENTOS_COMPLEMENTOS!$I$4:$I$803,MOVIMIENTOS_COMPLEMENTOS!$C$4:$C$803,A1585,MOVIMIENTOS_COMPLEMENTOS!$D$4:$D$803,B1585,MOVIMIENTOS_COMPLEMENTOS!$E$4:$E$803,C1585,MOVIMIENTOS_COMPLEMENTOS!$G$4:$G$803,E1585,MOVIMIENTOS_COMPLEMENTOS!$H$4:$H$803,G1585,MOVIMIENTOS_COMPLEMENTOS!$B$4:$B$803,"INGRESO")+SUMIFS(MOVIMIENTOS_COMPLEMENTOS!$I$4:$I$803,MOVIMIENTOS_COMPLEMENTOS!$C$4:$C$803,A1585,MOVIMIENTOS_COMPLEMENTOS!$D$4:$D$803,B1585,MOVIMIENTOS_COMPLEMENTOS!$E$4:$E$803,C1585,MOVIMIENTOS_COMPLEMENTOS!$G$4:$G$803,E1585,MOVIMIENTOS_COMPLEMENTOS!$H$4:$H$803,G1585,MOVIMIENTOS_COMPLEMENTOS!$B$4:$B$803,"DE CORTE")-SUMIFS(MOVIMIENTOS_COMPLEMENTOS!$I$4:$I$803,MOVIMIENTOS_COMPLEMENTOS!$C$4:$C$803,A1585,MOVIMIENTOS_COMPLEMENTOS!$D$4:$D$803,B1585,MOVIMIENTOS_COMPLEMENTOS!$E$4:$E$803,C1585,MOVIMIENTOS_COMPLEMENTOS!$G$4:$G$803,E1585,MOVIMIENTOS_COMPLEMENTOS!$H$4:$H$803,G1585,MOVIMIENTOS_COMPLEMENTOS!$B$4:$B$803,"SALIDA"),0)</f>
        <v>0</v>
      </c>
      <c r="I1585" s="102">
        <f t="array" ref="I1585">IFERROR(INDEX(PRECIOS_COMPLEMENTOS!$C$4:$F$17,MATCH(B1585&amp;"_"&amp;C1585,PRECIOS_COMPLEMENTOS!$H$4:$H$17,0),IF(OR(G1585="S",G1585="20cm"),1,IF(OR(G1585="M",G1585="25cm"),2,IF(OR(G1585="L",G1585="30cm"),3,IF(OR(G1585="XL",G1585="35cm"),4,0))))),0)</f>
        <v>0.3</v>
      </c>
      <c r="J1585" s="103">
        <f t="shared" si="1"/>
        <v>0</v>
      </c>
      <c r="K1585" s="104" t="str">
        <f>IF(H1585&lt;0,"ERROR",IF(H1585=0,"",IF(H1585&lt;CONFIG!$B$4,"CRÍTICO",IF(H1585&lt;CONFIG!$B$5,"BAJO","OK"))))</f>
        <v/>
      </c>
    </row>
    <row r="1586" ht="15.75" hidden="1" customHeight="1">
      <c r="A1586" s="90" t="str">
        <f>IF(CLIENTES!A5="","",CLIENTES!A5)</f>
        <v>Bravos</v>
      </c>
      <c r="B1586" s="90" t="s">
        <v>324</v>
      </c>
      <c r="C1586" s="91" t="s">
        <v>328</v>
      </c>
      <c r="D1586" s="109" t="s">
        <v>353</v>
      </c>
      <c r="E1586" s="67" t="str">
        <f>COLORES!A19</f>
        <v/>
      </c>
      <c r="F1586" s="67" t="str">
        <f>COLORES!B19</f>
        <v/>
      </c>
      <c r="G1586" s="90" t="s">
        <v>377</v>
      </c>
      <c r="H1586" s="100">
        <f>IFERROR(SUMIFS(MOVIMIENTOS_COMPLEMENTOS!$I$4:$I$803,MOVIMIENTOS_COMPLEMENTOS!$C$4:$C$803,A1586,MOVIMIENTOS_COMPLEMENTOS!$D$4:$D$803,B1586,MOVIMIENTOS_COMPLEMENTOS!$E$4:$E$803,C1586,MOVIMIENTOS_COMPLEMENTOS!$G$4:$G$803,E1586,MOVIMIENTOS_COMPLEMENTOS!$H$4:$H$803,G1586,MOVIMIENTOS_COMPLEMENTOS!$B$4:$B$803,"INGRESO")+SUMIFS(MOVIMIENTOS_COMPLEMENTOS!$I$4:$I$803,MOVIMIENTOS_COMPLEMENTOS!$C$4:$C$803,A1586,MOVIMIENTOS_COMPLEMENTOS!$D$4:$D$803,B1586,MOVIMIENTOS_COMPLEMENTOS!$E$4:$E$803,C1586,MOVIMIENTOS_COMPLEMENTOS!$G$4:$G$803,E1586,MOVIMIENTOS_COMPLEMENTOS!$H$4:$H$803,G1586,MOVIMIENTOS_COMPLEMENTOS!$B$4:$B$803,"DE CORTE")-SUMIFS(MOVIMIENTOS_COMPLEMENTOS!$I$4:$I$803,MOVIMIENTOS_COMPLEMENTOS!$C$4:$C$803,A1586,MOVIMIENTOS_COMPLEMENTOS!$D$4:$D$803,B1586,MOVIMIENTOS_COMPLEMENTOS!$E$4:$E$803,C1586,MOVIMIENTOS_COMPLEMENTOS!$G$4:$G$803,E1586,MOVIMIENTOS_COMPLEMENTOS!$H$4:$H$803,G1586,MOVIMIENTOS_COMPLEMENTOS!$B$4:$B$803,"SALIDA"),0)</f>
        <v>0</v>
      </c>
      <c r="I1586" s="102">
        <f t="array" ref="I1586">IFERROR(INDEX(PRECIOS_COMPLEMENTOS!$C$4:$F$17,MATCH(B1586&amp;"_"&amp;C1586,PRECIOS_COMPLEMENTOS!$H$4:$H$17,0),IF(OR(G1586="S",G1586="20cm"),1,IF(OR(G1586="M",G1586="25cm"),2,IF(OR(G1586="L",G1586="30cm"),3,IF(OR(G1586="XL",G1586="35cm"),4,0))))),0)</f>
        <v>0.3</v>
      </c>
      <c r="J1586" s="103">
        <f t="shared" si="1"/>
        <v>0</v>
      </c>
      <c r="K1586" s="104" t="str">
        <f>IF(H1586&lt;0,"ERROR",IF(H1586=0,"",IF(H1586&lt;CONFIG!$B$4,"CRÍTICO",IF(H1586&lt;CONFIG!$B$5,"BAJO","OK"))))</f>
        <v/>
      </c>
    </row>
    <row r="1587" ht="15.75" hidden="1" customHeight="1">
      <c r="A1587" s="90" t="str">
        <f>IF(CLIENTES!A5="","",CLIENTES!A5)</f>
        <v>Bravos</v>
      </c>
      <c r="B1587" s="90" t="s">
        <v>324</v>
      </c>
      <c r="C1587" s="91" t="s">
        <v>328</v>
      </c>
      <c r="D1587" s="109" t="s">
        <v>353</v>
      </c>
      <c r="E1587" s="67" t="str">
        <f>COLORES!A19</f>
        <v/>
      </c>
      <c r="F1587" s="67" t="str">
        <f>COLORES!B19</f>
        <v/>
      </c>
      <c r="G1587" s="90" t="s">
        <v>379</v>
      </c>
      <c r="H1587" s="100">
        <f>IFERROR(SUMIFS(MOVIMIENTOS_COMPLEMENTOS!$I$4:$I$803,MOVIMIENTOS_COMPLEMENTOS!$C$4:$C$803,A1587,MOVIMIENTOS_COMPLEMENTOS!$D$4:$D$803,B1587,MOVIMIENTOS_COMPLEMENTOS!$E$4:$E$803,C1587,MOVIMIENTOS_COMPLEMENTOS!$G$4:$G$803,E1587,MOVIMIENTOS_COMPLEMENTOS!$H$4:$H$803,G1587,MOVIMIENTOS_COMPLEMENTOS!$B$4:$B$803,"INGRESO")+SUMIFS(MOVIMIENTOS_COMPLEMENTOS!$I$4:$I$803,MOVIMIENTOS_COMPLEMENTOS!$C$4:$C$803,A1587,MOVIMIENTOS_COMPLEMENTOS!$D$4:$D$803,B1587,MOVIMIENTOS_COMPLEMENTOS!$E$4:$E$803,C1587,MOVIMIENTOS_COMPLEMENTOS!$G$4:$G$803,E1587,MOVIMIENTOS_COMPLEMENTOS!$H$4:$H$803,G1587,MOVIMIENTOS_COMPLEMENTOS!$B$4:$B$803,"DE CORTE")-SUMIFS(MOVIMIENTOS_COMPLEMENTOS!$I$4:$I$803,MOVIMIENTOS_COMPLEMENTOS!$C$4:$C$803,A1587,MOVIMIENTOS_COMPLEMENTOS!$D$4:$D$803,B1587,MOVIMIENTOS_COMPLEMENTOS!$E$4:$E$803,C1587,MOVIMIENTOS_COMPLEMENTOS!$G$4:$G$803,E1587,MOVIMIENTOS_COMPLEMENTOS!$H$4:$H$803,G1587,MOVIMIENTOS_COMPLEMENTOS!$B$4:$B$803,"SALIDA"),0)</f>
        <v>0</v>
      </c>
      <c r="I1587" s="102">
        <f t="array" ref="I1587">IFERROR(INDEX(PRECIOS_COMPLEMENTOS!$C$4:$F$17,MATCH(B1587&amp;"_"&amp;C1587,PRECIOS_COMPLEMENTOS!$H$4:$H$17,0),IF(OR(G1587="S",G1587="20cm"),1,IF(OR(G1587="M",G1587="25cm"),2,IF(OR(G1587="L",G1587="30cm"),3,IF(OR(G1587="XL",G1587="35cm"),4,0))))),0)</f>
        <v>0.3</v>
      </c>
      <c r="J1587" s="103">
        <f t="shared" si="1"/>
        <v>0</v>
      </c>
      <c r="K1587" s="104" t="str">
        <f>IF(H1587&lt;0,"ERROR",IF(H1587=0,"",IF(H1587&lt;CONFIG!$B$4,"CRÍTICO",IF(H1587&lt;CONFIG!$B$5,"BAJO","OK"))))</f>
        <v/>
      </c>
    </row>
    <row r="1588" ht="15.75" hidden="1" customHeight="1">
      <c r="A1588" s="90" t="str">
        <f>IF(CLIENTES!A5="","",CLIENTES!A5)</f>
        <v>Bravos</v>
      </c>
      <c r="B1588" s="90" t="s">
        <v>324</v>
      </c>
      <c r="C1588" s="91" t="s">
        <v>328</v>
      </c>
      <c r="D1588" s="109" t="s">
        <v>353</v>
      </c>
      <c r="E1588" s="67" t="str">
        <f>COLORES!A20</f>
        <v/>
      </c>
      <c r="F1588" s="67" t="str">
        <f>COLORES!B20</f>
        <v/>
      </c>
      <c r="G1588" s="90" t="s">
        <v>378</v>
      </c>
      <c r="H1588" s="100">
        <f>IFERROR(SUMIFS(MOVIMIENTOS_COMPLEMENTOS!$I$4:$I$803,MOVIMIENTOS_COMPLEMENTOS!$C$4:$C$803,A1588,MOVIMIENTOS_COMPLEMENTOS!$D$4:$D$803,B1588,MOVIMIENTOS_COMPLEMENTOS!$E$4:$E$803,C1588,MOVIMIENTOS_COMPLEMENTOS!$G$4:$G$803,E1588,MOVIMIENTOS_COMPLEMENTOS!$H$4:$H$803,G1588,MOVIMIENTOS_COMPLEMENTOS!$B$4:$B$803,"INGRESO")+SUMIFS(MOVIMIENTOS_COMPLEMENTOS!$I$4:$I$803,MOVIMIENTOS_COMPLEMENTOS!$C$4:$C$803,A1588,MOVIMIENTOS_COMPLEMENTOS!$D$4:$D$803,B1588,MOVIMIENTOS_COMPLEMENTOS!$E$4:$E$803,C1588,MOVIMIENTOS_COMPLEMENTOS!$G$4:$G$803,E1588,MOVIMIENTOS_COMPLEMENTOS!$H$4:$H$803,G1588,MOVIMIENTOS_COMPLEMENTOS!$B$4:$B$803,"DE CORTE")-SUMIFS(MOVIMIENTOS_COMPLEMENTOS!$I$4:$I$803,MOVIMIENTOS_COMPLEMENTOS!$C$4:$C$803,A1588,MOVIMIENTOS_COMPLEMENTOS!$D$4:$D$803,B1588,MOVIMIENTOS_COMPLEMENTOS!$E$4:$E$803,C1588,MOVIMIENTOS_COMPLEMENTOS!$G$4:$G$803,E1588,MOVIMIENTOS_COMPLEMENTOS!$H$4:$H$803,G1588,MOVIMIENTOS_COMPLEMENTOS!$B$4:$B$803,"SALIDA"),0)</f>
        <v>0</v>
      </c>
      <c r="I1588" s="102">
        <f t="array" ref="I1588">IFERROR(INDEX(PRECIOS_COMPLEMENTOS!$C$4:$F$17,MATCH(B1588&amp;"_"&amp;C1588,PRECIOS_COMPLEMENTOS!$H$4:$H$17,0),IF(OR(G1588="S",G1588="20cm"),1,IF(OR(G1588="M",G1588="25cm"),2,IF(OR(G1588="L",G1588="30cm"),3,IF(OR(G1588="XL",G1588="35cm"),4,0))))),0)</f>
        <v>0.3</v>
      </c>
      <c r="J1588" s="103">
        <f t="shared" si="1"/>
        <v>0</v>
      </c>
      <c r="K1588" s="104" t="str">
        <f>IF(H1588&lt;0,"ERROR",IF(H1588=0,"",IF(H1588&lt;CONFIG!$B$4,"CRÍTICO",IF(H1588&lt;CONFIG!$B$5,"BAJO","OK"))))</f>
        <v/>
      </c>
    </row>
    <row r="1589" ht="15.75" hidden="1" customHeight="1">
      <c r="A1589" s="90" t="str">
        <f>IF(CLIENTES!A5="","",CLIENTES!A5)</f>
        <v>Bravos</v>
      </c>
      <c r="B1589" s="90" t="s">
        <v>324</v>
      </c>
      <c r="C1589" s="91" t="s">
        <v>328</v>
      </c>
      <c r="D1589" s="109" t="s">
        <v>353</v>
      </c>
      <c r="E1589" s="67" t="str">
        <f>COLORES!A20</f>
        <v/>
      </c>
      <c r="F1589" s="67" t="str">
        <f>COLORES!B20</f>
        <v/>
      </c>
      <c r="G1589" s="90" t="s">
        <v>376</v>
      </c>
      <c r="H1589" s="100">
        <f>IFERROR(SUMIFS(MOVIMIENTOS_COMPLEMENTOS!$I$4:$I$803,MOVIMIENTOS_COMPLEMENTOS!$C$4:$C$803,A1589,MOVIMIENTOS_COMPLEMENTOS!$D$4:$D$803,B1589,MOVIMIENTOS_COMPLEMENTOS!$E$4:$E$803,C1589,MOVIMIENTOS_COMPLEMENTOS!$G$4:$G$803,E1589,MOVIMIENTOS_COMPLEMENTOS!$H$4:$H$803,G1589,MOVIMIENTOS_COMPLEMENTOS!$B$4:$B$803,"INGRESO")+SUMIFS(MOVIMIENTOS_COMPLEMENTOS!$I$4:$I$803,MOVIMIENTOS_COMPLEMENTOS!$C$4:$C$803,A1589,MOVIMIENTOS_COMPLEMENTOS!$D$4:$D$803,B1589,MOVIMIENTOS_COMPLEMENTOS!$E$4:$E$803,C1589,MOVIMIENTOS_COMPLEMENTOS!$G$4:$G$803,E1589,MOVIMIENTOS_COMPLEMENTOS!$H$4:$H$803,G1589,MOVIMIENTOS_COMPLEMENTOS!$B$4:$B$803,"DE CORTE")-SUMIFS(MOVIMIENTOS_COMPLEMENTOS!$I$4:$I$803,MOVIMIENTOS_COMPLEMENTOS!$C$4:$C$803,A1589,MOVIMIENTOS_COMPLEMENTOS!$D$4:$D$803,B1589,MOVIMIENTOS_COMPLEMENTOS!$E$4:$E$803,C1589,MOVIMIENTOS_COMPLEMENTOS!$G$4:$G$803,E1589,MOVIMIENTOS_COMPLEMENTOS!$H$4:$H$803,G1589,MOVIMIENTOS_COMPLEMENTOS!$B$4:$B$803,"SALIDA"),0)</f>
        <v>0</v>
      </c>
      <c r="I1589" s="102">
        <f t="array" ref="I1589">IFERROR(INDEX(PRECIOS_COMPLEMENTOS!$C$4:$F$17,MATCH(B1589&amp;"_"&amp;C1589,PRECIOS_COMPLEMENTOS!$H$4:$H$17,0),IF(OR(G1589="S",G1589="20cm"),1,IF(OR(G1589="M",G1589="25cm"),2,IF(OR(G1589="L",G1589="30cm"),3,IF(OR(G1589="XL",G1589="35cm"),4,0))))),0)</f>
        <v>0.3</v>
      </c>
      <c r="J1589" s="103">
        <f t="shared" si="1"/>
        <v>0</v>
      </c>
      <c r="K1589" s="104" t="str">
        <f>IF(H1589&lt;0,"ERROR",IF(H1589=0,"",IF(H1589&lt;CONFIG!$B$4,"CRÍTICO",IF(H1589&lt;CONFIG!$B$5,"BAJO","OK"))))</f>
        <v/>
      </c>
    </row>
    <row r="1590" ht="15.75" hidden="1" customHeight="1">
      <c r="A1590" s="90" t="str">
        <f>IF(CLIENTES!A5="","",CLIENTES!A5)</f>
        <v>Bravos</v>
      </c>
      <c r="B1590" s="90" t="s">
        <v>324</v>
      </c>
      <c r="C1590" s="91" t="s">
        <v>328</v>
      </c>
      <c r="D1590" s="109" t="s">
        <v>353</v>
      </c>
      <c r="E1590" s="67" t="str">
        <f>COLORES!A20</f>
        <v/>
      </c>
      <c r="F1590" s="67" t="str">
        <f>COLORES!B20</f>
        <v/>
      </c>
      <c r="G1590" s="90" t="s">
        <v>377</v>
      </c>
      <c r="H1590" s="100">
        <f>IFERROR(SUMIFS(MOVIMIENTOS_COMPLEMENTOS!$I$4:$I$803,MOVIMIENTOS_COMPLEMENTOS!$C$4:$C$803,A1590,MOVIMIENTOS_COMPLEMENTOS!$D$4:$D$803,B1590,MOVIMIENTOS_COMPLEMENTOS!$E$4:$E$803,C1590,MOVIMIENTOS_COMPLEMENTOS!$G$4:$G$803,E1590,MOVIMIENTOS_COMPLEMENTOS!$H$4:$H$803,G1590,MOVIMIENTOS_COMPLEMENTOS!$B$4:$B$803,"INGRESO")+SUMIFS(MOVIMIENTOS_COMPLEMENTOS!$I$4:$I$803,MOVIMIENTOS_COMPLEMENTOS!$C$4:$C$803,A1590,MOVIMIENTOS_COMPLEMENTOS!$D$4:$D$803,B1590,MOVIMIENTOS_COMPLEMENTOS!$E$4:$E$803,C1590,MOVIMIENTOS_COMPLEMENTOS!$G$4:$G$803,E1590,MOVIMIENTOS_COMPLEMENTOS!$H$4:$H$803,G1590,MOVIMIENTOS_COMPLEMENTOS!$B$4:$B$803,"DE CORTE")-SUMIFS(MOVIMIENTOS_COMPLEMENTOS!$I$4:$I$803,MOVIMIENTOS_COMPLEMENTOS!$C$4:$C$803,A1590,MOVIMIENTOS_COMPLEMENTOS!$D$4:$D$803,B1590,MOVIMIENTOS_COMPLEMENTOS!$E$4:$E$803,C1590,MOVIMIENTOS_COMPLEMENTOS!$G$4:$G$803,E1590,MOVIMIENTOS_COMPLEMENTOS!$H$4:$H$803,G1590,MOVIMIENTOS_COMPLEMENTOS!$B$4:$B$803,"SALIDA"),0)</f>
        <v>0</v>
      </c>
      <c r="I1590" s="102">
        <f t="array" ref="I1590">IFERROR(INDEX(PRECIOS_COMPLEMENTOS!$C$4:$F$17,MATCH(B1590&amp;"_"&amp;C1590,PRECIOS_COMPLEMENTOS!$H$4:$H$17,0),IF(OR(G1590="S",G1590="20cm"),1,IF(OR(G1590="M",G1590="25cm"),2,IF(OR(G1590="L",G1590="30cm"),3,IF(OR(G1590="XL",G1590="35cm"),4,0))))),0)</f>
        <v>0.3</v>
      </c>
      <c r="J1590" s="103">
        <f t="shared" si="1"/>
        <v>0</v>
      </c>
      <c r="K1590" s="104" t="str">
        <f>IF(H1590&lt;0,"ERROR",IF(H1590=0,"",IF(H1590&lt;CONFIG!$B$4,"CRÍTICO",IF(H1590&lt;CONFIG!$B$5,"BAJO","OK"))))</f>
        <v/>
      </c>
    </row>
    <row r="1591" ht="15.75" hidden="1" customHeight="1">
      <c r="A1591" s="90" t="str">
        <f>IF(CLIENTES!A5="","",CLIENTES!A5)</f>
        <v>Bravos</v>
      </c>
      <c r="B1591" s="90" t="s">
        <v>324</v>
      </c>
      <c r="C1591" s="91" t="s">
        <v>328</v>
      </c>
      <c r="D1591" s="109" t="s">
        <v>353</v>
      </c>
      <c r="E1591" s="67" t="str">
        <f>COLORES!A20</f>
        <v/>
      </c>
      <c r="F1591" s="67" t="str">
        <f>COLORES!B20</f>
        <v/>
      </c>
      <c r="G1591" s="90" t="s">
        <v>379</v>
      </c>
      <c r="H1591" s="100">
        <f>IFERROR(SUMIFS(MOVIMIENTOS_COMPLEMENTOS!$I$4:$I$803,MOVIMIENTOS_COMPLEMENTOS!$C$4:$C$803,A1591,MOVIMIENTOS_COMPLEMENTOS!$D$4:$D$803,B1591,MOVIMIENTOS_COMPLEMENTOS!$E$4:$E$803,C1591,MOVIMIENTOS_COMPLEMENTOS!$G$4:$G$803,E1591,MOVIMIENTOS_COMPLEMENTOS!$H$4:$H$803,G1591,MOVIMIENTOS_COMPLEMENTOS!$B$4:$B$803,"INGRESO")+SUMIFS(MOVIMIENTOS_COMPLEMENTOS!$I$4:$I$803,MOVIMIENTOS_COMPLEMENTOS!$C$4:$C$803,A1591,MOVIMIENTOS_COMPLEMENTOS!$D$4:$D$803,B1591,MOVIMIENTOS_COMPLEMENTOS!$E$4:$E$803,C1591,MOVIMIENTOS_COMPLEMENTOS!$G$4:$G$803,E1591,MOVIMIENTOS_COMPLEMENTOS!$H$4:$H$803,G1591,MOVIMIENTOS_COMPLEMENTOS!$B$4:$B$803,"DE CORTE")-SUMIFS(MOVIMIENTOS_COMPLEMENTOS!$I$4:$I$803,MOVIMIENTOS_COMPLEMENTOS!$C$4:$C$803,A1591,MOVIMIENTOS_COMPLEMENTOS!$D$4:$D$803,B1591,MOVIMIENTOS_COMPLEMENTOS!$E$4:$E$803,C1591,MOVIMIENTOS_COMPLEMENTOS!$G$4:$G$803,E1591,MOVIMIENTOS_COMPLEMENTOS!$H$4:$H$803,G1591,MOVIMIENTOS_COMPLEMENTOS!$B$4:$B$803,"SALIDA"),0)</f>
        <v>0</v>
      </c>
      <c r="I1591" s="102">
        <f t="array" ref="I1591">IFERROR(INDEX(PRECIOS_COMPLEMENTOS!$C$4:$F$17,MATCH(B1591&amp;"_"&amp;C1591,PRECIOS_COMPLEMENTOS!$H$4:$H$17,0),IF(OR(G1591="S",G1591="20cm"),1,IF(OR(G1591="M",G1591="25cm"),2,IF(OR(G1591="L",G1591="30cm"),3,IF(OR(G1591="XL",G1591="35cm"),4,0))))),0)</f>
        <v>0.3</v>
      </c>
      <c r="J1591" s="103">
        <f t="shared" si="1"/>
        <v>0</v>
      </c>
      <c r="K1591" s="104" t="str">
        <f>IF(H1591&lt;0,"ERROR",IF(H1591=0,"",IF(H1591&lt;CONFIG!$B$4,"CRÍTICO",IF(H1591&lt;CONFIG!$B$5,"BAJO","OK"))))</f>
        <v/>
      </c>
    </row>
    <row r="1592" ht="15.75" hidden="1" customHeight="1">
      <c r="A1592" s="90" t="str">
        <f>IF(CLIENTES!A5="","",CLIENTES!A5)</f>
        <v>Bravos</v>
      </c>
      <c r="B1592" s="90" t="s">
        <v>324</v>
      </c>
      <c r="C1592" s="91" t="s">
        <v>328</v>
      </c>
      <c r="D1592" s="109" t="s">
        <v>353</v>
      </c>
      <c r="E1592" s="67" t="str">
        <f>COLORES!A21</f>
        <v/>
      </c>
      <c r="F1592" s="67" t="str">
        <f>COLORES!B21</f>
        <v/>
      </c>
      <c r="G1592" s="90" t="s">
        <v>378</v>
      </c>
      <c r="H1592" s="100">
        <f>IFERROR(SUMIFS(MOVIMIENTOS_COMPLEMENTOS!$I$4:$I$803,MOVIMIENTOS_COMPLEMENTOS!$C$4:$C$803,A1592,MOVIMIENTOS_COMPLEMENTOS!$D$4:$D$803,B1592,MOVIMIENTOS_COMPLEMENTOS!$E$4:$E$803,C1592,MOVIMIENTOS_COMPLEMENTOS!$G$4:$G$803,E1592,MOVIMIENTOS_COMPLEMENTOS!$H$4:$H$803,G1592,MOVIMIENTOS_COMPLEMENTOS!$B$4:$B$803,"INGRESO")+SUMIFS(MOVIMIENTOS_COMPLEMENTOS!$I$4:$I$803,MOVIMIENTOS_COMPLEMENTOS!$C$4:$C$803,A1592,MOVIMIENTOS_COMPLEMENTOS!$D$4:$D$803,B1592,MOVIMIENTOS_COMPLEMENTOS!$E$4:$E$803,C1592,MOVIMIENTOS_COMPLEMENTOS!$G$4:$G$803,E1592,MOVIMIENTOS_COMPLEMENTOS!$H$4:$H$803,G1592,MOVIMIENTOS_COMPLEMENTOS!$B$4:$B$803,"DE CORTE")-SUMIFS(MOVIMIENTOS_COMPLEMENTOS!$I$4:$I$803,MOVIMIENTOS_COMPLEMENTOS!$C$4:$C$803,A1592,MOVIMIENTOS_COMPLEMENTOS!$D$4:$D$803,B1592,MOVIMIENTOS_COMPLEMENTOS!$E$4:$E$803,C1592,MOVIMIENTOS_COMPLEMENTOS!$G$4:$G$803,E1592,MOVIMIENTOS_COMPLEMENTOS!$H$4:$H$803,G1592,MOVIMIENTOS_COMPLEMENTOS!$B$4:$B$803,"SALIDA"),0)</f>
        <v>0</v>
      </c>
      <c r="I1592" s="102">
        <f t="array" ref="I1592">IFERROR(INDEX(PRECIOS_COMPLEMENTOS!$C$4:$F$17,MATCH(B1592&amp;"_"&amp;C1592,PRECIOS_COMPLEMENTOS!$H$4:$H$17,0),IF(OR(G1592="S",G1592="20cm"),1,IF(OR(G1592="M",G1592="25cm"),2,IF(OR(G1592="L",G1592="30cm"),3,IF(OR(G1592="XL",G1592="35cm"),4,0))))),0)</f>
        <v>0.3</v>
      </c>
      <c r="J1592" s="103">
        <f t="shared" si="1"/>
        <v>0</v>
      </c>
      <c r="K1592" s="104" t="str">
        <f>IF(H1592&lt;0,"ERROR",IF(H1592=0,"",IF(H1592&lt;CONFIG!$B$4,"CRÍTICO",IF(H1592&lt;CONFIG!$B$5,"BAJO","OK"))))</f>
        <v/>
      </c>
    </row>
    <row r="1593" ht="15.75" hidden="1" customHeight="1">
      <c r="A1593" s="90" t="str">
        <f>IF(CLIENTES!A5="","",CLIENTES!A5)</f>
        <v>Bravos</v>
      </c>
      <c r="B1593" s="90" t="s">
        <v>324</v>
      </c>
      <c r="C1593" s="91" t="s">
        <v>328</v>
      </c>
      <c r="D1593" s="109" t="s">
        <v>353</v>
      </c>
      <c r="E1593" s="67" t="str">
        <f>COLORES!A21</f>
        <v/>
      </c>
      <c r="F1593" s="67" t="str">
        <f>COLORES!B21</f>
        <v/>
      </c>
      <c r="G1593" s="90" t="s">
        <v>376</v>
      </c>
      <c r="H1593" s="100">
        <f>IFERROR(SUMIFS(MOVIMIENTOS_COMPLEMENTOS!$I$4:$I$803,MOVIMIENTOS_COMPLEMENTOS!$C$4:$C$803,A1593,MOVIMIENTOS_COMPLEMENTOS!$D$4:$D$803,B1593,MOVIMIENTOS_COMPLEMENTOS!$E$4:$E$803,C1593,MOVIMIENTOS_COMPLEMENTOS!$G$4:$G$803,E1593,MOVIMIENTOS_COMPLEMENTOS!$H$4:$H$803,G1593,MOVIMIENTOS_COMPLEMENTOS!$B$4:$B$803,"INGRESO")+SUMIFS(MOVIMIENTOS_COMPLEMENTOS!$I$4:$I$803,MOVIMIENTOS_COMPLEMENTOS!$C$4:$C$803,A1593,MOVIMIENTOS_COMPLEMENTOS!$D$4:$D$803,B1593,MOVIMIENTOS_COMPLEMENTOS!$E$4:$E$803,C1593,MOVIMIENTOS_COMPLEMENTOS!$G$4:$G$803,E1593,MOVIMIENTOS_COMPLEMENTOS!$H$4:$H$803,G1593,MOVIMIENTOS_COMPLEMENTOS!$B$4:$B$803,"DE CORTE")-SUMIFS(MOVIMIENTOS_COMPLEMENTOS!$I$4:$I$803,MOVIMIENTOS_COMPLEMENTOS!$C$4:$C$803,A1593,MOVIMIENTOS_COMPLEMENTOS!$D$4:$D$803,B1593,MOVIMIENTOS_COMPLEMENTOS!$E$4:$E$803,C1593,MOVIMIENTOS_COMPLEMENTOS!$G$4:$G$803,E1593,MOVIMIENTOS_COMPLEMENTOS!$H$4:$H$803,G1593,MOVIMIENTOS_COMPLEMENTOS!$B$4:$B$803,"SALIDA"),0)</f>
        <v>0</v>
      </c>
      <c r="I1593" s="102">
        <f t="array" ref="I1593">IFERROR(INDEX(PRECIOS_COMPLEMENTOS!$C$4:$F$17,MATCH(B1593&amp;"_"&amp;C1593,PRECIOS_COMPLEMENTOS!$H$4:$H$17,0),IF(OR(G1593="S",G1593="20cm"),1,IF(OR(G1593="M",G1593="25cm"),2,IF(OR(G1593="L",G1593="30cm"),3,IF(OR(G1593="XL",G1593="35cm"),4,0))))),0)</f>
        <v>0.3</v>
      </c>
      <c r="J1593" s="103">
        <f t="shared" si="1"/>
        <v>0</v>
      </c>
      <c r="K1593" s="104" t="str">
        <f>IF(H1593&lt;0,"ERROR",IF(H1593=0,"",IF(H1593&lt;CONFIG!$B$4,"CRÍTICO",IF(H1593&lt;CONFIG!$B$5,"BAJO","OK"))))</f>
        <v/>
      </c>
    </row>
    <row r="1594" ht="15.75" hidden="1" customHeight="1">
      <c r="A1594" s="90" t="str">
        <f>IF(CLIENTES!A5="","",CLIENTES!A5)</f>
        <v>Bravos</v>
      </c>
      <c r="B1594" s="90" t="s">
        <v>324</v>
      </c>
      <c r="C1594" s="91" t="s">
        <v>328</v>
      </c>
      <c r="D1594" s="109" t="s">
        <v>353</v>
      </c>
      <c r="E1594" s="67" t="str">
        <f>COLORES!A21</f>
        <v/>
      </c>
      <c r="F1594" s="67" t="str">
        <f>COLORES!B21</f>
        <v/>
      </c>
      <c r="G1594" s="90" t="s">
        <v>377</v>
      </c>
      <c r="H1594" s="100">
        <f>IFERROR(SUMIFS(MOVIMIENTOS_COMPLEMENTOS!$I$4:$I$803,MOVIMIENTOS_COMPLEMENTOS!$C$4:$C$803,A1594,MOVIMIENTOS_COMPLEMENTOS!$D$4:$D$803,B1594,MOVIMIENTOS_COMPLEMENTOS!$E$4:$E$803,C1594,MOVIMIENTOS_COMPLEMENTOS!$G$4:$G$803,E1594,MOVIMIENTOS_COMPLEMENTOS!$H$4:$H$803,G1594,MOVIMIENTOS_COMPLEMENTOS!$B$4:$B$803,"INGRESO")+SUMIFS(MOVIMIENTOS_COMPLEMENTOS!$I$4:$I$803,MOVIMIENTOS_COMPLEMENTOS!$C$4:$C$803,A1594,MOVIMIENTOS_COMPLEMENTOS!$D$4:$D$803,B1594,MOVIMIENTOS_COMPLEMENTOS!$E$4:$E$803,C1594,MOVIMIENTOS_COMPLEMENTOS!$G$4:$G$803,E1594,MOVIMIENTOS_COMPLEMENTOS!$H$4:$H$803,G1594,MOVIMIENTOS_COMPLEMENTOS!$B$4:$B$803,"DE CORTE")-SUMIFS(MOVIMIENTOS_COMPLEMENTOS!$I$4:$I$803,MOVIMIENTOS_COMPLEMENTOS!$C$4:$C$803,A1594,MOVIMIENTOS_COMPLEMENTOS!$D$4:$D$803,B1594,MOVIMIENTOS_COMPLEMENTOS!$E$4:$E$803,C1594,MOVIMIENTOS_COMPLEMENTOS!$G$4:$G$803,E1594,MOVIMIENTOS_COMPLEMENTOS!$H$4:$H$803,G1594,MOVIMIENTOS_COMPLEMENTOS!$B$4:$B$803,"SALIDA"),0)</f>
        <v>0</v>
      </c>
      <c r="I1594" s="102">
        <f t="array" ref="I1594">IFERROR(INDEX(PRECIOS_COMPLEMENTOS!$C$4:$F$17,MATCH(B1594&amp;"_"&amp;C1594,PRECIOS_COMPLEMENTOS!$H$4:$H$17,0),IF(OR(G1594="S",G1594="20cm"),1,IF(OR(G1594="M",G1594="25cm"),2,IF(OR(G1594="L",G1594="30cm"),3,IF(OR(G1594="XL",G1594="35cm"),4,0))))),0)</f>
        <v>0.3</v>
      </c>
      <c r="J1594" s="103">
        <f t="shared" si="1"/>
        <v>0</v>
      </c>
      <c r="K1594" s="104" t="str">
        <f>IF(H1594&lt;0,"ERROR",IF(H1594=0,"",IF(H1594&lt;CONFIG!$B$4,"CRÍTICO",IF(H1594&lt;CONFIG!$B$5,"BAJO","OK"))))</f>
        <v/>
      </c>
    </row>
    <row r="1595" ht="15.75" hidden="1" customHeight="1">
      <c r="A1595" s="90" t="str">
        <f>IF(CLIENTES!A5="","",CLIENTES!A5)</f>
        <v>Bravos</v>
      </c>
      <c r="B1595" s="90" t="s">
        <v>324</v>
      </c>
      <c r="C1595" s="91" t="s">
        <v>328</v>
      </c>
      <c r="D1595" s="109" t="s">
        <v>353</v>
      </c>
      <c r="E1595" s="67" t="str">
        <f>COLORES!A21</f>
        <v/>
      </c>
      <c r="F1595" s="67" t="str">
        <f>COLORES!B21</f>
        <v/>
      </c>
      <c r="G1595" s="90" t="s">
        <v>379</v>
      </c>
      <c r="H1595" s="100">
        <f>IFERROR(SUMIFS(MOVIMIENTOS_COMPLEMENTOS!$I$4:$I$803,MOVIMIENTOS_COMPLEMENTOS!$C$4:$C$803,A1595,MOVIMIENTOS_COMPLEMENTOS!$D$4:$D$803,B1595,MOVIMIENTOS_COMPLEMENTOS!$E$4:$E$803,C1595,MOVIMIENTOS_COMPLEMENTOS!$G$4:$G$803,E1595,MOVIMIENTOS_COMPLEMENTOS!$H$4:$H$803,G1595,MOVIMIENTOS_COMPLEMENTOS!$B$4:$B$803,"INGRESO")+SUMIFS(MOVIMIENTOS_COMPLEMENTOS!$I$4:$I$803,MOVIMIENTOS_COMPLEMENTOS!$C$4:$C$803,A1595,MOVIMIENTOS_COMPLEMENTOS!$D$4:$D$803,B1595,MOVIMIENTOS_COMPLEMENTOS!$E$4:$E$803,C1595,MOVIMIENTOS_COMPLEMENTOS!$G$4:$G$803,E1595,MOVIMIENTOS_COMPLEMENTOS!$H$4:$H$803,G1595,MOVIMIENTOS_COMPLEMENTOS!$B$4:$B$803,"DE CORTE")-SUMIFS(MOVIMIENTOS_COMPLEMENTOS!$I$4:$I$803,MOVIMIENTOS_COMPLEMENTOS!$C$4:$C$803,A1595,MOVIMIENTOS_COMPLEMENTOS!$D$4:$D$803,B1595,MOVIMIENTOS_COMPLEMENTOS!$E$4:$E$803,C1595,MOVIMIENTOS_COMPLEMENTOS!$G$4:$G$803,E1595,MOVIMIENTOS_COMPLEMENTOS!$H$4:$H$803,G1595,MOVIMIENTOS_COMPLEMENTOS!$B$4:$B$803,"SALIDA"),0)</f>
        <v>0</v>
      </c>
      <c r="I1595" s="102">
        <f t="array" ref="I1595">IFERROR(INDEX(PRECIOS_COMPLEMENTOS!$C$4:$F$17,MATCH(B1595&amp;"_"&amp;C1595,PRECIOS_COMPLEMENTOS!$H$4:$H$17,0),IF(OR(G1595="S",G1595="20cm"),1,IF(OR(G1595="M",G1595="25cm"),2,IF(OR(G1595="L",G1595="30cm"),3,IF(OR(G1595="XL",G1595="35cm"),4,0))))),0)</f>
        <v>0.3</v>
      </c>
      <c r="J1595" s="103">
        <f t="shared" si="1"/>
        <v>0</v>
      </c>
      <c r="K1595" s="104" t="str">
        <f>IF(H1595&lt;0,"ERROR",IF(H1595=0,"",IF(H1595&lt;CONFIG!$B$4,"CRÍTICO",IF(H1595&lt;CONFIG!$B$5,"BAJO","OK"))))</f>
        <v/>
      </c>
    </row>
    <row r="1596" ht="15.75" hidden="1" customHeight="1">
      <c r="A1596" s="90" t="str">
        <f>IF(CLIENTES!A5="","",CLIENTES!A5)</f>
        <v>Bravos</v>
      </c>
      <c r="B1596" s="90" t="s">
        <v>324</v>
      </c>
      <c r="C1596" s="91" t="s">
        <v>328</v>
      </c>
      <c r="D1596" s="109" t="s">
        <v>353</v>
      </c>
      <c r="E1596" s="67" t="str">
        <f>COLORES!A22</f>
        <v/>
      </c>
      <c r="F1596" s="67" t="str">
        <f>COLORES!B22</f>
        <v/>
      </c>
      <c r="G1596" s="90" t="s">
        <v>378</v>
      </c>
      <c r="H1596" s="100">
        <f>IFERROR(SUMIFS(MOVIMIENTOS_COMPLEMENTOS!$I$4:$I$803,MOVIMIENTOS_COMPLEMENTOS!$C$4:$C$803,A1596,MOVIMIENTOS_COMPLEMENTOS!$D$4:$D$803,B1596,MOVIMIENTOS_COMPLEMENTOS!$E$4:$E$803,C1596,MOVIMIENTOS_COMPLEMENTOS!$G$4:$G$803,E1596,MOVIMIENTOS_COMPLEMENTOS!$H$4:$H$803,G1596,MOVIMIENTOS_COMPLEMENTOS!$B$4:$B$803,"INGRESO")+SUMIFS(MOVIMIENTOS_COMPLEMENTOS!$I$4:$I$803,MOVIMIENTOS_COMPLEMENTOS!$C$4:$C$803,A1596,MOVIMIENTOS_COMPLEMENTOS!$D$4:$D$803,B1596,MOVIMIENTOS_COMPLEMENTOS!$E$4:$E$803,C1596,MOVIMIENTOS_COMPLEMENTOS!$G$4:$G$803,E1596,MOVIMIENTOS_COMPLEMENTOS!$H$4:$H$803,G1596,MOVIMIENTOS_COMPLEMENTOS!$B$4:$B$803,"DE CORTE")-SUMIFS(MOVIMIENTOS_COMPLEMENTOS!$I$4:$I$803,MOVIMIENTOS_COMPLEMENTOS!$C$4:$C$803,A1596,MOVIMIENTOS_COMPLEMENTOS!$D$4:$D$803,B1596,MOVIMIENTOS_COMPLEMENTOS!$E$4:$E$803,C1596,MOVIMIENTOS_COMPLEMENTOS!$G$4:$G$803,E1596,MOVIMIENTOS_COMPLEMENTOS!$H$4:$H$803,G1596,MOVIMIENTOS_COMPLEMENTOS!$B$4:$B$803,"SALIDA"),0)</f>
        <v>0</v>
      </c>
      <c r="I1596" s="102">
        <f t="array" ref="I1596">IFERROR(INDEX(PRECIOS_COMPLEMENTOS!$C$4:$F$17,MATCH(B1596&amp;"_"&amp;C1596,PRECIOS_COMPLEMENTOS!$H$4:$H$17,0),IF(OR(G1596="S",G1596="20cm"),1,IF(OR(G1596="M",G1596="25cm"),2,IF(OR(G1596="L",G1596="30cm"),3,IF(OR(G1596="XL",G1596="35cm"),4,0))))),0)</f>
        <v>0.3</v>
      </c>
      <c r="J1596" s="103">
        <f t="shared" si="1"/>
        <v>0</v>
      </c>
      <c r="K1596" s="104" t="str">
        <f>IF(H1596&lt;0,"ERROR",IF(H1596=0,"",IF(H1596&lt;CONFIG!$B$4,"CRÍTICO",IF(H1596&lt;CONFIG!$B$5,"BAJO","OK"))))</f>
        <v/>
      </c>
    </row>
    <row r="1597" ht="15.75" hidden="1" customHeight="1">
      <c r="A1597" s="90" t="str">
        <f>IF(CLIENTES!A5="","",CLIENTES!A5)</f>
        <v>Bravos</v>
      </c>
      <c r="B1597" s="90" t="s">
        <v>324</v>
      </c>
      <c r="C1597" s="91" t="s">
        <v>328</v>
      </c>
      <c r="D1597" s="109" t="s">
        <v>353</v>
      </c>
      <c r="E1597" s="67" t="str">
        <f>COLORES!A22</f>
        <v/>
      </c>
      <c r="F1597" s="67" t="str">
        <f>COLORES!B22</f>
        <v/>
      </c>
      <c r="G1597" s="90" t="s">
        <v>376</v>
      </c>
      <c r="H1597" s="100">
        <f>IFERROR(SUMIFS(MOVIMIENTOS_COMPLEMENTOS!$I$4:$I$803,MOVIMIENTOS_COMPLEMENTOS!$C$4:$C$803,A1597,MOVIMIENTOS_COMPLEMENTOS!$D$4:$D$803,B1597,MOVIMIENTOS_COMPLEMENTOS!$E$4:$E$803,C1597,MOVIMIENTOS_COMPLEMENTOS!$G$4:$G$803,E1597,MOVIMIENTOS_COMPLEMENTOS!$H$4:$H$803,G1597,MOVIMIENTOS_COMPLEMENTOS!$B$4:$B$803,"INGRESO")+SUMIFS(MOVIMIENTOS_COMPLEMENTOS!$I$4:$I$803,MOVIMIENTOS_COMPLEMENTOS!$C$4:$C$803,A1597,MOVIMIENTOS_COMPLEMENTOS!$D$4:$D$803,B1597,MOVIMIENTOS_COMPLEMENTOS!$E$4:$E$803,C1597,MOVIMIENTOS_COMPLEMENTOS!$G$4:$G$803,E1597,MOVIMIENTOS_COMPLEMENTOS!$H$4:$H$803,G1597,MOVIMIENTOS_COMPLEMENTOS!$B$4:$B$803,"DE CORTE")-SUMIFS(MOVIMIENTOS_COMPLEMENTOS!$I$4:$I$803,MOVIMIENTOS_COMPLEMENTOS!$C$4:$C$803,A1597,MOVIMIENTOS_COMPLEMENTOS!$D$4:$D$803,B1597,MOVIMIENTOS_COMPLEMENTOS!$E$4:$E$803,C1597,MOVIMIENTOS_COMPLEMENTOS!$G$4:$G$803,E1597,MOVIMIENTOS_COMPLEMENTOS!$H$4:$H$803,G1597,MOVIMIENTOS_COMPLEMENTOS!$B$4:$B$803,"SALIDA"),0)</f>
        <v>0</v>
      </c>
      <c r="I1597" s="102">
        <f t="array" ref="I1597">IFERROR(INDEX(PRECIOS_COMPLEMENTOS!$C$4:$F$17,MATCH(B1597&amp;"_"&amp;C1597,PRECIOS_COMPLEMENTOS!$H$4:$H$17,0),IF(OR(G1597="S",G1597="20cm"),1,IF(OR(G1597="M",G1597="25cm"),2,IF(OR(G1597="L",G1597="30cm"),3,IF(OR(G1597="XL",G1597="35cm"),4,0))))),0)</f>
        <v>0.3</v>
      </c>
      <c r="J1597" s="103">
        <f t="shared" si="1"/>
        <v>0</v>
      </c>
      <c r="K1597" s="104" t="str">
        <f>IF(H1597&lt;0,"ERROR",IF(H1597=0,"",IF(H1597&lt;CONFIG!$B$4,"CRÍTICO",IF(H1597&lt;CONFIG!$B$5,"BAJO","OK"))))</f>
        <v/>
      </c>
    </row>
    <row r="1598" ht="15.75" hidden="1" customHeight="1">
      <c r="A1598" s="90" t="str">
        <f>IF(CLIENTES!A5="","",CLIENTES!A5)</f>
        <v>Bravos</v>
      </c>
      <c r="B1598" s="90" t="s">
        <v>324</v>
      </c>
      <c r="C1598" s="91" t="s">
        <v>328</v>
      </c>
      <c r="D1598" s="109" t="s">
        <v>353</v>
      </c>
      <c r="E1598" s="67" t="str">
        <f>COLORES!A22</f>
        <v/>
      </c>
      <c r="F1598" s="67" t="str">
        <f>COLORES!B22</f>
        <v/>
      </c>
      <c r="G1598" s="90" t="s">
        <v>377</v>
      </c>
      <c r="H1598" s="100">
        <f>IFERROR(SUMIFS(MOVIMIENTOS_COMPLEMENTOS!$I$4:$I$803,MOVIMIENTOS_COMPLEMENTOS!$C$4:$C$803,A1598,MOVIMIENTOS_COMPLEMENTOS!$D$4:$D$803,B1598,MOVIMIENTOS_COMPLEMENTOS!$E$4:$E$803,C1598,MOVIMIENTOS_COMPLEMENTOS!$G$4:$G$803,E1598,MOVIMIENTOS_COMPLEMENTOS!$H$4:$H$803,G1598,MOVIMIENTOS_COMPLEMENTOS!$B$4:$B$803,"INGRESO")+SUMIFS(MOVIMIENTOS_COMPLEMENTOS!$I$4:$I$803,MOVIMIENTOS_COMPLEMENTOS!$C$4:$C$803,A1598,MOVIMIENTOS_COMPLEMENTOS!$D$4:$D$803,B1598,MOVIMIENTOS_COMPLEMENTOS!$E$4:$E$803,C1598,MOVIMIENTOS_COMPLEMENTOS!$G$4:$G$803,E1598,MOVIMIENTOS_COMPLEMENTOS!$H$4:$H$803,G1598,MOVIMIENTOS_COMPLEMENTOS!$B$4:$B$803,"DE CORTE")-SUMIFS(MOVIMIENTOS_COMPLEMENTOS!$I$4:$I$803,MOVIMIENTOS_COMPLEMENTOS!$C$4:$C$803,A1598,MOVIMIENTOS_COMPLEMENTOS!$D$4:$D$803,B1598,MOVIMIENTOS_COMPLEMENTOS!$E$4:$E$803,C1598,MOVIMIENTOS_COMPLEMENTOS!$G$4:$G$803,E1598,MOVIMIENTOS_COMPLEMENTOS!$H$4:$H$803,G1598,MOVIMIENTOS_COMPLEMENTOS!$B$4:$B$803,"SALIDA"),0)</f>
        <v>0</v>
      </c>
      <c r="I1598" s="102">
        <f t="array" ref="I1598">IFERROR(INDEX(PRECIOS_COMPLEMENTOS!$C$4:$F$17,MATCH(B1598&amp;"_"&amp;C1598,PRECIOS_COMPLEMENTOS!$H$4:$H$17,0),IF(OR(G1598="S",G1598="20cm"),1,IF(OR(G1598="M",G1598="25cm"),2,IF(OR(G1598="L",G1598="30cm"),3,IF(OR(G1598="XL",G1598="35cm"),4,0))))),0)</f>
        <v>0.3</v>
      </c>
      <c r="J1598" s="103">
        <f t="shared" si="1"/>
        <v>0</v>
      </c>
      <c r="K1598" s="104" t="str">
        <f>IF(H1598&lt;0,"ERROR",IF(H1598=0,"",IF(H1598&lt;CONFIG!$B$4,"CRÍTICO",IF(H1598&lt;CONFIG!$B$5,"BAJO","OK"))))</f>
        <v/>
      </c>
    </row>
    <row r="1599" ht="15.75" hidden="1" customHeight="1">
      <c r="A1599" s="90" t="str">
        <f>IF(CLIENTES!A5="","",CLIENTES!A5)</f>
        <v>Bravos</v>
      </c>
      <c r="B1599" s="90" t="s">
        <v>324</v>
      </c>
      <c r="C1599" s="91" t="s">
        <v>328</v>
      </c>
      <c r="D1599" s="109" t="s">
        <v>353</v>
      </c>
      <c r="E1599" s="67" t="str">
        <f>COLORES!A22</f>
        <v/>
      </c>
      <c r="F1599" s="67" t="str">
        <f>COLORES!B22</f>
        <v/>
      </c>
      <c r="G1599" s="90" t="s">
        <v>379</v>
      </c>
      <c r="H1599" s="100">
        <f>IFERROR(SUMIFS(MOVIMIENTOS_COMPLEMENTOS!$I$4:$I$803,MOVIMIENTOS_COMPLEMENTOS!$C$4:$C$803,A1599,MOVIMIENTOS_COMPLEMENTOS!$D$4:$D$803,B1599,MOVIMIENTOS_COMPLEMENTOS!$E$4:$E$803,C1599,MOVIMIENTOS_COMPLEMENTOS!$G$4:$G$803,E1599,MOVIMIENTOS_COMPLEMENTOS!$H$4:$H$803,G1599,MOVIMIENTOS_COMPLEMENTOS!$B$4:$B$803,"INGRESO")+SUMIFS(MOVIMIENTOS_COMPLEMENTOS!$I$4:$I$803,MOVIMIENTOS_COMPLEMENTOS!$C$4:$C$803,A1599,MOVIMIENTOS_COMPLEMENTOS!$D$4:$D$803,B1599,MOVIMIENTOS_COMPLEMENTOS!$E$4:$E$803,C1599,MOVIMIENTOS_COMPLEMENTOS!$G$4:$G$803,E1599,MOVIMIENTOS_COMPLEMENTOS!$H$4:$H$803,G1599,MOVIMIENTOS_COMPLEMENTOS!$B$4:$B$803,"DE CORTE")-SUMIFS(MOVIMIENTOS_COMPLEMENTOS!$I$4:$I$803,MOVIMIENTOS_COMPLEMENTOS!$C$4:$C$803,A1599,MOVIMIENTOS_COMPLEMENTOS!$D$4:$D$803,B1599,MOVIMIENTOS_COMPLEMENTOS!$E$4:$E$803,C1599,MOVIMIENTOS_COMPLEMENTOS!$G$4:$G$803,E1599,MOVIMIENTOS_COMPLEMENTOS!$H$4:$H$803,G1599,MOVIMIENTOS_COMPLEMENTOS!$B$4:$B$803,"SALIDA"),0)</f>
        <v>0</v>
      </c>
      <c r="I1599" s="102">
        <f t="array" ref="I1599">IFERROR(INDEX(PRECIOS_COMPLEMENTOS!$C$4:$F$17,MATCH(B1599&amp;"_"&amp;C1599,PRECIOS_COMPLEMENTOS!$H$4:$H$17,0),IF(OR(G1599="S",G1599="20cm"),1,IF(OR(G1599="M",G1599="25cm"),2,IF(OR(G1599="L",G1599="30cm"),3,IF(OR(G1599="XL",G1599="35cm"),4,0))))),0)</f>
        <v>0.3</v>
      </c>
      <c r="J1599" s="103">
        <f t="shared" si="1"/>
        <v>0</v>
      </c>
      <c r="K1599" s="104" t="str">
        <f>IF(H1599&lt;0,"ERROR",IF(H1599=0,"",IF(H1599&lt;CONFIG!$B$4,"CRÍTICO",IF(H1599&lt;CONFIG!$B$5,"BAJO","OK"))))</f>
        <v/>
      </c>
    </row>
    <row r="1600" ht="15.75" hidden="1" customHeight="1">
      <c r="A1600" s="90" t="str">
        <f>IF(CLIENTES!A5="","",CLIENTES!A5)</f>
        <v>Bravos</v>
      </c>
      <c r="B1600" s="90" t="s">
        <v>324</v>
      </c>
      <c r="C1600" s="91" t="s">
        <v>328</v>
      </c>
      <c r="D1600" s="109" t="s">
        <v>353</v>
      </c>
      <c r="E1600" s="67" t="str">
        <f>COLORES!A23</f>
        <v/>
      </c>
      <c r="F1600" s="67" t="str">
        <f>COLORES!B23</f>
        <v/>
      </c>
      <c r="G1600" s="90" t="s">
        <v>378</v>
      </c>
      <c r="H1600" s="100">
        <f>IFERROR(SUMIFS(MOVIMIENTOS_COMPLEMENTOS!$I$4:$I$803,MOVIMIENTOS_COMPLEMENTOS!$C$4:$C$803,A1600,MOVIMIENTOS_COMPLEMENTOS!$D$4:$D$803,B1600,MOVIMIENTOS_COMPLEMENTOS!$E$4:$E$803,C1600,MOVIMIENTOS_COMPLEMENTOS!$G$4:$G$803,E1600,MOVIMIENTOS_COMPLEMENTOS!$H$4:$H$803,G1600,MOVIMIENTOS_COMPLEMENTOS!$B$4:$B$803,"INGRESO")+SUMIFS(MOVIMIENTOS_COMPLEMENTOS!$I$4:$I$803,MOVIMIENTOS_COMPLEMENTOS!$C$4:$C$803,A1600,MOVIMIENTOS_COMPLEMENTOS!$D$4:$D$803,B1600,MOVIMIENTOS_COMPLEMENTOS!$E$4:$E$803,C1600,MOVIMIENTOS_COMPLEMENTOS!$G$4:$G$803,E1600,MOVIMIENTOS_COMPLEMENTOS!$H$4:$H$803,G1600,MOVIMIENTOS_COMPLEMENTOS!$B$4:$B$803,"DE CORTE")-SUMIFS(MOVIMIENTOS_COMPLEMENTOS!$I$4:$I$803,MOVIMIENTOS_COMPLEMENTOS!$C$4:$C$803,A1600,MOVIMIENTOS_COMPLEMENTOS!$D$4:$D$803,B1600,MOVIMIENTOS_COMPLEMENTOS!$E$4:$E$803,C1600,MOVIMIENTOS_COMPLEMENTOS!$G$4:$G$803,E1600,MOVIMIENTOS_COMPLEMENTOS!$H$4:$H$803,G1600,MOVIMIENTOS_COMPLEMENTOS!$B$4:$B$803,"SALIDA"),0)</f>
        <v>0</v>
      </c>
      <c r="I1600" s="102">
        <f t="array" ref="I1600">IFERROR(INDEX(PRECIOS_COMPLEMENTOS!$C$4:$F$17,MATCH(B1600&amp;"_"&amp;C1600,PRECIOS_COMPLEMENTOS!$H$4:$H$17,0),IF(OR(G1600="S",G1600="20cm"),1,IF(OR(G1600="M",G1600="25cm"),2,IF(OR(G1600="L",G1600="30cm"),3,IF(OR(G1600="XL",G1600="35cm"),4,0))))),0)</f>
        <v>0.3</v>
      </c>
      <c r="J1600" s="103">
        <f t="shared" si="1"/>
        <v>0</v>
      </c>
      <c r="K1600" s="104" t="str">
        <f>IF(H1600&lt;0,"ERROR",IF(H1600=0,"",IF(H1600&lt;CONFIG!$B$4,"CRÍTICO",IF(H1600&lt;CONFIG!$B$5,"BAJO","OK"))))</f>
        <v/>
      </c>
    </row>
    <row r="1601" ht="15.75" hidden="1" customHeight="1">
      <c r="A1601" s="90" t="str">
        <f>IF(CLIENTES!A5="","",CLIENTES!A5)</f>
        <v>Bravos</v>
      </c>
      <c r="B1601" s="90" t="s">
        <v>324</v>
      </c>
      <c r="C1601" s="91" t="s">
        <v>328</v>
      </c>
      <c r="D1601" s="109" t="s">
        <v>353</v>
      </c>
      <c r="E1601" s="67" t="str">
        <f>COLORES!A23</f>
        <v/>
      </c>
      <c r="F1601" s="67" t="str">
        <f>COLORES!B23</f>
        <v/>
      </c>
      <c r="G1601" s="90" t="s">
        <v>376</v>
      </c>
      <c r="H1601" s="100">
        <f>IFERROR(SUMIFS(MOVIMIENTOS_COMPLEMENTOS!$I$4:$I$803,MOVIMIENTOS_COMPLEMENTOS!$C$4:$C$803,A1601,MOVIMIENTOS_COMPLEMENTOS!$D$4:$D$803,B1601,MOVIMIENTOS_COMPLEMENTOS!$E$4:$E$803,C1601,MOVIMIENTOS_COMPLEMENTOS!$G$4:$G$803,E1601,MOVIMIENTOS_COMPLEMENTOS!$H$4:$H$803,G1601,MOVIMIENTOS_COMPLEMENTOS!$B$4:$B$803,"INGRESO")+SUMIFS(MOVIMIENTOS_COMPLEMENTOS!$I$4:$I$803,MOVIMIENTOS_COMPLEMENTOS!$C$4:$C$803,A1601,MOVIMIENTOS_COMPLEMENTOS!$D$4:$D$803,B1601,MOVIMIENTOS_COMPLEMENTOS!$E$4:$E$803,C1601,MOVIMIENTOS_COMPLEMENTOS!$G$4:$G$803,E1601,MOVIMIENTOS_COMPLEMENTOS!$H$4:$H$803,G1601,MOVIMIENTOS_COMPLEMENTOS!$B$4:$B$803,"DE CORTE")-SUMIFS(MOVIMIENTOS_COMPLEMENTOS!$I$4:$I$803,MOVIMIENTOS_COMPLEMENTOS!$C$4:$C$803,A1601,MOVIMIENTOS_COMPLEMENTOS!$D$4:$D$803,B1601,MOVIMIENTOS_COMPLEMENTOS!$E$4:$E$803,C1601,MOVIMIENTOS_COMPLEMENTOS!$G$4:$G$803,E1601,MOVIMIENTOS_COMPLEMENTOS!$H$4:$H$803,G1601,MOVIMIENTOS_COMPLEMENTOS!$B$4:$B$803,"SALIDA"),0)</f>
        <v>0</v>
      </c>
      <c r="I1601" s="102">
        <f t="array" ref="I1601">IFERROR(INDEX(PRECIOS_COMPLEMENTOS!$C$4:$F$17,MATCH(B1601&amp;"_"&amp;C1601,PRECIOS_COMPLEMENTOS!$H$4:$H$17,0),IF(OR(G1601="S",G1601="20cm"),1,IF(OR(G1601="M",G1601="25cm"),2,IF(OR(G1601="L",G1601="30cm"),3,IF(OR(G1601="XL",G1601="35cm"),4,0))))),0)</f>
        <v>0.3</v>
      </c>
      <c r="J1601" s="103">
        <f t="shared" si="1"/>
        <v>0</v>
      </c>
      <c r="K1601" s="104" t="str">
        <f>IF(H1601&lt;0,"ERROR",IF(H1601=0,"",IF(H1601&lt;CONFIG!$B$4,"CRÍTICO",IF(H1601&lt;CONFIG!$B$5,"BAJO","OK"))))</f>
        <v/>
      </c>
    </row>
    <row r="1602" ht="15.75" hidden="1" customHeight="1">
      <c r="A1602" s="90" t="str">
        <f>IF(CLIENTES!A5="","",CLIENTES!A5)</f>
        <v>Bravos</v>
      </c>
      <c r="B1602" s="90" t="s">
        <v>324</v>
      </c>
      <c r="C1602" s="91" t="s">
        <v>328</v>
      </c>
      <c r="D1602" s="109" t="s">
        <v>353</v>
      </c>
      <c r="E1602" s="67" t="str">
        <f>COLORES!A23</f>
        <v/>
      </c>
      <c r="F1602" s="67" t="str">
        <f>COLORES!B23</f>
        <v/>
      </c>
      <c r="G1602" s="90" t="s">
        <v>377</v>
      </c>
      <c r="H1602" s="100">
        <f>IFERROR(SUMIFS(MOVIMIENTOS_COMPLEMENTOS!$I$4:$I$803,MOVIMIENTOS_COMPLEMENTOS!$C$4:$C$803,A1602,MOVIMIENTOS_COMPLEMENTOS!$D$4:$D$803,B1602,MOVIMIENTOS_COMPLEMENTOS!$E$4:$E$803,C1602,MOVIMIENTOS_COMPLEMENTOS!$G$4:$G$803,E1602,MOVIMIENTOS_COMPLEMENTOS!$H$4:$H$803,G1602,MOVIMIENTOS_COMPLEMENTOS!$B$4:$B$803,"INGRESO")+SUMIFS(MOVIMIENTOS_COMPLEMENTOS!$I$4:$I$803,MOVIMIENTOS_COMPLEMENTOS!$C$4:$C$803,A1602,MOVIMIENTOS_COMPLEMENTOS!$D$4:$D$803,B1602,MOVIMIENTOS_COMPLEMENTOS!$E$4:$E$803,C1602,MOVIMIENTOS_COMPLEMENTOS!$G$4:$G$803,E1602,MOVIMIENTOS_COMPLEMENTOS!$H$4:$H$803,G1602,MOVIMIENTOS_COMPLEMENTOS!$B$4:$B$803,"DE CORTE")-SUMIFS(MOVIMIENTOS_COMPLEMENTOS!$I$4:$I$803,MOVIMIENTOS_COMPLEMENTOS!$C$4:$C$803,A1602,MOVIMIENTOS_COMPLEMENTOS!$D$4:$D$803,B1602,MOVIMIENTOS_COMPLEMENTOS!$E$4:$E$803,C1602,MOVIMIENTOS_COMPLEMENTOS!$G$4:$G$803,E1602,MOVIMIENTOS_COMPLEMENTOS!$H$4:$H$803,G1602,MOVIMIENTOS_COMPLEMENTOS!$B$4:$B$803,"SALIDA"),0)</f>
        <v>0</v>
      </c>
      <c r="I1602" s="102">
        <f t="array" ref="I1602">IFERROR(INDEX(PRECIOS_COMPLEMENTOS!$C$4:$F$17,MATCH(B1602&amp;"_"&amp;C1602,PRECIOS_COMPLEMENTOS!$H$4:$H$17,0),IF(OR(G1602="S",G1602="20cm"),1,IF(OR(G1602="M",G1602="25cm"),2,IF(OR(G1602="L",G1602="30cm"),3,IF(OR(G1602="XL",G1602="35cm"),4,0))))),0)</f>
        <v>0.3</v>
      </c>
      <c r="J1602" s="103">
        <f t="shared" si="1"/>
        <v>0</v>
      </c>
      <c r="K1602" s="104" t="str">
        <f>IF(H1602&lt;0,"ERROR",IF(H1602=0,"",IF(H1602&lt;CONFIG!$B$4,"CRÍTICO",IF(H1602&lt;CONFIG!$B$5,"BAJO","OK"))))</f>
        <v/>
      </c>
    </row>
    <row r="1603" ht="15.75" hidden="1" customHeight="1">
      <c r="A1603" s="90" t="str">
        <f>IF(CLIENTES!A5="","",CLIENTES!A5)</f>
        <v>Bravos</v>
      </c>
      <c r="B1603" s="90" t="s">
        <v>324</v>
      </c>
      <c r="C1603" s="91" t="s">
        <v>328</v>
      </c>
      <c r="D1603" s="109" t="s">
        <v>353</v>
      </c>
      <c r="E1603" s="67" t="str">
        <f>COLORES!A23</f>
        <v/>
      </c>
      <c r="F1603" s="67" t="str">
        <f>COLORES!B23</f>
        <v/>
      </c>
      <c r="G1603" s="90" t="s">
        <v>379</v>
      </c>
      <c r="H1603" s="100">
        <f>IFERROR(SUMIFS(MOVIMIENTOS_COMPLEMENTOS!$I$4:$I$803,MOVIMIENTOS_COMPLEMENTOS!$C$4:$C$803,A1603,MOVIMIENTOS_COMPLEMENTOS!$D$4:$D$803,B1603,MOVIMIENTOS_COMPLEMENTOS!$E$4:$E$803,C1603,MOVIMIENTOS_COMPLEMENTOS!$G$4:$G$803,E1603,MOVIMIENTOS_COMPLEMENTOS!$H$4:$H$803,G1603,MOVIMIENTOS_COMPLEMENTOS!$B$4:$B$803,"INGRESO")+SUMIFS(MOVIMIENTOS_COMPLEMENTOS!$I$4:$I$803,MOVIMIENTOS_COMPLEMENTOS!$C$4:$C$803,A1603,MOVIMIENTOS_COMPLEMENTOS!$D$4:$D$803,B1603,MOVIMIENTOS_COMPLEMENTOS!$E$4:$E$803,C1603,MOVIMIENTOS_COMPLEMENTOS!$G$4:$G$803,E1603,MOVIMIENTOS_COMPLEMENTOS!$H$4:$H$803,G1603,MOVIMIENTOS_COMPLEMENTOS!$B$4:$B$803,"DE CORTE")-SUMIFS(MOVIMIENTOS_COMPLEMENTOS!$I$4:$I$803,MOVIMIENTOS_COMPLEMENTOS!$C$4:$C$803,A1603,MOVIMIENTOS_COMPLEMENTOS!$D$4:$D$803,B1603,MOVIMIENTOS_COMPLEMENTOS!$E$4:$E$803,C1603,MOVIMIENTOS_COMPLEMENTOS!$G$4:$G$803,E1603,MOVIMIENTOS_COMPLEMENTOS!$H$4:$H$803,G1603,MOVIMIENTOS_COMPLEMENTOS!$B$4:$B$803,"SALIDA"),0)</f>
        <v>0</v>
      </c>
      <c r="I1603" s="102">
        <f t="array" ref="I1603">IFERROR(INDEX(PRECIOS_COMPLEMENTOS!$C$4:$F$17,MATCH(B1603&amp;"_"&amp;C1603,PRECIOS_COMPLEMENTOS!$H$4:$H$17,0),IF(OR(G1603="S",G1603="20cm"),1,IF(OR(G1603="M",G1603="25cm"),2,IF(OR(G1603="L",G1603="30cm"),3,IF(OR(G1603="XL",G1603="35cm"),4,0))))),0)</f>
        <v>0.3</v>
      </c>
      <c r="J1603" s="103">
        <f t="shared" si="1"/>
        <v>0</v>
      </c>
      <c r="K1603" s="104" t="str">
        <f>IF(H1603&lt;0,"ERROR",IF(H1603=0,"",IF(H1603&lt;CONFIG!$B$4,"CRÍTICO",IF(H1603&lt;CONFIG!$B$5,"BAJO","OK"))))</f>
        <v/>
      </c>
    </row>
    <row r="1604" ht="15.75" hidden="1" customHeight="1">
      <c r="A1604" s="90" t="str">
        <f>IF(CLIENTES!A6="","",CLIENTES!A6)</f>
        <v/>
      </c>
      <c r="B1604" s="90" t="s">
        <v>324</v>
      </c>
      <c r="C1604" s="91" t="s">
        <v>328</v>
      </c>
      <c r="D1604" s="109" t="s">
        <v>353</v>
      </c>
      <c r="E1604" s="67" t="str">
        <f>COLORES!A4</f>
        <v>Negro</v>
      </c>
      <c r="F1604" s="67" t="str">
        <f>COLORES!B4</f>
        <v>OSCURO</v>
      </c>
      <c r="G1604" s="90" t="s">
        <v>378</v>
      </c>
      <c r="H1604" s="100">
        <f>IFERROR(SUMIFS(MOVIMIENTOS_COMPLEMENTOS!$I$4:$I$803,MOVIMIENTOS_COMPLEMENTOS!$C$4:$C$803,A1604,MOVIMIENTOS_COMPLEMENTOS!$D$4:$D$803,B1604,MOVIMIENTOS_COMPLEMENTOS!$E$4:$E$803,C1604,MOVIMIENTOS_COMPLEMENTOS!$G$4:$G$803,E1604,MOVIMIENTOS_COMPLEMENTOS!$H$4:$H$803,G1604,MOVIMIENTOS_COMPLEMENTOS!$B$4:$B$803,"INGRESO")+SUMIFS(MOVIMIENTOS_COMPLEMENTOS!$I$4:$I$803,MOVIMIENTOS_COMPLEMENTOS!$C$4:$C$803,A1604,MOVIMIENTOS_COMPLEMENTOS!$D$4:$D$803,B1604,MOVIMIENTOS_COMPLEMENTOS!$E$4:$E$803,C1604,MOVIMIENTOS_COMPLEMENTOS!$G$4:$G$803,E1604,MOVIMIENTOS_COMPLEMENTOS!$H$4:$H$803,G1604,MOVIMIENTOS_COMPLEMENTOS!$B$4:$B$803,"DE CORTE")-SUMIFS(MOVIMIENTOS_COMPLEMENTOS!$I$4:$I$803,MOVIMIENTOS_COMPLEMENTOS!$C$4:$C$803,A1604,MOVIMIENTOS_COMPLEMENTOS!$D$4:$D$803,B1604,MOVIMIENTOS_COMPLEMENTOS!$E$4:$E$803,C1604,MOVIMIENTOS_COMPLEMENTOS!$G$4:$G$803,E1604,MOVIMIENTOS_COMPLEMENTOS!$H$4:$H$803,G1604,MOVIMIENTOS_COMPLEMENTOS!$B$4:$B$803,"SALIDA"),0)</f>
        <v>0</v>
      </c>
      <c r="I1604" s="102">
        <f t="array" ref="I1604">IFERROR(INDEX(PRECIOS_COMPLEMENTOS!$C$4:$F$17,MATCH(B1604&amp;"_"&amp;C1604,PRECIOS_COMPLEMENTOS!$H$4:$H$17,0),IF(OR(G1604="S",G1604="20cm"),1,IF(OR(G1604="M",G1604="25cm"),2,IF(OR(G1604="L",G1604="30cm"),3,IF(OR(G1604="XL",G1604="35cm"),4,0))))),0)</f>
        <v>0.3</v>
      </c>
      <c r="J1604" s="103">
        <f t="shared" si="1"/>
        <v>0</v>
      </c>
      <c r="K1604" s="104" t="str">
        <f>IF(H1604&lt;0,"ERROR",IF(H1604=0,"",IF(H1604&lt;CONFIG!$B$4,"CRÍTICO",IF(H1604&lt;CONFIG!$B$5,"BAJO","OK"))))</f>
        <v/>
      </c>
    </row>
    <row r="1605" ht="15.75" hidden="1" customHeight="1">
      <c r="A1605" s="90" t="str">
        <f>IF(CLIENTES!A6="","",CLIENTES!A6)</f>
        <v/>
      </c>
      <c r="B1605" s="90" t="s">
        <v>324</v>
      </c>
      <c r="C1605" s="91" t="s">
        <v>328</v>
      </c>
      <c r="D1605" s="109" t="s">
        <v>353</v>
      </c>
      <c r="E1605" s="67" t="str">
        <f>COLORES!A4</f>
        <v>Negro</v>
      </c>
      <c r="F1605" s="67" t="str">
        <f>COLORES!B4</f>
        <v>OSCURO</v>
      </c>
      <c r="G1605" s="90" t="s">
        <v>376</v>
      </c>
      <c r="H1605" s="100">
        <f>IFERROR(SUMIFS(MOVIMIENTOS_COMPLEMENTOS!$I$4:$I$803,MOVIMIENTOS_COMPLEMENTOS!$C$4:$C$803,A1605,MOVIMIENTOS_COMPLEMENTOS!$D$4:$D$803,B1605,MOVIMIENTOS_COMPLEMENTOS!$E$4:$E$803,C1605,MOVIMIENTOS_COMPLEMENTOS!$G$4:$G$803,E1605,MOVIMIENTOS_COMPLEMENTOS!$H$4:$H$803,G1605,MOVIMIENTOS_COMPLEMENTOS!$B$4:$B$803,"INGRESO")+SUMIFS(MOVIMIENTOS_COMPLEMENTOS!$I$4:$I$803,MOVIMIENTOS_COMPLEMENTOS!$C$4:$C$803,A1605,MOVIMIENTOS_COMPLEMENTOS!$D$4:$D$803,B1605,MOVIMIENTOS_COMPLEMENTOS!$E$4:$E$803,C1605,MOVIMIENTOS_COMPLEMENTOS!$G$4:$G$803,E1605,MOVIMIENTOS_COMPLEMENTOS!$H$4:$H$803,G1605,MOVIMIENTOS_COMPLEMENTOS!$B$4:$B$803,"DE CORTE")-SUMIFS(MOVIMIENTOS_COMPLEMENTOS!$I$4:$I$803,MOVIMIENTOS_COMPLEMENTOS!$C$4:$C$803,A1605,MOVIMIENTOS_COMPLEMENTOS!$D$4:$D$803,B1605,MOVIMIENTOS_COMPLEMENTOS!$E$4:$E$803,C1605,MOVIMIENTOS_COMPLEMENTOS!$G$4:$G$803,E1605,MOVIMIENTOS_COMPLEMENTOS!$H$4:$H$803,G1605,MOVIMIENTOS_COMPLEMENTOS!$B$4:$B$803,"SALIDA"),0)</f>
        <v>0</v>
      </c>
      <c r="I1605" s="102">
        <f t="array" ref="I1605">IFERROR(INDEX(PRECIOS_COMPLEMENTOS!$C$4:$F$17,MATCH(B1605&amp;"_"&amp;C1605,PRECIOS_COMPLEMENTOS!$H$4:$H$17,0),IF(OR(G1605="S",G1605="20cm"),1,IF(OR(G1605="M",G1605="25cm"),2,IF(OR(G1605="L",G1605="30cm"),3,IF(OR(G1605="XL",G1605="35cm"),4,0))))),0)</f>
        <v>0.3</v>
      </c>
      <c r="J1605" s="103">
        <f t="shared" si="1"/>
        <v>0</v>
      </c>
      <c r="K1605" s="104" t="str">
        <f>IF(H1605&lt;0,"ERROR",IF(H1605=0,"",IF(H1605&lt;CONFIG!$B$4,"CRÍTICO",IF(H1605&lt;CONFIG!$B$5,"BAJO","OK"))))</f>
        <v/>
      </c>
    </row>
    <row r="1606" ht="15.75" hidden="1" customHeight="1">
      <c r="A1606" s="90" t="str">
        <f>IF(CLIENTES!A6="","",CLIENTES!A6)</f>
        <v/>
      </c>
      <c r="B1606" s="90" t="s">
        <v>324</v>
      </c>
      <c r="C1606" s="91" t="s">
        <v>328</v>
      </c>
      <c r="D1606" s="109" t="s">
        <v>353</v>
      </c>
      <c r="E1606" s="67" t="str">
        <f>COLORES!A4</f>
        <v>Negro</v>
      </c>
      <c r="F1606" s="67" t="str">
        <f>COLORES!B4</f>
        <v>OSCURO</v>
      </c>
      <c r="G1606" s="90" t="s">
        <v>377</v>
      </c>
      <c r="H1606" s="100">
        <f>IFERROR(SUMIFS(MOVIMIENTOS_COMPLEMENTOS!$I$4:$I$803,MOVIMIENTOS_COMPLEMENTOS!$C$4:$C$803,A1606,MOVIMIENTOS_COMPLEMENTOS!$D$4:$D$803,B1606,MOVIMIENTOS_COMPLEMENTOS!$E$4:$E$803,C1606,MOVIMIENTOS_COMPLEMENTOS!$G$4:$G$803,E1606,MOVIMIENTOS_COMPLEMENTOS!$H$4:$H$803,G1606,MOVIMIENTOS_COMPLEMENTOS!$B$4:$B$803,"INGRESO")+SUMIFS(MOVIMIENTOS_COMPLEMENTOS!$I$4:$I$803,MOVIMIENTOS_COMPLEMENTOS!$C$4:$C$803,A1606,MOVIMIENTOS_COMPLEMENTOS!$D$4:$D$803,B1606,MOVIMIENTOS_COMPLEMENTOS!$E$4:$E$803,C1606,MOVIMIENTOS_COMPLEMENTOS!$G$4:$G$803,E1606,MOVIMIENTOS_COMPLEMENTOS!$H$4:$H$803,G1606,MOVIMIENTOS_COMPLEMENTOS!$B$4:$B$803,"DE CORTE")-SUMIFS(MOVIMIENTOS_COMPLEMENTOS!$I$4:$I$803,MOVIMIENTOS_COMPLEMENTOS!$C$4:$C$803,A1606,MOVIMIENTOS_COMPLEMENTOS!$D$4:$D$803,B1606,MOVIMIENTOS_COMPLEMENTOS!$E$4:$E$803,C1606,MOVIMIENTOS_COMPLEMENTOS!$G$4:$G$803,E1606,MOVIMIENTOS_COMPLEMENTOS!$H$4:$H$803,G1606,MOVIMIENTOS_COMPLEMENTOS!$B$4:$B$803,"SALIDA"),0)</f>
        <v>0</v>
      </c>
      <c r="I1606" s="102">
        <f t="array" ref="I1606">IFERROR(INDEX(PRECIOS_COMPLEMENTOS!$C$4:$F$17,MATCH(B1606&amp;"_"&amp;C1606,PRECIOS_COMPLEMENTOS!$H$4:$H$17,0),IF(OR(G1606="S",G1606="20cm"),1,IF(OR(G1606="M",G1606="25cm"),2,IF(OR(G1606="L",G1606="30cm"),3,IF(OR(G1606="XL",G1606="35cm"),4,0))))),0)</f>
        <v>0.3</v>
      </c>
      <c r="J1606" s="103">
        <f t="shared" si="1"/>
        <v>0</v>
      </c>
      <c r="K1606" s="104" t="str">
        <f>IF(H1606&lt;0,"ERROR",IF(H1606=0,"",IF(H1606&lt;CONFIG!$B$4,"CRÍTICO",IF(H1606&lt;CONFIG!$B$5,"BAJO","OK"))))</f>
        <v/>
      </c>
    </row>
    <row r="1607" ht="15.75" hidden="1" customHeight="1">
      <c r="A1607" s="90" t="str">
        <f>IF(CLIENTES!A6="","",CLIENTES!A6)</f>
        <v/>
      </c>
      <c r="B1607" s="90" t="s">
        <v>324</v>
      </c>
      <c r="C1607" s="91" t="s">
        <v>328</v>
      </c>
      <c r="D1607" s="109" t="s">
        <v>353</v>
      </c>
      <c r="E1607" s="67" t="str">
        <f>COLORES!A4</f>
        <v>Negro</v>
      </c>
      <c r="F1607" s="67" t="str">
        <f>COLORES!B4</f>
        <v>OSCURO</v>
      </c>
      <c r="G1607" s="90" t="s">
        <v>379</v>
      </c>
      <c r="H1607" s="100">
        <f>IFERROR(SUMIFS(MOVIMIENTOS_COMPLEMENTOS!$I$4:$I$803,MOVIMIENTOS_COMPLEMENTOS!$C$4:$C$803,A1607,MOVIMIENTOS_COMPLEMENTOS!$D$4:$D$803,B1607,MOVIMIENTOS_COMPLEMENTOS!$E$4:$E$803,C1607,MOVIMIENTOS_COMPLEMENTOS!$G$4:$G$803,E1607,MOVIMIENTOS_COMPLEMENTOS!$H$4:$H$803,G1607,MOVIMIENTOS_COMPLEMENTOS!$B$4:$B$803,"INGRESO")+SUMIFS(MOVIMIENTOS_COMPLEMENTOS!$I$4:$I$803,MOVIMIENTOS_COMPLEMENTOS!$C$4:$C$803,A1607,MOVIMIENTOS_COMPLEMENTOS!$D$4:$D$803,B1607,MOVIMIENTOS_COMPLEMENTOS!$E$4:$E$803,C1607,MOVIMIENTOS_COMPLEMENTOS!$G$4:$G$803,E1607,MOVIMIENTOS_COMPLEMENTOS!$H$4:$H$803,G1607,MOVIMIENTOS_COMPLEMENTOS!$B$4:$B$803,"DE CORTE")-SUMIFS(MOVIMIENTOS_COMPLEMENTOS!$I$4:$I$803,MOVIMIENTOS_COMPLEMENTOS!$C$4:$C$803,A1607,MOVIMIENTOS_COMPLEMENTOS!$D$4:$D$803,B1607,MOVIMIENTOS_COMPLEMENTOS!$E$4:$E$803,C1607,MOVIMIENTOS_COMPLEMENTOS!$G$4:$G$803,E1607,MOVIMIENTOS_COMPLEMENTOS!$H$4:$H$803,G1607,MOVIMIENTOS_COMPLEMENTOS!$B$4:$B$803,"SALIDA"),0)</f>
        <v>0</v>
      </c>
      <c r="I1607" s="102">
        <f t="array" ref="I1607">IFERROR(INDEX(PRECIOS_COMPLEMENTOS!$C$4:$F$17,MATCH(B1607&amp;"_"&amp;C1607,PRECIOS_COMPLEMENTOS!$H$4:$H$17,0),IF(OR(G1607="S",G1607="20cm"),1,IF(OR(G1607="M",G1607="25cm"),2,IF(OR(G1607="L",G1607="30cm"),3,IF(OR(G1607="XL",G1607="35cm"),4,0))))),0)</f>
        <v>0.3</v>
      </c>
      <c r="J1607" s="103">
        <f t="shared" si="1"/>
        <v>0</v>
      </c>
      <c r="K1607" s="104" t="str">
        <f>IF(H1607&lt;0,"ERROR",IF(H1607=0,"",IF(H1607&lt;CONFIG!$B$4,"CRÍTICO",IF(H1607&lt;CONFIG!$B$5,"BAJO","OK"))))</f>
        <v/>
      </c>
    </row>
    <row r="1608" ht="15.75" hidden="1" customHeight="1">
      <c r="A1608" s="90" t="str">
        <f>IF(CLIENTES!A6="","",CLIENTES!A6)</f>
        <v/>
      </c>
      <c r="B1608" s="90" t="s">
        <v>324</v>
      </c>
      <c r="C1608" s="91" t="s">
        <v>328</v>
      </c>
      <c r="D1608" s="109" t="s">
        <v>353</v>
      </c>
      <c r="E1608" s="67" t="str">
        <f>COLORES!A5</f>
        <v>Perla</v>
      </c>
      <c r="F1608" s="67" t="str">
        <f>COLORES!B5</f>
        <v>PPT</v>
      </c>
      <c r="G1608" s="90" t="s">
        <v>378</v>
      </c>
      <c r="H1608" s="100">
        <f>IFERROR(SUMIFS(MOVIMIENTOS_COMPLEMENTOS!$I$4:$I$803,MOVIMIENTOS_COMPLEMENTOS!$C$4:$C$803,A1608,MOVIMIENTOS_COMPLEMENTOS!$D$4:$D$803,B1608,MOVIMIENTOS_COMPLEMENTOS!$E$4:$E$803,C1608,MOVIMIENTOS_COMPLEMENTOS!$G$4:$G$803,E1608,MOVIMIENTOS_COMPLEMENTOS!$H$4:$H$803,G1608,MOVIMIENTOS_COMPLEMENTOS!$B$4:$B$803,"INGRESO")+SUMIFS(MOVIMIENTOS_COMPLEMENTOS!$I$4:$I$803,MOVIMIENTOS_COMPLEMENTOS!$C$4:$C$803,A1608,MOVIMIENTOS_COMPLEMENTOS!$D$4:$D$803,B1608,MOVIMIENTOS_COMPLEMENTOS!$E$4:$E$803,C1608,MOVIMIENTOS_COMPLEMENTOS!$G$4:$G$803,E1608,MOVIMIENTOS_COMPLEMENTOS!$H$4:$H$803,G1608,MOVIMIENTOS_COMPLEMENTOS!$B$4:$B$803,"DE CORTE")-SUMIFS(MOVIMIENTOS_COMPLEMENTOS!$I$4:$I$803,MOVIMIENTOS_COMPLEMENTOS!$C$4:$C$803,A1608,MOVIMIENTOS_COMPLEMENTOS!$D$4:$D$803,B1608,MOVIMIENTOS_COMPLEMENTOS!$E$4:$E$803,C1608,MOVIMIENTOS_COMPLEMENTOS!$G$4:$G$803,E1608,MOVIMIENTOS_COMPLEMENTOS!$H$4:$H$803,G1608,MOVIMIENTOS_COMPLEMENTOS!$B$4:$B$803,"SALIDA"),0)</f>
        <v>0</v>
      </c>
      <c r="I1608" s="102">
        <f t="array" ref="I1608">IFERROR(INDEX(PRECIOS_COMPLEMENTOS!$C$4:$F$17,MATCH(B1608&amp;"_"&amp;C1608,PRECIOS_COMPLEMENTOS!$H$4:$H$17,0),IF(OR(G1608="S",G1608="20cm"),1,IF(OR(G1608="M",G1608="25cm"),2,IF(OR(G1608="L",G1608="30cm"),3,IF(OR(G1608="XL",G1608="35cm"),4,0))))),0)</f>
        <v>0.3</v>
      </c>
      <c r="J1608" s="103">
        <f t="shared" si="1"/>
        <v>0</v>
      </c>
      <c r="K1608" s="104" t="str">
        <f>IF(H1608&lt;0,"ERROR",IF(H1608=0,"",IF(H1608&lt;CONFIG!$B$4,"CRÍTICO",IF(H1608&lt;CONFIG!$B$5,"BAJO","OK"))))</f>
        <v/>
      </c>
    </row>
    <row r="1609" ht="15.75" hidden="1" customHeight="1">
      <c r="A1609" s="90" t="str">
        <f>IF(CLIENTES!A6="","",CLIENTES!A6)</f>
        <v/>
      </c>
      <c r="B1609" s="90" t="s">
        <v>324</v>
      </c>
      <c r="C1609" s="91" t="s">
        <v>328</v>
      </c>
      <c r="D1609" s="109" t="s">
        <v>353</v>
      </c>
      <c r="E1609" s="67" t="str">
        <f>COLORES!A5</f>
        <v>Perla</v>
      </c>
      <c r="F1609" s="67" t="str">
        <f>COLORES!B5</f>
        <v>PPT</v>
      </c>
      <c r="G1609" s="90" t="s">
        <v>376</v>
      </c>
      <c r="H1609" s="100">
        <f>IFERROR(SUMIFS(MOVIMIENTOS_COMPLEMENTOS!$I$4:$I$803,MOVIMIENTOS_COMPLEMENTOS!$C$4:$C$803,A1609,MOVIMIENTOS_COMPLEMENTOS!$D$4:$D$803,B1609,MOVIMIENTOS_COMPLEMENTOS!$E$4:$E$803,C1609,MOVIMIENTOS_COMPLEMENTOS!$G$4:$G$803,E1609,MOVIMIENTOS_COMPLEMENTOS!$H$4:$H$803,G1609,MOVIMIENTOS_COMPLEMENTOS!$B$4:$B$803,"INGRESO")+SUMIFS(MOVIMIENTOS_COMPLEMENTOS!$I$4:$I$803,MOVIMIENTOS_COMPLEMENTOS!$C$4:$C$803,A1609,MOVIMIENTOS_COMPLEMENTOS!$D$4:$D$803,B1609,MOVIMIENTOS_COMPLEMENTOS!$E$4:$E$803,C1609,MOVIMIENTOS_COMPLEMENTOS!$G$4:$G$803,E1609,MOVIMIENTOS_COMPLEMENTOS!$H$4:$H$803,G1609,MOVIMIENTOS_COMPLEMENTOS!$B$4:$B$803,"DE CORTE")-SUMIFS(MOVIMIENTOS_COMPLEMENTOS!$I$4:$I$803,MOVIMIENTOS_COMPLEMENTOS!$C$4:$C$803,A1609,MOVIMIENTOS_COMPLEMENTOS!$D$4:$D$803,B1609,MOVIMIENTOS_COMPLEMENTOS!$E$4:$E$803,C1609,MOVIMIENTOS_COMPLEMENTOS!$G$4:$G$803,E1609,MOVIMIENTOS_COMPLEMENTOS!$H$4:$H$803,G1609,MOVIMIENTOS_COMPLEMENTOS!$B$4:$B$803,"SALIDA"),0)</f>
        <v>0</v>
      </c>
      <c r="I1609" s="102">
        <f t="array" ref="I1609">IFERROR(INDEX(PRECIOS_COMPLEMENTOS!$C$4:$F$17,MATCH(B1609&amp;"_"&amp;C1609,PRECIOS_COMPLEMENTOS!$H$4:$H$17,0),IF(OR(G1609="S",G1609="20cm"),1,IF(OR(G1609="M",G1609="25cm"),2,IF(OR(G1609="L",G1609="30cm"),3,IF(OR(G1609="XL",G1609="35cm"),4,0))))),0)</f>
        <v>0.3</v>
      </c>
      <c r="J1609" s="103">
        <f t="shared" si="1"/>
        <v>0</v>
      </c>
      <c r="K1609" s="104" t="str">
        <f>IF(H1609&lt;0,"ERROR",IF(H1609=0,"",IF(H1609&lt;CONFIG!$B$4,"CRÍTICO",IF(H1609&lt;CONFIG!$B$5,"BAJO","OK"))))</f>
        <v/>
      </c>
    </row>
    <row r="1610" ht="15.75" hidden="1" customHeight="1">
      <c r="A1610" s="90" t="str">
        <f>IF(CLIENTES!A6="","",CLIENTES!A6)</f>
        <v/>
      </c>
      <c r="B1610" s="90" t="s">
        <v>324</v>
      </c>
      <c r="C1610" s="91" t="s">
        <v>328</v>
      </c>
      <c r="D1610" s="109" t="s">
        <v>353</v>
      </c>
      <c r="E1610" s="67" t="str">
        <f>COLORES!A5</f>
        <v>Perla</v>
      </c>
      <c r="F1610" s="67" t="str">
        <f>COLORES!B5</f>
        <v>PPT</v>
      </c>
      <c r="G1610" s="90" t="s">
        <v>377</v>
      </c>
      <c r="H1610" s="100">
        <f>IFERROR(SUMIFS(MOVIMIENTOS_COMPLEMENTOS!$I$4:$I$803,MOVIMIENTOS_COMPLEMENTOS!$C$4:$C$803,A1610,MOVIMIENTOS_COMPLEMENTOS!$D$4:$D$803,B1610,MOVIMIENTOS_COMPLEMENTOS!$E$4:$E$803,C1610,MOVIMIENTOS_COMPLEMENTOS!$G$4:$G$803,E1610,MOVIMIENTOS_COMPLEMENTOS!$H$4:$H$803,G1610,MOVIMIENTOS_COMPLEMENTOS!$B$4:$B$803,"INGRESO")+SUMIFS(MOVIMIENTOS_COMPLEMENTOS!$I$4:$I$803,MOVIMIENTOS_COMPLEMENTOS!$C$4:$C$803,A1610,MOVIMIENTOS_COMPLEMENTOS!$D$4:$D$803,B1610,MOVIMIENTOS_COMPLEMENTOS!$E$4:$E$803,C1610,MOVIMIENTOS_COMPLEMENTOS!$G$4:$G$803,E1610,MOVIMIENTOS_COMPLEMENTOS!$H$4:$H$803,G1610,MOVIMIENTOS_COMPLEMENTOS!$B$4:$B$803,"DE CORTE")-SUMIFS(MOVIMIENTOS_COMPLEMENTOS!$I$4:$I$803,MOVIMIENTOS_COMPLEMENTOS!$C$4:$C$803,A1610,MOVIMIENTOS_COMPLEMENTOS!$D$4:$D$803,B1610,MOVIMIENTOS_COMPLEMENTOS!$E$4:$E$803,C1610,MOVIMIENTOS_COMPLEMENTOS!$G$4:$G$803,E1610,MOVIMIENTOS_COMPLEMENTOS!$H$4:$H$803,G1610,MOVIMIENTOS_COMPLEMENTOS!$B$4:$B$803,"SALIDA"),0)</f>
        <v>0</v>
      </c>
      <c r="I1610" s="102">
        <f t="array" ref="I1610">IFERROR(INDEX(PRECIOS_COMPLEMENTOS!$C$4:$F$17,MATCH(B1610&amp;"_"&amp;C1610,PRECIOS_COMPLEMENTOS!$H$4:$H$17,0),IF(OR(G1610="S",G1610="20cm"),1,IF(OR(G1610="M",G1610="25cm"),2,IF(OR(G1610="L",G1610="30cm"),3,IF(OR(G1610="XL",G1610="35cm"),4,0))))),0)</f>
        <v>0.3</v>
      </c>
      <c r="J1610" s="103">
        <f t="shared" si="1"/>
        <v>0</v>
      </c>
      <c r="K1610" s="104" t="str">
        <f>IF(H1610&lt;0,"ERROR",IF(H1610=0,"",IF(H1610&lt;CONFIG!$B$4,"CRÍTICO",IF(H1610&lt;CONFIG!$B$5,"BAJO","OK"))))</f>
        <v/>
      </c>
    </row>
    <row r="1611" ht="15.75" hidden="1" customHeight="1">
      <c r="A1611" s="90" t="str">
        <f>IF(CLIENTES!A6="","",CLIENTES!A6)</f>
        <v/>
      </c>
      <c r="B1611" s="90" t="s">
        <v>324</v>
      </c>
      <c r="C1611" s="91" t="s">
        <v>328</v>
      </c>
      <c r="D1611" s="109" t="s">
        <v>353</v>
      </c>
      <c r="E1611" s="67" t="str">
        <f>COLORES!A5</f>
        <v>Perla</v>
      </c>
      <c r="F1611" s="67" t="str">
        <f>COLORES!B5</f>
        <v>PPT</v>
      </c>
      <c r="G1611" s="90" t="s">
        <v>379</v>
      </c>
      <c r="H1611" s="100">
        <f>IFERROR(SUMIFS(MOVIMIENTOS_COMPLEMENTOS!$I$4:$I$803,MOVIMIENTOS_COMPLEMENTOS!$C$4:$C$803,A1611,MOVIMIENTOS_COMPLEMENTOS!$D$4:$D$803,B1611,MOVIMIENTOS_COMPLEMENTOS!$E$4:$E$803,C1611,MOVIMIENTOS_COMPLEMENTOS!$G$4:$G$803,E1611,MOVIMIENTOS_COMPLEMENTOS!$H$4:$H$803,G1611,MOVIMIENTOS_COMPLEMENTOS!$B$4:$B$803,"INGRESO")+SUMIFS(MOVIMIENTOS_COMPLEMENTOS!$I$4:$I$803,MOVIMIENTOS_COMPLEMENTOS!$C$4:$C$803,A1611,MOVIMIENTOS_COMPLEMENTOS!$D$4:$D$803,B1611,MOVIMIENTOS_COMPLEMENTOS!$E$4:$E$803,C1611,MOVIMIENTOS_COMPLEMENTOS!$G$4:$G$803,E1611,MOVIMIENTOS_COMPLEMENTOS!$H$4:$H$803,G1611,MOVIMIENTOS_COMPLEMENTOS!$B$4:$B$803,"DE CORTE")-SUMIFS(MOVIMIENTOS_COMPLEMENTOS!$I$4:$I$803,MOVIMIENTOS_COMPLEMENTOS!$C$4:$C$803,A1611,MOVIMIENTOS_COMPLEMENTOS!$D$4:$D$803,B1611,MOVIMIENTOS_COMPLEMENTOS!$E$4:$E$803,C1611,MOVIMIENTOS_COMPLEMENTOS!$G$4:$G$803,E1611,MOVIMIENTOS_COMPLEMENTOS!$H$4:$H$803,G1611,MOVIMIENTOS_COMPLEMENTOS!$B$4:$B$803,"SALIDA"),0)</f>
        <v>0</v>
      </c>
      <c r="I1611" s="102">
        <f t="array" ref="I1611">IFERROR(INDEX(PRECIOS_COMPLEMENTOS!$C$4:$F$17,MATCH(B1611&amp;"_"&amp;C1611,PRECIOS_COMPLEMENTOS!$H$4:$H$17,0),IF(OR(G1611="S",G1611="20cm"),1,IF(OR(G1611="M",G1611="25cm"),2,IF(OR(G1611="L",G1611="30cm"),3,IF(OR(G1611="XL",G1611="35cm"),4,0))))),0)</f>
        <v>0.3</v>
      </c>
      <c r="J1611" s="103">
        <f t="shared" si="1"/>
        <v>0</v>
      </c>
      <c r="K1611" s="104" t="str">
        <f>IF(H1611&lt;0,"ERROR",IF(H1611=0,"",IF(H1611&lt;CONFIG!$B$4,"CRÍTICO",IF(H1611&lt;CONFIG!$B$5,"BAJO","OK"))))</f>
        <v/>
      </c>
    </row>
    <row r="1612" ht="15.75" hidden="1" customHeight="1">
      <c r="A1612" s="90" t="str">
        <f>IF(CLIENTES!A6="","",CLIENTES!A6)</f>
        <v/>
      </c>
      <c r="B1612" s="90" t="s">
        <v>324</v>
      </c>
      <c r="C1612" s="91" t="s">
        <v>328</v>
      </c>
      <c r="D1612" s="109" t="s">
        <v>353</v>
      </c>
      <c r="E1612" s="67" t="str">
        <f>COLORES!A6</f>
        <v>Blanco</v>
      </c>
      <c r="F1612" s="67" t="str">
        <f>COLORES!B6</f>
        <v>PPT</v>
      </c>
      <c r="G1612" s="90" t="s">
        <v>378</v>
      </c>
      <c r="H1612" s="100">
        <f>IFERROR(SUMIFS(MOVIMIENTOS_COMPLEMENTOS!$I$4:$I$803,MOVIMIENTOS_COMPLEMENTOS!$C$4:$C$803,A1612,MOVIMIENTOS_COMPLEMENTOS!$D$4:$D$803,B1612,MOVIMIENTOS_COMPLEMENTOS!$E$4:$E$803,C1612,MOVIMIENTOS_COMPLEMENTOS!$G$4:$G$803,E1612,MOVIMIENTOS_COMPLEMENTOS!$H$4:$H$803,G1612,MOVIMIENTOS_COMPLEMENTOS!$B$4:$B$803,"INGRESO")+SUMIFS(MOVIMIENTOS_COMPLEMENTOS!$I$4:$I$803,MOVIMIENTOS_COMPLEMENTOS!$C$4:$C$803,A1612,MOVIMIENTOS_COMPLEMENTOS!$D$4:$D$803,B1612,MOVIMIENTOS_COMPLEMENTOS!$E$4:$E$803,C1612,MOVIMIENTOS_COMPLEMENTOS!$G$4:$G$803,E1612,MOVIMIENTOS_COMPLEMENTOS!$H$4:$H$803,G1612,MOVIMIENTOS_COMPLEMENTOS!$B$4:$B$803,"DE CORTE")-SUMIFS(MOVIMIENTOS_COMPLEMENTOS!$I$4:$I$803,MOVIMIENTOS_COMPLEMENTOS!$C$4:$C$803,A1612,MOVIMIENTOS_COMPLEMENTOS!$D$4:$D$803,B1612,MOVIMIENTOS_COMPLEMENTOS!$E$4:$E$803,C1612,MOVIMIENTOS_COMPLEMENTOS!$G$4:$G$803,E1612,MOVIMIENTOS_COMPLEMENTOS!$H$4:$H$803,G1612,MOVIMIENTOS_COMPLEMENTOS!$B$4:$B$803,"SALIDA"),0)</f>
        <v>0</v>
      </c>
      <c r="I1612" s="102">
        <f t="array" ref="I1612">IFERROR(INDEX(PRECIOS_COMPLEMENTOS!$C$4:$F$17,MATCH(B1612&amp;"_"&amp;C1612,PRECIOS_COMPLEMENTOS!$H$4:$H$17,0),IF(OR(G1612="S",G1612="20cm"),1,IF(OR(G1612="M",G1612="25cm"),2,IF(OR(G1612="L",G1612="30cm"),3,IF(OR(G1612="XL",G1612="35cm"),4,0))))),0)</f>
        <v>0.3</v>
      </c>
      <c r="J1612" s="103">
        <f t="shared" si="1"/>
        <v>0</v>
      </c>
      <c r="K1612" s="104" t="str">
        <f>IF(H1612&lt;0,"ERROR",IF(H1612=0,"",IF(H1612&lt;CONFIG!$B$4,"CRÍTICO",IF(H1612&lt;CONFIG!$B$5,"BAJO","OK"))))</f>
        <v/>
      </c>
    </row>
    <row r="1613" ht="15.75" hidden="1" customHeight="1">
      <c r="A1613" s="90" t="str">
        <f>IF(CLIENTES!A6="","",CLIENTES!A6)</f>
        <v/>
      </c>
      <c r="B1613" s="90" t="s">
        <v>324</v>
      </c>
      <c r="C1613" s="91" t="s">
        <v>328</v>
      </c>
      <c r="D1613" s="109" t="s">
        <v>353</v>
      </c>
      <c r="E1613" s="67" t="str">
        <f>COLORES!A6</f>
        <v>Blanco</v>
      </c>
      <c r="F1613" s="67" t="str">
        <f>COLORES!B6</f>
        <v>PPT</v>
      </c>
      <c r="G1613" s="90" t="s">
        <v>376</v>
      </c>
      <c r="H1613" s="100">
        <f>IFERROR(SUMIFS(MOVIMIENTOS_COMPLEMENTOS!$I$4:$I$803,MOVIMIENTOS_COMPLEMENTOS!$C$4:$C$803,A1613,MOVIMIENTOS_COMPLEMENTOS!$D$4:$D$803,B1613,MOVIMIENTOS_COMPLEMENTOS!$E$4:$E$803,C1613,MOVIMIENTOS_COMPLEMENTOS!$G$4:$G$803,E1613,MOVIMIENTOS_COMPLEMENTOS!$H$4:$H$803,G1613,MOVIMIENTOS_COMPLEMENTOS!$B$4:$B$803,"INGRESO")+SUMIFS(MOVIMIENTOS_COMPLEMENTOS!$I$4:$I$803,MOVIMIENTOS_COMPLEMENTOS!$C$4:$C$803,A1613,MOVIMIENTOS_COMPLEMENTOS!$D$4:$D$803,B1613,MOVIMIENTOS_COMPLEMENTOS!$E$4:$E$803,C1613,MOVIMIENTOS_COMPLEMENTOS!$G$4:$G$803,E1613,MOVIMIENTOS_COMPLEMENTOS!$H$4:$H$803,G1613,MOVIMIENTOS_COMPLEMENTOS!$B$4:$B$803,"DE CORTE")-SUMIFS(MOVIMIENTOS_COMPLEMENTOS!$I$4:$I$803,MOVIMIENTOS_COMPLEMENTOS!$C$4:$C$803,A1613,MOVIMIENTOS_COMPLEMENTOS!$D$4:$D$803,B1613,MOVIMIENTOS_COMPLEMENTOS!$E$4:$E$803,C1613,MOVIMIENTOS_COMPLEMENTOS!$G$4:$G$803,E1613,MOVIMIENTOS_COMPLEMENTOS!$H$4:$H$803,G1613,MOVIMIENTOS_COMPLEMENTOS!$B$4:$B$803,"SALIDA"),0)</f>
        <v>0</v>
      </c>
      <c r="I1613" s="102">
        <f t="array" ref="I1613">IFERROR(INDEX(PRECIOS_COMPLEMENTOS!$C$4:$F$17,MATCH(B1613&amp;"_"&amp;C1613,PRECIOS_COMPLEMENTOS!$H$4:$H$17,0),IF(OR(G1613="S",G1613="20cm"),1,IF(OR(G1613="M",G1613="25cm"),2,IF(OR(G1613="L",G1613="30cm"),3,IF(OR(G1613="XL",G1613="35cm"),4,0))))),0)</f>
        <v>0.3</v>
      </c>
      <c r="J1613" s="103">
        <f t="shared" si="1"/>
        <v>0</v>
      </c>
      <c r="K1613" s="104" t="str">
        <f>IF(H1613&lt;0,"ERROR",IF(H1613=0,"",IF(H1613&lt;CONFIG!$B$4,"CRÍTICO",IF(H1613&lt;CONFIG!$B$5,"BAJO","OK"))))</f>
        <v/>
      </c>
    </row>
    <row r="1614" ht="15.75" hidden="1" customHeight="1">
      <c r="A1614" s="90" t="str">
        <f>IF(CLIENTES!A6="","",CLIENTES!A6)</f>
        <v/>
      </c>
      <c r="B1614" s="90" t="s">
        <v>324</v>
      </c>
      <c r="C1614" s="91" t="s">
        <v>328</v>
      </c>
      <c r="D1614" s="109" t="s">
        <v>353</v>
      </c>
      <c r="E1614" s="67" t="str">
        <f>COLORES!A6</f>
        <v>Blanco</v>
      </c>
      <c r="F1614" s="67" t="str">
        <f>COLORES!B6</f>
        <v>PPT</v>
      </c>
      <c r="G1614" s="90" t="s">
        <v>377</v>
      </c>
      <c r="H1614" s="100">
        <f>IFERROR(SUMIFS(MOVIMIENTOS_COMPLEMENTOS!$I$4:$I$803,MOVIMIENTOS_COMPLEMENTOS!$C$4:$C$803,A1614,MOVIMIENTOS_COMPLEMENTOS!$D$4:$D$803,B1614,MOVIMIENTOS_COMPLEMENTOS!$E$4:$E$803,C1614,MOVIMIENTOS_COMPLEMENTOS!$G$4:$G$803,E1614,MOVIMIENTOS_COMPLEMENTOS!$H$4:$H$803,G1614,MOVIMIENTOS_COMPLEMENTOS!$B$4:$B$803,"INGRESO")+SUMIFS(MOVIMIENTOS_COMPLEMENTOS!$I$4:$I$803,MOVIMIENTOS_COMPLEMENTOS!$C$4:$C$803,A1614,MOVIMIENTOS_COMPLEMENTOS!$D$4:$D$803,B1614,MOVIMIENTOS_COMPLEMENTOS!$E$4:$E$803,C1614,MOVIMIENTOS_COMPLEMENTOS!$G$4:$G$803,E1614,MOVIMIENTOS_COMPLEMENTOS!$H$4:$H$803,G1614,MOVIMIENTOS_COMPLEMENTOS!$B$4:$B$803,"DE CORTE")-SUMIFS(MOVIMIENTOS_COMPLEMENTOS!$I$4:$I$803,MOVIMIENTOS_COMPLEMENTOS!$C$4:$C$803,A1614,MOVIMIENTOS_COMPLEMENTOS!$D$4:$D$803,B1614,MOVIMIENTOS_COMPLEMENTOS!$E$4:$E$803,C1614,MOVIMIENTOS_COMPLEMENTOS!$G$4:$G$803,E1614,MOVIMIENTOS_COMPLEMENTOS!$H$4:$H$803,G1614,MOVIMIENTOS_COMPLEMENTOS!$B$4:$B$803,"SALIDA"),0)</f>
        <v>0</v>
      </c>
      <c r="I1614" s="102">
        <f t="array" ref="I1614">IFERROR(INDEX(PRECIOS_COMPLEMENTOS!$C$4:$F$17,MATCH(B1614&amp;"_"&amp;C1614,PRECIOS_COMPLEMENTOS!$H$4:$H$17,0),IF(OR(G1614="S",G1614="20cm"),1,IF(OR(G1614="M",G1614="25cm"),2,IF(OR(G1614="L",G1614="30cm"),3,IF(OR(G1614="XL",G1614="35cm"),4,0))))),0)</f>
        <v>0.3</v>
      </c>
      <c r="J1614" s="103">
        <f t="shared" si="1"/>
        <v>0</v>
      </c>
      <c r="K1614" s="104" t="str">
        <f>IF(H1614&lt;0,"ERROR",IF(H1614=0,"",IF(H1614&lt;CONFIG!$B$4,"CRÍTICO",IF(H1614&lt;CONFIG!$B$5,"BAJO","OK"))))</f>
        <v/>
      </c>
    </row>
    <row r="1615" ht="15.75" hidden="1" customHeight="1">
      <c r="A1615" s="90" t="str">
        <f>IF(CLIENTES!A6="","",CLIENTES!A6)</f>
        <v/>
      </c>
      <c r="B1615" s="90" t="s">
        <v>324</v>
      </c>
      <c r="C1615" s="91" t="s">
        <v>328</v>
      </c>
      <c r="D1615" s="109" t="s">
        <v>353</v>
      </c>
      <c r="E1615" s="67" t="str">
        <f>COLORES!A6</f>
        <v>Blanco</v>
      </c>
      <c r="F1615" s="67" t="str">
        <f>COLORES!B6</f>
        <v>PPT</v>
      </c>
      <c r="G1615" s="90" t="s">
        <v>379</v>
      </c>
      <c r="H1615" s="100">
        <f>IFERROR(SUMIFS(MOVIMIENTOS_COMPLEMENTOS!$I$4:$I$803,MOVIMIENTOS_COMPLEMENTOS!$C$4:$C$803,A1615,MOVIMIENTOS_COMPLEMENTOS!$D$4:$D$803,B1615,MOVIMIENTOS_COMPLEMENTOS!$E$4:$E$803,C1615,MOVIMIENTOS_COMPLEMENTOS!$G$4:$G$803,E1615,MOVIMIENTOS_COMPLEMENTOS!$H$4:$H$803,G1615,MOVIMIENTOS_COMPLEMENTOS!$B$4:$B$803,"INGRESO")+SUMIFS(MOVIMIENTOS_COMPLEMENTOS!$I$4:$I$803,MOVIMIENTOS_COMPLEMENTOS!$C$4:$C$803,A1615,MOVIMIENTOS_COMPLEMENTOS!$D$4:$D$803,B1615,MOVIMIENTOS_COMPLEMENTOS!$E$4:$E$803,C1615,MOVIMIENTOS_COMPLEMENTOS!$G$4:$G$803,E1615,MOVIMIENTOS_COMPLEMENTOS!$H$4:$H$803,G1615,MOVIMIENTOS_COMPLEMENTOS!$B$4:$B$803,"DE CORTE")-SUMIFS(MOVIMIENTOS_COMPLEMENTOS!$I$4:$I$803,MOVIMIENTOS_COMPLEMENTOS!$C$4:$C$803,A1615,MOVIMIENTOS_COMPLEMENTOS!$D$4:$D$803,B1615,MOVIMIENTOS_COMPLEMENTOS!$E$4:$E$803,C1615,MOVIMIENTOS_COMPLEMENTOS!$G$4:$G$803,E1615,MOVIMIENTOS_COMPLEMENTOS!$H$4:$H$803,G1615,MOVIMIENTOS_COMPLEMENTOS!$B$4:$B$803,"SALIDA"),0)</f>
        <v>0</v>
      </c>
      <c r="I1615" s="102">
        <f t="array" ref="I1615">IFERROR(INDEX(PRECIOS_COMPLEMENTOS!$C$4:$F$17,MATCH(B1615&amp;"_"&amp;C1615,PRECIOS_COMPLEMENTOS!$H$4:$H$17,0),IF(OR(G1615="S",G1615="20cm"),1,IF(OR(G1615="M",G1615="25cm"),2,IF(OR(G1615="L",G1615="30cm"),3,IF(OR(G1615="XL",G1615="35cm"),4,0))))),0)</f>
        <v>0.3</v>
      </c>
      <c r="J1615" s="103">
        <f t="shared" si="1"/>
        <v>0</v>
      </c>
      <c r="K1615" s="104" t="str">
        <f>IF(H1615&lt;0,"ERROR",IF(H1615=0,"",IF(H1615&lt;CONFIG!$B$4,"CRÍTICO",IF(H1615&lt;CONFIG!$B$5,"BAJO","OK"))))</f>
        <v/>
      </c>
    </row>
    <row r="1616" ht="15.75" hidden="1" customHeight="1">
      <c r="A1616" s="90" t="str">
        <f>IF(CLIENTES!A6="","",CLIENTES!A6)</f>
        <v/>
      </c>
      <c r="B1616" s="90" t="s">
        <v>324</v>
      </c>
      <c r="C1616" s="91" t="s">
        <v>328</v>
      </c>
      <c r="D1616" s="109" t="s">
        <v>353</v>
      </c>
      <c r="E1616" s="67" t="str">
        <f>COLORES!A7</f>
        <v>Azul</v>
      </c>
      <c r="F1616" s="67" t="str">
        <f>COLORES!B7</f>
        <v>OSCURO</v>
      </c>
      <c r="G1616" s="90" t="s">
        <v>378</v>
      </c>
      <c r="H1616" s="100">
        <f>IFERROR(SUMIFS(MOVIMIENTOS_COMPLEMENTOS!$I$4:$I$803,MOVIMIENTOS_COMPLEMENTOS!$C$4:$C$803,A1616,MOVIMIENTOS_COMPLEMENTOS!$D$4:$D$803,B1616,MOVIMIENTOS_COMPLEMENTOS!$E$4:$E$803,C1616,MOVIMIENTOS_COMPLEMENTOS!$G$4:$G$803,E1616,MOVIMIENTOS_COMPLEMENTOS!$H$4:$H$803,G1616,MOVIMIENTOS_COMPLEMENTOS!$B$4:$B$803,"INGRESO")+SUMIFS(MOVIMIENTOS_COMPLEMENTOS!$I$4:$I$803,MOVIMIENTOS_COMPLEMENTOS!$C$4:$C$803,A1616,MOVIMIENTOS_COMPLEMENTOS!$D$4:$D$803,B1616,MOVIMIENTOS_COMPLEMENTOS!$E$4:$E$803,C1616,MOVIMIENTOS_COMPLEMENTOS!$G$4:$G$803,E1616,MOVIMIENTOS_COMPLEMENTOS!$H$4:$H$803,G1616,MOVIMIENTOS_COMPLEMENTOS!$B$4:$B$803,"DE CORTE")-SUMIFS(MOVIMIENTOS_COMPLEMENTOS!$I$4:$I$803,MOVIMIENTOS_COMPLEMENTOS!$C$4:$C$803,A1616,MOVIMIENTOS_COMPLEMENTOS!$D$4:$D$803,B1616,MOVIMIENTOS_COMPLEMENTOS!$E$4:$E$803,C1616,MOVIMIENTOS_COMPLEMENTOS!$G$4:$G$803,E1616,MOVIMIENTOS_COMPLEMENTOS!$H$4:$H$803,G1616,MOVIMIENTOS_COMPLEMENTOS!$B$4:$B$803,"SALIDA"),0)</f>
        <v>0</v>
      </c>
      <c r="I1616" s="102">
        <f t="array" ref="I1616">IFERROR(INDEX(PRECIOS_COMPLEMENTOS!$C$4:$F$17,MATCH(B1616&amp;"_"&amp;C1616,PRECIOS_COMPLEMENTOS!$H$4:$H$17,0),IF(OR(G1616="S",G1616="20cm"),1,IF(OR(G1616="M",G1616="25cm"),2,IF(OR(G1616="L",G1616="30cm"),3,IF(OR(G1616="XL",G1616="35cm"),4,0))))),0)</f>
        <v>0.3</v>
      </c>
      <c r="J1616" s="103">
        <f t="shared" si="1"/>
        <v>0</v>
      </c>
      <c r="K1616" s="104" t="str">
        <f>IF(H1616&lt;0,"ERROR",IF(H1616=0,"",IF(H1616&lt;CONFIG!$B$4,"CRÍTICO",IF(H1616&lt;CONFIG!$B$5,"BAJO","OK"))))</f>
        <v/>
      </c>
    </row>
    <row r="1617" ht="15.75" hidden="1" customHeight="1">
      <c r="A1617" s="90" t="str">
        <f>IF(CLIENTES!A6="","",CLIENTES!A6)</f>
        <v/>
      </c>
      <c r="B1617" s="90" t="s">
        <v>324</v>
      </c>
      <c r="C1617" s="91" t="s">
        <v>328</v>
      </c>
      <c r="D1617" s="109" t="s">
        <v>353</v>
      </c>
      <c r="E1617" s="67" t="str">
        <f>COLORES!A7</f>
        <v>Azul</v>
      </c>
      <c r="F1617" s="67" t="str">
        <f>COLORES!B7</f>
        <v>OSCURO</v>
      </c>
      <c r="G1617" s="90" t="s">
        <v>376</v>
      </c>
      <c r="H1617" s="100">
        <f>IFERROR(SUMIFS(MOVIMIENTOS_COMPLEMENTOS!$I$4:$I$803,MOVIMIENTOS_COMPLEMENTOS!$C$4:$C$803,A1617,MOVIMIENTOS_COMPLEMENTOS!$D$4:$D$803,B1617,MOVIMIENTOS_COMPLEMENTOS!$E$4:$E$803,C1617,MOVIMIENTOS_COMPLEMENTOS!$G$4:$G$803,E1617,MOVIMIENTOS_COMPLEMENTOS!$H$4:$H$803,G1617,MOVIMIENTOS_COMPLEMENTOS!$B$4:$B$803,"INGRESO")+SUMIFS(MOVIMIENTOS_COMPLEMENTOS!$I$4:$I$803,MOVIMIENTOS_COMPLEMENTOS!$C$4:$C$803,A1617,MOVIMIENTOS_COMPLEMENTOS!$D$4:$D$803,B1617,MOVIMIENTOS_COMPLEMENTOS!$E$4:$E$803,C1617,MOVIMIENTOS_COMPLEMENTOS!$G$4:$G$803,E1617,MOVIMIENTOS_COMPLEMENTOS!$H$4:$H$803,G1617,MOVIMIENTOS_COMPLEMENTOS!$B$4:$B$803,"DE CORTE")-SUMIFS(MOVIMIENTOS_COMPLEMENTOS!$I$4:$I$803,MOVIMIENTOS_COMPLEMENTOS!$C$4:$C$803,A1617,MOVIMIENTOS_COMPLEMENTOS!$D$4:$D$803,B1617,MOVIMIENTOS_COMPLEMENTOS!$E$4:$E$803,C1617,MOVIMIENTOS_COMPLEMENTOS!$G$4:$G$803,E1617,MOVIMIENTOS_COMPLEMENTOS!$H$4:$H$803,G1617,MOVIMIENTOS_COMPLEMENTOS!$B$4:$B$803,"SALIDA"),0)</f>
        <v>0</v>
      </c>
      <c r="I1617" s="102">
        <f t="array" ref="I1617">IFERROR(INDEX(PRECIOS_COMPLEMENTOS!$C$4:$F$17,MATCH(B1617&amp;"_"&amp;C1617,PRECIOS_COMPLEMENTOS!$H$4:$H$17,0),IF(OR(G1617="S",G1617="20cm"),1,IF(OR(G1617="M",G1617="25cm"),2,IF(OR(G1617="L",G1617="30cm"),3,IF(OR(G1617="XL",G1617="35cm"),4,0))))),0)</f>
        <v>0.3</v>
      </c>
      <c r="J1617" s="103">
        <f t="shared" si="1"/>
        <v>0</v>
      </c>
      <c r="K1617" s="104" t="str">
        <f>IF(H1617&lt;0,"ERROR",IF(H1617=0,"",IF(H1617&lt;CONFIG!$B$4,"CRÍTICO",IF(H1617&lt;CONFIG!$B$5,"BAJO","OK"))))</f>
        <v/>
      </c>
    </row>
    <row r="1618" ht="15.75" hidden="1" customHeight="1">
      <c r="A1618" s="90" t="str">
        <f>IF(CLIENTES!A6="","",CLIENTES!A6)</f>
        <v/>
      </c>
      <c r="B1618" s="90" t="s">
        <v>324</v>
      </c>
      <c r="C1618" s="91" t="s">
        <v>328</v>
      </c>
      <c r="D1618" s="109" t="s">
        <v>353</v>
      </c>
      <c r="E1618" s="67" t="str">
        <f>COLORES!A7</f>
        <v>Azul</v>
      </c>
      <c r="F1618" s="67" t="str">
        <f>COLORES!B7</f>
        <v>OSCURO</v>
      </c>
      <c r="G1618" s="90" t="s">
        <v>377</v>
      </c>
      <c r="H1618" s="100">
        <f>IFERROR(SUMIFS(MOVIMIENTOS_COMPLEMENTOS!$I$4:$I$803,MOVIMIENTOS_COMPLEMENTOS!$C$4:$C$803,A1618,MOVIMIENTOS_COMPLEMENTOS!$D$4:$D$803,B1618,MOVIMIENTOS_COMPLEMENTOS!$E$4:$E$803,C1618,MOVIMIENTOS_COMPLEMENTOS!$G$4:$G$803,E1618,MOVIMIENTOS_COMPLEMENTOS!$H$4:$H$803,G1618,MOVIMIENTOS_COMPLEMENTOS!$B$4:$B$803,"INGRESO")+SUMIFS(MOVIMIENTOS_COMPLEMENTOS!$I$4:$I$803,MOVIMIENTOS_COMPLEMENTOS!$C$4:$C$803,A1618,MOVIMIENTOS_COMPLEMENTOS!$D$4:$D$803,B1618,MOVIMIENTOS_COMPLEMENTOS!$E$4:$E$803,C1618,MOVIMIENTOS_COMPLEMENTOS!$G$4:$G$803,E1618,MOVIMIENTOS_COMPLEMENTOS!$H$4:$H$803,G1618,MOVIMIENTOS_COMPLEMENTOS!$B$4:$B$803,"DE CORTE")-SUMIFS(MOVIMIENTOS_COMPLEMENTOS!$I$4:$I$803,MOVIMIENTOS_COMPLEMENTOS!$C$4:$C$803,A1618,MOVIMIENTOS_COMPLEMENTOS!$D$4:$D$803,B1618,MOVIMIENTOS_COMPLEMENTOS!$E$4:$E$803,C1618,MOVIMIENTOS_COMPLEMENTOS!$G$4:$G$803,E1618,MOVIMIENTOS_COMPLEMENTOS!$H$4:$H$803,G1618,MOVIMIENTOS_COMPLEMENTOS!$B$4:$B$803,"SALIDA"),0)</f>
        <v>0</v>
      </c>
      <c r="I1618" s="102">
        <f t="array" ref="I1618">IFERROR(INDEX(PRECIOS_COMPLEMENTOS!$C$4:$F$17,MATCH(B1618&amp;"_"&amp;C1618,PRECIOS_COMPLEMENTOS!$H$4:$H$17,0),IF(OR(G1618="S",G1618="20cm"),1,IF(OR(G1618="M",G1618="25cm"),2,IF(OR(G1618="L",G1618="30cm"),3,IF(OR(G1618="XL",G1618="35cm"),4,0))))),0)</f>
        <v>0.3</v>
      </c>
      <c r="J1618" s="103">
        <f t="shared" si="1"/>
        <v>0</v>
      </c>
      <c r="K1618" s="104" t="str">
        <f>IF(H1618&lt;0,"ERROR",IF(H1618=0,"",IF(H1618&lt;CONFIG!$B$4,"CRÍTICO",IF(H1618&lt;CONFIG!$B$5,"BAJO","OK"))))</f>
        <v/>
      </c>
    </row>
    <row r="1619" ht="15.75" hidden="1" customHeight="1">
      <c r="A1619" s="90" t="str">
        <f>IF(CLIENTES!A6="","",CLIENTES!A6)</f>
        <v/>
      </c>
      <c r="B1619" s="90" t="s">
        <v>324</v>
      </c>
      <c r="C1619" s="91" t="s">
        <v>328</v>
      </c>
      <c r="D1619" s="109" t="s">
        <v>353</v>
      </c>
      <c r="E1619" s="67" t="str">
        <f>COLORES!A7</f>
        <v>Azul</v>
      </c>
      <c r="F1619" s="67" t="str">
        <f>COLORES!B7</f>
        <v>OSCURO</v>
      </c>
      <c r="G1619" s="90" t="s">
        <v>379</v>
      </c>
      <c r="H1619" s="100">
        <f>IFERROR(SUMIFS(MOVIMIENTOS_COMPLEMENTOS!$I$4:$I$803,MOVIMIENTOS_COMPLEMENTOS!$C$4:$C$803,A1619,MOVIMIENTOS_COMPLEMENTOS!$D$4:$D$803,B1619,MOVIMIENTOS_COMPLEMENTOS!$E$4:$E$803,C1619,MOVIMIENTOS_COMPLEMENTOS!$G$4:$G$803,E1619,MOVIMIENTOS_COMPLEMENTOS!$H$4:$H$803,G1619,MOVIMIENTOS_COMPLEMENTOS!$B$4:$B$803,"INGRESO")+SUMIFS(MOVIMIENTOS_COMPLEMENTOS!$I$4:$I$803,MOVIMIENTOS_COMPLEMENTOS!$C$4:$C$803,A1619,MOVIMIENTOS_COMPLEMENTOS!$D$4:$D$803,B1619,MOVIMIENTOS_COMPLEMENTOS!$E$4:$E$803,C1619,MOVIMIENTOS_COMPLEMENTOS!$G$4:$G$803,E1619,MOVIMIENTOS_COMPLEMENTOS!$H$4:$H$803,G1619,MOVIMIENTOS_COMPLEMENTOS!$B$4:$B$803,"DE CORTE")-SUMIFS(MOVIMIENTOS_COMPLEMENTOS!$I$4:$I$803,MOVIMIENTOS_COMPLEMENTOS!$C$4:$C$803,A1619,MOVIMIENTOS_COMPLEMENTOS!$D$4:$D$803,B1619,MOVIMIENTOS_COMPLEMENTOS!$E$4:$E$803,C1619,MOVIMIENTOS_COMPLEMENTOS!$G$4:$G$803,E1619,MOVIMIENTOS_COMPLEMENTOS!$H$4:$H$803,G1619,MOVIMIENTOS_COMPLEMENTOS!$B$4:$B$803,"SALIDA"),0)</f>
        <v>0</v>
      </c>
      <c r="I1619" s="102">
        <f t="array" ref="I1619">IFERROR(INDEX(PRECIOS_COMPLEMENTOS!$C$4:$F$17,MATCH(B1619&amp;"_"&amp;C1619,PRECIOS_COMPLEMENTOS!$H$4:$H$17,0),IF(OR(G1619="S",G1619="20cm"),1,IF(OR(G1619="M",G1619="25cm"),2,IF(OR(G1619="L",G1619="30cm"),3,IF(OR(G1619="XL",G1619="35cm"),4,0))))),0)</f>
        <v>0.3</v>
      </c>
      <c r="J1619" s="103">
        <f t="shared" si="1"/>
        <v>0</v>
      </c>
      <c r="K1619" s="104" t="str">
        <f>IF(H1619&lt;0,"ERROR",IF(H1619=0,"",IF(H1619&lt;CONFIG!$B$4,"CRÍTICO",IF(H1619&lt;CONFIG!$B$5,"BAJO","OK"))))</f>
        <v/>
      </c>
    </row>
    <row r="1620" ht="15.75" hidden="1" customHeight="1">
      <c r="A1620" s="90" t="str">
        <f>IF(CLIENTES!A6="","",CLIENTES!A6)</f>
        <v/>
      </c>
      <c r="B1620" s="90" t="s">
        <v>324</v>
      </c>
      <c r="C1620" s="91" t="s">
        <v>328</v>
      </c>
      <c r="D1620" s="109" t="s">
        <v>353</v>
      </c>
      <c r="E1620" s="67" t="str">
        <f>COLORES!A8</f>
        <v>Beige</v>
      </c>
      <c r="F1620" s="67" t="str">
        <f>COLORES!B8</f>
        <v>CLARO</v>
      </c>
      <c r="G1620" s="90" t="s">
        <v>378</v>
      </c>
      <c r="H1620" s="100">
        <f>IFERROR(SUMIFS(MOVIMIENTOS_COMPLEMENTOS!$I$4:$I$803,MOVIMIENTOS_COMPLEMENTOS!$C$4:$C$803,A1620,MOVIMIENTOS_COMPLEMENTOS!$D$4:$D$803,B1620,MOVIMIENTOS_COMPLEMENTOS!$E$4:$E$803,C1620,MOVIMIENTOS_COMPLEMENTOS!$G$4:$G$803,E1620,MOVIMIENTOS_COMPLEMENTOS!$H$4:$H$803,G1620,MOVIMIENTOS_COMPLEMENTOS!$B$4:$B$803,"INGRESO")+SUMIFS(MOVIMIENTOS_COMPLEMENTOS!$I$4:$I$803,MOVIMIENTOS_COMPLEMENTOS!$C$4:$C$803,A1620,MOVIMIENTOS_COMPLEMENTOS!$D$4:$D$803,B1620,MOVIMIENTOS_COMPLEMENTOS!$E$4:$E$803,C1620,MOVIMIENTOS_COMPLEMENTOS!$G$4:$G$803,E1620,MOVIMIENTOS_COMPLEMENTOS!$H$4:$H$803,G1620,MOVIMIENTOS_COMPLEMENTOS!$B$4:$B$803,"DE CORTE")-SUMIFS(MOVIMIENTOS_COMPLEMENTOS!$I$4:$I$803,MOVIMIENTOS_COMPLEMENTOS!$C$4:$C$803,A1620,MOVIMIENTOS_COMPLEMENTOS!$D$4:$D$803,B1620,MOVIMIENTOS_COMPLEMENTOS!$E$4:$E$803,C1620,MOVIMIENTOS_COMPLEMENTOS!$G$4:$G$803,E1620,MOVIMIENTOS_COMPLEMENTOS!$H$4:$H$803,G1620,MOVIMIENTOS_COMPLEMENTOS!$B$4:$B$803,"SALIDA"),0)</f>
        <v>0</v>
      </c>
      <c r="I1620" s="102">
        <f t="array" ref="I1620">IFERROR(INDEX(PRECIOS_COMPLEMENTOS!$C$4:$F$17,MATCH(B1620&amp;"_"&amp;C1620,PRECIOS_COMPLEMENTOS!$H$4:$H$17,0),IF(OR(G1620="S",G1620="20cm"),1,IF(OR(G1620="M",G1620="25cm"),2,IF(OR(G1620="L",G1620="30cm"),3,IF(OR(G1620="XL",G1620="35cm"),4,0))))),0)</f>
        <v>0.3</v>
      </c>
      <c r="J1620" s="103">
        <f t="shared" si="1"/>
        <v>0</v>
      </c>
      <c r="K1620" s="104" t="str">
        <f>IF(H1620&lt;0,"ERROR",IF(H1620=0,"",IF(H1620&lt;CONFIG!$B$4,"CRÍTICO",IF(H1620&lt;CONFIG!$B$5,"BAJO","OK"))))</f>
        <v/>
      </c>
    </row>
    <row r="1621" ht="15.75" hidden="1" customHeight="1">
      <c r="A1621" s="90" t="str">
        <f>IF(CLIENTES!A6="","",CLIENTES!A6)</f>
        <v/>
      </c>
      <c r="B1621" s="90" t="s">
        <v>324</v>
      </c>
      <c r="C1621" s="91" t="s">
        <v>328</v>
      </c>
      <c r="D1621" s="109" t="s">
        <v>353</v>
      </c>
      <c r="E1621" s="67" t="str">
        <f>COLORES!A8</f>
        <v>Beige</v>
      </c>
      <c r="F1621" s="67" t="str">
        <f>COLORES!B8</f>
        <v>CLARO</v>
      </c>
      <c r="G1621" s="90" t="s">
        <v>376</v>
      </c>
      <c r="H1621" s="100">
        <f>IFERROR(SUMIFS(MOVIMIENTOS_COMPLEMENTOS!$I$4:$I$803,MOVIMIENTOS_COMPLEMENTOS!$C$4:$C$803,A1621,MOVIMIENTOS_COMPLEMENTOS!$D$4:$D$803,B1621,MOVIMIENTOS_COMPLEMENTOS!$E$4:$E$803,C1621,MOVIMIENTOS_COMPLEMENTOS!$G$4:$G$803,E1621,MOVIMIENTOS_COMPLEMENTOS!$H$4:$H$803,G1621,MOVIMIENTOS_COMPLEMENTOS!$B$4:$B$803,"INGRESO")+SUMIFS(MOVIMIENTOS_COMPLEMENTOS!$I$4:$I$803,MOVIMIENTOS_COMPLEMENTOS!$C$4:$C$803,A1621,MOVIMIENTOS_COMPLEMENTOS!$D$4:$D$803,B1621,MOVIMIENTOS_COMPLEMENTOS!$E$4:$E$803,C1621,MOVIMIENTOS_COMPLEMENTOS!$G$4:$G$803,E1621,MOVIMIENTOS_COMPLEMENTOS!$H$4:$H$803,G1621,MOVIMIENTOS_COMPLEMENTOS!$B$4:$B$803,"DE CORTE")-SUMIFS(MOVIMIENTOS_COMPLEMENTOS!$I$4:$I$803,MOVIMIENTOS_COMPLEMENTOS!$C$4:$C$803,A1621,MOVIMIENTOS_COMPLEMENTOS!$D$4:$D$803,B1621,MOVIMIENTOS_COMPLEMENTOS!$E$4:$E$803,C1621,MOVIMIENTOS_COMPLEMENTOS!$G$4:$G$803,E1621,MOVIMIENTOS_COMPLEMENTOS!$H$4:$H$803,G1621,MOVIMIENTOS_COMPLEMENTOS!$B$4:$B$803,"SALIDA"),0)</f>
        <v>0</v>
      </c>
      <c r="I1621" s="102">
        <f t="array" ref="I1621">IFERROR(INDEX(PRECIOS_COMPLEMENTOS!$C$4:$F$17,MATCH(B1621&amp;"_"&amp;C1621,PRECIOS_COMPLEMENTOS!$H$4:$H$17,0),IF(OR(G1621="S",G1621="20cm"),1,IF(OR(G1621="M",G1621="25cm"),2,IF(OR(G1621="L",G1621="30cm"),3,IF(OR(G1621="XL",G1621="35cm"),4,0))))),0)</f>
        <v>0.3</v>
      </c>
      <c r="J1621" s="103">
        <f t="shared" si="1"/>
        <v>0</v>
      </c>
      <c r="K1621" s="104" t="str">
        <f>IF(H1621&lt;0,"ERROR",IF(H1621=0,"",IF(H1621&lt;CONFIG!$B$4,"CRÍTICO",IF(H1621&lt;CONFIG!$B$5,"BAJO","OK"))))</f>
        <v/>
      </c>
    </row>
    <row r="1622" ht="15.75" hidden="1" customHeight="1">
      <c r="A1622" s="90" t="str">
        <f>IF(CLIENTES!A6="","",CLIENTES!A6)</f>
        <v/>
      </c>
      <c r="B1622" s="90" t="s">
        <v>324</v>
      </c>
      <c r="C1622" s="91" t="s">
        <v>328</v>
      </c>
      <c r="D1622" s="109" t="s">
        <v>353</v>
      </c>
      <c r="E1622" s="67" t="str">
        <f>COLORES!A8</f>
        <v>Beige</v>
      </c>
      <c r="F1622" s="67" t="str">
        <f>COLORES!B8</f>
        <v>CLARO</v>
      </c>
      <c r="G1622" s="90" t="s">
        <v>377</v>
      </c>
      <c r="H1622" s="100">
        <f>IFERROR(SUMIFS(MOVIMIENTOS_COMPLEMENTOS!$I$4:$I$803,MOVIMIENTOS_COMPLEMENTOS!$C$4:$C$803,A1622,MOVIMIENTOS_COMPLEMENTOS!$D$4:$D$803,B1622,MOVIMIENTOS_COMPLEMENTOS!$E$4:$E$803,C1622,MOVIMIENTOS_COMPLEMENTOS!$G$4:$G$803,E1622,MOVIMIENTOS_COMPLEMENTOS!$H$4:$H$803,G1622,MOVIMIENTOS_COMPLEMENTOS!$B$4:$B$803,"INGRESO")+SUMIFS(MOVIMIENTOS_COMPLEMENTOS!$I$4:$I$803,MOVIMIENTOS_COMPLEMENTOS!$C$4:$C$803,A1622,MOVIMIENTOS_COMPLEMENTOS!$D$4:$D$803,B1622,MOVIMIENTOS_COMPLEMENTOS!$E$4:$E$803,C1622,MOVIMIENTOS_COMPLEMENTOS!$G$4:$G$803,E1622,MOVIMIENTOS_COMPLEMENTOS!$H$4:$H$803,G1622,MOVIMIENTOS_COMPLEMENTOS!$B$4:$B$803,"DE CORTE")-SUMIFS(MOVIMIENTOS_COMPLEMENTOS!$I$4:$I$803,MOVIMIENTOS_COMPLEMENTOS!$C$4:$C$803,A1622,MOVIMIENTOS_COMPLEMENTOS!$D$4:$D$803,B1622,MOVIMIENTOS_COMPLEMENTOS!$E$4:$E$803,C1622,MOVIMIENTOS_COMPLEMENTOS!$G$4:$G$803,E1622,MOVIMIENTOS_COMPLEMENTOS!$H$4:$H$803,G1622,MOVIMIENTOS_COMPLEMENTOS!$B$4:$B$803,"SALIDA"),0)</f>
        <v>0</v>
      </c>
      <c r="I1622" s="102">
        <f t="array" ref="I1622">IFERROR(INDEX(PRECIOS_COMPLEMENTOS!$C$4:$F$17,MATCH(B1622&amp;"_"&amp;C1622,PRECIOS_COMPLEMENTOS!$H$4:$H$17,0),IF(OR(G1622="S",G1622="20cm"),1,IF(OR(G1622="M",G1622="25cm"),2,IF(OR(G1622="L",G1622="30cm"),3,IF(OR(G1622="XL",G1622="35cm"),4,0))))),0)</f>
        <v>0.3</v>
      </c>
      <c r="J1622" s="103">
        <f t="shared" si="1"/>
        <v>0</v>
      </c>
      <c r="K1622" s="104" t="str">
        <f>IF(H1622&lt;0,"ERROR",IF(H1622=0,"",IF(H1622&lt;CONFIG!$B$4,"CRÍTICO",IF(H1622&lt;CONFIG!$B$5,"BAJO","OK"))))</f>
        <v/>
      </c>
    </row>
    <row r="1623" ht="15.75" hidden="1" customHeight="1">
      <c r="A1623" s="90" t="str">
        <f>IF(CLIENTES!A6="","",CLIENTES!A6)</f>
        <v/>
      </c>
      <c r="B1623" s="90" t="s">
        <v>324</v>
      </c>
      <c r="C1623" s="91" t="s">
        <v>328</v>
      </c>
      <c r="D1623" s="109" t="s">
        <v>353</v>
      </c>
      <c r="E1623" s="67" t="str">
        <f>COLORES!A8</f>
        <v>Beige</v>
      </c>
      <c r="F1623" s="67" t="str">
        <f>COLORES!B8</f>
        <v>CLARO</v>
      </c>
      <c r="G1623" s="90" t="s">
        <v>379</v>
      </c>
      <c r="H1623" s="100">
        <f>IFERROR(SUMIFS(MOVIMIENTOS_COMPLEMENTOS!$I$4:$I$803,MOVIMIENTOS_COMPLEMENTOS!$C$4:$C$803,A1623,MOVIMIENTOS_COMPLEMENTOS!$D$4:$D$803,B1623,MOVIMIENTOS_COMPLEMENTOS!$E$4:$E$803,C1623,MOVIMIENTOS_COMPLEMENTOS!$G$4:$G$803,E1623,MOVIMIENTOS_COMPLEMENTOS!$H$4:$H$803,G1623,MOVIMIENTOS_COMPLEMENTOS!$B$4:$B$803,"INGRESO")+SUMIFS(MOVIMIENTOS_COMPLEMENTOS!$I$4:$I$803,MOVIMIENTOS_COMPLEMENTOS!$C$4:$C$803,A1623,MOVIMIENTOS_COMPLEMENTOS!$D$4:$D$803,B1623,MOVIMIENTOS_COMPLEMENTOS!$E$4:$E$803,C1623,MOVIMIENTOS_COMPLEMENTOS!$G$4:$G$803,E1623,MOVIMIENTOS_COMPLEMENTOS!$H$4:$H$803,G1623,MOVIMIENTOS_COMPLEMENTOS!$B$4:$B$803,"DE CORTE")-SUMIFS(MOVIMIENTOS_COMPLEMENTOS!$I$4:$I$803,MOVIMIENTOS_COMPLEMENTOS!$C$4:$C$803,A1623,MOVIMIENTOS_COMPLEMENTOS!$D$4:$D$803,B1623,MOVIMIENTOS_COMPLEMENTOS!$E$4:$E$803,C1623,MOVIMIENTOS_COMPLEMENTOS!$G$4:$G$803,E1623,MOVIMIENTOS_COMPLEMENTOS!$H$4:$H$803,G1623,MOVIMIENTOS_COMPLEMENTOS!$B$4:$B$803,"SALIDA"),0)</f>
        <v>0</v>
      </c>
      <c r="I1623" s="102">
        <f t="array" ref="I1623">IFERROR(INDEX(PRECIOS_COMPLEMENTOS!$C$4:$F$17,MATCH(B1623&amp;"_"&amp;C1623,PRECIOS_COMPLEMENTOS!$H$4:$H$17,0),IF(OR(G1623="S",G1623="20cm"),1,IF(OR(G1623="M",G1623="25cm"),2,IF(OR(G1623="L",G1623="30cm"),3,IF(OR(G1623="XL",G1623="35cm"),4,0))))),0)</f>
        <v>0.3</v>
      </c>
      <c r="J1623" s="103">
        <f t="shared" si="1"/>
        <v>0</v>
      </c>
      <c r="K1623" s="104" t="str">
        <f>IF(H1623&lt;0,"ERROR",IF(H1623=0,"",IF(H1623&lt;CONFIG!$B$4,"CRÍTICO",IF(H1623&lt;CONFIG!$B$5,"BAJO","OK"))))</f>
        <v/>
      </c>
    </row>
    <row r="1624" ht="15.75" hidden="1" customHeight="1">
      <c r="A1624" s="90" t="str">
        <f>IF(CLIENTES!A6="","",CLIENTES!A6)</f>
        <v/>
      </c>
      <c r="B1624" s="90" t="s">
        <v>324</v>
      </c>
      <c r="C1624" s="91" t="s">
        <v>328</v>
      </c>
      <c r="D1624" s="109" t="s">
        <v>353</v>
      </c>
      <c r="E1624" s="67" t="str">
        <f>COLORES!A9</f>
        <v>Melange</v>
      </c>
      <c r="F1624" s="67" t="str">
        <f>COLORES!B9</f>
        <v>MELANGE</v>
      </c>
      <c r="G1624" s="90" t="s">
        <v>378</v>
      </c>
      <c r="H1624" s="100">
        <f>IFERROR(SUMIFS(MOVIMIENTOS_COMPLEMENTOS!$I$4:$I$803,MOVIMIENTOS_COMPLEMENTOS!$C$4:$C$803,A1624,MOVIMIENTOS_COMPLEMENTOS!$D$4:$D$803,B1624,MOVIMIENTOS_COMPLEMENTOS!$E$4:$E$803,C1624,MOVIMIENTOS_COMPLEMENTOS!$G$4:$G$803,E1624,MOVIMIENTOS_COMPLEMENTOS!$H$4:$H$803,G1624,MOVIMIENTOS_COMPLEMENTOS!$B$4:$B$803,"INGRESO")+SUMIFS(MOVIMIENTOS_COMPLEMENTOS!$I$4:$I$803,MOVIMIENTOS_COMPLEMENTOS!$C$4:$C$803,A1624,MOVIMIENTOS_COMPLEMENTOS!$D$4:$D$803,B1624,MOVIMIENTOS_COMPLEMENTOS!$E$4:$E$803,C1624,MOVIMIENTOS_COMPLEMENTOS!$G$4:$G$803,E1624,MOVIMIENTOS_COMPLEMENTOS!$H$4:$H$803,G1624,MOVIMIENTOS_COMPLEMENTOS!$B$4:$B$803,"DE CORTE")-SUMIFS(MOVIMIENTOS_COMPLEMENTOS!$I$4:$I$803,MOVIMIENTOS_COMPLEMENTOS!$C$4:$C$803,A1624,MOVIMIENTOS_COMPLEMENTOS!$D$4:$D$803,B1624,MOVIMIENTOS_COMPLEMENTOS!$E$4:$E$803,C1624,MOVIMIENTOS_COMPLEMENTOS!$G$4:$G$803,E1624,MOVIMIENTOS_COMPLEMENTOS!$H$4:$H$803,G1624,MOVIMIENTOS_COMPLEMENTOS!$B$4:$B$803,"SALIDA"),0)</f>
        <v>0</v>
      </c>
      <c r="I1624" s="102">
        <f t="array" ref="I1624">IFERROR(INDEX(PRECIOS_COMPLEMENTOS!$C$4:$F$17,MATCH(B1624&amp;"_"&amp;C1624,PRECIOS_COMPLEMENTOS!$H$4:$H$17,0),IF(OR(G1624="S",G1624="20cm"),1,IF(OR(G1624="M",G1624="25cm"),2,IF(OR(G1624="L",G1624="30cm"),3,IF(OR(G1624="XL",G1624="35cm"),4,0))))),0)</f>
        <v>0.3</v>
      </c>
      <c r="J1624" s="103">
        <f t="shared" si="1"/>
        <v>0</v>
      </c>
      <c r="K1624" s="104" t="str">
        <f>IF(H1624&lt;0,"ERROR",IF(H1624=0,"",IF(H1624&lt;CONFIG!$B$4,"CRÍTICO",IF(H1624&lt;CONFIG!$B$5,"BAJO","OK"))))</f>
        <v/>
      </c>
    </row>
    <row r="1625" ht="15.75" hidden="1" customHeight="1">
      <c r="A1625" s="90" t="str">
        <f>IF(CLIENTES!A6="","",CLIENTES!A6)</f>
        <v/>
      </c>
      <c r="B1625" s="90" t="s">
        <v>324</v>
      </c>
      <c r="C1625" s="91" t="s">
        <v>328</v>
      </c>
      <c r="D1625" s="109" t="s">
        <v>353</v>
      </c>
      <c r="E1625" s="67" t="str">
        <f>COLORES!A9</f>
        <v>Melange</v>
      </c>
      <c r="F1625" s="67" t="str">
        <f>COLORES!B9</f>
        <v>MELANGE</v>
      </c>
      <c r="G1625" s="90" t="s">
        <v>376</v>
      </c>
      <c r="H1625" s="100">
        <f>IFERROR(SUMIFS(MOVIMIENTOS_COMPLEMENTOS!$I$4:$I$803,MOVIMIENTOS_COMPLEMENTOS!$C$4:$C$803,A1625,MOVIMIENTOS_COMPLEMENTOS!$D$4:$D$803,B1625,MOVIMIENTOS_COMPLEMENTOS!$E$4:$E$803,C1625,MOVIMIENTOS_COMPLEMENTOS!$G$4:$G$803,E1625,MOVIMIENTOS_COMPLEMENTOS!$H$4:$H$803,G1625,MOVIMIENTOS_COMPLEMENTOS!$B$4:$B$803,"INGRESO")+SUMIFS(MOVIMIENTOS_COMPLEMENTOS!$I$4:$I$803,MOVIMIENTOS_COMPLEMENTOS!$C$4:$C$803,A1625,MOVIMIENTOS_COMPLEMENTOS!$D$4:$D$803,B1625,MOVIMIENTOS_COMPLEMENTOS!$E$4:$E$803,C1625,MOVIMIENTOS_COMPLEMENTOS!$G$4:$G$803,E1625,MOVIMIENTOS_COMPLEMENTOS!$H$4:$H$803,G1625,MOVIMIENTOS_COMPLEMENTOS!$B$4:$B$803,"DE CORTE")-SUMIFS(MOVIMIENTOS_COMPLEMENTOS!$I$4:$I$803,MOVIMIENTOS_COMPLEMENTOS!$C$4:$C$803,A1625,MOVIMIENTOS_COMPLEMENTOS!$D$4:$D$803,B1625,MOVIMIENTOS_COMPLEMENTOS!$E$4:$E$803,C1625,MOVIMIENTOS_COMPLEMENTOS!$G$4:$G$803,E1625,MOVIMIENTOS_COMPLEMENTOS!$H$4:$H$803,G1625,MOVIMIENTOS_COMPLEMENTOS!$B$4:$B$803,"SALIDA"),0)</f>
        <v>0</v>
      </c>
      <c r="I1625" s="102">
        <f t="array" ref="I1625">IFERROR(INDEX(PRECIOS_COMPLEMENTOS!$C$4:$F$17,MATCH(B1625&amp;"_"&amp;C1625,PRECIOS_COMPLEMENTOS!$H$4:$H$17,0),IF(OR(G1625="S",G1625="20cm"),1,IF(OR(G1625="M",G1625="25cm"),2,IF(OR(G1625="L",G1625="30cm"),3,IF(OR(G1625="XL",G1625="35cm"),4,0))))),0)</f>
        <v>0.3</v>
      </c>
      <c r="J1625" s="103">
        <f t="shared" si="1"/>
        <v>0</v>
      </c>
      <c r="K1625" s="104" t="str">
        <f>IF(H1625&lt;0,"ERROR",IF(H1625=0,"",IF(H1625&lt;CONFIG!$B$4,"CRÍTICO",IF(H1625&lt;CONFIG!$B$5,"BAJO","OK"))))</f>
        <v/>
      </c>
    </row>
    <row r="1626" ht="15.75" hidden="1" customHeight="1">
      <c r="A1626" s="90" t="str">
        <f>IF(CLIENTES!A6="","",CLIENTES!A6)</f>
        <v/>
      </c>
      <c r="B1626" s="90" t="s">
        <v>324</v>
      </c>
      <c r="C1626" s="91" t="s">
        <v>328</v>
      </c>
      <c r="D1626" s="109" t="s">
        <v>353</v>
      </c>
      <c r="E1626" s="67" t="str">
        <f>COLORES!A9</f>
        <v>Melange</v>
      </c>
      <c r="F1626" s="67" t="str">
        <f>COLORES!B9</f>
        <v>MELANGE</v>
      </c>
      <c r="G1626" s="90" t="s">
        <v>377</v>
      </c>
      <c r="H1626" s="100">
        <f>IFERROR(SUMIFS(MOVIMIENTOS_COMPLEMENTOS!$I$4:$I$803,MOVIMIENTOS_COMPLEMENTOS!$C$4:$C$803,A1626,MOVIMIENTOS_COMPLEMENTOS!$D$4:$D$803,B1626,MOVIMIENTOS_COMPLEMENTOS!$E$4:$E$803,C1626,MOVIMIENTOS_COMPLEMENTOS!$G$4:$G$803,E1626,MOVIMIENTOS_COMPLEMENTOS!$H$4:$H$803,G1626,MOVIMIENTOS_COMPLEMENTOS!$B$4:$B$803,"INGRESO")+SUMIFS(MOVIMIENTOS_COMPLEMENTOS!$I$4:$I$803,MOVIMIENTOS_COMPLEMENTOS!$C$4:$C$803,A1626,MOVIMIENTOS_COMPLEMENTOS!$D$4:$D$803,B1626,MOVIMIENTOS_COMPLEMENTOS!$E$4:$E$803,C1626,MOVIMIENTOS_COMPLEMENTOS!$G$4:$G$803,E1626,MOVIMIENTOS_COMPLEMENTOS!$H$4:$H$803,G1626,MOVIMIENTOS_COMPLEMENTOS!$B$4:$B$803,"DE CORTE")-SUMIFS(MOVIMIENTOS_COMPLEMENTOS!$I$4:$I$803,MOVIMIENTOS_COMPLEMENTOS!$C$4:$C$803,A1626,MOVIMIENTOS_COMPLEMENTOS!$D$4:$D$803,B1626,MOVIMIENTOS_COMPLEMENTOS!$E$4:$E$803,C1626,MOVIMIENTOS_COMPLEMENTOS!$G$4:$G$803,E1626,MOVIMIENTOS_COMPLEMENTOS!$H$4:$H$803,G1626,MOVIMIENTOS_COMPLEMENTOS!$B$4:$B$803,"SALIDA"),0)</f>
        <v>0</v>
      </c>
      <c r="I1626" s="102">
        <f t="array" ref="I1626">IFERROR(INDEX(PRECIOS_COMPLEMENTOS!$C$4:$F$17,MATCH(B1626&amp;"_"&amp;C1626,PRECIOS_COMPLEMENTOS!$H$4:$H$17,0),IF(OR(G1626="S",G1626="20cm"),1,IF(OR(G1626="M",G1626="25cm"),2,IF(OR(G1626="L",G1626="30cm"),3,IF(OR(G1626="XL",G1626="35cm"),4,0))))),0)</f>
        <v>0.3</v>
      </c>
      <c r="J1626" s="103">
        <f t="shared" si="1"/>
        <v>0</v>
      </c>
      <c r="K1626" s="104" t="str">
        <f>IF(H1626&lt;0,"ERROR",IF(H1626=0,"",IF(H1626&lt;CONFIG!$B$4,"CRÍTICO",IF(H1626&lt;CONFIG!$B$5,"BAJO","OK"))))</f>
        <v/>
      </c>
    </row>
    <row r="1627" ht="15.75" hidden="1" customHeight="1">
      <c r="A1627" s="90" t="str">
        <f>IF(CLIENTES!A6="","",CLIENTES!A6)</f>
        <v/>
      </c>
      <c r="B1627" s="90" t="s">
        <v>324</v>
      </c>
      <c r="C1627" s="91" t="s">
        <v>328</v>
      </c>
      <c r="D1627" s="109" t="s">
        <v>353</v>
      </c>
      <c r="E1627" s="67" t="str">
        <f>COLORES!A9</f>
        <v>Melange</v>
      </c>
      <c r="F1627" s="67" t="str">
        <f>COLORES!B9</f>
        <v>MELANGE</v>
      </c>
      <c r="G1627" s="90" t="s">
        <v>379</v>
      </c>
      <c r="H1627" s="100">
        <f>IFERROR(SUMIFS(MOVIMIENTOS_COMPLEMENTOS!$I$4:$I$803,MOVIMIENTOS_COMPLEMENTOS!$C$4:$C$803,A1627,MOVIMIENTOS_COMPLEMENTOS!$D$4:$D$803,B1627,MOVIMIENTOS_COMPLEMENTOS!$E$4:$E$803,C1627,MOVIMIENTOS_COMPLEMENTOS!$G$4:$G$803,E1627,MOVIMIENTOS_COMPLEMENTOS!$H$4:$H$803,G1627,MOVIMIENTOS_COMPLEMENTOS!$B$4:$B$803,"INGRESO")+SUMIFS(MOVIMIENTOS_COMPLEMENTOS!$I$4:$I$803,MOVIMIENTOS_COMPLEMENTOS!$C$4:$C$803,A1627,MOVIMIENTOS_COMPLEMENTOS!$D$4:$D$803,B1627,MOVIMIENTOS_COMPLEMENTOS!$E$4:$E$803,C1627,MOVIMIENTOS_COMPLEMENTOS!$G$4:$G$803,E1627,MOVIMIENTOS_COMPLEMENTOS!$H$4:$H$803,G1627,MOVIMIENTOS_COMPLEMENTOS!$B$4:$B$803,"DE CORTE")-SUMIFS(MOVIMIENTOS_COMPLEMENTOS!$I$4:$I$803,MOVIMIENTOS_COMPLEMENTOS!$C$4:$C$803,A1627,MOVIMIENTOS_COMPLEMENTOS!$D$4:$D$803,B1627,MOVIMIENTOS_COMPLEMENTOS!$E$4:$E$803,C1627,MOVIMIENTOS_COMPLEMENTOS!$G$4:$G$803,E1627,MOVIMIENTOS_COMPLEMENTOS!$H$4:$H$803,G1627,MOVIMIENTOS_COMPLEMENTOS!$B$4:$B$803,"SALIDA"),0)</f>
        <v>0</v>
      </c>
      <c r="I1627" s="102">
        <f t="array" ref="I1627">IFERROR(INDEX(PRECIOS_COMPLEMENTOS!$C$4:$F$17,MATCH(B1627&amp;"_"&amp;C1627,PRECIOS_COMPLEMENTOS!$H$4:$H$17,0),IF(OR(G1627="S",G1627="20cm"),1,IF(OR(G1627="M",G1627="25cm"),2,IF(OR(G1627="L",G1627="30cm"),3,IF(OR(G1627="XL",G1627="35cm"),4,0))))),0)</f>
        <v>0.3</v>
      </c>
      <c r="J1627" s="103">
        <f t="shared" si="1"/>
        <v>0</v>
      </c>
      <c r="K1627" s="104" t="str">
        <f>IF(H1627&lt;0,"ERROR",IF(H1627=0,"",IF(H1627&lt;CONFIG!$B$4,"CRÍTICO",IF(H1627&lt;CONFIG!$B$5,"BAJO","OK"))))</f>
        <v/>
      </c>
    </row>
    <row r="1628" ht="15.75" hidden="1" customHeight="1">
      <c r="A1628" s="90" t="str">
        <f>IF(CLIENTES!A6="","",CLIENTES!A6)</f>
        <v/>
      </c>
      <c r="B1628" s="90" t="s">
        <v>324</v>
      </c>
      <c r="C1628" s="91" t="s">
        <v>328</v>
      </c>
      <c r="D1628" s="109" t="s">
        <v>353</v>
      </c>
      <c r="E1628" s="67" t="str">
        <f>COLORES!A10</f>
        <v>Botella</v>
      </c>
      <c r="F1628" s="67" t="str">
        <f>COLORES!B10</f>
        <v>OSCURO</v>
      </c>
      <c r="G1628" s="90" t="s">
        <v>378</v>
      </c>
      <c r="H1628" s="100">
        <f>IFERROR(SUMIFS(MOVIMIENTOS_COMPLEMENTOS!$I$4:$I$803,MOVIMIENTOS_COMPLEMENTOS!$C$4:$C$803,A1628,MOVIMIENTOS_COMPLEMENTOS!$D$4:$D$803,B1628,MOVIMIENTOS_COMPLEMENTOS!$E$4:$E$803,C1628,MOVIMIENTOS_COMPLEMENTOS!$G$4:$G$803,E1628,MOVIMIENTOS_COMPLEMENTOS!$H$4:$H$803,G1628,MOVIMIENTOS_COMPLEMENTOS!$B$4:$B$803,"INGRESO")+SUMIFS(MOVIMIENTOS_COMPLEMENTOS!$I$4:$I$803,MOVIMIENTOS_COMPLEMENTOS!$C$4:$C$803,A1628,MOVIMIENTOS_COMPLEMENTOS!$D$4:$D$803,B1628,MOVIMIENTOS_COMPLEMENTOS!$E$4:$E$803,C1628,MOVIMIENTOS_COMPLEMENTOS!$G$4:$G$803,E1628,MOVIMIENTOS_COMPLEMENTOS!$H$4:$H$803,G1628,MOVIMIENTOS_COMPLEMENTOS!$B$4:$B$803,"DE CORTE")-SUMIFS(MOVIMIENTOS_COMPLEMENTOS!$I$4:$I$803,MOVIMIENTOS_COMPLEMENTOS!$C$4:$C$803,A1628,MOVIMIENTOS_COMPLEMENTOS!$D$4:$D$803,B1628,MOVIMIENTOS_COMPLEMENTOS!$E$4:$E$803,C1628,MOVIMIENTOS_COMPLEMENTOS!$G$4:$G$803,E1628,MOVIMIENTOS_COMPLEMENTOS!$H$4:$H$803,G1628,MOVIMIENTOS_COMPLEMENTOS!$B$4:$B$803,"SALIDA"),0)</f>
        <v>0</v>
      </c>
      <c r="I1628" s="102">
        <f t="array" ref="I1628">IFERROR(INDEX(PRECIOS_COMPLEMENTOS!$C$4:$F$17,MATCH(B1628&amp;"_"&amp;C1628,PRECIOS_COMPLEMENTOS!$H$4:$H$17,0),IF(OR(G1628="S",G1628="20cm"),1,IF(OR(G1628="M",G1628="25cm"),2,IF(OR(G1628="L",G1628="30cm"),3,IF(OR(G1628="XL",G1628="35cm"),4,0))))),0)</f>
        <v>0.3</v>
      </c>
      <c r="J1628" s="103">
        <f t="shared" si="1"/>
        <v>0</v>
      </c>
      <c r="K1628" s="104" t="str">
        <f>IF(H1628&lt;0,"ERROR",IF(H1628=0,"",IF(H1628&lt;CONFIG!$B$4,"CRÍTICO",IF(H1628&lt;CONFIG!$B$5,"BAJO","OK"))))</f>
        <v/>
      </c>
    </row>
    <row r="1629" ht="15.75" hidden="1" customHeight="1">
      <c r="A1629" s="90" t="str">
        <f>IF(CLIENTES!A6="","",CLIENTES!A6)</f>
        <v/>
      </c>
      <c r="B1629" s="90" t="s">
        <v>324</v>
      </c>
      <c r="C1629" s="91" t="s">
        <v>328</v>
      </c>
      <c r="D1629" s="109" t="s">
        <v>353</v>
      </c>
      <c r="E1629" s="67" t="str">
        <f>COLORES!A10</f>
        <v>Botella</v>
      </c>
      <c r="F1629" s="67" t="str">
        <f>COLORES!B10</f>
        <v>OSCURO</v>
      </c>
      <c r="G1629" s="90" t="s">
        <v>376</v>
      </c>
      <c r="H1629" s="100">
        <f>IFERROR(SUMIFS(MOVIMIENTOS_COMPLEMENTOS!$I$4:$I$803,MOVIMIENTOS_COMPLEMENTOS!$C$4:$C$803,A1629,MOVIMIENTOS_COMPLEMENTOS!$D$4:$D$803,B1629,MOVIMIENTOS_COMPLEMENTOS!$E$4:$E$803,C1629,MOVIMIENTOS_COMPLEMENTOS!$G$4:$G$803,E1629,MOVIMIENTOS_COMPLEMENTOS!$H$4:$H$803,G1629,MOVIMIENTOS_COMPLEMENTOS!$B$4:$B$803,"INGRESO")+SUMIFS(MOVIMIENTOS_COMPLEMENTOS!$I$4:$I$803,MOVIMIENTOS_COMPLEMENTOS!$C$4:$C$803,A1629,MOVIMIENTOS_COMPLEMENTOS!$D$4:$D$803,B1629,MOVIMIENTOS_COMPLEMENTOS!$E$4:$E$803,C1629,MOVIMIENTOS_COMPLEMENTOS!$G$4:$G$803,E1629,MOVIMIENTOS_COMPLEMENTOS!$H$4:$H$803,G1629,MOVIMIENTOS_COMPLEMENTOS!$B$4:$B$803,"DE CORTE")-SUMIFS(MOVIMIENTOS_COMPLEMENTOS!$I$4:$I$803,MOVIMIENTOS_COMPLEMENTOS!$C$4:$C$803,A1629,MOVIMIENTOS_COMPLEMENTOS!$D$4:$D$803,B1629,MOVIMIENTOS_COMPLEMENTOS!$E$4:$E$803,C1629,MOVIMIENTOS_COMPLEMENTOS!$G$4:$G$803,E1629,MOVIMIENTOS_COMPLEMENTOS!$H$4:$H$803,G1629,MOVIMIENTOS_COMPLEMENTOS!$B$4:$B$803,"SALIDA"),0)</f>
        <v>0</v>
      </c>
      <c r="I1629" s="102">
        <f t="array" ref="I1629">IFERROR(INDEX(PRECIOS_COMPLEMENTOS!$C$4:$F$17,MATCH(B1629&amp;"_"&amp;C1629,PRECIOS_COMPLEMENTOS!$H$4:$H$17,0),IF(OR(G1629="S",G1629="20cm"),1,IF(OR(G1629="M",G1629="25cm"),2,IF(OR(G1629="L",G1629="30cm"),3,IF(OR(G1629="XL",G1629="35cm"),4,0))))),0)</f>
        <v>0.3</v>
      </c>
      <c r="J1629" s="103">
        <f t="shared" si="1"/>
        <v>0</v>
      </c>
      <c r="K1629" s="104" t="str">
        <f>IF(H1629&lt;0,"ERROR",IF(H1629=0,"",IF(H1629&lt;CONFIG!$B$4,"CRÍTICO",IF(H1629&lt;CONFIG!$B$5,"BAJO","OK"))))</f>
        <v/>
      </c>
    </row>
    <row r="1630" ht="15.75" hidden="1" customHeight="1">
      <c r="A1630" s="90" t="str">
        <f>IF(CLIENTES!A6="","",CLIENTES!A6)</f>
        <v/>
      </c>
      <c r="B1630" s="90" t="s">
        <v>324</v>
      </c>
      <c r="C1630" s="91" t="s">
        <v>328</v>
      </c>
      <c r="D1630" s="109" t="s">
        <v>353</v>
      </c>
      <c r="E1630" s="67" t="str">
        <f>COLORES!A10</f>
        <v>Botella</v>
      </c>
      <c r="F1630" s="67" t="str">
        <f>COLORES!B10</f>
        <v>OSCURO</v>
      </c>
      <c r="G1630" s="90" t="s">
        <v>377</v>
      </c>
      <c r="H1630" s="100">
        <f>IFERROR(SUMIFS(MOVIMIENTOS_COMPLEMENTOS!$I$4:$I$803,MOVIMIENTOS_COMPLEMENTOS!$C$4:$C$803,A1630,MOVIMIENTOS_COMPLEMENTOS!$D$4:$D$803,B1630,MOVIMIENTOS_COMPLEMENTOS!$E$4:$E$803,C1630,MOVIMIENTOS_COMPLEMENTOS!$G$4:$G$803,E1630,MOVIMIENTOS_COMPLEMENTOS!$H$4:$H$803,G1630,MOVIMIENTOS_COMPLEMENTOS!$B$4:$B$803,"INGRESO")+SUMIFS(MOVIMIENTOS_COMPLEMENTOS!$I$4:$I$803,MOVIMIENTOS_COMPLEMENTOS!$C$4:$C$803,A1630,MOVIMIENTOS_COMPLEMENTOS!$D$4:$D$803,B1630,MOVIMIENTOS_COMPLEMENTOS!$E$4:$E$803,C1630,MOVIMIENTOS_COMPLEMENTOS!$G$4:$G$803,E1630,MOVIMIENTOS_COMPLEMENTOS!$H$4:$H$803,G1630,MOVIMIENTOS_COMPLEMENTOS!$B$4:$B$803,"DE CORTE")-SUMIFS(MOVIMIENTOS_COMPLEMENTOS!$I$4:$I$803,MOVIMIENTOS_COMPLEMENTOS!$C$4:$C$803,A1630,MOVIMIENTOS_COMPLEMENTOS!$D$4:$D$803,B1630,MOVIMIENTOS_COMPLEMENTOS!$E$4:$E$803,C1630,MOVIMIENTOS_COMPLEMENTOS!$G$4:$G$803,E1630,MOVIMIENTOS_COMPLEMENTOS!$H$4:$H$803,G1630,MOVIMIENTOS_COMPLEMENTOS!$B$4:$B$803,"SALIDA"),0)</f>
        <v>0</v>
      </c>
      <c r="I1630" s="102">
        <f t="array" ref="I1630">IFERROR(INDEX(PRECIOS_COMPLEMENTOS!$C$4:$F$17,MATCH(B1630&amp;"_"&amp;C1630,PRECIOS_COMPLEMENTOS!$H$4:$H$17,0),IF(OR(G1630="S",G1630="20cm"),1,IF(OR(G1630="M",G1630="25cm"),2,IF(OR(G1630="L",G1630="30cm"),3,IF(OR(G1630="XL",G1630="35cm"),4,0))))),0)</f>
        <v>0.3</v>
      </c>
      <c r="J1630" s="103">
        <f t="shared" si="1"/>
        <v>0</v>
      </c>
      <c r="K1630" s="104" t="str">
        <f>IF(H1630&lt;0,"ERROR",IF(H1630=0,"",IF(H1630&lt;CONFIG!$B$4,"CRÍTICO",IF(H1630&lt;CONFIG!$B$5,"BAJO","OK"))))</f>
        <v/>
      </c>
    </row>
    <row r="1631" ht="15.75" hidden="1" customHeight="1">
      <c r="A1631" s="90" t="str">
        <f>IF(CLIENTES!A6="","",CLIENTES!A6)</f>
        <v/>
      </c>
      <c r="B1631" s="90" t="s">
        <v>324</v>
      </c>
      <c r="C1631" s="91" t="s">
        <v>328</v>
      </c>
      <c r="D1631" s="109" t="s">
        <v>353</v>
      </c>
      <c r="E1631" s="67" t="str">
        <f>COLORES!A10</f>
        <v>Botella</v>
      </c>
      <c r="F1631" s="67" t="str">
        <f>COLORES!B10</f>
        <v>OSCURO</v>
      </c>
      <c r="G1631" s="90" t="s">
        <v>379</v>
      </c>
      <c r="H1631" s="100">
        <f>IFERROR(SUMIFS(MOVIMIENTOS_COMPLEMENTOS!$I$4:$I$803,MOVIMIENTOS_COMPLEMENTOS!$C$4:$C$803,A1631,MOVIMIENTOS_COMPLEMENTOS!$D$4:$D$803,B1631,MOVIMIENTOS_COMPLEMENTOS!$E$4:$E$803,C1631,MOVIMIENTOS_COMPLEMENTOS!$G$4:$G$803,E1631,MOVIMIENTOS_COMPLEMENTOS!$H$4:$H$803,G1631,MOVIMIENTOS_COMPLEMENTOS!$B$4:$B$803,"INGRESO")+SUMIFS(MOVIMIENTOS_COMPLEMENTOS!$I$4:$I$803,MOVIMIENTOS_COMPLEMENTOS!$C$4:$C$803,A1631,MOVIMIENTOS_COMPLEMENTOS!$D$4:$D$803,B1631,MOVIMIENTOS_COMPLEMENTOS!$E$4:$E$803,C1631,MOVIMIENTOS_COMPLEMENTOS!$G$4:$G$803,E1631,MOVIMIENTOS_COMPLEMENTOS!$H$4:$H$803,G1631,MOVIMIENTOS_COMPLEMENTOS!$B$4:$B$803,"DE CORTE")-SUMIFS(MOVIMIENTOS_COMPLEMENTOS!$I$4:$I$803,MOVIMIENTOS_COMPLEMENTOS!$C$4:$C$803,A1631,MOVIMIENTOS_COMPLEMENTOS!$D$4:$D$803,B1631,MOVIMIENTOS_COMPLEMENTOS!$E$4:$E$803,C1631,MOVIMIENTOS_COMPLEMENTOS!$G$4:$G$803,E1631,MOVIMIENTOS_COMPLEMENTOS!$H$4:$H$803,G1631,MOVIMIENTOS_COMPLEMENTOS!$B$4:$B$803,"SALIDA"),0)</f>
        <v>0</v>
      </c>
      <c r="I1631" s="102">
        <f t="array" ref="I1631">IFERROR(INDEX(PRECIOS_COMPLEMENTOS!$C$4:$F$17,MATCH(B1631&amp;"_"&amp;C1631,PRECIOS_COMPLEMENTOS!$H$4:$H$17,0),IF(OR(G1631="S",G1631="20cm"),1,IF(OR(G1631="M",G1631="25cm"),2,IF(OR(G1631="L",G1631="30cm"),3,IF(OR(G1631="XL",G1631="35cm"),4,0))))),0)</f>
        <v>0.3</v>
      </c>
      <c r="J1631" s="103">
        <f t="shared" si="1"/>
        <v>0</v>
      </c>
      <c r="K1631" s="104" t="str">
        <f>IF(H1631&lt;0,"ERROR",IF(H1631=0,"",IF(H1631&lt;CONFIG!$B$4,"CRÍTICO",IF(H1631&lt;CONFIG!$B$5,"BAJO","OK"))))</f>
        <v/>
      </c>
    </row>
    <row r="1632" ht="15.75" hidden="1" customHeight="1">
      <c r="A1632" s="90" t="str">
        <f>IF(CLIENTES!A6="","",CLIENTES!A6)</f>
        <v/>
      </c>
      <c r="B1632" s="90" t="s">
        <v>324</v>
      </c>
      <c r="C1632" s="91" t="s">
        <v>328</v>
      </c>
      <c r="D1632" s="109" t="s">
        <v>353</v>
      </c>
      <c r="E1632" s="67" t="str">
        <f>COLORES!A11</f>
        <v>Pacay</v>
      </c>
      <c r="F1632" s="67" t="str">
        <f>COLORES!B11</f>
        <v>CLARO</v>
      </c>
      <c r="G1632" s="90" t="s">
        <v>378</v>
      </c>
      <c r="H1632" s="100">
        <f>IFERROR(SUMIFS(MOVIMIENTOS_COMPLEMENTOS!$I$4:$I$803,MOVIMIENTOS_COMPLEMENTOS!$C$4:$C$803,A1632,MOVIMIENTOS_COMPLEMENTOS!$D$4:$D$803,B1632,MOVIMIENTOS_COMPLEMENTOS!$E$4:$E$803,C1632,MOVIMIENTOS_COMPLEMENTOS!$G$4:$G$803,E1632,MOVIMIENTOS_COMPLEMENTOS!$H$4:$H$803,G1632,MOVIMIENTOS_COMPLEMENTOS!$B$4:$B$803,"INGRESO")+SUMIFS(MOVIMIENTOS_COMPLEMENTOS!$I$4:$I$803,MOVIMIENTOS_COMPLEMENTOS!$C$4:$C$803,A1632,MOVIMIENTOS_COMPLEMENTOS!$D$4:$D$803,B1632,MOVIMIENTOS_COMPLEMENTOS!$E$4:$E$803,C1632,MOVIMIENTOS_COMPLEMENTOS!$G$4:$G$803,E1632,MOVIMIENTOS_COMPLEMENTOS!$H$4:$H$803,G1632,MOVIMIENTOS_COMPLEMENTOS!$B$4:$B$803,"DE CORTE")-SUMIFS(MOVIMIENTOS_COMPLEMENTOS!$I$4:$I$803,MOVIMIENTOS_COMPLEMENTOS!$C$4:$C$803,A1632,MOVIMIENTOS_COMPLEMENTOS!$D$4:$D$803,B1632,MOVIMIENTOS_COMPLEMENTOS!$E$4:$E$803,C1632,MOVIMIENTOS_COMPLEMENTOS!$G$4:$G$803,E1632,MOVIMIENTOS_COMPLEMENTOS!$H$4:$H$803,G1632,MOVIMIENTOS_COMPLEMENTOS!$B$4:$B$803,"SALIDA"),0)</f>
        <v>0</v>
      </c>
      <c r="I1632" s="102">
        <f t="array" ref="I1632">IFERROR(INDEX(PRECIOS_COMPLEMENTOS!$C$4:$F$17,MATCH(B1632&amp;"_"&amp;C1632,PRECIOS_COMPLEMENTOS!$H$4:$H$17,0),IF(OR(G1632="S",G1632="20cm"),1,IF(OR(G1632="M",G1632="25cm"),2,IF(OR(G1632="L",G1632="30cm"),3,IF(OR(G1632="XL",G1632="35cm"),4,0))))),0)</f>
        <v>0.3</v>
      </c>
      <c r="J1632" s="103">
        <f t="shared" si="1"/>
        <v>0</v>
      </c>
      <c r="K1632" s="104" t="str">
        <f>IF(H1632&lt;0,"ERROR",IF(H1632=0,"",IF(H1632&lt;CONFIG!$B$4,"CRÍTICO",IF(H1632&lt;CONFIG!$B$5,"BAJO","OK"))))</f>
        <v/>
      </c>
    </row>
    <row r="1633" ht="15.75" hidden="1" customHeight="1">
      <c r="A1633" s="90" t="str">
        <f>IF(CLIENTES!A6="","",CLIENTES!A6)</f>
        <v/>
      </c>
      <c r="B1633" s="90" t="s">
        <v>324</v>
      </c>
      <c r="C1633" s="91" t="s">
        <v>328</v>
      </c>
      <c r="D1633" s="109" t="s">
        <v>353</v>
      </c>
      <c r="E1633" s="67" t="str">
        <f>COLORES!A11</f>
        <v>Pacay</v>
      </c>
      <c r="F1633" s="67" t="str">
        <f>COLORES!B11</f>
        <v>CLARO</v>
      </c>
      <c r="G1633" s="90" t="s">
        <v>376</v>
      </c>
      <c r="H1633" s="100">
        <f>IFERROR(SUMIFS(MOVIMIENTOS_COMPLEMENTOS!$I$4:$I$803,MOVIMIENTOS_COMPLEMENTOS!$C$4:$C$803,A1633,MOVIMIENTOS_COMPLEMENTOS!$D$4:$D$803,B1633,MOVIMIENTOS_COMPLEMENTOS!$E$4:$E$803,C1633,MOVIMIENTOS_COMPLEMENTOS!$G$4:$G$803,E1633,MOVIMIENTOS_COMPLEMENTOS!$H$4:$H$803,G1633,MOVIMIENTOS_COMPLEMENTOS!$B$4:$B$803,"INGRESO")+SUMIFS(MOVIMIENTOS_COMPLEMENTOS!$I$4:$I$803,MOVIMIENTOS_COMPLEMENTOS!$C$4:$C$803,A1633,MOVIMIENTOS_COMPLEMENTOS!$D$4:$D$803,B1633,MOVIMIENTOS_COMPLEMENTOS!$E$4:$E$803,C1633,MOVIMIENTOS_COMPLEMENTOS!$G$4:$G$803,E1633,MOVIMIENTOS_COMPLEMENTOS!$H$4:$H$803,G1633,MOVIMIENTOS_COMPLEMENTOS!$B$4:$B$803,"DE CORTE")-SUMIFS(MOVIMIENTOS_COMPLEMENTOS!$I$4:$I$803,MOVIMIENTOS_COMPLEMENTOS!$C$4:$C$803,A1633,MOVIMIENTOS_COMPLEMENTOS!$D$4:$D$803,B1633,MOVIMIENTOS_COMPLEMENTOS!$E$4:$E$803,C1633,MOVIMIENTOS_COMPLEMENTOS!$G$4:$G$803,E1633,MOVIMIENTOS_COMPLEMENTOS!$H$4:$H$803,G1633,MOVIMIENTOS_COMPLEMENTOS!$B$4:$B$803,"SALIDA"),0)</f>
        <v>0</v>
      </c>
      <c r="I1633" s="102">
        <f t="array" ref="I1633">IFERROR(INDEX(PRECIOS_COMPLEMENTOS!$C$4:$F$17,MATCH(B1633&amp;"_"&amp;C1633,PRECIOS_COMPLEMENTOS!$H$4:$H$17,0),IF(OR(G1633="S",G1633="20cm"),1,IF(OR(G1633="M",G1633="25cm"),2,IF(OR(G1633="L",G1633="30cm"),3,IF(OR(G1633="XL",G1633="35cm"),4,0))))),0)</f>
        <v>0.3</v>
      </c>
      <c r="J1633" s="103">
        <f t="shared" si="1"/>
        <v>0</v>
      </c>
      <c r="K1633" s="104" t="str">
        <f>IF(H1633&lt;0,"ERROR",IF(H1633=0,"",IF(H1633&lt;CONFIG!$B$4,"CRÍTICO",IF(H1633&lt;CONFIG!$B$5,"BAJO","OK"))))</f>
        <v/>
      </c>
    </row>
    <row r="1634" ht="15.75" hidden="1" customHeight="1">
      <c r="A1634" s="90" t="str">
        <f>IF(CLIENTES!A6="","",CLIENTES!A6)</f>
        <v/>
      </c>
      <c r="B1634" s="90" t="s">
        <v>324</v>
      </c>
      <c r="C1634" s="91" t="s">
        <v>328</v>
      </c>
      <c r="D1634" s="109" t="s">
        <v>353</v>
      </c>
      <c r="E1634" s="67" t="str">
        <f>COLORES!A11</f>
        <v>Pacay</v>
      </c>
      <c r="F1634" s="67" t="str">
        <f>COLORES!B11</f>
        <v>CLARO</v>
      </c>
      <c r="G1634" s="90" t="s">
        <v>377</v>
      </c>
      <c r="H1634" s="100">
        <f>IFERROR(SUMIFS(MOVIMIENTOS_COMPLEMENTOS!$I$4:$I$803,MOVIMIENTOS_COMPLEMENTOS!$C$4:$C$803,A1634,MOVIMIENTOS_COMPLEMENTOS!$D$4:$D$803,B1634,MOVIMIENTOS_COMPLEMENTOS!$E$4:$E$803,C1634,MOVIMIENTOS_COMPLEMENTOS!$G$4:$G$803,E1634,MOVIMIENTOS_COMPLEMENTOS!$H$4:$H$803,G1634,MOVIMIENTOS_COMPLEMENTOS!$B$4:$B$803,"INGRESO")+SUMIFS(MOVIMIENTOS_COMPLEMENTOS!$I$4:$I$803,MOVIMIENTOS_COMPLEMENTOS!$C$4:$C$803,A1634,MOVIMIENTOS_COMPLEMENTOS!$D$4:$D$803,B1634,MOVIMIENTOS_COMPLEMENTOS!$E$4:$E$803,C1634,MOVIMIENTOS_COMPLEMENTOS!$G$4:$G$803,E1634,MOVIMIENTOS_COMPLEMENTOS!$H$4:$H$803,G1634,MOVIMIENTOS_COMPLEMENTOS!$B$4:$B$803,"DE CORTE")-SUMIFS(MOVIMIENTOS_COMPLEMENTOS!$I$4:$I$803,MOVIMIENTOS_COMPLEMENTOS!$C$4:$C$803,A1634,MOVIMIENTOS_COMPLEMENTOS!$D$4:$D$803,B1634,MOVIMIENTOS_COMPLEMENTOS!$E$4:$E$803,C1634,MOVIMIENTOS_COMPLEMENTOS!$G$4:$G$803,E1634,MOVIMIENTOS_COMPLEMENTOS!$H$4:$H$803,G1634,MOVIMIENTOS_COMPLEMENTOS!$B$4:$B$803,"SALIDA"),0)</f>
        <v>0</v>
      </c>
      <c r="I1634" s="102">
        <f t="array" ref="I1634">IFERROR(INDEX(PRECIOS_COMPLEMENTOS!$C$4:$F$17,MATCH(B1634&amp;"_"&amp;C1634,PRECIOS_COMPLEMENTOS!$H$4:$H$17,0),IF(OR(G1634="S",G1634="20cm"),1,IF(OR(G1634="M",G1634="25cm"),2,IF(OR(G1634="L",G1634="30cm"),3,IF(OR(G1634="XL",G1634="35cm"),4,0))))),0)</f>
        <v>0.3</v>
      </c>
      <c r="J1634" s="103">
        <f t="shared" si="1"/>
        <v>0</v>
      </c>
      <c r="K1634" s="104" t="str">
        <f>IF(H1634&lt;0,"ERROR",IF(H1634=0,"",IF(H1634&lt;CONFIG!$B$4,"CRÍTICO",IF(H1634&lt;CONFIG!$B$5,"BAJO","OK"))))</f>
        <v/>
      </c>
    </row>
    <row r="1635" ht="15.75" hidden="1" customHeight="1">
      <c r="A1635" s="90" t="str">
        <f>IF(CLIENTES!A6="","",CLIENTES!A6)</f>
        <v/>
      </c>
      <c r="B1635" s="90" t="s">
        <v>324</v>
      </c>
      <c r="C1635" s="91" t="s">
        <v>328</v>
      </c>
      <c r="D1635" s="109" t="s">
        <v>353</v>
      </c>
      <c r="E1635" s="67" t="str">
        <f>COLORES!A11</f>
        <v>Pacay</v>
      </c>
      <c r="F1635" s="67" t="str">
        <f>COLORES!B11</f>
        <v>CLARO</v>
      </c>
      <c r="G1635" s="90" t="s">
        <v>379</v>
      </c>
      <c r="H1635" s="100">
        <f>IFERROR(SUMIFS(MOVIMIENTOS_COMPLEMENTOS!$I$4:$I$803,MOVIMIENTOS_COMPLEMENTOS!$C$4:$C$803,A1635,MOVIMIENTOS_COMPLEMENTOS!$D$4:$D$803,B1635,MOVIMIENTOS_COMPLEMENTOS!$E$4:$E$803,C1635,MOVIMIENTOS_COMPLEMENTOS!$G$4:$G$803,E1635,MOVIMIENTOS_COMPLEMENTOS!$H$4:$H$803,G1635,MOVIMIENTOS_COMPLEMENTOS!$B$4:$B$803,"INGRESO")+SUMIFS(MOVIMIENTOS_COMPLEMENTOS!$I$4:$I$803,MOVIMIENTOS_COMPLEMENTOS!$C$4:$C$803,A1635,MOVIMIENTOS_COMPLEMENTOS!$D$4:$D$803,B1635,MOVIMIENTOS_COMPLEMENTOS!$E$4:$E$803,C1635,MOVIMIENTOS_COMPLEMENTOS!$G$4:$G$803,E1635,MOVIMIENTOS_COMPLEMENTOS!$H$4:$H$803,G1635,MOVIMIENTOS_COMPLEMENTOS!$B$4:$B$803,"DE CORTE")-SUMIFS(MOVIMIENTOS_COMPLEMENTOS!$I$4:$I$803,MOVIMIENTOS_COMPLEMENTOS!$C$4:$C$803,A1635,MOVIMIENTOS_COMPLEMENTOS!$D$4:$D$803,B1635,MOVIMIENTOS_COMPLEMENTOS!$E$4:$E$803,C1635,MOVIMIENTOS_COMPLEMENTOS!$G$4:$G$803,E1635,MOVIMIENTOS_COMPLEMENTOS!$H$4:$H$803,G1635,MOVIMIENTOS_COMPLEMENTOS!$B$4:$B$803,"SALIDA"),0)</f>
        <v>0</v>
      </c>
      <c r="I1635" s="102">
        <f t="array" ref="I1635">IFERROR(INDEX(PRECIOS_COMPLEMENTOS!$C$4:$F$17,MATCH(B1635&amp;"_"&amp;C1635,PRECIOS_COMPLEMENTOS!$H$4:$H$17,0),IF(OR(G1635="S",G1635="20cm"),1,IF(OR(G1635="M",G1635="25cm"),2,IF(OR(G1635="L",G1635="30cm"),3,IF(OR(G1635="XL",G1635="35cm"),4,0))))),0)</f>
        <v>0.3</v>
      </c>
      <c r="J1635" s="103">
        <f t="shared" si="1"/>
        <v>0</v>
      </c>
      <c r="K1635" s="104" t="str">
        <f>IF(H1635&lt;0,"ERROR",IF(H1635=0,"",IF(H1635&lt;CONFIG!$B$4,"CRÍTICO",IF(H1635&lt;CONFIG!$B$5,"BAJO","OK"))))</f>
        <v/>
      </c>
    </row>
    <row r="1636" ht="15.75" hidden="1" customHeight="1">
      <c r="A1636" s="90" t="str">
        <f>IF(CLIENTES!A6="","",CLIENTES!A6)</f>
        <v/>
      </c>
      <c r="B1636" s="90" t="s">
        <v>324</v>
      </c>
      <c r="C1636" s="91" t="s">
        <v>328</v>
      </c>
      <c r="D1636" s="109" t="s">
        <v>353</v>
      </c>
      <c r="E1636" s="67" t="str">
        <f>COLORES!A12</f>
        <v>Cemento</v>
      </c>
      <c r="F1636" s="67" t="str">
        <f>COLORES!B12</f>
        <v>CLARO</v>
      </c>
      <c r="G1636" s="90" t="s">
        <v>378</v>
      </c>
      <c r="H1636" s="100">
        <f>IFERROR(SUMIFS(MOVIMIENTOS_COMPLEMENTOS!$I$4:$I$803,MOVIMIENTOS_COMPLEMENTOS!$C$4:$C$803,A1636,MOVIMIENTOS_COMPLEMENTOS!$D$4:$D$803,B1636,MOVIMIENTOS_COMPLEMENTOS!$E$4:$E$803,C1636,MOVIMIENTOS_COMPLEMENTOS!$G$4:$G$803,E1636,MOVIMIENTOS_COMPLEMENTOS!$H$4:$H$803,G1636,MOVIMIENTOS_COMPLEMENTOS!$B$4:$B$803,"INGRESO")+SUMIFS(MOVIMIENTOS_COMPLEMENTOS!$I$4:$I$803,MOVIMIENTOS_COMPLEMENTOS!$C$4:$C$803,A1636,MOVIMIENTOS_COMPLEMENTOS!$D$4:$D$803,B1636,MOVIMIENTOS_COMPLEMENTOS!$E$4:$E$803,C1636,MOVIMIENTOS_COMPLEMENTOS!$G$4:$G$803,E1636,MOVIMIENTOS_COMPLEMENTOS!$H$4:$H$803,G1636,MOVIMIENTOS_COMPLEMENTOS!$B$4:$B$803,"DE CORTE")-SUMIFS(MOVIMIENTOS_COMPLEMENTOS!$I$4:$I$803,MOVIMIENTOS_COMPLEMENTOS!$C$4:$C$803,A1636,MOVIMIENTOS_COMPLEMENTOS!$D$4:$D$803,B1636,MOVIMIENTOS_COMPLEMENTOS!$E$4:$E$803,C1636,MOVIMIENTOS_COMPLEMENTOS!$G$4:$G$803,E1636,MOVIMIENTOS_COMPLEMENTOS!$H$4:$H$803,G1636,MOVIMIENTOS_COMPLEMENTOS!$B$4:$B$803,"SALIDA"),0)</f>
        <v>0</v>
      </c>
      <c r="I1636" s="102">
        <f t="array" ref="I1636">IFERROR(INDEX(PRECIOS_COMPLEMENTOS!$C$4:$F$17,MATCH(B1636&amp;"_"&amp;C1636,PRECIOS_COMPLEMENTOS!$H$4:$H$17,0),IF(OR(G1636="S",G1636="20cm"),1,IF(OR(G1636="M",G1636="25cm"),2,IF(OR(G1636="L",G1636="30cm"),3,IF(OR(G1636="XL",G1636="35cm"),4,0))))),0)</f>
        <v>0.3</v>
      </c>
      <c r="J1636" s="103">
        <f t="shared" si="1"/>
        <v>0</v>
      </c>
      <c r="K1636" s="104" t="str">
        <f>IF(H1636&lt;0,"ERROR",IF(H1636=0,"",IF(H1636&lt;CONFIG!$B$4,"CRÍTICO",IF(H1636&lt;CONFIG!$B$5,"BAJO","OK"))))</f>
        <v/>
      </c>
    </row>
    <row r="1637" ht="15.75" hidden="1" customHeight="1">
      <c r="A1637" s="90" t="str">
        <f>IF(CLIENTES!A6="","",CLIENTES!A6)</f>
        <v/>
      </c>
      <c r="B1637" s="90" t="s">
        <v>324</v>
      </c>
      <c r="C1637" s="91" t="s">
        <v>328</v>
      </c>
      <c r="D1637" s="109" t="s">
        <v>353</v>
      </c>
      <c r="E1637" s="67" t="str">
        <f>COLORES!A12</f>
        <v>Cemento</v>
      </c>
      <c r="F1637" s="67" t="str">
        <f>COLORES!B12</f>
        <v>CLARO</v>
      </c>
      <c r="G1637" s="90" t="s">
        <v>376</v>
      </c>
      <c r="H1637" s="100">
        <f>IFERROR(SUMIFS(MOVIMIENTOS_COMPLEMENTOS!$I$4:$I$803,MOVIMIENTOS_COMPLEMENTOS!$C$4:$C$803,A1637,MOVIMIENTOS_COMPLEMENTOS!$D$4:$D$803,B1637,MOVIMIENTOS_COMPLEMENTOS!$E$4:$E$803,C1637,MOVIMIENTOS_COMPLEMENTOS!$G$4:$G$803,E1637,MOVIMIENTOS_COMPLEMENTOS!$H$4:$H$803,G1637,MOVIMIENTOS_COMPLEMENTOS!$B$4:$B$803,"INGRESO")+SUMIFS(MOVIMIENTOS_COMPLEMENTOS!$I$4:$I$803,MOVIMIENTOS_COMPLEMENTOS!$C$4:$C$803,A1637,MOVIMIENTOS_COMPLEMENTOS!$D$4:$D$803,B1637,MOVIMIENTOS_COMPLEMENTOS!$E$4:$E$803,C1637,MOVIMIENTOS_COMPLEMENTOS!$G$4:$G$803,E1637,MOVIMIENTOS_COMPLEMENTOS!$H$4:$H$803,G1637,MOVIMIENTOS_COMPLEMENTOS!$B$4:$B$803,"DE CORTE")-SUMIFS(MOVIMIENTOS_COMPLEMENTOS!$I$4:$I$803,MOVIMIENTOS_COMPLEMENTOS!$C$4:$C$803,A1637,MOVIMIENTOS_COMPLEMENTOS!$D$4:$D$803,B1637,MOVIMIENTOS_COMPLEMENTOS!$E$4:$E$803,C1637,MOVIMIENTOS_COMPLEMENTOS!$G$4:$G$803,E1637,MOVIMIENTOS_COMPLEMENTOS!$H$4:$H$803,G1637,MOVIMIENTOS_COMPLEMENTOS!$B$4:$B$803,"SALIDA"),0)</f>
        <v>0</v>
      </c>
      <c r="I1637" s="102">
        <f t="array" ref="I1637">IFERROR(INDEX(PRECIOS_COMPLEMENTOS!$C$4:$F$17,MATCH(B1637&amp;"_"&amp;C1637,PRECIOS_COMPLEMENTOS!$H$4:$H$17,0),IF(OR(G1637="S",G1637="20cm"),1,IF(OR(G1637="M",G1637="25cm"),2,IF(OR(G1637="L",G1637="30cm"),3,IF(OR(G1637="XL",G1637="35cm"),4,0))))),0)</f>
        <v>0.3</v>
      </c>
      <c r="J1637" s="103">
        <f t="shared" si="1"/>
        <v>0</v>
      </c>
      <c r="K1637" s="104" t="str">
        <f>IF(H1637&lt;0,"ERROR",IF(H1637=0,"",IF(H1637&lt;CONFIG!$B$4,"CRÍTICO",IF(H1637&lt;CONFIG!$B$5,"BAJO","OK"))))</f>
        <v/>
      </c>
    </row>
    <row r="1638" ht="15.75" hidden="1" customHeight="1">
      <c r="A1638" s="90" t="str">
        <f>IF(CLIENTES!A6="","",CLIENTES!A6)</f>
        <v/>
      </c>
      <c r="B1638" s="90" t="s">
        <v>324</v>
      </c>
      <c r="C1638" s="91" t="s">
        <v>328</v>
      </c>
      <c r="D1638" s="109" t="s">
        <v>353</v>
      </c>
      <c r="E1638" s="67" t="str">
        <f>COLORES!A12</f>
        <v>Cemento</v>
      </c>
      <c r="F1638" s="67" t="str">
        <f>COLORES!B12</f>
        <v>CLARO</v>
      </c>
      <c r="G1638" s="90" t="s">
        <v>377</v>
      </c>
      <c r="H1638" s="100">
        <f>IFERROR(SUMIFS(MOVIMIENTOS_COMPLEMENTOS!$I$4:$I$803,MOVIMIENTOS_COMPLEMENTOS!$C$4:$C$803,A1638,MOVIMIENTOS_COMPLEMENTOS!$D$4:$D$803,B1638,MOVIMIENTOS_COMPLEMENTOS!$E$4:$E$803,C1638,MOVIMIENTOS_COMPLEMENTOS!$G$4:$G$803,E1638,MOVIMIENTOS_COMPLEMENTOS!$H$4:$H$803,G1638,MOVIMIENTOS_COMPLEMENTOS!$B$4:$B$803,"INGRESO")+SUMIFS(MOVIMIENTOS_COMPLEMENTOS!$I$4:$I$803,MOVIMIENTOS_COMPLEMENTOS!$C$4:$C$803,A1638,MOVIMIENTOS_COMPLEMENTOS!$D$4:$D$803,B1638,MOVIMIENTOS_COMPLEMENTOS!$E$4:$E$803,C1638,MOVIMIENTOS_COMPLEMENTOS!$G$4:$G$803,E1638,MOVIMIENTOS_COMPLEMENTOS!$H$4:$H$803,G1638,MOVIMIENTOS_COMPLEMENTOS!$B$4:$B$803,"DE CORTE")-SUMIFS(MOVIMIENTOS_COMPLEMENTOS!$I$4:$I$803,MOVIMIENTOS_COMPLEMENTOS!$C$4:$C$803,A1638,MOVIMIENTOS_COMPLEMENTOS!$D$4:$D$803,B1638,MOVIMIENTOS_COMPLEMENTOS!$E$4:$E$803,C1638,MOVIMIENTOS_COMPLEMENTOS!$G$4:$G$803,E1638,MOVIMIENTOS_COMPLEMENTOS!$H$4:$H$803,G1638,MOVIMIENTOS_COMPLEMENTOS!$B$4:$B$803,"SALIDA"),0)</f>
        <v>0</v>
      </c>
      <c r="I1638" s="102">
        <f t="array" ref="I1638">IFERROR(INDEX(PRECIOS_COMPLEMENTOS!$C$4:$F$17,MATCH(B1638&amp;"_"&amp;C1638,PRECIOS_COMPLEMENTOS!$H$4:$H$17,0),IF(OR(G1638="S",G1638="20cm"),1,IF(OR(G1638="M",G1638="25cm"),2,IF(OR(G1638="L",G1638="30cm"),3,IF(OR(G1638="XL",G1638="35cm"),4,0))))),0)</f>
        <v>0.3</v>
      </c>
      <c r="J1638" s="103">
        <f t="shared" si="1"/>
        <v>0</v>
      </c>
      <c r="K1638" s="104" t="str">
        <f>IF(H1638&lt;0,"ERROR",IF(H1638=0,"",IF(H1638&lt;CONFIG!$B$4,"CRÍTICO",IF(H1638&lt;CONFIG!$B$5,"BAJO","OK"))))</f>
        <v/>
      </c>
    </row>
    <row r="1639" ht="15.75" hidden="1" customHeight="1">
      <c r="A1639" s="90" t="str">
        <f>IF(CLIENTES!A6="","",CLIENTES!A6)</f>
        <v/>
      </c>
      <c r="B1639" s="90" t="s">
        <v>324</v>
      </c>
      <c r="C1639" s="91" t="s">
        <v>328</v>
      </c>
      <c r="D1639" s="109" t="s">
        <v>353</v>
      </c>
      <c r="E1639" s="67" t="str">
        <f>COLORES!A12</f>
        <v>Cemento</v>
      </c>
      <c r="F1639" s="67" t="str">
        <f>COLORES!B12</f>
        <v>CLARO</v>
      </c>
      <c r="G1639" s="90" t="s">
        <v>379</v>
      </c>
      <c r="H1639" s="100">
        <f>IFERROR(SUMIFS(MOVIMIENTOS_COMPLEMENTOS!$I$4:$I$803,MOVIMIENTOS_COMPLEMENTOS!$C$4:$C$803,A1639,MOVIMIENTOS_COMPLEMENTOS!$D$4:$D$803,B1639,MOVIMIENTOS_COMPLEMENTOS!$E$4:$E$803,C1639,MOVIMIENTOS_COMPLEMENTOS!$G$4:$G$803,E1639,MOVIMIENTOS_COMPLEMENTOS!$H$4:$H$803,G1639,MOVIMIENTOS_COMPLEMENTOS!$B$4:$B$803,"INGRESO")+SUMIFS(MOVIMIENTOS_COMPLEMENTOS!$I$4:$I$803,MOVIMIENTOS_COMPLEMENTOS!$C$4:$C$803,A1639,MOVIMIENTOS_COMPLEMENTOS!$D$4:$D$803,B1639,MOVIMIENTOS_COMPLEMENTOS!$E$4:$E$803,C1639,MOVIMIENTOS_COMPLEMENTOS!$G$4:$G$803,E1639,MOVIMIENTOS_COMPLEMENTOS!$H$4:$H$803,G1639,MOVIMIENTOS_COMPLEMENTOS!$B$4:$B$803,"DE CORTE")-SUMIFS(MOVIMIENTOS_COMPLEMENTOS!$I$4:$I$803,MOVIMIENTOS_COMPLEMENTOS!$C$4:$C$803,A1639,MOVIMIENTOS_COMPLEMENTOS!$D$4:$D$803,B1639,MOVIMIENTOS_COMPLEMENTOS!$E$4:$E$803,C1639,MOVIMIENTOS_COMPLEMENTOS!$G$4:$G$803,E1639,MOVIMIENTOS_COMPLEMENTOS!$H$4:$H$803,G1639,MOVIMIENTOS_COMPLEMENTOS!$B$4:$B$803,"SALIDA"),0)</f>
        <v>0</v>
      </c>
      <c r="I1639" s="102">
        <f t="array" ref="I1639">IFERROR(INDEX(PRECIOS_COMPLEMENTOS!$C$4:$F$17,MATCH(B1639&amp;"_"&amp;C1639,PRECIOS_COMPLEMENTOS!$H$4:$H$17,0),IF(OR(G1639="S",G1639="20cm"),1,IF(OR(G1639="M",G1639="25cm"),2,IF(OR(G1639="L",G1639="30cm"),3,IF(OR(G1639="XL",G1639="35cm"),4,0))))),0)</f>
        <v>0.3</v>
      </c>
      <c r="J1639" s="103">
        <f t="shared" si="1"/>
        <v>0</v>
      </c>
      <c r="K1639" s="104" t="str">
        <f>IF(H1639&lt;0,"ERROR",IF(H1639=0,"",IF(H1639&lt;CONFIG!$B$4,"CRÍTICO",IF(H1639&lt;CONFIG!$B$5,"BAJO","OK"))))</f>
        <v/>
      </c>
    </row>
    <row r="1640" ht="15.75" hidden="1" customHeight="1">
      <c r="A1640" s="90" t="str">
        <f>IF(CLIENTES!A6="","",CLIENTES!A6)</f>
        <v/>
      </c>
      <c r="B1640" s="90" t="s">
        <v>324</v>
      </c>
      <c r="C1640" s="91" t="s">
        <v>328</v>
      </c>
      <c r="D1640" s="109" t="s">
        <v>353</v>
      </c>
      <c r="E1640" s="67" t="str">
        <f>COLORES!A13</f>
        <v>Camote</v>
      </c>
      <c r="F1640" s="67" t="str">
        <f>COLORES!B13</f>
        <v>CLARO</v>
      </c>
      <c r="G1640" s="90" t="s">
        <v>378</v>
      </c>
      <c r="H1640" s="100">
        <f>IFERROR(SUMIFS(MOVIMIENTOS_COMPLEMENTOS!$I$4:$I$803,MOVIMIENTOS_COMPLEMENTOS!$C$4:$C$803,A1640,MOVIMIENTOS_COMPLEMENTOS!$D$4:$D$803,B1640,MOVIMIENTOS_COMPLEMENTOS!$E$4:$E$803,C1640,MOVIMIENTOS_COMPLEMENTOS!$G$4:$G$803,E1640,MOVIMIENTOS_COMPLEMENTOS!$H$4:$H$803,G1640,MOVIMIENTOS_COMPLEMENTOS!$B$4:$B$803,"INGRESO")+SUMIFS(MOVIMIENTOS_COMPLEMENTOS!$I$4:$I$803,MOVIMIENTOS_COMPLEMENTOS!$C$4:$C$803,A1640,MOVIMIENTOS_COMPLEMENTOS!$D$4:$D$803,B1640,MOVIMIENTOS_COMPLEMENTOS!$E$4:$E$803,C1640,MOVIMIENTOS_COMPLEMENTOS!$G$4:$G$803,E1640,MOVIMIENTOS_COMPLEMENTOS!$H$4:$H$803,G1640,MOVIMIENTOS_COMPLEMENTOS!$B$4:$B$803,"DE CORTE")-SUMIFS(MOVIMIENTOS_COMPLEMENTOS!$I$4:$I$803,MOVIMIENTOS_COMPLEMENTOS!$C$4:$C$803,A1640,MOVIMIENTOS_COMPLEMENTOS!$D$4:$D$803,B1640,MOVIMIENTOS_COMPLEMENTOS!$E$4:$E$803,C1640,MOVIMIENTOS_COMPLEMENTOS!$G$4:$G$803,E1640,MOVIMIENTOS_COMPLEMENTOS!$H$4:$H$803,G1640,MOVIMIENTOS_COMPLEMENTOS!$B$4:$B$803,"SALIDA"),0)</f>
        <v>0</v>
      </c>
      <c r="I1640" s="102">
        <f t="array" ref="I1640">IFERROR(INDEX(PRECIOS_COMPLEMENTOS!$C$4:$F$17,MATCH(B1640&amp;"_"&amp;C1640,PRECIOS_COMPLEMENTOS!$H$4:$H$17,0),IF(OR(G1640="S",G1640="20cm"),1,IF(OR(G1640="M",G1640="25cm"),2,IF(OR(G1640="L",G1640="30cm"),3,IF(OR(G1640="XL",G1640="35cm"),4,0))))),0)</f>
        <v>0.3</v>
      </c>
      <c r="J1640" s="103">
        <f t="shared" si="1"/>
        <v>0</v>
      </c>
      <c r="K1640" s="104" t="str">
        <f>IF(H1640&lt;0,"ERROR",IF(H1640=0,"",IF(H1640&lt;CONFIG!$B$4,"CRÍTICO",IF(H1640&lt;CONFIG!$B$5,"BAJO","OK"))))</f>
        <v/>
      </c>
    </row>
    <row r="1641" ht="15.75" hidden="1" customHeight="1">
      <c r="A1641" s="90" t="str">
        <f>IF(CLIENTES!A6="","",CLIENTES!A6)</f>
        <v/>
      </c>
      <c r="B1641" s="90" t="s">
        <v>324</v>
      </c>
      <c r="C1641" s="91" t="s">
        <v>328</v>
      </c>
      <c r="D1641" s="109" t="s">
        <v>353</v>
      </c>
      <c r="E1641" s="67" t="str">
        <f>COLORES!A13</f>
        <v>Camote</v>
      </c>
      <c r="F1641" s="67" t="str">
        <f>COLORES!B13</f>
        <v>CLARO</v>
      </c>
      <c r="G1641" s="90" t="s">
        <v>376</v>
      </c>
      <c r="H1641" s="100">
        <f>IFERROR(SUMIFS(MOVIMIENTOS_COMPLEMENTOS!$I$4:$I$803,MOVIMIENTOS_COMPLEMENTOS!$C$4:$C$803,A1641,MOVIMIENTOS_COMPLEMENTOS!$D$4:$D$803,B1641,MOVIMIENTOS_COMPLEMENTOS!$E$4:$E$803,C1641,MOVIMIENTOS_COMPLEMENTOS!$G$4:$G$803,E1641,MOVIMIENTOS_COMPLEMENTOS!$H$4:$H$803,G1641,MOVIMIENTOS_COMPLEMENTOS!$B$4:$B$803,"INGRESO")+SUMIFS(MOVIMIENTOS_COMPLEMENTOS!$I$4:$I$803,MOVIMIENTOS_COMPLEMENTOS!$C$4:$C$803,A1641,MOVIMIENTOS_COMPLEMENTOS!$D$4:$D$803,B1641,MOVIMIENTOS_COMPLEMENTOS!$E$4:$E$803,C1641,MOVIMIENTOS_COMPLEMENTOS!$G$4:$G$803,E1641,MOVIMIENTOS_COMPLEMENTOS!$H$4:$H$803,G1641,MOVIMIENTOS_COMPLEMENTOS!$B$4:$B$803,"DE CORTE")-SUMIFS(MOVIMIENTOS_COMPLEMENTOS!$I$4:$I$803,MOVIMIENTOS_COMPLEMENTOS!$C$4:$C$803,A1641,MOVIMIENTOS_COMPLEMENTOS!$D$4:$D$803,B1641,MOVIMIENTOS_COMPLEMENTOS!$E$4:$E$803,C1641,MOVIMIENTOS_COMPLEMENTOS!$G$4:$G$803,E1641,MOVIMIENTOS_COMPLEMENTOS!$H$4:$H$803,G1641,MOVIMIENTOS_COMPLEMENTOS!$B$4:$B$803,"SALIDA"),0)</f>
        <v>0</v>
      </c>
      <c r="I1641" s="102">
        <f t="array" ref="I1641">IFERROR(INDEX(PRECIOS_COMPLEMENTOS!$C$4:$F$17,MATCH(B1641&amp;"_"&amp;C1641,PRECIOS_COMPLEMENTOS!$H$4:$H$17,0),IF(OR(G1641="S",G1641="20cm"),1,IF(OR(G1641="M",G1641="25cm"),2,IF(OR(G1641="L",G1641="30cm"),3,IF(OR(G1641="XL",G1641="35cm"),4,0))))),0)</f>
        <v>0.3</v>
      </c>
      <c r="J1641" s="103">
        <f t="shared" si="1"/>
        <v>0</v>
      </c>
      <c r="K1641" s="104" t="str">
        <f>IF(H1641&lt;0,"ERROR",IF(H1641=0,"",IF(H1641&lt;CONFIG!$B$4,"CRÍTICO",IF(H1641&lt;CONFIG!$B$5,"BAJO","OK"))))</f>
        <v/>
      </c>
    </row>
    <row r="1642" ht="15.75" hidden="1" customHeight="1">
      <c r="A1642" s="90" t="str">
        <f>IF(CLIENTES!A6="","",CLIENTES!A6)</f>
        <v/>
      </c>
      <c r="B1642" s="90" t="s">
        <v>324</v>
      </c>
      <c r="C1642" s="91" t="s">
        <v>328</v>
      </c>
      <c r="D1642" s="109" t="s">
        <v>353</v>
      </c>
      <c r="E1642" s="67" t="str">
        <f>COLORES!A13</f>
        <v>Camote</v>
      </c>
      <c r="F1642" s="67" t="str">
        <f>COLORES!B13</f>
        <v>CLARO</v>
      </c>
      <c r="G1642" s="90" t="s">
        <v>377</v>
      </c>
      <c r="H1642" s="100">
        <f>IFERROR(SUMIFS(MOVIMIENTOS_COMPLEMENTOS!$I$4:$I$803,MOVIMIENTOS_COMPLEMENTOS!$C$4:$C$803,A1642,MOVIMIENTOS_COMPLEMENTOS!$D$4:$D$803,B1642,MOVIMIENTOS_COMPLEMENTOS!$E$4:$E$803,C1642,MOVIMIENTOS_COMPLEMENTOS!$G$4:$G$803,E1642,MOVIMIENTOS_COMPLEMENTOS!$H$4:$H$803,G1642,MOVIMIENTOS_COMPLEMENTOS!$B$4:$B$803,"INGRESO")+SUMIFS(MOVIMIENTOS_COMPLEMENTOS!$I$4:$I$803,MOVIMIENTOS_COMPLEMENTOS!$C$4:$C$803,A1642,MOVIMIENTOS_COMPLEMENTOS!$D$4:$D$803,B1642,MOVIMIENTOS_COMPLEMENTOS!$E$4:$E$803,C1642,MOVIMIENTOS_COMPLEMENTOS!$G$4:$G$803,E1642,MOVIMIENTOS_COMPLEMENTOS!$H$4:$H$803,G1642,MOVIMIENTOS_COMPLEMENTOS!$B$4:$B$803,"DE CORTE")-SUMIFS(MOVIMIENTOS_COMPLEMENTOS!$I$4:$I$803,MOVIMIENTOS_COMPLEMENTOS!$C$4:$C$803,A1642,MOVIMIENTOS_COMPLEMENTOS!$D$4:$D$803,B1642,MOVIMIENTOS_COMPLEMENTOS!$E$4:$E$803,C1642,MOVIMIENTOS_COMPLEMENTOS!$G$4:$G$803,E1642,MOVIMIENTOS_COMPLEMENTOS!$H$4:$H$803,G1642,MOVIMIENTOS_COMPLEMENTOS!$B$4:$B$803,"SALIDA"),0)</f>
        <v>0</v>
      </c>
      <c r="I1642" s="102">
        <f t="array" ref="I1642">IFERROR(INDEX(PRECIOS_COMPLEMENTOS!$C$4:$F$17,MATCH(B1642&amp;"_"&amp;C1642,PRECIOS_COMPLEMENTOS!$H$4:$H$17,0),IF(OR(G1642="S",G1642="20cm"),1,IF(OR(G1642="M",G1642="25cm"),2,IF(OR(G1642="L",G1642="30cm"),3,IF(OR(G1642="XL",G1642="35cm"),4,0))))),0)</f>
        <v>0.3</v>
      </c>
      <c r="J1642" s="103">
        <f t="shared" si="1"/>
        <v>0</v>
      </c>
      <c r="K1642" s="104" t="str">
        <f>IF(H1642&lt;0,"ERROR",IF(H1642=0,"",IF(H1642&lt;CONFIG!$B$4,"CRÍTICO",IF(H1642&lt;CONFIG!$B$5,"BAJO","OK"))))</f>
        <v/>
      </c>
    </row>
    <row r="1643" ht="15.75" hidden="1" customHeight="1">
      <c r="A1643" s="90" t="str">
        <f>IF(CLIENTES!A6="","",CLIENTES!A6)</f>
        <v/>
      </c>
      <c r="B1643" s="90" t="s">
        <v>324</v>
      </c>
      <c r="C1643" s="91" t="s">
        <v>328</v>
      </c>
      <c r="D1643" s="109" t="s">
        <v>353</v>
      </c>
      <c r="E1643" s="67" t="str">
        <f>COLORES!A13</f>
        <v>Camote</v>
      </c>
      <c r="F1643" s="67" t="str">
        <f>COLORES!B13</f>
        <v>CLARO</v>
      </c>
      <c r="G1643" s="90" t="s">
        <v>379</v>
      </c>
      <c r="H1643" s="100">
        <f>IFERROR(SUMIFS(MOVIMIENTOS_COMPLEMENTOS!$I$4:$I$803,MOVIMIENTOS_COMPLEMENTOS!$C$4:$C$803,A1643,MOVIMIENTOS_COMPLEMENTOS!$D$4:$D$803,B1643,MOVIMIENTOS_COMPLEMENTOS!$E$4:$E$803,C1643,MOVIMIENTOS_COMPLEMENTOS!$G$4:$G$803,E1643,MOVIMIENTOS_COMPLEMENTOS!$H$4:$H$803,G1643,MOVIMIENTOS_COMPLEMENTOS!$B$4:$B$803,"INGRESO")+SUMIFS(MOVIMIENTOS_COMPLEMENTOS!$I$4:$I$803,MOVIMIENTOS_COMPLEMENTOS!$C$4:$C$803,A1643,MOVIMIENTOS_COMPLEMENTOS!$D$4:$D$803,B1643,MOVIMIENTOS_COMPLEMENTOS!$E$4:$E$803,C1643,MOVIMIENTOS_COMPLEMENTOS!$G$4:$G$803,E1643,MOVIMIENTOS_COMPLEMENTOS!$H$4:$H$803,G1643,MOVIMIENTOS_COMPLEMENTOS!$B$4:$B$803,"DE CORTE")-SUMIFS(MOVIMIENTOS_COMPLEMENTOS!$I$4:$I$803,MOVIMIENTOS_COMPLEMENTOS!$C$4:$C$803,A1643,MOVIMIENTOS_COMPLEMENTOS!$D$4:$D$803,B1643,MOVIMIENTOS_COMPLEMENTOS!$E$4:$E$803,C1643,MOVIMIENTOS_COMPLEMENTOS!$G$4:$G$803,E1643,MOVIMIENTOS_COMPLEMENTOS!$H$4:$H$803,G1643,MOVIMIENTOS_COMPLEMENTOS!$B$4:$B$803,"SALIDA"),0)</f>
        <v>0</v>
      </c>
      <c r="I1643" s="102">
        <f t="array" ref="I1643">IFERROR(INDEX(PRECIOS_COMPLEMENTOS!$C$4:$F$17,MATCH(B1643&amp;"_"&amp;C1643,PRECIOS_COMPLEMENTOS!$H$4:$H$17,0),IF(OR(G1643="S",G1643="20cm"),1,IF(OR(G1643="M",G1643="25cm"),2,IF(OR(G1643="L",G1643="30cm"),3,IF(OR(G1643="XL",G1643="35cm"),4,0))))),0)</f>
        <v>0.3</v>
      </c>
      <c r="J1643" s="103">
        <f t="shared" si="1"/>
        <v>0</v>
      </c>
      <c r="K1643" s="104" t="str">
        <f>IF(H1643&lt;0,"ERROR",IF(H1643=0,"",IF(H1643&lt;CONFIG!$B$4,"CRÍTICO",IF(H1643&lt;CONFIG!$B$5,"BAJO","OK"))))</f>
        <v/>
      </c>
    </row>
    <row r="1644" ht="15.75" hidden="1" customHeight="1">
      <c r="A1644" s="90" t="str">
        <f>IF(CLIENTES!A6="","",CLIENTES!A6)</f>
        <v/>
      </c>
      <c r="B1644" s="90" t="s">
        <v>324</v>
      </c>
      <c r="C1644" s="91" t="s">
        <v>328</v>
      </c>
      <c r="D1644" s="109" t="s">
        <v>353</v>
      </c>
      <c r="E1644" s="67" t="str">
        <f>COLORES!A14</f>
        <v>Denim</v>
      </c>
      <c r="F1644" s="67" t="str">
        <f>COLORES!B14</f>
        <v>CLARO</v>
      </c>
      <c r="G1644" s="90" t="s">
        <v>378</v>
      </c>
      <c r="H1644" s="100">
        <f>IFERROR(SUMIFS(MOVIMIENTOS_COMPLEMENTOS!$I$4:$I$803,MOVIMIENTOS_COMPLEMENTOS!$C$4:$C$803,A1644,MOVIMIENTOS_COMPLEMENTOS!$D$4:$D$803,B1644,MOVIMIENTOS_COMPLEMENTOS!$E$4:$E$803,C1644,MOVIMIENTOS_COMPLEMENTOS!$G$4:$G$803,E1644,MOVIMIENTOS_COMPLEMENTOS!$H$4:$H$803,G1644,MOVIMIENTOS_COMPLEMENTOS!$B$4:$B$803,"INGRESO")+SUMIFS(MOVIMIENTOS_COMPLEMENTOS!$I$4:$I$803,MOVIMIENTOS_COMPLEMENTOS!$C$4:$C$803,A1644,MOVIMIENTOS_COMPLEMENTOS!$D$4:$D$803,B1644,MOVIMIENTOS_COMPLEMENTOS!$E$4:$E$803,C1644,MOVIMIENTOS_COMPLEMENTOS!$G$4:$G$803,E1644,MOVIMIENTOS_COMPLEMENTOS!$H$4:$H$803,G1644,MOVIMIENTOS_COMPLEMENTOS!$B$4:$B$803,"DE CORTE")-SUMIFS(MOVIMIENTOS_COMPLEMENTOS!$I$4:$I$803,MOVIMIENTOS_COMPLEMENTOS!$C$4:$C$803,A1644,MOVIMIENTOS_COMPLEMENTOS!$D$4:$D$803,B1644,MOVIMIENTOS_COMPLEMENTOS!$E$4:$E$803,C1644,MOVIMIENTOS_COMPLEMENTOS!$G$4:$G$803,E1644,MOVIMIENTOS_COMPLEMENTOS!$H$4:$H$803,G1644,MOVIMIENTOS_COMPLEMENTOS!$B$4:$B$803,"SALIDA"),0)</f>
        <v>0</v>
      </c>
      <c r="I1644" s="102">
        <f t="array" ref="I1644">IFERROR(INDEX(PRECIOS_COMPLEMENTOS!$C$4:$F$17,MATCH(B1644&amp;"_"&amp;C1644,PRECIOS_COMPLEMENTOS!$H$4:$H$17,0),IF(OR(G1644="S",G1644="20cm"),1,IF(OR(G1644="M",G1644="25cm"),2,IF(OR(G1644="L",G1644="30cm"),3,IF(OR(G1644="XL",G1644="35cm"),4,0))))),0)</f>
        <v>0.3</v>
      </c>
      <c r="J1644" s="103">
        <f t="shared" si="1"/>
        <v>0</v>
      </c>
      <c r="K1644" s="104" t="str">
        <f>IF(H1644&lt;0,"ERROR",IF(H1644=0,"",IF(H1644&lt;CONFIG!$B$4,"CRÍTICO",IF(H1644&lt;CONFIG!$B$5,"BAJO","OK"))))</f>
        <v/>
      </c>
    </row>
    <row r="1645" ht="15.75" hidden="1" customHeight="1">
      <c r="A1645" s="90" t="str">
        <f>IF(CLIENTES!A6="","",CLIENTES!A6)</f>
        <v/>
      </c>
      <c r="B1645" s="90" t="s">
        <v>324</v>
      </c>
      <c r="C1645" s="91" t="s">
        <v>328</v>
      </c>
      <c r="D1645" s="109" t="s">
        <v>353</v>
      </c>
      <c r="E1645" s="67" t="str">
        <f>COLORES!A14</f>
        <v>Denim</v>
      </c>
      <c r="F1645" s="67" t="str">
        <f>COLORES!B14</f>
        <v>CLARO</v>
      </c>
      <c r="G1645" s="90" t="s">
        <v>376</v>
      </c>
      <c r="H1645" s="100">
        <f>IFERROR(SUMIFS(MOVIMIENTOS_COMPLEMENTOS!$I$4:$I$803,MOVIMIENTOS_COMPLEMENTOS!$C$4:$C$803,A1645,MOVIMIENTOS_COMPLEMENTOS!$D$4:$D$803,B1645,MOVIMIENTOS_COMPLEMENTOS!$E$4:$E$803,C1645,MOVIMIENTOS_COMPLEMENTOS!$G$4:$G$803,E1645,MOVIMIENTOS_COMPLEMENTOS!$H$4:$H$803,G1645,MOVIMIENTOS_COMPLEMENTOS!$B$4:$B$803,"INGRESO")+SUMIFS(MOVIMIENTOS_COMPLEMENTOS!$I$4:$I$803,MOVIMIENTOS_COMPLEMENTOS!$C$4:$C$803,A1645,MOVIMIENTOS_COMPLEMENTOS!$D$4:$D$803,B1645,MOVIMIENTOS_COMPLEMENTOS!$E$4:$E$803,C1645,MOVIMIENTOS_COMPLEMENTOS!$G$4:$G$803,E1645,MOVIMIENTOS_COMPLEMENTOS!$H$4:$H$803,G1645,MOVIMIENTOS_COMPLEMENTOS!$B$4:$B$803,"DE CORTE")-SUMIFS(MOVIMIENTOS_COMPLEMENTOS!$I$4:$I$803,MOVIMIENTOS_COMPLEMENTOS!$C$4:$C$803,A1645,MOVIMIENTOS_COMPLEMENTOS!$D$4:$D$803,B1645,MOVIMIENTOS_COMPLEMENTOS!$E$4:$E$803,C1645,MOVIMIENTOS_COMPLEMENTOS!$G$4:$G$803,E1645,MOVIMIENTOS_COMPLEMENTOS!$H$4:$H$803,G1645,MOVIMIENTOS_COMPLEMENTOS!$B$4:$B$803,"SALIDA"),0)</f>
        <v>0</v>
      </c>
      <c r="I1645" s="102">
        <f t="array" ref="I1645">IFERROR(INDEX(PRECIOS_COMPLEMENTOS!$C$4:$F$17,MATCH(B1645&amp;"_"&amp;C1645,PRECIOS_COMPLEMENTOS!$H$4:$H$17,0),IF(OR(G1645="S",G1645="20cm"),1,IF(OR(G1645="M",G1645="25cm"),2,IF(OR(G1645="L",G1645="30cm"),3,IF(OR(G1645="XL",G1645="35cm"),4,0))))),0)</f>
        <v>0.3</v>
      </c>
      <c r="J1645" s="103">
        <f t="shared" si="1"/>
        <v>0</v>
      </c>
      <c r="K1645" s="104" t="str">
        <f>IF(H1645&lt;0,"ERROR",IF(H1645=0,"",IF(H1645&lt;CONFIG!$B$4,"CRÍTICO",IF(H1645&lt;CONFIG!$B$5,"BAJO","OK"))))</f>
        <v/>
      </c>
    </row>
    <row r="1646" ht="15.75" hidden="1" customHeight="1">
      <c r="A1646" s="90" t="str">
        <f>IF(CLIENTES!A6="","",CLIENTES!A6)</f>
        <v/>
      </c>
      <c r="B1646" s="90" t="s">
        <v>324</v>
      </c>
      <c r="C1646" s="91" t="s">
        <v>328</v>
      </c>
      <c r="D1646" s="109" t="s">
        <v>353</v>
      </c>
      <c r="E1646" s="67" t="str">
        <f>COLORES!A14</f>
        <v>Denim</v>
      </c>
      <c r="F1646" s="67" t="str">
        <f>COLORES!B14</f>
        <v>CLARO</v>
      </c>
      <c r="G1646" s="90" t="s">
        <v>377</v>
      </c>
      <c r="H1646" s="100">
        <f>IFERROR(SUMIFS(MOVIMIENTOS_COMPLEMENTOS!$I$4:$I$803,MOVIMIENTOS_COMPLEMENTOS!$C$4:$C$803,A1646,MOVIMIENTOS_COMPLEMENTOS!$D$4:$D$803,B1646,MOVIMIENTOS_COMPLEMENTOS!$E$4:$E$803,C1646,MOVIMIENTOS_COMPLEMENTOS!$G$4:$G$803,E1646,MOVIMIENTOS_COMPLEMENTOS!$H$4:$H$803,G1646,MOVIMIENTOS_COMPLEMENTOS!$B$4:$B$803,"INGRESO")+SUMIFS(MOVIMIENTOS_COMPLEMENTOS!$I$4:$I$803,MOVIMIENTOS_COMPLEMENTOS!$C$4:$C$803,A1646,MOVIMIENTOS_COMPLEMENTOS!$D$4:$D$803,B1646,MOVIMIENTOS_COMPLEMENTOS!$E$4:$E$803,C1646,MOVIMIENTOS_COMPLEMENTOS!$G$4:$G$803,E1646,MOVIMIENTOS_COMPLEMENTOS!$H$4:$H$803,G1646,MOVIMIENTOS_COMPLEMENTOS!$B$4:$B$803,"DE CORTE")-SUMIFS(MOVIMIENTOS_COMPLEMENTOS!$I$4:$I$803,MOVIMIENTOS_COMPLEMENTOS!$C$4:$C$803,A1646,MOVIMIENTOS_COMPLEMENTOS!$D$4:$D$803,B1646,MOVIMIENTOS_COMPLEMENTOS!$E$4:$E$803,C1646,MOVIMIENTOS_COMPLEMENTOS!$G$4:$G$803,E1646,MOVIMIENTOS_COMPLEMENTOS!$H$4:$H$803,G1646,MOVIMIENTOS_COMPLEMENTOS!$B$4:$B$803,"SALIDA"),0)</f>
        <v>0</v>
      </c>
      <c r="I1646" s="102">
        <f t="array" ref="I1646">IFERROR(INDEX(PRECIOS_COMPLEMENTOS!$C$4:$F$17,MATCH(B1646&amp;"_"&amp;C1646,PRECIOS_COMPLEMENTOS!$H$4:$H$17,0),IF(OR(G1646="S",G1646="20cm"),1,IF(OR(G1646="M",G1646="25cm"),2,IF(OR(G1646="L",G1646="30cm"),3,IF(OR(G1646="XL",G1646="35cm"),4,0))))),0)</f>
        <v>0.3</v>
      </c>
      <c r="J1646" s="103">
        <f t="shared" si="1"/>
        <v>0</v>
      </c>
      <c r="K1646" s="104" t="str">
        <f>IF(H1646&lt;0,"ERROR",IF(H1646=0,"",IF(H1646&lt;CONFIG!$B$4,"CRÍTICO",IF(H1646&lt;CONFIG!$B$5,"BAJO","OK"))))</f>
        <v/>
      </c>
    </row>
    <row r="1647" ht="15.75" hidden="1" customHeight="1">
      <c r="A1647" s="90" t="str">
        <f>IF(CLIENTES!A6="","",CLIENTES!A6)</f>
        <v/>
      </c>
      <c r="B1647" s="90" t="s">
        <v>324</v>
      </c>
      <c r="C1647" s="91" t="s">
        <v>328</v>
      </c>
      <c r="D1647" s="109" t="s">
        <v>353</v>
      </c>
      <c r="E1647" s="67" t="str">
        <f>COLORES!A14</f>
        <v>Denim</v>
      </c>
      <c r="F1647" s="67" t="str">
        <f>COLORES!B14</f>
        <v>CLARO</v>
      </c>
      <c r="G1647" s="90" t="s">
        <v>379</v>
      </c>
      <c r="H1647" s="100">
        <f>IFERROR(SUMIFS(MOVIMIENTOS_COMPLEMENTOS!$I$4:$I$803,MOVIMIENTOS_COMPLEMENTOS!$C$4:$C$803,A1647,MOVIMIENTOS_COMPLEMENTOS!$D$4:$D$803,B1647,MOVIMIENTOS_COMPLEMENTOS!$E$4:$E$803,C1647,MOVIMIENTOS_COMPLEMENTOS!$G$4:$G$803,E1647,MOVIMIENTOS_COMPLEMENTOS!$H$4:$H$803,G1647,MOVIMIENTOS_COMPLEMENTOS!$B$4:$B$803,"INGRESO")+SUMIFS(MOVIMIENTOS_COMPLEMENTOS!$I$4:$I$803,MOVIMIENTOS_COMPLEMENTOS!$C$4:$C$803,A1647,MOVIMIENTOS_COMPLEMENTOS!$D$4:$D$803,B1647,MOVIMIENTOS_COMPLEMENTOS!$E$4:$E$803,C1647,MOVIMIENTOS_COMPLEMENTOS!$G$4:$G$803,E1647,MOVIMIENTOS_COMPLEMENTOS!$H$4:$H$803,G1647,MOVIMIENTOS_COMPLEMENTOS!$B$4:$B$803,"DE CORTE")-SUMIFS(MOVIMIENTOS_COMPLEMENTOS!$I$4:$I$803,MOVIMIENTOS_COMPLEMENTOS!$C$4:$C$803,A1647,MOVIMIENTOS_COMPLEMENTOS!$D$4:$D$803,B1647,MOVIMIENTOS_COMPLEMENTOS!$E$4:$E$803,C1647,MOVIMIENTOS_COMPLEMENTOS!$G$4:$G$803,E1647,MOVIMIENTOS_COMPLEMENTOS!$H$4:$H$803,G1647,MOVIMIENTOS_COMPLEMENTOS!$B$4:$B$803,"SALIDA"),0)</f>
        <v>0</v>
      </c>
      <c r="I1647" s="102">
        <f t="array" ref="I1647">IFERROR(INDEX(PRECIOS_COMPLEMENTOS!$C$4:$F$17,MATCH(B1647&amp;"_"&amp;C1647,PRECIOS_COMPLEMENTOS!$H$4:$H$17,0),IF(OR(G1647="S",G1647="20cm"),1,IF(OR(G1647="M",G1647="25cm"),2,IF(OR(G1647="L",G1647="30cm"),3,IF(OR(G1647="XL",G1647="35cm"),4,0))))),0)</f>
        <v>0.3</v>
      </c>
      <c r="J1647" s="103">
        <f t="shared" si="1"/>
        <v>0</v>
      </c>
      <c r="K1647" s="104" t="str">
        <f>IF(H1647&lt;0,"ERROR",IF(H1647=0,"",IF(H1647&lt;CONFIG!$B$4,"CRÍTICO",IF(H1647&lt;CONFIG!$B$5,"BAJO","OK"))))</f>
        <v/>
      </c>
    </row>
    <row r="1648" ht="15.75" hidden="1" customHeight="1">
      <c r="A1648" s="90" t="str">
        <f>IF(CLIENTES!A6="","",CLIENTES!A6)</f>
        <v/>
      </c>
      <c r="B1648" s="90" t="s">
        <v>324</v>
      </c>
      <c r="C1648" s="91" t="s">
        <v>328</v>
      </c>
      <c r="D1648" s="109" t="s">
        <v>353</v>
      </c>
      <c r="E1648" s="67" t="str">
        <f>COLORES!A15</f>
        <v>Plomo</v>
      </c>
      <c r="F1648" s="67" t="str">
        <f>COLORES!B15</f>
        <v>OSCURO</v>
      </c>
      <c r="G1648" s="90" t="s">
        <v>378</v>
      </c>
      <c r="H1648" s="100">
        <f>IFERROR(SUMIFS(MOVIMIENTOS_COMPLEMENTOS!$I$4:$I$803,MOVIMIENTOS_COMPLEMENTOS!$C$4:$C$803,A1648,MOVIMIENTOS_COMPLEMENTOS!$D$4:$D$803,B1648,MOVIMIENTOS_COMPLEMENTOS!$E$4:$E$803,C1648,MOVIMIENTOS_COMPLEMENTOS!$G$4:$G$803,E1648,MOVIMIENTOS_COMPLEMENTOS!$H$4:$H$803,G1648,MOVIMIENTOS_COMPLEMENTOS!$B$4:$B$803,"INGRESO")+SUMIFS(MOVIMIENTOS_COMPLEMENTOS!$I$4:$I$803,MOVIMIENTOS_COMPLEMENTOS!$C$4:$C$803,A1648,MOVIMIENTOS_COMPLEMENTOS!$D$4:$D$803,B1648,MOVIMIENTOS_COMPLEMENTOS!$E$4:$E$803,C1648,MOVIMIENTOS_COMPLEMENTOS!$G$4:$G$803,E1648,MOVIMIENTOS_COMPLEMENTOS!$H$4:$H$803,G1648,MOVIMIENTOS_COMPLEMENTOS!$B$4:$B$803,"DE CORTE")-SUMIFS(MOVIMIENTOS_COMPLEMENTOS!$I$4:$I$803,MOVIMIENTOS_COMPLEMENTOS!$C$4:$C$803,A1648,MOVIMIENTOS_COMPLEMENTOS!$D$4:$D$803,B1648,MOVIMIENTOS_COMPLEMENTOS!$E$4:$E$803,C1648,MOVIMIENTOS_COMPLEMENTOS!$G$4:$G$803,E1648,MOVIMIENTOS_COMPLEMENTOS!$H$4:$H$803,G1648,MOVIMIENTOS_COMPLEMENTOS!$B$4:$B$803,"SALIDA"),0)</f>
        <v>0</v>
      </c>
      <c r="I1648" s="102">
        <f t="array" ref="I1648">IFERROR(INDEX(PRECIOS_COMPLEMENTOS!$C$4:$F$17,MATCH(B1648&amp;"_"&amp;C1648,PRECIOS_COMPLEMENTOS!$H$4:$H$17,0),IF(OR(G1648="S",G1648="20cm"),1,IF(OR(G1648="M",G1648="25cm"),2,IF(OR(G1648="L",G1648="30cm"),3,IF(OR(G1648="XL",G1648="35cm"),4,0))))),0)</f>
        <v>0.3</v>
      </c>
      <c r="J1648" s="103">
        <f t="shared" si="1"/>
        <v>0</v>
      </c>
      <c r="K1648" s="104" t="str">
        <f>IF(H1648&lt;0,"ERROR",IF(H1648=0,"",IF(H1648&lt;CONFIG!$B$4,"CRÍTICO",IF(H1648&lt;CONFIG!$B$5,"BAJO","OK"))))</f>
        <v/>
      </c>
    </row>
    <row r="1649" ht="15.75" hidden="1" customHeight="1">
      <c r="A1649" s="90" t="str">
        <f>IF(CLIENTES!A6="","",CLIENTES!A6)</f>
        <v/>
      </c>
      <c r="B1649" s="90" t="s">
        <v>324</v>
      </c>
      <c r="C1649" s="91" t="s">
        <v>328</v>
      </c>
      <c r="D1649" s="109" t="s">
        <v>353</v>
      </c>
      <c r="E1649" s="67" t="str">
        <f>COLORES!A15</f>
        <v>Plomo</v>
      </c>
      <c r="F1649" s="67" t="str">
        <f>COLORES!B15</f>
        <v>OSCURO</v>
      </c>
      <c r="G1649" s="90" t="s">
        <v>376</v>
      </c>
      <c r="H1649" s="100">
        <f>IFERROR(SUMIFS(MOVIMIENTOS_COMPLEMENTOS!$I$4:$I$803,MOVIMIENTOS_COMPLEMENTOS!$C$4:$C$803,A1649,MOVIMIENTOS_COMPLEMENTOS!$D$4:$D$803,B1649,MOVIMIENTOS_COMPLEMENTOS!$E$4:$E$803,C1649,MOVIMIENTOS_COMPLEMENTOS!$G$4:$G$803,E1649,MOVIMIENTOS_COMPLEMENTOS!$H$4:$H$803,G1649,MOVIMIENTOS_COMPLEMENTOS!$B$4:$B$803,"INGRESO")+SUMIFS(MOVIMIENTOS_COMPLEMENTOS!$I$4:$I$803,MOVIMIENTOS_COMPLEMENTOS!$C$4:$C$803,A1649,MOVIMIENTOS_COMPLEMENTOS!$D$4:$D$803,B1649,MOVIMIENTOS_COMPLEMENTOS!$E$4:$E$803,C1649,MOVIMIENTOS_COMPLEMENTOS!$G$4:$G$803,E1649,MOVIMIENTOS_COMPLEMENTOS!$H$4:$H$803,G1649,MOVIMIENTOS_COMPLEMENTOS!$B$4:$B$803,"DE CORTE")-SUMIFS(MOVIMIENTOS_COMPLEMENTOS!$I$4:$I$803,MOVIMIENTOS_COMPLEMENTOS!$C$4:$C$803,A1649,MOVIMIENTOS_COMPLEMENTOS!$D$4:$D$803,B1649,MOVIMIENTOS_COMPLEMENTOS!$E$4:$E$803,C1649,MOVIMIENTOS_COMPLEMENTOS!$G$4:$G$803,E1649,MOVIMIENTOS_COMPLEMENTOS!$H$4:$H$803,G1649,MOVIMIENTOS_COMPLEMENTOS!$B$4:$B$803,"SALIDA"),0)</f>
        <v>0</v>
      </c>
      <c r="I1649" s="102">
        <f t="array" ref="I1649">IFERROR(INDEX(PRECIOS_COMPLEMENTOS!$C$4:$F$17,MATCH(B1649&amp;"_"&amp;C1649,PRECIOS_COMPLEMENTOS!$H$4:$H$17,0),IF(OR(G1649="S",G1649="20cm"),1,IF(OR(G1649="M",G1649="25cm"),2,IF(OR(G1649="L",G1649="30cm"),3,IF(OR(G1649="XL",G1649="35cm"),4,0))))),0)</f>
        <v>0.3</v>
      </c>
      <c r="J1649" s="103">
        <f t="shared" si="1"/>
        <v>0</v>
      </c>
      <c r="K1649" s="104" t="str">
        <f>IF(H1649&lt;0,"ERROR",IF(H1649=0,"",IF(H1649&lt;CONFIG!$B$4,"CRÍTICO",IF(H1649&lt;CONFIG!$B$5,"BAJO","OK"))))</f>
        <v/>
      </c>
    </row>
    <row r="1650" ht="15.75" hidden="1" customHeight="1">
      <c r="A1650" s="90" t="str">
        <f>IF(CLIENTES!A6="","",CLIENTES!A6)</f>
        <v/>
      </c>
      <c r="B1650" s="90" t="s">
        <v>324</v>
      </c>
      <c r="C1650" s="91" t="s">
        <v>328</v>
      </c>
      <c r="D1650" s="109" t="s">
        <v>353</v>
      </c>
      <c r="E1650" s="67" t="str">
        <f>COLORES!A15</f>
        <v>Plomo</v>
      </c>
      <c r="F1650" s="67" t="str">
        <f>COLORES!B15</f>
        <v>OSCURO</v>
      </c>
      <c r="G1650" s="90" t="s">
        <v>377</v>
      </c>
      <c r="H1650" s="100">
        <f>IFERROR(SUMIFS(MOVIMIENTOS_COMPLEMENTOS!$I$4:$I$803,MOVIMIENTOS_COMPLEMENTOS!$C$4:$C$803,A1650,MOVIMIENTOS_COMPLEMENTOS!$D$4:$D$803,B1650,MOVIMIENTOS_COMPLEMENTOS!$E$4:$E$803,C1650,MOVIMIENTOS_COMPLEMENTOS!$G$4:$G$803,E1650,MOVIMIENTOS_COMPLEMENTOS!$H$4:$H$803,G1650,MOVIMIENTOS_COMPLEMENTOS!$B$4:$B$803,"INGRESO")+SUMIFS(MOVIMIENTOS_COMPLEMENTOS!$I$4:$I$803,MOVIMIENTOS_COMPLEMENTOS!$C$4:$C$803,A1650,MOVIMIENTOS_COMPLEMENTOS!$D$4:$D$803,B1650,MOVIMIENTOS_COMPLEMENTOS!$E$4:$E$803,C1650,MOVIMIENTOS_COMPLEMENTOS!$G$4:$G$803,E1650,MOVIMIENTOS_COMPLEMENTOS!$H$4:$H$803,G1650,MOVIMIENTOS_COMPLEMENTOS!$B$4:$B$803,"DE CORTE")-SUMIFS(MOVIMIENTOS_COMPLEMENTOS!$I$4:$I$803,MOVIMIENTOS_COMPLEMENTOS!$C$4:$C$803,A1650,MOVIMIENTOS_COMPLEMENTOS!$D$4:$D$803,B1650,MOVIMIENTOS_COMPLEMENTOS!$E$4:$E$803,C1650,MOVIMIENTOS_COMPLEMENTOS!$G$4:$G$803,E1650,MOVIMIENTOS_COMPLEMENTOS!$H$4:$H$803,G1650,MOVIMIENTOS_COMPLEMENTOS!$B$4:$B$803,"SALIDA"),0)</f>
        <v>0</v>
      </c>
      <c r="I1650" s="102">
        <f t="array" ref="I1650">IFERROR(INDEX(PRECIOS_COMPLEMENTOS!$C$4:$F$17,MATCH(B1650&amp;"_"&amp;C1650,PRECIOS_COMPLEMENTOS!$H$4:$H$17,0),IF(OR(G1650="S",G1650="20cm"),1,IF(OR(G1650="M",G1650="25cm"),2,IF(OR(G1650="L",G1650="30cm"),3,IF(OR(G1650="XL",G1650="35cm"),4,0))))),0)</f>
        <v>0.3</v>
      </c>
      <c r="J1650" s="103">
        <f t="shared" si="1"/>
        <v>0</v>
      </c>
      <c r="K1650" s="104" t="str">
        <f>IF(H1650&lt;0,"ERROR",IF(H1650=0,"",IF(H1650&lt;CONFIG!$B$4,"CRÍTICO",IF(H1650&lt;CONFIG!$B$5,"BAJO","OK"))))</f>
        <v/>
      </c>
    </row>
    <row r="1651" ht="15.75" hidden="1" customHeight="1">
      <c r="A1651" s="90" t="str">
        <f>IF(CLIENTES!A6="","",CLIENTES!A6)</f>
        <v/>
      </c>
      <c r="B1651" s="90" t="s">
        <v>324</v>
      </c>
      <c r="C1651" s="91" t="s">
        <v>328</v>
      </c>
      <c r="D1651" s="109" t="s">
        <v>353</v>
      </c>
      <c r="E1651" s="67" t="str">
        <f>COLORES!A15</f>
        <v>Plomo</v>
      </c>
      <c r="F1651" s="67" t="str">
        <f>COLORES!B15</f>
        <v>OSCURO</v>
      </c>
      <c r="G1651" s="90" t="s">
        <v>379</v>
      </c>
      <c r="H1651" s="100">
        <f>IFERROR(SUMIFS(MOVIMIENTOS_COMPLEMENTOS!$I$4:$I$803,MOVIMIENTOS_COMPLEMENTOS!$C$4:$C$803,A1651,MOVIMIENTOS_COMPLEMENTOS!$D$4:$D$803,B1651,MOVIMIENTOS_COMPLEMENTOS!$E$4:$E$803,C1651,MOVIMIENTOS_COMPLEMENTOS!$G$4:$G$803,E1651,MOVIMIENTOS_COMPLEMENTOS!$H$4:$H$803,G1651,MOVIMIENTOS_COMPLEMENTOS!$B$4:$B$803,"INGRESO")+SUMIFS(MOVIMIENTOS_COMPLEMENTOS!$I$4:$I$803,MOVIMIENTOS_COMPLEMENTOS!$C$4:$C$803,A1651,MOVIMIENTOS_COMPLEMENTOS!$D$4:$D$803,B1651,MOVIMIENTOS_COMPLEMENTOS!$E$4:$E$803,C1651,MOVIMIENTOS_COMPLEMENTOS!$G$4:$G$803,E1651,MOVIMIENTOS_COMPLEMENTOS!$H$4:$H$803,G1651,MOVIMIENTOS_COMPLEMENTOS!$B$4:$B$803,"DE CORTE")-SUMIFS(MOVIMIENTOS_COMPLEMENTOS!$I$4:$I$803,MOVIMIENTOS_COMPLEMENTOS!$C$4:$C$803,A1651,MOVIMIENTOS_COMPLEMENTOS!$D$4:$D$803,B1651,MOVIMIENTOS_COMPLEMENTOS!$E$4:$E$803,C1651,MOVIMIENTOS_COMPLEMENTOS!$G$4:$G$803,E1651,MOVIMIENTOS_COMPLEMENTOS!$H$4:$H$803,G1651,MOVIMIENTOS_COMPLEMENTOS!$B$4:$B$803,"SALIDA"),0)</f>
        <v>0</v>
      </c>
      <c r="I1651" s="102">
        <f t="array" ref="I1651">IFERROR(INDEX(PRECIOS_COMPLEMENTOS!$C$4:$F$17,MATCH(B1651&amp;"_"&amp;C1651,PRECIOS_COMPLEMENTOS!$H$4:$H$17,0),IF(OR(G1651="S",G1651="20cm"),1,IF(OR(G1651="M",G1651="25cm"),2,IF(OR(G1651="L",G1651="30cm"),3,IF(OR(G1651="XL",G1651="35cm"),4,0))))),0)</f>
        <v>0.3</v>
      </c>
      <c r="J1651" s="103">
        <f t="shared" si="1"/>
        <v>0</v>
      </c>
      <c r="K1651" s="104" t="str">
        <f>IF(H1651&lt;0,"ERROR",IF(H1651=0,"",IF(H1651&lt;CONFIG!$B$4,"CRÍTICO",IF(H1651&lt;CONFIG!$B$5,"BAJO","OK"))))</f>
        <v/>
      </c>
    </row>
    <row r="1652" ht="15.75" hidden="1" customHeight="1">
      <c r="A1652" s="90" t="str">
        <f>IF(CLIENTES!A6="","",CLIENTES!A6)</f>
        <v/>
      </c>
      <c r="B1652" s="90" t="s">
        <v>324</v>
      </c>
      <c r="C1652" s="91" t="s">
        <v>328</v>
      </c>
      <c r="D1652" s="109" t="s">
        <v>353</v>
      </c>
      <c r="E1652" s="67" t="str">
        <f>COLORES!A16</f>
        <v>Topo</v>
      </c>
      <c r="F1652" s="67" t="str">
        <f>COLORES!B16</f>
        <v>CLARO</v>
      </c>
      <c r="G1652" s="90" t="s">
        <v>378</v>
      </c>
      <c r="H1652" s="100">
        <f>IFERROR(SUMIFS(MOVIMIENTOS_COMPLEMENTOS!$I$4:$I$803,MOVIMIENTOS_COMPLEMENTOS!$C$4:$C$803,A1652,MOVIMIENTOS_COMPLEMENTOS!$D$4:$D$803,B1652,MOVIMIENTOS_COMPLEMENTOS!$E$4:$E$803,C1652,MOVIMIENTOS_COMPLEMENTOS!$G$4:$G$803,E1652,MOVIMIENTOS_COMPLEMENTOS!$H$4:$H$803,G1652,MOVIMIENTOS_COMPLEMENTOS!$B$4:$B$803,"INGRESO")+SUMIFS(MOVIMIENTOS_COMPLEMENTOS!$I$4:$I$803,MOVIMIENTOS_COMPLEMENTOS!$C$4:$C$803,A1652,MOVIMIENTOS_COMPLEMENTOS!$D$4:$D$803,B1652,MOVIMIENTOS_COMPLEMENTOS!$E$4:$E$803,C1652,MOVIMIENTOS_COMPLEMENTOS!$G$4:$G$803,E1652,MOVIMIENTOS_COMPLEMENTOS!$H$4:$H$803,G1652,MOVIMIENTOS_COMPLEMENTOS!$B$4:$B$803,"DE CORTE")-SUMIFS(MOVIMIENTOS_COMPLEMENTOS!$I$4:$I$803,MOVIMIENTOS_COMPLEMENTOS!$C$4:$C$803,A1652,MOVIMIENTOS_COMPLEMENTOS!$D$4:$D$803,B1652,MOVIMIENTOS_COMPLEMENTOS!$E$4:$E$803,C1652,MOVIMIENTOS_COMPLEMENTOS!$G$4:$G$803,E1652,MOVIMIENTOS_COMPLEMENTOS!$H$4:$H$803,G1652,MOVIMIENTOS_COMPLEMENTOS!$B$4:$B$803,"SALIDA"),0)</f>
        <v>0</v>
      </c>
      <c r="I1652" s="102">
        <f t="array" ref="I1652">IFERROR(INDEX(PRECIOS_COMPLEMENTOS!$C$4:$F$17,MATCH(B1652&amp;"_"&amp;C1652,PRECIOS_COMPLEMENTOS!$H$4:$H$17,0),IF(OR(G1652="S",G1652="20cm"),1,IF(OR(G1652="M",G1652="25cm"),2,IF(OR(G1652="L",G1652="30cm"),3,IF(OR(G1652="XL",G1652="35cm"),4,0))))),0)</f>
        <v>0.3</v>
      </c>
      <c r="J1652" s="103">
        <f t="shared" si="1"/>
        <v>0</v>
      </c>
      <c r="K1652" s="104" t="str">
        <f>IF(H1652&lt;0,"ERROR",IF(H1652=0,"",IF(H1652&lt;CONFIG!$B$4,"CRÍTICO",IF(H1652&lt;CONFIG!$B$5,"BAJO","OK"))))</f>
        <v/>
      </c>
    </row>
    <row r="1653" ht="15.75" hidden="1" customHeight="1">
      <c r="A1653" s="90" t="str">
        <f>IF(CLIENTES!A6="","",CLIENTES!A6)</f>
        <v/>
      </c>
      <c r="B1653" s="90" t="s">
        <v>324</v>
      </c>
      <c r="C1653" s="91" t="s">
        <v>328</v>
      </c>
      <c r="D1653" s="109" t="s">
        <v>353</v>
      </c>
      <c r="E1653" s="67" t="str">
        <f>COLORES!A16</f>
        <v>Topo</v>
      </c>
      <c r="F1653" s="67" t="str">
        <f>COLORES!B16</f>
        <v>CLARO</v>
      </c>
      <c r="G1653" s="90" t="s">
        <v>376</v>
      </c>
      <c r="H1653" s="100">
        <f>IFERROR(SUMIFS(MOVIMIENTOS_COMPLEMENTOS!$I$4:$I$803,MOVIMIENTOS_COMPLEMENTOS!$C$4:$C$803,A1653,MOVIMIENTOS_COMPLEMENTOS!$D$4:$D$803,B1653,MOVIMIENTOS_COMPLEMENTOS!$E$4:$E$803,C1653,MOVIMIENTOS_COMPLEMENTOS!$G$4:$G$803,E1653,MOVIMIENTOS_COMPLEMENTOS!$H$4:$H$803,G1653,MOVIMIENTOS_COMPLEMENTOS!$B$4:$B$803,"INGRESO")+SUMIFS(MOVIMIENTOS_COMPLEMENTOS!$I$4:$I$803,MOVIMIENTOS_COMPLEMENTOS!$C$4:$C$803,A1653,MOVIMIENTOS_COMPLEMENTOS!$D$4:$D$803,B1653,MOVIMIENTOS_COMPLEMENTOS!$E$4:$E$803,C1653,MOVIMIENTOS_COMPLEMENTOS!$G$4:$G$803,E1653,MOVIMIENTOS_COMPLEMENTOS!$H$4:$H$803,G1653,MOVIMIENTOS_COMPLEMENTOS!$B$4:$B$803,"DE CORTE")-SUMIFS(MOVIMIENTOS_COMPLEMENTOS!$I$4:$I$803,MOVIMIENTOS_COMPLEMENTOS!$C$4:$C$803,A1653,MOVIMIENTOS_COMPLEMENTOS!$D$4:$D$803,B1653,MOVIMIENTOS_COMPLEMENTOS!$E$4:$E$803,C1653,MOVIMIENTOS_COMPLEMENTOS!$G$4:$G$803,E1653,MOVIMIENTOS_COMPLEMENTOS!$H$4:$H$803,G1653,MOVIMIENTOS_COMPLEMENTOS!$B$4:$B$803,"SALIDA"),0)</f>
        <v>0</v>
      </c>
      <c r="I1653" s="102">
        <f t="array" ref="I1653">IFERROR(INDEX(PRECIOS_COMPLEMENTOS!$C$4:$F$17,MATCH(B1653&amp;"_"&amp;C1653,PRECIOS_COMPLEMENTOS!$H$4:$H$17,0),IF(OR(G1653="S",G1653="20cm"),1,IF(OR(G1653="M",G1653="25cm"),2,IF(OR(G1653="L",G1653="30cm"),3,IF(OR(G1653="XL",G1653="35cm"),4,0))))),0)</f>
        <v>0.3</v>
      </c>
      <c r="J1653" s="103">
        <f t="shared" si="1"/>
        <v>0</v>
      </c>
      <c r="K1653" s="104" t="str">
        <f>IF(H1653&lt;0,"ERROR",IF(H1653=0,"",IF(H1653&lt;CONFIG!$B$4,"CRÍTICO",IF(H1653&lt;CONFIG!$B$5,"BAJO","OK"))))</f>
        <v/>
      </c>
    </row>
    <row r="1654" ht="15.75" hidden="1" customHeight="1">
      <c r="A1654" s="90" t="str">
        <f>IF(CLIENTES!A6="","",CLIENTES!A6)</f>
        <v/>
      </c>
      <c r="B1654" s="90" t="s">
        <v>324</v>
      </c>
      <c r="C1654" s="91" t="s">
        <v>328</v>
      </c>
      <c r="D1654" s="109" t="s">
        <v>353</v>
      </c>
      <c r="E1654" s="67" t="str">
        <f>COLORES!A16</f>
        <v>Topo</v>
      </c>
      <c r="F1654" s="67" t="str">
        <f>COLORES!B16</f>
        <v>CLARO</v>
      </c>
      <c r="G1654" s="90" t="s">
        <v>377</v>
      </c>
      <c r="H1654" s="100">
        <f>IFERROR(SUMIFS(MOVIMIENTOS_COMPLEMENTOS!$I$4:$I$803,MOVIMIENTOS_COMPLEMENTOS!$C$4:$C$803,A1654,MOVIMIENTOS_COMPLEMENTOS!$D$4:$D$803,B1654,MOVIMIENTOS_COMPLEMENTOS!$E$4:$E$803,C1654,MOVIMIENTOS_COMPLEMENTOS!$G$4:$G$803,E1654,MOVIMIENTOS_COMPLEMENTOS!$H$4:$H$803,G1654,MOVIMIENTOS_COMPLEMENTOS!$B$4:$B$803,"INGRESO")+SUMIFS(MOVIMIENTOS_COMPLEMENTOS!$I$4:$I$803,MOVIMIENTOS_COMPLEMENTOS!$C$4:$C$803,A1654,MOVIMIENTOS_COMPLEMENTOS!$D$4:$D$803,B1654,MOVIMIENTOS_COMPLEMENTOS!$E$4:$E$803,C1654,MOVIMIENTOS_COMPLEMENTOS!$G$4:$G$803,E1654,MOVIMIENTOS_COMPLEMENTOS!$H$4:$H$803,G1654,MOVIMIENTOS_COMPLEMENTOS!$B$4:$B$803,"DE CORTE")-SUMIFS(MOVIMIENTOS_COMPLEMENTOS!$I$4:$I$803,MOVIMIENTOS_COMPLEMENTOS!$C$4:$C$803,A1654,MOVIMIENTOS_COMPLEMENTOS!$D$4:$D$803,B1654,MOVIMIENTOS_COMPLEMENTOS!$E$4:$E$803,C1654,MOVIMIENTOS_COMPLEMENTOS!$G$4:$G$803,E1654,MOVIMIENTOS_COMPLEMENTOS!$H$4:$H$803,G1654,MOVIMIENTOS_COMPLEMENTOS!$B$4:$B$803,"SALIDA"),0)</f>
        <v>0</v>
      </c>
      <c r="I1654" s="102">
        <f t="array" ref="I1654">IFERROR(INDEX(PRECIOS_COMPLEMENTOS!$C$4:$F$17,MATCH(B1654&amp;"_"&amp;C1654,PRECIOS_COMPLEMENTOS!$H$4:$H$17,0),IF(OR(G1654="S",G1654="20cm"),1,IF(OR(G1654="M",G1654="25cm"),2,IF(OR(G1654="L",G1654="30cm"),3,IF(OR(G1654="XL",G1654="35cm"),4,0))))),0)</f>
        <v>0.3</v>
      </c>
      <c r="J1654" s="103">
        <f t="shared" si="1"/>
        <v>0</v>
      </c>
      <c r="K1654" s="104" t="str">
        <f>IF(H1654&lt;0,"ERROR",IF(H1654=0,"",IF(H1654&lt;CONFIG!$B$4,"CRÍTICO",IF(H1654&lt;CONFIG!$B$5,"BAJO","OK"))))</f>
        <v/>
      </c>
    </row>
    <row r="1655" ht="15.75" hidden="1" customHeight="1">
      <c r="A1655" s="90" t="str">
        <f>IF(CLIENTES!A6="","",CLIENTES!A6)</f>
        <v/>
      </c>
      <c r="B1655" s="90" t="s">
        <v>324</v>
      </c>
      <c r="C1655" s="91" t="s">
        <v>328</v>
      </c>
      <c r="D1655" s="109" t="s">
        <v>353</v>
      </c>
      <c r="E1655" s="67" t="str">
        <f>COLORES!A16</f>
        <v>Topo</v>
      </c>
      <c r="F1655" s="67" t="str">
        <f>COLORES!B16</f>
        <v>CLARO</v>
      </c>
      <c r="G1655" s="90" t="s">
        <v>379</v>
      </c>
      <c r="H1655" s="100">
        <f>IFERROR(SUMIFS(MOVIMIENTOS_COMPLEMENTOS!$I$4:$I$803,MOVIMIENTOS_COMPLEMENTOS!$C$4:$C$803,A1655,MOVIMIENTOS_COMPLEMENTOS!$D$4:$D$803,B1655,MOVIMIENTOS_COMPLEMENTOS!$E$4:$E$803,C1655,MOVIMIENTOS_COMPLEMENTOS!$G$4:$G$803,E1655,MOVIMIENTOS_COMPLEMENTOS!$H$4:$H$803,G1655,MOVIMIENTOS_COMPLEMENTOS!$B$4:$B$803,"INGRESO")+SUMIFS(MOVIMIENTOS_COMPLEMENTOS!$I$4:$I$803,MOVIMIENTOS_COMPLEMENTOS!$C$4:$C$803,A1655,MOVIMIENTOS_COMPLEMENTOS!$D$4:$D$803,B1655,MOVIMIENTOS_COMPLEMENTOS!$E$4:$E$803,C1655,MOVIMIENTOS_COMPLEMENTOS!$G$4:$G$803,E1655,MOVIMIENTOS_COMPLEMENTOS!$H$4:$H$803,G1655,MOVIMIENTOS_COMPLEMENTOS!$B$4:$B$803,"DE CORTE")-SUMIFS(MOVIMIENTOS_COMPLEMENTOS!$I$4:$I$803,MOVIMIENTOS_COMPLEMENTOS!$C$4:$C$803,A1655,MOVIMIENTOS_COMPLEMENTOS!$D$4:$D$803,B1655,MOVIMIENTOS_COMPLEMENTOS!$E$4:$E$803,C1655,MOVIMIENTOS_COMPLEMENTOS!$G$4:$G$803,E1655,MOVIMIENTOS_COMPLEMENTOS!$H$4:$H$803,G1655,MOVIMIENTOS_COMPLEMENTOS!$B$4:$B$803,"SALIDA"),0)</f>
        <v>0</v>
      </c>
      <c r="I1655" s="102">
        <f t="array" ref="I1655">IFERROR(INDEX(PRECIOS_COMPLEMENTOS!$C$4:$F$17,MATCH(B1655&amp;"_"&amp;C1655,PRECIOS_COMPLEMENTOS!$H$4:$H$17,0),IF(OR(G1655="S",G1655="20cm"),1,IF(OR(G1655="M",G1655="25cm"),2,IF(OR(G1655="L",G1655="30cm"),3,IF(OR(G1655="XL",G1655="35cm"),4,0))))),0)</f>
        <v>0.3</v>
      </c>
      <c r="J1655" s="103">
        <f t="shared" si="1"/>
        <v>0</v>
      </c>
      <c r="K1655" s="104" t="str">
        <f>IF(H1655&lt;0,"ERROR",IF(H1655=0,"",IF(H1655&lt;CONFIG!$B$4,"CRÍTICO",IF(H1655&lt;CONFIG!$B$5,"BAJO","OK"))))</f>
        <v/>
      </c>
    </row>
    <row r="1656" ht="15.75" hidden="1" customHeight="1">
      <c r="A1656" s="90" t="str">
        <f>IF(CLIENTES!A6="","",CLIENTES!A6)</f>
        <v/>
      </c>
      <c r="B1656" s="90" t="s">
        <v>324</v>
      </c>
      <c r="C1656" s="91" t="s">
        <v>328</v>
      </c>
      <c r="D1656" s="109" t="s">
        <v>353</v>
      </c>
      <c r="E1656" s="67" t="str">
        <f>COLORES!A17</f>
        <v>Vino</v>
      </c>
      <c r="F1656" s="67" t="str">
        <f>COLORES!B17</f>
        <v>OSCURO</v>
      </c>
      <c r="G1656" s="90" t="s">
        <v>378</v>
      </c>
      <c r="H1656" s="100">
        <f>IFERROR(SUMIFS(MOVIMIENTOS_COMPLEMENTOS!$I$4:$I$803,MOVIMIENTOS_COMPLEMENTOS!$C$4:$C$803,A1656,MOVIMIENTOS_COMPLEMENTOS!$D$4:$D$803,B1656,MOVIMIENTOS_COMPLEMENTOS!$E$4:$E$803,C1656,MOVIMIENTOS_COMPLEMENTOS!$G$4:$G$803,E1656,MOVIMIENTOS_COMPLEMENTOS!$H$4:$H$803,G1656,MOVIMIENTOS_COMPLEMENTOS!$B$4:$B$803,"INGRESO")+SUMIFS(MOVIMIENTOS_COMPLEMENTOS!$I$4:$I$803,MOVIMIENTOS_COMPLEMENTOS!$C$4:$C$803,A1656,MOVIMIENTOS_COMPLEMENTOS!$D$4:$D$803,B1656,MOVIMIENTOS_COMPLEMENTOS!$E$4:$E$803,C1656,MOVIMIENTOS_COMPLEMENTOS!$G$4:$G$803,E1656,MOVIMIENTOS_COMPLEMENTOS!$H$4:$H$803,G1656,MOVIMIENTOS_COMPLEMENTOS!$B$4:$B$803,"DE CORTE")-SUMIFS(MOVIMIENTOS_COMPLEMENTOS!$I$4:$I$803,MOVIMIENTOS_COMPLEMENTOS!$C$4:$C$803,A1656,MOVIMIENTOS_COMPLEMENTOS!$D$4:$D$803,B1656,MOVIMIENTOS_COMPLEMENTOS!$E$4:$E$803,C1656,MOVIMIENTOS_COMPLEMENTOS!$G$4:$G$803,E1656,MOVIMIENTOS_COMPLEMENTOS!$H$4:$H$803,G1656,MOVIMIENTOS_COMPLEMENTOS!$B$4:$B$803,"SALIDA"),0)</f>
        <v>0</v>
      </c>
      <c r="I1656" s="102">
        <f t="array" ref="I1656">IFERROR(INDEX(PRECIOS_COMPLEMENTOS!$C$4:$F$17,MATCH(B1656&amp;"_"&amp;C1656,PRECIOS_COMPLEMENTOS!$H$4:$H$17,0),IF(OR(G1656="S",G1656="20cm"),1,IF(OR(G1656="M",G1656="25cm"),2,IF(OR(G1656="L",G1656="30cm"),3,IF(OR(G1656="XL",G1656="35cm"),4,0))))),0)</f>
        <v>0.3</v>
      </c>
      <c r="J1656" s="103">
        <f t="shared" si="1"/>
        <v>0</v>
      </c>
      <c r="K1656" s="104" t="str">
        <f>IF(H1656&lt;0,"ERROR",IF(H1656=0,"",IF(H1656&lt;CONFIG!$B$4,"CRÍTICO",IF(H1656&lt;CONFIG!$B$5,"BAJO","OK"))))</f>
        <v/>
      </c>
    </row>
    <row r="1657" ht="15.75" hidden="1" customHeight="1">
      <c r="A1657" s="90" t="str">
        <f>IF(CLIENTES!A6="","",CLIENTES!A6)</f>
        <v/>
      </c>
      <c r="B1657" s="90" t="s">
        <v>324</v>
      </c>
      <c r="C1657" s="91" t="s">
        <v>328</v>
      </c>
      <c r="D1657" s="109" t="s">
        <v>353</v>
      </c>
      <c r="E1657" s="67" t="str">
        <f>COLORES!A17</f>
        <v>Vino</v>
      </c>
      <c r="F1657" s="67" t="str">
        <f>COLORES!B17</f>
        <v>OSCURO</v>
      </c>
      <c r="G1657" s="90" t="s">
        <v>376</v>
      </c>
      <c r="H1657" s="100">
        <f>IFERROR(SUMIFS(MOVIMIENTOS_COMPLEMENTOS!$I$4:$I$803,MOVIMIENTOS_COMPLEMENTOS!$C$4:$C$803,A1657,MOVIMIENTOS_COMPLEMENTOS!$D$4:$D$803,B1657,MOVIMIENTOS_COMPLEMENTOS!$E$4:$E$803,C1657,MOVIMIENTOS_COMPLEMENTOS!$G$4:$G$803,E1657,MOVIMIENTOS_COMPLEMENTOS!$H$4:$H$803,G1657,MOVIMIENTOS_COMPLEMENTOS!$B$4:$B$803,"INGRESO")+SUMIFS(MOVIMIENTOS_COMPLEMENTOS!$I$4:$I$803,MOVIMIENTOS_COMPLEMENTOS!$C$4:$C$803,A1657,MOVIMIENTOS_COMPLEMENTOS!$D$4:$D$803,B1657,MOVIMIENTOS_COMPLEMENTOS!$E$4:$E$803,C1657,MOVIMIENTOS_COMPLEMENTOS!$G$4:$G$803,E1657,MOVIMIENTOS_COMPLEMENTOS!$H$4:$H$803,G1657,MOVIMIENTOS_COMPLEMENTOS!$B$4:$B$803,"DE CORTE")-SUMIFS(MOVIMIENTOS_COMPLEMENTOS!$I$4:$I$803,MOVIMIENTOS_COMPLEMENTOS!$C$4:$C$803,A1657,MOVIMIENTOS_COMPLEMENTOS!$D$4:$D$803,B1657,MOVIMIENTOS_COMPLEMENTOS!$E$4:$E$803,C1657,MOVIMIENTOS_COMPLEMENTOS!$G$4:$G$803,E1657,MOVIMIENTOS_COMPLEMENTOS!$H$4:$H$803,G1657,MOVIMIENTOS_COMPLEMENTOS!$B$4:$B$803,"SALIDA"),0)</f>
        <v>0</v>
      </c>
      <c r="I1657" s="102">
        <f t="array" ref="I1657">IFERROR(INDEX(PRECIOS_COMPLEMENTOS!$C$4:$F$17,MATCH(B1657&amp;"_"&amp;C1657,PRECIOS_COMPLEMENTOS!$H$4:$H$17,0),IF(OR(G1657="S",G1657="20cm"),1,IF(OR(G1657="M",G1657="25cm"),2,IF(OR(G1657="L",G1657="30cm"),3,IF(OR(G1657="XL",G1657="35cm"),4,0))))),0)</f>
        <v>0.3</v>
      </c>
      <c r="J1657" s="103">
        <f t="shared" si="1"/>
        <v>0</v>
      </c>
      <c r="K1657" s="104" t="str">
        <f>IF(H1657&lt;0,"ERROR",IF(H1657=0,"",IF(H1657&lt;CONFIG!$B$4,"CRÍTICO",IF(H1657&lt;CONFIG!$B$5,"BAJO","OK"))))</f>
        <v/>
      </c>
    </row>
    <row r="1658" ht="15.75" hidden="1" customHeight="1">
      <c r="A1658" s="90" t="str">
        <f>IF(CLIENTES!A6="","",CLIENTES!A6)</f>
        <v/>
      </c>
      <c r="B1658" s="90" t="s">
        <v>324</v>
      </c>
      <c r="C1658" s="91" t="s">
        <v>328</v>
      </c>
      <c r="D1658" s="109" t="s">
        <v>353</v>
      </c>
      <c r="E1658" s="67" t="str">
        <f>COLORES!A17</f>
        <v>Vino</v>
      </c>
      <c r="F1658" s="67" t="str">
        <f>COLORES!B17</f>
        <v>OSCURO</v>
      </c>
      <c r="G1658" s="90" t="s">
        <v>377</v>
      </c>
      <c r="H1658" s="100">
        <f>IFERROR(SUMIFS(MOVIMIENTOS_COMPLEMENTOS!$I$4:$I$803,MOVIMIENTOS_COMPLEMENTOS!$C$4:$C$803,A1658,MOVIMIENTOS_COMPLEMENTOS!$D$4:$D$803,B1658,MOVIMIENTOS_COMPLEMENTOS!$E$4:$E$803,C1658,MOVIMIENTOS_COMPLEMENTOS!$G$4:$G$803,E1658,MOVIMIENTOS_COMPLEMENTOS!$H$4:$H$803,G1658,MOVIMIENTOS_COMPLEMENTOS!$B$4:$B$803,"INGRESO")+SUMIFS(MOVIMIENTOS_COMPLEMENTOS!$I$4:$I$803,MOVIMIENTOS_COMPLEMENTOS!$C$4:$C$803,A1658,MOVIMIENTOS_COMPLEMENTOS!$D$4:$D$803,B1658,MOVIMIENTOS_COMPLEMENTOS!$E$4:$E$803,C1658,MOVIMIENTOS_COMPLEMENTOS!$G$4:$G$803,E1658,MOVIMIENTOS_COMPLEMENTOS!$H$4:$H$803,G1658,MOVIMIENTOS_COMPLEMENTOS!$B$4:$B$803,"DE CORTE")-SUMIFS(MOVIMIENTOS_COMPLEMENTOS!$I$4:$I$803,MOVIMIENTOS_COMPLEMENTOS!$C$4:$C$803,A1658,MOVIMIENTOS_COMPLEMENTOS!$D$4:$D$803,B1658,MOVIMIENTOS_COMPLEMENTOS!$E$4:$E$803,C1658,MOVIMIENTOS_COMPLEMENTOS!$G$4:$G$803,E1658,MOVIMIENTOS_COMPLEMENTOS!$H$4:$H$803,G1658,MOVIMIENTOS_COMPLEMENTOS!$B$4:$B$803,"SALIDA"),0)</f>
        <v>0</v>
      </c>
      <c r="I1658" s="102">
        <f t="array" ref="I1658">IFERROR(INDEX(PRECIOS_COMPLEMENTOS!$C$4:$F$17,MATCH(B1658&amp;"_"&amp;C1658,PRECIOS_COMPLEMENTOS!$H$4:$H$17,0),IF(OR(G1658="S",G1658="20cm"),1,IF(OR(G1658="M",G1658="25cm"),2,IF(OR(G1658="L",G1658="30cm"),3,IF(OR(G1658="XL",G1658="35cm"),4,0))))),0)</f>
        <v>0.3</v>
      </c>
      <c r="J1658" s="103">
        <f t="shared" si="1"/>
        <v>0</v>
      </c>
      <c r="K1658" s="104" t="str">
        <f>IF(H1658&lt;0,"ERROR",IF(H1658=0,"",IF(H1658&lt;CONFIG!$B$4,"CRÍTICO",IF(H1658&lt;CONFIG!$B$5,"BAJO","OK"))))</f>
        <v/>
      </c>
    </row>
    <row r="1659" ht="15.75" hidden="1" customHeight="1">
      <c r="A1659" s="90" t="str">
        <f>IF(CLIENTES!A6="","",CLIENTES!A6)</f>
        <v/>
      </c>
      <c r="B1659" s="90" t="s">
        <v>324</v>
      </c>
      <c r="C1659" s="91" t="s">
        <v>328</v>
      </c>
      <c r="D1659" s="109" t="s">
        <v>353</v>
      </c>
      <c r="E1659" s="67" t="str">
        <f>COLORES!A17</f>
        <v>Vino</v>
      </c>
      <c r="F1659" s="67" t="str">
        <f>COLORES!B17</f>
        <v>OSCURO</v>
      </c>
      <c r="G1659" s="90" t="s">
        <v>379</v>
      </c>
      <c r="H1659" s="100">
        <f>IFERROR(SUMIFS(MOVIMIENTOS_COMPLEMENTOS!$I$4:$I$803,MOVIMIENTOS_COMPLEMENTOS!$C$4:$C$803,A1659,MOVIMIENTOS_COMPLEMENTOS!$D$4:$D$803,B1659,MOVIMIENTOS_COMPLEMENTOS!$E$4:$E$803,C1659,MOVIMIENTOS_COMPLEMENTOS!$G$4:$G$803,E1659,MOVIMIENTOS_COMPLEMENTOS!$H$4:$H$803,G1659,MOVIMIENTOS_COMPLEMENTOS!$B$4:$B$803,"INGRESO")+SUMIFS(MOVIMIENTOS_COMPLEMENTOS!$I$4:$I$803,MOVIMIENTOS_COMPLEMENTOS!$C$4:$C$803,A1659,MOVIMIENTOS_COMPLEMENTOS!$D$4:$D$803,B1659,MOVIMIENTOS_COMPLEMENTOS!$E$4:$E$803,C1659,MOVIMIENTOS_COMPLEMENTOS!$G$4:$G$803,E1659,MOVIMIENTOS_COMPLEMENTOS!$H$4:$H$803,G1659,MOVIMIENTOS_COMPLEMENTOS!$B$4:$B$803,"DE CORTE")-SUMIFS(MOVIMIENTOS_COMPLEMENTOS!$I$4:$I$803,MOVIMIENTOS_COMPLEMENTOS!$C$4:$C$803,A1659,MOVIMIENTOS_COMPLEMENTOS!$D$4:$D$803,B1659,MOVIMIENTOS_COMPLEMENTOS!$E$4:$E$803,C1659,MOVIMIENTOS_COMPLEMENTOS!$G$4:$G$803,E1659,MOVIMIENTOS_COMPLEMENTOS!$H$4:$H$803,G1659,MOVIMIENTOS_COMPLEMENTOS!$B$4:$B$803,"SALIDA"),0)</f>
        <v>0</v>
      </c>
      <c r="I1659" s="102">
        <f t="array" ref="I1659">IFERROR(INDEX(PRECIOS_COMPLEMENTOS!$C$4:$F$17,MATCH(B1659&amp;"_"&amp;C1659,PRECIOS_COMPLEMENTOS!$H$4:$H$17,0),IF(OR(G1659="S",G1659="20cm"),1,IF(OR(G1659="M",G1659="25cm"),2,IF(OR(G1659="L",G1659="30cm"),3,IF(OR(G1659="XL",G1659="35cm"),4,0))))),0)</f>
        <v>0.3</v>
      </c>
      <c r="J1659" s="103">
        <f t="shared" si="1"/>
        <v>0</v>
      </c>
      <c r="K1659" s="104" t="str">
        <f>IF(H1659&lt;0,"ERROR",IF(H1659=0,"",IF(H1659&lt;CONFIG!$B$4,"CRÍTICO",IF(H1659&lt;CONFIG!$B$5,"BAJO","OK"))))</f>
        <v/>
      </c>
    </row>
    <row r="1660" ht="15.75" hidden="1" customHeight="1">
      <c r="A1660" s="90" t="str">
        <f>IF(CLIENTES!A6="","",CLIENTES!A6)</f>
        <v/>
      </c>
      <c r="B1660" s="90" t="s">
        <v>324</v>
      </c>
      <c r="C1660" s="91" t="s">
        <v>328</v>
      </c>
      <c r="D1660" s="109" t="s">
        <v>353</v>
      </c>
      <c r="E1660" s="67" t="str">
        <f>COLORES!A18</f>
        <v>P. Rosa</v>
      </c>
      <c r="F1660" s="67" t="str">
        <f>COLORES!B18</f>
        <v>CLARO</v>
      </c>
      <c r="G1660" s="90" t="s">
        <v>378</v>
      </c>
      <c r="H1660" s="100">
        <f>IFERROR(SUMIFS(MOVIMIENTOS_COMPLEMENTOS!$I$4:$I$803,MOVIMIENTOS_COMPLEMENTOS!$C$4:$C$803,A1660,MOVIMIENTOS_COMPLEMENTOS!$D$4:$D$803,B1660,MOVIMIENTOS_COMPLEMENTOS!$E$4:$E$803,C1660,MOVIMIENTOS_COMPLEMENTOS!$G$4:$G$803,E1660,MOVIMIENTOS_COMPLEMENTOS!$H$4:$H$803,G1660,MOVIMIENTOS_COMPLEMENTOS!$B$4:$B$803,"INGRESO")+SUMIFS(MOVIMIENTOS_COMPLEMENTOS!$I$4:$I$803,MOVIMIENTOS_COMPLEMENTOS!$C$4:$C$803,A1660,MOVIMIENTOS_COMPLEMENTOS!$D$4:$D$803,B1660,MOVIMIENTOS_COMPLEMENTOS!$E$4:$E$803,C1660,MOVIMIENTOS_COMPLEMENTOS!$G$4:$G$803,E1660,MOVIMIENTOS_COMPLEMENTOS!$H$4:$H$803,G1660,MOVIMIENTOS_COMPLEMENTOS!$B$4:$B$803,"DE CORTE")-SUMIFS(MOVIMIENTOS_COMPLEMENTOS!$I$4:$I$803,MOVIMIENTOS_COMPLEMENTOS!$C$4:$C$803,A1660,MOVIMIENTOS_COMPLEMENTOS!$D$4:$D$803,B1660,MOVIMIENTOS_COMPLEMENTOS!$E$4:$E$803,C1660,MOVIMIENTOS_COMPLEMENTOS!$G$4:$G$803,E1660,MOVIMIENTOS_COMPLEMENTOS!$H$4:$H$803,G1660,MOVIMIENTOS_COMPLEMENTOS!$B$4:$B$803,"SALIDA"),0)</f>
        <v>0</v>
      </c>
      <c r="I1660" s="102">
        <f t="array" ref="I1660">IFERROR(INDEX(PRECIOS_COMPLEMENTOS!$C$4:$F$17,MATCH(B1660&amp;"_"&amp;C1660,PRECIOS_COMPLEMENTOS!$H$4:$H$17,0),IF(OR(G1660="S",G1660="20cm"),1,IF(OR(G1660="M",G1660="25cm"),2,IF(OR(G1660="L",G1660="30cm"),3,IF(OR(G1660="XL",G1660="35cm"),4,0))))),0)</f>
        <v>0.3</v>
      </c>
      <c r="J1660" s="103">
        <f t="shared" si="1"/>
        <v>0</v>
      </c>
      <c r="K1660" s="104" t="str">
        <f>IF(H1660&lt;0,"ERROR",IF(H1660=0,"",IF(H1660&lt;CONFIG!$B$4,"CRÍTICO",IF(H1660&lt;CONFIG!$B$5,"BAJO","OK"))))</f>
        <v/>
      </c>
    </row>
    <row r="1661" ht="15.75" hidden="1" customHeight="1">
      <c r="A1661" s="90" t="str">
        <f>IF(CLIENTES!A6="","",CLIENTES!A6)</f>
        <v/>
      </c>
      <c r="B1661" s="90" t="s">
        <v>324</v>
      </c>
      <c r="C1661" s="91" t="s">
        <v>328</v>
      </c>
      <c r="D1661" s="109" t="s">
        <v>353</v>
      </c>
      <c r="E1661" s="67" t="str">
        <f>COLORES!A18</f>
        <v>P. Rosa</v>
      </c>
      <c r="F1661" s="67" t="str">
        <f>COLORES!B18</f>
        <v>CLARO</v>
      </c>
      <c r="G1661" s="90" t="s">
        <v>376</v>
      </c>
      <c r="H1661" s="100">
        <f>IFERROR(SUMIFS(MOVIMIENTOS_COMPLEMENTOS!$I$4:$I$803,MOVIMIENTOS_COMPLEMENTOS!$C$4:$C$803,A1661,MOVIMIENTOS_COMPLEMENTOS!$D$4:$D$803,B1661,MOVIMIENTOS_COMPLEMENTOS!$E$4:$E$803,C1661,MOVIMIENTOS_COMPLEMENTOS!$G$4:$G$803,E1661,MOVIMIENTOS_COMPLEMENTOS!$H$4:$H$803,G1661,MOVIMIENTOS_COMPLEMENTOS!$B$4:$B$803,"INGRESO")+SUMIFS(MOVIMIENTOS_COMPLEMENTOS!$I$4:$I$803,MOVIMIENTOS_COMPLEMENTOS!$C$4:$C$803,A1661,MOVIMIENTOS_COMPLEMENTOS!$D$4:$D$803,B1661,MOVIMIENTOS_COMPLEMENTOS!$E$4:$E$803,C1661,MOVIMIENTOS_COMPLEMENTOS!$G$4:$G$803,E1661,MOVIMIENTOS_COMPLEMENTOS!$H$4:$H$803,G1661,MOVIMIENTOS_COMPLEMENTOS!$B$4:$B$803,"DE CORTE")-SUMIFS(MOVIMIENTOS_COMPLEMENTOS!$I$4:$I$803,MOVIMIENTOS_COMPLEMENTOS!$C$4:$C$803,A1661,MOVIMIENTOS_COMPLEMENTOS!$D$4:$D$803,B1661,MOVIMIENTOS_COMPLEMENTOS!$E$4:$E$803,C1661,MOVIMIENTOS_COMPLEMENTOS!$G$4:$G$803,E1661,MOVIMIENTOS_COMPLEMENTOS!$H$4:$H$803,G1661,MOVIMIENTOS_COMPLEMENTOS!$B$4:$B$803,"SALIDA"),0)</f>
        <v>0</v>
      </c>
      <c r="I1661" s="102">
        <f t="array" ref="I1661">IFERROR(INDEX(PRECIOS_COMPLEMENTOS!$C$4:$F$17,MATCH(B1661&amp;"_"&amp;C1661,PRECIOS_COMPLEMENTOS!$H$4:$H$17,0),IF(OR(G1661="S",G1661="20cm"),1,IF(OR(G1661="M",G1661="25cm"),2,IF(OR(G1661="L",G1661="30cm"),3,IF(OR(G1661="XL",G1661="35cm"),4,0))))),0)</f>
        <v>0.3</v>
      </c>
      <c r="J1661" s="103">
        <f t="shared" si="1"/>
        <v>0</v>
      </c>
      <c r="K1661" s="104" t="str">
        <f>IF(H1661&lt;0,"ERROR",IF(H1661=0,"",IF(H1661&lt;CONFIG!$B$4,"CRÍTICO",IF(H1661&lt;CONFIG!$B$5,"BAJO","OK"))))</f>
        <v/>
      </c>
    </row>
    <row r="1662" ht="15.75" hidden="1" customHeight="1">
      <c r="A1662" s="90" t="str">
        <f>IF(CLIENTES!A6="","",CLIENTES!A6)</f>
        <v/>
      </c>
      <c r="B1662" s="90" t="s">
        <v>324</v>
      </c>
      <c r="C1662" s="91" t="s">
        <v>328</v>
      </c>
      <c r="D1662" s="109" t="s">
        <v>353</v>
      </c>
      <c r="E1662" s="67" t="str">
        <f>COLORES!A18</f>
        <v>P. Rosa</v>
      </c>
      <c r="F1662" s="67" t="str">
        <f>COLORES!B18</f>
        <v>CLARO</v>
      </c>
      <c r="G1662" s="90" t="s">
        <v>377</v>
      </c>
      <c r="H1662" s="100">
        <f>IFERROR(SUMIFS(MOVIMIENTOS_COMPLEMENTOS!$I$4:$I$803,MOVIMIENTOS_COMPLEMENTOS!$C$4:$C$803,A1662,MOVIMIENTOS_COMPLEMENTOS!$D$4:$D$803,B1662,MOVIMIENTOS_COMPLEMENTOS!$E$4:$E$803,C1662,MOVIMIENTOS_COMPLEMENTOS!$G$4:$G$803,E1662,MOVIMIENTOS_COMPLEMENTOS!$H$4:$H$803,G1662,MOVIMIENTOS_COMPLEMENTOS!$B$4:$B$803,"INGRESO")+SUMIFS(MOVIMIENTOS_COMPLEMENTOS!$I$4:$I$803,MOVIMIENTOS_COMPLEMENTOS!$C$4:$C$803,A1662,MOVIMIENTOS_COMPLEMENTOS!$D$4:$D$803,B1662,MOVIMIENTOS_COMPLEMENTOS!$E$4:$E$803,C1662,MOVIMIENTOS_COMPLEMENTOS!$G$4:$G$803,E1662,MOVIMIENTOS_COMPLEMENTOS!$H$4:$H$803,G1662,MOVIMIENTOS_COMPLEMENTOS!$B$4:$B$803,"DE CORTE")-SUMIFS(MOVIMIENTOS_COMPLEMENTOS!$I$4:$I$803,MOVIMIENTOS_COMPLEMENTOS!$C$4:$C$803,A1662,MOVIMIENTOS_COMPLEMENTOS!$D$4:$D$803,B1662,MOVIMIENTOS_COMPLEMENTOS!$E$4:$E$803,C1662,MOVIMIENTOS_COMPLEMENTOS!$G$4:$G$803,E1662,MOVIMIENTOS_COMPLEMENTOS!$H$4:$H$803,G1662,MOVIMIENTOS_COMPLEMENTOS!$B$4:$B$803,"SALIDA"),0)</f>
        <v>0</v>
      </c>
      <c r="I1662" s="102">
        <f t="array" ref="I1662">IFERROR(INDEX(PRECIOS_COMPLEMENTOS!$C$4:$F$17,MATCH(B1662&amp;"_"&amp;C1662,PRECIOS_COMPLEMENTOS!$H$4:$H$17,0),IF(OR(G1662="S",G1662="20cm"),1,IF(OR(G1662="M",G1662="25cm"),2,IF(OR(G1662="L",G1662="30cm"),3,IF(OR(G1662="XL",G1662="35cm"),4,0))))),0)</f>
        <v>0.3</v>
      </c>
      <c r="J1662" s="103">
        <f t="shared" si="1"/>
        <v>0</v>
      </c>
      <c r="K1662" s="104" t="str">
        <f>IF(H1662&lt;0,"ERROR",IF(H1662=0,"",IF(H1662&lt;CONFIG!$B$4,"CRÍTICO",IF(H1662&lt;CONFIG!$B$5,"BAJO","OK"))))</f>
        <v/>
      </c>
    </row>
    <row r="1663" ht="15.75" hidden="1" customHeight="1">
      <c r="A1663" s="90" t="str">
        <f>IF(CLIENTES!A6="","",CLIENTES!A6)</f>
        <v/>
      </c>
      <c r="B1663" s="90" t="s">
        <v>324</v>
      </c>
      <c r="C1663" s="91" t="s">
        <v>328</v>
      </c>
      <c r="D1663" s="109" t="s">
        <v>353</v>
      </c>
      <c r="E1663" s="67" t="str">
        <f>COLORES!A18</f>
        <v>P. Rosa</v>
      </c>
      <c r="F1663" s="67" t="str">
        <f>COLORES!B18</f>
        <v>CLARO</v>
      </c>
      <c r="G1663" s="90" t="s">
        <v>379</v>
      </c>
      <c r="H1663" s="100">
        <f>IFERROR(SUMIFS(MOVIMIENTOS_COMPLEMENTOS!$I$4:$I$803,MOVIMIENTOS_COMPLEMENTOS!$C$4:$C$803,A1663,MOVIMIENTOS_COMPLEMENTOS!$D$4:$D$803,B1663,MOVIMIENTOS_COMPLEMENTOS!$E$4:$E$803,C1663,MOVIMIENTOS_COMPLEMENTOS!$G$4:$G$803,E1663,MOVIMIENTOS_COMPLEMENTOS!$H$4:$H$803,G1663,MOVIMIENTOS_COMPLEMENTOS!$B$4:$B$803,"INGRESO")+SUMIFS(MOVIMIENTOS_COMPLEMENTOS!$I$4:$I$803,MOVIMIENTOS_COMPLEMENTOS!$C$4:$C$803,A1663,MOVIMIENTOS_COMPLEMENTOS!$D$4:$D$803,B1663,MOVIMIENTOS_COMPLEMENTOS!$E$4:$E$803,C1663,MOVIMIENTOS_COMPLEMENTOS!$G$4:$G$803,E1663,MOVIMIENTOS_COMPLEMENTOS!$H$4:$H$803,G1663,MOVIMIENTOS_COMPLEMENTOS!$B$4:$B$803,"DE CORTE")-SUMIFS(MOVIMIENTOS_COMPLEMENTOS!$I$4:$I$803,MOVIMIENTOS_COMPLEMENTOS!$C$4:$C$803,A1663,MOVIMIENTOS_COMPLEMENTOS!$D$4:$D$803,B1663,MOVIMIENTOS_COMPLEMENTOS!$E$4:$E$803,C1663,MOVIMIENTOS_COMPLEMENTOS!$G$4:$G$803,E1663,MOVIMIENTOS_COMPLEMENTOS!$H$4:$H$803,G1663,MOVIMIENTOS_COMPLEMENTOS!$B$4:$B$803,"SALIDA"),0)</f>
        <v>0</v>
      </c>
      <c r="I1663" s="102">
        <f t="array" ref="I1663">IFERROR(INDEX(PRECIOS_COMPLEMENTOS!$C$4:$F$17,MATCH(B1663&amp;"_"&amp;C1663,PRECIOS_COMPLEMENTOS!$H$4:$H$17,0),IF(OR(G1663="S",G1663="20cm"),1,IF(OR(G1663="M",G1663="25cm"),2,IF(OR(G1663="L",G1663="30cm"),3,IF(OR(G1663="XL",G1663="35cm"),4,0))))),0)</f>
        <v>0.3</v>
      </c>
      <c r="J1663" s="103">
        <f t="shared" si="1"/>
        <v>0</v>
      </c>
      <c r="K1663" s="104" t="str">
        <f>IF(H1663&lt;0,"ERROR",IF(H1663=0,"",IF(H1663&lt;CONFIG!$B$4,"CRÍTICO",IF(H1663&lt;CONFIG!$B$5,"BAJO","OK"))))</f>
        <v/>
      </c>
    </row>
    <row r="1664" ht="15.75" hidden="1" customHeight="1">
      <c r="A1664" s="90" t="str">
        <f>IF(CLIENTES!A6="","",CLIENTES!A6)</f>
        <v/>
      </c>
      <c r="B1664" s="90" t="s">
        <v>324</v>
      </c>
      <c r="C1664" s="91" t="s">
        <v>328</v>
      </c>
      <c r="D1664" s="109" t="s">
        <v>353</v>
      </c>
      <c r="E1664" s="67" t="str">
        <f>COLORES!A19</f>
        <v/>
      </c>
      <c r="F1664" s="67" t="str">
        <f>COLORES!B19</f>
        <v/>
      </c>
      <c r="G1664" s="90" t="s">
        <v>378</v>
      </c>
      <c r="H1664" s="100">
        <f>IFERROR(SUMIFS(MOVIMIENTOS_COMPLEMENTOS!$I$4:$I$803,MOVIMIENTOS_COMPLEMENTOS!$C$4:$C$803,A1664,MOVIMIENTOS_COMPLEMENTOS!$D$4:$D$803,B1664,MOVIMIENTOS_COMPLEMENTOS!$E$4:$E$803,C1664,MOVIMIENTOS_COMPLEMENTOS!$G$4:$G$803,E1664,MOVIMIENTOS_COMPLEMENTOS!$H$4:$H$803,G1664,MOVIMIENTOS_COMPLEMENTOS!$B$4:$B$803,"INGRESO")+SUMIFS(MOVIMIENTOS_COMPLEMENTOS!$I$4:$I$803,MOVIMIENTOS_COMPLEMENTOS!$C$4:$C$803,A1664,MOVIMIENTOS_COMPLEMENTOS!$D$4:$D$803,B1664,MOVIMIENTOS_COMPLEMENTOS!$E$4:$E$803,C1664,MOVIMIENTOS_COMPLEMENTOS!$G$4:$G$803,E1664,MOVIMIENTOS_COMPLEMENTOS!$H$4:$H$803,G1664,MOVIMIENTOS_COMPLEMENTOS!$B$4:$B$803,"DE CORTE")-SUMIFS(MOVIMIENTOS_COMPLEMENTOS!$I$4:$I$803,MOVIMIENTOS_COMPLEMENTOS!$C$4:$C$803,A1664,MOVIMIENTOS_COMPLEMENTOS!$D$4:$D$803,B1664,MOVIMIENTOS_COMPLEMENTOS!$E$4:$E$803,C1664,MOVIMIENTOS_COMPLEMENTOS!$G$4:$G$803,E1664,MOVIMIENTOS_COMPLEMENTOS!$H$4:$H$803,G1664,MOVIMIENTOS_COMPLEMENTOS!$B$4:$B$803,"SALIDA"),0)</f>
        <v>0</v>
      </c>
      <c r="I1664" s="102">
        <f t="array" ref="I1664">IFERROR(INDEX(PRECIOS_COMPLEMENTOS!$C$4:$F$17,MATCH(B1664&amp;"_"&amp;C1664,PRECIOS_COMPLEMENTOS!$H$4:$H$17,0),IF(OR(G1664="S",G1664="20cm"),1,IF(OR(G1664="M",G1664="25cm"),2,IF(OR(G1664="L",G1664="30cm"),3,IF(OR(G1664="XL",G1664="35cm"),4,0))))),0)</f>
        <v>0.3</v>
      </c>
      <c r="J1664" s="103">
        <f t="shared" si="1"/>
        <v>0</v>
      </c>
      <c r="K1664" s="104" t="str">
        <f>IF(H1664&lt;0,"ERROR",IF(H1664=0,"",IF(H1664&lt;CONFIG!$B$4,"CRÍTICO",IF(H1664&lt;CONFIG!$B$5,"BAJO","OK"))))</f>
        <v/>
      </c>
    </row>
    <row r="1665" ht="15.75" hidden="1" customHeight="1">
      <c r="A1665" s="90" t="str">
        <f>IF(CLIENTES!A6="","",CLIENTES!A6)</f>
        <v/>
      </c>
      <c r="B1665" s="90" t="s">
        <v>324</v>
      </c>
      <c r="C1665" s="91" t="s">
        <v>328</v>
      </c>
      <c r="D1665" s="109" t="s">
        <v>353</v>
      </c>
      <c r="E1665" s="67" t="str">
        <f>COLORES!A19</f>
        <v/>
      </c>
      <c r="F1665" s="67" t="str">
        <f>COLORES!B19</f>
        <v/>
      </c>
      <c r="G1665" s="90" t="s">
        <v>376</v>
      </c>
      <c r="H1665" s="100">
        <f>IFERROR(SUMIFS(MOVIMIENTOS_COMPLEMENTOS!$I$4:$I$803,MOVIMIENTOS_COMPLEMENTOS!$C$4:$C$803,A1665,MOVIMIENTOS_COMPLEMENTOS!$D$4:$D$803,B1665,MOVIMIENTOS_COMPLEMENTOS!$E$4:$E$803,C1665,MOVIMIENTOS_COMPLEMENTOS!$G$4:$G$803,E1665,MOVIMIENTOS_COMPLEMENTOS!$H$4:$H$803,G1665,MOVIMIENTOS_COMPLEMENTOS!$B$4:$B$803,"INGRESO")+SUMIFS(MOVIMIENTOS_COMPLEMENTOS!$I$4:$I$803,MOVIMIENTOS_COMPLEMENTOS!$C$4:$C$803,A1665,MOVIMIENTOS_COMPLEMENTOS!$D$4:$D$803,B1665,MOVIMIENTOS_COMPLEMENTOS!$E$4:$E$803,C1665,MOVIMIENTOS_COMPLEMENTOS!$G$4:$G$803,E1665,MOVIMIENTOS_COMPLEMENTOS!$H$4:$H$803,G1665,MOVIMIENTOS_COMPLEMENTOS!$B$4:$B$803,"DE CORTE")-SUMIFS(MOVIMIENTOS_COMPLEMENTOS!$I$4:$I$803,MOVIMIENTOS_COMPLEMENTOS!$C$4:$C$803,A1665,MOVIMIENTOS_COMPLEMENTOS!$D$4:$D$803,B1665,MOVIMIENTOS_COMPLEMENTOS!$E$4:$E$803,C1665,MOVIMIENTOS_COMPLEMENTOS!$G$4:$G$803,E1665,MOVIMIENTOS_COMPLEMENTOS!$H$4:$H$803,G1665,MOVIMIENTOS_COMPLEMENTOS!$B$4:$B$803,"SALIDA"),0)</f>
        <v>0</v>
      </c>
      <c r="I1665" s="102">
        <f t="array" ref="I1665">IFERROR(INDEX(PRECIOS_COMPLEMENTOS!$C$4:$F$17,MATCH(B1665&amp;"_"&amp;C1665,PRECIOS_COMPLEMENTOS!$H$4:$H$17,0),IF(OR(G1665="S",G1665="20cm"),1,IF(OR(G1665="M",G1665="25cm"),2,IF(OR(G1665="L",G1665="30cm"),3,IF(OR(G1665="XL",G1665="35cm"),4,0))))),0)</f>
        <v>0.3</v>
      </c>
      <c r="J1665" s="103">
        <f t="shared" si="1"/>
        <v>0</v>
      </c>
      <c r="K1665" s="104" t="str">
        <f>IF(H1665&lt;0,"ERROR",IF(H1665=0,"",IF(H1665&lt;CONFIG!$B$4,"CRÍTICO",IF(H1665&lt;CONFIG!$B$5,"BAJO","OK"))))</f>
        <v/>
      </c>
    </row>
    <row r="1666" ht="15.75" hidden="1" customHeight="1">
      <c r="A1666" s="90" t="str">
        <f>IF(CLIENTES!A6="","",CLIENTES!A6)</f>
        <v/>
      </c>
      <c r="B1666" s="90" t="s">
        <v>324</v>
      </c>
      <c r="C1666" s="91" t="s">
        <v>328</v>
      </c>
      <c r="D1666" s="109" t="s">
        <v>353</v>
      </c>
      <c r="E1666" s="67" t="str">
        <f>COLORES!A19</f>
        <v/>
      </c>
      <c r="F1666" s="67" t="str">
        <f>COLORES!B19</f>
        <v/>
      </c>
      <c r="G1666" s="90" t="s">
        <v>377</v>
      </c>
      <c r="H1666" s="100">
        <f>IFERROR(SUMIFS(MOVIMIENTOS_COMPLEMENTOS!$I$4:$I$803,MOVIMIENTOS_COMPLEMENTOS!$C$4:$C$803,A1666,MOVIMIENTOS_COMPLEMENTOS!$D$4:$D$803,B1666,MOVIMIENTOS_COMPLEMENTOS!$E$4:$E$803,C1666,MOVIMIENTOS_COMPLEMENTOS!$G$4:$G$803,E1666,MOVIMIENTOS_COMPLEMENTOS!$H$4:$H$803,G1666,MOVIMIENTOS_COMPLEMENTOS!$B$4:$B$803,"INGRESO")+SUMIFS(MOVIMIENTOS_COMPLEMENTOS!$I$4:$I$803,MOVIMIENTOS_COMPLEMENTOS!$C$4:$C$803,A1666,MOVIMIENTOS_COMPLEMENTOS!$D$4:$D$803,B1666,MOVIMIENTOS_COMPLEMENTOS!$E$4:$E$803,C1666,MOVIMIENTOS_COMPLEMENTOS!$G$4:$G$803,E1666,MOVIMIENTOS_COMPLEMENTOS!$H$4:$H$803,G1666,MOVIMIENTOS_COMPLEMENTOS!$B$4:$B$803,"DE CORTE")-SUMIFS(MOVIMIENTOS_COMPLEMENTOS!$I$4:$I$803,MOVIMIENTOS_COMPLEMENTOS!$C$4:$C$803,A1666,MOVIMIENTOS_COMPLEMENTOS!$D$4:$D$803,B1666,MOVIMIENTOS_COMPLEMENTOS!$E$4:$E$803,C1666,MOVIMIENTOS_COMPLEMENTOS!$G$4:$G$803,E1666,MOVIMIENTOS_COMPLEMENTOS!$H$4:$H$803,G1666,MOVIMIENTOS_COMPLEMENTOS!$B$4:$B$803,"SALIDA"),0)</f>
        <v>0</v>
      </c>
      <c r="I1666" s="102">
        <f t="array" ref="I1666">IFERROR(INDEX(PRECIOS_COMPLEMENTOS!$C$4:$F$17,MATCH(B1666&amp;"_"&amp;C1666,PRECIOS_COMPLEMENTOS!$H$4:$H$17,0),IF(OR(G1666="S",G1666="20cm"),1,IF(OR(G1666="M",G1666="25cm"),2,IF(OR(G1666="L",G1666="30cm"),3,IF(OR(G1666="XL",G1666="35cm"),4,0))))),0)</f>
        <v>0.3</v>
      </c>
      <c r="J1666" s="103">
        <f t="shared" si="1"/>
        <v>0</v>
      </c>
      <c r="K1666" s="104" t="str">
        <f>IF(H1666&lt;0,"ERROR",IF(H1666=0,"",IF(H1666&lt;CONFIG!$B$4,"CRÍTICO",IF(H1666&lt;CONFIG!$B$5,"BAJO","OK"))))</f>
        <v/>
      </c>
    </row>
    <row r="1667" ht="15.75" hidden="1" customHeight="1">
      <c r="A1667" s="90" t="str">
        <f>IF(CLIENTES!A6="","",CLIENTES!A6)</f>
        <v/>
      </c>
      <c r="B1667" s="90" t="s">
        <v>324</v>
      </c>
      <c r="C1667" s="91" t="s">
        <v>328</v>
      </c>
      <c r="D1667" s="109" t="s">
        <v>353</v>
      </c>
      <c r="E1667" s="67" t="str">
        <f>COLORES!A19</f>
        <v/>
      </c>
      <c r="F1667" s="67" t="str">
        <f>COLORES!B19</f>
        <v/>
      </c>
      <c r="G1667" s="90" t="s">
        <v>379</v>
      </c>
      <c r="H1667" s="100">
        <f>IFERROR(SUMIFS(MOVIMIENTOS_COMPLEMENTOS!$I$4:$I$803,MOVIMIENTOS_COMPLEMENTOS!$C$4:$C$803,A1667,MOVIMIENTOS_COMPLEMENTOS!$D$4:$D$803,B1667,MOVIMIENTOS_COMPLEMENTOS!$E$4:$E$803,C1667,MOVIMIENTOS_COMPLEMENTOS!$G$4:$G$803,E1667,MOVIMIENTOS_COMPLEMENTOS!$H$4:$H$803,G1667,MOVIMIENTOS_COMPLEMENTOS!$B$4:$B$803,"INGRESO")+SUMIFS(MOVIMIENTOS_COMPLEMENTOS!$I$4:$I$803,MOVIMIENTOS_COMPLEMENTOS!$C$4:$C$803,A1667,MOVIMIENTOS_COMPLEMENTOS!$D$4:$D$803,B1667,MOVIMIENTOS_COMPLEMENTOS!$E$4:$E$803,C1667,MOVIMIENTOS_COMPLEMENTOS!$G$4:$G$803,E1667,MOVIMIENTOS_COMPLEMENTOS!$H$4:$H$803,G1667,MOVIMIENTOS_COMPLEMENTOS!$B$4:$B$803,"DE CORTE")-SUMIFS(MOVIMIENTOS_COMPLEMENTOS!$I$4:$I$803,MOVIMIENTOS_COMPLEMENTOS!$C$4:$C$803,A1667,MOVIMIENTOS_COMPLEMENTOS!$D$4:$D$803,B1667,MOVIMIENTOS_COMPLEMENTOS!$E$4:$E$803,C1667,MOVIMIENTOS_COMPLEMENTOS!$G$4:$G$803,E1667,MOVIMIENTOS_COMPLEMENTOS!$H$4:$H$803,G1667,MOVIMIENTOS_COMPLEMENTOS!$B$4:$B$803,"SALIDA"),0)</f>
        <v>0</v>
      </c>
      <c r="I1667" s="102">
        <f t="array" ref="I1667">IFERROR(INDEX(PRECIOS_COMPLEMENTOS!$C$4:$F$17,MATCH(B1667&amp;"_"&amp;C1667,PRECIOS_COMPLEMENTOS!$H$4:$H$17,0),IF(OR(G1667="S",G1667="20cm"),1,IF(OR(G1667="M",G1667="25cm"),2,IF(OR(G1667="L",G1667="30cm"),3,IF(OR(G1667="XL",G1667="35cm"),4,0))))),0)</f>
        <v>0.3</v>
      </c>
      <c r="J1667" s="103">
        <f t="shared" si="1"/>
        <v>0</v>
      </c>
      <c r="K1667" s="104" t="str">
        <f>IF(H1667&lt;0,"ERROR",IF(H1667=0,"",IF(H1667&lt;CONFIG!$B$4,"CRÍTICO",IF(H1667&lt;CONFIG!$B$5,"BAJO","OK"))))</f>
        <v/>
      </c>
    </row>
    <row r="1668" ht="15.75" hidden="1" customHeight="1">
      <c r="A1668" s="90" t="str">
        <f>IF(CLIENTES!A6="","",CLIENTES!A6)</f>
        <v/>
      </c>
      <c r="B1668" s="90" t="s">
        <v>324</v>
      </c>
      <c r="C1668" s="91" t="s">
        <v>328</v>
      </c>
      <c r="D1668" s="109" t="s">
        <v>353</v>
      </c>
      <c r="E1668" s="67" t="str">
        <f>COLORES!A20</f>
        <v/>
      </c>
      <c r="F1668" s="67" t="str">
        <f>COLORES!B20</f>
        <v/>
      </c>
      <c r="G1668" s="90" t="s">
        <v>378</v>
      </c>
      <c r="H1668" s="100">
        <f>IFERROR(SUMIFS(MOVIMIENTOS_COMPLEMENTOS!$I$4:$I$803,MOVIMIENTOS_COMPLEMENTOS!$C$4:$C$803,A1668,MOVIMIENTOS_COMPLEMENTOS!$D$4:$D$803,B1668,MOVIMIENTOS_COMPLEMENTOS!$E$4:$E$803,C1668,MOVIMIENTOS_COMPLEMENTOS!$G$4:$G$803,E1668,MOVIMIENTOS_COMPLEMENTOS!$H$4:$H$803,G1668,MOVIMIENTOS_COMPLEMENTOS!$B$4:$B$803,"INGRESO")+SUMIFS(MOVIMIENTOS_COMPLEMENTOS!$I$4:$I$803,MOVIMIENTOS_COMPLEMENTOS!$C$4:$C$803,A1668,MOVIMIENTOS_COMPLEMENTOS!$D$4:$D$803,B1668,MOVIMIENTOS_COMPLEMENTOS!$E$4:$E$803,C1668,MOVIMIENTOS_COMPLEMENTOS!$G$4:$G$803,E1668,MOVIMIENTOS_COMPLEMENTOS!$H$4:$H$803,G1668,MOVIMIENTOS_COMPLEMENTOS!$B$4:$B$803,"DE CORTE")-SUMIFS(MOVIMIENTOS_COMPLEMENTOS!$I$4:$I$803,MOVIMIENTOS_COMPLEMENTOS!$C$4:$C$803,A1668,MOVIMIENTOS_COMPLEMENTOS!$D$4:$D$803,B1668,MOVIMIENTOS_COMPLEMENTOS!$E$4:$E$803,C1668,MOVIMIENTOS_COMPLEMENTOS!$G$4:$G$803,E1668,MOVIMIENTOS_COMPLEMENTOS!$H$4:$H$803,G1668,MOVIMIENTOS_COMPLEMENTOS!$B$4:$B$803,"SALIDA"),0)</f>
        <v>0</v>
      </c>
      <c r="I1668" s="102">
        <f t="array" ref="I1668">IFERROR(INDEX(PRECIOS_COMPLEMENTOS!$C$4:$F$17,MATCH(B1668&amp;"_"&amp;C1668,PRECIOS_COMPLEMENTOS!$H$4:$H$17,0),IF(OR(G1668="S",G1668="20cm"),1,IF(OR(G1668="M",G1668="25cm"),2,IF(OR(G1668="L",G1668="30cm"),3,IF(OR(G1668="XL",G1668="35cm"),4,0))))),0)</f>
        <v>0.3</v>
      </c>
      <c r="J1668" s="103">
        <f t="shared" si="1"/>
        <v>0</v>
      </c>
      <c r="K1668" s="104" t="str">
        <f>IF(H1668&lt;0,"ERROR",IF(H1668=0,"",IF(H1668&lt;CONFIG!$B$4,"CRÍTICO",IF(H1668&lt;CONFIG!$B$5,"BAJO","OK"))))</f>
        <v/>
      </c>
    </row>
    <row r="1669" ht="15.75" hidden="1" customHeight="1">
      <c r="A1669" s="90" t="str">
        <f>IF(CLIENTES!A6="","",CLIENTES!A6)</f>
        <v/>
      </c>
      <c r="B1669" s="90" t="s">
        <v>324</v>
      </c>
      <c r="C1669" s="91" t="s">
        <v>328</v>
      </c>
      <c r="D1669" s="109" t="s">
        <v>353</v>
      </c>
      <c r="E1669" s="67" t="str">
        <f>COLORES!A20</f>
        <v/>
      </c>
      <c r="F1669" s="67" t="str">
        <f>COLORES!B20</f>
        <v/>
      </c>
      <c r="G1669" s="90" t="s">
        <v>376</v>
      </c>
      <c r="H1669" s="100">
        <f>IFERROR(SUMIFS(MOVIMIENTOS_COMPLEMENTOS!$I$4:$I$803,MOVIMIENTOS_COMPLEMENTOS!$C$4:$C$803,A1669,MOVIMIENTOS_COMPLEMENTOS!$D$4:$D$803,B1669,MOVIMIENTOS_COMPLEMENTOS!$E$4:$E$803,C1669,MOVIMIENTOS_COMPLEMENTOS!$G$4:$G$803,E1669,MOVIMIENTOS_COMPLEMENTOS!$H$4:$H$803,G1669,MOVIMIENTOS_COMPLEMENTOS!$B$4:$B$803,"INGRESO")+SUMIFS(MOVIMIENTOS_COMPLEMENTOS!$I$4:$I$803,MOVIMIENTOS_COMPLEMENTOS!$C$4:$C$803,A1669,MOVIMIENTOS_COMPLEMENTOS!$D$4:$D$803,B1669,MOVIMIENTOS_COMPLEMENTOS!$E$4:$E$803,C1669,MOVIMIENTOS_COMPLEMENTOS!$G$4:$G$803,E1669,MOVIMIENTOS_COMPLEMENTOS!$H$4:$H$803,G1669,MOVIMIENTOS_COMPLEMENTOS!$B$4:$B$803,"DE CORTE")-SUMIFS(MOVIMIENTOS_COMPLEMENTOS!$I$4:$I$803,MOVIMIENTOS_COMPLEMENTOS!$C$4:$C$803,A1669,MOVIMIENTOS_COMPLEMENTOS!$D$4:$D$803,B1669,MOVIMIENTOS_COMPLEMENTOS!$E$4:$E$803,C1669,MOVIMIENTOS_COMPLEMENTOS!$G$4:$G$803,E1669,MOVIMIENTOS_COMPLEMENTOS!$H$4:$H$803,G1669,MOVIMIENTOS_COMPLEMENTOS!$B$4:$B$803,"SALIDA"),0)</f>
        <v>0</v>
      </c>
      <c r="I1669" s="102">
        <f t="array" ref="I1669">IFERROR(INDEX(PRECIOS_COMPLEMENTOS!$C$4:$F$17,MATCH(B1669&amp;"_"&amp;C1669,PRECIOS_COMPLEMENTOS!$H$4:$H$17,0),IF(OR(G1669="S",G1669="20cm"),1,IF(OR(G1669="M",G1669="25cm"),2,IF(OR(G1669="L",G1669="30cm"),3,IF(OR(G1669="XL",G1669="35cm"),4,0))))),0)</f>
        <v>0.3</v>
      </c>
      <c r="J1669" s="103">
        <f t="shared" si="1"/>
        <v>0</v>
      </c>
      <c r="K1669" s="104" t="str">
        <f>IF(H1669&lt;0,"ERROR",IF(H1669=0,"",IF(H1669&lt;CONFIG!$B$4,"CRÍTICO",IF(H1669&lt;CONFIG!$B$5,"BAJO","OK"))))</f>
        <v/>
      </c>
    </row>
    <row r="1670" ht="15.75" hidden="1" customHeight="1">
      <c r="A1670" s="90" t="str">
        <f>IF(CLIENTES!A6="","",CLIENTES!A6)</f>
        <v/>
      </c>
      <c r="B1670" s="90" t="s">
        <v>324</v>
      </c>
      <c r="C1670" s="91" t="s">
        <v>328</v>
      </c>
      <c r="D1670" s="109" t="s">
        <v>353</v>
      </c>
      <c r="E1670" s="67" t="str">
        <f>COLORES!A20</f>
        <v/>
      </c>
      <c r="F1670" s="67" t="str">
        <f>COLORES!B20</f>
        <v/>
      </c>
      <c r="G1670" s="90" t="s">
        <v>377</v>
      </c>
      <c r="H1670" s="100">
        <f>IFERROR(SUMIFS(MOVIMIENTOS_COMPLEMENTOS!$I$4:$I$803,MOVIMIENTOS_COMPLEMENTOS!$C$4:$C$803,A1670,MOVIMIENTOS_COMPLEMENTOS!$D$4:$D$803,B1670,MOVIMIENTOS_COMPLEMENTOS!$E$4:$E$803,C1670,MOVIMIENTOS_COMPLEMENTOS!$G$4:$G$803,E1670,MOVIMIENTOS_COMPLEMENTOS!$H$4:$H$803,G1670,MOVIMIENTOS_COMPLEMENTOS!$B$4:$B$803,"INGRESO")+SUMIFS(MOVIMIENTOS_COMPLEMENTOS!$I$4:$I$803,MOVIMIENTOS_COMPLEMENTOS!$C$4:$C$803,A1670,MOVIMIENTOS_COMPLEMENTOS!$D$4:$D$803,B1670,MOVIMIENTOS_COMPLEMENTOS!$E$4:$E$803,C1670,MOVIMIENTOS_COMPLEMENTOS!$G$4:$G$803,E1670,MOVIMIENTOS_COMPLEMENTOS!$H$4:$H$803,G1670,MOVIMIENTOS_COMPLEMENTOS!$B$4:$B$803,"DE CORTE")-SUMIFS(MOVIMIENTOS_COMPLEMENTOS!$I$4:$I$803,MOVIMIENTOS_COMPLEMENTOS!$C$4:$C$803,A1670,MOVIMIENTOS_COMPLEMENTOS!$D$4:$D$803,B1670,MOVIMIENTOS_COMPLEMENTOS!$E$4:$E$803,C1670,MOVIMIENTOS_COMPLEMENTOS!$G$4:$G$803,E1670,MOVIMIENTOS_COMPLEMENTOS!$H$4:$H$803,G1670,MOVIMIENTOS_COMPLEMENTOS!$B$4:$B$803,"SALIDA"),0)</f>
        <v>0</v>
      </c>
      <c r="I1670" s="102">
        <f t="array" ref="I1670">IFERROR(INDEX(PRECIOS_COMPLEMENTOS!$C$4:$F$17,MATCH(B1670&amp;"_"&amp;C1670,PRECIOS_COMPLEMENTOS!$H$4:$H$17,0),IF(OR(G1670="S",G1670="20cm"),1,IF(OR(G1670="M",G1670="25cm"),2,IF(OR(G1670="L",G1670="30cm"),3,IF(OR(G1670="XL",G1670="35cm"),4,0))))),0)</f>
        <v>0.3</v>
      </c>
      <c r="J1670" s="103">
        <f t="shared" si="1"/>
        <v>0</v>
      </c>
      <c r="K1670" s="104" t="str">
        <f>IF(H1670&lt;0,"ERROR",IF(H1670=0,"",IF(H1670&lt;CONFIG!$B$4,"CRÍTICO",IF(H1670&lt;CONFIG!$B$5,"BAJO","OK"))))</f>
        <v/>
      </c>
    </row>
    <row r="1671" ht="15.75" hidden="1" customHeight="1">
      <c r="A1671" s="90" t="str">
        <f>IF(CLIENTES!A6="","",CLIENTES!A6)</f>
        <v/>
      </c>
      <c r="B1671" s="90" t="s">
        <v>324</v>
      </c>
      <c r="C1671" s="91" t="s">
        <v>328</v>
      </c>
      <c r="D1671" s="109" t="s">
        <v>353</v>
      </c>
      <c r="E1671" s="67" t="str">
        <f>COLORES!A20</f>
        <v/>
      </c>
      <c r="F1671" s="67" t="str">
        <f>COLORES!B20</f>
        <v/>
      </c>
      <c r="G1671" s="90" t="s">
        <v>379</v>
      </c>
      <c r="H1671" s="100">
        <f>IFERROR(SUMIFS(MOVIMIENTOS_COMPLEMENTOS!$I$4:$I$803,MOVIMIENTOS_COMPLEMENTOS!$C$4:$C$803,A1671,MOVIMIENTOS_COMPLEMENTOS!$D$4:$D$803,B1671,MOVIMIENTOS_COMPLEMENTOS!$E$4:$E$803,C1671,MOVIMIENTOS_COMPLEMENTOS!$G$4:$G$803,E1671,MOVIMIENTOS_COMPLEMENTOS!$H$4:$H$803,G1671,MOVIMIENTOS_COMPLEMENTOS!$B$4:$B$803,"INGRESO")+SUMIFS(MOVIMIENTOS_COMPLEMENTOS!$I$4:$I$803,MOVIMIENTOS_COMPLEMENTOS!$C$4:$C$803,A1671,MOVIMIENTOS_COMPLEMENTOS!$D$4:$D$803,B1671,MOVIMIENTOS_COMPLEMENTOS!$E$4:$E$803,C1671,MOVIMIENTOS_COMPLEMENTOS!$G$4:$G$803,E1671,MOVIMIENTOS_COMPLEMENTOS!$H$4:$H$803,G1671,MOVIMIENTOS_COMPLEMENTOS!$B$4:$B$803,"DE CORTE")-SUMIFS(MOVIMIENTOS_COMPLEMENTOS!$I$4:$I$803,MOVIMIENTOS_COMPLEMENTOS!$C$4:$C$803,A1671,MOVIMIENTOS_COMPLEMENTOS!$D$4:$D$803,B1671,MOVIMIENTOS_COMPLEMENTOS!$E$4:$E$803,C1671,MOVIMIENTOS_COMPLEMENTOS!$G$4:$G$803,E1671,MOVIMIENTOS_COMPLEMENTOS!$H$4:$H$803,G1671,MOVIMIENTOS_COMPLEMENTOS!$B$4:$B$803,"SALIDA"),0)</f>
        <v>0</v>
      </c>
      <c r="I1671" s="102">
        <f t="array" ref="I1671">IFERROR(INDEX(PRECIOS_COMPLEMENTOS!$C$4:$F$17,MATCH(B1671&amp;"_"&amp;C1671,PRECIOS_COMPLEMENTOS!$H$4:$H$17,0),IF(OR(G1671="S",G1671="20cm"),1,IF(OR(G1671="M",G1671="25cm"),2,IF(OR(G1671="L",G1671="30cm"),3,IF(OR(G1671="XL",G1671="35cm"),4,0))))),0)</f>
        <v>0.3</v>
      </c>
      <c r="J1671" s="103">
        <f t="shared" si="1"/>
        <v>0</v>
      </c>
      <c r="K1671" s="104" t="str">
        <f>IF(H1671&lt;0,"ERROR",IF(H1671=0,"",IF(H1671&lt;CONFIG!$B$4,"CRÍTICO",IF(H1671&lt;CONFIG!$B$5,"BAJO","OK"))))</f>
        <v/>
      </c>
    </row>
    <row r="1672" ht="15.75" hidden="1" customHeight="1">
      <c r="A1672" s="90" t="str">
        <f>IF(CLIENTES!A6="","",CLIENTES!A6)</f>
        <v/>
      </c>
      <c r="B1672" s="90" t="s">
        <v>324</v>
      </c>
      <c r="C1672" s="91" t="s">
        <v>328</v>
      </c>
      <c r="D1672" s="109" t="s">
        <v>353</v>
      </c>
      <c r="E1672" s="67" t="str">
        <f>COLORES!A21</f>
        <v/>
      </c>
      <c r="F1672" s="67" t="str">
        <f>COLORES!B21</f>
        <v/>
      </c>
      <c r="G1672" s="90" t="s">
        <v>378</v>
      </c>
      <c r="H1672" s="100">
        <f>IFERROR(SUMIFS(MOVIMIENTOS_COMPLEMENTOS!$I$4:$I$803,MOVIMIENTOS_COMPLEMENTOS!$C$4:$C$803,A1672,MOVIMIENTOS_COMPLEMENTOS!$D$4:$D$803,B1672,MOVIMIENTOS_COMPLEMENTOS!$E$4:$E$803,C1672,MOVIMIENTOS_COMPLEMENTOS!$G$4:$G$803,E1672,MOVIMIENTOS_COMPLEMENTOS!$H$4:$H$803,G1672,MOVIMIENTOS_COMPLEMENTOS!$B$4:$B$803,"INGRESO")+SUMIFS(MOVIMIENTOS_COMPLEMENTOS!$I$4:$I$803,MOVIMIENTOS_COMPLEMENTOS!$C$4:$C$803,A1672,MOVIMIENTOS_COMPLEMENTOS!$D$4:$D$803,B1672,MOVIMIENTOS_COMPLEMENTOS!$E$4:$E$803,C1672,MOVIMIENTOS_COMPLEMENTOS!$G$4:$G$803,E1672,MOVIMIENTOS_COMPLEMENTOS!$H$4:$H$803,G1672,MOVIMIENTOS_COMPLEMENTOS!$B$4:$B$803,"DE CORTE")-SUMIFS(MOVIMIENTOS_COMPLEMENTOS!$I$4:$I$803,MOVIMIENTOS_COMPLEMENTOS!$C$4:$C$803,A1672,MOVIMIENTOS_COMPLEMENTOS!$D$4:$D$803,B1672,MOVIMIENTOS_COMPLEMENTOS!$E$4:$E$803,C1672,MOVIMIENTOS_COMPLEMENTOS!$G$4:$G$803,E1672,MOVIMIENTOS_COMPLEMENTOS!$H$4:$H$803,G1672,MOVIMIENTOS_COMPLEMENTOS!$B$4:$B$803,"SALIDA"),0)</f>
        <v>0</v>
      </c>
      <c r="I1672" s="102">
        <f t="array" ref="I1672">IFERROR(INDEX(PRECIOS_COMPLEMENTOS!$C$4:$F$17,MATCH(B1672&amp;"_"&amp;C1672,PRECIOS_COMPLEMENTOS!$H$4:$H$17,0),IF(OR(G1672="S",G1672="20cm"),1,IF(OR(G1672="M",G1672="25cm"),2,IF(OR(G1672="L",G1672="30cm"),3,IF(OR(G1672="XL",G1672="35cm"),4,0))))),0)</f>
        <v>0.3</v>
      </c>
      <c r="J1672" s="103">
        <f t="shared" si="1"/>
        <v>0</v>
      </c>
      <c r="K1672" s="104" t="str">
        <f>IF(H1672&lt;0,"ERROR",IF(H1672=0,"",IF(H1672&lt;CONFIG!$B$4,"CRÍTICO",IF(H1672&lt;CONFIG!$B$5,"BAJO","OK"))))</f>
        <v/>
      </c>
    </row>
    <row r="1673" ht="15.75" hidden="1" customHeight="1">
      <c r="A1673" s="90" t="str">
        <f>IF(CLIENTES!A6="","",CLIENTES!A6)</f>
        <v/>
      </c>
      <c r="B1673" s="90" t="s">
        <v>324</v>
      </c>
      <c r="C1673" s="91" t="s">
        <v>328</v>
      </c>
      <c r="D1673" s="109" t="s">
        <v>353</v>
      </c>
      <c r="E1673" s="67" t="str">
        <f>COLORES!A21</f>
        <v/>
      </c>
      <c r="F1673" s="67" t="str">
        <f>COLORES!B21</f>
        <v/>
      </c>
      <c r="G1673" s="90" t="s">
        <v>376</v>
      </c>
      <c r="H1673" s="100">
        <f>IFERROR(SUMIFS(MOVIMIENTOS_COMPLEMENTOS!$I$4:$I$803,MOVIMIENTOS_COMPLEMENTOS!$C$4:$C$803,A1673,MOVIMIENTOS_COMPLEMENTOS!$D$4:$D$803,B1673,MOVIMIENTOS_COMPLEMENTOS!$E$4:$E$803,C1673,MOVIMIENTOS_COMPLEMENTOS!$G$4:$G$803,E1673,MOVIMIENTOS_COMPLEMENTOS!$H$4:$H$803,G1673,MOVIMIENTOS_COMPLEMENTOS!$B$4:$B$803,"INGRESO")+SUMIFS(MOVIMIENTOS_COMPLEMENTOS!$I$4:$I$803,MOVIMIENTOS_COMPLEMENTOS!$C$4:$C$803,A1673,MOVIMIENTOS_COMPLEMENTOS!$D$4:$D$803,B1673,MOVIMIENTOS_COMPLEMENTOS!$E$4:$E$803,C1673,MOVIMIENTOS_COMPLEMENTOS!$G$4:$G$803,E1673,MOVIMIENTOS_COMPLEMENTOS!$H$4:$H$803,G1673,MOVIMIENTOS_COMPLEMENTOS!$B$4:$B$803,"DE CORTE")-SUMIFS(MOVIMIENTOS_COMPLEMENTOS!$I$4:$I$803,MOVIMIENTOS_COMPLEMENTOS!$C$4:$C$803,A1673,MOVIMIENTOS_COMPLEMENTOS!$D$4:$D$803,B1673,MOVIMIENTOS_COMPLEMENTOS!$E$4:$E$803,C1673,MOVIMIENTOS_COMPLEMENTOS!$G$4:$G$803,E1673,MOVIMIENTOS_COMPLEMENTOS!$H$4:$H$803,G1673,MOVIMIENTOS_COMPLEMENTOS!$B$4:$B$803,"SALIDA"),0)</f>
        <v>0</v>
      </c>
      <c r="I1673" s="102">
        <f t="array" ref="I1673">IFERROR(INDEX(PRECIOS_COMPLEMENTOS!$C$4:$F$17,MATCH(B1673&amp;"_"&amp;C1673,PRECIOS_COMPLEMENTOS!$H$4:$H$17,0),IF(OR(G1673="S",G1673="20cm"),1,IF(OR(G1673="M",G1673="25cm"),2,IF(OR(G1673="L",G1673="30cm"),3,IF(OR(G1673="XL",G1673="35cm"),4,0))))),0)</f>
        <v>0.3</v>
      </c>
      <c r="J1673" s="103">
        <f t="shared" si="1"/>
        <v>0</v>
      </c>
      <c r="K1673" s="104" t="str">
        <f>IF(H1673&lt;0,"ERROR",IF(H1673=0,"",IF(H1673&lt;CONFIG!$B$4,"CRÍTICO",IF(H1673&lt;CONFIG!$B$5,"BAJO","OK"))))</f>
        <v/>
      </c>
    </row>
    <row r="1674" ht="15.75" hidden="1" customHeight="1">
      <c r="A1674" s="90" t="str">
        <f>IF(CLIENTES!A6="","",CLIENTES!A6)</f>
        <v/>
      </c>
      <c r="B1674" s="90" t="s">
        <v>324</v>
      </c>
      <c r="C1674" s="91" t="s">
        <v>328</v>
      </c>
      <c r="D1674" s="109" t="s">
        <v>353</v>
      </c>
      <c r="E1674" s="67" t="str">
        <f>COLORES!A21</f>
        <v/>
      </c>
      <c r="F1674" s="67" t="str">
        <f>COLORES!B21</f>
        <v/>
      </c>
      <c r="G1674" s="90" t="s">
        <v>377</v>
      </c>
      <c r="H1674" s="100">
        <f>IFERROR(SUMIFS(MOVIMIENTOS_COMPLEMENTOS!$I$4:$I$803,MOVIMIENTOS_COMPLEMENTOS!$C$4:$C$803,A1674,MOVIMIENTOS_COMPLEMENTOS!$D$4:$D$803,B1674,MOVIMIENTOS_COMPLEMENTOS!$E$4:$E$803,C1674,MOVIMIENTOS_COMPLEMENTOS!$G$4:$G$803,E1674,MOVIMIENTOS_COMPLEMENTOS!$H$4:$H$803,G1674,MOVIMIENTOS_COMPLEMENTOS!$B$4:$B$803,"INGRESO")+SUMIFS(MOVIMIENTOS_COMPLEMENTOS!$I$4:$I$803,MOVIMIENTOS_COMPLEMENTOS!$C$4:$C$803,A1674,MOVIMIENTOS_COMPLEMENTOS!$D$4:$D$803,B1674,MOVIMIENTOS_COMPLEMENTOS!$E$4:$E$803,C1674,MOVIMIENTOS_COMPLEMENTOS!$G$4:$G$803,E1674,MOVIMIENTOS_COMPLEMENTOS!$H$4:$H$803,G1674,MOVIMIENTOS_COMPLEMENTOS!$B$4:$B$803,"DE CORTE")-SUMIFS(MOVIMIENTOS_COMPLEMENTOS!$I$4:$I$803,MOVIMIENTOS_COMPLEMENTOS!$C$4:$C$803,A1674,MOVIMIENTOS_COMPLEMENTOS!$D$4:$D$803,B1674,MOVIMIENTOS_COMPLEMENTOS!$E$4:$E$803,C1674,MOVIMIENTOS_COMPLEMENTOS!$G$4:$G$803,E1674,MOVIMIENTOS_COMPLEMENTOS!$H$4:$H$803,G1674,MOVIMIENTOS_COMPLEMENTOS!$B$4:$B$803,"SALIDA"),0)</f>
        <v>0</v>
      </c>
      <c r="I1674" s="102">
        <f t="array" ref="I1674">IFERROR(INDEX(PRECIOS_COMPLEMENTOS!$C$4:$F$17,MATCH(B1674&amp;"_"&amp;C1674,PRECIOS_COMPLEMENTOS!$H$4:$H$17,0),IF(OR(G1674="S",G1674="20cm"),1,IF(OR(G1674="M",G1674="25cm"),2,IF(OR(G1674="L",G1674="30cm"),3,IF(OR(G1674="XL",G1674="35cm"),4,0))))),0)</f>
        <v>0.3</v>
      </c>
      <c r="J1674" s="103">
        <f t="shared" si="1"/>
        <v>0</v>
      </c>
      <c r="K1674" s="104" t="str">
        <f>IF(H1674&lt;0,"ERROR",IF(H1674=0,"",IF(H1674&lt;CONFIG!$B$4,"CRÍTICO",IF(H1674&lt;CONFIG!$B$5,"BAJO","OK"))))</f>
        <v/>
      </c>
    </row>
    <row r="1675" ht="15.75" hidden="1" customHeight="1">
      <c r="A1675" s="90" t="str">
        <f>IF(CLIENTES!A6="","",CLIENTES!A6)</f>
        <v/>
      </c>
      <c r="B1675" s="90" t="s">
        <v>324</v>
      </c>
      <c r="C1675" s="91" t="s">
        <v>328</v>
      </c>
      <c r="D1675" s="109" t="s">
        <v>353</v>
      </c>
      <c r="E1675" s="67" t="str">
        <f>COLORES!A21</f>
        <v/>
      </c>
      <c r="F1675" s="67" t="str">
        <f>COLORES!B21</f>
        <v/>
      </c>
      <c r="G1675" s="90" t="s">
        <v>379</v>
      </c>
      <c r="H1675" s="100">
        <f>IFERROR(SUMIFS(MOVIMIENTOS_COMPLEMENTOS!$I$4:$I$803,MOVIMIENTOS_COMPLEMENTOS!$C$4:$C$803,A1675,MOVIMIENTOS_COMPLEMENTOS!$D$4:$D$803,B1675,MOVIMIENTOS_COMPLEMENTOS!$E$4:$E$803,C1675,MOVIMIENTOS_COMPLEMENTOS!$G$4:$G$803,E1675,MOVIMIENTOS_COMPLEMENTOS!$H$4:$H$803,G1675,MOVIMIENTOS_COMPLEMENTOS!$B$4:$B$803,"INGRESO")+SUMIFS(MOVIMIENTOS_COMPLEMENTOS!$I$4:$I$803,MOVIMIENTOS_COMPLEMENTOS!$C$4:$C$803,A1675,MOVIMIENTOS_COMPLEMENTOS!$D$4:$D$803,B1675,MOVIMIENTOS_COMPLEMENTOS!$E$4:$E$803,C1675,MOVIMIENTOS_COMPLEMENTOS!$G$4:$G$803,E1675,MOVIMIENTOS_COMPLEMENTOS!$H$4:$H$803,G1675,MOVIMIENTOS_COMPLEMENTOS!$B$4:$B$803,"DE CORTE")-SUMIFS(MOVIMIENTOS_COMPLEMENTOS!$I$4:$I$803,MOVIMIENTOS_COMPLEMENTOS!$C$4:$C$803,A1675,MOVIMIENTOS_COMPLEMENTOS!$D$4:$D$803,B1675,MOVIMIENTOS_COMPLEMENTOS!$E$4:$E$803,C1675,MOVIMIENTOS_COMPLEMENTOS!$G$4:$G$803,E1675,MOVIMIENTOS_COMPLEMENTOS!$H$4:$H$803,G1675,MOVIMIENTOS_COMPLEMENTOS!$B$4:$B$803,"SALIDA"),0)</f>
        <v>0</v>
      </c>
      <c r="I1675" s="102">
        <f t="array" ref="I1675">IFERROR(INDEX(PRECIOS_COMPLEMENTOS!$C$4:$F$17,MATCH(B1675&amp;"_"&amp;C1675,PRECIOS_COMPLEMENTOS!$H$4:$H$17,0),IF(OR(G1675="S",G1675="20cm"),1,IF(OR(G1675="M",G1675="25cm"),2,IF(OR(G1675="L",G1675="30cm"),3,IF(OR(G1675="XL",G1675="35cm"),4,0))))),0)</f>
        <v>0.3</v>
      </c>
      <c r="J1675" s="103">
        <f t="shared" si="1"/>
        <v>0</v>
      </c>
      <c r="K1675" s="104" t="str">
        <f>IF(H1675&lt;0,"ERROR",IF(H1675=0,"",IF(H1675&lt;CONFIG!$B$4,"CRÍTICO",IF(H1675&lt;CONFIG!$B$5,"BAJO","OK"))))</f>
        <v/>
      </c>
    </row>
    <row r="1676" ht="15.75" hidden="1" customHeight="1">
      <c r="A1676" s="90" t="str">
        <f>IF(CLIENTES!A6="","",CLIENTES!A6)</f>
        <v/>
      </c>
      <c r="B1676" s="90" t="s">
        <v>324</v>
      </c>
      <c r="C1676" s="91" t="s">
        <v>328</v>
      </c>
      <c r="D1676" s="109" t="s">
        <v>353</v>
      </c>
      <c r="E1676" s="67" t="str">
        <f>COLORES!A22</f>
        <v/>
      </c>
      <c r="F1676" s="67" t="str">
        <f>COLORES!B22</f>
        <v/>
      </c>
      <c r="G1676" s="90" t="s">
        <v>378</v>
      </c>
      <c r="H1676" s="100">
        <f>IFERROR(SUMIFS(MOVIMIENTOS_COMPLEMENTOS!$I$4:$I$803,MOVIMIENTOS_COMPLEMENTOS!$C$4:$C$803,A1676,MOVIMIENTOS_COMPLEMENTOS!$D$4:$D$803,B1676,MOVIMIENTOS_COMPLEMENTOS!$E$4:$E$803,C1676,MOVIMIENTOS_COMPLEMENTOS!$G$4:$G$803,E1676,MOVIMIENTOS_COMPLEMENTOS!$H$4:$H$803,G1676,MOVIMIENTOS_COMPLEMENTOS!$B$4:$B$803,"INGRESO")+SUMIFS(MOVIMIENTOS_COMPLEMENTOS!$I$4:$I$803,MOVIMIENTOS_COMPLEMENTOS!$C$4:$C$803,A1676,MOVIMIENTOS_COMPLEMENTOS!$D$4:$D$803,B1676,MOVIMIENTOS_COMPLEMENTOS!$E$4:$E$803,C1676,MOVIMIENTOS_COMPLEMENTOS!$G$4:$G$803,E1676,MOVIMIENTOS_COMPLEMENTOS!$H$4:$H$803,G1676,MOVIMIENTOS_COMPLEMENTOS!$B$4:$B$803,"DE CORTE")-SUMIFS(MOVIMIENTOS_COMPLEMENTOS!$I$4:$I$803,MOVIMIENTOS_COMPLEMENTOS!$C$4:$C$803,A1676,MOVIMIENTOS_COMPLEMENTOS!$D$4:$D$803,B1676,MOVIMIENTOS_COMPLEMENTOS!$E$4:$E$803,C1676,MOVIMIENTOS_COMPLEMENTOS!$G$4:$G$803,E1676,MOVIMIENTOS_COMPLEMENTOS!$H$4:$H$803,G1676,MOVIMIENTOS_COMPLEMENTOS!$B$4:$B$803,"SALIDA"),0)</f>
        <v>0</v>
      </c>
      <c r="I1676" s="102">
        <f t="array" ref="I1676">IFERROR(INDEX(PRECIOS_COMPLEMENTOS!$C$4:$F$17,MATCH(B1676&amp;"_"&amp;C1676,PRECIOS_COMPLEMENTOS!$H$4:$H$17,0),IF(OR(G1676="S",G1676="20cm"),1,IF(OR(G1676="M",G1676="25cm"),2,IF(OR(G1676="L",G1676="30cm"),3,IF(OR(G1676="XL",G1676="35cm"),4,0))))),0)</f>
        <v>0.3</v>
      </c>
      <c r="J1676" s="103">
        <f t="shared" si="1"/>
        <v>0</v>
      </c>
      <c r="K1676" s="104" t="str">
        <f>IF(H1676&lt;0,"ERROR",IF(H1676=0,"",IF(H1676&lt;CONFIG!$B$4,"CRÍTICO",IF(H1676&lt;CONFIG!$B$5,"BAJO","OK"))))</f>
        <v/>
      </c>
    </row>
    <row r="1677" ht="15.75" hidden="1" customHeight="1">
      <c r="A1677" s="90" t="str">
        <f>IF(CLIENTES!A6="","",CLIENTES!A6)</f>
        <v/>
      </c>
      <c r="B1677" s="90" t="s">
        <v>324</v>
      </c>
      <c r="C1677" s="91" t="s">
        <v>328</v>
      </c>
      <c r="D1677" s="109" t="s">
        <v>353</v>
      </c>
      <c r="E1677" s="67" t="str">
        <f>COLORES!A22</f>
        <v/>
      </c>
      <c r="F1677" s="67" t="str">
        <f>COLORES!B22</f>
        <v/>
      </c>
      <c r="G1677" s="90" t="s">
        <v>376</v>
      </c>
      <c r="H1677" s="100">
        <f>IFERROR(SUMIFS(MOVIMIENTOS_COMPLEMENTOS!$I$4:$I$803,MOVIMIENTOS_COMPLEMENTOS!$C$4:$C$803,A1677,MOVIMIENTOS_COMPLEMENTOS!$D$4:$D$803,B1677,MOVIMIENTOS_COMPLEMENTOS!$E$4:$E$803,C1677,MOVIMIENTOS_COMPLEMENTOS!$G$4:$G$803,E1677,MOVIMIENTOS_COMPLEMENTOS!$H$4:$H$803,G1677,MOVIMIENTOS_COMPLEMENTOS!$B$4:$B$803,"INGRESO")+SUMIFS(MOVIMIENTOS_COMPLEMENTOS!$I$4:$I$803,MOVIMIENTOS_COMPLEMENTOS!$C$4:$C$803,A1677,MOVIMIENTOS_COMPLEMENTOS!$D$4:$D$803,B1677,MOVIMIENTOS_COMPLEMENTOS!$E$4:$E$803,C1677,MOVIMIENTOS_COMPLEMENTOS!$G$4:$G$803,E1677,MOVIMIENTOS_COMPLEMENTOS!$H$4:$H$803,G1677,MOVIMIENTOS_COMPLEMENTOS!$B$4:$B$803,"DE CORTE")-SUMIFS(MOVIMIENTOS_COMPLEMENTOS!$I$4:$I$803,MOVIMIENTOS_COMPLEMENTOS!$C$4:$C$803,A1677,MOVIMIENTOS_COMPLEMENTOS!$D$4:$D$803,B1677,MOVIMIENTOS_COMPLEMENTOS!$E$4:$E$803,C1677,MOVIMIENTOS_COMPLEMENTOS!$G$4:$G$803,E1677,MOVIMIENTOS_COMPLEMENTOS!$H$4:$H$803,G1677,MOVIMIENTOS_COMPLEMENTOS!$B$4:$B$803,"SALIDA"),0)</f>
        <v>0</v>
      </c>
      <c r="I1677" s="102">
        <f t="array" ref="I1677">IFERROR(INDEX(PRECIOS_COMPLEMENTOS!$C$4:$F$17,MATCH(B1677&amp;"_"&amp;C1677,PRECIOS_COMPLEMENTOS!$H$4:$H$17,0),IF(OR(G1677="S",G1677="20cm"),1,IF(OR(G1677="M",G1677="25cm"),2,IF(OR(G1677="L",G1677="30cm"),3,IF(OR(G1677="XL",G1677="35cm"),4,0))))),0)</f>
        <v>0.3</v>
      </c>
      <c r="J1677" s="103">
        <f t="shared" si="1"/>
        <v>0</v>
      </c>
      <c r="K1677" s="104" t="str">
        <f>IF(H1677&lt;0,"ERROR",IF(H1677=0,"",IF(H1677&lt;CONFIG!$B$4,"CRÍTICO",IF(H1677&lt;CONFIG!$B$5,"BAJO","OK"))))</f>
        <v/>
      </c>
    </row>
    <row r="1678" ht="15.75" hidden="1" customHeight="1">
      <c r="A1678" s="90" t="str">
        <f>IF(CLIENTES!A6="","",CLIENTES!A6)</f>
        <v/>
      </c>
      <c r="B1678" s="90" t="s">
        <v>324</v>
      </c>
      <c r="C1678" s="91" t="s">
        <v>328</v>
      </c>
      <c r="D1678" s="109" t="s">
        <v>353</v>
      </c>
      <c r="E1678" s="67" t="str">
        <f>COLORES!A22</f>
        <v/>
      </c>
      <c r="F1678" s="67" t="str">
        <f>COLORES!B22</f>
        <v/>
      </c>
      <c r="G1678" s="90" t="s">
        <v>377</v>
      </c>
      <c r="H1678" s="100">
        <f>IFERROR(SUMIFS(MOVIMIENTOS_COMPLEMENTOS!$I$4:$I$803,MOVIMIENTOS_COMPLEMENTOS!$C$4:$C$803,A1678,MOVIMIENTOS_COMPLEMENTOS!$D$4:$D$803,B1678,MOVIMIENTOS_COMPLEMENTOS!$E$4:$E$803,C1678,MOVIMIENTOS_COMPLEMENTOS!$G$4:$G$803,E1678,MOVIMIENTOS_COMPLEMENTOS!$H$4:$H$803,G1678,MOVIMIENTOS_COMPLEMENTOS!$B$4:$B$803,"INGRESO")+SUMIFS(MOVIMIENTOS_COMPLEMENTOS!$I$4:$I$803,MOVIMIENTOS_COMPLEMENTOS!$C$4:$C$803,A1678,MOVIMIENTOS_COMPLEMENTOS!$D$4:$D$803,B1678,MOVIMIENTOS_COMPLEMENTOS!$E$4:$E$803,C1678,MOVIMIENTOS_COMPLEMENTOS!$G$4:$G$803,E1678,MOVIMIENTOS_COMPLEMENTOS!$H$4:$H$803,G1678,MOVIMIENTOS_COMPLEMENTOS!$B$4:$B$803,"DE CORTE")-SUMIFS(MOVIMIENTOS_COMPLEMENTOS!$I$4:$I$803,MOVIMIENTOS_COMPLEMENTOS!$C$4:$C$803,A1678,MOVIMIENTOS_COMPLEMENTOS!$D$4:$D$803,B1678,MOVIMIENTOS_COMPLEMENTOS!$E$4:$E$803,C1678,MOVIMIENTOS_COMPLEMENTOS!$G$4:$G$803,E1678,MOVIMIENTOS_COMPLEMENTOS!$H$4:$H$803,G1678,MOVIMIENTOS_COMPLEMENTOS!$B$4:$B$803,"SALIDA"),0)</f>
        <v>0</v>
      </c>
      <c r="I1678" s="102">
        <f t="array" ref="I1678">IFERROR(INDEX(PRECIOS_COMPLEMENTOS!$C$4:$F$17,MATCH(B1678&amp;"_"&amp;C1678,PRECIOS_COMPLEMENTOS!$H$4:$H$17,0),IF(OR(G1678="S",G1678="20cm"),1,IF(OR(G1678="M",G1678="25cm"),2,IF(OR(G1678="L",G1678="30cm"),3,IF(OR(G1678="XL",G1678="35cm"),4,0))))),0)</f>
        <v>0.3</v>
      </c>
      <c r="J1678" s="103">
        <f t="shared" si="1"/>
        <v>0</v>
      </c>
      <c r="K1678" s="104" t="str">
        <f>IF(H1678&lt;0,"ERROR",IF(H1678=0,"",IF(H1678&lt;CONFIG!$B$4,"CRÍTICO",IF(H1678&lt;CONFIG!$B$5,"BAJO","OK"))))</f>
        <v/>
      </c>
    </row>
    <row r="1679" ht="15.75" hidden="1" customHeight="1">
      <c r="A1679" s="90" t="str">
        <f>IF(CLIENTES!A6="","",CLIENTES!A6)</f>
        <v/>
      </c>
      <c r="B1679" s="90" t="s">
        <v>324</v>
      </c>
      <c r="C1679" s="91" t="s">
        <v>328</v>
      </c>
      <c r="D1679" s="109" t="s">
        <v>353</v>
      </c>
      <c r="E1679" s="67" t="str">
        <f>COLORES!A22</f>
        <v/>
      </c>
      <c r="F1679" s="67" t="str">
        <f>COLORES!B22</f>
        <v/>
      </c>
      <c r="G1679" s="90" t="s">
        <v>379</v>
      </c>
      <c r="H1679" s="100">
        <f>IFERROR(SUMIFS(MOVIMIENTOS_COMPLEMENTOS!$I$4:$I$803,MOVIMIENTOS_COMPLEMENTOS!$C$4:$C$803,A1679,MOVIMIENTOS_COMPLEMENTOS!$D$4:$D$803,B1679,MOVIMIENTOS_COMPLEMENTOS!$E$4:$E$803,C1679,MOVIMIENTOS_COMPLEMENTOS!$G$4:$G$803,E1679,MOVIMIENTOS_COMPLEMENTOS!$H$4:$H$803,G1679,MOVIMIENTOS_COMPLEMENTOS!$B$4:$B$803,"INGRESO")+SUMIFS(MOVIMIENTOS_COMPLEMENTOS!$I$4:$I$803,MOVIMIENTOS_COMPLEMENTOS!$C$4:$C$803,A1679,MOVIMIENTOS_COMPLEMENTOS!$D$4:$D$803,B1679,MOVIMIENTOS_COMPLEMENTOS!$E$4:$E$803,C1679,MOVIMIENTOS_COMPLEMENTOS!$G$4:$G$803,E1679,MOVIMIENTOS_COMPLEMENTOS!$H$4:$H$803,G1679,MOVIMIENTOS_COMPLEMENTOS!$B$4:$B$803,"DE CORTE")-SUMIFS(MOVIMIENTOS_COMPLEMENTOS!$I$4:$I$803,MOVIMIENTOS_COMPLEMENTOS!$C$4:$C$803,A1679,MOVIMIENTOS_COMPLEMENTOS!$D$4:$D$803,B1679,MOVIMIENTOS_COMPLEMENTOS!$E$4:$E$803,C1679,MOVIMIENTOS_COMPLEMENTOS!$G$4:$G$803,E1679,MOVIMIENTOS_COMPLEMENTOS!$H$4:$H$803,G1679,MOVIMIENTOS_COMPLEMENTOS!$B$4:$B$803,"SALIDA"),0)</f>
        <v>0</v>
      </c>
      <c r="I1679" s="102">
        <f t="array" ref="I1679">IFERROR(INDEX(PRECIOS_COMPLEMENTOS!$C$4:$F$17,MATCH(B1679&amp;"_"&amp;C1679,PRECIOS_COMPLEMENTOS!$H$4:$H$17,0),IF(OR(G1679="S",G1679="20cm"),1,IF(OR(G1679="M",G1679="25cm"),2,IF(OR(G1679="L",G1679="30cm"),3,IF(OR(G1679="XL",G1679="35cm"),4,0))))),0)</f>
        <v>0.3</v>
      </c>
      <c r="J1679" s="103">
        <f t="shared" si="1"/>
        <v>0</v>
      </c>
      <c r="K1679" s="104" t="str">
        <f>IF(H1679&lt;0,"ERROR",IF(H1679=0,"",IF(H1679&lt;CONFIG!$B$4,"CRÍTICO",IF(H1679&lt;CONFIG!$B$5,"BAJO","OK"))))</f>
        <v/>
      </c>
    </row>
    <row r="1680" ht="15.75" hidden="1" customHeight="1">
      <c r="A1680" s="90" t="str">
        <f>IF(CLIENTES!A6="","",CLIENTES!A6)</f>
        <v/>
      </c>
      <c r="B1680" s="90" t="s">
        <v>324</v>
      </c>
      <c r="C1680" s="91" t="s">
        <v>328</v>
      </c>
      <c r="D1680" s="109" t="s">
        <v>353</v>
      </c>
      <c r="E1680" s="67" t="str">
        <f>COLORES!A23</f>
        <v/>
      </c>
      <c r="F1680" s="67" t="str">
        <f>COLORES!B23</f>
        <v/>
      </c>
      <c r="G1680" s="90" t="s">
        <v>378</v>
      </c>
      <c r="H1680" s="100">
        <f>IFERROR(SUMIFS(MOVIMIENTOS_COMPLEMENTOS!$I$4:$I$803,MOVIMIENTOS_COMPLEMENTOS!$C$4:$C$803,A1680,MOVIMIENTOS_COMPLEMENTOS!$D$4:$D$803,B1680,MOVIMIENTOS_COMPLEMENTOS!$E$4:$E$803,C1680,MOVIMIENTOS_COMPLEMENTOS!$G$4:$G$803,E1680,MOVIMIENTOS_COMPLEMENTOS!$H$4:$H$803,G1680,MOVIMIENTOS_COMPLEMENTOS!$B$4:$B$803,"INGRESO")+SUMIFS(MOVIMIENTOS_COMPLEMENTOS!$I$4:$I$803,MOVIMIENTOS_COMPLEMENTOS!$C$4:$C$803,A1680,MOVIMIENTOS_COMPLEMENTOS!$D$4:$D$803,B1680,MOVIMIENTOS_COMPLEMENTOS!$E$4:$E$803,C1680,MOVIMIENTOS_COMPLEMENTOS!$G$4:$G$803,E1680,MOVIMIENTOS_COMPLEMENTOS!$H$4:$H$803,G1680,MOVIMIENTOS_COMPLEMENTOS!$B$4:$B$803,"DE CORTE")-SUMIFS(MOVIMIENTOS_COMPLEMENTOS!$I$4:$I$803,MOVIMIENTOS_COMPLEMENTOS!$C$4:$C$803,A1680,MOVIMIENTOS_COMPLEMENTOS!$D$4:$D$803,B1680,MOVIMIENTOS_COMPLEMENTOS!$E$4:$E$803,C1680,MOVIMIENTOS_COMPLEMENTOS!$G$4:$G$803,E1680,MOVIMIENTOS_COMPLEMENTOS!$H$4:$H$803,G1680,MOVIMIENTOS_COMPLEMENTOS!$B$4:$B$803,"SALIDA"),0)</f>
        <v>0</v>
      </c>
      <c r="I1680" s="102">
        <f t="array" ref="I1680">IFERROR(INDEX(PRECIOS_COMPLEMENTOS!$C$4:$F$17,MATCH(B1680&amp;"_"&amp;C1680,PRECIOS_COMPLEMENTOS!$H$4:$H$17,0),IF(OR(G1680="S",G1680="20cm"),1,IF(OR(G1680="M",G1680="25cm"),2,IF(OR(G1680="L",G1680="30cm"),3,IF(OR(G1680="XL",G1680="35cm"),4,0))))),0)</f>
        <v>0.3</v>
      </c>
      <c r="J1680" s="103">
        <f t="shared" si="1"/>
        <v>0</v>
      </c>
      <c r="K1680" s="104" t="str">
        <f>IF(H1680&lt;0,"ERROR",IF(H1680=0,"",IF(H1680&lt;CONFIG!$B$4,"CRÍTICO",IF(H1680&lt;CONFIG!$B$5,"BAJO","OK"))))</f>
        <v/>
      </c>
    </row>
    <row r="1681" ht="15.75" hidden="1" customHeight="1">
      <c r="A1681" s="90" t="str">
        <f>IF(CLIENTES!A6="","",CLIENTES!A6)</f>
        <v/>
      </c>
      <c r="B1681" s="90" t="s">
        <v>324</v>
      </c>
      <c r="C1681" s="91" t="s">
        <v>328</v>
      </c>
      <c r="D1681" s="109" t="s">
        <v>353</v>
      </c>
      <c r="E1681" s="67" t="str">
        <f>COLORES!A23</f>
        <v/>
      </c>
      <c r="F1681" s="67" t="str">
        <f>COLORES!B23</f>
        <v/>
      </c>
      <c r="G1681" s="90" t="s">
        <v>376</v>
      </c>
      <c r="H1681" s="100">
        <f>IFERROR(SUMIFS(MOVIMIENTOS_COMPLEMENTOS!$I$4:$I$803,MOVIMIENTOS_COMPLEMENTOS!$C$4:$C$803,A1681,MOVIMIENTOS_COMPLEMENTOS!$D$4:$D$803,B1681,MOVIMIENTOS_COMPLEMENTOS!$E$4:$E$803,C1681,MOVIMIENTOS_COMPLEMENTOS!$G$4:$G$803,E1681,MOVIMIENTOS_COMPLEMENTOS!$H$4:$H$803,G1681,MOVIMIENTOS_COMPLEMENTOS!$B$4:$B$803,"INGRESO")+SUMIFS(MOVIMIENTOS_COMPLEMENTOS!$I$4:$I$803,MOVIMIENTOS_COMPLEMENTOS!$C$4:$C$803,A1681,MOVIMIENTOS_COMPLEMENTOS!$D$4:$D$803,B1681,MOVIMIENTOS_COMPLEMENTOS!$E$4:$E$803,C1681,MOVIMIENTOS_COMPLEMENTOS!$G$4:$G$803,E1681,MOVIMIENTOS_COMPLEMENTOS!$H$4:$H$803,G1681,MOVIMIENTOS_COMPLEMENTOS!$B$4:$B$803,"DE CORTE")-SUMIFS(MOVIMIENTOS_COMPLEMENTOS!$I$4:$I$803,MOVIMIENTOS_COMPLEMENTOS!$C$4:$C$803,A1681,MOVIMIENTOS_COMPLEMENTOS!$D$4:$D$803,B1681,MOVIMIENTOS_COMPLEMENTOS!$E$4:$E$803,C1681,MOVIMIENTOS_COMPLEMENTOS!$G$4:$G$803,E1681,MOVIMIENTOS_COMPLEMENTOS!$H$4:$H$803,G1681,MOVIMIENTOS_COMPLEMENTOS!$B$4:$B$803,"SALIDA"),0)</f>
        <v>0</v>
      </c>
      <c r="I1681" s="102">
        <f t="array" ref="I1681">IFERROR(INDEX(PRECIOS_COMPLEMENTOS!$C$4:$F$17,MATCH(B1681&amp;"_"&amp;C1681,PRECIOS_COMPLEMENTOS!$H$4:$H$17,0),IF(OR(G1681="S",G1681="20cm"),1,IF(OR(G1681="M",G1681="25cm"),2,IF(OR(G1681="L",G1681="30cm"),3,IF(OR(G1681="XL",G1681="35cm"),4,0))))),0)</f>
        <v>0.3</v>
      </c>
      <c r="J1681" s="103">
        <f t="shared" si="1"/>
        <v>0</v>
      </c>
      <c r="K1681" s="104" t="str">
        <f>IF(H1681&lt;0,"ERROR",IF(H1681=0,"",IF(H1681&lt;CONFIG!$B$4,"CRÍTICO",IF(H1681&lt;CONFIG!$B$5,"BAJO","OK"))))</f>
        <v/>
      </c>
    </row>
    <row r="1682" ht="15.75" hidden="1" customHeight="1">
      <c r="A1682" s="90" t="str">
        <f>IF(CLIENTES!A6="","",CLIENTES!A6)</f>
        <v/>
      </c>
      <c r="B1682" s="90" t="s">
        <v>324</v>
      </c>
      <c r="C1682" s="91" t="s">
        <v>328</v>
      </c>
      <c r="D1682" s="109" t="s">
        <v>353</v>
      </c>
      <c r="E1682" s="67" t="str">
        <f>COLORES!A23</f>
        <v/>
      </c>
      <c r="F1682" s="67" t="str">
        <f>COLORES!B23</f>
        <v/>
      </c>
      <c r="G1682" s="90" t="s">
        <v>377</v>
      </c>
      <c r="H1682" s="100">
        <f>IFERROR(SUMIFS(MOVIMIENTOS_COMPLEMENTOS!$I$4:$I$803,MOVIMIENTOS_COMPLEMENTOS!$C$4:$C$803,A1682,MOVIMIENTOS_COMPLEMENTOS!$D$4:$D$803,B1682,MOVIMIENTOS_COMPLEMENTOS!$E$4:$E$803,C1682,MOVIMIENTOS_COMPLEMENTOS!$G$4:$G$803,E1682,MOVIMIENTOS_COMPLEMENTOS!$H$4:$H$803,G1682,MOVIMIENTOS_COMPLEMENTOS!$B$4:$B$803,"INGRESO")+SUMIFS(MOVIMIENTOS_COMPLEMENTOS!$I$4:$I$803,MOVIMIENTOS_COMPLEMENTOS!$C$4:$C$803,A1682,MOVIMIENTOS_COMPLEMENTOS!$D$4:$D$803,B1682,MOVIMIENTOS_COMPLEMENTOS!$E$4:$E$803,C1682,MOVIMIENTOS_COMPLEMENTOS!$G$4:$G$803,E1682,MOVIMIENTOS_COMPLEMENTOS!$H$4:$H$803,G1682,MOVIMIENTOS_COMPLEMENTOS!$B$4:$B$803,"DE CORTE")-SUMIFS(MOVIMIENTOS_COMPLEMENTOS!$I$4:$I$803,MOVIMIENTOS_COMPLEMENTOS!$C$4:$C$803,A1682,MOVIMIENTOS_COMPLEMENTOS!$D$4:$D$803,B1682,MOVIMIENTOS_COMPLEMENTOS!$E$4:$E$803,C1682,MOVIMIENTOS_COMPLEMENTOS!$G$4:$G$803,E1682,MOVIMIENTOS_COMPLEMENTOS!$H$4:$H$803,G1682,MOVIMIENTOS_COMPLEMENTOS!$B$4:$B$803,"SALIDA"),0)</f>
        <v>0</v>
      </c>
      <c r="I1682" s="102">
        <f t="array" ref="I1682">IFERROR(INDEX(PRECIOS_COMPLEMENTOS!$C$4:$F$17,MATCH(B1682&amp;"_"&amp;C1682,PRECIOS_COMPLEMENTOS!$H$4:$H$17,0),IF(OR(G1682="S",G1682="20cm"),1,IF(OR(G1682="M",G1682="25cm"),2,IF(OR(G1682="L",G1682="30cm"),3,IF(OR(G1682="XL",G1682="35cm"),4,0))))),0)</f>
        <v>0.3</v>
      </c>
      <c r="J1682" s="103">
        <f t="shared" si="1"/>
        <v>0</v>
      </c>
      <c r="K1682" s="104" t="str">
        <f>IF(H1682&lt;0,"ERROR",IF(H1682=0,"",IF(H1682&lt;CONFIG!$B$4,"CRÍTICO",IF(H1682&lt;CONFIG!$B$5,"BAJO","OK"))))</f>
        <v/>
      </c>
    </row>
    <row r="1683" ht="15.75" hidden="1" customHeight="1">
      <c r="A1683" s="90" t="str">
        <f>IF(CLIENTES!A6="","",CLIENTES!A6)</f>
        <v/>
      </c>
      <c r="B1683" s="90" t="s">
        <v>324</v>
      </c>
      <c r="C1683" s="91" t="s">
        <v>328</v>
      </c>
      <c r="D1683" s="109" t="s">
        <v>353</v>
      </c>
      <c r="E1683" s="67" t="str">
        <f>COLORES!A23</f>
        <v/>
      </c>
      <c r="F1683" s="67" t="str">
        <f>COLORES!B23</f>
        <v/>
      </c>
      <c r="G1683" s="90" t="s">
        <v>379</v>
      </c>
      <c r="H1683" s="100">
        <f>IFERROR(SUMIFS(MOVIMIENTOS_COMPLEMENTOS!$I$4:$I$803,MOVIMIENTOS_COMPLEMENTOS!$C$4:$C$803,A1683,MOVIMIENTOS_COMPLEMENTOS!$D$4:$D$803,B1683,MOVIMIENTOS_COMPLEMENTOS!$E$4:$E$803,C1683,MOVIMIENTOS_COMPLEMENTOS!$G$4:$G$803,E1683,MOVIMIENTOS_COMPLEMENTOS!$H$4:$H$803,G1683,MOVIMIENTOS_COMPLEMENTOS!$B$4:$B$803,"INGRESO")+SUMIFS(MOVIMIENTOS_COMPLEMENTOS!$I$4:$I$803,MOVIMIENTOS_COMPLEMENTOS!$C$4:$C$803,A1683,MOVIMIENTOS_COMPLEMENTOS!$D$4:$D$803,B1683,MOVIMIENTOS_COMPLEMENTOS!$E$4:$E$803,C1683,MOVIMIENTOS_COMPLEMENTOS!$G$4:$G$803,E1683,MOVIMIENTOS_COMPLEMENTOS!$H$4:$H$803,G1683,MOVIMIENTOS_COMPLEMENTOS!$B$4:$B$803,"DE CORTE")-SUMIFS(MOVIMIENTOS_COMPLEMENTOS!$I$4:$I$803,MOVIMIENTOS_COMPLEMENTOS!$C$4:$C$803,A1683,MOVIMIENTOS_COMPLEMENTOS!$D$4:$D$803,B1683,MOVIMIENTOS_COMPLEMENTOS!$E$4:$E$803,C1683,MOVIMIENTOS_COMPLEMENTOS!$G$4:$G$803,E1683,MOVIMIENTOS_COMPLEMENTOS!$H$4:$H$803,G1683,MOVIMIENTOS_COMPLEMENTOS!$B$4:$B$803,"SALIDA"),0)</f>
        <v>0</v>
      </c>
      <c r="I1683" s="102">
        <f t="array" ref="I1683">IFERROR(INDEX(PRECIOS_COMPLEMENTOS!$C$4:$F$17,MATCH(B1683&amp;"_"&amp;C1683,PRECIOS_COMPLEMENTOS!$H$4:$H$17,0),IF(OR(G1683="S",G1683="20cm"),1,IF(OR(G1683="M",G1683="25cm"),2,IF(OR(G1683="L",G1683="30cm"),3,IF(OR(G1683="XL",G1683="35cm"),4,0))))),0)</f>
        <v>0.3</v>
      </c>
      <c r="J1683" s="103">
        <f t="shared" si="1"/>
        <v>0</v>
      </c>
      <c r="K1683" s="104" t="str">
        <f>IF(H1683&lt;0,"ERROR",IF(H1683=0,"",IF(H1683&lt;CONFIG!$B$4,"CRÍTICO",IF(H1683&lt;CONFIG!$B$5,"BAJO","OK"))))</f>
        <v/>
      </c>
    </row>
    <row r="1684" ht="15.75" hidden="1" customHeight="1">
      <c r="A1684" s="90" t="str">
        <f>IF(CLIENTES!A7="","",CLIENTES!A7)</f>
        <v/>
      </c>
      <c r="B1684" s="90" t="s">
        <v>324</v>
      </c>
      <c r="C1684" s="91" t="s">
        <v>328</v>
      </c>
      <c r="D1684" s="109" t="s">
        <v>353</v>
      </c>
      <c r="E1684" s="67" t="str">
        <f>COLORES!A4</f>
        <v>Negro</v>
      </c>
      <c r="F1684" s="67" t="str">
        <f>COLORES!B4</f>
        <v>OSCURO</v>
      </c>
      <c r="G1684" s="90" t="s">
        <v>378</v>
      </c>
      <c r="H1684" s="100">
        <f>IFERROR(SUMIFS(MOVIMIENTOS_COMPLEMENTOS!$I$4:$I$803,MOVIMIENTOS_COMPLEMENTOS!$C$4:$C$803,A1684,MOVIMIENTOS_COMPLEMENTOS!$D$4:$D$803,B1684,MOVIMIENTOS_COMPLEMENTOS!$E$4:$E$803,C1684,MOVIMIENTOS_COMPLEMENTOS!$G$4:$G$803,E1684,MOVIMIENTOS_COMPLEMENTOS!$H$4:$H$803,G1684,MOVIMIENTOS_COMPLEMENTOS!$B$4:$B$803,"INGRESO")+SUMIFS(MOVIMIENTOS_COMPLEMENTOS!$I$4:$I$803,MOVIMIENTOS_COMPLEMENTOS!$C$4:$C$803,A1684,MOVIMIENTOS_COMPLEMENTOS!$D$4:$D$803,B1684,MOVIMIENTOS_COMPLEMENTOS!$E$4:$E$803,C1684,MOVIMIENTOS_COMPLEMENTOS!$G$4:$G$803,E1684,MOVIMIENTOS_COMPLEMENTOS!$H$4:$H$803,G1684,MOVIMIENTOS_COMPLEMENTOS!$B$4:$B$803,"DE CORTE")-SUMIFS(MOVIMIENTOS_COMPLEMENTOS!$I$4:$I$803,MOVIMIENTOS_COMPLEMENTOS!$C$4:$C$803,A1684,MOVIMIENTOS_COMPLEMENTOS!$D$4:$D$803,B1684,MOVIMIENTOS_COMPLEMENTOS!$E$4:$E$803,C1684,MOVIMIENTOS_COMPLEMENTOS!$G$4:$G$803,E1684,MOVIMIENTOS_COMPLEMENTOS!$H$4:$H$803,G1684,MOVIMIENTOS_COMPLEMENTOS!$B$4:$B$803,"SALIDA"),0)</f>
        <v>0</v>
      </c>
      <c r="I1684" s="102">
        <f t="array" ref="I1684">IFERROR(INDEX(PRECIOS_COMPLEMENTOS!$C$4:$F$17,MATCH(B1684&amp;"_"&amp;C1684,PRECIOS_COMPLEMENTOS!$H$4:$H$17,0),IF(OR(G1684="S",G1684="20cm"),1,IF(OR(G1684="M",G1684="25cm"),2,IF(OR(G1684="L",G1684="30cm"),3,IF(OR(G1684="XL",G1684="35cm"),4,0))))),0)</f>
        <v>0.3</v>
      </c>
      <c r="J1684" s="103">
        <f t="shared" si="1"/>
        <v>0</v>
      </c>
      <c r="K1684" s="104" t="str">
        <f>IF(H1684&lt;0,"ERROR",IF(H1684=0,"",IF(H1684&lt;CONFIG!$B$4,"CRÍTICO",IF(H1684&lt;CONFIG!$B$5,"BAJO","OK"))))</f>
        <v/>
      </c>
    </row>
    <row r="1685" ht="15.75" hidden="1" customHeight="1">
      <c r="A1685" s="90" t="str">
        <f>IF(CLIENTES!A7="","",CLIENTES!A7)</f>
        <v/>
      </c>
      <c r="B1685" s="90" t="s">
        <v>324</v>
      </c>
      <c r="C1685" s="91" t="s">
        <v>328</v>
      </c>
      <c r="D1685" s="109" t="s">
        <v>353</v>
      </c>
      <c r="E1685" s="67" t="str">
        <f>COLORES!A4</f>
        <v>Negro</v>
      </c>
      <c r="F1685" s="67" t="str">
        <f>COLORES!B4</f>
        <v>OSCURO</v>
      </c>
      <c r="G1685" s="90" t="s">
        <v>376</v>
      </c>
      <c r="H1685" s="100">
        <f>IFERROR(SUMIFS(MOVIMIENTOS_COMPLEMENTOS!$I$4:$I$803,MOVIMIENTOS_COMPLEMENTOS!$C$4:$C$803,A1685,MOVIMIENTOS_COMPLEMENTOS!$D$4:$D$803,B1685,MOVIMIENTOS_COMPLEMENTOS!$E$4:$E$803,C1685,MOVIMIENTOS_COMPLEMENTOS!$G$4:$G$803,E1685,MOVIMIENTOS_COMPLEMENTOS!$H$4:$H$803,G1685,MOVIMIENTOS_COMPLEMENTOS!$B$4:$B$803,"INGRESO")+SUMIFS(MOVIMIENTOS_COMPLEMENTOS!$I$4:$I$803,MOVIMIENTOS_COMPLEMENTOS!$C$4:$C$803,A1685,MOVIMIENTOS_COMPLEMENTOS!$D$4:$D$803,B1685,MOVIMIENTOS_COMPLEMENTOS!$E$4:$E$803,C1685,MOVIMIENTOS_COMPLEMENTOS!$G$4:$G$803,E1685,MOVIMIENTOS_COMPLEMENTOS!$H$4:$H$803,G1685,MOVIMIENTOS_COMPLEMENTOS!$B$4:$B$803,"DE CORTE")-SUMIFS(MOVIMIENTOS_COMPLEMENTOS!$I$4:$I$803,MOVIMIENTOS_COMPLEMENTOS!$C$4:$C$803,A1685,MOVIMIENTOS_COMPLEMENTOS!$D$4:$D$803,B1685,MOVIMIENTOS_COMPLEMENTOS!$E$4:$E$803,C1685,MOVIMIENTOS_COMPLEMENTOS!$G$4:$G$803,E1685,MOVIMIENTOS_COMPLEMENTOS!$H$4:$H$803,G1685,MOVIMIENTOS_COMPLEMENTOS!$B$4:$B$803,"SALIDA"),0)</f>
        <v>0</v>
      </c>
      <c r="I1685" s="102">
        <f t="array" ref="I1685">IFERROR(INDEX(PRECIOS_COMPLEMENTOS!$C$4:$F$17,MATCH(B1685&amp;"_"&amp;C1685,PRECIOS_COMPLEMENTOS!$H$4:$H$17,0),IF(OR(G1685="S",G1685="20cm"),1,IF(OR(G1685="M",G1685="25cm"),2,IF(OR(G1685="L",G1685="30cm"),3,IF(OR(G1685="XL",G1685="35cm"),4,0))))),0)</f>
        <v>0.3</v>
      </c>
      <c r="J1685" s="103">
        <f t="shared" si="1"/>
        <v>0</v>
      </c>
      <c r="K1685" s="104" t="str">
        <f>IF(H1685&lt;0,"ERROR",IF(H1685=0,"",IF(H1685&lt;CONFIG!$B$4,"CRÍTICO",IF(H1685&lt;CONFIG!$B$5,"BAJO","OK"))))</f>
        <v/>
      </c>
    </row>
    <row r="1686" ht="15.75" hidden="1" customHeight="1">
      <c r="A1686" s="90" t="str">
        <f>IF(CLIENTES!A7="","",CLIENTES!A7)</f>
        <v/>
      </c>
      <c r="B1686" s="90" t="s">
        <v>324</v>
      </c>
      <c r="C1686" s="91" t="s">
        <v>328</v>
      </c>
      <c r="D1686" s="109" t="s">
        <v>353</v>
      </c>
      <c r="E1686" s="67" t="str">
        <f>COLORES!A4</f>
        <v>Negro</v>
      </c>
      <c r="F1686" s="67" t="str">
        <f>COLORES!B4</f>
        <v>OSCURO</v>
      </c>
      <c r="G1686" s="90" t="s">
        <v>377</v>
      </c>
      <c r="H1686" s="100">
        <f>IFERROR(SUMIFS(MOVIMIENTOS_COMPLEMENTOS!$I$4:$I$803,MOVIMIENTOS_COMPLEMENTOS!$C$4:$C$803,A1686,MOVIMIENTOS_COMPLEMENTOS!$D$4:$D$803,B1686,MOVIMIENTOS_COMPLEMENTOS!$E$4:$E$803,C1686,MOVIMIENTOS_COMPLEMENTOS!$G$4:$G$803,E1686,MOVIMIENTOS_COMPLEMENTOS!$H$4:$H$803,G1686,MOVIMIENTOS_COMPLEMENTOS!$B$4:$B$803,"INGRESO")+SUMIFS(MOVIMIENTOS_COMPLEMENTOS!$I$4:$I$803,MOVIMIENTOS_COMPLEMENTOS!$C$4:$C$803,A1686,MOVIMIENTOS_COMPLEMENTOS!$D$4:$D$803,B1686,MOVIMIENTOS_COMPLEMENTOS!$E$4:$E$803,C1686,MOVIMIENTOS_COMPLEMENTOS!$G$4:$G$803,E1686,MOVIMIENTOS_COMPLEMENTOS!$H$4:$H$803,G1686,MOVIMIENTOS_COMPLEMENTOS!$B$4:$B$803,"DE CORTE")-SUMIFS(MOVIMIENTOS_COMPLEMENTOS!$I$4:$I$803,MOVIMIENTOS_COMPLEMENTOS!$C$4:$C$803,A1686,MOVIMIENTOS_COMPLEMENTOS!$D$4:$D$803,B1686,MOVIMIENTOS_COMPLEMENTOS!$E$4:$E$803,C1686,MOVIMIENTOS_COMPLEMENTOS!$G$4:$G$803,E1686,MOVIMIENTOS_COMPLEMENTOS!$H$4:$H$803,G1686,MOVIMIENTOS_COMPLEMENTOS!$B$4:$B$803,"SALIDA"),0)</f>
        <v>0</v>
      </c>
      <c r="I1686" s="102">
        <f t="array" ref="I1686">IFERROR(INDEX(PRECIOS_COMPLEMENTOS!$C$4:$F$17,MATCH(B1686&amp;"_"&amp;C1686,PRECIOS_COMPLEMENTOS!$H$4:$H$17,0),IF(OR(G1686="S",G1686="20cm"),1,IF(OR(G1686="M",G1686="25cm"),2,IF(OR(G1686="L",G1686="30cm"),3,IF(OR(G1686="XL",G1686="35cm"),4,0))))),0)</f>
        <v>0.3</v>
      </c>
      <c r="J1686" s="103">
        <f t="shared" si="1"/>
        <v>0</v>
      </c>
      <c r="K1686" s="104" t="str">
        <f>IF(H1686&lt;0,"ERROR",IF(H1686=0,"",IF(H1686&lt;CONFIG!$B$4,"CRÍTICO",IF(H1686&lt;CONFIG!$B$5,"BAJO","OK"))))</f>
        <v/>
      </c>
    </row>
    <row r="1687" ht="15.75" hidden="1" customHeight="1">
      <c r="A1687" s="90" t="str">
        <f>IF(CLIENTES!A7="","",CLIENTES!A7)</f>
        <v/>
      </c>
      <c r="B1687" s="90" t="s">
        <v>324</v>
      </c>
      <c r="C1687" s="91" t="s">
        <v>328</v>
      </c>
      <c r="D1687" s="109" t="s">
        <v>353</v>
      </c>
      <c r="E1687" s="67" t="str">
        <f>COLORES!A4</f>
        <v>Negro</v>
      </c>
      <c r="F1687" s="67" t="str">
        <f>COLORES!B4</f>
        <v>OSCURO</v>
      </c>
      <c r="G1687" s="90" t="s">
        <v>379</v>
      </c>
      <c r="H1687" s="100">
        <f>IFERROR(SUMIFS(MOVIMIENTOS_COMPLEMENTOS!$I$4:$I$803,MOVIMIENTOS_COMPLEMENTOS!$C$4:$C$803,A1687,MOVIMIENTOS_COMPLEMENTOS!$D$4:$D$803,B1687,MOVIMIENTOS_COMPLEMENTOS!$E$4:$E$803,C1687,MOVIMIENTOS_COMPLEMENTOS!$G$4:$G$803,E1687,MOVIMIENTOS_COMPLEMENTOS!$H$4:$H$803,G1687,MOVIMIENTOS_COMPLEMENTOS!$B$4:$B$803,"INGRESO")+SUMIFS(MOVIMIENTOS_COMPLEMENTOS!$I$4:$I$803,MOVIMIENTOS_COMPLEMENTOS!$C$4:$C$803,A1687,MOVIMIENTOS_COMPLEMENTOS!$D$4:$D$803,B1687,MOVIMIENTOS_COMPLEMENTOS!$E$4:$E$803,C1687,MOVIMIENTOS_COMPLEMENTOS!$G$4:$G$803,E1687,MOVIMIENTOS_COMPLEMENTOS!$H$4:$H$803,G1687,MOVIMIENTOS_COMPLEMENTOS!$B$4:$B$803,"DE CORTE")-SUMIFS(MOVIMIENTOS_COMPLEMENTOS!$I$4:$I$803,MOVIMIENTOS_COMPLEMENTOS!$C$4:$C$803,A1687,MOVIMIENTOS_COMPLEMENTOS!$D$4:$D$803,B1687,MOVIMIENTOS_COMPLEMENTOS!$E$4:$E$803,C1687,MOVIMIENTOS_COMPLEMENTOS!$G$4:$G$803,E1687,MOVIMIENTOS_COMPLEMENTOS!$H$4:$H$803,G1687,MOVIMIENTOS_COMPLEMENTOS!$B$4:$B$803,"SALIDA"),0)</f>
        <v>0</v>
      </c>
      <c r="I1687" s="102">
        <f t="array" ref="I1687">IFERROR(INDEX(PRECIOS_COMPLEMENTOS!$C$4:$F$17,MATCH(B1687&amp;"_"&amp;C1687,PRECIOS_COMPLEMENTOS!$H$4:$H$17,0),IF(OR(G1687="S",G1687="20cm"),1,IF(OR(G1687="M",G1687="25cm"),2,IF(OR(G1687="L",G1687="30cm"),3,IF(OR(G1687="XL",G1687="35cm"),4,0))))),0)</f>
        <v>0.3</v>
      </c>
      <c r="J1687" s="103">
        <f t="shared" si="1"/>
        <v>0</v>
      </c>
      <c r="K1687" s="104" t="str">
        <f>IF(H1687&lt;0,"ERROR",IF(H1687=0,"",IF(H1687&lt;CONFIG!$B$4,"CRÍTICO",IF(H1687&lt;CONFIG!$B$5,"BAJO","OK"))))</f>
        <v/>
      </c>
    </row>
    <row r="1688" ht="15.75" hidden="1" customHeight="1">
      <c r="A1688" s="90" t="str">
        <f>IF(CLIENTES!A7="","",CLIENTES!A7)</f>
        <v/>
      </c>
      <c r="B1688" s="90" t="s">
        <v>324</v>
      </c>
      <c r="C1688" s="91" t="s">
        <v>328</v>
      </c>
      <c r="D1688" s="109" t="s">
        <v>353</v>
      </c>
      <c r="E1688" s="67" t="str">
        <f>COLORES!A5</f>
        <v>Perla</v>
      </c>
      <c r="F1688" s="67" t="str">
        <f>COLORES!B5</f>
        <v>PPT</v>
      </c>
      <c r="G1688" s="90" t="s">
        <v>378</v>
      </c>
      <c r="H1688" s="100">
        <f>IFERROR(SUMIFS(MOVIMIENTOS_COMPLEMENTOS!$I$4:$I$803,MOVIMIENTOS_COMPLEMENTOS!$C$4:$C$803,A1688,MOVIMIENTOS_COMPLEMENTOS!$D$4:$D$803,B1688,MOVIMIENTOS_COMPLEMENTOS!$E$4:$E$803,C1688,MOVIMIENTOS_COMPLEMENTOS!$G$4:$G$803,E1688,MOVIMIENTOS_COMPLEMENTOS!$H$4:$H$803,G1688,MOVIMIENTOS_COMPLEMENTOS!$B$4:$B$803,"INGRESO")+SUMIFS(MOVIMIENTOS_COMPLEMENTOS!$I$4:$I$803,MOVIMIENTOS_COMPLEMENTOS!$C$4:$C$803,A1688,MOVIMIENTOS_COMPLEMENTOS!$D$4:$D$803,B1688,MOVIMIENTOS_COMPLEMENTOS!$E$4:$E$803,C1688,MOVIMIENTOS_COMPLEMENTOS!$G$4:$G$803,E1688,MOVIMIENTOS_COMPLEMENTOS!$H$4:$H$803,G1688,MOVIMIENTOS_COMPLEMENTOS!$B$4:$B$803,"DE CORTE")-SUMIFS(MOVIMIENTOS_COMPLEMENTOS!$I$4:$I$803,MOVIMIENTOS_COMPLEMENTOS!$C$4:$C$803,A1688,MOVIMIENTOS_COMPLEMENTOS!$D$4:$D$803,B1688,MOVIMIENTOS_COMPLEMENTOS!$E$4:$E$803,C1688,MOVIMIENTOS_COMPLEMENTOS!$G$4:$G$803,E1688,MOVIMIENTOS_COMPLEMENTOS!$H$4:$H$803,G1688,MOVIMIENTOS_COMPLEMENTOS!$B$4:$B$803,"SALIDA"),0)</f>
        <v>0</v>
      </c>
      <c r="I1688" s="102">
        <f t="array" ref="I1688">IFERROR(INDEX(PRECIOS_COMPLEMENTOS!$C$4:$F$17,MATCH(B1688&amp;"_"&amp;C1688,PRECIOS_COMPLEMENTOS!$H$4:$H$17,0),IF(OR(G1688="S",G1688="20cm"),1,IF(OR(G1688="M",G1688="25cm"),2,IF(OR(G1688="L",G1688="30cm"),3,IF(OR(G1688="XL",G1688="35cm"),4,0))))),0)</f>
        <v>0.3</v>
      </c>
      <c r="J1688" s="103">
        <f t="shared" si="1"/>
        <v>0</v>
      </c>
      <c r="K1688" s="104" t="str">
        <f>IF(H1688&lt;0,"ERROR",IF(H1688=0,"",IF(H1688&lt;CONFIG!$B$4,"CRÍTICO",IF(H1688&lt;CONFIG!$B$5,"BAJO","OK"))))</f>
        <v/>
      </c>
    </row>
    <row r="1689" ht="15.75" hidden="1" customHeight="1">
      <c r="A1689" s="90" t="str">
        <f>IF(CLIENTES!A7="","",CLIENTES!A7)</f>
        <v/>
      </c>
      <c r="B1689" s="90" t="s">
        <v>324</v>
      </c>
      <c r="C1689" s="91" t="s">
        <v>328</v>
      </c>
      <c r="D1689" s="109" t="s">
        <v>353</v>
      </c>
      <c r="E1689" s="67" t="str">
        <f>COLORES!A5</f>
        <v>Perla</v>
      </c>
      <c r="F1689" s="67" t="str">
        <f>COLORES!B5</f>
        <v>PPT</v>
      </c>
      <c r="G1689" s="90" t="s">
        <v>376</v>
      </c>
      <c r="H1689" s="100">
        <f>IFERROR(SUMIFS(MOVIMIENTOS_COMPLEMENTOS!$I$4:$I$803,MOVIMIENTOS_COMPLEMENTOS!$C$4:$C$803,A1689,MOVIMIENTOS_COMPLEMENTOS!$D$4:$D$803,B1689,MOVIMIENTOS_COMPLEMENTOS!$E$4:$E$803,C1689,MOVIMIENTOS_COMPLEMENTOS!$G$4:$G$803,E1689,MOVIMIENTOS_COMPLEMENTOS!$H$4:$H$803,G1689,MOVIMIENTOS_COMPLEMENTOS!$B$4:$B$803,"INGRESO")+SUMIFS(MOVIMIENTOS_COMPLEMENTOS!$I$4:$I$803,MOVIMIENTOS_COMPLEMENTOS!$C$4:$C$803,A1689,MOVIMIENTOS_COMPLEMENTOS!$D$4:$D$803,B1689,MOVIMIENTOS_COMPLEMENTOS!$E$4:$E$803,C1689,MOVIMIENTOS_COMPLEMENTOS!$G$4:$G$803,E1689,MOVIMIENTOS_COMPLEMENTOS!$H$4:$H$803,G1689,MOVIMIENTOS_COMPLEMENTOS!$B$4:$B$803,"DE CORTE")-SUMIFS(MOVIMIENTOS_COMPLEMENTOS!$I$4:$I$803,MOVIMIENTOS_COMPLEMENTOS!$C$4:$C$803,A1689,MOVIMIENTOS_COMPLEMENTOS!$D$4:$D$803,B1689,MOVIMIENTOS_COMPLEMENTOS!$E$4:$E$803,C1689,MOVIMIENTOS_COMPLEMENTOS!$G$4:$G$803,E1689,MOVIMIENTOS_COMPLEMENTOS!$H$4:$H$803,G1689,MOVIMIENTOS_COMPLEMENTOS!$B$4:$B$803,"SALIDA"),0)</f>
        <v>0</v>
      </c>
      <c r="I1689" s="102">
        <f t="array" ref="I1689">IFERROR(INDEX(PRECIOS_COMPLEMENTOS!$C$4:$F$17,MATCH(B1689&amp;"_"&amp;C1689,PRECIOS_COMPLEMENTOS!$H$4:$H$17,0),IF(OR(G1689="S",G1689="20cm"),1,IF(OR(G1689="M",G1689="25cm"),2,IF(OR(G1689="L",G1689="30cm"),3,IF(OR(G1689="XL",G1689="35cm"),4,0))))),0)</f>
        <v>0.3</v>
      </c>
      <c r="J1689" s="103">
        <f t="shared" si="1"/>
        <v>0</v>
      </c>
      <c r="K1689" s="104" t="str">
        <f>IF(H1689&lt;0,"ERROR",IF(H1689=0,"",IF(H1689&lt;CONFIG!$B$4,"CRÍTICO",IF(H1689&lt;CONFIG!$B$5,"BAJO","OK"))))</f>
        <v/>
      </c>
    </row>
    <row r="1690" ht="15.75" hidden="1" customHeight="1">
      <c r="A1690" s="90" t="str">
        <f>IF(CLIENTES!A7="","",CLIENTES!A7)</f>
        <v/>
      </c>
      <c r="B1690" s="90" t="s">
        <v>324</v>
      </c>
      <c r="C1690" s="91" t="s">
        <v>328</v>
      </c>
      <c r="D1690" s="109" t="s">
        <v>353</v>
      </c>
      <c r="E1690" s="67" t="str">
        <f>COLORES!A5</f>
        <v>Perla</v>
      </c>
      <c r="F1690" s="67" t="str">
        <f>COLORES!B5</f>
        <v>PPT</v>
      </c>
      <c r="G1690" s="90" t="s">
        <v>377</v>
      </c>
      <c r="H1690" s="100">
        <f>IFERROR(SUMIFS(MOVIMIENTOS_COMPLEMENTOS!$I$4:$I$803,MOVIMIENTOS_COMPLEMENTOS!$C$4:$C$803,A1690,MOVIMIENTOS_COMPLEMENTOS!$D$4:$D$803,B1690,MOVIMIENTOS_COMPLEMENTOS!$E$4:$E$803,C1690,MOVIMIENTOS_COMPLEMENTOS!$G$4:$G$803,E1690,MOVIMIENTOS_COMPLEMENTOS!$H$4:$H$803,G1690,MOVIMIENTOS_COMPLEMENTOS!$B$4:$B$803,"INGRESO")+SUMIFS(MOVIMIENTOS_COMPLEMENTOS!$I$4:$I$803,MOVIMIENTOS_COMPLEMENTOS!$C$4:$C$803,A1690,MOVIMIENTOS_COMPLEMENTOS!$D$4:$D$803,B1690,MOVIMIENTOS_COMPLEMENTOS!$E$4:$E$803,C1690,MOVIMIENTOS_COMPLEMENTOS!$G$4:$G$803,E1690,MOVIMIENTOS_COMPLEMENTOS!$H$4:$H$803,G1690,MOVIMIENTOS_COMPLEMENTOS!$B$4:$B$803,"DE CORTE")-SUMIFS(MOVIMIENTOS_COMPLEMENTOS!$I$4:$I$803,MOVIMIENTOS_COMPLEMENTOS!$C$4:$C$803,A1690,MOVIMIENTOS_COMPLEMENTOS!$D$4:$D$803,B1690,MOVIMIENTOS_COMPLEMENTOS!$E$4:$E$803,C1690,MOVIMIENTOS_COMPLEMENTOS!$G$4:$G$803,E1690,MOVIMIENTOS_COMPLEMENTOS!$H$4:$H$803,G1690,MOVIMIENTOS_COMPLEMENTOS!$B$4:$B$803,"SALIDA"),0)</f>
        <v>0</v>
      </c>
      <c r="I1690" s="102">
        <f t="array" ref="I1690">IFERROR(INDEX(PRECIOS_COMPLEMENTOS!$C$4:$F$17,MATCH(B1690&amp;"_"&amp;C1690,PRECIOS_COMPLEMENTOS!$H$4:$H$17,0),IF(OR(G1690="S",G1690="20cm"),1,IF(OR(G1690="M",G1690="25cm"),2,IF(OR(G1690="L",G1690="30cm"),3,IF(OR(G1690="XL",G1690="35cm"),4,0))))),0)</f>
        <v>0.3</v>
      </c>
      <c r="J1690" s="103">
        <f t="shared" si="1"/>
        <v>0</v>
      </c>
      <c r="K1690" s="104" t="str">
        <f>IF(H1690&lt;0,"ERROR",IF(H1690=0,"",IF(H1690&lt;CONFIG!$B$4,"CRÍTICO",IF(H1690&lt;CONFIG!$B$5,"BAJO","OK"))))</f>
        <v/>
      </c>
    </row>
    <row r="1691" ht="15.75" hidden="1" customHeight="1">
      <c r="A1691" s="90" t="str">
        <f>IF(CLIENTES!A7="","",CLIENTES!A7)</f>
        <v/>
      </c>
      <c r="B1691" s="90" t="s">
        <v>324</v>
      </c>
      <c r="C1691" s="91" t="s">
        <v>328</v>
      </c>
      <c r="D1691" s="109" t="s">
        <v>353</v>
      </c>
      <c r="E1691" s="67" t="str">
        <f>COLORES!A5</f>
        <v>Perla</v>
      </c>
      <c r="F1691" s="67" t="str">
        <f>COLORES!B5</f>
        <v>PPT</v>
      </c>
      <c r="G1691" s="90" t="s">
        <v>379</v>
      </c>
      <c r="H1691" s="100">
        <f>IFERROR(SUMIFS(MOVIMIENTOS_COMPLEMENTOS!$I$4:$I$803,MOVIMIENTOS_COMPLEMENTOS!$C$4:$C$803,A1691,MOVIMIENTOS_COMPLEMENTOS!$D$4:$D$803,B1691,MOVIMIENTOS_COMPLEMENTOS!$E$4:$E$803,C1691,MOVIMIENTOS_COMPLEMENTOS!$G$4:$G$803,E1691,MOVIMIENTOS_COMPLEMENTOS!$H$4:$H$803,G1691,MOVIMIENTOS_COMPLEMENTOS!$B$4:$B$803,"INGRESO")+SUMIFS(MOVIMIENTOS_COMPLEMENTOS!$I$4:$I$803,MOVIMIENTOS_COMPLEMENTOS!$C$4:$C$803,A1691,MOVIMIENTOS_COMPLEMENTOS!$D$4:$D$803,B1691,MOVIMIENTOS_COMPLEMENTOS!$E$4:$E$803,C1691,MOVIMIENTOS_COMPLEMENTOS!$G$4:$G$803,E1691,MOVIMIENTOS_COMPLEMENTOS!$H$4:$H$803,G1691,MOVIMIENTOS_COMPLEMENTOS!$B$4:$B$803,"DE CORTE")-SUMIFS(MOVIMIENTOS_COMPLEMENTOS!$I$4:$I$803,MOVIMIENTOS_COMPLEMENTOS!$C$4:$C$803,A1691,MOVIMIENTOS_COMPLEMENTOS!$D$4:$D$803,B1691,MOVIMIENTOS_COMPLEMENTOS!$E$4:$E$803,C1691,MOVIMIENTOS_COMPLEMENTOS!$G$4:$G$803,E1691,MOVIMIENTOS_COMPLEMENTOS!$H$4:$H$803,G1691,MOVIMIENTOS_COMPLEMENTOS!$B$4:$B$803,"SALIDA"),0)</f>
        <v>0</v>
      </c>
      <c r="I1691" s="102">
        <f t="array" ref="I1691">IFERROR(INDEX(PRECIOS_COMPLEMENTOS!$C$4:$F$17,MATCH(B1691&amp;"_"&amp;C1691,PRECIOS_COMPLEMENTOS!$H$4:$H$17,0),IF(OR(G1691="S",G1691="20cm"),1,IF(OR(G1691="M",G1691="25cm"),2,IF(OR(G1691="L",G1691="30cm"),3,IF(OR(G1691="XL",G1691="35cm"),4,0))))),0)</f>
        <v>0.3</v>
      </c>
      <c r="J1691" s="103">
        <f t="shared" si="1"/>
        <v>0</v>
      </c>
      <c r="K1691" s="104" t="str">
        <f>IF(H1691&lt;0,"ERROR",IF(H1691=0,"",IF(H1691&lt;CONFIG!$B$4,"CRÍTICO",IF(H1691&lt;CONFIG!$B$5,"BAJO","OK"))))</f>
        <v/>
      </c>
    </row>
    <row r="1692" ht="15.75" hidden="1" customHeight="1">
      <c r="A1692" s="90" t="str">
        <f>IF(CLIENTES!A7="","",CLIENTES!A7)</f>
        <v/>
      </c>
      <c r="B1692" s="90" t="s">
        <v>324</v>
      </c>
      <c r="C1692" s="91" t="s">
        <v>328</v>
      </c>
      <c r="D1692" s="109" t="s">
        <v>353</v>
      </c>
      <c r="E1692" s="67" t="str">
        <f>COLORES!A6</f>
        <v>Blanco</v>
      </c>
      <c r="F1692" s="67" t="str">
        <f>COLORES!B6</f>
        <v>PPT</v>
      </c>
      <c r="G1692" s="90" t="s">
        <v>378</v>
      </c>
      <c r="H1692" s="100">
        <f>IFERROR(SUMIFS(MOVIMIENTOS_COMPLEMENTOS!$I$4:$I$803,MOVIMIENTOS_COMPLEMENTOS!$C$4:$C$803,A1692,MOVIMIENTOS_COMPLEMENTOS!$D$4:$D$803,B1692,MOVIMIENTOS_COMPLEMENTOS!$E$4:$E$803,C1692,MOVIMIENTOS_COMPLEMENTOS!$G$4:$G$803,E1692,MOVIMIENTOS_COMPLEMENTOS!$H$4:$H$803,G1692,MOVIMIENTOS_COMPLEMENTOS!$B$4:$B$803,"INGRESO")+SUMIFS(MOVIMIENTOS_COMPLEMENTOS!$I$4:$I$803,MOVIMIENTOS_COMPLEMENTOS!$C$4:$C$803,A1692,MOVIMIENTOS_COMPLEMENTOS!$D$4:$D$803,B1692,MOVIMIENTOS_COMPLEMENTOS!$E$4:$E$803,C1692,MOVIMIENTOS_COMPLEMENTOS!$G$4:$G$803,E1692,MOVIMIENTOS_COMPLEMENTOS!$H$4:$H$803,G1692,MOVIMIENTOS_COMPLEMENTOS!$B$4:$B$803,"DE CORTE")-SUMIFS(MOVIMIENTOS_COMPLEMENTOS!$I$4:$I$803,MOVIMIENTOS_COMPLEMENTOS!$C$4:$C$803,A1692,MOVIMIENTOS_COMPLEMENTOS!$D$4:$D$803,B1692,MOVIMIENTOS_COMPLEMENTOS!$E$4:$E$803,C1692,MOVIMIENTOS_COMPLEMENTOS!$G$4:$G$803,E1692,MOVIMIENTOS_COMPLEMENTOS!$H$4:$H$803,G1692,MOVIMIENTOS_COMPLEMENTOS!$B$4:$B$803,"SALIDA"),0)</f>
        <v>0</v>
      </c>
      <c r="I1692" s="102">
        <f t="array" ref="I1692">IFERROR(INDEX(PRECIOS_COMPLEMENTOS!$C$4:$F$17,MATCH(B1692&amp;"_"&amp;C1692,PRECIOS_COMPLEMENTOS!$H$4:$H$17,0),IF(OR(G1692="S",G1692="20cm"),1,IF(OR(G1692="M",G1692="25cm"),2,IF(OR(G1692="L",G1692="30cm"),3,IF(OR(G1692="XL",G1692="35cm"),4,0))))),0)</f>
        <v>0.3</v>
      </c>
      <c r="J1692" s="103">
        <f t="shared" si="1"/>
        <v>0</v>
      </c>
      <c r="K1692" s="104" t="str">
        <f>IF(H1692&lt;0,"ERROR",IF(H1692=0,"",IF(H1692&lt;CONFIG!$B$4,"CRÍTICO",IF(H1692&lt;CONFIG!$B$5,"BAJO","OK"))))</f>
        <v/>
      </c>
    </row>
    <row r="1693" ht="15.75" hidden="1" customHeight="1">
      <c r="A1693" s="90" t="str">
        <f>IF(CLIENTES!A7="","",CLIENTES!A7)</f>
        <v/>
      </c>
      <c r="B1693" s="90" t="s">
        <v>324</v>
      </c>
      <c r="C1693" s="91" t="s">
        <v>328</v>
      </c>
      <c r="D1693" s="109" t="s">
        <v>353</v>
      </c>
      <c r="E1693" s="67" t="str">
        <f>COLORES!A6</f>
        <v>Blanco</v>
      </c>
      <c r="F1693" s="67" t="str">
        <f>COLORES!B6</f>
        <v>PPT</v>
      </c>
      <c r="G1693" s="90" t="s">
        <v>376</v>
      </c>
      <c r="H1693" s="100">
        <f>IFERROR(SUMIFS(MOVIMIENTOS_COMPLEMENTOS!$I$4:$I$803,MOVIMIENTOS_COMPLEMENTOS!$C$4:$C$803,A1693,MOVIMIENTOS_COMPLEMENTOS!$D$4:$D$803,B1693,MOVIMIENTOS_COMPLEMENTOS!$E$4:$E$803,C1693,MOVIMIENTOS_COMPLEMENTOS!$G$4:$G$803,E1693,MOVIMIENTOS_COMPLEMENTOS!$H$4:$H$803,G1693,MOVIMIENTOS_COMPLEMENTOS!$B$4:$B$803,"INGRESO")+SUMIFS(MOVIMIENTOS_COMPLEMENTOS!$I$4:$I$803,MOVIMIENTOS_COMPLEMENTOS!$C$4:$C$803,A1693,MOVIMIENTOS_COMPLEMENTOS!$D$4:$D$803,B1693,MOVIMIENTOS_COMPLEMENTOS!$E$4:$E$803,C1693,MOVIMIENTOS_COMPLEMENTOS!$G$4:$G$803,E1693,MOVIMIENTOS_COMPLEMENTOS!$H$4:$H$803,G1693,MOVIMIENTOS_COMPLEMENTOS!$B$4:$B$803,"DE CORTE")-SUMIFS(MOVIMIENTOS_COMPLEMENTOS!$I$4:$I$803,MOVIMIENTOS_COMPLEMENTOS!$C$4:$C$803,A1693,MOVIMIENTOS_COMPLEMENTOS!$D$4:$D$803,B1693,MOVIMIENTOS_COMPLEMENTOS!$E$4:$E$803,C1693,MOVIMIENTOS_COMPLEMENTOS!$G$4:$G$803,E1693,MOVIMIENTOS_COMPLEMENTOS!$H$4:$H$803,G1693,MOVIMIENTOS_COMPLEMENTOS!$B$4:$B$803,"SALIDA"),0)</f>
        <v>0</v>
      </c>
      <c r="I1693" s="102">
        <f t="array" ref="I1693">IFERROR(INDEX(PRECIOS_COMPLEMENTOS!$C$4:$F$17,MATCH(B1693&amp;"_"&amp;C1693,PRECIOS_COMPLEMENTOS!$H$4:$H$17,0),IF(OR(G1693="S",G1693="20cm"),1,IF(OR(G1693="M",G1693="25cm"),2,IF(OR(G1693="L",G1693="30cm"),3,IF(OR(G1693="XL",G1693="35cm"),4,0))))),0)</f>
        <v>0.3</v>
      </c>
      <c r="J1693" s="103">
        <f t="shared" si="1"/>
        <v>0</v>
      </c>
      <c r="K1693" s="104" t="str">
        <f>IF(H1693&lt;0,"ERROR",IF(H1693=0,"",IF(H1693&lt;CONFIG!$B$4,"CRÍTICO",IF(H1693&lt;CONFIG!$B$5,"BAJO","OK"))))</f>
        <v/>
      </c>
    </row>
    <row r="1694" ht="15.75" hidden="1" customHeight="1">
      <c r="A1694" s="90" t="str">
        <f>IF(CLIENTES!A7="","",CLIENTES!A7)</f>
        <v/>
      </c>
      <c r="B1694" s="90" t="s">
        <v>324</v>
      </c>
      <c r="C1694" s="91" t="s">
        <v>328</v>
      </c>
      <c r="D1694" s="109" t="s">
        <v>353</v>
      </c>
      <c r="E1694" s="67" t="str">
        <f>COLORES!A6</f>
        <v>Blanco</v>
      </c>
      <c r="F1694" s="67" t="str">
        <f>COLORES!B6</f>
        <v>PPT</v>
      </c>
      <c r="G1694" s="90" t="s">
        <v>377</v>
      </c>
      <c r="H1694" s="100">
        <f>IFERROR(SUMIFS(MOVIMIENTOS_COMPLEMENTOS!$I$4:$I$803,MOVIMIENTOS_COMPLEMENTOS!$C$4:$C$803,A1694,MOVIMIENTOS_COMPLEMENTOS!$D$4:$D$803,B1694,MOVIMIENTOS_COMPLEMENTOS!$E$4:$E$803,C1694,MOVIMIENTOS_COMPLEMENTOS!$G$4:$G$803,E1694,MOVIMIENTOS_COMPLEMENTOS!$H$4:$H$803,G1694,MOVIMIENTOS_COMPLEMENTOS!$B$4:$B$803,"INGRESO")+SUMIFS(MOVIMIENTOS_COMPLEMENTOS!$I$4:$I$803,MOVIMIENTOS_COMPLEMENTOS!$C$4:$C$803,A1694,MOVIMIENTOS_COMPLEMENTOS!$D$4:$D$803,B1694,MOVIMIENTOS_COMPLEMENTOS!$E$4:$E$803,C1694,MOVIMIENTOS_COMPLEMENTOS!$G$4:$G$803,E1694,MOVIMIENTOS_COMPLEMENTOS!$H$4:$H$803,G1694,MOVIMIENTOS_COMPLEMENTOS!$B$4:$B$803,"DE CORTE")-SUMIFS(MOVIMIENTOS_COMPLEMENTOS!$I$4:$I$803,MOVIMIENTOS_COMPLEMENTOS!$C$4:$C$803,A1694,MOVIMIENTOS_COMPLEMENTOS!$D$4:$D$803,B1694,MOVIMIENTOS_COMPLEMENTOS!$E$4:$E$803,C1694,MOVIMIENTOS_COMPLEMENTOS!$G$4:$G$803,E1694,MOVIMIENTOS_COMPLEMENTOS!$H$4:$H$803,G1694,MOVIMIENTOS_COMPLEMENTOS!$B$4:$B$803,"SALIDA"),0)</f>
        <v>0</v>
      </c>
      <c r="I1694" s="102">
        <f t="array" ref="I1694">IFERROR(INDEX(PRECIOS_COMPLEMENTOS!$C$4:$F$17,MATCH(B1694&amp;"_"&amp;C1694,PRECIOS_COMPLEMENTOS!$H$4:$H$17,0),IF(OR(G1694="S",G1694="20cm"),1,IF(OR(G1694="M",G1694="25cm"),2,IF(OR(G1694="L",G1694="30cm"),3,IF(OR(G1694="XL",G1694="35cm"),4,0))))),0)</f>
        <v>0.3</v>
      </c>
      <c r="J1694" s="103">
        <f t="shared" si="1"/>
        <v>0</v>
      </c>
      <c r="K1694" s="104" t="str">
        <f>IF(H1694&lt;0,"ERROR",IF(H1694=0,"",IF(H1694&lt;CONFIG!$B$4,"CRÍTICO",IF(H1694&lt;CONFIG!$B$5,"BAJO","OK"))))</f>
        <v/>
      </c>
    </row>
    <row r="1695" ht="15.75" hidden="1" customHeight="1">
      <c r="A1695" s="90" t="str">
        <f>IF(CLIENTES!A7="","",CLIENTES!A7)</f>
        <v/>
      </c>
      <c r="B1695" s="90" t="s">
        <v>324</v>
      </c>
      <c r="C1695" s="91" t="s">
        <v>328</v>
      </c>
      <c r="D1695" s="109" t="s">
        <v>353</v>
      </c>
      <c r="E1695" s="67" t="str">
        <f>COLORES!A6</f>
        <v>Blanco</v>
      </c>
      <c r="F1695" s="67" t="str">
        <f>COLORES!B6</f>
        <v>PPT</v>
      </c>
      <c r="G1695" s="90" t="s">
        <v>379</v>
      </c>
      <c r="H1695" s="100">
        <f>IFERROR(SUMIFS(MOVIMIENTOS_COMPLEMENTOS!$I$4:$I$803,MOVIMIENTOS_COMPLEMENTOS!$C$4:$C$803,A1695,MOVIMIENTOS_COMPLEMENTOS!$D$4:$D$803,B1695,MOVIMIENTOS_COMPLEMENTOS!$E$4:$E$803,C1695,MOVIMIENTOS_COMPLEMENTOS!$G$4:$G$803,E1695,MOVIMIENTOS_COMPLEMENTOS!$H$4:$H$803,G1695,MOVIMIENTOS_COMPLEMENTOS!$B$4:$B$803,"INGRESO")+SUMIFS(MOVIMIENTOS_COMPLEMENTOS!$I$4:$I$803,MOVIMIENTOS_COMPLEMENTOS!$C$4:$C$803,A1695,MOVIMIENTOS_COMPLEMENTOS!$D$4:$D$803,B1695,MOVIMIENTOS_COMPLEMENTOS!$E$4:$E$803,C1695,MOVIMIENTOS_COMPLEMENTOS!$G$4:$G$803,E1695,MOVIMIENTOS_COMPLEMENTOS!$H$4:$H$803,G1695,MOVIMIENTOS_COMPLEMENTOS!$B$4:$B$803,"DE CORTE")-SUMIFS(MOVIMIENTOS_COMPLEMENTOS!$I$4:$I$803,MOVIMIENTOS_COMPLEMENTOS!$C$4:$C$803,A1695,MOVIMIENTOS_COMPLEMENTOS!$D$4:$D$803,B1695,MOVIMIENTOS_COMPLEMENTOS!$E$4:$E$803,C1695,MOVIMIENTOS_COMPLEMENTOS!$G$4:$G$803,E1695,MOVIMIENTOS_COMPLEMENTOS!$H$4:$H$803,G1695,MOVIMIENTOS_COMPLEMENTOS!$B$4:$B$803,"SALIDA"),0)</f>
        <v>0</v>
      </c>
      <c r="I1695" s="102">
        <f t="array" ref="I1695">IFERROR(INDEX(PRECIOS_COMPLEMENTOS!$C$4:$F$17,MATCH(B1695&amp;"_"&amp;C1695,PRECIOS_COMPLEMENTOS!$H$4:$H$17,0),IF(OR(G1695="S",G1695="20cm"),1,IF(OR(G1695="M",G1695="25cm"),2,IF(OR(G1695="L",G1695="30cm"),3,IF(OR(G1695="XL",G1695="35cm"),4,0))))),0)</f>
        <v>0.3</v>
      </c>
      <c r="J1695" s="103">
        <f t="shared" si="1"/>
        <v>0</v>
      </c>
      <c r="K1695" s="104" t="str">
        <f>IF(H1695&lt;0,"ERROR",IF(H1695=0,"",IF(H1695&lt;CONFIG!$B$4,"CRÍTICO",IF(H1695&lt;CONFIG!$B$5,"BAJO","OK"))))</f>
        <v/>
      </c>
    </row>
    <row r="1696" ht="15.75" hidden="1" customHeight="1">
      <c r="A1696" s="90" t="str">
        <f>IF(CLIENTES!A7="","",CLIENTES!A7)</f>
        <v/>
      </c>
      <c r="B1696" s="90" t="s">
        <v>324</v>
      </c>
      <c r="C1696" s="91" t="s">
        <v>328</v>
      </c>
      <c r="D1696" s="109" t="s">
        <v>353</v>
      </c>
      <c r="E1696" s="67" t="str">
        <f>COLORES!A7</f>
        <v>Azul</v>
      </c>
      <c r="F1696" s="67" t="str">
        <f>COLORES!B7</f>
        <v>OSCURO</v>
      </c>
      <c r="G1696" s="90" t="s">
        <v>378</v>
      </c>
      <c r="H1696" s="100">
        <f>IFERROR(SUMIFS(MOVIMIENTOS_COMPLEMENTOS!$I$4:$I$803,MOVIMIENTOS_COMPLEMENTOS!$C$4:$C$803,A1696,MOVIMIENTOS_COMPLEMENTOS!$D$4:$D$803,B1696,MOVIMIENTOS_COMPLEMENTOS!$E$4:$E$803,C1696,MOVIMIENTOS_COMPLEMENTOS!$G$4:$G$803,E1696,MOVIMIENTOS_COMPLEMENTOS!$H$4:$H$803,G1696,MOVIMIENTOS_COMPLEMENTOS!$B$4:$B$803,"INGRESO")+SUMIFS(MOVIMIENTOS_COMPLEMENTOS!$I$4:$I$803,MOVIMIENTOS_COMPLEMENTOS!$C$4:$C$803,A1696,MOVIMIENTOS_COMPLEMENTOS!$D$4:$D$803,B1696,MOVIMIENTOS_COMPLEMENTOS!$E$4:$E$803,C1696,MOVIMIENTOS_COMPLEMENTOS!$G$4:$G$803,E1696,MOVIMIENTOS_COMPLEMENTOS!$H$4:$H$803,G1696,MOVIMIENTOS_COMPLEMENTOS!$B$4:$B$803,"DE CORTE")-SUMIFS(MOVIMIENTOS_COMPLEMENTOS!$I$4:$I$803,MOVIMIENTOS_COMPLEMENTOS!$C$4:$C$803,A1696,MOVIMIENTOS_COMPLEMENTOS!$D$4:$D$803,B1696,MOVIMIENTOS_COMPLEMENTOS!$E$4:$E$803,C1696,MOVIMIENTOS_COMPLEMENTOS!$G$4:$G$803,E1696,MOVIMIENTOS_COMPLEMENTOS!$H$4:$H$803,G1696,MOVIMIENTOS_COMPLEMENTOS!$B$4:$B$803,"SALIDA"),0)</f>
        <v>0</v>
      </c>
      <c r="I1696" s="102">
        <f t="array" ref="I1696">IFERROR(INDEX(PRECIOS_COMPLEMENTOS!$C$4:$F$17,MATCH(B1696&amp;"_"&amp;C1696,PRECIOS_COMPLEMENTOS!$H$4:$H$17,0),IF(OR(G1696="S",G1696="20cm"),1,IF(OR(G1696="M",G1696="25cm"),2,IF(OR(G1696="L",G1696="30cm"),3,IF(OR(G1696="XL",G1696="35cm"),4,0))))),0)</f>
        <v>0.3</v>
      </c>
      <c r="J1696" s="103">
        <f t="shared" si="1"/>
        <v>0</v>
      </c>
      <c r="K1696" s="104" t="str">
        <f>IF(H1696&lt;0,"ERROR",IF(H1696=0,"",IF(H1696&lt;CONFIG!$B$4,"CRÍTICO",IF(H1696&lt;CONFIG!$B$5,"BAJO","OK"))))</f>
        <v/>
      </c>
    </row>
    <row r="1697" ht="15.75" hidden="1" customHeight="1">
      <c r="A1697" s="90" t="str">
        <f>IF(CLIENTES!A7="","",CLIENTES!A7)</f>
        <v/>
      </c>
      <c r="B1697" s="90" t="s">
        <v>324</v>
      </c>
      <c r="C1697" s="91" t="s">
        <v>328</v>
      </c>
      <c r="D1697" s="109" t="s">
        <v>353</v>
      </c>
      <c r="E1697" s="67" t="str">
        <f>COLORES!A7</f>
        <v>Azul</v>
      </c>
      <c r="F1697" s="67" t="str">
        <f>COLORES!B7</f>
        <v>OSCURO</v>
      </c>
      <c r="G1697" s="90" t="s">
        <v>376</v>
      </c>
      <c r="H1697" s="100">
        <f>IFERROR(SUMIFS(MOVIMIENTOS_COMPLEMENTOS!$I$4:$I$803,MOVIMIENTOS_COMPLEMENTOS!$C$4:$C$803,A1697,MOVIMIENTOS_COMPLEMENTOS!$D$4:$D$803,B1697,MOVIMIENTOS_COMPLEMENTOS!$E$4:$E$803,C1697,MOVIMIENTOS_COMPLEMENTOS!$G$4:$G$803,E1697,MOVIMIENTOS_COMPLEMENTOS!$H$4:$H$803,G1697,MOVIMIENTOS_COMPLEMENTOS!$B$4:$B$803,"INGRESO")+SUMIFS(MOVIMIENTOS_COMPLEMENTOS!$I$4:$I$803,MOVIMIENTOS_COMPLEMENTOS!$C$4:$C$803,A1697,MOVIMIENTOS_COMPLEMENTOS!$D$4:$D$803,B1697,MOVIMIENTOS_COMPLEMENTOS!$E$4:$E$803,C1697,MOVIMIENTOS_COMPLEMENTOS!$G$4:$G$803,E1697,MOVIMIENTOS_COMPLEMENTOS!$H$4:$H$803,G1697,MOVIMIENTOS_COMPLEMENTOS!$B$4:$B$803,"DE CORTE")-SUMIFS(MOVIMIENTOS_COMPLEMENTOS!$I$4:$I$803,MOVIMIENTOS_COMPLEMENTOS!$C$4:$C$803,A1697,MOVIMIENTOS_COMPLEMENTOS!$D$4:$D$803,B1697,MOVIMIENTOS_COMPLEMENTOS!$E$4:$E$803,C1697,MOVIMIENTOS_COMPLEMENTOS!$G$4:$G$803,E1697,MOVIMIENTOS_COMPLEMENTOS!$H$4:$H$803,G1697,MOVIMIENTOS_COMPLEMENTOS!$B$4:$B$803,"SALIDA"),0)</f>
        <v>0</v>
      </c>
      <c r="I1697" s="102">
        <f t="array" ref="I1697">IFERROR(INDEX(PRECIOS_COMPLEMENTOS!$C$4:$F$17,MATCH(B1697&amp;"_"&amp;C1697,PRECIOS_COMPLEMENTOS!$H$4:$H$17,0),IF(OR(G1697="S",G1697="20cm"),1,IF(OR(G1697="M",G1697="25cm"),2,IF(OR(G1697="L",G1697="30cm"),3,IF(OR(G1697="XL",G1697="35cm"),4,0))))),0)</f>
        <v>0.3</v>
      </c>
      <c r="J1697" s="103">
        <f t="shared" si="1"/>
        <v>0</v>
      </c>
      <c r="K1697" s="104" t="str">
        <f>IF(H1697&lt;0,"ERROR",IF(H1697=0,"",IF(H1697&lt;CONFIG!$B$4,"CRÍTICO",IF(H1697&lt;CONFIG!$B$5,"BAJO","OK"))))</f>
        <v/>
      </c>
    </row>
    <row r="1698" ht="15.75" hidden="1" customHeight="1">
      <c r="A1698" s="90" t="str">
        <f>IF(CLIENTES!A7="","",CLIENTES!A7)</f>
        <v/>
      </c>
      <c r="B1698" s="90" t="s">
        <v>324</v>
      </c>
      <c r="C1698" s="91" t="s">
        <v>328</v>
      </c>
      <c r="D1698" s="109" t="s">
        <v>353</v>
      </c>
      <c r="E1698" s="67" t="str">
        <f>COLORES!A7</f>
        <v>Azul</v>
      </c>
      <c r="F1698" s="67" t="str">
        <f>COLORES!B7</f>
        <v>OSCURO</v>
      </c>
      <c r="G1698" s="90" t="s">
        <v>377</v>
      </c>
      <c r="H1698" s="100">
        <f>IFERROR(SUMIFS(MOVIMIENTOS_COMPLEMENTOS!$I$4:$I$803,MOVIMIENTOS_COMPLEMENTOS!$C$4:$C$803,A1698,MOVIMIENTOS_COMPLEMENTOS!$D$4:$D$803,B1698,MOVIMIENTOS_COMPLEMENTOS!$E$4:$E$803,C1698,MOVIMIENTOS_COMPLEMENTOS!$G$4:$G$803,E1698,MOVIMIENTOS_COMPLEMENTOS!$H$4:$H$803,G1698,MOVIMIENTOS_COMPLEMENTOS!$B$4:$B$803,"INGRESO")+SUMIFS(MOVIMIENTOS_COMPLEMENTOS!$I$4:$I$803,MOVIMIENTOS_COMPLEMENTOS!$C$4:$C$803,A1698,MOVIMIENTOS_COMPLEMENTOS!$D$4:$D$803,B1698,MOVIMIENTOS_COMPLEMENTOS!$E$4:$E$803,C1698,MOVIMIENTOS_COMPLEMENTOS!$G$4:$G$803,E1698,MOVIMIENTOS_COMPLEMENTOS!$H$4:$H$803,G1698,MOVIMIENTOS_COMPLEMENTOS!$B$4:$B$803,"DE CORTE")-SUMIFS(MOVIMIENTOS_COMPLEMENTOS!$I$4:$I$803,MOVIMIENTOS_COMPLEMENTOS!$C$4:$C$803,A1698,MOVIMIENTOS_COMPLEMENTOS!$D$4:$D$803,B1698,MOVIMIENTOS_COMPLEMENTOS!$E$4:$E$803,C1698,MOVIMIENTOS_COMPLEMENTOS!$G$4:$G$803,E1698,MOVIMIENTOS_COMPLEMENTOS!$H$4:$H$803,G1698,MOVIMIENTOS_COMPLEMENTOS!$B$4:$B$803,"SALIDA"),0)</f>
        <v>0</v>
      </c>
      <c r="I1698" s="102">
        <f t="array" ref="I1698">IFERROR(INDEX(PRECIOS_COMPLEMENTOS!$C$4:$F$17,MATCH(B1698&amp;"_"&amp;C1698,PRECIOS_COMPLEMENTOS!$H$4:$H$17,0),IF(OR(G1698="S",G1698="20cm"),1,IF(OR(G1698="M",G1698="25cm"),2,IF(OR(G1698="L",G1698="30cm"),3,IF(OR(G1698="XL",G1698="35cm"),4,0))))),0)</f>
        <v>0.3</v>
      </c>
      <c r="J1698" s="103">
        <f t="shared" si="1"/>
        <v>0</v>
      </c>
      <c r="K1698" s="104" t="str">
        <f>IF(H1698&lt;0,"ERROR",IF(H1698=0,"",IF(H1698&lt;CONFIG!$B$4,"CRÍTICO",IF(H1698&lt;CONFIG!$B$5,"BAJO","OK"))))</f>
        <v/>
      </c>
    </row>
    <row r="1699" ht="15.75" hidden="1" customHeight="1">
      <c r="A1699" s="90" t="str">
        <f>IF(CLIENTES!A7="","",CLIENTES!A7)</f>
        <v/>
      </c>
      <c r="B1699" s="90" t="s">
        <v>324</v>
      </c>
      <c r="C1699" s="91" t="s">
        <v>328</v>
      </c>
      <c r="D1699" s="109" t="s">
        <v>353</v>
      </c>
      <c r="E1699" s="67" t="str">
        <f>COLORES!A7</f>
        <v>Azul</v>
      </c>
      <c r="F1699" s="67" t="str">
        <f>COLORES!B7</f>
        <v>OSCURO</v>
      </c>
      <c r="G1699" s="90" t="s">
        <v>379</v>
      </c>
      <c r="H1699" s="100">
        <f>IFERROR(SUMIFS(MOVIMIENTOS_COMPLEMENTOS!$I$4:$I$803,MOVIMIENTOS_COMPLEMENTOS!$C$4:$C$803,A1699,MOVIMIENTOS_COMPLEMENTOS!$D$4:$D$803,B1699,MOVIMIENTOS_COMPLEMENTOS!$E$4:$E$803,C1699,MOVIMIENTOS_COMPLEMENTOS!$G$4:$G$803,E1699,MOVIMIENTOS_COMPLEMENTOS!$H$4:$H$803,G1699,MOVIMIENTOS_COMPLEMENTOS!$B$4:$B$803,"INGRESO")+SUMIFS(MOVIMIENTOS_COMPLEMENTOS!$I$4:$I$803,MOVIMIENTOS_COMPLEMENTOS!$C$4:$C$803,A1699,MOVIMIENTOS_COMPLEMENTOS!$D$4:$D$803,B1699,MOVIMIENTOS_COMPLEMENTOS!$E$4:$E$803,C1699,MOVIMIENTOS_COMPLEMENTOS!$G$4:$G$803,E1699,MOVIMIENTOS_COMPLEMENTOS!$H$4:$H$803,G1699,MOVIMIENTOS_COMPLEMENTOS!$B$4:$B$803,"DE CORTE")-SUMIFS(MOVIMIENTOS_COMPLEMENTOS!$I$4:$I$803,MOVIMIENTOS_COMPLEMENTOS!$C$4:$C$803,A1699,MOVIMIENTOS_COMPLEMENTOS!$D$4:$D$803,B1699,MOVIMIENTOS_COMPLEMENTOS!$E$4:$E$803,C1699,MOVIMIENTOS_COMPLEMENTOS!$G$4:$G$803,E1699,MOVIMIENTOS_COMPLEMENTOS!$H$4:$H$803,G1699,MOVIMIENTOS_COMPLEMENTOS!$B$4:$B$803,"SALIDA"),0)</f>
        <v>0</v>
      </c>
      <c r="I1699" s="102">
        <f t="array" ref="I1699">IFERROR(INDEX(PRECIOS_COMPLEMENTOS!$C$4:$F$17,MATCH(B1699&amp;"_"&amp;C1699,PRECIOS_COMPLEMENTOS!$H$4:$H$17,0),IF(OR(G1699="S",G1699="20cm"),1,IF(OR(G1699="M",G1699="25cm"),2,IF(OR(G1699="L",G1699="30cm"),3,IF(OR(G1699="XL",G1699="35cm"),4,0))))),0)</f>
        <v>0.3</v>
      </c>
      <c r="J1699" s="103">
        <f t="shared" si="1"/>
        <v>0</v>
      </c>
      <c r="K1699" s="104" t="str">
        <f>IF(H1699&lt;0,"ERROR",IF(H1699=0,"",IF(H1699&lt;CONFIG!$B$4,"CRÍTICO",IF(H1699&lt;CONFIG!$B$5,"BAJO","OK"))))</f>
        <v/>
      </c>
    </row>
    <row r="1700" ht="15.75" hidden="1" customHeight="1">
      <c r="A1700" s="90" t="str">
        <f>IF(CLIENTES!A7="","",CLIENTES!A7)</f>
        <v/>
      </c>
      <c r="B1700" s="90" t="s">
        <v>324</v>
      </c>
      <c r="C1700" s="91" t="s">
        <v>328</v>
      </c>
      <c r="D1700" s="109" t="s">
        <v>353</v>
      </c>
      <c r="E1700" s="67" t="str">
        <f>COLORES!A8</f>
        <v>Beige</v>
      </c>
      <c r="F1700" s="67" t="str">
        <f>COLORES!B8</f>
        <v>CLARO</v>
      </c>
      <c r="G1700" s="90" t="s">
        <v>378</v>
      </c>
      <c r="H1700" s="100">
        <f>IFERROR(SUMIFS(MOVIMIENTOS_COMPLEMENTOS!$I$4:$I$803,MOVIMIENTOS_COMPLEMENTOS!$C$4:$C$803,A1700,MOVIMIENTOS_COMPLEMENTOS!$D$4:$D$803,B1700,MOVIMIENTOS_COMPLEMENTOS!$E$4:$E$803,C1700,MOVIMIENTOS_COMPLEMENTOS!$G$4:$G$803,E1700,MOVIMIENTOS_COMPLEMENTOS!$H$4:$H$803,G1700,MOVIMIENTOS_COMPLEMENTOS!$B$4:$B$803,"INGRESO")+SUMIFS(MOVIMIENTOS_COMPLEMENTOS!$I$4:$I$803,MOVIMIENTOS_COMPLEMENTOS!$C$4:$C$803,A1700,MOVIMIENTOS_COMPLEMENTOS!$D$4:$D$803,B1700,MOVIMIENTOS_COMPLEMENTOS!$E$4:$E$803,C1700,MOVIMIENTOS_COMPLEMENTOS!$G$4:$G$803,E1700,MOVIMIENTOS_COMPLEMENTOS!$H$4:$H$803,G1700,MOVIMIENTOS_COMPLEMENTOS!$B$4:$B$803,"DE CORTE")-SUMIFS(MOVIMIENTOS_COMPLEMENTOS!$I$4:$I$803,MOVIMIENTOS_COMPLEMENTOS!$C$4:$C$803,A1700,MOVIMIENTOS_COMPLEMENTOS!$D$4:$D$803,B1700,MOVIMIENTOS_COMPLEMENTOS!$E$4:$E$803,C1700,MOVIMIENTOS_COMPLEMENTOS!$G$4:$G$803,E1700,MOVIMIENTOS_COMPLEMENTOS!$H$4:$H$803,G1700,MOVIMIENTOS_COMPLEMENTOS!$B$4:$B$803,"SALIDA"),0)</f>
        <v>0</v>
      </c>
      <c r="I1700" s="102">
        <f t="array" ref="I1700">IFERROR(INDEX(PRECIOS_COMPLEMENTOS!$C$4:$F$17,MATCH(B1700&amp;"_"&amp;C1700,PRECIOS_COMPLEMENTOS!$H$4:$H$17,0),IF(OR(G1700="S",G1700="20cm"),1,IF(OR(G1700="M",G1700="25cm"),2,IF(OR(G1700="L",G1700="30cm"),3,IF(OR(G1700="XL",G1700="35cm"),4,0))))),0)</f>
        <v>0.3</v>
      </c>
      <c r="J1700" s="103">
        <f t="shared" si="1"/>
        <v>0</v>
      </c>
      <c r="K1700" s="104" t="str">
        <f>IF(H1700&lt;0,"ERROR",IF(H1700=0,"",IF(H1700&lt;CONFIG!$B$4,"CRÍTICO",IF(H1700&lt;CONFIG!$B$5,"BAJO","OK"))))</f>
        <v/>
      </c>
    </row>
    <row r="1701" ht="15.75" hidden="1" customHeight="1">
      <c r="A1701" s="90" t="str">
        <f>IF(CLIENTES!A7="","",CLIENTES!A7)</f>
        <v/>
      </c>
      <c r="B1701" s="90" t="s">
        <v>324</v>
      </c>
      <c r="C1701" s="91" t="s">
        <v>328</v>
      </c>
      <c r="D1701" s="109" t="s">
        <v>353</v>
      </c>
      <c r="E1701" s="67" t="str">
        <f>COLORES!A8</f>
        <v>Beige</v>
      </c>
      <c r="F1701" s="67" t="str">
        <f>COLORES!B8</f>
        <v>CLARO</v>
      </c>
      <c r="G1701" s="90" t="s">
        <v>376</v>
      </c>
      <c r="H1701" s="100">
        <f>IFERROR(SUMIFS(MOVIMIENTOS_COMPLEMENTOS!$I$4:$I$803,MOVIMIENTOS_COMPLEMENTOS!$C$4:$C$803,A1701,MOVIMIENTOS_COMPLEMENTOS!$D$4:$D$803,B1701,MOVIMIENTOS_COMPLEMENTOS!$E$4:$E$803,C1701,MOVIMIENTOS_COMPLEMENTOS!$G$4:$G$803,E1701,MOVIMIENTOS_COMPLEMENTOS!$H$4:$H$803,G1701,MOVIMIENTOS_COMPLEMENTOS!$B$4:$B$803,"INGRESO")+SUMIFS(MOVIMIENTOS_COMPLEMENTOS!$I$4:$I$803,MOVIMIENTOS_COMPLEMENTOS!$C$4:$C$803,A1701,MOVIMIENTOS_COMPLEMENTOS!$D$4:$D$803,B1701,MOVIMIENTOS_COMPLEMENTOS!$E$4:$E$803,C1701,MOVIMIENTOS_COMPLEMENTOS!$G$4:$G$803,E1701,MOVIMIENTOS_COMPLEMENTOS!$H$4:$H$803,G1701,MOVIMIENTOS_COMPLEMENTOS!$B$4:$B$803,"DE CORTE")-SUMIFS(MOVIMIENTOS_COMPLEMENTOS!$I$4:$I$803,MOVIMIENTOS_COMPLEMENTOS!$C$4:$C$803,A1701,MOVIMIENTOS_COMPLEMENTOS!$D$4:$D$803,B1701,MOVIMIENTOS_COMPLEMENTOS!$E$4:$E$803,C1701,MOVIMIENTOS_COMPLEMENTOS!$G$4:$G$803,E1701,MOVIMIENTOS_COMPLEMENTOS!$H$4:$H$803,G1701,MOVIMIENTOS_COMPLEMENTOS!$B$4:$B$803,"SALIDA"),0)</f>
        <v>0</v>
      </c>
      <c r="I1701" s="102">
        <f t="array" ref="I1701">IFERROR(INDEX(PRECIOS_COMPLEMENTOS!$C$4:$F$17,MATCH(B1701&amp;"_"&amp;C1701,PRECIOS_COMPLEMENTOS!$H$4:$H$17,0),IF(OR(G1701="S",G1701="20cm"),1,IF(OR(G1701="M",G1701="25cm"),2,IF(OR(G1701="L",G1701="30cm"),3,IF(OR(G1701="XL",G1701="35cm"),4,0))))),0)</f>
        <v>0.3</v>
      </c>
      <c r="J1701" s="103">
        <f t="shared" si="1"/>
        <v>0</v>
      </c>
      <c r="K1701" s="104" t="str">
        <f>IF(H1701&lt;0,"ERROR",IF(H1701=0,"",IF(H1701&lt;CONFIG!$B$4,"CRÍTICO",IF(H1701&lt;CONFIG!$B$5,"BAJO","OK"))))</f>
        <v/>
      </c>
    </row>
    <row r="1702" ht="15.75" hidden="1" customHeight="1">
      <c r="A1702" s="90" t="str">
        <f>IF(CLIENTES!A7="","",CLIENTES!A7)</f>
        <v/>
      </c>
      <c r="B1702" s="90" t="s">
        <v>324</v>
      </c>
      <c r="C1702" s="91" t="s">
        <v>328</v>
      </c>
      <c r="D1702" s="109" t="s">
        <v>353</v>
      </c>
      <c r="E1702" s="67" t="str">
        <f>COLORES!A8</f>
        <v>Beige</v>
      </c>
      <c r="F1702" s="67" t="str">
        <f>COLORES!B8</f>
        <v>CLARO</v>
      </c>
      <c r="G1702" s="90" t="s">
        <v>377</v>
      </c>
      <c r="H1702" s="100">
        <f>IFERROR(SUMIFS(MOVIMIENTOS_COMPLEMENTOS!$I$4:$I$803,MOVIMIENTOS_COMPLEMENTOS!$C$4:$C$803,A1702,MOVIMIENTOS_COMPLEMENTOS!$D$4:$D$803,B1702,MOVIMIENTOS_COMPLEMENTOS!$E$4:$E$803,C1702,MOVIMIENTOS_COMPLEMENTOS!$G$4:$G$803,E1702,MOVIMIENTOS_COMPLEMENTOS!$H$4:$H$803,G1702,MOVIMIENTOS_COMPLEMENTOS!$B$4:$B$803,"INGRESO")+SUMIFS(MOVIMIENTOS_COMPLEMENTOS!$I$4:$I$803,MOVIMIENTOS_COMPLEMENTOS!$C$4:$C$803,A1702,MOVIMIENTOS_COMPLEMENTOS!$D$4:$D$803,B1702,MOVIMIENTOS_COMPLEMENTOS!$E$4:$E$803,C1702,MOVIMIENTOS_COMPLEMENTOS!$G$4:$G$803,E1702,MOVIMIENTOS_COMPLEMENTOS!$H$4:$H$803,G1702,MOVIMIENTOS_COMPLEMENTOS!$B$4:$B$803,"DE CORTE")-SUMIFS(MOVIMIENTOS_COMPLEMENTOS!$I$4:$I$803,MOVIMIENTOS_COMPLEMENTOS!$C$4:$C$803,A1702,MOVIMIENTOS_COMPLEMENTOS!$D$4:$D$803,B1702,MOVIMIENTOS_COMPLEMENTOS!$E$4:$E$803,C1702,MOVIMIENTOS_COMPLEMENTOS!$G$4:$G$803,E1702,MOVIMIENTOS_COMPLEMENTOS!$H$4:$H$803,G1702,MOVIMIENTOS_COMPLEMENTOS!$B$4:$B$803,"SALIDA"),0)</f>
        <v>0</v>
      </c>
      <c r="I1702" s="102">
        <f t="array" ref="I1702">IFERROR(INDEX(PRECIOS_COMPLEMENTOS!$C$4:$F$17,MATCH(B1702&amp;"_"&amp;C1702,PRECIOS_COMPLEMENTOS!$H$4:$H$17,0),IF(OR(G1702="S",G1702="20cm"),1,IF(OR(G1702="M",G1702="25cm"),2,IF(OR(G1702="L",G1702="30cm"),3,IF(OR(G1702="XL",G1702="35cm"),4,0))))),0)</f>
        <v>0.3</v>
      </c>
      <c r="J1702" s="103">
        <f t="shared" si="1"/>
        <v>0</v>
      </c>
      <c r="K1702" s="104" t="str">
        <f>IF(H1702&lt;0,"ERROR",IF(H1702=0,"",IF(H1702&lt;CONFIG!$B$4,"CRÍTICO",IF(H1702&lt;CONFIG!$B$5,"BAJO","OK"))))</f>
        <v/>
      </c>
    </row>
    <row r="1703" ht="15.75" hidden="1" customHeight="1">
      <c r="A1703" s="90" t="str">
        <f>IF(CLIENTES!A7="","",CLIENTES!A7)</f>
        <v/>
      </c>
      <c r="B1703" s="90" t="s">
        <v>324</v>
      </c>
      <c r="C1703" s="91" t="s">
        <v>328</v>
      </c>
      <c r="D1703" s="109" t="s">
        <v>353</v>
      </c>
      <c r="E1703" s="67" t="str">
        <f>COLORES!A8</f>
        <v>Beige</v>
      </c>
      <c r="F1703" s="67" t="str">
        <f>COLORES!B8</f>
        <v>CLARO</v>
      </c>
      <c r="G1703" s="90" t="s">
        <v>379</v>
      </c>
      <c r="H1703" s="100">
        <f>IFERROR(SUMIFS(MOVIMIENTOS_COMPLEMENTOS!$I$4:$I$803,MOVIMIENTOS_COMPLEMENTOS!$C$4:$C$803,A1703,MOVIMIENTOS_COMPLEMENTOS!$D$4:$D$803,B1703,MOVIMIENTOS_COMPLEMENTOS!$E$4:$E$803,C1703,MOVIMIENTOS_COMPLEMENTOS!$G$4:$G$803,E1703,MOVIMIENTOS_COMPLEMENTOS!$H$4:$H$803,G1703,MOVIMIENTOS_COMPLEMENTOS!$B$4:$B$803,"INGRESO")+SUMIFS(MOVIMIENTOS_COMPLEMENTOS!$I$4:$I$803,MOVIMIENTOS_COMPLEMENTOS!$C$4:$C$803,A1703,MOVIMIENTOS_COMPLEMENTOS!$D$4:$D$803,B1703,MOVIMIENTOS_COMPLEMENTOS!$E$4:$E$803,C1703,MOVIMIENTOS_COMPLEMENTOS!$G$4:$G$803,E1703,MOVIMIENTOS_COMPLEMENTOS!$H$4:$H$803,G1703,MOVIMIENTOS_COMPLEMENTOS!$B$4:$B$803,"DE CORTE")-SUMIFS(MOVIMIENTOS_COMPLEMENTOS!$I$4:$I$803,MOVIMIENTOS_COMPLEMENTOS!$C$4:$C$803,A1703,MOVIMIENTOS_COMPLEMENTOS!$D$4:$D$803,B1703,MOVIMIENTOS_COMPLEMENTOS!$E$4:$E$803,C1703,MOVIMIENTOS_COMPLEMENTOS!$G$4:$G$803,E1703,MOVIMIENTOS_COMPLEMENTOS!$H$4:$H$803,G1703,MOVIMIENTOS_COMPLEMENTOS!$B$4:$B$803,"SALIDA"),0)</f>
        <v>0</v>
      </c>
      <c r="I1703" s="102">
        <f t="array" ref="I1703">IFERROR(INDEX(PRECIOS_COMPLEMENTOS!$C$4:$F$17,MATCH(B1703&amp;"_"&amp;C1703,PRECIOS_COMPLEMENTOS!$H$4:$H$17,0),IF(OR(G1703="S",G1703="20cm"),1,IF(OR(G1703="M",G1703="25cm"),2,IF(OR(G1703="L",G1703="30cm"),3,IF(OR(G1703="XL",G1703="35cm"),4,0))))),0)</f>
        <v>0.3</v>
      </c>
      <c r="J1703" s="103">
        <f t="shared" si="1"/>
        <v>0</v>
      </c>
      <c r="K1703" s="104" t="str">
        <f>IF(H1703&lt;0,"ERROR",IF(H1703=0,"",IF(H1703&lt;CONFIG!$B$4,"CRÍTICO",IF(H1703&lt;CONFIG!$B$5,"BAJO","OK"))))</f>
        <v/>
      </c>
    </row>
    <row r="1704" ht="15.75" hidden="1" customHeight="1">
      <c r="A1704" s="90" t="str">
        <f>IF(CLIENTES!A7="","",CLIENTES!A7)</f>
        <v/>
      </c>
      <c r="B1704" s="90" t="s">
        <v>324</v>
      </c>
      <c r="C1704" s="91" t="s">
        <v>328</v>
      </c>
      <c r="D1704" s="109" t="s">
        <v>353</v>
      </c>
      <c r="E1704" s="67" t="str">
        <f>COLORES!A9</f>
        <v>Melange</v>
      </c>
      <c r="F1704" s="67" t="str">
        <f>COLORES!B9</f>
        <v>MELANGE</v>
      </c>
      <c r="G1704" s="90" t="s">
        <v>378</v>
      </c>
      <c r="H1704" s="100">
        <f>IFERROR(SUMIFS(MOVIMIENTOS_COMPLEMENTOS!$I$4:$I$803,MOVIMIENTOS_COMPLEMENTOS!$C$4:$C$803,A1704,MOVIMIENTOS_COMPLEMENTOS!$D$4:$D$803,B1704,MOVIMIENTOS_COMPLEMENTOS!$E$4:$E$803,C1704,MOVIMIENTOS_COMPLEMENTOS!$G$4:$G$803,E1704,MOVIMIENTOS_COMPLEMENTOS!$H$4:$H$803,G1704,MOVIMIENTOS_COMPLEMENTOS!$B$4:$B$803,"INGRESO")+SUMIFS(MOVIMIENTOS_COMPLEMENTOS!$I$4:$I$803,MOVIMIENTOS_COMPLEMENTOS!$C$4:$C$803,A1704,MOVIMIENTOS_COMPLEMENTOS!$D$4:$D$803,B1704,MOVIMIENTOS_COMPLEMENTOS!$E$4:$E$803,C1704,MOVIMIENTOS_COMPLEMENTOS!$G$4:$G$803,E1704,MOVIMIENTOS_COMPLEMENTOS!$H$4:$H$803,G1704,MOVIMIENTOS_COMPLEMENTOS!$B$4:$B$803,"DE CORTE")-SUMIFS(MOVIMIENTOS_COMPLEMENTOS!$I$4:$I$803,MOVIMIENTOS_COMPLEMENTOS!$C$4:$C$803,A1704,MOVIMIENTOS_COMPLEMENTOS!$D$4:$D$803,B1704,MOVIMIENTOS_COMPLEMENTOS!$E$4:$E$803,C1704,MOVIMIENTOS_COMPLEMENTOS!$G$4:$G$803,E1704,MOVIMIENTOS_COMPLEMENTOS!$H$4:$H$803,G1704,MOVIMIENTOS_COMPLEMENTOS!$B$4:$B$803,"SALIDA"),0)</f>
        <v>0</v>
      </c>
      <c r="I1704" s="102">
        <f t="array" ref="I1704">IFERROR(INDEX(PRECIOS_COMPLEMENTOS!$C$4:$F$17,MATCH(B1704&amp;"_"&amp;C1704,PRECIOS_COMPLEMENTOS!$H$4:$H$17,0),IF(OR(G1704="S",G1704="20cm"),1,IF(OR(G1704="M",G1704="25cm"),2,IF(OR(G1704="L",G1704="30cm"),3,IF(OR(G1704="XL",G1704="35cm"),4,0))))),0)</f>
        <v>0.3</v>
      </c>
      <c r="J1704" s="103">
        <f t="shared" si="1"/>
        <v>0</v>
      </c>
      <c r="K1704" s="104" t="str">
        <f>IF(H1704&lt;0,"ERROR",IF(H1704=0,"",IF(H1704&lt;CONFIG!$B$4,"CRÍTICO",IF(H1704&lt;CONFIG!$B$5,"BAJO","OK"))))</f>
        <v/>
      </c>
    </row>
    <row r="1705" ht="15.75" hidden="1" customHeight="1">
      <c r="A1705" s="90" t="str">
        <f>IF(CLIENTES!A7="","",CLIENTES!A7)</f>
        <v/>
      </c>
      <c r="B1705" s="90" t="s">
        <v>324</v>
      </c>
      <c r="C1705" s="91" t="s">
        <v>328</v>
      </c>
      <c r="D1705" s="109" t="s">
        <v>353</v>
      </c>
      <c r="E1705" s="67" t="str">
        <f>COLORES!A9</f>
        <v>Melange</v>
      </c>
      <c r="F1705" s="67" t="str">
        <f>COLORES!B9</f>
        <v>MELANGE</v>
      </c>
      <c r="G1705" s="90" t="s">
        <v>376</v>
      </c>
      <c r="H1705" s="100">
        <f>IFERROR(SUMIFS(MOVIMIENTOS_COMPLEMENTOS!$I$4:$I$803,MOVIMIENTOS_COMPLEMENTOS!$C$4:$C$803,A1705,MOVIMIENTOS_COMPLEMENTOS!$D$4:$D$803,B1705,MOVIMIENTOS_COMPLEMENTOS!$E$4:$E$803,C1705,MOVIMIENTOS_COMPLEMENTOS!$G$4:$G$803,E1705,MOVIMIENTOS_COMPLEMENTOS!$H$4:$H$803,G1705,MOVIMIENTOS_COMPLEMENTOS!$B$4:$B$803,"INGRESO")+SUMIFS(MOVIMIENTOS_COMPLEMENTOS!$I$4:$I$803,MOVIMIENTOS_COMPLEMENTOS!$C$4:$C$803,A1705,MOVIMIENTOS_COMPLEMENTOS!$D$4:$D$803,B1705,MOVIMIENTOS_COMPLEMENTOS!$E$4:$E$803,C1705,MOVIMIENTOS_COMPLEMENTOS!$G$4:$G$803,E1705,MOVIMIENTOS_COMPLEMENTOS!$H$4:$H$803,G1705,MOVIMIENTOS_COMPLEMENTOS!$B$4:$B$803,"DE CORTE")-SUMIFS(MOVIMIENTOS_COMPLEMENTOS!$I$4:$I$803,MOVIMIENTOS_COMPLEMENTOS!$C$4:$C$803,A1705,MOVIMIENTOS_COMPLEMENTOS!$D$4:$D$803,B1705,MOVIMIENTOS_COMPLEMENTOS!$E$4:$E$803,C1705,MOVIMIENTOS_COMPLEMENTOS!$G$4:$G$803,E1705,MOVIMIENTOS_COMPLEMENTOS!$H$4:$H$803,G1705,MOVIMIENTOS_COMPLEMENTOS!$B$4:$B$803,"SALIDA"),0)</f>
        <v>0</v>
      </c>
      <c r="I1705" s="102">
        <f t="array" ref="I1705">IFERROR(INDEX(PRECIOS_COMPLEMENTOS!$C$4:$F$17,MATCH(B1705&amp;"_"&amp;C1705,PRECIOS_COMPLEMENTOS!$H$4:$H$17,0),IF(OR(G1705="S",G1705="20cm"),1,IF(OR(G1705="M",G1705="25cm"),2,IF(OR(G1705="L",G1705="30cm"),3,IF(OR(G1705="XL",G1705="35cm"),4,0))))),0)</f>
        <v>0.3</v>
      </c>
      <c r="J1705" s="103">
        <f t="shared" si="1"/>
        <v>0</v>
      </c>
      <c r="K1705" s="104" t="str">
        <f>IF(H1705&lt;0,"ERROR",IF(H1705=0,"",IF(H1705&lt;CONFIG!$B$4,"CRÍTICO",IF(H1705&lt;CONFIG!$B$5,"BAJO","OK"))))</f>
        <v/>
      </c>
    </row>
    <row r="1706" ht="15.75" hidden="1" customHeight="1">
      <c r="A1706" s="90" t="str">
        <f>IF(CLIENTES!A7="","",CLIENTES!A7)</f>
        <v/>
      </c>
      <c r="B1706" s="90" t="s">
        <v>324</v>
      </c>
      <c r="C1706" s="91" t="s">
        <v>328</v>
      </c>
      <c r="D1706" s="109" t="s">
        <v>353</v>
      </c>
      <c r="E1706" s="67" t="str">
        <f>COLORES!A9</f>
        <v>Melange</v>
      </c>
      <c r="F1706" s="67" t="str">
        <f>COLORES!B9</f>
        <v>MELANGE</v>
      </c>
      <c r="G1706" s="90" t="s">
        <v>377</v>
      </c>
      <c r="H1706" s="100">
        <f>IFERROR(SUMIFS(MOVIMIENTOS_COMPLEMENTOS!$I$4:$I$803,MOVIMIENTOS_COMPLEMENTOS!$C$4:$C$803,A1706,MOVIMIENTOS_COMPLEMENTOS!$D$4:$D$803,B1706,MOVIMIENTOS_COMPLEMENTOS!$E$4:$E$803,C1706,MOVIMIENTOS_COMPLEMENTOS!$G$4:$G$803,E1706,MOVIMIENTOS_COMPLEMENTOS!$H$4:$H$803,G1706,MOVIMIENTOS_COMPLEMENTOS!$B$4:$B$803,"INGRESO")+SUMIFS(MOVIMIENTOS_COMPLEMENTOS!$I$4:$I$803,MOVIMIENTOS_COMPLEMENTOS!$C$4:$C$803,A1706,MOVIMIENTOS_COMPLEMENTOS!$D$4:$D$803,B1706,MOVIMIENTOS_COMPLEMENTOS!$E$4:$E$803,C1706,MOVIMIENTOS_COMPLEMENTOS!$G$4:$G$803,E1706,MOVIMIENTOS_COMPLEMENTOS!$H$4:$H$803,G1706,MOVIMIENTOS_COMPLEMENTOS!$B$4:$B$803,"DE CORTE")-SUMIFS(MOVIMIENTOS_COMPLEMENTOS!$I$4:$I$803,MOVIMIENTOS_COMPLEMENTOS!$C$4:$C$803,A1706,MOVIMIENTOS_COMPLEMENTOS!$D$4:$D$803,B1706,MOVIMIENTOS_COMPLEMENTOS!$E$4:$E$803,C1706,MOVIMIENTOS_COMPLEMENTOS!$G$4:$G$803,E1706,MOVIMIENTOS_COMPLEMENTOS!$H$4:$H$803,G1706,MOVIMIENTOS_COMPLEMENTOS!$B$4:$B$803,"SALIDA"),0)</f>
        <v>0</v>
      </c>
      <c r="I1706" s="102">
        <f t="array" ref="I1706">IFERROR(INDEX(PRECIOS_COMPLEMENTOS!$C$4:$F$17,MATCH(B1706&amp;"_"&amp;C1706,PRECIOS_COMPLEMENTOS!$H$4:$H$17,0),IF(OR(G1706="S",G1706="20cm"),1,IF(OR(G1706="M",G1706="25cm"),2,IF(OR(G1706="L",G1706="30cm"),3,IF(OR(G1706="XL",G1706="35cm"),4,0))))),0)</f>
        <v>0.3</v>
      </c>
      <c r="J1706" s="103">
        <f t="shared" si="1"/>
        <v>0</v>
      </c>
      <c r="K1706" s="104" t="str">
        <f>IF(H1706&lt;0,"ERROR",IF(H1706=0,"",IF(H1706&lt;CONFIG!$B$4,"CRÍTICO",IF(H1706&lt;CONFIG!$B$5,"BAJO","OK"))))</f>
        <v/>
      </c>
    </row>
    <row r="1707" ht="15.75" hidden="1" customHeight="1">
      <c r="A1707" s="90" t="str">
        <f>IF(CLIENTES!A7="","",CLIENTES!A7)</f>
        <v/>
      </c>
      <c r="B1707" s="90" t="s">
        <v>324</v>
      </c>
      <c r="C1707" s="91" t="s">
        <v>328</v>
      </c>
      <c r="D1707" s="109" t="s">
        <v>353</v>
      </c>
      <c r="E1707" s="67" t="str">
        <f>COLORES!A9</f>
        <v>Melange</v>
      </c>
      <c r="F1707" s="67" t="str">
        <f>COLORES!B9</f>
        <v>MELANGE</v>
      </c>
      <c r="G1707" s="90" t="s">
        <v>379</v>
      </c>
      <c r="H1707" s="100">
        <f>IFERROR(SUMIFS(MOVIMIENTOS_COMPLEMENTOS!$I$4:$I$803,MOVIMIENTOS_COMPLEMENTOS!$C$4:$C$803,A1707,MOVIMIENTOS_COMPLEMENTOS!$D$4:$D$803,B1707,MOVIMIENTOS_COMPLEMENTOS!$E$4:$E$803,C1707,MOVIMIENTOS_COMPLEMENTOS!$G$4:$G$803,E1707,MOVIMIENTOS_COMPLEMENTOS!$H$4:$H$803,G1707,MOVIMIENTOS_COMPLEMENTOS!$B$4:$B$803,"INGRESO")+SUMIFS(MOVIMIENTOS_COMPLEMENTOS!$I$4:$I$803,MOVIMIENTOS_COMPLEMENTOS!$C$4:$C$803,A1707,MOVIMIENTOS_COMPLEMENTOS!$D$4:$D$803,B1707,MOVIMIENTOS_COMPLEMENTOS!$E$4:$E$803,C1707,MOVIMIENTOS_COMPLEMENTOS!$G$4:$G$803,E1707,MOVIMIENTOS_COMPLEMENTOS!$H$4:$H$803,G1707,MOVIMIENTOS_COMPLEMENTOS!$B$4:$B$803,"DE CORTE")-SUMIFS(MOVIMIENTOS_COMPLEMENTOS!$I$4:$I$803,MOVIMIENTOS_COMPLEMENTOS!$C$4:$C$803,A1707,MOVIMIENTOS_COMPLEMENTOS!$D$4:$D$803,B1707,MOVIMIENTOS_COMPLEMENTOS!$E$4:$E$803,C1707,MOVIMIENTOS_COMPLEMENTOS!$G$4:$G$803,E1707,MOVIMIENTOS_COMPLEMENTOS!$H$4:$H$803,G1707,MOVIMIENTOS_COMPLEMENTOS!$B$4:$B$803,"SALIDA"),0)</f>
        <v>0</v>
      </c>
      <c r="I1707" s="102">
        <f t="array" ref="I1707">IFERROR(INDEX(PRECIOS_COMPLEMENTOS!$C$4:$F$17,MATCH(B1707&amp;"_"&amp;C1707,PRECIOS_COMPLEMENTOS!$H$4:$H$17,0),IF(OR(G1707="S",G1707="20cm"),1,IF(OR(G1707="M",G1707="25cm"),2,IF(OR(G1707="L",G1707="30cm"),3,IF(OR(G1707="XL",G1707="35cm"),4,0))))),0)</f>
        <v>0.3</v>
      </c>
      <c r="J1707" s="103">
        <f t="shared" si="1"/>
        <v>0</v>
      </c>
      <c r="K1707" s="104" t="str">
        <f>IF(H1707&lt;0,"ERROR",IF(H1707=0,"",IF(H1707&lt;CONFIG!$B$4,"CRÍTICO",IF(H1707&lt;CONFIG!$B$5,"BAJO","OK"))))</f>
        <v/>
      </c>
    </row>
    <row r="1708" ht="15.75" hidden="1" customHeight="1">
      <c r="A1708" s="90" t="str">
        <f>IF(CLIENTES!A7="","",CLIENTES!A7)</f>
        <v/>
      </c>
      <c r="B1708" s="90" t="s">
        <v>324</v>
      </c>
      <c r="C1708" s="91" t="s">
        <v>328</v>
      </c>
      <c r="D1708" s="109" t="s">
        <v>353</v>
      </c>
      <c r="E1708" s="67" t="str">
        <f>COLORES!A10</f>
        <v>Botella</v>
      </c>
      <c r="F1708" s="67" t="str">
        <f>COLORES!B10</f>
        <v>OSCURO</v>
      </c>
      <c r="G1708" s="90" t="s">
        <v>378</v>
      </c>
      <c r="H1708" s="100">
        <f>IFERROR(SUMIFS(MOVIMIENTOS_COMPLEMENTOS!$I$4:$I$803,MOVIMIENTOS_COMPLEMENTOS!$C$4:$C$803,A1708,MOVIMIENTOS_COMPLEMENTOS!$D$4:$D$803,B1708,MOVIMIENTOS_COMPLEMENTOS!$E$4:$E$803,C1708,MOVIMIENTOS_COMPLEMENTOS!$G$4:$G$803,E1708,MOVIMIENTOS_COMPLEMENTOS!$H$4:$H$803,G1708,MOVIMIENTOS_COMPLEMENTOS!$B$4:$B$803,"INGRESO")+SUMIFS(MOVIMIENTOS_COMPLEMENTOS!$I$4:$I$803,MOVIMIENTOS_COMPLEMENTOS!$C$4:$C$803,A1708,MOVIMIENTOS_COMPLEMENTOS!$D$4:$D$803,B1708,MOVIMIENTOS_COMPLEMENTOS!$E$4:$E$803,C1708,MOVIMIENTOS_COMPLEMENTOS!$G$4:$G$803,E1708,MOVIMIENTOS_COMPLEMENTOS!$H$4:$H$803,G1708,MOVIMIENTOS_COMPLEMENTOS!$B$4:$B$803,"DE CORTE")-SUMIFS(MOVIMIENTOS_COMPLEMENTOS!$I$4:$I$803,MOVIMIENTOS_COMPLEMENTOS!$C$4:$C$803,A1708,MOVIMIENTOS_COMPLEMENTOS!$D$4:$D$803,B1708,MOVIMIENTOS_COMPLEMENTOS!$E$4:$E$803,C1708,MOVIMIENTOS_COMPLEMENTOS!$G$4:$G$803,E1708,MOVIMIENTOS_COMPLEMENTOS!$H$4:$H$803,G1708,MOVIMIENTOS_COMPLEMENTOS!$B$4:$B$803,"SALIDA"),0)</f>
        <v>0</v>
      </c>
      <c r="I1708" s="102">
        <f t="array" ref="I1708">IFERROR(INDEX(PRECIOS_COMPLEMENTOS!$C$4:$F$17,MATCH(B1708&amp;"_"&amp;C1708,PRECIOS_COMPLEMENTOS!$H$4:$H$17,0),IF(OR(G1708="S",G1708="20cm"),1,IF(OR(G1708="M",G1708="25cm"),2,IF(OR(G1708="L",G1708="30cm"),3,IF(OR(G1708="XL",G1708="35cm"),4,0))))),0)</f>
        <v>0.3</v>
      </c>
      <c r="J1708" s="103">
        <f t="shared" si="1"/>
        <v>0</v>
      </c>
      <c r="K1708" s="104" t="str">
        <f>IF(H1708&lt;0,"ERROR",IF(H1708=0,"",IF(H1708&lt;CONFIG!$B$4,"CRÍTICO",IF(H1708&lt;CONFIG!$B$5,"BAJO","OK"))))</f>
        <v/>
      </c>
    </row>
    <row r="1709" ht="15.75" hidden="1" customHeight="1">
      <c r="A1709" s="90" t="str">
        <f>IF(CLIENTES!A7="","",CLIENTES!A7)</f>
        <v/>
      </c>
      <c r="B1709" s="90" t="s">
        <v>324</v>
      </c>
      <c r="C1709" s="91" t="s">
        <v>328</v>
      </c>
      <c r="D1709" s="109" t="s">
        <v>353</v>
      </c>
      <c r="E1709" s="67" t="str">
        <f>COLORES!A10</f>
        <v>Botella</v>
      </c>
      <c r="F1709" s="67" t="str">
        <f>COLORES!B10</f>
        <v>OSCURO</v>
      </c>
      <c r="G1709" s="90" t="s">
        <v>376</v>
      </c>
      <c r="H1709" s="100">
        <f>IFERROR(SUMIFS(MOVIMIENTOS_COMPLEMENTOS!$I$4:$I$803,MOVIMIENTOS_COMPLEMENTOS!$C$4:$C$803,A1709,MOVIMIENTOS_COMPLEMENTOS!$D$4:$D$803,B1709,MOVIMIENTOS_COMPLEMENTOS!$E$4:$E$803,C1709,MOVIMIENTOS_COMPLEMENTOS!$G$4:$G$803,E1709,MOVIMIENTOS_COMPLEMENTOS!$H$4:$H$803,G1709,MOVIMIENTOS_COMPLEMENTOS!$B$4:$B$803,"INGRESO")+SUMIFS(MOVIMIENTOS_COMPLEMENTOS!$I$4:$I$803,MOVIMIENTOS_COMPLEMENTOS!$C$4:$C$803,A1709,MOVIMIENTOS_COMPLEMENTOS!$D$4:$D$803,B1709,MOVIMIENTOS_COMPLEMENTOS!$E$4:$E$803,C1709,MOVIMIENTOS_COMPLEMENTOS!$G$4:$G$803,E1709,MOVIMIENTOS_COMPLEMENTOS!$H$4:$H$803,G1709,MOVIMIENTOS_COMPLEMENTOS!$B$4:$B$803,"DE CORTE")-SUMIFS(MOVIMIENTOS_COMPLEMENTOS!$I$4:$I$803,MOVIMIENTOS_COMPLEMENTOS!$C$4:$C$803,A1709,MOVIMIENTOS_COMPLEMENTOS!$D$4:$D$803,B1709,MOVIMIENTOS_COMPLEMENTOS!$E$4:$E$803,C1709,MOVIMIENTOS_COMPLEMENTOS!$G$4:$G$803,E1709,MOVIMIENTOS_COMPLEMENTOS!$H$4:$H$803,G1709,MOVIMIENTOS_COMPLEMENTOS!$B$4:$B$803,"SALIDA"),0)</f>
        <v>0</v>
      </c>
      <c r="I1709" s="102">
        <f t="array" ref="I1709">IFERROR(INDEX(PRECIOS_COMPLEMENTOS!$C$4:$F$17,MATCH(B1709&amp;"_"&amp;C1709,PRECIOS_COMPLEMENTOS!$H$4:$H$17,0),IF(OR(G1709="S",G1709="20cm"),1,IF(OR(G1709="M",G1709="25cm"),2,IF(OR(G1709="L",G1709="30cm"),3,IF(OR(G1709="XL",G1709="35cm"),4,0))))),0)</f>
        <v>0.3</v>
      </c>
      <c r="J1709" s="103">
        <f t="shared" si="1"/>
        <v>0</v>
      </c>
      <c r="K1709" s="104" t="str">
        <f>IF(H1709&lt;0,"ERROR",IF(H1709=0,"",IF(H1709&lt;CONFIG!$B$4,"CRÍTICO",IF(H1709&lt;CONFIG!$B$5,"BAJO","OK"))))</f>
        <v/>
      </c>
    </row>
    <row r="1710" ht="15.75" hidden="1" customHeight="1">
      <c r="A1710" s="90" t="str">
        <f>IF(CLIENTES!A7="","",CLIENTES!A7)</f>
        <v/>
      </c>
      <c r="B1710" s="90" t="s">
        <v>324</v>
      </c>
      <c r="C1710" s="91" t="s">
        <v>328</v>
      </c>
      <c r="D1710" s="109" t="s">
        <v>353</v>
      </c>
      <c r="E1710" s="67" t="str">
        <f>COLORES!A10</f>
        <v>Botella</v>
      </c>
      <c r="F1710" s="67" t="str">
        <f>COLORES!B10</f>
        <v>OSCURO</v>
      </c>
      <c r="G1710" s="90" t="s">
        <v>377</v>
      </c>
      <c r="H1710" s="100">
        <f>IFERROR(SUMIFS(MOVIMIENTOS_COMPLEMENTOS!$I$4:$I$803,MOVIMIENTOS_COMPLEMENTOS!$C$4:$C$803,A1710,MOVIMIENTOS_COMPLEMENTOS!$D$4:$D$803,B1710,MOVIMIENTOS_COMPLEMENTOS!$E$4:$E$803,C1710,MOVIMIENTOS_COMPLEMENTOS!$G$4:$G$803,E1710,MOVIMIENTOS_COMPLEMENTOS!$H$4:$H$803,G1710,MOVIMIENTOS_COMPLEMENTOS!$B$4:$B$803,"INGRESO")+SUMIFS(MOVIMIENTOS_COMPLEMENTOS!$I$4:$I$803,MOVIMIENTOS_COMPLEMENTOS!$C$4:$C$803,A1710,MOVIMIENTOS_COMPLEMENTOS!$D$4:$D$803,B1710,MOVIMIENTOS_COMPLEMENTOS!$E$4:$E$803,C1710,MOVIMIENTOS_COMPLEMENTOS!$G$4:$G$803,E1710,MOVIMIENTOS_COMPLEMENTOS!$H$4:$H$803,G1710,MOVIMIENTOS_COMPLEMENTOS!$B$4:$B$803,"DE CORTE")-SUMIFS(MOVIMIENTOS_COMPLEMENTOS!$I$4:$I$803,MOVIMIENTOS_COMPLEMENTOS!$C$4:$C$803,A1710,MOVIMIENTOS_COMPLEMENTOS!$D$4:$D$803,B1710,MOVIMIENTOS_COMPLEMENTOS!$E$4:$E$803,C1710,MOVIMIENTOS_COMPLEMENTOS!$G$4:$G$803,E1710,MOVIMIENTOS_COMPLEMENTOS!$H$4:$H$803,G1710,MOVIMIENTOS_COMPLEMENTOS!$B$4:$B$803,"SALIDA"),0)</f>
        <v>0</v>
      </c>
      <c r="I1710" s="102">
        <f t="array" ref="I1710">IFERROR(INDEX(PRECIOS_COMPLEMENTOS!$C$4:$F$17,MATCH(B1710&amp;"_"&amp;C1710,PRECIOS_COMPLEMENTOS!$H$4:$H$17,0),IF(OR(G1710="S",G1710="20cm"),1,IF(OR(G1710="M",G1710="25cm"),2,IF(OR(G1710="L",G1710="30cm"),3,IF(OR(G1710="XL",G1710="35cm"),4,0))))),0)</f>
        <v>0.3</v>
      </c>
      <c r="J1710" s="103">
        <f t="shared" si="1"/>
        <v>0</v>
      </c>
      <c r="K1710" s="104" t="str">
        <f>IF(H1710&lt;0,"ERROR",IF(H1710=0,"",IF(H1710&lt;CONFIG!$B$4,"CRÍTICO",IF(H1710&lt;CONFIG!$B$5,"BAJO","OK"))))</f>
        <v/>
      </c>
    </row>
    <row r="1711" ht="15.75" hidden="1" customHeight="1">
      <c r="A1711" s="90" t="str">
        <f>IF(CLIENTES!A7="","",CLIENTES!A7)</f>
        <v/>
      </c>
      <c r="B1711" s="90" t="s">
        <v>324</v>
      </c>
      <c r="C1711" s="91" t="s">
        <v>328</v>
      </c>
      <c r="D1711" s="109" t="s">
        <v>353</v>
      </c>
      <c r="E1711" s="67" t="str">
        <f>COLORES!A10</f>
        <v>Botella</v>
      </c>
      <c r="F1711" s="67" t="str">
        <f>COLORES!B10</f>
        <v>OSCURO</v>
      </c>
      <c r="G1711" s="90" t="s">
        <v>379</v>
      </c>
      <c r="H1711" s="100">
        <f>IFERROR(SUMIFS(MOVIMIENTOS_COMPLEMENTOS!$I$4:$I$803,MOVIMIENTOS_COMPLEMENTOS!$C$4:$C$803,A1711,MOVIMIENTOS_COMPLEMENTOS!$D$4:$D$803,B1711,MOVIMIENTOS_COMPLEMENTOS!$E$4:$E$803,C1711,MOVIMIENTOS_COMPLEMENTOS!$G$4:$G$803,E1711,MOVIMIENTOS_COMPLEMENTOS!$H$4:$H$803,G1711,MOVIMIENTOS_COMPLEMENTOS!$B$4:$B$803,"INGRESO")+SUMIFS(MOVIMIENTOS_COMPLEMENTOS!$I$4:$I$803,MOVIMIENTOS_COMPLEMENTOS!$C$4:$C$803,A1711,MOVIMIENTOS_COMPLEMENTOS!$D$4:$D$803,B1711,MOVIMIENTOS_COMPLEMENTOS!$E$4:$E$803,C1711,MOVIMIENTOS_COMPLEMENTOS!$G$4:$G$803,E1711,MOVIMIENTOS_COMPLEMENTOS!$H$4:$H$803,G1711,MOVIMIENTOS_COMPLEMENTOS!$B$4:$B$803,"DE CORTE")-SUMIFS(MOVIMIENTOS_COMPLEMENTOS!$I$4:$I$803,MOVIMIENTOS_COMPLEMENTOS!$C$4:$C$803,A1711,MOVIMIENTOS_COMPLEMENTOS!$D$4:$D$803,B1711,MOVIMIENTOS_COMPLEMENTOS!$E$4:$E$803,C1711,MOVIMIENTOS_COMPLEMENTOS!$G$4:$G$803,E1711,MOVIMIENTOS_COMPLEMENTOS!$H$4:$H$803,G1711,MOVIMIENTOS_COMPLEMENTOS!$B$4:$B$803,"SALIDA"),0)</f>
        <v>0</v>
      </c>
      <c r="I1711" s="102">
        <f t="array" ref="I1711">IFERROR(INDEX(PRECIOS_COMPLEMENTOS!$C$4:$F$17,MATCH(B1711&amp;"_"&amp;C1711,PRECIOS_COMPLEMENTOS!$H$4:$H$17,0),IF(OR(G1711="S",G1711="20cm"),1,IF(OR(G1711="M",G1711="25cm"),2,IF(OR(G1711="L",G1711="30cm"),3,IF(OR(G1711="XL",G1711="35cm"),4,0))))),0)</f>
        <v>0.3</v>
      </c>
      <c r="J1711" s="103">
        <f t="shared" si="1"/>
        <v>0</v>
      </c>
      <c r="K1711" s="104" t="str">
        <f>IF(H1711&lt;0,"ERROR",IF(H1711=0,"",IF(H1711&lt;CONFIG!$B$4,"CRÍTICO",IF(H1711&lt;CONFIG!$B$5,"BAJO","OK"))))</f>
        <v/>
      </c>
    </row>
    <row r="1712" ht="15.75" hidden="1" customHeight="1">
      <c r="A1712" s="90" t="str">
        <f>IF(CLIENTES!A7="","",CLIENTES!A7)</f>
        <v/>
      </c>
      <c r="B1712" s="90" t="s">
        <v>324</v>
      </c>
      <c r="C1712" s="91" t="s">
        <v>328</v>
      </c>
      <c r="D1712" s="109" t="s">
        <v>353</v>
      </c>
      <c r="E1712" s="67" t="str">
        <f>COLORES!A11</f>
        <v>Pacay</v>
      </c>
      <c r="F1712" s="67" t="str">
        <f>COLORES!B11</f>
        <v>CLARO</v>
      </c>
      <c r="G1712" s="90" t="s">
        <v>378</v>
      </c>
      <c r="H1712" s="100">
        <f>IFERROR(SUMIFS(MOVIMIENTOS_COMPLEMENTOS!$I$4:$I$803,MOVIMIENTOS_COMPLEMENTOS!$C$4:$C$803,A1712,MOVIMIENTOS_COMPLEMENTOS!$D$4:$D$803,B1712,MOVIMIENTOS_COMPLEMENTOS!$E$4:$E$803,C1712,MOVIMIENTOS_COMPLEMENTOS!$G$4:$G$803,E1712,MOVIMIENTOS_COMPLEMENTOS!$H$4:$H$803,G1712,MOVIMIENTOS_COMPLEMENTOS!$B$4:$B$803,"INGRESO")+SUMIFS(MOVIMIENTOS_COMPLEMENTOS!$I$4:$I$803,MOVIMIENTOS_COMPLEMENTOS!$C$4:$C$803,A1712,MOVIMIENTOS_COMPLEMENTOS!$D$4:$D$803,B1712,MOVIMIENTOS_COMPLEMENTOS!$E$4:$E$803,C1712,MOVIMIENTOS_COMPLEMENTOS!$G$4:$G$803,E1712,MOVIMIENTOS_COMPLEMENTOS!$H$4:$H$803,G1712,MOVIMIENTOS_COMPLEMENTOS!$B$4:$B$803,"DE CORTE")-SUMIFS(MOVIMIENTOS_COMPLEMENTOS!$I$4:$I$803,MOVIMIENTOS_COMPLEMENTOS!$C$4:$C$803,A1712,MOVIMIENTOS_COMPLEMENTOS!$D$4:$D$803,B1712,MOVIMIENTOS_COMPLEMENTOS!$E$4:$E$803,C1712,MOVIMIENTOS_COMPLEMENTOS!$G$4:$G$803,E1712,MOVIMIENTOS_COMPLEMENTOS!$H$4:$H$803,G1712,MOVIMIENTOS_COMPLEMENTOS!$B$4:$B$803,"SALIDA"),0)</f>
        <v>0</v>
      </c>
      <c r="I1712" s="102">
        <f t="array" ref="I1712">IFERROR(INDEX(PRECIOS_COMPLEMENTOS!$C$4:$F$17,MATCH(B1712&amp;"_"&amp;C1712,PRECIOS_COMPLEMENTOS!$H$4:$H$17,0),IF(OR(G1712="S",G1712="20cm"),1,IF(OR(G1712="M",G1712="25cm"),2,IF(OR(G1712="L",G1712="30cm"),3,IF(OR(G1712="XL",G1712="35cm"),4,0))))),0)</f>
        <v>0.3</v>
      </c>
      <c r="J1712" s="103">
        <f t="shared" si="1"/>
        <v>0</v>
      </c>
      <c r="K1712" s="104" t="str">
        <f>IF(H1712&lt;0,"ERROR",IF(H1712=0,"",IF(H1712&lt;CONFIG!$B$4,"CRÍTICO",IF(H1712&lt;CONFIG!$B$5,"BAJO","OK"))))</f>
        <v/>
      </c>
    </row>
    <row r="1713" ht="15.75" hidden="1" customHeight="1">
      <c r="A1713" s="90" t="str">
        <f>IF(CLIENTES!A7="","",CLIENTES!A7)</f>
        <v/>
      </c>
      <c r="B1713" s="90" t="s">
        <v>324</v>
      </c>
      <c r="C1713" s="91" t="s">
        <v>328</v>
      </c>
      <c r="D1713" s="109" t="s">
        <v>353</v>
      </c>
      <c r="E1713" s="67" t="str">
        <f>COLORES!A11</f>
        <v>Pacay</v>
      </c>
      <c r="F1713" s="67" t="str">
        <f>COLORES!B11</f>
        <v>CLARO</v>
      </c>
      <c r="G1713" s="90" t="s">
        <v>376</v>
      </c>
      <c r="H1713" s="100">
        <f>IFERROR(SUMIFS(MOVIMIENTOS_COMPLEMENTOS!$I$4:$I$803,MOVIMIENTOS_COMPLEMENTOS!$C$4:$C$803,A1713,MOVIMIENTOS_COMPLEMENTOS!$D$4:$D$803,B1713,MOVIMIENTOS_COMPLEMENTOS!$E$4:$E$803,C1713,MOVIMIENTOS_COMPLEMENTOS!$G$4:$G$803,E1713,MOVIMIENTOS_COMPLEMENTOS!$H$4:$H$803,G1713,MOVIMIENTOS_COMPLEMENTOS!$B$4:$B$803,"INGRESO")+SUMIFS(MOVIMIENTOS_COMPLEMENTOS!$I$4:$I$803,MOVIMIENTOS_COMPLEMENTOS!$C$4:$C$803,A1713,MOVIMIENTOS_COMPLEMENTOS!$D$4:$D$803,B1713,MOVIMIENTOS_COMPLEMENTOS!$E$4:$E$803,C1713,MOVIMIENTOS_COMPLEMENTOS!$G$4:$G$803,E1713,MOVIMIENTOS_COMPLEMENTOS!$H$4:$H$803,G1713,MOVIMIENTOS_COMPLEMENTOS!$B$4:$B$803,"DE CORTE")-SUMIFS(MOVIMIENTOS_COMPLEMENTOS!$I$4:$I$803,MOVIMIENTOS_COMPLEMENTOS!$C$4:$C$803,A1713,MOVIMIENTOS_COMPLEMENTOS!$D$4:$D$803,B1713,MOVIMIENTOS_COMPLEMENTOS!$E$4:$E$803,C1713,MOVIMIENTOS_COMPLEMENTOS!$G$4:$G$803,E1713,MOVIMIENTOS_COMPLEMENTOS!$H$4:$H$803,G1713,MOVIMIENTOS_COMPLEMENTOS!$B$4:$B$803,"SALIDA"),0)</f>
        <v>0</v>
      </c>
      <c r="I1713" s="102">
        <f t="array" ref="I1713">IFERROR(INDEX(PRECIOS_COMPLEMENTOS!$C$4:$F$17,MATCH(B1713&amp;"_"&amp;C1713,PRECIOS_COMPLEMENTOS!$H$4:$H$17,0),IF(OR(G1713="S",G1713="20cm"),1,IF(OR(G1713="M",G1713="25cm"),2,IF(OR(G1713="L",G1713="30cm"),3,IF(OR(G1713="XL",G1713="35cm"),4,0))))),0)</f>
        <v>0.3</v>
      </c>
      <c r="J1713" s="103">
        <f t="shared" si="1"/>
        <v>0</v>
      </c>
      <c r="K1713" s="104" t="str">
        <f>IF(H1713&lt;0,"ERROR",IF(H1713=0,"",IF(H1713&lt;CONFIG!$B$4,"CRÍTICO",IF(H1713&lt;CONFIG!$B$5,"BAJO","OK"))))</f>
        <v/>
      </c>
    </row>
    <row r="1714" ht="15.75" hidden="1" customHeight="1">
      <c r="A1714" s="90" t="str">
        <f>IF(CLIENTES!A7="","",CLIENTES!A7)</f>
        <v/>
      </c>
      <c r="B1714" s="90" t="s">
        <v>324</v>
      </c>
      <c r="C1714" s="91" t="s">
        <v>328</v>
      </c>
      <c r="D1714" s="109" t="s">
        <v>353</v>
      </c>
      <c r="E1714" s="67" t="str">
        <f>COLORES!A11</f>
        <v>Pacay</v>
      </c>
      <c r="F1714" s="67" t="str">
        <f>COLORES!B11</f>
        <v>CLARO</v>
      </c>
      <c r="G1714" s="90" t="s">
        <v>377</v>
      </c>
      <c r="H1714" s="100">
        <f>IFERROR(SUMIFS(MOVIMIENTOS_COMPLEMENTOS!$I$4:$I$803,MOVIMIENTOS_COMPLEMENTOS!$C$4:$C$803,A1714,MOVIMIENTOS_COMPLEMENTOS!$D$4:$D$803,B1714,MOVIMIENTOS_COMPLEMENTOS!$E$4:$E$803,C1714,MOVIMIENTOS_COMPLEMENTOS!$G$4:$G$803,E1714,MOVIMIENTOS_COMPLEMENTOS!$H$4:$H$803,G1714,MOVIMIENTOS_COMPLEMENTOS!$B$4:$B$803,"INGRESO")+SUMIFS(MOVIMIENTOS_COMPLEMENTOS!$I$4:$I$803,MOVIMIENTOS_COMPLEMENTOS!$C$4:$C$803,A1714,MOVIMIENTOS_COMPLEMENTOS!$D$4:$D$803,B1714,MOVIMIENTOS_COMPLEMENTOS!$E$4:$E$803,C1714,MOVIMIENTOS_COMPLEMENTOS!$G$4:$G$803,E1714,MOVIMIENTOS_COMPLEMENTOS!$H$4:$H$803,G1714,MOVIMIENTOS_COMPLEMENTOS!$B$4:$B$803,"DE CORTE")-SUMIFS(MOVIMIENTOS_COMPLEMENTOS!$I$4:$I$803,MOVIMIENTOS_COMPLEMENTOS!$C$4:$C$803,A1714,MOVIMIENTOS_COMPLEMENTOS!$D$4:$D$803,B1714,MOVIMIENTOS_COMPLEMENTOS!$E$4:$E$803,C1714,MOVIMIENTOS_COMPLEMENTOS!$G$4:$G$803,E1714,MOVIMIENTOS_COMPLEMENTOS!$H$4:$H$803,G1714,MOVIMIENTOS_COMPLEMENTOS!$B$4:$B$803,"SALIDA"),0)</f>
        <v>0</v>
      </c>
      <c r="I1714" s="102">
        <f t="array" ref="I1714">IFERROR(INDEX(PRECIOS_COMPLEMENTOS!$C$4:$F$17,MATCH(B1714&amp;"_"&amp;C1714,PRECIOS_COMPLEMENTOS!$H$4:$H$17,0),IF(OR(G1714="S",G1714="20cm"),1,IF(OR(G1714="M",G1714="25cm"),2,IF(OR(G1714="L",G1714="30cm"),3,IF(OR(G1714="XL",G1714="35cm"),4,0))))),0)</f>
        <v>0.3</v>
      </c>
      <c r="J1714" s="103">
        <f t="shared" si="1"/>
        <v>0</v>
      </c>
      <c r="K1714" s="104" t="str">
        <f>IF(H1714&lt;0,"ERROR",IF(H1714=0,"",IF(H1714&lt;CONFIG!$B$4,"CRÍTICO",IF(H1714&lt;CONFIG!$B$5,"BAJO","OK"))))</f>
        <v/>
      </c>
    </row>
    <row r="1715" ht="15.75" hidden="1" customHeight="1">
      <c r="A1715" s="90" t="str">
        <f>IF(CLIENTES!A7="","",CLIENTES!A7)</f>
        <v/>
      </c>
      <c r="B1715" s="90" t="s">
        <v>324</v>
      </c>
      <c r="C1715" s="91" t="s">
        <v>328</v>
      </c>
      <c r="D1715" s="109" t="s">
        <v>353</v>
      </c>
      <c r="E1715" s="67" t="str">
        <f>COLORES!A11</f>
        <v>Pacay</v>
      </c>
      <c r="F1715" s="67" t="str">
        <f>COLORES!B11</f>
        <v>CLARO</v>
      </c>
      <c r="G1715" s="90" t="s">
        <v>379</v>
      </c>
      <c r="H1715" s="100">
        <f>IFERROR(SUMIFS(MOVIMIENTOS_COMPLEMENTOS!$I$4:$I$803,MOVIMIENTOS_COMPLEMENTOS!$C$4:$C$803,A1715,MOVIMIENTOS_COMPLEMENTOS!$D$4:$D$803,B1715,MOVIMIENTOS_COMPLEMENTOS!$E$4:$E$803,C1715,MOVIMIENTOS_COMPLEMENTOS!$G$4:$G$803,E1715,MOVIMIENTOS_COMPLEMENTOS!$H$4:$H$803,G1715,MOVIMIENTOS_COMPLEMENTOS!$B$4:$B$803,"INGRESO")+SUMIFS(MOVIMIENTOS_COMPLEMENTOS!$I$4:$I$803,MOVIMIENTOS_COMPLEMENTOS!$C$4:$C$803,A1715,MOVIMIENTOS_COMPLEMENTOS!$D$4:$D$803,B1715,MOVIMIENTOS_COMPLEMENTOS!$E$4:$E$803,C1715,MOVIMIENTOS_COMPLEMENTOS!$G$4:$G$803,E1715,MOVIMIENTOS_COMPLEMENTOS!$H$4:$H$803,G1715,MOVIMIENTOS_COMPLEMENTOS!$B$4:$B$803,"DE CORTE")-SUMIFS(MOVIMIENTOS_COMPLEMENTOS!$I$4:$I$803,MOVIMIENTOS_COMPLEMENTOS!$C$4:$C$803,A1715,MOVIMIENTOS_COMPLEMENTOS!$D$4:$D$803,B1715,MOVIMIENTOS_COMPLEMENTOS!$E$4:$E$803,C1715,MOVIMIENTOS_COMPLEMENTOS!$G$4:$G$803,E1715,MOVIMIENTOS_COMPLEMENTOS!$H$4:$H$803,G1715,MOVIMIENTOS_COMPLEMENTOS!$B$4:$B$803,"SALIDA"),0)</f>
        <v>0</v>
      </c>
      <c r="I1715" s="102">
        <f t="array" ref="I1715">IFERROR(INDEX(PRECIOS_COMPLEMENTOS!$C$4:$F$17,MATCH(B1715&amp;"_"&amp;C1715,PRECIOS_COMPLEMENTOS!$H$4:$H$17,0),IF(OR(G1715="S",G1715="20cm"),1,IF(OR(G1715="M",G1715="25cm"),2,IF(OR(G1715="L",G1715="30cm"),3,IF(OR(G1715="XL",G1715="35cm"),4,0))))),0)</f>
        <v>0.3</v>
      </c>
      <c r="J1715" s="103">
        <f t="shared" si="1"/>
        <v>0</v>
      </c>
      <c r="K1715" s="104" t="str">
        <f>IF(H1715&lt;0,"ERROR",IF(H1715=0,"",IF(H1715&lt;CONFIG!$B$4,"CRÍTICO",IF(H1715&lt;CONFIG!$B$5,"BAJO","OK"))))</f>
        <v/>
      </c>
    </row>
    <row r="1716" ht="15.75" hidden="1" customHeight="1">
      <c r="A1716" s="90" t="str">
        <f>IF(CLIENTES!A7="","",CLIENTES!A7)</f>
        <v/>
      </c>
      <c r="B1716" s="90" t="s">
        <v>324</v>
      </c>
      <c r="C1716" s="91" t="s">
        <v>328</v>
      </c>
      <c r="D1716" s="109" t="s">
        <v>353</v>
      </c>
      <c r="E1716" s="67" t="str">
        <f>COLORES!A12</f>
        <v>Cemento</v>
      </c>
      <c r="F1716" s="67" t="str">
        <f>COLORES!B12</f>
        <v>CLARO</v>
      </c>
      <c r="G1716" s="90" t="s">
        <v>378</v>
      </c>
      <c r="H1716" s="100">
        <f>IFERROR(SUMIFS(MOVIMIENTOS_COMPLEMENTOS!$I$4:$I$803,MOVIMIENTOS_COMPLEMENTOS!$C$4:$C$803,A1716,MOVIMIENTOS_COMPLEMENTOS!$D$4:$D$803,B1716,MOVIMIENTOS_COMPLEMENTOS!$E$4:$E$803,C1716,MOVIMIENTOS_COMPLEMENTOS!$G$4:$G$803,E1716,MOVIMIENTOS_COMPLEMENTOS!$H$4:$H$803,G1716,MOVIMIENTOS_COMPLEMENTOS!$B$4:$B$803,"INGRESO")+SUMIFS(MOVIMIENTOS_COMPLEMENTOS!$I$4:$I$803,MOVIMIENTOS_COMPLEMENTOS!$C$4:$C$803,A1716,MOVIMIENTOS_COMPLEMENTOS!$D$4:$D$803,B1716,MOVIMIENTOS_COMPLEMENTOS!$E$4:$E$803,C1716,MOVIMIENTOS_COMPLEMENTOS!$G$4:$G$803,E1716,MOVIMIENTOS_COMPLEMENTOS!$H$4:$H$803,G1716,MOVIMIENTOS_COMPLEMENTOS!$B$4:$B$803,"DE CORTE")-SUMIFS(MOVIMIENTOS_COMPLEMENTOS!$I$4:$I$803,MOVIMIENTOS_COMPLEMENTOS!$C$4:$C$803,A1716,MOVIMIENTOS_COMPLEMENTOS!$D$4:$D$803,B1716,MOVIMIENTOS_COMPLEMENTOS!$E$4:$E$803,C1716,MOVIMIENTOS_COMPLEMENTOS!$G$4:$G$803,E1716,MOVIMIENTOS_COMPLEMENTOS!$H$4:$H$803,G1716,MOVIMIENTOS_COMPLEMENTOS!$B$4:$B$803,"SALIDA"),0)</f>
        <v>0</v>
      </c>
      <c r="I1716" s="102">
        <f t="array" ref="I1716">IFERROR(INDEX(PRECIOS_COMPLEMENTOS!$C$4:$F$17,MATCH(B1716&amp;"_"&amp;C1716,PRECIOS_COMPLEMENTOS!$H$4:$H$17,0),IF(OR(G1716="S",G1716="20cm"),1,IF(OR(G1716="M",G1716="25cm"),2,IF(OR(G1716="L",G1716="30cm"),3,IF(OR(G1716="XL",G1716="35cm"),4,0))))),0)</f>
        <v>0.3</v>
      </c>
      <c r="J1716" s="103">
        <f t="shared" si="1"/>
        <v>0</v>
      </c>
      <c r="K1716" s="104" t="str">
        <f>IF(H1716&lt;0,"ERROR",IF(H1716=0,"",IF(H1716&lt;CONFIG!$B$4,"CRÍTICO",IF(H1716&lt;CONFIG!$B$5,"BAJO","OK"))))</f>
        <v/>
      </c>
    </row>
    <row r="1717" ht="15.75" hidden="1" customHeight="1">
      <c r="A1717" s="90" t="str">
        <f>IF(CLIENTES!A7="","",CLIENTES!A7)</f>
        <v/>
      </c>
      <c r="B1717" s="90" t="s">
        <v>324</v>
      </c>
      <c r="C1717" s="91" t="s">
        <v>328</v>
      </c>
      <c r="D1717" s="109" t="s">
        <v>353</v>
      </c>
      <c r="E1717" s="67" t="str">
        <f>COLORES!A12</f>
        <v>Cemento</v>
      </c>
      <c r="F1717" s="67" t="str">
        <f>COLORES!B12</f>
        <v>CLARO</v>
      </c>
      <c r="G1717" s="90" t="s">
        <v>376</v>
      </c>
      <c r="H1717" s="100">
        <f>IFERROR(SUMIFS(MOVIMIENTOS_COMPLEMENTOS!$I$4:$I$803,MOVIMIENTOS_COMPLEMENTOS!$C$4:$C$803,A1717,MOVIMIENTOS_COMPLEMENTOS!$D$4:$D$803,B1717,MOVIMIENTOS_COMPLEMENTOS!$E$4:$E$803,C1717,MOVIMIENTOS_COMPLEMENTOS!$G$4:$G$803,E1717,MOVIMIENTOS_COMPLEMENTOS!$H$4:$H$803,G1717,MOVIMIENTOS_COMPLEMENTOS!$B$4:$B$803,"INGRESO")+SUMIFS(MOVIMIENTOS_COMPLEMENTOS!$I$4:$I$803,MOVIMIENTOS_COMPLEMENTOS!$C$4:$C$803,A1717,MOVIMIENTOS_COMPLEMENTOS!$D$4:$D$803,B1717,MOVIMIENTOS_COMPLEMENTOS!$E$4:$E$803,C1717,MOVIMIENTOS_COMPLEMENTOS!$G$4:$G$803,E1717,MOVIMIENTOS_COMPLEMENTOS!$H$4:$H$803,G1717,MOVIMIENTOS_COMPLEMENTOS!$B$4:$B$803,"DE CORTE")-SUMIFS(MOVIMIENTOS_COMPLEMENTOS!$I$4:$I$803,MOVIMIENTOS_COMPLEMENTOS!$C$4:$C$803,A1717,MOVIMIENTOS_COMPLEMENTOS!$D$4:$D$803,B1717,MOVIMIENTOS_COMPLEMENTOS!$E$4:$E$803,C1717,MOVIMIENTOS_COMPLEMENTOS!$G$4:$G$803,E1717,MOVIMIENTOS_COMPLEMENTOS!$H$4:$H$803,G1717,MOVIMIENTOS_COMPLEMENTOS!$B$4:$B$803,"SALIDA"),0)</f>
        <v>0</v>
      </c>
      <c r="I1717" s="102">
        <f t="array" ref="I1717">IFERROR(INDEX(PRECIOS_COMPLEMENTOS!$C$4:$F$17,MATCH(B1717&amp;"_"&amp;C1717,PRECIOS_COMPLEMENTOS!$H$4:$H$17,0),IF(OR(G1717="S",G1717="20cm"),1,IF(OR(G1717="M",G1717="25cm"),2,IF(OR(G1717="L",G1717="30cm"),3,IF(OR(G1717="XL",G1717="35cm"),4,0))))),0)</f>
        <v>0.3</v>
      </c>
      <c r="J1717" s="103">
        <f t="shared" si="1"/>
        <v>0</v>
      </c>
      <c r="K1717" s="104" t="str">
        <f>IF(H1717&lt;0,"ERROR",IF(H1717=0,"",IF(H1717&lt;CONFIG!$B$4,"CRÍTICO",IF(H1717&lt;CONFIG!$B$5,"BAJO","OK"))))</f>
        <v/>
      </c>
    </row>
    <row r="1718" ht="15.75" hidden="1" customHeight="1">
      <c r="A1718" s="90" t="str">
        <f>IF(CLIENTES!A7="","",CLIENTES!A7)</f>
        <v/>
      </c>
      <c r="B1718" s="90" t="s">
        <v>324</v>
      </c>
      <c r="C1718" s="91" t="s">
        <v>328</v>
      </c>
      <c r="D1718" s="109" t="s">
        <v>353</v>
      </c>
      <c r="E1718" s="67" t="str">
        <f>COLORES!A12</f>
        <v>Cemento</v>
      </c>
      <c r="F1718" s="67" t="str">
        <f>COLORES!B12</f>
        <v>CLARO</v>
      </c>
      <c r="G1718" s="90" t="s">
        <v>377</v>
      </c>
      <c r="H1718" s="100">
        <f>IFERROR(SUMIFS(MOVIMIENTOS_COMPLEMENTOS!$I$4:$I$803,MOVIMIENTOS_COMPLEMENTOS!$C$4:$C$803,A1718,MOVIMIENTOS_COMPLEMENTOS!$D$4:$D$803,B1718,MOVIMIENTOS_COMPLEMENTOS!$E$4:$E$803,C1718,MOVIMIENTOS_COMPLEMENTOS!$G$4:$G$803,E1718,MOVIMIENTOS_COMPLEMENTOS!$H$4:$H$803,G1718,MOVIMIENTOS_COMPLEMENTOS!$B$4:$B$803,"INGRESO")+SUMIFS(MOVIMIENTOS_COMPLEMENTOS!$I$4:$I$803,MOVIMIENTOS_COMPLEMENTOS!$C$4:$C$803,A1718,MOVIMIENTOS_COMPLEMENTOS!$D$4:$D$803,B1718,MOVIMIENTOS_COMPLEMENTOS!$E$4:$E$803,C1718,MOVIMIENTOS_COMPLEMENTOS!$G$4:$G$803,E1718,MOVIMIENTOS_COMPLEMENTOS!$H$4:$H$803,G1718,MOVIMIENTOS_COMPLEMENTOS!$B$4:$B$803,"DE CORTE")-SUMIFS(MOVIMIENTOS_COMPLEMENTOS!$I$4:$I$803,MOVIMIENTOS_COMPLEMENTOS!$C$4:$C$803,A1718,MOVIMIENTOS_COMPLEMENTOS!$D$4:$D$803,B1718,MOVIMIENTOS_COMPLEMENTOS!$E$4:$E$803,C1718,MOVIMIENTOS_COMPLEMENTOS!$G$4:$G$803,E1718,MOVIMIENTOS_COMPLEMENTOS!$H$4:$H$803,G1718,MOVIMIENTOS_COMPLEMENTOS!$B$4:$B$803,"SALIDA"),0)</f>
        <v>0</v>
      </c>
      <c r="I1718" s="102">
        <f t="array" ref="I1718">IFERROR(INDEX(PRECIOS_COMPLEMENTOS!$C$4:$F$17,MATCH(B1718&amp;"_"&amp;C1718,PRECIOS_COMPLEMENTOS!$H$4:$H$17,0),IF(OR(G1718="S",G1718="20cm"),1,IF(OR(G1718="M",G1718="25cm"),2,IF(OR(G1718="L",G1718="30cm"),3,IF(OR(G1718="XL",G1718="35cm"),4,0))))),0)</f>
        <v>0.3</v>
      </c>
      <c r="J1718" s="103">
        <f t="shared" si="1"/>
        <v>0</v>
      </c>
      <c r="K1718" s="104" t="str">
        <f>IF(H1718&lt;0,"ERROR",IF(H1718=0,"",IF(H1718&lt;CONFIG!$B$4,"CRÍTICO",IF(H1718&lt;CONFIG!$B$5,"BAJO","OK"))))</f>
        <v/>
      </c>
    </row>
    <row r="1719" ht="15.75" hidden="1" customHeight="1">
      <c r="A1719" s="90" t="str">
        <f>IF(CLIENTES!A7="","",CLIENTES!A7)</f>
        <v/>
      </c>
      <c r="B1719" s="90" t="s">
        <v>324</v>
      </c>
      <c r="C1719" s="91" t="s">
        <v>328</v>
      </c>
      <c r="D1719" s="109" t="s">
        <v>353</v>
      </c>
      <c r="E1719" s="67" t="str">
        <f>COLORES!A12</f>
        <v>Cemento</v>
      </c>
      <c r="F1719" s="67" t="str">
        <f>COLORES!B12</f>
        <v>CLARO</v>
      </c>
      <c r="G1719" s="90" t="s">
        <v>379</v>
      </c>
      <c r="H1719" s="100">
        <f>IFERROR(SUMIFS(MOVIMIENTOS_COMPLEMENTOS!$I$4:$I$803,MOVIMIENTOS_COMPLEMENTOS!$C$4:$C$803,A1719,MOVIMIENTOS_COMPLEMENTOS!$D$4:$D$803,B1719,MOVIMIENTOS_COMPLEMENTOS!$E$4:$E$803,C1719,MOVIMIENTOS_COMPLEMENTOS!$G$4:$G$803,E1719,MOVIMIENTOS_COMPLEMENTOS!$H$4:$H$803,G1719,MOVIMIENTOS_COMPLEMENTOS!$B$4:$B$803,"INGRESO")+SUMIFS(MOVIMIENTOS_COMPLEMENTOS!$I$4:$I$803,MOVIMIENTOS_COMPLEMENTOS!$C$4:$C$803,A1719,MOVIMIENTOS_COMPLEMENTOS!$D$4:$D$803,B1719,MOVIMIENTOS_COMPLEMENTOS!$E$4:$E$803,C1719,MOVIMIENTOS_COMPLEMENTOS!$G$4:$G$803,E1719,MOVIMIENTOS_COMPLEMENTOS!$H$4:$H$803,G1719,MOVIMIENTOS_COMPLEMENTOS!$B$4:$B$803,"DE CORTE")-SUMIFS(MOVIMIENTOS_COMPLEMENTOS!$I$4:$I$803,MOVIMIENTOS_COMPLEMENTOS!$C$4:$C$803,A1719,MOVIMIENTOS_COMPLEMENTOS!$D$4:$D$803,B1719,MOVIMIENTOS_COMPLEMENTOS!$E$4:$E$803,C1719,MOVIMIENTOS_COMPLEMENTOS!$G$4:$G$803,E1719,MOVIMIENTOS_COMPLEMENTOS!$H$4:$H$803,G1719,MOVIMIENTOS_COMPLEMENTOS!$B$4:$B$803,"SALIDA"),0)</f>
        <v>0</v>
      </c>
      <c r="I1719" s="102">
        <f t="array" ref="I1719">IFERROR(INDEX(PRECIOS_COMPLEMENTOS!$C$4:$F$17,MATCH(B1719&amp;"_"&amp;C1719,PRECIOS_COMPLEMENTOS!$H$4:$H$17,0),IF(OR(G1719="S",G1719="20cm"),1,IF(OR(G1719="M",G1719="25cm"),2,IF(OR(G1719="L",G1719="30cm"),3,IF(OR(G1719="XL",G1719="35cm"),4,0))))),0)</f>
        <v>0.3</v>
      </c>
      <c r="J1719" s="103">
        <f t="shared" si="1"/>
        <v>0</v>
      </c>
      <c r="K1719" s="104" t="str">
        <f>IF(H1719&lt;0,"ERROR",IF(H1719=0,"",IF(H1719&lt;CONFIG!$B$4,"CRÍTICO",IF(H1719&lt;CONFIG!$B$5,"BAJO","OK"))))</f>
        <v/>
      </c>
    </row>
    <row r="1720" ht="15.75" hidden="1" customHeight="1">
      <c r="A1720" s="90" t="str">
        <f>IF(CLIENTES!A7="","",CLIENTES!A7)</f>
        <v/>
      </c>
      <c r="B1720" s="90" t="s">
        <v>324</v>
      </c>
      <c r="C1720" s="91" t="s">
        <v>328</v>
      </c>
      <c r="D1720" s="109" t="s">
        <v>353</v>
      </c>
      <c r="E1720" s="67" t="str">
        <f>COLORES!A13</f>
        <v>Camote</v>
      </c>
      <c r="F1720" s="67" t="str">
        <f>COLORES!B13</f>
        <v>CLARO</v>
      </c>
      <c r="G1720" s="90" t="s">
        <v>378</v>
      </c>
      <c r="H1720" s="100">
        <f>IFERROR(SUMIFS(MOVIMIENTOS_COMPLEMENTOS!$I$4:$I$803,MOVIMIENTOS_COMPLEMENTOS!$C$4:$C$803,A1720,MOVIMIENTOS_COMPLEMENTOS!$D$4:$D$803,B1720,MOVIMIENTOS_COMPLEMENTOS!$E$4:$E$803,C1720,MOVIMIENTOS_COMPLEMENTOS!$G$4:$G$803,E1720,MOVIMIENTOS_COMPLEMENTOS!$H$4:$H$803,G1720,MOVIMIENTOS_COMPLEMENTOS!$B$4:$B$803,"INGRESO")+SUMIFS(MOVIMIENTOS_COMPLEMENTOS!$I$4:$I$803,MOVIMIENTOS_COMPLEMENTOS!$C$4:$C$803,A1720,MOVIMIENTOS_COMPLEMENTOS!$D$4:$D$803,B1720,MOVIMIENTOS_COMPLEMENTOS!$E$4:$E$803,C1720,MOVIMIENTOS_COMPLEMENTOS!$G$4:$G$803,E1720,MOVIMIENTOS_COMPLEMENTOS!$H$4:$H$803,G1720,MOVIMIENTOS_COMPLEMENTOS!$B$4:$B$803,"DE CORTE")-SUMIFS(MOVIMIENTOS_COMPLEMENTOS!$I$4:$I$803,MOVIMIENTOS_COMPLEMENTOS!$C$4:$C$803,A1720,MOVIMIENTOS_COMPLEMENTOS!$D$4:$D$803,B1720,MOVIMIENTOS_COMPLEMENTOS!$E$4:$E$803,C1720,MOVIMIENTOS_COMPLEMENTOS!$G$4:$G$803,E1720,MOVIMIENTOS_COMPLEMENTOS!$H$4:$H$803,G1720,MOVIMIENTOS_COMPLEMENTOS!$B$4:$B$803,"SALIDA"),0)</f>
        <v>0</v>
      </c>
      <c r="I1720" s="102">
        <f t="array" ref="I1720">IFERROR(INDEX(PRECIOS_COMPLEMENTOS!$C$4:$F$17,MATCH(B1720&amp;"_"&amp;C1720,PRECIOS_COMPLEMENTOS!$H$4:$H$17,0),IF(OR(G1720="S",G1720="20cm"),1,IF(OR(G1720="M",G1720="25cm"),2,IF(OR(G1720="L",G1720="30cm"),3,IF(OR(G1720="XL",G1720="35cm"),4,0))))),0)</f>
        <v>0.3</v>
      </c>
      <c r="J1720" s="103">
        <f t="shared" si="1"/>
        <v>0</v>
      </c>
      <c r="K1720" s="104" t="str">
        <f>IF(H1720&lt;0,"ERROR",IF(H1720=0,"",IF(H1720&lt;CONFIG!$B$4,"CRÍTICO",IF(H1720&lt;CONFIG!$B$5,"BAJO","OK"))))</f>
        <v/>
      </c>
    </row>
    <row r="1721" ht="15.75" hidden="1" customHeight="1">
      <c r="A1721" s="90" t="str">
        <f>IF(CLIENTES!A7="","",CLIENTES!A7)</f>
        <v/>
      </c>
      <c r="B1721" s="90" t="s">
        <v>324</v>
      </c>
      <c r="C1721" s="91" t="s">
        <v>328</v>
      </c>
      <c r="D1721" s="109" t="s">
        <v>353</v>
      </c>
      <c r="E1721" s="67" t="str">
        <f>COLORES!A13</f>
        <v>Camote</v>
      </c>
      <c r="F1721" s="67" t="str">
        <f>COLORES!B13</f>
        <v>CLARO</v>
      </c>
      <c r="G1721" s="90" t="s">
        <v>376</v>
      </c>
      <c r="H1721" s="100">
        <f>IFERROR(SUMIFS(MOVIMIENTOS_COMPLEMENTOS!$I$4:$I$803,MOVIMIENTOS_COMPLEMENTOS!$C$4:$C$803,A1721,MOVIMIENTOS_COMPLEMENTOS!$D$4:$D$803,B1721,MOVIMIENTOS_COMPLEMENTOS!$E$4:$E$803,C1721,MOVIMIENTOS_COMPLEMENTOS!$G$4:$G$803,E1721,MOVIMIENTOS_COMPLEMENTOS!$H$4:$H$803,G1721,MOVIMIENTOS_COMPLEMENTOS!$B$4:$B$803,"INGRESO")+SUMIFS(MOVIMIENTOS_COMPLEMENTOS!$I$4:$I$803,MOVIMIENTOS_COMPLEMENTOS!$C$4:$C$803,A1721,MOVIMIENTOS_COMPLEMENTOS!$D$4:$D$803,B1721,MOVIMIENTOS_COMPLEMENTOS!$E$4:$E$803,C1721,MOVIMIENTOS_COMPLEMENTOS!$G$4:$G$803,E1721,MOVIMIENTOS_COMPLEMENTOS!$H$4:$H$803,G1721,MOVIMIENTOS_COMPLEMENTOS!$B$4:$B$803,"DE CORTE")-SUMIFS(MOVIMIENTOS_COMPLEMENTOS!$I$4:$I$803,MOVIMIENTOS_COMPLEMENTOS!$C$4:$C$803,A1721,MOVIMIENTOS_COMPLEMENTOS!$D$4:$D$803,B1721,MOVIMIENTOS_COMPLEMENTOS!$E$4:$E$803,C1721,MOVIMIENTOS_COMPLEMENTOS!$G$4:$G$803,E1721,MOVIMIENTOS_COMPLEMENTOS!$H$4:$H$803,G1721,MOVIMIENTOS_COMPLEMENTOS!$B$4:$B$803,"SALIDA"),0)</f>
        <v>0</v>
      </c>
      <c r="I1721" s="102">
        <f t="array" ref="I1721">IFERROR(INDEX(PRECIOS_COMPLEMENTOS!$C$4:$F$17,MATCH(B1721&amp;"_"&amp;C1721,PRECIOS_COMPLEMENTOS!$H$4:$H$17,0),IF(OR(G1721="S",G1721="20cm"),1,IF(OR(G1721="M",G1721="25cm"),2,IF(OR(G1721="L",G1721="30cm"),3,IF(OR(G1721="XL",G1721="35cm"),4,0))))),0)</f>
        <v>0.3</v>
      </c>
      <c r="J1721" s="103">
        <f t="shared" si="1"/>
        <v>0</v>
      </c>
      <c r="K1721" s="104" t="str">
        <f>IF(H1721&lt;0,"ERROR",IF(H1721=0,"",IF(H1721&lt;CONFIG!$B$4,"CRÍTICO",IF(H1721&lt;CONFIG!$B$5,"BAJO","OK"))))</f>
        <v/>
      </c>
    </row>
    <row r="1722" ht="15.75" hidden="1" customHeight="1">
      <c r="A1722" s="90" t="str">
        <f>IF(CLIENTES!A7="","",CLIENTES!A7)</f>
        <v/>
      </c>
      <c r="B1722" s="90" t="s">
        <v>324</v>
      </c>
      <c r="C1722" s="91" t="s">
        <v>328</v>
      </c>
      <c r="D1722" s="109" t="s">
        <v>353</v>
      </c>
      <c r="E1722" s="67" t="str">
        <f>COLORES!A13</f>
        <v>Camote</v>
      </c>
      <c r="F1722" s="67" t="str">
        <f>COLORES!B13</f>
        <v>CLARO</v>
      </c>
      <c r="G1722" s="90" t="s">
        <v>377</v>
      </c>
      <c r="H1722" s="100">
        <f>IFERROR(SUMIFS(MOVIMIENTOS_COMPLEMENTOS!$I$4:$I$803,MOVIMIENTOS_COMPLEMENTOS!$C$4:$C$803,A1722,MOVIMIENTOS_COMPLEMENTOS!$D$4:$D$803,B1722,MOVIMIENTOS_COMPLEMENTOS!$E$4:$E$803,C1722,MOVIMIENTOS_COMPLEMENTOS!$G$4:$G$803,E1722,MOVIMIENTOS_COMPLEMENTOS!$H$4:$H$803,G1722,MOVIMIENTOS_COMPLEMENTOS!$B$4:$B$803,"INGRESO")+SUMIFS(MOVIMIENTOS_COMPLEMENTOS!$I$4:$I$803,MOVIMIENTOS_COMPLEMENTOS!$C$4:$C$803,A1722,MOVIMIENTOS_COMPLEMENTOS!$D$4:$D$803,B1722,MOVIMIENTOS_COMPLEMENTOS!$E$4:$E$803,C1722,MOVIMIENTOS_COMPLEMENTOS!$G$4:$G$803,E1722,MOVIMIENTOS_COMPLEMENTOS!$H$4:$H$803,G1722,MOVIMIENTOS_COMPLEMENTOS!$B$4:$B$803,"DE CORTE")-SUMIFS(MOVIMIENTOS_COMPLEMENTOS!$I$4:$I$803,MOVIMIENTOS_COMPLEMENTOS!$C$4:$C$803,A1722,MOVIMIENTOS_COMPLEMENTOS!$D$4:$D$803,B1722,MOVIMIENTOS_COMPLEMENTOS!$E$4:$E$803,C1722,MOVIMIENTOS_COMPLEMENTOS!$G$4:$G$803,E1722,MOVIMIENTOS_COMPLEMENTOS!$H$4:$H$803,G1722,MOVIMIENTOS_COMPLEMENTOS!$B$4:$B$803,"SALIDA"),0)</f>
        <v>0</v>
      </c>
      <c r="I1722" s="102">
        <f t="array" ref="I1722">IFERROR(INDEX(PRECIOS_COMPLEMENTOS!$C$4:$F$17,MATCH(B1722&amp;"_"&amp;C1722,PRECIOS_COMPLEMENTOS!$H$4:$H$17,0),IF(OR(G1722="S",G1722="20cm"),1,IF(OR(G1722="M",G1722="25cm"),2,IF(OR(G1722="L",G1722="30cm"),3,IF(OR(G1722="XL",G1722="35cm"),4,0))))),0)</f>
        <v>0.3</v>
      </c>
      <c r="J1722" s="103">
        <f t="shared" si="1"/>
        <v>0</v>
      </c>
      <c r="K1722" s="104" t="str">
        <f>IF(H1722&lt;0,"ERROR",IF(H1722=0,"",IF(H1722&lt;CONFIG!$B$4,"CRÍTICO",IF(H1722&lt;CONFIG!$B$5,"BAJO","OK"))))</f>
        <v/>
      </c>
    </row>
    <row r="1723" ht="15.75" hidden="1" customHeight="1">
      <c r="A1723" s="90" t="str">
        <f>IF(CLIENTES!A7="","",CLIENTES!A7)</f>
        <v/>
      </c>
      <c r="B1723" s="90" t="s">
        <v>324</v>
      </c>
      <c r="C1723" s="91" t="s">
        <v>328</v>
      </c>
      <c r="D1723" s="109" t="s">
        <v>353</v>
      </c>
      <c r="E1723" s="67" t="str">
        <f>COLORES!A13</f>
        <v>Camote</v>
      </c>
      <c r="F1723" s="67" t="str">
        <f>COLORES!B13</f>
        <v>CLARO</v>
      </c>
      <c r="G1723" s="90" t="s">
        <v>379</v>
      </c>
      <c r="H1723" s="100">
        <f>IFERROR(SUMIFS(MOVIMIENTOS_COMPLEMENTOS!$I$4:$I$803,MOVIMIENTOS_COMPLEMENTOS!$C$4:$C$803,A1723,MOVIMIENTOS_COMPLEMENTOS!$D$4:$D$803,B1723,MOVIMIENTOS_COMPLEMENTOS!$E$4:$E$803,C1723,MOVIMIENTOS_COMPLEMENTOS!$G$4:$G$803,E1723,MOVIMIENTOS_COMPLEMENTOS!$H$4:$H$803,G1723,MOVIMIENTOS_COMPLEMENTOS!$B$4:$B$803,"INGRESO")+SUMIFS(MOVIMIENTOS_COMPLEMENTOS!$I$4:$I$803,MOVIMIENTOS_COMPLEMENTOS!$C$4:$C$803,A1723,MOVIMIENTOS_COMPLEMENTOS!$D$4:$D$803,B1723,MOVIMIENTOS_COMPLEMENTOS!$E$4:$E$803,C1723,MOVIMIENTOS_COMPLEMENTOS!$G$4:$G$803,E1723,MOVIMIENTOS_COMPLEMENTOS!$H$4:$H$803,G1723,MOVIMIENTOS_COMPLEMENTOS!$B$4:$B$803,"DE CORTE")-SUMIFS(MOVIMIENTOS_COMPLEMENTOS!$I$4:$I$803,MOVIMIENTOS_COMPLEMENTOS!$C$4:$C$803,A1723,MOVIMIENTOS_COMPLEMENTOS!$D$4:$D$803,B1723,MOVIMIENTOS_COMPLEMENTOS!$E$4:$E$803,C1723,MOVIMIENTOS_COMPLEMENTOS!$G$4:$G$803,E1723,MOVIMIENTOS_COMPLEMENTOS!$H$4:$H$803,G1723,MOVIMIENTOS_COMPLEMENTOS!$B$4:$B$803,"SALIDA"),0)</f>
        <v>0</v>
      </c>
      <c r="I1723" s="102">
        <f t="array" ref="I1723">IFERROR(INDEX(PRECIOS_COMPLEMENTOS!$C$4:$F$17,MATCH(B1723&amp;"_"&amp;C1723,PRECIOS_COMPLEMENTOS!$H$4:$H$17,0),IF(OR(G1723="S",G1723="20cm"),1,IF(OR(G1723="M",G1723="25cm"),2,IF(OR(G1723="L",G1723="30cm"),3,IF(OR(G1723="XL",G1723="35cm"),4,0))))),0)</f>
        <v>0.3</v>
      </c>
      <c r="J1723" s="103">
        <f t="shared" si="1"/>
        <v>0</v>
      </c>
      <c r="K1723" s="104" t="str">
        <f>IF(H1723&lt;0,"ERROR",IF(H1723=0,"",IF(H1723&lt;CONFIG!$B$4,"CRÍTICO",IF(H1723&lt;CONFIG!$B$5,"BAJO","OK"))))</f>
        <v/>
      </c>
    </row>
    <row r="1724" ht="15.75" hidden="1" customHeight="1">
      <c r="A1724" s="90" t="str">
        <f>IF(CLIENTES!A7="","",CLIENTES!A7)</f>
        <v/>
      </c>
      <c r="B1724" s="90" t="s">
        <v>324</v>
      </c>
      <c r="C1724" s="91" t="s">
        <v>328</v>
      </c>
      <c r="D1724" s="109" t="s">
        <v>353</v>
      </c>
      <c r="E1724" s="67" t="str">
        <f>COLORES!A14</f>
        <v>Denim</v>
      </c>
      <c r="F1724" s="67" t="str">
        <f>COLORES!B14</f>
        <v>CLARO</v>
      </c>
      <c r="G1724" s="90" t="s">
        <v>378</v>
      </c>
      <c r="H1724" s="100">
        <f>IFERROR(SUMIFS(MOVIMIENTOS_COMPLEMENTOS!$I$4:$I$803,MOVIMIENTOS_COMPLEMENTOS!$C$4:$C$803,A1724,MOVIMIENTOS_COMPLEMENTOS!$D$4:$D$803,B1724,MOVIMIENTOS_COMPLEMENTOS!$E$4:$E$803,C1724,MOVIMIENTOS_COMPLEMENTOS!$G$4:$G$803,E1724,MOVIMIENTOS_COMPLEMENTOS!$H$4:$H$803,G1724,MOVIMIENTOS_COMPLEMENTOS!$B$4:$B$803,"INGRESO")+SUMIFS(MOVIMIENTOS_COMPLEMENTOS!$I$4:$I$803,MOVIMIENTOS_COMPLEMENTOS!$C$4:$C$803,A1724,MOVIMIENTOS_COMPLEMENTOS!$D$4:$D$803,B1724,MOVIMIENTOS_COMPLEMENTOS!$E$4:$E$803,C1724,MOVIMIENTOS_COMPLEMENTOS!$G$4:$G$803,E1724,MOVIMIENTOS_COMPLEMENTOS!$H$4:$H$803,G1724,MOVIMIENTOS_COMPLEMENTOS!$B$4:$B$803,"DE CORTE")-SUMIFS(MOVIMIENTOS_COMPLEMENTOS!$I$4:$I$803,MOVIMIENTOS_COMPLEMENTOS!$C$4:$C$803,A1724,MOVIMIENTOS_COMPLEMENTOS!$D$4:$D$803,B1724,MOVIMIENTOS_COMPLEMENTOS!$E$4:$E$803,C1724,MOVIMIENTOS_COMPLEMENTOS!$G$4:$G$803,E1724,MOVIMIENTOS_COMPLEMENTOS!$H$4:$H$803,G1724,MOVIMIENTOS_COMPLEMENTOS!$B$4:$B$803,"SALIDA"),0)</f>
        <v>0</v>
      </c>
      <c r="I1724" s="102">
        <f t="array" ref="I1724">IFERROR(INDEX(PRECIOS_COMPLEMENTOS!$C$4:$F$17,MATCH(B1724&amp;"_"&amp;C1724,PRECIOS_COMPLEMENTOS!$H$4:$H$17,0),IF(OR(G1724="S",G1724="20cm"),1,IF(OR(G1724="M",G1724="25cm"),2,IF(OR(G1724="L",G1724="30cm"),3,IF(OR(G1724="XL",G1724="35cm"),4,0))))),0)</f>
        <v>0.3</v>
      </c>
      <c r="J1724" s="103">
        <f t="shared" si="1"/>
        <v>0</v>
      </c>
      <c r="K1724" s="104" t="str">
        <f>IF(H1724&lt;0,"ERROR",IF(H1724=0,"",IF(H1724&lt;CONFIG!$B$4,"CRÍTICO",IF(H1724&lt;CONFIG!$B$5,"BAJO","OK"))))</f>
        <v/>
      </c>
    </row>
    <row r="1725" ht="15.75" hidden="1" customHeight="1">
      <c r="A1725" s="90" t="str">
        <f>IF(CLIENTES!A7="","",CLIENTES!A7)</f>
        <v/>
      </c>
      <c r="B1725" s="90" t="s">
        <v>324</v>
      </c>
      <c r="C1725" s="91" t="s">
        <v>328</v>
      </c>
      <c r="D1725" s="109" t="s">
        <v>353</v>
      </c>
      <c r="E1725" s="67" t="str">
        <f>COLORES!A14</f>
        <v>Denim</v>
      </c>
      <c r="F1725" s="67" t="str">
        <f>COLORES!B14</f>
        <v>CLARO</v>
      </c>
      <c r="G1725" s="90" t="s">
        <v>376</v>
      </c>
      <c r="H1725" s="100">
        <f>IFERROR(SUMIFS(MOVIMIENTOS_COMPLEMENTOS!$I$4:$I$803,MOVIMIENTOS_COMPLEMENTOS!$C$4:$C$803,A1725,MOVIMIENTOS_COMPLEMENTOS!$D$4:$D$803,B1725,MOVIMIENTOS_COMPLEMENTOS!$E$4:$E$803,C1725,MOVIMIENTOS_COMPLEMENTOS!$G$4:$G$803,E1725,MOVIMIENTOS_COMPLEMENTOS!$H$4:$H$803,G1725,MOVIMIENTOS_COMPLEMENTOS!$B$4:$B$803,"INGRESO")+SUMIFS(MOVIMIENTOS_COMPLEMENTOS!$I$4:$I$803,MOVIMIENTOS_COMPLEMENTOS!$C$4:$C$803,A1725,MOVIMIENTOS_COMPLEMENTOS!$D$4:$D$803,B1725,MOVIMIENTOS_COMPLEMENTOS!$E$4:$E$803,C1725,MOVIMIENTOS_COMPLEMENTOS!$G$4:$G$803,E1725,MOVIMIENTOS_COMPLEMENTOS!$H$4:$H$803,G1725,MOVIMIENTOS_COMPLEMENTOS!$B$4:$B$803,"DE CORTE")-SUMIFS(MOVIMIENTOS_COMPLEMENTOS!$I$4:$I$803,MOVIMIENTOS_COMPLEMENTOS!$C$4:$C$803,A1725,MOVIMIENTOS_COMPLEMENTOS!$D$4:$D$803,B1725,MOVIMIENTOS_COMPLEMENTOS!$E$4:$E$803,C1725,MOVIMIENTOS_COMPLEMENTOS!$G$4:$G$803,E1725,MOVIMIENTOS_COMPLEMENTOS!$H$4:$H$803,G1725,MOVIMIENTOS_COMPLEMENTOS!$B$4:$B$803,"SALIDA"),0)</f>
        <v>0</v>
      </c>
      <c r="I1725" s="102">
        <f t="array" ref="I1725">IFERROR(INDEX(PRECIOS_COMPLEMENTOS!$C$4:$F$17,MATCH(B1725&amp;"_"&amp;C1725,PRECIOS_COMPLEMENTOS!$H$4:$H$17,0),IF(OR(G1725="S",G1725="20cm"),1,IF(OR(G1725="M",G1725="25cm"),2,IF(OR(G1725="L",G1725="30cm"),3,IF(OR(G1725="XL",G1725="35cm"),4,0))))),0)</f>
        <v>0.3</v>
      </c>
      <c r="J1725" s="103">
        <f t="shared" si="1"/>
        <v>0</v>
      </c>
      <c r="K1725" s="104" t="str">
        <f>IF(H1725&lt;0,"ERROR",IF(H1725=0,"",IF(H1725&lt;CONFIG!$B$4,"CRÍTICO",IF(H1725&lt;CONFIG!$B$5,"BAJO","OK"))))</f>
        <v/>
      </c>
    </row>
    <row r="1726" ht="15.75" hidden="1" customHeight="1">
      <c r="A1726" s="90" t="str">
        <f>IF(CLIENTES!A7="","",CLIENTES!A7)</f>
        <v/>
      </c>
      <c r="B1726" s="90" t="s">
        <v>324</v>
      </c>
      <c r="C1726" s="91" t="s">
        <v>328</v>
      </c>
      <c r="D1726" s="109" t="s">
        <v>353</v>
      </c>
      <c r="E1726" s="67" t="str">
        <f>COLORES!A14</f>
        <v>Denim</v>
      </c>
      <c r="F1726" s="67" t="str">
        <f>COLORES!B14</f>
        <v>CLARO</v>
      </c>
      <c r="G1726" s="90" t="s">
        <v>377</v>
      </c>
      <c r="H1726" s="100">
        <f>IFERROR(SUMIFS(MOVIMIENTOS_COMPLEMENTOS!$I$4:$I$803,MOVIMIENTOS_COMPLEMENTOS!$C$4:$C$803,A1726,MOVIMIENTOS_COMPLEMENTOS!$D$4:$D$803,B1726,MOVIMIENTOS_COMPLEMENTOS!$E$4:$E$803,C1726,MOVIMIENTOS_COMPLEMENTOS!$G$4:$G$803,E1726,MOVIMIENTOS_COMPLEMENTOS!$H$4:$H$803,G1726,MOVIMIENTOS_COMPLEMENTOS!$B$4:$B$803,"INGRESO")+SUMIFS(MOVIMIENTOS_COMPLEMENTOS!$I$4:$I$803,MOVIMIENTOS_COMPLEMENTOS!$C$4:$C$803,A1726,MOVIMIENTOS_COMPLEMENTOS!$D$4:$D$803,B1726,MOVIMIENTOS_COMPLEMENTOS!$E$4:$E$803,C1726,MOVIMIENTOS_COMPLEMENTOS!$G$4:$G$803,E1726,MOVIMIENTOS_COMPLEMENTOS!$H$4:$H$803,G1726,MOVIMIENTOS_COMPLEMENTOS!$B$4:$B$803,"DE CORTE")-SUMIFS(MOVIMIENTOS_COMPLEMENTOS!$I$4:$I$803,MOVIMIENTOS_COMPLEMENTOS!$C$4:$C$803,A1726,MOVIMIENTOS_COMPLEMENTOS!$D$4:$D$803,B1726,MOVIMIENTOS_COMPLEMENTOS!$E$4:$E$803,C1726,MOVIMIENTOS_COMPLEMENTOS!$G$4:$G$803,E1726,MOVIMIENTOS_COMPLEMENTOS!$H$4:$H$803,G1726,MOVIMIENTOS_COMPLEMENTOS!$B$4:$B$803,"SALIDA"),0)</f>
        <v>0</v>
      </c>
      <c r="I1726" s="102">
        <f t="array" ref="I1726">IFERROR(INDEX(PRECIOS_COMPLEMENTOS!$C$4:$F$17,MATCH(B1726&amp;"_"&amp;C1726,PRECIOS_COMPLEMENTOS!$H$4:$H$17,0),IF(OR(G1726="S",G1726="20cm"),1,IF(OR(G1726="M",G1726="25cm"),2,IF(OR(G1726="L",G1726="30cm"),3,IF(OR(G1726="XL",G1726="35cm"),4,0))))),0)</f>
        <v>0.3</v>
      </c>
      <c r="J1726" s="103">
        <f t="shared" si="1"/>
        <v>0</v>
      </c>
      <c r="K1726" s="104" t="str">
        <f>IF(H1726&lt;0,"ERROR",IF(H1726=0,"",IF(H1726&lt;CONFIG!$B$4,"CRÍTICO",IF(H1726&lt;CONFIG!$B$5,"BAJO","OK"))))</f>
        <v/>
      </c>
    </row>
    <row r="1727" ht="15.75" hidden="1" customHeight="1">
      <c r="A1727" s="90" t="str">
        <f>IF(CLIENTES!A7="","",CLIENTES!A7)</f>
        <v/>
      </c>
      <c r="B1727" s="90" t="s">
        <v>324</v>
      </c>
      <c r="C1727" s="91" t="s">
        <v>328</v>
      </c>
      <c r="D1727" s="109" t="s">
        <v>353</v>
      </c>
      <c r="E1727" s="67" t="str">
        <f>COLORES!A14</f>
        <v>Denim</v>
      </c>
      <c r="F1727" s="67" t="str">
        <f>COLORES!B14</f>
        <v>CLARO</v>
      </c>
      <c r="G1727" s="90" t="s">
        <v>379</v>
      </c>
      <c r="H1727" s="100">
        <f>IFERROR(SUMIFS(MOVIMIENTOS_COMPLEMENTOS!$I$4:$I$803,MOVIMIENTOS_COMPLEMENTOS!$C$4:$C$803,A1727,MOVIMIENTOS_COMPLEMENTOS!$D$4:$D$803,B1727,MOVIMIENTOS_COMPLEMENTOS!$E$4:$E$803,C1727,MOVIMIENTOS_COMPLEMENTOS!$G$4:$G$803,E1727,MOVIMIENTOS_COMPLEMENTOS!$H$4:$H$803,G1727,MOVIMIENTOS_COMPLEMENTOS!$B$4:$B$803,"INGRESO")+SUMIFS(MOVIMIENTOS_COMPLEMENTOS!$I$4:$I$803,MOVIMIENTOS_COMPLEMENTOS!$C$4:$C$803,A1727,MOVIMIENTOS_COMPLEMENTOS!$D$4:$D$803,B1727,MOVIMIENTOS_COMPLEMENTOS!$E$4:$E$803,C1727,MOVIMIENTOS_COMPLEMENTOS!$G$4:$G$803,E1727,MOVIMIENTOS_COMPLEMENTOS!$H$4:$H$803,G1727,MOVIMIENTOS_COMPLEMENTOS!$B$4:$B$803,"DE CORTE")-SUMIFS(MOVIMIENTOS_COMPLEMENTOS!$I$4:$I$803,MOVIMIENTOS_COMPLEMENTOS!$C$4:$C$803,A1727,MOVIMIENTOS_COMPLEMENTOS!$D$4:$D$803,B1727,MOVIMIENTOS_COMPLEMENTOS!$E$4:$E$803,C1727,MOVIMIENTOS_COMPLEMENTOS!$G$4:$G$803,E1727,MOVIMIENTOS_COMPLEMENTOS!$H$4:$H$803,G1727,MOVIMIENTOS_COMPLEMENTOS!$B$4:$B$803,"SALIDA"),0)</f>
        <v>0</v>
      </c>
      <c r="I1727" s="102">
        <f t="array" ref="I1727">IFERROR(INDEX(PRECIOS_COMPLEMENTOS!$C$4:$F$17,MATCH(B1727&amp;"_"&amp;C1727,PRECIOS_COMPLEMENTOS!$H$4:$H$17,0),IF(OR(G1727="S",G1727="20cm"),1,IF(OR(G1727="M",G1727="25cm"),2,IF(OR(G1727="L",G1727="30cm"),3,IF(OR(G1727="XL",G1727="35cm"),4,0))))),0)</f>
        <v>0.3</v>
      </c>
      <c r="J1727" s="103">
        <f t="shared" si="1"/>
        <v>0</v>
      </c>
      <c r="K1727" s="104" t="str">
        <f>IF(H1727&lt;0,"ERROR",IF(H1727=0,"",IF(H1727&lt;CONFIG!$B$4,"CRÍTICO",IF(H1727&lt;CONFIG!$B$5,"BAJO","OK"))))</f>
        <v/>
      </c>
    </row>
    <row r="1728" ht="15.75" hidden="1" customHeight="1">
      <c r="A1728" s="90" t="str">
        <f>IF(CLIENTES!A7="","",CLIENTES!A7)</f>
        <v/>
      </c>
      <c r="B1728" s="90" t="s">
        <v>324</v>
      </c>
      <c r="C1728" s="91" t="s">
        <v>328</v>
      </c>
      <c r="D1728" s="109" t="s">
        <v>353</v>
      </c>
      <c r="E1728" s="67" t="str">
        <f>COLORES!A15</f>
        <v>Plomo</v>
      </c>
      <c r="F1728" s="67" t="str">
        <f>COLORES!B15</f>
        <v>OSCURO</v>
      </c>
      <c r="G1728" s="90" t="s">
        <v>378</v>
      </c>
      <c r="H1728" s="100">
        <f>IFERROR(SUMIFS(MOVIMIENTOS_COMPLEMENTOS!$I$4:$I$803,MOVIMIENTOS_COMPLEMENTOS!$C$4:$C$803,A1728,MOVIMIENTOS_COMPLEMENTOS!$D$4:$D$803,B1728,MOVIMIENTOS_COMPLEMENTOS!$E$4:$E$803,C1728,MOVIMIENTOS_COMPLEMENTOS!$G$4:$G$803,E1728,MOVIMIENTOS_COMPLEMENTOS!$H$4:$H$803,G1728,MOVIMIENTOS_COMPLEMENTOS!$B$4:$B$803,"INGRESO")+SUMIFS(MOVIMIENTOS_COMPLEMENTOS!$I$4:$I$803,MOVIMIENTOS_COMPLEMENTOS!$C$4:$C$803,A1728,MOVIMIENTOS_COMPLEMENTOS!$D$4:$D$803,B1728,MOVIMIENTOS_COMPLEMENTOS!$E$4:$E$803,C1728,MOVIMIENTOS_COMPLEMENTOS!$G$4:$G$803,E1728,MOVIMIENTOS_COMPLEMENTOS!$H$4:$H$803,G1728,MOVIMIENTOS_COMPLEMENTOS!$B$4:$B$803,"DE CORTE")-SUMIFS(MOVIMIENTOS_COMPLEMENTOS!$I$4:$I$803,MOVIMIENTOS_COMPLEMENTOS!$C$4:$C$803,A1728,MOVIMIENTOS_COMPLEMENTOS!$D$4:$D$803,B1728,MOVIMIENTOS_COMPLEMENTOS!$E$4:$E$803,C1728,MOVIMIENTOS_COMPLEMENTOS!$G$4:$G$803,E1728,MOVIMIENTOS_COMPLEMENTOS!$H$4:$H$803,G1728,MOVIMIENTOS_COMPLEMENTOS!$B$4:$B$803,"SALIDA"),0)</f>
        <v>0</v>
      </c>
      <c r="I1728" s="102">
        <f t="array" ref="I1728">IFERROR(INDEX(PRECIOS_COMPLEMENTOS!$C$4:$F$17,MATCH(B1728&amp;"_"&amp;C1728,PRECIOS_COMPLEMENTOS!$H$4:$H$17,0),IF(OR(G1728="S",G1728="20cm"),1,IF(OR(G1728="M",G1728="25cm"),2,IF(OR(G1728="L",G1728="30cm"),3,IF(OR(G1728="XL",G1728="35cm"),4,0))))),0)</f>
        <v>0.3</v>
      </c>
      <c r="J1728" s="103">
        <f t="shared" si="1"/>
        <v>0</v>
      </c>
      <c r="K1728" s="104" t="str">
        <f>IF(H1728&lt;0,"ERROR",IF(H1728=0,"",IF(H1728&lt;CONFIG!$B$4,"CRÍTICO",IF(H1728&lt;CONFIG!$B$5,"BAJO","OK"))))</f>
        <v/>
      </c>
    </row>
    <row r="1729" ht="15.75" hidden="1" customHeight="1">
      <c r="A1729" s="90" t="str">
        <f>IF(CLIENTES!A7="","",CLIENTES!A7)</f>
        <v/>
      </c>
      <c r="B1729" s="90" t="s">
        <v>324</v>
      </c>
      <c r="C1729" s="91" t="s">
        <v>328</v>
      </c>
      <c r="D1729" s="109" t="s">
        <v>353</v>
      </c>
      <c r="E1729" s="67" t="str">
        <f>COLORES!A15</f>
        <v>Plomo</v>
      </c>
      <c r="F1729" s="67" t="str">
        <f>COLORES!B15</f>
        <v>OSCURO</v>
      </c>
      <c r="G1729" s="90" t="s">
        <v>376</v>
      </c>
      <c r="H1729" s="100">
        <f>IFERROR(SUMIFS(MOVIMIENTOS_COMPLEMENTOS!$I$4:$I$803,MOVIMIENTOS_COMPLEMENTOS!$C$4:$C$803,A1729,MOVIMIENTOS_COMPLEMENTOS!$D$4:$D$803,B1729,MOVIMIENTOS_COMPLEMENTOS!$E$4:$E$803,C1729,MOVIMIENTOS_COMPLEMENTOS!$G$4:$G$803,E1729,MOVIMIENTOS_COMPLEMENTOS!$H$4:$H$803,G1729,MOVIMIENTOS_COMPLEMENTOS!$B$4:$B$803,"INGRESO")+SUMIFS(MOVIMIENTOS_COMPLEMENTOS!$I$4:$I$803,MOVIMIENTOS_COMPLEMENTOS!$C$4:$C$803,A1729,MOVIMIENTOS_COMPLEMENTOS!$D$4:$D$803,B1729,MOVIMIENTOS_COMPLEMENTOS!$E$4:$E$803,C1729,MOVIMIENTOS_COMPLEMENTOS!$G$4:$G$803,E1729,MOVIMIENTOS_COMPLEMENTOS!$H$4:$H$803,G1729,MOVIMIENTOS_COMPLEMENTOS!$B$4:$B$803,"DE CORTE")-SUMIFS(MOVIMIENTOS_COMPLEMENTOS!$I$4:$I$803,MOVIMIENTOS_COMPLEMENTOS!$C$4:$C$803,A1729,MOVIMIENTOS_COMPLEMENTOS!$D$4:$D$803,B1729,MOVIMIENTOS_COMPLEMENTOS!$E$4:$E$803,C1729,MOVIMIENTOS_COMPLEMENTOS!$G$4:$G$803,E1729,MOVIMIENTOS_COMPLEMENTOS!$H$4:$H$803,G1729,MOVIMIENTOS_COMPLEMENTOS!$B$4:$B$803,"SALIDA"),0)</f>
        <v>0</v>
      </c>
      <c r="I1729" s="102">
        <f t="array" ref="I1729">IFERROR(INDEX(PRECIOS_COMPLEMENTOS!$C$4:$F$17,MATCH(B1729&amp;"_"&amp;C1729,PRECIOS_COMPLEMENTOS!$H$4:$H$17,0),IF(OR(G1729="S",G1729="20cm"),1,IF(OR(G1729="M",G1729="25cm"),2,IF(OR(G1729="L",G1729="30cm"),3,IF(OR(G1729="XL",G1729="35cm"),4,0))))),0)</f>
        <v>0.3</v>
      </c>
      <c r="J1729" s="103">
        <f t="shared" si="1"/>
        <v>0</v>
      </c>
      <c r="K1729" s="104" t="str">
        <f>IF(H1729&lt;0,"ERROR",IF(H1729=0,"",IF(H1729&lt;CONFIG!$B$4,"CRÍTICO",IF(H1729&lt;CONFIG!$B$5,"BAJO","OK"))))</f>
        <v/>
      </c>
    </row>
    <row r="1730" ht="15.75" hidden="1" customHeight="1">
      <c r="A1730" s="90" t="str">
        <f>IF(CLIENTES!A7="","",CLIENTES!A7)</f>
        <v/>
      </c>
      <c r="B1730" s="90" t="s">
        <v>324</v>
      </c>
      <c r="C1730" s="91" t="s">
        <v>328</v>
      </c>
      <c r="D1730" s="109" t="s">
        <v>353</v>
      </c>
      <c r="E1730" s="67" t="str">
        <f>COLORES!A15</f>
        <v>Plomo</v>
      </c>
      <c r="F1730" s="67" t="str">
        <f>COLORES!B15</f>
        <v>OSCURO</v>
      </c>
      <c r="G1730" s="90" t="s">
        <v>377</v>
      </c>
      <c r="H1730" s="100">
        <f>IFERROR(SUMIFS(MOVIMIENTOS_COMPLEMENTOS!$I$4:$I$803,MOVIMIENTOS_COMPLEMENTOS!$C$4:$C$803,A1730,MOVIMIENTOS_COMPLEMENTOS!$D$4:$D$803,B1730,MOVIMIENTOS_COMPLEMENTOS!$E$4:$E$803,C1730,MOVIMIENTOS_COMPLEMENTOS!$G$4:$G$803,E1730,MOVIMIENTOS_COMPLEMENTOS!$H$4:$H$803,G1730,MOVIMIENTOS_COMPLEMENTOS!$B$4:$B$803,"INGRESO")+SUMIFS(MOVIMIENTOS_COMPLEMENTOS!$I$4:$I$803,MOVIMIENTOS_COMPLEMENTOS!$C$4:$C$803,A1730,MOVIMIENTOS_COMPLEMENTOS!$D$4:$D$803,B1730,MOVIMIENTOS_COMPLEMENTOS!$E$4:$E$803,C1730,MOVIMIENTOS_COMPLEMENTOS!$G$4:$G$803,E1730,MOVIMIENTOS_COMPLEMENTOS!$H$4:$H$803,G1730,MOVIMIENTOS_COMPLEMENTOS!$B$4:$B$803,"DE CORTE")-SUMIFS(MOVIMIENTOS_COMPLEMENTOS!$I$4:$I$803,MOVIMIENTOS_COMPLEMENTOS!$C$4:$C$803,A1730,MOVIMIENTOS_COMPLEMENTOS!$D$4:$D$803,B1730,MOVIMIENTOS_COMPLEMENTOS!$E$4:$E$803,C1730,MOVIMIENTOS_COMPLEMENTOS!$G$4:$G$803,E1730,MOVIMIENTOS_COMPLEMENTOS!$H$4:$H$803,G1730,MOVIMIENTOS_COMPLEMENTOS!$B$4:$B$803,"SALIDA"),0)</f>
        <v>0</v>
      </c>
      <c r="I1730" s="102">
        <f t="array" ref="I1730">IFERROR(INDEX(PRECIOS_COMPLEMENTOS!$C$4:$F$17,MATCH(B1730&amp;"_"&amp;C1730,PRECIOS_COMPLEMENTOS!$H$4:$H$17,0),IF(OR(G1730="S",G1730="20cm"),1,IF(OR(G1730="M",G1730="25cm"),2,IF(OR(G1730="L",G1730="30cm"),3,IF(OR(G1730="XL",G1730="35cm"),4,0))))),0)</f>
        <v>0.3</v>
      </c>
      <c r="J1730" s="103">
        <f t="shared" si="1"/>
        <v>0</v>
      </c>
      <c r="K1730" s="104" t="str">
        <f>IF(H1730&lt;0,"ERROR",IF(H1730=0,"",IF(H1730&lt;CONFIG!$B$4,"CRÍTICO",IF(H1730&lt;CONFIG!$B$5,"BAJO","OK"))))</f>
        <v/>
      </c>
    </row>
    <row r="1731" ht="15.75" hidden="1" customHeight="1">
      <c r="A1731" s="90" t="str">
        <f>IF(CLIENTES!A7="","",CLIENTES!A7)</f>
        <v/>
      </c>
      <c r="B1731" s="90" t="s">
        <v>324</v>
      </c>
      <c r="C1731" s="91" t="s">
        <v>328</v>
      </c>
      <c r="D1731" s="109" t="s">
        <v>353</v>
      </c>
      <c r="E1731" s="67" t="str">
        <f>COLORES!A15</f>
        <v>Plomo</v>
      </c>
      <c r="F1731" s="67" t="str">
        <f>COLORES!B15</f>
        <v>OSCURO</v>
      </c>
      <c r="G1731" s="90" t="s">
        <v>379</v>
      </c>
      <c r="H1731" s="100">
        <f>IFERROR(SUMIFS(MOVIMIENTOS_COMPLEMENTOS!$I$4:$I$803,MOVIMIENTOS_COMPLEMENTOS!$C$4:$C$803,A1731,MOVIMIENTOS_COMPLEMENTOS!$D$4:$D$803,B1731,MOVIMIENTOS_COMPLEMENTOS!$E$4:$E$803,C1731,MOVIMIENTOS_COMPLEMENTOS!$G$4:$G$803,E1731,MOVIMIENTOS_COMPLEMENTOS!$H$4:$H$803,G1731,MOVIMIENTOS_COMPLEMENTOS!$B$4:$B$803,"INGRESO")+SUMIFS(MOVIMIENTOS_COMPLEMENTOS!$I$4:$I$803,MOVIMIENTOS_COMPLEMENTOS!$C$4:$C$803,A1731,MOVIMIENTOS_COMPLEMENTOS!$D$4:$D$803,B1731,MOVIMIENTOS_COMPLEMENTOS!$E$4:$E$803,C1731,MOVIMIENTOS_COMPLEMENTOS!$G$4:$G$803,E1731,MOVIMIENTOS_COMPLEMENTOS!$H$4:$H$803,G1731,MOVIMIENTOS_COMPLEMENTOS!$B$4:$B$803,"DE CORTE")-SUMIFS(MOVIMIENTOS_COMPLEMENTOS!$I$4:$I$803,MOVIMIENTOS_COMPLEMENTOS!$C$4:$C$803,A1731,MOVIMIENTOS_COMPLEMENTOS!$D$4:$D$803,B1731,MOVIMIENTOS_COMPLEMENTOS!$E$4:$E$803,C1731,MOVIMIENTOS_COMPLEMENTOS!$G$4:$G$803,E1731,MOVIMIENTOS_COMPLEMENTOS!$H$4:$H$803,G1731,MOVIMIENTOS_COMPLEMENTOS!$B$4:$B$803,"SALIDA"),0)</f>
        <v>0</v>
      </c>
      <c r="I1731" s="102">
        <f t="array" ref="I1731">IFERROR(INDEX(PRECIOS_COMPLEMENTOS!$C$4:$F$17,MATCH(B1731&amp;"_"&amp;C1731,PRECIOS_COMPLEMENTOS!$H$4:$H$17,0),IF(OR(G1731="S",G1731="20cm"),1,IF(OR(G1731="M",G1731="25cm"),2,IF(OR(G1731="L",G1731="30cm"),3,IF(OR(G1731="XL",G1731="35cm"),4,0))))),0)</f>
        <v>0.3</v>
      </c>
      <c r="J1731" s="103">
        <f t="shared" si="1"/>
        <v>0</v>
      </c>
      <c r="K1731" s="104" t="str">
        <f>IF(H1731&lt;0,"ERROR",IF(H1731=0,"",IF(H1731&lt;CONFIG!$B$4,"CRÍTICO",IF(H1731&lt;CONFIG!$B$5,"BAJO","OK"))))</f>
        <v/>
      </c>
    </row>
    <row r="1732" ht="15.75" hidden="1" customHeight="1">
      <c r="A1732" s="90" t="str">
        <f>IF(CLIENTES!A7="","",CLIENTES!A7)</f>
        <v/>
      </c>
      <c r="B1732" s="90" t="s">
        <v>324</v>
      </c>
      <c r="C1732" s="91" t="s">
        <v>328</v>
      </c>
      <c r="D1732" s="109" t="s">
        <v>353</v>
      </c>
      <c r="E1732" s="67" t="str">
        <f>COLORES!A16</f>
        <v>Topo</v>
      </c>
      <c r="F1732" s="67" t="str">
        <f>COLORES!B16</f>
        <v>CLARO</v>
      </c>
      <c r="G1732" s="90" t="s">
        <v>378</v>
      </c>
      <c r="H1732" s="100">
        <f>IFERROR(SUMIFS(MOVIMIENTOS_COMPLEMENTOS!$I$4:$I$803,MOVIMIENTOS_COMPLEMENTOS!$C$4:$C$803,A1732,MOVIMIENTOS_COMPLEMENTOS!$D$4:$D$803,B1732,MOVIMIENTOS_COMPLEMENTOS!$E$4:$E$803,C1732,MOVIMIENTOS_COMPLEMENTOS!$G$4:$G$803,E1732,MOVIMIENTOS_COMPLEMENTOS!$H$4:$H$803,G1732,MOVIMIENTOS_COMPLEMENTOS!$B$4:$B$803,"INGRESO")+SUMIFS(MOVIMIENTOS_COMPLEMENTOS!$I$4:$I$803,MOVIMIENTOS_COMPLEMENTOS!$C$4:$C$803,A1732,MOVIMIENTOS_COMPLEMENTOS!$D$4:$D$803,B1732,MOVIMIENTOS_COMPLEMENTOS!$E$4:$E$803,C1732,MOVIMIENTOS_COMPLEMENTOS!$G$4:$G$803,E1732,MOVIMIENTOS_COMPLEMENTOS!$H$4:$H$803,G1732,MOVIMIENTOS_COMPLEMENTOS!$B$4:$B$803,"DE CORTE")-SUMIFS(MOVIMIENTOS_COMPLEMENTOS!$I$4:$I$803,MOVIMIENTOS_COMPLEMENTOS!$C$4:$C$803,A1732,MOVIMIENTOS_COMPLEMENTOS!$D$4:$D$803,B1732,MOVIMIENTOS_COMPLEMENTOS!$E$4:$E$803,C1732,MOVIMIENTOS_COMPLEMENTOS!$G$4:$G$803,E1732,MOVIMIENTOS_COMPLEMENTOS!$H$4:$H$803,G1732,MOVIMIENTOS_COMPLEMENTOS!$B$4:$B$803,"SALIDA"),0)</f>
        <v>0</v>
      </c>
      <c r="I1732" s="102">
        <f t="array" ref="I1732">IFERROR(INDEX(PRECIOS_COMPLEMENTOS!$C$4:$F$17,MATCH(B1732&amp;"_"&amp;C1732,PRECIOS_COMPLEMENTOS!$H$4:$H$17,0),IF(OR(G1732="S",G1732="20cm"),1,IF(OR(G1732="M",G1732="25cm"),2,IF(OR(G1732="L",G1732="30cm"),3,IF(OR(G1732="XL",G1732="35cm"),4,0))))),0)</f>
        <v>0.3</v>
      </c>
      <c r="J1732" s="103">
        <f t="shared" si="1"/>
        <v>0</v>
      </c>
      <c r="K1732" s="104" t="str">
        <f>IF(H1732&lt;0,"ERROR",IF(H1732=0,"",IF(H1732&lt;CONFIG!$B$4,"CRÍTICO",IF(H1732&lt;CONFIG!$B$5,"BAJO","OK"))))</f>
        <v/>
      </c>
    </row>
    <row r="1733" ht="15.75" hidden="1" customHeight="1">
      <c r="A1733" s="90" t="str">
        <f>IF(CLIENTES!A7="","",CLIENTES!A7)</f>
        <v/>
      </c>
      <c r="B1733" s="90" t="s">
        <v>324</v>
      </c>
      <c r="C1733" s="91" t="s">
        <v>328</v>
      </c>
      <c r="D1733" s="109" t="s">
        <v>353</v>
      </c>
      <c r="E1733" s="67" t="str">
        <f>COLORES!A16</f>
        <v>Topo</v>
      </c>
      <c r="F1733" s="67" t="str">
        <f>COLORES!B16</f>
        <v>CLARO</v>
      </c>
      <c r="G1733" s="90" t="s">
        <v>376</v>
      </c>
      <c r="H1733" s="100">
        <f>IFERROR(SUMIFS(MOVIMIENTOS_COMPLEMENTOS!$I$4:$I$803,MOVIMIENTOS_COMPLEMENTOS!$C$4:$C$803,A1733,MOVIMIENTOS_COMPLEMENTOS!$D$4:$D$803,B1733,MOVIMIENTOS_COMPLEMENTOS!$E$4:$E$803,C1733,MOVIMIENTOS_COMPLEMENTOS!$G$4:$G$803,E1733,MOVIMIENTOS_COMPLEMENTOS!$H$4:$H$803,G1733,MOVIMIENTOS_COMPLEMENTOS!$B$4:$B$803,"INGRESO")+SUMIFS(MOVIMIENTOS_COMPLEMENTOS!$I$4:$I$803,MOVIMIENTOS_COMPLEMENTOS!$C$4:$C$803,A1733,MOVIMIENTOS_COMPLEMENTOS!$D$4:$D$803,B1733,MOVIMIENTOS_COMPLEMENTOS!$E$4:$E$803,C1733,MOVIMIENTOS_COMPLEMENTOS!$G$4:$G$803,E1733,MOVIMIENTOS_COMPLEMENTOS!$H$4:$H$803,G1733,MOVIMIENTOS_COMPLEMENTOS!$B$4:$B$803,"DE CORTE")-SUMIFS(MOVIMIENTOS_COMPLEMENTOS!$I$4:$I$803,MOVIMIENTOS_COMPLEMENTOS!$C$4:$C$803,A1733,MOVIMIENTOS_COMPLEMENTOS!$D$4:$D$803,B1733,MOVIMIENTOS_COMPLEMENTOS!$E$4:$E$803,C1733,MOVIMIENTOS_COMPLEMENTOS!$G$4:$G$803,E1733,MOVIMIENTOS_COMPLEMENTOS!$H$4:$H$803,G1733,MOVIMIENTOS_COMPLEMENTOS!$B$4:$B$803,"SALIDA"),0)</f>
        <v>0</v>
      </c>
      <c r="I1733" s="102">
        <f t="array" ref="I1733">IFERROR(INDEX(PRECIOS_COMPLEMENTOS!$C$4:$F$17,MATCH(B1733&amp;"_"&amp;C1733,PRECIOS_COMPLEMENTOS!$H$4:$H$17,0),IF(OR(G1733="S",G1733="20cm"),1,IF(OR(G1733="M",G1733="25cm"),2,IF(OR(G1733="L",G1733="30cm"),3,IF(OR(G1733="XL",G1733="35cm"),4,0))))),0)</f>
        <v>0.3</v>
      </c>
      <c r="J1733" s="103">
        <f t="shared" si="1"/>
        <v>0</v>
      </c>
      <c r="K1733" s="104" t="str">
        <f>IF(H1733&lt;0,"ERROR",IF(H1733=0,"",IF(H1733&lt;CONFIG!$B$4,"CRÍTICO",IF(H1733&lt;CONFIG!$B$5,"BAJO","OK"))))</f>
        <v/>
      </c>
    </row>
    <row r="1734" ht="15.75" hidden="1" customHeight="1">
      <c r="A1734" s="90" t="str">
        <f>IF(CLIENTES!A7="","",CLIENTES!A7)</f>
        <v/>
      </c>
      <c r="B1734" s="90" t="s">
        <v>324</v>
      </c>
      <c r="C1734" s="91" t="s">
        <v>328</v>
      </c>
      <c r="D1734" s="109" t="s">
        <v>353</v>
      </c>
      <c r="E1734" s="67" t="str">
        <f>COLORES!A16</f>
        <v>Topo</v>
      </c>
      <c r="F1734" s="67" t="str">
        <f>COLORES!B16</f>
        <v>CLARO</v>
      </c>
      <c r="G1734" s="90" t="s">
        <v>377</v>
      </c>
      <c r="H1734" s="100">
        <f>IFERROR(SUMIFS(MOVIMIENTOS_COMPLEMENTOS!$I$4:$I$803,MOVIMIENTOS_COMPLEMENTOS!$C$4:$C$803,A1734,MOVIMIENTOS_COMPLEMENTOS!$D$4:$D$803,B1734,MOVIMIENTOS_COMPLEMENTOS!$E$4:$E$803,C1734,MOVIMIENTOS_COMPLEMENTOS!$G$4:$G$803,E1734,MOVIMIENTOS_COMPLEMENTOS!$H$4:$H$803,G1734,MOVIMIENTOS_COMPLEMENTOS!$B$4:$B$803,"INGRESO")+SUMIFS(MOVIMIENTOS_COMPLEMENTOS!$I$4:$I$803,MOVIMIENTOS_COMPLEMENTOS!$C$4:$C$803,A1734,MOVIMIENTOS_COMPLEMENTOS!$D$4:$D$803,B1734,MOVIMIENTOS_COMPLEMENTOS!$E$4:$E$803,C1734,MOVIMIENTOS_COMPLEMENTOS!$G$4:$G$803,E1734,MOVIMIENTOS_COMPLEMENTOS!$H$4:$H$803,G1734,MOVIMIENTOS_COMPLEMENTOS!$B$4:$B$803,"DE CORTE")-SUMIFS(MOVIMIENTOS_COMPLEMENTOS!$I$4:$I$803,MOVIMIENTOS_COMPLEMENTOS!$C$4:$C$803,A1734,MOVIMIENTOS_COMPLEMENTOS!$D$4:$D$803,B1734,MOVIMIENTOS_COMPLEMENTOS!$E$4:$E$803,C1734,MOVIMIENTOS_COMPLEMENTOS!$G$4:$G$803,E1734,MOVIMIENTOS_COMPLEMENTOS!$H$4:$H$803,G1734,MOVIMIENTOS_COMPLEMENTOS!$B$4:$B$803,"SALIDA"),0)</f>
        <v>0</v>
      </c>
      <c r="I1734" s="102">
        <f t="array" ref="I1734">IFERROR(INDEX(PRECIOS_COMPLEMENTOS!$C$4:$F$17,MATCH(B1734&amp;"_"&amp;C1734,PRECIOS_COMPLEMENTOS!$H$4:$H$17,0),IF(OR(G1734="S",G1734="20cm"),1,IF(OR(G1734="M",G1734="25cm"),2,IF(OR(G1734="L",G1734="30cm"),3,IF(OR(G1734="XL",G1734="35cm"),4,0))))),0)</f>
        <v>0.3</v>
      </c>
      <c r="J1734" s="103">
        <f t="shared" si="1"/>
        <v>0</v>
      </c>
      <c r="K1734" s="104" t="str">
        <f>IF(H1734&lt;0,"ERROR",IF(H1734=0,"",IF(H1734&lt;CONFIG!$B$4,"CRÍTICO",IF(H1734&lt;CONFIG!$B$5,"BAJO","OK"))))</f>
        <v/>
      </c>
    </row>
    <row r="1735" ht="15.75" hidden="1" customHeight="1">
      <c r="A1735" s="90" t="str">
        <f>IF(CLIENTES!A7="","",CLIENTES!A7)</f>
        <v/>
      </c>
      <c r="B1735" s="90" t="s">
        <v>324</v>
      </c>
      <c r="C1735" s="91" t="s">
        <v>328</v>
      </c>
      <c r="D1735" s="109" t="s">
        <v>353</v>
      </c>
      <c r="E1735" s="67" t="str">
        <f>COLORES!A16</f>
        <v>Topo</v>
      </c>
      <c r="F1735" s="67" t="str">
        <f>COLORES!B16</f>
        <v>CLARO</v>
      </c>
      <c r="G1735" s="90" t="s">
        <v>379</v>
      </c>
      <c r="H1735" s="100">
        <f>IFERROR(SUMIFS(MOVIMIENTOS_COMPLEMENTOS!$I$4:$I$803,MOVIMIENTOS_COMPLEMENTOS!$C$4:$C$803,A1735,MOVIMIENTOS_COMPLEMENTOS!$D$4:$D$803,B1735,MOVIMIENTOS_COMPLEMENTOS!$E$4:$E$803,C1735,MOVIMIENTOS_COMPLEMENTOS!$G$4:$G$803,E1735,MOVIMIENTOS_COMPLEMENTOS!$H$4:$H$803,G1735,MOVIMIENTOS_COMPLEMENTOS!$B$4:$B$803,"INGRESO")+SUMIFS(MOVIMIENTOS_COMPLEMENTOS!$I$4:$I$803,MOVIMIENTOS_COMPLEMENTOS!$C$4:$C$803,A1735,MOVIMIENTOS_COMPLEMENTOS!$D$4:$D$803,B1735,MOVIMIENTOS_COMPLEMENTOS!$E$4:$E$803,C1735,MOVIMIENTOS_COMPLEMENTOS!$G$4:$G$803,E1735,MOVIMIENTOS_COMPLEMENTOS!$H$4:$H$803,G1735,MOVIMIENTOS_COMPLEMENTOS!$B$4:$B$803,"DE CORTE")-SUMIFS(MOVIMIENTOS_COMPLEMENTOS!$I$4:$I$803,MOVIMIENTOS_COMPLEMENTOS!$C$4:$C$803,A1735,MOVIMIENTOS_COMPLEMENTOS!$D$4:$D$803,B1735,MOVIMIENTOS_COMPLEMENTOS!$E$4:$E$803,C1735,MOVIMIENTOS_COMPLEMENTOS!$G$4:$G$803,E1735,MOVIMIENTOS_COMPLEMENTOS!$H$4:$H$803,G1735,MOVIMIENTOS_COMPLEMENTOS!$B$4:$B$803,"SALIDA"),0)</f>
        <v>0</v>
      </c>
      <c r="I1735" s="102">
        <f t="array" ref="I1735">IFERROR(INDEX(PRECIOS_COMPLEMENTOS!$C$4:$F$17,MATCH(B1735&amp;"_"&amp;C1735,PRECIOS_COMPLEMENTOS!$H$4:$H$17,0),IF(OR(G1735="S",G1735="20cm"),1,IF(OR(G1735="M",G1735="25cm"),2,IF(OR(G1735="L",G1735="30cm"),3,IF(OR(G1735="XL",G1735="35cm"),4,0))))),0)</f>
        <v>0.3</v>
      </c>
      <c r="J1735" s="103">
        <f t="shared" si="1"/>
        <v>0</v>
      </c>
      <c r="K1735" s="104" t="str">
        <f>IF(H1735&lt;0,"ERROR",IF(H1735=0,"",IF(H1735&lt;CONFIG!$B$4,"CRÍTICO",IF(H1735&lt;CONFIG!$B$5,"BAJO","OK"))))</f>
        <v/>
      </c>
    </row>
    <row r="1736" ht="15.75" hidden="1" customHeight="1">
      <c r="A1736" s="90" t="str">
        <f>IF(CLIENTES!A7="","",CLIENTES!A7)</f>
        <v/>
      </c>
      <c r="B1736" s="90" t="s">
        <v>324</v>
      </c>
      <c r="C1736" s="91" t="s">
        <v>328</v>
      </c>
      <c r="D1736" s="109" t="s">
        <v>353</v>
      </c>
      <c r="E1736" s="67" t="str">
        <f>COLORES!A17</f>
        <v>Vino</v>
      </c>
      <c r="F1736" s="67" t="str">
        <f>COLORES!B17</f>
        <v>OSCURO</v>
      </c>
      <c r="G1736" s="90" t="s">
        <v>378</v>
      </c>
      <c r="H1736" s="100">
        <f>IFERROR(SUMIFS(MOVIMIENTOS_COMPLEMENTOS!$I$4:$I$803,MOVIMIENTOS_COMPLEMENTOS!$C$4:$C$803,A1736,MOVIMIENTOS_COMPLEMENTOS!$D$4:$D$803,B1736,MOVIMIENTOS_COMPLEMENTOS!$E$4:$E$803,C1736,MOVIMIENTOS_COMPLEMENTOS!$G$4:$G$803,E1736,MOVIMIENTOS_COMPLEMENTOS!$H$4:$H$803,G1736,MOVIMIENTOS_COMPLEMENTOS!$B$4:$B$803,"INGRESO")+SUMIFS(MOVIMIENTOS_COMPLEMENTOS!$I$4:$I$803,MOVIMIENTOS_COMPLEMENTOS!$C$4:$C$803,A1736,MOVIMIENTOS_COMPLEMENTOS!$D$4:$D$803,B1736,MOVIMIENTOS_COMPLEMENTOS!$E$4:$E$803,C1736,MOVIMIENTOS_COMPLEMENTOS!$G$4:$G$803,E1736,MOVIMIENTOS_COMPLEMENTOS!$H$4:$H$803,G1736,MOVIMIENTOS_COMPLEMENTOS!$B$4:$B$803,"DE CORTE")-SUMIFS(MOVIMIENTOS_COMPLEMENTOS!$I$4:$I$803,MOVIMIENTOS_COMPLEMENTOS!$C$4:$C$803,A1736,MOVIMIENTOS_COMPLEMENTOS!$D$4:$D$803,B1736,MOVIMIENTOS_COMPLEMENTOS!$E$4:$E$803,C1736,MOVIMIENTOS_COMPLEMENTOS!$G$4:$G$803,E1736,MOVIMIENTOS_COMPLEMENTOS!$H$4:$H$803,G1736,MOVIMIENTOS_COMPLEMENTOS!$B$4:$B$803,"SALIDA"),0)</f>
        <v>0</v>
      </c>
      <c r="I1736" s="102">
        <f t="array" ref="I1736">IFERROR(INDEX(PRECIOS_COMPLEMENTOS!$C$4:$F$17,MATCH(B1736&amp;"_"&amp;C1736,PRECIOS_COMPLEMENTOS!$H$4:$H$17,0),IF(OR(G1736="S",G1736="20cm"),1,IF(OR(G1736="M",G1736="25cm"),2,IF(OR(G1736="L",G1736="30cm"),3,IF(OR(G1736="XL",G1736="35cm"),4,0))))),0)</f>
        <v>0.3</v>
      </c>
      <c r="J1736" s="103">
        <f t="shared" si="1"/>
        <v>0</v>
      </c>
      <c r="K1736" s="104" t="str">
        <f>IF(H1736&lt;0,"ERROR",IF(H1736=0,"",IF(H1736&lt;CONFIG!$B$4,"CRÍTICO",IF(H1736&lt;CONFIG!$B$5,"BAJO","OK"))))</f>
        <v/>
      </c>
    </row>
    <row r="1737" ht="15.75" hidden="1" customHeight="1">
      <c r="A1737" s="90" t="str">
        <f>IF(CLIENTES!A7="","",CLIENTES!A7)</f>
        <v/>
      </c>
      <c r="B1737" s="90" t="s">
        <v>324</v>
      </c>
      <c r="C1737" s="91" t="s">
        <v>328</v>
      </c>
      <c r="D1737" s="109" t="s">
        <v>353</v>
      </c>
      <c r="E1737" s="67" t="str">
        <f>COLORES!A17</f>
        <v>Vino</v>
      </c>
      <c r="F1737" s="67" t="str">
        <f>COLORES!B17</f>
        <v>OSCURO</v>
      </c>
      <c r="G1737" s="90" t="s">
        <v>376</v>
      </c>
      <c r="H1737" s="100">
        <f>IFERROR(SUMIFS(MOVIMIENTOS_COMPLEMENTOS!$I$4:$I$803,MOVIMIENTOS_COMPLEMENTOS!$C$4:$C$803,A1737,MOVIMIENTOS_COMPLEMENTOS!$D$4:$D$803,B1737,MOVIMIENTOS_COMPLEMENTOS!$E$4:$E$803,C1737,MOVIMIENTOS_COMPLEMENTOS!$G$4:$G$803,E1737,MOVIMIENTOS_COMPLEMENTOS!$H$4:$H$803,G1737,MOVIMIENTOS_COMPLEMENTOS!$B$4:$B$803,"INGRESO")+SUMIFS(MOVIMIENTOS_COMPLEMENTOS!$I$4:$I$803,MOVIMIENTOS_COMPLEMENTOS!$C$4:$C$803,A1737,MOVIMIENTOS_COMPLEMENTOS!$D$4:$D$803,B1737,MOVIMIENTOS_COMPLEMENTOS!$E$4:$E$803,C1737,MOVIMIENTOS_COMPLEMENTOS!$G$4:$G$803,E1737,MOVIMIENTOS_COMPLEMENTOS!$H$4:$H$803,G1737,MOVIMIENTOS_COMPLEMENTOS!$B$4:$B$803,"DE CORTE")-SUMIFS(MOVIMIENTOS_COMPLEMENTOS!$I$4:$I$803,MOVIMIENTOS_COMPLEMENTOS!$C$4:$C$803,A1737,MOVIMIENTOS_COMPLEMENTOS!$D$4:$D$803,B1737,MOVIMIENTOS_COMPLEMENTOS!$E$4:$E$803,C1737,MOVIMIENTOS_COMPLEMENTOS!$G$4:$G$803,E1737,MOVIMIENTOS_COMPLEMENTOS!$H$4:$H$803,G1737,MOVIMIENTOS_COMPLEMENTOS!$B$4:$B$803,"SALIDA"),0)</f>
        <v>0</v>
      </c>
      <c r="I1737" s="102">
        <f t="array" ref="I1737">IFERROR(INDEX(PRECIOS_COMPLEMENTOS!$C$4:$F$17,MATCH(B1737&amp;"_"&amp;C1737,PRECIOS_COMPLEMENTOS!$H$4:$H$17,0),IF(OR(G1737="S",G1737="20cm"),1,IF(OR(G1737="M",G1737="25cm"),2,IF(OR(G1737="L",G1737="30cm"),3,IF(OR(G1737="XL",G1737="35cm"),4,0))))),0)</f>
        <v>0.3</v>
      </c>
      <c r="J1737" s="103">
        <f t="shared" si="1"/>
        <v>0</v>
      </c>
      <c r="K1737" s="104" t="str">
        <f>IF(H1737&lt;0,"ERROR",IF(H1737=0,"",IF(H1737&lt;CONFIG!$B$4,"CRÍTICO",IF(H1737&lt;CONFIG!$B$5,"BAJO","OK"))))</f>
        <v/>
      </c>
    </row>
    <row r="1738" ht="15.75" hidden="1" customHeight="1">
      <c r="A1738" s="90" t="str">
        <f>IF(CLIENTES!A7="","",CLIENTES!A7)</f>
        <v/>
      </c>
      <c r="B1738" s="90" t="s">
        <v>324</v>
      </c>
      <c r="C1738" s="91" t="s">
        <v>328</v>
      </c>
      <c r="D1738" s="109" t="s">
        <v>353</v>
      </c>
      <c r="E1738" s="67" t="str">
        <f>COLORES!A17</f>
        <v>Vino</v>
      </c>
      <c r="F1738" s="67" t="str">
        <f>COLORES!B17</f>
        <v>OSCURO</v>
      </c>
      <c r="G1738" s="90" t="s">
        <v>377</v>
      </c>
      <c r="H1738" s="100">
        <f>IFERROR(SUMIFS(MOVIMIENTOS_COMPLEMENTOS!$I$4:$I$803,MOVIMIENTOS_COMPLEMENTOS!$C$4:$C$803,A1738,MOVIMIENTOS_COMPLEMENTOS!$D$4:$D$803,B1738,MOVIMIENTOS_COMPLEMENTOS!$E$4:$E$803,C1738,MOVIMIENTOS_COMPLEMENTOS!$G$4:$G$803,E1738,MOVIMIENTOS_COMPLEMENTOS!$H$4:$H$803,G1738,MOVIMIENTOS_COMPLEMENTOS!$B$4:$B$803,"INGRESO")+SUMIFS(MOVIMIENTOS_COMPLEMENTOS!$I$4:$I$803,MOVIMIENTOS_COMPLEMENTOS!$C$4:$C$803,A1738,MOVIMIENTOS_COMPLEMENTOS!$D$4:$D$803,B1738,MOVIMIENTOS_COMPLEMENTOS!$E$4:$E$803,C1738,MOVIMIENTOS_COMPLEMENTOS!$G$4:$G$803,E1738,MOVIMIENTOS_COMPLEMENTOS!$H$4:$H$803,G1738,MOVIMIENTOS_COMPLEMENTOS!$B$4:$B$803,"DE CORTE")-SUMIFS(MOVIMIENTOS_COMPLEMENTOS!$I$4:$I$803,MOVIMIENTOS_COMPLEMENTOS!$C$4:$C$803,A1738,MOVIMIENTOS_COMPLEMENTOS!$D$4:$D$803,B1738,MOVIMIENTOS_COMPLEMENTOS!$E$4:$E$803,C1738,MOVIMIENTOS_COMPLEMENTOS!$G$4:$G$803,E1738,MOVIMIENTOS_COMPLEMENTOS!$H$4:$H$803,G1738,MOVIMIENTOS_COMPLEMENTOS!$B$4:$B$803,"SALIDA"),0)</f>
        <v>0</v>
      </c>
      <c r="I1738" s="102">
        <f t="array" ref="I1738">IFERROR(INDEX(PRECIOS_COMPLEMENTOS!$C$4:$F$17,MATCH(B1738&amp;"_"&amp;C1738,PRECIOS_COMPLEMENTOS!$H$4:$H$17,0),IF(OR(G1738="S",G1738="20cm"),1,IF(OR(G1738="M",G1738="25cm"),2,IF(OR(G1738="L",G1738="30cm"),3,IF(OR(G1738="XL",G1738="35cm"),4,0))))),0)</f>
        <v>0.3</v>
      </c>
      <c r="J1738" s="103">
        <f t="shared" si="1"/>
        <v>0</v>
      </c>
      <c r="K1738" s="104" t="str">
        <f>IF(H1738&lt;0,"ERROR",IF(H1738=0,"",IF(H1738&lt;CONFIG!$B$4,"CRÍTICO",IF(H1738&lt;CONFIG!$B$5,"BAJO","OK"))))</f>
        <v/>
      </c>
    </row>
    <row r="1739" ht="15.75" hidden="1" customHeight="1">
      <c r="A1739" s="90" t="str">
        <f>IF(CLIENTES!A7="","",CLIENTES!A7)</f>
        <v/>
      </c>
      <c r="B1739" s="90" t="s">
        <v>324</v>
      </c>
      <c r="C1739" s="91" t="s">
        <v>328</v>
      </c>
      <c r="D1739" s="109" t="s">
        <v>353</v>
      </c>
      <c r="E1739" s="67" t="str">
        <f>COLORES!A17</f>
        <v>Vino</v>
      </c>
      <c r="F1739" s="67" t="str">
        <f>COLORES!B17</f>
        <v>OSCURO</v>
      </c>
      <c r="G1739" s="90" t="s">
        <v>379</v>
      </c>
      <c r="H1739" s="100">
        <f>IFERROR(SUMIFS(MOVIMIENTOS_COMPLEMENTOS!$I$4:$I$803,MOVIMIENTOS_COMPLEMENTOS!$C$4:$C$803,A1739,MOVIMIENTOS_COMPLEMENTOS!$D$4:$D$803,B1739,MOVIMIENTOS_COMPLEMENTOS!$E$4:$E$803,C1739,MOVIMIENTOS_COMPLEMENTOS!$G$4:$G$803,E1739,MOVIMIENTOS_COMPLEMENTOS!$H$4:$H$803,G1739,MOVIMIENTOS_COMPLEMENTOS!$B$4:$B$803,"INGRESO")+SUMIFS(MOVIMIENTOS_COMPLEMENTOS!$I$4:$I$803,MOVIMIENTOS_COMPLEMENTOS!$C$4:$C$803,A1739,MOVIMIENTOS_COMPLEMENTOS!$D$4:$D$803,B1739,MOVIMIENTOS_COMPLEMENTOS!$E$4:$E$803,C1739,MOVIMIENTOS_COMPLEMENTOS!$G$4:$G$803,E1739,MOVIMIENTOS_COMPLEMENTOS!$H$4:$H$803,G1739,MOVIMIENTOS_COMPLEMENTOS!$B$4:$B$803,"DE CORTE")-SUMIFS(MOVIMIENTOS_COMPLEMENTOS!$I$4:$I$803,MOVIMIENTOS_COMPLEMENTOS!$C$4:$C$803,A1739,MOVIMIENTOS_COMPLEMENTOS!$D$4:$D$803,B1739,MOVIMIENTOS_COMPLEMENTOS!$E$4:$E$803,C1739,MOVIMIENTOS_COMPLEMENTOS!$G$4:$G$803,E1739,MOVIMIENTOS_COMPLEMENTOS!$H$4:$H$803,G1739,MOVIMIENTOS_COMPLEMENTOS!$B$4:$B$803,"SALIDA"),0)</f>
        <v>0</v>
      </c>
      <c r="I1739" s="102">
        <f t="array" ref="I1739">IFERROR(INDEX(PRECIOS_COMPLEMENTOS!$C$4:$F$17,MATCH(B1739&amp;"_"&amp;C1739,PRECIOS_COMPLEMENTOS!$H$4:$H$17,0),IF(OR(G1739="S",G1739="20cm"),1,IF(OR(G1739="M",G1739="25cm"),2,IF(OR(G1739="L",G1739="30cm"),3,IF(OR(G1739="XL",G1739="35cm"),4,0))))),0)</f>
        <v>0.3</v>
      </c>
      <c r="J1739" s="103">
        <f t="shared" si="1"/>
        <v>0</v>
      </c>
      <c r="K1739" s="104" t="str">
        <f>IF(H1739&lt;0,"ERROR",IF(H1739=0,"",IF(H1739&lt;CONFIG!$B$4,"CRÍTICO",IF(H1739&lt;CONFIG!$B$5,"BAJO","OK"))))</f>
        <v/>
      </c>
    </row>
    <row r="1740" ht="15.75" hidden="1" customHeight="1">
      <c r="A1740" s="90" t="str">
        <f>IF(CLIENTES!A7="","",CLIENTES!A7)</f>
        <v/>
      </c>
      <c r="B1740" s="90" t="s">
        <v>324</v>
      </c>
      <c r="C1740" s="91" t="s">
        <v>328</v>
      </c>
      <c r="D1740" s="109" t="s">
        <v>353</v>
      </c>
      <c r="E1740" s="67" t="str">
        <f>COLORES!A18</f>
        <v>P. Rosa</v>
      </c>
      <c r="F1740" s="67" t="str">
        <f>COLORES!B18</f>
        <v>CLARO</v>
      </c>
      <c r="G1740" s="90" t="s">
        <v>378</v>
      </c>
      <c r="H1740" s="100">
        <f>IFERROR(SUMIFS(MOVIMIENTOS_COMPLEMENTOS!$I$4:$I$803,MOVIMIENTOS_COMPLEMENTOS!$C$4:$C$803,A1740,MOVIMIENTOS_COMPLEMENTOS!$D$4:$D$803,B1740,MOVIMIENTOS_COMPLEMENTOS!$E$4:$E$803,C1740,MOVIMIENTOS_COMPLEMENTOS!$G$4:$G$803,E1740,MOVIMIENTOS_COMPLEMENTOS!$H$4:$H$803,G1740,MOVIMIENTOS_COMPLEMENTOS!$B$4:$B$803,"INGRESO")+SUMIFS(MOVIMIENTOS_COMPLEMENTOS!$I$4:$I$803,MOVIMIENTOS_COMPLEMENTOS!$C$4:$C$803,A1740,MOVIMIENTOS_COMPLEMENTOS!$D$4:$D$803,B1740,MOVIMIENTOS_COMPLEMENTOS!$E$4:$E$803,C1740,MOVIMIENTOS_COMPLEMENTOS!$G$4:$G$803,E1740,MOVIMIENTOS_COMPLEMENTOS!$H$4:$H$803,G1740,MOVIMIENTOS_COMPLEMENTOS!$B$4:$B$803,"DE CORTE")-SUMIFS(MOVIMIENTOS_COMPLEMENTOS!$I$4:$I$803,MOVIMIENTOS_COMPLEMENTOS!$C$4:$C$803,A1740,MOVIMIENTOS_COMPLEMENTOS!$D$4:$D$803,B1740,MOVIMIENTOS_COMPLEMENTOS!$E$4:$E$803,C1740,MOVIMIENTOS_COMPLEMENTOS!$G$4:$G$803,E1740,MOVIMIENTOS_COMPLEMENTOS!$H$4:$H$803,G1740,MOVIMIENTOS_COMPLEMENTOS!$B$4:$B$803,"SALIDA"),0)</f>
        <v>0</v>
      </c>
      <c r="I1740" s="102">
        <f t="array" ref="I1740">IFERROR(INDEX(PRECIOS_COMPLEMENTOS!$C$4:$F$17,MATCH(B1740&amp;"_"&amp;C1740,PRECIOS_COMPLEMENTOS!$H$4:$H$17,0),IF(OR(G1740="S",G1740="20cm"),1,IF(OR(G1740="M",G1740="25cm"),2,IF(OR(G1740="L",G1740="30cm"),3,IF(OR(G1740="XL",G1740="35cm"),4,0))))),0)</f>
        <v>0.3</v>
      </c>
      <c r="J1740" s="103">
        <f t="shared" si="1"/>
        <v>0</v>
      </c>
      <c r="K1740" s="104" t="str">
        <f>IF(H1740&lt;0,"ERROR",IF(H1740=0,"",IF(H1740&lt;CONFIG!$B$4,"CRÍTICO",IF(H1740&lt;CONFIG!$B$5,"BAJO","OK"))))</f>
        <v/>
      </c>
    </row>
    <row r="1741" ht="15.75" hidden="1" customHeight="1">
      <c r="A1741" s="90" t="str">
        <f>IF(CLIENTES!A7="","",CLIENTES!A7)</f>
        <v/>
      </c>
      <c r="B1741" s="90" t="s">
        <v>324</v>
      </c>
      <c r="C1741" s="91" t="s">
        <v>328</v>
      </c>
      <c r="D1741" s="109" t="s">
        <v>353</v>
      </c>
      <c r="E1741" s="67" t="str">
        <f>COLORES!A18</f>
        <v>P. Rosa</v>
      </c>
      <c r="F1741" s="67" t="str">
        <f>COLORES!B18</f>
        <v>CLARO</v>
      </c>
      <c r="G1741" s="90" t="s">
        <v>376</v>
      </c>
      <c r="H1741" s="100">
        <f>IFERROR(SUMIFS(MOVIMIENTOS_COMPLEMENTOS!$I$4:$I$803,MOVIMIENTOS_COMPLEMENTOS!$C$4:$C$803,A1741,MOVIMIENTOS_COMPLEMENTOS!$D$4:$D$803,B1741,MOVIMIENTOS_COMPLEMENTOS!$E$4:$E$803,C1741,MOVIMIENTOS_COMPLEMENTOS!$G$4:$G$803,E1741,MOVIMIENTOS_COMPLEMENTOS!$H$4:$H$803,G1741,MOVIMIENTOS_COMPLEMENTOS!$B$4:$B$803,"INGRESO")+SUMIFS(MOVIMIENTOS_COMPLEMENTOS!$I$4:$I$803,MOVIMIENTOS_COMPLEMENTOS!$C$4:$C$803,A1741,MOVIMIENTOS_COMPLEMENTOS!$D$4:$D$803,B1741,MOVIMIENTOS_COMPLEMENTOS!$E$4:$E$803,C1741,MOVIMIENTOS_COMPLEMENTOS!$G$4:$G$803,E1741,MOVIMIENTOS_COMPLEMENTOS!$H$4:$H$803,G1741,MOVIMIENTOS_COMPLEMENTOS!$B$4:$B$803,"DE CORTE")-SUMIFS(MOVIMIENTOS_COMPLEMENTOS!$I$4:$I$803,MOVIMIENTOS_COMPLEMENTOS!$C$4:$C$803,A1741,MOVIMIENTOS_COMPLEMENTOS!$D$4:$D$803,B1741,MOVIMIENTOS_COMPLEMENTOS!$E$4:$E$803,C1741,MOVIMIENTOS_COMPLEMENTOS!$G$4:$G$803,E1741,MOVIMIENTOS_COMPLEMENTOS!$H$4:$H$803,G1741,MOVIMIENTOS_COMPLEMENTOS!$B$4:$B$803,"SALIDA"),0)</f>
        <v>0</v>
      </c>
      <c r="I1741" s="102">
        <f t="array" ref="I1741">IFERROR(INDEX(PRECIOS_COMPLEMENTOS!$C$4:$F$17,MATCH(B1741&amp;"_"&amp;C1741,PRECIOS_COMPLEMENTOS!$H$4:$H$17,0),IF(OR(G1741="S",G1741="20cm"),1,IF(OR(G1741="M",G1741="25cm"),2,IF(OR(G1741="L",G1741="30cm"),3,IF(OR(G1741="XL",G1741="35cm"),4,0))))),0)</f>
        <v>0.3</v>
      </c>
      <c r="J1741" s="103">
        <f t="shared" si="1"/>
        <v>0</v>
      </c>
      <c r="K1741" s="104" t="str">
        <f>IF(H1741&lt;0,"ERROR",IF(H1741=0,"",IF(H1741&lt;CONFIG!$B$4,"CRÍTICO",IF(H1741&lt;CONFIG!$B$5,"BAJO","OK"))))</f>
        <v/>
      </c>
    </row>
    <row r="1742" ht="15.75" hidden="1" customHeight="1">
      <c r="A1742" s="90" t="str">
        <f>IF(CLIENTES!A7="","",CLIENTES!A7)</f>
        <v/>
      </c>
      <c r="B1742" s="90" t="s">
        <v>324</v>
      </c>
      <c r="C1742" s="91" t="s">
        <v>328</v>
      </c>
      <c r="D1742" s="109" t="s">
        <v>353</v>
      </c>
      <c r="E1742" s="67" t="str">
        <f>COLORES!A18</f>
        <v>P. Rosa</v>
      </c>
      <c r="F1742" s="67" t="str">
        <f>COLORES!B18</f>
        <v>CLARO</v>
      </c>
      <c r="G1742" s="90" t="s">
        <v>377</v>
      </c>
      <c r="H1742" s="100">
        <f>IFERROR(SUMIFS(MOVIMIENTOS_COMPLEMENTOS!$I$4:$I$803,MOVIMIENTOS_COMPLEMENTOS!$C$4:$C$803,A1742,MOVIMIENTOS_COMPLEMENTOS!$D$4:$D$803,B1742,MOVIMIENTOS_COMPLEMENTOS!$E$4:$E$803,C1742,MOVIMIENTOS_COMPLEMENTOS!$G$4:$G$803,E1742,MOVIMIENTOS_COMPLEMENTOS!$H$4:$H$803,G1742,MOVIMIENTOS_COMPLEMENTOS!$B$4:$B$803,"INGRESO")+SUMIFS(MOVIMIENTOS_COMPLEMENTOS!$I$4:$I$803,MOVIMIENTOS_COMPLEMENTOS!$C$4:$C$803,A1742,MOVIMIENTOS_COMPLEMENTOS!$D$4:$D$803,B1742,MOVIMIENTOS_COMPLEMENTOS!$E$4:$E$803,C1742,MOVIMIENTOS_COMPLEMENTOS!$G$4:$G$803,E1742,MOVIMIENTOS_COMPLEMENTOS!$H$4:$H$803,G1742,MOVIMIENTOS_COMPLEMENTOS!$B$4:$B$803,"DE CORTE")-SUMIFS(MOVIMIENTOS_COMPLEMENTOS!$I$4:$I$803,MOVIMIENTOS_COMPLEMENTOS!$C$4:$C$803,A1742,MOVIMIENTOS_COMPLEMENTOS!$D$4:$D$803,B1742,MOVIMIENTOS_COMPLEMENTOS!$E$4:$E$803,C1742,MOVIMIENTOS_COMPLEMENTOS!$G$4:$G$803,E1742,MOVIMIENTOS_COMPLEMENTOS!$H$4:$H$803,G1742,MOVIMIENTOS_COMPLEMENTOS!$B$4:$B$803,"SALIDA"),0)</f>
        <v>0</v>
      </c>
      <c r="I1742" s="102">
        <f t="array" ref="I1742">IFERROR(INDEX(PRECIOS_COMPLEMENTOS!$C$4:$F$17,MATCH(B1742&amp;"_"&amp;C1742,PRECIOS_COMPLEMENTOS!$H$4:$H$17,0),IF(OR(G1742="S",G1742="20cm"),1,IF(OR(G1742="M",G1742="25cm"),2,IF(OR(G1742="L",G1742="30cm"),3,IF(OR(G1742="XL",G1742="35cm"),4,0))))),0)</f>
        <v>0.3</v>
      </c>
      <c r="J1742" s="103">
        <f t="shared" si="1"/>
        <v>0</v>
      </c>
      <c r="K1742" s="104" t="str">
        <f>IF(H1742&lt;0,"ERROR",IF(H1742=0,"",IF(H1742&lt;CONFIG!$B$4,"CRÍTICO",IF(H1742&lt;CONFIG!$B$5,"BAJO","OK"))))</f>
        <v/>
      </c>
    </row>
    <row r="1743" ht="15.75" hidden="1" customHeight="1">
      <c r="A1743" s="90" t="str">
        <f>IF(CLIENTES!A7="","",CLIENTES!A7)</f>
        <v/>
      </c>
      <c r="B1743" s="90" t="s">
        <v>324</v>
      </c>
      <c r="C1743" s="91" t="s">
        <v>328</v>
      </c>
      <c r="D1743" s="109" t="s">
        <v>353</v>
      </c>
      <c r="E1743" s="67" t="str">
        <f>COLORES!A18</f>
        <v>P. Rosa</v>
      </c>
      <c r="F1743" s="67" t="str">
        <f>COLORES!B18</f>
        <v>CLARO</v>
      </c>
      <c r="G1743" s="90" t="s">
        <v>379</v>
      </c>
      <c r="H1743" s="100">
        <f>IFERROR(SUMIFS(MOVIMIENTOS_COMPLEMENTOS!$I$4:$I$803,MOVIMIENTOS_COMPLEMENTOS!$C$4:$C$803,A1743,MOVIMIENTOS_COMPLEMENTOS!$D$4:$D$803,B1743,MOVIMIENTOS_COMPLEMENTOS!$E$4:$E$803,C1743,MOVIMIENTOS_COMPLEMENTOS!$G$4:$G$803,E1743,MOVIMIENTOS_COMPLEMENTOS!$H$4:$H$803,G1743,MOVIMIENTOS_COMPLEMENTOS!$B$4:$B$803,"INGRESO")+SUMIFS(MOVIMIENTOS_COMPLEMENTOS!$I$4:$I$803,MOVIMIENTOS_COMPLEMENTOS!$C$4:$C$803,A1743,MOVIMIENTOS_COMPLEMENTOS!$D$4:$D$803,B1743,MOVIMIENTOS_COMPLEMENTOS!$E$4:$E$803,C1743,MOVIMIENTOS_COMPLEMENTOS!$G$4:$G$803,E1743,MOVIMIENTOS_COMPLEMENTOS!$H$4:$H$803,G1743,MOVIMIENTOS_COMPLEMENTOS!$B$4:$B$803,"DE CORTE")-SUMIFS(MOVIMIENTOS_COMPLEMENTOS!$I$4:$I$803,MOVIMIENTOS_COMPLEMENTOS!$C$4:$C$803,A1743,MOVIMIENTOS_COMPLEMENTOS!$D$4:$D$803,B1743,MOVIMIENTOS_COMPLEMENTOS!$E$4:$E$803,C1743,MOVIMIENTOS_COMPLEMENTOS!$G$4:$G$803,E1743,MOVIMIENTOS_COMPLEMENTOS!$H$4:$H$803,G1743,MOVIMIENTOS_COMPLEMENTOS!$B$4:$B$803,"SALIDA"),0)</f>
        <v>0</v>
      </c>
      <c r="I1743" s="102">
        <f t="array" ref="I1743">IFERROR(INDEX(PRECIOS_COMPLEMENTOS!$C$4:$F$17,MATCH(B1743&amp;"_"&amp;C1743,PRECIOS_COMPLEMENTOS!$H$4:$H$17,0),IF(OR(G1743="S",G1743="20cm"),1,IF(OR(G1743="M",G1743="25cm"),2,IF(OR(G1743="L",G1743="30cm"),3,IF(OR(G1743="XL",G1743="35cm"),4,0))))),0)</f>
        <v>0.3</v>
      </c>
      <c r="J1743" s="103">
        <f t="shared" si="1"/>
        <v>0</v>
      </c>
      <c r="K1743" s="104" t="str">
        <f>IF(H1743&lt;0,"ERROR",IF(H1743=0,"",IF(H1743&lt;CONFIG!$B$4,"CRÍTICO",IF(H1743&lt;CONFIG!$B$5,"BAJO","OK"))))</f>
        <v/>
      </c>
    </row>
    <row r="1744" ht="15.75" hidden="1" customHeight="1">
      <c r="A1744" s="90" t="str">
        <f>IF(CLIENTES!A7="","",CLIENTES!A7)</f>
        <v/>
      </c>
      <c r="B1744" s="90" t="s">
        <v>324</v>
      </c>
      <c r="C1744" s="91" t="s">
        <v>328</v>
      </c>
      <c r="D1744" s="109" t="s">
        <v>353</v>
      </c>
      <c r="E1744" s="67" t="str">
        <f>COLORES!A19</f>
        <v/>
      </c>
      <c r="F1744" s="67" t="str">
        <f>COLORES!B19</f>
        <v/>
      </c>
      <c r="G1744" s="90" t="s">
        <v>378</v>
      </c>
      <c r="H1744" s="100">
        <f>IFERROR(SUMIFS(MOVIMIENTOS_COMPLEMENTOS!$I$4:$I$803,MOVIMIENTOS_COMPLEMENTOS!$C$4:$C$803,A1744,MOVIMIENTOS_COMPLEMENTOS!$D$4:$D$803,B1744,MOVIMIENTOS_COMPLEMENTOS!$E$4:$E$803,C1744,MOVIMIENTOS_COMPLEMENTOS!$G$4:$G$803,E1744,MOVIMIENTOS_COMPLEMENTOS!$H$4:$H$803,G1744,MOVIMIENTOS_COMPLEMENTOS!$B$4:$B$803,"INGRESO")+SUMIFS(MOVIMIENTOS_COMPLEMENTOS!$I$4:$I$803,MOVIMIENTOS_COMPLEMENTOS!$C$4:$C$803,A1744,MOVIMIENTOS_COMPLEMENTOS!$D$4:$D$803,B1744,MOVIMIENTOS_COMPLEMENTOS!$E$4:$E$803,C1744,MOVIMIENTOS_COMPLEMENTOS!$G$4:$G$803,E1744,MOVIMIENTOS_COMPLEMENTOS!$H$4:$H$803,G1744,MOVIMIENTOS_COMPLEMENTOS!$B$4:$B$803,"DE CORTE")-SUMIFS(MOVIMIENTOS_COMPLEMENTOS!$I$4:$I$803,MOVIMIENTOS_COMPLEMENTOS!$C$4:$C$803,A1744,MOVIMIENTOS_COMPLEMENTOS!$D$4:$D$803,B1744,MOVIMIENTOS_COMPLEMENTOS!$E$4:$E$803,C1744,MOVIMIENTOS_COMPLEMENTOS!$G$4:$G$803,E1744,MOVIMIENTOS_COMPLEMENTOS!$H$4:$H$803,G1744,MOVIMIENTOS_COMPLEMENTOS!$B$4:$B$803,"SALIDA"),0)</f>
        <v>0</v>
      </c>
      <c r="I1744" s="102">
        <f t="array" ref="I1744">IFERROR(INDEX(PRECIOS_COMPLEMENTOS!$C$4:$F$17,MATCH(B1744&amp;"_"&amp;C1744,PRECIOS_COMPLEMENTOS!$H$4:$H$17,0),IF(OR(G1744="S",G1744="20cm"),1,IF(OR(G1744="M",G1744="25cm"),2,IF(OR(G1744="L",G1744="30cm"),3,IF(OR(G1744="XL",G1744="35cm"),4,0))))),0)</f>
        <v>0.3</v>
      </c>
      <c r="J1744" s="103">
        <f t="shared" si="1"/>
        <v>0</v>
      </c>
      <c r="K1744" s="104" t="str">
        <f>IF(H1744&lt;0,"ERROR",IF(H1744=0,"",IF(H1744&lt;CONFIG!$B$4,"CRÍTICO",IF(H1744&lt;CONFIG!$B$5,"BAJO","OK"))))</f>
        <v/>
      </c>
    </row>
    <row r="1745" ht="15.75" hidden="1" customHeight="1">
      <c r="A1745" s="90" t="str">
        <f>IF(CLIENTES!A7="","",CLIENTES!A7)</f>
        <v/>
      </c>
      <c r="B1745" s="90" t="s">
        <v>324</v>
      </c>
      <c r="C1745" s="91" t="s">
        <v>328</v>
      </c>
      <c r="D1745" s="109" t="s">
        <v>353</v>
      </c>
      <c r="E1745" s="67" t="str">
        <f>COLORES!A19</f>
        <v/>
      </c>
      <c r="F1745" s="67" t="str">
        <f>COLORES!B19</f>
        <v/>
      </c>
      <c r="G1745" s="90" t="s">
        <v>376</v>
      </c>
      <c r="H1745" s="100">
        <f>IFERROR(SUMIFS(MOVIMIENTOS_COMPLEMENTOS!$I$4:$I$803,MOVIMIENTOS_COMPLEMENTOS!$C$4:$C$803,A1745,MOVIMIENTOS_COMPLEMENTOS!$D$4:$D$803,B1745,MOVIMIENTOS_COMPLEMENTOS!$E$4:$E$803,C1745,MOVIMIENTOS_COMPLEMENTOS!$G$4:$G$803,E1745,MOVIMIENTOS_COMPLEMENTOS!$H$4:$H$803,G1745,MOVIMIENTOS_COMPLEMENTOS!$B$4:$B$803,"INGRESO")+SUMIFS(MOVIMIENTOS_COMPLEMENTOS!$I$4:$I$803,MOVIMIENTOS_COMPLEMENTOS!$C$4:$C$803,A1745,MOVIMIENTOS_COMPLEMENTOS!$D$4:$D$803,B1745,MOVIMIENTOS_COMPLEMENTOS!$E$4:$E$803,C1745,MOVIMIENTOS_COMPLEMENTOS!$G$4:$G$803,E1745,MOVIMIENTOS_COMPLEMENTOS!$H$4:$H$803,G1745,MOVIMIENTOS_COMPLEMENTOS!$B$4:$B$803,"DE CORTE")-SUMIFS(MOVIMIENTOS_COMPLEMENTOS!$I$4:$I$803,MOVIMIENTOS_COMPLEMENTOS!$C$4:$C$803,A1745,MOVIMIENTOS_COMPLEMENTOS!$D$4:$D$803,B1745,MOVIMIENTOS_COMPLEMENTOS!$E$4:$E$803,C1745,MOVIMIENTOS_COMPLEMENTOS!$G$4:$G$803,E1745,MOVIMIENTOS_COMPLEMENTOS!$H$4:$H$803,G1745,MOVIMIENTOS_COMPLEMENTOS!$B$4:$B$803,"SALIDA"),0)</f>
        <v>0</v>
      </c>
      <c r="I1745" s="102">
        <f t="array" ref="I1745">IFERROR(INDEX(PRECIOS_COMPLEMENTOS!$C$4:$F$17,MATCH(B1745&amp;"_"&amp;C1745,PRECIOS_COMPLEMENTOS!$H$4:$H$17,0),IF(OR(G1745="S",G1745="20cm"),1,IF(OR(G1745="M",G1745="25cm"),2,IF(OR(G1745="L",G1745="30cm"),3,IF(OR(G1745="XL",G1745="35cm"),4,0))))),0)</f>
        <v>0.3</v>
      </c>
      <c r="J1745" s="103">
        <f t="shared" si="1"/>
        <v>0</v>
      </c>
      <c r="K1745" s="104" t="str">
        <f>IF(H1745&lt;0,"ERROR",IF(H1745=0,"",IF(H1745&lt;CONFIG!$B$4,"CRÍTICO",IF(H1745&lt;CONFIG!$B$5,"BAJO","OK"))))</f>
        <v/>
      </c>
    </row>
    <row r="1746" ht="15.75" hidden="1" customHeight="1">
      <c r="A1746" s="90" t="str">
        <f>IF(CLIENTES!A7="","",CLIENTES!A7)</f>
        <v/>
      </c>
      <c r="B1746" s="90" t="s">
        <v>324</v>
      </c>
      <c r="C1746" s="91" t="s">
        <v>328</v>
      </c>
      <c r="D1746" s="109" t="s">
        <v>353</v>
      </c>
      <c r="E1746" s="67" t="str">
        <f>COLORES!A19</f>
        <v/>
      </c>
      <c r="F1746" s="67" t="str">
        <f>COLORES!B19</f>
        <v/>
      </c>
      <c r="G1746" s="90" t="s">
        <v>377</v>
      </c>
      <c r="H1746" s="100">
        <f>IFERROR(SUMIFS(MOVIMIENTOS_COMPLEMENTOS!$I$4:$I$803,MOVIMIENTOS_COMPLEMENTOS!$C$4:$C$803,A1746,MOVIMIENTOS_COMPLEMENTOS!$D$4:$D$803,B1746,MOVIMIENTOS_COMPLEMENTOS!$E$4:$E$803,C1746,MOVIMIENTOS_COMPLEMENTOS!$G$4:$G$803,E1746,MOVIMIENTOS_COMPLEMENTOS!$H$4:$H$803,G1746,MOVIMIENTOS_COMPLEMENTOS!$B$4:$B$803,"INGRESO")+SUMIFS(MOVIMIENTOS_COMPLEMENTOS!$I$4:$I$803,MOVIMIENTOS_COMPLEMENTOS!$C$4:$C$803,A1746,MOVIMIENTOS_COMPLEMENTOS!$D$4:$D$803,B1746,MOVIMIENTOS_COMPLEMENTOS!$E$4:$E$803,C1746,MOVIMIENTOS_COMPLEMENTOS!$G$4:$G$803,E1746,MOVIMIENTOS_COMPLEMENTOS!$H$4:$H$803,G1746,MOVIMIENTOS_COMPLEMENTOS!$B$4:$B$803,"DE CORTE")-SUMIFS(MOVIMIENTOS_COMPLEMENTOS!$I$4:$I$803,MOVIMIENTOS_COMPLEMENTOS!$C$4:$C$803,A1746,MOVIMIENTOS_COMPLEMENTOS!$D$4:$D$803,B1746,MOVIMIENTOS_COMPLEMENTOS!$E$4:$E$803,C1746,MOVIMIENTOS_COMPLEMENTOS!$G$4:$G$803,E1746,MOVIMIENTOS_COMPLEMENTOS!$H$4:$H$803,G1746,MOVIMIENTOS_COMPLEMENTOS!$B$4:$B$803,"SALIDA"),0)</f>
        <v>0</v>
      </c>
      <c r="I1746" s="102">
        <f t="array" ref="I1746">IFERROR(INDEX(PRECIOS_COMPLEMENTOS!$C$4:$F$17,MATCH(B1746&amp;"_"&amp;C1746,PRECIOS_COMPLEMENTOS!$H$4:$H$17,0),IF(OR(G1746="S",G1746="20cm"),1,IF(OR(G1746="M",G1746="25cm"),2,IF(OR(G1746="L",G1746="30cm"),3,IF(OR(G1746="XL",G1746="35cm"),4,0))))),0)</f>
        <v>0.3</v>
      </c>
      <c r="J1746" s="103">
        <f t="shared" si="1"/>
        <v>0</v>
      </c>
      <c r="K1746" s="104" t="str">
        <f>IF(H1746&lt;0,"ERROR",IF(H1746=0,"",IF(H1746&lt;CONFIG!$B$4,"CRÍTICO",IF(H1746&lt;CONFIG!$B$5,"BAJO","OK"))))</f>
        <v/>
      </c>
    </row>
    <row r="1747" ht="15.75" hidden="1" customHeight="1">
      <c r="A1747" s="90" t="str">
        <f>IF(CLIENTES!A7="","",CLIENTES!A7)</f>
        <v/>
      </c>
      <c r="B1747" s="90" t="s">
        <v>324</v>
      </c>
      <c r="C1747" s="91" t="s">
        <v>328</v>
      </c>
      <c r="D1747" s="109" t="s">
        <v>353</v>
      </c>
      <c r="E1747" s="67" t="str">
        <f>COLORES!A19</f>
        <v/>
      </c>
      <c r="F1747" s="67" t="str">
        <f>COLORES!B19</f>
        <v/>
      </c>
      <c r="G1747" s="90" t="s">
        <v>379</v>
      </c>
      <c r="H1747" s="100">
        <f>IFERROR(SUMIFS(MOVIMIENTOS_COMPLEMENTOS!$I$4:$I$803,MOVIMIENTOS_COMPLEMENTOS!$C$4:$C$803,A1747,MOVIMIENTOS_COMPLEMENTOS!$D$4:$D$803,B1747,MOVIMIENTOS_COMPLEMENTOS!$E$4:$E$803,C1747,MOVIMIENTOS_COMPLEMENTOS!$G$4:$G$803,E1747,MOVIMIENTOS_COMPLEMENTOS!$H$4:$H$803,G1747,MOVIMIENTOS_COMPLEMENTOS!$B$4:$B$803,"INGRESO")+SUMIFS(MOVIMIENTOS_COMPLEMENTOS!$I$4:$I$803,MOVIMIENTOS_COMPLEMENTOS!$C$4:$C$803,A1747,MOVIMIENTOS_COMPLEMENTOS!$D$4:$D$803,B1747,MOVIMIENTOS_COMPLEMENTOS!$E$4:$E$803,C1747,MOVIMIENTOS_COMPLEMENTOS!$G$4:$G$803,E1747,MOVIMIENTOS_COMPLEMENTOS!$H$4:$H$803,G1747,MOVIMIENTOS_COMPLEMENTOS!$B$4:$B$803,"DE CORTE")-SUMIFS(MOVIMIENTOS_COMPLEMENTOS!$I$4:$I$803,MOVIMIENTOS_COMPLEMENTOS!$C$4:$C$803,A1747,MOVIMIENTOS_COMPLEMENTOS!$D$4:$D$803,B1747,MOVIMIENTOS_COMPLEMENTOS!$E$4:$E$803,C1747,MOVIMIENTOS_COMPLEMENTOS!$G$4:$G$803,E1747,MOVIMIENTOS_COMPLEMENTOS!$H$4:$H$803,G1747,MOVIMIENTOS_COMPLEMENTOS!$B$4:$B$803,"SALIDA"),0)</f>
        <v>0</v>
      </c>
      <c r="I1747" s="102">
        <f t="array" ref="I1747">IFERROR(INDEX(PRECIOS_COMPLEMENTOS!$C$4:$F$17,MATCH(B1747&amp;"_"&amp;C1747,PRECIOS_COMPLEMENTOS!$H$4:$H$17,0),IF(OR(G1747="S",G1747="20cm"),1,IF(OR(G1747="M",G1747="25cm"),2,IF(OR(G1747="L",G1747="30cm"),3,IF(OR(G1747="XL",G1747="35cm"),4,0))))),0)</f>
        <v>0.3</v>
      </c>
      <c r="J1747" s="103">
        <f t="shared" si="1"/>
        <v>0</v>
      </c>
      <c r="K1747" s="104" t="str">
        <f>IF(H1747&lt;0,"ERROR",IF(H1747=0,"",IF(H1747&lt;CONFIG!$B$4,"CRÍTICO",IF(H1747&lt;CONFIG!$B$5,"BAJO","OK"))))</f>
        <v/>
      </c>
    </row>
    <row r="1748" ht="15.75" hidden="1" customHeight="1">
      <c r="A1748" s="90" t="str">
        <f>IF(CLIENTES!A7="","",CLIENTES!A7)</f>
        <v/>
      </c>
      <c r="B1748" s="90" t="s">
        <v>324</v>
      </c>
      <c r="C1748" s="91" t="s">
        <v>328</v>
      </c>
      <c r="D1748" s="109" t="s">
        <v>353</v>
      </c>
      <c r="E1748" s="67" t="str">
        <f>COLORES!A20</f>
        <v/>
      </c>
      <c r="F1748" s="67" t="str">
        <f>COLORES!B20</f>
        <v/>
      </c>
      <c r="G1748" s="90" t="s">
        <v>378</v>
      </c>
      <c r="H1748" s="100">
        <f>IFERROR(SUMIFS(MOVIMIENTOS_COMPLEMENTOS!$I$4:$I$803,MOVIMIENTOS_COMPLEMENTOS!$C$4:$C$803,A1748,MOVIMIENTOS_COMPLEMENTOS!$D$4:$D$803,B1748,MOVIMIENTOS_COMPLEMENTOS!$E$4:$E$803,C1748,MOVIMIENTOS_COMPLEMENTOS!$G$4:$G$803,E1748,MOVIMIENTOS_COMPLEMENTOS!$H$4:$H$803,G1748,MOVIMIENTOS_COMPLEMENTOS!$B$4:$B$803,"INGRESO")+SUMIFS(MOVIMIENTOS_COMPLEMENTOS!$I$4:$I$803,MOVIMIENTOS_COMPLEMENTOS!$C$4:$C$803,A1748,MOVIMIENTOS_COMPLEMENTOS!$D$4:$D$803,B1748,MOVIMIENTOS_COMPLEMENTOS!$E$4:$E$803,C1748,MOVIMIENTOS_COMPLEMENTOS!$G$4:$G$803,E1748,MOVIMIENTOS_COMPLEMENTOS!$H$4:$H$803,G1748,MOVIMIENTOS_COMPLEMENTOS!$B$4:$B$803,"DE CORTE")-SUMIFS(MOVIMIENTOS_COMPLEMENTOS!$I$4:$I$803,MOVIMIENTOS_COMPLEMENTOS!$C$4:$C$803,A1748,MOVIMIENTOS_COMPLEMENTOS!$D$4:$D$803,B1748,MOVIMIENTOS_COMPLEMENTOS!$E$4:$E$803,C1748,MOVIMIENTOS_COMPLEMENTOS!$G$4:$G$803,E1748,MOVIMIENTOS_COMPLEMENTOS!$H$4:$H$803,G1748,MOVIMIENTOS_COMPLEMENTOS!$B$4:$B$803,"SALIDA"),0)</f>
        <v>0</v>
      </c>
      <c r="I1748" s="102">
        <f t="array" ref="I1748">IFERROR(INDEX(PRECIOS_COMPLEMENTOS!$C$4:$F$17,MATCH(B1748&amp;"_"&amp;C1748,PRECIOS_COMPLEMENTOS!$H$4:$H$17,0),IF(OR(G1748="S",G1748="20cm"),1,IF(OR(G1748="M",G1748="25cm"),2,IF(OR(G1748="L",G1748="30cm"),3,IF(OR(G1748="XL",G1748="35cm"),4,0))))),0)</f>
        <v>0.3</v>
      </c>
      <c r="J1748" s="103">
        <f t="shared" si="1"/>
        <v>0</v>
      </c>
      <c r="K1748" s="104" t="str">
        <f>IF(H1748&lt;0,"ERROR",IF(H1748=0,"",IF(H1748&lt;CONFIG!$B$4,"CRÍTICO",IF(H1748&lt;CONFIG!$B$5,"BAJO","OK"))))</f>
        <v/>
      </c>
    </row>
    <row r="1749" ht="15.75" hidden="1" customHeight="1">
      <c r="A1749" s="90" t="str">
        <f>IF(CLIENTES!A7="","",CLIENTES!A7)</f>
        <v/>
      </c>
      <c r="B1749" s="90" t="s">
        <v>324</v>
      </c>
      <c r="C1749" s="91" t="s">
        <v>328</v>
      </c>
      <c r="D1749" s="109" t="s">
        <v>353</v>
      </c>
      <c r="E1749" s="67" t="str">
        <f>COLORES!A20</f>
        <v/>
      </c>
      <c r="F1749" s="67" t="str">
        <f>COLORES!B20</f>
        <v/>
      </c>
      <c r="G1749" s="90" t="s">
        <v>376</v>
      </c>
      <c r="H1749" s="100">
        <f>IFERROR(SUMIFS(MOVIMIENTOS_COMPLEMENTOS!$I$4:$I$803,MOVIMIENTOS_COMPLEMENTOS!$C$4:$C$803,A1749,MOVIMIENTOS_COMPLEMENTOS!$D$4:$D$803,B1749,MOVIMIENTOS_COMPLEMENTOS!$E$4:$E$803,C1749,MOVIMIENTOS_COMPLEMENTOS!$G$4:$G$803,E1749,MOVIMIENTOS_COMPLEMENTOS!$H$4:$H$803,G1749,MOVIMIENTOS_COMPLEMENTOS!$B$4:$B$803,"INGRESO")+SUMIFS(MOVIMIENTOS_COMPLEMENTOS!$I$4:$I$803,MOVIMIENTOS_COMPLEMENTOS!$C$4:$C$803,A1749,MOVIMIENTOS_COMPLEMENTOS!$D$4:$D$803,B1749,MOVIMIENTOS_COMPLEMENTOS!$E$4:$E$803,C1749,MOVIMIENTOS_COMPLEMENTOS!$G$4:$G$803,E1749,MOVIMIENTOS_COMPLEMENTOS!$H$4:$H$803,G1749,MOVIMIENTOS_COMPLEMENTOS!$B$4:$B$803,"DE CORTE")-SUMIFS(MOVIMIENTOS_COMPLEMENTOS!$I$4:$I$803,MOVIMIENTOS_COMPLEMENTOS!$C$4:$C$803,A1749,MOVIMIENTOS_COMPLEMENTOS!$D$4:$D$803,B1749,MOVIMIENTOS_COMPLEMENTOS!$E$4:$E$803,C1749,MOVIMIENTOS_COMPLEMENTOS!$G$4:$G$803,E1749,MOVIMIENTOS_COMPLEMENTOS!$H$4:$H$803,G1749,MOVIMIENTOS_COMPLEMENTOS!$B$4:$B$803,"SALIDA"),0)</f>
        <v>0</v>
      </c>
      <c r="I1749" s="102">
        <f t="array" ref="I1749">IFERROR(INDEX(PRECIOS_COMPLEMENTOS!$C$4:$F$17,MATCH(B1749&amp;"_"&amp;C1749,PRECIOS_COMPLEMENTOS!$H$4:$H$17,0),IF(OR(G1749="S",G1749="20cm"),1,IF(OR(G1749="M",G1749="25cm"),2,IF(OR(G1749="L",G1749="30cm"),3,IF(OR(G1749="XL",G1749="35cm"),4,0))))),0)</f>
        <v>0.3</v>
      </c>
      <c r="J1749" s="103">
        <f t="shared" si="1"/>
        <v>0</v>
      </c>
      <c r="K1749" s="104" t="str">
        <f>IF(H1749&lt;0,"ERROR",IF(H1749=0,"",IF(H1749&lt;CONFIG!$B$4,"CRÍTICO",IF(H1749&lt;CONFIG!$B$5,"BAJO","OK"))))</f>
        <v/>
      </c>
    </row>
    <row r="1750" ht="15.75" hidden="1" customHeight="1">
      <c r="A1750" s="90" t="str">
        <f>IF(CLIENTES!A7="","",CLIENTES!A7)</f>
        <v/>
      </c>
      <c r="B1750" s="90" t="s">
        <v>324</v>
      </c>
      <c r="C1750" s="91" t="s">
        <v>328</v>
      </c>
      <c r="D1750" s="109" t="s">
        <v>353</v>
      </c>
      <c r="E1750" s="67" t="str">
        <f>COLORES!A20</f>
        <v/>
      </c>
      <c r="F1750" s="67" t="str">
        <f>COLORES!B20</f>
        <v/>
      </c>
      <c r="G1750" s="90" t="s">
        <v>377</v>
      </c>
      <c r="H1750" s="100">
        <f>IFERROR(SUMIFS(MOVIMIENTOS_COMPLEMENTOS!$I$4:$I$803,MOVIMIENTOS_COMPLEMENTOS!$C$4:$C$803,A1750,MOVIMIENTOS_COMPLEMENTOS!$D$4:$D$803,B1750,MOVIMIENTOS_COMPLEMENTOS!$E$4:$E$803,C1750,MOVIMIENTOS_COMPLEMENTOS!$G$4:$G$803,E1750,MOVIMIENTOS_COMPLEMENTOS!$H$4:$H$803,G1750,MOVIMIENTOS_COMPLEMENTOS!$B$4:$B$803,"INGRESO")+SUMIFS(MOVIMIENTOS_COMPLEMENTOS!$I$4:$I$803,MOVIMIENTOS_COMPLEMENTOS!$C$4:$C$803,A1750,MOVIMIENTOS_COMPLEMENTOS!$D$4:$D$803,B1750,MOVIMIENTOS_COMPLEMENTOS!$E$4:$E$803,C1750,MOVIMIENTOS_COMPLEMENTOS!$G$4:$G$803,E1750,MOVIMIENTOS_COMPLEMENTOS!$H$4:$H$803,G1750,MOVIMIENTOS_COMPLEMENTOS!$B$4:$B$803,"DE CORTE")-SUMIFS(MOVIMIENTOS_COMPLEMENTOS!$I$4:$I$803,MOVIMIENTOS_COMPLEMENTOS!$C$4:$C$803,A1750,MOVIMIENTOS_COMPLEMENTOS!$D$4:$D$803,B1750,MOVIMIENTOS_COMPLEMENTOS!$E$4:$E$803,C1750,MOVIMIENTOS_COMPLEMENTOS!$G$4:$G$803,E1750,MOVIMIENTOS_COMPLEMENTOS!$H$4:$H$803,G1750,MOVIMIENTOS_COMPLEMENTOS!$B$4:$B$803,"SALIDA"),0)</f>
        <v>0</v>
      </c>
      <c r="I1750" s="102">
        <f t="array" ref="I1750">IFERROR(INDEX(PRECIOS_COMPLEMENTOS!$C$4:$F$17,MATCH(B1750&amp;"_"&amp;C1750,PRECIOS_COMPLEMENTOS!$H$4:$H$17,0),IF(OR(G1750="S",G1750="20cm"),1,IF(OR(G1750="M",G1750="25cm"),2,IF(OR(G1750="L",G1750="30cm"),3,IF(OR(G1750="XL",G1750="35cm"),4,0))))),0)</f>
        <v>0.3</v>
      </c>
      <c r="J1750" s="103">
        <f t="shared" si="1"/>
        <v>0</v>
      </c>
      <c r="K1750" s="104" t="str">
        <f>IF(H1750&lt;0,"ERROR",IF(H1750=0,"",IF(H1750&lt;CONFIG!$B$4,"CRÍTICO",IF(H1750&lt;CONFIG!$B$5,"BAJO","OK"))))</f>
        <v/>
      </c>
    </row>
    <row r="1751" ht="15.75" hidden="1" customHeight="1">
      <c r="A1751" s="90" t="str">
        <f>IF(CLIENTES!A7="","",CLIENTES!A7)</f>
        <v/>
      </c>
      <c r="B1751" s="90" t="s">
        <v>324</v>
      </c>
      <c r="C1751" s="91" t="s">
        <v>328</v>
      </c>
      <c r="D1751" s="109" t="s">
        <v>353</v>
      </c>
      <c r="E1751" s="67" t="str">
        <f>COLORES!A20</f>
        <v/>
      </c>
      <c r="F1751" s="67" t="str">
        <f>COLORES!B20</f>
        <v/>
      </c>
      <c r="G1751" s="90" t="s">
        <v>379</v>
      </c>
      <c r="H1751" s="100">
        <f>IFERROR(SUMIFS(MOVIMIENTOS_COMPLEMENTOS!$I$4:$I$803,MOVIMIENTOS_COMPLEMENTOS!$C$4:$C$803,A1751,MOVIMIENTOS_COMPLEMENTOS!$D$4:$D$803,B1751,MOVIMIENTOS_COMPLEMENTOS!$E$4:$E$803,C1751,MOVIMIENTOS_COMPLEMENTOS!$G$4:$G$803,E1751,MOVIMIENTOS_COMPLEMENTOS!$H$4:$H$803,G1751,MOVIMIENTOS_COMPLEMENTOS!$B$4:$B$803,"INGRESO")+SUMIFS(MOVIMIENTOS_COMPLEMENTOS!$I$4:$I$803,MOVIMIENTOS_COMPLEMENTOS!$C$4:$C$803,A1751,MOVIMIENTOS_COMPLEMENTOS!$D$4:$D$803,B1751,MOVIMIENTOS_COMPLEMENTOS!$E$4:$E$803,C1751,MOVIMIENTOS_COMPLEMENTOS!$G$4:$G$803,E1751,MOVIMIENTOS_COMPLEMENTOS!$H$4:$H$803,G1751,MOVIMIENTOS_COMPLEMENTOS!$B$4:$B$803,"DE CORTE")-SUMIFS(MOVIMIENTOS_COMPLEMENTOS!$I$4:$I$803,MOVIMIENTOS_COMPLEMENTOS!$C$4:$C$803,A1751,MOVIMIENTOS_COMPLEMENTOS!$D$4:$D$803,B1751,MOVIMIENTOS_COMPLEMENTOS!$E$4:$E$803,C1751,MOVIMIENTOS_COMPLEMENTOS!$G$4:$G$803,E1751,MOVIMIENTOS_COMPLEMENTOS!$H$4:$H$803,G1751,MOVIMIENTOS_COMPLEMENTOS!$B$4:$B$803,"SALIDA"),0)</f>
        <v>0</v>
      </c>
      <c r="I1751" s="102">
        <f t="array" ref="I1751">IFERROR(INDEX(PRECIOS_COMPLEMENTOS!$C$4:$F$17,MATCH(B1751&amp;"_"&amp;C1751,PRECIOS_COMPLEMENTOS!$H$4:$H$17,0),IF(OR(G1751="S",G1751="20cm"),1,IF(OR(G1751="M",G1751="25cm"),2,IF(OR(G1751="L",G1751="30cm"),3,IF(OR(G1751="XL",G1751="35cm"),4,0))))),0)</f>
        <v>0.3</v>
      </c>
      <c r="J1751" s="103">
        <f t="shared" si="1"/>
        <v>0</v>
      </c>
      <c r="K1751" s="104" t="str">
        <f>IF(H1751&lt;0,"ERROR",IF(H1751=0,"",IF(H1751&lt;CONFIG!$B$4,"CRÍTICO",IF(H1751&lt;CONFIG!$B$5,"BAJO","OK"))))</f>
        <v/>
      </c>
    </row>
    <row r="1752" ht="15.75" hidden="1" customHeight="1">
      <c r="A1752" s="90" t="str">
        <f>IF(CLIENTES!A7="","",CLIENTES!A7)</f>
        <v/>
      </c>
      <c r="B1752" s="90" t="s">
        <v>324</v>
      </c>
      <c r="C1752" s="91" t="s">
        <v>328</v>
      </c>
      <c r="D1752" s="109" t="s">
        <v>353</v>
      </c>
      <c r="E1752" s="67" t="str">
        <f>COLORES!A21</f>
        <v/>
      </c>
      <c r="F1752" s="67" t="str">
        <f>COLORES!B21</f>
        <v/>
      </c>
      <c r="G1752" s="90" t="s">
        <v>378</v>
      </c>
      <c r="H1752" s="100">
        <f>IFERROR(SUMIFS(MOVIMIENTOS_COMPLEMENTOS!$I$4:$I$803,MOVIMIENTOS_COMPLEMENTOS!$C$4:$C$803,A1752,MOVIMIENTOS_COMPLEMENTOS!$D$4:$D$803,B1752,MOVIMIENTOS_COMPLEMENTOS!$E$4:$E$803,C1752,MOVIMIENTOS_COMPLEMENTOS!$G$4:$G$803,E1752,MOVIMIENTOS_COMPLEMENTOS!$H$4:$H$803,G1752,MOVIMIENTOS_COMPLEMENTOS!$B$4:$B$803,"INGRESO")+SUMIFS(MOVIMIENTOS_COMPLEMENTOS!$I$4:$I$803,MOVIMIENTOS_COMPLEMENTOS!$C$4:$C$803,A1752,MOVIMIENTOS_COMPLEMENTOS!$D$4:$D$803,B1752,MOVIMIENTOS_COMPLEMENTOS!$E$4:$E$803,C1752,MOVIMIENTOS_COMPLEMENTOS!$G$4:$G$803,E1752,MOVIMIENTOS_COMPLEMENTOS!$H$4:$H$803,G1752,MOVIMIENTOS_COMPLEMENTOS!$B$4:$B$803,"DE CORTE")-SUMIFS(MOVIMIENTOS_COMPLEMENTOS!$I$4:$I$803,MOVIMIENTOS_COMPLEMENTOS!$C$4:$C$803,A1752,MOVIMIENTOS_COMPLEMENTOS!$D$4:$D$803,B1752,MOVIMIENTOS_COMPLEMENTOS!$E$4:$E$803,C1752,MOVIMIENTOS_COMPLEMENTOS!$G$4:$G$803,E1752,MOVIMIENTOS_COMPLEMENTOS!$H$4:$H$803,G1752,MOVIMIENTOS_COMPLEMENTOS!$B$4:$B$803,"SALIDA"),0)</f>
        <v>0</v>
      </c>
      <c r="I1752" s="102">
        <f t="array" ref="I1752">IFERROR(INDEX(PRECIOS_COMPLEMENTOS!$C$4:$F$17,MATCH(B1752&amp;"_"&amp;C1752,PRECIOS_COMPLEMENTOS!$H$4:$H$17,0),IF(OR(G1752="S",G1752="20cm"),1,IF(OR(G1752="M",G1752="25cm"),2,IF(OR(G1752="L",G1752="30cm"),3,IF(OR(G1752="XL",G1752="35cm"),4,0))))),0)</f>
        <v>0.3</v>
      </c>
      <c r="J1752" s="103">
        <f t="shared" si="1"/>
        <v>0</v>
      </c>
      <c r="K1752" s="104" t="str">
        <f>IF(H1752&lt;0,"ERROR",IF(H1752=0,"",IF(H1752&lt;CONFIG!$B$4,"CRÍTICO",IF(H1752&lt;CONFIG!$B$5,"BAJO","OK"))))</f>
        <v/>
      </c>
    </row>
    <row r="1753" ht="15.75" hidden="1" customHeight="1">
      <c r="A1753" s="90" t="str">
        <f>IF(CLIENTES!A7="","",CLIENTES!A7)</f>
        <v/>
      </c>
      <c r="B1753" s="90" t="s">
        <v>324</v>
      </c>
      <c r="C1753" s="91" t="s">
        <v>328</v>
      </c>
      <c r="D1753" s="109" t="s">
        <v>353</v>
      </c>
      <c r="E1753" s="67" t="str">
        <f>COLORES!A21</f>
        <v/>
      </c>
      <c r="F1753" s="67" t="str">
        <f>COLORES!B21</f>
        <v/>
      </c>
      <c r="G1753" s="90" t="s">
        <v>376</v>
      </c>
      <c r="H1753" s="100">
        <f>IFERROR(SUMIFS(MOVIMIENTOS_COMPLEMENTOS!$I$4:$I$803,MOVIMIENTOS_COMPLEMENTOS!$C$4:$C$803,A1753,MOVIMIENTOS_COMPLEMENTOS!$D$4:$D$803,B1753,MOVIMIENTOS_COMPLEMENTOS!$E$4:$E$803,C1753,MOVIMIENTOS_COMPLEMENTOS!$G$4:$G$803,E1753,MOVIMIENTOS_COMPLEMENTOS!$H$4:$H$803,G1753,MOVIMIENTOS_COMPLEMENTOS!$B$4:$B$803,"INGRESO")+SUMIFS(MOVIMIENTOS_COMPLEMENTOS!$I$4:$I$803,MOVIMIENTOS_COMPLEMENTOS!$C$4:$C$803,A1753,MOVIMIENTOS_COMPLEMENTOS!$D$4:$D$803,B1753,MOVIMIENTOS_COMPLEMENTOS!$E$4:$E$803,C1753,MOVIMIENTOS_COMPLEMENTOS!$G$4:$G$803,E1753,MOVIMIENTOS_COMPLEMENTOS!$H$4:$H$803,G1753,MOVIMIENTOS_COMPLEMENTOS!$B$4:$B$803,"DE CORTE")-SUMIFS(MOVIMIENTOS_COMPLEMENTOS!$I$4:$I$803,MOVIMIENTOS_COMPLEMENTOS!$C$4:$C$803,A1753,MOVIMIENTOS_COMPLEMENTOS!$D$4:$D$803,B1753,MOVIMIENTOS_COMPLEMENTOS!$E$4:$E$803,C1753,MOVIMIENTOS_COMPLEMENTOS!$G$4:$G$803,E1753,MOVIMIENTOS_COMPLEMENTOS!$H$4:$H$803,G1753,MOVIMIENTOS_COMPLEMENTOS!$B$4:$B$803,"SALIDA"),0)</f>
        <v>0</v>
      </c>
      <c r="I1753" s="102">
        <f t="array" ref="I1753">IFERROR(INDEX(PRECIOS_COMPLEMENTOS!$C$4:$F$17,MATCH(B1753&amp;"_"&amp;C1753,PRECIOS_COMPLEMENTOS!$H$4:$H$17,0),IF(OR(G1753="S",G1753="20cm"),1,IF(OR(G1753="M",G1753="25cm"),2,IF(OR(G1753="L",G1753="30cm"),3,IF(OR(G1753="XL",G1753="35cm"),4,0))))),0)</f>
        <v>0.3</v>
      </c>
      <c r="J1753" s="103">
        <f t="shared" si="1"/>
        <v>0</v>
      </c>
      <c r="K1753" s="104" t="str">
        <f>IF(H1753&lt;0,"ERROR",IF(H1753=0,"",IF(H1753&lt;CONFIG!$B$4,"CRÍTICO",IF(H1753&lt;CONFIG!$B$5,"BAJO","OK"))))</f>
        <v/>
      </c>
    </row>
    <row r="1754" ht="15.75" hidden="1" customHeight="1">
      <c r="A1754" s="90" t="str">
        <f>IF(CLIENTES!A7="","",CLIENTES!A7)</f>
        <v/>
      </c>
      <c r="B1754" s="90" t="s">
        <v>324</v>
      </c>
      <c r="C1754" s="91" t="s">
        <v>328</v>
      </c>
      <c r="D1754" s="109" t="s">
        <v>353</v>
      </c>
      <c r="E1754" s="67" t="str">
        <f>COLORES!A21</f>
        <v/>
      </c>
      <c r="F1754" s="67" t="str">
        <f>COLORES!B21</f>
        <v/>
      </c>
      <c r="G1754" s="90" t="s">
        <v>377</v>
      </c>
      <c r="H1754" s="100">
        <f>IFERROR(SUMIFS(MOVIMIENTOS_COMPLEMENTOS!$I$4:$I$803,MOVIMIENTOS_COMPLEMENTOS!$C$4:$C$803,A1754,MOVIMIENTOS_COMPLEMENTOS!$D$4:$D$803,B1754,MOVIMIENTOS_COMPLEMENTOS!$E$4:$E$803,C1754,MOVIMIENTOS_COMPLEMENTOS!$G$4:$G$803,E1754,MOVIMIENTOS_COMPLEMENTOS!$H$4:$H$803,G1754,MOVIMIENTOS_COMPLEMENTOS!$B$4:$B$803,"INGRESO")+SUMIFS(MOVIMIENTOS_COMPLEMENTOS!$I$4:$I$803,MOVIMIENTOS_COMPLEMENTOS!$C$4:$C$803,A1754,MOVIMIENTOS_COMPLEMENTOS!$D$4:$D$803,B1754,MOVIMIENTOS_COMPLEMENTOS!$E$4:$E$803,C1754,MOVIMIENTOS_COMPLEMENTOS!$G$4:$G$803,E1754,MOVIMIENTOS_COMPLEMENTOS!$H$4:$H$803,G1754,MOVIMIENTOS_COMPLEMENTOS!$B$4:$B$803,"DE CORTE")-SUMIFS(MOVIMIENTOS_COMPLEMENTOS!$I$4:$I$803,MOVIMIENTOS_COMPLEMENTOS!$C$4:$C$803,A1754,MOVIMIENTOS_COMPLEMENTOS!$D$4:$D$803,B1754,MOVIMIENTOS_COMPLEMENTOS!$E$4:$E$803,C1754,MOVIMIENTOS_COMPLEMENTOS!$G$4:$G$803,E1754,MOVIMIENTOS_COMPLEMENTOS!$H$4:$H$803,G1754,MOVIMIENTOS_COMPLEMENTOS!$B$4:$B$803,"SALIDA"),0)</f>
        <v>0</v>
      </c>
      <c r="I1754" s="102">
        <f t="array" ref="I1754">IFERROR(INDEX(PRECIOS_COMPLEMENTOS!$C$4:$F$17,MATCH(B1754&amp;"_"&amp;C1754,PRECIOS_COMPLEMENTOS!$H$4:$H$17,0),IF(OR(G1754="S",G1754="20cm"),1,IF(OR(G1754="M",G1754="25cm"),2,IF(OR(G1754="L",G1754="30cm"),3,IF(OR(G1754="XL",G1754="35cm"),4,0))))),0)</f>
        <v>0.3</v>
      </c>
      <c r="J1754" s="103">
        <f t="shared" si="1"/>
        <v>0</v>
      </c>
      <c r="K1754" s="104" t="str">
        <f>IF(H1754&lt;0,"ERROR",IF(H1754=0,"",IF(H1754&lt;CONFIG!$B$4,"CRÍTICO",IF(H1754&lt;CONFIG!$B$5,"BAJO","OK"))))</f>
        <v/>
      </c>
    </row>
    <row r="1755" ht="15.75" hidden="1" customHeight="1">
      <c r="A1755" s="90" t="str">
        <f>IF(CLIENTES!A7="","",CLIENTES!A7)</f>
        <v/>
      </c>
      <c r="B1755" s="90" t="s">
        <v>324</v>
      </c>
      <c r="C1755" s="91" t="s">
        <v>328</v>
      </c>
      <c r="D1755" s="109" t="s">
        <v>353</v>
      </c>
      <c r="E1755" s="67" t="str">
        <f>COLORES!A21</f>
        <v/>
      </c>
      <c r="F1755" s="67" t="str">
        <f>COLORES!B21</f>
        <v/>
      </c>
      <c r="G1755" s="90" t="s">
        <v>379</v>
      </c>
      <c r="H1755" s="100">
        <f>IFERROR(SUMIFS(MOVIMIENTOS_COMPLEMENTOS!$I$4:$I$803,MOVIMIENTOS_COMPLEMENTOS!$C$4:$C$803,A1755,MOVIMIENTOS_COMPLEMENTOS!$D$4:$D$803,B1755,MOVIMIENTOS_COMPLEMENTOS!$E$4:$E$803,C1755,MOVIMIENTOS_COMPLEMENTOS!$G$4:$G$803,E1755,MOVIMIENTOS_COMPLEMENTOS!$H$4:$H$803,G1755,MOVIMIENTOS_COMPLEMENTOS!$B$4:$B$803,"INGRESO")+SUMIFS(MOVIMIENTOS_COMPLEMENTOS!$I$4:$I$803,MOVIMIENTOS_COMPLEMENTOS!$C$4:$C$803,A1755,MOVIMIENTOS_COMPLEMENTOS!$D$4:$D$803,B1755,MOVIMIENTOS_COMPLEMENTOS!$E$4:$E$803,C1755,MOVIMIENTOS_COMPLEMENTOS!$G$4:$G$803,E1755,MOVIMIENTOS_COMPLEMENTOS!$H$4:$H$803,G1755,MOVIMIENTOS_COMPLEMENTOS!$B$4:$B$803,"DE CORTE")-SUMIFS(MOVIMIENTOS_COMPLEMENTOS!$I$4:$I$803,MOVIMIENTOS_COMPLEMENTOS!$C$4:$C$803,A1755,MOVIMIENTOS_COMPLEMENTOS!$D$4:$D$803,B1755,MOVIMIENTOS_COMPLEMENTOS!$E$4:$E$803,C1755,MOVIMIENTOS_COMPLEMENTOS!$G$4:$G$803,E1755,MOVIMIENTOS_COMPLEMENTOS!$H$4:$H$803,G1755,MOVIMIENTOS_COMPLEMENTOS!$B$4:$B$803,"SALIDA"),0)</f>
        <v>0</v>
      </c>
      <c r="I1755" s="102">
        <f t="array" ref="I1755">IFERROR(INDEX(PRECIOS_COMPLEMENTOS!$C$4:$F$17,MATCH(B1755&amp;"_"&amp;C1755,PRECIOS_COMPLEMENTOS!$H$4:$H$17,0),IF(OR(G1755="S",G1755="20cm"),1,IF(OR(G1755="M",G1755="25cm"),2,IF(OR(G1755="L",G1755="30cm"),3,IF(OR(G1755="XL",G1755="35cm"),4,0))))),0)</f>
        <v>0.3</v>
      </c>
      <c r="J1755" s="103">
        <f t="shared" si="1"/>
        <v>0</v>
      </c>
      <c r="K1755" s="104" t="str">
        <f>IF(H1755&lt;0,"ERROR",IF(H1755=0,"",IF(H1755&lt;CONFIG!$B$4,"CRÍTICO",IF(H1755&lt;CONFIG!$B$5,"BAJO","OK"))))</f>
        <v/>
      </c>
    </row>
    <row r="1756" ht="15.75" hidden="1" customHeight="1">
      <c r="A1756" s="90" t="str">
        <f>IF(CLIENTES!A7="","",CLIENTES!A7)</f>
        <v/>
      </c>
      <c r="B1756" s="90" t="s">
        <v>324</v>
      </c>
      <c r="C1756" s="91" t="s">
        <v>328</v>
      </c>
      <c r="D1756" s="109" t="s">
        <v>353</v>
      </c>
      <c r="E1756" s="67" t="str">
        <f>COLORES!A22</f>
        <v/>
      </c>
      <c r="F1756" s="67" t="str">
        <f>COLORES!B22</f>
        <v/>
      </c>
      <c r="G1756" s="90" t="s">
        <v>378</v>
      </c>
      <c r="H1756" s="100">
        <f>IFERROR(SUMIFS(MOVIMIENTOS_COMPLEMENTOS!$I$4:$I$803,MOVIMIENTOS_COMPLEMENTOS!$C$4:$C$803,A1756,MOVIMIENTOS_COMPLEMENTOS!$D$4:$D$803,B1756,MOVIMIENTOS_COMPLEMENTOS!$E$4:$E$803,C1756,MOVIMIENTOS_COMPLEMENTOS!$G$4:$G$803,E1756,MOVIMIENTOS_COMPLEMENTOS!$H$4:$H$803,G1756,MOVIMIENTOS_COMPLEMENTOS!$B$4:$B$803,"INGRESO")+SUMIFS(MOVIMIENTOS_COMPLEMENTOS!$I$4:$I$803,MOVIMIENTOS_COMPLEMENTOS!$C$4:$C$803,A1756,MOVIMIENTOS_COMPLEMENTOS!$D$4:$D$803,B1756,MOVIMIENTOS_COMPLEMENTOS!$E$4:$E$803,C1756,MOVIMIENTOS_COMPLEMENTOS!$G$4:$G$803,E1756,MOVIMIENTOS_COMPLEMENTOS!$H$4:$H$803,G1756,MOVIMIENTOS_COMPLEMENTOS!$B$4:$B$803,"DE CORTE")-SUMIFS(MOVIMIENTOS_COMPLEMENTOS!$I$4:$I$803,MOVIMIENTOS_COMPLEMENTOS!$C$4:$C$803,A1756,MOVIMIENTOS_COMPLEMENTOS!$D$4:$D$803,B1756,MOVIMIENTOS_COMPLEMENTOS!$E$4:$E$803,C1756,MOVIMIENTOS_COMPLEMENTOS!$G$4:$G$803,E1756,MOVIMIENTOS_COMPLEMENTOS!$H$4:$H$803,G1756,MOVIMIENTOS_COMPLEMENTOS!$B$4:$B$803,"SALIDA"),0)</f>
        <v>0</v>
      </c>
      <c r="I1756" s="102">
        <f t="array" ref="I1756">IFERROR(INDEX(PRECIOS_COMPLEMENTOS!$C$4:$F$17,MATCH(B1756&amp;"_"&amp;C1756,PRECIOS_COMPLEMENTOS!$H$4:$H$17,0),IF(OR(G1756="S",G1756="20cm"),1,IF(OR(G1756="M",G1756="25cm"),2,IF(OR(G1756="L",G1756="30cm"),3,IF(OR(G1756="XL",G1756="35cm"),4,0))))),0)</f>
        <v>0.3</v>
      </c>
      <c r="J1756" s="103">
        <f t="shared" si="1"/>
        <v>0</v>
      </c>
      <c r="K1756" s="104" t="str">
        <f>IF(H1756&lt;0,"ERROR",IF(H1756=0,"",IF(H1756&lt;CONFIG!$B$4,"CRÍTICO",IF(H1756&lt;CONFIG!$B$5,"BAJO","OK"))))</f>
        <v/>
      </c>
    </row>
    <row r="1757" ht="15.75" hidden="1" customHeight="1">
      <c r="A1757" s="90" t="str">
        <f>IF(CLIENTES!A7="","",CLIENTES!A7)</f>
        <v/>
      </c>
      <c r="B1757" s="90" t="s">
        <v>324</v>
      </c>
      <c r="C1757" s="91" t="s">
        <v>328</v>
      </c>
      <c r="D1757" s="109" t="s">
        <v>353</v>
      </c>
      <c r="E1757" s="67" t="str">
        <f>COLORES!A22</f>
        <v/>
      </c>
      <c r="F1757" s="67" t="str">
        <f>COLORES!B22</f>
        <v/>
      </c>
      <c r="G1757" s="90" t="s">
        <v>376</v>
      </c>
      <c r="H1757" s="100">
        <f>IFERROR(SUMIFS(MOVIMIENTOS_COMPLEMENTOS!$I$4:$I$803,MOVIMIENTOS_COMPLEMENTOS!$C$4:$C$803,A1757,MOVIMIENTOS_COMPLEMENTOS!$D$4:$D$803,B1757,MOVIMIENTOS_COMPLEMENTOS!$E$4:$E$803,C1757,MOVIMIENTOS_COMPLEMENTOS!$G$4:$G$803,E1757,MOVIMIENTOS_COMPLEMENTOS!$H$4:$H$803,G1757,MOVIMIENTOS_COMPLEMENTOS!$B$4:$B$803,"INGRESO")+SUMIFS(MOVIMIENTOS_COMPLEMENTOS!$I$4:$I$803,MOVIMIENTOS_COMPLEMENTOS!$C$4:$C$803,A1757,MOVIMIENTOS_COMPLEMENTOS!$D$4:$D$803,B1757,MOVIMIENTOS_COMPLEMENTOS!$E$4:$E$803,C1757,MOVIMIENTOS_COMPLEMENTOS!$G$4:$G$803,E1757,MOVIMIENTOS_COMPLEMENTOS!$H$4:$H$803,G1757,MOVIMIENTOS_COMPLEMENTOS!$B$4:$B$803,"DE CORTE")-SUMIFS(MOVIMIENTOS_COMPLEMENTOS!$I$4:$I$803,MOVIMIENTOS_COMPLEMENTOS!$C$4:$C$803,A1757,MOVIMIENTOS_COMPLEMENTOS!$D$4:$D$803,B1757,MOVIMIENTOS_COMPLEMENTOS!$E$4:$E$803,C1757,MOVIMIENTOS_COMPLEMENTOS!$G$4:$G$803,E1757,MOVIMIENTOS_COMPLEMENTOS!$H$4:$H$803,G1757,MOVIMIENTOS_COMPLEMENTOS!$B$4:$B$803,"SALIDA"),0)</f>
        <v>0</v>
      </c>
      <c r="I1757" s="102">
        <f t="array" ref="I1757">IFERROR(INDEX(PRECIOS_COMPLEMENTOS!$C$4:$F$17,MATCH(B1757&amp;"_"&amp;C1757,PRECIOS_COMPLEMENTOS!$H$4:$H$17,0),IF(OR(G1757="S",G1757="20cm"),1,IF(OR(G1757="M",G1757="25cm"),2,IF(OR(G1757="L",G1757="30cm"),3,IF(OR(G1757="XL",G1757="35cm"),4,0))))),0)</f>
        <v>0.3</v>
      </c>
      <c r="J1757" s="103">
        <f t="shared" si="1"/>
        <v>0</v>
      </c>
      <c r="K1757" s="104" t="str">
        <f>IF(H1757&lt;0,"ERROR",IF(H1757=0,"",IF(H1757&lt;CONFIG!$B$4,"CRÍTICO",IF(H1757&lt;CONFIG!$B$5,"BAJO","OK"))))</f>
        <v/>
      </c>
    </row>
    <row r="1758" ht="15.75" hidden="1" customHeight="1">
      <c r="A1758" s="90" t="str">
        <f>IF(CLIENTES!A7="","",CLIENTES!A7)</f>
        <v/>
      </c>
      <c r="B1758" s="90" t="s">
        <v>324</v>
      </c>
      <c r="C1758" s="91" t="s">
        <v>328</v>
      </c>
      <c r="D1758" s="109" t="s">
        <v>353</v>
      </c>
      <c r="E1758" s="67" t="str">
        <f>COLORES!A22</f>
        <v/>
      </c>
      <c r="F1758" s="67" t="str">
        <f>COLORES!B22</f>
        <v/>
      </c>
      <c r="G1758" s="90" t="s">
        <v>377</v>
      </c>
      <c r="H1758" s="100">
        <f>IFERROR(SUMIFS(MOVIMIENTOS_COMPLEMENTOS!$I$4:$I$803,MOVIMIENTOS_COMPLEMENTOS!$C$4:$C$803,A1758,MOVIMIENTOS_COMPLEMENTOS!$D$4:$D$803,B1758,MOVIMIENTOS_COMPLEMENTOS!$E$4:$E$803,C1758,MOVIMIENTOS_COMPLEMENTOS!$G$4:$G$803,E1758,MOVIMIENTOS_COMPLEMENTOS!$H$4:$H$803,G1758,MOVIMIENTOS_COMPLEMENTOS!$B$4:$B$803,"INGRESO")+SUMIFS(MOVIMIENTOS_COMPLEMENTOS!$I$4:$I$803,MOVIMIENTOS_COMPLEMENTOS!$C$4:$C$803,A1758,MOVIMIENTOS_COMPLEMENTOS!$D$4:$D$803,B1758,MOVIMIENTOS_COMPLEMENTOS!$E$4:$E$803,C1758,MOVIMIENTOS_COMPLEMENTOS!$G$4:$G$803,E1758,MOVIMIENTOS_COMPLEMENTOS!$H$4:$H$803,G1758,MOVIMIENTOS_COMPLEMENTOS!$B$4:$B$803,"DE CORTE")-SUMIFS(MOVIMIENTOS_COMPLEMENTOS!$I$4:$I$803,MOVIMIENTOS_COMPLEMENTOS!$C$4:$C$803,A1758,MOVIMIENTOS_COMPLEMENTOS!$D$4:$D$803,B1758,MOVIMIENTOS_COMPLEMENTOS!$E$4:$E$803,C1758,MOVIMIENTOS_COMPLEMENTOS!$G$4:$G$803,E1758,MOVIMIENTOS_COMPLEMENTOS!$H$4:$H$803,G1758,MOVIMIENTOS_COMPLEMENTOS!$B$4:$B$803,"SALIDA"),0)</f>
        <v>0</v>
      </c>
      <c r="I1758" s="102">
        <f t="array" ref="I1758">IFERROR(INDEX(PRECIOS_COMPLEMENTOS!$C$4:$F$17,MATCH(B1758&amp;"_"&amp;C1758,PRECIOS_COMPLEMENTOS!$H$4:$H$17,0),IF(OR(G1758="S",G1758="20cm"),1,IF(OR(G1758="M",G1758="25cm"),2,IF(OR(G1758="L",G1758="30cm"),3,IF(OR(G1758="XL",G1758="35cm"),4,0))))),0)</f>
        <v>0.3</v>
      </c>
      <c r="J1758" s="103">
        <f t="shared" si="1"/>
        <v>0</v>
      </c>
      <c r="K1758" s="104" t="str">
        <f>IF(H1758&lt;0,"ERROR",IF(H1758=0,"",IF(H1758&lt;CONFIG!$B$4,"CRÍTICO",IF(H1758&lt;CONFIG!$B$5,"BAJO","OK"))))</f>
        <v/>
      </c>
    </row>
    <row r="1759" ht="15.75" hidden="1" customHeight="1">
      <c r="A1759" s="90" t="str">
        <f>IF(CLIENTES!A7="","",CLIENTES!A7)</f>
        <v/>
      </c>
      <c r="B1759" s="90" t="s">
        <v>324</v>
      </c>
      <c r="C1759" s="91" t="s">
        <v>328</v>
      </c>
      <c r="D1759" s="109" t="s">
        <v>353</v>
      </c>
      <c r="E1759" s="67" t="str">
        <f>COLORES!A22</f>
        <v/>
      </c>
      <c r="F1759" s="67" t="str">
        <f>COLORES!B22</f>
        <v/>
      </c>
      <c r="G1759" s="90" t="s">
        <v>379</v>
      </c>
      <c r="H1759" s="100">
        <f>IFERROR(SUMIFS(MOVIMIENTOS_COMPLEMENTOS!$I$4:$I$803,MOVIMIENTOS_COMPLEMENTOS!$C$4:$C$803,A1759,MOVIMIENTOS_COMPLEMENTOS!$D$4:$D$803,B1759,MOVIMIENTOS_COMPLEMENTOS!$E$4:$E$803,C1759,MOVIMIENTOS_COMPLEMENTOS!$G$4:$G$803,E1759,MOVIMIENTOS_COMPLEMENTOS!$H$4:$H$803,G1759,MOVIMIENTOS_COMPLEMENTOS!$B$4:$B$803,"INGRESO")+SUMIFS(MOVIMIENTOS_COMPLEMENTOS!$I$4:$I$803,MOVIMIENTOS_COMPLEMENTOS!$C$4:$C$803,A1759,MOVIMIENTOS_COMPLEMENTOS!$D$4:$D$803,B1759,MOVIMIENTOS_COMPLEMENTOS!$E$4:$E$803,C1759,MOVIMIENTOS_COMPLEMENTOS!$G$4:$G$803,E1759,MOVIMIENTOS_COMPLEMENTOS!$H$4:$H$803,G1759,MOVIMIENTOS_COMPLEMENTOS!$B$4:$B$803,"DE CORTE")-SUMIFS(MOVIMIENTOS_COMPLEMENTOS!$I$4:$I$803,MOVIMIENTOS_COMPLEMENTOS!$C$4:$C$803,A1759,MOVIMIENTOS_COMPLEMENTOS!$D$4:$D$803,B1759,MOVIMIENTOS_COMPLEMENTOS!$E$4:$E$803,C1759,MOVIMIENTOS_COMPLEMENTOS!$G$4:$G$803,E1759,MOVIMIENTOS_COMPLEMENTOS!$H$4:$H$803,G1759,MOVIMIENTOS_COMPLEMENTOS!$B$4:$B$803,"SALIDA"),0)</f>
        <v>0</v>
      </c>
      <c r="I1759" s="102">
        <f t="array" ref="I1759">IFERROR(INDEX(PRECIOS_COMPLEMENTOS!$C$4:$F$17,MATCH(B1759&amp;"_"&amp;C1759,PRECIOS_COMPLEMENTOS!$H$4:$H$17,0),IF(OR(G1759="S",G1759="20cm"),1,IF(OR(G1759="M",G1759="25cm"),2,IF(OR(G1759="L",G1759="30cm"),3,IF(OR(G1759="XL",G1759="35cm"),4,0))))),0)</f>
        <v>0.3</v>
      </c>
      <c r="J1759" s="103">
        <f t="shared" si="1"/>
        <v>0</v>
      </c>
      <c r="K1759" s="104" t="str">
        <f>IF(H1759&lt;0,"ERROR",IF(H1759=0,"",IF(H1759&lt;CONFIG!$B$4,"CRÍTICO",IF(H1759&lt;CONFIG!$B$5,"BAJO","OK"))))</f>
        <v/>
      </c>
    </row>
    <row r="1760" ht="15.75" hidden="1" customHeight="1">
      <c r="A1760" s="90" t="str">
        <f>IF(CLIENTES!A7="","",CLIENTES!A7)</f>
        <v/>
      </c>
      <c r="B1760" s="90" t="s">
        <v>324</v>
      </c>
      <c r="C1760" s="91" t="s">
        <v>328</v>
      </c>
      <c r="D1760" s="109" t="s">
        <v>353</v>
      </c>
      <c r="E1760" s="67" t="str">
        <f>COLORES!A23</f>
        <v/>
      </c>
      <c r="F1760" s="67" t="str">
        <f>COLORES!B23</f>
        <v/>
      </c>
      <c r="G1760" s="90" t="s">
        <v>378</v>
      </c>
      <c r="H1760" s="100">
        <f>IFERROR(SUMIFS(MOVIMIENTOS_COMPLEMENTOS!$I$4:$I$803,MOVIMIENTOS_COMPLEMENTOS!$C$4:$C$803,A1760,MOVIMIENTOS_COMPLEMENTOS!$D$4:$D$803,B1760,MOVIMIENTOS_COMPLEMENTOS!$E$4:$E$803,C1760,MOVIMIENTOS_COMPLEMENTOS!$G$4:$G$803,E1760,MOVIMIENTOS_COMPLEMENTOS!$H$4:$H$803,G1760,MOVIMIENTOS_COMPLEMENTOS!$B$4:$B$803,"INGRESO")+SUMIFS(MOVIMIENTOS_COMPLEMENTOS!$I$4:$I$803,MOVIMIENTOS_COMPLEMENTOS!$C$4:$C$803,A1760,MOVIMIENTOS_COMPLEMENTOS!$D$4:$D$803,B1760,MOVIMIENTOS_COMPLEMENTOS!$E$4:$E$803,C1760,MOVIMIENTOS_COMPLEMENTOS!$G$4:$G$803,E1760,MOVIMIENTOS_COMPLEMENTOS!$H$4:$H$803,G1760,MOVIMIENTOS_COMPLEMENTOS!$B$4:$B$803,"DE CORTE")-SUMIFS(MOVIMIENTOS_COMPLEMENTOS!$I$4:$I$803,MOVIMIENTOS_COMPLEMENTOS!$C$4:$C$803,A1760,MOVIMIENTOS_COMPLEMENTOS!$D$4:$D$803,B1760,MOVIMIENTOS_COMPLEMENTOS!$E$4:$E$803,C1760,MOVIMIENTOS_COMPLEMENTOS!$G$4:$G$803,E1760,MOVIMIENTOS_COMPLEMENTOS!$H$4:$H$803,G1760,MOVIMIENTOS_COMPLEMENTOS!$B$4:$B$803,"SALIDA"),0)</f>
        <v>0</v>
      </c>
      <c r="I1760" s="102">
        <f t="array" ref="I1760">IFERROR(INDEX(PRECIOS_COMPLEMENTOS!$C$4:$F$17,MATCH(B1760&amp;"_"&amp;C1760,PRECIOS_COMPLEMENTOS!$H$4:$H$17,0),IF(OR(G1760="S",G1760="20cm"),1,IF(OR(G1760="M",G1760="25cm"),2,IF(OR(G1760="L",G1760="30cm"),3,IF(OR(G1760="XL",G1760="35cm"),4,0))))),0)</f>
        <v>0.3</v>
      </c>
      <c r="J1760" s="103">
        <f t="shared" si="1"/>
        <v>0</v>
      </c>
      <c r="K1760" s="104" t="str">
        <f>IF(H1760&lt;0,"ERROR",IF(H1760=0,"",IF(H1760&lt;CONFIG!$B$4,"CRÍTICO",IF(H1760&lt;CONFIG!$B$5,"BAJO","OK"))))</f>
        <v/>
      </c>
    </row>
    <row r="1761" ht="15.75" hidden="1" customHeight="1">
      <c r="A1761" s="90" t="str">
        <f>IF(CLIENTES!A7="","",CLIENTES!A7)</f>
        <v/>
      </c>
      <c r="B1761" s="90" t="s">
        <v>324</v>
      </c>
      <c r="C1761" s="91" t="s">
        <v>328</v>
      </c>
      <c r="D1761" s="109" t="s">
        <v>353</v>
      </c>
      <c r="E1761" s="67" t="str">
        <f>COLORES!A23</f>
        <v/>
      </c>
      <c r="F1761" s="67" t="str">
        <f>COLORES!B23</f>
        <v/>
      </c>
      <c r="G1761" s="90" t="s">
        <v>376</v>
      </c>
      <c r="H1761" s="100">
        <f>IFERROR(SUMIFS(MOVIMIENTOS_COMPLEMENTOS!$I$4:$I$803,MOVIMIENTOS_COMPLEMENTOS!$C$4:$C$803,A1761,MOVIMIENTOS_COMPLEMENTOS!$D$4:$D$803,B1761,MOVIMIENTOS_COMPLEMENTOS!$E$4:$E$803,C1761,MOVIMIENTOS_COMPLEMENTOS!$G$4:$G$803,E1761,MOVIMIENTOS_COMPLEMENTOS!$H$4:$H$803,G1761,MOVIMIENTOS_COMPLEMENTOS!$B$4:$B$803,"INGRESO")+SUMIFS(MOVIMIENTOS_COMPLEMENTOS!$I$4:$I$803,MOVIMIENTOS_COMPLEMENTOS!$C$4:$C$803,A1761,MOVIMIENTOS_COMPLEMENTOS!$D$4:$D$803,B1761,MOVIMIENTOS_COMPLEMENTOS!$E$4:$E$803,C1761,MOVIMIENTOS_COMPLEMENTOS!$G$4:$G$803,E1761,MOVIMIENTOS_COMPLEMENTOS!$H$4:$H$803,G1761,MOVIMIENTOS_COMPLEMENTOS!$B$4:$B$803,"DE CORTE")-SUMIFS(MOVIMIENTOS_COMPLEMENTOS!$I$4:$I$803,MOVIMIENTOS_COMPLEMENTOS!$C$4:$C$803,A1761,MOVIMIENTOS_COMPLEMENTOS!$D$4:$D$803,B1761,MOVIMIENTOS_COMPLEMENTOS!$E$4:$E$803,C1761,MOVIMIENTOS_COMPLEMENTOS!$G$4:$G$803,E1761,MOVIMIENTOS_COMPLEMENTOS!$H$4:$H$803,G1761,MOVIMIENTOS_COMPLEMENTOS!$B$4:$B$803,"SALIDA"),0)</f>
        <v>0</v>
      </c>
      <c r="I1761" s="102">
        <f t="array" ref="I1761">IFERROR(INDEX(PRECIOS_COMPLEMENTOS!$C$4:$F$17,MATCH(B1761&amp;"_"&amp;C1761,PRECIOS_COMPLEMENTOS!$H$4:$H$17,0),IF(OR(G1761="S",G1761="20cm"),1,IF(OR(G1761="M",G1761="25cm"),2,IF(OR(G1761="L",G1761="30cm"),3,IF(OR(G1761="XL",G1761="35cm"),4,0))))),0)</f>
        <v>0.3</v>
      </c>
      <c r="J1761" s="103">
        <f t="shared" si="1"/>
        <v>0</v>
      </c>
      <c r="K1761" s="104" t="str">
        <f>IF(H1761&lt;0,"ERROR",IF(H1761=0,"",IF(H1761&lt;CONFIG!$B$4,"CRÍTICO",IF(H1761&lt;CONFIG!$B$5,"BAJO","OK"))))</f>
        <v/>
      </c>
    </row>
    <row r="1762" ht="15.75" hidden="1" customHeight="1">
      <c r="A1762" s="90" t="str">
        <f>IF(CLIENTES!A7="","",CLIENTES!A7)</f>
        <v/>
      </c>
      <c r="B1762" s="90" t="s">
        <v>324</v>
      </c>
      <c r="C1762" s="91" t="s">
        <v>328</v>
      </c>
      <c r="D1762" s="109" t="s">
        <v>353</v>
      </c>
      <c r="E1762" s="67" t="str">
        <f>COLORES!A23</f>
        <v/>
      </c>
      <c r="F1762" s="67" t="str">
        <f>COLORES!B23</f>
        <v/>
      </c>
      <c r="G1762" s="90" t="s">
        <v>377</v>
      </c>
      <c r="H1762" s="100">
        <f>IFERROR(SUMIFS(MOVIMIENTOS_COMPLEMENTOS!$I$4:$I$803,MOVIMIENTOS_COMPLEMENTOS!$C$4:$C$803,A1762,MOVIMIENTOS_COMPLEMENTOS!$D$4:$D$803,B1762,MOVIMIENTOS_COMPLEMENTOS!$E$4:$E$803,C1762,MOVIMIENTOS_COMPLEMENTOS!$G$4:$G$803,E1762,MOVIMIENTOS_COMPLEMENTOS!$H$4:$H$803,G1762,MOVIMIENTOS_COMPLEMENTOS!$B$4:$B$803,"INGRESO")+SUMIFS(MOVIMIENTOS_COMPLEMENTOS!$I$4:$I$803,MOVIMIENTOS_COMPLEMENTOS!$C$4:$C$803,A1762,MOVIMIENTOS_COMPLEMENTOS!$D$4:$D$803,B1762,MOVIMIENTOS_COMPLEMENTOS!$E$4:$E$803,C1762,MOVIMIENTOS_COMPLEMENTOS!$G$4:$G$803,E1762,MOVIMIENTOS_COMPLEMENTOS!$H$4:$H$803,G1762,MOVIMIENTOS_COMPLEMENTOS!$B$4:$B$803,"DE CORTE")-SUMIFS(MOVIMIENTOS_COMPLEMENTOS!$I$4:$I$803,MOVIMIENTOS_COMPLEMENTOS!$C$4:$C$803,A1762,MOVIMIENTOS_COMPLEMENTOS!$D$4:$D$803,B1762,MOVIMIENTOS_COMPLEMENTOS!$E$4:$E$803,C1762,MOVIMIENTOS_COMPLEMENTOS!$G$4:$G$803,E1762,MOVIMIENTOS_COMPLEMENTOS!$H$4:$H$803,G1762,MOVIMIENTOS_COMPLEMENTOS!$B$4:$B$803,"SALIDA"),0)</f>
        <v>0</v>
      </c>
      <c r="I1762" s="102">
        <f t="array" ref="I1762">IFERROR(INDEX(PRECIOS_COMPLEMENTOS!$C$4:$F$17,MATCH(B1762&amp;"_"&amp;C1762,PRECIOS_COMPLEMENTOS!$H$4:$H$17,0),IF(OR(G1762="S",G1762="20cm"),1,IF(OR(G1762="M",G1762="25cm"),2,IF(OR(G1762="L",G1762="30cm"),3,IF(OR(G1762="XL",G1762="35cm"),4,0))))),0)</f>
        <v>0.3</v>
      </c>
      <c r="J1762" s="103">
        <f t="shared" si="1"/>
        <v>0</v>
      </c>
      <c r="K1762" s="104" t="str">
        <f>IF(H1762&lt;0,"ERROR",IF(H1762=0,"",IF(H1762&lt;CONFIG!$B$4,"CRÍTICO",IF(H1762&lt;CONFIG!$B$5,"BAJO","OK"))))</f>
        <v/>
      </c>
    </row>
    <row r="1763" ht="15.75" hidden="1" customHeight="1">
      <c r="A1763" s="90" t="str">
        <f>IF(CLIENTES!A7="","",CLIENTES!A7)</f>
        <v/>
      </c>
      <c r="B1763" s="90" t="s">
        <v>324</v>
      </c>
      <c r="C1763" s="91" t="s">
        <v>328</v>
      </c>
      <c r="D1763" s="109" t="s">
        <v>353</v>
      </c>
      <c r="E1763" s="67" t="str">
        <f>COLORES!A23</f>
        <v/>
      </c>
      <c r="F1763" s="67" t="str">
        <f>COLORES!B23</f>
        <v/>
      </c>
      <c r="G1763" s="90" t="s">
        <v>379</v>
      </c>
      <c r="H1763" s="100">
        <f>IFERROR(SUMIFS(MOVIMIENTOS_COMPLEMENTOS!$I$4:$I$803,MOVIMIENTOS_COMPLEMENTOS!$C$4:$C$803,A1763,MOVIMIENTOS_COMPLEMENTOS!$D$4:$D$803,B1763,MOVIMIENTOS_COMPLEMENTOS!$E$4:$E$803,C1763,MOVIMIENTOS_COMPLEMENTOS!$G$4:$G$803,E1763,MOVIMIENTOS_COMPLEMENTOS!$H$4:$H$803,G1763,MOVIMIENTOS_COMPLEMENTOS!$B$4:$B$803,"INGRESO")+SUMIFS(MOVIMIENTOS_COMPLEMENTOS!$I$4:$I$803,MOVIMIENTOS_COMPLEMENTOS!$C$4:$C$803,A1763,MOVIMIENTOS_COMPLEMENTOS!$D$4:$D$803,B1763,MOVIMIENTOS_COMPLEMENTOS!$E$4:$E$803,C1763,MOVIMIENTOS_COMPLEMENTOS!$G$4:$G$803,E1763,MOVIMIENTOS_COMPLEMENTOS!$H$4:$H$803,G1763,MOVIMIENTOS_COMPLEMENTOS!$B$4:$B$803,"DE CORTE")-SUMIFS(MOVIMIENTOS_COMPLEMENTOS!$I$4:$I$803,MOVIMIENTOS_COMPLEMENTOS!$C$4:$C$803,A1763,MOVIMIENTOS_COMPLEMENTOS!$D$4:$D$803,B1763,MOVIMIENTOS_COMPLEMENTOS!$E$4:$E$803,C1763,MOVIMIENTOS_COMPLEMENTOS!$G$4:$G$803,E1763,MOVIMIENTOS_COMPLEMENTOS!$H$4:$H$803,G1763,MOVIMIENTOS_COMPLEMENTOS!$B$4:$B$803,"SALIDA"),0)</f>
        <v>0</v>
      </c>
      <c r="I1763" s="102">
        <f t="array" ref="I1763">IFERROR(INDEX(PRECIOS_COMPLEMENTOS!$C$4:$F$17,MATCH(B1763&amp;"_"&amp;C1763,PRECIOS_COMPLEMENTOS!$H$4:$H$17,0),IF(OR(G1763="S",G1763="20cm"),1,IF(OR(G1763="M",G1763="25cm"),2,IF(OR(G1763="L",G1763="30cm"),3,IF(OR(G1763="XL",G1763="35cm"),4,0))))),0)</f>
        <v>0.3</v>
      </c>
      <c r="J1763" s="103">
        <f t="shared" si="1"/>
        <v>0</v>
      </c>
      <c r="K1763" s="104" t="str">
        <f>IF(H1763&lt;0,"ERROR",IF(H1763=0,"",IF(H1763&lt;CONFIG!$B$4,"CRÍTICO",IF(H1763&lt;CONFIG!$B$5,"BAJO","OK"))))</f>
        <v/>
      </c>
    </row>
    <row r="1764" ht="15.75" hidden="1" customHeight="1">
      <c r="A1764" s="90" t="str">
        <f>IF(CLIENTES!A8="","",CLIENTES!A8)</f>
        <v/>
      </c>
      <c r="B1764" s="90" t="s">
        <v>324</v>
      </c>
      <c r="C1764" s="91" t="s">
        <v>328</v>
      </c>
      <c r="D1764" s="109" t="s">
        <v>353</v>
      </c>
      <c r="E1764" s="67" t="str">
        <f>COLORES!A4</f>
        <v>Negro</v>
      </c>
      <c r="F1764" s="67" t="str">
        <f>COLORES!B4</f>
        <v>OSCURO</v>
      </c>
      <c r="G1764" s="90" t="s">
        <v>378</v>
      </c>
      <c r="H1764" s="100">
        <f>IFERROR(SUMIFS(MOVIMIENTOS_COMPLEMENTOS!$I$4:$I$803,MOVIMIENTOS_COMPLEMENTOS!$C$4:$C$803,A1764,MOVIMIENTOS_COMPLEMENTOS!$D$4:$D$803,B1764,MOVIMIENTOS_COMPLEMENTOS!$E$4:$E$803,C1764,MOVIMIENTOS_COMPLEMENTOS!$G$4:$G$803,E1764,MOVIMIENTOS_COMPLEMENTOS!$H$4:$H$803,G1764,MOVIMIENTOS_COMPLEMENTOS!$B$4:$B$803,"INGRESO")+SUMIFS(MOVIMIENTOS_COMPLEMENTOS!$I$4:$I$803,MOVIMIENTOS_COMPLEMENTOS!$C$4:$C$803,A1764,MOVIMIENTOS_COMPLEMENTOS!$D$4:$D$803,B1764,MOVIMIENTOS_COMPLEMENTOS!$E$4:$E$803,C1764,MOVIMIENTOS_COMPLEMENTOS!$G$4:$G$803,E1764,MOVIMIENTOS_COMPLEMENTOS!$H$4:$H$803,G1764,MOVIMIENTOS_COMPLEMENTOS!$B$4:$B$803,"DE CORTE")-SUMIFS(MOVIMIENTOS_COMPLEMENTOS!$I$4:$I$803,MOVIMIENTOS_COMPLEMENTOS!$C$4:$C$803,A1764,MOVIMIENTOS_COMPLEMENTOS!$D$4:$D$803,B1764,MOVIMIENTOS_COMPLEMENTOS!$E$4:$E$803,C1764,MOVIMIENTOS_COMPLEMENTOS!$G$4:$G$803,E1764,MOVIMIENTOS_COMPLEMENTOS!$H$4:$H$803,G1764,MOVIMIENTOS_COMPLEMENTOS!$B$4:$B$803,"SALIDA"),0)</f>
        <v>0</v>
      </c>
      <c r="I1764" s="102">
        <f t="array" ref="I1764">IFERROR(INDEX(PRECIOS_COMPLEMENTOS!$C$4:$F$17,MATCH(B1764&amp;"_"&amp;C1764,PRECIOS_COMPLEMENTOS!$H$4:$H$17,0),IF(OR(G1764="S",G1764="20cm"),1,IF(OR(G1764="M",G1764="25cm"),2,IF(OR(G1764="L",G1764="30cm"),3,IF(OR(G1764="XL",G1764="35cm"),4,0))))),0)</f>
        <v>0.3</v>
      </c>
      <c r="J1764" s="103">
        <f t="shared" si="1"/>
        <v>0</v>
      </c>
      <c r="K1764" s="104" t="str">
        <f>IF(H1764&lt;0,"ERROR",IF(H1764=0,"",IF(H1764&lt;CONFIG!$B$4,"CRÍTICO",IF(H1764&lt;CONFIG!$B$5,"BAJO","OK"))))</f>
        <v/>
      </c>
    </row>
    <row r="1765" ht="15.75" hidden="1" customHeight="1">
      <c r="A1765" s="90" t="str">
        <f>IF(CLIENTES!A8="","",CLIENTES!A8)</f>
        <v/>
      </c>
      <c r="B1765" s="90" t="s">
        <v>324</v>
      </c>
      <c r="C1765" s="91" t="s">
        <v>328</v>
      </c>
      <c r="D1765" s="109" t="s">
        <v>353</v>
      </c>
      <c r="E1765" s="67" t="str">
        <f>COLORES!A4</f>
        <v>Negro</v>
      </c>
      <c r="F1765" s="67" t="str">
        <f>COLORES!B4</f>
        <v>OSCURO</v>
      </c>
      <c r="G1765" s="90" t="s">
        <v>376</v>
      </c>
      <c r="H1765" s="100">
        <f>IFERROR(SUMIFS(MOVIMIENTOS_COMPLEMENTOS!$I$4:$I$803,MOVIMIENTOS_COMPLEMENTOS!$C$4:$C$803,A1765,MOVIMIENTOS_COMPLEMENTOS!$D$4:$D$803,B1765,MOVIMIENTOS_COMPLEMENTOS!$E$4:$E$803,C1765,MOVIMIENTOS_COMPLEMENTOS!$G$4:$G$803,E1765,MOVIMIENTOS_COMPLEMENTOS!$H$4:$H$803,G1765,MOVIMIENTOS_COMPLEMENTOS!$B$4:$B$803,"INGRESO")+SUMIFS(MOVIMIENTOS_COMPLEMENTOS!$I$4:$I$803,MOVIMIENTOS_COMPLEMENTOS!$C$4:$C$803,A1765,MOVIMIENTOS_COMPLEMENTOS!$D$4:$D$803,B1765,MOVIMIENTOS_COMPLEMENTOS!$E$4:$E$803,C1765,MOVIMIENTOS_COMPLEMENTOS!$G$4:$G$803,E1765,MOVIMIENTOS_COMPLEMENTOS!$H$4:$H$803,G1765,MOVIMIENTOS_COMPLEMENTOS!$B$4:$B$803,"DE CORTE")-SUMIFS(MOVIMIENTOS_COMPLEMENTOS!$I$4:$I$803,MOVIMIENTOS_COMPLEMENTOS!$C$4:$C$803,A1765,MOVIMIENTOS_COMPLEMENTOS!$D$4:$D$803,B1765,MOVIMIENTOS_COMPLEMENTOS!$E$4:$E$803,C1765,MOVIMIENTOS_COMPLEMENTOS!$G$4:$G$803,E1765,MOVIMIENTOS_COMPLEMENTOS!$H$4:$H$803,G1765,MOVIMIENTOS_COMPLEMENTOS!$B$4:$B$803,"SALIDA"),0)</f>
        <v>0</v>
      </c>
      <c r="I1765" s="102">
        <f t="array" ref="I1765">IFERROR(INDEX(PRECIOS_COMPLEMENTOS!$C$4:$F$17,MATCH(B1765&amp;"_"&amp;C1765,PRECIOS_COMPLEMENTOS!$H$4:$H$17,0),IF(OR(G1765="S",G1765="20cm"),1,IF(OR(G1765="M",G1765="25cm"),2,IF(OR(G1765="L",G1765="30cm"),3,IF(OR(G1765="XL",G1765="35cm"),4,0))))),0)</f>
        <v>0.3</v>
      </c>
      <c r="J1765" s="103">
        <f t="shared" si="1"/>
        <v>0</v>
      </c>
      <c r="K1765" s="104" t="str">
        <f>IF(H1765&lt;0,"ERROR",IF(H1765=0,"",IF(H1765&lt;CONFIG!$B$4,"CRÍTICO",IF(H1765&lt;CONFIG!$B$5,"BAJO","OK"))))</f>
        <v/>
      </c>
    </row>
    <row r="1766" ht="15.75" hidden="1" customHeight="1">
      <c r="A1766" s="90" t="str">
        <f>IF(CLIENTES!A8="","",CLIENTES!A8)</f>
        <v/>
      </c>
      <c r="B1766" s="90" t="s">
        <v>324</v>
      </c>
      <c r="C1766" s="91" t="s">
        <v>328</v>
      </c>
      <c r="D1766" s="109" t="s">
        <v>353</v>
      </c>
      <c r="E1766" s="67" t="str">
        <f>COLORES!A4</f>
        <v>Negro</v>
      </c>
      <c r="F1766" s="67" t="str">
        <f>COLORES!B4</f>
        <v>OSCURO</v>
      </c>
      <c r="G1766" s="90" t="s">
        <v>377</v>
      </c>
      <c r="H1766" s="100">
        <f>IFERROR(SUMIFS(MOVIMIENTOS_COMPLEMENTOS!$I$4:$I$803,MOVIMIENTOS_COMPLEMENTOS!$C$4:$C$803,A1766,MOVIMIENTOS_COMPLEMENTOS!$D$4:$D$803,B1766,MOVIMIENTOS_COMPLEMENTOS!$E$4:$E$803,C1766,MOVIMIENTOS_COMPLEMENTOS!$G$4:$G$803,E1766,MOVIMIENTOS_COMPLEMENTOS!$H$4:$H$803,G1766,MOVIMIENTOS_COMPLEMENTOS!$B$4:$B$803,"INGRESO")+SUMIFS(MOVIMIENTOS_COMPLEMENTOS!$I$4:$I$803,MOVIMIENTOS_COMPLEMENTOS!$C$4:$C$803,A1766,MOVIMIENTOS_COMPLEMENTOS!$D$4:$D$803,B1766,MOVIMIENTOS_COMPLEMENTOS!$E$4:$E$803,C1766,MOVIMIENTOS_COMPLEMENTOS!$G$4:$G$803,E1766,MOVIMIENTOS_COMPLEMENTOS!$H$4:$H$803,G1766,MOVIMIENTOS_COMPLEMENTOS!$B$4:$B$803,"DE CORTE")-SUMIFS(MOVIMIENTOS_COMPLEMENTOS!$I$4:$I$803,MOVIMIENTOS_COMPLEMENTOS!$C$4:$C$803,A1766,MOVIMIENTOS_COMPLEMENTOS!$D$4:$D$803,B1766,MOVIMIENTOS_COMPLEMENTOS!$E$4:$E$803,C1766,MOVIMIENTOS_COMPLEMENTOS!$G$4:$G$803,E1766,MOVIMIENTOS_COMPLEMENTOS!$H$4:$H$803,G1766,MOVIMIENTOS_COMPLEMENTOS!$B$4:$B$803,"SALIDA"),0)</f>
        <v>0</v>
      </c>
      <c r="I1766" s="102">
        <f t="array" ref="I1766">IFERROR(INDEX(PRECIOS_COMPLEMENTOS!$C$4:$F$17,MATCH(B1766&amp;"_"&amp;C1766,PRECIOS_COMPLEMENTOS!$H$4:$H$17,0),IF(OR(G1766="S",G1766="20cm"),1,IF(OR(G1766="M",G1766="25cm"),2,IF(OR(G1766="L",G1766="30cm"),3,IF(OR(G1766="XL",G1766="35cm"),4,0))))),0)</f>
        <v>0.3</v>
      </c>
      <c r="J1766" s="103">
        <f t="shared" si="1"/>
        <v>0</v>
      </c>
      <c r="K1766" s="104" t="str">
        <f>IF(H1766&lt;0,"ERROR",IF(H1766=0,"",IF(H1766&lt;CONFIG!$B$4,"CRÍTICO",IF(H1766&lt;CONFIG!$B$5,"BAJO","OK"))))</f>
        <v/>
      </c>
    </row>
    <row r="1767" ht="15.75" hidden="1" customHeight="1">
      <c r="A1767" s="90" t="str">
        <f>IF(CLIENTES!A8="","",CLIENTES!A8)</f>
        <v/>
      </c>
      <c r="B1767" s="90" t="s">
        <v>324</v>
      </c>
      <c r="C1767" s="91" t="s">
        <v>328</v>
      </c>
      <c r="D1767" s="109" t="s">
        <v>353</v>
      </c>
      <c r="E1767" s="67" t="str">
        <f>COLORES!A4</f>
        <v>Negro</v>
      </c>
      <c r="F1767" s="67" t="str">
        <f>COLORES!B4</f>
        <v>OSCURO</v>
      </c>
      <c r="G1767" s="90" t="s">
        <v>379</v>
      </c>
      <c r="H1767" s="100">
        <f>IFERROR(SUMIFS(MOVIMIENTOS_COMPLEMENTOS!$I$4:$I$803,MOVIMIENTOS_COMPLEMENTOS!$C$4:$C$803,A1767,MOVIMIENTOS_COMPLEMENTOS!$D$4:$D$803,B1767,MOVIMIENTOS_COMPLEMENTOS!$E$4:$E$803,C1767,MOVIMIENTOS_COMPLEMENTOS!$G$4:$G$803,E1767,MOVIMIENTOS_COMPLEMENTOS!$H$4:$H$803,G1767,MOVIMIENTOS_COMPLEMENTOS!$B$4:$B$803,"INGRESO")+SUMIFS(MOVIMIENTOS_COMPLEMENTOS!$I$4:$I$803,MOVIMIENTOS_COMPLEMENTOS!$C$4:$C$803,A1767,MOVIMIENTOS_COMPLEMENTOS!$D$4:$D$803,B1767,MOVIMIENTOS_COMPLEMENTOS!$E$4:$E$803,C1767,MOVIMIENTOS_COMPLEMENTOS!$G$4:$G$803,E1767,MOVIMIENTOS_COMPLEMENTOS!$H$4:$H$803,G1767,MOVIMIENTOS_COMPLEMENTOS!$B$4:$B$803,"DE CORTE")-SUMIFS(MOVIMIENTOS_COMPLEMENTOS!$I$4:$I$803,MOVIMIENTOS_COMPLEMENTOS!$C$4:$C$803,A1767,MOVIMIENTOS_COMPLEMENTOS!$D$4:$D$803,B1767,MOVIMIENTOS_COMPLEMENTOS!$E$4:$E$803,C1767,MOVIMIENTOS_COMPLEMENTOS!$G$4:$G$803,E1767,MOVIMIENTOS_COMPLEMENTOS!$H$4:$H$803,G1767,MOVIMIENTOS_COMPLEMENTOS!$B$4:$B$803,"SALIDA"),0)</f>
        <v>0</v>
      </c>
      <c r="I1767" s="102">
        <f t="array" ref="I1767">IFERROR(INDEX(PRECIOS_COMPLEMENTOS!$C$4:$F$17,MATCH(B1767&amp;"_"&amp;C1767,PRECIOS_COMPLEMENTOS!$H$4:$H$17,0),IF(OR(G1767="S",G1767="20cm"),1,IF(OR(G1767="M",G1767="25cm"),2,IF(OR(G1767="L",G1767="30cm"),3,IF(OR(G1767="XL",G1767="35cm"),4,0))))),0)</f>
        <v>0.3</v>
      </c>
      <c r="J1767" s="103">
        <f t="shared" si="1"/>
        <v>0</v>
      </c>
      <c r="K1767" s="104" t="str">
        <f>IF(H1767&lt;0,"ERROR",IF(H1767=0,"",IF(H1767&lt;CONFIG!$B$4,"CRÍTICO",IF(H1767&lt;CONFIG!$B$5,"BAJO","OK"))))</f>
        <v/>
      </c>
    </row>
    <row r="1768" ht="15.75" hidden="1" customHeight="1">
      <c r="A1768" s="90" t="str">
        <f>IF(CLIENTES!A8="","",CLIENTES!A8)</f>
        <v/>
      </c>
      <c r="B1768" s="90" t="s">
        <v>324</v>
      </c>
      <c r="C1768" s="91" t="s">
        <v>328</v>
      </c>
      <c r="D1768" s="109" t="s">
        <v>353</v>
      </c>
      <c r="E1768" s="67" t="str">
        <f>COLORES!A5</f>
        <v>Perla</v>
      </c>
      <c r="F1768" s="67" t="str">
        <f>COLORES!B5</f>
        <v>PPT</v>
      </c>
      <c r="G1768" s="90" t="s">
        <v>378</v>
      </c>
      <c r="H1768" s="100">
        <f>IFERROR(SUMIFS(MOVIMIENTOS_COMPLEMENTOS!$I$4:$I$803,MOVIMIENTOS_COMPLEMENTOS!$C$4:$C$803,A1768,MOVIMIENTOS_COMPLEMENTOS!$D$4:$D$803,B1768,MOVIMIENTOS_COMPLEMENTOS!$E$4:$E$803,C1768,MOVIMIENTOS_COMPLEMENTOS!$G$4:$G$803,E1768,MOVIMIENTOS_COMPLEMENTOS!$H$4:$H$803,G1768,MOVIMIENTOS_COMPLEMENTOS!$B$4:$B$803,"INGRESO")+SUMIFS(MOVIMIENTOS_COMPLEMENTOS!$I$4:$I$803,MOVIMIENTOS_COMPLEMENTOS!$C$4:$C$803,A1768,MOVIMIENTOS_COMPLEMENTOS!$D$4:$D$803,B1768,MOVIMIENTOS_COMPLEMENTOS!$E$4:$E$803,C1768,MOVIMIENTOS_COMPLEMENTOS!$G$4:$G$803,E1768,MOVIMIENTOS_COMPLEMENTOS!$H$4:$H$803,G1768,MOVIMIENTOS_COMPLEMENTOS!$B$4:$B$803,"DE CORTE")-SUMIFS(MOVIMIENTOS_COMPLEMENTOS!$I$4:$I$803,MOVIMIENTOS_COMPLEMENTOS!$C$4:$C$803,A1768,MOVIMIENTOS_COMPLEMENTOS!$D$4:$D$803,B1768,MOVIMIENTOS_COMPLEMENTOS!$E$4:$E$803,C1768,MOVIMIENTOS_COMPLEMENTOS!$G$4:$G$803,E1768,MOVIMIENTOS_COMPLEMENTOS!$H$4:$H$803,G1768,MOVIMIENTOS_COMPLEMENTOS!$B$4:$B$803,"SALIDA"),0)</f>
        <v>0</v>
      </c>
      <c r="I1768" s="102">
        <f t="array" ref="I1768">IFERROR(INDEX(PRECIOS_COMPLEMENTOS!$C$4:$F$17,MATCH(B1768&amp;"_"&amp;C1768,PRECIOS_COMPLEMENTOS!$H$4:$H$17,0),IF(OR(G1768="S",G1768="20cm"),1,IF(OR(G1768="M",G1768="25cm"),2,IF(OR(G1768="L",G1768="30cm"),3,IF(OR(G1768="XL",G1768="35cm"),4,0))))),0)</f>
        <v>0.3</v>
      </c>
      <c r="J1768" s="103">
        <f t="shared" si="1"/>
        <v>0</v>
      </c>
      <c r="K1768" s="104" t="str">
        <f>IF(H1768&lt;0,"ERROR",IF(H1768=0,"",IF(H1768&lt;CONFIG!$B$4,"CRÍTICO",IF(H1768&lt;CONFIG!$B$5,"BAJO","OK"))))</f>
        <v/>
      </c>
    </row>
    <row r="1769" ht="15.75" hidden="1" customHeight="1">
      <c r="A1769" s="90" t="str">
        <f>IF(CLIENTES!A8="","",CLIENTES!A8)</f>
        <v/>
      </c>
      <c r="B1769" s="90" t="s">
        <v>324</v>
      </c>
      <c r="C1769" s="91" t="s">
        <v>328</v>
      </c>
      <c r="D1769" s="109" t="s">
        <v>353</v>
      </c>
      <c r="E1769" s="67" t="str">
        <f>COLORES!A5</f>
        <v>Perla</v>
      </c>
      <c r="F1769" s="67" t="str">
        <f>COLORES!B5</f>
        <v>PPT</v>
      </c>
      <c r="G1769" s="90" t="s">
        <v>376</v>
      </c>
      <c r="H1769" s="100">
        <f>IFERROR(SUMIFS(MOVIMIENTOS_COMPLEMENTOS!$I$4:$I$803,MOVIMIENTOS_COMPLEMENTOS!$C$4:$C$803,A1769,MOVIMIENTOS_COMPLEMENTOS!$D$4:$D$803,B1769,MOVIMIENTOS_COMPLEMENTOS!$E$4:$E$803,C1769,MOVIMIENTOS_COMPLEMENTOS!$G$4:$G$803,E1769,MOVIMIENTOS_COMPLEMENTOS!$H$4:$H$803,G1769,MOVIMIENTOS_COMPLEMENTOS!$B$4:$B$803,"INGRESO")+SUMIFS(MOVIMIENTOS_COMPLEMENTOS!$I$4:$I$803,MOVIMIENTOS_COMPLEMENTOS!$C$4:$C$803,A1769,MOVIMIENTOS_COMPLEMENTOS!$D$4:$D$803,B1769,MOVIMIENTOS_COMPLEMENTOS!$E$4:$E$803,C1769,MOVIMIENTOS_COMPLEMENTOS!$G$4:$G$803,E1769,MOVIMIENTOS_COMPLEMENTOS!$H$4:$H$803,G1769,MOVIMIENTOS_COMPLEMENTOS!$B$4:$B$803,"DE CORTE")-SUMIFS(MOVIMIENTOS_COMPLEMENTOS!$I$4:$I$803,MOVIMIENTOS_COMPLEMENTOS!$C$4:$C$803,A1769,MOVIMIENTOS_COMPLEMENTOS!$D$4:$D$803,B1769,MOVIMIENTOS_COMPLEMENTOS!$E$4:$E$803,C1769,MOVIMIENTOS_COMPLEMENTOS!$G$4:$G$803,E1769,MOVIMIENTOS_COMPLEMENTOS!$H$4:$H$803,G1769,MOVIMIENTOS_COMPLEMENTOS!$B$4:$B$803,"SALIDA"),0)</f>
        <v>0</v>
      </c>
      <c r="I1769" s="102">
        <f t="array" ref="I1769">IFERROR(INDEX(PRECIOS_COMPLEMENTOS!$C$4:$F$17,MATCH(B1769&amp;"_"&amp;C1769,PRECIOS_COMPLEMENTOS!$H$4:$H$17,0),IF(OR(G1769="S",G1769="20cm"),1,IF(OR(G1769="M",G1769="25cm"),2,IF(OR(G1769="L",G1769="30cm"),3,IF(OR(G1769="XL",G1769="35cm"),4,0))))),0)</f>
        <v>0.3</v>
      </c>
      <c r="J1769" s="103">
        <f t="shared" si="1"/>
        <v>0</v>
      </c>
      <c r="K1769" s="104" t="str">
        <f>IF(H1769&lt;0,"ERROR",IF(H1769=0,"",IF(H1769&lt;CONFIG!$B$4,"CRÍTICO",IF(H1769&lt;CONFIG!$B$5,"BAJO","OK"))))</f>
        <v/>
      </c>
    </row>
    <row r="1770" ht="15.75" hidden="1" customHeight="1">
      <c r="A1770" s="90" t="str">
        <f>IF(CLIENTES!A8="","",CLIENTES!A8)</f>
        <v/>
      </c>
      <c r="B1770" s="90" t="s">
        <v>324</v>
      </c>
      <c r="C1770" s="91" t="s">
        <v>328</v>
      </c>
      <c r="D1770" s="109" t="s">
        <v>353</v>
      </c>
      <c r="E1770" s="67" t="str">
        <f>COLORES!A5</f>
        <v>Perla</v>
      </c>
      <c r="F1770" s="67" t="str">
        <f>COLORES!B5</f>
        <v>PPT</v>
      </c>
      <c r="G1770" s="90" t="s">
        <v>377</v>
      </c>
      <c r="H1770" s="100">
        <f>IFERROR(SUMIFS(MOVIMIENTOS_COMPLEMENTOS!$I$4:$I$803,MOVIMIENTOS_COMPLEMENTOS!$C$4:$C$803,A1770,MOVIMIENTOS_COMPLEMENTOS!$D$4:$D$803,B1770,MOVIMIENTOS_COMPLEMENTOS!$E$4:$E$803,C1770,MOVIMIENTOS_COMPLEMENTOS!$G$4:$G$803,E1770,MOVIMIENTOS_COMPLEMENTOS!$H$4:$H$803,G1770,MOVIMIENTOS_COMPLEMENTOS!$B$4:$B$803,"INGRESO")+SUMIFS(MOVIMIENTOS_COMPLEMENTOS!$I$4:$I$803,MOVIMIENTOS_COMPLEMENTOS!$C$4:$C$803,A1770,MOVIMIENTOS_COMPLEMENTOS!$D$4:$D$803,B1770,MOVIMIENTOS_COMPLEMENTOS!$E$4:$E$803,C1770,MOVIMIENTOS_COMPLEMENTOS!$G$4:$G$803,E1770,MOVIMIENTOS_COMPLEMENTOS!$H$4:$H$803,G1770,MOVIMIENTOS_COMPLEMENTOS!$B$4:$B$803,"DE CORTE")-SUMIFS(MOVIMIENTOS_COMPLEMENTOS!$I$4:$I$803,MOVIMIENTOS_COMPLEMENTOS!$C$4:$C$803,A1770,MOVIMIENTOS_COMPLEMENTOS!$D$4:$D$803,B1770,MOVIMIENTOS_COMPLEMENTOS!$E$4:$E$803,C1770,MOVIMIENTOS_COMPLEMENTOS!$G$4:$G$803,E1770,MOVIMIENTOS_COMPLEMENTOS!$H$4:$H$803,G1770,MOVIMIENTOS_COMPLEMENTOS!$B$4:$B$803,"SALIDA"),0)</f>
        <v>0</v>
      </c>
      <c r="I1770" s="102">
        <f t="array" ref="I1770">IFERROR(INDEX(PRECIOS_COMPLEMENTOS!$C$4:$F$17,MATCH(B1770&amp;"_"&amp;C1770,PRECIOS_COMPLEMENTOS!$H$4:$H$17,0),IF(OR(G1770="S",G1770="20cm"),1,IF(OR(G1770="M",G1770="25cm"),2,IF(OR(G1770="L",G1770="30cm"),3,IF(OR(G1770="XL",G1770="35cm"),4,0))))),0)</f>
        <v>0.3</v>
      </c>
      <c r="J1770" s="103">
        <f t="shared" si="1"/>
        <v>0</v>
      </c>
      <c r="K1770" s="104" t="str">
        <f>IF(H1770&lt;0,"ERROR",IF(H1770=0,"",IF(H1770&lt;CONFIG!$B$4,"CRÍTICO",IF(H1770&lt;CONFIG!$B$5,"BAJO","OK"))))</f>
        <v/>
      </c>
    </row>
    <row r="1771" ht="15.75" hidden="1" customHeight="1">
      <c r="A1771" s="90" t="str">
        <f>IF(CLIENTES!A8="","",CLIENTES!A8)</f>
        <v/>
      </c>
      <c r="B1771" s="90" t="s">
        <v>324</v>
      </c>
      <c r="C1771" s="91" t="s">
        <v>328</v>
      </c>
      <c r="D1771" s="109" t="s">
        <v>353</v>
      </c>
      <c r="E1771" s="67" t="str">
        <f>COLORES!A5</f>
        <v>Perla</v>
      </c>
      <c r="F1771" s="67" t="str">
        <f>COLORES!B5</f>
        <v>PPT</v>
      </c>
      <c r="G1771" s="90" t="s">
        <v>379</v>
      </c>
      <c r="H1771" s="100">
        <f>IFERROR(SUMIFS(MOVIMIENTOS_COMPLEMENTOS!$I$4:$I$803,MOVIMIENTOS_COMPLEMENTOS!$C$4:$C$803,A1771,MOVIMIENTOS_COMPLEMENTOS!$D$4:$D$803,B1771,MOVIMIENTOS_COMPLEMENTOS!$E$4:$E$803,C1771,MOVIMIENTOS_COMPLEMENTOS!$G$4:$G$803,E1771,MOVIMIENTOS_COMPLEMENTOS!$H$4:$H$803,G1771,MOVIMIENTOS_COMPLEMENTOS!$B$4:$B$803,"INGRESO")+SUMIFS(MOVIMIENTOS_COMPLEMENTOS!$I$4:$I$803,MOVIMIENTOS_COMPLEMENTOS!$C$4:$C$803,A1771,MOVIMIENTOS_COMPLEMENTOS!$D$4:$D$803,B1771,MOVIMIENTOS_COMPLEMENTOS!$E$4:$E$803,C1771,MOVIMIENTOS_COMPLEMENTOS!$G$4:$G$803,E1771,MOVIMIENTOS_COMPLEMENTOS!$H$4:$H$803,G1771,MOVIMIENTOS_COMPLEMENTOS!$B$4:$B$803,"DE CORTE")-SUMIFS(MOVIMIENTOS_COMPLEMENTOS!$I$4:$I$803,MOVIMIENTOS_COMPLEMENTOS!$C$4:$C$803,A1771,MOVIMIENTOS_COMPLEMENTOS!$D$4:$D$803,B1771,MOVIMIENTOS_COMPLEMENTOS!$E$4:$E$803,C1771,MOVIMIENTOS_COMPLEMENTOS!$G$4:$G$803,E1771,MOVIMIENTOS_COMPLEMENTOS!$H$4:$H$803,G1771,MOVIMIENTOS_COMPLEMENTOS!$B$4:$B$803,"SALIDA"),0)</f>
        <v>0</v>
      </c>
      <c r="I1771" s="102">
        <f t="array" ref="I1771">IFERROR(INDEX(PRECIOS_COMPLEMENTOS!$C$4:$F$17,MATCH(B1771&amp;"_"&amp;C1771,PRECIOS_COMPLEMENTOS!$H$4:$H$17,0),IF(OR(G1771="S",G1771="20cm"),1,IF(OR(G1771="M",G1771="25cm"),2,IF(OR(G1771="L",G1771="30cm"),3,IF(OR(G1771="XL",G1771="35cm"),4,0))))),0)</f>
        <v>0.3</v>
      </c>
      <c r="J1771" s="103">
        <f t="shared" si="1"/>
        <v>0</v>
      </c>
      <c r="K1771" s="104" t="str">
        <f>IF(H1771&lt;0,"ERROR",IF(H1771=0,"",IF(H1771&lt;CONFIG!$B$4,"CRÍTICO",IF(H1771&lt;CONFIG!$B$5,"BAJO","OK"))))</f>
        <v/>
      </c>
    </row>
    <row r="1772" ht="15.75" hidden="1" customHeight="1">
      <c r="A1772" s="90" t="str">
        <f>IF(CLIENTES!A8="","",CLIENTES!A8)</f>
        <v/>
      </c>
      <c r="B1772" s="90" t="s">
        <v>324</v>
      </c>
      <c r="C1772" s="91" t="s">
        <v>328</v>
      </c>
      <c r="D1772" s="109" t="s">
        <v>353</v>
      </c>
      <c r="E1772" s="67" t="str">
        <f>COLORES!A6</f>
        <v>Blanco</v>
      </c>
      <c r="F1772" s="67" t="str">
        <f>COLORES!B6</f>
        <v>PPT</v>
      </c>
      <c r="G1772" s="90" t="s">
        <v>378</v>
      </c>
      <c r="H1772" s="100">
        <f>IFERROR(SUMIFS(MOVIMIENTOS_COMPLEMENTOS!$I$4:$I$803,MOVIMIENTOS_COMPLEMENTOS!$C$4:$C$803,A1772,MOVIMIENTOS_COMPLEMENTOS!$D$4:$D$803,B1772,MOVIMIENTOS_COMPLEMENTOS!$E$4:$E$803,C1772,MOVIMIENTOS_COMPLEMENTOS!$G$4:$G$803,E1772,MOVIMIENTOS_COMPLEMENTOS!$H$4:$H$803,G1772,MOVIMIENTOS_COMPLEMENTOS!$B$4:$B$803,"INGRESO")+SUMIFS(MOVIMIENTOS_COMPLEMENTOS!$I$4:$I$803,MOVIMIENTOS_COMPLEMENTOS!$C$4:$C$803,A1772,MOVIMIENTOS_COMPLEMENTOS!$D$4:$D$803,B1772,MOVIMIENTOS_COMPLEMENTOS!$E$4:$E$803,C1772,MOVIMIENTOS_COMPLEMENTOS!$G$4:$G$803,E1772,MOVIMIENTOS_COMPLEMENTOS!$H$4:$H$803,G1772,MOVIMIENTOS_COMPLEMENTOS!$B$4:$B$803,"DE CORTE")-SUMIFS(MOVIMIENTOS_COMPLEMENTOS!$I$4:$I$803,MOVIMIENTOS_COMPLEMENTOS!$C$4:$C$803,A1772,MOVIMIENTOS_COMPLEMENTOS!$D$4:$D$803,B1772,MOVIMIENTOS_COMPLEMENTOS!$E$4:$E$803,C1772,MOVIMIENTOS_COMPLEMENTOS!$G$4:$G$803,E1772,MOVIMIENTOS_COMPLEMENTOS!$H$4:$H$803,G1772,MOVIMIENTOS_COMPLEMENTOS!$B$4:$B$803,"SALIDA"),0)</f>
        <v>0</v>
      </c>
      <c r="I1772" s="102">
        <f t="array" ref="I1772">IFERROR(INDEX(PRECIOS_COMPLEMENTOS!$C$4:$F$17,MATCH(B1772&amp;"_"&amp;C1772,PRECIOS_COMPLEMENTOS!$H$4:$H$17,0),IF(OR(G1772="S",G1772="20cm"),1,IF(OR(G1772="M",G1772="25cm"),2,IF(OR(G1772="L",G1772="30cm"),3,IF(OR(G1772="XL",G1772="35cm"),4,0))))),0)</f>
        <v>0.3</v>
      </c>
      <c r="J1772" s="103">
        <f t="shared" si="1"/>
        <v>0</v>
      </c>
      <c r="K1772" s="104" t="str">
        <f>IF(H1772&lt;0,"ERROR",IF(H1772=0,"",IF(H1772&lt;CONFIG!$B$4,"CRÍTICO",IF(H1772&lt;CONFIG!$B$5,"BAJO","OK"))))</f>
        <v/>
      </c>
    </row>
    <row r="1773" ht="15.75" hidden="1" customHeight="1">
      <c r="A1773" s="90" t="str">
        <f>IF(CLIENTES!A8="","",CLIENTES!A8)</f>
        <v/>
      </c>
      <c r="B1773" s="90" t="s">
        <v>324</v>
      </c>
      <c r="C1773" s="91" t="s">
        <v>328</v>
      </c>
      <c r="D1773" s="109" t="s">
        <v>353</v>
      </c>
      <c r="E1773" s="67" t="str">
        <f>COLORES!A6</f>
        <v>Blanco</v>
      </c>
      <c r="F1773" s="67" t="str">
        <f>COLORES!B6</f>
        <v>PPT</v>
      </c>
      <c r="G1773" s="90" t="s">
        <v>376</v>
      </c>
      <c r="H1773" s="100">
        <f>IFERROR(SUMIFS(MOVIMIENTOS_COMPLEMENTOS!$I$4:$I$803,MOVIMIENTOS_COMPLEMENTOS!$C$4:$C$803,A1773,MOVIMIENTOS_COMPLEMENTOS!$D$4:$D$803,B1773,MOVIMIENTOS_COMPLEMENTOS!$E$4:$E$803,C1773,MOVIMIENTOS_COMPLEMENTOS!$G$4:$G$803,E1773,MOVIMIENTOS_COMPLEMENTOS!$H$4:$H$803,G1773,MOVIMIENTOS_COMPLEMENTOS!$B$4:$B$803,"INGRESO")+SUMIFS(MOVIMIENTOS_COMPLEMENTOS!$I$4:$I$803,MOVIMIENTOS_COMPLEMENTOS!$C$4:$C$803,A1773,MOVIMIENTOS_COMPLEMENTOS!$D$4:$D$803,B1773,MOVIMIENTOS_COMPLEMENTOS!$E$4:$E$803,C1773,MOVIMIENTOS_COMPLEMENTOS!$G$4:$G$803,E1773,MOVIMIENTOS_COMPLEMENTOS!$H$4:$H$803,G1773,MOVIMIENTOS_COMPLEMENTOS!$B$4:$B$803,"DE CORTE")-SUMIFS(MOVIMIENTOS_COMPLEMENTOS!$I$4:$I$803,MOVIMIENTOS_COMPLEMENTOS!$C$4:$C$803,A1773,MOVIMIENTOS_COMPLEMENTOS!$D$4:$D$803,B1773,MOVIMIENTOS_COMPLEMENTOS!$E$4:$E$803,C1773,MOVIMIENTOS_COMPLEMENTOS!$G$4:$G$803,E1773,MOVIMIENTOS_COMPLEMENTOS!$H$4:$H$803,G1773,MOVIMIENTOS_COMPLEMENTOS!$B$4:$B$803,"SALIDA"),0)</f>
        <v>0</v>
      </c>
      <c r="I1773" s="102">
        <f t="array" ref="I1773">IFERROR(INDEX(PRECIOS_COMPLEMENTOS!$C$4:$F$17,MATCH(B1773&amp;"_"&amp;C1773,PRECIOS_COMPLEMENTOS!$H$4:$H$17,0),IF(OR(G1773="S",G1773="20cm"),1,IF(OR(G1773="M",G1773="25cm"),2,IF(OR(G1773="L",G1773="30cm"),3,IF(OR(G1773="XL",G1773="35cm"),4,0))))),0)</f>
        <v>0.3</v>
      </c>
      <c r="J1773" s="103">
        <f t="shared" si="1"/>
        <v>0</v>
      </c>
      <c r="K1773" s="104" t="str">
        <f>IF(H1773&lt;0,"ERROR",IF(H1773=0,"",IF(H1773&lt;CONFIG!$B$4,"CRÍTICO",IF(H1773&lt;CONFIG!$B$5,"BAJO","OK"))))</f>
        <v/>
      </c>
    </row>
    <row r="1774" ht="15.75" hidden="1" customHeight="1">
      <c r="A1774" s="90" t="str">
        <f>IF(CLIENTES!A8="","",CLIENTES!A8)</f>
        <v/>
      </c>
      <c r="B1774" s="90" t="s">
        <v>324</v>
      </c>
      <c r="C1774" s="91" t="s">
        <v>328</v>
      </c>
      <c r="D1774" s="109" t="s">
        <v>353</v>
      </c>
      <c r="E1774" s="67" t="str">
        <f>COLORES!A6</f>
        <v>Blanco</v>
      </c>
      <c r="F1774" s="67" t="str">
        <f>COLORES!B6</f>
        <v>PPT</v>
      </c>
      <c r="G1774" s="90" t="s">
        <v>377</v>
      </c>
      <c r="H1774" s="100">
        <f>IFERROR(SUMIFS(MOVIMIENTOS_COMPLEMENTOS!$I$4:$I$803,MOVIMIENTOS_COMPLEMENTOS!$C$4:$C$803,A1774,MOVIMIENTOS_COMPLEMENTOS!$D$4:$D$803,B1774,MOVIMIENTOS_COMPLEMENTOS!$E$4:$E$803,C1774,MOVIMIENTOS_COMPLEMENTOS!$G$4:$G$803,E1774,MOVIMIENTOS_COMPLEMENTOS!$H$4:$H$803,G1774,MOVIMIENTOS_COMPLEMENTOS!$B$4:$B$803,"INGRESO")+SUMIFS(MOVIMIENTOS_COMPLEMENTOS!$I$4:$I$803,MOVIMIENTOS_COMPLEMENTOS!$C$4:$C$803,A1774,MOVIMIENTOS_COMPLEMENTOS!$D$4:$D$803,B1774,MOVIMIENTOS_COMPLEMENTOS!$E$4:$E$803,C1774,MOVIMIENTOS_COMPLEMENTOS!$G$4:$G$803,E1774,MOVIMIENTOS_COMPLEMENTOS!$H$4:$H$803,G1774,MOVIMIENTOS_COMPLEMENTOS!$B$4:$B$803,"DE CORTE")-SUMIFS(MOVIMIENTOS_COMPLEMENTOS!$I$4:$I$803,MOVIMIENTOS_COMPLEMENTOS!$C$4:$C$803,A1774,MOVIMIENTOS_COMPLEMENTOS!$D$4:$D$803,B1774,MOVIMIENTOS_COMPLEMENTOS!$E$4:$E$803,C1774,MOVIMIENTOS_COMPLEMENTOS!$G$4:$G$803,E1774,MOVIMIENTOS_COMPLEMENTOS!$H$4:$H$803,G1774,MOVIMIENTOS_COMPLEMENTOS!$B$4:$B$803,"SALIDA"),0)</f>
        <v>0</v>
      </c>
      <c r="I1774" s="102">
        <f t="array" ref="I1774">IFERROR(INDEX(PRECIOS_COMPLEMENTOS!$C$4:$F$17,MATCH(B1774&amp;"_"&amp;C1774,PRECIOS_COMPLEMENTOS!$H$4:$H$17,0),IF(OR(G1774="S",G1774="20cm"),1,IF(OR(G1774="M",G1774="25cm"),2,IF(OR(G1774="L",G1774="30cm"),3,IF(OR(G1774="XL",G1774="35cm"),4,0))))),0)</f>
        <v>0.3</v>
      </c>
      <c r="J1774" s="103">
        <f t="shared" si="1"/>
        <v>0</v>
      </c>
      <c r="K1774" s="104" t="str">
        <f>IF(H1774&lt;0,"ERROR",IF(H1774=0,"",IF(H1774&lt;CONFIG!$B$4,"CRÍTICO",IF(H1774&lt;CONFIG!$B$5,"BAJO","OK"))))</f>
        <v/>
      </c>
    </row>
    <row r="1775" ht="15.75" hidden="1" customHeight="1">
      <c r="A1775" s="90" t="str">
        <f>IF(CLIENTES!A8="","",CLIENTES!A8)</f>
        <v/>
      </c>
      <c r="B1775" s="90" t="s">
        <v>324</v>
      </c>
      <c r="C1775" s="91" t="s">
        <v>328</v>
      </c>
      <c r="D1775" s="109" t="s">
        <v>353</v>
      </c>
      <c r="E1775" s="67" t="str">
        <f>COLORES!A6</f>
        <v>Blanco</v>
      </c>
      <c r="F1775" s="67" t="str">
        <f>COLORES!B6</f>
        <v>PPT</v>
      </c>
      <c r="G1775" s="90" t="s">
        <v>379</v>
      </c>
      <c r="H1775" s="100">
        <f>IFERROR(SUMIFS(MOVIMIENTOS_COMPLEMENTOS!$I$4:$I$803,MOVIMIENTOS_COMPLEMENTOS!$C$4:$C$803,A1775,MOVIMIENTOS_COMPLEMENTOS!$D$4:$D$803,B1775,MOVIMIENTOS_COMPLEMENTOS!$E$4:$E$803,C1775,MOVIMIENTOS_COMPLEMENTOS!$G$4:$G$803,E1775,MOVIMIENTOS_COMPLEMENTOS!$H$4:$H$803,G1775,MOVIMIENTOS_COMPLEMENTOS!$B$4:$B$803,"INGRESO")+SUMIFS(MOVIMIENTOS_COMPLEMENTOS!$I$4:$I$803,MOVIMIENTOS_COMPLEMENTOS!$C$4:$C$803,A1775,MOVIMIENTOS_COMPLEMENTOS!$D$4:$D$803,B1775,MOVIMIENTOS_COMPLEMENTOS!$E$4:$E$803,C1775,MOVIMIENTOS_COMPLEMENTOS!$G$4:$G$803,E1775,MOVIMIENTOS_COMPLEMENTOS!$H$4:$H$803,G1775,MOVIMIENTOS_COMPLEMENTOS!$B$4:$B$803,"DE CORTE")-SUMIFS(MOVIMIENTOS_COMPLEMENTOS!$I$4:$I$803,MOVIMIENTOS_COMPLEMENTOS!$C$4:$C$803,A1775,MOVIMIENTOS_COMPLEMENTOS!$D$4:$D$803,B1775,MOVIMIENTOS_COMPLEMENTOS!$E$4:$E$803,C1775,MOVIMIENTOS_COMPLEMENTOS!$G$4:$G$803,E1775,MOVIMIENTOS_COMPLEMENTOS!$H$4:$H$803,G1775,MOVIMIENTOS_COMPLEMENTOS!$B$4:$B$803,"SALIDA"),0)</f>
        <v>0</v>
      </c>
      <c r="I1775" s="102">
        <f t="array" ref="I1775">IFERROR(INDEX(PRECIOS_COMPLEMENTOS!$C$4:$F$17,MATCH(B1775&amp;"_"&amp;C1775,PRECIOS_COMPLEMENTOS!$H$4:$H$17,0),IF(OR(G1775="S",G1775="20cm"),1,IF(OR(G1775="M",G1775="25cm"),2,IF(OR(G1775="L",G1775="30cm"),3,IF(OR(G1775="XL",G1775="35cm"),4,0))))),0)</f>
        <v>0.3</v>
      </c>
      <c r="J1775" s="103">
        <f t="shared" si="1"/>
        <v>0</v>
      </c>
      <c r="K1775" s="104" t="str">
        <f>IF(H1775&lt;0,"ERROR",IF(H1775=0,"",IF(H1775&lt;CONFIG!$B$4,"CRÍTICO",IF(H1775&lt;CONFIG!$B$5,"BAJO","OK"))))</f>
        <v/>
      </c>
    </row>
    <row r="1776" ht="15.75" hidden="1" customHeight="1">
      <c r="A1776" s="90" t="str">
        <f>IF(CLIENTES!A8="","",CLIENTES!A8)</f>
        <v/>
      </c>
      <c r="B1776" s="90" t="s">
        <v>324</v>
      </c>
      <c r="C1776" s="91" t="s">
        <v>328</v>
      </c>
      <c r="D1776" s="109" t="s">
        <v>353</v>
      </c>
      <c r="E1776" s="67" t="str">
        <f>COLORES!A7</f>
        <v>Azul</v>
      </c>
      <c r="F1776" s="67" t="str">
        <f>COLORES!B7</f>
        <v>OSCURO</v>
      </c>
      <c r="G1776" s="90" t="s">
        <v>378</v>
      </c>
      <c r="H1776" s="100">
        <f>IFERROR(SUMIFS(MOVIMIENTOS_COMPLEMENTOS!$I$4:$I$803,MOVIMIENTOS_COMPLEMENTOS!$C$4:$C$803,A1776,MOVIMIENTOS_COMPLEMENTOS!$D$4:$D$803,B1776,MOVIMIENTOS_COMPLEMENTOS!$E$4:$E$803,C1776,MOVIMIENTOS_COMPLEMENTOS!$G$4:$G$803,E1776,MOVIMIENTOS_COMPLEMENTOS!$H$4:$H$803,G1776,MOVIMIENTOS_COMPLEMENTOS!$B$4:$B$803,"INGRESO")+SUMIFS(MOVIMIENTOS_COMPLEMENTOS!$I$4:$I$803,MOVIMIENTOS_COMPLEMENTOS!$C$4:$C$803,A1776,MOVIMIENTOS_COMPLEMENTOS!$D$4:$D$803,B1776,MOVIMIENTOS_COMPLEMENTOS!$E$4:$E$803,C1776,MOVIMIENTOS_COMPLEMENTOS!$G$4:$G$803,E1776,MOVIMIENTOS_COMPLEMENTOS!$H$4:$H$803,G1776,MOVIMIENTOS_COMPLEMENTOS!$B$4:$B$803,"DE CORTE")-SUMIFS(MOVIMIENTOS_COMPLEMENTOS!$I$4:$I$803,MOVIMIENTOS_COMPLEMENTOS!$C$4:$C$803,A1776,MOVIMIENTOS_COMPLEMENTOS!$D$4:$D$803,B1776,MOVIMIENTOS_COMPLEMENTOS!$E$4:$E$803,C1776,MOVIMIENTOS_COMPLEMENTOS!$G$4:$G$803,E1776,MOVIMIENTOS_COMPLEMENTOS!$H$4:$H$803,G1776,MOVIMIENTOS_COMPLEMENTOS!$B$4:$B$803,"SALIDA"),0)</f>
        <v>0</v>
      </c>
      <c r="I1776" s="102">
        <f t="array" ref="I1776">IFERROR(INDEX(PRECIOS_COMPLEMENTOS!$C$4:$F$17,MATCH(B1776&amp;"_"&amp;C1776,PRECIOS_COMPLEMENTOS!$H$4:$H$17,0),IF(OR(G1776="S",G1776="20cm"),1,IF(OR(G1776="M",G1776="25cm"),2,IF(OR(G1776="L",G1776="30cm"),3,IF(OR(G1776="XL",G1776="35cm"),4,0))))),0)</f>
        <v>0.3</v>
      </c>
      <c r="J1776" s="103">
        <f t="shared" si="1"/>
        <v>0</v>
      </c>
      <c r="K1776" s="104" t="str">
        <f>IF(H1776&lt;0,"ERROR",IF(H1776=0,"",IF(H1776&lt;CONFIG!$B$4,"CRÍTICO",IF(H1776&lt;CONFIG!$B$5,"BAJO","OK"))))</f>
        <v/>
      </c>
    </row>
    <row r="1777" ht="15.75" hidden="1" customHeight="1">
      <c r="A1777" s="90" t="str">
        <f>IF(CLIENTES!A8="","",CLIENTES!A8)</f>
        <v/>
      </c>
      <c r="B1777" s="90" t="s">
        <v>324</v>
      </c>
      <c r="C1777" s="91" t="s">
        <v>328</v>
      </c>
      <c r="D1777" s="109" t="s">
        <v>353</v>
      </c>
      <c r="E1777" s="67" t="str">
        <f>COLORES!A7</f>
        <v>Azul</v>
      </c>
      <c r="F1777" s="67" t="str">
        <f>COLORES!B7</f>
        <v>OSCURO</v>
      </c>
      <c r="G1777" s="90" t="s">
        <v>376</v>
      </c>
      <c r="H1777" s="100">
        <f>IFERROR(SUMIFS(MOVIMIENTOS_COMPLEMENTOS!$I$4:$I$803,MOVIMIENTOS_COMPLEMENTOS!$C$4:$C$803,A1777,MOVIMIENTOS_COMPLEMENTOS!$D$4:$D$803,B1777,MOVIMIENTOS_COMPLEMENTOS!$E$4:$E$803,C1777,MOVIMIENTOS_COMPLEMENTOS!$G$4:$G$803,E1777,MOVIMIENTOS_COMPLEMENTOS!$H$4:$H$803,G1777,MOVIMIENTOS_COMPLEMENTOS!$B$4:$B$803,"INGRESO")+SUMIFS(MOVIMIENTOS_COMPLEMENTOS!$I$4:$I$803,MOVIMIENTOS_COMPLEMENTOS!$C$4:$C$803,A1777,MOVIMIENTOS_COMPLEMENTOS!$D$4:$D$803,B1777,MOVIMIENTOS_COMPLEMENTOS!$E$4:$E$803,C1777,MOVIMIENTOS_COMPLEMENTOS!$G$4:$G$803,E1777,MOVIMIENTOS_COMPLEMENTOS!$H$4:$H$803,G1777,MOVIMIENTOS_COMPLEMENTOS!$B$4:$B$803,"DE CORTE")-SUMIFS(MOVIMIENTOS_COMPLEMENTOS!$I$4:$I$803,MOVIMIENTOS_COMPLEMENTOS!$C$4:$C$803,A1777,MOVIMIENTOS_COMPLEMENTOS!$D$4:$D$803,B1777,MOVIMIENTOS_COMPLEMENTOS!$E$4:$E$803,C1777,MOVIMIENTOS_COMPLEMENTOS!$G$4:$G$803,E1777,MOVIMIENTOS_COMPLEMENTOS!$H$4:$H$803,G1777,MOVIMIENTOS_COMPLEMENTOS!$B$4:$B$803,"SALIDA"),0)</f>
        <v>0</v>
      </c>
      <c r="I1777" s="102">
        <f t="array" ref="I1777">IFERROR(INDEX(PRECIOS_COMPLEMENTOS!$C$4:$F$17,MATCH(B1777&amp;"_"&amp;C1777,PRECIOS_COMPLEMENTOS!$H$4:$H$17,0),IF(OR(G1777="S",G1777="20cm"),1,IF(OR(G1777="M",G1777="25cm"),2,IF(OR(G1777="L",G1777="30cm"),3,IF(OR(G1777="XL",G1777="35cm"),4,0))))),0)</f>
        <v>0.3</v>
      </c>
      <c r="J1777" s="103">
        <f t="shared" si="1"/>
        <v>0</v>
      </c>
      <c r="K1777" s="104" t="str">
        <f>IF(H1777&lt;0,"ERROR",IF(H1777=0,"",IF(H1777&lt;CONFIG!$B$4,"CRÍTICO",IF(H1777&lt;CONFIG!$B$5,"BAJO","OK"))))</f>
        <v/>
      </c>
    </row>
    <row r="1778" ht="15.75" hidden="1" customHeight="1">
      <c r="A1778" s="90" t="str">
        <f>IF(CLIENTES!A8="","",CLIENTES!A8)</f>
        <v/>
      </c>
      <c r="B1778" s="90" t="s">
        <v>324</v>
      </c>
      <c r="C1778" s="91" t="s">
        <v>328</v>
      </c>
      <c r="D1778" s="109" t="s">
        <v>353</v>
      </c>
      <c r="E1778" s="67" t="str">
        <f>COLORES!A7</f>
        <v>Azul</v>
      </c>
      <c r="F1778" s="67" t="str">
        <f>COLORES!B7</f>
        <v>OSCURO</v>
      </c>
      <c r="G1778" s="90" t="s">
        <v>377</v>
      </c>
      <c r="H1778" s="100">
        <f>IFERROR(SUMIFS(MOVIMIENTOS_COMPLEMENTOS!$I$4:$I$803,MOVIMIENTOS_COMPLEMENTOS!$C$4:$C$803,A1778,MOVIMIENTOS_COMPLEMENTOS!$D$4:$D$803,B1778,MOVIMIENTOS_COMPLEMENTOS!$E$4:$E$803,C1778,MOVIMIENTOS_COMPLEMENTOS!$G$4:$G$803,E1778,MOVIMIENTOS_COMPLEMENTOS!$H$4:$H$803,G1778,MOVIMIENTOS_COMPLEMENTOS!$B$4:$B$803,"INGRESO")+SUMIFS(MOVIMIENTOS_COMPLEMENTOS!$I$4:$I$803,MOVIMIENTOS_COMPLEMENTOS!$C$4:$C$803,A1778,MOVIMIENTOS_COMPLEMENTOS!$D$4:$D$803,B1778,MOVIMIENTOS_COMPLEMENTOS!$E$4:$E$803,C1778,MOVIMIENTOS_COMPLEMENTOS!$G$4:$G$803,E1778,MOVIMIENTOS_COMPLEMENTOS!$H$4:$H$803,G1778,MOVIMIENTOS_COMPLEMENTOS!$B$4:$B$803,"DE CORTE")-SUMIFS(MOVIMIENTOS_COMPLEMENTOS!$I$4:$I$803,MOVIMIENTOS_COMPLEMENTOS!$C$4:$C$803,A1778,MOVIMIENTOS_COMPLEMENTOS!$D$4:$D$803,B1778,MOVIMIENTOS_COMPLEMENTOS!$E$4:$E$803,C1778,MOVIMIENTOS_COMPLEMENTOS!$G$4:$G$803,E1778,MOVIMIENTOS_COMPLEMENTOS!$H$4:$H$803,G1778,MOVIMIENTOS_COMPLEMENTOS!$B$4:$B$803,"SALIDA"),0)</f>
        <v>0</v>
      </c>
      <c r="I1778" s="102">
        <f t="array" ref="I1778">IFERROR(INDEX(PRECIOS_COMPLEMENTOS!$C$4:$F$17,MATCH(B1778&amp;"_"&amp;C1778,PRECIOS_COMPLEMENTOS!$H$4:$H$17,0),IF(OR(G1778="S",G1778="20cm"),1,IF(OR(G1778="M",G1778="25cm"),2,IF(OR(G1778="L",G1778="30cm"),3,IF(OR(G1778="XL",G1778="35cm"),4,0))))),0)</f>
        <v>0.3</v>
      </c>
      <c r="J1778" s="103">
        <f t="shared" si="1"/>
        <v>0</v>
      </c>
      <c r="K1778" s="104" t="str">
        <f>IF(H1778&lt;0,"ERROR",IF(H1778=0,"",IF(H1778&lt;CONFIG!$B$4,"CRÍTICO",IF(H1778&lt;CONFIG!$B$5,"BAJO","OK"))))</f>
        <v/>
      </c>
    </row>
    <row r="1779" ht="15.75" hidden="1" customHeight="1">
      <c r="A1779" s="90" t="str">
        <f>IF(CLIENTES!A8="","",CLIENTES!A8)</f>
        <v/>
      </c>
      <c r="B1779" s="90" t="s">
        <v>324</v>
      </c>
      <c r="C1779" s="91" t="s">
        <v>328</v>
      </c>
      <c r="D1779" s="109" t="s">
        <v>353</v>
      </c>
      <c r="E1779" s="67" t="str">
        <f>COLORES!A7</f>
        <v>Azul</v>
      </c>
      <c r="F1779" s="67" t="str">
        <f>COLORES!B7</f>
        <v>OSCURO</v>
      </c>
      <c r="G1779" s="90" t="s">
        <v>379</v>
      </c>
      <c r="H1779" s="100">
        <f>IFERROR(SUMIFS(MOVIMIENTOS_COMPLEMENTOS!$I$4:$I$803,MOVIMIENTOS_COMPLEMENTOS!$C$4:$C$803,A1779,MOVIMIENTOS_COMPLEMENTOS!$D$4:$D$803,B1779,MOVIMIENTOS_COMPLEMENTOS!$E$4:$E$803,C1779,MOVIMIENTOS_COMPLEMENTOS!$G$4:$G$803,E1779,MOVIMIENTOS_COMPLEMENTOS!$H$4:$H$803,G1779,MOVIMIENTOS_COMPLEMENTOS!$B$4:$B$803,"INGRESO")+SUMIFS(MOVIMIENTOS_COMPLEMENTOS!$I$4:$I$803,MOVIMIENTOS_COMPLEMENTOS!$C$4:$C$803,A1779,MOVIMIENTOS_COMPLEMENTOS!$D$4:$D$803,B1779,MOVIMIENTOS_COMPLEMENTOS!$E$4:$E$803,C1779,MOVIMIENTOS_COMPLEMENTOS!$G$4:$G$803,E1779,MOVIMIENTOS_COMPLEMENTOS!$H$4:$H$803,G1779,MOVIMIENTOS_COMPLEMENTOS!$B$4:$B$803,"DE CORTE")-SUMIFS(MOVIMIENTOS_COMPLEMENTOS!$I$4:$I$803,MOVIMIENTOS_COMPLEMENTOS!$C$4:$C$803,A1779,MOVIMIENTOS_COMPLEMENTOS!$D$4:$D$803,B1779,MOVIMIENTOS_COMPLEMENTOS!$E$4:$E$803,C1779,MOVIMIENTOS_COMPLEMENTOS!$G$4:$G$803,E1779,MOVIMIENTOS_COMPLEMENTOS!$H$4:$H$803,G1779,MOVIMIENTOS_COMPLEMENTOS!$B$4:$B$803,"SALIDA"),0)</f>
        <v>0</v>
      </c>
      <c r="I1779" s="102">
        <f t="array" ref="I1779">IFERROR(INDEX(PRECIOS_COMPLEMENTOS!$C$4:$F$17,MATCH(B1779&amp;"_"&amp;C1779,PRECIOS_COMPLEMENTOS!$H$4:$H$17,0),IF(OR(G1779="S",G1779="20cm"),1,IF(OR(G1779="M",G1779="25cm"),2,IF(OR(G1779="L",G1779="30cm"),3,IF(OR(G1779="XL",G1779="35cm"),4,0))))),0)</f>
        <v>0.3</v>
      </c>
      <c r="J1779" s="103">
        <f t="shared" si="1"/>
        <v>0</v>
      </c>
      <c r="K1779" s="104" t="str">
        <f>IF(H1779&lt;0,"ERROR",IF(H1779=0,"",IF(H1779&lt;CONFIG!$B$4,"CRÍTICO",IF(H1779&lt;CONFIG!$B$5,"BAJO","OK"))))</f>
        <v/>
      </c>
    </row>
    <row r="1780" ht="15.75" hidden="1" customHeight="1">
      <c r="A1780" s="90" t="str">
        <f>IF(CLIENTES!A8="","",CLIENTES!A8)</f>
        <v/>
      </c>
      <c r="B1780" s="90" t="s">
        <v>324</v>
      </c>
      <c r="C1780" s="91" t="s">
        <v>328</v>
      </c>
      <c r="D1780" s="109" t="s">
        <v>353</v>
      </c>
      <c r="E1780" s="67" t="str">
        <f>COLORES!A8</f>
        <v>Beige</v>
      </c>
      <c r="F1780" s="67" t="str">
        <f>COLORES!B8</f>
        <v>CLARO</v>
      </c>
      <c r="G1780" s="90" t="s">
        <v>378</v>
      </c>
      <c r="H1780" s="100">
        <f>IFERROR(SUMIFS(MOVIMIENTOS_COMPLEMENTOS!$I$4:$I$803,MOVIMIENTOS_COMPLEMENTOS!$C$4:$C$803,A1780,MOVIMIENTOS_COMPLEMENTOS!$D$4:$D$803,B1780,MOVIMIENTOS_COMPLEMENTOS!$E$4:$E$803,C1780,MOVIMIENTOS_COMPLEMENTOS!$G$4:$G$803,E1780,MOVIMIENTOS_COMPLEMENTOS!$H$4:$H$803,G1780,MOVIMIENTOS_COMPLEMENTOS!$B$4:$B$803,"INGRESO")+SUMIFS(MOVIMIENTOS_COMPLEMENTOS!$I$4:$I$803,MOVIMIENTOS_COMPLEMENTOS!$C$4:$C$803,A1780,MOVIMIENTOS_COMPLEMENTOS!$D$4:$D$803,B1780,MOVIMIENTOS_COMPLEMENTOS!$E$4:$E$803,C1780,MOVIMIENTOS_COMPLEMENTOS!$G$4:$G$803,E1780,MOVIMIENTOS_COMPLEMENTOS!$H$4:$H$803,G1780,MOVIMIENTOS_COMPLEMENTOS!$B$4:$B$803,"DE CORTE")-SUMIFS(MOVIMIENTOS_COMPLEMENTOS!$I$4:$I$803,MOVIMIENTOS_COMPLEMENTOS!$C$4:$C$803,A1780,MOVIMIENTOS_COMPLEMENTOS!$D$4:$D$803,B1780,MOVIMIENTOS_COMPLEMENTOS!$E$4:$E$803,C1780,MOVIMIENTOS_COMPLEMENTOS!$G$4:$G$803,E1780,MOVIMIENTOS_COMPLEMENTOS!$H$4:$H$803,G1780,MOVIMIENTOS_COMPLEMENTOS!$B$4:$B$803,"SALIDA"),0)</f>
        <v>0</v>
      </c>
      <c r="I1780" s="102">
        <f t="array" ref="I1780">IFERROR(INDEX(PRECIOS_COMPLEMENTOS!$C$4:$F$17,MATCH(B1780&amp;"_"&amp;C1780,PRECIOS_COMPLEMENTOS!$H$4:$H$17,0),IF(OR(G1780="S",G1780="20cm"),1,IF(OR(G1780="M",G1780="25cm"),2,IF(OR(G1780="L",G1780="30cm"),3,IF(OR(G1780="XL",G1780="35cm"),4,0))))),0)</f>
        <v>0.3</v>
      </c>
      <c r="J1780" s="103">
        <f t="shared" si="1"/>
        <v>0</v>
      </c>
      <c r="K1780" s="104" t="str">
        <f>IF(H1780&lt;0,"ERROR",IF(H1780=0,"",IF(H1780&lt;CONFIG!$B$4,"CRÍTICO",IF(H1780&lt;CONFIG!$B$5,"BAJO","OK"))))</f>
        <v/>
      </c>
    </row>
    <row r="1781" ht="15.75" hidden="1" customHeight="1">
      <c r="A1781" s="90" t="str">
        <f>IF(CLIENTES!A8="","",CLIENTES!A8)</f>
        <v/>
      </c>
      <c r="B1781" s="90" t="s">
        <v>324</v>
      </c>
      <c r="C1781" s="91" t="s">
        <v>328</v>
      </c>
      <c r="D1781" s="109" t="s">
        <v>353</v>
      </c>
      <c r="E1781" s="67" t="str">
        <f>COLORES!A8</f>
        <v>Beige</v>
      </c>
      <c r="F1781" s="67" t="str">
        <f>COLORES!B8</f>
        <v>CLARO</v>
      </c>
      <c r="G1781" s="90" t="s">
        <v>376</v>
      </c>
      <c r="H1781" s="100">
        <f>IFERROR(SUMIFS(MOVIMIENTOS_COMPLEMENTOS!$I$4:$I$803,MOVIMIENTOS_COMPLEMENTOS!$C$4:$C$803,A1781,MOVIMIENTOS_COMPLEMENTOS!$D$4:$D$803,B1781,MOVIMIENTOS_COMPLEMENTOS!$E$4:$E$803,C1781,MOVIMIENTOS_COMPLEMENTOS!$G$4:$G$803,E1781,MOVIMIENTOS_COMPLEMENTOS!$H$4:$H$803,G1781,MOVIMIENTOS_COMPLEMENTOS!$B$4:$B$803,"INGRESO")+SUMIFS(MOVIMIENTOS_COMPLEMENTOS!$I$4:$I$803,MOVIMIENTOS_COMPLEMENTOS!$C$4:$C$803,A1781,MOVIMIENTOS_COMPLEMENTOS!$D$4:$D$803,B1781,MOVIMIENTOS_COMPLEMENTOS!$E$4:$E$803,C1781,MOVIMIENTOS_COMPLEMENTOS!$G$4:$G$803,E1781,MOVIMIENTOS_COMPLEMENTOS!$H$4:$H$803,G1781,MOVIMIENTOS_COMPLEMENTOS!$B$4:$B$803,"DE CORTE")-SUMIFS(MOVIMIENTOS_COMPLEMENTOS!$I$4:$I$803,MOVIMIENTOS_COMPLEMENTOS!$C$4:$C$803,A1781,MOVIMIENTOS_COMPLEMENTOS!$D$4:$D$803,B1781,MOVIMIENTOS_COMPLEMENTOS!$E$4:$E$803,C1781,MOVIMIENTOS_COMPLEMENTOS!$G$4:$G$803,E1781,MOVIMIENTOS_COMPLEMENTOS!$H$4:$H$803,G1781,MOVIMIENTOS_COMPLEMENTOS!$B$4:$B$803,"SALIDA"),0)</f>
        <v>0</v>
      </c>
      <c r="I1781" s="102">
        <f t="array" ref="I1781">IFERROR(INDEX(PRECIOS_COMPLEMENTOS!$C$4:$F$17,MATCH(B1781&amp;"_"&amp;C1781,PRECIOS_COMPLEMENTOS!$H$4:$H$17,0),IF(OR(G1781="S",G1781="20cm"),1,IF(OR(G1781="M",G1781="25cm"),2,IF(OR(G1781="L",G1781="30cm"),3,IF(OR(G1781="XL",G1781="35cm"),4,0))))),0)</f>
        <v>0.3</v>
      </c>
      <c r="J1781" s="103">
        <f t="shared" si="1"/>
        <v>0</v>
      </c>
      <c r="K1781" s="104" t="str">
        <f>IF(H1781&lt;0,"ERROR",IF(H1781=0,"",IF(H1781&lt;CONFIG!$B$4,"CRÍTICO",IF(H1781&lt;CONFIG!$B$5,"BAJO","OK"))))</f>
        <v/>
      </c>
    </row>
    <row r="1782" ht="15.75" hidden="1" customHeight="1">
      <c r="A1782" s="90" t="str">
        <f>IF(CLIENTES!A8="","",CLIENTES!A8)</f>
        <v/>
      </c>
      <c r="B1782" s="90" t="s">
        <v>324</v>
      </c>
      <c r="C1782" s="91" t="s">
        <v>328</v>
      </c>
      <c r="D1782" s="109" t="s">
        <v>353</v>
      </c>
      <c r="E1782" s="67" t="str">
        <f>COLORES!A8</f>
        <v>Beige</v>
      </c>
      <c r="F1782" s="67" t="str">
        <f>COLORES!B8</f>
        <v>CLARO</v>
      </c>
      <c r="G1782" s="90" t="s">
        <v>377</v>
      </c>
      <c r="H1782" s="100">
        <f>IFERROR(SUMIFS(MOVIMIENTOS_COMPLEMENTOS!$I$4:$I$803,MOVIMIENTOS_COMPLEMENTOS!$C$4:$C$803,A1782,MOVIMIENTOS_COMPLEMENTOS!$D$4:$D$803,B1782,MOVIMIENTOS_COMPLEMENTOS!$E$4:$E$803,C1782,MOVIMIENTOS_COMPLEMENTOS!$G$4:$G$803,E1782,MOVIMIENTOS_COMPLEMENTOS!$H$4:$H$803,G1782,MOVIMIENTOS_COMPLEMENTOS!$B$4:$B$803,"INGRESO")+SUMIFS(MOVIMIENTOS_COMPLEMENTOS!$I$4:$I$803,MOVIMIENTOS_COMPLEMENTOS!$C$4:$C$803,A1782,MOVIMIENTOS_COMPLEMENTOS!$D$4:$D$803,B1782,MOVIMIENTOS_COMPLEMENTOS!$E$4:$E$803,C1782,MOVIMIENTOS_COMPLEMENTOS!$G$4:$G$803,E1782,MOVIMIENTOS_COMPLEMENTOS!$H$4:$H$803,G1782,MOVIMIENTOS_COMPLEMENTOS!$B$4:$B$803,"DE CORTE")-SUMIFS(MOVIMIENTOS_COMPLEMENTOS!$I$4:$I$803,MOVIMIENTOS_COMPLEMENTOS!$C$4:$C$803,A1782,MOVIMIENTOS_COMPLEMENTOS!$D$4:$D$803,B1782,MOVIMIENTOS_COMPLEMENTOS!$E$4:$E$803,C1782,MOVIMIENTOS_COMPLEMENTOS!$G$4:$G$803,E1782,MOVIMIENTOS_COMPLEMENTOS!$H$4:$H$803,G1782,MOVIMIENTOS_COMPLEMENTOS!$B$4:$B$803,"SALIDA"),0)</f>
        <v>0</v>
      </c>
      <c r="I1782" s="102">
        <f t="array" ref="I1782">IFERROR(INDEX(PRECIOS_COMPLEMENTOS!$C$4:$F$17,MATCH(B1782&amp;"_"&amp;C1782,PRECIOS_COMPLEMENTOS!$H$4:$H$17,0),IF(OR(G1782="S",G1782="20cm"),1,IF(OR(G1782="M",G1782="25cm"),2,IF(OR(G1782="L",G1782="30cm"),3,IF(OR(G1782="XL",G1782="35cm"),4,0))))),0)</f>
        <v>0.3</v>
      </c>
      <c r="J1782" s="103">
        <f t="shared" si="1"/>
        <v>0</v>
      </c>
      <c r="K1782" s="104" t="str">
        <f>IF(H1782&lt;0,"ERROR",IF(H1782=0,"",IF(H1782&lt;CONFIG!$B$4,"CRÍTICO",IF(H1782&lt;CONFIG!$B$5,"BAJO","OK"))))</f>
        <v/>
      </c>
    </row>
    <row r="1783" ht="15.75" hidden="1" customHeight="1">
      <c r="A1783" s="90" t="str">
        <f>IF(CLIENTES!A8="","",CLIENTES!A8)</f>
        <v/>
      </c>
      <c r="B1783" s="90" t="s">
        <v>324</v>
      </c>
      <c r="C1783" s="91" t="s">
        <v>328</v>
      </c>
      <c r="D1783" s="109" t="s">
        <v>353</v>
      </c>
      <c r="E1783" s="67" t="str">
        <f>COLORES!A8</f>
        <v>Beige</v>
      </c>
      <c r="F1783" s="67" t="str">
        <f>COLORES!B8</f>
        <v>CLARO</v>
      </c>
      <c r="G1783" s="90" t="s">
        <v>379</v>
      </c>
      <c r="H1783" s="100">
        <f>IFERROR(SUMIFS(MOVIMIENTOS_COMPLEMENTOS!$I$4:$I$803,MOVIMIENTOS_COMPLEMENTOS!$C$4:$C$803,A1783,MOVIMIENTOS_COMPLEMENTOS!$D$4:$D$803,B1783,MOVIMIENTOS_COMPLEMENTOS!$E$4:$E$803,C1783,MOVIMIENTOS_COMPLEMENTOS!$G$4:$G$803,E1783,MOVIMIENTOS_COMPLEMENTOS!$H$4:$H$803,G1783,MOVIMIENTOS_COMPLEMENTOS!$B$4:$B$803,"INGRESO")+SUMIFS(MOVIMIENTOS_COMPLEMENTOS!$I$4:$I$803,MOVIMIENTOS_COMPLEMENTOS!$C$4:$C$803,A1783,MOVIMIENTOS_COMPLEMENTOS!$D$4:$D$803,B1783,MOVIMIENTOS_COMPLEMENTOS!$E$4:$E$803,C1783,MOVIMIENTOS_COMPLEMENTOS!$G$4:$G$803,E1783,MOVIMIENTOS_COMPLEMENTOS!$H$4:$H$803,G1783,MOVIMIENTOS_COMPLEMENTOS!$B$4:$B$803,"DE CORTE")-SUMIFS(MOVIMIENTOS_COMPLEMENTOS!$I$4:$I$803,MOVIMIENTOS_COMPLEMENTOS!$C$4:$C$803,A1783,MOVIMIENTOS_COMPLEMENTOS!$D$4:$D$803,B1783,MOVIMIENTOS_COMPLEMENTOS!$E$4:$E$803,C1783,MOVIMIENTOS_COMPLEMENTOS!$G$4:$G$803,E1783,MOVIMIENTOS_COMPLEMENTOS!$H$4:$H$803,G1783,MOVIMIENTOS_COMPLEMENTOS!$B$4:$B$803,"SALIDA"),0)</f>
        <v>0</v>
      </c>
      <c r="I1783" s="102">
        <f t="array" ref="I1783">IFERROR(INDEX(PRECIOS_COMPLEMENTOS!$C$4:$F$17,MATCH(B1783&amp;"_"&amp;C1783,PRECIOS_COMPLEMENTOS!$H$4:$H$17,0),IF(OR(G1783="S",G1783="20cm"),1,IF(OR(G1783="M",G1783="25cm"),2,IF(OR(G1783="L",G1783="30cm"),3,IF(OR(G1783="XL",G1783="35cm"),4,0))))),0)</f>
        <v>0.3</v>
      </c>
      <c r="J1783" s="103">
        <f t="shared" si="1"/>
        <v>0</v>
      </c>
      <c r="K1783" s="104" t="str">
        <f>IF(H1783&lt;0,"ERROR",IF(H1783=0,"",IF(H1783&lt;CONFIG!$B$4,"CRÍTICO",IF(H1783&lt;CONFIG!$B$5,"BAJO","OK"))))</f>
        <v/>
      </c>
    </row>
    <row r="1784" ht="15.75" hidden="1" customHeight="1">
      <c r="A1784" s="90" t="str">
        <f>IF(CLIENTES!A8="","",CLIENTES!A8)</f>
        <v/>
      </c>
      <c r="B1784" s="90" t="s">
        <v>324</v>
      </c>
      <c r="C1784" s="91" t="s">
        <v>328</v>
      </c>
      <c r="D1784" s="109" t="s">
        <v>353</v>
      </c>
      <c r="E1784" s="67" t="str">
        <f>COLORES!A9</f>
        <v>Melange</v>
      </c>
      <c r="F1784" s="67" t="str">
        <f>COLORES!B9</f>
        <v>MELANGE</v>
      </c>
      <c r="G1784" s="90" t="s">
        <v>378</v>
      </c>
      <c r="H1784" s="100">
        <f>IFERROR(SUMIFS(MOVIMIENTOS_COMPLEMENTOS!$I$4:$I$803,MOVIMIENTOS_COMPLEMENTOS!$C$4:$C$803,A1784,MOVIMIENTOS_COMPLEMENTOS!$D$4:$D$803,B1784,MOVIMIENTOS_COMPLEMENTOS!$E$4:$E$803,C1784,MOVIMIENTOS_COMPLEMENTOS!$G$4:$G$803,E1784,MOVIMIENTOS_COMPLEMENTOS!$H$4:$H$803,G1784,MOVIMIENTOS_COMPLEMENTOS!$B$4:$B$803,"INGRESO")+SUMIFS(MOVIMIENTOS_COMPLEMENTOS!$I$4:$I$803,MOVIMIENTOS_COMPLEMENTOS!$C$4:$C$803,A1784,MOVIMIENTOS_COMPLEMENTOS!$D$4:$D$803,B1784,MOVIMIENTOS_COMPLEMENTOS!$E$4:$E$803,C1784,MOVIMIENTOS_COMPLEMENTOS!$G$4:$G$803,E1784,MOVIMIENTOS_COMPLEMENTOS!$H$4:$H$803,G1784,MOVIMIENTOS_COMPLEMENTOS!$B$4:$B$803,"DE CORTE")-SUMIFS(MOVIMIENTOS_COMPLEMENTOS!$I$4:$I$803,MOVIMIENTOS_COMPLEMENTOS!$C$4:$C$803,A1784,MOVIMIENTOS_COMPLEMENTOS!$D$4:$D$803,B1784,MOVIMIENTOS_COMPLEMENTOS!$E$4:$E$803,C1784,MOVIMIENTOS_COMPLEMENTOS!$G$4:$G$803,E1784,MOVIMIENTOS_COMPLEMENTOS!$H$4:$H$803,G1784,MOVIMIENTOS_COMPLEMENTOS!$B$4:$B$803,"SALIDA"),0)</f>
        <v>0</v>
      </c>
      <c r="I1784" s="102">
        <f t="array" ref="I1784">IFERROR(INDEX(PRECIOS_COMPLEMENTOS!$C$4:$F$17,MATCH(B1784&amp;"_"&amp;C1784,PRECIOS_COMPLEMENTOS!$H$4:$H$17,0),IF(OR(G1784="S",G1784="20cm"),1,IF(OR(G1784="M",G1784="25cm"),2,IF(OR(G1784="L",G1784="30cm"),3,IF(OR(G1784="XL",G1784="35cm"),4,0))))),0)</f>
        <v>0.3</v>
      </c>
      <c r="J1784" s="103">
        <f t="shared" si="1"/>
        <v>0</v>
      </c>
      <c r="K1784" s="104" t="str">
        <f>IF(H1784&lt;0,"ERROR",IF(H1784=0,"",IF(H1784&lt;CONFIG!$B$4,"CRÍTICO",IF(H1784&lt;CONFIG!$B$5,"BAJO","OK"))))</f>
        <v/>
      </c>
    </row>
    <row r="1785" ht="15.75" hidden="1" customHeight="1">
      <c r="A1785" s="90" t="str">
        <f>IF(CLIENTES!A8="","",CLIENTES!A8)</f>
        <v/>
      </c>
      <c r="B1785" s="90" t="s">
        <v>324</v>
      </c>
      <c r="C1785" s="91" t="s">
        <v>328</v>
      </c>
      <c r="D1785" s="109" t="s">
        <v>353</v>
      </c>
      <c r="E1785" s="67" t="str">
        <f>COLORES!A9</f>
        <v>Melange</v>
      </c>
      <c r="F1785" s="67" t="str">
        <f>COLORES!B9</f>
        <v>MELANGE</v>
      </c>
      <c r="G1785" s="90" t="s">
        <v>376</v>
      </c>
      <c r="H1785" s="100">
        <f>IFERROR(SUMIFS(MOVIMIENTOS_COMPLEMENTOS!$I$4:$I$803,MOVIMIENTOS_COMPLEMENTOS!$C$4:$C$803,A1785,MOVIMIENTOS_COMPLEMENTOS!$D$4:$D$803,B1785,MOVIMIENTOS_COMPLEMENTOS!$E$4:$E$803,C1785,MOVIMIENTOS_COMPLEMENTOS!$G$4:$G$803,E1785,MOVIMIENTOS_COMPLEMENTOS!$H$4:$H$803,G1785,MOVIMIENTOS_COMPLEMENTOS!$B$4:$B$803,"INGRESO")+SUMIFS(MOVIMIENTOS_COMPLEMENTOS!$I$4:$I$803,MOVIMIENTOS_COMPLEMENTOS!$C$4:$C$803,A1785,MOVIMIENTOS_COMPLEMENTOS!$D$4:$D$803,B1785,MOVIMIENTOS_COMPLEMENTOS!$E$4:$E$803,C1785,MOVIMIENTOS_COMPLEMENTOS!$G$4:$G$803,E1785,MOVIMIENTOS_COMPLEMENTOS!$H$4:$H$803,G1785,MOVIMIENTOS_COMPLEMENTOS!$B$4:$B$803,"DE CORTE")-SUMIFS(MOVIMIENTOS_COMPLEMENTOS!$I$4:$I$803,MOVIMIENTOS_COMPLEMENTOS!$C$4:$C$803,A1785,MOVIMIENTOS_COMPLEMENTOS!$D$4:$D$803,B1785,MOVIMIENTOS_COMPLEMENTOS!$E$4:$E$803,C1785,MOVIMIENTOS_COMPLEMENTOS!$G$4:$G$803,E1785,MOVIMIENTOS_COMPLEMENTOS!$H$4:$H$803,G1785,MOVIMIENTOS_COMPLEMENTOS!$B$4:$B$803,"SALIDA"),0)</f>
        <v>0</v>
      </c>
      <c r="I1785" s="102">
        <f t="array" ref="I1785">IFERROR(INDEX(PRECIOS_COMPLEMENTOS!$C$4:$F$17,MATCH(B1785&amp;"_"&amp;C1785,PRECIOS_COMPLEMENTOS!$H$4:$H$17,0),IF(OR(G1785="S",G1785="20cm"),1,IF(OR(G1785="M",G1785="25cm"),2,IF(OR(G1785="L",G1785="30cm"),3,IF(OR(G1785="XL",G1785="35cm"),4,0))))),0)</f>
        <v>0.3</v>
      </c>
      <c r="J1785" s="103">
        <f t="shared" si="1"/>
        <v>0</v>
      </c>
      <c r="K1785" s="104" t="str">
        <f>IF(H1785&lt;0,"ERROR",IF(H1785=0,"",IF(H1785&lt;CONFIG!$B$4,"CRÍTICO",IF(H1785&lt;CONFIG!$B$5,"BAJO","OK"))))</f>
        <v/>
      </c>
    </row>
    <row r="1786" ht="15.75" hidden="1" customHeight="1">
      <c r="A1786" s="90" t="str">
        <f>IF(CLIENTES!A8="","",CLIENTES!A8)</f>
        <v/>
      </c>
      <c r="B1786" s="90" t="s">
        <v>324</v>
      </c>
      <c r="C1786" s="91" t="s">
        <v>328</v>
      </c>
      <c r="D1786" s="109" t="s">
        <v>353</v>
      </c>
      <c r="E1786" s="67" t="str">
        <f>COLORES!A9</f>
        <v>Melange</v>
      </c>
      <c r="F1786" s="67" t="str">
        <f>COLORES!B9</f>
        <v>MELANGE</v>
      </c>
      <c r="G1786" s="90" t="s">
        <v>377</v>
      </c>
      <c r="H1786" s="100">
        <f>IFERROR(SUMIFS(MOVIMIENTOS_COMPLEMENTOS!$I$4:$I$803,MOVIMIENTOS_COMPLEMENTOS!$C$4:$C$803,A1786,MOVIMIENTOS_COMPLEMENTOS!$D$4:$D$803,B1786,MOVIMIENTOS_COMPLEMENTOS!$E$4:$E$803,C1786,MOVIMIENTOS_COMPLEMENTOS!$G$4:$G$803,E1786,MOVIMIENTOS_COMPLEMENTOS!$H$4:$H$803,G1786,MOVIMIENTOS_COMPLEMENTOS!$B$4:$B$803,"INGRESO")+SUMIFS(MOVIMIENTOS_COMPLEMENTOS!$I$4:$I$803,MOVIMIENTOS_COMPLEMENTOS!$C$4:$C$803,A1786,MOVIMIENTOS_COMPLEMENTOS!$D$4:$D$803,B1786,MOVIMIENTOS_COMPLEMENTOS!$E$4:$E$803,C1786,MOVIMIENTOS_COMPLEMENTOS!$G$4:$G$803,E1786,MOVIMIENTOS_COMPLEMENTOS!$H$4:$H$803,G1786,MOVIMIENTOS_COMPLEMENTOS!$B$4:$B$803,"DE CORTE")-SUMIFS(MOVIMIENTOS_COMPLEMENTOS!$I$4:$I$803,MOVIMIENTOS_COMPLEMENTOS!$C$4:$C$803,A1786,MOVIMIENTOS_COMPLEMENTOS!$D$4:$D$803,B1786,MOVIMIENTOS_COMPLEMENTOS!$E$4:$E$803,C1786,MOVIMIENTOS_COMPLEMENTOS!$G$4:$G$803,E1786,MOVIMIENTOS_COMPLEMENTOS!$H$4:$H$803,G1786,MOVIMIENTOS_COMPLEMENTOS!$B$4:$B$803,"SALIDA"),0)</f>
        <v>0</v>
      </c>
      <c r="I1786" s="102">
        <f t="array" ref="I1786">IFERROR(INDEX(PRECIOS_COMPLEMENTOS!$C$4:$F$17,MATCH(B1786&amp;"_"&amp;C1786,PRECIOS_COMPLEMENTOS!$H$4:$H$17,0),IF(OR(G1786="S",G1786="20cm"),1,IF(OR(G1786="M",G1786="25cm"),2,IF(OR(G1786="L",G1786="30cm"),3,IF(OR(G1786="XL",G1786="35cm"),4,0))))),0)</f>
        <v>0.3</v>
      </c>
      <c r="J1786" s="103">
        <f t="shared" si="1"/>
        <v>0</v>
      </c>
      <c r="K1786" s="104" t="str">
        <f>IF(H1786&lt;0,"ERROR",IF(H1786=0,"",IF(H1786&lt;CONFIG!$B$4,"CRÍTICO",IF(H1786&lt;CONFIG!$B$5,"BAJO","OK"))))</f>
        <v/>
      </c>
    </row>
    <row r="1787" ht="15.75" hidden="1" customHeight="1">
      <c r="A1787" s="90" t="str">
        <f>IF(CLIENTES!A8="","",CLIENTES!A8)</f>
        <v/>
      </c>
      <c r="B1787" s="90" t="s">
        <v>324</v>
      </c>
      <c r="C1787" s="91" t="s">
        <v>328</v>
      </c>
      <c r="D1787" s="109" t="s">
        <v>353</v>
      </c>
      <c r="E1787" s="67" t="str">
        <f>COLORES!A9</f>
        <v>Melange</v>
      </c>
      <c r="F1787" s="67" t="str">
        <f>COLORES!B9</f>
        <v>MELANGE</v>
      </c>
      <c r="G1787" s="90" t="s">
        <v>379</v>
      </c>
      <c r="H1787" s="100">
        <f>IFERROR(SUMIFS(MOVIMIENTOS_COMPLEMENTOS!$I$4:$I$803,MOVIMIENTOS_COMPLEMENTOS!$C$4:$C$803,A1787,MOVIMIENTOS_COMPLEMENTOS!$D$4:$D$803,B1787,MOVIMIENTOS_COMPLEMENTOS!$E$4:$E$803,C1787,MOVIMIENTOS_COMPLEMENTOS!$G$4:$G$803,E1787,MOVIMIENTOS_COMPLEMENTOS!$H$4:$H$803,G1787,MOVIMIENTOS_COMPLEMENTOS!$B$4:$B$803,"INGRESO")+SUMIFS(MOVIMIENTOS_COMPLEMENTOS!$I$4:$I$803,MOVIMIENTOS_COMPLEMENTOS!$C$4:$C$803,A1787,MOVIMIENTOS_COMPLEMENTOS!$D$4:$D$803,B1787,MOVIMIENTOS_COMPLEMENTOS!$E$4:$E$803,C1787,MOVIMIENTOS_COMPLEMENTOS!$G$4:$G$803,E1787,MOVIMIENTOS_COMPLEMENTOS!$H$4:$H$803,G1787,MOVIMIENTOS_COMPLEMENTOS!$B$4:$B$803,"DE CORTE")-SUMIFS(MOVIMIENTOS_COMPLEMENTOS!$I$4:$I$803,MOVIMIENTOS_COMPLEMENTOS!$C$4:$C$803,A1787,MOVIMIENTOS_COMPLEMENTOS!$D$4:$D$803,B1787,MOVIMIENTOS_COMPLEMENTOS!$E$4:$E$803,C1787,MOVIMIENTOS_COMPLEMENTOS!$G$4:$G$803,E1787,MOVIMIENTOS_COMPLEMENTOS!$H$4:$H$803,G1787,MOVIMIENTOS_COMPLEMENTOS!$B$4:$B$803,"SALIDA"),0)</f>
        <v>0</v>
      </c>
      <c r="I1787" s="102">
        <f t="array" ref="I1787">IFERROR(INDEX(PRECIOS_COMPLEMENTOS!$C$4:$F$17,MATCH(B1787&amp;"_"&amp;C1787,PRECIOS_COMPLEMENTOS!$H$4:$H$17,0),IF(OR(G1787="S",G1787="20cm"),1,IF(OR(G1787="M",G1787="25cm"),2,IF(OR(G1787="L",G1787="30cm"),3,IF(OR(G1787="XL",G1787="35cm"),4,0))))),0)</f>
        <v>0.3</v>
      </c>
      <c r="J1787" s="103">
        <f t="shared" si="1"/>
        <v>0</v>
      </c>
      <c r="K1787" s="104" t="str">
        <f>IF(H1787&lt;0,"ERROR",IF(H1787=0,"",IF(H1787&lt;CONFIG!$B$4,"CRÍTICO",IF(H1787&lt;CONFIG!$B$5,"BAJO","OK"))))</f>
        <v/>
      </c>
    </row>
    <row r="1788" ht="15.75" hidden="1" customHeight="1">
      <c r="A1788" s="90" t="str">
        <f>IF(CLIENTES!A8="","",CLIENTES!A8)</f>
        <v/>
      </c>
      <c r="B1788" s="90" t="s">
        <v>324</v>
      </c>
      <c r="C1788" s="91" t="s">
        <v>328</v>
      </c>
      <c r="D1788" s="109" t="s">
        <v>353</v>
      </c>
      <c r="E1788" s="67" t="str">
        <f>COLORES!A10</f>
        <v>Botella</v>
      </c>
      <c r="F1788" s="67" t="str">
        <f>COLORES!B10</f>
        <v>OSCURO</v>
      </c>
      <c r="G1788" s="90" t="s">
        <v>378</v>
      </c>
      <c r="H1788" s="100">
        <f>IFERROR(SUMIFS(MOVIMIENTOS_COMPLEMENTOS!$I$4:$I$803,MOVIMIENTOS_COMPLEMENTOS!$C$4:$C$803,A1788,MOVIMIENTOS_COMPLEMENTOS!$D$4:$D$803,B1788,MOVIMIENTOS_COMPLEMENTOS!$E$4:$E$803,C1788,MOVIMIENTOS_COMPLEMENTOS!$G$4:$G$803,E1788,MOVIMIENTOS_COMPLEMENTOS!$H$4:$H$803,G1788,MOVIMIENTOS_COMPLEMENTOS!$B$4:$B$803,"INGRESO")+SUMIFS(MOVIMIENTOS_COMPLEMENTOS!$I$4:$I$803,MOVIMIENTOS_COMPLEMENTOS!$C$4:$C$803,A1788,MOVIMIENTOS_COMPLEMENTOS!$D$4:$D$803,B1788,MOVIMIENTOS_COMPLEMENTOS!$E$4:$E$803,C1788,MOVIMIENTOS_COMPLEMENTOS!$G$4:$G$803,E1788,MOVIMIENTOS_COMPLEMENTOS!$H$4:$H$803,G1788,MOVIMIENTOS_COMPLEMENTOS!$B$4:$B$803,"DE CORTE")-SUMIFS(MOVIMIENTOS_COMPLEMENTOS!$I$4:$I$803,MOVIMIENTOS_COMPLEMENTOS!$C$4:$C$803,A1788,MOVIMIENTOS_COMPLEMENTOS!$D$4:$D$803,B1788,MOVIMIENTOS_COMPLEMENTOS!$E$4:$E$803,C1788,MOVIMIENTOS_COMPLEMENTOS!$G$4:$G$803,E1788,MOVIMIENTOS_COMPLEMENTOS!$H$4:$H$803,G1788,MOVIMIENTOS_COMPLEMENTOS!$B$4:$B$803,"SALIDA"),0)</f>
        <v>0</v>
      </c>
      <c r="I1788" s="102">
        <f t="array" ref="I1788">IFERROR(INDEX(PRECIOS_COMPLEMENTOS!$C$4:$F$17,MATCH(B1788&amp;"_"&amp;C1788,PRECIOS_COMPLEMENTOS!$H$4:$H$17,0),IF(OR(G1788="S",G1788="20cm"),1,IF(OR(G1788="M",G1788="25cm"),2,IF(OR(G1788="L",G1788="30cm"),3,IF(OR(G1788="XL",G1788="35cm"),4,0))))),0)</f>
        <v>0.3</v>
      </c>
      <c r="J1788" s="103">
        <f t="shared" si="1"/>
        <v>0</v>
      </c>
      <c r="K1788" s="104" t="str">
        <f>IF(H1788&lt;0,"ERROR",IF(H1788=0,"",IF(H1788&lt;CONFIG!$B$4,"CRÍTICO",IF(H1788&lt;CONFIG!$B$5,"BAJO","OK"))))</f>
        <v/>
      </c>
    </row>
    <row r="1789" ht="15.75" hidden="1" customHeight="1">
      <c r="A1789" s="90" t="str">
        <f>IF(CLIENTES!A8="","",CLIENTES!A8)</f>
        <v/>
      </c>
      <c r="B1789" s="90" t="s">
        <v>324</v>
      </c>
      <c r="C1789" s="91" t="s">
        <v>328</v>
      </c>
      <c r="D1789" s="109" t="s">
        <v>353</v>
      </c>
      <c r="E1789" s="67" t="str">
        <f>COLORES!A10</f>
        <v>Botella</v>
      </c>
      <c r="F1789" s="67" t="str">
        <f>COLORES!B10</f>
        <v>OSCURO</v>
      </c>
      <c r="G1789" s="90" t="s">
        <v>376</v>
      </c>
      <c r="H1789" s="100">
        <f>IFERROR(SUMIFS(MOVIMIENTOS_COMPLEMENTOS!$I$4:$I$803,MOVIMIENTOS_COMPLEMENTOS!$C$4:$C$803,A1789,MOVIMIENTOS_COMPLEMENTOS!$D$4:$D$803,B1789,MOVIMIENTOS_COMPLEMENTOS!$E$4:$E$803,C1789,MOVIMIENTOS_COMPLEMENTOS!$G$4:$G$803,E1789,MOVIMIENTOS_COMPLEMENTOS!$H$4:$H$803,G1789,MOVIMIENTOS_COMPLEMENTOS!$B$4:$B$803,"INGRESO")+SUMIFS(MOVIMIENTOS_COMPLEMENTOS!$I$4:$I$803,MOVIMIENTOS_COMPLEMENTOS!$C$4:$C$803,A1789,MOVIMIENTOS_COMPLEMENTOS!$D$4:$D$803,B1789,MOVIMIENTOS_COMPLEMENTOS!$E$4:$E$803,C1789,MOVIMIENTOS_COMPLEMENTOS!$G$4:$G$803,E1789,MOVIMIENTOS_COMPLEMENTOS!$H$4:$H$803,G1789,MOVIMIENTOS_COMPLEMENTOS!$B$4:$B$803,"DE CORTE")-SUMIFS(MOVIMIENTOS_COMPLEMENTOS!$I$4:$I$803,MOVIMIENTOS_COMPLEMENTOS!$C$4:$C$803,A1789,MOVIMIENTOS_COMPLEMENTOS!$D$4:$D$803,B1789,MOVIMIENTOS_COMPLEMENTOS!$E$4:$E$803,C1789,MOVIMIENTOS_COMPLEMENTOS!$G$4:$G$803,E1789,MOVIMIENTOS_COMPLEMENTOS!$H$4:$H$803,G1789,MOVIMIENTOS_COMPLEMENTOS!$B$4:$B$803,"SALIDA"),0)</f>
        <v>0</v>
      </c>
      <c r="I1789" s="102">
        <f t="array" ref="I1789">IFERROR(INDEX(PRECIOS_COMPLEMENTOS!$C$4:$F$17,MATCH(B1789&amp;"_"&amp;C1789,PRECIOS_COMPLEMENTOS!$H$4:$H$17,0),IF(OR(G1789="S",G1789="20cm"),1,IF(OR(G1789="M",G1789="25cm"),2,IF(OR(G1789="L",G1789="30cm"),3,IF(OR(G1789="XL",G1789="35cm"),4,0))))),0)</f>
        <v>0.3</v>
      </c>
      <c r="J1789" s="103">
        <f t="shared" si="1"/>
        <v>0</v>
      </c>
      <c r="K1789" s="104" t="str">
        <f>IF(H1789&lt;0,"ERROR",IF(H1789=0,"",IF(H1789&lt;CONFIG!$B$4,"CRÍTICO",IF(H1789&lt;CONFIG!$B$5,"BAJO","OK"))))</f>
        <v/>
      </c>
    </row>
    <row r="1790" ht="15.75" hidden="1" customHeight="1">
      <c r="A1790" s="90" t="str">
        <f>IF(CLIENTES!A8="","",CLIENTES!A8)</f>
        <v/>
      </c>
      <c r="B1790" s="90" t="s">
        <v>324</v>
      </c>
      <c r="C1790" s="91" t="s">
        <v>328</v>
      </c>
      <c r="D1790" s="109" t="s">
        <v>353</v>
      </c>
      <c r="E1790" s="67" t="str">
        <f>COLORES!A10</f>
        <v>Botella</v>
      </c>
      <c r="F1790" s="67" t="str">
        <f>COLORES!B10</f>
        <v>OSCURO</v>
      </c>
      <c r="G1790" s="90" t="s">
        <v>377</v>
      </c>
      <c r="H1790" s="100">
        <f>IFERROR(SUMIFS(MOVIMIENTOS_COMPLEMENTOS!$I$4:$I$803,MOVIMIENTOS_COMPLEMENTOS!$C$4:$C$803,A1790,MOVIMIENTOS_COMPLEMENTOS!$D$4:$D$803,B1790,MOVIMIENTOS_COMPLEMENTOS!$E$4:$E$803,C1790,MOVIMIENTOS_COMPLEMENTOS!$G$4:$G$803,E1790,MOVIMIENTOS_COMPLEMENTOS!$H$4:$H$803,G1790,MOVIMIENTOS_COMPLEMENTOS!$B$4:$B$803,"INGRESO")+SUMIFS(MOVIMIENTOS_COMPLEMENTOS!$I$4:$I$803,MOVIMIENTOS_COMPLEMENTOS!$C$4:$C$803,A1790,MOVIMIENTOS_COMPLEMENTOS!$D$4:$D$803,B1790,MOVIMIENTOS_COMPLEMENTOS!$E$4:$E$803,C1790,MOVIMIENTOS_COMPLEMENTOS!$G$4:$G$803,E1790,MOVIMIENTOS_COMPLEMENTOS!$H$4:$H$803,G1790,MOVIMIENTOS_COMPLEMENTOS!$B$4:$B$803,"DE CORTE")-SUMIFS(MOVIMIENTOS_COMPLEMENTOS!$I$4:$I$803,MOVIMIENTOS_COMPLEMENTOS!$C$4:$C$803,A1790,MOVIMIENTOS_COMPLEMENTOS!$D$4:$D$803,B1790,MOVIMIENTOS_COMPLEMENTOS!$E$4:$E$803,C1790,MOVIMIENTOS_COMPLEMENTOS!$G$4:$G$803,E1790,MOVIMIENTOS_COMPLEMENTOS!$H$4:$H$803,G1790,MOVIMIENTOS_COMPLEMENTOS!$B$4:$B$803,"SALIDA"),0)</f>
        <v>0</v>
      </c>
      <c r="I1790" s="102">
        <f t="array" ref="I1790">IFERROR(INDEX(PRECIOS_COMPLEMENTOS!$C$4:$F$17,MATCH(B1790&amp;"_"&amp;C1790,PRECIOS_COMPLEMENTOS!$H$4:$H$17,0),IF(OR(G1790="S",G1790="20cm"),1,IF(OR(G1790="M",G1790="25cm"),2,IF(OR(G1790="L",G1790="30cm"),3,IF(OR(G1790="XL",G1790="35cm"),4,0))))),0)</f>
        <v>0.3</v>
      </c>
      <c r="J1790" s="103">
        <f t="shared" si="1"/>
        <v>0</v>
      </c>
      <c r="K1790" s="104" t="str">
        <f>IF(H1790&lt;0,"ERROR",IF(H1790=0,"",IF(H1790&lt;CONFIG!$B$4,"CRÍTICO",IF(H1790&lt;CONFIG!$B$5,"BAJO","OK"))))</f>
        <v/>
      </c>
    </row>
    <row r="1791" ht="15.75" hidden="1" customHeight="1">
      <c r="A1791" s="90" t="str">
        <f>IF(CLIENTES!A8="","",CLIENTES!A8)</f>
        <v/>
      </c>
      <c r="B1791" s="90" t="s">
        <v>324</v>
      </c>
      <c r="C1791" s="91" t="s">
        <v>328</v>
      </c>
      <c r="D1791" s="109" t="s">
        <v>353</v>
      </c>
      <c r="E1791" s="67" t="str">
        <f>COLORES!A10</f>
        <v>Botella</v>
      </c>
      <c r="F1791" s="67" t="str">
        <f>COLORES!B10</f>
        <v>OSCURO</v>
      </c>
      <c r="G1791" s="90" t="s">
        <v>379</v>
      </c>
      <c r="H1791" s="100">
        <f>IFERROR(SUMIFS(MOVIMIENTOS_COMPLEMENTOS!$I$4:$I$803,MOVIMIENTOS_COMPLEMENTOS!$C$4:$C$803,A1791,MOVIMIENTOS_COMPLEMENTOS!$D$4:$D$803,B1791,MOVIMIENTOS_COMPLEMENTOS!$E$4:$E$803,C1791,MOVIMIENTOS_COMPLEMENTOS!$G$4:$G$803,E1791,MOVIMIENTOS_COMPLEMENTOS!$H$4:$H$803,G1791,MOVIMIENTOS_COMPLEMENTOS!$B$4:$B$803,"INGRESO")+SUMIFS(MOVIMIENTOS_COMPLEMENTOS!$I$4:$I$803,MOVIMIENTOS_COMPLEMENTOS!$C$4:$C$803,A1791,MOVIMIENTOS_COMPLEMENTOS!$D$4:$D$803,B1791,MOVIMIENTOS_COMPLEMENTOS!$E$4:$E$803,C1791,MOVIMIENTOS_COMPLEMENTOS!$G$4:$G$803,E1791,MOVIMIENTOS_COMPLEMENTOS!$H$4:$H$803,G1791,MOVIMIENTOS_COMPLEMENTOS!$B$4:$B$803,"DE CORTE")-SUMIFS(MOVIMIENTOS_COMPLEMENTOS!$I$4:$I$803,MOVIMIENTOS_COMPLEMENTOS!$C$4:$C$803,A1791,MOVIMIENTOS_COMPLEMENTOS!$D$4:$D$803,B1791,MOVIMIENTOS_COMPLEMENTOS!$E$4:$E$803,C1791,MOVIMIENTOS_COMPLEMENTOS!$G$4:$G$803,E1791,MOVIMIENTOS_COMPLEMENTOS!$H$4:$H$803,G1791,MOVIMIENTOS_COMPLEMENTOS!$B$4:$B$803,"SALIDA"),0)</f>
        <v>0</v>
      </c>
      <c r="I1791" s="102">
        <f t="array" ref="I1791">IFERROR(INDEX(PRECIOS_COMPLEMENTOS!$C$4:$F$17,MATCH(B1791&amp;"_"&amp;C1791,PRECIOS_COMPLEMENTOS!$H$4:$H$17,0),IF(OR(G1791="S",G1791="20cm"),1,IF(OR(G1791="M",G1791="25cm"),2,IF(OR(G1791="L",G1791="30cm"),3,IF(OR(G1791="XL",G1791="35cm"),4,0))))),0)</f>
        <v>0.3</v>
      </c>
      <c r="J1791" s="103">
        <f t="shared" si="1"/>
        <v>0</v>
      </c>
      <c r="K1791" s="104" t="str">
        <f>IF(H1791&lt;0,"ERROR",IF(H1791=0,"",IF(H1791&lt;CONFIG!$B$4,"CRÍTICO",IF(H1791&lt;CONFIG!$B$5,"BAJO","OK"))))</f>
        <v/>
      </c>
    </row>
    <row r="1792" ht="15.75" hidden="1" customHeight="1">
      <c r="A1792" s="90" t="str">
        <f>IF(CLIENTES!A8="","",CLIENTES!A8)</f>
        <v/>
      </c>
      <c r="B1792" s="90" t="s">
        <v>324</v>
      </c>
      <c r="C1792" s="91" t="s">
        <v>328</v>
      </c>
      <c r="D1792" s="109" t="s">
        <v>353</v>
      </c>
      <c r="E1792" s="67" t="str">
        <f>COLORES!A11</f>
        <v>Pacay</v>
      </c>
      <c r="F1792" s="67" t="str">
        <f>COLORES!B11</f>
        <v>CLARO</v>
      </c>
      <c r="G1792" s="90" t="s">
        <v>378</v>
      </c>
      <c r="H1792" s="100">
        <f>IFERROR(SUMIFS(MOVIMIENTOS_COMPLEMENTOS!$I$4:$I$803,MOVIMIENTOS_COMPLEMENTOS!$C$4:$C$803,A1792,MOVIMIENTOS_COMPLEMENTOS!$D$4:$D$803,B1792,MOVIMIENTOS_COMPLEMENTOS!$E$4:$E$803,C1792,MOVIMIENTOS_COMPLEMENTOS!$G$4:$G$803,E1792,MOVIMIENTOS_COMPLEMENTOS!$H$4:$H$803,G1792,MOVIMIENTOS_COMPLEMENTOS!$B$4:$B$803,"INGRESO")+SUMIFS(MOVIMIENTOS_COMPLEMENTOS!$I$4:$I$803,MOVIMIENTOS_COMPLEMENTOS!$C$4:$C$803,A1792,MOVIMIENTOS_COMPLEMENTOS!$D$4:$D$803,B1792,MOVIMIENTOS_COMPLEMENTOS!$E$4:$E$803,C1792,MOVIMIENTOS_COMPLEMENTOS!$G$4:$G$803,E1792,MOVIMIENTOS_COMPLEMENTOS!$H$4:$H$803,G1792,MOVIMIENTOS_COMPLEMENTOS!$B$4:$B$803,"DE CORTE")-SUMIFS(MOVIMIENTOS_COMPLEMENTOS!$I$4:$I$803,MOVIMIENTOS_COMPLEMENTOS!$C$4:$C$803,A1792,MOVIMIENTOS_COMPLEMENTOS!$D$4:$D$803,B1792,MOVIMIENTOS_COMPLEMENTOS!$E$4:$E$803,C1792,MOVIMIENTOS_COMPLEMENTOS!$G$4:$G$803,E1792,MOVIMIENTOS_COMPLEMENTOS!$H$4:$H$803,G1792,MOVIMIENTOS_COMPLEMENTOS!$B$4:$B$803,"SALIDA"),0)</f>
        <v>0</v>
      </c>
      <c r="I1792" s="102">
        <f t="array" ref="I1792">IFERROR(INDEX(PRECIOS_COMPLEMENTOS!$C$4:$F$17,MATCH(B1792&amp;"_"&amp;C1792,PRECIOS_COMPLEMENTOS!$H$4:$H$17,0),IF(OR(G1792="S",G1792="20cm"),1,IF(OR(G1792="M",G1792="25cm"),2,IF(OR(G1792="L",G1792="30cm"),3,IF(OR(G1792="XL",G1792="35cm"),4,0))))),0)</f>
        <v>0.3</v>
      </c>
      <c r="J1792" s="103">
        <f t="shared" si="1"/>
        <v>0</v>
      </c>
      <c r="K1792" s="104" t="str">
        <f>IF(H1792&lt;0,"ERROR",IF(H1792=0,"",IF(H1792&lt;CONFIG!$B$4,"CRÍTICO",IF(H1792&lt;CONFIG!$B$5,"BAJO","OK"))))</f>
        <v/>
      </c>
    </row>
    <row r="1793" ht="15.75" hidden="1" customHeight="1">
      <c r="A1793" s="90" t="str">
        <f>IF(CLIENTES!A8="","",CLIENTES!A8)</f>
        <v/>
      </c>
      <c r="B1793" s="90" t="s">
        <v>324</v>
      </c>
      <c r="C1793" s="91" t="s">
        <v>328</v>
      </c>
      <c r="D1793" s="109" t="s">
        <v>353</v>
      </c>
      <c r="E1793" s="67" t="str">
        <f>COLORES!A11</f>
        <v>Pacay</v>
      </c>
      <c r="F1793" s="67" t="str">
        <f>COLORES!B11</f>
        <v>CLARO</v>
      </c>
      <c r="G1793" s="90" t="s">
        <v>376</v>
      </c>
      <c r="H1793" s="100">
        <f>IFERROR(SUMIFS(MOVIMIENTOS_COMPLEMENTOS!$I$4:$I$803,MOVIMIENTOS_COMPLEMENTOS!$C$4:$C$803,A1793,MOVIMIENTOS_COMPLEMENTOS!$D$4:$D$803,B1793,MOVIMIENTOS_COMPLEMENTOS!$E$4:$E$803,C1793,MOVIMIENTOS_COMPLEMENTOS!$G$4:$G$803,E1793,MOVIMIENTOS_COMPLEMENTOS!$H$4:$H$803,G1793,MOVIMIENTOS_COMPLEMENTOS!$B$4:$B$803,"INGRESO")+SUMIFS(MOVIMIENTOS_COMPLEMENTOS!$I$4:$I$803,MOVIMIENTOS_COMPLEMENTOS!$C$4:$C$803,A1793,MOVIMIENTOS_COMPLEMENTOS!$D$4:$D$803,B1793,MOVIMIENTOS_COMPLEMENTOS!$E$4:$E$803,C1793,MOVIMIENTOS_COMPLEMENTOS!$G$4:$G$803,E1793,MOVIMIENTOS_COMPLEMENTOS!$H$4:$H$803,G1793,MOVIMIENTOS_COMPLEMENTOS!$B$4:$B$803,"DE CORTE")-SUMIFS(MOVIMIENTOS_COMPLEMENTOS!$I$4:$I$803,MOVIMIENTOS_COMPLEMENTOS!$C$4:$C$803,A1793,MOVIMIENTOS_COMPLEMENTOS!$D$4:$D$803,B1793,MOVIMIENTOS_COMPLEMENTOS!$E$4:$E$803,C1793,MOVIMIENTOS_COMPLEMENTOS!$G$4:$G$803,E1793,MOVIMIENTOS_COMPLEMENTOS!$H$4:$H$803,G1793,MOVIMIENTOS_COMPLEMENTOS!$B$4:$B$803,"SALIDA"),0)</f>
        <v>0</v>
      </c>
      <c r="I1793" s="102">
        <f t="array" ref="I1793">IFERROR(INDEX(PRECIOS_COMPLEMENTOS!$C$4:$F$17,MATCH(B1793&amp;"_"&amp;C1793,PRECIOS_COMPLEMENTOS!$H$4:$H$17,0),IF(OR(G1793="S",G1793="20cm"),1,IF(OR(G1793="M",G1793="25cm"),2,IF(OR(G1793="L",G1793="30cm"),3,IF(OR(G1793="XL",G1793="35cm"),4,0))))),0)</f>
        <v>0.3</v>
      </c>
      <c r="J1793" s="103">
        <f t="shared" si="1"/>
        <v>0</v>
      </c>
      <c r="K1793" s="104" t="str">
        <f>IF(H1793&lt;0,"ERROR",IF(H1793=0,"",IF(H1793&lt;CONFIG!$B$4,"CRÍTICO",IF(H1793&lt;CONFIG!$B$5,"BAJO","OK"))))</f>
        <v/>
      </c>
    </row>
    <row r="1794" ht="15.75" hidden="1" customHeight="1">
      <c r="A1794" s="90" t="str">
        <f>IF(CLIENTES!A8="","",CLIENTES!A8)</f>
        <v/>
      </c>
      <c r="B1794" s="90" t="s">
        <v>324</v>
      </c>
      <c r="C1794" s="91" t="s">
        <v>328</v>
      </c>
      <c r="D1794" s="109" t="s">
        <v>353</v>
      </c>
      <c r="E1794" s="67" t="str">
        <f>COLORES!A11</f>
        <v>Pacay</v>
      </c>
      <c r="F1794" s="67" t="str">
        <f>COLORES!B11</f>
        <v>CLARO</v>
      </c>
      <c r="G1794" s="90" t="s">
        <v>377</v>
      </c>
      <c r="H1794" s="100">
        <f>IFERROR(SUMIFS(MOVIMIENTOS_COMPLEMENTOS!$I$4:$I$803,MOVIMIENTOS_COMPLEMENTOS!$C$4:$C$803,A1794,MOVIMIENTOS_COMPLEMENTOS!$D$4:$D$803,B1794,MOVIMIENTOS_COMPLEMENTOS!$E$4:$E$803,C1794,MOVIMIENTOS_COMPLEMENTOS!$G$4:$G$803,E1794,MOVIMIENTOS_COMPLEMENTOS!$H$4:$H$803,G1794,MOVIMIENTOS_COMPLEMENTOS!$B$4:$B$803,"INGRESO")+SUMIFS(MOVIMIENTOS_COMPLEMENTOS!$I$4:$I$803,MOVIMIENTOS_COMPLEMENTOS!$C$4:$C$803,A1794,MOVIMIENTOS_COMPLEMENTOS!$D$4:$D$803,B1794,MOVIMIENTOS_COMPLEMENTOS!$E$4:$E$803,C1794,MOVIMIENTOS_COMPLEMENTOS!$G$4:$G$803,E1794,MOVIMIENTOS_COMPLEMENTOS!$H$4:$H$803,G1794,MOVIMIENTOS_COMPLEMENTOS!$B$4:$B$803,"DE CORTE")-SUMIFS(MOVIMIENTOS_COMPLEMENTOS!$I$4:$I$803,MOVIMIENTOS_COMPLEMENTOS!$C$4:$C$803,A1794,MOVIMIENTOS_COMPLEMENTOS!$D$4:$D$803,B1794,MOVIMIENTOS_COMPLEMENTOS!$E$4:$E$803,C1794,MOVIMIENTOS_COMPLEMENTOS!$G$4:$G$803,E1794,MOVIMIENTOS_COMPLEMENTOS!$H$4:$H$803,G1794,MOVIMIENTOS_COMPLEMENTOS!$B$4:$B$803,"SALIDA"),0)</f>
        <v>0</v>
      </c>
      <c r="I1794" s="102">
        <f t="array" ref="I1794">IFERROR(INDEX(PRECIOS_COMPLEMENTOS!$C$4:$F$17,MATCH(B1794&amp;"_"&amp;C1794,PRECIOS_COMPLEMENTOS!$H$4:$H$17,0),IF(OR(G1794="S",G1794="20cm"),1,IF(OR(G1794="M",G1794="25cm"),2,IF(OR(G1794="L",G1794="30cm"),3,IF(OR(G1794="XL",G1794="35cm"),4,0))))),0)</f>
        <v>0.3</v>
      </c>
      <c r="J1794" s="103">
        <f t="shared" si="1"/>
        <v>0</v>
      </c>
      <c r="K1794" s="104" t="str">
        <f>IF(H1794&lt;0,"ERROR",IF(H1794=0,"",IF(H1794&lt;CONFIG!$B$4,"CRÍTICO",IF(H1794&lt;CONFIG!$B$5,"BAJO","OK"))))</f>
        <v/>
      </c>
    </row>
    <row r="1795" ht="15.75" hidden="1" customHeight="1">
      <c r="A1795" s="90" t="str">
        <f>IF(CLIENTES!A8="","",CLIENTES!A8)</f>
        <v/>
      </c>
      <c r="B1795" s="90" t="s">
        <v>324</v>
      </c>
      <c r="C1795" s="91" t="s">
        <v>328</v>
      </c>
      <c r="D1795" s="109" t="s">
        <v>353</v>
      </c>
      <c r="E1795" s="67" t="str">
        <f>COLORES!A11</f>
        <v>Pacay</v>
      </c>
      <c r="F1795" s="67" t="str">
        <f>COLORES!B11</f>
        <v>CLARO</v>
      </c>
      <c r="G1795" s="90" t="s">
        <v>379</v>
      </c>
      <c r="H1795" s="100">
        <f>IFERROR(SUMIFS(MOVIMIENTOS_COMPLEMENTOS!$I$4:$I$803,MOVIMIENTOS_COMPLEMENTOS!$C$4:$C$803,A1795,MOVIMIENTOS_COMPLEMENTOS!$D$4:$D$803,B1795,MOVIMIENTOS_COMPLEMENTOS!$E$4:$E$803,C1795,MOVIMIENTOS_COMPLEMENTOS!$G$4:$G$803,E1795,MOVIMIENTOS_COMPLEMENTOS!$H$4:$H$803,G1795,MOVIMIENTOS_COMPLEMENTOS!$B$4:$B$803,"INGRESO")+SUMIFS(MOVIMIENTOS_COMPLEMENTOS!$I$4:$I$803,MOVIMIENTOS_COMPLEMENTOS!$C$4:$C$803,A1795,MOVIMIENTOS_COMPLEMENTOS!$D$4:$D$803,B1795,MOVIMIENTOS_COMPLEMENTOS!$E$4:$E$803,C1795,MOVIMIENTOS_COMPLEMENTOS!$G$4:$G$803,E1795,MOVIMIENTOS_COMPLEMENTOS!$H$4:$H$803,G1795,MOVIMIENTOS_COMPLEMENTOS!$B$4:$B$803,"DE CORTE")-SUMIFS(MOVIMIENTOS_COMPLEMENTOS!$I$4:$I$803,MOVIMIENTOS_COMPLEMENTOS!$C$4:$C$803,A1795,MOVIMIENTOS_COMPLEMENTOS!$D$4:$D$803,B1795,MOVIMIENTOS_COMPLEMENTOS!$E$4:$E$803,C1795,MOVIMIENTOS_COMPLEMENTOS!$G$4:$G$803,E1795,MOVIMIENTOS_COMPLEMENTOS!$H$4:$H$803,G1795,MOVIMIENTOS_COMPLEMENTOS!$B$4:$B$803,"SALIDA"),0)</f>
        <v>0</v>
      </c>
      <c r="I1795" s="102">
        <f t="array" ref="I1795">IFERROR(INDEX(PRECIOS_COMPLEMENTOS!$C$4:$F$17,MATCH(B1795&amp;"_"&amp;C1795,PRECIOS_COMPLEMENTOS!$H$4:$H$17,0),IF(OR(G1795="S",G1795="20cm"),1,IF(OR(G1795="M",G1795="25cm"),2,IF(OR(G1795="L",G1795="30cm"),3,IF(OR(G1795="XL",G1795="35cm"),4,0))))),0)</f>
        <v>0.3</v>
      </c>
      <c r="J1795" s="103">
        <f t="shared" si="1"/>
        <v>0</v>
      </c>
      <c r="K1795" s="104" t="str">
        <f>IF(H1795&lt;0,"ERROR",IF(H1795=0,"",IF(H1795&lt;CONFIG!$B$4,"CRÍTICO",IF(H1795&lt;CONFIG!$B$5,"BAJO","OK"))))</f>
        <v/>
      </c>
    </row>
    <row r="1796" ht="15.75" hidden="1" customHeight="1">
      <c r="A1796" s="90" t="str">
        <f>IF(CLIENTES!A8="","",CLIENTES!A8)</f>
        <v/>
      </c>
      <c r="B1796" s="90" t="s">
        <v>324</v>
      </c>
      <c r="C1796" s="91" t="s">
        <v>328</v>
      </c>
      <c r="D1796" s="109" t="s">
        <v>353</v>
      </c>
      <c r="E1796" s="67" t="str">
        <f>COLORES!A12</f>
        <v>Cemento</v>
      </c>
      <c r="F1796" s="67" t="str">
        <f>COLORES!B12</f>
        <v>CLARO</v>
      </c>
      <c r="G1796" s="90" t="s">
        <v>378</v>
      </c>
      <c r="H1796" s="100">
        <f>IFERROR(SUMIFS(MOVIMIENTOS_COMPLEMENTOS!$I$4:$I$803,MOVIMIENTOS_COMPLEMENTOS!$C$4:$C$803,A1796,MOVIMIENTOS_COMPLEMENTOS!$D$4:$D$803,B1796,MOVIMIENTOS_COMPLEMENTOS!$E$4:$E$803,C1796,MOVIMIENTOS_COMPLEMENTOS!$G$4:$G$803,E1796,MOVIMIENTOS_COMPLEMENTOS!$H$4:$H$803,G1796,MOVIMIENTOS_COMPLEMENTOS!$B$4:$B$803,"INGRESO")+SUMIFS(MOVIMIENTOS_COMPLEMENTOS!$I$4:$I$803,MOVIMIENTOS_COMPLEMENTOS!$C$4:$C$803,A1796,MOVIMIENTOS_COMPLEMENTOS!$D$4:$D$803,B1796,MOVIMIENTOS_COMPLEMENTOS!$E$4:$E$803,C1796,MOVIMIENTOS_COMPLEMENTOS!$G$4:$G$803,E1796,MOVIMIENTOS_COMPLEMENTOS!$H$4:$H$803,G1796,MOVIMIENTOS_COMPLEMENTOS!$B$4:$B$803,"DE CORTE")-SUMIFS(MOVIMIENTOS_COMPLEMENTOS!$I$4:$I$803,MOVIMIENTOS_COMPLEMENTOS!$C$4:$C$803,A1796,MOVIMIENTOS_COMPLEMENTOS!$D$4:$D$803,B1796,MOVIMIENTOS_COMPLEMENTOS!$E$4:$E$803,C1796,MOVIMIENTOS_COMPLEMENTOS!$G$4:$G$803,E1796,MOVIMIENTOS_COMPLEMENTOS!$H$4:$H$803,G1796,MOVIMIENTOS_COMPLEMENTOS!$B$4:$B$803,"SALIDA"),0)</f>
        <v>0</v>
      </c>
      <c r="I1796" s="102">
        <f t="array" ref="I1796">IFERROR(INDEX(PRECIOS_COMPLEMENTOS!$C$4:$F$17,MATCH(B1796&amp;"_"&amp;C1796,PRECIOS_COMPLEMENTOS!$H$4:$H$17,0),IF(OR(G1796="S",G1796="20cm"),1,IF(OR(G1796="M",G1796="25cm"),2,IF(OR(G1796="L",G1796="30cm"),3,IF(OR(G1796="XL",G1796="35cm"),4,0))))),0)</f>
        <v>0.3</v>
      </c>
      <c r="J1796" s="103">
        <f t="shared" si="1"/>
        <v>0</v>
      </c>
      <c r="K1796" s="104" t="str">
        <f>IF(H1796&lt;0,"ERROR",IF(H1796=0,"",IF(H1796&lt;CONFIG!$B$4,"CRÍTICO",IF(H1796&lt;CONFIG!$B$5,"BAJO","OK"))))</f>
        <v/>
      </c>
    </row>
    <row r="1797" ht="15.75" hidden="1" customHeight="1">
      <c r="A1797" s="90" t="str">
        <f>IF(CLIENTES!A8="","",CLIENTES!A8)</f>
        <v/>
      </c>
      <c r="B1797" s="90" t="s">
        <v>324</v>
      </c>
      <c r="C1797" s="91" t="s">
        <v>328</v>
      </c>
      <c r="D1797" s="109" t="s">
        <v>353</v>
      </c>
      <c r="E1797" s="67" t="str">
        <f>COLORES!A12</f>
        <v>Cemento</v>
      </c>
      <c r="F1797" s="67" t="str">
        <f>COLORES!B12</f>
        <v>CLARO</v>
      </c>
      <c r="G1797" s="90" t="s">
        <v>376</v>
      </c>
      <c r="H1797" s="100">
        <f>IFERROR(SUMIFS(MOVIMIENTOS_COMPLEMENTOS!$I$4:$I$803,MOVIMIENTOS_COMPLEMENTOS!$C$4:$C$803,A1797,MOVIMIENTOS_COMPLEMENTOS!$D$4:$D$803,B1797,MOVIMIENTOS_COMPLEMENTOS!$E$4:$E$803,C1797,MOVIMIENTOS_COMPLEMENTOS!$G$4:$G$803,E1797,MOVIMIENTOS_COMPLEMENTOS!$H$4:$H$803,G1797,MOVIMIENTOS_COMPLEMENTOS!$B$4:$B$803,"INGRESO")+SUMIFS(MOVIMIENTOS_COMPLEMENTOS!$I$4:$I$803,MOVIMIENTOS_COMPLEMENTOS!$C$4:$C$803,A1797,MOVIMIENTOS_COMPLEMENTOS!$D$4:$D$803,B1797,MOVIMIENTOS_COMPLEMENTOS!$E$4:$E$803,C1797,MOVIMIENTOS_COMPLEMENTOS!$G$4:$G$803,E1797,MOVIMIENTOS_COMPLEMENTOS!$H$4:$H$803,G1797,MOVIMIENTOS_COMPLEMENTOS!$B$4:$B$803,"DE CORTE")-SUMIFS(MOVIMIENTOS_COMPLEMENTOS!$I$4:$I$803,MOVIMIENTOS_COMPLEMENTOS!$C$4:$C$803,A1797,MOVIMIENTOS_COMPLEMENTOS!$D$4:$D$803,B1797,MOVIMIENTOS_COMPLEMENTOS!$E$4:$E$803,C1797,MOVIMIENTOS_COMPLEMENTOS!$G$4:$G$803,E1797,MOVIMIENTOS_COMPLEMENTOS!$H$4:$H$803,G1797,MOVIMIENTOS_COMPLEMENTOS!$B$4:$B$803,"SALIDA"),0)</f>
        <v>0</v>
      </c>
      <c r="I1797" s="102">
        <f t="array" ref="I1797">IFERROR(INDEX(PRECIOS_COMPLEMENTOS!$C$4:$F$17,MATCH(B1797&amp;"_"&amp;C1797,PRECIOS_COMPLEMENTOS!$H$4:$H$17,0),IF(OR(G1797="S",G1797="20cm"),1,IF(OR(G1797="M",G1797="25cm"),2,IF(OR(G1797="L",G1797="30cm"),3,IF(OR(G1797="XL",G1797="35cm"),4,0))))),0)</f>
        <v>0.3</v>
      </c>
      <c r="J1797" s="103">
        <f t="shared" si="1"/>
        <v>0</v>
      </c>
      <c r="K1797" s="104" t="str">
        <f>IF(H1797&lt;0,"ERROR",IF(H1797=0,"",IF(H1797&lt;CONFIG!$B$4,"CRÍTICO",IF(H1797&lt;CONFIG!$B$5,"BAJO","OK"))))</f>
        <v/>
      </c>
    </row>
    <row r="1798" ht="15.75" hidden="1" customHeight="1">
      <c r="A1798" s="90" t="str">
        <f>IF(CLIENTES!A8="","",CLIENTES!A8)</f>
        <v/>
      </c>
      <c r="B1798" s="90" t="s">
        <v>324</v>
      </c>
      <c r="C1798" s="91" t="s">
        <v>328</v>
      </c>
      <c r="D1798" s="109" t="s">
        <v>353</v>
      </c>
      <c r="E1798" s="67" t="str">
        <f>COLORES!A12</f>
        <v>Cemento</v>
      </c>
      <c r="F1798" s="67" t="str">
        <f>COLORES!B12</f>
        <v>CLARO</v>
      </c>
      <c r="G1798" s="90" t="s">
        <v>377</v>
      </c>
      <c r="H1798" s="100">
        <f>IFERROR(SUMIFS(MOVIMIENTOS_COMPLEMENTOS!$I$4:$I$803,MOVIMIENTOS_COMPLEMENTOS!$C$4:$C$803,A1798,MOVIMIENTOS_COMPLEMENTOS!$D$4:$D$803,B1798,MOVIMIENTOS_COMPLEMENTOS!$E$4:$E$803,C1798,MOVIMIENTOS_COMPLEMENTOS!$G$4:$G$803,E1798,MOVIMIENTOS_COMPLEMENTOS!$H$4:$H$803,G1798,MOVIMIENTOS_COMPLEMENTOS!$B$4:$B$803,"INGRESO")+SUMIFS(MOVIMIENTOS_COMPLEMENTOS!$I$4:$I$803,MOVIMIENTOS_COMPLEMENTOS!$C$4:$C$803,A1798,MOVIMIENTOS_COMPLEMENTOS!$D$4:$D$803,B1798,MOVIMIENTOS_COMPLEMENTOS!$E$4:$E$803,C1798,MOVIMIENTOS_COMPLEMENTOS!$G$4:$G$803,E1798,MOVIMIENTOS_COMPLEMENTOS!$H$4:$H$803,G1798,MOVIMIENTOS_COMPLEMENTOS!$B$4:$B$803,"DE CORTE")-SUMIFS(MOVIMIENTOS_COMPLEMENTOS!$I$4:$I$803,MOVIMIENTOS_COMPLEMENTOS!$C$4:$C$803,A1798,MOVIMIENTOS_COMPLEMENTOS!$D$4:$D$803,B1798,MOVIMIENTOS_COMPLEMENTOS!$E$4:$E$803,C1798,MOVIMIENTOS_COMPLEMENTOS!$G$4:$G$803,E1798,MOVIMIENTOS_COMPLEMENTOS!$H$4:$H$803,G1798,MOVIMIENTOS_COMPLEMENTOS!$B$4:$B$803,"SALIDA"),0)</f>
        <v>0</v>
      </c>
      <c r="I1798" s="102">
        <f t="array" ref="I1798">IFERROR(INDEX(PRECIOS_COMPLEMENTOS!$C$4:$F$17,MATCH(B1798&amp;"_"&amp;C1798,PRECIOS_COMPLEMENTOS!$H$4:$H$17,0),IF(OR(G1798="S",G1798="20cm"),1,IF(OR(G1798="M",G1798="25cm"),2,IF(OR(G1798="L",G1798="30cm"),3,IF(OR(G1798="XL",G1798="35cm"),4,0))))),0)</f>
        <v>0.3</v>
      </c>
      <c r="J1798" s="103">
        <f t="shared" si="1"/>
        <v>0</v>
      </c>
      <c r="K1798" s="104" t="str">
        <f>IF(H1798&lt;0,"ERROR",IF(H1798=0,"",IF(H1798&lt;CONFIG!$B$4,"CRÍTICO",IF(H1798&lt;CONFIG!$B$5,"BAJO","OK"))))</f>
        <v/>
      </c>
    </row>
    <row r="1799" ht="15.75" hidden="1" customHeight="1">
      <c r="A1799" s="90" t="str">
        <f>IF(CLIENTES!A8="","",CLIENTES!A8)</f>
        <v/>
      </c>
      <c r="B1799" s="90" t="s">
        <v>324</v>
      </c>
      <c r="C1799" s="91" t="s">
        <v>328</v>
      </c>
      <c r="D1799" s="109" t="s">
        <v>353</v>
      </c>
      <c r="E1799" s="67" t="str">
        <f>COLORES!A12</f>
        <v>Cemento</v>
      </c>
      <c r="F1799" s="67" t="str">
        <f>COLORES!B12</f>
        <v>CLARO</v>
      </c>
      <c r="G1799" s="90" t="s">
        <v>379</v>
      </c>
      <c r="H1799" s="100">
        <f>IFERROR(SUMIFS(MOVIMIENTOS_COMPLEMENTOS!$I$4:$I$803,MOVIMIENTOS_COMPLEMENTOS!$C$4:$C$803,A1799,MOVIMIENTOS_COMPLEMENTOS!$D$4:$D$803,B1799,MOVIMIENTOS_COMPLEMENTOS!$E$4:$E$803,C1799,MOVIMIENTOS_COMPLEMENTOS!$G$4:$G$803,E1799,MOVIMIENTOS_COMPLEMENTOS!$H$4:$H$803,G1799,MOVIMIENTOS_COMPLEMENTOS!$B$4:$B$803,"INGRESO")+SUMIFS(MOVIMIENTOS_COMPLEMENTOS!$I$4:$I$803,MOVIMIENTOS_COMPLEMENTOS!$C$4:$C$803,A1799,MOVIMIENTOS_COMPLEMENTOS!$D$4:$D$803,B1799,MOVIMIENTOS_COMPLEMENTOS!$E$4:$E$803,C1799,MOVIMIENTOS_COMPLEMENTOS!$G$4:$G$803,E1799,MOVIMIENTOS_COMPLEMENTOS!$H$4:$H$803,G1799,MOVIMIENTOS_COMPLEMENTOS!$B$4:$B$803,"DE CORTE")-SUMIFS(MOVIMIENTOS_COMPLEMENTOS!$I$4:$I$803,MOVIMIENTOS_COMPLEMENTOS!$C$4:$C$803,A1799,MOVIMIENTOS_COMPLEMENTOS!$D$4:$D$803,B1799,MOVIMIENTOS_COMPLEMENTOS!$E$4:$E$803,C1799,MOVIMIENTOS_COMPLEMENTOS!$G$4:$G$803,E1799,MOVIMIENTOS_COMPLEMENTOS!$H$4:$H$803,G1799,MOVIMIENTOS_COMPLEMENTOS!$B$4:$B$803,"SALIDA"),0)</f>
        <v>0</v>
      </c>
      <c r="I1799" s="102">
        <f t="array" ref="I1799">IFERROR(INDEX(PRECIOS_COMPLEMENTOS!$C$4:$F$17,MATCH(B1799&amp;"_"&amp;C1799,PRECIOS_COMPLEMENTOS!$H$4:$H$17,0),IF(OR(G1799="S",G1799="20cm"),1,IF(OR(G1799="M",G1799="25cm"),2,IF(OR(G1799="L",G1799="30cm"),3,IF(OR(G1799="XL",G1799="35cm"),4,0))))),0)</f>
        <v>0.3</v>
      </c>
      <c r="J1799" s="103">
        <f t="shared" si="1"/>
        <v>0</v>
      </c>
      <c r="K1799" s="104" t="str">
        <f>IF(H1799&lt;0,"ERROR",IF(H1799=0,"",IF(H1799&lt;CONFIG!$B$4,"CRÍTICO",IF(H1799&lt;CONFIG!$B$5,"BAJO","OK"))))</f>
        <v/>
      </c>
    </row>
    <row r="1800" ht="15.75" hidden="1" customHeight="1">
      <c r="A1800" s="90" t="str">
        <f>IF(CLIENTES!A8="","",CLIENTES!A8)</f>
        <v/>
      </c>
      <c r="B1800" s="90" t="s">
        <v>324</v>
      </c>
      <c r="C1800" s="91" t="s">
        <v>328</v>
      </c>
      <c r="D1800" s="109" t="s">
        <v>353</v>
      </c>
      <c r="E1800" s="67" t="str">
        <f>COLORES!A13</f>
        <v>Camote</v>
      </c>
      <c r="F1800" s="67" t="str">
        <f>COLORES!B13</f>
        <v>CLARO</v>
      </c>
      <c r="G1800" s="90" t="s">
        <v>378</v>
      </c>
      <c r="H1800" s="100">
        <f>IFERROR(SUMIFS(MOVIMIENTOS_COMPLEMENTOS!$I$4:$I$803,MOVIMIENTOS_COMPLEMENTOS!$C$4:$C$803,A1800,MOVIMIENTOS_COMPLEMENTOS!$D$4:$D$803,B1800,MOVIMIENTOS_COMPLEMENTOS!$E$4:$E$803,C1800,MOVIMIENTOS_COMPLEMENTOS!$G$4:$G$803,E1800,MOVIMIENTOS_COMPLEMENTOS!$H$4:$H$803,G1800,MOVIMIENTOS_COMPLEMENTOS!$B$4:$B$803,"INGRESO")+SUMIFS(MOVIMIENTOS_COMPLEMENTOS!$I$4:$I$803,MOVIMIENTOS_COMPLEMENTOS!$C$4:$C$803,A1800,MOVIMIENTOS_COMPLEMENTOS!$D$4:$D$803,B1800,MOVIMIENTOS_COMPLEMENTOS!$E$4:$E$803,C1800,MOVIMIENTOS_COMPLEMENTOS!$G$4:$G$803,E1800,MOVIMIENTOS_COMPLEMENTOS!$H$4:$H$803,G1800,MOVIMIENTOS_COMPLEMENTOS!$B$4:$B$803,"DE CORTE")-SUMIFS(MOVIMIENTOS_COMPLEMENTOS!$I$4:$I$803,MOVIMIENTOS_COMPLEMENTOS!$C$4:$C$803,A1800,MOVIMIENTOS_COMPLEMENTOS!$D$4:$D$803,B1800,MOVIMIENTOS_COMPLEMENTOS!$E$4:$E$803,C1800,MOVIMIENTOS_COMPLEMENTOS!$G$4:$G$803,E1800,MOVIMIENTOS_COMPLEMENTOS!$H$4:$H$803,G1800,MOVIMIENTOS_COMPLEMENTOS!$B$4:$B$803,"SALIDA"),0)</f>
        <v>0</v>
      </c>
      <c r="I1800" s="102">
        <f t="array" ref="I1800">IFERROR(INDEX(PRECIOS_COMPLEMENTOS!$C$4:$F$17,MATCH(B1800&amp;"_"&amp;C1800,PRECIOS_COMPLEMENTOS!$H$4:$H$17,0),IF(OR(G1800="S",G1800="20cm"),1,IF(OR(G1800="M",G1800="25cm"),2,IF(OR(G1800="L",G1800="30cm"),3,IF(OR(G1800="XL",G1800="35cm"),4,0))))),0)</f>
        <v>0.3</v>
      </c>
      <c r="J1800" s="103">
        <f t="shared" si="1"/>
        <v>0</v>
      </c>
      <c r="K1800" s="104" t="str">
        <f>IF(H1800&lt;0,"ERROR",IF(H1800=0,"",IF(H1800&lt;CONFIG!$B$4,"CRÍTICO",IF(H1800&lt;CONFIG!$B$5,"BAJO","OK"))))</f>
        <v/>
      </c>
    </row>
    <row r="1801" ht="15.75" hidden="1" customHeight="1">
      <c r="A1801" s="90" t="str">
        <f>IF(CLIENTES!A8="","",CLIENTES!A8)</f>
        <v/>
      </c>
      <c r="B1801" s="90" t="s">
        <v>324</v>
      </c>
      <c r="C1801" s="91" t="s">
        <v>328</v>
      </c>
      <c r="D1801" s="109" t="s">
        <v>353</v>
      </c>
      <c r="E1801" s="67" t="str">
        <f>COLORES!A13</f>
        <v>Camote</v>
      </c>
      <c r="F1801" s="67" t="str">
        <f>COLORES!B13</f>
        <v>CLARO</v>
      </c>
      <c r="G1801" s="90" t="s">
        <v>376</v>
      </c>
      <c r="H1801" s="100">
        <f>IFERROR(SUMIFS(MOVIMIENTOS_COMPLEMENTOS!$I$4:$I$803,MOVIMIENTOS_COMPLEMENTOS!$C$4:$C$803,A1801,MOVIMIENTOS_COMPLEMENTOS!$D$4:$D$803,B1801,MOVIMIENTOS_COMPLEMENTOS!$E$4:$E$803,C1801,MOVIMIENTOS_COMPLEMENTOS!$G$4:$G$803,E1801,MOVIMIENTOS_COMPLEMENTOS!$H$4:$H$803,G1801,MOVIMIENTOS_COMPLEMENTOS!$B$4:$B$803,"INGRESO")+SUMIFS(MOVIMIENTOS_COMPLEMENTOS!$I$4:$I$803,MOVIMIENTOS_COMPLEMENTOS!$C$4:$C$803,A1801,MOVIMIENTOS_COMPLEMENTOS!$D$4:$D$803,B1801,MOVIMIENTOS_COMPLEMENTOS!$E$4:$E$803,C1801,MOVIMIENTOS_COMPLEMENTOS!$G$4:$G$803,E1801,MOVIMIENTOS_COMPLEMENTOS!$H$4:$H$803,G1801,MOVIMIENTOS_COMPLEMENTOS!$B$4:$B$803,"DE CORTE")-SUMIFS(MOVIMIENTOS_COMPLEMENTOS!$I$4:$I$803,MOVIMIENTOS_COMPLEMENTOS!$C$4:$C$803,A1801,MOVIMIENTOS_COMPLEMENTOS!$D$4:$D$803,B1801,MOVIMIENTOS_COMPLEMENTOS!$E$4:$E$803,C1801,MOVIMIENTOS_COMPLEMENTOS!$G$4:$G$803,E1801,MOVIMIENTOS_COMPLEMENTOS!$H$4:$H$803,G1801,MOVIMIENTOS_COMPLEMENTOS!$B$4:$B$803,"SALIDA"),0)</f>
        <v>0</v>
      </c>
      <c r="I1801" s="102">
        <f t="array" ref="I1801">IFERROR(INDEX(PRECIOS_COMPLEMENTOS!$C$4:$F$17,MATCH(B1801&amp;"_"&amp;C1801,PRECIOS_COMPLEMENTOS!$H$4:$H$17,0),IF(OR(G1801="S",G1801="20cm"),1,IF(OR(G1801="M",G1801="25cm"),2,IF(OR(G1801="L",G1801="30cm"),3,IF(OR(G1801="XL",G1801="35cm"),4,0))))),0)</f>
        <v>0.3</v>
      </c>
      <c r="J1801" s="103">
        <f t="shared" si="1"/>
        <v>0</v>
      </c>
      <c r="K1801" s="104" t="str">
        <f>IF(H1801&lt;0,"ERROR",IF(H1801=0,"",IF(H1801&lt;CONFIG!$B$4,"CRÍTICO",IF(H1801&lt;CONFIG!$B$5,"BAJO","OK"))))</f>
        <v/>
      </c>
    </row>
    <row r="1802" ht="15.75" hidden="1" customHeight="1">
      <c r="A1802" s="90" t="str">
        <f>IF(CLIENTES!A8="","",CLIENTES!A8)</f>
        <v/>
      </c>
      <c r="B1802" s="90" t="s">
        <v>324</v>
      </c>
      <c r="C1802" s="91" t="s">
        <v>328</v>
      </c>
      <c r="D1802" s="109" t="s">
        <v>353</v>
      </c>
      <c r="E1802" s="67" t="str">
        <f>COLORES!A13</f>
        <v>Camote</v>
      </c>
      <c r="F1802" s="67" t="str">
        <f>COLORES!B13</f>
        <v>CLARO</v>
      </c>
      <c r="G1802" s="90" t="s">
        <v>377</v>
      </c>
      <c r="H1802" s="100">
        <f>IFERROR(SUMIFS(MOVIMIENTOS_COMPLEMENTOS!$I$4:$I$803,MOVIMIENTOS_COMPLEMENTOS!$C$4:$C$803,A1802,MOVIMIENTOS_COMPLEMENTOS!$D$4:$D$803,B1802,MOVIMIENTOS_COMPLEMENTOS!$E$4:$E$803,C1802,MOVIMIENTOS_COMPLEMENTOS!$G$4:$G$803,E1802,MOVIMIENTOS_COMPLEMENTOS!$H$4:$H$803,G1802,MOVIMIENTOS_COMPLEMENTOS!$B$4:$B$803,"INGRESO")+SUMIFS(MOVIMIENTOS_COMPLEMENTOS!$I$4:$I$803,MOVIMIENTOS_COMPLEMENTOS!$C$4:$C$803,A1802,MOVIMIENTOS_COMPLEMENTOS!$D$4:$D$803,B1802,MOVIMIENTOS_COMPLEMENTOS!$E$4:$E$803,C1802,MOVIMIENTOS_COMPLEMENTOS!$G$4:$G$803,E1802,MOVIMIENTOS_COMPLEMENTOS!$H$4:$H$803,G1802,MOVIMIENTOS_COMPLEMENTOS!$B$4:$B$803,"DE CORTE")-SUMIFS(MOVIMIENTOS_COMPLEMENTOS!$I$4:$I$803,MOVIMIENTOS_COMPLEMENTOS!$C$4:$C$803,A1802,MOVIMIENTOS_COMPLEMENTOS!$D$4:$D$803,B1802,MOVIMIENTOS_COMPLEMENTOS!$E$4:$E$803,C1802,MOVIMIENTOS_COMPLEMENTOS!$G$4:$G$803,E1802,MOVIMIENTOS_COMPLEMENTOS!$H$4:$H$803,G1802,MOVIMIENTOS_COMPLEMENTOS!$B$4:$B$803,"SALIDA"),0)</f>
        <v>0</v>
      </c>
      <c r="I1802" s="102">
        <f t="array" ref="I1802">IFERROR(INDEX(PRECIOS_COMPLEMENTOS!$C$4:$F$17,MATCH(B1802&amp;"_"&amp;C1802,PRECIOS_COMPLEMENTOS!$H$4:$H$17,0),IF(OR(G1802="S",G1802="20cm"),1,IF(OR(G1802="M",G1802="25cm"),2,IF(OR(G1802="L",G1802="30cm"),3,IF(OR(G1802="XL",G1802="35cm"),4,0))))),0)</f>
        <v>0.3</v>
      </c>
      <c r="J1802" s="103">
        <f t="shared" si="1"/>
        <v>0</v>
      </c>
      <c r="K1802" s="104" t="str">
        <f>IF(H1802&lt;0,"ERROR",IF(H1802=0,"",IF(H1802&lt;CONFIG!$B$4,"CRÍTICO",IF(H1802&lt;CONFIG!$B$5,"BAJO","OK"))))</f>
        <v/>
      </c>
    </row>
    <row r="1803" ht="15.75" hidden="1" customHeight="1">
      <c r="A1803" s="90" t="str">
        <f>IF(CLIENTES!A8="","",CLIENTES!A8)</f>
        <v/>
      </c>
      <c r="B1803" s="90" t="s">
        <v>324</v>
      </c>
      <c r="C1803" s="91" t="s">
        <v>328</v>
      </c>
      <c r="D1803" s="109" t="s">
        <v>353</v>
      </c>
      <c r="E1803" s="67" t="str">
        <f>COLORES!A13</f>
        <v>Camote</v>
      </c>
      <c r="F1803" s="67" t="str">
        <f>COLORES!B13</f>
        <v>CLARO</v>
      </c>
      <c r="G1803" s="90" t="s">
        <v>379</v>
      </c>
      <c r="H1803" s="100">
        <f>IFERROR(SUMIFS(MOVIMIENTOS_COMPLEMENTOS!$I$4:$I$803,MOVIMIENTOS_COMPLEMENTOS!$C$4:$C$803,A1803,MOVIMIENTOS_COMPLEMENTOS!$D$4:$D$803,B1803,MOVIMIENTOS_COMPLEMENTOS!$E$4:$E$803,C1803,MOVIMIENTOS_COMPLEMENTOS!$G$4:$G$803,E1803,MOVIMIENTOS_COMPLEMENTOS!$H$4:$H$803,G1803,MOVIMIENTOS_COMPLEMENTOS!$B$4:$B$803,"INGRESO")+SUMIFS(MOVIMIENTOS_COMPLEMENTOS!$I$4:$I$803,MOVIMIENTOS_COMPLEMENTOS!$C$4:$C$803,A1803,MOVIMIENTOS_COMPLEMENTOS!$D$4:$D$803,B1803,MOVIMIENTOS_COMPLEMENTOS!$E$4:$E$803,C1803,MOVIMIENTOS_COMPLEMENTOS!$G$4:$G$803,E1803,MOVIMIENTOS_COMPLEMENTOS!$H$4:$H$803,G1803,MOVIMIENTOS_COMPLEMENTOS!$B$4:$B$803,"DE CORTE")-SUMIFS(MOVIMIENTOS_COMPLEMENTOS!$I$4:$I$803,MOVIMIENTOS_COMPLEMENTOS!$C$4:$C$803,A1803,MOVIMIENTOS_COMPLEMENTOS!$D$4:$D$803,B1803,MOVIMIENTOS_COMPLEMENTOS!$E$4:$E$803,C1803,MOVIMIENTOS_COMPLEMENTOS!$G$4:$G$803,E1803,MOVIMIENTOS_COMPLEMENTOS!$H$4:$H$803,G1803,MOVIMIENTOS_COMPLEMENTOS!$B$4:$B$803,"SALIDA"),0)</f>
        <v>0</v>
      </c>
      <c r="I1803" s="102">
        <f t="array" ref="I1803">IFERROR(INDEX(PRECIOS_COMPLEMENTOS!$C$4:$F$17,MATCH(B1803&amp;"_"&amp;C1803,PRECIOS_COMPLEMENTOS!$H$4:$H$17,0),IF(OR(G1803="S",G1803="20cm"),1,IF(OR(G1803="M",G1803="25cm"),2,IF(OR(G1803="L",G1803="30cm"),3,IF(OR(G1803="XL",G1803="35cm"),4,0))))),0)</f>
        <v>0.3</v>
      </c>
      <c r="J1803" s="103">
        <f t="shared" si="1"/>
        <v>0</v>
      </c>
      <c r="K1803" s="104" t="str">
        <f>IF(H1803&lt;0,"ERROR",IF(H1803=0,"",IF(H1803&lt;CONFIG!$B$4,"CRÍTICO",IF(H1803&lt;CONFIG!$B$5,"BAJO","OK"))))</f>
        <v/>
      </c>
    </row>
    <row r="1804" ht="15.75" hidden="1" customHeight="1">
      <c r="A1804" s="90" t="str">
        <f>IF(CLIENTES!A8="","",CLIENTES!A8)</f>
        <v/>
      </c>
      <c r="B1804" s="90" t="s">
        <v>324</v>
      </c>
      <c r="C1804" s="91" t="s">
        <v>328</v>
      </c>
      <c r="D1804" s="109" t="s">
        <v>353</v>
      </c>
      <c r="E1804" s="67" t="str">
        <f>COLORES!A14</f>
        <v>Denim</v>
      </c>
      <c r="F1804" s="67" t="str">
        <f>COLORES!B14</f>
        <v>CLARO</v>
      </c>
      <c r="G1804" s="90" t="s">
        <v>378</v>
      </c>
      <c r="H1804" s="100">
        <f>IFERROR(SUMIFS(MOVIMIENTOS_COMPLEMENTOS!$I$4:$I$803,MOVIMIENTOS_COMPLEMENTOS!$C$4:$C$803,A1804,MOVIMIENTOS_COMPLEMENTOS!$D$4:$D$803,B1804,MOVIMIENTOS_COMPLEMENTOS!$E$4:$E$803,C1804,MOVIMIENTOS_COMPLEMENTOS!$G$4:$G$803,E1804,MOVIMIENTOS_COMPLEMENTOS!$H$4:$H$803,G1804,MOVIMIENTOS_COMPLEMENTOS!$B$4:$B$803,"INGRESO")+SUMIFS(MOVIMIENTOS_COMPLEMENTOS!$I$4:$I$803,MOVIMIENTOS_COMPLEMENTOS!$C$4:$C$803,A1804,MOVIMIENTOS_COMPLEMENTOS!$D$4:$D$803,B1804,MOVIMIENTOS_COMPLEMENTOS!$E$4:$E$803,C1804,MOVIMIENTOS_COMPLEMENTOS!$G$4:$G$803,E1804,MOVIMIENTOS_COMPLEMENTOS!$H$4:$H$803,G1804,MOVIMIENTOS_COMPLEMENTOS!$B$4:$B$803,"DE CORTE")-SUMIFS(MOVIMIENTOS_COMPLEMENTOS!$I$4:$I$803,MOVIMIENTOS_COMPLEMENTOS!$C$4:$C$803,A1804,MOVIMIENTOS_COMPLEMENTOS!$D$4:$D$803,B1804,MOVIMIENTOS_COMPLEMENTOS!$E$4:$E$803,C1804,MOVIMIENTOS_COMPLEMENTOS!$G$4:$G$803,E1804,MOVIMIENTOS_COMPLEMENTOS!$H$4:$H$803,G1804,MOVIMIENTOS_COMPLEMENTOS!$B$4:$B$803,"SALIDA"),0)</f>
        <v>0</v>
      </c>
      <c r="I1804" s="102">
        <f t="array" ref="I1804">IFERROR(INDEX(PRECIOS_COMPLEMENTOS!$C$4:$F$17,MATCH(B1804&amp;"_"&amp;C1804,PRECIOS_COMPLEMENTOS!$H$4:$H$17,0),IF(OR(G1804="S",G1804="20cm"),1,IF(OR(G1804="M",G1804="25cm"),2,IF(OR(G1804="L",G1804="30cm"),3,IF(OR(G1804="XL",G1804="35cm"),4,0))))),0)</f>
        <v>0.3</v>
      </c>
      <c r="J1804" s="103">
        <f t="shared" si="1"/>
        <v>0</v>
      </c>
      <c r="K1804" s="104" t="str">
        <f>IF(H1804&lt;0,"ERROR",IF(H1804=0,"",IF(H1804&lt;CONFIG!$B$4,"CRÍTICO",IF(H1804&lt;CONFIG!$B$5,"BAJO","OK"))))</f>
        <v/>
      </c>
    </row>
    <row r="1805" ht="15.75" hidden="1" customHeight="1">
      <c r="A1805" s="90" t="str">
        <f>IF(CLIENTES!A8="","",CLIENTES!A8)</f>
        <v/>
      </c>
      <c r="B1805" s="90" t="s">
        <v>324</v>
      </c>
      <c r="C1805" s="91" t="s">
        <v>328</v>
      </c>
      <c r="D1805" s="109" t="s">
        <v>353</v>
      </c>
      <c r="E1805" s="67" t="str">
        <f>COLORES!A14</f>
        <v>Denim</v>
      </c>
      <c r="F1805" s="67" t="str">
        <f>COLORES!B14</f>
        <v>CLARO</v>
      </c>
      <c r="G1805" s="90" t="s">
        <v>376</v>
      </c>
      <c r="H1805" s="100">
        <f>IFERROR(SUMIFS(MOVIMIENTOS_COMPLEMENTOS!$I$4:$I$803,MOVIMIENTOS_COMPLEMENTOS!$C$4:$C$803,A1805,MOVIMIENTOS_COMPLEMENTOS!$D$4:$D$803,B1805,MOVIMIENTOS_COMPLEMENTOS!$E$4:$E$803,C1805,MOVIMIENTOS_COMPLEMENTOS!$G$4:$G$803,E1805,MOVIMIENTOS_COMPLEMENTOS!$H$4:$H$803,G1805,MOVIMIENTOS_COMPLEMENTOS!$B$4:$B$803,"INGRESO")+SUMIFS(MOVIMIENTOS_COMPLEMENTOS!$I$4:$I$803,MOVIMIENTOS_COMPLEMENTOS!$C$4:$C$803,A1805,MOVIMIENTOS_COMPLEMENTOS!$D$4:$D$803,B1805,MOVIMIENTOS_COMPLEMENTOS!$E$4:$E$803,C1805,MOVIMIENTOS_COMPLEMENTOS!$G$4:$G$803,E1805,MOVIMIENTOS_COMPLEMENTOS!$H$4:$H$803,G1805,MOVIMIENTOS_COMPLEMENTOS!$B$4:$B$803,"DE CORTE")-SUMIFS(MOVIMIENTOS_COMPLEMENTOS!$I$4:$I$803,MOVIMIENTOS_COMPLEMENTOS!$C$4:$C$803,A1805,MOVIMIENTOS_COMPLEMENTOS!$D$4:$D$803,B1805,MOVIMIENTOS_COMPLEMENTOS!$E$4:$E$803,C1805,MOVIMIENTOS_COMPLEMENTOS!$G$4:$G$803,E1805,MOVIMIENTOS_COMPLEMENTOS!$H$4:$H$803,G1805,MOVIMIENTOS_COMPLEMENTOS!$B$4:$B$803,"SALIDA"),0)</f>
        <v>0</v>
      </c>
      <c r="I1805" s="102">
        <f t="array" ref="I1805">IFERROR(INDEX(PRECIOS_COMPLEMENTOS!$C$4:$F$17,MATCH(B1805&amp;"_"&amp;C1805,PRECIOS_COMPLEMENTOS!$H$4:$H$17,0),IF(OR(G1805="S",G1805="20cm"),1,IF(OR(G1805="M",G1805="25cm"),2,IF(OR(G1805="L",G1805="30cm"),3,IF(OR(G1805="XL",G1805="35cm"),4,0))))),0)</f>
        <v>0.3</v>
      </c>
      <c r="J1805" s="103">
        <f t="shared" si="1"/>
        <v>0</v>
      </c>
      <c r="K1805" s="104" t="str">
        <f>IF(H1805&lt;0,"ERROR",IF(H1805=0,"",IF(H1805&lt;CONFIG!$B$4,"CRÍTICO",IF(H1805&lt;CONFIG!$B$5,"BAJO","OK"))))</f>
        <v/>
      </c>
    </row>
    <row r="1806" ht="15.75" hidden="1" customHeight="1">
      <c r="A1806" s="90" t="str">
        <f>IF(CLIENTES!A8="","",CLIENTES!A8)</f>
        <v/>
      </c>
      <c r="B1806" s="90" t="s">
        <v>324</v>
      </c>
      <c r="C1806" s="91" t="s">
        <v>328</v>
      </c>
      <c r="D1806" s="109" t="s">
        <v>353</v>
      </c>
      <c r="E1806" s="67" t="str">
        <f>COLORES!A14</f>
        <v>Denim</v>
      </c>
      <c r="F1806" s="67" t="str">
        <f>COLORES!B14</f>
        <v>CLARO</v>
      </c>
      <c r="G1806" s="90" t="s">
        <v>377</v>
      </c>
      <c r="H1806" s="100">
        <f>IFERROR(SUMIFS(MOVIMIENTOS_COMPLEMENTOS!$I$4:$I$803,MOVIMIENTOS_COMPLEMENTOS!$C$4:$C$803,A1806,MOVIMIENTOS_COMPLEMENTOS!$D$4:$D$803,B1806,MOVIMIENTOS_COMPLEMENTOS!$E$4:$E$803,C1806,MOVIMIENTOS_COMPLEMENTOS!$G$4:$G$803,E1806,MOVIMIENTOS_COMPLEMENTOS!$H$4:$H$803,G1806,MOVIMIENTOS_COMPLEMENTOS!$B$4:$B$803,"INGRESO")+SUMIFS(MOVIMIENTOS_COMPLEMENTOS!$I$4:$I$803,MOVIMIENTOS_COMPLEMENTOS!$C$4:$C$803,A1806,MOVIMIENTOS_COMPLEMENTOS!$D$4:$D$803,B1806,MOVIMIENTOS_COMPLEMENTOS!$E$4:$E$803,C1806,MOVIMIENTOS_COMPLEMENTOS!$G$4:$G$803,E1806,MOVIMIENTOS_COMPLEMENTOS!$H$4:$H$803,G1806,MOVIMIENTOS_COMPLEMENTOS!$B$4:$B$803,"DE CORTE")-SUMIFS(MOVIMIENTOS_COMPLEMENTOS!$I$4:$I$803,MOVIMIENTOS_COMPLEMENTOS!$C$4:$C$803,A1806,MOVIMIENTOS_COMPLEMENTOS!$D$4:$D$803,B1806,MOVIMIENTOS_COMPLEMENTOS!$E$4:$E$803,C1806,MOVIMIENTOS_COMPLEMENTOS!$G$4:$G$803,E1806,MOVIMIENTOS_COMPLEMENTOS!$H$4:$H$803,G1806,MOVIMIENTOS_COMPLEMENTOS!$B$4:$B$803,"SALIDA"),0)</f>
        <v>0</v>
      </c>
      <c r="I1806" s="102">
        <f t="array" ref="I1806">IFERROR(INDEX(PRECIOS_COMPLEMENTOS!$C$4:$F$17,MATCH(B1806&amp;"_"&amp;C1806,PRECIOS_COMPLEMENTOS!$H$4:$H$17,0),IF(OR(G1806="S",G1806="20cm"),1,IF(OR(G1806="M",G1806="25cm"),2,IF(OR(G1806="L",G1806="30cm"),3,IF(OR(G1806="XL",G1806="35cm"),4,0))))),0)</f>
        <v>0.3</v>
      </c>
      <c r="J1806" s="103">
        <f t="shared" si="1"/>
        <v>0</v>
      </c>
      <c r="K1806" s="104" t="str">
        <f>IF(H1806&lt;0,"ERROR",IF(H1806=0,"",IF(H1806&lt;CONFIG!$B$4,"CRÍTICO",IF(H1806&lt;CONFIG!$B$5,"BAJO","OK"))))</f>
        <v/>
      </c>
    </row>
    <row r="1807" ht="15.75" hidden="1" customHeight="1">
      <c r="A1807" s="90" t="str">
        <f>IF(CLIENTES!A8="","",CLIENTES!A8)</f>
        <v/>
      </c>
      <c r="B1807" s="90" t="s">
        <v>324</v>
      </c>
      <c r="C1807" s="91" t="s">
        <v>328</v>
      </c>
      <c r="D1807" s="109" t="s">
        <v>353</v>
      </c>
      <c r="E1807" s="67" t="str">
        <f>COLORES!A14</f>
        <v>Denim</v>
      </c>
      <c r="F1807" s="67" t="str">
        <f>COLORES!B14</f>
        <v>CLARO</v>
      </c>
      <c r="G1807" s="90" t="s">
        <v>379</v>
      </c>
      <c r="H1807" s="100">
        <f>IFERROR(SUMIFS(MOVIMIENTOS_COMPLEMENTOS!$I$4:$I$803,MOVIMIENTOS_COMPLEMENTOS!$C$4:$C$803,A1807,MOVIMIENTOS_COMPLEMENTOS!$D$4:$D$803,B1807,MOVIMIENTOS_COMPLEMENTOS!$E$4:$E$803,C1807,MOVIMIENTOS_COMPLEMENTOS!$G$4:$G$803,E1807,MOVIMIENTOS_COMPLEMENTOS!$H$4:$H$803,G1807,MOVIMIENTOS_COMPLEMENTOS!$B$4:$B$803,"INGRESO")+SUMIFS(MOVIMIENTOS_COMPLEMENTOS!$I$4:$I$803,MOVIMIENTOS_COMPLEMENTOS!$C$4:$C$803,A1807,MOVIMIENTOS_COMPLEMENTOS!$D$4:$D$803,B1807,MOVIMIENTOS_COMPLEMENTOS!$E$4:$E$803,C1807,MOVIMIENTOS_COMPLEMENTOS!$G$4:$G$803,E1807,MOVIMIENTOS_COMPLEMENTOS!$H$4:$H$803,G1807,MOVIMIENTOS_COMPLEMENTOS!$B$4:$B$803,"DE CORTE")-SUMIFS(MOVIMIENTOS_COMPLEMENTOS!$I$4:$I$803,MOVIMIENTOS_COMPLEMENTOS!$C$4:$C$803,A1807,MOVIMIENTOS_COMPLEMENTOS!$D$4:$D$803,B1807,MOVIMIENTOS_COMPLEMENTOS!$E$4:$E$803,C1807,MOVIMIENTOS_COMPLEMENTOS!$G$4:$G$803,E1807,MOVIMIENTOS_COMPLEMENTOS!$H$4:$H$803,G1807,MOVIMIENTOS_COMPLEMENTOS!$B$4:$B$803,"SALIDA"),0)</f>
        <v>0</v>
      </c>
      <c r="I1807" s="102">
        <f t="array" ref="I1807">IFERROR(INDEX(PRECIOS_COMPLEMENTOS!$C$4:$F$17,MATCH(B1807&amp;"_"&amp;C1807,PRECIOS_COMPLEMENTOS!$H$4:$H$17,0),IF(OR(G1807="S",G1807="20cm"),1,IF(OR(G1807="M",G1807="25cm"),2,IF(OR(G1807="L",G1807="30cm"),3,IF(OR(G1807="XL",G1807="35cm"),4,0))))),0)</f>
        <v>0.3</v>
      </c>
      <c r="J1807" s="103">
        <f t="shared" si="1"/>
        <v>0</v>
      </c>
      <c r="K1807" s="104" t="str">
        <f>IF(H1807&lt;0,"ERROR",IF(H1807=0,"",IF(H1807&lt;CONFIG!$B$4,"CRÍTICO",IF(H1807&lt;CONFIG!$B$5,"BAJO","OK"))))</f>
        <v/>
      </c>
    </row>
    <row r="1808" ht="15.75" hidden="1" customHeight="1">
      <c r="A1808" s="90" t="str">
        <f>IF(CLIENTES!A8="","",CLIENTES!A8)</f>
        <v/>
      </c>
      <c r="B1808" s="90" t="s">
        <v>324</v>
      </c>
      <c r="C1808" s="91" t="s">
        <v>328</v>
      </c>
      <c r="D1808" s="109" t="s">
        <v>353</v>
      </c>
      <c r="E1808" s="67" t="str">
        <f>COLORES!A15</f>
        <v>Plomo</v>
      </c>
      <c r="F1808" s="67" t="str">
        <f>COLORES!B15</f>
        <v>OSCURO</v>
      </c>
      <c r="G1808" s="90" t="s">
        <v>378</v>
      </c>
      <c r="H1808" s="100">
        <f>IFERROR(SUMIFS(MOVIMIENTOS_COMPLEMENTOS!$I$4:$I$803,MOVIMIENTOS_COMPLEMENTOS!$C$4:$C$803,A1808,MOVIMIENTOS_COMPLEMENTOS!$D$4:$D$803,B1808,MOVIMIENTOS_COMPLEMENTOS!$E$4:$E$803,C1808,MOVIMIENTOS_COMPLEMENTOS!$G$4:$G$803,E1808,MOVIMIENTOS_COMPLEMENTOS!$H$4:$H$803,G1808,MOVIMIENTOS_COMPLEMENTOS!$B$4:$B$803,"INGRESO")+SUMIFS(MOVIMIENTOS_COMPLEMENTOS!$I$4:$I$803,MOVIMIENTOS_COMPLEMENTOS!$C$4:$C$803,A1808,MOVIMIENTOS_COMPLEMENTOS!$D$4:$D$803,B1808,MOVIMIENTOS_COMPLEMENTOS!$E$4:$E$803,C1808,MOVIMIENTOS_COMPLEMENTOS!$G$4:$G$803,E1808,MOVIMIENTOS_COMPLEMENTOS!$H$4:$H$803,G1808,MOVIMIENTOS_COMPLEMENTOS!$B$4:$B$803,"DE CORTE")-SUMIFS(MOVIMIENTOS_COMPLEMENTOS!$I$4:$I$803,MOVIMIENTOS_COMPLEMENTOS!$C$4:$C$803,A1808,MOVIMIENTOS_COMPLEMENTOS!$D$4:$D$803,B1808,MOVIMIENTOS_COMPLEMENTOS!$E$4:$E$803,C1808,MOVIMIENTOS_COMPLEMENTOS!$G$4:$G$803,E1808,MOVIMIENTOS_COMPLEMENTOS!$H$4:$H$803,G1808,MOVIMIENTOS_COMPLEMENTOS!$B$4:$B$803,"SALIDA"),0)</f>
        <v>0</v>
      </c>
      <c r="I1808" s="102">
        <f t="array" ref="I1808">IFERROR(INDEX(PRECIOS_COMPLEMENTOS!$C$4:$F$17,MATCH(B1808&amp;"_"&amp;C1808,PRECIOS_COMPLEMENTOS!$H$4:$H$17,0),IF(OR(G1808="S",G1808="20cm"),1,IF(OR(G1808="M",G1808="25cm"),2,IF(OR(G1808="L",G1808="30cm"),3,IF(OR(G1808="XL",G1808="35cm"),4,0))))),0)</f>
        <v>0.3</v>
      </c>
      <c r="J1808" s="103">
        <f t="shared" si="1"/>
        <v>0</v>
      </c>
      <c r="K1808" s="104" t="str">
        <f>IF(H1808&lt;0,"ERROR",IF(H1808=0,"",IF(H1808&lt;CONFIG!$B$4,"CRÍTICO",IF(H1808&lt;CONFIG!$B$5,"BAJO","OK"))))</f>
        <v/>
      </c>
    </row>
    <row r="1809" ht="15.75" hidden="1" customHeight="1">
      <c r="A1809" s="90" t="str">
        <f>IF(CLIENTES!A8="","",CLIENTES!A8)</f>
        <v/>
      </c>
      <c r="B1809" s="90" t="s">
        <v>324</v>
      </c>
      <c r="C1809" s="91" t="s">
        <v>328</v>
      </c>
      <c r="D1809" s="109" t="s">
        <v>353</v>
      </c>
      <c r="E1809" s="67" t="str">
        <f>COLORES!A15</f>
        <v>Plomo</v>
      </c>
      <c r="F1809" s="67" t="str">
        <f>COLORES!B15</f>
        <v>OSCURO</v>
      </c>
      <c r="G1809" s="90" t="s">
        <v>376</v>
      </c>
      <c r="H1809" s="100">
        <f>IFERROR(SUMIFS(MOVIMIENTOS_COMPLEMENTOS!$I$4:$I$803,MOVIMIENTOS_COMPLEMENTOS!$C$4:$C$803,A1809,MOVIMIENTOS_COMPLEMENTOS!$D$4:$D$803,B1809,MOVIMIENTOS_COMPLEMENTOS!$E$4:$E$803,C1809,MOVIMIENTOS_COMPLEMENTOS!$G$4:$G$803,E1809,MOVIMIENTOS_COMPLEMENTOS!$H$4:$H$803,G1809,MOVIMIENTOS_COMPLEMENTOS!$B$4:$B$803,"INGRESO")+SUMIFS(MOVIMIENTOS_COMPLEMENTOS!$I$4:$I$803,MOVIMIENTOS_COMPLEMENTOS!$C$4:$C$803,A1809,MOVIMIENTOS_COMPLEMENTOS!$D$4:$D$803,B1809,MOVIMIENTOS_COMPLEMENTOS!$E$4:$E$803,C1809,MOVIMIENTOS_COMPLEMENTOS!$G$4:$G$803,E1809,MOVIMIENTOS_COMPLEMENTOS!$H$4:$H$803,G1809,MOVIMIENTOS_COMPLEMENTOS!$B$4:$B$803,"DE CORTE")-SUMIFS(MOVIMIENTOS_COMPLEMENTOS!$I$4:$I$803,MOVIMIENTOS_COMPLEMENTOS!$C$4:$C$803,A1809,MOVIMIENTOS_COMPLEMENTOS!$D$4:$D$803,B1809,MOVIMIENTOS_COMPLEMENTOS!$E$4:$E$803,C1809,MOVIMIENTOS_COMPLEMENTOS!$G$4:$G$803,E1809,MOVIMIENTOS_COMPLEMENTOS!$H$4:$H$803,G1809,MOVIMIENTOS_COMPLEMENTOS!$B$4:$B$803,"SALIDA"),0)</f>
        <v>0</v>
      </c>
      <c r="I1809" s="102">
        <f t="array" ref="I1809">IFERROR(INDEX(PRECIOS_COMPLEMENTOS!$C$4:$F$17,MATCH(B1809&amp;"_"&amp;C1809,PRECIOS_COMPLEMENTOS!$H$4:$H$17,0),IF(OR(G1809="S",G1809="20cm"),1,IF(OR(G1809="M",G1809="25cm"),2,IF(OR(G1809="L",G1809="30cm"),3,IF(OR(G1809="XL",G1809="35cm"),4,0))))),0)</f>
        <v>0.3</v>
      </c>
      <c r="J1809" s="103">
        <f t="shared" si="1"/>
        <v>0</v>
      </c>
      <c r="K1809" s="104" t="str">
        <f>IF(H1809&lt;0,"ERROR",IF(H1809=0,"",IF(H1809&lt;CONFIG!$B$4,"CRÍTICO",IF(H1809&lt;CONFIG!$B$5,"BAJO","OK"))))</f>
        <v/>
      </c>
    </row>
    <row r="1810" ht="15.75" hidden="1" customHeight="1">
      <c r="A1810" s="90" t="str">
        <f>IF(CLIENTES!A8="","",CLIENTES!A8)</f>
        <v/>
      </c>
      <c r="B1810" s="90" t="s">
        <v>324</v>
      </c>
      <c r="C1810" s="91" t="s">
        <v>328</v>
      </c>
      <c r="D1810" s="109" t="s">
        <v>353</v>
      </c>
      <c r="E1810" s="67" t="str">
        <f>COLORES!A15</f>
        <v>Plomo</v>
      </c>
      <c r="F1810" s="67" t="str">
        <f>COLORES!B15</f>
        <v>OSCURO</v>
      </c>
      <c r="G1810" s="90" t="s">
        <v>377</v>
      </c>
      <c r="H1810" s="100">
        <f>IFERROR(SUMIFS(MOVIMIENTOS_COMPLEMENTOS!$I$4:$I$803,MOVIMIENTOS_COMPLEMENTOS!$C$4:$C$803,A1810,MOVIMIENTOS_COMPLEMENTOS!$D$4:$D$803,B1810,MOVIMIENTOS_COMPLEMENTOS!$E$4:$E$803,C1810,MOVIMIENTOS_COMPLEMENTOS!$G$4:$G$803,E1810,MOVIMIENTOS_COMPLEMENTOS!$H$4:$H$803,G1810,MOVIMIENTOS_COMPLEMENTOS!$B$4:$B$803,"INGRESO")+SUMIFS(MOVIMIENTOS_COMPLEMENTOS!$I$4:$I$803,MOVIMIENTOS_COMPLEMENTOS!$C$4:$C$803,A1810,MOVIMIENTOS_COMPLEMENTOS!$D$4:$D$803,B1810,MOVIMIENTOS_COMPLEMENTOS!$E$4:$E$803,C1810,MOVIMIENTOS_COMPLEMENTOS!$G$4:$G$803,E1810,MOVIMIENTOS_COMPLEMENTOS!$H$4:$H$803,G1810,MOVIMIENTOS_COMPLEMENTOS!$B$4:$B$803,"DE CORTE")-SUMIFS(MOVIMIENTOS_COMPLEMENTOS!$I$4:$I$803,MOVIMIENTOS_COMPLEMENTOS!$C$4:$C$803,A1810,MOVIMIENTOS_COMPLEMENTOS!$D$4:$D$803,B1810,MOVIMIENTOS_COMPLEMENTOS!$E$4:$E$803,C1810,MOVIMIENTOS_COMPLEMENTOS!$G$4:$G$803,E1810,MOVIMIENTOS_COMPLEMENTOS!$H$4:$H$803,G1810,MOVIMIENTOS_COMPLEMENTOS!$B$4:$B$803,"SALIDA"),0)</f>
        <v>0</v>
      </c>
      <c r="I1810" s="102">
        <f t="array" ref="I1810">IFERROR(INDEX(PRECIOS_COMPLEMENTOS!$C$4:$F$17,MATCH(B1810&amp;"_"&amp;C1810,PRECIOS_COMPLEMENTOS!$H$4:$H$17,0),IF(OR(G1810="S",G1810="20cm"),1,IF(OR(G1810="M",G1810="25cm"),2,IF(OR(G1810="L",G1810="30cm"),3,IF(OR(G1810="XL",G1810="35cm"),4,0))))),0)</f>
        <v>0.3</v>
      </c>
      <c r="J1810" s="103">
        <f t="shared" si="1"/>
        <v>0</v>
      </c>
      <c r="K1810" s="104" t="str">
        <f>IF(H1810&lt;0,"ERROR",IF(H1810=0,"",IF(H1810&lt;CONFIG!$B$4,"CRÍTICO",IF(H1810&lt;CONFIG!$B$5,"BAJO","OK"))))</f>
        <v/>
      </c>
    </row>
    <row r="1811" ht="15.75" hidden="1" customHeight="1">
      <c r="A1811" s="90" t="str">
        <f>IF(CLIENTES!A8="","",CLIENTES!A8)</f>
        <v/>
      </c>
      <c r="B1811" s="90" t="s">
        <v>324</v>
      </c>
      <c r="C1811" s="91" t="s">
        <v>328</v>
      </c>
      <c r="D1811" s="109" t="s">
        <v>353</v>
      </c>
      <c r="E1811" s="67" t="str">
        <f>COLORES!A15</f>
        <v>Plomo</v>
      </c>
      <c r="F1811" s="67" t="str">
        <f>COLORES!B15</f>
        <v>OSCURO</v>
      </c>
      <c r="G1811" s="90" t="s">
        <v>379</v>
      </c>
      <c r="H1811" s="100">
        <f>IFERROR(SUMIFS(MOVIMIENTOS_COMPLEMENTOS!$I$4:$I$803,MOVIMIENTOS_COMPLEMENTOS!$C$4:$C$803,A1811,MOVIMIENTOS_COMPLEMENTOS!$D$4:$D$803,B1811,MOVIMIENTOS_COMPLEMENTOS!$E$4:$E$803,C1811,MOVIMIENTOS_COMPLEMENTOS!$G$4:$G$803,E1811,MOVIMIENTOS_COMPLEMENTOS!$H$4:$H$803,G1811,MOVIMIENTOS_COMPLEMENTOS!$B$4:$B$803,"INGRESO")+SUMIFS(MOVIMIENTOS_COMPLEMENTOS!$I$4:$I$803,MOVIMIENTOS_COMPLEMENTOS!$C$4:$C$803,A1811,MOVIMIENTOS_COMPLEMENTOS!$D$4:$D$803,B1811,MOVIMIENTOS_COMPLEMENTOS!$E$4:$E$803,C1811,MOVIMIENTOS_COMPLEMENTOS!$G$4:$G$803,E1811,MOVIMIENTOS_COMPLEMENTOS!$H$4:$H$803,G1811,MOVIMIENTOS_COMPLEMENTOS!$B$4:$B$803,"DE CORTE")-SUMIFS(MOVIMIENTOS_COMPLEMENTOS!$I$4:$I$803,MOVIMIENTOS_COMPLEMENTOS!$C$4:$C$803,A1811,MOVIMIENTOS_COMPLEMENTOS!$D$4:$D$803,B1811,MOVIMIENTOS_COMPLEMENTOS!$E$4:$E$803,C1811,MOVIMIENTOS_COMPLEMENTOS!$G$4:$G$803,E1811,MOVIMIENTOS_COMPLEMENTOS!$H$4:$H$803,G1811,MOVIMIENTOS_COMPLEMENTOS!$B$4:$B$803,"SALIDA"),0)</f>
        <v>0</v>
      </c>
      <c r="I1811" s="102">
        <f t="array" ref="I1811">IFERROR(INDEX(PRECIOS_COMPLEMENTOS!$C$4:$F$17,MATCH(B1811&amp;"_"&amp;C1811,PRECIOS_COMPLEMENTOS!$H$4:$H$17,0),IF(OR(G1811="S",G1811="20cm"),1,IF(OR(G1811="M",G1811="25cm"),2,IF(OR(G1811="L",G1811="30cm"),3,IF(OR(G1811="XL",G1811="35cm"),4,0))))),0)</f>
        <v>0.3</v>
      </c>
      <c r="J1811" s="103">
        <f t="shared" si="1"/>
        <v>0</v>
      </c>
      <c r="K1811" s="104" t="str">
        <f>IF(H1811&lt;0,"ERROR",IF(H1811=0,"",IF(H1811&lt;CONFIG!$B$4,"CRÍTICO",IF(H1811&lt;CONFIG!$B$5,"BAJO","OK"))))</f>
        <v/>
      </c>
    </row>
    <row r="1812" ht="15.75" hidden="1" customHeight="1">
      <c r="A1812" s="90" t="str">
        <f>IF(CLIENTES!A8="","",CLIENTES!A8)</f>
        <v/>
      </c>
      <c r="B1812" s="90" t="s">
        <v>324</v>
      </c>
      <c r="C1812" s="91" t="s">
        <v>328</v>
      </c>
      <c r="D1812" s="109" t="s">
        <v>353</v>
      </c>
      <c r="E1812" s="67" t="str">
        <f>COLORES!A16</f>
        <v>Topo</v>
      </c>
      <c r="F1812" s="67" t="str">
        <f>COLORES!B16</f>
        <v>CLARO</v>
      </c>
      <c r="G1812" s="90" t="s">
        <v>378</v>
      </c>
      <c r="H1812" s="100">
        <f>IFERROR(SUMIFS(MOVIMIENTOS_COMPLEMENTOS!$I$4:$I$803,MOVIMIENTOS_COMPLEMENTOS!$C$4:$C$803,A1812,MOVIMIENTOS_COMPLEMENTOS!$D$4:$D$803,B1812,MOVIMIENTOS_COMPLEMENTOS!$E$4:$E$803,C1812,MOVIMIENTOS_COMPLEMENTOS!$G$4:$G$803,E1812,MOVIMIENTOS_COMPLEMENTOS!$H$4:$H$803,G1812,MOVIMIENTOS_COMPLEMENTOS!$B$4:$B$803,"INGRESO")+SUMIFS(MOVIMIENTOS_COMPLEMENTOS!$I$4:$I$803,MOVIMIENTOS_COMPLEMENTOS!$C$4:$C$803,A1812,MOVIMIENTOS_COMPLEMENTOS!$D$4:$D$803,B1812,MOVIMIENTOS_COMPLEMENTOS!$E$4:$E$803,C1812,MOVIMIENTOS_COMPLEMENTOS!$G$4:$G$803,E1812,MOVIMIENTOS_COMPLEMENTOS!$H$4:$H$803,G1812,MOVIMIENTOS_COMPLEMENTOS!$B$4:$B$803,"DE CORTE")-SUMIFS(MOVIMIENTOS_COMPLEMENTOS!$I$4:$I$803,MOVIMIENTOS_COMPLEMENTOS!$C$4:$C$803,A1812,MOVIMIENTOS_COMPLEMENTOS!$D$4:$D$803,B1812,MOVIMIENTOS_COMPLEMENTOS!$E$4:$E$803,C1812,MOVIMIENTOS_COMPLEMENTOS!$G$4:$G$803,E1812,MOVIMIENTOS_COMPLEMENTOS!$H$4:$H$803,G1812,MOVIMIENTOS_COMPLEMENTOS!$B$4:$B$803,"SALIDA"),0)</f>
        <v>0</v>
      </c>
      <c r="I1812" s="102">
        <f t="array" ref="I1812">IFERROR(INDEX(PRECIOS_COMPLEMENTOS!$C$4:$F$17,MATCH(B1812&amp;"_"&amp;C1812,PRECIOS_COMPLEMENTOS!$H$4:$H$17,0),IF(OR(G1812="S",G1812="20cm"),1,IF(OR(G1812="M",G1812="25cm"),2,IF(OR(G1812="L",G1812="30cm"),3,IF(OR(G1812="XL",G1812="35cm"),4,0))))),0)</f>
        <v>0.3</v>
      </c>
      <c r="J1812" s="103">
        <f t="shared" si="1"/>
        <v>0</v>
      </c>
      <c r="K1812" s="104" t="str">
        <f>IF(H1812&lt;0,"ERROR",IF(H1812=0,"",IF(H1812&lt;CONFIG!$B$4,"CRÍTICO",IF(H1812&lt;CONFIG!$B$5,"BAJO","OK"))))</f>
        <v/>
      </c>
    </row>
    <row r="1813" ht="15.75" hidden="1" customHeight="1">
      <c r="A1813" s="90" t="str">
        <f>IF(CLIENTES!A8="","",CLIENTES!A8)</f>
        <v/>
      </c>
      <c r="B1813" s="90" t="s">
        <v>324</v>
      </c>
      <c r="C1813" s="91" t="s">
        <v>328</v>
      </c>
      <c r="D1813" s="109" t="s">
        <v>353</v>
      </c>
      <c r="E1813" s="67" t="str">
        <f>COLORES!A16</f>
        <v>Topo</v>
      </c>
      <c r="F1813" s="67" t="str">
        <f>COLORES!B16</f>
        <v>CLARO</v>
      </c>
      <c r="G1813" s="90" t="s">
        <v>376</v>
      </c>
      <c r="H1813" s="100">
        <f>IFERROR(SUMIFS(MOVIMIENTOS_COMPLEMENTOS!$I$4:$I$803,MOVIMIENTOS_COMPLEMENTOS!$C$4:$C$803,A1813,MOVIMIENTOS_COMPLEMENTOS!$D$4:$D$803,B1813,MOVIMIENTOS_COMPLEMENTOS!$E$4:$E$803,C1813,MOVIMIENTOS_COMPLEMENTOS!$G$4:$G$803,E1813,MOVIMIENTOS_COMPLEMENTOS!$H$4:$H$803,G1813,MOVIMIENTOS_COMPLEMENTOS!$B$4:$B$803,"INGRESO")+SUMIFS(MOVIMIENTOS_COMPLEMENTOS!$I$4:$I$803,MOVIMIENTOS_COMPLEMENTOS!$C$4:$C$803,A1813,MOVIMIENTOS_COMPLEMENTOS!$D$4:$D$803,B1813,MOVIMIENTOS_COMPLEMENTOS!$E$4:$E$803,C1813,MOVIMIENTOS_COMPLEMENTOS!$G$4:$G$803,E1813,MOVIMIENTOS_COMPLEMENTOS!$H$4:$H$803,G1813,MOVIMIENTOS_COMPLEMENTOS!$B$4:$B$803,"DE CORTE")-SUMIFS(MOVIMIENTOS_COMPLEMENTOS!$I$4:$I$803,MOVIMIENTOS_COMPLEMENTOS!$C$4:$C$803,A1813,MOVIMIENTOS_COMPLEMENTOS!$D$4:$D$803,B1813,MOVIMIENTOS_COMPLEMENTOS!$E$4:$E$803,C1813,MOVIMIENTOS_COMPLEMENTOS!$G$4:$G$803,E1813,MOVIMIENTOS_COMPLEMENTOS!$H$4:$H$803,G1813,MOVIMIENTOS_COMPLEMENTOS!$B$4:$B$803,"SALIDA"),0)</f>
        <v>0</v>
      </c>
      <c r="I1813" s="102">
        <f t="array" ref="I1813">IFERROR(INDEX(PRECIOS_COMPLEMENTOS!$C$4:$F$17,MATCH(B1813&amp;"_"&amp;C1813,PRECIOS_COMPLEMENTOS!$H$4:$H$17,0),IF(OR(G1813="S",G1813="20cm"),1,IF(OR(G1813="M",G1813="25cm"),2,IF(OR(G1813="L",G1813="30cm"),3,IF(OR(G1813="XL",G1813="35cm"),4,0))))),0)</f>
        <v>0.3</v>
      </c>
      <c r="J1813" s="103">
        <f t="shared" si="1"/>
        <v>0</v>
      </c>
      <c r="K1813" s="104" t="str">
        <f>IF(H1813&lt;0,"ERROR",IF(H1813=0,"",IF(H1813&lt;CONFIG!$B$4,"CRÍTICO",IF(H1813&lt;CONFIG!$B$5,"BAJO","OK"))))</f>
        <v/>
      </c>
    </row>
    <row r="1814" ht="15.75" hidden="1" customHeight="1">
      <c r="A1814" s="90" t="str">
        <f>IF(CLIENTES!A8="","",CLIENTES!A8)</f>
        <v/>
      </c>
      <c r="B1814" s="90" t="s">
        <v>324</v>
      </c>
      <c r="C1814" s="91" t="s">
        <v>328</v>
      </c>
      <c r="D1814" s="109" t="s">
        <v>353</v>
      </c>
      <c r="E1814" s="67" t="str">
        <f>COLORES!A16</f>
        <v>Topo</v>
      </c>
      <c r="F1814" s="67" t="str">
        <f>COLORES!B16</f>
        <v>CLARO</v>
      </c>
      <c r="G1814" s="90" t="s">
        <v>377</v>
      </c>
      <c r="H1814" s="100">
        <f>IFERROR(SUMIFS(MOVIMIENTOS_COMPLEMENTOS!$I$4:$I$803,MOVIMIENTOS_COMPLEMENTOS!$C$4:$C$803,A1814,MOVIMIENTOS_COMPLEMENTOS!$D$4:$D$803,B1814,MOVIMIENTOS_COMPLEMENTOS!$E$4:$E$803,C1814,MOVIMIENTOS_COMPLEMENTOS!$G$4:$G$803,E1814,MOVIMIENTOS_COMPLEMENTOS!$H$4:$H$803,G1814,MOVIMIENTOS_COMPLEMENTOS!$B$4:$B$803,"INGRESO")+SUMIFS(MOVIMIENTOS_COMPLEMENTOS!$I$4:$I$803,MOVIMIENTOS_COMPLEMENTOS!$C$4:$C$803,A1814,MOVIMIENTOS_COMPLEMENTOS!$D$4:$D$803,B1814,MOVIMIENTOS_COMPLEMENTOS!$E$4:$E$803,C1814,MOVIMIENTOS_COMPLEMENTOS!$G$4:$G$803,E1814,MOVIMIENTOS_COMPLEMENTOS!$H$4:$H$803,G1814,MOVIMIENTOS_COMPLEMENTOS!$B$4:$B$803,"DE CORTE")-SUMIFS(MOVIMIENTOS_COMPLEMENTOS!$I$4:$I$803,MOVIMIENTOS_COMPLEMENTOS!$C$4:$C$803,A1814,MOVIMIENTOS_COMPLEMENTOS!$D$4:$D$803,B1814,MOVIMIENTOS_COMPLEMENTOS!$E$4:$E$803,C1814,MOVIMIENTOS_COMPLEMENTOS!$G$4:$G$803,E1814,MOVIMIENTOS_COMPLEMENTOS!$H$4:$H$803,G1814,MOVIMIENTOS_COMPLEMENTOS!$B$4:$B$803,"SALIDA"),0)</f>
        <v>0</v>
      </c>
      <c r="I1814" s="102">
        <f t="array" ref="I1814">IFERROR(INDEX(PRECIOS_COMPLEMENTOS!$C$4:$F$17,MATCH(B1814&amp;"_"&amp;C1814,PRECIOS_COMPLEMENTOS!$H$4:$H$17,0),IF(OR(G1814="S",G1814="20cm"),1,IF(OR(G1814="M",G1814="25cm"),2,IF(OR(G1814="L",G1814="30cm"),3,IF(OR(G1814="XL",G1814="35cm"),4,0))))),0)</f>
        <v>0.3</v>
      </c>
      <c r="J1814" s="103">
        <f t="shared" si="1"/>
        <v>0</v>
      </c>
      <c r="K1814" s="104" t="str">
        <f>IF(H1814&lt;0,"ERROR",IF(H1814=0,"",IF(H1814&lt;CONFIG!$B$4,"CRÍTICO",IF(H1814&lt;CONFIG!$B$5,"BAJO","OK"))))</f>
        <v/>
      </c>
    </row>
    <row r="1815" ht="15.75" hidden="1" customHeight="1">
      <c r="A1815" s="90" t="str">
        <f>IF(CLIENTES!A8="","",CLIENTES!A8)</f>
        <v/>
      </c>
      <c r="B1815" s="90" t="s">
        <v>324</v>
      </c>
      <c r="C1815" s="91" t="s">
        <v>328</v>
      </c>
      <c r="D1815" s="109" t="s">
        <v>353</v>
      </c>
      <c r="E1815" s="67" t="str">
        <f>COLORES!A16</f>
        <v>Topo</v>
      </c>
      <c r="F1815" s="67" t="str">
        <f>COLORES!B16</f>
        <v>CLARO</v>
      </c>
      <c r="G1815" s="90" t="s">
        <v>379</v>
      </c>
      <c r="H1815" s="100">
        <f>IFERROR(SUMIFS(MOVIMIENTOS_COMPLEMENTOS!$I$4:$I$803,MOVIMIENTOS_COMPLEMENTOS!$C$4:$C$803,A1815,MOVIMIENTOS_COMPLEMENTOS!$D$4:$D$803,B1815,MOVIMIENTOS_COMPLEMENTOS!$E$4:$E$803,C1815,MOVIMIENTOS_COMPLEMENTOS!$G$4:$G$803,E1815,MOVIMIENTOS_COMPLEMENTOS!$H$4:$H$803,G1815,MOVIMIENTOS_COMPLEMENTOS!$B$4:$B$803,"INGRESO")+SUMIFS(MOVIMIENTOS_COMPLEMENTOS!$I$4:$I$803,MOVIMIENTOS_COMPLEMENTOS!$C$4:$C$803,A1815,MOVIMIENTOS_COMPLEMENTOS!$D$4:$D$803,B1815,MOVIMIENTOS_COMPLEMENTOS!$E$4:$E$803,C1815,MOVIMIENTOS_COMPLEMENTOS!$G$4:$G$803,E1815,MOVIMIENTOS_COMPLEMENTOS!$H$4:$H$803,G1815,MOVIMIENTOS_COMPLEMENTOS!$B$4:$B$803,"DE CORTE")-SUMIFS(MOVIMIENTOS_COMPLEMENTOS!$I$4:$I$803,MOVIMIENTOS_COMPLEMENTOS!$C$4:$C$803,A1815,MOVIMIENTOS_COMPLEMENTOS!$D$4:$D$803,B1815,MOVIMIENTOS_COMPLEMENTOS!$E$4:$E$803,C1815,MOVIMIENTOS_COMPLEMENTOS!$G$4:$G$803,E1815,MOVIMIENTOS_COMPLEMENTOS!$H$4:$H$803,G1815,MOVIMIENTOS_COMPLEMENTOS!$B$4:$B$803,"SALIDA"),0)</f>
        <v>0</v>
      </c>
      <c r="I1815" s="102">
        <f t="array" ref="I1815">IFERROR(INDEX(PRECIOS_COMPLEMENTOS!$C$4:$F$17,MATCH(B1815&amp;"_"&amp;C1815,PRECIOS_COMPLEMENTOS!$H$4:$H$17,0),IF(OR(G1815="S",G1815="20cm"),1,IF(OR(G1815="M",G1815="25cm"),2,IF(OR(G1815="L",G1815="30cm"),3,IF(OR(G1815="XL",G1815="35cm"),4,0))))),0)</f>
        <v>0.3</v>
      </c>
      <c r="J1815" s="103">
        <f t="shared" si="1"/>
        <v>0</v>
      </c>
      <c r="K1815" s="104" t="str">
        <f>IF(H1815&lt;0,"ERROR",IF(H1815=0,"",IF(H1815&lt;CONFIG!$B$4,"CRÍTICO",IF(H1815&lt;CONFIG!$B$5,"BAJO","OK"))))</f>
        <v/>
      </c>
    </row>
    <row r="1816" ht="15.75" hidden="1" customHeight="1">
      <c r="A1816" s="90" t="str">
        <f>IF(CLIENTES!A8="","",CLIENTES!A8)</f>
        <v/>
      </c>
      <c r="B1816" s="90" t="s">
        <v>324</v>
      </c>
      <c r="C1816" s="91" t="s">
        <v>328</v>
      </c>
      <c r="D1816" s="109" t="s">
        <v>353</v>
      </c>
      <c r="E1816" s="67" t="str">
        <f>COLORES!A17</f>
        <v>Vino</v>
      </c>
      <c r="F1816" s="67" t="str">
        <f>COLORES!B17</f>
        <v>OSCURO</v>
      </c>
      <c r="G1816" s="90" t="s">
        <v>378</v>
      </c>
      <c r="H1816" s="100">
        <f>IFERROR(SUMIFS(MOVIMIENTOS_COMPLEMENTOS!$I$4:$I$803,MOVIMIENTOS_COMPLEMENTOS!$C$4:$C$803,A1816,MOVIMIENTOS_COMPLEMENTOS!$D$4:$D$803,B1816,MOVIMIENTOS_COMPLEMENTOS!$E$4:$E$803,C1816,MOVIMIENTOS_COMPLEMENTOS!$G$4:$G$803,E1816,MOVIMIENTOS_COMPLEMENTOS!$H$4:$H$803,G1816,MOVIMIENTOS_COMPLEMENTOS!$B$4:$B$803,"INGRESO")+SUMIFS(MOVIMIENTOS_COMPLEMENTOS!$I$4:$I$803,MOVIMIENTOS_COMPLEMENTOS!$C$4:$C$803,A1816,MOVIMIENTOS_COMPLEMENTOS!$D$4:$D$803,B1816,MOVIMIENTOS_COMPLEMENTOS!$E$4:$E$803,C1816,MOVIMIENTOS_COMPLEMENTOS!$G$4:$G$803,E1816,MOVIMIENTOS_COMPLEMENTOS!$H$4:$H$803,G1816,MOVIMIENTOS_COMPLEMENTOS!$B$4:$B$803,"DE CORTE")-SUMIFS(MOVIMIENTOS_COMPLEMENTOS!$I$4:$I$803,MOVIMIENTOS_COMPLEMENTOS!$C$4:$C$803,A1816,MOVIMIENTOS_COMPLEMENTOS!$D$4:$D$803,B1816,MOVIMIENTOS_COMPLEMENTOS!$E$4:$E$803,C1816,MOVIMIENTOS_COMPLEMENTOS!$G$4:$G$803,E1816,MOVIMIENTOS_COMPLEMENTOS!$H$4:$H$803,G1816,MOVIMIENTOS_COMPLEMENTOS!$B$4:$B$803,"SALIDA"),0)</f>
        <v>0</v>
      </c>
      <c r="I1816" s="102">
        <f t="array" ref="I1816">IFERROR(INDEX(PRECIOS_COMPLEMENTOS!$C$4:$F$17,MATCH(B1816&amp;"_"&amp;C1816,PRECIOS_COMPLEMENTOS!$H$4:$H$17,0),IF(OR(G1816="S",G1816="20cm"),1,IF(OR(G1816="M",G1816="25cm"),2,IF(OR(G1816="L",G1816="30cm"),3,IF(OR(G1816="XL",G1816="35cm"),4,0))))),0)</f>
        <v>0.3</v>
      </c>
      <c r="J1816" s="103">
        <f t="shared" si="1"/>
        <v>0</v>
      </c>
      <c r="K1816" s="104" t="str">
        <f>IF(H1816&lt;0,"ERROR",IF(H1816=0,"",IF(H1816&lt;CONFIG!$B$4,"CRÍTICO",IF(H1816&lt;CONFIG!$B$5,"BAJO","OK"))))</f>
        <v/>
      </c>
    </row>
    <row r="1817" ht="15.75" hidden="1" customHeight="1">
      <c r="A1817" s="90" t="str">
        <f>IF(CLIENTES!A8="","",CLIENTES!A8)</f>
        <v/>
      </c>
      <c r="B1817" s="90" t="s">
        <v>324</v>
      </c>
      <c r="C1817" s="91" t="s">
        <v>328</v>
      </c>
      <c r="D1817" s="109" t="s">
        <v>353</v>
      </c>
      <c r="E1817" s="67" t="str">
        <f>COLORES!A17</f>
        <v>Vino</v>
      </c>
      <c r="F1817" s="67" t="str">
        <f>COLORES!B17</f>
        <v>OSCURO</v>
      </c>
      <c r="G1817" s="90" t="s">
        <v>376</v>
      </c>
      <c r="H1817" s="100">
        <f>IFERROR(SUMIFS(MOVIMIENTOS_COMPLEMENTOS!$I$4:$I$803,MOVIMIENTOS_COMPLEMENTOS!$C$4:$C$803,A1817,MOVIMIENTOS_COMPLEMENTOS!$D$4:$D$803,B1817,MOVIMIENTOS_COMPLEMENTOS!$E$4:$E$803,C1817,MOVIMIENTOS_COMPLEMENTOS!$G$4:$G$803,E1817,MOVIMIENTOS_COMPLEMENTOS!$H$4:$H$803,G1817,MOVIMIENTOS_COMPLEMENTOS!$B$4:$B$803,"INGRESO")+SUMIFS(MOVIMIENTOS_COMPLEMENTOS!$I$4:$I$803,MOVIMIENTOS_COMPLEMENTOS!$C$4:$C$803,A1817,MOVIMIENTOS_COMPLEMENTOS!$D$4:$D$803,B1817,MOVIMIENTOS_COMPLEMENTOS!$E$4:$E$803,C1817,MOVIMIENTOS_COMPLEMENTOS!$G$4:$G$803,E1817,MOVIMIENTOS_COMPLEMENTOS!$H$4:$H$803,G1817,MOVIMIENTOS_COMPLEMENTOS!$B$4:$B$803,"DE CORTE")-SUMIFS(MOVIMIENTOS_COMPLEMENTOS!$I$4:$I$803,MOVIMIENTOS_COMPLEMENTOS!$C$4:$C$803,A1817,MOVIMIENTOS_COMPLEMENTOS!$D$4:$D$803,B1817,MOVIMIENTOS_COMPLEMENTOS!$E$4:$E$803,C1817,MOVIMIENTOS_COMPLEMENTOS!$G$4:$G$803,E1817,MOVIMIENTOS_COMPLEMENTOS!$H$4:$H$803,G1817,MOVIMIENTOS_COMPLEMENTOS!$B$4:$B$803,"SALIDA"),0)</f>
        <v>0</v>
      </c>
      <c r="I1817" s="102">
        <f t="array" ref="I1817">IFERROR(INDEX(PRECIOS_COMPLEMENTOS!$C$4:$F$17,MATCH(B1817&amp;"_"&amp;C1817,PRECIOS_COMPLEMENTOS!$H$4:$H$17,0),IF(OR(G1817="S",G1817="20cm"),1,IF(OR(G1817="M",G1817="25cm"),2,IF(OR(G1817="L",G1817="30cm"),3,IF(OR(G1817="XL",G1817="35cm"),4,0))))),0)</f>
        <v>0.3</v>
      </c>
      <c r="J1817" s="103">
        <f t="shared" si="1"/>
        <v>0</v>
      </c>
      <c r="K1817" s="104" t="str">
        <f>IF(H1817&lt;0,"ERROR",IF(H1817=0,"",IF(H1817&lt;CONFIG!$B$4,"CRÍTICO",IF(H1817&lt;CONFIG!$B$5,"BAJO","OK"))))</f>
        <v/>
      </c>
    </row>
    <row r="1818" ht="15.75" hidden="1" customHeight="1">
      <c r="A1818" s="90" t="str">
        <f>IF(CLIENTES!A8="","",CLIENTES!A8)</f>
        <v/>
      </c>
      <c r="B1818" s="90" t="s">
        <v>324</v>
      </c>
      <c r="C1818" s="91" t="s">
        <v>328</v>
      </c>
      <c r="D1818" s="109" t="s">
        <v>353</v>
      </c>
      <c r="E1818" s="67" t="str">
        <f>COLORES!A17</f>
        <v>Vino</v>
      </c>
      <c r="F1818" s="67" t="str">
        <f>COLORES!B17</f>
        <v>OSCURO</v>
      </c>
      <c r="G1818" s="90" t="s">
        <v>377</v>
      </c>
      <c r="H1818" s="100">
        <f>IFERROR(SUMIFS(MOVIMIENTOS_COMPLEMENTOS!$I$4:$I$803,MOVIMIENTOS_COMPLEMENTOS!$C$4:$C$803,A1818,MOVIMIENTOS_COMPLEMENTOS!$D$4:$D$803,B1818,MOVIMIENTOS_COMPLEMENTOS!$E$4:$E$803,C1818,MOVIMIENTOS_COMPLEMENTOS!$G$4:$G$803,E1818,MOVIMIENTOS_COMPLEMENTOS!$H$4:$H$803,G1818,MOVIMIENTOS_COMPLEMENTOS!$B$4:$B$803,"INGRESO")+SUMIFS(MOVIMIENTOS_COMPLEMENTOS!$I$4:$I$803,MOVIMIENTOS_COMPLEMENTOS!$C$4:$C$803,A1818,MOVIMIENTOS_COMPLEMENTOS!$D$4:$D$803,B1818,MOVIMIENTOS_COMPLEMENTOS!$E$4:$E$803,C1818,MOVIMIENTOS_COMPLEMENTOS!$G$4:$G$803,E1818,MOVIMIENTOS_COMPLEMENTOS!$H$4:$H$803,G1818,MOVIMIENTOS_COMPLEMENTOS!$B$4:$B$803,"DE CORTE")-SUMIFS(MOVIMIENTOS_COMPLEMENTOS!$I$4:$I$803,MOVIMIENTOS_COMPLEMENTOS!$C$4:$C$803,A1818,MOVIMIENTOS_COMPLEMENTOS!$D$4:$D$803,B1818,MOVIMIENTOS_COMPLEMENTOS!$E$4:$E$803,C1818,MOVIMIENTOS_COMPLEMENTOS!$G$4:$G$803,E1818,MOVIMIENTOS_COMPLEMENTOS!$H$4:$H$803,G1818,MOVIMIENTOS_COMPLEMENTOS!$B$4:$B$803,"SALIDA"),0)</f>
        <v>0</v>
      </c>
      <c r="I1818" s="102">
        <f t="array" ref="I1818">IFERROR(INDEX(PRECIOS_COMPLEMENTOS!$C$4:$F$17,MATCH(B1818&amp;"_"&amp;C1818,PRECIOS_COMPLEMENTOS!$H$4:$H$17,0),IF(OR(G1818="S",G1818="20cm"),1,IF(OR(G1818="M",G1818="25cm"),2,IF(OR(G1818="L",G1818="30cm"),3,IF(OR(G1818="XL",G1818="35cm"),4,0))))),0)</f>
        <v>0.3</v>
      </c>
      <c r="J1818" s="103">
        <f t="shared" si="1"/>
        <v>0</v>
      </c>
      <c r="K1818" s="104" t="str">
        <f>IF(H1818&lt;0,"ERROR",IF(H1818=0,"",IF(H1818&lt;CONFIG!$B$4,"CRÍTICO",IF(H1818&lt;CONFIG!$B$5,"BAJO","OK"))))</f>
        <v/>
      </c>
    </row>
    <row r="1819" ht="15.75" hidden="1" customHeight="1">
      <c r="A1819" s="90" t="str">
        <f>IF(CLIENTES!A8="","",CLIENTES!A8)</f>
        <v/>
      </c>
      <c r="B1819" s="90" t="s">
        <v>324</v>
      </c>
      <c r="C1819" s="91" t="s">
        <v>328</v>
      </c>
      <c r="D1819" s="109" t="s">
        <v>353</v>
      </c>
      <c r="E1819" s="67" t="str">
        <f>COLORES!A17</f>
        <v>Vino</v>
      </c>
      <c r="F1819" s="67" t="str">
        <f>COLORES!B17</f>
        <v>OSCURO</v>
      </c>
      <c r="G1819" s="90" t="s">
        <v>379</v>
      </c>
      <c r="H1819" s="100">
        <f>IFERROR(SUMIFS(MOVIMIENTOS_COMPLEMENTOS!$I$4:$I$803,MOVIMIENTOS_COMPLEMENTOS!$C$4:$C$803,A1819,MOVIMIENTOS_COMPLEMENTOS!$D$4:$D$803,B1819,MOVIMIENTOS_COMPLEMENTOS!$E$4:$E$803,C1819,MOVIMIENTOS_COMPLEMENTOS!$G$4:$G$803,E1819,MOVIMIENTOS_COMPLEMENTOS!$H$4:$H$803,G1819,MOVIMIENTOS_COMPLEMENTOS!$B$4:$B$803,"INGRESO")+SUMIFS(MOVIMIENTOS_COMPLEMENTOS!$I$4:$I$803,MOVIMIENTOS_COMPLEMENTOS!$C$4:$C$803,A1819,MOVIMIENTOS_COMPLEMENTOS!$D$4:$D$803,B1819,MOVIMIENTOS_COMPLEMENTOS!$E$4:$E$803,C1819,MOVIMIENTOS_COMPLEMENTOS!$G$4:$G$803,E1819,MOVIMIENTOS_COMPLEMENTOS!$H$4:$H$803,G1819,MOVIMIENTOS_COMPLEMENTOS!$B$4:$B$803,"DE CORTE")-SUMIFS(MOVIMIENTOS_COMPLEMENTOS!$I$4:$I$803,MOVIMIENTOS_COMPLEMENTOS!$C$4:$C$803,A1819,MOVIMIENTOS_COMPLEMENTOS!$D$4:$D$803,B1819,MOVIMIENTOS_COMPLEMENTOS!$E$4:$E$803,C1819,MOVIMIENTOS_COMPLEMENTOS!$G$4:$G$803,E1819,MOVIMIENTOS_COMPLEMENTOS!$H$4:$H$803,G1819,MOVIMIENTOS_COMPLEMENTOS!$B$4:$B$803,"SALIDA"),0)</f>
        <v>0</v>
      </c>
      <c r="I1819" s="102">
        <f t="array" ref="I1819">IFERROR(INDEX(PRECIOS_COMPLEMENTOS!$C$4:$F$17,MATCH(B1819&amp;"_"&amp;C1819,PRECIOS_COMPLEMENTOS!$H$4:$H$17,0),IF(OR(G1819="S",G1819="20cm"),1,IF(OR(G1819="M",G1819="25cm"),2,IF(OR(G1819="L",G1819="30cm"),3,IF(OR(G1819="XL",G1819="35cm"),4,0))))),0)</f>
        <v>0.3</v>
      </c>
      <c r="J1819" s="103">
        <f t="shared" si="1"/>
        <v>0</v>
      </c>
      <c r="K1819" s="104" t="str">
        <f>IF(H1819&lt;0,"ERROR",IF(H1819=0,"",IF(H1819&lt;CONFIG!$B$4,"CRÍTICO",IF(H1819&lt;CONFIG!$B$5,"BAJO","OK"))))</f>
        <v/>
      </c>
    </row>
    <row r="1820" ht="15.75" hidden="1" customHeight="1">
      <c r="A1820" s="90" t="str">
        <f>IF(CLIENTES!A8="","",CLIENTES!A8)</f>
        <v/>
      </c>
      <c r="B1820" s="90" t="s">
        <v>324</v>
      </c>
      <c r="C1820" s="91" t="s">
        <v>328</v>
      </c>
      <c r="D1820" s="109" t="s">
        <v>353</v>
      </c>
      <c r="E1820" s="67" t="str">
        <f>COLORES!A18</f>
        <v>P. Rosa</v>
      </c>
      <c r="F1820" s="67" t="str">
        <f>COLORES!B18</f>
        <v>CLARO</v>
      </c>
      <c r="G1820" s="90" t="s">
        <v>378</v>
      </c>
      <c r="H1820" s="100">
        <f>IFERROR(SUMIFS(MOVIMIENTOS_COMPLEMENTOS!$I$4:$I$803,MOVIMIENTOS_COMPLEMENTOS!$C$4:$C$803,A1820,MOVIMIENTOS_COMPLEMENTOS!$D$4:$D$803,B1820,MOVIMIENTOS_COMPLEMENTOS!$E$4:$E$803,C1820,MOVIMIENTOS_COMPLEMENTOS!$G$4:$G$803,E1820,MOVIMIENTOS_COMPLEMENTOS!$H$4:$H$803,G1820,MOVIMIENTOS_COMPLEMENTOS!$B$4:$B$803,"INGRESO")+SUMIFS(MOVIMIENTOS_COMPLEMENTOS!$I$4:$I$803,MOVIMIENTOS_COMPLEMENTOS!$C$4:$C$803,A1820,MOVIMIENTOS_COMPLEMENTOS!$D$4:$D$803,B1820,MOVIMIENTOS_COMPLEMENTOS!$E$4:$E$803,C1820,MOVIMIENTOS_COMPLEMENTOS!$G$4:$G$803,E1820,MOVIMIENTOS_COMPLEMENTOS!$H$4:$H$803,G1820,MOVIMIENTOS_COMPLEMENTOS!$B$4:$B$803,"DE CORTE")-SUMIFS(MOVIMIENTOS_COMPLEMENTOS!$I$4:$I$803,MOVIMIENTOS_COMPLEMENTOS!$C$4:$C$803,A1820,MOVIMIENTOS_COMPLEMENTOS!$D$4:$D$803,B1820,MOVIMIENTOS_COMPLEMENTOS!$E$4:$E$803,C1820,MOVIMIENTOS_COMPLEMENTOS!$G$4:$G$803,E1820,MOVIMIENTOS_COMPLEMENTOS!$H$4:$H$803,G1820,MOVIMIENTOS_COMPLEMENTOS!$B$4:$B$803,"SALIDA"),0)</f>
        <v>0</v>
      </c>
      <c r="I1820" s="102">
        <f t="array" ref="I1820">IFERROR(INDEX(PRECIOS_COMPLEMENTOS!$C$4:$F$17,MATCH(B1820&amp;"_"&amp;C1820,PRECIOS_COMPLEMENTOS!$H$4:$H$17,0),IF(OR(G1820="S",G1820="20cm"),1,IF(OR(G1820="M",G1820="25cm"),2,IF(OR(G1820="L",G1820="30cm"),3,IF(OR(G1820="XL",G1820="35cm"),4,0))))),0)</f>
        <v>0.3</v>
      </c>
      <c r="J1820" s="103">
        <f t="shared" si="1"/>
        <v>0</v>
      </c>
      <c r="K1820" s="104" t="str">
        <f>IF(H1820&lt;0,"ERROR",IF(H1820=0,"",IF(H1820&lt;CONFIG!$B$4,"CRÍTICO",IF(H1820&lt;CONFIG!$B$5,"BAJO","OK"))))</f>
        <v/>
      </c>
    </row>
    <row r="1821" ht="15.75" hidden="1" customHeight="1">
      <c r="A1821" s="90" t="str">
        <f>IF(CLIENTES!A8="","",CLIENTES!A8)</f>
        <v/>
      </c>
      <c r="B1821" s="90" t="s">
        <v>324</v>
      </c>
      <c r="C1821" s="91" t="s">
        <v>328</v>
      </c>
      <c r="D1821" s="109" t="s">
        <v>353</v>
      </c>
      <c r="E1821" s="67" t="str">
        <f>COLORES!A18</f>
        <v>P. Rosa</v>
      </c>
      <c r="F1821" s="67" t="str">
        <f>COLORES!B18</f>
        <v>CLARO</v>
      </c>
      <c r="G1821" s="90" t="s">
        <v>376</v>
      </c>
      <c r="H1821" s="100">
        <f>IFERROR(SUMIFS(MOVIMIENTOS_COMPLEMENTOS!$I$4:$I$803,MOVIMIENTOS_COMPLEMENTOS!$C$4:$C$803,A1821,MOVIMIENTOS_COMPLEMENTOS!$D$4:$D$803,B1821,MOVIMIENTOS_COMPLEMENTOS!$E$4:$E$803,C1821,MOVIMIENTOS_COMPLEMENTOS!$G$4:$G$803,E1821,MOVIMIENTOS_COMPLEMENTOS!$H$4:$H$803,G1821,MOVIMIENTOS_COMPLEMENTOS!$B$4:$B$803,"INGRESO")+SUMIFS(MOVIMIENTOS_COMPLEMENTOS!$I$4:$I$803,MOVIMIENTOS_COMPLEMENTOS!$C$4:$C$803,A1821,MOVIMIENTOS_COMPLEMENTOS!$D$4:$D$803,B1821,MOVIMIENTOS_COMPLEMENTOS!$E$4:$E$803,C1821,MOVIMIENTOS_COMPLEMENTOS!$G$4:$G$803,E1821,MOVIMIENTOS_COMPLEMENTOS!$H$4:$H$803,G1821,MOVIMIENTOS_COMPLEMENTOS!$B$4:$B$803,"DE CORTE")-SUMIFS(MOVIMIENTOS_COMPLEMENTOS!$I$4:$I$803,MOVIMIENTOS_COMPLEMENTOS!$C$4:$C$803,A1821,MOVIMIENTOS_COMPLEMENTOS!$D$4:$D$803,B1821,MOVIMIENTOS_COMPLEMENTOS!$E$4:$E$803,C1821,MOVIMIENTOS_COMPLEMENTOS!$G$4:$G$803,E1821,MOVIMIENTOS_COMPLEMENTOS!$H$4:$H$803,G1821,MOVIMIENTOS_COMPLEMENTOS!$B$4:$B$803,"SALIDA"),0)</f>
        <v>0</v>
      </c>
      <c r="I1821" s="102">
        <f t="array" ref="I1821">IFERROR(INDEX(PRECIOS_COMPLEMENTOS!$C$4:$F$17,MATCH(B1821&amp;"_"&amp;C1821,PRECIOS_COMPLEMENTOS!$H$4:$H$17,0),IF(OR(G1821="S",G1821="20cm"),1,IF(OR(G1821="M",G1821="25cm"),2,IF(OR(G1821="L",G1821="30cm"),3,IF(OR(G1821="XL",G1821="35cm"),4,0))))),0)</f>
        <v>0.3</v>
      </c>
      <c r="J1821" s="103">
        <f t="shared" si="1"/>
        <v>0</v>
      </c>
      <c r="K1821" s="104" t="str">
        <f>IF(H1821&lt;0,"ERROR",IF(H1821=0,"",IF(H1821&lt;CONFIG!$B$4,"CRÍTICO",IF(H1821&lt;CONFIG!$B$5,"BAJO","OK"))))</f>
        <v/>
      </c>
    </row>
    <row r="1822" ht="15.75" hidden="1" customHeight="1">
      <c r="A1822" s="90" t="str">
        <f>IF(CLIENTES!A8="","",CLIENTES!A8)</f>
        <v/>
      </c>
      <c r="B1822" s="90" t="s">
        <v>324</v>
      </c>
      <c r="C1822" s="91" t="s">
        <v>328</v>
      </c>
      <c r="D1822" s="109" t="s">
        <v>353</v>
      </c>
      <c r="E1822" s="67" t="str">
        <f>COLORES!A18</f>
        <v>P. Rosa</v>
      </c>
      <c r="F1822" s="67" t="str">
        <f>COLORES!B18</f>
        <v>CLARO</v>
      </c>
      <c r="G1822" s="90" t="s">
        <v>377</v>
      </c>
      <c r="H1822" s="100">
        <f>IFERROR(SUMIFS(MOVIMIENTOS_COMPLEMENTOS!$I$4:$I$803,MOVIMIENTOS_COMPLEMENTOS!$C$4:$C$803,A1822,MOVIMIENTOS_COMPLEMENTOS!$D$4:$D$803,B1822,MOVIMIENTOS_COMPLEMENTOS!$E$4:$E$803,C1822,MOVIMIENTOS_COMPLEMENTOS!$G$4:$G$803,E1822,MOVIMIENTOS_COMPLEMENTOS!$H$4:$H$803,G1822,MOVIMIENTOS_COMPLEMENTOS!$B$4:$B$803,"INGRESO")+SUMIFS(MOVIMIENTOS_COMPLEMENTOS!$I$4:$I$803,MOVIMIENTOS_COMPLEMENTOS!$C$4:$C$803,A1822,MOVIMIENTOS_COMPLEMENTOS!$D$4:$D$803,B1822,MOVIMIENTOS_COMPLEMENTOS!$E$4:$E$803,C1822,MOVIMIENTOS_COMPLEMENTOS!$G$4:$G$803,E1822,MOVIMIENTOS_COMPLEMENTOS!$H$4:$H$803,G1822,MOVIMIENTOS_COMPLEMENTOS!$B$4:$B$803,"DE CORTE")-SUMIFS(MOVIMIENTOS_COMPLEMENTOS!$I$4:$I$803,MOVIMIENTOS_COMPLEMENTOS!$C$4:$C$803,A1822,MOVIMIENTOS_COMPLEMENTOS!$D$4:$D$803,B1822,MOVIMIENTOS_COMPLEMENTOS!$E$4:$E$803,C1822,MOVIMIENTOS_COMPLEMENTOS!$G$4:$G$803,E1822,MOVIMIENTOS_COMPLEMENTOS!$H$4:$H$803,G1822,MOVIMIENTOS_COMPLEMENTOS!$B$4:$B$803,"SALIDA"),0)</f>
        <v>0</v>
      </c>
      <c r="I1822" s="102">
        <f t="array" ref="I1822">IFERROR(INDEX(PRECIOS_COMPLEMENTOS!$C$4:$F$17,MATCH(B1822&amp;"_"&amp;C1822,PRECIOS_COMPLEMENTOS!$H$4:$H$17,0),IF(OR(G1822="S",G1822="20cm"),1,IF(OR(G1822="M",G1822="25cm"),2,IF(OR(G1822="L",G1822="30cm"),3,IF(OR(G1822="XL",G1822="35cm"),4,0))))),0)</f>
        <v>0.3</v>
      </c>
      <c r="J1822" s="103">
        <f t="shared" si="1"/>
        <v>0</v>
      </c>
      <c r="K1822" s="104" t="str">
        <f>IF(H1822&lt;0,"ERROR",IF(H1822=0,"",IF(H1822&lt;CONFIG!$B$4,"CRÍTICO",IF(H1822&lt;CONFIG!$B$5,"BAJO","OK"))))</f>
        <v/>
      </c>
    </row>
    <row r="1823" ht="15.75" hidden="1" customHeight="1">
      <c r="A1823" s="90" t="str">
        <f>IF(CLIENTES!A8="","",CLIENTES!A8)</f>
        <v/>
      </c>
      <c r="B1823" s="90" t="s">
        <v>324</v>
      </c>
      <c r="C1823" s="91" t="s">
        <v>328</v>
      </c>
      <c r="D1823" s="109" t="s">
        <v>353</v>
      </c>
      <c r="E1823" s="67" t="str">
        <f>COLORES!A18</f>
        <v>P. Rosa</v>
      </c>
      <c r="F1823" s="67" t="str">
        <f>COLORES!B18</f>
        <v>CLARO</v>
      </c>
      <c r="G1823" s="90" t="s">
        <v>379</v>
      </c>
      <c r="H1823" s="100">
        <f>IFERROR(SUMIFS(MOVIMIENTOS_COMPLEMENTOS!$I$4:$I$803,MOVIMIENTOS_COMPLEMENTOS!$C$4:$C$803,A1823,MOVIMIENTOS_COMPLEMENTOS!$D$4:$D$803,B1823,MOVIMIENTOS_COMPLEMENTOS!$E$4:$E$803,C1823,MOVIMIENTOS_COMPLEMENTOS!$G$4:$G$803,E1823,MOVIMIENTOS_COMPLEMENTOS!$H$4:$H$803,G1823,MOVIMIENTOS_COMPLEMENTOS!$B$4:$B$803,"INGRESO")+SUMIFS(MOVIMIENTOS_COMPLEMENTOS!$I$4:$I$803,MOVIMIENTOS_COMPLEMENTOS!$C$4:$C$803,A1823,MOVIMIENTOS_COMPLEMENTOS!$D$4:$D$803,B1823,MOVIMIENTOS_COMPLEMENTOS!$E$4:$E$803,C1823,MOVIMIENTOS_COMPLEMENTOS!$G$4:$G$803,E1823,MOVIMIENTOS_COMPLEMENTOS!$H$4:$H$803,G1823,MOVIMIENTOS_COMPLEMENTOS!$B$4:$B$803,"DE CORTE")-SUMIFS(MOVIMIENTOS_COMPLEMENTOS!$I$4:$I$803,MOVIMIENTOS_COMPLEMENTOS!$C$4:$C$803,A1823,MOVIMIENTOS_COMPLEMENTOS!$D$4:$D$803,B1823,MOVIMIENTOS_COMPLEMENTOS!$E$4:$E$803,C1823,MOVIMIENTOS_COMPLEMENTOS!$G$4:$G$803,E1823,MOVIMIENTOS_COMPLEMENTOS!$H$4:$H$803,G1823,MOVIMIENTOS_COMPLEMENTOS!$B$4:$B$803,"SALIDA"),0)</f>
        <v>0</v>
      </c>
      <c r="I1823" s="102">
        <f t="array" ref="I1823">IFERROR(INDEX(PRECIOS_COMPLEMENTOS!$C$4:$F$17,MATCH(B1823&amp;"_"&amp;C1823,PRECIOS_COMPLEMENTOS!$H$4:$H$17,0),IF(OR(G1823="S",G1823="20cm"),1,IF(OR(G1823="M",G1823="25cm"),2,IF(OR(G1823="L",G1823="30cm"),3,IF(OR(G1823="XL",G1823="35cm"),4,0))))),0)</f>
        <v>0.3</v>
      </c>
      <c r="J1823" s="103">
        <f t="shared" si="1"/>
        <v>0</v>
      </c>
      <c r="K1823" s="104" t="str">
        <f>IF(H1823&lt;0,"ERROR",IF(H1823=0,"",IF(H1823&lt;CONFIG!$B$4,"CRÍTICO",IF(H1823&lt;CONFIG!$B$5,"BAJO","OK"))))</f>
        <v/>
      </c>
    </row>
    <row r="1824" ht="15.75" hidden="1" customHeight="1">
      <c r="A1824" s="90" t="str">
        <f>IF(CLIENTES!A8="","",CLIENTES!A8)</f>
        <v/>
      </c>
      <c r="B1824" s="90" t="s">
        <v>324</v>
      </c>
      <c r="C1824" s="91" t="s">
        <v>328</v>
      </c>
      <c r="D1824" s="109" t="s">
        <v>353</v>
      </c>
      <c r="E1824" s="67" t="str">
        <f>COLORES!A19</f>
        <v/>
      </c>
      <c r="F1824" s="67" t="str">
        <f>COLORES!B19</f>
        <v/>
      </c>
      <c r="G1824" s="90" t="s">
        <v>378</v>
      </c>
      <c r="H1824" s="100">
        <f>IFERROR(SUMIFS(MOVIMIENTOS_COMPLEMENTOS!$I$4:$I$803,MOVIMIENTOS_COMPLEMENTOS!$C$4:$C$803,A1824,MOVIMIENTOS_COMPLEMENTOS!$D$4:$D$803,B1824,MOVIMIENTOS_COMPLEMENTOS!$E$4:$E$803,C1824,MOVIMIENTOS_COMPLEMENTOS!$G$4:$G$803,E1824,MOVIMIENTOS_COMPLEMENTOS!$H$4:$H$803,G1824,MOVIMIENTOS_COMPLEMENTOS!$B$4:$B$803,"INGRESO")+SUMIFS(MOVIMIENTOS_COMPLEMENTOS!$I$4:$I$803,MOVIMIENTOS_COMPLEMENTOS!$C$4:$C$803,A1824,MOVIMIENTOS_COMPLEMENTOS!$D$4:$D$803,B1824,MOVIMIENTOS_COMPLEMENTOS!$E$4:$E$803,C1824,MOVIMIENTOS_COMPLEMENTOS!$G$4:$G$803,E1824,MOVIMIENTOS_COMPLEMENTOS!$H$4:$H$803,G1824,MOVIMIENTOS_COMPLEMENTOS!$B$4:$B$803,"DE CORTE")-SUMIFS(MOVIMIENTOS_COMPLEMENTOS!$I$4:$I$803,MOVIMIENTOS_COMPLEMENTOS!$C$4:$C$803,A1824,MOVIMIENTOS_COMPLEMENTOS!$D$4:$D$803,B1824,MOVIMIENTOS_COMPLEMENTOS!$E$4:$E$803,C1824,MOVIMIENTOS_COMPLEMENTOS!$G$4:$G$803,E1824,MOVIMIENTOS_COMPLEMENTOS!$H$4:$H$803,G1824,MOVIMIENTOS_COMPLEMENTOS!$B$4:$B$803,"SALIDA"),0)</f>
        <v>0</v>
      </c>
      <c r="I1824" s="102">
        <f t="array" ref="I1824">IFERROR(INDEX(PRECIOS_COMPLEMENTOS!$C$4:$F$17,MATCH(B1824&amp;"_"&amp;C1824,PRECIOS_COMPLEMENTOS!$H$4:$H$17,0),IF(OR(G1824="S",G1824="20cm"),1,IF(OR(G1824="M",G1824="25cm"),2,IF(OR(G1824="L",G1824="30cm"),3,IF(OR(G1824="XL",G1824="35cm"),4,0))))),0)</f>
        <v>0.3</v>
      </c>
      <c r="J1824" s="103">
        <f t="shared" si="1"/>
        <v>0</v>
      </c>
      <c r="K1824" s="104" t="str">
        <f>IF(H1824&lt;0,"ERROR",IF(H1824=0,"",IF(H1824&lt;CONFIG!$B$4,"CRÍTICO",IF(H1824&lt;CONFIG!$B$5,"BAJO","OK"))))</f>
        <v/>
      </c>
    </row>
    <row r="1825" ht="15.75" hidden="1" customHeight="1">
      <c r="A1825" s="90" t="str">
        <f>IF(CLIENTES!A8="","",CLIENTES!A8)</f>
        <v/>
      </c>
      <c r="B1825" s="90" t="s">
        <v>324</v>
      </c>
      <c r="C1825" s="91" t="s">
        <v>328</v>
      </c>
      <c r="D1825" s="109" t="s">
        <v>353</v>
      </c>
      <c r="E1825" s="67" t="str">
        <f>COLORES!A19</f>
        <v/>
      </c>
      <c r="F1825" s="67" t="str">
        <f>COLORES!B19</f>
        <v/>
      </c>
      <c r="G1825" s="90" t="s">
        <v>376</v>
      </c>
      <c r="H1825" s="100">
        <f>IFERROR(SUMIFS(MOVIMIENTOS_COMPLEMENTOS!$I$4:$I$803,MOVIMIENTOS_COMPLEMENTOS!$C$4:$C$803,A1825,MOVIMIENTOS_COMPLEMENTOS!$D$4:$D$803,B1825,MOVIMIENTOS_COMPLEMENTOS!$E$4:$E$803,C1825,MOVIMIENTOS_COMPLEMENTOS!$G$4:$G$803,E1825,MOVIMIENTOS_COMPLEMENTOS!$H$4:$H$803,G1825,MOVIMIENTOS_COMPLEMENTOS!$B$4:$B$803,"INGRESO")+SUMIFS(MOVIMIENTOS_COMPLEMENTOS!$I$4:$I$803,MOVIMIENTOS_COMPLEMENTOS!$C$4:$C$803,A1825,MOVIMIENTOS_COMPLEMENTOS!$D$4:$D$803,B1825,MOVIMIENTOS_COMPLEMENTOS!$E$4:$E$803,C1825,MOVIMIENTOS_COMPLEMENTOS!$G$4:$G$803,E1825,MOVIMIENTOS_COMPLEMENTOS!$H$4:$H$803,G1825,MOVIMIENTOS_COMPLEMENTOS!$B$4:$B$803,"DE CORTE")-SUMIFS(MOVIMIENTOS_COMPLEMENTOS!$I$4:$I$803,MOVIMIENTOS_COMPLEMENTOS!$C$4:$C$803,A1825,MOVIMIENTOS_COMPLEMENTOS!$D$4:$D$803,B1825,MOVIMIENTOS_COMPLEMENTOS!$E$4:$E$803,C1825,MOVIMIENTOS_COMPLEMENTOS!$G$4:$G$803,E1825,MOVIMIENTOS_COMPLEMENTOS!$H$4:$H$803,G1825,MOVIMIENTOS_COMPLEMENTOS!$B$4:$B$803,"SALIDA"),0)</f>
        <v>0</v>
      </c>
      <c r="I1825" s="102">
        <f t="array" ref="I1825">IFERROR(INDEX(PRECIOS_COMPLEMENTOS!$C$4:$F$17,MATCH(B1825&amp;"_"&amp;C1825,PRECIOS_COMPLEMENTOS!$H$4:$H$17,0),IF(OR(G1825="S",G1825="20cm"),1,IF(OR(G1825="M",G1825="25cm"),2,IF(OR(G1825="L",G1825="30cm"),3,IF(OR(G1825="XL",G1825="35cm"),4,0))))),0)</f>
        <v>0.3</v>
      </c>
      <c r="J1825" s="103">
        <f t="shared" si="1"/>
        <v>0</v>
      </c>
      <c r="K1825" s="104" t="str">
        <f>IF(H1825&lt;0,"ERROR",IF(H1825=0,"",IF(H1825&lt;CONFIG!$B$4,"CRÍTICO",IF(H1825&lt;CONFIG!$B$5,"BAJO","OK"))))</f>
        <v/>
      </c>
    </row>
    <row r="1826" ht="15.75" hidden="1" customHeight="1">
      <c r="A1826" s="90" t="str">
        <f>IF(CLIENTES!A8="","",CLIENTES!A8)</f>
        <v/>
      </c>
      <c r="B1826" s="90" t="s">
        <v>324</v>
      </c>
      <c r="C1826" s="91" t="s">
        <v>328</v>
      </c>
      <c r="D1826" s="109" t="s">
        <v>353</v>
      </c>
      <c r="E1826" s="67" t="str">
        <f>COLORES!A19</f>
        <v/>
      </c>
      <c r="F1826" s="67" t="str">
        <f>COLORES!B19</f>
        <v/>
      </c>
      <c r="G1826" s="90" t="s">
        <v>377</v>
      </c>
      <c r="H1826" s="100">
        <f>IFERROR(SUMIFS(MOVIMIENTOS_COMPLEMENTOS!$I$4:$I$803,MOVIMIENTOS_COMPLEMENTOS!$C$4:$C$803,A1826,MOVIMIENTOS_COMPLEMENTOS!$D$4:$D$803,B1826,MOVIMIENTOS_COMPLEMENTOS!$E$4:$E$803,C1826,MOVIMIENTOS_COMPLEMENTOS!$G$4:$G$803,E1826,MOVIMIENTOS_COMPLEMENTOS!$H$4:$H$803,G1826,MOVIMIENTOS_COMPLEMENTOS!$B$4:$B$803,"INGRESO")+SUMIFS(MOVIMIENTOS_COMPLEMENTOS!$I$4:$I$803,MOVIMIENTOS_COMPLEMENTOS!$C$4:$C$803,A1826,MOVIMIENTOS_COMPLEMENTOS!$D$4:$D$803,B1826,MOVIMIENTOS_COMPLEMENTOS!$E$4:$E$803,C1826,MOVIMIENTOS_COMPLEMENTOS!$G$4:$G$803,E1826,MOVIMIENTOS_COMPLEMENTOS!$H$4:$H$803,G1826,MOVIMIENTOS_COMPLEMENTOS!$B$4:$B$803,"DE CORTE")-SUMIFS(MOVIMIENTOS_COMPLEMENTOS!$I$4:$I$803,MOVIMIENTOS_COMPLEMENTOS!$C$4:$C$803,A1826,MOVIMIENTOS_COMPLEMENTOS!$D$4:$D$803,B1826,MOVIMIENTOS_COMPLEMENTOS!$E$4:$E$803,C1826,MOVIMIENTOS_COMPLEMENTOS!$G$4:$G$803,E1826,MOVIMIENTOS_COMPLEMENTOS!$H$4:$H$803,G1826,MOVIMIENTOS_COMPLEMENTOS!$B$4:$B$803,"SALIDA"),0)</f>
        <v>0</v>
      </c>
      <c r="I1826" s="102">
        <f t="array" ref="I1826">IFERROR(INDEX(PRECIOS_COMPLEMENTOS!$C$4:$F$17,MATCH(B1826&amp;"_"&amp;C1826,PRECIOS_COMPLEMENTOS!$H$4:$H$17,0),IF(OR(G1826="S",G1826="20cm"),1,IF(OR(G1826="M",G1826="25cm"),2,IF(OR(G1826="L",G1826="30cm"),3,IF(OR(G1826="XL",G1826="35cm"),4,0))))),0)</f>
        <v>0.3</v>
      </c>
      <c r="J1826" s="103">
        <f t="shared" si="1"/>
        <v>0</v>
      </c>
      <c r="K1826" s="104" t="str">
        <f>IF(H1826&lt;0,"ERROR",IF(H1826=0,"",IF(H1826&lt;CONFIG!$B$4,"CRÍTICO",IF(H1826&lt;CONFIG!$B$5,"BAJO","OK"))))</f>
        <v/>
      </c>
    </row>
    <row r="1827" ht="15.75" hidden="1" customHeight="1">
      <c r="A1827" s="90" t="str">
        <f>IF(CLIENTES!A8="","",CLIENTES!A8)</f>
        <v/>
      </c>
      <c r="B1827" s="90" t="s">
        <v>324</v>
      </c>
      <c r="C1827" s="91" t="s">
        <v>328</v>
      </c>
      <c r="D1827" s="109" t="s">
        <v>353</v>
      </c>
      <c r="E1827" s="67" t="str">
        <f>COLORES!A19</f>
        <v/>
      </c>
      <c r="F1827" s="67" t="str">
        <f>COLORES!B19</f>
        <v/>
      </c>
      <c r="G1827" s="90" t="s">
        <v>379</v>
      </c>
      <c r="H1827" s="100">
        <f>IFERROR(SUMIFS(MOVIMIENTOS_COMPLEMENTOS!$I$4:$I$803,MOVIMIENTOS_COMPLEMENTOS!$C$4:$C$803,A1827,MOVIMIENTOS_COMPLEMENTOS!$D$4:$D$803,B1827,MOVIMIENTOS_COMPLEMENTOS!$E$4:$E$803,C1827,MOVIMIENTOS_COMPLEMENTOS!$G$4:$G$803,E1827,MOVIMIENTOS_COMPLEMENTOS!$H$4:$H$803,G1827,MOVIMIENTOS_COMPLEMENTOS!$B$4:$B$803,"INGRESO")+SUMIFS(MOVIMIENTOS_COMPLEMENTOS!$I$4:$I$803,MOVIMIENTOS_COMPLEMENTOS!$C$4:$C$803,A1827,MOVIMIENTOS_COMPLEMENTOS!$D$4:$D$803,B1827,MOVIMIENTOS_COMPLEMENTOS!$E$4:$E$803,C1827,MOVIMIENTOS_COMPLEMENTOS!$G$4:$G$803,E1827,MOVIMIENTOS_COMPLEMENTOS!$H$4:$H$803,G1827,MOVIMIENTOS_COMPLEMENTOS!$B$4:$B$803,"DE CORTE")-SUMIFS(MOVIMIENTOS_COMPLEMENTOS!$I$4:$I$803,MOVIMIENTOS_COMPLEMENTOS!$C$4:$C$803,A1827,MOVIMIENTOS_COMPLEMENTOS!$D$4:$D$803,B1827,MOVIMIENTOS_COMPLEMENTOS!$E$4:$E$803,C1827,MOVIMIENTOS_COMPLEMENTOS!$G$4:$G$803,E1827,MOVIMIENTOS_COMPLEMENTOS!$H$4:$H$803,G1827,MOVIMIENTOS_COMPLEMENTOS!$B$4:$B$803,"SALIDA"),0)</f>
        <v>0</v>
      </c>
      <c r="I1827" s="102">
        <f t="array" ref="I1827">IFERROR(INDEX(PRECIOS_COMPLEMENTOS!$C$4:$F$17,MATCH(B1827&amp;"_"&amp;C1827,PRECIOS_COMPLEMENTOS!$H$4:$H$17,0),IF(OR(G1827="S",G1827="20cm"),1,IF(OR(G1827="M",G1827="25cm"),2,IF(OR(G1827="L",G1827="30cm"),3,IF(OR(G1827="XL",G1827="35cm"),4,0))))),0)</f>
        <v>0.3</v>
      </c>
      <c r="J1827" s="103">
        <f t="shared" si="1"/>
        <v>0</v>
      </c>
      <c r="K1827" s="104" t="str">
        <f>IF(H1827&lt;0,"ERROR",IF(H1827=0,"",IF(H1827&lt;CONFIG!$B$4,"CRÍTICO",IF(H1827&lt;CONFIG!$B$5,"BAJO","OK"))))</f>
        <v/>
      </c>
    </row>
    <row r="1828" ht="15.75" hidden="1" customHeight="1">
      <c r="A1828" s="90" t="str">
        <f>IF(CLIENTES!A8="","",CLIENTES!A8)</f>
        <v/>
      </c>
      <c r="B1828" s="90" t="s">
        <v>324</v>
      </c>
      <c r="C1828" s="91" t="s">
        <v>328</v>
      </c>
      <c r="D1828" s="109" t="s">
        <v>353</v>
      </c>
      <c r="E1828" s="67" t="str">
        <f>COLORES!A20</f>
        <v/>
      </c>
      <c r="F1828" s="67" t="str">
        <f>COLORES!B20</f>
        <v/>
      </c>
      <c r="G1828" s="90" t="s">
        <v>378</v>
      </c>
      <c r="H1828" s="100">
        <f>IFERROR(SUMIFS(MOVIMIENTOS_COMPLEMENTOS!$I$4:$I$803,MOVIMIENTOS_COMPLEMENTOS!$C$4:$C$803,A1828,MOVIMIENTOS_COMPLEMENTOS!$D$4:$D$803,B1828,MOVIMIENTOS_COMPLEMENTOS!$E$4:$E$803,C1828,MOVIMIENTOS_COMPLEMENTOS!$G$4:$G$803,E1828,MOVIMIENTOS_COMPLEMENTOS!$H$4:$H$803,G1828,MOVIMIENTOS_COMPLEMENTOS!$B$4:$B$803,"INGRESO")+SUMIFS(MOVIMIENTOS_COMPLEMENTOS!$I$4:$I$803,MOVIMIENTOS_COMPLEMENTOS!$C$4:$C$803,A1828,MOVIMIENTOS_COMPLEMENTOS!$D$4:$D$803,B1828,MOVIMIENTOS_COMPLEMENTOS!$E$4:$E$803,C1828,MOVIMIENTOS_COMPLEMENTOS!$G$4:$G$803,E1828,MOVIMIENTOS_COMPLEMENTOS!$H$4:$H$803,G1828,MOVIMIENTOS_COMPLEMENTOS!$B$4:$B$803,"DE CORTE")-SUMIFS(MOVIMIENTOS_COMPLEMENTOS!$I$4:$I$803,MOVIMIENTOS_COMPLEMENTOS!$C$4:$C$803,A1828,MOVIMIENTOS_COMPLEMENTOS!$D$4:$D$803,B1828,MOVIMIENTOS_COMPLEMENTOS!$E$4:$E$803,C1828,MOVIMIENTOS_COMPLEMENTOS!$G$4:$G$803,E1828,MOVIMIENTOS_COMPLEMENTOS!$H$4:$H$803,G1828,MOVIMIENTOS_COMPLEMENTOS!$B$4:$B$803,"SALIDA"),0)</f>
        <v>0</v>
      </c>
      <c r="I1828" s="102">
        <f t="array" ref="I1828">IFERROR(INDEX(PRECIOS_COMPLEMENTOS!$C$4:$F$17,MATCH(B1828&amp;"_"&amp;C1828,PRECIOS_COMPLEMENTOS!$H$4:$H$17,0),IF(OR(G1828="S",G1828="20cm"),1,IF(OR(G1828="M",G1828="25cm"),2,IF(OR(G1828="L",G1828="30cm"),3,IF(OR(G1828="XL",G1828="35cm"),4,0))))),0)</f>
        <v>0.3</v>
      </c>
      <c r="J1828" s="103">
        <f t="shared" si="1"/>
        <v>0</v>
      </c>
      <c r="K1828" s="104" t="str">
        <f>IF(H1828&lt;0,"ERROR",IF(H1828=0,"",IF(H1828&lt;CONFIG!$B$4,"CRÍTICO",IF(H1828&lt;CONFIG!$B$5,"BAJO","OK"))))</f>
        <v/>
      </c>
    </row>
    <row r="1829" ht="15.75" hidden="1" customHeight="1">
      <c r="A1829" s="90" t="str">
        <f>IF(CLIENTES!A8="","",CLIENTES!A8)</f>
        <v/>
      </c>
      <c r="B1829" s="90" t="s">
        <v>324</v>
      </c>
      <c r="C1829" s="91" t="s">
        <v>328</v>
      </c>
      <c r="D1829" s="109" t="s">
        <v>353</v>
      </c>
      <c r="E1829" s="67" t="str">
        <f>COLORES!A20</f>
        <v/>
      </c>
      <c r="F1829" s="67" t="str">
        <f>COLORES!B20</f>
        <v/>
      </c>
      <c r="G1829" s="90" t="s">
        <v>376</v>
      </c>
      <c r="H1829" s="100">
        <f>IFERROR(SUMIFS(MOVIMIENTOS_COMPLEMENTOS!$I$4:$I$803,MOVIMIENTOS_COMPLEMENTOS!$C$4:$C$803,A1829,MOVIMIENTOS_COMPLEMENTOS!$D$4:$D$803,B1829,MOVIMIENTOS_COMPLEMENTOS!$E$4:$E$803,C1829,MOVIMIENTOS_COMPLEMENTOS!$G$4:$G$803,E1829,MOVIMIENTOS_COMPLEMENTOS!$H$4:$H$803,G1829,MOVIMIENTOS_COMPLEMENTOS!$B$4:$B$803,"INGRESO")+SUMIFS(MOVIMIENTOS_COMPLEMENTOS!$I$4:$I$803,MOVIMIENTOS_COMPLEMENTOS!$C$4:$C$803,A1829,MOVIMIENTOS_COMPLEMENTOS!$D$4:$D$803,B1829,MOVIMIENTOS_COMPLEMENTOS!$E$4:$E$803,C1829,MOVIMIENTOS_COMPLEMENTOS!$G$4:$G$803,E1829,MOVIMIENTOS_COMPLEMENTOS!$H$4:$H$803,G1829,MOVIMIENTOS_COMPLEMENTOS!$B$4:$B$803,"DE CORTE")-SUMIFS(MOVIMIENTOS_COMPLEMENTOS!$I$4:$I$803,MOVIMIENTOS_COMPLEMENTOS!$C$4:$C$803,A1829,MOVIMIENTOS_COMPLEMENTOS!$D$4:$D$803,B1829,MOVIMIENTOS_COMPLEMENTOS!$E$4:$E$803,C1829,MOVIMIENTOS_COMPLEMENTOS!$G$4:$G$803,E1829,MOVIMIENTOS_COMPLEMENTOS!$H$4:$H$803,G1829,MOVIMIENTOS_COMPLEMENTOS!$B$4:$B$803,"SALIDA"),0)</f>
        <v>0</v>
      </c>
      <c r="I1829" s="102">
        <f t="array" ref="I1829">IFERROR(INDEX(PRECIOS_COMPLEMENTOS!$C$4:$F$17,MATCH(B1829&amp;"_"&amp;C1829,PRECIOS_COMPLEMENTOS!$H$4:$H$17,0),IF(OR(G1829="S",G1829="20cm"),1,IF(OR(G1829="M",G1829="25cm"),2,IF(OR(G1829="L",G1829="30cm"),3,IF(OR(G1829="XL",G1829="35cm"),4,0))))),0)</f>
        <v>0.3</v>
      </c>
      <c r="J1829" s="103">
        <f t="shared" si="1"/>
        <v>0</v>
      </c>
      <c r="K1829" s="104" t="str">
        <f>IF(H1829&lt;0,"ERROR",IF(H1829=0,"",IF(H1829&lt;CONFIG!$B$4,"CRÍTICO",IF(H1829&lt;CONFIG!$B$5,"BAJO","OK"))))</f>
        <v/>
      </c>
    </row>
    <row r="1830" ht="15.75" hidden="1" customHeight="1">
      <c r="A1830" s="90" t="str">
        <f>IF(CLIENTES!A8="","",CLIENTES!A8)</f>
        <v/>
      </c>
      <c r="B1830" s="90" t="s">
        <v>324</v>
      </c>
      <c r="C1830" s="91" t="s">
        <v>328</v>
      </c>
      <c r="D1830" s="109" t="s">
        <v>353</v>
      </c>
      <c r="E1830" s="67" t="str">
        <f>COLORES!A20</f>
        <v/>
      </c>
      <c r="F1830" s="67" t="str">
        <f>COLORES!B20</f>
        <v/>
      </c>
      <c r="G1830" s="90" t="s">
        <v>377</v>
      </c>
      <c r="H1830" s="100">
        <f>IFERROR(SUMIFS(MOVIMIENTOS_COMPLEMENTOS!$I$4:$I$803,MOVIMIENTOS_COMPLEMENTOS!$C$4:$C$803,A1830,MOVIMIENTOS_COMPLEMENTOS!$D$4:$D$803,B1830,MOVIMIENTOS_COMPLEMENTOS!$E$4:$E$803,C1830,MOVIMIENTOS_COMPLEMENTOS!$G$4:$G$803,E1830,MOVIMIENTOS_COMPLEMENTOS!$H$4:$H$803,G1830,MOVIMIENTOS_COMPLEMENTOS!$B$4:$B$803,"INGRESO")+SUMIFS(MOVIMIENTOS_COMPLEMENTOS!$I$4:$I$803,MOVIMIENTOS_COMPLEMENTOS!$C$4:$C$803,A1830,MOVIMIENTOS_COMPLEMENTOS!$D$4:$D$803,B1830,MOVIMIENTOS_COMPLEMENTOS!$E$4:$E$803,C1830,MOVIMIENTOS_COMPLEMENTOS!$G$4:$G$803,E1830,MOVIMIENTOS_COMPLEMENTOS!$H$4:$H$803,G1830,MOVIMIENTOS_COMPLEMENTOS!$B$4:$B$803,"DE CORTE")-SUMIFS(MOVIMIENTOS_COMPLEMENTOS!$I$4:$I$803,MOVIMIENTOS_COMPLEMENTOS!$C$4:$C$803,A1830,MOVIMIENTOS_COMPLEMENTOS!$D$4:$D$803,B1830,MOVIMIENTOS_COMPLEMENTOS!$E$4:$E$803,C1830,MOVIMIENTOS_COMPLEMENTOS!$G$4:$G$803,E1830,MOVIMIENTOS_COMPLEMENTOS!$H$4:$H$803,G1830,MOVIMIENTOS_COMPLEMENTOS!$B$4:$B$803,"SALIDA"),0)</f>
        <v>0</v>
      </c>
      <c r="I1830" s="102">
        <f t="array" ref="I1830">IFERROR(INDEX(PRECIOS_COMPLEMENTOS!$C$4:$F$17,MATCH(B1830&amp;"_"&amp;C1830,PRECIOS_COMPLEMENTOS!$H$4:$H$17,0),IF(OR(G1830="S",G1830="20cm"),1,IF(OR(G1830="M",G1830="25cm"),2,IF(OR(G1830="L",G1830="30cm"),3,IF(OR(G1830="XL",G1830="35cm"),4,0))))),0)</f>
        <v>0.3</v>
      </c>
      <c r="J1830" s="103">
        <f t="shared" si="1"/>
        <v>0</v>
      </c>
      <c r="K1830" s="104" t="str">
        <f>IF(H1830&lt;0,"ERROR",IF(H1830=0,"",IF(H1830&lt;CONFIG!$B$4,"CRÍTICO",IF(H1830&lt;CONFIG!$B$5,"BAJO","OK"))))</f>
        <v/>
      </c>
    </row>
    <row r="1831" ht="15.75" hidden="1" customHeight="1">
      <c r="A1831" s="90" t="str">
        <f>IF(CLIENTES!A8="","",CLIENTES!A8)</f>
        <v/>
      </c>
      <c r="B1831" s="90" t="s">
        <v>324</v>
      </c>
      <c r="C1831" s="91" t="s">
        <v>328</v>
      </c>
      <c r="D1831" s="109" t="s">
        <v>353</v>
      </c>
      <c r="E1831" s="67" t="str">
        <f>COLORES!A20</f>
        <v/>
      </c>
      <c r="F1831" s="67" t="str">
        <f>COLORES!B20</f>
        <v/>
      </c>
      <c r="G1831" s="90" t="s">
        <v>379</v>
      </c>
      <c r="H1831" s="100">
        <f>IFERROR(SUMIFS(MOVIMIENTOS_COMPLEMENTOS!$I$4:$I$803,MOVIMIENTOS_COMPLEMENTOS!$C$4:$C$803,A1831,MOVIMIENTOS_COMPLEMENTOS!$D$4:$D$803,B1831,MOVIMIENTOS_COMPLEMENTOS!$E$4:$E$803,C1831,MOVIMIENTOS_COMPLEMENTOS!$G$4:$G$803,E1831,MOVIMIENTOS_COMPLEMENTOS!$H$4:$H$803,G1831,MOVIMIENTOS_COMPLEMENTOS!$B$4:$B$803,"INGRESO")+SUMIFS(MOVIMIENTOS_COMPLEMENTOS!$I$4:$I$803,MOVIMIENTOS_COMPLEMENTOS!$C$4:$C$803,A1831,MOVIMIENTOS_COMPLEMENTOS!$D$4:$D$803,B1831,MOVIMIENTOS_COMPLEMENTOS!$E$4:$E$803,C1831,MOVIMIENTOS_COMPLEMENTOS!$G$4:$G$803,E1831,MOVIMIENTOS_COMPLEMENTOS!$H$4:$H$803,G1831,MOVIMIENTOS_COMPLEMENTOS!$B$4:$B$803,"DE CORTE")-SUMIFS(MOVIMIENTOS_COMPLEMENTOS!$I$4:$I$803,MOVIMIENTOS_COMPLEMENTOS!$C$4:$C$803,A1831,MOVIMIENTOS_COMPLEMENTOS!$D$4:$D$803,B1831,MOVIMIENTOS_COMPLEMENTOS!$E$4:$E$803,C1831,MOVIMIENTOS_COMPLEMENTOS!$G$4:$G$803,E1831,MOVIMIENTOS_COMPLEMENTOS!$H$4:$H$803,G1831,MOVIMIENTOS_COMPLEMENTOS!$B$4:$B$803,"SALIDA"),0)</f>
        <v>0</v>
      </c>
      <c r="I1831" s="102">
        <f t="array" ref="I1831">IFERROR(INDEX(PRECIOS_COMPLEMENTOS!$C$4:$F$17,MATCH(B1831&amp;"_"&amp;C1831,PRECIOS_COMPLEMENTOS!$H$4:$H$17,0),IF(OR(G1831="S",G1831="20cm"),1,IF(OR(G1831="M",G1831="25cm"),2,IF(OR(G1831="L",G1831="30cm"),3,IF(OR(G1831="XL",G1831="35cm"),4,0))))),0)</f>
        <v>0.3</v>
      </c>
      <c r="J1831" s="103">
        <f t="shared" si="1"/>
        <v>0</v>
      </c>
      <c r="K1831" s="104" t="str">
        <f>IF(H1831&lt;0,"ERROR",IF(H1831=0,"",IF(H1831&lt;CONFIG!$B$4,"CRÍTICO",IF(H1831&lt;CONFIG!$B$5,"BAJO","OK"))))</f>
        <v/>
      </c>
    </row>
    <row r="1832" ht="15.75" hidden="1" customHeight="1">
      <c r="A1832" s="90" t="str">
        <f>IF(CLIENTES!A8="","",CLIENTES!A8)</f>
        <v/>
      </c>
      <c r="B1832" s="90" t="s">
        <v>324</v>
      </c>
      <c r="C1832" s="91" t="s">
        <v>328</v>
      </c>
      <c r="D1832" s="109" t="s">
        <v>353</v>
      </c>
      <c r="E1832" s="67" t="str">
        <f>COLORES!A21</f>
        <v/>
      </c>
      <c r="F1832" s="67" t="str">
        <f>COLORES!B21</f>
        <v/>
      </c>
      <c r="G1832" s="90" t="s">
        <v>378</v>
      </c>
      <c r="H1832" s="100">
        <f>IFERROR(SUMIFS(MOVIMIENTOS_COMPLEMENTOS!$I$4:$I$803,MOVIMIENTOS_COMPLEMENTOS!$C$4:$C$803,A1832,MOVIMIENTOS_COMPLEMENTOS!$D$4:$D$803,B1832,MOVIMIENTOS_COMPLEMENTOS!$E$4:$E$803,C1832,MOVIMIENTOS_COMPLEMENTOS!$G$4:$G$803,E1832,MOVIMIENTOS_COMPLEMENTOS!$H$4:$H$803,G1832,MOVIMIENTOS_COMPLEMENTOS!$B$4:$B$803,"INGRESO")+SUMIFS(MOVIMIENTOS_COMPLEMENTOS!$I$4:$I$803,MOVIMIENTOS_COMPLEMENTOS!$C$4:$C$803,A1832,MOVIMIENTOS_COMPLEMENTOS!$D$4:$D$803,B1832,MOVIMIENTOS_COMPLEMENTOS!$E$4:$E$803,C1832,MOVIMIENTOS_COMPLEMENTOS!$G$4:$G$803,E1832,MOVIMIENTOS_COMPLEMENTOS!$H$4:$H$803,G1832,MOVIMIENTOS_COMPLEMENTOS!$B$4:$B$803,"DE CORTE")-SUMIFS(MOVIMIENTOS_COMPLEMENTOS!$I$4:$I$803,MOVIMIENTOS_COMPLEMENTOS!$C$4:$C$803,A1832,MOVIMIENTOS_COMPLEMENTOS!$D$4:$D$803,B1832,MOVIMIENTOS_COMPLEMENTOS!$E$4:$E$803,C1832,MOVIMIENTOS_COMPLEMENTOS!$G$4:$G$803,E1832,MOVIMIENTOS_COMPLEMENTOS!$H$4:$H$803,G1832,MOVIMIENTOS_COMPLEMENTOS!$B$4:$B$803,"SALIDA"),0)</f>
        <v>0</v>
      </c>
      <c r="I1832" s="102">
        <f t="array" ref="I1832">IFERROR(INDEX(PRECIOS_COMPLEMENTOS!$C$4:$F$17,MATCH(B1832&amp;"_"&amp;C1832,PRECIOS_COMPLEMENTOS!$H$4:$H$17,0),IF(OR(G1832="S",G1832="20cm"),1,IF(OR(G1832="M",G1832="25cm"),2,IF(OR(G1832="L",G1832="30cm"),3,IF(OR(G1832="XL",G1832="35cm"),4,0))))),0)</f>
        <v>0.3</v>
      </c>
      <c r="J1832" s="103">
        <f t="shared" si="1"/>
        <v>0</v>
      </c>
      <c r="K1832" s="104" t="str">
        <f>IF(H1832&lt;0,"ERROR",IF(H1832=0,"",IF(H1832&lt;CONFIG!$B$4,"CRÍTICO",IF(H1832&lt;CONFIG!$B$5,"BAJO","OK"))))</f>
        <v/>
      </c>
    </row>
    <row r="1833" ht="15.75" hidden="1" customHeight="1">
      <c r="A1833" s="90" t="str">
        <f>IF(CLIENTES!A8="","",CLIENTES!A8)</f>
        <v/>
      </c>
      <c r="B1833" s="90" t="s">
        <v>324</v>
      </c>
      <c r="C1833" s="91" t="s">
        <v>328</v>
      </c>
      <c r="D1833" s="109" t="s">
        <v>353</v>
      </c>
      <c r="E1833" s="67" t="str">
        <f>COLORES!A21</f>
        <v/>
      </c>
      <c r="F1833" s="67" t="str">
        <f>COLORES!B21</f>
        <v/>
      </c>
      <c r="G1833" s="90" t="s">
        <v>376</v>
      </c>
      <c r="H1833" s="100">
        <f>IFERROR(SUMIFS(MOVIMIENTOS_COMPLEMENTOS!$I$4:$I$803,MOVIMIENTOS_COMPLEMENTOS!$C$4:$C$803,A1833,MOVIMIENTOS_COMPLEMENTOS!$D$4:$D$803,B1833,MOVIMIENTOS_COMPLEMENTOS!$E$4:$E$803,C1833,MOVIMIENTOS_COMPLEMENTOS!$G$4:$G$803,E1833,MOVIMIENTOS_COMPLEMENTOS!$H$4:$H$803,G1833,MOVIMIENTOS_COMPLEMENTOS!$B$4:$B$803,"INGRESO")+SUMIFS(MOVIMIENTOS_COMPLEMENTOS!$I$4:$I$803,MOVIMIENTOS_COMPLEMENTOS!$C$4:$C$803,A1833,MOVIMIENTOS_COMPLEMENTOS!$D$4:$D$803,B1833,MOVIMIENTOS_COMPLEMENTOS!$E$4:$E$803,C1833,MOVIMIENTOS_COMPLEMENTOS!$G$4:$G$803,E1833,MOVIMIENTOS_COMPLEMENTOS!$H$4:$H$803,G1833,MOVIMIENTOS_COMPLEMENTOS!$B$4:$B$803,"DE CORTE")-SUMIFS(MOVIMIENTOS_COMPLEMENTOS!$I$4:$I$803,MOVIMIENTOS_COMPLEMENTOS!$C$4:$C$803,A1833,MOVIMIENTOS_COMPLEMENTOS!$D$4:$D$803,B1833,MOVIMIENTOS_COMPLEMENTOS!$E$4:$E$803,C1833,MOVIMIENTOS_COMPLEMENTOS!$G$4:$G$803,E1833,MOVIMIENTOS_COMPLEMENTOS!$H$4:$H$803,G1833,MOVIMIENTOS_COMPLEMENTOS!$B$4:$B$803,"SALIDA"),0)</f>
        <v>0</v>
      </c>
      <c r="I1833" s="102">
        <f t="array" ref="I1833">IFERROR(INDEX(PRECIOS_COMPLEMENTOS!$C$4:$F$17,MATCH(B1833&amp;"_"&amp;C1833,PRECIOS_COMPLEMENTOS!$H$4:$H$17,0),IF(OR(G1833="S",G1833="20cm"),1,IF(OR(G1833="M",G1833="25cm"),2,IF(OR(G1833="L",G1833="30cm"),3,IF(OR(G1833="XL",G1833="35cm"),4,0))))),0)</f>
        <v>0.3</v>
      </c>
      <c r="J1833" s="103">
        <f t="shared" si="1"/>
        <v>0</v>
      </c>
      <c r="K1833" s="104" t="str">
        <f>IF(H1833&lt;0,"ERROR",IF(H1833=0,"",IF(H1833&lt;CONFIG!$B$4,"CRÍTICO",IF(H1833&lt;CONFIG!$B$5,"BAJO","OK"))))</f>
        <v/>
      </c>
    </row>
    <row r="1834" ht="15.75" hidden="1" customHeight="1">
      <c r="A1834" s="90" t="str">
        <f>IF(CLIENTES!A8="","",CLIENTES!A8)</f>
        <v/>
      </c>
      <c r="B1834" s="90" t="s">
        <v>324</v>
      </c>
      <c r="C1834" s="91" t="s">
        <v>328</v>
      </c>
      <c r="D1834" s="109" t="s">
        <v>353</v>
      </c>
      <c r="E1834" s="67" t="str">
        <f>COLORES!A21</f>
        <v/>
      </c>
      <c r="F1834" s="67" t="str">
        <f>COLORES!B21</f>
        <v/>
      </c>
      <c r="G1834" s="90" t="s">
        <v>377</v>
      </c>
      <c r="H1834" s="100">
        <f>IFERROR(SUMIFS(MOVIMIENTOS_COMPLEMENTOS!$I$4:$I$803,MOVIMIENTOS_COMPLEMENTOS!$C$4:$C$803,A1834,MOVIMIENTOS_COMPLEMENTOS!$D$4:$D$803,B1834,MOVIMIENTOS_COMPLEMENTOS!$E$4:$E$803,C1834,MOVIMIENTOS_COMPLEMENTOS!$G$4:$G$803,E1834,MOVIMIENTOS_COMPLEMENTOS!$H$4:$H$803,G1834,MOVIMIENTOS_COMPLEMENTOS!$B$4:$B$803,"INGRESO")+SUMIFS(MOVIMIENTOS_COMPLEMENTOS!$I$4:$I$803,MOVIMIENTOS_COMPLEMENTOS!$C$4:$C$803,A1834,MOVIMIENTOS_COMPLEMENTOS!$D$4:$D$803,B1834,MOVIMIENTOS_COMPLEMENTOS!$E$4:$E$803,C1834,MOVIMIENTOS_COMPLEMENTOS!$G$4:$G$803,E1834,MOVIMIENTOS_COMPLEMENTOS!$H$4:$H$803,G1834,MOVIMIENTOS_COMPLEMENTOS!$B$4:$B$803,"DE CORTE")-SUMIFS(MOVIMIENTOS_COMPLEMENTOS!$I$4:$I$803,MOVIMIENTOS_COMPLEMENTOS!$C$4:$C$803,A1834,MOVIMIENTOS_COMPLEMENTOS!$D$4:$D$803,B1834,MOVIMIENTOS_COMPLEMENTOS!$E$4:$E$803,C1834,MOVIMIENTOS_COMPLEMENTOS!$G$4:$G$803,E1834,MOVIMIENTOS_COMPLEMENTOS!$H$4:$H$803,G1834,MOVIMIENTOS_COMPLEMENTOS!$B$4:$B$803,"SALIDA"),0)</f>
        <v>0</v>
      </c>
      <c r="I1834" s="102">
        <f t="array" ref="I1834">IFERROR(INDEX(PRECIOS_COMPLEMENTOS!$C$4:$F$17,MATCH(B1834&amp;"_"&amp;C1834,PRECIOS_COMPLEMENTOS!$H$4:$H$17,0),IF(OR(G1834="S",G1834="20cm"),1,IF(OR(G1834="M",G1834="25cm"),2,IF(OR(G1834="L",G1834="30cm"),3,IF(OR(G1834="XL",G1834="35cm"),4,0))))),0)</f>
        <v>0.3</v>
      </c>
      <c r="J1834" s="103">
        <f t="shared" si="1"/>
        <v>0</v>
      </c>
      <c r="K1834" s="104" t="str">
        <f>IF(H1834&lt;0,"ERROR",IF(H1834=0,"",IF(H1834&lt;CONFIG!$B$4,"CRÍTICO",IF(H1834&lt;CONFIG!$B$5,"BAJO","OK"))))</f>
        <v/>
      </c>
    </row>
    <row r="1835" ht="15.75" hidden="1" customHeight="1">
      <c r="A1835" s="90" t="str">
        <f>IF(CLIENTES!A8="","",CLIENTES!A8)</f>
        <v/>
      </c>
      <c r="B1835" s="90" t="s">
        <v>324</v>
      </c>
      <c r="C1835" s="91" t="s">
        <v>328</v>
      </c>
      <c r="D1835" s="109" t="s">
        <v>353</v>
      </c>
      <c r="E1835" s="67" t="str">
        <f>COLORES!A21</f>
        <v/>
      </c>
      <c r="F1835" s="67" t="str">
        <f>COLORES!B21</f>
        <v/>
      </c>
      <c r="G1835" s="90" t="s">
        <v>379</v>
      </c>
      <c r="H1835" s="100">
        <f>IFERROR(SUMIFS(MOVIMIENTOS_COMPLEMENTOS!$I$4:$I$803,MOVIMIENTOS_COMPLEMENTOS!$C$4:$C$803,A1835,MOVIMIENTOS_COMPLEMENTOS!$D$4:$D$803,B1835,MOVIMIENTOS_COMPLEMENTOS!$E$4:$E$803,C1835,MOVIMIENTOS_COMPLEMENTOS!$G$4:$G$803,E1835,MOVIMIENTOS_COMPLEMENTOS!$H$4:$H$803,G1835,MOVIMIENTOS_COMPLEMENTOS!$B$4:$B$803,"INGRESO")+SUMIFS(MOVIMIENTOS_COMPLEMENTOS!$I$4:$I$803,MOVIMIENTOS_COMPLEMENTOS!$C$4:$C$803,A1835,MOVIMIENTOS_COMPLEMENTOS!$D$4:$D$803,B1835,MOVIMIENTOS_COMPLEMENTOS!$E$4:$E$803,C1835,MOVIMIENTOS_COMPLEMENTOS!$G$4:$G$803,E1835,MOVIMIENTOS_COMPLEMENTOS!$H$4:$H$803,G1835,MOVIMIENTOS_COMPLEMENTOS!$B$4:$B$803,"DE CORTE")-SUMIFS(MOVIMIENTOS_COMPLEMENTOS!$I$4:$I$803,MOVIMIENTOS_COMPLEMENTOS!$C$4:$C$803,A1835,MOVIMIENTOS_COMPLEMENTOS!$D$4:$D$803,B1835,MOVIMIENTOS_COMPLEMENTOS!$E$4:$E$803,C1835,MOVIMIENTOS_COMPLEMENTOS!$G$4:$G$803,E1835,MOVIMIENTOS_COMPLEMENTOS!$H$4:$H$803,G1835,MOVIMIENTOS_COMPLEMENTOS!$B$4:$B$803,"SALIDA"),0)</f>
        <v>0</v>
      </c>
      <c r="I1835" s="102">
        <f t="array" ref="I1835">IFERROR(INDEX(PRECIOS_COMPLEMENTOS!$C$4:$F$17,MATCH(B1835&amp;"_"&amp;C1835,PRECIOS_COMPLEMENTOS!$H$4:$H$17,0),IF(OR(G1835="S",G1835="20cm"),1,IF(OR(G1835="M",G1835="25cm"),2,IF(OR(G1835="L",G1835="30cm"),3,IF(OR(G1835="XL",G1835="35cm"),4,0))))),0)</f>
        <v>0.3</v>
      </c>
      <c r="J1835" s="103">
        <f t="shared" si="1"/>
        <v>0</v>
      </c>
      <c r="K1835" s="104" t="str">
        <f>IF(H1835&lt;0,"ERROR",IF(H1835=0,"",IF(H1835&lt;CONFIG!$B$4,"CRÍTICO",IF(H1835&lt;CONFIG!$B$5,"BAJO","OK"))))</f>
        <v/>
      </c>
    </row>
    <row r="1836" ht="15.75" hidden="1" customHeight="1">
      <c r="A1836" s="90" t="str">
        <f>IF(CLIENTES!A8="","",CLIENTES!A8)</f>
        <v/>
      </c>
      <c r="B1836" s="90" t="s">
        <v>324</v>
      </c>
      <c r="C1836" s="91" t="s">
        <v>328</v>
      </c>
      <c r="D1836" s="109" t="s">
        <v>353</v>
      </c>
      <c r="E1836" s="67" t="str">
        <f>COLORES!A22</f>
        <v/>
      </c>
      <c r="F1836" s="67" t="str">
        <f>COLORES!B22</f>
        <v/>
      </c>
      <c r="G1836" s="90" t="s">
        <v>378</v>
      </c>
      <c r="H1836" s="100">
        <f>IFERROR(SUMIFS(MOVIMIENTOS_COMPLEMENTOS!$I$4:$I$803,MOVIMIENTOS_COMPLEMENTOS!$C$4:$C$803,A1836,MOVIMIENTOS_COMPLEMENTOS!$D$4:$D$803,B1836,MOVIMIENTOS_COMPLEMENTOS!$E$4:$E$803,C1836,MOVIMIENTOS_COMPLEMENTOS!$G$4:$G$803,E1836,MOVIMIENTOS_COMPLEMENTOS!$H$4:$H$803,G1836,MOVIMIENTOS_COMPLEMENTOS!$B$4:$B$803,"INGRESO")+SUMIFS(MOVIMIENTOS_COMPLEMENTOS!$I$4:$I$803,MOVIMIENTOS_COMPLEMENTOS!$C$4:$C$803,A1836,MOVIMIENTOS_COMPLEMENTOS!$D$4:$D$803,B1836,MOVIMIENTOS_COMPLEMENTOS!$E$4:$E$803,C1836,MOVIMIENTOS_COMPLEMENTOS!$G$4:$G$803,E1836,MOVIMIENTOS_COMPLEMENTOS!$H$4:$H$803,G1836,MOVIMIENTOS_COMPLEMENTOS!$B$4:$B$803,"DE CORTE")-SUMIFS(MOVIMIENTOS_COMPLEMENTOS!$I$4:$I$803,MOVIMIENTOS_COMPLEMENTOS!$C$4:$C$803,A1836,MOVIMIENTOS_COMPLEMENTOS!$D$4:$D$803,B1836,MOVIMIENTOS_COMPLEMENTOS!$E$4:$E$803,C1836,MOVIMIENTOS_COMPLEMENTOS!$G$4:$G$803,E1836,MOVIMIENTOS_COMPLEMENTOS!$H$4:$H$803,G1836,MOVIMIENTOS_COMPLEMENTOS!$B$4:$B$803,"SALIDA"),0)</f>
        <v>0</v>
      </c>
      <c r="I1836" s="102">
        <f t="array" ref="I1836">IFERROR(INDEX(PRECIOS_COMPLEMENTOS!$C$4:$F$17,MATCH(B1836&amp;"_"&amp;C1836,PRECIOS_COMPLEMENTOS!$H$4:$H$17,0),IF(OR(G1836="S",G1836="20cm"),1,IF(OR(G1836="M",G1836="25cm"),2,IF(OR(G1836="L",G1836="30cm"),3,IF(OR(G1836="XL",G1836="35cm"),4,0))))),0)</f>
        <v>0.3</v>
      </c>
      <c r="J1836" s="103">
        <f t="shared" si="1"/>
        <v>0</v>
      </c>
      <c r="K1836" s="104" t="str">
        <f>IF(H1836&lt;0,"ERROR",IF(H1836=0,"",IF(H1836&lt;CONFIG!$B$4,"CRÍTICO",IF(H1836&lt;CONFIG!$B$5,"BAJO","OK"))))</f>
        <v/>
      </c>
    </row>
    <row r="1837" ht="15.75" hidden="1" customHeight="1">
      <c r="A1837" s="90" t="str">
        <f>IF(CLIENTES!A8="","",CLIENTES!A8)</f>
        <v/>
      </c>
      <c r="B1837" s="90" t="s">
        <v>324</v>
      </c>
      <c r="C1837" s="91" t="s">
        <v>328</v>
      </c>
      <c r="D1837" s="109" t="s">
        <v>353</v>
      </c>
      <c r="E1837" s="67" t="str">
        <f>COLORES!A22</f>
        <v/>
      </c>
      <c r="F1837" s="67" t="str">
        <f>COLORES!B22</f>
        <v/>
      </c>
      <c r="G1837" s="90" t="s">
        <v>376</v>
      </c>
      <c r="H1837" s="100">
        <f>IFERROR(SUMIFS(MOVIMIENTOS_COMPLEMENTOS!$I$4:$I$803,MOVIMIENTOS_COMPLEMENTOS!$C$4:$C$803,A1837,MOVIMIENTOS_COMPLEMENTOS!$D$4:$D$803,B1837,MOVIMIENTOS_COMPLEMENTOS!$E$4:$E$803,C1837,MOVIMIENTOS_COMPLEMENTOS!$G$4:$G$803,E1837,MOVIMIENTOS_COMPLEMENTOS!$H$4:$H$803,G1837,MOVIMIENTOS_COMPLEMENTOS!$B$4:$B$803,"INGRESO")+SUMIFS(MOVIMIENTOS_COMPLEMENTOS!$I$4:$I$803,MOVIMIENTOS_COMPLEMENTOS!$C$4:$C$803,A1837,MOVIMIENTOS_COMPLEMENTOS!$D$4:$D$803,B1837,MOVIMIENTOS_COMPLEMENTOS!$E$4:$E$803,C1837,MOVIMIENTOS_COMPLEMENTOS!$G$4:$G$803,E1837,MOVIMIENTOS_COMPLEMENTOS!$H$4:$H$803,G1837,MOVIMIENTOS_COMPLEMENTOS!$B$4:$B$803,"DE CORTE")-SUMIFS(MOVIMIENTOS_COMPLEMENTOS!$I$4:$I$803,MOVIMIENTOS_COMPLEMENTOS!$C$4:$C$803,A1837,MOVIMIENTOS_COMPLEMENTOS!$D$4:$D$803,B1837,MOVIMIENTOS_COMPLEMENTOS!$E$4:$E$803,C1837,MOVIMIENTOS_COMPLEMENTOS!$G$4:$G$803,E1837,MOVIMIENTOS_COMPLEMENTOS!$H$4:$H$803,G1837,MOVIMIENTOS_COMPLEMENTOS!$B$4:$B$803,"SALIDA"),0)</f>
        <v>0</v>
      </c>
      <c r="I1837" s="102">
        <f t="array" ref="I1837">IFERROR(INDEX(PRECIOS_COMPLEMENTOS!$C$4:$F$17,MATCH(B1837&amp;"_"&amp;C1837,PRECIOS_COMPLEMENTOS!$H$4:$H$17,0),IF(OR(G1837="S",G1837="20cm"),1,IF(OR(G1837="M",G1837="25cm"),2,IF(OR(G1837="L",G1837="30cm"),3,IF(OR(G1837="XL",G1837="35cm"),4,0))))),0)</f>
        <v>0.3</v>
      </c>
      <c r="J1837" s="103">
        <f t="shared" si="1"/>
        <v>0</v>
      </c>
      <c r="K1837" s="104" t="str">
        <f>IF(H1837&lt;0,"ERROR",IF(H1837=0,"",IF(H1837&lt;CONFIG!$B$4,"CRÍTICO",IF(H1837&lt;CONFIG!$B$5,"BAJO","OK"))))</f>
        <v/>
      </c>
    </row>
    <row r="1838" ht="15.75" hidden="1" customHeight="1">
      <c r="A1838" s="90" t="str">
        <f>IF(CLIENTES!A8="","",CLIENTES!A8)</f>
        <v/>
      </c>
      <c r="B1838" s="90" t="s">
        <v>324</v>
      </c>
      <c r="C1838" s="91" t="s">
        <v>328</v>
      </c>
      <c r="D1838" s="109" t="s">
        <v>353</v>
      </c>
      <c r="E1838" s="67" t="str">
        <f>COLORES!A22</f>
        <v/>
      </c>
      <c r="F1838" s="67" t="str">
        <f>COLORES!B22</f>
        <v/>
      </c>
      <c r="G1838" s="90" t="s">
        <v>377</v>
      </c>
      <c r="H1838" s="100">
        <f>IFERROR(SUMIFS(MOVIMIENTOS_COMPLEMENTOS!$I$4:$I$803,MOVIMIENTOS_COMPLEMENTOS!$C$4:$C$803,A1838,MOVIMIENTOS_COMPLEMENTOS!$D$4:$D$803,B1838,MOVIMIENTOS_COMPLEMENTOS!$E$4:$E$803,C1838,MOVIMIENTOS_COMPLEMENTOS!$G$4:$G$803,E1838,MOVIMIENTOS_COMPLEMENTOS!$H$4:$H$803,G1838,MOVIMIENTOS_COMPLEMENTOS!$B$4:$B$803,"INGRESO")+SUMIFS(MOVIMIENTOS_COMPLEMENTOS!$I$4:$I$803,MOVIMIENTOS_COMPLEMENTOS!$C$4:$C$803,A1838,MOVIMIENTOS_COMPLEMENTOS!$D$4:$D$803,B1838,MOVIMIENTOS_COMPLEMENTOS!$E$4:$E$803,C1838,MOVIMIENTOS_COMPLEMENTOS!$G$4:$G$803,E1838,MOVIMIENTOS_COMPLEMENTOS!$H$4:$H$803,G1838,MOVIMIENTOS_COMPLEMENTOS!$B$4:$B$803,"DE CORTE")-SUMIFS(MOVIMIENTOS_COMPLEMENTOS!$I$4:$I$803,MOVIMIENTOS_COMPLEMENTOS!$C$4:$C$803,A1838,MOVIMIENTOS_COMPLEMENTOS!$D$4:$D$803,B1838,MOVIMIENTOS_COMPLEMENTOS!$E$4:$E$803,C1838,MOVIMIENTOS_COMPLEMENTOS!$G$4:$G$803,E1838,MOVIMIENTOS_COMPLEMENTOS!$H$4:$H$803,G1838,MOVIMIENTOS_COMPLEMENTOS!$B$4:$B$803,"SALIDA"),0)</f>
        <v>0</v>
      </c>
      <c r="I1838" s="102">
        <f t="array" ref="I1838">IFERROR(INDEX(PRECIOS_COMPLEMENTOS!$C$4:$F$17,MATCH(B1838&amp;"_"&amp;C1838,PRECIOS_COMPLEMENTOS!$H$4:$H$17,0),IF(OR(G1838="S",G1838="20cm"),1,IF(OR(G1838="M",G1838="25cm"),2,IF(OR(G1838="L",G1838="30cm"),3,IF(OR(G1838="XL",G1838="35cm"),4,0))))),0)</f>
        <v>0.3</v>
      </c>
      <c r="J1838" s="103">
        <f t="shared" si="1"/>
        <v>0</v>
      </c>
      <c r="K1838" s="104" t="str">
        <f>IF(H1838&lt;0,"ERROR",IF(H1838=0,"",IF(H1838&lt;CONFIG!$B$4,"CRÍTICO",IF(H1838&lt;CONFIG!$B$5,"BAJO","OK"))))</f>
        <v/>
      </c>
    </row>
    <row r="1839" ht="15.75" hidden="1" customHeight="1">
      <c r="A1839" s="90" t="str">
        <f>IF(CLIENTES!A8="","",CLIENTES!A8)</f>
        <v/>
      </c>
      <c r="B1839" s="90" t="s">
        <v>324</v>
      </c>
      <c r="C1839" s="91" t="s">
        <v>328</v>
      </c>
      <c r="D1839" s="109" t="s">
        <v>353</v>
      </c>
      <c r="E1839" s="67" t="str">
        <f>COLORES!A22</f>
        <v/>
      </c>
      <c r="F1839" s="67" t="str">
        <f>COLORES!B22</f>
        <v/>
      </c>
      <c r="G1839" s="90" t="s">
        <v>379</v>
      </c>
      <c r="H1839" s="100">
        <f>IFERROR(SUMIFS(MOVIMIENTOS_COMPLEMENTOS!$I$4:$I$803,MOVIMIENTOS_COMPLEMENTOS!$C$4:$C$803,A1839,MOVIMIENTOS_COMPLEMENTOS!$D$4:$D$803,B1839,MOVIMIENTOS_COMPLEMENTOS!$E$4:$E$803,C1839,MOVIMIENTOS_COMPLEMENTOS!$G$4:$G$803,E1839,MOVIMIENTOS_COMPLEMENTOS!$H$4:$H$803,G1839,MOVIMIENTOS_COMPLEMENTOS!$B$4:$B$803,"INGRESO")+SUMIFS(MOVIMIENTOS_COMPLEMENTOS!$I$4:$I$803,MOVIMIENTOS_COMPLEMENTOS!$C$4:$C$803,A1839,MOVIMIENTOS_COMPLEMENTOS!$D$4:$D$803,B1839,MOVIMIENTOS_COMPLEMENTOS!$E$4:$E$803,C1839,MOVIMIENTOS_COMPLEMENTOS!$G$4:$G$803,E1839,MOVIMIENTOS_COMPLEMENTOS!$H$4:$H$803,G1839,MOVIMIENTOS_COMPLEMENTOS!$B$4:$B$803,"DE CORTE")-SUMIFS(MOVIMIENTOS_COMPLEMENTOS!$I$4:$I$803,MOVIMIENTOS_COMPLEMENTOS!$C$4:$C$803,A1839,MOVIMIENTOS_COMPLEMENTOS!$D$4:$D$803,B1839,MOVIMIENTOS_COMPLEMENTOS!$E$4:$E$803,C1839,MOVIMIENTOS_COMPLEMENTOS!$G$4:$G$803,E1839,MOVIMIENTOS_COMPLEMENTOS!$H$4:$H$803,G1839,MOVIMIENTOS_COMPLEMENTOS!$B$4:$B$803,"SALIDA"),0)</f>
        <v>0</v>
      </c>
      <c r="I1839" s="102">
        <f t="array" ref="I1839">IFERROR(INDEX(PRECIOS_COMPLEMENTOS!$C$4:$F$17,MATCH(B1839&amp;"_"&amp;C1839,PRECIOS_COMPLEMENTOS!$H$4:$H$17,0),IF(OR(G1839="S",G1839="20cm"),1,IF(OR(G1839="M",G1839="25cm"),2,IF(OR(G1839="L",G1839="30cm"),3,IF(OR(G1839="XL",G1839="35cm"),4,0))))),0)</f>
        <v>0.3</v>
      </c>
      <c r="J1839" s="103">
        <f t="shared" si="1"/>
        <v>0</v>
      </c>
      <c r="K1839" s="104" t="str">
        <f>IF(H1839&lt;0,"ERROR",IF(H1839=0,"",IF(H1839&lt;CONFIG!$B$4,"CRÍTICO",IF(H1839&lt;CONFIG!$B$5,"BAJO","OK"))))</f>
        <v/>
      </c>
    </row>
    <row r="1840" ht="15.75" hidden="1" customHeight="1">
      <c r="A1840" s="90" t="str">
        <f>IF(CLIENTES!A8="","",CLIENTES!A8)</f>
        <v/>
      </c>
      <c r="B1840" s="90" t="s">
        <v>324</v>
      </c>
      <c r="C1840" s="91" t="s">
        <v>328</v>
      </c>
      <c r="D1840" s="109" t="s">
        <v>353</v>
      </c>
      <c r="E1840" s="67" t="str">
        <f>COLORES!A23</f>
        <v/>
      </c>
      <c r="F1840" s="67" t="str">
        <f>COLORES!B23</f>
        <v/>
      </c>
      <c r="G1840" s="90" t="s">
        <v>378</v>
      </c>
      <c r="H1840" s="100">
        <f>IFERROR(SUMIFS(MOVIMIENTOS_COMPLEMENTOS!$I$4:$I$803,MOVIMIENTOS_COMPLEMENTOS!$C$4:$C$803,A1840,MOVIMIENTOS_COMPLEMENTOS!$D$4:$D$803,B1840,MOVIMIENTOS_COMPLEMENTOS!$E$4:$E$803,C1840,MOVIMIENTOS_COMPLEMENTOS!$G$4:$G$803,E1840,MOVIMIENTOS_COMPLEMENTOS!$H$4:$H$803,G1840,MOVIMIENTOS_COMPLEMENTOS!$B$4:$B$803,"INGRESO")+SUMIFS(MOVIMIENTOS_COMPLEMENTOS!$I$4:$I$803,MOVIMIENTOS_COMPLEMENTOS!$C$4:$C$803,A1840,MOVIMIENTOS_COMPLEMENTOS!$D$4:$D$803,B1840,MOVIMIENTOS_COMPLEMENTOS!$E$4:$E$803,C1840,MOVIMIENTOS_COMPLEMENTOS!$G$4:$G$803,E1840,MOVIMIENTOS_COMPLEMENTOS!$H$4:$H$803,G1840,MOVIMIENTOS_COMPLEMENTOS!$B$4:$B$803,"DE CORTE")-SUMIFS(MOVIMIENTOS_COMPLEMENTOS!$I$4:$I$803,MOVIMIENTOS_COMPLEMENTOS!$C$4:$C$803,A1840,MOVIMIENTOS_COMPLEMENTOS!$D$4:$D$803,B1840,MOVIMIENTOS_COMPLEMENTOS!$E$4:$E$803,C1840,MOVIMIENTOS_COMPLEMENTOS!$G$4:$G$803,E1840,MOVIMIENTOS_COMPLEMENTOS!$H$4:$H$803,G1840,MOVIMIENTOS_COMPLEMENTOS!$B$4:$B$803,"SALIDA"),0)</f>
        <v>0</v>
      </c>
      <c r="I1840" s="102">
        <f t="array" ref="I1840">IFERROR(INDEX(PRECIOS_COMPLEMENTOS!$C$4:$F$17,MATCH(B1840&amp;"_"&amp;C1840,PRECIOS_COMPLEMENTOS!$H$4:$H$17,0),IF(OR(G1840="S",G1840="20cm"),1,IF(OR(G1840="M",G1840="25cm"),2,IF(OR(G1840="L",G1840="30cm"),3,IF(OR(G1840="XL",G1840="35cm"),4,0))))),0)</f>
        <v>0.3</v>
      </c>
      <c r="J1840" s="103">
        <f t="shared" si="1"/>
        <v>0</v>
      </c>
      <c r="K1840" s="104" t="str">
        <f>IF(H1840&lt;0,"ERROR",IF(H1840=0,"",IF(H1840&lt;CONFIG!$B$4,"CRÍTICO",IF(H1840&lt;CONFIG!$B$5,"BAJO","OK"))))</f>
        <v/>
      </c>
    </row>
    <row r="1841" ht="15.75" hidden="1" customHeight="1">
      <c r="A1841" s="90" t="str">
        <f>IF(CLIENTES!A8="","",CLIENTES!A8)</f>
        <v/>
      </c>
      <c r="B1841" s="90" t="s">
        <v>324</v>
      </c>
      <c r="C1841" s="91" t="s">
        <v>328</v>
      </c>
      <c r="D1841" s="109" t="s">
        <v>353</v>
      </c>
      <c r="E1841" s="67" t="str">
        <f>COLORES!A23</f>
        <v/>
      </c>
      <c r="F1841" s="67" t="str">
        <f>COLORES!B23</f>
        <v/>
      </c>
      <c r="G1841" s="90" t="s">
        <v>376</v>
      </c>
      <c r="H1841" s="100">
        <f>IFERROR(SUMIFS(MOVIMIENTOS_COMPLEMENTOS!$I$4:$I$803,MOVIMIENTOS_COMPLEMENTOS!$C$4:$C$803,A1841,MOVIMIENTOS_COMPLEMENTOS!$D$4:$D$803,B1841,MOVIMIENTOS_COMPLEMENTOS!$E$4:$E$803,C1841,MOVIMIENTOS_COMPLEMENTOS!$G$4:$G$803,E1841,MOVIMIENTOS_COMPLEMENTOS!$H$4:$H$803,G1841,MOVIMIENTOS_COMPLEMENTOS!$B$4:$B$803,"INGRESO")+SUMIFS(MOVIMIENTOS_COMPLEMENTOS!$I$4:$I$803,MOVIMIENTOS_COMPLEMENTOS!$C$4:$C$803,A1841,MOVIMIENTOS_COMPLEMENTOS!$D$4:$D$803,B1841,MOVIMIENTOS_COMPLEMENTOS!$E$4:$E$803,C1841,MOVIMIENTOS_COMPLEMENTOS!$G$4:$G$803,E1841,MOVIMIENTOS_COMPLEMENTOS!$H$4:$H$803,G1841,MOVIMIENTOS_COMPLEMENTOS!$B$4:$B$803,"DE CORTE")-SUMIFS(MOVIMIENTOS_COMPLEMENTOS!$I$4:$I$803,MOVIMIENTOS_COMPLEMENTOS!$C$4:$C$803,A1841,MOVIMIENTOS_COMPLEMENTOS!$D$4:$D$803,B1841,MOVIMIENTOS_COMPLEMENTOS!$E$4:$E$803,C1841,MOVIMIENTOS_COMPLEMENTOS!$G$4:$G$803,E1841,MOVIMIENTOS_COMPLEMENTOS!$H$4:$H$803,G1841,MOVIMIENTOS_COMPLEMENTOS!$B$4:$B$803,"SALIDA"),0)</f>
        <v>0</v>
      </c>
      <c r="I1841" s="102">
        <f t="array" ref="I1841">IFERROR(INDEX(PRECIOS_COMPLEMENTOS!$C$4:$F$17,MATCH(B1841&amp;"_"&amp;C1841,PRECIOS_COMPLEMENTOS!$H$4:$H$17,0),IF(OR(G1841="S",G1841="20cm"),1,IF(OR(G1841="M",G1841="25cm"),2,IF(OR(G1841="L",G1841="30cm"),3,IF(OR(G1841="XL",G1841="35cm"),4,0))))),0)</f>
        <v>0.3</v>
      </c>
      <c r="J1841" s="103">
        <f t="shared" si="1"/>
        <v>0</v>
      </c>
      <c r="K1841" s="104" t="str">
        <f>IF(H1841&lt;0,"ERROR",IF(H1841=0,"",IF(H1841&lt;CONFIG!$B$4,"CRÍTICO",IF(H1841&lt;CONFIG!$B$5,"BAJO","OK"))))</f>
        <v/>
      </c>
    </row>
    <row r="1842" ht="15.75" hidden="1" customHeight="1">
      <c r="A1842" s="90" t="str">
        <f>IF(CLIENTES!A8="","",CLIENTES!A8)</f>
        <v/>
      </c>
      <c r="B1842" s="90" t="s">
        <v>324</v>
      </c>
      <c r="C1842" s="91" t="s">
        <v>328</v>
      </c>
      <c r="D1842" s="109" t="s">
        <v>353</v>
      </c>
      <c r="E1842" s="67" t="str">
        <f>COLORES!A23</f>
        <v/>
      </c>
      <c r="F1842" s="67" t="str">
        <f>COLORES!B23</f>
        <v/>
      </c>
      <c r="G1842" s="90" t="s">
        <v>377</v>
      </c>
      <c r="H1842" s="100">
        <f>IFERROR(SUMIFS(MOVIMIENTOS_COMPLEMENTOS!$I$4:$I$803,MOVIMIENTOS_COMPLEMENTOS!$C$4:$C$803,A1842,MOVIMIENTOS_COMPLEMENTOS!$D$4:$D$803,B1842,MOVIMIENTOS_COMPLEMENTOS!$E$4:$E$803,C1842,MOVIMIENTOS_COMPLEMENTOS!$G$4:$G$803,E1842,MOVIMIENTOS_COMPLEMENTOS!$H$4:$H$803,G1842,MOVIMIENTOS_COMPLEMENTOS!$B$4:$B$803,"INGRESO")+SUMIFS(MOVIMIENTOS_COMPLEMENTOS!$I$4:$I$803,MOVIMIENTOS_COMPLEMENTOS!$C$4:$C$803,A1842,MOVIMIENTOS_COMPLEMENTOS!$D$4:$D$803,B1842,MOVIMIENTOS_COMPLEMENTOS!$E$4:$E$803,C1842,MOVIMIENTOS_COMPLEMENTOS!$G$4:$G$803,E1842,MOVIMIENTOS_COMPLEMENTOS!$H$4:$H$803,G1842,MOVIMIENTOS_COMPLEMENTOS!$B$4:$B$803,"DE CORTE")-SUMIFS(MOVIMIENTOS_COMPLEMENTOS!$I$4:$I$803,MOVIMIENTOS_COMPLEMENTOS!$C$4:$C$803,A1842,MOVIMIENTOS_COMPLEMENTOS!$D$4:$D$803,B1842,MOVIMIENTOS_COMPLEMENTOS!$E$4:$E$803,C1842,MOVIMIENTOS_COMPLEMENTOS!$G$4:$G$803,E1842,MOVIMIENTOS_COMPLEMENTOS!$H$4:$H$803,G1842,MOVIMIENTOS_COMPLEMENTOS!$B$4:$B$803,"SALIDA"),0)</f>
        <v>0</v>
      </c>
      <c r="I1842" s="102">
        <f t="array" ref="I1842">IFERROR(INDEX(PRECIOS_COMPLEMENTOS!$C$4:$F$17,MATCH(B1842&amp;"_"&amp;C1842,PRECIOS_COMPLEMENTOS!$H$4:$H$17,0),IF(OR(G1842="S",G1842="20cm"),1,IF(OR(G1842="M",G1842="25cm"),2,IF(OR(G1842="L",G1842="30cm"),3,IF(OR(G1842="XL",G1842="35cm"),4,0))))),0)</f>
        <v>0.3</v>
      </c>
      <c r="J1842" s="103">
        <f t="shared" si="1"/>
        <v>0</v>
      </c>
      <c r="K1842" s="104" t="str">
        <f>IF(H1842&lt;0,"ERROR",IF(H1842=0,"",IF(H1842&lt;CONFIG!$B$4,"CRÍTICO",IF(H1842&lt;CONFIG!$B$5,"BAJO","OK"))))</f>
        <v/>
      </c>
    </row>
    <row r="1843" ht="15.75" hidden="1" customHeight="1">
      <c r="A1843" s="90" t="str">
        <f>IF(CLIENTES!A8="","",CLIENTES!A8)</f>
        <v/>
      </c>
      <c r="B1843" s="90" t="s">
        <v>324</v>
      </c>
      <c r="C1843" s="91" t="s">
        <v>328</v>
      </c>
      <c r="D1843" s="109" t="s">
        <v>353</v>
      </c>
      <c r="E1843" s="67" t="str">
        <f>COLORES!A23</f>
        <v/>
      </c>
      <c r="F1843" s="67" t="str">
        <f>COLORES!B23</f>
        <v/>
      </c>
      <c r="G1843" s="90" t="s">
        <v>379</v>
      </c>
      <c r="H1843" s="100">
        <f>IFERROR(SUMIFS(MOVIMIENTOS_COMPLEMENTOS!$I$4:$I$803,MOVIMIENTOS_COMPLEMENTOS!$C$4:$C$803,A1843,MOVIMIENTOS_COMPLEMENTOS!$D$4:$D$803,B1843,MOVIMIENTOS_COMPLEMENTOS!$E$4:$E$803,C1843,MOVIMIENTOS_COMPLEMENTOS!$G$4:$G$803,E1843,MOVIMIENTOS_COMPLEMENTOS!$H$4:$H$803,G1843,MOVIMIENTOS_COMPLEMENTOS!$B$4:$B$803,"INGRESO")+SUMIFS(MOVIMIENTOS_COMPLEMENTOS!$I$4:$I$803,MOVIMIENTOS_COMPLEMENTOS!$C$4:$C$803,A1843,MOVIMIENTOS_COMPLEMENTOS!$D$4:$D$803,B1843,MOVIMIENTOS_COMPLEMENTOS!$E$4:$E$803,C1843,MOVIMIENTOS_COMPLEMENTOS!$G$4:$G$803,E1843,MOVIMIENTOS_COMPLEMENTOS!$H$4:$H$803,G1843,MOVIMIENTOS_COMPLEMENTOS!$B$4:$B$803,"DE CORTE")-SUMIFS(MOVIMIENTOS_COMPLEMENTOS!$I$4:$I$803,MOVIMIENTOS_COMPLEMENTOS!$C$4:$C$803,A1843,MOVIMIENTOS_COMPLEMENTOS!$D$4:$D$803,B1843,MOVIMIENTOS_COMPLEMENTOS!$E$4:$E$803,C1843,MOVIMIENTOS_COMPLEMENTOS!$G$4:$G$803,E1843,MOVIMIENTOS_COMPLEMENTOS!$H$4:$H$803,G1843,MOVIMIENTOS_COMPLEMENTOS!$B$4:$B$803,"SALIDA"),0)</f>
        <v>0</v>
      </c>
      <c r="I1843" s="102">
        <f t="array" ref="I1843">IFERROR(INDEX(PRECIOS_COMPLEMENTOS!$C$4:$F$17,MATCH(B1843&amp;"_"&amp;C1843,PRECIOS_COMPLEMENTOS!$H$4:$H$17,0),IF(OR(G1843="S",G1843="20cm"),1,IF(OR(G1843="M",G1843="25cm"),2,IF(OR(G1843="L",G1843="30cm"),3,IF(OR(G1843="XL",G1843="35cm"),4,0))))),0)</f>
        <v>0.3</v>
      </c>
      <c r="J1843" s="103">
        <f t="shared" si="1"/>
        <v>0</v>
      </c>
      <c r="K1843" s="104" t="str">
        <f>IF(H1843&lt;0,"ERROR",IF(H1843=0,"",IF(H1843&lt;CONFIG!$B$4,"CRÍTICO",IF(H1843&lt;CONFIG!$B$5,"BAJO","OK"))))</f>
        <v/>
      </c>
    </row>
    <row r="1844" ht="15.75" hidden="1" customHeight="1">
      <c r="A1844" s="90" t="str">
        <f>IF(CLIENTES!A9="","",CLIENTES!A9)</f>
        <v/>
      </c>
      <c r="B1844" s="90" t="s">
        <v>324</v>
      </c>
      <c r="C1844" s="91" t="s">
        <v>328</v>
      </c>
      <c r="D1844" s="109" t="s">
        <v>353</v>
      </c>
      <c r="E1844" s="67" t="str">
        <f>COLORES!A4</f>
        <v>Negro</v>
      </c>
      <c r="F1844" s="67" t="str">
        <f>COLORES!B4</f>
        <v>OSCURO</v>
      </c>
      <c r="G1844" s="90" t="s">
        <v>378</v>
      </c>
      <c r="H1844" s="100">
        <f>IFERROR(SUMIFS(MOVIMIENTOS_COMPLEMENTOS!$I$4:$I$803,MOVIMIENTOS_COMPLEMENTOS!$C$4:$C$803,A1844,MOVIMIENTOS_COMPLEMENTOS!$D$4:$D$803,B1844,MOVIMIENTOS_COMPLEMENTOS!$E$4:$E$803,C1844,MOVIMIENTOS_COMPLEMENTOS!$G$4:$G$803,E1844,MOVIMIENTOS_COMPLEMENTOS!$H$4:$H$803,G1844,MOVIMIENTOS_COMPLEMENTOS!$B$4:$B$803,"INGRESO")+SUMIFS(MOVIMIENTOS_COMPLEMENTOS!$I$4:$I$803,MOVIMIENTOS_COMPLEMENTOS!$C$4:$C$803,A1844,MOVIMIENTOS_COMPLEMENTOS!$D$4:$D$803,B1844,MOVIMIENTOS_COMPLEMENTOS!$E$4:$E$803,C1844,MOVIMIENTOS_COMPLEMENTOS!$G$4:$G$803,E1844,MOVIMIENTOS_COMPLEMENTOS!$H$4:$H$803,G1844,MOVIMIENTOS_COMPLEMENTOS!$B$4:$B$803,"DE CORTE")-SUMIFS(MOVIMIENTOS_COMPLEMENTOS!$I$4:$I$803,MOVIMIENTOS_COMPLEMENTOS!$C$4:$C$803,A1844,MOVIMIENTOS_COMPLEMENTOS!$D$4:$D$803,B1844,MOVIMIENTOS_COMPLEMENTOS!$E$4:$E$803,C1844,MOVIMIENTOS_COMPLEMENTOS!$G$4:$G$803,E1844,MOVIMIENTOS_COMPLEMENTOS!$H$4:$H$803,G1844,MOVIMIENTOS_COMPLEMENTOS!$B$4:$B$803,"SALIDA"),0)</f>
        <v>0</v>
      </c>
      <c r="I1844" s="102">
        <f t="array" ref="I1844">IFERROR(INDEX(PRECIOS_COMPLEMENTOS!$C$4:$F$17,MATCH(B1844&amp;"_"&amp;C1844,PRECIOS_COMPLEMENTOS!$H$4:$H$17,0),IF(OR(G1844="S",G1844="20cm"),1,IF(OR(G1844="M",G1844="25cm"),2,IF(OR(G1844="L",G1844="30cm"),3,IF(OR(G1844="XL",G1844="35cm"),4,0))))),0)</f>
        <v>0.3</v>
      </c>
      <c r="J1844" s="103">
        <f t="shared" si="1"/>
        <v>0</v>
      </c>
      <c r="K1844" s="104" t="str">
        <f>IF(H1844&lt;0,"ERROR",IF(H1844=0,"",IF(H1844&lt;CONFIG!$B$4,"CRÍTICO",IF(H1844&lt;CONFIG!$B$5,"BAJO","OK"))))</f>
        <v/>
      </c>
    </row>
    <row r="1845" ht="15.75" hidden="1" customHeight="1">
      <c r="A1845" s="90" t="str">
        <f>IF(CLIENTES!A9="","",CLIENTES!A9)</f>
        <v/>
      </c>
      <c r="B1845" s="90" t="s">
        <v>324</v>
      </c>
      <c r="C1845" s="91" t="s">
        <v>328</v>
      </c>
      <c r="D1845" s="109" t="s">
        <v>353</v>
      </c>
      <c r="E1845" s="67" t="str">
        <f>COLORES!A4</f>
        <v>Negro</v>
      </c>
      <c r="F1845" s="67" t="str">
        <f>COLORES!B4</f>
        <v>OSCURO</v>
      </c>
      <c r="G1845" s="90" t="s">
        <v>376</v>
      </c>
      <c r="H1845" s="100">
        <f>IFERROR(SUMIFS(MOVIMIENTOS_COMPLEMENTOS!$I$4:$I$803,MOVIMIENTOS_COMPLEMENTOS!$C$4:$C$803,A1845,MOVIMIENTOS_COMPLEMENTOS!$D$4:$D$803,B1845,MOVIMIENTOS_COMPLEMENTOS!$E$4:$E$803,C1845,MOVIMIENTOS_COMPLEMENTOS!$G$4:$G$803,E1845,MOVIMIENTOS_COMPLEMENTOS!$H$4:$H$803,G1845,MOVIMIENTOS_COMPLEMENTOS!$B$4:$B$803,"INGRESO")+SUMIFS(MOVIMIENTOS_COMPLEMENTOS!$I$4:$I$803,MOVIMIENTOS_COMPLEMENTOS!$C$4:$C$803,A1845,MOVIMIENTOS_COMPLEMENTOS!$D$4:$D$803,B1845,MOVIMIENTOS_COMPLEMENTOS!$E$4:$E$803,C1845,MOVIMIENTOS_COMPLEMENTOS!$G$4:$G$803,E1845,MOVIMIENTOS_COMPLEMENTOS!$H$4:$H$803,G1845,MOVIMIENTOS_COMPLEMENTOS!$B$4:$B$803,"DE CORTE")-SUMIFS(MOVIMIENTOS_COMPLEMENTOS!$I$4:$I$803,MOVIMIENTOS_COMPLEMENTOS!$C$4:$C$803,A1845,MOVIMIENTOS_COMPLEMENTOS!$D$4:$D$803,B1845,MOVIMIENTOS_COMPLEMENTOS!$E$4:$E$803,C1845,MOVIMIENTOS_COMPLEMENTOS!$G$4:$G$803,E1845,MOVIMIENTOS_COMPLEMENTOS!$H$4:$H$803,G1845,MOVIMIENTOS_COMPLEMENTOS!$B$4:$B$803,"SALIDA"),0)</f>
        <v>0</v>
      </c>
      <c r="I1845" s="102">
        <f t="array" ref="I1845">IFERROR(INDEX(PRECIOS_COMPLEMENTOS!$C$4:$F$17,MATCH(B1845&amp;"_"&amp;C1845,PRECIOS_COMPLEMENTOS!$H$4:$H$17,0),IF(OR(G1845="S",G1845="20cm"),1,IF(OR(G1845="M",G1845="25cm"),2,IF(OR(G1845="L",G1845="30cm"),3,IF(OR(G1845="XL",G1845="35cm"),4,0))))),0)</f>
        <v>0.3</v>
      </c>
      <c r="J1845" s="103">
        <f t="shared" si="1"/>
        <v>0</v>
      </c>
      <c r="K1845" s="104" t="str">
        <f>IF(H1845&lt;0,"ERROR",IF(H1845=0,"",IF(H1845&lt;CONFIG!$B$4,"CRÍTICO",IF(H1845&lt;CONFIG!$B$5,"BAJO","OK"))))</f>
        <v/>
      </c>
    </row>
    <row r="1846" ht="15.75" hidden="1" customHeight="1">
      <c r="A1846" s="90" t="str">
        <f>IF(CLIENTES!A9="","",CLIENTES!A9)</f>
        <v/>
      </c>
      <c r="B1846" s="90" t="s">
        <v>324</v>
      </c>
      <c r="C1846" s="91" t="s">
        <v>328</v>
      </c>
      <c r="D1846" s="109" t="s">
        <v>353</v>
      </c>
      <c r="E1846" s="67" t="str">
        <f>COLORES!A4</f>
        <v>Negro</v>
      </c>
      <c r="F1846" s="67" t="str">
        <f>COLORES!B4</f>
        <v>OSCURO</v>
      </c>
      <c r="G1846" s="90" t="s">
        <v>377</v>
      </c>
      <c r="H1846" s="100">
        <f>IFERROR(SUMIFS(MOVIMIENTOS_COMPLEMENTOS!$I$4:$I$803,MOVIMIENTOS_COMPLEMENTOS!$C$4:$C$803,A1846,MOVIMIENTOS_COMPLEMENTOS!$D$4:$D$803,B1846,MOVIMIENTOS_COMPLEMENTOS!$E$4:$E$803,C1846,MOVIMIENTOS_COMPLEMENTOS!$G$4:$G$803,E1846,MOVIMIENTOS_COMPLEMENTOS!$H$4:$H$803,G1846,MOVIMIENTOS_COMPLEMENTOS!$B$4:$B$803,"INGRESO")+SUMIFS(MOVIMIENTOS_COMPLEMENTOS!$I$4:$I$803,MOVIMIENTOS_COMPLEMENTOS!$C$4:$C$803,A1846,MOVIMIENTOS_COMPLEMENTOS!$D$4:$D$803,B1846,MOVIMIENTOS_COMPLEMENTOS!$E$4:$E$803,C1846,MOVIMIENTOS_COMPLEMENTOS!$G$4:$G$803,E1846,MOVIMIENTOS_COMPLEMENTOS!$H$4:$H$803,G1846,MOVIMIENTOS_COMPLEMENTOS!$B$4:$B$803,"DE CORTE")-SUMIFS(MOVIMIENTOS_COMPLEMENTOS!$I$4:$I$803,MOVIMIENTOS_COMPLEMENTOS!$C$4:$C$803,A1846,MOVIMIENTOS_COMPLEMENTOS!$D$4:$D$803,B1846,MOVIMIENTOS_COMPLEMENTOS!$E$4:$E$803,C1846,MOVIMIENTOS_COMPLEMENTOS!$G$4:$G$803,E1846,MOVIMIENTOS_COMPLEMENTOS!$H$4:$H$803,G1846,MOVIMIENTOS_COMPLEMENTOS!$B$4:$B$803,"SALIDA"),0)</f>
        <v>0</v>
      </c>
      <c r="I1846" s="102">
        <f t="array" ref="I1846">IFERROR(INDEX(PRECIOS_COMPLEMENTOS!$C$4:$F$17,MATCH(B1846&amp;"_"&amp;C1846,PRECIOS_COMPLEMENTOS!$H$4:$H$17,0),IF(OR(G1846="S",G1846="20cm"),1,IF(OR(G1846="M",G1846="25cm"),2,IF(OR(G1846="L",G1846="30cm"),3,IF(OR(G1846="XL",G1846="35cm"),4,0))))),0)</f>
        <v>0.3</v>
      </c>
      <c r="J1846" s="103">
        <f t="shared" si="1"/>
        <v>0</v>
      </c>
      <c r="K1846" s="104" t="str">
        <f>IF(H1846&lt;0,"ERROR",IF(H1846=0,"",IF(H1846&lt;CONFIG!$B$4,"CRÍTICO",IF(H1846&lt;CONFIG!$B$5,"BAJO","OK"))))</f>
        <v/>
      </c>
    </row>
    <row r="1847" ht="15.75" hidden="1" customHeight="1">
      <c r="A1847" s="90" t="str">
        <f>IF(CLIENTES!A9="","",CLIENTES!A9)</f>
        <v/>
      </c>
      <c r="B1847" s="90" t="s">
        <v>324</v>
      </c>
      <c r="C1847" s="91" t="s">
        <v>328</v>
      </c>
      <c r="D1847" s="109" t="s">
        <v>353</v>
      </c>
      <c r="E1847" s="67" t="str">
        <f>COLORES!A4</f>
        <v>Negro</v>
      </c>
      <c r="F1847" s="67" t="str">
        <f>COLORES!B4</f>
        <v>OSCURO</v>
      </c>
      <c r="G1847" s="90" t="s">
        <v>379</v>
      </c>
      <c r="H1847" s="100">
        <f>IFERROR(SUMIFS(MOVIMIENTOS_COMPLEMENTOS!$I$4:$I$803,MOVIMIENTOS_COMPLEMENTOS!$C$4:$C$803,A1847,MOVIMIENTOS_COMPLEMENTOS!$D$4:$D$803,B1847,MOVIMIENTOS_COMPLEMENTOS!$E$4:$E$803,C1847,MOVIMIENTOS_COMPLEMENTOS!$G$4:$G$803,E1847,MOVIMIENTOS_COMPLEMENTOS!$H$4:$H$803,G1847,MOVIMIENTOS_COMPLEMENTOS!$B$4:$B$803,"INGRESO")+SUMIFS(MOVIMIENTOS_COMPLEMENTOS!$I$4:$I$803,MOVIMIENTOS_COMPLEMENTOS!$C$4:$C$803,A1847,MOVIMIENTOS_COMPLEMENTOS!$D$4:$D$803,B1847,MOVIMIENTOS_COMPLEMENTOS!$E$4:$E$803,C1847,MOVIMIENTOS_COMPLEMENTOS!$G$4:$G$803,E1847,MOVIMIENTOS_COMPLEMENTOS!$H$4:$H$803,G1847,MOVIMIENTOS_COMPLEMENTOS!$B$4:$B$803,"DE CORTE")-SUMIFS(MOVIMIENTOS_COMPLEMENTOS!$I$4:$I$803,MOVIMIENTOS_COMPLEMENTOS!$C$4:$C$803,A1847,MOVIMIENTOS_COMPLEMENTOS!$D$4:$D$803,B1847,MOVIMIENTOS_COMPLEMENTOS!$E$4:$E$803,C1847,MOVIMIENTOS_COMPLEMENTOS!$G$4:$G$803,E1847,MOVIMIENTOS_COMPLEMENTOS!$H$4:$H$803,G1847,MOVIMIENTOS_COMPLEMENTOS!$B$4:$B$803,"SALIDA"),0)</f>
        <v>0</v>
      </c>
      <c r="I1847" s="102">
        <f t="array" ref="I1847">IFERROR(INDEX(PRECIOS_COMPLEMENTOS!$C$4:$F$17,MATCH(B1847&amp;"_"&amp;C1847,PRECIOS_COMPLEMENTOS!$H$4:$H$17,0),IF(OR(G1847="S",G1847="20cm"),1,IF(OR(G1847="M",G1847="25cm"),2,IF(OR(G1847="L",G1847="30cm"),3,IF(OR(G1847="XL",G1847="35cm"),4,0))))),0)</f>
        <v>0.3</v>
      </c>
      <c r="J1847" s="103">
        <f t="shared" si="1"/>
        <v>0</v>
      </c>
      <c r="K1847" s="104" t="str">
        <f>IF(H1847&lt;0,"ERROR",IF(H1847=0,"",IF(H1847&lt;CONFIG!$B$4,"CRÍTICO",IF(H1847&lt;CONFIG!$B$5,"BAJO","OK"))))</f>
        <v/>
      </c>
    </row>
    <row r="1848" ht="15.75" hidden="1" customHeight="1">
      <c r="A1848" s="90" t="str">
        <f>IF(CLIENTES!A9="","",CLIENTES!A9)</f>
        <v/>
      </c>
      <c r="B1848" s="90" t="s">
        <v>324</v>
      </c>
      <c r="C1848" s="91" t="s">
        <v>328</v>
      </c>
      <c r="D1848" s="109" t="s">
        <v>353</v>
      </c>
      <c r="E1848" s="67" t="str">
        <f>COLORES!A5</f>
        <v>Perla</v>
      </c>
      <c r="F1848" s="67" t="str">
        <f>COLORES!B5</f>
        <v>PPT</v>
      </c>
      <c r="G1848" s="90" t="s">
        <v>378</v>
      </c>
      <c r="H1848" s="100">
        <f>IFERROR(SUMIFS(MOVIMIENTOS_COMPLEMENTOS!$I$4:$I$803,MOVIMIENTOS_COMPLEMENTOS!$C$4:$C$803,A1848,MOVIMIENTOS_COMPLEMENTOS!$D$4:$D$803,B1848,MOVIMIENTOS_COMPLEMENTOS!$E$4:$E$803,C1848,MOVIMIENTOS_COMPLEMENTOS!$G$4:$G$803,E1848,MOVIMIENTOS_COMPLEMENTOS!$H$4:$H$803,G1848,MOVIMIENTOS_COMPLEMENTOS!$B$4:$B$803,"INGRESO")+SUMIFS(MOVIMIENTOS_COMPLEMENTOS!$I$4:$I$803,MOVIMIENTOS_COMPLEMENTOS!$C$4:$C$803,A1848,MOVIMIENTOS_COMPLEMENTOS!$D$4:$D$803,B1848,MOVIMIENTOS_COMPLEMENTOS!$E$4:$E$803,C1848,MOVIMIENTOS_COMPLEMENTOS!$G$4:$G$803,E1848,MOVIMIENTOS_COMPLEMENTOS!$H$4:$H$803,G1848,MOVIMIENTOS_COMPLEMENTOS!$B$4:$B$803,"DE CORTE")-SUMIFS(MOVIMIENTOS_COMPLEMENTOS!$I$4:$I$803,MOVIMIENTOS_COMPLEMENTOS!$C$4:$C$803,A1848,MOVIMIENTOS_COMPLEMENTOS!$D$4:$D$803,B1848,MOVIMIENTOS_COMPLEMENTOS!$E$4:$E$803,C1848,MOVIMIENTOS_COMPLEMENTOS!$G$4:$G$803,E1848,MOVIMIENTOS_COMPLEMENTOS!$H$4:$H$803,G1848,MOVIMIENTOS_COMPLEMENTOS!$B$4:$B$803,"SALIDA"),0)</f>
        <v>0</v>
      </c>
      <c r="I1848" s="102">
        <f t="array" ref="I1848">IFERROR(INDEX(PRECIOS_COMPLEMENTOS!$C$4:$F$17,MATCH(B1848&amp;"_"&amp;C1848,PRECIOS_COMPLEMENTOS!$H$4:$H$17,0),IF(OR(G1848="S",G1848="20cm"),1,IF(OR(G1848="M",G1848="25cm"),2,IF(OR(G1848="L",G1848="30cm"),3,IF(OR(G1848="XL",G1848="35cm"),4,0))))),0)</f>
        <v>0.3</v>
      </c>
      <c r="J1848" s="103">
        <f t="shared" si="1"/>
        <v>0</v>
      </c>
      <c r="K1848" s="104" t="str">
        <f>IF(H1848&lt;0,"ERROR",IF(H1848=0,"",IF(H1848&lt;CONFIG!$B$4,"CRÍTICO",IF(H1848&lt;CONFIG!$B$5,"BAJO","OK"))))</f>
        <v/>
      </c>
    </row>
    <row r="1849" ht="15.75" hidden="1" customHeight="1">
      <c r="A1849" s="90" t="str">
        <f>IF(CLIENTES!A9="","",CLIENTES!A9)</f>
        <v/>
      </c>
      <c r="B1849" s="90" t="s">
        <v>324</v>
      </c>
      <c r="C1849" s="91" t="s">
        <v>328</v>
      </c>
      <c r="D1849" s="109" t="s">
        <v>353</v>
      </c>
      <c r="E1849" s="67" t="str">
        <f>COLORES!A5</f>
        <v>Perla</v>
      </c>
      <c r="F1849" s="67" t="str">
        <f>COLORES!B5</f>
        <v>PPT</v>
      </c>
      <c r="G1849" s="90" t="s">
        <v>376</v>
      </c>
      <c r="H1849" s="100">
        <f>IFERROR(SUMIFS(MOVIMIENTOS_COMPLEMENTOS!$I$4:$I$803,MOVIMIENTOS_COMPLEMENTOS!$C$4:$C$803,A1849,MOVIMIENTOS_COMPLEMENTOS!$D$4:$D$803,B1849,MOVIMIENTOS_COMPLEMENTOS!$E$4:$E$803,C1849,MOVIMIENTOS_COMPLEMENTOS!$G$4:$G$803,E1849,MOVIMIENTOS_COMPLEMENTOS!$H$4:$H$803,G1849,MOVIMIENTOS_COMPLEMENTOS!$B$4:$B$803,"INGRESO")+SUMIFS(MOVIMIENTOS_COMPLEMENTOS!$I$4:$I$803,MOVIMIENTOS_COMPLEMENTOS!$C$4:$C$803,A1849,MOVIMIENTOS_COMPLEMENTOS!$D$4:$D$803,B1849,MOVIMIENTOS_COMPLEMENTOS!$E$4:$E$803,C1849,MOVIMIENTOS_COMPLEMENTOS!$G$4:$G$803,E1849,MOVIMIENTOS_COMPLEMENTOS!$H$4:$H$803,G1849,MOVIMIENTOS_COMPLEMENTOS!$B$4:$B$803,"DE CORTE")-SUMIFS(MOVIMIENTOS_COMPLEMENTOS!$I$4:$I$803,MOVIMIENTOS_COMPLEMENTOS!$C$4:$C$803,A1849,MOVIMIENTOS_COMPLEMENTOS!$D$4:$D$803,B1849,MOVIMIENTOS_COMPLEMENTOS!$E$4:$E$803,C1849,MOVIMIENTOS_COMPLEMENTOS!$G$4:$G$803,E1849,MOVIMIENTOS_COMPLEMENTOS!$H$4:$H$803,G1849,MOVIMIENTOS_COMPLEMENTOS!$B$4:$B$803,"SALIDA"),0)</f>
        <v>0</v>
      </c>
      <c r="I1849" s="102">
        <f t="array" ref="I1849">IFERROR(INDEX(PRECIOS_COMPLEMENTOS!$C$4:$F$17,MATCH(B1849&amp;"_"&amp;C1849,PRECIOS_COMPLEMENTOS!$H$4:$H$17,0),IF(OR(G1849="S",G1849="20cm"),1,IF(OR(G1849="M",G1849="25cm"),2,IF(OR(G1849="L",G1849="30cm"),3,IF(OR(G1849="XL",G1849="35cm"),4,0))))),0)</f>
        <v>0.3</v>
      </c>
      <c r="J1849" s="103">
        <f t="shared" si="1"/>
        <v>0</v>
      </c>
      <c r="K1849" s="104" t="str">
        <f>IF(H1849&lt;0,"ERROR",IF(H1849=0,"",IF(H1849&lt;CONFIG!$B$4,"CRÍTICO",IF(H1849&lt;CONFIG!$B$5,"BAJO","OK"))))</f>
        <v/>
      </c>
    </row>
    <row r="1850" ht="15.75" hidden="1" customHeight="1">
      <c r="A1850" s="90" t="str">
        <f>IF(CLIENTES!A9="","",CLIENTES!A9)</f>
        <v/>
      </c>
      <c r="B1850" s="90" t="s">
        <v>324</v>
      </c>
      <c r="C1850" s="91" t="s">
        <v>328</v>
      </c>
      <c r="D1850" s="109" t="s">
        <v>353</v>
      </c>
      <c r="E1850" s="67" t="str">
        <f>COLORES!A5</f>
        <v>Perla</v>
      </c>
      <c r="F1850" s="67" t="str">
        <f>COLORES!B5</f>
        <v>PPT</v>
      </c>
      <c r="G1850" s="90" t="s">
        <v>377</v>
      </c>
      <c r="H1850" s="100">
        <f>IFERROR(SUMIFS(MOVIMIENTOS_COMPLEMENTOS!$I$4:$I$803,MOVIMIENTOS_COMPLEMENTOS!$C$4:$C$803,A1850,MOVIMIENTOS_COMPLEMENTOS!$D$4:$D$803,B1850,MOVIMIENTOS_COMPLEMENTOS!$E$4:$E$803,C1850,MOVIMIENTOS_COMPLEMENTOS!$G$4:$G$803,E1850,MOVIMIENTOS_COMPLEMENTOS!$H$4:$H$803,G1850,MOVIMIENTOS_COMPLEMENTOS!$B$4:$B$803,"INGRESO")+SUMIFS(MOVIMIENTOS_COMPLEMENTOS!$I$4:$I$803,MOVIMIENTOS_COMPLEMENTOS!$C$4:$C$803,A1850,MOVIMIENTOS_COMPLEMENTOS!$D$4:$D$803,B1850,MOVIMIENTOS_COMPLEMENTOS!$E$4:$E$803,C1850,MOVIMIENTOS_COMPLEMENTOS!$G$4:$G$803,E1850,MOVIMIENTOS_COMPLEMENTOS!$H$4:$H$803,G1850,MOVIMIENTOS_COMPLEMENTOS!$B$4:$B$803,"DE CORTE")-SUMIFS(MOVIMIENTOS_COMPLEMENTOS!$I$4:$I$803,MOVIMIENTOS_COMPLEMENTOS!$C$4:$C$803,A1850,MOVIMIENTOS_COMPLEMENTOS!$D$4:$D$803,B1850,MOVIMIENTOS_COMPLEMENTOS!$E$4:$E$803,C1850,MOVIMIENTOS_COMPLEMENTOS!$G$4:$G$803,E1850,MOVIMIENTOS_COMPLEMENTOS!$H$4:$H$803,G1850,MOVIMIENTOS_COMPLEMENTOS!$B$4:$B$803,"SALIDA"),0)</f>
        <v>0</v>
      </c>
      <c r="I1850" s="102">
        <f t="array" ref="I1850">IFERROR(INDEX(PRECIOS_COMPLEMENTOS!$C$4:$F$17,MATCH(B1850&amp;"_"&amp;C1850,PRECIOS_COMPLEMENTOS!$H$4:$H$17,0),IF(OR(G1850="S",G1850="20cm"),1,IF(OR(G1850="M",G1850="25cm"),2,IF(OR(G1850="L",G1850="30cm"),3,IF(OR(G1850="XL",G1850="35cm"),4,0))))),0)</f>
        <v>0.3</v>
      </c>
      <c r="J1850" s="103">
        <f t="shared" si="1"/>
        <v>0</v>
      </c>
      <c r="K1850" s="104" t="str">
        <f>IF(H1850&lt;0,"ERROR",IF(H1850=0,"",IF(H1850&lt;CONFIG!$B$4,"CRÍTICO",IF(H1850&lt;CONFIG!$B$5,"BAJO","OK"))))</f>
        <v/>
      </c>
    </row>
    <row r="1851" ht="15.75" hidden="1" customHeight="1">
      <c r="A1851" s="90" t="str">
        <f>IF(CLIENTES!A9="","",CLIENTES!A9)</f>
        <v/>
      </c>
      <c r="B1851" s="90" t="s">
        <v>324</v>
      </c>
      <c r="C1851" s="91" t="s">
        <v>328</v>
      </c>
      <c r="D1851" s="109" t="s">
        <v>353</v>
      </c>
      <c r="E1851" s="67" t="str">
        <f>COLORES!A5</f>
        <v>Perla</v>
      </c>
      <c r="F1851" s="67" t="str">
        <f>COLORES!B5</f>
        <v>PPT</v>
      </c>
      <c r="G1851" s="90" t="s">
        <v>379</v>
      </c>
      <c r="H1851" s="100">
        <f>IFERROR(SUMIFS(MOVIMIENTOS_COMPLEMENTOS!$I$4:$I$803,MOVIMIENTOS_COMPLEMENTOS!$C$4:$C$803,A1851,MOVIMIENTOS_COMPLEMENTOS!$D$4:$D$803,B1851,MOVIMIENTOS_COMPLEMENTOS!$E$4:$E$803,C1851,MOVIMIENTOS_COMPLEMENTOS!$G$4:$G$803,E1851,MOVIMIENTOS_COMPLEMENTOS!$H$4:$H$803,G1851,MOVIMIENTOS_COMPLEMENTOS!$B$4:$B$803,"INGRESO")+SUMIFS(MOVIMIENTOS_COMPLEMENTOS!$I$4:$I$803,MOVIMIENTOS_COMPLEMENTOS!$C$4:$C$803,A1851,MOVIMIENTOS_COMPLEMENTOS!$D$4:$D$803,B1851,MOVIMIENTOS_COMPLEMENTOS!$E$4:$E$803,C1851,MOVIMIENTOS_COMPLEMENTOS!$G$4:$G$803,E1851,MOVIMIENTOS_COMPLEMENTOS!$H$4:$H$803,G1851,MOVIMIENTOS_COMPLEMENTOS!$B$4:$B$803,"DE CORTE")-SUMIFS(MOVIMIENTOS_COMPLEMENTOS!$I$4:$I$803,MOVIMIENTOS_COMPLEMENTOS!$C$4:$C$803,A1851,MOVIMIENTOS_COMPLEMENTOS!$D$4:$D$803,B1851,MOVIMIENTOS_COMPLEMENTOS!$E$4:$E$803,C1851,MOVIMIENTOS_COMPLEMENTOS!$G$4:$G$803,E1851,MOVIMIENTOS_COMPLEMENTOS!$H$4:$H$803,G1851,MOVIMIENTOS_COMPLEMENTOS!$B$4:$B$803,"SALIDA"),0)</f>
        <v>0</v>
      </c>
      <c r="I1851" s="102">
        <f t="array" ref="I1851">IFERROR(INDEX(PRECIOS_COMPLEMENTOS!$C$4:$F$17,MATCH(B1851&amp;"_"&amp;C1851,PRECIOS_COMPLEMENTOS!$H$4:$H$17,0),IF(OR(G1851="S",G1851="20cm"),1,IF(OR(G1851="M",G1851="25cm"),2,IF(OR(G1851="L",G1851="30cm"),3,IF(OR(G1851="XL",G1851="35cm"),4,0))))),0)</f>
        <v>0.3</v>
      </c>
      <c r="J1851" s="103">
        <f t="shared" si="1"/>
        <v>0</v>
      </c>
      <c r="K1851" s="104" t="str">
        <f>IF(H1851&lt;0,"ERROR",IF(H1851=0,"",IF(H1851&lt;CONFIG!$B$4,"CRÍTICO",IF(H1851&lt;CONFIG!$B$5,"BAJO","OK"))))</f>
        <v/>
      </c>
    </row>
    <row r="1852" ht="15.75" hidden="1" customHeight="1">
      <c r="A1852" s="90" t="str">
        <f>IF(CLIENTES!A9="","",CLIENTES!A9)</f>
        <v/>
      </c>
      <c r="B1852" s="90" t="s">
        <v>324</v>
      </c>
      <c r="C1852" s="91" t="s">
        <v>328</v>
      </c>
      <c r="D1852" s="109" t="s">
        <v>353</v>
      </c>
      <c r="E1852" s="67" t="str">
        <f>COLORES!A6</f>
        <v>Blanco</v>
      </c>
      <c r="F1852" s="67" t="str">
        <f>COLORES!B6</f>
        <v>PPT</v>
      </c>
      <c r="G1852" s="90" t="s">
        <v>378</v>
      </c>
      <c r="H1852" s="100">
        <f>IFERROR(SUMIFS(MOVIMIENTOS_COMPLEMENTOS!$I$4:$I$803,MOVIMIENTOS_COMPLEMENTOS!$C$4:$C$803,A1852,MOVIMIENTOS_COMPLEMENTOS!$D$4:$D$803,B1852,MOVIMIENTOS_COMPLEMENTOS!$E$4:$E$803,C1852,MOVIMIENTOS_COMPLEMENTOS!$G$4:$G$803,E1852,MOVIMIENTOS_COMPLEMENTOS!$H$4:$H$803,G1852,MOVIMIENTOS_COMPLEMENTOS!$B$4:$B$803,"INGRESO")+SUMIFS(MOVIMIENTOS_COMPLEMENTOS!$I$4:$I$803,MOVIMIENTOS_COMPLEMENTOS!$C$4:$C$803,A1852,MOVIMIENTOS_COMPLEMENTOS!$D$4:$D$803,B1852,MOVIMIENTOS_COMPLEMENTOS!$E$4:$E$803,C1852,MOVIMIENTOS_COMPLEMENTOS!$G$4:$G$803,E1852,MOVIMIENTOS_COMPLEMENTOS!$H$4:$H$803,G1852,MOVIMIENTOS_COMPLEMENTOS!$B$4:$B$803,"DE CORTE")-SUMIFS(MOVIMIENTOS_COMPLEMENTOS!$I$4:$I$803,MOVIMIENTOS_COMPLEMENTOS!$C$4:$C$803,A1852,MOVIMIENTOS_COMPLEMENTOS!$D$4:$D$803,B1852,MOVIMIENTOS_COMPLEMENTOS!$E$4:$E$803,C1852,MOVIMIENTOS_COMPLEMENTOS!$G$4:$G$803,E1852,MOVIMIENTOS_COMPLEMENTOS!$H$4:$H$803,G1852,MOVIMIENTOS_COMPLEMENTOS!$B$4:$B$803,"SALIDA"),0)</f>
        <v>0</v>
      </c>
      <c r="I1852" s="102">
        <f t="array" ref="I1852">IFERROR(INDEX(PRECIOS_COMPLEMENTOS!$C$4:$F$17,MATCH(B1852&amp;"_"&amp;C1852,PRECIOS_COMPLEMENTOS!$H$4:$H$17,0),IF(OR(G1852="S",G1852="20cm"),1,IF(OR(G1852="M",G1852="25cm"),2,IF(OR(G1852="L",G1852="30cm"),3,IF(OR(G1852="XL",G1852="35cm"),4,0))))),0)</f>
        <v>0.3</v>
      </c>
      <c r="J1852" s="103">
        <f t="shared" si="1"/>
        <v>0</v>
      </c>
      <c r="K1852" s="104" t="str">
        <f>IF(H1852&lt;0,"ERROR",IF(H1852=0,"",IF(H1852&lt;CONFIG!$B$4,"CRÍTICO",IF(H1852&lt;CONFIG!$B$5,"BAJO","OK"))))</f>
        <v/>
      </c>
    </row>
    <row r="1853" ht="15.75" hidden="1" customHeight="1">
      <c r="A1853" s="90" t="str">
        <f>IF(CLIENTES!A9="","",CLIENTES!A9)</f>
        <v/>
      </c>
      <c r="B1853" s="90" t="s">
        <v>324</v>
      </c>
      <c r="C1853" s="91" t="s">
        <v>328</v>
      </c>
      <c r="D1853" s="109" t="s">
        <v>353</v>
      </c>
      <c r="E1853" s="67" t="str">
        <f>COLORES!A6</f>
        <v>Blanco</v>
      </c>
      <c r="F1853" s="67" t="str">
        <f>COLORES!B6</f>
        <v>PPT</v>
      </c>
      <c r="G1853" s="90" t="s">
        <v>376</v>
      </c>
      <c r="H1853" s="100">
        <f>IFERROR(SUMIFS(MOVIMIENTOS_COMPLEMENTOS!$I$4:$I$803,MOVIMIENTOS_COMPLEMENTOS!$C$4:$C$803,A1853,MOVIMIENTOS_COMPLEMENTOS!$D$4:$D$803,B1853,MOVIMIENTOS_COMPLEMENTOS!$E$4:$E$803,C1853,MOVIMIENTOS_COMPLEMENTOS!$G$4:$G$803,E1853,MOVIMIENTOS_COMPLEMENTOS!$H$4:$H$803,G1853,MOVIMIENTOS_COMPLEMENTOS!$B$4:$B$803,"INGRESO")+SUMIFS(MOVIMIENTOS_COMPLEMENTOS!$I$4:$I$803,MOVIMIENTOS_COMPLEMENTOS!$C$4:$C$803,A1853,MOVIMIENTOS_COMPLEMENTOS!$D$4:$D$803,B1853,MOVIMIENTOS_COMPLEMENTOS!$E$4:$E$803,C1853,MOVIMIENTOS_COMPLEMENTOS!$G$4:$G$803,E1853,MOVIMIENTOS_COMPLEMENTOS!$H$4:$H$803,G1853,MOVIMIENTOS_COMPLEMENTOS!$B$4:$B$803,"DE CORTE")-SUMIFS(MOVIMIENTOS_COMPLEMENTOS!$I$4:$I$803,MOVIMIENTOS_COMPLEMENTOS!$C$4:$C$803,A1853,MOVIMIENTOS_COMPLEMENTOS!$D$4:$D$803,B1853,MOVIMIENTOS_COMPLEMENTOS!$E$4:$E$803,C1853,MOVIMIENTOS_COMPLEMENTOS!$G$4:$G$803,E1853,MOVIMIENTOS_COMPLEMENTOS!$H$4:$H$803,G1853,MOVIMIENTOS_COMPLEMENTOS!$B$4:$B$803,"SALIDA"),0)</f>
        <v>0</v>
      </c>
      <c r="I1853" s="102">
        <f t="array" ref="I1853">IFERROR(INDEX(PRECIOS_COMPLEMENTOS!$C$4:$F$17,MATCH(B1853&amp;"_"&amp;C1853,PRECIOS_COMPLEMENTOS!$H$4:$H$17,0),IF(OR(G1853="S",G1853="20cm"),1,IF(OR(G1853="M",G1853="25cm"),2,IF(OR(G1853="L",G1853="30cm"),3,IF(OR(G1853="XL",G1853="35cm"),4,0))))),0)</f>
        <v>0.3</v>
      </c>
      <c r="J1853" s="103">
        <f t="shared" si="1"/>
        <v>0</v>
      </c>
      <c r="K1853" s="104" t="str">
        <f>IF(H1853&lt;0,"ERROR",IF(H1853=0,"",IF(H1853&lt;CONFIG!$B$4,"CRÍTICO",IF(H1853&lt;CONFIG!$B$5,"BAJO","OK"))))</f>
        <v/>
      </c>
    </row>
    <row r="1854" ht="15.75" hidden="1" customHeight="1">
      <c r="A1854" s="90" t="str">
        <f>IF(CLIENTES!A9="","",CLIENTES!A9)</f>
        <v/>
      </c>
      <c r="B1854" s="90" t="s">
        <v>324</v>
      </c>
      <c r="C1854" s="91" t="s">
        <v>328</v>
      </c>
      <c r="D1854" s="109" t="s">
        <v>353</v>
      </c>
      <c r="E1854" s="67" t="str">
        <f>COLORES!A6</f>
        <v>Blanco</v>
      </c>
      <c r="F1854" s="67" t="str">
        <f>COLORES!B6</f>
        <v>PPT</v>
      </c>
      <c r="G1854" s="90" t="s">
        <v>377</v>
      </c>
      <c r="H1854" s="100">
        <f>IFERROR(SUMIFS(MOVIMIENTOS_COMPLEMENTOS!$I$4:$I$803,MOVIMIENTOS_COMPLEMENTOS!$C$4:$C$803,A1854,MOVIMIENTOS_COMPLEMENTOS!$D$4:$D$803,B1854,MOVIMIENTOS_COMPLEMENTOS!$E$4:$E$803,C1854,MOVIMIENTOS_COMPLEMENTOS!$G$4:$G$803,E1854,MOVIMIENTOS_COMPLEMENTOS!$H$4:$H$803,G1854,MOVIMIENTOS_COMPLEMENTOS!$B$4:$B$803,"INGRESO")+SUMIFS(MOVIMIENTOS_COMPLEMENTOS!$I$4:$I$803,MOVIMIENTOS_COMPLEMENTOS!$C$4:$C$803,A1854,MOVIMIENTOS_COMPLEMENTOS!$D$4:$D$803,B1854,MOVIMIENTOS_COMPLEMENTOS!$E$4:$E$803,C1854,MOVIMIENTOS_COMPLEMENTOS!$G$4:$G$803,E1854,MOVIMIENTOS_COMPLEMENTOS!$H$4:$H$803,G1854,MOVIMIENTOS_COMPLEMENTOS!$B$4:$B$803,"DE CORTE")-SUMIFS(MOVIMIENTOS_COMPLEMENTOS!$I$4:$I$803,MOVIMIENTOS_COMPLEMENTOS!$C$4:$C$803,A1854,MOVIMIENTOS_COMPLEMENTOS!$D$4:$D$803,B1854,MOVIMIENTOS_COMPLEMENTOS!$E$4:$E$803,C1854,MOVIMIENTOS_COMPLEMENTOS!$G$4:$G$803,E1854,MOVIMIENTOS_COMPLEMENTOS!$H$4:$H$803,G1854,MOVIMIENTOS_COMPLEMENTOS!$B$4:$B$803,"SALIDA"),0)</f>
        <v>0</v>
      </c>
      <c r="I1854" s="102">
        <f t="array" ref="I1854">IFERROR(INDEX(PRECIOS_COMPLEMENTOS!$C$4:$F$17,MATCH(B1854&amp;"_"&amp;C1854,PRECIOS_COMPLEMENTOS!$H$4:$H$17,0),IF(OR(G1854="S",G1854="20cm"),1,IF(OR(G1854="M",G1854="25cm"),2,IF(OR(G1854="L",G1854="30cm"),3,IF(OR(G1854="XL",G1854="35cm"),4,0))))),0)</f>
        <v>0.3</v>
      </c>
      <c r="J1854" s="103">
        <f t="shared" si="1"/>
        <v>0</v>
      </c>
      <c r="K1854" s="104" t="str">
        <f>IF(H1854&lt;0,"ERROR",IF(H1854=0,"",IF(H1854&lt;CONFIG!$B$4,"CRÍTICO",IF(H1854&lt;CONFIG!$B$5,"BAJO","OK"))))</f>
        <v/>
      </c>
    </row>
    <row r="1855" ht="15.75" hidden="1" customHeight="1">
      <c r="A1855" s="90" t="str">
        <f>IF(CLIENTES!A9="","",CLIENTES!A9)</f>
        <v/>
      </c>
      <c r="B1855" s="90" t="s">
        <v>324</v>
      </c>
      <c r="C1855" s="91" t="s">
        <v>328</v>
      </c>
      <c r="D1855" s="109" t="s">
        <v>353</v>
      </c>
      <c r="E1855" s="67" t="str">
        <f>COLORES!A6</f>
        <v>Blanco</v>
      </c>
      <c r="F1855" s="67" t="str">
        <f>COLORES!B6</f>
        <v>PPT</v>
      </c>
      <c r="G1855" s="90" t="s">
        <v>379</v>
      </c>
      <c r="H1855" s="100">
        <f>IFERROR(SUMIFS(MOVIMIENTOS_COMPLEMENTOS!$I$4:$I$803,MOVIMIENTOS_COMPLEMENTOS!$C$4:$C$803,A1855,MOVIMIENTOS_COMPLEMENTOS!$D$4:$D$803,B1855,MOVIMIENTOS_COMPLEMENTOS!$E$4:$E$803,C1855,MOVIMIENTOS_COMPLEMENTOS!$G$4:$G$803,E1855,MOVIMIENTOS_COMPLEMENTOS!$H$4:$H$803,G1855,MOVIMIENTOS_COMPLEMENTOS!$B$4:$B$803,"INGRESO")+SUMIFS(MOVIMIENTOS_COMPLEMENTOS!$I$4:$I$803,MOVIMIENTOS_COMPLEMENTOS!$C$4:$C$803,A1855,MOVIMIENTOS_COMPLEMENTOS!$D$4:$D$803,B1855,MOVIMIENTOS_COMPLEMENTOS!$E$4:$E$803,C1855,MOVIMIENTOS_COMPLEMENTOS!$G$4:$G$803,E1855,MOVIMIENTOS_COMPLEMENTOS!$H$4:$H$803,G1855,MOVIMIENTOS_COMPLEMENTOS!$B$4:$B$803,"DE CORTE")-SUMIFS(MOVIMIENTOS_COMPLEMENTOS!$I$4:$I$803,MOVIMIENTOS_COMPLEMENTOS!$C$4:$C$803,A1855,MOVIMIENTOS_COMPLEMENTOS!$D$4:$D$803,B1855,MOVIMIENTOS_COMPLEMENTOS!$E$4:$E$803,C1855,MOVIMIENTOS_COMPLEMENTOS!$G$4:$G$803,E1855,MOVIMIENTOS_COMPLEMENTOS!$H$4:$H$803,G1855,MOVIMIENTOS_COMPLEMENTOS!$B$4:$B$803,"SALIDA"),0)</f>
        <v>0</v>
      </c>
      <c r="I1855" s="102">
        <f t="array" ref="I1855">IFERROR(INDEX(PRECIOS_COMPLEMENTOS!$C$4:$F$17,MATCH(B1855&amp;"_"&amp;C1855,PRECIOS_COMPLEMENTOS!$H$4:$H$17,0),IF(OR(G1855="S",G1855="20cm"),1,IF(OR(G1855="M",G1855="25cm"),2,IF(OR(G1855="L",G1855="30cm"),3,IF(OR(G1855="XL",G1855="35cm"),4,0))))),0)</f>
        <v>0.3</v>
      </c>
      <c r="J1855" s="103">
        <f t="shared" si="1"/>
        <v>0</v>
      </c>
      <c r="K1855" s="104" t="str">
        <f>IF(H1855&lt;0,"ERROR",IF(H1855=0,"",IF(H1855&lt;CONFIG!$B$4,"CRÍTICO",IF(H1855&lt;CONFIG!$B$5,"BAJO","OK"))))</f>
        <v/>
      </c>
    </row>
    <row r="1856" ht="15.75" hidden="1" customHeight="1">
      <c r="A1856" s="90" t="str">
        <f>IF(CLIENTES!A9="","",CLIENTES!A9)</f>
        <v/>
      </c>
      <c r="B1856" s="90" t="s">
        <v>324</v>
      </c>
      <c r="C1856" s="91" t="s">
        <v>328</v>
      </c>
      <c r="D1856" s="109" t="s">
        <v>353</v>
      </c>
      <c r="E1856" s="67" t="str">
        <f>COLORES!A7</f>
        <v>Azul</v>
      </c>
      <c r="F1856" s="67" t="str">
        <f>COLORES!B7</f>
        <v>OSCURO</v>
      </c>
      <c r="G1856" s="90" t="s">
        <v>378</v>
      </c>
      <c r="H1856" s="100">
        <f>IFERROR(SUMIFS(MOVIMIENTOS_COMPLEMENTOS!$I$4:$I$803,MOVIMIENTOS_COMPLEMENTOS!$C$4:$C$803,A1856,MOVIMIENTOS_COMPLEMENTOS!$D$4:$D$803,B1856,MOVIMIENTOS_COMPLEMENTOS!$E$4:$E$803,C1856,MOVIMIENTOS_COMPLEMENTOS!$G$4:$G$803,E1856,MOVIMIENTOS_COMPLEMENTOS!$H$4:$H$803,G1856,MOVIMIENTOS_COMPLEMENTOS!$B$4:$B$803,"INGRESO")+SUMIFS(MOVIMIENTOS_COMPLEMENTOS!$I$4:$I$803,MOVIMIENTOS_COMPLEMENTOS!$C$4:$C$803,A1856,MOVIMIENTOS_COMPLEMENTOS!$D$4:$D$803,B1856,MOVIMIENTOS_COMPLEMENTOS!$E$4:$E$803,C1856,MOVIMIENTOS_COMPLEMENTOS!$G$4:$G$803,E1856,MOVIMIENTOS_COMPLEMENTOS!$H$4:$H$803,G1856,MOVIMIENTOS_COMPLEMENTOS!$B$4:$B$803,"DE CORTE")-SUMIFS(MOVIMIENTOS_COMPLEMENTOS!$I$4:$I$803,MOVIMIENTOS_COMPLEMENTOS!$C$4:$C$803,A1856,MOVIMIENTOS_COMPLEMENTOS!$D$4:$D$803,B1856,MOVIMIENTOS_COMPLEMENTOS!$E$4:$E$803,C1856,MOVIMIENTOS_COMPLEMENTOS!$G$4:$G$803,E1856,MOVIMIENTOS_COMPLEMENTOS!$H$4:$H$803,G1856,MOVIMIENTOS_COMPLEMENTOS!$B$4:$B$803,"SALIDA"),0)</f>
        <v>0</v>
      </c>
      <c r="I1856" s="102">
        <f t="array" ref="I1856">IFERROR(INDEX(PRECIOS_COMPLEMENTOS!$C$4:$F$17,MATCH(B1856&amp;"_"&amp;C1856,PRECIOS_COMPLEMENTOS!$H$4:$H$17,0),IF(OR(G1856="S",G1856="20cm"),1,IF(OR(G1856="M",G1856="25cm"),2,IF(OR(G1856="L",G1856="30cm"),3,IF(OR(G1856="XL",G1856="35cm"),4,0))))),0)</f>
        <v>0.3</v>
      </c>
      <c r="J1856" s="103">
        <f t="shared" si="1"/>
        <v>0</v>
      </c>
      <c r="K1856" s="104" t="str">
        <f>IF(H1856&lt;0,"ERROR",IF(H1856=0,"",IF(H1856&lt;CONFIG!$B$4,"CRÍTICO",IF(H1856&lt;CONFIG!$B$5,"BAJO","OK"))))</f>
        <v/>
      </c>
    </row>
    <row r="1857" ht="15.75" hidden="1" customHeight="1">
      <c r="A1857" s="90" t="str">
        <f>IF(CLIENTES!A9="","",CLIENTES!A9)</f>
        <v/>
      </c>
      <c r="B1857" s="90" t="s">
        <v>324</v>
      </c>
      <c r="C1857" s="91" t="s">
        <v>328</v>
      </c>
      <c r="D1857" s="109" t="s">
        <v>353</v>
      </c>
      <c r="E1857" s="67" t="str">
        <f>COLORES!A7</f>
        <v>Azul</v>
      </c>
      <c r="F1857" s="67" t="str">
        <f>COLORES!B7</f>
        <v>OSCURO</v>
      </c>
      <c r="G1857" s="90" t="s">
        <v>376</v>
      </c>
      <c r="H1857" s="100">
        <f>IFERROR(SUMIFS(MOVIMIENTOS_COMPLEMENTOS!$I$4:$I$803,MOVIMIENTOS_COMPLEMENTOS!$C$4:$C$803,A1857,MOVIMIENTOS_COMPLEMENTOS!$D$4:$D$803,B1857,MOVIMIENTOS_COMPLEMENTOS!$E$4:$E$803,C1857,MOVIMIENTOS_COMPLEMENTOS!$G$4:$G$803,E1857,MOVIMIENTOS_COMPLEMENTOS!$H$4:$H$803,G1857,MOVIMIENTOS_COMPLEMENTOS!$B$4:$B$803,"INGRESO")+SUMIFS(MOVIMIENTOS_COMPLEMENTOS!$I$4:$I$803,MOVIMIENTOS_COMPLEMENTOS!$C$4:$C$803,A1857,MOVIMIENTOS_COMPLEMENTOS!$D$4:$D$803,B1857,MOVIMIENTOS_COMPLEMENTOS!$E$4:$E$803,C1857,MOVIMIENTOS_COMPLEMENTOS!$G$4:$G$803,E1857,MOVIMIENTOS_COMPLEMENTOS!$H$4:$H$803,G1857,MOVIMIENTOS_COMPLEMENTOS!$B$4:$B$803,"DE CORTE")-SUMIFS(MOVIMIENTOS_COMPLEMENTOS!$I$4:$I$803,MOVIMIENTOS_COMPLEMENTOS!$C$4:$C$803,A1857,MOVIMIENTOS_COMPLEMENTOS!$D$4:$D$803,B1857,MOVIMIENTOS_COMPLEMENTOS!$E$4:$E$803,C1857,MOVIMIENTOS_COMPLEMENTOS!$G$4:$G$803,E1857,MOVIMIENTOS_COMPLEMENTOS!$H$4:$H$803,G1857,MOVIMIENTOS_COMPLEMENTOS!$B$4:$B$803,"SALIDA"),0)</f>
        <v>0</v>
      </c>
      <c r="I1857" s="102">
        <f t="array" ref="I1857">IFERROR(INDEX(PRECIOS_COMPLEMENTOS!$C$4:$F$17,MATCH(B1857&amp;"_"&amp;C1857,PRECIOS_COMPLEMENTOS!$H$4:$H$17,0),IF(OR(G1857="S",G1857="20cm"),1,IF(OR(G1857="M",G1857="25cm"),2,IF(OR(G1857="L",G1857="30cm"),3,IF(OR(G1857="XL",G1857="35cm"),4,0))))),0)</f>
        <v>0.3</v>
      </c>
      <c r="J1857" s="103">
        <f t="shared" si="1"/>
        <v>0</v>
      </c>
      <c r="K1857" s="104" t="str">
        <f>IF(H1857&lt;0,"ERROR",IF(H1857=0,"",IF(H1857&lt;CONFIG!$B$4,"CRÍTICO",IF(H1857&lt;CONFIG!$B$5,"BAJO","OK"))))</f>
        <v/>
      </c>
    </row>
    <row r="1858" ht="15.75" hidden="1" customHeight="1">
      <c r="A1858" s="90" t="str">
        <f>IF(CLIENTES!A9="","",CLIENTES!A9)</f>
        <v/>
      </c>
      <c r="B1858" s="90" t="s">
        <v>324</v>
      </c>
      <c r="C1858" s="91" t="s">
        <v>328</v>
      </c>
      <c r="D1858" s="109" t="s">
        <v>353</v>
      </c>
      <c r="E1858" s="67" t="str">
        <f>COLORES!A7</f>
        <v>Azul</v>
      </c>
      <c r="F1858" s="67" t="str">
        <f>COLORES!B7</f>
        <v>OSCURO</v>
      </c>
      <c r="G1858" s="90" t="s">
        <v>377</v>
      </c>
      <c r="H1858" s="100">
        <f>IFERROR(SUMIFS(MOVIMIENTOS_COMPLEMENTOS!$I$4:$I$803,MOVIMIENTOS_COMPLEMENTOS!$C$4:$C$803,A1858,MOVIMIENTOS_COMPLEMENTOS!$D$4:$D$803,B1858,MOVIMIENTOS_COMPLEMENTOS!$E$4:$E$803,C1858,MOVIMIENTOS_COMPLEMENTOS!$G$4:$G$803,E1858,MOVIMIENTOS_COMPLEMENTOS!$H$4:$H$803,G1858,MOVIMIENTOS_COMPLEMENTOS!$B$4:$B$803,"INGRESO")+SUMIFS(MOVIMIENTOS_COMPLEMENTOS!$I$4:$I$803,MOVIMIENTOS_COMPLEMENTOS!$C$4:$C$803,A1858,MOVIMIENTOS_COMPLEMENTOS!$D$4:$D$803,B1858,MOVIMIENTOS_COMPLEMENTOS!$E$4:$E$803,C1858,MOVIMIENTOS_COMPLEMENTOS!$G$4:$G$803,E1858,MOVIMIENTOS_COMPLEMENTOS!$H$4:$H$803,G1858,MOVIMIENTOS_COMPLEMENTOS!$B$4:$B$803,"DE CORTE")-SUMIFS(MOVIMIENTOS_COMPLEMENTOS!$I$4:$I$803,MOVIMIENTOS_COMPLEMENTOS!$C$4:$C$803,A1858,MOVIMIENTOS_COMPLEMENTOS!$D$4:$D$803,B1858,MOVIMIENTOS_COMPLEMENTOS!$E$4:$E$803,C1858,MOVIMIENTOS_COMPLEMENTOS!$G$4:$G$803,E1858,MOVIMIENTOS_COMPLEMENTOS!$H$4:$H$803,G1858,MOVIMIENTOS_COMPLEMENTOS!$B$4:$B$803,"SALIDA"),0)</f>
        <v>0</v>
      </c>
      <c r="I1858" s="102">
        <f t="array" ref="I1858">IFERROR(INDEX(PRECIOS_COMPLEMENTOS!$C$4:$F$17,MATCH(B1858&amp;"_"&amp;C1858,PRECIOS_COMPLEMENTOS!$H$4:$H$17,0),IF(OR(G1858="S",G1858="20cm"),1,IF(OR(G1858="M",G1858="25cm"),2,IF(OR(G1858="L",G1858="30cm"),3,IF(OR(G1858="XL",G1858="35cm"),4,0))))),0)</f>
        <v>0.3</v>
      </c>
      <c r="J1858" s="103">
        <f t="shared" si="1"/>
        <v>0</v>
      </c>
      <c r="K1858" s="104" t="str">
        <f>IF(H1858&lt;0,"ERROR",IF(H1858=0,"",IF(H1858&lt;CONFIG!$B$4,"CRÍTICO",IF(H1858&lt;CONFIG!$B$5,"BAJO","OK"))))</f>
        <v/>
      </c>
    </row>
    <row r="1859" ht="15.75" hidden="1" customHeight="1">
      <c r="A1859" s="90" t="str">
        <f>IF(CLIENTES!A9="","",CLIENTES!A9)</f>
        <v/>
      </c>
      <c r="B1859" s="90" t="s">
        <v>324</v>
      </c>
      <c r="C1859" s="91" t="s">
        <v>328</v>
      </c>
      <c r="D1859" s="109" t="s">
        <v>353</v>
      </c>
      <c r="E1859" s="67" t="str">
        <f>COLORES!A7</f>
        <v>Azul</v>
      </c>
      <c r="F1859" s="67" t="str">
        <f>COLORES!B7</f>
        <v>OSCURO</v>
      </c>
      <c r="G1859" s="90" t="s">
        <v>379</v>
      </c>
      <c r="H1859" s="100">
        <f>IFERROR(SUMIFS(MOVIMIENTOS_COMPLEMENTOS!$I$4:$I$803,MOVIMIENTOS_COMPLEMENTOS!$C$4:$C$803,A1859,MOVIMIENTOS_COMPLEMENTOS!$D$4:$D$803,B1859,MOVIMIENTOS_COMPLEMENTOS!$E$4:$E$803,C1859,MOVIMIENTOS_COMPLEMENTOS!$G$4:$G$803,E1859,MOVIMIENTOS_COMPLEMENTOS!$H$4:$H$803,G1859,MOVIMIENTOS_COMPLEMENTOS!$B$4:$B$803,"INGRESO")+SUMIFS(MOVIMIENTOS_COMPLEMENTOS!$I$4:$I$803,MOVIMIENTOS_COMPLEMENTOS!$C$4:$C$803,A1859,MOVIMIENTOS_COMPLEMENTOS!$D$4:$D$803,B1859,MOVIMIENTOS_COMPLEMENTOS!$E$4:$E$803,C1859,MOVIMIENTOS_COMPLEMENTOS!$G$4:$G$803,E1859,MOVIMIENTOS_COMPLEMENTOS!$H$4:$H$803,G1859,MOVIMIENTOS_COMPLEMENTOS!$B$4:$B$803,"DE CORTE")-SUMIFS(MOVIMIENTOS_COMPLEMENTOS!$I$4:$I$803,MOVIMIENTOS_COMPLEMENTOS!$C$4:$C$803,A1859,MOVIMIENTOS_COMPLEMENTOS!$D$4:$D$803,B1859,MOVIMIENTOS_COMPLEMENTOS!$E$4:$E$803,C1859,MOVIMIENTOS_COMPLEMENTOS!$G$4:$G$803,E1859,MOVIMIENTOS_COMPLEMENTOS!$H$4:$H$803,G1859,MOVIMIENTOS_COMPLEMENTOS!$B$4:$B$803,"SALIDA"),0)</f>
        <v>0</v>
      </c>
      <c r="I1859" s="102">
        <f t="array" ref="I1859">IFERROR(INDEX(PRECIOS_COMPLEMENTOS!$C$4:$F$17,MATCH(B1859&amp;"_"&amp;C1859,PRECIOS_COMPLEMENTOS!$H$4:$H$17,0),IF(OR(G1859="S",G1859="20cm"),1,IF(OR(G1859="M",G1859="25cm"),2,IF(OR(G1859="L",G1859="30cm"),3,IF(OR(G1859="XL",G1859="35cm"),4,0))))),0)</f>
        <v>0.3</v>
      </c>
      <c r="J1859" s="103">
        <f t="shared" si="1"/>
        <v>0</v>
      </c>
      <c r="K1859" s="104" t="str">
        <f>IF(H1859&lt;0,"ERROR",IF(H1859=0,"",IF(H1859&lt;CONFIG!$B$4,"CRÍTICO",IF(H1859&lt;CONFIG!$B$5,"BAJO","OK"))))</f>
        <v/>
      </c>
    </row>
    <row r="1860" ht="15.75" hidden="1" customHeight="1">
      <c r="A1860" s="90" t="str">
        <f>IF(CLIENTES!A9="","",CLIENTES!A9)</f>
        <v/>
      </c>
      <c r="B1860" s="90" t="s">
        <v>324</v>
      </c>
      <c r="C1860" s="91" t="s">
        <v>328</v>
      </c>
      <c r="D1860" s="109" t="s">
        <v>353</v>
      </c>
      <c r="E1860" s="67" t="str">
        <f>COLORES!A8</f>
        <v>Beige</v>
      </c>
      <c r="F1860" s="67" t="str">
        <f>COLORES!B8</f>
        <v>CLARO</v>
      </c>
      <c r="G1860" s="90" t="s">
        <v>378</v>
      </c>
      <c r="H1860" s="100">
        <f>IFERROR(SUMIFS(MOVIMIENTOS_COMPLEMENTOS!$I$4:$I$803,MOVIMIENTOS_COMPLEMENTOS!$C$4:$C$803,A1860,MOVIMIENTOS_COMPLEMENTOS!$D$4:$D$803,B1860,MOVIMIENTOS_COMPLEMENTOS!$E$4:$E$803,C1860,MOVIMIENTOS_COMPLEMENTOS!$G$4:$G$803,E1860,MOVIMIENTOS_COMPLEMENTOS!$H$4:$H$803,G1860,MOVIMIENTOS_COMPLEMENTOS!$B$4:$B$803,"INGRESO")+SUMIFS(MOVIMIENTOS_COMPLEMENTOS!$I$4:$I$803,MOVIMIENTOS_COMPLEMENTOS!$C$4:$C$803,A1860,MOVIMIENTOS_COMPLEMENTOS!$D$4:$D$803,B1860,MOVIMIENTOS_COMPLEMENTOS!$E$4:$E$803,C1860,MOVIMIENTOS_COMPLEMENTOS!$G$4:$G$803,E1860,MOVIMIENTOS_COMPLEMENTOS!$H$4:$H$803,G1860,MOVIMIENTOS_COMPLEMENTOS!$B$4:$B$803,"DE CORTE")-SUMIFS(MOVIMIENTOS_COMPLEMENTOS!$I$4:$I$803,MOVIMIENTOS_COMPLEMENTOS!$C$4:$C$803,A1860,MOVIMIENTOS_COMPLEMENTOS!$D$4:$D$803,B1860,MOVIMIENTOS_COMPLEMENTOS!$E$4:$E$803,C1860,MOVIMIENTOS_COMPLEMENTOS!$G$4:$G$803,E1860,MOVIMIENTOS_COMPLEMENTOS!$H$4:$H$803,G1860,MOVIMIENTOS_COMPLEMENTOS!$B$4:$B$803,"SALIDA"),0)</f>
        <v>0</v>
      </c>
      <c r="I1860" s="102">
        <f t="array" ref="I1860">IFERROR(INDEX(PRECIOS_COMPLEMENTOS!$C$4:$F$17,MATCH(B1860&amp;"_"&amp;C1860,PRECIOS_COMPLEMENTOS!$H$4:$H$17,0),IF(OR(G1860="S",G1860="20cm"),1,IF(OR(G1860="M",G1860="25cm"),2,IF(OR(G1860="L",G1860="30cm"),3,IF(OR(G1860="XL",G1860="35cm"),4,0))))),0)</f>
        <v>0.3</v>
      </c>
      <c r="J1860" s="103">
        <f t="shared" si="1"/>
        <v>0</v>
      </c>
      <c r="K1860" s="104" t="str">
        <f>IF(H1860&lt;0,"ERROR",IF(H1860=0,"",IF(H1860&lt;CONFIG!$B$4,"CRÍTICO",IF(H1860&lt;CONFIG!$B$5,"BAJO","OK"))))</f>
        <v/>
      </c>
    </row>
    <row r="1861" ht="15.75" hidden="1" customHeight="1">
      <c r="A1861" s="90" t="str">
        <f>IF(CLIENTES!A9="","",CLIENTES!A9)</f>
        <v/>
      </c>
      <c r="B1861" s="90" t="s">
        <v>324</v>
      </c>
      <c r="C1861" s="91" t="s">
        <v>328</v>
      </c>
      <c r="D1861" s="109" t="s">
        <v>353</v>
      </c>
      <c r="E1861" s="67" t="str">
        <f>COLORES!A8</f>
        <v>Beige</v>
      </c>
      <c r="F1861" s="67" t="str">
        <f>COLORES!B8</f>
        <v>CLARO</v>
      </c>
      <c r="G1861" s="90" t="s">
        <v>376</v>
      </c>
      <c r="H1861" s="100">
        <f>IFERROR(SUMIFS(MOVIMIENTOS_COMPLEMENTOS!$I$4:$I$803,MOVIMIENTOS_COMPLEMENTOS!$C$4:$C$803,A1861,MOVIMIENTOS_COMPLEMENTOS!$D$4:$D$803,B1861,MOVIMIENTOS_COMPLEMENTOS!$E$4:$E$803,C1861,MOVIMIENTOS_COMPLEMENTOS!$G$4:$G$803,E1861,MOVIMIENTOS_COMPLEMENTOS!$H$4:$H$803,G1861,MOVIMIENTOS_COMPLEMENTOS!$B$4:$B$803,"INGRESO")+SUMIFS(MOVIMIENTOS_COMPLEMENTOS!$I$4:$I$803,MOVIMIENTOS_COMPLEMENTOS!$C$4:$C$803,A1861,MOVIMIENTOS_COMPLEMENTOS!$D$4:$D$803,B1861,MOVIMIENTOS_COMPLEMENTOS!$E$4:$E$803,C1861,MOVIMIENTOS_COMPLEMENTOS!$G$4:$G$803,E1861,MOVIMIENTOS_COMPLEMENTOS!$H$4:$H$803,G1861,MOVIMIENTOS_COMPLEMENTOS!$B$4:$B$803,"DE CORTE")-SUMIFS(MOVIMIENTOS_COMPLEMENTOS!$I$4:$I$803,MOVIMIENTOS_COMPLEMENTOS!$C$4:$C$803,A1861,MOVIMIENTOS_COMPLEMENTOS!$D$4:$D$803,B1861,MOVIMIENTOS_COMPLEMENTOS!$E$4:$E$803,C1861,MOVIMIENTOS_COMPLEMENTOS!$G$4:$G$803,E1861,MOVIMIENTOS_COMPLEMENTOS!$H$4:$H$803,G1861,MOVIMIENTOS_COMPLEMENTOS!$B$4:$B$803,"SALIDA"),0)</f>
        <v>0</v>
      </c>
      <c r="I1861" s="102">
        <f t="array" ref="I1861">IFERROR(INDEX(PRECIOS_COMPLEMENTOS!$C$4:$F$17,MATCH(B1861&amp;"_"&amp;C1861,PRECIOS_COMPLEMENTOS!$H$4:$H$17,0),IF(OR(G1861="S",G1861="20cm"),1,IF(OR(G1861="M",G1861="25cm"),2,IF(OR(G1861="L",G1861="30cm"),3,IF(OR(G1861="XL",G1861="35cm"),4,0))))),0)</f>
        <v>0.3</v>
      </c>
      <c r="J1861" s="103">
        <f t="shared" si="1"/>
        <v>0</v>
      </c>
      <c r="K1861" s="104" t="str">
        <f>IF(H1861&lt;0,"ERROR",IF(H1861=0,"",IF(H1861&lt;CONFIG!$B$4,"CRÍTICO",IF(H1861&lt;CONFIG!$B$5,"BAJO","OK"))))</f>
        <v/>
      </c>
    </row>
    <row r="1862" ht="15.75" hidden="1" customHeight="1">
      <c r="A1862" s="90" t="str">
        <f>IF(CLIENTES!A9="","",CLIENTES!A9)</f>
        <v/>
      </c>
      <c r="B1862" s="90" t="s">
        <v>324</v>
      </c>
      <c r="C1862" s="91" t="s">
        <v>328</v>
      </c>
      <c r="D1862" s="109" t="s">
        <v>353</v>
      </c>
      <c r="E1862" s="67" t="str">
        <f>COLORES!A8</f>
        <v>Beige</v>
      </c>
      <c r="F1862" s="67" t="str">
        <f>COLORES!B8</f>
        <v>CLARO</v>
      </c>
      <c r="G1862" s="90" t="s">
        <v>377</v>
      </c>
      <c r="H1862" s="100">
        <f>IFERROR(SUMIFS(MOVIMIENTOS_COMPLEMENTOS!$I$4:$I$803,MOVIMIENTOS_COMPLEMENTOS!$C$4:$C$803,A1862,MOVIMIENTOS_COMPLEMENTOS!$D$4:$D$803,B1862,MOVIMIENTOS_COMPLEMENTOS!$E$4:$E$803,C1862,MOVIMIENTOS_COMPLEMENTOS!$G$4:$G$803,E1862,MOVIMIENTOS_COMPLEMENTOS!$H$4:$H$803,G1862,MOVIMIENTOS_COMPLEMENTOS!$B$4:$B$803,"INGRESO")+SUMIFS(MOVIMIENTOS_COMPLEMENTOS!$I$4:$I$803,MOVIMIENTOS_COMPLEMENTOS!$C$4:$C$803,A1862,MOVIMIENTOS_COMPLEMENTOS!$D$4:$D$803,B1862,MOVIMIENTOS_COMPLEMENTOS!$E$4:$E$803,C1862,MOVIMIENTOS_COMPLEMENTOS!$G$4:$G$803,E1862,MOVIMIENTOS_COMPLEMENTOS!$H$4:$H$803,G1862,MOVIMIENTOS_COMPLEMENTOS!$B$4:$B$803,"DE CORTE")-SUMIFS(MOVIMIENTOS_COMPLEMENTOS!$I$4:$I$803,MOVIMIENTOS_COMPLEMENTOS!$C$4:$C$803,A1862,MOVIMIENTOS_COMPLEMENTOS!$D$4:$D$803,B1862,MOVIMIENTOS_COMPLEMENTOS!$E$4:$E$803,C1862,MOVIMIENTOS_COMPLEMENTOS!$G$4:$G$803,E1862,MOVIMIENTOS_COMPLEMENTOS!$H$4:$H$803,G1862,MOVIMIENTOS_COMPLEMENTOS!$B$4:$B$803,"SALIDA"),0)</f>
        <v>0</v>
      </c>
      <c r="I1862" s="102">
        <f t="array" ref="I1862">IFERROR(INDEX(PRECIOS_COMPLEMENTOS!$C$4:$F$17,MATCH(B1862&amp;"_"&amp;C1862,PRECIOS_COMPLEMENTOS!$H$4:$H$17,0),IF(OR(G1862="S",G1862="20cm"),1,IF(OR(G1862="M",G1862="25cm"),2,IF(OR(G1862="L",G1862="30cm"),3,IF(OR(G1862="XL",G1862="35cm"),4,0))))),0)</f>
        <v>0.3</v>
      </c>
      <c r="J1862" s="103">
        <f t="shared" si="1"/>
        <v>0</v>
      </c>
      <c r="K1862" s="104" t="str">
        <f>IF(H1862&lt;0,"ERROR",IF(H1862=0,"",IF(H1862&lt;CONFIG!$B$4,"CRÍTICO",IF(H1862&lt;CONFIG!$B$5,"BAJO","OK"))))</f>
        <v/>
      </c>
    </row>
    <row r="1863" ht="15.75" hidden="1" customHeight="1">
      <c r="A1863" s="90" t="str">
        <f>IF(CLIENTES!A9="","",CLIENTES!A9)</f>
        <v/>
      </c>
      <c r="B1863" s="90" t="s">
        <v>324</v>
      </c>
      <c r="C1863" s="91" t="s">
        <v>328</v>
      </c>
      <c r="D1863" s="109" t="s">
        <v>353</v>
      </c>
      <c r="E1863" s="67" t="str">
        <f>COLORES!A8</f>
        <v>Beige</v>
      </c>
      <c r="F1863" s="67" t="str">
        <f>COLORES!B8</f>
        <v>CLARO</v>
      </c>
      <c r="G1863" s="90" t="s">
        <v>379</v>
      </c>
      <c r="H1863" s="100">
        <f>IFERROR(SUMIFS(MOVIMIENTOS_COMPLEMENTOS!$I$4:$I$803,MOVIMIENTOS_COMPLEMENTOS!$C$4:$C$803,A1863,MOVIMIENTOS_COMPLEMENTOS!$D$4:$D$803,B1863,MOVIMIENTOS_COMPLEMENTOS!$E$4:$E$803,C1863,MOVIMIENTOS_COMPLEMENTOS!$G$4:$G$803,E1863,MOVIMIENTOS_COMPLEMENTOS!$H$4:$H$803,G1863,MOVIMIENTOS_COMPLEMENTOS!$B$4:$B$803,"INGRESO")+SUMIFS(MOVIMIENTOS_COMPLEMENTOS!$I$4:$I$803,MOVIMIENTOS_COMPLEMENTOS!$C$4:$C$803,A1863,MOVIMIENTOS_COMPLEMENTOS!$D$4:$D$803,B1863,MOVIMIENTOS_COMPLEMENTOS!$E$4:$E$803,C1863,MOVIMIENTOS_COMPLEMENTOS!$G$4:$G$803,E1863,MOVIMIENTOS_COMPLEMENTOS!$H$4:$H$803,G1863,MOVIMIENTOS_COMPLEMENTOS!$B$4:$B$803,"DE CORTE")-SUMIFS(MOVIMIENTOS_COMPLEMENTOS!$I$4:$I$803,MOVIMIENTOS_COMPLEMENTOS!$C$4:$C$803,A1863,MOVIMIENTOS_COMPLEMENTOS!$D$4:$D$803,B1863,MOVIMIENTOS_COMPLEMENTOS!$E$4:$E$803,C1863,MOVIMIENTOS_COMPLEMENTOS!$G$4:$G$803,E1863,MOVIMIENTOS_COMPLEMENTOS!$H$4:$H$803,G1863,MOVIMIENTOS_COMPLEMENTOS!$B$4:$B$803,"SALIDA"),0)</f>
        <v>0</v>
      </c>
      <c r="I1863" s="102">
        <f t="array" ref="I1863">IFERROR(INDEX(PRECIOS_COMPLEMENTOS!$C$4:$F$17,MATCH(B1863&amp;"_"&amp;C1863,PRECIOS_COMPLEMENTOS!$H$4:$H$17,0),IF(OR(G1863="S",G1863="20cm"),1,IF(OR(G1863="M",G1863="25cm"),2,IF(OR(G1863="L",G1863="30cm"),3,IF(OR(G1863="XL",G1863="35cm"),4,0))))),0)</f>
        <v>0.3</v>
      </c>
      <c r="J1863" s="103">
        <f t="shared" si="1"/>
        <v>0</v>
      </c>
      <c r="K1863" s="104" t="str">
        <f>IF(H1863&lt;0,"ERROR",IF(H1863=0,"",IF(H1863&lt;CONFIG!$B$4,"CRÍTICO",IF(H1863&lt;CONFIG!$B$5,"BAJO","OK"))))</f>
        <v/>
      </c>
    </row>
    <row r="1864" ht="15.75" hidden="1" customHeight="1">
      <c r="A1864" s="90" t="str">
        <f>IF(CLIENTES!A9="","",CLIENTES!A9)</f>
        <v/>
      </c>
      <c r="B1864" s="90" t="s">
        <v>324</v>
      </c>
      <c r="C1864" s="91" t="s">
        <v>328</v>
      </c>
      <c r="D1864" s="109" t="s">
        <v>353</v>
      </c>
      <c r="E1864" s="67" t="str">
        <f>COLORES!A9</f>
        <v>Melange</v>
      </c>
      <c r="F1864" s="67" t="str">
        <f>COLORES!B9</f>
        <v>MELANGE</v>
      </c>
      <c r="G1864" s="90" t="s">
        <v>378</v>
      </c>
      <c r="H1864" s="100">
        <f>IFERROR(SUMIFS(MOVIMIENTOS_COMPLEMENTOS!$I$4:$I$803,MOVIMIENTOS_COMPLEMENTOS!$C$4:$C$803,A1864,MOVIMIENTOS_COMPLEMENTOS!$D$4:$D$803,B1864,MOVIMIENTOS_COMPLEMENTOS!$E$4:$E$803,C1864,MOVIMIENTOS_COMPLEMENTOS!$G$4:$G$803,E1864,MOVIMIENTOS_COMPLEMENTOS!$H$4:$H$803,G1864,MOVIMIENTOS_COMPLEMENTOS!$B$4:$B$803,"INGRESO")+SUMIFS(MOVIMIENTOS_COMPLEMENTOS!$I$4:$I$803,MOVIMIENTOS_COMPLEMENTOS!$C$4:$C$803,A1864,MOVIMIENTOS_COMPLEMENTOS!$D$4:$D$803,B1864,MOVIMIENTOS_COMPLEMENTOS!$E$4:$E$803,C1864,MOVIMIENTOS_COMPLEMENTOS!$G$4:$G$803,E1864,MOVIMIENTOS_COMPLEMENTOS!$H$4:$H$803,G1864,MOVIMIENTOS_COMPLEMENTOS!$B$4:$B$803,"DE CORTE")-SUMIFS(MOVIMIENTOS_COMPLEMENTOS!$I$4:$I$803,MOVIMIENTOS_COMPLEMENTOS!$C$4:$C$803,A1864,MOVIMIENTOS_COMPLEMENTOS!$D$4:$D$803,B1864,MOVIMIENTOS_COMPLEMENTOS!$E$4:$E$803,C1864,MOVIMIENTOS_COMPLEMENTOS!$G$4:$G$803,E1864,MOVIMIENTOS_COMPLEMENTOS!$H$4:$H$803,G1864,MOVIMIENTOS_COMPLEMENTOS!$B$4:$B$803,"SALIDA"),0)</f>
        <v>0</v>
      </c>
      <c r="I1864" s="102">
        <f t="array" ref="I1864">IFERROR(INDEX(PRECIOS_COMPLEMENTOS!$C$4:$F$17,MATCH(B1864&amp;"_"&amp;C1864,PRECIOS_COMPLEMENTOS!$H$4:$H$17,0),IF(OR(G1864="S",G1864="20cm"),1,IF(OR(G1864="M",G1864="25cm"),2,IF(OR(G1864="L",G1864="30cm"),3,IF(OR(G1864="XL",G1864="35cm"),4,0))))),0)</f>
        <v>0.3</v>
      </c>
      <c r="J1864" s="103">
        <f t="shared" si="1"/>
        <v>0</v>
      </c>
      <c r="K1864" s="104" t="str">
        <f>IF(H1864&lt;0,"ERROR",IF(H1864=0,"",IF(H1864&lt;CONFIG!$B$4,"CRÍTICO",IF(H1864&lt;CONFIG!$B$5,"BAJO","OK"))))</f>
        <v/>
      </c>
    </row>
    <row r="1865" ht="15.75" hidden="1" customHeight="1">
      <c r="A1865" s="90" t="str">
        <f>IF(CLIENTES!A9="","",CLIENTES!A9)</f>
        <v/>
      </c>
      <c r="B1865" s="90" t="s">
        <v>324</v>
      </c>
      <c r="C1865" s="91" t="s">
        <v>328</v>
      </c>
      <c r="D1865" s="109" t="s">
        <v>353</v>
      </c>
      <c r="E1865" s="67" t="str">
        <f>COLORES!A9</f>
        <v>Melange</v>
      </c>
      <c r="F1865" s="67" t="str">
        <f>COLORES!B9</f>
        <v>MELANGE</v>
      </c>
      <c r="G1865" s="90" t="s">
        <v>376</v>
      </c>
      <c r="H1865" s="100">
        <f>IFERROR(SUMIFS(MOVIMIENTOS_COMPLEMENTOS!$I$4:$I$803,MOVIMIENTOS_COMPLEMENTOS!$C$4:$C$803,A1865,MOVIMIENTOS_COMPLEMENTOS!$D$4:$D$803,B1865,MOVIMIENTOS_COMPLEMENTOS!$E$4:$E$803,C1865,MOVIMIENTOS_COMPLEMENTOS!$G$4:$G$803,E1865,MOVIMIENTOS_COMPLEMENTOS!$H$4:$H$803,G1865,MOVIMIENTOS_COMPLEMENTOS!$B$4:$B$803,"INGRESO")+SUMIFS(MOVIMIENTOS_COMPLEMENTOS!$I$4:$I$803,MOVIMIENTOS_COMPLEMENTOS!$C$4:$C$803,A1865,MOVIMIENTOS_COMPLEMENTOS!$D$4:$D$803,B1865,MOVIMIENTOS_COMPLEMENTOS!$E$4:$E$803,C1865,MOVIMIENTOS_COMPLEMENTOS!$G$4:$G$803,E1865,MOVIMIENTOS_COMPLEMENTOS!$H$4:$H$803,G1865,MOVIMIENTOS_COMPLEMENTOS!$B$4:$B$803,"DE CORTE")-SUMIFS(MOVIMIENTOS_COMPLEMENTOS!$I$4:$I$803,MOVIMIENTOS_COMPLEMENTOS!$C$4:$C$803,A1865,MOVIMIENTOS_COMPLEMENTOS!$D$4:$D$803,B1865,MOVIMIENTOS_COMPLEMENTOS!$E$4:$E$803,C1865,MOVIMIENTOS_COMPLEMENTOS!$G$4:$G$803,E1865,MOVIMIENTOS_COMPLEMENTOS!$H$4:$H$803,G1865,MOVIMIENTOS_COMPLEMENTOS!$B$4:$B$803,"SALIDA"),0)</f>
        <v>0</v>
      </c>
      <c r="I1865" s="102">
        <f t="array" ref="I1865">IFERROR(INDEX(PRECIOS_COMPLEMENTOS!$C$4:$F$17,MATCH(B1865&amp;"_"&amp;C1865,PRECIOS_COMPLEMENTOS!$H$4:$H$17,0),IF(OR(G1865="S",G1865="20cm"),1,IF(OR(G1865="M",G1865="25cm"),2,IF(OR(G1865="L",G1865="30cm"),3,IF(OR(G1865="XL",G1865="35cm"),4,0))))),0)</f>
        <v>0.3</v>
      </c>
      <c r="J1865" s="103">
        <f t="shared" si="1"/>
        <v>0</v>
      </c>
      <c r="K1865" s="104" t="str">
        <f>IF(H1865&lt;0,"ERROR",IF(H1865=0,"",IF(H1865&lt;CONFIG!$B$4,"CRÍTICO",IF(H1865&lt;CONFIG!$B$5,"BAJO","OK"))))</f>
        <v/>
      </c>
    </row>
    <row r="1866" ht="15.75" hidden="1" customHeight="1">
      <c r="A1866" s="90" t="str">
        <f>IF(CLIENTES!A9="","",CLIENTES!A9)</f>
        <v/>
      </c>
      <c r="B1866" s="90" t="s">
        <v>324</v>
      </c>
      <c r="C1866" s="91" t="s">
        <v>328</v>
      </c>
      <c r="D1866" s="109" t="s">
        <v>353</v>
      </c>
      <c r="E1866" s="67" t="str">
        <f>COLORES!A9</f>
        <v>Melange</v>
      </c>
      <c r="F1866" s="67" t="str">
        <f>COLORES!B9</f>
        <v>MELANGE</v>
      </c>
      <c r="G1866" s="90" t="s">
        <v>377</v>
      </c>
      <c r="H1866" s="100">
        <f>IFERROR(SUMIFS(MOVIMIENTOS_COMPLEMENTOS!$I$4:$I$803,MOVIMIENTOS_COMPLEMENTOS!$C$4:$C$803,A1866,MOVIMIENTOS_COMPLEMENTOS!$D$4:$D$803,B1866,MOVIMIENTOS_COMPLEMENTOS!$E$4:$E$803,C1866,MOVIMIENTOS_COMPLEMENTOS!$G$4:$G$803,E1866,MOVIMIENTOS_COMPLEMENTOS!$H$4:$H$803,G1866,MOVIMIENTOS_COMPLEMENTOS!$B$4:$B$803,"INGRESO")+SUMIFS(MOVIMIENTOS_COMPLEMENTOS!$I$4:$I$803,MOVIMIENTOS_COMPLEMENTOS!$C$4:$C$803,A1866,MOVIMIENTOS_COMPLEMENTOS!$D$4:$D$803,B1866,MOVIMIENTOS_COMPLEMENTOS!$E$4:$E$803,C1866,MOVIMIENTOS_COMPLEMENTOS!$G$4:$G$803,E1866,MOVIMIENTOS_COMPLEMENTOS!$H$4:$H$803,G1866,MOVIMIENTOS_COMPLEMENTOS!$B$4:$B$803,"DE CORTE")-SUMIFS(MOVIMIENTOS_COMPLEMENTOS!$I$4:$I$803,MOVIMIENTOS_COMPLEMENTOS!$C$4:$C$803,A1866,MOVIMIENTOS_COMPLEMENTOS!$D$4:$D$803,B1866,MOVIMIENTOS_COMPLEMENTOS!$E$4:$E$803,C1866,MOVIMIENTOS_COMPLEMENTOS!$G$4:$G$803,E1866,MOVIMIENTOS_COMPLEMENTOS!$H$4:$H$803,G1866,MOVIMIENTOS_COMPLEMENTOS!$B$4:$B$803,"SALIDA"),0)</f>
        <v>0</v>
      </c>
      <c r="I1866" s="102">
        <f t="array" ref="I1866">IFERROR(INDEX(PRECIOS_COMPLEMENTOS!$C$4:$F$17,MATCH(B1866&amp;"_"&amp;C1866,PRECIOS_COMPLEMENTOS!$H$4:$H$17,0),IF(OR(G1866="S",G1866="20cm"),1,IF(OR(G1866="M",G1866="25cm"),2,IF(OR(G1866="L",G1866="30cm"),3,IF(OR(G1866="XL",G1866="35cm"),4,0))))),0)</f>
        <v>0.3</v>
      </c>
      <c r="J1866" s="103">
        <f t="shared" si="1"/>
        <v>0</v>
      </c>
      <c r="K1866" s="104" t="str">
        <f>IF(H1866&lt;0,"ERROR",IF(H1866=0,"",IF(H1866&lt;CONFIG!$B$4,"CRÍTICO",IF(H1866&lt;CONFIG!$B$5,"BAJO","OK"))))</f>
        <v/>
      </c>
    </row>
    <row r="1867" ht="15.75" hidden="1" customHeight="1">
      <c r="A1867" s="90" t="str">
        <f>IF(CLIENTES!A9="","",CLIENTES!A9)</f>
        <v/>
      </c>
      <c r="B1867" s="90" t="s">
        <v>324</v>
      </c>
      <c r="C1867" s="91" t="s">
        <v>328</v>
      </c>
      <c r="D1867" s="109" t="s">
        <v>353</v>
      </c>
      <c r="E1867" s="67" t="str">
        <f>COLORES!A9</f>
        <v>Melange</v>
      </c>
      <c r="F1867" s="67" t="str">
        <f>COLORES!B9</f>
        <v>MELANGE</v>
      </c>
      <c r="G1867" s="90" t="s">
        <v>379</v>
      </c>
      <c r="H1867" s="100">
        <f>IFERROR(SUMIFS(MOVIMIENTOS_COMPLEMENTOS!$I$4:$I$803,MOVIMIENTOS_COMPLEMENTOS!$C$4:$C$803,A1867,MOVIMIENTOS_COMPLEMENTOS!$D$4:$D$803,B1867,MOVIMIENTOS_COMPLEMENTOS!$E$4:$E$803,C1867,MOVIMIENTOS_COMPLEMENTOS!$G$4:$G$803,E1867,MOVIMIENTOS_COMPLEMENTOS!$H$4:$H$803,G1867,MOVIMIENTOS_COMPLEMENTOS!$B$4:$B$803,"INGRESO")+SUMIFS(MOVIMIENTOS_COMPLEMENTOS!$I$4:$I$803,MOVIMIENTOS_COMPLEMENTOS!$C$4:$C$803,A1867,MOVIMIENTOS_COMPLEMENTOS!$D$4:$D$803,B1867,MOVIMIENTOS_COMPLEMENTOS!$E$4:$E$803,C1867,MOVIMIENTOS_COMPLEMENTOS!$G$4:$G$803,E1867,MOVIMIENTOS_COMPLEMENTOS!$H$4:$H$803,G1867,MOVIMIENTOS_COMPLEMENTOS!$B$4:$B$803,"DE CORTE")-SUMIFS(MOVIMIENTOS_COMPLEMENTOS!$I$4:$I$803,MOVIMIENTOS_COMPLEMENTOS!$C$4:$C$803,A1867,MOVIMIENTOS_COMPLEMENTOS!$D$4:$D$803,B1867,MOVIMIENTOS_COMPLEMENTOS!$E$4:$E$803,C1867,MOVIMIENTOS_COMPLEMENTOS!$G$4:$G$803,E1867,MOVIMIENTOS_COMPLEMENTOS!$H$4:$H$803,G1867,MOVIMIENTOS_COMPLEMENTOS!$B$4:$B$803,"SALIDA"),0)</f>
        <v>0</v>
      </c>
      <c r="I1867" s="102">
        <f t="array" ref="I1867">IFERROR(INDEX(PRECIOS_COMPLEMENTOS!$C$4:$F$17,MATCH(B1867&amp;"_"&amp;C1867,PRECIOS_COMPLEMENTOS!$H$4:$H$17,0),IF(OR(G1867="S",G1867="20cm"),1,IF(OR(G1867="M",G1867="25cm"),2,IF(OR(G1867="L",G1867="30cm"),3,IF(OR(G1867="XL",G1867="35cm"),4,0))))),0)</f>
        <v>0.3</v>
      </c>
      <c r="J1867" s="103">
        <f t="shared" si="1"/>
        <v>0</v>
      </c>
      <c r="K1867" s="104" t="str">
        <f>IF(H1867&lt;0,"ERROR",IF(H1867=0,"",IF(H1867&lt;CONFIG!$B$4,"CRÍTICO",IF(H1867&lt;CONFIG!$B$5,"BAJO","OK"))))</f>
        <v/>
      </c>
    </row>
    <row r="1868" ht="15.75" hidden="1" customHeight="1">
      <c r="A1868" s="90" t="str">
        <f>IF(CLIENTES!A9="","",CLIENTES!A9)</f>
        <v/>
      </c>
      <c r="B1868" s="90" t="s">
        <v>324</v>
      </c>
      <c r="C1868" s="91" t="s">
        <v>328</v>
      </c>
      <c r="D1868" s="109" t="s">
        <v>353</v>
      </c>
      <c r="E1868" s="67" t="str">
        <f>COLORES!A10</f>
        <v>Botella</v>
      </c>
      <c r="F1868" s="67" t="str">
        <f>COLORES!B10</f>
        <v>OSCURO</v>
      </c>
      <c r="G1868" s="90" t="s">
        <v>378</v>
      </c>
      <c r="H1868" s="100">
        <f>IFERROR(SUMIFS(MOVIMIENTOS_COMPLEMENTOS!$I$4:$I$803,MOVIMIENTOS_COMPLEMENTOS!$C$4:$C$803,A1868,MOVIMIENTOS_COMPLEMENTOS!$D$4:$D$803,B1868,MOVIMIENTOS_COMPLEMENTOS!$E$4:$E$803,C1868,MOVIMIENTOS_COMPLEMENTOS!$G$4:$G$803,E1868,MOVIMIENTOS_COMPLEMENTOS!$H$4:$H$803,G1868,MOVIMIENTOS_COMPLEMENTOS!$B$4:$B$803,"INGRESO")+SUMIFS(MOVIMIENTOS_COMPLEMENTOS!$I$4:$I$803,MOVIMIENTOS_COMPLEMENTOS!$C$4:$C$803,A1868,MOVIMIENTOS_COMPLEMENTOS!$D$4:$D$803,B1868,MOVIMIENTOS_COMPLEMENTOS!$E$4:$E$803,C1868,MOVIMIENTOS_COMPLEMENTOS!$G$4:$G$803,E1868,MOVIMIENTOS_COMPLEMENTOS!$H$4:$H$803,G1868,MOVIMIENTOS_COMPLEMENTOS!$B$4:$B$803,"DE CORTE")-SUMIFS(MOVIMIENTOS_COMPLEMENTOS!$I$4:$I$803,MOVIMIENTOS_COMPLEMENTOS!$C$4:$C$803,A1868,MOVIMIENTOS_COMPLEMENTOS!$D$4:$D$803,B1868,MOVIMIENTOS_COMPLEMENTOS!$E$4:$E$803,C1868,MOVIMIENTOS_COMPLEMENTOS!$G$4:$G$803,E1868,MOVIMIENTOS_COMPLEMENTOS!$H$4:$H$803,G1868,MOVIMIENTOS_COMPLEMENTOS!$B$4:$B$803,"SALIDA"),0)</f>
        <v>0</v>
      </c>
      <c r="I1868" s="102">
        <f t="array" ref="I1868">IFERROR(INDEX(PRECIOS_COMPLEMENTOS!$C$4:$F$17,MATCH(B1868&amp;"_"&amp;C1868,PRECIOS_COMPLEMENTOS!$H$4:$H$17,0),IF(OR(G1868="S",G1868="20cm"),1,IF(OR(G1868="M",G1868="25cm"),2,IF(OR(G1868="L",G1868="30cm"),3,IF(OR(G1868="XL",G1868="35cm"),4,0))))),0)</f>
        <v>0.3</v>
      </c>
      <c r="J1868" s="103">
        <f t="shared" si="1"/>
        <v>0</v>
      </c>
      <c r="K1868" s="104" t="str">
        <f>IF(H1868&lt;0,"ERROR",IF(H1868=0,"",IF(H1868&lt;CONFIG!$B$4,"CRÍTICO",IF(H1868&lt;CONFIG!$B$5,"BAJO","OK"))))</f>
        <v/>
      </c>
    </row>
    <row r="1869" ht="15.75" hidden="1" customHeight="1">
      <c r="A1869" s="90" t="str">
        <f>IF(CLIENTES!A9="","",CLIENTES!A9)</f>
        <v/>
      </c>
      <c r="B1869" s="90" t="s">
        <v>324</v>
      </c>
      <c r="C1869" s="91" t="s">
        <v>328</v>
      </c>
      <c r="D1869" s="109" t="s">
        <v>353</v>
      </c>
      <c r="E1869" s="67" t="str">
        <f>COLORES!A10</f>
        <v>Botella</v>
      </c>
      <c r="F1869" s="67" t="str">
        <f>COLORES!B10</f>
        <v>OSCURO</v>
      </c>
      <c r="G1869" s="90" t="s">
        <v>376</v>
      </c>
      <c r="H1869" s="100">
        <f>IFERROR(SUMIFS(MOVIMIENTOS_COMPLEMENTOS!$I$4:$I$803,MOVIMIENTOS_COMPLEMENTOS!$C$4:$C$803,A1869,MOVIMIENTOS_COMPLEMENTOS!$D$4:$D$803,B1869,MOVIMIENTOS_COMPLEMENTOS!$E$4:$E$803,C1869,MOVIMIENTOS_COMPLEMENTOS!$G$4:$G$803,E1869,MOVIMIENTOS_COMPLEMENTOS!$H$4:$H$803,G1869,MOVIMIENTOS_COMPLEMENTOS!$B$4:$B$803,"INGRESO")+SUMIFS(MOVIMIENTOS_COMPLEMENTOS!$I$4:$I$803,MOVIMIENTOS_COMPLEMENTOS!$C$4:$C$803,A1869,MOVIMIENTOS_COMPLEMENTOS!$D$4:$D$803,B1869,MOVIMIENTOS_COMPLEMENTOS!$E$4:$E$803,C1869,MOVIMIENTOS_COMPLEMENTOS!$G$4:$G$803,E1869,MOVIMIENTOS_COMPLEMENTOS!$H$4:$H$803,G1869,MOVIMIENTOS_COMPLEMENTOS!$B$4:$B$803,"DE CORTE")-SUMIFS(MOVIMIENTOS_COMPLEMENTOS!$I$4:$I$803,MOVIMIENTOS_COMPLEMENTOS!$C$4:$C$803,A1869,MOVIMIENTOS_COMPLEMENTOS!$D$4:$D$803,B1869,MOVIMIENTOS_COMPLEMENTOS!$E$4:$E$803,C1869,MOVIMIENTOS_COMPLEMENTOS!$G$4:$G$803,E1869,MOVIMIENTOS_COMPLEMENTOS!$H$4:$H$803,G1869,MOVIMIENTOS_COMPLEMENTOS!$B$4:$B$803,"SALIDA"),0)</f>
        <v>0</v>
      </c>
      <c r="I1869" s="102">
        <f t="array" ref="I1869">IFERROR(INDEX(PRECIOS_COMPLEMENTOS!$C$4:$F$17,MATCH(B1869&amp;"_"&amp;C1869,PRECIOS_COMPLEMENTOS!$H$4:$H$17,0),IF(OR(G1869="S",G1869="20cm"),1,IF(OR(G1869="M",G1869="25cm"),2,IF(OR(G1869="L",G1869="30cm"),3,IF(OR(G1869="XL",G1869="35cm"),4,0))))),0)</f>
        <v>0.3</v>
      </c>
      <c r="J1869" s="103">
        <f t="shared" si="1"/>
        <v>0</v>
      </c>
      <c r="K1869" s="104" t="str">
        <f>IF(H1869&lt;0,"ERROR",IF(H1869=0,"",IF(H1869&lt;CONFIG!$B$4,"CRÍTICO",IF(H1869&lt;CONFIG!$B$5,"BAJO","OK"))))</f>
        <v/>
      </c>
    </row>
    <row r="1870" ht="15.75" hidden="1" customHeight="1">
      <c r="A1870" s="90" t="str">
        <f>IF(CLIENTES!A9="","",CLIENTES!A9)</f>
        <v/>
      </c>
      <c r="B1870" s="90" t="s">
        <v>324</v>
      </c>
      <c r="C1870" s="91" t="s">
        <v>328</v>
      </c>
      <c r="D1870" s="109" t="s">
        <v>353</v>
      </c>
      <c r="E1870" s="67" t="str">
        <f>COLORES!A10</f>
        <v>Botella</v>
      </c>
      <c r="F1870" s="67" t="str">
        <f>COLORES!B10</f>
        <v>OSCURO</v>
      </c>
      <c r="G1870" s="90" t="s">
        <v>377</v>
      </c>
      <c r="H1870" s="100">
        <f>IFERROR(SUMIFS(MOVIMIENTOS_COMPLEMENTOS!$I$4:$I$803,MOVIMIENTOS_COMPLEMENTOS!$C$4:$C$803,A1870,MOVIMIENTOS_COMPLEMENTOS!$D$4:$D$803,B1870,MOVIMIENTOS_COMPLEMENTOS!$E$4:$E$803,C1870,MOVIMIENTOS_COMPLEMENTOS!$G$4:$G$803,E1870,MOVIMIENTOS_COMPLEMENTOS!$H$4:$H$803,G1870,MOVIMIENTOS_COMPLEMENTOS!$B$4:$B$803,"INGRESO")+SUMIFS(MOVIMIENTOS_COMPLEMENTOS!$I$4:$I$803,MOVIMIENTOS_COMPLEMENTOS!$C$4:$C$803,A1870,MOVIMIENTOS_COMPLEMENTOS!$D$4:$D$803,B1870,MOVIMIENTOS_COMPLEMENTOS!$E$4:$E$803,C1870,MOVIMIENTOS_COMPLEMENTOS!$G$4:$G$803,E1870,MOVIMIENTOS_COMPLEMENTOS!$H$4:$H$803,G1870,MOVIMIENTOS_COMPLEMENTOS!$B$4:$B$803,"DE CORTE")-SUMIFS(MOVIMIENTOS_COMPLEMENTOS!$I$4:$I$803,MOVIMIENTOS_COMPLEMENTOS!$C$4:$C$803,A1870,MOVIMIENTOS_COMPLEMENTOS!$D$4:$D$803,B1870,MOVIMIENTOS_COMPLEMENTOS!$E$4:$E$803,C1870,MOVIMIENTOS_COMPLEMENTOS!$G$4:$G$803,E1870,MOVIMIENTOS_COMPLEMENTOS!$H$4:$H$803,G1870,MOVIMIENTOS_COMPLEMENTOS!$B$4:$B$803,"SALIDA"),0)</f>
        <v>0</v>
      </c>
      <c r="I1870" s="102">
        <f t="array" ref="I1870">IFERROR(INDEX(PRECIOS_COMPLEMENTOS!$C$4:$F$17,MATCH(B1870&amp;"_"&amp;C1870,PRECIOS_COMPLEMENTOS!$H$4:$H$17,0),IF(OR(G1870="S",G1870="20cm"),1,IF(OR(G1870="M",G1870="25cm"),2,IF(OR(G1870="L",G1870="30cm"),3,IF(OR(G1870="XL",G1870="35cm"),4,0))))),0)</f>
        <v>0.3</v>
      </c>
      <c r="J1870" s="103">
        <f t="shared" si="1"/>
        <v>0</v>
      </c>
      <c r="K1870" s="104" t="str">
        <f>IF(H1870&lt;0,"ERROR",IF(H1870=0,"",IF(H1870&lt;CONFIG!$B$4,"CRÍTICO",IF(H1870&lt;CONFIG!$B$5,"BAJO","OK"))))</f>
        <v/>
      </c>
    </row>
    <row r="1871" ht="15.75" hidden="1" customHeight="1">
      <c r="A1871" s="90" t="str">
        <f>IF(CLIENTES!A9="","",CLIENTES!A9)</f>
        <v/>
      </c>
      <c r="B1871" s="90" t="s">
        <v>324</v>
      </c>
      <c r="C1871" s="91" t="s">
        <v>328</v>
      </c>
      <c r="D1871" s="109" t="s">
        <v>353</v>
      </c>
      <c r="E1871" s="67" t="str">
        <f>COLORES!A10</f>
        <v>Botella</v>
      </c>
      <c r="F1871" s="67" t="str">
        <f>COLORES!B10</f>
        <v>OSCURO</v>
      </c>
      <c r="G1871" s="90" t="s">
        <v>379</v>
      </c>
      <c r="H1871" s="100">
        <f>IFERROR(SUMIFS(MOVIMIENTOS_COMPLEMENTOS!$I$4:$I$803,MOVIMIENTOS_COMPLEMENTOS!$C$4:$C$803,A1871,MOVIMIENTOS_COMPLEMENTOS!$D$4:$D$803,B1871,MOVIMIENTOS_COMPLEMENTOS!$E$4:$E$803,C1871,MOVIMIENTOS_COMPLEMENTOS!$G$4:$G$803,E1871,MOVIMIENTOS_COMPLEMENTOS!$H$4:$H$803,G1871,MOVIMIENTOS_COMPLEMENTOS!$B$4:$B$803,"INGRESO")+SUMIFS(MOVIMIENTOS_COMPLEMENTOS!$I$4:$I$803,MOVIMIENTOS_COMPLEMENTOS!$C$4:$C$803,A1871,MOVIMIENTOS_COMPLEMENTOS!$D$4:$D$803,B1871,MOVIMIENTOS_COMPLEMENTOS!$E$4:$E$803,C1871,MOVIMIENTOS_COMPLEMENTOS!$G$4:$G$803,E1871,MOVIMIENTOS_COMPLEMENTOS!$H$4:$H$803,G1871,MOVIMIENTOS_COMPLEMENTOS!$B$4:$B$803,"DE CORTE")-SUMIFS(MOVIMIENTOS_COMPLEMENTOS!$I$4:$I$803,MOVIMIENTOS_COMPLEMENTOS!$C$4:$C$803,A1871,MOVIMIENTOS_COMPLEMENTOS!$D$4:$D$803,B1871,MOVIMIENTOS_COMPLEMENTOS!$E$4:$E$803,C1871,MOVIMIENTOS_COMPLEMENTOS!$G$4:$G$803,E1871,MOVIMIENTOS_COMPLEMENTOS!$H$4:$H$803,G1871,MOVIMIENTOS_COMPLEMENTOS!$B$4:$B$803,"SALIDA"),0)</f>
        <v>0</v>
      </c>
      <c r="I1871" s="102">
        <f t="array" ref="I1871">IFERROR(INDEX(PRECIOS_COMPLEMENTOS!$C$4:$F$17,MATCH(B1871&amp;"_"&amp;C1871,PRECIOS_COMPLEMENTOS!$H$4:$H$17,0),IF(OR(G1871="S",G1871="20cm"),1,IF(OR(G1871="M",G1871="25cm"),2,IF(OR(G1871="L",G1871="30cm"),3,IF(OR(G1871="XL",G1871="35cm"),4,0))))),0)</f>
        <v>0.3</v>
      </c>
      <c r="J1871" s="103">
        <f t="shared" si="1"/>
        <v>0</v>
      </c>
      <c r="K1871" s="104" t="str">
        <f>IF(H1871&lt;0,"ERROR",IF(H1871=0,"",IF(H1871&lt;CONFIG!$B$4,"CRÍTICO",IF(H1871&lt;CONFIG!$B$5,"BAJO","OK"))))</f>
        <v/>
      </c>
    </row>
    <row r="1872" ht="15.75" hidden="1" customHeight="1">
      <c r="A1872" s="90" t="str">
        <f>IF(CLIENTES!A9="","",CLIENTES!A9)</f>
        <v/>
      </c>
      <c r="B1872" s="90" t="s">
        <v>324</v>
      </c>
      <c r="C1872" s="91" t="s">
        <v>328</v>
      </c>
      <c r="D1872" s="109" t="s">
        <v>353</v>
      </c>
      <c r="E1872" s="67" t="str">
        <f>COLORES!A11</f>
        <v>Pacay</v>
      </c>
      <c r="F1872" s="67" t="str">
        <f>COLORES!B11</f>
        <v>CLARO</v>
      </c>
      <c r="G1872" s="90" t="s">
        <v>378</v>
      </c>
      <c r="H1872" s="100">
        <f>IFERROR(SUMIFS(MOVIMIENTOS_COMPLEMENTOS!$I$4:$I$803,MOVIMIENTOS_COMPLEMENTOS!$C$4:$C$803,A1872,MOVIMIENTOS_COMPLEMENTOS!$D$4:$D$803,B1872,MOVIMIENTOS_COMPLEMENTOS!$E$4:$E$803,C1872,MOVIMIENTOS_COMPLEMENTOS!$G$4:$G$803,E1872,MOVIMIENTOS_COMPLEMENTOS!$H$4:$H$803,G1872,MOVIMIENTOS_COMPLEMENTOS!$B$4:$B$803,"INGRESO")+SUMIFS(MOVIMIENTOS_COMPLEMENTOS!$I$4:$I$803,MOVIMIENTOS_COMPLEMENTOS!$C$4:$C$803,A1872,MOVIMIENTOS_COMPLEMENTOS!$D$4:$D$803,B1872,MOVIMIENTOS_COMPLEMENTOS!$E$4:$E$803,C1872,MOVIMIENTOS_COMPLEMENTOS!$G$4:$G$803,E1872,MOVIMIENTOS_COMPLEMENTOS!$H$4:$H$803,G1872,MOVIMIENTOS_COMPLEMENTOS!$B$4:$B$803,"DE CORTE")-SUMIFS(MOVIMIENTOS_COMPLEMENTOS!$I$4:$I$803,MOVIMIENTOS_COMPLEMENTOS!$C$4:$C$803,A1872,MOVIMIENTOS_COMPLEMENTOS!$D$4:$D$803,B1872,MOVIMIENTOS_COMPLEMENTOS!$E$4:$E$803,C1872,MOVIMIENTOS_COMPLEMENTOS!$G$4:$G$803,E1872,MOVIMIENTOS_COMPLEMENTOS!$H$4:$H$803,G1872,MOVIMIENTOS_COMPLEMENTOS!$B$4:$B$803,"SALIDA"),0)</f>
        <v>0</v>
      </c>
      <c r="I1872" s="102">
        <f t="array" ref="I1872">IFERROR(INDEX(PRECIOS_COMPLEMENTOS!$C$4:$F$17,MATCH(B1872&amp;"_"&amp;C1872,PRECIOS_COMPLEMENTOS!$H$4:$H$17,0),IF(OR(G1872="S",G1872="20cm"),1,IF(OR(G1872="M",G1872="25cm"),2,IF(OR(G1872="L",G1872="30cm"),3,IF(OR(G1872="XL",G1872="35cm"),4,0))))),0)</f>
        <v>0.3</v>
      </c>
      <c r="J1872" s="103">
        <f t="shared" si="1"/>
        <v>0</v>
      </c>
      <c r="K1872" s="104" t="str">
        <f>IF(H1872&lt;0,"ERROR",IF(H1872=0,"",IF(H1872&lt;CONFIG!$B$4,"CRÍTICO",IF(H1872&lt;CONFIG!$B$5,"BAJO","OK"))))</f>
        <v/>
      </c>
    </row>
    <row r="1873" ht="15.75" hidden="1" customHeight="1">
      <c r="A1873" s="90" t="str">
        <f>IF(CLIENTES!A9="","",CLIENTES!A9)</f>
        <v/>
      </c>
      <c r="B1873" s="90" t="s">
        <v>324</v>
      </c>
      <c r="C1873" s="91" t="s">
        <v>328</v>
      </c>
      <c r="D1873" s="109" t="s">
        <v>353</v>
      </c>
      <c r="E1873" s="67" t="str">
        <f>COLORES!A11</f>
        <v>Pacay</v>
      </c>
      <c r="F1873" s="67" t="str">
        <f>COLORES!B11</f>
        <v>CLARO</v>
      </c>
      <c r="G1873" s="90" t="s">
        <v>376</v>
      </c>
      <c r="H1873" s="100">
        <f>IFERROR(SUMIFS(MOVIMIENTOS_COMPLEMENTOS!$I$4:$I$803,MOVIMIENTOS_COMPLEMENTOS!$C$4:$C$803,A1873,MOVIMIENTOS_COMPLEMENTOS!$D$4:$D$803,B1873,MOVIMIENTOS_COMPLEMENTOS!$E$4:$E$803,C1873,MOVIMIENTOS_COMPLEMENTOS!$G$4:$G$803,E1873,MOVIMIENTOS_COMPLEMENTOS!$H$4:$H$803,G1873,MOVIMIENTOS_COMPLEMENTOS!$B$4:$B$803,"INGRESO")+SUMIFS(MOVIMIENTOS_COMPLEMENTOS!$I$4:$I$803,MOVIMIENTOS_COMPLEMENTOS!$C$4:$C$803,A1873,MOVIMIENTOS_COMPLEMENTOS!$D$4:$D$803,B1873,MOVIMIENTOS_COMPLEMENTOS!$E$4:$E$803,C1873,MOVIMIENTOS_COMPLEMENTOS!$G$4:$G$803,E1873,MOVIMIENTOS_COMPLEMENTOS!$H$4:$H$803,G1873,MOVIMIENTOS_COMPLEMENTOS!$B$4:$B$803,"DE CORTE")-SUMIFS(MOVIMIENTOS_COMPLEMENTOS!$I$4:$I$803,MOVIMIENTOS_COMPLEMENTOS!$C$4:$C$803,A1873,MOVIMIENTOS_COMPLEMENTOS!$D$4:$D$803,B1873,MOVIMIENTOS_COMPLEMENTOS!$E$4:$E$803,C1873,MOVIMIENTOS_COMPLEMENTOS!$G$4:$G$803,E1873,MOVIMIENTOS_COMPLEMENTOS!$H$4:$H$803,G1873,MOVIMIENTOS_COMPLEMENTOS!$B$4:$B$803,"SALIDA"),0)</f>
        <v>0</v>
      </c>
      <c r="I1873" s="102">
        <f t="array" ref="I1873">IFERROR(INDEX(PRECIOS_COMPLEMENTOS!$C$4:$F$17,MATCH(B1873&amp;"_"&amp;C1873,PRECIOS_COMPLEMENTOS!$H$4:$H$17,0),IF(OR(G1873="S",G1873="20cm"),1,IF(OR(G1873="M",G1873="25cm"),2,IF(OR(G1873="L",G1873="30cm"),3,IF(OR(G1873="XL",G1873="35cm"),4,0))))),0)</f>
        <v>0.3</v>
      </c>
      <c r="J1873" s="103">
        <f t="shared" si="1"/>
        <v>0</v>
      </c>
      <c r="K1873" s="104" t="str">
        <f>IF(H1873&lt;0,"ERROR",IF(H1873=0,"",IF(H1873&lt;CONFIG!$B$4,"CRÍTICO",IF(H1873&lt;CONFIG!$B$5,"BAJO","OK"))))</f>
        <v/>
      </c>
    </row>
    <row r="1874" ht="15.75" hidden="1" customHeight="1">
      <c r="A1874" s="90" t="str">
        <f>IF(CLIENTES!A9="","",CLIENTES!A9)</f>
        <v/>
      </c>
      <c r="B1874" s="90" t="s">
        <v>324</v>
      </c>
      <c r="C1874" s="91" t="s">
        <v>328</v>
      </c>
      <c r="D1874" s="109" t="s">
        <v>353</v>
      </c>
      <c r="E1874" s="67" t="str">
        <f>COLORES!A11</f>
        <v>Pacay</v>
      </c>
      <c r="F1874" s="67" t="str">
        <f>COLORES!B11</f>
        <v>CLARO</v>
      </c>
      <c r="G1874" s="90" t="s">
        <v>377</v>
      </c>
      <c r="H1874" s="100">
        <f>IFERROR(SUMIFS(MOVIMIENTOS_COMPLEMENTOS!$I$4:$I$803,MOVIMIENTOS_COMPLEMENTOS!$C$4:$C$803,A1874,MOVIMIENTOS_COMPLEMENTOS!$D$4:$D$803,B1874,MOVIMIENTOS_COMPLEMENTOS!$E$4:$E$803,C1874,MOVIMIENTOS_COMPLEMENTOS!$G$4:$G$803,E1874,MOVIMIENTOS_COMPLEMENTOS!$H$4:$H$803,G1874,MOVIMIENTOS_COMPLEMENTOS!$B$4:$B$803,"INGRESO")+SUMIFS(MOVIMIENTOS_COMPLEMENTOS!$I$4:$I$803,MOVIMIENTOS_COMPLEMENTOS!$C$4:$C$803,A1874,MOVIMIENTOS_COMPLEMENTOS!$D$4:$D$803,B1874,MOVIMIENTOS_COMPLEMENTOS!$E$4:$E$803,C1874,MOVIMIENTOS_COMPLEMENTOS!$G$4:$G$803,E1874,MOVIMIENTOS_COMPLEMENTOS!$H$4:$H$803,G1874,MOVIMIENTOS_COMPLEMENTOS!$B$4:$B$803,"DE CORTE")-SUMIFS(MOVIMIENTOS_COMPLEMENTOS!$I$4:$I$803,MOVIMIENTOS_COMPLEMENTOS!$C$4:$C$803,A1874,MOVIMIENTOS_COMPLEMENTOS!$D$4:$D$803,B1874,MOVIMIENTOS_COMPLEMENTOS!$E$4:$E$803,C1874,MOVIMIENTOS_COMPLEMENTOS!$G$4:$G$803,E1874,MOVIMIENTOS_COMPLEMENTOS!$H$4:$H$803,G1874,MOVIMIENTOS_COMPLEMENTOS!$B$4:$B$803,"SALIDA"),0)</f>
        <v>0</v>
      </c>
      <c r="I1874" s="102">
        <f t="array" ref="I1874">IFERROR(INDEX(PRECIOS_COMPLEMENTOS!$C$4:$F$17,MATCH(B1874&amp;"_"&amp;C1874,PRECIOS_COMPLEMENTOS!$H$4:$H$17,0),IF(OR(G1874="S",G1874="20cm"),1,IF(OR(G1874="M",G1874="25cm"),2,IF(OR(G1874="L",G1874="30cm"),3,IF(OR(G1874="XL",G1874="35cm"),4,0))))),0)</f>
        <v>0.3</v>
      </c>
      <c r="J1874" s="103">
        <f t="shared" si="1"/>
        <v>0</v>
      </c>
      <c r="K1874" s="104" t="str">
        <f>IF(H1874&lt;0,"ERROR",IF(H1874=0,"",IF(H1874&lt;CONFIG!$B$4,"CRÍTICO",IF(H1874&lt;CONFIG!$B$5,"BAJO","OK"))))</f>
        <v/>
      </c>
    </row>
    <row r="1875" ht="15.75" hidden="1" customHeight="1">
      <c r="A1875" s="90" t="str">
        <f>IF(CLIENTES!A9="","",CLIENTES!A9)</f>
        <v/>
      </c>
      <c r="B1875" s="90" t="s">
        <v>324</v>
      </c>
      <c r="C1875" s="91" t="s">
        <v>328</v>
      </c>
      <c r="D1875" s="109" t="s">
        <v>353</v>
      </c>
      <c r="E1875" s="67" t="str">
        <f>COLORES!A11</f>
        <v>Pacay</v>
      </c>
      <c r="F1875" s="67" t="str">
        <f>COLORES!B11</f>
        <v>CLARO</v>
      </c>
      <c r="G1875" s="90" t="s">
        <v>379</v>
      </c>
      <c r="H1875" s="100">
        <f>IFERROR(SUMIFS(MOVIMIENTOS_COMPLEMENTOS!$I$4:$I$803,MOVIMIENTOS_COMPLEMENTOS!$C$4:$C$803,A1875,MOVIMIENTOS_COMPLEMENTOS!$D$4:$D$803,B1875,MOVIMIENTOS_COMPLEMENTOS!$E$4:$E$803,C1875,MOVIMIENTOS_COMPLEMENTOS!$G$4:$G$803,E1875,MOVIMIENTOS_COMPLEMENTOS!$H$4:$H$803,G1875,MOVIMIENTOS_COMPLEMENTOS!$B$4:$B$803,"INGRESO")+SUMIFS(MOVIMIENTOS_COMPLEMENTOS!$I$4:$I$803,MOVIMIENTOS_COMPLEMENTOS!$C$4:$C$803,A1875,MOVIMIENTOS_COMPLEMENTOS!$D$4:$D$803,B1875,MOVIMIENTOS_COMPLEMENTOS!$E$4:$E$803,C1875,MOVIMIENTOS_COMPLEMENTOS!$G$4:$G$803,E1875,MOVIMIENTOS_COMPLEMENTOS!$H$4:$H$803,G1875,MOVIMIENTOS_COMPLEMENTOS!$B$4:$B$803,"DE CORTE")-SUMIFS(MOVIMIENTOS_COMPLEMENTOS!$I$4:$I$803,MOVIMIENTOS_COMPLEMENTOS!$C$4:$C$803,A1875,MOVIMIENTOS_COMPLEMENTOS!$D$4:$D$803,B1875,MOVIMIENTOS_COMPLEMENTOS!$E$4:$E$803,C1875,MOVIMIENTOS_COMPLEMENTOS!$G$4:$G$803,E1875,MOVIMIENTOS_COMPLEMENTOS!$H$4:$H$803,G1875,MOVIMIENTOS_COMPLEMENTOS!$B$4:$B$803,"SALIDA"),0)</f>
        <v>0</v>
      </c>
      <c r="I1875" s="102">
        <f t="array" ref="I1875">IFERROR(INDEX(PRECIOS_COMPLEMENTOS!$C$4:$F$17,MATCH(B1875&amp;"_"&amp;C1875,PRECIOS_COMPLEMENTOS!$H$4:$H$17,0),IF(OR(G1875="S",G1875="20cm"),1,IF(OR(G1875="M",G1875="25cm"),2,IF(OR(G1875="L",G1875="30cm"),3,IF(OR(G1875="XL",G1875="35cm"),4,0))))),0)</f>
        <v>0.3</v>
      </c>
      <c r="J1875" s="103">
        <f t="shared" si="1"/>
        <v>0</v>
      </c>
      <c r="K1875" s="104" t="str">
        <f>IF(H1875&lt;0,"ERROR",IF(H1875=0,"",IF(H1875&lt;CONFIG!$B$4,"CRÍTICO",IF(H1875&lt;CONFIG!$B$5,"BAJO","OK"))))</f>
        <v/>
      </c>
    </row>
    <row r="1876" ht="15.75" hidden="1" customHeight="1">
      <c r="A1876" s="90" t="str">
        <f>IF(CLIENTES!A9="","",CLIENTES!A9)</f>
        <v/>
      </c>
      <c r="B1876" s="90" t="s">
        <v>324</v>
      </c>
      <c r="C1876" s="91" t="s">
        <v>328</v>
      </c>
      <c r="D1876" s="109" t="s">
        <v>353</v>
      </c>
      <c r="E1876" s="67" t="str">
        <f>COLORES!A12</f>
        <v>Cemento</v>
      </c>
      <c r="F1876" s="67" t="str">
        <f>COLORES!B12</f>
        <v>CLARO</v>
      </c>
      <c r="G1876" s="90" t="s">
        <v>378</v>
      </c>
      <c r="H1876" s="100">
        <f>IFERROR(SUMIFS(MOVIMIENTOS_COMPLEMENTOS!$I$4:$I$803,MOVIMIENTOS_COMPLEMENTOS!$C$4:$C$803,A1876,MOVIMIENTOS_COMPLEMENTOS!$D$4:$D$803,B1876,MOVIMIENTOS_COMPLEMENTOS!$E$4:$E$803,C1876,MOVIMIENTOS_COMPLEMENTOS!$G$4:$G$803,E1876,MOVIMIENTOS_COMPLEMENTOS!$H$4:$H$803,G1876,MOVIMIENTOS_COMPLEMENTOS!$B$4:$B$803,"INGRESO")+SUMIFS(MOVIMIENTOS_COMPLEMENTOS!$I$4:$I$803,MOVIMIENTOS_COMPLEMENTOS!$C$4:$C$803,A1876,MOVIMIENTOS_COMPLEMENTOS!$D$4:$D$803,B1876,MOVIMIENTOS_COMPLEMENTOS!$E$4:$E$803,C1876,MOVIMIENTOS_COMPLEMENTOS!$G$4:$G$803,E1876,MOVIMIENTOS_COMPLEMENTOS!$H$4:$H$803,G1876,MOVIMIENTOS_COMPLEMENTOS!$B$4:$B$803,"DE CORTE")-SUMIFS(MOVIMIENTOS_COMPLEMENTOS!$I$4:$I$803,MOVIMIENTOS_COMPLEMENTOS!$C$4:$C$803,A1876,MOVIMIENTOS_COMPLEMENTOS!$D$4:$D$803,B1876,MOVIMIENTOS_COMPLEMENTOS!$E$4:$E$803,C1876,MOVIMIENTOS_COMPLEMENTOS!$G$4:$G$803,E1876,MOVIMIENTOS_COMPLEMENTOS!$H$4:$H$803,G1876,MOVIMIENTOS_COMPLEMENTOS!$B$4:$B$803,"SALIDA"),0)</f>
        <v>0</v>
      </c>
      <c r="I1876" s="102">
        <f t="array" ref="I1876">IFERROR(INDEX(PRECIOS_COMPLEMENTOS!$C$4:$F$17,MATCH(B1876&amp;"_"&amp;C1876,PRECIOS_COMPLEMENTOS!$H$4:$H$17,0),IF(OR(G1876="S",G1876="20cm"),1,IF(OR(G1876="M",G1876="25cm"),2,IF(OR(G1876="L",G1876="30cm"),3,IF(OR(G1876="XL",G1876="35cm"),4,0))))),0)</f>
        <v>0.3</v>
      </c>
      <c r="J1876" s="103">
        <f t="shared" si="1"/>
        <v>0</v>
      </c>
      <c r="K1876" s="104" t="str">
        <f>IF(H1876&lt;0,"ERROR",IF(H1876=0,"",IF(H1876&lt;CONFIG!$B$4,"CRÍTICO",IF(H1876&lt;CONFIG!$B$5,"BAJO","OK"))))</f>
        <v/>
      </c>
    </row>
    <row r="1877" ht="15.75" hidden="1" customHeight="1">
      <c r="A1877" s="90" t="str">
        <f>IF(CLIENTES!A9="","",CLIENTES!A9)</f>
        <v/>
      </c>
      <c r="B1877" s="90" t="s">
        <v>324</v>
      </c>
      <c r="C1877" s="91" t="s">
        <v>328</v>
      </c>
      <c r="D1877" s="109" t="s">
        <v>353</v>
      </c>
      <c r="E1877" s="67" t="str">
        <f>COLORES!A12</f>
        <v>Cemento</v>
      </c>
      <c r="F1877" s="67" t="str">
        <f>COLORES!B12</f>
        <v>CLARO</v>
      </c>
      <c r="G1877" s="90" t="s">
        <v>376</v>
      </c>
      <c r="H1877" s="100">
        <f>IFERROR(SUMIFS(MOVIMIENTOS_COMPLEMENTOS!$I$4:$I$803,MOVIMIENTOS_COMPLEMENTOS!$C$4:$C$803,A1877,MOVIMIENTOS_COMPLEMENTOS!$D$4:$D$803,B1877,MOVIMIENTOS_COMPLEMENTOS!$E$4:$E$803,C1877,MOVIMIENTOS_COMPLEMENTOS!$G$4:$G$803,E1877,MOVIMIENTOS_COMPLEMENTOS!$H$4:$H$803,G1877,MOVIMIENTOS_COMPLEMENTOS!$B$4:$B$803,"INGRESO")+SUMIFS(MOVIMIENTOS_COMPLEMENTOS!$I$4:$I$803,MOVIMIENTOS_COMPLEMENTOS!$C$4:$C$803,A1877,MOVIMIENTOS_COMPLEMENTOS!$D$4:$D$803,B1877,MOVIMIENTOS_COMPLEMENTOS!$E$4:$E$803,C1877,MOVIMIENTOS_COMPLEMENTOS!$G$4:$G$803,E1877,MOVIMIENTOS_COMPLEMENTOS!$H$4:$H$803,G1877,MOVIMIENTOS_COMPLEMENTOS!$B$4:$B$803,"DE CORTE")-SUMIFS(MOVIMIENTOS_COMPLEMENTOS!$I$4:$I$803,MOVIMIENTOS_COMPLEMENTOS!$C$4:$C$803,A1877,MOVIMIENTOS_COMPLEMENTOS!$D$4:$D$803,B1877,MOVIMIENTOS_COMPLEMENTOS!$E$4:$E$803,C1877,MOVIMIENTOS_COMPLEMENTOS!$G$4:$G$803,E1877,MOVIMIENTOS_COMPLEMENTOS!$H$4:$H$803,G1877,MOVIMIENTOS_COMPLEMENTOS!$B$4:$B$803,"SALIDA"),0)</f>
        <v>0</v>
      </c>
      <c r="I1877" s="102">
        <f t="array" ref="I1877">IFERROR(INDEX(PRECIOS_COMPLEMENTOS!$C$4:$F$17,MATCH(B1877&amp;"_"&amp;C1877,PRECIOS_COMPLEMENTOS!$H$4:$H$17,0),IF(OR(G1877="S",G1877="20cm"),1,IF(OR(G1877="M",G1877="25cm"),2,IF(OR(G1877="L",G1877="30cm"),3,IF(OR(G1877="XL",G1877="35cm"),4,0))))),0)</f>
        <v>0.3</v>
      </c>
      <c r="J1877" s="103">
        <f t="shared" si="1"/>
        <v>0</v>
      </c>
      <c r="K1877" s="104" t="str">
        <f>IF(H1877&lt;0,"ERROR",IF(H1877=0,"",IF(H1877&lt;CONFIG!$B$4,"CRÍTICO",IF(H1877&lt;CONFIG!$B$5,"BAJO","OK"))))</f>
        <v/>
      </c>
    </row>
    <row r="1878" ht="15.75" hidden="1" customHeight="1">
      <c r="A1878" s="90" t="str">
        <f>IF(CLIENTES!A9="","",CLIENTES!A9)</f>
        <v/>
      </c>
      <c r="B1878" s="90" t="s">
        <v>324</v>
      </c>
      <c r="C1878" s="91" t="s">
        <v>328</v>
      </c>
      <c r="D1878" s="109" t="s">
        <v>353</v>
      </c>
      <c r="E1878" s="67" t="str">
        <f>COLORES!A12</f>
        <v>Cemento</v>
      </c>
      <c r="F1878" s="67" t="str">
        <f>COLORES!B12</f>
        <v>CLARO</v>
      </c>
      <c r="G1878" s="90" t="s">
        <v>377</v>
      </c>
      <c r="H1878" s="100">
        <f>IFERROR(SUMIFS(MOVIMIENTOS_COMPLEMENTOS!$I$4:$I$803,MOVIMIENTOS_COMPLEMENTOS!$C$4:$C$803,A1878,MOVIMIENTOS_COMPLEMENTOS!$D$4:$D$803,B1878,MOVIMIENTOS_COMPLEMENTOS!$E$4:$E$803,C1878,MOVIMIENTOS_COMPLEMENTOS!$G$4:$G$803,E1878,MOVIMIENTOS_COMPLEMENTOS!$H$4:$H$803,G1878,MOVIMIENTOS_COMPLEMENTOS!$B$4:$B$803,"INGRESO")+SUMIFS(MOVIMIENTOS_COMPLEMENTOS!$I$4:$I$803,MOVIMIENTOS_COMPLEMENTOS!$C$4:$C$803,A1878,MOVIMIENTOS_COMPLEMENTOS!$D$4:$D$803,B1878,MOVIMIENTOS_COMPLEMENTOS!$E$4:$E$803,C1878,MOVIMIENTOS_COMPLEMENTOS!$G$4:$G$803,E1878,MOVIMIENTOS_COMPLEMENTOS!$H$4:$H$803,G1878,MOVIMIENTOS_COMPLEMENTOS!$B$4:$B$803,"DE CORTE")-SUMIFS(MOVIMIENTOS_COMPLEMENTOS!$I$4:$I$803,MOVIMIENTOS_COMPLEMENTOS!$C$4:$C$803,A1878,MOVIMIENTOS_COMPLEMENTOS!$D$4:$D$803,B1878,MOVIMIENTOS_COMPLEMENTOS!$E$4:$E$803,C1878,MOVIMIENTOS_COMPLEMENTOS!$G$4:$G$803,E1878,MOVIMIENTOS_COMPLEMENTOS!$H$4:$H$803,G1878,MOVIMIENTOS_COMPLEMENTOS!$B$4:$B$803,"SALIDA"),0)</f>
        <v>0</v>
      </c>
      <c r="I1878" s="102">
        <f t="array" ref="I1878">IFERROR(INDEX(PRECIOS_COMPLEMENTOS!$C$4:$F$17,MATCH(B1878&amp;"_"&amp;C1878,PRECIOS_COMPLEMENTOS!$H$4:$H$17,0),IF(OR(G1878="S",G1878="20cm"),1,IF(OR(G1878="M",G1878="25cm"),2,IF(OR(G1878="L",G1878="30cm"),3,IF(OR(G1878="XL",G1878="35cm"),4,0))))),0)</f>
        <v>0.3</v>
      </c>
      <c r="J1878" s="103">
        <f t="shared" si="1"/>
        <v>0</v>
      </c>
      <c r="K1878" s="104" t="str">
        <f>IF(H1878&lt;0,"ERROR",IF(H1878=0,"",IF(H1878&lt;CONFIG!$B$4,"CRÍTICO",IF(H1878&lt;CONFIG!$B$5,"BAJO","OK"))))</f>
        <v/>
      </c>
    </row>
    <row r="1879" ht="15.75" hidden="1" customHeight="1">
      <c r="A1879" s="90" t="str">
        <f>IF(CLIENTES!A9="","",CLIENTES!A9)</f>
        <v/>
      </c>
      <c r="B1879" s="90" t="s">
        <v>324</v>
      </c>
      <c r="C1879" s="91" t="s">
        <v>328</v>
      </c>
      <c r="D1879" s="109" t="s">
        <v>353</v>
      </c>
      <c r="E1879" s="67" t="str">
        <f>COLORES!A12</f>
        <v>Cemento</v>
      </c>
      <c r="F1879" s="67" t="str">
        <f>COLORES!B12</f>
        <v>CLARO</v>
      </c>
      <c r="G1879" s="90" t="s">
        <v>379</v>
      </c>
      <c r="H1879" s="100">
        <f>IFERROR(SUMIFS(MOVIMIENTOS_COMPLEMENTOS!$I$4:$I$803,MOVIMIENTOS_COMPLEMENTOS!$C$4:$C$803,A1879,MOVIMIENTOS_COMPLEMENTOS!$D$4:$D$803,B1879,MOVIMIENTOS_COMPLEMENTOS!$E$4:$E$803,C1879,MOVIMIENTOS_COMPLEMENTOS!$G$4:$G$803,E1879,MOVIMIENTOS_COMPLEMENTOS!$H$4:$H$803,G1879,MOVIMIENTOS_COMPLEMENTOS!$B$4:$B$803,"INGRESO")+SUMIFS(MOVIMIENTOS_COMPLEMENTOS!$I$4:$I$803,MOVIMIENTOS_COMPLEMENTOS!$C$4:$C$803,A1879,MOVIMIENTOS_COMPLEMENTOS!$D$4:$D$803,B1879,MOVIMIENTOS_COMPLEMENTOS!$E$4:$E$803,C1879,MOVIMIENTOS_COMPLEMENTOS!$G$4:$G$803,E1879,MOVIMIENTOS_COMPLEMENTOS!$H$4:$H$803,G1879,MOVIMIENTOS_COMPLEMENTOS!$B$4:$B$803,"DE CORTE")-SUMIFS(MOVIMIENTOS_COMPLEMENTOS!$I$4:$I$803,MOVIMIENTOS_COMPLEMENTOS!$C$4:$C$803,A1879,MOVIMIENTOS_COMPLEMENTOS!$D$4:$D$803,B1879,MOVIMIENTOS_COMPLEMENTOS!$E$4:$E$803,C1879,MOVIMIENTOS_COMPLEMENTOS!$G$4:$G$803,E1879,MOVIMIENTOS_COMPLEMENTOS!$H$4:$H$803,G1879,MOVIMIENTOS_COMPLEMENTOS!$B$4:$B$803,"SALIDA"),0)</f>
        <v>0</v>
      </c>
      <c r="I1879" s="102">
        <f t="array" ref="I1879">IFERROR(INDEX(PRECIOS_COMPLEMENTOS!$C$4:$F$17,MATCH(B1879&amp;"_"&amp;C1879,PRECIOS_COMPLEMENTOS!$H$4:$H$17,0),IF(OR(G1879="S",G1879="20cm"),1,IF(OR(G1879="M",G1879="25cm"),2,IF(OR(G1879="L",G1879="30cm"),3,IF(OR(G1879="XL",G1879="35cm"),4,0))))),0)</f>
        <v>0.3</v>
      </c>
      <c r="J1879" s="103">
        <f t="shared" si="1"/>
        <v>0</v>
      </c>
      <c r="K1879" s="104" t="str">
        <f>IF(H1879&lt;0,"ERROR",IF(H1879=0,"",IF(H1879&lt;CONFIG!$B$4,"CRÍTICO",IF(H1879&lt;CONFIG!$B$5,"BAJO","OK"))))</f>
        <v/>
      </c>
    </row>
    <row r="1880" ht="15.75" hidden="1" customHeight="1">
      <c r="A1880" s="90" t="str">
        <f>IF(CLIENTES!A9="","",CLIENTES!A9)</f>
        <v/>
      </c>
      <c r="B1880" s="90" t="s">
        <v>324</v>
      </c>
      <c r="C1880" s="91" t="s">
        <v>328</v>
      </c>
      <c r="D1880" s="109" t="s">
        <v>353</v>
      </c>
      <c r="E1880" s="67" t="str">
        <f>COLORES!A13</f>
        <v>Camote</v>
      </c>
      <c r="F1880" s="67" t="str">
        <f>COLORES!B13</f>
        <v>CLARO</v>
      </c>
      <c r="G1880" s="90" t="s">
        <v>378</v>
      </c>
      <c r="H1880" s="100">
        <f>IFERROR(SUMIFS(MOVIMIENTOS_COMPLEMENTOS!$I$4:$I$803,MOVIMIENTOS_COMPLEMENTOS!$C$4:$C$803,A1880,MOVIMIENTOS_COMPLEMENTOS!$D$4:$D$803,B1880,MOVIMIENTOS_COMPLEMENTOS!$E$4:$E$803,C1880,MOVIMIENTOS_COMPLEMENTOS!$G$4:$G$803,E1880,MOVIMIENTOS_COMPLEMENTOS!$H$4:$H$803,G1880,MOVIMIENTOS_COMPLEMENTOS!$B$4:$B$803,"INGRESO")+SUMIFS(MOVIMIENTOS_COMPLEMENTOS!$I$4:$I$803,MOVIMIENTOS_COMPLEMENTOS!$C$4:$C$803,A1880,MOVIMIENTOS_COMPLEMENTOS!$D$4:$D$803,B1880,MOVIMIENTOS_COMPLEMENTOS!$E$4:$E$803,C1880,MOVIMIENTOS_COMPLEMENTOS!$G$4:$G$803,E1880,MOVIMIENTOS_COMPLEMENTOS!$H$4:$H$803,G1880,MOVIMIENTOS_COMPLEMENTOS!$B$4:$B$803,"DE CORTE")-SUMIFS(MOVIMIENTOS_COMPLEMENTOS!$I$4:$I$803,MOVIMIENTOS_COMPLEMENTOS!$C$4:$C$803,A1880,MOVIMIENTOS_COMPLEMENTOS!$D$4:$D$803,B1880,MOVIMIENTOS_COMPLEMENTOS!$E$4:$E$803,C1880,MOVIMIENTOS_COMPLEMENTOS!$G$4:$G$803,E1880,MOVIMIENTOS_COMPLEMENTOS!$H$4:$H$803,G1880,MOVIMIENTOS_COMPLEMENTOS!$B$4:$B$803,"SALIDA"),0)</f>
        <v>0</v>
      </c>
      <c r="I1880" s="102">
        <f t="array" ref="I1880">IFERROR(INDEX(PRECIOS_COMPLEMENTOS!$C$4:$F$17,MATCH(B1880&amp;"_"&amp;C1880,PRECIOS_COMPLEMENTOS!$H$4:$H$17,0),IF(OR(G1880="S",G1880="20cm"),1,IF(OR(G1880="M",G1880="25cm"),2,IF(OR(G1880="L",G1880="30cm"),3,IF(OR(G1880="XL",G1880="35cm"),4,0))))),0)</f>
        <v>0.3</v>
      </c>
      <c r="J1880" s="103">
        <f t="shared" si="1"/>
        <v>0</v>
      </c>
      <c r="K1880" s="104" t="str">
        <f>IF(H1880&lt;0,"ERROR",IF(H1880=0,"",IF(H1880&lt;CONFIG!$B$4,"CRÍTICO",IF(H1880&lt;CONFIG!$B$5,"BAJO","OK"))))</f>
        <v/>
      </c>
    </row>
    <row r="1881" ht="15.75" hidden="1" customHeight="1">
      <c r="A1881" s="90" t="str">
        <f>IF(CLIENTES!A9="","",CLIENTES!A9)</f>
        <v/>
      </c>
      <c r="B1881" s="90" t="s">
        <v>324</v>
      </c>
      <c r="C1881" s="91" t="s">
        <v>328</v>
      </c>
      <c r="D1881" s="109" t="s">
        <v>353</v>
      </c>
      <c r="E1881" s="67" t="str">
        <f>COLORES!A13</f>
        <v>Camote</v>
      </c>
      <c r="F1881" s="67" t="str">
        <f>COLORES!B13</f>
        <v>CLARO</v>
      </c>
      <c r="G1881" s="90" t="s">
        <v>376</v>
      </c>
      <c r="H1881" s="100">
        <f>IFERROR(SUMIFS(MOVIMIENTOS_COMPLEMENTOS!$I$4:$I$803,MOVIMIENTOS_COMPLEMENTOS!$C$4:$C$803,A1881,MOVIMIENTOS_COMPLEMENTOS!$D$4:$D$803,B1881,MOVIMIENTOS_COMPLEMENTOS!$E$4:$E$803,C1881,MOVIMIENTOS_COMPLEMENTOS!$G$4:$G$803,E1881,MOVIMIENTOS_COMPLEMENTOS!$H$4:$H$803,G1881,MOVIMIENTOS_COMPLEMENTOS!$B$4:$B$803,"INGRESO")+SUMIFS(MOVIMIENTOS_COMPLEMENTOS!$I$4:$I$803,MOVIMIENTOS_COMPLEMENTOS!$C$4:$C$803,A1881,MOVIMIENTOS_COMPLEMENTOS!$D$4:$D$803,B1881,MOVIMIENTOS_COMPLEMENTOS!$E$4:$E$803,C1881,MOVIMIENTOS_COMPLEMENTOS!$G$4:$G$803,E1881,MOVIMIENTOS_COMPLEMENTOS!$H$4:$H$803,G1881,MOVIMIENTOS_COMPLEMENTOS!$B$4:$B$803,"DE CORTE")-SUMIFS(MOVIMIENTOS_COMPLEMENTOS!$I$4:$I$803,MOVIMIENTOS_COMPLEMENTOS!$C$4:$C$803,A1881,MOVIMIENTOS_COMPLEMENTOS!$D$4:$D$803,B1881,MOVIMIENTOS_COMPLEMENTOS!$E$4:$E$803,C1881,MOVIMIENTOS_COMPLEMENTOS!$G$4:$G$803,E1881,MOVIMIENTOS_COMPLEMENTOS!$H$4:$H$803,G1881,MOVIMIENTOS_COMPLEMENTOS!$B$4:$B$803,"SALIDA"),0)</f>
        <v>0</v>
      </c>
      <c r="I1881" s="102">
        <f t="array" ref="I1881">IFERROR(INDEX(PRECIOS_COMPLEMENTOS!$C$4:$F$17,MATCH(B1881&amp;"_"&amp;C1881,PRECIOS_COMPLEMENTOS!$H$4:$H$17,0),IF(OR(G1881="S",G1881="20cm"),1,IF(OR(G1881="M",G1881="25cm"),2,IF(OR(G1881="L",G1881="30cm"),3,IF(OR(G1881="XL",G1881="35cm"),4,0))))),0)</f>
        <v>0.3</v>
      </c>
      <c r="J1881" s="103">
        <f t="shared" si="1"/>
        <v>0</v>
      </c>
      <c r="K1881" s="104" t="str">
        <f>IF(H1881&lt;0,"ERROR",IF(H1881=0,"",IF(H1881&lt;CONFIG!$B$4,"CRÍTICO",IF(H1881&lt;CONFIG!$B$5,"BAJO","OK"))))</f>
        <v/>
      </c>
    </row>
    <row r="1882" ht="15.75" hidden="1" customHeight="1">
      <c r="A1882" s="90" t="str">
        <f>IF(CLIENTES!A9="","",CLIENTES!A9)</f>
        <v/>
      </c>
      <c r="B1882" s="90" t="s">
        <v>324</v>
      </c>
      <c r="C1882" s="91" t="s">
        <v>328</v>
      </c>
      <c r="D1882" s="109" t="s">
        <v>353</v>
      </c>
      <c r="E1882" s="67" t="str">
        <f>COLORES!A13</f>
        <v>Camote</v>
      </c>
      <c r="F1882" s="67" t="str">
        <f>COLORES!B13</f>
        <v>CLARO</v>
      </c>
      <c r="G1882" s="90" t="s">
        <v>377</v>
      </c>
      <c r="H1882" s="100">
        <f>IFERROR(SUMIFS(MOVIMIENTOS_COMPLEMENTOS!$I$4:$I$803,MOVIMIENTOS_COMPLEMENTOS!$C$4:$C$803,A1882,MOVIMIENTOS_COMPLEMENTOS!$D$4:$D$803,B1882,MOVIMIENTOS_COMPLEMENTOS!$E$4:$E$803,C1882,MOVIMIENTOS_COMPLEMENTOS!$G$4:$G$803,E1882,MOVIMIENTOS_COMPLEMENTOS!$H$4:$H$803,G1882,MOVIMIENTOS_COMPLEMENTOS!$B$4:$B$803,"INGRESO")+SUMIFS(MOVIMIENTOS_COMPLEMENTOS!$I$4:$I$803,MOVIMIENTOS_COMPLEMENTOS!$C$4:$C$803,A1882,MOVIMIENTOS_COMPLEMENTOS!$D$4:$D$803,B1882,MOVIMIENTOS_COMPLEMENTOS!$E$4:$E$803,C1882,MOVIMIENTOS_COMPLEMENTOS!$G$4:$G$803,E1882,MOVIMIENTOS_COMPLEMENTOS!$H$4:$H$803,G1882,MOVIMIENTOS_COMPLEMENTOS!$B$4:$B$803,"DE CORTE")-SUMIFS(MOVIMIENTOS_COMPLEMENTOS!$I$4:$I$803,MOVIMIENTOS_COMPLEMENTOS!$C$4:$C$803,A1882,MOVIMIENTOS_COMPLEMENTOS!$D$4:$D$803,B1882,MOVIMIENTOS_COMPLEMENTOS!$E$4:$E$803,C1882,MOVIMIENTOS_COMPLEMENTOS!$G$4:$G$803,E1882,MOVIMIENTOS_COMPLEMENTOS!$H$4:$H$803,G1882,MOVIMIENTOS_COMPLEMENTOS!$B$4:$B$803,"SALIDA"),0)</f>
        <v>0</v>
      </c>
      <c r="I1882" s="102">
        <f t="array" ref="I1882">IFERROR(INDEX(PRECIOS_COMPLEMENTOS!$C$4:$F$17,MATCH(B1882&amp;"_"&amp;C1882,PRECIOS_COMPLEMENTOS!$H$4:$H$17,0),IF(OR(G1882="S",G1882="20cm"),1,IF(OR(G1882="M",G1882="25cm"),2,IF(OR(G1882="L",G1882="30cm"),3,IF(OR(G1882="XL",G1882="35cm"),4,0))))),0)</f>
        <v>0.3</v>
      </c>
      <c r="J1882" s="103">
        <f t="shared" si="1"/>
        <v>0</v>
      </c>
      <c r="K1882" s="104" t="str">
        <f>IF(H1882&lt;0,"ERROR",IF(H1882=0,"",IF(H1882&lt;CONFIG!$B$4,"CRÍTICO",IF(H1882&lt;CONFIG!$B$5,"BAJO","OK"))))</f>
        <v/>
      </c>
    </row>
    <row r="1883" ht="15.75" hidden="1" customHeight="1">
      <c r="A1883" s="90" t="str">
        <f>IF(CLIENTES!A9="","",CLIENTES!A9)</f>
        <v/>
      </c>
      <c r="B1883" s="90" t="s">
        <v>324</v>
      </c>
      <c r="C1883" s="91" t="s">
        <v>328</v>
      </c>
      <c r="D1883" s="109" t="s">
        <v>353</v>
      </c>
      <c r="E1883" s="67" t="str">
        <f>COLORES!A13</f>
        <v>Camote</v>
      </c>
      <c r="F1883" s="67" t="str">
        <f>COLORES!B13</f>
        <v>CLARO</v>
      </c>
      <c r="G1883" s="90" t="s">
        <v>379</v>
      </c>
      <c r="H1883" s="100">
        <f>IFERROR(SUMIFS(MOVIMIENTOS_COMPLEMENTOS!$I$4:$I$803,MOVIMIENTOS_COMPLEMENTOS!$C$4:$C$803,A1883,MOVIMIENTOS_COMPLEMENTOS!$D$4:$D$803,B1883,MOVIMIENTOS_COMPLEMENTOS!$E$4:$E$803,C1883,MOVIMIENTOS_COMPLEMENTOS!$G$4:$G$803,E1883,MOVIMIENTOS_COMPLEMENTOS!$H$4:$H$803,G1883,MOVIMIENTOS_COMPLEMENTOS!$B$4:$B$803,"INGRESO")+SUMIFS(MOVIMIENTOS_COMPLEMENTOS!$I$4:$I$803,MOVIMIENTOS_COMPLEMENTOS!$C$4:$C$803,A1883,MOVIMIENTOS_COMPLEMENTOS!$D$4:$D$803,B1883,MOVIMIENTOS_COMPLEMENTOS!$E$4:$E$803,C1883,MOVIMIENTOS_COMPLEMENTOS!$G$4:$G$803,E1883,MOVIMIENTOS_COMPLEMENTOS!$H$4:$H$803,G1883,MOVIMIENTOS_COMPLEMENTOS!$B$4:$B$803,"DE CORTE")-SUMIFS(MOVIMIENTOS_COMPLEMENTOS!$I$4:$I$803,MOVIMIENTOS_COMPLEMENTOS!$C$4:$C$803,A1883,MOVIMIENTOS_COMPLEMENTOS!$D$4:$D$803,B1883,MOVIMIENTOS_COMPLEMENTOS!$E$4:$E$803,C1883,MOVIMIENTOS_COMPLEMENTOS!$G$4:$G$803,E1883,MOVIMIENTOS_COMPLEMENTOS!$H$4:$H$803,G1883,MOVIMIENTOS_COMPLEMENTOS!$B$4:$B$803,"SALIDA"),0)</f>
        <v>0</v>
      </c>
      <c r="I1883" s="102">
        <f t="array" ref="I1883">IFERROR(INDEX(PRECIOS_COMPLEMENTOS!$C$4:$F$17,MATCH(B1883&amp;"_"&amp;C1883,PRECIOS_COMPLEMENTOS!$H$4:$H$17,0),IF(OR(G1883="S",G1883="20cm"),1,IF(OR(G1883="M",G1883="25cm"),2,IF(OR(G1883="L",G1883="30cm"),3,IF(OR(G1883="XL",G1883="35cm"),4,0))))),0)</f>
        <v>0.3</v>
      </c>
      <c r="J1883" s="103">
        <f t="shared" si="1"/>
        <v>0</v>
      </c>
      <c r="K1883" s="104" t="str">
        <f>IF(H1883&lt;0,"ERROR",IF(H1883=0,"",IF(H1883&lt;CONFIG!$B$4,"CRÍTICO",IF(H1883&lt;CONFIG!$B$5,"BAJO","OK"))))</f>
        <v/>
      </c>
    </row>
    <row r="1884" ht="15.75" hidden="1" customHeight="1">
      <c r="A1884" s="90" t="str">
        <f>IF(CLIENTES!A9="","",CLIENTES!A9)</f>
        <v/>
      </c>
      <c r="B1884" s="90" t="s">
        <v>324</v>
      </c>
      <c r="C1884" s="91" t="s">
        <v>328</v>
      </c>
      <c r="D1884" s="109" t="s">
        <v>353</v>
      </c>
      <c r="E1884" s="67" t="str">
        <f>COLORES!A14</f>
        <v>Denim</v>
      </c>
      <c r="F1884" s="67" t="str">
        <f>COLORES!B14</f>
        <v>CLARO</v>
      </c>
      <c r="G1884" s="90" t="s">
        <v>378</v>
      </c>
      <c r="H1884" s="100">
        <f>IFERROR(SUMIFS(MOVIMIENTOS_COMPLEMENTOS!$I$4:$I$803,MOVIMIENTOS_COMPLEMENTOS!$C$4:$C$803,A1884,MOVIMIENTOS_COMPLEMENTOS!$D$4:$D$803,B1884,MOVIMIENTOS_COMPLEMENTOS!$E$4:$E$803,C1884,MOVIMIENTOS_COMPLEMENTOS!$G$4:$G$803,E1884,MOVIMIENTOS_COMPLEMENTOS!$H$4:$H$803,G1884,MOVIMIENTOS_COMPLEMENTOS!$B$4:$B$803,"INGRESO")+SUMIFS(MOVIMIENTOS_COMPLEMENTOS!$I$4:$I$803,MOVIMIENTOS_COMPLEMENTOS!$C$4:$C$803,A1884,MOVIMIENTOS_COMPLEMENTOS!$D$4:$D$803,B1884,MOVIMIENTOS_COMPLEMENTOS!$E$4:$E$803,C1884,MOVIMIENTOS_COMPLEMENTOS!$G$4:$G$803,E1884,MOVIMIENTOS_COMPLEMENTOS!$H$4:$H$803,G1884,MOVIMIENTOS_COMPLEMENTOS!$B$4:$B$803,"DE CORTE")-SUMIFS(MOVIMIENTOS_COMPLEMENTOS!$I$4:$I$803,MOVIMIENTOS_COMPLEMENTOS!$C$4:$C$803,A1884,MOVIMIENTOS_COMPLEMENTOS!$D$4:$D$803,B1884,MOVIMIENTOS_COMPLEMENTOS!$E$4:$E$803,C1884,MOVIMIENTOS_COMPLEMENTOS!$G$4:$G$803,E1884,MOVIMIENTOS_COMPLEMENTOS!$H$4:$H$803,G1884,MOVIMIENTOS_COMPLEMENTOS!$B$4:$B$803,"SALIDA"),0)</f>
        <v>0</v>
      </c>
      <c r="I1884" s="102">
        <f t="array" ref="I1884">IFERROR(INDEX(PRECIOS_COMPLEMENTOS!$C$4:$F$17,MATCH(B1884&amp;"_"&amp;C1884,PRECIOS_COMPLEMENTOS!$H$4:$H$17,0),IF(OR(G1884="S",G1884="20cm"),1,IF(OR(G1884="M",G1884="25cm"),2,IF(OR(G1884="L",G1884="30cm"),3,IF(OR(G1884="XL",G1884="35cm"),4,0))))),0)</f>
        <v>0.3</v>
      </c>
      <c r="J1884" s="103">
        <f t="shared" si="1"/>
        <v>0</v>
      </c>
      <c r="K1884" s="104" t="str">
        <f>IF(H1884&lt;0,"ERROR",IF(H1884=0,"",IF(H1884&lt;CONFIG!$B$4,"CRÍTICO",IF(H1884&lt;CONFIG!$B$5,"BAJO","OK"))))</f>
        <v/>
      </c>
    </row>
    <row r="1885" ht="15.75" hidden="1" customHeight="1">
      <c r="A1885" s="90" t="str">
        <f>IF(CLIENTES!A9="","",CLIENTES!A9)</f>
        <v/>
      </c>
      <c r="B1885" s="90" t="s">
        <v>324</v>
      </c>
      <c r="C1885" s="91" t="s">
        <v>328</v>
      </c>
      <c r="D1885" s="109" t="s">
        <v>353</v>
      </c>
      <c r="E1885" s="67" t="str">
        <f>COLORES!A14</f>
        <v>Denim</v>
      </c>
      <c r="F1885" s="67" t="str">
        <f>COLORES!B14</f>
        <v>CLARO</v>
      </c>
      <c r="G1885" s="90" t="s">
        <v>376</v>
      </c>
      <c r="H1885" s="100">
        <f>IFERROR(SUMIFS(MOVIMIENTOS_COMPLEMENTOS!$I$4:$I$803,MOVIMIENTOS_COMPLEMENTOS!$C$4:$C$803,A1885,MOVIMIENTOS_COMPLEMENTOS!$D$4:$D$803,B1885,MOVIMIENTOS_COMPLEMENTOS!$E$4:$E$803,C1885,MOVIMIENTOS_COMPLEMENTOS!$G$4:$G$803,E1885,MOVIMIENTOS_COMPLEMENTOS!$H$4:$H$803,G1885,MOVIMIENTOS_COMPLEMENTOS!$B$4:$B$803,"INGRESO")+SUMIFS(MOVIMIENTOS_COMPLEMENTOS!$I$4:$I$803,MOVIMIENTOS_COMPLEMENTOS!$C$4:$C$803,A1885,MOVIMIENTOS_COMPLEMENTOS!$D$4:$D$803,B1885,MOVIMIENTOS_COMPLEMENTOS!$E$4:$E$803,C1885,MOVIMIENTOS_COMPLEMENTOS!$G$4:$G$803,E1885,MOVIMIENTOS_COMPLEMENTOS!$H$4:$H$803,G1885,MOVIMIENTOS_COMPLEMENTOS!$B$4:$B$803,"DE CORTE")-SUMIFS(MOVIMIENTOS_COMPLEMENTOS!$I$4:$I$803,MOVIMIENTOS_COMPLEMENTOS!$C$4:$C$803,A1885,MOVIMIENTOS_COMPLEMENTOS!$D$4:$D$803,B1885,MOVIMIENTOS_COMPLEMENTOS!$E$4:$E$803,C1885,MOVIMIENTOS_COMPLEMENTOS!$G$4:$G$803,E1885,MOVIMIENTOS_COMPLEMENTOS!$H$4:$H$803,G1885,MOVIMIENTOS_COMPLEMENTOS!$B$4:$B$803,"SALIDA"),0)</f>
        <v>0</v>
      </c>
      <c r="I1885" s="102">
        <f t="array" ref="I1885">IFERROR(INDEX(PRECIOS_COMPLEMENTOS!$C$4:$F$17,MATCH(B1885&amp;"_"&amp;C1885,PRECIOS_COMPLEMENTOS!$H$4:$H$17,0),IF(OR(G1885="S",G1885="20cm"),1,IF(OR(G1885="M",G1885="25cm"),2,IF(OR(G1885="L",G1885="30cm"),3,IF(OR(G1885="XL",G1885="35cm"),4,0))))),0)</f>
        <v>0.3</v>
      </c>
      <c r="J1885" s="103">
        <f t="shared" si="1"/>
        <v>0</v>
      </c>
      <c r="K1885" s="104" t="str">
        <f>IF(H1885&lt;0,"ERROR",IF(H1885=0,"",IF(H1885&lt;CONFIG!$B$4,"CRÍTICO",IF(H1885&lt;CONFIG!$B$5,"BAJO","OK"))))</f>
        <v/>
      </c>
    </row>
    <row r="1886" ht="15.75" hidden="1" customHeight="1">
      <c r="A1886" s="90" t="str">
        <f>IF(CLIENTES!A9="","",CLIENTES!A9)</f>
        <v/>
      </c>
      <c r="B1886" s="90" t="s">
        <v>324</v>
      </c>
      <c r="C1886" s="91" t="s">
        <v>328</v>
      </c>
      <c r="D1886" s="109" t="s">
        <v>353</v>
      </c>
      <c r="E1886" s="67" t="str">
        <f>COLORES!A14</f>
        <v>Denim</v>
      </c>
      <c r="F1886" s="67" t="str">
        <f>COLORES!B14</f>
        <v>CLARO</v>
      </c>
      <c r="G1886" s="90" t="s">
        <v>377</v>
      </c>
      <c r="H1886" s="100">
        <f>IFERROR(SUMIFS(MOVIMIENTOS_COMPLEMENTOS!$I$4:$I$803,MOVIMIENTOS_COMPLEMENTOS!$C$4:$C$803,A1886,MOVIMIENTOS_COMPLEMENTOS!$D$4:$D$803,B1886,MOVIMIENTOS_COMPLEMENTOS!$E$4:$E$803,C1886,MOVIMIENTOS_COMPLEMENTOS!$G$4:$G$803,E1886,MOVIMIENTOS_COMPLEMENTOS!$H$4:$H$803,G1886,MOVIMIENTOS_COMPLEMENTOS!$B$4:$B$803,"INGRESO")+SUMIFS(MOVIMIENTOS_COMPLEMENTOS!$I$4:$I$803,MOVIMIENTOS_COMPLEMENTOS!$C$4:$C$803,A1886,MOVIMIENTOS_COMPLEMENTOS!$D$4:$D$803,B1886,MOVIMIENTOS_COMPLEMENTOS!$E$4:$E$803,C1886,MOVIMIENTOS_COMPLEMENTOS!$G$4:$G$803,E1886,MOVIMIENTOS_COMPLEMENTOS!$H$4:$H$803,G1886,MOVIMIENTOS_COMPLEMENTOS!$B$4:$B$803,"DE CORTE")-SUMIFS(MOVIMIENTOS_COMPLEMENTOS!$I$4:$I$803,MOVIMIENTOS_COMPLEMENTOS!$C$4:$C$803,A1886,MOVIMIENTOS_COMPLEMENTOS!$D$4:$D$803,B1886,MOVIMIENTOS_COMPLEMENTOS!$E$4:$E$803,C1886,MOVIMIENTOS_COMPLEMENTOS!$G$4:$G$803,E1886,MOVIMIENTOS_COMPLEMENTOS!$H$4:$H$803,G1886,MOVIMIENTOS_COMPLEMENTOS!$B$4:$B$803,"SALIDA"),0)</f>
        <v>0</v>
      </c>
      <c r="I1886" s="102">
        <f t="array" ref="I1886">IFERROR(INDEX(PRECIOS_COMPLEMENTOS!$C$4:$F$17,MATCH(B1886&amp;"_"&amp;C1886,PRECIOS_COMPLEMENTOS!$H$4:$H$17,0),IF(OR(G1886="S",G1886="20cm"),1,IF(OR(G1886="M",G1886="25cm"),2,IF(OR(G1886="L",G1886="30cm"),3,IF(OR(G1886="XL",G1886="35cm"),4,0))))),0)</f>
        <v>0.3</v>
      </c>
      <c r="J1886" s="103">
        <f t="shared" si="1"/>
        <v>0</v>
      </c>
      <c r="K1886" s="104" t="str">
        <f>IF(H1886&lt;0,"ERROR",IF(H1886=0,"",IF(H1886&lt;CONFIG!$B$4,"CRÍTICO",IF(H1886&lt;CONFIG!$B$5,"BAJO","OK"))))</f>
        <v/>
      </c>
    </row>
    <row r="1887" ht="15.75" hidden="1" customHeight="1">
      <c r="A1887" s="90" t="str">
        <f>IF(CLIENTES!A9="","",CLIENTES!A9)</f>
        <v/>
      </c>
      <c r="B1887" s="90" t="s">
        <v>324</v>
      </c>
      <c r="C1887" s="91" t="s">
        <v>328</v>
      </c>
      <c r="D1887" s="109" t="s">
        <v>353</v>
      </c>
      <c r="E1887" s="67" t="str">
        <f>COLORES!A14</f>
        <v>Denim</v>
      </c>
      <c r="F1887" s="67" t="str">
        <f>COLORES!B14</f>
        <v>CLARO</v>
      </c>
      <c r="G1887" s="90" t="s">
        <v>379</v>
      </c>
      <c r="H1887" s="100">
        <f>IFERROR(SUMIFS(MOVIMIENTOS_COMPLEMENTOS!$I$4:$I$803,MOVIMIENTOS_COMPLEMENTOS!$C$4:$C$803,A1887,MOVIMIENTOS_COMPLEMENTOS!$D$4:$D$803,B1887,MOVIMIENTOS_COMPLEMENTOS!$E$4:$E$803,C1887,MOVIMIENTOS_COMPLEMENTOS!$G$4:$G$803,E1887,MOVIMIENTOS_COMPLEMENTOS!$H$4:$H$803,G1887,MOVIMIENTOS_COMPLEMENTOS!$B$4:$B$803,"INGRESO")+SUMIFS(MOVIMIENTOS_COMPLEMENTOS!$I$4:$I$803,MOVIMIENTOS_COMPLEMENTOS!$C$4:$C$803,A1887,MOVIMIENTOS_COMPLEMENTOS!$D$4:$D$803,B1887,MOVIMIENTOS_COMPLEMENTOS!$E$4:$E$803,C1887,MOVIMIENTOS_COMPLEMENTOS!$G$4:$G$803,E1887,MOVIMIENTOS_COMPLEMENTOS!$H$4:$H$803,G1887,MOVIMIENTOS_COMPLEMENTOS!$B$4:$B$803,"DE CORTE")-SUMIFS(MOVIMIENTOS_COMPLEMENTOS!$I$4:$I$803,MOVIMIENTOS_COMPLEMENTOS!$C$4:$C$803,A1887,MOVIMIENTOS_COMPLEMENTOS!$D$4:$D$803,B1887,MOVIMIENTOS_COMPLEMENTOS!$E$4:$E$803,C1887,MOVIMIENTOS_COMPLEMENTOS!$G$4:$G$803,E1887,MOVIMIENTOS_COMPLEMENTOS!$H$4:$H$803,G1887,MOVIMIENTOS_COMPLEMENTOS!$B$4:$B$803,"SALIDA"),0)</f>
        <v>0</v>
      </c>
      <c r="I1887" s="102">
        <f t="array" ref="I1887">IFERROR(INDEX(PRECIOS_COMPLEMENTOS!$C$4:$F$17,MATCH(B1887&amp;"_"&amp;C1887,PRECIOS_COMPLEMENTOS!$H$4:$H$17,0),IF(OR(G1887="S",G1887="20cm"),1,IF(OR(G1887="M",G1887="25cm"),2,IF(OR(G1887="L",G1887="30cm"),3,IF(OR(G1887="XL",G1887="35cm"),4,0))))),0)</f>
        <v>0.3</v>
      </c>
      <c r="J1887" s="103">
        <f t="shared" si="1"/>
        <v>0</v>
      </c>
      <c r="K1887" s="104" t="str">
        <f>IF(H1887&lt;0,"ERROR",IF(H1887=0,"",IF(H1887&lt;CONFIG!$B$4,"CRÍTICO",IF(H1887&lt;CONFIG!$B$5,"BAJO","OK"))))</f>
        <v/>
      </c>
    </row>
    <row r="1888" ht="15.75" hidden="1" customHeight="1">
      <c r="A1888" s="90" t="str">
        <f>IF(CLIENTES!A9="","",CLIENTES!A9)</f>
        <v/>
      </c>
      <c r="B1888" s="90" t="s">
        <v>324</v>
      </c>
      <c r="C1888" s="91" t="s">
        <v>328</v>
      </c>
      <c r="D1888" s="109" t="s">
        <v>353</v>
      </c>
      <c r="E1888" s="67" t="str">
        <f>COLORES!A15</f>
        <v>Plomo</v>
      </c>
      <c r="F1888" s="67" t="str">
        <f>COLORES!B15</f>
        <v>OSCURO</v>
      </c>
      <c r="G1888" s="90" t="s">
        <v>378</v>
      </c>
      <c r="H1888" s="100">
        <f>IFERROR(SUMIFS(MOVIMIENTOS_COMPLEMENTOS!$I$4:$I$803,MOVIMIENTOS_COMPLEMENTOS!$C$4:$C$803,A1888,MOVIMIENTOS_COMPLEMENTOS!$D$4:$D$803,B1888,MOVIMIENTOS_COMPLEMENTOS!$E$4:$E$803,C1888,MOVIMIENTOS_COMPLEMENTOS!$G$4:$G$803,E1888,MOVIMIENTOS_COMPLEMENTOS!$H$4:$H$803,G1888,MOVIMIENTOS_COMPLEMENTOS!$B$4:$B$803,"INGRESO")+SUMIFS(MOVIMIENTOS_COMPLEMENTOS!$I$4:$I$803,MOVIMIENTOS_COMPLEMENTOS!$C$4:$C$803,A1888,MOVIMIENTOS_COMPLEMENTOS!$D$4:$D$803,B1888,MOVIMIENTOS_COMPLEMENTOS!$E$4:$E$803,C1888,MOVIMIENTOS_COMPLEMENTOS!$G$4:$G$803,E1888,MOVIMIENTOS_COMPLEMENTOS!$H$4:$H$803,G1888,MOVIMIENTOS_COMPLEMENTOS!$B$4:$B$803,"DE CORTE")-SUMIFS(MOVIMIENTOS_COMPLEMENTOS!$I$4:$I$803,MOVIMIENTOS_COMPLEMENTOS!$C$4:$C$803,A1888,MOVIMIENTOS_COMPLEMENTOS!$D$4:$D$803,B1888,MOVIMIENTOS_COMPLEMENTOS!$E$4:$E$803,C1888,MOVIMIENTOS_COMPLEMENTOS!$G$4:$G$803,E1888,MOVIMIENTOS_COMPLEMENTOS!$H$4:$H$803,G1888,MOVIMIENTOS_COMPLEMENTOS!$B$4:$B$803,"SALIDA"),0)</f>
        <v>0</v>
      </c>
      <c r="I1888" s="102">
        <f t="array" ref="I1888">IFERROR(INDEX(PRECIOS_COMPLEMENTOS!$C$4:$F$17,MATCH(B1888&amp;"_"&amp;C1888,PRECIOS_COMPLEMENTOS!$H$4:$H$17,0),IF(OR(G1888="S",G1888="20cm"),1,IF(OR(G1888="M",G1888="25cm"),2,IF(OR(G1888="L",G1888="30cm"),3,IF(OR(G1888="XL",G1888="35cm"),4,0))))),0)</f>
        <v>0.3</v>
      </c>
      <c r="J1888" s="103">
        <f t="shared" si="1"/>
        <v>0</v>
      </c>
      <c r="K1888" s="104" t="str">
        <f>IF(H1888&lt;0,"ERROR",IF(H1888=0,"",IF(H1888&lt;CONFIG!$B$4,"CRÍTICO",IF(H1888&lt;CONFIG!$B$5,"BAJO","OK"))))</f>
        <v/>
      </c>
    </row>
    <row r="1889" ht="15.75" hidden="1" customHeight="1">
      <c r="A1889" s="90" t="str">
        <f>IF(CLIENTES!A9="","",CLIENTES!A9)</f>
        <v/>
      </c>
      <c r="B1889" s="90" t="s">
        <v>324</v>
      </c>
      <c r="C1889" s="91" t="s">
        <v>328</v>
      </c>
      <c r="D1889" s="109" t="s">
        <v>353</v>
      </c>
      <c r="E1889" s="67" t="str">
        <f>COLORES!A15</f>
        <v>Plomo</v>
      </c>
      <c r="F1889" s="67" t="str">
        <f>COLORES!B15</f>
        <v>OSCURO</v>
      </c>
      <c r="G1889" s="90" t="s">
        <v>376</v>
      </c>
      <c r="H1889" s="100">
        <f>IFERROR(SUMIFS(MOVIMIENTOS_COMPLEMENTOS!$I$4:$I$803,MOVIMIENTOS_COMPLEMENTOS!$C$4:$C$803,A1889,MOVIMIENTOS_COMPLEMENTOS!$D$4:$D$803,B1889,MOVIMIENTOS_COMPLEMENTOS!$E$4:$E$803,C1889,MOVIMIENTOS_COMPLEMENTOS!$G$4:$G$803,E1889,MOVIMIENTOS_COMPLEMENTOS!$H$4:$H$803,G1889,MOVIMIENTOS_COMPLEMENTOS!$B$4:$B$803,"INGRESO")+SUMIFS(MOVIMIENTOS_COMPLEMENTOS!$I$4:$I$803,MOVIMIENTOS_COMPLEMENTOS!$C$4:$C$803,A1889,MOVIMIENTOS_COMPLEMENTOS!$D$4:$D$803,B1889,MOVIMIENTOS_COMPLEMENTOS!$E$4:$E$803,C1889,MOVIMIENTOS_COMPLEMENTOS!$G$4:$G$803,E1889,MOVIMIENTOS_COMPLEMENTOS!$H$4:$H$803,G1889,MOVIMIENTOS_COMPLEMENTOS!$B$4:$B$803,"DE CORTE")-SUMIFS(MOVIMIENTOS_COMPLEMENTOS!$I$4:$I$803,MOVIMIENTOS_COMPLEMENTOS!$C$4:$C$803,A1889,MOVIMIENTOS_COMPLEMENTOS!$D$4:$D$803,B1889,MOVIMIENTOS_COMPLEMENTOS!$E$4:$E$803,C1889,MOVIMIENTOS_COMPLEMENTOS!$G$4:$G$803,E1889,MOVIMIENTOS_COMPLEMENTOS!$H$4:$H$803,G1889,MOVIMIENTOS_COMPLEMENTOS!$B$4:$B$803,"SALIDA"),0)</f>
        <v>0</v>
      </c>
      <c r="I1889" s="102">
        <f t="array" ref="I1889">IFERROR(INDEX(PRECIOS_COMPLEMENTOS!$C$4:$F$17,MATCH(B1889&amp;"_"&amp;C1889,PRECIOS_COMPLEMENTOS!$H$4:$H$17,0),IF(OR(G1889="S",G1889="20cm"),1,IF(OR(G1889="M",G1889="25cm"),2,IF(OR(G1889="L",G1889="30cm"),3,IF(OR(G1889="XL",G1889="35cm"),4,0))))),0)</f>
        <v>0.3</v>
      </c>
      <c r="J1889" s="103">
        <f t="shared" si="1"/>
        <v>0</v>
      </c>
      <c r="K1889" s="104" t="str">
        <f>IF(H1889&lt;0,"ERROR",IF(H1889=0,"",IF(H1889&lt;CONFIG!$B$4,"CRÍTICO",IF(H1889&lt;CONFIG!$B$5,"BAJO","OK"))))</f>
        <v/>
      </c>
    </row>
    <row r="1890" ht="15.75" hidden="1" customHeight="1">
      <c r="A1890" s="90" t="str">
        <f>IF(CLIENTES!A9="","",CLIENTES!A9)</f>
        <v/>
      </c>
      <c r="B1890" s="90" t="s">
        <v>324</v>
      </c>
      <c r="C1890" s="91" t="s">
        <v>328</v>
      </c>
      <c r="D1890" s="109" t="s">
        <v>353</v>
      </c>
      <c r="E1890" s="67" t="str">
        <f>COLORES!A15</f>
        <v>Plomo</v>
      </c>
      <c r="F1890" s="67" t="str">
        <f>COLORES!B15</f>
        <v>OSCURO</v>
      </c>
      <c r="G1890" s="90" t="s">
        <v>377</v>
      </c>
      <c r="H1890" s="100">
        <f>IFERROR(SUMIFS(MOVIMIENTOS_COMPLEMENTOS!$I$4:$I$803,MOVIMIENTOS_COMPLEMENTOS!$C$4:$C$803,A1890,MOVIMIENTOS_COMPLEMENTOS!$D$4:$D$803,B1890,MOVIMIENTOS_COMPLEMENTOS!$E$4:$E$803,C1890,MOVIMIENTOS_COMPLEMENTOS!$G$4:$G$803,E1890,MOVIMIENTOS_COMPLEMENTOS!$H$4:$H$803,G1890,MOVIMIENTOS_COMPLEMENTOS!$B$4:$B$803,"INGRESO")+SUMIFS(MOVIMIENTOS_COMPLEMENTOS!$I$4:$I$803,MOVIMIENTOS_COMPLEMENTOS!$C$4:$C$803,A1890,MOVIMIENTOS_COMPLEMENTOS!$D$4:$D$803,B1890,MOVIMIENTOS_COMPLEMENTOS!$E$4:$E$803,C1890,MOVIMIENTOS_COMPLEMENTOS!$G$4:$G$803,E1890,MOVIMIENTOS_COMPLEMENTOS!$H$4:$H$803,G1890,MOVIMIENTOS_COMPLEMENTOS!$B$4:$B$803,"DE CORTE")-SUMIFS(MOVIMIENTOS_COMPLEMENTOS!$I$4:$I$803,MOVIMIENTOS_COMPLEMENTOS!$C$4:$C$803,A1890,MOVIMIENTOS_COMPLEMENTOS!$D$4:$D$803,B1890,MOVIMIENTOS_COMPLEMENTOS!$E$4:$E$803,C1890,MOVIMIENTOS_COMPLEMENTOS!$G$4:$G$803,E1890,MOVIMIENTOS_COMPLEMENTOS!$H$4:$H$803,G1890,MOVIMIENTOS_COMPLEMENTOS!$B$4:$B$803,"SALIDA"),0)</f>
        <v>0</v>
      </c>
      <c r="I1890" s="102">
        <f t="array" ref="I1890">IFERROR(INDEX(PRECIOS_COMPLEMENTOS!$C$4:$F$17,MATCH(B1890&amp;"_"&amp;C1890,PRECIOS_COMPLEMENTOS!$H$4:$H$17,0),IF(OR(G1890="S",G1890="20cm"),1,IF(OR(G1890="M",G1890="25cm"),2,IF(OR(G1890="L",G1890="30cm"),3,IF(OR(G1890="XL",G1890="35cm"),4,0))))),0)</f>
        <v>0.3</v>
      </c>
      <c r="J1890" s="103">
        <f t="shared" si="1"/>
        <v>0</v>
      </c>
      <c r="K1890" s="104" t="str">
        <f>IF(H1890&lt;0,"ERROR",IF(H1890=0,"",IF(H1890&lt;CONFIG!$B$4,"CRÍTICO",IF(H1890&lt;CONFIG!$B$5,"BAJO","OK"))))</f>
        <v/>
      </c>
    </row>
    <row r="1891" ht="15.75" hidden="1" customHeight="1">
      <c r="A1891" s="90" t="str">
        <f>IF(CLIENTES!A9="","",CLIENTES!A9)</f>
        <v/>
      </c>
      <c r="B1891" s="90" t="s">
        <v>324</v>
      </c>
      <c r="C1891" s="91" t="s">
        <v>328</v>
      </c>
      <c r="D1891" s="109" t="s">
        <v>353</v>
      </c>
      <c r="E1891" s="67" t="str">
        <f>COLORES!A15</f>
        <v>Plomo</v>
      </c>
      <c r="F1891" s="67" t="str">
        <f>COLORES!B15</f>
        <v>OSCURO</v>
      </c>
      <c r="G1891" s="90" t="s">
        <v>379</v>
      </c>
      <c r="H1891" s="100">
        <f>IFERROR(SUMIFS(MOVIMIENTOS_COMPLEMENTOS!$I$4:$I$803,MOVIMIENTOS_COMPLEMENTOS!$C$4:$C$803,A1891,MOVIMIENTOS_COMPLEMENTOS!$D$4:$D$803,B1891,MOVIMIENTOS_COMPLEMENTOS!$E$4:$E$803,C1891,MOVIMIENTOS_COMPLEMENTOS!$G$4:$G$803,E1891,MOVIMIENTOS_COMPLEMENTOS!$H$4:$H$803,G1891,MOVIMIENTOS_COMPLEMENTOS!$B$4:$B$803,"INGRESO")+SUMIFS(MOVIMIENTOS_COMPLEMENTOS!$I$4:$I$803,MOVIMIENTOS_COMPLEMENTOS!$C$4:$C$803,A1891,MOVIMIENTOS_COMPLEMENTOS!$D$4:$D$803,B1891,MOVIMIENTOS_COMPLEMENTOS!$E$4:$E$803,C1891,MOVIMIENTOS_COMPLEMENTOS!$G$4:$G$803,E1891,MOVIMIENTOS_COMPLEMENTOS!$H$4:$H$803,G1891,MOVIMIENTOS_COMPLEMENTOS!$B$4:$B$803,"DE CORTE")-SUMIFS(MOVIMIENTOS_COMPLEMENTOS!$I$4:$I$803,MOVIMIENTOS_COMPLEMENTOS!$C$4:$C$803,A1891,MOVIMIENTOS_COMPLEMENTOS!$D$4:$D$803,B1891,MOVIMIENTOS_COMPLEMENTOS!$E$4:$E$803,C1891,MOVIMIENTOS_COMPLEMENTOS!$G$4:$G$803,E1891,MOVIMIENTOS_COMPLEMENTOS!$H$4:$H$803,G1891,MOVIMIENTOS_COMPLEMENTOS!$B$4:$B$803,"SALIDA"),0)</f>
        <v>0</v>
      </c>
      <c r="I1891" s="102">
        <f t="array" ref="I1891">IFERROR(INDEX(PRECIOS_COMPLEMENTOS!$C$4:$F$17,MATCH(B1891&amp;"_"&amp;C1891,PRECIOS_COMPLEMENTOS!$H$4:$H$17,0),IF(OR(G1891="S",G1891="20cm"),1,IF(OR(G1891="M",G1891="25cm"),2,IF(OR(G1891="L",G1891="30cm"),3,IF(OR(G1891="XL",G1891="35cm"),4,0))))),0)</f>
        <v>0.3</v>
      </c>
      <c r="J1891" s="103">
        <f t="shared" si="1"/>
        <v>0</v>
      </c>
      <c r="K1891" s="104" t="str">
        <f>IF(H1891&lt;0,"ERROR",IF(H1891=0,"",IF(H1891&lt;CONFIG!$B$4,"CRÍTICO",IF(H1891&lt;CONFIG!$B$5,"BAJO","OK"))))</f>
        <v/>
      </c>
    </row>
    <row r="1892" ht="15.75" hidden="1" customHeight="1">
      <c r="A1892" s="90" t="str">
        <f>IF(CLIENTES!A9="","",CLIENTES!A9)</f>
        <v/>
      </c>
      <c r="B1892" s="90" t="s">
        <v>324</v>
      </c>
      <c r="C1892" s="91" t="s">
        <v>328</v>
      </c>
      <c r="D1892" s="109" t="s">
        <v>353</v>
      </c>
      <c r="E1892" s="67" t="str">
        <f>COLORES!A16</f>
        <v>Topo</v>
      </c>
      <c r="F1892" s="67" t="str">
        <f>COLORES!B16</f>
        <v>CLARO</v>
      </c>
      <c r="G1892" s="90" t="s">
        <v>378</v>
      </c>
      <c r="H1892" s="100">
        <f>IFERROR(SUMIFS(MOVIMIENTOS_COMPLEMENTOS!$I$4:$I$803,MOVIMIENTOS_COMPLEMENTOS!$C$4:$C$803,A1892,MOVIMIENTOS_COMPLEMENTOS!$D$4:$D$803,B1892,MOVIMIENTOS_COMPLEMENTOS!$E$4:$E$803,C1892,MOVIMIENTOS_COMPLEMENTOS!$G$4:$G$803,E1892,MOVIMIENTOS_COMPLEMENTOS!$H$4:$H$803,G1892,MOVIMIENTOS_COMPLEMENTOS!$B$4:$B$803,"INGRESO")+SUMIFS(MOVIMIENTOS_COMPLEMENTOS!$I$4:$I$803,MOVIMIENTOS_COMPLEMENTOS!$C$4:$C$803,A1892,MOVIMIENTOS_COMPLEMENTOS!$D$4:$D$803,B1892,MOVIMIENTOS_COMPLEMENTOS!$E$4:$E$803,C1892,MOVIMIENTOS_COMPLEMENTOS!$G$4:$G$803,E1892,MOVIMIENTOS_COMPLEMENTOS!$H$4:$H$803,G1892,MOVIMIENTOS_COMPLEMENTOS!$B$4:$B$803,"DE CORTE")-SUMIFS(MOVIMIENTOS_COMPLEMENTOS!$I$4:$I$803,MOVIMIENTOS_COMPLEMENTOS!$C$4:$C$803,A1892,MOVIMIENTOS_COMPLEMENTOS!$D$4:$D$803,B1892,MOVIMIENTOS_COMPLEMENTOS!$E$4:$E$803,C1892,MOVIMIENTOS_COMPLEMENTOS!$G$4:$G$803,E1892,MOVIMIENTOS_COMPLEMENTOS!$H$4:$H$803,G1892,MOVIMIENTOS_COMPLEMENTOS!$B$4:$B$803,"SALIDA"),0)</f>
        <v>0</v>
      </c>
      <c r="I1892" s="102">
        <f t="array" ref="I1892">IFERROR(INDEX(PRECIOS_COMPLEMENTOS!$C$4:$F$17,MATCH(B1892&amp;"_"&amp;C1892,PRECIOS_COMPLEMENTOS!$H$4:$H$17,0),IF(OR(G1892="S",G1892="20cm"),1,IF(OR(G1892="M",G1892="25cm"),2,IF(OR(G1892="L",G1892="30cm"),3,IF(OR(G1892="XL",G1892="35cm"),4,0))))),0)</f>
        <v>0.3</v>
      </c>
      <c r="J1892" s="103">
        <f t="shared" si="1"/>
        <v>0</v>
      </c>
      <c r="K1892" s="104" t="str">
        <f>IF(H1892&lt;0,"ERROR",IF(H1892=0,"",IF(H1892&lt;CONFIG!$B$4,"CRÍTICO",IF(H1892&lt;CONFIG!$B$5,"BAJO","OK"))))</f>
        <v/>
      </c>
    </row>
    <row r="1893" ht="15.75" hidden="1" customHeight="1">
      <c r="A1893" s="90" t="str">
        <f>IF(CLIENTES!A9="","",CLIENTES!A9)</f>
        <v/>
      </c>
      <c r="B1893" s="90" t="s">
        <v>324</v>
      </c>
      <c r="C1893" s="91" t="s">
        <v>328</v>
      </c>
      <c r="D1893" s="109" t="s">
        <v>353</v>
      </c>
      <c r="E1893" s="67" t="str">
        <f>COLORES!A16</f>
        <v>Topo</v>
      </c>
      <c r="F1893" s="67" t="str">
        <f>COLORES!B16</f>
        <v>CLARO</v>
      </c>
      <c r="G1893" s="90" t="s">
        <v>376</v>
      </c>
      <c r="H1893" s="100">
        <f>IFERROR(SUMIFS(MOVIMIENTOS_COMPLEMENTOS!$I$4:$I$803,MOVIMIENTOS_COMPLEMENTOS!$C$4:$C$803,A1893,MOVIMIENTOS_COMPLEMENTOS!$D$4:$D$803,B1893,MOVIMIENTOS_COMPLEMENTOS!$E$4:$E$803,C1893,MOVIMIENTOS_COMPLEMENTOS!$G$4:$G$803,E1893,MOVIMIENTOS_COMPLEMENTOS!$H$4:$H$803,G1893,MOVIMIENTOS_COMPLEMENTOS!$B$4:$B$803,"INGRESO")+SUMIFS(MOVIMIENTOS_COMPLEMENTOS!$I$4:$I$803,MOVIMIENTOS_COMPLEMENTOS!$C$4:$C$803,A1893,MOVIMIENTOS_COMPLEMENTOS!$D$4:$D$803,B1893,MOVIMIENTOS_COMPLEMENTOS!$E$4:$E$803,C1893,MOVIMIENTOS_COMPLEMENTOS!$G$4:$G$803,E1893,MOVIMIENTOS_COMPLEMENTOS!$H$4:$H$803,G1893,MOVIMIENTOS_COMPLEMENTOS!$B$4:$B$803,"DE CORTE")-SUMIFS(MOVIMIENTOS_COMPLEMENTOS!$I$4:$I$803,MOVIMIENTOS_COMPLEMENTOS!$C$4:$C$803,A1893,MOVIMIENTOS_COMPLEMENTOS!$D$4:$D$803,B1893,MOVIMIENTOS_COMPLEMENTOS!$E$4:$E$803,C1893,MOVIMIENTOS_COMPLEMENTOS!$G$4:$G$803,E1893,MOVIMIENTOS_COMPLEMENTOS!$H$4:$H$803,G1893,MOVIMIENTOS_COMPLEMENTOS!$B$4:$B$803,"SALIDA"),0)</f>
        <v>0</v>
      </c>
      <c r="I1893" s="102">
        <f t="array" ref="I1893">IFERROR(INDEX(PRECIOS_COMPLEMENTOS!$C$4:$F$17,MATCH(B1893&amp;"_"&amp;C1893,PRECIOS_COMPLEMENTOS!$H$4:$H$17,0),IF(OR(G1893="S",G1893="20cm"),1,IF(OR(G1893="M",G1893="25cm"),2,IF(OR(G1893="L",G1893="30cm"),3,IF(OR(G1893="XL",G1893="35cm"),4,0))))),0)</f>
        <v>0.3</v>
      </c>
      <c r="J1893" s="103">
        <f t="shared" si="1"/>
        <v>0</v>
      </c>
      <c r="K1893" s="104" t="str">
        <f>IF(H1893&lt;0,"ERROR",IF(H1893=0,"",IF(H1893&lt;CONFIG!$B$4,"CRÍTICO",IF(H1893&lt;CONFIG!$B$5,"BAJO","OK"))))</f>
        <v/>
      </c>
    </row>
    <row r="1894" ht="15.75" hidden="1" customHeight="1">
      <c r="A1894" s="90" t="str">
        <f>IF(CLIENTES!A9="","",CLIENTES!A9)</f>
        <v/>
      </c>
      <c r="B1894" s="90" t="s">
        <v>324</v>
      </c>
      <c r="C1894" s="91" t="s">
        <v>328</v>
      </c>
      <c r="D1894" s="109" t="s">
        <v>353</v>
      </c>
      <c r="E1894" s="67" t="str">
        <f>COLORES!A16</f>
        <v>Topo</v>
      </c>
      <c r="F1894" s="67" t="str">
        <f>COLORES!B16</f>
        <v>CLARO</v>
      </c>
      <c r="G1894" s="90" t="s">
        <v>377</v>
      </c>
      <c r="H1894" s="100">
        <f>IFERROR(SUMIFS(MOVIMIENTOS_COMPLEMENTOS!$I$4:$I$803,MOVIMIENTOS_COMPLEMENTOS!$C$4:$C$803,A1894,MOVIMIENTOS_COMPLEMENTOS!$D$4:$D$803,B1894,MOVIMIENTOS_COMPLEMENTOS!$E$4:$E$803,C1894,MOVIMIENTOS_COMPLEMENTOS!$G$4:$G$803,E1894,MOVIMIENTOS_COMPLEMENTOS!$H$4:$H$803,G1894,MOVIMIENTOS_COMPLEMENTOS!$B$4:$B$803,"INGRESO")+SUMIFS(MOVIMIENTOS_COMPLEMENTOS!$I$4:$I$803,MOVIMIENTOS_COMPLEMENTOS!$C$4:$C$803,A1894,MOVIMIENTOS_COMPLEMENTOS!$D$4:$D$803,B1894,MOVIMIENTOS_COMPLEMENTOS!$E$4:$E$803,C1894,MOVIMIENTOS_COMPLEMENTOS!$G$4:$G$803,E1894,MOVIMIENTOS_COMPLEMENTOS!$H$4:$H$803,G1894,MOVIMIENTOS_COMPLEMENTOS!$B$4:$B$803,"DE CORTE")-SUMIFS(MOVIMIENTOS_COMPLEMENTOS!$I$4:$I$803,MOVIMIENTOS_COMPLEMENTOS!$C$4:$C$803,A1894,MOVIMIENTOS_COMPLEMENTOS!$D$4:$D$803,B1894,MOVIMIENTOS_COMPLEMENTOS!$E$4:$E$803,C1894,MOVIMIENTOS_COMPLEMENTOS!$G$4:$G$803,E1894,MOVIMIENTOS_COMPLEMENTOS!$H$4:$H$803,G1894,MOVIMIENTOS_COMPLEMENTOS!$B$4:$B$803,"SALIDA"),0)</f>
        <v>0</v>
      </c>
      <c r="I1894" s="102">
        <f t="array" ref="I1894">IFERROR(INDEX(PRECIOS_COMPLEMENTOS!$C$4:$F$17,MATCH(B1894&amp;"_"&amp;C1894,PRECIOS_COMPLEMENTOS!$H$4:$H$17,0),IF(OR(G1894="S",G1894="20cm"),1,IF(OR(G1894="M",G1894="25cm"),2,IF(OR(G1894="L",G1894="30cm"),3,IF(OR(G1894="XL",G1894="35cm"),4,0))))),0)</f>
        <v>0.3</v>
      </c>
      <c r="J1894" s="103">
        <f t="shared" si="1"/>
        <v>0</v>
      </c>
      <c r="K1894" s="104" t="str">
        <f>IF(H1894&lt;0,"ERROR",IF(H1894=0,"",IF(H1894&lt;CONFIG!$B$4,"CRÍTICO",IF(H1894&lt;CONFIG!$B$5,"BAJO","OK"))))</f>
        <v/>
      </c>
    </row>
    <row r="1895" ht="15.75" hidden="1" customHeight="1">
      <c r="A1895" s="90" t="str">
        <f>IF(CLIENTES!A9="","",CLIENTES!A9)</f>
        <v/>
      </c>
      <c r="B1895" s="90" t="s">
        <v>324</v>
      </c>
      <c r="C1895" s="91" t="s">
        <v>328</v>
      </c>
      <c r="D1895" s="109" t="s">
        <v>353</v>
      </c>
      <c r="E1895" s="67" t="str">
        <f>COLORES!A16</f>
        <v>Topo</v>
      </c>
      <c r="F1895" s="67" t="str">
        <f>COLORES!B16</f>
        <v>CLARO</v>
      </c>
      <c r="G1895" s="90" t="s">
        <v>379</v>
      </c>
      <c r="H1895" s="100">
        <f>IFERROR(SUMIFS(MOVIMIENTOS_COMPLEMENTOS!$I$4:$I$803,MOVIMIENTOS_COMPLEMENTOS!$C$4:$C$803,A1895,MOVIMIENTOS_COMPLEMENTOS!$D$4:$D$803,B1895,MOVIMIENTOS_COMPLEMENTOS!$E$4:$E$803,C1895,MOVIMIENTOS_COMPLEMENTOS!$G$4:$G$803,E1895,MOVIMIENTOS_COMPLEMENTOS!$H$4:$H$803,G1895,MOVIMIENTOS_COMPLEMENTOS!$B$4:$B$803,"INGRESO")+SUMIFS(MOVIMIENTOS_COMPLEMENTOS!$I$4:$I$803,MOVIMIENTOS_COMPLEMENTOS!$C$4:$C$803,A1895,MOVIMIENTOS_COMPLEMENTOS!$D$4:$D$803,B1895,MOVIMIENTOS_COMPLEMENTOS!$E$4:$E$803,C1895,MOVIMIENTOS_COMPLEMENTOS!$G$4:$G$803,E1895,MOVIMIENTOS_COMPLEMENTOS!$H$4:$H$803,G1895,MOVIMIENTOS_COMPLEMENTOS!$B$4:$B$803,"DE CORTE")-SUMIFS(MOVIMIENTOS_COMPLEMENTOS!$I$4:$I$803,MOVIMIENTOS_COMPLEMENTOS!$C$4:$C$803,A1895,MOVIMIENTOS_COMPLEMENTOS!$D$4:$D$803,B1895,MOVIMIENTOS_COMPLEMENTOS!$E$4:$E$803,C1895,MOVIMIENTOS_COMPLEMENTOS!$G$4:$G$803,E1895,MOVIMIENTOS_COMPLEMENTOS!$H$4:$H$803,G1895,MOVIMIENTOS_COMPLEMENTOS!$B$4:$B$803,"SALIDA"),0)</f>
        <v>0</v>
      </c>
      <c r="I1895" s="102">
        <f t="array" ref="I1895">IFERROR(INDEX(PRECIOS_COMPLEMENTOS!$C$4:$F$17,MATCH(B1895&amp;"_"&amp;C1895,PRECIOS_COMPLEMENTOS!$H$4:$H$17,0),IF(OR(G1895="S",G1895="20cm"),1,IF(OR(G1895="M",G1895="25cm"),2,IF(OR(G1895="L",G1895="30cm"),3,IF(OR(G1895="XL",G1895="35cm"),4,0))))),0)</f>
        <v>0.3</v>
      </c>
      <c r="J1895" s="103">
        <f t="shared" si="1"/>
        <v>0</v>
      </c>
      <c r="K1895" s="104" t="str">
        <f>IF(H1895&lt;0,"ERROR",IF(H1895=0,"",IF(H1895&lt;CONFIG!$B$4,"CRÍTICO",IF(H1895&lt;CONFIG!$B$5,"BAJO","OK"))))</f>
        <v/>
      </c>
    </row>
    <row r="1896" ht="15.75" hidden="1" customHeight="1">
      <c r="A1896" s="90" t="str">
        <f>IF(CLIENTES!A9="","",CLIENTES!A9)</f>
        <v/>
      </c>
      <c r="B1896" s="90" t="s">
        <v>324</v>
      </c>
      <c r="C1896" s="91" t="s">
        <v>328</v>
      </c>
      <c r="D1896" s="109" t="s">
        <v>353</v>
      </c>
      <c r="E1896" s="67" t="str">
        <f>COLORES!A17</f>
        <v>Vino</v>
      </c>
      <c r="F1896" s="67" t="str">
        <f>COLORES!B17</f>
        <v>OSCURO</v>
      </c>
      <c r="G1896" s="90" t="s">
        <v>378</v>
      </c>
      <c r="H1896" s="100">
        <f>IFERROR(SUMIFS(MOVIMIENTOS_COMPLEMENTOS!$I$4:$I$803,MOVIMIENTOS_COMPLEMENTOS!$C$4:$C$803,A1896,MOVIMIENTOS_COMPLEMENTOS!$D$4:$D$803,B1896,MOVIMIENTOS_COMPLEMENTOS!$E$4:$E$803,C1896,MOVIMIENTOS_COMPLEMENTOS!$G$4:$G$803,E1896,MOVIMIENTOS_COMPLEMENTOS!$H$4:$H$803,G1896,MOVIMIENTOS_COMPLEMENTOS!$B$4:$B$803,"INGRESO")+SUMIFS(MOVIMIENTOS_COMPLEMENTOS!$I$4:$I$803,MOVIMIENTOS_COMPLEMENTOS!$C$4:$C$803,A1896,MOVIMIENTOS_COMPLEMENTOS!$D$4:$D$803,B1896,MOVIMIENTOS_COMPLEMENTOS!$E$4:$E$803,C1896,MOVIMIENTOS_COMPLEMENTOS!$G$4:$G$803,E1896,MOVIMIENTOS_COMPLEMENTOS!$H$4:$H$803,G1896,MOVIMIENTOS_COMPLEMENTOS!$B$4:$B$803,"DE CORTE")-SUMIFS(MOVIMIENTOS_COMPLEMENTOS!$I$4:$I$803,MOVIMIENTOS_COMPLEMENTOS!$C$4:$C$803,A1896,MOVIMIENTOS_COMPLEMENTOS!$D$4:$D$803,B1896,MOVIMIENTOS_COMPLEMENTOS!$E$4:$E$803,C1896,MOVIMIENTOS_COMPLEMENTOS!$G$4:$G$803,E1896,MOVIMIENTOS_COMPLEMENTOS!$H$4:$H$803,G1896,MOVIMIENTOS_COMPLEMENTOS!$B$4:$B$803,"SALIDA"),0)</f>
        <v>0</v>
      </c>
      <c r="I1896" s="102">
        <f t="array" ref="I1896">IFERROR(INDEX(PRECIOS_COMPLEMENTOS!$C$4:$F$17,MATCH(B1896&amp;"_"&amp;C1896,PRECIOS_COMPLEMENTOS!$H$4:$H$17,0),IF(OR(G1896="S",G1896="20cm"),1,IF(OR(G1896="M",G1896="25cm"),2,IF(OR(G1896="L",G1896="30cm"),3,IF(OR(G1896="XL",G1896="35cm"),4,0))))),0)</f>
        <v>0.3</v>
      </c>
      <c r="J1896" s="103">
        <f t="shared" si="1"/>
        <v>0</v>
      </c>
      <c r="K1896" s="104" t="str">
        <f>IF(H1896&lt;0,"ERROR",IF(H1896=0,"",IF(H1896&lt;CONFIG!$B$4,"CRÍTICO",IF(H1896&lt;CONFIG!$B$5,"BAJO","OK"))))</f>
        <v/>
      </c>
    </row>
    <row r="1897" ht="15.75" hidden="1" customHeight="1">
      <c r="A1897" s="90" t="str">
        <f>IF(CLIENTES!A9="","",CLIENTES!A9)</f>
        <v/>
      </c>
      <c r="B1897" s="90" t="s">
        <v>324</v>
      </c>
      <c r="C1897" s="91" t="s">
        <v>328</v>
      </c>
      <c r="D1897" s="109" t="s">
        <v>353</v>
      </c>
      <c r="E1897" s="67" t="str">
        <f>COLORES!A17</f>
        <v>Vino</v>
      </c>
      <c r="F1897" s="67" t="str">
        <f>COLORES!B17</f>
        <v>OSCURO</v>
      </c>
      <c r="G1897" s="90" t="s">
        <v>376</v>
      </c>
      <c r="H1897" s="100">
        <f>IFERROR(SUMIFS(MOVIMIENTOS_COMPLEMENTOS!$I$4:$I$803,MOVIMIENTOS_COMPLEMENTOS!$C$4:$C$803,A1897,MOVIMIENTOS_COMPLEMENTOS!$D$4:$D$803,B1897,MOVIMIENTOS_COMPLEMENTOS!$E$4:$E$803,C1897,MOVIMIENTOS_COMPLEMENTOS!$G$4:$G$803,E1897,MOVIMIENTOS_COMPLEMENTOS!$H$4:$H$803,G1897,MOVIMIENTOS_COMPLEMENTOS!$B$4:$B$803,"INGRESO")+SUMIFS(MOVIMIENTOS_COMPLEMENTOS!$I$4:$I$803,MOVIMIENTOS_COMPLEMENTOS!$C$4:$C$803,A1897,MOVIMIENTOS_COMPLEMENTOS!$D$4:$D$803,B1897,MOVIMIENTOS_COMPLEMENTOS!$E$4:$E$803,C1897,MOVIMIENTOS_COMPLEMENTOS!$G$4:$G$803,E1897,MOVIMIENTOS_COMPLEMENTOS!$H$4:$H$803,G1897,MOVIMIENTOS_COMPLEMENTOS!$B$4:$B$803,"DE CORTE")-SUMIFS(MOVIMIENTOS_COMPLEMENTOS!$I$4:$I$803,MOVIMIENTOS_COMPLEMENTOS!$C$4:$C$803,A1897,MOVIMIENTOS_COMPLEMENTOS!$D$4:$D$803,B1897,MOVIMIENTOS_COMPLEMENTOS!$E$4:$E$803,C1897,MOVIMIENTOS_COMPLEMENTOS!$G$4:$G$803,E1897,MOVIMIENTOS_COMPLEMENTOS!$H$4:$H$803,G1897,MOVIMIENTOS_COMPLEMENTOS!$B$4:$B$803,"SALIDA"),0)</f>
        <v>0</v>
      </c>
      <c r="I1897" s="102">
        <f t="array" ref="I1897">IFERROR(INDEX(PRECIOS_COMPLEMENTOS!$C$4:$F$17,MATCH(B1897&amp;"_"&amp;C1897,PRECIOS_COMPLEMENTOS!$H$4:$H$17,0),IF(OR(G1897="S",G1897="20cm"),1,IF(OR(G1897="M",G1897="25cm"),2,IF(OR(G1897="L",G1897="30cm"),3,IF(OR(G1897="XL",G1897="35cm"),4,0))))),0)</f>
        <v>0.3</v>
      </c>
      <c r="J1897" s="103">
        <f t="shared" si="1"/>
        <v>0</v>
      </c>
      <c r="K1897" s="104" t="str">
        <f>IF(H1897&lt;0,"ERROR",IF(H1897=0,"",IF(H1897&lt;CONFIG!$B$4,"CRÍTICO",IF(H1897&lt;CONFIG!$B$5,"BAJO","OK"))))</f>
        <v/>
      </c>
    </row>
    <row r="1898" ht="15.75" hidden="1" customHeight="1">
      <c r="A1898" s="90" t="str">
        <f>IF(CLIENTES!A9="","",CLIENTES!A9)</f>
        <v/>
      </c>
      <c r="B1898" s="90" t="s">
        <v>324</v>
      </c>
      <c r="C1898" s="91" t="s">
        <v>328</v>
      </c>
      <c r="D1898" s="109" t="s">
        <v>353</v>
      </c>
      <c r="E1898" s="67" t="str">
        <f>COLORES!A17</f>
        <v>Vino</v>
      </c>
      <c r="F1898" s="67" t="str">
        <f>COLORES!B17</f>
        <v>OSCURO</v>
      </c>
      <c r="G1898" s="90" t="s">
        <v>377</v>
      </c>
      <c r="H1898" s="100">
        <f>IFERROR(SUMIFS(MOVIMIENTOS_COMPLEMENTOS!$I$4:$I$803,MOVIMIENTOS_COMPLEMENTOS!$C$4:$C$803,A1898,MOVIMIENTOS_COMPLEMENTOS!$D$4:$D$803,B1898,MOVIMIENTOS_COMPLEMENTOS!$E$4:$E$803,C1898,MOVIMIENTOS_COMPLEMENTOS!$G$4:$G$803,E1898,MOVIMIENTOS_COMPLEMENTOS!$H$4:$H$803,G1898,MOVIMIENTOS_COMPLEMENTOS!$B$4:$B$803,"INGRESO")+SUMIFS(MOVIMIENTOS_COMPLEMENTOS!$I$4:$I$803,MOVIMIENTOS_COMPLEMENTOS!$C$4:$C$803,A1898,MOVIMIENTOS_COMPLEMENTOS!$D$4:$D$803,B1898,MOVIMIENTOS_COMPLEMENTOS!$E$4:$E$803,C1898,MOVIMIENTOS_COMPLEMENTOS!$G$4:$G$803,E1898,MOVIMIENTOS_COMPLEMENTOS!$H$4:$H$803,G1898,MOVIMIENTOS_COMPLEMENTOS!$B$4:$B$803,"DE CORTE")-SUMIFS(MOVIMIENTOS_COMPLEMENTOS!$I$4:$I$803,MOVIMIENTOS_COMPLEMENTOS!$C$4:$C$803,A1898,MOVIMIENTOS_COMPLEMENTOS!$D$4:$D$803,B1898,MOVIMIENTOS_COMPLEMENTOS!$E$4:$E$803,C1898,MOVIMIENTOS_COMPLEMENTOS!$G$4:$G$803,E1898,MOVIMIENTOS_COMPLEMENTOS!$H$4:$H$803,G1898,MOVIMIENTOS_COMPLEMENTOS!$B$4:$B$803,"SALIDA"),0)</f>
        <v>0</v>
      </c>
      <c r="I1898" s="102">
        <f t="array" ref="I1898">IFERROR(INDEX(PRECIOS_COMPLEMENTOS!$C$4:$F$17,MATCH(B1898&amp;"_"&amp;C1898,PRECIOS_COMPLEMENTOS!$H$4:$H$17,0),IF(OR(G1898="S",G1898="20cm"),1,IF(OR(G1898="M",G1898="25cm"),2,IF(OR(G1898="L",G1898="30cm"),3,IF(OR(G1898="XL",G1898="35cm"),4,0))))),0)</f>
        <v>0.3</v>
      </c>
      <c r="J1898" s="103">
        <f t="shared" si="1"/>
        <v>0</v>
      </c>
      <c r="K1898" s="104" t="str">
        <f>IF(H1898&lt;0,"ERROR",IF(H1898=0,"",IF(H1898&lt;CONFIG!$B$4,"CRÍTICO",IF(H1898&lt;CONFIG!$B$5,"BAJO","OK"))))</f>
        <v/>
      </c>
    </row>
    <row r="1899" ht="15.75" hidden="1" customHeight="1">
      <c r="A1899" s="90" t="str">
        <f>IF(CLIENTES!A9="","",CLIENTES!A9)</f>
        <v/>
      </c>
      <c r="B1899" s="90" t="s">
        <v>324</v>
      </c>
      <c r="C1899" s="91" t="s">
        <v>328</v>
      </c>
      <c r="D1899" s="109" t="s">
        <v>353</v>
      </c>
      <c r="E1899" s="67" t="str">
        <f>COLORES!A17</f>
        <v>Vino</v>
      </c>
      <c r="F1899" s="67" t="str">
        <f>COLORES!B17</f>
        <v>OSCURO</v>
      </c>
      <c r="G1899" s="90" t="s">
        <v>379</v>
      </c>
      <c r="H1899" s="100">
        <f>IFERROR(SUMIFS(MOVIMIENTOS_COMPLEMENTOS!$I$4:$I$803,MOVIMIENTOS_COMPLEMENTOS!$C$4:$C$803,A1899,MOVIMIENTOS_COMPLEMENTOS!$D$4:$D$803,B1899,MOVIMIENTOS_COMPLEMENTOS!$E$4:$E$803,C1899,MOVIMIENTOS_COMPLEMENTOS!$G$4:$G$803,E1899,MOVIMIENTOS_COMPLEMENTOS!$H$4:$H$803,G1899,MOVIMIENTOS_COMPLEMENTOS!$B$4:$B$803,"INGRESO")+SUMIFS(MOVIMIENTOS_COMPLEMENTOS!$I$4:$I$803,MOVIMIENTOS_COMPLEMENTOS!$C$4:$C$803,A1899,MOVIMIENTOS_COMPLEMENTOS!$D$4:$D$803,B1899,MOVIMIENTOS_COMPLEMENTOS!$E$4:$E$803,C1899,MOVIMIENTOS_COMPLEMENTOS!$G$4:$G$803,E1899,MOVIMIENTOS_COMPLEMENTOS!$H$4:$H$803,G1899,MOVIMIENTOS_COMPLEMENTOS!$B$4:$B$803,"DE CORTE")-SUMIFS(MOVIMIENTOS_COMPLEMENTOS!$I$4:$I$803,MOVIMIENTOS_COMPLEMENTOS!$C$4:$C$803,A1899,MOVIMIENTOS_COMPLEMENTOS!$D$4:$D$803,B1899,MOVIMIENTOS_COMPLEMENTOS!$E$4:$E$803,C1899,MOVIMIENTOS_COMPLEMENTOS!$G$4:$G$803,E1899,MOVIMIENTOS_COMPLEMENTOS!$H$4:$H$803,G1899,MOVIMIENTOS_COMPLEMENTOS!$B$4:$B$803,"SALIDA"),0)</f>
        <v>0</v>
      </c>
      <c r="I1899" s="102">
        <f t="array" ref="I1899">IFERROR(INDEX(PRECIOS_COMPLEMENTOS!$C$4:$F$17,MATCH(B1899&amp;"_"&amp;C1899,PRECIOS_COMPLEMENTOS!$H$4:$H$17,0),IF(OR(G1899="S",G1899="20cm"),1,IF(OR(G1899="M",G1899="25cm"),2,IF(OR(G1899="L",G1899="30cm"),3,IF(OR(G1899="XL",G1899="35cm"),4,0))))),0)</f>
        <v>0.3</v>
      </c>
      <c r="J1899" s="103">
        <f t="shared" si="1"/>
        <v>0</v>
      </c>
      <c r="K1899" s="104" t="str">
        <f>IF(H1899&lt;0,"ERROR",IF(H1899=0,"",IF(H1899&lt;CONFIG!$B$4,"CRÍTICO",IF(H1899&lt;CONFIG!$B$5,"BAJO","OK"))))</f>
        <v/>
      </c>
    </row>
    <row r="1900" ht="15.75" hidden="1" customHeight="1">
      <c r="A1900" s="90" t="str">
        <f>IF(CLIENTES!A9="","",CLIENTES!A9)</f>
        <v/>
      </c>
      <c r="B1900" s="90" t="s">
        <v>324</v>
      </c>
      <c r="C1900" s="91" t="s">
        <v>328</v>
      </c>
      <c r="D1900" s="109" t="s">
        <v>353</v>
      </c>
      <c r="E1900" s="67" t="str">
        <f>COLORES!A18</f>
        <v>P. Rosa</v>
      </c>
      <c r="F1900" s="67" t="str">
        <f>COLORES!B18</f>
        <v>CLARO</v>
      </c>
      <c r="G1900" s="90" t="s">
        <v>378</v>
      </c>
      <c r="H1900" s="100">
        <f>IFERROR(SUMIFS(MOVIMIENTOS_COMPLEMENTOS!$I$4:$I$803,MOVIMIENTOS_COMPLEMENTOS!$C$4:$C$803,A1900,MOVIMIENTOS_COMPLEMENTOS!$D$4:$D$803,B1900,MOVIMIENTOS_COMPLEMENTOS!$E$4:$E$803,C1900,MOVIMIENTOS_COMPLEMENTOS!$G$4:$G$803,E1900,MOVIMIENTOS_COMPLEMENTOS!$H$4:$H$803,G1900,MOVIMIENTOS_COMPLEMENTOS!$B$4:$B$803,"INGRESO")+SUMIFS(MOVIMIENTOS_COMPLEMENTOS!$I$4:$I$803,MOVIMIENTOS_COMPLEMENTOS!$C$4:$C$803,A1900,MOVIMIENTOS_COMPLEMENTOS!$D$4:$D$803,B1900,MOVIMIENTOS_COMPLEMENTOS!$E$4:$E$803,C1900,MOVIMIENTOS_COMPLEMENTOS!$G$4:$G$803,E1900,MOVIMIENTOS_COMPLEMENTOS!$H$4:$H$803,G1900,MOVIMIENTOS_COMPLEMENTOS!$B$4:$B$803,"DE CORTE")-SUMIFS(MOVIMIENTOS_COMPLEMENTOS!$I$4:$I$803,MOVIMIENTOS_COMPLEMENTOS!$C$4:$C$803,A1900,MOVIMIENTOS_COMPLEMENTOS!$D$4:$D$803,B1900,MOVIMIENTOS_COMPLEMENTOS!$E$4:$E$803,C1900,MOVIMIENTOS_COMPLEMENTOS!$G$4:$G$803,E1900,MOVIMIENTOS_COMPLEMENTOS!$H$4:$H$803,G1900,MOVIMIENTOS_COMPLEMENTOS!$B$4:$B$803,"SALIDA"),0)</f>
        <v>0</v>
      </c>
      <c r="I1900" s="102">
        <f t="array" ref="I1900">IFERROR(INDEX(PRECIOS_COMPLEMENTOS!$C$4:$F$17,MATCH(B1900&amp;"_"&amp;C1900,PRECIOS_COMPLEMENTOS!$H$4:$H$17,0),IF(OR(G1900="S",G1900="20cm"),1,IF(OR(G1900="M",G1900="25cm"),2,IF(OR(G1900="L",G1900="30cm"),3,IF(OR(G1900="XL",G1900="35cm"),4,0))))),0)</f>
        <v>0.3</v>
      </c>
      <c r="J1900" s="103">
        <f t="shared" si="1"/>
        <v>0</v>
      </c>
      <c r="K1900" s="104" t="str">
        <f>IF(H1900&lt;0,"ERROR",IF(H1900=0,"",IF(H1900&lt;CONFIG!$B$4,"CRÍTICO",IF(H1900&lt;CONFIG!$B$5,"BAJO","OK"))))</f>
        <v/>
      </c>
    </row>
    <row r="1901" ht="15.75" hidden="1" customHeight="1">
      <c r="A1901" s="90" t="str">
        <f>IF(CLIENTES!A9="","",CLIENTES!A9)</f>
        <v/>
      </c>
      <c r="B1901" s="90" t="s">
        <v>324</v>
      </c>
      <c r="C1901" s="91" t="s">
        <v>328</v>
      </c>
      <c r="D1901" s="109" t="s">
        <v>353</v>
      </c>
      <c r="E1901" s="67" t="str">
        <f>COLORES!A18</f>
        <v>P. Rosa</v>
      </c>
      <c r="F1901" s="67" t="str">
        <f>COLORES!B18</f>
        <v>CLARO</v>
      </c>
      <c r="G1901" s="90" t="s">
        <v>376</v>
      </c>
      <c r="H1901" s="100">
        <f>IFERROR(SUMIFS(MOVIMIENTOS_COMPLEMENTOS!$I$4:$I$803,MOVIMIENTOS_COMPLEMENTOS!$C$4:$C$803,A1901,MOVIMIENTOS_COMPLEMENTOS!$D$4:$D$803,B1901,MOVIMIENTOS_COMPLEMENTOS!$E$4:$E$803,C1901,MOVIMIENTOS_COMPLEMENTOS!$G$4:$G$803,E1901,MOVIMIENTOS_COMPLEMENTOS!$H$4:$H$803,G1901,MOVIMIENTOS_COMPLEMENTOS!$B$4:$B$803,"INGRESO")+SUMIFS(MOVIMIENTOS_COMPLEMENTOS!$I$4:$I$803,MOVIMIENTOS_COMPLEMENTOS!$C$4:$C$803,A1901,MOVIMIENTOS_COMPLEMENTOS!$D$4:$D$803,B1901,MOVIMIENTOS_COMPLEMENTOS!$E$4:$E$803,C1901,MOVIMIENTOS_COMPLEMENTOS!$G$4:$G$803,E1901,MOVIMIENTOS_COMPLEMENTOS!$H$4:$H$803,G1901,MOVIMIENTOS_COMPLEMENTOS!$B$4:$B$803,"DE CORTE")-SUMIFS(MOVIMIENTOS_COMPLEMENTOS!$I$4:$I$803,MOVIMIENTOS_COMPLEMENTOS!$C$4:$C$803,A1901,MOVIMIENTOS_COMPLEMENTOS!$D$4:$D$803,B1901,MOVIMIENTOS_COMPLEMENTOS!$E$4:$E$803,C1901,MOVIMIENTOS_COMPLEMENTOS!$G$4:$G$803,E1901,MOVIMIENTOS_COMPLEMENTOS!$H$4:$H$803,G1901,MOVIMIENTOS_COMPLEMENTOS!$B$4:$B$803,"SALIDA"),0)</f>
        <v>0</v>
      </c>
      <c r="I1901" s="102">
        <f t="array" ref="I1901">IFERROR(INDEX(PRECIOS_COMPLEMENTOS!$C$4:$F$17,MATCH(B1901&amp;"_"&amp;C1901,PRECIOS_COMPLEMENTOS!$H$4:$H$17,0),IF(OR(G1901="S",G1901="20cm"),1,IF(OR(G1901="M",G1901="25cm"),2,IF(OR(G1901="L",G1901="30cm"),3,IF(OR(G1901="XL",G1901="35cm"),4,0))))),0)</f>
        <v>0.3</v>
      </c>
      <c r="J1901" s="103">
        <f t="shared" si="1"/>
        <v>0</v>
      </c>
      <c r="K1901" s="104" t="str">
        <f>IF(H1901&lt;0,"ERROR",IF(H1901=0,"",IF(H1901&lt;CONFIG!$B$4,"CRÍTICO",IF(H1901&lt;CONFIG!$B$5,"BAJO","OK"))))</f>
        <v/>
      </c>
    </row>
    <row r="1902" ht="15.75" hidden="1" customHeight="1">
      <c r="A1902" s="90" t="str">
        <f>IF(CLIENTES!A9="","",CLIENTES!A9)</f>
        <v/>
      </c>
      <c r="B1902" s="90" t="s">
        <v>324</v>
      </c>
      <c r="C1902" s="91" t="s">
        <v>328</v>
      </c>
      <c r="D1902" s="109" t="s">
        <v>353</v>
      </c>
      <c r="E1902" s="67" t="str">
        <f>COLORES!A18</f>
        <v>P. Rosa</v>
      </c>
      <c r="F1902" s="67" t="str">
        <f>COLORES!B18</f>
        <v>CLARO</v>
      </c>
      <c r="G1902" s="90" t="s">
        <v>377</v>
      </c>
      <c r="H1902" s="100">
        <f>IFERROR(SUMIFS(MOVIMIENTOS_COMPLEMENTOS!$I$4:$I$803,MOVIMIENTOS_COMPLEMENTOS!$C$4:$C$803,A1902,MOVIMIENTOS_COMPLEMENTOS!$D$4:$D$803,B1902,MOVIMIENTOS_COMPLEMENTOS!$E$4:$E$803,C1902,MOVIMIENTOS_COMPLEMENTOS!$G$4:$G$803,E1902,MOVIMIENTOS_COMPLEMENTOS!$H$4:$H$803,G1902,MOVIMIENTOS_COMPLEMENTOS!$B$4:$B$803,"INGRESO")+SUMIFS(MOVIMIENTOS_COMPLEMENTOS!$I$4:$I$803,MOVIMIENTOS_COMPLEMENTOS!$C$4:$C$803,A1902,MOVIMIENTOS_COMPLEMENTOS!$D$4:$D$803,B1902,MOVIMIENTOS_COMPLEMENTOS!$E$4:$E$803,C1902,MOVIMIENTOS_COMPLEMENTOS!$G$4:$G$803,E1902,MOVIMIENTOS_COMPLEMENTOS!$H$4:$H$803,G1902,MOVIMIENTOS_COMPLEMENTOS!$B$4:$B$803,"DE CORTE")-SUMIFS(MOVIMIENTOS_COMPLEMENTOS!$I$4:$I$803,MOVIMIENTOS_COMPLEMENTOS!$C$4:$C$803,A1902,MOVIMIENTOS_COMPLEMENTOS!$D$4:$D$803,B1902,MOVIMIENTOS_COMPLEMENTOS!$E$4:$E$803,C1902,MOVIMIENTOS_COMPLEMENTOS!$G$4:$G$803,E1902,MOVIMIENTOS_COMPLEMENTOS!$H$4:$H$803,G1902,MOVIMIENTOS_COMPLEMENTOS!$B$4:$B$803,"SALIDA"),0)</f>
        <v>0</v>
      </c>
      <c r="I1902" s="102">
        <f t="array" ref="I1902">IFERROR(INDEX(PRECIOS_COMPLEMENTOS!$C$4:$F$17,MATCH(B1902&amp;"_"&amp;C1902,PRECIOS_COMPLEMENTOS!$H$4:$H$17,0),IF(OR(G1902="S",G1902="20cm"),1,IF(OR(G1902="M",G1902="25cm"),2,IF(OR(G1902="L",G1902="30cm"),3,IF(OR(G1902="XL",G1902="35cm"),4,0))))),0)</f>
        <v>0.3</v>
      </c>
      <c r="J1902" s="103">
        <f t="shared" si="1"/>
        <v>0</v>
      </c>
      <c r="K1902" s="104" t="str">
        <f>IF(H1902&lt;0,"ERROR",IF(H1902=0,"",IF(H1902&lt;CONFIG!$B$4,"CRÍTICO",IF(H1902&lt;CONFIG!$B$5,"BAJO","OK"))))</f>
        <v/>
      </c>
    </row>
    <row r="1903" ht="15.75" hidden="1" customHeight="1">
      <c r="A1903" s="90" t="str">
        <f>IF(CLIENTES!A9="","",CLIENTES!A9)</f>
        <v/>
      </c>
      <c r="B1903" s="90" t="s">
        <v>324</v>
      </c>
      <c r="C1903" s="91" t="s">
        <v>328</v>
      </c>
      <c r="D1903" s="109" t="s">
        <v>353</v>
      </c>
      <c r="E1903" s="67" t="str">
        <f>COLORES!A18</f>
        <v>P. Rosa</v>
      </c>
      <c r="F1903" s="67" t="str">
        <f>COLORES!B18</f>
        <v>CLARO</v>
      </c>
      <c r="G1903" s="90" t="s">
        <v>379</v>
      </c>
      <c r="H1903" s="100">
        <f>IFERROR(SUMIFS(MOVIMIENTOS_COMPLEMENTOS!$I$4:$I$803,MOVIMIENTOS_COMPLEMENTOS!$C$4:$C$803,A1903,MOVIMIENTOS_COMPLEMENTOS!$D$4:$D$803,B1903,MOVIMIENTOS_COMPLEMENTOS!$E$4:$E$803,C1903,MOVIMIENTOS_COMPLEMENTOS!$G$4:$G$803,E1903,MOVIMIENTOS_COMPLEMENTOS!$H$4:$H$803,G1903,MOVIMIENTOS_COMPLEMENTOS!$B$4:$B$803,"INGRESO")+SUMIFS(MOVIMIENTOS_COMPLEMENTOS!$I$4:$I$803,MOVIMIENTOS_COMPLEMENTOS!$C$4:$C$803,A1903,MOVIMIENTOS_COMPLEMENTOS!$D$4:$D$803,B1903,MOVIMIENTOS_COMPLEMENTOS!$E$4:$E$803,C1903,MOVIMIENTOS_COMPLEMENTOS!$G$4:$G$803,E1903,MOVIMIENTOS_COMPLEMENTOS!$H$4:$H$803,G1903,MOVIMIENTOS_COMPLEMENTOS!$B$4:$B$803,"DE CORTE")-SUMIFS(MOVIMIENTOS_COMPLEMENTOS!$I$4:$I$803,MOVIMIENTOS_COMPLEMENTOS!$C$4:$C$803,A1903,MOVIMIENTOS_COMPLEMENTOS!$D$4:$D$803,B1903,MOVIMIENTOS_COMPLEMENTOS!$E$4:$E$803,C1903,MOVIMIENTOS_COMPLEMENTOS!$G$4:$G$803,E1903,MOVIMIENTOS_COMPLEMENTOS!$H$4:$H$803,G1903,MOVIMIENTOS_COMPLEMENTOS!$B$4:$B$803,"SALIDA"),0)</f>
        <v>0</v>
      </c>
      <c r="I1903" s="102">
        <f t="array" ref="I1903">IFERROR(INDEX(PRECIOS_COMPLEMENTOS!$C$4:$F$17,MATCH(B1903&amp;"_"&amp;C1903,PRECIOS_COMPLEMENTOS!$H$4:$H$17,0),IF(OR(G1903="S",G1903="20cm"),1,IF(OR(G1903="M",G1903="25cm"),2,IF(OR(G1903="L",G1903="30cm"),3,IF(OR(G1903="XL",G1903="35cm"),4,0))))),0)</f>
        <v>0.3</v>
      </c>
      <c r="J1903" s="103">
        <f t="shared" si="1"/>
        <v>0</v>
      </c>
      <c r="K1903" s="104" t="str">
        <f>IF(H1903&lt;0,"ERROR",IF(H1903=0,"",IF(H1903&lt;CONFIG!$B$4,"CRÍTICO",IF(H1903&lt;CONFIG!$B$5,"BAJO","OK"))))</f>
        <v/>
      </c>
    </row>
    <row r="1904" ht="15.75" hidden="1" customHeight="1">
      <c r="A1904" s="90" t="str">
        <f>IF(CLIENTES!A9="","",CLIENTES!A9)</f>
        <v/>
      </c>
      <c r="B1904" s="90" t="s">
        <v>324</v>
      </c>
      <c r="C1904" s="91" t="s">
        <v>328</v>
      </c>
      <c r="D1904" s="109" t="s">
        <v>353</v>
      </c>
      <c r="E1904" s="67" t="str">
        <f>COLORES!A19</f>
        <v/>
      </c>
      <c r="F1904" s="67" t="str">
        <f>COLORES!B19</f>
        <v/>
      </c>
      <c r="G1904" s="90" t="s">
        <v>378</v>
      </c>
      <c r="H1904" s="100">
        <f>IFERROR(SUMIFS(MOVIMIENTOS_COMPLEMENTOS!$I$4:$I$803,MOVIMIENTOS_COMPLEMENTOS!$C$4:$C$803,A1904,MOVIMIENTOS_COMPLEMENTOS!$D$4:$D$803,B1904,MOVIMIENTOS_COMPLEMENTOS!$E$4:$E$803,C1904,MOVIMIENTOS_COMPLEMENTOS!$G$4:$G$803,E1904,MOVIMIENTOS_COMPLEMENTOS!$H$4:$H$803,G1904,MOVIMIENTOS_COMPLEMENTOS!$B$4:$B$803,"INGRESO")+SUMIFS(MOVIMIENTOS_COMPLEMENTOS!$I$4:$I$803,MOVIMIENTOS_COMPLEMENTOS!$C$4:$C$803,A1904,MOVIMIENTOS_COMPLEMENTOS!$D$4:$D$803,B1904,MOVIMIENTOS_COMPLEMENTOS!$E$4:$E$803,C1904,MOVIMIENTOS_COMPLEMENTOS!$G$4:$G$803,E1904,MOVIMIENTOS_COMPLEMENTOS!$H$4:$H$803,G1904,MOVIMIENTOS_COMPLEMENTOS!$B$4:$B$803,"DE CORTE")-SUMIFS(MOVIMIENTOS_COMPLEMENTOS!$I$4:$I$803,MOVIMIENTOS_COMPLEMENTOS!$C$4:$C$803,A1904,MOVIMIENTOS_COMPLEMENTOS!$D$4:$D$803,B1904,MOVIMIENTOS_COMPLEMENTOS!$E$4:$E$803,C1904,MOVIMIENTOS_COMPLEMENTOS!$G$4:$G$803,E1904,MOVIMIENTOS_COMPLEMENTOS!$H$4:$H$803,G1904,MOVIMIENTOS_COMPLEMENTOS!$B$4:$B$803,"SALIDA"),0)</f>
        <v>0</v>
      </c>
      <c r="I1904" s="102">
        <f t="array" ref="I1904">IFERROR(INDEX(PRECIOS_COMPLEMENTOS!$C$4:$F$17,MATCH(B1904&amp;"_"&amp;C1904,PRECIOS_COMPLEMENTOS!$H$4:$H$17,0),IF(OR(G1904="S",G1904="20cm"),1,IF(OR(G1904="M",G1904="25cm"),2,IF(OR(G1904="L",G1904="30cm"),3,IF(OR(G1904="XL",G1904="35cm"),4,0))))),0)</f>
        <v>0.3</v>
      </c>
      <c r="J1904" s="103">
        <f t="shared" si="1"/>
        <v>0</v>
      </c>
      <c r="K1904" s="104" t="str">
        <f>IF(H1904&lt;0,"ERROR",IF(H1904=0,"",IF(H1904&lt;CONFIG!$B$4,"CRÍTICO",IF(H1904&lt;CONFIG!$B$5,"BAJO","OK"))))</f>
        <v/>
      </c>
    </row>
    <row r="1905" ht="15.75" hidden="1" customHeight="1">
      <c r="A1905" s="90" t="str">
        <f>IF(CLIENTES!A9="","",CLIENTES!A9)</f>
        <v/>
      </c>
      <c r="B1905" s="90" t="s">
        <v>324</v>
      </c>
      <c r="C1905" s="91" t="s">
        <v>328</v>
      </c>
      <c r="D1905" s="109" t="s">
        <v>353</v>
      </c>
      <c r="E1905" s="67" t="str">
        <f>COLORES!A19</f>
        <v/>
      </c>
      <c r="F1905" s="67" t="str">
        <f>COLORES!B19</f>
        <v/>
      </c>
      <c r="G1905" s="90" t="s">
        <v>376</v>
      </c>
      <c r="H1905" s="100">
        <f>IFERROR(SUMIFS(MOVIMIENTOS_COMPLEMENTOS!$I$4:$I$803,MOVIMIENTOS_COMPLEMENTOS!$C$4:$C$803,A1905,MOVIMIENTOS_COMPLEMENTOS!$D$4:$D$803,B1905,MOVIMIENTOS_COMPLEMENTOS!$E$4:$E$803,C1905,MOVIMIENTOS_COMPLEMENTOS!$G$4:$G$803,E1905,MOVIMIENTOS_COMPLEMENTOS!$H$4:$H$803,G1905,MOVIMIENTOS_COMPLEMENTOS!$B$4:$B$803,"INGRESO")+SUMIFS(MOVIMIENTOS_COMPLEMENTOS!$I$4:$I$803,MOVIMIENTOS_COMPLEMENTOS!$C$4:$C$803,A1905,MOVIMIENTOS_COMPLEMENTOS!$D$4:$D$803,B1905,MOVIMIENTOS_COMPLEMENTOS!$E$4:$E$803,C1905,MOVIMIENTOS_COMPLEMENTOS!$G$4:$G$803,E1905,MOVIMIENTOS_COMPLEMENTOS!$H$4:$H$803,G1905,MOVIMIENTOS_COMPLEMENTOS!$B$4:$B$803,"DE CORTE")-SUMIFS(MOVIMIENTOS_COMPLEMENTOS!$I$4:$I$803,MOVIMIENTOS_COMPLEMENTOS!$C$4:$C$803,A1905,MOVIMIENTOS_COMPLEMENTOS!$D$4:$D$803,B1905,MOVIMIENTOS_COMPLEMENTOS!$E$4:$E$803,C1905,MOVIMIENTOS_COMPLEMENTOS!$G$4:$G$803,E1905,MOVIMIENTOS_COMPLEMENTOS!$H$4:$H$803,G1905,MOVIMIENTOS_COMPLEMENTOS!$B$4:$B$803,"SALIDA"),0)</f>
        <v>0</v>
      </c>
      <c r="I1905" s="102">
        <f t="array" ref="I1905">IFERROR(INDEX(PRECIOS_COMPLEMENTOS!$C$4:$F$17,MATCH(B1905&amp;"_"&amp;C1905,PRECIOS_COMPLEMENTOS!$H$4:$H$17,0),IF(OR(G1905="S",G1905="20cm"),1,IF(OR(G1905="M",G1905="25cm"),2,IF(OR(G1905="L",G1905="30cm"),3,IF(OR(G1905="XL",G1905="35cm"),4,0))))),0)</f>
        <v>0.3</v>
      </c>
      <c r="J1905" s="103">
        <f t="shared" si="1"/>
        <v>0</v>
      </c>
      <c r="K1905" s="104" t="str">
        <f>IF(H1905&lt;0,"ERROR",IF(H1905=0,"",IF(H1905&lt;CONFIG!$B$4,"CRÍTICO",IF(H1905&lt;CONFIG!$B$5,"BAJO","OK"))))</f>
        <v/>
      </c>
    </row>
    <row r="1906" ht="15.75" hidden="1" customHeight="1">
      <c r="A1906" s="90" t="str">
        <f>IF(CLIENTES!A9="","",CLIENTES!A9)</f>
        <v/>
      </c>
      <c r="B1906" s="90" t="s">
        <v>324</v>
      </c>
      <c r="C1906" s="91" t="s">
        <v>328</v>
      </c>
      <c r="D1906" s="109" t="s">
        <v>353</v>
      </c>
      <c r="E1906" s="67" t="str">
        <f>COLORES!A19</f>
        <v/>
      </c>
      <c r="F1906" s="67" t="str">
        <f>COLORES!B19</f>
        <v/>
      </c>
      <c r="G1906" s="90" t="s">
        <v>377</v>
      </c>
      <c r="H1906" s="100">
        <f>IFERROR(SUMIFS(MOVIMIENTOS_COMPLEMENTOS!$I$4:$I$803,MOVIMIENTOS_COMPLEMENTOS!$C$4:$C$803,A1906,MOVIMIENTOS_COMPLEMENTOS!$D$4:$D$803,B1906,MOVIMIENTOS_COMPLEMENTOS!$E$4:$E$803,C1906,MOVIMIENTOS_COMPLEMENTOS!$G$4:$G$803,E1906,MOVIMIENTOS_COMPLEMENTOS!$H$4:$H$803,G1906,MOVIMIENTOS_COMPLEMENTOS!$B$4:$B$803,"INGRESO")+SUMIFS(MOVIMIENTOS_COMPLEMENTOS!$I$4:$I$803,MOVIMIENTOS_COMPLEMENTOS!$C$4:$C$803,A1906,MOVIMIENTOS_COMPLEMENTOS!$D$4:$D$803,B1906,MOVIMIENTOS_COMPLEMENTOS!$E$4:$E$803,C1906,MOVIMIENTOS_COMPLEMENTOS!$G$4:$G$803,E1906,MOVIMIENTOS_COMPLEMENTOS!$H$4:$H$803,G1906,MOVIMIENTOS_COMPLEMENTOS!$B$4:$B$803,"DE CORTE")-SUMIFS(MOVIMIENTOS_COMPLEMENTOS!$I$4:$I$803,MOVIMIENTOS_COMPLEMENTOS!$C$4:$C$803,A1906,MOVIMIENTOS_COMPLEMENTOS!$D$4:$D$803,B1906,MOVIMIENTOS_COMPLEMENTOS!$E$4:$E$803,C1906,MOVIMIENTOS_COMPLEMENTOS!$G$4:$G$803,E1906,MOVIMIENTOS_COMPLEMENTOS!$H$4:$H$803,G1906,MOVIMIENTOS_COMPLEMENTOS!$B$4:$B$803,"SALIDA"),0)</f>
        <v>0</v>
      </c>
      <c r="I1906" s="102">
        <f t="array" ref="I1906">IFERROR(INDEX(PRECIOS_COMPLEMENTOS!$C$4:$F$17,MATCH(B1906&amp;"_"&amp;C1906,PRECIOS_COMPLEMENTOS!$H$4:$H$17,0),IF(OR(G1906="S",G1906="20cm"),1,IF(OR(G1906="M",G1906="25cm"),2,IF(OR(G1906="L",G1906="30cm"),3,IF(OR(G1906="XL",G1906="35cm"),4,0))))),0)</f>
        <v>0.3</v>
      </c>
      <c r="J1906" s="103">
        <f t="shared" si="1"/>
        <v>0</v>
      </c>
      <c r="K1906" s="104" t="str">
        <f>IF(H1906&lt;0,"ERROR",IF(H1906=0,"",IF(H1906&lt;CONFIG!$B$4,"CRÍTICO",IF(H1906&lt;CONFIG!$B$5,"BAJO","OK"))))</f>
        <v/>
      </c>
    </row>
    <row r="1907" ht="15.75" hidden="1" customHeight="1">
      <c r="A1907" s="90" t="str">
        <f>IF(CLIENTES!A9="","",CLIENTES!A9)</f>
        <v/>
      </c>
      <c r="B1907" s="90" t="s">
        <v>324</v>
      </c>
      <c r="C1907" s="91" t="s">
        <v>328</v>
      </c>
      <c r="D1907" s="109" t="s">
        <v>353</v>
      </c>
      <c r="E1907" s="67" t="str">
        <f>COLORES!A19</f>
        <v/>
      </c>
      <c r="F1907" s="67" t="str">
        <f>COLORES!B19</f>
        <v/>
      </c>
      <c r="G1907" s="90" t="s">
        <v>379</v>
      </c>
      <c r="H1907" s="100">
        <f>IFERROR(SUMIFS(MOVIMIENTOS_COMPLEMENTOS!$I$4:$I$803,MOVIMIENTOS_COMPLEMENTOS!$C$4:$C$803,A1907,MOVIMIENTOS_COMPLEMENTOS!$D$4:$D$803,B1907,MOVIMIENTOS_COMPLEMENTOS!$E$4:$E$803,C1907,MOVIMIENTOS_COMPLEMENTOS!$G$4:$G$803,E1907,MOVIMIENTOS_COMPLEMENTOS!$H$4:$H$803,G1907,MOVIMIENTOS_COMPLEMENTOS!$B$4:$B$803,"INGRESO")+SUMIFS(MOVIMIENTOS_COMPLEMENTOS!$I$4:$I$803,MOVIMIENTOS_COMPLEMENTOS!$C$4:$C$803,A1907,MOVIMIENTOS_COMPLEMENTOS!$D$4:$D$803,B1907,MOVIMIENTOS_COMPLEMENTOS!$E$4:$E$803,C1907,MOVIMIENTOS_COMPLEMENTOS!$G$4:$G$803,E1907,MOVIMIENTOS_COMPLEMENTOS!$H$4:$H$803,G1907,MOVIMIENTOS_COMPLEMENTOS!$B$4:$B$803,"DE CORTE")-SUMIFS(MOVIMIENTOS_COMPLEMENTOS!$I$4:$I$803,MOVIMIENTOS_COMPLEMENTOS!$C$4:$C$803,A1907,MOVIMIENTOS_COMPLEMENTOS!$D$4:$D$803,B1907,MOVIMIENTOS_COMPLEMENTOS!$E$4:$E$803,C1907,MOVIMIENTOS_COMPLEMENTOS!$G$4:$G$803,E1907,MOVIMIENTOS_COMPLEMENTOS!$H$4:$H$803,G1907,MOVIMIENTOS_COMPLEMENTOS!$B$4:$B$803,"SALIDA"),0)</f>
        <v>0</v>
      </c>
      <c r="I1907" s="102">
        <f t="array" ref="I1907">IFERROR(INDEX(PRECIOS_COMPLEMENTOS!$C$4:$F$17,MATCH(B1907&amp;"_"&amp;C1907,PRECIOS_COMPLEMENTOS!$H$4:$H$17,0),IF(OR(G1907="S",G1907="20cm"),1,IF(OR(G1907="M",G1907="25cm"),2,IF(OR(G1907="L",G1907="30cm"),3,IF(OR(G1907="XL",G1907="35cm"),4,0))))),0)</f>
        <v>0.3</v>
      </c>
      <c r="J1907" s="103">
        <f t="shared" si="1"/>
        <v>0</v>
      </c>
      <c r="K1907" s="104" t="str">
        <f>IF(H1907&lt;0,"ERROR",IF(H1907=0,"",IF(H1907&lt;CONFIG!$B$4,"CRÍTICO",IF(H1907&lt;CONFIG!$B$5,"BAJO","OK"))))</f>
        <v/>
      </c>
    </row>
    <row r="1908" ht="15.75" hidden="1" customHeight="1">
      <c r="A1908" s="90" t="str">
        <f>IF(CLIENTES!A9="","",CLIENTES!A9)</f>
        <v/>
      </c>
      <c r="B1908" s="90" t="s">
        <v>324</v>
      </c>
      <c r="C1908" s="91" t="s">
        <v>328</v>
      </c>
      <c r="D1908" s="109" t="s">
        <v>353</v>
      </c>
      <c r="E1908" s="67" t="str">
        <f>COLORES!A20</f>
        <v/>
      </c>
      <c r="F1908" s="67" t="str">
        <f>COLORES!B20</f>
        <v/>
      </c>
      <c r="G1908" s="90" t="s">
        <v>378</v>
      </c>
      <c r="H1908" s="100">
        <f>IFERROR(SUMIFS(MOVIMIENTOS_COMPLEMENTOS!$I$4:$I$803,MOVIMIENTOS_COMPLEMENTOS!$C$4:$C$803,A1908,MOVIMIENTOS_COMPLEMENTOS!$D$4:$D$803,B1908,MOVIMIENTOS_COMPLEMENTOS!$E$4:$E$803,C1908,MOVIMIENTOS_COMPLEMENTOS!$G$4:$G$803,E1908,MOVIMIENTOS_COMPLEMENTOS!$H$4:$H$803,G1908,MOVIMIENTOS_COMPLEMENTOS!$B$4:$B$803,"INGRESO")+SUMIFS(MOVIMIENTOS_COMPLEMENTOS!$I$4:$I$803,MOVIMIENTOS_COMPLEMENTOS!$C$4:$C$803,A1908,MOVIMIENTOS_COMPLEMENTOS!$D$4:$D$803,B1908,MOVIMIENTOS_COMPLEMENTOS!$E$4:$E$803,C1908,MOVIMIENTOS_COMPLEMENTOS!$G$4:$G$803,E1908,MOVIMIENTOS_COMPLEMENTOS!$H$4:$H$803,G1908,MOVIMIENTOS_COMPLEMENTOS!$B$4:$B$803,"DE CORTE")-SUMIFS(MOVIMIENTOS_COMPLEMENTOS!$I$4:$I$803,MOVIMIENTOS_COMPLEMENTOS!$C$4:$C$803,A1908,MOVIMIENTOS_COMPLEMENTOS!$D$4:$D$803,B1908,MOVIMIENTOS_COMPLEMENTOS!$E$4:$E$803,C1908,MOVIMIENTOS_COMPLEMENTOS!$G$4:$G$803,E1908,MOVIMIENTOS_COMPLEMENTOS!$H$4:$H$803,G1908,MOVIMIENTOS_COMPLEMENTOS!$B$4:$B$803,"SALIDA"),0)</f>
        <v>0</v>
      </c>
      <c r="I1908" s="102">
        <f t="array" ref="I1908">IFERROR(INDEX(PRECIOS_COMPLEMENTOS!$C$4:$F$17,MATCH(B1908&amp;"_"&amp;C1908,PRECIOS_COMPLEMENTOS!$H$4:$H$17,0),IF(OR(G1908="S",G1908="20cm"),1,IF(OR(G1908="M",G1908="25cm"),2,IF(OR(G1908="L",G1908="30cm"),3,IF(OR(G1908="XL",G1908="35cm"),4,0))))),0)</f>
        <v>0.3</v>
      </c>
      <c r="J1908" s="103">
        <f t="shared" si="1"/>
        <v>0</v>
      </c>
      <c r="K1908" s="104" t="str">
        <f>IF(H1908&lt;0,"ERROR",IF(H1908=0,"",IF(H1908&lt;CONFIG!$B$4,"CRÍTICO",IF(H1908&lt;CONFIG!$B$5,"BAJO","OK"))))</f>
        <v/>
      </c>
    </row>
    <row r="1909" ht="15.75" hidden="1" customHeight="1">
      <c r="A1909" s="90" t="str">
        <f>IF(CLIENTES!A9="","",CLIENTES!A9)</f>
        <v/>
      </c>
      <c r="B1909" s="90" t="s">
        <v>324</v>
      </c>
      <c r="C1909" s="91" t="s">
        <v>328</v>
      </c>
      <c r="D1909" s="109" t="s">
        <v>353</v>
      </c>
      <c r="E1909" s="67" t="str">
        <f>COLORES!A20</f>
        <v/>
      </c>
      <c r="F1909" s="67" t="str">
        <f>COLORES!B20</f>
        <v/>
      </c>
      <c r="G1909" s="90" t="s">
        <v>376</v>
      </c>
      <c r="H1909" s="100">
        <f>IFERROR(SUMIFS(MOVIMIENTOS_COMPLEMENTOS!$I$4:$I$803,MOVIMIENTOS_COMPLEMENTOS!$C$4:$C$803,A1909,MOVIMIENTOS_COMPLEMENTOS!$D$4:$D$803,B1909,MOVIMIENTOS_COMPLEMENTOS!$E$4:$E$803,C1909,MOVIMIENTOS_COMPLEMENTOS!$G$4:$G$803,E1909,MOVIMIENTOS_COMPLEMENTOS!$H$4:$H$803,G1909,MOVIMIENTOS_COMPLEMENTOS!$B$4:$B$803,"INGRESO")+SUMIFS(MOVIMIENTOS_COMPLEMENTOS!$I$4:$I$803,MOVIMIENTOS_COMPLEMENTOS!$C$4:$C$803,A1909,MOVIMIENTOS_COMPLEMENTOS!$D$4:$D$803,B1909,MOVIMIENTOS_COMPLEMENTOS!$E$4:$E$803,C1909,MOVIMIENTOS_COMPLEMENTOS!$G$4:$G$803,E1909,MOVIMIENTOS_COMPLEMENTOS!$H$4:$H$803,G1909,MOVIMIENTOS_COMPLEMENTOS!$B$4:$B$803,"DE CORTE")-SUMIFS(MOVIMIENTOS_COMPLEMENTOS!$I$4:$I$803,MOVIMIENTOS_COMPLEMENTOS!$C$4:$C$803,A1909,MOVIMIENTOS_COMPLEMENTOS!$D$4:$D$803,B1909,MOVIMIENTOS_COMPLEMENTOS!$E$4:$E$803,C1909,MOVIMIENTOS_COMPLEMENTOS!$G$4:$G$803,E1909,MOVIMIENTOS_COMPLEMENTOS!$H$4:$H$803,G1909,MOVIMIENTOS_COMPLEMENTOS!$B$4:$B$803,"SALIDA"),0)</f>
        <v>0</v>
      </c>
      <c r="I1909" s="102">
        <f t="array" ref="I1909">IFERROR(INDEX(PRECIOS_COMPLEMENTOS!$C$4:$F$17,MATCH(B1909&amp;"_"&amp;C1909,PRECIOS_COMPLEMENTOS!$H$4:$H$17,0),IF(OR(G1909="S",G1909="20cm"),1,IF(OR(G1909="M",G1909="25cm"),2,IF(OR(G1909="L",G1909="30cm"),3,IF(OR(G1909="XL",G1909="35cm"),4,0))))),0)</f>
        <v>0.3</v>
      </c>
      <c r="J1909" s="103">
        <f t="shared" si="1"/>
        <v>0</v>
      </c>
      <c r="K1909" s="104" t="str">
        <f>IF(H1909&lt;0,"ERROR",IF(H1909=0,"",IF(H1909&lt;CONFIG!$B$4,"CRÍTICO",IF(H1909&lt;CONFIG!$B$5,"BAJO","OK"))))</f>
        <v/>
      </c>
    </row>
    <row r="1910" ht="15.75" hidden="1" customHeight="1">
      <c r="A1910" s="90" t="str">
        <f>IF(CLIENTES!A9="","",CLIENTES!A9)</f>
        <v/>
      </c>
      <c r="B1910" s="90" t="s">
        <v>324</v>
      </c>
      <c r="C1910" s="91" t="s">
        <v>328</v>
      </c>
      <c r="D1910" s="109" t="s">
        <v>353</v>
      </c>
      <c r="E1910" s="67" t="str">
        <f>COLORES!A20</f>
        <v/>
      </c>
      <c r="F1910" s="67" t="str">
        <f>COLORES!B20</f>
        <v/>
      </c>
      <c r="G1910" s="90" t="s">
        <v>377</v>
      </c>
      <c r="H1910" s="100">
        <f>IFERROR(SUMIFS(MOVIMIENTOS_COMPLEMENTOS!$I$4:$I$803,MOVIMIENTOS_COMPLEMENTOS!$C$4:$C$803,A1910,MOVIMIENTOS_COMPLEMENTOS!$D$4:$D$803,B1910,MOVIMIENTOS_COMPLEMENTOS!$E$4:$E$803,C1910,MOVIMIENTOS_COMPLEMENTOS!$G$4:$G$803,E1910,MOVIMIENTOS_COMPLEMENTOS!$H$4:$H$803,G1910,MOVIMIENTOS_COMPLEMENTOS!$B$4:$B$803,"INGRESO")+SUMIFS(MOVIMIENTOS_COMPLEMENTOS!$I$4:$I$803,MOVIMIENTOS_COMPLEMENTOS!$C$4:$C$803,A1910,MOVIMIENTOS_COMPLEMENTOS!$D$4:$D$803,B1910,MOVIMIENTOS_COMPLEMENTOS!$E$4:$E$803,C1910,MOVIMIENTOS_COMPLEMENTOS!$G$4:$G$803,E1910,MOVIMIENTOS_COMPLEMENTOS!$H$4:$H$803,G1910,MOVIMIENTOS_COMPLEMENTOS!$B$4:$B$803,"DE CORTE")-SUMIFS(MOVIMIENTOS_COMPLEMENTOS!$I$4:$I$803,MOVIMIENTOS_COMPLEMENTOS!$C$4:$C$803,A1910,MOVIMIENTOS_COMPLEMENTOS!$D$4:$D$803,B1910,MOVIMIENTOS_COMPLEMENTOS!$E$4:$E$803,C1910,MOVIMIENTOS_COMPLEMENTOS!$G$4:$G$803,E1910,MOVIMIENTOS_COMPLEMENTOS!$H$4:$H$803,G1910,MOVIMIENTOS_COMPLEMENTOS!$B$4:$B$803,"SALIDA"),0)</f>
        <v>0</v>
      </c>
      <c r="I1910" s="102">
        <f t="array" ref="I1910">IFERROR(INDEX(PRECIOS_COMPLEMENTOS!$C$4:$F$17,MATCH(B1910&amp;"_"&amp;C1910,PRECIOS_COMPLEMENTOS!$H$4:$H$17,0),IF(OR(G1910="S",G1910="20cm"),1,IF(OR(G1910="M",G1910="25cm"),2,IF(OR(G1910="L",G1910="30cm"),3,IF(OR(G1910="XL",G1910="35cm"),4,0))))),0)</f>
        <v>0.3</v>
      </c>
      <c r="J1910" s="103">
        <f t="shared" si="1"/>
        <v>0</v>
      </c>
      <c r="K1910" s="104" t="str">
        <f>IF(H1910&lt;0,"ERROR",IF(H1910=0,"",IF(H1910&lt;CONFIG!$B$4,"CRÍTICO",IF(H1910&lt;CONFIG!$B$5,"BAJO","OK"))))</f>
        <v/>
      </c>
    </row>
    <row r="1911" ht="15.75" hidden="1" customHeight="1">
      <c r="A1911" s="90" t="str">
        <f>IF(CLIENTES!A9="","",CLIENTES!A9)</f>
        <v/>
      </c>
      <c r="B1911" s="90" t="s">
        <v>324</v>
      </c>
      <c r="C1911" s="91" t="s">
        <v>328</v>
      </c>
      <c r="D1911" s="109" t="s">
        <v>353</v>
      </c>
      <c r="E1911" s="67" t="str">
        <f>COLORES!A20</f>
        <v/>
      </c>
      <c r="F1911" s="67" t="str">
        <f>COLORES!B20</f>
        <v/>
      </c>
      <c r="G1911" s="90" t="s">
        <v>379</v>
      </c>
      <c r="H1911" s="100">
        <f>IFERROR(SUMIFS(MOVIMIENTOS_COMPLEMENTOS!$I$4:$I$803,MOVIMIENTOS_COMPLEMENTOS!$C$4:$C$803,A1911,MOVIMIENTOS_COMPLEMENTOS!$D$4:$D$803,B1911,MOVIMIENTOS_COMPLEMENTOS!$E$4:$E$803,C1911,MOVIMIENTOS_COMPLEMENTOS!$G$4:$G$803,E1911,MOVIMIENTOS_COMPLEMENTOS!$H$4:$H$803,G1911,MOVIMIENTOS_COMPLEMENTOS!$B$4:$B$803,"INGRESO")+SUMIFS(MOVIMIENTOS_COMPLEMENTOS!$I$4:$I$803,MOVIMIENTOS_COMPLEMENTOS!$C$4:$C$803,A1911,MOVIMIENTOS_COMPLEMENTOS!$D$4:$D$803,B1911,MOVIMIENTOS_COMPLEMENTOS!$E$4:$E$803,C1911,MOVIMIENTOS_COMPLEMENTOS!$G$4:$G$803,E1911,MOVIMIENTOS_COMPLEMENTOS!$H$4:$H$803,G1911,MOVIMIENTOS_COMPLEMENTOS!$B$4:$B$803,"DE CORTE")-SUMIFS(MOVIMIENTOS_COMPLEMENTOS!$I$4:$I$803,MOVIMIENTOS_COMPLEMENTOS!$C$4:$C$803,A1911,MOVIMIENTOS_COMPLEMENTOS!$D$4:$D$803,B1911,MOVIMIENTOS_COMPLEMENTOS!$E$4:$E$803,C1911,MOVIMIENTOS_COMPLEMENTOS!$G$4:$G$803,E1911,MOVIMIENTOS_COMPLEMENTOS!$H$4:$H$803,G1911,MOVIMIENTOS_COMPLEMENTOS!$B$4:$B$803,"SALIDA"),0)</f>
        <v>0</v>
      </c>
      <c r="I1911" s="102">
        <f t="array" ref="I1911">IFERROR(INDEX(PRECIOS_COMPLEMENTOS!$C$4:$F$17,MATCH(B1911&amp;"_"&amp;C1911,PRECIOS_COMPLEMENTOS!$H$4:$H$17,0),IF(OR(G1911="S",G1911="20cm"),1,IF(OR(G1911="M",G1911="25cm"),2,IF(OR(G1911="L",G1911="30cm"),3,IF(OR(G1911="XL",G1911="35cm"),4,0))))),0)</f>
        <v>0.3</v>
      </c>
      <c r="J1911" s="103">
        <f t="shared" si="1"/>
        <v>0</v>
      </c>
      <c r="K1911" s="104" t="str">
        <f>IF(H1911&lt;0,"ERROR",IF(H1911=0,"",IF(H1911&lt;CONFIG!$B$4,"CRÍTICO",IF(H1911&lt;CONFIG!$B$5,"BAJO","OK"))))</f>
        <v/>
      </c>
    </row>
    <row r="1912" ht="15.75" hidden="1" customHeight="1">
      <c r="A1912" s="90" t="str">
        <f>IF(CLIENTES!A9="","",CLIENTES!A9)</f>
        <v/>
      </c>
      <c r="B1912" s="90" t="s">
        <v>324</v>
      </c>
      <c r="C1912" s="91" t="s">
        <v>328</v>
      </c>
      <c r="D1912" s="109" t="s">
        <v>353</v>
      </c>
      <c r="E1912" s="67" t="str">
        <f>COLORES!A21</f>
        <v/>
      </c>
      <c r="F1912" s="67" t="str">
        <f>COLORES!B21</f>
        <v/>
      </c>
      <c r="G1912" s="90" t="s">
        <v>378</v>
      </c>
      <c r="H1912" s="100">
        <f>IFERROR(SUMIFS(MOVIMIENTOS_COMPLEMENTOS!$I$4:$I$803,MOVIMIENTOS_COMPLEMENTOS!$C$4:$C$803,A1912,MOVIMIENTOS_COMPLEMENTOS!$D$4:$D$803,B1912,MOVIMIENTOS_COMPLEMENTOS!$E$4:$E$803,C1912,MOVIMIENTOS_COMPLEMENTOS!$G$4:$G$803,E1912,MOVIMIENTOS_COMPLEMENTOS!$H$4:$H$803,G1912,MOVIMIENTOS_COMPLEMENTOS!$B$4:$B$803,"INGRESO")+SUMIFS(MOVIMIENTOS_COMPLEMENTOS!$I$4:$I$803,MOVIMIENTOS_COMPLEMENTOS!$C$4:$C$803,A1912,MOVIMIENTOS_COMPLEMENTOS!$D$4:$D$803,B1912,MOVIMIENTOS_COMPLEMENTOS!$E$4:$E$803,C1912,MOVIMIENTOS_COMPLEMENTOS!$G$4:$G$803,E1912,MOVIMIENTOS_COMPLEMENTOS!$H$4:$H$803,G1912,MOVIMIENTOS_COMPLEMENTOS!$B$4:$B$803,"DE CORTE")-SUMIFS(MOVIMIENTOS_COMPLEMENTOS!$I$4:$I$803,MOVIMIENTOS_COMPLEMENTOS!$C$4:$C$803,A1912,MOVIMIENTOS_COMPLEMENTOS!$D$4:$D$803,B1912,MOVIMIENTOS_COMPLEMENTOS!$E$4:$E$803,C1912,MOVIMIENTOS_COMPLEMENTOS!$G$4:$G$803,E1912,MOVIMIENTOS_COMPLEMENTOS!$H$4:$H$803,G1912,MOVIMIENTOS_COMPLEMENTOS!$B$4:$B$803,"SALIDA"),0)</f>
        <v>0</v>
      </c>
      <c r="I1912" s="102">
        <f t="array" ref="I1912">IFERROR(INDEX(PRECIOS_COMPLEMENTOS!$C$4:$F$17,MATCH(B1912&amp;"_"&amp;C1912,PRECIOS_COMPLEMENTOS!$H$4:$H$17,0),IF(OR(G1912="S",G1912="20cm"),1,IF(OR(G1912="M",G1912="25cm"),2,IF(OR(G1912="L",G1912="30cm"),3,IF(OR(G1912="XL",G1912="35cm"),4,0))))),0)</f>
        <v>0.3</v>
      </c>
      <c r="J1912" s="103">
        <f t="shared" si="1"/>
        <v>0</v>
      </c>
      <c r="K1912" s="104" t="str">
        <f>IF(H1912&lt;0,"ERROR",IF(H1912=0,"",IF(H1912&lt;CONFIG!$B$4,"CRÍTICO",IF(H1912&lt;CONFIG!$B$5,"BAJO","OK"))))</f>
        <v/>
      </c>
    </row>
    <row r="1913" ht="15.75" hidden="1" customHeight="1">
      <c r="A1913" s="90" t="str">
        <f>IF(CLIENTES!A9="","",CLIENTES!A9)</f>
        <v/>
      </c>
      <c r="B1913" s="90" t="s">
        <v>324</v>
      </c>
      <c r="C1913" s="91" t="s">
        <v>328</v>
      </c>
      <c r="D1913" s="109" t="s">
        <v>353</v>
      </c>
      <c r="E1913" s="67" t="str">
        <f>COLORES!A21</f>
        <v/>
      </c>
      <c r="F1913" s="67" t="str">
        <f>COLORES!B21</f>
        <v/>
      </c>
      <c r="G1913" s="90" t="s">
        <v>376</v>
      </c>
      <c r="H1913" s="100">
        <f>IFERROR(SUMIFS(MOVIMIENTOS_COMPLEMENTOS!$I$4:$I$803,MOVIMIENTOS_COMPLEMENTOS!$C$4:$C$803,A1913,MOVIMIENTOS_COMPLEMENTOS!$D$4:$D$803,B1913,MOVIMIENTOS_COMPLEMENTOS!$E$4:$E$803,C1913,MOVIMIENTOS_COMPLEMENTOS!$G$4:$G$803,E1913,MOVIMIENTOS_COMPLEMENTOS!$H$4:$H$803,G1913,MOVIMIENTOS_COMPLEMENTOS!$B$4:$B$803,"INGRESO")+SUMIFS(MOVIMIENTOS_COMPLEMENTOS!$I$4:$I$803,MOVIMIENTOS_COMPLEMENTOS!$C$4:$C$803,A1913,MOVIMIENTOS_COMPLEMENTOS!$D$4:$D$803,B1913,MOVIMIENTOS_COMPLEMENTOS!$E$4:$E$803,C1913,MOVIMIENTOS_COMPLEMENTOS!$G$4:$G$803,E1913,MOVIMIENTOS_COMPLEMENTOS!$H$4:$H$803,G1913,MOVIMIENTOS_COMPLEMENTOS!$B$4:$B$803,"DE CORTE")-SUMIFS(MOVIMIENTOS_COMPLEMENTOS!$I$4:$I$803,MOVIMIENTOS_COMPLEMENTOS!$C$4:$C$803,A1913,MOVIMIENTOS_COMPLEMENTOS!$D$4:$D$803,B1913,MOVIMIENTOS_COMPLEMENTOS!$E$4:$E$803,C1913,MOVIMIENTOS_COMPLEMENTOS!$G$4:$G$803,E1913,MOVIMIENTOS_COMPLEMENTOS!$H$4:$H$803,G1913,MOVIMIENTOS_COMPLEMENTOS!$B$4:$B$803,"SALIDA"),0)</f>
        <v>0</v>
      </c>
      <c r="I1913" s="102">
        <f t="array" ref="I1913">IFERROR(INDEX(PRECIOS_COMPLEMENTOS!$C$4:$F$17,MATCH(B1913&amp;"_"&amp;C1913,PRECIOS_COMPLEMENTOS!$H$4:$H$17,0),IF(OR(G1913="S",G1913="20cm"),1,IF(OR(G1913="M",G1913="25cm"),2,IF(OR(G1913="L",G1913="30cm"),3,IF(OR(G1913="XL",G1913="35cm"),4,0))))),0)</f>
        <v>0.3</v>
      </c>
      <c r="J1913" s="103">
        <f t="shared" si="1"/>
        <v>0</v>
      </c>
      <c r="K1913" s="104" t="str">
        <f>IF(H1913&lt;0,"ERROR",IF(H1913=0,"",IF(H1913&lt;CONFIG!$B$4,"CRÍTICO",IF(H1913&lt;CONFIG!$B$5,"BAJO","OK"))))</f>
        <v/>
      </c>
    </row>
    <row r="1914" ht="15.75" hidden="1" customHeight="1">
      <c r="A1914" s="90" t="str">
        <f>IF(CLIENTES!A9="","",CLIENTES!A9)</f>
        <v/>
      </c>
      <c r="B1914" s="90" t="s">
        <v>324</v>
      </c>
      <c r="C1914" s="91" t="s">
        <v>328</v>
      </c>
      <c r="D1914" s="109" t="s">
        <v>353</v>
      </c>
      <c r="E1914" s="67" t="str">
        <f>COLORES!A21</f>
        <v/>
      </c>
      <c r="F1914" s="67" t="str">
        <f>COLORES!B21</f>
        <v/>
      </c>
      <c r="G1914" s="90" t="s">
        <v>377</v>
      </c>
      <c r="H1914" s="100">
        <f>IFERROR(SUMIFS(MOVIMIENTOS_COMPLEMENTOS!$I$4:$I$803,MOVIMIENTOS_COMPLEMENTOS!$C$4:$C$803,A1914,MOVIMIENTOS_COMPLEMENTOS!$D$4:$D$803,B1914,MOVIMIENTOS_COMPLEMENTOS!$E$4:$E$803,C1914,MOVIMIENTOS_COMPLEMENTOS!$G$4:$G$803,E1914,MOVIMIENTOS_COMPLEMENTOS!$H$4:$H$803,G1914,MOVIMIENTOS_COMPLEMENTOS!$B$4:$B$803,"INGRESO")+SUMIFS(MOVIMIENTOS_COMPLEMENTOS!$I$4:$I$803,MOVIMIENTOS_COMPLEMENTOS!$C$4:$C$803,A1914,MOVIMIENTOS_COMPLEMENTOS!$D$4:$D$803,B1914,MOVIMIENTOS_COMPLEMENTOS!$E$4:$E$803,C1914,MOVIMIENTOS_COMPLEMENTOS!$G$4:$G$803,E1914,MOVIMIENTOS_COMPLEMENTOS!$H$4:$H$803,G1914,MOVIMIENTOS_COMPLEMENTOS!$B$4:$B$803,"DE CORTE")-SUMIFS(MOVIMIENTOS_COMPLEMENTOS!$I$4:$I$803,MOVIMIENTOS_COMPLEMENTOS!$C$4:$C$803,A1914,MOVIMIENTOS_COMPLEMENTOS!$D$4:$D$803,B1914,MOVIMIENTOS_COMPLEMENTOS!$E$4:$E$803,C1914,MOVIMIENTOS_COMPLEMENTOS!$G$4:$G$803,E1914,MOVIMIENTOS_COMPLEMENTOS!$H$4:$H$803,G1914,MOVIMIENTOS_COMPLEMENTOS!$B$4:$B$803,"SALIDA"),0)</f>
        <v>0</v>
      </c>
      <c r="I1914" s="102">
        <f t="array" ref="I1914">IFERROR(INDEX(PRECIOS_COMPLEMENTOS!$C$4:$F$17,MATCH(B1914&amp;"_"&amp;C1914,PRECIOS_COMPLEMENTOS!$H$4:$H$17,0),IF(OR(G1914="S",G1914="20cm"),1,IF(OR(G1914="M",G1914="25cm"),2,IF(OR(G1914="L",G1914="30cm"),3,IF(OR(G1914="XL",G1914="35cm"),4,0))))),0)</f>
        <v>0.3</v>
      </c>
      <c r="J1914" s="103">
        <f t="shared" si="1"/>
        <v>0</v>
      </c>
      <c r="K1914" s="104" t="str">
        <f>IF(H1914&lt;0,"ERROR",IF(H1914=0,"",IF(H1914&lt;CONFIG!$B$4,"CRÍTICO",IF(H1914&lt;CONFIG!$B$5,"BAJO","OK"))))</f>
        <v/>
      </c>
    </row>
    <row r="1915" ht="15.75" hidden="1" customHeight="1">
      <c r="A1915" s="90" t="str">
        <f>IF(CLIENTES!A9="","",CLIENTES!A9)</f>
        <v/>
      </c>
      <c r="B1915" s="90" t="s">
        <v>324</v>
      </c>
      <c r="C1915" s="91" t="s">
        <v>328</v>
      </c>
      <c r="D1915" s="109" t="s">
        <v>353</v>
      </c>
      <c r="E1915" s="67" t="str">
        <f>COLORES!A21</f>
        <v/>
      </c>
      <c r="F1915" s="67" t="str">
        <f>COLORES!B21</f>
        <v/>
      </c>
      <c r="G1915" s="90" t="s">
        <v>379</v>
      </c>
      <c r="H1915" s="100">
        <f>IFERROR(SUMIFS(MOVIMIENTOS_COMPLEMENTOS!$I$4:$I$803,MOVIMIENTOS_COMPLEMENTOS!$C$4:$C$803,A1915,MOVIMIENTOS_COMPLEMENTOS!$D$4:$D$803,B1915,MOVIMIENTOS_COMPLEMENTOS!$E$4:$E$803,C1915,MOVIMIENTOS_COMPLEMENTOS!$G$4:$G$803,E1915,MOVIMIENTOS_COMPLEMENTOS!$H$4:$H$803,G1915,MOVIMIENTOS_COMPLEMENTOS!$B$4:$B$803,"INGRESO")+SUMIFS(MOVIMIENTOS_COMPLEMENTOS!$I$4:$I$803,MOVIMIENTOS_COMPLEMENTOS!$C$4:$C$803,A1915,MOVIMIENTOS_COMPLEMENTOS!$D$4:$D$803,B1915,MOVIMIENTOS_COMPLEMENTOS!$E$4:$E$803,C1915,MOVIMIENTOS_COMPLEMENTOS!$G$4:$G$803,E1915,MOVIMIENTOS_COMPLEMENTOS!$H$4:$H$803,G1915,MOVIMIENTOS_COMPLEMENTOS!$B$4:$B$803,"DE CORTE")-SUMIFS(MOVIMIENTOS_COMPLEMENTOS!$I$4:$I$803,MOVIMIENTOS_COMPLEMENTOS!$C$4:$C$803,A1915,MOVIMIENTOS_COMPLEMENTOS!$D$4:$D$803,B1915,MOVIMIENTOS_COMPLEMENTOS!$E$4:$E$803,C1915,MOVIMIENTOS_COMPLEMENTOS!$G$4:$G$803,E1915,MOVIMIENTOS_COMPLEMENTOS!$H$4:$H$803,G1915,MOVIMIENTOS_COMPLEMENTOS!$B$4:$B$803,"SALIDA"),0)</f>
        <v>0</v>
      </c>
      <c r="I1915" s="102">
        <f t="array" ref="I1915">IFERROR(INDEX(PRECIOS_COMPLEMENTOS!$C$4:$F$17,MATCH(B1915&amp;"_"&amp;C1915,PRECIOS_COMPLEMENTOS!$H$4:$H$17,0),IF(OR(G1915="S",G1915="20cm"),1,IF(OR(G1915="M",G1915="25cm"),2,IF(OR(G1915="L",G1915="30cm"),3,IF(OR(G1915="XL",G1915="35cm"),4,0))))),0)</f>
        <v>0.3</v>
      </c>
      <c r="J1915" s="103">
        <f t="shared" si="1"/>
        <v>0</v>
      </c>
      <c r="K1915" s="104" t="str">
        <f>IF(H1915&lt;0,"ERROR",IF(H1915=0,"",IF(H1915&lt;CONFIG!$B$4,"CRÍTICO",IF(H1915&lt;CONFIG!$B$5,"BAJO","OK"))))</f>
        <v/>
      </c>
    </row>
    <row r="1916" ht="15.75" hidden="1" customHeight="1">
      <c r="A1916" s="90" t="str">
        <f>IF(CLIENTES!A9="","",CLIENTES!A9)</f>
        <v/>
      </c>
      <c r="B1916" s="90" t="s">
        <v>324</v>
      </c>
      <c r="C1916" s="91" t="s">
        <v>328</v>
      </c>
      <c r="D1916" s="109" t="s">
        <v>353</v>
      </c>
      <c r="E1916" s="67" t="str">
        <f>COLORES!A22</f>
        <v/>
      </c>
      <c r="F1916" s="67" t="str">
        <f>COLORES!B22</f>
        <v/>
      </c>
      <c r="G1916" s="90" t="s">
        <v>378</v>
      </c>
      <c r="H1916" s="100">
        <f>IFERROR(SUMIFS(MOVIMIENTOS_COMPLEMENTOS!$I$4:$I$803,MOVIMIENTOS_COMPLEMENTOS!$C$4:$C$803,A1916,MOVIMIENTOS_COMPLEMENTOS!$D$4:$D$803,B1916,MOVIMIENTOS_COMPLEMENTOS!$E$4:$E$803,C1916,MOVIMIENTOS_COMPLEMENTOS!$G$4:$G$803,E1916,MOVIMIENTOS_COMPLEMENTOS!$H$4:$H$803,G1916,MOVIMIENTOS_COMPLEMENTOS!$B$4:$B$803,"INGRESO")+SUMIFS(MOVIMIENTOS_COMPLEMENTOS!$I$4:$I$803,MOVIMIENTOS_COMPLEMENTOS!$C$4:$C$803,A1916,MOVIMIENTOS_COMPLEMENTOS!$D$4:$D$803,B1916,MOVIMIENTOS_COMPLEMENTOS!$E$4:$E$803,C1916,MOVIMIENTOS_COMPLEMENTOS!$G$4:$G$803,E1916,MOVIMIENTOS_COMPLEMENTOS!$H$4:$H$803,G1916,MOVIMIENTOS_COMPLEMENTOS!$B$4:$B$803,"DE CORTE")-SUMIFS(MOVIMIENTOS_COMPLEMENTOS!$I$4:$I$803,MOVIMIENTOS_COMPLEMENTOS!$C$4:$C$803,A1916,MOVIMIENTOS_COMPLEMENTOS!$D$4:$D$803,B1916,MOVIMIENTOS_COMPLEMENTOS!$E$4:$E$803,C1916,MOVIMIENTOS_COMPLEMENTOS!$G$4:$G$803,E1916,MOVIMIENTOS_COMPLEMENTOS!$H$4:$H$803,G1916,MOVIMIENTOS_COMPLEMENTOS!$B$4:$B$803,"SALIDA"),0)</f>
        <v>0</v>
      </c>
      <c r="I1916" s="102">
        <f t="array" ref="I1916">IFERROR(INDEX(PRECIOS_COMPLEMENTOS!$C$4:$F$17,MATCH(B1916&amp;"_"&amp;C1916,PRECIOS_COMPLEMENTOS!$H$4:$H$17,0),IF(OR(G1916="S",G1916="20cm"),1,IF(OR(G1916="M",G1916="25cm"),2,IF(OR(G1916="L",G1916="30cm"),3,IF(OR(G1916="XL",G1916="35cm"),4,0))))),0)</f>
        <v>0.3</v>
      </c>
      <c r="J1916" s="103">
        <f t="shared" si="1"/>
        <v>0</v>
      </c>
      <c r="K1916" s="104" t="str">
        <f>IF(H1916&lt;0,"ERROR",IF(H1916=0,"",IF(H1916&lt;CONFIG!$B$4,"CRÍTICO",IF(H1916&lt;CONFIG!$B$5,"BAJO","OK"))))</f>
        <v/>
      </c>
    </row>
    <row r="1917" ht="15.75" hidden="1" customHeight="1">
      <c r="A1917" s="90" t="str">
        <f>IF(CLIENTES!A9="","",CLIENTES!A9)</f>
        <v/>
      </c>
      <c r="B1917" s="90" t="s">
        <v>324</v>
      </c>
      <c r="C1917" s="91" t="s">
        <v>328</v>
      </c>
      <c r="D1917" s="109" t="s">
        <v>353</v>
      </c>
      <c r="E1917" s="67" t="str">
        <f>COLORES!A22</f>
        <v/>
      </c>
      <c r="F1917" s="67" t="str">
        <f>COLORES!B22</f>
        <v/>
      </c>
      <c r="G1917" s="90" t="s">
        <v>376</v>
      </c>
      <c r="H1917" s="100">
        <f>IFERROR(SUMIFS(MOVIMIENTOS_COMPLEMENTOS!$I$4:$I$803,MOVIMIENTOS_COMPLEMENTOS!$C$4:$C$803,A1917,MOVIMIENTOS_COMPLEMENTOS!$D$4:$D$803,B1917,MOVIMIENTOS_COMPLEMENTOS!$E$4:$E$803,C1917,MOVIMIENTOS_COMPLEMENTOS!$G$4:$G$803,E1917,MOVIMIENTOS_COMPLEMENTOS!$H$4:$H$803,G1917,MOVIMIENTOS_COMPLEMENTOS!$B$4:$B$803,"INGRESO")+SUMIFS(MOVIMIENTOS_COMPLEMENTOS!$I$4:$I$803,MOVIMIENTOS_COMPLEMENTOS!$C$4:$C$803,A1917,MOVIMIENTOS_COMPLEMENTOS!$D$4:$D$803,B1917,MOVIMIENTOS_COMPLEMENTOS!$E$4:$E$803,C1917,MOVIMIENTOS_COMPLEMENTOS!$G$4:$G$803,E1917,MOVIMIENTOS_COMPLEMENTOS!$H$4:$H$803,G1917,MOVIMIENTOS_COMPLEMENTOS!$B$4:$B$803,"DE CORTE")-SUMIFS(MOVIMIENTOS_COMPLEMENTOS!$I$4:$I$803,MOVIMIENTOS_COMPLEMENTOS!$C$4:$C$803,A1917,MOVIMIENTOS_COMPLEMENTOS!$D$4:$D$803,B1917,MOVIMIENTOS_COMPLEMENTOS!$E$4:$E$803,C1917,MOVIMIENTOS_COMPLEMENTOS!$G$4:$G$803,E1917,MOVIMIENTOS_COMPLEMENTOS!$H$4:$H$803,G1917,MOVIMIENTOS_COMPLEMENTOS!$B$4:$B$803,"SALIDA"),0)</f>
        <v>0</v>
      </c>
      <c r="I1917" s="102">
        <f t="array" ref="I1917">IFERROR(INDEX(PRECIOS_COMPLEMENTOS!$C$4:$F$17,MATCH(B1917&amp;"_"&amp;C1917,PRECIOS_COMPLEMENTOS!$H$4:$H$17,0),IF(OR(G1917="S",G1917="20cm"),1,IF(OR(G1917="M",G1917="25cm"),2,IF(OR(G1917="L",G1917="30cm"),3,IF(OR(G1917="XL",G1917="35cm"),4,0))))),0)</f>
        <v>0.3</v>
      </c>
      <c r="J1917" s="103">
        <f t="shared" si="1"/>
        <v>0</v>
      </c>
      <c r="K1917" s="104" t="str">
        <f>IF(H1917&lt;0,"ERROR",IF(H1917=0,"",IF(H1917&lt;CONFIG!$B$4,"CRÍTICO",IF(H1917&lt;CONFIG!$B$5,"BAJO","OK"))))</f>
        <v/>
      </c>
    </row>
    <row r="1918" ht="15.75" hidden="1" customHeight="1">
      <c r="A1918" s="90" t="str">
        <f>IF(CLIENTES!A9="","",CLIENTES!A9)</f>
        <v/>
      </c>
      <c r="B1918" s="90" t="s">
        <v>324</v>
      </c>
      <c r="C1918" s="91" t="s">
        <v>328</v>
      </c>
      <c r="D1918" s="109" t="s">
        <v>353</v>
      </c>
      <c r="E1918" s="67" t="str">
        <f>COLORES!A22</f>
        <v/>
      </c>
      <c r="F1918" s="67" t="str">
        <f>COLORES!B22</f>
        <v/>
      </c>
      <c r="G1918" s="90" t="s">
        <v>377</v>
      </c>
      <c r="H1918" s="100">
        <f>IFERROR(SUMIFS(MOVIMIENTOS_COMPLEMENTOS!$I$4:$I$803,MOVIMIENTOS_COMPLEMENTOS!$C$4:$C$803,A1918,MOVIMIENTOS_COMPLEMENTOS!$D$4:$D$803,B1918,MOVIMIENTOS_COMPLEMENTOS!$E$4:$E$803,C1918,MOVIMIENTOS_COMPLEMENTOS!$G$4:$G$803,E1918,MOVIMIENTOS_COMPLEMENTOS!$H$4:$H$803,G1918,MOVIMIENTOS_COMPLEMENTOS!$B$4:$B$803,"INGRESO")+SUMIFS(MOVIMIENTOS_COMPLEMENTOS!$I$4:$I$803,MOVIMIENTOS_COMPLEMENTOS!$C$4:$C$803,A1918,MOVIMIENTOS_COMPLEMENTOS!$D$4:$D$803,B1918,MOVIMIENTOS_COMPLEMENTOS!$E$4:$E$803,C1918,MOVIMIENTOS_COMPLEMENTOS!$G$4:$G$803,E1918,MOVIMIENTOS_COMPLEMENTOS!$H$4:$H$803,G1918,MOVIMIENTOS_COMPLEMENTOS!$B$4:$B$803,"DE CORTE")-SUMIFS(MOVIMIENTOS_COMPLEMENTOS!$I$4:$I$803,MOVIMIENTOS_COMPLEMENTOS!$C$4:$C$803,A1918,MOVIMIENTOS_COMPLEMENTOS!$D$4:$D$803,B1918,MOVIMIENTOS_COMPLEMENTOS!$E$4:$E$803,C1918,MOVIMIENTOS_COMPLEMENTOS!$G$4:$G$803,E1918,MOVIMIENTOS_COMPLEMENTOS!$H$4:$H$803,G1918,MOVIMIENTOS_COMPLEMENTOS!$B$4:$B$803,"SALIDA"),0)</f>
        <v>0</v>
      </c>
      <c r="I1918" s="102">
        <f t="array" ref="I1918">IFERROR(INDEX(PRECIOS_COMPLEMENTOS!$C$4:$F$17,MATCH(B1918&amp;"_"&amp;C1918,PRECIOS_COMPLEMENTOS!$H$4:$H$17,0),IF(OR(G1918="S",G1918="20cm"),1,IF(OR(G1918="M",G1918="25cm"),2,IF(OR(G1918="L",G1918="30cm"),3,IF(OR(G1918="XL",G1918="35cm"),4,0))))),0)</f>
        <v>0.3</v>
      </c>
      <c r="J1918" s="103">
        <f t="shared" si="1"/>
        <v>0</v>
      </c>
      <c r="K1918" s="104" t="str">
        <f>IF(H1918&lt;0,"ERROR",IF(H1918=0,"",IF(H1918&lt;CONFIG!$B$4,"CRÍTICO",IF(H1918&lt;CONFIG!$B$5,"BAJO","OK"))))</f>
        <v/>
      </c>
    </row>
    <row r="1919" ht="15.75" hidden="1" customHeight="1">
      <c r="A1919" s="90" t="str">
        <f>IF(CLIENTES!A9="","",CLIENTES!A9)</f>
        <v/>
      </c>
      <c r="B1919" s="90" t="s">
        <v>324</v>
      </c>
      <c r="C1919" s="91" t="s">
        <v>328</v>
      </c>
      <c r="D1919" s="109" t="s">
        <v>353</v>
      </c>
      <c r="E1919" s="67" t="str">
        <f>COLORES!A22</f>
        <v/>
      </c>
      <c r="F1919" s="67" t="str">
        <f>COLORES!B22</f>
        <v/>
      </c>
      <c r="G1919" s="90" t="s">
        <v>379</v>
      </c>
      <c r="H1919" s="100">
        <f>IFERROR(SUMIFS(MOVIMIENTOS_COMPLEMENTOS!$I$4:$I$803,MOVIMIENTOS_COMPLEMENTOS!$C$4:$C$803,A1919,MOVIMIENTOS_COMPLEMENTOS!$D$4:$D$803,B1919,MOVIMIENTOS_COMPLEMENTOS!$E$4:$E$803,C1919,MOVIMIENTOS_COMPLEMENTOS!$G$4:$G$803,E1919,MOVIMIENTOS_COMPLEMENTOS!$H$4:$H$803,G1919,MOVIMIENTOS_COMPLEMENTOS!$B$4:$B$803,"INGRESO")+SUMIFS(MOVIMIENTOS_COMPLEMENTOS!$I$4:$I$803,MOVIMIENTOS_COMPLEMENTOS!$C$4:$C$803,A1919,MOVIMIENTOS_COMPLEMENTOS!$D$4:$D$803,B1919,MOVIMIENTOS_COMPLEMENTOS!$E$4:$E$803,C1919,MOVIMIENTOS_COMPLEMENTOS!$G$4:$G$803,E1919,MOVIMIENTOS_COMPLEMENTOS!$H$4:$H$803,G1919,MOVIMIENTOS_COMPLEMENTOS!$B$4:$B$803,"DE CORTE")-SUMIFS(MOVIMIENTOS_COMPLEMENTOS!$I$4:$I$803,MOVIMIENTOS_COMPLEMENTOS!$C$4:$C$803,A1919,MOVIMIENTOS_COMPLEMENTOS!$D$4:$D$803,B1919,MOVIMIENTOS_COMPLEMENTOS!$E$4:$E$803,C1919,MOVIMIENTOS_COMPLEMENTOS!$G$4:$G$803,E1919,MOVIMIENTOS_COMPLEMENTOS!$H$4:$H$803,G1919,MOVIMIENTOS_COMPLEMENTOS!$B$4:$B$803,"SALIDA"),0)</f>
        <v>0</v>
      </c>
      <c r="I1919" s="102">
        <f t="array" ref="I1919">IFERROR(INDEX(PRECIOS_COMPLEMENTOS!$C$4:$F$17,MATCH(B1919&amp;"_"&amp;C1919,PRECIOS_COMPLEMENTOS!$H$4:$H$17,0),IF(OR(G1919="S",G1919="20cm"),1,IF(OR(G1919="M",G1919="25cm"),2,IF(OR(G1919="L",G1919="30cm"),3,IF(OR(G1919="XL",G1919="35cm"),4,0))))),0)</f>
        <v>0.3</v>
      </c>
      <c r="J1919" s="103">
        <f t="shared" si="1"/>
        <v>0</v>
      </c>
      <c r="K1919" s="104" t="str">
        <f>IF(H1919&lt;0,"ERROR",IF(H1919=0,"",IF(H1919&lt;CONFIG!$B$4,"CRÍTICO",IF(H1919&lt;CONFIG!$B$5,"BAJO","OK"))))</f>
        <v/>
      </c>
    </row>
    <row r="1920" ht="15.75" hidden="1" customHeight="1">
      <c r="A1920" s="90" t="str">
        <f>IF(CLIENTES!A9="","",CLIENTES!A9)</f>
        <v/>
      </c>
      <c r="B1920" s="90" t="s">
        <v>324</v>
      </c>
      <c r="C1920" s="91" t="s">
        <v>328</v>
      </c>
      <c r="D1920" s="109" t="s">
        <v>353</v>
      </c>
      <c r="E1920" s="67" t="str">
        <f>COLORES!A23</f>
        <v/>
      </c>
      <c r="F1920" s="67" t="str">
        <f>COLORES!B23</f>
        <v/>
      </c>
      <c r="G1920" s="90" t="s">
        <v>378</v>
      </c>
      <c r="H1920" s="100">
        <f>IFERROR(SUMIFS(MOVIMIENTOS_COMPLEMENTOS!$I$4:$I$803,MOVIMIENTOS_COMPLEMENTOS!$C$4:$C$803,A1920,MOVIMIENTOS_COMPLEMENTOS!$D$4:$D$803,B1920,MOVIMIENTOS_COMPLEMENTOS!$E$4:$E$803,C1920,MOVIMIENTOS_COMPLEMENTOS!$G$4:$G$803,E1920,MOVIMIENTOS_COMPLEMENTOS!$H$4:$H$803,G1920,MOVIMIENTOS_COMPLEMENTOS!$B$4:$B$803,"INGRESO")+SUMIFS(MOVIMIENTOS_COMPLEMENTOS!$I$4:$I$803,MOVIMIENTOS_COMPLEMENTOS!$C$4:$C$803,A1920,MOVIMIENTOS_COMPLEMENTOS!$D$4:$D$803,B1920,MOVIMIENTOS_COMPLEMENTOS!$E$4:$E$803,C1920,MOVIMIENTOS_COMPLEMENTOS!$G$4:$G$803,E1920,MOVIMIENTOS_COMPLEMENTOS!$H$4:$H$803,G1920,MOVIMIENTOS_COMPLEMENTOS!$B$4:$B$803,"DE CORTE")-SUMIFS(MOVIMIENTOS_COMPLEMENTOS!$I$4:$I$803,MOVIMIENTOS_COMPLEMENTOS!$C$4:$C$803,A1920,MOVIMIENTOS_COMPLEMENTOS!$D$4:$D$803,B1920,MOVIMIENTOS_COMPLEMENTOS!$E$4:$E$803,C1920,MOVIMIENTOS_COMPLEMENTOS!$G$4:$G$803,E1920,MOVIMIENTOS_COMPLEMENTOS!$H$4:$H$803,G1920,MOVIMIENTOS_COMPLEMENTOS!$B$4:$B$803,"SALIDA"),0)</f>
        <v>0</v>
      </c>
      <c r="I1920" s="102">
        <f t="array" ref="I1920">IFERROR(INDEX(PRECIOS_COMPLEMENTOS!$C$4:$F$17,MATCH(B1920&amp;"_"&amp;C1920,PRECIOS_COMPLEMENTOS!$H$4:$H$17,0),IF(OR(G1920="S",G1920="20cm"),1,IF(OR(G1920="M",G1920="25cm"),2,IF(OR(G1920="L",G1920="30cm"),3,IF(OR(G1920="XL",G1920="35cm"),4,0))))),0)</f>
        <v>0.3</v>
      </c>
      <c r="J1920" s="103">
        <f t="shared" si="1"/>
        <v>0</v>
      </c>
      <c r="K1920" s="104" t="str">
        <f>IF(H1920&lt;0,"ERROR",IF(H1920=0,"",IF(H1920&lt;CONFIG!$B$4,"CRÍTICO",IF(H1920&lt;CONFIG!$B$5,"BAJO","OK"))))</f>
        <v/>
      </c>
    </row>
    <row r="1921" ht="15.75" hidden="1" customHeight="1">
      <c r="A1921" s="90" t="str">
        <f>IF(CLIENTES!A9="","",CLIENTES!A9)</f>
        <v/>
      </c>
      <c r="B1921" s="90" t="s">
        <v>324</v>
      </c>
      <c r="C1921" s="91" t="s">
        <v>328</v>
      </c>
      <c r="D1921" s="109" t="s">
        <v>353</v>
      </c>
      <c r="E1921" s="67" t="str">
        <f>COLORES!A23</f>
        <v/>
      </c>
      <c r="F1921" s="67" t="str">
        <f>COLORES!B23</f>
        <v/>
      </c>
      <c r="G1921" s="90" t="s">
        <v>376</v>
      </c>
      <c r="H1921" s="100">
        <f>IFERROR(SUMIFS(MOVIMIENTOS_COMPLEMENTOS!$I$4:$I$803,MOVIMIENTOS_COMPLEMENTOS!$C$4:$C$803,A1921,MOVIMIENTOS_COMPLEMENTOS!$D$4:$D$803,B1921,MOVIMIENTOS_COMPLEMENTOS!$E$4:$E$803,C1921,MOVIMIENTOS_COMPLEMENTOS!$G$4:$G$803,E1921,MOVIMIENTOS_COMPLEMENTOS!$H$4:$H$803,G1921,MOVIMIENTOS_COMPLEMENTOS!$B$4:$B$803,"INGRESO")+SUMIFS(MOVIMIENTOS_COMPLEMENTOS!$I$4:$I$803,MOVIMIENTOS_COMPLEMENTOS!$C$4:$C$803,A1921,MOVIMIENTOS_COMPLEMENTOS!$D$4:$D$803,B1921,MOVIMIENTOS_COMPLEMENTOS!$E$4:$E$803,C1921,MOVIMIENTOS_COMPLEMENTOS!$G$4:$G$803,E1921,MOVIMIENTOS_COMPLEMENTOS!$H$4:$H$803,G1921,MOVIMIENTOS_COMPLEMENTOS!$B$4:$B$803,"DE CORTE")-SUMIFS(MOVIMIENTOS_COMPLEMENTOS!$I$4:$I$803,MOVIMIENTOS_COMPLEMENTOS!$C$4:$C$803,A1921,MOVIMIENTOS_COMPLEMENTOS!$D$4:$D$803,B1921,MOVIMIENTOS_COMPLEMENTOS!$E$4:$E$803,C1921,MOVIMIENTOS_COMPLEMENTOS!$G$4:$G$803,E1921,MOVIMIENTOS_COMPLEMENTOS!$H$4:$H$803,G1921,MOVIMIENTOS_COMPLEMENTOS!$B$4:$B$803,"SALIDA"),0)</f>
        <v>0</v>
      </c>
      <c r="I1921" s="102">
        <f t="array" ref="I1921">IFERROR(INDEX(PRECIOS_COMPLEMENTOS!$C$4:$F$17,MATCH(B1921&amp;"_"&amp;C1921,PRECIOS_COMPLEMENTOS!$H$4:$H$17,0),IF(OR(G1921="S",G1921="20cm"),1,IF(OR(G1921="M",G1921="25cm"),2,IF(OR(G1921="L",G1921="30cm"),3,IF(OR(G1921="XL",G1921="35cm"),4,0))))),0)</f>
        <v>0.3</v>
      </c>
      <c r="J1921" s="103">
        <f t="shared" si="1"/>
        <v>0</v>
      </c>
      <c r="K1921" s="104" t="str">
        <f>IF(H1921&lt;0,"ERROR",IF(H1921=0,"",IF(H1921&lt;CONFIG!$B$4,"CRÍTICO",IF(H1921&lt;CONFIG!$B$5,"BAJO","OK"))))</f>
        <v/>
      </c>
    </row>
    <row r="1922" ht="15.75" hidden="1" customHeight="1">
      <c r="A1922" s="90" t="str">
        <f>IF(CLIENTES!A9="","",CLIENTES!A9)</f>
        <v/>
      </c>
      <c r="B1922" s="90" t="s">
        <v>324</v>
      </c>
      <c r="C1922" s="91" t="s">
        <v>328</v>
      </c>
      <c r="D1922" s="109" t="s">
        <v>353</v>
      </c>
      <c r="E1922" s="67" t="str">
        <f>COLORES!A23</f>
        <v/>
      </c>
      <c r="F1922" s="67" t="str">
        <f>COLORES!B23</f>
        <v/>
      </c>
      <c r="G1922" s="90" t="s">
        <v>377</v>
      </c>
      <c r="H1922" s="100">
        <f>IFERROR(SUMIFS(MOVIMIENTOS_COMPLEMENTOS!$I$4:$I$803,MOVIMIENTOS_COMPLEMENTOS!$C$4:$C$803,A1922,MOVIMIENTOS_COMPLEMENTOS!$D$4:$D$803,B1922,MOVIMIENTOS_COMPLEMENTOS!$E$4:$E$803,C1922,MOVIMIENTOS_COMPLEMENTOS!$G$4:$G$803,E1922,MOVIMIENTOS_COMPLEMENTOS!$H$4:$H$803,G1922,MOVIMIENTOS_COMPLEMENTOS!$B$4:$B$803,"INGRESO")+SUMIFS(MOVIMIENTOS_COMPLEMENTOS!$I$4:$I$803,MOVIMIENTOS_COMPLEMENTOS!$C$4:$C$803,A1922,MOVIMIENTOS_COMPLEMENTOS!$D$4:$D$803,B1922,MOVIMIENTOS_COMPLEMENTOS!$E$4:$E$803,C1922,MOVIMIENTOS_COMPLEMENTOS!$G$4:$G$803,E1922,MOVIMIENTOS_COMPLEMENTOS!$H$4:$H$803,G1922,MOVIMIENTOS_COMPLEMENTOS!$B$4:$B$803,"DE CORTE")-SUMIFS(MOVIMIENTOS_COMPLEMENTOS!$I$4:$I$803,MOVIMIENTOS_COMPLEMENTOS!$C$4:$C$803,A1922,MOVIMIENTOS_COMPLEMENTOS!$D$4:$D$803,B1922,MOVIMIENTOS_COMPLEMENTOS!$E$4:$E$803,C1922,MOVIMIENTOS_COMPLEMENTOS!$G$4:$G$803,E1922,MOVIMIENTOS_COMPLEMENTOS!$H$4:$H$803,G1922,MOVIMIENTOS_COMPLEMENTOS!$B$4:$B$803,"SALIDA"),0)</f>
        <v>0</v>
      </c>
      <c r="I1922" s="102">
        <f t="array" ref="I1922">IFERROR(INDEX(PRECIOS_COMPLEMENTOS!$C$4:$F$17,MATCH(B1922&amp;"_"&amp;C1922,PRECIOS_COMPLEMENTOS!$H$4:$H$17,0),IF(OR(G1922="S",G1922="20cm"),1,IF(OR(G1922="M",G1922="25cm"),2,IF(OR(G1922="L",G1922="30cm"),3,IF(OR(G1922="XL",G1922="35cm"),4,0))))),0)</f>
        <v>0.3</v>
      </c>
      <c r="J1922" s="103">
        <f t="shared" si="1"/>
        <v>0</v>
      </c>
      <c r="K1922" s="104" t="str">
        <f>IF(H1922&lt;0,"ERROR",IF(H1922=0,"",IF(H1922&lt;CONFIG!$B$4,"CRÍTICO",IF(H1922&lt;CONFIG!$B$5,"BAJO","OK"))))</f>
        <v/>
      </c>
    </row>
    <row r="1923" ht="15.75" hidden="1" customHeight="1">
      <c r="A1923" s="90" t="str">
        <f>IF(CLIENTES!A9="","",CLIENTES!A9)</f>
        <v/>
      </c>
      <c r="B1923" s="90" t="s">
        <v>324</v>
      </c>
      <c r="C1923" s="91" t="s">
        <v>328</v>
      </c>
      <c r="D1923" s="109" t="s">
        <v>353</v>
      </c>
      <c r="E1923" s="67" t="str">
        <f>COLORES!A23</f>
        <v/>
      </c>
      <c r="F1923" s="67" t="str">
        <f>COLORES!B23</f>
        <v/>
      </c>
      <c r="G1923" s="90" t="s">
        <v>379</v>
      </c>
      <c r="H1923" s="100">
        <f>IFERROR(SUMIFS(MOVIMIENTOS_COMPLEMENTOS!$I$4:$I$803,MOVIMIENTOS_COMPLEMENTOS!$C$4:$C$803,A1923,MOVIMIENTOS_COMPLEMENTOS!$D$4:$D$803,B1923,MOVIMIENTOS_COMPLEMENTOS!$E$4:$E$803,C1923,MOVIMIENTOS_COMPLEMENTOS!$G$4:$G$803,E1923,MOVIMIENTOS_COMPLEMENTOS!$H$4:$H$803,G1923,MOVIMIENTOS_COMPLEMENTOS!$B$4:$B$803,"INGRESO")+SUMIFS(MOVIMIENTOS_COMPLEMENTOS!$I$4:$I$803,MOVIMIENTOS_COMPLEMENTOS!$C$4:$C$803,A1923,MOVIMIENTOS_COMPLEMENTOS!$D$4:$D$803,B1923,MOVIMIENTOS_COMPLEMENTOS!$E$4:$E$803,C1923,MOVIMIENTOS_COMPLEMENTOS!$G$4:$G$803,E1923,MOVIMIENTOS_COMPLEMENTOS!$H$4:$H$803,G1923,MOVIMIENTOS_COMPLEMENTOS!$B$4:$B$803,"DE CORTE")-SUMIFS(MOVIMIENTOS_COMPLEMENTOS!$I$4:$I$803,MOVIMIENTOS_COMPLEMENTOS!$C$4:$C$803,A1923,MOVIMIENTOS_COMPLEMENTOS!$D$4:$D$803,B1923,MOVIMIENTOS_COMPLEMENTOS!$E$4:$E$803,C1923,MOVIMIENTOS_COMPLEMENTOS!$G$4:$G$803,E1923,MOVIMIENTOS_COMPLEMENTOS!$H$4:$H$803,G1923,MOVIMIENTOS_COMPLEMENTOS!$B$4:$B$803,"SALIDA"),0)</f>
        <v>0</v>
      </c>
      <c r="I1923" s="102">
        <f t="array" ref="I1923">IFERROR(INDEX(PRECIOS_COMPLEMENTOS!$C$4:$F$17,MATCH(B1923&amp;"_"&amp;C1923,PRECIOS_COMPLEMENTOS!$H$4:$H$17,0),IF(OR(G1923="S",G1923="20cm"),1,IF(OR(G1923="M",G1923="25cm"),2,IF(OR(G1923="L",G1923="30cm"),3,IF(OR(G1923="XL",G1923="35cm"),4,0))))),0)</f>
        <v>0.3</v>
      </c>
      <c r="J1923" s="103">
        <f t="shared" si="1"/>
        <v>0</v>
      </c>
      <c r="K1923" s="104" t="str">
        <f>IF(H1923&lt;0,"ERROR",IF(H1923=0,"",IF(H1923&lt;CONFIG!$B$4,"CRÍTICO",IF(H1923&lt;CONFIG!$B$5,"BAJO","OK"))))</f>
        <v/>
      </c>
    </row>
    <row r="1924" ht="15.75" hidden="1" customHeight="1">
      <c r="A1924" s="90" t="str">
        <f>IF(CLIENTES!A4="","",CLIENTES!A4)</f>
        <v>OverShark</v>
      </c>
      <c r="B1924" s="90" t="s">
        <v>331</v>
      </c>
      <c r="C1924" s="91" t="s">
        <v>328</v>
      </c>
      <c r="D1924" s="109" t="s">
        <v>364</v>
      </c>
      <c r="E1924" s="67" t="str">
        <f>COLORES!A4</f>
        <v>Negro</v>
      </c>
      <c r="F1924" s="67" t="str">
        <f>COLORES!B4</f>
        <v>OSCURO</v>
      </c>
      <c r="G1924" s="90" t="s">
        <v>378</v>
      </c>
      <c r="H1924" s="100">
        <f>IFERROR(SUMIFS(MOVIMIENTOS_COMPLEMENTOS!$I$4:$I$803,MOVIMIENTOS_COMPLEMENTOS!$C$4:$C$803,A1924,MOVIMIENTOS_COMPLEMENTOS!$D$4:$D$803,B1924,MOVIMIENTOS_COMPLEMENTOS!$E$4:$E$803,C1924,MOVIMIENTOS_COMPLEMENTOS!$F$4:$F$803,D1924,MOVIMIENTOS_COMPLEMENTOS!$G$4:$G$803,E1924,MOVIMIENTOS_COMPLEMENTOS!$H$4:$H$803,G1924,MOVIMIENTOS_COMPLEMENTOS!$B$4:$B$803,"INGRESO")+SUMIFS(MOVIMIENTOS_COMPLEMENTOS!$I$4:$I$803,MOVIMIENTOS_COMPLEMENTOS!$C$4:$C$803,A1924,MOVIMIENTOS_COMPLEMENTOS!$D$4:$D$803,B1924,MOVIMIENTOS_COMPLEMENTOS!$E$4:$E$803,C1924,MOVIMIENTOS_COMPLEMENTOS!$F$4:$F$803,D1924,MOVIMIENTOS_COMPLEMENTOS!$G$4:$G$803,E1924,MOVIMIENTOS_COMPLEMENTOS!$H$4:$H$803,G1924,MOVIMIENTOS_COMPLEMENTOS!$B$4:$B$803,"DE CORTE")-SUMIFS(MOVIMIENTOS_COMPLEMENTOS!$I$4:$I$803,MOVIMIENTOS_COMPLEMENTOS!$C$4:$C$803,A1924,MOVIMIENTOS_COMPLEMENTOS!$D$4:$D$803,B1924,MOVIMIENTOS_COMPLEMENTOS!$E$4:$E$803,C1924,MOVIMIENTOS_COMPLEMENTOS!$F$4:$F$803,D1924,MOVIMIENTOS_COMPLEMENTOS!$G$4:$G$803,E1924,MOVIMIENTOS_COMPLEMENTOS!$H$4:$H$803,G1924,MOVIMIENTOS_COMPLEMENTOS!$B$4:$B$803,"SALIDA"),0)</f>
        <v>0</v>
      </c>
      <c r="I1924" s="102">
        <f t="array" ref="I1924">IFERROR(INDEX(PRECIOS_COMPLEMENTOS!$C$4:$F$17,MATCH(B1924&amp;"_"&amp;C1924,PRECIOS_COMPLEMENTOS!$H$4:$H$17,0),IF(OR(G1924="S",G1924="20cm"),1,IF(OR(G1924="M",G1924="25cm"),2,IF(OR(G1924="L",G1924="30cm"),3,IF(OR(G1924="XL",G1924="35cm"),4,0))))),0)</f>
        <v>0.6</v>
      </c>
      <c r="J1924" s="103">
        <f t="shared" si="1"/>
        <v>0</v>
      </c>
      <c r="K1924" s="104" t="str">
        <f>IF(H1924&lt;0,"ERROR",IF(H1924=0,"",IF(H1924&lt;CONFIG!$B$4,"CRÍTICO",IF(H1924&lt;CONFIG!$B$5,"BAJO","OK"))))</f>
        <v/>
      </c>
    </row>
    <row r="1925" ht="15.75" hidden="1" customHeight="1">
      <c r="A1925" s="90" t="str">
        <f>IF(CLIENTES!A4="","",CLIENTES!A4)</f>
        <v>OverShark</v>
      </c>
      <c r="B1925" s="90" t="s">
        <v>331</v>
      </c>
      <c r="C1925" s="91" t="s">
        <v>328</v>
      </c>
      <c r="D1925" s="109" t="s">
        <v>364</v>
      </c>
      <c r="E1925" s="67" t="str">
        <f>COLORES!A4</f>
        <v>Negro</v>
      </c>
      <c r="F1925" s="67" t="str">
        <f>COLORES!B4</f>
        <v>OSCURO</v>
      </c>
      <c r="G1925" s="90" t="s">
        <v>376</v>
      </c>
      <c r="H1925" s="100">
        <f>IFERROR(SUMIFS(MOVIMIENTOS_COMPLEMENTOS!$I$4:$I$803,MOVIMIENTOS_COMPLEMENTOS!$C$4:$C$803,A1925,MOVIMIENTOS_COMPLEMENTOS!$D$4:$D$803,B1925,MOVIMIENTOS_COMPLEMENTOS!$E$4:$E$803,C1925,MOVIMIENTOS_COMPLEMENTOS!$F$4:$F$803,D1925,MOVIMIENTOS_COMPLEMENTOS!$G$4:$G$803,E1925,MOVIMIENTOS_COMPLEMENTOS!$H$4:$H$803,G1925,MOVIMIENTOS_COMPLEMENTOS!$B$4:$B$803,"INGRESO")+SUMIFS(MOVIMIENTOS_COMPLEMENTOS!$I$4:$I$803,MOVIMIENTOS_COMPLEMENTOS!$C$4:$C$803,A1925,MOVIMIENTOS_COMPLEMENTOS!$D$4:$D$803,B1925,MOVIMIENTOS_COMPLEMENTOS!$E$4:$E$803,C1925,MOVIMIENTOS_COMPLEMENTOS!$F$4:$F$803,D1925,MOVIMIENTOS_COMPLEMENTOS!$G$4:$G$803,E1925,MOVIMIENTOS_COMPLEMENTOS!$H$4:$H$803,G1925,MOVIMIENTOS_COMPLEMENTOS!$B$4:$B$803,"DE CORTE")-SUMIFS(MOVIMIENTOS_COMPLEMENTOS!$I$4:$I$803,MOVIMIENTOS_COMPLEMENTOS!$C$4:$C$803,A1925,MOVIMIENTOS_COMPLEMENTOS!$D$4:$D$803,B1925,MOVIMIENTOS_COMPLEMENTOS!$E$4:$E$803,C1925,MOVIMIENTOS_COMPLEMENTOS!$F$4:$F$803,D1925,MOVIMIENTOS_COMPLEMENTOS!$G$4:$G$803,E1925,MOVIMIENTOS_COMPLEMENTOS!$H$4:$H$803,G1925,MOVIMIENTOS_COMPLEMENTOS!$B$4:$B$803,"SALIDA"),0)</f>
        <v>0</v>
      </c>
      <c r="I1925" s="102">
        <f t="array" ref="I1925">IFERROR(INDEX(PRECIOS_COMPLEMENTOS!$C$4:$F$17,MATCH(B1925&amp;"_"&amp;C1925,PRECIOS_COMPLEMENTOS!$H$4:$H$17,0),IF(OR(G1925="S",G1925="20cm"),1,IF(OR(G1925="M",G1925="25cm"),2,IF(OR(G1925="L",G1925="30cm"),3,IF(OR(G1925="XL",G1925="35cm"),4,0))))),0)</f>
        <v>0.6</v>
      </c>
      <c r="J1925" s="103">
        <f t="shared" si="1"/>
        <v>0</v>
      </c>
      <c r="K1925" s="104" t="str">
        <f>IF(H1925&lt;0,"ERROR",IF(H1925=0,"",IF(H1925&lt;CONFIG!$B$4,"CRÍTICO",IF(H1925&lt;CONFIG!$B$5,"BAJO","OK"))))</f>
        <v/>
      </c>
    </row>
    <row r="1926" ht="15.75" hidden="1" customHeight="1">
      <c r="A1926" s="90" t="str">
        <f>IF(CLIENTES!A4="","",CLIENTES!A4)</f>
        <v>OverShark</v>
      </c>
      <c r="B1926" s="90" t="s">
        <v>331</v>
      </c>
      <c r="C1926" s="91" t="s">
        <v>328</v>
      </c>
      <c r="D1926" s="109" t="s">
        <v>364</v>
      </c>
      <c r="E1926" s="67" t="str">
        <f>COLORES!A4</f>
        <v>Negro</v>
      </c>
      <c r="F1926" s="67" t="str">
        <f>COLORES!B4</f>
        <v>OSCURO</v>
      </c>
      <c r="G1926" s="90" t="s">
        <v>377</v>
      </c>
      <c r="H1926" s="100">
        <f>IFERROR(SUMIFS(MOVIMIENTOS_COMPLEMENTOS!$I$4:$I$803,MOVIMIENTOS_COMPLEMENTOS!$C$4:$C$803,A1926,MOVIMIENTOS_COMPLEMENTOS!$D$4:$D$803,B1926,MOVIMIENTOS_COMPLEMENTOS!$E$4:$E$803,C1926,MOVIMIENTOS_COMPLEMENTOS!$F$4:$F$803,D1926,MOVIMIENTOS_COMPLEMENTOS!$G$4:$G$803,E1926,MOVIMIENTOS_COMPLEMENTOS!$H$4:$H$803,G1926,MOVIMIENTOS_COMPLEMENTOS!$B$4:$B$803,"INGRESO")+SUMIFS(MOVIMIENTOS_COMPLEMENTOS!$I$4:$I$803,MOVIMIENTOS_COMPLEMENTOS!$C$4:$C$803,A1926,MOVIMIENTOS_COMPLEMENTOS!$D$4:$D$803,B1926,MOVIMIENTOS_COMPLEMENTOS!$E$4:$E$803,C1926,MOVIMIENTOS_COMPLEMENTOS!$F$4:$F$803,D1926,MOVIMIENTOS_COMPLEMENTOS!$G$4:$G$803,E1926,MOVIMIENTOS_COMPLEMENTOS!$H$4:$H$803,G1926,MOVIMIENTOS_COMPLEMENTOS!$B$4:$B$803,"DE CORTE")-SUMIFS(MOVIMIENTOS_COMPLEMENTOS!$I$4:$I$803,MOVIMIENTOS_COMPLEMENTOS!$C$4:$C$803,A1926,MOVIMIENTOS_COMPLEMENTOS!$D$4:$D$803,B1926,MOVIMIENTOS_COMPLEMENTOS!$E$4:$E$803,C1926,MOVIMIENTOS_COMPLEMENTOS!$F$4:$F$803,D1926,MOVIMIENTOS_COMPLEMENTOS!$G$4:$G$803,E1926,MOVIMIENTOS_COMPLEMENTOS!$H$4:$H$803,G1926,MOVIMIENTOS_COMPLEMENTOS!$B$4:$B$803,"SALIDA"),0)</f>
        <v>0</v>
      </c>
      <c r="I1926" s="102">
        <f t="array" ref="I1926">IFERROR(INDEX(PRECIOS_COMPLEMENTOS!$C$4:$F$17,MATCH(B1926&amp;"_"&amp;C1926,PRECIOS_COMPLEMENTOS!$H$4:$H$17,0),IF(OR(G1926="S",G1926="20cm"),1,IF(OR(G1926="M",G1926="25cm"),2,IF(OR(G1926="L",G1926="30cm"),3,IF(OR(G1926="XL",G1926="35cm"),4,0))))),0)</f>
        <v>0.6</v>
      </c>
      <c r="J1926" s="103">
        <f t="shared" si="1"/>
        <v>0</v>
      </c>
      <c r="K1926" s="104" t="str">
        <f>IF(H1926&lt;0,"ERROR",IF(H1926=0,"",IF(H1926&lt;CONFIG!$B$4,"CRÍTICO",IF(H1926&lt;CONFIG!$B$5,"BAJO","OK"))))</f>
        <v/>
      </c>
    </row>
    <row r="1927" ht="15.75" hidden="1" customHeight="1">
      <c r="A1927" s="90" t="str">
        <f>IF(CLIENTES!A4="","",CLIENTES!A4)</f>
        <v>OverShark</v>
      </c>
      <c r="B1927" s="90" t="s">
        <v>331</v>
      </c>
      <c r="C1927" s="91" t="s">
        <v>328</v>
      </c>
      <c r="D1927" s="109" t="s">
        <v>364</v>
      </c>
      <c r="E1927" s="67" t="str">
        <f>COLORES!A4</f>
        <v>Negro</v>
      </c>
      <c r="F1927" s="67" t="str">
        <f>COLORES!B4</f>
        <v>OSCURO</v>
      </c>
      <c r="G1927" s="90" t="s">
        <v>379</v>
      </c>
      <c r="H1927" s="100">
        <f>IFERROR(SUMIFS(MOVIMIENTOS_COMPLEMENTOS!$I$4:$I$803,MOVIMIENTOS_COMPLEMENTOS!$C$4:$C$803,A1927,MOVIMIENTOS_COMPLEMENTOS!$D$4:$D$803,B1927,MOVIMIENTOS_COMPLEMENTOS!$E$4:$E$803,C1927,MOVIMIENTOS_COMPLEMENTOS!$F$4:$F$803,D1927,MOVIMIENTOS_COMPLEMENTOS!$G$4:$G$803,E1927,MOVIMIENTOS_COMPLEMENTOS!$H$4:$H$803,G1927,MOVIMIENTOS_COMPLEMENTOS!$B$4:$B$803,"INGRESO")+SUMIFS(MOVIMIENTOS_COMPLEMENTOS!$I$4:$I$803,MOVIMIENTOS_COMPLEMENTOS!$C$4:$C$803,A1927,MOVIMIENTOS_COMPLEMENTOS!$D$4:$D$803,B1927,MOVIMIENTOS_COMPLEMENTOS!$E$4:$E$803,C1927,MOVIMIENTOS_COMPLEMENTOS!$F$4:$F$803,D1927,MOVIMIENTOS_COMPLEMENTOS!$G$4:$G$803,E1927,MOVIMIENTOS_COMPLEMENTOS!$H$4:$H$803,G1927,MOVIMIENTOS_COMPLEMENTOS!$B$4:$B$803,"DE CORTE")-SUMIFS(MOVIMIENTOS_COMPLEMENTOS!$I$4:$I$803,MOVIMIENTOS_COMPLEMENTOS!$C$4:$C$803,A1927,MOVIMIENTOS_COMPLEMENTOS!$D$4:$D$803,B1927,MOVIMIENTOS_COMPLEMENTOS!$E$4:$E$803,C1927,MOVIMIENTOS_COMPLEMENTOS!$F$4:$F$803,D1927,MOVIMIENTOS_COMPLEMENTOS!$G$4:$G$803,E1927,MOVIMIENTOS_COMPLEMENTOS!$H$4:$H$803,G1927,MOVIMIENTOS_COMPLEMENTOS!$B$4:$B$803,"SALIDA"),0)</f>
        <v>0</v>
      </c>
      <c r="I1927" s="102">
        <f t="array" ref="I1927">IFERROR(INDEX(PRECIOS_COMPLEMENTOS!$C$4:$F$17,MATCH(B1927&amp;"_"&amp;C1927,PRECIOS_COMPLEMENTOS!$H$4:$H$17,0),IF(OR(G1927="S",G1927="20cm"),1,IF(OR(G1927="M",G1927="25cm"),2,IF(OR(G1927="L",G1927="30cm"),3,IF(OR(G1927="XL",G1927="35cm"),4,0))))),0)</f>
        <v>0.6</v>
      </c>
      <c r="J1927" s="103">
        <f t="shared" si="1"/>
        <v>0</v>
      </c>
      <c r="K1927" s="104" t="str">
        <f>IF(H1927&lt;0,"ERROR",IF(H1927=0,"",IF(H1927&lt;CONFIG!$B$4,"CRÍTICO",IF(H1927&lt;CONFIG!$B$5,"BAJO","OK"))))</f>
        <v/>
      </c>
    </row>
    <row r="1928" ht="15.75" hidden="1" customHeight="1">
      <c r="A1928" s="90" t="str">
        <f>IF(CLIENTES!A4="","",CLIENTES!A4)</f>
        <v>OverShark</v>
      </c>
      <c r="B1928" s="90" t="s">
        <v>331</v>
      </c>
      <c r="C1928" s="91" t="s">
        <v>328</v>
      </c>
      <c r="D1928" s="109" t="s">
        <v>364</v>
      </c>
      <c r="E1928" s="67" t="str">
        <f>COLORES!A5</f>
        <v>Perla</v>
      </c>
      <c r="F1928" s="67" t="str">
        <f>COLORES!B5</f>
        <v>PPT</v>
      </c>
      <c r="G1928" s="90" t="s">
        <v>378</v>
      </c>
      <c r="H1928" s="100">
        <f>IFERROR(SUMIFS(MOVIMIENTOS_COMPLEMENTOS!$I$4:$I$803,MOVIMIENTOS_COMPLEMENTOS!$C$4:$C$803,A1928,MOVIMIENTOS_COMPLEMENTOS!$D$4:$D$803,B1928,MOVIMIENTOS_COMPLEMENTOS!$E$4:$E$803,C1928,MOVIMIENTOS_COMPLEMENTOS!$F$4:$F$803,D1928,MOVIMIENTOS_COMPLEMENTOS!$G$4:$G$803,E1928,MOVIMIENTOS_COMPLEMENTOS!$H$4:$H$803,G1928,MOVIMIENTOS_COMPLEMENTOS!$B$4:$B$803,"INGRESO")+SUMIFS(MOVIMIENTOS_COMPLEMENTOS!$I$4:$I$803,MOVIMIENTOS_COMPLEMENTOS!$C$4:$C$803,A1928,MOVIMIENTOS_COMPLEMENTOS!$D$4:$D$803,B1928,MOVIMIENTOS_COMPLEMENTOS!$E$4:$E$803,C1928,MOVIMIENTOS_COMPLEMENTOS!$F$4:$F$803,D1928,MOVIMIENTOS_COMPLEMENTOS!$G$4:$G$803,E1928,MOVIMIENTOS_COMPLEMENTOS!$H$4:$H$803,G1928,MOVIMIENTOS_COMPLEMENTOS!$B$4:$B$803,"DE CORTE")-SUMIFS(MOVIMIENTOS_COMPLEMENTOS!$I$4:$I$803,MOVIMIENTOS_COMPLEMENTOS!$C$4:$C$803,A1928,MOVIMIENTOS_COMPLEMENTOS!$D$4:$D$803,B1928,MOVIMIENTOS_COMPLEMENTOS!$E$4:$E$803,C1928,MOVIMIENTOS_COMPLEMENTOS!$F$4:$F$803,D1928,MOVIMIENTOS_COMPLEMENTOS!$G$4:$G$803,E1928,MOVIMIENTOS_COMPLEMENTOS!$H$4:$H$803,G1928,MOVIMIENTOS_COMPLEMENTOS!$B$4:$B$803,"SALIDA"),0)</f>
        <v>0</v>
      </c>
      <c r="I1928" s="102">
        <f t="array" ref="I1928">IFERROR(INDEX(PRECIOS_COMPLEMENTOS!$C$4:$F$17,MATCH(B1928&amp;"_"&amp;C1928,PRECIOS_COMPLEMENTOS!$H$4:$H$17,0),IF(OR(G1928="S",G1928="20cm"),1,IF(OR(G1928="M",G1928="25cm"),2,IF(OR(G1928="L",G1928="30cm"),3,IF(OR(G1928="XL",G1928="35cm"),4,0))))),0)</f>
        <v>0.6</v>
      </c>
      <c r="J1928" s="103">
        <f t="shared" si="1"/>
        <v>0</v>
      </c>
      <c r="K1928" s="104" t="str">
        <f>IF(H1928&lt;0,"ERROR",IF(H1928=0,"",IF(H1928&lt;CONFIG!$B$4,"CRÍTICO",IF(H1928&lt;CONFIG!$B$5,"BAJO","OK"))))</f>
        <v/>
      </c>
    </row>
    <row r="1929" ht="15.75" hidden="1" customHeight="1">
      <c r="A1929" s="90" t="str">
        <f>IF(CLIENTES!A4="","",CLIENTES!A4)</f>
        <v>OverShark</v>
      </c>
      <c r="B1929" s="90" t="s">
        <v>331</v>
      </c>
      <c r="C1929" s="91" t="s">
        <v>328</v>
      </c>
      <c r="D1929" s="109" t="s">
        <v>364</v>
      </c>
      <c r="E1929" s="67" t="str">
        <f>COLORES!A5</f>
        <v>Perla</v>
      </c>
      <c r="F1929" s="67" t="str">
        <f>COLORES!B5</f>
        <v>PPT</v>
      </c>
      <c r="G1929" s="90" t="s">
        <v>376</v>
      </c>
      <c r="H1929" s="100">
        <f>IFERROR(SUMIFS(MOVIMIENTOS_COMPLEMENTOS!$I$4:$I$803,MOVIMIENTOS_COMPLEMENTOS!$C$4:$C$803,A1929,MOVIMIENTOS_COMPLEMENTOS!$D$4:$D$803,B1929,MOVIMIENTOS_COMPLEMENTOS!$E$4:$E$803,C1929,MOVIMIENTOS_COMPLEMENTOS!$F$4:$F$803,D1929,MOVIMIENTOS_COMPLEMENTOS!$G$4:$G$803,E1929,MOVIMIENTOS_COMPLEMENTOS!$H$4:$H$803,G1929,MOVIMIENTOS_COMPLEMENTOS!$B$4:$B$803,"INGRESO")+SUMIFS(MOVIMIENTOS_COMPLEMENTOS!$I$4:$I$803,MOVIMIENTOS_COMPLEMENTOS!$C$4:$C$803,A1929,MOVIMIENTOS_COMPLEMENTOS!$D$4:$D$803,B1929,MOVIMIENTOS_COMPLEMENTOS!$E$4:$E$803,C1929,MOVIMIENTOS_COMPLEMENTOS!$F$4:$F$803,D1929,MOVIMIENTOS_COMPLEMENTOS!$G$4:$G$803,E1929,MOVIMIENTOS_COMPLEMENTOS!$H$4:$H$803,G1929,MOVIMIENTOS_COMPLEMENTOS!$B$4:$B$803,"DE CORTE")-SUMIFS(MOVIMIENTOS_COMPLEMENTOS!$I$4:$I$803,MOVIMIENTOS_COMPLEMENTOS!$C$4:$C$803,A1929,MOVIMIENTOS_COMPLEMENTOS!$D$4:$D$803,B1929,MOVIMIENTOS_COMPLEMENTOS!$E$4:$E$803,C1929,MOVIMIENTOS_COMPLEMENTOS!$F$4:$F$803,D1929,MOVIMIENTOS_COMPLEMENTOS!$G$4:$G$803,E1929,MOVIMIENTOS_COMPLEMENTOS!$H$4:$H$803,G1929,MOVIMIENTOS_COMPLEMENTOS!$B$4:$B$803,"SALIDA"),0)</f>
        <v>0</v>
      </c>
      <c r="I1929" s="102">
        <f t="array" ref="I1929">IFERROR(INDEX(PRECIOS_COMPLEMENTOS!$C$4:$F$17,MATCH(B1929&amp;"_"&amp;C1929,PRECIOS_COMPLEMENTOS!$H$4:$H$17,0),IF(OR(G1929="S",G1929="20cm"),1,IF(OR(G1929="M",G1929="25cm"),2,IF(OR(G1929="L",G1929="30cm"),3,IF(OR(G1929="XL",G1929="35cm"),4,0))))),0)</f>
        <v>0.6</v>
      </c>
      <c r="J1929" s="103">
        <f t="shared" si="1"/>
        <v>0</v>
      </c>
      <c r="K1929" s="104" t="str">
        <f>IF(H1929&lt;0,"ERROR",IF(H1929=0,"",IF(H1929&lt;CONFIG!$B$4,"CRÍTICO",IF(H1929&lt;CONFIG!$B$5,"BAJO","OK"))))</f>
        <v/>
      </c>
    </row>
    <row r="1930" ht="15.75" hidden="1" customHeight="1">
      <c r="A1930" s="90" t="str">
        <f>IF(CLIENTES!A4="","",CLIENTES!A4)</f>
        <v>OverShark</v>
      </c>
      <c r="B1930" s="90" t="s">
        <v>331</v>
      </c>
      <c r="C1930" s="91" t="s">
        <v>328</v>
      </c>
      <c r="D1930" s="109" t="s">
        <v>364</v>
      </c>
      <c r="E1930" s="67" t="str">
        <f>COLORES!A5</f>
        <v>Perla</v>
      </c>
      <c r="F1930" s="67" t="str">
        <f>COLORES!B5</f>
        <v>PPT</v>
      </c>
      <c r="G1930" s="90" t="s">
        <v>377</v>
      </c>
      <c r="H1930" s="100">
        <f>IFERROR(SUMIFS(MOVIMIENTOS_COMPLEMENTOS!$I$4:$I$803,MOVIMIENTOS_COMPLEMENTOS!$C$4:$C$803,A1930,MOVIMIENTOS_COMPLEMENTOS!$D$4:$D$803,B1930,MOVIMIENTOS_COMPLEMENTOS!$E$4:$E$803,C1930,MOVIMIENTOS_COMPLEMENTOS!$F$4:$F$803,D1930,MOVIMIENTOS_COMPLEMENTOS!$G$4:$G$803,E1930,MOVIMIENTOS_COMPLEMENTOS!$H$4:$H$803,G1930,MOVIMIENTOS_COMPLEMENTOS!$B$4:$B$803,"INGRESO")+SUMIFS(MOVIMIENTOS_COMPLEMENTOS!$I$4:$I$803,MOVIMIENTOS_COMPLEMENTOS!$C$4:$C$803,A1930,MOVIMIENTOS_COMPLEMENTOS!$D$4:$D$803,B1930,MOVIMIENTOS_COMPLEMENTOS!$E$4:$E$803,C1930,MOVIMIENTOS_COMPLEMENTOS!$F$4:$F$803,D1930,MOVIMIENTOS_COMPLEMENTOS!$G$4:$G$803,E1930,MOVIMIENTOS_COMPLEMENTOS!$H$4:$H$803,G1930,MOVIMIENTOS_COMPLEMENTOS!$B$4:$B$803,"DE CORTE")-SUMIFS(MOVIMIENTOS_COMPLEMENTOS!$I$4:$I$803,MOVIMIENTOS_COMPLEMENTOS!$C$4:$C$803,A1930,MOVIMIENTOS_COMPLEMENTOS!$D$4:$D$803,B1930,MOVIMIENTOS_COMPLEMENTOS!$E$4:$E$803,C1930,MOVIMIENTOS_COMPLEMENTOS!$F$4:$F$803,D1930,MOVIMIENTOS_COMPLEMENTOS!$G$4:$G$803,E1930,MOVIMIENTOS_COMPLEMENTOS!$H$4:$H$803,G1930,MOVIMIENTOS_COMPLEMENTOS!$B$4:$B$803,"SALIDA"),0)</f>
        <v>0</v>
      </c>
      <c r="I1930" s="102">
        <f t="array" ref="I1930">IFERROR(INDEX(PRECIOS_COMPLEMENTOS!$C$4:$F$17,MATCH(B1930&amp;"_"&amp;C1930,PRECIOS_COMPLEMENTOS!$H$4:$H$17,0),IF(OR(G1930="S",G1930="20cm"),1,IF(OR(G1930="M",G1930="25cm"),2,IF(OR(G1930="L",G1930="30cm"),3,IF(OR(G1930="XL",G1930="35cm"),4,0))))),0)</f>
        <v>0.6</v>
      </c>
      <c r="J1930" s="103">
        <f t="shared" si="1"/>
        <v>0</v>
      </c>
      <c r="K1930" s="104" t="str">
        <f>IF(H1930&lt;0,"ERROR",IF(H1930=0,"",IF(H1930&lt;CONFIG!$B$4,"CRÍTICO",IF(H1930&lt;CONFIG!$B$5,"BAJO","OK"))))</f>
        <v/>
      </c>
    </row>
    <row r="1931" ht="15.75" hidden="1" customHeight="1">
      <c r="A1931" s="90" t="str">
        <f>IF(CLIENTES!A4="","",CLIENTES!A4)</f>
        <v>OverShark</v>
      </c>
      <c r="B1931" s="90" t="s">
        <v>331</v>
      </c>
      <c r="C1931" s="91" t="s">
        <v>328</v>
      </c>
      <c r="D1931" s="109" t="s">
        <v>364</v>
      </c>
      <c r="E1931" s="67" t="str">
        <f>COLORES!A5</f>
        <v>Perla</v>
      </c>
      <c r="F1931" s="67" t="str">
        <f>COLORES!B5</f>
        <v>PPT</v>
      </c>
      <c r="G1931" s="90" t="s">
        <v>379</v>
      </c>
      <c r="H1931" s="100">
        <f>IFERROR(SUMIFS(MOVIMIENTOS_COMPLEMENTOS!$I$4:$I$803,MOVIMIENTOS_COMPLEMENTOS!$C$4:$C$803,A1931,MOVIMIENTOS_COMPLEMENTOS!$D$4:$D$803,B1931,MOVIMIENTOS_COMPLEMENTOS!$E$4:$E$803,C1931,MOVIMIENTOS_COMPLEMENTOS!$F$4:$F$803,D1931,MOVIMIENTOS_COMPLEMENTOS!$G$4:$G$803,E1931,MOVIMIENTOS_COMPLEMENTOS!$H$4:$H$803,G1931,MOVIMIENTOS_COMPLEMENTOS!$B$4:$B$803,"INGRESO")+SUMIFS(MOVIMIENTOS_COMPLEMENTOS!$I$4:$I$803,MOVIMIENTOS_COMPLEMENTOS!$C$4:$C$803,A1931,MOVIMIENTOS_COMPLEMENTOS!$D$4:$D$803,B1931,MOVIMIENTOS_COMPLEMENTOS!$E$4:$E$803,C1931,MOVIMIENTOS_COMPLEMENTOS!$F$4:$F$803,D1931,MOVIMIENTOS_COMPLEMENTOS!$G$4:$G$803,E1931,MOVIMIENTOS_COMPLEMENTOS!$H$4:$H$803,G1931,MOVIMIENTOS_COMPLEMENTOS!$B$4:$B$803,"DE CORTE")-SUMIFS(MOVIMIENTOS_COMPLEMENTOS!$I$4:$I$803,MOVIMIENTOS_COMPLEMENTOS!$C$4:$C$803,A1931,MOVIMIENTOS_COMPLEMENTOS!$D$4:$D$803,B1931,MOVIMIENTOS_COMPLEMENTOS!$E$4:$E$803,C1931,MOVIMIENTOS_COMPLEMENTOS!$F$4:$F$803,D1931,MOVIMIENTOS_COMPLEMENTOS!$G$4:$G$803,E1931,MOVIMIENTOS_COMPLEMENTOS!$H$4:$H$803,G1931,MOVIMIENTOS_COMPLEMENTOS!$B$4:$B$803,"SALIDA"),0)</f>
        <v>0</v>
      </c>
      <c r="I1931" s="102">
        <f t="array" ref="I1931">IFERROR(INDEX(PRECIOS_COMPLEMENTOS!$C$4:$F$17,MATCH(B1931&amp;"_"&amp;C1931,PRECIOS_COMPLEMENTOS!$H$4:$H$17,0),IF(OR(G1931="S",G1931="20cm"),1,IF(OR(G1931="M",G1931="25cm"),2,IF(OR(G1931="L",G1931="30cm"),3,IF(OR(G1931="XL",G1931="35cm"),4,0))))),0)</f>
        <v>0.6</v>
      </c>
      <c r="J1931" s="103">
        <f t="shared" si="1"/>
        <v>0</v>
      </c>
      <c r="K1931" s="104" t="str">
        <f>IF(H1931&lt;0,"ERROR",IF(H1931=0,"",IF(H1931&lt;CONFIG!$B$4,"CRÍTICO",IF(H1931&lt;CONFIG!$B$5,"BAJO","OK"))))</f>
        <v/>
      </c>
    </row>
    <row r="1932" ht="15.75" hidden="1" customHeight="1">
      <c r="A1932" s="90" t="str">
        <f>IF(CLIENTES!A4="","",CLIENTES!A4)</f>
        <v>OverShark</v>
      </c>
      <c r="B1932" s="90" t="s">
        <v>331</v>
      </c>
      <c r="C1932" s="91" t="s">
        <v>328</v>
      </c>
      <c r="D1932" s="109" t="s">
        <v>364</v>
      </c>
      <c r="E1932" s="67" t="str">
        <f>COLORES!A6</f>
        <v>Blanco</v>
      </c>
      <c r="F1932" s="67" t="str">
        <f>COLORES!B6</f>
        <v>PPT</v>
      </c>
      <c r="G1932" s="90" t="s">
        <v>378</v>
      </c>
      <c r="H1932" s="100">
        <f>IFERROR(SUMIFS(MOVIMIENTOS_COMPLEMENTOS!$I$4:$I$803,MOVIMIENTOS_COMPLEMENTOS!$C$4:$C$803,A1932,MOVIMIENTOS_COMPLEMENTOS!$D$4:$D$803,B1932,MOVIMIENTOS_COMPLEMENTOS!$E$4:$E$803,C1932,MOVIMIENTOS_COMPLEMENTOS!$F$4:$F$803,D1932,MOVIMIENTOS_COMPLEMENTOS!$G$4:$G$803,E1932,MOVIMIENTOS_COMPLEMENTOS!$H$4:$H$803,G1932,MOVIMIENTOS_COMPLEMENTOS!$B$4:$B$803,"INGRESO")+SUMIFS(MOVIMIENTOS_COMPLEMENTOS!$I$4:$I$803,MOVIMIENTOS_COMPLEMENTOS!$C$4:$C$803,A1932,MOVIMIENTOS_COMPLEMENTOS!$D$4:$D$803,B1932,MOVIMIENTOS_COMPLEMENTOS!$E$4:$E$803,C1932,MOVIMIENTOS_COMPLEMENTOS!$F$4:$F$803,D1932,MOVIMIENTOS_COMPLEMENTOS!$G$4:$G$803,E1932,MOVIMIENTOS_COMPLEMENTOS!$H$4:$H$803,G1932,MOVIMIENTOS_COMPLEMENTOS!$B$4:$B$803,"DE CORTE")-SUMIFS(MOVIMIENTOS_COMPLEMENTOS!$I$4:$I$803,MOVIMIENTOS_COMPLEMENTOS!$C$4:$C$803,A1932,MOVIMIENTOS_COMPLEMENTOS!$D$4:$D$803,B1932,MOVIMIENTOS_COMPLEMENTOS!$E$4:$E$803,C1932,MOVIMIENTOS_COMPLEMENTOS!$F$4:$F$803,D1932,MOVIMIENTOS_COMPLEMENTOS!$G$4:$G$803,E1932,MOVIMIENTOS_COMPLEMENTOS!$H$4:$H$803,G1932,MOVIMIENTOS_COMPLEMENTOS!$B$4:$B$803,"SALIDA"),0)</f>
        <v>0</v>
      </c>
      <c r="I1932" s="102">
        <f t="array" ref="I1932">IFERROR(INDEX(PRECIOS_COMPLEMENTOS!$C$4:$F$17,MATCH(B1932&amp;"_"&amp;C1932,PRECIOS_COMPLEMENTOS!$H$4:$H$17,0),IF(OR(G1932="S",G1932="20cm"),1,IF(OR(G1932="M",G1932="25cm"),2,IF(OR(G1932="L",G1932="30cm"),3,IF(OR(G1932="XL",G1932="35cm"),4,0))))),0)</f>
        <v>0.6</v>
      </c>
      <c r="J1932" s="103">
        <f t="shared" si="1"/>
        <v>0</v>
      </c>
      <c r="K1932" s="104" t="str">
        <f>IF(H1932&lt;0,"ERROR",IF(H1932=0,"",IF(H1932&lt;CONFIG!$B$4,"CRÍTICO",IF(H1932&lt;CONFIG!$B$5,"BAJO","OK"))))</f>
        <v/>
      </c>
    </row>
    <row r="1933" ht="15.75" hidden="1" customHeight="1">
      <c r="A1933" s="90" t="str">
        <f>IF(CLIENTES!A4="","",CLIENTES!A4)</f>
        <v>OverShark</v>
      </c>
      <c r="B1933" s="90" t="s">
        <v>331</v>
      </c>
      <c r="C1933" s="91" t="s">
        <v>328</v>
      </c>
      <c r="D1933" s="109" t="s">
        <v>364</v>
      </c>
      <c r="E1933" s="67" t="str">
        <f>COLORES!A6</f>
        <v>Blanco</v>
      </c>
      <c r="F1933" s="67" t="str">
        <f>COLORES!B6</f>
        <v>PPT</v>
      </c>
      <c r="G1933" s="90" t="s">
        <v>376</v>
      </c>
      <c r="H1933" s="100">
        <f>IFERROR(SUMIFS(MOVIMIENTOS_COMPLEMENTOS!$I$4:$I$803,MOVIMIENTOS_COMPLEMENTOS!$C$4:$C$803,A1933,MOVIMIENTOS_COMPLEMENTOS!$D$4:$D$803,B1933,MOVIMIENTOS_COMPLEMENTOS!$E$4:$E$803,C1933,MOVIMIENTOS_COMPLEMENTOS!$F$4:$F$803,D1933,MOVIMIENTOS_COMPLEMENTOS!$G$4:$G$803,E1933,MOVIMIENTOS_COMPLEMENTOS!$H$4:$H$803,G1933,MOVIMIENTOS_COMPLEMENTOS!$B$4:$B$803,"INGRESO")+SUMIFS(MOVIMIENTOS_COMPLEMENTOS!$I$4:$I$803,MOVIMIENTOS_COMPLEMENTOS!$C$4:$C$803,A1933,MOVIMIENTOS_COMPLEMENTOS!$D$4:$D$803,B1933,MOVIMIENTOS_COMPLEMENTOS!$E$4:$E$803,C1933,MOVIMIENTOS_COMPLEMENTOS!$F$4:$F$803,D1933,MOVIMIENTOS_COMPLEMENTOS!$G$4:$G$803,E1933,MOVIMIENTOS_COMPLEMENTOS!$H$4:$H$803,G1933,MOVIMIENTOS_COMPLEMENTOS!$B$4:$B$803,"DE CORTE")-SUMIFS(MOVIMIENTOS_COMPLEMENTOS!$I$4:$I$803,MOVIMIENTOS_COMPLEMENTOS!$C$4:$C$803,A1933,MOVIMIENTOS_COMPLEMENTOS!$D$4:$D$803,B1933,MOVIMIENTOS_COMPLEMENTOS!$E$4:$E$803,C1933,MOVIMIENTOS_COMPLEMENTOS!$F$4:$F$803,D1933,MOVIMIENTOS_COMPLEMENTOS!$G$4:$G$803,E1933,MOVIMIENTOS_COMPLEMENTOS!$H$4:$H$803,G1933,MOVIMIENTOS_COMPLEMENTOS!$B$4:$B$803,"SALIDA"),0)</f>
        <v>0</v>
      </c>
      <c r="I1933" s="102">
        <f t="array" ref="I1933">IFERROR(INDEX(PRECIOS_COMPLEMENTOS!$C$4:$F$17,MATCH(B1933&amp;"_"&amp;C1933,PRECIOS_COMPLEMENTOS!$H$4:$H$17,0),IF(OR(G1933="S",G1933="20cm"),1,IF(OR(G1933="M",G1933="25cm"),2,IF(OR(G1933="L",G1933="30cm"),3,IF(OR(G1933="XL",G1933="35cm"),4,0))))),0)</f>
        <v>0.6</v>
      </c>
      <c r="J1933" s="103">
        <f t="shared" si="1"/>
        <v>0</v>
      </c>
      <c r="K1933" s="104" t="str">
        <f>IF(H1933&lt;0,"ERROR",IF(H1933=0,"",IF(H1933&lt;CONFIG!$B$4,"CRÍTICO",IF(H1933&lt;CONFIG!$B$5,"BAJO","OK"))))</f>
        <v/>
      </c>
    </row>
    <row r="1934" ht="15.75" hidden="1" customHeight="1">
      <c r="A1934" s="90" t="str">
        <f>IF(CLIENTES!A4="","",CLIENTES!A4)</f>
        <v>OverShark</v>
      </c>
      <c r="B1934" s="90" t="s">
        <v>331</v>
      </c>
      <c r="C1934" s="91" t="s">
        <v>328</v>
      </c>
      <c r="D1934" s="109" t="s">
        <v>364</v>
      </c>
      <c r="E1934" s="67" t="str">
        <f>COLORES!A6</f>
        <v>Blanco</v>
      </c>
      <c r="F1934" s="67" t="str">
        <f>COLORES!B6</f>
        <v>PPT</v>
      </c>
      <c r="G1934" s="90" t="s">
        <v>377</v>
      </c>
      <c r="H1934" s="100">
        <f>IFERROR(SUMIFS(MOVIMIENTOS_COMPLEMENTOS!$I$4:$I$803,MOVIMIENTOS_COMPLEMENTOS!$C$4:$C$803,A1934,MOVIMIENTOS_COMPLEMENTOS!$D$4:$D$803,B1934,MOVIMIENTOS_COMPLEMENTOS!$E$4:$E$803,C1934,MOVIMIENTOS_COMPLEMENTOS!$F$4:$F$803,D1934,MOVIMIENTOS_COMPLEMENTOS!$G$4:$G$803,E1934,MOVIMIENTOS_COMPLEMENTOS!$H$4:$H$803,G1934,MOVIMIENTOS_COMPLEMENTOS!$B$4:$B$803,"INGRESO")+SUMIFS(MOVIMIENTOS_COMPLEMENTOS!$I$4:$I$803,MOVIMIENTOS_COMPLEMENTOS!$C$4:$C$803,A1934,MOVIMIENTOS_COMPLEMENTOS!$D$4:$D$803,B1934,MOVIMIENTOS_COMPLEMENTOS!$E$4:$E$803,C1934,MOVIMIENTOS_COMPLEMENTOS!$F$4:$F$803,D1934,MOVIMIENTOS_COMPLEMENTOS!$G$4:$G$803,E1934,MOVIMIENTOS_COMPLEMENTOS!$H$4:$H$803,G1934,MOVIMIENTOS_COMPLEMENTOS!$B$4:$B$803,"DE CORTE")-SUMIFS(MOVIMIENTOS_COMPLEMENTOS!$I$4:$I$803,MOVIMIENTOS_COMPLEMENTOS!$C$4:$C$803,A1934,MOVIMIENTOS_COMPLEMENTOS!$D$4:$D$803,B1934,MOVIMIENTOS_COMPLEMENTOS!$E$4:$E$803,C1934,MOVIMIENTOS_COMPLEMENTOS!$F$4:$F$803,D1934,MOVIMIENTOS_COMPLEMENTOS!$G$4:$G$803,E1934,MOVIMIENTOS_COMPLEMENTOS!$H$4:$H$803,G1934,MOVIMIENTOS_COMPLEMENTOS!$B$4:$B$803,"SALIDA"),0)</f>
        <v>0</v>
      </c>
      <c r="I1934" s="102">
        <f t="array" ref="I1934">IFERROR(INDEX(PRECIOS_COMPLEMENTOS!$C$4:$F$17,MATCH(B1934&amp;"_"&amp;C1934,PRECIOS_COMPLEMENTOS!$H$4:$H$17,0),IF(OR(G1934="S",G1934="20cm"),1,IF(OR(G1934="M",G1934="25cm"),2,IF(OR(G1934="L",G1934="30cm"),3,IF(OR(G1934="XL",G1934="35cm"),4,0))))),0)</f>
        <v>0.6</v>
      </c>
      <c r="J1934" s="103">
        <f t="shared" si="1"/>
        <v>0</v>
      </c>
      <c r="K1934" s="104" t="str">
        <f>IF(H1934&lt;0,"ERROR",IF(H1934=0,"",IF(H1934&lt;CONFIG!$B$4,"CRÍTICO",IF(H1934&lt;CONFIG!$B$5,"BAJO","OK"))))</f>
        <v/>
      </c>
    </row>
    <row r="1935" ht="15.75" hidden="1" customHeight="1">
      <c r="A1935" s="90" t="str">
        <f>IF(CLIENTES!A4="","",CLIENTES!A4)</f>
        <v>OverShark</v>
      </c>
      <c r="B1935" s="90" t="s">
        <v>331</v>
      </c>
      <c r="C1935" s="91" t="s">
        <v>328</v>
      </c>
      <c r="D1935" s="109" t="s">
        <v>364</v>
      </c>
      <c r="E1935" s="67" t="str">
        <f>COLORES!A6</f>
        <v>Blanco</v>
      </c>
      <c r="F1935" s="67" t="str">
        <f>COLORES!B6</f>
        <v>PPT</v>
      </c>
      <c r="G1935" s="90" t="s">
        <v>379</v>
      </c>
      <c r="H1935" s="100">
        <f>IFERROR(SUMIFS(MOVIMIENTOS_COMPLEMENTOS!$I$4:$I$803,MOVIMIENTOS_COMPLEMENTOS!$C$4:$C$803,A1935,MOVIMIENTOS_COMPLEMENTOS!$D$4:$D$803,B1935,MOVIMIENTOS_COMPLEMENTOS!$E$4:$E$803,C1935,MOVIMIENTOS_COMPLEMENTOS!$F$4:$F$803,D1935,MOVIMIENTOS_COMPLEMENTOS!$G$4:$G$803,E1935,MOVIMIENTOS_COMPLEMENTOS!$H$4:$H$803,G1935,MOVIMIENTOS_COMPLEMENTOS!$B$4:$B$803,"INGRESO")+SUMIFS(MOVIMIENTOS_COMPLEMENTOS!$I$4:$I$803,MOVIMIENTOS_COMPLEMENTOS!$C$4:$C$803,A1935,MOVIMIENTOS_COMPLEMENTOS!$D$4:$D$803,B1935,MOVIMIENTOS_COMPLEMENTOS!$E$4:$E$803,C1935,MOVIMIENTOS_COMPLEMENTOS!$F$4:$F$803,D1935,MOVIMIENTOS_COMPLEMENTOS!$G$4:$G$803,E1935,MOVIMIENTOS_COMPLEMENTOS!$H$4:$H$803,G1935,MOVIMIENTOS_COMPLEMENTOS!$B$4:$B$803,"DE CORTE")-SUMIFS(MOVIMIENTOS_COMPLEMENTOS!$I$4:$I$803,MOVIMIENTOS_COMPLEMENTOS!$C$4:$C$803,A1935,MOVIMIENTOS_COMPLEMENTOS!$D$4:$D$803,B1935,MOVIMIENTOS_COMPLEMENTOS!$E$4:$E$803,C1935,MOVIMIENTOS_COMPLEMENTOS!$F$4:$F$803,D1935,MOVIMIENTOS_COMPLEMENTOS!$G$4:$G$803,E1935,MOVIMIENTOS_COMPLEMENTOS!$H$4:$H$803,G1935,MOVIMIENTOS_COMPLEMENTOS!$B$4:$B$803,"SALIDA"),0)</f>
        <v>0</v>
      </c>
      <c r="I1935" s="102">
        <f t="array" ref="I1935">IFERROR(INDEX(PRECIOS_COMPLEMENTOS!$C$4:$F$17,MATCH(B1935&amp;"_"&amp;C1935,PRECIOS_COMPLEMENTOS!$H$4:$H$17,0),IF(OR(G1935="S",G1935="20cm"),1,IF(OR(G1935="M",G1935="25cm"),2,IF(OR(G1935="L",G1935="30cm"),3,IF(OR(G1935="XL",G1935="35cm"),4,0))))),0)</f>
        <v>0.6</v>
      </c>
      <c r="J1935" s="103">
        <f t="shared" si="1"/>
        <v>0</v>
      </c>
      <c r="K1935" s="104" t="str">
        <f>IF(H1935&lt;0,"ERROR",IF(H1935=0,"",IF(H1935&lt;CONFIG!$B$4,"CRÍTICO",IF(H1935&lt;CONFIG!$B$5,"BAJO","OK"))))</f>
        <v/>
      </c>
    </row>
    <row r="1936" ht="15.75" hidden="1" customHeight="1">
      <c r="A1936" s="90" t="str">
        <f>IF(CLIENTES!A4="","",CLIENTES!A4)</f>
        <v>OverShark</v>
      </c>
      <c r="B1936" s="90" t="s">
        <v>331</v>
      </c>
      <c r="C1936" s="91" t="s">
        <v>328</v>
      </c>
      <c r="D1936" s="109" t="s">
        <v>364</v>
      </c>
      <c r="E1936" s="67" t="str">
        <f>COLORES!A7</f>
        <v>Azul</v>
      </c>
      <c r="F1936" s="67" t="str">
        <f>COLORES!B7</f>
        <v>OSCURO</v>
      </c>
      <c r="G1936" s="90" t="s">
        <v>378</v>
      </c>
      <c r="H1936" s="100">
        <f>IFERROR(SUMIFS(MOVIMIENTOS_COMPLEMENTOS!$I$4:$I$803,MOVIMIENTOS_COMPLEMENTOS!$C$4:$C$803,A1936,MOVIMIENTOS_COMPLEMENTOS!$D$4:$D$803,B1936,MOVIMIENTOS_COMPLEMENTOS!$E$4:$E$803,C1936,MOVIMIENTOS_COMPLEMENTOS!$F$4:$F$803,D1936,MOVIMIENTOS_COMPLEMENTOS!$G$4:$G$803,E1936,MOVIMIENTOS_COMPLEMENTOS!$H$4:$H$803,G1936,MOVIMIENTOS_COMPLEMENTOS!$B$4:$B$803,"INGRESO")+SUMIFS(MOVIMIENTOS_COMPLEMENTOS!$I$4:$I$803,MOVIMIENTOS_COMPLEMENTOS!$C$4:$C$803,A1936,MOVIMIENTOS_COMPLEMENTOS!$D$4:$D$803,B1936,MOVIMIENTOS_COMPLEMENTOS!$E$4:$E$803,C1936,MOVIMIENTOS_COMPLEMENTOS!$F$4:$F$803,D1936,MOVIMIENTOS_COMPLEMENTOS!$G$4:$G$803,E1936,MOVIMIENTOS_COMPLEMENTOS!$H$4:$H$803,G1936,MOVIMIENTOS_COMPLEMENTOS!$B$4:$B$803,"DE CORTE")-SUMIFS(MOVIMIENTOS_COMPLEMENTOS!$I$4:$I$803,MOVIMIENTOS_COMPLEMENTOS!$C$4:$C$803,A1936,MOVIMIENTOS_COMPLEMENTOS!$D$4:$D$803,B1936,MOVIMIENTOS_COMPLEMENTOS!$E$4:$E$803,C1936,MOVIMIENTOS_COMPLEMENTOS!$F$4:$F$803,D1936,MOVIMIENTOS_COMPLEMENTOS!$G$4:$G$803,E1936,MOVIMIENTOS_COMPLEMENTOS!$H$4:$H$803,G1936,MOVIMIENTOS_COMPLEMENTOS!$B$4:$B$803,"SALIDA"),0)</f>
        <v>0</v>
      </c>
      <c r="I1936" s="102">
        <f t="array" ref="I1936">IFERROR(INDEX(PRECIOS_COMPLEMENTOS!$C$4:$F$17,MATCH(B1936&amp;"_"&amp;C1936,PRECIOS_COMPLEMENTOS!$H$4:$H$17,0),IF(OR(G1936="S",G1936="20cm"),1,IF(OR(G1936="M",G1936="25cm"),2,IF(OR(G1936="L",G1936="30cm"),3,IF(OR(G1936="XL",G1936="35cm"),4,0))))),0)</f>
        <v>0.6</v>
      </c>
      <c r="J1936" s="103">
        <f t="shared" si="1"/>
        <v>0</v>
      </c>
      <c r="K1936" s="104" t="str">
        <f>IF(H1936&lt;0,"ERROR",IF(H1936=0,"",IF(H1936&lt;CONFIG!$B$4,"CRÍTICO",IF(H1936&lt;CONFIG!$B$5,"BAJO","OK"))))</f>
        <v/>
      </c>
    </row>
    <row r="1937" ht="15.75" hidden="1" customHeight="1">
      <c r="A1937" s="90" t="str">
        <f>IF(CLIENTES!A4="","",CLIENTES!A4)</f>
        <v>OverShark</v>
      </c>
      <c r="B1937" s="90" t="s">
        <v>331</v>
      </c>
      <c r="C1937" s="91" t="s">
        <v>328</v>
      </c>
      <c r="D1937" s="109" t="s">
        <v>364</v>
      </c>
      <c r="E1937" s="67" t="str">
        <f>COLORES!A7</f>
        <v>Azul</v>
      </c>
      <c r="F1937" s="67" t="str">
        <f>COLORES!B7</f>
        <v>OSCURO</v>
      </c>
      <c r="G1937" s="90" t="s">
        <v>376</v>
      </c>
      <c r="H1937" s="100">
        <f>IFERROR(SUMIFS(MOVIMIENTOS_COMPLEMENTOS!$I$4:$I$803,MOVIMIENTOS_COMPLEMENTOS!$C$4:$C$803,A1937,MOVIMIENTOS_COMPLEMENTOS!$D$4:$D$803,B1937,MOVIMIENTOS_COMPLEMENTOS!$E$4:$E$803,C1937,MOVIMIENTOS_COMPLEMENTOS!$F$4:$F$803,D1937,MOVIMIENTOS_COMPLEMENTOS!$G$4:$G$803,E1937,MOVIMIENTOS_COMPLEMENTOS!$H$4:$H$803,G1937,MOVIMIENTOS_COMPLEMENTOS!$B$4:$B$803,"INGRESO")+SUMIFS(MOVIMIENTOS_COMPLEMENTOS!$I$4:$I$803,MOVIMIENTOS_COMPLEMENTOS!$C$4:$C$803,A1937,MOVIMIENTOS_COMPLEMENTOS!$D$4:$D$803,B1937,MOVIMIENTOS_COMPLEMENTOS!$E$4:$E$803,C1937,MOVIMIENTOS_COMPLEMENTOS!$F$4:$F$803,D1937,MOVIMIENTOS_COMPLEMENTOS!$G$4:$G$803,E1937,MOVIMIENTOS_COMPLEMENTOS!$H$4:$H$803,G1937,MOVIMIENTOS_COMPLEMENTOS!$B$4:$B$803,"DE CORTE")-SUMIFS(MOVIMIENTOS_COMPLEMENTOS!$I$4:$I$803,MOVIMIENTOS_COMPLEMENTOS!$C$4:$C$803,A1937,MOVIMIENTOS_COMPLEMENTOS!$D$4:$D$803,B1937,MOVIMIENTOS_COMPLEMENTOS!$E$4:$E$803,C1937,MOVIMIENTOS_COMPLEMENTOS!$F$4:$F$803,D1937,MOVIMIENTOS_COMPLEMENTOS!$G$4:$G$803,E1937,MOVIMIENTOS_COMPLEMENTOS!$H$4:$H$803,G1937,MOVIMIENTOS_COMPLEMENTOS!$B$4:$B$803,"SALIDA"),0)</f>
        <v>0</v>
      </c>
      <c r="I1937" s="102">
        <f t="array" ref="I1937">IFERROR(INDEX(PRECIOS_COMPLEMENTOS!$C$4:$F$17,MATCH(B1937&amp;"_"&amp;C1937,PRECIOS_COMPLEMENTOS!$H$4:$H$17,0),IF(OR(G1937="S",G1937="20cm"),1,IF(OR(G1937="M",G1937="25cm"),2,IF(OR(G1937="L",G1937="30cm"),3,IF(OR(G1937="XL",G1937="35cm"),4,0))))),0)</f>
        <v>0.6</v>
      </c>
      <c r="J1937" s="103">
        <f t="shared" si="1"/>
        <v>0</v>
      </c>
      <c r="K1937" s="104" t="str">
        <f>IF(H1937&lt;0,"ERROR",IF(H1937=0,"",IF(H1937&lt;CONFIG!$B$4,"CRÍTICO",IF(H1937&lt;CONFIG!$B$5,"BAJO","OK"))))</f>
        <v/>
      </c>
    </row>
    <row r="1938" ht="15.75" hidden="1" customHeight="1">
      <c r="A1938" s="90" t="str">
        <f>IF(CLIENTES!A4="","",CLIENTES!A4)</f>
        <v>OverShark</v>
      </c>
      <c r="B1938" s="90" t="s">
        <v>331</v>
      </c>
      <c r="C1938" s="91" t="s">
        <v>328</v>
      </c>
      <c r="D1938" s="109" t="s">
        <v>364</v>
      </c>
      <c r="E1938" s="67" t="str">
        <f>COLORES!A7</f>
        <v>Azul</v>
      </c>
      <c r="F1938" s="67" t="str">
        <f>COLORES!B7</f>
        <v>OSCURO</v>
      </c>
      <c r="G1938" s="90" t="s">
        <v>377</v>
      </c>
      <c r="H1938" s="100">
        <f>IFERROR(SUMIFS(MOVIMIENTOS_COMPLEMENTOS!$I$4:$I$803,MOVIMIENTOS_COMPLEMENTOS!$C$4:$C$803,A1938,MOVIMIENTOS_COMPLEMENTOS!$D$4:$D$803,B1938,MOVIMIENTOS_COMPLEMENTOS!$E$4:$E$803,C1938,MOVIMIENTOS_COMPLEMENTOS!$F$4:$F$803,D1938,MOVIMIENTOS_COMPLEMENTOS!$G$4:$G$803,E1938,MOVIMIENTOS_COMPLEMENTOS!$H$4:$H$803,G1938,MOVIMIENTOS_COMPLEMENTOS!$B$4:$B$803,"INGRESO")+SUMIFS(MOVIMIENTOS_COMPLEMENTOS!$I$4:$I$803,MOVIMIENTOS_COMPLEMENTOS!$C$4:$C$803,A1938,MOVIMIENTOS_COMPLEMENTOS!$D$4:$D$803,B1938,MOVIMIENTOS_COMPLEMENTOS!$E$4:$E$803,C1938,MOVIMIENTOS_COMPLEMENTOS!$F$4:$F$803,D1938,MOVIMIENTOS_COMPLEMENTOS!$G$4:$G$803,E1938,MOVIMIENTOS_COMPLEMENTOS!$H$4:$H$803,G1938,MOVIMIENTOS_COMPLEMENTOS!$B$4:$B$803,"DE CORTE")-SUMIFS(MOVIMIENTOS_COMPLEMENTOS!$I$4:$I$803,MOVIMIENTOS_COMPLEMENTOS!$C$4:$C$803,A1938,MOVIMIENTOS_COMPLEMENTOS!$D$4:$D$803,B1938,MOVIMIENTOS_COMPLEMENTOS!$E$4:$E$803,C1938,MOVIMIENTOS_COMPLEMENTOS!$F$4:$F$803,D1938,MOVIMIENTOS_COMPLEMENTOS!$G$4:$G$803,E1938,MOVIMIENTOS_COMPLEMENTOS!$H$4:$H$803,G1938,MOVIMIENTOS_COMPLEMENTOS!$B$4:$B$803,"SALIDA"),0)</f>
        <v>0</v>
      </c>
      <c r="I1938" s="102">
        <f t="array" ref="I1938">IFERROR(INDEX(PRECIOS_COMPLEMENTOS!$C$4:$F$17,MATCH(B1938&amp;"_"&amp;C1938,PRECIOS_COMPLEMENTOS!$H$4:$H$17,0),IF(OR(G1938="S",G1938="20cm"),1,IF(OR(G1938="M",G1938="25cm"),2,IF(OR(G1938="L",G1938="30cm"),3,IF(OR(G1938="XL",G1938="35cm"),4,0))))),0)</f>
        <v>0.6</v>
      </c>
      <c r="J1938" s="103">
        <f t="shared" si="1"/>
        <v>0</v>
      </c>
      <c r="K1938" s="104" t="str">
        <f>IF(H1938&lt;0,"ERROR",IF(H1938=0,"",IF(H1938&lt;CONFIG!$B$4,"CRÍTICO",IF(H1938&lt;CONFIG!$B$5,"BAJO","OK"))))</f>
        <v/>
      </c>
    </row>
    <row r="1939" ht="15.75" hidden="1" customHeight="1">
      <c r="A1939" s="90" t="str">
        <f>IF(CLIENTES!A4="","",CLIENTES!A4)</f>
        <v>OverShark</v>
      </c>
      <c r="B1939" s="90" t="s">
        <v>331</v>
      </c>
      <c r="C1939" s="91" t="s">
        <v>328</v>
      </c>
      <c r="D1939" s="109" t="s">
        <v>364</v>
      </c>
      <c r="E1939" s="67" t="str">
        <f>COLORES!A7</f>
        <v>Azul</v>
      </c>
      <c r="F1939" s="67" t="str">
        <f>COLORES!B7</f>
        <v>OSCURO</v>
      </c>
      <c r="G1939" s="90" t="s">
        <v>379</v>
      </c>
      <c r="H1939" s="100">
        <f>IFERROR(SUMIFS(MOVIMIENTOS_COMPLEMENTOS!$I$4:$I$803,MOVIMIENTOS_COMPLEMENTOS!$C$4:$C$803,A1939,MOVIMIENTOS_COMPLEMENTOS!$D$4:$D$803,B1939,MOVIMIENTOS_COMPLEMENTOS!$E$4:$E$803,C1939,MOVIMIENTOS_COMPLEMENTOS!$F$4:$F$803,D1939,MOVIMIENTOS_COMPLEMENTOS!$G$4:$G$803,E1939,MOVIMIENTOS_COMPLEMENTOS!$H$4:$H$803,G1939,MOVIMIENTOS_COMPLEMENTOS!$B$4:$B$803,"INGRESO")+SUMIFS(MOVIMIENTOS_COMPLEMENTOS!$I$4:$I$803,MOVIMIENTOS_COMPLEMENTOS!$C$4:$C$803,A1939,MOVIMIENTOS_COMPLEMENTOS!$D$4:$D$803,B1939,MOVIMIENTOS_COMPLEMENTOS!$E$4:$E$803,C1939,MOVIMIENTOS_COMPLEMENTOS!$F$4:$F$803,D1939,MOVIMIENTOS_COMPLEMENTOS!$G$4:$G$803,E1939,MOVIMIENTOS_COMPLEMENTOS!$H$4:$H$803,G1939,MOVIMIENTOS_COMPLEMENTOS!$B$4:$B$803,"DE CORTE")-SUMIFS(MOVIMIENTOS_COMPLEMENTOS!$I$4:$I$803,MOVIMIENTOS_COMPLEMENTOS!$C$4:$C$803,A1939,MOVIMIENTOS_COMPLEMENTOS!$D$4:$D$803,B1939,MOVIMIENTOS_COMPLEMENTOS!$E$4:$E$803,C1939,MOVIMIENTOS_COMPLEMENTOS!$F$4:$F$803,D1939,MOVIMIENTOS_COMPLEMENTOS!$G$4:$G$803,E1939,MOVIMIENTOS_COMPLEMENTOS!$H$4:$H$803,G1939,MOVIMIENTOS_COMPLEMENTOS!$B$4:$B$803,"SALIDA"),0)</f>
        <v>0</v>
      </c>
      <c r="I1939" s="102">
        <f t="array" ref="I1939">IFERROR(INDEX(PRECIOS_COMPLEMENTOS!$C$4:$F$17,MATCH(B1939&amp;"_"&amp;C1939,PRECIOS_COMPLEMENTOS!$H$4:$H$17,0),IF(OR(G1939="S",G1939="20cm"),1,IF(OR(G1939="M",G1939="25cm"),2,IF(OR(G1939="L",G1939="30cm"),3,IF(OR(G1939="XL",G1939="35cm"),4,0))))),0)</f>
        <v>0.6</v>
      </c>
      <c r="J1939" s="103">
        <f t="shared" si="1"/>
        <v>0</v>
      </c>
      <c r="K1939" s="104" t="str">
        <f>IF(H1939&lt;0,"ERROR",IF(H1939=0,"",IF(H1939&lt;CONFIG!$B$4,"CRÍTICO",IF(H1939&lt;CONFIG!$B$5,"BAJO","OK"))))</f>
        <v/>
      </c>
    </row>
    <row r="1940" ht="15.75" hidden="1" customHeight="1">
      <c r="A1940" s="90" t="str">
        <f>IF(CLIENTES!A4="","",CLIENTES!A4)</f>
        <v>OverShark</v>
      </c>
      <c r="B1940" s="90" t="s">
        <v>331</v>
      </c>
      <c r="C1940" s="91" t="s">
        <v>328</v>
      </c>
      <c r="D1940" s="109" t="s">
        <v>364</v>
      </c>
      <c r="E1940" s="67" t="str">
        <f>COLORES!A8</f>
        <v>Beige</v>
      </c>
      <c r="F1940" s="67" t="str">
        <f>COLORES!B8</f>
        <v>CLARO</v>
      </c>
      <c r="G1940" s="90" t="s">
        <v>378</v>
      </c>
      <c r="H1940" s="100">
        <f>IFERROR(SUMIFS(MOVIMIENTOS_COMPLEMENTOS!$I$4:$I$803,MOVIMIENTOS_COMPLEMENTOS!$C$4:$C$803,A1940,MOVIMIENTOS_COMPLEMENTOS!$D$4:$D$803,B1940,MOVIMIENTOS_COMPLEMENTOS!$E$4:$E$803,C1940,MOVIMIENTOS_COMPLEMENTOS!$F$4:$F$803,D1940,MOVIMIENTOS_COMPLEMENTOS!$G$4:$G$803,E1940,MOVIMIENTOS_COMPLEMENTOS!$H$4:$H$803,G1940,MOVIMIENTOS_COMPLEMENTOS!$B$4:$B$803,"INGRESO")+SUMIFS(MOVIMIENTOS_COMPLEMENTOS!$I$4:$I$803,MOVIMIENTOS_COMPLEMENTOS!$C$4:$C$803,A1940,MOVIMIENTOS_COMPLEMENTOS!$D$4:$D$803,B1940,MOVIMIENTOS_COMPLEMENTOS!$E$4:$E$803,C1940,MOVIMIENTOS_COMPLEMENTOS!$F$4:$F$803,D1940,MOVIMIENTOS_COMPLEMENTOS!$G$4:$G$803,E1940,MOVIMIENTOS_COMPLEMENTOS!$H$4:$H$803,G1940,MOVIMIENTOS_COMPLEMENTOS!$B$4:$B$803,"DE CORTE")-SUMIFS(MOVIMIENTOS_COMPLEMENTOS!$I$4:$I$803,MOVIMIENTOS_COMPLEMENTOS!$C$4:$C$803,A1940,MOVIMIENTOS_COMPLEMENTOS!$D$4:$D$803,B1940,MOVIMIENTOS_COMPLEMENTOS!$E$4:$E$803,C1940,MOVIMIENTOS_COMPLEMENTOS!$F$4:$F$803,D1940,MOVIMIENTOS_COMPLEMENTOS!$G$4:$G$803,E1940,MOVIMIENTOS_COMPLEMENTOS!$H$4:$H$803,G1940,MOVIMIENTOS_COMPLEMENTOS!$B$4:$B$803,"SALIDA"),0)</f>
        <v>0</v>
      </c>
      <c r="I1940" s="102">
        <f t="array" ref="I1940">IFERROR(INDEX(PRECIOS_COMPLEMENTOS!$C$4:$F$17,MATCH(B1940&amp;"_"&amp;C1940,PRECIOS_COMPLEMENTOS!$H$4:$H$17,0),IF(OR(G1940="S",G1940="20cm"),1,IF(OR(G1940="M",G1940="25cm"),2,IF(OR(G1940="L",G1940="30cm"),3,IF(OR(G1940="XL",G1940="35cm"),4,0))))),0)</f>
        <v>0.6</v>
      </c>
      <c r="J1940" s="103">
        <f t="shared" si="1"/>
        <v>0</v>
      </c>
      <c r="K1940" s="104" t="str">
        <f>IF(H1940&lt;0,"ERROR",IF(H1940=0,"",IF(H1940&lt;CONFIG!$B$4,"CRÍTICO",IF(H1940&lt;CONFIG!$B$5,"BAJO","OK"))))</f>
        <v/>
      </c>
    </row>
    <row r="1941" ht="15.75" hidden="1" customHeight="1">
      <c r="A1941" s="90" t="str">
        <f>IF(CLIENTES!A4="","",CLIENTES!A4)</f>
        <v>OverShark</v>
      </c>
      <c r="B1941" s="90" t="s">
        <v>331</v>
      </c>
      <c r="C1941" s="91" t="s">
        <v>328</v>
      </c>
      <c r="D1941" s="109" t="s">
        <v>364</v>
      </c>
      <c r="E1941" s="67" t="str">
        <f>COLORES!A8</f>
        <v>Beige</v>
      </c>
      <c r="F1941" s="67" t="str">
        <f>COLORES!B8</f>
        <v>CLARO</v>
      </c>
      <c r="G1941" s="90" t="s">
        <v>376</v>
      </c>
      <c r="H1941" s="100">
        <f>IFERROR(SUMIFS(MOVIMIENTOS_COMPLEMENTOS!$I$4:$I$803,MOVIMIENTOS_COMPLEMENTOS!$C$4:$C$803,A1941,MOVIMIENTOS_COMPLEMENTOS!$D$4:$D$803,B1941,MOVIMIENTOS_COMPLEMENTOS!$E$4:$E$803,C1941,MOVIMIENTOS_COMPLEMENTOS!$F$4:$F$803,D1941,MOVIMIENTOS_COMPLEMENTOS!$G$4:$G$803,E1941,MOVIMIENTOS_COMPLEMENTOS!$H$4:$H$803,G1941,MOVIMIENTOS_COMPLEMENTOS!$B$4:$B$803,"INGRESO")+SUMIFS(MOVIMIENTOS_COMPLEMENTOS!$I$4:$I$803,MOVIMIENTOS_COMPLEMENTOS!$C$4:$C$803,A1941,MOVIMIENTOS_COMPLEMENTOS!$D$4:$D$803,B1941,MOVIMIENTOS_COMPLEMENTOS!$E$4:$E$803,C1941,MOVIMIENTOS_COMPLEMENTOS!$F$4:$F$803,D1941,MOVIMIENTOS_COMPLEMENTOS!$G$4:$G$803,E1941,MOVIMIENTOS_COMPLEMENTOS!$H$4:$H$803,G1941,MOVIMIENTOS_COMPLEMENTOS!$B$4:$B$803,"DE CORTE")-SUMIFS(MOVIMIENTOS_COMPLEMENTOS!$I$4:$I$803,MOVIMIENTOS_COMPLEMENTOS!$C$4:$C$803,A1941,MOVIMIENTOS_COMPLEMENTOS!$D$4:$D$803,B1941,MOVIMIENTOS_COMPLEMENTOS!$E$4:$E$803,C1941,MOVIMIENTOS_COMPLEMENTOS!$F$4:$F$803,D1941,MOVIMIENTOS_COMPLEMENTOS!$G$4:$G$803,E1941,MOVIMIENTOS_COMPLEMENTOS!$H$4:$H$803,G1941,MOVIMIENTOS_COMPLEMENTOS!$B$4:$B$803,"SALIDA"),0)</f>
        <v>0</v>
      </c>
      <c r="I1941" s="102">
        <f t="array" ref="I1941">IFERROR(INDEX(PRECIOS_COMPLEMENTOS!$C$4:$F$17,MATCH(B1941&amp;"_"&amp;C1941,PRECIOS_COMPLEMENTOS!$H$4:$H$17,0),IF(OR(G1941="S",G1941="20cm"),1,IF(OR(G1941="M",G1941="25cm"),2,IF(OR(G1941="L",G1941="30cm"),3,IF(OR(G1941="XL",G1941="35cm"),4,0))))),0)</f>
        <v>0.6</v>
      </c>
      <c r="J1941" s="103">
        <f t="shared" si="1"/>
        <v>0</v>
      </c>
      <c r="K1941" s="104" t="str">
        <f>IF(H1941&lt;0,"ERROR",IF(H1941=0,"",IF(H1941&lt;CONFIG!$B$4,"CRÍTICO",IF(H1941&lt;CONFIG!$B$5,"BAJO","OK"))))</f>
        <v/>
      </c>
    </row>
    <row r="1942" ht="15.75" hidden="1" customHeight="1">
      <c r="A1942" s="90" t="str">
        <f>IF(CLIENTES!A4="","",CLIENTES!A4)</f>
        <v>OverShark</v>
      </c>
      <c r="B1942" s="90" t="s">
        <v>331</v>
      </c>
      <c r="C1942" s="91" t="s">
        <v>328</v>
      </c>
      <c r="D1942" s="109" t="s">
        <v>364</v>
      </c>
      <c r="E1942" s="67" t="str">
        <f>COLORES!A8</f>
        <v>Beige</v>
      </c>
      <c r="F1942" s="67" t="str">
        <f>COLORES!B8</f>
        <v>CLARO</v>
      </c>
      <c r="G1942" s="90" t="s">
        <v>377</v>
      </c>
      <c r="H1942" s="100">
        <f>IFERROR(SUMIFS(MOVIMIENTOS_COMPLEMENTOS!$I$4:$I$803,MOVIMIENTOS_COMPLEMENTOS!$C$4:$C$803,A1942,MOVIMIENTOS_COMPLEMENTOS!$D$4:$D$803,B1942,MOVIMIENTOS_COMPLEMENTOS!$E$4:$E$803,C1942,MOVIMIENTOS_COMPLEMENTOS!$F$4:$F$803,D1942,MOVIMIENTOS_COMPLEMENTOS!$G$4:$G$803,E1942,MOVIMIENTOS_COMPLEMENTOS!$H$4:$H$803,G1942,MOVIMIENTOS_COMPLEMENTOS!$B$4:$B$803,"INGRESO")+SUMIFS(MOVIMIENTOS_COMPLEMENTOS!$I$4:$I$803,MOVIMIENTOS_COMPLEMENTOS!$C$4:$C$803,A1942,MOVIMIENTOS_COMPLEMENTOS!$D$4:$D$803,B1942,MOVIMIENTOS_COMPLEMENTOS!$E$4:$E$803,C1942,MOVIMIENTOS_COMPLEMENTOS!$F$4:$F$803,D1942,MOVIMIENTOS_COMPLEMENTOS!$G$4:$G$803,E1942,MOVIMIENTOS_COMPLEMENTOS!$H$4:$H$803,G1942,MOVIMIENTOS_COMPLEMENTOS!$B$4:$B$803,"DE CORTE")-SUMIFS(MOVIMIENTOS_COMPLEMENTOS!$I$4:$I$803,MOVIMIENTOS_COMPLEMENTOS!$C$4:$C$803,A1942,MOVIMIENTOS_COMPLEMENTOS!$D$4:$D$803,B1942,MOVIMIENTOS_COMPLEMENTOS!$E$4:$E$803,C1942,MOVIMIENTOS_COMPLEMENTOS!$F$4:$F$803,D1942,MOVIMIENTOS_COMPLEMENTOS!$G$4:$G$803,E1942,MOVIMIENTOS_COMPLEMENTOS!$H$4:$H$803,G1942,MOVIMIENTOS_COMPLEMENTOS!$B$4:$B$803,"SALIDA"),0)</f>
        <v>0</v>
      </c>
      <c r="I1942" s="102">
        <f t="array" ref="I1942">IFERROR(INDEX(PRECIOS_COMPLEMENTOS!$C$4:$F$17,MATCH(B1942&amp;"_"&amp;C1942,PRECIOS_COMPLEMENTOS!$H$4:$H$17,0),IF(OR(G1942="S",G1942="20cm"),1,IF(OR(G1942="M",G1942="25cm"),2,IF(OR(G1942="L",G1942="30cm"),3,IF(OR(G1942="XL",G1942="35cm"),4,0))))),0)</f>
        <v>0.6</v>
      </c>
      <c r="J1942" s="103">
        <f t="shared" si="1"/>
        <v>0</v>
      </c>
      <c r="K1942" s="104" t="str">
        <f>IF(H1942&lt;0,"ERROR",IF(H1942=0,"",IF(H1942&lt;CONFIG!$B$4,"CRÍTICO",IF(H1942&lt;CONFIG!$B$5,"BAJO","OK"))))</f>
        <v/>
      </c>
    </row>
    <row r="1943" ht="15.75" hidden="1" customHeight="1">
      <c r="A1943" s="90" t="str">
        <f>IF(CLIENTES!A4="","",CLIENTES!A4)</f>
        <v>OverShark</v>
      </c>
      <c r="B1943" s="90" t="s">
        <v>331</v>
      </c>
      <c r="C1943" s="91" t="s">
        <v>328</v>
      </c>
      <c r="D1943" s="109" t="s">
        <v>364</v>
      </c>
      <c r="E1943" s="67" t="str">
        <f>COLORES!A8</f>
        <v>Beige</v>
      </c>
      <c r="F1943" s="67" t="str">
        <f>COLORES!B8</f>
        <v>CLARO</v>
      </c>
      <c r="G1943" s="90" t="s">
        <v>379</v>
      </c>
      <c r="H1943" s="100">
        <f>IFERROR(SUMIFS(MOVIMIENTOS_COMPLEMENTOS!$I$4:$I$803,MOVIMIENTOS_COMPLEMENTOS!$C$4:$C$803,A1943,MOVIMIENTOS_COMPLEMENTOS!$D$4:$D$803,B1943,MOVIMIENTOS_COMPLEMENTOS!$E$4:$E$803,C1943,MOVIMIENTOS_COMPLEMENTOS!$F$4:$F$803,D1943,MOVIMIENTOS_COMPLEMENTOS!$G$4:$G$803,E1943,MOVIMIENTOS_COMPLEMENTOS!$H$4:$H$803,G1943,MOVIMIENTOS_COMPLEMENTOS!$B$4:$B$803,"INGRESO")+SUMIFS(MOVIMIENTOS_COMPLEMENTOS!$I$4:$I$803,MOVIMIENTOS_COMPLEMENTOS!$C$4:$C$803,A1943,MOVIMIENTOS_COMPLEMENTOS!$D$4:$D$803,B1943,MOVIMIENTOS_COMPLEMENTOS!$E$4:$E$803,C1943,MOVIMIENTOS_COMPLEMENTOS!$F$4:$F$803,D1943,MOVIMIENTOS_COMPLEMENTOS!$G$4:$G$803,E1943,MOVIMIENTOS_COMPLEMENTOS!$H$4:$H$803,G1943,MOVIMIENTOS_COMPLEMENTOS!$B$4:$B$803,"DE CORTE")-SUMIFS(MOVIMIENTOS_COMPLEMENTOS!$I$4:$I$803,MOVIMIENTOS_COMPLEMENTOS!$C$4:$C$803,A1943,MOVIMIENTOS_COMPLEMENTOS!$D$4:$D$803,B1943,MOVIMIENTOS_COMPLEMENTOS!$E$4:$E$803,C1943,MOVIMIENTOS_COMPLEMENTOS!$F$4:$F$803,D1943,MOVIMIENTOS_COMPLEMENTOS!$G$4:$G$803,E1943,MOVIMIENTOS_COMPLEMENTOS!$H$4:$H$803,G1943,MOVIMIENTOS_COMPLEMENTOS!$B$4:$B$803,"SALIDA"),0)</f>
        <v>0</v>
      </c>
      <c r="I1943" s="102">
        <f t="array" ref="I1943">IFERROR(INDEX(PRECIOS_COMPLEMENTOS!$C$4:$F$17,MATCH(B1943&amp;"_"&amp;C1943,PRECIOS_COMPLEMENTOS!$H$4:$H$17,0),IF(OR(G1943="S",G1943="20cm"),1,IF(OR(G1943="M",G1943="25cm"),2,IF(OR(G1943="L",G1943="30cm"),3,IF(OR(G1943="XL",G1943="35cm"),4,0))))),0)</f>
        <v>0.6</v>
      </c>
      <c r="J1943" s="103">
        <f t="shared" si="1"/>
        <v>0</v>
      </c>
      <c r="K1943" s="104" t="str">
        <f>IF(H1943&lt;0,"ERROR",IF(H1943=0,"",IF(H1943&lt;CONFIG!$B$4,"CRÍTICO",IF(H1943&lt;CONFIG!$B$5,"BAJO","OK"))))</f>
        <v/>
      </c>
    </row>
    <row r="1944" ht="15.75" hidden="1" customHeight="1">
      <c r="A1944" s="90" t="str">
        <f>IF(CLIENTES!A4="","",CLIENTES!A4)</f>
        <v>OverShark</v>
      </c>
      <c r="B1944" s="90" t="s">
        <v>331</v>
      </c>
      <c r="C1944" s="91" t="s">
        <v>328</v>
      </c>
      <c r="D1944" s="109" t="s">
        <v>364</v>
      </c>
      <c r="E1944" s="67" t="str">
        <f>COLORES!A9</f>
        <v>Melange</v>
      </c>
      <c r="F1944" s="67" t="str">
        <f>COLORES!B9</f>
        <v>MELANGE</v>
      </c>
      <c r="G1944" s="90" t="s">
        <v>378</v>
      </c>
      <c r="H1944" s="100">
        <f>IFERROR(SUMIFS(MOVIMIENTOS_COMPLEMENTOS!$I$4:$I$803,MOVIMIENTOS_COMPLEMENTOS!$C$4:$C$803,A1944,MOVIMIENTOS_COMPLEMENTOS!$D$4:$D$803,B1944,MOVIMIENTOS_COMPLEMENTOS!$E$4:$E$803,C1944,MOVIMIENTOS_COMPLEMENTOS!$F$4:$F$803,D1944,MOVIMIENTOS_COMPLEMENTOS!$G$4:$G$803,E1944,MOVIMIENTOS_COMPLEMENTOS!$H$4:$H$803,G1944,MOVIMIENTOS_COMPLEMENTOS!$B$4:$B$803,"INGRESO")+SUMIFS(MOVIMIENTOS_COMPLEMENTOS!$I$4:$I$803,MOVIMIENTOS_COMPLEMENTOS!$C$4:$C$803,A1944,MOVIMIENTOS_COMPLEMENTOS!$D$4:$D$803,B1944,MOVIMIENTOS_COMPLEMENTOS!$E$4:$E$803,C1944,MOVIMIENTOS_COMPLEMENTOS!$F$4:$F$803,D1944,MOVIMIENTOS_COMPLEMENTOS!$G$4:$G$803,E1944,MOVIMIENTOS_COMPLEMENTOS!$H$4:$H$803,G1944,MOVIMIENTOS_COMPLEMENTOS!$B$4:$B$803,"DE CORTE")-SUMIFS(MOVIMIENTOS_COMPLEMENTOS!$I$4:$I$803,MOVIMIENTOS_COMPLEMENTOS!$C$4:$C$803,A1944,MOVIMIENTOS_COMPLEMENTOS!$D$4:$D$803,B1944,MOVIMIENTOS_COMPLEMENTOS!$E$4:$E$803,C1944,MOVIMIENTOS_COMPLEMENTOS!$F$4:$F$803,D1944,MOVIMIENTOS_COMPLEMENTOS!$G$4:$G$803,E1944,MOVIMIENTOS_COMPLEMENTOS!$H$4:$H$803,G1944,MOVIMIENTOS_COMPLEMENTOS!$B$4:$B$803,"SALIDA"),0)</f>
        <v>0</v>
      </c>
      <c r="I1944" s="102">
        <f t="array" ref="I1944">IFERROR(INDEX(PRECIOS_COMPLEMENTOS!$C$4:$F$17,MATCH(B1944&amp;"_"&amp;C1944,PRECIOS_COMPLEMENTOS!$H$4:$H$17,0),IF(OR(G1944="S",G1944="20cm"),1,IF(OR(G1944="M",G1944="25cm"),2,IF(OR(G1944="L",G1944="30cm"),3,IF(OR(G1944="XL",G1944="35cm"),4,0))))),0)</f>
        <v>0.6</v>
      </c>
      <c r="J1944" s="103">
        <f t="shared" si="1"/>
        <v>0</v>
      </c>
      <c r="K1944" s="104" t="str">
        <f>IF(H1944&lt;0,"ERROR",IF(H1944=0,"",IF(H1944&lt;CONFIG!$B$4,"CRÍTICO",IF(H1944&lt;CONFIG!$B$5,"BAJO","OK"))))</f>
        <v/>
      </c>
    </row>
    <row r="1945" ht="15.75" hidden="1" customHeight="1">
      <c r="A1945" s="90" t="str">
        <f>IF(CLIENTES!A4="","",CLIENTES!A4)</f>
        <v>OverShark</v>
      </c>
      <c r="B1945" s="90" t="s">
        <v>331</v>
      </c>
      <c r="C1945" s="91" t="s">
        <v>328</v>
      </c>
      <c r="D1945" s="109" t="s">
        <v>364</v>
      </c>
      <c r="E1945" s="67" t="str">
        <f>COLORES!A9</f>
        <v>Melange</v>
      </c>
      <c r="F1945" s="67" t="str">
        <f>COLORES!B9</f>
        <v>MELANGE</v>
      </c>
      <c r="G1945" s="90" t="s">
        <v>376</v>
      </c>
      <c r="H1945" s="100">
        <f>IFERROR(SUMIFS(MOVIMIENTOS_COMPLEMENTOS!$I$4:$I$803,MOVIMIENTOS_COMPLEMENTOS!$C$4:$C$803,A1945,MOVIMIENTOS_COMPLEMENTOS!$D$4:$D$803,B1945,MOVIMIENTOS_COMPLEMENTOS!$E$4:$E$803,C1945,MOVIMIENTOS_COMPLEMENTOS!$F$4:$F$803,D1945,MOVIMIENTOS_COMPLEMENTOS!$G$4:$G$803,E1945,MOVIMIENTOS_COMPLEMENTOS!$H$4:$H$803,G1945,MOVIMIENTOS_COMPLEMENTOS!$B$4:$B$803,"INGRESO")+SUMIFS(MOVIMIENTOS_COMPLEMENTOS!$I$4:$I$803,MOVIMIENTOS_COMPLEMENTOS!$C$4:$C$803,A1945,MOVIMIENTOS_COMPLEMENTOS!$D$4:$D$803,B1945,MOVIMIENTOS_COMPLEMENTOS!$E$4:$E$803,C1945,MOVIMIENTOS_COMPLEMENTOS!$F$4:$F$803,D1945,MOVIMIENTOS_COMPLEMENTOS!$G$4:$G$803,E1945,MOVIMIENTOS_COMPLEMENTOS!$H$4:$H$803,G1945,MOVIMIENTOS_COMPLEMENTOS!$B$4:$B$803,"DE CORTE")-SUMIFS(MOVIMIENTOS_COMPLEMENTOS!$I$4:$I$803,MOVIMIENTOS_COMPLEMENTOS!$C$4:$C$803,A1945,MOVIMIENTOS_COMPLEMENTOS!$D$4:$D$803,B1945,MOVIMIENTOS_COMPLEMENTOS!$E$4:$E$803,C1945,MOVIMIENTOS_COMPLEMENTOS!$F$4:$F$803,D1945,MOVIMIENTOS_COMPLEMENTOS!$G$4:$G$803,E1945,MOVIMIENTOS_COMPLEMENTOS!$H$4:$H$803,G1945,MOVIMIENTOS_COMPLEMENTOS!$B$4:$B$803,"SALIDA"),0)</f>
        <v>0</v>
      </c>
      <c r="I1945" s="102">
        <f t="array" ref="I1945">IFERROR(INDEX(PRECIOS_COMPLEMENTOS!$C$4:$F$17,MATCH(B1945&amp;"_"&amp;C1945,PRECIOS_COMPLEMENTOS!$H$4:$H$17,0),IF(OR(G1945="S",G1945="20cm"),1,IF(OR(G1945="M",G1945="25cm"),2,IF(OR(G1945="L",G1945="30cm"),3,IF(OR(G1945="XL",G1945="35cm"),4,0))))),0)</f>
        <v>0.6</v>
      </c>
      <c r="J1945" s="103">
        <f t="shared" si="1"/>
        <v>0</v>
      </c>
      <c r="K1945" s="104" t="str">
        <f>IF(H1945&lt;0,"ERROR",IF(H1945=0,"",IF(H1945&lt;CONFIG!$B$4,"CRÍTICO",IF(H1945&lt;CONFIG!$B$5,"BAJO","OK"))))</f>
        <v/>
      </c>
    </row>
    <row r="1946" ht="15.75" hidden="1" customHeight="1">
      <c r="A1946" s="90" t="str">
        <f>IF(CLIENTES!A4="","",CLIENTES!A4)</f>
        <v>OverShark</v>
      </c>
      <c r="B1946" s="90" t="s">
        <v>331</v>
      </c>
      <c r="C1946" s="91" t="s">
        <v>328</v>
      </c>
      <c r="D1946" s="109" t="s">
        <v>364</v>
      </c>
      <c r="E1946" s="67" t="str">
        <f>COLORES!A9</f>
        <v>Melange</v>
      </c>
      <c r="F1946" s="67" t="str">
        <f>COLORES!B9</f>
        <v>MELANGE</v>
      </c>
      <c r="G1946" s="90" t="s">
        <v>377</v>
      </c>
      <c r="H1946" s="100">
        <f>IFERROR(SUMIFS(MOVIMIENTOS_COMPLEMENTOS!$I$4:$I$803,MOVIMIENTOS_COMPLEMENTOS!$C$4:$C$803,A1946,MOVIMIENTOS_COMPLEMENTOS!$D$4:$D$803,B1946,MOVIMIENTOS_COMPLEMENTOS!$E$4:$E$803,C1946,MOVIMIENTOS_COMPLEMENTOS!$F$4:$F$803,D1946,MOVIMIENTOS_COMPLEMENTOS!$G$4:$G$803,E1946,MOVIMIENTOS_COMPLEMENTOS!$H$4:$H$803,G1946,MOVIMIENTOS_COMPLEMENTOS!$B$4:$B$803,"INGRESO")+SUMIFS(MOVIMIENTOS_COMPLEMENTOS!$I$4:$I$803,MOVIMIENTOS_COMPLEMENTOS!$C$4:$C$803,A1946,MOVIMIENTOS_COMPLEMENTOS!$D$4:$D$803,B1946,MOVIMIENTOS_COMPLEMENTOS!$E$4:$E$803,C1946,MOVIMIENTOS_COMPLEMENTOS!$F$4:$F$803,D1946,MOVIMIENTOS_COMPLEMENTOS!$G$4:$G$803,E1946,MOVIMIENTOS_COMPLEMENTOS!$H$4:$H$803,G1946,MOVIMIENTOS_COMPLEMENTOS!$B$4:$B$803,"DE CORTE")-SUMIFS(MOVIMIENTOS_COMPLEMENTOS!$I$4:$I$803,MOVIMIENTOS_COMPLEMENTOS!$C$4:$C$803,A1946,MOVIMIENTOS_COMPLEMENTOS!$D$4:$D$803,B1946,MOVIMIENTOS_COMPLEMENTOS!$E$4:$E$803,C1946,MOVIMIENTOS_COMPLEMENTOS!$F$4:$F$803,D1946,MOVIMIENTOS_COMPLEMENTOS!$G$4:$G$803,E1946,MOVIMIENTOS_COMPLEMENTOS!$H$4:$H$803,G1946,MOVIMIENTOS_COMPLEMENTOS!$B$4:$B$803,"SALIDA"),0)</f>
        <v>0</v>
      </c>
      <c r="I1946" s="102">
        <f t="array" ref="I1946">IFERROR(INDEX(PRECIOS_COMPLEMENTOS!$C$4:$F$17,MATCH(B1946&amp;"_"&amp;C1946,PRECIOS_COMPLEMENTOS!$H$4:$H$17,0),IF(OR(G1946="S",G1946="20cm"),1,IF(OR(G1946="M",G1946="25cm"),2,IF(OR(G1946="L",G1946="30cm"),3,IF(OR(G1946="XL",G1946="35cm"),4,0))))),0)</f>
        <v>0.6</v>
      </c>
      <c r="J1946" s="103">
        <f t="shared" si="1"/>
        <v>0</v>
      </c>
      <c r="K1946" s="104" t="str">
        <f>IF(H1946&lt;0,"ERROR",IF(H1946=0,"",IF(H1946&lt;CONFIG!$B$4,"CRÍTICO",IF(H1946&lt;CONFIG!$B$5,"BAJO","OK"))))</f>
        <v/>
      </c>
    </row>
    <row r="1947" ht="15.75" hidden="1" customHeight="1">
      <c r="A1947" s="90" t="str">
        <f>IF(CLIENTES!A4="","",CLIENTES!A4)</f>
        <v>OverShark</v>
      </c>
      <c r="B1947" s="90" t="s">
        <v>331</v>
      </c>
      <c r="C1947" s="91" t="s">
        <v>328</v>
      </c>
      <c r="D1947" s="109" t="s">
        <v>364</v>
      </c>
      <c r="E1947" s="67" t="str">
        <f>COLORES!A9</f>
        <v>Melange</v>
      </c>
      <c r="F1947" s="67" t="str">
        <f>COLORES!B9</f>
        <v>MELANGE</v>
      </c>
      <c r="G1947" s="90" t="s">
        <v>379</v>
      </c>
      <c r="H1947" s="100">
        <f>IFERROR(SUMIFS(MOVIMIENTOS_COMPLEMENTOS!$I$4:$I$803,MOVIMIENTOS_COMPLEMENTOS!$C$4:$C$803,A1947,MOVIMIENTOS_COMPLEMENTOS!$D$4:$D$803,B1947,MOVIMIENTOS_COMPLEMENTOS!$E$4:$E$803,C1947,MOVIMIENTOS_COMPLEMENTOS!$F$4:$F$803,D1947,MOVIMIENTOS_COMPLEMENTOS!$G$4:$G$803,E1947,MOVIMIENTOS_COMPLEMENTOS!$H$4:$H$803,G1947,MOVIMIENTOS_COMPLEMENTOS!$B$4:$B$803,"INGRESO")+SUMIFS(MOVIMIENTOS_COMPLEMENTOS!$I$4:$I$803,MOVIMIENTOS_COMPLEMENTOS!$C$4:$C$803,A1947,MOVIMIENTOS_COMPLEMENTOS!$D$4:$D$803,B1947,MOVIMIENTOS_COMPLEMENTOS!$E$4:$E$803,C1947,MOVIMIENTOS_COMPLEMENTOS!$F$4:$F$803,D1947,MOVIMIENTOS_COMPLEMENTOS!$G$4:$G$803,E1947,MOVIMIENTOS_COMPLEMENTOS!$H$4:$H$803,G1947,MOVIMIENTOS_COMPLEMENTOS!$B$4:$B$803,"DE CORTE")-SUMIFS(MOVIMIENTOS_COMPLEMENTOS!$I$4:$I$803,MOVIMIENTOS_COMPLEMENTOS!$C$4:$C$803,A1947,MOVIMIENTOS_COMPLEMENTOS!$D$4:$D$803,B1947,MOVIMIENTOS_COMPLEMENTOS!$E$4:$E$803,C1947,MOVIMIENTOS_COMPLEMENTOS!$F$4:$F$803,D1947,MOVIMIENTOS_COMPLEMENTOS!$G$4:$G$803,E1947,MOVIMIENTOS_COMPLEMENTOS!$H$4:$H$803,G1947,MOVIMIENTOS_COMPLEMENTOS!$B$4:$B$803,"SALIDA"),0)</f>
        <v>0</v>
      </c>
      <c r="I1947" s="102">
        <f t="array" ref="I1947">IFERROR(INDEX(PRECIOS_COMPLEMENTOS!$C$4:$F$17,MATCH(B1947&amp;"_"&amp;C1947,PRECIOS_COMPLEMENTOS!$H$4:$H$17,0),IF(OR(G1947="S",G1947="20cm"),1,IF(OR(G1947="M",G1947="25cm"),2,IF(OR(G1947="L",G1947="30cm"),3,IF(OR(G1947="XL",G1947="35cm"),4,0))))),0)</f>
        <v>0.6</v>
      </c>
      <c r="J1947" s="103">
        <f t="shared" si="1"/>
        <v>0</v>
      </c>
      <c r="K1947" s="104" t="str">
        <f>IF(H1947&lt;0,"ERROR",IF(H1947=0,"",IF(H1947&lt;CONFIG!$B$4,"CRÍTICO",IF(H1947&lt;CONFIG!$B$5,"BAJO","OK"))))</f>
        <v/>
      </c>
    </row>
    <row r="1948" ht="15.75" hidden="1" customHeight="1">
      <c r="A1948" s="90" t="str">
        <f>IF(CLIENTES!A4="","",CLIENTES!A4)</f>
        <v>OverShark</v>
      </c>
      <c r="B1948" s="90" t="s">
        <v>331</v>
      </c>
      <c r="C1948" s="91" t="s">
        <v>328</v>
      </c>
      <c r="D1948" s="109" t="s">
        <v>364</v>
      </c>
      <c r="E1948" s="67" t="str">
        <f>COLORES!A10</f>
        <v>Botella</v>
      </c>
      <c r="F1948" s="67" t="str">
        <f>COLORES!B10</f>
        <v>OSCURO</v>
      </c>
      <c r="G1948" s="90" t="s">
        <v>378</v>
      </c>
      <c r="H1948" s="100">
        <f>IFERROR(SUMIFS(MOVIMIENTOS_COMPLEMENTOS!$I$4:$I$803,MOVIMIENTOS_COMPLEMENTOS!$C$4:$C$803,A1948,MOVIMIENTOS_COMPLEMENTOS!$D$4:$D$803,B1948,MOVIMIENTOS_COMPLEMENTOS!$E$4:$E$803,C1948,MOVIMIENTOS_COMPLEMENTOS!$F$4:$F$803,D1948,MOVIMIENTOS_COMPLEMENTOS!$G$4:$G$803,E1948,MOVIMIENTOS_COMPLEMENTOS!$H$4:$H$803,G1948,MOVIMIENTOS_COMPLEMENTOS!$B$4:$B$803,"INGRESO")+SUMIFS(MOVIMIENTOS_COMPLEMENTOS!$I$4:$I$803,MOVIMIENTOS_COMPLEMENTOS!$C$4:$C$803,A1948,MOVIMIENTOS_COMPLEMENTOS!$D$4:$D$803,B1948,MOVIMIENTOS_COMPLEMENTOS!$E$4:$E$803,C1948,MOVIMIENTOS_COMPLEMENTOS!$F$4:$F$803,D1948,MOVIMIENTOS_COMPLEMENTOS!$G$4:$G$803,E1948,MOVIMIENTOS_COMPLEMENTOS!$H$4:$H$803,G1948,MOVIMIENTOS_COMPLEMENTOS!$B$4:$B$803,"DE CORTE")-SUMIFS(MOVIMIENTOS_COMPLEMENTOS!$I$4:$I$803,MOVIMIENTOS_COMPLEMENTOS!$C$4:$C$803,A1948,MOVIMIENTOS_COMPLEMENTOS!$D$4:$D$803,B1948,MOVIMIENTOS_COMPLEMENTOS!$E$4:$E$803,C1948,MOVIMIENTOS_COMPLEMENTOS!$F$4:$F$803,D1948,MOVIMIENTOS_COMPLEMENTOS!$G$4:$G$803,E1948,MOVIMIENTOS_COMPLEMENTOS!$H$4:$H$803,G1948,MOVIMIENTOS_COMPLEMENTOS!$B$4:$B$803,"SALIDA"),0)</f>
        <v>0</v>
      </c>
      <c r="I1948" s="102">
        <f t="array" ref="I1948">IFERROR(INDEX(PRECIOS_COMPLEMENTOS!$C$4:$F$17,MATCH(B1948&amp;"_"&amp;C1948,PRECIOS_COMPLEMENTOS!$H$4:$H$17,0),IF(OR(G1948="S",G1948="20cm"),1,IF(OR(G1948="M",G1948="25cm"),2,IF(OR(G1948="L",G1948="30cm"),3,IF(OR(G1948="XL",G1948="35cm"),4,0))))),0)</f>
        <v>0.6</v>
      </c>
      <c r="J1948" s="103">
        <f t="shared" si="1"/>
        <v>0</v>
      </c>
      <c r="K1948" s="104" t="str">
        <f>IF(H1948&lt;0,"ERROR",IF(H1948=0,"",IF(H1948&lt;CONFIG!$B$4,"CRÍTICO",IF(H1948&lt;CONFIG!$B$5,"BAJO","OK"))))</f>
        <v/>
      </c>
    </row>
    <row r="1949" ht="15.75" hidden="1" customHeight="1">
      <c r="A1949" s="90" t="str">
        <f>IF(CLIENTES!A4="","",CLIENTES!A4)</f>
        <v>OverShark</v>
      </c>
      <c r="B1949" s="90" t="s">
        <v>331</v>
      </c>
      <c r="C1949" s="91" t="s">
        <v>328</v>
      </c>
      <c r="D1949" s="109" t="s">
        <v>364</v>
      </c>
      <c r="E1949" s="67" t="str">
        <f>COLORES!A10</f>
        <v>Botella</v>
      </c>
      <c r="F1949" s="67" t="str">
        <f>COLORES!B10</f>
        <v>OSCURO</v>
      </c>
      <c r="G1949" s="90" t="s">
        <v>376</v>
      </c>
      <c r="H1949" s="100">
        <f>IFERROR(SUMIFS(MOVIMIENTOS_COMPLEMENTOS!$I$4:$I$803,MOVIMIENTOS_COMPLEMENTOS!$C$4:$C$803,A1949,MOVIMIENTOS_COMPLEMENTOS!$D$4:$D$803,B1949,MOVIMIENTOS_COMPLEMENTOS!$E$4:$E$803,C1949,MOVIMIENTOS_COMPLEMENTOS!$F$4:$F$803,D1949,MOVIMIENTOS_COMPLEMENTOS!$G$4:$G$803,E1949,MOVIMIENTOS_COMPLEMENTOS!$H$4:$H$803,G1949,MOVIMIENTOS_COMPLEMENTOS!$B$4:$B$803,"INGRESO")+SUMIFS(MOVIMIENTOS_COMPLEMENTOS!$I$4:$I$803,MOVIMIENTOS_COMPLEMENTOS!$C$4:$C$803,A1949,MOVIMIENTOS_COMPLEMENTOS!$D$4:$D$803,B1949,MOVIMIENTOS_COMPLEMENTOS!$E$4:$E$803,C1949,MOVIMIENTOS_COMPLEMENTOS!$F$4:$F$803,D1949,MOVIMIENTOS_COMPLEMENTOS!$G$4:$G$803,E1949,MOVIMIENTOS_COMPLEMENTOS!$H$4:$H$803,G1949,MOVIMIENTOS_COMPLEMENTOS!$B$4:$B$803,"DE CORTE")-SUMIFS(MOVIMIENTOS_COMPLEMENTOS!$I$4:$I$803,MOVIMIENTOS_COMPLEMENTOS!$C$4:$C$803,A1949,MOVIMIENTOS_COMPLEMENTOS!$D$4:$D$803,B1949,MOVIMIENTOS_COMPLEMENTOS!$E$4:$E$803,C1949,MOVIMIENTOS_COMPLEMENTOS!$F$4:$F$803,D1949,MOVIMIENTOS_COMPLEMENTOS!$G$4:$G$803,E1949,MOVIMIENTOS_COMPLEMENTOS!$H$4:$H$803,G1949,MOVIMIENTOS_COMPLEMENTOS!$B$4:$B$803,"SALIDA"),0)</f>
        <v>0</v>
      </c>
      <c r="I1949" s="102">
        <f t="array" ref="I1949">IFERROR(INDEX(PRECIOS_COMPLEMENTOS!$C$4:$F$17,MATCH(B1949&amp;"_"&amp;C1949,PRECIOS_COMPLEMENTOS!$H$4:$H$17,0),IF(OR(G1949="S",G1949="20cm"),1,IF(OR(G1949="M",G1949="25cm"),2,IF(OR(G1949="L",G1949="30cm"),3,IF(OR(G1949="XL",G1949="35cm"),4,0))))),0)</f>
        <v>0.6</v>
      </c>
      <c r="J1949" s="103">
        <f t="shared" si="1"/>
        <v>0</v>
      </c>
      <c r="K1949" s="104" t="str">
        <f>IF(H1949&lt;0,"ERROR",IF(H1949=0,"",IF(H1949&lt;CONFIG!$B$4,"CRÍTICO",IF(H1949&lt;CONFIG!$B$5,"BAJO","OK"))))</f>
        <v/>
      </c>
    </row>
    <row r="1950" ht="15.75" hidden="1" customHeight="1">
      <c r="A1950" s="90" t="str">
        <f>IF(CLIENTES!A4="","",CLIENTES!A4)</f>
        <v>OverShark</v>
      </c>
      <c r="B1950" s="90" t="s">
        <v>331</v>
      </c>
      <c r="C1950" s="91" t="s">
        <v>328</v>
      </c>
      <c r="D1950" s="109" t="s">
        <v>364</v>
      </c>
      <c r="E1950" s="67" t="str">
        <f>COLORES!A10</f>
        <v>Botella</v>
      </c>
      <c r="F1950" s="67" t="str">
        <f>COLORES!B10</f>
        <v>OSCURO</v>
      </c>
      <c r="G1950" s="90" t="s">
        <v>377</v>
      </c>
      <c r="H1950" s="100">
        <f>IFERROR(SUMIFS(MOVIMIENTOS_COMPLEMENTOS!$I$4:$I$803,MOVIMIENTOS_COMPLEMENTOS!$C$4:$C$803,A1950,MOVIMIENTOS_COMPLEMENTOS!$D$4:$D$803,B1950,MOVIMIENTOS_COMPLEMENTOS!$E$4:$E$803,C1950,MOVIMIENTOS_COMPLEMENTOS!$F$4:$F$803,D1950,MOVIMIENTOS_COMPLEMENTOS!$G$4:$G$803,E1950,MOVIMIENTOS_COMPLEMENTOS!$H$4:$H$803,G1950,MOVIMIENTOS_COMPLEMENTOS!$B$4:$B$803,"INGRESO")+SUMIFS(MOVIMIENTOS_COMPLEMENTOS!$I$4:$I$803,MOVIMIENTOS_COMPLEMENTOS!$C$4:$C$803,A1950,MOVIMIENTOS_COMPLEMENTOS!$D$4:$D$803,B1950,MOVIMIENTOS_COMPLEMENTOS!$E$4:$E$803,C1950,MOVIMIENTOS_COMPLEMENTOS!$F$4:$F$803,D1950,MOVIMIENTOS_COMPLEMENTOS!$G$4:$G$803,E1950,MOVIMIENTOS_COMPLEMENTOS!$H$4:$H$803,G1950,MOVIMIENTOS_COMPLEMENTOS!$B$4:$B$803,"DE CORTE")-SUMIFS(MOVIMIENTOS_COMPLEMENTOS!$I$4:$I$803,MOVIMIENTOS_COMPLEMENTOS!$C$4:$C$803,A1950,MOVIMIENTOS_COMPLEMENTOS!$D$4:$D$803,B1950,MOVIMIENTOS_COMPLEMENTOS!$E$4:$E$803,C1950,MOVIMIENTOS_COMPLEMENTOS!$F$4:$F$803,D1950,MOVIMIENTOS_COMPLEMENTOS!$G$4:$G$803,E1950,MOVIMIENTOS_COMPLEMENTOS!$H$4:$H$803,G1950,MOVIMIENTOS_COMPLEMENTOS!$B$4:$B$803,"SALIDA"),0)</f>
        <v>0</v>
      </c>
      <c r="I1950" s="102">
        <f t="array" ref="I1950">IFERROR(INDEX(PRECIOS_COMPLEMENTOS!$C$4:$F$17,MATCH(B1950&amp;"_"&amp;C1950,PRECIOS_COMPLEMENTOS!$H$4:$H$17,0),IF(OR(G1950="S",G1950="20cm"),1,IF(OR(G1950="M",G1950="25cm"),2,IF(OR(G1950="L",G1950="30cm"),3,IF(OR(G1950="XL",G1950="35cm"),4,0))))),0)</f>
        <v>0.6</v>
      </c>
      <c r="J1950" s="103">
        <f t="shared" si="1"/>
        <v>0</v>
      </c>
      <c r="K1950" s="104" t="str">
        <f>IF(H1950&lt;0,"ERROR",IF(H1950=0,"",IF(H1950&lt;CONFIG!$B$4,"CRÍTICO",IF(H1950&lt;CONFIG!$B$5,"BAJO","OK"))))</f>
        <v/>
      </c>
    </row>
    <row r="1951" ht="15.75" hidden="1" customHeight="1">
      <c r="A1951" s="90" t="str">
        <f>IF(CLIENTES!A4="","",CLIENTES!A4)</f>
        <v>OverShark</v>
      </c>
      <c r="B1951" s="90" t="s">
        <v>331</v>
      </c>
      <c r="C1951" s="91" t="s">
        <v>328</v>
      </c>
      <c r="D1951" s="109" t="s">
        <v>364</v>
      </c>
      <c r="E1951" s="67" t="str">
        <f>COLORES!A10</f>
        <v>Botella</v>
      </c>
      <c r="F1951" s="67" t="str">
        <f>COLORES!B10</f>
        <v>OSCURO</v>
      </c>
      <c r="G1951" s="90" t="s">
        <v>379</v>
      </c>
      <c r="H1951" s="100">
        <f>IFERROR(SUMIFS(MOVIMIENTOS_COMPLEMENTOS!$I$4:$I$803,MOVIMIENTOS_COMPLEMENTOS!$C$4:$C$803,A1951,MOVIMIENTOS_COMPLEMENTOS!$D$4:$D$803,B1951,MOVIMIENTOS_COMPLEMENTOS!$E$4:$E$803,C1951,MOVIMIENTOS_COMPLEMENTOS!$F$4:$F$803,D1951,MOVIMIENTOS_COMPLEMENTOS!$G$4:$G$803,E1951,MOVIMIENTOS_COMPLEMENTOS!$H$4:$H$803,G1951,MOVIMIENTOS_COMPLEMENTOS!$B$4:$B$803,"INGRESO")+SUMIFS(MOVIMIENTOS_COMPLEMENTOS!$I$4:$I$803,MOVIMIENTOS_COMPLEMENTOS!$C$4:$C$803,A1951,MOVIMIENTOS_COMPLEMENTOS!$D$4:$D$803,B1951,MOVIMIENTOS_COMPLEMENTOS!$E$4:$E$803,C1951,MOVIMIENTOS_COMPLEMENTOS!$F$4:$F$803,D1951,MOVIMIENTOS_COMPLEMENTOS!$G$4:$G$803,E1951,MOVIMIENTOS_COMPLEMENTOS!$H$4:$H$803,G1951,MOVIMIENTOS_COMPLEMENTOS!$B$4:$B$803,"DE CORTE")-SUMIFS(MOVIMIENTOS_COMPLEMENTOS!$I$4:$I$803,MOVIMIENTOS_COMPLEMENTOS!$C$4:$C$803,A1951,MOVIMIENTOS_COMPLEMENTOS!$D$4:$D$803,B1951,MOVIMIENTOS_COMPLEMENTOS!$E$4:$E$803,C1951,MOVIMIENTOS_COMPLEMENTOS!$F$4:$F$803,D1951,MOVIMIENTOS_COMPLEMENTOS!$G$4:$G$803,E1951,MOVIMIENTOS_COMPLEMENTOS!$H$4:$H$803,G1951,MOVIMIENTOS_COMPLEMENTOS!$B$4:$B$803,"SALIDA"),0)</f>
        <v>0</v>
      </c>
      <c r="I1951" s="102">
        <f t="array" ref="I1951">IFERROR(INDEX(PRECIOS_COMPLEMENTOS!$C$4:$F$17,MATCH(B1951&amp;"_"&amp;C1951,PRECIOS_COMPLEMENTOS!$H$4:$H$17,0),IF(OR(G1951="S",G1951="20cm"),1,IF(OR(G1951="M",G1951="25cm"),2,IF(OR(G1951="L",G1951="30cm"),3,IF(OR(G1951="XL",G1951="35cm"),4,0))))),0)</f>
        <v>0.6</v>
      </c>
      <c r="J1951" s="103">
        <f t="shared" si="1"/>
        <v>0</v>
      </c>
      <c r="K1951" s="104" t="str">
        <f>IF(H1951&lt;0,"ERROR",IF(H1951=0,"",IF(H1951&lt;CONFIG!$B$4,"CRÍTICO",IF(H1951&lt;CONFIG!$B$5,"BAJO","OK"))))</f>
        <v/>
      </c>
    </row>
    <row r="1952" ht="15.75" hidden="1" customHeight="1">
      <c r="A1952" s="90" t="str">
        <f>IF(CLIENTES!A4="","",CLIENTES!A4)</f>
        <v>OverShark</v>
      </c>
      <c r="B1952" s="90" t="s">
        <v>331</v>
      </c>
      <c r="C1952" s="91" t="s">
        <v>328</v>
      </c>
      <c r="D1952" s="109" t="s">
        <v>364</v>
      </c>
      <c r="E1952" s="67" t="str">
        <f>COLORES!A11</f>
        <v>Pacay</v>
      </c>
      <c r="F1952" s="67" t="str">
        <f>COLORES!B11</f>
        <v>CLARO</v>
      </c>
      <c r="G1952" s="90" t="s">
        <v>378</v>
      </c>
      <c r="H1952" s="100">
        <f>IFERROR(SUMIFS(MOVIMIENTOS_COMPLEMENTOS!$I$4:$I$803,MOVIMIENTOS_COMPLEMENTOS!$C$4:$C$803,A1952,MOVIMIENTOS_COMPLEMENTOS!$D$4:$D$803,B1952,MOVIMIENTOS_COMPLEMENTOS!$E$4:$E$803,C1952,MOVIMIENTOS_COMPLEMENTOS!$F$4:$F$803,D1952,MOVIMIENTOS_COMPLEMENTOS!$G$4:$G$803,E1952,MOVIMIENTOS_COMPLEMENTOS!$H$4:$H$803,G1952,MOVIMIENTOS_COMPLEMENTOS!$B$4:$B$803,"INGRESO")+SUMIFS(MOVIMIENTOS_COMPLEMENTOS!$I$4:$I$803,MOVIMIENTOS_COMPLEMENTOS!$C$4:$C$803,A1952,MOVIMIENTOS_COMPLEMENTOS!$D$4:$D$803,B1952,MOVIMIENTOS_COMPLEMENTOS!$E$4:$E$803,C1952,MOVIMIENTOS_COMPLEMENTOS!$F$4:$F$803,D1952,MOVIMIENTOS_COMPLEMENTOS!$G$4:$G$803,E1952,MOVIMIENTOS_COMPLEMENTOS!$H$4:$H$803,G1952,MOVIMIENTOS_COMPLEMENTOS!$B$4:$B$803,"DE CORTE")-SUMIFS(MOVIMIENTOS_COMPLEMENTOS!$I$4:$I$803,MOVIMIENTOS_COMPLEMENTOS!$C$4:$C$803,A1952,MOVIMIENTOS_COMPLEMENTOS!$D$4:$D$803,B1952,MOVIMIENTOS_COMPLEMENTOS!$E$4:$E$803,C1952,MOVIMIENTOS_COMPLEMENTOS!$F$4:$F$803,D1952,MOVIMIENTOS_COMPLEMENTOS!$G$4:$G$803,E1952,MOVIMIENTOS_COMPLEMENTOS!$H$4:$H$803,G1952,MOVIMIENTOS_COMPLEMENTOS!$B$4:$B$803,"SALIDA"),0)</f>
        <v>0</v>
      </c>
      <c r="I1952" s="102">
        <f t="array" ref="I1952">IFERROR(INDEX(PRECIOS_COMPLEMENTOS!$C$4:$F$17,MATCH(B1952&amp;"_"&amp;C1952,PRECIOS_COMPLEMENTOS!$H$4:$H$17,0),IF(OR(G1952="S",G1952="20cm"),1,IF(OR(G1952="M",G1952="25cm"),2,IF(OR(G1952="L",G1952="30cm"),3,IF(OR(G1952="XL",G1952="35cm"),4,0))))),0)</f>
        <v>0.6</v>
      </c>
      <c r="J1952" s="103">
        <f t="shared" si="1"/>
        <v>0</v>
      </c>
      <c r="K1952" s="104" t="str">
        <f>IF(H1952&lt;0,"ERROR",IF(H1952=0,"",IF(H1952&lt;CONFIG!$B$4,"CRÍTICO",IF(H1952&lt;CONFIG!$B$5,"BAJO","OK"))))</f>
        <v/>
      </c>
    </row>
    <row r="1953" ht="15.75" hidden="1" customHeight="1">
      <c r="A1953" s="90" t="str">
        <f>IF(CLIENTES!A4="","",CLIENTES!A4)</f>
        <v>OverShark</v>
      </c>
      <c r="B1953" s="90" t="s">
        <v>331</v>
      </c>
      <c r="C1953" s="91" t="s">
        <v>328</v>
      </c>
      <c r="D1953" s="109" t="s">
        <v>364</v>
      </c>
      <c r="E1953" s="67" t="str">
        <f>COLORES!A11</f>
        <v>Pacay</v>
      </c>
      <c r="F1953" s="67" t="str">
        <f>COLORES!B11</f>
        <v>CLARO</v>
      </c>
      <c r="G1953" s="90" t="s">
        <v>376</v>
      </c>
      <c r="H1953" s="100">
        <f>IFERROR(SUMIFS(MOVIMIENTOS_COMPLEMENTOS!$I$4:$I$803,MOVIMIENTOS_COMPLEMENTOS!$C$4:$C$803,A1953,MOVIMIENTOS_COMPLEMENTOS!$D$4:$D$803,B1953,MOVIMIENTOS_COMPLEMENTOS!$E$4:$E$803,C1953,MOVIMIENTOS_COMPLEMENTOS!$F$4:$F$803,D1953,MOVIMIENTOS_COMPLEMENTOS!$G$4:$G$803,E1953,MOVIMIENTOS_COMPLEMENTOS!$H$4:$H$803,G1953,MOVIMIENTOS_COMPLEMENTOS!$B$4:$B$803,"INGRESO")+SUMIFS(MOVIMIENTOS_COMPLEMENTOS!$I$4:$I$803,MOVIMIENTOS_COMPLEMENTOS!$C$4:$C$803,A1953,MOVIMIENTOS_COMPLEMENTOS!$D$4:$D$803,B1953,MOVIMIENTOS_COMPLEMENTOS!$E$4:$E$803,C1953,MOVIMIENTOS_COMPLEMENTOS!$F$4:$F$803,D1953,MOVIMIENTOS_COMPLEMENTOS!$G$4:$G$803,E1953,MOVIMIENTOS_COMPLEMENTOS!$H$4:$H$803,G1953,MOVIMIENTOS_COMPLEMENTOS!$B$4:$B$803,"DE CORTE")-SUMIFS(MOVIMIENTOS_COMPLEMENTOS!$I$4:$I$803,MOVIMIENTOS_COMPLEMENTOS!$C$4:$C$803,A1953,MOVIMIENTOS_COMPLEMENTOS!$D$4:$D$803,B1953,MOVIMIENTOS_COMPLEMENTOS!$E$4:$E$803,C1953,MOVIMIENTOS_COMPLEMENTOS!$F$4:$F$803,D1953,MOVIMIENTOS_COMPLEMENTOS!$G$4:$G$803,E1953,MOVIMIENTOS_COMPLEMENTOS!$H$4:$H$803,G1953,MOVIMIENTOS_COMPLEMENTOS!$B$4:$B$803,"SALIDA"),0)</f>
        <v>0</v>
      </c>
      <c r="I1953" s="102">
        <f t="array" ref="I1953">IFERROR(INDEX(PRECIOS_COMPLEMENTOS!$C$4:$F$17,MATCH(B1953&amp;"_"&amp;C1953,PRECIOS_COMPLEMENTOS!$H$4:$H$17,0),IF(OR(G1953="S",G1953="20cm"),1,IF(OR(G1953="M",G1953="25cm"),2,IF(OR(G1953="L",G1953="30cm"),3,IF(OR(G1953="XL",G1953="35cm"),4,0))))),0)</f>
        <v>0.6</v>
      </c>
      <c r="J1953" s="103">
        <f t="shared" si="1"/>
        <v>0</v>
      </c>
      <c r="K1953" s="104" t="str">
        <f>IF(H1953&lt;0,"ERROR",IF(H1953=0,"",IF(H1953&lt;CONFIG!$B$4,"CRÍTICO",IF(H1953&lt;CONFIG!$B$5,"BAJO","OK"))))</f>
        <v/>
      </c>
    </row>
    <row r="1954" ht="15.75" hidden="1" customHeight="1">
      <c r="A1954" s="90" t="str">
        <f>IF(CLIENTES!A4="","",CLIENTES!A4)</f>
        <v>OverShark</v>
      </c>
      <c r="B1954" s="90" t="s">
        <v>331</v>
      </c>
      <c r="C1954" s="91" t="s">
        <v>328</v>
      </c>
      <c r="D1954" s="109" t="s">
        <v>364</v>
      </c>
      <c r="E1954" s="67" t="str">
        <f>COLORES!A11</f>
        <v>Pacay</v>
      </c>
      <c r="F1954" s="67" t="str">
        <f>COLORES!B11</f>
        <v>CLARO</v>
      </c>
      <c r="G1954" s="90" t="s">
        <v>377</v>
      </c>
      <c r="H1954" s="100">
        <f>IFERROR(SUMIFS(MOVIMIENTOS_COMPLEMENTOS!$I$4:$I$803,MOVIMIENTOS_COMPLEMENTOS!$C$4:$C$803,A1954,MOVIMIENTOS_COMPLEMENTOS!$D$4:$D$803,B1954,MOVIMIENTOS_COMPLEMENTOS!$E$4:$E$803,C1954,MOVIMIENTOS_COMPLEMENTOS!$F$4:$F$803,D1954,MOVIMIENTOS_COMPLEMENTOS!$G$4:$G$803,E1954,MOVIMIENTOS_COMPLEMENTOS!$H$4:$H$803,G1954,MOVIMIENTOS_COMPLEMENTOS!$B$4:$B$803,"INGRESO")+SUMIFS(MOVIMIENTOS_COMPLEMENTOS!$I$4:$I$803,MOVIMIENTOS_COMPLEMENTOS!$C$4:$C$803,A1954,MOVIMIENTOS_COMPLEMENTOS!$D$4:$D$803,B1954,MOVIMIENTOS_COMPLEMENTOS!$E$4:$E$803,C1954,MOVIMIENTOS_COMPLEMENTOS!$F$4:$F$803,D1954,MOVIMIENTOS_COMPLEMENTOS!$G$4:$G$803,E1954,MOVIMIENTOS_COMPLEMENTOS!$H$4:$H$803,G1954,MOVIMIENTOS_COMPLEMENTOS!$B$4:$B$803,"DE CORTE")-SUMIFS(MOVIMIENTOS_COMPLEMENTOS!$I$4:$I$803,MOVIMIENTOS_COMPLEMENTOS!$C$4:$C$803,A1954,MOVIMIENTOS_COMPLEMENTOS!$D$4:$D$803,B1954,MOVIMIENTOS_COMPLEMENTOS!$E$4:$E$803,C1954,MOVIMIENTOS_COMPLEMENTOS!$F$4:$F$803,D1954,MOVIMIENTOS_COMPLEMENTOS!$G$4:$G$803,E1954,MOVIMIENTOS_COMPLEMENTOS!$H$4:$H$803,G1954,MOVIMIENTOS_COMPLEMENTOS!$B$4:$B$803,"SALIDA"),0)</f>
        <v>0</v>
      </c>
      <c r="I1954" s="102">
        <f t="array" ref="I1954">IFERROR(INDEX(PRECIOS_COMPLEMENTOS!$C$4:$F$17,MATCH(B1954&amp;"_"&amp;C1954,PRECIOS_COMPLEMENTOS!$H$4:$H$17,0),IF(OR(G1954="S",G1954="20cm"),1,IF(OR(G1954="M",G1954="25cm"),2,IF(OR(G1954="L",G1954="30cm"),3,IF(OR(G1954="XL",G1954="35cm"),4,0))))),0)</f>
        <v>0.6</v>
      </c>
      <c r="J1954" s="103">
        <f t="shared" si="1"/>
        <v>0</v>
      </c>
      <c r="K1954" s="104" t="str">
        <f>IF(H1954&lt;0,"ERROR",IF(H1954=0,"",IF(H1954&lt;CONFIG!$B$4,"CRÍTICO",IF(H1954&lt;CONFIG!$B$5,"BAJO","OK"))))</f>
        <v/>
      </c>
    </row>
    <row r="1955" ht="15.75" hidden="1" customHeight="1">
      <c r="A1955" s="90" t="str">
        <f>IF(CLIENTES!A4="","",CLIENTES!A4)</f>
        <v>OverShark</v>
      </c>
      <c r="B1955" s="90" t="s">
        <v>331</v>
      </c>
      <c r="C1955" s="91" t="s">
        <v>328</v>
      </c>
      <c r="D1955" s="109" t="s">
        <v>364</v>
      </c>
      <c r="E1955" s="67" t="str">
        <f>COLORES!A11</f>
        <v>Pacay</v>
      </c>
      <c r="F1955" s="67" t="str">
        <f>COLORES!B11</f>
        <v>CLARO</v>
      </c>
      <c r="G1955" s="90" t="s">
        <v>379</v>
      </c>
      <c r="H1955" s="100">
        <f>IFERROR(SUMIFS(MOVIMIENTOS_COMPLEMENTOS!$I$4:$I$803,MOVIMIENTOS_COMPLEMENTOS!$C$4:$C$803,A1955,MOVIMIENTOS_COMPLEMENTOS!$D$4:$D$803,B1955,MOVIMIENTOS_COMPLEMENTOS!$E$4:$E$803,C1955,MOVIMIENTOS_COMPLEMENTOS!$F$4:$F$803,D1955,MOVIMIENTOS_COMPLEMENTOS!$G$4:$G$803,E1955,MOVIMIENTOS_COMPLEMENTOS!$H$4:$H$803,G1955,MOVIMIENTOS_COMPLEMENTOS!$B$4:$B$803,"INGRESO")+SUMIFS(MOVIMIENTOS_COMPLEMENTOS!$I$4:$I$803,MOVIMIENTOS_COMPLEMENTOS!$C$4:$C$803,A1955,MOVIMIENTOS_COMPLEMENTOS!$D$4:$D$803,B1955,MOVIMIENTOS_COMPLEMENTOS!$E$4:$E$803,C1955,MOVIMIENTOS_COMPLEMENTOS!$F$4:$F$803,D1955,MOVIMIENTOS_COMPLEMENTOS!$G$4:$G$803,E1955,MOVIMIENTOS_COMPLEMENTOS!$H$4:$H$803,G1955,MOVIMIENTOS_COMPLEMENTOS!$B$4:$B$803,"DE CORTE")-SUMIFS(MOVIMIENTOS_COMPLEMENTOS!$I$4:$I$803,MOVIMIENTOS_COMPLEMENTOS!$C$4:$C$803,A1955,MOVIMIENTOS_COMPLEMENTOS!$D$4:$D$803,B1955,MOVIMIENTOS_COMPLEMENTOS!$E$4:$E$803,C1955,MOVIMIENTOS_COMPLEMENTOS!$F$4:$F$803,D1955,MOVIMIENTOS_COMPLEMENTOS!$G$4:$G$803,E1955,MOVIMIENTOS_COMPLEMENTOS!$H$4:$H$803,G1955,MOVIMIENTOS_COMPLEMENTOS!$B$4:$B$803,"SALIDA"),0)</f>
        <v>0</v>
      </c>
      <c r="I1955" s="102">
        <f t="array" ref="I1955">IFERROR(INDEX(PRECIOS_COMPLEMENTOS!$C$4:$F$17,MATCH(B1955&amp;"_"&amp;C1955,PRECIOS_COMPLEMENTOS!$H$4:$H$17,0),IF(OR(G1955="S",G1955="20cm"),1,IF(OR(G1955="M",G1955="25cm"),2,IF(OR(G1955="L",G1955="30cm"),3,IF(OR(G1955="XL",G1955="35cm"),4,0))))),0)</f>
        <v>0.6</v>
      </c>
      <c r="J1955" s="103">
        <f t="shared" si="1"/>
        <v>0</v>
      </c>
      <c r="K1955" s="104" t="str">
        <f>IF(H1955&lt;0,"ERROR",IF(H1955=0,"",IF(H1955&lt;CONFIG!$B$4,"CRÍTICO",IF(H1955&lt;CONFIG!$B$5,"BAJO","OK"))))</f>
        <v/>
      </c>
    </row>
    <row r="1956" ht="15.75" hidden="1" customHeight="1">
      <c r="A1956" s="90" t="str">
        <f>IF(CLIENTES!A4="","",CLIENTES!A4)</f>
        <v>OverShark</v>
      </c>
      <c r="B1956" s="90" t="s">
        <v>331</v>
      </c>
      <c r="C1956" s="91" t="s">
        <v>328</v>
      </c>
      <c r="D1956" s="109" t="s">
        <v>364</v>
      </c>
      <c r="E1956" s="67" t="str">
        <f>COLORES!A12</f>
        <v>Cemento</v>
      </c>
      <c r="F1956" s="67" t="str">
        <f>COLORES!B12</f>
        <v>CLARO</v>
      </c>
      <c r="G1956" s="90" t="s">
        <v>378</v>
      </c>
      <c r="H1956" s="100">
        <f>IFERROR(SUMIFS(MOVIMIENTOS_COMPLEMENTOS!$I$4:$I$803,MOVIMIENTOS_COMPLEMENTOS!$C$4:$C$803,A1956,MOVIMIENTOS_COMPLEMENTOS!$D$4:$D$803,B1956,MOVIMIENTOS_COMPLEMENTOS!$E$4:$E$803,C1956,MOVIMIENTOS_COMPLEMENTOS!$F$4:$F$803,D1956,MOVIMIENTOS_COMPLEMENTOS!$G$4:$G$803,E1956,MOVIMIENTOS_COMPLEMENTOS!$H$4:$H$803,G1956,MOVIMIENTOS_COMPLEMENTOS!$B$4:$B$803,"INGRESO")+SUMIFS(MOVIMIENTOS_COMPLEMENTOS!$I$4:$I$803,MOVIMIENTOS_COMPLEMENTOS!$C$4:$C$803,A1956,MOVIMIENTOS_COMPLEMENTOS!$D$4:$D$803,B1956,MOVIMIENTOS_COMPLEMENTOS!$E$4:$E$803,C1956,MOVIMIENTOS_COMPLEMENTOS!$F$4:$F$803,D1956,MOVIMIENTOS_COMPLEMENTOS!$G$4:$G$803,E1956,MOVIMIENTOS_COMPLEMENTOS!$H$4:$H$803,G1956,MOVIMIENTOS_COMPLEMENTOS!$B$4:$B$803,"DE CORTE")-SUMIFS(MOVIMIENTOS_COMPLEMENTOS!$I$4:$I$803,MOVIMIENTOS_COMPLEMENTOS!$C$4:$C$803,A1956,MOVIMIENTOS_COMPLEMENTOS!$D$4:$D$803,B1956,MOVIMIENTOS_COMPLEMENTOS!$E$4:$E$803,C1956,MOVIMIENTOS_COMPLEMENTOS!$F$4:$F$803,D1956,MOVIMIENTOS_COMPLEMENTOS!$G$4:$G$803,E1956,MOVIMIENTOS_COMPLEMENTOS!$H$4:$H$803,G1956,MOVIMIENTOS_COMPLEMENTOS!$B$4:$B$803,"SALIDA"),0)</f>
        <v>0</v>
      </c>
      <c r="I1956" s="102">
        <f t="array" ref="I1956">IFERROR(INDEX(PRECIOS_COMPLEMENTOS!$C$4:$F$17,MATCH(B1956&amp;"_"&amp;C1956,PRECIOS_COMPLEMENTOS!$H$4:$H$17,0),IF(OR(G1956="S",G1956="20cm"),1,IF(OR(G1956="M",G1956="25cm"),2,IF(OR(G1956="L",G1956="30cm"),3,IF(OR(G1956="XL",G1956="35cm"),4,0))))),0)</f>
        <v>0.6</v>
      </c>
      <c r="J1956" s="103">
        <f t="shared" si="1"/>
        <v>0</v>
      </c>
      <c r="K1956" s="104" t="str">
        <f>IF(H1956&lt;0,"ERROR",IF(H1956=0,"",IF(H1956&lt;CONFIG!$B$4,"CRÍTICO",IF(H1956&lt;CONFIG!$B$5,"BAJO","OK"))))</f>
        <v/>
      </c>
    </row>
    <row r="1957" ht="15.75" hidden="1" customHeight="1">
      <c r="A1957" s="90" t="str">
        <f>IF(CLIENTES!A4="","",CLIENTES!A4)</f>
        <v>OverShark</v>
      </c>
      <c r="B1957" s="90" t="s">
        <v>331</v>
      </c>
      <c r="C1957" s="91" t="s">
        <v>328</v>
      </c>
      <c r="D1957" s="109" t="s">
        <v>364</v>
      </c>
      <c r="E1957" s="67" t="str">
        <f>COLORES!A12</f>
        <v>Cemento</v>
      </c>
      <c r="F1957" s="67" t="str">
        <f>COLORES!B12</f>
        <v>CLARO</v>
      </c>
      <c r="G1957" s="90" t="s">
        <v>376</v>
      </c>
      <c r="H1957" s="100">
        <f>IFERROR(SUMIFS(MOVIMIENTOS_COMPLEMENTOS!$I$4:$I$803,MOVIMIENTOS_COMPLEMENTOS!$C$4:$C$803,A1957,MOVIMIENTOS_COMPLEMENTOS!$D$4:$D$803,B1957,MOVIMIENTOS_COMPLEMENTOS!$E$4:$E$803,C1957,MOVIMIENTOS_COMPLEMENTOS!$F$4:$F$803,D1957,MOVIMIENTOS_COMPLEMENTOS!$G$4:$G$803,E1957,MOVIMIENTOS_COMPLEMENTOS!$H$4:$H$803,G1957,MOVIMIENTOS_COMPLEMENTOS!$B$4:$B$803,"INGRESO")+SUMIFS(MOVIMIENTOS_COMPLEMENTOS!$I$4:$I$803,MOVIMIENTOS_COMPLEMENTOS!$C$4:$C$803,A1957,MOVIMIENTOS_COMPLEMENTOS!$D$4:$D$803,B1957,MOVIMIENTOS_COMPLEMENTOS!$E$4:$E$803,C1957,MOVIMIENTOS_COMPLEMENTOS!$F$4:$F$803,D1957,MOVIMIENTOS_COMPLEMENTOS!$G$4:$G$803,E1957,MOVIMIENTOS_COMPLEMENTOS!$H$4:$H$803,G1957,MOVIMIENTOS_COMPLEMENTOS!$B$4:$B$803,"DE CORTE")-SUMIFS(MOVIMIENTOS_COMPLEMENTOS!$I$4:$I$803,MOVIMIENTOS_COMPLEMENTOS!$C$4:$C$803,A1957,MOVIMIENTOS_COMPLEMENTOS!$D$4:$D$803,B1957,MOVIMIENTOS_COMPLEMENTOS!$E$4:$E$803,C1957,MOVIMIENTOS_COMPLEMENTOS!$F$4:$F$803,D1957,MOVIMIENTOS_COMPLEMENTOS!$G$4:$G$803,E1957,MOVIMIENTOS_COMPLEMENTOS!$H$4:$H$803,G1957,MOVIMIENTOS_COMPLEMENTOS!$B$4:$B$803,"SALIDA"),0)</f>
        <v>0</v>
      </c>
      <c r="I1957" s="102">
        <f t="array" ref="I1957">IFERROR(INDEX(PRECIOS_COMPLEMENTOS!$C$4:$F$17,MATCH(B1957&amp;"_"&amp;C1957,PRECIOS_COMPLEMENTOS!$H$4:$H$17,0),IF(OR(G1957="S",G1957="20cm"),1,IF(OR(G1957="M",G1957="25cm"),2,IF(OR(G1957="L",G1957="30cm"),3,IF(OR(G1957="XL",G1957="35cm"),4,0))))),0)</f>
        <v>0.6</v>
      </c>
      <c r="J1957" s="103">
        <f t="shared" si="1"/>
        <v>0</v>
      </c>
      <c r="K1957" s="104" t="str">
        <f>IF(H1957&lt;0,"ERROR",IF(H1957=0,"",IF(H1957&lt;CONFIG!$B$4,"CRÍTICO",IF(H1957&lt;CONFIG!$B$5,"BAJO","OK"))))</f>
        <v/>
      </c>
    </row>
    <row r="1958" ht="15.75" hidden="1" customHeight="1">
      <c r="A1958" s="90" t="str">
        <f>IF(CLIENTES!A4="","",CLIENTES!A4)</f>
        <v>OverShark</v>
      </c>
      <c r="B1958" s="90" t="s">
        <v>331</v>
      </c>
      <c r="C1958" s="91" t="s">
        <v>328</v>
      </c>
      <c r="D1958" s="109" t="s">
        <v>364</v>
      </c>
      <c r="E1958" s="67" t="str">
        <f>COLORES!A12</f>
        <v>Cemento</v>
      </c>
      <c r="F1958" s="67" t="str">
        <f>COLORES!B12</f>
        <v>CLARO</v>
      </c>
      <c r="G1958" s="90" t="s">
        <v>377</v>
      </c>
      <c r="H1958" s="100">
        <f>IFERROR(SUMIFS(MOVIMIENTOS_COMPLEMENTOS!$I$4:$I$803,MOVIMIENTOS_COMPLEMENTOS!$C$4:$C$803,A1958,MOVIMIENTOS_COMPLEMENTOS!$D$4:$D$803,B1958,MOVIMIENTOS_COMPLEMENTOS!$E$4:$E$803,C1958,MOVIMIENTOS_COMPLEMENTOS!$F$4:$F$803,D1958,MOVIMIENTOS_COMPLEMENTOS!$G$4:$G$803,E1958,MOVIMIENTOS_COMPLEMENTOS!$H$4:$H$803,G1958,MOVIMIENTOS_COMPLEMENTOS!$B$4:$B$803,"INGRESO")+SUMIFS(MOVIMIENTOS_COMPLEMENTOS!$I$4:$I$803,MOVIMIENTOS_COMPLEMENTOS!$C$4:$C$803,A1958,MOVIMIENTOS_COMPLEMENTOS!$D$4:$D$803,B1958,MOVIMIENTOS_COMPLEMENTOS!$E$4:$E$803,C1958,MOVIMIENTOS_COMPLEMENTOS!$F$4:$F$803,D1958,MOVIMIENTOS_COMPLEMENTOS!$G$4:$G$803,E1958,MOVIMIENTOS_COMPLEMENTOS!$H$4:$H$803,G1958,MOVIMIENTOS_COMPLEMENTOS!$B$4:$B$803,"DE CORTE")-SUMIFS(MOVIMIENTOS_COMPLEMENTOS!$I$4:$I$803,MOVIMIENTOS_COMPLEMENTOS!$C$4:$C$803,A1958,MOVIMIENTOS_COMPLEMENTOS!$D$4:$D$803,B1958,MOVIMIENTOS_COMPLEMENTOS!$E$4:$E$803,C1958,MOVIMIENTOS_COMPLEMENTOS!$F$4:$F$803,D1958,MOVIMIENTOS_COMPLEMENTOS!$G$4:$G$803,E1958,MOVIMIENTOS_COMPLEMENTOS!$H$4:$H$803,G1958,MOVIMIENTOS_COMPLEMENTOS!$B$4:$B$803,"SALIDA"),0)</f>
        <v>0</v>
      </c>
      <c r="I1958" s="102">
        <f t="array" ref="I1958">IFERROR(INDEX(PRECIOS_COMPLEMENTOS!$C$4:$F$17,MATCH(B1958&amp;"_"&amp;C1958,PRECIOS_COMPLEMENTOS!$H$4:$H$17,0),IF(OR(G1958="S",G1958="20cm"),1,IF(OR(G1958="M",G1958="25cm"),2,IF(OR(G1958="L",G1958="30cm"),3,IF(OR(G1958="XL",G1958="35cm"),4,0))))),0)</f>
        <v>0.6</v>
      </c>
      <c r="J1958" s="103">
        <f t="shared" si="1"/>
        <v>0</v>
      </c>
      <c r="K1958" s="104" t="str">
        <f>IF(H1958&lt;0,"ERROR",IF(H1958=0,"",IF(H1958&lt;CONFIG!$B$4,"CRÍTICO",IF(H1958&lt;CONFIG!$B$5,"BAJO","OK"))))</f>
        <v/>
      </c>
    </row>
    <row r="1959" ht="15.75" hidden="1" customHeight="1">
      <c r="A1959" s="90" t="str">
        <f>IF(CLIENTES!A4="","",CLIENTES!A4)</f>
        <v>OverShark</v>
      </c>
      <c r="B1959" s="90" t="s">
        <v>331</v>
      </c>
      <c r="C1959" s="91" t="s">
        <v>328</v>
      </c>
      <c r="D1959" s="109" t="s">
        <v>364</v>
      </c>
      <c r="E1959" s="67" t="str">
        <f>COLORES!A12</f>
        <v>Cemento</v>
      </c>
      <c r="F1959" s="67" t="str">
        <f>COLORES!B12</f>
        <v>CLARO</v>
      </c>
      <c r="G1959" s="90" t="s">
        <v>379</v>
      </c>
      <c r="H1959" s="100">
        <f>IFERROR(SUMIFS(MOVIMIENTOS_COMPLEMENTOS!$I$4:$I$803,MOVIMIENTOS_COMPLEMENTOS!$C$4:$C$803,A1959,MOVIMIENTOS_COMPLEMENTOS!$D$4:$D$803,B1959,MOVIMIENTOS_COMPLEMENTOS!$E$4:$E$803,C1959,MOVIMIENTOS_COMPLEMENTOS!$F$4:$F$803,D1959,MOVIMIENTOS_COMPLEMENTOS!$G$4:$G$803,E1959,MOVIMIENTOS_COMPLEMENTOS!$H$4:$H$803,G1959,MOVIMIENTOS_COMPLEMENTOS!$B$4:$B$803,"INGRESO")+SUMIFS(MOVIMIENTOS_COMPLEMENTOS!$I$4:$I$803,MOVIMIENTOS_COMPLEMENTOS!$C$4:$C$803,A1959,MOVIMIENTOS_COMPLEMENTOS!$D$4:$D$803,B1959,MOVIMIENTOS_COMPLEMENTOS!$E$4:$E$803,C1959,MOVIMIENTOS_COMPLEMENTOS!$F$4:$F$803,D1959,MOVIMIENTOS_COMPLEMENTOS!$G$4:$G$803,E1959,MOVIMIENTOS_COMPLEMENTOS!$H$4:$H$803,G1959,MOVIMIENTOS_COMPLEMENTOS!$B$4:$B$803,"DE CORTE")-SUMIFS(MOVIMIENTOS_COMPLEMENTOS!$I$4:$I$803,MOVIMIENTOS_COMPLEMENTOS!$C$4:$C$803,A1959,MOVIMIENTOS_COMPLEMENTOS!$D$4:$D$803,B1959,MOVIMIENTOS_COMPLEMENTOS!$E$4:$E$803,C1959,MOVIMIENTOS_COMPLEMENTOS!$F$4:$F$803,D1959,MOVIMIENTOS_COMPLEMENTOS!$G$4:$G$803,E1959,MOVIMIENTOS_COMPLEMENTOS!$H$4:$H$803,G1959,MOVIMIENTOS_COMPLEMENTOS!$B$4:$B$803,"SALIDA"),0)</f>
        <v>0</v>
      </c>
      <c r="I1959" s="102">
        <f t="array" ref="I1959">IFERROR(INDEX(PRECIOS_COMPLEMENTOS!$C$4:$F$17,MATCH(B1959&amp;"_"&amp;C1959,PRECIOS_COMPLEMENTOS!$H$4:$H$17,0),IF(OR(G1959="S",G1959="20cm"),1,IF(OR(G1959="M",G1959="25cm"),2,IF(OR(G1959="L",G1959="30cm"),3,IF(OR(G1959="XL",G1959="35cm"),4,0))))),0)</f>
        <v>0.6</v>
      </c>
      <c r="J1959" s="103">
        <f t="shared" si="1"/>
        <v>0</v>
      </c>
      <c r="K1959" s="104" t="str">
        <f>IF(H1959&lt;0,"ERROR",IF(H1959=0,"",IF(H1959&lt;CONFIG!$B$4,"CRÍTICO",IF(H1959&lt;CONFIG!$B$5,"BAJO","OK"))))</f>
        <v/>
      </c>
    </row>
    <row r="1960" ht="15.75" hidden="1" customHeight="1">
      <c r="A1960" s="90" t="str">
        <f>IF(CLIENTES!A4="","",CLIENTES!A4)</f>
        <v>OverShark</v>
      </c>
      <c r="B1960" s="90" t="s">
        <v>331</v>
      </c>
      <c r="C1960" s="91" t="s">
        <v>328</v>
      </c>
      <c r="D1960" s="109" t="s">
        <v>364</v>
      </c>
      <c r="E1960" s="67" t="str">
        <f>COLORES!A13</f>
        <v>Camote</v>
      </c>
      <c r="F1960" s="67" t="str">
        <f>COLORES!B13</f>
        <v>CLARO</v>
      </c>
      <c r="G1960" s="90" t="s">
        <v>378</v>
      </c>
      <c r="H1960" s="100">
        <f>IFERROR(SUMIFS(MOVIMIENTOS_COMPLEMENTOS!$I$4:$I$803,MOVIMIENTOS_COMPLEMENTOS!$C$4:$C$803,A1960,MOVIMIENTOS_COMPLEMENTOS!$D$4:$D$803,B1960,MOVIMIENTOS_COMPLEMENTOS!$E$4:$E$803,C1960,MOVIMIENTOS_COMPLEMENTOS!$F$4:$F$803,D1960,MOVIMIENTOS_COMPLEMENTOS!$G$4:$G$803,E1960,MOVIMIENTOS_COMPLEMENTOS!$H$4:$H$803,G1960,MOVIMIENTOS_COMPLEMENTOS!$B$4:$B$803,"INGRESO")+SUMIFS(MOVIMIENTOS_COMPLEMENTOS!$I$4:$I$803,MOVIMIENTOS_COMPLEMENTOS!$C$4:$C$803,A1960,MOVIMIENTOS_COMPLEMENTOS!$D$4:$D$803,B1960,MOVIMIENTOS_COMPLEMENTOS!$E$4:$E$803,C1960,MOVIMIENTOS_COMPLEMENTOS!$F$4:$F$803,D1960,MOVIMIENTOS_COMPLEMENTOS!$G$4:$G$803,E1960,MOVIMIENTOS_COMPLEMENTOS!$H$4:$H$803,G1960,MOVIMIENTOS_COMPLEMENTOS!$B$4:$B$803,"DE CORTE")-SUMIFS(MOVIMIENTOS_COMPLEMENTOS!$I$4:$I$803,MOVIMIENTOS_COMPLEMENTOS!$C$4:$C$803,A1960,MOVIMIENTOS_COMPLEMENTOS!$D$4:$D$803,B1960,MOVIMIENTOS_COMPLEMENTOS!$E$4:$E$803,C1960,MOVIMIENTOS_COMPLEMENTOS!$F$4:$F$803,D1960,MOVIMIENTOS_COMPLEMENTOS!$G$4:$G$803,E1960,MOVIMIENTOS_COMPLEMENTOS!$H$4:$H$803,G1960,MOVIMIENTOS_COMPLEMENTOS!$B$4:$B$803,"SALIDA"),0)</f>
        <v>0</v>
      </c>
      <c r="I1960" s="102">
        <f t="array" ref="I1960">IFERROR(INDEX(PRECIOS_COMPLEMENTOS!$C$4:$F$17,MATCH(B1960&amp;"_"&amp;C1960,PRECIOS_COMPLEMENTOS!$H$4:$H$17,0),IF(OR(G1960="S",G1960="20cm"),1,IF(OR(G1960="M",G1960="25cm"),2,IF(OR(G1960="L",G1960="30cm"),3,IF(OR(G1960="XL",G1960="35cm"),4,0))))),0)</f>
        <v>0.6</v>
      </c>
      <c r="J1960" s="103">
        <f t="shared" si="1"/>
        <v>0</v>
      </c>
      <c r="K1960" s="104" t="str">
        <f>IF(H1960&lt;0,"ERROR",IF(H1960=0,"",IF(H1960&lt;CONFIG!$B$4,"CRÍTICO",IF(H1960&lt;CONFIG!$B$5,"BAJO","OK"))))</f>
        <v/>
      </c>
    </row>
    <row r="1961" ht="15.75" hidden="1" customHeight="1">
      <c r="A1961" s="90" t="str">
        <f>IF(CLIENTES!A4="","",CLIENTES!A4)</f>
        <v>OverShark</v>
      </c>
      <c r="B1961" s="90" t="s">
        <v>331</v>
      </c>
      <c r="C1961" s="91" t="s">
        <v>328</v>
      </c>
      <c r="D1961" s="109" t="s">
        <v>364</v>
      </c>
      <c r="E1961" s="67" t="str">
        <f>COLORES!A13</f>
        <v>Camote</v>
      </c>
      <c r="F1961" s="67" t="str">
        <f>COLORES!B13</f>
        <v>CLARO</v>
      </c>
      <c r="G1961" s="90" t="s">
        <v>376</v>
      </c>
      <c r="H1961" s="100">
        <f>IFERROR(SUMIFS(MOVIMIENTOS_COMPLEMENTOS!$I$4:$I$803,MOVIMIENTOS_COMPLEMENTOS!$C$4:$C$803,A1961,MOVIMIENTOS_COMPLEMENTOS!$D$4:$D$803,B1961,MOVIMIENTOS_COMPLEMENTOS!$E$4:$E$803,C1961,MOVIMIENTOS_COMPLEMENTOS!$F$4:$F$803,D1961,MOVIMIENTOS_COMPLEMENTOS!$G$4:$G$803,E1961,MOVIMIENTOS_COMPLEMENTOS!$H$4:$H$803,G1961,MOVIMIENTOS_COMPLEMENTOS!$B$4:$B$803,"INGRESO")+SUMIFS(MOVIMIENTOS_COMPLEMENTOS!$I$4:$I$803,MOVIMIENTOS_COMPLEMENTOS!$C$4:$C$803,A1961,MOVIMIENTOS_COMPLEMENTOS!$D$4:$D$803,B1961,MOVIMIENTOS_COMPLEMENTOS!$E$4:$E$803,C1961,MOVIMIENTOS_COMPLEMENTOS!$F$4:$F$803,D1961,MOVIMIENTOS_COMPLEMENTOS!$G$4:$G$803,E1961,MOVIMIENTOS_COMPLEMENTOS!$H$4:$H$803,G1961,MOVIMIENTOS_COMPLEMENTOS!$B$4:$B$803,"DE CORTE")-SUMIFS(MOVIMIENTOS_COMPLEMENTOS!$I$4:$I$803,MOVIMIENTOS_COMPLEMENTOS!$C$4:$C$803,A1961,MOVIMIENTOS_COMPLEMENTOS!$D$4:$D$803,B1961,MOVIMIENTOS_COMPLEMENTOS!$E$4:$E$803,C1961,MOVIMIENTOS_COMPLEMENTOS!$F$4:$F$803,D1961,MOVIMIENTOS_COMPLEMENTOS!$G$4:$G$803,E1961,MOVIMIENTOS_COMPLEMENTOS!$H$4:$H$803,G1961,MOVIMIENTOS_COMPLEMENTOS!$B$4:$B$803,"SALIDA"),0)</f>
        <v>0</v>
      </c>
      <c r="I1961" s="102">
        <f t="array" ref="I1961">IFERROR(INDEX(PRECIOS_COMPLEMENTOS!$C$4:$F$17,MATCH(B1961&amp;"_"&amp;C1961,PRECIOS_COMPLEMENTOS!$H$4:$H$17,0),IF(OR(G1961="S",G1961="20cm"),1,IF(OR(G1961="M",G1961="25cm"),2,IF(OR(G1961="L",G1961="30cm"),3,IF(OR(G1961="XL",G1961="35cm"),4,0))))),0)</f>
        <v>0.6</v>
      </c>
      <c r="J1961" s="103">
        <f t="shared" si="1"/>
        <v>0</v>
      </c>
      <c r="K1961" s="104" t="str">
        <f>IF(H1961&lt;0,"ERROR",IF(H1961=0,"",IF(H1961&lt;CONFIG!$B$4,"CRÍTICO",IF(H1961&lt;CONFIG!$B$5,"BAJO","OK"))))</f>
        <v/>
      </c>
    </row>
    <row r="1962" ht="15.75" hidden="1" customHeight="1">
      <c r="A1962" s="90" t="str">
        <f>IF(CLIENTES!A4="","",CLIENTES!A4)</f>
        <v>OverShark</v>
      </c>
      <c r="B1962" s="90" t="s">
        <v>331</v>
      </c>
      <c r="C1962" s="91" t="s">
        <v>328</v>
      </c>
      <c r="D1962" s="109" t="s">
        <v>364</v>
      </c>
      <c r="E1962" s="67" t="str">
        <f>COLORES!A13</f>
        <v>Camote</v>
      </c>
      <c r="F1962" s="67" t="str">
        <f>COLORES!B13</f>
        <v>CLARO</v>
      </c>
      <c r="G1962" s="90" t="s">
        <v>377</v>
      </c>
      <c r="H1962" s="100">
        <f>IFERROR(SUMIFS(MOVIMIENTOS_COMPLEMENTOS!$I$4:$I$803,MOVIMIENTOS_COMPLEMENTOS!$C$4:$C$803,A1962,MOVIMIENTOS_COMPLEMENTOS!$D$4:$D$803,B1962,MOVIMIENTOS_COMPLEMENTOS!$E$4:$E$803,C1962,MOVIMIENTOS_COMPLEMENTOS!$F$4:$F$803,D1962,MOVIMIENTOS_COMPLEMENTOS!$G$4:$G$803,E1962,MOVIMIENTOS_COMPLEMENTOS!$H$4:$H$803,G1962,MOVIMIENTOS_COMPLEMENTOS!$B$4:$B$803,"INGRESO")+SUMIFS(MOVIMIENTOS_COMPLEMENTOS!$I$4:$I$803,MOVIMIENTOS_COMPLEMENTOS!$C$4:$C$803,A1962,MOVIMIENTOS_COMPLEMENTOS!$D$4:$D$803,B1962,MOVIMIENTOS_COMPLEMENTOS!$E$4:$E$803,C1962,MOVIMIENTOS_COMPLEMENTOS!$F$4:$F$803,D1962,MOVIMIENTOS_COMPLEMENTOS!$G$4:$G$803,E1962,MOVIMIENTOS_COMPLEMENTOS!$H$4:$H$803,G1962,MOVIMIENTOS_COMPLEMENTOS!$B$4:$B$803,"DE CORTE")-SUMIFS(MOVIMIENTOS_COMPLEMENTOS!$I$4:$I$803,MOVIMIENTOS_COMPLEMENTOS!$C$4:$C$803,A1962,MOVIMIENTOS_COMPLEMENTOS!$D$4:$D$803,B1962,MOVIMIENTOS_COMPLEMENTOS!$E$4:$E$803,C1962,MOVIMIENTOS_COMPLEMENTOS!$F$4:$F$803,D1962,MOVIMIENTOS_COMPLEMENTOS!$G$4:$G$803,E1962,MOVIMIENTOS_COMPLEMENTOS!$H$4:$H$803,G1962,MOVIMIENTOS_COMPLEMENTOS!$B$4:$B$803,"SALIDA"),0)</f>
        <v>0</v>
      </c>
      <c r="I1962" s="102">
        <f t="array" ref="I1962">IFERROR(INDEX(PRECIOS_COMPLEMENTOS!$C$4:$F$17,MATCH(B1962&amp;"_"&amp;C1962,PRECIOS_COMPLEMENTOS!$H$4:$H$17,0),IF(OR(G1962="S",G1962="20cm"),1,IF(OR(G1962="M",G1962="25cm"),2,IF(OR(G1962="L",G1962="30cm"),3,IF(OR(G1962="XL",G1962="35cm"),4,0))))),0)</f>
        <v>0.6</v>
      </c>
      <c r="J1962" s="103">
        <f t="shared" si="1"/>
        <v>0</v>
      </c>
      <c r="K1962" s="104" t="str">
        <f>IF(H1962&lt;0,"ERROR",IF(H1962=0,"",IF(H1962&lt;CONFIG!$B$4,"CRÍTICO",IF(H1962&lt;CONFIG!$B$5,"BAJO","OK"))))</f>
        <v/>
      </c>
    </row>
    <row r="1963" ht="15.75" hidden="1" customHeight="1">
      <c r="A1963" s="90" t="str">
        <f>IF(CLIENTES!A4="","",CLIENTES!A4)</f>
        <v>OverShark</v>
      </c>
      <c r="B1963" s="90" t="s">
        <v>331</v>
      </c>
      <c r="C1963" s="91" t="s">
        <v>328</v>
      </c>
      <c r="D1963" s="109" t="s">
        <v>364</v>
      </c>
      <c r="E1963" s="67" t="str">
        <f>COLORES!A13</f>
        <v>Camote</v>
      </c>
      <c r="F1963" s="67" t="str">
        <f>COLORES!B13</f>
        <v>CLARO</v>
      </c>
      <c r="G1963" s="90" t="s">
        <v>379</v>
      </c>
      <c r="H1963" s="100">
        <f>IFERROR(SUMIFS(MOVIMIENTOS_COMPLEMENTOS!$I$4:$I$803,MOVIMIENTOS_COMPLEMENTOS!$C$4:$C$803,A1963,MOVIMIENTOS_COMPLEMENTOS!$D$4:$D$803,B1963,MOVIMIENTOS_COMPLEMENTOS!$E$4:$E$803,C1963,MOVIMIENTOS_COMPLEMENTOS!$F$4:$F$803,D1963,MOVIMIENTOS_COMPLEMENTOS!$G$4:$G$803,E1963,MOVIMIENTOS_COMPLEMENTOS!$H$4:$H$803,G1963,MOVIMIENTOS_COMPLEMENTOS!$B$4:$B$803,"INGRESO")+SUMIFS(MOVIMIENTOS_COMPLEMENTOS!$I$4:$I$803,MOVIMIENTOS_COMPLEMENTOS!$C$4:$C$803,A1963,MOVIMIENTOS_COMPLEMENTOS!$D$4:$D$803,B1963,MOVIMIENTOS_COMPLEMENTOS!$E$4:$E$803,C1963,MOVIMIENTOS_COMPLEMENTOS!$F$4:$F$803,D1963,MOVIMIENTOS_COMPLEMENTOS!$G$4:$G$803,E1963,MOVIMIENTOS_COMPLEMENTOS!$H$4:$H$803,G1963,MOVIMIENTOS_COMPLEMENTOS!$B$4:$B$803,"DE CORTE")-SUMIFS(MOVIMIENTOS_COMPLEMENTOS!$I$4:$I$803,MOVIMIENTOS_COMPLEMENTOS!$C$4:$C$803,A1963,MOVIMIENTOS_COMPLEMENTOS!$D$4:$D$803,B1963,MOVIMIENTOS_COMPLEMENTOS!$E$4:$E$803,C1963,MOVIMIENTOS_COMPLEMENTOS!$F$4:$F$803,D1963,MOVIMIENTOS_COMPLEMENTOS!$G$4:$G$803,E1963,MOVIMIENTOS_COMPLEMENTOS!$H$4:$H$803,G1963,MOVIMIENTOS_COMPLEMENTOS!$B$4:$B$803,"SALIDA"),0)</f>
        <v>0</v>
      </c>
      <c r="I1963" s="102">
        <f t="array" ref="I1963">IFERROR(INDEX(PRECIOS_COMPLEMENTOS!$C$4:$F$17,MATCH(B1963&amp;"_"&amp;C1963,PRECIOS_COMPLEMENTOS!$H$4:$H$17,0),IF(OR(G1963="S",G1963="20cm"),1,IF(OR(G1963="M",G1963="25cm"),2,IF(OR(G1963="L",G1963="30cm"),3,IF(OR(G1963="XL",G1963="35cm"),4,0))))),0)</f>
        <v>0.6</v>
      </c>
      <c r="J1963" s="103">
        <f t="shared" si="1"/>
        <v>0</v>
      </c>
      <c r="K1963" s="104" t="str">
        <f>IF(H1963&lt;0,"ERROR",IF(H1963=0,"",IF(H1963&lt;CONFIG!$B$4,"CRÍTICO",IF(H1963&lt;CONFIG!$B$5,"BAJO","OK"))))</f>
        <v/>
      </c>
    </row>
    <row r="1964" ht="15.75" hidden="1" customHeight="1">
      <c r="A1964" s="90" t="str">
        <f>IF(CLIENTES!A4="","",CLIENTES!A4)</f>
        <v>OverShark</v>
      </c>
      <c r="B1964" s="90" t="s">
        <v>331</v>
      </c>
      <c r="C1964" s="91" t="s">
        <v>328</v>
      </c>
      <c r="D1964" s="109" t="s">
        <v>364</v>
      </c>
      <c r="E1964" s="67" t="str">
        <f>COLORES!A14</f>
        <v>Denim</v>
      </c>
      <c r="F1964" s="67" t="str">
        <f>COLORES!B14</f>
        <v>CLARO</v>
      </c>
      <c r="G1964" s="90" t="s">
        <v>378</v>
      </c>
      <c r="H1964" s="100">
        <f>IFERROR(SUMIFS(MOVIMIENTOS_COMPLEMENTOS!$I$4:$I$803,MOVIMIENTOS_COMPLEMENTOS!$C$4:$C$803,A1964,MOVIMIENTOS_COMPLEMENTOS!$D$4:$D$803,B1964,MOVIMIENTOS_COMPLEMENTOS!$E$4:$E$803,C1964,MOVIMIENTOS_COMPLEMENTOS!$F$4:$F$803,D1964,MOVIMIENTOS_COMPLEMENTOS!$G$4:$G$803,E1964,MOVIMIENTOS_COMPLEMENTOS!$H$4:$H$803,G1964,MOVIMIENTOS_COMPLEMENTOS!$B$4:$B$803,"INGRESO")+SUMIFS(MOVIMIENTOS_COMPLEMENTOS!$I$4:$I$803,MOVIMIENTOS_COMPLEMENTOS!$C$4:$C$803,A1964,MOVIMIENTOS_COMPLEMENTOS!$D$4:$D$803,B1964,MOVIMIENTOS_COMPLEMENTOS!$E$4:$E$803,C1964,MOVIMIENTOS_COMPLEMENTOS!$F$4:$F$803,D1964,MOVIMIENTOS_COMPLEMENTOS!$G$4:$G$803,E1964,MOVIMIENTOS_COMPLEMENTOS!$H$4:$H$803,G1964,MOVIMIENTOS_COMPLEMENTOS!$B$4:$B$803,"DE CORTE")-SUMIFS(MOVIMIENTOS_COMPLEMENTOS!$I$4:$I$803,MOVIMIENTOS_COMPLEMENTOS!$C$4:$C$803,A1964,MOVIMIENTOS_COMPLEMENTOS!$D$4:$D$803,B1964,MOVIMIENTOS_COMPLEMENTOS!$E$4:$E$803,C1964,MOVIMIENTOS_COMPLEMENTOS!$F$4:$F$803,D1964,MOVIMIENTOS_COMPLEMENTOS!$G$4:$G$803,E1964,MOVIMIENTOS_COMPLEMENTOS!$H$4:$H$803,G1964,MOVIMIENTOS_COMPLEMENTOS!$B$4:$B$803,"SALIDA"),0)</f>
        <v>0</v>
      </c>
      <c r="I1964" s="102">
        <f t="array" ref="I1964">IFERROR(INDEX(PRECIOS_COMPLEMENTOS!$C$4:$F$17,MATCH(B1964&amp;"_"&amp;C1964,PRECIOS_COMPLEMENTOS!$H$4:$H$17,0),IF(OR(G1964="S",G1964="20cm"),1,IF(OR(G1964="M",G1964="25cm"),2,IF(OR(G1964="L",G1964="30cm"),3,IF(OR(G1964="XL",G1964="35cm"),4,0))))),0)</f>
        <v>0.6</v>
      </c>
      <c r="J1964" s="103">
        <f t="shared" si="1"/>
        <v>0</v>
      </c>
      <c r="K1964" s="104" t="str">
        <f>IF(H1964&lt;0,"ERROR",IF(H1964=0,"",IF(H1964&lt;CONFIG!$B$4,"CRÍTICO",IF(H1964&lt;CONFIG!$B$5,"BAJO","OK"))))</f>
        <v/>
      </c>
    </row>
    <row r="1965" ht="15.75" hidden="1" customHeight="1">
      <c r="A1965" s="90" t="str">
        <f>IF(CLIENTES!A4="","",CLIENTES!A4)</f>
        <v>OverShark</v>
      </c>
      <c r="B1965" s="90" t="s">
        <v>331</v>
      </c>
      <c r="C1965" s="91" t="s">
        <v>328</v>
      </c>
      <c r="D1965" s="109" t="s">
        <v>364</v>
      </c>
      <c r="E1965" s="67" t="str">
        <f>COLORES!A14</f>
        <v>Denim</v>
      </c>
      <c r="F1965" s="67" t="str">
        <f>COLORES!B14</f>
        <v>CLARO</v>
      </c>
      <c r="G1965" s="90" t="s">
        <v>376</v>
      </c>
      <c r="H1965" s="100">
        <f>IFERROR(SUMIFS(MOVIMIENTOS_COMPLEMENTOS!$I$4:$I$803,MOVIMIENTOS_COMPLEMENTOS!$C$4:$C$803,A1965,MOVIMIENTOS_COMPLEMENTOS!$D$4:$D$803,B1965,MOVIMIENTOS_COMPLEMENTOS!$E$4:$E$803,C1965,MOVIMIENTOS_COMPLEMENTOS!$F$4:$F$803,D1965,MOVIMIENTOS_COMPLEMENTOS!$G$4:$G$803,E1965,MOVIMIENTOS_COMPLEMENTOS!$H$4:$H$803,G1965,MOVIMIENTOS_COMPLEMENTOS!$B$4:$B$803,"INGRESO")+SUMIFS(MOVIMIENTOS_COMPLEMENTOS!$I$4:$I$803,MOVIMIENTOS_COMPLEMENTOS!$C$4:$C$803,A1965,MOVIMIENTOS_COMPLEMENTOS!$D$4:$D$803,B1965,MOVIMIENTOS_COMPLEMENTOS!$E$4:$E$803,C1965,MOVIMIENTOS_COMPLEMENTOS!$F$4:$F$803,D1965,MOVIMIENTOS_COMPLEMENTOS!$G$4:$G$803,E1965,MOVIMIENTOS_COMPLEMENTOS!$H$4:$H$803,G1965,MOVIMIENTOS_COMPLEMENTOS!$B$4:$B$803,"DE CORTE")-SUMIFS(MOVIMIENTOS_COMPLEMENTOS!$I$4:$I$803,MOVIMIENTOS_COMPLEMENTOS!$C$4:$C$803,A1965,MOVIMIENTOS_COMPLEMENTOS!$D$4:$D$803,B1965,MOVIMIENTOS_COMPLEMENTOS!$E$4:$E$803,C1965,MOVIMIENTOS_COMPLEMENTOS!$F$4:$F$803,D1965,MOVIMIENTOS_COMPLEMENTOS!$G$4:$G$803,E1965,MOVIMIENTOS_COMPLEMENTOS!$H$4:$H$803,G1965,MOVIMIENTOS_COMPLEMENTOS!$B$4:$B$803,"SALIDA"),0)</f>
        <v>0</v>
      </c>
      <c r="I1965" s="102">
        <f t="array" ref="I1965">IFERROR(INDEX(PRECIOS_COMPLEMENTOS!$C$4:$F$17,MATCH(B1965&amp;"_"&amp;C1965,PRECIOS_COMPLEMENTOS!$H$4:$H$17,0),IF(OR(G1965="S",G1965="20cm"),1,IF(OR(G1965="M",G1965="25cm"),2,IF(OR(G1965="L",G1965="30cm"),3,IF(OR(G1965="XL",G1965="35cm"),4,0))))),0)</f>
        <v>0.6</v>
      </c>
      <c r="J1965" s="103">
        <f t="shared" si="1"/>
        <v>0</v>
      </c>
      <c r="K1965" s="104" t="str">
        <f>IF(H1965&lt;0,"ERROR",IF(H1965=0,"",IF(H1965&lt;CONFIG!$B$4,"CRÍTICO",IF(H1965&lt;CONFIG!$B$5,"BAJO","OK"))))</f>
        <v/>
      </c>
    </row>
    <row r="1966" ht="15.75" hidden="1" customHeight="1">
      <c r="A1966" s="90" t="str">
        <f>IF(CLIENTES!A4="","",CLIENTES!A4)</f>
        <v>OverShark</v>
      </c>
      <c r="B1966" s="90" t="s">
        <v>331</v>
      </c>
      <c r="C1966" s="91" t="s">
        <v>328</v>
      </c>
      <c r="D1966" s="109" t="s">
        <v>364</v>
      </c>
      <c r="E1966" s="67" t="str">
        <f>COLORES!A14</f>
        <v>Denim</v>
      </c>
      <c r="F1966" s="67" t="str">
        <f>COLORES!B14</f>
        <v>CLARO</v>
      </c>
      <c r="G1966" s="90" t="s">
        <v>377</v>
      </c>
      <c r="H1966" s="100">
        <f>IFERROR(SUMIFS(MOVIMIENTOS_COMPLEMENTOS!$I$4:$I$803,MOVIMIENTOS_COMPLEMENTOS!$C$4:$C$803,A1966,MOVIMIENTOS_COMPLEMENTOS!$D$4:$D$803,B1966,MOVIMIENTOS_COMPLEMENTOS!$E$4:$E$803,C1966,MOVIMIENTOS_COMPLEMENTOS!$F$4:$F$803,D1966,MOVIMIENTOS_COMPLEMENTOS!$G$4:$G$803,E1966,MOVIMIENTOS_COMPLEMENTOS!$H$4:$H$803,G1966,MOVIMIENTOS_COMPLEMENTOS!$B$4:$B$803,"INGRESO")+SUMIFS(MOVIMIENTOS_COMPLEMENTOS!$I$4:$I$803,MOVIMIENTOS_COMPLEMENTOS!$C$4:$C$803,A1966,MOVIMIENTOS_COMPLEMENTOS!$D$4:$D$803,B1966,MOVIMIENTOS_COMPLEMENTOS!$E$4:$E$803,C1966,MOVIMIENTOS_COMPLEMENTOS!$F$4:$F$803,D1966,MOVIMIENTOS_COMPLEMENTOS!$G$4:$G$803,E1966,MOVIMIENTOS_COMPLEMENTOS!$H$4:$H$803,G1966,MOVIMIENTOS_COMPLEMENTOS!$B$4:$B$803,"DE CORTE")-SUMIFS(MOVIMIENTOS_COMPLEMENTOS!$I$4:$I$803,MOVIMIENTOS_COMPLEMENTOS!$C$4:$C$803,A1966,MOVIMIENTOS_COMPLEMENTOS!$D$4:$D$803,B1966,MOVIMIENTOS_COMPLEMENTOS!$E$4:$E$803,C1966,MOVIMIENTOS_COMPLEMENTOS!$F$4:$F$803,D1966,MOVIMIENTOS_COMPLEMENTOS!$G$4:$G$803,E1966,MOVIMIENTOS_COMPLEMENTOS!$H$4:$H$803,G1966,MOVIMIENTOS_COMPLEMENTOS!$B$4:$B$803,"SALIDA"),0)</f>
        <v>0</v>
      </c>
      <c r="I1966" s="102">
        <f t="array" ref="I1966">IFERROR(INDEX(PRECIOS_COMPLEMENTOS!$C$4:$F$17,MATCH(B1966&amp;"_"&amp;C1966,PRECIOS_COMPLEMENTOS!$H$4:$H$17,0),IF(OR(G1966="S",G1966="20cm"),1,IF(OR(G1966="M",G1966="25cm"),2,IF(OR(G1966="L",G1966="30cm"),3,IF(OR(G1966="XL",G1966="35cm"),4,0))))),0)</f>
        <v>0.6</v>
      </c>
      <c r="J1966" s="103">
        <f t="shared" si="1"/>
        <v>0</v>
      </c>
      <c r="K1966" s="104" t="str">
        <f>IF(H1966&lt;0,"ERROR",IF(H1966=0,"",IF(H1966&lt;CONFIG!$B$4,"CRÍTICO",IF(H1966&lt;CONFIG!$B$5,"BAJO","OK"))))</f>
        <v/>
      </c>
    </row>
    <row r="1967" ht="15.75" hidden="1" customHeight="1">
      <c r="A1967" s="90" t="str">
        <f>IF(CLIENTES!A4="","",CLIENTES!A4)</f>
        <v>OverShark</v>
      </c>
      <c r="B1967" s="90" t="s">
        <v>331</v>
      </c>
      <c r="C1967" s="91" t="s">
        <v>328</v>
      </c>
      <c r="D1967" s="109" t="s">
        <v>364</v>
      </c>
      <c r="E1967" s="67" t="str">
        <f>COLORES!A14</f>
        <v>Denim</v>
      </c>
      <c r="F1967" s="67" t="str">
        <f>COLORES!B14</f>
        <v>CLARO</v>
      </c>
      <c r="G1967" s="90" t="s">
        <v>379</v>
      </c>
      <c r="H1967" s="100">
        <f>IFERROR(SUMIFS(MOVIMIENTOS_COMPLEMENTOS!$I$4:$I$803,MOVIMIENTOS_COMPLEMENTOS!$C$4:$C$803,A1967,MOVIMIENTOS_COMPLEMENTOS!$D$4:$D$803,B1967,MOVIMIENTOS_COMPLEMENTOS!$E$4:$E$803,C1967,MOVIMIENTOS_COMPLEMENTOS!$F$4:$F$803,D1967,MOVIMIENTOS_COMPLEMENTOS!$G$4:$G$803,E1967,MOVIMIENTOS_COMPLEMENTOS!$H$4:$H$803,G1967,MOVIMIENTOS_COMPLEMENTOS!$B$4:$B$803,"INGRESO")+SUMIFS(MOVIMIENTOS_COMPLEMENTOS!$I$4:$I$803,MOVIMIENTOS_COMPLEMENTOS!$C$4:$C$803,A1967,MOVIMIENTOS_COMPLEMENTOS!$D$4:$D$803,B1967,MOVIMIENTOS_COMPLEMENTOS!$E$4:$E$803,C1967,MOVIMIENTOS_COMPLEMENTOS!$F$4:$F$803,D1967,MOVIMIENTOS_COMPLEMENTOS!$G$4:$G$803,E1967,MOVIMIENTOS_COMPLEMENTOS!$H$4:$H$803,G1967,MOVIMIENTOS_COMPLEMENTOS!$B$4:$B$803,"DE CORTE")-SUMIFS(MOVIMIENTOS_COMPLEMENTOS!$I$4:$I$803,MOVIMIENTOS_COMPLEMENTOS!$C$4:$C$803,A1967,MOVIMIENTOS_COMPLEMENTOS!$D$4:$D$803,B1967,MOVIMIENTOS_COMPLEMENTOS!$E$4:$E$803,C1967,MOVIMIENTOS_COMPLEMENTOS!$F$4:$F$803,D1967,MOVIMIENTOS_COMPLEMENTOS!$G$4:$G$803,E1967,MOVIMIENTOS_COMPLEMENTOS!$H$4:$H$803,G1967,MOVIMIENTOS_COMPLEMENTOS!$B$4:$B$803,"SALIDA"),0)</f>
        <v>0</v>
      </c>
      <c r="I1967" s="102">
        <f t="array" ref="I1967">IFERROR(INDEX(PRECIOS_COMPLEMENTOS!$C$4:$F$17,MATCH(B1967&amp;"_"&amp;C1967,PRECIOS_COMPLEMENTOS!$H$4:$H$17,0),IF(OR(G1967="S",G1967="20cm"),1,IF(OR(G1967="M",G1967="25cm"),2,IF(OR(G1967="L",G1967="30cm"),3,IF(OR(G1967="XL",G1967="35cm"),4,0))))),0)</f>
        <v>0.6</v>
      </c>
      <c r="J1967" s="103">
        <f t="shared" si="1"/>
        <v>0</v>
      </c>
      <c r="K1967" s="104" t="str">
        <f>IF(H1967&lt;0,"ERROR",IF(H1967=0,"",IF(H1967&lt;CONFIG!$B$4,"CRÍTICO",IF(H1967&lt;CONFIG!$B$5,"BAJO","OK"))))</f>
        <v/>
      </c>
    </row>
    <row r="1968" ht="15.75" hidden="1" customHeight="1">
      <c r="A1968" s="90" t="str">
        <f>IF(CLIENTES!A4="","",CLIENTES!A4)</f>
        <v>OverShark</v>
      </c>
      <c r="B1968" s="90" t="s">
        <v>331</v>
      </c>
      <c r="C1968" s="91" t="s">
        <v>328</v>
      </c>
      <c r="D1968" s="109" t="s">
        <v>364</v>
      </c>
      <c r="E1968" s="67" t="str">
        <f>COLORES!A15</f>
        <v>Plomo</v>
      </c>
      <c r="F1968" s="67" t="str">
        <f>COLORES!B15</f>
        <v>OSCURO</v>
      </c>
      <c r="G1968" s="90" t="s">
        <v>378</v>
      </c>
      <c r="H1968" s="100">
        <f>IFERROR(SUMIFS(MOVIMIENTOS_COMPLEMENTOS!$I$4:$I$803,MOVIMIENTOS_COMPLEMENTOS!$C$4:$C$803,A1968,MOVIMIENTOS_COMPLEMENTOS!$D$4:$D$803,B1968,MOVIMIENTOS_COMPLEMENTOS!$E$4:$E$803,C1968,MOVIMIENTOS_COMPLEMENTOS!$F$4:$F$803,D1968,MOVIMIENTOS_COMPLEMENTOS!$G$4:$G$803,E1968,MOVIMIENTOS_COMPLEMENTOS!$H$4:$H$803,G1968,MOVIMIENTOS_COMPLEMENTOS!$B$4:$B$803,"INGRESO")+SUMIFS(MOVIMIENTOS_COMPLEMENTOS!$I$4:$I$803,MOVIMIENTOS_COMPLEMENTOS!$C$4:$C$803,A1968,MOVIMIENTOS_COMPLEMENTOS!$D$4:$D$803,B1968,MOVIMIENTOS_COMPLEMENTOS!$E$4:$E$803,C1968,MOVIMIENTOS_COMPLEMENTOS!$F$4:$F$803,D1968,MOVIMIENTOS_COMPLEMENTOS!$G$4:$G$803,E1968,MOVIMIENTOS_COMPLEMENTOS!$H$4:$H$803,G1968,MOVIMIENTOS_COMPLEMENTOS!$B$4:$B$803,"DE CORTE")-SUMIFS(MOVIMIENTOS_COMPLEMENTOS!$I$4:$I$803,MOVIMIENTOS_COMPLEMENTOS!$C$4:$C$803,A1968,MOVIMIENTOS_COMPLEMENTOS!$D$4:$D$803,B1968,MOVIMIENTOS_COMPLEMENTOS!$E$4:$E$803,C1968,MOVIMIENTOS_COMPLEMENTOS!$F$4:$F$803,D1968,MOVIMIENTOS_COMPLEMENTOS!$G$4:$G$803,E1968,MOVIMIENTOS_COMPLEMENTOS!$H$4:$H$803,G1968,MOVIMIENTOS_COMPLEMENTOS!$B$4:$B$803,"SALIDA"),0)</f>
        <v>0</v>
      </c>
      <c r="I1968" s="102">
        <f t="array" ref="I1968">IFERROR(INDEX(PRECIOS_COMPLEMENTOS!$C$4:$F$17,MATCH(B1968&amp;"_"&amp;C1968,PRECIOS_COMPLEMENTOS!$H$4:$H$17,0),IF(OR(G1968="S",G1968="20cm"),1,IF(OR(G1968="M",G1968="25cm"),2,IF(OR(G1968="L",G1968="30cm"),3,IF(OR(G1968="XL",G1968="35cm"),4,0))))),0)</f>
        <v>0.6</v>
      </c>
      <c r="J1968" s="103">
        <f t="shared" si="1"/>
        <v>0</v>
      </c>
      <c r="K1968" s="104" t="str">
        <f>IF(H1968&lt;0,"ERROR",IF(H1968=0,"",IF(H1968&lt;CONFIG!$B$4,"CRÍTICO",IF(H1968&lt;CONFIG!$B$5,"BAJO","OK"))))</f>
        <v/>
      </c>
    </row>
    <row r="1969" ht="15.75" hidden="1" customHeight="1">
      <c r="A1969" s="90" t="str">
        <f>IF(CLIENTES!A4="","",CLIENTES!A4)</f>
        <v>OverShark</v>
      </c>
      <c r="B1969" s="90" t="s">
        <v>331</v>
      </c>
      <c r="C1969" s="91" t="s">
        <v>328</v>
      </c>
      <c r="D1969" s="109" t="s">
        <v>364</v>
      </c>
      <c r="E1969" s="67" t="str">
        <f>COLORES!A15</f>
        <v>Plomo</v>
      </c>
      <c r="F1969" s="67" t="str">
        <f>COLORES!B15</f>
        <v>OSCURO</v>
      </c>
      <c r="G1969" s="90" t="s">
        <v>376</v>
      </c>
      <c r="H1969" s="100">
        <f>IFERROR(SUMIFS(MOVIMIENTOS_COMPLEMENTOS!$I$4:$I$803,MOVIMIENTOS_COMPLEMENTOS!$C$4:$C$803,A1969,MOVIMIENTOS_COMPLEMENTOS!$D$4:$D$803,B1969,MOVIMIENTOS_COMPLEMENTOS!$E$4:$E$803,C1969,MOVIMIENTOS_COMPLEMENTOS!$F$4:$F$803,D1969,MOVIMIENTOS_COMPLEMENTOS!$G$4:$G$803,E1969,MOVIMIENTOS_COMPLEMENTOS!$H$4:$H$803,G1969,MOVIMIENTOS_COMPLEMENTOS!$B$4:$B$803,"INGRESO")+SUMIFS(MOVIMIENTOS_COMPLEMENTOS!$I$4:$I$803,MOVIMIENTOS_COMPLEMENTOS!$C$4:$C$803,A1969,MOVIMIENTOS_COMPLEMENTOS!$D$4:$D$803,B1969,MOVIMIENTOS_COMPLEMENTOS!$E$4:$E$803,C1969,MOVIMIENTOS_COMPLEMENTOS!$F$4:$F$803,D1969,MOVIMIENTOS_COMPLEMENTOS!$G$4:$G$803,E1969,MOVIMIENTOS_COMPLEMENTOS!$H$4:$H$803,G1969,MOVIMIENTOS_COMPLEMENTOS!$B$4:$B$803,"DE CORTE")-SUMIFS(MOVIMIENTOS_COMPLEMENTOS!$I$4:$I$803,MOVIMIENTOS_COMPLEMENTOS!$C$4:$C$803,A1969,MOVIMIENTOS_COMPLEMENTOS!$D$4:$D$803,B1969,MOVIMIENTOS_COMPLEMENTOS!$E$4:$E$803,C1969,MOVIMIENTOS_COMPLEMENTOS!$F$4:$F$803,D1969,MOVIMIENTOS_COMPLEMENTOS!$G$4:$G$803,E1969,MOVIMIENTOS_COMPLEMENTOS!$H$4:$H$803,G1969,MOVIMIENTOS_COMPLEMENTOS!$B$4:$B$803,"SALIDA"),0)</f>
        <v>0</v>
      </c>
      <c r="I1969" s="102">
        <f t="array" ref="I1969">IFERROR(INDEX(PRECIOS_COMPLEMENTOS!$C$4:$F$17,MATCH(B1969&amp;"_"&amp;C1969,PRECIOS_COMPLEMENTOS!$H$4:$H$17,0),IF(OR(G1969="S",G1969="20cm"),1,IF(OR(G1969="M",G1969="25cm"),2,IF(OR(G1969="L",G1969="30cm"),3,IF(OR(G1969="XL",G1969="35cm"),4,0))))),0)</f>
        <v>0.6</v>
      </c>
      <c r="J1969" s="103">
        <f t="shared" si="1"/>
        <v>0</v>
      </c>
      <c r="K1969" s="104" t="str">
        <f>IF(H1969&lt;0,"ERROR",IF(H1969=0,"",IF(H1969&lt;CONFIG!$B$4,"CRÍTICO",IF(H1969&lt;CONFIG!$B$5,"BAJO","OK"))))</f>
        <v/>
      </c>
    </row>
    <row r="1970" ht="15.75" hidden="1" customHeight="1">
      <c r="A1970" s="90" t="str">
        <f>IF(CLIENTES!A4="","",CLIENTES!A4)</f>
        <v>OverShark</v>
      </c>
      <c r="B1970" s="90" t="s">
        <v>331</v>
      </c>
      <c r="C1970" s="91" t="s">
        <v>328</v>
      </c>
      <c r="D1970" s="109" t="s">
        <v>364</v>
      </c>
      <c r="E1970" s="67" t="str">
        <f>COLORES!A15</f>
        <v>Plomo</v>
      </c>
      <c r="F1970" s="67" t="str">
        <f>COLORES!B15</f>
        <v>OSCURO</v>
      </c>
      <c r="G1970" s="90" t="s">
        <v>377</v>
      </c>
      <c r="H1970" s="100">
        <f>IFERROR(SUMIFS(MOVIMIENTOS_COMPLEMENTOS!$I$4:$I$803,MOVIMIENTOS_COMPLEMENTOS!$C$4:$C$803,A1970,MOVIMIENTOS_COMPLEMENTOS!$D$4:$D$803,B1970,MOVIMIENTOS_COMPLEMENTOS!$E$4:$E$803,C1970,MOVIMIENTOS_COMPLEMENTOS!$F$4:$F$803,D1970,MOVIMIENTOS_COMPLEMENTOS!$G$4:$G$803,E1970,MOVIMIENTOS_COMPLEMENTOS!$H$4:$H$803,G1970,MOVIMIENTOS_COMPLEMENTOS!$B$4:$B$803,"INGRESO")+SUMIFS(MOVIMIENTOS_COMPLEMENTOS!$I$4:$I$803,MOVIMIENTOS_COMPLEMENTOS!$C$4:$C$803,A1970,MOVIMIENTOS_COMPLEMENTOS!$D$4:$D$803,B1970,MOVIMIENTOS_COMPLEMENTOS!$E$4:$E$803,C1970,MOVIMIENTOS_COMPLEMENTOS!$F$4:$F$803,D1970,MOVIMIENTOS_COMPLEMENTOS!$G$4:$G$803,E1970,MOVIMIENTOS_COMPLEMENTOS!$H$4:$H$803,G1970,MOVIMIENTOS_COMPLEMENTOS!$B$4:$B$803,"DE CORTE")-SUMIFS(MOVIMIENTOS_COMPLEMENTOS!$I$4:$I$803,MOVIMIENTOS_COMPLEMENTOS!$C$4:$C$803,A1970,MOVIMIENTOS_COMPLEMENTOS!$D$4:$D$803,B1970,MOVIMIENTOS_COMPLEMENTOS!$E$4:$E$803,C1970,MOVIMIENTOS_COMPLEMENTOS!$F$4:$F$803,D1970,MOVIMIENTOS_COMPLEMENTOS!$G$4:$G$803,E1970,MOVIMIENTOS_COMPLEMENTOS!$H$4:$H$803,G1970,MOVIMIENTOS_COMPLEMENTOS!$B$4:$B$803,"SALIDA"),0)</f>
        <v>0</v>
      </c>
      <c r="I1970" s="102">
        <f t="array" ref="I1970">IFERROR(INDEX(PRECIOS_COMPLEMENTOS!$C$4:$F$17,MATCH(B1970&amp;"_"&amp;C1970,PRECIOS_COMPLEMENTOS!$H$4:$H$17,0),IF(OR(G1970="S",G1970="20cm"),1,IF(OR(G1970="M",G1970="25cm"),2,IF(OR(G1970="L",G1970="30cm"),3,IF(OR(G1970="XL",G1970="35cm"),4,0))))),0)</f>
        <v>0.6</v>
      </c>
      <c r="J1970" s="103">
        <f t="shared" si="1"/>
        <v>0</v>
      </c>
      <c r="K1970" s="104" t="str">
        <f>IF(H1970&lt;0,"ERROR",IF(H1970=0,"",IF(H1970&lt;CONFIG!$B$4,"CRÍTICO",IF(H1970&lt;CONFIG!$B$5,"BAJO","OK"))))</f>
        <v/>
      </c>
    </row>
    <row r="1971" ht="15.75" hidden="1" customHeight="1">
      <c r="A1971" s="90" t="str">
        <f>IF(CLIENTES!A4="","",CLIENTES!A4)</f>
        <v>OverShark</v>
      </c>
      <c r="B1971" s="90" t="s">
        <v>331</v>
      </c>
      <c r="C1971" s="91" t="s">
        <v>328</v>
      </c>
      <c r="D1971" s="109" t="s">
        <v>364</v>
      </c>
      <c r="E1971" s="67" t="str">
        <f>COLORES!A15</f>
        <v>Plomo</v>
      </c>
      <c r="F1971" s="67" t="str">
        <f>COLORES!B15</f>
        <v>OSCURO</v>
      </c>
      <c r="G1971" s="90" t="s">
        <v>379</v>
      </c>
      <c r="H1971" s="100">
        <f>IFERROR(SUMIFS(MOVIMIENTOS_COMPLEMENTOS!$I$4:$I$803,MOVIMIENTOS_COMPLEMENTOS!$C$4:$C$803,A1971,MOVIMIENTOS_COMPLEMENTOS!$D$4:$D$803,B1971,MOVIMIENTOS_COMPLEMENTOS!$E$4:$E$803,C1971,MOVIMIENTOS_COMPLEMENTOS!$F$4:$F$803,D1971,MOVIMIENTOS_COMPLEMENTOS!$G$4:$G$803,E1971,MOVIMIENTOS_COMPLEMENTOS!$H$4:$H$803,G1971,MOVIMIENTOS_COMPLEMENTOS!$B$4:$B$803,"INGRESO")+SUMIFS(MOVIMIENTOS_COMPLEMENTOS!$I$4:$I$803,MOVIMIENTOS_COMPLEMENTOS!$C$4:$C$803,A1971,MOVIMIENTOS_COMPLEMENTOS!$D$4:$D$803,B1971,MOVIMIENTOS_COMPLEMENTOS!$E$4:$E$803,C1971,MOVIMIENTOS_COMPLEMENTOS!$F$4:$F$803,D1971,MOVIMIENTOS_COMPLEMENTOS!$G$4:$G$803,E1971,MOVIMIENTOS_COMPLEMENTOS!$H$4:$H$803,G1971,MOVIMIENTOS_COMPLEMENTOS!$B$4:$B$803,"DE CORTE")-SUMIFS(MOVIMIENTOS_COMPLEMENTOS!$I$4:$I$803,MOVIMIENTOS_COMPLEMENTOS!$C$4:$C$803,A1971,MOVIMIENTOS_COMPLEMENTOS!$D$4:$D$803,B1971,MOVIMIENTOS_COMPLEMENTOS!$E$4:$E$803,C1971,MOVIMIENTOS_COMPLEMENTOS!$F$4:$F$803,D1971,MOVIMIENTOS_COMPLEMENTOS!$G$4:$G$803,E1971,MOVIMIENTOS_COMPLEMENTOS!$H$4:$H$803,G1971,MOVIMIENTOS_COMPLEMENTOS!$B$4:$B$803,"SALIDA"),0)</f>
        <v>0</v>
      </c>
      <c r="I1971" s="102">
        <f t="array" ref="I1971">IFERROR(INDEX(PRECIOS_COMPLEMENTOS!$C$4:$F$17,MATCH(B1971&amp;"_"&amp;C1971,PRECIOS_COMPLEMENTOS!$H$4:$H$17,0),IF(OR(G1971="S",G1971="20cm"),1,IF(OR(G1971="M",G1971="25cm"),2,IF(OR(G1971="L",G1971="30cm"),3,IF(OR(G1971="XL",G1971="35cm"),4,0))))),0)</f>
        <v>0.6</v>
      </c>
      <c r="J1971" s="103">
        <f t="shared" si="1"/>
        <v>0</v>
      </c>
      <c r="K1971" s="104" t="str">
        <f>IF(H1971&lt;0,"ERROR",IF(H1971=0,"",IF(H1971&lt;CONFIG!$B$4,"CRÍTICO",IF(H1971&lt;CONFIG!$B$5,"BAJO","OK"))))</f>
        <v/>
      </c>
    </row>
    <row r="1972" ht="15.75" hidden="1" customHeight="1">
      <c r="A1972" s="90" t="str">
        <f>IF(CLIENTES!A4="","",CLIENTES!A4)</f>
        <v>OverShark</v>
      </c>
      <c r="B1972" s="90" t="s">
        <v>331</v>
      </c>
      <c r="C1972" s="91" t="s">
        <v>328</v>
      </c>
      <c r="D1972" s="109" t="s">
        <v>364</v>
      </c>
      <c r="E1972" s="67" t="str">
        <f>COLORES!A16</f>
        <v>Topo</v>
      </c>
      <c r="F1972" s="67" t="str">
        <f>COLORES!B16</f>
        <v>CLARO</v>
      </c>
      <c r="G1972" s="90" t="s">
        <v>378</v>
      </c>
      <c r="H1972" s="100">
        <f>IFERROR(SUMIFS(MOVIMIENTOS_COMPLEMENTOS!$I$4:$I$803,MOVIMIENTOS_COMPLEMENTOS!$C$4:$C$803,A1972,MOVIMIENTOS_COMPLEMENTOS!$D$4:$D$803,B1972,MOVIMIENTOS_COMPLEMENTOS!$E$4:$E$803,C1972,MOVIMIENTOS_COMPLEMENTOS!$F$4:$F$803,D1972,MOVIMIENTOS_COMPLEMENTOS!$G$4:$G$803,E1972,MOVIMIENTOS_COMPLEMENTOS!$H$4:$H$803,G1972,MOVIMIENTOS_COMPLEMENTOS!$B$4:$B$803,"INGRESO")+SUMIFS(MOVIMIENTOS_COMPLEMENTOS!$I$4:$I$803,MOVIMIENTOS_COMPLEMENTOS!$C$4:$C$803,A1972,MOVIMIENTOS_COMPLEMENTOS!$D$4:$D$803,B1972,MOVIMIENTOS_COMPLEMENTOS!$E$4:$E$803,C1972,MOVIMIENTOS_COMPLEMENTOS!$F$4:$F$803,D1972,MOVIMIENTOS_COMPLEMENTOS!$G$4:$G$803,E1972,MOVIMIENTOS_COMPLEMENTOS!$H$4:$H$803,G1972,MOVIMIENTOS_COMPLEMENTOS!$B$4:$B$803,"DE CORTE")-SUMIFS(MOVIMIENTOS_COMPLEMENTOS!$I$4:$I$803,MOVIMIENTOS_COMPLEMENTOS!$C$4:$C$803,A1972,MOVIMIENTOS_COMPLEMENTOS!$D$4:$D$803,B1972,MOVIMIENTOS_COMPLEMENTOS!$E$4:$E$803,C1972,MOVIMIENTOS_COMPLEMENTOS!$F$4:$F$803,D1972,MOVIMIENTOS_COMPLEMENTOS!$G$4:$G$803,E1972,MOVIMIENTOS_COMPLEMENTOS!$H$4:$H$803,G1972,MOVIMIENTOS_COMPLEMENTOS!$B$4:$B$803,"SALIDA"),0)</f>
        <v>0</v>
      </c>
      <c r="I1972" s="102">
        <f t="array" ref="I1972">IFERROR(INDEX(PRECIOS_COMPLEMENTOS!$C$4:$F$17,MATCH(B1972&amp;"_"&amp;C1972,PRECIOS_COMPLEMENTOS!$H$4:$H$17,0),IF(OR(G1972="S",G1972="20cm"),1,IF(OR(G1972="M",G1972="25cm"),2,IF(OR(G1972="L",G1972="30cm"),3,IF(OR(G1972="XL",G1972="35cm"),4,0))))),0)</f>
        <v>0.6</v>
      </c>
      <c r="J1972" s="103">
        <f t="shared" si="1"/>
        <v>0</v>
      </c>
      <c r="K1972" s="104" t="str">
        <f>IF(H1972&lt;0,"ERROR",IF(H1972=0,"",IF(H1972&lt;CONFIG!$B$4,"CRÍTICO",IF(H1972&lt;CONFIG!$B$5,"BAJO","OK"))))</f>
        <v/>
      </c>
    </row>
    <row r="1973" ht="15.75" hidden="1" customHeight="1">
      <c r="A1973" s="90" t="str">
        <f>IF(CLIENTES!A4="","",CLIENTES!A4)</f>
        <v>OverShark</v>
      </c>
      <c r="B1973" s="90" t="s">
        <v>331</v>
      </c>
      <c r="C1973" s="91" t="s">
        <v>328</v>
      </c>
      <c r="D1973" s="109" t="s">
        <v>364</v>
      </c>
      <c r="E1973" s="67" t="str">
        <f>COLORES!A16</f>
        <v>Topo</v>
      </c>
      <c r="F1973" s="67" t="str">
        <f>COLORES!B16</f>
        <v>CLARO</v>
      </c>
      <c r="G1973" s="90" t="s">
        <v>376</v>
      </c>
      <c r="H1973" s="100">
        <f>IFERROR(SUMIFS(MOVIMIENTOS_COMPLEMENTOS!$I$4:$I$803,MOVIMIENTOS_COMPLEMENTOS!$C$4:$C$803,A1973,MOVIMIENTOS_COMPLEMENTOS!$D$4:$D$803,B1973,MOVIMIENTOS_COMPLEMENTOS!$E$4:$E$803,C1973,MOVIMIENTOS_COMPLEMENTOS!$F$4:$F$803,D1973,MOVIMIENTOS_COMPLEMENTOS!$G$4:$G$803,E1973,MOVIMIENTOS_COMPLEMENTOS!$H$4:$H$803,G1973,MOVIMIENTOS_COMPLEMENTOS!$B$4:$B$803,"INGRESO")+SUMIFS(MOVIMIENTOS_COMPLEMENTOS!$I$4:$I$803,MOVIMIENTOS_COMPLEMENTOS!$C$4:$C$803,A1973,MOVIMIENTOS_COMPLEMENTOS!$D$4:$D$803,B1973,MOVIMIENTOS_COMPLEMENTOS!$E$4:$E$803,C1973,MOVIMIENTOS_COMPLEMENTOS!$F$4:$F$803,D1973,MOVIMIENTOS_COMPLEMENTOS!$G$4:$G$803,E1973,MOVIMIENTOS_COMPLEMENTOS!$H$4:$H$803,G1973,MOVIMIENTOS_COMPLEMENTOS!$B$4:$B$803,"DE CORTE")-SUMIFS(MOVIMIENTOS_COMPLEMENTOS!$I$4:$I$803,MOVIMIENTOS_COMPLEMENTOS!$C$4:$C$803,A1973,MOVIMIENTOS_COMPLEMENTOS!$D$4:$D$803,B1973,MOVIMIENTOS_COMPLEMENTOS!$E$4:$E$803,C1973,MOVIMIENTOS_COMPLEMENTOS!$F$4:$F$803,D1973,MOVIMIENTOS_COMPLEMENTOS!$G$4:$G$803,E1973,MOVIMIENTOS_COMPLEMENTOS!$H$4:$H$803,G1973,MOVIMIENTOS_COMPLEMENTOS!$B$4:$B$803,"SALIDA"),0)</f>
        <v>0</v>
      </c>
      <c r="I1973" s="102">
        <f t="array" ref="I1973">IFERROR(INDEX(PRECIOS_COMPLEMENTOS!$C$4:$F$17,MATCH(B1973&amp;"_"&amp;C1973,PRECIOS_COMPLEMENTOS!$H$4:$H$17,0),IF(OR(G1973="S",G1973="20cm"),1,IF(OR(G1973="M",G1973="25cm"),2,IF(OR(G1973="L",G1973="30cm"),3,IF(OR(G1973="XL",G1973="35cm"),4,0))))),0)</f>
        <v>0.6</v>
      </c>
      <c r="J1973" s="103">
        <f t="shared" si="1"/>
        <v>0</v>
      </c>
      <c r="K1973" s="104" t="str">
        <f>IF(H1973&lt;0,"ERROR",IF(H1973=0,"",IF(H1973&lt;CONFIG!$B$4,"CRÍTICO",IF(H1973&lt;CONFIG!$B$5,"BAJO","OK"))))</f>
        <v/>
      </c>
    </row>
    <row r="1974" ht="15.75" hidden="1" customHeight="1">
      <c r="A1974" s="90" t="str">
        <f>IF(CLIENTES!A4="","",CLIENTES!A4)</f>
        <v>OverShark</v>
      </c>
      <c r="B1974" s="90" t="s">
        <v>331</v>
      </c>
      <c r="C1974" s="91" t="s">
        <v>328</v>
      </c>
      <c r="D1974" s="109" t="s">
        <v>364</v>
      </c>
      <c r="E1974" s="67" t="str">
        <f>COLORES!A16</f>
        <v>Topo</v>
      </c>
      <c r="F1974" s="67" t="str">
        <f>COLORES!B16</f>
        <v>CLARO</v>
      </c>
      <c r="G1974" s="90" t="s">
        <v>377</v>
      </c>
      <c r="H1974" s="100">
        <f>IFERROR(SUMIFS(MOVIMIENTOS_COMPLEMENTOS!$I$4:$I$803,MOVIMIENTOS_COMPLEMENTOS!$C$4:$C$803,A1974,MOVIMIENTOS_COMPLEMENTOS!$D$4:$D$803,B1974,MOVIMIENTOS_COMPLEMENTOS!$E$4:$E$803,C1974,MOVIMIENTOS_COMPLEMENTOS!$F$4:$F$803,D1974,MOVIMIENTOS_COMPLEMENTOS!$G$4:$G$803,E1974,MOVIMIENTOS_COMPLEMENTOS!$H$4:$H$803,G1974,MOVIMIENTOS_COMPLEMENTOS!$B$4:$B$803,"INGRESO")+SUMIFS(MOVIMIENTOS_COMPLEMENTOS!$I$4:$I$803,MOVIMIENTOS_COMPLEMENTOS!$C$4:$C$803,A1974,MOVIMIENTOS_COMPLEMENTOS!$D$4:$D$803,B1974,MOVIMIENTOS_COMPLEMENTOS!$E$4:$E$803,C1974,MOVIMIENTOS_COMPLEMENTOS!$F$4:$F$803,D1974,MOVIMIENTOS_COMPLEMENTOS!$G$4:$G$803,E1974,MOVIMIENTOS_COMPLEMENTOS!$H$4:$H$803,G1974,MOVIMIENTOS_COMPLEMENTOS!$B$4:$B$803,"DE CORTE")-SUMIFS(MOVIMIENTOS_COMPLEMENTOS!$I$4:$I$803,MOVIMIENTOS_COMPLEMENTOS!$C$4:$C$803,A1974,MOVIMIENTOS_COMPLEMENTOS!$D$4:$D$803,B1974,MOVIMIENTOS_COMPLEMENTOS!$E$4:$E$803,C1974,MOVIMIENTOS_COMPLEMENTOS!$F$4:$F$803,D1974,MOVIMIENTOS_COMPLEMENTOS!$G$4:$G$803,E1974,MOVIMIENTOS_COMPLEMENTOS!$H$4:$H$803,G1974,MOVIMIENTOS_COMPLEMENTOS!$B$4:$B$803,"SALIDA"),0)</f>
        <v>0</v>
      </c>
      <c r="I1974" s="102">
        <f t="array" ref="I1974">IFERROR(INDEX(PRECIOS_COMPLEMENTOS!$C$4:$F$17,MATCH(B1974&amp;"_"&amp;C1974,PRECIOS_COMPLEMENTOS!$H$4:$H$17,0),IF(OR(G1974="S",G1974="20cm"),1,IF(OR(G1974="M",G1974="25cm"),2,IF(OR(G1974="L",G1974="30cm"),3,IF(OR(G1974="XL",G1974="35cm"),4,0))))),0)</f>
        <v>0.6</v>
      </c>
      <c r="J1974" s="103">
        <f t="shared" si="1"/>
        <v>0</v>
      </c>
      <c r="K1974" s="104" t="str">
        <f>IF(H1974&lt;0,"ERROR",IF(H1974=0,"",IF(H1974&lt;CONFIG!$B$4,"CRÍTICO",IF(H1974&lt;CONFIG!$B$5,"BAJO","OK"))))</f>
        <v/>
      </c>
    </row>
    <row r="1975" ht="15.75" hidden="1" customHeight="1">
      <c r="A1975" s="90" t="str">
        <f>IF(CLIENTES!A4="","",CLIENTES!A4)</f>
        <v>OverShark</v>
      </c>
      <c r="B1975" s="90" t="s">
        <v>331</v>
      </c>
      <c r="C1975" s="91" t="s">
        <v>328</v>
      </c>
      <c r="D1975" s="109" t="s">
        <v>364</v>
      </c>
      <c r="E1975" s="67" t="str">
        <f>COLORES!A16</f>
        <v>Topo</v>
      </c>
      <c r="F1975" s="67" t="str">
        <f>COLORES!B16</f>
        <v>CLARO</v>
      </c>
      <c r="G1975" s="90" t="s">
        <v>379</v>
      </c>
      <c r="H1975" s="100">
        <f>IFERROR(SUMIFS(MOVIMIENTOS_COMPLEMENTOS!$I$4:$I$803,MOVIMIENTOS_COMPLEMENTOS!$C$4:$C$803,A1975,MOVIMIENTOS_COMPLEMENTOS!$D$4:$D$803,B1975,MOVIMIENTOS_COMPLEMENTOS!$E$4:$E$803,C1975,MOVIMIENTOS_COMPLEMENTOS!$F$4:$F$803,D1975,MOVIMIENTOS_COMPLEMENTOS!$G$4:$G$803,E1975,MOVIMIENTOS_COMPLEMENTOS!$H$4:$H$803,G1975,MOVIMIENTOS_COMPLEMENTOS!$B$4:$B$803,"INGRESO")+SUMIFS(MOVIMIENTOS_COMPLEMENTOS!$I$4:$I$803,MOVIMIENTOS_COMPLEMENTOS!$C$4:$C$803,A1975,MOVIMIENTOS_COMPLEMENTOS!$D$4:$D$803,B1975,MOVIMIENTOS_COMPLEMENTOS!$E$4:$E$803,C1975,MOVIMIENTOS_COMPLEMENTOS!$F$4:$F$803,D1975,MOVIMIENTOS_COMPLEMENTOS!$G$4:$G$803,E1975,MOVIMIENTOS_COMPLEMENTOS!$H$4:$H$803,G1975,MOVIMIENTOS_COMPLEMENTOS!$B$4:$B$803,"DE CORTE")-SUMIFS(MOVIMIENTOS_COMPLEMENTOS!$I$4:$I$803,MOVIMIENTOS_COMPLEMENTOS!$C$4:$C$803,A1975,MOVIMIENTOS_COMPLEMENTOS!$D$4:$D$803,B1975,MOVIMIENTOS_COMPLEMENTOS!$E$4:$E$803,C1975,MOVIMIENTOS_COMPLEMENTOS!$F$4:$F$803,D1975,MOVIMIENTOS_COMPLEMENTOS!$G$4:$G$803,E1975,MOVIMIENTOS_COMPLEMENTOS!$H$4:$H$803,G1975,MOVIMIENTOS_COMPLEMENTOS!$B$4:$B$803,"SALIDA"),0)</f>
        <v>0</v>
      </c>
      <c r="I1975" s="102">
        <f t="array" ref="I1975">IFERROR(INDEX(PRECIOS_COMPLEMENTOS!$C$4:$F$17,MATCH(B1975&amp;"_"&amp;C1975,PRECIOS_COMPLEMENTOS!$H$4:$H$17,0),IF(OR(G1975="S",G1975="20cm"),1,IF(OR(G1975="M",G1975="25cm"),2,IF(OR(G1975="L",G1975="30cm"),3,IF(OR(G1975="XL",G1975="35cm"),4,0))))),0)</f>
        <v>0.6</v>
      </c>
      <c r="J1975" s="103">
        <f t="shared" si="1"/>
        <v>0</v>
      </c>
      <c r="K1975" s="104" t="str">
        <f>IF(H1975&lt;0,"ERROR",IF(H1975=0,"",IF(H1975&lt;CONFIG!$B$4,"CRÍTICO",IF(H1975&lt;CONFIG!$B$5,"BAJO","OK"))))</f>
        <v/>
      </c>
    </row>
    <row r="1976" ht="15.75" hidden="1" customHeight="1">
      <c r="A1976" s="90" t="str">
        <f>IF(CLIENTES!A4="","",CLIENTES!A4)</f>
        <v>OverShark</v>
      </c>
      <c r="B1976" s="90" t="s">
        <v>331</v>
      </c>
      <c r="C1976" s="91" t="s">
        <v>328</v>
      </c>
      <c r="D1976" s="109" t="s">
        <v>364</v>
      </c>
      <c r="E1976" s="67" t="str">
        <f>COLORES!A17</f>
        <v>Vino</v>
      </c>
      <c r="F1976" s="67" t="str">
        <f>COLORES!B17</f>
        <v>OSCURO</v>
      </c>
      <c r="G1976" s="90" t="s">
        <v>378</v>
      </c>
      <c r="H1976" s="100">
        <f>IFERROR(SUMIFS(MOVIMIENTOS_COMPLEMENTOS!$I$4:$I$803,MOVIMIENTOS_COMPLEMENTOS!$C$4:$C$803,A1976,MOVIMIENTOS_COMPLEMENTOS!$D$4:$D$803,B1976,MOVIMIENTOS_COMPLEMENTOS!$E$4:$E$803,C1976,MOVIMIENTOS_COMPLEMENTOS!$F$4:$F$803,D1976,MOVIMIENTOS_COMPLEMENTOS!$G$4:$G$803,E1976,MOVIMIENTOS_COMPLEMENTOS!$H$4:$H$803,G1976,MOVIMIENTOS_COMPLEMENTOS!$B$4:$B$803,"INGRESO")+SUMIFS(MOVIMIENTOS_COMPLEMENTOS!$I$4:$I$803,MOVIMIENTOS_COMPLEMENTOS!$C$4:$C$803,A1976,MOVIMIENTOS_COMPLEMENTOS!$D$4:$D$803,B1976,MOVIMIENTOS_COMPLEMENTOS!$E$4:$E$803,C1976,MOVIMIENTOS_COMPLEMENTOS!$F$4:$F$803,D1976,MOVIMIENTOS_COMPLEMENTOS!$G$4:$G$803,E1976,MOVIMIENTOS_COMPLEMENTOS!$H$4:$H$803,G1976,MOVIMIENTOS_COMPLEMENTOS!$B$4:$B$803,"DE CORTE")-SUMIFS(MOVIMIENTOS_COMPLEMENTOS!$I$4:$I$803,MOVIMIENTOS_COMPLEMENTOS!$C$4:$C$803,A1976,MOVIMIENTOS_COMPLEMENTOS!$D$4:$D$803,B1976,MOVIMIENTOS_COMPLEMENTOS!$E$4:$E$803,C1976,MOVIMIENTOS_COMPLEMENTOS!$F$4:$F$803,D1976,MOVIMIENTOS_COMPLEMENTOS!$G$4:$G$803,E1976,MOVIMIENTOS_COMPLEMENTOS!$H$4:$H$803,G1976,MOVIMIENTOS_COMPLEMENTOS!$B$4:$B$803,"SALIDA"),0)</f>
        <v>0</v>
      </c>
      <c r="I1976" s="102">
        <f t="array" ref="I1976">IFERROR(INDEX(PRECIOS_COMPLEMENTOS!$C$4:$F$17,MATCH(B1976&amp;"_"&amp;C1976,PRECIOS_COMPLEMENTOS!$H$4:$H$17,0),IF(OR(G1976="S",G1976="20cm"),1,IF(OR(G1976="M",G1976="25cm"),2,IF(OR(G1976="L",G1976="30cm"),3,IF(OR(G1976="XL",G1976="35cm"),4,0))))),0)</f>
        <v>0.6</v>
      </c>
      <c r="J1976" s="103">
        <f t="shared" si="1"/>
        <v>0</v>
      </c>
      <c r="K1976" s="104" t="str">
        <f>IF(H1976&lt;0,"ERROR",IF(H1976=0,"",IF(H1976&lt;CONFIG!$B$4,"CRÍTICO",IF(H1976&lt;CONFIG!$B$5,"BAJO","OK"))))</f>
        <v/>
      </c>
    </row>
    <row r="1977" ht="15.75" hidden="1" customHeight="1">
      <c r="A1977" s="90" t="str">
        <f>IF(CLIENTES!A4="","",CLIENTES!A4)</f>
        <v>OverShark</v>
      </c>
      <c r="B1977" s="90" t="s">
        <v>331</v>
      </c>
      <c r="C1977" s="91" t="s">
        <v>328</v>
      </c>
      <c r="D1977" s="109" t="s">
        <v>364</v>
      </c>
      <c r="E1977" s="67" t="str">
        <f>COLORES!A17</f>
        <v>Vino</v>
      </c>
      <c r="F1977" s="67" t="str">
        <f>COLORES!B17</f>
        <v>OSCURO</v>
      </c>
      <c r="G1977" s="90" t="s">
        <v>376</v>
      </c>
      <c r="H1977" s="100">
        <f>IFERROR(SUMIFS(MOVIMIENTOS_COMPLEMENTOS!$I$4:$I$803,MOVIMIENTOS_COMPLEMENTOS!$C$4:$C$803,A1977,MOVIMIENTOS_COMPLEMENTOS!$D$4:$D$803,B1977,MOVIMIENTOS_COMPLEMENTOS!$E$4:$E$803,C1977,MOVIMIENTOS_COMPLEMENTOS!$F$4:$F$803,D1977,MOVIMIENTOS_COMPLEMENTOS!$G$4:$G$803,E1977,MOVIMIENTOS_COMPLEMENTOS!$H$4:$H$803,G1977,MOVIMIENTOS_COMPLEMENTOS!$B$4:$B$803,"INGRESO")+SUMIFS(MOVIMIENTOS_COMPLEMENTOS!$I$4:$I$803,MOVIMIENTOS_COMPLEMENTOS!$C$4:$C$803,A1977,MOVIMIENTOS_COMPLEMENTOS!$D$4:$D$803,B1977,MOVIMIENTOS_COMPLEMENTOS!$E$4:$E$803,C1977,MOVIMIENTOS_COMPLEMENTOS!$F$4:$F$803,D1977,MOVIMIENTOS_COMPLEMENTOS!$G$4:$G$803,E1977,MOVIMIENTOS_COMPLEMENTOS!$H$4:$H$803,G1977,MOVIMIENTOS_COMPLEMENTOS!$B$4:$B$803,"DE CORTE")-SUMIFS(MOVIMIENTOS_COMPLEMENTOS!$I$4:$I$803,MOVIMIENTOS_COMPLEMENTOS!$C$4:$C$803,A1977,MOVIMIENTOS_COMPLEMENTOS!$D$4:$D$803,B1977,MOVIMIENTOS_COMPLEMENTOS!$E$4:$E$803,C1977,MOVIMIENTOS_COMPLEMENTOS!$F$4:$F$803,D1977,MOVIMIENTOS_COMPLEMENTOS!$G$4:$G$803,E1977,MOVIMIENTOS_COMPLEMENTOS!$H$4:$H$803,G1977,MOVIMIENTOS_COMPLEMENTOS!$B$4:$B$803,"SALIDA"),0)</f>
        <v>0</v>
      </c>
      <c r="I1977" s="102">
        <f t="array" ref="I1977">IFERROR(INDEX(PRECIOS_COMPLEMENTOS!$C$4:$F$17,MATCH(B1977&amp;"_"&amp;C1977,PRECIOS_COMPLEMENTOS!$H$4:$H$17,0),IF(OR(G1977="S",G1977="20cm"),1,IF(OR(G1977="M",G1977="25cm"),2,IF(OR(G1977="L",G1977="30cm"),3,IF(OR(G1977="XL",G1977="35cm"),4,0))))),0)</f>
        <v>0.6</v>
      </c>
      <c r="J1977" s="103">
        <f t="shared" si="1"/>
        <v>0</v>
      </c>
      <c r="K1977" s="104" t="str">
        <f>IF(H1977&lt;0,"ERROR",IF(H1977=0,"",IF(H1977&lt;CONFIG!$B$4,"CRÍTICO",IF(H1977&lt;CONFIG!$B$5,"BAJO","OK"))))</f>
        <v/>
      </c>
    </row>
    <row r="1978" ht="15.75" hidden="1" customHeight="1">
      <c r="A1978" s="90" t="str">
        <f>IF(CLIENTES!A4="","",CLIENTES!A4)</f>
        <v>OverShark</v>
      </c>
      <c r="B1978" s="90" t="s">
        <v>331</v>
      </c>
      <c r="C1978" s="91" t="s">
        <v>328</v>
      </c>
      <c r="D1978" s="109" t="s">
        <v>364</v>
      </c>
      <c r="E1978" s="67" t="str">
        <f>COLORES!A17</f>
        <v>Vino</v>
      </c>
      <c r="F1978" s="67" t="str">
        <f>COLORES!B17</f>
        <v>OSCURO</v>
      </c>
      <c r="G1978" s="90" t="s">
        <v>377</v>
      </c>
      <c r="H1978" s="100">
        <f>IFERROR(SUMIFS(MOVIMIENTOS_COMPLEMENTOS!$I$4:$I$803,MOVIMIENTOS_COMPLEMENTOS!$C$4:$C$803,A1978,MOVIMIENTOS_COMPLEMENTOS!$D$4:$D$803,B1978,MOVIMIENTOS_COMPLEMENTOS!$E$4:$E$803,C1978,MOVIMIENTOS_COMPLEMENTOS!$F$4:$F$803,D1978,MOVIMIENTOS_COMPLEMENTOS!$G$4:$G$803,E1978,MOVIMIENTOS_COMPLEMENTOS!$H$4:$H$803,G1978,MOVIMIENTOS_COMPLEMENTOS!$B$4:$B$803,"INGRESO")+SUMIFS(MOVIMIENTOS_COMPLEMENTOS!$I$4:$I$803,MOVIMIENTOS_COMPLEMENTOS!$C$4:$C$803,A1978,MOVIMIENTOS_COMPLEMENTOS!$D$4:$D$803,B1978,MOVIMIENTOS_COMPLEMENTOS!$E$4:$E$803,C1978,MOVIMIENTOS_COMPLEMENTOS!$F$4:$F$803,D1978,MOVIMIENTOS_COMPLEMENTOS!$G$4:$G$803,E1978,MOVIMIENTOS_COMPLEMENTOS!$H$4:$H$803,G1978,MOVIMIENTOS_COMPLEMENTOS!$B$4:$B$803,"DE CORTE")-SUMIFS(MOVIMIENTOS_COMPLEMENTOS!$I$4:$I$803,MOVIMIENTOS_COMPLEMENTOS!$C$4:$C$803,A1978,MOVIMIENTOS_COMPLEMENTOS!$D$4:$D$803,B1978,MOVIMIENTOS_COMPLEMENTOS!$E$4:$E$803,C1978,MOVIMIENTOS_COMPLEMENTOS!$F$4:$F$803,D1978,MOVIMIENTOS_COMPLEMENTOS!$G$4:$G$803,E1978,MOVIMIENTOS_COMPLEMENTOS!$H$4:$H$803,G1978,MOVIMIENTOS_COMPLEMENTOS!$B$4:$B$803,"SALIDA"),0)</f>
        <v>0</v>
      </c>
      <c r="I1978" s="102">
        <f t="array" ref="I1978">IFERROR(INDEX(PRECIOS_COMPLEMENTOS!$C$4:$F$17,MATCH(B1978&amp;"_"&amp;C1978,PRECIOS_COMPLEMENTOS!$H$4:$H$17,0),IF(OR(G1978="S",G1978="20cm"),1,IF(OR(G1978="M",G1978="25cm"),2,IF(OR(G1978="L",G1978="30cm"),3,IF(OR(G1978="XL",G1978="35cm"),4,0))))),0)</f>
        <v>0.6</v>
      </c>
      <c r="J1978" s="103">
        <f t="shared" si="1"/>
        <v>0</v>
      </c>
      <c r="K1978" s="104" t="str">
        <f>IF(H1978&lt;0,"ERROR",IF(H1978=0,"",IF(H1978&lt;CONFIG!$B$4,"CRÍTICO",IF(H1978&lt;CONFIG!$B$5,"BAJO","OK"))))</f>
        <v/>
      </c>
    </row>
    <row r="1979" ht="15.75" hidden="1" customHeight="1">
      <c r="A1979" s="90" t="str">
        <f>IF(CLIENTES!A4="","",CLIENTES!A4)</f>
        <v>OverShark</v>
      </c>
      <c r="B1979" s="90" t="s">
        <v>331</v>
      </c>
      <c r="C1979" s="91" t="s">
        <v>328</v>
      </c>
      <c r="D1979" s="109" t="s">
        <v>364</v>
      </c>
      <c r="E1979" s="67" t="str">
        <f>COLORES!A17</f>
        <v>Vino</v>
      </c>
      <c r="F1979" s="67" t="str">
        <f>COLORES!B17</f>
        <v>OSCURO</v>
      </c>
      <c r="G1979" s="90" t="s">
        <v>379</v>
      </c>
      <c r="H1979" s="100">
        <f>IFERROR(SUMIFS(MOVIMIENTOS_COMPLEMENTOS!$I$4:$I$803,MOVIMIENTOS_COMPLEMENTOS!$C$4:$C$803,A1979,MOVIMIENTOS_COMPLEMENTOS!$D$4:$D$803,B1979,MOVIMIENTOS_COMPLEMENTOS!$E$4:$E$803,C1979,MOVIMIENTOS_COMPLEMENTOS!$F$4:$F$803,D1979,MOVIMIENTOS_COMPLEMENTOS!$G$4:$G$803,E1979,MOVIMIENTOS_COMPLEMENTOS!$H$4:$H$803,G1979,MOVIMIENTOS_COMPLEMENTOS!$B$4:$B$803,"INGRESO")+SUMIFS(MOVIMIENTOS_COMPLEMENTOS!$I$4:$I$803,MOVIMIENTOS_COMPLEMENTOS!$C$4:$C$803,A1979,MOVIMIENTOS_COMPLEMENTOS!$D$4:$D$803,B1979,MOVIMIENTOS_COMPLEMENTOS!$E$4:$E$803,C1979,MOVIMIENTOS_COMPLEMENTOS!$F$4:$F$803,D1979,MOVIMIENTOS_COMPLEMENTOS!$G$4:$G$803,E1979,MOVIMIENTOS_COMPLEMENTOS!$H$4:$H$803,G1979,MOVIMIENTOS_COMPLEMENTOS!$B$4:$B$803,"DE CORTE")-SUMIFS(MOVIMIENTOS_COMPLEMENTOS!$I$4:$I$803,MOVIMIENTOS_COMPLEMENTOS!$C$4:$C$803,A1979,MOVIMIENTOS_COMPLEMENTOS!$D$4:$D$803,B1979,MOVIMIENTOS_COMPLEMENTOS!$E$4:$E$803,C1979,MOVIMIENTOS_COMPLEMENTOS!$F$4:$F$803,D1979,MOVIMIENTOS_COMPLEMENTOS!$G$4:$G$803,E1979,MOVIMIENTOS_COMPLEMENTOS!$H$4:$H$803,G1979,MOVIMIENTOS_COMPLEMENTOS!$B$4:$B$803,"SALIDA"),0)</f>
        <v>0</v>
      </c>
      <c r="I1979" s="102">
        <f t="array" ref="I1979">IFERROR(INDEX(PRECIOS_COMPLEMENTOS!$C$4:$F$17,MATCH(B1979&amp;"_"&amp;C1979,PRECIOS_COMPLEMENTOS!$H$4:$H$17,0),IF(OR(G1979="S",G1979="20cm"),1,IF(OR(G1979="M",G1979="25cm"),2,IF(OR(G1979="L",G1979="30cm"),3,IF(OR(G1979="XL",G1979="35cm"),4,0))))),0)</f>
        <v>0.6</v>
      </c>
      <c r="J1979" s="103">
        <f t="shared" si="1"/>
        <v>0</v>
      </c>
      <c r="K1979" s="104" t="str">
        <f>IF(H1979&lt;0,"ERROR",IF(H1979=0,"",IF(H1979&lt;CONFIG!$B$4,"CRÍTICO",IF(H1979&lt;CONFIG!$B$5,"BAJO","OK"))))</f>
        <v/>
      </c>
    </row>
    <row r="1980" ht="15.75" hidden="1" customHeight="1">
      <c r="A1980" s="90" t="str">
        <f>IF(CLIENTES!A4="","",CLIENTES!A4)</f>
        <v>OverShark</v>
      </c>
      <c r="B1980" s="90" t="s">
        <v>331</v>
      </c>
      <c r="C1980" s="91" t="s">
        <v>328</v>
      </c>
      <c r="D1980" s="109" t="s">
        <v>364</v>
      </c>
      <c r="E1980" s="67" t="str">
        <f>COLORES!A18</f>
        <v>P. Rosa</v>
      </c>
      <c r="F1980" s="67" t="str">
        <f>COLORES!B18</f>
        <v>CLARO</v>
      </c>
      <c r="G1980" s="90" t="s">
        <v>378</v>
      </c>
      <c r="H1980" s="100">
        <f>IFERROR(SUMIFS(MOVIMIENTOS_COMPLEMENTOS!$I$4:$I$803,MOVIMIENTOS_COMPLEMENTOS!$C$4:$C$803,A1980,MOVIMIENTOS_COMPLEMENTOS!$D$4:$D$803,B1980,MOVIMIENTOS_COMPLEMENTOS!$E$4:$E$803,C1980,MOVIMIENTOS_COMPLEMENTOS!$F$4:$F$803,D1980,MOVIMIENTOS_COMPLEMENTOS!$G$4:$G$803,E1980,MOVIMIENTOS_COMPLEMENTOS!$H$4:$H$803,G1980,MOVIMIENTOS_COMPLEMENTOS!$B$4:$B$803,"INGRESO")+SUMIFS(MOVIMIENTOS_COMPLEMENTOS!$I$4:$I$803,MOVIMIENTOS_COMPLEMENTOS!$C$4:$C$803,A1980,MOVIMIENTOS_COMPLEMENTOS!$D$4:$D$803,B1980,MOVIMIENTOS_COMPLEMENTOS!$E$4:$E$803,C1980,MOVIMIENTOS_COMPLEMENTOS!$F$4:$F$803,D1980,MOVIMIENTOS_COMPLEMENTOS!$G$4:$G$803,E1980,MOVIMIENTOS_COMPLEMENTOS!$H$4:$H$803,G1980,MOVIMIENTOS_COMPLEMENTOS!$B$4:$B$803,"DE CORTE")-SUMIFS(MOVIMIENTOS_COMPLEMENTOS!$I$4:$I$803,MOVIMIENTOS_COMPLEMENTOS!$C$4:$C$803,A1980,MOVIMIENTOS_COMPLEMENTOS!$D$4:$D$803,B1980,MOVIMIENTOS_COMPLEMENTOS!$E$4:$E$803,C1980,MOVIMIENTOS_COMPLEMENTOS!$F$4:$F$803,D1980,MOVIMIENTOS_COMPLEMENTOS!$G$4:$G$803,E1980,MOVIMIENTOS_COMPLEMENTOS!$H$4:$H$803,G1980,MOVIMIENTOS_COMPLEMENTOS!$B$4:$B$803,"SALIDA"),0)</f>
        <v>0</v>
      </c>
      <c r="I1980" s="102">
        <f t="array" ref="I1980">IFERROR(INDEX(PRECIOS_COMPLEMENTOS!$C$4:$F$17,MATCH(B1980&amp;"_"&amp;C1980,PRECIOS_COMPLEMENTOS!$H$4:$H$17,0),IF(OR(G1980="S",G1980="20cm"),1,IF(OR(G1980="M",G1980="25cm"),2,IF(OR(G1980="L",G1980="30cm"),3,IF(OR(G1980="XL",G1980="35cm"),4,0))))),0)</f>
        <v>0.6</v>
      </c>
      <c r="J1980" s="103">
        <f t="shared" si="1"/>
        <v>0</v>
      </c>
      <c r="K1980" s="104" t="str">
        <f>IF(H1980&lt;0,"ERROR",IF(H1980=0,"",IF(H1980&lt;CONFIG!$B$4,"CRÍTICO",IF(H1980&lt;CONFIG!$B$5,"BAJO","OK"))))</f>
        <v/>
      </c>
    </row>
    <row r="1981" ht="15.75" hidden="1" customHeight="1">
      <c r="A1981" s="90" t="str">
        <f>IF(CLIENTES!A4="","",CLIENTES!A4)</f>
        <v>OverShark</v>
      </c>
      <c r="B1981" s="90" t="s">
        <v>331</v>
      </c>
      <c r="C1981" s="91" t="s">
        <v>328</v>
      </c>
      <c r="D1981" s="109" t="s">
        <v>364</v>
      </c>
      <c r="E1981" s="67" t="str">
        <f>COLORES!A18</f>
        <v>P. Rosa</v>
      </c>
      <c r="F1981" s="67" t="str">
        <f>COLORES!B18</f>
        <v>CLARO</v>
      </c>
      <c r="G1981" s="90" t="s">
        <v>376</v>
      </c>
      <c r="H1981" s="100">
        <f>IFERROR(SUMIFS(MOVIMIENTOS_COMPLEMENTOS!$I$4:$I$803,MOVIMIENTOS_COMPLEMENTOS!$C$4:$C$803,A1981,MOVIMIENTOS_COMPLEMENTOS!$D$4:$D$803,B1981,MOVIMIENTOS_COMPLEMENTOS!$E$4:$E$803,C1981,MOVIMIENTOS_COMPLEMENTOS!$F$4:$F$803,D1981,MOVIMIENTOS_COMPLEMENTOS!$G$4:$G$803,E1981,MOVIMIENTOS_COMPLEMENTOS!$H$4:$H$803,G1981,MOVIMIENTOS_COMPLEMENTOS!$B$4:$B$803,"INGRESO")+SUMIFS(MOVIMIENTOS_COMPLEMENTOS!$I$4:$I$803,MOVIMIENTOS_COMPLEMENTOS!$C$4:$C$803,A1981,MOVIMIENTOS_COMPLEMENTOS!$D$4:$D$803,B1981,MOVIMIENTOS_COMPLEMENTOS!$E$4:$E$803,C1981,MOVIMIENTOS_COMPLEMENTOS!$F$4:$F$803,D1981,MOVIMIENTOS_COMPLEMENTOS!$G$4:$G$803,E1981,MOVIMIENTOS_COMPLEMENTOS!$H$4:$H$803,G1981,MOVIMIENTOS_COMPLEMENTOS!$B$4:$B$803,"DE CORTE")-SUMIFS(MOVIMIENTOS_COMPLEMENTOS!$I$4:$I$803,MOVIMIENTOS_COMPLEMENTOS!$C$4:$C$803,A1981,MOVIMIENTOS_COMPLEMENTOS!$D$4:$D$803,B1981,MOVIMIENTOS_COMPLEMENTOS!$E$4:$E$803,C1981,MOVIMIENTOS_COMPLEMENTOS!$F$4:$F$803,D1981,MOVIMIENTOS_COMPLEMENTOS!$G$4:$G$803,E1981,MOVIMIENTOS_COMPLEMENTOS!$H$4:$H$803,G1981,MOVIMIENTOS_COMPLEMENTOS!$B$4:$B$803,"SALIDA"),0)</f>
        <v>0</v>
      </c>
      <c r="I1981" s="102">
        <f t="array" ref="I1981">IFERROR(INDEX(PRECIOS_COMPLEMENTOS!$C$4:$F$17,MATCH(B1981&amp;"_"&amp;C1981,PRECIOS_COMPLEMENTOS!$H$4:$H$17,0),IF(OR(G1981="S",G1981="20cm"),1,IF(OR(G1981="M",G1981="25cm"),2,IF(OR(G1981="L",G1981="30cm"),3,IF(OR(G1981="XL",G1981="35cm"),4,0))))),0)</f>
        <v>0.6</v>
      </c>
      <c r="J1981" s="103">
        <f t="shared" si="1"/>
        <v>0</v>
      </c>
      <c r="K1981" s="104" t="str">
        <f>IF(H1981&lt;0,"ERROR",IF(H1981=0,"",IF(H1981&lt;CONFIG!$B$4,"CRÍTICO",IF(H1981&lt;CONFIG!$B$5,"BAJO","OK"))))</f>
        <v/>
      </c>
    </row>
    <row r="1982" ht="15.75" hidden="1" customHeight="1">
      <c r="A1982" s="90" t="str">
        <f>IF(CLIENTES!A4="","",CLIENTES!A4)</f>
        <v>OverShark</v>
      </c>
      <c r="B1982" s="90" t="s">
        <v>331</v>
      </c>
      <c r="C1982" s="91" t="s">
        <v>328</v>
      </c>
      <c r="D1982" s="109" t="s">
        <v>364</v>
      </c>
      <c r="E1982" s="67" t="str">
        <f>COLORES!A18</f>
        <v>P. Rosa</v>
      </c>
      <c r="F1982" s="67" t="str">
        <f>COLORES!B18</f>
        <v>CLARO</v>
      </c>
      <c r="G1982" s="90" t="s">
        <v>377</v>
      </c>
      <c r="H1982" s="100">
        <f>IFERROR(SUMIFS(MOVIMIENTOS_COMPLEMENTOS!$I$4:$I$803,MOVIMIENTOS_COMPLEMENTOS!$C$4:$C$803,A1982,MOVIMIENTOS_COMPLEMENTOS!$D$4:$D$803,B1982,MOVIMIENTOS_COMPLEMENTOS!$E$4:$E$803,C1982,MOVIMIENTOS_COMPLEMENTOS!$F$4:$F$803,D1982,MOVIMIENTOS_COMPLEMENTOS!$G$4:$G$803,E1982,MOVIMIENTOS_COMPLEMENTOS!$H$4:$H$803,G1982,MOVIMIENTOS_COMPLEMENTOS!$B$4:$B$803,"INGRESO")+SUMIFS(MOVIMIENTOS_COMPLEMENTOS!$I$4:$I$803,MOVIMIENTOS_COMPLEMENTOS!$C$4:$C$803,A1982,MOVIMIENTOS_COMPLEMENTOS!$D$4:$D$803,B1982,MOVIMIENTOS_COMPLEMENTOS!$E$4:$E$803,C1982,MOVIMIENTOS_COMPLEMENTOS!$F$4:$F$803,D1982,MOVIMIENTOS_COMPLEMENTOS!$G$4:$G$803,E1982,MOVIMIENTOS_COMPLEMENTOS!$H$4:$H$803,G1982,MOVIMIENTOS_COMPLEMENTOS!$B$4:$B$803,"DE CORTE")-SUMIFS(MOVIMIENTOS_COMPLEMENTOS!$I$4:$I$803,MOVIMIENTOS_COMPLEMENTOS!$C$4:$C$803,A1982,MOVIMIENTOS_COMPLEMENTOS!$D$4:$D$803,B1982,MOVIMIENTOS_COMPLEMENTOS!$E$4:$E$803,C1982,MOVIMIENTOS_COMPLEMENTOS!$F$4:$F$803,D1982,MOVIMIENTOS_COMPLEMENTOS!$G$4:$G$803,E1982,MOVIMIENTOS_COMPLEMENTOS!$H$4:$H$803,G1982,MOVIMIENTOS_COMPLEMENTOS!$B$4:$B$803,"SALIDA"),0)</f>
        <v>0</v>
      </c>
      <c r="I1982" s="102">
        <f t="array" ref="I1982">IFERROR(INDEX(PRECIOS_COMPLEMENTOS!$C$4:$F$17,MATCH(B1982&amp;"_"&amp;C1982,PRECIOS_COMPLEMENTOS!$H$4:$H$17,0),IF(OR(G1982="S",G1982="20cm"),1,IF(OR(G1982="M",G1982="25cm"),2,IF(OR(G1982="L",G1982="30cm"),3,IF(OR(G1982="XL",G1982="35cm"),4,0))))),0)</f>
        <v>0.6</v>
      </c>
      <c r="J1982" s="103">
        <f t="shared" si="1"/>
        <v>0</v>
      </c>
      <c r="K1982" s="104" t="str">
        <f>IF(H1982&lt;0,"ERROR",IF(H1982=0,"",IF(H1982&lt;CONFIG!$B$4,"CRÍTICO",IF(H1982&lt;CONFIG!$B$5,"BAJO","OK"))))</f>
        <v/>
      </c>
    </row>
    <row r="1983" ht="15.75" hidden="1" customHeight="1">
      <c r="A1983" s="90" t="str">
        <f>IF(CLIENTES!A4="","",CLIENTES!A4)</f>
        <v>OverShark</v>
      </c>
      <c r="B1983" s="90" t="s">
        <v>331</v>
      </c>
      <c r="C1983" s="91" t="s">
        <v>328</v>
      </c>
      <c r="D1983" s="109" t="s">
        <v>364</v>
      </c>
      <c r="E1983" s="67" t="str">
        <f>COLORES!A18</f>
        <v>P. Rosa</v>
      </c>
      <c r="F1983" s="67" t="str">
        <f>COLORES!B18</f>
        <v>CLARO</v>
      </c>
      <c r="G1983" s="90" t="s">
        <v>379</v>
      </c>
      <c r="H1983" s="100">
        <f>IFERROR(SUMIFS(MOVIMIENTOS_COMPLEMENTOS!$I$4:$I$803,MOVIMIENTOS_COMPLEMENTOS!$C$4:$C$803,A1983,MOVIMIENTOS_COMPLEMENTOS!$D$4:$D$803,B1983,MOVIMIENTOS_COMPLEMENTOS!$E$4:$E$803,C1983,MOVIMIENTOS_COMPLEMENTOS!$F$4:$F$803,D1983,MOVIMIENTOS_COMPLEMENTOS!$G$4:$G$803,E1983,MOVIMIENTOS_COMPLEMENTOS!$H$4:$H$803,G1983,MOVIMIENTOS_COMPLEMENTOS!$B$4:$B$803,"INGRESO")+SUMIFS(MOVIMIENTOS_COMPLEMENTOS!$I$4:$I$803,MOVIMIENTOS_COMPLEMENTOS!$C$4:$C$803,A1983,MOVIMIENTOS_COMPLEMENTOS!$D$4:$D$803,B1983,MOVIMIENTOS_COMPLEMENTOS!$E$4:$E$803,C1983,MOVIMIENTOS_COMPLEMENTOS!$F$4:$F$803,D1983,MOVIMIENTOS_COMPLEMENTOS!$G$4:$G$803,E1983,MOVIMIENTOS_COMPLEMENTOS!$H$4:$H$803,G1983,MOVIMIENTOS_COMPLEMENTOS!$B$4:$B$803,"DE CORTE")-SUMIFS(MOVIMIENTOS_COMPLEMENTOS!$I$4:$I$803,MOVIMIENTOS_COMPLEMENTOS!$C$4:$C$803,A1983,MOVIMIENTOS_COMPLEMENTOS!$D$4:$D$803,B1983,MOVIMIENTOS_COMPLEMENTOS!$E$4:$E$803,C1983,MOVIMIENTOS_COMPLEMENTOS!$F$4:$F$803,D1983,MOVIMIENTOS_COMPLEMENTOS!$G$4:$G$803,E1983,MOVIMIENTOS_COMPLEMENTOS!$H$4:$H$803,G1983,MOVIMIENTOS_COMPLEMENTOS!$B$4:$B$803,"SALIDA"),0)</f>
        <v>0</v>
      </c>
      <c r="I1983" s="102">
        <f t="array" ref="I1983">IFERROR(INDEX(PRECIOS_COMPLEMENTOS!$C$4:$F$17,MATCH(B1983&amp;"_"&amp;C1983,PRECIOS_COMPLEMENTOS!$H$4:$H$17,0),IF(OR(G1983="S",G1983="20cm"),1,IF(OR(G1983="M",G1983="25cm"),2,IF(OR(G1983="L",G1983="30cm"),3,IF(OR(G1983="XL",G1983="35cm"),4,0))))),0)</f>
        <v>0.6</v>
      </c>
      <c r="J1983" s="103">
        <f t="shared" si="1"/>
        <v>0</v>
      </c>
      <c r="K1983" s="104" t="str">
        <f>IF(H1983&lt;0,"ERROR",IF(H1983=0,"",IF(H1983&lt;CONFIG!$B$4,"CRÍTICO",IF(H1983&lt;CONFIG!$B$5,"BAJO","OK"))))</f>
        <v/>
      </c>
    </row>
    <row r="1984" ht="15.75" hidden="1" customHeight="1">
      <c r="A1984" s="90" t="str">
        <f>IF(CLIENTES!A4="","",CLIENTES!A4)</f>
        <v>OverShark</v>
      </c>
      <c r="B1984" s="90" t="s">
        <v>331</v>
      </c>
      <c r="C1984" s="91" t="s">
        <v>328</v>
      </c>
      <c r="D1984" s="109" t="s">
        <v>364</v>
      </c>
      <c r="E1984" s="67" t="str">
        <f>COLORES!A19</f>
        <v/>
      </c>
      <c r="F1984" s="67" t="str">
        <f>COLORES!B19</f>
        <v/>
      </c>
      <c r="G1984" s="90" t="s">
        <v>378</v>
      </c>
      <c r="H1984" s="100">
        <f>IFERROR(SUMIFS(MOVIMIENTOS_COMPLEMENTOS!$I$4:$I$803,MOVIMIENTOS_COMPLEMENTOS!$C$4:$C$803,A1984,MOVIMIENTOS_COMPLEMENTOS!$D$4:$D$803,B1984,MOVIMIENTOS_COMPLEMENTOS!$E$4:$E$803,C1984,MOVIMIENTOS_COMPLEMENTOS!$F$4:$F$803,D1984,MOVIMIENTOS_COMPLEMENTOS!$G$4:$G$803,E1984,MOVIMIENTOS_COMPLEMENTOS!$H$4:$H$803,G1984,MOVIMIENTOS_COMPLEMENTOS!$B$4:$B$803,"INGRESO")+SUMIFS(MOVIMIENTOS_COMPLEMENTOS!$I$4:$I$803,MOVIMIENTOS_COMPLEMENTOS!$C$4:$C$803,A1984,MOVIMIENTOS_COMPLEMENTOS!$D$4:$D$803,B1984,MOVIMIENTOS_COMPLEMENTOS!$E$4:$E$803,C1984,MOVIMIENTOS_COMPLEMENTOS!$F$4:$F$803,D1984,MOVIMIENTOS_COMPLEMENTOS!$G$4:$G$803,E1984,MOVIMIENTOS_COMPLEMENTOS!$H$4:$H$803,G1984,MOVIMIENTOS_COMPLEMENTOS!$B$4:$B$803,"DE CORTE")-SUMIFS(MOVIMIENTOS_COMPLEMENTOS!$I$4:$I$803,MOVIMIENTOS_COMPLEMENTOS!$C$4:$C$803,A1984,MOVIMIENTOS_COMPLEMENTOS!$D$4:$D$803,B1984,MOVIMIENTOS_COMPLEMENTOS!$E$4:$E$803,C1984,MOVIMIENTOS_COMPLEMENTOS!$F$4:$F$803,D1984,MOVIMIENTOS_COMPLEMENTOS!$G$4:$G$803,E1984,MOVIMIENTOS_COMPLEMENTOS!$H$4:$H$803,G1984,MOVIMIENTOS_COMPLEMENTOS!$B$4:$B$803,"SALIDA"),0)</f>
        <v>0</v>
      </c>
      <c r="I1984" s="102">
        <f t="array" ref="I1984">IFERROR(INDEX(PRECIOS_COMPLEMENTOS!$C$4:$F$17,MATCH(B1984&amp;"_"&amp;C1984,PRECIOS_COMPLEMENTOS!$H$4:$H$17,0),IF(OR(G1984="S",G1984="20cm"),1,IF(OR(G1984="M",G1984="25cm"),2,IF(OR(G1984="L",G1984="30cm"),3,IF(OR(G1984="XL",G1984="35cm"),4,0))))),0)</f>
        <v>0.6</v>
      </c>
      <c r="J1984" s="103">
        <f t="shared" si="1"/>
        <v>0</v>
      </c>
      <c r="K1984" s="104" t="str">
        <f>IF(H1984&lt;0,"ERROR",IF(H1984=0,"",IF(H1984&lt;CONFIG!$B$4,"CRÍTICO",IF(H1984&lt;CONFIG!$B$5,"BAJO","OK"))))</f>
        <v/>
      </c>
    </row>
    <row r="1985" ht="15.75" hidden="1" customHeight="1">
      <c r="A1985" s="90" t="str">
        <f>IF(CLIENTES!A4="","",CLIENTES!A4)</f>
        <v>OverShark</v>
      </c>
      <c r="B1985" s="90" t="s">
        <v>331</v>
      </c>
      <c r="C1985" s="91" t="s">
        <v>328</v>
      </c>
      <c r="D1985" s="109" t="s">
        <v>364</v>
      </c>
      <c r="E1985" s="67" t="str">
        <f>COLORES!A19</f>
        <v/>
      </c>
      <c r="F1985" s="67" t="str">
        <f>COLORES!B19</f>
        <v/>
      </c>
      <c r="G1985" s="90" t="s">
        <v>376</v>
      </c>
      <c r="H1985" s="100">
        <f>IFERROR(SUMIFS(MOVIMIENTOS_COMPLEMENTOS!$I$4:$I$803,MOVIMIENTOS_COMPLEMENTOS!$C$4:$C$803,A1985,MOVIMIENTOS_COMPLEMENTOS!$D$4:$D$803,B1985,MOVIMIENTOS_COMPLEMENTOS!$E$4:$E$803,C1985,MOVIMIENTOS_COMPLEMENTOS!$F$4:$F$803,D1985,MOVIMIENTOS_COMPLEMENTOS!$G$4:$G$803,E1985,MOVIMIENTOS_COMPLEMENTOS!$H$4:$H$803,G1985,MOVIMIENTOS_COMPLEMENTOS!$B$4:$B$803,"INGRESO")+SUMIFS(MOVIMIENTOS_COMPLEMENTOS!$I$4:$I$803,MOVIMIENTOS_COMPLEMENTOS!$C$4:$C$803,A1985,MOVIMIENTOS_COMPLEMENTOS!$D$4:$D$803,B1985,MOVIMIENTOS_COMPLEMENTOS!$E$4:$E$803,C1985,MOVIMIENTOS_COMPLEMENTOS!$F$4:$F$803,D1985,MOVIMIENTOS_COMPLEMENTOS!$G$4:$G$803,E1985,MOVIMIENTOS_COMPLEMENTOS!$H$4:$H$803,G1985,MOVIMIENTOS_COMPLEMENTOS!$B$4:$B$803,"DE CORTE")-SUMIFS(MOVIMIENTOS_COMPLEMENTOS!$I$4:$I$803,MOVIMIENTOS_COMPLEMENTOS!$C$4:$C$803,A1985,MOVIMIENTOS_COMPLEMENTOS!$D$4:$D$803,B1985,MOVIMIENTOS_COMPLEMENTOS!$E$4:$E$803,C1985,MOVIMIENTOS_COMPLEMENTOS!$F$4:$F$803,D1985,MOVIMIENTOS_COMPLEMENTOS!$G$4:$G$803,E1985,MOVIMIENTOS_COMPLEMENTOS!$H$4:$H$803,G1985,MOVIMIENTOS_COMPLEMENTOS!$B$4:$B$803,"SALIDA"),0)</f>
        <v>0</v>
      </c>
      <c r="I1985" s="102">
        <f t="array" ref="I1985">IFERROR(INDEX(PRECIOS_COMPLEMENTOS!$C$4:$F$17,MATCH(B1985&amp;"_"&amp;C1985,PRECIOS_COMPLEMENTOS!$H$4:$H$17,0),IF(OR(G1985="S",G1985="20cm"),1,IF(OR(G1985="M",G1985="25cm"),2,IF(OR(G1985="L",G1985="30cm"),3,IF(OR(G1985="XL",G1985="35cm"),4,0))))),0)</f>
        <v>0.6</v>
      </c>
      <c r="J1985" s="103">
        <f t="shared" si="1"/>
        <v>0</v>
      </c>
      <c r="K1985" s="104" t="str">
        <f>IF(H1985&lt;0,"ERROR",IF(H1985=0,"",IF(H1985&lt;CONFIG!$B$4,"CRÍTICO",IF(H1985&lt;CONFIG!$B$5,"BAJO","OK"))))</f>
        <v/>
      </c>
    </row>
    <row r="1986" ht="15.75" hidden="1" customHeight="1">
      <c r="A1986" s="90" t="str">
        <f>IF(CLIENTES!A4="","",CLIENTES!A4)</f>
        <v>OverShark</v>
      </c>
      <c r="B1986" s="90" t="s">
        <v>331</v>
      </c>
      <c r="C1986" s="91" t="s">
        <v>328</v>
      </c>
      <c r="D1986" s="109" t="s">
        <v>364</v>
      </c>
      <c r="E1986" s="67" t="str">
        <f>COLORES!A19</f>
        <v/>
      </c>
      <c r="F1986" s="67" t="str">
        <f>COLORES!B19</f>
        <v/>
      </c>
      <c r="G1986" s="90" t="s">
        <v>377</v>
      </c>
      <c r="H1986" s="100">
        <f>IFERROR(SUMIFS(MOVIMIENTOS_COMPLEMENTOS!$I$4:$I$803,MOVIMIENTOS_COMPLEMENTOS!$C$4:$C$803,A1986,MOVIMIENTOS_COMPLEMENTOS!$D$4:$D$803,B1986,MOVIMIENTOS_COMPLEMENTOS!$E$4:$E$803,C1986,MOVIMIENTOS_COMPLEMENTOS!$F$4:$F$803,D1986,MOVIMIENTOS_COMPLEMENTOS!$G$4:$G$803,E1986,MOVIMIENTOS_COMPLEMENTOS!$H$4:$H$803,G1986,MOVIMIENTOS_COMPLEMENTOS!$B$4:$B$803,"INGRESO")+SUMIFS(MOVIMIENTOS_COMPLEMENTOS!$I$4:$I$803,MOVIMIENTOS_COMPLEMENTOS!$C$4:$C$803,A1986,MOVIMIENTOS_COMPLEMENTOS!$D$4:$D$803,B1986,MOVIMIENTOS_COMPLEMENTOS!$E$4:$E$803,C1986,MOVIMIENTOS_COMPLEMENTOS!$F$4:$F$803,D1986,MOVIMIENTOS_COMPLEMENTOS!$G$4:$G$803,E1986,MOVIMIENTOS_COMPLEMENTOS!$H$4:$H$803,G1986,MOVIMIENTOS_COMPLEMENTOS!$B$4:$B$803,"DE CORTE")-SUMIFS(MOVIMIENTOS_COMPLEMENTOS!$I$4:$I$803,MOVIMIENTOS_COMPLEMENTOS!$C$4:$C$803,A1986,MOVIMIENTOS_COMPLEMENTOS!$D$4:$D$803,B1986,MOVIMIENTOS_COMPLEMENTOS!$E$4:$E$803,C1986,MOVIMIENTOS_COMPLEMENTOS!$F$4:$F$803,D1986,MOVIMIENTOS_COMPLEMENTOS!$G$4:$G$803,E1986,MOVIMIENTOS_COMPLEMENTOS!$H$4:$H$803,G1986,MOVIMIENTOS_COMPLEMENTOS!$B$4:$B$803,"SALIDA"),0)</f>
        <v>0</v>
      </c>
      <c r="I1986" s="102">
        <f t="array" ref="I1986">IFERROR(INDEX(PRECIOS_COMPLEMENTOS!$C$4:$F$17,MATCH(B1986&amp;"_"&amp;C1986,PRECIOS_COMPLEMENTOS!$H$4:$H$17,0),IF(OR(G1986="S",G1986="20cm"),1,IF(OR(G1986="M",G1986="25cm"),2,IF(OR(G1986="L",G1986="30cm"),3,IF(OR(G1986="XL",G1986="35cm"),4,0))))),0)</f>
        <v>0.6</v>
      </c>
      <c r="J1986" s="103">
        <f t="shared" si="1"/>
        <v>0</v>
      </c>
      <c r="K1986" s="104" t="str">
        <f>IF(H1986&lt;0,"ERROR",IF(H1986=0,"",IF(H1986&lt;CONFIG!$B$4,"CRÍTICO",IF(H1986&lt;CONFIG!$B$5,"BAJO","OK"))))</f>
        <v/>
      </c>
    </row>
    <row r="1987" ht="15.75" hidden="1" customHeight="1">
      <c r="A1987" s="90" t="str">
        <f>IF(CLIENTES!A4="","",CLIENTES!A4)</f>
        <v>OverShark</v>
      </c>
      <c r="B1987" s="90" t="s">
        <v>331</v>
      </c>
      <c r="C1987" s="91" t="s">
        <v>328</v>
      </c>
      <c r="D1987" s="109" t="s">
        <v>364</v>
      </c>
      <c r="E1987" s="67" t="str">
        <f>COLORES!A19</f>
        <v/>
      </c>
      <c r="F1987" s="67" t="str">
        <f>COLORES!B19</f>
        <v/>
      </c>
      <c r="G1987" s="90" t="s">
        <v>379</v>
      </c>
      <c r="H1987" s="100">
        <f>IFERROR(SUMIFS(MOVIMIENTOS_COMPLEMENTOS!$I$4:$I$803,MOVIMIENTOS_COMPLEMENTOS!$C$4:$C$803,A1987,MOVIMIENTOS_COMPLEMENTOS!$D$4:$D$803,B1987,MOVIMIENTOS_COMPLEMENTOS!$E$4:$E$803,C1987,MOVIMIENTOS_COMPLEMENTOS!$F$4:$F$803,D1987,MOVIMIENTOS_COMPLEMENTOS!$G$4:$G$803,E1987,MOVIMIENTOS_COMPLEMENTOS!$H$4:$H$803,G1987,MOVIMIENTOS_COMPLEMENTOS!$B$4:$B$803,"INGRESO")+SUMIFS(MOVIMIENTOS_COMPLEMENTOS!$I$4:$I$803,MOVIMIENTOS_COMPLEMENTOS!$C$4:$C$803,A1987,MOVIMIENTOS_COMPLEMENTOS!$D$4:$D$803,B1987,MOVIMIENTOS_COMPLEMENTOS!$E$4:$E$803,C1987,MOVIMIENTOS_COMPLEMENTOS!$F$4:$F$803,D1987,MOVIMIENTOS_COMPLEMENTOS!$G$4:$G$803,E1987,MOVIMIENTOS_COMPLEMENTOS!$H$4:$H$803,G1987,MOVIMIENTOS_COMPLEMENTOS!$B$4:$B$803,"DE CORTE")-SUMIFS(MOVIMIENTOS_COMPLEMENTOS!$I$4:$I$803,MOVIMIENTOS_COMPLEMENTOS!$C$4:$C$803,A1987,MOVIMIENTOS_COMPLEMENTOS!$D$4:$D$803,B1987,MOVIMIENTOS_COMPLEMENTOS!$E$4:$E$803,C1987,MOVIMIENTOS_COMPLEMENTOS!$F$4:$F$803,D1987,MOVIMIENTOS_COMPLEMENTOS!$G$4:$G$803,E1987,MOVIMIENTOS_COMPLEMENTOS!$H$4:$H$803,G1987,MOVIMIENTOS_COMPLEMENTOS!$B$4:$B$803,"SALIDA"),0)</f>
        <v>0</v>
      </c>
      <c r="I1987" s="102">
        <f t="array" ref="I1987">IFERROR(INDEX(PRECIOS_COMPLEMENTOS!$C$4:$F$17,MATCH(B1987&amp;"_"&amp;C1987,PRECIOS_COMPLEMENTOS!$H$4:$H$17,0),IF(OR(G1987="S",G1987="20cm"),1,IF(OR(G1987="M",G1987="25cm"),2,IF(OR(G1987="L",G1987="30cm"),3,IF(OR(G1987="XL",G1987="35cm"),4,0))))),0)</f>
        <v>0.6</v>
      </c>
      <c r="J1987" s="103">
        <f t="shared" si="1"/>
        <v>0</v>
      </c>
      <c r="K1987" s="104" t="str">
        <f>IF(H1987&lt;0,"ERROR",IF(H1987=0,"",IF(H1987&lt;CONFIG!$B$4,"CRÍTICO",IF(H1987&lt;CONFIG!$B$5,"BAJO","OK"))))</f>
        <v/>
      </c>
    </row>
    <row r="1988" ht="15.75" hidden="1" customHeight="1">
      <c r="A1988" s="90" t="str">
        <f>IF(CLIENTES!A4="","",CLIENTES!A4)</f>
        <v>OverShark</v>
      </c>
      <c r="B1988" s="90" t="s">
        <v>331</v>
      </c>
      <c r="C1988" s="91" t="s">
        <v>328</v>
      </c>
      <c r="D1988" s="109" t="s">
        <v>364</v>
      </c>
      <c r="E1988" s="67" t="str">
        <f>COLORES!A20</f>
        <v/>
      </c>
      <c r="F1988" s="67" t="str">
        <f>COLORES!B20</f>
        <v/>
      </c>
      <c r="G1988" s="90" t="s">
        <v>378</v>
      </c>
      <c r="H1988" s="100">
        <f>IFERROR(SUMIFS(MOVIMIENTOS_COMPLEMENTOS!$I$4:$I$803,MOVIMIENTOS_COMPLEMENTOS!$C$4:$C$803,A1988,MOVIMIENTOS_COMPLEMENTOS!$D$4:$D$803,B1988,MOVIMIENTOS_COMPLEMENTOS!$E$4:$E$803,C1988,MOVIMIENTOS_COMPLEMENTOS!$F$4:$F$803,D1988,MOVIMIENTOS_COMPLEMENTOS!$G$4:$G$803,E1988,MOVIMIENTOS_COMPLEMENTOS!$H$4:$H$803,G1988,MOVIMIENTOS_COMPLEMENTOS!$B$4:$B$803,"INGRESO")+SUMIFS(MOVIMIENTOS_COMPLEMENTOS!$I$4:$I$803,MOVIMIENTOS_COMPLEMENTOS!$C$4:$C$803,A1988,MOVIMIENTOS_COMPLEMENTOS!$D$4:$D$803,B1988,MOVIMIENTOS_COMPLEMENTOS!$E$4:$E$803,C1988,MOVIMIENTOS_COMPLEMENTOS!$F$4:$F$803,D1988,MOVIMIENTOS_COMPLEMENTOS!$G$4:$G$803,E1988,MOVIMIENTOS_COMPLEMENTOS!$H$4:$H$803,G1988,MOVIMIENTOS_COMPLEMENTOS!$B$4:$B$803,"DE CORTE")-SUMIFS(MOVIMIENTOS_COMPLEMENTOS!$I$4:$I$803,MOVIMIENTOS_COMPLEMENTOS!$C$4:$C$803,A1988,MOVIMIENTOS_COMPLEMENTOS!$D$4:$D$803,B1988,MOVIMIENTOS_COMPLEMENTOS!$E$4:$E$803,C1988,MOVIMIENTOS_COMPLEMENTOS!$F$4:$F$803,D1988,MOVIMIENTOS_COMPLEMENTOS!$G$4:$G$803,E1988,MOVIMIENTOS_COMPLEMENTOS!$H$4:$H$803,G1988,MOVIMIENTOS_COMPLEMENTOS!$B$4:$B$803,"SALIDA"),0)</f>
        <v>0</v>
      </c>
      <c r="I1988" s="102">
        <f t="array" ref="I1988">IFERROR(INDEX(PRECIOS_COMPLEMENTOS!$C$4:$F$17,MATCH(B1988&amp;"_"&amp;C1988,PRECIOS_COMPLEMENTOS!$H$4:$H$17,0),IF(OR(G1988="S",G1988="20cm"),1,IF(OR(G1988="M",G1988="25cm"),2,IF(OR(G1988="L",G1988="30cm"),3,IF(OR(G1988="XL",G1988="35cm"),4,0))))),0)</f>
        <v>0.6</v>
      </c>
      <c r="J1988" s="103">
        <f t="shared" si="1"/>
        <v>0</v>
      </c>
      <c r="K1988" s="104" t="str">
        <f>IF(H1988&lt;0,"ERROR",IF(H1988=0,"",IF(H1988&lt;CONFIG!$B$4,"CRÍTICO",IF(H1988&lt;CONFIG!$B$5,"BAJO","OK"))))</f>
        <v/>
      </c>
    </row>
    <row r="1989" ht="15.75" hidden="1" customHeight="1">
      <c r="A1989" s="90" t="str">
        <f>IF(CLIENTES!A4="","",CLIENTES!A4)</f>
        <v>OverShark</v>
      </c>
      <c r="B1989" s="90" t="s">
        <v>331</v>
      </c>
      <c r="C1989" s="91" t="s">
        <v>328</v>
      </c>
      <c r="D1989" s="109" t="s">
        <v>364</v>
      </c>
      <c r="E1989" s="67" t="str">
        <f>COLORES!A20</f>
        <v/>
      </c>
      <c r="F1989" s="67" t="str">
        <f>COLORES!B20</f>
        <v/>
      </c>
      <c r="G1989" s="90" t="s">
        <v>376</v>
      </c>
      <c r="H1989" s="100">
        <f>IFERROR(SUMIFS(MOVIMIENTOS_COMPLEMENTOS!$I$4:$I$803,MOVIMIENTOS_COMPLEMENTOS!$C$4:$C$803,A1989,MOVIMIENTOS_COMPLEMENTOS!$D$4:$D$803,B1989,MOVIMIENTOS_COMPLEMENTOS!$E$4:$E$803,C1989,MOVIMIENTOS_COMPLEMENTOS!$F$4:$F$803,D1989,MOVIMIENTOS_COMPLEMENTOS!$G$4:$G$803,E1989,MOVIMIENTOS_COMPLEMENTOS!$H$4:$H$803,G1989,MOVIMIENTOS_COMPLEMENTOS!$B$4:$B$803,"INGRESO")+SUMIFS(MOVIMIENTOS_COMPLEMENTOS!$I$4:$I$803,MOVIMIENTOS_COMPLEMENTOS!$C$4:$C$803,A1989,MOVIMIENTOS_COMPLEMENTOS!$D$4:$D$803,B1989,MOVIMIENTOS_COMPLEMENTOS!$E$4:$E$803,C1989,MOVIMIENTOS_COMPLEMENTOS!$F$4:$F$803,D1989,MOVIMIENTOS_COMPLEMENTOS!$G$4:$G$803,E1989,MOVIMIENTOS_COMPLEMENTOS!$H$4:$H$803,G1989,MOVIMIENTOS_COMPLEMENTOS!$B$4:$B$803,"DE CORTE")-SUMIFS(MOVIMIENTOS_COMPLEMENTOS!$I$4:$I$803,MOVIMIENTOS_COMPLEMENTOS!$C$4:$C$803,A1989,MOVIMIENTOS_COMPLEMENTOS!$D$4:$D$803,B1989,MOVIMIENTOS_COMPLEMENTOS!$E$4:$E$803,C1989,MOVIMIENTOS_COMPLEMENTOS!$F$4:$F$803,D1989,MOVIMIENTOS_COMPLEMENTOS!$G$4:$G$803,E1989,MOVIMIENTOS_COMPLEMENTOS!$H$4:$H$803,G1989,MOVIMIENTOS_COMPLEMENTOS!$B$4:$B$803,"SALIDA"),0)</f>
        <v>0</v>
      </c>
      <c r="I1989" s="102">
        <f t="array" ref="I1989">IFERROR(INDEX(PRECIOS_COMPLEMENTOS!$C$4:$F$17,MATCH(B1989&amp;"_"&amp;C1989,PRECIOS_COMPLEMENTOS!$H$4:$H$17,0),IF(OR(G1989="S",G1989="20cm"),1,IF(OR(G1989="M",G1989="25cm"),2,IF(OR(G1989="L",G1989="30cm"),3,IF(OR(G1989="XL",G1989="35cm"),4,0))))),0)</f>
        <v>0.6</v>
      </c>
      <c r="J1989" s="103">
        <f t="shared" si="1"/>
        <v>0</v>
      </c>
      <c r="K1989" s="104" t="str">
        <f>IF(H1989&lt;0,"ERROR",IF(H1989=0,"",IF(H1989&lt;CONFIG!$B$4,"CRÍTICO",IF(H1989&lt;CONFIG!$B$5,"BAJO","OK"))))</f>
        <v/>
      </c>
    </row>
    <row r="1990" ht="15.75" hidden="1" customHeight="1">
      <c r="A1990" s="90" t="str">
        <f>IF(CLIENTES!A4="","",CLIENTES!A4)</f>
        <v>OverShark</v>
      </c>
      <c r="B1990" s="90" t="s">
        <v>331</v>
      </c>
      <c r="C1990" s="91" t="s">
        <v>328</v>
      </c>
      <c r="D1990" s="109" t="s">
        <v>364</v>
      </c>
      <c r="E1990" s="67" t="str">
        <f>COLORES!A20</f>
        <v/>
      </c>
      <c r="F1990" s="67" t="str">
        <f>COLORES!B20</f>
        <v/>
      </c>
      <c r="G1990" s="90" t="s">
        <v>377</v>
      </c>
      <c r="H1990" s="100">
        <f>IFERROR(SUMIFS(MOVIMIENTOS_COMPLEMENTOS!$I$4:$I$803,MOVIMIENTOS_COMPLEMENTOS!$C$4:$C$803,A1990,MOVIMIENTOS_COMPLEMENTOS!$D$4:$D$803,B1990,MOVIMIENTOS_COMPLEMENTOS!$E$4:$E$803,C1990,MOVIMIENTOS_COMPLEMENTOS!$F$4:$F$803,D1990,MOVIMIENTOS_COMPLEMENTOS!$G$4:$G$803,E1990,MOVIMIENTOS_COMPLEMENTOS!$H$4:$H$803,G1990,MOVIMIENTOS_COMPLEMENTOS!$B$4:$B$803,"INGRESO")+SUMIFS(MOVIMIENTOS_COMPLEMENTOS!$I$4:$I$803,MOVIMIENTOS_COMPLEMENTOS!$C$4:$C$803,A1990,MOVIMIENTOS_COMPLEMENTOS!$D$4:$D$803,B1990,MOVIMIENTOS_COMPLEMENTOS!$E$4:$E$803,C1990,MOVIMIENTOS_COMPLEMENTOS!$F$4:$F$803,D1990,MOVIMIENTOS_COMPLEMENTOS!$G$4:$G$803,E1990,MOVIMIENTOS_COMPLEMENTOS!$H$4:$H$803,G1990,MOVIMIENTOS_COMPLEMENTOS!$B$4:$B$803,"DE CORTE")-SUMIFS(MOVIMIENTOS_COMPLEMENTOS!$I$4:$I$803,MOVIMIENTOS_COMPLEMENTOS!$C$4:$C$803,A1990,MOVIMIENTOS_COMPLEMENTOS!$D$4:$D$803,B1990,MOVIMIENTOS_COMPLEMENTOS!$E$4:$E$803,C1990,MOVIMIENTOS_COMPLEMENTOS!$F$4:$F$803,D1990,MOVIMIENTOS_COMPLEMENTOS!$G$4:$G$803,E1990,MOVIMIENTOS_COMPLEMENTOS!$H$4:$H$803,G1990,MOVIMIENTOS_COMPLEMENTOS!$B$4:$B$803,"SALIDA"),0)</f>
        <v>0</v>
      </c>
      <c r="I1990" s="102">
        <f t="array" ref="I1990">IFERROR(INDEX(PRECIOS_COMPLEMENTOS!$C$4:$F$17,MATCH(B1990&amp;"_"&amp;C1990,PRECIOS_COMPLEMENTOS!$H$4:$H$17,0),IF(OR(G1990="S",G1990="20cm"),1,IF(OR(G1990="M",G1990="25cm"),2,IF(OR(G1990="L",G1990="30cm"),3,IF(OR(G1990="XL",G1990="35cm"),4,0))))),0)</f>
        <v>0.6</v>
      </c>
      <c r="J1990" s="103">
        <f t="shared" si="1"/>
        <v>0</v>
      </c>
      <c r="K1990" s="104" t="str">
        <f>IF(H1990&lt;0,"ERROR",IF(H1990=0,"",IF(H1990&lt;CONFIG!$B$4,"CRÍTICO",IF(H1990&lt;CONFIG!$B$5,"BAJO","OK"))))</f>
        <v/>
      </c>
    </row>
    <row r="1991" ht="15.75" hidden="1" customHeight="1">
      <c r="A1991" s="90" t="str">
        <f>IF(CLIENTES!A4="","",CLIENTES!A4)</f>
        <v>OverShark</v>
      </c>
      <c r="B1991" s="90" t="s">
        <v>331</v>
      </c>
      <c r="C1991" s="91" t="s">
        <v>328</v>
      </c>
      <c r="D1991" s="109" t="s">
        <v>364</v>
      </c>
      <c r="E1991" s="67" t="str">
        <f>COLORES!A20</f>
        <v/>
      </c>
      <c r="F1991" s="67" t="str">
        <f>COLORES!B20</f>
        <v/>
      </c>
      <c r="G1991" s="90" t="s">
        <v>379</v>
      </c>
      <c r="H1991" s="100">
        <f>IFERROR(SUMIFS(MOVIMIENTOS_COMPLEMENTOS!$I$4:$I$803,MOVIMIENTOS_COMPLEMENTOS!$C$4:$C$803,A1991,MOVIMIENTOS_COMPLEMENTOS!$D$4:$D$803,B1991,MOVIMIENTOS_COMPLEMENTOS!$E$4:$E$803,C1991,MOVIMIENTOS_COMPLEMENTOS!$F$4:$F$803,D1991,MOVIMIENTOS_COMPLEMENTOS!$G$4:$G$803,E1991,MOVIMIENTOS_COMPLEMENTOS!$H$4:$H$803,G1991,MOVIMIENTOS_COMPLEMENTOS!$B$4:$B$803,"INGRESO")+SUMIFS(MOVIMIENTOS_COMPLEMENTOS!$I$4:$I$803,MOVIMIENTOS_COMPLEMENTOS!$C$4:$C$803,A1991,MOVIMIENTOS_COMPLEMENTOS!$D$4:$D$803,B1991,MOVIMIENTOS_COMPLEMENTOS!$E$4:$E$803,C1991,MOVIMIENTOS_COMPLEMENTOS!$F$4:$F$803,D1991,MOVIMIENTOS_COMPLEMENTOS!$G$4:$G$803,E1991,MOVIMIENTOS_COMPLEMENTOS!$H$4:$H$803,G1991,MOVIMIENTOS_COMPLEMENTOS!$B$4:$B$803,"DE CORTE")-SUMIFS(MOVIMIENTOS_COMPLEMENTOS!$I$4:$I$803,MOVIMIENTOS_COMPLEMENTOS!$C$4:$C$803,A1991,MOVIMIENTOS_COMPLEMENTOS!$D$4:$D$803,B1991,MOVIMIENTOS_COMPLEMENTOS!$E$4:$E$803,C1991,MOVIMIENTOS_COMPLEMENTOS!$F$4:$F$803,D1991,MOVIMIENTOS_COMPLEMENTOS!$G$4:$G$803,E1991,MOVIMIENTOS_COMPLEMENTOS!$H$4:$H$803,G1991,MOVIMIENTOS_COMPLEMENTOS!$B$4:$B$803,"SALIDA"),0)</f>
        <v>0</v>
      </c>
      <c r="I1991" s="102">
        <f t="array" ref="I1991">IFERROR(INDEX(PRECIOS_COMPLEMENTOS!$C$4:$F$17,MATCH(B1991&amp;"_"&amp;C1991,PRECIOS_COMPLEMENTOS!$H$4:$H$17,0),IF(OR(G1991="S",G1991="20cm"),1,IF(OR(G1991="M",G1991="25cm"),2,IF(OR(G1991="L",G1991="30cm"),3,IF(OR(G1991="XL",G1991="35cm"),4,0))))),0)</f>
        <v>0.6</v>
      </c>
      <c r="J1991" s="103">
        <f t="shared" si="1"/>
        <v>0</v>
      </c>
      <c r="K1991" s="104" t="str">
        <f>IF(H1991&lt;0,"ERROR",IF(H1991=0,"",IF(H1991&lt;CONFIG!$B$4,"CRÍTICO",IF(H1991&lt;CONFIG!$B$5,"BAJO","OK"))))</f>
        <v/>
      </c>
    </row>
    <row r="1992" ht="15.75" hidden="1" customHeight="1">
      <c r="A1992" s="90" t="str">
        <f>IF(CLIENTES!A4="","",CLIENTES!A4)</f>
        <v>OverShark</v>
      </c>
      <c r="B1992" s="90" t="s">
        <v>331</v>
      </c>
      <c r="C1992" s="91" t="s">
        <v>328</v>
      </c>
      <c r="D1992" s="109" t="s">
        <v>364</v>
      </c>
      <c r="E1992" s="67" t="str">
        <f>COLORES!A21</f>
        <v/>
      </c>
      <c r="F1992" s="67" t="str">
        <f>COLORES!B21</f>
        <v/>
      </c>
      <c r="G1992" s="90" t="s">
        <v>378</v>
      </c>
      <c r="H1992" s="100">
        <f>IFERROR(SUMIFS(MOVIMIENTOS_COMPLEMENTOS!$I$4:$I$803,MOVIMIENTOS_COMPLEMENTOS!$C$4:$C$803,A1992,MOVIMIENTOS_COMPLEMENTOS!$D$4:$D$803,B1992,MOVIMIENTOS_COMPLEMENTOS!$E$4:$E$803,C1992,MOVIMIENTOS_COMPLEMENTOS!$F$4:$F$803,D1992,MOVIMIENTOS_COMPLEMENTOS!$G$4:$G$803,E1992,MOVIMIENTOS_COMPLEMENTOS!$H$4:$H$803,G1992,MOVIMIENTOS_COMPLEMENTOS!$B$4:$B$803,"INGRESO")+SUMIFS(MOVIMIENTOS_COMPLEMENTOS!$I$4:$I$803,MOVIMIENTOS_COMPLEMENTOS!$C$4:$C$803,A1992,MOVIMIENTOS_COMPLEMENTOS!$D$4:$D$803,B1992,MOVIMIENTOS_COMPLEMENTOS!$E$4:$E$803,C1992,MOVIMIENTOS_COMPLEMENTOS!$F$4:$F$803,D1992,MOVIMIENTOS_COMPLEMENTOS!$G$4:$G$803,E1992,MOVIMIENTOS_COMPLEMENTOS!$H$4:$H$803,G1992,MOVIMIENTOS_COMPLEMENTOS!$B$4:$B$803,"DE CORTE")-SUMIFS(MOVIMIENTOS_COMPLEMENTOS!$I$4:$I$803,MOVIMIENTOS_COMPLEMENTOS!$C$4:$C$803,A1992,MOVIMIENTOS_COMPLEMENTOS!$D$4:$D$803,B1992,MOVIMIENTOS_COMPLEMENTOS!$E$4:$E$803,C1992,MOVIMIENTOS_COMPLEMENTOS!$F$4:$F$803,D1992,MOVIMIENTOS_COMPLEMENTOS!$G$4:$G$803,E1992,MOVIMIENTOS_COMPLEMENTOS!$H$4:$H$803,G1992,MOVIMIENTOS_COMPLEMENTOS!$B$4:$B$803,"SALIDA"),0)</f>
        <v>0</v>
      </c>
      <c r="I1992" s="102">
        <f t="array" ref="I1992">IFERROR(INDEX(PRECIOS_COMPLEMENTOS!$C$4:$F$17,MATCH(B1992&amp;"_"&amp;C1992,PRECIOS_COMPLEMENTOS!$H$4:$H$17,0),IF(OR(G1992="S",G1992="20cm"),1,IF(OR(G1992="M",G1992="25cm"),2,IF(OR(G1992="L",G1992="30cm"),3,IF(OR(G1992="XL",G1992="35cm"),4,0))))),0)</f>
        <v>0.6</v>
      </c>
      <c r="J1992" s="103">
        <f t="shared" si="1"/>
        <v>0</v>
      </c>
      <c r="K1992" s="104" t="str">
        <f>IF(H1992&lt;0,"ERROR",IF(H1992=0,"",IF(H1992&lt;CONFIG!$B$4,"CRÍTICO",IF(H1992&lt;CONFIG!$B$5,"BAJO","OK"))))</f>
        <v/>
      </c>
    </row>
    <row r="1993" ht="15.75" hidden="1" customHeight="1">
      <c r="A1993" s="90" t="str">
        <f>IF(CLIENTES!A4="","",CLIENTES!A4)</f>
        <v>OverShark</v>
      </c>
      <c r="B1993" s="90" t="s">
        <v>331</v>
      </c>
      <c r="C1993" s="91" t="s">
        <v>328</v>
      </c>
      <c r="D1993" s="109" t="s">
        <v>364</v>
      </c>
      <c r="E1993" s="67" t="str">
        <f>COLORES!A21</f>
        <v/>
      </c>
      <c r="F1993" s="67" t="str">
        <f>COLORES!B21</f>
        <v/>
      </c>
      <c r="G1993" s="90" t="s">
        <v>376</v>
      </c>
      <c r="H1993" s="100">
        <f>IFERROR(SUMIFS(MOVIMIENTOS_COMPLEMENTOS!$I$4:$I$803,MOVIMIENTOS_COMPLEMENTOS!$C$4:$C$803,A1993,MOVIMIENTOS_COMPLEMENTOS!$D$4:$D$803,B1993,MOVIMIENTOS_COMPLEMENTOS!$E$4:$E$803,C1993,MOVIMIENTOS_COMPLEMENTOS!$F$4:$F$803,D1993,MOVIMIENTOS_COMPLEMENTOS!$G$4:$G$803,E1993,MOVIMIENTOS_COMPLEMENTOS!$H$4:$H$803,G1993,MOVIMIENTOS_COMPLEMENTOS!$B$4:$B$803,"INGRESO")+SUMIFS(MOVIMIENTOS_COMPLEMENTOS!$I$4:$I$803,MOVIMIENTOS_COMPLEMENTOS!$C$4:$C$803,A1993,MOVIMIENTOS_COMPLEMENTOS!$D$4:$D$803,B1993,MOVIMIENTOS_COMPLEMENTOS!$E$4:$E$803,C1993,MOVIMIENTOS_COMPLEMENTOS!$F$4:$F$803,D1993,MOVIMIENTOS_COMPLEMENTOS!$G$4:$G$803,E1993,MOVIMIENTOS_COMPLEMENTOS!$H$4:$H$803,G1993,MOVIMIENTOS_COMPLEMENTOS!$B$4:$B$803,"DE CORTE")-SUMIFS(MOVIMIENTOS_COMPLEMENTOS!$I$4:$I$803,MOVIMIENTOS_COMPLEMENTOS!$C$4:$C$803,A1993,MOVIMIENTOS_COMPLEMENTOS!$D$4:$D$803,B1993,MOVIMIENTOS_COMPLEMENTOS!$E$4:$E$803,C1993,MOVIMIENTOS_COMPLEMENTOS!$F$4:$F$803,D1993,MOVIMIENTOS_COMPLEMENTOS!$G$4:$G$803,E1993,MOVIMIENTOS_COMPLEMENTOS!$H$4:$H$803,G1993,MOVIMIENTOS_COMPLEMENTOS!$B$4:$B$803,"SALIDA"),0)</f>
        <v>0</v>
      </c>
      <c r="I1993" s="102">
        <f t="array" ref="I1993">IFERROR(INDEX(PRECIOS_COMPLEMENTOS!$C$4:$F$17,MATCH(B1993&amp;"_"&amp;C1993,PRECIOS_COMPLEMENTOS!$H$4:$H$17,0),IF(OR(G1993="S",G1993="20cm"),1,IF(OR(G1993="M",G1993="25cm"),2,IF(OR(G1993="L",G1993="30cm"),3,IF(OR(G1993="XL",G1993="35cm"),4,0))))),0)</f>
        <v>0.6</v>
      </c>
      <c r="J1993" s="103">
        <f t="shared" si="1"/>
        <v>0</v>
      </c>
      <c r="K1993" s="104" t="str">
        <f>IF(H1993&lt;0,"ERROR",IF(H1993=0,"",IF(H1993&lt;CONFIG!$B$4,"CRÍTICO",IF(H1993&lt;CONFIG!$B$5,"BAJO","OK"))))</f>
        <v/>
      </c>
    </row>
    <row r="1994" ht="15.75" hidden="1" customHeight="1">
      <c r="A1994" s="90" t="str">
        <f>IF(CLIENTES!A4="","",CLIENTES!A4)</f>
        <v>OverShark</v>
      </c>
      <c r="B1994" s="90" t="s">
        <v>331</v>
      </c>
      <c r="C1994" s="91" t="s">
        <v>328</v>
      </c>
      <c r="D1994" s="109" t="s">
        <v>364</v>
      </c>
      <c r="E1994" s="67" t="str">
        <f>COLORES!A21</f>
        <v/>
      </c>
      <c r="F1994" s="67" t="str">
        <f>COLORES!B21</f>
        <v/>
      </c>
      <c r="G1994" s="90" t="s">
        <v>377</v>
      </c>
      <c r="H1994" s="100">
        <f>IFERROR(SUMIFS(MOVIMIENTOS_COMPLEMENTOS!$I$4:$I$803,MOVIMIENTOS_COMPLEMENTOS!$C$4:$C$803,A1994,MOVIMIENTOS_COMPLEMENTOS!$D$4:$D$803,B1994,MOVIMIENTOS_COMPLEMENTOS!$E$4:$E$803,C1994,MOVIMIENTOS_COMPLEMENTOS!$F$4:$F$803,D1994,MOVIMIENTOS_COMPLEMENTOS!$G$4:$G$803,E1994,MOVIMIENTOS_COMPLEMENTOS!$H$4:$H$803,G1994,MOVIMIENTOS_COMPLEMENTOS!$B$4:$B$803,"INGRESO")+SUMIFS(MOVIMIENTOS_COMPLEMENTOS!$I$4:$I$803,MOVIMIENTOS_COMPLEMENTOS!$C$4:$C$803,A1994,MOVIMIENTOS_COMPLEMENTOS!$D$4:$D$803,B1994,MOVIMIENTOS_COMPLEMENTOS!$E$4:$E$803,C1994,MOVIMIENTOS_COMPLEMENTOS!$F$4:$F$803,D1994,MOVIMIENTOS_COMPLEMENTOS!$G$4:$G$803,E1994,MOVIMIENTOS_COMPLEMENTOS!$H$4:$H$803,G1994,MOVIMIENTOS_COMPLEMENTOS!$B$4:$B$803,"DE CORTE")-SUMIFS(MOVIMIENTOS_COMPLEMENTOS!$I$4:$I$803,MOVIMIENTOS_COMPLEMENTOS!$C$4:$C$803,A1994,MOVIMIENTOS_COMPLEMENTOS!$D$4:$D$803,B1994,MOVIMIENTOS_COMPLEMENTOS!$E$4:$E$803,C1994,MOVIMIENTOS_COMPLEMENTOS!$F$4:$F$803,D1994,MOVIMIENTOS_COMPLEMENTOS!$G$4:$G$803,E1994,MOVIMIENTOS_COMPLEMENTOS!$H$4:$H$803,G1994,MOVIMIENTOS_COMPLEMENTOS!$B$4:$B$803,"SALIDA"),0)</f>
        <v>0</v>
      </c>
      <c r="I1994" s="102">
        <f t="array" ref="I1994">IFERROR(INDEX(PRECIOS_COMPLEMENTOS!$C$4:$F$17,MATCH(B1994&amp;"_"&amp;C1994,PRECIOS_COMPLEMENTOS!$H$4:$H$17,0),IF(OR(G1994="S",G1994="20cm"),1,IF(OR(G1994="M",G1994="25cm"),2,IF(OR(G1994="L",G1994="30cm"),3,IF(OR(G1994="XL",G1994="35cm"),4,0))))),0)</f>
        <v>0.6</v>
      </c>
      <c r="J1994" s="103">
        <f t="shared" si="1"/>
        <v>0</v>
      </c>
      <c r="K1994" s="104" t="str">
        <f>IF(H1994&lt;0,"ERROR",IF(H1994=0,"",IF(H1994&lt;CONFIG!$B$4,"CRÍTICO",IF(H1994&lt;CONFIG!$B$5,"BAJO","OK"))))</f>
        <v/>
      </c>
    </row>
    <row r="1995" ht="15.75" hidden="1" customHeight="1">
      <c r="A1995" s="90" t="str">
        <f>IF(CLIENTES!A4="","",CLIENTES!A4)</f>
        <v>OverShark</v>
      </c>
      <c r="B1995" s="90" t="s">
        <v>331</v>
      </c>
      <c r="C1995" s="91" t="s">
        <v>328</v>
      </c>
      <c r="D1995" s="109" t="s">
        <v>364</v>
      </c>
      <c r="E1995" s="67" t="str">
        <f>COLORES!A21</f>
        <v/>
      </c>
      <c r="F1995" s="67" t="str">
        <f>COLORES!B21</f>
        <v/>
      </c>
      <c r="G1995" s="90" t="s">
        <v>379</v>
      </c>
      <c r="H1995" s="100">
        <f>IFERROR(SUMIFS(MOVIMIENTOS_COMPLEMENTOS!$I$4:$I$803,MOVIMIENTOS_COMPLEMENTOS!$C$4:$C$803,A1995,MOVIMIENTOS_COMPLEMENTOS!$D$4:$D$803,B1995,MOVIMIENTOS_COMPLEMENTOS!$E$4:$E$803,C1995,MOVIMIENTOS_COMPLEMENTOS!$F$4:$F$803,D1995,MOVIMIENTOS_COMPLEMENTOS!$G$4:$G$803,E1995,MOVIMIENTOS_COMPLEMENTOS!$H$4:$H$803,G1995,MOVIMIENTOS_COMPLEMENTOS!$B$4:$B$803,"INGRESO")+SUMIFS(MOVIMIENTOS_COMPLEMENTOS!$I$4:$I$803,MOVIMIENTOS_COMPLEMENTOS!$C$4:$C$803,A1995,MOVIMIENTOS_COMPLEMENTOS!$D$4:$D$803,B1995,MOVIMIENTOS_COMPLEMENTOS!$E$4:$E$803,C1995,MOVIMIENTOS_COMPLEMENTOS!$F$4:$F$803,D1995,MOVIMIENTOS_COMPLEMENTOS!$G$4:$G$803,E1995,MOVIMIENTOS_COMPLEMENTOS!$H$4:$H$803,G1995,MOVIMIENTOS_COMPLEMENTOS!$B$4:$B$803,"DE CORTE")-SUMIFS(MOVIMIENTOS_COMPLEMENTOS!$I$4:$I$803,MOVIMIENTOS_COMPLEMENTOS!$C$4:$C$803,A1995,MOVIMIENTOS_COMPLEMENTOS!$D$4:$D$803,B1995,MOVIMIENTOS_COMPLEMENTOS!$E$4:$E$803,C1995,MOVIMIENTOS_COMPLEMENTOS!$F$4:$F$803,D1995,MOVIMIENTOS_COMPLEMENTOS!$G$4:$G$803,E1995,MOVIMIENTOS_COMPLEMENTOS!$H$4:$H$803,G1995,MOVIMIENTOS_COMPLEMENTOS!$B$4:$B$803,"SALIDA"),0)</f>
        <v>0</v>
      </c>
      <c r="I1995" s="102">
        <f t="array" ref="I1995">IFERROR(INDEX(PRECIOS_COMPLEMENTOS!$C$4:$F$17,MATCH(B1995&amp;"_"&amp;C1995,PRECIOS_COMPLEMENTOS!$H$4:$H$17,0),IF(OR(G1995="S",G1995="20cm"),1,IF(OR(G1995="M",G1995="25cm"),2,IF(OR(G1995="L",G1995="30cm"),3,IF(OR(G1995="XL",G1995="35cm"),4,0))))),0)</f>
        <v>0.6</v>
      </c>
      <c r="J1995" s="103">
        <f t="shared" si="1"/>
        <v>0</v>
      </c>
      <c r="K1995" s="104" t="str">
        <f>IF(H1995&lt;0,"ERROR",IF(H1995=0,"",IF(H1995&lt;CONFIG!$B$4,"CRÍTICO",IF(H1995&lt;CONFIG!$B$5,"BAJO","OK"))))</f>
        <v/>
      </c>
    </row>
    <row r="1996" ht="15.75" hidden="1" customHeight="1">
      <c r="A1996" s="90" t="str">
        <f>IF(CLIENTES!A4="","",CLIENTES!A4)</f>
        <v>OverShark</v>
      </c>
      <c r="B1996" s="90" t="s">
        <v>331</v>
      </c>
      <c r="C1996" s="91" t="s">
        <v>328</v>
      </c>
      <c r="D1996" s="109" t="s">
        <v>364</v>
      </c>
      <c r="E1996" s="67" t="str">
        <f>COLORES!A22</f>
        <v/>
      </c>
      <c r="F1996" s="67" t="str">
        <f>COLORES!B22</f>
        <v/>
      </c>
      <c r="G1996" s="90" t="s">
        <v>378</v>
      </c>
      <c r="H1996" s="100">
        <f>IFERROR(SUMIFS(MOVIMIENTOS_COMPLEMENTOS!$I$4:$I$803,MOVIMIENTOS_COMPLEMENTOS!$C$4:$C$803,A1996,MOVIMIENTOS_COMPLEMENTOS!$D$4:$D$803,B1996,MOVIMIENTOS_COMPLEMENTOS!$E$4:$E$803,C1996,MOVIMIENTOS_COMPLEMENTOS!$F$4:$F$803,D1996,MOVIMIENTOS_COMPLEMENTOS!$G$4:$G$803,E1996,MOVIMIENTOS_COMPLEMENTOS!$H$4:$H$803,G1996,MOVIMIENTOS_COMPLEMENTOS!$B$4:$B$803,"INGRESO")+SUMIFS(MOVIMIENTOS_COMPLEMENTOS!$I$4:$I$803,MOVIMIENTOS_COMPLEMENTOS!$C$4:$C$803,A1996,MOVIMIENTOS_COMPLEMENTOS!$D$4:$D$803,B1996,MOVIMIENTOS_COMPLEMENTOS!$E$4:$E$803,C1996,MOVIMIENTOS_COMPLEMENTOS!$F$4:$F$803,D1996,MOVIMIENTOS_COMPLEMENTOS!$G$4:$G$803,E1996,MOVIMIENTOS_COMPLEMENTOS!$H$4:$H$803,G1996,MOVIMIENTOS_COMPLEMENTOS!$B$4:$B$803,"DE CORTE")-SUMIFS(MOVIMIENTOS_COMPLEMENTOS!$I$4:$I$803,MOVIMIENTOS_COMPLEMENTOS!$C$4:$C$803,A1996,MOVIMIENTOS_COMPLEMENTOS!$D$4:$D$803,B1996,MOVIMIENTOS_COMPLEMENTOS!$E$4:$E$803,C1996,MOVIMIENTOS_COMPLEMENTOS!$F$4:$F$803,D1996,MOVIMIENTOS_COMPLEMENTOS!$G$4:$G$803,E1996,MOVIMIENTOS_COMPLEMENTOS!$H$4:$H$803,G1996,MOVIMIENTOS_COMPLEMENTOS!$B$4:$B$803,"SALIDA"),0)</f>
        <v>0</v>
      </c>
      <c r="I1996" s="102">
        <f t="array" ref="I1996">IFERROR(INDEX(PRECIOS_COMPLEMENTOS!$C$4:$F$17,MATCH(B1996&amp;"_"&amp;C1996,PRECIOS_COMPLEMENTOS!$H$4:$H$17,0),IF(OR(G1996="S",G1996="20cm"),1,IF(OR(G1996="M",G1996="25cm"),2,IF(OR(G1996="L",G1996="30cm"),3,IF(OR(G1996="XL",G1996="35cm"),4,0))))),0)</f>
        <v>0.6</v>
      </c>
      <c r="J1996" s="103">
        <f t="shared" si="1"/>
        <v>0</v>
      </c>
      <c r="K1996" s="104" t="str">
        <f>IF(H1996&lt;0,"ERROR",IF(H1996=0,"",IF(H1996&lt;CONFIG!$B$4,"CRÍTICO",IF(H1996&lt;CONFIG!$B$5,"BAJO","OK"))))</f>
        <v/>
      </c>
    </row>
    <row r="1997" ht="15.75" hidden="1" customHeight="1">
      <c r="A1997" s="90" t="str">
        <f>IF(CLIENTES!A4="","",CLIENTES!A4)</f>
        <v>OverShark</v>
      </c>
      <c r="B1997" s="90" t="s">
        <v>331</v>
      </c>
      <c r="C1997" s="91" t="s">
        <v>328</v>
      </c>
      <c r="D1997" s="109" t="s">
        <v>364</v>
      </c>
      <c r="E1997" s="67" t="str">
        <f>COLORES!A22</f>
        <v/>
      </c>
      <c r="F1997" s="67" t="str">
        <f>COLORES!B22</f>
        <v/>
      </c>
      <c r="G1997" s="90" t="s">
        <v>376</v>
      </c>
      <c r="H1997" s="100">
        <f>IFERROR(SUMIFS(MOVIMIENTOS_COMPLEMENTOS!$I$4:$I$803,MOVIMIENTOS_COMPLEMENTOS!$C$4:$C$803,A1997,MOVIMIENTOS_COMPLEMENTOS!$D$4:$D$803,B1997,MOVIMIENTOS_COMPLEMENTOS!$E$4:$E$803,C1997,MOVIMIENTOS_COMPLEMENTOS!$F$4:$F$803,D1997,MOVIMIENTOS_COMPLEMENTOS!$G$4:$G$803,E1997,MOVIMIENTOS_COMPLEMENTOS!$H$4:$H$803,G1997,MOVIMIENTOS_COMPLEMENTOS!$B$4:$B$803,"INGRESO")+SUMIFS(MOVIMIENTOS_COMPLEMENTOS!$I$4:$I$803,MOVIMIENTOS_COMPLEMENTOS!$C$4:$C$803,A1997,MOVIMIENTOS_COMPLEMENTOS!$D$4:$D$803,B1997,MOVIMIENTOS_COMPLEMENTOS!$E$4:$E$803,C1997,MOVIMIENTOS_COMPLEMENTOS!$F$4:$F$803,D1997,MOVIMIENTOS_COMPLEMENTOS!$G$4:$G$803,E1997,MOVIMIENTOS_COMPLEMENTOS!$H$4:$H$803,G1997,MOVIMIENTOS_COMPLEMENTOS!$B$4:$B$803,"DE CORTE")-SUMIFS(MOVIMIENTOS_COMPLEMENTOS!$I$4:$I$803,MOVIMIENTOS_COMPLEMENTOS!$C$4:$C$803,A1997,MOVIMIENTOS_COMPLEMENTOS!$D$4:$D$803,B1997,MOVIMIENTOS_COMPLEMENTOS!$E$4:$E$803,C1997,MOVIMIENTOS_COMPLEMENTOS!$F$4:$F$803,D1997,MOVIMIENTOS_COMPLEMENTOS!$G$4:$G$803,E1997,MOVIMIENTOS_COMPLEMENTOS!$H$4:$H$803,G1997,MOVIMIENTOS_COMPLEMENTOS!$B$4:$B$803,"SALIDA"),0)</f>
        <v>0</v>
      </c>
      <c r="I1997" s="102">
        <f t="array" ref="I1997">IFERROR(INDEX(PRECIOS_COMPLEMENTOS!$C$4:$F$17,MATCH(B1997&amp;"_"&amp;C1997,PRECIOS_COMPLEMENTOS!$H$4:$H$17,0),IF(OR(G1997="S",G1997="20cm"),1,IF(OR(G1997="M",G1997="25cm"),2,IF(OR(G1997="L",G1997="30cm"),3,IF(OR(G1997="XL",G1997="35cm"),4,0))))),0)</f>
        <v>0.6</v>
      </c>
      <c r="J1997" s="103">
        <f t="shared" si="1"/>
        <v>0</v>
      </c>
      <c r="K1997" s="104" t="str">
        <f>IF(H1997&lt;0,"ERROR",IF(H1997=0,"",IF(H1997&lt;CONFIG!$B$4,"CRÍTICO",IF(H1997&lt;CONFIG!$B$5,"BAJO","OK"))))</f>
        <v/>
      </c>
    </row>
    <row r="1998" ht="15.75" hidden="1" customHeight="1">
      <c r="A1998" s="90" t="str">
        <f>IF(CLIENTES!A4="","",CLIENTES!A4)</f>
        <v>OverShark</v>
      </c>
      <c r="B1998" s="90" t="s">
        <v>331</v>
      </c>
      <c r="C1998" s="91" t="s">
        <v>328</v>
      </c>
      <c r="D1998" s="109" t="s">
        <v>364</v>
      </c>
      <c r="E1998" s="67" t="str">
        <f>COLORES!A22</f>
        <v/>
      </c>
      <c r="F1998" s="67" t="str">
        <f>COLORES!B22</f>
        <v/>
      </c>
      <c r="G1998" s="90" t="s">
        <v>377</v>
      </c>
      <c r="H1998" s="100">
        <f>IFERROR(SUMIFS(MOVIMIENTOS_COMPLEMENTOS!$I$4:$I$803,MOVIMIENTOS_COMPLEMENTOS!$C$4:$C$803,A1998,MOVIMIENTOS_COMPLEMENTOS!$D$4:$D$803,B1998,MOVIMIENTOS_COMPLEMENTOS!$E$4:$E$803,C1998,MOVIMIENTOS_COMPLEMENTOS!$F$4:$F$803,D1998,MOVIMIENTOS_COMPLEMENTOS!$G$4:$G$803,E1998,MOVIMIENTOS_COMPLEMENTOS!$H$4:$H$803,G1998,MOVIMIENTOS_COMPLEMENTOS!$B$4:$B$803,"INGRESO")+SUMIFS(MOVIMIENTOS_COMPLEMENTOS!$I$4:$I$803,MOVIMIENTOS_COMPLEMENTOS!$C$4:$C$803,A1998,MOVIMIENTOS_COMPLEMENTOS!$D$4:$D$803,B1998,MOVIMIENTOS_COMPLEMENTOS!$E$4:$E$803,C1998,MOVIMIENTOS_COMPLEMENTOS!$F$4:$F$803,D1998,MOVIMIENTOS_COMPLEMENTOS!$G$4:$G$803,E1998,MOVIMIENTOS_COMPLEMENTOS!$H$4:$H$803,G1998,MOVIMIENTOS_COMPLEMENTOS!$B$4:$B$803,"DE CORTE")-SUMIFS(MOVIMIENTOS_COMPLEMENTOS!$I$4:$I$803,MOVIMIENTOS_COMPLEMENTOS!$C$4:$C$803,A1998,MOVIMIENTOS_COMPLEMENTOS!$D$4:$D$803,B1998,MOVIMIENTOS_COMPLEMENTOS!$E$4:$E$803,C1998,MOVIMIENTOS_COMPLEMENTOS!$F$4:$F$803,D1998,MOVIMIENTOS_COMPLEMENTOS!$G$4:$G$803,E1998,MOVIMIENTOS_COMPLEMENTOS!$H$4:$H$803,G1998,MOVIMIENTOS_COMPLEMENTOS!$B$4:$B$803,"SALIDA"),0)</f>
        <v>0</v>
      </c>
      <c r="I1998" s="102">
        <f t="array" ref="I1998">IFERROR(INDEX(PRECIOS_COMPLEMENTOS!$C$4:$F$17,MATCH(B1998&amp;"_"&amp;C1998,PRECIOS_COMPLEMENTOS!$H$4:$H$17,0),IF(OR(G1998="S",G1998="20cm"),1,IF(OR(G1998="M",G1998="25cm"),2,IF(OR(G1998="L",G1998="30cm"),3,IF(OR(G1998="XL",G1998="35cm"),4,0))))),0)</f>
        <v>0.6</v>
      </c>
      <c r="J1998" s="103">
        <f t="shared" si="1"/>
        <v>0</v>
      </c>
      <c r="K1998" s="104" t="str">
        <f>IF(H1998&lt;0,"ERROR",IF(H1998=0,"",IF(H1998&lt;CONFIG!$B$4,"CRÍTICO",IF(H1998&lt;CONFIG!$B$5,"BAJO","OK"))))</f>
        <v/>
      </c>
    </row>
    <row r="1999" ht="15.75" hidden="1" customHeight="1">
      <c r="A1999" s="90" t="str">
        <f>IF(CLIENTES!A4="","",CLIENTES!A4)</f>
        <v>OverShark</v>
      </c>
      <c r="B1999" s="90" t="s">
        <v>331</v>
      </c>
      <c r="C1999" s="91" t="s">
        <v>328</v>
      </c>
      <c r="D1999" s="109" t="s">
        <v>364</v>
      </c>
      <c r="E1999" s="67" t="str">
        <f>COLORES!A22</f>
        <v/>
      </c>
      <c r="F1999" s="67" t="str">
        <f>COLORES!B22</f>
        <v/>
      </c>
      <c r="G1999" s="90" t="s">
        <v>379</v>
      </c>
      <c r="H1999" s="100">
        <f>IFERROR(SUMIFS(MOVIMIENTOS_COMPLEMENTOS!$I$4:$I$803,MOVIMIENTOS_COMPLEMENTOS!$C$4:$C$803,A1999,MOVIMIENTOS_COMPLEMENTOS!$D$4:$D$803,B1999,MOVIMIENTOS_COMPLEMENTOS!$E$4:$E$803,C1999,MOVIMIENTOS_COMPLEMENTOS!$F$4:$F$803,D1999,MOVIMIENTOS_COMPLEMENTOS!$G$4:$G$803,E1999,MOVIMIENTOS_COMPLEMENTOS!$H$4:$H$803,G1999,MOVIMIENTOS_COMPLEMENTOS!$B$4:$B$803,"INGRESO")+SUMIFS(MOVIMIENTOS_COMPLEMENTOS!$I$4:$I$803,MOVIMIENTOS_COMPLEMENTOS!$C$4:$C$803,A1999,MOVIMIENTOS_COMPLEMENTOS!$D$4:$D$803,B1999,MOVIMIENTOS_COMPLEMENTOS!$E$4:$E$803,C1999,MOVIMIENTOS_COMPLEMENTOS!$F$4:$F$803,D1999,MOVIMIENTOS_COMPLEMENTOS!$G$4:$G$803,E1999,MOVIMIENTOS_COMPLEMENTOS!$H$4:$H$803,G1999,MOVIMIENTOS_COMPLEMENTOS!$B$4:$B$803,"DE CORTE")-SUMIFS(MOVIMIENTOS_COMPLEMENTOS!$I$4:$I$803,MOVIMIENTOS_COMPLEMENTOS!$C$4:$C$803,A1999,MOVIMIENTOS_COMPLEMENTOS!$D$4:$D$803,B1999,MOVIMIENTOS_COMPLEMENTOS!$E$4:$E$803,C1999,MOVIMIENTOS_COMPLEMENTOS!$F$4:$F$803,D1999,MOVIMIENTOS_COMPLEMENTOS!$G$4:$G$803,E1999,MOVIMIENTOS_COMPLEMENTOS!$H$4:$H$803,G1999,MOVIMIENTOS_COMPLEMENTOS!$B$4:$B$803,"SALIDA"),0)</f>
        <v>0</v>
      </c>
      <c r="I1999" s="102">
        <f t="array" ref="I1999">IFERROR(INDEX(PRECIOS_COMPLEMENTOS!$C$4:$F$17,MATCH(B1999&amp;"_"&amp;C1999,PRECIOS_COMPLEMENTOS!$H$4:$H$17,0),IF(OR(G1999="S",G1999="20cm"),1,IF(OR(G1999="M",G1999="25cm"),2,IF(OR(G1999="L",G1999="30cm"),3,IF(OR(G1999="XL",G1999="35cm"),4,0))))),0)</f>
        <v>0.6</v>
      </c>
      <c r="J1999" s="103">
        <f t="shared" si="1"/>
        <v>0</v>
      </c>
      <c r="K1999" s="104" t="str">
        <f>IF(H1999&lt;0,"ERROR",IF(H1999=0,"",IF(H1999&lt;CONFIG!$B$4,"CRÍTICO",IF(H1999&lt;CONFIG!$B$5,"BAJO","OK"))))</f>
        <v/>
      </c>
    </row>
    <row r="2000" ht="15.75" hidden="1" customHeight="1">
      <c r="A2000" s="90" t="str">
        <f>IF(CLIENTES!A4="","",CLIENTES!A4)</f>
        <v>OverShark</v>
      </c>
      <c r="B2000" s="90" t="s">
        <v>331</v>
      </c>
      <c r="C2000" s="91" t="s">
        <v>328</v>
      </c>
      <c r="D2000" s="109" t="s">
        <v>364</v>
      </c>
      <c r="E2000" s="67" t="str">
        <f>COLORES!A23</f>
        <v/>
      </c>
      <c r="F2000" s="67" t="str">
        <f>COLORES!B23</f>
        <v/>
      </c>
      <c r="G2000" s="90" t="s">
        <v>378</v>
      </c>
      <c r="H2000" s="100">
        <f>IFERROR(SUMIFS(MOVIMIENTOS_COMPLEMENTOS!$I$4:$I$803,MOVIMIENTOS_COMPLEMENTOS!$C$4:$C$803,A2000,MOVIMIENTOS_COMPLEMENTOS!$D$4:$D$803,B2000,MOVIMIENTOS_COMPLEMENTOS!$E$4:$E$803,C2000,MOVIMIENTOS_COMPLEMENTOS!$F$4:$F$803,D2000,MOVIMIENTOS_COMPLEMENTOS!$G$4:$G$803,E2000,MOVIMIENTOS_COMPLEMENTOS!$H$4:$H$803,G2000,MOVIMIENTOS_COMPLEMENTOS!$B$4:$B$803,"INGRESO")+SUMIFS(MOVIMIENTOS_COMPLEMENTOS!$I$4:$I$803,MOVIMIENTOS_COMPLEMENTOS!$C$4:$C$803,A2000,MOVIMIENTOS_COMPLEMENTOS!$D$4:$D$803,B2000,MOVIMIENTOS_COMPLEMENTOS!$E$4:$E$803,C2000,MOVIMIENTOS_COMPLEMENTOS!$F$4:$F$803,D2000,MOVIMIENTOS_COMPLEMENTOS!$G$4:$G$803,E2000,MOVIMIENTOS_COMPLEMENTOS!$H$4:$H$803,G2000,MOVIMIENTOS_COMPLEMENTOS!$B$4:$B$803,"DE CORTE")-SUMIFS(MOVIMIENTOS_COMPLEMENTOS!$I$4:$I$803,MOVIMIENTOS_COMPLEMENTOS!$C$4:$C$803,A2000,MOVIMIENTOS_COMPLEMENTOS!$D$4:$D$803,B2000,MOVIMIENTOS_COMPLEMENTOS!$E$4:$E$803,C2000,MOVIMIENTOS_COMPLEMENTOS!$F$4:$F$803,D2000,MOVIMIENTOS_COMPLEMENTOS!$G$4:$G$803,E2000,MOVIMIENTOS_COMPLEMENTOS!$H$4:$H$803,G2000,MOVIMIENTOS_COMPLEMENTOS!$B$4:$B$803,"SALIDA"),0)</f>
        <v>0</v>
      </c>
      <c r="I2000" s="102">
        <f t="array" ref="I2000">IFERROR(INDEX(PRECIOS_COMPLEMENTOS!$C$4:$F$17,MATCH(B2000&amp;"_"&amp;C2000,PRECIOS_COMPLEMENTOS!$H$4:$H$17,0),IF(OR(G2000="S",G2000="20cm"),1,IF(OR(G2000="M",G2000="25cm"),2,IF(OR(G2000="L",G2000="30cm"),3,IF(OR(G2000="XL",G2000="35cm"),4,0))))),0)</f>
        <v>0.6</v>
      </c>
      <c r="J2000" s="103">
        <f t="shared" si="1"/>
        <v>0</v>
      </c>
      <c r="K2000" s="104" t="str">
        <f>IF(H2000&lt;0,"ERROR",IF(H2000=0,"",IF(H2000&lt;CONFIG!$B$4,"CRÍTICO",IF(H2000&lt;CONFIG!$B$5,"BAJO","OK"))))</f>
        <v/>
      </c>
    </row>
    <row r="2001" ht="15.75" hidden="1" customHeight="1">
      <c r="A2001" s="90" t="str">
        <f>IF(CLIENTES!A4="","",CLIENTES!A4)</f>
        <v>OverShark</v>
      </c>
      <c r="B2001" s="90" t="s">
        <v>331</v>
      </c>
      <c r="C2001" s="91" t="s">
        <v>328</v>
      </c>
      <c r="D2001" s="109" t="s">
        <v>364</v>
      </c>
      <c r="E2001" s="67" t="str">
        <f>COLORES!A23</f>
        <v/>
      </c>
      <c r="F2001" s="67" t="str">
        <f>COLORES!B23</f>
        <v/>
      </c>
      <c r="G2001" s="90" t="s">
        <v>376</v>
      </c>
      <c r="H2001" s="100">
        <f>IFERROR(SUMIFS(MOVIMIENTOS_COMPLEMENTOS!$I$4:$I$803,MOVIMIENTOS_COMPLEMENTOS!$C$4:$C$803,A2001,MOVIMIENTOS_COMPLEMENTOS!$D$4:$D$803,B2001,MOVIMIENTOS_COMPLEMENTOS!$E$4:$E$803,C2001,MOVIMIENTOS_COMPLEMENTOS!$F$4:$F$803,D2001,MOVIMIENTOS_COMPLEMENTOS!$G$4:$G$803,E2001,MOVIMIENTOS_COMPLEMENTOS!$H$4:$H$803,G2001,MOVIMIENTOS_COMPLEMENTOS!$B$4:$B$803,"INGRESO")+SUMIFS(MOVIMIENTOS_COMPLEMENTOS!$I$4:$I$803,MOVIMIENTOS_COMPLEMENTOS!$C$4:$C$803,A2001,MOVIMIENTOS_COMPLEMENTOS!$D$4:$D$803,B2001,MOVIMIENTOS_COMPLEMENTOS!$E$4:$E$803,C2001,MOVIMIENTOS_COMPLEMENTOS!$F$4:$F$803,D2001,MOVIMIENTOS_COMPLEMENTOS!$G$4:$G$803,E2001,MOVIMIENTOS_COMPLEMENTOS!$H$4:$H$803,G2001,MOVIMIENTOS_COMPLEMENTOS!$B$4:$B$803,"DE CORTE")-SUMIFS(MOVIMIENTOS_COMPLEMENTOS!$I$4:$I$803,MOVIMIENTOS_COMPLEMENTOS!$C$4:$C$803,A2001,MOVIMIENTOS_COMPLEMENTOS!$D$4:$D$803,B2001,MOVIMIENTOS_COMPLEMENTOS!$E$4:$E$803,C2001,MOVIMIENTOS_COMPLEMENTOS!$F$4:$F$803,D2001,MOVIMIENTOS_COMPLEMENTOS!$G$4:$G$803,E2001,MOVIMIENTOS_COMPLEMENTOS!$H$4:$H$803,G2001,MOVIMIENTOS_COMPLEMENTOS!$B$4:$B$803,"SALIDA"),0)</f>
        <v>0</v>
      </c>
      <c r="I2001" s="102">
        <f t="array" ref="I2001">IFERROR(INDEX(PRECIOS_COMPLEMENTOS!$C$4:$F$17,MATCH(B2001&amp;"_"&amp;C2001,PRECIOS_COMPLEMENTOS!$H$4:$H$17,0),IF(OR(G2001="S",G2001="20cm"),1,IF(OR(G2001="M",G2001="25cm"),2,IF(OR(G2001="L",G2001="30cm"),3,IF(OR(G2001="XL",G2001="35cm"),4,0))))),0)</f>
        <v>0.6</v>
      </c>
      <c r="J2001" s="103">
        <f t="shared" si="1"/>
        <v>0</v>
      </c>
      <c r="K2001" s="104" t="str">
        <f>IF(H2001&lt;0,"ERROR",IF(H2001=0,"",IF(H2001&lt;CONFIG!$B$4,"CRÍTICO",IF(H2001&lt;CONFIG!$B$5,"BAJO","OK"))))</f>
        <v/>
      </c>
    </row>
    <row r="2002" ht="15.75" hidden="1" customHeight="1">
      <c r="A2002" s="90" t="str">
        <f>IF(CLIENTES!A4="","",CLIENTES!A4)</f>
        <v>OverShark</v>
      </c>
      <c r="B2002" s="90" t="s">
        <v>331</v>
      </c>
      <c r="C2002" s="91" t="s">
        <v>328</v>
      </c>
      <c r="D2002" s="109" t="s">
        <v>364</v>
      </c>
      <c r="E2002" s="67" t="str">
        <f>COLORES!A23</f>
        <v/>
      </c>
      <c r="F2002" s="67" t="str">
        <f>COLORES!B23</f>
        <v/>
      </c>
      <c r="G2002" s="90" t="s">
        <v>377</v>
      </c>
      <c r="H2002" s="100">
        <f>IFERROR(SUMIFS(MOVIMIENTOS_COMPLEMENTOS!$I$4:$I$803,MOVIMIENTOS_COMPLEMENTOS!$C$4:$C$803,A2002,MOVIMIENTOS_COMPLEMENTOS!$D$4:$D$803,B2002,MOVIMIENTOS_COMPLEMENTOS!$E$4:$E$803,C2002,MOVIMIENTOS_COMPLEMENTOS!$F$4:$F$803,D2002,MOVIMIENTOS_COMPLEMENTOS!$G$4:$G$803,E2002,MOVIMIENTOS_COMPLEMENTOS!$H$4:$H$803,G2002,MOVIMIENTOS_COMPLEMENTOS!$B$4:$B$803,"INGRESO")+SUMIFS(MOVIMIENTOS_COMPLEMENTOS!$I$4:$I$803,MOVIMIENTOS_COMPLEMENTOS!$C$4:$C$803,A2002,MOVIMIENTOS_COMPLEMENTOS!$D$4:$D$803,B2002,MOVIMIENTOS_COMPLEMENTOS!$E$4:$E$803,C2002,MOVIMIENTOS_COMPLEMENTOS!$F$4:$F$803,D2002,MOVIMIENTOS_COMPLEMENTOS!$G$4:$G$803,E2002,MOVIMIENTOS_COMPLEMENTOS!$H$4:$H$803,G2002,MOVIMIENTOS_COMPLEMENTOS!$B$4:$B$803,"DE CORTE")-SUMIFS(MOVIMIENTOS_COMPLEMENTOS!$I$4:$I$803,MOVIMIENTOS_COMPLEMENTOS!$C$4:$C$803,A2002,MOVIMIENTOS_COMPLEMENTOS!$D$4:$D$803,B2002,MOVIMIENTOS_COMPLEMENTOS!$E$4:$E$803,C2002,MOVIMIENTOS_COMPLEMENTOS!$F$4:$F$803,D2002,MOVIMIENTOS_COMPLEMENTOS!$G$4:$G$803,E2002,MOVIMIENTOS_COMPLEMENTOS!$H$4:$H$803,G2002,MOVIMIENTOS_COMPLEMENTOS!$B$4:$B$803,"SALIDA"),0)</f>
        <v>0</v>
      </c>
      <c r="I2002" s="102">
        <f t="array" ref="I2002">IFERROR(INDEX(PRECIOS_COMPLEMENTOS!$C$4:$F$17,MATCH(B2002&amp;"_"&amp;C2002,PRECIOS_COMPLEMENTOS!$H$4:$H$17,0),IF(OR(G2002="S",G2002="20cm"),1,IF(OR(G2002="M",G2002="25cm"),2,IF(OR(G2002="L",G2002="30cm"),3,IF(OR(G2002="XL",G2002="35cm"),4,0))))),0)</f>
        <v>0.6</v>
      </c>
      <c r="J2002" s="103">
        <f t="shared" si="1"/>
        <v>0</v>
      </c>
      <c r="K2002" s="104" t="str">
        <f>IF(H2002&lt;0,"ERROR",IF(H2002=0,"",IF(H2002&lt;CONFIG!$B$4,"CRÍTICO",IF(H2002&lt;CONFIG!$B$5,"BAJO","OK"))))</f>
        <v/>
      </c>
    </row>
    <row r="2003" ht="15.75" hidden="1" customHeight="1">
      <c r="A2003" s="90" t="str">
        <f>IF(CLIENTES!A4="","",CLIENTES!A4)</f>
        <v>OverShark</v>
      </c>
      <c r="B2003" s="90" t="s">
        <v>331</v>
      </c>
      <c r="C2003" s="91" t="s">
        <v>328</v>
      </c>
      <c r="D2003" s="109" t="s">
        <v>364</v>
      </c>
      <c r="E2003" s="67" t="str">
        <f>COLORES!A23</f>
        <v/>
      </c>
      <c r="F2003" s="67" t="str">
        <f>COLORES!B23</f>
        <v/>
      </c>
      <c r="G2003" s="90" t="s">
        <v>379</v>
      </c>
      <c r="H2003" s="100">
        <f>IFERROR(SUMIFS(MOVIMIENTOS_COMPLEMENTOS!$I$4:$I$803,MOVIMIENTOS_COMPLEMENTOS!$C$4:$C$803,A2003,MOVIMIENTOS_COMPLEMENTOS!$D$4:$D$803,B2003,MOVIMIENTOS_COMPLEMENTOS!$E$4:$E$803,C2003,MOVIMIENTOS_COMPLEMENTOS!$F$4:$F$803,D2003,MOVIMIENTOS_COMPLEMENTOS!$G$4:$G$803,E2003,MOVIMIENTOS_COMPLEMENTOS!$H$4:$H$803,G2003,MOVIMIENTOS_COMPLEMENTOS!$B$4:$B$803,"INGRESO")+SUMIFS(MOVIMIENTOS_COMPLEMENTOS!$I$4:$I$803,MOVIMIENTOS_COMPLEMENTOS!$C$4:$C$803,A2003,MOVIMIENTOS_COMPLEMENTOS!$D$4:$D$803,B2003,MOVIMIENTOS_COMPLEMENTOS!$E$4:$E$803,C2003,MOVIMIENTOS_COMPLEMENTOS!$F$4:$F$803,D2003,MOVIMIENTOS_COMPLEMENTOS!$G$4:$G$803,E2003,MOVIMIENTOS_COMPLEMENTOS!$H$4:$H$803,G2003,MOVIMIENTOS_COMPLEMENTOS!$B$4:$B$803,"DE CORTE")-SUMIFS(MOVIMIENTOS_COMPLEMENTOS!$I$4:$I$803,MOVIMIENTOS_COMPLEMENTOS!$C$4:$C$803,A2003,MOVIMIENTOS_COMPLEMENTOS!$D$4:$D$803,B2003,MOVIMIENTOS_COMPLEMENTOS!$E$4:$E$803,C2003,MOVIMIENTOS_COMPLEMENTOS!$F$4:$F$803,D2003,MOVIMIENTOS_COMPLEMENTOS!$G$4:$G$803,E2003,MOVIMIENTOS_COMPLEMENTOS!$H$4:$H$803,G2003,MOVIMIENTOS_COMPLEMENTOS!$B$4:$B$803,"SALIDA"),0)</f>
        <v>0</v>
      </c>
      <c r="I2003" s="102">
        <f t="array" ref="I2003">IFERROR(INDEX(PRECIOS_COMPLEMENTOS!$C$4:$F$17,MATCH(B2003&amp;"_"&amp;C2003,PRECIOS_COMPLEMENTOS!$H$4:$H$17,0),IF(OR(G2003="S",G2003="20cm"),1,IF(OR(G2003="M",G2003="25cm"),2,IF(OR(G2003="L",G2003="30cm"),3,IF(OR(G2003="XL",G2003="35cm"),4,0))))),0)</f>
        <v>0.6</v>
      </c>
      <c r="J2003" s="103">
        <f t="shared" si="1"/>
        <v>0</v>
      </c>
      <c r="K2003" s="104" t="str">
        <f>IF(H2003&lt;0,"ERROR",IF(H2003=0,"",IF(H2003&lt;CONFIG!$B$4,"CRÍTICO",IF(H2003&lt;CONFIG!$B$5,"BAJO","OK"))))</f>
        <v/>
      </c>
    </row>
    <row r="2004" ht="15.75" hidden="1" customHeight="1">
      <c r="A2004" s="90" t="str">
        <f>IF(CLIENTES!A4="","",CLIENTES!A4)</f>
        <v>OverShark</v>
      </c>
      <c r="B2004" s="90" t="s">
        <v>331</v>
      </c>
      <c r="C2004" s="91" t="s">
        <v>328</v>
      </c>
      <c r="D2004" s="109" t="s">
        <v>366</v>
      </c>
      <c r="E2004" s="67" t="str">
        <f>COLORES!A4</f>
        <v>Negro</v>
      </c>
      <c r="F2004" s="67" t="str">
        <f>COLORES!B4</f>
        <v>OSCURO</v>
      </c>
      <c r="G2004" s="90" t="s">
        <v>378</v>
      </c>
      <c r="H2004" s="100">
        <f>IFERROR(SUMIFS(MOVIMIENTOS_COMPLEMENTOS!$I$4:$I$803,MOVIMIENTOS_COMPLEMENTOS!$C$4:$C$803,A2004,MOVIMIENTOS_COMPLEMENTOS!$D$4:$D$803,B2004,MOVIMIENTOS_COMPLEMENTOS!$E$4:$E$803,C2004,MOVIMIENTOS_COMPLEMENTOS!$F$4:$F$803,D2004,MOVIMIENTOS_COMPLEMENTOS!$G$4:$G$803,E2004,MOVIMIENTOS_COMPLEMENTOS!$H$4:$H$803,G2004,MOVIMIENTOS_COMPLEMENTOS!$B$4:$B$803,"INGRESO")+SUMIFS(MOVIMIENTOS_COMPLEMENTOS!$I$4:$I$803,MOVIMIENTOS_COMPLEMENTOS!$C$4:$C$803,A2004,MOVIMIENTOS_COMPLEMENTOS!$D$4:$D$803,B2004,MOVIMIENTOS_COMPLEMENTOS!$E$4:$E$803,C2004,MOVIMIENTOS_COMPLEMENTOS!$F$4:$F$803,D2004,MOVIMIENTOS_COMPLEMENTOS!$G$4:$G$803,E2004,MOVIMIENTOS_COMPLEMENTOS!$H$4:$H$803,G2004,MOVIMIENTOS_COMPLEMENTOS!$B$4:$B$803,"DE CORTE")-SUMIFS(MOVIMIENTOS_COMPLEMENTOS!$I$4:$I$803,MOVIMIENTOS_COMPLEMENTOS!$C$4:$C$803,A2004,MOVIMIENTOS_COMPLEMENTOS!$D$4:$D$803,B2004,MOVIMIENTOS_COMPLEMENTOS!$E$4:$E$803,C2004,MOVIMIENTOS_COMPLEMENTOS!$F$4:$F$803,D2004,MOVIMIENTOS_COMPLEMENTOS!$G$4:$G$803,E2004,MOVIMIENTOS_COMPLEMENTOS!$H$4:$H$803,G2004,MOVIMIENTOS_COMPLEMENTOS!$B$4:$B$803,"SALIDA"),0)</f>
        <v>0</v>
      </c>
      <c r="I2004" s="102">
        <f t="array" ref="I2004">IFERROR(INDEX(PRECIOS_COMPLEMENTOS!$C$4:$F$17,MATCH(B2004&amp;"_"&amp;C2004,PRECIOS_COMPLEMENTOS!$H$4:$H$17,0),IF(OR(G2004="S",G2004="20cm"),1,IF(OR(G2004="M",G2004="25cm"),2,IF(OR(G2004="L",G2004="30cm"),3,IF(OR(G2004="XL",G2004="35cm"),4,0))))),0)</f>
        <v>0.6</v>
      </c>
      <c r="J2004" s="103">
        <f t="shared" si="1"/>
        <v>0</v>
      </c>
      <c r="K2004" s="104" t="str">
        <f>IF(H2004&lt;0,"ERROR",IF(H2004=0,"",IF(H2004&lt;CONFIG!$B$4,"CRÍTICO",IF(H2004&lt;CONFIG!$B$5,"BAJO","OK"))))</f>
        <v/>
      </c>
    </row>
    <row r="2005" ht="15.75" hidden="1" customHeight="1">
      <c r="A2005" s="90" t="str">
        <f>IF(CLIENTES!A4="","",CLIENTES!A4)</f>
        <v>OverShark</v>
      </c>
      <c r="B2005" s="90" t="s">
        <v>331</v>
      </c>
      <c r="C2005" s="91" t="s">
        <v>328</v>
      </c>
      <c r="D2005" s="109" t="s">
        <v>366</v>
      </c>
      <c r="E2005" s="67" t="str">
        <f>COLORES!A4</f>
        <v>Negro</v>
      </c>
      <c r="F2005" s="67" t="str">
        <f>COLORES!B4</f>
        <v>OSCURO</v>
      </c>
      <c r="G2005" s="90" t="s">
        <v>376</v>
      </c>
      <c r="H2005" s="100">
        <f>IFERROR(SUMIFS(MOVIMIENTOS_COMPLEMENTOS!$I$4:$I$803,MOVIMIENTOS_COMPLEMENTOS!$C$4:$C$803,A2005,MOVIMIENTOS_COMPLEMENTOS!$D$4:$D$803,B2005,MOVIMIENTOS_COMPLEMENTOS!$E$4:$E$803,C2005,MOVIMIENTOS_COMPLEMENTOS!$F$4:$F$803,D2005,MOVIMIENTOS_COMPLEMENTOS!$G$4:$G$803,E2005,MOVIMIENTOS_COMPLEMENTOS!$H$4:$H$803,G2005,MOVIMIENTOS_COMPLEMENTOS!$B$4:$B$803,"INGRESO")+SUMIFS(MOVIMIENTOS_COMPLEMENTOS!$I$4:$I$803,MOVIMIENTOS_COMPLEMENTOS!$C$4:$C$803,A2005,MOVIMIENTOS_COMPLEMENTOS!$D$4:$D$803,B2005,MOVIMIENTOS_COMPLEMENTOS!$E$4:$E$803,C2005,MOVIMIENTOS_COMPLEMENTOS!$F$4:$F$803,D2005,MOVIMIENTOS_COMPLEMENTOS!$G$4:$G$803,E2005,MOVIMIENTOS_COMPLEMENTOS!$H$4:$H$803,G2005,MOVIMIENTOS_COMPLEMENTOS!$B$4:$B$803,"DE CORTE")-SUMIFS(MOVIMIENTOS_COMPLEMENTOS!$I$4:$I$803,MOVIMIENTOS_COMPLEMENTOS!$C$4:$C$803,A2005,MOVIMIENTOS_COMPLEMENTOS!$D$4:$D$803,B2005,MOVIMIENTOS_COMPLEMENTOS!$E$4:$E$803,C2005,MOVIMIENTOS_COMPLEMENTOS!$F$4:$F$803,D2005,MOVIMIENTOS_COMPLEMENTOS!$G$4:$G$803,E2005,MOVIMIENTOS_COMPLEMENTOS!$H$4:$H$803,G2005,MOVIMIENTOS_COMPLEMENTOS!$B$4:$B$803,"SALIDA"),0)</f>
        <v>0</v>
      </c>
      <c r="I2005" s="102">
        <f t="array" ref="I2005">IFERROR(INDEX(PRECIOS_COMPLEMENTOS!$C$4:$F$17,MATCH(B2005&amp;"_"&amp;C2005,PRECIOS_COMPLEMENTOS!$H$4:$H$17,0),IF(OR(G2005="S",G2005="20cm"),1,IF(OR(G2005="M",G2005="25cm"),2,IF(OR(G2005="L",G2005="30cm"),3,IF(OR(G2005="XL",G2005="35cm"),4,0))))),0)</f>
        <v>0.6</v>
      </c>
      <c r="J2005" s="103">
        <f t="shared" si="1"/>
        <v>0</v>
      </c>
      <c r="K2005" s="104" t="str">
        <f>IF(H2005&lt;0,"ERROR",IF(H2005=0,"",IF(H2005&lt;CONFIG!$B$4,"CRÍTICO",IF(H2005&lt;CONFIG!$B$5,"BAJO","OK"))))</f>
        <v/>
      </c>
    </row>
    <row r="2006" ht="15.75" hidden="1" customHeight="1">
      <c r="A2006" s="90" t="str">
        <f>IF(CLIENTES!A4="","",CLIENTES!A4)</f>
        <v>OverShark</v>
      </c>
      <c r="B2006" s="90" t="s">
        <v>331</v>
      </c>
      <c r="C2006" s="91" t="s">
        <v>328</v>
      </c>
      <c r="D2006" s="109" t="s">
        <v>366</v>
      </c>
      <c r="E2006" s="67" t="str">
        <f>COLORES!A4</f>
        <v>Negro</v>
      </c>
      <c r="F2006" s="67" t="str">
        <f>COLORES!B4</f>
        <v>OSCURO</v>
      </c>
      <c r="G2006" s="90" t="s">
        <v>377</v>
      </c>
      <c r="H2006" s="100">
        <f>IFERROR(SUMIFS(MOVIMIENTOS_COMPLEMENTOS!$I$4:$I$803,MOVIMIENTOS_COMPLEMENTOS!$C$4:$C$803,A2006,MOVIMIENTOS_COMPLEMENTOS!$D$4:$D$803,B2006,MOVIMIENTOS_COMPLEMENTOS!$E$4:$E$803,C2006,MOVIMIENTOS_COMPLEMENTOS!$F$4:$F$803,D2006,MOVIMIENTOS_COMPLEMENTOS!$G$4:$G$803,E2006,MOVIMIENTOS_COMPLEMENTOS!$H$4:$H$803,G2006,MOVIMIENTOS_COMPLEMENTOS!$B$4:$B$803,"INGRESO")+SUMIFS(MOVIMIENTOS_COMPLEMENTOS!$I$4:$I$803,MOVIMIENTOS_COMPLEMENTOS!$C$4:$C$803,A2006,MOVIMIENTOS_COMPLEMENTOS!$D$4:$D$803,B2006,MOVIMIENTOS_COMPLEMENTOS!$E$4:$E$803,C2006,MOVIMIENTOS_COMPLEMENTOS!$F$4:$F$803,D2006,MOVIMIENTOS_COMPLEMENTOS!$G$4:$G$803,E2006,MOVIMIENTOS_COMPLEMENTOS!$H$4:$H$803,G2006,MOVIMIENTOS_COMPLEMENTOS!$B$4:$B$803,"DE CORTE")-SUMIFS(MOVIMIENTOS_COMPLEMENTOS!$I$4:$I$803,MOVIMIENTOS_COMPLEMENTOS!$C$4:$C$803,A2006,MOVIMIENTOS_COMPLEMENTOS!$D$4:$D$803,B2006,MOVIMIENTOS_COMPLEMENTOS!$E$4:$E$803,C2006,MOVIMIENTOS_COMPLEMENTOS!$F$4:$F$803,D2006,MOVIMIENTOS_COMPLEMENTOS!$G$4:$G$803,E2006,MOVIMIENTOS_COMPLEMENTOS!$H$4:$H$803,G2006,MOVIMIENTOS_COMPLEMENTOS!$B$4:$B$803,"SALIDA"),0)</f>
        <v>0</v>
      </c>
      <c r="I2006" s="102">
        <f t="array" ref="I2006">IFERROR(INDEX(PRECIOS_COMPLEMENTOS!$C$4:$F$17,MATCH(B2006&amp;"_"&amp;C2006,PRECIOS_COMPLEMENTOS!$H$4:$H$17,0),IF(OR(G2006="S",G2006="20cm"),1,IF(OR(G2006="M",G2006="25cm"),2,IF(OR(G2006="L",G2006="30cm"),3,IF(OR(G2006="XL",G2006="35cm"),4,0))))),0)</f>
        <v>0.6</v>
      </c>
      <c r="J2006" s="103">
        <f t="shared" si="1"/>
        <v>0</v>
      </c>
      <c r="K2006" s="104" t="str">
        <f>IF(H2006&lt;0,"ERROR",IF(H2006=0,"",IF(H2006&lt;CONFIG!$B$4,"CRÍTICO",IF(H2006&lt;CONFIG!$B$5,"BAJO","OK"))))</f>
        <v/>
      </c>
    </row>
    <row r="2007" ht="15.75" hidden="1" customHeight="1">
      <c r="A2007" s="90" t="str">
        <f>IF(CLIENTES!A4="","",CLIENTES!A4)</f>
        <v>OverShark</v>
      </c>
      <c r="B2007" s="90" t="s">
        <v>331</v>
      </c>
      <c r="C2007" s="91" t="s">
        <v>328</v>
      </c>
      <c r="D2007" s="109" t="s">
        <v>366</v>
      </c>
      <c r="E2007" s="67" t="str">
        <f>COLORES!A4</f>
        <v>Negro</v>
      </c>
      <c r="F2007" s="67" t="str">
        <f>COLORES!B4</f>
        <v>OSCURO</v>
      </c>
      <c r="G2007" s="90" t="s">
        <v>379</v>
      </c>
      <c r="H2007" s="100">
        <f>IFERROR(SUMIFS(MOVIMIENTOS_COMPLEMENTOS!$I$4:$I$803,MOVIMIENTOS_COMPLEMENTOS!$C$4:$C$803,A2007,MOVIMIENTOS_COMPLEMENTOS!$D$4:$D$803,B2007,MOVIMIENTOS_COMPLEMENTOS!$E$4:$E$803,C2007,MOVIMIENTOS_COMPLEMENTOS!$F$4:$F$803,D2007,MOVIMIENTOS_COMPLEMENTOS!$G$4:$G$803,E2007,MOVIMIENTOS_COMPLEMENTOS!$H$4:$H$803,G2007,MOVIMIENTOS_COMPLEMENTOS!$B$4:$B$803,"INGRESO")+SUMIFS(MOVIMIENTOS_COMPLEMENTOS!$I$4:$I$803,MOVIMIENTOS_COMPLEMENTOS!$C$4:$C$803,A2007,MOVIMIENTOS_COMPLEMENTOS!$D$4:$D$803,B2007,MOVIMIENTOS_COMPLEMENTOS!$E$4:$E$803,C2007,MOVIMIENTOS_COMPLEMENTOS!$F$4:$F$803,D2007,MOVIMIENTOS_COMPLEMENTOS!$G$4:$G$803,E2007,MOVIMIENTOS_COMPLEMENTOS!$H$4:$H$803,G2007,MOVIMIENTOS_COMPLEMENTOS!$B$4:$B$803,"DE CORTE")-SUMIFS(MOVIMIENTOS_COMPLEMENTOS!$I$4:$I$803,MOVIMIENTOS_COMPLEMENTOS!$C$4:$C$803,A2007,MOVIMIENTOS_COMPLEMENTOS!$D$4:$D$803,B2007,MOVIMIENTOS_COMPLEMENTOS!$E$4:$E$803,C2007,MOVIMIENTOS_COMPLEMENTOS!$F$4:$F$803,D2007,MOVIMIENTOS_COMPLEMENTOS!$G$4:$G$803,E2007,MOVIMIENTOS_COMPLEMENTOS!$H$4:$H$803,G2007,MOVIMIENTOS_COMPLEMENTOS!$B$4:$B$803,"SALIDA"),0)</f>
        <v>0</v>
      </c>
      <c r="I2007" s="102">
        <f t="array" ref="I2007">IFERROR(INDEX(PRECIOS_COMPLEMENTOS!$C$4:$F$17,MATCH(B2007&amp;"_"&amp;C2007,PRECIOS_COMPLEMENTOS!$H$4:$H$17,0),IF(OR(G2007="S",G2007="20cm"),1,IF(OR(G2007="M",G2007="25cm"),2,IF(OR(G2007="L",G2007="30cm"),3,IF(OR(G2007="XL",G2007="35cm"),4,0))))),0)</f>
        <v>0.6</v>
      </c>
      <c r="J2007" s="103">
        <f t="shared" si="1"/>
        <v>0</v>
      </c>
      <c r="K2007" s="104" t="str">
        <f>IF(H2007&lt;0,"ERROR",IF(H2007=0,"",IF(H2007&lt;CONFIG!$B$4,"CRÍTICO",IF(H2007&lt;CONFIG!$B$5,"BAJO","OK"))))</f>
        <v/>
      </c>
    </row>
    <row r="2008" ht="15.75" hidden="1" customHeight="1">
      <c r="A2008" s="90" t="str">
        <f>IF(CLIENTES!A4="","",CLIENTES!A4)</f>
        <v>OverShark</v>
      </c>
      <c r="B2008" s="90" t="s">
        <v>331</v>
      </c>
      <c r="C2008" s="91" t="s">
        <v>328</v>
      </c>
      <c r="D2008" s="109" t="s">
        <v>366</v>
      </c>
      <c r="E2008" s="67" t="str">
        <f>COLORES!A5</f>
        <v>Perla</v>
      </c>
      <c r="F2008" s="67" t="str">
        <f>COLORES!B5</f>
        <v>PPT</v>
      </c>
      <c r="G2008" s="90" t="s">
        <v>378</v>
      </c>
      <c r="H2008" s="100">
        <f>IFERROR(SUMIFS(MOVIMIENTOS_COMPLEMENTOS!$I$4:$I$803,MOVIMIENTOS_COMPLEMENTOS!$C$4:$C$803,A2008,MOVIMIENTOS_COMPLEMENTOS!$D$4:$D$803,B2008,MOVIMIENTOS_COMPLEMENTOS!$E$4:$E$803,C2008,MOVIMIENTOS_COMPLEMENTOS!$F$4:$F$803,D2008,MOVIMIENTOS_COMPLEMENTOS!$G$4:$G$803,E2008,MOVIMIENTOS_COMPLEMENTOS!$H$4:$H$803,G2008,MOVIMIENTOS_COMPLEMENTOS!$B$4:$B$803,"INGRESO")+SUMIFS(MOVIMIENTOS_COMPLEMENTOS!$I$4:$I$803,MOVIMIENTOS_COMPLEMENTOS!$C$4:$C$803,A2008,MOVIMIENTOS_COMPLEMENTOS!$D$4:$D$803,B2008,MOVIMIENTOS_COMPLEMENTOS!$E$4:$E$803,C2008,MOVIMIENTOS_COMPLEMENTOS!$F$4:$F$803,D2008,MOVIMIENTOS_COMPLEMENTOS!$G$4:$G$803,E2008,MOVIMIENTOS_COMPLEMENTOS!$H$4:$H$803,G2008,MOVIMIENTOS_COMPLEMENTOS!$B$4:$B$803,"DE CORTE")-SUMIFS(MOVIMIENTOS_COMPLEMENTOS!$I$4:$I$803,MOVIMIENTOS_COMPLEMENTOS!$C$4:$C$803,A2008,MOVIMIENTOS_COMPLEMENTOS!$D$4:$D$803,B2008,MOVIMIENTOS_COMPLEMENTOS!$E$4:$E$803,C2008,MOVIMIENTOS_COMPLEMENTOS!$F$4:$F$803,D2008,MOVIMIENTOS_COMPLEMENTOS!$G$4:$G$803,E2008,MOVIMIENTOS_COMPLEMENTOS!$H$4:$H$803,G2008,MOVIMIENTOS_COMPLEMENTOS!$B$4:$B$803,"SALIDA"),0)</f>
        <v>0</v>
      </c>
      <c r="I2008" s="102">
        <f t="array" ref="I2008">IFERROR(INDEX(PRECIOS_COMPLEMENTOS!$C$4:$F$17,MATCH(B2008&amp;"_"&amp;C2008,PRECIOS_COMPLEMENTOS!$H$4:$H$17,0),IF(OR(G2008="S",G2008="20cm"),1,IF(OR(G2008="M",G2008="25cm"),2,IF(OR(G2008="L",G2008="30cm"),3,IF(OR(G2008="XL",G2008="35cm"),4,0))))),0)</f>
        <v>0.6</v>
      </c>
      <c r="J2008" s="103">
        <f t="shared" si="1"/>
        <v>0</v>
      </c>
      <c r="K2008" s="104" t="str">
        <f>IF(H2008&lt;0,"ERROR",IF(H2008=0,"",IF(H2008&lt;CONFIG!$B$4,"CRÍTICO",IF(H2008&lt;CONFIG!$B$5,"BAJO","OK"))))</f>
        <v/>
      </c>
    </row>
    <row r="2009" ht="15.75" hidden="1" customHeight="1">
      <c r="A2009" s="90" t="str">
        <f>IF(CLIENTES!A4="","",CLIENTES!A4)</f>
        <v>OverShark</v>
      </c>
      <c r="B2009" s="90" t="s">
        <v>331</v>
      </c>
      <c r="C2009" s="91" t="s">
        <v>328</v>
      </c>
      <c r="D2009" s="109" t="s">
        <v>366</v>
      </c>
      <c r="E2009" s="67" t="str">
        <f>COLORES!A5</f>
        <v>Perla</v>
      </c>
      <c r="F2009" s="67" t="str">
        <f>COLORES!B5</f>
        <v>PPT</v>
      </c>
      <c r="G2009" s="90" t="s">
        <v>376</v>
      </c>
      <c r="H2009" s="100">
        <f>IFERROR(SUMIFS(MOVIMIENTOS_COMPLEMENTOS!$I$4:$I$803,MOVIMIENTOS_COMPLEMENTOS!$C$4:$C$803,A2009,MOVIMIENTOS_COMPLEMENTOS!$D$4:$D$803,B2009,MOVIMIENTOS_COMPLEMENTOS!$E$4:$E$803,C2009,MOVIMIENTOS_COMPLEMENTOS!$F$4:$F$803,D2009,MOVIMIENTOS_COMPLEMENTOS!$G$4:$G$803,E2009,MOVIMIENTOS_COMPLEMENTOS!$H$4:$H$803,G2009,MOVIMIENTOS_COMPLEMENTOS!$B$4:$B$803,"INGRESO")+SUMIFS(MOVIMIENTOS_COMPLEMENTOS!$I$4:$I$803,MOVIMIENTOS_COMPLEMENTOS!$C$4:$C$803,A2009,MOVIMIENTOS_COMPLEMENTOS!$D$4:$D$803,B2009,MOVIMIENTOS_COMPLEMENTOS!$E$4:$E$803,C2009,MOVIMIENTOS_COMPLEMENTOS!$F$4:$F$803,D2009,MOVIMIENTOS_COMPLEMENTOS!$G$4:$G$803,E2009,MOVIMIENTOS_COMPLEMENTOS!$H$4:$H$803,G2009,MOVIMIENTOS_COMPLEMENTOS!$B$4:$B$803,"DE CORTE")-SUMIFS(MOVIMIENTOS_COMPLEMENTOS!$I$4:$I$803,MOVIMIENTOS_COMPLEMENTOS!$C$4:$C$803,A2009,MOVIMIENTOS_COMPLEMENTOS!$D$4:$D$803,B2009,MOVIMIENTOS_COMPLEMENTOS!$E$4:$E$803,C2009,MOVIMIENTOS_COMPLEMENTOS!$F$4:$F$803,D2009,MOVIMIENTOS_COMPLEMENTOS!$G$4:$G$803,E2009,MOVIMIENTOS_COMPLEMENTOS!$H$4:$H$803,G2009,MOVIMIENTOS_COMPLEMENTOS!$B$4:$B$803,"SALIDA"),0)</f>
        <v>0</v>
      </c>
      <c r="I2009" s="102">
        <f t="array" ref="I2009">IFERROR(INDEX(PRECIOS_COMPLEMENTOS!$C$4:$F$17,MATCH(B2009&amp;"_"&amp;C2009,PRECIOS_COMPLEMENTOS!$H$4:$H$17,0),IF(OR(G2009="S",G2009="20cm"),1,IF(OR(G2009="M",G2009="25cm"),2,IF(OR(G2009="L",G2009="30cm"),3,IF(OR(G2009="XL",G2009="35cm"),4,0))))),0)</f>
        <v>0.6</v>
      </c>
      <c r="J2009" s="103">
        <f t="shared" si="1"/>
        <v>0</v>
      </c>
      <c r="K2009" s="104" t="str">
        <f>IF(H2009&lt;0,"ERROR",IF(H2009=0,"",IF(H2009&lt;CONFIG!$B$4,"CRÍTICO",IF(H2009&lt;CONFIG!$B$5,"BAJO","OK"))))</f>
        <v/>
      </c>
    </row>
    <row r="2010" ht="15.75" hidden="1" customHeight="1">
      <c r="A2010" s="90" t="str">
        <f>IF(CLIENTES!A4="","",CLIENTES!A4)</f>
        <v>OverShark</v>
      </c>
      <c r="B2010" s="90" t="s">
        <v>331</v>
      </c>
      <c r="C2010" s="91" t="s">
        <v>328</v>
      </c>
      <c r="D2010" s="109" t="s">
        <v>366</v>
      </c>
      <c r="E2010" s="67" t="str">
        <f>COLORES!A5</f>
        <v>Perla</v>
      </c>
      <c r="F2010" s="67" t="str">
        <f>COLORES!B5</f>
        <v>PPT</v>
      </c>
      <c r="G2010" s="90" t="s">
        <v>377</v>
      </c>
      <c r="H2010" s="100">
        <f>IFERROR(SUMIFS(MOVIMIENTOS_COMPLEMENTOS!$I$4:$I$803,MOVIMIENTOS_COMPLEMENTOS!$C$4:$C$803,A2010,MOVIMIENTOS_COMPLEMENTOS!$D$4:$D$803,B2010,MOVIMIENTOS_COMPLEMENTOS!$E$4:$E$803,C2010,MOVIMIENTOS_COMPLEMENTOS!$F$4:$F$803,D2010,MOVIMIENTOS_COMPLEMENTOS!$G$4:$G$803,E2010,MOVIMIENTOS_COMPLEMENTOS!$H$4:$H$803,G2010,MOVIMIENTOS_COMPLEMENTOS!$B$4:$B$803,"INGRESO")+SUMIFS(MOVIMIENTOS_COMPLEMENTOS!$I$4:$I$803,MOVIMIENTOS_COMPLEMENTOS!$C$4:$C$803,A2010,MOVIMIENTOS_COMPLEMENTOS!$D$4:$D$803,B2010,MOVIMIENTOS_COMPLEMENTOS!$E$4:$E$803,C2010,MOVIMIENTOS_COMPLEMENTOS!$F$4:$F$803,D2010,MOVIMIENTOS_COMPLEMENTOS!$G$4:$G$803,E2010,MOVIMIENTOS_COMPLEMENTOS!$H$4:$H$803,G2010,MOVIMIENTOS_COMPLEMENTOS!$B$4:$B$803,"DE CORTE")-SUMIFS(MOVIMIENTOS_COMPLEMENTOS!$I$4:$I$803,MOVIMIENTOS_COMPLEMENTOS!$C$4:$C$803,A2010,MOVIMIENTOS_COMPLEMENTOS!$D$4:$D$803,B2010,MOVIMIENTOS_COMPLEMENTOS!$E$4:$E$803,C2010,MOVIMIENTOS_COMPLEMENTOS!$F$4:$F$803,D2010,MOVIMIENTOS_COMPLEMENTOS!$G$4:$G$803,E2010,MOVIMIENTOS_COMPLEMENTOS!$H$4:$H$803,G2010,MOVIMIENTOS_COMPLEMENTOS!$B$4:$B$803,"SALIDA"),0)</f>
        <v>0</v>
      </c>
      <c r="I2010" s="102">
        <f t="array" ref="I2010">IFERROR(INDEX(PRECIOS_COMPLEMENTOS!$C$4:$F$17,MATCH(B2010&amp;"_"&amp;C2010,PRECIOS_COMPLEMENTOS!$H$4:$H$17,0),IF(OR(G2010="S",G2010="20cm"),1,IF(OR(G2010="M",G2010="25cm"),2,IF(OR(G2010="L",G2010="30cm"),3,IF(OR(G2010="XL",G2010="35cm"),4,0))))),0)</f>
        <v>0.6</v>
      </c>
      <c r="J2010" s="103">
        <f t="shared" si="1"/>
        <v>0</v>
      </c>
      <c r="K2010" s="104" t="str">
        <f>IF(H2010&lt;0,"ERROR",IF(H2010=0,"",IF(H2010&lt;CONFIG!$B$4,"CRÍTICO",IF(H2010&lt;CONFIG!$B$5,"BAJO","OK"))))</f>
        <v/>
      </c>
    </row>
    <row r="2011" ht="15.75" hidden="1" customHeight="1">
      <c r="A2011" s="90" t="str">
        <f>IF(CLIENTES!A4="","",CLIENTES!A4)</f>
        <v>OverShark</v>
      </c>
      <c r="B2011" s="90" t="s">
        <v>331</v>
      </c>
      <c r="C2011" s="91" t="s">
        <v>328</v>
      </c>
      <c r="D2011" s="109" t="s">
        <v>366</v>
      </c>
      <c r="E2011" s="67" t="str">
        <f>COLORES!A5</f>
        <v>Perla</v>
      </c>
      <c r="F2011" s="67" t="str">
        <f>COLORES!B5</f>
        <v>PPT</v>
      </c>
      <c r="G2011" s="90" t="s">
        <v>379</v>
      </c>
      <c r="H2011" s="100">
        <f>IFERROR(SUMIFS(MOVIMIENTOS_COMPLEMENTOS!$I$4:$I$803,MOVIMIENTOS_COMPLEMENTOS!$C$4:$C$803,A2011,MOVIMIENTOS_COMPLEMENTOS!$D$4:$D$803,B2011,MOVIMIENTOS_COMPLEMENTOS!$E$4:$E$803,C2011,MOVIMIENTOS_COMPLEMENTOS!$F$4:$F$803,D2011,MOVIMIENTOS_COMPLEMENTOS!$G$4:$G$803,E2011,MOVIMIENTOS_COMPLEMENTOS!$H$4:$H$803,G2011,MOVIMIENTOS_COMPLEMENTOS!$B$4:$B$803,"INGRESO")+SUMIFS(MOVIMIENTOS_COMPLEMENTOS!$I$4:$I$803,MOVIMIENTOS_COMPLEMENTOS!$C$4:$C$803,A2011,MOVIMIENTOS_COMPLEMENTOS!$D$4:$D$803,B2011,MOVIMIENTOS_COMPLEMENTOS!$E$4:$E$803,C2011,MOVIMIENTOS_COMPLEMENTOS!$F$4:$F$803,D2011,MOVIMIENTOS_COMPLEMENTOS!$G$4:$G$803,E2011,MOVIMIENTOS_COMPLEMENTOS!$H$4:$H$803,G2011,MOVIMIENTOS_COMPLEMENTOS!$B$4:$B$803,"DE CORTE")-SUMIFS(MOVIMIENTOS_COMPLEMENTOS!$I$4:$I$803,MOVIMIENTOS_COMPLEMENTOS!$C$4:$C$803,A2011,MOVIMIENTOS_COMPLEMENTOS!$D$4:$D$803,B2011,MOVIMIENTOS_COMPLEMENTOS!$E$4:$E$803,C2011,MOVIMIENTOS_COMPLEMENTOS!$F$4:$F$803,D2011,MOVIMIENTOS_COMPLEMENTOS!$G$4:$G$803,E2011,MOVIMIENTOS_COMPLEMENTOS!$H$4:$H$803,G2011,MOVIMIENTOS_COMPLEMENTOS!$B$4:$B$803,"SALIDA"),0)</f>
        <v>0</v>
      </c>
      <c r="I2011" s="102">
        <f t="array" ref="I2011">IFERROR(INDEX(PRECIOS_COMPLEMENTOS!$C$4:$F$17,MATCH(B2011&amp;"_"&amp;C2011,PRECIOS_COMPLEMENTOS!$H$4:$H$17,0),IF(OR(G2011="S",G2011="20cm"),1,IF(OR(G2011="M",G2011="25cm"),2,IF(OR(G2011="L",G2011="30cm"),3,IF(OR(G2011="XL",G2011="35cm"),4,0))))),0)</f>
        <v>0.6</v>
      </c>
      <c r="J2011" s="103">
        <f t="shared" si="1"/>
        <v>0</v>
      </c>
      <c r="K2011" s="104" t="str">
        <f>IF(H2011&lt;0,"ERROR",IF(H2011=0,"",IF(H2011&lt;CONFIG!$B$4,"CRÍTICO",IF(H2011&lt;CONFIG!$B$5,"BAJO","OK"))))</f>
        <v/>
      </c>
    </row>
    <row r="2012" ht="15.75" hidden="1" customHeight="1">
      <c r="A2012" s="90" t="str">
        <f>IF(CLIENTES!A4="","",CLIENTES!A4)</f>
        <v>OverShark</v>
      </c>
      <c r="B2012" s="90" t="s">
        <v>331</v>
      </c>
      <c r="C2012" s="91" t="s">
        <v>328</v>
      </c>
      <c r="D2012" s="109" t="s">
        <v>366</v>
      </c>
      <c r="E2012" s="67" t="str">
        <f>COLORES!A6</f>
        <v>Blanco</v>
      </c>
      <c r="F2012" s="67" t="str">
        <f>COLORES!B6</f>
        <v>PPT</v>
      </c>
      <c r="G2012" s="90" t="s">
        <v>378</v>
      </c>
      <c r="H2012" s="100">
        <f>IFERROR(SUMIFS(MOVIMIENTOS_COMPLEMENTOS!$I$4:$I$803,MOVIMIENTOS_COMPLEMENTOS!$C$4:$C$803,A2012,MOVIMIENTOS_COMPLEMENTOS!$D$4:$D$803,B2012,MOVIMIENTOS_COMPLEMENTOS!$E$4:$E$803,C2012,MOVIMIENTOS_COMPLEMENTOS!$F$4:$F$803,D2012,MOVIMIENTOS_COMPLEMENTOS!$G$4:$G$803,E2012,MOVIMIENTOS_COMPLEMENTOS!$H$4:$H$803,G2012,MOVIMIENTOS_COMPLEMENTOS!$B$4:$B$803,"INGRESO")+SUMIFS(MOVIMIENTOS_COMPLEMENTOS!$I$4:$I$803,MOVIMIENTOS_COMPLEMENTOS!$C$4:$C$803,A2012,MOVIMIENTOS_COMPLEMENTOS!$D$4:$D$803,B2012,MOVIMIENTOS_COMPLEMENTOS!$E$4:$E$803,C2012,MOVIMIENTOS_COMPLEMENTOS!$F$4:$F$803,D2012,MOVIMIENTOS_COMPLEMENTOS!$G$4:$G$803,E2012,MOVIMIENTOS_COMPLEMENTOS!$H$4:$H$803,G2012,MOVIMIENTOS_COMPLEMENTOS!$B$4:$B$803,"DE CORTE")-SUMIFS(MOVIMIENTOS_COMPLEMENTOS!$I$4:$I$803,MOVIMIENTOS_COMPLEMENTOS!$C$4:$C$803,A2012,MOVIMIENTOS_COMPLEMENTOS!$D$4:$D$803,B2012,MOVIMIENTOS_COMPLEMENTOS!$E$4:$E$803,C2012,MOVIMIENTOS_COMPLEMENTOS!$F$4:$F$803,D2012,MOVIMIENTOS_COMPLEMENTOS!$G$4:$G$803,E2012,MOVIMIENTOS_COMPLEMENTOS!$H$4:$H$803,G2012,MOVIMIENTOS_COMPLEMENTOS!$B$4:$B$803,"SALIDA"),0)</f>
        <v>0</v>
      </c>
      <c r="I2012" s="102">
        <f t="array" ref="I2012">IFERROR(INDEX(PRECIOS_COMPLEMENTOS!$C$4:$F$17,MATCH(B2012&amp;"_"&amp;C2012,PRECIOS_COMPLEMENTOS!$H$4:$H$17,0),IF(OR(G2012="S",G2012="20cm"),1,IF(OR(G2012="M",G2012="25cm"),2,IF(OR(G2012="L",G2012="30cm"),3,IF(OR(G2012="XL",G2012="35cm"),4,0))))),0)</f>
        <v>0.6</v>
      </c>
      <c r="J2012" s="103">
        <f t="shared" si="1"/>
        <v>0</v>
      </c>
      <c r="K2012" s="104" t="str">
        <f>IF(H2012&lt;0,"ERROR",IF(H2012=0,"",IF(H2012&lt;CONFIG!$B$4,"CRÍTICO",IF(H2012&lt;CONFIG!$B$5,"BAJO","OK"))))</f>
        <v/>
      </c>
    </row>
    <row r="2013" ht="15.75" hidden="1" customHeight="1">
      <c r="A2013" s="90" t="str">
        <f>IF(CLIENTES!A4="","",CLIENTES!A4)</f>
        <v>OverShark</v>
      </c>
      <c r="B2013" s="90" t="s">
        <v>331</v>
      </c>
      <c r="C2013" s="91" t="s">
        <v>328</v>
      </c>
      <c r="D2013" s="109" t="s">
        <v>366</v>
      </c>
      <c r="E2013" s="67" t="str">
        <f>COLORES!A6</f>
        <v>Blanco</v>
      </c>
      <c r="F2013" s="67" t="str">
        <f>COLORES!B6</f>
        <v>PPT</v>
      </c>
      <c r="G2013" s="90" t="s">
        <v>376</v>
      </c>
      <c r="H2013" s="100">
        <f>IFERROR(SUMIFS(MOVIMIENTOS_COMPLEMENTOS!$I$4:$I$803,MOVIMIENTOS_COMPLEMENTOS!$C$4:$C$803,A2013,MOVIMIENTOS_COMPLEMENTOS!$D$4:$D$803,B2013,MOVIMIENTOS_COMPLEMENTOS!$E$4:$E$803,C2013,MOVIMIENTOS_COMPLEMENTOS!$F$4:$F$803,D2013,MOVIMIENTOS_COMPLEMENTOS!$G$4:$G$803,E2013,MOVIMIENTOS_COMPLEMENTOS!$H$4:$H$803,G2013,MOVIMIENTOS_COMPLEMENTOS!$B$4:$B$803,"INGRESO")+SUMIFS(MOVIMIENTOS_COMPLEMENTOS!$I$4:$I$803,MOVIMIENTOS_COMPLEMENTOS!$C$4:$C$803,A2013,MOVIMIENTOS_COMPLEMENTOS!$D$4:$D$803,B2013,MOVIMIENTOS_COMPLEMENTOS!$E$4:$E$803,C2013,MOVIMIENTOS_COMPLEMENTOS!$F$4:$F$803,D2013,MOVIMIENTOS_COMPLEMENTOS!$G$4:$G$803,E2013,MOVIMIENTOS_COMPLEMENTOS!$H$4:$H$803,G2013,MOVIMIENTOS_COMPLEMENTOS!$B$4:$B$803,"DE CORTE")-SUMIFS(MOVIMIENTOS_COMPLEMENTOS!$I$4:$I$803,MOVIMIENTOS_COMPLEMENTOS!$C$4:$C$803,A2013,MOVIMIENTOS_COMPLEMENTOS!$D$4:$D$803,B2013,MOVIMIENTOS_COMPLEMENTOS!$E$4:$E$803,C2013,MOVIMIENTOS_COMPLEMENTOS!$F$4:$F$803,D2013,MOVIMIENTOS_COMPLEMENTOS!$G$4:$G$803,E2013,MOVIMIENTOS_COMPLEMENTOS!$H$4:$H$803,G2013,MOVIMIENTOS_COMPLEMENTOS!$B$4:$B$803,"SALIDA"),0)</f>
        <v>0</v>
      </c>
      <c r="I2013" s="102">
        <f t="array" ref="I2013">IFERROR(INDEX(PRECIOS_COMPLEMENTOS!$C$4:$F$17,MATCH(B2013&amp;"_"&amp;C2013,PRECIOS_COMPLEMENTOS!$H$4:$H$17,0),IF(OR(G2013="S",G2013="20cm"),1,IF(OR(G2013="M",G2013="25cm"),2,IF(OR(G2013="L",G2013="30cm"),3,IF(OR(G2013="XL",G2013="35cm"),4,0))))),0)</f>
        <v>0.6</v>
      </c>
      <c r="J2013" s="103">
        <f t="shared" si="1"/>
        <v>0</v>
      </c>
      <c r="K2013" s="104" t="str">
        <f>IF(H2013&lt;0,"ERROR",IF(H2013=0,"",IF(H2013&lt;CONFIG!$B$4,"CRÍTICO",IF(H2013&lt;CONFIG!$B$5,"BAJO","OK"))))</f>
        <v/>
      </c>
    </row>
    <row r="2014" ht="15.75" hidden="1" customHeight="1">
      <c r="A2014" s="90" t="str">
        <f>IF(CLIENTES!A4="","",CLIENTES!A4)</f>
        <v>OverShark</v>
      </c>
      <c r="B2014" s="90" t="s">
        <v>331</v>
      </c>
      <c r="C2014" s="91" t="s">
        <v>328</v>
      </c>
      <c r="D2014" s="109" t="s">
        <v>366</v>
      </c>
      <c r="E2014" s="67" t="str">
        <f>COLORES!A6</f>
        <v>Blanco</v>
      </c>
      <c r="F2014" s="67" t="str">
        <f>COLORES!B6</f>
        <v>PPT</v>
      </c>
      <c r="G2014" s="90" t="s">
        <v>377</v>
      </c>
      <c r="H2014" s="100">
        <f>IFERROR(SUMIFS(MOVIMIENTOS_COMPLEMENTOS!$I$4:$I$803,MOVIMIENTOS_COMPLEMENTOS!$C$4:$C$803,A2014,MOVIMIENTOS_COMPLEMENTOS!$D$4:$D$803,B2014,MOVIMIENTOS_COMPLEMENTOS!$E$4:$E$803,C2014,MOVIMIENTOS_COMPLEMENTOS!$F$4:$F$803,D2014,MOVIMIENTOS_COMPLEMENTOS!$G$4:$G$803,E2014,MOVIMIENTOS_COMPLEMENTOS!$H$4:$H$803,G2014,MOVIMIENTOS_COMPLEMENTOS!$B$4:$B$803,"INGRESO")+SUMIFS(MOVIMIENTOS_COMPLEMENTOS!$I$4:$I$803,MOVIMIENTOS_COMPLEMENTOS!$C$4:$C$803,A2014,MOVIMIENTOS_COMPLEMENTOS!$D$4:$D$803,B2014,MOVIMIENTOS_COMPLEMENTOS!$E$4:$E$803,C2014,MOVIMIENTOS_COMPLEMENTOS!$F$4:$F$803,D2014,MOVIMIENTOS_COMPLEMENTOS!$G$4:$G$803,E2014,MOVIMIENTOS_COMPLEMENTOS!$H$4:$H$803,G2014,MOVIMIENTOS_COMPLEMENTOS!$B$4:$B$803,"DE CORTE")-SUMIFS(MOVIMIENTOS_COMPLEMENTOS!$I$4:$I$803,MOVIMIENTOS_COMPLEMENTOS!$C$4:$C$803,A2014,MOVIMIENTOS_COMPLEMENTOS!$D$4:$D$803,B2014,MOVIMIENTOS_COMPLEMENTOS!$E$4:$E$803,C2014,MOVIMIENTOS_COMPLEMENTOS!$F$4:$F$803,D2014,MOVIMIENTOS_COMPLEMENTOS!$G$4:$G$803,E2014,MOVIMIENTOS_COMPLEMENTOS!$H$4:$H$803,G2014,MOVIMIENTOS_COMPLEMENTOS!$B$4:$B$803,"SALIDA"),0)</f>
        <v>0</v>
      </c>
      <c r="I2014" s="102">
        <f t="array" ref="I2014">IFERROR(INDEX(PRECIOS_COMPLEMENTOS!$C$4:$F$17,MATCH(B2014&amp;"_"&amp;C2014,PRECIOS_COMPLEMENTOS!$H$4:$H$17,0),IF(OR(G2014="S",G2014="20cm"),1,IF(OR(G2014="M",G2014="25cm"),2,IF(OR(G2014="L",G2014="30cm"),3,IF(OR(G2014="XL",G2014="35cm"),4,0))))),0)</f>
        <v>0.6</v>
      </c>
      <c r="J2014" s="103">
        <f t="shared" si="1"/>
        <v>0</v>
      </c>
      <c r="K2014" s="104" t="str">
        <f>IF(H2014&lt;0,"ERROR",IF(H2014=0,"",IF(H2014&lt;CONFIG!$B$4,"CRÍTICO",IF(H2014&lt;CONFIG!$B$5,"BAJO","OK"))))</f>
        <v/>
      </c>
    </row>
    <row r="2015" ht="15.75" hidden="1" customHeight="1">
      <c r="A2015" s="90" t="str">
        <f>IF(CLIENTES!A4="","",CLIENTES!A4)</f>
        <v>OverShark</v>
      </c>
      <c r="B2015" s="90" t="s">
        <v>331</v>
      </c>
      <c r="C2015" s="91" t="s">
        <v>328</v>
      </c>
      <c r="D2015" s="109" t="s">
        <v>366</v>
      </c>
      <c r="E2015" s="67" t="str">
        <f>COLORES!A6</f>
        <v>Blanco</v>
      </c>
      <c r="F2015" s="67" t="str">
        <f>COLORES!B6</f>
        <v>PPT</v>
      </c>
      <c r="G2015" s="90" t="s">
        <v>379</v>
      </c>
      <c r="H2015" s="100">
        <f>IFERROR(SUMIFS(MOVIMIENTOS_COMPLEMENTOS!$I$4:$I$803,MOVIMIENTOS_COMPLEMENTOS!$C$4:$C$803,A2015,MOVIMIENTOS_COMPLEMENTOS!$D$4:$D$803,B2015,MOVIMIENTOS_COMPLEMENTOS!$E$4:$E$803,C2015,MOVIMIENTOS_COMPLEMENTOS!$F$4:$F$803,D2015,MOVIMIENTOS_COMPLEMENTOS!$G$4:$G$803,E2015,MOVIMIENTOS_COMPLEMENTOS!$H$4:$H$803,G2015,MOVIMIENTOS_COMPLEMENTOS!$B$4:$B$803,"INGRESO")+SUMIFS(MOVIMIENTOS_COMPLEMENTOS!$I$4:$I$803,MOVIMIENTOS_COMPLEMENTOS!$C$4:$C$803,A2015,MOVIMIENTOS_COMPLEMENTOS!$D$4:$D$803,B2015,MOVIMIENTOS_COMPLEMENTOS!$E$4:$E$803,C2015,MOVIMIENTOS_COMPLEMENTOS!$F$4:$F$803,D2015,MOVIMIENTOS_COMPLEMENTOS!$G$4:$G$803,E2015,MOVIMIENTOS_COMPLEMENTOS!$H$4:$H$803,G2015,MOVIMIENTOS_COMPLEMENTOS!$B$4:$B$803,"DE CORTE")-SUMIFS(MOVIMIENTOS_COMPLEMENTOS!$I$4:$I$803,MOVIMIENTOS_COMPLEMENTOS!$C$4:$C$803,A2015,MOVIMIENTOS_COMPLEMENTOS!$D$4:$D$803,B2015,MOVIMIENTOS_COMPLEMENTOS!$E$4:$E$803,C2015,MOVIMIENTOS_COMPLEMENTOS!$F$4:$F$803,D2015,MOVIMIENTOS_COMPLEMENTOS!$G$4:$G$803,E2015,MOVIMIENTOS_COMPLEMENTOS!$H$4:$H$803,G2015,MOVIMIENTOS_COMPLEMENTOS!$B$4:$B$803,"SALIDA"),0)</f>
        <v>0</v>
      </c>
      <c r="I2015" s="102">
        <f t="array" ref="I2015">IFERROR(INDEX(PRECIOS_COMPLEMENTOS!$C$4:$F$17,MATCH(B2015&amp;"_"&amp;C2015,PRECIOS_COMPLEMENTOS!$H$4:$H$17,0),IF(OR(G2015="S",G2015="20cm"),1,IF(OR(G2015="M",G2015="25cm"),2,IF(OR(G2015="L",G2015="30cm"),3,IF(OR(G2015="XL",G2015="35cm"),4,0))))),0)</f>
        <v>0.6</v>
      </c>
      <c r="J2015" s="103">
        <f t="shared" si="1"/>
        <v>0</v>
      </c>
      <c r="K2015" s="104" t="str">
        <f>IF(H2015&lt;0,"ERROR",IF(H2015=0,"",IF(H2015&lt;CONFIG!$B$4,"CRÍTICO",IF(H2015&lt;CONFIG!$B$5,"BAJO","OK"))))</f>
        <v/>
      </c>
    </row>
    <row r="2016" ht="15.75" hidden="1" customHeight="1">
      <c r="A2016" s="90" t="str">
        <f>IF(CLIENTES!A4="","",CLIENTES!A4)</f>
        <v>OverShark</v>
      </c>
      <c r="B2016" s="90" t="s">
        <v>331</v>
      </c>
      <c r="C2016" s="91" t="s">
        <v>328</v>
      </c>
      <c r="D2016" s="109" t="s">
        <v>366</v>
      </c>
      <c r="E2016" s="67" t="str">
        <f>COLORES!A7</f>
        <v>Azul</v>
      </c>
      <c r="F2016" s="67" t="str">
        <f>COLORES!B7</f>
        <v>OSCURO</v>
      </c>
      <c r="G2016" s="90" t="s">
        <v>378</v>
      </c>
      <c r="H2016" s="100">
        <f>IFERROR(SUMIFS(MOVIMIENTOS_COMPLEMENTOS!$I$4:$I$803,MOVIMIENTOS_COMPLEMENTOS!$C$4:$C$803,A2016,MOVIMIENTOS_COMPLEMENTOS!$D$4:$D$803,B2016,MOVIMIENTOS_COMPLEMENTOS!$E$4:$E$803,C2016,MOVIMIENTOS_COMPLEMENTOS!$F$4:$F$803,D2016,MOVIMIENTOS_COMPLEMENTOS!$G$4:$G$803,E2016,MOVIMIENTOS_COMPLEMENTOS!$H$4:$H$803,G2016,MOVIMIENTOS_COMPLEMENTOS!$B$4:$B$803,"INGRESO")+SUMIFS(MOVIMIENTOS_COMPLEMENTOS!$I$4:$I$803,MOVIMIENTOS_COMPLEMENTOS!$C$4:$C$803,A2016,MOVIMIENTOS_COMPLEMENTOS!$D$4:$D$803,B2016,MOVIMIENTOS_COMPLEMENTOS!$E$4:$E$803,C2016,MOVIMIENTOS_COMPLEMENTOS!$F$4:$F$803,D2016,MOVIMIENTOS_COMPLEMENTOS!$G$4:$G$803,E2016,MOVIMIENTOS_COMPLEMENTOS!$H$4:$H$803,G2016,MOVIMIENTOS_COMPLEMENTOS!$B$4:$B$803,"DE CORTE")-SUMIFS(MOVIMIENTOS_COMPLEMENTOS!$I$4:$I$803,MOVIMIENTOS_COMPLEMENTOS!$C$4:$C$803,A2016,MOVIMIENTOS_COMPLEMENTOS!$D$4:$D$803,B2016,MOVIMIENTOS_COMPLEMENTOS!$E$4:$E$803,C2016,MOVIMIENTOS_COMPLEMENTOS!$F$4:$F$803,D2016,MOVIMIENTOS_COMPLEMENTOS!$G$4:$G$803,E2016,MOVIMIENTOS_COMPLEMENTOS!$H$4:$H$803,G2016,MOVIMIENTOS_COMPLEMENTOS!$B$4:$B$803,"SALIDA"),0)</f>
        <v>0</v>
      </c>
      <c r="I2016" s="102">
        <f t="array" ref="I2016">IFERROR(INDEX(PRECIOS_COMPLEMENTOS!$C$4:$F$17,MATCH(B2016&amp;"_"&amp;C2016,PRECIOS_COMPLEMENTOS!$H$4:$H$17,0),IF(OR(G2016="S",G2016="20cm"),1,IF(OR(G2016="M",G2016="25cm"),2,IF(OR(G2016="L",G2016="30cm"),3,IF(OR(G2016="XL",G2016="35cm"),4,0))))),0)</f>
        <v>0.6</v>
      </c>
      <c r="J2016" s="103">
        <f t="shared" si="1"/>
        <v>0</v>
      </c>
      <c r="K2016" s="104" t="str">
        <f>IF(H2016&lt;0,"ERROR",IF(H2016=0,"",IF(H2016&lt;CONFIG!$B$4,"CRÍTICO",IF(H2016&lt;CONFIG!$B$5,"BAJO","OK"))))</f>
        <v/>
      </c>
    </row>
    <row r="2017" ht="15.75" hidden="1" customHeight="1">
      <c r="A2017" s="90" t="str">
        <f>IF(CLIENTES!A4="","",CLIENTES!A4)</f>
        <v>OverShark</v>
      </c>
      <c r="B2017" s="90" t="s">
        <v>331</v>
      </c>
      <c r="C2017" s="91" t="s">
        <v>328</v>
      </c>
      <c r="D2017" s="109" t="s">
        <v>366</v>
      </c>
      <c r="E2017" s="67" t="str">
        <f>COLORES!A7</f>
        <v>Azul</v>
      </c>
      <c r="F2017" s="67" t="str">
        <f>COLORES!B7</f>
        <v>OSCURO</v>
      </c>
      <c r="G2017" s="90" t="s">
        <v>376</v>
      </c>
      <c r="H2017" s="100">
        <f>IFERROR(SUMIFS(MOVIMIENTOS_COMPLEMENTOS!$I$4:$I$803,MOVIMIENTOS_COMPLEMENTOS!$C$4:$C$803,A2017,MOVIMIENTOS_COMPLEMENTOS!$D$4:$D$803,B2017,MOVIMIENTOS_COMPLEMENTOS!$E$4:$E$803,C2017,MOVIMIENTOS_COMPLEMENTOS!$F$4:$F$803,D2017,MOVIMIENTOS_COMPLEMENTOS!$G$4:$G$803,E2017,MOVIMIENTOS_COMPLEMENTOS!$H$4:$H$803,G2017,MOVIMIENTOS_COMPLEMENTOS!$B$4:$B$803,"INGRESO")+SUMIFS(MOVIMIENTOS_COMPLEMENTOS!$I$4:$I$803,MOVIMIENTOS_COMPLEMENTOS!$C$4:$C$803,A2017,MOVIMIENTOS_COMPLEMENTOS!$D$4:$D$803,B2017,MOVIMIENTOS_COMPLEMENTOS!$E$4:$E$803,C2017,MOVIMIENTOS_COMPLEMENTOS!$F$4:$F$803,D2017,MOVIMIENTOS_COMPLEMENTOS!$G$4:$G$803,E2017,MOVIMIENTOS_COMPLEMENTOS!$H$4:$H$803,G2017,MOVIMIENTOS_COMPLEMENTOS!$B$4:$B$803,"DE CORTE")-SUMIFS(MOVIMIENTOS_COMPLEMENTOS!$I$4:$I$803,MOVIMIENTOS_COMPLEMENTOS!$C$4:$C$803,A2017,MOVIMIENTOS_COMPLEMENTOS!$D$4:$D$803,B2017,MOVIMIENTOS_COMPLEMENTOS!$E$4:$E$803,C2017,MOVIMIENTOS_COMPLEMENTOS!$F$4:$F$803,D2017,MOVIMIENTOS_COMPLEMENTOS!$G$4:$G$803,E2017,MOVIMIENTOS_COMPLEMENTOS!$H$4:$H$803,G2017,MOVIMIENTOS_COMPLEMENTOS!$B$4:$B$803,"SALIDA"),0)</f>
        <v>0</v>
      </c>
      <c r="I2017" s="102">
        <f t="array" ref="I2017">IFERROR(INDEX(PRECIOS_COMPLEMENTOS!$C$4:$F$17,MATCH(B2017&amp;"_"&amp;C2017,PRECIOS_COMPLEMENTOS!$H$4:$H$17,0),IF(OR(G2017="S",G2017="20cm"),1,IF(OR(G2017="M",G2017="25cm"),2,IF(OR(G2017="L",G2017="30cm"),3,IF(OR(G2017="XL",G2017="35cm"),4,0))))),0)</f>
        <v>0.6</v>
      </c>
      <c r="J2017" s="103">
        <f t="shared" si="1"/>
        <v>0</v>
      </c>
      <c r="K2017" s="104" t="str">
        <f>IF(H2017&lt;0,"ERROR",IF(H2017=0,"",IF(H2017&lt;CONFIG!$B$4,"CRÍTICO",IF(H2017&lt;CONFIG!$B$5,"BAJO","OK"))))</f>
        <v/>
      </c>
    </row>
    <row r="2018" ht="15.75" hidden="1" customHeight="1">
      <c r="A2018" s="90" t="str">
        <f>IF(CLIENTES!A4="","",CLIENTES!A4)</f>
        <v>OverShark</v>
      </c>
      <c r="B2018" s="90" t="s">
        <v>331</v>
      </c>
      <c r="C2018" s="91" t="s">
        <v>328</v>
      </c>
      <c r="D2018" s="109" t="s">
        <v>366</v>
      </c>
      <c r="E2018" s="67" t="str">
        <f>COLORES!A7</f>
        <v>Azul</v>
      </c>
      <c r="F2018" s="67" t="str">
        <f>COLORES!B7</f>
        <v>OSCURO</v>
      </c>
      <c r="G2018" s="90" t="s">
        <v>377</v>
      </c>
      <c r="H2018" s="100">
        <f>IFERROR(SUMIFS(MOVIMIENTOS_COMPLEMENTOS!$I$4:$I$803,MOVIMIENTOS_COMPLEMENTOS!$C$4:$C$803,A2018,MOVIMIENTOS_COMPLEMENTOS!$D$4:$D$803,B2018,MOVIMIENTOS_COMPLEMENTOS!$E$4:$E$803,C2018,MOVIMIENTOS_COMPLEMENTOS!$F$4:$F$803,D2018,MOVIMIENTOS_COMPLEMENTOS!$G$4:$G$803,E2018,MOVIMIENTOS_COMPLEMENTOS!$H$4:$H$803,G2018,MOVIMIENTOS_COMPLEMENTOS!$B$4:$B$803,"INGRESO")+SUMIFS(MOVIMIENTOS_COMPLEMENTOS!$I$4:$I$803,MOVIMIENTOS_COMPLEMENTOS!$C$4:$C$803,A2018,MOVIMIENTOS_COMPLEMENTOS!$D$4:$D$803,B2018,MOVIMIENTOS_COMPLEMENTOS!$E$4:$E$803,C2018,MOVIMIENTOS_COMPLEMENTOS!$F$4:$F$803,D2018,MOVIMIENTOS_COMPLEMENTOS!$G$4:$G$803,E2018,MOVIMIENTOS_COMPLEMENTOS!$H$4:$H$803,G2018,MOVIMIENTOS_COMPLEMENTOS!$B$4:$B$803,"DE CORTE")-SUMIFS(MOVIMIENTOS_COMPLEMENTOS!$I$4:$I$803,MOVIMIENTOS_COMPLEMENTOS!$C$4:$C$803,A2018,MOVIMIENTOS_COMPLEMENTOS!$D$4:$D$803,B2018,MOVIMIENTOS_COMPLEMENTOS!$E$4:$E$803,C2018,MOVIMIENTOS_COMPLEMENTOS!$F$4:$F$803,D2018,MOVIMIENTOS_COMPLEMENTOS!$G$4:$G$803,E2018,MOVIMIENTOS_COMPLEMENTOS!$H$4:$H$803,G2018,MOVIMIENTOS_COMPLEMENTOS!$B$4:$B$803,"SALIDA"),0)</f>
        <v>0</v>
      </c>
      <c r="I2018" s="102">
        <f t="array" ref="I2018">IFERROR(INDEX(PRECIOS_COMPLEMENTOS!$C$4:$F$17,MATCH(B2018&amp;"_"&amp;C2018,PRECIOS_COMPLEMENTOS!$H$4:$H$17,0),IF(OR(G2018="S",G2018="20cm"),1,IF(OR(G2018="M",G2018="25cm"),2,IF(OR(G2018="L",G2018="30cm"),3,IF(OR(G2018="XL",G2018="35cm"),4,0))))),0)</f>
        <v>0.6</v>
      </c>
      <c r="J2018" s="103">
        <f t="shared" si="1"/>
        <v>0</v>
      </c>
      <c r="K2018" s="104" t="str">
        <f>IF(H2018&lt;0,"ERROR",IF(H2018=0,"",IF(H2018&lt;CONFIG!$B$4,"CRÍTICO",IF(H2018&lt;CONFIG!$B$5,"BAJO","OK"))))</f>
        <v/>
      </c>
    </row>
    <row r="2019" ht="15.75" hidden="1" customHeight="1">
      <c r="A2019" s="90" t="str">
        <f>IF(CLIENTES!A4="","",CLIENTES!A4)</f>
        <v>OverShark</v>
      </c>
      <c r="B2019" s="90" t="s">
        <v>331</v>
      </c>
      <c r="C2019" s="91" t="s">
        <v>328</v>
      </c>
      <c r="D2019" s="109" t="s">
        <v>366</v>
      </c>
      <c r="E2019" s="67" t="str">
        <f>COLORES!A7</f>
        <v>Azul</v>
      </c>
      <c r="F2019" s="67" t="str">
        <f>COLORES!B7</f>
        <v>OSCURO</v>
      </c>
      <c r="G2019" s="90" t="s">
        <v>379</v>
      </c>
      <c r="H2019" s="100">
        <f>IFERROR(SUMIFS(MOVIMIENTOS_COMPLEMENTOS!$I$4:$I$803,MOVIMIENTOS_COMPLEMENTOS!$C$4:$C$803,A2019,MOVIMIENTOS_COMPLEMENTOS!$D$4:$D$803,B2019,MOVIMIENTOS_COMPLEMENTOS!$E$4:$E$803,C2019,MOVIMIENTOS_COMPLEMENTOS!$F$4:$F$803,D2019,MOVIMIENTOS_COMPLEMENTOS!$G$4:$G$803,E2019,MOVIMIENTOS_COMPLEMENTOS!$H$4:$H$803,G2019,MOVIMIENTOS_COMPLEMENTOS!$B$4:$B$803,"INGRESO")+SUMIFS(MOVIMIENTOS_COMPLEMENTOS!$I$4:$I$803,MOVIMIENTOS_COMPLEMENTOS!$C$4:$C$803,A2019,MOVIMIENTOS_COMPLEMENTOS!$D$4:$D$803,B2019,MOVIMIENTOS_COMPLEMENTOS!$E$4:$E$803,C2019,MOVIMIENTOS_COMPLEMENTOS!$F$4:$F$803,D2019,MOVIMIENTOS_COMPLEMENTOS!$G$4:$G$803,E2019,MOVIMIENTOS_COMPLEMENTOS!$H$4:$H$803,G2019,MOVIMIENTOS_COMPLEMENTOS!$B$4:$B$803,"DE CORTE")-SUMIFS(MOVIMIENTOS_COMPLEMENTOS!$I$4:$I$803,MOVIMIENTOS_COMPLEMENTOS!$C$4:$C$803,A2019,MOVIMIENTOS_COMPLEMENTOS!$D$4:$D$803,B2019,MOVIMIENTOS_COMPLEMENTOS!$E$4:$E$803,C2019,MOVIMIENTOS_COMPLEMENTOS!$F$4:$F$803,D2019,MOVIMIENTOS_COMPLEMENTOS!$G$4:$G$803,E2019,MOVIMIENTOS_COMPLEMENTOS!$H$4:$H$803,G2019,MOVIMIENTOS_COMPLEMENTOS!$B$4:$B$803,"SALIDA"),0)</f>
        <v>0</v>
      </c>
      <c r="I2019" s="102">
        <f t="array" ref="I2019">IFERROR(INDEX(PRECIOS_COMPLEMENTOS!$C$4:$F$17,MATCH(B2019&amp;"_"&amp;C2019,PRECIOS_COMPLEMENTOS!$H$4:$H$17,0),IF(OR(G2019="S",G2019="20cm"),1,IF(OR(G2019="M",G2019="25cm"),2,IF(OR(G2019="L",G2019="30cm"),3,IF(OR(G2019="XL",G2019="35cm"),4,0))))),0)</f>
        <v>0.6</v>
      </c>
      <c r="J2019" s="103">
        <f t="shared" si="1"/>
        <v>0</v>
      </c>
      <c r="K2019" s="104" t="str">
        <f>IF(H2019&lt;0,"ERROR",IF(H2019=0,"",IF(H2019&lt;CONFIG!$B$4,"CRÍTICO",IF(H2019&lt;CONFIG!$B$5,"BAJO","OK"))))</f>
        <v/>
      </c>
    </row>
    <row r="2020" ht="15.75" hidden="1" customHeight="1">
      <c r="A2020" s="90" t="str">
        <f>IF(CLIENTES!A4="","",CLIENTES!A4)</f>
        <v>OverShark</v>
      </c>
      <c r="B2020" s="90" t="s">
        <v>331</v>
      </c>
      <c r="C2020" s="91" t="s">
        <v>328</v>
      </c>
      <c r="D2020" s="109" t="s">
        <v>366</v>
      </c>
      <c r="E2020" s="67" t="str">
        <f>COLORES!A8</f>
        <v>Beige</v>
      </c>
      <c r="F2020" s="67" t="str">
        <f>COLORES!B8</f>
        <v>CLARO</v>
      </c>
      <c r="G2020" s="90" t="s">
        <v>378</v>
      </c>
      <c r="H2020" s="100">
        <f>IFERROR(SUMIFS(MOVIMIENTOS_COMPLEMENTOS!$I$4:$I$803,MOVIMIENTOS_COMPLEMENTOS!$C$4:$C$803,A2020,MOVIMIENTOS_COMPLEMENTOS!$D$4:$D$803,B2020,MOVIMIENTOS_COMPLEMENTOS!$E$4:$E$803,C2020,MOVIMIENTOS_COMPLEMENTOS!$F$4:$F$803,D2020,MOVIMIENTOS_COMPLEMENTOS!$G$4:$G$803,E2020,MOVIMIENTOS_COMPLEMENTOS!$H$4:$H$803,G2020,MOVIMIENTOS_COMPLEMENTOS!$B$4:$B$803,"INGRESO")+SUMIFS(MOVIMIENTOS_COMPLEMENTOS!$I$4:$I$803,MOVIMIENTOS_COMPLEMENTOS!$C$4:$C$803,A2020,MOVIMIENTOS_COMPLEMENTOS!$D$4:$D$803,B2020,MOVIMIENTOS_COMPLEMENTOS!$E$4:$E$803,C2020,MOVIMIENTOS_COMPLEMENTOS!$F$4:$F$803,D2020,MOVIMIENTOS_COMPLEMENTOS!$G$4:$G$803,E2020,MOVIMIENTOS_COMPLEMENTOS!$H$4:$H$803,G2020,MOVIMIENTOS_COMPLEMENTOS!$B$4:$B$803,"DE CORTE")-SUMIFS(MOVIMIENTOS_COMPLEMENTOS!$I$4:$I$803,MOVIMIENTOS_COMPLEMENTOS!$C$4:$C$803,A2020,MOVIMIENTOS_COMPLEMENTOS!$D$4:$D$803,B2020,MOVIMIENTOS_COMPLEMENTOS!$E$4:$E$803,C2020,MOVIMIENTOS_COMPLEMENTOS!$F$4:$F$803,D2020,MOVIMIENTOS_COMPLEMENTOS!$G$4:$G$803,E2020,MOVIMIENTOS_COMPLEMENTOS!$H$4:$H$803,G2020,MOVIMIENTOS_COMPLEMENTOS!$B$4:$B$803,"SALIDA"),0)</f>
        <v>0</v>
      </c>
      <c r="I2020" s="102">
        <f t="array" ref="I2020">IFERROR(INDEX(PRECIOS_COMPLEMENTOS!$C$4:$F$17,MATCH(B2020&amp;"_"&amp;C2020,PRECIOS_COMPLEMENTOS!$H$4:$H$17,0),IF(OR(G2020="S",G2020="20cm"),1,IF(OR(G2020="M",G2020="25cm"),2,IF(OR(G2020="L",G2020="30cm"),3,IF(OR(G2020="XL",G2020="35cm"),4,0))))),0)</f>
        <v>0.6</v>
      </c>
      <c r="J2020" s="103">
        <f t="shared" si="1"/>
        <v>0</v>
      </c>
      <c r="K2020" s="104" t="str">
        <f>IF(H2020&lt;0,"ERROR",IF(H2020=0,"",IF(H2020&lt;CONFIG!$B$4,"CRÍTICO",IF(H2020&lt;CONFIG!$B$5,"BAJO","OK"))))</f>
        <v/>
      </c>
    </row>
    <row r="2021" ht="15.75" hidden="1" customHeight="1">
      <c r="A2021" s="90" t="str">
        <f>IF(CLIENTES!A4="","",CLIENTES!A4)</f>
        <v>OverShark</v>
      </c>
      <c r="B2021" s="90" t="s">
        <v>331</v>
      </c>
      <c r="C2021" s="91" t="s">
        <v>328</v>
      </c>
      <c r="D2021" s="109" t="s">
        <v>366</v>
      </c>
      <c r="E2021" s="67" t="str">
        <f>COLORES!A8</f>
        <v>Beige</v>
      </c>
      <c r="F2021" s="67" t="str">
        <f>COLORES!B8</f>
        <v>CLARO</v>
      </c>
      <c r="G2021" s="90" t="s">
        <v>376</v>
      </c>
      <c r="H2021" s="100">
        <f>IFERROR(SUMIFS(MOVIMIENTOS_COMPLEMENTOS!$I$4:$I$803,MOVIMIENTOS_COMPLEMENTOS!$C$4:$C$803,A2021,MOVIMIENTOS_COMPLEMENTOS!$D$4:$D$803,B2021,MOVIMIENTOS_COMPLEMENTOS!$E$4:$E$803,C2021,MOVIMIENTOS_COMPLEMENTOS!$F$4:$F$803,D2021,MOVIMIENTOS_COMPLEMENTOS!$G$4:$G$803,E2021,MOVIMIENTOS_COMPLEMENTOS!$H$4:$H$803,G2021,MOVIMIENTOS_COMPLEMENTOS!$B$4:$B$803,"INGRESO")+SUMIFS(MOVIMIENTOS_COMPLEMENTOS!$I$4:$I$803,MOVIMIENTOS_COMPLEMENTOS!$C$4:$C$803,A2021,MOVIMIENTOS_COMPLEMENTOS!$D$4:$D$803,B2021,MOVIMIENTOS_COMPLEMENTOS!$E$4:$E$803,C2021,MOVIMIENTOS_COMPLEMENTOS!$F$4:$F$803,D2021,MOVIMIENTOS_COMPLEMENTOS!$G$4:$G$803,E2021,MOVIMIENTOS_COMPLEMENTOS!$H$4:$H$803,G2021,MOVIMIENTOS_COMPLEMENTOS!$B$4:$B$803,"DE CORTE")-SUMIFS(MOVIMIENTOS_COMPLEMENTOS!$I$4:$I$803,MOVIMIENTOS_COMPLEMENTOS!$C$4:$C$803,A2021,MOVIMIENTOS_COMPLEMENTOS!$D$4:$D$803,B2021,MOVIMIENTOS_COMPLEMENTOS!$E$4:$E$803,C2021,MOVIMIENTOS_COMPLEMENTOS!$F$4:$F$803,D2021,MOVIMIENTOS_COMPLEMENTOS!$G$4:$G$803,E2021,MOVIMIENTOS_COMPLEMENTOS!$H$4:$H$803,G2021,MOVIMIENTOS_COMPLEMENTOS!$B$4:$B$803,"SALIDA"),0)</f>
        <v>0</v>
      </c>
      <c r="I2021" s="102">
        <f t="array" ref="I2021">IFERROR(INDEX(PRECIOS_COMPLEMENTOS!$C$4:$F$17,MATCH(B2021&amp;"_"&amp;C2021,PRECIOS_COMPLEMENTOS!$H$4:$H$17,0),IF(OR(G2021="S",G2021="20cm"),1,IF(OR(G2021="M",G2021="25cm"),2,IF(OR(G2021="L",G2021="30cm"),3,IF(OR(G2021="XL",G2021="35cm"),4,0))))),0)</f>
        <v>0.6</v>
      </c>
      <c r="J2021" s="103">
        <f t="shared" si="1"/>
        <v>0</v>
      </c>
      <c r="K2021" s="104" t="str">
        <f>IF(H2021&lt;0,"ERROR",IF(H2021=0,"",IF(H2021&lt;CONFIG!$B$4,"CRÍTICO",IF(H2021&lt;CONFIG!$B$5,"BAJO","OK"))))</f>
        <v/>
      </c>
    </row>
    <row r="2022" ht="15.75" hidden="1" customHeight="1">
      <c r="A2022" s="90" t="str">
        <f>IF(CLIENTES!A4="","",CLIENTES!A4)</f>
        <v>OverShark</v>
      </c>
      <c r="B2022" s="90" t="s">
        <v>331</v>
      </c>
      <c r="C2022" s="91" t="s">
        <v>328</v>
      </c>
      <c r="D2022" s="109" t="s">
        <v>366</v>
      </c>
      <c r="E2022" s="67" t="str">
        <f>COLORES!A8</f>
        <v>Beige</v>
      </c>
      <c r="F2022" s="67" t="str">
        <f>COLORES!B8</f>
        <v>CLARO</v>
      </c>
      <c r="G2022" s="90" t="s">
        <v>377</v>
      </c>
      <c r="H2022" s="100">
        <f>IFERROR(SUMIFS(MOVIMIENTOS_COMPLEMENTOS!$I$4:$I$803,MOVIMIENTOS_COMPLEMENTOS!$C$4:$C$803,A2022,MOVIMIENTOS_COMPLEMENTOS!$D$4:$D$803,B2022,MOVIMIENTOS_COMPLEMENTOS!$E$4:$E$803,C2022,MOVIMIENTOS_COMPLEMENTOS!$F$4:$F$803,D2022,MOVIMIENTOS_COMPLEMENTOS!$G$4:$G$803,E2022,MOVIMIENTOS_COMPLEMENTOS!$H$4:$H$803,G2022,MOVIMIENTOS_COMPLEMENTOS!$B$4:$B$803,"INGRESO")+SUMIFS(MOVIMIENTOS_COMPLEMENTOS!$I$4:$I$803,MOVIMIENTOS_COMPLEMENTOS!$C$4:$C$803,A2022,MOVIMIENTOS_COMPLEMENTOS!$D$4:$D$803,B2022,MOVIMIENTOS_COMPLEMENTOS!$E$4:$E$803,C2022,MOVIMIENTOS_COMPLEMENTOS!$F$4:$F$803,D2022,MOVIMIENTOS_COMPLEMENTOS!$G$4:$G$803,E2022,MOVIMIENTOS_COMPLEMENTOS!$H$4:$H$803,G2022,MOVIMIENTOS_COMPLEMENTOS!$B$4:$B$803,"DE CORTE")-SUMIFS(MOVIMIENTOS_COMPLEMENTOS!$I$4:$I$803,MOVIMIENTOS_COMPLEMENTOS!$C$4:$C$803,A2022,MOVIMIENTOS_COMPLEMENTOS!$D$4:$D$803,B2022,MOVIMIENTOS_COMPLEMENTOS!$E$4:$E$803,C2022,MOVIMIENTOS_COMPLEMENTOS!$F$4:$F$803,D2022,MOVIMIENTOS_COMPLEMENTOS!$G$4:$G$803,E2022,MOVIMIENTOS_COMPLEMENTOS!$H$4:$H$803,G2022,MOVIMIENTOS_COMPLEMENTOS!$B$4:$B$803,"SALIDA"),0)</f>
        <v>0</v>
      </c>
      <c r="I2022" s="102">
        <f t="array" ref="I2022">IFERROR(INDEX(PRECIOS_COMPLEMENTOS!$C$4:$F$17,MATCH(B2022&amp;"_"&amp;C2022,PRECIOS_COMPLEMENTOS!$H$4:$H$17,0),IF(OR(G2022="S",G2022="20cm"),1,IF(OR(G2022="M",G2022="25cm"),2,IF(OR(G2022="L",G2022="30cm"),3,IF(OR(G2022="XL",G2022="35cm"),4,0))))),0)</f>
        <v>0.6</v>
      </c>
      <c r="J2022" s="103">
        <f t="shared" si="1"/>
        <v>0</v>
      </c>
      <c r="K2022" s="104" t="str">
        <f>IF(H2022&lt;0,"ERROR",IF(H2022=0,"",IF(H2022&lt;CONFIG!$B$4,"CRÍTICO",IF(H2022&lt;CONFIG!$B$5,"BAJO","OK"))))</f>
        <v/>
      </c>
    </row>
    <row r="2023" ht="15.75" hidden="1" customHeight="1">
      <c r="A2023" s="90" t="str">
        <f>IF(CLIENTES!A4="","",CLIENTES!A4)</f>
        <v>OverShark</v>
      </c>
      <c r="B2023" s="90" t="s">
        <v>331</v>
      </c>
      <c r="C2023" s="91" t="s">
        <v>328</v>
      </c>
      <c r="D2023" s="109" t="s">
        <v>366</v>
      </c>
      <c r="E2023" s="67" t="str">
        <f>COLORES!A8</f>
        <v>Beige</v>
      </c>
      <c r="F2023" s="67" t="str">
        <f>COLORES!B8</f>
        <v>CLARO</v>
      </c>
      <c r="G2023" s="90" t="s">
        <v>379</v>
      </c>
      <c r="H2023" s="100">
        <f>IFERROR(SUMIFS(MOVIMIENTOS_COMPLEMENTOS!$I$4:$I$803,MOVIMIENTOS_COMPLEMENTOS!$C$4:$C$803,A2023,MOVIMIENTOS_COMPLEMENTOS!$D$4:$D$803,B2023,MOVIMIENTOS_COMPLEMENTOS!$E$4:$E$803,C2023,MOVIMIENTOS_COMPLEMENTOS!$F$4:$F$803,D2023,MOVIMIENTOS_COMPLEMENTOS!$G$4:$G$803,E2023,MOVIMIENTOS_COMPLEMENTOS!$H$4:$H$803,G2023,MOVIMIENTOS_COMPLEMENTOS!$B$4:$B$803,"INGRESO")+SUMIFS(MOVIMIENTOS_COMPLEMENTOS!$I$4:$I$803,MOVIMIENTOS_COMPLEMENTOS!$C$4:$C$803,A2023,MOVIMIENTOS_COMPLEMENTOS!$D$4:$D$803,B2023,MOVIMIENTOS_COMPLEMENTOS!$E$4:$E$803,C2023,MOVIMIENTOS_COMPLEMENTOS!$F$4:$F$803,D2023,MOVIMIENTOS_COMPLEMENTOS!$G$4:$G$803,E2023,MOVIMIENTOS_COMPLEMENTOS!$H$4:$H$803,G2023,MOVIMIENTOS_COMPLEMENTOS!$B$4:$B$803,"DE CORTE")-SUMIFS(MOVIMIENTOS_COMPLEMENTOS!$I$4:$I$803,MOVIMIENTOS_COMPLEMENTOS!$C$4:$C$803,A2023,MOVIMIENTOS_COMPLEMENTOS!$D$4:$D$803,B2023,MOVIMIENTOS_COMPLEMENTOS!$E$4:$E$803,C2023,MOVIMIENTOS_COMPLEMENTOS!$F$4:$F$803,D2023,MOVIMIENTOS_COMPLEMENTOS!$G$4:$G$803,E2023,MOVIMIENTOS_COMPLEMENTOS!$H$4:$H$803,G2023,MOVIMIENTOS_COMPLEMENTOS!$B$4:$B$803,"SALIDA"),0)</f>
        <v>0</v>
      </c>
      <c r="I2023" s="102">
        <f t="array" ref="I2023">IFERROR(INDEX(PRECIOS_COMPLEMENTOS!$C$4:$F$17,MATCH(B2023&amp;"_"&amp;C2023,PRECIOS_COMPLEMENTOS!$H$4:$H$17,0),IF(OR(G2023="S",G2023="20cm"),1,IF(OR(G2023="M",G2023="25cm"),2,IF(OR(G2023="L",G2023="30cm"),3,IF(OR(G2023="XL",G2023="35cm"),4,0))))),0)</f>
        <v>0.6</v>
      </c>
      <c r="J2023" s="103">
        <f t="shared" si="1"/>
        <v>0</v>
      </c>
      <c r="K2023" s="104" t="str">
        <f>IF(H2023&lt;0,"ERROR",IF(H2023=0,"",IF(H2023&lt;CONFIG!$B$4,"CRÍTICO",IF(H2023&lt;CONFIG!$B$5,"BAJO","OK"))))</f>
        <v/>
      </c>
    </row>
    <row r="2024" ht="15.75" hidden="1" customHeight="1">
      <c r="A2024" s="90" t="str">
        <f>IF(CLIENTES!A4="","",CLIENTES!A4)</f>
        <v>OverShark</v>
      </c>
      <c r="B2024" s="90" t="s">
        <v>331</v>
      </c>
      <c r="C2024" s="91" t="s">
        <v>328</v>
      </c>
      <c r="D2024" s="109" t="s">
        <v>366</v>
      </c>
      <c r="E2024" s="67" t="str">
        <f>COLORES!A9</f>
        <v>Melange</v>
      </c>
      <c r="F2024" s="67" t="str">
        <f>COLORES!B9</f>
        <v>MELANGE</v>
      </c>
      <c r="G2024" s="90" t="s">
        <v>378</v>
      </c>
      <c r="H2024" s="100">
        <f>IFERROR(SUMIFS(MOVIMIENTOS_COMPLEMENTOS!$I$4:$I$803,MOVIMIENTOS_COMPLEMENTOS!$C$4:$C$803,A2024,MOVIMIENTOS_COMPLEMENTOS!$D$4:$D$803,B2024,MOVIMIENTOS_COMPLEMENTOS!$E$4:$E$803,C2024,MOVIMIENTOS_COMPLEMENTOS!$F$4:$F$803,D2024,MOVIMIENTOS_COMPLEMENTOS!$G$4:$G$803,E2024,MOVIMIENTOS_COMPLEMENTOS!$H$4:$H$803,G2024,MOVIMIENTOS_COMPLEMENTOS!$B$4:$B$803,"INGRESO")+SUMIFS(MOVIMIENTOS_COMPLEMENTOS!$I$4:$I$803,MOVIMIENTOS_COMPLEMENTOS!$C$4:$C$803,A2024,MOVIMIENTOS_COMPLEMENTOS!$D$4:$D$803,B2024,MOVIMIENTOS_COMPLEMENTOS!$E$4:$E$803,C2024,MOVIMIENTOS_COMPLEMENTOS!$F$4:$F$803,D2024,MOVIMIENTOS_COMPLEMENTOS!$G$4:$G$803,E2024,MOVIMIENTOS_COMPLEMENTOS!$H$4:$H$803,G2024,MOVIMIENTOS_COMPLEMENTOS!$B$4:$B$803,"DE CORTE")-SUMIFS(MOVIMIENTOS_COMPLEMENTOS!$I$4:$I$803,MOVIMIENTOS_COMPLEMENTOS!$C$4:$C$803,A2024,MOVIMIENTOS_COMPLEMENTOS!$D$4:$D$803,B2024,MOVIMIENTOS_COMPLEMENTOS!$E$4:$E$803,C2024,MOVIMIENTOS_COMPLEMENTOS!$F$4:$F$803,D2024,MOVIMIENTOS_COMPLEMENTOS!$G$4:$G$803,E2024,MOVIMIENTOS_COMPLEMENTOS!$H$4:$H$803,G2024,MOVIMIENTOS_COMPLEMENTOS!$B$4:$B$803,"SALIDA"),0)</f>
        <v>0</v>
      </c>
      <c r="I2024" s="102">
        <f t="array" ref="I2024">IFERROR(INDEX(PRECIOS_COMPLEMENTOS!$C$4:$F$17,MATCH(B2024&amp;"_"&amp;C2024,PRECIOS_COMPLEMENTOS!$H$4:$H$17,0),IF(OR(G2024="S",G2024="20cm"),1,IF(OR(G2024="M",G2024="25cm"),2,IF(OR(G2024="L",G2024="30cm"),3,IF(OR(G2024="XL",G2024="35cm"),4,0))))),0)</f>
        <v>0.6</v>
      </c>
      <c r="J2024" s="103">
        <f t="shared" si="1"/>
        <v>0</v>
      </c>
      <c r="K2024" s="104" t="str">
        <f>IF(H2024&lt;0,"ERROR",IF(H2024=0,"",IF(H2024&lt;CONFIG!$B$4,"CRÍTICO",IF(H2024&lt;CONFIG!$B$5,"BAJO","OK"))))</f>
        <v/>
      </c>
    </row>
    <row r="2025" ht="15.75" hidden="1" customHeight="1">
      <c r="A2025" s="90" t="str">
        <f>IF(CLIENTES!A4="","",CLIENTES!A4)</f>
        <v>OverShark</v>
      </c>
      <c r="B2025" s="90" t="s">
        <v>331</v>
      </c>
      <c r="C2025" s="91" t="s">
        <v>328</v>
      </c>
      <c r="D2025" s="109" t="s">
        <v>366</v>
      </c>
      <c r="E2025" s="67" t="str">
        <f>COLORES!A9</f>
        <v>Melange</v>
      </c>
      <c r="F2025" s="67" t="str">
        <f>COLORES!B9</f>
        <v>MELANGE</v>
      </c>
      <c r="G2025" s="90" t="s">
        <v>376</v>
      </c>
      <c r="H2025" s="100">
        <f>IFERROR(SUMIFS(MOVIMIENTOS_COMPLEMENTOS!$I$4:$I$803,MOVIMIENTOS_COMPLEMENTOS!$C$4:$C$803,A2025,MOVIMIENTOS_COMPLEMENTOS!$D$4:$D$803,B2025,MOVIMIENTOS_COMPLEMENTOS!$E$4:$E$803,C2025,MOVIMIENTOS_COMPLEMENTOS!$F$4:$F$803,D2025,MOVIMIENTOS_COMPLEMENTOS!$G$4:$G$803,E2025,MOVIMIENTOS_COMPLEMENTOS!$H$4:$H$803,G2025,MOVIMIENTOS_COMPLEMENTOS!$B$4:$B$803,"INGRESO")+SUMIFS(MOVIMIENTOS_COMPLEMENTOS!$I$4:$I$803,MOVIMIENTOS_COMPLEMENTOS!$C$4:$C$803,A2025,MOVIMIENTOS_COMPLEMENTOS!$D$4:$D$803,B2025,MOVIMIENTOS_COMPLEMENTOS!$E$4:$E$803,C2025,MOVIMIENTOS_COMPLEMENTOS!$F$4:$F$803,D2025,MOVIMIENTOS_COMPLEMENTOS!$G$4:$G$803,E2025,MOVIMIENTOS_COMPLEMENTOS!$H$4:$H$803,G2025,MOVIMIENTOS_COMPLEMENTOS!$B$4:$B$803,"DE CORTE")-SUMIFS(MOVIMIENTOS_COMPLEMENTOS!$I$4:$I$803,MOVIMIENTOS_COMPLEMENTOS!$C$4:$C$803,A2025,MOVIMIENTOS_COMPLEMENTOS!$D$4:$D$803,B2025,MOVIMIENTOS_COMPLEMENTOS!$E$4:$E$803,C2025,MOVIMIENTOS_COMPLEMENTOS!$F$4:$F$803,D2025,MOVIMIENTOS_COMPLEMENTOS!$G$4:$G$803,E2025,MOVIMIENTOS_COMPLEMENTOS!$H$4:$H$803,G2025,MOVIMIENTOS_COMPLEMENTOS!$B$4:$B$803,"SALIDA"),0)</f>
        <v>0</v>
      </c>
      <c r="I2025" s="102">
        <f t="array" ref="I2025">IFERROR(INDEX(PRECIOS_COMPLEMENTOS!$C$4:$F$17,MATCH(B2025&amp;"_"&amp;C2025,PRECIOS_COMPLEMENTOS!$H$4:$H$17,0),IF(OR(G2025="S",G2025="20cm"),1,IF(OR(G2025="M",G2025="25cm"),2,IF(OR(G2025="L",G2025="30cm"),3,IF(OR(G2025="XL",G2025="35cm"),4,0))))),0)</f>
        <v>0.6</v>
      </c>
      <c r="J2025" s="103">
        <f t="shared" si="1"/>
        <v>0</v>
      </c>
      <c r="K2025" s="104" t="str">
        <f>IF(H2025&lt;0,"ERROR",IF(H2025=0,"",IF(H2025&lt;CONFIG!$B$4,"CRÍTICO",IF(H2025&lt;CONFIG!$B$5,"BAJO","OK"))))</f>
        <v/>
      </c>
    </row>
    <row r="2026" ht="15.75" hidden="1" customHeight="1">
      <c r="A2026" s="90" t="str">
        <f>IF(CLIENTES!A4="","",CLIENTES!A4)</f>
        <v>OverShark</v>
      </c>
      <c r="B2026" s="90" t="s">
        <v>331</v>
      </c>
      <c r="C2026" s="91" t="s">
        <v>328</v>
      </c>
      <c r="D2026" s="109" t="s">
        <v>366</v>
      </c>
      <c r="E2026" s="67" t="str">
        <f>COLORES!A9</f>
        <v>Melange</v>
      </c>
      <c r="F2026" s="67" t="str">
        <f>COLORES!B9</f>
        <v>MELANGE</v>
      </c>
      <c r="G2026" s="90" t="s">
        <v>377</v>
      </c>
      <c r="H2026" s="100">
        <f>IFERROR(SUMIFS(MOVIMIENTOS_COMPLEMENTOS!$I$4:$I$803,MOVIMIENTOS_COMPLEMENTOS!$C$4:$C$803,A2026,MOVIMIENTOS_COMPLEMENTOS!$D$4:$D$803,B2026,MOVIMIENTOS_COMPLEMENTOS!$E$4:$E$803,C2026,MOVIMIENTOS_COMPLEMENTOS!$F$4:$F$803,D2026,MOVIMIENTOS_COMPLEMENTOS!$G$4:$G$803,E2026,MOVIMIENTOS_COMPLEMENTOS!$H$4:$H$803,G2026,MOVIMIENTOS_COMPLEMENTOS!$B$4:$B$803,"INGRESO")+SUMIFS(MOVIMIENTOS_COMPLEMENTOS!$I$4:$I$803,MOVIMIENTOS_COMPLEMENTOS!$C$4:$C$803,A2026,MOVIMIENTOS_COMPLEMENTOS!$D$4:$D$803,B2026,MOVIMIENTOS_COMPLEMENTOS!$E$4:$E$803,C2026,MOVIMIENTOS_COMPLEMENTOS!$F$4:$F$803,D2026,MOVIMIENTOS_COMPLEMENTOS!$G$4:$G$803,E2026,MOVIMIENTOS_COMPLEMENTOS!$H$4:$H$803,G2026,MOVIMIENTOS_COMPLEMENTOS!$B$4:$B$803,"DE CORTE")-SUMIFS(MOVIMIENTOS_COMPLEMENTOS!$I$4:$I$803,MOVIMIENTOS_COMPLEMENTOS!$C$4:$C$803,A2026,MOVIMIENTOS_COMPLEMENTOS!$D$4:$D$803,B2026,MOVIMIENTOS_COMPLEMENTOS!$E$4:$E$803,C2026,MOVIMIENTOS_COMPLEMENTOS!$F$4:$F$803,D2026,MOVIMIENTOS_COMPLEMENTOS!$G$4:$G$803,E2026,MOVIMIENTOS_COMPLEMENTOS!$H$4:$H$803,G2026,MOVIMIENTOS_COMPLEMENTOS!$B$4:$B$803,"SALIDA"),0)</f>
        <v>0</v>
      </c>
      <c r="I2026" s="102">
        <f t="array" ref="I2026">IFERROR(INDEX(PRECIOS_COMPLEMENTOS!$C$4:$F$17,MATCH(B2026&amp;"_"&amp;C2026,PRECIOS_COMPLEMENTOS!$H$4:$H$17,0),IF(OR(G2026="S",G2026="20cm"),1,IF(OR(G2026="M",G2026="25cm"),2,IF(OR(G2026="L",G2026="30cm"),3,IF(OR(G2026="XL",G2026="35cm"),4,0))))),0)</f>
        <v>0.6</v>
      </c>
      <c r="J2026" s="103">
        <f t="shared" si="1"/>
        <v>0</v>
      </c>
      <c r="K2026" s="104" t="str">
        <f>IF(H2026&lt;0,"ERROR",IF(H2026=0,"",IF(H2026&lt;CONFIG!$B$4,"CRÍTICO",IF(H2026&lt;CONFIG!$B$5,"BAJO","OK"))))</f>
        <v/>
      </c>
    </row>
    <row r="2027" ht="15.75" hidden="1" customHeight="1">
      <c r="A2027" s="90" t="str">
        <f>IF(CLIENTES!A4="","",CLIENTES!A4)</f>
        <v>OverShark</v>
      </c>
      <c r="B2027" s="90" t="s">
        <v>331</v>
      </c>
      <c r="C2027" s="91" t="s">
        <v>328</v>
      </c>
      <c r="D2027" s="109" t="s">
        <v>366</v>
      </c>
      <c r="E2027" s="67" t="str">
        <f>COLORES!A9</f>
        <v>Melange</v>
      </c>
      <c r="F2027" s="67" t="str">
        <f>COLORES!B9</f>
        <v>MELANGE</v>
      </c>
      <c r="G2027" s="90" t="s">
        <v>379</v>
      </c>
      <c r="H2027" s="100">
        <f>IFERROR(SUMIFS(MOVIMIENTOS_COMPLEMENTOS!$I$4:$I$803,MOVIMIENTOS_COMPLEMENTOS!$C$4:$C$803,A2027,MOVIMIENTOS_COMPLEMENTOS!$D$4:$D$803,B2027,MOVIMIENTOS_COMPLEMENTOS!$E$4:$E$803,C2027,MOVIMIENTOS_COMPLEMENTOS!$F$4:$F$803,D2027,MOVIMIENTOS_COMPLEMENTOS!$G$4:$G$803,E2027,MOVIMIENTOS_COMPLEMENTOS!$H$4:$H$803,G2027,MOVIMIENTOS_COMPLEMENTOS!$B$4:$B$803,"INGRESO")+SUMIFS(MOVIMIENTOS_COMPLEMENTOS!$I$4:$I$803,MOVIMIENTOS_COMPLEMENTOS!$C$4:$C$803,A2027,MOVIMIENTOS_COMPLEMENTOS!$D$4:$D$803,B2027,MOVIMIENTOS_COMPLEMENTOS!$E$4:$E$803,C2027,MOVIMIENTOS_COMPLEMENTOS!$F$4:$F$803,D2027,MOVIMIENTOS_COMPLEMENTOS!$G$4:$G$803,E2027,MOVIMIENTOS_COMPLEMENTOS!$H$4:$H$803,G2027,MOVIMIENTOS_COMPLEMENTOS!$B$4:$B$803,"DE CORTE")-SUMIFS(MOVIMIENTOS_COMPLEMENTOS!$I$4:$I$803,MOVIMIENTOS_COMPLEMENTOS!$C$4:$C$803,A2027,MOVIMIENTOS_COMPLEMENTOS!$D$4:$D$803,B2027,MOVIMIENTOS_COMPLEMENTOS!$E$4:$E$803,C2027,MOVIMIENTOS_COMPLEMENTOS!$F$4:$F$803,D2027,MOVIMIENTOS_COMPLEMENTOS!$G$4:$G$803,E2027,MOVIMIENTOS_COMPLEMENTOS!$H$4:$H$803,G2027,MOVIMIENTOS_COMPLEMENTOS!$B$4:$B$803,"SALIDA"),0)</f>
        <v>0</v>
      </c>
      <c r="I2027" s="102">
        <f t="array" ref="I2027">IFERROR(INDEX(PRECIOS_COMPLEMENTOS!$C$4:$F$17,MATCH(B2027&amp;"_"&amp;C2027,PRECIOS_COMPLEMENTOS!$H$4:$H$17,0),IF(OR(G2027="S",G2027="20cm"),1,IF(OR(G2027="M",G2027="25cm"),2,IF(OR(G2027="L",G2027="30cm"),3,IF(OR(G2027="XL",G2027="35cm"),4,0))))),0)</f>
        <v>0.6</v>
      </c>
      <c r="J2027" s="103">
        <f t="shared" si="1"/>
        <v>0</v>
      </c>
      <c r="K2027" s="104" t="str">
        <f>IF(H2027&lt;0,"ERROR",IF(H2027=0,"",IF(H2027&lt;CONFIG!$B$4,"CRÍTICO",IF(H2027&lt;CONFIG!$B$5,"BAJO","OK"))))</f>
        <v/>
      </c>
    </row>
    <row r="2028" ht="15.75" hidden="1" customHeight="1">
      <c r="A2028" s="90" t="str">
        <f>IF(CLIENTES!A4="","",CLIENTES!A4)</f>
        <v>OverShark</v>
      </c>
      <c r="B2028" s="90" t="s">
        <v>331</v>
      </c>
      <c r="C2028" s="91" t="s">
        <v>328</v>
      </c>
      <c r="D2028" s="109" t="s">
        <v>366</v>
      </c>
      <c r="E2028" s="67" t="str">
        <f>COLORES!A10</f>
        <v>Botella</v>
      </c>
      <c r="F2028" s="67" t="str">
        <f>COLORES!B10</f>
        <v>OSCURO</v>
      </c>
      <c r="G2028" s="90" t="s">
        <v>378</v>
      </c>
      <c r="H2028" s="100">
        <f>IFERROR(SUMIFS(MOVIMIENTOS_COMPLEMENTOS!$I$4:$I$803,MOVIMIENTOS_COMPLEMENTOS!$C$4:$C$803,A2028,MOVIMIENTOS_COMPLEMENTOS!$D$4:$D$803,B2028,MOVIMIENTOS_COMPLEMENTOS!$E$4:$E$803,C2028,MOVIMIENTOS_COMPLEMENTOS!$F$4:$F$803,D2028,MOVIMIENTOS_COMPLEMENTOS!$G$4:$G$803,E2028,MOVIMIENTOS_COMPLEMENTOS!$H$4:$H$803,G2028,MOVIMIENTOS_COMPLEMENTOS!$B$4:$B$803,"INGRESO")+SUMIFS(MOVIMIENTOS_COMPLEMENTOS!$I$4:$I$803,MOVIMIENTOS_COMPLEMENTOS!$C$4:$C$803,A2028,MOVIMIENTOS_COMPLEMENTOS!$D$4:$D$803,B2028,MOVIMIENTOS_COMPLEMENTOS!$E$4:$E$803,C2028,MOVIMIENTOS_COMPLEMENTOS!$F$4:$F$803,D2028,MOVIMIENTOS_COMPLEMENTOS!$G$4:$G$803,E2028,MOVIMIENTOS_COMPLEMENTOS!$H$4:$H$803,G2028,MOVIMIENTOS_COMPLEMENTOS!$B$4:$B$803,"DE CORTE")-SUMIFS(MOVIMIENTOS_COMPLEMENTOS!$I$4:$I$803,MOVIMIENTOS_COMPLEMENTOS!$C$4:$C$803,A2028,MOVIMIENTOS_COMPLEMENTOS!$D$4:$D$803,B2028,MOVIMIENTOS_COMPLEMENTOS!$E$4:$E$803,C2028,MOVIMIENTOS_COMPLEMENTOS!$F$4:$F$803,D2028,MOVIMIENTOS_COMPLEMENTOS!$G$4:$G$803,E2028,MOVIMIENTOS_COMPLEMENTOS!$H$4:$H$803,G2028,MOVIMIENTOS_COMPLEMENTOS!$B$4:$B$803,"SALIDA"),0)</f>
        <v>0</v>
      </c>
      <c r="I2028" s="102">
        <f t="array" ref="I2028">IFERROR(INDEX(PRECIOS_COMPLEMENTOS!$C$4:$F$17,MATCH(B2028&amp;"_"&amp;C2028,PRECIOS_COMPLEMENTOS!$H$4:$H$17,0),IF(OR(G2028="S",G2028="20cm"),1,IF(OR(G2028="M",G2028="25cm"),2,IF(OR(G2028="L",G2028="30cm"),3,IF(OR(G2028="XL",G2028="35cm"),4,0))))),0)</f>
        <v>0.6</v>
      </c>
      <c r="J2028" s="103">
        <f t="shared" si="1"/>
        <v>0</v>
      </c>
      <c r="K2028" s="104" t="str">
        <f>IF(H2028&lt;0,"ERROR",IF(H2028=0,"",IF(H2028&lt;CONFIG!$B$4,"CRÍTICO",IF(H2028&lt;CONFIG!$B$5,"BAJO","OK"))))</f>
        <v/>
      </c>
    </row>
    <row r="2029" ht="15.75" hidden="1" customHeight="1">
      <c r="A2029" s="90" t="str">
        <f>IF(CLIENTES!A4="","",CLIENTES!A4)</f>
        <v>OverShark</v>
      </c>
      <c r="B2029" s="90" t="s">
        <v>331</v>
      </c>
      <c r="C2029" s="91" t="s">
        <v>328</v>
      </c>
      <c r="D2029" s="109" t="s">
        <v>366</v>
      </c>
      <c r="E2029" s="67" t="str">
        <f>COLORES!A10</f>
        <v>Botella</v>
      </c>
      <c r="F2029" s="67" t="str">
        <f>COLORES!B10</f>
        <v>OSCURO</v>
      </c>
      <c r="G2029" s="90" t="s">
        <v>376</v>
      </c>
      <c r="H2029" s="100">
        <f>IFERROR(SUMIFS(MOVIMIENTOS_COMPLEMENTOS!$I$4:$I$803,MOVIMIENTOS_COMPLEMENTOS!$C$4:$C$803,A2029,MOVIMIENTOS_COMPLEMENTOS!$D$4:$D$803,B2029,MOVIMIENTOS_COMPLEMENTOS!$E$4:$E$803,C2029,MOVIMIENTOS_COMPLEMENTOS!$F$4:$F$803,D2029,MOVIMIENTOS_COMPLEMENTOS!$G$4:$G$803,E2029,MOVIMIENTOS_COMPLEMENTOS!$H$4:$H$803,G2029,MOVIMIENTOS_COMPLEMENTOS!$B$4:$B$803,"INGRESO")+SUMIFS(MOVIMIENTOS_COMPLEMENTOS!$I$4:$I$803,MOVIMIENTOS_COMPLEMENTOS!$C$4:$C$803,A2029,MOVIMIENTOS_COMPLEMENTOS!$D$4:$D$803,B2029,MOVIMIENTOS_COMPLEMENTOS!$E$4:$E$803,C2029,MOVIMIENTOS_COMPLEMENTOS!$F$4:$F$803,D2029,MOVIMIENTOS_COMPLEMENTOS!$G$4:$G$803,E2029,MOVIMIENTOS_COMPLEMENTOS!$H$4:$H$803,G2029,MOVIMIENTOS_COMPLEMENTOS!$B$4:$B$803,"DE CORTE")-SUMIFS(MOVIMIENTOS_COMPLEMENTOS!$I$4:$I$803,MOVIMIENTOS_COMPLEMENTOS!$C$4:$C$803,A2029,MOVIMIENTOS_COMPLEMENTOS!$D$4:$D$803,B2029,MOVIMIENTOS_COMPLEMENTOS!$E$4:$E$803,C2029,MOVIMIENTOS_COMPLEMENTOS!$F$4:$F$803,D2029,MOVIMIENTOS_COMPLEMENTOS!$G$4:$G$803,E2029,MOVIMIENTOS_COMPLEMENTOS!$H$4:$H$803,G2029,MOVIMIENTOS_COMPLEMENTOS!$B$4:$B$803,"SALIDA"),0)</f>
        <v>0</v>
      </c>
      <c r="I2029" s="102">
        <f t="array" ref="I2029">IFERROR(INDEX(PRECIOS_COMPLEMENTOS!$C$4:$F$17,MATCH(B2029&amp;"_"&amp;C2029,PRECIOS_COMPLEMENTOS!$H$4:$H$17,0),IF(OR(G2029="S",G2029="20cm"),1,IF(OR(G2029="M",G2029="25cm"),2,IF(OR(G2029="L",G2029="30cm"),3,IF(OR(G2029="XL",G2029="35cm"),4,0))))),0)</f>
        <v>0.6</v>
      </c>
      <c r="J2029" s="103">
        <f t="shared" si="1"/>
        <v>0</v>
      </c>
      <c r="K2029" s="104" t="str">
        <f>IF(H2029&lt;0,"ERROR",IF(H2029=0,"",IF(H2029&lt;CONFIG!$B$4,"CRÍTICO",IF(H2029&lt;CONFIG!$B$5,"BAJO","OK"))))</f>
        <v/>
      </c>
    </row>
    <row r="2030" ht="15.75" hidden="1" customHeight="1">
      <c r="A2030" s="90" t="str">
        <f>IF(CLIENTES!A4="","",CLIENTES!A4)</f>
        <v>OverShark</v>
      </c>
      <c r="B2030" s="90" t="s">
        <v>331</v>
      </c>
      <c r="C2030" s="91" t="s">
        <v>328</v>
      </c>
      <c r="D2030" s="109" t="s">
        <v>366</v>
      </c>
      <c r="E2030" s="67" t="str">
        <f>COLORES!A10</f>
        <v>Botella</v>
      </c>
      <c r="F2030" s="67" t="str">
        <f>COLORES!B10</f>
        <v>OSCURO</v>
      </c>
      <c r="G2030" s="90" t="s">
        <v>377</v>
      </c>
      <c r="H2030" s="100">
        <f>IFERROR(SUMIFS(MOVIMIENTOS_COMPLEMENTOS!$I$4:$I$803,MOVIMIENTOS_COMPLEMENTOS!$C$4:$C$803,A2030,MOVIMIENTOS_COMPLEMENTOS!$D$4:$D$803,B2030,MOVIMIENTOS_COMPLEMENTOS!$E$4:$E$803,C2030,MOVIMIENTOS_COMPLEMENTOS!$F$4:$F$803,D2030,MOVIMIENTOS_COMPLEMENTOS!$G$4:$G$803,E2030,MOVIMIENTOS_COMPLEMENTOS!$H$4:$H$803,G2030,MOVIMIENTOS_COMPLEMENTOS!$B$4:$B$803,"INGRESO")+SUMIFS(MOVIMIENTOS_COMPLEMENTOS!$I$4:$I$803,MOVIMIENTOS_COMPLEMENTOS!$C$4:$C$803,A2030,MOVIMIENTOS_COMPLEMENTOS!$D$4:$D$803,B2030,MOVIMIENTOS_COMPLEMENTOS!$E$4:$E$803,C2030,MOVIMIENTOS_COMPLEMENTOS!$F$4:$F$803,D2030,MOVIMIENTOS_COMPLEMENTOS!$G$4:$G$803,E2030,MOVIMIENTOS_COMPLEMENTOS!$H$4:$H$803,G2030,MOVIMIENTOS_COMPLEMENTOS!$B$4:$B$803,"DE CORTE")-SUMIFS(MOVIMIENTOS_COMPLEMENTOS!$I$4:$I$803,MOVIMIENTOS_COMPLEMENTOS!$C$4:$C$803,A2030,MOVIMIENTOS_COMPLEMENTOS!$D$4:$D$803,B2030,MOVIMIENTOS_COMPLEMENTOS!$E$4:$E$803,C2030,MOVIMIENTOS_COMPLEMENTOS!$F$4:$F$803,D2030,MOVIMIENTOS_COMPLEMENTOS!$G$4:$G$803,E2030,MOVIMIENTOS_COMPLEMENTOS!$H$4:$H$803,G2030,MOVIMIENTOS_COMPLEMENTOS!$B$4:$B$803,"SALIDA"),0)</f>
        <v>0</v>
      </c>
      <c r="I2030" s="102">
        <f t="array" ref="I2030">IFERROR(INDEX(PRECIOS_COMPLEMENTOS!$C$4:$F$17,MATCH(B2030&amp;"_"&amp;C2030,PRECIOS_COMPLEMENTOS!$H$4:$H$17,0),IF(OR(G2030="S",G2030="20cm"),1,IF(OR(G2030="M",G2030="25cm"),2,IF(OR(G2030="L",G2030="30cm"),3,IF(OR(G2030="XL",G2030="35cm"),4,0))))),0)</f>
        <v>0.6</v>
      </c>
      <c r="J2030" s="103">
        <f t="shared" si="1"/>
        <v>0</v>
      </c>
      <c r="K2030" s="104" t="str">
        <f>IF(H2030&lt;0,"ERROR",IF(H2030=0,"",IF(H2030&lt;CONFIG!$B$4,"CRÍTICO",IF(H2030&lt;CONFIG!$B$5,"BAJO","OK"))))</f>
        <v/>
      </c>
    </row>
    <row r="2031" ht="15.75" hidden="1" customHeight="1">
      <c r="A2031" s="90" t="str">
        <f>IF(CLIENTES!A4="","",CLIENTES!A4)</f>
        <v>OverShark</v>
      </c>
      <c r="B2031" s="90" t="s">
        <v>331</v>
      </c>
      <c r="C2031" s="91" t="s">
        <v>328</v>
      </c>
      <c r="D2031" s="109" t="s">
        <v>366</v>
      </c>
      <c r="E2031" s="67" t="str">
        <f>COLORES!A10</f>
        <v>Botella</v>
      </c>
      <c r="F2031" s="67" t="str">
        <f>COLORES!B10</f>
        <v>OSCURO</v>
      </c>
      <c r="G2031" s="90" t="s">
        <v>379</v>
      </c>
      <c r="H2031" s="100">
        <f>IFERROR(SUMIFS(MOVIMIENTOS_COMPLEMENTOS!$I$4:$I$803,MOVIMIENTOS_COMPLEMENTOS!$C$4:$C$803,A2031,MOVIMIENTOS_COMPLEMENTOS!$D$4:$D$803,B2031,MOVIMIENTOS_COMPLEMENTOS!$E$4:$E$803,C2031,MOVIMIENTOS_COMPLEMENTOS!$F$4:$F$803,D2031,MOVIMIENTOS_COMPLEMENTOS!$G$4:$G$803,E2031,MOVIMIENTOS_COMPLEMENTOS!$H$4:$H$803,G2031,MOVIMIENTOS_COMPLEMENTOS!$B$4:$B$803,"INGRESO")+SUMIFS(MOVIMIENTOS_COMPLEMENTOS!$I$4:$I$803,MOVIMIENTOS_COMPLEMENTOS!$C$4:$C$803,A2031,MOVIMIENTOS_COMPLEMENTOS!$D$4:$D$803,B2031,MOVIMIENTOS_COMPLEMENTOS!$E$4:$E$803,C2031,MOVIMIENTOS_COMPLEMENTOS!$F$4:$F$803,D2031,MOVIMIENTOS_COMPLEMENTOS!$G$4:$G$803,E2031,MOVIMIENTOS_COMPLEMENTOS!$H$4:$H$803,G2031,MOVIMIENTOS_COMPLEMENTOS!$B$4:$B$803,"DE CORTE")-SUMIFS(MOVIMIENTOS_COMPLEMENTOS!$I$4:$I$803,MOVIMIENTOS_COMPLEMENTOS!$C$4:$C$803,A2031,MOVIMIENTOS_COMPLEMENTOS!$D$4:$D$803,B2031,MOVIMIENTOS_COMPLEMENTOS!$E$4:$E$803,C2031,MOVIMIENTOS_COMPLEMENTOS!$F$4:$F$803,D2031,MOVIMIENTOS_COMPLEMENTOS!$G$4:$G$803,E2031,MOVIMIENTOS_COMPLEMENTOS!$H$4:$H$803,G2031,MOVIMIENTOS_COMPLEMENTOS!$B$4:$B$803,"SALIDA"),0)</f>
        <v>0</v>
      </c>
      <c r="I2031" s="102">
        <f t="array" ref="I2031">IFERROR(INDEX(PRECIOS_COMPLEMENTOS!$C$4:$F$17,MATCH(B2031&amp;"_"&amp;C2031,PRECIOS_COMPLEMENTOS!$H$4:$H$17,0),IF(OR(G2031="S",G2031="20cm"),1,IF(OR(G2031="M",G2031="25cm"),2,IF(OR(G2031="L",G2031="30cm"),3,IF(OR(G2031="XL",G2031="35cm"),4,0))))),0)</f>
        <v>0.6</v>
      </c>
      <c r="J2031" s="103">
        <f t="shared" si="1"/>
        <v>0</v>
      </c>
      <c r="K2031" s="104" t="str">
        <f>IF(H2031&lt;0,"ERROR",IF(H2031=0,"",IF(H2031&lt;CONFIG!$B$4,"CRÍTICO",IF(H2031&lt;CONFIG!$B$5,"BAJO","OK"))))</f>
        <v/>
      </c>
    </row>
    <row r="2032" ht="15.75" hidden="1" customHeight="1">
      <c r="A2032" s="90" t="str">
        <f>IF(CLIENTES!A4="","",CLIENTES!A4)</f>
        <v>OverShark</v>
      </c>
      <c r="B2032" s="90" t="s">
        <v>331</v>
      </c>
      <c r="C2032" s="91" t="s">
        <v>328</v>
      </c>
      <c r="D2032" s="109" t="s">
        <v>366</v>
      </c>
      <c r="E2032" s="67" t="str">
        <f>COLORES!A11</f>
        <v>Pacay</v>
      </c>
      <c r="F2032" s="67" t="str">
        <f>COLORES!B11</f>
        <v>CLARO</v>
      </c>
      <c r="G2032" s="90" t="s">
        <v>378</v>
      </c>
      <c r="H2032" s="100">
        <f>IFERROR(SUMIFS(MOVIMIENTOS_COMPLEMENTOS!$I$4:$I$803,MOVIMIENTOS_COMPLEMENTOS!$C$4:$C$803,A2032,MOVIMIENTOS_COMPLEMENTOS!$D$4:$D$803,B2032,MOVIMIENTOS_COMPLEMENTOS!$E$4:$E$803,C2032,MOVIMIENTOS_COMPLEMENTOS!$F$4:$F$803,D2032,MOVIMIENTOS_COMPLEMENTOS!$G$4:$G$803,E2032,MOVIMIENTOS_COMPLEMENTOS!$H$4:$H$803,G2032,MOVIMIENTOS_COMPLEMENTOS!$B$4:$B$803,"INGRESO")+SUMIFS(MOVIMIENTOS_COMPLEMENTOS!$I$4:$I$803,MOVIMIENTOS_COMPLEMENTOS!$C$4:$C$803,A2032,MOVIMIENTOS_COMPLEMENTOS!$D$4:$D$803,B2032,MOVIMIENTOS_COMPLEMENTOS!$E$4:$E$803,C2032,MOVIMIENTOS_COMPLEMENTOS!$F$4:$F$803,D2032,MOVIMIENTOS_COMPLEMENTOS!$G$4:$G$803,E2032,MOVIMIENTOS_COMPLEMENTOS!$H$4:$H$803,G2032,MOVIMIENTOS_COMPLEMENTOS!$B$4:$B$803,"DE CORTE")-SUMIFS(MOVIMIENTOS_COMPLEMENTOS!$I$4:$I$803,MOVIMIENTOS_COMPLEMENTOS!$C$4:$C$803,A2032,MOVIMIENTOS_COMPLEMENTOS!$D$4:$D$803,B2032,MOVIMIENTOS_COMPLEMENTOS!$E$4:$E$803,C2032,MOVIMIENTOS_COMPLEMENTOS!$F$4:$F$803,D2032,MOVIMIENTOS_COMPLEMENTOS!$G$4:$G$803,E2032,MOVIMIENTOS_COMPLEMENTOS!$H$4:$H$803,G2032,MOVIMIENTOS_COMPLEMENTOS!$B$4:$B$803,"SALIDA"),0)</f>
        <v>0</v>
      </c>
      <c r="I2032" s="102">
        <f t="array" ref="I2032">IFERROR(INDEX(PRECIOS_COMPLEMENTOS!$C$4:$F$17,MATCH(B2032&amp;"_"&amp;C2032,PRECIOS_COMPLEMENTOS!$H$4:$H$17,0),IF(OR(G2032="S",G2032="20cm"),1,IF(OR(G2032="M",G2032="25cm"),2,IF(OR(G2032="L",G2032="30cm"),3,IF(OR(G2032="XL",G2032="35cm"),4,0))))),0)</f>
        <v>0.6</v>
      </c>
      <c r="J2032" s="103">
        <f t="shared" si="1"/>
        <v>0</v>
      </c>
      <c r="K2032" s="104" t="str">
        <f>IF(H2032&lt;0,"ERROR",IF(H2032=0,"",IF(H2032&lt;CONFIG!$B$4,"CRÍTICO",IF(H2032&lt;CONFIG!$B$5,"BAJO","OK"))))</f>
        <v/>
      </c>
    </row>
    <row r="2033" ht="15.75" hidden="1" customHeight="1">
      <c r="A2033" s="90" t="str">
        <f>IF(CLIENTES!A4="","",CLIENTES!A4)</f>
        <v>OverShark</v>
      </c>
      <c r="B2033" s="90" t="s">
        <v>331</v>
      </c>
      <c r="C2033" s="91" t="s">
        <v>328</v>
      </c>
      <c r="D2033" s="109" t="s">
        <v>366</v>
      </c>
      <c r="E2033" s="67" t="str">
        <f>COLORES!A11</f>
        <v>Pacay</v>
      </c>
      <c r="F2033" s="67" t="str">
        <f>COLORES!B11</f>
        <v>CLARO</v>
      </c>
      <c r="G2033" s="90" t="s">
        <v>376</v>
      </c>
      <c r="H2033" s="100">
        <f>IFERROR(SUMIFS(MOVIMIENTOS_COMPLEMENTOS!$I$4:$I$803,MOVIMIENTOS_COMPLEMENTOS!$C$4:$C$803,A2033,MOVIMIENTOS_COMPLEMENTOS!$D$4:$D$803,B2033,MOVIMIENTOS_COMPLEMENTOS!$E$4:$E$803,C2033,MOVIMIENTOS_COMPLEMENTOS!$F$4:$F$803,D2033,MOVIMIENTOS_COMPLEMENTOS!$G$4:$G$803,E2033,MOVIMIENTOS_COMPLEMENTOS!$H$4:$H$803,G2033,MOVIMIENTOS_COMPLEMENTOS!$B$4:$B$803,"INGRESO")+SUMIFS(MOVIMIENTOS_COMPLEMENTOS!$I$4:$I$803,MOVIMIENTOS_COMPLEMENTOS!$C$4:$C$803,A2033,MOVIMIENTOS_COMPLEMENTOS!$D$4:$D$803,B2033,MOVIMIENTOS_COMPLEMENTOS!$E$4:$E$803,C2033,MOVIMIENTOS_COMPLEMENTOS!$F$4:$F$803,D2033,MOVIMIENTOS_COMPLEMENTOS!$G$4:$G$803,E2033,MOVIMIENTOS_COMPLEMENTOS!$H$4:$H$803,G2033,MOVIMIENTOS_COMPLEMENTOS!$B$4:$B$803,"DE CORTE")-SUMIFS(MOVIMIENTOS_COMPLEMENTOS!$I$4:$I$803,MOVIMIENTOS_COMPLEMENTOS!$C$4:$C$803,A2033,MOVIMIENTOS_COMPLEMENTOS!$D$4:$D$803,B2033,MOVIMIENTOS_COMPLEMENTOS!$E$4:$E$803,C2033,MOVIMIENTOS_COMPLEMENTOS!$F$4:$F$803,D2033,MOVIMIENTOS_COMPLEMENTOS!$G$4:$G$803,E2033,MOVIMIENTOS_COMPLEMENTOS!$H$4:$H$803,G2033,MOVIMIENTOS_COMPLEMENTOS!$B$4:$B$803,"SALIDA"),0)</f>
        <v>0</v>
      </c>
      <c r="I2033" s="102">
        <f t="array" ref="I2033">IFERROR(INDEX(PRECIOS_COMPLEMENTOS!$C$4:$F$17,MATCH(B2033&amp;"_"&amp;C2033,PRECIOS_COMPLEMENTOS!$H$4:$H$17,0),IF(OR(G2033="S",G2033="20cm"),1,IF(OR(G2033="M",G2033="25cm"),2,IF(OR(G2033="L",G2033="30cm"),3,IF(OR(G2033="XL",G2033="35cm"),4,0))))),0)</f>
        <v>0.6</v>
      </c>
      <c r="J2033" s="103">
        <f t="shared" si="1"/>
        <v>0</v>
      </c>
      <c r="K2033" s="104" t="str">
        <f>IF(H2033&lt;0,"ERROR",IF(H2033=0,"",IF(H2033&lt;CONFIG!$B$4,"CRÍTICO",IF(H2033&lt;CONFIG!$B$5,"BAJO","OK"))))</f>
        <v/>
      </c>
    </row>
    <row r="2034" ht="15.75" hidden="1" customHeight="1">
      <c r="A2034" s="90" t="str">
        <f>IF(CLIENTES!A4="","",CLIENTES!A4)</f>
        <v>OverShark</v>
      </c>
      <c r="B2034" s="90" t="s">
        <v>331</v>
      </c>
      <c r="C2034" s="91" t="s">
        <v>328</v>
      </c>
      <c r="D2034" s="109" t="s">
        <v>366</v>
      </c>
      <c r="E2034" s="67" t="str">
        <f>COLORES!A11</f>
        <v>Pacay</v>
      </c>
      <c r="F2034" s="67" t="str">
        <f>COLORES!B11</f>
        <v>CLARO</v>
      </c>
      <c r="G2034" s="90" t="s">
        <v>377</v>
      </c>
      <c r="H2034" s="100">
        <f>IFERROR(SUMIFS(MOVIMIENTOS_COMPLEMENTOS!$I$4:$I$803,MOVIMIENTOS_COMPLEMENTOS!$C$4:$C$803,A2034,MOVIMIENTOS_COMPLEMENTOS!$D$4:$D$803,B2034,MOVIMIENTOS_COMPLEMENTOS!$E$4:$E$803,C2034,MOVIMIENTOS_COMPLEMENTOS!$F$4:$F$803,D2034,MOVIMIENTOS_COMPLEMENTOS!$G$4:$G$803,E2034,MOVIMIENTOS_COMPLEMENTOS!$H$4:$H$803,G2034,MOVIMIENTOS_COMPLEMENTOS!$B$4:$B$803,"INGRESO")+SUMIFS(MOVIMIENTOS_COMPLEMENTOS!$I$4:$I$803,MOVIMIENTOS_COMPLEMENTOS!$C$4:$C$803,A2034,MOVIMIENTOS_COMPLEMENTOS!$D$4:$D$803,B2034,MOVIMIENTOS_COMPLEMENTOS!$E$4:$E$803,C2034,MOVIMIENTOS_COMPLEMENTOS!$F$4:$F$803,D2034,MOVIMIENTOS_COMPLEMENTOS!$G$4:$G$803,E2034,MOVIMIENTOS_COMPLEMENTOS!$H$4:$H$803,G2034,MOVIMIENTOS_COMPLEMENTOS!$B$4:$B$803,"DE CORTE")-SUMIFS(MOVIMIENTOS_COMPLEMENTOS!$I$4:$I$803,MOVIMIENTOS_COMPLEMENTOS!$C$4:$C$803,A2034,MOVIMIENTOS_COMPLEMENTOS!$D$4:$D$803,B2034,MOVIMIENTOS_COMPLEMENTOS!$E$4:$E$803,C2034,MOVIMIENTOS_COMPLEMENTOS!$F$4:$F$803,D2034,MOVIMIENTOS_COMPLEMENTOS!$G$4:$G$803,E2034,MOVIMIENTOS_COMPLEMENTOS!$H$4:$H$803,G2034,MOVIMIENTOS_COMPLEMENTOS!$B$4:$B$803,"SALIDA"),0)</f>
        <v>0</v>
      </c>
      <c r="I2034" s="102">
        <f t="array" ref="I2034">IFERROR(INDEX(PRECIOS_COMPLEMENTOS!$C$4:$F$17,MATCH(B2034&amp;"_"&amp;C2034,PRECIOS_COMPLEMENTOS!$H$4:$H$17,0),IF(OR(G2034="S",G2034="20cm"),1,IF(OR(G2034="M",G2034="25cm"),2,IF(OR(G2034="L",G2034="30cm"),3,IF(OR(G2034="XL",G2034="35cm"),4,0))))),0)</f>
        <v>0.6</v>
      </c>
      <c r="J2034" s="103">
        <f t="shared" si="1"/>
        <v>0</v>
      </c>
      <c r="K2034" s="104" t="str">
        <f>IF(H2034&lt;0,"ERROR",IF(H2034=0,"",IF(H2034&lt;CONFIG!$B$4,"CRÍTICO",IF(H2034&lt;CONFIG!$B$5,"BAJO","OK"))))</f>
        <v/>
      </c>
    </row>
    <row r="2035" ht="15.75" hidden="1" customHeight="1">
      <c r="A2035" s="90" t="str">
        <f>IF(CLIENTES!A4="","",CLIENTES!A4)</f>
        <v>OverShark</v>
      </c>
      <c r="B2035" s="90" t="s">
        <v>331</v>
      </c>
      <c r="C2035" s="91" t="s">
        <v>328</v>
      </c>
      <c r="D2035" s="109" t="s">
        <v>366</v>
      </c>
      <c r="E2035" s="67" t="str">
        <f>COLORES!A11</f>
        <v>Pacay</v>
      </c>
      <c r="F2035" s="67" t="str">
        <f>COLORES!B11</f>
        <v>CLARO</v>
      </c>
      <c r="G2035" s="90" t="s">
        <v>379</v>
      </c>
      <c r="H2035" s="100">
        <f>IFERROR(SUMIFS(MOVIMIENTOS_COMPLEMENTOS!$I$4:$I$803,MOVIMIENTOS_COMPLEMENTOS!$C$4:$C$803,A2035,MOVIMIENTOS_COMPLEMENTOS!$D$4:$D$803,B2035,MOVIMIENTOS_COMPLEMENTOS!$E$4:$E$803,C2035,MOVIMIENTOS_COMPLEMENTOS!$F$4:$F$803,D2035,MOVIMIENTOS_COMPLEMENTOS!$G$4:$G$803,E2035,MOVIMIENTOS_COMPLEMENTOS!$H$4:$H$803,G2035,MOVIMIENTOS_COMPLEMENTOS!$B$4:$B$803,"INGRESO")+SUMIFS(MOVIMIENTOS_COMPLEMENTOS!$I$4:$I$803,MOVIMIENTOS_COMPLEMENTOS!$C$4:$C$803,A2035,MOVIMIENTOS_COMPLEMENTOS!$D$4:$D$803,B2035,MOVIMIENTOS_COMPLEMENTOS!$E$4:$E$803,C2035,MOVIMIENTOS_COMPLEMENTOS!$F$4:$F$803,D2035,MOVIMIENTOS_COMPLEMENTOS!$G$4:$G$803,E2035,MOVIMIENTOS_COMPLEMENTOS!$H$4:$H$803,G2035,MOVIMIENTOS_COMPLEMENTOS!$B$4:$B$803,"DE CORTE")-SUMIFS(MOVIMIENTOS_COMPLEMENTOS!$I$4:$I$803,MOVIMIENTOS_COMPLEMENTOS!$C$4:$C$803,A2035,MOVIMIENTOS_COMPLEMENTOS!$D$4:$D$803,B2035,MOVIMIENTOS_COMPLEMENTOS!$E$4:$E$803,C2035,MOVIMIENTOS_COMPLEMENTOS!$F$4:$F$803,D2035,MOVIMIENTOS_COMPLEMENTOS!$G$4:$G$803,E2035,MOVIMIENTOS_COMPLEMENTOS!$H$4:$H$803,G2035,MOVIMIENTOS_COMPLEMENTOS!$B$4:$B$803,"SALIDA"),0)</f>
        <v>0</v>
      </c>
      <c r="I2035" s="102">
        <f t="array" ref="I2035">IFERROR(INDEX(PRECIOS_COMPLEMENTOS!$C$4:$F$17,MATCH(B2035&amp;"_"&amp;C2035,PRECIOS_COMPLEMENTOS!$H$4:$H$17,0),IF(OR(G2035="S",G2035="20cm"),1,IF(OR(G2035="M",G2035="25cm"),2,IF(OR(G2035="L",G2035="30cm"),3,IF(OR(G2035="XL",G2035="35cm"),4,0))))),0)</f>
        <v>0.6</v>
      </c>
      <c r="J2035" s="103">
        <f t="shared" si="1"/>
        <v>0</v>
      </c>
      <c r="K2035" s="104" t="str">
        <f>IF(H2035&lt;0,"ERROR",IF(H2035=0,"",IF(H2035&lt;CONFIG!$B$4,"CRÍTICO",IF(H2035&lt;CONFIG!$B$5,"BAJO","OK"))))</f>
        <v/>
      </c>
    </row>
    <row r="2036" ht="15.75" hidden="1" customHeight="1">
      <c r="A2036" s="90" t="str">
        <f>IF(CLIENTES!A4="","",CLIENTES!A4)</f>
        <v>OverShark</v>
      </c>
      <c r="B2036" s="90" t="s">
        <v>331</v>
      </c>
      <c r="C2036" s="91" t="s">
        <v>328</v>
      </c>
      <c r="D2036" s="109" t="s">
        <v>366</v>
      </c>
      <c r="E2036" s="67" t="str">
        <f>COLORES!A12</f>
        <v>Cemento</v>
      </c>
      <c r="F2036" s="67" t="str">
        <f>COLORES!B12</f>
        <v>CLARO</v>
      </c>
      <c r="G2036" s="90" t="s">
        <v>378</v>
      </c>
      <c r="H2036" s="100">
        <f>IFERROR(SUMIFS(MOVIMIENTOS_COMPLEMENTOS!$I$4:$I$803,MOVIMIENTOS_COMPLEMENTOS!$C$4:$C$803,A2036,MOVIMIENTOS_COMPLEMENTOS!$D$4:$D$803,B2036,MOVIMIENTOS_COMPLEMENTOS!$E$4:$E$803,C2036,MOVIMIENTOS_COMPLEMENTOS!$F$4:$F$803,D2036,MOVIMIENTOS_COMPLEMENTOS!$G$4:$G$803,E2036,MOVIMIENTOS_COMPLEMENTOS!$H$4:$H$803,G2036,MOVIMIENTOS_COMPLEMENTOS!$B$4:$B$803,"INGRESO")+SUMIFS(MOVIMIENTOS_COMPLEMENTOS!$I$4:$I$803,MOVIMIENTOS_COMPLEMENTOS!$C$4:$C$803,A2036,MOVIMIENTOS_COMPLEMENTOS!$D$4:$D$803,B2036,MOVIMIENTOS_COMPLEMENTOS!$E$4:$E$803,C2036,MOVIMIENTOS_COMPLEMENTOS!$F$4:$F$803,D2036,MOVIMIENTOS_COMPLEMENTOS!$G$4:$G$803,E2036,MOVIMIENTOS_COMPLEMENTOS!$H$4:$H$803,G2036,MOVIMIENTOS_COMPLEMENTOS!$B$4:$B$803,"DE CORTE")-SUMIFS(MOVIMIENTOS_COMPLEMENTOS!$I$4:$I$803,MOVIMIENTOS_COMPLEMENTOS!$C$4:$C$803,A2036,MOVIMIENTOS_COMPLEMENTOS!$D$4:$D$803,B2036,MOVIMIENTOS_COMPLEMENTOS!$E$4:$E$803,C2036,MOVIMIENTOS_COMPLEMENTOS!$F$4:$F$803,D2036,MOVIMIENTOS_COMPLEMENTOS!$G$4:$G$803,E2036,MOVIMIENTOS_COMPLEMENTOS!$H$4:$H$803,G2036,MOVIMIENTOS_COMPLEMENTOS!$B$4:$B$803,"SALIDA"),0)</f>
        <v>0</v>
      </c>
      <c r="I2036" s="102">
        <f t="array" ref="I2036">IFERROR(INDEX(PRECIOS_COMPLEMENTOS!$C$4:$F$17,MATCH(B2036&amp;"_"&amp;C2036,PRECIOS_COMPLEMENTOS!$H$4:$H$17,0),IF(OR(G2036="S",G2036="20cm"),1,IF(OR(G2036="M",G2036="25cm"),2,IF(OR(G2036="L",G2036="30cm"),3,IF(OR(G2036="XL",G2036="35cm"),4,0))))),0)</f>
        <v>0.6</v>
      </c>
      <c r="J2036" s="103">
        <f t="shared" si="1"/>
        <v>0</v>
      </c>
      <c r="K2036" s="104" t="str">
        <f>IF(H2036&lt;0,"ERROR",IF(H2036=0,"",IF(H2036&lt;CONFIG!$B$4,"CRÍTICO",IF(H2036&lt;CONFIG!$B$5,"BAJO","OK"))))</f>
        <v/>
      </c>
    </row>
    <row r="2037" ht="15.75" hidden="1" customHeight="1">
      <c r="A2037" s="90" t="str">
        <f>IF(CLIENTES!A4="","",CLIENTES!A4)</f>
        <v>OverShark</v>
      </c>
      <c r="B2037" s="90" t="s">
        <v>331</v>
      </c>
      <c r="C2037" s="91" t="s">
        <v>328</v>
      </c>
      <c r="D2037" s="109" t="s">
        <v>366</v>
      </c>
      <c r="E2037" s="67" t="str">
        <f>COLORES!A12</f>
        <v>Cemento</v>
      </c>
      <c r="F2037" s="67" t="str">
        <f>COLORES!B12</f>
        <v>CLARO</v>
      </c>
      <c r="G2037" s="90" t="s">
        <v>376</v>
      </c>
      <c r="H2037" s="100">
        <f>IFERROR(SUMIFS(MOVIMIENTOS_COMPLEMENTOS!$I$4:$I$803,MOVIMIENTOS_COMPLEMENTOS!$C$4:$C$803,A2037,MOVIMIENTOS_COMPLEMENTOS!$D$4:$D$803,B2037,MOVIMIENTOS_COMPLEMENTOS!$E$4:$E$803,C2037,MOVIMIENTOS_COMPLEMENTOS!$F$4:$F$803,D2037,MOVIMIENTOS_COMPLEMENTOS!$G$4:$G$803,E2037,MOVIMIENTOS_COMPLEMENTOS!$H$4:$H$803,G2037,MOVIMIENTOS_COMPLEMENTOS!$B$4:$B$803,"INGRESO")+SUMIFS(MOVIMIENTOS_COMPLEMENTOS!$I$4:$I$803,MOVIMIENTOS_COMPLEMENTOS!$C$4:$C$803,A2037,MOVIMIENTOS_COMPLEMENTOS!$D$4:$D$803,B2037,MOVIMIENTOS_COMPLEMENTOS!$E$4:$E$803,C2037,MOVIMIENTOS_COMPLEMENTOS!$F$4:$F$803,D2037,MOVIMIENTOS_COMPLEMENTOS!$G$4:$G$803,E2037,MOVIMIENTOS_COMPLEMENTOS!$H$4:$H$803,G2037,MOVIMIENTOS_COMPLEMENTOS!$B$4:$B$803,"DE CORTE")-SUMIFS(MOVIMIENTOS_COMPLEMENTOS!$I$4:$I$803,MOVIMIENTOS_COMPLEMENTOS!$C$4:$C$803,A2037,MOVIMIENTOS_COMPLEMENTOS!$D$4:$D$803,B2037,MOVIMIENTOS_COMPLEMENTOS!$E$4:$E$803,C2037,MOVIMIENTOS_COMPLEMENTOS!$F$4:$F$803,D2037,MOVIMIENTOS_COMPLEMENTOS!$G$4:$G$803,E2037,MOVIMIENTOS_COMPLEMENTOS!$H$4:$H$803,G2037,MOVIMIENTOS_COMPLEMENTOS!$B$4:$B$803,"SALIDA"),0)</f>
        <v>0</v>
      </c>
      <c r="I2037" s="102">
        <f t="array" ref="I2037">IFERROR(INDEX(PRECIOS_COMPLEMENTOS!$C$4:$F$17,MATCH(B2037&amp;"_"&amp;C2037,PRECIOS_COMPLEMENTOS!$H$4:$H$17,0),IF(OR(G2037="S",G2037="20cm"),1,IF(OR(G2037="M",G2037="25cm"),2,IF(OR(G2037="L",G2037="30cm"),3,IF(OR(G2037="XL",G2037="35cm"),4,0))))),0)</f>
        <v>0.6</v>
      </c>
      <c r="J2037" s="103">
        <f t="shared" si="1"/>
        <v>0</v>
      </c>
      <c r="K2037" s="104" t="str">
        <f>IF(H2037&lt;0,"ERROR",IF(H2037=0,"",IF(H2037&lt;CONFIG!$B$4,"CRÍTICO",IF(H2037&lt;CONFIG!$B$5,"BAJO","OK"))))</f>
        <v/>
      </c>
    </row>
    <row r="2038" ht="15.75" hidden="1" customHeight="1">
      <c r="A2038" s="90" t="str">
        <f>IF(CLIENTES!A4="","",CLIENTES!A4)</f>
        <v>OverShark</v>
      </c>
      <c r="B2038" s="90" t="s">
        <v>331</v>
      </c>
      <c r="C2038" s="91" t="s">
        <v>328</v>
      </c>
      <c r="D2038" s="109" t="s">
        <v>366</v>
      </c>
      <c r="E2038" s="67" t="str">
        <f>COLORES!A12</f>
        <v>Cemento</v>
      </c>
      <c r="F2038" s="67" t="str">
        <f>COLORES!B12</f>
        <v>CLARO</v>
      </c>
      <c r="G2038" s="90" t="s">
        <v>377</v>
      </c>
      <c r="H2038" s="100">
        <f>IFERROR(SUMIFS(MOVIMIENTOS_COMPLEMENTOS!$I$4:$I$803,MOVIMIENTOS_COMPLEMENTOS!$C$4:$C$803,A2038,MOVIMIENTOS_COMPLEMENTOS!$D$4:$D$803,B2038,MOVIMIENTOS_COMPLEMENTOS!$E$4:$E$803,C2038,MOVIMIENTOS_COMPLEMENTOS!$F$4:$F$803,D2038,MOVIMIENTOS_COMPLEMENTOS!$G$4:$G$803,E2038,MOVIMIENTOS_COMPLEMENTOS!$H$4:$H$803,G2038,MOVIMIENTOS_COMPLEMENTOS!$B$4:$B$803,"INGRESO")+SUMIFS(MOVIMIENTOS_COMPLEMENTOS!$I$4:$I$803,MOVIMIENTOS_COMPLEMENTOS!$C$4:$C$803,A2038,MOVIMIENTOS_COMPLEMENTOS!$D$4:$D$803,B2038,MOVIMIENTOS_COMPLEMENTOS!$E$4:$E$803,C2038,MOVIMIENTOS_COMPLEMENTOS!$F$4:$F$803,D2038,MOVIMIENTOS_COMPLEMENTOS!$G$4:$G$803,E2038,MOVIMIENTOS_COMPLEMENTOS!$H$4:$H$803,G2038,MOVIMIENTOS_COMPLEMENTOS!$B$4:$B$803,"DE CORTE")-SUMIFS(MOVIMIENTOS_COMPLEMENTOS!$I$4:$I$803,MOVIMIENTOS_COMPLEMENTOS!$C$4:$C$803,A2038,MOVIMIENTOS_COMPLEMENTOS!$D$4:$D$803,B2038,MOVIMIENTOS_COMPLEMENTOS!$E$4:$E$803,C2038,MOVIMIENTOS_COMPLEMENTOS!$F$4:$F$803,D2038,MOVIMIENTOS_COMPLEMENTOS!$G$4:$G$803,E2038,MOVIMIENTOS_COMPLEMENTOS!$H$4:$H$803,G2038,MOVIMIENTOS_COMPLEMENTOS!$B$4:$B$803,"SALIDA"),0)</f>
        <v>0</v>
      </c>
      <c r="I2038" s="102">
        <f t="array" ref="I2038">IFERROR(INDEX(PRECIOS_COMPLEMENTOS!$C$4:$F$17,MATCH(B2038&amp;"_"&amp;C2038,PRECIOS_COMPLEMENTOS!$H$4:$H$17,0),IF(OR(G2038="S",G2038="20cm"),1,IF(OR(G2038="M",G2038="25cm"),2,IF(OR(G2038="L",G2038="30cm"),3,IF(OR(G2038="XL",G2038="35cm"),4,0))))),0)</f>
        <v>0.6</v>
      </c>
      <c r="J2038" s="103">
        <f t="shared" si="1"/>
        <v>0</v>
      </c>
      <c r="K2038" s="104" t="str">
        <f>IF(H2038&lt;0,"ERROR",IF(H2038=0,"",IF(H2038&lt;CONFIG!$B$4,"CRÍTICO",IF(H2038&lt;CONFIG!$B$5,"BAJO","OK"))))</f>
        <v/>
      </c>
    </row>
    <row r="2039" ht="15.75" hidden="1" customHeight="1">
      <c r="A2039" s="90" t="str">
        <f>IF(CLIENTES!A4="","",CLIENTES!A4)</f>
        <v>OverShark</v>
      </c>
      <c r="B2039" s="90" t="s">
        <v>331</v>
      </c>
      <c r="C2039" s="91" t="s">
        <v>328</v>
      </c>
      <c r="D2039" s="109" t="s">
        <v>366</v>
      </c>
      <c r="E2039" s="67" t="str">
        <f>COLORES!A12</f>
        <v>Cemento</v>
      </c>
      <c r="F2039" s="67" t="str">
        <f>COLORES!B12</f>
        <v>CLARO</v>
      </c>
      <c r="G2039" s="90" t="s">
        <v>379</v>
      </c>
      <c r="H2039" s="100">
        <f>IFERROR(SUMIFS(MOVIMIENTOS_COMPLEMENTOS!$I$4:$I$803,MOVIMIENTOS_COMPLEMENTOS!$C$4:$C$803,A2039,MOVIMIENTOS_COMPLEMENTOS!$D$4:$D$803,B2039,MOVIMIENTOS_COMPLEMENTOS!$E$4:$E$803,C2039,MOVIMIENTOS_COMPLEMENTOS!$F$4:$F$803,D2039,MOVIMIENTOS_COMPLEMENTOS!$G$4:$G$803,E2039,MOVIMIENTOS_COMPLEMENTOS!$H$4:$H$803,G2039,MOVIMIENTOS_COMPLEMENTOS!$B$4:$B$803,"INGRESO")+SUMIFS(MOVIMIENTOS_COMPLEMENTOS!$I$4:$I$803,MOVIMIENTOS_COMPLEMENTOS!$C$4:$C$803,A2039,MOVIMIENTOS_COMPLEMENTOS!$D$4:$D$803,B2039,MOVIMIENTOS_COMPLEMENTOS!$E$4:$E$803,C2039,MOVIMIENTOS_COMPLEMENTOS!$F$4:$F$803,D2039,MOVIMIENTOS_COMPLEMENTOS!$G$4:$G$803,E2039,MOVIMIENTOS_COMPLEMENTOS!$H$4:$H$803,G2039,MOVIMIENTOS_COMPLEMENTOS!$B$4:$B$803,"DE CORTE")-SUMIFS(MOVIMIENTOS_COMPLEMENTOS!$I$4:$I$803,MOVIMIENTOS_COMPLEMENTOS!$C$4:$C$803,A2039,MOVIMIENTOS_COMPLEMENTOS!$D$4:$D$803,B2039,MOVIMIENTOS_COMPLEMENTOS!$E$4:$E$803,C2039,MOVIMIENTOS_COMPLEMENTOS!$F$4:$F$803,D2039,MOVIMIENTOS_COMPLEMENTOS!$G$4:$G$803,E2039,MOVIMIENTOS_COMPLEMENTOS!$H$4:$H$803,G2039,MOVIMIENTOS_COMPLEMENTOS!$B$4:$B$803,"SALIDA"),0)</f>
        <v>0</v>
      </c>
      <c r="I2039" s="102">
        <f t="array" ref="I2039">IFERROR(INDEX(PRECIOS_COMPLEMENTOS!$C$4:$F$17,MATCH(B2039&amp;"_"&amp;C2039,PRECIOS_COMPLEMENTOS!$H$4:$H$17,0),IF(OR(G2039="S",G2039="20cm"),1,IF(OR(G2039="M",G2039="25cm"),2,IF(OR(G2039="L",G2039="30cm"),3,IF(OR(G2039="XL",G2039="35cm"),4,0))))),0)</f>
        <v>0.6</v>
      </c>
      <c r="J2039" s="103">
        <f t="shared" si="1"/>
        <v>0</v>
      </c>
      <c r="K2039" s="104" t="str">
        <f>IF(H2039&lt;0,"ERROR",IF(H2039=0,"",IF(H2039&lt;CONFIG!$B$4,"CRÍTICO",IF(H2039&lt;CONFIG!$B$5,"BAJO","OK"))))</f>
        <v/>
      </c>
    </row>
    <row r="2040" ht="15.75" hidden="1" customHeight="1">
      <c r="A2040" s="90" t="str">
        <f>IF(CLIENTES!A4="","",CLIENTES!A4)</f>
        <v>OverShark</v>
      </c>
      <c r="B2040" s="90" t="s">
        <v>331</v>
      </c>
      <c r="C2040" s="91" t="s">
        <v>328</v>
      </c>
      <c r="D2040" s="109" t="s">
        <v>366</v>
      </c>
      <c r="E2040" s="67" t="str">
        <f>COLORES!A13</f>
        <v>Camote</v>
      </c>
      <c r="F2040" s="67" t="str">
        <f>COLORES!B13</f>
        <v>CLARO</v>
      </c>
      <c r="G2040" s="90" t="s">
        <v>378</v>
      </c>
      <c r="H2040" s="100">
        <f>IFERROR(SUMIFS(MOVIMIENTOS_COMPLEMENTOS!$I$4:$I$803,MOVIMIENTOS_COMPLEMENTOS!$C$4:$C$803,A2040,MOVIMIENTOS_COMPLEMENTOS!$D$4:$D$803,B2040,MOVIMIENTOS_COMPLEMENTOS!$E$4:$E$803,C2040,MOVIMIENTOS_COMPLEMENTOS!$F$4:$F$803,D2040,MOVIMIENTOS_COMPLEMENTOS!$G$4:$G$803,E2040,MOVIMIENTOS_COMPLEMENTOS!$H$4:$H$803,G2040,MOVIMIENTOS_COMPLEMENTOS!$B$4:$B$803,"INGRESO")+SUMIFS(MOVIMIENTOS_COMPLEMENTOS!$I$4:$I$803,MOVIMIENTOS_COMPLEMENTOS!$C$4:$C$803,A2040,MOVIMIENTOS_COMPLEMENTOS!$D$4:$D$803,B2040,MOVIMIENTOS_COMPLEMENTOS!$E$4:$E$803,C2040,MOVIMIENTOS_COMPLEMENTOS!$F$4:$F$803,D2040,MOVIMIENTOS_COMPLEMENTOS!$G$4:$G$803,E2040,MOVIMIENTOS_COMPLEMENTOS!$H$4:$H$803,G2040,MOVIMIENTOS_COMPLEMENTOS!$B$4:$B$803,"DE CORTE")-SUMIFS(MOVIMIENTOS_COMPLEMENTOS!$I$4:$I$803,MOVIMIENTOS_COMPLEMENTOS!$C$4:$C$803,A2040,MOVIMIENTOS_COMPLEMENTOS!$D$4:$D$803,B2040,MOVIMIENTOS_COMPLEMENTOS!$E$4:$E$803,C2040,MOVIMIENTOS_COMPLEMENTOS!$F$4:$F$803,D2040,MOVIMIENTOS_COMPLEMENTOS!$G$4:$G$803,E2040,MOVIMIENTOS_COMPLEMENTOS!$H$4:$H$803,G2040,MOVIMIENTOS_COMPLEMENTOS!$B$4:$B$803,"SALIDA"),0)</f>
        <v>0</v>
      </c>
      <c r="I2040" s="102">
        <f t="array" ref="I2040">IFERROR(INDEX(PRECIOS_COMPLEMENTOS!$C$4:$F$17,MATCH(B2040&amp;"_"&amp;C2040,PRECIOS_COMPLEMENTOS!$H$4:$H$17,0),IF(OR(G2040="S",G2040="20cm"),1,IF(OR(G2040="M",G2040="25cm"),2,IF(OR(G2040="L",G2040="30cm"),3,IF(OR(G2040="XL",G2040="35cm"),4,0))))),0)</f>
        <v>0.6</v>
      </c>
      <c r="J2040" s="103">
        <f t="shared" si="1"/>
        <v>0</v>
      </c>
      <c r="K2040" s="104" t="str">
        <f>IF(H2040&lt;0,"ERROR",IF(H2040=0,"",IF(H2040&lt;CONFIG!$B$4,"CRÍTICO",IF(H2040&lt;CONFIG!$B$5,"BAJO","OK"))))</f>
        <v/>
      </c>
    </row>
    <row r="2041" ht="15.75" hidden="1" customHeight="1">
      <c r="A2041" s="90" t="str">
        <f>IF(CLIENTES!A4="","",CLIENTES!A4)</f>
        <v>OverShark</v>
      </c>
      <c r="B2041" s="90" t="s">
        <v>331</v>
      </c>
      <c r="C2041" s="91" t="s">
        <v>328</v>
      </c>
      <c r="D2041" s="109" t="s">
        <v>366</v>
      </c>
      <c r="E2041" s="67" t="str">
        <f>COLORES!A13</f>
        <v>Camote</v>
      </c>
      <c r="F2041" s="67" t="str">
        <f>COLORES!B13</f>
        <v>CLARO</v>
      </c>
      <c r="G2041" s="90" t="s">
        <v>376</v>
      </c>
      <c r="H2041" s="100">
        <f>IFERROR(SUMIFS(MOVIMIENTOS_COMPLEMENTOS!$I$4:$I$803,MOVIMIENTOS_COMPLEMENTOS!$C$4:$C$803,A2041,MOVIMIENTOS_COMPLEMENTOS!$D$4:$D$803,B2041,MOVIMIENTOS_COMPLEMENTOS!$E$4:$E$803,C2041,MOVIMIENTOS_COMPLEMENTOS!$F$4:$F$803,D2041,MOVIMIENTOS_COMPLEMENTOS!$G$4:$G$803,E2041,MOVIMIENTOS_COMPLEMENTOS!$H$4:$H$803,G2041,MOVIMIENTOS_COMPLEMENTOS!$B$4:$B$803,"INGRESO")+SUMIFS(MOVIMIENTOS_COMPLEMENTOS!$I$4:$I$803,MOVIMIENTOS_COMPLEMENTOS!$C$4:$C$803,A2041,MOVIMIENTOS_COMPLEMENTOS!$D$4:$D$803,B2041,MOVIMIENTOS_COMPLEMENTOS!$E$4:$E$803,C2041,MOVIMIENTOS_COMPLEMENTOS!$F$4:$F$803,D2041,MOVIMIENTOS_COMPLEMENTOS!$G$4:$G$803,E2041,MOVIMIENTOS_COMPLEMENTOS!$H$4:$H$803,G2041,MOVIMIENTOS_COMPLEMENTOS!$B$4:$B$803,"DE CORTE")-SUMIFS(MOVIMIENTOS_COMPLEMENTOS!$I$4:$I$803,MOVIMIENTOS_COMPLEMENTOS!$C$4:$C$803,A2041,MOVIMIENTOS_COMPLEMENTOS!$D$4:$D$803,B2041,MOVIMIENTOS_COMPLEMENTOS!$E$4:$E$803,C2041,MOVIMIENTOS_COMPLEMENTOS!$F$4:$F$803,D2041,MOVIMIENTOS_COMPLEMENTOS!$G$4:$G$803,E2041,MOVIMIENTOS_COMPLEMENTOS!$H$4:$H$803,G2041,MOVIMIENTOS_COMPLEMENTOS!$B$4:$B$803,"SALIDA"),0)</f>
        <v>0</v>
      </c>
      <c r="I2041" s="102">
        <f t="array" ref="I2041">IFERROR(INDEX(PRECIOS_COMPLEMENTOS!$C$4:$F$17,MATCH(B2041&amp;"_"&amp;C2041,PRECIOS_COMPLEMENTOS!$H$4:$H$17,0),IF(OR(G2041="S",G2041="20cm"),1,IF(OR(G2041="M",G2041="25cm"),2,IF(OR(G2041="L",G2041="30cm"),3,IF(OR(G2041="XL",G2041="35cm"),4,0))))),0)</f>
        <v>0.6</v>
      </c>
      <c r="J2041" s="103">
        <f t="shared" si="1"/>
        <v>0</v>
      </c>
      <c r="K2041" s="104" t="str">
        <f>IF(H2041&lt;0,"ERROR",IF(H2041=0,"",IF(H2041&lt;CONFIG!$B$4,"CRÍTICO",IF(H2041&lt;CONFIG!$B$5,"BAJO","OK"))))</f>
        <v/>
      </c>
    </row>
    <row r="2042" ht="15.75" hidden="1" customHeight="1">
      <c r="A2042" s="90" t="str">
        <f>IF(CLIENTES!A4="","",CLIENTES!A4)</f>
        <v>OverShark</v>
      </c>
      <c r="B2042" s="90" t="s">
        <v>331</v>
      </c>
      <c r="C2042" s="91" t="s">
        <v>328</v>
      </c>
      <c r="D2042" s="109" t="s">
        <v>366</v>
      </c>
      <c r="E2042" s="67" t="str">
        <f>COLORES!A13</f>
        <v>Camote</v>
      </c>
      <c r="F2042" s="67" t="str">
        <f>COLORES!B13</f>
        <v>CLARO</v>
      </c>
      <c r="G2042" s="90" t="s">
        <v>377</v>
      </c>
      <c r="H2042" s="100">
        <f>IFERROR(SUMIFS(MOVIMIENTOS_COMPLEMENTOS!$I$4:$I$803,MOVIMIENTOS_COMPLEMENTOS!$C$4:$C$803,A2042,MOVIMIENTOS_COMPLEMENTOS!$D$4:$D$803,B2042,MOVIMIENTOS_COMPLEMENTOS!$E$4:$E$803,C2042,MOVIMIENTOS_COMPLEMENTOS!$F$4:$F$803,D2042,MOVIMIENTOS_COMPLEMENTOS!$G$4:$G$803,E2042,MOVIMIENTOS_COMPLEMENTOS!$H$4:$H$803,G2042,MOVIMIENTOS_COMPLEMENTOS!$B$4:$B$803,"INGRESO")+SUMIFS(MOVIMIENTOS_COMPLEMENTOS!$I$4:$I$803,MOVIMIENTOS_COMPLEMENTOS!$C$4:$C$803,A2042,MOVIMIENTOS_COMPLEMENTOS!$D$4:$D$803,B2042,MOVIMIENTOS_COMPLEMENTOS!$E$4:$E$803,C2042,MOVIMIENTOS_COMPLEMENTOS!$F$4:$F$803,D2042,MOVIMIENTOS_COMPLEMENTOS!$G$4:$G$803,E2042,MOVIMIENTOS_COMPLEMENTOS!$H$4:$H$803,G2042,MOVIMIENTOS_COMPLEMENTOS!$B$4:$B$803,"DE CORTE")-SUMIFS(MOVIMIENTOS_COMPLEMENTOS!$I$4:$I$803,MOVIMIENTOS_COMPLEMENTOS!$C$4:$C$803,A2042,MOVIMIENTOS_COMPLEMENTOS!$D$4:$D$803,B2042,MOVIMIENTOS_COMPLEMENTOS!$E$4:$E$803,C2042,MOVIMIENTOS_COMPLEMENTOS!$F$4:$F$803,D2042,MOVIMIENTOS_COMPLEMENTOS!$G$4:$G$803,E2042,MOVIMIENTOS_COMPLEMENTOS!$H$4:$H$803,G2042,MOVIMIENTOS_COMPLEMENTOS!$B$4:$B$803,"SALIDA"),0)</f>
        <v>0</v>
      </c>
      <c r="I2042" s="102">
        <f t="array" ref="I2042">IFERROR(INDEX(PRECIOS_COMPLEMENTOS!$C$4:$F$17,MATCH(B2042&amp;"_"&amp;C2042,PRECIOS_COMPLEMENTOS!$H$4:$H$17,0),IF(OR(G2042="S",G2042="20cm"),1,IF(OR(G2042="M",G2042="25cm"),2,IF(OR(G2042="L",G2042="30cm"),3,IF(OR(G2042="XL",G2042="35cm"),4,0))))),0)</f>
        <v>0.6</v>
      </c>
      <c r="J2042" s="103">
        <f t="shared" si="1"/>
        <v>0</v>
      </c>
      <c r="K2042" s="104" t="str">
        <f>IF(H2042&lt;0,"ERROR",IF(H2042=0,"",IF(H2042&lt;CONFIG!$B$4,"CRÍTICO",IF(H2042&lt;CONFIG!$B$5,"BAJO","OK"))))</f>
        <v/>
      </c>
    </row>
    <row r="2043" ht="15.75" hidden="1" customHeight="1">
      <c r="A2043" s="90" t="str">
        <f>IF(CLIENTES!A4="","",CLIENTES!A4)</f>
        <v>OverShark</v>
      </c>
      <c r="B2043" s="90" t="s">
        <v>331</v>
      </c>
      <c r="C2043" s="91" t="s">
        <v>328</v>
      </c>
      <c r="D2043" s="109" t="s">
        <v>366</v>
      </c>
      <c r="E2043" s="67" t="str">
        <f>COLORES!A13</f>
        <v>Camote</v>
      </c>
      <c r="F2043" s="67" t="str">
        <f>COLORES!B13</f>
        <v>CLARO</v>
      </c>
      <c r="G2043" s="90" t="s">
        <v>379</v>
      </c>
      <c r="H2043" s="100">
        <f>IFERROR(SUMIFS(MOVIMIENTOS_COMPLEMENTOS!$I$4:$I$803,MOVIMIENTOS_COMPLEMENTOS!$C$4:$C$803,A2043,MOVIMIENTOS_COMPLEMENTOS!$D$4:$D$803,B2043,MOVIMIENTOS_COMPLEMENTOS!$E$4:$E$803,C2043,MOVIMIENTOS_COMPLEMENTOS!$F$4:$F$803,D2043,MOVIMIENTOS_COMPLEMENTOS!$G$4:$G$803,E2043,MOVIMIENTOS_COMPLEMENTOS!$H$4:$H$803,G2043,MOVIMIENTOS_COMPLEMENTOS!$B$4:$B$803,"INGRESO")+SUMIFS(MOVIMIENTOS_COMPLEMENTOS!$I$4:$I$803,MOVIMIENTOS_COMPLEMENTOS!$C$4:$C$803,A2043,MOVIMIENTOS_COMPLEMENTOS!$D$4:$D$803,B2043,MOVIMIENTOS_COMPLEMENTOS!$E$4:$E$803,C2043,MOVIMIENTOS_COMPLEMENTOS!$F$4:$F$803,D2043,MOVIMIENTOS_COMPLEMENTOS!$G$4:$G$803,E2043,MOVIMIENTOS_COMPLEMENTOS!$H$4:$H$803,G2043,MOVIMIENTOS_COMPLEMENTOS!$B$4:$B$803,"DE CORTE")-SUMIFS(MOVIMIENTOS_COMPLEMENTOS!$I$4:$I$803,MOVIMIENTOS_COMPLEMENTOS!$C$4:$C$803,A2043,MOVIMIENTOS_COMPLEMENTOS!$D$4:$D$803,B2043,MOVIMIENTOS_COMPLEMENTOS!$E$4:$E$803,C2043,MOVIMIENTOS_COMPLEMENTOS!$F$4:$F$803,D2043,MOVIMIENTOS_COMPLEMENTOS!$G$4:$G$803,E2043,MOVIMIENTOS_COMPLEMENTOS!$H$4:$H$803,G2043,MOVIMIENTOS_COMPLEMENTOS!$B$4:$B$803,"SALIDA"),0)</f>
        <v>0</v>
      </c>
      <c r="I2043" s="102">
        <f t="array" ref="I2043">IFERROR(INDEX(PRECIOS_COMPLEMENTOS!$C$4:$F$17,MATCH(B2043&amp;"_"&amp;C2043,PRECIOS_COMPLEMENTOS!$H$4:$H$17,0),IF(OR(G2043="S",G2043="20cm"),1,IF(OR(G2043="M",G2043="25cm"),2,IF(OR(G2043="L",G2043="30cm"),3,IF(OR(G2043="XL",G2043="35cm"),4,0))))),0)</f>
        <v>0.6</v>
      </c>
      <c r="J2043" s="103">
        <f t="shared" si="1"/>
        <v>0</v>
      </c>
      <c r="K2043" s="104" t="str">
        <f>IF(H2043&lt;0,"ERROR",IF(H2043=0,"",IF(H2043&lt;CONFIG!$B$4,"CRÍTICO",IF(H2043&lt;CONFIG!$B$5,"BAJO","OK"))))</f>
        <v/>
      </c>
    </row>
    <row r="2044" ht="15.75" hidden="1" customHeight="1">
      <c r="A2044" s="90" t="str">
        <f>IF(CLIENTES!A4="","",CLIENTES!A4)</f>
        <v>OverShark</v>
      </c>
      <c r="B2044" s="90" t="s">
        <v>331</v>
      </c>
      <c r="C2044" s="91" t="s">
        <v>328</v>
      </c>
      <c r="D2044" s="109" t="s">
        <v>366</v>
      </c>
      <c r="E2044" s="67" t="str">
        <f>COLORES!A14</f>
        <v>Denim</v>
      </c>
      <c r="F2044" s="67" t="str">
        <f>COLORES!B14</f>
        <v>CLARO</v>
      </c>
      <c r="G2044" s="90" t="s">
        <v>378</v>
      </c>
      <c r="H2044" s="100">
        <f>IFERROR(SUMIFS(MOVIMIENTOS_COMPLEMENTOS!$I$4:$I$803,MOVIMIENTOS_COMPLEMENTOS!$C$4:$C$803,A2044,MOVIMIENTOS_COMPLEMENTOS!$D$4:$D$803,B2044,MOVIMIENTOS_COMPLEMENTOS!$E$4:$E$803,C2044,MOVIMIENTOS_COMPLEMENTOS!$F$4:$F$803,D2044,MOVIMIENTOS_COMPLEMENTOS!$G$4:$G$803,E2044,MOVIMIENTOS_COMPLEMENTOS!$H$4:$H$803,G2044,MOVIMIENTOS_COMPLEMENTOS!$B$4:$B$803,"INGRESO")+SUMIFS(MOVIMIENTOS_COMPLEMENTOS!$I$4:$I$803,MOVIMIENTOS_COMPLEMENTOS!$C$4:$C$803,A2044,MOVIMIENTOS_COMPLEMENTOS!$D$4:$D$803,B2044,MOVIMIENTOS_COMPLEMENTOS!$E$4:$E$803,C2044,MOVIMIENTOS_COMPLEMENTOS!$F$4:$F$803,D2044,MOVIMIENTOS_COMPLEMENTOS!$G$4:$G$803,E2044,MOVIMIENTOS_COMPLEMENTOS!$H$4:$H$803,G2044,MOVIMIENTOS_COMPLEMENTOS!$B$4:$B$803,"DE CORTE")-SUMIFS(MOVIMIENTOS_COMPLEMENTOS!$I$4:$I$803,MOVIMIENTOS_COMPLEMENTOS!$C$4:$C$803,A2044,MOVIMIENTOS_COMPLEMENTOS!$D$4:$D$803,B2044,MOVIMIENTOS_COMPLEMENTOS!$E$4:$E$803,C2044,MOVIMIENTOS_COMPLEMENTOS!$F$4:$F$803,D2044,MOVIMIENTOS_COMPLEMENTOS!$G$4:$G$803,E2044,MOVIMIENTOS_COMPLEMENTOS!$H$4:$H$803,G2044,MOVIMIENTOS_COMPLEMENTOS!$B$4:$B$803,"SALIDA"),0)</f>
        <v>0</v>
      </c>
      <c r="I2044" s="102">
        <f t="array" ref="I2044">IFERROR(INDEX(PRECIOS_COMPLEMENTOS!$C$4:$F$17,MATCH(B2044&amp;"_"&amp;C2044,PRECIOS_COMPLEMENTOS!$H$4:$H$17,0),IF(OR(G2044="S",G2044="20cm"),1,IF(OR(G2044="M",G2044="25cm"),2,IF(OR(G2044="L",G2044="30cm"),3,IF(OR(G2044="XL",G2044="35cm"),4,0))))),0)</f>
        <v>0.6</v>
      </c>
      <c r="J2044" s="103">
        <f t="shared" si="1"/>
        <v>0</v>
      </c>
      <c r="K2044" s="104" t="str">
        <f>IF(H2044&lt;0,"ERROR",IF(H2044=0,"",IF(H2044&lt;CONFIG!$B$4,"CRÍTICO",IF(H2044&lt;CONFIG!$B$5,"BAJO","OK"))))</f>
        <v/>
      </c>
    </row>
    <row r="2045" ht="15.75" hidden="1" customHeight="1">
      <c r="A2045" s="90" t="str">
        <f>IF(CLIENTES!A4="","",CLIENTES!A4)</f>
        <v>OverShark</v>
      </c>
      <c r="B2045" s="90" t="s">
        <v>331</v>
      </c>
      <c r="C2045" s="91" t="s">
        <v>328</v>
      </c>
      <c r="D2045" s="109" t="s">
        <v>366</v>
      </c>
      <c r="E2045" s="67" t="str">
        <f>COLORES!A14</f>
        <v>Denim</v>
      </c>
      <c r="F2045" s="67" t="str">
        <f>COLORES!B14</f>
        <v>CLARO</v>
      </c>
      <c r="G2045" s="90" t="s">
        <v>376</v>
      </c>
      <c r="H2045" s="100">
        <f>IFERROR(SUMIFS(MOVIMIENTOS_COMPLEMENTOS!$I$4:$I$803,MOVIMIENTOS_COMPLEMENTOS!$C$4:$C$803,A2045,MOVIMIENTOS_COMPLEMENTOS!$D$4:$D$803,B2045,MOVIMIENTOS_COMPLEMENTOS!$E$4:$E$803,C2045,MOVIMIENTOS_COMPLEMENTOS!$F$4:$F$803,D2045,MOVIMIENTOS_COMPLEMENTOS!$G$4:$G$803,E2045,MOVIMIENTOS_COMPLEMENTOS!$H$4:$H$803,G2045,MOVIMIENTOS_COMPLEMENTOS!$B$4:$B$803,"INGRESO")+SUMIFS(MOVIMIENTOS_COMPLEMENTOS!$I$4:$I$803,MOVIMIENTOS_COMPLEMENTOS!$C$4:$C$803,A2045,MOVIMIENTOS_COMPLEMENTOS!$D$4:$D$803,B2045,MOVIMIENTOS_COMPLEMENTOS!$E$4:$E$803,C2045,MOVIMIENTOS_COMPLEMENTOS!$F$4:$F$803,D2045,MOVIMIENTOS_COMPLEMENTOS!$G$4:$G$803,E2045,MOVIMIENTOS_COMPLEMENTOS!$H$4:$H$803,G2045,MOVIMIENTOS_COMPLEMENTOS!$B$4:$B$803,"DE CORTE")-SUMIFS(MOVIMIENTOS_COMPLEMENTOS!$I$4:$I$803,MOVIMIENTOS_COMPLEMENTOS!$C$4:$C$803,A2045,MOVIMIENTOS_COMPLEMENTOS!$D$4:$D$803,B2045,MOVIMIENTOS_COMPLEMENTOS!$E$4:$E$803,C2045,MOVIMIENTOS_COMPLEMENTOS!$F$4:$F$803,D2045,MOVIMIENTOS_COMPLEMENTOS!$G$4:$G$803,E2045,MOVIMIENTOS_COMPLEMENTOS!$H$4:$H$803,G2045,MOVIMIENTOS_COMPLEMENTOS!$B$4:$B$803,"SALIDA"),0)</f>
        <v>0</v>
      </c>
      <c r="I2045" s="102">
        <f t="array" ref="I2045">IFERROR(INDEX(PRECIOS_COMPLEMENTOS!$C$4:$F$17,MATCH(B2045&amp;"_"&amp;C2045,PRECIOS_COMPLEMENTOS!$H$4:$H$17,0),IF(OR(G2045="S",G2045="20cm"),1,IF(OR(G2045="M",G2045="25cm"),2,IF(OR(G2045="L",G2045="30cm"),3,IF(OR(G2045="XL",G2045="35cm"),4,0))))),0)</f>
        <v>0.6</v>
      </c>
      <c r="J2045" s="103">
        <f t="shared" si="1"/>
        <v>0</v>
      </c>
      <c r="K2045" s="104" t="str">
        <f>IF(H2045&lt;0,"ERROR",IF(H2045=0,"",IF(H2045&lt;CONFIG!$B$4,"CRÍTICO",IF(H2045&lt;CONFIG!$B$5,"BAJO","OK"))))</f>
        <v/>
      </c>
    </row>
    <row r="2046" ht="15.75" hidden="1" customHeight="1">
      <c r="A2046" s="90" t="str">
        <f>IF(CLIENTES!A4="","",CLIENTES!A4)</f>
        <v>OverShark</v>
      </c>
      <c r="B2046" s="90" t="s">
        <v>331</v>
      </c>
      <c r="C2046" s="91" t="s">
        <v>328</v>
      </c>
      <c r="D2046" s="109" t="s">
        <v>366</v>
      </c>
      <c r="E2046" s="67" t="str">
        <f>COLORES!A14</f>
        <v>Denim</v>
      </c>
      <c r="F2046" s="67" t="str">
        <f>COLORES!B14</f>
        <v>CLARO</v>
      </c>
      <c r="G2046" s="90" t="s">
        <v>377</v>
      </c>
      <c r="H2046" s="100">
        <f>IFERROR(SUMIFS(MOVIMIENTOS_COMPLEMENTOS!$I$4:$I$803,MOVIMIENTOS_COMPLEMENTOS!$C$4:$C$803,A2046,MOVIMIENTOS_COMPLEMENTOS!$D$4:$D$803,B2046,MOVIMIENTOS_COMPLEMENTOS!$E$4:$E$803,C2046,MOVIMIENTOS_COMPLEMENTOS!$F$4:$F$803,D2046,MOVIMIENTOS_COMPLEMENTOS!$G$4:$G$803,E2046,MOVIMIENTOS_COMPLEMENTOS!$H$4:$H$803,G2046,MOVIMIENTOS_COMPLEMENTOS!$B$4:$B$803,"INGRESO")+SUMIFS(MOVIMIENTOS_COMPLEMENTOS!$I$4:$I$803,MOVIMIENTOS_COMPLEMENTOS!$C$4:$C$803,A2046,MOVIMIENTOS_COMPLEMENTOS!$D$4:$D$803,B2046,MOVIMIENTOS_COMPLEMENTOS!$E$4:$E$803,C2046,MOVIMIENTOS_COMPLEMENTOS!$F$4:$F$803,D2046,MOVIMIENTOS_COMPLEMENTOS!$G$4:$G$803,E2046,MOVIMIENTOS_COMPLEMENTOS!$H$4:$H$803,G2046,MOVIMIENTOS_COMPLEMENTOS!$B$4:$B$803,"DE CORTE")-SUMIFS(MOVIMIENTOS_COMPLEMENTOS!$I$4:$I$803,MOVIMIENTOS_COMPLEMENTOS!$C$4:$C$803,A2046,MOVIMIENTOS_COMPLEMENTOS!$D$4:$D$803,B2046,MOVIMIENTOS_COMPLEMENTOS!$E$4:$E$803,C2046,MOVIMIENTOS_COMPLEMENTOS!$F$4:$F$803,D2046,MOVIMIENTOS_COMPLEMENTOS!$G$4:$G$803,E2046,MOVIMIENTOS_COMPLEMENTOS!$H$4:$H$803,G2046,MOVIMIENTOS_COMPLEMENTOS!$B$4:$B$803,"SALIDA"),0)</f>
        <v>0</v>
      </c>
      <c r="I2046" s="102">
        <f t="array" ref="I2046">IFERROR(INDEX(PRECIOS_COMPLEMENTOS!$C$4:$F$17,MATCH(B2046&amp;"_"&amp;C2046,PRECIOS_COMPLEMENTOS!$H$4:$H$17,0),IF(OR(G2046="S",G2046="20cm"),1,IF(OR(G2046="M",G2046="25cm"),2,IF(OR(G2046="L",G2046="30cm"),3,IF(OR(G2046="XL",G2046="35cm"),4,0))))),0)</f>
        <v>0.6</v>
      </c>
      <c r="J2046" s="103">
        <f t="shared" si="1"/>
        <v>0</v>
      </c>
      <c r="K2046" s="104" t="str">
        <f>IF(H2046&lt;0,"ERROR",IF(H2046=0,"",IF(H2046&lt;CONFIG!$B$4,"CRÍTICO",IF(H2046&lt;CONFIG!$B$5,"BAJO","OK"))))</f>
        <v/>
      </c>
    </row>
    <row r="2047" ht="15.75" hidden="1" customHeight="1">
      <c r="A2047" s="90" t="str">
        <f>IF(CLIENTES!A4="","",CLIENTES!A4)</f>
        <v>OverShark</v>
      </c>
      <c r="B2047" s="90" t="s">
        <v>331</v>
      </c>
      <c r="C2047" s="91" t="s">
        <v>328</v>
      </c>
      <c r="D2047" s="109" t="s">
        <v>366</v>
      </c>
      <c r="E2047" s="67" t="str">
        <f>COLORES!A14</f>
        <v>Denim</v>
      </c>
      <c r="F2047" s="67" t="str">
        <f>COLORES!B14</f>
        <v>CLARO</v>
      </c>
      <c r="G2047" s="90" t="s">
        <v>379</v>
      </c>
      <c r="H2047" s="100">
        <f>IFERROR(SUMIFS(MOVIMIENTOS_COMPLEMENTOS!$I$4:$I$803,MOVIMIENTOS_COMPLEMENTOS!$C$4:$C$803,A2047,MOVIMIENTOS_COMPLEMENTOS!$D$4:$D$803,B2047,MOVIMIENTOS_COMPLEMENTOS!$E$4:$E$803,C2047,MOVIMIENTOS_COMPLEMENTOS!$F$4:$F$803,D2047,MOVIMIENTOS_COMPLEMENTOS!$G$4:$G$803,E2047,MOVIMIENTOS_COMPLEMENTOS!$H$4:$H$803,G2047,MOVIMIENTOS_COMPLEMENTOS!$B$4:$B$803,"INGRESO")+SUMIFS(MOVIMIENTOS_COMPLEMENTOS!$I$4:$I$803,MOVIMIENTOS_COMPLEMENTOS!$C$4:$C$803,A2047,MOVIMIENTOS_COMPLEMENTOS!$D$4:$D$803,B2047,MOVIMIENTOS_COMPLEMENTOS!$E$4:$E$803,C2047,MOVIMIENTOS_COMPLEMENTOS!$F$4:$F$803,D2047,MOVIMIENTOS_COMPLEMENTOS!$G$4:$G$803,E2047,MOVIMIENTOS_COMPLEMENTOS!$H$4:$H$803,G2047,MOVIMIENTOS_COMPLEMENTOS!$B$4:$B$803,"DE CORTE")-SUMIFS(MOVIMIENTOS_COMPLEMENTOS!$I$4:$I$803,MOVIMIENTOS_COMPLEMENTOS!$C$4:$C$803,A2047,MOVIMIENTOS_COMPLEMENTOS!$D$4:$D$803,B2047,MOVIMIENTOS_COMPLEMENTOS!$E$4:$E$803,C2047,MOVIMIENTOS_COMPLEMENTOS!$F$4:$F$803,D2047,MOVIMIENTOS_COMPLEMENTOS!$G$4:$G$803,E2047,MOVIMIENTOS_COMPLEMENTOS!$H$4:$H$803,G2047,MOVIMIENTOS_COMPLEMENTOS!$B$4:$B$803,"SALIDA"),0)</f>
        <v>0</v>
      </c>
      <c r="I2047" s="102">
        <f t="array" ref="I2047">IFERROR(INDEX(PRECIOS_COMPLEMENTOS!$C$4:$F$17,MATCH(B2047&amp;"_"&amp;C2047,PRECIOS_COMPLEMENTOS!$H$4:$H$17,0),IF(OR(G2047="S",G2047="20cm"),1,IF(OR(G2047="M",G2047="25cm"),2,IF(OR(G2047="L",G2047="30cm"),3,IF(OR(G2047="XL",G2047="35cm"),4,0))))),0)</f>
        <v>0.6</v>
      </c>
      <c r="J2047" s="103">
        <f t="shared" si="1"/>
        <v>0</v>
      </c>
      <c r="K2047" s="104" t="str">
        <f>IF(H2047&lt;0,"ERROR",IF(H2047=0,"",IF(H2047&lt;CONFIG!$B$4,"CRÍTICO",IF(H2047&lt;CONFIG!$B$5,"BAJO","OK"))))</f>
        <v/>
      </c>
    </row>
    <row r="2048" ht="15.75" hidden="1" customHeight="1">
      <c r="A2048" s="90" t="str">
        <f>IF(CLIENTES!A4="","",CLIENTES!A4)</f>
        <v>OverShark</v>
      </c>
      <c r="B2048" s="90" t="s">
        <v>331</v>
      </c>
      <c r="C2048" s="91" t="s">
        <v>328</v>
      </c>
      <c r="D2048" s="109" t="s">
        <v>366</v>
      </c>
      <c r="E2048" s="67" t="str">
        <f>COLORES!A15</f>
        <v>Plomo</v>
      </c>
      <c r="F2048" s="67" t="str">
        <f>COLORES!B15</f>
        <v>OSCURO</v>
      </c>
      <c r="G2048" s="90" t="s">
        <v>378</v>
      </c>
      <c r="H2048" s="100">
        <f>IFERROR(SUMIFS(MOVIMIENTOS_COMPLEMENTOS!$I$4:$I$803,MOVIMIENTOS_COMPLEMENTOS!$C$4:$C$803,A2048,MOVIMIENTOS_COMPLEMENTOS!$D$4:$D$803,B2048,MOVIMIENTOS_COMPLEMENTOS!$E$4:$E$803,C2048,MOVIMIENTOS_COMPLEMENTOS!$F$4:$F$803,D2048,MOVIMIENTOS_COMPLEMENTOS!$G$4:$G$803,E2048,MOVIMIENTOS_COMPLEMENTOS!$H$4:$H$803,G2048,MOVIMIENTOS_COMPLEMENTOS!$B$4:$B$803,"INGRESO")+SUMIFS(MOVIMIENTOS_COMPLEMENTOS!$I$4:$I$803,MOVIMIENTOS_COMPLEMENTOS!$C$4:$C$803,A2048,MOVIMIENTOS_COMPLEMENTOS!$D$4:$D$803,B2048,MOVIMIENTOS_COMPLEMENTOS!$E$4:$E$803,C2048,MOVIMIENTOS_COMPLEMENTOS!$F$4:$F$803,D2048,MOVIMIENTOS_COMPLEMENTOS!$G$4:$G$803,E2048,MOVIMIENTOS_COMPLEMENTOS!$H$4:$H$803,G2048,MOVIMIENTOS_COMPLEMENTOS!$B$4:$B$803,"DE CORTE")-SUMIFS(MOVIMIENTOS_COMPLEMENTOS!$I$4:$I$803,MOVIMIENTOS_COMPLEMENTOS!$C$4:$C$803,A2048,MOVIMIENTOS_COMPLEMENTOS!$D$4:$D$803,B2048,MOVIMIENTOS_COMPLEMENTOS!$E$4:$E$803,C2048,MOVIMIENTOS_COMPLEMENTOS!$F$4:$F$803,D2048,MOVIMIENTOS_COMPLEMENTOS!$G$4:$G$803,E2048,MOVIMIENTOS_COMPLEMENTOS!$H$4:$H$803,G2048,MOVIMIENTOS_COMPLEMENTOS!$B$4:$B$803,"SALIDA"),0)</f>
        <v>0</v>
      </c>
      <c r="I2048" s="102">
        <f t="array" ref="I2048">IFERROR(INDEX(PRECIOS_COMPLEMENTOS!$C$4:$F$17,MATCH(B2048&amp;"_"&amp;C2048,PRECIOS_COMPLEMENTOS!$H$4:$H$17,0),IF(OR(G2048="S",G2048="20cm"),1,IF(OR(G2048="M",G2048="25cm"),2,IF(OR(G2048="L",G2048="30cm"),3,IF(OR(G2048="XL",G2048="35cm"),4,0))))),0)</f>
        <v>0.6</v>
      </c>
      <c r="J2048" s="103">
        <f t="shared" si="1"/>
        <v>0</v>
      </c>
      <c r="K2048" s="104" t="str">
        <f>IF(H2048&lt;0,"ERROR",IF(H2048=0,"",IF(H2048&lt;CONFIG!$B$4,"CRÍTICO",IF(H2048&lt;CONFIG!$B$5,"BAJO","OK"))))</f>
        <v/>
      </c>
    </row>
    <row r="2049" ht="15.75" hidden="1" customHeight="1">
      <c r="A2049" s="90" t="str">
        <f>IF(CLIENTES!A4="","",CLIENTES!A4)</f>
        <v>OverShark</v>
      </c>
      <c r="B2049" s="90" t="s">
        <v>331</v>
      </c>
      <c r="C2049" s="91" t="s">
        <v>328</v>
      </c>
      <c r="D2049" s="109" t="s">
        <v>366</v>
      </c>
      <c r="E2049" s="67" t="str">
        <f>COLORES!A15</f>
        <v>Plomo</v>
      </c>
      <c r="F2049" s="67" t="str">
        <f>COLORES!B15</f>
        <v>OSCURO</v>
      </c>
      <c r="G2049" s="90" t="s">
        <v>376</v>
      </c>
      <c r="H2049" s="100">
        <f>IFERROR(SUMIFS(MOVIMIENTOS_COMPLEMENTOS!$I$4:$I$803,MOVIMIENTOS_COMPLEMENTOS!$C$4:$C$803,A2049,MOVIMIENTOS_COMPLEMENTOS!$D$4:$D$803,B2049,MOVIMIENTOS_COMPLEMENTOS!$E$4:$E$803,C2049,MOVIMIENTOS_COMPLEMENTOS!$F$4:$F$803,D2049,MOVIMIENTOS_COMPLEMENTOS!$G$4:$G$803,E2049,MOVIMIENTOS_COMPLEMENTOS!$H$4:$H$803,G2049,MOVIMIENTOS_COMPLEMENTOS!$B$4:$B$803,"INGRESO")+SUMIFS(MOVIMIENTOS_COMPLEMENTOS!$I$4:$I$803,MOVIMIENTOS_COMPLEMENTOS!$C$4:$C$803,A2049,MOVIMIENTOS_COMPLEMENTOS!$D$4:$D$803,B2049,MOVIMIENTOS_COMPLEMENTOS!$E$4:$E$803,C2049,MOVIMIENTOS_COMPLEMENTOS!$F$4:$F$803,D2049,MOVIMIENTOS_COMPLEMENTOS!$G$4:$G$803,E2049,MOVIMIENTOS_COMPLEMENTOS!$H$4:$H$803,G2049,MOVIMIENTOS_COMPLEMENTOS!$B$4:$B$803,"DE CORTE")-SUMIFS(MOVIMIENTOS_COMPLEMENTOS!$I$4:$I$803,MOVIMIENTOS_COMPLEMENTOS!$C$4:$C$803,A2049,MOVIMIENTOS_COMPLEMENTOS!$D$4:$D$803,B2049,MOVIMIENTOS_COMPLEMENTOS!$E$4:$E$803,C2049,MOVIMIENTOS_COMPLEMENTOS!$F$4:$F$803,D2049,MOVIMIENTOS_COMPLEMENTOS!$G$4:$G$803,E2049,MOVIMIENTOS_COMPLEMENTOS!$H$4:$H$803,G2049,MOVIMIENTOS_COMPLEMENTOS!$B$4:$B$803,"SALIDA"),0)</f>
        <v>0</v>
      </c>
      <c r="I2049" s="102">
        <f t="array" ref="I2049">IFERROR(INDEX(PRECIOS_COMPLEMENTOS!$C$4:$F$17,MATCH(B2049&amp;"_"&amp;C2049,PRECIOS_COMPLEMENTOS!$H$4:$H$17,0),IF(OR(G2049="S",G2049="20cm"),1,IF(OR(G2049="M",G2049="25cm"),2,IF(OR(G2049="L",G2049="30cm"),3,IF(OR(G2049="XL",G2049="35cm"),4,0))))),0)</f>
        <v>0.6</v>
      </c>
      <c r="J2049" s="103">
        <f t="shared" si="1"/>
        <v>0</v>
      </c>
      <c r="K2049" s="104" t="str">
        <f>IF(H2049&lt;0,"ERROR",IF(H2049=0,"",IF(H2049&lt;CONFIG!$B$4,"CRÍTICO",IF(H2049&lt;CONFIG!$B$5,"BAJO","OK"))))</f>
        <v/>
      </c>
    </row>
    <row r="2050" ht="15.75" hidden="1" customHeight="1">
      <c r="A2050" s="90" t="str">
        <f>IF(CLIENTES!A4="","",CLIENTES!A4)</f>
        <v>OverShark</v>
      </c>
      <c r="B2050" s="90" t="s">
        <v>331</v>
      </c>
      <c r="C2050" s="91" t="s">
        <v>328</v>
      </c>
      <c r="D2050" s="109" t="s">
        <v>366</v>
      </c>
      <c r="E2050" s="67" t="str">
        <f>COLORES!A15</f>
        <v>Plomo</v>
      </c>
      <c r="F2050" s="67" t="str">
        <f>COLORES!B15</f>
        <v>OSCURO</v>
      </c>
      <c r="G2050" s="90" t="s">
        <v>377</v>
      </c>
      <c r="H2050" s="100">
        <f>IFERROR(SUMIFS(MOVIMIENTOS_COMPLEMENTOS!$I$4:$I$803,MOVIMIENTOS_COMPLEMENTOS!$C$4:$C$803,A2050,MOVIMIENTOS_COMPLEMENTOS!$D$4:$D$803,B2050,MOVIMIENTOS_COMPLEMENTOS!$E$4:$E$803,C2050,MOVIMIENTOS_COMPLEMENTOS!$F$4:$F$803,D2050,MOVIMIENTOS_COMPLEMENTOS!$G$4:$G$803,E2050,MOVIMIENTOS_COMPLEMENTOS!$H$4:$H$803,G2050,MOVIMIENTOS_COMPLEMENTOS!$B$4:$B$803,"INGRESO")+SUMIFS(MOVIMIENTOS_COMPLEMENTOS!$I$4:$I$803,MOVIMIENTOS_COMPLEMENTOS!$C$4:$C$803,A2050,MOVIMIENTOS_COMPLEMENTOS!$D$4:$D$803,B2050,MOVIMIENTOS_COMPLEMENTOS!$E$4:$E$803,C2050,MOVIMIENTOS_COMPLEMENTOS!$F$4:$F$803,D2050,MOVIMIENTOS_COMPLEMENTOS!$G$4:$G$803,E2050,MOVIMIENTOS_COMPLEMENTOS!$H$4:$H$803,G2050,MOVIMIENTOS_COMPLEMENTOS!$B$4:$B$803,"DE CORTE")-SUMIFS(MOVIMIENTOS_COMPLEMENTOS!$I$4:$I$803,MOVIMIENTOS_COMPLEMENTOS!$C$4:$C$803,A2050,MOVIMIENTOS_COMPLEMENTOS!$D$4:$D$803,B2050,MOVIMIENTOS_COMPLEMENTOS!$E$4:$E$803,C2050,MOVIMIENTOS_COMPLEMENTOS!$F$4:$F$803,D2050,MOVIMIENTOS_COMPLEMENTOS!$G$4:$G$803,E2050,MOVIMIENTOS_COMPLEMENTOS!$H$4:$H$803,G2050,MOVIMIENTOS_COMPLEMENTOS!$B$4:$B$803,"SALIDA"),0)</f>
        <v>0</v>
      </c>
      <c r="I2050" s="102">
        <f t="array" ref="I2050">IFERROR(INDEX(PRECIOS_COMPLEMENTOS!$C$4:$F$17,MATCH(B2050&amp;"_"&amp;C2050,PRECIOS_COMPLEMENTOS!$H$4:$H$17,0),IF(OR(G2050="S",G2050="20cm"),1,IF(OR(G2050="M",G2050="25cm"),2,IF(OR(G2050="L",G2050="30cm"),3,IF(OR(G2050="XL",G2050="35cm"),4,0))))),0)</f>
        <v>0.6</v>
      </c>
      <c r="J2050" s="103">
        <f t="shared" si="1"/>
        <v>0</v>
      </c>
      <c r="K2050" s="104" t="str">
        <f>IF(H2050&lt;0,"ERROR",IF(H2050=0,"",IF(H2050&lt;CONFIG!$B$4,"CRÍTICO",IF(H2050&lt;CONFIG!$B$5,"BAJO","OK"))))</f>
        <v/>
      </c>
    </row>
    <row r="2051" ht="15.75" hidden="1" customHeight="1">
      <c r="A2051" s="90" t="str">
        <f>IF(CLIENTES!A4="","",CLIENTES!A4)</f>
        <v>OverShark</v>
      </c>
      <c r="B2051" s="90" t="s">
        <v>331</v>
      </c>
      <c r="C2051" s="91" t="s">
        <v>328</v>
      </c>
      <c r="D2051" s="109" t="s">
        <v>366</v>
      </c>
      <c r="E2051" s="67" t="str">
        <f>COLORES!A15</f>
        <v>Plomo</v>
      </c>
      <c r="F2051" s="67" t="str">
        <f>COLORES!B15</f>
        <v>OSCURO</v>
      </c>
      <c r="G2051" s="90" t="s">
        <v>379</v>
      </c>
      <c r="H2051" s="100">
        <f>IFERROR(SUMIFS(MOVIMIENTOS_COMPLEMENTOS!$I$4:$I$803,MOVIMIENTOS_COMPLEMENTOS!$C$4:$C$803,A2051,MOVIMIENTOS_COMPLEMENTOS!$D$4:$D$803,B2051,MOVIMIENTOS_COMPLEMENTOS!$E$4:$E$803,C2051,MOVIMIENTOS_COMPLEMENTOS!$F$4:$F$803,D2051,MOVIMIENTOS_COMPLEMENTOS!$G$4:$G$803,E2051,MOVIMIENTOS_COMPLEMENTOS!$H$4:$H$803,G2051,MOVIMIENTOS_COMPLEMENTOS!$B$4:$B$803,"INGRESO")+SUMIFS(MOVIMIENTOS_COMPLEMENTOS!$I$4:$I$803,MOVIMIENTOS_COMPLEMENTOS!$C$4:$C$803,A2051,MOVIMIENTOS_COMPLEMENTOS!$D$4:$D$803,B2051,MOVIMIENTOS_COMPLEMENTOS!$E$4:$E$803,C2051,MOVIMIENTOS_COMPLEMENTOS!$F$4:$F$803,D2051,MOVIMIENTOS_COMPLEMENTOS!$G$4:$G$803,E2051,MOVIMIENTOS_COMPLEMENTOS!$H$4:$H$803,G2051,MOVIMIENTOS_COMPLEMENTOS!$B$4:$B$803,"DE CORTE")-SUMIFS(MOVIMIENTOS_COMPLEMENTOS!$I$4:$I$803,MOVIMIENTOS_COMPLEMENTOS!$C$4:$C$803,A2051,MOVIMIENTOS_COMPLEMENTOS!$D$4:$D$803,B2051,MOVIMIENTOS_COMPLEMENTOS!$E$4:$E$803,C2051,MOVIMIENTOS_COMPLEMENTOS!$F$4:$F$803,D2051,MOVIMIENTOS_COMPLEMENTOS!$G$4:$G$803,E2051,MOVIMIENTOS_COMPLEMENTOS!$H$4:$H$803,G2051,MOVIMIENTOS_COMPLEMENTOS!$B$4:$B$803,"SALIDA"),0)</f>
        <v>0</v>
      </c>
      <c r="I2051" s="102">
        <f t="array" ref="I2051">IFERROR(INDEX(PRECIOS_COMPLEMENTOS!$C$4:$F$17,MATCH(B2051&amp;"_"&amp;C2051,PRECIOS_COMPLEMENTOS!$H$4:$H$17,0),IF(OR(G2051="S",G2051="20cm"),1,IF(OR(G2051="M",G2051="25cm"),2,IF(OR(G2051="L",G2051="30cm"),3,IF(OR(G2051="XL",G2051="35cm"),4,0))))),0)</f>
        <v>0.6</v>
      </c>
      <c r="J2051" s="103">
        <f t="shared" si="1"/>
        <v>0</v>
      </c>
      <c r="K2051" s="104" t="str">
        <f>IF(H2051&lt;0,"ERROR",IF(H2051=0,"",IF(H2051&lt;CONFIG!$B$4,"CRÍTICO",IF(H2051&lt;CONFIG!$B$5,"BAJO","OK"))))</f>
        <v/>
      </c>
    </row>
    <row r="2052" ht="15.75" hidden="1" customHeight="1">
      <c r="A2052" s="90" t="str">
        <f>IF(CLIENTES!A4="","",CLIENTES!A4)</f>
        <v>OverShark</v>
      </c>
      <c r="B2052" s="90" t="s">
        <v>331</v>
      </c>
      <c r="C2052" s="91" t="s">
        <v>328</v>
      </c>
      <c r="D2052" s="109" t="s">
        <v>366</v>
      </c>
      <c r="E2052" s="67" t="str">
        <f>COLORES!A16</f>
        <v>Topo</v>
      </c>
      <c r="F2052" s="67" t="str">
        <f>COLORES!B16</f>
        <v>CLARO</v>
      </c>
      <c r="G2052" s="90" t="s">
        <v>378</v>
      </c>
      <c r="H2052" s="100">
        <f>IFERROR(SUMIFS(MOVIMIENTOS_COMPLEMENTOS!$I$4:$I$803,MOVIMIENTOS_COMPLEMENTOS!$C$4:$C$803,A2052,MOVIMIENTOS_COMPLEMENTOS!$D$4:$D$803,B2052,MOVIMIENTOS_COMPLEMENTOS!$E$4:$E$803,C2052,MOVIMIENTOS_COMPLEMENTOS!$F$4:$F$803,D2052,MOVIMIENTOS_COMPLEMENTOS!$G$4:$G$803,E2052,MOVIMIENTOS_COMPLEMENTOS!$H$4:$H$803,G2052,MOVIMIENTOS_COMPLEMENTOS!$B$4:$B$803,"INGRESO")+SUMIFS(MOVIMIENTOS_COMPLEMENTOS!$I$4:$I$803,MOVIMIENTOS_COMPLEMENTOS!$C$4:$C$803,A2052,MOVIMIENTOS_COMPLEMENTOS!$D$4:$D$803,B2052,MOVIMIENTOS_COMPLEMENTOS!$E$4:$E$803,C2052,MOVIMIENTOS_COMPLEMENTOS!$F$4:$F$803,D2052,MOVIMIENTOS_COMPLEMENTOS!$G$4:$G$803,E2052,MOVIMIENTOS_COMPLEMENTOS!$H$4:$H$803,G2052,MOVIMIENTOS_COMPLEMENTOS!$B$4:$B$803,"DE CORTE")-SUMIFS(MOVIMIENTOS_COMPLEMENTOS!$I$4:$I$803,MOVIMIENTOS_COMPLEMENTOS!$C$4:$C$803,A2052,MOVIMIENTOS_COMPLEMENTOS!$D$4:$D$803,B2052,MOVIMIENTOS_COMPLEMENTOS!$E$4:$E$803,C2052,MOVIMIENTOS_COMPLEMENTOS!$F$4:$F$803,D2052,MOVIMIENTOS_COMPLEMENTOS!$G$4:$G$803,E2052,MOVIMIENTOS_COMPLEMENTOS!$H$4:$H$803,G2052,MOVIMIENTOS_COMPLEMENTOS!$B$4:$B$803,"SALIDA"),0)</f>
        <v>0</v>
      </c>
      <c r="I2052" s="102">
        <f t="array" ref="I2052">IFERROR(INDEX(PRECIOS_COMPLEMENTOS!$C$4:$F$17,MATCH(B2052&amp;"_"&amp;C2052,PRECIOS_COMPLEMENTOS!$H$4:$H$17,0),IF(OR(G2052="S",G2052="20cm"),1,IF(OR(G2052="M",G2052="25cm"),2,IF(OR(G2052="L",G2052="30cm"),3,IF(OR(G2052="XL",G2052="35cm"),4,0))))),0)</f>
        <v>0.6</v>
      </c>
      <c r="J2052" s="103">
        <f t="shared" si="1"/>
        <v>0</v>
      </c>
      <c r="K2052" s="104" t="str">
        <f>IF(H2052&lt;0,"ERROR",IF(H2052=0,"",IF(H2052&lt;CONFIG!$B$4,"CRÍTICO",IF(H2052&lt;CONFIG!$B$5,"BAJO","OK"))))</f>
        <v/>
      </c>
    </row>
    <row r="2053" ht="15.75" hidden="1" customHeight="1">
      <c r="A2053" s="90" t="str">
        <f>IF(CLIENTES!A4="","",CLIENTES!A4)</f>
        <v>OverShark</v>
      </c>
      <c r="B2053" s="90" t="s">
        <v>331</v>
      </c>
      <c r="C2053" s="91" t="s">
        <v>328</v>
      </c>
      <c r="D2053" s="109" t="s">
        <v>366</v>
      </c>
      <c r="E2053" s="67" t="str">
        <f>COLORES!A16</f>
        <v>Topo</v>
      </c>
      <c r="F2053" s="67" t="str">
        <f>COLORES!B16</f>
        <v>CLARO</v>
      </c>
      <c r="G2053" s="90" t="s">
        <v>376</v>
      </c>
      <c r="H2053" s="100">
        <f>IFERROR(SUMIFS(MOVIMIENTOS_COMPLEMENTOS!$I$4:$I$803,MOVIMIENTOS_COMPLEMENTOS!$C$4:$C$803,A2053,MOVIMIENTOS_COMPLEMENTOS!$D$4:$D$803,B2053,MOVIMIENTOS_COMPLEMENTOS!$E$4:$E$803,C2053,MOVIMIENTOS_COMPLEMENTOS!$F$4:$F$803,D2053,MOVIMIENTOS_COMPLEMENTOS!$G$4:$G$803,E2053,MOVIMIENTOS_COMPLEMENTOS!$H$4:$H$803,G2053,MOVIMIENTOS_COMPLEMENTOS!$B$4:$B$803,"INGRESO")+SUMIFS(MOVIMIENTOS_COMPLEMENTOS!$I$4:$I$803,MOVIMIENTOS_COMPLEMENTOS!$C$4:$C$803,A2053,MOVIMIENTOS_COMPLEMENTOS!$D$4:$D$803,B2053,MOVIMIENTOS_COMPLEMENTOS!$E$4:$E$803,C2053,MOVIMIENTOS_COMPLEMENTOS!$F$4:$F$803,D2053,MOVIMIENTOS_COMPLEMENTOS!$G$4:$G$803,E2053,MOVIMIENTOS_COMPLEMENTOS!$H$4:$H$803,G2053,MOVIMIENTOS_COMPLEMENTOS!$B$4:$B$803,"DE CORTE")-SUMIFS(MOVIMIENTOS_COMPLEMENTOS!$I$4:$I$803,MOVIMIENTOS_COMPLEMENTOS!$C$4:$C$803,A2053,MOVIMIENTOS_COMPLEMENTOS!$D$4:$D$803,B2053,MOVIMIENTOS_COMPLEMENTOS!$E$4:$E$803,C2053,MOVIMIENTOS_COMPLEMENTOS!$F$4:$F$803,D2053,MOVIMIENTOS_COMPLEMENTOS!$G$4:$G$803,E2053,MOVIMIENTOS_COMPLEMENTOS!$H$4:$H$803,G2053,MOVIMIENTOS_COMPLEMENTOS!$B$4:$B$803,"SALIDA"),0)</f>
        <v>0</v>
      </c>
      <c r="I2053" s="102">
        <f t="array" ref="I2053">IFERROR(INDEX(PRECIOS_COMPLEMENTOS!$C$4:$F$17,MATCH(B2053&amp;"_"&amp;C2053,PRECIOS_COMPLEMENTOS!$H$4:$H$17,0),IF(OR(G2053="S",G2053="20cm"),1,IF(OR(G2053="M",G2053="25cm"),2,IF(OR(G2053="L",G2053="30cm"),3,IF(OR(G2053="XL",G2053="35cm"),4,0))))),0)</f>
        <v>0.6</v>
      </c>
      <c r="J2053" s="103">
        <f t="shared" si="1"/>
        <v>0</v>
      </c>
      <c r="K2053" s="104" t="str">
        <f>IF(H2053&lt;0,"ERROR",IF(H2053=0,"",IF(H2053&lt;CONFIG!$B$4,"CRÍTICO",IF(H2053&lt;CONFIG!$B$5,"BAJO","OK"))))</f>
        <v/>
      </c>
    </row>
    <row r="2054" ht="15.75" hidden="1" customHeight="1">
      <c r="A2054" s="90" t="str">
        <f>IF(CLIENTES!A4="","",CLIENTES!A4)</f>
        <v>OverShark</v>
      </c>
      <c r="B2054" s="90" t="s">
        <v>331</v>
      </c>
      <c r="C2054" s="91" t="s">
        <v>328</v>
      </c>
      <c r="D2054" s="109" t="s">
        <v>366</v>
      </c>
      <c r="E2054" s="67" t="str">
        <f>COLORES!A16</f>
        <v>Topo</v>
      </c>
      <c r="F2054" s="67" t="str">
        <f>COLORES!B16</f>
        <v>CLARO</v>
      </c>
      <c r="G2054" s="90" t="s">
        <v>377</v>
      </c>
      <c r="H2054" s="100">
        <f>IFERROR(SUMIFS(MOVIMIENTOS_COMPLEMENTOS!$I$4:$I$803,MOVIMIENTOS_COMPLEMENTOS!$C$4:$C$803,A2054,MOVIMIENTOS_COMPLEMENTOS!$D$4:$D$803,B2054,MOVIMIENTOS_COMPLEMENTOS!$E$4:$E$803,C2054,MOVIMIENTOS_COMPLEMENTOS!$F$4:$F$803,D2054,MOVIMIENTOS_COMPLEMENTOS!$G$4:$G$803,E2054,MOVIMIENTOS_COMPLEMENTOS!$H$4:$H$803,G2054,MOVIMIENTOS_COMPLEMENTOS!$B$4:$B$803,"INGRESO")+SUMIFS(MOVIMIENTOS_COMPLEMENTOS!$I$4:$I$803,MOVIMIENTOS_COMPLEMENTOS!$C$4:$C$803,A2054,MOVIMIENTOS_COMPLEMENTOS!$D$4:$D$803,B2054,MOVIMIENTOS_COMPLEMENTOS!$E$4:$E$803,C2054,MOVIMIENTOS_COMPLEMENTOS!$F$4:$F$803,D2054,MOVIMIENTOS_COMPLEMENTOS!$G$4:$G$803,E2054,MOVIMIENTOS_COMPLEMENTOS!$H$4:$H$803,G2054,MOVIMIENTOS_COMPLEMENTOS!$B$4:$B$803,"DE CORTE")-SUMIFS(MOVIMIENTOS_COMPLEMENTOS!$I$4:$I$803,MOVIMIENTOS_COMPLEMENTOS!$C$4:$C$803,A2054,MOVIMIENTOS_COMPLEMENTOS!$D$4:$D$803,B2054,MOVIMIENTOS_COMPLEMENTOS!$E$4:$E$803,C2054,MOVIMIENTOS_COMPLEMENTOS!$F$4:$F$803,D2054,MOVIMIENTOS_COMPLEMENTOS!$G$4:$G$803,E2054,MOVIMIENTOS_COMPLEMENTOS!$H$4:$H$803,G2054,MOVIMIENTOS_COMPLEMENTOS!$B$4:$B$803,"SALIDA"),0)</f>
        <v>0</v>
      </c>
      <c r="I2054" s="102">
        <f t="array" ref="I2054">IFERROR(INDEX(PRECIOS_COMPLEMENTOS!$C$4:$F$17,MATCH(B2054&amp;"_"&amp;C2054,PRECIOS_COMPLEMENTOS!$H$4:$H$17,0),IF(OR(G2054="S",G2054="20cm"),1,IF(OR(G2054="M",G2054="25cm"),2,IF(OR(G2054="L",G2054="30cm"),3,IF(OR(G2054="XL",G2054="35cm"),4,0))))),0)</f>
        <v>0.6</v>
      </c>
      <c r="J2054" s="103">
        <f t="shared" si="1"/>
        <v>0</v>
      </c>
      <c r="K2054" s="104" t="str">
        <f>IF(H2054&lt;0,"ERROR",IF(H2054=0,"",IF(H2054&lt;CONFIG!$B$4,"CRÍTICO",IF(H2054&lt;CONFIG!$B$5,"BAJO","OK"))))</f>
        <v/>
      </c>
    </row>
    <row r="2055" ht="15.75" hidden="1" customHeight="1">
      <c r="A2055" s="90" t="str">
        <f>IF(CLIENTES!A4="","",CLIENTES!A4)</f>
        <v>OverShark</v>
      </c>
      <c r="B2055" s="90" t="s">
        <v>331</v>
      </c>
      <c r="C2055" s="91" t="s">
        <v>328</v>
      </c>
      <c r="D2055" s="109" t="s">
        <v>366</v>
      </c>
      <c r="E2055" s="67" t="str">
        <f>COLORES!A16</f>
        <v>Topo</v>
      </c>
      <c r="F2055" s="67" t="str">
        <f>COLORES!B16</f>
        <v>CLARO</v>
      </c>
      <c r="G2055" s="90" t="s">
        <v>379</v>
      </c>
      <c r="H2055" s="100">
        <f>IFERROR(SUMIFS(MOVIMIENTOS_COMPLEMENTOS!$I$4:$I$803,MOVIMIENTOS_COMPLEMENTOS!$C$4:$C$803,A2055,MOVIMIENTOS_COMPLEMENTOS!$D$4:$D$803,B2055,MOVIMIENTOS_COMPLEMENTOS!$E$4:$E$803,C2055,MOVIMIENTOS_COMPLEMENTOS!$F$4:$F$803,D2055,MOVIMIENTOS_COMPLEMENTOS!$G$4:$G$803,E2055,MOVIMIENTOS_COMPLEMENTOS!$H$4:$H$803,G2055,MOVIMIENTOS_COMPLEMENTOS!$B$4:$B$803,"INGRESO")+SUMIFS(MOVIMIENTOS_COMPLEMENTOS!$I$4:$I$803,MOVIMIENTOS_COMPLEMENTOS!$C$4:$C$803,A2055,MOVIMIENTOS_COMPLEMENTOS!$D$4:$D$803,B2055,MOVIMIENTOS_COMPLEMENTOS!$E$4:$E$803,C2055,MOVIMIENTOS_COMPLEMENTOS!$F$4:$F$803,D2055,MOVIMIENTOS_COMPLEMENTOS!$G$4:$G$803,E2055,MOVIMIENTOS_COMPLEMENTOS!$H$4:$H$803,G2055,MOVIMIENTOS_COMPLEMENTOS!$B$4:$B$803,"DE CORTE")-SUMIFS(MOVIMIENTOS_COMPLEMENTOS!$I$4:$I$803,MOVIMIENTOS_COMPLEMENTOS!$C$4:$C$803,A2055,MOVIMIENTOS_COMPLEMENTOS!$D$4:$D$803,B2055,MOVIMIENTOS_COMPLEMENTOS!$E$4:$E$803,C2055,MOVIMIENTOS_COMPLEMENTOS!$F$4:$F$803,D2055,MOVIMIENTOS_COMPLEMENTOS!$G$4:$G$803,E2055,MOVIMIENTOS_COMPLEMENTOS!$H$4:$H$803,G2055,MOVIMIENTOS_COMPLEMENTOS!$B$4:$B$803,"SALIDA"),0)</f>
        <v>0</v>
      </c>
      <c r="I2055" s="102">
        <f t="array" ref="I2055">IFERROR(INDEX(PRECIOS_COMPLEMENTOS!$C$4:$F$17,MATCH(B2055&amp;"_"&amp;C2055,PRECIOS_COMPLEMENTOS!$H$4:$H$17,0),IF(OR(G2055="S",G2055="20cm"),1,IF(OR(G2055="M",G2055="25cm"),2,IF(OR(G2055="L",G2055="30cm"),3,IF(OR(G2055="XL",G2055="35cm"),4,0))))),0)</f>
        <v>0.6</v>
      </c>
      <c r="J2055" s="103">
        <f t="shared" si="1"/>
        <v>0</v>
      </c>
      <c r="K2055" s="104" t="str">
        <f>IF(H2055&lt;0,"ERROR",IF(H2055=0,"",IF(H2055&lt;CONFIG!$B$4,"CRÍTICO",IF(H2055&lt;CONFIG!$B$5,"BAJO","OK"))))</f>
        <v/>
      </c>
    </row>
    <row r="2056" ht="15.75" hidden="1" customHeight="1">
      <c r="A2056" s="90" t="str">
        <f>IF(CLIENTES!A4="","",CLIENTES!A4)</f>
        <v>OverShark</v>
      </c>
      <c r="B2056" s="90" t="s">
        <v>331</v>
      </c>
      <c r="C2056" s="91" t="s">
        <v>328</v>
      </c>
      <c r="D2056" s="109" t="s">
        <v>366</v>
      </c>
      <c r="E2056" s="67" t="str">
        <f>COLORES!A17</f>
        <v>Vino</v>
      </c>
      <c r="F2056" s="67" t="str">
        <f>COLORES!B17</f>
        <v>OSCURO</v>
      </c>
      <c r="G2056" s="90" t="s">
        <v>378</v>
      </c>
      <c r="H2056" s="100">
        <f>IFERROR(SUMIFS(MOVIMIENTOS_COMPLEMENTOS!$I$4:$I$803,MOVIMIENTOS_COMPLEMENTOS!$C$4:$C$803,A2056,MOVIMIENTOS_COMPLEMENTOS!$D$4:$D$803,B2056,MOVIMIENTOS_COMPLEMENTOS!$E$4:$E$803,C2056,MOVIMIENTOS_COMPLEMENTOS!$F$4:$F$803,D2056,MOVIMIENTOS_COMPLEMENTOS!$G$4:$G$803,E2056,MOVIMIENTOS_COMPLEMENTOS!$H$4:$H$803,G2056,MOVIMIENTOS_COMPLEMENTOS!$B$4:$B$803,"INGRESO")+SUMIFS(MOVIMIENTOS_COMPLEMENTOS!$I$4:$I$803,MOVIMIENTOS_COMPLEMENTOS!$C$4:$C$803,A2056,MOVIMIENTOS_COMPLEMENTOS!$D$4:$D$803,B2056,MOVIMIENTOS_COMPLEMENTOS!$E$4:$E$803,C2056,MOVIMIENTOS_COMPLEMENTOS!$F$4:$F$803,D2056,MOVIMIENTOS_COMPLEMENTOS!$G$4:$G$803,E2056,MOVIMIENTOS_COMPLEMENTOS!$H$4:$H$803,G2056,MOVIMIENTOS_COMPLEMENTOS!$B$4:$B$803,"DE CORTE")-SUMIFS(MOVIMIENTOS_COMPLEMENTOS!$I$4:$I$803,MOVIMIENTOS_COMPLEMENTOS!$C$4:$C$803,A2056,MOVIMIENTOS_COMPLEMENTOS!$D$4:$D$803,B2056,MOVIMIENTOS_COMPLEMENTOS!$E$4:$E$803,C2056,MOVIMIENTOS_COMPLEMENTOS!$F$4:$F$803,D2056,MOVIMIENTOS_COMPLEMENTOS!$G$4:$G$803,E2056,MOVIMIENTOS_COMPLEMENTOS!$H$4:$H$803,G2056,MOVIMIENTOS_COMPLEMENTOS!$B$4:$B$803,"SALIDA"),0)</f>
        <v>0</v>
      </c>
      <c r="I2056" s="102">
        <f t="array" ref="I2056">IFERROR(INDEX(PRECIOS_COMPLEMENTOS!$C$4:$F$17,MATCH(B2056&amp;"_"&amp;C2056,PRECIOS_COMPLEMENTOS!$H$4:$H$17,0),IF(OR(G2056="S",G2056="20cm"),1,IF(OR(G2056="M",G2056="25cm"),2,IF(OR(G2056="L",G2056="30cm"),3,IF(OR(G2056="XL",G2056="35cm"),4,0))))),0)</f>
        <v>0.6</v>
      </c>
      <c r="J2056" s="103">
        <f t="shared" si="1"/>
        <v>0</v>
      </c>
      <c r="K2056" s="104" t="str">
        <f>IF(H2056&lt;0,"ERROR",IF(H2056=0,"",IF(H2056&lt;CONFIG!$B$4,"CRÍTICO",IF(H2056&lt;CONFIG!$B$5,"BAJO","OK"))))</f>
        <v/>
      </c>
    </row>
    <row r="2057" ht="15.75" hidden="1" customHeight="1">
      <c r="A2057" s="90" t="str">
        <f>IF(CLIENTES!A4="","",CLIENTES!A4)</f>
        <v>OverShark</v>
      </c>
      <c r="B2057" s="90" t="s">
        <v>331</v>
      </c>
      <c r="C2057" s="91" t="s">
        <v>328</v>
      </c>
      <c r="D2057" s="109" t="s">
        <v>366</v>
      </c>
      <c r="E2057" s="67" t="str">
        <f>COLORES!A17</f>
        <v>Vino</v>
      </c>
      <c r="F2057" s="67" t="str">
        <f>COLORES!B17</f>
        <v>OSCURO</v>
      </c>
      <c r="G2057" s="90" t="s">
        <v>376</v>
      </c>
      <c r="H2057" s="100">
        <f>IFERROR(SUMIFS(MOVIMIENTOS_COMPLEMENTOS!$I$4:$I$803,MOVIMIENTOS_COMPLEMENTOS!$C$4:$C$803,A2057,MOVIMIENTOS_COMPLEMENTOS!$D$4:$D$803,B2057,MOVIMIENTOS_COMPLEMENTOS!$E$4:$E$803,C2057,MOVIMIENTOS_COMPLEMENTOS!$F$4:$F$803,D2057,MOVIMIENTOS_COMPLEMENTOS!$G$4:$G$803,E2057,MOVIMIENTOS_COMPLEMENTOS!$H$4:$H$803,G2057,MOVIMIENTOS_COMPLEMENTOS!$B$4:$B$803,"INGRESO")+SUMIFS(MOVIMIENTOS_COMPLEMENTOS!$I$4:$I$803,MOVIMIENTOS_COMPLEMENTOS!$C$4:$C$803,A2057,MOVIMIENTOS_COMPLEMENTOS!$D$4:$D$803,B2057,MOVIMIENTOS_COMPLEMENTOS!$E$4:$E$803,C2057,MOVIMIENTOS_COMPLEMENTOS!$F$4:$F$803,D2057,MOVIMIENTOS_COMPLEMENTOS!$G$4:$G$803,E2057,MOVIMIENTOS_COMPLEMENTOS!$H$4:$H$803,G2057,MOVIMIENTOS_COMPLEMENTOS!$B$4:$B$803,"DE CORTE")-SUMIFS(MOVIMIENTOS_COMPLEMENTOS!$I$4:$I$803,MOVIMIENTOS_COMPLEMENTOS!$C$4:$C$803,A2057,MOVIMIENTOS_COMPLEMENTOS!$D$4:$D$803,B2057,MOVIMIENTOS_COMPLEMENTOS!$E$4:$E$803,C2057,MOVIMIENTOS_COMPLEMENTOS!$F$4:$F$803,D2057,MOVIMIENTOS_COMPLEMENTOS!$G$4:$G$803,E2057,MOVIMIENTOS_COMPLEMENTOS!$H$4:$H$803,G2057,MOVIMIENTOS_COMPLEMENTOS!$B$4:$B$803,"SALIDA"),0)</f>
        <v>0</v>
      </c>
      <c r="I2057" s="102">
        <f t="array" ref="I2057">IFERROR(INDEX(PRECIOS_COMPLEMENTOS!$C$4:$F$17,MATCH(B2057&amp;"_"&amp;C2057,PRECIOS_COMPLEMENTOS!$H$4:$H$17,0),IF(OR(G2057="S",G2057="20cm"),1,IF(OR(G2057="M",G2057="25cm"),2,IF(OR(G2057="L",G2057="30cm"),3,IF(OR(G2057="XL",G2057="35cm"),4,0))))),0)</f>
        <v>0.6</v>
      </c>
      <c r="J2057" s="103">
        <f t="shared" si="1"/>
        <v>0</v>
      </c>
      <c r="K2057" s="104" t="str">
        <f>IF(H2057&lt;0,"ERROR",IF(H2057=0,"",IF(H2057&lt;CONFIG!$B$4,"CRÍTICO",IF(H2057&lt;CONFIG!$B$5,"BAJO","OK"))))</f>
        <v/>
      </c>
    </row>
    <row r="2058" ht="15.75" hidden="1" customHeight="1">
      <c r="A2058" s="90" t="str">
        <f>IF(CLIENTES!A4="","",CLIENTES!A4)</f>
        <v>OverShark</v>
      </c>
      <c r="B2058" s="90" t="s">
        <v>331</v>
      </c>
      <c r="C2058" s="91" t="s">
        <v>328</v>
      </c>
      <c r="D2058" s="109" t="s">
        <v>366</v>
      </c>
      <c r="E2058" s="67" t="str">
        <f>COLORES!A17</f>
        <v>Vino</v>
      </c>
      <c r="F2058" s="67" t="str">
        <f>COLORES!B17</f>
        <v>OSCURO</v>
      </c>
      <c r="G2058" s="90" t="s">
        <v>377</v>
      </c>
      <c r="H2058" s="100">
        <f>IFERROR(SUMIFS(MOVIMIENTOS_COMPLEMENTOS!$I$4:$I$803,MOVIMIENTOS_COMPLEMENTOS!$C$4:$C$803,A2058,MOVIMIENTOS_COMPLEMENTOS!$D$4:$D$803,B2058,MOVIMIENTOS_COMPLEMENTOS!$E$4:$E$803,C2058,MOVIMIENTOS_COMPLEMENTOS!$F$4:$F$803,D2058,MOVIMIENTOS_COMPLEMENTOS!$G$4:$G$803,E2058,MOVIMIENTOS_COMPLEMENTOS!$H$4:$H$803,G2058,MOVIMIENTOS_COMPLEMENTOS!$B$4:$B$803,"INGRESO")+SUMIFS(MOVIMIENTOS_COMPLEMENTOS!$I$4:$I$803,MOVIMIENTOS_COMPLEMENTOS!$C$4:$C$803,A2058,MOVIMIENTOS_COMPLEMENTOS!$D$4:$D$803,B2058,MOVIMIENTOS_COMPLEMENTOS!$E$4:$E$803,C2058,MOVIMIENTOS_COMPLEMENTOS!$F$4:$F$803,D2058,MOVIMIENTOS_COMPLEMENTOS!$G$4:$G$803,E2058,MOVIMIENTOS_COMPLEMENTOS!$H$4:$H$803,G2058,MOVIMIENTOS_COMPLEMENTOS!$B$4:$B$803,"DE CORTE")-SUMIFS(MOVIMIENTOS_COMPLEMENTOS!$I$4:$I$803,MOVIMIENTOS_COMPLEMENTOS!$C$4:$C$803,A2058,MOVIMIENTOS_COMPLEMENTOS!$D$4:$D$803,B2058,MOVIMIENTOS_COMPLEMENTOS!$E$4:$E$803,C2058,MOVIMIENTOS_COMPLEMENTOS!$F$4:$F$803,D2058,MOVIMIENTOS_COMPLEMENTOS!$G$4:$G$803,E2058,MOVIMIENTOS_COMPLEMENTOS!$H$4:$H$803,G2058,MOVIMIENTOS_COMPLEMENTOS!$B$4:$B$803,"SALIDA"),0)</f>
        <v>0</v>
      </c>
      <c r="I2058" s="102">
        <f t="array" ref="I2058">IFERROR(INDEX(PRECIOS_COMPLEMENTOS!$C$4:$F$17,MATCH(B2058&amp;"_"&amp;C2058,PRECIOS_COMPLEMENTOS!$H$4:$H$17,0),IF(OR(G2058="S",G2058="20cm"),1,IF(OR(G2058="M",G2058="25cm"),2,IF(OR(G2058="L",G2058="30cm"),3,IF(OR(G2058="XL",G2058="35cm"),4,0))))),0)</f>
        <v>0.6</v>
      </c>
      <c r="J2058" s="103">
        <f t="shared" si="1"/>
        <v>0</v>
      </c>
      <c r="K2058" s="104" t="str">
        <f>IF(H2058&lt;0,"ERROR",IF(H2058=0,"",IF(H2058&lt;CONFIG!$B$4,"CRÍTICO",IF(H2058&lt;CONFIG!$B$5,"BAJO","OK"))))</f>
        <v/>
      </c>
    </row>
    <row r="2059" ht="15.75" hidden="1" customHeight="1">
      <c r="A2059" s="90" t="str">
        <f>IF(CLIENTES!A4="","",CLIENTES!A4)</f>
        <v>OverShark</v>
      </c>
      <c r="B2059" s="90" t="s">
        <v>331</v>
      </c>
      <c r="C2059" s="91" t="s">
        <v>328</v>
      </c>
      <c r="D2059" s="109" t="s">
        <v>366</v>
      </c>
      <c r="E2059" s="67" t="str">
        <f>COLORES!A17</f>
        <v>Vino</v>
      </c>
      <c r="F2059" s="67" t="str">
        <f>COLORES!B17</f>
        <v>OSCURO</v>
      </c>
      <c r="G2059" s="90" t="s">
        <v>379</v>
      </c>
      <c r="H2059" s="100">
        <f>IFERROR(SUMIFS(MOVIMIENTOS_COMPLEMENTOS!$I$4:$I$803,MOVIMIENTOS_COMPLEMENTOS!$C$4:$C$803,A2059,MOVIMIENTOS_COMPLEMENTOS!$D$4:$D$803,B2059,MOVIMIENTOS_COMPLEMENTOS!$E$4:$E$803,C2059,MOVIMIENTOS_COMPLEMENTOS!$F$4:$F$803,D2059,MOVIMIENTOS_COMPLEMENTOS!$G$4:$G$803,E2059,MOVIMIENTOS_COMPLEMENTOS!$H$4:$H$803,G2059,MOVIMIENTOS_COMPLEMENTOS!$B$4:$B$803,"INGRESO")+SUMIFS(MOVIMIENTOS_COMPLEMENTOS!$I$4:$I$803,MOVIMIENTOS_COMPLEMENTOS!$C$4:$C$803,A2059,MOVIMIENTOS_COMPLEMENTOS!$D$4:$D$803,B2059,MOVIMIENTOS_COMPLEMENTOS!$E$4:$E$803,C2059,MOVIMIENTOS_COMPLEMENTOS!$F$4:$F$803,D2059,MOVIMIENTOS_COMPLEMENTOS!$G$4:$G$803,E2059,MOVIMIENTOS_COMPLEMENTOS!$H$4:$H$803,G2059,MOVIMIENTOS_COMPLEMENTOS!$B$4:$B$803,"DE CORTE")-SUMIFS(MOVIMIENTOS_COMPLEMENTOS!$I$4:$I$803,MOVIMIENTOS_COMPLEMENTOS!$C$4:$C$803,A2059,MOVIMIENTOS_COMPLEMENTOS!$D$4:$D$803,B2059,MOVIMIENTOS_COMPLEMENTOS!$E$4:$E$803,C2059,MOVIMIENTOS_COMPLEMENTOS!$F$4:$F$803,D2059,MOVIMIENTOS_COMPLEMENTOS!$G$4:$G$803,E2059,MOVIMIENTOS_COMPLEMENTOS!$H$4:$H$803,G2059,MOVIMIENTOS_COMPLEMENTOS!$B$4:$B$803,"SALIDA"),0)</f>
        <v>0</v>
      </c>
      <c r="I2059" s="102">
        <f t="array" ref="I2059">IFERROR(INDEX(PRECIOS_COMPLEMENTOS!$C$4:$F$17,MATCH(B2059&amp;"_"&amp;C2059,PRECIOS_COMPLEMENTOS!$H$4:$H$17,0),IF(OR(G2059="S",G2059="20cm"),1,IF(OR(G2059="M",G2059="25cm"),2,IF(OR(G2059="L",G2059="30cm"),3,IF(OR(G2059="XL",G2059="35cm"),4,0))))),0)</f>
        <v>0.6</v>
      </c>
      <c r="J2059" s="103">
        <f t="shared" si="1"/>
        <v>0</v>
      </c>
      <c r="K2059" s="104" t="str">
        <f>IF(H2059&lt;0,"ERROR",IF(H2059=0,"",IF(H2059&lt;CONFIG!$B$4,"CRÍTICO",IF(H2059&lt;CONFIG!$B$5,"BAJO","OK"))))</f>
        <v/>
      </c>
    </row>
    <row r="2060" ht="15.75" hidden="1" customHeight="1">
      <c r="A2060" s="90" t="str">
        <f>IF(CLIENTES!A4="","",CLIENTES!A4)</f>
        <v>OverShark</v>
      </c>
      <c r="B2060" s="90" t="s">
        <v>331</v>
      </c>
      <c r="C2060" s="91" t="s">
        <v>328</v>
      </c>
      <c r="D2060" s="109" t="s">
        <v>366</v>
      </c>
      <c r="E2060" s="67" t="str">
        <f>COLORES!A18</f>
        <v>P. Rosa</v>
      </c>
      <c r="F2060" s="67" t="str">
        <f>COLORES!B18</f>
        <v>CLARO</v>
      </c>
      <c r="G2060" s="90" t="s">
        <v>378</v>
      </c>
      <c r="H2060" s="100">
        <f>IFERROR(SUMIFS(MOVIMIENTOS_COMPLEMENTOS!$I$4:$I$803,MOVIMIENTOS_COMPLEMENTOS!$C$4:$C$803,A2060,MOVIMIENTOS_COMPLEMENTOS!$D$4:$D$803,B2060,MOVIMIENTOS_COMPLEMENTOS!$E$4:$E$803,C2060,MOVIMIENTOS_COMPLEMENTOS!$F$4:$F$803,D2060,MOVIMIENTOS_COMPLEMENTOS!$G$4:$G$803,E2060,MOVIMIENTOS_COMPLEMENTOS!$H$4:$H$803,G2060,MOVIMIENTOS_COMPLEMENTOS!$B$4:$B$803,"INGRESO")+SUMIFS(MOVIMIENTOS_COMPLEMENTOS!$I$4:$I$803,MOVIMIENTOS_COMPLEMENTOS!$C$4:$C$803,A2060,MOVIMIENTOS_COMPLEMENTOS!$D$4:$D$803,B2060,MOVIMIENTOS_COMPLEMENTOS!$E$4:$E$803,C2060,MOVIMIENTOS_COMPLEMENTOS!$F$4:$F$803,D2060,MOVIMIENTOS_COMPLEMENTOS!$G$4:$G$803,E2060,MOVIMIENTOS_COMPLEMENTOS!$H$4:$H$803,G2060,MOVIMIENTOS_COMPLEMENTOS!$B$4:$B$803,"DE CORTE")-SUMIFS(MOVIMIENTOS_COMPLEMENTOS!$I$4:$I$803,MOVIMIENTOS_COMPLEMENTOS!$C$4:$C$803,A2060,MOVIMIENTOS_COMPLEMENTOS!$D$4:$D$803,B2060,MOVIMIENTOS_COMPLEMENTOS!$E$4:$E$803,C2060,MOVIMIENTOS_COMPLEMENTOS!$F$4:$F$803,D2060,MOVIMIENTOS_COMPLEMENTOS!$G$4:$G$803,E2060,MOVIMIENTOS_COMPLEMENTOS!$H$4:$H$803,G2060,MOVIMIENTOS_COMPLEMENTOS!$B$4:$B$803,"SALIDA"),0)</f>
        <v>0</v>
      </c>
      <c r="I2060" s="102">
        <f t="array" ref="I2060">IFERROR(INDEX(PRECIOS_COMPLEMENTOS!$C$4:$F$17,MATCH(B2060&amp;"_"&amp;C2060,PRECIOS_COMPLEMENTOS!$H$4:$H$17,0),IF(OR(G2060="S",G2060="20cm"),1,IF(OR(G2060="M",G2060="25cm"),2,IF(OR(G2060="L",G2060="30cm"),3,IF(OR(G2060="XL",G2060="35cm"),4,0))))),0)</f>
        <v>0.6</v>
      </c>
      <c r="J2060" s="103">
        <f t="shared" si="1"/>
        <v>0</v>
      </c>
      <c r="K2060" s="104" t="str">
        <f>IF(H2060&lt;0,"ERROR",IF(H2060=0,"",IF(H2060&lt;CONFIG!$B$4,"CRÍTICO",IF(H2060&lt;CONFIG!$B$5,"BAJO","OK"))))</f>
        <v/>
      </c>
    </row>
    <row r="2061" ht="15.75" hidden="1" customHeight="1">
      <c r="A2061" s="90" t="str">
        <f>IF(CLIENTES!A4="","",CLIENTES!A4)</f>
        <v>OverShark</v>
      </c>
      <c r="B2061" s="90" t="s">
        <v>331</v>
      </c>
      <c r="C2061" s="91" t="s">
        <v>328</v>
      </c>
      <c r="D2061" s="109" t="s">
        <v>366</v>
      </c>
      <c r="E2061" s="67" t="str">
        <f>COLORES!A18</f>
        <v>P. Rosa</v>
      </c>
      <c r="F2061" s="67" t="str">
        <f>COLORES!B18</f>
        <v>CLARO</v>
      </c>
      <c r="G2061" s="90" t="s">
        <v>376</v>
      </c>
      <c r="H2061" s="100">
        <f>IFERROR(SUMIFS(MOVIMIENTOS_COMPLEMENTOS!$I$4:$I$803,MOVIMIENTOS_COMPLEMENTOS!$C$4:$C$803,A2061,MOVIMIENTOS_COMPLEMENTOS!$D$4:$D$803,B2061,MOVIMIENTOS_COMPLEMENTOS!$E$4:$E$803,C2061,MOVIMIENTOS_COMPLEMENTOS!$F$4:$F$803,D2061,MOVIMIENTOS_COMPLEMENTOS!$G$4:$G$803,E2061,MOVIMIENTOS_COMPLEMENTOS!$H$4:$H$803,G2061,MOVIMIENTOS_COMPLEMENTOS!$B$4:$B$803,"INGRESO")+SUMIFS(MOVIMIENTOS_COMPLEMENTOS!$I$4:$I$803,MOVIMIENTOS_COMPLEMENTOS!$C$4:$C$803,A2061,MOVIMIENTOS_COMPLEMENTOS!$D$4:$D$803,B2061,MOVIMIENTOS_COMPLEMENTOS!$E$4:$E$803,C2061,MOVIMIENTOS_COMPLEMENTOS!$F$4:$F$803,D2061,MOVIMIENTOS_COMPLEMENTOS!$G$4:$G$803,E2061,MOVIMIENTOS_COMPLEMENTOS!$H$4:$H$803,G2061,MOVIMIENTOS_COMPLEMENTOS!$B$4:$B$803,"DE CORTE")-SUMIFS(MOVIMIENTOS_COMPLEMENTOS!$I$4:$I$803,MOVIMIENTOS_COMPLEMENTOS!$C$4:$C$803,A2061,MOVIMIENTOS_COMPLEMENTOS!$D$4:$D$803,B2061,MOVIMIENTOS_COMPLEMENTOS!$E$4:$E$803,C2061,MOVIMIENTOS_COMPLEMENTOS!$F$4:$F$803,D2061,MOVIMIENTOS_COMPLEMENTOS!$G$4:$G$803,E2061,MOVIMIENTOS_COMPLEMENTOS!$H$4:$H$803,G2061,MOVIMIENTOS_COMPLEMENTOS!$B$4:$B$803,"SALIDA"),0)</f>
        <v>0</v>
      </c>
      <c r="I2061" s="102">
        <f t="array" ref="I2061">IFERROR(INDEX(PRECIOS_COMPLEMENTOS!$C$4:$F$17,MATCH(B2061&amp;"_"&amp;C2061,PRECIOS_COMPLEMENTOS!$H$4:$H$17,0),IF(OR(G2061="S",G2061="20cm"),1,IF(OR(G2061="M",G2061="25cm"),2,IF(OR(G2061="L",G2061="30cm"),3,IF(OR(G2061="XL",G2061="35cm"),4,0))))),0)</f>
        <v>0.6</v>
      </c>
      <c r="J2061" s="103">
        <f t="shared" si="1"/>
        <v>0</v>
      </c>
      <c r="K2061" s="104" t="str">
        <f>IF(H2061&lt;0,"ERROR",IF(H2061=0,"",IF(H2061&lt;CONFIG!$B$4,"CRÍTICO",IF(H2061&lt;CONFIG!$B$5,"BAJO","OK"))))</f>
        <v/>
      </c>
    </row>
    <row r="2062" ht="15.75" hidden="1" customHeight="1">
      <c r="A2062" s="90" t="str">
        <f>IF(CLIENTES!A4="","",CLIENTES!A4)</f>
        <v>OverShark</v>
      </c>
      <c r="B2062" s="90" t="s">
        <v>331</v>
      </c>
      <c r="C2062" s="91" t="s">
        <v>328</v>
      </c>
      <c r="D2062" s="109" t="s">
        <v>366</v>
      </c>
      <c r="E2062" s="67" t="str">
        <f>COLORES!A18</f>
        <v>P. Rosa</v>
      </c>
      <c r="F2062" s="67" t="str">
        <f>COLORES!B18</f>
        <v>CLARO</v>
      </c>
      <c r="G2062" s="90" t="s">
        <v>377</v>
      </c>
      <c r="H2062" s="100">
        <f>IFERROR(SUMIFS(MOVIMIENTOS_COMPLEMENTOS!$I$4:$I$803,MOVIMIENTOS_COMPLEMENTOS!$C$4:$C$803,A2062,MOVIMIENTOS_COMPLEMENTOS!$D$4:$D$803,B2062,MOVIMIENTOS_COMPLEMENTOS!$E$4:$E$803,C2062,MOVIMIENTOS_COMPLEMENTOS!$F$4:$F$803,D2062,MOVIMIENTOS_COMPLEMENTOS!$G$4:$G$803,E2062,MOVIMIENTOS_COMPLEMENTOS!$H$4:$H$803,G2062,MOVIMIENTOS_COMPLEMENTOS!$B$4:$B$803,"INGRESO")+SUMIFS(MOVIMIENTOS_COMPLEMENTOS!$I$4:$I$803,MOVIMIENTOS_COMPLEMENTOS!$C$4:$C$803,A2062,MOVIMIENTOS_COMPLEMENTOS!$D$4:$D$803,B2062,MOVIMIENTOS_COMPLEMENTOS!$E$4:$E$803,C2062,MOVIMIENTOS_COMPLEMENTOS!$F$4:$F$803,D2062,MOVIMIENTOS_COMPLEMENTOS!$G$4:$G$803,E2062,MOVIMIENTOS_COMPLEMENTOS!$H$4:$H$803,G2062,MOVIMIENTOS_COMPLEMENTOS!$B$4:$B$803,"DE CORTE")-SUMIFS(MOVIMIENTOS_COMPLEMENTOS!$I$4:$I$803,MOVIMIENTOS_COMPLEMENTOS!$C$4:$C$803,A2062,MOVIMIENTOS_COMPLEMENTOS!$D$4:$D$803,B2062,MOVIMIENTOS_COMPLEMENTOS!$E$4:$E$803,C2062,MOVIMIENTOS_COMPLEMENTOS!$F$4:$F$803,D2062,MOVIMIENTOS_COMPLEMENTOS!$G$4:$G$803,E2062,MOVIMIENTOS_COMPLEMENTOS!$H$4:$H$803,G2062,MOVIMIENTOS_COMPLEMENTOS!$B$4:$B$803,"SALIDA"),0)</f>
        <v>0</v>
      </c>
      <c r="I2062" s="102">
        <f t="array" ref="I2062">IFERROR(INDEX(PRECIOS_COMPLEMENTOS!$C$4:$F$17,MATCH(B2062&amp;"_"&amp;C2062,PRECIOS_COMPLEMENTOS!$H$4:$H$17,0),IF(OR(G2062="S",G2062="20cm"),1,IF(OR(G2062="M",G2062="25cm"),2,IF(OR(G2062="L",G2062="30cm"),3,IF(OR(G2062="XL",G2062="35cm"),4,0))))),0)</f>
        <v>0.6</v>
      </c>
      <c r="J2062" s="103">
        <f t="shared" si="1"/>
        <v>0</v>
      </c>
      <c r="K2062" s="104" t="str">
        <f>IF(H2062&lt;0,"ERROR",IF(H2062=0,"",IF(H2062&lt;CONFIG!$B$4,"CRÍTICO",IF(H2062&lt;CONFIG!$B$5,"BAJO","OK"))))</f>
        <v/>
      </c>
    </row>
    <row r="2063" ht="15.75" hidden="1" customHeight="1">
      <c r="A2063" s="90" t="str">
        <f>IF(CLIENTES!A4="","",CLIENTES!A4)</f>
        <v>OverShark</v>
      </c>
      <c r="B2063" s="90" t="s">
        <v>331</v>
      </c>
      <c r="C2063" s="91" t="s">
        <v>328</v>
      </c>
      <c r="D2063" s="109" t="s">
        <v>366</v>
      </c>
      <c r="E2063" s="67" t="str">
        <f>COLORES!A18</f>
        <v>P. Rosa</v>
      </c>
      <c r="F2063" s="67" t="str">
        <f>COLORES!B18</f>
        <v>CLARO</v>
      </c>
      <c r="G2063" s="90" t="s">
        <v>379</v>
      </c>
      <c r="H2063" s="100">
        <f>IFERROR(SUMIFS(MOVIMIENTOS_COMPLEMENTOS!$I$4:$I$803,MOVIMIENTOS_COMPLEMENTOS!$C$4:$C$803,A2063,MOVIMIENTOS_COMPLEMENTOS!$D$4:$D$803,B2063,MOVIMIENTOS_COMPLEMENTOS!$E$4:$E$803,C2063,MOVIMIENTOS_COMPLEMENTOS!$F$4:$F$803,D2063,MOVIMIENTOS_COMPLEMENTOS!$G$4:$G$803,E2063,MOVIMIENTOS_COMPLEMENTOS!$H$4:$H$803,G2063,MOVIMIENTOS_COMPLEMENTOS!$B$4:$B$803,"INGRESO")+SUMIFS(MOVIMIENTOS_COMPLEMENTOS!$I$4:$I$803,MOVIMIENTOS_COMPLEMENTOS!$C$4:$C$803,A2063,MOVIMIENTOS_COMPLEMENTOS!$D$4:$D$803,B2063,MOVIMIENTOS_COMPLEMENTOS!$E$4:$E$803,C2063,MOVIMIENTOS_COMPLEMENTOS!$F$4:$F$803,D2063,MOVIMIENTOS_COMPLEMENTOS!$G$4:$G$803,E2063,MOVIMIENTOS_COMPLEMENTOS!$H$4:$H$803,G2063,MOVIMIENTOS_COMPLEMENTOS!$B$4:$B$803,"DE CORTE")-SUMIFS(MOVIMIENTOS_COMPLEMENTOS!$I$4:$I$803,MOVIMIENTOS_COMPLEMENTOS!$C$4:$C$803,A2063,MOVIMIENTOS_COMPLEMENTOS!$D$4:$D$803,B2063,MOVIMIENTOS_COMPLEMENTOS!$E$4:$E$803,C2063,MOVIMIENTOS_COMPLEMENTOS!$F$4:$F$803,D2063,MOVIMIENTOS_COMPLEMENTOS!$G$4:$G$803,E2063,MOVIMIENTOS_COMPLEMENTOS!$H$4:$H$803,G2063,MOVIMIENTOS_COMPLEMENTOS!$B$4:$B$803,"SALIDA"),0)</f>
        <v>0</v>
      </c>
      <c r="I2063" s="102">
        <f t="array" ref="I2063">IFERROR(INDEX(PRECIOS_COMPLEMENTOS!$C$4:$F$17,MATCH(B2063&amp;"_"&amp;C2063,PRECIOS_COMPLEMENTOS!$H$4:$H$17,0),IF(OR(G2063="S",G2063="20cm"),1,IF(OR(G2063="M",G2063="25cm"),2,IF(OR(G2063="L",G2063="30cm"),3,IF(OR(G2063="XL",G2063="35cm"),4,0))))),0)</f>
        <v>0.6</v>
      </c>
      <c r="J2063" s="103">
        <f t="shared" si="1"/>
        <v>0</v>
      </c>
      <c r="K2063" s="104" t="str">
        <f>IF(H2063&lt;0,"ERROR",IF(H2063=0,"",IF(H2063&lt;CONFIG!$B$4,"CRÍTICO",IF(H2063&lt;CONFIG!$B$5,"BAJO","OK"))))</f>
        <v/>
      </c>
    </row>
    <row r="2064" ht="15.75" hidden="1" customHeight="1">
      <c r="A2064" s="90" t="str">
        <f>IF(CLIENTES!A4="","",CLIENTES!A4)</f>
        <v>OverShark</v>
      </c>
      <c r="B2064" s="90" t="s">
        <v>331</v>
      </c>
      <c r="C2064" s="91" t="s">
        <v>328</v>
      </c>
      <c r="D2064" s="109" t="s">
        <v>366</v>
      </c>
      <c r="E2064" s="67" t="str">
        <f>COLORES!A19</f>
        <v/>
      </c>
      <c r="F2064" s="67" t="str">
        <f>COLORES!B19</f>
        <v/>
      </c>
      <c r="G2064" s="90" t="s">
        <v>378</v>
      </c>
      <c r="H2064" s="100">
        <f>IFERROR(SUMIFS(MOVIMIENTOS_COMPLEMENTOS!$I$4:$I$803,MOVIMIENTOS_COMPLEMENTOS!$C$4:$C$803,A2064,MOVIMIENTOS_COMPLEMENTOS!$D$4:$D$803,B2064,MOVIMIENTOS_COMPLEMENTOS!$E$4:$E$803,C2064,MOVIMIENTOS_COMPLEMENTOS!$F$4:$F$803,D2064,MOVIMIENTOS_COMPLEMENTOS!$G$4:$G$803,E2064,MOVIMIENTOS_COMPLEMENTOS!$H$4:$H$803,G2064,MOVIMIENTOS_COMPLEMENTOS!$B$4:$B$803,"INGRESO")+SUMIFS(MOVIMIENTOS_COMPLEMENTOS!$I$4:$I$803,MOVIMIENTOS_COMPLEMENTOS!$C$4:$C$803,A2064,MOVIMIENTOS_COMPLEMENTOS!$D$4:$D$803,B2064,MOVIMIENTOS_COMPLEMENTOS!$E$4:$E$803,C2064,MOVIMIENTOS_COMPLEMENTOS!$F$4:$F$803,D2064,MOVIMIENTOS_COMPLEMENTOS!$G$4:$G$803,E2064,MOVIMIENTOS_COMPLEMENTOS!$H$4:$H$803,G2064,MOVIMIENTOS_COMPLEMENTOS!$B$4:$B$803,"DE CORTE")-SUMIFS(MOVIMIENTOS_COMPLEMENTOS!$I$4:$I$803,MOVIMIENTOS_COMPLEMENTOS!$C$4:$C$803,A2064,MOVIMIENTOS_COMPLEMENTOS!$D$4:$D$803,B2064,MOVIMIENTOS_COMPLEMENTOS!$E$4:$E$803,C2064,MOVIMIENTOS_COMPLEMENTOS!$F$4:$F$803,D2064,MOVIMIENTOS_COMPLEMENTOS!$G$4:$G$803,E2064,MOVIMIENTOS_COMPLEMENTOS!$H$4:$H$803,G2064,MOVIMIENTOS_COMPLEMENTOS!$B$4:$B$803,"SALIDA"),0)</f>
        <v>0</v>
      </c>
      <c r="I2064" s="102">
        <f t="array" ref="I2064">IFERROR(INDEX(PRECIOS_COMPLEMENTOS!$C$4:$F$17,MATCH(B2064&amp;"_"&amp;C2064,PRECIOS_COMPLEMENTOS!$H$4:$H$17,0),IF(OR(G2064="S",G2064="20cm"),1,IF(OR(G2064="M",G2064="25cm"),2,IF(OR(G2064="L",G2064="30cm"),3,IF(OR(G2064="XL",G2064="35cm"),4,0))))),0)</f>
        <v>0.6</v>
      </c>
      <c r="J2064" s="103">
        <f t="shared" si="1"/>
        <v>0</v>
      </c>
      <c r="K2064" s="104" t="str">
        <f>IF(H2064&lt;0,"ERROR",IF(H2064=0,"",IF(H2064&lt;CONFIG!$B$4,"CRÍTICO",IF(H2064&lt;CONFIG!$B$5,"BAJO","OK"))))</f>
        <v/>
      </c>
    </row>
    <row r="2065" ht="15.75" hidden="1" customHeight="1">
      <c r="A2065" s="90" t="str">
        <f>IF(CLIENTES!A4="","",CLIENTES!A4)</f>
        <v>OverShark</v>
      </c>
      <c r="B2065" s="90" t="s">
        <v>331</v>
      </c>
      <c r="C2065" s="91" t="s">
        <v>328</v>
      </c>
      <c r="D2065" s="109" t="s">
        <v>366</v>
      </c>
      <c r="E2065" s="67" t="str">
        <f>COLORES!A19</f>
        <v/>
      </c>
      <c r="F2065" s="67" t="str">
        <f>COLORES!B19</f>
        <v/>
      </c>
      <c r="G2065" s="90" t="s">
        <v>376</v>
      </c>
      <c r="H2065" s="100">
        <f>IFERROR(SUMIFS(MOVIMIENTOS_COMPLEMENTOS!$I$4:$I$803,MOVIMIENTOS_COMPLEMENTOS!$C$4:$C$803,A2065,MOVIMIENTOS_COMPLEMENTOS!$D$4:$D$803,B2065,MOVIMIENTOS_COMPLEMENTOS!$E$4:$E$803,C2065,MOVIMIENTOS_COMPLEMENTOS!$F$4:$F$803,D2065,MOVIMIENTOS_COMPLEMENTOS!$G$4:$G$803,E2065,MOVIMIENTOS_COMPLEMENTOS!$H$4:$H$803,G2065,MOVIMIENTOS_COMPLEMENTOS!$B$4:$B$803,"INGRESO")+SUMIFS(MOVIMIENTOS_COMPLEMENTOS!$I$4:$I$803,MOVIMIENTOS_COMPLEMENTOS!$C$4:$C$803,A2065,MOVIMIENTOS_COMPLEMENTOS!$D$4:$D$803,B2065,MOVIMIENTOS_COMPLEMENTOS!$E$4:$E$803,C2065,MOVIMIENTOS_COMPLEMENTOS!$F$4:$F$803,D2065,MOVIMIENTOS_COMPLEMENTOS!$G$4:$G$803,E2065,MOVIMIENTOS_COMPLEMENTOS!$H$4:$H$803,G2065,MOVIMIENTOS_COMPLEMENTOS!$B$4:$B$803,"DE CORTE")-SUMIFS(MOVIMIENTOS_COMPLEMENTOS!$I$4:$I$803,MOVIMIENTOS_COMPLEMENTOS!$C$4:$C$803,A2065,MOVIMIENTOS_COMPLEMENTOS!$D$4:$D$803,B2065,MOVIMIENTOS_COMPLEMENTOS!$E$4:$E$803,C2065,MOVIMIENTOS_COMPLEMENTOS!$F$4:$F$803,D2065,MOVIMIENTOS_COMPLEMENTOS!$G$4:$G$803,E2065,MOVIMIENTOS_COMPLEMENTOS!$H$4:$H$803,G2065,MOVIMIENTOS_COMPLEMENTOS!$B$4:$B$803,"SALIDA"),0)</f>
        <v>0</v>
      </c>
      <c r="I2065" s="102">
        <f t="array" ref="I2065">IFERROR(INDEX(PRECIOS_COMPLEMENTOS!$C$4:$F$17,MATCH(B2065&amp;"_"&amp;C2065,PRECIOS_COMPLEMENTOS!$H$4:$H$17,0),IF(OR(G2065="S",G2065="20cm"),1,IF(OR(G2065="M",G2065="25cm"),2,IF(OR(G2065="L",G2065="30cm"),3,IF(OR(G2065="XL",G2065="35cm"),4,0))))),0)</f>
        <v>0.6</v>
      </c>
      <c r="J2065" s="103">
        <f t="shared" si="1"/>
        <v>0</v>
      </c>
      <c r="K2065" s="104" t="str">
        <f>IF(H2065&lt;0,"ERROR",IF(H2065=0,"",IF(H2065&lt;CONFIG!$B$4,"CRÍTICO",IF(H2065&lt;CONFIG!$B$5,"BAJO","OK"))))</f>
        <v/>
      </c>
    </row>
    <row r="2066" ht="15.75" hidden="1" customHeight="1">
      <c r="A2066" s="90" t="str">
        <f>IF(CLIENTES!A4="","",CLIENTES!A4)</f>
        <v>OverShark</v>
      </c>
      <c r="B2066" s="90" t="s">
        <v>331</v>
      </c>
      <c r="C2066" s="91" t="s">
        <v>328</v>
      </c>
      <c r="D2066" s="109" t="s">
        <v>366</v>
      </c>
      <c r="E2066" s="67" t="str">
        <f>COLORES!A19</f>
        <v/>
      </c>
      <c r="F2066" s="67" t="str">
        <f>COLORES!B19</f>
        <v/>
      </c>
      <c r="G2066" s="90" t="s">
        <v>377</v>
      </c>
      <c r="H2066" s="100">
        <f>IFERROR(SUMIFS(MOVIMIENTOS_COMPLEMENTOS!$I$4:$I$803,MOVIMIENTOS_COMPLEMENTOS!$C$4:$C$803,A2066,MOVIMIENTOS_COMPLEMENTOS!$D$4:$D$803,B2066,MOVIMIENTOS_COMPLEMENTOS!$E$4:$E$803,C2066,MOVIMIENTOS_COMPLEMENTOS!$F$4:$F$803,D2066,MOVIMIENTOS_COMPLEMENTOS!$G$4:$G$803,E2066,MOVIMIENTOS_COMPLEMENTOS!$H$4:$H$803,G2066,MOVIMIENTOS_COMPLEMENTOS!$B$4:$B$803,"INGRESO")+SUMIFS(MOVIMIENTOS_COMPLEMENTOS!$I$4:$I$803,MOVIMIENTOS_COMPLEMENTOS!$C$4:$C$803,A2066,MOVIMIENTOS_COMPLEMENTOS!$D$4:$D$803,B2066,MOVIMIENTOS_COMPLEMENTOS!$E$4:$E$803,C2066,MOVIMIENTOS_COMPLEMENTOS!$F$4:$F$803,D2066,MOVIMIENTOS_COMPLEMENTOS!$G$4:$G$803,E2066,MOVIMIENTOS_COMPLEMENTOS!$H$4:$H$803,G2066,MOVIMIENTOS_COMPLEMENTOS!$B$4:$B$803,"DE CORTE")-SUMIFS(MOVIMIENTOS_COMPLEMENTOS!$I$4:$I$803,MOVIMIENTOS_COMPLEMENTOS!$C$4:$C$803,A2066,MOVIMIENTOS_COMPLEMENTOS!$D$4:$D$803,B2066,MOVIMIENTOS_COMPLEMENTOS!$E$4:$E$803,C2066,MOVIMIENTOS_COMPLEMENTOS!$F$4:$F$803,D2066,MOVIMIENTOS_COMPLEMENTOS!$G$4:$G$803,E2066,MOVIMIENTOS_COMPLEMENTOS!$H$4:$H$803,G2066,MOVIMIENTOS_COMPLEMENTOS!$B$4:$B$803,"SALIDA"),0)</f>
        <v>0</v>
      </c>
      <c r="I2066" s="102">
        <f t="array" ref="I2066">IFERROR(INDEX(PRECIOS_COMPLEMENTOS!$C$4:$F$17,MATCH(B2066&amp;"_"&amp;C2066,PRECIOS_COMPLEMENTOS!$H$4:$H$17,0),IF(OR(G2066="S",G2066="20cm"),1,IF(OR(G2066="M",G2066="25cm"),2,IF(OR(G2066="L",G2066="30cm"),3,IF(OR(G2066="XL",G2066="35cm"),4,0))))),0)</f>
        <v>0.6</v>
      </c>
      <c r="J2066" s="103">
        <f t="shared" si="1"/>
        <v>0</v>
      </c>
      <c r="K2066" s="104" t="str">
        <f>IF(H2066&lt;0,"ERROR",IF(H2066=0,"",IF(H2066&lt;CONFIG!$B$4,"CRÍTICO",IF(H2066&lt;CONFIG!$B$5,"BAJO","OK"))))</f>
        <v/>
      </c>
    </row>
    <row r="2067" ht="15.75" hidden="1" customHeight="1">
      <c r="A2067" s="90" t="str">
        <f>IF(CLIENTES!A4="","",CLIENTES!A4)</f>
        <v>OverShark</v>
      </c>
      <c r="B2067" s="90" t="s">
        <v>331</v>
      </c>
      <c r="C2067" s="91" t="s">
        <v>328</v>
      </c>
      <c r="D2067" s="109" t="s">
        <v>366</v>
      </c>
      <c r="E2067" s="67" t="str">
        <f>COLORES!A19</f>
        <v/>
      </c>
      <c r="F2067" s="67" t="str">
        <f>COLORES!B19</f>
        <v/>
      </c>
      <c r="G2067" s="90" t="s">
        <v>379</v>
      </c>
      <c r="H2067" s="100">
        <f>IFERROR(SUMIFS(MOVIMIENTOS_COMPLEMENTOS!$I$4:$I$803,MOVIMIENTOS_COMPLEMENTOS!$C$4:$C$803,A2067,MOVIMIENTOS_COMPLEMENTOS!$D$4:$D$803,B2067,MOVIMIENTOS_COMPLEMENTOS!$E$4:$E$803,C2067,MOVIMIENTOS_COMPLEMENTOS!$F$4:$F$803,D2067,MOVIMIENTOS_COMPLEMENTOS!$G$4:$G$803,E2067,MOVIMIENTOS_COMPLEMENTOS!$H$4:$H$803,G2067,MOVIMIENTOS_COMPLEMENTOS!$B$4:$B$803,"INGRESO")+SUMIFS(MOVIMIENTOS_COMPLEMENTOS!$I$4:$I$803,MOVIMIENTOS_COMPLEMENTOS!$C$4:$C$803,A2067,MOVIMIENTOS_COMPLEMENTOS!$D$4:$D$803,B2067,MOVIMIENTOS_COMPLEMENTOS!$E$4:$E$803,C2067,MOVIMIENTOS_COMPLEMENTOS!$F$4:$F$803,D2067,MOVIMIENTOS_COMPLEMENTOS!$G$4:$G$803,E2067,MOVIMIENTOS_COMPLEMENTOS!$H$4:$H$803,G2067,MOVIMIENTOS_COMPLEMENTOS!$B$4:$B$803,"DE CORTE")-SUMIFS(MOVIMIENTOS_COMPLEMENTOS!$I$4:$I$803,MOVIMIENTOS_COMPLEMENTOS!$C$4:$C$803,A2067,MOVIMIENTOS_COMPLEMENTOS!$D$4:$D$803,B2067,MOVIMIENTOS_COMPLEMENTOS!$E$4:$E$803,C2067,MOVIMIENTOS_COMPLEMENTOS!$F$4:$F$803,D2067,MOVIMIENTOS_COMPLEMENTOS!$G$4:$G$803,E2067,MOVIMIENTOS_COMPLEMENTOS!$H$4:$H$803,G2067,MOVIMIENTOS_COMPLEMENTOS!$B$4:$B$803,"SALIDA"),0)</f>
        <v>0</v>
      </c>
      <c r="I2067" s="102">
        <f t="array" ref="I2067">IFERROR(INDEX(PRECIOS_COMPLEMENTOS!$C$4:$F$17,MATCH(B2067&amp;"_"&amp;C2067,PRECIOS_COMPLEMENTOS!$H$4:$H$17,0),IF(OR(G2067="S",G2067="20cm"),1,IF(OR(G2067="M",G2067="25cm"),2,IF(OR(G2067="L",G2067="30cm"),3,IF(OR(G2067="XL",G2067="35cm"),4,0))))),0)</f>
        <v>0.6</v>
      </c>
      <c r="J2067" s="103">
        <f t="shared" si="1"/>
        <v>0</v>
      </c>
      <c r="K2067" s="104" t="str">
        <f>IF(H2067&lt;0,"ERROR",IF(H2067=0,"",IF(H2067&lt;CONFIG!$B$4,"CRÍTICO",IF(H2067&lt;CONFIG!$B$5,"BAJO","OK"))))</f>
        <v/>
      </c>
    </row>
    <row r="2068" ht="15.75" hidden="1" customHeight="1">
      <c r="A2068" s="90" t="str">
        <f>IF(CLIENTES!A4="","",CLIENTES!A4)</f>
        <v>OverShark</v>
      </c>
      <c r="B2068" s="90" t="s">
        <v>331</v>
      </c>
      <c r="C2068" s="91" t="s">
        <v>328</v>
      </c>
      <c r="D2068" s="109" t="s">
        <v>366</v>
      </c>
      <c r="E2068" s="67" t="str">
        <f>COLORES!A20</f>
        <v/>
      </c>
      <c r="F2068" s="67" t="str">
        <f>COLORES!B20</f>
        <v/>
      </c>
      <c r="G2068" s="90" t="s">
        <v>378</v>
      </c>
      <c r="H2068" s="100">
        <f>IFERROR(SUMIFS(MOVIMIENTOS_COMPLEMENTOS!$I$4:$I$803,MOVIMIENTOS_COMPLEMENTOS!$C$4:$C$803,A2068,MOVIMIENTOS_COMPLEMENTOS!$D$4:$D$803,B2068,MOVIMIENTOS_COMPLEMENTOS!$E$4:$E$803,C2068,MOVIMIENTOS_COMPLEMENTOS!$F$4:$F$803,D2068,MOVIMIENTOS_COMPLEMENTOS!$G$4:$G$803,E2068,MOVIMIENTOS_COMPLEMENTOS!$H$4:$H$803,G2068,MOVIMIENTOS_COMPLEMENTOS!$B$4:$B$803,"INGRESO")+SUMIFS(MOVIMIENTOS_COMPLEMENTOS!$I$4:$I$803,MOVIMIENTOS_COMPLEMENTOS!$C$4:$C$803,A2068,MOVIMIENTOS_COMPLEMENTOS!$D$4:$D$803,B2068,MOVIMIENTOS_COMPLEMENTOS!$E$4:$E$803,C2068,MOVIMIENTOS_COMPLEMENTOS!$F$4:$F$803,D2068,MOVIMIENTOS_COMPLEMENTOS!$G$4:$G$803,E2068,MOVIMIENTOS_COMPLEMENTOS!$H$4:$H$803,G2068,MOVIMIENTOS_COMPLEMENTOS!$B$4:$B$803,"DE CORTE")-SUMIFS(MOVIMIENTOS_COMPLEMENTOS!$I$4:$I$803,MOVIMIENTOS_COMPLEMENTOS!$C$4:$C$803,A2068,MOVIMIENTOS_COMPLEMENTOS!$D$4:$D$803,B2068,MOVIMIENTOS_COMPLEMENTOS!$E$4:$E$803,C2068,MOVIMIENTOS_COMPLEMENTOS!$F$4:$F$803,D2068,MOVIMIENTOS_COMPLEMENTOS!$G$4:$G$803,E2068,MOVIMIENTOS_COMPLEMENTOS!$H$4:$H$803,G2068,MOVIMIENTOS_COMPLEMENTOS!$B$4:$B$803,"SALIDA"),0)</f>
        <v>0</v>
      </c>
      <c r="I2068" s="102">
        <f t="array" ref="I2068">IFERROR(INDEX(PRECIOS_COMPLEMENTOS!$C$4:$F$17,MATCH(B2068&amp;"_"&amp;C2068,PRECIOS_COMPLEMENTOS!$H$4:$H$17,0),IF(OR(G2068="S",G2068="20cm"),1,IF(OR(G2068="M",G2068="25cm"),2,IF(OR(G2068="L",G2068="30cm"),3,IF(OR(G2068="XL",G2068="35cm"),4,0))))),0)</f>
        <v>0.6</v>
      </c>
      <c r="J2068" s="103">
        <f t="shared" si="1"/>
        <v>0</v>
      </c>
      <c r="K2068" s="104" t="str">
        <f>IF(H2068&lt;0,"ERROR",IF(H2068=0,"",IF(H2068&lt;CONFIG!$B$4,"CRÍTICO",IF(H2068&lt;CONFIG!$B$5,"BAJO","OK"))))</f>
        <v/>
      </c>
    </row>
    <row r="2069" ht="15.75" hidden="1" customHeight="1">
      <c r="A2069" s="90" t="str">
        <f>IF(CLIENTES!A4="","",CLIENTES!A4)</f>
        <v>OverShark</v>
      </c>
      <c r="B2069" s="90" t="s">
        <v>331</v>
      </c>
      <c r="C2069" s="91" t="s">
        <v>328</v>
      </c>
      <c r="D2069" s="109" t="s">
        <v>366</v>
      </c>
      <c r="E2069" s="67" t="str">
        <f>COLORES!A20</f>
        <v/>
      </c>
      <c r="F2069" s="67" t="str">
        <f>COLORES!B20</f>
        <v/>
      </c>
      <c r="G2069" s="90" t="s">
        <v>376</v>
      </c>
      <c r="H2069" s="100">
        <f>IFERROR(SUMIFS(MOVIMIENTOS_COMPLEMENTOS!$I$4:$I$803,MOVIMIENTOS_COMPLEMENTOS!$C$4:$C$803,A2069,MOVIMIENTOS_COMPLEMENTOS!$D$4:$D$803,B2069,MOVIMIENTOS_COMPLEMENTOS!$E$4:$E$803,C2069,MOVIMIENTOS_COMPLEMENTOS!$F$4:$F$803,D2069,MOVIMIENTOS_COMPLEMENTOS!$G$4:$G$803,E2069,MOVIMIENTOS_COMPLEMENTOS!$H$4:$H$803,G2069,MOVIMIENTOS_COMPLEMENTOS!$B$4:$B$803,"INGRESO")+SUMIFS(MOVIMIENTOS_COMPLEMENTOS!$I$4:$I$803,MOVIMIENTOS_COMPLEMENTOS!$C$4:$C$803,A2069,MOVIMIENTOS_COMPLEMENTOS!$D$4:$D$803,B2069,MOVIMIENTOS_COMPLEMENTOS!$E$4:$E$803,C2069,MOVIMIENTOS_COMPLEMENTOS!$F$4:$F$803,D2069,MOVIMIENTOS_COMPLEMENTOS!$G$4:$G$803,E2069,MOVIMIENTOS_COMPLEMENTOS!$H$4:$H$803,G2069,MOVIMIENTOS_COMPLEMENTOS!$B$4:$B$803,"DE CORTE")-SUMIFS(MOVIMIENTOS_COMPLEMENTOS!$I$4:$I$803,MOVIMIENTOS_COMPLEMENTOS!$C$4:$C$803,A2069,MOVIMIENTOS_COMPLEMENTOS!$D$4:$D$803,B2069,MOVIMIENTOS_COMPLEMENTOS!$E$4:$E$803,C2069,MOVIMIENTOS_COMPLEMENTOS!$F$4:$F$803,D2069,MOVIMIENTOS_COMPLEMENTOS!$G$4:$G$803,E2069,MOVIMIENTOS_COMPLEMENTOS!$H$4:$H$803,G2069,MOVIMIENTOS_COMPLEMENTOS!$B$4:$B$803,"SALIDA"),0)</f>
        <v>0</v>
      </c>
      <c r="I2069" s="102">
        <f t="array" ref="I2069">IFERROR(INDEX(PRECIOS_COMPLEMENTOS!$C$4:$F$17,MATCH(B2069&amp;"_"&amp;C2069,PRECIOS_COMPLEMENTOS!$H$4:$H$17,0),IF(OR(G2069="S",G2069="20cm"),1,IF(OR(G2069="M",G2069="25cm"),2,IF(OR(G2069="L",G2069="30cm"),3,IF(OR(G2069="XL",G2069="35cm"),4,0))))),0)</f>
        <v>0.6</v>
      </c>
      <c r="J2069" s="103">
        <f t="shared" si="1"/>
        <v>0</v>
      </c>
      <c r="K2069" s="104" t="str">
        <f>IF(H2069&lt;0,"ERROR",IF(H2069=0,"",IF(H2069&lt;CONFIG!$B$4,"CRÍTICO",IF(H2069&lt;CONFIG!$B$5,"BAJO","OK"))))</f>
        <v/>
      </c>
    </row>
    <row r="2070" ht="15.75" hidden="1" customHeight="1">
      <c r="A2070" s="90" t="str">
        <f>IF(CLIENTES!A4="","",CLIENTES!A4)</f>
        <v>OverShark</v>
      </c>
      <c r="B2070" s="90" t="s">
        <v>331</v>
      </c>
      <c r="C2070" s="91" t="s">
        <v>328</v>
      </c>
      <c r="D2070" s="109" t="s">
        <v>366</v>
      </c>
      <c r="E2070" s="67" t="str">
        <f>COLORES!A20</f>
        <v/>
      </c>
      <c r="F2070" s="67" t="str">
        <f>COLORES!B20</f>
        <v/>
      </c>
      <c r="G2070" s="90" t="s">
        <v>377</v>
      </c>
      <c r="H2070" s="100">
        <f>IFERROR(SUMIFS(MOVIMIENTOS_COMPLEMENTOS!$I$4:$I$803,MOVIMIENTOS_COMPLEMENTOS!$C$4:$C$803,A2070,MOVIMIENTOS_COMPLEMENTOS!$D$4:$D$803,B2070,MOVIMIENTOS_COMPLEMENTOS!$E$4:$E$803,C2070,MOVIMIENTOS_COMPLEMENTOS!$F$4:$F$803,D2070,MOVIMIENTOS_COMPLEMENTOS!$G$4:$G$803,E2070,MOVIMIENTOS_COMPLEMENTOS!$H$4:$H$803,G2070,MOVIMIENTOS_COMPLEMENTOS!$B$4:$B$803,"INGRESO")+SUMIFS(MOVIMIENTOS_COMPLEMENTOS!$I$4:$I$803,MOVIMIENTOS_COMPLEMENTOS!$C$4:$C$803,A2070,MOVIMIENTOS_COMPLEMENTOS!$D$4:$D$803,B2070,MOVIMIENTOS_COMPLEMENTOS!$E$4:$E$803,C2070,MOVIMIENTOS_COMPLEMENTOS!$F$4:$F$803,D2070,MOVIMIENTOS_COMPLEMENTOS!$G$4:$G$803,E2070,MOVIMIENTOS_COMPLEMENTOS!$H$4:$H$803,G2070,MOVIMIENTOS_COMPLEMENTOS!$B$4:$B$803,"DE CORTE")-SUMIFS(MOVIMIENTOS_COMPLEMENTOS!$I$4:$I$803,MOVIMIENTOS_COMPLEMENTOS!$C$4:$C$803,A2070,MOVIMIENTOS_COMPLEMENTOS!$D$4:$D$803,B2070,MOVIMIENTOS_COMPLEMENTOS!$E$4:$E$803,C2070,MOVIMIENTOS_COMPLEMENTOS!$F$4:$F$803,D2070,MOVIMIENTOS_COMPLEMENTOS!$G$4:$G$803,E2070,MOVIMIENTOS_COMPLEMENTOS!$H$4:$H$803,G2070,MOVIMIENTOS_COMPLEMENTOS!$B$4:$B$803,"SALIDA"),0)</f>
        <v>0</v>
      </c>
      <c r="I2070" s="102">
        <f t="array" ref="I2070">IFERROR(INDEX(PRECIOS_COMPLEMENTOS!$C$4:$F$17,MATCH(B2070&amp;"_"&amp;C2070,PRECIOS_COMPLEMENTOS!$H$4:$H$17,0),IF(OR(G2070="S",G2070="20cm"),1,IF(OR(G2070="M",G2070="25cm"),2,IF(OR(G2070="L",G2070="30cm"),3,IF(OR(G2070="XL",G2070="35cm"),4,0))))),0)</f>
        <v>0.6</v>
      </c>
      <c r="J2070" s="103">
        <f t="shared" si="1"/>
        <v>0</v>
      </c>
      <c r="K2070" s="104" t="str">
        <f>IF(H2070&lt;0,"ERROR",IF(H2070=0,"",IF(H2070&lt;CONFIG!$B$4,"CRÍTICO",IF(H2070&lt;CONFIG!$B$5,"BAJO","OK"))))</f>
        <v/>
      </c>
    </row>
    <row r="2071" ht="15.75" hidden="1" customHeight="1">
      <c r="A2071" s="90" t="str">
        <f>IF(CLIENTES!A4="","",CLIENTES!A4)</f>
        <v>OverShark</v>
      </c>
      <c r="B2071" s="90" t="s">
        <v>331</v>
      </c>
      <c r="C2071" s="91" t="s">
        <v>328</v>
      </c>
      <c r="D2071" s="109" t="s">
        <v>366</v>
      </c>
      <c r="E2071" s="67" t="str">
        <f>COLORES!A20</f>
        <v/>
      </c>
      <c r="F2071" s="67" t="str">
        <f>COLORES!B20</f>
        <v/>
      </c>
      <c r="G2071" s="90" t="s">
        <v>379</v>
      </c>
      <c r="H2071" s="100">
        <f>IFERROR(SUMIFS(MOVIMIENTOS_COMPLEMENTOS!$I$4:$I$803,MOVIMIENTOS_COMPLEMENTOS!$C$4:$C$803,A2071,MOVIMIENTOS_COMPLEMENTOS!$D$4:$D$803,B2071,MOVIMIENTOS_COMPLEMENTOS!$E$4:$E$803,C2071,MOVIMIENTOS_COMPLEMENTOS!$F$4:$F$803,D2071,MOVIMIENTOS_COMPLEMENTOS!$G$4:$G$803,E2071,MOVIMIENTOS_COMPLEMENTOS!$H$4:$H$803,G2071,MOVIMIENTOS_COMPLEMENTOS!$B$4:$B$803,"INGRESO")+SUMIFS(MOVIMIENTOS_COMPLEMENTOS!$I$4:$I$803,MOVIMIENTOS_COMPLEMENTOS!$C$4:$C$803,A2071,MOVIMIENTOS_COMPLEMENTOS!$D$4:$D$803,B2071,MOVIMIENTOS_COMPLEMENTOS!$E$4:$E$803,C2071,MOVIMIENTOS_COMPLEMENTOS!$F$4:$F$803,D2071,MOVIMIENTOS_COMPLEMENTOS!$G$4:$G$803,E2071,MOVIMIENTOS_COMPLEMENTOS!$H$4:$H$803,G2071,MOVIMIENTOS_COMPLEMENTOS!$B$4:$B$803,"DE CORTE")-SUMIFS(MOVIMIENTOS_COMPLEMENTOS!$I$4:$I$803,MOVIMIENTOS_COMPLEMENTOS!$C$4:$C$803,A2071,MOVIMIENTOS_COMPLEMENTOS!$D$4:$D$803,B2071,MOVIMIENTOS_COMPLEMENTOS!$E$4:$E$803,C2071,MOVIMIENTOS_COMPLEMENTOS!$F$4:$F$803,D2071,MOVIMIENTOS_COMPLEMENTOS!$G$4:$G$803,E2071,MOVIMIENTOS_COMPLEMENTOS!$H$4:$H$803,G2071,MOVIMIENTOS_COMPLEMENTOS!$B$4:$B$803,"SALIDA"),0)</f>
        <v>0</v>
      </c>
      <c r="I2071" s="102">
        <f t="array" ref="I2071">IFERROR(INDEX(PRECIOS_COMPLEMENTOS!$C$4:$F$17,MATCH(B2071&amp;"_"&amp;C2071,PRECIOS_COMPLEMENTOS!$H$4:$H$17,0),IF(OR(G2071="S",G2071="20cm"),1,IF(OR(G2071="M",G2071="25cm"),2,IF(OR(G2071="L",G2071="30cm"),3,IF(OR(G2071="XL",G2071="35cm"),4,0))))),0)</f>
        <v>0.6</v>
      </c>
      <c r="J2071" s="103">
        <f t="shared" si="1"/>
        <v>0</v>
      </c>
      <c r="K2071" s="104" t="str">
        <f>IF(H2071&lt;0,"ERROR",IF(H2071=0,"",IF(H2071&lt;CONFIG!$B$4,"CRÍTICO",IF(H2071&lt;CONFIG!$B$5,"BAJO","OK"))))</f>
        <v/>
      </c>
    </row>
    <row r="2072" ht="15.75" hidden="1" customHeight="1">
      <c r="A2072" s="90" t="str">
        <f>IF(CLIENTES!A4="","",CLIENTES!A4)</f>
        <v>OverShark</v>
      </c>
      <c r="B2072" s="90" t="s">
        <v>331</v>
      </c>
      <c r="C2072" s="91" t="s">
        <v>328</v>
      </c>
      <c r="D2072" s="109" t="s">
        <v>366</v>
      </c>
      <c r="E2072" s="67" t="str">
        <f>COLORES!A21</f>
        <v/>
      </c>
      <c r="F2072" s="67" t="str">
        <f>COLORES!B21</f>
        <v/>
      </c>
      <c r="G2072" s="90" t="s">
        <v>378</v>
      </c>
      <c r="H2072" s="100">
        <f>IFERROR(SUMIFS(MOVIMIENTOS_COMPLEMENTOS!$I$4:$I$803,MOVIMIENTOS_COMPLEMENTOS!$C$4:$C$803,A2072,MOVIMIENTOS_COMPLEMENTOS!$D$4:$D$803,B2072,MOVIMIENTOS_COMPLEMENTOS!$E$4:$E$803,C2072,MOVIMIENTOS_COMPLEMENTOS!$F$4:$F$803,D2072,MOVIMIENTOS_COMPLEMENTOS!$G$4:$G$803,E2072,MOVIMIENTOS_COMPLEMENTOS!$H$4:$H$803,G2072,MOVIMIENTOS_COMPLEMENTOS!$B$4:$B$803,"INGRESO")+SUMIFS(MOVIMIENTOS_COMPLEMENTOS!$I$4:$I$803,MOVIMIENTOS_COMPLEMENTOS!$C$4:$C$803,A2072,MOVIMIENTOS_COMPLEMENTOS!$D$4:$D$803,B2072,MOVIMIENTOS_COMPLEMENTOS!$E$4:$E$803,C2072,MOVIMIENTOS_COMPLEMENTOS!$F$4:$F$803,D2072,MOVIMIENTOS_COMPLEMENTOS!$G$4:$G$803,E2072,MOVIMIENTOS_COMPLEMENTOS!$H$4:$H$803,G2072,MOVIMIENTOS_COMPLEMENTOS!$B$4:$B$803,"DE CORTE")-SUMIFS(MOVIMIENTOS_COMPLEMENTOS!$I$4:$I$803,MOVIMIENTOS_COMPLEMENTOS!$C$4:$C$803,A2072,MOVIMIENTOS_COMPLEMENTOS!$D$4:$D$803,B2072,MOVIMIENTOS_COMPLEMENTOS!$E$4:$E$803,C2072,MOVIMIENTOS_COMPLEMENTOS!$F$4:$F$803,D2072,MOVIMIENTOS_COMPLEMENTOS!$G$4:$G$803,E2072,MOVIMIENTOS_COMPLEMENTOS!$H$4:$H$803,G2072,MOVIMIENTOS_COMPLEMENTOS!$B$4:$B$803,"SALIDA"),0)</f>
        <v>0</v>
      </c>
      <c r="I2072" s="102">
        <f t="array" ref="I2072">IFERROR(INDEX(PRECIOS_COMPLEMENTOS!$C$4:$F$17,MATCH(B2072&amp;"_"&amp;C2072,PRECIOS_COMPLEMENTOS!$H$4:$H$17,0),IF(OR(G2072="S",G2072="20cm"),1,IF(OR(G2072="M",G2072="25cm"),2,IF(OR(G2072="L",G2072="30cm"),3,IF(OR(G2072="XL",G2072="35cm"),4,0))))),0)</f>
        <v>0.6</v>
      </c>
      <c r="J2072" s="103">
        <f t="shared" si="1"/>
        <v>0</v>
      </c>
      <c r="K2072" s="104" t="str">
        <f>IF(H2072&lt;0,"ERROR",IF(H2072=0,"",IF(H2072&lt;CONFIG!$B$4,"CRÍTICO",IF(H2072&lt;CONFIG!$B$5,"BAJO","OK"))))</f>
        <v/>
      </c>
    </row>
    <row r="2073" ht="15.75" hidden="1" customHeight="1">
      <c r="A2073" s="90" t="str">
        <f>IF(CLIENTES!A4="","",CLIENTES!A4)</f>
        <v>OverShark</v>
      </c>
      <c r="B2073" s="90" t="s">
        <v>331</v>
      </c>
      <c r="C2073" s="91" t="s">
        <v>328</v>
      </c>
      <c r="D2073" s="109" t="s">
        <v>366</v>
      </c>
      <c r="E2073" s="67" t="str">
        <f>COLORES!A21</f>
        <v/>
      </c>
      <c r="F2073" s="67" t="str">
        <f>COLORES!B21</f>
        <v/>
      </c>
      <c r="G2073" s="90" t="s">
        <v>376</v>
      </c>
      <c r="H2073" s="100">
        <f>IFERROR(SUMIFS(MOVIMIENTOS_COMPLEMENTOS!$I$4:$I$803,MOVIMIENTOS_COMPLEMENTOS!$C$4:$C$803,A2073,MOVIMIENTOS_COMPLEMENTOS!$D$4:$D$803,B2073,MOVIMIENTOS_COMPLEMENTOS!$E$4:$E$803,C2073,MOVIMIENTOS_COMPLEMENTOS!$F$4:$F$803,D2073,MOVIMIENTOS_COMPLEMENTOS!$G$4:$G$803,E2073,MOVIMIENTOS_COMPLEMENTOS!$H$4:$H$803,G2073,MOVIMIENTOS_COMPLEMENTOS!$B$4:$B$803,"INGRESO")+SUMIFS(MOVIMIENTOS_COMPLEMENTOS!$I$4:$I$803,MOVIMIENTOS_COMPLEMENTOS!$C$4:$C$803,A2073,MOVIMIENTOS_COMPLEMENTOS!$D$4:$D$803,B2073,MOVIMIENTOS_COMPLEMENTOS!$E$4:$E$803,C2073,MOVIMIENTOS_COMPLEMENTOS!$F$4:$F$803,D2073,MOVIMIENTOS_COMPLEMENTOS!$G$4:$G$803,E2073,MOVIMIENTOS_COMPLEMENTOS!$H$4:$H$803,G2073,MOVIMIENTOS_COMPLEMENTOS!$B$4:$B$803,"DE CORTE")-SUMIFS(MOVIMIENTOS_COMPLEMENTOS!$I$4:$I$803,MOVIMIENTOS_COMPLEMENTOS!$C$4:$C$803,A2073,MOVIMIENTOS_COMPLEMENTOS!$D$4:$D$803,B2073,MOVIMIENTOS_COMPLEMENTOS!$E$4:$E$803,C2073,MOVIMIENTOS_COMPLEMENTOS!$F$4:$F$803,D2073,MOVIMIENTOS_COMPLEMENTOS!$G$4:$G$803,E2073,MOVIMIENTOS_COMPLEMENTOS!$H$4:$H$803,G2073,MOVIMIENTOS_COMPLEMENTOS!$B$4:$B$803,"SALIDA"),0)</f>
        <v>0</v>
      </c>
      <c r="I2073" s="102">
        <f t="array" ref="I2073">IFERROR(INDEX(PRECIOS_COMPLEMENTOS!$C$4:$F$17,MATCH(B2073&amp;"_"&amp;C2073,PRECIOS_COMPLEMENTOS!$H$4:$H$17,0),IF(OR(G2073="S",G2073="20cm"),1,IF(OR(G2073="M",G2073="25cm"),2,IF(OR(G2073="L",G2073="30cm"),3,IF(OR(G2073="XL",G2073="35cm"),4,0))))),0)</f>
        <v>0.6</v>
      </c>
      <c r="J2073" s="103">
        <f t="shared" si="1"/>
        <v>0</v>
      </c>
      <c r="K2073" s="104" t="str">
        <f>IF(H2073&lt;0,"ERROR",IF(H2073=0,"",IF(H2073&lt;CONFIG!$B$4,"CRÍTICO",IF(H2073&lt;CONFIG!$B$5,"BAJO","OK"))))</f>
        <v/>
      </c>
    </row>
    <row r="2074" ht="15.75" hidden="1" customHeight="1">
      <c r="A2074" s="90" t="str">
        <f>IF(CLIENTES!A4="","",CLIENTES!A4)</f>
        <v>OverShark</v>
      </c>
      <c r="B2074" s="90" t="s">
        <v>331</v>
      </c>
      <c r="C2074" s="91" t="s">
        <v>328</v>
      </c>
      <c r="D2074" s="109" t="s">
        <v>366</v>
      </c>
      <c r="E2074" s="67" t="str">
        <f>COLORES!A21</f>
        <v/>
      </c>
      <c r="F2074" s="67" t="str">
        <f>COLORES!B21</f>
        <v/>
      </c>
      <c r="G2074" s="90" t="s">
        <v>377</v>
      </c>
      <c r="H2074" s="100">
        <f>IFERROR(SUMIFS(MOVIMIENTOS_COMPLEMENTOS!$I$4:$I$803,MOVIMIENTOS_COMPLEMENTOS!$C$4:$C$803,A2074,MOVIMIENTOS_COMPLEMENTOS!$D$4:$D$803,B2074,MOVIMIENTOS_COMPLEMENTOS!$E$4:$E$803,C2074,MOVIMIENTOS_COMPLEMENTOS!$F$4:$F$803,D2074,MOVIMIENTOS_COMPLEMENTOS!$G$4:$G$803,E2074,MOVIMIENTOS_COMPLEMENTOS!$H$4:$H$803,G2074,MOVIMIENTOS_COMPLEMENTOS!$B$4:$B$803,"INGRESO")+SUMIFS(MOVIMIENTOS_COMPLEMENTOS!$I$4:$I$803,MOVIMIENTOS_COMPLEMENTOS!$C$4:$C$803,A2074,MOVIMIENTOS_COMPLEMENTOS!$D$4:$D$803,B2074,MOVIMIENTOS_COMPLEMENTOS!$E$4:$E$803,C2074,MOVIMIENTOS_COMPLEMENTOS!$F$4:$F$803,D2074,MOVIMIENTOS_COMPLEMENTOS!$G$4:$G$803,E2074,MOVIMIENTOS_COMPLEMENTOS!$H$4:$H$803,G2074,MOVIMIENTOS_COMPLEMENTOS!$B$4:$B$803,"DE CORTE")-SUMIFS(MOVIMIENTOS_COMPLEMENTOS!$I$4:$I$803,MOVIMIENTOS_COMPLEMENTOS!$C$4:$C$803,A2074,MOVIMIENTOS_COMPLEMENTOS!$D$4:$D$803,B2074,MOVIMIENTOS_COMPLEMENTOS!$E$4:$E$803,C2074,MOVIMIENTOS_COMPLEMENTOS!$F$4:$F$803,D2074,MOVIMIENTOS_COMPLEMENTOS!$G$4:$G$803,E2074,MOVIMIENTOS_COMPLEMENTOS!$H$4:$H$803,G2074,MOVIMIENTOS_COMPLEMENTOS!$B$4:$B$803,"SALIDA"),0)</f>
        <v>0</v>
      </c>
      <c r="I2074" s="102">
        <f t="array" ref="I2074">IFERROR(INDEX(PRECIOS_COMPLEMENTOS!$C$4:$F$17,MATCH(B2074&amp;"_"&amp;C2074,PRECIOS_COMPLEMENTOS!$H$4:$H$17,0),IF(OR(G2074="S",G2074="20cm"),1,IF(OR(G2074="M",G2074="25cm"),2,IF(OR(G2074="L",G2074="30cm"),3,IF(OR(G2074="XL",G2074="35cm"),4,0))))),0)</f>
        <v>0.6</v>
      </c>
      <c r="J2074" s="103">
        <f t="shared" si="1"/>
        <v>0</v>
      </c>
      <c r="K2074" s="104" t="str">
        <f>IF(H2074&lt;0,"ERROR",IF(H2074=0,"",IF(H2074&lt;CONFIG!$B$4,"CRÍTICO",IF(H2074&lt;CONFIG!$B$5,"BAJO","OK"))))</f>
        <v/>
      </c>
    </row>
    <row r="2075" ht="15.75" hidden="1" customHeight="1">
      <c r="A2075" s="90" t="str">
        <f>IF(CLIENTES!A4="","",CLIENTES!A4)</f>
        <v>OverShark</v>
      </c>
      <c r="B2075" s="90" t="s">
        <v>331</v>
      </c>
      <c r="C2075" s="91" t="s">
        <v>328</v>
      </c>
      <c r="D2075" s="109" t="s">
        <v>366</v>
      </c>
      <c r="E2075" s="67" t="str">
        <f>COLORES!A21</f>
        <v/>
      </c>
      <c r="F2075" s="67" t="str">
        <f>COLORES!B21</f>
        <v/>
      </c>
      <c r="G2075" s="90" t="s">
        <v>379</v>
      </c>
      <c r="H2075" s="100">
        <f>IFERROR(SUMIFS(MOVIMIENTOS_COMPLEMENTOS!$I$4:$I$803,MOVIMIENTOS_COMPLEMENTOS!$C$4:$C$803,A2075,MOVIMIENTOS_COMPLEMENTOS!$D$4:$D$803,B2075,MOVIMIENTOS_COMPLEMENTOS!$E$4:$E$803,C2075,MOVIMIENTOS_COMPLEMENTOS!$F$4:$F$803,D2075,MOVIMIENTOS_COMPLEMENTOS!$G$4:$G$803,E2075,MOVIMIENTOS_COMPLEMENTOS!$H$4:$H$803,G2075,MOVIMIENTOS_COMPLEMENTOS!$B$4:$B$803,"INGRESO")+SUMIFS(MOVIMIENTOS_COMPLEMENTOS!$I$4:$I$803,MOVIMIENTOS_COMPLEMENTOS!$C$4:$C$803,A2075,MOVIMIENTOS_COMPLEMENTOS!$D$4:$D$803,B2075,MOVIMIENTOS_COMPLEMENTOS!$E$4:$E$803,C2075,MOVIMIENTOS_COMPLEMENTOS!$F$4:$F$803,D2075,MOVIMIENTOS_COMPLEMENTOS!$G$4:$G$803,E2075,MOVIMIENTOS_COMPLEMENTOS!$H$4:$H$803,G2075,MOVIMIENTOS_COMPLEMENTOS!$B$4:$B$803,"DE CORTE")-SUMIFS(MOVIMIENTOS_COMPLEMENTOS!$I$4:$I$803,MOVIMIENTOS_COMPLEMENTOS!$C$4:$C$803,A2075,MOVIMIENTOS_COMPLEMENTOS!$D$4:$D$803,B2075,MOVIMIENTOS_COMPLEMENTOS!$E$4:$E$803,C2075,MOVIMIENTOS_COMPLEMENTOS!$F$4:$F$803,D2075,MOVIMIENTOS_COMPLEMENTOS!$G$4:$G$803,E2075,MOVIMIENTOS_COMPLEMENTOS!$H$4:$H$803,G2075,MOVIMIENTOS_COMPLEMENTOS!$B$4:$B$803,"SALIDA"),0)</f>
        <v>0</v>
      </c>
      <c r="I2075" s="102">
        <f t="array" ref="I2075">IFERROR(INDEX(PRECIOS_COMPLEMENTOS!$C$4:$F$17,MATCH(B2075&amp;"_"&amp;C2075,PRECIOS_COMPLEMENTOS!$H$4:$H$17,0),IF(OR(G2075="S",G2075="20cm"),1,IF(OR(G2075="M",G2075="25cm"),2,IF(OR(G2075="L",G2075="30cm"),3,IF(OR(G2075="XL",G2075="35cm"),4,0))))),0)</f>
        <v>0.6</v>
      </c>
      <c r="J2075" s="103">
        <f t="shared" si="1"/>
        <v>0</v>
      </c>
      <c r="K2075" s="104" t="str">
        <f>IF(H2075&lt;0,"ERROR",IF(H2075=0,"",IF(H2075&lt;CONFIG!$B$4,"CRÍTICO",IF(H2075&lt;CONFIG!$B$5,"BAJO","OK"))))</f>
        <v/>
      </c>
    </row>
    <row r="2076" ht="15.75" hidden="1" customHeight="1">
      <c r="A2076" s="90" t="str">
        <f>IF(CLIENTES!A4="","",CLIENTES!A4)</f>
        <v>OverShark</v>
      </c>
      <c r="B2076" s="90" t="s">
        <v>331</v>
      </c>
      <c r="C2076" s="91" t="s">
        <v>328</v>
      </c>
      <c r="D2076" s="109" t="s">
        <v>366</v>
      </c>
      <c r="E2076" s="67" t="str">
        <f>COLORES!A22</f>
        <v/>
      </c>
      <c r="F2076" s="67" t="str">
        <f>COLORES!B22</f>
        <v/>
      </c>
      <c r="G2076" s="90" t="s">
        <v>378</v>
      </c>
      <c r="H2076" s="100">
        <f>IFERROR(SUMIFS(MOVIMIENTOS_COMPLEMENTOS!$I$4:$I$803,MOVIMIENTOS_COMPLEMENTOS!$C$4:$C$803,A2076,MOVIMIENTOS_COMPLEMENTOS!$D$4:$D$803,B2076,MOVIMIENTOS_COMPLEMENTOS!$E$4:$E$803,C2076,MOVIMIENTOS_COMPLEMENTOS!$F$4:$F$803,D2076,MOVIMIENTOS_COMPLEMENTOS!$G$4:$G$803,E2076,MOVIMIENTOS_COMPLEMENTOS!$H$4:$H$803,G2076,MOVIMIENTOS_COMPLEMENTOS!$B$4:$B$803,"INGRESO")+SUMIFS(MOVIMIENTOS_COMPLEMENTOS!$I$4:$I$803,MOVIMIENTOS_COMPLEMENTOS!$C$4:$C$803,A2076,MOVIMIENTOS_COMPLEMENTOS!$D$4:$D$803,B2076,MOVIMIENTOS_COMPLEMENTOS!$E$4:$E$803,C2076,MOVIMIENTOS_COMPLEMENTOS!$F$4:$F$803,D2076,MOVIMIENTOS_COMPLEMENTOS!$G$4:$G$803,E2076,MOVIMIENTOS_COMPLEMENTOS!$H$4:$H$803,G2076,MOVIMIENTOS_COMPLEMENTOS!$B$4:$B$803,"DE CORTE")-SUMIFS(MOVIMIENTOS_COMPLEMENTOS!$I$4:$I$803,MOVIMIENTOS_COMPLEMENTOS!$C$4:$C$803,A2076,MOVIMIENTOS_COMPLEMENTOS!$D$4:$D$803,B2076,MOVIMIENTOS_COMPLEMENTOS!$E$4:$E$803,C2076,MOVIMIENTOS_COMPLEMENTOS!$F$4:$F$803,D2076,MOVIMIENTOS_COMPLEMENTOS!$G$4:$G$803,E2076,MOVIMIENTOS_COMPLEMENTOS!$H$4:$H$803,G2076,MOVIMIENTOS_COMPLEMENTOS!$B$4:$B$803,"SALIDA"),0)</f>
        <v>0</v>
      </c>
      <c r="I2076" s="102">
        <f t="array" ref="I2076">IFERROR(INDEX(PRECIOS_COMPLEMENTOS!$C$4:$F$17,MATCH(B2076&amp;"_"&amp;C2076,PRECIOS_COMPLEMENTOS!$H$4:$H$17,0),IF(OR(G2076="S",G2076="20cm"),1,IF(OR(G2076="M",G2076="25cm"),2,IF(OR(G2076="L",G2076="30cm"),3,IF(OR(G2076="XL",G2076="35cm"),4,0))))),0)</f>
        <v>0.6</v>
      </c>
      <c r="J2076" s="103">
        <f t="shared" si="1"/>
        <v>0</v>
      </c>
      <c r="K2076" s="104" t="str">
        <f>IF(H2076&lt;0,"ERROR",IF(H2076=0,"",IF(H2076&lt;CONFIG!$B$4,"CRÍTICO",IF(H2076&lt;CONFIG!$B$5,"BAJO","OK"))))</f>
        <v/>
      </c>
    </row>
    <row r="2077" ht="15.75" hidden="1" customHeight="1">
      <c r="A2077" s="90" t="str">
        <f>IF(CLIENTES!A4="","",CLIENTES!A4)</f>
        <v>OverShark</v>
      </c>
      <c r="B2077" s="90" t="s">
        <v>331</v>
      </c>
      <c r="C2077" s="91" t="s">
        <v>328</v>
      </c>
      <c r="D2077" s="109" t="s">
        <v>366</v>
      </c>
      <c r="E2077" s="67" t="str">
        <f>COLORES!A22</f>
        <v/>
      </c>
      <c r="F2077" s="67" t="str">
        <f>COLORES!B22</f>
        <v/>
      </c>
      <c r="G2077" s="90" t="s">
        <v>376</v>
      </c>
      <c r="H2077" s="100">
        <f>IFERROR(SUMIFS(MOVIMIENTOS_COMPLEMENTOS!$I$4:$I$803,MOVIMIENTOS_COMPLEMENTOS!$C$4:$C$803,A2077,MOVIMIENTOS_COMPLEMENTOS!$D$4:$D$803,B2077,MOVIMIENTOS_COMPLEMENTOS!$E$4:$E$803,C2077,MOVIMIENTOS_COMPLEMENTOS!$F$4:$F$803,D2077,MOVIMIENTOS_COMPLEMENTOS!$G$4:$G$803,E2077,MOVIMIENTOS_COMPLEMENTOS!$H$4:$H$803,G2077,MOVIMIENTOS_COMPLEMENTOS!$B$4:$B$803,"INGRESO")+SUMIFS(MOVIMIENTOS_COMPLEMENTOS!$I$4:$I$803,MOVIMIENTOS_COMPLEMENTOS!$C$4:$C$803,A2077,MOVIMIENTOS_COMPLEMENTOS!$D$4:$D$803,B2077,MOVIMIENTOS_COMPLEMENTOS!$E$4:$E$803,C2077,MOVIMIENTOS_COMPLEMENTOS!$F$4:$F$803,D2077,MOVIMIENTOS_COMPLEMENTOS!$G$4:$G$803,E2077,MOVIMIENTOS_COMPLEMENTOS!$H$4:$H$803,G2077,MOVIMIENTOS_COMPLEMENTOS!$B$4:$B$803,"DE CORTE")-SUMIFS(MOVIMIENTOS_COMPLEMENTOS!$I$4:$I$803,MOVIMIENTOS_COMPLEMENTOS!$C$4:$C$803,A2077,MOVIMIENTOS_COMPLEMENTOS!$D$4:$D$803,B2077,MOVIMIENTOS_COMPLEMENTOS!$E$4:$E$803,C2077,MOVIMIENTOS_COMPLEMENTOS!$F$4:$F$803,D2077,MOVIMIENTOS_COMPLEMENTOS!$G$4:$G$803,E2077,MOVIMIENTOS_COMPLEMENTOS!$H$4:$H$803,G2077,MOVIMIENTOS_COMPLEMENTOS!$B$4:$B$803,"SALIDA"),0)</f>
        <v>0</v>
      </c>
      <c r="I2077" s="102">
        <f t="array" ref="I2077">IFERROR(INDEX(PRECIOS_COMPLEMENTOS!$C$4:$F$17,MATCH(B2077&amp;"_"&amp;C2077,PRECIOS_COMPLEMENTOS!$H$4:$H$17,0),IF(OR(G2077="S",G2077="20cm"),1,IF(OR(G2077="M",G2077="25cm"),2,IF(OR(G2077="L",G2077="30cm"),3,IF(OR(G2077="XL",G2077="35cm"),4,0))))),0)</f>
        <v>0.6</v>
      </c>
      <c r="J2077" s="103">
        <f t="shared" si="1"/>
        <v>0</v>
      </c>
      <c r="K2077" s="104" t="str">
        <f>IF(H2077&lt;0,"ERROR",IF(H2077=0,"",IF(H2077&lt;CONFIG!$B$4,"CRÍTICO",IF(H2077&lt;CONFIG!$B$5,"BAJO","OK"))))</f>
        <v/>
      </c>
    </row>
    <row r="2078" ht="15.75" hidden="1" customHeight="1">
      <c r="A2078" s="90" t="str">
        <f>IF(CLIENTES!A4="","",CLIENTES!A4)</f>
        <v>OverShark</v>
      </c>
      <c r="B2078" s="90" t="s">
        <v>331</v>
      </c>
      <c r="C2078" s="91" t="s">
        <v>328</v>
      </c>
      <c r="D2078" s="109" t="s">
        <v>366</v>
      </c>
      <c r="E2078" s="67" t="str">
        <f>COLORES!A22</f>
        <v/>
      </c>
      <c r="F2078" s="67" t="str">
        <f>COLORES!B22</f>
        <v/>
      </c>
      <c r="G2078" s="90" t="s">
        <v>377</v>
      </c>
      <c r="H2078" s="100">
        <f>IFERROR(SUMIFS(MOVIMIENTOS_COMPLEMENTOS!$I$4:$I$803,MOVIMIENTOS_COMPLEMENTOS!$C$4:$C$803,A2078,MOVIMIENTOS_COMPLEMENTOS!$D$4:$D$803,B2078,MOVIMIENTOS_COMPLEMENTOS!$E$4:$E$803,C2078,MOVIMIENTOS_COMPLEMENTOS!$F$4:$F$803,D2078,MOVIMIENTOS_COMPLEMENTOS!$G$4:$G$803,E2078,MOVIMIENTOS_COMPLEMENTOS!$H$4:$H$803,G2078,MOVIMIENTOS_COMPLEMENTOS!$B$4:$B$803,"INGRESO")+SUMIFS(MOVIMIENTOS_COMPLEMENTOS!$I$4:$I$803,MOVIMIENTOS_COMPLEMENTOS!$C$4:$C$803,A2078,MOVIMIENTOS_COMPLEMENTOS!$D$4:$D$803,B2078,MOVIMIENTOS_COMPLEMENTOS!$E$4:$E$803,C2078,MOVIMIENTOS_COMPLEMENTOS!$F$4:$F$803,D2078,MOVIMIENTOS_COMPLEMENTOS!$G$4:$G$803,E2078,MOVIMIENTOS_COMPLEMENTOS!$H$4:$H$803,G2078,MOVIMIENTOS_COMPLEMENTOS!$B$4:$B$803,"DE CORTE")-SUMIFS(MOVIMIENTOS_COMPLEMENTOS!$I$4:$I$803,MOVIMIENTOS_COMPLEMENTOS!$C$4:$C$803,A2078,MOVIMIENTOS_COMPLEMENTOS!$D$4:$D$803,B2078,MOVIMIENTOS_COMPLEMENTOS!$E$4:$E$803,C2078,MOVIMIENTOS_COMPLEMENTOS!$F$4:$F$803,D2078,MOVIMIENTOS_COMPLEMENTOS!$G$4:$G$803,E2078,MOVIMIENTOS_COMPLEMENTOS!$H$4:$H$803,G2078,MOVIMIENTOS_COMPLEMENTOS!$B$4:$B$803,"SALIDA"),0)</f>
        <v>0</v>
      </c>
      <c r="I2078" s="102">
        <f t="array" ref="I2078">IFERROR(INDEX(PRECIOS_COMPLEMENTOS!$C$4:$F$17,MATCH(B2078&amp;"_"&amp;C2078,PRECIOS_COMPLEMENTOS!$H$4:$H$17,0),IF(OR(G2078="S",G2078="20cm"),1,IF(OR(G2078="M",G2078="25cm"),2,IF(OR(G2078="L",G2078="30cm"),3,IF(OR(G2078="XL",G2078="35cm"),4,0))))),0)</f>
        <v>0.6</v>
      </c>
      <c r="J2078" s="103">
        <f t="shared" si="1"/>
        <v>0</v>
      </c>
      <c r="K2078" s="104" t="str">
        <f>IF(H2078&lt;0,"ERROR",IF(H2078=0,"",IF(H2078&lt;CONFIG!$B$4,"CRÍTICO",IF(H2078&lt;CONFIG!$B$5,"BAJO","OK"))))</f>
        <v/>
      </c>
    </row>
    <row r="2079" ht="15.75" hidden="1" customHeight="1">
      <c r="A2079" s="90" t="str">
        <f>IF(CLIENTES!A4="","",CLIENTES!A4)</f>
        <v>OverShark</v>
      </c>
      <c r="B2079" s="90" t="s">
        <v>331</v>
      </c>
      <c r="C2079" s="91" t="s">
        <v>328</v>
      </c>
      <c r="D2079" s="109" t="s">
        <v>366</v>
      </c>
      <c r="E2079" s="67" t="str">
        <f>COLORES!A22</f>
        <v/>
      </c>
      <c r="F2079" s="67" t="str">
        <f>COLORES!B22</f>
        <v/>
      </c>
      <c r="G2079" s="90" t="s">
        <v>379</v>
      </c>
      <c r="H2079" s="100">
        <f>IFERROR(SUMIFS(MOVIMIENTOS_COMPLEMENTOS!$I$4:$I$803,MOVIMIENTOS_COMPLEMENTOS!$C$4:$C$803,A2079,MOVIMIENTOS_COMPLEMENTOS!$D$4:$D$803,B2079,MOVIMIENTOS_COMPLEMENTOS!$E$4:$E$803,C2079,MOVIMIENTOS_COMPLEMENTOS!$F$4:$F$803,D2079,MOVIMIENTOS_COMPLEMENTOS!$G$4:$G$803,E2079,MOVIMIENTOS_COMPLEMENTOS!$H$4:$H$803,G2079,MOVIMIENTOS_COMPLEMENTOS!$B$4:$B$803,"INGRESO")+SUMIFS(MOVIMIENTOS_COMPLEMENTOS!$I$4:$I$803,MOVIMIENTOS_COMPLEMENTOS!$C$4:$C$803,A2079,MOVIMIENTOS_COMPLEMENTOS!$D$4:$D$803,B2079,MOVIMIENTOS_COMPLEMENTOS!$E$4:$E$803,C2079,MOVIMIENTOS_COMPLEMENTOS!$F$4:$F$803,D2079,MOVIMIENTOS_COMPLEMENTOS!$G$4:$G$803,E2079,MOVIMIENTOS_COMPLEMENTOS!$H$4:$H$803,G2079,MOVIMIENTOS_COMPLEMENTOS!$B$4:$B$803,"DE CORTE")-SUMIFS(MOVIMIENTOS_COMPLEMENTOS!$I$4:$I$803,MOVIMIENTOS_COMPLEMENTOS!$C$4:$C$803,A2079,MOVIMIENTOS_COMPLEMENTOS!$D$4:$D$803,B2079,MOVIMIENTOS_COMPLEMENTOS!$E$4:$E$803,C2079,MOVIMIENTOS_COMPLEMENTOS!$F$4:$F$803,D2079,MOVIMIENTOS_COMPLEMENTOS!$G$4:$G$803,E2079,MOVIMIENTOS_COMPLEMENTOS!$H$4:$H$803,G2079,MOVIMIENTOS_COMPLEMENTOS!$B$4:$B$803,"SALIDA"),0)</f>
        <v>0</v>
      </c>
      <c r="I2079" s="102">
        <f t="array" ref="I2079">IFERROR(INDEX(PRECIOS_COMPLEMENTOS!$C$4:$F$17,MATCH(B2079&amp;"_"&amp;C2079,PRECIOS_COMPLEMENTOS!$H$4:$H$17,0),IF(OR(G2079="S",G2079="20cm"),1,IF(OR(G2079="M",G2079="25cm"),2,IF(OR(G2079="L",G2079="30cm"),3,IF(OR(G2079="XL",G2079="35cm"),4,0))))),0)</f>
        <v>0.6</v>
      </c>
      <c r="J2079" s="103">
        <f t="shared" si="1"/>
        <v>0</v>
      </c>
      <c r="K2079" s="104" t="str">
        <f>IF(H2079&lt;0,"ERROR",IF(H2079=0,"",IF(H2079&lt;CONFIG!$B$4,"CRÍTICO",IF(H2079&lt;CONFIG!$B$5,"BAJO","OK"))))</f>
        <v/>
      </c>
    </row>
    <row r="2080" ht="15.75" hidden="1" customHeight="1">
      <c r="A2080" s="90" t="str">
        <f>IF(CLIENTES!A4="","",CLIENTES!A4)</f>
        <v>OverShark</v>
      </c>
      <c r="B2080" s="90" t="s">
        <v>331</v>
      </c>
      <c r="C2080" s="91" t="s">
        <v>328</v>
      </c>
      <c r="D2080" s="109" t="s">
        <v>366</v>
      </c>
      <c r="E2080" s="67" t="str">
        <f>COLORES!A23</f>
        <v/>
      </c>
      <c r="F2080" s="67" t="str">
        <f>COLORES!B23</f>
        <v/>
      </c>
      <c r="G2080" s="90" t="s">
        <v>378</v>
      </c>
      <c r="H2080" s="100">
        <f>IFERROR(SUMIFS(MOVIMIENTOS_COMPLEMENTOS!$I$4:$I$803,MOVIMIENTOS_COMPLEMENTOS!$C$4:$C$803,A2080,MOVIMIENTOS_COMPLEMENTOS!$D$4:$D$803,B2080,MOVIMIENTOS_COMPLEMENTOS!$E$4:$E$803,C2080,MOVIMIENTOS_COMPLEMENTOS!$F$4:$F$803,D2080,MOVIMIENTOS_COMPLEMENTOS!$G$4:$G$803,E2080,MOVIMIENTOS_COMPLEMENTOS!$H$4:$H$803,G2080,MOVIMIENTOS_COMPLEMENTOS!$B$4:$B$803,"INGRESO")+SUMIFS(MOVIMIENTOS_COMPLEMENTOS!$I$4:$I$803,MOVIMIENTOS_COMPLEMENTOS!$C$4:$C$803,A2080,MOVIMIENTOS_COMPLEMENTOS!$D$4:$D$803,B2080,MOVIMIENTOS_COMPLEMENTOS!$E$4:$E$803,C2080,MOVIMIENTOS_COMPLEMENTOS!$F$4:$F$803,D2080,MOVIMIENTOS_COMPLEMENTOS!$G$4:$G$803,E2080,MOVIMIENTOS_COMPLEMENTOS!$H$4:$H$803,G2080,MOVIMIENTOS_COMPLEMENTOS!$B$4:$B$803,"DE CORTE")-SUMIFS(MOVIMIENTOS_COMPLEMENTOS!$I$4:$I$803,MOVIMIENTOS_COMPLEMENTOS!$C$4:$C$803,A2080,MOVIMIENTOS_COMPLEMENTOS!$D$4:$D$803,B2080,MOVIMIENTOS_COMPLEMENTOS!$E$4:$E$803,C2080,MOVIMIENTOS_COMPLEMENTOS!$F$4:$F$803,D2080,MOVIMIENTOS_COMPLEMENTOS!$G$4:$G$803,E2080,MOVIMIENTOS_COMPLEMENTOS!$H$4:$H$803,G2080,MOVIMIENTOS_COMPLEMENTOS!$B$4:$B$803,"SALIDA"),0)</f>
        <v>0</v>
      </c>
      <c r="I2080" s="102">
        <f t="array" ref="I2080">IFERROR(INDEX(PRECIOS_COMPLEMENTOS!$C$4:$F$17,MATCH(B2080&amp;"_"&amp;C2080,PRECIOS_COMPLEMENTOS!$H$4:$H$17,0),IF(OR(G2080="S",G2080="20cm"),1,IF(OR(G2080="M",G2080="25cm"),2,IF(OR(G2080="L",G2080="30cm"),3,IF(OR(G2080="XL",G2080="35cm"),4,0))))),0)</f>
        <v>0.6</v>
      </c>
      <c r="J2080" s="103">
        <f t="shared" si="1"/>
        <v>0</v>
      </c>
      <c r="K2080" s="104" t="str">
        <f>IF(H2080&lt;0,"ERROR",IF(H2080=0,"",IF(H2080&lt;CONFIG!$B$4,"CRÍTICO",IF(H2080&lt;CONFIG!$B$5,"BAJO","OK"))))</f>
        <v/>
      </c>
    </row>
    <row r="2081" ht="15.75" hidden="1" customHeight="1">
      <c r="A2081" s="90" t="str">
        <f>IF(CLIENTES!A4="","",CLIENTES!A4)</f>
        <v>OverShark</v>
      </c>
      <c r="B2081" s="90" t="s">
        <v>331</v>
      </c>
      <c r="C2081" s="91" t="s">
        <v>328</v>
      </c>
      <c r="D2081" s="109" t="s">
        <v>366</v>
      </c>
      <c r="E2081" s="67" t="str">
        <f>COLORES!A23</f>
        <v/>
      </c>
      <c r="F2081" s="67" t="str">
        <f>COLORES!B23</f>
        <v/>
      </c>
      <c r="G2081" s="90" t="s">
        <v>376</v>
      </c>
      <c r="H2081" s="100">
        <f>IFERROR(SUMIFS(MOVIMIENTOS_COMPLEMENTOS!$I$4:$I$803,MOVIMIENTOS_COMPLEMENTOS!$C$4:$C$803,A2081,MOVIMIENTOS_COMPLEMENTOS!$D$4:$D$803,B2081,MOVIMIENTOS_COMPLEMENTOS!$E$4:$E$803,C2081,MOVIMIENTOS_COMPLEMENTOS!$F$4:$F$803,D2081,MOVIMIENTOS_COMPLEMENTOS!$G$4:$G$803,E2081,MOVIMIENTOS_COMPLEMENTOS!$H$4:$H$803,G2081,MOVIMIENTOS_COMPLEMENTOS!$B$4:$B$803,"INGRESO")+SUMIFS(MOVIMIENTOS_COMPLEMENTOS!$I$4:$I$803,MOVIMIENTOS_COMPLEMENTOS!$C$4:$C$803,A2081,MOVIMIENTOS_COMPLEMENTOS!$D$4:$D$803,B2081,MOVIMIENTOS_COMPLEMENTOS!$E$4:$E$803,C2081,MOVIMIENTOS_COMPLEMENTOS!$F$4:$F$803,D2081,MOVIMIENTOS_COMPLEMENTOS!$G$4:$G$803,E2081,MOVIMIENTOS_COMPLEMENTOS!$H$4:$H$803,G2081,MOVIMIENTOS_COMPLEMENTOS!$B$4:$B$803,"DE CORTE")-SUMIFS(MOVIMIENTOS_COMPLEMENTOS!$I$4:$I$803,MOVIMIENTOS_COMPLEMENTOS!$C$4:$C$803,A2081,MOVIMIENTOS_COMPLEMENTOS!$D$4:$D$803,B2081,MOVIMIENTOS_COMPLEMENTOS!$E$4:$E$803,C2081,MOVIMIENTOS_COMPLEMENTOS!$F$4:$F$803,D2081,MOVIMIENTOS_COMPLEMENTOS!$G$4:$G$803,E2081,MOVIMIENTOS_COMPLEMENTOS!$H$4:$H$803,G2081,MOVIMIENTOS_COMPLEMENTOS!$B$4:$B$803,"SALIDA"),0)</f>
        <v>0</v>
      </c>
      <c r="I2081" s="102">
        <f t="array" ref="I2081">IFERROR(INDEX(PRECIOS_COMPLEMENTOS!$C$4:$F$17,MATCH(B2081&amp;"_"&amp;C2081,PRECIOS_COMPLEMENTOS!$H$4:$H$17,0),IF(OR(G2081="S",G2081="20cm"),1,IF(OR(G2081="M",G2081="25cm"),2,IF(OR(G2081="L",G2081="30cm"),3,IF(OR(G2081="XL",G2081="35cm"),4,0))))),0)</f>
        <v>0.6</v>
      </c>
      <c r="J2081" s="103">
        <f t="shared" si="1"/>
        <v>0</v>
      </c>
      <c r="K2081" s="104" t="str">
        <f>IF(H2081&lt;0,"ERROR",IF(H2081=0,"",IF(H2081&lt;CONFIG!$B$4,"CRÍTICO",IF(H2081&lt;CONFIG!$B$5,"BAJO","OK"))))</f>
        <v/>
      </c>
    </row>
    <row r="2082" ht="15.75" hidden="1" customHeight="1">
      <c r="A2082" s="90" t="str">
        <f>IF(CLIENTES!A4="","",CLIENTES!A4)</f>
        <v>OverShark</v>
      </c>
      <c r="B2082" s="90" t="s">
        <v>331</v>
      </c>
      <c r="C2082" s="91" t="s">
        <v>328</v>
      </c>
      <c r="D2082" s="109" t="s">
        <v>366</v>
      </c>
      <c r="E2082" s="67" t="str">
        <f>COLORES!A23</f>
        <v/>
      </c>
      <c r="F2082" s="67" t="str">
        <f>COLORES!B23</f>
        <v/>
      </c>
      <c r="G2082" s="90" t="s">
        <v>377</v>
      </c>
      <c r="H2082" s="100">
        <f>IFERROR(SUMIFS(MOVIMIENTOS_COMPLEMENTOS!$I$4:$I$803,MOVIMIENTOS_COMPLEMENTOS!$C$4:$C$803,A2082,MOVIMIENTOS_COMPLEMENTOS!$D$4:$D$803,B2082,MOVIMIENTOS_COMPLEMENTOS!$E$4:$E$803,C2082,MOVIMIENTOS_COMPLEMENTOS!$F$4:$F$803,D2082,MOVIMIENTOS_COMPLEMENTOS!$G$4:$G$803,E2082,MOVIMIENTOS_COMPLEMENTOS!$H$4:$H$803,G2082,MOVIMIENTOS_COMPLEMENTOS!$B$4:$B$803,"INGRESO")+SUMIFS(MOVIMIENTOS_COMPLEMENTOS!$I$4:$I$803,MOVIMIENTOS_COMPLEMENTOS!$C$4:$C$803,A2082,MOVIMIENTOS_COMPLEMENTOS!$D$4:$D$803,B2082,MOVIMIENTOS_COMPLEMENTOS!$E$4:$E$803,C2082,MOVIMIENTOS_COMPLEMENTOS!$F$4:$F$803,D2082,MOVIMIENTOS_COMPLEMENTOS!$G$4:$G$803,E2082,MOVIMIENTOS_COMPLEMENTOS!$H$4:$H$803,G2082,MOVIMIENTOS_COMPLEMENTOS!$B$4:$B$803,"DE CORTE")-SUMIFS(MOVIMIENTOS_COMPLEMENTOS!$I$4:$I$803,MOVIMIENTOS_COMPLEMENTOS!$C$4:$C$803,A2082,MOVIMIENTOS_COMPLEMENTOS!$D$4:$D$803,B2082,MOVIMIENTOS_COMPLEMENTOS!$E$4:$E$803,C2082,MOVIMIENTOS_COMPLEMENTOS!$F$4:$F$803,D2082,MOVIMIENTOS_COMPLEMENTOS!$G$4:$G$803,E2082,MOVIMIENTOS_COMPLEMENTOS!$H$4:$H$803,G2082,MOVIMIENTOS_COMPLEMENTOS!$B$4:$B$803,"SALIDA"),0)</f>
        <v>0</v>
      </c>
      <c r="I2082" s="102">
        <f t="array" ref="I2082">IFERROR(INDEX(PRECIOS_COMPLEMENTOS!$C$4:$F$17,MATCH(B2082&amp;"_"&amp;C2082,PRECIOS_COMPLEMENTOS!$H$4:$H$17,0),IF(OR(G2082="S",G2082="20cm"),1,IF(OR(G2082="M",G2082="25cm"),2,IF(OR(G2082="L",G2082="30cm"),3,IF(OR(G2082="XL",G2082="35cm"),4,0))))),0)</f>
        <v>0.6</v>
      </c>
      <c r="J2082" s="103">
        <f t="shared" si="1"/>
        <v>0</v>
      </c>
      <c r="K2082" s="104" t="str">
        <f>IF(H2082&lt;0,"ERROR",IF(H2082=0,"",IF(H2082&lt;CONFIG!$B$4,"CRÍTICO",IF(H2082&lt;CONFIG!$B$5,"BAJO","OK"))))</f>
        <v/>
      </c>
    </row>
    <row r="2083" ht="15.75" hidden="1" customHeight="1">
      <c r="A2083" s="90" t="str">
        <f>IF(CLIENTES!A4="","",CLIENTES!A4)</f>
        <v>OverShark</v>
      </c>
      <c r="B2083" s="90" t="s">
        <v>331</v>
      </c>
      <c r="C2083" s="91" t="s">
        <v>328</v>
      </c>
      <c r="D2083" s="109" t="s">
        <v>366</v>
      </c>
      <c r="E2083" s="67" t="str">
        <f>COLORES!A23</f>
        <v/>
      </c>
      <c r="F2083" s="67" t="str">
        <f>COLORES!B23</f>
        <v/>
      </c>
      <c r="G2083" s="90" t="s">
        <v>379</v>
      </c>
      <c r="H2083" s="100">
        <f>IFERROR(SUMIFS(MOVIMIENTOS_COMPLEMENTOS!$I$4:$I$803,MOVIMIENTOS_COMPLEMENTOS!$C$4:$C$803,A2083,MOVIMIENTOS_COMPLEMENTOS!$D$4:$D$803,B2083,MOVIMIENTOS_COMPLEMENTOS!$E$4:$E$803,C2083,MOVIMIENTOS_COMPLEMENTOS!$F$4:$F$803,D2083,MOVIMIENTOS_COMPLEMENTOS!$G$4:$G$803,E2083,MOVIMIENTOS_COMPLEMENTOS!$H$4:$H$803,G2083,MOVIMIENTOS_COMPLEMENTOS!$B$4:$B$803,"INGRESO")+SUMIFS(MOVIMIENTOS_COMPLEMENTOS!$I$4:$I$803,MOVIMIENTOS_COMPLEMENTOS!$C$4:$C$803,A2083,MOVIMIENTOS_COMPLEMENTOS!$D$4:$D$803,B2083,MOVIMIENTOS_COMPLEMENTOS!$E$4:$E$803,C2083,MOVIMIENTOS_COMPLEMENTOS!$F$4:$F$803,D2083,MOVIMIENTOS_COMPLEMENTOS!$G$4:$G$803,E2083,MOVIMIENTOS_COMPLEMENTOS!$H$4:$H$803,G2083,MOVIMIENTOS_COMPLEMENTOS!$B$4:$B$803,"DE CORTE")-SUMIFS(MOVIMIENTOS_COMPLEMENTOS!$I$4:$I$803,MOVIMIENTOS_COMPLEMENTOS!$C$4:$C$803,A2083,MOVIMIENTOS_COMPLEMENTOS!$D$4:$D$803,B2083,MOVIMIENTOS_COMPLEMENTOS!$E$4:$E$803,C2083,MOVIMIENTOS_COMPLEMENTOS!$F$4:$F$803,D2083,MOVIMIENTOS_COMPLEMENTOS!$G$4:$G$803,E2083,MOVIMIENTOS_COMPLEMENTOS!$H$4:$H$803,G2083,MOVIMIENTOS_COMPLEMENTOS!$B$4:$B$803,"SALIDA"),0)</f>
        <v>0</v>
      </c>
      <c r="I2083" s="102">
        <f t="array" ref="I2083">IFERROR(INDEX(PRECIOS_COMPLEMENTOS!$C$4:$F$17,MATCH(B2083&amp;"_"&amp;C2083,PRECIOS_COMPLEMENTOS!$H$4:$H$17,0),IF(OR(G2083="S",G2083="20cm"),1,IF(OR(G2083="M",G2083="25cm"),2,IF(OR(G2083="L",G2083="30cm"),3,IF(OR(G2083="XL",G2083="35cm"),4,0))))),0)</f>
        <v>0.6</v>
      </c>
      <c r="J2083" s="103">
        <f t="shared" si="1"/>
        <v>0</v>
      </c>
      <c r="K2083" s="104" t="str">
        <f>IF(H2083&lt;0,"ERROR",IF(H2083=0,"",IF(H2083&lt;CONFIG!$B$4,"CRÍTICO",IF(H2083&lt;CONFIG!$B$5,"BAJO","OK"))))</f>
        <v/>
      </c>
    </row>
    <row r="2084" ht="15.75" hidden="1" customHeight="1">
      <c r="A2084" s="90" t="str">
        <f>IF(CLIENTES!A5="","",CLIENTES!A5)</f>
        <v>Bravos</v>
      </c>
      <c r="B2084" s="90" t="s">
        <v>331</v>
      </c>
      <c r="C2084" s="91" t="s">
        <v>328</v>
      </c>
      <c r="D2084" s="109" t="s">
        <v>364</v>
      </c>
      <c r="E2084" s="67" t="str">
        <f>COLORES!A4</f>
        <v>Negro</v>
      </c>
      <c r="F2084" s="67" t="str">
        <f>COLORES!B4</f>
        <v>OSCURO</v>
      </c>
      <c r="G2084" s="90" t="s">
        <v>378</v>
      </c>
      <c r="H2084" s="100">
        <f>IFERROR(SUMIFS(MOVIMIENTOS_COMPLEMENTOS!$I$4:$I$803,MOVIMIENTOS_COMPLEMENTOS!$C$4:$C$803,A2084,MOVIMIENTOS_COMPLEMENTOS!$D$4:$D$803,B2084,MOVIMIENTOS_COMPLEMENTOS!$E$4:$E$803,C2084,MOVIMIENTOS_COMPLEMENTOS!$F$4:$F$803,D2084,MOVIMIENTOS_COMPLEMENTOS!$G$4:$G$803,E2084,MOVIMIENTOS_COMPLEMENTOS!$H$4:$H$803,G2084,MOVIMIENTOS_COMPLEMENTOS!$B$4:$B$803,"INGRESO")+SUMIFS(MOVIMIENTOS_COMPLEMENTOS!$I$4:$I$803,MOVIMIENTOS_COMPLEMENTOS!$C$4:$C$803,A2084,MOVIMIENTOS_COMPLEMENTOS!$D$4:$D$803,B2084,MOVIMIENTOS_COMPLEMENTOS!$E$4:$E$803,C2084,MOVIMIENTOS_COMPLEMENTOS!$F$4:$F$803,D2084,MOVIMIENTOS_COMPLEMENTOS!$G$4:$G$803,E2084,MOVIMIENTOS_COMPLEMENTOS!$H$4:$H$803,G2084,MOVIMIENTOS_COMPLEMENTOS!$B$4:$B$803,"DE CORTE")-SUMIFS(MOVIMIENTOS_COMPLEMENTOS!$I$4:$I$803,MOVIMIENTOS_COMPLEMENTOS!$C$4:$C$803,A2084,MOVIMIENTOS_COMPLEMENTOS!$D$4:$D$803,B2084,MOVIMIENTOS_COMPLEMENTOS!$E$4:$E$803,C2084,MOVIMIENTOS_COMPLEMENTOS!$F$4:$F$803,D2084,MOVIMIENTOS_COMPLEMENTOS!$G$4:$G$803,E2084,MOVIMIENTOS_COMPLEMENTOS!$H$4:$H$803,G2084,MOVIMIENTOS_COMPLEMENTOS!$B$4:$B$803,"SALIDA"),0)</f>
        <v>0</v>
      </c>
      <c r="I2084" s="102">
        <f t="array" ref="I2084">IFERROR(INDEX(PRECIOS_COMPLEMENTOS!$C$4:$F$17,MATCH(B2084&amp;"_"&amp;C2084,PRECIOS_COMPLEMENTOS!$H$4:$H$17,0),IF(OR(G2084="S",G2084="20cm"),1,IF(OR(G2084="M",G2084="25cm"),2,IF(OR(G2084="L",G2084="30cm"),3,IF(OR(G2084="XL",G2084="35cm"),4,0))))),0)</f>
        <v>0.6</v>
      </c>
      <c r="J2084" s="103">
        <f t="shared" si="1"/>
        <v>0</v>
      </c>
      <c r="K2084" s="104" t="str">
        <f>IF(H2084&lt;0,"ERROR",IF(H2084=0,"",IF(H2084&lt;CONFIG!$B$4,"CRÍTICO",IF(H2084&lt;CONFIG!$B$5,"BAJO","OK"))))</f>
        <v/>
      </c>
    </row>
    <row r="2085" ht="15.75" hidden="1" customHeight="1">
      <c r="A2085" s="90" t="str">
        <f>IF(CLIENTES!A5="","",CLIENTES!A5)</f>
        <v>Bravos</v>
      </c>
      <c r="B2085" s="90" t="s">
        <v>331</v>
      </c>
      <c r="C2085" s="91" t="s">
        <v>328</v>
      </c>
      <c r="D2085" s="109" t="s">
        <v>364</v>
      </c>
      <c r="E2085" s="67" t="str">
        <f>COLORES!A4</f>
        <v>Negro</v>
      </c>
      <c r="F2085" s="67" t="str">
        <f>COLORES!B4</f>
        <v>OSCURO</v>
      </c>
      <c r="G2085" s="90" t="s">
        <v>376</v>
      </c>
      <c r="H2085" s="100">
        <f>IFERROR(SUMIFS(MOVIMIENTOS_COMPLEMENTOS!$I$4:$I$803,MOVIMIENTOS_COMPLEMENTOS!$C$4:$C$803,A2085,MOVIMIENTOS_COMPLEMENTOS!$D$4:$D$803,B2085,MOVIMIENTOS_COMPLEMENTOS!$E$4:$E$803,C2085,MOVIMIENTOS_COMPLEMENTOS!$F$4:$F$803,D2085,MOVIMIENTOS_COMPLEMENTOS!$G$4:$G$803,E2085,MOVIMIENTOS_COMPLEMENTOS!$H$4:$H$803,G2085,MOVIMIENTOS_COMPLEMENTOS!$B$4:$B$803,"INGRESO")+SUMIFS(MOVIMIENTOS_COMPLEMENTOS!$I$4:$I$803,MOVIMIENTOS_COMPLEMENTOS!$C$4:$C$803,A2085,MOVIMIENTOS_COMPLEMENTOS!$D$4:$D$803,B2085,MOVIMIENTOS_COMPLEMENTOS!$E$4:$E$803,C2085,MOVIMIENTOS_COMPLEMENTOS!$F$4:$F$803,D2085,MOVIMIENTOS_COMPLEMENTOS!$G$4:$G$803,E2085,MOVIMIENTOS_COMPLEMENTOS!$H$4:$H$803,G2085,MOVIMIENTOS_COMPLEMENTOS!$B$4:$B$803,"DE CORTE")-SUMIFS(MOVIMIENTOS_COMPLEMENTOS!$I$4:$I$803,MOVIMIENTOS_COMPLEMENTOS!$C$4:$C$803,A2085,MOVIMIENTOS_COMPLEMENTOS!$D$4:$D$803,B2085,MOVIMIENTOS_COMPLEMENTOS!$E$4:$E$803,C2085,MOVIMIENTOS_COMPLEMENTOS!$F$4:$F$803,D2085,MOVIMIENTOS_COMPLEMENTOS!$G$4:$G$803,E2085,MOVIMIENTOS_COMPLEMENTOS!$H$4:$H$803,G2085,MOVIMIENTOS_COMPLEMENTOS!$B$4:$B$803,"SALIDA"),0)</f>
        <v>0</v>
      </c>
      <c r="I2085" s="102">
        <f t="array" ref="I2085">IFERROR(INDEX(PRECIOS_COMPLEMENTOS!$C$4:$F$17,MATCH(B2085&amp;"_"&amp;C2085,PRECIOS_COMPLEMENTOS!$H$4:$H$17,0),IF(OR(G2085="S",G2085="20cm"),1,IF(OR(G2085="M",G2085="25cm"),2,IF(OR(G2085="L",G2085="30cm"),3,IF(OR(G2085="XL",G2085="35cm"),4,0))))),0)</f>
        <v>0.6</v>
      </c>
      <c r="J2085" s="103">
        <f t="shared" si="1"/>
        <v>0</v>
      </c>
      <c r="K2085" s="104" t="str">
        <f>IF(H2085&lt;0,"ERROR",IF(H2085=0,"",IF(H2085&lt;CONFIG!$B$4,"CRÍTICO",IF(H2085&lt;CONFIG!$B$5,"BAJO","OK"))))</f>
        <v/>
      </c>
    </row>
    <row r="2086" ht="15.75" hidden="1" customHeight="1">
      <c r="A2086" s="90" t="str">
        <f>IF(CLIENTES!A5="","",CLIENTES!A5)</f>
        <v>Bravos</v>
      </c>
      <c r="B2086" s="90" t="s">
        <v>331</v>
      </c>
      <c r="C2086" s="91" t="s">
        <v>328</v>
      </c>
      <c r="D2086" s="109" t="s">
        <v>364</v>
      </c>
      <c r="E2086" s="67" t="str">
        <f>COLORES!A4</f>
        <v>Negro</v>
      </c>
      <c r="F2086" s="67" t="str">
        <f>COLORES!B4</f>
        <v>OSCURO</v>
      </c>
      <c r="G2086" s="90" t="s">
        <v>377</v>
      </c>
      <c r="H2086" s="100">
        <f>IFERROR(SUMIFS(MOVIMIENTOS_COMPLEMENTOS!$I$4:$I$803,MOVIMIENTOS_COMPLEMENTOS!$C$4:$C$803,A2086,MOVIMIENTOS_COMPLEMENTOS!$D$4:$D$803,B2086,MOVIMIENTOS_COMPLEMENTOS!$E$4:$E$803,C2086,MOVIMIENTOS_COMPLEMENTOS!$F$4:$F$803,D2086,MOVIMIENTOS_COMPLEMENTOS!$G$4:$G$803,E2086,MOVIMIENTOS_COMPLEMENTOS!$H$4:$H$803,G2086,MOVIMIENTOS_COMPLEMENTOS!$B$4:$B$803,"INGRESO")+SUMIFS(MOVIMIENTOS_COMPLEMENTOS!$I$4:$I$803,MOVIMIENTOS_COMPLEMENTOS!$C$4:$C$803,A2086,MOVIMIENTOS_COMPLEMENTOS!$D$4:$D$803,B2086,MOVIMIENTOS_COMPLEMENTOS!$E$4:$E$803,C2086,MOVIMIENTOS_COMPLEMENTOS!$F$4:$F$803,D2086,MOVIMIENTOS_COMPLEMENTOS!$G$4:$G$803,E2086,MOVIMIENTOS_COMPLEMENTOS!$H$4:$H$803,G2086,MOVIMIENTOS_COMPLEMENTOS!$B$4:$B$803,"DE CORTE")-SUMIFS(MOVIMIENTOS_COMPLEMENTOS!$I$4:$I$803,MOVIMIENTOS_COMPLEMENTOS!$C$4:$C$803,A2086,MOVIMIENTOS_COMPLEMENTOS!$D$4:$D$803,B2086,MOVIMIENTOS_COMPLEMENTOS!$E$4:$E$803,C2086,MOVIMIENTOS_COMPLEMENTOS!$F$4:$F$803,D2086,MOVIMIENTOS_COMPLEMENTOS!$G$4:$G$803,E2086,MOVIMIENTOS_COMPLEMENTOS!$H$4:$H$803,G2086,MOVIMIENTOS_COMPLEMENTOS!$B$4:$B$803,"SALIDA"),0)</f>
        <v>0</v>
      </c>
      <c r="I2086" s="102">
        <f t="array" ref="I2086">IFERROR(INDEX(PRECIOS_COMPLEMENTOS!$C$4:$F$17,MATCH(B2086&amp;"_"&amp;C2086,PRECIOS_COMPLEMENTOS!$H$4:$H$17,0),IF(OR(G2086="S",G2086="20cm"),1,IF(OR(G2086="M",G2086="25cm"),2,IF(OR(G2086="L",G2086="30cm"),3,IF(OR(G2086="XL",G2086="35cm"),4,0))))),0)</f>
        <v>0.6</v>
      </c>
      <c r="J2086" s="103">
        <f t="shared" si="1"/>
        <v>0</v>
      </c>
      <c r="K2086" s="104" t="str">
        <f>IF(H2086&lt;0,"ERROR",IF(H2086=0,"",IF(H2086&lt;CONFIG!$B$4,"CRÍTICO",IF(H2086&lt;CONFIG!$B$5,"BAJO","OK"))))</f>
        <v/>
      </c>
    </row>
    <row r="2087" ht="15.75" hidden="1" customHeight="1">
      <c r="A2087" s="90" t="str">
        <f>IF(CLIENTES!A5="","",CLIENTES!A5)</f>
        <v>Bravos</v>
      </c>
      <c r="B2087" s="90" t="s">
        <v>331</v>
      </c>
      <c r="C2087" s="91" t="s">
        <v>328</v>
      </c>
      <c r="D2087" s="109" t="s">
        <v>364</v>
      </c>
      <c r="E2087" s="67" t="str">
        <f>COLORES!A4</f>
        <v>Negro</v>
      </c>
      <c r="F2087" s="67" t="str">
        <f>COLORES!B4</f>
        <v>OSCURO</v>
      </c>
      <c r="G2087" s="90" t="s">
        <v>379</v>
      </c>
      <c r="H2087" s="100">
        <f>IFERROR(SUMIFS(MOVIMIENTOS_COMPLEMENTOS!$I$4:$I$803,MOVIMIENTOS_COMPLEMENTOS!$C$4:$C$803,A2087,MOVIMIENTOS_COMPLEMENTOS!$D$4:$D$803,B2087,MOVIMIENTOS_COMPLEMENTOS!$E$4:$E$803,C2087,MOVIMIENTOS_COMPLEMENTOS!$F$4:$F$803,D2087,MOVIMIENTOS_COMPLEMENTOS!$G$4:$G$803,E2087,MOVIMIENTOS_COMPLEMENTOS!$H$4:$H$803,G2087,MOVIMIENTOS_COMPLEMENTOS!$B$4:$B$803,"INGRESO")+SUMIFS(MOVIMIENTOS_COMPLEMENTOS!$I$4:$I$803,MOVIMIENTOS_COMPLEMENTOS!$C$4:$C$803,A2087,MOVIMIENTOS_COMPLEMENTOS!$D$4:$D$803,B2087,MOVIMIENTOS_COMPLEMENTOS!$E$4:$E$803,C2087,MOVIMIENTOS_COMPLEMENTOS!$F$4:$F$803,D2087,MOVIMIENTOS_COMPLEMENTOS!$G$4:$G$803,E2087,MOVIMIENTOS_COMPLEMENTOS!$H$4:$H$803,G2087,MOVIMIENTOS_COMPLEMENTOS!$B$4:$B$803,"DE CORTE")-SUMIFS(MOVIMIENTOS_COMPLEMENTOS!$I$4:$I$803,MOVIMIENTOS_COMPLEMENTOS!$C$4:$C$803,A2087,MOVIMIENTOS_COMPLEMENTOS!$D$4:$D$803,B2087,MOVIMIENTOS_COMPLEMENTOS!$E$4:$E$803,C2087,MOVIMIENTOS_COMPLEMENTOS!$F$4:$F$803,D2087,MOVIMIENTOS_COMPLEMENTOS!$G$4:$G$803,E2087,MOVIMIENTOS_COMPLEMENTOS!$H$4:$H$803,G2087,MOVIMIENTOS_COMPLEMENTOS!$B$4:$B$803,"SALIDA"),0)</f>
        <v>0</v>
      </c>
      <c r="I2087" s="102">
        <f t="array" ref="I2087">IFERROR(INDEX(PRECIOS_COMPLEMENTOS!$C$4:$F$17,MATCH(B2087&amp;"_"&amp;C2087,PRECIOS_COMPLEMENTOS!$H$4:$H$17,0),IF(OR(G2087="S",G2087="20cm"),1,IF(OR(G2087="M",G2087="25cm"),2,IF(OR(G2087="L",G2087="30cm"),3,IF(OR(G2087="XL",G2087="35cm"),4,0))))),0)</f>
        <v>0.6</v>
      </c>
      <c r="J2087" s="103">
        <f t="shared" si="1"/>
        <v>0</v>
      </c>
      <c r="K2087" s="104" t="str">
        <f>IF(H2087&lt;0,"ERROR",IF(H2087=0,"",IF(H2087&lt;CONFIG!$B$4,"CRÍTICO",IF(H2087&lt;CONFIG!$B$5,"BAJO","OK"))))</f>
        <v/>
      </c>
    </row>
    <row r="2088" ht="15.75" hidden="1" customHeight="1">
      <c r="A2088" s="90" t="str">
        <f>IF(CLIENTES!A5="","",CLIENTES!A5)</f>
        <v>Bravos</v>
      </c>
      <c r="B2088" s="90" t="s">
        <v>331</v>
      </c>
      <c r="C2088" s="91" t="s">
        <v>328</v>
      </c>
      <c r="D2088" s="109" t="s">
        <v>364</v>
      </c>
      <c r="E2088" s="67" t="str">
        <f>COLORES!A5</f>
        <v>Perla</v>
      </c>
      <c r="F2088" s="67" t="str">
        <f>COLORES!B5</f>
        <v>PPT</v>
      </c>
      <c r="G2088" s="90" t="s">
        <v>378</v>
      </c>
      <c r="H2088" s="100">
        <f>IFERROR(SUMIFS(MOVIMIENTOS_COMPLEMENTOS!$I$4:$I$803,MOVIMIENTOS_COMPLEMENTOS!$C$4:$C$803,A2088,MOVIMIENTOS_COMPLEMENTOS!$D$4:$D$803,B2088,MOVIMIENTOS_COMPLEMENTOS!$E$4:$E$803,C2088,MOVIMIENTOS_COMPLEMENTOS!$F$4:$F$803,D2088,MOVIMIENTOS_COMPLEMENTOS!$G$4:$G$803,E2088,MOVIMIENTOS_COMPLEMENTOS!$H$4:$H$803,G2088,MOVIMIENTOS_COMPLEMENTOS!$B$4:$B$803,"INGRESO")+SUMIFS(MOVIMIENTOS_COMPLEMENTOS!$I$4:$I$803,MOVIMIENTOS_COMPLEMENTOS!$C$4:$C$803,A2088,MOVIMIENTOS_COMPLEMENTOS!$D$4:$D$803,B2088,MOVIMIENTOS_COMPLEMENTOS!$E$4:$E$803,C2088,MOVIMIENTOS_COMPLEMENTOS!$F$4:$F$803,D2088,MOVIMIENTOS_COMPLEMENTOS!$G$4:$G$803,E2088,MOVIMIENTOS_COMPLEMENTOS!$H$4:$H$803,G2088,MOVIMIENTOS_COMPLEMENTOS!$B$4:$B$803,"DE CORTE")-SUMIFS(MOVIMIENTOS_COMPLEMENTOS!$I$4:$I$803,MOVIMIENTOS_COMPLEMENTOS!$C$4:$C$803,A2088,MOVIMIENTOS_COMPLEMENTOS!$D$4:$D$803,B2088,MOVIMIENTOS_COMPLEMENTOS!$E$4:$E$803,C2088,MOVIMIENTOS_COMPLEMENTOS!$F$4:$F$803,D2088,MOVIMIENTOS_COMPLEMENTOS!$G$4:$G$803,E2088,MOVIMIENTOS_COMPLEMENTOS!$H$4:$H$803,G2088,MOVIMIENTOS_COMPLEMENTOS!$B$4:$B$803,"SALIDA"),0)</f>
        <v>0</v>
      </c>
      <c r="I2088" s="102">
        <f t="array" ref="I2088">IFERROR(INDEX(PRECIOS_COMPLEMENTOS!$C$4:$F$17,MATCH(B2088&amp;"_"&amp;C2088,PRECIOS_COMPLEMENTOS!$H$4:$H$17,0),IF(OR(G2088="S",G2088="20cm"),1,IF(OR(G2088="M",G2088="25cm"),2,IF(OR(G2088="L",G2088="30cm"),3,IF(OR(G2088="XL",G2088="35cm"),4,0))))),0)</f>
        <v>0.6</v>
      </c>
      <c r="J2088" s="103">
        <f t="shared" si="1"/>
        <v>0</v>
      </c>
      <c r="K2088" s="104" t="str">
        <f>IF(H2088&lt;0,"ERROR",IF(H2088=0,"",IF(H2088&lt;CONFIG!$B$4,"CRÍTICO",IF(H2088&lt;CONFIG!$B$5,"BAJO","OK"))))</f>
        <v/>
      </c>
    </row>
    <row r="2089" ht="15.75" hidden="1" customHeight="1">
      <c r="A2089" s="90" t="str">
        <f>IF(CLIENTES!A5="","",CLIENTES!A5)</f>
        <v>Bravos</v>
      </c>
      <c r="B2089" s="90" t="s">
        <v>331</v>
      </c>
      <c r="C2089" s="91" t="s">
        <v>328</v>
      </c>
      <c r="D2089" s="109" t="s">
        <v>364</v>
      </c>
      <c r="E2089" s="67" t="str">
        <f>COLORES!A5</f>
        <v>Perla</v>
      </c>
      <c r="F2089" s="67" t="str">
        <f>COLORES!B5</f>
        <v>PPT</v>
      </c>
      <c r="G2089" s="90" t="s">
        <v>376</v>
      </c>
      <c r="H2089" s="100">
        <f>IFERROR(SUMIFS(MOVIMIENTOS_COMPLEMENTOS!$I$4:$I$803,MOVIMIENTOS_COMPLEMENTOS!$C$4:$C$803,A2089,MOVIMIENTOS_COMPLEMENTOS!$D$4:$D$803,B2089,MOVIMIENTOS_COMPLEMENTOS!$E$4:$E$803,C2089,MOVIMIENTOS_COMPLEMENTOS!$F$4:$F$803,D2089,MOVIMIENTOS_COMPLEMENTOS!$G$4:$G$803,E2089,MOVIMIENTOS_COMPLEMENTOS!$H$4:$H$803,G2089,MOVIMIENTOS_COMPLEMENTOS!$B$4:$B$803,"INGRESO")+SUMIFS(MOVIMIENTOS_COMPLEMENTOS!$I$4:$I$803,MOVIMIENTOS_COMPLEMENTOS!$C$4:$C$803,A2089,MOVIMIENTOS_COMPLEMENTOS!$D$4:$D$803,B2089,MOVIMIENTOS_COMPLEMENTOS!$E$4:$E$803,C2089,MOVIMIENTOS_COMPLEMENTOS!$F$4:$F$803,D2089,MOVIMIENTOS_COMPLEMENTOS!$G$4:$G$803,E2089,MOVIMIENTOS_COMPLEMENTOS!$H$4:$H$803,G2089,MOVIMIENTOS_COMPLEMENTOS!$B$4:$B$803,"DE CORTE")-SUMIFS(MOVIMIENTOS_COMPLEMENTOS!$I$4:$I$803,MOVIMIENTOS_COMPLEMENTOS!$C$4:$C$803,A2089,MOVIMIENTOS_COMPLEMENTOS!$D$4:$D$803,B2089,MOVIMIENTOS_COMPLEMENTOS!$E$4:$E$803,C2089,MOVIMIENTOS_COMPLEMENTOS!$F$4:$F$803,D2089,MOVIMIENTOS_COMPLEMENTOS!$G$4:$G$803,E2089,MOVIMIENTOS_COMPLEMENTOS!$H$4:$H$803,G2089,MOVIMIENTOS_COMPLEMENTOS!$B$4:$B$803,"SALIDA"),0)</f>
        <v>0</v>
      </c>
      <c r="I2089" s="102">
        <f t="array" ref="I2089">IFERROR(INDEX(PRECIOS_COMPLEMENTOS!$C$4:$F$17,MATCH(B2089&amp;"_"&amp;C2089,PRECIOS_COMPLEMENTOS!$H$4:$H$17,0),IF(OR(G2089="S",G2089="20cm"),1,IF(OR(G2089="M",G2089="25cm"),2,IF(OR(G2089="L",G2089="30cm"),3,IF(OR(G2089="XL",G2089="35cm"),4,0))))),0)</f>
        <v>0.6</v>
      </c>
      <c r="J2089" s="103">
        <f t="shared" si="1"/>
        <v>0</v>
      </c>
      <c r="K2089" s="104" t="str">
        <f>IF(H2089&lt;0,"ERROR",IF(H2089=0,"",IF(H2089&lt;CONFIG!$B$4,"CRÍTICO",IF(H2089&lt;CONFIG!$B$5,"BAJO","OK"))))</f>
        <v/>
      </c>
    </row>
    <row r="2090" ht="15.75" hidden="1" customHeight="1">
      <c r="A2090" s="90" t="str">
        <f>IF(CLIENTES!A5="","",CLIENTES!A5)</f>
        <v>Bravos</v>
      </c>
      <c r="B2090" s="90" t="s">
        <v>331</v>
      </c>
      <c r="C2090" s="91" t="s">
        <v>328</v>
      </c>
      <c r="D2090" s="109" t="s">
        <v>364</v>
      </c>
      <c r="E2090" s="67" t="str">
        <f>COLORES!A5</f>
        <v>Perla</v>
      </c>
      <c r="F2090" s="67" t="str">
        <f>COLORES!B5</f>
        <v>PPT</v>
      </c>
      <c r="G2090" s="90" t="s">
        <v>377</v>
      </c>
      <c r="H2090" s="100">
        <f>IFERROR(SUMIFS(MOVIMIENTOS_COMPLEMENTOS!$I$4:$I$803,MOVIMIENTOS_COMPLEMENTOS!$C$4:$C$803,A2090,MOVIMIENTOS_COMPLEMENTOS!$D$4:$D$803,B2090,MOVIMIENTOS_COMPLEMENTOS!$E$4:$E$803,C2090,MOVIMIENTOS_COMPLEMENTOS!$F$4:$F$803,D2090,MOVIMIENTOS_COMPLEMENTOS!$G$4:$G$803,E2090,MOVIMIENTOS_COMPLEMENTOS!$H$4:$H$803,G2090,MOVIMIENTOS_COMPLEMENTOS!$B$4:$B$803,"INGRESO")+SUMIFS(MOVIMIENTOS_COMPLEMENTOS!$I$4:$I$803,MOVIMIENTOS_COMPLEMENTOS!$C$4:$C$803,A2090,MOVIMIENTOS_COMPLEMENTOS!$D$4:$D$803,B2090,MOVIMIENTOS_COMPLEMENTOS!$E$4:$E$803,C2090,MOVIMIENTOS_COMPLEMENTOS!$F$4:$F$803,D2090,MOVIMIENTOS_COMPLEMENTOS!$G$4:$G$803,E2090,MOVIMIENTOS_COMPLEMENTOS!$H$4:$H$803,G2090,MOVIMIENTOS_COMPLEMENTOS!$B$4:$B$803,"DE CORTE")-SUMIFS(MOVIMIENTOS_COMPLEMENTOS!$I$4:$I$803,MOVIMIENTOS_COMPLEMENTOS!$C$4:$C$803,A2090,MOVIMIENTOS_COMPLEMENTOS!$D$4:$D$803,B2090,MOVIMIENTOS_COMPLEMENTOS!$E$4:$E$803,C2090,MOVIMIENTOS_COMPLEMENTOS!$F$4:$F$803,D2090,MOVIMIENTOS_COMPLEMENTOS!$G$4:$G$803,E2090,MOVIMIENTOS_COMPLEMENTOS!$H$4:$H$803,G2090,MOVIMIENTOS_COMPLEMENTOS!$B$4:$B$803,"SALIDA"),0)</f>
        <v>0</v>
      </c>
      <c r="I2090" s="102">
        <f t="array" ref="I2090">IFERROR(INDEX(PRECIOS_COMPLEMENTOS!$C$4:$F$17,MATCH(B2090&amp;"_"&amp;C2090,PRECIOS_COMPLEMENTOS!$H$4:$H$17,0),IF(OR(G2090="S",G2090="20cm"),1,IF(OR(G2090="M",G2090="25cm"),2,IF(OR(G2090="L",G2090="30cm"),3,IF(OR(G2090="XL",G2090="35cm"),4,0))))),0)</f>
        <v>0.6</v>
      </c>
      <c r="J2090" s="103">
        <f t="shared" si="1"/>
        <v>0</v>
      </c>
      <c r="K2090" s="104" t="str">
        <f>IF(H2090&lt;0,"ERROR",IF(H2090=0,"",IF(H2090&lt;CONFIG!$B$4,"CRÍTICO",IF(H2090&lt;CONFIG!$B$5,"BAJO","OK"))))</f>
        <v/>
      </c>
    </row>
    <row r="2091" ht="15.75" hidden="1" customHeight="1">
      <c r="A2091" s="90" t="str">
        <f>IF(CLIENTES!A5="","",CLIENTES!A5)</f>
        <v>Bravos</v>
      </c>
      <c r="B2091" s="90" t="s">
        <v>331</v>
      </c>
      <c r="C2091" s="91" t="s">
        <v>328</v>
      </c>
      <c r="D2091" s="109" t="s">
        <v>364</v>
      </c>
      <c r="E2091" s="67" t="str">
        <f>COLORES!A5</f>
        <v>Perla</v>
      </c>
      <c r="F2091" s="67" t="str">
        <f>COLORES!B5</f>
        <v>PPT</v>
      </c>
      <c r="G2091" s="90" t="s">
        <v>379</v>
      </c>
      <c r="H2091" s="100">
        <f>IFERROR(SUMIFS(MOVIMIENTOS_COMPLEMENTOS!$I$4:$I$803,MOVIMIENTOS_COMPLEMENTOS!$C$4:$C$803,A2091,MOVIMIENTOS_COMPLEMENTOS!$D$4:$D$803,B2091,MOVIMIENTOS_COMPLEMENTOS!$E$4:$E$803,C2091,MOVIMIENTOS_COMPLEMENTOS!$F$4:$F$803,D2091,MOVIMIENTOS_COMPLEMENTOS!$G$4:$G$803,E2091,MOVIMIENTOS_COMPLEMENTOS!$H$4:$H$803,G2091,MOVIMIENTOS_COMPLEMENTOS!$B$4:$B$803,"INGRESO")+SUMIFS(MOVIMIENTOS_COMPLEMENTOS!$I$4:$I$803,MOVIMIENTOS_COMPLEMENTOS!$C$4:$C$803,A2091,MOVIMIENTOS_COMPLEMENTOS!$D$4:$D$803,B2091,MOVIMIENTOS_COMPLEMENTOS!$E$4:$E$803,C2091,MOVIMIENTOS_COMPLEMENTOS!$F$4:$F$803,D2091,MOVIMIENTOS_COMPLEMENTOS!$G$4:$G$803,E2091,MOVIMIENTOS_COMPLEMENTOS!$H$4:$H$803,G2091,MOVIMIENTOS_COMPLEMENTOS!$B$4:$B$803,"DE CORTE")-SUMIFS(MOVIMIENTOS_COMPLEMENTOS!$I$4:$I$803,MOVIMIENTOS_COMPLEMENTOS!$C$4:$C$803,A2091,MOVIMIENTOS_COMPLEMENTOS!$D$4:$D$803,B2091,MOVIMIENTOS_COMPLEMENTOS!$E$4:$E$803,C2091,MOVIMIENTOS_COMPLEMENTOS!$F$4:$F$803,D2091,MOVIMIENTOS_COMPLEMENTOS!$G$4:$G$803,E2091,MOVIMIENTOS_COMPLEMENTOS!$H$4:$H$803,G2091,MOVIMIENTOS_COMPLEMENTOS!$B$4:$B$803,"SALIDA"),0)</f>
        <v>0</v>
      </c>
      <c r="I2091" s="102">
        <f t="array" ref="I2091">IFERROR(INDEX(PRECIOS_COMPLEMENTOS!$C$4:$F$17,MATCH(B2091&amp;"_"&amp;C2091,PRECIOS_COMPLEMENTOS!$H$4:$H$17,0),IF(OR(G2091="S",G2091="20cm"),1,IF(OR(G2091="M",G2091="25cm"),2,IF(OR(G2091="L",G2091="30cm"),3,IF(OR(G2091="XL",G2091="35cm"),4,0))))),0)</f>
        <v>0.6</v>
      </c>
      <c r="J2091" s="103">
        <f t="shared" si="1"/>
        <v>0</v>
      </c>
      <c r="K2091" s="104" t="str">
        <f>IF(H2091&lt;0,"ERROR",IF(H2091=0,"",IF(H2091&lt;CONFIG!$B$4,"CRÍTICO",IF(H2091&lt;CONFIG!$B$5,"BAJO","OK"))))</f>
        <v/>
      </c>
    </row>
    <row r="2092" ht="15.75" hidden="1" customHeight="1">
      <c r="A2092" s="90" t="str">
        <f>IF(CLIENTES!A5="","",CLIENTES!A5)</f>
        <v>Bravos</v>
      </c>
      <c r="B2092" s="90" t="s">
        <v>331</v>
      </c>
      <c r="C2092" s="91" t="s">
        <v>328</v>
      </c>
      <c r="D2092" s="109" t="s">
        <v>364</v>
      </c>
      <c r="E2092" s="67" t="str">
        <f>COLORES!A6</f>
        <v>Blanco</v>
      </c>
      <c r="F2092" s="67" t="str">
        <f>COLORES!B6</f>
        <v>PPT</v>
      </c>
      <c r="G2092" s="90" t="s">
        <v>378</v>
      </c>
      <c r="H2092" s="100">
        <f>IFERROR(SUMIFS(MOVIMIENTOS_COMPLEMENTOS!$I$4:$I$803,MOVIMIENTOS_COMPLEMENTOS!$C$4:$C$803,A2092,MOVIMIENTOS_COMPLEMENTOS!$D$4:$D$803,B2092,MOVIMIENTOS_COMPLEMENTOS!$E$4:$E$803,C2092,MOVIMIENTOS_COMPLEMENTOS!$F$4:$F$803,D2092,MOVIMIENTOS_COMPLEMENTOS!$G$4:$G$803,E2092,MOVIMIENTOS_COMPLEMENTOS!$H$4:$H$803,G2092,MOVIMIENTOS_COMPLEMENTOS!$B$4:$B$803,"INGRESO")+SUMIFS(MOVIMIENTOS_COMPLEMENTOS!$I$4:$I$803,MOVIMIENTOS_COMPLEMENTOS!$C$4:$C$803,A2092,MOVIMIENTOS_COMPLEMENTOS!$D$4:$D$803,B2092,MOVIMIENTOS_COMPLEMENTOS!$E$4:$E$803,C2092,MOVIMIENTOS_COMPLEMENTOS!$F$4:$F$803,D2092,MOVIMIENTOS_COMPLEMENTOS!$G$4:$G$803,E2092,MOVIMIENTOS_COMPLEMENTOS!$H$4:$H$803,G2092,MOVIMIENTOS_COMPLEMENTOS!$B$4:$B$803,"DE CORTE")-SUMIFS(MOVIMIENTOS_COMPLEMENTOS!$I$4:$I$803,MOVIMIENTOS_COMPLEMENTOS!$C$4:$C$803,A2092,MOVIMIENTOS_COMPLEMENTOS!$D$4:$D$803,B2092,MOVIMIENTOS_COMPLEMENTOS!$E$4:$E$803,C2092,MOVIMIENTOS_COMPLEMENTOS!$F$4:$F$803,D2092,MOVIMIENTOS_COMPLEMENTOS!$G$4:$G$803,E2092,MOVIMIENTOS_COMPLEMENTOS!$H$4:$H$803,G2092,MOVIMIENTOS_COMPLEMENTOS!$B$4:$B$803,"SALIDA"),0)</f>
        <v>0</v>
      </c>
      <c r="I2092" s="102">
        <f t="array" ref="I2092">IFERROR(INDEX(PRECIOS_COMPLEMENTOS!$C$4:$F$17,MATCH(B2092&amp;"_"&amp;C2092,PRECIOS_COMPLEMENTOS!$H$4:$H$17,0),IF(OR(G2092="S",G2092="20cm"),1,IF(OR(G2092="M",G2092="25cm"),2,IF(OR(G2092="L",G2092="30cm"),3,IF(OR(G2092="XL",G2092="35cm"),4,0))))),0)</f>
        <v>0.6</v>
      </c>
      <c r="J2092" s="103">
        <f t="shared" si="1"/>
        <v>0</v>
      </c>
      <c r="K2092" s="104" t="str">
        <f>IF(H2092&lt;0,"ERROR",IF(H2092=0,"",IF(H2092&lt;CONFIG!$B$4,"CRÍTICO",IF(H2092&lt;CONFIG!$B$5,"BAJO","OK"))))</f>
        <v/>
      </c>
    </row>
    <row r="2093" ht="15.75" hidden="1" customHeight="1">
      <c r="A2093" s="90" t="str">
        <f>IF(CLIENTES!A5="","",CLIENTES!A5)</f>
        <v>Bravos</v>
      </c>
      <c r="B2093" s="90" t="s">
        <v>331</v>
      </c>
      <c r="C2093" s="91" t="s">
        <v>328</v>
      </c>
      <c r="D2093" s="109" t="s">
        <v>364</v>
      </c>
      <c r="E2093" s="67" t="str">
        <f>COLORES!A6</f>
        <v>Blanco</v>
      </c>
      <c r="F2093" s="67" t="str">
        <f>COLORES!B6</f>
        <v>PPT</v>
      </c>
      <c r="G2093" s="90" t="s">
        <v>376</v>
      </c>
      <c r="H2093" s="100">
        <f>IFERROR(SUMIFS(MOVIMIENTOS_COMPLEMENTOS!$I$4:$I$803,MOVIMIENTOS_COMPLEMENTOS!$C$4:$C$803,A2093,MOVIMIENTOS_COMPLEMENTOS!$D$4:$D$803,B2093,MOVIMIENTOS_COMPLEMENTOS!$E$4:$E$803,C2093,MOVIMIENTOS_COMPLEMENTOS!$F$4:$F$803,D2093,MOVIMIENTOS_COMPLEMENTOS!$G$4:$G$803,E2093,MOVIMIENTOS_COMPLEMENTOS!$H$4:$H$803,G2093,MOVIMIENTOS_COMPLEMENTOS!$B$4:$B$803,"INGRESO")+SUMIFS(MOVIMIENTOS_COMPLEMENTOS!$I$4:$I$803,MOVIMIENTOS_COMPLEMENTOS!$C$4:$C$803,A2093,MOVIMIENTOS_COMPLEMENTOS!$D$4:$D$803,B2093,MOVIMIENTOS_COMPLEMENTOS!$E$4:$E$803,C2093,MOVIMIENTOS_COMPLEMENTOS!$F$4:$F$803,D2093,MOVIMIENTOS_COMPLEMENTOS!$G$4:$G$803,E2093,MOVIMIENTOS_COMPLEMENTOS!$H$4:$H$803,G2093,MOVIMIENTOS_COMPLEMENTOS!$B$4:$B$803,"DE CORTE")-SUMIFS(MOVIMIENTOS_COMPLEMENTOS!$I$4:$I$803,MOVIMIENTOS_COMPLEMENTOS!$C$4:$C$803,A2093,MOVIMIENTOS_COMPLEMENTOS!$D$4:$D$803,B2093,MOVIMIENTOS_COMPLEMENTOS!$E$4:$E$803,C2093,MOVIMIENTOS_COMPLEMENTOS!$F$4:$F$803,D2093,MOVIMIENTOS_COMPLEMENTOS!$G$4:$G$803,E2093,MOVIMIENTOS_COMPLEMENTOS!$H$4:$H$803,G2093,MOVIMIENTOS_COMPLEMENTOS!$B$4:$B$803,"SALIDA"),0)</f>
        <v>0</v>
      </c>
      <c r="I2093" s="102">
        <f t="array" ref="I2093">IFERROR(INDEX(PRECIOS_COMPLEMENTOS!$C$4:$F$17,MATCH(B2093&amp;"_"&amp;C2093,PRECIOS_COMPLEMENTOS!$H$4:$H$17,0),IF(OR(G2093="S",G2093="20cm"),1,IF(OR(G2093="M",G2093="25cm"),2,IF(OR(G2093="L",G2093="30cm"),3,IF(OR(G2093="XL",G2093="35cm"),4,0))))),0)</f>
        <v>0.6</v>
      </c>
      <c r="J2093" s="103">
        <f t="shared" si="1"/>
        <v>0</v>
      </c>
      <c r="K2093" s="104" t="str">
        <f>IF(H2093&lt;0,"ERROR",IF(H2093=0,"",IF(H2093&lt;CONFIG!$B$4,"CRÍTICO",IF(H2093&lt;CONFIG!$B$5,"BAJO","OK"))))</f>
        <v/>
      </c>
    </row>
    <row r="2094" ht="15.75" hidden="1" customHeight="1">
      <c r="A2094" s="90" t="str">
        <f>IF(CLIENTES!A5="","",CLIENTES!A5)</f>
        <v>Bravos</v>
      </c>
      <c r="B2094" s="90" t="s">
        <v>331</v>
      </c>
      <c r="C2094" s="91" t="s">
        <v>328</v>
      </c>
      <c r="D2094" s="109" t="s">
        <v>364</v>
      </c>
      <c r="E2094" s="67" t="str">
        <f>COLORES!A6</f>
        <v>Blanco</v>
      </c>
      <c r="F2094" s="67" t="str">
        <f>COLORES!B6</f>
        <v>PPT</v>
      </c>
      <c r="G2094" s="90" t="s">
        <v>377</v>
      </c>
      <c r="H2094" s="100">
        <f>IFERROR(SUMIFS(MOVIMIENTOS_COMPLEMENTOS!$I$4:$I$803,MOVIMIENTOS_COMPLEMENTOS!$C$4:$C$803,A2094,MOVIMIENTOS_COMPLEMENTOS!$D$4:$D$803,B2094,MOVIMIENTOS_COMPLEMENTOS!$E$4:$E$803,C2094,MOVIMIENTOS_COMPLEMENTOS!$F$4:$F$803,D2094,MOVIMIENTOS_COMPLEMENTOS!$G$4:$G$803,E2094,MOVIMIENTOS_COMPLEMENTOS!$H$4:$H$803,G2094,MOVIMIENTOS_COMPLEMENTOS!$B$4:$B$803,"INGRESO")+SUMIFS(MOVIMIENTOS_COMPLEMENTOS!$I$4:$I$803,MOVIMIENTOS_COMPLEMENTOS!$C$4:$C$803,A2094,MOVIMIENTOS_COMPLEMENTOS!$D$4:$D$803,B2094,MOVIMIENTOS_COMPLEMENTOS!$E$4:$E$803,C2094,MOVIMIENTOS_COMPLEMENTOS!$F$4:$F$803,D2094,MOVIMIENTOS_COMPLEMENTOS!$G$4:$G$803,E2094,MOVIMIENTOS_COMPLEMENTOS!$H$4:$H$803,G2094,MOVIMIENTOS_COMPLEMENTOS!$B$4:$B$803,"DE CORTE")-SUMIFS(MOVIMIENTOS_COMPLEMENTOS!$I$4:$I$803,MOVIMIENTOS_COMPLEMENTOS!$C$4:$C$803,A2094,MOVIMIENTOS_COMPLEMENTOS!$D$4:$D$803,B2094,MOVIMIENTOS_COMPLEMENTOS!$E$4:$E$803,C2094,MOVIMIENTOS_COMPLEMENTOS!$F$4:$F$803,D2094,MOVIMIENTOS_COMPLEMENTOS!$G$4:$G$803,E2094,MOVIMIENTOS_COMPLEMENTOS!$H$4:$H$803,G2094,MOVIMIENTOS_COMPLEMENTOS!$B$4:$B$803,"SALIDA"),0)</f>
        <v>0</v>
      </c>
      <c r="I2094" s="102">
        <f t="array" ref="I2094">IFERROR(INDEX(PRECIOS_COMPLEMENTOS!$C$4:$F$17,MATCH(B2094&amp;"_"&amp;C2094,PRECIOS_COMPLEMENTOS!$H$4:$H$17,0),IF(OR(G2094="S",G2094="20cm"),1,IF(OR(G2094="M",G2094="25cm"),2,IF(OR(G2094="L",G2094="30cm"),3,IF(OR(G2094="XL",G2094="35cm"),4,0))))),0)</f>
        <v>0.6</v>
      </c>
      <c r="J2094" s="103">
        <f t="shared" si="1"/>
        <v>0</v>
      </c>
      <c r="K2094" s="104" t="str">
        <f>IF(H2094&lt;0,"ERROR",IF(H2094=0,"",IF(H2094&lt;CONFIG!$B$4,"CRÍTICO",IF(H2094&lt;CONFIG!$B$5,"BAJO","OK"))))</f>
        <v/>
      </c>
    </row>
    <row r="2095" ht="15.75" hidden="1" customHeight="1">
      <c r="A2095" s="90" t="str">
        <f>IF(CLIENTES!A5="","",CLIENTES!A5)</f>
        <v>Bravos</v>
      </c>
      <c r="B2095" s="90" t="s">
        <v>331</v>
      </c>
      <c r="C2095" s="91" t="s">
        <v>328</v>
      </c>
      <c r="D2095" s="109" t="s">
        <v>364</v>
      </c>
      <c r="E2095" s="67" t="str">
        <f>COLORES!A6</f>
        <v>Blanco</v>
      </c>
      <c r="F2095" s="67" t="str">
        <f>COLORES!B6</f>
        <v>PPT</v>
      </c>
      <c r="G2095" s="90" t="s">
        <v>379</v>
      </c>
      <c r="H2095" s="100">
        <f>IFERROR(SUMIFS(MOVIMIENTOS_COMPLEMENTOS!$I$4:$I$803,MOVIMIENTOS_COMPLEMENTOS!$C$4:$C$803,A2095,MOVIMIENTOS_COMPLEMENTOS!$D$4:$D$803,B2095,MOVIMIENTOS_COMPLEMENTOS!$E$4:$E$803,C2095,MOVIMIENTOS_COMPLEMENTOS!$F$4:$F$803,D2095,MOVIMIENTOS_COMPLEMENTOS!$G$4:$G$803,E2095,MOVIMIENTOS_COMPLEMENTOS!$H$4:$H$803,G2095,MOVIMIENTOS_COMPLEMENTOS!$B$4:$B$803,"INGRESO")+SUMIFS(MOVIMIENTOS_COMPLEMENTOS!$I$4:$I$803,MOVIMIENTOS_COMPLEMENTOS!$C$4:$C$803,A2095,MOVIMIENTOS_COMPLEMENTOS!$D$4:$D$803,B2095,MOVIMIENTOS_COMPLEMENTOS!$E$4:$E$803,C2095,MOVIMIENTOS_COMPLEMENTOS!$F$4:$F$803,D2095,MOVIMIENTOS_COMPLEMENTOS!$G$4:$G$803,E2095,MOVIMIENTOS_COMPLEMENTOS!$H$4:$H$803,G2095,MOVIMIENTOS_COMPLEMENTOS!$B$4:$B$803,"DE CORTE")-SUMIFS(MOVIMIENTOS_COMPLEMENTOS!$I$4:$I$803,MOVIMIENTOS_COMPLEMENTOS!$C$4:$C$803,A2095,MOVIMIENTOS_COMPLEMENTOS!$D$4:$D$803,B2095,MOVIMIENTOS_COMPLEMENTOS!$E$4:$E$803,C2095,MOVIMIENTOS_COMPLEMENTOS!$F$4:$F$803,D2095,MOVIMIENTOS_COMPLEMENTOS!$G$4:$G$803,E2095,MOVIMIENTOS_COMPLEMENTOS!$H$4:$H$803,G2095,MOVIMIENTOS_COMPLEMENTOS!$B$4:$B$803,"SALIDA"),0)</f>
        <v>0</v>
      </c>
      <c r="I2095" s="102">
        <f t="array" ref="I2095">IFERROR(INDEX(PRECIOS_COMPLEMENTOS!$C$4:$F$17,MATCH(B2095&amp;"_"&amp;C2095,PRECIOS_COMPLEMENTOS!$H$4:$H$17,0),IF(OR(G2095="S",G2095="20cm"),1,IF(OR(G2095="M",G2095="25cm"),2,IF(OR(G2095="L",G2095="30cm"),3,IF(OR(G2095="XL",G2095="35cm"),4,0))))),0)</f>
        <v>0.6</v>
      </c>
      <c r="J2095" s="103">
        <f t="shared" si="1"/>
        <v>0</v>
      </c>
      <c r="K2095" s="104" t="str">
        <f>IF(H2095&lt;0,"ERROR",IF(H2095=0,"",IF(H2095&lt;CONFIG!$B$4,"CRÍTICO",IF(H2095&lt;CONFIG!$B$5,"BAJO","OK"))))</f>
        <v/>
      </c>
    </row>
    <row r="2096" ht="15.75" hidden="1" customHeight="1">
      <c r="A2096" s="90" t="str">
        <f>IF(CLIENTES!A5="","",CLIENTES!A5)</f>
        <v>Bravos</v>
      </c>
      <c r="B2096" s="90" t="s">
        <v>331</v>
      </c>
      <c r="C2096" s="91" t="s">
        <v>328</v>
      </c>
      <c r="D2096" s="109" t="s">
        <v>364</v>
      </c>
      <c r="E2096" s="67" t="str">
        <f>COLORES!A7</f>
        <v>Azul</v>
      </c>
      <c r="F2096" s="67" t="str">
        <f>COLORES!B7</f>
        <v>OSCURO</v>
      </c>
      <c r="G2096" s="90" t="s">
        <v>378</v>
      </c>
      <c r="H2096" s="100">
        <f>IFERROR(SUMIFS(MOVIMIENTOS_COMPLEMENTOS!$I$4:$I$803,MOVIMIENTOS_COMPLEMENTOS!$C$4:$C$803,A2096,MOVIMIENTOS_COMPLEMENTOS!$D$4:$D$803,B2096,MOVIMIENTOS_COMPLEMENTOS!$E$4:$E$803,C2096,MOVIMIENTOS_COMPLEMENTOS!$F$4:$F$803,D2096,MOVIMIENTOS_COMPLEMENTOS!$G$4:$G$803,E2096,MOVIMIENTOS_COMPLEMENTOS!$H$4:$H$803,G2096,MOVIMIENTOS_COMPLEMENTOS!$B$4:$B$803,"INGRESO")+SUMIFS(MOVIMIENTOS_COMPLEMENTOS!$I$4:$I$803,MOVIMIENTOS_COMPLEMENTOS!$C$4:$C$803,A2096,MOVIMIENTOS_COMPLEMENTOS!$D$4:$D$803,B2096,MOVIMIENTOS_COMPLEMENTOS!$E$4:$E$803,C2096,MOVIMIENTOS_COMPLEMENTOS!$F$4:$F$803,D2096,MOVIMIENTOS_COMPLEMENTOS!$G$4:$G$803,E2096,MOVIMIENTOS_COMPLEMENTOS!$H$4:$H$803,G2096,MOVIMIENTOS_COMPLEMENTOS!$B$4:$B$803,"DE CORTE")-SUMIFS(MOVIMIENTOS_COMPLEMENTOS!$I$4:$I$803,MOVIMIENTOS_COMPLEMENTOS!$C$4:$C$803,A2096,MOVIMIENTOS_COMPLEMENTOS!$D$4:$D$803,B2096,MOVIMIENTOS_COMPLEMENTOS!$E$4:$E$803,C2096,MOVIMIENTOS_COMPLEMENTOS!$F$4:$F$803,D2096,MOVIMIENTOS_COMPLEMENTOS!$G$4:$G$803,E2096,MOVIMIENTOS_COMPLEMENTOS!$H$4:$H$803,G2096,MOVIMIENTOS_COMPLEMENTOS!$B$4:$B$803,"SALIDA"),0)</f>
        <v>0</v>
      </c>
      <c r="I2096" s="102">
        <f t="array" ref="I2096">IFERROR(INDEX(PRECIOS_COMPLEMENTOS!$C$4:$F$17,MATCH(B2096&amp;"_"&amp;C2096,PRECIOS_COMPLEMENTOS!$H$4:$H$17,0),IF(OR(G2096="S",G2096="20cm"),1,IF(OR(G2096="M",G2096="25cm"),2,IF(OR(G2096="L",G2096="30cm"),3,IF(OR(G2096="XL",G2096="35cm"),4,0))))),0)</f>
        <v>0.6</v>
      </c>
      <c r="J2096" s="103">
        <f t="shared" si="1"/>
        <v>0</v>
      </c>
      <c r="K2096" s="104" t="str">
        <f>IF(H2096&lt;0,"ERROR",IF(H2096=0,"",IF(H2096&lt;CONFIG!$B$4,"CRÍTICO",IF(H2096&lt;CONFIG!$B$5,"BAJO","OK"))))</f>
        <v/>
      </c>
    </row>
    <row r="2097" ht="15.75" hidden="1" customHeight="1">
      <c r="A2097" s="90" t="str">
        <f>IF(CLIENTES!A5="","",CLIENTES!A5)</f>
        <v>Bravos</v>
      </c>
      <c r="B2097" s="90" t="s">
        <v>331</v>
      </c>
      <c r="C2097" s="91" t="s">
        <v>328</v>
      </c>
      <c r="D2097" s="109" t="s">
        <v>364</v>
      </c>
      <c r="E2097" s="67" t="str">
        <f>COLORES!A7</f>
        <v>Azul</v>
      </c>
      <c r="F2097" s="67" t="str">
        <f>COLORES!B7</f>
        <v>OSCURO</v>
      </c>
      <c r="G2097" s="90" t="s">
        <v>376</v>
      </c>
      <c r="H2097" s="100">
        <f>IFERROR(SUMIFS(MOVIMIENTOS_COMPLEMENTOS!$I$4:$I$803,MOVIMIENTOS_COMPLEMENTOS!$C$4:$C$803,A2097,MOVIMIENTOS_COMPLEMENTOS!$D$4:$D$803,B2097,MOVIMIENTOS_COMPLEMENTOS!$E$4:$E$803,C2097,MOVIMIENTOS_COMPLEMENTOS!$F$4:$F$803,D2097,MOVIMIENTOS_COMPLEMENTOS!$G$4:$G$803,E2097,MOVIMIENTOS_COMPLEMENTOS!$H$4:$H$803,G2097,MOVIMIENTOS_COMPLEMENTOS!$B$4:$B$803,"INGRESO")+SUMIFS(MOVIMIENTOS_COMPLEMENTOS!$I$4:$I$803,MOVIMIENTOS_COMPLEMENTOS!$C$4:$C$803,A2097,MOVIMIENTOS_COMPLEMENTOS!$D$4:$D$803,B2097,MOVIMIENTOS_COMPLEMENTOS!$E$4:$E$803,C2097,MOVIMIENTOS_COMPLEMENTOS!$F$4:$F$803,D2097,MOVIMIENTOS_COMPLEMENTOS!$G$4:$G$803,E2097,MOVIMIENTOS_COMPLEMENTOS!$H$4:$H$803,G2097,MOVIMIENTOS_COMPLEMENTOS!$B$4:$B$803,"DE CORTE")-SUMIFS(MOVIMIENTOS_COMPLEMENTOS!$I$4:$I$803,MOVIMIENTOS_COMPLEMENTOS!$C$4:$C$803,A2097,MOVIMIENTOS_COMPLEMENTOS!$D$4:$D$803,B2097,MOVIMIENTOS_COMPLEMENTOS!$E$4:$E$803,C2097,MOVIMIENTOS_COMPLEMENTOS!$F$4:$F$803,D2097,MOVIMIENTOS_COMPLEMENTOS!$G$4:$G$803,E2097,MOVIMIENTOS_COMPLEMENTOS!$H$4:$H$803,G2097,MOVIMIENTOS_COMPLEMENTOS!$B$4:$B$803,"SALIDA"),0)</f>
        <v>0</v>
      </c>
      <c r="I2097" s="102">
        <f t="array" ref="I2097">IFERROR(INDEX(PRECIOS_COMPLEMENTOS!$C$4:$F$17,MATCH(B2097&amp;"_"&amp;C2097,PRECIOS_COMPLEMENTOS!$H$4:$H$17,0),IF(OR(G2097="S",G2097="20cm"),1,IF(OR(G2097="M",G2097="25cm"),2,IF(OR(G2097="L",G2097="30cm"),3,IF(OR(G2097="XL",G2097="35cm"),4,0))))),0)</f>
        <v>0.6</v>
      </c>
      <c r="J2097" s="103">
        <f t="shared" si="1"/>
        <v>0</v>
      </c>
      <c r="K2097" s="104" t="str">
        <f>IF(H2097&lt;0,"ERROR",IF(H2097=0,"",IF(H2097&lt;CONFIG!$B$4,"CRÍTICO",IF(H2097&lt;CONFIG!$B$5,"BAJO","OK"))))</f>
        <v/>
      </c>
    </row>
    <row r="2098" ht="15.75" hidden="1" customHeight="1">
      <c r="A2098" s="90" t="str">
        <f>IF(CLIENTES!A5="","",CLIENTES!A5)</f>
        <v>Bravos</v>
      </c>
      <c r="B2098" s="90" t="s">
        <v>331</v>
      </c>
      <c r="C2098" s="91" t="s">
        <v>328</v>
      </c>
      <c r="D2098" s="109" t="s">
        <v>364</v>
      </c>
      <c r="E2098" s="67" t="str">
        <f>COLORES!A7</f>
        <v>Azul</v>
      </c>
      <c r="F2098" s="67" t="str">
        <f>COLORES!B7</f>
        <v>OSCURO</v>
      </c>
      <c r="G2098" s="90" t="s">
        <v>377</v>
      </c>
      <c r="H2098" s="100">
        <f>IFERROR(SUMIFS(MOVIMIENTOS_COMPLEMENTOS!$I$4:$I$803,MOVIMIENTOS_COMPLEMENTOS!$C$4:$C$803,A2098,MOVIMIENTOS_COMPLEMENTOS!$D$4:$D$803,B2098,MOVIMIENTOS_COMPLEMENTOS!$E$4:$E$803,C2098,MOVIMIENTOS_COMPLEMENTOS!$F$4:$F$803,D2098,MOVIMIENTOS_COMPLEMENTOS!$G$4:$G$803,E2098,MOVIMIENTOS_COMPLEMENTOS!$H$4:$H$803,G2098,MOVIMIENTOS_COMPLEMENTOS!$B$4:$B$803,"INGRESO")+SUMIFS(MOVIMIENTOS_COMPLEMENTOS!$I$4:$I$803,MOVIMIENTOS_COMPLEMENTOS!$C$4:$C$803,A2098,MOVIMIENTOS_COMPLEMENTOS!$D$4:$D$803,B2098,MOVIMIENTOS_COMPLEMENTOS!$E$4:$E$803,C2098,MOVIMIENTOS_COMPLEMENTOS!$F$4:$F$803,D2098,MOVIMIENTOS_COMPLEMENTOS!$G$4:$G$803,E2098,MOVIMIENTOS_COMPLEMENTOS!$H$4:$H$803,G2098,MOVIMIENTOS_COMPLEMENTOS!$B$4:$B$803,"DE CORTE")-SUMIFS(MOVIMIENTOS_COMPLEMENTOS!$I$4:$I$803,MOVIMIENTOS_COMPLEMENTOS!$C$4:$C$803,A2098,MOVIMIENTOS_COMPLEMENTOS!$D$4:$D$803,B2098,MOVIMIENTOS_COMPLEMENTOS!$E$4:$E$803,C2098,MOVIMIENTOS_COMPLEMENTOS!$F$4:$F$803,D2098,MOVIMIENTOS_COMPLEMENTOS!$G$4:$G$803,E2098,MOVIMIENTOS_COMPLEMENTOS!$H$4:$H$803,G2098,MOVIMIENTOS_COMPLEMENTOS!$B$4:$B$803,"SALIDA"),0)</f>
        <v>0</v>
      </c>
      <c r="I2098" s="102">
        <f t="array" ref="I2098">IFERROR(INDEX(PRECIOS_COMPLEMENTOS!$C$4:$F$17,MATCH(B2098&amp;"_"&amp;C2098,PRECIOS_COMPLEMENTOS!$H$4:$H$17,0),IF(OR(G2098="S",G2098="20cm"),1,IF(OR(G2098="M",G2098="25cm"),2,IF(OR(G2098="L",G2098="30cm"),3,IF(OR(G2098="XL",G2098="35cm"),4,0))))),0)</f>
        <v>0.6</v>
      </c>
      <c r="J2098" s="103">
        <f t="shared" si="1"/>
        <v>0</v>
      </c>
      <c r="K2098" s="104" t="str">
        <f>IF(H2098&lt;0,"ERROR",IF(H2098=0,"",IF(H2098&lt;CONFIG!$B$4,"CRÍTICO",IF(H2098&lt;CONFIG!$B$5,"BAJO","OK"))))</f>
        <v/>
      </c>
    </row>
    <row r="2099" ht="15.75" hidden="1" customHeight="1">
      <c r="A2099" s="90" t="str">
        <f>IF(CLIENTES!A5="","",CLIENTES!A5)</f>
        <v>Bravos</v>
      </c>
      <c r="B2099" s="90" t="s">
        <v>331</v>
      </c>
      <c r="C2099" s="91" t="s">
        <v>328</v>
      </c>
      <c r="D2099" s="109" t="s">
        <v>364</v>
      </c>
      <c r="E2099" s="67" t="str">
        <f>COLORES!A7</f>
        <v>Azul</v>
      </c>
      <c r="F2099" s="67" t="str">
        <f>COLORES!B7</f>
        <v>OSCURO</v>
      </c>
      <c r="G2099" s="90" t="s">
        <v>379</v>
      </c>
      <c r="H2099" s="100">
        <f>IFERROR(SUMIFS(MOVIMIENTOS_COMPLEMENTOS!$I$4:$I$803,MOVIMIENTOS_COMPLEMENTOS!$C$4:$C$803,A2099,MOVIMIENTOS_COMPLEMENTOS!$D$4:$D$803,B2099,MOVIMIENTOS_COMPLEMENTOS!$E$4:$E$803,C2099,MOVIMIENTOS_COMPLEMENTOS!$F$4:$F$803,D2099,MOVIMIENTOS_COMPLEMENTOS!$G$4:$G$803,E2099,MOVIMIENTOS_COMPLEMENTOS!$H$4:$H$803,G2099,MOVIMIENTOS_COMPLEMENTOS!$B$4:$B$803,"INGRESO")+SUMIFS(MOVIMIENTOS_COMPLEMENTOS!$I$4:$I$803,MOVIMIENTOS_COMPLEMENTOS!$C$4:$C$803,A2099,MOVIMIENTOS_COMPLEMENTOS!$D$4:$D$803,B2099,MOVIMIENTOS_COMPLEMENTOS!$E$4:$E$803,C2099,MOVIMIENTOS_COMPLEMENTOS!$F$4:$F$803,D2099,MOVIMIENTOS_COMPLEMENTOS!$G$4:$G$803,E2099,MOVIMIENTOS_COMPLEMENTOS!$H$4:$H$803,G2099,MOVIMIENTOS_COMPLEMENTOS!$B$4:$B$803,"DE CORTE")-SUMIFS(MOVIMIENTOS_COMPLEMENTOS!$I$4:$I$803,MOVIMIENTOS_COMPLEMENTOS!$C$4:$C$803,A2099,MOVIMIENTOS_COMPLEMENTOS!$D$4:$D$803,B2099,MOVIMIENTOS_COMPLEMENTOS!$E$4:$E$803,C2099,MOVIMIENTOS_COMPLEMENTOS!$F$4:$F$803,D2099,MOVIMIENTOS_COMPLEMENTOS!$G$4:$G$803,E2099,MOVIMIENTOS_COMPLEMENTOS!$H$4:$H$803,G2099,MOVIMIENTOS_COMPLEMENTOS!$B$4:$B$803,"SALIDA"),0)</f>
        <v>0</v>
      </c>
      <c r="I2099" s="102">
        <f t="array" ref="I2099">IFERROR(INDEX(PRECIOS_COMPLEMENTOS!$C$4:$F$17,MATCH(B2099&amp;"_"&amp;C2099,PRECIOS_COMPLEMENTOS!$H$4:$H$17,0),IF(OR(G2099="S",G2099="20cm"),1,IF(OR(G2099="M",G2099="25cm"),2,IF(OR(G2099="L",G2099="30cm"),3,IF(OR(G2099="XL",G2099="35cm"),4,0))))),0)</f>
        <v>0.6</v>
      </c>
      <c r="J2099" s="103">
        <f t="shared" si="1"/>
        <v>0</v>
      </c>
      <c r="K2099" s="104" t="str">
        <f>IF(H2099&lt;0,"ERROR",IF(H2099=0,"",IF(H2099&lt;CONFIG!$B$4,"CRÍTICO",IF(H2099&lt;CONFIG!$B$5,"BAJO","OK"))))</f>
        <v/>
      </c>
    </row>
    <row r="2100" ht="15.75" hidden="1" customHeight="1">
      <c r="A2100" s="90" t="str">
        <f>IF(CLIENTES!A5="","",CLIENTES!A5)</f>
        <v>Bravos</v>
      </c>
      <c r="B2100" s="90" t="s">
        <v>331</v>
      </c>
      <c r="C2100" s="91" t="s">
        <v>328</v>
      </c>
      <c r="D2100" s="109" t="s">
        <v>364</v>
      </c>
      <c r="E2100" s="67" t="str">
        <f>COLORES!A8</f>
        <v>Beige</v>
      </c>
      <c r="F2100" s="67" t="str">
        <f>COLORES!B8</f>
        <v>CLARO</v>
      </c>
      <c r="G2100" s="90" t="s">
        <v>378</v>
      </c>
      <c r="H2100" s="100">
        <f>IFERROR(SUMIFS(MOVIMIENTOS_COMPLEMENTOS!$I$4:$I$803,MOVIMIENTOS_COMPLEMENTOS!$C$4:$C$803,A2100,MOVIMIENTOS_COMPLEMENTOS!$D$4:$D$803,B2100,MOVIMIENTOS_COMPLEMENTOS!$E$4:$E$803,C2100,MOVIMIENTOS_COMPLEMENTOS!$F$4:$F$803,D2100,MOVIMIENTOS_COMPLEMENTOS!$G$4:$G$803,E2100,MOVIMIENTOS_COMPLEMENTOS!$H$4:$H$803,G2100,MOVIMIENTOS_COMPLEMENTOS!$B$4:$B$803,"INGRESO")+SUMIFS(MOVIMIENTOS_COMPLEMENTOS!$I$4:$I$803,MOVIMIENTOS_COMPLEMENTOS!$C$4:$C$803,A2100,MOVIMIENTOS_COMPLEMENTOS!$D$4:$D$803,B2100,MOVIMIENTOS_COMPLEMENTOS!$E$4:$E$803,C2100,MOVIMIENTOS_COMPLEMENTOS!$F$4:$F$803,D2100,MOVIMIENTOS_COMPLEMENTOS!$G$4:$G$803,E2100,MOVIMIENTOS_COMPLEMENTOS!$H$4:$H$803,G2100,MOVIMIENTOS_COMPLEMENTOS!$B$4:$B$803,"DE CORTE")-SUMIFS(MOVIMIENTOS_COMPLEMENTOS!$I$4:$I$803,MOVIMIENTOS_COMPLEMENTOS!$C$4:$C$803,A2100,MOVIMIENTOS_COMPLEMENTOS!$D$4:$D$803,B2100,MOVIMIENTOS_COMPLEMENTOS!$E$4:$E$803,C2100,MOVIMIENTOS_COMPLEMENTOS!$F$4:$F$803,D2100,MOVIMIENTOS_COMPLEMENTOS!$G$4:$G$803,E2100,MOVIMIENTOS_COMPLEMENTOS!$H$4:$H$803,G2100,MOVIMIENTOS_COMPLEMENTOS!$B$4:$B$803,"SALIDA"),0)</f>
        <v>0</v>
      </c>
      <c r="I2100" s="102">
        <f t="array" ref="I2100">IFERROR(INDEX(PRECIOS_COMPLEMENTOS!$C$4:$F$17,MATCH(B2100&amp;"_"&amp;C2100,PRECIOS_COMPLEMENTOS!$H$4:$H$17,0),IF(OR(G2100="S",G2100="20cm"),1,IF(OR(G2100="M",G2100="25cm"),2,IF(OR(G2100="L",G2100="30cm"),3,IF(OR(G2100="XL",G2100="35cm"),4,0))))),0)</f>
        <v>0.6</v>
      </c>
      <c r="J2100" s="103">
        <f t="shared" si="1"/>
        <v>0</v>
      </c>
      <c r="K2100" s="104" t="str">
        <f>IF(H2100&lt;0,"ERROR",IF(H2100=0,"",IF(H2100&lt;CONFIG!$B$4,"CRÍTICO",IF(H2100&lt;CONFIG!$B$5,"BAJO","OK"))))</f>
        <v/>
      </c>
    </row>
    <row r="2101" ht="15.75" hidden="1" customHeight="1">
      <c r="A2101" s="90" t="str">
        <f>IF(CLIENTES!A5="","",CLIENTES!A5)</f>
        <v>Bravos</v>
      </c>
      <c r="B2101" s="90" t="s">
        <v>331</v>
      </c>
      <c r="C2101" s="91" t="s">
        <v>328</v>
      </c>
      <c r="D2101" s="109" t="s">
        <v>364</v>
      </c>
      <c r="E2101" s="67" t="str">
        <f>COLORES!A8</f>
        <v>Beige</v>
      </c>
      <c r="F2101" s="67" t="str">
        <f>COLORES!B8</f>
        <v>CLARO</v>
      </c>
      <c r="G2101" s="90" t="s">
        <v>376</v>
      </c>
      <c r="H2101" s="100">
        <f>IFERROR(SUMIFS(MOVIMIENTOS_COMPLEMENTOS!$I$4:$I$803,MOVIMIENTOS_COMPLEMENTOS!$C$4:$C$803,A2101,MOVIMIENTOS_COMPLEMENTOS!$D$4:$D$803,B2101,MOVIMIENTOS_COMPLEMENTOS!$E$4:$E$803,C2101,MOVIMIENTOS_COMPLEMENTOS!$F$4:$F$803,D2101,MOVIMIENTOS_COMPLEMENTOS!$G$4:$G$803,E2101,MOVIMIENTOS_COMPLEMENTOS!$H$4:$H$803,G2101,MOVIMIENTOS_COMPLEMENTOS!$B$4:$B$803,"INGRESO")+SUMIFS(MOVIMIENTOS_COMPLEMENTOS!$I$4:$I$803,MOVIMIENTOS_COMPLEMENTOS!$C$4:$C$803,A2101,MOVIMIENTOS_COMPLEMENTOS!$D$4:$D$803,B2101,MOVIMIENTOS_COMPLEMENTOS!$E$4:$E$803,C2101,MOVIMIENTOS_COMPLEMENTOS!$F$4:$F$803,D2101,MOVIMIENTOS_COMPLEMENTOS!$G$4:$G$803,E2101,MOVIMIENTOS_COMPLEMENTOS!$H$4:$H$803,G2101,MOVIMIENTOS_COMPLEMENTOS!$B$4:$B$803,"DE CORTE")-SUMIFS(MOVIMIENTOS_COMPLEMENTOS!$I$4:$I$803,MOVIMIENTOS_COMPLEMENTOS!$C$4:$C$803,A2101,MOVIMIENTOS_COMPLEMENTOS!$D$4:$D$803,B2101,MOVIMIENTOS_COMPLEMENTOS!$E$4:$E$803,C2101,MOVIMIENTOS_COMPLEMENTOS!$F$4:$F$803,D2101,MOVIMIENTOS_COMPLEMENTOS!$G$4:$G$803,E2101,MOVIMIENTOS_COMPLEMENTOS!$H$4:$H$803,G2101,MOVIMIENTOS_COMPLEMENTOS!$B$4:$B$803,"SALIDA"),0)</f>
        <v>0</v>
      </c>
      <c r="I2101" s="102">
        <f t="array" ref="I2101">IFERROR(INDEX(PRECIOS_COMPLEMENTOS!$C$4:$F$17,MATCH(B2101&amp;"_"&amp;C2101,PRECIOS_COMPLEMENTOS!$H$4:$H$17,0),IF(OR(G2101="S",G2101="20cm"),1,IF(OR(G2101="M",G2101="25cm"),2,IF(OR(G2101="L",G2101="30cm"),3,IF(OR(G2101="XL",G2101="35cm"),4,0))))),0)</f>
        <v>0.6</v>
      </c>
      <c r="J2101" s="103">
        <f t="shared" si="1"/>
        <v>0</v>
      </c>
      <c r="K2101" s="104" t="str">
        <f>IF(H2101&lt;0,"ERROR",IF(H2101=0,"",IF(H2101&lt;CONFIG!$B$4,"CRÍTICO",IF(H2101&lt;CONFIG!$B$5,"BAJO","OK"))))</f>
        <v/>
      </c>
    </row>
    <row r="2102" ht="15.75" hidden="1" customHeight="1">
      <c r="A2102" s="90" t="str">
        <f>IF(CLIENTES!A5="","",CLIENTES!A5)</f>
        <v>Bravos</v>
      </c>
      <c r="B2102" s="90" t="s">
        <v>331</v>
      </c>
      <c r="C2102" s="91" t="s">
        <v>328</v>
      </c>
      <c r="D2102" s="109" t="s">
        <v>364</v>
      </c>
      <c r="E2102" s="67" t="str">
        <f>COLORES!A8</f>
        <v>Beige</v>
      </c>
      <c r="F2102" s="67" t="str">
        <f>COLORES!B8</f>
        <v>CLARO</v>
      </c>
      <c r="G2102" s="90" t="s">
        <v>377</v>
      </c>
      <c r="H2102" s="100">
        <f>IFERROR(SUMIFS(MOVIMIENTOS_COMPLEMENTOS!$I$4:$I$803,MOVIMIENTOS_COMPLEMENTOS!$C$4:$C$803,A2102,MOVIMIENTOS_COMPLEMENTOS!$D$4:$D$803,B2102,MOVIMIENTOS_COMPLEMENTOS!$E$4:$E$803,C2102,MOVIMIENTOS_COMPLEMENTOS!$F$4:$F$803,D2102,MOVIMIENTOS_COMPLEMENTOS!$G$4:$G$803,E2102,MOVIMIENTOS_COMPLEMENTOS!$H$4:$H$803,G2102,MOVIMIENTOS_COMPLEMENTOS!$B$4:$B$803,"INGRESO")+SUMIFS(MOVIMIENTOS_COMPLEMENTOS!$I$4:$I$803,MOVIMIENTOS_COMPLEMENTOS!$C$4:$C$803,A2102,MOVIMIENTOS_COMPLEMENTOS!$D$4:$D$803,B2102,MOVIMIENTOS_COMPLEMENTOS!$E$4:$E$803,C2102,MOVIMIENTOS_COMPLEMENTOS!$F$4:$F$803,D2102,MOVIMIENTOS_COMPLEMENTOS!$G$4:$G$803,E2102,MOVIMIENTOS_COMPLEMENTOS!$H$4:$H$803,G2102,MOVIMIENTOS_COMPLEMENTOS!$B$4:$B$803,"DE CORTE")-SUMIFS(MOVIMIENTOS_COMPLEMENTOS!$I$4:$I$803,MOVIMIENTOS_COMPLEMENTOS!$C$4:$C$803,A2102,MOVIMIENTOS_COMPLEMENTOS!$D$4:$D$803,B2102,MOVIMIENTOS_COMPLEMENTOS!$E$4:$E$803,C2102,MOVIMIENTOS_COMPLEMENTOS!$F$4:$F$803,D2102,MOVIMIENTOS_COMPLEMENTOS!$G$4:$G$803,E2102,MOVIMIENTOS_COMPLEMENTOS!$H$4:$H$803,G2102,MOVIMIENTOS_COMPLEMENTOS!$B$4:$B$803,"SALIDA"),0)</f>
        <v>0</v>
      </c>
      <c r="I2102" s="102">
        <f t="array" ref="I2102">IFERROR(INDEX(PRECIOS_COMPLEMENTOS!$C$4:$F$17,MATCH(B2102&amp;"_"&amp;C2102,PRECIOS_COMPLEMENTOS!$H$4:$H$17,0),IF(OR(G2102="S",G2102="20cm"),1,IF(OR(G2102="M",G2102="25cm"),2,IF(OR(G2102="L",G2102="30cm"),3,IF(OR(G2102="XL",G2102="35cm"),4,0))))),0)</f>
        <v>0.6</v>
      </c>
      <c r="J2102" s="103">
        <f t="shared" si="1"/>
        <v>0</v>
      </c>
      <c r="K2102" s="104" t="str">
        <f>IF(H2102&lt;0,"ERROR",IF(H2102=0,"",IF(H2102&lt;CONFIG!$B$4,"CRÍTICO",IF(H2102&lt;CONFIG!$B$5,"BAJO","OK"))))</f>
        <v/>
      </c>
    </row>
    <row r="2103" ht="15.75" hidden="1" customHeight="1">
      <c r="A2103" s="90" t="str">
        <f>IF(CLIENTES!A5="","",CLIENTES!A5)</f>
        <v>Bravos</v>
      </c>
      <c r="B2103" s="90" t="s">
        <v>331</v>
      </c>
      <c r="C2103" s="91" t="s">
        <v>328</v>
      </c>
      <c r="D2103" s="109" t="s">
        <v>364</v>
      </c>
      <c r="E2103" s="67" t="str">
        <f>COLORES!A8</f>
        <v>Beige</v>
      </c>
      <c r="F2103" s="67" t="str">
        <f>COLORES!B8</f>
        <v>CLARO</v>
      </c>
      <c r="G2103" s="90" t="s">
        <v>379</v>
      </c>
      <c r="H2103" s="100">
        <f>IFERROR(SUMIFS(MOVIMIENTOS_COMPLEMENTOS!$I$4:$I$803,MOVIMIENTOS_COMPLEMENTOS!$C$4:$C$803,A2103,MOVIMIENTOS_COMPLEMENTOS!$D$4:$D$803,B2103,MOVIMIENTOS_COMPLEMENTOS!$E$4:$E$803,C2103,MOVIMIENTOS_COMPLEMENTOS!$F$4:$F$803,D2103,MOVIMIENTOS_COMPLEMENTOS!$G$4:$G$803,E2103,MOVIMIENTOS_COMPLEMENTOS!$H$4:$H$803,G2103,MOVIMIENTOS_COMPLEMENTOS!$B$4:$B$803,"INGRESO")+SUMIFS(MOVIMIENTOS_COMPLEMENTOS!$I$4:$I$803,MOVIMIENTOS_COMPLEMENTOS!$C$4:$C$803,A2103,MOVIMIENTOS_COMPLEMENTOS!$D$4:$D$803,B2103,MOVIMIENTOS_COMPLEMENTOS!$E$4:$E$803,C2103,MOVIMIENTOS_COMPLEMENTOS!$F$4:$F$803,D2103,MOVIMIENTOS_COMPLEMENTOS!$G$4:$G$803,E2103,MOVIMIENTOS_COMPLEMENTOS!$H$4:$H$803,G2103,MOVIMIENTOS_COMPLEMENTOS!$B$4:$B$803,"DE CORTE")-SUMIFS(MOVIMIENTOS_COMPLEMENTOS!$I$4:$I$803,MOVIMIENTOS_COMPLEMENTOS!$C$4:$C$803,A2103,MOVIMIENTOS_COMPLEMENTOS!$D$4:$D$803,B2103,MOVIMIENTOS_COMPLEMENTOS!$E$4:$E$803,C2103,MOVIMIENTOS_COMPLEMENTOS!$F$4:$F$803,D2103,MOVIMIENTOS_COMPLEMENTOS!$G$4:$G$803,E2103,MOVIMIENTOS_COMPLEMENTOS!$H$4:$H$803,G2103,MOVIMIENTOS_COMPLEMENTOS!$B$4:$B$803,"SALIDA"),0)</f>
        <v>0</v>
      </c>
      <c r="I2103" s="102">
        <f t="array" ref="I2103">IFERROR(INDEX(PRECIOS_COMPLEMENTOS!$C$4:$F$17,MATCH(B2103&amp;"_"&amp;C2103,PRECIOS_COMPLEMENTOS!$H$4:$H$17,0),IF(OR(G2103="S",G2103="20cm"),1,IF(OR(G2103="M",G2103="25cm"),2,IF(OR(G2103="L",G2103="30cm"),3,IF(OR(G2103="XL",G2103="35cm"),4,0))))),0)</f>
        <v>0.6</v>
      </c>
      <c r="J2103" s="103">
        <f t="shared" si="1"/>
        <v>0</v>
      </c>
      <c r="K2103" s="104" t="str">
        <f>IF(H2103&lt;0,"ERROR",IF(H2103=0,"",IF(H2103&lt;CONFIG!$B$4,"CRÍTICO",IF(H2103&lt;CONFIG!$B$5,"BAJO","OK"))))</f>
        <v/>
      </c>
    </row>
    <row r="2104" ht="15.75" hidden="1" customHeight="1">
      <c r="A2104" s="90" t="str">
        <f>IF(CLIENTES!A5="","",CLIENTES!A5)</f>
        <v>Bravos</v>
      </c>
      <c r="B2104" s="90" t="s">
        <v>331</v>
      </c>
      <c r="C2104" s="91" t="s">
        <v>328</v>
      </c>
      <c r="D2104" s="109" t="s">
        <v>364</v>
      </c>
      <c r="E2104" s="67" t="str">
        <f>COLORES!A9</f>
        <v>Melange</v>
      </c>
      <c r="F2104" s="67" t="str">
        <f>COLORES!B9</f>
        <v>MELANGE</v>
      </c>
      <c r="G2104" s="90" t="s">
        <v>378</v>
      </c>
      <c r="H2104" s="100">
        <f>IFERROR(SUMIFS(MOVIMIENTOS_COMPLEMENTOS!$I$4:$I$803,MOVIMIENTOS_COMPLEMENTOS!$C$4:$C$803,A2104,MOVIMIENTOS_COMPLEMENTOS!$D$4:$D$803,B2104,MOVIMIENTOS_COMPLEMENTOS!$E$4:$E$803,C2104,MOVIMIENTOS_COMPLEMENTOS!$F$4:$F$803,D2104,MOVIMIENTOS_COMPLEMENTOS!$G$4:$G$803,E2104,MOVIMIENTOS_COMPLEMENTOS!$H$4:$H$803,G2104,MOVIMIENTOS_COMPLEMENTOS!$B$4:$B$803,"INGRESO")+SUMIFS(MOVIMIENTOS_COMPLEMENTOS!$I$4:$I$803,MOVIMIENTOS_COMPLEMENTOS!$C$4:$C$803,A2104,MOVIMIENTOS_COMPLEMENTOS!$D$4:$D$803,B2104,MOVIMIENTOS_COMPLEMENTOS!$E$4:$E$803,C2104,MOVIMIENTOS_COMPLEMENTOS!$F$4:$F$803,D2104,MOVIMIENTOS_COMPLEMENTOS!$G$4:$G$803,E2104,MOVIMIENTOS_COMPLEMENTOS!$H$4:$H$803,G2104,MOVIMIENTOS_COMPLEMENTOS!$B$4:$B$803,"DE CORTE")-SUMIFS(MOVIMIENTOS_COMPLEMENTOS!$I$4:$I$803,MOVIMIENTOS_COMPLEMENTOS!$C$4:$C$803,A2104,MOVIMIENTOS_COMPLEMENTOS!$D$4:$D$803,B2104,MOVIMIENTOS_COMPLEMENTOS!$E$4:$E$803,C2104,MOVIMIENTOS_COMPLEMENTOS!$F$4:$F$803,D2104,MOVIMIENTOS_COMPLEMENTOS!$G$4:$G$803,E2104,MOVIMIENTOS_COMPLEMENTOS!$H$4:$H$803,G2104,MOVIMIENTOS_COMPLEMENTOS!$B$4:$B$803,"SALIDA"),0)</f>
        <v>0</v>
      </c>
      <c r="I2104" s="102">
        <f t="array" ref="I2104">IFERROR(INDEX(PRECIOS_COMPLEMENTOS!$C$4:$F$17,MATCH(B2104&amp;"_"&amp;C2104,PRECIOS_COMPLEMENTOS!$H$4:$H$17,0),IF(OR(G2104="S",G2104="20cm"),1,IF(OR(G2104="M",G2104="25cm"),2,IF(OR(G2104="L",G2104="30cm"),3,IF(OR(G2104="XL",G2104="35cm"),4,0))))),0)</f>
        <v>0.6</v>
      </c>
      <c r="J2104" s="103">
        <f t="shared" si="1"/>
        <v>0</v>
      </c>
      <c r="K2104" s="104" t="str">
        <f>IF(H2104&lt;0,"ERROR",IF(H2104=0,"",IF(H2104&lt;CONFIG!$B$4,"CRÍTICO",IF(H2104&lt;CONFIG!$B$5,"BAJO","OK"))))</f>
        <v/>
      </c>
    </row>
    <row r="2105" ht="15.75" hidden="1" customHeight="1">
      <c r="A2105" s="90" t="str">
        <f>IF(CLIENTES!A5="","",CLIENTES!A5)</f>
        <v>Bravos</v>
      </c>
      <c r="B2105" s="90" t="s">
        <v>331</v>
      </c>
      <c r="C2105" s="91" t="s">
        <v>328</v>
      </c>
      <c r="D2105" s="109" t="s">
        <v>364</v>
      </c>
      <c r="E2105" s="67" t="str">
        <f>COLORES!A9</f>
        <v>Melange</v>
      </c>
      <c r="F2105" s="67" t="str">
        <f>COLORES!B9</f>
        <v>MELANGE</v>
      </c>
      <c r="G2105" s="90" t="s">
        <v>376</v>
      </c>
      <c r="H2105" s="100">
        <f>IFERROR(SUMIFS(MOVIMIENTOS_COMPLEMENTOS!$I$4:$I$803,MOVIMIENTOS_COMPLEMENTOS!$C$4:$C$803,A2105,MOVIMIENTOS_COMPLEMENTOS!$D$4:$D$803,B2105,MOVIMIENTOS_COMPLEMENTOS!$E$4:$E$803,C2105,MOVIMIENTOS_COMPLEMENTOS!$F$4:$F$803,D2105,MOVIMIENTOS_COMPLEMENTOS!$G$4:$G$803,E2105,MOVIMIENTOS_COMPLEMENTOS!$H$4:$H$803,G2105,MOVIMIENTOS_COMPLEMENTOS!$B$4:$B$803,"INGRESO")+SUMIFS(MOVIMIENTOS_COMPLEMENTOS!$I$4:$I$803,MOVIMIENTOS_COMPLEMENTOS!$C$4:$C$803,A2105,MOVIMIENTOS_COMPLEMENTOS!$D$4:$D$803,B2105,MOVIMIENTOS_COMPLEMENTOS!$E$4:$E$803,C2105,MOVIMIENTOS_COMPLEMENTOS!$F$4:$F$803,D2105,MOVIMIENTOS_COMPLEMENTOS!$G$4:$G$803,E2105,MOVIMIENTOS_COMPLEMENTOS!$H$4:$H$803,G2105,MOVIMIENTOS_COMPLEMENTOS!$B$4:$B$803,"DE CORTE")-SUMIFS(MOVIMIENTOS_COMPLEMENTOS!$I$4:$I$803,MOVIMIENTOS_COMPLEMENTOS!$C$4:$C$803,A2105,MOVIMIENTOS_COMPLEMENTOS!$D$4:$D$803,B2105,MOVIMIENTOS_COMPLEMENTOS!$E$4:$E$803,C2105,MOVIMIENTOS_COMPLEMENTOS!$F$4:$F$803,D2105,MOVIMIENTOS_COMPLEMENTOS!$G$4:$G$803,E2105,MOVIMIENTOS_COMPLEMENTOS!$H$4:$H$803,G2105,MOVIMIENTOS_COMPLEMENTOS!$B$4:$B$803,"SALIDA"),0)</f>
        <v>0</v>
      </c>
      <c r="I2105" s="102">
        <f t="array" ref="I2105">IFERROR(INDEX(PRECIOS_COMPLEMENTOS!$C$4:$F$17,MATCH(B2105&amp;"_"&amp;C2105,PRECIOS_COMPLEMENTOS!$H$4:$H$17,0),IF(OR(G2105="S",G2105="20cm"),1,IF(OR(G2105="M",G2105="25cm"),2,IF(OR(G2105="L",G2105="30cm"),3,IF(OR(G2105="XL",G2105="35cm"),4,0))))),0)</f>
        <v>0.6</v>
      </c>
      <c r="J2105" s="103">
        <f t="shared" si="1"/>
        <v>0</v>
      </c>
      <c r="K2105" s="104" t="str">
        <f>IF(H2105&lt;0,"ERROR",IF(H2105=0,"",IF(H2105&lt;CONFIG!$B$4,"CRÍTICO",IF(H2105&lt;CONFIG!$B$5,"BAJO","OK"))))</f>
        <v/>
      </c>
    </row>
    <row r="2106" ht="15.75" hidden="1" customHeight="1">
      <c r="A2106" s="90" t="str">
        <f>IF(CLIENTES!A5="","",CLIENTES!A5)</f>
        <v>Bravos</v>
      </c>
      <c r="B2106" s="90" t="s">
        <v>331</v>
      </c>
      <c r="C2106" s="91" t="s">
        <v>328</v>
      </c>
      <c r="D2106" s="109" t="s">
        <v>364</v>
      </c>
      <c r="E2106" s="67" t="str">
        <f>COLORES!A9</f>
        <v>Melange</v>
      </c>
      <c r="F2106" s="67" t="str">
        <f>COLORES!B9</f>
        <v>MELANGE</v>
      </c>
      <c r="G2106" s="90" t="s">
        <v>377</v>
      </c>
      <c r="H2106" s="100">
        <f>IFERROR(SUMIFS(MOVIMIENTOS_COMPLEMENTOS!$I$4:$I$803,MOVIMIENTOS_COMPLEMENTOS!$C$4:$C$803,A2106,MOVIMIENTOS_COMPLEMENTOS!$D$4:$D$803,B2106,MOVIMIENTOS_COMPLEMENTOS!$E$4:$E$803,C2106,MOVIMIENTOS_COMPLEMENTOS!$F$4:$F$803,D2106,MOVIMIENTOS_COMPLEMENTOS!$G$4:$G$803,E2106,MOVIMIENTOS_COMPLEMENTOS!$H$4:$H$803,G2106,MOVIMIENTOS_COMPLEMENTOS!$B$4:$B$803,"INGRESO")+SUMIFS(MOVIMIENTOS_COMPLEMENTOS!$I$4:$I$803,MOVIMIENTOS_COMPLEMENTOS!$C$4:$C$803,A2106,MOVIMIENTOS_COMPLEMENTOS!$D$4:$D$803,B2106,MOVIMIENTOS_COMPLEMENTOS!$E$4:$E$803,C2106,MOVIMIENTOS_COMPLEMENTOS!$F$4:$F$803,D2106,MOVIMIENTOS_COMPLEMENTOS!$G$4:$G$803,E2106,MOVIMIENTOS_COMPLEMENTOS!$H$4:$H$803,G2106,MOVIMIENTOS_COMPLEMENTOS!$B$4:$B$803,"DE CORTE")-SUMIFS(MOVIMIENTOS_COMPLEMENTOS!$I$4:$I$803,MOVIMIENTOS_COMPLEMENTOS!$C$4:$C$803,A2106,MOVIMIENTOS_COMPLEMENTOS!$D$4:$D$803,B2106,MOVIMIENTOS_COMPLEMENTOS!$E$4:$E$803,C2106,MOVIMIENTOS_COMPLEMENTOS!$F$4:$F$803,D2106,MOVIMIENTOS_COMPLEMENTOS!$G$4:$G$803,E2106,MOVIMIENTOS_COMPLEMENTOS!$H$4:$H$803,G2106,MOVIMIENTOS_COMPLEMENTOS!$B$4:$B$803,"SALIDA"),0)</f>
        <v>0</v>
      </c>
      <c r="I2106" s="102">
        <f t="array" ref="I2106">IFERROR(INDEX(PRECIOS_COMPLEMENTOS!$C$4:$F$17,MATCH(B2106&amp;"_"&amp;C2106,PRECIOS_COMPLEMENTOS!$H$4:$H$17,0),IF(OR(G2106="S",G2106="20cm"),1,IF(OR(G2106="M",G2106="25cm"),2,IF(OR(G2106="L",G2106="30cm"),3,IF(OR(G2106="XL",G2106="35cm"),4,0))))),0)</f>
        <v>0.6</v>
      </c>
      <c r="J2106" s="103">
        <f t="shared" si="1"/>
        <v>0</v>
      </c>
      <c r="K2106" s="104" t="str">
        <f>IF(H2106&lt;0,"ERROR",IF(H2106=0,"",IF(H2106&lt;CONFIG!$B$4,"CRÍTICO",IF(H2106&lt;CONFIG!$B$5,"BAJO","OK"))))</f>
        <v/>
      </c>
    </row>
    <row r="2107" ht="15.75" hidden="1" customHeight="1">
      <c r="A2107" s="90" t="str">
        <f>IF(CLIENTES!A5="","",CLIENTES!A5)</f>
        <v>Bravos</v>
      </c>
      <c r="B2107" s="90" t="s">
        <v>331</v>
      </c>
      <c r="C2107" s="91" t="s">
        <v>328</v>
      </c>
      <c r="D2107" s="109" t="s">
        <v>364</v>
      </c>
      <c r="E2107" s="67" t="str">
        <f>COLORES!A9</f>
        <v>Melange</v>
      </c>
      <c r="F2107" s="67" t="str">
        <f>COLORES!B9</f>
        <v>MELANGE</v>
      </c>
      <c r="G2107" s="90" t="s">
        <v>379</v>
      </c>
      <c r="H2107" s="100">
        <f>IFERROR(SUMIFS(MOVIMIENTOS_COMPLEMENTOS!$I$4:$I$803,MOVIMIENTOS_COMPLEMENTOS!$C$4:$C$803,A2107,MOVIMIENTOS_COMPLEMENTOS!$D$4:$D$803,B2107,MOVIMIENTOS_COMPLEMENTOS!$E$4:$E$803,C2107,MOVIMIENTOS_COMPLEMENTOS!$F$4:$F$803,D2107,MOVIMIENTOS_COMPLEMENTOS!$G$4:$G$803,E2107,MOVIMIENTOS_COMPLEMENTOS!$H$4:$H$803,G2107,MOVIMIENTOS_COMPLEMENTOS!$B$4:$B$803,"INGRESO")+SUMIFS(MOVIMIENTOS_COMPLEMENTOS!$I$4:$I$803,MOVIMIENTOS_COMPLEMENTOS!$C$4:$C$803,A2107,MOVIMIENTOS_COMPLEMENTOS!$D$4:$D$803,B2107,MOVIMIENTOS_COMPLEMENTOS!$E$4:$E$803,C2107,MOVIMIENTOS_COMPLEMENTOS!$F$4:$F$803,D2107,MOVIMIENTOS_COMPLEMENTOS!$G$4:$G$803,E2107,MOVIMIENTOS_COMPLEMENTOS!$H$4:$H$803,G2107,MOVIMIENTOS_COMPLEMENTOS!$B$4:$B$803,"DE CORTE")-SUMIFS(MOVIMIENTOS_COMPLEMENTOS!$I$4:$I$803,MOVIMIENTOS_COMPLEMENTOS!$C$4:$C$803,A2107,MOVIMIENTOS_COMPLEMENTOS!$D$4:$D$803,B2107,MOVIMIENTOS_COMPLEMENTOS!$E$4:$E$803,C2107,MOVIMIENTOS_COMPLEMENTOS!$F$4:$F$803,D2107,MOVIMIENTOS_COMPLEMENTOS!$G$4:$G$803,E2107,MOVIMIENTOS_COMPLEMENTOS!$H$4:$H$803,G2107,MOVIMIENTOS_COMPLEMENTOS!$B$4:$B$803,"SALIDA"),0)</f>
        <v>0</v>
      </c>
      <c r="I2107" s="102">
        <f t="array" ref="I2107">IFERROR(INDEX(PRECIOS_COMPLEMENTOS!$C$4:$F$17,MATCH(B2107&amp;"_"&amp;C2107,PRECIOS_COMPLEMENTOS!$H$4:$H$17,0),IF(OR(G2107="S",G2107="20cm"),1,IF(OR(G2107="M",G2107="25cm"),2,IF(OR(G2107="L",G2107="30cm"),3,IF(OR(G2107="XL",G2107="35cm"),4,0))))),0)</f>
        <v>0.6</v>
      </c>
      <c r="J2107" s="103">
        <f t="shared" si="1"/>
        <v>0</v>
      </c>
      <c r="K2107" s="104" t="str">
        <f>IF(H2107&lt;0,"ERROR",IF(H2107=0,"",IF(H2107&lt;CONFIG!$B$4,"CRÍTICO",IF(H2107&lt;CONFIG!$B$5,"BAJO","OK"))))</f>
        <v/>
      </c>
    </row>
    <row r="2108" ht="15.75" hidden="1" customHeight="1">
      <c r="A2108" s="90" t="str">
        <f>IF(CLIENTES!A5="","",CLIENTES!A5)</f>
        <v>Bravos</v>
      </c>
      <c r="B2108" s="90" t="s">
        <v>331</v>
      </c>
      <c r="C2108" s="91" t="s">
        <v>328</v>
      </c>
      <c r="D2108" s="109" t="s">
        <v>364</v>
      </c>
      <c r="E2108" s="67" t="str">
        <f>COLORES!A10</f>
        <v>Botella</v>
      </c>
      <c r="F2108" s="67" t="str">
        <f>COLORES!B10</f>
        <v>OSCURO</v>
      </c>
      <c r="G2108" s="90" t="s">
        <v>378</v>
      </c>
      <c r="H2108" s="100">
        <f>IFERROR(SUMIFS(MOVIMIENTOS_COMPLEMENTOS!$I$4:$I$803,MOVIMIENTOS_COMPLEMENTOS!$C$4:$C$803,A2108,MOVIMIENTOS_COMPLEMENTOS!$D$4:$D$803,B2108,MOVIMIENTOS_COMPLEMENTOS!$E$4:$E$803,C2108,MOVIMIENTOS_COMPLEMENTOS!$F$4:$F$803,D2108,MOVIMIENTOS_COMPLEMENTOS!$G$4:$G$803,E2108,MOVIMIENTOS_COMPLEMENTOS!$H$4:$H$803,G2108,MOVIMIENTOS_COMPLEMENTOS!$B$4:$B$803,"INGRESO")+SUMIFS(MOVIMIENTOS_COMPLEMENTOS!$I$4:$I$803,MOVIMIENTOS_COMPLEMENTOS!$C$4:$C$803,A2108,MOVIMIENTOS_COMPLEMENTOS!$D$4:$D$803,B2108,MOVIMIENTOS_COMPLEMENTOS!$E$4:$E$803,C2108,MOVIMIENTOS_COMPLEMENTOS!$F$4:$F$803,D2108,MOVIMIENTOS_COMPLEMENTOS!$G$4:$G$803,E2108,MOVIMIENTOS_COMPLEMENTOS!$H$4:$H$803,G2108,MOVIMIENTOS_COMPLEMENTOS!$B$4:$B$803,"DE CORTE")-SUMIFS(MOVIMIENTOS_COMPLEMENTOS!$I$4:$I$803,MOVIMIENTOS_COMPLEMENTOS!$C$4:$C$803,A2108,MOVIMIENTOS_COMPLEMENTOS!$D$4:$D$803,B2108,MOVIMIENTOS_COMPLEMENTOS!$E$4:$E$803,C2108,MOVIMIENTOS_COMPLEMENTOS!$F$4:$F$803,D2108,MOVIMIENTOS_COMPLEMENTOS!$G$4:$G$803,E2108,MOVIMIENTOS_COMPLEMENTOS!$H$4:$H$803,G2108,MOVIMIENTOS_COMPLEMENTOS!$B$4:$B$803,"SALIDA"),0)</f>
        <v>0</v>
      </c>
      <c r="I2108" s="102">
        <f t="array" ref="I2108">IFERROR(INDEX(PRECIOS_COMPLEMENTOS!$C$4:$F$17,MATCH(B2108&amp;"_"&amp;C2108,PRECIOS_COMPLEMENTOS!$H$4:$H$17,0),IF(OR(G2108="S",G2108="20cm"),1,IF(OR(G2108="M",G2108="25cm"),2,IF(OR(G2108="L",G2108="30cm"),3,IF(OR(G2108="XL",G2108="35cm"),4,0))))),0)</f>
        <v>0.6</v>
      </c>
      <c r="J2108" s="103">
        <f t="shared" si="1"/>
        <v>0</v>
      </c>
      <c r="K2108" s="104" t="str">
        <f>IF(H2108&lt;0,"ERROR",IF(H2108=0,"",IF(H2108&lt;CONFIG!$B$4,"CRÍTICO",IF(H2108&lt;CONFIG!$B$5,"BAJO","OK"))))</f>
        <v/>
      </c>
    </row>
    <row r="2109" ht="15.75" hidden="1" customHeight="1">
      <c r="A2109" s="90" t="str">
        <f>IF(CLIENTES!A5="","",CLIENTES!A5)</f>
        <v>Bravos</v>
      </c>
      <c r="B2109" s="90" t="s">
        <v>331</v>
      </c>
      <c r="C2109" s="91" t="s">
        <v>328</v>
      </c>
      <c r="D2109" s="109" t="s">
        <v>364</v>
      </c>
      <c r="E2109" s="67" t="str">
        <f>COLORES!A10</f>
        <v>Botella</v>
      </c>
      <c r="F2109" s="67" t="str">
        <f>COLORES!B10</f>
        <v>OSCURO</v>
      </c>
      <c r="G2109" s="90" t="s">
        <v>376</v>
      </c>
      <c r="H2109" s="100">
        <f>IFERROR(SUMIFS(MOVIMIENTOS_COMPLEMENTOS!$I$4:$I$803,MOVIMIENTOS_COMPLEMENTOS!$C$4:$C$803,A2109,MOVIMIENTOS_COMPLEMENTOS!$D$4:$D$803,B2109,MOVIMIENTOS_COMPLEMENTOS!$E$4:$E$803,C2109,MOVIMIENTOS_COMPLEMENTOS!$F$4:$F$803,D2109,MOVIMIENTOS_COMPLEMENTOS!$G$4:$G$803,E2109,MOVIMIENTOS_COMPLEMENTOS!$H$4:$H$803,G2109,MOVIMIENTOS_COMPLEMENTOS!$B$4:$B$803,"INGRESO")+SUMIFS(MOVIMIENTOS_COMPLEMENTOS!$I$4:$I$803,MOVIMIENTOS_COMPLEMENTOS!$C$4:$C$803,A2109,MOVIMIENTOS_COMPLEMENTOS!$D$4:$D$803,B2109,MOVIMIENTOS_COMPLEMENTOS!$E$4:$E$803,C2109,MOVIMIENTOS_COMPLEMENTOS!$F$4:$F$803,D2109,MOVIMIENTOS_COMPLEMENTOS!$G$4:$G$803,E2109,MOVIMIENTOS_COMPLEMENTOS!$H$4:$H$803,G2109,MOVIMIENTOS_COMPLEMENTOS!$B$4:$B$803,"DE CORTE")-SUMIFS(MOVIMIENTOS_COMPLEMENTOS!$I$4:$I$803,MOVIMIENTOS_COMPLEMENTOS!$C$4:$C$803,A2109,MOVIMIENTOS_COMPLEMENTOS!$D$4:$D$803,B2109,MOVIMIENTOS_COMPLEMENTOS!$E$4:$E$803,C2109,MOVIMIENTOS_COMPLEMENTOS!$F$4:$F$803,D2109,MOVIMIENTOS_COMPLEMENTOS!$G$4:$G$803,E2109,MOVIMIENTOS_COMPLEMENTOS!$H$4:$H$803,G2109,MOVIMIENTOS_COMPLEMENTOS!$B$4:$B$803,"SALIDA"),0)</f>
        <v>0</v>
      </c>
      <c r="I2109" s="102">
        <f t="array" ref="I2109">IFERROR(INDEX(PRECIOS_COMPLEMENTOS!$C$4:$F$17,MATCH(B2109&amp;"_"&amp;C2109,PRECIOS_COMPLEMENTOS!$H$4:$H$17,0),IF(OR(G2109="S",G2109="20cm"),1,IF(OR(G2109="M",G2109="25cm"),2,IF(OR(G2109="L",G2109="30cm"),3,IF(OR(G2109="XL",G2109="35cm"),4,0))))),0)</f>
        <v>0.6</v>
      </c>
      <c r="J2109" s="103">
        <f t="shared" si="1"/>
        <v>0</v>
      </c>
      <c r="K2109" s="104" t="str">
        <f>IF(H2109&lt;0,"ERROR",IF(H2109=0,"",IF(H2109&lt;CONFIG!$B$4,"CRÍTICO",IF(H2109&lt;CONFIG!$B$5,"BAJO","OK"))))</f>
        <v/>
      </c>
    </row>
    <row r="2110" ht="15.75" hidden="1" customHeight="1">
      <c r="A2110" s="90" t="str">
        <f>IF(CLIENTES!A5="","",CLIENTES!A5)</f>
        <v>Bravos</v>
      </c>
      <c r="B2110" s="90" t="s">
        <v>331</v>
      </c>
      <c r="C2110" s="91" t="s">
        <v>328</v>
      </c>
      <c r="D2110" s="109" t="s">
        <v>364</v>
      </c>
      <c r="E2110" s="67" t="str">
        <f>COLORES!A10</f>
        <v>Botella</v>
      </c>
      <c r="F2110" s="67" t="str">
        <f>COLORES!B10</f>
        <v>OSCURO</v>
      </c>
      <c r="G2110" s="90" t="s">
        <v>377</v>
      </c>
      <c r="H2110" s="100">
        <f>IFERROR(SUMIFS(MOVIMIENTOS_COMPLEMENTOS!$I$4:$I$803,MOVIMIENTOS_COMPLEMENTOS!$C$4:$C$803,A2110,MOVIMIENTOS_COMPLEMENTOS!$D$4:$D$803,B2110,MOVIMIENTOS_COMPLEMENTOS!$E$4:$E$803,C2110,MOVIMIENTOS_COMPLEMENTOS!$F$4:$F$803,D2110,MOVIMIENTOS_COMPLEMENTOS!$G$4:$G$803,E2110,MOVIMIENTOS_COMPLEMENTOS!$H$4:$H$803,G2110,MOVIMIENTOS_COMPLEMENTOS!$B$4:$B$803,"INGRESO")+SUMIFS(MOVIMIENTOS_COMPLEMENTOS!$I$4:$I$803,MOVIMIENTOS_COMPLEMENTOS!$C$4:$C$803,A2110,MOVIMIENTOS_COMPLEMENTOS!$D$4:$D$803,B2110,MOVIMIENTOS_COMPLEMENTOS!$E$4:$E$803,C2110,MOVIMIENTOS_COMPLEMENTOS!$F$4:$F$803,D2110,MOVIMIENTOS_COMPLEMENTOS!$G$4:$G$803,E2110,MOVIMIENTOS_COMPLEMENTOS!$H$4:$H$803,G2110,MOVIMIENTOS_COMPLEMENTOS!$B$4:$B$803,"DE CORTE")-SUMIFS(MOVIMIENTOS_COMPLEMENTOS!$I$4:$I$803,MOVIMIENTOS_COMPLEMENTOS!$C$4:$C$803,A2110,MOVIMIENTOS_COMPLEMENTOS!$D$4:$D$803,B2110,MOVIMIENTOS_COMPLEMENTOS!$E$4:$E$803,C2110,MOVIMIENTOS_COMPLEMENTOS!$F$4:$F$803,D2110,MOVIMIENTOS_COMPLEMENTOS!$G$4:$G$803,E2110,MOVIMIENTOS_COMPLEMENTOS!$H$4:$H$803,G2110,MOVIMIENTOS_COMPLEMENTOS!$B$4:$B$803,"SALIDA"),0)</f>
        <v>0</v>
      </c>
      <c r="I2110" s="102">
        <f t="array" ref="I2110">IFERROR(INDEX(PRECIOS_COMPLEMENTOS!$C$4:$F$17,MATCH(B2110&amp;"_"&amp;C2110,PRECIOS_COMPLEMENTOS!$H$4:$H$17,0),IF(OR(G2110="S",G2110="20cm"),1,IF(OR(G2110="M",G2110="25cm"),2,IF(OR(G2110="L",G2110="30cm"),3,IF(OR(G2110="XL",G2110="35cm"),4,0))))),0)</f>
        <v>0.6</v>
      </c>
      <c r="J2110" s="103">
        <f t="shared" si="1"/>
        <v>0</v>
      </c>
      <c r="K2110" s="104" t="str">
        <f>IF(H2110&lt;0,"ERROR",IF(H2110=0,"",IF(H2110&lt;CONFIG!$B$4,"CRÍTICO",IF(H2110&lt;CONFIG!$B$5,"BAJO","OK"))))</f>
        <v/>
      </c>
    </row>
    <row r="2111" ht="15.75" hidden="1" customHeight="1">
      <c r="A2111" s="90" t="str">
        <f>IF(CLIENTES!A5="","",CLIENTES!A5)</f>
        <v>Bravos</v>
      </c>
      <c r="B2111" s="90" t="s">
        <v>331</v>
      </c>
      <c r="C2111" s="91" t="s">
        <v>328</v>
      </c>
      <c r="D2111" s="109" t="s">
        <v>364</v>
      </c>
      <c r="E2111" s="67" t="str">
        <f>COLORES!A10</f>
        <v>Botella</v>
      </c>
      <c r="F2111" s="67" t="str">
        <f>COLORES!B10</f>
        <v>OSCURO</v>
      </c>
      <c r="G2111" s="90" t="s">
        <v>379</v>
      </c>
      <c r="H2111" s="100">
        <f>IFERROR(SUMIFS(MOVIMIENTOS_COMPLEMENTOS!$I$4:$I$803,MOVIMIENTOS_COMPLEMENTOS!$C$4:$C$803,A2111,MOVIMIENTOS_COMPLEMENTOS!$D$4:$D$803,B2111,MOVIMIENTOS_COMPLEMENTOS!$E$4:$E$803,C2111,MOVIMIENTOS_COMPLEMENTOS!$F$4:$F$803,D2111,MOVIMIENTOS_COMPLEMENTOS!$G$4:$G$803,E2111,MOVIMIENTOS_COMPLEMENTOS!$H$4:$H$803,G2111,MOVIMIENTOS_COMPLEMENTOS!$B$4:$B$803,"INGRESO")+SUMIFS(MOVIMIENTOS_COMPLEMENTOS!$I$4:$I$803,MOVIMIENTOS_COMPLEMENTOS!$C$4:$C$803,A2111,MOVIMIENTOS_COMPLEMENTOS!$D$4:$D$803,B2111,MOVIMIENTOS_COMPLEMENTOS!$E$4:$E$803,C2111,MOVIMIENTOS_COMPLEMENTOS!$F$4:$F$803,D2111,MOVIMIENTOS_COMPLEMENTOS!$G$4:$G$803,E2111,MOVIMIENTOS_COMPLEMENTOS!$H$4:$H$803,G2111,MOVIMIENTOS_COMPLEMENTOS!$B$4:$B$803,"DE CORTE")-SUMIFS(MOVIMIENTOS_COMPLEMENTOS!$I$4:$I$803,MOVIMIENTOS_COMPLEMENTOS!$C$4:$C$803,A2111,MOVIMIENTOS_COMPLEMENTOS!$D$4:$D$803,B2111,MOVIMIENTOS_COMPLEMENTOS!$E$4:$E$803,C2111,MOVIMIENTOS_COMPLEMENTOS!$F$4:$F$803,D2111,MOVIMIENTOS_COMPLEMENTOS!$G$4:$G$803,E2111,MOVIMIENTOS_COMPLEMENTOS!$H$4:$H$803,G2111,MOVIMIENTOS_COMPLEMENTOS!$B$4:$B$803,"SALIDA"),0)</f>
        <v>0</v>
      </c>
      <c r="I2111" s="102">
        <f t="array" ref="I2111">IFERROR(INDEX(PRECIOS_COMPLEMENTOS!$C$4:$F$17,MATCH(B2111&amp;"_"&amp;C2111,PRECIOS_COMPLEMENTOS!$H$4:$H$17,0),IF(OR(G2111="S",G2111="20cm"),1,IF(OR(G2111="M",G2111="25cm"),2,IF(OR(G2111="L",G2111="30cm"),3,IF(OR(G2111="XL",G2111="35cm"),4,0))))),0)</f>
        <v>0.6</v>
      </c>
      <c r="J2111" s="103">
        <f t="shared" si="1"/>
        <v>0</v>
      </c>
      <c r="K2111" s="104" t="str">
        <f>IF(H2111&lt;0,"ERROR",IF(H2111=0,"",IF(H2111&lt;CONFIG!$B$4,"CRÍTICO",IF(H2111&lt;CONFIG!$B$5,"BAJO","OK"))))</f>
        <v/>
      </c>
    </row>
    <row r="2112" ht="15.75" hidden="1" customHeight="1">
      <c r="A2112" s="90" t="str">
        <f>IF(CLIENTES!A5="","",CLIENTES!A5)</f>
        <v>Bravos</v>
      </c>
      <c r="B2112" s="90" t="s">
        <v>331</v>
      </c>
      <c r="C2112" s="91" t="s">
        <v>328</v>
      </c>
      <c r="D2112" s="109" t="s">
        <v>364</v>
      </c>
      <c r="E2112" s="67" t="str">
        <f>COLORES!A11</f>
        <v>Pacay</v>
      </c>
      <c r="F2112" s="67" t="str">
        <f>COLORES!B11</f>
        <v>CLARO</v>
      </c>
      <c r="G2112" s="90" t="s">
        <v>378</v>
      </c>
      <c r="H2112" s="100">
        <f>IFERROR(SUMIFS(MOVIMIENTOS_COMPLEMENTOS!$I$4:$I$803,MOVIMIENTOS_COMPLEMENTOS!$C$4:$C$803,A2112,MOVIMIENTOS_COMPLEMENTOS!$D$4:$D$803,B2112,MOVIMIENTOS_COMPLEMENTOS!$E$4:$E$803,C2112,MOVIMIENTOS_COMPLEMENTOS!$F$4:$F$803,D2112,MOVIMIENTOS_COMPLEMENTOS!$G$4:$G$803,E2112,MOVIMIENTOS_COMPLEMENTOS!$H$4:$H$803,G2112,MOVIMIENTOS_COMPLEMENTOS!$B$4:$B$803,"INGRESO")+SUMIFS(MOVIMIENTOS_COMPLEMENTOS!$I$4:$I$803,MOVIMIENTOS_COMPLEMENTOS!$C$4:$C$803,A2112,MOVIMIENTOS_COMPLEMENTOS!$D$4:$D$803,B2112,MOVIMIENTOS_COMPLEMENTOS!$E$4:$E$803,C2112,MOVIMIENTOS_COMPLEMENTOS!$F$4:$F$803,D2112,MOVIMIENTOS_COMPLEMENTOS!$G$4:$G$803,E2112,MOVIMIENTOS_COMPLEMENTOS!$H$4:$H$803,G2112,MOVIMIENTOS_COMPLEMENTOS!$B$4:$B$803,"DE CORTE")-SUMIFS(MOVIMIENTOS_COMPLEMENTOS!$I$4:$I$803,MOVIMIENTOS_COMPLEMENTOS!$C$4:$C$803,A2112,MOVIMIENTOS_COMPLEMENTOS!$D$4:$D$803,B2112,MOVIMIENTOS_COMPLEMENTOS!$E$4:$E$803,C2112,MOVIMIENTOS_COMPLEMENTOS!$F$4:$F$803,D2112,MOVIMIENTOS_COMPLEMENTOS!$G$4:$G$803,E2112,MOVIMIENTOS_COMPLEMENTOS!$H$4:$H$803,G2112,MOVIMIENTOS_COMPLEMENTOS!$B$4:$B$803,"SALIDA"),0)</f>
        <v>0</v>
      </c>
      <c r="I2112" s="102">
        <f t="array" ref="I2112">IFERROR(INDEX(PRECIOS_COMPLEMENTOS!$C$4:$F$17,MATCH(B2112&amp;"_"&amp;C2112,PRECIOS_COMPLEMENTOS!$H$4:$H$17,0),IF(OR(G2112="S",G2112="20cm"),1,IF(OR(G2112="M",G2112="25cm"),2,IF(OR(G2112="L",G2112="30cm"),3,IF(OR(G2112="XL",G2112="35cm"),4,0))))),0)</f>
        <v>0.6</v>
      </c>
      <c r="J2112" s="103">
        <f t="shared" si="1"/>
        <v>0</v>
      </c>
      <c r="K2112" s="104" t="str">
        <f>IF(H2112&lt;0,"ERROR",IF(H2112=0,"",IF(H2112&lt;CONFIG!$B$4,"CRÍTICO",IF(H2112&lt;CONFIG!$B$5,"BAJO","OK"))))</f>
        <v/>
      </c>
    </row>
    <row r="2113" ht="15.75" hidden="1" customHeight="1">
      <c r="A2113" s="90" t="str">
        <f>IF(CLIENTES!A5="","",CLIENTES!A5)</f>
        <v>Bravos</v>
      </c>
      <c r="B2113" s="90" t="s">
        <v>331</v>
      </c>
      <c r="C2113" s="91" t="s">
        <v>328</v>
      </c>
      <c r="D2113" s="109" t="s">
        <v>364</v>
      </c>
      <c r="E2113" s="67" t="str">
        <f>COLORES!A11</f>
        <v>Pacay</v>
      </c>
      <c r="F2113" s="67" t="str">
        <f>COLORES!B11</f>
        <v>CLARO</v>
      </c>
      <c r="G2113" s="90" t="s">
        <v>376</v>
      </c>
      <c r="H2113" s="100">
        <f>IFERROR(SUMIFS(MOVIMIENTOS_COMPLEMENTOS!$I$4:$I$803,MOVIMIENTOS_COMPLEMENTOS!$C$4:$C$803,A2113,MOVIMIENTOS_COMPLEMENTOS!$D$4:$D$803,B2113,MOVIMIENTOS_COMPLEMENTOS!$E$4:$E$803,C2113,MOVIMIENTOS_COMPLEMENTOS!$F$4:$F$803,D2113,MOVIMIENTOS_COMPLEMENTOS!$G$4:$G$803,E2113,MOVIMIENTOS_COMPLEMENTOS!$H$4:$H$803,G2113,MOVIMIENTOS_COMPLEMENTOS!$B$4:$B$803,"INGRESO")+SUMIFS(MOVIMIENTOS_COMPLEMENTOS!$I$4:$I$803,MOVIMIENTOS_COMPLEMENTOS!$C$4:$C$803,A2113,MOVIMIENTOS_COMPLEMENTOS!$D$4:$D$803,B2113,MOVIMIENTOS_COMPLEMENTOS!$E$4:$E$803,C2113,MOVIMIENTOS_COMPLEMENTOS!$F$4:$F$803,D2113,MOVIMIENTOS_COMPLEMENTOS!$G$4:$G$803,E2113,MOVIMIENTOS_COMPLEMENTOS!$H$4:$H$803,G2113,MOVIMIENTOS_COMPLEMENTOS!$B$4:$B$803,"DE CORTE")-SUMIFS(MOVIMIENTOS_COMPLEMENTOS!$I$4:$I$803,MOVIMIENTOS_COMPLEMENTOS!$C$4:$C$803,A2113,MOVIMIENTOS_COMPLEMENTOS!$D$4:$D$803,B2113,MOVIMIENTOS_COMPLEMENTOS!$E$4:$E$803,C2113,MOVIMIENTOS_COMPLEMENTOS!$F$4:$F$803,D2113,MOVIMIENTOS_COMPLEMENTOS!$G$4:$G$803,E2113,MOVIMIENTOS_COMPLEMENTOS!$H$4:$H$803,G2113,MOVIMIENTOS_COMPLEMENTOS!$B$4:$B$803,"SALIDA"),0)</f>
        <v>0</v>
      </c>
      <c r="I2113" s="102">
        <f t="array" ref="I2113">IFERROR(INDEX(PRECIOS_COMPLEMENTOS!$C$4:$F$17,MATCH(B2113&amp;"_"&amp;C2113,PRECIOS_COMPLEMENTOS!$H$4:$H$17,0),IF(OR(G2113="S",G2113="20cm"),1,IF(OR(G2113="M",G2113="25cm"),2,IF(OR(G2113="L",G2113="30cm"),3,IF(OR(G2113="XL",G2113="35cm"),4,0))))),0)</f>
        <v>0.6</v>
      </c>
      <c r="J2113" s="103">
        <f t="shared" si="1"/>
        <v>0</v>
      </c>
      <c r="K2113" s="104" t="str">
        <f>IF(H2113&lt;0,"ERROR",IF(H2113=0,"",IF(H2113&lt;CONFIG!$B$4,"CRÍTICO",IF(H2113&lt;CONFIG!$B$5,"BAJO","OK"))))</f>
        <v/>
      </c>
    </row>
    <row r="2114" ht="15.75" hidden="1" customHeight="1">
      <c r="A2114" s="90" t="str">
        <f>IF(CLIENTES!A5="","",CLIENTES!A5)</f>
        <v>Bravos</v>
      </c>
      <c r="B2114" s="90" t="s">
        <v>331</v>
      </c>
      <c r="C2114" s="91" t="s">
        <v>328</v>
      </c>
      <c r="D2114" s="109" t="s">
        <v>364</v>
      </c>
      <c r="E2114" s="67" t="str">
        <f>COLORES!A11</f>
        <v>Pacay</v>
      </c>
      <c r="F2114" s="67" t="str">
        <f>COLORES!B11</f>
        <v>CLARO</v>
      </c>
      <c r="G2114" s="90" t="s">
        <v>377</v>
      </c>
      <c r="H2114" s="100">
        <f>IFERROR(SUMIFS(MOVIMIENTOS_COMPLEMENTOS!$I$4:$I$803,MOVIMIENTOS_COMPLEMENTOS!$C$4:$C$803,A2114,MOVIMIENTOS_COMPLEMENTOS!$D$4:$D$803,B2114,MOVIMIENTOS_COMPLEMENTOS!$E$4:$E$803,C2114,MOVIMIENTOS_COMPLEMENTOS!$F$4:$F$803,D2114,MOVIMIENTOS_COMPLEMENTOS!$G$4:$G$803,E2114,MOVIMIENTOS_COMPLEMENTOS!$H$4:$H$803,G2114,MOVIMIENTOS_COMPLEMENTOS!$B$4:$B$803,"INGRESO")+SUMIFS(MOVIMIENTOS_COMPLEMENTOS!$I$4:$I$803,MOVIMIENTOS_COMPLEMENTOS!$C$4:$C$803,A2114,MOVIMIENTOS_COMPLEMENTOS!$D$4:$D$803,B2114,MOVIMIENTOS_COMPLEMENTOS!$E$4:$E$803,C2114,MOVIMIENTOS_COMPLEMENTOS!$F$4:$F$803,D2114,MOVIMIENTOS_COMPLEMENTOS!$G$4:$G$803,E2114,MOVIMIENTOS_COMPLEMENTOS!$H$4:$H$803,G2114,MOVIMIENTOS_COMPLEMENTOS!$B$4:$B$803,"DE CORTE")-SUMIFS(MOVIMIENTOS_COMPLEMENTOS!$I$4:$I$803,MOVIMIENTOS_COMPLEMENTOS!$C$4:$C$803,A2114,MOVIMIENTOS_COMPLEMENTOS!$D$4:$D$803,B2114,MOVIMIENTOS_COMPLEMENTOS!$E$4:$E$803,C2114,MOVIMIENTOS_COMPLEMENTOS!$F$4:$F$803,D2114,MOVIMIENTOS_COMPLEMENTOS!$G$4:$G$803,E2114,MOVIMIENTOS_COMPLEMENTOS!$H$4:$H$803,G2114,MOVIMIENTOS_COMPLEMENTOS!$B$4:$B$803,"SALIDA"),0)</f>
        <v>0</v>
      </c>
      <c r="I2114" s="102">
        <f t="array" ref="I2114">IFERROR(INDEX(PRECIOS_COMPLEMENTOS!$C$4:$F$17,MATCH(B2114&amp;"_"&amp;C2114,PRECIOS_COMPLEMENTOS!$H$4:$H$17,0),IF(OR(G2114="S",G2114="20cm"),1,IF(OR(G2114="M",G2114="25cm"),2,IF(OR(G2114="L",G2114="30cm"),3,IF(OR(G2114="XL",G2114="35cm"),4,0))))),0)</f>
        <v>0.6</v>
      </c>
      <c r="J2114" s="103">
        <f t="shared" si="1"/>
        <v>0</v>
      </c>
      <c r="K2114" s="104" t="str">
        <f>IF(H2114&lt;0,"ERROR",IF(H2114=0,"",IF(H2114&lt;CONFIG!$B$4,"CRÍTICO",IF(H2114&lt;CONFIG!$B$5,"BAJO","OK"))))</f>
        <v/>
      </c>
    </row>
    <row r="2115" ht="15.75" hidden="1" customHeight="1">
      <c r="A2115" s="90" t="str">
        <f>IF(CLIENTES!A5="","",CLIENTES!A5)</f>
        <v>Bravos</v>
      </c>
      <c r="B2115" s="90" t="s">
        <v>331</v>
      </c>
      <c r="C2115" s="91" t="s">
        <v>328</v>
      </c>
      <c r="D2115" s="109" t="s">
        <v>364</v>
      </c>
      <c r="E2115" s="67" t="str">
        <f>COLORES!A11</f>
        <v>Pacay</v>
      </c>
      <c r="F2115" s="67" t="str">
        <f>COLORES!B11</f>
        <v>CLARO</v>
      </c>
      <c r="G2115" s="90" t="s">
        <v>379</v>
      </c>
      <c r="H2115" s="100">
        <f>IFERROR(SUMIFS(MOVIMIENTOS_COMPLEMENTOS!$I$4:$I$803,MOVIMIENTOS_COMPLEMENTOS!$C$4:$C$803,A2115,MOVIMIENTOS_COMPLEMENTOS!$D$4:$D$803,B2115,MOVIMIENTOS_COMPLEMENTOS!$E$4:$E$803,C2115,MOVIMIENTOS_COMPLEMENTOS!$F$4:$F$803,D2115,MOVIMIENTOS_COMPLEMENTOS!$G$4:$G$803,E2115,MOVIMIENTOS_COMPLEMENTOS!$H$4:$H$803,G2115,MOVIMIENTOS_COMPLEMENTOS!$B$4:$B$803,"INGRESO")+SUMIFS(MOVIMIENTOS_COMPLEMENTOS!$I$4:$I$803,MOVIMIENTOS_COMPLEMENTOS!$C$4:$C$803,A2115,MOVIMIENTOS_COMPLEMENTOS!$D$4:$D$803,B2115,MOVIMIENTOS_COMPLEMENTOS!$E$4:$E$803,C2115,MOVIMIENTOS_COMPLEMENTOS!$F$4:$F$803,D2115,MOVIMIENTOS_COMPLEMENTOS!$G$4:$G$803,E2115,MOVIMIENTOS_COMPLEMENTOS!$H$4:$H$803,G2115,MOVIMIENTOS_COMPLEMENTOS!$B$4:$B$803,"DE CORTE")-SUMIFS(MOVIMIENTOS_COMPLEMENTOS!$I$4:$I$803,MOVIMIENTOS_COMPLEMENTOS!$C$4:$C$803,A2115,MOVIMIENTOS_COMPLEMENTOS!$D$4:$D$803,B2115,MOVIMIENTOS_COMPLEMENTOS!$E$4:$E$803,C2115,MOVIMIENTOS_COMPLEMENTOS!$F$4:$F$803,D2115,MOVIMIENTOS_COMPLEMENTOS!$G$4:$G$803,E2115,MOVIMIENTOS_COMPLEMENTOS!$H$4:$H$803,G2115,MOVIMIENTOS_COMPLEMENTOS!$B$4:$B$803,"SALIDA"),0)</f>
        <v>0</v>
      </c>
      <c r="I2115" s="102">
        <f t="array" ref="I2115">IFERROR(INDEX(PRECIOS_COMPLEMENTOS!$C$4:$F$17,MATCH(B2115&amp;"_"&amp;C2115,PRECIOS_COMPLEMENTOS!$H$4:$H$17,0),IF(OR(G2115="S",G2115="20cm"),1,IF(OR(G2115="M",G2115="25cm"),2,IF(OR(G2115="L",G2115="30cm"),3,IF(OR(G2115="XL",G2115="35cm"),4,0))))),0)</f>
        <v>0.6</v>
      </c>
      <c r="J2115" s="103">
        <f t="shared" si="1"/>
        <v>0</v>
      </c>
      <c r="K2115" s="104" t="str">
        <f>IF(H2115&lt;0,"ERROR",IF(H2115=0,"",IF(H2115&lt;CONFIG!$B$4,"CRÍTICO",IF(H2115&lt;CONFIG!$B$5,"BAJO","OK"))))</f>
        <v/>
      </c>
    </row>
    <row r="2116" ht="15.75" hidden="1" customHeight="1">
      <c r="A2116" s="90" t="str">
        <f>IF(CLIENTES!A5="","",CLIENTES!A5)</f>
        <v>Bravos</v>
      </c>
      <c r="B2116" s="90" t="s">
        <v>331</v>
      </c>
      <c r="C2116" s="91" t="s">
        <v>328</v>
      </c>
      <c r="D2116" s="109" t="s">
        <v>364</v>
      </c>
      <c r="E2116" s="67" t="str">
        <f>COLORES!A12</f>
        <v>Cemento</v>
      </c>
      <c r="F2116" s="67" t="str">
        <f>COLORES!B12</f>
        <v>CLARO</v>
      </c>
      <c r="G2116" s="90" t="s">
        <v>378</v>
      </c>
      <c r="H2116" s="100">
        <f>IFERROR(SUMIFS(MOVIMIENTOS_COMPLEMENTOS!$I$4:$I$803,MOVIMIENTOS_COMPLEMENTOS!$C$4:$C$803,A2116,MOVIMIENTOS_COMPLEMENTOS!$D$4:$D$803,B2116,MOVIMIENTOS_COMPLEMENTOS!$E$4:$E$803,C2116,MOVIMIENTOS_COMPLEMENTOS!$F$4:$F$803,D2116,MOVIMIENTOS_COMPLEMENTOS!$G$4:$G$803,E2116,MOVIMIENTOS_COMPLEMENTOS!$H$4:$H$803,G2116,MOVIMIENTOS_COMPLEMENTOS!$B$4:$B$803,"INGRESO")+SUMIFS(MOVIMIENTOS_COMPLEMENTOS!$I$4:$I$803,MOVIMIENTOS_COMPLEMENTOS!$C$4:$C$803,A2116,MOVIMIENTOS_COMPLEMENTOS!$D$4:$D$803,B2116,MOVIMIENTOS_COMPLEMENTOS!$E$4:$E$803,C2116,MOVIMIENTOS_COMPLEMENTOS!$F$4:$F$803,D2116,MOVIMIENTOS_COMPLEMENTOS!$G$4:$G$803,E2116,MOVIMIENTOS_COMPLEMENTOS!$H$4:$H$803,G2116,MOVIMIENTOS_COMPLEMENTOS!$B$4:$B$803,"DE CORTE")-SUMIFS(MOVIMIENTOS_COMPLEMENTOS!$I$4:$I$803,MOVIMIENTOS_COMPLEMENTOS!$C$4:$C$803,A2116,MOVIMIENTOS_COMPLEMENTOS!$D$4:$D$803,B2116,MOVIMIENTOS_COMPLEMENTOS!$E$4:$E$803,C2116,MOVIMIENTOS_COMPLEMENTOS!$F$4:$F$803,D2116,MOVIMIENTOS_COMPLEMENTOS!$G$4:$G$803,E2116,MOVIMIENTOS_COMPLEMENTOS!$H$4:$H$803,G2116,MOVIMIENTOS_COMPLEMENTOS!$B$4:$B$803,"SALIDA"),0)</f>
        <v>0</v>
      </c>
      <c r="I2116" s="102">
        <f t="array" ref="I2116">IFERROR(INDEX(PRECIOS_COMPLEMENTOS!$C$4:$F$17,MATCH(B2116&amp;"_"&amp;C2116,PRECIOS_COMPLEMENTOS!$H$4:$H$17,0),IF(OR(G2116="S",G2116="20cm"),1,IF(OR(G2116="M",G2116="25cm"),2,IF(OR(G2116="L",G2116="30cm"),3,IF(OR(G2116="XL",G2116="35cm"),4,0))))),0)</f>
        <v>0.6</v>
      </c>
      <c r="J2116" s="103">
        <f t="shared" si="1"/>
        <v>0</v>
      </c>
      <c r="K2116" s="104" t="str">
        <f>IF(H2116&lt;0,"ERROR",IF(H2116=0,"",IF(H2116&lt;CONFIG!$B$4,"CRÍTICO",IF(H2116&lt;CONFIG!$B$5,"BAJO","OK"))))</f>
        <v/>
      </c>
    </row>
    <row r="2117" ht="15.75" hidden="1" customHeight="1">
      <c r="A2117" s="90" t="str">
        <f>IF(CLIENTES!A5="","",CLIENTES!A5)</f>
        <v>Bravos</v>
      </c>
      <c r="B2117" s="90" t="s">
        <v>331</v>
      </c>
      <c r="C2117" s="91" t="s">
        <v>328</v>
      </c>
      <c r="D2117" s="109" t="s">
        <v>364</v>
      </c>
      <c r="E2117" s="67" t="str">
        <f>COLORES!A12</f>
        <v>Cemento</v>
      </c>
      <c r="F2117" s="67" t="str">
        <f>COLORES!B12</f>
        <v>CLARO</v>
      </c>
      <c r="G2117" s="90" t="s">
        <v>376</v>
      </c>
      <c r="H2117" s="100">
        <f>IFERROR(SUMIFS(MOVIMIENTOS_COMPLEMENTOS!$I$4:$I$803,MOVIMIENTOS_COMPLEMENTOS!$C$4:$C$803,A2117,MOVIMIENTOS_COMPLEMENTOS!$D$4:$D$803,B2117,MOVIMIENTOS_COMPLEMENTOS!$E$4:$E$803,C2117,MOVIMIENTOS_COMPLEMENTOS!$F$4:$F$803,D2117,MOVIMIENTOS_COMPLEMENTOS!$G$4:$G$803,E2117,MOVIMIENTOS_COMPLEMENTOS!$H$4:$H$803,G2117,MOVIMIENTOS_COMPLEMENTOS!$B$4:$B$803,"INGRESO")+SUMIFS(MOVIMIENTOS_COMPLEMENTOS!$I$4:$I$803,MOVIMIENTOS_COMPLEMENTOS!$C$4:$C$803,A2117,MOVIMIENTOS_COMPLEMENTOS!$D$4:$D$803,B2117,MOVIMIENTOS_COMPLEMENTOS!$E$4:$E$803,C2117,MOVIMIENTOS_COMPLEMENTOS!$F$4:$F$803,D2117,MOVIMIENTOS_COMPLEMENTOS!$G$4:$G$803,E2117,MOVIMIENTOS_COMPLEMENTOS!$H$4:$H$803,G2117,MOVIMIENTOS_COMPLEMENTOS!$B$4:$B$803,"DE CORTE")-SUMIFS(MOVIMIENTOS_COMPLEMENTOS!$I$4:$I$803,MOVIMIENTOS_COMPLEMENTOS!$C$4:$C$803,A2117,MOVIMIENTOS_COMPLEMENTOS!$D$4:$D$803,B2117,MOVIMIENTOS_COMPLEMENTOS!$E$4:$E$803,C2117,MOVIMIENTOS_COMPLEMENTOS!$F$4:$F$803,D2117,MOVIMIENTOS_COMPLEMENTOS!$G$4:$G$803,E2117,MOVIMIENTOS_COMPLEMENTOS!$H$4:$H$803,G2117,MOVIMIENTOS_COMPLEMENTOS!$B$4:$B$803,"SALIDA"),0)</f>
        <v>0</v>
      </c>
      <c r="I2117" s="102">
        <f t="array" ref="I2117">IFERROR(INDEX(PRECIOS_COMPLEMENTOS!$C$4:$F$17,MATCH(B2117&amp;"_"&amp;C2117,PRECIOS_COMPLEMENTOS!$H$4:$H$17,0),IF(OR(G2117="S",G2117="20cm"),1,IF(OR(G2117="M",G2117="25cm"),2,IF(OR(G2117="L",G2117="30cm"),3,IF(OR(G2117="XL",G2117="35cm"),4,0))))),0)</f>
        <v>0.6</v>
      </c>
      <c r="J2117" s="103">
        <f t="shared" si="1"/>
        <v>0</v>
      </c>
      <c r="K2117" s="104" t="str">
        <f>IF(H2117&lt;0,"ERROR",IF(H2117=0,"",IF(H2117&lt;CONFIG!$B$4,"CRÍTICO",IF(H2117&lt;CONFIG!$B$5,"BAJO","OK"))))</f>
        <v/>
      </c>
    </row>
    <row r="2118" ht="15.75" hidden="1" customHeight="1">
      <c r="A2118" s="90" t="str">
        <f>IF(CLIENTES!A5="","",CLIENTES!A5)</f>
        <v>Bravos</v>
      </c>
      <c r="B2118" s="90" t="s">
        <v>331</v>
      </c>
      <c r="C2118" s="91" t="s">
        <v>328</v>
      </c>
      <c r="D2118" s="109" t="s">
        <v>364</v>
      </c>
      <c r="E2118" s="67" t="str">
        <f>COLORES!A12</f>
        <v>Cemento</v>
      </c>
      <c r="F2118" s="67" t="str">
        <f>COLORES!B12</f>
        <v>CLARO</v>
      </c>
      <c r="G2118" s="90" t="s">
        <v>377</v>
      </c>
      <c r="H2118" s="100">
        <f>IFERROR(SUMIFS(MOVIMIENTOS_COMPLEMENTOS!$I$4:$I$803,MOVIMIENTOS_COMPLEMENTOS!$C$4:$C$803,A2118,MOVIMIENTOS_COMPLEMENTOS!$D$4:$D$803,B2118,MOVIMIENTOS_COMPLEMENTOS!$E$4:$E$803,C2118,MOVIMIENTOS_COMPLEMENTOS!$F$4:$F$803,D2118,MOVIMIENTOS_COMPLEMENTOS!$G$4:$G$803,E2118,MOVIMIENTOS_COMPLEMENTOS!$H$4:$H$803,G2118,MOVIMIENTOS_COMPLEMENTOS!$B$4:$B$803,"INGRESO")+SUMIFS(MOVIMIENTOS_COMPLEMENTOS!$I$4:$I$803,MOVIMIENTOS_COMPLEMENTOS!$C$4:$C$803,A2118,MOVIMIENTOS_COMPLEMENTOS!$D$4:$D$803,B2118,MOVIMIENTOS_COMPLEMENTOS!$E$4:$E$803,C2118,MOVIMIENTOS_COMPLEMENTOS!$F$4:$F$803,D2118,MOVIMIENTOS_COMPLEMENTOS!$G$4:$G$803,E2118,MOVIMIENTOS_COMPLEMENTOS!$H$4:$H$803,G2118,MOVIMIENTOS_COMPLEMENTOS!$B$4:$B$803,"DE CORTE")-SUMIFS(MOVIMIENTOS_COMPLEMENTOS!$I$4:$I$803,MOVIMIENTOS_COMPLEMENTOS!$C$4:$C$803,A2118,MOVIMIENTOS_COMPLEMENTOS!$D$4:$D$803,B2118,MOVIMIENTOS_COMPLEMENTOS!$E$4:$E$803,C2118,MOVIMIENTOS_COMPLEMENTOS!$F$4:$F$803,D2118,MOVIMIENTOS_COMPLEMENTOS!$G$4:$G$803,E2118,MOVIMIENTOS_COMPLEMENTOS!$H$4:$H$803,G2118,MOVIMIENTOS_COMPLEMENTOS!$B$4:$B$803,"SALIDA"),0)</f>
        <v>0</v>
      </c>
      <c r="I2118" s="102">
        <f t="array" ref="I2118">IFERROR(INDEX(PRECIOS_COMPLEMENTOS!$C$4:$F$17,MATCH(B2118&amp;"_"&amp;C2118,PRECIOS_COMPLEMENTOS!$H$4:$H$17,0),IF(OR(G2118="S",G2118="20cm"),1,IF(OR(G2118="M",G2118="25cm"),2,IF(OR(G2118="L",G2118="30cm"),3,IF(OR(G2118="XL",G2118="35cm"),4,0))))),0)</f>
        <v>0.6</v>
      </c>
      <c r="J2118" s="103">
        <f t="shared" si="1"/>
        <v>0</v>
      </c>
      <c r="K2118" s="104" t="str">
        <f>IF(H2118&lt;0,"ERROR",IF(H2118=0,"",IF(H2118&lt;CONFIG!$B$4,"CRÍTICO",IF(H2118&lt;CONFIG!$B$5,"BAJO","OK"))))</f>
        <v/>
      </c>
    </row>
    <row r="2119" ht="15.75" hidden="1" customHeight="1">
      <c r="A2119" s="90" t="str">
        <f>IF(CLIENTES!A5="","",CLIENTES!A5)</f>
        <v>Bravos</v>
      </c>
      <c r="B2119" s="90" t="s">
        <v>331</v>
      </c>
      <c r="C2119" s="91" t="s">
        <v>328</v>
      </c>
      <c r="D2119" s="109" t="s">
        <v>364</v>
      </c>
      <c r="E2119" s="67" t="str">
        <f>COLORES!A12</f>
        <v>Cemento</v>
      </c>
      <c r="F2119" s="67" t="str">
        <f>COLORES!B12</f>
        <v>CLARO</v>
      </c>
      <c r="G2119" s="90" t="s">
        <v>379</v>
      </c>
      <c r="H2119" s="100">
        <f>IFERROR(SUMIFS(MOVIMIENTOS_COMPLEMENTOS!$I$4:$I$803,MOVIMIENTOS_COMPLEMENTOS!$C$4:$C$803,A2119,MOVIMIENTOS_COMPLEMENTOS!$D$4:$D$803,B2119,MOVIMIENTOS_COMPLEMENTOS!$E$4:$E$803,C2119,MOVIMIENTOS_COMPLEMENTOS!$F$4:$F$803,D2119,MOVIMIENTOS_COMPLEMENTOS!$G$4:$G$803,E2119,MOVIMIENTOS_COMPLEMENTOS!$H$4:$H$803,G2119,MOVIMIENTOS_COMPLEMENTOS!$B$4:$B$803,"INGRESO")+SUMIFS(MOVIMIENTOS_COMPLEMENTOS!$I$4:$I$803,MOVIMIENTOS_COMPLEMENTOS!$C$4:$C$803,A2119,MOVIMIENTOS_COMPLEMENTOS!$D$4:$D$803,B2119,MOVIMIENTOS_COMPLEMENTOS!$E$4:$E$803,C2119,MOVIMIENTOS_COMPLEMENTOS!$F$4:$F$803,D2119,MOVIMIENTOS_COMPLEMENTOS!$G$4:$G$803,E2119,MOVIMIENTOS_COMPLEMENTOS!$H$4:$H$803,G2119,MOVIMIENTOS_COMPLEMENTOS!$B$4:$B$803,"DE CORTE")-SUMIFS(MOVIMIENTOS_COMPLEMENTOS!$I$4:$I$803,MOVIMIENTOS_COMPLEMENTOS!$C$4:$C$803,A2119,MOVIMIENTOS_COMPLEMENTOS!$D$4:$D$803,B2119,MOVIMIENTOS_COMPLEMENTOS!$E$4:$E$803,C2119,MOVIMIENTOS_COMPLEMENTOS!$F$4:$F$803,D2119,MOVIMIENTOS_COMPLEMENTOS!$G$4:$G$803,E2119,MOVIMIENTOS_COMPLEMENTOS!$H$4:$H$803,G2119,MOVIMIENTOS_COMPLEMENTOS!$B$4:$B$803,"SALIDA"),0)</f>
        <v>0</v>
      </c>
      <c r="I2119" s="102">
        <f t="array" ref="I2119">IFERROR(INDEX(PRECIOS_COMPLEMENTOS!$C$4:$F$17,MATCH(B2119&amp;"_"&amp;C2119,PRECIOS_COMPLEMENTOS!$H$4:$H$17,0),IF(OR(G2119="S",G2119="20cm"),1,IF(OR(G2119="M",G2119="25cm"),2,IF(OR(G2119="L",G2119="30cm"),3,IF(OR(G2119="XL",G2119="35cm"),4,0))))),0)</f>
        <v>0.6</v>
      </c>
      <c r="J2119" s="103">
        <f t="shared" si="1"/>
        <v>0</v>
      </c>
      <c r="K2119" s="104" t="str">
        <f>IF(H2119&lt;0,"ERROR",IF(H2119=0,"",IF(H2119&lt;CONFIG!$B$4,"CRÍTICO",IF(H2119&lt;CONFIG!$B$5,"BAJO","OK"))))</f>
        <v/>
      </c>
    </row>
    <row r="2120" ht="15.75" hidden="1" customHeight="1">
      <c r="A2120" s="90" t="str">
        <f>IF(CLIENTES!A5="","",CLIENTES!A5)</f>
        <v>Bravos</v>
      </c>
      <c r="B2120" s="90" t="s">
        <v>331</v>
      </c>
      <c r="C2120" s="91" t="s">
        <v>328</v>
      </c>
      <c r="D2120" s="109" t="s">
        <v>364</v>
      </c>
      <c r="E2120" s="67" t="str">
        <f>COLORES!A13</f>
        <v>Camote</v>
      </c>
      <c r="F2120" s="67" t="str">
        <f>COLORES!B13</f>
        <v>CLARO</v>
      </c>
      <c r="G2120" s="90" t="s">
        <v>378</v>
      </c>
      <c r="H2120" s="100">
        <f>IFERROR(SUMIFS(MOVIMIENTOS_COMPLEMENTOS!$I$4:$I$803,MOVIMIENTOS_COMPLEMENTOS!$C$4:$C$803,A2120,MOVIMIENTOS_COMPLEMENTOS!$D$4:$D$803,B2120,MOVIMIENTOS_COMPLEMENTOS!$E$4:$E$803,C2120,MOVIMIENTOS_COMPLEMENTOS!$F$4:$F$803,D2120,MOVIMIENTOS_COMPLEMENTOS!$G$4:$G$803,E2120,MOVIMIENTOS_COMPLEMENTOS!$H$4:$H$803,G2120,MOVIMIENTOS_COMPLEMENTOS!$B$4:$B$803,"INGRESO")+SUMIFS(MOVIMIENTOS_COMPLEMENTOS!$I$4:$I$803,MOVIMIENTOS_COMPLEMENTOS!$C$4:$C$803,A2120,MOVIMIENTOS_COMPLEMENTOS!$D$4:$D$803,B2120,MOVIMIENTOS_COMPLEMENTOS!$E$4:$E$803,C2120,MOVIMIENTOS_COMPLEMENTOS!$F$4:$F$803,D2120,MOVIMIENTOS_COMPLEMENTOS!$G$4:$G$803,E2120,MOVIMIENTOS_COMPLEMENTOS!$H$4:$H$803,G2120,MOVIMIENTOS_COMPLEMENTOS!$B$4:$B$803,"DE CORTE")-SUMIFS(MOVIMIENTOS_COMPLEMENTOS!$I$4:$I$803,MOVIMIENTOS_COMPLEMENTOS!$C$4:$C$803,A2120,MOVIMIENTOS_COMPLEMENTOS!$D$4:$D$803,B2120,MOVIMIENTOS_COMPLEMENTOS!$E$4:$E$803,C2120,MOVIMIENTOS_COMPLEMENTOS!$F$4:$F$803,D2120,MOVIMIENTOS_COMPLEMENTOS!$G$4:$G$803,E2120,MOVIMIENTOS_COMPLEMENTOS!$H$4:$H$803,G2120,MOVIMIENTOS_COMPLEMENTOS!$B$4:$B$803,"SALIDA"),0)</f>
        <v>0</v>
      </c>
      <c r="I2120" s="102">
        <f t="array" ref="I2120">IFERROR(INDEX(PRECIOS_COMPLEMENTOS!$C$4:$F$17,MATCH(B2120&amp;"_"&amp;C2120,PRECIOS_COMPLEMENTOS!$H$4:$H$17,0),IF(OR(G2120="S",G2120="20cm"),1,IF(OR(G2120="M",G2120="25cm"),2,IF(OR(G2120="L",G2120="30cm"),3,IF(OR(G2120="XL",G2120="35cm"),4,0))))),0)</f>
        <v>0.6</v>
      </c>
      <c r="J2120" s="103">
        <f t="shared" si="1"/>
        <v>0</v>
      </c>
      <c r="K2120" s="104" t="str">
        <f>IF(H2120&lt;0,"ERROR",IF(H2120=0,"",IF(H2120&lt;CONFIG!$B$4,"CRÍTICO",IF(H2120&lt;CONFIG!$B$5,"BAJO","OK"))))</f>
        <v/>
      </c>
    </row>
    <row r="2121" ht="15.75" hidden="1" customHeight="1">
      <c r="A2121" s="90" t="str">
        <f>IF(CLIENTES!A5="","",CLIENTES!A5)</f>
        <v>Bravos</v>
      </c>
      <c r="B2121" s="90" t="s">
        <v>331</v>
      </c>
      <c r="C2121" s="91" t="s">
        <v>328</v>
      </c>
      <c r="D2121" s="109" t="s">
        <v>364</v>
      </c>
      <c r="E2121" s="67" t="str">
        <f>COLORES!A13</f>
        <v>Camote</v>
      </c>
      <c r="F2121" s="67" t="str">
        <f>COLORES!B13</f>
        <v>CLARO</v>
      </c>
      <c r="G2121" s="90" t="s">
        <v>376</v>
      </c>
      <c r="H2121" s="100">
        <f>IFERROR(SUMIFS(MOVIMIENTOS_COMPLEMENTOS!$I$4:$I$803,MOVIMIENTOS_COMPLEMENTOS!$C$4:$C$803,A2121,MOVIMIENTOS_COMPLEMENTOS!$D$4:$D$803,B2121,MOVIMIENTOS_COMPLEMENTOS!$E$4:$E$803,C2121,MOVIMIENTOS_COMPLEMENTOS!$F$4:$F$803,D2121,MOVIMIENTOS_COMPLEMENTOS!$G$4:$G$803,E2121,MOVIMIENTOS_COMPLEMENTOS!$H$4:$H$803,G2121,MOVIMIENTOS_COMPLEMENTOS!$B$4:$B$803,"INGRESO")+SUMIFS(MOVIMIENTOS_COMPLEMENTOS!$I$4:$I$803,MOVIMIENTOS_COMPLEMENTOS!$C$4:$C$803,A2121,MOVIMIENTOS_COMPLEMENTOS!$D$4:$D$803,B2121,MOVIMIENTOS_COMPLEMENTOS!$E$4:$E$803,C2121,MOVIMIENTOS_COMPLEMENTOS!$F$4:$F$803,D2121,MOVIMIENTOS_COMPLEMENTOS!$G$4:$G$803,E2121,MOVIMIENTOS_COMPLEMENTOS!$H$4:$H$803,G2121,MOVIMIENTOS_COMPLEMENTOS!$B$4:$B$803,"DE CORTE")-SUMIFS(MOVIMIENTOS_COMPLEMENTOS!$I$4:$I$803,MOVIMIENTOS_COMPLEMENTOS!$C$4:$C$803,A2121,MOVIMIENTOS_COMPLEMENTOS!$D$4:$D$803,B2121,MOVIMIENTOS_COMPLEMENTOS!$E$4:$E$803,C2121,MOVIMIENTOS_COMPLEMENTOS!$F$4:$F$803,D2121,MOVIMIENTOS_COMPLEMENTOS!$G$4:$G$803,E2121,MOVIMIENTOS_COMPLEMENTOS!$H$4:$H$803,G2121,MOVIMIENTOS_COMPLEMENTOS!$B$4:$B$803,"SALIDA"),0)</f>
        <v>0</v>
      </c>
      <c r="I2121" s="102">
        <f t="array" ref="I2121">IFERROR(INDEX(PRECIOS_COMPLEMENTOS!$C$4:$F$17,MATCH(B2121&amp;"_"&amp;C2121,PRECIOS_COMPLEMENTOS!$H$4:$H$17,0),IF(OR(G2121="S",G2121="20cm"),1,IF(OR(G2121="M",G2121="25cm"),2,IF(OR(G2121="L",G2121="30cm"),3,IF(OR(G2121="XL",G2121="35cm"),4,0))))),0)</f>
        <v>0.6</v>
      </c>
      <c r="J2121" s="103">
        <f t="shared" si="1"/>
        <v>0</v>
      </c>
      <c r="K2121" s="104" t="str">
        <f>IF(H2121&lt;0,"ERROR",IF(H2121=0,"",IF(H2121&lt;CONFIG!$B$4,"CRÍTICO",IF(H2121&lt;CONFIG!$B$5,"BAJO","OK"))))</f>
        <v/>
      </c>
    </row>
    <row r="2122" ht="15.75" hidden="1" customHeight="1">
      <c r="A2122" s="90" t="str">
        <f>IF(CLIENTES!A5="","",CLIENTES!A5)</f>
        <v>Bravos</v>
      </c>
      <c r="B2122" s="90" t="s">
        <v>331</v>
      </c>
      <c r="C2122" s="91" t="s">
        <v>328</v>
      </c>
      <c r="D2122" s="109" t="s">
        <v>364</v>
      </c>
      <c r="E2122" s="67" t="str">
        <f>COLORES!A13</f>
        <v>Camote</v>
      </c>
      <c r="F2122" s="67" t="str">
        <f>COLORES!B13</f>
        <v>CLARO</v>
      </c>
      <c r="G2122" s="90" t="s">
        <v>377</v>
      </c>
      <c r="H2122" s="100">
        <f>IFERROR(SUMIFS(MOVIMIENTOS_COMPLEMENTOS!$I$4:$I$803,MOVIMIENTOS_COMPLEMENTOS!$C$4:$C$803,A2122,MOVIMIENTOS_COMPLEMENTOS!$D$4:$D$803,B2122,MOVIMIENTOS_COMPLEMENTOS!$E$4:$E$803,C2122,MOVIMIENTOS_COMPLEMENTOS!$F$4:$F$803,D2122,MOVIMIENTOS_COMPLEMENTOS!$G$4:$G$803,E2122,MOVIMIENTOS_COMPLEMENTOS!$H$4:$H$803,G2122,MOVIMIENTOS_COMPLEMENTOS!$B$4:$B$803,"INGRESO")+SUMIFS(MOVIMIENTOS_COMPLEMENTOS!$I$4:$I$803,MOVIMIENTOS_COMPLEMENTOS!$C$4:$C$803,A2122,MOVIMIENTOS_COMPLEMENTOS!$D$4:$D$803,B2122,MOVIMIENTOS_COMPLEMENTOS!$E$4:$E$803,C2122,MOVIMIENTOS_COMPLEMENTOS!$F$4:$F$803,D2122,MOVIMIENTOS_COMPLEMENTOS!$G$4:$G$803,E2122,MOVIMIENTOS_COMPLEMENTOS!$H$4:$H$803,G2122,MOVIMIENTOS_COMPLEMENTOS!$B$4:$B$803,"DE CORTE")-SUMIFS(MOVIMIENTOS_COMPLEMENTOS!$I$4:$I$803,MOVIMIENTOS_COMPLEMENTOS!$C$4:$C$803,A2122,MOVIMIENTOS_COMPLEMENTOS!$D$4:$D$803,B2122,MOVIMIENTOS_COMPLEMENTOS!$E$4:$E$803,C2122,MOVIMIENTOS_COMPLEMENTOS!$F$4:$F$803,D2122,MOVIMIENTOS_COMPLEMENTOS!$G$4:$G$803,E2122,MOVIMIENTOS_COMPLEMENTOS!$H$4:$H$803,G2122,MOVIMIENTOS_COMPLEMENTOS!$B$4:$B$803,"SALIDA"),0)</f>
        <v>0</v>
      </c>
      <c r="I2122" s="102">
        <f t="array" ref="I2122">IFERROR(INDEX(PRECIOS_COMPLEMENTOS!$C$4:$F$17,MATCH(B2122&amp;"_"&amp;C2122,PRECIOS_COMPLEMENTOS!$H$4:$H$17,0),IF(OR(G2122="S",G2122="20cm"),1,IF(OR(G2122="M",G2122="25cm"),2,IF(OR(G2122="L",G2122="30cm"),3,IF(OR(G2122="XL",G2122="35cm"),4,0))))),0)</f>
        <v>0.6</v>
      </c>
      <c r="J2122" s="103">
        <f t="shared" si="1"/>
        <v>0</v>
      </c>
      <c r="K2122" s="104" t="str">
        <f>IF(H2122&lt;0,"ERROR",IF(H2122=0,"",IF(H2122&lt;CONFIG!$B$4,"CRÍTICO",IF(H2122&lt;CONFIG!$B$5,"BAJO","OK"))))</f>
        <v/>
      </c>
    </row>
    <row r="2123" ht="15.75" hidden="1" customHeight="1">
      <c r="A2123" s="90" t="str">
        <f>IF(CLIENTES!A5="","",CLIENTES!A5)</f>
        <v>Bravos</v>
      </c>
      <c r="B2123" s="90" t="s">
        <v>331</v>
      </c>
      <c r="C2123" s="91" t="s">
        <v>328</v>
      </c>
      <c r="D2123" s="109" t="s">
        <v>364</v>
      </c>
      <c r="E2123" s="67" t="str">
        <f>COLORES!A13</f>
        <v>Camote</v>
      </c>
      <c r="F2123" s="67" t="str">
        <f>COLORES!B13</f>
        <v>CLARO</v>
      </c>
      <c r="G2123" s="90" t="s">
        <v>379</v>
      </c>
      <c r="H2123" s="100">
        <f>IFERROR(SUMIFS(MOVIMIENTOS_COMPLEMENTOS!$I$4:$I$803,MOVIMIENTOS_COMPLEMENTOS!$C$4:$C$803,A2123,MOVIMIENTOS_COMPLEMENTOS!$D$4:$D$803,B2123,MOVIMIENTOS_COMPLEMENTOS!$E$4:$E$803,C2123,MOVIMIENTOS_COMPLEMENTOS!$F$4:$F$803,D2123,MOVIMIENTOS_COMPLEMENTOS!$G$4:$G$803,E2123,MOVIMIENTOS_COMPLEMENTOS!$H$4:$H$803,G2123,MOVIMIENTOS_COMPLEMENTOS!$B$4:$B$803,"INGRESO")+SUMIFS(MOVIMIENTOS_COMPLEMENTOS!$I$4:$I$803,MOVIMIENTOS_COMPLEMENTOS!$C$4:$C$803,A2123,MOVIMIENTOS_COMPLEMENTOS!$D$4:$D$803,B2123,MOVIMIENTOS_COMPLEMENTOS!$E$4:$E$803,C2123,MOVIMIENTOS_COMPLEMENTOS!$F$4:$F$803,D2123,MOVIMIENTOS_COMPLEMENTOS!$G$4:$G$803,E2123,MOVIMIENTOS_COMPLEMENTOS!$H$4:$H$803,G2123,MOVIMIENTOS_COMPLEMENTOS!$B$4:$B$803,"DE CORTE")-SUMIFS(MOVIMIENTOS_COMPLEMENTOS!$I$4:$I$803,MOVIMIENTOS_COMPLEMENTOS!$C$4:$C$803,A2123,MOVIMIENTOS_COMPLEMENTOS!$D$4:$D$803,B2123,MOVIMIENTOS_COMPLEMENTOS!$E$4:$E$803,C2123,MOVIMIENTOS_COMPLEMENTOS!$F$4:$F$803,D2123,MOVIMIENTOS_COMPLEMENTOS!$G$4:$G$803,E2123,MOVIMIENTOS_COMPLEMENTOS!$H$4:$H$803,G2123,MOVIMIENTOS_COMPLEMENTOS!$B$4:$B$803,"SALIDA"),0)</f>
        <v>0</v>
      </c>
      <c r="I2123" s="102">
        <f t="array" ref="I2123">IFERROR(INDEX(PRECIOS_COMPLEMENTOS!$C$4:$F$17,MATCH(B2123&amp;"_"&amp;C2123,PRECIOS_COMPLEMENTOS!$H$4:$H$17,0),IF(OR(G2123="S",G2123="20cm"),1,IF(OR(G2123="M",G2123="25cm"),2,IF(OR(G2123="L",G2123="30cm"),3,IF(OR(G2123="XL",G2123="35cm"),4,0))))),0)</f>
        <v>0.6</v>
      </c>
      <c r="J2123" s="103">
        <f t="shared" si="1"/>
        <v>0</v>
      </c>
      <c r="K2123" s="104" t="str">
        <f>IF(H2123&lt;0,"ERROR",IF(H2123=0,"",IF(H2123&lt;CONFIG!$B$4,"CRÍTICO",IF(H2123&lt;CONFIG!$B$5,"BAJO","OK"))))</f>
        <v/>
      </c>
    </row>
    <row r="2124" ht="15.75" hidden="1" customHeight="1">
      <c r="A2124" s="90" t="str">
        <f>IF(CLIENTES!A5="","",CLIENTES!A5)</f>
        <v>Bravos</v>
      </c>
      <c r="B2124" s="90" t="s">
        <v>331</v>
      </c>
      <c r="C2124" s="91" t="s">
        <v>328</v>
      </c>
      <c r="D2124" s="109" t="s">
        <v>364</v>
      </c>
      <c r="E2124" s="67" t="str">
        <f>COLORES!A14</f>
        <v>Denim</v>
      </c>
      <c r="F2124" s="67" t="str">
        <f>COLORES!B14</f>
        <v>CLARO</v>
      </c>
      <c r="G2124" s="90" t="s">
        <v>378</v>
      </c>
      <c r="H2124" s="100">
        <f>IFERROR(SUMIFS(MOVIMIENTOS_COMPLEMENTOS!$I$4:$I$803,MOVIMIENTOS_COMPLEMENTOS!$C$4:$C$803,A2124,MOVIMIENTOS_COMPLEMENTOS!$D$4:$D$803,B2124,MOVIMIENTOS_COMPLEMENTOS!$E$4:$E$803,C2124,MOVIMIENTOS_COMPLEMENTOS!$F$4:$F$803,D2124,MOVIMIENTOS_COMPLEMENTOS!$G$4:$G$803,E2124,MOVIMIENTOS_COMPLEMENTOS!$H$4:$H$803,G2124,MOVIMIENTOS_COMPLEMENTOS!$B$4:$B$803,"INGRESO")+SUMIFS(MOVIMIENTOS_COMPLEMENTOS!$I$4:$I$803,MOVIMIENTOS_COMPLEMENTOS!$C$4:$C$803,A2124,MOVIMIENTOS_COMPLEMENTOS!$D$4:$D$803,B2124,MOVIMIENTOS_COMPLEMENTOS!$E$4:$E$803,C2124,MOVIMIENTOS_COMPLEMENTOS!$F$4:$F$803,D2124,MOVIMIENTOS_COMPLEMENTOS!$G$4:$G$803,E2124,MOVIMIENTOS_COMPLEMENTOS!$H$4:$H$803,G2124,MOVIMIENTOS_COMPLEMENTOS!$B$4:$B$803,"DE CORTE")-SUMIFS(MOVIMIENTOS_COMPLEMENTOS!$I$4:$I$803,MOVIMIENTOS_COMPLEMENTOS!$C$4:$C$803,A2124,MOVIMIENTOS_COMPLEMENTOS!$D$4:$D$803,B2124,MOVIMIENTOS_COMPLEMENTOS!$E$4:$E$803,C2124,MOVIMIENTOS_COMPLEMENTOS!$F$4:$F$803,D2124,MOVIMIENTOS_COMPLEMENTOS!$G$4:$G$803,E2124,MOVIMIENTOS_COMPLEMENTOS!$H$4:$H$803,G2124,MOVIMIENTOS_COMPLEMENTOS!$B$4:$B$803,"SALIDA"),0)</f>
        <v>0</v>
      </c>
      <c r="I2124" s="102">
        <f t="array" ref="I2124">IFERROR(INDEX(PRECIOS_COMPLEMENTOS!$C$4:$F$17,MATCH(B2124&amp;"_"&amp;C2124,PRECIOS_COMPLEMENTOS!$H$4:$H$17,0),IF(OR(G2124="S",G2124="20cm"),1,IF(OR(G2124="M",G2124="25cm"),2,IF(OR(G2124="L",G2124="30cm"),3,IF(OR(G2124="XL",G2124="35cm"),4,0))))),0)</f>
        <v>0.6</v>
      </c>
      <c r="J2124" s="103">
        <f t="shared" si="1"/>
        <v>0</v>
      </c>
      <c r="K2124" s="104" t="str">
        <f>IF(H2124&lt;0,"ERROR",IF(H2124=0,"",IF(H2124&lt;CONFIG!$B$4,"CRÍTICO",IF(H2124&lt;CONFIG!$B$5,"BAJO","OK"))))</f>
        <v/>
      </c>
    </row>
    <row r="2125" ht="15.75" hidden="1" customHeight="1">
      <c r="A2125" s="90" t="str">
        <f>IF(CLIENTES!A5="","",CLIENTES!A5)</f>
        <v>Bravos</v>
      </c>
      <c r="B2125" s="90" t="s">
        <v>331</v>
      </c>
      <c r="C2125" s="91" t="s">
        <v>328</v>
      </c>
      <c r="D2125" s="109" t="s">
        <v>364</v>
      </c>
      <c r="E2125" s="67" t="str">
        <f>COLORES!A14</f>
        <v>Denim</v>
      </c>
      <c r="F2125" s="67" t="str">
        <f>COLORES!B14</f>
        <v>CLARO</v>
      </c>
      <c r="G2125" s="90" t="s">
        <v>376</v>
      </c>
      <c r="H2125" s="100">
        <f>IFERROR(SUMIFS(MOVIMIENTOS_COMPLEMENTOS!$I$4:$I$803,MOVIMIENTOS_COMPLEMENTOS!$C$4:$C$803,A2125,MOVIMIENTOS_COMPLEMENTOS!$D$4:$D$803,B2125,MOVIMIENTOS_COMPLEMENTOS!$E$4:$E$803,C2125,MOVIMIENTOS_COMPLEMENTOS!$F$4:$F$803,D2125,MOVIMIENTOS_COMPLEMENTOS!$G$4:$G$803,E2125,MOVIMIENTOS_COMPLEMENTOS!$H$4:$H$803,G2125,MOVIMIENTOS_COMPLEMENTOS!$B$4:$B$803,"INGRESO")+SUMIFS(MOVIMIENTOS_COMPLEMENTOS!$I$4:$I$803,MOVIMIENTOS_COMPLEMENTOS!$C$4:$C$803,A2125,MOVIMIENTOS_COMPLEMENTOS!$D$4:$D$803,B2125,MOVIMIENTOS_COMPLEMENTOS!$E$4:$E$803,C2125,MOVIMIENTOS_COMPLEMENTOS!$F$4:$F$803,D2125,MOVIMIENTOS_COMPLEMENTOS!$G$4:$G$803,E2125,MOVIMIENTOS_COMPLEMENTOS!$H$4:$H$803,G2125,MOVIMIENTOS_COMPLEMENTOS!$B$4:$B$803,"DE CORTE")-SUMIFS(MOVIMIENTOS_COMPLEMENTOS!$I$4:$I$803,MOVIMIENTOS_COMPLEMENTOS!$C$4:$C$803,A2125,MOVIMIENTOS_COMPLEMENTOS!$D$4:$D$803,B2125,MOVIMIENTOS_COMPLEMENTOS!$E$4:$E$803,C2125,MOVIMIENTOS_COMPLEMENTOS!$F$4:$F$803,D2125,MOVIMIENTOS_COMPLEMENTOS!$G$4:$G$803,E2125,MOVIMIENTOS_COMPLEMENTOS!$H$4:$H$803,G2125,MOVIMIENTOS_COMPLEMENTOS!$B$4:$B$803,"SALIDA"),0)</f>
        <v>0</v>
      </c>
      <c r="I2125" s="102">
        <f t="array" ref="I2125">IFERROR(INDEX(PRECIOS_COMPLEMENTOS!$C$4:$F$17,MATCH(B2125&amp;"_"&amp;C2125,PRECIOS_COMPLEMENTOS!$H$4:$H$17,0),IF(OR(G2125="S",G2125="20cm"),1,IF(OR(G2125="M",G2125="25cm"),2,IF(OR(G2125="L",G2125="30cm"),3,IF(OR(G2125="XL",G2125="35cm"),4,0))))),0)</f>
        <v>0.6</v>
      </c>
      <c r="J2125" s="103">
        <f t="shared" si="1"/>
        <v>0</v>
      </c>
      <c r="K2125" s="104" t="str">
        <f>IF(H2125&lt;0,"ERROR",IF(H2125=0,"",IF(H2125&lt;CONFIG!$B$4,"CRÍTICO",IF(H2125&lt;CONFIG!$B$5,"BAJO","OK"))))</f>
        <v/>
      </c>
    </row>
    <row r="2126" ht="15.75" hidden="1" customHeight="1">
      <c r="A2126" s="90" t="str">
        <f>IF(CLIENTES!A5="","",CLIENTES!A5)</f>
        <v>Bravos</v>
      </c>
      <c r="B2126" s="90" t="s">
        <v>331</v>
      </c>
      <c r="C2126" s="91" t="s">
        <v>328</v>
      </c>
      <c r="D2126" s="109" t="s">
        <v>364</v>
      </c>
      <c r="E2126" s="67" t="str">
        <f>COLORES!A14</f>
        <v>Denim</v>
      </c>
      <c r="F2126" s="67" t="str">
        <f>COLORES!B14</f>
        <v>CLARO</v>
      </c>
      <c r="G2126" s="90" t="s">
        <v>377</v>
      </c>
      <c r="H2126" s="100">
        <f>IFERROR(SUMIFS(MOVIMIENTOS_COMPLEMENTOS!$I$4:$I$803,MOVIMIENTOS_COMPLEMENTOS!$C$4:$C$803,A2126,MOVIMIENTOS_COMPLEMENTOS!$D$4:$D$803,B2126,MOVIMIENTOS_COMPLEMENTOS!$E$4:$E$803,C2126,MOVIMIENTOS_COMPLEMENTOS!$F$4:$F$803,D2126,MOVIMIENTOS_COMPLEMENTOS!$G$4:$G$803,E2126,MOVIMIENTOS_COMPLEMENTOS!$H$4:$H$803,G2126,MOVIMIENTOS_COMPLEMENTOS!$B$4:$B$803,"INGRESO")+SUMIFS(MOVIMIENTOS_COMPLEMENTOS!$I$4:$I$803,MOVIMIENTOS_COMPLEMENTOS!$C$4:$C$803,A2126,MOVIMIENTOS_COMPLEMENTOS!$D$4:$D$803,B2126,MOVIMIENTOS_COMPLEMENTOS!$E$4:$E$803,C2126,MOVIMIENTOS_COMPLEMENTOS!$F$4:$F$803,D2126,MOVIMIENTOS_COMPLEMENTOS!$G$4:$G$803,E2126,MOVIMIENTOS_COMPLEMENTOS!$H$4:$H$803,G2126,MOVIMIENTOS_COMPLEMENTOS!$B$4:$B$803,"DE CORTE")-SUMIFS(MOVIMIENTOS_COMPLEMENTOS!$I$4:$I$803,MOVIMIENTOS_COMPLEMENTOS!$C$4:$C$803,A2126,MOVIMIENTOS_COMPLEMENTOS!$D$4:$D$803,B2126,MOVIMIENTOS_COMPLEMENTOS!$E$4:$E$803,C2126,MOVIMIENTOS_COMPLEMENTOS!$F$4:$F$803,D2126,MOVIMIENTOS_COMPLEMENTOS!$G$4:$G$803,E2126,MOVIMIENTOS_COMPLEMENTOS!$H$4:$H$803,G2126,MOVIMIENTOS_COMPLEMENTOS!$B$4:$B$803,"SALIDA"),0)</f>
        <v>0</v>
      </c>
      <c r="I2126" s="102">
        <f t="array" ref="I2126">IFERROR(INDEX(PRECIOS_COMPLEMENTOS!$C$4:$F$17,MATCH(B2126&amp;"_"&amp;C2126,PRECIOS_COMPLEMENTOS!$H$4:$H$17,0),IF(OR(G2126="S",G2126="20cm"),1,IF(OR(G2126="M",G2126="25cm"),2,IF(OR(G2126="L",G2126="30cm"),3,IF(OR(G2126="XL",G2126="35cm"),4,0))))),0)</f>
        <v>0.6</v>
      </c>
      <c r="J2126" s="103">
        <f t="shared" si="1"/>
        <v>0</v>
      </c>
      <c r="K2126" s="104" t="str">
        <f>IF(H2126&lt;0,"ERROR",IF(H2126=0,"",IF(H2126&lt;CONFIG!$B$4,"CRÍTICO",IF(H2126&lt;CONFIG!$B$5,"BAJO","OK"))))</f>
        <v/>
      </c>
    </row>
    <row r="2127" ht="15.75" hidden="1" customHeight="1">
      <c r="A2127" s="90" t="str">
        <f>IF(CLIENTES!A5="","",CLIENTES!A5)</f>
        <v>Bravos</v>
      </c>
      <c r="B2127" s="90" t="s">
        <v>331</v>
      </c>
      <c r="C2127" s="91" t="s">
        <v>328</v>
      </c>
      <c r="D2127" s="109" t="s">
        <v>364</v>
      </c>
      <c r="E2127" s="67" t="str">
        <f>COLORES!A14</f>
        <v>Denim</v>
      </c>
      <c r="F2127" s="67" t="str">
        <f>COLORES!B14</f>
        <v>CLARO</v>
      </c>
      <c r="G2127" s="90" t="s">
        <v>379</v>
      </c>
      <c r="H2127" s="100">
        <f>IFERROR(SUMIFS(MOVIMIENTOS_COMPLEMENTOS!$I$4:$I$803,MOVIMIENTOS_COMPLEMENTOS!$C$4:$C$803,A2127,MOVIMIENTOS_COMPLEMENTOS!$D$4:$D$803,B2127,MOVIMIENTOS_COMPLEMENTOS!$E$4:$E$803,C2127,MOVIMIENTOS_COMPLEMENTOS!$F$4:$F$803,D2127,MOVIMIENTOS_COMPLEMENTOS!$G$4:$G$803,E2127,MOVIMIENTOS_COMPLEMENTOS!$H$4:$H$803,G2127,MOVIMIENTOS_COMPLEMENTOS!$B$4:$B$803,"INGRESO")+SUMIFS(MOVIMIENTOS_COMPLEMENTOS!$I$4:$I$803,MOVIMIENTOS_COMPLEMENTOS!$C$4:$C$803,A2127,MOVIMIENTOS_COMPLEMENTOS!$D$4:$D$803,B2127,MOVIMIENTOS_COMPLEMENTOS!$E$4:$E$803,C2127,MOVIMIENTOS_COMPLEMENTOS!$F$4:$F$803,D2127,MOVIMIENTOS_COMPLEMENTOS!$G$4:$G$803,E2127,MOVIMIENTOS_COMPLEMENTOS!$H$4:$H$803,G2127,MOVIMIENTOS_COMPLEMENTOS!$B$4:$B$803,"DE CORTE")-SUMIFS(MOVIMIENTOS_COMPLEMENTOS!$I$4:$I$803,MOVIMIENTOS_COMPLEMENTOS!$C$4:$C$803,A2127,MOVIMIENTOS_COMPLEMENTOS!$D$4:$D$803,B2127,MOVIMIENTOS_COMPLEMENTOS!$E$4:$E$803,C2127,MOVIMIENTOS_COMPLEMENTOS!$F$4:$F$803,D2127,MOVIMIENTOS_COMPLEMENTOS!$G$4:$G$803,E2127,MOVIMIENTOS_COMPLEMENTOS!$H$4:$H$803,G2127,MOVIMIENTOS_COMPLEMENTOS!$B$4:$B$803,"SALIDA"),0)</f>
        <v>0</v>
      </c>
      <c r="I2127" s="102">
        <f t="array" ref="I2127">IFERROR(INDEX(PRECIOS_COMPLEMENTOS!$C$4:$F$17,MATCH(B2127&amp;"_"&amp;C2127,PRECIOS_COMPLEMENTOS!$H$4:$H$17,0),IF(OR(G2127="S",G2127="20cm"),1,IF(OR(G2127="M",G2127="25cm"),2,IF(OR(G2127="L",G2127="30cm"),3,IF(OR(G2127="XL",G2127="35cm"),4,0))))),0)</f>
        <v>0.6</v>
      </c>
      <c r="J2127" s="103">
        <f t="shared" si="1"/>
        <v>0</v>
      </c>
      <c r="K2127" s="104" t="str">
        <f>IF(H2127&lt;0,"ERROR",IF(H2127=0,"",IF(H2127&lt;CONFIG!$B$4,"CRÍTICO",IF(H2127&lt;CONFIG!$B$5,"BAJO","OK"))))</f>
        <v/>
      </c>
    </row>
    <row r="2128" ht="15.75" hidden="1" customHeight="1">
      <c r="A2128" s="90" t="str">
        <f>IF(CLIENTES!A5="","",CLIENTES!A5)</f>
        <v>Bravos</v>
      </c>
      <c r="B2128" s="90" t="s">
        <v>331</v>
      </c>
      <c r="C2128" s="91" t="s">
        <v>328</v>
      </c>
      <c r="D2128" s="109" t="s">
        <v>364</v>
      </c>
      <c r="E2128" s="67" t="str">
        <f>COLORES!A15</f>
        <v>Plomo</v>
      </c>
      <c r="F2128" s="67" t="str">
        <f>COLORES!B15</f>
        <v>OSCURO</v>
      </c>
      <c r="G2128" s="90" t="s">
        <v>378</v>
      </c>
      <c r="H2128" s="100">
        <f>IFERROR(SUMIFS(MOVIMIENTOS_COMPLEMENTOS!$I$4:$I$803,MOVIMIENTOS_COMPLEMENTOS!$C$4:$C$803,A2128,MOVIMIENTOS_COMPLEMENTOS!$D$4:$D$803,B2128,MOVIMIENTOS_COMPLEMENTOS!$E$4:$E$803,C2128,MOVIMIENTOS_COMPLEMENTOS!$F$4:$F$803,D2128,MOVIMIENTOS_COMPLEMENTOS!$G$4:$G$803,E2128,MOVIMIENTOS_COMPLEMENTOS!$H$4:$H$803,G2128,MOVIMIENTOS_COMPLEMENTOS!$B$4:$B$803,"INGRESO")+SUMIFS(MOVIMIENTOS_COMPLEMENTOS!$I$4:$I$803,MOVIMIENTOS_COMPLEMENTOS!$C$4:$C$803,A2128,MOVIMIENTOS_COMPLEMENTOS!$D$4:$D$803,B2128,MOVIMIENTOS_COMPLEMENTOS!$E$4:$E$803,C2128,MOVIMIENTOS_COMPLEMENTOS!$F$4:$F$803,D2128,MOVIMIENTOS_COMPLEMENTOS!$G$4:$G$803,E2128,MOVIMIENTOS_COMPLEMENTOS!$H$4:$H$803,G2128,MOVIMIENTOS_COMPLEMENTOS!$B$4:$B$803,"DE CORTE")-SUMIFS(MOVIMIENTOS_COMPLEMENTOS!$I$4:$I$803,MOVIMIENTOS_COMPLEMENTOS!$C$4:$C$803,A2128,MOVIMIENTOS_COMPLEMENTOS!$D$4:$D$803,B2128,MOVIMIENTOS_COMPLEMENTOS!$E$4:$E$803,C2128,MOVIMIENTOS_COMPLEMENTOS!$F$4:$F$803,D2128,MOVIMIENTOS_COMPLEMENTOS!$G$4:$G$803,E2128,MOVIMIENTOS_COMPLEMENTOS!$H$4:$H$803,G2128,MOVIMIENTOS_COMPLEMENTOS!$B$4:$B$803,"SALIDA"),0)</f>
        <v>0</v>
      </c>
      <c r="I2128" s="102">
        <f t="array" ref="I2128">IFERROR(INDEX(PRECIOS_COMPLEMENTOS!$C$4:$F$17,MATCH(B2128&amp;"_"&amp;C2128,PRECIOS_COMPLEMENTOS!$H$4:$H$17,0),IF(OR(G2128="S",G2128="20cm"),1,IF(OR(G2128="M",G2128="25cm"),2,IF(OR(G2128="L",G2128="30cm"),3,IF(OR(G2128="XL",G2128="35cm"),4,0))))),0)</f>
        <v>0.6</v>
      </c>
      <c r="J2128" s="103">
        <f t="shared" si="1"/>
        <v>0</v>
      </c>
      <c r="K2128" s="104" t="str">
        <f>IF(H2128&lt;0,"ERROR",IF(H2128=0,"",IF(H2128&lt;CONFIG!$B$4,"CRÍTICO",IF(H2128&lt;CONFIG!$B$5,"BAJO","OK"))))</f>
        <v/>
      </c>
    </row>
    <row r="2129" ht="15.75" hidden="1" customHeight="1">
      <c r="A2129" s="90" t="str">
        <f>IF(CLIENTES!A5="","",CLIENTES!A5)</f>
        <v>Bravos</v>
      </c>
      <c r="B2129" s="90" t="s">
        <v>331</v>
      </c>
      <c r="C2129" s="91" t="s">
        <v>328</v>
      </c>
      <c r="D2129" s="109" t="s">
        <v>364</v>
      </c>
      <c r="E2129" s="67" t="str">
        <f>COLORES!A15</f>
        <v>Plomo</v>
      </c>
      <c r="F2129" s="67" t="str">
        <f>COLORES!B15</f>
        <v>OSCURO</v>
      </c>
      <c r="G2129" s="90" t="s">
        <v>376</v>
      </c>
      <c r="H2129" s="100">
        <f>IFERROR(SUMIFS(MOVIMIENTOS_COMPLEMENTOS!$I$4:$I$803,MOVIMIENTOS_COMPLEMENTOS!$C$4:$C$803,A2129,MOVIMIENTOS_COMPLEMENTOS!$D$4:$D$803,B2129,MOVIMIENTOS_COMPLEMENTOS!$E$4:$E$803,C2129,MOVIMIENTOS_COMPLEMENTOS!$F$4:$F$803,D2129,MOVIMIENTOS_COMPLEMENTOS!$G$4:$G$803,E2129,MOVIMIENTOS_COMPLEMENTOS!$H$4:$H$803,G2129,MOVIMIENTOS_COMPLEMENTOS!$B$4:$B$803,"INGRESO")+SUMIFS(MOVIMIENTOS_COMPLEMENTOS!$I$4:$I$803,MOVIMIENTOS_COMPLEMENTOS!$C$4:$C$803,A2129,MOVIMIENTOS_COMPLEMENTOS!$D$4:$D$803,B2129,MOVIMIENTOS_COMPLEMENTOS!$E$4:$E$803,C2129,MOVIMIENTOS_COMPLEMENTOS!$F$4:$F$803,D2129,MOVIMIENTOS_COMPLEMENTOS!$G$4:$G$803,E2129,MOVIMIENTOS_COMPLEMENTOS!$H$4:$H$803,G2129,MOVIMIENTOS_COMPLEMENTOS!$B$4:$B$803,"DE CORTE")-SUMIFS(MOVIMIENTOS_COMPLEMENTOS!$I$4:$I$803,MOVIMIENTOS_COMPLEMENTOS!$C$4:$C$803,A2129,MOVIMIENTOS_COMPLEMENTOS!$D$4:$D$803,B2129,MOVIMIENTOS_COMPLEMENTOS!$E$4:$E$803,C2129,MOVIMIENTOS_COMPLEMENTOS!$F$4:$F$803,D2129,MOVIMIENTOS_COMPLEMENTOS!$G$4:$G$803,E2129,MOVIMIENTOS_COMPLEMENTOS!$H$4:$H$803,G2129,MOVIMIENTOS_COMPLEMENTOS!$B$4:$B$803,"SALIDA"),0)</f>
        <v>0</v>
      </c>
      <c r="I2129" s="102">
        <f t="array" ref="I2129">IFERROR(INDEX(PRECIOS_COMPLEMENTOS!$C$4:$F$17,MATCH(B2129&amp;"_"&amp;C2129,PRECIOS_COMPLEMENTOS!$H$4:$H$17,0),IF(OR(G2129="S",G2129="20cm"),1,IF(OR(G2129="M",G2129="25cm"),2,IF(OR(G2129="L",G2129="30cm"),3,IF(OR(G2129="XL",G2129="35cm"),4,0))))),0)</f>
        <v>0.6</v>
      </c>
      <c r="J2129" s="103">
        <f t="shared" si="1"/>
        <v>0</v>
      </c>
      <c r="K2129" s="104" t="str">
        <f>IF(H2129&lt;0,"ERROR",IF(H2129=0,"",IF(H2129&lt;CONFIG!$B$4,"CRÍTICO",IF(H2129&lt;CONFIG!$B$5,"BAJO","OK"))))</f>
        <v/>
      </c>
    </row>
    <row r="2130" ht="15.75" hidden="1" customHeight="1">
      <c r="A2130" s="90" t="str">
        <f>IF(CLIENTES!A5="","",CLIENTES!A5)</f>
        <v>Bravos</v>
      </c>
      <c r="B2130" s="90" t="s">
        <v>331</v>
      </c>
      <c r="C2130" s="91" t="s">
        <v>328</v>
      </c>
      <c r="D2130" s="109" t="s">
        <v>364</v>
      </c>
      <c r="E2130" s="67" t="str">
        <f>COLORES!A15</f>
        <v>Plomo</v>
      </c>
      <c r="F2130" s="67" t="str">
        <f>COLORES!B15</f>
        <v>OSCURO</v>
      </c>
      <c r="G2130" s="90" t="s">
        <v>377</v>
      </c>
      <c r="H2130" s="100">
        <f>IFERROR(SUMIFS(MOVIMIENTOS_COMPLEMENTOS!$I$4:$I$803,MOVIMIENTOS_COMPLEMENTOS!$C$4:$C$803,A2130,MOVIMIENTOS_COMPLEMENTOS!$D$4:$D$803,B2130,MOVIMIENTOS_COMPLEMENTOS!$E$4:$E$803,C2130,MOVIMIENTOS_COMPLEMENTOS!$F$4:$F$803,D2130,MOVIMIENTOS_COMPLEMENTOS!$G$4:$G$803,E2130,MOVIMIENTOS_COMPLEMENTOS!$H$4:$H$803,G2130,MOVIMIENTOS_COMPLEMENTOS!$B$4:$B$803,"INGRESO")+SUMIFS(MOVIMIENTOS_COMPLEMENTOS!$I$4:$I$803,MOVIMIENTOS_COMPLEMENTOS!$C$4:$C$803,A2130,MOVIMIENTOS_COMPLEMENTOS!$D$4:$D$803,B2130,MOVIMIENTOS_COMPLEMENTOS!$E$4:$E$803,C2130,MOVIMIENTOS_COMPLEMENTOS!$F$4:$F$803,D2130,MOVIMIENTOS_COMPLEMENTOS!$G$4:$G$803,E2130,MOVIMIENTOS_COMPLEMENTOS!$H$4:$H$803,G2130,MOVIMIENTOS_COMPLEMENTOS!$B$4:$B$803,"DE CORTE")-SUMIFS(MOVIMIENTOS_COMPLEMENTOS!$I$4:$I$803,MOVIMIENTOS_COMPLEMENTOS!$C$4:$C$803,A2130,MOVIMIENTOS_COMPLEMENTOS!$D$4:$D$803,B2130,MOVIMIENTOS_COMPLEMENTOS!$E$4:$E$803,C2130,MOVIMIENTOS_COMPLEMENTOS!$F$4:$F$803,D2130,MOVIMIENTOS_COMPLEMENTOS!$G$4:$G$803,E2130,MOVIMIENTOS_COMPLEMENTOS!$H$4:$H$803,G2130,MOVIMIENTOS_COMPLEMENTOS!$B$4:$B$803,"SALIDA"),0)</f>
        <v>0</v>
      </c>
      <c r="I2130" s="102">
        <f t="array" ref="I2130">IFERROR(INDEX(PRECIOS_COMPLEMENTOS!$C$4:$F$17,MATCH(B2130&amp;"_"&amp;C2130,PRECIOS_COMPLEMENTOS!$H$4:$H$17,0),IF(OR(G2130="S",G2130="20cm"),1,IF(OR(G2130="M",G2130="25cm"),2,IF(OR(G2130="L",G2130="30cm"),3,IF(OR(G2130="XL",G2130="35cm"),4,0))))),0)</f>
        <v>0.6</v>
      </c>
      <c r="J2130" s="103">
        <f t="shared" si="1"/>
        <v>0</v>
      </c>
      <c r="K2130" s="104" t="str">
        <f>IF(H2130&lt;0,"ERROR",IF(H2130=0,"",IF(H2130&lt;CONFIG!$B$4,"CRÍTICO",IF(H2130&lt;CONFIG!$B$5,"BAJO","OK"))))</f>
        <v/>
      </c>
    </row>
    <row r="2131" ht="15.75" hidden="1" customHeight="1">
      <c r="A2131" s="90" t="str">
        <f>IF(CLIENTES!A5="","",CLIENTES!A5)</f>
        <v>Bravos</v>
      </c>
      <c r="B2131" s="90" t="s">
        <v>331</v>
      </c>
      <c r="C2131" s="91" t="s">
        <v>328</v>
      </c>
      <c r="D2131" s="109" t="s">
        <v>364</v>
      </c>
      <c r="E2131" s="67" t="str">
        <f>COLORES!A15</f>
        <v>Plomo</v>
      </c>
      <c r="F2131" s="67" t="str">
        <f>COLORES!B15</f>
        <v>OSCURO</v>
      </c>
      <c r="G2131" s="90" t="s">
        <v>379</v>
      </c>
      <c r="H2131" s="100">
        <f>IFERROR(SUMIFS(MOVIMIENTOS_COMPLEMENTOS!$I$4:$I$803,MOVIMIENTOS_COMPLEMENTOS!$C$4:$C$803,A2131,MOVIMIENTOS_COMPLEMENTOS!$D$4:$D$803,B2131,MOVIMIENTOS_COMPLEMENTOS!$E$4:$E$803,C2131,MOVIMIENTOS_COMPLEMENTOS!$F$4:$F$803,D2131,MOVIMIENTOS_COMPLEMENTOS!$G$4:$G$803,E2131,MOVIMIENTOS_COMPLEMENTOS!$H$4:$H$803,G2131,MOVIMIENTOS_COMPLEMENTOS!$B$4:$B$803,"INGRESO")+SUMIFS(MOVIMIENTOS_COMPLEMENTOS!$I$4:$I$803,MOVIMIENTOS_COMPLEMENTOS!$C$4:$C$803,A2131,MOVIMIENTOS_COMPLEMENTOS!$D$4:$D$803,B2131,MOVIMIENTOS_COMPLEMENTOS!$E$4:$E$803,C2131,MOVIMIENTOS_COMPLEMENTOS!$F$4:$F$803,D2131,MOVIMIENTOS_COMPLEMENTOS!$G$4:$G$803,E2131,MOVIMIENTOS_COMPLEMENTOS!$H$4:$H$803,G2131,MOVIMIENTOS_COMPLEMENTOS!$B$4:$B$803,"DE CORTE")-SUMIFS(MOVIMIENTOS_COMPLEMENTOS!$I$4:$I$803,MOVIMIENTOS_COMPLEMENTOS!$C$4:$C$803,A2131,MOVIMIENTOS_COMPLEMENTOS!$D$4:$D$803,B2131,MOVIMIENTOS_COMPLEMENTOS!$E$4:$E$803,C2131,MOVIMIENTOS_COMPLEMENTOS!$F$4:$F$803,D2131,MOVIMIENTOS_COMPLEMENTOS!$G$4:$G$803,E2131,MOVIMIENTOS_COMPLEMENTOS!$H$4:$H$803,G2131,MOVIMIENTOS_COMPLEMENTOS!$B$4:$B$803,"SALIDA"),0)</f>
        <v>0</v>
      </c>
      <c r="I2131" s="102">
        <f t="array" ref="I2131">IFERROR(INDEX(PRECIOS_COMPLEMENTOS!$C$4:$F$17,MATCH(B2131&amp;"_"&amp;C2131,PRECIOS_COMPLEMENTOS!$H$4:$H$17,0),IF(OR(G2131="S",G2131="20cm"),1,IF(OR(G2131="M",G2131="25cm"),2,IF(OR(G2131="L",G2131="30cm"),3,IF(OR(G2131="XL",G2131="35cm"),4,0))))),0)</f>
        <v>0.6</v>
      </c>
      <c r="J2131" s="103">
        <f t="shared" si="1"/>
        <v>0</v>
      </c>
      <c r="K2131" s="104" t="str">
        <f>IF(H2131&lt;0,"ERROR",IF(H2131=0,"",IF(H2131&lt;CONFIG!$B$4,"CRÍTICO",IF(H2131&lt;CONFIG!$B$5,"BAJO","OK"))))</f>
        <v/>
      </c>
    </row>
    <row r="2132" ht="15.75" hidden="1" customHeight="1">
      <c r="A2132" s="90" t="str">
        <f>IF(CLIENTES!A5="","",CLIENTES!A5)</f>
        <v>Bravos</v>
      </c>
      <c r="B2132" s="90" t="s">
        <v>331</v>
      </c>
      <c r="C2132" s="91" t="s">
        <v>328</v>
      </c>
      <c r="D2132" s="109" t="s">
        <v>364</v>
      </c>
      <c r="E2132" s="67" t="str">
        <f>COLORES!A16</f>
        <v>Topo</v>
      </c>
      <c r="F2132" s="67" t="str">
        <f>COLORES!B16</f>
        <v>CLARO</v>
      </c>
      <c r="G2132" s="90" t="s">
        <v>378</v>
      </c>
      <c r="H2132" s="100">
        <f>IFERROR(SUMIFS(MOVIMIENTOS_COMPLEMENTOS!$I$4:$I$803,MOVIMIENTOS_COMPLEMENTOS!$C$4:$C$803,A2132,MOVIMIENTOS_COMPLEMENTOS!$D$4:$D$803,B2132,MOVIMIENTOS_COMPLEMENTOS!$E$4:$E$803,C2132,MOVIMIENTOS_COMPLEMENTOS!$F$4:$F$803,D2132,MOVIMIENTOS_COMPLEMENTOS!$G$4:$G$803,E2132,MOVIMIENTOS_COMPLEMENTOS!$H$4:$H$803,G2132,MOVIMIENTOS_COMPLEMENTOS!$B$4:$B$803,"INGRESO")+SUMIFS(MOVIMIENTOS_COMPLEMENTOS!$I$4:$I$803,MOVIMIENTOS_COMPLEMENTOS!$C$4:$C$803,A2132,MOVIMIENTOS_COMPLEMENTOS!$D$4:$D$803,B2132,MOVIMIENTOS_COMPLEMENTOS!$E$4:$E$803,C2132,MOVIMIENTOS_COMPLEMENTOS!$F$4:$F$803,D2132,MOVIMIENTOS_COMPLEMENTOS!$G$4:$G$803,E2132,MOVIMIENTOS_COMPLEMENTOS!$H$4:$H$803,G2132,MOVIMIENTOS_COMPLEMENTOS!$B$4:$B$803,"DE CORTE")-SUMIFS(MOVIMIENTOS_COMPLEMENTOS!$I$4:$I$803,MOVIMIENTOS_COMPLEMENTOS!$C$4:$C$803,A2132,MOVIMIENTOS_COMPLEMENTOS!$D$4:$D$803,B2132,MOVIMIENTOS_COMPLEMENTOS!$E$4:$E$803,C2132,MOVIMIENTOS_COMPLEMENTOS!$F$4:$F$803,D2132,MOVIMIENTOS_COMPLEMENTOS!$G$4:$G$803,E2132,MOVIMIENTOS_COMPLEMENTOS!$H$4:$H$803,G2132,MOVIMIENTOS_COMPLEMENTOS!$B$4:$B$803,"SALIDA"),0)</f>
        <v>0</v>
      </c>
      <c r="I2132" s="102">
        <f t="array" ref="I2132">IFERROR(INDEX(PRECIOS_COMPLEMENTOS!$C$4:$F$17,MATCH(B2132&amp;"_"&amp;C2132,PRECIOS_COMPLEMENTOS!$H$4:$H$17,0),IF(OR(G2132="S",G2132="20cm"),1,IF(OR(G2132="M",G2132="25cm"),2,IF(OR(G2132="L",G2132="30cm"),3,IF(OR(G2132="XL",G2132="35cm"),4,0))))),0)</f>
        <v>0.6</v>
      </c>
      <c r="J2132" s="103">
        <f t="shared" si="1"/>
        <v>0</v>
      </c>
      <c r="K2132" s="104" t="str">
        <f>IF(H2132&lt;0,"ERROR",IF(H2132=0,"",IF(H2132&lt;CONFIG!$B$4,"CRÍTICO",IF(H2132&lt;CONFIG!$B$5,"BAJO","OK"))))</f>
        <v/>
      </c>
    </row>
    <row r="2133" ht="15.75" hidden="1" customHeight="1">
      <c r="A2133" s="90" t="str">
        <f>IF(CLIENTES!A5="","",CLIENTES!A5)</f>
        <v>Bravos</v>
      </c>
      <c r="B2133" s="90" t="s">
        <v>331</v>
      </c>
      <c r="C2133" s="91" t="s">
        <v>328</v>
      </c>
      <c r="D2133" s="109" t="s">
        <v>364</v>
      </c>
      <c r="E2133" s="67" t="str">
        <f>COLORES!A16</f>
        <v>Topo</v>
      </c>
      <c r="F2133" s="67" t="str">
        <f>COLORES!B16</f>
        <v>CLARO</v>
      </c>
      <c r="G2133" s="90" t="s">
        <v>376</v>
      </c>
      <c r="H2133" s="100">
        <f>IFERROR(SUMIFS(MOVIMIENTOS_COMPLEMENTOS!$I$4:$I$803,MOVIMIENTOS_COMPLEMENTOS!$C$4:$C$803,A2133,MOVIMIENTOS_COMPLEMENTOS!$D$4:$D$803,B2133,MOVIMIENTOS_COMPLEMENTOS!$E$4:$E$803,C2133,MOVIMIENTOS_COMPLEMENTOS!$F$4:$F$803,D2133,MOVIMIENTOS_COMPLEMENTOS!$G$4:$G$803,E2133,MOVIMIENTOS_COMPLEMENTOS!$H$4:$H$803,G2133,MOVIMIENTOS_COMPLEMENTOS!$B$4:$B$803,"INGRESO")+SUMIFS(MOVIMIENTOS_COMPLEMENTOS!$I$4:$I$803,MOVIMIENTOS_COMPLEMENTOS!$C$4:$C$803,A2133,MOVIMIENTOS_COMPLEMENTOS!$D$4:$D$803,B2133,MOVIMIENTOS_COMPLEMENTOS!$E$4:$E$803,C2133,MOVIMIENTOS_COMPLEMENTOS!$F$4:$F$803,D2133,MOVIMIENTOS_COMPLEMENTOS!$G$4:$G$803,E2133,MOVIMIENTOS_COMPLEMENTOS!$H$4:$H$803,G2133,MOVIMIENTOS_COMPLEMENTOS!$B$4:$B$803,"DE CORTE")-SUMIFS(MOVIMIENTOS_COMPLEMENTOS!$I$4:$I$803,MOVIMIENTOS_COMPLEMENTOS!$C$4:$C$803,A2133,MOVIMIENTOS_COMPLEMENTOS!$D$4:$D$803,B2133,MOVIMIENTOS_COMPLEMENTOS!$E$4:$E$803,C2133,MOVIMIENTOS_COMPLEMENTOS!$F$4:$F$803,D2133,MOVIMIENTOS_COMPLEMENTOS!$G$4:$G$803,E2133,MOVIMIENTOS_COMPLEMENTOS!$H$4:$H$803,G2133,MOVIMIENTOS_COMPLEMENTOS!$B$4:$B$803,"SALIDA"),0)</f>
        <v>0</v>
      </c>
      <c r="I2133" s="102">
        <f t="array" ref="I2133">IFERROR(INDEX(PRECIOS_COMPLEMENTOS!$C$4:$F$17,MATCH(B2133&amp;"_"&amp;C2133,PRECIOS_COMPLEMENTOS!$H$4:$H$17,0),IF(OR(G2133="S",G2133="20cm"),1,IF(OR(G2133="M",G2133="25cm"),2,IF(OR(G2133="L",G2133="30cm"),3,IF(OR(G2133="XL",G2133="35cm"),4,0))))),0)</f>
        <v>0.6</v>
      </c>
      <c r="J2133" s="103">
        <f t="shared" si="1"/>
        <v>0</v>
      </c>
      <c r="K2133" s="104" t="str">
        <f>IF(H2133&lt;0,"ERROR",IF(H2133=0,"",IF(H2133&lt;CONFIG!$B$4,"CRÍTICO",IF(H2133&lt;CONFIG!$B$5,"BAJO","OK"))))</f>
        <v/>
      </c>
    </row>
    <row r="2134" ht="15.75" hidden="1" customHeight="1">
      <c r="A2134" s="90" t="str">
        <f>IF(CLIENTES!A5="","",CLIENTES!A5)</f>
        <v>Bravos</v>
      </c>
      <c r="B2134" s="90" t="s">
        <v>331</v>
      </c>
      <c r="C2134" s="91" t="s">
        <v>328</v>
      </c>
      <c r="D2134" s="109" t="s">
        <v>364</v>
      </c>
      <c r="E2134" s="67" t="str">
        <f>COLORES!A16</f>
        <v>Topo</v>
      </c>
      <c r="F2134" s="67" t="str">
        <f>COLORES!B16</f>
        <v>CLARO</v>
      </c>
      <c r="G2134" s="90" t="s">
        <v>377</v>
      </c>
      <c r="H2134" s="100">
        <f>IFERROR(SUMIFS(MOVIMIENTOS_COMPLEMENTOS!$I$4:$I$803,MOVIMIENTOS_COMPLEMENTOS!$C$4:$C$803,A2134,MOVIMIENTOS_COMPLEMENTOS!$D$4:$D$803,B2134,MOVIMIENTOS_COMPLEMENTOS!$E$4:$E$803,C2134,MOVIMIENTOS_COMPLEMENTOS!$F$4:$F$803,D2134,MOVIMIENTOS_COMPLEMENTOS!$G$4:$G$803,E2134,MOVIMIENTOS_COMPLEMENTOS!$H$4:$H$803,G2134,MOVIMIENTOS_COMPLEMENTOS!$B$4:$B$803,"INGRESO")+SUMIFS(MOVIMIENTOS_COMPLEMENTOS!$I$4:$I$803,MOVIMIENTOS_COMPLEMENTOS!$C$4:$C$803,A2134,MOVIMIENTOS_COMPLEMENTOS!$D$4:$D$803,B2134,MOVIMIENTOS_COMPLEMENTOS!$E$4:$E$803,C2134,MOVIMIENTOS_COMPLEMENTOS!$F$4:$F$803,D2134,MOVIMIENTOS_COMPLEMENTOS!$G$4:$G$803,E2134,MOVIMIENTOS_COMPLEMENTOS!$H$4:$H$803,G2134,MOVIMIENTOS_COMPLEMENTOS!$B$4:$B$803,"DE CORTE")-SUMIFS(MOVIMIENTOS_COMPLEMENTOS!$I$4:$I$803,MOVIMIENTOS_COMPLEMENTOS!$C$4:$C$803,A2134,MOVIMIENTOS_COMPLEMENTOS!$D$4:$D$803,B2134,MOVIMIENTOS_COMPLEMENTOS!$E$4:$E$803,C2134,MOVIMIENTOS_COMPLEMENTOS!$F$4:$F$803,D2134,MOVIMIENTOS_COMPLEMENTOS!$G$4:$G$803,E2134,MOVIMIENTOS_COMPLEMENTOS!$H$4:$H$803,G2134,MOVIMIENTOS_COMPLEMENTOS!$B$4:$B$803,"SALIDA"),0)</f>
        <v>0</v>
      </c>
      <c r="I2134" s="102">
        <f t="array" ref="I2134">IFERROR(INDEX(PRECIOS_COMPLEMENTOS!$C$4:$F$17,MATCH(B2134&amp;"_"&amp;C2134,PRECIOS_COMPLEMENTOS!$H$4:$H$17,0),IF(OR(G2134="S",G2134="20cm"),1,IF(OR(G2134="M",G2134="25cm"),2,IF(OR(G2134="L",G2134="30cm"),3,IF(OR(G2134="XL",G2134="35cm"),4,0))))),0)</f>
        <v>0.6</v>
      </c>
      <c r="J2134" s="103">
        <f t="shared" si="1"/>
        <v>0</v>
      </c>
      <c r="K2134" s="104" t="str">
        <f>IF(H2134&lt;0,"ERROR",IF(H2134=0,"",IF(H2134&lt;CONFIG!$B$4,"CRÍTICO",IF(H2134&lt;CONFIG!$B$5,"BAJO","OK"))))</f>
        <v/>
      </c>
    </row>
    <row r="2135" ht="15.75" hidden="1" customHeight="1">
      <c r="A2135" s="90" t="str">
        <f>IF(CLIENTES!A5="","",CLIENTES!A5)</f>
        <v>Bravos</v>
      </c>
      <c r="B2135" s="90" t="s">
        <v>331</v>
      </c>
      <c r="C2135" s="91" t="s">
        <v>328</v>
      </c>
      <c r="D2135" s="109" t="s">
        <v>364</v>
      </c>
      <c r="E2135" s="67" t="str">
        <f>COLORES!A16</f>
        <v>Topo</v>
      </c>
      <c r="F2135" s="67" t="str">
        <f>COLORES!B16</f>
        <v>CLARO</v>
      </c>
      <c r="G2135" s="90" t="s">
        <v>379</v>
      </c>
      <c r="H2135" s="100">
        <f>IFERROR(SUMIFS(MOVIMIENTOS_COMPLEMENTOS!$I$4:$I$803,MOVIMIENTOS_COMPLEMENTOS!$C$4:$C$803,A2135,MOVIMIENTOS_COMPLEMENTOS!$D$4:$D$803,B2135,MOVIMIENTOS_COMPLEMENTOS!$E$4:$E$803,C2135,MOVIMIENTOS_COMPLEMENTOS!$F$4:$F$803,D2135,MOVIMIENTOS_COMPLEMENTOS!$G$4:$G$803,E2135,MOVIMIENTOS_COMPLEMENTOS!$H$4:$H$803,G2135,MOVIMIENTOS_COMPLEMENTOS!$B$4:$B$803,"INGRESO")+SUMIFS(MOVIMIENTOS_COMPLEMENTOS!$I$4:$I$803,MOVIMIENTOS_COMPLEMENTOS!$C$4:$C$803,A2135,MOVIMIENTOS_COMPLEMENTOS!$D$4:$D$803,B2135,MOVIMIENTOS_COMPLEMENTOS!$E$4:$E$803,C2135,MOVIMIENTOS_COMPLEMENTOS!$F$4:$F$803,D2135,MOVIMIENTOS_COMPLEMENTOS!$G$4:$G$803,E2135,MOVIMIENTOS_COMPLEMENTOS!$H$4:$H$803,G2135,MOVIMIENTOS_COMPLEMENTOS!$B$4:$B$803,"DE CORTE")-SUMIFS(MOVIMIENTOS_COMPLEMENTOS!$I$4:$I$803,MOVIMIENTOS_COMPLEMENTOS!$C$4:$C$803,A2135,MOVIMIENTOS_COMPLEMENTOS!$D$4:$D$803,B2135,MOVIMIENTOS_COMPLEMENTOS!$E$4:$E$803,C2135,MOVIMIENTOS_COMPLEMENTOS!$F$4:$F$803,D2135,MOVIMIENTOS_COMPLEMENTOS!$G$4:$G$803,E2135,MOVIMIENTOS_COMPLEMENTOS!$H$4:$H$803,G2135,MOVIMIENTOS_COMPLEMENTOS!$B$4:$B$803,"SALIDA"),0)</f>
        <v>0</v>
      </c>
      <c r="I2135" s="102">
        <f t="array" ref="I2135">IFERROR(INDEX(PRECIOS_COMPLEMENTOS!$C$4:$F$17,MATCH(B2135&amp;"_"&amp;C2135,PRECIOS_COMPLEMENTOS!$H$4:$H$17,0),IF(OR(G2135="S",G2135="20cm"),1,IF(OR(G2135="M",G2135="25cm"),2,IF(OR(G2135="L",G2135="30cm"),3,IF(OR(G2135="XL",G2135="35cm"),4,0))))),0)</f>
        <v>0.6</v>
      </c>
      <c r="J2135" s="103">
        <f t="shared" si="1"/>
        <v>0</v>
      </c>
      <c r="K2135" s="104" t="str">
        <f>IF(H2135&lt;0,"ERROR",IF(H2135=0,"",IF(H2135&lt;CONFIG!$B$4,"CRÍTICO",IF(H2135&lt;CONFIG!$B$5,"BAJO","OK"))))</f>
        <v/>
      </c>
    </row>
    <row r="2136" ht="15.75" hidden="1" customHeight="1">
      <c r="A2136" s="90" t="str">
        <f>IF(CLIENTES!A5="","",CLIENTES!A5)</f>
        <v>Bravos</v>
      </c>
      <c r="B2136" s="90" t="s">
        <v>331</v>
      </c>
      <c r="C2136" s="91" t="s">
        <v>328</v>
      </c>
      <c r="D2136" s="109" t="s">
        <v>364</v>
      </c>
      <c r="E2136" s="67" t="str">
        <f>COLORES!A17</f>
        <v>Vino</v>
      </c>
      <c r="F2136" s="67" t="str">
        <f>COLORES!B17</f>
        <v>OSCURO</v>
      </c>
      <c r="G2136" s="90" t="s">
        <v>378</v>
      </c>
      <c r="H2136" s="100">
        <f>IFERROR(SUMIFS(MOVIMIENTOS_COMPLEMENTOS!$I$4:$I$803,MOVIMIENTOS_COMPLEMENTOS!$C$4:$C$803,A2136,MOVIMIENTOS_COMPLEMENTOS!$D$4:$D$803,B2136,MOVIMIENTOS_COMPLEMENTOS!$E$4:$E$803,C2136,MOVIMIENTOS_COMPLEMENTOS!$F$4:$F$803,D2136,MOVIMIENTOS_COMPLEMENTOS!$G$4:$G$803,E2136,MOVIMIENTOS_COMPLEMENTOS!$H$4:$H$803,G2136,MOVIMIENTOS_COMPLEMENTOS!$B$4:$B$803,"INGRESO")+SUMIFS(MOVIMIENTOS_COMPLEMENTOS!$I$4:$I$803,MOVIMIENTOS_COMPLEMENTOS!$C$4:$C$803,A2136,MOVIMIENTOS_COMPLEMENTOS!$D$4:$D$803,B2136,MOVIMIENTOS_COMPLEMENTOS!$E$4:$E$803,C2136,MOVIMIENTOS_COMPLEMENTOS!$F$4:$F$803,D2136,MOVIMIENTOS_COMPLEMENTOS!$G$4:$G$803,E2136,MOVIMIENTOS_COMPLEMENTOS!$H$4:$H$803,G2136,MOVIMIENTOS_COMPLEMENTOS!$B$4:$B$803,"DE CORTE")-SUMIFS(MOVIMIENTOS_COMPLEMENTOS!$I$4:$I$803,MOVIMIENTOS_COMPLEMENTOS!$C$4:$C$803,A2136,MOVIMIENTOS_COMPLEMENTOS!$D$4:$D$803,B2136,MOVIMIENTOS_COMPLEMENTOS!$E$4:$E$803,C2136,MOVIMIENTOS_COMPLEMENTOS!$F$4:$F$803,D2136,MOVIMIENTOS_COMPLEMENTOS!$G$4:$G$803,E2136,MOVIMIENTOS_COMPLEMENTOS!$H$4:$H$803,G2136,MOVIMIENTOS_COMPLEMENTOS!$B$4:$B$803,"SALIDA"),0)</f>
        <v>0</v>
      </c>
      <c r="I2136" s="102">
        <f t="array" ref="I2136">IFERROR(INDEX(PRECIOS_COMPLEMENTOS!$C$4:$F$17,MATCH(B2136&amp;"_"&amp;C2136,PRECIOS_COMPLEMENTOS!$H$4:$H$17,0),IF(OR(G2136="S",G2136="20cm"),1,IF(OR(G2136="M",G2136="25cm"),2,IF(OR(G2136="L",G2136="30cm"),3,IF(OR(G2136="XL",G2136="35cm"),4,0))))),0)</f>
        <v>0.6</v>
      </c>
      <c r="J2136" s="103">
        <f t="shared" si="1"/>
        <v>0</v>
      </c>
      <c r="K2136" s="104" t="str">
        <f>IF(H2136&lt;0,"ERROR",IF(H2136=0,"",IF(H2136&lt;CONFIG!$B$4,"CRÍTICO",IF(H2136&lt;CONFIG!$B$5,"BAJO","OK"))))</f>
        <v/>
      </c>
    </row>
    <row r="2137" ht="15.75" hidden="1" customHeight="1">
      <c r="A2137" s="90" t="str">
        <f>IF(CLIENTES!A5="","",CLIENTES!A5)</f>
        <v>Bravos</v>
      </c>
      <c r="B2137" s="90" t="s">
        <v>331</v>
      </c>
      <c r="C2137" s="91" t="s">
        <v>328</v>
      </c>
      <c r="D2137" s="109" t="s">
        <v>364</v>
      </c>
      <c r="E2137" s="67" t="str">
        <f>COLORES!A17</f>
        <v>Vino</v>
      </c>
      <c r="F2137" s="67" t="str">
        <f>COLORES!B17</f>
        <v>OSCURO</v>
      </c>
      <c r="G2137" s="90" t="s">
        <v>376</v>
      </c>
      <c r="H2137" s="100">
        <f>IFERROR(SUMIFS(MOVIMIENTOS_COMPLEMENTOS!$I$4:$I$803,MOVIMIENTOS_COMPLEMENTOS!$C$4:$C$803,A2137,MOVIMIENTOS_COMPLEMENTOS!$D$4:$D$803,B2137,MOVIMIENTOS_COMPLEMENTOS!$E$4:$E$803,C2137,MOVIMIENTOS_COMPLEMENTOS!$F$4:$F$803,D2137,MOVIMIENTOS_COMPLEMENTOS!$G$4:$G$803,E2137,MOVIMIENTOS_COMPLEMENTOS!$H$4:$H$803,G2137,MOVIMIENTOS_COMPLEMENTOS!$B$4:$B$803,"INGRESO")+SUMIFS(MOVIMIENTOS_COMPLEMENTOS!$I$4:$I$803,MOVIMIENTOS_COMPLEMENTOS!$C$4:$C$803,A2137,MOVIMIENTOS_COMPLEMENTOS!$D$4:$D$803,B2137,MOVIMIENTOS_COMPLEMENTOS!$E$4:$E$803,C2137,MOVIMIENTOS_COMPLEMENTOS!$F$4:$F$803,D2137,MOVIMIENTOS_COMPLEMENTOS!$G$4:$G$803,E2137,MOVIMIENTOS_COMPLEMENTOS!$H$4:$H$803,G2137,MOVIMIENTOS_COMPLEMENTOS!$B$4:$B$803,"DE CORTE")-SUMIFS(MOVIMIENTOS_COMPLEMENTOS!$I$4:$I$803,MOVIMIENTOS_COMPLEMENTOS!$C$4:$C$803,A2137,MOVIMIENTOS_COMPLEMENTOS!$D$4:$D$803,B2137,MOVIMIENTOS_COMPLEMENTOS!$E$4:$E$803,C2137,MOVIMIENTOS_COMPLEMENTOS!$F$4:$F$803,D2137,MOVIMIENTOS_COMPLEMENTOS!$G$4:$G$803,E2137,MOVIMIENTOS_COMPLEMENTOS!$H$4:$H$803,G2137,MOVIMIENTOS_COMPLEMENTOS!$B$4:$B$803,"SALIDA"),0)</f>
        <v>0</v>
      </c>
      <c r="I2137" s="102">
        <f t="array" ref="I2137">IFERROR(INDEX(PRECIOS_COMPLEMENTOS!$C$4:$F$17,MATCH(B2137&amp;"_"&amp;C2137,PRECIOS_COMPLEMENTOS!$H$4:$H$17,0),IF(OR(G2137="S",G2137="20cm"),1,IF(OR(G2137="M",G2137="25cm"),2,IF(OR(G2137="L",G2137="30cm"),3,IF(OR(G2137="XL",G2137="35cm"),4,0))))),0)</f>
        <v>0.6</v>
      </c>
      <c r="J2137" s="103">
        <f t="shared" si="1"/>
        <v>0</v>
      </c>
      <c r="K2137" s="104" t="str">
        <f>IF(H2137&lt;0,"ERROR",IF(H2137=0,"",IF(H2137&lt;CONFIG!$B$4,"CRÍTICO",IF(H2137&lt;CONFIG!$B$5,"BAJO","OK"))))</f>
        <v/>
      </c>
    </row>
    <row r="2138" ht="15.75" hidden="1" customHeight="1">
      <c r="A2138" s="90" t="str">
        <f>IF(CLIENTES!A5="","",CLIENTES!A5)</f>
        <v>Bravos</v>
      </c>
      <c r="B2138" s="90" t="s">
        <v>331</v>
      </c>
      <c r="C2138" s="91" t="s">
        <v>328</v>
      </c>
      <c r="D2138" s="109" t="s">
        <v>364</v>
      </c>
      <c r="E2138" s="67" t="str">
        <f>COLORES!A17</f>
        <v>Vino</v>
      </c>
      <c r="F2138" s="67" t="str">
        <f>COLORES!B17</f>
        <v>OSCURO</v>
      </c>
      <c r="G2138" s="90" t="s">
        <v>377</v>
      </c>
      <c r="H2138" s="100">
        <f>IFERROR(SUMIFS(MOVIMIENTOS_COMPLEMENTOS!$I$4:$I$803,MOVIMIENTOS_COMPLEMENTOS!$C$4:$C$803,A2138,MOVIMIENTOS_COMPLEMENTOS!$D$4:$D$803,B2138,MOVIMIENTOS_COMPLEMENTOS!$E$4:$E$803,C2138,MOVIMIENTOS_COMPLEMENTOS!$F$4:$F$803,D2138,MOVIMIENTOS_COMPLEMENTOS!$G$4:$G$803,E2138,MOVIMIENTOS_COMPLEMENTOS!$H$4:$H$803,G2138,MOVIMIENTOS_COMPLEMENTOS!$B$4:$B$803,"INGRESO")+SUMIFS(MOVIMIENTOS_COMPLEMENTOS!$I$4:$I$803,MOVIMIENTOS_COMPLEMENTOS!$C$4:$C$803,A2138,MOVIMIENTOS_COMPLEMENTOS!$D$4:$D$803,B2138,MOVIMIENTOS_COMPLEMENTOS!$E$4:$E$803,C2138,MOVIMIENTOS_COMPLEMENTOS!$F$4:$F$803,D2138,MOVIMIENTOS_COMPLEMENTOS!$G$4:$G$803,E2138,MOVIMIENTOS_COMPLEMENTOS!$H$4:$H$803,G2138,MOVIMIENTOS_COMPLEMENTOS!$B$4:$B$803,"DE CORTE")-SUMIFS(MOVIMIENTOS_COMPLEMENTOS!$I$4:$I$803,MOVIMIENTOS_COMPLEMENTOS!$C$4:$C$803,A2138,MOVIMIENTOS_COMPLEMENTOS!$D$4:$D$803,B2138,MOVIMIENTOS_COMPLEMENTOS!$E$4:$E$803,C2138,MOVIMIENTOS_COMPLEMENTOS!$F$4:$F$803,D2138,MOVIMIENTOS_COMPLEMENTOS!$G$4:$G$803,E2138,MOVIMIENTOS_COMPLEMENTOS!$H$4:$H$803,G2138,MOVIMIENTOS_COMPLEMENTOS!$B$4:$B$803,"SALIDA"),0)</f>
        <v>0</v>
      </c>
      <c r="I2138" s="102">
        <f t="array" ref="I2138">IFERROR(INDEX(PRECIOS_COMPLEMENTOS!$C$4:$F$17,MATCH(B2138&amp;"_"&amp;C2138,PRECIOS_COMPLEMENTOS!$H$4:$H$17,0),IF(OR(G2138="S",G2138="20cm"),1,IF(OR(G2138="M",G2138="25cm"),2,IF(OR(G2138="L",G2138="30cm"),3,IF(OR(G2138="XL",G2138="35cm"),4,0))))),0)</f>
        <v>0.6</v>
      </c>
      <c r="J2138" s="103">
        <f t="shared" si="1"/>
        <v>0</v>
      </c>
      <c r="K2138" s="104" t="str">
        <f>IF(H2138&lt;0,"ERROR",IF(H2138=0,"",IF(H2138&lt;CONFIG!$B$4,"CRÍTICO",IF(H2138&lt;CONFIG!$B$5,"BAJO","OK"))))</f>
        <v/>
      </c>
    </row>
    <row r="2139" ht="15.75" hidden="1" customHeight="1">
      <c r="A2139" s="90" t="str">
        <f>IF(CLIENTES!A5="","",CLIENTES!A5)</f>
        <v>Bravos</v>
      </c>
      <c r="B2139" s="90" t="s">
        <v>331</v>
      </c>
      <c r="C2139" s="91" t="s">
        <v>328</v>
      </c>
      <c r="D2139" s="109" t="s">
        <v>364</v>
      </c>
      <c r="E2139" s="67" t="str">
        <f>COLORES!A17</f>
        <v>Vino</v>
      </c>
      <c r="F2139" s="67" t="str">
        <f>COLORES!B17</f>
        <v>OSCURO</v>
      </c>
      <c r="G2139" s="90" t="s">
        <v>379</v>
      </c>
      <c r="H2139" s="100">
        <f>IFERROR(SUMIFS(MOVIMIENTOS_COMPLEMENTOS!$I$4:$I$803,MOVIMIENTOS_COMPLEMENTOS!$C$4:$C$803,A2139,MOVIMIENTOS_COMPLEMENTOS!$D$4:$D$803,B2139,MOVIMIENTOS_COMPLEMENTOS!$E$4:$E$803,C2139,MOVIMIENTOS_COMPLEMENTOS!$F$4:$F$803,D2139,MOVIMIENTOS_COMPLEMENTOS!$G$4:$G$803,E2139,MOVIMIENTOS_COMPLEMENTOS!$H$4:$H$803,G2139,MOVIMIENTOS_COMPLEMENTOS!$B$4:$B$803,"INGRESO")+SUMIFS(MOVIMIENTOS_COMPLEMENTOS!$I$4:$I$803,MOVIMIENTOS_COMPLEMENTOS!$C$4:$C$803,A2139,MOVIMIENTOS_COMPLEMENTOS!$D$4:$D$803,B2139,MOVIMIENTOS_COMPLEMENTOS!$E$4:$E$803,C2139,MOVIMIENTOS_COMPLEMENTOS!$F$4:$F$803,D2139,MOVIMIENTOS_COMPLEMENTOS!$G$4:$G$803,E2139,MOVIMIENTOS_COMPLEMENTOS!$H$4:$H$803,G2139,MOVIMIENTOS_COMPLEMENTOS!$B$4:$B$803,"DE CORTE")-SUMIFS(MOVIMIENTOS_COMPLEMENTOS!$I$4:$I$803,MOVIMIENTOS_COMPLEMENTOS!$C$4:$C$803,A2139,MOVIMIENTOS_COMPLEMENTOS!$D$4:$D$803,B2139,MOVIMIENTOS_COMPLEMENTOS!$E$4:$E$803,C2139,MOVIMIENTOS_COMPLEMENTOS!$F$4:$F$803,D2139,MOVIMIENTOS_COMPLEMENTOS!$G$4:$G$803,E2139,MOVIMIENTOS_COMPLEMENTOS!$H$4:$H$803,G2139,MOVIMIENTOS_COMPLEMENTOS!$B$4:$B$803,"SALIDA"),0)</f>
        <v>0</v>
      </c>
      <c r="I2139" s="102">
        <f t="array" ref="I2139">IFERROR(INDEX(PRECIOS_COMPLEMENTOS!$C$4:$F$17,MATCH(B2139&amp;"_"&amp;C2139,PRECIOS_COMPLEMENTOS!$H$4:$H$17,0),IF(OR(G2139="S",G2139="20cm"),1,IF(OR(G2139="M",G2139="25cm"),2,IF(OR(G2139="L",G2139="30cm"),3,IF(OR(G2139="XL",G2139="35cm"),4,0))))),0)</f>
        <v>0.6</v>
      </c>
      <c r="J2139" s="103">
        <f t="shared" si="1"/>
        <v>0</v>
      </c>
      <c r="K2139" s="104" t="str">
        <f>IF(H2139&lt;0,"ERROR",IF(H2139=0,"",IF(H2139&lt;CONFIG!$B$4,"CRÍTICO",IF(H2139&lt;CONFIG!$B$5,"BAJO","OK"))))</f>
        <v/>
      </c>
    </row>
    <row r="2140" ht="15.75" hidden="1" customHeight="1">
      <c r="A2140" s="90" t="str">
        <f>IF(CLIENTES!A5="","",CLIENTES!A5)</f>
        <v>Bravos</v>
      </c>
      <c r="B2140" s="90" t="s">
        <v>331</v>
      </c>
      <c r="C2140" s="91" t="s">
        <v>328</v>
      </c>
      <c r="D2140" s="109" t="s">
        <v>364</v>
      </c>
      <c r="E2140" s="67" t="str">
        <f>COLORES!A18</f>
        <v>P. Rosa</v>
      </c>
      <c r="F2140" s="67" t="str">
        <f>COLORES!B18</f>
        <v>CLARO</v>
      </c>
      <c r="G2140" s="90" t="s">
        <v>378</v>
      </c>
      <c r="H2140" s="100">
        <f>IFERROR(SUMIFS(MOVIMIENTOS_COMPLEMENTOS!$I$4:$I$803,MOVIMIENTOS_COMPLEMENTOS!$C$4:$C$803,A2140,MOVIMIENTOS_COMPLEMENTOS!$D$4:$D$803,B2140,MOVIMIENTOS_COMPLEMENTOS!$E$4:$E$803,C2140,MOVIMIENTOS_COMPLEMENTOS!$F$4:$F$803,D2140,MOVIMIENTOS_COMPLEMENTOS!$G$4:$G$803,E2140,MOVIMIENTOS_COMPLEMENTOS!$H$4:$H$803,G2140,MOVIMIENTOS_COMPLEMENTOS!$B$4:$B$803,"INGRESO")+SUMIFS(MOVIMIENTOS_COMPLEMENTOS!$I$4:$I$803,MOVIMIENTOS_COMPLEMENTOS!$C$4:$C$803,A2140,MOVIMIENTOS_COMPLEMENTOS!$D$4:$D$803,B2140,MOVIMIENTOS_COMPLEMENTOS!$E$4:$E$803,C2140,MOVIMIENTOS_COMPLEMENTOS!$F$4:$F$803,D2140,MOVIMIENTOS_COMPLEMENTOS!$G$4:$G$803,E2140,MOVIMIENTOS_COMPLEMENTOS!$H$4:$H$803,G2140,MOVIMIENTOS_COMPLEMENTOS!$B$4:$B$803,"DE CORTE")-SUMIFS(MOVIMIENTOS_COMPLEMENTOS!$I$4:$I$803,MOVIMIENTOS_COMPLEMENTOS!$C$4:$C$803,A2140,MOVIMIENTOS_COMPLEMENTOS!$D$4:$D$803,B2140,MOVIMIENTOS_COMPLEMENTOS!$E$4:$E$803,C2140,MOVIMIENTOS_COMPLEMENTOS!$F$4:$F$803,D2140,MOVIMIENTOS_COMPLEMENTOS!$G$4:$G$803,E2140,MOVIMIENTOS_COMPLEMENTOS!$H$4:$H$803,G2140,MOVIMIENTOS_COMPLEMENTOS!$B$4:$B$803,"SALIDA"),0)</f>
        <v>0</v>
      </c>
      <c r="I2140" s="102">
        <f t="array" ref="I2140">IFERROR(INDEX(PRECIOS_COMPLEMENTOS!$C$4:$F$17,MATCH(B2140&amp;"_"&amp;C2140,PRECIOS_COMPLEMENTOS!$H$4:$H$17,0),IF(OR(G2140="S",G2140="20cm"),1,IF(OR(G2140="M",G2140="25cm"),2,IF(OR(G2140="L",G2140="30cm"),3,IF(OR(G2140="XL",G2140="35cm"),4,0))))),0)</f>
        <v>0.6</v>
      </c>
      <c r="J2140" s="103">
        <f t="shared" si="1"/>
        <v>0</v>
      </c>
      <c r="K2140" s="104" t="str">
        <f>IF(H2140&lt;0,"ERROR",IF(H2140=0,"",IF(H2140&lt;CONFIG!$B$4,"CRÍTICO",IF(H2140&lt;CONFIG!$B$5,"BAJO","OK"))))</f>
        <v/>
      </c>
    </row>
    <row r="2141" ht="15.75" hidden="1" customHeight="1">
      <c r="A2141" s="90" t="str">
        <f>IF(CLIENTES!A5="","",CLIENTES!A5)</f>
        <v>Bravos</v>
      </c>
      <c r="B2141" s="90" t="s">
        <v>331</v>
      </c>
      <c r="C2141" s="91" t="s">
        <v>328</v>
      </c>
      <c r="D2141" s="109" t="s">
        <v>364</v>
      </c>
      <c r="E2141" s="67" t="str">
        <f>COLORES!A18</f>
        <v>P. Rosa</v>
      </c>
      <c r="F2141" s="67" t="str">
        <f>COLORES!B18</f>
        <v>CLARO</v>
      </c>
      <c r="G2141" s="90" t="s">
        <v>376</v>
      </c>
      <c r="H2141" s="100">
        <f>IFERROR(SUMIFS(MOVIMIENTOS_COMPLEMENTOS!$I$4:$I$803,MOVIMIENTOS_COMPLEMENTOS!$C$4:$C$803,A2141,MOVIMIENTOS_COMPLEMENTOS!$D$4:$D$803,B2141,MOVIMIENTOS_COMPLEMENTOS!$E$4:$E$803,C2141,MOVIMIENTOS_COMPLEMENTOS!$F$4:$F$803,D2141,MOVIMIENTOS_COMPLEMENTOS!$G$4:$G$803,E2141,MOVIMIENTOS_COMPLEMENTOS!$H$4:$H$803,G2141,MOVIMIENTOS_COMPLEMENTOS!$B$4:$B$803,"INGRESO")+SUMIFS(MOVIMIENTOS_COMPLEMENTOS!$I$4:$I$803,MOVIMIENTOS_COMPLEMENTOS!$C$4:$C$803,A2141,MOVIMIENTOS_COMPLEMENTOS!$D$4:$D$803,B2141,MOVIMIENTOS_COMPLEMENTOS!$E$4:$E$803,C2141,MOVIMIENTOS_COMPLEMENTOS!$F$4:$F$803,D2141,MOVIMIENTOS_COMPLEMENTOS!$G$4:$G$803,E2141,MOVIMIENTOS_COMPLEMENTOS!$H$4:$H$803,G2141,MOVIMIENTOS_COMPLEMENTOS!$B$4:$B$803,"DE CORTE")-SUMIFS(MOVIMIENTOS_COMPLEMENTOS!$I$4:$I$803,MOVIMIENTOS_COMPLEMENTOS!$C$4:$C$803,A2141,MOVIMIENTOS_COMPLEMENTOS!$D$4:$D$803,B2141,MOVIMIENTOS_COMPLEMENTOS!$E$4:$E$803,C2141,MOVIMIENTOS_COMPLEMENTOS!$F$4:$F$803,D2141,MOVIMIENTOS_COMPLEMENTOS!$G$4:$G$803,E2141,MOVIMIENTOS_COMPLEMENTOS!$H$4:$H$803,G2141,MOVIMIENTOS_COMPLEMENTOS!$B$4:$B$803,"SALIDA"),0)</f>
        <v>0</v>
      </c>
      <c r="I2141" s="102">
        <f t="array" ref="I2141">IFERROR(INDEX(PRECIOS_COMPLEMENTOS!$C$4:$F$17,MATCH(B2141&amp;"_"&amp;C2141,PRECIOS_COMPLEMENTOS!$H$4:$H$17,0),IF(OR(G2141="S",G2141="20cm"),1,IF(OR(G2141="M",G2141="25cm"),2,IF(OR(G2141="L",G2141="30cm"),3,IF(OR(G2141="XL",G2141="35cm"),4,0))))),0)</f>
        <v>0.6</v>
      </c>
      <c r="J2141" s="103">
        <f t="shared" si="1"/>
        <v>0</v>
      </c>
      <c r="K2141" s="104" t="str">
        <f>IF(H2141&lt;0,"ERROR",IF(H2141=0,"",IF(H2141&lt;CONFIG!$B$4,"CRÍTICO",IF(H2141&lt;CONFIG!$B$5,"BAJO","OK"))))</f>
        <v/>
      </c>
    </row>
    <row r="2142" ht="15.75" hidden="1" customHeight="1">
      <c r="A2142" s="90" t="str">
        <f>IF(CLIENTES!A5="","",CLIENTES!A5)</f>
        <v>Bravos</v>
      </c>
      <c r="B2142" s="90" t="s">
        <v>331</v>
      </c>
      <c r="C2142" s="91" t="s">
        <v>328</v>
      </c>
      <c r="D2142" s="109" t="s">
        <v>364</v>
      </c>
      <c r="E2142" s="67" t="str">
        <f>COLORES!A18</f>
        <v>P. Rosa</v>
      </c>
      <c r="F2142" s="67" t="str">
        <f>COLORES!B18</f>
        <v>CLARO</v>
      </c>
      <c r="G2142" s="90" t="s">
        <v>377</v>
      </c>
      <c r="H2142" s="100">
        <f>IFERROR(SUMIFS(MOVIMIENTOS_COMPLEMENTOS!$I$4:$I$803,MOVIMIENTOS_COMPLEMENTOS!$C$4:$C$803,A2142,MOVIMIENTOS_COMPLEMENTOS!$D$4:$D$803,B2142,MOVIMIENTOS_COMPLEMENTOS!$E$4:$E$803,C2142,MOVIMIENTOS_COMPLEMENTOS!$F$4:$F$803,D2142,MOVIMIENTOS_COMPLEMENTOS!$G$4:$G$803,E2142,MOVIMIENTOS_COMPLEMENTOS!$H$4:$H$803,G2142,MOVIMIENTOS_COMPLEMENTOS!$B$4:$B$803,"INGRESO")+SUMIFS(MOVIMIENTOS_COMPLEMENTOS!$I$4:$I$803,MOVIMIENTOS_COMPLEMENTOS!$C$4:$C$803,A2142,MOVIMIENTOS_COMPLEMENTOS!$D$4:$D$803,B2142,MOVIMIENTOS_COMPLEMENTOS!$E$4:$E$803,C2142,MOVIMIENTOS_COMPLEMENTOS!$F$4:$F$803,D2142,MOVIMIENTOS_COMPLEMENTOS!$G$4:$G$803,E2142,MOVIMIENTOS_COMPLEMENTOS!$H$4:$H$803,G2142,MOVIMIENTOS_COMPLEMENTOS!$B$4:$B$803,"DE CORTE")-SUMIFS(MOVIMIENTOS_COMPLEMENTOS!$I$4:$I$803,MOVIMIENTOS_COMPLEMENTOS!$C$4:$C$803,A2142,MOVIMIENTOS_COMPLEMENTOS!$D$4:$D$803,B2142,MOVIMIENTOS_COMPLEMENTOS!$E$4:$E$803,C2142,MOVIMIENTOS_COMPLEMENTOS!$F$4:$F$803,D2142,MOVIMIENTOS_COMPLEMENTOS!$G$4:$G$803,E2142,MOVIMIENTOS_COMPLEMENTOS!$H$4:$H$803,G2142,MOVIMIENTOS_COMPLEMENTOS!$B$4:$B$803,"SALIDA"),0)</f>
        <v>0</v>
      </c>
      <c r="I2142" s="102">
        <f t="array" ref="I2142">IFERROR(INDEX(PRECIOS_COMPLEMENTOS!$C$4:$F$17,MATCH(B2142&amp;"_"&amp;C2142,PRECIOS_COMPLEMENTOS!$H$4:$H$17,0),IF(OR(G2142="S",G2142="20cm"),1,IF(OR(G2142="M",G2142="25cm"),2,IF(OR(G2142="L",G2142="30cm"),3,IF(OR(G2142="XL",G2142="35cm"),4,0))))),0)</f>
        <v>0.6</v>
      </c>
      <c r="J2142" s="103">
        <f t="shared" si="1"/>
        <v>0</v>
      </c>
      <c r="K2142" s="104" t="str">
        <f>IF(H2142&lt;0,"ERROR",IF(H2142=0,"",IF(H2142&lt;CONFIG!$B$4,"CRÍTICO",IF(H2142&lt;CONFIG!$B$5,"BAJO","OK"))))</f>
        <v/>
      </c>
    </row>
    <row r="2143" ht="15.75" hidden="1" customHeight="1">
      <c r="A2143" s="90" t="str">
        <f>IF(CLIENTES!A5="","",CLIENTES!A5)</f>
        <v>Bravos</v>
      </c>
      <c r="B2143" s="90" t="s">
        <v>331</v>
      </c>
      <c r="C2143" s="91" t="s">
        <v>328</v>
      </c>
      <c r="D2143" s="109" t="s">
        <v>364</v>
      </c>
      <c r="E2143" s="67" t="str">
        <f>COLORES!A18</f>
        <v>P. Rosa</v>
      </c>
      <c r="F2143" s="67" t="str">
        <f>COLORES!B18</f>
        <v>CLARO</v>
      </c>
      <c r="G2143" s="90" t="s">
        <v>379</v>
      </c>
      <c r="H2143" s="100">
        <f>IFERROR(SUMIFS(MOVIMIENTOS_COMPLEMENTOS!$I$4:$I$803,MOVIMIENTOS_COMPLEMENTOS!$C$4:$C$803,A2143,MOVIMIENTOS_COMPLEMENTOS!$D$4:$D$803,B2143,MOVIMIENTOS_COMPLEMENTOS!$E$4:$E$803,C2143,MOVIMIENTOS_COMPLEMENTOS!$F$4:$F$803,D2143,MOVIMIENTOS_COMPLEMENTOS!$G$4:$G$803,E2143,MOVIMIENTOS_COMPLEMENTOS!$H$4:$H$803,G2143,MOVIMIENTOS_COMPLEMENTOS!$B$4:$B$803,"INGRESO")+SUMIFS(MOVIMIENTOS_COMPLEMENTOS!$I$4:$I$803,MOVIMIENTOS_COMPLEMENTOS!$C$4:$C$803,A2143,MOVIMIENTOS_COMPLEMENTOS!$D$4:$D$803,B2143,MOVIMIENTOS_COMPLEMENTOS!$E$4:$E$803,C2143,MOVIMIENTOS_COMPLEMENTOS!$F$4:$F$803,D2143,MOVIMIENTOS_COMPLEMENTOS!$G$4:$G$803,E2143,MOVIMIENTOS_COMPLEMENTOS!$H$4:$H$803,G2143,MOVIMIENTOS_COMPLEMENTOS!$B$4:$B$803,"DE CORTE")-SUMIFS(MOVIMIENTOS_COMPLEMENTOS!$I$4:$I$803,MOVIMIENTOS_COMPLEMENTOS!$C$4:$C$803,A2143,MOVIMIENTOS_COMPLEMENTOS!$D$4:$D$803,B2143,MOVIMIENTOS_COMPLEMENTOS!$E$4:$E$803,C2143,MOVIMIENTOS_COMPLEMENTOS!$F$4:$F$803,D2143,MOVIMIENTOS_COMPLEMENTOS!$G$4:$G$803,E2143,MOVIMIENTOS_COMPLEMENTOS!$H$4:$H$803,G2143,MOVIMIENTOS_COMPLEMENTOS!$B$4:$B$803,"SALIDA"),0)</f>
        <v>0</v>
      </c>
      <c r="I2143" s="102">
        <f t="array" ref="I2143">IFERROR(INDEX(PRECIOS_COMPLEMENTOS!$C$4:$F$17,MATCH(B2143&amp;"_"&amp;C2143,PRECIOS_COMPLEMENTOS!$H$4:$H$17,0),IF(OR(G2143="S",G2143="20cm"),1,IF(OR(G2143="M",G2143="25cm"),2,IF(OR(G2143="L",G2143="30cm"),3,IF(OR(G2143="XL",G2143="35cm"),4,0))))),0)</f>
        <v>0.6</v>
      </c>
      <c r="J2143" s="103">
        <f t="shared" si="1"/>
        <v>0</v>
      </c>
      <c r="K2143" s="104" t="str">
        <f>IF(H2143&lt;0,"ERROR",IF(H2143=0,"",IF(H2143&lt;CONFIG!$B$4,"CRÍTICO",IF(H2143&lt;CONFIG!$B$5,"BAJO","OK"))))</f>
        <v/>
      </c>
    </row>
    <row r="2144" ht="15.75" hidden="1" customHeight="1">
      <c r="A2144" s="90" t="str">
        <f>IF(CLIENTES!A5="","",CLIENTES!A5)</f>
        <v>Bravos</v>
      </c>
      <c r="B2144" s="90" t="s">
        <v>331</v>
      </c>
      <c r="C2144" s="91" t="s">
        <v>328</v>
      </c>
      <c r="D2144" s="109" t="s">
        <v>364</v>
      </c>
      <c r="E2144" s="67" t="str">
        <f>COLORES!A19</f>
        <v/>
      </c>
      <c r="F2144" s="67" t="str">
        <f>COLORES!B19</f>
        <v/>
      </c>
      <c r="G2144" s="90" t="s">
        <v>378</v>
      </c>
      <c r="H2144" s="100">
        <f>IFERROR(SUMIFS(MOVIMIENTOS_COMPLEMENTOS!$I$4:$I$803,MOVIMIENTOS_COMPLEMENTOS!$C$4:$C$803,A2144,MOVIMIENTOS_COMPLEMENTOS!$D$4:$D$803,B2144,MOVIMIENTOS_COMPLEMENTOS!$E$4:$E$803,C2144,MOVIMIENTOS_COMPLEMENTOS!$F$4:$F$803,D2144,MOVIMIENTOS_COMPLEMENTOS!$G$4:$G$803,E2144,MOVIMIENTOS_COMPLEMENTOS!$H$4:$H$803,G2144,MOVIMIENTOS_COMPLEMENTOS!$B$4:$B$803,"INGRESO")+SUMIFS(MOVIMIENTOS_COMPLEMENTOS!$I$4:$I$803,MOVIMIENTOS_COMPLEMENTOS!$C$4:$C$803,A2144,MOVIMIENTOS_COMPLEMENTOS!$D$4:$D$803,B2144,MOVIMIENTOS_COMPLEMENTOS!$E$4:$E$803,C2144,MOVIMIENTOS_COMPLEMENTOS!$F$4:$F$803,D2144,MOVIMIENTOS_COMPLEMENTOS!$G$4:$G$803,E2144,MOVIMIENTOS_COMPLEMENTOS!$H$4:$H$803,G2144,MOVIMIENTOS_COMPLEMENTOS!$B$4:$B$803,"DE CORTE")-SUMIFS(MOVIMIENTOS_COMPLEMENTOS!$I$4:$I$803,MOVIMIENTOS_COMPLEMENTOS!$C$4:$C$803,A2144,MOVIMIENTOS_COMPLEMENTOS!$D$4:$D$803,B2144,MOVIMIENTOS_COMPLEMENTOS!$E$4:$E$803,C2144,MOVIMIENTOS_COMPLEMENTOS!$F$4:$F$803,D2144,MOVIMIENTOS_COMPLEMENTOS!$G$4:$G$803,E2144,MOVIMIENTOS_COMPLEMENTOS!$H$4:$H$803,G2144,MOVIMIENTOS_COMPLEMENTOS!$B$4:$B$803,"SALIDA"),0)</f>
        <v>0</v>
      </c>
      <c r="I2144" s="102">
        <f t="array" ref="I2144">IFERROR(INDEX(PRECIOS_COMPLEMENTOS!$C$4:$F$17,MATCH(B2144&amp;"_"&amp;C2144,PRECIOS_COMPLEMENTOS!$H$4:$H$17,0),IF(OR(G2144="S",G2144="20cm"),1,IF(OR(G2144="M",G2144="25cm"),2,IF(OR(G2144="L",G2144="30cm"),3,IF(OR(G2144="XL",G2144="35cm"),4,0))))),0)</f>
        <v>0.6</v>
      </c>
      <c r="J2144" s="103">
        <f t="shared" si="1"/>
        <v>0</v>
      </c>
      <c r="K2144" s="104" t="str">
        <f>IF(H2144&lt;0,"ERROR",IF(H2144=0,"",IF(H2144&lt;CONFIG!$B$4,"CRÍTICO",IF(H2144&lt;CONFIG!$B$5,"BAJO","OK"))))</f>
        <v/>
      </c>
    </row>
    <row r="2145" ht="15.75" hidden="1" customHeight="1">
      <c r="A2145" s="90" t="str">
        <f>IF(CLIENTES!A5="","",CLIENTES!A5)</f>
        <v>Bravos</v>
      </c>
      <c r="B2145" s="90" t="s">
        <v>331</v>
      </c>
      <c r="C2145" s="91" t="s">
        <v>328</v>
      </c>
      <c r="D2145" s="109" t="s">
        <v>364</v>
      </c>
      <c r="E2145" s="67" t="str">
        <f>COLORES!A19</f>
        <v/>
      </c>
      <c r="F2145" s="67" t="str">
        <f>COLORES!B19</f>
        <v/>
      </c>
      <c r="G2145" s="90" t="s">
        <v>376</v>
      </c>
      <c r="H2145" s="100">
        <f>IFERROR(SUMIFS(MOVIMIENTOS_COMPLEMENTOS!$I$4:$I$803,MOVIMIENTOS_COMPLEMENTOS!$C$4:$C$803,A2145,MOVIMIENTOS_COMPLEMENTOS!$D$4:$D$803,B2145,MOVIMIENTOS_COMPLEMENTOS!$E$4:$E$803,C2145,MOVIMIENTOS_COMPLEMENTOS!$F$4:$F$803,D2145,MOVIMIENTOS_COMPLEMENTOS!$G$4:$G$803,E2145,MOVIMIENTOS_COMPLEMENTOS!$H$4:$H$803,G2145,MOVIMIENTOS_COMPLEMENTOS!$B$4:$B$803,"INGRESO")+SUMIFS(MOVIMIENTOS_COMPLEMENTOS!$I$4:$I$803,MOVIMIENTOS_COMPLEMENTOS!$C$4:$C$803,A2145,MOVIMIENTOS_COMPLEMENTOS!$D$4:$D$803,B2145,MOVIMIENTOS_COMPLEMENTOS!$E$4:$E$803,C2145,MOVIMIENTOS_COMPLEMENTOS!$F$4:$F$803,D2145,MOVIMIENTOS_COMPLEMENTOS!$G$4:$G$803,E2145,MOVIMIENTOS_COMPLEMENTOS!$H$4:$H$803,G2145,MOVIMIENTOS_COMPLEMENTOS!$B$4:$B$803,"DE CORTE")-SUMIFS(MOVIMIENTOS_COMPLEMENTOS!$I$4:$I$803,MOVIMIENTOS_COMPLEMENTOS!$C$4:$C$803,A2145,MOVIMIENTOS_COMPLEMENTOS!$D$4:$D$803,B2145,MOVIMIENTOS_COMPLEMENTOS!$E$4:$E$803,C2145,MOVIMIENTOS_COMPLEMENTOS!$F$4:$F$803,D2145,MOVIMIENTOS_COMPLEMENTOS!$G$4:$G$803,E2145,MOVIMIENTOS_COMPLEMENTOS!$H$4:$H$803,G2145,MOVIMIENTOS_COMPLEMENTOS!$B$4:$B$803,"SALIDA"),0)</f>
        <v>0</v>
      </c>
      <c r="I2145" s="102">
        <f t="array" ref="I2145">IFERROR(INDEX(PRECIOS_COMPLEMENTOS!$C$4:$F$17,MATCH(B2145&amp;"_"&amp;C2145,PRECIOS_COMPLEMENTOS!$H$4:$H$17,0),IF(OR(G2145="S",G2145="20cm"),1,IF(OR(G2145="M",G2145="25cm"),2,IF(OR(G2145="L",G2145="30cm"),3,IF(OR(G2145="XL",G2145="35cm"),4,0))))),0)</f>
        <v>0.6</v>
      </c>
      <c r="J2145" s="103">
        <f t="shared" si="1"/>
        <v>0</v>
      </c>
      <c r="K2145" s="104" t="str">
        <f>IF(H2145&lt;0,"ERROR",IF(H2145=0,"",IF(H2145&lt;CONFIG!$B$4,"CRÍTICO",IF(H2145&lt;CONFIG!$B$5,"BAJO","OK"))))</f>
        <v/>
      </c>
    </row>
    <row r="2146" ht="15.75" hidden="1" customHeight="1">
      <c r="A2146" s="90" t="str">
        <f>IF(CLIENTES!A5="","",CLIENTES!A5)</f>
        <v>Bravos</v>
      </c>
      <c r="B2146" s="90" t="s">
        <v>331</v>
      </c>
      <c r="C2146" s="91" t="s">
        <v>328</v>
      </c>
      <c r="D2146" s="109" t="s">
        <v>364</v>
      </c>
      <c r="E2146" s="67" t="str">
        <f>COLORES!A19</f>
        <v/>
      </c>
      <c r="F2146" s="67" t="str">
        <f>COLORES!B19</f>
        <v/>
      </c>
      <c r="G2146" s="90" t="s">
        <v>377</v>
      </c>
      <c r="H2146" s="100">
        <f>IFERROR(SUMIFS(MOVIMIENTOS_COMPLEMENTOS!$I$4:$I$803,MOVIMIENTOS_COMPLEMENTOS!$C$4:$C$803,A2146,MOVIMIENTOS_COMPLEMENTOS!$D$4:$D$803,B2146,MOVIMIENTOS_COMPLEMENTOS!$E$4:$E$803,C2146,MOVIMIENTOS_COMPLEMENTOS!$F$4:$F$803,D2146,MOVIMIENTOS_COMPLEMENTOS!$G$4:$G$803,E2146,MOVIMIENTOS_COMPLEMENTOS!$H$4:$H$803,G2146,MOVIMIENTOS_COMPLEMENTOS!$B$4:$B$803,"INGRESO")+SUMIFS(MOVIMIENTOS_COMPLEMENTOS!$I$4:$I$803,MOVIMIENTOS_COMPLEMENTOS!$C$4:$C$803,A2146,MOVIMIENTOS_COMPLEMENTOS!$D$4:$D$803,B2146,MOVIMIENTOS_COMPLEMENTOS!$E$4:$E$803,C2146,MOVIMIENTOS_COMPLEMENTOS!$F$4:$F$803,D2146,MOVIMIENTOS_COMPLEMENTOS!$G$4:$G$803,E2146,MOVIMIENTOS_COMPLEMENTOS!$H$4:$H$803,G2146,MOVIMIENTOS_COMPLEMENTOS!$B$4:$B$803,"DE CORTE")-SUMIFS(MOVIMIENTOS_COMPLEMENTOS!$I$4:$I$803,MOVIMIENTOS_COMPLEMENTOS!$C$4:$C$803,A2146,MOVIMIENTOS_COMPLEMENTOS!$D$4:$D$803,B2146,MOVIMIENTOS_COMPLEMENTOS!$E$4:$E$803,C2146,MOVIMIENTOS_COMPLEMENTOS!$F$4:$F$803,D2146,MOVIMIENTOS_COMPLEMENTOS!$G$4:$G$803,E2146,MOVIMIENTOS_COMPLEMENTOS!$H$4:$H$803,G2146,MOVIMIENTOS_COMPLEMENTOS!$B$4:$B$803,"SALIDA"),0)</f>
        <v>0</v>
      </c>
      <c r="I2146" s="102">
        <f t="array" ref="I2146">IFERROR(INDEX(PRECIOS_COMPLEMENTOS!$C$4:$F$17,MATCH(B2146&amp;"_"&amp;C2146,PRECIOS_COMPLEMENTOS!$H$4:$H$17,0),IF(OR(G2146="S",G2146="20cm"),1,IF(OR(G2146="M",G2146="25cm"),2,IF(OR(G2146="L",G2146="30cm"),3,IF(OR(G2146="XL",G2146="35cm"),4,0))))),0)</f>
        <v>0.6</v>
      </c>
      <c r="J2146" s="103">
        <f t="shared" si="1"/>
        <v>0</v>
      </c>
      <c r="K2146" s="104" t="str">
        <f>IF(H2146&lt;0,"ERROR",IF(H2146=0,"",IF(H2146&lt;CONFIG!$B$4,"CRÍTICO",IF(H2146&lt;CONFIG!$B$5,"BAJO","OK"))))</f>
        <v/>
      </c>
    </row>
    <row r="2147" ht="15.75" hidden="1" customHeight="1">
      <c r="A2147" s="90" t="str">
        <f>IF(CLIENTES!A5="","",CLIENTES!A5)</f>
        <v>Bravos</v>
      </c>
      <c r="B2147" s="90" t="s">
        <v>331</v>
      </c>
      <c r="C2147" s="91" t="s">
        <v>328</v>
      </c>
      <c r="D2147" s="109" t="s">
        <v>364</v>
      </c>
      <c r="E2147" s="67" t="str">
        <f>COLORES!A19</f>
        <v/>
      </c>
      <c r="F2147" s="67" t="str">
        <f>COLORES!B19</f>
        <v/>
      </c>
      <c r="G2147" s="90" t="s">
        <v>379</v>
      </c>
      <c r="H2147" s="100">
        <f>IFERROR(SUMIFS(MOVIMIENTOS_COMPLEMENTOS!$I$4:$I$803,MOVIMIENTOS_COMPLEMENTOS!$C$4:$C$803,A2147,MOVIMIENTOS_COMPLEMENTOS!$D$4:$D$803,B2147,MOVIMIENTOS_COMPLEMENTOS!$E$4:$E$803,C2147,MOVIMIENTOS_COMPLEMENTOS!$F$4:$F$803,D2147,MOVIMIENTOS_COMPLEMENTOS!$G$4:$G$803,E2147,MOVIMIENTOS_COMPLEMENTOS!$H$4:$H$803,G2147,MOVIMIENTOS_COMPLEMENTOS!$B$4:$B$803,"INGRESO")+SUMIFS(MOVIMIENTOS_COMPLEMENTOS!$I$4:$I$803,MOVIMIENTOS_COMPLEMENTOS!$C$4:$C$803,A2147,MOVIMIENTOS_COMPLEMENTOS!$D$4:$D$803,B2147,MOVIMIENTOS_COMPLEMENTOS!$E$4:$E$803,C2147,MOVIMIENTOS_COMPLEMENTOS!$F$4:$F$803,D2147,MOVIMIENTOS_COMPLEMENTOS!$G$4:$G$803,E2147,MOVIMIENTOS_COMPLEMENTOS!$H$4:$H$803,G2147,MOVIMIENTOS_COMPLEMENTOS!$B$4:$B$803,"DE CORTE")-SUMIFS(MOVIMIENTOS_COMPLEMENTOS!$I$4:$I$803,MOVIMIENTOS_COMPLEMENTOS!$C$4:$C$803,A2147,MOVIMIENTOS_COMPLEMENTOS!$D$4:$D$803,B2147,MOVIMIENTOS_COMPLEMENTOS!$E$4:$E$803,C2147,MOVIMIENTOS_COMPLEMENTOS!$F$4:$F$803,D2147,MOVIMIENTOS_COMPLEMENTOS!$G$4:$G$803,E2147,MOVIMIENTOS_COMPLEMENTOS!$H$4:$H$803,G2147,MOVIMIENTOS_COMPLEMENTOS!$B$4:$B$803,"SALIDA"),0)</f>
        <v>0</v>
      </c>
      <c r="I2147" s="102">
        <f t="array" ref="I2147">IFERROR(INDEX(PRECIOS_COMPLEMENTOS!$C$4:$F$17,MATCH(B2147&amp;"_"&amp;C2147,PRECIOS_COMPLEMENTOS!$H$4:$H$17,0),IF(OR(G2147="S",G2147="20cm"),1,IF(OR(G2147="M",G2147="25cm"),2,IF(OR(G2147="L",G2147="30cm"),3,IF(OR(G2147="XL",G2147="35cm"),4,0))))),0)</f>
        <v>0.6</v>
      </c>
      <c r="J2147" s="103">
        <f t="shared" si="1"/>
        <v>0</v>
      </c>
      <c r="K2147" s="104" t="str">
        <f>IF(H2147&lt;0,"ERROR",IF(H2147=0,"",IF(H2147&lt;CONFIG!$B$4,"CRÍTICO",IF(H2147&lt;CONFIG!$B$5,"BAJO","OK"))))</f>
        <v/>
      </c>
    </row>
    <row r="2148" ht="15.75" hidden="1" customHeight="1">
      <c r="A2148" s="90" t="str">
        <f>IF(CLIENTES!A5="","",CLIENTES!A5)</f>
        <v>Bravos</v>
      </c>
      <c r="B2148" s="90" t="s">
        <v>331</v>
      </c>
      <c r="C2148" s="91" t="s">
        <v>328</v>
      </c>
      <c r="D2148" s="109" t="s">
        <v>364</v>
      </c>
      <c r="E2148" s="67" t="str">
        <f>COLORES!A20</f>
        <v/>
      </c>
      <c r="F2148" s="67" t="str">
        <f>COLORES!B20</f>
        <v/>
      </c>
      <c r="G2148" s="90" t="s">
        <v>378</v>
      </c>
      <c r="H2148" s="100">
        <f>IFERROR(SUMIFS(MOVIMIENTOS_COMPLEMENTOS!$I$4:$I$803,MOVIMIENTOS_COMPLEMENTOS!$C$4:$C$803,A2148,MOVIMIENTOS_COMPLEMENTOS!$D$4:$D$803,B2148,MOVIMIENTOS_COMPLEMENTOS!$E$4:$E$803,C2148,MOVIMIENTOS_COMPLEMENTOS!$F$4:$F$803,D2148,MOVIMIENTOS_COMPLEMENTOS!$G$4:$G$803,E2148,MOVIMIENTOS_COMPLEMENTOS!$H$4:$H$803,G2148,MOVIMIENTOS_COMPLEMENTOS!$B$4:$B$803,"INGRESO")+SUMIFS(MOVIMIENTOS_COMPLEMENTOS!$I$4:$I$803,MOVIMIENTOS_COMPLEMENTOS!$C$4:$C$803,A2148,MOVIMIENTOS_COMPLEMENTOS!$D$4:$D$803,B2148,MOVIMIENTOS_COMPLEMENTOS!$E$4:$E$803,C2148,MOVIMIENTOS_COMPLEMENTOS!$F$4:$F$803,D2148,MOVIMIENTOS_COMPLEMENTOS!$G$4:$G$803,E2148,MOVIMIENTOS_COMPLEMENTOS!$H$4:$H$803,G2148,MOVIMIENTOS_COMPLEMENTOS!$B$4:$B$803,"DE CORTE")-SUMIFS(MOVIMIENTOS_COMPLEMENTOS!$I$4:$I$803,MOVIMIENTOS_COMPLEMENTOS!$C$4:$C$803,A2148,MOVIMIENTOS_COMPLEMENTOS!$D$4:$D$803,B2148,MOVIMIENTOS_COMPLEMENTOS!$E$4:$E$803,C2148,MOVIMIENTOS_COMPLEMENTOS!$F$4:$F$803,D2148,MOVIMIENTOS_COMPLEMENTOS!$G$4:$G$803,E2148,MOVIMIENTOS_COMPLEMENTOS!$H$4:$H$803,G2148,MOVIMIENTOS_COMPLEMENTOS!$B$4:$B$803,"SALIDA"),0)</f>
        <v>0</v>
      </c>
      <c r="I2148" s="102">
        <f t="array" ref="I2148">IFERROR(INDEX(PRECIOS_COMPLEMENTOS!$C$4:$F$17,MATCH(B2148&amp;"_"&amp;C2148,PRECIOS_COMPLEMENTOS!$H$4:$H$17,0),IF(OR(G2148="S",G2148="20cm"),1,IF(OR(G2148="M",G2148="25cm"),2,IF(OR(G2148="L",G2148="30cm"),3,IF(OR(G2148="XL",G2148="35cm"),4,0))))),0)</f>
        <v>0.6</v>
      </c>
      <c r="J2148" s="103">
        <f t="shared" si="1"/>
        <v>0</v>
      </c>
      <c r="K2148" s="104" t="str">
        <f>IF(H2148&lt;0,"ERROR",IF(H2148=0,"",IF(H2148&lt;CONFIG!$B$4,"CRÍTICO",IF(H2148&lt;CONFIG!$B$5,"BAJO","OK"))))</f>
        <v/>
      </c>
    </row>
    <row r="2149" ht="15.75" hidden="1" customHeight="1">
      <c r="A2149" s="90" t="str">
        <f>IF(CLIENTES!A5="","",CLIENTES!A5)</f>
        <v>Bravos</v>
      </c>
      <c r="B2149" s="90" t="s">
        <v>331</v>
      </c>
      <c r="C2149" s="91" t="s">
        <v>328</v>
      </c>
      <c r="D2149" s="109" t="s">
        <v>364</v>
      </c>
      <c r="E2149" s="67" t="str">
        <f>COLORES!A20</f>
        <v/>
      </c>
      <c r="F2149" s="67" t="str">
        <f>COLORES!B20</f>
        <v/>
      </c>
      <c r="G2149" s="90" t="s">
        <v>376</v>
      </c>
      <c r="H2149" s="100">
        <f>IFERROR(SUMIFS(MOVIMIENTOS_COMPLEMENTOS!$I$4:$I$803,MOVIMIENTOS_COMPLEMENTOS!$C$4:$C$803,A2149,MOVIMIENTOS_COMPLEMENTOS!$D$4:$D$803,B2149,MOVIMIENTOS_COMPLEMENTOS!$E$4:$E$803,C2149,MOVIMIENTOS_COMPLEMENTOS!$F$4:$F$803,D2149,MOVIMIENTOS_COMPLEMENTOS!$G$4:$G$803,E2149,MOVIMIENTOS_COMPLEMENTOS!$H$4:$H$803,G2149,MOVIMIENTOS_COMPLEMENTOS!$B$4:$B$803,"INGRESO")+SUMIFS(MOVIMIENTOS_COMPLEMENTOS!$I$4:$I$803,MOVIMIENTOS_COMPLEMENTOS!$C$4:$C$803,A2149,MOVIMIENTOS_COMPLEMENTOS!$D$4:$D$803,B2149,MOVIMIENTOS_COMPLEMENTOS!$E$4:$E$803,C2149,MOVIMIENTOS_COMPLEMENTOS!$F$4:$F$803,D2149,MOVIMIENTOS_COMPLEMENTOS!$G$4:$G$803,E2149,MOVIMIENTOS_COMPLEMENTOS!$H$4:$H$803,G2149,MOVIMIENTOS_COMPLEMENTOS!$B$4:$B$803,"DE CORTE")-SUMIFS(MOVIMIENTOS_COMPLEMENTOS!$I$4:$I$803,MOVIMIENTOS_COMPLEMENTOS!$C$4:$C$803,A2149,MOVIMIENTOS_COMPLEMENTOS!$D$4:$D$803,B2149,MOVIMIENTOS_COMPLEMENTOS!$E$4:$E$803,C2149,MOVIMIENTOS_COMPLEMENTOS!$F$4:$F$803,D2149,MOVIMIENTOS_COMPLEMENTOS!$G$4:$G$803,E2149,MOVIMIENTOS_COMPLEMENTOS!$H$4:$H$803,G2149,MOVIMIENTOS_COMPLEMENTOS!$B$4:$B$803,"SALIDA"),0)</f>
        <v>0</v>
      </c>
      <c r="I2149" s="102">
        <f t="array" ref="I2149">IFERROR(INDEX(PRECIOS_COMPLEMENTOS!$C$4:$F$17,MATCH(B2149&amp;"_"&amp;C2149,PRECIOS_COMPLEMENTOS!$H$4:$H$17,0),IF(OR(G2149="S",G2149="20cm"),1,IF(OR(G2149="M",G2149="25cm"),2,IF(OR(G2149="L",G2149="30cm"),3,IF(OR(G2149="XL",G2149="35cm"),4,0))))),0)</f>
        <v>0.6</v>
      </c>
      <c r="J2149" s="103">
        <f t="shared" si="1"/>
        <v>0</v>
      </c>
      <c r="K2149" s="104" t="str">
        <f>IF(H2149&lt;0,"ERROR",IF(H2149=0,"",IF(H2149&lt;CONFIG!$B$4,"CRÍTICO",IF(H2149&lt;CONFIG!$B$5,"BAJO","OK"))))</f>
        <v/>
      </c>
    </row>
    <row r="2150" ht="15.75" hidden="1" customHeight="1">
      <c r="A2150" s="90" t="str">
        <f>IF(CLIENTES!A5="","",CLIENTES!A5)</f>
        <v>Bravos</v>
      </c>
      <c r="B2150" s="90" t="s">
        <v>331</v>
      </c>
      <c r="C2150" s="91" t="s">
        <v>328</v>
      </c>
      <c r="D2150" s="109" t="s">
        <v>364</v>
      </c>
      <c r="E2150" s="67" t="str">
        <f>COLORES!A20</f>
        <v/>
      </c>
      <c r="F2150" s="67" t="str">
        <f>COLORES!B20</f>
        <v/>
      </c>
      <c r="G2150" s="90" t="s">
        <v>377</v>
      </c>
      <c r="H2150" s="100">
        <f>IFERROR(SUMIFS(MOVIMIENTOS_COMPLEMENTOS!$I$4:$I$803,MOVIMIENTOS_COMPLEMENTOS!$C$4:$C$803,A2150,MOVIMIENTOS_COMPLEMENTOS!$D$4:$D$803,B2150,MOVIMIENTOS_COMPLEMENTOS!$E$4:$E$803,C2150,MOVIMIENTOS_COMPLEMENTOS!$F$4:$F$803,D2150,MOVIMIENTOS_COMPLEMENTOS!$G$4:$G$803,E2150,MOVIMIENTOS_COMPLEMENTOS!$H$4:$H$803,G2150,MOVIMIENTOS_COMPLEMENTOS!$B$4:$B$803,"INGRESO")+SUMIFS(MOVIMIENTOS_COMPLEMENTOS!$I$4:$I$803,MOVIMIENTOS_COMPLEMENTOS!$C$4:$C$803,A2150,MOVIMIENTOS_COMPLEMENTOS!$D$4:$D$803,B2150,MOVIMIENTOS_COMPLEMENTOS!$E$4:$E$803,C2150,MOVIMIENTOS_COMPLEMENTOS!$F$4:$F$803,D2150,MOVIMIENTOS_COMPLEMENTOS!$G$4:$G$803,E2150,MOVIMIENTOS_COMPLEMENTOS!$H$4:$H$803,G2150,MOVIMIENTOS_COMPLEMENTOS!$B$4:$B$803,"DE CORTE")-SUMIFS(MOVIMIENTOS_COMPLEMENTOS!$I$4:$I$803,MOVIMIENTOS_COMPLEMENTOS!$C$4:$C$803,A2150,MOVIMIENTOS_COMPLEMENTOS!$D$4:$D$803,B2150,MOVIMIENTOS_COMPLEMENTOS!$E$4:$E$803,C2150,MOVIMIENTOS_COMPLEMENTOS!$F$4:$F$803,D2150,MOVIMIENTOS_COMPLEMENTOS!$G$4:$G$803,E2150,MOVIMIENTOS_COMPLEMENTOS!$H$4:$H$803,G2150,MOVIMIENTOS_COMPLEMENTOS!$B$4:$B$803,"SALIDA"),0)</f>
        <v>0</v>
      </c>
      <c r="I2150" s="102">
        <f t="array" ref="I2150">IFERROR(INDEX(PRECIOS_COMPLEMENTOS!$C$4:$F$17,MATCH(B2150&amp;"_"&amp;C2150,PRECIOS_COMPLEMENTOS!$H$4:$H$17,0),IF(OR(G2150="S",G2150="20cm"),1,IF(OR(G2150="M",G2150="25cm"),2,IF(OR(G2150="L",G2150="30cm"),3,IF(OR(G2150="XL",G2150="35cm"),4,0))))),0)</f>
        <v>0.6</v>
      </c>
      <c r="J2150" s="103">
        <f t="shared" si="1"/>
        <v>0</v>
      </c>
      <c r="K2150" s="104" t="str">
        <f>IF(H2150&lt;0,"ERROR",IF(H2150=0,"",IF(H2150&lt;CONFIG!$B$4,"CRÍTICO",IF(H2150&lt;CONFIG!$B$5,"BAJO","OK"))))</f>
        <v/>
      </c>
    </row>
    <row r="2151" ht="15.75" hidden="1" customHeight="1">
      <c r="A2151" s="90" t="str">
        <f>IF(CLIENTES!A5="","",CLIENTES!A5)</f>
        <v>Bravos</v>
      </c>
      <c r="B2151" s="90" t="s">
        <v>331</v>
      </c>
      <c r="C2151" s="91" t="s">
        <v>328</v>
      </c>
      <c r="D2151" s="109" t="s">
        <v>364</v>
      </c>
      <c r="E2151" s="67" t="str">
        <f>COLORES!A20</f>
        <v/>
      </c>
      <c r="F2151" s="67" t="str">
        <f>COLORES!B20</f>
        <v/>
      </c>
      <c r="G2151" s="90" t="s">
        <v>379</v>
      </c>
      <c r="H2151" s="100">
        <f>IFERROR(SUMIFS(MOVIMIENTOS_COMPLEMENTOS!$I$4:$I$803,MOVIMIENTOS_COMPLEMENTOS!$C$4:$C$803,A2151,MOVIMIENTOS_COMPLEMENTOS!$D$4:$D$803,B2151,MOVIMIENTOS_COMPLEMENTOS!$E$4:$E$803,C2151,MOVIMIENTOS_COMPLEMENTOS!$F$4:$F$803,D2151,MOVIMIENTOS_COMPLEMENTOS!$G$4:$G$803,E2151,MOVIMIENTOS_COMPLEMENTOS!$H$4:$H$803,G2151,MOVIMIENTOS_COMPLEMENTOS!$B$4:$B$803,"INGRESO")+SUMIFS(MOVIMIENTOS_COMPLEMENTOS!$I$4:$I$803,MOVIMIENTOS_COMPLEMENTOS!$C$4:$C$803,A2151,MOVIMIENTOS_COMPLEMENTOS!$D$4:$D$803,B2151,MOVIMIENTOS_COMPLEMENTOS!$E$4:$E$803,C2151,MOVIMIENTOS_COMPLEMENTOS!$F$4:$F$803,D2151,MOVIMIENTOS_COMPLEMENTOS!$G$4:$G$803,E2151,MOVIMIENTOS_COMPLEMENTOS!$H$4:$H$803,G2151,MOVIMIENTOS_COMPLEMENTOS!$B$4:$B$803,"DE CORTE")-SUMIFS(MOVIMIENTOS_COMPLEMENTOS!$I$4:$I$803,MOVIMIENTOS_COMPLEMENTOS!$C$4:$C$803,A2151,MOVIMIENTOS_COMPLEMENTOS!$D$4:$D$803,B2151,MOVIMIENTOS_COMPLEMENTOS!$E$4:$E$803,C2151,MOVIMIENTOS_COMPLEMENTOS!$F$4:$F$803,D2151,MOVIMIENTOS_COMPLEMENTOS!$G$4:$G$803,E2151,MOVIMIENTOS_COMPLEMENTOS!$H$4:$H$803,G2151,MOVIMIENTOS_COMPLEMENTOS!$B$4:$B$803,"SALIDA"),0)</f>
        <v>0</v>
      </c>
      <c r="I2151" s="102">
        <f t="array" ref="I2151">IFERROR(INDEX(PRECIOS_COMPLEMENTOS!$C$4:$F$17,MATCH(B2151&amp;"_"&amp;C2151,PRECIOS_COMPLEMENTOS!$H$4:$H$17,0),IF(OR(G2151="S",G2151="20cm"),1,IF(OR(G2151="M",G2151="25cm"),2,IF(OR(G2151="L",G2151="30cm"),3,IF(OR(G2151="XL",G2151="35cm"),4,0))))),0)</f>
        <v>0.6</v>
      </c>
      <c r="J2151" s="103">
        <f t="shared" si="1"/>
        <v>0</v>
      </c>
      <c r="K2151" s="104" t="str">
        <f>IF(H2151&lt;0,"ERROR",IF(H2151=0,"",IF(H2151&lt;CONFIG!$B$4,"CRÍTICO",IF(H2151&lt;CONFIG!$B$5,"BAJO","OK"))))</f>
        <v/>
      </c>
    </row>
    <row r="2152" ht="15.75" hidden="1" customHeight="1">
      <c r="A2152" s="90" t="str">
        <f>IF(CLIENTES!A5="","",CLIENTES!A5)</f>
        <v>Bravos</v>
      </c>
      <c r="B2152" s="90" t="s">
        <v>331</v>
      </c>
      <c r="C2152" s="91" t="s">
        <v>328</v>
      </c>
      <c r="D2152" s="109" t="s">
        <v>364</v>
      </c>
      <c r="E2152" s="67" t="str">
        <f>COLORES!A21</f>
        <v/>
      </c>
      <c r="F2152" s="67" t="str">
        <f>COLORES!B21</f>
        <v/>
      </c>
      <c r="G2152" s="90" t="s">
        <v>378</v>
      </c>
      <c r="H2152" s="100">
        <f>IFERROR(SUMIFS(MOVIMIENTOS_COMPLEMENTOS!$I$4:$I$803,MOVIMIENTOS_COMPLEMENTOS!$C$4:$C$803,A2152,MOVIMIENTOS_COMPLEMENTOS!$D$4:$D$803,B2152,MOVIMIENTOS_COMPLEMENTOS!$E$4:$E$803,C2152,MOVIMIENTOS_COMPLEMENTOS!$F$4:$F$803,D2152,MOVIMIENTOS_COMPLEMENTOS!$G$4:$G$803,E2152,MOVIMIENTOS_COMPLEMENTOS!$H$4:$H$803,G2152,MOVIMIENTOS_COMPLEMENTOS!$B$4:$B$803,"INGRESO")+SUMIFS(MOVIMIENTOS_COMPLEMENTOS!$I$4:$I$803,MOVIMIENTOS_COMPLEMENTOS!$C$4:$C$803,A2152,MOVIMIENTOS_COMPLEMENTOS!$D$4:$D$803,B2152,MOVIMIENTOS_COMPLEMENTOS!$E$4:$E$803,C2152,MOVIMIENTOS_COMPLEMENTOS!$F$4:$F$803,D2152,MOVIMIENTOS_COMPLEMENTOS!$G$4:$G$803,E2152,MOVIMIENTOS_COMPLEMENTOS!$H$4:$H$803,G2152,MOVIMIENTOS_COMPLEMENTOS!$B$4:$B$803,"DE CORTE")-SUMIFS(MOVIMIENTOS_COMPLEMENTOS!$I$4:$I$803,MOVIMIENTOS_COMPLEMENTOS!$C$4:$C$803,A2152,MOVIMIENTOS_COMPLEMENTOS!$D$4:$D$803,B2152,MOVIMIENTOS_COMPLEMENTOS!$E$4:$E$803,C2152,MOVIMIENTOS_COMPLEMENTOS!$F$4:$F$803,D2152,MOVIMIENTOS_COMPLEMENTOS!$G$4:$G$803,E2152,MOVIMIENTOS_COMPLEMENTOS!$H$4:$H$803,G2152,MOVIMIENTOS_COMPLEMENTOS!$B$4:$B$803,"SALIDA"),0)</f>
        <v>0</v>
      </c>
      <c r="I2152" s="102">
        <f t="array" ref="I2152">IFERROR(INDEX(PRECIOS_COMPLEMENTOS!$C$4:$F$17,MATCH(B2152&amp;"_"&amp;C2152,PRECIOS_COMPLEMENTOS!$H$4:$H$17,0),IF(OR(G2152="S",G2152="20cm"),1,IF(OR(G2152="M",G2152="25cm"),2,IF(OR(G2152="L",G2152="30cm"),3,IF(OR(G2152="XL",G2152="35cm"),4,0))))),0)</f>
        <v>0.6</v>
      </c>
      <c r="J2152" s="103">
        <f t="shared" si="1"/>
        <v>0</v>
      </c>
      <c r="K2152" s="104" t="str">
        <f>IF(H2152&lt;0,"ERROR",IF(H2152=0,"",IF(H2152&lt;CONFIG!$B$4,"CRÍTICO",IF(H2152&lt;CONFIG!$B$5,"BAJO","OK"))))</f>
        <v/>
      </c>
    </row>
    <row r="2153" ht="15.75" hidden="1" customHeight="1">
      <c r="A2153" s="90" t="str">
        <f>IF(CLIENTES!A5="","",CLIENTES!A5)</f>
        <v>Bravos</v>
      </c>
      <c r="B2153" s="90" t="s">
        <v>331</v>
      </c>
      <c r="C2153" s="91" t="s">
        <v>328</v>
      </c>
      <c r="D2153" s="109" t="s">
        <v>364</v>
      </c>
      <c r="E2153" s="67" t="str">
        <f>COLORES!A21</f>
        <v/>
      </c>
      <c r="F2153" s="67" t="str">
        <f>COLORES!B21</f>
        <v/>
      </c>
      <c r="G2153" s="90" t="s">
        <v>376</v>
      </c>
      <c r="H2153" s="100">
        <f>IFERROR(SUMIFS(MOVIMIENTOS_COMPLEMENTOS!$I$4:$I$803,MOVIMIENTOS_COMPLEMENTOS!$C$4:$C$803,A2153,MOVIMIENTOS_COMPLEMENTOS!$D$4:$D$803,B2153,MOVIMIENTOS_COMPLEMENTOS!$E$4:$E$803,C2153,MOVIMIENTOS_COMPLEMENTOS!$F$4:$F$803,D2153,MOVIMIENTOS_COMPLEMENTOS!$G$4:$G$803,E2153,MOVIMIENTOS_COMPLEMENTOS!$H$4:$H$803,G2153,MOVIMIENTOS_COMPLEMENTOS!$B$4:$B$803,"INGRESO")+SUMIFS(MOVIMIENTOS_COMPLEMENTOS!$I$4:$I$803,MOVIMIENTOS_COMPLEMENTOS!$C$4:$C$803,A2153,MOVIMIENTOS_COMPLEMENTOS!$D$4:$D$803,B2153,MOVIMIENTOS_COMPLEMENTOS!$E$4:$E$803,C2153,MOVIMIENTOS_COMPLEMENTOS!$F$4:$F$803,D2153,MOVIMIENTOS_COMPLEMENTOS!$G$4:$G$803,E2153,MOVIMIENTOS_COMPLEMENTOS!$H$4:$H$803,G2153,MOVIMIENTOS_COMPLEMENTOS!$B$4:$B$803,"DE CORTE")-SUMIFS(MOVIMIENTOS_COMPLEMENTOS!$I$4:$I$803,MOVIMIENTOS_COMPLEMENTOS!$C$4:$C$803,A2153,MOVIMIENTOS_COMPLEMENTOS!$D$4:$D$803,B2153,MOVIMIENTOS_COMPLEMENTOS!$E$4:$E$803,C2153,MOVIMIENTOS_COMPLEMENTOS!$F$4:$F$803,D2153,MOVIMIENTOS_COMPLEMENTOS!$G$4:$G$803,E2153,MOVIMIENTOS_COMPLEMENTOS!$H$4:$H$803,G2153,MOVIMIENTOS_COMPLEMENTOS!$B$4:$B$803,"SALIDA"),0)</f>
        <v>0</v>
      </c>
      <c r="I2153" s="102">
        <f t="array" ref="I2153">IFERROR(INDEX(PRECIOS_COMPLEMENTOS!$C$4:$F$17,MATCH(B2153&amp;"_"&amp;C2153,PRECIOS_COMPLEMENTOS!$H$4:$H$17,0),IF(OR(G2153="S",G2153="20cm"),1,IF(OR(G2153="M",G2153="25cm"),2,IF(OR(G2153="L",G2153="30cm"),3,IF(OR(G2153="XL",G2153="35cm"),4,0))))),0)</f>
        <v>0.6</v>
      </c>
      <c r="J2153" s="103">
        <f t="shared" si="1"/>
        <v>0</v>
      </c>
      <c r="K2153" s="104" t="str">
        <f>IF(H2153&lt;0,"ERROR",IF(H2153=0,"",IF(H2153&lt;CONFIG!$B$4,"CRÍTICO",IF(H2153&lt;CONFIG!$B$5,"BAJO","OK"))))</f>
        <v/>
      </c>
    </row>
    <row r="2154" ht="15.75" hidden="1" customHeight="1">
      <c r="A2154" s="90" t="str">
        <f>IF(CLIENTES!A5="","",CLIENTES!A5)</f>
        <v>Bravos</v>
      </c>
      <c r="B2154" s="90" t="s">
        <v>331</v>
      </c>
      <c r="C2154" s="91" t="s">
        <v>328</v>
      </c>
      <c r="D2154" s="109" t="s">
        <v>364</v>
      </c>
      <c r="E2154" s="67" t="str">
        <f>COLORES!A21</f>
        <v/>
      </c>
      <c r="F2154" s="67" t="str">
        <f>COLORES!B21</f>
        <v/>
      </c>
      <c r="G2154" s="90" t="s">
        <v>377</v>
      </c>
      <c r="H2154" s="100">
        <f>IFERROR(SUMIFS(MOVIMIENTOS_COMPLEMENTOS!$I$4:$I$803,MOVIMIENTOS_COMPLEMENTOS!$C$4:$C$803,A2154,MOVIMIENTOS_COMPLEMENTOS!$D$4:$D$803,B2154,MOVIMIENTOS_COMPLEMENTOS!$E$4:$E$803,C2154,MOVIMIENTOS_COMPLEMENTOS!$F$4:$F$803,D2154,MOVIMIENTOS_COMPLEMENTOS!$G$4:$G$803,E2154,MOVIMIENTOS_COMPLEMENTOS!$H$4:$H$803,G2154,MOVIMIENTOS_COMPLEMENTOS!$B$4:$B$803,"INGRESO")+SUMIFS(MOVIMIENTOS_COMPLEMENTOS!$I$4:$I$803,MOVIMIENTOS_COMPLEMENTOS!$C$4:$C$803,A2154,MOVIMIENTOS_COMPLEMENTOS!$D$4:$D$803,B2154,MOVIMIENTOS_COMPLEMENTOS!$E$4:$E$803,C2154,MOVIMIENTOS_COMPLEMENTOS!$F$4:$F$803,D2154,MOVIMIENTOS_COMPLEMENTOS!$G$4:$G$803,E2154,MOVIMIENTOS_COMPLEMENTOS!$H$4:$H$803,G2154,MOVIMIENTOS_COMPLEMENTOS!$B$4:$B$803,"DE CORTE")-SUMIFS(MOVIMIENTOS_COMPLEMENTOS!$I$4:$I$803,MOVIMIENTOS_COMPLEMENTOS!$C$4:$C$803,A2154,MOVIMIENTOS_COMPLEMENTOS!$D$4:$D$803,B2154,MOVIMIENTOS_COMPLEMENTOS!$E$4:$E$803,C2154,MOVIMIENTOS_COMPLEMENTOS!$F$4:$F$803,D2154,MOVIMIENTOS_COMPLEMENTOS!$G$4:$G$803,E2154,MOVIMIENTOS_COMPLEMENTOS!$H$4:$H$803,G2154,MOVIMIENTOS_COMPLEMENTOS!$B$4:$B$803,"SALIDA"),0)</f>
        <v>0</v>
      </c>
      <c r="I2154" s="102">
        <f t="array" ref="I2154">IFERROR(INDEX(PRECIOS_COMPLEMENTOS!$C$4:$F$17,MATCH(B2154&amp;"_"&amp;C2154,PRECIOS_COMPLEMENTOS!$H$4:$H$17,0),IF(OR(G2154="S",G2154="20cm"),1,IF(OR(G2154="M",G2154="25cm"),2,IF(OR(G2154="L",G2154="30cm"),3,IF(OR(G2154="XL",G2154="35cm"),4,0))))),0)</f>
        <v>0.6</v>
      </c>
      <c r="J2154" s="103">
        <f t="shared" si="1"/>
        <v>0</v>
      </c>
      <c r="K2154" s="104" t="str">
        <f>IF(H2154&lt;0,"ERROR",IF(H2154=0,"",IF(H2154&lt;CONFIG!$B$4,"CRÍTICO",IF(H2154&lt;CONFIG!$B$5,"BAJO","OK"))))</f>
        <v/>
      </c>
    </row>
    <row r="2155" ht="15.75" hidden="1" customHeight="1">
      <c r="A2155" s="90" t="str">
        <f>IF(CLIENTES!A5="","",CLIENTES!A5)</f>
        <v>Bravos</v>
      </c>
      <c r="B2155" s="90" t="s">
        <v>331</v>
      </c>
      <c r="C2155" s="91" t="s">
        <v>328</v>
      </c>
      <c r="D2155" s="109" t="s">
        <v>364</v>
      </c>
      <c r="E2155" s="67" t="str">
        <f>COLORES!A21</f>
        <v/>
      </c>
      <c r="F2155" s="67" t="str">
        <f>COLORES!B21</f>
        <v/>
      </c>
      <c r="G2155" s="90" t="s">
        <v>379</v>
      </c>
      <c r="H2155" s="100">
        <f>IFERROR(SUMIFS(MOVIMIENTOS_COMPLEMENTOS!$I$4:$I$803,MOVIMIENTOS_COMPLEMENTOS!$C$4:$C$803,A2155,MOVIMIENTOS_COMPLEMENTOS!$D$4:$D$803,B2155,MOVIMIENTOS_COMPLEMENTOS!$E$4:$E$803,C2155,MOVIMIENTOS_COMPLEMENTOS!$F$4:$F$803,D2155,MOVIMIENTOS_COMPLEMENTOS!$G$4:$G$803,E2155,MOVIMIENTOS_COMPLEMENTOS!$H$4:$H$803,G2155,MOVIMIENTOS_COMPLEMENTOS!$B$4:$B$803,"INGRESO")+SUMIFS(MOVIMIENTOS_COMPLEMENTOS!$I$4:$I$803,MOVIMIENTOS_COMPLEMENTOS!$C$4:$C$803,A2155,MOVIMIENTOS_COMPLEMENTOS!$D$4:$D$803,B2155,MOVIMIENTOS_COMPLEMENTOS!$E$4:$E$803,C2155,MOVIMIENTOS_COMPLEMENTOS!$F$4:$F$803,D2155,MOVIMIENTOS_COMPLEMENTOS!$G$4:$G$803,E2155,MOVIMIENTOS_COMPLEMENTOS!$H$4:$H$803,G2155,MOVIMIENTOS_COMPLEMENTOS!$B$4:$B$803,"DE CORTE")-SUMIFS(MOVIMIENTOS_COMPLEMENTOS!$I$4:$I$803,MOVIMIENTOS_COMPLEMENTOS!$C$4:$C$803,A2155,MOVIMIENTOS_COMPLEMENTOS!$D$4:$D$803,B2155,MOVIMIENTOS_COMPLEMENTOS!$E$4:$E$803,C2155,MOVIMIENTOS_COMPLEMENTOS!$F$4:$F$803,D2155,MOVIMIENTOS_COMPLEMENTOS!$G$4:$G$803,E2155,MOVIMIENTOS_COMPLEMENTOS!$H$4:$H$803,G2155,MOVIMIENTOS_COMPLEMENTOS!$B$4:$B$803,"SALIDA"),0)</f>
        <v>0</v>
      </c>
      <c r="I2155" s="102">
        <f t="array" ref="I2155">IFERROR(INDEX(PRECIOS_COMPLEMENTOS!$C$4:$F$17,MATCH(B2155&amp;"_"&amp;C2155,PRECIOS_COMPLEMENTOS!$H$4:$H$17,0),IF(OR(G2155="S",G2155="20cm"),1,IF(OR(G2155="M",G2155="25cm"),2,IF(OR(G2155="L",G2155="30cm"),3,IF(OR(G2155="XL",G2155="35cm"),4,0))))),0)</f>
        <v>0.6</v>
      </c>
      <c r="J2155" s="103">
        <f t="shared" si="1"/>
        <v>0</v>
      </c>
      <c r="K2155" s="104" t="str">
        <f>IF(H2155&lt;0,"ERROR",IF(H2155=0,"",IF(H2155&lt;CONFIG!$B$4,"CRÍTICO",IF(H2155&lt;CONFIG!$B$5,"BAJO","OK"))))</f>
        <v/>
      </c>
    </row>
    <row r="2156" ht="15.75" hidden="1" customHeight="1">
      <c r="A2156" s="90" t="str">
        <f>IF(CLIENTES!A5="","",CLIENTES!A5)</f>
        <v>Bravos</v>
      </c>
      <c r="B2156" s="90" t="s">
        <v>331</v>
      </c>
      <c r="C2156" s="91" t="s">
        <v>328</v>
      </c>
      <c r="D2156" s="109" t="s">
        <v>364</v>
      </c>
      <c r="E2156" s="67" t="str">
        <f>COLORES!A22</f>
        <v/>
      </c>
      <c r="F2156" s="67" t="str">
        <f>COLORES!B22</f>
        <v/>
      </c>
      <c r="G2156" s="90" t="s">
        <v>378</v>
      </c>
      <c r="H2156" s="100">
        <f>IFERROR(SUMIFS(MOVIMIENTOS_COMPLEMENTOS!$I$4:$I$803,MOVIMIENTOS_COMPLEMENTOS!$C$4:$C$803,A2156,MOVIMIENTOS_COMPLEMENTOS!$D$4:$D$803,B2156,MOVIMIENTOS_COMPLEMENTOS!$E$4:$E$803,C2156,MOVIMIENTOS_COMPLEMENTOS!$F$4:$F$803,D2156,MOVIMIENTOS_COMPLEMENTOS!$G$4:$G$803,E2156,MOVIMIENTOS_COMPLEMENTOS!$H$4:$H$803,G2156,MOVIMIENTOS_COMPLEMENTOS!$B$4:$B$803,"INGRESO")+SUMIFS(MOVIMIENTOS_COMPLEMENTOS!$I$4:$I$803,MOVIMIENTOS_COMPLEMENTOS!$C$4:$C$803,A2156,MOVIMIENTOS_COMPLEMENTOS!$D$4:$D$803,B2156,MOVIMIENTOS_COMPLEMENTOS!$E$4:$E$803,C2156,MOVIMIENTOS_COMPLEMENTOS!$F$4:$F$803,D2156,MOVIMIENTOS_COMPLEMENTOS!$G$4:$G$803,E2156,MOVIMIENTOS_COMPLEMENTOS!$H$4:$H$803,G2156,MOVIMIENTOS_COMPLEMENTOS!$B$4:$B$803,"DE CORTE")-SUMIFS(MOVIMIENTOS_COMPLEMENTOS!$I$4:$I$803,MOVIMIENTOS_COMPLEMENTOS!$C$4:$C$803,A2156,MOVIMIENTOS_COMPLEMENTOS!$D$4:$D$803,B2156,MOVIMIENTOS_COMPLEMENTOS!$E$4:$E$803,C2156,MOVIMIENTOS_COMPLEMENTOS!$F$4:$F$803,D2156,MOVIMIENTOS_COMPLEMENTOS!$G$4:$G$803,E2156,MOVIMIENTOS_COMPLEMENTOS!$H$4:$H$803,G2156,MOVIMIENTOS_COMPLEMENTOS!$B$4:$B$803,"SALIDA"),0)</f>
        <v>0</v>
      </c>
      <c r="I2156" s="102">
        <f t="array" ref="I2156">IFERROR(INDEX(PRECIOS_COMPLEMENTOS!$C$4:$F$17,MATCH(B2156&amp;"_"&amp;C2156,PRECIOS_COMPLEMENTOS!$H$4:$H$17,0),IF(OR(G2156="S",G2156="20cm"),1,IF(OR(G2156="M",G2156="25cm"),2,IF(OR(G2156="L",G2156="30cm"),3,IF(OR(G2156="XL",G2156="35cm"),4,0))))),0)</f>
        <v>0.6</v>
      </c>
      <c r="J2156" s="103">
        <f t="shared" si="1"/>
        <v>0</v>
      </c>
      <c r="K2156" s="104" t="str">
        <f>IF(H2156&lt;0,"ERROR",IF(H2156=0,"",IF(H2156&lt;CONFIG!$B$4,"CRÍTICO",IF(H2156&lt;CONFIG!$B$5,"BAJO","OK"))))</f>
        <v/>
      </c>
    </row>
    <row r="2157" ht="15.75" hidden="1" customHeight="1">
      <c r="A2157" s="90" t="str">
        <f>IF(CLIENTES!A5="","",CLIENTES!A5)</f>
        <v>Bravos</v>
      </c>
      <c r="B2157" s="90" t="s">
        <v>331</v>
      </c>
      <c r="C2157" s="91" t="s">
        <v>328</v>
      </c>
      <c r="D2157" s="109" t="s">
        <v>364</v>
      </c>
      <c r="E2157" s="67" t="str">
        <f>COLORES!A22</f>
        <v/>
      </c>
      <c r="F2157" s="67" t="str">
        <f>COLORES!B22</f>
        <v/>
      </c>
      <c r="G2157" s="90" t="s">
        <v>376</v>
      </c>
      <c r="H2157" s="100">
        <f>IFERROR(SUMIFS(MOVIMIENTOS_COMPLEMENTOS!$I$4:$I$803,MOVIMIENTOS_COMPLEMENTOS!$C$4:$C$803,A2157,MOVIMIENTOS_COMPLEMENTOS!$D$4:$D$803,B2157,MOVIMIENTOS_COMPLEMENTOS!$E$4:$E$803,C2157,MOVIMIENTOS_COMPLEMENTOS!$F$4:$F$803,D2157,MOVIMIENTOS_COMPLEMENTOS!$G$4:$G$803,E2157,MOVIMIENTOS_COMPLEMENTOS!$H$4:$H$803,G2157,MOVIMIENTOS_COMPLEMENTOS!$B$4:$B$803,"INGRESO")+SUMIFS(MOVIMIENTOS_COMPLEMENTOS!$I$4:$I$803,MOVIMIENTOS_COMPLEMENTOS!$C$4:$C$803,A2157,MOVIMIENTOS_COMPLEMENTOS!$D$4:$D$803,B2157,MOVIMIENTOS_COMPLEMENTOS!$E$4:$E$803,C2157,MOVIMIENTOS_COMPLEMENTOS!$F$4:$F$803,D2157,MOVIMIENTOS_COMPLEMENTOS!$G$4:$G$803,E2157,MOVIMIENTOS_COMPLEMENTOS!$H$4:$H$803,G2157,MOVIMIENTOS_COMPLEMENTOS!$B$4:$B$803,"DE CORTE")-SUMIFS(MOVIMIENTOS_COMPLEMENTOS!$I$4:$I$803,MOVIMIENTOS_COMPLEMENTOS!$C$4:$C$803,A2157,MOVIMIENTOS_COMPLEMENTOS!$D$4:$D$803,B2157,MOVIMIENTOS_COMPLEMENTOS!$E$4:$E$803,C2157,MOVIMIENTOS_COMPLEMENTOS!$F$4:$F$803,D2157,MOVIMIENTOS_COMPLEMENTOS!$G$4:$G$803,E2157,MOVIMIENTOS_COMPLEMENTOS!$H$4:$H$803,G2157,MOVIMIENTOS_COMPLEMENTOS!$B$4:$B$803,"SALIDA"),0)</f>
        <v>0</v>
      </c>
      <c r="I2157" s="102">
        <f t="array" ref="I2157">IFERROR(INDEX(PRECIOS_COMPLEMENTOS!$C$4:$F$17,MATCH(B2157&amp;"_"&amp;C2157,PRECIOS_COMPLEMENTOS!$H$4:$H$17,0),IF(OR(G2157="S",G2157="20cm"),1,IF(OR(G2157="M",G2157="25cm"),2,IF(OR(G2157="L",G2157="30cm"),3,IF(OR(G2157="XL",G2157="35cm"),4,0))))),0)</f>
        <v>0.6</v>
      </c>
      <c r="J2157" s="103">
        <f t="shared" si="1"/>
        <v>0</v>
      </c>
      <c r="K2157" s="104" t="str">
        <f>IF(H2157&lt;0,"ERROR",IF(H2157=0,"",IF(H2157&lt;CONFIG!$B$4,"CRÍTICO",IF(H2157&lt;CONFIG!$B$5,"BAJO","OK"))))</f>
        <v/>
      </c>
    </row>
    <row r="2158" ht="15.75" hidden="1" customHeight="1">
      <c r="A2158" s="90" t="str">
        <f>IF(CLIENTES!A5="","",CLIENTES!A5)</f>
        <v>Bravos</v>
      </c>
      <c r="B2158" s="90" t="s">
        <v>331</v>
      </c>
      <c r="C2158" s="91" t="s">
        <v>328</v>
      </c>
      <c r="D2158" s="109" t="s">
        <v>364</v>
      </c>
      <c r="E2158" s="67" t="str">
        <f>COLORES!A22</f>
        <v/>
      </c>
      <c r="F2158" s="67" t="str">
        <f>COLORES!B22</f>
        <v/>
      </c>
      <c r="G2158" s="90" t="s">
        <v>377</v>
      </c>
      <c r="H2158" s="100">
        <f>IFERROR(SUMIFS(MOVIMIENTOS_COMPLEMENTOS!$I$4:$I$803,MOVIMIENTOS_COMPLEMENTOS!$C$4:$C$803,A2158,MOVIMIENTOS_COMPLEMENTOS!$D$4:$D$803,B2158,MOVIMIENTOS_COMPLEMENTOS!$E$4:$E$803,C2158,MOVIMIENTOS_COMPLEMENTOS!$F$4:$F$803,D2158,MOVIMIENTOS_COMPLEMENTOS!$G$4:$G$803,E2158,MOVIMIENTOS_COMPLEMENTOS!$H$4:$H$803,G2158,MOVIMIENTOS_COMPLEMENTOS!$B$4:$B$803,"INGRESO")+SUMIFS(MOVIMIENTOS_COMPLEMENTOS!$I$4:$I$803,MOVIMIENTOS_COMPLEMENTOS!$C$4:$C$803,A2158,MOVIMIENTOS_COMPLEMENTOS!$D$4:$D$803,B2158,MOVIMIENTOS_COMPLEMENTOS!$E$4:$E$803,C2158,MOVIMIENTOS_COMPLEMENTOS!$F$4:$F$803,D2158,MOVIMIENTOS_COMPLEMENTOS!$G$4:$G$803,E2158,MOVIMIENTOS_COMPLEMENTOS!$H$4:$H$803,G2158,MOVIMIENTOS_COMPLEMENTOS!$B$4:$B$803,"DE CORTE")-SUMIFS(MOVIMIENTOS_COMPLEMENTOS!$I$4:$I$803,MOVIMIENTOS_COMPLEMENTOS!$C$4:$C$803,A2158,MOVIMIENTOS_COMPLEMENTOS!$D$4:$D$803,B2158,MOVIMIENTOS_COMPLEMENTOS!$E$4:$E$803,C2158,MOVIMIENTOS_COMPLEMENTOS!$F$4:$F$803,D2158,MOVIMIENTOS_COMPLEMENTOS!$G$4:$G$803,E2158,MOVIMIENTOS_COMPLEMENTOS!$H$4:$H$803,G2158,MOVIMIENTOS_COMPLEMENTOS!$B$4:$B$803,"SALIDA"),0)</f>
        <v>0</v>
      </c>
      <c r="I2158" s="102">
        <f t="array" ref="I2158">IFERROR(INDEX(PRECIOS_COMPLEMENTOS!$C$4:$F$17,MATCH(B2158&amp;"_"&amp;C2158,PRECIOS_COMPLEMENTOS!$H$4:$H$17,0),IF(OR(G2158="S",G2158="20cm"),1,IF(OR(G2158="M",G2158="25cm"),2,IF(OR(G2158="L",G2158="30cm"),3,IF(OR(G2158="XL",G2158="35cm"),4,0))))),0)</f>
        <v>0.6</v>
      </c>
      <c r="J2158" s="103">
        <f t="shared" si="1"/>
        <v>0</v>
      </c>
      <c r="K2158" s="104" t="str">
        <f>IF(H2158&lt;0,"ERROR",IF(H2158=0,"",IF(H2158&lt;CONFIG!$B$4,"CRÍTICO",IF(H2158&lt;CONFIG!$B$5,"BAJO","OK"))))</f>
        <v/>
      </c>
    </row>
    <row r="2159" ht="15.75" hidden="1" customHeight="1">
      <c r="A2159" s="90" t="str">
        <f>IF(CLIENTES!A5="","",CLIENTES!A5)</f>
        <v>Bravos</v>
      </c>
      <c r="B2159" s="90" t="s">
        <v>331</v>
      </c>
      <c r="C2159" s="91" t="s">
        <v>328</v>
      </c>
      <c r="D2159" s="109" t="s">
        <v>364</v>
      </c>
      <c r="E2159" s="67" t="str">
        <f>COLORES!A22</f>
        <v/>
      </c>
      <c r="F2159" s="67" t="str">
        <f>COLORES!B22</f>
        <v/>
      </c>
      <c r="G2159" s="90" t="s">
        <v>379</v>
      </c>
      <c r="H2159" s="100">
        <f>IFERROR(SUMIFS(MOVIMIENTOS_COMPLEMENTOS!$I$4:$I$803,MOVIMIENTOS_COMPLEMENTOS!$C$4:$C$803,A2159,MOVIMIENTOS_COMPLEMENTOS!$D$4:$D$803,B2159,MOVIMIENTOS_COMPLEMENTOS!$E$4:$E$803,C2159,MOVIMIENTOS_COMPLEMENTOS!$F$4:$F$803,D2159,MOVIMIENTOS_COMPLEMENTOS!$G$4:$G$803,E2159,MOVIMIENTOS_COMPLEMENTOS!$H$4:$H$803,G2159,MOVIMIENTOS_COMPLEMENTOS!$B$4:$B$803,"INGRESO")+SUMIFS(MOVIMIENTOS_COMPLEMENTOS!$I$4:$I$803,MOVIMIENTOS_COMPLEMENTOS!$C$4:$C$803,A2159,MOVIMIENTOS_COMPLEMENTOS!$D$4:$D$803,B2159,MOVIMIENTOS_COMPLEMENTOS!$E$4:$E$803,C2159,MOVIMIENTOS_COMPLEMENTOS!$F$4:$F$803,D2159,MOVIMIENTOS_COMPLEMENTOS!$G$4:$G$803,E2159,MOVIMIENTOS_COMPLEMENTOS!$H$4:$H$803,G2159,MOVIMIENTOS_COMPLEMENTOS!$B$4:$B$803,"DE CORTE")-SUMIFS(MOVIMIENTOS_COMPLEMENTOS!$I$4:$I$803,MOVIMIENTOS_COMPLEMENTOS!$C$4:$C$803,A2159,MOVIMIENTOS_COMPLEMENTOS!$D$4:$D$803,B2159,MOVIMIENTOS_COMPLEMENTOS!$E$4:$E$803,C2159,MOVIMIENTOS_COMPLEMENTOS!$F$4:$F$803,D2159,MOVIMIENTOS_COMPLEMENTOS!$G$4:$G$803,E2159,MOVIMIENTOS_COMPLEMENTOS!$H$4:$H$803,G2159,MOVIMIENTOS_COMPLEMENTOS!$B$4:$B$803,"SALIDA"),0)</f>
        <v>0</v>
      </c>
      <c r="I2159" s="102">
        <f t="array" ref="I2159">IFERROR(INDEX(PRECIOS_COMPLEMENTOS!$C$4:$F$17,MATCH(B2159&amp;"_"&amp;C2159,PRECIOS_COMPLEMENTOS!$H$4:$H$17,0),IF(OR(G2159="S",G2159="20cm"),1,IF(OR(G2159="M",G2159="25cm"),2,IF(OR(G2159="L",G2159="30cm"),3,IF(OR(G2159="XL",G2159="35cm"),4,0))))),0)</f>
        <v>0.6</v>
      </c>
      <c r="J2159" s="103">
        <f t="shared" si="1"/>
        <v>0</v>
      </c>
      <c r="K2159" s="104" t="str">
        <f>IF(H2159&lt;0,"ERROR",IF(H2159=0,"",IF(H2159&lt;CONFIG!$B$4,"CRÍTICO",IF(H2159&lt;CONFIG!$B$5,"BAJO","OK"))))</f>
        <v/>
      </c>
    </row>
    <row r="2160" ht="15.75" hidden="1" customHeight="1">
      <c r="A2160" s="90" t="str">
        <f>IF(CLIENTES!A5="","",CLIENTES!A5)</f>
        <v>Bravos</v>
      </c>
      <c r="B2160" s="90" t="s">
        <v>331</v>
      </c>
      <c r="C2160" s="91" t="s">
        <v>328</v>
      </c>
      <c r="D2160" s="109" t="s">
        <v>364</v>
      </c>
      <c r="E2160" s="67" t="str">
        <f>COLORES!A23</f>
        <v/>
      </c>
      <c r="F2160" s="67" t="str">
        <f>COLORES!B23</f>
        <v/>
      </c>
      <c r="G2160" s="90" t="s">
        <v>378</v>
      </c>
      <c r="H2160" s="100">
        <f>IFERROR(SUMIFS(MOVIMIENTOS_COMPLEMENTOS!$I$4:$I$803,MOVIMIENTOS_COMPLEMENTOS!$C$4:$C$803,A2160,MOVIMIENTOS_COMPLEMENTOS!$D$4:$D$803,B2160,MOVIMIENTOS_COMPLEMENTOS!$E$4:$E$803,C2160,MOVIMIENTOS_COMPLEMENTOS!$F$4:$F$803,D2160,MOVIMIENTOS_COMPLEMENTOS!$G$4:$G$803,E2160,MOVIMIENTOS_COMPLEMENTOS!$H$4:$H$803,G2160,MOVIMIENTOS_COMPLEMENTOS!$B$4:$B$803,"INGRESO")+SUMIFS(MOVIMIENTOS_COMPLEMENTOS!$I$4:$I$803,MOVIMIENTOS_COMPLEMENTOS!$C$4:$C$803,A2160,MOVIMIENTOS_COMPLEMENTOS!$D$4:$D$803,B2160,MOVIMIENTOS_COMPLEMENTOS!$E$4:$E$803,C2160,MOVIMIENTOS_COMPLEMENTOS!$F$4:$F$803,D2160,MOVIMIENTOS_COMPLEMENTOS!$G$4:$G$803,E2160,MOVIMIENTOS_COMPLEMENTOS!$H$4:$H$803,G2160,MOVIMIENTOS_COMPLEMENTOS!$B$4:$B$803,"DE CORTE")-SUMIFS(MOVIMIENTOS_COMPLEMENTOS!$I$4:$I$803,MOVIMIENTOS_COMPLEMENTOS!$C$4:$C$803,A2160,MOVIMIENTOS_COMPLEMENTOS!$D$4:$D$803,B2160,MOVIMIENTOS_COMPLEMENTOS!$E$4:$E$803,C2160,MOVIMIENTOS_COMPLEMENTOS!$F$4:$F$803,D2160,MOVIMIENTOS_COMPLEMENTOS!$G$4:$G$803,E2160,MOVIMIENTOS_COMPLEMENTOS!$H$4:$H$803,G2160,MOVIMIENTOS_COMPLEMENTOS!$B$4:$B$803,"SALIDA"),0)</f>
        <v>0</v>
      </c>
      <c r="I2160" s="102">
        <f t="array" ref="I2160">IFERROR(INDEX(PRECIOS_COMPLEMENTOS!$C$4:$F$17,MATCH(B2160&amp;"_"&amp;C2160,PRECIOS_COMPLEMENTOS!$H$4:$H$17,0),IF(OR(G2160="S",G2160="20cm"),1,IF(OR(G2160="M",G2160="25cm"),2,IF(OR(G2160="L",G2160="30cm"),3,IF(OR(G2160="XL",G2160="35cm"),4,0))))),0)</f>
        <v>0.6</v>
      </c>
      <c r="J2160" s="103">
        <f t="shared" si="1"/>
        <v>0</v>
      </c>
      <c r="K2160" s="104" t="str">
        <f>IF(H2160&lt;0,"ERROR",IF(H2160=0,"",IF(H2160&lt;CONFIG!$B$4,"CRÍTICO",IF(H2160&lt;CONFIG!$B$5,"BAJO","OK"))))</f>
        <v/>
      </c>
    </row>
    <row r="2161" ht="15.75" hidden="1" customHeight="1">
      <c r="A2161" s="90" t="str">
        <f>IF(CLIENTES!A5="","",CLIENTES!A5)</f>
        <v>Bravos</v>
      </c>
      <c r="B2161" s="90" t="s">
        <v>331</v>
      </c>
      <c r="C2161" s="91" t="s">
        <v>328</v>
      </c>
      <c r="D2161" s="109" t="s">
        <v>364</v>
      </c>
      <c r="E2161" s="67" t="str">
        <f>COLORES!A23</f>
        <v/>
      </c>
      <c r="F2161" s="67" t="str">
        <f>COLORES!B23</f>
        <v/>
      </c>
      <c r="G2161" s="90" t="s">
        <v>376</v>
      </c>
      <c r="H2161" s="100">
        <f>IFERROR(SUMIFS(MOVIMIENTOS_COMPLEMENTOS!$I$4:$I$803,MOVIMIENTOS_COMPLEMENTOS!$C$4:$C$803,A2161,MOVIMIENTOS_COMPLEMENTOS!$D$4:$D$803,B2161,MOVIMIENTOS_COMPLEMENTOS!$E$4:$E$803,C2161,MOVIMIENTOS_COMPLEMENTOS!$F$4:$F$803,D2161,MOVIMIENTOS_COMPLEMENTOS!$G$4:$G$803,E2161,MOVIMIENTOS_COMPLEMENTOS!$H$4:$H$803,G2161,MOVIMIENTOS_COMPLEMENTOS!$B$4:$B$803,"INGRESO")+SUMIFS(MOVIMIENTOS_COMPLEMENTOS!$I$4:$I$803,MOVIMIENTOS_COMPLEMENTOS!$C$4:$C$803,A2161,MOVIMIENTOS_COMPLEMENTOS!$D$4:$D$803,B2161,MOVIMIENTOS_COMPLEMENTOS!$E$4:$E$803,C2161,MOVIMIENTOS_COMPLEMENTOS!$F$4:$F$803,D2161,MOVIMIENTOS_COMPLEMENTOS!$G$4:$G$803,E2161,MOVIMIENTOS_COMPLEMENTOS!$H$4:$H$803,G2161,MOVIMIENTOS_COMPLEMENTOS!$B$4:$B$803,"DE CORTE")-SUMIFS(MOVIMIENTOS_COMPLEMENTOS!$I$4:$I$803,MOVIMIENTOS_COMPLEMENTOS!$C$4:$C$803,A2161,MOVIMIENTOS_COMPLEMENTOS!$D$4:$D$803,B2161,MOVIMIENTOS_COMPLEMENTOS!$E$4:$E$803,C2161,MOVIMIENTOS_COMPLEMENTOS!$F$4:$F$803,D2161,MOVIMIENTOS_COMPLEMENTOS!$G$4:$G$803,E2161,MOVIMIENTOS_COMPLEMENTOS!$H$4:$H$803,G2161,MOVIMIENTOS_COMPLEMENTOS!$B$4:$B$803,"SALIDA"),0)</f>
        <v>0</v>
      </c>
      <c r="I2161" s="102">
        <f t="array" ref="I2161">IFERROR(INDEX(PRECIOS_COMPLEMENTOS!$C$4:$F$17,MATCH(B2161&amp;"_"&amp;C2161,PRECIOS_COMPLEMENTOS!$H$4:$H$17,0),IF(OR(G2161="S",G2161="20cm"),1,IF(OR(G2161="M",G2161="25cm"),2,IF(OR(G2161="L",G2161="30cm"),3,IF(OR(G2161="XL",G2161="35cm"),4,0))))),0)</f>
        <v>0.6</v>
      </c>
      <c r="J2161" s="103">
        <f t="shared" si="1"/>
        <v>0</v>
      </c>
      <c r="K2161" s="104" t="str">
        <f>IF(H2161&lt;0,"ERROR",IF(H2161=0,"",IF(H2161&lt;CONFIG!$B$4,"CRÍTICO",IF(H2161&lt;CONFIG!$B$5,"BAJO","OK"))))</f>
        <v/>
      </c>
    </row>
    <row r="2162" ht="15.75" hidden="1" customHeight="1">
      <c r="A2162" s="90" t="str">
        <f>IF(CLIENTES!A5="","",CLIENTES!A5)</f>
        <v>Bravos</v>
      </c>
      <c r="B2162" s="90" t="s">
        <v>331</v>
      </c>
      <c r="C2162" s="91" t="s">
        <v>328</v>
      </c>
      <c r="D2162" s="109" t="s">
        <v>364</v>
      </c>
      <c r="E2162" s="67" t="str">
        <f>COLORES!A23</f>
        <v/>
      </c>
      <c r="F2162" s="67" t="str">
        <f>COLORES!B23</f>
        <v/>
      </c>
      <c r="G2162" s="90" t="s">
        <v>377</v>
      </c>
      <c r="H2162" s="100">
        <f>IFERROR(SUMIFS(MOVIMIENTOS_COMPLEMENTOS!$I$4:$I$803,MOVIMIENTOS_COMPLEMENTOS!$C$4:$C$803,A2162,MOVIMIENTOS_COMPLEMENTOS!$D$4:$D$803,B2162,MOVIMIENTOS_COMPLEMENTOS!$E$4:$E$803,C2162,MOVIMIENTOS_COMPLEMENTOS!$F$4:$F$803,D2162,MOVIMIENTOS_COMPLEMENTOS!$G$4:$G$803,E2162,MOVIMIENTOS_COMPLEMENTOS!$H$4:$H$803,G2162,MOVIMIENTOS_COMPLEMENTOS!$B$4:$B$803,"INGRESO")+SUMIFS(MOVIMIENTOS_COMPLEMENTOS!$I$4:$I$803,MOVIMIENTOS_COMPLEMENTOS!$C$4:$C$803,A2162,MOVIMIENTOS_COMPLEMENTOS!$D$4:$D$803,B2162,MOVIMIENTOS_COMPLEMENTOS!$E$4:$E$803,C2162,MOVIMIENTOS_COMPLEMENTOS!$F$4:$F$803,D2162,MOVIMIENTOS_COMPLEMENTOS!$G$4:$G$803,E2162,MOVIMIENTOS_COMPLEMENTOS!$H$4:$H$803,G2162,MOVIMIENTOS_COMPLEMENTOS!$B$4:$B$803,"DE CORTE")-SUMIFS(MOVIMIENTOS_COMPLEMENTOS!$I$4:$I$803,MOVIMIENTOS_COMPLEMENTOS!$C$4:$C$803,A2162,MOVIMIENTOS_COMPLEMENTOS!$D$4:$D$803,B2162,MOVIMIENTOS_COMPLEMENTOS!$E$4:$E$803,C2162,MOVIMIENTOS_COMPLEMENTOS!$F$4:$F$803,D2162,MOVIMIENTOS_COMPLEMENTOS!$G$4:$G$803,E2162,MOVIMIENTOS_COMPLEMENTOS!$H$4:$H$803,G2162,MOVIMIENTOS_COMPLEMENTOS!$B$4:$B$803,"SALIDA"),0)</f>
        <v>0</v>
      </c>
      <c r="I2162" s="102">
        <f t="array" ref="I2162">IFERROR(INDEX(PRECIOS_COMPLEMENTOS!$C$4:$F$17,MATCH(B2162&amp;"_"&amp;C2162,PRECIOS_COMPLEMENTOS!$H$4:$H$17,0),IF(OR(G2162="S",G2162="20cm"),1,IF(OR(G2162="M",G2162="25cm"),2,IF(OR(G2162="L",G2162="30cm"),3,IF(OR(G2162="XL",G2162="35cm"),4,0))))),0)</f>
        <v>0.6</v>
      </c>
      <c r="J2162" s="103">
        <f t="shared" si="1"/>
        <v>0</v>
      </c>
      <c r="K2162" s="104" t="str">
        <f>IF(H2162&lt;0,"ERROR",IF(H2162=0,"",IF(H2162&lt;CONFIG!$B$4,"CRÍTICO",IF(H2162&lt;CONFIG!$B$5,"BAJO","OK"))))</f>
        <v/>
      </c>
    </row>
    <row r="2163" ht="15.75" hidden="1" customHeight="1">
      <c r="A2163" s="90" t="str">
        <f>IF(CLIENTES!A5="","",CLIENTES!A5)</f>
        <v>Bravos</v>
      </c>
      <c r="B2163" s="90" t="s">
        <v>331</v>
      </c>
      <c r="C2163" s="91" t="s">
        <v>328</v>
      </c>
      <c r="D2163" s="109" t="s">
        <v>364</v>
      </c>
      <c r="E2163" s="67" t="str">
        <f>COLORES!A23</f>
        <v/>
      </c>
      <c r="F2163" s="67" t="str">
        <f>COLORES!B23</f>
        <v/>
      </c>
      <c r="G2163" s="90" t="s">
        <v>379</v>
      </c>
      <c r="H2163" s="100">
        <f>IFERROR(SUMIFS(MOVIMIENTOS_COMPLEMENTOS!$I$4:$I$803,MOVIMIENTOS_COMPLEMENTOS!$C$4:$C$803,A2163,MOVIMIENTOS_COMPLEMENTOS!$D$4:$D$803,B2163,MOVIMIENTOS_COMPLEMENTOS!$E$4:$E$803,C2163,MOVIMIENTOS_COMPLEMENTOS!$F$4:$F$803,D2163,MOVIMIENTOS_COMPLEMENTOS!$G$4:$G$803,E2163,MOVIMIENTOS_COMPLEMENTOS!$H$4:$H$803,G2163,MOVIMIENTOS_COMPLEMENTOS!$B$4:$B$803,"INGRESO")+SUMIFS(MOVIMIENTOS_COMPLEMENTOS!$I$4:$I$803,MOVIMIENTOS_COMPLEMENTOS!$C$4:$C$803,A2163,MOVIMIENTOS_COMPLEMENTOS!$D$4:$D$803,B2163,MOVIMIENTOS_COMPLEMENTOS!$E$4:$E$803,C2163,MOVIMIENTOS_COMPLEMENTOS!$F$4:$F$803,D2163,MOVIMIENTOS_COMPLEMENTOS!$G$4:$G$803,E2163,MOVIMIENTOS_COMPLEMENTOS!$H$4:$H$803,G2163,MOVIMIENTOS_COMPLEMENTOS!$B$4:$B$803,"DE CORTE")-SUMIFS(MOVIMIENTOS_COMPLEMENTOS!$I$4:$I$803,MOVIMIENTOS_COMPLEMENTOS!$C$4:$C$803,A2163,MOVIMIENTOS_COMPLEMENTOS!$D$4:$D$803,B2163,MOVIMIENTOS_COMPLEMENTOS!$E$4:$E$803,C2163,MOVIMIENTOS_COMPLEMENTOS!$F$4:$F$803,D2163,MOVIMIENTOS_COMPLEMENTOS!$G$4:$G$803,E2163,MOVIMIENTOS_COMPLEMENTOS!$H$4:$H$803,G2163,MOVIMIENTOS_COMPLEMENTOS!$B$4:$B$803,"SALIDA"),0)</f>
        <v>0</v>
      </c>
      <c r="I2163" s="102">
        <f t="array" ref="I2163">IFERROR(INDEX(PRECIOS_COMPLEMENTOS!$C$4:$F$17,MATCH(B2163&amp;"_"&amp;C2163,PRECIOS_COMPLEMENTOS!$H$4:$H$17,0),IF(OR(G2163="S",G2163="20cm"),1,IF(OR(G2163="M",G2163="25cm"),2,IF(OR(G2163="L",G2163="30cm"),3,IF(OR(G2163="XL",G2163="35cm"),4,0))))),0)</f>
        <v>0.6</v>
      </c>
      <c r="J2163" s="103">
        <f t="shared" si="1"/>
        <v>0</v>
      </c>
      <c r="K2163" s="104" t="str">
        <f>IF(H2163&lt;0,"ERROR",IF(H2163=0,"",IF(H2163&lt;CONFIG!$B$4,"CRÍTICO",IF(H2163&lt;CONFIG!$B$5,"BAJO","OK"))))</f>
        <v/>
      </c>
    </row>
    <row r="2164" ht="15.75" hidden="1" customHeight="1">
      <c r="A2164" s="90" t="str">
        <f>IF(CLIENTES!A5="","",CLIENTES!A5)</f>
        <v>Bravos</v>
      </c>
      <c r="B2164" s="90" t="s">
        <v>331</v>
      </c>
      <c r="C2164" s="91" t="s">
        <v>328</v>
      </c>
      <c r="D2164" s="109" t="s">
        <v>366</v>
      </c>
      <c r="E2164" s="67" t="str">
        <f>COLORES!A4</f>
        <v>Negro</v>
      </c>
      <c r="F2164" s="67" t="str">
        <f>COLORES!B4</f>
        <v>OSCURO</v>
      </c>
      <c r="G2164" s="90" t="s">
        <v>378</v>
      </c>
      <c r="H2164" s="100">
        <f>IFERROR(SUMIFS(MOVIMIENTOS_COMPLEMENTOS!$I$4:$I$803,MOVIMIENTOS_COMPLEMENTOS!$C$4:$C$803,A2164,MOVIMIENTOS_COMPLEMENTOS!$D$4:$D$803,B2164,MOVIMIENTOS_COMPLEMENTOS!$E$4:$E$803,C2164,MOVIMIENTOS_COMPLEMENTOS!$F$4:$F$803,D2164,MOVIMIENTOS_COMPLEMENTOS!$G$4:$G$803,E2164,MOVIMIENTOS_COMPLEMENTOS!$H$4:$H$803,G2164,MOVIMIENTOS_COMPLEMENTOS!$B$4:$B$803,"INGRESO")+SUMIFS(MOVIMIENTOS_COMPLEMENTOS!$I$4:$I$803,MOVIMIENTOS_COMPLEMENTOS!$C$4:$C$803,A2164,MOVIMIENTOS_COMPLEMENTOS!$D$4:$D$803,B2164,MOVIMIENTOS_COMPLEMENTOS!$E$4:$E$803,C2164,MOVIMIENTOS_COMPLEMENTOS!$F$4:$F$803,D2164,MOVIMIENTOS_COMPLEMENTOS!$G$4:$G$803,E2164,MOVIMIENTOS_COMPLEMENTOS!$H$4:$H$803,G2164,MOVIMIENTOS_COMPLEMENTOS!$B$4:$B$803,"DE CORTE")-SUMIFS(MOVIMIENTOS_COMPLEMENTOS!$I$4:$I$803,MOVIMIENTOS_COMPLEMENTOS!$C$4:$C$803,A2164,MOVIMIENTOS_COMPLEMENTOS!$D$4:$D$803,B2164,MOVIMIENTOS_COMPLEMENTOS!$E$4:$E$803,C2164,MOVIMIENTOS_COMPLEMENTOS!$F$4:$F$803,D2164,MOVIMIENTOS_COMPLEMENTOS!$G$4:$G$803,E2164,MOVIMIENTOS_COMPLEMENTOS!$H$4:$H$803,G2164,MOVIMIENTOS_COMPLEMENTOS!$B$4:$B$803,"SALIDA"),0)</f>
        <v>0</v>
      </c>
      <c r="I2164" s="102">
        <f t="array" ref="I2164">IFERROR(INDEX(PRECIOS_COMPLEMENTOS!$C$4:$F$17,MATCH(B2164&amp;"_"&amp;C2164,PRECIOS_COMPLEMENTOS!$H$4:$H$17,0),IF(OR(G2164="S",G2164="20cm"),1,IF(OR(G2164="M",G2164="25cm"),2,IF(OR(G2164="L",G2164="30cm"),3,IF(OR(G2164="XL",G2164="35cm"),4,0))))),0)</f>
        <v>0.6</v>
      </c>
      <c r="J2164" s="103">
        <f t="shared" si="1"/>
        <v>0</v>
      </c>
      <c r="K2164" s="104" t="str">
        <f>IF(H2164&lt;0,"ERROR",IF(H2164=0,"",IF(H2164&lt;CONFIG!$B$4,"CRÍTICO",IF(H2164&lt;CONFIG!$B$5,"BAJO","OK"))))</f>
        <v/>
      </c>
    </row>
    <row r="2165" ht="15.75" hidden="1" customHeight="1">
      <c r="A2165" s="90" t="str">
        <f>IF(CLIENTES!A5="","",CLIENTES!A5)</f>
        <v>Bravos</v>
      </c>
      <c r="B2165" s="90" t="s">
        <v>331</v>
      </c>
      <c r="C2165" s="91" t="s">
        <v>328</v>
      </c>
      <c r="D2165" s="109" t="s">
        <v>366</v>
      </c>
      <c r="E2165" s="67" t="str">
        <f>COLORES!A4</f>
        <v>Negro</v>
      </c>
      <c r="F2165" s="67" t="str">
        <f>COLORES!B4</f>
        <v>OSCURO</v>
      </c>
      <c r="G2165" s="90" t="s">
        <v>376</v>
      </c>
      <c r="H2165" s="100">
        <f>IFERROR(SUMIFS(MOVIMIENTOS_COMPLEMENTOS!$I$4:$I$803,MOVIMIENTOS_COMPLEMENTOS!$C$4:$C$803,A2165,MOVIMIENTOS_COMPLEMENTOS!$D$4:$D$803,B2165,MOVIMIENTOS_COMPLEMENTOS!$E$4:$E$803,C2165,MOVIMIENTOS_COMPLEMENTOS!$F$4:$F$803,D2165,MOVIMIENTOS_COMPLEMENTOS!$G$4:$G$803,E2165,MOVIMIENTOS_COMPLEMENTOS!$H$4:$H$803,G2165,MOVIMIENTOS_COMPLEMENTOS!$B$4:$B$803,"INGRESO")+SUMIFS(MOVIMIENTOS_COMPLEMENTOS!$I$4:$I$803,MOVIMIENTOS_COMPLEMENTOS!$C$4:$C$803,A2165,MOVIMIENTOS_COMPLEMENTOS!$D$4:$D$803,B2165,MOVIMIENTOS_COMPLEMENTOS!$E$4:$E$803,C2165,MOVIMIENTOS_COMPLEMENTOS!$F$4:$F$803,D2165,MOVIMIENTOS_COMPLEMENTOS!$G$4:$G$803,E2165,MOVIMIENTOS_COMPLEMENTOS!$H$4:$H$803,G2165,MOVIMIENTOS_COMPLEMENTOS!$B$4:$B$803,"DE CORTE")-SUMIFS(MOVIMIENTOS_COMPLEMENTOS!$I$4:$I$803,MOVIMIENTOS_COMPLEMENTOS!$C$4:$C$803,A2165,MOVIMIENTOS_COMPLEMENTOS!$D$4:$D$803,B2165,MOVIMIENTOS_COMPLEMENTOS!$E$4:$E$803,C2165,MOVIMIENTOS_COMPLEMENTOS!$F$4:$F$803,D2165,MOVIMIENTOS_COMPLEMENTOS!$G$4:$G$803,E2165,MOVIMIENTOS_COMPLEMENTOS!$H$4:$H$803,G2165,MOVIMIENTOS_COMPLEMENTOS!$B$4:$B$803,"SALIDA"),0)</f>
        <v>0</v>
      </c>
      <c r="I2165" s="102">
        <f t="array" ref="I2165">IFERROR(INDEX(PRECIOS_COMPLEMENTOS!$C$4:$F$17,MATCH(B2165&amp;"_"&amp;C2165,PRECIOS_COMPLEMENTOS!$H$4:$H$17,0),IF(OR(G2165="S",G2165="20cm"),1,IF(OR(G2165="M",G2165="25cm"),2,IF(OR(G2165="L",G2165="30cm"),3,IF(OR(G2165="XL",G2165="35cm"),4,0))))),0)</f>
        <v>0.6</v>
      </c>
      <c r="J2165" s="103">
        <f t="shared" si="1"/>
        <v>0</v>
      </c>
      <c r="K2165" s="104" t="str">
        <f>IF(H2165&lt;0,"ERROR",IF(H2165=0,"",IF(H2165&lt;CONFIG!$B$4,"CRÍTICO",IF(H2165&lt;CONFIG!$B$5,"BAJO","OK"))))</f>
        <v/>
      </c>
    </row>
    <row r="2166" ht="15.75" hidden="1" customHeight="1">
      <c r="A2166" s="90" t="str">
        <f>IF(CLIENTES!A5="","",CLIENTES!A5)</f>
        <v>Bravos</v>
      </c>
      <c r="B2166" s="90" t="s">
        <v>331</v>
      </c>
      <c r="C2166" s="91" t="s">
        <v>328</v>
      </c>
      <c r="D2166" s="109" t="s">
        <v>366</v>
      </c>
      <c r="E2166" s="67" t="str">
        <f>COLORES!A4</f>
        <v>Negro</v>
      </c>
      <c r="F2166" s="67" t="str">
        <f>COLORES!B4</f>
        <v>OSCURO</v>
      </c>
      <c r="G2166" s="90" t="s">
        <v>377</v>
      </c>
      <c r="H2166" s="100">
        <f>IFERROR(SUMIFS(MOVIMIENTOS_COMPLEMENTOS!$I$4:$I$803,MOVIMIENTOS_COMPLEMENTOS!$C$4:$C$803,A2166,MOVIMIENTOS_COMPLEMENTOS!$D$4:$D$803,B2166,MOVIMIENTOS_COMPLEMENTOS!$E$4:$E$803,C2166,MOVIMIENTOS_COMPLEMENTOS!$F$4:$F$803,D2166,MOVIMIENTOS_COMPLEMENTOS!$G$4:$G$803,E2166,MOVIMIENTOS_COMPLEMENTOS!$H$4:$H$803,G2166,MOVIMIENTOS_COMPLEMENTOS!$B$4:$B$803,"INGRESO")+SUMIFS(MOVIMIENTOS_COMPLEMENTOS!$I$4:$I$803,MOVIMIENTOS_COMPLEMENTOS!$C$4:$C$803,A2166,MOVIMIENTOS_COMPLEMENTOS!$D$4:$D$803,B2166,MOVIMIENTOS_COMPLEMENTOS!$E$4:$E$803,C2166,MOVIMIENTOS_COMPLEMENTOS!$F$4:$F$803,D2166,MOVIMIENTOS_COMPLEMENTOS!$G$4:$G$803,E2166,MOVIMIENTOS_COMPLEMENTOS!$H$4:$H$803,G2166,MOVIMIENTOS_COMPLEMENTOS!$B$4:$B$803,"DE CORTE")-SUMIFS(MOVIMIENTOS_COMPLEMENTOS!$I$4:$I$803,MOVIMIENTOS_COMPLEMENTOS!$C$4:$C$803,A2166,MOVIMIENTOS_COMPLEMENTOS!$D$4:$D$803,B2166,MOVIMIENTOS_COMPLEMENTOS!$E$4:$E$803,C2166,MOVIMIENTOS_COMPLEMENTOS!$F$4:$F$803,D2166,MOVIMIENTOS_COMPLEMENTOS!$G$4:$G$803,E2166,MOVIMIENTOS_COMPLEMENTOS!$H$4:$H$803,G2166,MOVIMIENTOS_COMPLEMENTOS!$B$4:$B$803,"SALIDA"),0)</f>
        <v>0</v>
      </c>
      <c r="I2166" s="102">
        <f t="array" ref="I2166">IFERROR(INDEX(PRECIOS_COMPLEMENTOS!$C$4:$F$17,MATCH(B2166&amp;"_"&amp;C2166,PRECIOS_COMPLEMENTOS!$H$4:$H$17,0),IF(OR(G2166="S",G2166="20cm"),1,IF(OR(G2166="M",G2166="25cm"),2,IF(OR(G2166="L",G2166="30cm"),3,IF(OR(G2166="XL",G2166="35cm"),4,0))))),0)</f>
        <v>0.6</v>
      </c>
      <c r="J2166" s="103">
        <f t="shared" si="1"/>
        <v>0</v>
      </c>
      <c r="K2166" s="104" t="str">
        <f>IF(H2166&lt;0,"ERROR",IF(H2166=0,"",IF(H2166&lt;CONFIG!$B$4,"CRÍTICO",IF(H2166&lt;CONFIG!$B$5,"BAJO","OK"))))</f>
        <v/>
      </c>
    </row>
    <row r="2167" ht="15.75" hidden="1" customHeight="1">
      <c r="A2167" s="90" t="str">
        <f>IF(CLIENTES!A5="","",CLIENTES!A5)</f>
        <v>Bravos</v>
      </c>
      <c r="B2167" s="90" t="s">
        <v>331</v>
      </c>
      <c r="C2167" s="91" t="s">
        <v>328</v>
      </c>
      <c r="D2167" s="109" t="s">
        <v>366</v>
      </c>
      <c r="E2167" s="67" t="str">
        <f>COLORES!A4</f>
        <v>Negro</v>
      </c>
      <c r="F2167" s="67" t="str">
        <f>COLORES!B4</f>
        <v>OSCURO</v>
      </c>
      <c r="G2167" s="90" t="s">
        <v>379</v>
      </c>
      <c r="H2167" s="100">
        <f>IFERROR(SUMIFS(MOVIMIENTOS_COMPLEMENTOS!$I$4:$I$803,MOVIMIENTOS_COMPLEMENTOS!$C$4:$C$803,A2167,MOVIMIENTOS_COMPLEMENTOS!$D$4:$D$803,B2167,MOVIMIENTOS_COMPLEMENTOS!$E$4:$E$803,C2167,MOVIMIENTOS_COMPLEMENTOS!$F$4:$F$803,D2167,MOVIMIENTOS_COMPLEMENTOS!$G$4:$G$803,E2167,MOVIMIENTOS_COMPLEMENTOS!$H$4:$H$803,G2167,MOVIMIENTOS_COMPLEMENTOS!$B$4:$B$803,"INGRESO")+SUMIFS(MOVIMIENTOS_COMPLEMENTOS!$I$4:$I$803,MOVIMIENTOS_COMPLEMENTOS!$C$4:$C$803,A2167,MOVIMIENTOS_COMPLEMENTOS!$D$4:$D$803,B2167,MOVIMIENTOS_COMPLEMENTOS!$E$4:$E$803,C2167,MOVIMIENTOS_COMPLEMENTOS!$F$4:$F$803,D2167,MOVIMIENTOS_COMPLEMENTOS!$G$4:$G$803,E2167,MOVIMIENTOS_COMPLEMENTOS!$H$4:$H$803,G2167,MOVIMIENTOS_COMPLEMENTOS!$B$4:$B$803,"DE CORTE")-SUMIFS(MOVIMIENTOS_COMPLEMENTOS!$I$4:$I$803,MOVIMIENTOS_COMPLEMENTOS!$C$4:$C$803,A2167,MOVIMIENTOS_COMPLEMENTOS!$D$4:$D$803,B2167,MOVIMIENTOS_COMPLEMENTOS!$E$4:$E$803,C2167,MOVIMIENTOS_COMPLEMENTOS!$F$4:$F$803,D2167,MOVIMIENTOS_COMPLEMENTOS!$G$4:$G$803,E2167,MOVIMIENTOS_COMPLEMENTOS!$H$4:$H$803,G2167,MOVIMIENTOS_COMPLEMENTOS!$B$4:$B$803,"SALIDA"),0)</f>
        <v>0</v>
      </c>
      <c r="I2167" s="102">
        <f t="array" ref="I2167">IFERROR(INDEX(PRECIOS_COMPLEMENTOS!$C$4:$F$17,MATCH(B2167&amp;"_"&amp;C2167,PRECIOS_COMPLEMENTOS!$H$4:$H$17,0),IF(OR(G2167="S",G2167="20cm"),1,IF(OR(G2167="M",G2167="25cm"),2,IF(OR(G2167="L",G2167="30cm"),3,IF(OR(G2167="XL",G2167="35cm"),4,0))))),0)</f>
        <v>0.6</v>
      </c>
      <c r="J2167" s="103">
        <f t="shared" si="1"/>
        <v>0</v>
      </c>
      <c r="K2167" s="104" t="str">
        <f>IF(H2167&lt;0,"ERROR",IF(H2167=0,"",IF(H2167&lt;CONFIG!$B$4,"CRÍTICO",IF(H2167&lt;CONFIG!$B$5,"BAJO","OK"))))</f>
        <v/>
      </c>
    </row>
    <row r="2168" ht="15.75" hidden="1" customHeight="1">
      <c r="A2168" s="90" t="str">
        <f>IF(CLIENTES!A5="","",CLIENTES!A5)</f>
        <v>Bravos</v>
      </c>
      <c r="B2168" s="90" t="s">
        <v>331</v>
      </c>
      <c r="C2168" s="91" t="s">
        <v>328</v>
      </c>
      <c r="D2168" s="109" t="s">
        <v>366</v>
      </c>
      <c r="E2168" s="67" t="str">
        <f>COLORES!A5</f>
        <v>Perla</v>
      </c>
      <c r="F2168" s="67" t="str">
        <f>COLORES!B5</f>
        <v>PPT</v>
      </c>
      <c r="G2168" s="90" t="s">
        <v>378</v>
      </c>
      <c r="H2168" s="100">
        <f>IFERROR(SUMIFS(MOVIMIENTOS_COMPLEMENTOS!$I$4:$I$803,MOVIMIENTOS_COMPLEMENTOS!$C$4:$C$803,A2168,MOVIMIENTOS_COMPLEMENTOS!$D$4:$D$803,B2168,MOVIMIENTOS_COMPLEMENTOS!$E$4:$E$803,C2168,MOVIMIENTOS_COMPLEMENTOS!$F$4:$F$803,D2168,MOVIMIENTOS_COMPLEMENTOS!$G$4:$G$803,E2168,MOVIMIENTOS_COMPLEMENTOS!$H$4:$H$803,G2168,MOVIMIENTOS_COMPLEMENTOS!$B$4:$B$803,"INGRESO")+SUMIFS(MOVIMIENTOS_COMPLEMENTOS!$I$4:$I$803,MOVIMIENTOS_COMPLEMENTOS!$C$4:$C$803,A2168,MOVIMIENTOS_COMPLEMENTOS!$D$4:$D$803,B2168,MOVIMIENTOS_COMPLEMENTOS!$E$4:$E$803,C2168,MOVIMIENTOS_COMPLEMENTOS!$F$4:$F$803,D2168,MOVIMIENTOS_COMPLEMENTOS!$G$4:$G$803,E2168,MOVIMIENTOS_COMPLEMENTOS!$H$4:$H$803,G2168,MOVIMIENTOS_COMPLEMENTOS!$B$4:$B$803,"DE CORTE")-SUMIFS(MOVIMIENTOS_COMPLEMENTOS!$I$4:$I$803,MOVIMIENTOS_COMPLEMENTOS!$C$4:$C$803,A2168,MOVIMIENTOS_COMPLEMENTOS!$D$4:$D$803,B2168,MOVIMIENTOS_COMPLEMENTOS!$E$4:$E$803,C2168,MOVIMIENTOS_COMPLEMENTOS!$F$4:$F$803,D2168,MOVIMIENTOS_COMPLEMENTOS!$G$4:$G$803,E2168,MOVIMIENTOS_COMPLEMENTOS!$H$4:$H$803,G2168,MOVIMIENTOS_COMPLEMENTOS!$B$4:$B$803,"SALIDA"),0)</f>
        <v>0</v>
      </c>
      <c r="I2168" s="102">
        <f t="array" ref="I2168">IFERROR(INDEX(PRECIOS_COMPLEMENTOS!$C$4:$F$17,MATCH(B2168&amp;"_"&amp;C2168,PRECIOS_COMPLEMENTOS!$H$4:$H$17,0),IF(OR(G2168="S",G2168="20cm"),1,IF(OR(G2168="M",G2168="25cm"),2,IF(OR(G2168="L",G2168="30cm"),3,IF(OR(G2168="XL",G2168="35cm"),4,0))))),0)</f>
        <v>0.6</v>
      </c>
      <c r="J2168" s="103">
        <f t="shared" si="1"/>
        <v>0</v>
      </c>
      <c r="K2168" s="104" t="str">
        <f>IF(H2168&lt;0,"ERROR",IF(H2168=0,"",IF(H2168&lt;CONFIG!$B$4,"CRÍTICO",IF(H2168&lt;CONFIG!$B$5,"BAJO","OK"))))</f>
        <v/>
      </c>
    </row>
    <row r="2169" ht="15.75" hidden="1" customHeight="1">
      <c r="A2169" s="90" t="str">
        <f>IF(CLIENTES!A5="","",CLIENTES!A5)</f>
        <v>Bravos</v>
      </c>
      <c r="B2169" s="90" t="s">
        <v>331</v>
      </c>
      <c r="C2169" s="91" t="s">
        <v>328</v>
      </c>
      <c r="D2169" s="109" t="s">
        <v>366</v>
      </c>
      <c r="E2169" s="67" t="str">
        <f>COLORES!A5</f>
        <v>Perla</v>
      </c>
      <c r="F2169" s="67" t="str">
        <f>COLORES!B5</f>
        <v>PPT</v>
      </c>
      <c r="G2169" s="90" t="s">
        <v>376</v>
      </c>
      <c r="H2169" s="100">
        <f>IFERROR(SUMIFS(MOVIMIENTOS_COMPLEMENTOS!$I$4:$I$803,MOVIMIENTOS_COMPLEMENTOS!$C$4:$C$803,A2169,MOVIMIENTOS_COMPLEMENTOS!$D$4:$D$803,B2169,MOVIMIENTOS_COMPLEMENTOS!$E$4:$E$803,C2169,MOVIMIENTOS_COMPLEMENTOS!$F$4:$F$803,D2169,MOVIMIENTOS_COMPLEMENTOS!$G$4:$G$803,E2169,MOVIMIENTOS_COMPLEMENTOS!$H$4:$H$803,G2169,MOVIMIENTOS_COMPLEMENTOS!$B$4:$B$803,"INGRESO")+SUMIFS(MOVIMIENTOS_COMPLEMENTOS!$I$4:$I$803,MOVIMIENTOS_COMPLEMENTOS!$C$4:$C$803,A2169,MOVIMIENTOS_COMPLEMENTOS!$D$4:$D$803,B2169,MOVIMIENTOS_COMPLEMENTOS!$E$4:$E$803,C2169,MOVIMIENTOS_COMPLEMENTOS!$F$4:$F$803,D2169,MOVIMIENTOS_COMPLEMENTOS!$G$4:$G$803,E2169,MOVIMIENTOS_COMPLEMENTOS!$H$4:$H$803,G2169,MOVIMIENTOS_COMPLEMENTOS!$B$4:$B$803,"DE CORTE")-SUMIFS(MOVIMIENTOS_COMPLEMENTOS!$I$4:$I$803,MOVIMIENTOS_COMPLEMENTOS!$C$4:$C$803,A2169,MOVIMIENTOS_COMPLEMENTOS!$D$4:$D$803,B2169,MOVIMIENTOS_COMPLEMENTOS!$E$4:$E$803,C2169,MOVIMIENTOS_COMPLEMENTOS!$F$4:$F$803,D2169,MOVIMIENTOS_COMPLEMENTOS!$G$4:$G$803,E2169,MOVIMIENTOS_COMPLEMENTOS!$H$4:$H$803,G2169,MOVIMIENTOS_COMPLEMENTOS!$B$4:$B$803,"SALIDA"),0)</f>
        <v>0</v>
      </c>
      <c r="I2169" s="102">
        <f t="array" ref="I2169">IFERROR(INDEX(PRECIOS_COMPLEMENTOS!$C$4:$F$17,MATCH(B2169&amp;"_"&amp;C2169,PRECIOS_COMPLEMENTOS!$H$4:$H$17,0),IF(OR(G2169="S",G2169="20cm"),1,IF(OR(G2169="M",G2169="25cm"),2,IF(OR(G2169="L",G2169="30cm"),3,IF(OR(G2169="XL",G2169="35cm"),4,0))))),0)</f>
        <v>0.6</v>
      </c>
      <c r="J2169" s="103">
        <f t="shared" si="1"/>
        <v>0</v>
      </c>
      <c r="K2169" s="104" t="str">
        <f>IF(H2169&lt;0,"ERROR",IF(H2169=0,"",IF(H2169&lt;CONFIG!$B$4,"CRÍTICO",IF(H2169&lt;CONFIG!$B$5,"BAJO","OK"))))</f>
        <v/>
      </c>
    </row>
    <row r="2170" ht="15.75" hidden="1" customHeight="1">
      <c r="A2170" s="90" t="str">
        <f>IF(CLIENTES!A5="","",CLIENTES!A5)</f>
        <v>Bravos</v>
      </c>
      <c r="B2170" s="90" t="s">
        <v>331</v>
      </c>
      <c r="C2170" s="91" t="s">
        <v>328</v>
      </c>
      <c r="D2170" s="109" t="s">
        <v>366</v>
      </c>
      <c r="E2170" s="67" t="str">
        <f>COLORES!A5</f>
        <v>Perla</v>
      </c>
      <c r="F2170" s="67" t="str">
        <f>COLORES!B5</f>
        <v>PPT</v>
      </c>
      <c r="G2170" s="90" t="s">
        <v>377</v>
      </c>
      <c r="H2170" s="100">
        <f>IFERROR(SUMIFS(MOVIMIENTOS_COMPLEMENTOS!$I$4:$I$803,MOVIMIENTOS_COMPLEMENTOS!$C$4:$C$803,A2170,MOVIMIENTOS_COMPLEMENTOS!$D$4:$D$803,B2170,MOVIMIENTOS_COMPLEMENTOS!$E$4:$E$803,C2170,MOVIMIENTOS_COMPLEMENTOS!$F$4:$F$803,D2170,MOVIMIENTOS_COMPLEMENTOS!$G$4:$G$803,E2170,MOVIMIENTOS_COMPLEMENTOS!$H$4:$H$803,G2170,MOVIMIENTOS_COMPLEMENTOS!$B$4:$B$803,"INGRESO")+SUMIFS(MOVIMIENTOS_COMPLEMENTOS!$I$4:$I$803,MOVIMIENTOS_COMPLEMENTOS!$C$4:$C$803,A2170,MOVIMIENTOS_COMPLEMENTOS!$D$4:$D$803,B2170,MOVIMIENTOS_COMPLEMENTOS!$E$4:$E$803,C2170,MOVIMIENTOS_COMPLEMENTOS!$F$4:$F$803,D2170,MOVIMIENTOS_COMPLEMENTOS!$G$4:$G$803,E2170,MOVIMIENTOS_COMPLEMENTOS!$H$4:$H$803,G2170,MOVIMIENTOS_COMPLEMENTOS!$B$4:$B$803,"DE CORTE")-SUMIFS(MOVIMIENTOS_COMPLEMENTOS!$I$4:$I$803,MOVIMIENTOS_COMPLEMENTOS!$C$4:$C$803,A2170,MOVIMIENTOS_COMPLEMENTOS!$D$4:$D$803,B2170,MOVIMIENTOS_COMPLEMENTOS!$E$4:$E$803,C2170,MOVIMIENTOS_COMPLEMENTOS!$F$4:$F$803,D2170,MOVIMIENTOS_COMPLEMENTOS!$G$4:$G$803,E2170,MOVIMIENTOS_COMPLEMENTOS!$H$4:$H$803,G2170,MOVIMIENTOS_COMPLEMENTOS!$B$4:$B$803,"SALIDA"),0)</f>
        <v>0</v>
      </c>
      <c r="I2170" s="102">
        <f t="array" ref="I2170">IFERROR(INDEX(PRECIOS_COMPLEMENTOS!$C$4:$F$17,MATCH(B2170&amp;"_"&amp;C2170,PRECIOS_COMPLEMENTOS!$H$4:$H$17,0),IF(OR(G2170="S",G2170="20cm"),1,IF(OR(G2170="M",G2170="25cm"),2,IF(OR(G2170="L",G2170="30cm"),3,IF(OR(G2170="XL",G2170="35cm"),4,0))))),0)</f>
        <v>0.6</v>
      </c>
      <c r="J2170" s="103">
        <f t="shared" si="1"/>
        <v>0</v>
      </c>
      <c r="K2170" s="104" t="str">
        <f>IF(H2170&lt;0,"ERROR",IF(H2170=0,"",IF(H2170&lt;CONFIG!$B$4,"CRÍTICO",IF(H2170&lt;CONFIG!$B$5,"BAJO","OK"))))</f>
        <v/>
      </c>
    </row>
    <row r="2171" ht="15.75" hidden="1" customHeight="1">
      <c r="A2171" s="90" t="str">
        <f>IF(CLIENTES!A5="","",CLIENTES!A5)</f>
        <v>Bravos</v>
      </c>
      <c r="B2171" s="90" t="s">
        <v>331</v>
      </c>
      <c r="C2171" s="91" t="s">
        <v>328</v>
      </c>
      <c r="D2171" s="109" t="s">
        <v>366</v>
      </c>
      <c r="E2171" s="67" t="str">
        <f>COLORES!A5</f>
        <v>Perla</v>
      </c>
      <c r="F2171" s="67" t="str">
        <f>COLORES!B5</f>
        <v>PPT</v>
      </c>
      <c r="G2171" s="90" t="s">
        <v>379</v>
      </c>
      <c r="H2171" s="100">
        <f>IFERROR(SUMIFS(MOVIMIENTOS_COMPLEMENTOS!$I$4:$I$803,MOVIMIENTOS_COMPLEMENTOS!$C$4:$C$803,A2171,MOVIMIENTOS_COMPLEMENTOS!$D$4:$D$803,B2171,MOVIMIENTOS_COMPLEMENTOS!$E$4:$E$803,C2171,MOVIMIENTOS_COMPLEMENTOS!$F$4:$F$803,D2171,MOVIMIENTOS_COMPLEMENTOS!$G$4:$G$803,E2171,MOVIMIENTOS_COMPLEMENTOS!$H$4:$H$803,G2171,MOVIMIENTOS_COMPLEMENTOS!$B$4:$B$803,"INGRESO")+SUMIFS(MOVIMIENTOS_COMPLEMENTOS!$I$4:$I$803,MOVIMIENTOS_COMPLEMENTOS!$C$4:$C$803,A2171,MOVIMIENTOS_COMPLEMENTOS!$D$4:$D$803,B2171,MOVIMIENTOS_COMPLEMENTOS!$E$4:$E$803,C2171,MOVIMIENTOS_COMPLEMENTOS!$F$4:$F$803,D2171,MOVIMIENTOS_COMPLEMENTOS!$G$4:$G$803,E2171,MOVIMIENTOS_COMPLEMENTOS!$H$4:$H$803,G2171,MOVIMIENTOS_COMPLEMENTOS!$B$4:$B$803,"DE CORTE")-SUMIFS(MOVIMIENTOS_COMPLEMENTOS!$I$4:$I$803,MOVIMIENTOS_COMPLEMENTOS!$C$4:$C$803,A2171,MOVIMIENTOS_COMPLEMENTOS!$D$4:$D$803,B2171,MOVIMIENTOS_COMPLEMENTOS!$E$4:$E$803,C2171,MOVIMIENTOS_COMPLEMENTOS!$F$4:$F$803,D2171,MOVIMIENTOS_COMPLEMENTOS!$G$4:$G$803,E2171,MOVIMIENTOS_COMPLEMENTOS!$H$4:$H$803,G2171,MOVIMIENTOS_COMPLEMENTOS!$B$4:$B$803,"SALIDA"),0)</f>
        <v>0</v>
      </c>
      <c r="I2171" s="102">
        <f t="array" ref="I2171">IFERROR(INDEX(PRECIOS_COMPLEMENTOS!$C$4:$F$17,MATCH(B2171&amp;"_"&amp;C2171,PRECIOS_COMPLEMENTOS!$H$4:$H$17,0),IF(OR(G2171="S",G2171="20cm"),1,IF(OR(G2171="M",G2171="25cm"),2,IF(OR(G2171="L",G2171="30cm"),3,IF(OR(G2171="XL",G2171="35cm"),4,0))))),0)</f>
        <v>0.6</v>
      </c>
      <c r="J2171" s="103">
        <f t="shared" si="1"/>
        <v>0</v>
      </c>
      <c r="K2171" s="104" t="str">
        <f>IF(H2171&lt;0,"ERROR",IF(H2171=0,"",IF(H2171&lt;CONFIG!$B$4,"CRÍTICO",IF(H2171&lt;CONFIG!$B$5,"BAJO","OK"))))</f>
        <v/>
      </c>
    </row>
    <row r="2172" ht="15.75" hidden="1" customHeight="1">
      <c r="A2172" s="90" t="str">
        <f>IF(CLIENTES!A5="","",CLIENTES!A5)</f>
        <v>Bravos</v>
      </c>
      <c r="B2172" s="90" t="s">
        <v>331</v>
      </c>
      <c r="C2172" s="91" t="s">
        <v>328</v>
      </c>
      <c r="D2172" s="109" t="s">
        <v>366</v>
      </c>
      <c r="E2172" s="67" t="str">
        <f>COLORES!A6</f>
        <v>Blanco</v>
      </c>
      <c r="F2172" s="67" t="str">
        <f>COLORES!B6</f>
        <v>PPT</v>
      </c>
      <c r="G2172" s="90" t="s">
        <v>378</v>
      </c>
      <c r="H2172" s="100">
        <f>IFERROR(SUMIFS(MOVIMIENTOS_COMPLEMENTOS!$I$4:$I$803,MOVIMIENTOS_COMPLEMENTOS!$C$4:$C$803,A2172,MOVIMIENTOS_COMPLEMENTOS!$D$4:$D$803,B2172,MOVIMIENTOS_COMPLEMENTOS!$E$4:$E$803,C2172,MOVIMIENTOS_COMPLEMENTOS!$F$4:$F$803,D2172,MOVIMIENTOS_COMPLEMENTOS!$G$4:$G$803,E2172,MOVIMIENTOS_COMPLEMENTOS!$H$4:$H$803,G2172,MOVIMIENTOS_COMPLEMENTOS!$B$4:$B$803,"INGRESO")+SUMIFS(MOVIMIENTOS_COMPLEMENTOS!$I$4:$I$803,MOVIMIENTOS_COMPLEMENTOS!$C$4:$C$803,A2172,MOVIMIENTOS_COMPLEMENTOS!$D$4:$D$803,B2172,MOVIMIENTOS_COMPLEMENTOS!$E$4:$E$803,C2172,MOVIMIENTOS_COMPLEMENTOS!$F$4:$F$803,D2172,MOVIMIENTOS_COMPLEMENTOS!$G$4:$G$803,E2172,MOVIMIENTOS_COMPLEMENTOS!$H$4:$H$803,G2172,MOVIMIENTOS_COMPLEMENTOS!$B$4:$B$803,"DE CORTE")-SUMIFS(MOVIMIENTOS_COMPLEMENTOS!$I$4:$I$803,MOVIMIENTOS_COMPLEMENTOS!$C$4:$C$803,A2172,MOVIMIENTOS_COMPLEMENTOS!$D$4:$D$803,B2172,MOVIMIENTOS_COMPLEMENTOS!$E$4:$E$803,C2172,MOVIMIENTOS_COMPLEMENTOS!$F$4:$F$803,D2172,MOVIMIENTOS_COMPLEMENTOS!$G$4:$G$803,E2172,MOVIMIENTOS_COMPLEMENTOS!$H$4:$H$803,G2172,MOVIMIENTOS_COMPLEMENTOS!$B$4:$B$803,"SALIDA"),0)</f>
        <v>0</v>
      </c>
      <c r="I2172" s="102">
        <f t="array" ref="I2172">IFERROR(INDEX(PRECIOS_COMPLEMENTOS!$C$4:$F$17,MATCH(B2172&amp;"_"&amp;C2172,PRECIOS_COMPLEMENTOS!$H$4:$H$17,0),IF(OR(G2172="S",G2172="20cm"),1,IF(OR(G2172="M",G2172="25cm"),2,IF(OR(G2172="L",G2172="30cm"),3,IF(OR(G2172="XL",G2172="35cm"),4,0))))),0)</f>
        <v>0.6</v>
      </c>
      <c r="J2172" s="103">
        <f t="shared" si="1"/>
        <v>0</v>
      </c>
      <c r="K2172" s="104" t="str">
        <f>IF(H2172&lt;0,"ERROR",IF(H2172=0,"",IF(H2172&lt;CONFIG!$B$4,"CRÍTICO",IF(H2172&lt;CONFIG!$B$5,"BAJO","OK"))))</f>
        <v/>
      </c>
    </row>
    <row r="2173" ht="15.75" hidden="1" customHeight="1">
      <c r="A2173" s="90" t="str">
        <f>IF(CLIENTES!A5="","",CLIENTES!A5)</f>
        <v>Bravos</v>
      </c>
      <c r="B2173" s="90" t="s">
        <v>331</v>
      </c>
      <c r="C2173" s="91" t="s">
        <v>328</v>
      </c>
      <c r="D2173" s="109" t="s">
        <v>366</v>
      </c>
      <c r="E2173" s="67" t="str">
        <f>COLORES!A6</f>
        <v>Blanco</v>
      </c>
      <c r="F2173" s="67" t="str">
        <f>COLORES!B6</f>
        <v>PPT</v>
      </c>
      <c r="G2173" s="90" t="s">
        <v>376</v>
      </c>
      <c r="H2173" s="100">
        <f>IFERROR(SUMIFS(MOVIMIENTOS_COMPLEMENTOS!$I$4:$I$803,MOVIMIENTOS_COMPLEMENTOS!$C$4:$C$803,A2173,MOVIMIENTOS_COMPLEMENTOS!$D$4:$D$803,B2173,MOVIMIENTOS_COMPLEMENTOS!$E$4:$E$803,C2173,MOVIMIENTOS_COMPLEMENTOS!$F$4:$F$803,D2173,MOVIMIENTOS_COMPLEMENTOS!$G$4:$G$803,E2173,MOVIMIENTOS_COMPLEMENTOS!$H$4:$H$803,G2173,MOVIMIENTOS_COMPLEMENTOS!$B$4:$B$803,"INGRESO")+SUMIFS(MOVIMIENTOS_COMPLEMENTOS!$I$4:$I$803,MOVIMIENTOS_COMPLEMENTOS!$C$4:$C$803,A2173,MOVIMIENTOS_COMPLEMENTOS!$D$4:$D$803,B2173,MOVIMIENTOS_COMPLEMENTOS!$E$4:$E$803,C2173,MOVIMIENTOS_COMPLEMENTOS!$F$4:$F$803,D2173,MOVIMIENTOS_COMPLEMENTOS!$G$4:$G$803,E2173,MOVIMIENTOS_COMPLEMENTOS!$H$4:$H$803,G2173,MOVIMIENTOS_COMPLEMENTOS!$B$4:$B$803,"DE CORTE")-SUMIFS(MOVIMIENTOS_COMPLEMENTOS!$I$4:$I$803,MOVIMIENTOS_COMPLEMENTOS!$C$4:$C$803,A2173,MOVIMIENTOS_COMPLEMENTOS!$D$4:$D$803,B2173,MOVIMIENTOS_COMPLEMENTOS!$E$4:$E$803,C2173,MOVIMIENTOS_COMPLEMENTOS!$F$4:$F$803,D2173,MOVIMIENTOS_COMPLEMENTOS!$G$4:$G$803,E2173,MOVIMIENTOS_COMPLEMENTOS!$H$4:$H$803,G2173,MOVIMIENTOS_COMPLEMENTOS!$B$4:$B$803,"SALIDA"),0)</f>
        <v>0</v>
      </c>
      <c r="I2173" s="102">
        <f t="array" ref="I2173">IFERROR(INDEX(PRECIOS_COMPLEMENTOS!$C$4:$F$17,MATCH(B2173&amp;"_"&amp;C2173,PRECIOS_COMPLEMENTOS!$H$4:$H$17,0),IF(OR(G2173="S",G2173="20cm"),1,IF(OR(G2173="M",G2173="25cm"),2,IF(OR(G2173="L",G2173="30cm"),3,IF(OR(G2173="XL",G2173="35cm"),4,0))))),0)</f>
        <v>0.6</v>
      </c>
      <c r="J2173" s="103">
        <f t="shared" si="1"/>
        <v>0</v>
      </c>
      <c r="K2173" s="104" t="str">
        <f>IF(H2173&lt;0,"ERROR",IF(H2173=0,"",IF(H2173&lt;CONFIG!$B$4,"CRÍTICO",IF(H2173&lt;CONFIG!$B$5,"BAJO","OK"))))</f>
        <v/>
      </c>
    </row>
    <row r="2174" ht="15.75" hidden="1" customHeight="1">
      <c r="A2174" s="90" t="str">
        <f>IF(CLIENTES!A5="","",CLIENTES!A5)</f>
        <v>Bravos</v>
      </c>
      <c r="B2174" s="90" t="s">
        <v>331</v>
      </c>
      <c r="C2174" s="91" t="s">
        <v>328</v>
      </c>
      <c r="D2174" s="109" t="s">
        <v>366</v>
      </c>
      <c r="E2174" s="67" t="str">
        <f>COLORES!A6</f>
        <v>Blanco</v>
      </c>
      <c r="F2174" s="67" t="str">
        <f>COLORES!B6</f>
        <v>PPT</v>
      </c>
      <c r="G2174" s="90" t="s">
        <v>377</v>
      </c>
      <c r="H2174" s="100">
        <f>IFERROR(SUMIFS(MOVIMIENTOS_COMPLEMENTOS!$I$4:$I$803,MOVIMIENTOS_COMPLEMENTOS!$C$4:$C$803,A2174,MOVIMIENTOS_COMPLEMENTOS!$D$4:$D$803,B2174,MOVIMIENTOS_COMPLEMENTOS!$E$4:$E$803,C2174,MOVIMIENTOS_COMPLEMENTOS!$F$4:$F$803,D2174,MOVIMIENTOS_COMPLEMENTOS!$G$4:$G$803,E2174,MOVIMIENTOS_COMPLEMENTOS!$H$4:$H$803,G2174,MOVIMIENTOS_COMPLEMENTOS!$B$4:$B$803,"INGRESO")+SUMIFS(MOVIMIENTOS_COMPLEMENTOS!$I$4:$I$803,MOVIMIENTOS_COMPLEMENTOS!$C$4:$C$803,A2174,MOVIMIENTOS_COMPLEMENTOS!$D$4:$D$803,B2174,MOVIMIENTOS_COMPLEMENTOS!$E$4:$E$803,C2174,MOVIMIENTOS_COMPLEMENTOS!$F$4:$F$803,D2174,MOVIMIENTOS_COMPLEMENTOS!$G$4:$G$803,E2174,MOVIMIENTOS_COMPLEMENTOS!$H$4:$H$803,G2174,MOVIMIENTOS_COMPLEMENTOS!$B$4:$B$803,"DE CORTE")-SUMIFS(MOVIMIENTOS_COMPLEMENTOS!$I$4:$I$803,MOVIMIENTOS_COMPLEMENTOS!$C$4:$C$803,A2174,MOVIMIENTOS_COMPLEMENTOS!$D$4:$D$803,B2174,MOVIMIENTOS_COMPLEMENTOS!$E$4:$E$803,C2174,MOVIMIENTOS_COMPLEMENTOS!$F$4:$F$803,D2174,MOVIMIENTOS_COMPLEMENTOS!$G$4:$G$803,E2174,MOVIMIENTOS_COMPLEMENTOS!$H$4:$H$803,G2174,MOVIMIENTOS_COMPLEMENTOS!$B$4:$B$803,"SALIDA"),0)</f>
        <v>0</v>
      </c>
      <c r="I2174" s="102">
        <f t="array" ref="I2174">IFERROR(INDEX(PRECIOS_COMPLEMENTOS!$C$4:$F$17,MATCH(B2174&amp;"_"&amp;C2174,PRECIOS_COMPLEMENTOS!$H$4:$H$17,0),IF(OR(G2174="S",G2174="20cm"),1,IF(OR(G2174="M",G2174="25cm"),2,IF(OR(G2174="L",G2174="30cm"),3,IF(OR(G2174="XL",G2174="35cm"),4,0))))),0)</f>
        <v>0.6</v>
      </c>
      <c r="J2174" s="103">
        <f t="shared" si="1"/>
        <v>0</v>
      </c>
      <c r="K2174" s="104" t="str">
        <f>IF(H2174&lt;0,"ERROR",IF(H2174=0,"",IF(H2174&lt;CONFIG!$B$4,"CRÍTICO",IF(H2174&lt;CONFIG!$B$5,"BAJO","OK"))))</f>
        <v/>
      </c>
    </row>
    <row r="2175" ht="15.75" hidden="1" customHeight="1">
      <c r="A2175" s="90" t="str">
        <f>IF(CLIENTES!A5="","",CLIENTES!A5)</f>
        <v>Bravos</v>
      </c>
      <c r="B2175" s="90" t="s">
        <v>331</v>
      </c>
      <c r="C2175" s="91" t="s">
        <v>328</v>
      </c>
      <c r="D2175" s="109" t="s">
        <v>366</v>
      </c>
      <c r="E2175" s="67" t="str">
        <f>COLORES!A6</f>
        <v>Blanco</v>
      </c>
      <c r="F2175" s="67" t="str">
        <f>COLORES!B6</f>
        <v>PPT</v>
      </c>
      <c r="G2175" s="90" t="s">
        <v>379</v>
      </c>
      <c r="H2175" s="100">
        <f>IFERROR(SUMIFS(MOVIMIENTOS_COMPLEMENTOS!$I$4:$I$803,MOVIMIENTOS_COMPLEMENTOS!$C$4:$C$803,A2175,MOVIMIENTOS_COMPLEMENTOS!$D$4:$D$803,B2175,MOVIMIENTOS_COMPLEMENTOS!$E$4:$E$803,C2175,MOVIMIENTOS_COMPLEMENTOS!$F$4:$F$803,D2175,MOVIMIENTOS_COMPLEMENTOS!$G$4:$G$803,E2175,MOVIMIENTOS_COMPLEMENTOS!$H$4:$H$803,G2175,MOVIMIENTOS_COMPLEMENTOS!$B$4:$B$803,"INGRESO")+SUMIFS(MOVIMIENTOS_COMPLEMENTOS!$I$4:$I$803,MOVIMIENTOS_COMPLEMENTOS!$C$4:$C$803,A2175,MOVIMIENTOS_COMPLEMENTOS!$D$4:$D$803,B2175,MOVIMIENTOS_COMPLEMENTOS!$E$4:$E$803,C2175,MOVIMIENTOS_COMPLEMENTOS!$F$4:$F$803,D2175,MOVIMIENTOS_COMPLEMENTOS!$G$4:$G$803,E2175,MOVIMIENTOS_COMPLEMENTOS!$H$4:$H$803,G2175,MOVIMIENTOS_COMPLEMENTOS!$B$4:$B$803,"DE CORTE")-SUMIFS(MOVIMIENTOS_COMPLEMENTOS!$I$4:$I$803,MOVIMIENTOS_COMPLEMENTOS!$C$4:$C$803,A2175,MOVIMIENTOS_COMPLEMENTOS!$D$4:$D$803,B2175,MOVIMIENTOS_COMPLEMENTOS!$E$4:$E$803,C2175,MOVIMIENTOS_COMPLEMENTOS!$F$4:$F$803,D2175,MOVIMIENTOS_COMPLEMENTOS!$G$4:$G$803,E2175,MOVIMIENTOS_COMPLEMENTOS!$H$4:$H$803,G2175,MOVIMIENTOS_COMPLEMENTOS!$B$4:$B$803,"SALIDA"),0)</f>
        <v>0</v>
      </c>
      <c r="I2175" s="102">
        <f t="array" ref="I2175">IFERROR(INDEX(PRECIOS_COMPLEMENTOS!$C$4:$F$17,MATCH(B2175&amp;"_"&amp;C2175,PRECIOS_COMPLEMENTOS!$H$4:$H$17,0),IF(OR(G2175="S",G2175="20cm"),1,IF(OR(G2175="M",G2175="25cm"),2,IF(OR(G2175="L",G2175="30cm"),3,IF(OR(G2175="XL",G2175="35cm"),4,0))))),0)</f>
        <v>0.6</v>
      </c>
      <c r="J2175" s="103">
        <f t="shared" si="1"/>
        <v>0</v>
      </c>
      <c r="K2175" s="104" t="str">
        <f>IF(H2175&lt;0,"ERROR",IF(H2175=0,"",IF(H2175&lt;CONFIG!$B$4,"CRÍTICO",IF(H2175&lt;CONFIG!$B$5,"BAJO","OK"))))</f>
        <v/>
      </c>
    </row>
    <row r="2176" ht="15.75" hidden="1" customHeight="1">
      <c r="A2176" s="90" t="str">
        <f>IF(CLIENTES!A5="","",CLIENTES!A5)</f>
        <v>Bravos</v>
      </c>
      <c r="B2176" s="90" t="s">
        <v>331</v>
      </c>
      <c r="C2176" s="91" t="s">
        <v>328</v>
      </c>
      <c r="D2176" s="109" t="s">
        <v>366</v>
      </c>
      <c r="E2176" s="67" t="str">
        <f>COLORES!A7</f>
        <v>Azul</v>
      </c>
      <c r="F2176" s="67" t="str">
        <f>COLORES!B7</f>
        <v>OSCURO</v>
      </c>
      <c r="G2176" s="90" t="s">
        <v>378</v>
      </c>
      <c r="H2176" s="100">
        <f>IFERROR(SUMIFS(MOVIMIENTOS_COMPLEMENTOS!$I$4:$I$803,MOVIMIENTOS_COMPLEMENTOS!$C$4:$C$803,A2176,MOVIMIENTOS_COMPLEMENTOS!$D$4:$D$803,B2176,MOVIMIENTOS_COMPLEMENTOS!$E$4:$E$803,C2176,MOVIMIENTOS_COMPLEMENTOS!$F$4:$F$803,D2176,MOVIMIENTOS_COMPLEMENTOS!$G$4:$G$803,E2176,MOVIMIENTOS_COMPLEMENTOS!$H$4:$H$803,G2176,MOVIMIENTOS_COMPLEMENTOS!$B$4:$B$803,"INGRESO")+SUMIFS(MOVIMIENTOS_COMPLEMENTOS!$I$4:$I$803,MOVIMIENTOS_COMPLEMENTOS!$C$4:$C$803,A2176,MOVIMIENTOS_COMPLEMENTOS!$D$4:$D$803,B2176,MOVIMIENTOS_COMPLEMENTOS!$E$4:$E$803,C2176,MOVIMIENTOS_COMPLEMENTOS!$F$4:$F$803,D2176,MOVIMIENTOS_COMPLEMENTOS!$G$4:$G$803,E2176,MOVIMIENTOS_COMPLEMENTOS!$H$4:$H$803,G2176,MOVIMIENTOS_COMPLEMENTOS!$B$4:$B$803,"DE CORTE")-SUMIFS(MOVIMIENTOS_COMPLEMENTOS!$I$4:$I$803,MOVIMIENTOS_COMPLEMENTOS!$C$4:$C$803,A2176,MOVIMIENTOS_COMPLEMENTOS!$D$4:$D$803,B2176,MOVIMIENTOS_COMPLEMENTOS!$E$4:$E$803,C2176,MOVIMIENTOS_COMPLEMENTOS!$F$4:$F$803,D2176,MOVIMIENTOS_COMPLEMENTOS!$G$4:$G$803,E2176,MOVIMIENTOS_COMPLEMENTOS!$H$4:$H$803,G2176,MOVIMIENTOS_COMPLEMENTOS!$B$4:$B$803,"SALIDA"),0)</f>
        <v>0</v>
      </c>
      <c r="I2176" s="102">
        <f t="array" ref="I2176">IFERROR(INDEX(PRECIOS_COMPLEMENTOS!$C$4:$F$17,MATCH(B2176&amp;"_"&amp;C2176,PRECIOS_COMPLEMENTOS!$H$4:$H$17,0),IF(OR(G2176="S",G2176="20cm"),1,IF(OR(G2176="M",G2176="25cm"),2,IF(OR(G2176="L",G2176="30cm"),3,IF(OR(G2176="XL",G2176="35cm"),4,0))))),0)</f>
        <v>0.6</v>
      </c>
      <c r="J2176" s="103">
        <f t="shared" si="1"/>
        <v>0</v>
      </c>
      <c r="K2176" s="104" t="str">
        <f>IF(H2176&lt;0,"ERROR",IF(H2176=0,"",IF(H2176&lt;CONFIG!$B$4,"CRÍTICO",IF(H2176&lt;CONFIG!$B$5,"BAJO","OK"))))</f>
        <v/>
      </c>
    </row>
    <row r="2177" ht="15.75" hidden="1" customHeight="1">
      <c r="A2177" s="90" t="str">
        <f>IF(CLIENTES!A5="","",CLIENTES!A5)</f>
        <v>Bravos</v>
      </c>
      <c r="B2177" s="90" t="s">
        <v>331</v>
      </c>
      <c r="C2177" s="91" t="s">
        <v>328</v>
      </c>
      <c r="D2177" s="109" t="s">
        <v>366</v>
      </c>
      <c r="E2177" s="67" t="str">
        <f>COLORES!A7</f>
        <v>Azul</v>
      </c>
      <c r="F2177" s="67" t="str">
        <f>COLORES!B7</f>
        <v>OSCURO</v>
      </c>
      <c r="G2177" s="90" t="s">
        <v>376</v>
      </c>
      <c r="H2177" s="100">
        <f>IFERROR(SUMIFS(MOVIMIENTOS_COMPLEMENTOS!$I$4:$I$803,MOVIMIENTOS_COMPLEMENTOS!$C$4:$C$803,A2177,MOVIMIENTOS_COMPLEMENTOS!$D$4:$D$803,B2177,MOVIMIENTOS_COMPLEMENTOS!$E$4:$E$803,C2177,MOVIMIENTOS_COMPLEMENTOS!$F$4:$F$803,D2177,MOVIMIENTOS_COMPLEMENTOS!$G$4:$G$803,E2177,MOVIMIENTOS_COMPLEMENTOS!$H$4:$H$803,G2177,MOVIMIENTOS_COMPLEMENTOS!$B$4:$B$803,"INGRESO")+SUMIFS(MOVIMIENTOS_COMPLEMENTOS!$I$4:$I$803,MOVIMIENTOS_COMPLEMENTOS!$C$4:$C$803,A2177,MOVIMIENTOS_COMPLEMENTOS!$D$4:$D$803,B2177,MOVIMIENTOS_COMPLEMENTOS!$E$4:$E$803,C2177,MOVIMIENTOS_COMPLEMENTOS!$F$4:$F$803,D2177,MOVIMIENTOS_COMPLEMENTOS!$G$4:$G$803,E2177,MOVIMIENTOS_COMPLEMENTOS!$H$4:$H$803,G2177,MOVIMIENTOS_COMPLEMENTOS!$B$4:$B$803,"DE CORTE")-SUMIFS(MOVIMIENTOS_COMPLEMENTOS!$I$4:$I$803,MOVIMIENTOS_COMPLEMENTOS!$C$4:$C$803,A2177,MOVIMIENTOS_COMPLEMENTOS!$D$4:$D$803,B2177,MOVIMIENTOS_COMPLEMENTOS!$E$4:$E$803,C2177,MOVIMIENTOS_COMPLEMENTOS!$F$4:$F$803,D2177,MOVIMIENTOS_COMPLEMENTOS!$G$4:$G$803,E2177,MOVIMIENTOS_COMPLEMENTOS!$H$4:$H$803,G2177,MOVIMIENTOS_COMPLEMENTOS!$B$4:$B$803,"SALIDA"),0)</f>
        <v>0</v>
      </c>
      <c r="I2177" s="102">
        <f t="array" ref="I2177">IFERROR(INDEX(PRECIOS_COMPLEMENTOS!$C$4:$F$17,MATCH(B2177&amp;"_"&amp;C2177,PRECIOS_COMPLEMENTOS!$H$4:$H$17,0),IF(OR(G2177="S",G2177="20cm"),1,IF(OR(G2177="M",G2177="25cm"),2,IF(OR(G2177="L",G2177="30cm"),3,IF(OR(G2177="XL",G2177="35cm"),4,0))))),0)</f>
        <v>0.6</v>
      </c>
      <c r="J2177" s="103">
        <f t="shared" si="1"/>
        <v>0</v>
      </c>
      <c r="K2177" s="104" t="str">
        <f>IF(H2177&lt;0,"ERROR",IF(H2177=0,"",IF(H2177&lt;CONFIG!$B$4,"CRÍTICO",IF(H2177&lt;CONFIG!$B$5,"BAJO","OK"))))</f>
        <v/>
      </c>
    </row>
    <row r="2178" ht="15.75" hidden="1" customHeight="1">
      <c r="A2178" s="90" t="str">
        <f>IF(CLIENTES!A5="","",CLIENTES!A5)</f>
        <v>Bravos</v>
      </c>
      <c r="B2178" s="90" t="s">
        <v>331</v>
      </c>
      <c r="C2178" s="91" t="s">
        <v>328</v>
      </c>
      <c r="D2178" s="109" t="s">
        <v>366</v>
      </c>
      <c r="E2178" s="67" t="str">
        <f>COLORES!A7</f>
        <v>Azul</v>
      </c>
      <c r="F2178" s="67" t="str">
        <f>COLORES!B7</f>
        <v>OSCURO</v>
      </c>
      <c r="G2178" s="90" t="s">
        <v>377</v>
      </c>
      <c r="H2178" s="100">
        <f>IFERROR(SUMIFS(MOVIMIENTOS_COMPLEMENTOS!$I$4:$I$803,MOVIMIENTOS_COMPLEMENTOS!$C$4:$C$803,A2178,MOVIMIENTOS_COMPLEMENTOS!$D$4:$D$803,B2178,MOVIMIENTOS_COMPLEMENTOS!$E$4:$E$803,C2178,MOVIMIENTOS_COMPLEMENTOS!$F$4:$F$803,D2178,MOVIMIENTOS_COMPLEMENTOS!$G$4:$G$803,E2178,MOVIMIENTOS_COMPLEMENTOS!$H$4:$H$803,G2178,MOVIMIENTOS_COMPLEMENTOS!$B$4:$B$803,"INGRESO")+SUMIFS(MOVIMIENTOS_COMPLEMENTOS!$I$4:$I$803,MOVIMIENTOS_COMPLEMENTOS!$C$4:$C$803,A2178,MOVIMIENTOS_COMPLEMENTOS!$D$4:$D$803,B2178,MOVIMIENTOS_COMPLEMENTOS!$E$4:$E$803,C2178,MOVIMIENTOS_COMPLEMENTOS!$F$4:$F$803,D2178,MOVIMIENTOS_COMPLEMENTOS!$G$4:$G$803,E2178,MOVIMIENTOS_COMPLEMENTOS!$H$4:$H$803,G2178,MOVIMIENTOS_COMPLEMENTOS!$B$4:$B$803,"DE CORTE")-SUMIFS(MOVIMIENTOS_COMPLEMENTOS!$I$4:$I$803,MOVIMIENTOS_COMPLEMENTOS!$C$4:$C$803,A2178,MOVIMIENTOS_COMPLEMENTOS!$D$4:$D$803,B2178,MOVIMIENTOS_COMPLEMENTOS!$E$4:$E$803,C2178,MOVIMIENTOS_COMPLEMENTOS!$F$4:$F$803,D2178,MOVIMIENTOS_COMPLEMENTOS!$G$4:$G$803,E2178,MOVIMIENTOS_COMPLEMENTOS!$H$4:$H$803,G2178,MOVIMIENTOS_COMPLEMENTOS!$B$4:$B$803,"SALIDA"),0)</f>
        <v>0</v>
      </c>
      <c r="I2178" s="102">
        <f t="array" ref="I2178">IFERROR(INDEX(PRECIOS_COMPLEMENTOS!$C$4:$F$17,MATCH(B2178&amp;"_"&amp;C2178,PRECIOS_COMPLEMENTOS!$H$4:$H$17,0),IF(OR(G2178="S",G2178="20cm"),1,IF(OR(G2178="M",G2178="25cm"),2,IF(OR(G2178="L",G2178="30cm"),3,IF(OR(G2178="XL",G2178="35cm"),4,0))))),0)</f>
        <v>0.6</v>
      </c>
      <c r="J2178" s="103">
        <f t="shared" si="1"/>
        <v>0</v>
      </c>
      <c r="K2178" s="104" t="str">
        <f>IF(H2178&lt;0,"ERROR",IF(H2178=0,"",IF(H2178&lt;CONFIG!$B$4,"CRÍTICO",IF(H2178&lt;CONFIG!$B$5,"BAJO","OK"))))</f>
        <v/>
      </c>
    </row>
    <row r="2179" ht="15.75" hidden="1" customHeight="1">
      <c r="A2179" s="90" t="str">
        <f>IF(CLIENTES!A5="","",CLIENTES!A5)</f>
        <v>Bravos</v>
      </c>
      <c r="B2179" s="90" t="s">
        <v>331</v>
      </c>
      <c r="C2179" s="91" t="s">
        <v>328</v>
      </c>
      <c r="D2179" s="109" t="s">
        <v>366</v>
      </c>
      <c r="E2179" s="67" t="str">
        <f>COLORES!A7</f>
        <v>Azul</v>
      </c>
      <c r="F2179" s="67" t="str">
        <f>COLORES!B7</f>
        <v>OSCURO</v>
      </c>
      <c r="G2179" s="90" t="s">
        <v>379</v>
      </c>
      <c r="H2179" s="100">
        <f>IFERROR(SUMIFS(MOVIMIENTOS_COMPLEMENTOS!$I$4:$I$803,MOVIMIENTOS_COMPLEMENTOS!$C$4:$C$803,A2179,MOVIMIENTOS_COMPLEMENTOS!$D$4:$D$803,B2179,MOVIMIENTOS_COMPLEMENTOS!$E$4:$E$803,C2179,MOVIMIENTOS_COMPLEMENTOS!$F$4:$F$803,D2179,MOVIMIENTOS_COMPLEMENTOS!$G$4:$G$803,E2179,MOVIMIENTOS_COMPLEMENTOS!$H$4:$H$803,G2179,MOVIMIENTOS_COMPLEMENTOS!$B$4:$B$803,"INGRESO")+SUMIFS(MOVIMIENTOS_COMPLEMENTOS!$I$4:$I$803,MOVIMIENTOS_COMPLEMENTOS!$C$4:$C$803,A2179,MOVIMIENTOS_COMPLEMENTOS!$D$4:$D$803,B2179,MOVIMIENTOS_COMPLEMENTOS!$E$4:$E$803,C2179,MOVIMIENTOS_COMPLEMENTOS!$F$4:$F$803,D2179,MOVIMIENTOS_COMPLEMENTOS!$G$4:$G$803,E2179,MOVIMIENTOS_COMPLEMENTOS!$H$4:$H$803,G2179,MOVIMIENTOS_COMPLEMENTOS!$B$4:$B$803,"DE CORTE")-SUMIFS(MOVIMIENTOS_COMPLEMENTOS!$I$4:$I$803,MOVIMIENTOS_COMPLEMENTOS!$C$4:$C$803,A2179,MOVIMIENTOS_COMPLEMENTOS!$D$4:$D$803,B2179,MOVIMIENTOS_COMPLEMENTOS!$E$4:$E$803,C2179,MOVIMIENTOS_COMPLEMENTOS!$F$4:$F$803,D2179,MOVIMIENTOS_COMPLEMENTOS!$G$4:$G$803,E2179,MOVIMIENTOS_COMPLEMENTOS!$H$4:$H$803,G2179,MOVIMIENTOS_COMPLEMENTOS!$B$4:$B$803,"SALIDA"),0)</f>
        <v>0</v>
      </c>
      <c r="I2179" s="102">
        <f t="array" ref="I2179">IFERROR(INDEX(PRECIOS_COMPLEMENTOS!$C$4:$F$17,MATCH(B2179&amp;"_"&amp;C2179,PRECIOS_COMPLEMENTOS!$H$4:$H$17,0),IF(OR(G2179="S",G2179="20cm"),1,IF(OR(G2179="M",G2179="25cm"),2,IF(OR(G2179="L",G2179="30cm"),3,IF(OR(G2179="XL",G2179="35cm"),4,0))))),0)</f>
        <v>0.6</v>
      </c>
      <c r="J2179" s="103">
        <f t="shared" si="1"/>
        <v>0</v>
      </c>
      <c r="K2179" s="104" t="str">
        <f>IF(H2179&lt;0,"ERROR",IF(H2179=0,"",IF(H2179&lt;CONFIG!$B$4,"CRÍTICO",IF(H2179&lt;CONFIG!$B$5,"BAJO","OK"))))</f>
        <v/>
      </c>
    </row>
    <row r="2180" ht="15.75" hidden="1" customHeight="1">
      <c r="A2180" s="90" t="str">
        <f>IF(CLIENTES!A5="","",CLIENTES!A5)</f>
        <v>Bravos</v>
      </c>
      <c r="B2180" s="90" t="s">
        <v>331</v>
      </c>
      <c r="C2180" s="91" t="s">
        <v>328</v>
      </c>
      <c r="D2180" s="109" t="s">
        <v>366</v>
      </c>
      <c r="E2180" s="67" t="str">
        <f>COLORES!A8</f>
        <v>Beige</v>
      </c>
      <c r="F2180" s="67" t="str">
        <f>COLORES!B8</f>
        <v>CLARO</v>
      </c>
      <c r="G2180" s="90" t="s">
        <v>378</v>
      </c>
      <c r="H2180" s="100">
        <f>IFERROR(SUMIFS(MOVIMIENTOS_COMPLEMENTOS!$I$4:$I$803,MOVIMIENTOS_COMPLEMENTOS!$C$4:$C$803,A2180,MOVIMIENTOS_COMPLEMENTOS!$D$4:$D$803,B2180,MOVIMIENTOS_COMPLEMENTOS!$E$4:$E$803,C2180,MOVIMIENTOS_COMPLEMENTOS!$F$4:$F$803,D2180,MOVIMIENTOS_COMPLEMENTOS!$G$4:$G$803,E2180,MOVIMIENTOS_COMPLEMENTOS!$H$4:$H$803,G2180,MOVIMIENTOS_COMPLEMENTOS!$B$4:$B$803,"INGRESO")+SUMIFS(MOVIMIENTOS_COMPLEMENTOS!$I$4:$I$803,MOVIMIENTOS_COMPLEMENTOS!$C$4:$C$803,A2180,MOVIMIENTOS_COMPLEMENTOS!$D$4:$D$803,B2180,MOVIMIENTOS_COMPLEMENTOS!$E$4:$E$803,C2180,MOVIMIENTOS_COMPLEMENTOS!$F$4:$F$803,D2180,MOVIMIENTOS_COMPLEMENTOS!$G$4:$G$803,E2180,MOVIMIENTOS_COMPLEMENTOS!$H$4:$H$803,G2180,MOVIMIENTOS_COMPLEMENTOS!$B$4:$B$803,"DE CORTE")-SUMIFS(MOVIMIENTOS_COMPLEMENTOS!$I$4:$I$803,MOVIMIENTOS_COMPLEMENTOS!$C$4:$C$803,A2180,MOVIMIENTOS_COMPLEMENTOS!$D$4:$D$803,B2180,MOVIMIENTOS_COMPLEMENTOS!$E$4:$E$803,C2180,MOVIMIENTOS_COMPLEMENTOS!$F$4:$F$803,D2180,MOVIMIENTOS_COMPLEMENTOS!$G$4:$G$803,E2180,MOVIMIENTOS_COMPLEMENTOS!$H$4:$H$803,G2180,MOVIMIENTOS_COMPLEMENTOS!$B$4:$B$803,"SALIDA"),0)</f>
        <v>0</v>
      </c>
      <c r="I2180" s="102">
        <f t="array" ref="I2180">IFERROR(INDEX(PRECIOS_COMPLEMENTOS!$C$4:$F$17,MATCH(B2180&amp;"_"&amp;C2180,PRECIOS_COMPLEMENTOS!$H$4:$H$17,0),IF(OR(G2180="S",G2180="20cm"),1,IF(OR(G2180="M",G2180="25cm"),2,IF(OR(G2180="L",G2180="30cm"),3,IF(OR(G2180="XL",G2180="35cm"),4,0))))),0)</f>
        <v>0.6</v>
      </c>
      <c r="J2180" s="103">
        <f t="shared" si="1"/>
        <v>0</v>
      </c>
      <c r="K2180" s="104" t="str">
        <f>IF(H2180&lt;0,"ERROR",IF(H2180=0,"",IF(H2180&lt;CONFIG!$B$4,"CRÍTICO",IF(H2180&lt;CONFIG!$B$5,"BAJO","OK"))))</f>
        <v/>
      </c>
    </row>
    <row r="2181" ht="15.75" hidden="1" customHeight="1">
      <c r="A2181" s="90" t="str">
        <f>IF(CLIENTES!A5="","",CLIENTES!A5)</f>
        <v>Bravos</v>
      </c>
      <c r="B2181" s="90" t="s">
        <v>331</v>
      </c>
      <c r="C2181" s="91" t="s">
        <v>328</v>
      </c>
      <c r="D2181" s="109" t="s">
        <v>366</v>
      </c>
      <c r="E2181" s="67" t="str">
        <f>COLORES!A8</f>
        <v>Beige</v>
      </c>
      <c r="F2181" s="67" t="str">
        <f>COLORES!B8</f>
        <v>CLARO</v>
      </c>
      <c r="G2181" s="90" t="s">
        <v>376</v>
      </c>
      <c r="H2181" s="100">
        <f>IFERROR(SUMIFS(MOVIMIENTOS_COMPLEMENTOS!$I$4:$I$803,MOVIMIENTOS_COMPLEMENTOS!$C$4:$C$803,A2181,MOVIMIENTOS_COMPLEMENTOS!$D$4:$D$803,B2181,MOVIMIENTOS_COMPLEMENTOS!$E$4:$E$803,C2181,MOVIMIENTOS_COMPLEMENTOS!$F$4:$F$803,D2181,MOVIMIENTOS_COMPLEMENTOS!$G$4:$G$803,E2181,MOVIMIENTOS_COMPLEMENTOS!$H$4:$H$803,G2181,MOVIMIENTOS_COMPLEMENTOS!$B$4:$B$803,"INGRESO")+SUMIFS(MOVIMIENTOS_COMPLEMENTOS!$I$4:$I$803,MOVIMIENTOS_COMPLEMENTOS!$C$4:$C$803,A2181,MOVIMIENTOS_COMPLEMENTOS!$D$4:$D$803,B2181,MOVIMIENTOS_COMPLEMENTOS!$E$4:$E$803,C2181,MOVIMIENTOS_COMPLEMENTOS!$F$4:$F$803,D2181,MOVIMIENTOS_COMPLEMENTOS!$G$4:$G$803,E2181,MOVIMIENTOS_COMPLEMENTOS!$H$4:$H$803,G2181,MOVIMIENTOS_COMPLEMENTOS!$B$4:$B$803,"DE CORTE")-SUMIFS(MOVIMIENTOS_COMPLEMENTOS!$I$4:$I$803,MOVIMIENTOS_COMPLEMENTOS!$C$4:$C$803,A2181,MOVIMIENTOS_COMPLEMENTOS!$D$4:$D$803,B2181,MOVIMIENTOS_COMPLEMENTOS!$E$4:$E$803,C2181,MOVIMIENTOS_COMPLEMENTOS!$F$4:$F$803,D2181,MOVIMIENTOS_COMPLEMENTOS!$G$4:$G$803,E2181,MOVIMIENTOS_COMPLEMENTOS!$H$4:$H$803,G2181,MOVIMIENTOS_COMPLEMENTOS!$B$4:$B$803,"SALIDA"),0)</f>
        <v>0</v>
      </c>
      <c r="I2181" s="102">
        <f t="array" ref="I2181">IFERROR(INDEX(PRECIOS_COMPLEMENTOS!$C$4:$F$17,MATCH(B2181&amp;"_"&amp;C2181,PRECIOS_COMPLEMENTOS!$H$4:$H$17,0),IF(OR(G2181="S",G2181="20cm"),1,IF(OR(G2181="M",G2181="25cm"),2,IF(OR(G2181="L",G2181="30cm"),3,IF(OR(G2181="XL",G2181="35cm"),4,0))))),0)</f>
        <v>0.6</v>
      </c>
      <c r="J2181" s="103">
        <f t="shared" si="1"/>
        <v>0</v>
      </c>
      <c r="K2181" s="104" t="str">
        <f>IF(H2181&lt;0,"ERROR",IF(H2181=0,"",IF(H2181&lt;CONFIG!$B$4,"CRÍTICO",IF(H2181&lt;CONFIG!$B$5,"BAJO","OK"))))</f>
        <v/>
      </c>
    </row>
    <row r="2182" ht="15.75" hidden="1" customHeight="1">
      <c r="A2182" s="90" t="str">
        <f>IF(CLIENTES!A5="","",CLIENTES!A5)</f>
        <v>Bravos</v>
      </c>
      <c r="B2182" s="90" t="s">
        <v>331</v>
      </c>
      <c r="C2182" s="91" t="s">
        <v>328</v>
      </c>
      <c r="D2182" s="109" t="s">
        <v>366</v>
      </c>
      <c r="E2182" s="67" t="str">
        <f>COLORES!A8</f>
        <v>Beige</v>
      </c>
      <c r="F2182" s="67" t="str">
        <f>COLORES!B8</f>
        <v>CLARO</v>
      </c>
      <c r="G2182" s="90" t="s">
        <v>377</v>
      </c>
      <c r="H2182" s="100">
        <f>IFERROR(SUMIFS(MOVIMIENTOS_COMPLEMENTOS!$I$4:$I$803,MOVIMIENTOS_COMPLEMENTOS!$C$4:$C$803,A2182,MOVIMIENTOS_COMPLEMENTOS!$D$4:$D$803,B2182,MOVIMIENTOS_COMPLEMENTOS!$E$4:$E$803,C2182,MOVIMIENTOS_COMPLEMENTOS!$F$4:$F$803,D2182,MOVIMIENTOS_COMPLEMENTOS!$G$4:$G$803,E2182,MOVIMIENTOS_COMPLEMENTOS!$H$4:$H$803,G2182,MOVIMIENTOS_COMPLEMENTOS!$B$4:$B$803,"INGRESO")+SUMIFS(MOVIMIENTOS_COMPLEMENTOS!$I$4:$I$803,MOVIMIENTOS_COMPLEMENTOS!$C$4:$C$803,A2182,MOVIMIENTOS_COMPLEMENTOS!$D$4:$D$803,B2182,MOVIMIENTOS_COMPLEMENTOS!$E$4:$E$803,C2182,MOVIMIENTOS_COMPLEMENTOS!$F$4:$F$803,D2182,MOVIMIENTOS_COMPLEMENTOS!$G$4:$G$803,E2182,MOVIMIENTOS_COMPLEMENTOS!$H$4:$H$803,G2182,MOVIMIENTOS_COMPLEMENTOS!$B$4:$B$803,"DE CORTE")-SUMIFS(MOVIMIENTOS_COMPLEMENTOS!$I$4:$I$803,MOVIMIENTOS_COMPLEMENTOS!$C$4:$C$803,A2182,MOVIMIENTOS_COMPLEMENTOS!$D$4:$D$803,B2182,MOVIMIENTOS_COMPLEMENTOS!$E$4:$E$803,C2182,MOVIMIENTOS_COMPLEMENTOS!$F$4:$F$803,D2182,MOVIMIENTOS_COMPLEMENTOS!$G$4:$G$803,E2182,MOVIMIENTOS_COMPLEMENTOS!$H$4:$H$803,G2182,MOVIMIENTOS_COMPLEMENTOS!$B$4:$B$803,"SALIDA"),0)</f>
        <v>0</v>
      </c>
      <c r="I2182" s="102">
        <f t="array" ref="I2182">IFERROR(INDEX(PRECIOS_COMPLEMENTOS!$C$4:$F$17,MATCH(B2182&amp;"_"&amp;C2182,PRECIOS_COMPLEMENTOS!$H$4:$H$17,0),IF(OR(G2182="S",G2182="20cm"),1,IF(OR(G2182="M",G2182="25cm"),2,IF(OR(G2182="L",G2182="30cm"),3,IF(OR(G2182="XL",G2182="35cm"),4,0))))),0)</f>
        <v>0.6</v>
      </c>
      <c r="J2182" s="103">
        <f t="shared" si="1"/>
        <v>0</v>
      </c>
      <c r="K2182" s="104" t="str">
        <f>IF(H2182&lt;0,"ERROR",IF(H2182=0,"",IF(H2182&lt;CONFIG!$B$4,"CRÍTICO",IF(H2182&lt;CONFIG!$B$5,"BAJO","OK"))))</f>
        <v/>
      </c>
    </row>
    <row r="2183" ht="15.75" hidden="1" customHeight="1">
      <c r="A2183" s="90" t="str">
        <f>IF(CLIENTES!A5="","",CLIENTES!A5)</f>
        <v>Bravos</v>
      </c>
      <c r="B2183" s="90" t="s">
        <v>331</v>
      </c>
      <c r="C2183" s="91" t="s">
        <v>328</v>
      </c>
      <c r="D2183" s="109" t="s">
        <v>366</v>
      </c>
      <c r="E2183" s="67" t="str">
        <f>COLORES!A8</f>
        <v>Beige</v>
      </c>
      <c r="F2183" s="67" t="str">
        <f>COLORES!B8</f>
        <v>CLARO</v>
      </c>
      <c r="G2183" s="90" t="s">
        <v>379</v>
      </c>
      <c r="H2183" s="100">
        <f>IFERROR(SUMIFS(MOVIMIENTOS_COMPLEMENTOS!$I$4:$I$803,MOVIMIENTOS_COMPLEMENTOS!$C$4:$C$803,A2183,MOVIMIENTOS_COMPLEMENTOS!$D$4:$D$803,B2183,MOVIMIENTOS_COMPLEMENTOS!$E$4:$E$803,C2183,MOVIMIENTOS_COMPLEMENTOS!$F$4:$F$803,D2183,MOVIMIENTOS_COMPLEMENTOS!$G$4:$G$803,E2183,MOVIMIENTOS_COMPLEMENTOS!$H$4:$H$803,G2183,MOVIMIENTOS_COMPLEMENTOS!$B$4:$B$803,"INGRESO")+SUMIFS(MOVIMIENTOS_COMPLEMENTOS!$I$4:$I$803,MOVIMIENTOS_COMPLEMENTOS!$C$4:$C$803,A2183,MOVIMIENTOS_COMPLEMENTOS!$D$4:$D$803,B2183,MOVIMIENTOS_COMPLEMENTOS!$E$4:$E$803,C2183,MOVIMIENTOS_COMPLEMENTOS!$F$4:$F$803,D2183,MOVIMIENTOS_COMPLEMENTOS!$G$4:$G$803,E2183,MOVIMIENTOS_COMPLEMENTOS!$H$4:$H$803,G2183,MOVIMIENTOS_COMPLEMENTOS!$B$4:$B$803,"DE CORTE")-SUMIFS(MOVIMIENTOS_COMPLEMENTOS!$I$4:$I$803,MOVIMIENTOS_COMPLEMENTOS!$C$4:$C$803,A2183,MOVIMIENTOS_COMPLEMENTOS!$D$4:$D$803,B2183,MOVIMIENTOS_COMPLEMENTOS!$E$4:$E$803,C2183,MOVIMIENTOS_COMPLEMENTOS!$F$4:$F$803,D2183,MOVIMIENTOS_COMPLEMENTOS!$G$4:$G$803,E2183,MOVIMIENTOS_COMPLEMENTOS!$H$4:$H$803,G2183,MOVIMIENTOS_COMPLEMENTOS!$B$4:$B$803,"SALIDA"),0)</f>
        <v>0</v>
      </c>
      <c r="I2183" s="102">
        <f t="array" ref="I2183">IFERROR(INDEX(PRECIOS_COMPLEMENTOS!$C$4:$F$17,MATCH(B2183&amp;"_"&amp;C2183,PRECIOS_COMPLEMENTOS!$H$4:$H$17,0),IF(OR(G2183="S",G2183="20cm"),1,IF(OR(G2183="M",G2183="25cm"),2,IF(OR(G2183="L",G2183="30cm"),3,IF(OR(G2183="XL",G2183="35cm"),4,0))))),0)</f>
        <v>0.6</v>
      </c>
      <c r="J2183" s="103">
        <f t="shared" si="1"/>
        <v>0</v>
      </c>
      <c r="K2183" s="104" t="str">
        <f>IF(H2183&lt;0,"ERROR",IF(H2183=0,"",IF(H2183&lt;CONFIG!$B$4,"CRÍTICO",IF(H2183&lt;CONFIG!$B$5,"BAJO","OK"))))</f>
        <v/>
      </c>
    </row>
    <row r="2184" ht="15.75" hidden="1" customHeight="1">
      <c r="A2184" s="90" t="str">
        <f>IF(CLIENTES!A5="","",CLIENTES!A5)</f>
        <v>Bravos</v>
      </c>
      <c r="B2184" s="90" t="s">
        <v>331</v>
      </c>
      <c r="C2184" s="91" t="s">
        <v>328</v>
      </c>
      <c r="D2184" s="109" t="s">
        <v>366</v>
      </c>
      <c r="E2184" s="67" t="str">
        <f>COLORES!A9</f>
        <v>Melange</v>
      </c>
      <c r="F2184" s="67" t="str">
        <f>COLORES!B9</f>
        <v>MELANGE</v>
      </c>
      <c r="G2184" s="90" t="s">
        <v>378</v>
      </c>
      <c r="H2184" s="100">
        <f>IFERROR(SUMIFS(MOVIMIENTOS_COMPLEMENTOS!$I$4:$I$803,MOVIMIENTOS_COMPLEMENTOS!$C$4:$C$803,A2184,MOVIMIENTOS_COMPLEMENTOS!$D$4:$D$803,B2184,MOVIMIENTOS_COMPLEMENTOS!$E$4:$E$803,C2184,MOVIMIENTOS_COMPLEMENTOS!$F$4:$F$803,D2184,MOVIMIENTOS_COMPLEMENTOS!$G$4:$G$803,E2184,MOVIMIENTOS_COMPLEMENTOS!$H$4:$H$803,G2184,MOVIMIENTOS_COMPLEMENTOS!$B$4:$B$803,"INGRESO")+SUMIFS(MOVIMIENTOS_COMPLEMENTOS!$I$4:$I$803,MOVIMIENTOS_COMPLEMENTOS!$C$4:$C$803,A2184,MOVIMIENTOS_COMPLEMENTOS!$D$4:$D$803,B2184,MOVIMIENTOS_COMPLEMENTOS!$E$4:$E$803,C2184,MOVIMIENTOS_COMPLEMENTOS!$F$4:$F$803,D2184,MOVIMIENTOS_COMPLEMENTOS!$G$4:$G$803,E2184,MOVIMIENTOS_COMPLEMENTOS!$H$4:$H$803,G2184,MOVIMIENTOS_COMPLEMENTOS!$B$4:$B$803,"DE CORTE")-SUMIFS(MOVIMIENTOS_COMPLEMENTOS!$I$4:$I$803,MOVIMIENTOS_COMPLEMENTOS!$C$4:$C$803,A2184,MOVIMIENTOS_COMPLEMENTOS!$D$4:$D$803,B2184,MOVIMIENTOS_COMPLEMENTOS!$E$4:$E$803,C2184,MOVIMIENTOS_COMPLEMENTOS!$F$4:$F$803,D2184,MOVIMIENTOS_COMPLEMENTOS!$G$4:$G$803,E2184,MOVIMIENTOS_COMPLEMENTOS!$H$4:$H$803,G2184,MOVIMIENTOS_COMPLEMENTOS!$B$4:$B$803,"SALIDA"),0)</f>
        <v>0</v>
      </c>
      <c r="I2184" s="102">
        <f t="array" ref="I2184">IFERROR(INDEX(PRECIOS_COMPLEMENTOS!$C$4:$F$17,MATCH(B2184&amp;"_"&amp;C2184,PRECIOS_COMPLEMENTOS!$H$4:$H$17,0),IF(OR(G2184="S",G2184="20cm"),1,IF(OR(G2184="M",G2184="25cm"),2,IF(OR(G2184="L",G2184="30cm"),3,IF(OR(G2184="XL",G2184="35cm"),4,0))))),0)</f>
        <v>0.6</v>
      </c>
      <c r="J2184" s="103">
        <f t="shared" si="1"/>
        <v>0</v>
      </c>
      <c r="K2184" s="104" t="str">
        <f>IF(H2184&lt;0,"ERROR",IF(H2184=0,"",IF(H2184&lt;CONFIG!$B$4,"CRÍTICO",IF(H2184&lt;CONFIG!$B$5,"BAJO","OK"))))</f>
        <v/>
      </c>
    </row>
    <row r="2185" ht="15.75" hidden="1" customHeight="1">
      <c r="A2185" s="90" t="str">
        <f>IF(CLIENTES!A5="","",CLIENTES!A5)</f>
        <v>Bravos</v>
      </c>
      <c r="B2185" s="90" t="s">
        <v>331</v>
      </c>
      <c r="C2185" s="91" t="s">
        <v>328</v>
      </c>
      <c r="D2185" s="109" t="s">
        <v>366</v>
      </c>
      <c r="E2185" s="67" t="str">
        <f>COLORES!A9</f>
        <v>Melange</v>
      </c>
      <c r="F2185" s="67" t="str">
        <f>COLORES!B9</f>
        <v>MELANGE</v>
      </c>
      <c r="G2185" s="90" t="s">
        <v>376</v>
      </c>
      <c r="H2185" s="100">
        <f>IFERROR(SUMIFS(MOVIMIENTOS_COMPLEMENTOS!$I$4:$I$803,MOVIMIENTOS_COMPLEMENTOS!$C$4:$C$803,A2185,MOVIMIENTOS_COMPLEMENTOS!$D$4:$D$803,B2185,MOVIMIENTOS_COMPLEMENTOS!$E$4:$E$803,C2185,MOVIMIENTOS_COMPLEMENTOS!$F$4:$F$803,D2185,MOVIMIENTOS_COMPLEMENTOS!$G$4:$G$803,E2185,MOVIMIENTOS_COMPLEMENTOS!$H$4:$H$803,G2185,MOVIMIENTOS_COMPLEMENTOS!$B$4:$B$803,"INGRESO")+SUMIFS(MOVIMIENTOS_COMPLEMENTOS!$I$4:$I$803,MOVIMIENTOS_COMPLEMENTOS!$C$4:$C$803,A2185,MOVIMIENTOS_COMPLEMENTOS!$D$4:$D$803,B2185,MOVIMIENTOS_COMPLEMENTOS!$E$4:$E$803,C2185,MOVIMIENTOS_COMPLEMENTOS!$F$4:$F$803,D2185,MOVIMIENTOS_COMPLEMENTOS!$G$4:$G$803,E2185,MOVIMIENTOS_COMPLEMENTOS!$H$4:$H$803,G2185,MOVIMIENTOS_COMPLEMENTOS!$B$4:$B$803,"DE CORTE")-SUMIFS(MOVIMIENTOS_COMPLEMENTOS!$I$4:$I$803,MOVIMIENTOS_COMPLEMENTOS!$C$4:$C$803,A2185,MOVIMIENTOS_COMPLEMENTOS!$D$4:$D$803,B2185,MOVIMIENTOS_COMPLEMENTOS!$E$4:$E$803,C2185,MOVIMIENTOS_COMPLEMENTOS!$F$4:$F$803,D2185,MOVIMIENTOS_COMPLEMENTOS!$G$4:$G$803,E2185,MOVIMIENTOS_COMPLEMENTOS!$H$4:$H$803,G2185,MOVIMIENTOS_COMPLEMENTOS!$B$4:$B$803,"SALIDA"),0)</f>
        <v>0</v>
      </c>
      <c r="I2185" s="102">
        <f t="array" ref="I2185">IFERROR(INDEX(PRECIOS_COMPLEMENTOS!$C$4:$F$17,MATCH(B2185&amp;"_"&amp;C2185,PRECIOS_COMPLEMENTOS!$H$4:$H$17,0),IF(OR(G2185="S",G2185="20cm"),1,IF(OR(G2185="M",G2185="25cm"),2,IF(OR(G2185="L",G2185="30cm"),3,IF(OR(G2185="XL",G2185="35cm"),4,0))))),0)</f>
        <v>0.6</v>
      </c>
      <c r="J2185" s="103">
        <f t="shared" si="1"/>
        <v>0</v>
      </c>
      <c r="K2185" s="104" t="str">
        <f>IF(H2185&lt;0,"ERROR",IF(H2185=0,"",IF(H2185&lt;CONFIG!$B$4,"CRÍTICO",IF(H2185&lt;CONFIG!$B$5,"BAJO","OK"))))</f>
        <v/>
      </c>
    </row>
    <row r="2186" ht="15.75" hidden="1" customHeight="1">
      <c r="A2186" s="90" t="str">
        <f>IF(CLIENTES!A5="","",CLIENTES!A5)</f>
        <v>Bravos</v>
      </c>
      <c r="B2186" s="90" t="s">
        <v>331</v>
      </c>
      <c r="C2186" s="91" t="s">
        <v>328</v>
      </c>
      <c r="D2186" s="109" t="s">
        <v>366</v>
      </c>
      <c r="E2186" s="67" t="str">
        <f>COLORES!A9</f>
        <v>Melange</v>
      </c>
      <c r="F2186" s="67" t="str">
        <f>COLORES!B9</f>
        <v>MELANGE</v>
      </c>
      <c r="G2186" s="90" t="s">
        <v>377</v>
      </c>
      <c r="H2186" s="100">
        <f>IFERROR(SUMIFS(MOVIMIENTOS_COMPLEMENTOS!$I$4:$I$803,MOVIMIENTOS_COMPLEMENTOS!$C$4:$C$803,A2186,MOVIMIENTOS_COMPLEMENTOS!$D$4:$D$803,B2186,MOVIMIENTOS_COMPLEMENTOS!$E$4:$E$803,C2186,MOVIMIENTOS_COMPLEMENTOS!$F$4:$F$803,D2186,MOVIMIENTOS_COMPLEMENTOS!$G$4:$G$803,E2186,MOVIMIENTOS_COMPLEMENTOS!$H$4:$H$803,G2186,MOVIMIENTOS_COMPLEMENTOS!$B$4:$B$803,"INGRESO")+SUMIFS(MOVIMIENTOS_COMPLEMENTOS!$I$4:$I$803,MOVIMIENTOS_COMPLEMENTOS!$C$4:$C$803,A2186,MOVIMIENTOS_COMPLEMENTOS!$D$4:$D$803,B2186,MOVIMIENTOS_COMPLEMENTOS!$E$4:$E$803,C2186,MOVIMIENTOS_COMPLEMENTOS!$F$4:$F$803,D2186,MOVIMIENTOS_COMPLEMENTOS!$G$4:$G$803,E2186,MOVIMIENTOS_COMPLEMENTOS!$H$4:$H$803,G2186,MOVIMIENTOS_COMPLEMENTOS!$B$4:$B$803,"DE CORTE")-SUMIFS(MOVIMIENTOS_COMPLEMENTOS!$I$4:$I$803,MOVIMIENTOS_COMPLEMENTOS!$C$4:$C$803,A2186,MOVIMIENTOS_COMPLEMENTOS!$D$4:$D$803,B2186,MOVIMIENTOS_COMPLEMENTOS!$E$4:$E$803,C2186,MOVIMIENTOS_COMPLEMENTOS!$F$4:$F$803,D2186,MOVIMIENTOS_COMPLEMENTOS!$G$4:$G$803,E2186,MOVIMIENTOS_COMPLEMENTOS!$H$4:$H$803,G2186,MOVIMIENTOS_COMPLEMENTOS!$B$4:$B$803,"SALIDA"),0)</f>
        <v>0</v>
      </c>
      <c r="I2186" s="102">
        <f t="array" ref="I2186">IFERROR(INDEX(PRECIOS_COMPLEMENTOS!$C$4:$F$17,MATCH(B2186&amp;"_"&amp;C2186,PRECIOS_COMPLEMENTOS!$H$4:$H$17,0),IF(OR(G2186="S",G2186="20cm"),1,IF(OR(G2186="M",G2186="25cm"),2,IF(OR(G2186="L",G2186="30cm"),3,IF(OR(G2186="XL",G2186="35cm"),4,0))))),0)</f>
        <v>0.6</v>
      </c>
      <c r="J2186" s="103">
        <f t="shared" si="1"/>
        <v>0</v>
      </c>
      <c r="K2186" s="104" t="str">
        <f>IF(H2186&lt;0,"ERROR",IF(H2186=0,"",IF(H2186&lt;CONFIG!$B$4,"CRÍTICO",IF(H2186&lt;CONFIG!$B$5,"BAJO","OK"))))</f>
        <v/>
      </c>
    </row>
    <row r="2187" ht="15.75" hidden="1" customHeight="1">
      <c r="A2187" s="90" t="str">
        <f>IF(CLIENTES!A5="","",CLIENTES!A5)</f>
        <v>Bravos</v>
      </c>
      <c r="B2187" s="90" t="s">
        <v>331</v>
      </c>
      <c r="C2187" s="91" t="s">
        <v>328</v>
      </c>
      <c r="D2187" s="109" t="s">
        <v>366</v>
      </c>
      <c r="E2187" s="67" t="str">
        <f>COLORES!A9</f>
        <v>Melange</v>
      </c>
      <c r="F2187" s="67" t="str">
        <f>COLORES!B9</f>
        <v>MELANGE</v>
      </c>
      <c r="G2187" s="90" t="s">
        <v>379</v>
      </c>
      <c r="H2187" s="100">
        <f>IFERROR(SUMIFS(MOVIMIENTOS_COMPLEMENTOS!$I$4:$I$803,MOVIMIENTOS_COMPLEMENTOS!$C$4:$C$803,A2187,MOVIMIENTOS_COMPLEMENTOS!$D$4:$D$803,B2187,MOVIMIENTOS_COMPLEMENTOS!$E$4:$E$803,C2187,MOVIMIENTOS_COMPLEMENTOS!$F$4:$F$803,D2187,MOVIMIENTOS_COMPLEMENTOS!$G$4:$G$803,E2187,MOVIMIENTOS_COMPLEMENTOS!$H$4:$H$803,G2187,MOVIMIENTOS_COMPLEMENTOS!$B$4:$B$803,"INGRESO")+SUMIFS(MOVIMIENTOS_COMPLEMENTOS!$I$4:$I$803,MOVIMIENTOS_COMPLEMENTOS!$C$4:$C$803,A2187,MOVIMIENTOS_COMPLEMENTOS!$D$4:$D$803,B2187,MOVIMIENTOS_COMPLEMENTOS!$E$4:$E$803,C2187,MOVIMIENTOS_COMPLEMENTOS!$F$4:$F$803,D2187,MOVIMIENTOS_COMPLEMENTOS!$G$4:$G$803,E2187,MOVIMIENTOS_COMPLEMENTOS!$H$4:$H$803,G2187,MOVIMIENTOS_COMPLEMENTOS!$B$4:$B$803,"DE CORTE")-SUMIFS(MOVIMIENTOS_COMPLEMENTOS!$I$4:$I$803,MOVIMIENTOS_COMPLEMENTOS!$C$4:$C$803,A2187,MOVIMIENTOS_COMPLEMENTOS!$D$4:$D$803,B2187,MOVIMIENTOS_COMPLEMENTOS!$E$4:$E$803,C2187,MOVIMIENTOS_COMPLEMENTOS!$F$4:$F$803,D2187,MOVIMIENTOS_COMPLEMENTOS!$G$4:$G$803,E2187,MOVIMIENTOS_COMPLEMENTOS!$H$4:$H$803,G2187,MOVIMIENTOS_COMPLEMENTOS!$B$4:$B$803,"SALIDA"),0)</f>
        <v>0</v>
      </c>
      <c r="I2187" s="102">
        <f t="array" ref="I2187">IFERROR(INDEX(PRECIOS_COMPLEMENTOS!$C$4:$F$17,MATCH(B2187&amp;"_"&amp;C2187,PRECIOS_COMPLEMENTOS!$H$4:$H$17,0),IF(OR(G2187="S",G2187="20cm"),1,IF(OR(G2187="M",G2187="25cm"),2,IF(OR(G2187="L",G2187="30cm"),3,IF(OR(G2187="XL",G2187="35cm"),4,0))))),0)</f>
        <v>0.6</v>
      </c>
      <c r="J2187" s="103">
        <f t="shared" si="1"/>
        <v>0</v>
      </c>
      <c r="K2187" s="104" t="str">
        <f>IF(H2187&lt;0,"ERROR",IF(H2187=0,"",IF(H2187&lt;CONFIG!$B$4,"CRÍTICO",IF(H2187&lt;CONFIG!$B$5,"BAJO","OK"))))</f>
        <v/>
      </c>
    </row>
    <row r="2188" ht="15.75" hidden="1" customHeight="1">
      <c r="A2188" s="90" t="str">
        <f>IF(CLIENTES!A5="","",CLIENTES!A5)</f>
        <v>Bravos</v>
      </c>
      <c r="B2188" s="90" t="s">
        <v>331</v>
      </c>
      <c r="C2188" s="91" t="s">
        <v>328</v>
      </c>
      <c r="D2188" s="109" t="s">
        <v>366</v>
      </c>
      <c r="E2188" s="67" t="str">
        <f>COLORES!A10</f>
        <v>Botella</v>
      </c>
      <c r="F2188" s="67" t="str">
        <f>COLORES!B10</f>
        <v>OSCURO</v>
      </c>
      <c r="G2188" s="90" t="s">
        <v>378</v>
      </c>
      <c r="H2188" s="100">
        <f>IFERROR(SUMIFS(MOVIMIENTOS_COMPLEMENTOS!$I$4:$I$803,MOVIMIENTOS_COMPLEMENTOS!$C$4:$C$803,A2188,MOVIMIENTOS_COMPLEMENTOS!$D$4:$D$803,B2188,MOVIMIENTOS_COMPLEMENTOS!$E$4:$E$803,C2188,MOVIMIENTOS_COMPLEMENTOS!$F$4:$F$803,D2188,MOVIMIENTOS_COMPLEMENTOS!$G$4:$G$803,E2188,MOVIMIENTOS_COMPLEMENTOS!$H$4:$H$803,G2188,MOVIMIENTOS_COMPLEMENTOS!$B$4:$B$803,"INGRESO")+SUMIFS(MOVIMIENTOS_COMPLEMENTOS!$I$4:$I$803,MOVIMIENTOS_COMPLEMENTOS!$C$4:$C$803,A2188,MOVIMIENTOS_COMPLEMENTOS!$D$4:$D$803,B2188,MOVIMIENTOS_COMPLEMENTOS!$E$4:$E$803,C2188,MOVIMIENTOS_COMPLEMENTOS!$F$4:$F$803,D2188,MOVIMIENTOS_COMPLEMENTOS!$G$4:$G$803,E2188,MOVIMIENTOS_COMPLEMENTOS!$H$4:$H$803,G2188,MOVIMIENTOS_COMPLEMENTOS!$B$4:$B$803,"DE CORTE")-SUMIFS(MOVIMIENTOS_COMPLEMENTOS!$I$4:$I$803,MOVIMIENTOS_COMPLEMENTOS!$C$4:$C$803,A2188,MOVIMIENTOS_COMPLEMENTOS!$D$4:$D$803,B2188,MOVIMIENTOS_COMPLEMENTOS!$E$4:$E$803,C2188,MOVIMIENTOS_COMPLEMENTOS!$F$4:$F$803,D2188,MOVIMIENTOS_COMPLEMENTOS!$G$4:$G$803,E2188,MOVIMIENTOS_COMPLEMENTOS!$H$4:$H$803,G2188,MOVIMIENTOS_COMPLEMENTOS!$B$4:$B$803,"SALIDA"),0)</f>
        <v>0</v>
      </c>
      <c r="I2188" s="102">
        <f t="array" ref="I2188">IFERROR(INDEX(PRECIOS_COMPLEMENTOS!$C$4:$F$17,MATCH(B2188&amp;"_"&amp;C2188,PRECIOS_COMPLEMENTOS!$H$4:$H$17,0),IF(OR(G2188="S",G2188="20cm"),1,IF(OR(G2188="M",G2188="25cm"),2,IF(OR(G2188="L",G2188="30cm"),3,IF(OR(G2188="XL",G2188="35cm"),4,0))))),0)</f>
        <v>0.6</v>
      </c>
      <c r="J2188" s="103">
        <f t="shared" si="1"/>
        <v>0</v>
      </c>
      <c r="K2188" s="104" t="str">
        <f>IF(H2188&lt;0,"ERROR",IF(H2188=0,"",IF(H2188&lt;CONFIG!$B$4,"CRÍTICO",IF(H2188&lt;CONFIG!$B$5,"BAJO","OK"))))</f>
        <v/>
      </c>
    </row>
    <row r="2189" ht="15.75" hidden="1" customHeight="1">
      <c r="A2189" s="90" t="str">
        <f>IF(CLIENTES!A5="","",CLIENTES!A5)</f>
        <v>Bravos</v>
      </c>
      <c r="B2189" s="90" t="s">
        <v>331</v>
      </c>
      <c r="C2189" s="91" t="s">
        <v>328</v>
      </c>
      <c r="D2189" s="109" t="s">
        <v>366</v>
      </c>
      <c r="E2189" s="67" t="str">
        <f>COLORES!A10</f>
        <v>Botella</v>
      </c>
      <c r="F2189" s="67" t="str">
        <f>COLORES!B10</f>
        <v>OSCURO</v>
      </c>
      <c r="G2189" s="90" t="s">
        <v>376</v>
      </c>
      <c r="H2189" s="100">
        <f>IFERROR(SUMIFS(MOVIMIENTOS_COMPLEMENTOS!$I$4:$I$803,MOVIMIENTOS_COMPLEMENTOS!$C$4:$C$803,A2189,MOVIMIENTOS_COMPLEMENTOS!$D$4:$D$803,B2189,MOVIMIENTOS_COMPLEMENTOS!$E$4:$E$803,C2189,MOVIMIENTOS_COMPLEMENTOS!$F$4:$F$803,D2189,MOVIMIENTOS_COMPLEMENTOS!$G$4:$G$803,E2189,MOVIMIENTOS_COMPLEMENTOS!$H$4:$H$803,G2189,MOVIMIENTOS_COMPLEMENTOS!$B$4:$B$803,"INGRESO")+SUMIFS(MOVIMIENTOS_COMPLEMENTOS!$I$4:$I$803,MOVIMIENTOS_COMPLEMENTOS!$C$4:$C$803,A2189,MOVIMIENTOS_COMPLEMENTOS!$D$4:$D$803,B2189,MOVIMIENTOS_COMPLEMENTOS!$E$4:$E$803,C2189,MOVIMIENTOS_COMPLEMENTOS!$F$4:$F$803,D2189,MOVIMIENTOS_COMPLEMENTOS!$G$4:$G$803,E2189,MOVIMIENTOS_COMPLEMENTOS!$H$4:$H$803,G2189,MOVIMIENTOS_COMPLEMENTOS!$B$4:$B$803,"DE CORTE")-SUMIFS(MOVIMIENTOS_COMPLEMENTOS!$I$4:$I$803,MOVIMIENTOS_COMPLEMENTOS!$C$4:$C$803,A2189,MOVIMIENTOS_COMPLEMENTOS!$D$4:$D$803,B2189,MOVIMIENTOS_COMPLEMENTOS!$E$4:$E$803,C2189,MOVIMIENTOS_COMPLEMENTOS!$F$4:$F$803,D2189,MOVIMIENTOS_COMPLEMENTOS!$G$4:$G$803,E2189,MOVIMIENTOS_COMPLEMENTOS!$H$4:$H$803,G2189,MOVIMIENTOS_COMPLEMENTOS!$B$4:$B$803,"SALIDA"),0)</f>
        <v>0</v>
      </c>
      <c r="I2189" s="102">
        <f t="array" ref="I2189">IFERROR(INDEX(PRECIOS_COMPLEMENTOS!$C$4:$F$17,MATCH(B2189&amp;"_"&amp;C2189,PRECIOS_COMPLEMENTOS!$H$4:$H$17,0),IF(OR(G2189="S",G2189="20cm"),1,IF(OR(G2189="M",G2189="25cm"),2,IF(OR(G2189="L",G2189="30cm"),3,IF(OR(G2189="XL",G2189="35cm"),4,0))))),0)</f>
        <v>0.6</v>
      </c>
      <c r="J2189" s="103">
        <f t="shared" si="1"/>
        <v>0</v>
      </c>
      <c r="K2189" s="104" t="str">
        <f>IF(H2189&lt;0,"ERROR",IF(H2189=0,"",IF(H2189&lt;CONFIG!$B$4,"CRÍTICO",IF(H2189&lt;CONFIG!$B$5,"BAJO","OK"))))</f>
        <v/>
      </c>
    </row>
    <row r="2190" ht="15.75" hidden="1" customHeight="1">
      <c r="A2190" s="90" t="str">
        <f>IF(CLIENTES!A5="","",CLIENTES!A5)</f>
        <v>Bravos</v>
      </c>
      <c r="B2190" s="90" t="s">
        <v>331</v>
      </c>
      <c r="C2190" s="91" t="s">
        <v>328</v>
      </c>
      <c r="D2190" s="109" t="s">
        <v>366</v>
      </c>
      <c r="E2190" s="67" t="str">
        <f>COLORES!A10</f>
        <v>Botella</v>
      </c>
      <c r="F2190" s="67" t="str">
        <f>COLORES!B10</f>
        <v>OSCURO</v>
      </c>
      <c r="G2190" s="90" t="s">
        <v>377</v>
      </c>
      <c r="H2190" s="100">
        <f>IFERROR(SUMIFS(MOVIMIENTOS_COMPLEMENTOS!$I$4:$I$803,MOVIMIENTOS_COMPLEMENTOS!$C$4:$C$803,A2190,MOVIMIENTOS_COMPLEMENTOS!$D$4:$D$803,B2190,MOVIMIENTOS_COMPLEMENTOS!$E$4:$E$803,C2190,MOVIMIENTOS_COMPLEMENTOS!$F$4:$F$803,D2190,MOVIMIENTOS_COMPLEMENTOS!$G$4:$G$803,E2190,MOVIMIENTOS_COMPLEMENTOS!$H$4:$H$803,G2190,MOVIMIENTOS_COMPLEMENTOS!$B$4:$B$803,"INGRESO")+SUMIFS(MOVIMIENTOS_COMPLEMENTOS!$I$4:$I$803,MOVIMIENTOS_COMPLEMENTOS!$C$4:$C$803,A2190,MOVIMIENTOS_COMPLEMENTOS!$D$4:$D$803,B2190,MOVIMIENTOS_COMPLEMENTOS!$E$4:$E$803,C2190,MOVIMIENTOS_COMPLEMENTOS!$F$4:$F$803,D2190,MOVIMIENTOS_COMPLEMENTOS!$G$4:$G$803,E2190,MOVIMIENTOS_COMPLEMENTOS!$H$4:$H$803,G2190,MOVIMIENTOS_COMPLEMENTOS!$B$4:$B$803,"DE CORTE")-SUMIFS(MOVIMIENTOS_COMPLEMENTOS!$I$4:$I$803,MOVIMIENTOS_COMPLEMENTOS!$C$4:$C$803,A2190,MOVIMIENTOS_COMPLEMENTOS!$D$4:$D$803,B2190,MOVIMIENTOS_COMPLEMENTOS!$E$4:$E$803,C2190,MOVIMIENTOS_COMPLEMENTOS!$F$4:$F$803,D2190,MOVIMIENTOS_COMPLEMENTOS!$G$4:$G$803,E2190,MOVIMIENTOS_COMPLEMENTOS!$H$4:$H$803,G2190,MOVIMIENTOS_COMPLEMENTOS!$B$4:$B$803,"SALIDA"),0)</f>
        <v>0</v>
      </c>
      <c r="I2190" s="102">
        <f t="array" ref="I2190">IFERROR(INDEX(PRECIOS_COMPLEMENTOS!$C$4:$F$17,MATCH(B2190&amp;"_"&amp;C2190,PRECIOS_COMPLEMENTOS!$H$4:$H$17,0),IF(OR(G2190="S",G2190="20cm"),1,IF(OR(G2190="M",G2190="25cm"),2,IF(OR(G2190="L",G2190="30cm"),3,IF(OR(G2190="XL",G2190="35cm"),4,0))))),0)</f>
        <v>0.6</v>
      </c>
      <c r="J2190" s="103">
        <f t="shared" si="1"/>
        <v>0</v>
      </c>
      <c r="K2190" s="104" t="str">
        <f>IF(H2190&lt;0,"ERROR",IF(H2190=0,"",IF(H2190&lt;CONFIG!$B$4,"CRÍTICO",IF(H2190&lt;CONFIG!$B$5,"BAJO","OK"))))</f>
        <v/>
      </c>
    </row>
    <row r="2191" ht="15.75" hidden="1" customHeight="1">
      <c r="A2191" s="90" t="str">
        <f>IF(CLIENTES!A5="","",CLIENTES!A5)</f>
        <v>Bravos</v>
      </c>
      <c r="B2191" s="90" t="s">
        <v>331</v>
      </c>
      <c r="C2191" s="91" t="s">
        <v>328</v>
      </c>
      <c r="D2191" s="109" t="s">
        <v>366</v>
      </c>
      <c r="E2191" s="67" t="str">
        <f>COLORES!A10</f>
        <v>Botella</v>
      </c>
      <c r="F2191" s="67" t="str">
        <f>COLORES!B10</f>
        <v>OSCURO</v>
      </c>
      <c r="G2191" s="90" t="s">
        <v>379</v>
      </c>
      <c r="H2191" s="100">
        <f>IFERROR(SUMIFS(MOVIMIENTOS_COMPLEMENTOS!$I$4:$I$803,MOVIMIENTOS_COMPLEMENTOS!$C$4:$C$803,A2191,MOVIMIENTOS_COMPLEMENTOS!$D$4:$D$803,B2191,MOVIMIENTOS_COMPLEMENTOS!$E$4:$E$803,C2191,MOVIMIENTOS_COMPLEMENTOS!$F$4:$F$803,D2191,MOVIMIENTOS_COMPLEMENTOS!$G$4:$G$803,E2191,MOVIMIENTOS_COMPLEMENTOS!$H$4:$H$803,G2191,MOVIMIENTOS_COMPLEMENTOS!$B$4:$B$803,"INGRESO")+SUMIFS(MOVIMIENTOS_COMPLEMENTOS!$I$4:$I$803,MOVIMIENTOS_COMPLEMENTOS!$C$4:$C$803,A2191,MOVIMIENTOS_COMPLEMENTOS!$D$4:$D$803,B2191,MOVIMIENTOS_COMPLEMENTOS!$E$4:$E$803,C2191,MOVIMIENTOS_COMPLEMENTOS!$F$4:$F$803,D2191,MOVIMIENTOS_COMPLEMENTOS!$G$4:$G$803,E2191,MOVIMIENTOS_COMPLEMENTOS!$H$4:$H$803,G2191,MOVIMIENTOS_COMPLEMENTOS!$B$4:$B$803,"DE CORTE")-SUMIFS(MOVIMIENTOS_COMPLEMENTOS!$I$4:$I$803,MOVIMIENTOS_COMPLEMENTOS!$C$4:$C$803,A2191,MOVIMIENTOS_COMPLEMENTOS!$D$4:$D$803,B2191,MOVIMIENTOS_COMPLEMENTOS!$E$4:$E$803,C2191,MOVIMIENTOS_COMPLEMENTOS!$F$4:$F$803,D2191,MOVIMIENTOS_COMPLEMENTOS!$G$4:$G$803,E2191,MOVIMIENTOS_COMPLEMENTOS!$H$4:$H$803,G2191,MOVIMIENTOS_COMPLEMENTOS!$B$4:$B$803,"SALIDA"),0)</f>
        <v>0</v>
      </c>
      <c r="I2191" s="102">
        <f t="array" ref="I2191">IFERROR(INDEX(PRECIOS_COMPLEMENTOS!$C$4:$F$17,MATCH(B2191&amp;"_"&amp;C2191,PRECIOS_COMPLEMENTOS!$H$4:$H$17,0),IF(OR(G2191="S",G2191="20cm"),1,IF(OR(G2191="M",G2191="25cm"),2,IF(OR(G2191="L",G2191="30cm"),3,IF(OR(G2191="XL",G2191="35cm"),4,0))))),0)</f>
        <v>0.6</v>
      </c>
      <c r="J2191" s="103">
        <f t="shared" si="1"/>
        <v>0</v>
      </c>
      <c r="K2191" s="104" t="str">
        <f>IF(H2191&lt;0,"ERROR",IF(H2191=0,"",IF(H2191&lt;CONFIG!$B$4,"CRÍTICO",IF(H2191&lt;CONFIG!$B$5,"BAJO","OK"))))</f>
        <v/>
      </c>
    </row>
    <row r="2192" ht="15.75" hidden="1" customHeight="1">
      <c r="A2192" s="90" t="str">
        <f>IF(CLIENTES!A5="","",CLIENTES!A5)</f>
        <v>Bravos</v>
      </c>
      <c r="B2192" s="90" t="s">
        <v>331</v>
      </c>
      <c r="C2192" s="91" t="s">
        <v>328</v>
      </c>
      <c r="D2192" s="109" t="s">
        <v>366</v>
      </c>
      <c r="E2192" s="67" t="str">
        <f>COLORES!A11</f>
        <v>Pacay</v>
      </c>
      <c r="F2192" s="67" t="str">
        <f>COLORES!B11</f>
        <v>CLARO</v>
      </c>
      <c r="G2192" s="90" t="s">
        <v>378</v>
      </c>
      <c r="H2192" s="100">
        <f>IFERROR(SUMIFS(MOVIMIENTOS_COMPLEMENTOS!$I$4:$I$803,MOVIMIENTOS_COMPLEMENTOS!$C$4:$C$803,A2192,MOVIMIENTOS_COMPLEMENTOS!$D$4:$D$803,B2192,MOVIMIENTOS_COMPLEMENTOS!$E$4:$E$803,C2192,MOVIMIENTOS_COMPLEMENTOS!$F$4:$F$803,D2192,MOVIMIENTOS_COMPLEMENTOS!$G$4:$G$803,E2192,MOVIMIENTOS_COMPLEMENTOS!$H$4:$H$803,G2192,MOVIMIENTOS_COMPLEMENTOS!$B$4:$B$803,"INGRESO")+SUMIFS(MOVIMIENTOS_COMPLEMENTOS!$I$4:$I$803,MOVIMIENTOS_COMPLEMENTOS!$C$4:$C$803,A2192,MOVIMIENTOS_COMPLEMENTOS!$D$4:$D$803,B2192,MOVIMIENTOS_COMPLEMENTOS!$E$4:$E$803,C2192,MOVIMIENTOS_COMPLEMENTOS!$F$4:$F$803,D2192,MOVIMIENTOS_COMPLEMENTOS!$G$4:$G$803,E2192,MOVIMIENTOS_COMPLEMENTOS!$H$4:$H$803,G2192,MOVIMIENTOS_COMPLEMENTOS!$B$4:$B$803,"DE CORTE")-SUMIFS(MOVIMIENTOS_COMPLEMENTOS!$I$4:$I$803,MOVIMIENTOS_COMPLEMENTOS!$C$4:$C$803,A2192,MOVIMIENTOS_COMPLEMENTOS!$D$4:$D$803,B2192,MOVIMIENTOS_COMPLEMENTOS!$E$4:$E$803,C2192,MOVIMIENTOS_COMPLEMENTOS!$F$4:$F$803,D2192,MOVIMIENTOS_COMPLEMENTOS!$G$4:$G$803,E2192,MOVIMIENTOS_COMPLEMENTOS!$H$4:$H$803,G2192,MOVIMIENTOS_COMPLEMENTOS!$B$4:$B$803,"SALIDA"),0)</f>
        <v>0</v>
      </c>
      <c r="I2192" s="102">
        <f t="array" ref="I2192">IFERROR(INDEX(PRECIOS_COMPLEMENTOS!$C$4:$F$17,MATCH(B2192&amp;"_"&amp;C2192,PRECIOS_COMPLEMENTOS!$H$4:$H$17,0),IF(OR(G2192="S",G2192="20cm"),1,IF(OR(G2192="M",G2192="25cm"),2,IF(OR(G2192="L",G2192="30cm"),3,IF(OR(G2192="XL",G2192="35cm"),4,0))))),0)</f>
        <v>0.6</v>
      </c>
      <c r="J2192" s="103">
        <f t="shared" si="1"/>
        <v>0</v>
      </c>
      <c r="K2192" s="104" t="str">
        <f>IF(H2192&lt;0,"ERROR",IF(H2192=0,"",IF(H2192&lt;CONFIG!$B$4,"CRÍTICO",IF(H2192&lt;CONFIG!$B$5,"BAJO","OK"))))</f>
        <v/>
      </c>
    </row>
    <row r="2193" ht="15.75" hidden="1" customHeight="1">
      <c r="A2193" s="90" t="str">
        <f>IF(CLIENTES!A5="","",CLIENTES!A5)</f>
        <v>Bravos</v>
      </c>
      <c r="B2193" s="90" t="s">
        <v>331</v>
      </c>
      <c r="C2193" s="91" t="s">
        <v>328</v>
      </c>
      <c r="D2193" s="109" t="s">
        <v>366</v>
      </c>
      <c r="E2193" s="67" t="str">
        <f>COLORES!A11</f>
        <v>Pacay</v>
      </c>
      <c r="F2193" s="67" t="str">
        <f>COLORES!B11</f>
        <v>CLARO</v>
      </c>
      <c r="G2193" s="90" t="s">
        <v>376</v>
      </c>
      <c r="H2193" s="100">
        <f>IFERROR(SUMIFS(MOVIMIENTOS_COMPLEMENTOS!$I$4:$I$803,MOVIMIENTOS_COMPLEMENTOS!$C$4:$C$803,A2193,MOVIMIENTOS_COMPLEMENTOS!$D$4:$D$803,B2193,MOVIMIENTOS_COMPLEMENTOS!$E$4:$E$803,C2193,MOVIMIENTOS_COMPLEMENTOS!$F$4:$F$803,D2193,MOVIMIENTOS_COMPLEMENTOS!$G$4:$G$803,E2193,MOVIMIENTOS_COMPLEMENTOS!$H$4:$H$803,G2193,MOVIMIENTOS_COMPLEMENTOS!$B$4:$B$803,"INGRESO")+SUMIFS(MOVIMIENTOS_COMPLEMENTOS!$I$4:$I$803,MOVIMIENTOS_COMPLEMENTOS!$C$4:$C$803,A2193,MOVIMIENTOS_COMPLEMENTOS!$D$4:$D$803,B2193,MOVIMIENTOS_COMPLEMENTOS!$E$4:$E$803,C2193,MOVIMIENTOS_COMPLEMENTOS!$F$4:$F$803,D2193,MOVIMIENTOS_COMPLEMENTOS!$G$4:$G$803,E2193,MOVIMIENTOS_COMPLEMENTOS!$H$4:$H$803,G2193,MOVIMIENTOS_COMPLEMENTOS!$B$4:$B$803,"DE CORTE")-SUMIFS(MOVIMIENTOS_COMPLEMENTOS!$I$4:$I$803,MOVIMIENTOS_COMPLEMENTOS!$C$4:$C$803,A2193,MOVIMIENTOS_COMPLEMENTOS!$D$4:$D$803,B2193,MOVIMIENTOS_COMPLEMENTOS!$E$4:$E$803,C2193,MOVIMIENTOS_COMPLEMENTOS!$F$4:$F$803,D2193,MOVIMIENTOS_COMPLEMENTOS!$G$4:$G$803,E2193,MOVIMIENTOS_COMPLEMENTOS!$H$4:$H$803,G2193,MOVIMIENTOS_COMPLEMENTOS!$B$4:$B$803,"SALIDA"),0)</f>
        <v>0</v>
      </c>
      <c r="I2193" s="102">
        <f t="array" ref="I2193">IFERROR(INDEX(PRECIOS_COMPLEMENTOS!$C$4:$F$17,MATCH(B2193&amp;"_"&amp;C2193,PRECIOS_COMPLEMENTOS!$H$4:$H$17,0),IF(OR(G2193="S",G2193="20cm"),1,IF(OR(G2193="M",G2193="25cm"),2,IF(OR(G2193="L",G2193="30cm"),3,IF(OR(G2193="XL",G2193="35cm"),4,0))))),0)</f>
        <v>0.6</v>
      </c>
      <c r="J2193" s="103">
        <f t="shared" si="1"/>
        <v>0</v>
      </c>
      <c r="K2193" s="104" t="str">
        <f>IF(H2193&lt;0,"ERROR",IF(H2193=0,"",IF(H2193&lt;CONFIG!$B$4,"CRÍTICO",IF(H2193&lt;CONFIG!$B$5,"BAJO","OK"))))</f>
        <v/>
      </c>
    </row>
    <row r="2194" ht="15.75" hidden="1" customHeight="1">
      <c r="A2194" s="90" t="str">
        <f>IF(CLIENTES!A5="","",CLIENTES!A5)</f>
        <v>Bravos</v>
      </c>
      <c r="B2194" s="90" t="s">
        <v>331</v>
      </c>
      <c r="C2194" s="91" t="s">
        <v>328</v>
      </c>
      <c r="D2194" s="109" t="s">
        <v>366</v>
      </c>
      <c r="E2194" s="67" t="str">
        <f>COLORES!A11</f>
        <v>Pacay</v>
      </c>
      <c r="F2194" s="67" t="str">
        <f>COLORES!B11</f>
        <v>CLARO</v>
      </c>
      <c r="G2194" s="90" t="s">
        <v>377</v>
      </c>
      <c r="H2194" s="100">
        <f>IFERROR(SUMIFS(MOVIMIENTOS_COMPLEMENTOS!$I$4:$I$803,MOVIMIENTOS_COMPLEMENTOS!$C$4:$C$803,A2194,MOVIMIENTOS_COMPLEMENTOS!$D$4:$D$803,B2194,MOVIMIENTOS_COMPLEMENTOS!$E$4:$E$803,C2194,MOVIMIENTOS_COMPLEMENTOS!$F$4:$F$803,D2194,MOVIMIENTOS_COMPLEMENTOS!$G$4:$G$803,E2194,MOVIMIENTOS_COMPLEMENTOS!$H$4:$H$803,G2194,MOVIMIENTOS_COMPLEMENTOS!$B$4:$B$803,"INGRESO")+SUMIFS(MOVIMIENTOS_COMPLEMENTOS!$I$4:$I$803,MOVIMIENTOS_COMPLEMENTOS!$C$4:$C$803,A2194,MOVIMIENTOS_COMPLEMENTOS!$D$4:$D$803,B2194,MOVIMIENTOS_COMPLEMENTOS!$E$4:$E$803,C2194,MOVIMIENTOS_COMPLEMENTOS!$F$4:$F$803,D2194,MOVIMIENTOS_COMPLEMENTOS!$G$4:$G$803,E2194,MOVIMIENTOS_COMPLEMENTOS!$H$4:$H$803,G2194,MOVIMIENTOS_COMPLEMENTOS!$B$4:$B$803,"DE CORTE")-SUMIFS(MOVIMIENTOS_COMPLEMENTOS!$I$4:$I$803,MOVIMIENTOS_COMPLEMENTOS!$C$4:$C$803,A2194,MOVIMIENTOS_COMPLEMENTOS!$D$4:$D$803,B2194,MOVIMIENTOS_COMPLEMENTOS!$E$4:$E$803,C2194,MOVIMIENTOS_COMPLEMENTOS!$F$4:$F$803,D2194,MOVIMIENTOS_COMPLEMENTOS!$G$4:$G$803,E2194,MOVIMIENTOS_COMPLEMENTOS!$H$4:$H$803,G2194,MOVIMIENTOS_COMPLEMENTOS!$B$4:$B$803,"SALIDA"),0)</f>
        <v>0</v>
      </c>
      <c r="I2194" s="102">
        <f t="array" ref="I2194">IFERROR(INDEX(PRECIOS_COMPLEMENTOS!$C$4:$F$17,MATCH(B2194&amp;"_"&amp;C2194,PRECIOS_COMPLEMENTOS!$H$4:$H$17,0),IF(OR(G2194="S",G2194="20cm"),1,IF(OR(G2194="M",G2194="25cm"),2,IF(OR(G2194="L",G2194="30cm"),3,IF(OR(G2194="XL",G2194="35cm"),4,0))))),0)</f>
        <v>0.6</v>
      </c>
      <c r="J2194" s="103">
        <f t="shared" si="1"/>
        <v>0</v>
      </c>
      <c r="K2194" s="104" t="str">
        <f>IF(H2194&lt;0,"ERROR",IF(H2194=0,"",IF(H2194&lt;CONFIG!$B$4,"CRÍTICO",IF(H2194&lt;CONFIG!$B$5,"BAJO","OK"))))</f>
        <v/>
      </c>
    </row>
    <row r="2195" ht="15.75" hidden="1" customHeight="1">
      <c r="A2195" s="90" t="str">
        <f>IF(CLIENTES!A5="","",CLIENTES!A5)</f>
        <v>Bravos</v>
      </c>
      <c r="B2195" s="90" t="s">
        <v>331</v>
      </c>
      <c r="C2195" s="91" t="s">
        <v>328</v>
      </c>
      <c r="D2195" s="109" t="s">
        <v>366</v>
      </c>
      <c r="E2195" s="67" t="str">
        <f>COLORES!A11</f>
        <v>Pacay</v>
      </c>
      <c r="F2195" s="67" t="str">
        <f>COLORES!B11</f>
        <v>CLARO</v>
      </c>
      <c r="G2195" s="90" t="s">
        <v>379</v>
      </c>
      <c r="H2195" s="100">
        <f>IFERROR(SUMIFS(MOVIMIENTOS_COMPLEMENTOS!$I$4:$I$803,MOVIMIENTOS_COMPLEMENTOS!$C$4:$C$803,A2195,MOVIMIENTOS_COMPLEMENTOS!$D$4:$D$803,B2195,MOVIMIENTOS_COMPLEMENTOS!$E$4:$E$803,C2195,MOVIMIENTOS_COMPLEMENTOS!$F$4:$F$803,D2195,MOVIMIENTOS_COMPLEMENTOS!$G$4:$G$803,E2195,MOVIMIENTOS_COMPLEMENTOS!$H$4:$H$803,G2195,MOVIMIENTOS_COMPLEMENTOS!$B$4:$B$803,"INGRESO")+SUMIFS(MOVIMIENTOS_COMPLEMENTOS!$I$4:$I$803,MOVIMIENTOS_COMPLEMENTOS!$C$4:$C$803,A2195,MOVIMIENTOS_COMPLEMENTOS!$D$4:$D$803,B2195,MOVIMIENTOS_COMPLEMENTOS!$E$4:$E$803,C2195,MOVIMIENTOS_COMPLEMENTOS!$F$4:$F$803,D2195,MOVIMIENTOS_COMPLEMENTOS!$G$4:$G$803,E2195,MOVIMIENTOS_COMPLEMENTOS!$H$4:$H$803,G2195,MOVIMIENTOS_COMPLEMENTOS!$B$4:$B$803,"DE CORTE")-SUMIFS(MOVIMIENTOS_COMPLEMENTOS!$I$4:$I$803,MOVIMIENTOS_COMPLEMENTOS!$C$4:$C$803,A2195,MOVIMIENTOS_COMPLEMENTOS!$D$4:$D$803,B2195,MOVIMIENTOS_COMPLEMENTOS!$E$4:$E$803,C2195,MOVIMIENTOS_COMPLEMENTOS!$F$4:$F$803,D2195,MOVIMIENTOS_COMPLEMENTOS!$G$4:$G$803,E2195,MOVIMIENTOS_COMPLEMENTOS!$H$4:$H$803,G2195,MOVIMIENTOS_COMPLEMENTOS!$B$4:$B$803,"SALIDA"),0)</f>
        <v>0</v>
      </c>
      <c r="I2195" s="102">
        <f t="array" ref="I2195">IFERROR(INDEX(PRECIOS_COMPLEMENTOS!$C$4:$F$17,MATCH(B2195&amp;"_"&amp;C2195,PRECIOS_COMPLEMENTOS!$H$4:$H$17,0),IF(OR(G2195="S",G2195="20cm"),1,IF(OR(G2195="M",G2195="25cm"),2,IF(OR(G2195="L",G2195="30cm"),3,IF(OR(G2195="XL",G2195="35cm"),4,0))))),0)</f>
        <v>0.6</v>
      </c>
      <c r="J2195" s="103">
        <f t="shared" si="1"/>
        <v>0</v>
      </c>
      <c r="K2195" s="104" t="str">
        <f>IF(H2195&lt;0,"ERROR",IF(H2195=0,"",IF(H2195&lt;CONFIG!$B$4,"CRÍTICO",IF(H2195&lt;CONFIG!$B$5,"BAJO","OK"))))</f>
        <v/>
      </c>
    </row>
    <row r="2196" ht="15.75" hidden="1" customHeight="1">
      <c r="A2196" s="90" t="str">
        <f>IF(CLIENTES!A5="","",CLIENTES!A5)</f>
        <v>Bravos</v>
      </c>
      <c r="B2196" s="90" t="s">
        <v>331</v>
      </c>
      <c r="C2196" s="91" t="s">
        <v>328</v>
      </c>
      <c r="D2196" s="109" t="s">
        <v>366</v>
      </c>
      <c r="E2196" s="67" t="str">
        <f>COLORES!A12</f>
        <v>Cemento</v>
      </c>
      <c r="F2196" s="67" t="str">
        <f>COLORES!B12</f>
        <v>CLARO</v>
      </c>
      <c r="G2196" s="90" t="s">
        <v>378</v>
      </c>
      <c r="H2196" s="100">
        <f>IFERROR(SUMIFS(MOVIMIENTOS_COMPLEMENTOS!$I$4:$I$803,MOVIMIENTOS_COMPLEMENTOS!$C$4:$C$803,A2196,MOVIMIENTOS_COMPLEMENTOS!$D$4:$D$803,B2196,MOVIMIENTOS_COMPLEMENTOS!$E$4:$E$803,C2196,MOVIMIENTOS_COMPLEMENTOS!$F$4:$F$803,D2196,MOVIMIENTOS_COMPLEMENTOS!$G$4:$G$803,E2196,MOVIMIENTOS_COMPLEMENTOS!$H$4:$H$803,G2196,MOVIMIENTOS_COMPLEMENTOS!$B$4:$B$803,"INGRESO")+SUMIFS(MOVIMIENTOS_COMPLEMENTOS!$I$4:$I$803,MOVIMIENTOS_COMPLEMENTOS!$C$4:$C$803,A2196,MOVIMIENTOS_COMPLEMENTOS!$D$4:$D$803,B2196,MOVIMIENTOS_COMPLEMENTOS!$E$4:$E$803,C2196,MOVIMIENTOS_COMPLEMENTOS!$F$4:$F$803,D2196,MOVIMIENTOS_COMPLEMENTOS!$G$4:$G$803,E2196,MOVIMIENTOS_COMPLEMENTOS!$H$4:$H$803,G2196,MOVIMIENTOS_COMPLEMENTOS!$B$4:$B$803,"DE CORTE")-SUMIFS(MOVIMIENTOS_COMPLEMENTOS!$I$4:$I$803,MOVIMIENTOS_COMPLEMENTOS!$C$4:$C$803,A2196,MOVIMIENTOS_COMPLEMENTOS!$D$4:$D$803,B2196,MOVIMIENTOS_COMPLEMENTOS!$E$4:$E$803,C2196,MOVIMIENTOS_COMPLEMENTOS!$F$4:$F$803,D2196,MOVIMIENTOS_COMPLEMENTOS!$G$4:$G$803,E2196,MOVIMIENTOS_COMPLEMENTOS!$H$4:$H$803,G2196,MOVIMIENTOS_COMPLEMENTOS!$B$4:$B$803,"SALIDA"),0)</f>
        <v>0</v>
      </c>
      <c r="I2196" s="102">
        <f t="array" ref="I2196">IFERROR(INDEX(PRECIOS_COMPLEMENTOS!$C$4:$F$17,MATCH(B2196&amp;"_"&amp;C2196,PRECIOS_COMPLEMENTOS!$H$4:$H$17,0),IF(OR(G2196="S",G2196="20cm"),1,IF(OR(G2196="M",G2196="25cm"),2,IF(OR(G2196="L",G2196="30cm"),3,IF(OR(G2196="XL",G2196="35cm"),4,0))))),0)</f>
        <v>0.6</v>
      </c>
      <c r="J2196" s="103">
        <f t="shared" si="1"/>
        <v>0</v>
      </c>
      <c r="K2196" s="104" t="str">
        <f>IF(H2196&lt;0,"ERROR",IF(H2196=0,"",IF(H2196&lt;CONFIG!$B$4,"CRÍTICO",IF(H2196&lt;CONFIG!$B$5,"BAJO","OK"))))</f>
        <v/>
      </c>
    </row>
    <row r="2197" ht="15.75" hidden="1" customHeight="1">
      <c r="A2197" s="90" t="str">
        <f>IF(CLIENTES!A5="","",CLIENTES!A5)</f>
        <v>Bravos</v>
      </c>
      <c r="B2197" s="90" t="s">
        <v>331</v>
      </c>
      <c r="C2197" s="91" t="s">
        <v>328</v>
      </c>
      <c r="D2197" s="109" t="s">
        <v>366</v>
      </c>
      <c r="E2197" s="67" t="str">
        <f>COLORES!A12</f>
        <v>Cemento</v>
      </c>
      <c r="F2197" s="67" t="str">
        <f>COLORES!B12</f>
        <v>CLARO</v>
      </c>
      <c r="G2197" s="90" t="s">
        <v>376</v>
      </c>
      <c r="H2197" s="100">
        <f>IFERROR(SUMIFS(MOVIMIENTOS_COMPLEMENTOS!$I$4:$I$803,MOVIMIENTOS_COMPLEMENTOS!$C$4:$C$803,A2197,MOVIMIENTOS_COMPLEMENTOS!$D$4:$D$803,B2197,MOVIMIENTOS_COMPLEMENTOS!$E$4:$E$803,C2197,MOVIMIENTOS_COMPLEMENTOS!$F$4:$F$803,D2197,MOVIMIENTOS_COMPLEMENTOS!$G$4:$G$803,E2197,MOVIMIENTOS_COMPLEMENTOS!$H$4:$H$803,G2197,MOVIMIENTOS_COMPLEMENTOS!$B$4:$B$803,"INGRESO")+SUMIFS(MOVIMIENTOS_COMPLEMENTOS!$I$4:$I$803,MOVIMIENTOS_COMPLEMENTOS!$C$4:$C$803,A2197,MOVIMIENTOS_COMPLEMENTOS!$D$4:$D$803,B2197,MOVIMIENTOS_COMPLEMENTOS!$E$4:$E$803,C2197,MOVIMIENTOS_COMPLEMENTOS!$F$4:$F$803,D2197,MOVIMIENTOS_COMPLEMENTOS!$G$4:$G$803,E2197,MOVIMIENTOS_COMPLEMENTOS!$H$4:$H$803,G2197,MOVIMIENTOS_COMPLEMENTOS!$B$4:$B$803,"DE CORTE")-SUMIFS(MOVIMIENTOS_COMPLEMENTOS!$I$4:$I$803,MOVIMIENTOS_COMPLEMENTOS!$C$4:$C$803,A2197,MOVIMIENTOS_COMPLEMENTOS!$D$4:$D$803,B2197,MOVIMIENTOS_COMPLEMENTOS!$E$4:$E$803,C2197,MOVIMIENTOS_COMPLEMENTOS!$F$4:$F$803,D2197,MOVIMIENTOS_COMPLEMENTOS!$G$4:$G$803,E2197,MOVIMIENTOS_COMPLEMENTOS!$H$4:$H$803,G2197,MOVIMIENTOS_COMPLEMENTOS!$B$4:$B$803,"SALIDA"),0)</f>
        <v>0</v>
      </c>
      <c r="I2197" s="102">
        <f t="array" ref="I2197">IFERROR(INDEX(PRECIOS_COMPLEMENTOS!$C$4:$F$17,MATCH(B2197&amp;"_"&amp;C2197,PRECIOS_COMPLEMENTOS!$H$4:$H$17,0),IF(OR(G2197="S",G2197="20cm"),1,IF(OR(G2197="M",G2197="25cm"),2,IF(OR(G2197="L",G2197="30cm"),3,IF(OR(G2197="XL",G2197="35cm"),4,0))))),0)</f>
        <v>0.6</v>
      </c>
      <c r="J2197" s="103">
        <f t="shared" si="1"/>
        <v>0</v>
      </c>
      <c r="K2197" s="104" t="str">
        <f>IF(H2197&lt;0,"ERROR",IF(H2197=0,"",IF(H2197&lt;CONFIG!$B$4,"CRÍTICO",IF(H2197&lt;CONFIG!$B$5,"BAJO","OK"))))</f>
        <v/>
      </c>
    </row>
    <row r="2198" ht="15.75" hidden="1" customHeight="1">
      <c r="A2198" s="90" t="str">
        <f>IF(CLIENTES!A5="","",CLIENTES!A5)</f>
        <v>Bravos</v>
      </c>
      <c r="B2198" s="90" t="s">
        <v>331</v>
      </c>
      <c r="C2198" s="91" t="s">
        <v>328</v>
      </c>
      <c r="D2198" s="109" t="s">
        <v>366</v>
      </c>
      <c r="E2198" s="67" t="str">
        <f>COLORES!A12</f>
        <v>Cemento</v>
      </c>
      <c r="F2198" s="67" t="str">
        <f>COLORES!B12</f>
        <v>CLARO</v>
      </c>
      <c r="G2198" s="90" t="s">
        <v>377</v>
      </c>
      <c r="H2198" s="100">
        <f>IFERROR(SUMIFS(MOVIMIENTOS_COMPLEMENTOS!$I$4:$I$803,MOVIMIENTOS_COMPLEMENTOS!$C$4:$C$803,A2198,MOVIMIENTOS_COMPLEMENTOS!$D$4:$D$803,B2198,MOVIMIENTOS_COMPLEMENTOS!$E$4:$E$803,C2198,MOVIMIENTOS_COMPLEMENTOS!$F$4:$F$803,D2198,MOVIMIENTOS_COMPLEMENTOS!$G$4:$G$803,E2198,MOVIMIENTOS_COMPLEMENTOS!$H$4:$H$803,G2198,MOVIMIENTOS_COMPLEMENTOS!$B$4:$B$803,"INGRESO")+SUMIFS(MOVIMIENTOS_COMPLEMENTOS!$I$4:$I$803,MOVIMIENTOS_COMPLEMENTOS!$C$4:$C$803,A2198,MOVIMIENTOS_COMPLEMENTOS!$D$4:$D$803,B2198,MOVIMIENTOS_COMPLEMENTOS!$E$4:$E$803,C2198,MOVIMIENTOS_COMPLEMENTOS!$F$4:$F$803,D2198,MOVIMIENTOS_COMPLEMENTOS!$G$4:$G$803,E2198,MOVIMIENTOS_COMPLEMENTOS!$H$4:$H$803,G2198,MOVIMIENTOS_COMPLEMENTOS!$B$4:$B$803,"DE CORTE")-SUMIFS(MOVIMIENTOS_COMPLEMENTOS!$I$4:$I$803,MOVIMIENTOS_COMPLEMENTOS!$C$4:$C$803,A2198,MOVIMIENTOS_COMPLEMENTOS!$D$4:$D$803,B2198,MOVIMIENTOS_COMPLEMENTOS!$E$4:$E$803,C2198,MOVIMIENTOS_COMPLEMENTOS!$F$4:$F$803,D2198,MOVIMIENTOS_COMPLEMENTOS!$G$4:$G$803,E2198,MOVIMIENTOS_COMPLEMENTOS!$H$4:$H$803,G2198,MOVIMIENTOS_COMPLEMENTOS!$B$4:$B$803,"SALIDA"),0)</f>
        <v>0</v>
      </c>
      <c r="I2198" s="102">
        <f t="array" ref="I2198">IFERROR(INDEX(PRECIOS_COMPLEMENTOS!$C$4:$F$17,MATCH(B2198&amp;"_"&amp;C2198,PRECIOS_COMPLEMENTOS!$H$4:$H$17,0),IF(OR(G2198="S",G2198="20cm"),1,IF(OR(G2198="M",G2198="25cm"),2,IF(OR(G2198="L",G2198="30cm"),3,IF(OR(G2198="XL",G2198="35cm"),4,0))))),0)</f>
        <v>0.6</v>
      </c>
      <c r="J2198" s="103">
        <f t="shared" si="1"/>
        <v>0</v>
      </c>
      <c r="K2198" s="104" t="str">
        <f>IF(H2198&lt;0,"ERROR",IF(H2198=0,"",IF(H2198&lt;CONFIG!$B$4,"CRÍTICO",IF(H2198&lt;CONFIG!$B$5,"BAJO","OK"))))</f>
        <v/>
      </c>
    </row>
    <row r="2199" ht="15.75" hidden="1" customHeight="1">
      <c r="A2199" s="90" t="str">
        <f>IF(CLIENTES!A5="","",CLIENTES!A5)</f>
        <v>Bravos</v>
      </c>
      <c r="B2199" s="90" t="s">
        <v>331</v>
      </c>
      <c r="C2199" s="91" t="s">
        <v>328</v>
      </c>
      <c r="D2199" s="109" t="s">
        <v>366</v>
      </c>
      <c r="E2199" s="67" t="str">
        <f>COLORES!A12</f>
        <v>Cemento</v>
      </c>
      <c r="F2199" s="67" t="str">
        <f>COLORES!B12</f>
        <v>CLARO</v>
      </c>
      <c r="G2199" s="90" t="s">
        <v>379</v>
      </c>
      <c r="H2199" s="100">
        <f>IFERROR(SUMIFS(MOVIMIENTOS_COMPLEMENTOS!$I$4:$I$803,MOVIMIENTOS_COMPLEMENTOS!$C$4:$C$803,A2199,MOVIMIENTOS_COMPLEMENTOS!$D$4:$D$803,B2199,MOVIMIENTOS_COMPLEMENTOS!$E$4:$E$803,C2199,MOVIMIENTOS_COMPLEMENTOS!$F$4:$F$803,D2199,MOVIMIENTOS_COMPLEMENTOS!$G$4:$G$803,E2199,MOVIMIENTOS_COMPLEMENTOS!$H$4:$H$803,G2199,MOVIMIENTOS_COMPLEMENTOS!$B$4:$B$803,"INGRESO")+SUMIFS(MOVIMIENTOS_COMPLEMENTOS!$I$4:$I$803,MOVIMIENTOS_COMPLEMENTOS!$C$4:$C$803,A2199,MOVIMIENTOS_COMPLEMENTOS!$D$4:$D$803,B2199,MOVIMIENTOS_COMPLEMENTOS!$E$4:$E$803,C2199,MOVIMIENTOS_COMPLEMENTOS!$F$4:$F$803,D2199,MOVIMIENTOS_COMPLEMENTOS!$G$4:$G$803,E2199,MOVIMIENTOS_COMPLEMENTOS!$H$4:$H$803,G2199,MOVIMIENTOS_COMPLEMENTOS!$B$4:$B$803,"DE CORTE")-SUMIFS(MOVIMIENTOS_COMPLEMENTOS!$I$4:$I$803,MOVIMIENTOS_COMPLEMENTOS!$C$4:$C$803,A2199,MOVIMIENTOS_COMPLEMENTOS!$D$4:$D$803,B2199,MOVIMIENTOS_COMPLEMENTOS!$E$4:$E$803,C2199,MOVIMIENTOS_COMPLEMENTOS!$F$4:$F$803,D2199,MOVIMIENTOS_COMPLEMENTOS!$G$4:$G$803,E2199,MOVIMIENTOS_COMPLEMENTOS!$H$4:$H$803,G2199,MOVIMIENTOS_COMPLEMENTOS!$B$4:$B$803,"SALIDA"),0)</f>
        <v>0</v>
      </c>
      <c r="I2199" s="102">
        <f t="array" ref="I2199">IFERROR(INDEX(PRECIOS_COMPLEMENTOS!$C$4:$F$17,MATCH(B2199&amp;"_"&amp;C2199,PRECIOS_COMPLEMENTOS!$H$4:$H$17,0),IF(OR(G2199="S",G2199="20cm"),1,IF(OR(G2199="M",G2199="25cm"),2,IF(OR(G2199="L",G2199="30cm"),3,IF(OR(G2199="XL",G2199="35cm"),4,0))))),0)</f>
        <v>0.6</v>
      </c>
      <c r="J2199" s="103">
        <f t="shared" si="1"/>
        <v>0</v>
      </c>
      <c r="K2199" s="104" t="str">
        <f>IF(H2199&lt;0,"ERROR",IF(H2199=0,"",IF(H2199&lt;CONFIG!$B$4,"CRÍTICO",IF(H2199&lt;CONFIG!$B$5,"BAJO","OK"))))</f>
        <v/>
      </c>
    </row>
    <row r="2200" ht="15.75" hidden="1" customHeight="1">
      <c r="A2200" s="90" t="str">
        <f>IF(CLIENTES!A5="","",CLIENTES!A5)</f>
        <v>Bravos</v>
      </c>
      <c r="B2200" s="90" t="s">
        <v>331</v>
      </c>
      <c r="C2200" s="91" t="s">
        <v>328</v>
      </c>
      <c r="D2200" s="109" t="s">
        <v>366</v>
      </c>
      <c r="E2200" s="67" t="str">
        <f>COLORES!A13</f>
        <v>Camote</v>
      </c>
      <c r="F2200" s="67" t="str">
        <f>COLORES!B13</f>
        <v>CLARO</v>
      </c>
      <c r="G2200" s="90" t="s">
        <v>378</v>
      </c>
      <c r="H2200" s="100">
        <f>IFERROR(SUMIFS(MOVIMIENTOS_COMPLEMENTOS!$I$4:$I$803,MOVIMIENTOS_COMPLEMENTOS!$C$4:$C$803,A2200,MOVIMIENTOS_COMPLEMENTOS!$D$4:$D$803,B2200,MOVIMIENTOS_COMPLEMENTOS!$E$4:$E$803,C2200,MOVIMIENTOS_COMPLEMENTOS!$F$4:$F$803,D2200,MOVIMIENTOS_COMPLEMENTOS!$G$4:$G$803,E2200,MOVIMIENTOS_COMPLEMENTOS!$H$4:$H$803,G2200,MOVIMIENTOS_COMPLEMENTOS!$B$4:$B$803,"INGRESO")+SUMIFS(MOVIMIENTOS_COMPLEMENTOS!$I$4:$I$803,MOVIMIENTOS_COMPLEMENTOS!$C$4:$C$803,A2200,MOVIMIENTOS_COMPLEMENTOS!$D$4:$D$803,B2200,MOVIMIENTOS_COMPLEMENTOS!$E$4:$E$803,C2200,MOVIMIENTOS_COMPLEMENTOS!$F$4:$F$803,D2200,MOVIMIENTOS_COMPLEMENTOS!$G$4:$G$803,E2200,MOVIMIENTOS_COMPLEMENTOS!$H$4:$H$803,G2200,MOVIMIENTOS_COMPLEMENTOS!$B$4:$B$803,"DE CORTE")-SUMIFS(MOVIMIENTOS_COMPLEMENTOS!$I$4:$I$803,MOVIMIENTOS_COMPLEMENTOS!$C$4:$C$803,A2200,MOVIMIENTOS_COMPLEMENTOS!$D$4:$D$803,B2200,MOVIMIENTOS_COMPLEMENTOS!$E$4:$E$803,C2200,MOVIMIENTOS_COMPLEMENTOS!$F$4:$F$803,D2200,MOVIMIENTOS_COMPLEMENTOS!$G$4:$G$803,E2200,MOVIMIENTOS_COMPLEMENTOS!$H$4:$H$803,G2200,MOVIMIENTOS_COMPLEMENTOS!$B$4:$B$803,"SALIDA"),0)</f>
        <v>0</v>
      </c>
      <c r="I2200" s="102">
        <f t="array" ref="I2200">IFERROR(INDEX(PRECIOS_COMPLEMENTOS!$C$4:$F$17,MATCH(B2200&amp;"_"&amp;C2200,PRECIOS_COMPLEMENTOS!$H$4:$H$17,0),IF(OR(G2200="S",G2200="20cm"),1,IF(OR(G2200="M",G2200="25cm"),2,IF(OR(G2200="L",G2200="30cm"),3,IF(OR(G2200="XL",G2200="35cm"),4,0))))),0)</f>
        <v>0.6</v>
      </c>
      <c r="J2200" s="103">
        <f t="shared" si="1"/>
        <v>0</v>
      </c>
      <c r="K2200" s="104" t="str">
        <f>IF(H2200&lt;0,"ERROR",IF(H2200=0,"",IF(H2200&lt;CONFIG!$B$4,"CRÍTICO",IF(H2200&lt;CONFIG!$B$5,"BAJO","OK"))))</f>
        <v/>
      </c>
    </row>
    <row r="2201" ht="15.75" hidden="1" customHeight="1">
      <c r="A2201" s="90" t="str">
        <f>IF(CLIENTES!A5="","",CLIENTES!A5)</f>
        <v>Bravos</v>
      </c>
      <c r="B2201" s="90" t="s">
        <v>331</v>
      </c>
      <c r="C2201" s="91" t="s">
        <v>328</v>
      </c>
      <c r="D2201" s="109" t="s">
        <v>366</v>
      </c>
      <c r="E2201" s="67" t="str">
        <f>COLORES!A13</f>
        <v>Camote</v>
      </c>
      <c r="F2201" s="67" t="str">
        <f>COLORES!B13</f>
        <v>CLARO</v>
      </c>
      <c r="G2201" s="90" t="s">
        <v>376</v>
      </c>
      <c r="H2201" s="100">
        <f>IFERROR(SUMIFS(MOVIMIENTOS_COMPLEMENTOS!$I$4:$I$803,MOVIMIENTOS_COMPLEMENTOS!$C$4:$C$803,A2201,MOVIMIENTOS_COMPLEMENTOS!$D$4:$D$803,B2201,MOVIMIENTOS_COMPLEMENTOS!$E$4:$E$803,C2201,MOVIMIENTOS_COMPLEMENTOS!$F$4:$F$803,D2201,MOVIMIENTOS_COMPLEMENTOS!$G$4:$G$803,E2201,MOVIMIENTOS_COMPLEMENTOS!$H$4:$H$803,G2201,MOVIMIENTOS_COMPLEMENTOS!$B$4:$B$803,"INGRESO")+SUMIFS(MOVIMIENTOS_COMPLEMENTOS!$I$4:$I$803,MOVIMIENTOS_COMPLEMENTOS!$C$4:$C$803,A2201,MOVIMIENTOS_COMPLEMENTOS!$D$4:$D$803,B2201,MOVIMIENTOS_COMPLEMENTOS!$E$4:$E$803,C2201,MOVIMIENTOS_COMPLEMENTOS!$F$4:$F$803,D2201,MOVIMIENTOS_COMPLEMENTOS!$G$4:$G$803,E2201,MOVIMIENTOS_COMPLEMENTOS!$H$4:$H$803,G2201,MOVIMIENTOS_COMPLEMENTOS!$B$4:$B$803,"DE CORTE")-SUMIFS(MOVIMIENTOS_COMPLEMENTOS!$I$4:$I$803,MOVIMIENTOS_COMPLEMENTOS!$C$4:$C$803,A2201,MOVIMIENTOS_COMPLEMENTOS!$D$4:$D$803,B2201,MOVIMIENTOS_COMPLEMENTOS!$E$4:$E$803,C2201,MOVIMIENTOS_COMPLEMENTOS!$F$4:$F$803,D2201,MOVIMIENTOS_COMPLEMENTOS!$G$4:$G$803,E2201,MOVIMIENTOS_COMPLEMENTOS!$H$4:$H$803,G2201,MOVIMIENTOS_COMPLEMENTOS!$B$4:$B$803,"SALIDA"),0)</f>
        <v>0</v>
      </c>
      <c r="I2201" s="102">
        <f t="array" ref="I2201">IFERROR(INDEX(PRECIOS_COMPLEMENTOS!$C$4:$F$17,MATCH(B2201&amp;"_"&amp;C2201,PRECIOS_COMPLEMENTOS!$H$4:$H$17,0),IF(OR(G2201="S",G2201="20cm"),1,IF(OR(G2201="M",G2201="25cm"),2,IF(OR(G2201="L",G2201="30cm"),3,IF(OR(G2201="XL",G2201="35cm"),4,0))))),0)</f>
        <v>0.6</v>
      </c>
      <c r="J2201" s="103">
        <f t="shared" si="1"/>
        <v>0</v>
      </c>
      <c r="K2201" s="104" t="str">
        <f>IF(H2201&lt;0,"ERROR",IF(H2201=0,"",IF(H2201&lt;CONFIG!$B$4,"CRÍTICO",IF(H2201&lt;CONFIG!$B$5,"BAJO","OK"))))</f>
        <v/>
      </c>
    </row>
    <row r="2202" ht="15.75" hidden="1" customHeight="1">
      <c r="A2202" s="90" t="str">
        <f>IF(CLIENTES!A5="","",CLIENTES!A5)</f>
        <v>Bravos</v>
      </c>
      <c r="B2202" s="90" t="s">
        <v>331</v>
      </c>
      <c r="C2202" s="91" t="s">
        <v>328</v>
      </c>
      <c r="D2202" s="109" t="s">
        <v>366</v>
      </c>
      <c r="E2202" s="67" t="str">
        <f>COLORES!A13</f>
        <v>Camote</v>
      </c>
      <c r="F2202" s="67" t="str">
        <f>COLORES!B13</f>
        <v>CLARO</v>
      </c>
      <c r="G2202" s="90" t="s">
        <v>377</v>
      </c>
      <c r="H2202" s="100">
        <f>IFERROR(SUMIFS(MOVIMIENTOS_COMPLEMENTOS!$I$4:$I$803,MOVIMIENTOS_COMPLEMENTOS!$C$4:$C$803,A2202,MOVIMIENTOS_COMPLEMENTOS!$D$4:$D$803,B2202,MOVIMIENTOS_COMPLEMENTOS!$E$4:$E$803,C2202,MOVIMIENTOS_COMPLEMENTOS!$F$4:$F$803,D2202,MOVIMIENTOS_COMPLEMENTOS!$G$4:$G$803,E2202,MOVIMIENTOS_COMPLEMENTOS!$H$4:$H$803,G2202,MOVIMIENTOS_COMPLEMENTOS!$B$4:$B$803,"INGRESO")+SUMIFS(MOVIMIENTOS_COMPLEMENTOS!$I$4:$I$803,MOVIMIENTOS_COMPLEMENTOS!$C$4:$C$803,A2202,MOVIMIENTOS_COMPLEMENTOS!$D$4:$D$803,B2202,MOVIMIENTOS_COMPLEMENTOS!$E$4:$E$803,C2202,MOVIMIENTOS_COMPLEMENTOS!$F$4:$F$803,D2202,MOVIMIENTOS_COMPLEMENTOS!$G$4:$G$803,E2202,MOVIMIENTOS_COMPLEMENTOS!$H$4:$H$803,G2202,MOVIMIENTOS_COMPLEMENTOS!$B$4:$B$803,"DE CORTE")-SUMIFS(MOVIMIENTOS_COMPLEMENTOS!$I$4:$I$803,MOVIMIENTOS_COMPLEMENTOS!$C$4:$C$803,A2202,MOVIMIENTOS_COMPLEMENTOS!$D$4:$D$803,B2202,MOVIMIENTOS_COMPLEMENTOS!$E$4:$E$803,C2202,MOVIMIENTOS_COMPLEMENTOS!$F$4:$F$803,D2202,MOVIMIENTOS_COMPLEMENTOS!$G$4:$G$803,E2202,MOVIMIENTOS_COMPLEMENTOS!$H$4:$H$803,G2202,MOVIMIENTOS_COMPLEMENTOS!$B$4:$B$803,"SALIDA"),0)</f>
        <v>0</v>
      </c>
      <c r="I2202" s="102">
        <f t="array" ref="I2202">IFERROR(INDEX(PRECIOS_COMPLEMENTOS!$C$4:$F$17,MATCH(B2202&amp;"_"&amp;C2202,PRECIOS_COMPLEMENTOS!$H$4:$H$17,0),IF(OR(G2202="S",G2202="20cm"),1,IF(OR(G2202="M",G2202="25cm"),2,IF(OR(G2202="L",G2202="30cm"),3,IF(OR(G2202="XL",G2202="35cm"),4,0))))),0)</f>
        <v>0.6</v>
      </c>
      <c r="J2202" s="103">
        <f t="shared" si="1"/>
        <v>0</v>
      </c>
      <c r="K2202" s="104" t="str">
        <f>IF(H2202&lt;0,"ERROR",IF(H2202=0,"",IF(H2202&lt;CONFIG!$B$4,"CRÍTICO",IF(H2202&lt;CONFIG!$B$5,"BAJO","OK"))))</f>
        <v/>
      </c>
    </row>
    <row r="2203" ht="15.75" hidden="1" customHeight="1">
      <c r="A2203" s="90" t="str">
        <f>IF(CLIENTES!A5="","",CLIENTES!A5)</f>
        <v>Bravos</v>
      </c>
      <c r="B2203" s="90" t="s">
        <v>331</v>
      </c>
      <c r="C2203" s="91" t="s">
        <v>328</v>
      </c>
      <c r="D2203" s="109" t="s">
        <v>366</v>
      </c>
      <c r="E2203" s="67" t="str">
        <f>COLORES!A13</f>
        <v>Camote</v>
      </c>
      <c r="F2203" s="67" t="str">
        <f>COLORES!B13</f>
        <v>CLARO</v>
      </c>
      <c r="G2203" s="90" t="s">
        <v>379</v>
      </c>
      <c r="H2203" s="100">
        <f>IFERROR(SUMIFS(MOVIMIENTOS_COMPLEMENTOS!$I$4:$I$803,MOVIMIENTOS_COMPLEMENTOS!$C$4:$C$803,A2203,MOVIMIENTOS_COMPLEMENTOS!$D$4:$D$803,B2203,MOVIMIENTOS_COMPLEMENTOS!$E$4:$E$803,C2203,MOVIMIENTOS_COMPLEMENTOS!$F$4:$F$803,D2203,MOVIMIENTOS_COMPLEMENTOS!$G$4:$G$803,E2203,MOVIMIENTOS_COMPLEMENTOS!$H$4:$H$803,G2203,MOVIMIENTOS_COMPLEMENTOS!$B$4:$B$803,"INGRESO")+SUMIFS(MOVIMIENTOS_COMPLEMENTOS!$I$4:$I$803,MOVIMIENTOS_COMPLEMENTOS!$C$4:$C$803,A2203,MOVIMIENTOS_COMPLEMENTOS!$D$4:$D$803,B2203,MOVIMIENTOS_COMPLEMENTOS!$E$4:$E$803,C2203,MOVIMIENTOS_COMPLEMENTOS!$F$4:$F$803,D2203,MOVIMIENTOS_COMPLEMENTOS!$G$4:$G$803,E2203,MOVIMIENTOS_COMPLEMENTOS!$H$4:$H$803,G2203,MOVIMIENTOS_COMPLEMENTOS!$B$4:$B$803,"DE CORTE")-SUMIFS(MOVIMIENTOS_COMPLEMENTOS!$I$4:$I$803,MOVIMIENTOS_COMPLEMENTOS!$C$4:$C$803,A2203,MOVIMIENTOS_COMPLEMENTOS!$D$4:$D$803,B2203,MOVIMIENTOS_COMPLEMENTOS!$E$4:$E$803,C2203,MOVIMIENTOS_COMPLEMENTOS!$F$4:$F$803,D2203,MOVIMIENTOS_COMPLEMENTOS!$G$4:$G$803,E2203,MOVIMIENTOS_COMPLEMENTOS!$H$4:$H$803,G2203,MOVIMIENTOS_COMPLEMENTOS!$B$4:$B$803,"SALIDA"),0)</f>
        <v>0</v>
      </c>
      <c r="I2203" s="102">
        <f t="array" ref="I2203">IFERROR(INDEX(PRECIOS_COMPLEMENTOS!$C$4:$F$17,MATCH(B2203&amp;"_"&amp;C2203,PRECIOS_COMPLEMENTOS!$H$4:$H$17,0),IF(OR(G2203="S",G2203="20cm"),1,IF(OR(G2203="M",G2203="25cm"),2,IF(OR(G2203="L",G2203="30cm"),3,IF(OR(G2203="XL",G2203="35cm"),4,0))))),0)</f>
        <v>0.6</v>
      </c>
      <c r="J2203" s="103">
        <f t="shared" si="1"/>
        <v>0</v>
      </c>
      <c r="K2203" s="104" t="str">
        <f>IF(H2203&lt;0,"ERROR",IF(H2203=0,"",IF(H2203&lt;CONFIG!$B$4,"CRÍTICO",IF(H2203&lt;CONFIG!$B$5,"BAJO","OK"))))</f>
        <v/>
      </c>
    </row>
    <row r="2204" ht="15.75" hidden="1" customHeight="1">
      <c r="A2204" s="90" t="str">
        <f>IF(CLIENTES!A5="","",CLIENTES!A5)</f>
        <v>Bravos</v>
      </c>
      <c r="B2204" s="90" t="s">
        <v>331</v>
      </c>
      <c r="C2204" s="91" t="s">
        <v>328</v>
      </c>
      <c r="D2204" s="109" t="s">
        <v>366</v>
      </c>
      <c r="E2204" s="67" t="str">
        <f>COLORES!A14</f>
        <v>Denim</v>
      </c>
      <c r="F2204" s="67" t="str">
        <f>COLORES!B14</f>
        <v>CLARO</v>
      </c>
      <c r="G2204" s="90" t="s">
        <v>378</v>
      </c>
      <c r="H2204" s="100">
        <f>IFERROR(SUMIFS(MOVIMIENTOS_COMPLEMENTOS!$I$4:$I$803,MOVIMIENTOS_COMPLEMENTOS!$C$4:$C$803,A2204,MOVIMIENTOS_COMPLEMENTOS!$D$4:$D$803,B2204,MOVIMIENTOS_COMPLEMENTOS!$E$4:$E$803,C2204,MOVIMIENTOS_COMPLEMENTOS!$F$4:$F$803,D2204,MOVIMIENTOS_COMPLEMENTOS!$G$4:$G$803,E2204,MOVIMIENTOS_COMPLEMENTOS!$H$4:$H$803,G2204,MOVIMIENTOS_COMPLEMENTOS!$B$4:$B$803,"INGRESO")+SUMIFS(MOVIMIENTOS_COMPLEMENTOS!$I$4:$I$803,MOVIMIENTOS_COMPLEMENTOS!$C$4:$C$803,A2204,MOVIMIENTOS_COMPLEMENTOS!$D$4:$D$803,B2204,MOVIMIENTOS_COMPLEMENTOS!$E$4:$E$803,C2204,MOVIMIENTOS_COMPLEMENTOS!$F$4:$F$803,D2204,MOVIMIENTOS_COMPLEMENTOS!$G$4:$G$803,E2204,MOVIMIENTOS_COMPLEMENTOS!$H$4:$H$803,G2204,MOVIMIENTOS_COMPLEMENTOS!$B$4:$B$803,"DE CORTE")-SUMIFS(MOVIMIENTOS_COMPLEMENTOS!$I$4:$I$803,MOVIMIENTOS_COMPLEMENTOS!$C$4:$C$803,A2204,MOVIMIENTOS_COMPLEMENTOS!$D$4:$D$803,B2204,MOVIMIENTOS_COMPLEMENTOS!$E$4:$E$803,C2204,MOVIMIENTOS_COMPLEMENTOS!$F$4:$F$803,D2204,MOVIMIENTOS_COMPLEMENTOS!$G$4:$G$803,E2204,MOVIMIENTOS_COMPLEMENTOS!$H$4:$H$803,G2204,MOVIMIENTOS_COMPLEMENTOS!$B$4:$B$803,"SALIDA"),0)</f>
        <v>0</v>
      </c>
      <c r="I2204" s="102">
        <f t="array" ref="I2204">IFERROR(INDEX(PRECIOS_COMPLEMENTOS!$C$4:$F$17,MATCH(B2204&amp;"_"&amp;C2204,PRECIOS_COMPLEMENTOS!$H$4:$H$17,0),IF(OR(G2204="S",G2204="20cm"),1,IF(OR(G2204="M",G2204="25cm"),2,IF(OR(G2204="L",G2204="30cm"),3,IF(OR(G2204="XL",G2204="35cm"),4,0))))),0)</f>
        <v>0.6</v>
      </c>
      <c r="J2204" s="103">
        <f t="shared" si="1"/>
        <v>0</v>
      </c>
      <c r="K2204" s="104" t="str">
        <f>IF(H2204&lt;0,"ERROR",IF(H2204=0,"",IF(H2204&lt;CONFIG!$B$4,"CRÍTICO",IF(H2204&lt;CONFIG!$B$5,"BAJO","OK"))))</f>
        <v/>
      </c>
    </row>
    <row r="2205" ht="15.75" hidden="1" customHeight="1">
      <c r="A2205" s="90" t="str">
        <f>IF(CLIENTES!A5="","",CLIENTES!A5)</f>
        <v>Bravos</v>
      </c>
      <c r="B2205" s="90" t="s">
        <v>331</v>
      </c>
      <c r="C2205" s="91" t="s">
        <v>328</v>
      </c>
      <c r="D2205" s="109" t="s">
        <v>366</v>
      </c>
      <c r="E2205" s="67" t="str">
        <f>COLORES!A14</f>
        <v>Denim</v>
      </c>
      <c r="F2205" s="67" t="str">
        <f>COLORES!B14</f>
        <v>CLARO</v>
      </c>
      <c r="G2205" s="90" t="s">
        <v>376</v>
      </c>
      <c r="H2205" s="100">
        <f>IFERROR(SUMIFS(MOVIMIENTOS_COMPLEMENTOS!$I$4:$I$803,MOVIMIENTOS_COMPLEMENTOS!$C$4:$C$803,A2205,MOVIMIENTOS_COMPLEMENTOS!$D$4:$D$803,B2205,MOVIMIENTOS_COMPLEMENTOS!$E$4:$E$803,C2205,MOVIMIENTOS_COMPLEMENTOS!$F$4:$F$803,D2205,MOVIMIENTOS_COMPLEMENTOS!$G$4:$G$803,E2205,MOVIMIENTOS_COMPLEMENTOS!$H$4:$H$803,G2205,MOVIMIENTOS_COMPLEMENTOS!$B$4:$B$803,"INGRESO")+SUMIFS(MOVIMIENTOS_COMPLEMENTOS!$I$4:$I$803,MOVIMIENTOS_COMPLEMENTOS!$C$4:$C$803,A2205,MOVIMIENTOS_COMPLEMENTOS!$D$4:$D$803,B2205,MOVIMIENTOS_COMPLEMENTOS!$E$4:$E$803,C2205,MOVIMIENTOS_COMPLEMENTOS!$F$4:$F$803,D2205,MOVIMIENTOS_COMPLEMENTOS!$G$4:$G$803,E2205,MOVIMIENTOS_COMPLEMENTOS!$H$4:$H$803,G2205,MOVIMIENTOS_COMPLEMENTOS!$B$4:$B$803,"DE CORTE")-SUMIFS(MOVIMIENTOS_COMPLEMENTOS!$I$4:$I$803,MOVIMIENTOS_COMPLEMENTOS!$C$4:$C$803,A2205,MOVIMIENTOS_COMPLEMENTOS!$D$4:$D$803,B2205,MOVIMIENTOS_COMPLEMENTOS!$E$4:$E$803,C2205,MOVIMIENTOS_COMPLEMENTOS!$F$4:$F$803,D2205,MOVIMIENTOS_COMPLEMENTOS!$G$4:$G$803,E2205,MOVIMIENTOS_COMPLEMENTOS!$H$4:$H$803,G2205,MOVIMIENTOS_COMPLEMENTOS!$B$4:$B$803,"SALIDA"),0)</f>
        <v>0</v>
      </c>
      <c r="I2205" s="102">
        <f t="array" ref="I2205">IFERROR(INDEX(PRECIOS_COMPLEMENTOS!$C$4:$F$17,MATCH(B2205&amp;"_"&amp;C2205,PRECIOS_COMPLEMENTOS!$H$4:$H$17,0),IF(OR(G2205="S",G2205="20cm"),1,IF(OR(G2205="M",G2205="25cm"),2,IF(OR(G2205="L",G2205="30cm"),3,IF(OR(G2205="XL",G2205="35cm"),4,0))))),0)</f>
        <v>0.6</v>
      </c>
      <c r="J2205" s="103">
        <f t="shared" si="1"/>
        <v>0</v>
      </c>
      <c r="K2205" s="104" t="str">
        <f>IF(H2205&lt;0,"ERROR",IF(H2205=0,"",IF(H2205&lt;CONFIG!$B$4,"CRÍTICO",IF(H2205&lt;CONFIG!$B$5,"BAJO","OK"))))</f>
        <v/>
      </c>
    </row>
    <row r="2206" ht="15.75" hidden="1" customHeight="1">
      <c r="A2206" s="90" t="str">
        <f>IF(CLIENTES!A5="","",CLIENTES!A5)</f>
        <v>Bravos</v>
      </c>
      <c r="B2206" s="90" t="s">
        <v>331</v>
      </c>
      <c r="C2206" s="91" t="s">
        <v>328</v>
      </c>
      <c r="D2206" s="109" t="s">
        <v>366</v>
      </c>
      <c r="E2206" s="67" t="str">
        <f>COLORES!A14</f>
        <v>Denim</v>
      </c>
      <c r="F2206" s="67" t="str">
        <f>COLORES!B14</f>
        <v>CLARO</v>
      </c>
      <c r="G2206" s="90" t="s">
        <v>377</v>
      </c>
      <c r="H2206" s="100">
        <f>IFERROR(SUMIFS(MOVIMIENTOS_COMPLEMENTOS!$I$4:$I$803,MOVIMIENTOS_COMPLEMENTOS!$C$4:$C$803,A2206,MOVIMIENTOS_COMPLEMENTOS!$D$4:$D$803,B2206,MOVIMIENTOS_COMPLEMENTOS!$E$4:$E$803,C2206,MOVIMIENTOS_COMPLEMENTOS!$F$4:$F$803,D2206,MOVIMIENTOS_COMPLEMENTOS!$G$4:$G$803,E2206,MOVIMIENTOS_COMPLEMENTOS!$H$4:$H$803,G2206,MOVIMIENTOS_COMPLEMENTOS!$B$4:$B$803,"INGRESO")+SUMIFS(MOVIMIENTOS_COMPLEMENTOS!$I$4:$I$803,MOVIMIENTOS_COMPLEMENTOS!$C$4:$C$803,A2206,MOVIMIENTOS_COMPLEMENTOS!$D$4:$D$803,B2206,MOVIMIENTOS_COMPLEMENTOS!$E$4:$E$803,C2206,MOVIMIENTOS_COMPLEMENTOS!$F$4:$F$803,D2206,MOVIMIENTOS_COMPLEMENTOS!$G$4:$G$803,E2206,MOVIMIENTOS_COMPLEMENTOS!$H$4:$H$803,G2206,MOVIMIENTOS_COMPLEMENTOS!$B$4:$B$803,"DE CORTE")-SUMIFS(MOVIMIENTOS_COMPLEMENTOS!$I$4:$I$803,MOVIMIENTOS_COMPLEMENTOS!$C$4:$C$803,A2206,MOVIMIENTOS_COMPLEMENTOS!$D$4:$D$803,B2206,MOVIMIENTOS_COMPLEMENTOS!$E$4:$E$803,C2206,MOVIMIENTOS_COMPLEMENTOS!$F$4:$F$803,D2206,MOVIMIENTOS_COMPLEMENTOS!$G$4:$G$803,E2206,MOVIMIENTOS_COMPLEMENTOS!$H$4:$H$803,G2206,MOVIMIENTOS_COMPLEMENTOS!$B$4:$B$803,"SALIDA"),0)</f>
        <v>0</v>
      </c>
      <c r="I2206" s="102">
        <f t="array" ref="I2206">IFERROR(INDEX(PRECIOS_COMPLEMENTOS!$C$4:$F$17,MATCH(B2206&amp;"_"&amp;C2206,PRECIOS_COMPLEMENTOS!$H$4:$H$17,0),IF(OR(G2206="S",G2206="20cm"),1,IF(OR(G2206="M",G2206="25cm"),2,IF(OR(G2206="L",G2206="30cm"),3,IF(OR(G2206="XL",G2206="35cm"),4,0))))),0)</f>
        <v>0.6</v>
      </c>
      <c r="J2206" s="103">
        <f t="shared" si="1"/>
        <v>0</v>
      </c>
      <c r="K2206" s="104" t="str">
        <f>IF(H2206&lt;0,"ERROR",IF(H2206=0,"",IF(H2206&lt;CONFIG!$B$4,"CRÍTICO",IF(H2206&lt;CONFIG!$B$5,"BAJO","OK"))))</f>
        <v/>
      </c>
    </row>
    <row r="2207" ht="15.75" hidden="1" customHeight="1">
      <c r="A2207" s="90" t="str">
        <f>IF(CLIENTES!A5="","",CLIENTES!A5)</f>
        <v>Bravos</v>
      </c>
      <c r="B2207" s="90" t="s">
        <v>331</v>
      </c>
      <c r="C2207" s="91" t="s">
        <v>328</v>
      </c>
      <c r="D2207" s="109" t="s">
        <v>366</v>
      </c>
      <c r="E2207" s="67" t="str">
        <f>COLORES!A14</f>
        <v>Denim</v>
      </c>
      <c r="F2207" s="67" t="str">
        <f>COLORES!B14</f>
        <v>CLARO</v>
      </c>
      <c r="G2207" s="90" t="s">
        <v>379</v>
      </c>
      <c r="H2207" s="100">
        <f>IFERROR(SUMIFS(MOVIMIENTOS_COMPLEMENTOS!$I$4:$I$803,MOVIMIENTOS_COMPLEMENTOS!$C$4:$C$803,A2207,MOVIMIENTOS_COMPLEMENTOS!$D$4:$D$803,B2207,MOVIMIENTOS_COMPLEMENTOS!$E$4:$E$803,C2207,MOVIMIENTOS_COMPLEMENTOS!$F$4:$F$803,D2207,MOVIMIENTOS_COMPLEMENTOS!$G$4:$G$803,E2207,MOVIMIENTOS_COMPLEMENTOS!$H$4:$H$803,G2207,MOVIMIENTOS_COMPLEMENTOS!$B$4:$B$803,"INGRESO")+SUMIFS(MOVIMIENTOS_COMPLEMENTOS!$I$4:$I$803,MOVIMIENTOS_COMPLEMENTOS!$C$4:$C$803,A2207,MOVIMIENTOS_COMPLEMENTOS!$D$4:$D$803,B2207,MOVIMIENTOS_COMPLEMENTOS!$E$4:$E$803,C2207,MOVIMIENTOS_COMPLEMENTOS!$F$4:$F$803,D2207,MOVIMIENTOS_COMPLEMENTOS!$G$4:$G$803,E2207,MOVIMIENTOS_COMPLEMENTOS!$H$4:$H$803,G2207,MOVIMIENTOS_COMPLEMENTOS!$B$4:$B$803,"DE CORTE")-SUMIFS(MOVIMIENTOS_COMPLEMENTOS!$I$4:$I$803,MOVIMIENTOS_COMPLEMENTOS!$C$4:$C$803,A2207,MOVIMIENTOS_COMPLEMENTOS!$D$4:$D$803,B2207,MOVIMIENTOS_COMPLEMENTOS!$E$4:$E$803,C2207,MOVIMIENTOS_COMPLEMENTOS!$F$4:$F$803,D2207,MOVIMIENTOS_COMPLEMENTOS!$G$4:$G$803,E2207,MOVIMIENTOS_COMPLEMENTOS!$H$4:$H$803,G2207,MOVIMIENTOS_COMPLEMENTOS!$B$4:$B$803,"SALIDA"),0)</f>
        <v>0</v>
      </c>
      <c r="I2207" s="102">
        <f t="array" ref="I2207">IFERROR(INDEX(PRECIOS_COMPLEMENTOS!$C$4:$F$17,MATCH(B2207&amp;"_"&amp;C2207,PRECIOS_COMPLEMENTOS!$H$4:$H$17,0),IF(OR(G2207="S",G2207="20cm"),1,IF(OR(G2207="M",G2207="25cm"),2,IF(OR(G2207="L",G2207="30cm"),3,IF(OR(G2207="XL",G2207="35cm"),4,0))))),0)</f>
        <v>0.6</v>
      </c>
      <c r="J2207" s="103">
        <f t="shared" si="1"/>
        <v>0</v>
      </c>
      <c r="K2207" s="104" t="str">
        <f>IF(H2207&lt;0,"ERROR",IF(H2207=0,"",IF(H2207&lt;CONFIG!$B$4,"CRÍTICO",IF(H2207&lt;CONFIG!$B$5,"BAJO","OK"))))</f>
        <v/>
      </c>
    </row>
    <row r="2208" ht="15.75" hidden="1" customHeight="1">
      <c r="A2208" s="90" t="str">
        <f>IF(CLIENTES!A5="","",CLIENTES!A5)</f>
        <v>Bravos</v>
      </c>
      <c r="B2208" s="90" t="s">
        <v>331</v>
      </c>
      <c r="C2208" s="91" t="s">
        <v>328</v>
      </c>
      <c r="D2208" s="109" t="s">
        <v>366</v>
      </c>
      <c r="E2208" s="67" t="str">
        <f>COLORES!A15</f>
        <v>Plomo</v>
      </c>
      <c r="F2208" s="67" t="str">
        <f>COLORES!B15</f>
        <v>OSCURO</v>
      </c>
      <c r="G2208" s="90" t="s">
        <v>378</v>
      </c>
      <c r="H2208" s="100">
        <f>IFERROR(SUMIFS(MOVIMIENTOS_COMPLEMENTOS!$I$4:$I$803,MOVIMIENTOS_COMPLEMENTOS!$C$4:$C$803,A2208,MOVIMIENTOS_COMPLEMENTOS!$D$4:$D$803,B2208,MOVIMIENTOS_COMPLEMENTOS!$E$4:$E$803,C2208,MOVIMIENTOS_COMPLEMENTOS!$F$4:$F$803,D2208,MOVIMIENTOS_COMPLEMENTOS!$G$4:$G$803,E2208,MOVIMIENTOS_COMPLEMENTOS!$H$4:$H$803,G2208,MOVIMIENTOS_COMPLEMENTOS!$B$4:$B$803,"INGRESO")+SUMIFS(MOVIMIENTOS_COMPLEMENTOS!$I$4:$I$803,MOVIMIENTOS_COMPLEMENTOS!$C$4:$C$803,A2208,MOVIMIENTOS_COMPLEMENTOS!$D$4:$D$803,B2208,MOVIMIENTOS_COMPLEMENTOS!$E$4:$E$803,C2208,MOVIMIENTOS_COMPLEMENTOS!$F$4:$F$803,D2208,MOVIMIENTOS_COMPLEMENTOS!$G$4:$G$803,E2208,MOVIMIENTOS_COMPLEMENTOS!$H$4:$H$803,G2208,MOVIMIENTOS_COMPLEMENTOS!$B$4:$B$803,"DE CORTE")-SUMIFS(MOVIMIENTOS_COMPLEMENTOS!$I$4:$I$803,MOVIMIENTOS_COMPLEMENTOS!$C$4:$C$803,A2208,MOVIMIENTOS_COMPLEMENTOS!$D$4:$D$803,B2208,MOVIMIENTOS_COMPLEMENTOS!$E$4:$E$803,C2208,MOVIMIENTOS_COMPLEMENTOS!$F$4:$F$803,D2208,MOVIMIENTOS_COMPLEMENTOS!$G$4:$G$803,E2208,MOVIMIENTOS_COMPLEMENTOS!$H$4:$H$803,G2208,MOVIMIENTOS_COMPLEMENTOS!$B$4:$B$803,"SALIDA"),0)</f>
        <v>0</v>
      </c>
      <c r="I2208" s="102">
        <f t="array" ref="I2208">IFERROR(INDEX(PRECIOS_COMPLEMENTOS!$C$4:$F$17,MATCH(B2208&amp;"_"&amp;C2208,PRECIOS_COMPLEMENTOS!$H$4:$H$17,0),IF(OR(G2208="S",G2208="20cm"),1,IF(OR(G2208="M",G2208="25cm"),2,IF(OR(G2208="L",G2208="30cm"),3,IF(OR(G2208="XL",G2208="35cm"),4,0))))),0)</f>
        <v>0.6</v>
      </c>
      <c r="J2208" s="103">
        <f t="shared" si="1"/>
        <v>0</v>
      </c>
      <c r="K2208" s="104" t="str">
        <f>IF(H2208&lt;0,"ERROR",IF(H2208=0,"",IF(H2208&lt;CONFIG!$B$4,"CRÍTICO",IF(H2208&lt;CONFIG!$B$5,"BAJO","OK"))))</f>
        <v/>
      </c>
    </row>
    <row r="2209" ht="15.75" hidden="1" customHeight="1">
      <c r="A2209" s="90" t="str">
        <f>IF(CLIENTES!A5="","",CLIENTES!A5)</f>
        <v>Bravos</v>
      </c>
      <c r="B2209" s="90" t="s">
        <v>331</v>
      </c>
      <c r="C2209" s="91" t="s">
        <v>328</v>
      </c>
      <c r="D2209" s="109" t="s">
        <v>366</v>
      </c>
      <c r="E2209" s="67" t="str">
        <f>COLORES!A15</f>
        <v>Plomo</v>
      </c>
      <c r="F2209" s="67" t="str">
        <f>COLORES!B15</f>
        <v>OSCURO</v>
      </c>
      <c r="G2209" s="90" t="s">
        <v>376</v>
      </c>
      <c r="H2209" s="100">
        <f>IFERROR(SUMIFS(MOVIMIENTOS_COMPLEMENTOS!$I$4:$I$803,MOVIMIENTOS_COMPLEMENTOS!$C$4:$C$803,A2209,MOVIMIENTOS_COMPLEMENTOS!$D$4:$D$803,B2209,MOVIMIENTOS_COMPLEMENTOS!$E$4:$E$803,C2209,MOVIMIENTOS_COMPLEMENTOS!$F$4:$F$803,D2209,MOVIMIENTOS_COMPLEMENTOS!$G$4:$G$803,E2209,MOVIMIENTOS_COMPLEMENTOS!$H$4:$H$803,G2209,MOVIMIENTOS_COMPLEMENTOS!$B$4:$B$803,"INGRESO")+SUMIFS(MOVIMIENTOS_COMPLEMENTOS!$I$4:$I$803,MOVIMIENTOS_COMPLEMENTOS!$C$4:$C$803,A2209,MOVIMIENTOS_COMPLEMENTOS!$D$4:$D$803,B2209,MOVIMIENTOS_COMPLEMENTOS!$E$4:$E$803,C2209,MOVIMIENTOS_COMPLEMENTOS!$F$4:$F$803,D2209,MOVIMIENTOS_COMPLEMENTOS!$G$4:$G$803,E2209,MOVIMIENTOS_COMPLEMENTOS!$H$4:$H$803,G2209,MOVIMIENTOS_COMPLEMENTOS!$B$4:$B$803,"DE CORTE")-SUMIFS(MOVIMIENTOS_COMPLEMENTOS!$I$4:$I$803,MOVIMIENTOS_COMPLEMENTOS!$C$4:$C$803,A2209,MOVIMIENTOS_COMPLEMENTOS!$D$4:$D$803,B2209,MOVIMIENTOS_COMPLEMENTOS!$E$4:$E$803,C2209,MOVIMIENTOS_COMPLEMENTOS!$F$4:$F$803,D2209,MOVIMIENTOS_COMPLEMENTOS!$G$4:$G$803,E2209,MOVIMIENTOS_COMPLEMENTOS!$H$4:$H$803,G2209,MOVIMIENTOS_COMPLEMENTOS!$B$4:$B$803,"SALIDA"),0)</f>
        <v>0</v>
      </c>
      <c r="I2209" s="102">
        <f t="array" ref="I2209">IFERROR(INDEX(PRECIOS_COMPLEMENTOS!$C$4:$F$17,MATCH(B2209&amp;"_"&amp;C2209,PRECIOS_COMPLEMENTOS!$H$4:$H$17,0),IF(OR(G2209="S",G2209="20cm"),1,IF(OR(G2209="M",G2209="25cm"),2,IF(OR(G2209="L",G2209="30cm"),3,IF(OR(G2209="XL",G2209="35cm"),4,0))))),0)</f>
        <v>0.6</v>
      </c>
      <c r="J2209" s="103">
        <f t="shared" si="1"/>
        <v>0</v>
      </c>
      <c r="K2209" s="104" t="str">
        <f>IF(H2209&lt;0,"ERROR",IF(H2209=0,"",IF(H2209&lt;CONFIG!$B$4,"CRÍTICO",IF(H2209&lt;CONFIG!$B$5,"BAJO","OK"))))</f>
        <v/>
      </c>
    </row>
    <row r="2210" ht="15.75" hidden="1" customHeight="1">
      <c r="A2210" s="90" t="str">
        <f>IF(CLIENTES!A5="","",CLIENTES!A5)</f>
        <v>Bravos</v>
      </c>
      <c r="B2210" s="90" t="s">
        <v>331</v>
      </c>
      <c r="C2210" s="91" t="s">
        <v>328</v>
      </c>
      <c r="D2210" s="109" t="s">
        <v>366</v>
      </c>
      <c r="E2210" s="67" t="str">
        <f>COLORES!A15</f>
        <v>Plomo</v>
      </c>
      <c r="F2210" s="67" t="str">
        <f>COLORES!B15</f>
        <v>OSCURO</v>
      </c>
      <c r="G2210" s="90" t="s">
        <v>377</v>
      </c>
      <c r="H2210" s="100">
        <f>IFERROR(SUMIFS(MOVIMIENTOS_COMPLEMENTOS!$I$4:$I$803,MOVIMIENTOS_COMPLEMENTOS!$C$4:$C$803,A2210,MOVIMIENTOS_COMPLEMENTOS!$D$4:$D$803,B2210,MOVIMIENTOS_COMPLEMENTOS!$E$4:$E$803,C2210,MOVIMIENTOS_COMPLEMENTOS!$F$4:$F$803,D2210,MOVIMIENTOS_COMPLEMENTOS!$G$4:$G$803,E2210,MOVIMIENTOS_COMPLEMENTOS!$H$4:$H$803,G2210,MOVIMIENTOS_COMPLEMENTOS!$B$4:$B$803,"INGRESO")+SUMIFS(MOVIMIENTOS_COMPLEMENTOS!$I$4:$I$803,MOVIMIENTOS_COMPLEMENTOS!$C$4:$C$803,A2210,MOVIMIENTOS_COMPLEMENTOS!$D$4:$D$803,B2210,MOVIMIENTOS_COMPLEMENTOS!$E$4:$E$803,C2210,MOVIMIENTOS_COMPLEMENTOS!$F$4:$F$803,D2210,MOVIMIENTOS_COMPLEMENTOS!$G$4:$G$803,E2210,MOVIMIENTOS_COMPLEMENTOS!$H$4:$H$803,G2210,MOVIMIENTOS_COMPLEMENTOS!$B$4:$B$803,"DE CORTE")-SUMIFS(MOVIMIENTOS_COMPLEMENTOS!$I$4:$I$803,MOVIMIENTOS_COMPLEMENTOS!$C$4:$C$803,A2210,MOVIMIENTOS_COMPLEMENTOS!$D$4:$D$803,B2210,MOVIMIENTOS_COMPLEMENTOS!$E$4:$E$803,C2210,MOVIMIENTOS_COMPLEMENTOS!$F$4:$F$803,D2210,MOVIMIENTOS_COMPLEMENTOS!$G$4:$G$803,E2210,MOVIMIENTOS_COMPLEMENTOS!$H$4:$H$803,G2210,MOVIMIENTOS_COMPLEMENTOS!$B$4:$B$803,"SALIDA"),0)</f>
        <v>0</v>
      </c>
      <c r="I2210" s="102">
        <f t="array" ref="I2210">IFERROR(INDEX(PRECIOS_COMPLEMENTOS!$C$4:$F$17,MATCH(B2210&amp;"_"&amp;C2210,PRECIOS_COMPLEMENTOS!$H$4:$H$17,0),IF(OR(G2210="S",G2210="20cm"),1,IF(OR(G2210="M",G2210="25cm"),2,IF(OR(G2210="L",G2210="30cm"),3,IF(OR(G2210="XL",G2210="35cm"),4,0))))),0)</f>
        <v>0.6</v>
      </c>
      <c r="J2210" s="103">
        <f t="shared" si="1"/>
        <v>0</v>
      </c>
      <c r="K2210" s="104" t="str">
        <f>IF(H2210&lt;0,"ERROR",IF(H2210=0,"",IF(H2210&lt;CONFIG!$B$4,"CRÍTICO",IF(H2210&lt;CONFIG!$B$5,"BAJO","OK"))))</f>
        <v/>
      </c>
    </row>
    <row r="2211" ht="15.75" hidden="1" customHeight="1">
      <c r="A2211" s="90" t="str">
        <f>IF(CLIENTES!A5="","",CLIENTES!A5)</f>
        <v>Bravos</v>
      </c>
      <c r="B2211" s="90" t="s">
        <v>331</v>
      </c>
      <c r="C2211" s="91" t="s">
        <v>328</v>
      </c>
      <c r="D2211" s="109" t="s">
        <v>366</v>
      </c>
      <c r="E2211" s="67" t="str">
        <f>COLORES!A15</f>
        <v>Plomo</v>
      </c>
      <c r="F2211" s="67" t="str">
        <f>COLORES!B15</f>
        <v>OSCURO</v>
      </c>
      <c r="G2211" s="90" t="s">
        <v>379</v>
      </c>
      <c r="H2211" s="100">
        <f>IFERROR(SUMIFS(MOVIMIENTOS_COMPLEMENTOS!$I$4:$I$803,MOVIMIENTOS_COMPLEMENTOS!$C$4:$C$803,A2211,MOVIMIENTOS_COMPLEMENTOS!$D$4:$D$803,B2211,MOVIMIENTOS_COMPLEMENTOS!$E$4:$E$803,C2211,MOVIMIENTOS_COMPLEMENTOS!$F$4:$F$803,D2211,MOVIMIENTOS_COMPLEMENTOS!$G$4:$G$803,E2211,MOVIMIENTOS_COMPLEMENTOS!$H$4:$H$803,G2211,MOVIMIENTOS_COMPLEMENTOS!$B$4:$B$803,"INGRESO")+SUMIFS(MOVIMIENTOS_COMPLEMENTOS!$I$4:$I$803,MOVIMIENTOS_COMPLEMENTOS!$C$4:$C$803,A2211,MOVIMIENTOS_COMPLEMENTOS!$D$4:$D$803,B2211,MOVIMIENTOS_COMPLEMENTOS!$E$4:$E$803,C2211,MOVIMIENTOS_COMPLEMENTOS!$F$4:$F$803,D2211,MOVIMIENTOS_COMPLEMENTOS!$G$4:$G$803,E2211,MOVIMIENTOS_COMPLEMENTOS!$H$4:$H$803,G2211,MOVIMIENTOS_COMPLEMENTOS!$B$4:$B$803,"DE CORTE")-SUMIFS(MOVIMIENTOS_COMPLEMENTOS!$I$4:$I$803,MOVIMIENTOS_COMPLEMENTOS!$C$4:$C$803,A2211,MOVIMIENTOS_COMPLEMENTOS!$D$4:$D$803,B2211,MOVIMIENTOS_COMPLEMENTOS!$E$4:$E$803,C2211,MOVIMIENTOS_COMPLEMENTOS!$F$4:$F$803,D2211,MOVIMIENTOS_COMPLEMENTOS!$G$4:$G$803,E2211,MOVIMIENTOS_COMPLEMENTOS!$H$4:$H$803,G2211,MOVIMIENTOS_COMPLEMENTOS!$B$4:$B$803,"SALIDA"),0)</f>
        <v>0</v>
      </c>
      <c r="I2211" s="102">
        <f t="array" ref="I2211">IFERROR(INDEX(PRECIOS_COMPLEMENTOS!$C$4:$F$17,MATCH(B2211&amp;"_"&amp;C2211,PRECIOS_COMPLEMENTOS!$H$4:$H$17,0),IF(OR(G2211="S",G2211="20cm"),1,IF(OR(G2211="M",G2211="25cm"),2,IF(OR(G2211="L",G2211="30cm"),3,IF(OR(G2211="XL",G2211="35cm"),4,0))))),0)</f>
        <v>0.6</v>
      </c>
      <c r="J2211" s="103">
        <f t="shared" si="1"/>
        <v>0</v>
      </c>
      <c r="K2211" s="104" t="str">
        <f>IF(H2211&lt;0,"ERROR",IF(H2211=0,"",IF(H2211&lt;CONFIG!$B$4,"CRÍTICO",IF(H2211&lt;CONFIG!$B$5,"BAJO","OK"))))</f>
        <v/>
      </c>
    </row>
    <row r="2212" ht="15.75" hidden="1" customHeight="1">
      <c r="A2212" s="90" t="str">
        <f>IF(CLIENTES!A5="","",CLIENTES!A5)</f>
        <v>Bravos</v>
      </c>
      <c r="B2212" s="90" t="s">
        <v>331</v>
      </c>
      <c r="C2212" s="91" t="s">
        <v>328</v>
      </c>
      <c r="D2212" s="109" t="s">
        <v>366</v>
      </c>
      <c r="E2212" s="67" t="str">
        <f>COLORES!A16</f>
        <v>Topo</v>
      </c>
      <c r="F2212" s="67" t="str">
        <f>COLORES!B16</f>
        <v>CLARO</v>
      </c>
      <c r="G2212" s="90" t="s">
        <v>378</v>
      </c>
      <c r="H2212" s="100">
        <f>IFERROR(SUMIFS(MOVIMIENTOS_COMPLEMENTOS!$I$4:$I$803,MOVIMIENTOS_COMPLEMENTOS!$C$4:$C$803,A2212,MOVIMIENTOS_COMPLEMENTOS!$D$4:$D$803,B2212,MOVIMIENTOS_COMPLEMENTOS!$E$4:$E$803,C2212,MOVIMIENTOS_COMPLEMENTOS!$F$4:$F$803,D2212,MOVIMIENTOS_COMPLEMENTOS!$G$4:$G$803,E2212,MOVIMIENTOS_COMPLEMENTOS!$H$4:$H$803,G2212,MOVIMIENTOS_COMPLEMENTOS!$B$4:$B$803,"INGRESO")+SUMIFS(MOVIMIENTOS_COMPLEMENTOS!$I$4:$I$803,MOVIMIENTOS_COMPLEMENTOS!$C$4:$C$803,A2212,MOVIMIENTOS_COMPLEMENTOS!$D$4:$D$803,B2212,MOVIMIENTOS_COMPLEMENTOS!$E$4:$E$803,C2212,MOVIMIENTOS_COMPLEMENTOS!$F$4:$F$803,D2212,MOVIMIENTOS_COMPLEMENTOS!$G$4:$G$803,E2212,MOVIMIENTOS_COMPLEMENTOS!$H$4:$H$803,G2212,MOVIMIENTOS_COMPLEMENTOS!$B$4:$B$803,"DE CORTE")-SUMIFS(MOVIMIENTOS_COMPLEMENTOS!$I$4:$I$803,MOVIMIENTOS_COMPLEMENTOS!$C$4:$C$803,A2212,MOVIMIENTOS_COMPLEMENTOS!$D$4:$D$803,B2212,MOVIMIENTOS_COMPLEMENTOS!$E$4:$E$803,C2212,MOVIMIENTOS_COMPLEMENTOS!$F$4:$F$803,D2212,MOVIMIENTOS_COMPLEMENTOS!$G$4:$G$803,E2212,MOVIMIENTOS_COMPLEMENTOS!$H$4:$H$803,G2212,MOVIMIENTOS_COMPLEMENTOS!$B$4:$B$803,"SALIDA"),0)</f>
        <v>0</v>
      </c>
      <c r="I2212" s="102">
        <f t="array" ref="I2212">IFERROR(INDEX(PRECIOS_COMPLEMENTOS!$C$4:$F$17,MATCH(B2212&amp;"_"&amp;C2212,PRECIOS_COMPLEMENTOS!$H$4:$H$17,0),IF(OR(G2212="S",G2212="20cm"),1,IF(OR(G2212="M",G2212="25cm"),2,IF(OR(G2212="L",G2212="30cm"),3,IF(OR(G2212="XL",G2212="35cm"),4,0))))),0)</f>
        <v>0.6</v>
      </c>
      <c r="J2212" s="103">
        <f t="shared" si="1"/>
        <v>0</v>
      </c>
      <c r="K2212" s="104" t="str">
        <f>IF(H2212&lt;0,"ERROR",IF(H2212=0,"",IF(H2212&lt;CONFIG!$B$4,"CRÍTICO",IF(H2212&lt;CONFIG!$B$5,"BAJO","OK"))))</f>
        <v/>
      </c>
    </row>
    <row r="2213" ht="15.75" hidden="1" customHeight="1">
      <c r="A2213" s="90" t="str">
        <f>IF(CLIENTES!A5="","",CLIENTES!A5)</f>
        <v>Bravos</v>
      </c>
      <c r="B2213" s="90" t="s">
        <v>331</v>
      </c>
      <c r="C2213" s="91" t="s">
        <v>328</v>
      </c>
      <c r="D2213" s="109" t="s">
        <v>366</v>
      </c>
      <c r="E2213" s="67" t="str">
        <f>COLORES!A16</f>
        <v>Topo</v>
      </c>
      <c r="F2213" s="67" t="str">
        <f>COLORES!B16</f>
        <v>CLARO</v>
      </c>
      <c r="G2213" s="90" t="s">
        <v>376</v>
      </c>
      <c r="H2213" s="100">
        <f>IFERROR(SUMIFS(MOVIMIENTOS_COMPLEMENTOS!$I$4:$I$803,MOVIMIENTOS_COMPLEMENTOS!$C$4:$C$803,A2213,MOVIMIENTOS_COMPLEMENTOS!$D$4:$D$803,B2213,MOVIMIENTOS_COMPLEMENTOS!$E$4:$E$803,C2213,MOVIMIENTOS_COMPLEMENTOS!$F$4:$F$803,D2213,MOVIMIENTOS_COMPLEMENTOS!$G$4:$G$803,E2213,MOVIMIENTOS_COMPLEMENTOS!$H$4:$H$803,G2213,MOVIMIENTOS_COMPLEMENTOS!$B$4:$B$803,"INGRESO")+SUMIFS(MOVIMIENTOS_COMPLEMENTOS!$I$4:$I$803,MOVIMIENTOS_COMPLEMENTOS!$C$4:$C$803,A2213,MOVIMIENTOS_COMPLEMENTOS!$D$4:$D$803,B2213,MOVIMIENTOS_COMPLEMENTOS!$E$4:$E$803,C2213,MOVIMIENTOS_COMPLEMENTOS!$F$4:$F$803,D2213,MOVIMIENTOS_COMPLEMENTOS!$G$4:$G$803,E2213,MOVIMIENTOS_COMPLEMENTOS!$H$4:$H$803,G2213,MOVIMIENTOS_COMPLEMENTOS!$B$4:$B$803,"DE CORTE")-SUMIFS(MOVIMIENTOS_COMPLEMENTOS!$I$4:$I$803,MOVIMIENTOS_COMPLEMENTOS!$C$4:$C$803,A2213,MOVIMIENTOS_COMPLEMENTOS!$D$4:$D$803,B2213,MOVIMIENTOS_COMPLEMENTOS!$E$4:$E$803,C2213,MOVIMIENTOS_COMPLEMENTOS!$F$4:$F$803,D2213,MOVIMIENTOS_COMPLEMENTOS!$G$4:$G$803,E2213,MOVIMIENTOS_COMPLEMENTOS!$H$4:$H$803,G2213,MOVIMIENTOS_COMPLEMENTOS!$B$4:$B$803,"SALIDA"),0)</f>
        <v>0</v>
      </c>
      <c r="I2213" s="102">
        <f t="array" ref="I2213">IFERROR(INDEX(PRECIOS_COMPLEMENTOS!$C$4:$F$17,MATCH(B2213&amp;"_"&amp;C2213,PRECIOS_COMPLEMENTOS!$H$4:$H$17,0),IF(OR(G2213="S",G2213="20cm"),1,IF(OR(G2213="M",G2213="25cm"),2,IF(OR(G2213="L",G2213="30cm"),3,IF(OR(G2213="XL",G2213="35cm"),4,0))))),0)</f>
        <v>0.6</v>
      </c>
      <c r="J2213" s="103">
        <f t="shared" si="1"/>
        <v>0</v>
      </c>
      <c r="K2213" s="104" t="str">
        <f>IF(H2213&lt;0,"ERROR",IF(H2213=0,"",IF(H2213&lt;CONFIG!$B$4,"CRÍTICO",IF(H2213&lt;CONFIG!$B$5,"BAJO","OK"))))</f>
        <v/>
      </c>
    </row>
    <row r="2214" ht="15.75" hidden="1" customHeight="1">
      <c r="A2214" s="90" t="str">
        <f>IF(CLIENTES!A5="","",CLIENTES!A5)</f>
        <v>Bravos</v>
      </c>
      <c r="B2214" s="90" t="s">
        <v>331</v>
      </c>
      <c r="C2214" s="91" t="s">
        <v>328</v>
      </c>
      <c r="D2214" s="109" t="s">
        <v>366</v>
      </c>
      <c r="E2214" s="67" t="str">
        <f>COLORES!A16</f>
        <v>Topo</v>
      </c>
      <c r="F2214" s="67" t="str">
        <f>COLORES!B16</f>
        <v>CLARO</v>
      </c>
      <c r="G2214" s="90" t="s">
        <v>377</v>
      </c>
      <c r="H2214" s="100">
        <f>IFERROR(SUMIFS(MOVIMIENTOS_COMPLEMENTOS!$I$4:$I$803,MOVIMIENTOS_COMPLEMENTOS!$C$4:$C$803,A2214,MOVIMIENTOS_COMPLEMENTOS!$D$4:$D$803,B2214,MOVIMIENTOS_COMPLEMENTOS!$E$4:$E$803,C2214,MOVIMIENTOS_COMPLEMENTOS!$F$4:$F$803,D2214,MOVIMIENTOS_COMPLEMENTOS!$G$4:$G$803,E2214,MOVIMIENTOS_COMPLEMENTOS!$H$4:$H$803,G2214,MOVIMIENTOS_COMPLEMENTOS!$B$4:$B$803,"INGRESO")+SUMIFS(MOVIMIENTOS_COMPLEMENTOS!$I$4:$I$803,MOVIMIENTOS_COMPLEMENTOS!$C$4:$C$803,A2214,MOVIMIENTOS_COMPLEMENTOS!$D$4:$D$803,B2214,MOVIMIENTOS_COMPLEMENTOS!$E$4:$E$803,C2214,MOVIMIENTOS_COMPLEMENTOS!$F$4:$F$803,D2214,MOVIMIENTOS_COMPLEMENTOS!$G$4:$G$803,E2214,MOVIMIENTOS_COMPLEMENTOS!$H$4:$H$803,G2214,MOVIMIENTOS_COMPLEMENTOS!$B$4:$B$803,"DE CORTE")-SUMIFS(MOVIMIENTOS_COMPLEMENTOS!$I$4:$I$803,MOVIMIENTOS_COMPLEMENTOS!$C$4:$C$803,A2214,MOVIMIENTOS_COMPLEMENTOS!$D$4:$D$803,B2214,MOVIMIENTOS_COMPLEMENTOS!$E$4:$E$803,C2214,MOVIMIENTOS_COMPLEMENTOS!$F$4:$F$803,D2214,MOVIMIENTOS_COMPLEMENTOS!$G$4:$G$803,E2214,MOVIMIENTOS_COMPLEMENTOS!$H$4:$H$803,G2214,MOVIMIENTOS_COMPLEMENTOS!$B$4:$B$803,"SALIDA"),0)</f>
        <v>0</v>
      </c>
      <c r="I2214" s="102">
        <f t="array" ref="I2214">IFERROR(INDEX(PRECIOS_COMPLEMENTOS!$C$4:$F$17,MATCH(B2214&amp;"_"&amp;C2214,PRECIOS_COMPLEMENTOS!$H$4:$H$17,0),IF(OR(G2214="S",G2214="20cm"),1,IF(OR(G2214="M",G2214="25cm"),2,IF(OR(G2214="L",G2214="30cm"),3,IF(OR(G2214="XL",G2214="35cm"),4,0))))),0)</f>
        <v>0.6</v>
      </c>
      <c r="J2214" s="103">
        <f t="shared" si="1"/>
        <v>0</v>
      </c>
      <c r="K2214" s="104" t="str">
        <f>IF(H2214&lt;0,"ERROR",IF(H2214=0,"",IF(H2214&lt;CONFIG!$B$4,"CRÍTICO",IF(H2214&lt;CONFIG!$B$5,"BAJO","OK"))))</f>
        <v/>
      </c>
    </row>
    <row r="2215" ht="15.75" hidden="1" customHeight="1">
      <c r="A2215" s="90" t="str">
        <f>IF(CLIENTES!A5="","",CLIENTES!A5)</f>
        <v>Bravos</v>
      </c>
      <c r="B2215" s="90" t="s">
        <v>331</v>
      </c>
      <c r="C2215" s="91" t="s">
        <v>328</v>
      </c>
      <c r="D2215" s="109" t="s">
        <v>366</v>
      </c>
      <c r="E2215" s="67" t="str">
        <f>COLORES!A16</f>
        <v>Topo</v>
      </c>
      <c r="F2215" s="67" t="str">
        <f>COLORES!B16</f>
        <v>CLARO</v>
      </c>
      <c r="G2215" s="90" t="s">
        <v>379</v>
      </c>
      <c r="H2215" s="100">
        <f>IFERROR(SUMIFS(MOVIMIENTOS_COMPLEMENTOS!$I$4:$I$803,MOVIMIENTOS_COMPLEMENTOS!$C$4:$C$803,A2215,MOVIMIENTOS_COMPLEMENTOS!$D$4:$D$803,B2215,MOVIMIENTOS_COMPLEMENTOS!$E$4:$E$803,C2215,MOVIMIENTOS_COMPLEMENTOS!$F$4:$F$803,D2215,MOVIMIENTOS_COMPLEMENTOS!$G$4:$G$803,E2215,MOVIMIENTOS_COMPLEMENTOS!$H$4:$H$803,G2215,MOVIMIENTOS_COMPLEMENTOS!$B$4:$B$803,"INGRESO")+SUMIFS(MOVIMIENTOS_COMPLEMENTOS!$I$4:$I$803,MOVIMIENTOS_COMPLEMENTOS!$C$4:$C$803,A2215,MOVIMIENTOS_COMPLEMENTOS!$D$4:$D$803,B2215,MOVIMIENTOS_COMPLEMENTOS!$E$4:$E$803,C2215,MOVIMIENTOS_COMPLEMENTOS!$F$4:$F$803,D2215,MOVIMIENTOS_COMPLEMENTOS!$G$4:$G$803,E2215,MOVIMIENTOS_COMPLEMENTOS!$H$4:$H$803,G2215,MOVIMIENTOS_COMPLEMENTOS!$B$4:$B$803,"DE CORTE")-SUMIFS(MOVIMIENTOS_COMPLEMENTOS!$I$4:$I$803,MOVIMIENTOS_COMPLEMENTOS!$C$4:$C$803,A2215,MOVIMIENTOS_COMPLEMENTOS!$D$4:$D$803,B2215,MOVIMIENTOS_COMPLEMENTOS!$E$4:$E$803,C2215,MOVIMIENTOS_COMPLEMENTOS!$F$4:$F$803,D2215,MOVIMIENTOS_COMPLEMENTOS!$G$4:$G$803,E2215,MOVIMIENTOS_COMPLEMENTOS!$H$4:$H$803,G2215,MOVIMIENTOS_COMPLEMENTOS!$B$4:$B$803,"SALIDA"),0)</f>
        <v>0</v>
      </c>
      <c r="I2215" s="102">
        <f t="array" ref="I2215">IFERROR(INDEX(PRECIOS_COMPLEMENTOS!$C$4:$F$17,MATCH(B2215&amp;"_"&amp;C2215,PRECIOS_COMPLEMENTOS!$H$4:$H$17,0),IF(OR(G2215="S",G2215="20cm"),1,IF(OR(G2215="M",G2215="25cm"),2,IF(OR(G2215="L",G2215="30cm"),3,IF(OR(G2215="XL",G2215="35cm"),4,0))))),0)</f>
        <v>0.6</v>
      </c>
      <c r="J2215" s="103">
        <f t="shared" si="1"/>
        <v>0</v>
      </c>
      <c r="K2215" s="104" t="str">
        <f>IF(H2215&lt;0,"ERROR",IF(H2215=0,"",IF(H2215&lt;CONFIG!$B$4,"CRÍTICO",IF(H2215&lt;CONFIG!$B$5,"BAJO","OK"))))</f>
        <v/>
      </c>
    </row>
    <row r="2216" ht="15.75" hidden="1" customHeight="1">
      <c r="A2216" s="90" t="str">
        <f>IF(CLIENTES!A5="","",CLIENTES!A5)</f>
        <v>Bravos</v>
      </c>
      <c r="B2216" s="90" t="s">
        <v>331</v>
      </c>
      <c r="C2216" s="91" t="s">
        <v>328</v>
      </c>
      <c r="D2216" s="109" t="s">
        <v>366</v>
      </c>
      <c r="E2216" s="67" t="str">
        <f>COLORES!A17</f>
        <v>Vino</v>
      </c>
      <c r="F2216" s="67" t="str">
        <f>COLORES!B17</f>
        <v>OSCURO</v>
      </c>
      <c r="G2216" s="90" t="s">
        <v>378</v>
      </c>
      <c r="H2216" s="100">
        <f>IFERROR(SUMIFS(MOVIMIENTOS_COMPLEMENTOS!$I$4:$I$803,MOVIMIENTOS_COMPLEMENTOS!$C$4:$C$803,A2216,MOVIMIENTOS_COMPLEMENTOS!$D$4:$D$803,B2216,MOVIMIENTOS_COMPLEMENTOS!$E$4:$E$803,C2216,MOVIMIENTOS_COMPLEMENTOS!$F$4:$F$803,D2216,MOVIMIENTOS_COMPLEMENTOS!$G$4:$G$803,E2216,MOVIMIENTOS_COMPLEMENTOS!$H$4:$H$803,G2216,MOVIMIENTOS_COMPLEMENTOS!$B$4:$B$803,"INGRESO")+SUMIFS(MOVIMIENTOS_COMPLEMENTOS!$I$4:$I$803,MOVIMIENTOS_COMPLEMENTOS!$C$4:$C$803,A2216,MOVIMIENTOS_COMPLEMENTOS!$D$4:$D$803,B2216,MOVIMIENTOS_COMPLEMENTOS!$E$4:$E$803,C2216,MOVIMIENTOS_COMPLEMENTOS!$F$4:$F$803,D2216,MOVIMIENTOS_COMPLEMENTOS!$G$4:$G$803,E2216,MOVIMIENTOS_COMPLEMENTOS!$H$4:$H$803,G2216,MOVIMIENTOS_COMPLEMENTOS!$B$4:$B$803,"DE CORTE")-SUMIFS(MOVIMIENTOS_COMPLEMENTOS!$I$4:$I$803,MOVIMIENTOS_COMPLEMENTOS!$C$4:$C$803,A2216,MOVIMIENTOS_COMPLEMENTOS!$D$4:$D$803,B2216,MOVIMIENTOS_COMPLEMENTOS!$E$4:$E$803,C2216,MOVIMIENTOS_COMPLEMENTOS!$F$4:$F$803,D2216,MOVIMIENTOS_COMPLEMENTOS!$G$4:$G$803,E2216,MOVIMIENTOS_COMPLEMENTOS!$H$4:$H$803,G2216,MOVIMIENTOS_COMPLEMENTOS!$B$4:$B$803,"SALIDA"),0)</f>
        <v>0</v>
      </c>
      <c r="I2216" s="102">
        <f t="array" ref="I2216">IFERROR(INDEX(PRECIOS_COMPLEMENTOS!$C$4:$F$17,MATCH(B2216&amp;"_"&amp;C2216,PRECIOS_COMPLEMENTOS!$H$4:$H$17,0),IF(OR(G2216="S",G2216="20cm"),1,IF(OR(G2216="M",G2216="25cm"),2,IF(OR(G2216="L",G2216="30cm"),3,IF(OR(G2216="XL",G2216="35cm"),4,0))))),0)</f>
        <v>0.6</v>
      </c>
      <c r="J2216" s="103">
        <f t="shared" si="1"/>
        <v>0</v>
      </c>
      <c r="K2216" s="104" t="str">
        <f>IF(H2216&lt;0,"ERROR",IF(H2216=0,"",IF(H2216&lt;CONFIG!$B$4,"CRÍTICO",IF(H2216&lt;CONFIG!$B$5,"BAJO","OK"))))</f>
        <v/>
      </c>
    </row>
    <row r="2217" ht="15.75" hidden="1" customHeight="1">
      <c r="A2217" s="90" t="str">
        <f>IF(CLIENTES!A5="","",CLIENTES!A5)</f>
        <v>Bravos</v>
      </c>
      <c r="B2217" s="90" t="s">
        <v>331</v>
      </c>
      <c r="C2217" s="91" t="s">
        <v>328</v>
      </c>
      <c r="D2217" s="109" t="s">
        <v>366</v>
      </c>
      <c r="E2217" s="67" t="str">
        <f>COLORES!A17</f>
        <v>Vino</v>
      </c>
      <c r="F2217" s="67" t="str">
        <f>COLORES!B17</f>
        <v>OSCURO</v>
      </c>
      <c r="G2217" s="90" t="s">
        <v>376</v>
      </c>
      <c r="H2217" s="100">
        <f>IFERROR(SUMIFS(MOVIMIENTOS_COMPLEMENTOS!$I$4:$I$803,MOVIMIENTOS_COMPLEMENTOS!$C$4:$C$803,A2217,MOVIMIENTOS_COMPLEMENTOS!$D$4:$D$803,B2217,MOVIMIENTOS_COMPLEMENTOS!$E$4:$E$803,C2217,MOVIMIENTOS_COMPLEMENTOS!$F$4:$F$803,D2217,MOVIMIENTOS_COMPLEMENTOS!$G$4:$G$803,E2217,MOVIMIENTOS_COMPLEMENTOS!$H$4:$H$803,G2217,MOVIMIENTOS_COMPLEMENTOS!$B$4:$B$803,"INGRESO")+SUMIFS(MOVIMIENTOS_COMPLEMENTOS!$I$4:$I$803,MOVIMIENTOS_COMPLEMENTOS!$C$4:$C$803,A2217,MOVIMIENTOS_COMPLEMENTOS!$D$4:$D$803,B2217,MOVIMIENTOS_COMPLEMENTOS!$E$4:$E$803,C2217,MOVIMIENTOS_COMPLEMENTOS!$F$4:$F$803,D2217,MOVIMIENTOS_COMPLEMENTOS!$G$4:$G$803,E2217,MOVIMIENTOS_COMPLEMENTOS!$H$4:$H$803,G2217,MOVIMIENTOS_COMPLEMENTOS!$B$4:$B$803,"DE CORTE")-SUMIFS(MOVIMIENTOS_COMPLEMENTOS!$I$4:$I$803,MOVIMIENTOS_COMPLEMENTOS!$C$4:$C$803,A2217,MOVIMIENTOS_COMPLEMENTOS!$D$4:$D$803,B2217,MOVIMIENTOS_COMPLEMENTOS!$E$4:$E$803,C2217,MOVIMIENTOS_COMPLEMENTOS!$F$4:$F$803,D2217,MOVIMIENTOS_COMPLEMENTOS!$G$4:$G$803,E2217,MOVIMIENTOS_COMPLEMENTOS!$H$4:$H$803,G2217,MOVIMIENTOS_COMPLEMENTOS!$B$4:$B$803,"SALIDA"),0)</f>
        <v>0</v>
      </c>
      <c r="I2217" s="102">
        <f t="array" ref="I2217">IFERROR(INDEX(PRECIOS_COMPLEMENTOS!$C$4:$F$17,MATCH(B2217&amp;"_"&amp;C2217,PRECIOS_COMPLEMENTOS!$H$4:$H$17,0),IF(OR(G2217="S",G2217="20cm"),1,IF(OR(G2217="M",G2217="25cm"),2,IF(OR(G2217="L",G2217="30cm"),3,IF(OR(G2217="XL",G2217="35cm"),4,0))))),0)</f>
        <v>0.6</v>
      </c>
      <c r="J2217" s="103">
        <f t="shared" si="1"/>
        <v>0</v>
      </c>
      <c r="K2217" s="104" t="str">
        <f>IF(H2217&lt;0,"ERROR",IF(H2217=0,"",IF(H2217&lt;CONFIG!$B$4,"CRÍTICO",IF(H2217&lt;CONFIG!$B$5,"BAJO","OK"))))</f>
        <v/>
      </c>
    </row>
    <row r="2218" ht="15.75" hidden="1" customHeight="1">
      <c r="A2218" s="90" t="str">
        <f>IF(CLIENTES!A5="","",CLIENTES!A5)</f>
        <v>Bravos</v>
      </c>
      <c r="B2218" s="90" t="s">
        <v>331</v>
      </c>
      <c r="C2218" s="91" t="s">
        <v>328</v>
      </c>
      <c r="D2218" s="109" t="s">
        <v>366</v>
      </c>
      <c r="E2218" s="67" t="str">
        <f>COLORES!A17</f>
        <v>Vino</v>
      </c>
      <c r="F2218" s="67" t="str">
        <f>COLORES!B17</f>
        <v>OSCURO</v>
      </c>
      <c r="G2218" s="90" t="s">
        <v>377</v>
      </c>
      <c r="H2218" s="100">
        <f>IFERROR(SUMIFS(MOVIMIENTOS_COMPLEMENTOS!$I$4:$I$803,MOVIMIENTOS_COMPLEMENTOS!$C$4:$C$803,A2218,MOVIMIENTOS_COMPLEMENTOS!$D$4:$D$803,B2218,MOVIMIENTOS_COMPLEMENTOS!$E$4:$E$803,C2218,MOVIMIENTOS_COMPLEMENTOS!$F$4:$F$803,D2218,MOVIMIENTOS_COMPLEMENTOS!$G$4:$G$803,E2218,MOVIMIENTOS_COMPLEMENTOS!$H$4:$H$803,G2218,MOVIMIENTOS_COMPLEMENTOS!$B$4:$B$803,"INGRESO")+SUMIFS(MOVIMIENTOS_COMPLEMENTOS!$I$4:$I$803,MOVIMIENTOS_COMPLEMENTOS!$C$4:$C$803,A2218,MOVIMIENTOS_COMPLEMENTOS!$D$4:$D$803,B2218,MOVIMIENTOS_COMPLEMENTOS!$E$4:$E$803,C2218,MOVIMIENTOS_COMPLEMENTOS!$F$4:$F$803,D2218,MOVIMIENTOS_COMPLEMENTOS!$G$4:$G$803,E2218,MOVIMIENTOS_COMPLEMENTOS!$H$4:$H$803,G2218,MOVIMIENTOS_COMPLEMENTOS!$B$4:$B$803,"DE CORTE")-SUMIFS(MOVIMIENTOS_COMPLEMENTOS!$I$4:$I$803,MOVIMIENTOS_COMPLEMENTOS!$C$4:$C$803,A2218,MOVIMIENTOS_COMPLEMENTOS!$D$4:$D$803,B2218,MOVIMIENTOS_COMPLEMENTOS!$E$4:$E$803,C2218,MOVIMIENTOS_COMPLEMENTOS!$F$4:$F$803,D2218,MOVIMIENTOS_COMPLEMENTOS!$G$4:$G$803,E2218,MOVIMIENTOS_COMPLEMENTOS!$H$4:$H$803,G2218,MOVIMIENTOS_COMPLEMENTOS!$B$4:$B$803,"SALIDA"),0)</f>
        <v>0</v>
      </c>
      <c r="I2218" s="102">
        <f t="array" ref="I2218">IFERROR(INDEX(PRECIOS_COMPLEMENTOS!$C$4:$F$17,MATCH(B2218&amp;"_"&amp;C2218,PRECIOS_COMPLEMENTOS!$H$4:$H$17,0),IF(OR(G2218="S",G2218="20cm"),1,IF(OR(G2218="M",G2218="25cm"),2,IF(OR(G2218="L",G2218="30cm"),3,IF(OR(G2218="XL",G2218="35cm"),4,0))))),0)</f>
        <v>0.6</v>
      </c>
      <c r="J2218" s="103">
        <f t="shared" si="1"/>
        <v>0</v>
      </c>
      <c r="K2218" s="104" t="str">
        <f>IF(H2218&lt;0,"ERROR",IF(H2218=0,"",IF(H2218&lt;CONFIG!$B$4,"CRÍTICO",IF(H2218&lt;CONFIG!$B$5,"BAJO","OK"))))</f>
        <v/>
      </c>
    </row>
    <row r="2219" ht="15.75" hidden="1" customHeight="1">
      <c r="A2219" s="90" t="str">
        <f>IF(CLIENTES!A5="","",CLIENTES!A5)</f>
        <v>Bravos</v>
      </c>
      <c r="B2219" s="90" t="s">
        <v>331</v>
      </c>
      <c r="C2219" s="91" t="s">
        <v>328</v>
      </c>
      <c r="D2219" s="109" t="s">
        <v>366</v>
      </c>
      <c r="E2219" s="67" t="str">
        <f>COLORES!A17</f>
        <v>Vino</v>
      </c>
      <c r="F2219" s="67" t="str">
        <f>COLORES!B17</f>
        <v>OSCURO</v>
      </c>
      <c r="G2219" s="90" t="s">
        <v>379</v>
      </c>
      <c r="H2219" s="100">
        <f>IFERROR(SUMIFS(MOVIMIENTOS_COMPLEMENTOS!$I$4:$I$803,MOVIMIENTOS_COMPLEMENTOS!$C$4:$C$803,A2219,MOVIMIENTOS_COMPLEMENTOS!$D$4:$D$803,B2219,MOVIMIENTOS_COMPLEMENTOS!$E$4:$E$803,C2219,MOVIMIENTOS_COMPLEMENTOS!$F$4:$F$803,D2219,MOVIMIENTOS_COMPLEMENTOS!$G$4:$G$803,E2219,MOVIMIENTOS_COMPLEMENTOS!$H$4:$H$803,G2219,MOVIMIENTOS_COMPLEMENTOS!$B$4:$B$803,"INGRESO")+SUMIFS(MOVIMIENTOS_COMPLEMENTOS!$I$4:$I$803,MOVIMIENTOS_COMPLEMENTOS!$C$4:$C$803,A2219,MOVIMIENTOS_COMPLEMENTOS!$D$4:$D$803,B2219,MOVIMIENTOS_COMPLEMENTOS!$E$4:$E$803,C2219,MOVIMIENTOS_COMPLEMENTOS!$F$4:$F$803,D2219,MOVIMIENTOS_COMPLEMENTOS!$G$4:$G$803,E2219,MOVIMIENTOS_COMPLEMENTOS!$H$4:$H$803,G2219,MOVIMIENTOS_COMPLEMENTOS!$B$4:$B$803,"DE CORTE")-SUMIFS(MOVIMIENTOS_COMPLEMENTOS!$I$4:$I$803,MOVIMIENTOS_COMPLEMENTOS!$C$4:$C$803,A2219,MOVIMIENTOS_COMPLEMENTOS!$D$4:$D$803,B2219,MOVIMIENTOS_COMPLEMENTOS!$E$4:$E$803,C2219,MOVIMIENTOS_COMPLEMENTOS!$F$4:$F$803,D2219,MOVIMIENTOS_COMPLEMENTOS!$G$4:$G$803,E2219,MOVIMIENTOS_COMPLEMENTOS!$H$4:$H$803,G2219,MOVIMIENTOS_COMPLEMENTOS!$B$4:$B$803,"SALIDA"),0)</f>
        <v>0</v>
      </c>
      <c r="I2219" s="102">
        <f t="array" ref="I2219">IFERROR(INDEX(PRECIOS_COMPLEMENTOS!$C$4:$F$17,MATCH(B2219&amp;"_"&amp;C2219,PRECIOS_COMPLEMENTOS!$H$4:$H$17,0),IF(OR(G2219="S",G2219="20cm"),1,IF(OR(G2219="M",G2219="25cm"),2,IF(OR(G2219="L",G2219="30cm"),3,IF(OR(G2219="XL",G2219="35cm"),4,0))))),0)</f>
        <v>0.6</v>
      </c>
      <c r="J2219" s="103">
        <f t="shared" si="1"/>
        <v>0</v>
      </c>
      <c r="K2219" s="104" t="str">
        <f>IF(H2219&lt;0,"ERROR",IF(H2219=0,"",IF(H2219&lt;CONFIG!$B$4,"CRÍTICO",IF(H2219&lt;CONFIG!$B$5,"BAJO","OK"))))</f>
        <v/>
      </c>
    </row>
    <row r="2220" ht="15.75" hidden="1" customHeight="1">
      <c r="A2220" s="90" t="str">
        <f>IF(CLIENTES!A5="","",CLIENTES!A5)</f>
        <v>Bravos</v>
      </c>
      <c r="B2220" s="90" t="s">
        <v>331</v>
      </c>
      <c r="C2220" s="91" t="s">
        <v>328</v>
      </c>
      <c r="D2220" s="109" t="s">
        <v>366</v>
      </c>
      <c r="E2220" s="67" t="str">
        <f>COLORES!A18</f>
        <v>P. Rosa</v>
      </c>
      <c r="F2220" s="67" t="str">
        <f>COLORES!B18</f>
        <v>CLARO</v>
      </c>
      <c r="G2220" s="90" t="s">
        <v>378</v>
      </c>
      <c r="H2220" s="100">
        <f>IFERROR(SUMIFS(MOVIMIENTOS_COMPLEMENTOS!$I$4:$I$803,MOVIMIENTOS_COMPLEMENTOS!$C$4:$C$803,A2220,MOVIMIENTOS_COMPLEMENTOS!$D$4:$D$803,B2220,MOVIMIENTOS_COMPLEMENTOS!$E$4:$E$803,C2220,MOVIMIENTOS_COMPLEMENTOS!$F$4:$F$803,D2220,MOVIMIENTOS_COMPLEMENTOS!$G$4:$G$803,E2220,MOVIMIENTOS_COMPLEMENTOS!$H$4:$H$803,G2220,MOVIMIENTOS_COMPLEMENTOS!$B$4:$B$803,"INGRESO")+SUMIFS(MOVIMIENTOS_COMPLEMENTOS!$I$4:$I$803,MOVIMIENTOS_COMPLEMENTOS!$C$4:$C$803,A2220,MOVIMIENTOS_COMPLEMENTOS!$D$4:$D$803,B2220,MOVIMIENTOS_COMPLEMENTOS!$E$4:$E$803,C2220,MOVIMIENTOS_COMPLEMENTOS!$F$4:$F$803,D2220,MOVIMIENTOS_COMPLEMENTOS!$G$4:$G$803,E2220,MOVIMIENTOS_COMPLEMENTOS!$H$4:$H$803,G2220,MOVIMIENTOS_COMPLEMENTOS!$B$4:$B$803,"DE CORTE")-SUMIFS(MOVIMIENTOS_COMPLEMENTOS!$I$4:$I$803,MOVIMIENTOS_COMPLEMENTOS!$C$4:$C$803,A2220,MOVIMIENTOS_COMPLEMENTOS!$D$4:$D$803,B2220,MOVIMIENTOS_COMPLEMENTOS!$E$4:$E$803,C2220,MOVIMIENTOS_COMPLEMENTOS!$F$4:$F$803,D2220,MOVIMIENTOS_COMPLEMENTOS!$G$4:$G$803,E2220,MOVIMIENTOS_COMPLEMENTOS!$H$4:$H$803,G2220,MOVIMIENTOS_COMPLEMENTOS!$B$4:$B$803,"SALIDA"),0)</f>
        <v>0</v>
      </c>
      <c r="I2220" s="102">
        <f t="array" ref="I2220">IFERROR(INDEX(PRECIOS_COMPLEMENTOS!$C$4:$F$17,MATCH(B2220&amp;"_"&amp;C2220,PRECIOS_COMPLEMENTOS!$H$4:$H$17,0),IF(OR(G2220="S",G2220="20cm"),1,IF(OR(G2220="M",G2220="25cm"),2,IF(OR(G2220="L",G2220="30cm"),3,IF(OR(G2220="XL",G2220="35cm"),4,0))))),0)</f>
        <v>0.6</v>
      </c>
      <c r="J2220" s="103">
        <f t="shared" si="1"/>
        <v>0</v>
      </c>
      <c r="K2220" s="104" t="str">
        <f>IF(H2220&lt;0,"ERROR",IF(H2220=0,"",IF(H2220&lt;CONFIG!$B$4,"CRÍTICO",IF(H2220&lt;CONFIG!$B$5,"BAJO","OK"))))</f>
        <v/>
      </c>
    </row>
    <row r="2221" ht="15.75" hidden="1" customHeight="1">
      <c r="A2221" s="90" t="str">
        <f>IF(CLIENTES!A5="","",CLIENTES!A5)</f>
        <v>Bravos</v>
      </c>
      <c r="B2221" s="90" t="s">
        <v>331</v>
      </c>
      <c r="C2221" s="91" t="s">
        <v>328</v>
      </c>
      <c r="D2221" s="109" t="s">
        <v>366</v>
      </c>
      <c r="E2221" s="67" t="str">
        <f>COLORES!A18</f>
        <v>P. Rosa</v>
      </c>
      <c r="F2221" s="67" t="str">
        <f>COLORES!B18</f>
        <v>CLARO</v>
      </c>
      <c r="G2221" s="90" t="s">
        <v>376</v>
      </c>
      <c r="H2221" s="100">
        <f>IFERROR(SUMIFS(MOVIMIENTOS_COMPLEMENTOS!$I$4:$I$803,MOVIMIENTOS_COMPLEMENTOS!$C$4:$C$803,A2221,MOVIMIENTOS_COMPLEMENTOS!$D$4:$D$803,B2221,MOVIMIENTOS_COMPLEMENTOS!$E$4:$E$803,C2221,MOVIMIENTOS_COMPLEMENTOS!$F$4:$F$803,D2221,MOVIMIENTOS_COMPLEMENTOS!$G$4:$G$803,E2221,MOVIMIENTOS_COMPLEMENTOS!$H$4:$H$803,G2221,MOVIMIENTOS_COMPLEMENTOS!$B$4:$B$803,"INGRESO")+SUMIFS(MOVIMIENTOS_COMPLEMENTOS!$I$4:$I$803,MOVIMIENTOS_COMPLEMENTOS!$C$4:$C$803,A2221,MOVIMIENTOS_COMPLEMENTOS!$D$4:$D$803,B2221,MOVIMIENTOS_COMPLEMENTOS!$E$4:$E$803,C2221,MOVIMIENTOS_COMPLEMENTOS!$F$4:$F$803,D2221,MOVIMIENTOS_COMPLEMENTOS!$G$4:$G$803,E2221,MOVIMIENTOS_COMPLEMENTOS!$H$4:$H$803,G2221,MOVIMIENTOS_COMPLEMENTOS!$B$4:$B$803,"DE CORTE")-SUMIFS(MOVIMIENTOS_COMPLEMENTOS!$I$4:$I$803,MOVIMIENTOS_COMPLEMENTOS!$C$4:$C$803,A2221,MOVIMIENTOS_COMPLEMENTOS!$D$4:$D$803,B2221,MOVIMIENTOS_COMPLEMENTOS!$E$4:$E$803,C2221,MOVIMIENTOS_COMPLEMENTOS!$F$4:$F$803,D2221,MOVIMIENTOS_COMPLEMENTOS!$G$4:$G$803,E2221,MOVIMIENTOS_COMPLEMENTOS!$H$4:$H$803,G2221,MOVIMIENTOS_COMPLEMENTOS!$B$4:$B$803,"SALIDA"),0)</f>
        <v>0</v>
      </c>
      <c r="I2221" s="102">
        <f t="array" ref="I2221">IFERROR(INDEX(PRECIOS_COMPLEMENTOS!$C$4:$F$17,MATCH(B2221&amp;"_"&amp;C2221,PRECIOS_COMPLEMENTOS!$H$4:$H$17,0),IF(OR(G2221="S",G2221="20cm"),1,IF(OR(G2221="M",G2221="25cm"),2,IF(OR(G2221="L",G2221="30cm"),3,IF(OR(G2221="XL",G2221="35cm"),4,0))))),0)</f>
        <v>0.6</v>
      </c>
      <c r="J2221" s="103">
        <f t="shared" si="1"/>
        <v>0</v>
      </c>
      <c r="K2221" s="104" t="str">
        <f>IF(H2221&lt;0,"ERROR",IF(H2221=0,"",IF(H2221&lt;CONFIG!$B$4,"CRÍTICO",IF(H2221&lt;CONFIG!$B$5,"BAJO","OK"))))</f>
        <v/>
      </c>
    </row>
    <row r="2222" ht="15.75" hidden="1" customHeight="1">
      <c r="A2222" s="90" t="str">
        <f>IF(CLIENTES!A5="","",CLIENTES!A5)</f>
        <v>Bravos</v>
      </c>
      <c r="B2222" s="90" t="s">
        <v>331</v>
      </c>
      <c r="C2222" s="91" t="s">
        <v>328</v>
      </c>
      <c r="D2222" s="109" t="s">
        <v>366</v>
      </c>
      <c r="E2222" s="67" t="str">
        <f>COLORES!A18</f>
        <v>P. Rosa</v>
      </c>
      <c r="F2222" s="67" t="str">
        <f>COLORES!B18</f>
        <v>CLARO</v>
      </c>
      <c r="G2222" s="90" t="s">
        <v>377</v>
      </c>
      <c r="H2222" s="100">
        <f>IFERROR(SUMIFS(MOVIMIENTOS_COMPLEMENTOS!$I$4:$I$803,MOVIMIENTOS_COMPLEMENTOS!$C$4:$C$803,A2222,MOVIMIENTOS_COMPLEMENTOS!$D$4:$D$803,B2222,MOVIMIENTOS_COMPLEMENTOS!$E$4:$E$803,C2222,MOVIMIENTOS_COMPLEMENTOS!$F$4:$F$803,D2222,MOVIMIENTOS_COMPLEMENTOS!$G$4:$G$803,E2222,MOVIMIENTOS_COMPLEMENTOS!$H$4:$H$803,G2222,MOVIMIENTOS_COMPLEMENTOS!$B$4:$B$803,"INGRESO")+SUMIFS(MOVIMIENTOS_COMPLEMENTOS!$I$4:$I$803,MOVIMIENTOS_COMPLEMENTOS!$C$4:$C$803,A2222,MOVIMIENTOS_COMPLEMENTOS!$D$4:$D$803,B2222,MOVIMIENTOS_COMPLEMENTOS!$E$4:$E$803,C2222,MOVIMIENTOS_COMPLEMENTOS!$F$4:$F$803,D2222,MOVIMIENTOS_COMPLEMENTOS!$G$4:$G$803,E2222,MOVIMIENTOS_COMPLEMENTOS!$H$4:$H$803,G2222,MOVIMIENTOS_COMPLEMENTOS!$B$4:$B$803,"DE CORTE")-SUMIFS(MOVIMIENTOS_COMPLEMENTOS!$I$4:$I$803,MOVIMIENTOS_COMPLEMENTOS!$C$4:$C$803,A2222,MOVIMIENTOS_COMPLEMENTOS!$D$4:$D$803,B2222,MOVIMIENTOS_COMPLEMENTOS!$E$4:$E$803,C2222,MOVIMIENTOS_COMPLEMENTOS!$F$4:$F$803,D2222,MOVIMIENTOS_COMPLEMENTOS!$G$4:$G$803,E2222,MOVIMIENTOS_COMPLEMENTOS!$H$4:$H$803,G2222,MOVIMIENTOS_COMPLEMENTOS!$B$4:$B$803,"SALIDA"),0)</f>
        <v>0</v>
      </c>
      <c r="I2222" s="102">
        <f t="array" ref="I2222">IFERROR(INDEX(PRECIOS_COMPLEMENTOS!$C$4:$F$17,MATCH(B2222&amp;"_"&amp;C2222,PRECIOS_COMPLEMENTOS!$H$4:$H$17,0),IF(OR(G2222="S",G2222="20cm"),1,IF(OR(G2222="M",G2222="25cm"),2,IF(OR(G2222="L",G2222="30cm"),3,IF(OR(G2222="XL",G2222="35cm"),4,0))))),0)</f>
        <v>0.6</v>
      </c>
      <c r="J2222" s="103">
        <f t="shared" si="1"/>
        <v>0</v>
      </c>
      <c r="K2222" s="104" t="str">
        <f>IF(H2222&lt;0,"ERROR",IF(H2222=0,"",IF(H2222&lt;CONFIG!$B$4,"CRÍTICO",IF(H2222&lt;CONFIG!$B$5,"BAJO","OK"))))</f>
        <v/>
      </c>
    </row>
    <row r="2223" ht="15.75" hidden="1" customHeight="1">
      <c r="A2223" s="90" t="str">
        <f>IF(CLIENTES!A5="","",CLIENTES!A5)</f>
        <v>Bravos</v>
      </c>
      <c r="B2223" s="90" t="s">
        <v>331</v>
      </c>
      <c r="C2223" s="91" t="s">
        <v>328</v>
      </c>
      <c r="D2223" s="109" t="s">
        <v>366</v>
      </c>
      <c r="E2223" s="67" t="str">
        <f>COLORES!A18</f>
        <v>P. Rosa</v>
      </c>
      <c r="F2223" s="67" t="str">
        <f>COLORES!B18</f>
        <v>CLARO</v>
      </c>
      <c r="G2223" s="90" t="s">
        <v>379</v>
      </c>
      <c r="H2223" s="100">
        <f>IFERROR(SUMIFS(MOVIMIENTOS_COMPLEMENTOS!$I$4:$I$803,MOVIMIENTOS_COMPLEMENTOS!$C$4:$C$803,A2223,MOVIMIENTOS_COMPLEMENTOS!$D$4:$D$803,B2223,MOVIMIENTOS_COMPLEMENTOS!$E$4:$E$803,C2223,MOVIMIENTOS_COMPLEMENTOS!$F$4:$F$803,D2223,MOVIMIENTOS_COMPLEMENTOS!$G$4:$G$803,E2223,MOVIMIENTOS_COMPLEMENTOS!$H$4:$H$803,G2223,MOVIMIENTOS_COMPLEMENTOS!$B$4:$B$803,"INGRESO")+SUMIFS(MOVIMIENTOS_COMPLEMENTOS!$I$4:$I$803,MOVIMIENTOS_COMPLEMENTOS!$C$4:$C$803,A2223,MOVIMIENTOS_COMPLEMENTOS!$D$4:$D$803,B2223,MOVIMIENTOS_COMPLEMENTOS!$E$4:$E$803,C2223,MOVIMIENTOS_COMPLEMENTOS!$F$4:$F$803,D2223,MOVIMIENTOS_COMPLEMENTOS!$G$4:$G$803,E2223,MOVIMIENTOS_COMPLEMENTOS!$H$4:$H$803,G2223,MOVIMIENTOS_COMPLEMENTOS!$B$4:$B$803,"DE CORTE")-SUMIFS(MOVIMIENTOS_COMPLEMENTOS!$I$4:$I$803,MOVIMIENTOS_COMPLEMENTOS!$C$4:$C$803,A2223,MOVIMIENTOS_COMPLEMENTOS!$D$4:$D$803,B2223,MOVIMIENTOS_COMPLEMENTOS!$E$4:$E$803,C2223,MOVIMIENTOS_COMPLEMENTOS!$F$4:$F$803,D2223,MOVIMIENTOS_COMPLEMENTOS!$G$4:$G$803,E2223,MOVIMIENTOS_COMPLEMENTOS!$H$4:$H$803,G2223,MOVIMIENTOS_COMPLEMENTOS!$B$4:$B$803,"SALIDA"),0)</f>
        <v>0</v>
      </c>
      <c r="I2223" s="102">
        <f t="array" ref="I2223">IFERROR(INDEX(PRECIOS_COMPLEMENTOS!$C$4:$F$17,MATCH(B2223&amp;"_"&amp;C2223,PRECIOS_COMPLEMENTOS!$H$4:$H$17,0),IF(OR(G2223="S",G2223="20cm"),1,IF(OR(G2223="M",G2223="25cm"),2,IF(OR(G2223="L",G2223="30cm"),3,IF(OR(G2223="XL",G2223="35cm"),4,0))))),0)</f>
        <v>0.6</v>
      </c>
      <c r="J2223" s="103">
        <f t="shared" si="1"/>
        <v>0</v>
      </c>
      <c r="K2223" s="104" t="str">
        <f>IF(H2223&lt;0,"ERROR",IF(H2223=0,"",IF(H2223&lt;CONFIG!$B$4,"CRÍTICO",IF(H2223&lt;CONFIG!$B$5,"BAJO","OK"))))</f>
        <v/>
      </c>
    </row>
    <row r="2224" ht="15.75" hidden="1" customHeight="1">
      <c r="A2224" s="90" t="str">
        <f>IF(CLIENTES!A5="","",CLIENTES!A5)</f>
        <v>Bravos</v>
      </c>
      <c r="B2224" s="90" t="s">
        <v>331</v>
      </c>
      <c r="C2224" s="91" t="s">
        <v>328</v>
      </c>
      <c r="D2224" s="109" t="s">
        <v>366</v>
      </c>
      <c r="E2224" s="67" t="str">
        <f>COLORES!A19</f>
        <v/>
      </c>
      <c r="F2224" s="67" t="str">
        <f>COLORES!B19</f>
        <v/>
      </c>
      <c r="G2224" s="90" t="s">
        <v>378</v>
      </c>
      <c r="H2224" s="100">
        <f>IFERROR(SUMIFS(MOVIMIENTOS_COMPLEMENTOS!$I$4:$I$803,MOVIMIENTOS_COMPLEMENTOS!$C$4:$C$803,A2224,MOVIMIENTOS_COMPLEMENTOS!$D$4:$D$803,B2224,MOVIMIENTOS_COMPLEMENTOS!$E$4:$E$803,C2224,MOVIMIENTOS_COMPLEMENTOS!$F$4:$F$803,D2224,MOVIMIENTOS_COMPLEMENTOS!$G$4:$G$803,E2224,MOVIMIENTOS_COMPLEMENTOS!$H$4:$H$803,G2224,MOVIMIENTOS_COMPLEMENTOS!$B$4:$B$803,"INGRESO")+SUMIFS(MOVIMIENTOS_COMPLEMENTOS!$I$4:$I$803,MOVIMIENTOS_COMPLEMENTOS!$C$4:$C$803,A2224,MOVIMIENTOS_COMPLEMENTOS!$D$4:$D$803,B2224,MOVIMIENTOS_COMPLEMENTOS!$E$4:$E$803,C2224,MOVIMIENTOS_COMPLEMENTOS!$F$4:$F$803,D2224,MOVIMIENTOS_COMPLEMENTOS!$G$4:$G$803,E2224,MOVIMIENTOS_COMPLEMENTOS!$H$4:$H$803,G2224,MOVIMIENTOS_COMPLEMENTOS!$B$4:$B$803,"DE CORTE")-SUMIFS(MOVIMIENTOS_COMPLEMENTOS!$I$4:$I$803,MOVIMIENTOS_COMPLEMENTOS!$C$4:$C$803,A2224,MOVIMIENTOS_COMPLEMENTOS!$D$4:$D$803,B2224,MOVIMIENTOS_COMPLEMENTOS!$E$4:$E$803,C2224,MOVIMIENTOS_COMPLEMENTOS!$F$4:$F$803,D2224,MOVIMIENTOS_COMPLEMENTOS!$G$4:$G$803,E2224,MOVIMIENTOS_COMPLEMENTOS!$H$4:$H$803,G2224,MOVIMIENTOS_COMPLEMENTOS!$B$4:$B$803,"SALIDA"),0)</f>
        <v>0</v>
      </c>
      <c r="I2224" s="102">
        <f t="array" ref="I2224">IFERROR(INDEX(PRECIOS_COMPLEMENTOS!$C$4:$F$17,MATCH(B2224&amp;"_"&amp;C2224,PRECIOS_COMPLEMENTOS!$H$4:$H$17,0),IF(OR(G2224="S",G2224="20cm"),1,IF(OR(G2224="M",G2224="25cm"),2,IF(OR(G2224="L",G2224="30cm"),3,IF(OR(G2224="XL",G2224="35cm"),4,0))))),0)</f>
        <v>0.6</v>
      </c>
      <c r="J2224" s="103">
        <f t="shared" si="1"/>
        <v>0</v>
      </c>
      <c r="K2224" s="104" t="str">
        <f>IF(H2224&lt;0,"ERROR",IF(H2224=0,"",IF(H2224&lt;CONFIG!$B$4,"CRÍTICO",IF(H2224&lt;CONFIG!$B$5,"BAJO","OK"))))</f>
        <v/>
      </c>
    </row>
    <row r="2225" ht="15.75" hidden="1" customHeight="1">
      <c r="A2225" s="90" t="str">
        <f>IF(CLIENTES!A5="","",CLIENTES!A5)</f>
        <v>Bravos</v>
      </c>
      <c r="B2225" s="90" t="s">
        <v>331</v>
      </c>
      <c r="C2225" s="91" t="s">
        <v>328</v>
      </c>
      <c r="D2225" s="109" t="s">
        <v>366</v>
      </c>
      <c r="E2225" s="67" t="str">
        <f>COLORES!A19</f>
        <v/>
      </c>
      <c r="F2225" s="67" t="str">
        <f>COLORES!B19</f>
        <v/>
      </c>
      <c r="G2225" s="90" t="s">
        <v>376</v>
      </c>
      <c r="H2225" s="100">
        <f>IFERROR(SUMIFS(MOVIMIENTOS_COMPLEMENTOS!$I$4:$I$803,MOVIMIENTOS_COMPLEMENTOS!$C$4:$C$803,A2225,MOVIMIENTOS_COMPLEMENTOS!$D$4:$D$803,B2225,MOVIMIENTOS_COMPLEMENTOS!$E$4:$E$803,C2225,MOVIMIENTOS_COMPLEMENTOS!$F$4:$F$803,D2225,MOVIMIENTOS_COMPLEMENTOS!$G$4:$G$803,E2225,MOVIMIENTOS_COMPLEMENTOS!$H$4:$H$803,G2225,MOVIMIENTOS_COMPLEMENTOS!$B$4:$B$803,"INGRESO")+SUMIFS(MOVIMIENTOS_COMPLEMENTOS!$I$4:$I$803,MOVIMIENTOS_COMPLEMENTOS!$C$4:$C$803,A2225,MOVIMIENTOS_COMPLEMENTOS!$D$4:$D$803,B2225,MOVIMIENTOS_COMPLEMENTOS!$E$4:$E$803,C2225,MOVIMIENTOS_COMPLEMENTOS!$F$4:$F$803,D2225,MOVIMIENTOS_COMPLEMENTOS!$G$4:$G$803,E2225,MOVIMIENTOS_COMPLEMENTOS!$H$4:$H$803,G2225,MOVIMIENTOS_COMPLEMENTOS!$B$4:$B$803,"DE CORTE")-SUMIFS(MOVIMIENTOS_COMPLEMENTOS!$I$4:$I$803,MOVIMIENTOS_COMPLEMENTOS!$C$4:$C$803,A2225,MOVIMIENTOS_COMPLEMENTOS!$D$4:$D$803,B2225,MOVIMIENTOS_COMPLEMENTOS!$E$4:$E$803,C2225,MOVIMIENTOS_COMPLEMENTOS!$F$4:$F$803,D2225,MOVIMIENTOS_COMPLEMENTOS!$G$4:$G$803,E2225,MOVIMIENTOS_COMPLEMENTOS!$H$4:$H$803,G2225,MOVIMIENTOS_COMPLEMENTOS!$B$4:$B$803,"SALIDA"),0)</f>
        <v>0</v>
      </c>
      <c r="I2225" s="102">
        <f t="array" ref="I2225">IFERROR(INDEX(PRECIOS_COMPLEMENTOS!$C$4:$F$17,MATCH(B2225&amp;"_"&amp;C2225,PRECIOS_COMPLEMENTOS!$H$4:$H$17,0),IF(OR(G2225="S",G2225="20cm"),1,IF(OR(G2225="M",G2225="25cm"),2,IF(OR(G2225="L",G2225="30cm"),3,IF(OR(G2225="XL",G2225="35cm"),4,0))))),0)</f>
        <v>0.6</v>
      </c>
      <c r="J2225" s="103">
        <f t="shared" si="1"/>
        <v>0</v>
      </c>
      <c r="K2225" s="104" t="str">
        <f>IF(H2225&lt;0,"ERROR",IF(H2225=0,"",IF(H2225&lt;CONFIG!$B$4,"CRÍTICO",IF(H2225&lt;CONFIG!$B$5,"BAJO","OK"))))</f>
        <v/>
      </c>
    </row>
    <row r="2226" ht="15.75" hidden="1" customHeight="1">
      <c r="A2226" s="90" t="str">
        <f>IF(CLIENTES!A5="","",CLIENTES!A5)</f>
        <v>Bravos</v>
      </c>
      <c r="B2226" s="90" t="s">
        <v>331</v>
      </c>
      <c r="C2226" s="91" t="s">
        <v>328</v>
      </c>
      <c r="D2226" s="109" t="s">
        <v>366</v>
      </c>
      <c r="E2226" s="67" t="str">
        <f>COLORES!A19</f>
        <v/>
      </c>
      <c r="F2226" s="67" t="str">
        <f>COLORES!B19</f>
        <v/>
      </c>
      <c r="G2226" s="90" t="s">
        <v>377</v>
      </c>
      <c r="H2226" s="100">
        <f>IFERROR(SUMIFS(MOVIMIENTOS_COMPLEMENTOS!$I$4:$I$803,MOVIMIENTOS_COMPLEMENTOS!$C$4:$C$803,A2226,MOVIMIENTOS_COMPLEMENTOS!$D$4:$D$803,B2226,MOVIMIENTOS_COMPLEMENTOS!$E$4:$E$803,C2226,MOVIMIENTOS_COMPLEMENTOS!$F$4:$F$803,D2226,MOVIMIENTOS_COMPLEMENTOS!$G$4:$G$803,E2226,MOVIMIENTOS_COMPLEMENTOS!$H$4:$H$803,G2226,MOVIMIENTOS_COMPLEMENTOS!$B$4:$B$803,"INGRESO")+SUMIFS(MOVIMIENTOS_COMPLEMENTOS!$I$4:$I$803,MOVIMIENTOS_COMPLEMENTOS!$C$4:$C$803,A2226,MOVIMIENTOS_COMPLEMENTOS!$D$4:$D$803,B2226,MOVIMIENTOS_COMPLEMENTOS!$E$4:$E$803,C2226,MOVIMIENTOS_COMPLEMENTOS!$F$4:$F$803,D2226,MOVIMIENTOS_COMPLEMENTOS!$G$4:$G$803,E2226,MOVIMIENTOS_COMPLEMENTOS!$H$4:$H$803,G2226,MOVIMIENTOS_COMPLEMENTOS!$B$4:$B$803,"DE CORTE")-SUMIFS(MOVIMIENTOS_COMPLEMENTOS!$I$4:$I$803,MOVIMIENTOS_COMPLEMENTOS!$C$4:$C$803,A2226,MOVIMIENTOS_COMPLEMENTOS!$D$4:$D$803,B2226,MOVIMIENTOS_COMPLEMENTOS!$E$4:$E$803,C2226,MOVIMIENTOS_COMPLEMENTOS!$F$4:$F$803,D2226,MOVIMIENTOS_COMPLEMENTOS!$G$4:$G$803,E2226,MOVIMIENTOS_COMPLEMENTOS!$H$4:$H$803,G2226,MOVIMIENTOS_COMPLEMENTOS!$B$4:$B$803,"SALIDA"),0)</f>
        <v>0</v>
      </c>
      <c r="I2226" s="102">
        <f t="array" ref="I2226">IFERROR(INDEX(PRECIOS_COMPLEMENTOS!$C$4:$F$17,MATCH(B2226&amp;"_"&amp;C2226,PRECIOS_COMPLEMENTOS!$H$4:$H$17,0),IF(OR(G2226="S",G2226="20cm"),1,IF(OR(G2226="M",G2226="25cm"),2,IF(OR(G2226="L",G2226="30cm"),3,IF(OR(G2226="XL",G2226="35cm"),4,0))))),0)</f>
        <v>0.6</v>
      </c>
      <c r="J2226" s="103">
        <f t="shared" si="1"/>
        <v>0</v>
      </c>
      <c r="K2226" s="104" t="str">
        <f>IF(H2226&lt;0,"ERROR",IF(H2226=0,"",IF(H2226&lt;CONFIG!$B$4,"CRÍTICO",IF(H2226&lt;CONFIG!$B$5,"BAJO","OK"))))</f>
        <v/>
      </c>
    </row>
    <row r="2227" ht="15.75" hidden="1" customHeight="1">
      <c r="A2227" s="90" t="str">
        <f>IF(CLIENTES!A5="","",CLIENTES!A5)</f>
        <v>Bravos</v>
      </c>
      <c r="B2227" s="90" t="s">
        <v>331</v>
      </c>
      <c r="C2227" s="91" t="s">
        <v>328</v>
      </c>
      <c r="D2227" s="109" t="s">
        <v>366</v>
      </c>
      <c r="E2227" s="67" t="str">
        <f>COLORES!A19</f>
        <v/>
      </c>
      <c r="F2227" s="67" t="str">
        <f>COLORES!B19</f>
        <v/>
      </c>
      <c r="G2227" s="90" t="s">
        <v>379</v>
      </c>
      <c r="H2227" s="100">
        <f>IFERROR(SUMIFS(MOVIMIENTOS_COMPLEMENTOS!$I$4:$I$803,MOVIMIENTOS_COMPLEMENTOS!$C$4:$C$803,A2227,MOVIMIENTOS_COMPLEMENTOS!$D$4:$D$803,B2227,MOVIMIENTOS_COMPLEMENTOS!$E$4:$E$803,C2227,MOVIMIENTOS_COMPLEMENTOS!$F$4:$F$803,D2227,MOVIMIENTOS_COMPLEMENTOS!$G$4:$G$803,E2227,MOVIMIENTOS_COMPLEMENTOS!$H$4:$H$803,G2227,MOVIMIENTOS_COMPLEMENTOS!$B$4:$B$803,"INGRESO")+SUMIFS(MOVIMIENTOS_COMPLEMENTOS!$I$4:$I$803,MOVIMIENTOS_COMPLEMENTOS!$C$4:$C$803,A2227,MOVIMIENTOS_COMPLEMENTOS!$D$4:$D$803,B2227,MOVIMIENTOS_COMPLEMENTOS!$E$4:$E$803,C2227,MOVIMIENTOS_COMPLEMENTOS!$F$4:$F$803,D2227,MOVIMIENTOS_COMPLEMENTOS!$G$4:$G$803,E2227,MOVIMIENTOS_COMPLEMENTOS!$H$4:$H$803,G2227,MOVIMIENTOS_COMPLEMENTOS!$B$4:$B$803,"DE CORTE")-SUMIFS(MOVIMIENTOS_COMPLEMENTOS!$I$4:$I$803,MOVIMIENTOS_COMPLEMENTOS!$C$4:$C$803,A2227,MOVIMIENTOS_COMPLEMENTOS!$D$4:$D$803,B2227,MOVIMIENTOS_COMPLEMENTOS!$E$4:$E$803,C2227,MOVIMIENTOS_COMPLEMENTOS!$F$4:$F$803,D2227,MOVIMIENTOS_COMPLEMENTOS!$G$4:$G$803,E2227,MOVIMIENTOS_COMPLEMENTOS!$H$4:$H$803,G2227,MOVIMIENTOS_COMPLEMENTOS!$B$4:$B$803,"SALIDA"),0)</f>
        <v>0</v>
      </c>
      <c r="I2227" s="102">
        <f t="array" ref="I2227">IFERROR(INDEX(PRECIOS_COMPLEMENTOS!$C$4:$F$17,MATCH(B2227&amp;"_"&amp;C2227,PRECIOS_COMPLEMENTOS!$H$4:$H$17,0),IF(OR(G2227="S",G2227="20cm"),1,IF(OR(G2227="M",G2227="25cm"),2,IF(OR(G2227="L",G2227="30cm"),3,IF(OR(G2227="XL",G2227="35cm"),4,0))))),0)</f>
        <v>0.6</v>
      </c>
      <c r="J2227" s="103">
        <f t="shared" si="1"/>
        <v>0</v>
      </c>
      <c r="K2227" s="104" t="str">
        <f>IF(H2227&lt;0,"ERROR",IF(H2227=0,"",IF(H2227&lt;CONFIG!$B$4,"CRÍTICO",IF(H2227&lt;CONFIG!$B$5,"BAJO","OK"))))</f>
        <v/>
      </c>
    </row>
    <row r="2228" ht="15.75" hidden="1" customHeight="1">
      <c r="A2228" s="90" t="str">
        <f>IF(CLIENTES!A5="","",CLIENTES!A5)</f>
        <v>Bravos</v>
      </c>
      <c r="B2228" s="90" t="s">
        <v>331</v>
      </c>
      <c r="C2228" s="91" t="s">
        <v>328</v>
      </c>
      <c r="D2228" s="109" t="s">
        <v>366</v>
      </c>
      <c r="E2228" s="67" t="str">
        <f>COLORES!A20</f>
        <v/>
      </c>
      <c r="F2228" s="67" t="str">
        <f>COLORES!B20</f>
        <v/>
      </c>
      <c r="G2228" s="90" t="s">
        <v>378</v>
      </c>
      <c r="H2228" s="100">
        <f>IFERROR(SUMIFS(MOVIMIENTOS_COMPLEMENTOS!$I$4:$I$803,MOVIMIENTOS_COMPLEMENTOS!$C$4:$C$803,A2228,MOVIMIENTOS_COMPLEMENTOS!$D$4:$D$803,B2228,MOVIMIENTOS_COMPLEMENTOS!$E$4:$E$803,C2228,MOVIMIENTOS_COMPLEMENTOS!$F$4:$F$803,D2228,MOVIMIENTOS_COMPLEMENTOS!$G$4:$G$803,E2228,MOVIMIENTOS_COMPLEMENTOS!$H$4:$H$803,G2228,MOVIMIENTOS_COMPLEMENTOS!$B$4:$B$803,"INGRESO")+SUMIFS(MOVIMIENTOS_COMPLEMENTOS!$I$4:$I$803,MOVIMIENTOS_COMPLEMENTOS!$C$4:$C$803,A2228,MOVIMIENTOS_COMPLEMENTOS!$D$4:$D$803,B2228,MOVIMIENTOS_COMPLEMENTOS!$E$4:$E$803,C2228,MOVIMIENTOS_COMPLEMENTOS!$F$4:$F$803,D2228,MOVIMIENTOS_COMPLEMENTOS!$G$4:$G$803,E2228,MOVIMIENTOS_COMPLEMENTOS!$H$4:$H$803,G2228,MOVIMIENTOS_COMPLEMENTOS!$B$4:$B$803,"DE CORTE")-SUMIFS(MOVIMIENTOS_COMPLEMENTOS!$I$4:$I$803,MOVIMIENTOS_COMPLEMENTOS!$C$4:$C$803,A2228,MOVIMIENTOS_COMPLEMENTOS!$D$4:$D$803,B2228,MOVIMIENTOS_COMPLEMENTOS!$E$4:$E$803,C2228,MOVIMIENTOS_COMPLEMENTOS!$F$4:$F$803,D2228,MOVIMIENTOS_COMPLEMENTOS!$G$4:$G$803,E2228,MOVIMIENTOS_COMPLEMENTOS!$H$4:$H$803,G2228,MOVIMIENTOS_COMPLEMENTOS!$B$4:$B$803,"SALIDA"),0)</f>
        <v>0</v>
      </c>
      <c r="I2228" s="102">
        <f t="array" ref="I2228">IFERROR(INDEX(PRECIOS_COMPLEMENTOS!$C$4:$F$17,MATCH(B2228&amp;"_"&amp;C2228,PRECIOS_COMPLEMENTOS!$H$4:$H$17,0),IF(OR(G2228="S",G2228="20cm"),1,IF(OR(G2228="M",G2228="25cm"),2,IF(OR(G2228="L",G2228="30cm"),3,IF(OR(G2228="XL",G2228="35cm"),4,0))))),0)</f>
        <v>0.6</v>
      </c>
      <c r="J2228" s="103">
        <f t="shared" si="1"/>
        <v>0</v>
      </c>
      <c r="K2228" s="104" t="str">
        <f>IF(H2228&lt;0,"ERROR",IF(H2228=0,"",IF(H2228&lt;CONFIG!$B$4,"CRÍTICO",IF(H2228&lt;CONFIG!$B$5,"BAJO","OK"))))</f>
        <v/>
      </c>
    </row>
    <row r="2229" ht="15.75" hidden="1" customHeight="1">
      <c r="A2229" s="90" t="str">
        <f>IF(CLIENTES!A5="","",CLIENTES!A5)</f>
        <v>Bravos</v>
      </c>
      <c r="B2229" s="90" t="s">
        <v>331</v>
      </c>
      <c r="C2229" s="91" t="s">
        <v>328</v>
      </c>
      <c r="D2229" s="109" t="s">
        <v>366</v>
      </c>
      <c r="E2229" s="67" t="str">
        <f>COLORES!A20</f>
        <v/>
      </c>
      <c r="F2229" s="67" t="str">
        <f>COLORES!B20</f>
        <v/>
      </c>
      <c r="G2229" s="90" t="s">
        <v>376</v>
      </c>
      <c r="H2229" s="100">
        <f>IFERROR(SUMIFS(MOVIMIENTOS_COMPLEMENTOS!$I$4:$I$803,MOVIMIENTOS_COMPLEMENTOS!$C$4:$C$803,A2229,MOVIMIENTOS_COMPLEMENTOS!$D$4:$D$803,B2229,MOVIMIENTOS_COMPLEMENTOS!$E$4:$E$803,C2229,MOVIMIENTOS_COMPLEMENTOS!$F$4:$F$803,D2229,MOVIMIENTOS_COMPLEMENTOS!$G$4:$G$803,E2229,MOVIMIENTOS_COMPLEMENTOS!$H$4:$H$803,G2229,MOVIMIENTOS_COMPLEMENTOS!$B$4:$B$803,"INGRESO")+SUMIFS(MOVIMIENTOS_COMPLEMENTOS!$I$4:$I$803,MOVIMIENTOS_COMPLEMENTOS!$C$4:$C$803,A2229,MOVIMIENTOS_COMPLEMENTOS!$D$4:$D$803,B2229,MOVIMIENTOS_COMPLEMENTOS!$E$4:$E$803,C2229,MOVIMIENTOS_COMPLEMENTOS!$F$4:$F$803,D2229,MOVIMIENTOS_COMPLEMENTOS!$G$4:$G$803,E2229,MOVIMIENTOS_COMPLEMENTOS!$H$4:$H$803,G2229,MOVIMIENTOS_COMPLEMENTOS!$B$4:$B$803,"DE CORTE")-SUMIFS(MOVIMIENTOS_COMPLEMENTOS!$I$4:$I$803,MOVIMIENTOS_COMPLEMENTOS!$C$4:$C$803,A2229,MOVIMIENTOS_COMPLEMENTOS!$D$4:$D$803,B2229,MOVIMIENTOS_COMPLEMENTOS!$E$4:$E$803,C2229,MOVIMIENTOS_COMPLEMENTOS!$F$4:$F$803,D2229,MOVIMIENTOS_COMPLEMENTOS!$G$4:$G$803,E2229,MOVIMIENTOS_COMPLEMENTOS!$H$4:$H$803,G2229,MOVIMIENTOS_COMPLEMENTOS!$B$4:$B$803,"SALIDA"),0)</f>
        <v>0</v>
      </c>
      <c r="I2229" s="102">
        <f t="array" ref="I2229">IFERROR(INDEX(PRECIOS_COMPLEMENTOS!$C$4:$F$17,MATCH(B2229&amp;"_"&amp;C2229,PRECIOS_COMPLEMENTOS!$H$4:$H$17,0),IF(OR(G2229="S",G2229="20cm"),1,IF(OR(G2229="M",G2229="25cm"),2,IF(OR(G2229="L",G2229="30cm"),3,IF(OR(G2229="XL",G2229="35cm"),4,0))))),0)</f>
        <v>0.6</v>
      </c>
      <c r="J2229" s="103">
        <f t="shared" si="1"/>
        <v>0</v>
      </c>
      <c r="K2229" s="104" t="str">
        <f>IF(H2229&lt;0,"ERROR",IF(H2229=0,"",IF(H2229&lt;CONFIG!$B$4,"CRÍTICO",IF(H2229&lt;CONFIG!$B$5,"BAJO","OK"))))</f>
        <v/>
      </c>
    </row>
    <row r="2230" ht="15.75" hidden="1" customHeight="1">
      <c r="A2230" s="90" t="str">
        <f>IF(CLIENTES!A5="","",CLIENTES!A5)</f>
        <v>Bravos</v>
      </c>
      <c r="B2230" s="90" t="s">
        <v>331</v>
      </c>
      <c r="C2230" s="91" t="s">
        <v>328</v>
      </c>
      <c r="D2230" s="109" t="s">
        <v>366</v>
      </c>
      <c r="E2230" s="67" t="str">
        <f>COLORES!A20</f>
        <v/>
      </c>
      <c r="F2230" s="67" t="str">
        <f>COLORES!B20</f>
        <v/>
      </c>
      <c r="G2230" s="90" t="s">
        <v>377</v>
      </c>
      <c r="H2230" s="100">
        <f>IFERROR(SUMIFS(MOVIMIENTOS_COMPLEMENTOS!$I$4:$I$803,MOVIMIENTOS_COMPLEMENTOS!$C$4:$C$803,A2230,MOVIMIENTOS_COMPLEMENTOS!$D$4:$D$803,B2230,MOVIMIENTOS_COMPLEMENTOS!$E$4:$E$803,C2230,MOVIMIENTOS_COMPLEMENTOS!$F$4:$F$803,D2230,MOVIMIENTOS_COMPLEMENTOS!$G$4:$G$803,E2230,MOVIMIENTOS_COMPLEMENTOS!$H$4:$H$803,G2230,MOVIMIENTOS_COMPLEMENTOS!$B$4:$B$803,"INGRESO")+SUMIFS(MOVIMIENTOS_COMPLEMENTOS!$I$4:$I$803,MOVIMIENTOS_COMPLEMENTOS!$C$4:$C$803,A2230,MOVIMIENTOS_COMPLEMENTOS!$D$4:$D$803,B2230,MOVIMIENTOS_COMPLEMENTOS!$E$4:$E$803,C2230,MOVIMIENTOS_COMPLEMENTOS!$F$4:$F$803,D2230,MOVIMIENTOS_COMPLEMENTOS!$G$4:$G$803,E2230,MOVIMIENTOS_COMPLEMENTOS!$H$4:$H$803,G2230,MOVIMIENTOS_COMPLEMENTOS!$B$4:$B$803,"DE CORTE")-SUMIFS(MOVIMIENTOS_COMPLEMENTOS!$I$4:$I$803,MOVIMIENTOS_COMPLEMENTOS!$C$4:$C$803,A2230,MOVIMIENTOS_COMPLEMENTOS!$D$4:$D$803,B2230,MOVIMIENTOS_COMPLEMENTOS!$E$4:$E$803,C2230,MOVIMIENTOS_COMPLEMENTOS!$F$4:$F$803,D2230,MOVIMIENTOS_COMPLEMENTOS!$G$4:$G$803,E2230,MOVIMIENTOS_COMPLEMENTOS!$H$4:$H$803,G2230,MOVIMIENTOS_COMPLEMENTOS!$B$4:$B$803,"SALIDA"),0)</f>
        <v>0</v>
      </c>
      <c r="I2230" s="102">
        <f t="array" ref="I2230">IFERROR(INDEX(PRECIOS_COMPLEMENTOS!$C$4:$F$17,MATCH(B2230&amp;"_"&amp;C2230,PRECIOS_COMPLEMENTOS!$H$4:$H$17,0),IF(OR(G2230="S",G2230="20cm"),1,IF(OR(G2230="M",G2230="25cm"),2,IF(OR(G2230="L",G2230="30cm"),3,IF(OR(G2230="XL",G2230="35cm"),4,0))))),0)</f>
        <v>0.6</v>
      </c>
      <c r="J2230" s="103">
        <f t="shared" si="1"/>
        <v>0</v>
      </c>
      <c r="K2230" s="104" t="str">
        <f>IF(H2230&lt;0,"ERROR",IF(H2230=0,"",IF(H2230&lt;CONFIG!$B$4,"CRÍTICO",IF(H2230&lt;CONFIG!$B$5,"BAJO","OK"))))</f>
        <v/>
      </c>
    </row>
    <row r="2231" ht="15.75" hidden="1" customHeight="1">
      <c r="A2231" s="90" t="str">
        <f>IF(CLIENTES!A5="","",CLIENTES!A5)</f>
        <v>Bravos</v>
      </c>
      <c r="B2231" s="90" t="s">
        <v>331</v>
      </c>
      <c r="C2231" s="91" t="s">
        <v>328</v>
      </c>
      <c r="D2231" s="109" t="s">
        <v>366</v>
      </c>
      <c r="E2231" s="67" t="str">
        <f>COLORES!A20</f>
        <v/>
      </c>
      <c r="F2231" s="67" t="str">
        <f>COLORES!B20</f>
        <v/>
      </c>
      <c r="G2231" s="90" t="s">
        <v>379</v>
      </c>
      <c r="H2231" s="100">
        <f>IFERROR(SUMIFS(MOVIMIENTOS_COMPLEMENTOS!$I$4:$I$803,MOVIMIENTOS_COMPLEMENTOS!$C$4:$C$803,A2231,MOVIMIENTOS_COMPLEMENTOS!$D$4:$D$803,B2231,MOVIMIENTOS_COMPLEMENTOS!$E$4:$E$803,C2231,MOVIMIENTOS_COMPLEMENTOS!$F$4:$F$803,D2231,MOVIMIENTOS_COMPLEMENTOS!$G$4:$G$803,E2231,MOVIMIENTOS_COMPLEMENTOS!$H$4:$H$803,G2231,MOVIMIENTOS_COMPLEMENTOS!$B$4:$B$803,"INGRESO")+SUMIFS(MOVIMIENTOS_COMPLEMENTOS!$I$4:$I$803,MOVIMIENTOS_COMPLEMENTOS!$C$4:$C$803,A2231,MOVIMIENTOS_COMPLEMENTOS!$D$4:$D$803,B2231,MOVIMIENTOS_COMPLEMENTOS!$E$4:$E$803,C2231,MOVIMIENTOS_COMPLEMENTOS!$F$4:$F$803,D2231,MOVIMIENTOS_COMPLEMENTOS!$G$4:$G$803,E2231,MOVIMIENTOS_COMPLEMENTOS!$H$4:$H$803,G2231,MOVIMIENTOS_COMPLEMENTOS!$B$4:$B$803,"DE CORTE")-SUMIFS(MOVIMIENTOS_COMPLEMENTOS!$I$4:$I$803,MOVIMIENTOS_COMPLEMENTOS!$C$4:$C$803,A2231,MOVIMIENTOS_COMPLEMENTOS!$D$4:$D$803,B2231,MOVIMIENTOS_COMPLEMENTOS!$E$4:$E$803,C2231,MOVIMIENTOS_COMPLEMENTOS!$F$4:$F$803,D2231,MOVIMIENTOS_COMPLEMENTOS!$G$4:$G$803,E2231,MOVIMIENTOS_COMPLEMENTOS!$H$4:$H$803,G2231,MOVIMIENTOS_COMPLEMENTOS!$B$4:$B$803,"SALIDA"),0)</f>
        <v>0</v>
      </c>
      <c r="I2231" s="102">
        <f t="array" ref="I2231">IFERROR(INDEX(PRECIOS_COMPLEMENTOS!$C$4:$F$17,MATCH(B2231&amp;"_"&amp;C2231,PRECIOS_COMPLEMENTOS!$H$4:$H$17,0),IF(OR(G2231="S",G2231="20cm"),1,IF(OR(G2231="M",G2231="25cm"),2,IF(OR(G2231="L",G2231="30cm"),3,IF(OR(G2231="XL",G2231="35cm"),4,0))))),0)</f>
        <v>0.6</v>
      </c>
      <c r="J2231" s="103">
        <f t="shared" si="1"/>
        <v>0</v>
      </c>
      <c r="K2231" s="104" t="str">
        <f>IF(H2231&lt;0,"ERROR",IF(H2231=0,"",IF(H2231&lt;CONFIG!$B$4,"CRÍTICO",IF(H2231&lt;CONFIG!$B$5,"BAJO","OK"))))</f>
        <v/>
      </c>
    </row>
    <row r="2232" ht="15.75" hidden="1" customHeight="1">
      <c r="A2232" s="90" t="str">
        <f>IF(CLIENTES!A5="","",CLIENTES!A5)</f>
        <v>Bravos</v>
      </c>
      <c r="B2232" s="90" t="s">
        <v>331</v>
      </c>
      <c r="C2232" s="91" t="s">
        <v>328</v>
      </c>
      <c r="D2232" s="109" t="s">
        <v>366</v>
      </c>
      <c r="E2232" s="67" t="str">
        <f>COLORES!A21</f>
        <v/>
      </c>
      <c r="F2232" s="67" t="str">
        <f>COLORES!B21</f>
        <v/>
      </c>
      <c r="G2232" s="90" t="s">
        <v>378</v>
      </c>
      <c r="H2232" s="100">
        <f>IFERROR(SUMIFS(MOVIMIENTOS_COMPLEMENTOS!$I$4:$I$803,MOVIMIENTOS_COMPLEMENTOS!$C$4:$C$803,A2232,MOVIMIENTOS_COMPLEMENTOS!$D$4:$D$803,B2232,MOVIMIENTOS_COMPLEMENTOS!$E$4:$E$803,C2232,MOVIMIENTOS_COMPLEMENTOS!$F$4:$F$803,D2232,MOVIMIENTOS_COMPLEMENTOS!$G$4:$G$803,E2232,MOVIMIENTOS_COMPLEMENTOS!$H$4:$H$803,G2232,MOVIMIENTOS_COMPLEMENTOS!$B$4:$B$803,"INGRESO")+SUMIFS(MOVIMIENTOS_COMPLEMENTOS!$I$4:$I$803,MOVIMIENTOS_COMPLEMENTOS!$C$4:$C$803,A2232,MOVIMIENTOS_COMPLEMENTOS!$D$4:$D$803,B2232,MOVIMIENTOS_COMPLEMENTOS!$E$4:$E$803,C2232,MOVIMIENTOS_COMPLEMENTOS!$F$4:$F$803,D2232,MOVIMIENTOS_COMPLEMENTOS!$G$4:$G$803,E2232,MOVIMIENTOS_COMPLEMENTOS!$H$4:$H$803,G2232,MOVIMIENTOS_COMPLEMENTOS!$B$4:$B$803,"DE CORTE")-SUMIFS(MOVIMIENTOS_COMPLEMENTOS!$I$4:$I$803,MOVIMIENTOS_COMPLEMENTOS!$C$4:$C$803,A2232,MOVIMIENTOS_COMPLEMENTOS!$D$4:$D$803,B2232,MOVIMIENTOS_COMPLEMENTOS!$E$4:$E$803,C2232,MOVIMIENTOS_COMPLEMENTOS!$F$4:$F$803,D2232,MOVIMIENTOS_COMPLEMENTOS!$G$4:$G$803,E2232,MOVIMIENTOS_COMPLEMENTOS!$H$4:$H$803,G2232,MOVIMIENTOS_COMPLEMENTOS!$B$4:$B$803,"SALIDA"),0)</f>
        <v>0</v>
      </c>
      <c r="I2232" s="102">
        <f t="array" ref="I2232">IFERROR(INDEX(PRECIOS_COMPLEMENTOS!$C$4:$F$17,MATCH(B2232&amp;"_"&amp;C2232,PRECIOS_COMPLEMENTOS!$H$4:$H$17,0),IF(OR(G2232="S",G2232="20cm"),1,IF(OR(G2232="M",G2232="25cm"),2,IF(OR(G2232="L",G2232="30cm"),3,IF(OR(G2232="XL",G2232="35cm"),4,0))))),0)</f>
        <v>0.6</v>
      </c>
      <c r="J2232" s="103">
        <f t="shared" si="1"/>
        <v>0</v>
      </c>
      <c r="K2232" s="104" t="str">
        <f>IF(H2232&lt;0,"ERROR",IF(H2232=0,"",IF(H2232&lt;CONFIG!$B$4,"CRÍTICO",IF(H2232&lt;CONFIG!$B$5,"BAJO","OK"))))</f>
        <v/>
      </c>
    </row>
    <row r="2233" ht="15.75" hidden="1" customHeight="1">
      <c r="A2233" s="90" t="str">
        <f>IF(CLIENTES!A5="","",CLIENTES!A5)</f>
        <v>Bravos</v>
      </c>
      <c r="B2233" s="90" t="s">
        <v>331</v>
      </c>
      <c r="C2233" s="91" t="s">
        <v>328</v>
      </c>
      <c r="D2233" s="109" t="s">
        <v>366</v>
      </c>
      <c r="E2233" s="67" t="str">
        <f>COLORES!A21</f>
        <v/>
      </c>
      <c r="F2233" s="67" t="str">
        <f>COLORES!B21</f>
        <v/>
      </c>
      <c r="G2233" s="90" t="s">
        <v>376</v>
      </c>
      <c r="H2233" s="100">
        <f>IFERROR(SUMIFS(MOVIMIENTOS_COMPLEMENTOS!$I$4:$I$803,MOVIMIENTOS_COMPLEMENTOS!$C$4:$C$803,A2233,MOVIMIENTOS_COMPLEMENTOS!$D$4:$D$803,B2233,MOVIMIENTOS_COMPLEMENTOS!$E$4:$E$803,C2233,MOVIMIENTOS_COMPLEMENTOS!$F$4:$F$803,D2233,MOVIMIENTOS_COMPLEMENTOS!$G$4:$G$803,E2233,MOVIMIENTOS_COMPLEMENTOS!$H$4:$H$803,G2233,MOVIMIENTOS_COMPLEMENTOS!$B$4:$B$803,"INGRESO")+SUMIFS(MOVIMIENTOS_COMPLEMENTOS!$I$4:$I$803,MOVIMIENTOS_COMPLEMENTOS!$C$4:$C$803,A2233,MOVIMIENTOS_COMPLEMENTOS!$D$4:$D$803,B2233,MOVIMIENTOS_COMPLEMENTOS!$E$4:$E$803,C2233,MOVIMIENTOS_COMPLEMENTOS!$F$4:$F$803,D2233,MOVIMIENTOS_COMPLEMENTOS!$G$4:$G$803,E2233,MOVIMIENTOS_COMPLEMENTOS!$H$4:$H$803,G2233,MOVIMIENTOS_COMPLEMENTOS!$B$4:$B$803,"DE CORTE")-SUMIFS(MOVIMIENTOS_COMPLEMENTOS!$I$4:$I$803,MOVIMIENTOS_COMPLEMENTOS!$C$4:$C$803,A2233,MOVIMIENTOS_COMPLEMENTOS!$D$4:$D$803,B2233,MOVIMIENTOS_COMPLEMENTOS!$E$4:$E$803,C2233,MOVIMIENTOS_COMPLEMENTOS!$F$4:$F$803,D2233,MOVIMIENTOS_COMPLEMENTOS!$G$4:$G$803,E2233,MOVIMIENTOS_COMPLEMENTOS!$H$4:$H$803,G2233,MOVIMIENTOS_COMPLEMENTOS!$B$4:$B$803,"SALIDA"),0)</f>
        <v>0</v>
      </c>
      <c r="I2233" s="102">
        <f t="array" ref="I2233">IFERROR(INDEX(PRECIOS_COMPLEMENTOS!$C$4:$F$17,MATCH(B2233&amp;"_"&amp;C2233,PRECIOS_COMPLEMENTOS!$H$4:$H$17,0),IF(OR(G2233="S",G2233="20cm"),1,IF(OR(G2233="M",G2233="25cm"),2,IF(OR(G2233="L",G2233="30cm"),3,IF(OR(G2233="XL",G2233="35cm"),4,0))))),0)</f>
        <v>0.6</v>
      </c>
      <c r="J2233" s="103">
        <f t="shared" si="1"/>
        <v>0</v>
      </c>
      <c r="K2233" s="104" t="str">
        <f>IF(H2233&lt;0,"ERROR",IF(H2233=0,"",IF(H2233&lt;CONFIG!$B$4,"CRÍTICO",IF(H2233&lt;CONFIG!$B$5,"BAJO","OK"))))</f>
        <v/>
      </c>
    </row>
    <row r="2234" ht="15.75" hidden="1" customHeight="1">
      <c r="A2234" s="90" t="str">
        <f>IF(CLIENTES!A5="","",CLIENTES!A5)</f>
        <v>Bravos</v>
      </c>
      <c r="B2234" s="90" t="s">
        <v>331</v>
      </c>
      <c r="C2234" s="91" t="s">
        <v>328</v>
      </c>
      <c r="D2234" s="109" t="s">
        <v>366</v>
      </c>
      <c r="E2234" s="67" t="str">
        <f>COLORES!A21</f>
        <v/>
      </c>
      <c r="F2234" s="67" t="str">
        <f>COLORES!B21</f>
        <v/>
      </c>
      <c r="G2234" s="90" t="s">
        <v>377</v>
      </c>
      <c r="H2234" s="100">
        <f>IFERROR(SUMIFS(MOVIMIENTOS_COMPLEMENTOS!$I$4:$I$803,MOVIMIENTOS_COMPLEMENTOS!$C$4:$C$803,A2234,MOVIMIENTOS_COMPLEMENTOS!$D$4:$D$803,B2234,MOVIMIENTOS_COMPLEMENTOS!$E$4:$E$803,C2234,MOVIMIENTOS_COMPLEMENTOS!$F$4:$F$803,D2234,MOVIMIENTOS_COMPLEMENTOS!$G$4:$G$803,E2234,MOVIMIENTOS_COMPLEMENTOS!$H$4:$H$803,G2234,MOVIMIENTOS_COMPLEMENTOS!$B$4:$B$803,"INGRESO")+SUMIFS(MOVIMIENTOS_COMPLEMENTOS!$I$4:$I$803,MOVIMIENTOS_COMPLEMENTOS!$C$4:$C$803,A2234,MOVIMIENTOS_COMPLEMENTOS!$D$4:$D$803,B2234,MOVIMIENTOS_COMPLEMENTOS!$E$4:$E$803,C2234,MOVIMIENTOS_COMPLEMENTOS!$F$4:$F$803,D2234,MOVIMIENTOS_COMPLEMENTOS!$G$4:$G$803,E2234,MOVIMIENTOS_COMPLEMENTOS!$H$4:$H$803,G2234,MOVIMIENTOS_COMPLEMENTOS!$B$4:$B$803,"DE CORTE")-SUMIFS(MOVIMIENTOS_COMPLEMENTOS!$I$4:$I$803,MOVIMIENTOS_COMPLEMENTOS!$C$4:$C$803,A2234,MOVIMIENTOS_COMPLEMENTOS!$D$4:$D$803,B2234,MOVIMIENTOS_COMPLEMENTOS!$E$4:$E$803,C2234,MOVIMIENTOS_COMPLEMENTOS!$F$4:$F$803,D2234,MOVIMIENTOS_COMPLEMENTOS!$G$4:$G$803,E2234,MOVIMIENTOS_COMPLEMENTOS!$H$4:$H$803,G2234,MOVIMIENTOS_COMPLEMENTOS!$B$4:$B$803,"SALIDA"),0)</f>
        <v>0</v>
      </c>
      <c r="I2234" s="102">
        <f t="array" ref="I2234">IFERROR(INDEX(PRECIOS_COMPLEMENTOS!$C$4:$F$17,MATCH(B2234&amp;"_"&amp;C2234,PRECIOS_COMPLEMENTOS!$H$4:$H$17,0),IF(OR(G2234="S",G2234="20cm"),1,IF(OR(G2234="M",G2234="25cm"),2,IF(OR(G2234="L",G2234="30cm"),3,IF(OR(G2234="XL",G2234="35cm"),4,0))))),0)</f>
        <v>0.6</v>
      </c>
      <c r="J2234" s="103">
        <f t="shared" si="1"/>
        <v>0</v>
      </c>
      <c r="K2234" s="104" t="str">
        <f>IF(H2234&lt;0,"ERROR",IF(H2234=0,"",IF(H2234&lt;CONFIG!$B$4,"CRÍTICO",IF(H2234&lt;CONFIG!$B$5,"BAJO","OK"))))</f>
        <v/>
      </c>
    </row>
    <row r="2235" ht="15.75" hidden="1" customHeight="1">
      <c r="A2235" s="90" t="str">
        <f>IF(CLIENTES!A5="","",CLIENTES!A5)</f>
        <v>Bravos</v>
      </c>
      <c r="B2235" s="90" t="s">
        <v>331</v>
      </c>
      <c r="C2235" s="91" t="s">
        <v>328</v>
      </c>
      <c r="D2235" s="109" t="s">
        <v>366</v>
      </c>
      <c r="E2235" s="67" t="str">
        <f>COLORES!A21</f>
        <v/>
      </c>
      <c r="F2235" s="67" t="str">
        <f>COLORES!B21</f>
        <v/>
      </c>
      <c r="G2235" s="90" t="s">
        <v>379</v>
      </c>
      <c r="H2235" s="100">
        <f>IFERROR(SUMIFS(MOVIMIENTOS_COMPLEMENTOS!$I$4:$I$803,MOVIMIENTOS_COMPLEMENTOS!$C$4:$C$803,A2235,MOVIMIENTOS_COMPLEMENTOS!$D$4:$D$803,B2235,MOVIMIENTOS_COMPLEMENTOS!$E$4:$E$803,C2235,MOVIMIENTOS_COMPLEMENTOS!$F$4:$F$803,D2235,MOVIMIENTOS_COMPLEMENTOS!$G$4:$G$803,E2235,MOVIMIENTOS_COMPLEMENTOS!$H$4:$H$803,G2235,MOVIMIENTOS_COMPLEMENTOS!$B$4:$B$803,"INGRESO")+SUMIFS(MOVIMIENTOS_COMPLEMENTOS!$I$4:$I$803,MOVIMIENTOS_COMPLEMENTOS!$C$4:$C$803,A2235,MOVIMIENTOS_COMPLEMENTOS!$D$4:$D$803,B2235,MOVIMIENTOS_COMPLEMENTOS!$E$4:$E$803,C2235,MOVIMIENTOS_COMPLEMENTOS!$F$4:$F$803,D2235,MOVIMIENTOS_COMPLEMENTOS!$G$4:$G$803,E2235,MOVIMIENTOS_COMPLEMENTOS!$H$4:$H$803,G2235,MOVIMIENTOS_COMPLEMENTOS!$B$4:$B$803,"DE CORTE")-SUMIFS(MOVIMIENTOS_COMPLEMENTOS!$I$4:$I$803,MOVIMIENTOS_COMPLEMENTOS!$C$4:$C$803,A2235,MOVIMIENTOS_COMPLEMENTOS!$D$4:$D$803,B2235,MOVIMIENTOS_COMPLEMENTOS!$E$4:$E$803,C2235,MOVIMIENTOS_COMPLEMENTOS!$F$4:$F$803,D2235,MOVIMIENTOS_COMPLEMENTOS!$G$4:$G$803,E2235,MOVIMIENTOS_COMPLEMENTOS!$H$4:$H$803,G2235,MOVIMIENTOS_COMPLEMENTOS!$B$4:$B$803,"SALIDA"),0)</f>
        <v>0</v>
      </c>
      <c r="I2235" s="102">
        <f t="array" ref="I2235">IFERROR(INDEX(PRECIOS_COMPLEMENTOS!$C$4:$F$17,MATCH(B2235&amp;"_"&amp;C2235,PRECIOS_COMPLEMENTOS!$H$4:$H$17,0),IF(OR(G2235="S",G2235="20cm"),1,IF(OR(G2235="M",G2235="25cm"),2,IF(OR(G2235="L",G2235="30cm"),3,IF(OR(G2235="XL",G2235="35cm"),4,0))))),0)</f>
        <v>0.6</v>
      </c>
      <c r="J2235" s="103">
        <f t="shared" si="1"/>
        <v>0</v>
      </c>
      <c r="K2235" s="104" t="str">
        <f>IF(H2235&lt;0,"ERROR",IF(H2235=0,"",IF(H2235&lt;CONFIG!$B$4,"CRÍTICO",IF(H2235&lt;CONFIG!$B$5,"BAJO","OK"))))</f>
        <v/>
      </c>
    </row>
    <row r="2236" ht="15.75" hidden="1" customHeight="1">
      <c r="A2236" s="90" t="str">
        <f>IF(CLIENTES!A5="","",CLIENTES!A5)</f>
        <v>Bravos</v>
      </c>
      <c r="B2236" s="90" t="s">
        <v>331</v>
      </c>
      <c r="C2236" s="91" t="s">
        <v>328</v>
      </c>
      <c r="D2236" s="109" t="s">
        <v>366</v>
      </c>
      <c r="E2236" s="67" t="str">
        <f>COLORES!A22</f>
        <v/>
      </c>
      <c r="F2236" s="67" t="str">
        <f>COLORES!B22</f>
        <v/>
      </c>
      <c r="G2236" s="90" t="s">
        <v>378</v>
      </c>
      <c r="H2236" s="100">
        <f>IFERROR(SUMIFS(MOVIMIENTOS_COMPLEMENTOS!$I$4:$I$803,MOVIMIENTOS_COMPLEMENTOS!$C$4:$C$803,A2236,MOVIMIENTOS_COMPLEMENTOS!$D$4:$D$803,B2236,MOVIMIENTOS_COMPLEMENTOS!$E$4:$E$803,C2236,MOVIMIENTOS_COMPLEMENTOS!$F$4:$F$803,D2236,MOVIMIENTOS_COMPLEMENTOS!$G$4:$G$803,E2236,MOVIMIENTOS_COMPLEMENTOS!$H$4:$H$803,G2236,MOVIMIENTOS_COMPLEMENTOS!$B$4:$B$803,"INGRESO")+SUMIFS(MOVIMIENTOS_COMPLEMENTOS!$I$4:$I$803,MOVIMIENTOS_COMPLEMENTOS!$C$4:$C$803,A2236,MOVIMIENTOS_COMPLEMENTOS!$D$4:$D$803,B2236,MOVIMIENTOS_COMPLEMENTOS!$E$4:$E$803,C2236,MOVIMIENTOS_COMPLEMENTOS!$F$4:$F$803,D2236,MOVIMIENTOS_COMPLEMENTOS!$G$4:$G$803,E2236,MOVIMIENTOS_COMPLEMENTOS!$H$4:$H$803,G2236,MOVIMIENTOS_COMPLEMENTOS!$B$4:$B$803,"DE CORTE")-SUMIFS(MOVIMIENTOS_COMPLEMENTOS!$I$4:$I$803,MOVIMIENTOS_COMPLEMENTOS!$C$4:$C$803,A2236,MOVIMIENTOS_COMPLEMENTOS!$D$4:$D$803,B2236,MOVIMIENTOS_COMPLEMENTOS!$E$4:$E$803,C2236,MOVIMIENTOS_COMPLEMENTOS!$F$4:$F$803,D2236,MOVIMIENTOS_COMPLEMENTOS!$G$4:$G$803,E2236,MOVIMIENTOS_COMPLEMENTOS!$H$4:$H$803,G2236,MOVIMIENTOS_COMPLEMENTOS!$B$4:$B$803,"SALIDA"),0)</f>
        <v>0</v>
      </c>
      <c r="I2236" s="102">
        <f t="array" ref="I2236">IFERROR(INDEX(PRECIOS_COMPLEMENTOS!$C$4:$F$17,MATCH(B2236&amp;"_"&amp;C2236,PRECIOS_COMPLEMENTOS!$H$4:$H$17,0),IF(OR(G2236="S",G2236="20cm"),1,IF(OR(G2236="M",G2236="25cm"),2,IF(OR(G2236="L",G2236="30cm"),3,IF(OR(G2236="XL",G2236="35cm"),4,0))))),0)</f>
        <v>0.6</v>
      </c>
      <c r="J2236" s="103">
        <f t="shared" si="1"/>
        <v>0</v>
      </c>
      <c r="K2236" s="104" t="str">
        <f>IF(H2236&lt;0,"ERROR",IF(H2236=0,"",IF(H2236&lt;CONFIG!$B$4,"CRÍTICO",IF(H2236&lt;CONFIG!$B$5,"BAJO","OK"))))</f>
        <v/>
      </c>
    </row>
    <row r="2237" ht="15.75" hidden="1" customHeight="1">
      <c r="A2237" s="90" t="str">
        <f>IF(CLIENTES!A5="","",CLIENTES!A5)</f>
        <v>Bravos</v>
      </c>
      <c r="B2237" s="90" t="s">
        <v>331</v>
      </c>
      <c r="C2237" s="91" t="s">
        <v>328</v>
      </c>
      <c r="D2237" s="109" t="s">
        <v>366</v>
      </c>
      <c r="E2237" s="67" t="str">
        <f>COLORES!A22</f>
        <v/>
      </c>
      <c r="F2237" s="67" t="str">
        <f>COLORES!B22</f>
        <v/>
      </c>
      <c r="G2237" s="90" t="s">
        <v>376</v>
      </c>
      <c r="H2237" s="100">
        <f>IFERROR(SUMIFS(MOVIMIENTOS_COMPLEMENTOS!$I$4:$I$803,MOVIMIENTOS_COMPLEMENTOS!$C$4:$C$803,A2237,MOVIMIENTOS_COMPLEMENTOS!$D$4:$D$803,B2237,MOVIMIENTOS_COMPLEMENTOS!$E$4:$E$803,C2237,MOVIMIENTOS_COMPLEMENTOS!$F$4:$F$803,D2237,MOVIMIENTOS_COMPLEMENTOS!$G$4:$G$803,E2237,MOVIMIENTOS_COMPLEMENTOS!$H$4:$H$803,G2237,MOVIMIENTOS_COMPLEMENTOS!$B$4:$B$803,"INGRESO")+SUMIFS(MOVIMIENTOS_COMPLEMENTOS!$I$4:$I$803,MOVIMIENTOS_COMPLEMENTOS!$C$4:$C$803,A2237,MOVIMIENTOS_COMPLEMENTOS!$D$4:$D$803,B2237,MOVIMIENTOS_COMPLEMENTOS!$E$4:$E$803,C2237,MOVIMIENTOS_COMPLEMENTOS!$F$4:$F$803,D2237,MOVIMIENTOS_COMPLEMENTOS!$G$4:$G$803,E2237,MOVIMIENTOS_COMPLEMENTOS!$H$4:$H$803,G2237,MOVIMIENTOS_COMPLEMENTOS!$B$4:$B$803,"DE CORTE")-SUMIFS(MOVIMIENTOS_COMPLEMENTOS!$I$4:$I$803,MOVIMIENTOS_COMPLEMENTOS!$C$4:$C$803,A2237,MOVIMIENTOS_COMPLEMENTOS!$D$4:$D$803,B2237,MOVIMIENTOS_COMPLEMENTOS!$E$4:$E$803,C2237,MOVIMIENTOS_COMPLEMENTOS!$F$4:$F$803,D2237,MOVIMIENTOS_COMPLEMENTOS!$G$4:$G$803,E2237,MOVIMIENTOS_COMPLEMENTOS!$H$4:$H$803,G2237,MOVIMIENTOS_COMPLEMENTOS!$B$4:$B$803,"SALIDA"),0)</f>
        <v>0</v>
      </c>
      <c r="I2237" s="102">
        <f t="array" ref="I2237">IFERROR(INDEX(PRECIOS_COMPLEMENTOS!$C$4:$F$17,MATCH(B2237&amp;"_"&amp;C2237,PRECIOS_COMPLEMENTOS!$H$4:$H$17,0),IF(OR(G2237="S",G2237="20cm"),1,IF(OR(G2237="M",G2237="25cm"),2,IF(OR(G2237="L",G2237="30cm"),3,IF(OR(G2237="XL",G2237="35cm"),4,0))))),0)</f>
        <v>0.6</v>
      </c>
      <c r="J2237" s="103">
        <f t="shared" si="1"/>
        <v>0</v>
      </c>
      <c r="K2237" s="104" t="str">
        <f>IF(H2237&lt;0,"ERROR",IF(H2237=0,"",IF(H2237&lt;CONFIG!$B$4,"CRÍTICO",IF(H2237&lt;CONFIG!$B$5,"BAJO","OK"))))</f>
        <v/>
      </c>
    </row>
    <row r="2238" ht="15.75" hidden="1" customHeight="1">
      <c r="A2238" s="90" t="str">
        <f>IF(CLIENTES!A5="","",CLIENTES!A5)</f>
        <v>Bravos</v>
      </c>
      <c r="B2238" s="90" t="s">
        <v>331</v>
      </c>
      <c r="C2238" s="91" t="s">
        <v>328</v>
      </c>
      <c r="D2238" s="109" t="s">
        <v>366</v>
      </c>
      <c r="E2238" s="67" t="str">
        <f>COLORES!A22</f>
        <v/>
      </c>
      <c r="F2238" s="67" t="str">
        <f>COLORES!B22</f>
        <v/>
      </c>
      <c r="G2238" s="90" t="s">
        <v>377</v>
      </c>
      <c r="H2238" s="100">
        <f>IFERROR(SUMIFS(MOVIMIENTOS_COMPLEMENTOS!$I$4:$I$803,MOVIMIENTOS_COMPLEMENTOS!$C$4:$C$803,A2238,MOVIMIENTOS_COMPLEMENTOS!$D$4:$D$803,B2238,MOVIMIENTOS_COMPLEMENTOS!$E$4:$E$803,C2238,MOVIMIENTOS_COMPLEMENTOS!$F$4:$F$803,D2238,MOVIMIENTOS_COMPLEMENTOS!$G$4:$G$803,E2238,MOVIMIENTOS_COMPLEMENTOS!$H$4:$H$803,G2238,MOVIMIENTOS_COMPLEMENTOS!$B$4:$B$803,"INGRESO")+SUMIFS(MOVIMIENTOS_COMPLEMENTOS!$I$4:$I$803,MOVIMIENTOS_COMPLEMENTOS!$C$4:$C$803,A2238,MOVIMIENTOS_COMPLEMENTOS!$D$4:$D$803,B2238,MOVIMIENTOS_COMPLEMENTOS!$E$4:$E$803,C2238,MOVIMIENTOS_COMPLEMENTOS!$F$4:$F$803,D2238,MOVIMIENTOS_COMPLEMENTOS!$G$4:$G$803,E2238,MOVIMIENTOS_COMPLEMENTOS!$H$4:$H$803,G2238,MOVIMIENTOS_COMPLEMENTOS!$B$4:$B$803,"DE CORTE")-SUMIFS(MOVIMIENTOS_COMPLEMENTOS!$I$4:$I$803,MOVIMIENTOS_COMPLEMENTOS!$C$4:$C$803,A2238,MOVIMIENTOS_COMPLEMENTOS!$D$4:$D$803,B2238,MOVIMIENTOS_COMPLEMENTOS!$E$4:$E$803,C2238,MOVIMIENTOS_COMPLEMENTOS!$F$4:$F$803,D2238,MOVIMIENTOS_COMPLEMENTOS!$G$4:$G$803,E2238,MOVIMIENTOS_COMPLEMENTOS!$H$4:$H$803,G2238,MOVIMIENTOS_COMPLEMENTOS!$B$4:$B$803,"SALIDA"),0)</f>
        <v>0</v>
      </c>
      <c r="I2238" s="102">
        <f t="array" ref="I2238">IFERROR(INDEX(PRECIOS_COMPLEMENTOS!$C$4:$F$17,MATCH(B2238&amp;"_"&amp;C2238,PRECIOS_COMPLEMENTOS!$H$4:$H$17,0),IF(OR(G2238="S",G2238="20cm"),1,IF(OR(G2238="M",G2238="25cm"),2,IF(OR(G2238="L",G2238="30cm"),3,IF(OR(G2238="XL",G2238="35cm"),4,0))))),0)</f>
        <v>0.6</v>
      </c>
      <c r="J2238" s="103">
        <f t="shared" si="1"/>
        <v>0</v>
      </c>
      <c r="K2238" s="104" t="str">
        <f>IF(H2238&lt;0,"ERROR",IF(H2238=0,"",IF(H2238&lt;CONFIG!$B$4,"CRÍTICO",IF(H2238&lt;CONFIG!$B$5,"BAJO","OK"))))</f>
        <v/>
      </c>
    </row>
    <row r="2239" ht="15.75" hidden="1" customHeight="1">
      <c r="A2239" s="90" t="str">
        <f>IF(CLIENTES!A5="","",CLIENTES!A5)</f>
        <v>Bravos</v>
      </c>
      <c r="B2239" s="90" t="s">
        <v>331</v>
      </c>
      <c r="C2239" s="91" t="s">
        <v>328</v>
      </c>
      <c r="D2239" s="109" t="s">
        <v>366</v>
      </c>
      <c r="E2239" s="67" t="str">
        <f>COLORES!A22</f>
        <v/>
      </c>
      <c r="F2239" s="67" t="str">
        <f>COLORES!B22</f>
        <v/>
      </c>
      <c r="G2239" s="90" t="s">
        <v>379</v>
      </c>
      <c r="H2239" s="100">
        <f>IFERROR(SUMIFS(MOVIMIENTOS_COMPLEMENTOS!$I$4:$I$803,MOVIMIENTOS_COMPLEMENTOS!$C$4:$C$803,A2239,MOVIMIENTOS_COMPLEMENTOS!$D$4:$D$803,B2239,MOVIMIENTOS_COMPLEMENTOS!$E$4:$E$803,C2239,MOVIMIENTOS_COMPLEMENTOS!$F$4:$F$803,D2239,MOVIMIENTOS_COMPLEMENTOS!$G$4:$G$803,E2239,MOVIMIENTOS_COMPLEMENTOS!$H$4:$H$803,G2239,MOVIMIENTOS_COMPLEMENTOS!$B$4:$B$803,"INGRESO")+SUMIFS(MOVIMIENTOS_COMPLEMENTOS!$I$4:$I$803,MOVIMIENTOS_COMPLEMENTOS!$C$4:$C$803,A2239,MOVIMIENTOS_COMPLEMENTOS!$D$4:$D$803,B2239,MOVIMIENTOS_COMPLEMENTOS!$E$4:$E$803,C2239,MOVIMIENTOS_COMPLEMENTOS!$F$4:$F$803,D2239,MOVIMIENTOS_COMPLEMENTOS!$G$4:$G$803,E2239,MOVIMIENTOS_COMPLEMENTOS!$H$4:$H$803,G2239,MOVIMIENTOS_COMPLEMENTOS!$B$4:$B$803,"DE CORTE")-SUMIFS(MOVIMIENTOS_COMPLEMENTOS!$I$4:$I$803,MOVIMIENTOS_COMPLEMENTOS!$C$4:$C$803,A2239,MOVIMIENTOS_COMPLEMENTOS!$D$4:$D$803,B2239,MOVIMIENTOS_COMPLEMENTOS!$E$4:$E$803,C2239,MOVIMIENTOS_COMPLEMENTOS!$F$4:$F$803,D2239,MOVIMIENTOS_COMPLEMENTOS!$G$4:$G$803,E2239,MOVIMIENTOS_COMPLEMENTOS!$H$4:$H$803,G2239,MOVIMIENTOS_COMPLEMENTOS!$B$4:$B$803,"SALIDA"),0)</f>
        <v>0</v>
      </c>
      <c r="I2239" s="102">
        <f t="array" ref="I2239">IFERROR(INDEX(PRECIOS_COMPLEMENTOS!$C$4:$F$17,MATCH(B2239&amp;"_"&amp;C2239,PRECIOS_COMPLEMENTOS!$H$4:$H$17,0),IF(OR(G2239="S",G2239="20cm"),1,IF(OR(G2239="M",G2239="25cm"),2,IF(OR(G2239="L",G2239="30cm"),3,IF(OR(G2239="XL",G2239="35cm"),4,0))))),0)</f>
        <v>0.6</v>
      </c>
      <c r="J2239" s="103">
        <f t="shared" si="1"/>
        <v>0</v>
      </c>
      <c r="K2239" s="104" t="str">
        <f>IF(H2239&lt;0,"ERROR",IF(H2239=0,"",IF(H2239&lt;CONFIG!$B$4,"CRÍTICO",IF(H2239&lt;CONFIG!$B$5,"BAJO","OK"))))</f>
        <v/>
      </c>
    </row>
    <row r="2240" ht="15.75" hidden="1" customHeight="1">
      <c r="A2240" s="90" t="str">
        <f>IF(CLIENTES!A5="","",CLIENTES!A5)</f>
        <v>Bravos</v>
      </c>
      <c r="B2240" s="90" t="s">
        <v>331</v>
      </c>
      <c r="C2240" s="91" t="s">
        <v>328</v>
      </c>
      <c r="D2240" s="109" t="s">
        <v>366</v>
      </c>
      <c r="E2240" s="67" t="str">
        <f>COLORES!A23</f>
        <v/>
      </c>
      <c r="F2240" s="67" t="str">
        <f>COLORES!B23</f>
        <v/>
      </c>
      <c r="G2240" s="90" t="s">
        <v>378</v>
      </c>
      <c r="H2240" s="100">
        <f>IFERROR(SUMIFS(MOVIMIENTOS_COMPLEMENTOS!$I$4:$I$803,MOVIMIENTOS_COMPLEMENTOS!$C$4:$C$803,A2240,MOVIMIENTOS_COMPLEMENTOS!$D$4:$D$803,B2240,MOVIMIENTOS_COMPLEMENTOS!$E$4:$E$803,C2240,MOVIMIENTOS_COMPLEMENTOS!$F$4:$F$803,D2240,MOVIMIENTOS_COMPLEMENTOS!$G$4:$G$803,E2240,MOVIMIENTOS_COMPLEMENTOS!$H$4:$H$803,G2240,MOVIMIENTOS_COMPLEMENTOS!$B$4:$B$803,"INGRESO")+SUMIFS(MOVIMIENTOS_COMPLEMENTOS!$I$4:$I$803,MOVIMIENTOS_COMPLEMENTOS!$C$4:$C$803,A2240,MOVIMIENTOS_COMPLEMENTOS!$D$4:$D$803,B2240,MOVIMIENTOS_COMPLEMENTOS!$E$4:$E$803,C2240,MOVIMIENTOS_COMPLEMENTOS!$F$4:$F$803,D2240,MOVIMIENTOS_COMPLEMENTOS!$G$4:$G$803,E2240,MOVIMIENTOS_COMPLEMENTOS!$H$4:$H$803,G2240,MOVIMIENTOS_COMPLEMENTOS!$B$4:$B$803,"DE CORTE")-SUMIFS(MOVIMIENTOS_COMPLEMENTOS!$I$4:$I$803,MOVIMIENTOS_COMPLEMENTOS!$C$4:$C$803,A2240,MOVIMIENTOS_COMPLEMENTOS!$D$4:$D$803,B2240,MOVIMIENTOS_COMPLEMENTOS!$E$4:$E$803,C2240,MOVIMIENTOS_COMPLEMENTOS!$F$4:$F$803,D2240,MOVIMIENTOS_COMPLEMENTOS!$G$4:$G$803,E2240,MOVIMIENTOS_COMPLEMENTOS!$H$4:$H$803,G2240,MOVIMIENTOS_COMPLEMENTOS!$B$4:$B$803,"SALIDA"),0)</f>
        <v>0</v>
      </c>
      <c r="I2240" s="102">
        <f t="array" ref="I2240">IFERROR(INDEX(PRECIOS_COMPLEMENTOS!$C$4:$F$17,MATCH(B2240&amp;"_"&amp;C2240,PRECIOS_COMPLEMENTOS!$H$4:$H$17,0),IF(OR(G2240="S",G2240="20cm"),1,IF(OR(G2240="M",G2240="25cm"),2,IF(OR(G2240="L",G2240="30cm"),3,IF(OR(G2240="XL",G2240="35cm"),4,0))))),0)</f>
        <v>0.6</v>
      </c>
      <c r="J2240" s="103">
        <f t="shared" si="1"/>
        <v>0</v>
      </c>
      <c r="K2240" s="104" t="str">
        <f>IF(H2240&lt;0,"ERROR",IF(H2240=0,"",IF(H2240&lt;CONFIG!$B$4,"CRÍTICO",IF(H2240&lt;CONFIG!$B$5,"BAJO","OK"))))</f>
        <v/>
      </c>
    </row>
    <row r="2241" ht="15.75" hidden="1" customHeight="1">
      <c r="A2241" s="90" t="str">
        <f>IF(CLIENTES!A5="","",CLIENTES!A5)</f>
        <v>Bravos</v>
      </c>
      <c r="B2241" s="90" t="s">
        <v>331</v>
      </c>
      <c r="C2241" s="91" t="s">
        <v>328</v>
      </c>
      <c r="D2241" s="109" t="s">
        <v>366</v>
      </c>
      <c r="E2241" s="67" t="str">
        <f>COLORES!A23</f>
        <v/>
      </c>
      <c r="F2241" s="67" t="str">
        <f>COLORES!B23</f>
        <v/>
      </c>
      <c r="G2241" s="90" t="s">
        <v>376</v>
      </c>
      <c r="H2241" s="100">
        <f>IFERROR(SUMIFS(MOVIMIENTOS_COMPLEMENTOS!$I$4:$I$803,MOVIMIENTOS_COMPLEMENTOS!$C$4:$C$803,A2241,MOVIMIENTOS_COMPLEMENTOS!$D$4:$D$803,B2241,MOVIMIENTOS_COMPLEMENTOS!$E$4:$E$803,C2241,MOVIMIENTOS_COMPLEMENTOS!$F$4:$F$803,D2241,MOVIMIENTOS_COMPLEMENTOS!$G$4:$G$803,E2241,MOVIMIENTOS_COMPLEMENTOS!$H$4:$H$803,G2241,MOVIMIENTOS_COMPLEMENTOS!$B$4:$B$803,"INGRESO")+SUMIFS(MOVIMIENTOS_COMPLEMENTOS!$I$4:$I$803,MOVIMIENTOS_COMPLEMENTOS!$C$4:$C$803,A2241,MOVIMIENTOS_COMPLEMENTOS!$D$4:$D$803,B2241,MOVIMIENTOS_COMPLEMENTOS!$E$4:$E$803,C2241,MOVIMIENTOS_COMPLEMENTOS!$F$4:$F$803,D2241,MOVIMIENTOS_COMPLEMENTOS!$G$4:$G$803,E2241,MOVIMIENTOS_COMPLEMENTOS!$H$4:$H$803,G2241,MOVIMIENTOS_COMPLEMENTOS!$B$4:$B$803,"DE CORTE")-SUMIFS(MOVIMIENTOS_COMPLEMENTOS!$I$4:$I$803,MOVIMIENTOS_COMPLEMENTOS!$C$4:$C$803,A2241,MOVIMIENTOS_COMPLEMENTOS!$D$4:$D$803,B2241,MOVIMIENTOS_COMPLEMENTOS!$E$4:$E$803,C2241,MOVIMIENTOS_COMPLEMENTOS!$F$4:$F$803,D2241,MOVIMIENTOS_COMPLEMENTOS!$G$4:$G$803,E2241,MOVIMIENTOS_COMPLEMENTOS!$H$4:$H$803,G2241,MOVIMIENTOS_COMPLEMENTOS!$B$4:$B$803,"SALIDA"),0)</f>
        <v>0</v>
      </c>
      <c r="I2241" s="102">
        <f t="array" ref="I2241">IFERROR(INDEX(PRECIOS_COMPLEMENTOS!$C$4:$F$17,MATCH(B2241&amp;"_"&amp;C2241,PRECIOS_COMPLEMENTOS!$H$4:$H$17,0),IF(OR(G2241="S",G2241="20cm"),1,IF(OR(G2241="M",G2241="25cm"),2,IF(OR(G2241="L",G2241="30cm"),3,IF(OR(G2241="XL",G2241="35cm"),4,0))))),0)</f>
        <v>0.6</v>
      </c>
      <c r="J2241" s="103">
        <f t="shared" si="1"/>
        <v>0</v>
      </c>
      <c r="K2241" s="104" t="str">
        <f>IF(H2241&lt;0,"ERROR",IF(H2241=0,"",IF(H2241&lt;CONFIG!$B$4,"CRÍTICO",IF(H2241&lt;CONFIG!$B$5,"BAJO","OK"))))</f>
        <v/>
      </c>
    </row>
    <row r="2242" ht="15.75" hidden="1" customHeight="1">
      <c r="A2242" s="90" t="str">
        <f>IF(CLIENTES!A5="","",CLIENTES!A5)</f>
        <v>Bravos</v>
      </c>
      <c r="B2242" s="90" t="s">
        <v>331</v>
      </c>
      <c r="C2242" s="91" t="s">
        <v>328</v>
      </c>
      <c r="D2242" s="109" t="s">
        <v>366</v>
      </c>
      <c r="E2242" s="67" t="str">
        <f>COLORES!A23</f>
        <v/>
      </c>
      <c r="F2242" s="67" t="str">
        <f>COLORES!B23</f>
        <v/>
      </c>
      <c r="G2242" s="90" t="s">
        <v>377</v>
      </c>
      <c r="H2242" s="100">
        <f>IFERROR(SUMIFS(MOVIMIENTOS_COMPLEMENTOS!$I$4:$I$803,MOVIMIENTOS_COMPLEMENTOS!$C$4:$C$803,A2242,MOVIMIENTOS_COMPLEMENTOS!$D$4:$D$803,B2242,MOVIMIENTOS_COMPLEMENTOS!$E$4:$E$803,C2242,MOVIMIENTOS_COMPLEMENTOS!$F$4:$F$803,D2242,MOVIMIENTOS_COMPLEMENTOS!$G$4:$G$803,E2242,MOVIMIENTOS_COMPLEMENTOS!$H$4:$H$803,G2242,MOVIMIENTOS_COMPLEMENTOS!$B$4:$B$803,"INGRESO")+SUMIFS(MOVIMIENTOS_COMPLEMENTOS!$I$4:$I$803,MOVIMIENTOS_COMPLEMENTOS!$C$4:$C$803,A2242,MOVIMIENTOS_COMPLEMENTOS!$D$4:$D$803,B2242,MOVIMIENTOS_COMPLEMENTOS!$E$4:$E$803,C2242,MOVIMIENTOS_COMPLEMENTOS!$F$4:$F$803,D2242,MOVIMIENTOS_COMPLEMENTOS!$G$4:$G$803,E2242,MOVIMIENTOS_COMPLEMENTOS!$H$4:$H$803,G2242,MOVIMIENTOS_COMPLEMENTOS!$B$4:$B$803,"DE CORTE")-SUMIFS(MOVIMIENTOS_COMPLEMENTOS!$I$4:$I$803,MOVIMIENTOS_COMPLEMENTOS!$C$4:$C$803,A2242,MOVIMIENTOS_COMPLEMENTOS!$D$4:$D$803,B2242,MOVIMIENTOS_COMPLEMENTOS!$E$4:$E$803,C2242,MOVIMIENTOS_COMPLEMENTOS!$F$4:$F$803,D2242,MOVIMIENTOS_COMPLEMENTOS!$G$4:$G$803,E2242,MOVIMIENTOS_COMPLEMENTOS!$H$4:$H$803,G2242,MOVIMIENTOS_COMPLEMENTOS!$B$4:$B$803,"SALIDA"),0)</f>
        <v>0</v>
      </c>
      <c r="I2242" s="102">
        <f t="array" ref="I2242">IFERROR(INDEX(PRECIOS_COMPLEMENTOS!$C$4:$F$17,MATCH(B2242&amp;"_"&amp;C2242,PRECIOS_COMPLEMENTOS!$H$4:$H$17,0),IF(OR(G2242="S",G2242="20cm"),1,IF(OR(G2242="M",G2242="25cm"),2,IF(OR(G2242="L",G2242="30cm"),3,IF(OR(G2242="XL",G2242="35cm"),4,0))))),0)</f>
        <v>0.6</v>
      </c>
      <c r="J2242" s="103">
        <f t="shared" si="1"/>
        <v>0</v>
      </c>
      <c r="K2242" s="104" t="str">
        <f>IF(H2242&lt;0,"ERROR",IF(H2242=0,"",IF(H2242&lt;CONFIG!$B$4,"CRÍTICO",IF(H2242&lt;CONFIG!$B$5,"BAJO","OK"))))</f>
        <v/>
      </c>
    </row>
    <row r="2243" ht="15.75" hidden="1" customHeight="1">
      <c r="A2243" s="90" t="str">
        <f>IF(CLIENTES!A5="","",CLIENTES!A5)</f>
        <v>Bravos</v>
      </c>
      <c r="B2243" s="90" t="s">
        <v>331</v>
      </c>
      <c r="C2243" s="91" t="s">
        <v>328</v>
      </c>
      <c r="D2243" s="109" t="s">
        <v>366</v>
      </c>
      <c r="E2243" s="67" t="str">
        <f>COLORES!A23</f>
        <v/>
      </c>
      <c r="F2243" s="67" t="str">
        <f>COLORES!B23</f>
        <v/>
      </c>
      <c r="G2243" s="90" t="s">
        <v>379</v>
      </c>
      <c r="H2243" s="100">
        <f>IFERROR(SUMIFS(MOVIMIENTOS_COMPLEMENTOS!$I$4:$I$803,MOVIMIENTOS_COMPLEMENTOS!$C$4:$C$803,A2243,MOVIMIENTOS_COMPLEMENTOS!$D$4:$D$803,B2243,MOVIMIENTOS_COMPLEMENTOS!$E$4:$E$803,C2243,MOVIMIENTOS_COMPLEMENTOS!$F$4:$F$803,D2243,MOVIMIENTOS_COMPLEMENTOS!$G$4:$G$803,E2243,MOVIMIENTOS_COMPLEMENTOS!$H$4:$H$803,G2243,MOVIMIENTOS_COMPLEMENTOS!$B$4:$B$803,"INGRESO")+SUMIFS(MOVIMIENTOS_COMPLEMENTOS!$I$4:$I$803,MOVIMIENTOS_COMPLEMENTOS!$C$4:$C$803,A2243,MOVIMIENTOS_COMPLEMENTOS!$D$4:$D$803,B2243,MOVIMIENTOS_COMPLEMENTOS!$E$4:$E$803,C2243,MOVIMIENTOS_COMPLEMENTOS!$F$4:$F$803,D2243,MOVIMIENTOS_COMPLEMENTOS!$G$4:$G$803,E2243,MOVIMIENTOS_COMPLEMENTOS!$H$4:$H$803,G2243,MOVIMIENTOS_COMPLEMENTOS!$B$4:$B$803,"DE CORTE")-SUMIFS(MOVIMIENTOS_COMPLEMENTOS!$I$4:$I$803,MOVIMIENTOS_COMPLEMENTOS!$C$4:$C$803,A2243,MOVIMIENTOS_COMPLEMENTOS!$D$4:$D$803,B2243,MOVIMIENTOS_COMPLEMENTOS!$E$4:$E$803,C2243,MOVIMIENTOS_COMPLEMENTOS!$F$4:$F$803,D2243,MOVIMIENTOS_COMPLEMENTOS!$G$4:$G$803,E2243,MOVIMIENTOS_COMPLEMENTOS!$H$4:$H$803,G2243,MOVIMIENTOS_COMPLEMENTOS!$B$4:$B$803,"SALIDA"),0)</f>
        <v>0</v>
      </c>
      <c r="I2243" s="102">
        <f t="array" ref="I2243">IFERROR(INDEX(PRECIOS_COMPLEMENTOS!$C$4:$F$17,MATCH(B2243&amp;"_"&amp;C2243,PRECIOS_COMPLEMENTOS!$H$4:$H$17,0),IF(OR(G2243="S",G2243="20cm"),1,IF(OR(G2243="M",G2243="25cm"),2,IF(OR(G2243="L",G2243="30cm"),3,IF(OR(G2243="XL",G2243="35cm"),4,0))))),0)</f>
        <v>0.6</v>
      </c>
      <c r="J2243" s="103">
        <f t="shared" si="1"/>
        <v>0</v>
      </c>
      <c r="K2243" s="104" t="str">
        <f>IF(H2243&lt;0,"ERROR",IF(H2243=0,"",IF(H2243&lt;CONFIG!$B$4,"CRÍTICO",IF(H2243&lt;CONFIG!$B$5,"BAJO","OK"))))</f>
        <v/>
      </c>
    </row>
    <row r="2244" ht="15.75" hidden="1" customHeight="1">
      <c r="A2244" s="90" t="str">
        <f>IF(CLIENTES!A6="","",CLIENTES!A6)</f>
        <v/>
      </c>
      <c r="B2244" s="90" t="s">
        <v>331</v>
      </c>
      <c r="C2244" s="91" t="s">
        <v>328</v>
      </c>
      <c r="D2244" s="109" t="s">
        <v>364</v>
      </c>
      <c r="E2244" s="67" t="str">
        <f>COLORES!A4</f>
        <v>Negro</v>
      </c>
      <c r="F2244" s="67" t="str">
        <f>COLORES!B4</f>
        <v>OSCURO</v>
      </c>
      <c r="G2244" s="90" t="s">
        <v>378</v>
      </c>
      <c r="H2244" s="100">
        <f>IFERROR(SUMIFS(MOVIMIENTOS_COMPLEMENTOS!$I$4:$I$803,MOVIMIENTOS_COMPLEMENTOS!$C$4:$C$803,A2244,MOVIMIENTOS_COMPLEMENTOS!$D$4:$D$803,B2244,MOVIMIENTOS_COMPLEMENTOS!$E$4:$E$803,C2244,MOVIMIENTOS_COMPLEMENTOS!$F$4:$F$803,D2244,MOVIMIENTOS_COMPLEMENTOS!$G$4:$G$803,E2244,MOVIMIENTOS_COMPLEMENTOS!$H$4:$H$803,G2244,MOVIMIENTOS_COMPLEMENTOS!$B$4:$B$803,"INGRESO")+SUMIFS(MOVIMIENTOS_COMPLEMENTOS!$I$4:$I$803,MOVIMIENTOS_COMPLEMENTOS!$C$4:$C$803,A2244,MOVIMIENTOS_COMPLEMENTOS!$D$4:$D$803,B2244,MOVIMIENTOS_COMPLEMENTOS!$E$4:$E$803,C2244,MOVIMIENTOS_COMPLEMENTOS!$F$4:$F$803,D2244,MOVIMIENTOS_COMPLEMENTOS!$G$4:$G$803,E2244,MOVIMIENTOS_COMPLEMENTOS!$H$4:$H$803,G2244,MOVIMIENTOS_COMPLEMENTOS!$B$4:$B$803,"DE CORTE")-SUMIFS(MOVIMIENTOS_COMPLEMENTOS!$I$4:$I$803,MOVIMIENTOS_COMPLEMENTOS!$C$4:$C$803,A2244,MOVIMIENTOS_COMPLEMENTOS!$D$4:$D$803,B2244,MOVIMIENTOS_COMPLEMENTOS!$E$4:$E$803,C2244,MOVIMIENTOS_COMPLEMENTOS!$F$4:$F$803,D2244,MOVIMIENTOS_COMPLEMENTOS!$G$4:$G$803,E2244,MOVIMIENTOS_COMPLEMENTOS!$H$4:$H$803,G2244,MOVIMIENTOS_COMPLEMENTOS!$B$4:$B$803,"SALIDA"),0)</f>
        <v>0</v>
      </c>
      <c r="I2244" s="102">
        <f t="array" ref="I2244">IFERROR(INDEX(PRECIOS_COMPLEMENTOS!$C$4:$F$17,MATCH(B2244&amp;"_"&amp;C2244,PRECIOS_COMPLEMENTOS!$H$4:$H$17,0),IF(OR(G2244="S",G2244="20cm"),1,IF(OR(G2244="M",G2244="25cm"),2,IF(OR(G2244="L",G2244="30cm"),3,IF(OR(G2244="XL",G2244="35cm"),4,0))))),0)</f>
        <v>0.6</v>
      </c>
      <c r="J2244" s="103">
        <f t="shared" si="1"/>
        <v>0</v>
      </c>
      <c r="K2244" s="104" t="str">
        <f>IF(H2244&lt;0,"ERROR",IF(H2244=0,"",IF(H2244&lt;CONFIG!$B$4,"CRÍTICO",IF(H2244&lt;CONFIG!$B$5,"BAJO","OK"))))</f>
        <v/>
      </c>
    </row>
    <row r="2245" ht="15.75" hidden="1" customHeight="1">
      <c r="A2245" s="90" t="str">
        <f>IF(CLIENTES!A6="","",CLIENTES!A6)</f>
        <v/>
      </c>
      <c r="B2245" s="90" t="s">
        <v>331</v>
      </c>
      <c r="C2245" s="91" t="s">
        <v>328</v>
      </c>
      <c r="D2245" s="109" t="s">
        <v>364</v>
      </c>
      <c r="E2245" s="67" t="str">
        <f>COLORES!A4</f>
        <v>Negro</v>
      </c>
      <c r="F2245" s="67" t="str">
        <f>COLORES!B4</f>
        <v>OSCURO</v>
      </c>
      <c r="G2245" s="90" t="s">
        <v>376</v>
      </c>
      <c r="H2245" s="100">
        <f>IFERROR(SUMIFS(MOVIMIENTOS_COMPLEMENTOS!$I$4:$I$803,MOVIMIENTOS_COMPLEMENTOS!$C$4:$C$803,A2245,MOVIMIENTOS_COMPLEMENTOS!$D$4:$D$803,B2245,MOVIMIENTOS_COMPLEMENTOS!$E$4:$E$803,C2245,MOVIMIENTOS_COMPLEMENTOS!$F$4:$F$803,D2245,MOVIMIENTOS_COMPLEMENTOS!$G$4:$G$803,E2245,MOVIMIENTOS_COMPLEMENTOS!$H$4:$H$803,G2245,MOVIMIENTOS_COMPLEMENTOS!$B$4:$B$803,"INGRESO")+SUMIFS(MOVIMIENTOS_COMPLEMENTOS!$I$4:$I$803,MOVIMIENTOS_COMPLEMENTOS!$C$4:$C$803,A2245,MOVIMIENTOS_COMPLEMENTOS!$D$4:$D$803,B2245,MOVIMIENTOS_COMPLEMENTOS!$E$4:$E$803,C2245,MOVIMIENTOS_COMPLEMENTOS!$F$4:$F$803,D2245,MOVIMIENTOS_COMPLEMENTOS!$G$4:$G$803,E2245,MOVIMIENTOS_COMPLEMENTOS!$H$4:$H$803,G2245,MOVIMIENTOS_COMPLEMENTOS!$B$4:$B$803,"DE CORTE")-SUMIFS(MOVIMIENTOS_COMPLEMENTOS!$I$4:$I$803,MOVIMIENTOS_COMPLEMENTOS!$C$4:$C$803,A2245,MOVIMIENTOS_COMPLEMENTOS!$D$4:$D$803,B2245,MOVIMIENTOS_COMPLEMENTOS!$E$4:$E$803,C2245,MOVIMIENTOS_COMPLEMENTOS!$F$4:$F$803,D2245,MOVIMIENTOS_COMPLEMENTOS!$G$4:$G$803,E2245,MOVIMIENTOS_COMPLEMENTOS!$H$4:$H$803,G2245,MOVIMIENTOS_COMPLEMENTOS!$B$4:$B$803,"SALIDA"),0)</f>
        <v>0</v>
      </c>
      <c r="I2245" s="102">
        <f t="array" ref="I2245">IFERROR(INDEX(PRECIOS_COMPLEMENTOS!$C$4:$F$17,MATCH(B2245&amp;"_"&amp;C2245,PRECIOS_COMPLEMENTOS!$H$4:$H$17,0),IF(OR(G2245="S",G2245="20cm"),1,IF(OR(G2245="M",G2245="25cm"),2,IF(OR(G2245="L",G2245="30cm"),3,IF(OR(G2245="XL",G2245="35cm"),4,0))))),0)</f>
        <v>0.6</v>
      </c>
      <c r="J2245" s="103">
        <f t="shared" si="1"/>
        <v>0</v>
      </c>
      <c r="K2245" s="104" t="str">
        <f>IF(H2245&lt;0,"ERROR",IF(H2245=0,"",IF(H2245&lt;CONFIG!$B$4,"CRÍTICO",IF(H2245&lt;CONFIG!$B$5,"BAJO","OK"))))</f>
        <v/>
      </c>
    </row>
    <row r="2246" ht="15.75" hidden="1" customHeight="1">
      <c r="A2246" s="90" t="str">
        <f>IF(CLIENTES!A6="","",CLIENTES!A6)</f>
        <v/>
      </c>
      <c r="B2246" s="90" t="s">
        <v>331</v>
      </c>
      <c r="C2246" s="91" t="s">
        <v>328</v>
      </c>
      <c r="D2246" s="109" t="s">
        <v>364</v>
      </c>
      <c r="E2246" s="67" t="str">
        <f>COLORES!A4</f>
        <v>Negro</v>
      </c>
      <c r="F2246" s="67" t="str">
        <f>COLORES!B4</f>
        <v>OSCURO</v>
      </c>
      <c r="G2246" s="90" t="s">
        <v>377</v>
      </c>
      <c r="H2246" s="100">
        <f>IFERROR(SUMIFS(MOVIMIENTOS_COMPLEMENTOS!$I$4:$I$803,MOVIMIENTOS_COMPLEMENTOS!$C$4:$C$803,A2246,MOVIMIENTOS_COMPLEMENTOS!$D$4:$D$803,B2246,MOVIMIENTOS_COMPLEMENTOS!$E$4:$E$803,C2246,MOVIMIENTOS_COMPLEMENTOS!$F$4:$F$803,D2246,MOVIMIENTOS_COMPLEMENTOS!$G$4:$G$803,E2246,MOVIMIENTOS_COMPLEMENTOS!$H$4:$H$803,G2246,MOVIMIENTOS_COMPLEMENTOS!$B$4:$B$803,"INGRESO")+SUMIFS(MOVIMIENTOS_COMPLEMENTOS!$I$4:$I$803,MOVIMIENTOS_COMPLEMENTOS!$C$4:$C$803,A2246,MOVIMIENTOS_COMPLEMENTOS!$D$4:$D$803,B2246,MOVIMIENTOS_COMPLEMENTOS!$E$4:$E$803,C2246,MOVIMIENTOS_COMPLEMENTOS!$F$4:$F$803,D2246,MOVIMIENTOS_COMPLEMENTOS!$G$4:$G$803,E2246,MOVIMIENTOS_COMPLEMENTOS!$H$4:$H$803,G2246,MOVIMIENTOS_COMPLEMENTOS!$B$4:$B$803,"DE CORTE")-SUMIFS(MOVIMIENTOS_COMPLEMENTOS!$I$4:$I$803,MOVIMIENTOS_COMPLEMENTOS!$C$4:$C$803,A2246,MOVIMIENTOS_COMPLEMENTOS!$D$4:$D$803,B2246,MOVIMIENTOS_COMPLEMENTOS!$E$4:$E$803,C2246,MOVIMIENTOS_COMPLEMENTOS!$F$4:$F$803,D2246,MOVIMIENTOS_COMPLEMENTOS!$G$4:$G$803,E2246,MOVIMIENTOS_COMPLEMENTOS!$H$4:$H$803,G2246,MOVIMIENTOS_COMPLEMENTOS!$B$4:$B$803,"SALIDA"),0)</f>
        <v>0</v>
      </c>
      <c r="I2246" s="102">
        <f t="array" ref="I2246">IFERROR(INDEX(PRECIOS_COMPLEMENTOS!$C$4:$F$17,MATCH(B2246&amp;"_"&amp;C2246,PRECIOS_COMPLEMENTOS!$H$4:$H$17,0),IF(OR(G2246="S",G2246="20cm"),1,IF(OR(G2246="M",G2246="25cm"),2,IF(OR(G2246="L",G2246="30cm"),3,IF(OR(G2246="XL",G2246="35cm"),4,0))))),0)</f>
        <v>0.6</v>
      </c>
      <c r="J2246" s="103">
        <f t="shared" si="1"/>
        <v>0</v>
      </c>
      <c r="K2246" s="104" t="str">
        <f>IF(H2246&lt;0,"ERROR",IF(H2246=0,"",IF(H2246&lt;CONFIG!$B$4,"CRÍTICO",IF(H2246&lt;CONFIG!$B$5,"BAJO","OK"))))</f>
        <v/>
      </c>
    </row>
    <row r="2247" ht="15.75" hidden="1" customHeight="1">
      <c r="A2247" s="90" t="str">
        <f>IF(CLIENTES!A6="","",CLIENTES!A6)</f>
        <v/>
      </c>
      <c r="B2247" s="90" t="s">
        <v>331</v>
      </c>
      <c r="C2247" s="91" t="s">
        <v>328</v>
      </c>
      <c r="D2247" s="109" t="s">
        <v>364</v>
      </c>
      <c r="E2247" s="67" t="str">
        <f>COLORES!A4</f>
        <v>Negro</v>
      </c>
      <c r="F2247" s="67" t="str">
        <f>COLORES!B4</f>
        <v>OSCURO</v>
      </c>
      <c r="G2247" s="90" t="s">
        <v>379</v>
      </c>
      <c r="H2247" s="100">
        <f>IFERROR(SUMIFS(MOVIMIENTOS_COMPLEMENTOS!$I$4:$I$803,MOVIMIENTOS_COMPLEMENTOS!$C$4:$C$803,A2247,MOVIMIENTOS_COMPLEMENTOS!$D$4:$D$803,B2247,MOVIMIENTOS_COMPLEMENTOS!$E$4:$E$803,C2247,MOVIMIENTOS_COMPLEMENTOS!$F$4:$F$803,D2247,MOVIMIENTOS_COMPLEMENTOS!$G$4:$G$803,E2247,MOVIMIENTOS_COMPLEMENTOS!$H$4:$H$803,G2247,MOVIMIENTOS_COMPLEMENTOS!$B$4:$B$803,"INGRESO")+SUMIFS(MOVIMIENTOS_COMPLEMENTOS!$I$4:$I$803,MOVIMIENTOS_COMPLEMENTOS!$C$4:$C$803,A2247,MOVIMIENTOS_COMPLEMENTOS!$D$4:$D$803,B2247,MOVIMIENTOS_COMPLEMENTOS!$E$4:$E$803,C2247,MOVIMIENTOS_COMPLEMENTOS!$F$4:$F$803,D2247,MOVIMIENTOS_COMPLEMENTOS!$G$4:$G$803,E2247,MOVIMIENTOS_COMPLEMENTOS!$H$4:$H$803,G2247,MOVIMIENTOS_COMPLEMENTOS!$B$4:$B$803,"DE CORTE")-SUMIFS(MOVIMIENTOS_COMPLEMENTOS!$I$4:$I$803,MOVIMIENTOS_COMPLEMENTOS!$C$4:$C$803,A2247,MOVIMIENTOS_COMPLEMENTOS!$D$4:$D$803,B2247,MOVIMIENTOS_COMPLEMENTOS!$E$4:$E$803,C2247,MOVIMIENTOS_COMPLEMENTOS!$F$4:$F$803,D2247,MOVIMIENTOS_COMPLEMENTOS!$G$4:$G$803,E2247,MOVIMIENTOS_COMPLEMENTOS!$H$4:$H$803,G2247,MOVIMIENTOS_COMPLEMENTOS!$B$4:$B$803,"SALIDA"),0)</f>
        <v>0</v>
      </c>
      <c r="I2247" s="102">
        <f t="array" ref="I2247">IFERROR(INDEX(PRECIOS_COMPLEMENTOS!$C$4:$F$17,MATCH(B2247&amp;"_"&amp;C2247,PRECIOS_COMPLEMENTOS!$H$4:$H$17,0),IF(OR(G2247="S",G2247="20cm"),1,IF(OR(G2247="M",G2247="25cm"),2,IF(OR(G2247="L",G2247="30cm"),3,IF(OR(G2247="XL",G2247="35cm"),4,0))))),0)</f>
        <v>0.6</v>
      </c>
      <c r="J2247" s="103">
        <f t="shared" si="1"/>
        <v>0</v>
      </c>
      <c r="K2247" s="104" t="str">
        <f>IF(H2247&lt;0,"ERROR",IF(H2247=0,"",IF(H2247&lt;CONFIG!$B$4,"CRÍTICO",IF(H2247&lt;CONFIG!$B$5,"BAJO","OK"))))</f>
        <v/>
      </c>
    </row>
    <row r="2248" ht="15.75" hidden="1" customHeight="1">
      <c r="A2248" s="90" t="str">
        <f>IF(CLIENTES!A6="","",CLIENTES!A6)</f>
        <v/>
      </c>
      <c r="B2248" s="90" t="s">
        <v>331</v>
      </c>
      <c r="C2248" s="91" t="s">
        <v>328</v>
      </c>
      <c r="D2248" s="109" t="s">
        <v>364</v>
      </c>
      <c r="E2248" s="67" t="str">
        <f>COLORES!A5</f>
        <v>Perla</v>
      </c>
      <c r="F2248" s="67" t="str">
        <f>COLORES!B5</f>
        <v>PPT</v>
      </c>
      <c r="G2248" s="90" t="s">
        <v>378</v>
      </c>
      <c r="H2248" s="100">
        <f>IFERROR(SUMIFS(MOVIMIENTOS_COMPLEMENTOS!$I$4:$I$803,MOVIMIENTOS_COMPLEMENTOS!$C$4:$C$803,A2248,MOVIMIENTOS_COMPLEMENTOS!$D$4:$D$803,B2248,MOVIMIENTOS_COMPLEMENTOS!$E$4:$E$803,C2248,MOVIMIENTOS_COMPLEMENTOS!$F$4:$F$803,D2248,MOVIMIENTOS_COMPLEMENTOS!$G$4:$G$803,E2248,MOVIMIENTOS_COMPLEMENTOS!$H$4:$H$803,G2248,MOVIMIENTOS_COMPLEMENTOS!$B$4:$B$803,"INGRESO")+SUMIFS(MOVIMIENTOS_COMPLEMENTOS!$I$4:$I$803,MOVIMIENTOS_COMPLEMENTOS!$C$4:$C$803,A2248,MOVIMIENTOS_COMPLEMENTOS!$D$4:$D$803,B2248,MOVIMIENTOS_COMPLEMENTOS!$E$4:$E$803,C2248,MOVIMIENTOS_COMPLEMENTOS!$F$4:$F$803,D2248,MOVIMIENTOS_COMPLEMENTOS!$G$4:$G$803,E2248,MOVIMIENTOS_COMPLEMENTOS!$H$4:$H$803,G2248,MOVIMIENTOS_COMPLEMENTOS!$B$4:$B$803,"DE CORTE")-SUMIFS(MOVIMIENTOS_COMPLEMENTOS!$I$4:$I$803,MOVIMIENTOS_COMPLEMENTOS!$C$4:$C$803,A2248,MOVIMIENTOS_COMPLEMENTOS!$D$4:$D$803,B2248,MOVIMIENTOS_COMPLEMENTOS!$E$4:$E$803,C2248,MOVIMIENTOS_COMPLEMENTOS!$F$4:$F$803,D2248,MOVIMIENTOS_COMPLEMENTOS!$G$4:$G$803,E2248,MOVIMIENTOS_COMPLEMENTOS!$H$4:$H$803,G2248,MOVIMIENTOS_COMPLEMENTOS!$B$4:$B$803,"SALIDA"),0)</f>
        <v>0</v>
      </c>
      <c r="I2248" s="102">
        <f t="array" ref="I2248">IFERROR(INDEX(PRECIOS_COMPLEMENTOS!$C$4:$F$17,MATCH(B2248&amp;"_"&amp;C2248,PRECIOS_COMPLEMENTOS!$H$4:$H$17,0),IF(OR(G2248="S",G2248="20cm"),1,IF(OR(G2248="M",G2248="25cm"),2,IF(OR(G2248="L",G2248="30cm"),3,IF(OR(G2248="XL",G2248="35cm"),4,0))))),0)</f>
        <v>0.6</v>
      </c>
      <c r="J2248" s="103">
        <f t="shared" si="1"/>
        <v>0</v>
      </c>
      <c r="K2248" s="104" t="str">
        <f>IF(H2248&lt;0,"ERROR",IF(H2248=0,"",IF(H2248&lt;CONFIG!$B$4,"CRÍTICO",IF(H2248&lt;CONFIG!$B$5,"BAJO","OK"))))</f>
        <v/>
      </c>
    </row>
    <row r="2249" ht="15.75" hidden="1" customHeight="1">
      <c r="A2249" s="90" t="str">
        <f>IF(CLIENTES!A6="","",CLIENTES!A6)</f>
        <v/>
      </c>
      <c r="B2249" s="90" t="s">
        <v>331</v>
      </c>
      <c r="C2249" s="91" t="s">
        <v>328</v>
      </c>
      <c r="D2249" s="109" t="s">
        <v>364</v>
      </c>
      <c r="E2249" s="67" t="str">
        <f>COLORES!A5</f>
        <v>Perla</v>
      </c>
      <c r="F2249" s="67" t="str">
        <f>COLORES!B5</f>
        <v>PPT</v>
      </c>
      <c r="G2249" s="90" t="s">
        <v>376</v>
      </c>
      <c r="H2249" s="100">
        <f>IFERROR(SUMIFS(MOVIMIENTOS_COMPLEMENTOS!$I$4:$I$803,MOVIMIENTOS_COMPLEMENTOS!$C$4:$C$803,A2249,MOVIMIENTOS_COMPLEMENTOS!$D$4:$D$803,B2249,MOVIMIENTOS_COMPLEMENTOS!$E$4:$E$803,C2249,MOVIMIENTOS_COMPLEMENTOS!$F$4:$F$803,D2249,MOVIMIENTOS_COMPLEMENTOS!$G$4:$G$803,E2249,MOVIMIENTOS_COMPLEMENTOS!$H$4:$H$803,G2249,MOVIMIENTOS_COMPLEMENTOS!$B$4:$B$803,"INGRESO")+SUMIFS(MOVIMIENTOS_COMPLEMENTOS!$I$4:$I$803,MOVIMIENTOS_COMPLEMENTOS!$C$4:$C$803,A2249,MOVIMIENTOS_COMPLEMENTOS!$D$4:$D$803,B2249,MOVIMIENTOS_COMPLEMENTOS!$E$4:$E$803,C2249,MOVIMIENTOS_COMPLEMENTOS!$F$4:$F$803,D2249,MOVIMIENTOS_COMPLEMENTOS!$G$4:$G$803,E2249,MOVIMIENTOS_COMPLEMENTOS!$H$4:$H$803,G2249,MOVIMIENTOS_COMPLEMENTOS!$B$4:$B$803,"DE CORTE")-SUMIFS(MOVIMIENTOS_COMPLEMENTOS!$I$4:$I$803,MOVIMIENTOS_COMPLEMENTOS!$C$4:$C$803,A2249,MOVIMIENTOS_COMPLEMENTOS!$D$4:$D$803,B2249,MOVIMIENTOS_COMPLEMENTOS!$E$4:$E$803,C2249,MOVIMIENTOS_COMPLEMENTOS!$F$4:$F$803,D2249,MOVIMIENTOS_COMPLEMENTOS!$G$4:$G$803,E2249,MOVIMIENTOS_COMPLEMENTOS!$H$4:$H$803,G2249,MOVIMIENTOS_COMPLEMENTOS!$B$4:$B$803,"SALIDA"),0)</f>
        <v>0</v>
      </c>
      <c r="I2249" s="102">
        <f t="array" ref="I2249">IFERROR(INDEX(PRECIOS_COMPLEMENTOS!$C$4:$F$17,MATCH(B2249&amp;"_"&amp;C2249,PRECIOS_COMPLEMENTOS!$H$4:$H$17,0),IF(OR(G2249="S",G2249="20cm"),1,IF(OR(G2249="M",G2249="25cm"),2,IF(OR(G2249="L",G2249="30cm"),3,IF(OR(G2249="XL",G2249="35cm"),4,0))))),0)</f>
        <v>0.6</v>
      </c>
      <c r="J2249" s="103">
        <f t="shared" si="1"/>
        <v>0</v>
      </c>
      <c r="K2249" s="104" t="str">
        <f>IF(H2249&lt;0,"ERROR",IF(H2249=0,"",IF(H2249&lt;CONFIG!$B$4,"CRÍTICO",IF(H2249&lt;CONFIG!$B$5,"BAJO","OK"))))</f>
        <v/>
      </c>
    </row>
    <row r="2250" ht="15.75" hidden="1" customHeight="1">
      <c r="A2250" s="90" t="str">
        <f>IF(CLIENTES!A6="","",CLIENTES!A6)</f>
        <v/>
      </c>
      <c r="B2250" s="90" t="s">
        <v>331</v>
      </c>
      <c r="C2250" s="91" t="s">
        <v>328</v>
      </c>
      <c r="D2250" s="109" t="s">
        <v>364</v>
      </c>
      <c r="E2250" s="67" t="str">
        <f>COLORES!A5</f>
        <v>Perla</v>
      </c>
      <c r="F2250" s="67" t="str">
        <f>COLORES!B5</f>
        <v>PPT</v>
      </c>
      <c r="G2250" s="90" t="s">
        <v>377</v>
      </c>
      <c r="H2250" s="100">
        <f>IFERROR(SUMIFS(MOVIMIENTOS_COMPLEMENTOS!$I$4:$I$803,MOVIMIENTOS_COMPLEMENTOS!$C$4:$C$803,A2250,MOVIMIENTOS_COMPLEMENTOS!$D$4:$D$803,B2250,MOVIMIENTOS_COMPLEMENTOS!$E$4:$E$803,C2250,MOVIMIENTOS_COMPLEMENTOS!$F$4:$F$803,D2250,MOVIMIENTOS_COMPLEMENTOS!$G$4:$G$803,E2250,MOVIMIENTOS_COMPLEMENTOS!$H$4:$H$803,G2250,MOVIMIENTOS_COMPLEMENTOS!$B$4:$B$803,"INGRESO")+SUMIFS(MOVIMIENTOS_COMPLEMENTOS!$I$4:$I$803,MOVIMIENTOS_COMPLEMENTOS!$C$4:$C$803,A2250,MOVIMIENTOS_COMPLEMENTOS!$D$4:$D$803,B2250,MOVIMIENTOS_COMPLEMENTOS!$E$4:$E$803,C2250,MOVIMIENTOS_COMPLEMENTOS!$F$4:$F$803,D2250,MOVIMIENTOS_COMPLEMENTOS!$G$4:$G$803,E2250,MOVIMIENTOS_COMPLEMENTOS!$H$4:$H$803,G2250,MOVIMIENTOS_COMPLEMENTOS!$B$4:$B$803,"DE CORTE")-SUMIFS(MOVIMIENTOS_COMPLEMENTOS!$I$4:$I$803,MOVIMIENTOS_COMPLEMENTOS!$C$4:$C$803,A2250,MOVIMIENTOS_COMPLEMENTOS!$D$4:$D$803,B2250,MOVIMIENTOS_COMPLEMENTOS!$E$4:$E$803,C2250,MOVIMIENTOS_COMPLEMENTOS!$F$4:$F$803,D2250,MOVIMIENTOS_COMPLEMENTOS!$G$4:$G$803,E2250,MOVIMIENTOS_COMPLEMENTOS!$H$4:$H$803,G2250,MOVIMIENTOS_COMPLEMENTOS!$B$4:$B$803,"SALIDA"),0)</f>
        <v>0</v>
      </c>
      <c r="I2250" s="102">
        <f t="array" ref="I2250">IFERROR(INDEX(PRECIOS_COMPLEMENTOS!$C$4:$F$17,MATCH(B2250&amp;"_"&amp;C2250,PRECIOS_COMPLEMENTOS!$H$4:$H$17,0),IF(OR(G2250="S",G2250="20cm"),1,IF(OR(G2250="M",G2250="25cm"),2,IF(OR(G2250="L",G2250="30cm"),3,IF(OR(G2250="XL",G2250="35cm"),4,0))))),0)</f>
        <v>0.6</v>
      </c>
      <c r="J2250" s="103">
        <f t="shared" si="1"/>
        <v>0</v>
      </c>
      <c r="K2250" s="104" t="str">
        <f>IF(H2250&lt;0,"ERROR",IF(H2250=0,"",IF(H2250&lt;CONFIG!$B$4,"CRÍTICO",IF(H2250&lt;CONFIG!$B$5,"BAJO","OK"))))</f>
        <v/>
      </c>
    </row>
    <row r="2251" ht="15.75" hidden="1" customHeight="1">
      <c r="A2251" s="90" t="str">
        <f>IF(CLIENTES!A6="","",CLIENTES!A6)</f>
        <v/>
      </c>
      <c r="B2251" s="90" t="s">
        <v>331</v>
      </c>
      <c r="C2251" s="91" t="s">
        <v>328</v>
      </c>
      <c r="D2251" s="109" t="s">
        <v>364</v>
      </c>
      <c r="E2251" s="67" t="str">
        <f>COLORES!A5</f>
        <v>Perla</v>
      </c>
      <c r="F2251" s="67" t="str">
        <f>COLORES!B5</f>
        <v>PPT</v>
      </c>
      <c r="G2251" s="90" t="s">
        <v>379</v>
      </c>
      <c r="H2251" s="100">
        <f>IFERROR(SUMIFS(MOVIMIENTOS_COMPLEMENTOS!$I$4:$I$803,MOVIMIENTOS_COMPLEMENTOS!$C$4:$C$803,A2251,MOVIMIENTOS_COMPLEMENTOS!$D$4:$D$803,B2251,MOVIMIENTOS_COMPLEMENTOS!$E$4:$E$803,C2251,MOVIMIENTOS_COMPLEMENTOS!$F$4:$F$803,D2251,MOVIMIENTOS_COMPLEMENTOS!$G$4:$G$803,E2251,MOVIMIENTOS_COMPLEMENTOS!$H$4:$H$803,G2251,MOVIMIENTOS_COMPLEMENTOS!$B$4:$B$803,"INGRESO")+SUMIFS(MOVIMIENTOS_COMPLEMENTOS!$I$4:$I$803,MOVIMIENTOS_COMPLEMENTOS!$C$4:$C$803,A2251,MOVIMIENTOS_COMPLEMENTOS!$D$4:$D$803,B2251,MOVIMIENTOS_COMPLEMENTOS!$E$4:$E$803,C2251,MOVIMIENTOS_COMPLEMENTOS!$F$4:$F$803,D2251,MOVIMIENTOS_COMPLEMENTOS!$G$4:$G$803,E2251,MOVIMIENTOS_COMPLEMENTOS!$H$4:$H$803,G2251,MOVIMIENTOS_COMPLEMENTOS!$B$4:$B$803,"DE CORTE")-SUMIFS(MOVIMIENTOS_COMPLEMENTOS!$I$4:$I$803,MOVIMIENTOS_COMPLEMENTOS!$C$4:$C$803,A2251,MOVIMIENTOS_COMPLEMENTOS!$D$4:$D$803,B2251,MOVIMIENTOS_COMPLEMENTOS!$E$4:$E$803,C2251,MOVIMIENTOS_COMPLEMENTOS!$F$4:$F$803,D2251,MOVIMIENTOS_COMPLEMENTOS!$G$4:$G$803,E2251,MOVIMIENTOS_COMPLEMENTOS!$H$4:$H$803,G2251,MOVIMIENTOS_COMPLEMENTOS!$B$4:$B$803,"SALIDA"),0)</f>
        <v>0</v>
      </c>
      <c r="I2251" s="102">
        <f t="array" ref="I2251">IFERROR(INDEX(PRECIOS_COMPLEMENTOS!$C$4:$F$17,MATCH(B2251&amp;"_"&amp;C2251,PRECIOS_COMPLEMENTOS!$H$4:$H$17,0),IF(OR(G2251="S",G2251="20cm"),1,IF(OR(G2251="M",G2251="25cm"),2,IF(OR(G2251="L",G2251="30cm"),3,IF(OR(G2251="XL",G2251="35cm"),4,0))))),0)</f>
        <v>0.6</v>
      </c>
      <c r="J2251" s="103">
        <f t="shared" si="1"/>
        <v>0</v>
      </c>
      <c r="K2251" s="104" t="str">
        <f>IF(H2251&lt;0,"ERROR",IF(H2251=0,"",IF(H2251&lt;CONFIG!$B$4,"CRÍTICO",IF(H2251&lt;CONFIG!$B$5,"BAJO","OK"))))</f>
        <v/>
      </c>
    </row>
    <row r="2252" ht="15.75" hidden="1" customHeight="1">
      <c r="A2252" s="90" t="str">
        <f>IF(CLIENTES!A6="","",CLIENTES!A6)</f>
        <v/>
      </c>
      <c r="B2252" s="90" t="s">
        <v>331</v>
      </c>
      <c r="C2252" s="91" t="s">
        <v>328</v>
      </c>
      <c r="D2252" s="109" t="s">
        <v>364</v>
      </c>
      <c r="E2252" s="67" t="str">
        <f>COLORES!A6</f>
        <v>Blanco</v>
      </c>
      <c r="F2252" s="67" t="str">
        <f>COLORES!B6</f>
        <v>PPT</v>
      </c>
      <c r="G2252" s="90" t="s">
        <v>378</v>
      </c>
      <c r="H2252" s="100">
        <f>IFERROR(SUMIFS(MOVIMIENTOS_COMPLEMENTOS!$I$4:$I$803,MOVIMIENTOS_COMPLEMENTOS!$C$4:$C$803,A2252,MOVIMIENTOS_COMPLEMENTOS!$D$4:$D$803,B2252,MOVIMIENTOS_COMPLEMENTOS!$E$4:$E$803,C2252,MOVIMIENTOS_COMPLEMENTOS!$F$4:$F$803,D2252,MOVIMIENTOS_COMPLEMENTOS!$G$4:$G$803,E2252,MOVIMIENTOS_COMPLEMENTOS!$H$4:$H$803,G2252,MOVIMIENTOS_COMPLEMENTOS!$B$4:$B$803,"INGRESO")+SUMIFS(MOVIMIENTOS_COMPLEMENTOS!$I$4:$I$803,MOVIMIENTOS_COMPLEMENTOS!$C$4:$C$803,A2252,MOVIMIENTOS_COMPLEMENTOS!$D$4:$D$803,B2252,MOVIMIENTOS_COMPLEMENTOS!$E$4:$E$803,C2252,MOVIMIENTOS_COMPLEMENTOS!$F$4:$F$803,D2252,MOVIMIENTOS_COMPLEMENTOS!$G$4:$G$803,E2252,MOVIMIENTOS_COMPLEMENTOS!$H$4:$H$803,G2252,MOVIMIENTOS_COMPLEMENTOS!$B$4:$B$803,"DE CORTE")-SUMIFS(MOVIMIENTOS_COMPLEMENTOS!$I$4:$I$803,MOVIMIENTOS_COMPLEMENTOS!$C$4:$C$803,A2252,MOVIMIENTOS_COMPLEMENTOS!$D$4:$D$803,B2252,MOVIMIENTOS_COMPLEMENTOS!$E$4:$E$803,C2252,MOVIMIENTOS_COMPLEMENTOS!$F$4:$F$803,D2252,MOVIMIENTOS_COMPLEMENTOS!$G$4:$G$803,E2252,MOVIMIENTOS_COMPLEMENTOS!$H$4:$H$803,G2252,MOVIMIENTOS_COMPLEMENTOS!$B$4:$B$803,"SALIDA"),0)</f>
        <v>0</v>
      </c>
      <c r="I2252" s="102">
        <f t="array" ref="I2252">IFERROR(INDEX(PRECIOS_COMPLEMENTOS!$C$4:$F$17,MATCH(B2252&amp;"_"&amp;C2252,PRECIOS_COMPLEMENTOS!$H$4:$H$17,0),IF(OR(G2252="S",G2252="20cm"),1,IF(OR(G2252="M",G2252="25cm"),2,IF(OR(G2252="L",G2252="30cm"),3,IF(OR(G2252="XL",G2252="35cm"),4,0))))),0)</f>
        <v>0.6</v>
      </c>
      <c r="J2252" s="103">
        <f t="shared" si="1"/>
        <v>0</v>
      </c>
      <c r="K2252" s="104" t="str">
        <f>IF(H2252&lt;0,"ERROR",IF(H2252=0,"",IF(H2252&lt;CONFIG!$B$4,"CRÍTICO",IF(H2252&lt;CONFIG!$B$5,"BAJO","OK"))))</f>
        <v/>
      </c>
    </row>
    <row r="2253" ht="15.75" hidden="1" customHeight="1">
      <c r="A2253" s="90" t="str">
        <f>IF(CLIENTES!A6="","",CLIENTES!A6)</f>
        <v/>
      </c>
      <c r="B2253" s="90" t="s">
        <v>331</v>
      </c>
      <c r="C2253" s="91" t="s">
        <v>328</v>
      </c>
      <c r="D2253" s="109" t="s">
        <v>364</v>
      </c>
      <c r="E2253" s="67" t="str">
        <f>COLORES!A6</f>
        <v>Blanco</v>
      </c>
      <c r="F2253" s="67" t="str">
        <f>COLORES!B6</f>
        <v>PPT</v>
      </c>
      <c r="G2253" s="90" t="s">
        <v>376</v>
      </c>
      <c r="H2253" s="100">
        <f>IFERROR(SUMIFS(MOVIMIENTOS_COMPLEMENTOS!$I$4:$I$803,MOVIMIENTOS_COMPLEMENTOS!$C$4:$C$803,A2253,MOVIMIENTOS_COMPLEMENTOS!$D$4:$D$803,B2253,MOVIMIENTOS_COMPLEMENTOS!$E$4:$E$803,C2253,MOVIMIENTOS_COMPLEMENTOS!$F$4:$F$803,D2253,MOVIMIENTOS_COMPLEMENTOS!$G$4:$G$803,E2253,MOVIMIENTOS_COMPLEMENTOS!$H$4:$H$803,G2253,MOVIMIENTOS_COMPLEMENTOS!$B$4:$B$803,"INGRESO")+SUMIFS(MOVIMIENTOS_COMPLEMENTOS!$I$4:$I$803,MOVIMIENTOS_COMPLEMENTOS!$C$4:$C$803,A2253,MOVIMIENTOS_COMPLEMENTOS!$D$4:$D$803,B2253,MOVIMIENTOS_COMPLEMENTOS!$E$4:$E$803,C2253,MOVIMIENTOS_COMPLEMENTOS!$F$4:$F$803,D2253,MOVIMIENTOS_COMPLEMENTOS!$G$4:$G$803,E2253,MOVIMIENTOS_COMPLEMENTOS!$H$4:$H$803,G2253,MOVIMIENTOS_COMPLEMENTOS!$B$4:$B$803,"DE CORTE")-SUMIFS(MOVIMIENTOS_COMPLEMENTOS!$I$4:$I$803,MOVIMIENTOS_COMPLEMENTOS!$C$4:$C$803,A2253,MOVIMIENTOS_COMPLEMENTOS!$D$4:$D$803,B2253,MOVIMIENTOS_COMPLEMENTOS!$E$4:$E$803,C2253,MOVIMIENTOS_COMPLEMENTOS!$F$4:$F$803,D2253,MOVIMIENTOS_COMPLEMENTOS!$G$4:$G$803,E2253,MOVIMIENTOS_COMPLEMENTOS!$H$4:$H$803,G2253,MOVIMIENTOS_COMPLEMENTOS!$B$4:$B$803,"SALIDA"),0)</f>
        <v>0</v>
      </c>
      <c r="I2253" s="102">
        <f t="array" ref="I2253">IFERROR(INDEX(PRECIOS_COMPLEMENTOS!$C$4:$F$17,MATCH(B2253&amp;"_"&amp;C2253,PRECIOS_COMPLEMENTOS!$H$4:$H$17,0),IF(OR(G2253="S",G2253="20cm"),1,IF(OR(G2253="M",G2253="25cm"),2,IF(OR(G2253="L",G2253="30cm"),3,IF(OR(G2253="XL",G2253="35cm"),4,0))))),0)</f>
        <v>0.6</v>
      </c>
      <c r="J2253" s="103">
        <f t="shared" si="1"/>
        <v>0</v>
      </c>
      <c r="K2253" s="104" t="str">
        <f>IF(H2253&lt;0,"ERROR",IF(H2253=0,"",IF(H2253&lt;CONFIG!$B$4,"CRÍTICO",IF(H2253&lt;CONFIG!$B$5,"BAJO","OK"))))</f>
        <v/>
      </c>
    </row>
    <row r="2254" ht="15.75" hidden="1" customHeight="1">
      <c r="A2254" s="90" t="str">
        <f>IF(CLIENTES!A6="","",CLIENTES!A6)</f>
        <v/>
      </c>
      <c r="B2254" s="90" t="s">
        <v>331</v>
      </c>
      <c r="C2254" s="91" t="s">
        <v>328</v>
      </c>
      <c r="D2254" s="109" t="s">
        <v>364</v>
      </c>
      <c r="E2254" s="67" t="str">
        <f>COLORES!A6</f>
        <v>Blanco</v>
      </c>
      <c r="F2254" s="67" t="str">
        <f>COLORES!B6</f>
        <v>PPT</v>
      </c>
      <c r="G2254" s="90" t="s">
        <v>377</v>
      </c>
      <c r="H2254" s="100">
        <f>IFERROR(SUMIFS(MOVIMIENTOS_COMPLEMENTOS!$I$4:$I$803,MOVIMIENTOS_COMPLEMENTOS!$C$4:$C$803,A2254,MOVIMIENTOS_COMPLEMENTOS!$D$4:$D$803,B2254,MOVIMIENTOS_COMPLEMENTOS!$E$4:$E$803,C2254,MOVIMIENTOS_COMPLEMENTOS!$F$4:$F$803,D2254,MOVIMIENTOS_COMPLEMENTOS!$G$4:$G$803,E2254,MOVIMIENTOS_COMPLEMENTOS!$H$4:$H$803,G2254,MOVIMIENTOS_COMPLEMENTOS!$B$4:$B$803,"INGRESO")+SUMIFS(MOVIMIENTOS_COMPLEMENTOS!$I$4:$I$803,MOVIMIENTOS_COMPLEMENTOS!$C$4:$C$803,A2254,MOVIMIENTOS_COMPLEMENTOS!$D$4:$D$803,B2254,MOVIMIENTOS_COMPLEMENTOS!$E$4:$E$803,C2254,MOVIMIENTOS_COMPLEMENTOS!$F$4:$F$803,D2254,MOVIMIENTOS_COMPLEMENTOS!$G$4:$G$803,E2254,MOVIMIENTOS_COMPLEMENTOS!$H$4:$H$803,G2254,MOVIMIENTOS_COMPLEMENTOS!$B$4:$B$803,"DE CORTE")-SUMIFS(MOVIMIENTOS_COMPLEMENTOS!$I$4:$I$803,MOVIMIENTOS_COMPLEMENTOS!$C$4:$C$803,A2254,MOVIMIENTOS_COMPLEMENTOS!$D$4:$D$803,B2254,MOVIMIENTOS_COMPLEMENTOS!$E$4:$E$803,C2254,MOVIMIENTOS_COMPLEMENTOS!$F$4:$F$803,D2254,MOVIMIENTOS_COMPLEMENTOS!$G$4:$G$803,E2254,MOVIMIENTOS_COMPLEMENTOS!$H$4:$H$803,G2254,MOVIMIENTOS_COMPLEMENTOS!$B$4:$B$803,"SALIDA"),0)</f>
        <v>0</v>
      </c>
      <c r="I2254" s="102">
        <f t="array" ref="I2254">IFERROR(INDEX(PRECIOS_COMPLEMENTOS!$C$4:$F$17,MATCH(B2254&amp;"_"&amp;C2254,PRECIOS_COMPLEMENTOS!$H$4:$H$17,0),IF(OR(G2254="S",G2254="20cm"),1,IF(OR(G2254="M",G2254="25cm"),2,IF(OR(G2254="L",G2254="30cm"),3,IF(OR(G2254="XL",G2254="35cm"),4,0))))),0)</f>
        <v>0.6</v>
      </c>
      <c r="J2254" s="103">
        <f t="shared" si="1"/>
        <v>0</v>
      </c>
      <c r="K2254" s="104" t="str">
        <f>IF(H2254&lt;0,"ERROR",IF(H2254=0,"",IF(H2254&lt;CONFIG!$B$4,"CRÍTICO",IF(H2254&lt;CONFIG!$B$5,"BAJO","OK"))))</f>
        <v/>
      </c>
    </row>
    <row r="2255" ht="15.75" hidden="1" customHeight="1">
      <c r="A2255" s="90" t="str">
        <f>IF(CLIENTES!A6="","",CLIENTES!A6)</f>
        <v/>
      </c>
      <c r="B2255" s="90" t="s">
        <v>331</v>
      </c>
      <c r="C2255" s="91" t="s">
        <v>328</v>
      </c>
      <c r="D2255" s="109" t="s">
        <v>364</v>
      </c>
      <c r="E2255" s="67" t="str">
        <f>COLORES!A6</f>
        <v>Blanco</v>
      </c>
      <c r="F2255" s="67" t="str">
        <f>COLORES!B6</f>
        <v>PPT</v>
      </c>
      <c r="G2255" s="90" t="s">
        <v>379</v>
      </c>
      <c r="H2255" s="100">
        <f>IFERROR(SUMIFS(MOVIMIENTOS_COMPLEMENTOS!$I$4:$I$803,MOVIMIENTOS_COMPLEMENTOS!$C$4:$C$803,A2255,MOVIMIENTOS_COMPLEMENTOS!$D$4:$D$803,B2255,MOVIMIENTOS_COMPLEMENTOS!$E$4:$E$803,C2255,MOVIMIENTOS_COMPLEMENTOS!$F$4:$F$803,D2255,MOVIMIENTOS_COMPLEMENTOS!$G$4:$G$803,E2255,MOVIMIENTOS_COMPLEMENTOS!$H$4:$H$803,G2255,MOVIMIENTOS_COMPLEMENTOS!$B$4:$B$803,"INGRESO")+SUMIFS(MOVIMIENTOS_COMPLEMENTOS!$I$4:$I$803,MOVIMIENTOS_COMPLEMENTOS!$C$4:$C$803,A2255,MOVIMIENTOS_COMPLEMENTOS!$D$4:$D$803,B2255,MOVIMIENTOS_COMPLEMENTOS!$E$4:$E$803,C2255,MOVIMIENTOS_COMPLEMENTOS!$F$4:$F$803,D2255,MOVIMIENTOS_COMPLEMENTOS!$G$4:$G$803,E2255,MOVIMIENTOS_COMPLEMENTOS!$H$4:$H$803,G2255,MOVIMIENTOS_COMPLEMENTOS!$B$4:$B$803,"DE CORTE")-SUMIFS(MOVIMIENTOS_COMPLEMENTOS!$I$4:$I$803,MOVIMIENTOS_COMPLEMENTOS!$C$4:$C$803,A2255,MOVIMIENTOS_COMPLEMENTOS!$D$4:$D$803,B2255,MOVIMIENTOS_COMPLEMENTOS!$E$4:$E$803,C2255,MOVIMIENTOS_COMPLEMENTOS!$F$4:$F$803,D2255,MOVIMIENTOS_COMPLEMENTOS!$G$4:$G$803,E2255,MOVIMIENTOS_COMPLEMENTOS!$H$4:$H$803,G2255,MOVIMIENTOS_COMPLEMENTOS!$B$4:$B$803,"SALIDA"),0)</f>
        <v>0</v>
      </c>
      <c r="I2255" s="102">
        <f t="array" ref="I2255">IFERROR(INDEX(PRECIOS_COMPLEMENTOS!$C$4:$F$17,MATCH(B2255&amp;"_"&amp;C2255,PRECIOS_COMPLEMENTOS!$H$4:$H$17,0),IF(OR(G2255="S",G2255="20cm"),1,IF(OR(G2255="M",G2255="25cm"),2,IF(OR(G2255="L",G2255="30cm"),3,IF(OR(G2255="XL",G2255="35cm"),4,0))))),0)</f>
        <v>0.6</v>
      </c>
      <c r="J2255" s="103">
        <f t="shared" si="1"/>
        <v>0</v>
      </c>
      <c r="K2255" s="104" t="str">
        <f>IF(H2255&lt;0,"ERROR",IF(H2255=0,"",IF(H2255&lt;CONFIG!$B$4,"CRÍTICO",IF(H2255&lt;CONFIG!$B$5,"BAJO","OK"))))</f>
        <v/>
      </c>
    </row>
    <row r="2256" ht="15.75" hidden="1" customHeight="1">
      <c r="A2256" s="90" t="str">
        <f>IF(CLIENTES!A6="","",CLIENTES!A6)</f>
        <v/>
      </c>
      <c r="B2256" s="90" t="s">
        <v>331</v>
      </c>
      <c r="C2256" s="91" t="s">
        <v>328</v>
      </c>
      <c r="D2256" s="109" t="s">
        <v>364</v>
      </c>
      <c r="E2256" s="67" t="str">
        <f>COLORES!A7</f>
        <v>Azul</v>
      </c>
      <c r="F2256" s="67" t="str">
        <f>COLORES!B7</f>
        <v>OSCURO</v>
      </c>
      <c r="G2256" s="90" t="s">
        <v>378</v>
      </c>
      <c r="H2256" s="100">
        <f>IFERROR(SUMIFS(MOVIMIENTOS_COMPLEMENTOS!$I$4:$I$803,MOVIMIENTOS_COMPLEMENTOS!$C$4:$C$803,A2256,MOVIMIENTOS_COMPLEMENTOS!$D$4:$D$803,B2256,MOVIMIENTOS_COMPLEMENTOS!$E$4:$E$803,C2256,MOVIMIENTOS_COMPLEMENTOS!$F$4:$F$803,D2256,MOVIMIENTOS_COMPLEMENTOS!$G$4:$G$803,E2256,MOVIMIENTOS_COMPLEMENTOS!$H$4:$H$803,G2256,MOVIMIENTOS_COMPLEMENTOS!$B$4:$B$803,"INGRESO")+SUMIFS(MOVIMIENTOS_COMPLEMENTOS!$I$4:$I$803,MOVIMIENTOS_COMPLEMENTOS!$C$4:$C$803,A2256,MOVIMIENTOS_COMPLEMENTOS!$D$4:$D$803,B2256,MOVIMIENTOS_COMPLEMENTOS!$E$4:$E$803,C2256,MOVIMIENTOS_COMPLEMENTOS!$F$4:$F$803,D2256,MOVIMIENTOS_COMPLEMENTOS!$G$4:$G$803,E2256,MOVIMIENTOS_COMPLEMENTOS!$H$4:$H$803,G2256,MOVIMIENTOS_COMPLEMENTOS!$B$4:$B$803,"DE CORTE")-SUMIFS(MOVIMIENTOS_COMPLEMENTOS!$I$4:$I$803,MOVIMIENTOS_COMPLEMENTOS!$C$4:$C$803,A2256,MOVIMIENTOS_COMPLEMENTOS!$D$4:$D$803,B2256,MOVIMIENTOS_COMPLEMENTOS!$E$4:$E$803,C2256,MOVIMIENTOS_COMPLEMENTOS!$F$4:$F$803,D2256,MOVIMIENTOS_COMPLEMENTOS!$G$4:$G$803,E2256,MOVIMIENTOS_COMPLEMENTOS!$H$4:$H$803,G2256,MOVIMIENTOS_COMPLEMENTOS!$B$4:$B$803,"SALIDA"),0)</f>
        <v>0</v>
      </c>
      <c r="I2256" s="102">
        <f t="array" ref="I2256">IFERROR(INDEX(PRECIOS_COMPLEMENTOS!$C$4:$F$17,MATCH(B2256&amp;"_"&amp;C2256,PRECIOS_COMPLEMENTOS!$H$4:$H$17,0),IF(OR(G2256="S",G2256="20cm"),1,IF(OR(G2256="M",G2256="25cm"),2,IF(OR(G2256="L",G2256="30cm"),3,IF(OR(G2256="XL",G2256="35cm"),4,0))))),0)</f>
        <v>0.6</v>
      </c>
      <c r="J2256" s="103">
        <f t="shared" si="1"/>
        <v>0</v>
      </c>
      <c r="K2256" s="104" t="str">
        <f>IF(H2256&lt;0,"ERROR",IF(H2256=0,"",IF(H2256&lt;CONFIG!$B$4,"CRÍTICO",IF(H2256&lt;CONFIG!$B$5,"BAJO","OK"))))</f>
        <v/>
      </c>
    </row>
    <row r="2257" ht="15.75" hidden="1" customHeight="1">
      <c r="A2257" s="90" t="str">
        <f>IF(CLIENTES!A6="","",CLIENTES!A6)</f>
        <v/>
      </c>
      <c r="B2257" s="90" t="s">
        <v>331</v>
      </c>
      <c r="C2257" s="91" t="s">
        <v>328</v>
      </c>
      <c r="D2257" s="109" t="s">
        <v>364</v>
      </c>
      <c r="E2257" s="67" t="str">
        <f>COLORES!A7</f>
        <v>Azul</v>
      </c>
      <c r="F2257" s="67" t="str">
        <f>COLORES!B7</f>
        <v>OSCURO</v>
      </c>
      <c r="G2257" s="90" t="s">
        <v>376</v>
      </c>
      <c r="H2257" s="100">
        <f>IFERROR(SUMIFS(MOVIMIENTOS_COMPLEMENTOS!$I$4:$I$803,MOVIMIENTOS_COMPLEMENTOS!$C$4:$C$803,A2257,MOVIMIENTOS_COMPLEMENTOS!$D$4:$D$803,B2257,MOVIMIENTOS_COMPLEMENTOS!$E$4:$E$803,C2257,MOVIMIENTOS_COMPLEMENTOS!$F$4:$F$803,D2257,MOVIMIENTOS_COMPLEMENTOS!$G$4:$G$803,E2257,MOVIMIENTOS_COMPLEMENTOS!$H$4:$H$803,G2257,MOVIMIENTOS_COMPLEMENTOS!$B$4:$B$803,"INGRESO")+SUMIFS(MOVIMIENTOS_COMPLEMENTOS!$I$4:$I$803,MOVIMIENTOS_COMPLEMENTOS!$C$4:$C$803,A2257,MOVIMIENTOS_COMPLEMENTOS!$D$4:$D$803,B2257,MOVIMIENTOS_COMPLEMENTOS!$E$4:$E$803,C2257,MOVIMIENTOS_COMPLEMENTOS!$F$4:$F$803,D2257,MOVIMIENTOS_COMPLEMENTOS!$G$4:$G$803,E2257,MOVIMIENTOS_COMPLEMENTOS!$H$4:$H$803,G2257,MOVIMIENTOS_COMPLEMENTOS!$B$4:$B$803,"DE CORTE")-SUMIFS(MOVIMIENTOS_COMPLEMENTOS!$I$4:$I$803,MOVIMIENTOS_COMPLEMENTOS!$C$4:$C$803,A2257,MOVIMIENTOS_COMPLEMENTOS!$D$4:$D$803,B2257,MOVIMIENTOS_COMPLEMENTOS!$E$4:$E$803,C2257,MOVIMIENTOS_COMPLEMENTOS!$F$4:$F$803,D2257,MOVIMIENTOS_COMPLEMENTOS!$G$4:$G$803,E2257,MOVIMIENTOS_COMPLEMENTOS!$H$4:$H$803,G2257,MOVIMIENTOS_COMPLEMENTOS!$B$4:$B$803,"SALIDA"),0)</f>
        <v>0</v>
      </c>
      <c r="I2257" s="102">
        <f t="array" ref="I2257">IFERROR(INDEX(PRECIOS_COMPLEMENTOS!$C$4:$F$17,MATCH(B2257&amp;"_"&amp;C2257,PRECIOS_COMPLEMENTOS!$H$4:$H$17,0),IF(OR(G2257="S",G2257="20cm"),1,IF(OR(G2257="M",G2257="25cm"),2,IF(OR(G2257="L",G2257="30cm"),3,IF(OR(G2257="XL",G2257="35cm"),4,0))))),0)</f>
        <v>0.6</v>
      </c>
      <c r="J2257" s="103">
        <f t="shared" si="1"/>
        <v>0</v>
      </c>
      <c r="K2257" s="104" t="str">
        <f>IF(H2257&lt;0,"ERROR",IF(H2257=0,"",IF(H2257&lt;CONFIG!$B$4,"CRÍTICO",IF(H2257&lt;CONFIG!$B$5,"BAJO","OK"))))</f>
        <v/>
      </c>
    </row>
    <row r="2258" ht="15.75" hidden="1" customHeight="1">
      <c r="A2258" s="90" t="str">
        <f>IF(CLIENTES!A6="","",CLIENTES!A6)</f>
        <v/>
      </c>
      <c r="B2258" s="90" t="s">
        <v>331</v>
      </c>
      <c r="C2258" s="91" t="s">
        <v>328</v>
      </c>
      <c r="D2258" s="109" t="s">
        <v>364</v>
      </c>
      <c r="E2258" s="67" t="str">
        <f>COLORES!A7</f>
        <v>Azul</v>
      </c>
      <c r="F2258" s="67" t="str">
        <f>COLORES!B7</f>
        <v>OSCURO</v>
      </c>
      <c r="G2258" s="90" t="s">
        <v>377</v>
      </c>
      <c r="H2258" s="100">
        <f>IFERROR(SUMIFS(MOVIMIENTOS_COMPLEMENTOS!$I$4:$I$803,MOVIMIENTOS_COMPLEMENTOS!$C$4:$C$803,A2258,MOVIMIENTOS_COMPLEMENTOS!$D$4:$D$803,B2258,MOVIMIENTOS_COMPLEMENTOS!$E$4:$E$803,C2258,MOVIMIENTOS_COMPLEMENTOS!$F$4:$F$803,D2258,MOVIMIENTOS_COMPLEMENTOS!$G$4:$G$803,E2258,MOVIMIENTOS_COMPLEMENTOS!$H$4:$H$803,G2258,MOVIMIENTOS_COMPLEMENTOS!$B$4:$B$803,"INGRESO")+SUMIFS(MOVIMIENTOS_COMPLEMENTOS!$I$4:$I$803,MOVIMIENTOS_COMPLEMENTOS!$C$4:$C$803,A2258,MOVIMIENTOS_COMPLEMENTOS!$D$4:$D$803,B2258,MOVIMIENTOS_COMPLEMENTOS!$E$4:$E$803,C2258,MOVIMIENTOS_COMPLEMENTOS!$F$4:$F$803,D2258,MOVIMIENTOS_COMPLEMENTOS!$G$4:$G$803,E2258,MOVIMIENTOS_COMPLEMENTOS!$H$4:$H$803,G2258,MOVIMIENTOS_COMPLEMENTOS!$B$4:$B$803,"DE CORTE")-SUMIFS(MOVIMIENTOS_COMPLEMENTOS!$I$4:$I$803,MOVIMIENTOS_COMPLEMENTOS!$C$4:$C$803,A2258,MOVIMIENTOS_COMPLEMENTOS!$D$4:$D$803,B2258,MOVIMIENTOS_COMPLEMENTOS!$E$4:$E$803,C2258,MOVIMIENTOS_COMPLEMENTOS!$F$4:$F$803,D2258,MOVIMIENTOS_COMPLEMENTOS!$G$4:$G$803,E2258,MOVIMIENTOS_COMPLEMENTOS!$H$4:$H$803,G2258,MOVIMIENTOS_COMPLEMENTOS!$B$4:$B$803,"SALIDA"),0)</f>
        <v>0</v>
      </c>
      <c r="I2258" s="102">
        <f t="array" ref="I2258">IFERROR(INDEX(PRECIOS_COMPLEMENTOS!$C$4:$F$17,MATCH(B2258&amp;"_"&amp;C2258,PRECIOS_COMPLEMENTOS!$H$4:$H$17,0),IF(OR(G2258="S",G2258="20cm"),1,IF(OR(G2258="M",G2258="25cm"),2,IF(OR(G2258="L",G2258="30cm"),3,IF(OR(G2258="XL",G2258="35cm"),4,0))))),0)</f>
        <v>0.6</v>
      </c>
      <c r="J2258" s="103">
        <f t="shared" si="1"/>
        <v>0</v>
      </c>
      <c r="K2258" s="104" t="str">
        <f>IF(H2258&lt;0,"ERROR",IF(H2258=0,"",IF(H2258&lt;CONFIG!$B$4,"CRÍTICO",IF(H2258&lt;CONFIG!$B$5,"BAJO","OK"))))</f>
        <v/>
      </c>
    </row>
    <row r="2259" ht="15.75" hidden="1" customHeight="1">
      <c r="A2259" s="90" t="str">
        <f>IF(CLIENTES!A6="","",CLIENTES!A6)</f>
        <v/>
      </c>
      <c r="B2259" s="90" t="s">
        <v>331</v>
      </c>
      <c r="C2259" s="91" t="s">
        <v>328</v>
      </c>
      <c r="D2259" s="109" t="s">
        <v>364</v>
      </c>
      <c r="E2259" s="67" t="str">
        <f>COLORES!A7</f>
        <v>Azul</v>
      </c>
      <c r="F2259" s="67" t="str">
        <f>COLORES!B7</f>
        <v>OSCURO</v>
      </c>
      <c r="G2259" s="90" t="s">
        <v>379</v>
      </c>
      <c r="H2259" s="100">
        <f>IFERROR(SUMIFS(MOVIMIENTOS_COMPLEMENTOS!$I$4:$I$803,MOVIMIENTOS_COMPLEMENTOS!$C$4:$C$803,A2259,MOVIMIENTOS_COMPLEMENTOS!$D$4:$D$803,B2259,MOVIMIENTOS_COMPLEMENTOS!$E$4:$E$803,C2259,MOVIMIENTOS_COMPLEMENTOS!$F$4:$F$803,D2259,MOVIMIENTOS_COMPLEMENTOS!$G$4:$G$803,E2259,MOVIMIENTOS_COMPLEMENTOS!$H$4:$H$803,G2259,MOVIMIENTOS_COMPLEMENTOS!$B$4:$B$803,"INGRESO")+SUMIFS(MOVIMIENTOS_COMPLEMENTOS!$I$4:$I$803,MOVIMIENTOS_COMPLEMENTOS!$C$4:$C$803,A2259,MOVIMIENTOS_COMPLEMENTOS!$D$4:$D$803,B2259,MOVIMIENTOS_COMPLEMENTOS!$E$4:$E$803,C2259,MOVIMIENTOS_COMPLEMENTOS!$F$4:$F$803,D2259,MOVIMIENTOS_COMPLEMENTOS!$G$4:$G$803,E2259,MOVIMIENTOS_COMPLEMENTOS!$H$4:$H$803,G2259,MOVIMIENTOS_COMPLEMENTOS!$B$4:$B$803,"DE CORTE")-SUMIFS(MOVIMIENTOS_COMPLEMENTOS!$I$4:$I$803,MOVIMIENTOS_COMPLEMENTOS!$C$4:$C$803,A2259,MOVIMIENTOS_COMPLEMENTOS!$D$4:$D$803,B2259,MOVIMIENTOS_COMPLEMENTOS!$E$4:$E$803,C2259,MOVIMIENTOS_COMPLEMENTOS!$F$4:$F$803,D2259,MOVIMIENTOS_COMPLEMENTOS!$G$4:$G$803,E2259,MOVIMIENTOS_COMPLEMENTOS!$H$4:$H$803,G2259,MOVIMIENTOS_COMPLEMENTOS!$B$4:$B$803,"SALIDA"),0)</f>
        <v>0</v>
      </c>
      <c r="I2259" s="102">
        <f t="array" ref="I2259">IFERROR(INDEX(PRECIOS_COMPLEMENTOS!$C$4:$F$17,MATCH(B2259&amp;"_"&amp;C2259,PRECIOS_COMPLEMENTOS!$H$4:$H$17,0),IF(OR(G2259="S",G2259="20cm"),1,IF(OR(G2259="M",G2259="25cm"),2,IF(OR(G2259="L",G2259="30cm"),3,IF(OR(G2259="XL",G2259="35cm"),4,0))))),0)</f>
        <v>0.6</v>
      </c>
      <c r="J2259" s="103">
        <f t="shared" si="1"/>
        <v>0</v>
      </c>
      <c r="K2259" s="104" t="str">
        <f>IF(H2259&lt;0,"ERROR",IF(H2259=0,"",IF(H2259&lt;CONFIG!$B$4,"CRÍTICO",IF(H2259&lt;CONFIG!$B$5,"BAJO","OK"))))</f>
        <v/>
      </c>
    </row>
    <row r="2260" ht="15.75" hidden="1" customHeight="1">
      <c r="A2260" s="90" t="str">
        <f>IF(CLIENTES!A6="","",CLIENTES!A6)</f>
        <v/>
      </c>
      <c r="B2260" s="90" t="s">
        <v>331</v>
      </c>
      <c r="C2260" s="91" t="s">
        <v>328</v>
      </c>
      <c r="D2260" s="109" t="s">
        <v>364</v>
      </c>
      <c r="E2260" s="67" t="str">
        <f>COLORES!A8</f>
        <v>Beige</v>
      </c>
      <c r="F2260" s="67" t="str">
        <f>COLORES!B8</f>
        <v>CLARO</v>
      </c>
      <c r="G2260" s="90" t="s">
        <v>378</v>
      </c>
      <c r="H2260" s="100">
        <f>IFERROR(SUMIFS(MOVIMIENTOS_COMPLEMENTOS!$I$4:$I$803,MOVIMIENTOS_COMPLEMENTOS!$C$4:$C$803,A2260,MOVIMIENTOS_COMPLEMENTOS!$D$4:$D$803,B2260,MOVIMIENTOS_COMPLEMENTOS!$E$4:$E$803,C2260,MOVIMIENTOS_COMPLEMENTOS!$F$4:$F$803,D2260,MOVIMIENTOS_COMPLEMENTOS!$G$4:$G$803,E2260,MOVIMIENTOS_COMPLEMENTOS!$H$4:$H$803,G2260,MOVIMIENTOS_COMPLEMENTOS!$B$4:$B$803,"INGRESO")+SUMIFS(MOVIMIENTOS_COMPLEMENTOS!$I$4:$I$803,MOVIMIENTOS_COMPLEMENTOS!$C$4:$C$803,A2260,MOVIMIENTOS_COMPLEMENTOS!$D$4:$D$803,B2260,MOVIMIENTOS_COMPLEMENTOS!$E$4:$E$803,C2260,MOVIMIENTOS_COMPLEMENTOS!$F$4:$F$803,D2260,MOVIMIENTOS_COMPLEMENTOS!$G$4:$G$803,E2260,MOVIMIENTOS_COMPLEMENTOS!$H$4:$H$803,G2260,MOVIMIENTOS_COMPLEMENTOS!$B$4:$B$803,"DE CORTE")-SUMIFS(MOVIMIENTOS_COMPLEMENTOS!$I$4:$I$803,MOVIMIENTOS_COMPLEMENTOS!$C$4:$C$803,A2260,MOVIMIENTOS_COMPLEMENTOS!$D$4:$D$803,B2260,MOVIMIENTOS_COMPLEMENTOS!$E$4:$E$803,C2260,MOVIMIENTOS_COMPLEMENTOS!$F$4:$F$803,D2260,MOVIMIENTOS_COMPLEMENTOS!$G$4:$G$803,E2260,MOVIMIENTOS_COMPLEMENTOS!$H$4:$H$803,G2260,MOVIMIENTOS_COMPLEMENTOS!$B$4:$B$803,"SALIDA"),0)</f>
        <v>0</v>
      </c>
      <c r="I2260" s="102">
        <f t="array" ref="I2260">IFERROR(INDEX(PRECIOS_COMPLEMENTOS!$C$4:$F$17,MATCH(B2260&amp;"_"&amp;C2260,PRECIOS_COMPLEMENTOS!$H$4:$H$17,0),IF(OR(G2260="S",G2260="20cm"),1,IF(OR(G2260="M",G2260="25cm"),2,IF(OR(G2260="L",G2260="30cm"),3,IF(OR(G2260="XL",G2260="35cm"),4,0))))),0)</f>
        <v>0.6</v>
      </c>
      <c r="J2260" s="103">
        <f t="shared" si="1"/>
        <v>0</v>
      </c>
      <c r="K2260" s="104" t="str">
        <f>IF(H2260&lt;0,"ERROR",IF(H2260=0,"",IF(H2260&lt;CONFIG!$B$4,"CRÍTICO",IF(H2260&lt;CONFIG!$B$5,"BAJO","OK"))))</f>
        <v/>
      </c>
    </row>
    <row r="2261" ht="15.75" hidden="1" customHeight="1">
      <c r="A2261" s="90" t="str">
        <f>IF(CLIENTES!A6="","",CLIENTES!A6)</f>
        <v/>
      </c>
      <c r="B2261" s="90" t="s">
        <v>331</v>
      </c>
      <c r="C2261" s="91" t="s">
        <v>328</v>
      </c>
      <c r="D2261" s="109" t="s">
        <v>364</v>
      </c>
      <c r="E2261" s="67" t="str">
        <f>COLORES!A8</f>
        <v>Beige</v>
      </c>
      <c r="F2261" s="67" t="str">
        <f>COLORES!B8</f>
        <v>CLARO</v>
      </c>
      <c r="G2261" s="90" t="s">
        <v>376</v>
      </c>
      <c r="H2261" s="100">
        <f>IFERROR(SUMIFS(MOVIMIENTOS_COMPLEMENTOS!$I$4:$I$803,MOVIMIENTOS_COMPLEMENTOS!$C$4:$C$803,A2261,MOVIMIENTOS_COMPLEMENTOS!$D$4:$D$803,B2261,MOVIMIENTOS_COMPLEMENTOS!$E$4:$E$803,C2261,MOVIMIENTOS_COMPLEMENTOS!$F$4:$F$803,D2261,MOVIMIENTOS_COMPLEMENTOS!$G$4:$G$803,E2261,MOVIMIENTOS_COMPLEMENTOS!$H$4:$H$803,G2261,MOVIMIENTOS_COMPLEMENTOS!$B$4:$B$803,"INGRESO")+SUMIFS(MOVIMIENTOS_COMPLEMENTOS!$I$4:$I$803,MOVIMIENTOS_COMPLEMENTOS!$C$4:$C$803,A2261,MOVIMIENTOS_COMPLEMENTOS!$D$4:$D$803,B2261,MOVIMIENTOS_COMPLEMENTOS!$E$4:$E$803,C2261,MOVIMIENTOS_COMPLEMENTOS!$F$4:$F$803,D2261,MOVIMIENTOS_COMPLEMENTOS!$G$4:$G$803,E2261,MOVIMIENTOS_COMPLEMENTOS!$H$4:$H$803,G2261,MOVIMIENTOS_COMPLEMENTOS!$B$4:$B$803,"DE CORTE")-SUMIFS(MOVIMIENTOS_COMPLEMENTOS!$I$4:$I$803,MOVIMIENTOS_COMPLEMENTOS!$C$4:$C$803,A2261,MOVIMIENTOS_COMPLEMENTOS!$D$4:$D$803,B2261,MOVIMIENTOS_COMPLEMENTOS!$E$4:$E$803,C2261,MOVIMIENTOS_COMPLEMENTOS!$F$4:$F$803,D2261,MOVIMIENTOS_COMPLEMENTOS!$G$4:$G$803,E2261,MOVIMIENTOS_COMPLEMENTOS!$H$4:$H$803,G2261,MOVIMIENTOS_COMPLEMENTOS!$B$4:$B$803,"SALIDA"),0)</f>
        <v>0</v>
      </c>
      <c r="I2261" s="102">
        <f t="array" ref="I2261">IFERROR(INDEX(PRECIOS_COMPLEMENTOS!$C$4:$F$17,MATCH(B2261&amp;"_"&amp;C2261,PRECIOS_COMPLEMENTOS!$H$4:$H$17,0),IF(OR(G2261="S",G2261="20cm"),1,IF(OR(G2261="M",G2261="25cm"),2,IF(OR(G2261="L",G2261="30cm"),3,IF(OR(G2261="XL",G2261="35cm"),4,0))))),0)</f>
        <v>0.6</v>
      </c>
      <c r="J2261" s="103">
        <f t="shared" si="1"/>
        <v>0</v>
      </c>
      <c r="K2261" s="104" t="str">
        <f>IF(H2261&lt;0,"ERROR",IF(H2261=0,"",IF(H2261&lt;CONFIG!$B$4,"CRÍTICO",IF(H2261&lt;CONFIG!$B$5,"BAJO","OK"))))</f>
        <v/>
      </c>
    </row>
    <row r="2262" ht="15.75" hidden="1" customHeight="1">
      <c r="A2262" s="90" t="str">
        <f>IF(CLIENTES!A6="","",CLIENTES!A6)</f>
        <v/>
      </c>
      <c r="B2262" s="90" t="s">
        <v>331</v>
      </c>
      <c r="C2262" s="91" t="s">
        <v>328</v>
      </c>
      <c r="D2262" s="109" t="s">
        <v>364</v>
      </c>
      <c r="E2262" s="67" t="str">
        <f>COLORES!A8</f>
        <v>Beige</v>
      </c>
      <c r="F2262" s="67" t="str">
        <f>COLORES!B8</f>
        <v>CLARO</v>
      </c>
      <c r="G2262" s="90" t="s">
        <v>377</v>
      </c>
      <c r="H2262" s="100">
        <f>IFERROR(SUMIFS(MOVIMIENTOS_COMPLEMENTOS!$I$4:$I$803,MOVIMIENTOS_COMPLEMENTOS!$C$4:$C$803,A2262,MOVIMIENTOS_COMPLEMENTOS!$D$4:$D$803,B2262,MOVIMIENTOS_COMPLEMENTOS!$E$4:$E$803,C2262,MOVIMIENTOS_COMPLEMENTOS!$F$4:$F$803,D2262,MOVIMIENTOS_COMPLEMENTOS!$G$4:$G$803,E2262,MOVIMIENTOS_COMPLEMENTOS!$H$4:$H$803,G2262,MOVIMIENTOS_COMPLEMENTOS!$B$4:$B$803,"INGRESO")+SUMIFS(MOVIMIENTOS_COMPLEMENTOS!$I$4:$I$803,MOVIMIENTOS_COMPLEMENTOS!$C$4:$C$803,A2262,MOVIMIENTOS_COMPLEMENTOS!$D$4:$D$803,B2262,MOVIMIENTOS_COMPLEMENTOS!$E$4:$E$803,C2262,MOVIMIENTOS_COMPLEMENTOS!$F$4:$F$803,D2262,MOVIMIENTOS_COMPLEMENTOS!$G$4:$G$803,E2262,MOVIMIENTOS_COMPLEMENTOS!$H$4:$H$803,G2262,MOVIMIENTOS_COMPLEMENTOS!$B$4:$B$803,"DE CORTE")-SUMIFS(MOVIMIENTOS_COMPLEMENTOS!$I$4:$I$803,MOVIMIENTOS_COMPLEMENTOS!$C$4:$C$803,A2262,MOVIMIENTOS_COMPLEMENTOS!$D$4:$D$803,B2262,MOVIMIENTOS_COMPLEMENTOS!$E$4:$E$803,C2262,MOVIMIENTOS_COMPLEMENTOS!$F$4:$F$803,D2262,MOVIMIENTOS_COMPLEMENTOS!$G$4:$G$803,E2262,MOVIMIENTOS_COMPLEMENTOS!$H$4:$H$803,G2262,MOVIMIENTOS_COMPLEMENTOS!$B$4:$B$803,"SALIDA"),0)</f>
        <v>0</v>
      </c>
      <c r="I2262" s="102">
        <f t="array" ref="I2262">IFERROR(INDEX(PRECIOS_COMPLEMENTOS!$C$4:$F$17,MATCH(B2262&amp;"_"&amp;C2262,PRECIOS_COMPLEMENTOS!$H$4:$H$17,0),IF(OR(G2262="S",G2262="20cm"),1,IF(OR(G2262="M",G2262="25cm"),2,IF(OR(G2262="L",G2262="30cm"),3,IF(OR(G2262="XL",G2262="35cm"),4,0))))),0)</f>
        <v>0.6</v>
      </c>
      <c r="J2262" s="103">
        <f t="shared" si="1"/>
        <v>0</v>
      </c>
      <c r="K2262" s="104" t="str">
        <f>IF(H2262&lt;0,"ERROR",IF(H2262=0,"",IF(H2262&lt;CONFIG!$B$4,"CRÍTICO",IF(H2262&lt;CONFIG!$B$5,"BAJO","OK"))))</f>
        <v/>
      </c>
    </row>
    <row r="2263" ht="15.75" hidden="1" customHeight="1">
      <c r="A2263" s="90" t="str">
        <f>IF(CLIENTES!A6="","",CLIENTES!A6)</f>
        <v/>
      </c>
      <c r="B2263" s="90" t="s">
        <v>331</v>
      </c>
      <c r="C2263" s="91" t="s">
        <v>328</v>
      </c>
      <c r="D2263" s="109" t="s">
        <v>364</v>
      </c>
      <c r="E2263" s="67" t="str">
        <f>COLORES!A8</f>
        <v>Beige</v>
      </c>
      <c r="F2263" s="67" t="str">
        <f>COLORES!B8</f>
        <v>CLARO</v>
      </c>
      <c r="G2263" s="90" t="s">
        <v>379</v>
      </c>
      <c r="H2263" s="100">
        <f>IFERROR(SUMIFS(MOVIMIENTOS_COMPLEMENTOS!$I$4:$I$803,MOVIMIENTOS_COMPLEMENTOS!$C$4:$C$803,A2263,MOVIMIENTOS_COMPLEMENTOS!$D$4:$D$803,B2263,MOVIMIENTOS_COMPLEMENTOS!$E$4:$E$803,C2263,MOVIMIENTOS_COMPLEMENTOS!$F$4:$F$803,D2263,MOVIMIENTOS_COMPLEMENTOS!$G$4:$G$803,E2263,MOVIMIENTOS_COMPLEMENTOS!$H$4:$H$803,G2263,MOVIMIENTOS_COMPLEMENTOS!$B$4:$B$803,"INGRESO")+SUMIFS(MOVIMIENTOS_COMPLEMENTOS!$I$4:$I$803,MOVIMIENTOS_COMPLEMENTOS!$C$4:$C$803,A2263,MOVIMIENTOS_COMPLEMENTOS!$D$4:$D$803,B2263,MOVIMIENTOS_COMPLEMENTOS!$E$4:$E$803,C2263,MOVIMIENTOS_COMPLEMENTOS!$F$4:$F$803,D2263,MOVIMIENTOS_COMPLEMENTOS!$G$4:$G$803,E2263,MOVIMIENTOS_COMPLEMENTOS!$H$4:$H$803,G2263,MOVIMIENTOS_COMPLEMENTOS!$B$4:$B$803,"DE CORTE")-SUMIFS(MOVIMIENTOS_COMPLEMENTOS!$I$4:$I$803,MOVIMIENTOS_COMPLEMENTOS!$C$4:$C$803,A2263,MOVIMIENTOS_COMPLEMENTOS!$D$4:$D$803,B2263,MOVIMIENTOS_COMPLEMENTOS!$E$4:$E$803,C2263,MOVIMIENTOS_COMPLEMENTOS!$F$4:$F$803,D2263,MOVIMIENTOS_COMPLEMENTOS!$G$4:$G$803,E2263,MOVIMIENTOS_COMPLEMENTOS!$H$4:$H$803,G2263,MOVIMIENTOS_COMPLEMENTOS!$B$4:$B$803,"SALIDA"),0)</f>
        <v>0</v>
      </c>
      <c r="I2263" s="102">
        <f t="array" ref="I2263">IFERROR(INDEX(PRECIOS_COMPLEMENTOS!$C$4:$F$17,MATCH(B2263&amp;"_"&amp;C2263,PRECIOS_COMPLEMENTOS!$H$4:$H$17,0),IF(OR(G2263="S",G2263="20cm"),1,IF(OR(G2263="M",G2263="25cm"),2,IF(OR(G2263="L",G2263="30cm"),3,IF(OR(G2263="XL",G2263="35cm"),4,0))))),0)</f>
        <v>0.6</v>
      </c>
      <c r="J2263" s="103">
        <f t="shared" si="1"/>
        <v>0</v>
      </c>
      <c r="K2263" s="104" t="str">
        <f>IF(H2263&lt;0,"ERROR",IF(H2263=0,"",IF(H2263&lt;CONFIG!$B$4,"CRÍTICO",IF(H2263&lt;CONFIG!$B$5,"BAJO","OK"))))</f>
        <v/>
      </c>
    </row>
    <row r="2264" ht="15.75" hidden="1" customHeight="1">
      <c r="A2264" s="90" t="str">
        <f>IF(CLIENTES!A6="","",CLIENTES!A6)</f>
        <v/>
      </c>
      <c r="B2264" s="90" t="s">
        <v>331</v>
      </c>
      <c r="C2264" s="91" t="s">
        <v>328</v>
      </c>
      <c r="D2264" s="109" t="s">
        <v>364</v>
      </c>
      <c r="E2264" s="67" t="str">
        <f>COLORES!A9</f>
        <v>Melange</v>
      </c>
      <c r="F2264" s="67" t="str">
        <f>COLORES!B9</f>
        <v>MELANGE</v>
      </c>
      <c r="G2264" s="90" t="s">
        <v>378</v>
      </c>
      <c r="H2264" s="100">
        <f>IFERROR(SUMIFS(MOVIMIENTOS_COMPLEMENTOS!$I$4:$I$803,MOVIMIENTOS_COMPLEMENTOS!$C$4:$C$803,A2264,MOVIMIENTOS_COMPLEMENTOS!$D$4:$D$803,B2264,MOVIMIENTOS_COMPLEMENTOS!$E$4:$E$803,C2264,MOVIMIENTOS_COMPLEMENTOS!$F$4:$F$803,D2264,MOVIMIENTOS_COMPLEMENTOS!$G$4:$G$803,E2264,MOVIMIENTOS_COMPLEMENTOS!$H$4:$H$803,G2264,MOVIMIENTOS_COMPLEMENTOS!$B$4:$B$803,"INGRESO")+SUMIFS(MOVIMIENTOS_COMPLEMENTOS!$I$4:$I$803,MOVIMIENTOS_COMPLEMENTOS!$C$4:$C$803,A2264,MOVIMIENTOS_COMPLEMENTOS!$D$4:$D$803,B2264,MOVIMIENTOS_COMPLEMENTOS!$E$4:$E$803,C2264,MOVIMIENTOS_COMPLEMENTOS!$F$4:$F$803,D2264,MOVIMIENTOS_COMPLEMENTOS!$G$4:$G$803,E2264,MOVIMIENTOS_COMPLEMENTOS!$H$4:$H$803,G2264,MOVIMIENTOS_COMPLEMENTOS!$B$4:$B$803,"DE CORTE")-SUMIFS(MOVIMIENTOS_COMPLEMENTOS!$I$4:$I$803,MOVIMIENTOS_COMPLEMENTOS!$C$4:$C$803,A2264,MOVIMIENTOS_COMPLEMENTOS!$D$4:$D$803,B2264,MOVIMIENTOS_COMPLEMENTOS!$E$4:$E$803,C2264,MOVIMIENTOS_COMPLEMENTOS!$F$4:$F$803,D2264,MOVIMIENTOS_COMPLEMENTOS!$G$4:$G$803,E2264,MOVIMIENTOS_COMPLEMENTOS!$H$4:$H$803,G2264,MOVIMIENTOS_COMPLEMENTOS!$B$4:$B$803,"SALIDA"),0)</f>
        <v>0</v>
      </c>
      <c r="I2264" s="102">
        <f t="array" ref="I2264">IFERROR(INDEX(PRECIOS_COMPLEMENTOS!$C$4:$F$17,MATCH(B2264&amp;"_"&amp;C2264,PRECIOS_COMPLEMENTOS!$H$4:$H$17,0),IF(OR(G2264="S",G2264="20cm"),1,IF(OR(G2264="M",G2264="25cm"),2,IF(OR(G2264="L",G2264="30cm"),3,IF(OR(G2264="XL",G2264="35cm"),4,0))))),0)</f>
        <v>0.6</v>
      </c>
      <c r="J2264" s="103">
        <f t="shared" si="1"/>
        <v>0</v>
      </c>
      <c r="K2264" s="104" t="str">
        <f>IF(H2264&lt;0,"ERROR",IF(H2264=0,"",IF(H2264&lt;CONFIG!$B$4,"CRÍTICO",IF(H2264&lt;CONFIG!$B$5,"BAJO","OK"))))</f>
        <v/>
      </c>
    </row>
    <row r="2265" ht="15.75" hidden="1" customHeight="1">
      <c r="A2265" s="90" t="str">
        <f>IF(CLIENTES!A6="","",CLIENTES!A6)</f>
        <v/>
      </c>
      <c r="B2265" s="90" t="s">
        <v>331</v>
      </c>
      <c r="C2265" s="91" t="s">
        <v>328</v>
      </c>
      <c r="D2265" s="109" t="s">
        <v>364</v>
      </c>
      <c r="E2265" s="67" t="str">
        <f>COLORES!A9</f>
        <v>Melange</v>
      </c>
      <c r="F2265" s="67" t="str">
        <f>COLORES!B9</f>
        <v>MELANGE</v>
      </c>
      <c r="G2265" s="90" t="s">
        <v>376</v>
      </c>
      <c r="H2265" s="100">
        <f>IFERROR(SUMIFS(MOVIMIENTOS_COMPLEMENTOS!$I$4:$I$803,MOVIMIENTOS_COMPLEMENTOS!$C$4:$C$803,A2265,MOVIMIENTOS_COMPLEMENTOS!$D$4:$D$803,B2265,MOVIMIENTOS_COMPLEMENTOS!$E$4:$E$803,C2265,MOVIMIENTOS_COMPLEMENTOS!$F$4:$F$803,D2265,MOVIMIENTOS_COMPLEMENTOS!$G$4:$G$803,E2265,MOVIMIENTOS_COMPLEMENTOS!$H$4:$H$803,G2265,MOVIMIENTOS_COMPLEMENTOS!$B$4:$B$803,"INGRESO")+SUMIFS(MOVIMIENTOS_COMPLEMENTOS!$I$4:$I$803,MOVIMIENTOS_COMPLEMENTOS!$C$4:$C$803,A2265,MOVIMIENTOS_COMPLEMENTOS!$D$4:$D$803,B2265,MOVIMIENTOS_COMPLEMENTOS!$E$4:$E$803,C2265,MOVIMIENTOS_COMPLEMENTOS!$F$4:$F$803,D2265,MOVIMIENTOS_COMPLEMENTOS!$G$4:$G$803,E2265,MOVIMIENTOS_COMPLEMENTOS!$H$4:$H$803,G2265,MOVIMIENTOS_COMPLEMENTOS!$B$4:$B$803,"DE CORTE")-SUMIFS(MOVIMIENTOS_COMPLEMENTOS!$I$4:$I$803,MOVIMIENTOS_COMPLEMENTOS!$C$4:$C$803,A2265,MOVIMIENTOS_COMPLEMENTOS!$D$4:$D$803,B2265,MOVIMIENTOS_COMPLEMENTOS!$E$4:$E$803,C2265,MOVIMIENTOS_COMPLEMENTOS!$F$4:$F$803,D2265,MOVIMIENTOS_COMPLEMENTOS!$G$4:$G$803,E2265,MOVIMIENTOS_COMPLEMENTOS!$H$4:$H$803,G2265,MOVIMIENTOS_COMPLEMENTOS!$B$4:$B$803,"SALIDA"),0)</f>
        <v>0</v>
      </c>
      <c r="I2265" s="102">
        <f t="array" ref="I2265">IFERROR(INDEX(PRECIOS_COMPLEMENTOS!$C$4:$F$17,MATCH(B2265&amp;"_"&amp;C2265,PRECIOS_COMPLEMENTOS!$H$4:$H$17,0),IF(OR(G2265="S",G2265="20cm"),1,IF(OR(G2265="M",G2265="25cm"),2,IF(OR(G2265="L",G2265="30cm"),3,IF(OR(G2265="XL",G2265="35cm"),4,0))))),0)</f>
        <v>0.6</v>
      </c>
      <c r="J2265" s="103">
        <f t="shared" si="1"/>
        <v>0</v>
      </c>
      <c r="K2265" s="104" t="str">
        <f>IF(H2265&lt;0,"ERROR",IF(H2265=0,"",IF(H2265&lt;CONFIG!$B$4,"CRÍTICO",IF(H2265&lt;CONFIG!$B$5,"BAJO","OK"))))</f>
        <v/>
      </c>
    </row>
    <row r="2266" ht="15.75" hidden="1" customHeight="1">
      <c r="A2266" s="90" t="str">
        <f>IF(CLIENTES!A6="","",CLIENTES!A6)</f>
        <v/>
      </c>
      <c r="B2266" s="90" t="s">
        <v>331</v>
      </c>
      <c r="C2266" s="91" t="s">
        <v>328</v>
      </c>
      <c r="D2266" s="109" t="s">
        <v>364</v>
      </c>
      <c r="E2266" s="67" t="str">
        <f>COLORES!A9</f>
        <v>Melange</v>
      </c>
      <c r="F2266" s="67" t="str">
        <f>COLORES!B9</f>
        <v>MELANGE</v>
      </c>
      <c r="G2266" s="90" t="s">
        <v>377</v>
      </c>
      <c r="H2266" s="100">
        <f>IFERROR(SUMIFS(MOVIMIENTOS_COMPLEMENTOS!$I$4:$I$803,MOVIMIENTOS_COMPLEMENTOS!$C$4:$C$803,A2266,MOVIMIENTOS_COMPLEMENTOS!$D$4:$D$803,B2266,MOVIMIENTOS_COMPLEMENTOS!$E$4:$E$803,C2266,MOVIMIENTOS_COMPLEMENTOS!$F$4:$F$803,D2266,MOVIMIENTOS_COMPLEMENTOS!$G$4:$G$803,E2266,MOVIMIENTOS_COMPLEMENTOS!$H$4:$H$803,G2266,MOVIMIENTOS_COMPLEMENTOS!$B$4:$B$803,"INGRESO")+SUMIFS(MOVIMIENTOS_COMPLEMENTOS!$I$4:$I$803,MOVIMIENTOS_COMPLEMENTOS!$C$4:$C$803,A2266,MOVIMIENTOS_COMPLEMENTOS!$D$4:$D$803,B2266,MOVIMIENTOS_COMPLEMENTOS!$E$4:$E$803,C2266,MOVIMIENTOS_COMPLEMENTOS!$F$4:$F$803,D2266,MOVIMIENTOS_COMPLEMENTOS!$G$4:$G$803,E2266,MOVIMIENTOS_COMPLEMENTOS!$H$4:$H$803,G2266,MOVIMIENTOS_COMPLEMENTOS!$B$4:$B$803,"DE CORTE")-SUMIFS(MOVIMIENTOS_COMPLEMENTOS!$I$4:$I$803,MOVIMIENTOS_COMPLEMENTOS!$C$4:$C$803,A2266,MOVIMIENTOS_COMPLEMENTOS!$D$4:$D$803,B2266,MOVIMIENTOS_COMPLEMENTOS!$E$4:$E$803,C2266,MOVIMIENTOS_COMPLEMENTOS!$F$4:$F$803,D2266,MOVIMIENTOS_COMPLEMENTOS!$G$4:$G$803,E2266,MOVIMIENTOS_COMPLEMENTOS!$H$4:$H$803,G2266,MOVIMIENTOS_COMPLEMENTOS!$B$4:$B$803,"SALIDA"),0)</f>
        <v>0</v>
      </c>
      <c r="I2266" s="102">
        <f t="array" ref="I2266">IFERROR(INDEX(PRECIOS_COMPLEMENTOS!$C$4:$F$17,MATCH(B2266&amp;"_"&amp;C2266,PRECIOS_COMPLEMENTOS!$H$4:$H$17,0),IF(OR(G2266="S",G2266="20cm"),1,IF(OR(G2266="M",G2266="25cm"),2,IF(OR(G2266="L",G2266="30cm"),3,IF(OR(G2266="XL",G2266="35cm"),4,0))))),0)</f>
        <v>0.6</v>
      </c>
      <c r="J2266" s="103">
        <f t="shared" si="1"/>
        <v>0</v>
      </c>
      <c r="K2266" s="104" t="str">
        <f>IF(H2266&lt;0,"ERROR",IF(H2266=0,"",IF(H2266&lt;CONFIG!$B$4,"CRÍTICO",IF(H2266&lt;CONFIG!$B$5,"BAJO","OK"))))</f>
        <v/>
      </c>
    </row>
    <row r="2267" ht="15.75" hidden="1" customHeight="1">
      <c r="A2267" s="90" t="str">
        <f>IF(CLIENTES!A6="","",CLIENTES!A6)</f>
        <v/>
      </c>
      <c r="B2267" s="90" t="s">
        <v>331</v>
      </c>
      <c r="C2267" s="91" t="s">
        <v>328</v>
      </c>
      <c r="D2267" s="109" t="s">
        <v>364</v>
      </c>
      <c r="E2267" s="67" t="str">
        <f>COLORES!A9</f>
        <v>Melange</v>
      </c>
      <c r="F2267" s="67" t="str">
        <f>COLORES!B9</f>
        <v>MELANGE</v>
      </c>
      <c r="G2267" s="90" t="s">
        <v>379</v>
      </c>
      <c r="H2267" s="100">
        <f>IFERROR(SUMIFS(MOVIMIENTOS_COMPLEMENTOS!$I$4:$I$803,MOVIMIENTOS_COMPLEMENTOS!$C$4:$C$803,A2267,MOVIMIENTOS_COMPLEMENTOS!$D$4:$D$803,B2267,MOVIMIENTOS_COMPLEMENTOS!$E$4:$E$803,C2267,MOVIMIENTOS_COMPLEMENTOS!$F$4:$F$803,D2267,MOVIMIENTOS_COMPLEMENTOS!$G$4:$G$803,E2267,MOVIMIENTOS_COMPLEMENTOS!$H$4:$H$803,G2267,MOVIMIENTOS_COMPLEMENTOS!$B$4:$B$803,"INGRESO")+SUMIFS(MOVIMIENTOS_COMPLEMENTOS!$I$4:$I$803,MOVIMIENTOS_COMPLEMENTOS!$C$4:$C$803,A2267,MOVIMIENTOS_COMPLEMENTOS!$D$4:$D$803,B2267,MOVIMIENTOS_COMPLEMENTOS!$E$4:$E$803,C2267,MOVIMIENTOS_COMPLEMENTOS!$F$4:$F$803,D2267,MOVIMIENTOS_COMPLEMENTOS!$G$4:$G$803,E2267,MOVIMIENTOS_COMPLEMENTOS!$H$4:$H$803,G2267,MOVIMIENTOS_COMPLEMENTOS!$B$4:$B$803,"DE CORTE")-SUMIFS(MOVIMIENTOS_COMPLEMENTOS!$I$4:$I$803,MOVIMIENTOS_COMPLEMENTOS!$C$4:$C$803,A2267,MOVIMIENTOS_COMPLEMENTOS!$D$4:$D$803,B2267,MOVIMIENTOS_COMPLEMENTOS!$E$4:$E$803,C2267,MOVIMIENTOS_COMPLEMENTOS!$F$4:$F$803,D2267,MOVIMIENTOS_COMPLEMENTOS!$G$4:$G$803,E2267,MOVIMIENTOS_COMPLEMENTOS!$H$4:$H$803,G2267,MOVIMIENTOS_COMPLEMENTOS!$B$4:$B$803,"SALIDA"),0)</f>
        <v>0</v>
      </c>
      <c r="I2267" s="102">
        <f t="array" ref="I2267">IFERROR(INDEX(PRECIOS_COMPLEMENTOS!$C$4:$F$17,MATCH(B2267&amp;"_"&amp;C2267,PRECIOS_COMPLEMENTOS!$H$4:$H$17,0),IF(OR(G2267="S",G2267="20cm"),1,IF(OR(G2267="M",G2267="25cm"),2,IF(OR(G2267="L",G2267="30cm"),3,IF(OR(G2267="XL",G2267="35cm"),4,0))))),0)</f>
        <v>0.6</v>
      </c>
      <c r="J2267" s="103">
        <f t="shared" si="1"/>
        <v>0</v>
      </c>
      <c r="K2267" s="104" t="str">
        <f>IF(H2267&lt;0,"ERROR",IF(H2267=0,"",IF(H2267&lt;CONFIG!$B$4,"CRÍTICO",IF(H2267&lt;CONFIG!$B$5,"BAJO","OK"))))</f>
        <v/>
      </c>
    </row>
    <row r="2268" ht="15.75" hidden="1" customHeight="1">
      <c r="A2268" s="90" t="str">
        <f>IF(CLIENTES!A6="","",CLIENTES!A6)</f>
        <v/>
      </c>
      <c r="B2268" s="90" t="s">
        <v>331</v>
      </c>
      <c r="C2268" s="91" t="s">
        <v>328</v>
      </c>
      <c r="D2268" s="109" t="s">
        <v>364</v>
      </c>
      <c r="E2268" s="67" t="str">
        <f>COLORES!A10</f>
        <v>Botella</v>
      </c>
      <c r="F2268" s="67" t="str">
        <f>COLORES!B10</f>
        <v>OSCURO</v>
      </c>
      <c r="G2268" s="90" t="s">
        <v>378</v>
      </c>
      <c r="H2268" s="100">
        <f>IFERROR(SUMIFS(MOVIMIENTOS_COMPLEMENTOS!$I$4:$I$803,MOVIMIENTOS_COMPLEMENTOS!$C$4:$C$803,A2268,MOVIMIENTOS_COMPLEMENTOS!$D$4:$D$803,B2268,MOVIMIENTOS_COMPLEMENTOS!$E$4:$E$803,C2268,MOVIMIENTOS_COMPLEMENTOS!$F$4:$F$803,D2268,MOVIMIENTOS_COMPLEMENTOS!$G$4:$G$803,E2268,MOVIMIENTOS_COMPLEMENTOS!$H$4:$H$803,G2268,MOVIMIENTOS_COMPLEMENTOS!$B$4:$B$803,"INGRESO")+SUMIFS(MOVIMIENTOS_COMPLEMENTOS!$I$4:$I$803,MOVIMIENTOS_COMPLEMENTOS!$C$4:$C$803,A2268,MOVIMIENTOS_COMPLEMENTOS!$D$4:$D$803,B2268,MOVIMIENTOS_COMPLEMENTOS!$E$4:$E$803,C2268,MOVIMIENTOS_COMPLEMENTOS!$F$4:$F$803,D2268,MOVIMIENTOS_COMPLEMENTOS!$G$4:$G$803,E2268,MOVIMIENTOS_COMPLEMENTOS!$H$4:$H$803,G2268,MOVIMIENTOS_COMPLEMENTOS!$B$4:$B$803,"DE CORTE")-SUMIFS(MOVIMIENTOS_COMPLEMENTOS!$I$4:$I$803,MOVIMIENTOS_COMPLEMENTOS!$C$4:$C$803,A2268,MOVIMIENTOS_COMPLEMENTOS!$D$4:$D$803,B2268,MOVIMIENTOS_COMPLEMENTOS!$E$4:$E$803,C2268,MOVIMIENTOS_COMPLEMENTOS!$F$4:$F$803,D2268,MOVIMIENTOS_COMPLEMENTOS!$G$4:$G$803,E2268,MOVIMIENTOS_COMPLEMENTOS!$H$4:$H$803,G2268,MOVIMIENTOS_COMPLEMENTOS!$B$4:$B$803,"SALIDA"),0)</f>
        <v>0</v>
      </c>
      <c r="I2268" s="102">
        <f t="array" ref="I2268">IFERROR(INDEX(PRECIOS_COMPLEMENTOS!$C$4:$F$17,MATCH(B2268&amp;"_"&amp;C2268,PRECIOS_COMPLEMENTOS!$H$4:$H$17,0),IF(OR(G2268="S",G2268="20cm"),1,IF(OR(G2268="M",G2268="25cm"),2,IF(OR(G2268="L",G2268="30cm"),3,IF(OR(G2268="XL",G2268="35cm"),4,0))))),0)</f>
        <v>0.6</v>
      </c>
      <c r="J2268" s="103">
        <f t="shared" si="1"/>
        <v>0</v>
      </c>
      <c r="K2268" s="104" t="str">
        <f>IF(H2268&lt;0,"ERROR",IF(H2268=0,"",IF(H2268&lt;CONFIG!$B$4,"CRÍTICO",IF(H2268&lt;CONFIG!$B$5,"BAJO","OK"))))</f>
        <v/>
      </c>
    </row>
    <row r="2269" ht="15.75" hidden="1" customHeight="1">
      <c r="A2269" s="90" t="str">
        <f>IF(CLIENTES!A6="","",CLIENTES!A6)</f>
        <v/>
      </c>
      <c r="B2269" s="90" t="s">
        <v>331</v>
      </c>
      <c r="C2269" s="91" t="s">
        <v>328</v>
      </c>
      <c r="D2269" s="109" t="s">
        <v>364</v>
      </c>
      <c r="E2269" s="67" t="str">
        <f>COLORES!A10</f>
        <v>Botella</v>
      </c>
      <c r="F2269" s="67" t="str">
        <f>COLORES!B10</f>
        <v>OSCURO</v>
      </c>
      <c r="G2269" s="90" t="s">
        <v>376</v>
      </c>
      <c r="H2269" s="100">
        <f>IFERROR(SUMIFS(MOVIMIENTOS_COMPLEMENTOS!$I$4:$I$803,MOVIMIENTOS_COMPLEMENTOS!$C$4:$C$803,A2269,MOVIMIENTOS_COMPLEMENTOS!$D$4:$D$803,B2269,MOVIMIENTOS_COMPLEMENTOS!$E$4:$E$803,C2269,MOVIMIENTOS_COMPLEMENTOS!$F$4:$F$803,D2269,MOVIMIENTOS_COMPLEMENTOS!$G$4:$G$803,E2269,MOVIMIENTOS_COMPLEMENTOS!$H$4:$H$803,G2269,MOVIMIENTOS_COMPLEMENTOS!$B$4:$B$803,"INGRESO")+SUMIFS(MOVIMIENTOS_COMPLEMENTOS!$I$4:$I$803,MOVIMIENTOS_COMPLEMENTOS!$C$4:$C$803,A2269,MOVIMIENTOS_COMPLEMENTOS!$D$4:$D$803,B2269,MOVIMIENTOS_COMPLEMENTOS!$E$4:$E$803,C2269,MOVIMIENTOS_COMPLEMENTOS!$F$4:$F$803,D2269,MOVIMIENTOS_COMPLEMENTOS!$G$4:$G$803,E2269,MOVIMIENTOS_COMPLEMENTOS!$H$4:$H$803,G2269,MOVIMIENTOS_COMPLEMENTOS!$B$4:$B$803,"DE CORTE")-SUMIFS(MOVIMIENTOS_COMPLEMENTOS!$I$4:$I$803,MOVIMIENTOS_COMPLEMENTOS!$C$4:$C$803,A2269,MOVIMIENTOS_COMPLEMENTOS!$D$4:$D$803,B2269,MOVIMIENTOS_COMPLEMENTOS!$E$4:$E$803,C2269,MOVIMIENTOS_COMPLEMENTOS!$F$4:$F$803,D2269,MOVIMIENTOS_COMPLEMENTOS!$G$4:$G$803,E2269,MOVIMIENTOS_COMPLEMENTOS!$H$4:$H$803,G2269,MOVIMIENTOS_COMPLEMENTOS!$B$4:$B$803,"SALIDA"),0)</f>
        <v>0</v>
      </c>
      <c r="I2269" s="102">
        <f t="array" ref="I2269">IFERROR(INDEX(PRECIOS_COMPLEMENTOS!$C$4:$F$17,MATCH(B2269&amp;"_"&amp;C2269,PRECIOS_COMPLEMENTOS!$H$4:$H$17,0),IF(OR(G2269="S",G2269="20cm"),1,IF(OR(G2269="M",G2269="25cm"),2,IF(OR(G2269="L",G2269="30cm"),3,IF(OR(G2269="XL",G2269="35cm"),4,0))))),0)</f>
        <v>0.6</v>
      </c>
      <c r="J2269" s="103">
        <f t="shared" si="1"/>
        <v>0</v>
      </c>
      <c r="K2269" s="104" t="str">
        <f>IF(H2269&lt;0,"ERROR",IF(H2269=0,"",IF(H2269&lt;CONFIG!$B$4,"CRÍTICO",IF(H2269&lt;CONFIG!$B$5,"BAJO","OK"))))</f>
        <v/>
      </c>
    </row>
    <row r="2270" ht="15.75" hidden="1" customHeight="1">
      <c r="A2270" s="90" t="str">
        <f>IF(CLIENTES!A6="","",CLIENTES!A6)</f>
        <v/>
      </c>
      <c r="B2270" s="90" t="s">
        <v>331</v>
      </c>
      <c r="C2270" s="91" t="s">
        <v>328</v>
      </c>
      <c r="D2270" s="109" t="s">
        <v>364</v>
      </c>
      <c r="E2270" s="67" t="str">
        <f>COLORES!A10</f>
        <v>Botella</v>
      </c>
      <c r="F2270" s="67" t="str">
        <f>COLORES!B10</f>
        <v>OSCURO</v>
      </c>
      <c r="G2270" s="90" t="s">
        <v>377</v>
      </c>
      <c r="H2270" s="100">
        <f>IFERROR(SUMIFS(MOVIMIENTOS_COMPLEMENTOS!$I$4:$I$803,MOVIMIENTOS_COMPLEMENTOS!$C$4:$C$803,A2270,MOVIMIENTOS_COMPLEMENTOS!$D$4:$D$803,B2270,MOVIMIENTOS_COMPLEMENTOS!$E$4:$E$803,C2270,MOVIMIENTOS_COMPLEMENTOS!$F$4:$F$803,D2270,MOVIMIENTOS_COMPLEMENTOS!$G$4:$G$803,E2270,MOVIMIENTOS_COMPLEMENTOS!$H$4:$H$803,G2270,MOVIMIENTOS_COMPLEMENTOS!$B$4:$B$803,"INGRESO")+SUMIFS(MOVIMIENTOS_COMPLEMENTOS!$I$4:$I$803,MOVIMIENTOS_COMPLEMENTOS!$C$4:$C$803,A2270,MOVIMIENTOS_COMPLEMENTOS!$D$4:$D$803,B2270,MOVIMIENTOS_COMPLEMENTOS!$E$4:$E$803,C2270,MOVIMIENTOS_COMPLEMENTOS!$F$4:$F$803,D2270,MOVIMIENTOS_COMPLEMENTOS!$G$4:$G$803,E2270,MOVIMIENTOS_COMPLEMENTOS!$H$4:$H$803,G2270,MOVIMIENTOS_COMPLEMENTOS!$B$4:$B$803,"DE CORTE")-SUMIFS(MOVIMIENTOS_COMPLEMENTOS!$I$4:$I$803,MOVIMIENTOS_COMPLEMENTOS!$C$4:$C$803,A2270,MOVIMIENTOS_COMPLEMENTOS!$D$4:$D$803,B2270,MOVIMIENTOS_COMPLEMENTOS!$E$4:$E$803,C2270,MOVIMIENTOS_COMPLEMENTOS!$F$4:$F$803,D2270,MOVIMIENTOS_COMPLEMENTOS!$G$4:$G$803,E2270,MOVIMIENTOS_COMPLEMENTOS!$H$4:$H$803,G2270,MOVIMIENTOS_COMPLEMENTOS!$B$4:$B$803,"SALIDA"),0)</f>
        <v>0</v>
      </c>
      <c r="I2270" s="102">
        <f t="array" ref="I2270">IFERROR(INDEX(PRECIOS_COMPLEMENTOS!$C$4:$F$17,MATCH(B2270&amp;"_"&amp;C2270,PRECIOS_COMPLEMENTOS!$H$4:$H$17,0),IF(OR(G2270="S",G2270="20cm"),1,IF(OR(G2270="M",G2270="25cm"),2,IF(OR(G2270="L",G2270="30cm"),3,IF(OR(G2270="XL",G2270="35cm"),4,0))))),0)</f>
        <v>0.6</v>
      </c>
      <c r="J2270" s="103">
        <f t="shared" si="1"/>
        <v>0</v>
      </c>
      <c r="K2270" s="104" t="str">
        <f>IF(H2270&lt;0,"ERROR",IF(H2270=0,"",IF(H2270&lt;CONFIG!$B$4,"CRÍTICO",IF(H2270&lt;CONFIG!$B$5,"BAJO","OK"))))</f>
        <v/>
      </c>
    </row>
    <row r="2271" ht="15.75" hidden="1" customHeight="1">
      <c r="A2271" s="90" t="str">
        <f>IF(CLIENTES!A6="","",CLIENTES!A6)</f>
        <v/>
      </c>
      <c r="B2271" s="90" t="s">
        <v>331</v>
      </c>
      <c r="C2271" s="91" t="s">
        <v>328</v>
      </c>
      <c r="D2271" s="109" t="s">
        <v>364</v>
      </c>
      <c r="E2271" s="67" t="str">
        <f>COLORES!A10</f>
        <v>Botella</v>
      </c>
      <c r="F2271" s="67" t="str">
        <f>COLORES!B10</f>
        <v>OSCURO</v>
      </c>
      <c r="G2271" s="90" t="s">
        <v>379</v>
      </c>
      <c r="H2271" s="100">
        <f>IFERROR(SUMIFS(MOVIMIENTOS_COMPLEMENTOS!$I$4:$I$803,MOVIMIENTOS_COMPLEMENTOS!$C$4:$C$803,A2271,MOVIMIENTOS_COMPLEMENTOS!$D$4:$D$803,B2271,MOVIMIENTOS_COMPLEMENTOS!$E$4:$E$803,C2271,MOVIMIENTOS_COMPLEMENTOS!$F$4:$F$803,D2271,MOVIMIENTOS_COMPLEMENTOS!$G$4:$G$803,E2271,MOVIMIENTOS_COMPLEMENTOS!$H$4:$H$803,G2271,MOVIMIENTOS_COMPLEMENTOS!$B$4:$B$803,"INGRESO")+SUMIFS(MOVIMIENTOS_COMPLEMENTOS!$I$4:$I$803,MOVIMIENTOS_COMPLEMENTOS!$C$4:$C$803,A2271,MOVIMIENTOS_COMPLEMENTOS!$D$4:$D$803,B2271,MOVIMIENTOS_COMPLEMENTOS!$E$4:$E$803,C2271,MOVIMIENTOS_COMPLEMENTOS!$F$4:$F$803,D2271,MOVIMIENTOS_COMPLEMENTOS!$G$4:$G$803,E2271,MOVIMIENTOS_COMPLEMENTOS!$H$4:$H$803,G2271,MOVIMIENTOS_COMPLEMENTOS!$B$4:$B$803,"DE CORTE")-SUMIFS(MOVIMIENTOS_COMPLEMENTOS!$I$4:$I$803,MOVIMIENTOS_COMPLEMENTOS!$C$4:$C$803,A2271,MOVIMIENTOS_COMPLEMENTOS!$D$4:$D$803,B2271,MOVIMIENTOS_COMPLEMENTOS!$E$4:$E$803,C2271,MOVIMIENTOS_COMPLEMENTOS!$F$4:$F$803,D2271,MOVIMIENTOS_COMPLEMENTOS!$G$4:$G$803,E2271,MOVIMIENTOS_COMPLEMENTOS!$H$4:$H$803,G2271,MOVIMIENTOS_COMPLEMENTOS!$B$4:$B$803,"SALIDA"),0)</f>
        <v>0</v>
      </c>
      <c r="I2271" s="102">
        <f t="array" ref="I2271">IFERROR(INDEX(PRECIOS_COMPLEMENTOS!$C$4:$F$17,MATCH(B2271&amp;"_"&amp;C2271,PRECIOS_COMPLEMENTOS!$H$4:$H$17,0),IF(OR(G2271="S",G2271="20cm"),1,IF(OR(G2271="M",G2271="25cm"),2,IF(OR(G2271="L",G2271="30cm"),3,IF(OR(G2271="XL",G2271="35cm"),4,0))))),0)</f>
        <v>0.6</v>
      </c>
      <c r="J2271" s="103">
        <f t="shared" si="1"/>
        <v>0</v>
      </c>
      <c r="K2271" s="104" t="str">
        <f>IF(H2271&lt;0,"ERROR",IF(H2271=0,"",IF(H2271&lt;CONFIG!$B$4,"CRÍTICO",IF(H2271&lt;CONFIG!$B$5,"BAJO","OK"))))</f>
        <v/>
      </c>
    </row>
    <row r="2272" ht="15.75" hidden="1" customHeight="1">
      <c r="A2272" s="90" t="str">
        <f>IF(CLIENTES!A6="","",CLIENTES!A6)</f>
        <v/>
      </c>
      <c r="B2272" s="90" t="s">
        <v>331</v>
      </c>
      <c r="C2272" s="91" t="s">
        <v>328</v>
      </c>
      <c r="D2272" s="109" t="s">
        <v>364</v>
      </c>
      <c r="E2272" s="67" t="str">
        <f>COLORES!A11</f>
        <v>Pacay</v>
      </c>
      <c r="F2272" s="67" t="str">
        <f>COLORES!B11</f>
        <v>CLARO</v>
      </c>
      <c r="G2272" s="90" t="s">
        <v>378</v>
      </c>
      <c r="H2272" s="100">
        <f>IFERROR(SUMIFS(MOVIMIENTOS_COMPLEMENTOS!$I$4:$I$803,MOVIMIENTOS_COMPLEMENTOS!$C$4:$C$803,A2272,MOVIMIENTOS_COMPLEMENTOS!$D$4:$D$803,B2272,MOVIMIENTOS_COMPLEMENTOS!$E$4:$E$803,C2272,MOVIMIENTOS_COMPLEMENTOS!$F$4:$F$803,D2272,MOVIMIENTOS_COMPLEMENTOS!$G$4:$G$803,E2272,MOVIMIENTOS_COMPLEMENTOS!$H$4:$H$803,G2272,MOVIMIENTOS_COMPLEMENTOS!$B$4:$B$803,"INGRESO")+SUMIFS(MOVIMIENTOS_COMPLEMENTOS!$I$4:$I$803,MOVIMIENTOS_COMPLEMENTOS!$C$4:$C$803,A2272,MOVIMIENTOS_COMPLEMENTOS!$D$4:$D$803,B2272,MOVIMIENTOS_COMPLEMENTOS!$E$4:$E$803,C2272,MOVIMIENTOS_COMPLEMENTOS!$F$4:$F$803,D2272,MOVIMIENTOS_COMPLEMENTOS!$G$4:$G$803,E2272,MOVIMIENTOS_COMPLEMENTOS!$H$4:$H$803,G2272,MOVIMIENTOS_COMPLEMENTOS!$B$4:$B$803,"DE CORTE")-SUMIFS(MOVIMIENTOS_COMPLEMENTOS!$I$4:$I$803,MOVIMIENTOS_COMPLEMENTOS!$C$4:$C$803,A2272,MOVIMIENTOS_COMPLEMENTOS!$D$4:$D$803,B2272,MOVIMIENTOS_COMPLEMENTOS!$E$4:$E$803,C2272,MOVIMIENTOS_COMPLEMENTOS!$F$4:$F$803,D2272,MOVIMIENTOS_COMPLEMENTOS!$G$4:$G$803,E2272,MOVIMIENTOS_COMPLEMENTOS!$H$4:$H$803,G2272,MOVIMIENTOS_COMPLEMENTOS!$B$4:$B$803,"SALIDA"),0)</f>
        <v>0</v>
      </c>
      <c r="I2272" s="102">
        <f t="array" ref="I2272">IFERROR(INDEX(PRECIOS_COMPLEMENTOS!$C$4:$F$17,MATCH(B2272&amp;"_"&amp;C2272,PRECIOS_COMPLEMENTOS!$H$4:$H$17,0),IF(OR(G2272="S",G2272="20cm"),1,IF(OR(G2272="M",G2272="25cm"),2,IF(OR(G2272="L",G2272="30cm"),3,IF(OR(G2272="XL",G2272="35cm"),4,0))))),0)</f>
        <v>0.6</v>
      </c>
      <c r="J2272" s="103">
        <f t="shared" si="1"/>
        <v>0</v>
      </c>
      <c r="K2272" s="104" t="str">
        <f>IF(H2272&lt;0,"ERROR",IF(H2272=0,"",IF(H2272&lt;CONFIG!$B$4,"CRÍTICO",IF(H2272&lt;CONFIG!$B$5,"BAJO","OK"))))</f>
        <v/>
      </c>
    </row>
    <row r="2273" ht="15.75" hidden="1" customHeight="1">
      <c r="A2273" s="90" t="str">
        <f>IF(CLIENTES!A6="","",CLIENTES!A6)</f>
        <v/>
      </c>
      <c r="B2273" s="90" t="s">
        <v>331</v>
      </c>
      <c r="C2273" s="91" t="s">
        <v>328</v>
      </c>
      <c r="D2273" s="109" t="s">
        <v>364</v>
      </c>
      <c r="E2273" s="67" t="str">
        <f>COLORES!A11</f>
        <v>Pacay</v>
      </c>
      <c r="F2273" s="67" t="str">
        <f>COLORES!B11</f>
        <v>CLARO</v>
      </c>
      <c r="G2273" s="90" t="s">
        <v>376</v>
      </c>
      <c r="H2273" s="100">
        <f>IFERROR(SUMIFS(MOVIMIENTOS_COMPLEMENTOS!$I$4:$I$803,MOVIMIENTOS_COMPLEMENTOS!$C$4:$C$803,A2273,MOVIMIENTOS_COMPLEMENTOS!$D$4:$D$803,B2273,MOVIMIENTOS_COMPLEMENTOS!$E$4:$E$803,C2273,MOVIMIENTOS_COMPLEMENTOS!$F$4:$F$803,D2273,MOVIMIENTOS_COMPLEMENTOS!$G$4:$G$803,E2273,MOVIMIENTOS_COMPLEMENTOS!$H$4:$H$803,G2273,MOVIMIENTOS_COMPLEMENTOS!$B$4:$B$803,"INGRESO")+SUMIFS(MOVIMIENTOS_COMPLEMENTOS!$I$4:$I$803,MOVIMIENTOS_COMPLEMENTOS!$C$4:$C$803,A2273,MOVIMIENTOS_COMPLEMENTOS!$D$4:$D$803,B2273,MOVIMIENTOS_COMPLEMENTOS!$E$4:$E$803,C2273,MOVIMIENTOS_COMPLEMENTOS!$F$4:$F$803,D2273,MOVIMIENTOS_COMPLEMENTOS!$G$4:$G$803,E2273,MOVIMIENTOS_COMPLEMENTOS!$H$4:$H$803,G2273,MOVIMIENTOS_COMPLEMENTOS!$B$4:$B$803,"DE CORTE")-SUMIFS(MOVIMIENTOS_COMPLEMENTOS!$I$4:$I$803,MOVIMIENTOS_COMPLEMENTOS!$C$4:$C$803,A2273,MOVIMIENTOS_COMPLEMENTOS!$D$4:$D$803,B2273,MOVIMIENTOS_COMPLEMENTOS!$E$4:$E$803,C2273,MOVIMIENTOS_COMPLEMENTOS!$F$4:$F$803,D2273,MOVIMIENTOS_COMPLEMENTOS!$G$4:$G$803,E2273,MOVIMIENTOS_COMPLEMENTOS!$H$4:$H$803,G2273,MOVIMIENTOS_COMPLEMENTOS!$B$4:$B$803,"SALIDA"),0)</f>
        <v>0</v>
      </c>
      <c r="I2273" s="102">
        <f t="array" ref="I2273">IFERROR(INDEX(PRECIOS_COMPLEMENTOS!$C$4:$F$17,MATCH(B2273&amp;"_"&amp;C2273,PRECIOS_COMPLEMENTOS!$H$4:$H$17,0),IF(OR(G2273="S",G2273="20cm"),1,IF(OR(G2273="M",G2273="25cm"),2,IF(OR(G2273="L",G2273="30cm"),3,IF(OR(G2273="XL",G2273="35cm"),4,0))))),0)</f>
        <v>0.6</v>
      </c>
      <c r="J2273" s="103">
        <f t="shared" si="1"/>
        <v>0</v>
      </c>
      <c r="K2273" s="104" t="str">
        <f>IF(H2273&lt;0,"ERROR",IF(H2273=0,"",IF(H2273&lt;CONFIG!$B$4,"CRÍTICO",IF(H2273&lt;CONFIG!$B$5,"BAJO","OK"))))</f>
        <v/>
      </c>
    </row>
    <row r="2274" ht="15.75" hidden="1" customHeight="1">
      <c r="A2274" s="90" t="str">
        <f>IF(CLIENTES!A6="","",CLIENTES!A6)</f>
        <v/>
      </c>
      <c r="B2274" s="90" t="s">
        <v>331</v>
      </c>
      <c r="C2274" s="91" t="s">
        <v>328</v>
      </c>
      <c r="D2274" s="109" t="s">
        <v>364</v>
      </c>
      <c r="E2274" s="67" t="str">
        <f>COLORES!A11</f>
        <v>Pacay</v>
      </c>
      <c r="F2274" s="67" t="str">
        <f>COLORES!B11</f>
        <v>CLARO</v>
      </c>
      <c r="G2274" s="90" t="s">
        <v>377</v>
      </c>
      <c r="H2274" s="100">
        <f>IFERROR(SUMIFS(MOVIMIENTOS_COMPLEMENTOS!$I$4:$I$803,MOVIMIENTOS_COMPLEMENTOS!$C$4:$C$803,A2274,MOVIMIENTOS_COMPLEMENTOS!$D$4:$D$803,B2274,MOVIMIENTOS_COMPLEMENTOS!$E$4:$E$803,C2274,MOVIMIENTOS_COMPLEMENTOS!$F$4:$F$803,D2274,MOVIMIENTOS_COMPLEMENTOS!$G$4:$G$803,E2274,MOVIMIENTOS_COMPLEMENTOS!$H$4:$H$803,G2274,MOVIMIENTOS_COMPLEMENTOS!$B$4:$B$803,"INGRESO")+SUMIFS(MOVIMIENTOS_COMPLEMENTOS!$I$4:$I$803,MOVIMIENTOS_COMPLEMENTOS!$C$4:$C$803,A2274,MOVIMIENTOS_COMPLEMENTOS!$D$4:$D$803,B2274,MOVIMIENTOS_COMPLEMENTOS!$E$4:$E$803,C2274,MOVIMIENTOS_COMPLEMENTOS!$F$4:$F$803,D2274,MOVIMIENTOS_COMPLEMENTOS!$G$4:$G$803,E2274,MOVIMIENTOS_COMPLEMENTOS!$H$4:$H$803,G2274,MOVIMIENTOS_COMPLEMENTOS!$B$4:$B$803,"DE CORTE")-SUMIFS(MOVIMIENTOS_COMPLEMENTOS!$I$4:$I$803,MOVIMIENTOS_COMPLEMENTOS!$C$4:$C$803,A2274,MOVIMIENTOS_COMPLEMENTOS!$D$4:$D$803,B2274,MOVIMIENTOS_COMPLEMENTOS!$E$4:$E$803,C2274,MOVIMIENTOS_COMPLEMENTOS!$F$4:$F$803,D2274,MOVIMIENTOS_COMPLEMENTOS!$G$4:$G$803,E2274,MOVIMIENTOS_COMPLEMENTOS!$H$4:$H$803,G2274,MOVIMIENTOS_COMPLEMENTOS!$B$4:$B$803,"SALIDA"),0)</f>
        <v>0</v>
      </c>
      <c r="I2274" s="102">
        <f t="array" ref="I2274">IFERROR(INDEX(PRECIOS_COMPLEMENTOS!$C$4:$F$17,MATCH(B2274&amp;"_"&amp;C2274,PRECIOS_COMPLEMENTOS!$H$4:$H$17,0),IF(OR(G2274="S",G2274="20cm"),1,IF(OR(G2274="M",G2274="25cm"),2,IF(OR(G2274="L",G2274="30cm"),3,IF(OR(G2274="XL",G2274="35cm"),4,0))))),0)</f>
        <v>0.6</v>
      </c>
      <c r="J2274" s="103">
        <f t="shared" si="1"/>
        <v>0</v>
      </c>
      <c r="K2274" s="104" t="str">
        <f>IF(H2274&lt;0,"ERROR",IF(H2274=0,"",IF(H2274&lt;CONFIG!$B$4,"CRÍTICO",IF(H2274&lt;CONFIG!$B$5,"BAJO","OK"))))</f>
        <v/>
      </c>
    </row>
    <row r="2275" ht="15.75" hidden="1" customHeight="1">
      <c r="A2275" s="90" t="str">
        <f>IF(CLIENTES!A6="","",CLIENTES!A6)</f>
        <v/>
      </c>
      <c r="B2275" s="90" t="s">
        <v>331</v>
      </c>
      <c r="C2275" s="91" t="s">
        <v>328</v>
      </c>
      <c r="D2275" s="109" t="s">
        <v>364</v>
      </c>
      <c r="E2275" s="67" t="str">
        <f>COLORES!A11</f>
        <v>Pacay</v>
      </c>
      <c r="F2275" s="67" t="str">
        <f>COLORES!B11</f>
        <v>CLARO</v>
      </c>
      <c r="G2275" s="90" t="s">
        <v>379</v>
      </c>
      <c r="H2275" s="100">
        <f>IFERROR(SUMIFS(MOVIMIENTOS_COMPLEMENTOS!$I$4:$I$803,MOVIMIENTOS_COMPLEMENTOS!$C$4:$C$803,A2275,MOVIMIENTOS_COMPLEMENTOS!$D$4:$D$803,B2275,MOVIMIENTOS_COMPLEMENTOS!$E$4:$E$803,C2275,MOVIMIENTOS_COMPLEMENTOS!$F$4:$F$803,D2275,MOVIMIENTOS_COMPLEMENTOS!$G$4:$G$803,E2275,MOVIMIENTOS_COMPLEMENTOS!$H$4:$H$803,G2275,MOVIMIENTOS_COMPLEMENTOS!$B$4:$B$803,"INGRESO")+SUMIFS(MOVIMIENTOS_COMPLEMENTOS!$I$4:$I$803,MOVIMIENTOS_COMPLEMENTOS!$C$4:$C$803,A2275,MOVIMIENTOS_COMPLEMENTOS!$D$4:$D$803,B2275,MOVIMIENTOS_COMPLEMENTOS!$E$4:$E$803,C2275,MOVIMIENTOS_COMPLEMENTOS!$F$4:$F$803,D2275,MOVIMIENTOS_COMPLEMENTOS!$G$4:$G$803,E2275,MOVIMIENTOS_COMPLEMENTOS!$H$4:$H$803,G2275,MOVIMIENTOS_COMPLEMENTOS!$B$4:$B$803,"DE CORTE")-SUMIFS(MOVIMIENTOS_COMPLEMENTOS!$I$4:$I$803,MOVIMIENTOS_COMPLEMENTOS!$C$4:$C$803,A2275,MOVIMIENTOS_COMPLEMENTOS!$D$4:$D$803,B2275,MOVIMIENTOS_COMPLEMENTOS!$E$4:$E$803,C2275,MOVIMIENTOS_COMPLEMENTOS!$F$4:$F$803,D2275,MOVIMIENTOS_COMPLEMENTOS!$G$4:$G$803,E2275,MOVIMIENTOS_COMPLEMENTOS!$H$4:$H$803,G2275,MOVIMIENTOS_COMPLEMENTOS!$B$4:$B$803,"SALIDA"),0)</f>
        <v>0</v>
      </c>
      <c r="I2275" s="102">
        <f t="array" ref="I2275">IFERROR(INDEX(PRECIOS_COMPLEMENTOS!$C$4:$F$17,MATCH(B2275&amp;"_"&amp;C2275,PRECIOS_COMPLEMENTOS!$H$4:$H$17,0),IF(OR(G2275="S",G2275="20cm"),1,IF(OR(G2275="M",G2275="25cm"),2,IF(OR(G2275="L",G2275="30cm"),3,IF(OR(G2275="XL",G2275="35cm"),4,0))))),0)</f>
        <v>0.6</v>
      </c>
      <c r="J2275" s="103">
        <f t="shared" si="1"/>
        <v>0</v>
      </c>
      <c r="K2275" s="104" t="str">
        <f>IF(H2275&lt;0,"ERROR",IF(H2275=0,"",IF(H2275&lt;CONFIG!$B$4,"CRÍTICO",IF(H2275&lt;CONFIG!$B$5,"BAJO","OK"))))</f>
        <v/>
      </c>
    </row>
    <row r="2276" ht="15.75" hidden="1" customHeight="1">
      <c r="A2276" s="90" t="str">
        <f>IF(CLIENTES!A6="","",CLIENTES!A6)</f>
        <v/>
      </c>
      <c r="B2276" s="90" t="s">
        <v>331</v>
      </c>
      <c r="C2276" s="91" t="s">
        <v>328</v>
      </c>
      <c r="D2276" s="109" t="s">
        <v>364</v>
      </c>
      <c r="E2276" s="67" t="str">
        <f>COLORES!A12</f>
        <v>Cemento</v>
      </c>
      <c r="F2276" s="67" t="str">
        <f>COLORES!B12</f>
        <v>CLARO</v>
      </c>
      <c r="G2276" s="90" t="s">
        <v>378</v>
      </c>
      <c r="H2276" s="100">
        <f>IFERROR(SUMIFS(MOVIMIENTOS_COMPLEMENTOS!$I$4:$I$803,MOVIMIENTOS_COMPLEMENTOS!$C$4:$C$803,A2276,MOVIMIENTOS_COMPLEMENTOS!$D$4:$D$803,B2276,MOVIMIENTOS_COMPLEMENTOS!$E$4:$E$803,C2276,MOVIMIENTOS_COMPLEMENTOS!$F$4:$F$803,D2276,MOVIMIENTOS_COMPLEMENTOS!$G$4:$G$803,E2276,MOVIMIENTOS_COMPLEMENTOS!$H$4:$H$803,G2276,MOVIMIENTOS_COMPLEMENTOS!$B$4:$B$803,"INGRESO")+SUMIFS(MOVIMIENTOS_COMPLEMENTOS!$I$4:$I$803,MOVIMIENTOS_COMPLEMENTOS!$C$4:$C$803,A2276,MOVIMIENTOS_COMPLEMENTOS!$D$4:$D$803,B2276,MOVIMIENTOS_COMPLEMENTOS!$E$4:$E$803,C2276,MOVIMIENTOS_COMPLEMENTOS!$F$4:$F$803,D2276,MOVIMIENTOS_COMPLEMENTOS!$G$4:$G$803,E2276,MOVIMIENTOS_COMPLEMENTOS!$H$4:$H$803,G2276,MOVIMIENTOS_COMPLEMENTOS!$B$4:$B$803,"DE CORTE")-SUMIFS(MOVIMIENTOS_COMPLEMENTOS!$I$4:$I$803,MOVIMIENTOS_COMPLEMENTOS!$C$4:$C$803,A2276,MOVIMIENTOS_COMPLEMENTOS!$D$4:$D$803,B2276,MOVIMIENTOS_COMPLEMENTOS!$E$4:$E$803,C2276,MOVIMIENTOS_COMPLEMENTOS!$F$4:$F$803,D2276,MOVIMIENTOS_COMPLEMENTOS!$G$4:$G$803,E2276,MOVIMIENTOS_COMPLEMENTOS!$H$4:$H$803,G2276,MOVIMIENTOS_COMPLEMENTOS!$B$4:$B$803,"SALIDA"),0)</f>
        <v>0</v>
      </c>
      <c r="I2276" s="102">
        <f t="array" ref="I2276">IFERROR(INDEX(PRECIOS_COMPLEMENTOS!$C$4:$F$17,MATCH(B2276&amp;"_"&amp;C2276,PRECIOS_COMPLEMENTOS!$H$4:$H$17,0),IF(OR(G2276="S",G2276="20cm"),1,IF(OR(G2276="M",G2276="25cm"),2,IF(OR(G2276="L",G2276="30cm"),3,IF(OR(G2276="XL",G2276="35cm"),4,0))))),0)</f>
        <v>0.6</v>
      </c>
      <c r="J2276" s="103">
        <f t="shared" si="1"/>
        <v>0</v>
      </c>
      <c r="K2276" s="104" t="str">
        <f>IF(H2276&lt;0,"ERROR",IF(H2276=0,"",IF(H2276&lt;CONFIG!$B$4,"CRÍTICO",IF(H2276&lt;CONFIG!$B$5,"BAJO","OK"))))</f>
        <v/>
      </c>
    </row>
    <row r="2277" ht="15.75" hidden="1" customHeight="1">
      <c r="A2277" s="90" t="str">
        <f>IF(CLIENTES!A6="","",CLIENTES!A6)</f>
        <v/>
      </c>
      <c r="B2277" s="90" t="s">
        <v>331</v>
      </c>
      <c r="C2277" s="91" t="s">
        <v>328</v>
      </c>
      <c r="D2277" s="109" t="s">
        <v>364</v>
      </c>
      <c r="E2277" s="67" t="str">
        <f>COLORES!A12</f>
        <v>Cemento</v>
      </c>
      <c r="F2277" s="67" t="str">
        <f>COLORES!B12</f>
        <v>CLARO</v>
      </c>
      <c r="G2277" s="90" t="s">
        <v>376</v>
      </c>
      <c r="H2277" s="100">
        <f>IFERROR(SUMIFS(MOVIMIENTOS_COMPLEMENTOS!$I$4:$I$803,MOVIMIENTOS_COMPLEMENTOS!$C$4:$C$803,A2277,MOVIMIENTOS_COMPLEMENTOS!$D$4:$D$803,B2277,MOVIMIENTOS_COMPLEMENTOS!$E$4:$E$803,C2277,MOVIMIENTOS_COMPLEMENTOS!$F$4:$F$803,D2277,MOVIMIENTOS_COMPLEMENTOS!$G$4:$G$803,E2277,MOVIMIENTOS_COMPLEMENTOS!$H$4:$H$803,G2277,MOVIMIENTOS_COMPLEMENTOS!$B$4:$B$803,"INGRESO")+SUMIFS(MOVIMIENTOS_COMPLEMENTOS!$I$4:$I$803,MOVIMIENTOS_COMPLEMENTOS!$C$4:$C$803,A2277,MOVIMIENTOS_COMPLEMENTOS!$D$4:$D$803,B2277,MOVIMIENTOS_COMPLEMENTOS!$E$4:$E$803,C2277,MOVIMIENTOS_COMPLEMENTOS!$F$4:$F$803,D2277,MOVIMIENTOS_COMPLEMENTOS!$G$4:$G$803,E2277,MOVIMIENTOS_COMPLEMENTOS!$H$4:$H$803,G2277,MOVIMIENTOS_COMPLEMENTOS!$B$4:$B$803,"DE CORTE")-SUMIFS(MOVIMIENTOS_COMPLEMENTOS!$I$4:$I$803,MOVIMIENTOS_COMPLEMENTOS!$C$4:$C$803,A2277,MOVIMIENTOS_COMPLEMENTOS!$D$4:$D$803,B2277,MOVIMIENTOS_COMPLEMENTOS!$E$4:$E$803,C2277,MOVIMIENTOS_COMPLEMENTOS!$F$4:$F$803,D2277,MOVIMIENTOS_COMPLEMENTOS!$G$4:$G$803,E2277,MOVIMIENTOS_COMPLEMENTOS!$H$4:$H$803,G2277,MOVIMIENTOS_COMPLEMENTOS!$B$4:$B$803,"SALIDA"),0)</f>
        <v>0</v>
      </c>
      <c r="I2277" s="102">
        <f t="array" ref="I2277">IFERROR(INDEX(PRECIOS_COMPLEMENTOS!$C$4:$F$17,MATCH(B2277&amp;"_"&amp;C2277,PRECIOS_COMPLEMENTOS!$H$4:$H$17,0),IF(OR(G2277="S",G2277="20cm"),1,IF(OR(G2277="M",G2277="25cm"),2,IF(OR(G2277="L",G2277="30cm"),3,IF(OR(G2277="XL",G2277="35cm"),4,0))))),0)</f>
        <v>0.6</v>
      </c>
      <c r="J2277" s="103">
        <f t="shared" si="1"/>
        <v>0</v>
      </c>
      <c r="K2277" s="104" t="str">
        <f>IF(H2277&lt;0,"ERROR",IF(H2277=0,"",IF(H2277&lt;CONFIG!$B$4,"CRÍTICO",IF(H2277&lt;CONFIG!$B$5,"BAJO","OK"))))</f>
        <v/>
      </c>
    </row>
    <row r="2278" ht="15.75" hidden="1" customHeight="1">
      <c r="A2278" s="90" t="str">
        <f>IF(CLIENTES!A6="","",CLIENTES!A6)</f>
        <v/>
      </c>
      <c r="B2278" s="90" t="s">
        <v>331</v>
      </c>
      <c r="C2278" s="91" t="s">
        <v>328</v>
      </c>
      <c r="D2278" s="109" t="s">
        <v>364</v>
      </c>
      <c r="E2278" s="67" t="str">
        <f>COLORES!A12</f>
        <v>Cemento</v>
      </c>
      <c r="F2278" s="67" t="str">
        <f>COLORES!B12</f>
        <v>CLARO</v>
      </c>
      <c r="G2278" s="90" t="s">
        <v>377</v>
      </c>
      <c r="H2278" s="100">
        <f>IFERROR(SUMIFS(MOVIMIENTOS_COMPLEMENTOS!$I$4:$I$803,MOVIMIENTOS_COMPLEMENTOS!$C$4:$C$803,A2278,MOVIMIENTOS_COMPLEMENTOS!$D$4:$D$803,B2278,MOVIMIENTOS_COMPLEMENTOS!$E$4:$E$803,C2278,MOVIMIENTOS_COMPLEMENTOS!$F$4:$F$803,D2278,MOVIMIENTOS_COMPLEMENTOS!$G$4:$G$803,E2278,MOVIMIENTOS_COMPLEMENTOS!$H$4:$H$803,G2278,MOVIMIENTOS_COMPLEMENTOS!$B$4:$B$803,"INGRESO")+SUMIFS(MOVIMIENTOS_COMPLEMENTOS!$I$4:$I$803,MOVIMIENTOS_COMPLEMENTOS!$C$4:$C$803,A2278,MOVIMIENTOS_COMPLEMENTOS!$D$4:$D$803,B2278,MOVIMIENTOS_COMPLEMENTOS!$E$4:$E$803,C2278,MOVIMIENTOS_COMPLEMENTOS!$F$4:$F$803,D2278,MOVIMIENTOS_COMPLEMENTOS!$G$4:$G$803,E2278,MOVIMIENTOS_COMPLEMENTOS!$H$4:$H$803,G2278,MOVIMIENTOS_COMPLEMENTOS!$B$4:$B$803,"DE CORTE")-SUMIFS(MOVIMIENTOS_COMPLEMENTOS!$I$4:$I$803,MOVIMIENTOS_COMPLEMENTOS!$C$4:$C$803,A2278,MOVIMIENTOS_COMPLEMENTOS!$D$4:$D$803,B2278,MOVIMIENTOS_COMPLEMENTOS!$E$4:$E$803,C2278,MOVIMIENTOS_COMPLEMENTOS!$F$4:$F$803,D2278,MOVIMIENTOS_COMPLEMENTOS!$G$4:$G$803,E2278,MOVIMIENTOS_COMPLEMENTOS!$H$4:$H$803,G2278,MOVIMIENTOS_COMPLEMENTOS!$B$4:$B$803,"SALIDA"),0)</f>
        <v>0</v>
      </c>
      <c r="I2278" s="102">
        <f t="array" ref="I2278">IFERROR(INDEX(PRECIOS_COMPLEMENTOS!$C$4:$F$17,MATCH(B2278&amp;"_"&amp;C2278,PRECIOS_COMPLEMENTOS!$H$4:$H$17,0),IF(OR(G2278="S",G2278="20cm"),1,IF(OR(G2278="M",G2278="25cm"),2,IF(OR(G2278="L",G2278="30cm"),3,IF(OR(G2278="XL",G2278="35cm"),4,0))))),0)</f>
        <v>0.6</v>
      </c>
      <c r="J2278" s="103">
        <f t="shared" si="1"/>
        <v>0</v>
      </c>
      <c r="K2278" s="104" t="str">
        <f>IF(H2278&lt;0,"ERROR",IF(H2278=0,"",IF(H2278&lt;CONFIG!$B$4,"CRÍTICO",IF(H2278&lt;CONFIG!$B$5,"BAJO","OK"))))</f>
        <v/>
      </c>
    </row>
    <row r="2279" ht="15.75" hidden="1" customHeight="1">
      <c r="A2279" s="90" t="str">
        <f>IF(CLIENTES!A6="","",CLIENTES!A6)</f>
        <v/>
      </c>
      <c r="B2279" s="90" t="s">
        <v>331</v>
      </c>
      <c r="C2279" s="91" t="s">
        <v>328</v>
      </c>
      <c r="D2279" s="109" t="s">
        <v>364</v>
      </c>
      <c r="E2279" s="67" t="str">
        <f>COLORES!A12</f>
        <v>Cemento</v>
      </c>
      <c r="F2279" s="67" t="str">
        <f>COLORES!B12</f>
        <v>CLARO</v>
      </c>
      <c r="G2279" s="90" t="s">
        <v>379</v>
      </c>
      <c r="H2279" s="100">
        <f>IFERROR(SUMIFS(MOVIMIENTOS_COMPLEMENTOS!$I$4:$I$803,MOVIMIENTOS_COMPLEMENTOS!$C$4:$C$803,A2279,MOVIMIENTOS_COMPLEMENTOS!$D$4:$D$803,B2279,MOVIMIENTOS_COMPLEMENTOS!$E$4:$E$803,C2279,MOVIMIENTOS_COMPLEMENTOS!$F$4:$F$803,D2279,MOVIMIENTOS_COMPLEMENTOS!$G$4:$G$803,E2279,MOVIMIENTOS_COMPLEMENTOS!$H$4:$H$803,G2279,MOVIMIENTOS_COMPLEMENTOS!$B$4:$B$803,"INGRESO")+SUMIFS(MOVIMIENTOS_COMPLEMENTOS!$I$4:$I$803,MOVIMIENTOS_COMPLEMENTOS!$C$4:$C$803,A2279,MOVIMIENTOS_COMPLEMENTOS!$D$4:$D$803,B2279,MOVIMIENTOS_COMPLEMENTOS!$E$4:$E$803,C2279,MOVIMIENTOS_COMPLEMENTOS!$F$4:$F$803,D2279,MOVIMIENTOS_COMPLEMENTOS!$G$4:$G$803,E2279,MOVIMIENTOS_COMPLEMENTOS!$H$4:$H$803,G2279,MOVIMIENTOS_COMPLEMENTOS!$B$4:$B$803,"DE CORTE")-SUMIFS(MOVIMIENTOS_COMPLEMENTOS!$I$4:$I$803,MOVIMIENTOS_COMPLEMENTOS!$C$4:$C$803,A2279,MOVIMIENTOS_COMPLEMENTOS!$D$4:$D$803,B2279,MOVIMIENTOS_COMPLEMENTOS!$E$4:$E$803,C2279,MOVIMIENTOS_COMPLEMENTOS!$F$4:$F$803,D2279,MOVIMIENTOS_COMPLEMENTOS!$G$4:$G$803,E2279,MOVIMIENTOS_COMPLEMENTOS!$H$4:$H$803,G2279,MOVIMIENTOS_COMPLEMENTOS!$B$4:$B$803,"SALIDA"),0)</f>
        <v>0</v>
      </c>
      <c r="I2279" s="102">
        <f t="array" ref="I2279">IFERROR(INDEX(PRECIOS_COMPLEMENTOS!$C$4:$F$17,MATCH(B2279&amp;"_"&amp;C2279,PRECIOS_COMPLEMENTOS!$H$4:$H$17,0),IF(OR(G2279="S",G2279="20cm"),1,IF(OR(G2279="M",G2279="25cm"),2,IF(OR(G2279="L",G2279="30cm"),3,IF(OR(G2279="XL",G2279="35cm"),4,0))))),0)</f>
        <v>0.6</v>
      </c>
      <c r="J2279" s="103">
        <f t="shared" si="1"/>
        <v>0</v>
      </c>
      <c r="K2279" s="104" t="str">
        <f>IF(H2279&lt;0,"ERROR",IF(H2279=0,"",IF(H2279&lt;CONFIG!$B$4,"CRÍTICO",IF(H2279&lt;CONFIG!$B$5,"BAJO","OK"))))</f>
        <v/>
      </c>
    </row>
    <row r="2280" ht="15.75" hidden="1" customHeight="1">
      <c r="A2280" s="90" t="str">
        <f>IF(CLIENTES!A6="","",CLIENTES!A6)</f>
        <v/>
      </c>
      <c r="B2280" s="90" t="s">
        <v>331</v>
      </c>
      <c r="C2280" s="91" t="s">
        <v>328</v>
      </c>
      <c r="D2280" s="109" t="s">
        <v>364</v>
      </c>
      <c r="E2280" s="67" t="str">
        <f>COLORES!A13</f>
        <v>Camote</v>
      </c>
      <c r="F2280" s="67" t="str">
        <f>COLORES!B13</f>
        <v>CLARO</v>
      </c>
      <c r="G2280" s="90" t="s">
        <v>378</v>
      </c>
      <c r="H2280" s="100">
        <f>IFERROR(SUMIFS(MOVIMIENTOS_COMPLEMENTOS!$I$4:$I$803,MOVIMIENTOS_COMPLEMENTOS!$C$4:$C$803,A2280,MOVIMIENTOS_COMPLEMENTOS!$D$4:$D$803,B2280,MOVIMIENTOS_COMPLEMENTOS!$E$4:$E$803,C2280,MOVIMIENTOS_COMPLEMENTOS!$F$4:$F$803,D2280,MOVIMIENTOS_COMPLEMENTOS!$G$4:$G$803,E2280,MOVIMIENTOS_COMPLEMENTOS!$H$4:$H$803,G2280,MOVIMIENTOS_COMPLEMENTOS!$B$4:$B$803,"INGRESO")+SUMIFS(MOVIMIENTOS_COMPLEMENTOS!$I$4:$I$803,MOVIMIENTOS_COMPLEMENTOS!$C$4:$C$803,A2280,MOVIMIENTOS_COMPLEMENTOS!$D$4:$D$803,B2280,MOVIMIENTOS_COMPLEMENTOS!$E$4:$E$803,C2280,MOVIMIENTOS_COMPLEMENTOS!$F$4:$F$803,D2280,MOVIMIENTOS_COMPLEMENTOS!$G$4:$G$803,E2280,MOVIMIENTOS_COMPLEMENTOS!$H$4:$H$803,G2280,MOVIMIENTOS_COMPLEMENTOS!$B$4:$B$803,"DE CORTE")-SUMIFS(MOVIMIENTOS_COMPLEMENTOS!$I$4:$I$803,MOVIMIENTOS_COMPLEMENTOS!$C$4:$C$803,A2280,MOVIMIENTOS_COMPLEMENTOS!$D$4:$D$803,B2280,MOVIMIENTOS_COMPLEMENTOS!$E$4:$E$803,C2280,MOVIMIENTOS_COMPLEMENTOS!$F$4:$F$803,D2280,MOVIMIENTOS_COMPLEMENTOS!$G$4:$G$803,E2280,MOVIMIENTOS_COMPLEMENTOS!$H$4:$H$803,G2280,MOVIMIENTOS_COMPLEMENTOS!$B$4:$B$803,"SALIDA"),0)</f>
        <v>0</v>
      </c>
      <c r="I2280" s="102">
        <f t="array" ref="I2280">IFERROR(INDEX(PRECIOS_COMPLEMENTOS!$C$4:$F$17,MATCH(B2280&amp;"_"&amp;C2280,PRECIOS_COMPLEMENTOS!$H$4:$H$17,0),IF(OR(G2280="S",G2280="20cm"),1,IF(OR(G2280="M",G2280="25cm"),2,IF(OR(G2280="L",G2280="30cm"),3,IF(OR(G2280="XL",G2280="35cm"),4,0))))),0)</f>
        <v>0.6</v>
      </c>
      <c r="J2280" s="103">
        <f t="shared" si="1"/>
        <v>0</v>
      </c>
      <c r="K2280" s="104" t="str">
        <f>IF(H2280&lt;0,"ERROR",IF(H2280=0,"",IF(H2280&lt;CONFIG!$B$4,"CRÍTICO",IF(H2280&lt;CONFIG!$B$5,"BAJO","OK"))))</f>
        <v/>
      </c>
    </row>
    <row r="2281" ht="15.75" hidden="1" customHeight="1">
      <c r="A2281" s="90" t="str">
        <f>IF(CLIENTES!A6="","",CLIENTES!A6)</f>
        <v/>
      </c>
      <c r="B2281" s="90" t="s">
        <v>331</v>
      </c>
      <c r="C2281" s="91" t="s">
        <v>328</v>
      </c>
      <c r="D2281" s="109" t="s">
        <v>364</v>
      </c>
      <c r="E2281" s="67" t="str">
        <f>COLORES!A13</f>
        <v>Camote</v>
      </c>
      <c r="F2281" s="67" t="str">
        <f>COLORES!B13</f>
        <v>CLARO</v>
      </c>
      <c r="G2281" s="90" t="s">
        <v>376</v>
      </c>
      <c r="H2281" s="100">
        <f>IFERROR(SUMIFS(MOVIMIENTOS_COMPLEMENTOS!$I$4:$I$803,MOVIMIENTOS_COMPLEMENTOS!$C$4:$C$803,A2281,MOVIMIENTOS_COMPLEMENTOS!$D$4:$D$803,B2281,MOVIMIENTOS_COMPLEMENTOS!$E$4:$E$803,C2281,MOVIMIENTOS_COMPLEMENTOS!$F$4:$F$803,D2281,MOVIMIENTOS_COMPLEMENTOS!$G$4:$G$803,E2281,MOVIMIENTOS_COMPLEMENTOS!$H$4:$H$803,G2281,MOVIMIENTOS_COMPLEMENTOS!$B$4:$B$803,"INGRESO")+SUMIFS(MOVIMIENTOS_COMPLEMENTOS!$I$4:$I$803,MOVIMIENTOS_COMPLEMENTOS!$C$4:$C$803,A2281,MOVIMIENTOS_COMPLEMENTOS!$D$4:$D$803,B2281,MOVIMIENTOS_COMPLEMENTOS!$E$4:$E$803,C2281,MOVIMIENTOS_COMPLEMENTOS!$F$4:$F$803,D2281,MOVIMIENTOS_COMPLEMENTOS!$G$4:$G$803,E2281,MOVIMIENTOS_COMPLEMENTOS!$H$4:$H$803,G2281,MOVIMIENTOS_COMPLEMENTOS!$B$4:$B$803,"DE CORTE")-SUMIFS(MOVIMIENTOS_COMPLEMENTOS!$I$4:$I$803,MOVIMIENTOS_COMPLEMENTOS!$C$4:$C$803,A2281,MOVIMIENTOS_COMPLEMENTOS!$D$4:$D$803,B2281,MOVIMIENTOS_COMPLEMENTOS!$E$4:$E$803,C2281,MOVIMIENTOS_COMPLEMENTOS!$F$4:$F$803,D2281,MOVIMIENTOS_COMPLEMENTOS!$G$4:$G$803,E2281,MOVIMIENTOS_COMPLEMENTOS!$H$4:$H$803,G2281,MOVIMIENTOS_COMPLEMENTOS!$B$4:$B$803,"SALIDA"),0)</f>
        <v>0</v>
      </c>
      <c r="I2281" s="102">
        <f t="array" ref="I2281">IFERROR(INDEX(PRECIOS_COMPLEMENTOS!$C$4:$F$17,MATCH(B2281&amp;"_"&amp;C2281,PRECIOS_COMPLEMENTOS!$H$4:$H$17,0),IF(OR(G2281="S",G2281="20cm"),1,IF(OR(G2281="M",G2281="25cm"),2,IF(OR(G2281="L",G2281="30cm"),3,IF(OR(G2281="XL",G2281="35cm"),4,0))))),0)</f>
        <v>0.6</v>
      </c>
      <c r="J2281" s="103">
        <f t="shared" si="1"/>
        <v>0</v>
      </c>
      <c r="K2281" s="104" t="str">
        <f>IF(H2281&lt;0,"ERROR",IF(H2281=0,"",IF(H2281&lt;CONFIG!$B$4,"CRÍTICO",IF(H2281&lt;CONFIG!$B$5,"BAJO","OK"))))</f>
        <v/>
      </c>
    </row>
    <row r="2282" ht="15.75" hidden="1" customHeight="1">
      <c r="A2282" s="90" t="str">
        <f>IF(CLIENTES!A6="","",CLIENTES!A6)</f>
        <v/>
      </c>
      <c r="B2282" s="90" t="s">
        <v>331</v>
      </c>
      <c r="C2282" s="91" t="s">
        <v>328</v>
      </c>
      <c r="D2282" s="109" t="s">
        <v>364</v>
      </c>
      <c r="E2282" s="67" t="str">
        <f>COLORES!A13</f>
        <v>Camote</v>
      </c>
      <c r="F2282" s="67" t="str">
        <f>COLORES!B13</f>
        <v>CLARO</v>
      </c>
      <c r="G2282" s="90" t="s">
        <v>377</v>
      </c>
      <c r="H2282" s="100">
        <f>IFERROR(SUMIFS(MOVIMIENTOS_COMPLEMENTOS!$I$4:$I$803,MOVIMIENTOS_COMPLEMENTOS!$C$4:$C$803,A2282,MOVIMIENTOS_COMPLEMENTOS!$D$4:$D$803,B2282,MOVIMIENTOS_COMPLEMENTOS!$E$4:$E$803,C2282,MOVIMIENTOS_COMPLEMENTOS!$F$4:$F$803,D2282,MOVIMIENTOS_COMPLEMENTOS!$G$4:$G$803,E2282,MOVIMIENTOS_COMPLEMENTOS!$H$4:$H$803,G2282,MOVIMIENTOS_COMPLEMENTOS!$B$4:$B$803,"INGRESO")+SUMIFS(MOVIMIENTOS_COMPLEMENTOS!$I$4:$I$803,MOVIMIENTOS_COMPLEMENTOS!$C$4:$C$803,A2282,MOVIMIENTOS_COMPLEMENTOS!$D$4:$D$803,B2282,MOVIMIENTOS_COMPLEMENTOS!$E$4:$E$803,C2282,MOVIMIENTOS_COMPLEMENTOS!$F$4:$F$803,D2282,MOVIMIENTOS_COMPLEMENTOS!$G$4:$G$803,E2282,MOVIMIENTOS_COMPLEMENTOS!$H$4:$H$803,G2282,MOVIMIENTOS_COMPLEMENTOS!$B$4:$B$803,"DE CORTE")-SUMIFS(MOVIMIENTOS_COMPLEMENTOS!$I$4:$I$803,MOVIMIENTOS_COMPLEMENTOS!$C$4:$C$803,A2282,MOVIMIENTOS_COMPLEMENTOS!$D$4:$D$803,B2282,MOVIMIENTOS_COMPLEMENTOS!$E$4:$E$803,C2282,MOVIMIENTOS_COMPLEMENTOS!$F$4:$F$803,D2282,MOVIMIENTOS_COMPLEMENTOS!$G$4:$G$803,E2282,MOVIMIENTOS_COMPLEMENTOS!$H$4:$H$803,G2282,MOVIMIENTOS_COMPLEMENTOS!$B$4:$B$803,"SALIDA"),0)</f>
        <v>0</v>
      </c>
      <c r="I2282" s="102">
        <f t="array" ref="I2282">IFERROR(INDEX(PRECIOS_COMPLEMENTOS!$C$4:$F$17,MATCH(B2282&amp;"_"&amp;C2282,PRECIOS_COMPLEMENTOS!$H$4:$H$17,0),IF(OR(G2282="S",G2282="20cm"),1,IF(OR(G2282="M",G2282="25cm"),2,IF(OR(G2282="L",G2282="30cm"),3,IF(OR(G2282="XL",G2282="35cm"),4,0))))),0)</f>
        <v>0.6</v>
      </c>
      <c r="J2282" s="103">
        <f t="shared" si="1"/>
        <v>0</v>
      </c>
      <c r="K2282" s="104" t="str">
        <f>IF(H2282&lt;0,"ERROR",IF(H2282=0,"",IF(H2282&lt;CONFIG!$B$4,"CRÍTICO",IF(H2282&lt;CONFIG!$B$5,"BAJO","OK"))))</f>
        <v/>
      </c>
    </row>
    <row r="2283" ht="15.75" hidden="1" customHeight="1">
      <c r="A2283" s="90" t="str">
        <f>IF(CLIENTES!A6="","",CLIENTES!A6)</f>
        <v/>
      </c>
      <c r="B2283" s="90" t="s">
        <v>331</v>
      </c>
      <c r="C2283" s="91" t="s">
        <v>328</v>
      </c>
      <c r="D2283" s="109" t="s">
        <v>364</v>
      </c>
      <c r="E2283" s="67" t="str">
        <f>COLORES!A13</f>
        <v>Camote</v>
      </c>
      <c r="F2283" s="67" t="str">
        <f>COLORES!B13</f>
        <v>CLARO</v>
      </c>
      <c r="G2283" s="90" t="s">
        <v>379</v>
      </c>
      <c r="H2283" s="100">
        <f>IFERROR(SUMIFS(MOVIMIENTOS_COMPLEMENTOS!$I$4:$I$803,MOVIMIENTOS_COMPLEMENTOS!$C$4:$C$803,A2283,MOVIMIENTOS_COMPLEMENTOS!$D$4:$D$803,B2283,MOVIMIENTOS_COMPLEMENTOS!$E$4:$E$803,C2283,MOVIMIENTOS_COMPLEMENTOS!$F$4:$F$803,D2283,MOVIMIENTOS_COMPLEMENTOS!$G$4:$G$803,E2283,MOVIMIENTOS_COMPLEMENTOS!$H$4:$H$803,G2283,MOVIMIENTOS_COMPLEMENTOS!$B$4:$B$803,"INGRESO")+SUMIFS(MOVIMIENTOS_COMPLEMENTOS!$I$4:$I$803,MOVIMIENTOS_COMPLEMENTOS!$C$4:$C$803,A2283,MOVIMIENTOS_COMPLEMENTOS!$D$4:$D$803,B2283,MOVIMIENTOS_COMPLEMENTOS!$E$4:$E$803,C2283,MOVIMIENTOS_COMPLEMENTOS!$F$4:$F$803,D2283,MOVIMIENTOS_COMPLEMENTOS!$G$4:$G$803,E2283,MOVIMIENTOS_COMPLEMENTOS!$H$4:$H$803,G2283,MOVIMIENTOS_COMPLEMENTOS!$B$4:$B$803,"DE CORTE")-SUMIFS(MOVIMIENTOS_COMPLEMENTOS!$I$4:$I$803,MOVIMIENTOS_COMPLEMENTOS!$C$4:$C$803,A2283,MOVIMIENTOS_COMPLEMENTOS!$D$4:$D$803,B2283,MOVIMIENTOS_COMPLEMENTOS!$E$4:$E$803,C2283,MOVIMIENTOS_COMPLEMENTOS!$F$4:$F$803,D2283,MOVIMIENTOS_COMPLEMENTOS!$G$4:$G$803,E2283,MOVIMIENTOS_COMPLEMENTOS!$H$4:$H$803,G2283,MOVIMIENTOS_COMPLEMENTOS!$B$4:$B$803,"SALIDA"),0)</f>
        <v>0</v>
      </c>
      <c r="I2283" s="102">
        <f t="array" ref="I2283">IFERROR(INDEX(PRECIOS_COMPLEMENTOS!$C$4:$F$17,MATCH(B2283&amp;"_"&amp;C2283,PRECIOS_COMPLEMENTOS!$H$4:$H$17,0),IF(OR(G2283="S",G2283="20cm"),1,IF(OR(G2283="M",G2283="25cm"),2,IF(OR(G2283="L",G2283="30cm"),3,IF(OR(G2283="XL",G2283="35cm"),4,0))))),0)</f>
        <v>0.6</v>
      </c>
      <c r="J2283" s="103">
        <f t="shared" si="1"/>
        <v>0</v>
      </c>
      <c r="K2283" s="104" t="str">
        <f>IF(H2283&lt;0,"ERROR",IF(H2283=0,"",IF(H2283&lt;CONFIG!$B$4,"CRÍTICO",IF(H2283&lt;CONFIG!$B$5,"BAJO","OK"))))</f>
        <v/>
      </c>
    </row>
    <row r="2284" ht="15.75" hidden="1" customHeight="1">
      <c r="A2284" s="90" t="str">
        <f>IF(CLIENTES!A6="","",CLIENTES!A6)</f>
        <v/>
      </c>
      <c r="B2284" s="90" t="s">
        <v>331</v>
      </c>
      <c r="C2284" s="91" t="s">
        <v>328</v>
      </c>
      <c r="D2284" s="109" t="s">
        <v>364</v>
      </c>
      <c r="E2284" s="67" t="str">
        <f>COLORES!A14</f>
        <v>Denim</v>
      </c>
      <c r="F2284" s="67" t="str">
        <f>COLORES!B14</f>
        <v>CLARO</v>
      </c>
      <c r="G2284" s="90" t="s">
        <v>378</v>
      </c>
      <c r="H2284" s="100">
        <f>IFERROR(SUMIFS(MOVIMIENTOS_COMPLEMENTOS!$I$4:$I$803,MOVIMIENTOS_COMPLEMENTOS!$C$4:$C$803,A2284,MOVIMIENTOS_COMPLEMENTOS!$D$4:$D$803,B2284,MOVIMIENTOS_COMPLEMENTOS!$E$4:$E$803,C2284,MOVIMIENTOS_COMPLEMENTOS!$F$4:$F$803,D2284,MOVIMIENTOS_COMPLEMENTOS!$G$4:$G$803,E2284,MOVIMIENTOS_COMPLEMENTOS!$H$4:$H$803,G2284,MOVIMIENTOS_COMPLEMENTOS!$B$4:$B$803,"INGRESO")+SUMIFS(MOVIMIENTOS_COMPLEMENTOS!$I$4:$I$803,MOVIMIENTOS_COMPLEMENTOS!$C$4:$C$803,A2284,MOVIMIENTOS_COMPLEMENTOS!$D$4:$D$803,B2284,MOVIMIENTOS_COMPLEMENTOS!$E$4:$E$803,C2284,MOVIMIENTOS_COMPLEMENTOS!$F$4:$F$803,D2284,MOVIMIENTOS_COMPLEMENTOS!$G$4:$G$803,E2284,MOVIMIENTOS_COMPLEMENTOS!$H$4:$H$803,G2284,MOVIMIENTOS_COMPLEMENTOS!$B$4:$B$803,"DE CORTE")-SUMIFS(MOVIMIENTOS_COMPLEMENTOS!$I$4:$I$803,MOVIMIENTOS_COMPLEMENTOS!$C$4:$C$803,A2284,MOVIMIENTOS_COMPLEMENTOS!$D$4:$D$803,B2284,MOVIMIENTOS_COMPLEMENTOS!$E$4:$E$803,C2284,MOVIMIENTOS_COMPLEMENTOS!$F$4:$F$803,D2284,MOVIMIENTOS_COMPLEMENTOS!$G$4:$G$803,E2284,MOVIMIENTOS_COMPLEMENTOS!$H$4:$H$803,G2284,MOVIMIENTOS_COMPLEMENTOS!$B$4:$B$803,"SALIDA"),0)</f>
        <v>0</v>
      </c>
      <c r="I2284" s="102">
        <f t="array" ref="I2284">IFERROR(INDEX(PRECIOS_COMPLEMENTOS!$C$4:$F$17,MATCH(B2284&amp;"_"&amp;C2284,PRECIOS_COMPLEMENTOS!$H$4:$H$17,0),IF(OR(G2284="S",G2284="20cm"),1,IF(OR(G2284="M",G2284="25cm"),2,IF(OR(G2284="L",G2284="30cm"),3,IF(OR(G2284="XL",G2284="35cm"),4,0))))),0)</f>
        <v>0.6</v>
      </c>
      <c r="J2284" s="103">
        <f t="shared" si="1"/>
        <v>0</v>
      </c>
      <c r="K2284" s="104" t="str">
        <f>IF(H2284&lt;0,"ERROR",IF(H2284=0,"",IF(H2284&lt;CONFIG!$B$4,"CRÍTICO",IF(H2284&lt;CONFIG!$B$5,"BAJO","OK"))))</f>
        <v/>
      </c>
    </row>
    <row r="2285" ht="15.75" hidden="1" customHeight="1">
      <c r="A2285" s="90" t="str">
        <f>IF(CLIENTES!A6="","",CLIENTES!A6)</f>
        <v/>
      </c>
      <c r="B2285" s="90" t="s">
        <v>331</v>
      </c>
      <c r="C2285" s="91" t="s">
        <v>328</v>
      </c>
      <c r="D2285" s="109" t="s">
        <v>364</v>
      </c>
      <c r="E2285" s="67" t="str">
        <f>COLORES!A14</f>
        <v>Denim</v>
      </c>
      <c r="F2285" s="67" t="str">
        <f>COLORES!B14</f>
        <v>CLARO</v>
      </c>
      <c r="G2285" s="90" t="s">
        <v>376</v>
      </c>
      <c r="H2285" s="100">
        <f>IFERROR(SUMIFS(MOVIMIENTOS_COMPLEMENTOS!$I$4:$I$803,MOVIMIENTOS_COMPLEMENTOS!$C$4:$C$803,A2285,MOVIMIENTOS_COMPLEMENTOS!$D$4:$D$803,B2285,MOVIMIENTOS_COMPLEMENTOS!$E$4:$E$803,C2285,MOVIMIENTOS_COMPLEMENTOS!$F$4:$F$803,D2285,MOVIMIENTOS_COMPLEMENTOS!$G$4:$G$803,E2285,MOVIMIENTOS_COMPLEMENTOS!$H$4:$H$803,G2285,MOVIMIENTOS_COMPLEMENTOS!$B$4:$B$803,"INGRESO")+SUMIFS(MOVIMIENTOS_COMPLEMENTOS!$I$4:$I$803,MOVIMIENTOS_COMPLEMENTOS!$C$4:$C$803,A2285,MOVIMIENTOS_COMPLEMENTOS!$D$4:$D$803,B2285,MOVIMIENTOS_COMPLEMENTOS!$E$4:$E$803,C2285,MOVIMIENTOS_COMPLEMENTOS!$F$4:$F$803,D2285,MOVIMIENTOS_COMPLEMENTOS!$G$4:$G$803,E2285,MOVIMIENTOS_COMPLEMENTOS!$H$4:$H$803,G2285,MOVIMIENTOS_COMPLEMENTOS!$B$4:$B$803,"DE CORTE")-SUMIFS(MOVIMIENTOS_COMPLEMENTOS!$I$4:$I$803,MOVIMIENTOS_COMPLEMENTOS!$C$4:$C$803,A2285,MOVIMIENTOS_COMPLEMENTOS!$D$4:$D$803,B2285,MOVIMIENTOS_COMPLEMENTOS!$E$4:$E$803,C2285,MOVIMIENTOS_COMPLEMENTOS!$F$4:$F$803,D2285,MOVIMIENTOS_COMPLEMENTOS!$G$4:$G$803,E2285,MOVIMIENTOS_COMPLEMENTOS!$H$4:$H$803,G2285,MOVIMIENTOS_COMPLEMENTOS!$B$4:$B$803,"SALIDA"),0)</f>
        <v>0</v>
      </c>
      <c r="I2285" s="102">
        <f t="array" ref="I2285">IFERROR(INDEX(PRECIOS_COMPLEMENTOS!$C$4:$F$17,MATCH(B2285&amp;"_"&amp;C2285,PRECIOS_COMPLEMENTOS!$H$4:$H$17,0),IF(OR(G2285="S",G2285="20cm"),1,IF(OR(G2285="M",G2285="25cm"),2,IF(OR(G2285="L",G2285="30cm"),3,IF(OR(G2285="XL",G2285="35cm"),4,0))))),0)</f>
        <v>0.6</v>
      </c>
      <c r="J2285" s="103">
        <f t="shared" si="1"/>
        <v>0</v>
      </c>
      <c r="K2285" s="104" t="str">
        <f>IF(H2285&lt;0,"ERROR",IF(H2285=0,"",IF(H2285&lt;CONFIG!$B$4,"CRÍTICO",IF(H2285&lt;CONFIG!$B$5,"BAJO","OK"))))</f>
        <v/>
      </c>
    </row>
    <row r="2286" ht="15.75" hidden="1" customHeight="1">
      <c r="A2286" s="90" t="str">
        <f>IF(CLIENTES!A6="","",CLIENTES!A6)</f>
        <v/>
      </c>
      <c r="B2286" s="90" t="s">
        <v>331</v>
      </c>
      <c r="C2286" s="91" t="s">
        <v>328</v>
      </c>
      <c r="D2286" s="109" t="s">
        <v>364</v>
      </c>
      <c r="E2286" s="67" t="str">
        <f>COLORES!A14</f>
        <v>Denim</v>
      </c>
      <c r="F2286" s="67" t="str">
        <f>COLORES!B14</f>
        <v>CLARO</v>
      </c>
      <c r="G2286" s="90" t="s">
        <v>377</v>
      </c>
      <c r="H2286" s="100">
        <f>IFERROR(SUMIFS(MOVIMIENTOS_COMPLEMENTOS!$I$4:$I$803,MOVIMIENTOS_COMPLEMENTOS!$C$4:$C$803,A2286,MOVIMIENTOS_COMPLEMENTOS!$D$4:$D$803,B2286,MOVIMIENTOS_COMPLEMENTOS!$E$4:$E$803,C2286,MOVIMIENTOS_COMPLEMENTOS!$F$4:$F$803,D2286,MOVIMIENTOS_COMPLEMENTOS!$G$4:$G$803,E2286,MOVIMIENTOS_COMPLEMENTOS!$H$4:$H$803,G2286,MOVIMIENTOS_COMPLEMENTOS!$B$4:$B$803,"INGRESO")+SUMIFS(MOVIMIENTOS_COMPLEMENTOS!$I$4:$I$803,MOVIMIENTOS_COMPLEMENTOS!$C$4:$C$803,A2286,MOVIMIENTOS_COMPLEMENTOS!$D$4:$D$803,B2286,MOVIMIENTOS_COMPLEMENTOS!$E$4:$E$803,C2286,MOVIMIENTOS_COMPLEMENTOS!$F$4:$F$803,D2286,MOVIMIENTOS_COMPLEMENTOS!$G$4:$G$803,E2286,MOVIMIENTOS_COMPLEMENTOS!$H$4:$H$803,G2286,MOVIMIENTOS_COMPLEMENTOS!$B$4:$B$803,"DE CORTE")-SUMIFS(MOVIMIENTOS_COMPLEMENTOS!$I$4:$I$803,MOVIMIENTOS_COMPLEMENTOS!$C$4:$C$803,A2286,MOVIMIENTOS_COMPLEMENTOS!$D$4:$D$803,B2286,MOVIMIENTOS_COMPLEMENTOS!$E$4:$E$803,C2286,MOVIMIENTOS_COMPLEMENTOS!$F$4:$F$803,D2286,MOVIMIENTOS_COMPLEMENTOS!$G$4:$G$803,E2286,MOVIMIENTOS_COMPLEMENTOS!$H$4:$H$803,G2286,MOVIMIENTOS_COMPLEMENTOS!$B$4:$B$803,"SALIDA"),0)</f>
        <v>0</v>
      </c>
      <c r="I2286" s="102">
        <f t="array" ref="I2286">IFERROR(INDEX(PRECIOS_COMPLEMENTOS!$C$4:$F$17,MATCH(B2286&amp;"_"&amp;C2286,PRECIOS_COMPLEMENTOS!$H$4:$H$17,0),IF(OR(G2286="S",G2286="20cm"),1,IF(OR(G2286="M",G2286="25cm"),2,IF(OR(G2286="L",G2286="30cm"),3,IF(OR(G2286="XL",G2286="35cm"),4,0))))),0)</f>
        <v>0.6</v>
      </c>
      <c r="J2286" s="103">
        <f t="shared" si="1"/>
        <v>0</v>
      </c>
      <c r="K2286" s="104" t="str">
        <f>IF(H2286&lt;0,"ERROR",IF(H2286=0,"",IF(H2286&lt;CONFIG!$B$4,"CRÍTICO",IF(H2286&lt;CONFIG!$B$5,"BAJO","OK"))))</f>
        <v/>
      </c>
    </row>
    <row r="2287" ht="15.75" hidden="1" customHeight="1">
      <c r="A2287" s="90" t="str">
        <f>IF(CLIENTES!A6="","",CLIENTES!A6)</f>
        <v/>
      </c>
      <c r="B2287" s="90" t="s">
        <v>331</v>
      </c>
      <c r="C2287" s="91" t="s">
        <v>328</v>
      </c>
      <c r="D2287" s="109" t="s">
        <v>364</v>
      </c>
      <c r="E2287" s="67" t="str">
        <f>COLORES!A14</f>
        <v>Denim</v>
      </c>
      <c r="F2287" s="67" t="str">
        <f>COLORES!B14</f>
        <v>CLARO</v>
      </c>
      <c r="G2287" s="90" t="s">
        <v>379</v>
      </c>
      <c r="H2287" s="100">
        <f>IFERROR(SUMIFS(MOVIMIENTOS_COMPLEMENTOS!$I$4:$I$803,MOVIMIENTOS_COMPLEMENTOS!$C$4:$C$803,A2287,MOVIMIENTOS_COMPLEMENTOS!$D$4:$D$803,B2287,MOVIMIENTOS_COMPLEMENTOS!$E$4:$E$803,C2287,MOVIMIENTOS_COMPLEMENTOS!$F$4:$F$803,D2287,MOVIMIENTOS_COMPLEMENTOS!$G$4:$G$803,E2287,MOVIMIENTOS_COMPLEMENTOS!$H$4:$H$803,G2287,MOVIMIENTOS_COMPLEMENTOS!$B$4:$B$803,"INGRESO")+SUMIFS(MOVIMIENTOS_COMPLEMENTOS!$I$4:$I$803,MOVIMIENTOS_COMPLEMENTOS!$C$4:$C$803,A2287,MOVIMIENTOS_COMPLEMENTOS!$D$4:$D$803,B2287,MOVIMIENTOS_COMPLEMENTOS!$E$4:$E$803,C2287,MOVIMIENTOS_COMPLEMENTOS!$F$4:$F$803,D2287,MOVIMIENTOS_COMPLEMENTOS!$G$4:$G$803,E2287,MOVIMIENTOS_COMPLEMENTOS!$H$4:$H$803,G2287,MOVIMIENTOS_COMPLEMENTOS!$B$4:$B$803,"DE CORTE")-SUMIFS(MOVIMIENTOS_COMPLEMENTOS!$I$4:$I$803,MOVIMIENTOS_COMPLEMENTOS!$C$4:$C$803,A2287,MOVIMIENTOS_COMPLEMENTOS!$D$4:$D$803,B2287,MOVIMIENTOS_COMPLEMENTOS!$E$4:$E$803,C2287,MOVIMIENTOS_COMPLEMENTOS!$F$4:$F$803,D2287,MOVIMIENTOS_COMPLEMENTOS!$G$4:$G$803,E2287,MOVIMIENTOS_COMPLEMENTOS!$H$4:$H$803,G2287,MOVIMIENTOS_COMPLEMENTOS!$B$4:$B$803,"SALIDA"),0)</f>
        <v>0</v>
      </c>
      <c r="I2287" s="102">
        <f t="array" ref="I2287">IFERROR(INDEX(PRECIOS_COMPLEMENTOS!$C$4:$F$17,MATCH(B2287&amp;"_"&amp;C2287,PRECIOS_COMPLEMENTOS!$H$4:$H$17,0),IF(OR(G2287="S",G2287="20cm"),1,IF(OR(G2287="M",G2287="25cm"),2,IF(OR(G2287="L",G2287="30cm"),3,IF(OR(G2287="XL",G2287="35cm"),4,0))))),0)</f>
        <v>0.6</v>
      </c>
      <c r="J2287" s="103">
        <f t="shared" si="1"/>
        <v>0</v>
      </c>
      <c r="K2287" s="104" t="str">
        <f>IF(H2287&lt;0,"ERROR",IF(H2287=0,"",IF(H2287&lt;CONFIG!$B$4,"CRÍTICO",IF(H2287&lt;CONFIG!$B$5,"BAJO","OK"))))</f>
        <v/>
      </c>
    </row>
    <row r="2288" ht="15.75" hidden="1" customHeight="1">
      <c r="A2288" s="90" t="str">
        <f>IF(CLIENTES!A6="","",CLIENTES!A6)</f>
        <v/>
      </c>
      <c r="B2288" s="90" t="s">
        <v>331</v>
      </c>
      <c r="C2288" s="91" t="s">
        <v>328</v>
      </c>
      <c r="D2288" s="109" t="s">
        <v>364</v>
      </c>
      <c r="E2288" s="67" t="str">
        <f>COLORES!A15</f>
        <v>Plomo</v>
      </c>
      <c r="F2288" s="67" t="str">
        <f>COLORES!B15</f>
        <v>OSCURO</v>
      </c>
      <c r="G2288" s="90" t="s">
        <v>378</v>
      </c>
      <c r="H2288" s="100">
        <f>IFERROR(SUMIFS(MOVIMIENTOS_COMPLEMENTOS!$I$4:$I$803,MOVIMIENTOS_COMPLEMENTOS!$C$4:$C$803,A2288,MOVIMIENTOS_COMPLEMENTOS!$D$4:$D$803,B2288,MOVIMIENTOS_COMPLEMENTOS!$E$4:$E$803,C2288,MOVIMIENTOS_COMPLEMENTOS!$F$4:$F$803,D2288,MOVIMIENTOS_COMPLEMENTOS!$G$4:$G$803,E2288,MOVIMIENTOS_COMPLEMENTOS!$H$4:$H$803,G2288,MOVIMIENTOS_COMPLEMENTOS!$B$4:$B$803,"INGRESO")+SUMIFS(MOVIMIENTOS_COMPLEMENTOS!$I$4:$I$803,MOVIMIENTOS_COMPLEMENTOS!$C$4:$C$803,A2288,MOVIMIENTOS_COMPLEMENTOS!$D$4:$D$803,B2288,MOVIMIENTOS_COMPLEMENTOS!$E$4:$E$803,C2288,MOVIMIENTOS_COMPLEMENTOS!$F$4:$F$803,D2288,MOVIMIENTOS_COMPLEMENTOS!$G$4:$G$803,E2288,MOVIMIENTOS_COMPLEMENTOS!$H$4:$H$803,G2288,MOVIMIENTOS_COMPLEMENTOS!$B$4:$B$803,"DE CORTE")-SUMIFS(MOVIMIENTOS_COMPLEMENTOS!$I$4:$I$803,MOVIMIENTOS_COMPLEMENTOS!$C$4:$C$803,A2288,MOVIMIENTOS_COMPLEMENTOS!$D$4:$D$803,B2288,MOVIMIENTOS_COMPLEMENTOS!$E$4:$E$803,C2288,MOVIMIENTOS_COMPLEMENTOS!$F$4:$F$803,D2288,MOVIMIENTOS_COMPLEMENTOS!$G$4:$G$803,E2288,MOVIMIENTOS_COMPLEMENTOS!$H$4:$H$803,G2288,MOVIMIENTOS_COMPLEMENTOS!$B$4:$B$803,"SALIDA"),0)</f>
        <v>0</v>
      </c>
      <c r="I2288" s="102">
        <f t="array" ref="I2288">IFERROR(INDEX(PRECIOS_COMPLEMENTOS!$C$4:$F$17,MATCH(B2288&amp;"_"&amp;C2288,PRECIOS_COMPLEMENTOS!$H$4:$H$17,0),IF(OR(G2288="S",G2288="20cm"),1,IF(OR(G2288="M",G2288="25cm"),2,IF(OR(G2288="L",G2288="30cm"),3,IF(OR(G2288="XL",G2288="35cm"),4,0))))),0)</f>
        <v>0.6</v>
      </c>
      <c r="J2288" s="103">
        <f t="shared" si="1"/>
        <v>0</v>
      </c>
      <c r="K2288" s="104" t="str">
        <f>IF(H2288&lt;0,"ERROR",IF(H2288=0,"",IF(H2288&lt;CONFIG!$B$4,"CRÍTICO",IF(H2288&lt;CONFIG!$B$5,"BAJO","OK"))))</f>
        <v/>
      </c>
    </row>
    <row r="2289" ht="15.75" hidden="1" customHeight="1">
      <c r="A2289" s="90" t="str">
        <f>IF(CLIENTES!A6="","",CLIENTES!A6)</f>
        <v/>
      </c>
      <c r="B2289" s="90" t="s">
        <v>331</v>
      </c>
      <c r="C2289" s="91" t="s">
        <v>328</v>
      </c>
      <c r="D2289" s="109" t="s">
        <v>364</v>
      </c>
      <c r="E2289" s="67" t="str">
        <f>COLORES!A15</f>
        <v>Plomo</v>
      </c>
      <c r="F2289" s="67" t="str">
        <f>COLORES!B15</f>
        <v>OSCURO</v>
      </c>
      <c r="G2289" s="90" t="s">
        <v>376</v>
      </c>
      <c r="H2289" s="100">
        <f>IFERROR(SUMIFS(MOVIMIENTOS_COMPLEMENTOS!$I$4:$I$803,MOVIMIENTOS_COMPLEMENTOS!$C$4:$C$803,A2289,MOVIMIENTOS_COMPLEMENTOS!$D$4:$D$803,B2289,MOVIMIENTOS_COMPLEMENTOS!$E$4:$E$803,C2289,MOVIMIENTOS_COMPLEMENTOS!$F$4:$F$803,D2289,MOVIMIENTOS_COMPLEMENTOS!$G$4:$G$803,E2289,MOVIMIENTOS_COMPLEMENTOS!$H$4:$H$803,G2289,MOVIMIENTOS_COMPLEMENTOS!$B$4:$B$803,"INGRESO")+SUMIFS(MOVIMIENTOS_COMPLEMENTOS!$I$4:$I$803,MOVIMIENTOS_COMPLEMENTOS!$C$4:$C$803,A2289,MOVIMIENTOS_COMPLEMENTOS!$D$4:$D$803,B2289,MOVIMIENTOS_COMPLEMENTOS!$E$4:$E$803,C2289,MOVIMIENTOS_COMPLEMENTOS!$F$4:$F$803,D2289,MOVIMIENTOS_COMPLEMENTOS!$G$4:$G$803,E2289,MOVIMIENTOS_COMPLEMENTOS!$H$4:$H$803,G2289,MOVIMIENTOS_COMPLEMENTOS!$B$4:$B$803,"DE CORTE")-SUMIFS(MOVIMIENTOS_COMPLEMENTOS!$I$4:$I$803,MOVIMIENTOS_COMPLEMENTOS!$C$4:$C$803,A2289,MOVIMIENTOS_COMPLEMENTOS!$D$4:$D$803,B2289,MOVIMIENTOS_COMPLEMENTOS!$E$4:$E$803,C2289,MOVIMIENTOS_COMPLEMENTOS!$F$4:$F$803,D2289,MOVIMIENTOS_COMPLEMENTOS!$G$4:$G$803,E2289,MOVIMIENTOS_COMPLEMENTOS!$H$4:$H$803,G2289,MOVIMIENTOS_COMPLEMENTOS!$B$4:$B$803,"SALIDA"),0)</f>
        <v>0</v>
      </c>
      <c r="I2289" s="102">
        <f t="array" ref="I2289">IFERROR(INDEX(PRECIOS_COMPLEMENTOS!$C$4:$F$17,MATCH(B2289&amp;"_"&amp;C2289,PRECIOS_COMPLEMENTOS!$H$4:$H$17,0),IF(OR(G2289="S",G2289="20cm"),1,IF(OR(G2289="M",G2289="25cm"),2,IF(OR(G2289="L",G2289="30cm"),3,IF(OR(G2289="XL",G2289="35cm"),4,0))))),0)</f>
        <v>0.6</v>
      </c>
      <c r="J2289" s="103">
        <f t="shared" si="1"/>
        <v>0</v>
      </c>
      <c r="K2289" s="104" t="str">
        <f>IF(H2289&lt;0,"ERROR",IF(H2289=0,"",IF(H2289&lt;CONFIG!$B$4,"CRÍTICO",IF(H2289&lt;CONFIG!$B$5,"BAJO","OK"))))</f>
        <v/>
      </c>
    </row>
    <row r="2290" ht="15.75" hidden="1" customHeight="1">
      <c r="A2290" s="90" t="str">
        <f>IF(CLIENTES!A6="","",CLIENTES!A6)</f>
        <v/>
      </c>
      <c r="B2290" s="90" t="s">
        <v>331</v>
      </c>
      <c r="C2290" s="91" t="s">
        <v>328</v>
      </c>
      <c r="D2290" s="109" t="s">
        <v>364</v>
      </c>
      <c r="E2290" s="67" t="str">
        <f>COLORES!A15</f>
        <v>Plomo</v>
      </c>
      <c r="F2290" s="67" t="str">
        <f>COLORES!B15</f>
        <v>OSCURO</v>
      </c>
      <c r="G2290" s="90" t="s">
        <v>377</v>
      </c>
      <c r="H2290" s="100">
        <f>IFERROR(SUMIFS(MOVIMIENTOS_COMPLEMENTOS!$I$4:$I$803,MOVIMIENTOS_COMPLEMENTOS!$C$4:$C$803,A2290,MOVIMIENTOS_COMPLEMENTOS!$D$4:$D$803,B2290,MOVIMIENTOS_COMPLEMENTOS!$E$4:$E$803,C2290,MOVIMIENTOS_COMPLEMENTOS!$F$4:$F$803,D2290,MOVIMIENTOS_COMPLEMENTOS!$G$4:$G$803,E2290,MOVIMIENTOS_COMPLEMENTOS!$H$4:$H$803,G2290,MOVIMIENTOS_COMPLEMENTOS!$B$4:$B$803,"INGRESO")+SUMIFS(MOVIMIENTOS_COMPLEMENTOS!$I$4:$I$803,MOVIMIENTOS_COMPLEMENTOS!$C$4:$C$803,A2290,MOVIMIENTOS_COMPLEMENTOS!$D$4:$D$803,B2290,MOVIMIENTOS_COMPLEMENTOS!$E$4:$E$803,C2290,MOVIMIENTOS_COMPLEMENTOS!$F$4:$F$803,D2290,MOVIMIENTOS_COMPLEMENTOS!$G$4:$G$803,E2290,MOVIMIENTOS_COMPLEMENTOS!$H$4:$H$803,G2290,MOVIMIENTOS_COMPLEMENTOS!$B$4:$B$803,"DE CORTE")-SUMIFS(MOVIMIENTOS_COMPLEMENTOS!$I$4:$I$803,MOVIMIENTOS_COMPLEMENTOS!$C$4:$C$803,A2290,MOVIMIENTOS_COMPLEMENTOS!$D$4:$D$803,B2290,MOVIMIENTOS_COMPLEMENTOS!$E$4:$E$803,C2290,MOVIMIENTOS_COMPLEMENTOS!$F$4:$F$803,D2290,MOVIMIENTOS_COMPLEMENTOS!$G$4:$G$803,E2290,MOVIMIENTOS_COMPLEMENTOS!$H$4:$H$803,G2290,MOVIMIENTOS_COMPLEMENTOS!$B$4:$B$803,"SALIDA"),0)</f>
        <v>0</v>
      </c>
      <c r="I2290" s="102">
        <f t="array" ref="I2290">IFERROR(INDEX(PRECIOS_COMPLEMENTOS!$C$4:$F$17,MATCH(B2290&amp;"_"&amp;C2290,PRECIOS_COMPLEMENTOS!$H$4:$H$17,0),IF(OR(G2290="S",G2290="20cm"),1,IF(OR(G2290="M",G2290="25cm"),2,IF(OR(G2290="L",G2290="30cm"),3,IF(OR(G2290="XL",G2290="35cm"),4,0))))),0)</f>
        <v>0.6</v>
      </c>
      <c r="J2290" s="103">
        <f t="shared" si="1"/>
        <v>0</v>
      </c>
      <c r="K2290" s="104" t="str">
        <f>IF(H2290&lt;0,"ERROR",IF(H2290=0,"",IF(H2290&lt;CONFIG!$B$4,"CRÍTICO",IF(H2290&lt;CONFIG!$B$5,"BAJO","OK"))))</f>
        <v/>
      </c>
    </row>
    <row r="2291" ht="15.75" hidden="1" customHeight="1">
      <c r="A2291" s="90" t="str">
        <f>IF(CLIENTES!A6="","",CLIENTES!A6)</f>
        <v/>
      </c>
      <c r="B2291" s="90" t="s">
        <v>331</v>
      </c>
      <c r="C2291" s="91" t="s">
        <v>328</v>
      </c>
      <c r="D2291" s="109" t="s">
        <v>364</v>
      </c>
      <c r="E2291" s="67" t="str">
        <f>COLORES!A15</f>
        <v>Plomo</v>
      </c>
      <c r="F2291" s="67" t="str">
        <f>COLORES!B15</f>
        <v>OSCURO</v>
      </c>
      <c r="G2291" s="90" t="s">
        <v>379</v>
      </c>
      <c r="H2291" s="100">
        <f>IFERROR(SUMIFS(MOVIMIENTOS_COMPLEMENTOS!$I$4:$I$803,MOVIMIENTOS_COMPLEMENTOS!$C$4:$C$803,A2291,MOVIMIENTOS_COMPLEMENTOS!$D$4:$D$803,B2291,MOVIMIENTOS_COMPLEMENTOS!$E$4:$E$803,C2291,MOVIMIENTOS_COMPLEMENTOS!$F$4:$F$803,D2291,MOVIMIENTOS_COMPLEMENTOS!$G$4:$G$803,E2291,MOVIMIENTOS_COMPLEMENTOS!$H$4:$H$803,G2291,MOVIMIENTOS_COMPLEMENTOS!$B$4:$B$803,"INGRESO")+SUMIFS(MOVIMIENTOS_COMPLEMENTOS!$I$4:$I$803,MOVIMIENTOS_COMPLEMENTOS!$C$4:$C$803,A2291,MOVIMIENTOS_COMPLEMENTOS!$D$4:$D$803,B2291,MOVIMIENTOS_COMPLEMENTOS!$E$4:$E$803,C2291,MOVIMIENTOS_COMPLEMENTOS!$F$4:$F$803,D2291,MOVIMIENTOS_COMPLEMENTOS!$G$4:$G$803,E2291,MOVIMIENTOS_COMPLEMENTOS!$H$4:$H$803,G2291,MOVIMIENTOS_COMPLEMENTOS!$B$4:$B$803,"DE CORTE")-SUMIFS(MOVIMIENTOS_COMPLEMENTOS!$I$4:$I$803,MOVIMIENTOS_COMPLEMENTOS!$C$4:$C$803,A2291,MOVIMIENTOS_COMPLEMENTOS!$D$4:$D$803,B2291,MOVIMIENTOS_COMPLEMENTOS!$E$4:$E$803,C2291,MOVIMIENTOS_COMPLEMENTOS!$F$4:$F$803,D2291,MOVIMIENTOS_COMPLEMENTOS!$G$4:$G$803,E2291,MOVIMIENTOS_COMPLEMENTOS!$H$4:$H$803,G2291,MOVIMIENTOS_COMPLEMENTOS!$B$4:$B$803,"SALIDA"),0)</f>
        <v>0</v>
      </c>
      <c r="I2291" s="102">
        <f t="array" ref="I2291">IFERROR(INDEX(PRECIOS_COMPLEMENTOS!$C$4:$F$17,MATCH(B2291&amp;"_"&amp;C2291,PRECIOS_COMPLEMENTOS!$H$4:$H$17,0),IF(OR(G2291="S",G2291="20cm"),1,IF(OR(G2291="M",G2291="25cm"),2,IF(OR(G2291="L",G2291="30cm"),3,IF(OR(G2291="XL",G2291="35cm"),4,0))))),0)</f>
        <v>0.6</v>
      </c>
      <c r="J2291" s="103">
        <f t="shared" si="1"/>
        <v>0</v>
      </c>
      <c r="K2291" s="104" t="str">
        <f>IF(H2291&lt;0,"ERROR",IF(H2291=0,"",IF(H2291&lt;CONFIG!$B$4,"CRÍTICO",IF(H2291&lt;CONFIG!$B$5,"BAJO","OK"))))</f>
        <v/>
      </c>
    </row>
    <row r="2292" ht="15.75" hidden="1" customHeight="1">
      <c r="A2292" s="90" t="str">
        <f>IF(CLIENTES!A6="","",CLIENTES!A6)</f>
        <v/>
      </c>
      <c r="B2292" s="90" t="s">
        <v>331</v>
      </c>
      <c r="C2292" s="91" t="s">
        <v>328</v>
      </c>
      <c r="D2292" s="109" t="s">
        <v>364</v>
      </c>
      <c r="E2292" s="67" t="str">
        <f>COLORES!A16</f>
        <v>Topo</v>
      </c>
      <c r="F2292" s="67" t="str">
        <f>COLORES!B16</f>
        <v>CLARO</v>
      </c>
      <c r="G2292" s="90" t="s">
        <v>378</v>
      </c>
      <c r="H2292" s="100">
        <f>IFERROR(SUMIFS(MOVIMIENTOS_COMPLEMENTOS!$I$4:$I$803,MOVIMIENTOS_COMPLEMENTOS!$C$4:$C$803,A2292,MOVIMIENTOS_COMPLEMENTOS!$D$4:$D$803,B2292,MOVIMIENTOS_COMPLEMENTOS!$E$4:$E$803,C2292,MOVIMIENTOS_COMPLEMENTOS!$F$4:$F$803,D2292,MOVIMIENTOS_COMPLEMENTOS!$G$4:$G$803,E2292,MOVIMIENTOS_COMPLEMENTOS!$H$4:$H$803,G2292,MOVIMIENTOS_COMPLEMENTOS!$B$4:$B$803,"INGRESO")+SUMIFS(MOVIMIENTOS_COMPLEMENTOS!$I$4:$I$803,MOVIMIENTOS_COMPLEMENTOS!$C$4:$C$803,A2292,MOVIMIENTOS_COMPLEMENTOS!$D$4:$D$803,B2292,MOVIMIENTOS_COMPLEMENTOS!$E$4:$E$803,C2292,MOVIMIENTOS_COMPLEMENTOS!$F$4:$F$803,D2292,MOVIMIENTOS_COMPLEMENTOS!$G$4:$G$803,E2292,MOVIMIENTOS_COMPLEMENTOS!$H$4:$H$803,G2292,MOVIMIENTOS_COMPLEMENTOS!$B$4:$B$803,"DE CORTE")-SUMIFS(MOVIMIENTOS_COMPLEMENTOS!$I$4:$I$803,MOVIMIENTOS_COMPLEMENTOS!$C$4:$C$803,A2292,MOVIMIENTOS_COMPLEMENTOS!$D$4:$D$803,B2292,MOVIMIENTOS_COMPLEMENTOS!$E$4:$E$803,C2292,MOVIMIENTOS_COMPLEMENTOS!$F$4:$F$803,D2292,MOVIMIENTOS_COMPLEMENTOS!$G$4:$G$803,E2292,MOVIMIENTOS_COMPLEMENTOS!$H$4:$H$803,G2292,MOVIMIENTOS_COMPLEMENTOS!$B$4:$B$803,"SALIDA"),0)</f>
        <v>0</v>
      </c>
      <c r="I2292" s="102">
        <f t="array" ref="I2292">IFERROR(INDEX(PRECIOS_COMPLEMENTOS!$C$4:$F$17,MATCH(B2292&amp;"_"&amp;C2292,PRECIOS_COMPLEMENTOS!$H$4:$H$17,0),IF(OR(G2292="S",G2292="20cm"),1,IF(OR(G2292="M",G2292="25cm"),2,IF(OR(G2292="L",G2292="30cm"),3,IF(OR(G2292="XL",G2292="35cm"),4,0))))),0)</f>
        <v>0.6</v>
      </c>
      <c r="J2292" s="103">
        <f t="shared" si="1"/>
        <v>0</v>
      </c>
      <c r="K2292" s="104" t="str">
        <f>IF(H2292&lt;0,"ERROR",IF(H2292=0,"",IF(H2292&lt;CONFIG!$B$4,"CRÍTICO",IF(H2292&lt;CONFIG!$B$5,"BAJO","OK"))))</f>
        <v/>
      </c>
    </row>
    <row r="2293" ht="15.75" hidden="1" customHeight="1">
      <c r="A2293" s="90" t="str">
        <f>IF(CLIENTES!A6="","",CLIENTES!A6)</f>
        <v/>
      </c>
      <c r="B2293" s="90" t="s">
        <v>331</v>
      </c>
      <c r="C2293" s="91" t="s">
        <v>328</v>
      </c>
      <c r="D2293" s="109" t="s">
        <v>364</v>
      </c>
      <c r="E2293" s="67" t="str">
        <f>COLORES!A16</f>
        <v>Topo</v>
      </c>
      <c r="F2293" s="67" t="str">
        <f>COLORES!B16</f>
        <v>CLARO</v>
      </c>
      <c r="G2293" s="90" t="s">
        <v>376</v>
      </c>
      <c r="H2293" s="100">
        <f>IFERROR(SUMIFS(MOVIMIENTOS_COMPLEMENTOS!$I$4:$I$803,MOVIMIENTOS_COMPLEMENTOS!$C$4:$C$803,A2293,MOVIMIENTOS_COMPLEMENTOS!$D$4:$D$803,B2293,MOVIMIENTOS_COMPLEMENTOS!$E$4:$E$803,C2293,MOVIMIENTOS_COMPLEMENTOS!$F$4:$F$803,D2293,MOVIMIENTOS_COMPLEMENTOS!$G$4:$G$803,E2293,MOVIMIENTOS_COMPLEMENTOS!$H$4:$H$803,G2293,MOVIMIENTOS_COMPLEMENTOS!$B$4:$B$803,"INGRESO")+SUMIFS(MOVIMIENTOS_COMPLEMENTOS!$I$4:$I$803,MOVIMIENTOS_COMPLEMENTOS!$C$4:$C$803,A2293,MOVIMIENTOS_COMPLEMENTOS!$D$4:$D$803,B2293,MOVIMIENTOS_COMPLEMENTOS!$E$4:$E$803,C2293,MOVIMIENTOS_COMPLEMENTOS!$F$4:$F$803,D2293,MOVIMIENTOS_COMPLEMENTOS!$G$4:$G$803,E2293,MOVIMIENTOS_COMPLEMENTOS!$H$4:$H$803,G2293,MOVIMIENTOS_COMPLEMENTOS!$B$4:$B$803,"DE CORTE")-SUMIFS(MOVIMIENTOS_COMPLEMENTOS!$I$4:$I$803,MOVIMIENTOS_COMPLEMENTOS!$C$4:$C$803,A2293,MOVIMIENTOS_COMPLEMENTOS!$D$4:$D$803,B2293,MOVIMIENTOS_COMPLEMENTOS!$E$4:$E$803,C2293,MOVIMIENTOS_COMPLEMENTOS!$F$4:$F$803,D2293,MOVIMIENTOS_COMPLEMENTOS!$G$4:$G$803,E2293,MOVIMIENTOS_COMPLEMENTOS!$H$4:$H$803,G2293,MOVIMIENTOS_COMPLEMENTOS!$B$4:$B$803,"SALIDA"),0)</f>
        <v>0</v>
      </c>
      <c r="I2293" s="102">
        <f t="array" ref="I2293">IFERROR(INDEX(PRECIOS_COMPLEMENTOS!$C$4:$F$17,MATCH(B2293&amp;"_"&amp;C2293,PRECIOS_COMPLEMENTOS!$H$4:$H$17,0),IF(OR(G2293="S",G2293="20cm"),1,IF(OR(G2293="M",G2293="25cm"),2,IF(OR(G2293="L",G2293="30cm"),3,IF(OR(G2293="XL",G2293="35cm"),4,0))))),0)</f>
        <v>0.6</v>
      </c>
      <c r="J2293" s="103">
        <f t="shared" si="1"/>
        <v>0</v>
      </c>
      <c r="K2293" s="104" t="str">
        <f>IF(H2293&lt;0,"ERROR",IF(H2293=0,"",IF(H2293&lt;CONFIG!$B$4,"CRÍTICO",IF(H2293&lt;CONFIG!$B$5,"BAJO","OK"))))</f>
        <v/>
      </c>
    </row>
    <row r="2294" ht="15.75" hidden="1" customHeight="1">
      <c r="A2294" s="90" t="str">
        <f>IF(CLIENTES!A6="","",CLIENTES!A6)</f>
        <v/>
      </c>
      <c r="B2294" s="90" t="s">
        <v>331</v>
      </c>
      <c r="C2294" s="91" t="s">
        <v>328</v>
      </c>
      <c r="D2294" s="109" t="s">
        <v>364</v>
      </c>
      <c r="E2294" s="67" t="str">
        <f>COLORES!A16</f>
        <v>Topo</v>
      </c>
      <c r="F2294" s="67" t="str">
        <f>COLORES!B16</f>
        <v>CLARO</v>
      </c>
      <c r="G2294" s="90" t="s">
        <v>377</v>
      </c>
      <c r="H2294" s="100">
        <f>IFERROR(SUMIFS(MOVIMIENTOS_COMPLEMENTOS!$I$4:$I$803,MOVIMIENTOS_COMPLEMENTOS!$C$4:$C$803,A2294,MOVIMIENTOS_COMPLEMENTOS!$D$4:$D$803,B2294,MOVIMIENTOS_COMPLEMENTOS!$E$4:$E$803,C2294,MOVIMIENTOS_COMPLEMENTOS!$F$4:$F$803,D2294,MOVIMIENTOS_COMPLEMENTOS!$G$4:$G$803,E2294,MOVIMIENTOS_COMPLEMENTOS!$H$4:$H$803,G2294,MOVIMIENTOS_COMPLEMENTOS!$B$4:$B$803,"INGRESO")+SUMIFS(MOVIMIENTOS_COMPLEMENTOS!$I$4:$I$803,MOVIMIENTOS_COMPLEMENTOS!$C$4:$C$803,A2294,MOVIMIENTOS_COMPLEMENTOS!$D$4:$D$803,B2294,MOVIMIENTOS_COMPLEMENTOS!$E$4:$E$803,C2294,MOVIMIENTOS_COMPLEMENTOS!$F$4:$F$803,D2294,MOVIMIENTOS_COMPLEMENTOS!$G$4:$G$803,E2294,MOVIMIENTOS_COMPLEMENTOS!$H$4:$H$803,G2294,MOVIMIENTOS_COMPLEMENTOS!$B$4:$B$803,"DE CORTE")-SUMIFS(MOVIMIENTOS_COMPLEMENTOS!$I$4:$I$803,MOVIMIENTOS_COMPLEMENTOS!$C$4:$C$803,A2294,MOVIMIENTOS_COMPLEMENTOS!$D$4:$D$803,B2294,MOVIMIENTOS_COMPLEMENTOS!$E$4:$E$803,C2294,MOVIMIENTOS_COMPLEMENTOS!$F$4:$F$803,D2294,MOVIMIENTOS_COMPLEMENTOS!$G$4:$G$803,E2294,MOVIMIENTOS_COMPLEMENTOS!$H$4:$H$803,G2294,MOVIMIENTOS_COMPLEMENTOS!$B$4:$B$803,"SALIDA"),0)</f>
        <v>0</v>
      </c>
      <c r="I2294" s="102">
        <f t="array" ref="I2294">IFERROR(INDEX(PRECIOS_COMPLEMENTOS!$C$4:$F$17,MATCH(B2294&amp;"_"&amp;C2294,PRECIOS_COMPLEMENTOS!$H$4:$H$17,0),IF(OR(G2294="S",G2294="20cm"),1,IF(OR(G2294="M",G2294="25cm"),2,IF(OR(G2294="L",G2294="30cm"),3,IF(OR(G2294="XL",G2294="35cm"),4,0))))),0)</f>
        <v>0.6</v>
      </c>
      <c r="J2294" s="103">
        <f t="shared" si="1"/>
        <v>0</v>
      </c>
      <c r="K2294" s="104" t="str">
        <f>IF(H2294&lt;0,"ERROR",IF(H2294=0,"",IF(H2294&lt;CONFIG!$B$4,"CRÍTICO",IF(H2294&lt;CONFIG!$B$5,"BAJO","OK"))))</f>
        <v/>
      </c>
    </row>
    <row r="2295" ht="15.75" hidden="1" customHeight="1">
      <c r="A2295" s="90" t="str">
        <f>IF(CLIENTES!A6="","",CLIENTES!A6)</f>
        <v/>
      </c>
      <c r="B2295" s="90" t="s">
        <v>331</v>
      </c>
      <c r="C2295" s="91" t="s">
        <v>328</v>
      </c>
      <c r="D2295" s="109" t="s">
        <v>364</v>
      </c>
      <c r="E2295" s="67" t="str">
        <f>COLORES!A16</f>
        <v>Topo</v>
      </c>
      <c r="F2295" s="67" t="str">
        <f>COLORES!B16</f>
        <v>CLARO</v>
      </c>
      <c r="G2295" s="90" t="s">
        <v>379</v>
      </c>
      <c r="H2295" s="100">
        <f>IFERROR(SUMIFS(MOVIMIENTOS_COMPLEMENTOS!$I$4:$I$803,MOVIMIENTOS_COMPLEMENTOS!$C$4:$C$803,A2295,MOVIMIENTOS_COMPLEMENTOS!$D$4:$D$803,B2295,MOVIMIENTOS_COMPLEMENTOS!$E$4:$E$803,C2295,MOVIMIENTOS_COMPLEMENTOS!$F$4:$F$803,D2295,MOVIMIENTOS_COMPLEMENTOS!$G$4:$G$803,E2295,MOVIMIENTOS_COMPLEMENTOS!$H$4:$H$803,G2295,MOVIMIENTOS_COMPLEMENTOS!$B$4:$B$803,"INGRESO")+SUMIFS(MOVIMIENTOS_COMPLEMENTOS!$I$4:$I$803,MOVIMIENTOS_COMPLEMENTOS!$C$4:$C$803,A2295,MOVIMIENTOS_COMPLEMENTOS!$D$4:$D$803,B2295,MOVIMIENTOS_COMPLEMENTOS!$E$4:$E$803,C2295,MOVIMIENTOS_COMPLEMENTOS!$F$4:$F$803,D2295,MOVIMIENTOS_COMPLEMENTOS!$G$4:$G$803,E2295,MOVIMIENTOS_COMPLEMENTOS!$H$4:$H$803,G2295,MOVIMIENTOS_COMPLEMENTOS!$B$4:$B$803,"DE CORTE")-SUMIFS(MOVIMIENTOS_COMPLEMENTOS!$I$4:$I$803,MOVIMIENTOS_COMPLEMENTOS!$C$4:$C$803,A2295,MOVIMIENTOS_COMPLEMENTOS!$D$4:$D$803,B2295,MOVIMIENTOS_COMPLEMENTOS!$E$4:$E$803,C2295,MOVIMIENTOS_COMPLEMENTOS!$F$4:$F$803,D2295,MOVIMIENTOS_COMPLEMENTOS!$G$4:$G$803,E2295,MOVIMIENTOS_COMPLEMENTOS!$H$4:$H$803,G2295,MOVIMIENTOS_COMPLEMENTOS!$B$4:$B$803,"SALIDA"),0)</f>
        <v>0</v>
      </c>
      <c r="I2295" s="102">
        <f t="array" ref="I2295">IFERROR(INDEX(PRECIOS_COMPLEMENTOS!$C$4:$F$17,MATCH(B2295&amp;"_"&amp;C2295,PRECIOS_COMPLEMENTOS!$H$4:$H$17,0),IF(OR(G2295="S",G2295="20cm"),1,IF(OR(G2295="M",G2295="25cm"),2,IF(OR(G2295="L",G2295="30cm"),3,IF(OR(G2295="XL",G2295="35cm"),4,0))))),0)</f>
        <v>0.6</v>
      </c>
      <c r="J2295" s="103">
        <f t="shared" si="1"/>
        <v>0</v>
      </c>
      <c r="K2295" s="104" t="str">
        <f>IF(H2295&lt;0,"ERROR",IF(H2295=0,"",IF(H2295&lt;CONFIG!$B$4,"CRÍTICO",IF(H2295&lt;CONFIG!$B$5,"BAJO","OK"))))</f>
        <v/>
      </c>
    </row>
    <row r="2296" ht="15.75" hidden="1" customHeight="1">
      <c r="A2296" s="90" t="str">
        <f>IF(CLIENTES!A6="","",CLIENTES!A6)</f>
        <v/>
      </c>
      <c r="B2296" s="90" t="s">
        <v>331</v>
      </c>
      <c r="C2296" s="91" t="s">
        <v>328</v>
      </c>
      <c r="D2296" s="109" t="s">
        <v>364</v>
      </c>
      <c r="E2296" s="67" t="str">
        <f>COLORES!A17</f>
        <v>Vino</v>
      </c>
      <c r="F2296" s="67" t="str">
        <f>COLORES!B17</f>
        <v>OSCURO</v>
      </c>
      <c r="G2296" s="90" t="s">
        <v>378</v>
      </c>
      <c r="H2296" s="100">
        <f>IFERROR(SUMIFS(MOVIMIENTOS_COMPLEMENTOS!$I$4:$I$803,MOVIMIENTOS_COMPLEMENTOS!$C$4:$C$803,A2296,MOVIMIENTOS_COMPLEMENTOS!$D$4:$D$803,B2296,MOVIMIENTOS_COMPLEMENTOS!$E$4:$E$803,C2296,MOVIMIENTOS_COMPLEMENTOS!$F$4:$F$803,D2296,MOVIMIENTOS_COMPLEMENTOS!$G$4:$G$803,E2296,MOVIMIENTOS_COMPLEMENTOS!$H$4:$H$803,G2296,MOVIMIENTOS_COMPLEMENTOS!$B$4:$B$803,"INGRESO")+SUMIFS(MOVIMIENTOS_COMPLEMENTOS!$I$4:$I$803,MOVIMIENTOS_COMPLEMENTOS!$C$4:$C$803,A2296,MOVIMIENTOS_COMPLEMENTOS!$D$4:$D$803,B2296,MOVIMIENTOS_COMPLEMENTOS!$E$4:$E$803,C2296,MOVIMIENTOS_COMPLEMENTOS!$F$4:$F$803,D2296,MOVIMIENTOS_COMPLEMENTOS!$G$4:$G$803,E2296,MOVIMIENTOS_COMPLEMENTOS!$H$4:$H$803,G2296,MOVIMIENTOS_COMPLEMENTOS!$B$4:$B$803,"DE CORTE")-SUMIFS(MOVIMIENTOS_COMPLEMENTOS!$I$4:$I$803,MOVIMIENTOS_COMPLEMENTOS!$C$4:$C$803,A2296,MOVIMIENTOS_COMPLEMENTOS!$D$4:$D$803,B2296,MOVIMIENTOS_COMPLEMENTOS!$E$4:$E$803,C2296,MOVIMIENTOS_COMPLEMENTOS!$F$4:$F$803,D2296,MOVIMIENTOS_COMPLEMENTOS!$G$4:$G$803,E2296,MOVIMIENTOS_COMPLEMENTOS!$H$4:$H$803,G2296,MOVIMIENTOS_COMPLEMENTOS!$B$4:$B$803,"SALIDA"),0)</f>
        <v>0</v>
      </c>
      <c r="I2296" s="102">
        <f t="array" ref="I2296">IFERROR(INDEX(PRECIOS_COMPLEMENTOS!$C$4:$F$17,MATCH(B2296&amp;"_"&amp;C2296,PRECIOS_COMPLEMENTOS!$H$4:$H$17,0),IF(OR(G2296="S",G2296="20cm"),1,IF(OR(G2296="M",G2296="25cm"),2,IF(OR(G2296="L",G2296="30cm"),3,IF(OR(G2296="XL",G2296="35cm"),4,0))))),0)</f>
        <v>0.6</v>
      </c>
      <c r="J2296" s="103">
        <f t="shared" si="1"/>
        <v>0</v>
      </c>
      <c r="K2296" s="104" t="str">
        <f>IF(H2296&lt;0,"ERROR",IF(H2296=0,"",IF(H2296&lt;CONFIG!$B$4,"CRÍTICO",IF(H2296&lt;CONFIG!$B$5,"BAJO","OK"))))</f>
        <v/>
      </c>
    </row>
    <row r="2297" ht="15.75" hidden="1" customHeight="1">
      <c r="A2297" s="90" t="str">
        <f>IF(CLIENTES!A6="","",CLIENTES!A6)</f>
        <v/>
      </c>
      <c r="B2297" s="90" t="s">
        <v>331</v>
      </c>
      <c r="C2297" s="91" t="s">
        <v>328</v>
      </c>
      <c r="D2297" s="109" t="s">
        <v>364</v>
      </c>
      <c r="E2297" s="67" t="str">
        <f>COLORES!A17</f>
        <v>Vino</v>
      </c>
      <c r="F2297" s="67" t="str">
        <f>COLORES!B17</f>
        <v>OSCURO</v>
      </c>
      <c r="G2297" s="90" t="s">
        <v>376</v>
      </c>
      <c r="H2297" s="100">
        <f>IFERROR(SUMIFS(MOVIMIENTOS_COMPLEMENTOS!$I$4:$I$803,MOVIMIENTOS_COMPLEMENTOS!$C$4:$C$803,A2297,MOVIMIENTOS_COMPLEMENTOS!$D$4:$D$803,B2297,MOVIMIENTOS_COMPLEMENTOS!$E$4:$E$803,C2297,MOVIMIENTOS_COMPLEMENTOS!$F$4:$F$803,D2297,MOVIMIENTOS_COMPLEMENTOS!$G$4:$G$803,E2297,MOVIMIENTOS_COMPLEMENTOS!$H$4:$H$803,G2297,MOVIMIENTOS_COMPLEMENTOS!$B$4:$B$803,"INGRESO")+SUMIFS(MOVIMIENTOS_COMPLEMENTOS!$I$4:$I$803,MOVIMIENTOS_COMPLEMENTOS!$C$4:$C$803,A2297,MOVIMIENTOS_COMPLEMENTOS!$D$4:$D$803,B2297,MOVIMIENTOS_COMPLEMENTOS!$E$4:$E$803,C2297,MOVIMIENTOS_COMPLEMENTOS!$F$4:$F$803,D2297,MOVIMIENTOS_COMPLEMENTOS!$G$4:$G$803,E2297,MOVIMIENTOS_COMPLEMENTOS!$H$4:$H$803,G2297,MOVIMIENTOS_COMPLEMENTOS!$B$4:$B$803,"DE CORTE")-SUMIFS(MOVIMIENTOS_COMPLEMENTOS!$I$4:$I$803,MOVIMIENTOS_COMPLEMENTOS!$C$4:$C$803,A2297,MOVIMIENTOS_COMPLEMENTOS!$D$4:$D$803,B2297,MOVIMIENTOS_COMPLEMENTOS!$E$4:$E$803,C2297,MOVIMIENTOS_COMPLEMENTOS!$F$4:$F$803,D2297,MOVIMIENTOS_COMPLEMENTOS!$G$4:$G$803,E2297,MOVIMIENTOS_COMPLEMENTOS!$H$4:$H$803,G2297,MOVIMIENTOS_COMPLEMENTOS!$B$4:$B$803,"SALIDA"),0)</f>
        <v>0</v>
      </c>
      <c r="I2297" s="102">
        <f t="array" ref="I2297">IFERROR(INDEX(PRECIOS_COMPLEMENTOS!$C$4:$F$17,MATCH(B2297&amp;"_"&amp;C2297,PRECIOS_COMPLEMENTOS!$H$4:$H$17,0),IF(OR(G2297="S",G2297="20cm"),1,IF(OR(G2297="M",G2297="25cm"),2,IF(OR(G2297="L",G2297="30cm"),3,IF(OR(G2297="XL",G2297="35cm"),4,0))))),0)</f>
        <v>0.6</v>
      </c>
      <c r="J2297" s="103">
        <f t="shared" si="1"/>
        <v>0</v>
      </c>
      <c r="K2297" s="104" t="str">
        <f>IF(H2297&lt;0,"ERROR",IF(H2297=0,"",IF(H2297&lt;CONFIG!$B$4,"CRÍTICO",IF(H2297&lt;CONFIG!$B$5,"BAJO","OK"))))</f>
        <v/>
      </c>
    </row>
    <row r="2298" ht="15.75" hidden="1" customHeight="1">
      <c r="A2298" s="90" t="str">
        <f>IF(CLIENTES!A6="","",CLIENTES!A6)</f>
        <v/>
      </c>
      <c r="B2298" s="90" t="s">
        <v>331</v>
      </c>
      <c r="C2298" s="91" t="s">
        <v>328</v>
      </c>
      <c r="D2298" s="109" t="s">
        <v>364</v>
      </c>
      <c r="E2298" s="67" t="str">
        <f>COLORES!A17</f>
        <v>Vino</v>
      </c>
      <c r="F2298" s="67" t="str">
        <f>COLORES!B17</f>
        <v>OSCURO</v>
      </c>
      <c r="G2298" s="90" t="s">
        <v>377</v>
      </c>
      <c r="H2298" s="100">
        <f>IFERROR(SUMIFS(MOVIMIENTOS_COMPLEMENTOS!$I$4:$I$803,MOVIMIENTOS_COMPLEMENTOS!$C$4:$C$803,A2298,MOVIMIENTOS_COMPLEMENTOS!$D$4:$D$803,B2298,MOVIMIENTOS_COMPLEMENTOS!$E$4:$E$803,C2298,MOVIMIENTOS_COMPLEMENTOS!$F$4:$F$803,D2298,MOVIMIENTOS_COMPLEMENTOS!$G$4:$G$803,E2298,MOVIMIENTOS_COMPLEMENTOS!$H$4:$H$803,G2298,MOVIMIENTOS_COMPLEMENTOS!$B$4:$B$803,"INGRESO")+SUMIFS(MOVIMIENTOS_COMPLEMENTOS!$I$4:$I$803,MOVIMIENTOS_COMPLEMENTOS!$C$4:$C$803,A2298,MOVIMIENTOS_COMPLEMENTOS!$D$4:$D$803,B2298,MOVIMIENTOS_COMPLEMENTOS!$E$4:$E$803,C2298,MOVIMIENTOS_COMPLEMENTOS!$F$4:$F$803,D2298,MOVIMIENTOS_COMPLEMENTOS!$G$4:$G$803,E2298,MOVIMIENTOS_COMPLEMENTOS!$H$4:$H$803,G2298,MOVIMIENTOS_COMPLEMENTOS!$B$4:$B$803,"DE CORTE")-SUMIFS(MOVIMIENTOS_COMPLEMENTOS!$I$4:$I$803,MOVIMIENTOS_COMPLEMENTOS!$C$4:$C$803,A2298,MOVIMIENTOS_COMPLEMENTOS!$D$4:$D$803,B2298,MOVIMIENTOS_COMPLEMENTOS!$E$4:$E$803,C2298,MOVIMIENTOS_COMPLEMENTOS!$F$4:$F$803,D2298,MOVIMIENTOS_COMPLEMENTOS!$G$4:$G$803,E2298,MOVIMIENTOS_COMPLEMENTOS!$H$4:$H$803,G2298,MOVIMIENTOS_COMPLEMENTOS!$B$4:$B$803,"SALIDA"),0)</f>
        <v>0</v>
      </c>
      <c r="I2298" s="102">
        <f t="array" ref="I2298">IFERROR(INDEX(PRECIOS_COMPLEMENTOS!$C$4:$F$17,MATCH(B2298&amp;"_"&amp;C2298,PRECIOS_COMPLEMENTOS!$H$4:$H$17,0),IF(OR(G2298="S",G2298="20cm"),1,IF(OR(G2298="M",G2298="25cm"),2,IF(OR(G2298="L",G2298="30cm"),3,IF(OR(G2298="XL",G2298="35cm"),4,0))))),0)</f>
        <v>0.6</v>
      </c>
      <c r="J2298" s="103">
        <f t="shared" si="1"/>
        <v>0</v>
      </c>
      <c r="K2298" s="104" t="str">
        <f>IF(H2298&lt;0,"ERROR",IF(H2298=0,"",IF(H2298&lt;CONFIG!$B$4,"CRÍTICO",IF(H2298&lt;CONFIG!$B$5,"BAJO","OK"))))</f>
        <v/>
      </c>
    </row>
    <row r="2299" ht="15.75" hidden="1" customHeight="1">
      <c r="A2299" s="90" t="str">
        <f>IF(CLIENTES!A6="","",CLIENTES!A6)</f>
        <v/>
      </c>
      <c r="B2299" s="90" t="s">
        <v>331</v>
      </c>
      <c r="C2299" s="91" t="s">
        <v>328</v>
      </c>
      <c r="D2299" s="109" t="s">
        <v>364</v>
      </c>
      <c r="E2299" s="67" t="str">
        <f>COLORES!A17</f>
        <v>Vino</v>
      </c>
      <c r="F2299" s="67" t="str">
        <f>COLORES!B17</f>
        <v>OSCURO</v>
      </c>
      <c r="G2299" s="90" t="s">
        <v>379</v>
      </c>
      <c r="H2299" s="100">
        <f>IFERROR(SUMIFS(MOVIMIENTOS_COMPLEMENTOS!$I$4:$I$803,MOVIMIENTOS_COMPLEMENTOS!$C$4:$C$803,A2299,MOVIMIENTOS_COMPLEMENTOS!$D$4:$D$803,B2299,MOVIMIENTOS_COMPLEMENTOS!$E$4:$E$803,C2299,MOVIMIENTOS_COMPLEMENTOS!$F$4:$F$803,D2299,MOVIMIENTOS_COMPLEMENTOS!$G$4:$G$803,E2299,MOVIMIENTOS_COMPLEMENTOS!$H$4:$H$803,G2299,MOVIMIENTOS_COMPLEMENTOS!$B$4:$B$803,"INGRESO")+SUMIFS(MOVIMIENTOS_COMPLEMENTOS!$I$4:$I$803,MOVIMIENTOS_COMPLEMENTOS!$C$4:$C$803,A2299,MOVIMIENTOS_COMPLEMENTOS!$D$4:$D$803,B2299,MOVIMIENTOS_COMPLEMENTOS!$E$4:$E$803,C2299,MOVIMIENTOS_COMPLEMENTOS!$F$4:$F$803,D2299,MOVIMIENTOS_COMPLEMENTOS!$G$4:$G$803,E2299,MOVIMIENTOS_COMPLEMENTOS!$H$4:$H$803,G2299,MOVIMIENTOS_COMPLEMENTOS!$B$4:$B$803,"DE CORTE")-SUMIFS(MOVIMIENTOS_COMPLEMENTOS!$I$4:$I$803,MOVIMIENTOS_COMPLEMENTOS!$C$4:$C$803,A2299,MOVIMIENTOS_COMPLEMENTOS!$D$4:$D$803,B2299,MOVIMIENTOS_COMPLEMENTOS!$E$4:$E$803,C2299,MOVIMIENTOS_COMPLEMENTOS!$F$4:$F$803,D2299,MOVIMIENTOS_COMPLEMENTOS!$G$4:$G$803,E2299,MOVIMIENTOS_COMPLEMENTOS!$H$4:$H$803,G2299,MOVIMIENTOS_COMPLEMENTOS!$B$4:$B$803,"SALIDA"),0)</f>
        <v>0</v>
      </c>
      <c r="I2299" s="102">
        <f t="array" ref="I2299">IFERROR(INDEX(PRECIOS_COMPLEMENTOS!$C$4:$F$17,MATCH(B2299&amp;"_"&amp;C2299,PRECIOS_COMPLEMENTOS!$H$4:$H$17,0),IF(OR(G2299="S",G2299="20cm"),1,IF(OR(G2299="M",G2299="25cm"),2,IF(OR(G2299="L",G2299="30cm"),3,IF(OR(G2299="XL",G2299="35cm"),4,0))))),0)</f>
        <v>0.6</v>
      </c>
      <c r="J2299" s="103">
        <f t="shared" si="1"/>
        <v>0</v>
      </c>
      <c r="K2299" s="104" t="str">
        <f>IF(H2299&lt;0,"ERROR",IF(H2299=0,"",IF(H2299&lt;CONFIG!$B$4,"CRÍTICO",IF(H2299&lt;CONFIG!$B$5,"BAJO","OK"))))</f>
        <v/>
      </c>
    </row>
    <row r="2300" ht="15.75" hidden="1" customHeight="1">
      <c r="A2300" s="90" t="str">
        <f>IF(CLIENTES!A6="","",CLIENTES!A6)</f>
        <v/>
      </c>
      <c r="B2300" s="90" t="s">
        <v>331</v>
      </c>
      <c r="C2300" s="91" t="s">
        <v>328</v>
      </c>
      <c r="D2300" s="109" t="s">
        <v>364</v>
      </c>
      <c r="E2300" s="67" t="str">
        <f>COLORES!A18</f>
        <v>P. Rosa</v>
      </c>
      <c r="F2300" s="67" t="str">
        <f>COLORES!B18</f>
        <v>CLARO</v>
      </c>
      <c r="G2300" s="90" t="s">
        <v>378</v>
      </c>
      <c r="H2300" s="100">
        <f>IFERROR(SUMIFS(MOVIMIENTOS_COMPLEMENTOS!$I$4:$I$803,MOVIMIENTOS_COMPLEMENTOS!$C$4:$C$803,A2300,MOVIMIENTOS_COMPLEMENTOS!$D$4:$D$803,B2300,MOVIMIENTOS_COMPLEMENTOS!$E$4:$E$803,C2300,MOVIMIENTOS_COMPLEMENTOS!$F$4:$F$803,D2300,MOVIMIENTOS_COMPLEMENTOS!$G$4:$G$803,E2300,MOVIMIENTOS_COMPLEMENTOS!$H$4:$H$803,G2300,MOVIMIENTOS_COMPLEMENTOS!$B$4:$B$803,"INGRESO")+SUMIFS(MOVIMIENTOS_COMPLEMENTOS!$I$4:$I$803,MOVIMIENTOS_COMPLEMENTOS!$C$4:$C$803,A2300,MOVIMIENTOS_COMPLEMENTOS!$D$4:$D$803,B2300,MOVIMIENTOS_COMPLEMENTOS!$E$4:$E$803,C2300,MOVIMIENTOS_COMPLEMENTOS!$F$4:$F$803,D2300,MOVIMIENTOS_COMPLEMENTOS!$G$4:$G$803,E2300,MOVIMIENTOS_COMPLEMENTOS!$H$4:$H$803,G2300,MOVIMIENTOS_COMPLEMENTOS!$B$4:$B$803,"DE CORTE")-SUMIFS(MOVIMIENTOS_COMPLEMENTOS!$I$4:$I$803,MOVIMIENTOS_COMPLEMENTOS!$C$4:$C$803,A2300,MOVIMIENTOS_COMPLEMENTOS!$D$4:$D$803,B2300,MOVIMIENTOS_COMPLEMENTOS!$E$4:$E$803,C2300,MOVIMIENTOS_COMPLEMENTOS!$F$4:$F$803,D2300,MOVIMIENTOS_COMPLEMENTOS!$G$4:$G$803,E2300,MOVIMIENTOS_COMPLEMENTOS!$H$4:$H$803,G2300,MOVIMIENTOS_COMPLEMENTOS!$B$4:$B$803,"SALIDA"),0)</f>
        <v>0</v>
      </c>
      <c r="I2300" s="102">
        <f t="array" ref="I2300">IFERROR(INDEX(PRECIOS_COMPLEMENTOS!$C$4:$F$17,MATCH(B2300&amp;"_"&amp;C2300,PRECIOS_COMPLEMENTOS!$H$4:$H$17,0),IF(OR(G2300="S",G2300="20cm"),1,IF(OR(G2300="M",G2300="25cm"),2,IF(OR(G2300="L",G2300="30cm"),3,IF(OR(G2300="XL",G2300="35cm"),4,0))))),0)</f>
        <v>0.6</v>
      </c>
      <c r="J2300" s="103">
        <f t="shared" si="1"/>
        <v>0</v>
      </c>
      <c r="K2300" s="104" t="str">
        <f>IF(H2300&lt;0,"ERROR",IF(H2300=0,"",IF(H2300&lt;CONFIG!$B$4,"CRÍTICO",IF(H2300&lt;CONFIG!$B$5,"BAJO","OK"))))</f>
        <v/>
      </c>
    </row>
    <row r="2301" ht="15.75" hidden="1" customHeight="1">
      <c r="A2301" s="90" t="str">
        <f>IF(CLIENTES!A6="","",CLIENTES!A6)</f>
        <v/>
      </c>
      <c r="B2301" s="90" t="s">
        <v>331</v>
      </c>
      <c r="C2301" s="91" t="s">
        <v>328</v>
      </c>
      <c r="D2301" s="109" t="s">
        <v>364</v>
      </c>
      <c r="E2301" s="67" t="str">
        <f>COLORES!A18</f>
        <v>P. Rosa</v>
      </c>
      <c r="F2301" s="67" t="str">
        <f>COLORES!B18</f>
        <v>CLARO</v>
      </c>
      <c r="G2301" s="90" t="s">
        <v>376</v>
      </c>
      <c r="H2301" s="100">
        <f>IFERROR(SUMIFS(MOVIMIENTOS_COMPLEMENTOS!$I$4:$I$803,MOVIMIENTOS_COMPLEMENTOS!$C$4:$C$803,A2301,MOVIMIENTOS_COMPLEMENTOS!$D$4:$D$803,B2301,MOVIMIENTOS_COMPLEMENTOS!$E$4:$E$803,C2301,MOVIMIENTOS_COMPLEMENTOS!$F$4:$F$803,D2301,MOVIMIENTOS_COMPLEMENTOS!$G$4:$G$803,E2301,MOVIMIENTOS_COMPLEMENTOS!$H$4:$H$803,G2301,MOVIMIENTOS_COMPLEMENTOS!$B$4:$B$803,"INGRESO")+SUMIFS(MOVIMIENTOS_COMPLEMENTOS!$I$4:$I$803,MOVIMIENTOS_COMPLEMENTOS!$C$4:$C$803,A2301,MOVIMIENTOS_COMPLEMENTOS!$D$4:$D$803,B2301,MOVIMIENTOS_COMPLEMENTOS!$E$4:$E$803,C2301,MOVIMIENTOS_COMPLEMENTOS!$F$4:$F$803,D2301,MOVIMIENTOS_COMPLEMENTOS!$G$4:$G$803,E2301,MOVIMIENTOS_COMPLEMENTOS!$H$4:$H$803,G2301,MOVIMIENTOS_COMPLEMENTOS!$B$4:$B$803,"DE CORTE")-SUMIFS(MOVIMIENTOS_COMPLEMENTOS!$I$4:$I$803,MOVIMIENTOS_COMPLEMENTOS!$C$4:$C$803,A2301,MOVIMIENTOS_COMPLEMENTOS!$D$4:$D$803,B2301,MOVIMIENTOS_COMPLEMENTOS!$E$4:$E$803,C2301,MOVIMIENTOS_COMPLEMENTOS!$F$4:$F$803,D2301,MOVIMIENTOS_COMPLEMENTOS!$G$4:$G$803,E2301,MOVIMIENTOS_COMPLEMENTOS!$H$4:$H$803,G2301,MOVIMIENTOS_COMPLEMENTOS!$B$4:$B$803,"SALIDA"),0)</f>
        <v>0</v>
      </c>
      <c r="I2301" s="102">
        <f t="array" ref="I2301">IFERROR(INDEX(PRECIOS_COMPLEMENTOS!$C$4:$F$17,MATCH(B2301&amp;"_"&amp;C2301,PRECIOS_COMPLEMENTOS!$H$4:$H$17,0),IF(OR(G2301="S",G2301="20cm"),1,IF(OR(G2301="M",G2301="25cm"),2,IF(OR(G2301="L",G2301="30cm"),3,IF(OR(G2301="XL",G2301="35cm"),4,0))))),0)</f>
        <v>0.6</v>
      </c>
      <c r="J2301" s="103">
        <f t="shared" si="1"/>
        <v>0</v>
      </c>
      <c r="K2301" s="104" t="str">
        <f>IF(H2301&lt;0,"ERROR",IF(H2301=0,"",IF(H2301&lt;CONFIG!$B$4,"CRÍTICO",IF(H2301&lt;CONFIG!$B$5,"BAJO","OK"))))</f>
        <v/>
      </c>
    </row>
    <row r="2302" ht="15.75" hidden="1" customHeight="1">
      <c r="A2302" s="90" t="str">
        <f>IF(CLIENTES!A6="","",CLIENTES!A6)</f>
        <v/>
      </c>
      <c r="B2302" s="90" t="s">
        <v>331</v>
      </c>
      <c r="C2302" s="91" t="s">
        <v>328</v>
      </c>
      <c r="D2302" s="109" t="s">
        <v>364</v>
      </c>
      <c r="E2302" s="67" t="str">
        <f>COLORES!A18</f>
        <v>P. Rosa</v>
      </c>
      <c r="F2302" s="67" t="str">
        <f>COLORES!B18</f>
        <v>CLARO</v>
      </c>
      <c r="G2302" s="90" t="s">
        <v>377</v>
      </c>
      <c r="H2302" s="100">
        <f>IFERROR(SUMIFS(MOVIMIENTOS_COMPLEMENTOS!$I$4:$I$803,MOVIMIENTOS_COMPLEMENTOS!$C$4:$C$803,A2302,MOVIMIENTOS_COMPLEMENTOS!$D$4:$D$803,B2302,MOVIMIENTOS_COMPLEMENTOS!$E$4:$E$803,C2302,MOVIMIENTOS_COMPLEMENTOS!$F$4:$F$803,D2302,MOVIMIENTOS_COMPLEMENTOS!$G$4:$G$803,E2302,MOVIMIENTOS_COMPLEMENTOS!$H$4:$H$803,G2302,MOVIMIENTOS_COMPLEMENTOS!$B$4:$B$803,"INGRESO")+SUMIFS(MOVIMIENTOS_COMPLEMENTOS!$I$4:$I$803,MOVIMIENTOS_COMPLEMENTOS!$C$4:$C$803,A2302,MOVIMIENTOS_COMPLEMENTOS!$D$4:$D$803,B2302,MOVIMIENTOS_COMPLEMENTOS!$E$4:$E$803,C2302,MOVIMIENTOS_COMPLEMENTOS!$F$4:$F$803,D2302,MOVIMIENTOS_COMPLEMENTOS!$G$4:$G$803,E2302,MOVIMIENTOS_COMPLEMENTOS!$H$4:$H$803,G2302,MOVIMIENTOS_COMPLEMENTOS!$B$4:$B$803,"DE CORTE")-SUMIFS(MOVIMIENTOS_COMPLEMENTOS!$I$4:$I$803,MOVIMIENTOS_COMPLEMENTOS!$C$4:$C$803,A2302,MOVIMIENTOS_COMPLEMENTOS!$D$4:$D$803,B2302,MOVIMIENTOS_COMPLEMENTOS!$E$4:$E$803,C2302,MOVIMIENTOS_COMPLEMENTOS!$F$4:$F$803,D2302,MOVIMIENTOS_COMPLEMENTOS!$G$4:$G$803,E2302,MOVIMIENTOS_COMPLEMENTOS!$H$4:$H$803,G2302,MOVIMIENTOS_COMPLEMENTOS!$B$4:$B$803,"SALIDA"),0)</f>
        <v>0</v>
      </c>
      <c r="I2302" s="102">
        <f t="array" ref="I2302">IFERROR(INDEX(PRECIOS_COMPLEMENTOS!$C$4:$F$17,MATCH(B2302&amp;"_"&amp;C2302,PRECIOS_COMPLEMENTOS!$H$4:$H$17,0),IF(OR(G2302="S",G2302="20cm"),1,IF(OR(G2302="M",G2302="25cm"),2,IF(OR(G2302="L",G2302="30cm"),3,IF(OR(G2302="XL",G2302="35cm"),4,0))))),0)</f>
        <v>0.6</v>
      </c>
      <c r="J2302" s="103">
        <f t="shared" si="1"/>
        <v>0</v>
      </c>
      <c r="K2302" s="104" t="str">
        <f>IF(H2302&lt;0,"ERROR",IF(H2302=0,"",IF(H2302&lt;CONFIG!$B$4,"CRÍTICO",IF(H2302&lt;CONFIG!$B$5,"BAJO","OK"))))</f>
        <v/>
      </c>
    </row>
    <row r="2303" ht="15.75" hidden="1" customHeight="1">
      <c r="A2303" s="90" t="str">
        <f>IF(CLIENTES!A6="","",CLIENTES!A6)</f>
        <v/>
      </c>
      <c r="B2303" s="90" t="s">
        <v>331</v>
      </c>
      <c r="C2303" s="91" t="s">
        <v>328</v>
      </c>
      <c r="D2303" s="109" t="s">
        <v>364</v>
      </c>
      <c r="E2303" s="67" t="str">
        <f>COLORES!A18</f>
        <v>P. Rosa</v>
      </c>
      <c r="F2303" s="67" t="str">
        <f>COLORES!B18</f>
        <v>CLARO</v>
      </c>
      <c r="G2303" s="90" t="s">
        <v>379</v>
      </c>
      <c r="H2303" s="100">
        <f>IFERROR(SUMIFS(MOVIMIENTOS_COMPLEMENTOS!$I$4:$I$803,MOVIMIENTOS_COMPLEMENTOS!$C$4:$C$803,A2303,MOVIMIENTOS_COMPLEMENTOS!$D$4:$D$803,B2303,MOVIMIENTOS_COMPLEMENTOS!$E$4:$E$803,C2303,MOVIMIENTOS_COMPLEMENTOS!$F$4:$F$803,D2303,MOVIMIENTOS_COMPLEMENTOS!$G$4:$G$803,E2303,MOVIMIENTOS_COMPLEMENTOS!$H$4:$H$803,G2303,MOVIMIENTOS_COMPLEMENTOS!$B$4:$B$803,"INGRESO")+SUMIFS(MOVIMIENTOS_COMPLEMENTOS!$I$4:$I$803,MOVIMIENTOS_COMPLEMENTOS!$C$4:$C$803,A2303,MOVIMIENTOS_COMPLEMENTOS!$D$4:$D$803,B2303,MOVIMIENTOS_COMPLEMENTOS!$E$4:$E$803,C2303,MOVIMIENTOS_COMPLEMENTOS!$F$4:$F$803,D2303,MOVIMIENTOS_COMPLEMENTOS!$G$4:$G$803,E2303,MOVIMIENTOS_COMPLEMENTOS!$H$4:$H$803,G2303,MOVIMIENTOS_COMPLEMENTOS!$B$4:$B$803,"DE CORTE")-SUMIFS(MOVIMIENTOS_COMPLEMENTOS!$I$4:$I$803,MOVIMIENTOS_COMPLEMENTOS!$C$4:$C$803,A2303,MOVIMIENTOS_COMPLEMENTOS!$D$4:$D$803,B2303,MOVIMIENTOS_COMPLEMENTOS!$E$4:$E$803,C2303,MOVIMIENTOS_COMPLEMENTOS!$F$4:$F$803,D2303,MOVIMIENTOS_COMPLEMENTOS!$G$4:$G$803,E2303,MOVIMIENTOS_COMPLEMENTOS!$H$4:$H$803,G2303,MOVIMIENTOS_COMPLEMENTOS!$B$4:$B$803,"SALIDA"),0)</f>
        <v>0</v>
      </c>
      <c r="I2303" s="102">
        <f t="array" ref="I2303">IFERROR(INDEX(PRECIOS_COMPLEMENTOS!$C$4:$F$17,MATCH(B2303&amp;"_"&amp;C2303,PRECIOS_COMPLEMENTOS!$H$4:$H$17,0),IF(OR(G2303="S",G2303="20cm"),1,IF(OR(G2303="M",G2303="25cm"),2,IF(OR(G2303="L",G2303="30cm"),3,IF(OR(G2303="XL",G2303="35cm"),4,0))))),0)</f>
        <v>0.6</v>
      </c>
      <c r="J2303" s="103">
        <f t="shared" si="1"/>
        <v>0</v>
      </c>
      <c r="K2303" s="104" t="str">
        <f>IF(H2303&lt;0,"ERROR",IF(H2303=0,"",IF(H2303&lt;CONFIG!$B$4,"CRÍTICO",IF(H2303&lt;CONFIG!$B$5,"BAJO","OK"))))</f>
        <v/>
      </c>
    </row>
    <row r="2304" ht="15.75" hidden="1" customHeight="1">
      <c r="A2304" s="90" t="str">
        <f>IF(CLIENTES!A6="","",CLIENTES!A6)</f>
        <v/>
      </c>
      <c r="B2304" s="90" t="s">
        <v>331</v>
      </c>
      <c r="C2304" s="91" t="s">
        <v>328</v>
      </c>
      <c r="D2304" s="109" t="s">
        <v>364</v>
      </c>
      <c r="E2304" s="67" t="str">
        <f>COLORES!A19</f>
        <v/>
      </c>
      <c r="F2304" s="67" t="str">
        <f>COLORES!B19</f>
        <v/>
      </c>
      <c r="G2304" s="90" t="s">
        <v>378</v>
      </c>
      <c r="H2304" s="100">
        <f>IFERROR(SUMIFS(MOVIMIENTOS_COMPLEMENTOS!$I$4:$I$803,MOVIMIENTOS_COMPLEMENTOS!$C$4:$C$803,A2304,MOVIMIENTOS_COMPLEMENTOS!$D$4:$D$803,B2304,MOVIMIENTOS_COMPLEMENTOS!$E$4:$E$803,C2304,MOVIMIENTOS_COMPLEMENTOS!$F$4:$F$803,D2304,MOVIMIENTOS_COMPLEMENTOS!$G$4:$G$803,E2304,MOVIMIENTOS_COMPLEMENTOS!$H$4:$H$803,G2304,MOVIMIENTOS_COMPLEMENTOS!$B$4:$B$803,"INGRESO")+SUMIFS(MOVIMIENTOS_COMPLEMENTOS!$I$4:$I$803,MOVIMIENTOS_COMPLEMENTOS!$C$4:$C$803,A2304,MOVIMIENTOS_COMPLEMENTOS!$D$4:$D$803,B2304,MOVIMIENTOS_COMPLEMENTOS!$E$4:$E$803,C2304,MOVIMIENTOS_COMPLEMENTOS!$F$4:$F$803,D2304,MOVIMIENTOS_COMPLEMENTOS!$G$4:$G$803,E2304,MOVIMIENTOS_COMPLEMENTOS!$H$4:$H$803,G2304,MOVIMIENTOS_COMPLEMENTOS!$B$4:$B$803,"DE CORTE")-SUMIFS(MOVIMIENTOS_COMPLEMENTOS!$I$4:$I$803,MOVIMIENTOS_COMPLEMENTOS!$C$4:$C$803,A2304,MOVIMIENTOS_COMPLEMENTOS!$D$4:$D$803,B2304,MOVIMIENTOS_COMPLEMENTOS!$E$4:$E$803,C2304,MOVIMIENTOS_COMPLEMENTOS!$F$4:$F$803,D2304,MOVIMIENTOS_COMPLEMENTOS!$G$4:$G$803,E2304,MOVIMIENTOS_COMPLEMENTOS!$H$4:$H$803,G2304,MOVIMIENTOS_COMPLEMENTOS!$B$4:$B$803,"SALIDA"),0)</f>
        <v>0</v>
      </c>
      <c r="I2304" s="102">
        <f t="array" ref="I2304">IFERROR(INDEX(PRECIOS_COMPLEMENTOS!$C$4:$F$17,MATCH(B2304&amp;"_"&amp;C2304,PRECIOS_COMPLEMENTOS!$H$4:$H$17,0),IF(OR(G2304="S",G2304="20cm"),1,IF(OR(G2304="M",G2304="25cm"),2,IF(OR(G2304="L",G2304="30cm"),3,IF(OR(G2304="XL",G2304="35cm"),4,0))))),0)</f>
        <v>0.6</v>
      </c>
      <c r="J2304" s="103">
        <f t="shared" si="1"/>
        <v>0</v>
      </c>
      <c r="K2304" s="104" t="str">
        <f>IF(H2304&lt;0,"ERROR",IF(H2304=0,"",IF(H2304&lt;CONFIG!$B$4,"CRÍTICO",IF(H2304&lt;CONFIG!$B$5,"BAJO","OK"))))</f>
        <v/>
      </c>
    </row>
    <row r="2305" ht="15.75" hidden="1" customHeight="1">
      <c r="A2305" s="90" t="str">
        <f>IF(CLIENTES!A6="","",CLIENTES!A6)</f>
        <v/>
      </c>
      <c r="B2305" s="90" t="s">
        <v>331</v>
      </c>
      <c r="C2305" s="91" t="s">
        <v>328</v>
      </c>
      <c r="D2305" s="109" t="s">
        <v>364</v>
      </c>
      <c r="E2305" s="67" t="str">
        <f>COLORES!A19</f>
        <v/>
      </c>
      <c r="F2305" s="67" t="str">
        <f>COLORES!B19</f>
        <v/>
      </c>
      <c r="G2305" s="90" t="s">
        <v>376</v>
      </c>
      <c r="H2305" s="100">
        <f>IFERROR(SUMIFS(MOVIMIENTOS_COMPLEMENTOS!$I$4:$I$803,MOVIMIENTOS_COMPLEMENTOS!$C$4:$C$803,A2305,MOVIMIENTOS_COMPLEMENTOS!$D$4:$D$803,B2305,MOVIMIENTOS_COMPLEMENTOS!$E$4:$E$803,C2305,MOVIMIENTOS_COMPLEMENTOS!$F$4:$F$803,D2305,MOVIMIENTOS_COMPLEMENTOS!$G$4:$G$803,E2305,MOVIMIENTOS_COMPLEMENTOS!$H$4:$H$803,G2305,MOVIMIENTOS_COMPLEMENTOS!$B$4:$B$803,"INGRESO")+SUMIFS(MOVIMIENTOS_COMPLEMENTOS!$I$4:$I$803,MOVIMIENTOS_COMPLEMENTOS!$C$4:$C$803,A2305,MOVIMIENTOS_COMPLEMENTOS!$D$4:$D$803,B2305,MOVIMIENTOS_COMPLEMENTOS!$E$4:$E$803,C2305,MOVIMIENTOS_COMPLEMENTOS!$F$4:$F$803,D2305,MOVIMIENTOS_COMPLEMENTOS!$G$4:$G$803,E2305,MOVIMIENTOS_COMPLEMENTOS!$H$4:$H$803,G2305,MOVIMIENTOS_COMPLEMENTOS!$B$4:$B$803,"DE CORTE")-SUMIFS(MOVIMIENTOS_COMPLEMENTOS!$I$4:$I$803,MOVIMIENTOS_COMPLEMENTOS!$C$4:$C$803,A2305,MOVIMIENTOS_COMPLEMENTOS!$D$4:$D$803,B2305,MOVIMIENTOS_COMPLEMENTOS!$E$4:$E$803,C2305,MOVIMIENTOS_COMPLEMENTOS!$F$4:$F$803,D2305,MOVIMIENTOS_COMPLEMENTOS!$G$4:$G$803,E2305,MOVIMIENTOS_COMPLEMENTOS!$H$4:$H$803,G2305,MOVIMIENTOS_COMPLEMENTOS!$B$4:$B$803,"SALIDA"),0)</f>
        <v>0</v>
      </c>
      <c r="I2305" s="102">
        <f t="array" ref="I2305">IFERROR(INDEX(PRECIOS_COMPLEMENTOS!$C$4:$F$17,MATCH(B2305&amp;"_"&amp;C2305,PRECIOS_COMPLEMENTOS!$H$4:$H$17,0),IF(OR(G2305="S",G2305="20cm"),1,IF(OR(G2305="M",G2305="25cm"),2,IF(OR(G2305="L",G2305="30cm"),3,IF(OR(G2305="XL",G2305="35cm"),4,0))))),0)</f>
        <v>0.6</v>
      </c>
      <c r="J2305" s="103">
        <f t="shared" si="1"/>
        <v>0</v>
      </c>
      <c r="K2305" s="104" t="str">
        <f>IF(H2305&lt;0,"ERROR",IF(H2305=0,"",IF(H2305&lt;CONFIG!$B$4,"CRÍTICO",IF(H2305&lt;CONFIG!$B$5,"BAJO","OK"))))</f>
        <v/>
      </c>
    </row>
    <row r="2306" ht="15.75" hidden="1" customHeight="1">
      <c r="A2306" s="90" t="str">
        <f>IF(CLIENTES!A6="","",CLIENTES!A6)</f>
        <v/>
      </c>
      <c r="B2306" s="90" t="s">
        <v>331</v>
      </c>
      <c r="C2306" s="91" t="s">
        <v>328</v>
      </c>
      <c r="D2306" s="109" t="s">
        <v>364</v>
      </c>
      <c r="E2306" s="67" t="str">
        <f>COLORES!A19</f>
        <v/>
      </c>
      <c r="F2306" s="67" t="str">
        <f>COLORES!B19</f>
        <v/>
      </c>
      <c r="G2306" s="90" t="s">
        <v>377</v>
      </c>
      <c r="H2306" s="100">
        <f>IFERROR(SUMIFS(MOVIMIENTOS_COMPLEMENTOS!$I$4:$I$803,MOVIMIENTOS_COMPLEMENTOS!$C$4:$C$803,A2306,MOVIMIENTOS_COMPLEMENTOS!$D$4:$D$803,B2306,MOVIMIENTOS_COMPLEMENTOS!$E$4:$E$803,C2306,MOVIMIENTOS_COMPLEMENTOS!$F$4:$F$803,D2306,MOVIMIENTOS_COMPLEMENTOS!$G$4:$G$803,E2306,MOVIMIENTOS_COMPLEMENTOS!$H$4:$H$803,G2306,MOVIMIENTOS_COMPLEMENTOS!$B$4:$B$803,"INGRESO")+SUMIFS(MOVIMIENTOS_COMPLEMENTOS!$I$4:$I$803,MOVIMIENTOS_COMPLEMENTOS!$C$4:$C$803,A2306,MOVIMIENTOS_COMPLEMENTOS!$D$4:$D$803,B2306,MOVIMIENTOS_COMPLEMENTOS!$E$4:$E$803,C2306,MOVIMIENTOS_COMPLEMENTOS!$F$4:$F$803,D2306,MOVIMIENTOS_COMPLEMENTOS!$G$4:$G$803,E2306,MOVIMIENTOS_COMPLEMENTOS!$H$4:$H$803,G2306,MOVIMIENTOS_COMPLEMENTOS!$B$4:$B$803,"DE CORTE")-SUMIFS(MOVIMIENTOS_COMPLEMENTOS!$I$4:$I$803,MOVIMIENTOS_COMPLEMENTOS!$C$4:$C$803,A2306,MOVIMIENTOS_COMPLEMENTOS!$D$4:$D$803,B2306,MOVIMIENTOS_COMPLEMENTOS!$E$4:$E$803,C2306,MOVIMIENTOS_COMPLEMENTOS!$F$4:$F$803,D2306,MOVIMIENTOS_COMPLEMENTOS!$G$4:$G$803,E2306,MOVIMIENTOS_COMPLEMENTOS!$H$4:$H$803,G2306,MOVIMIENTOS_COMPLEMENTOS!$B$4:$B$803,"SALIDA"),0)</f>
        <v>0</v>
      </c>
      <c r="I2306" s="102">
        <f t="array" ref="I2306">IFERROR(INDEX(PRECIOS_COMPLEMENTOS!$C$4:$F$17,MATCH(B2306&amp;"_"&amp;C2306,PRECIOS_COMPLEMENTOS!$H$4:$H$17,0),IF(OR(G2306="S",G2306="20cm"),1,IF(OR(G2306="M",G2306="25cm"),2,IF(OR(G2306="L",G2306="30cm"),3,IF(OR(G2306="XL",G2306="35cm"),4,0))))),0)</f>
        <v>0.6</v>
      </c>
      <c r="J2306" s="103">
        <f t="shared" si="1"/>
        <v>0</v>
      </c>
      <c r="K2306" s="104" t="str">
        <f>IF(H2306&lt;0,"ERROR",IF(H2306=0,"",IF(H2306&lt;CONFIG!$B$4,"CRÍTICO",IF(H2306&lt;CONFIG!$B$5,"BAJO","OK"))))</f>
        <v/>
      </c>
    </row>
    <row r="2307" ht="15.75" hidden="1" customHeight="1">
      <c r="A2307" s="90" t="str">
        <f>IF(CLIENTES!A6="","",CLIENTES!A6)</f>
        <v/>
      </c>
      <c r="B2307" s="90" t="s">
        <v>331</v>
      </c>
      <c r="C2307" s="91" t="s">
        <v>328</v>
      </c>
      <c r="D2307" s="109" t="s">
        <v>364</v>
      </c>
      <c r="E2307" s="67" t="str">
        <f>COLORES!A19</f>
        <v/>
      </c>
      <c r="F2307" s="67" t="str">
        <f>COLORES!B19</f>
        <v/>
      </c>
      <c r="G2307" s="90" t="s">
        <v>379</v>
      </c>
      <c r="H2307" s="100">
        <f>IFERROR(SUMIFS(MOVIMIENTOS_COMPLEMENTOS!$I$4:$I$803,MOVIMIENTOS_COMPLEMENTOS!$C$4:$C$803,A2307,MOVIMIENTOS_COMPLEMENTOS!$D$4:$D$803,B2307,MOVIMIENTOS_COMPLEMENTOS!$E$4:$E$803,C2307,MOVIMIENTOS_COMPLEMENTOS!$F$4:$F$803,D2307,MOVIMIENTOS_COMPLEMENTOS!$G$4:$G$803,E2307,MOVIMIENTOS_COMPLEMENTOS!$H$4:$H$803,G2307,MOVIMIENTOS_COMPLEMENTOS!$B$4:$B$803,"INGRESO")+SUMIFS(MOVIMIENTOS_COMPLEMENTOS!$I$4:$I$803,MOVIMIENTOS_COMPLEMENTOS!$C$4:$C$803,A2307,MOVIMIENTOS_COMPLEMENTOS!$D$4:$D$803,B2307,MOVIMIENTOS_COMPLEMENTOS!$E$4:$E$803,C2307,MOVIMIENTOS_COMPLEMENTOS!$F$4:$F$803,D2307,MOVIMIENTOS_COMPLEMENTOS!$G$4:$G$803,E2307,MOVIMIENTOS_COMPLEMENTOS!$H$4:$H$803,G2307,MOVIMIENTOS_COMPLEMENTOS!$B$4:$B$803,"DE CORTE")-SUMIFS(MOVIMIENTOS_COMPLEMENTOS!$I$4:$I$803,MOVIMIENTOS_COMPLEMENTOS!$C$4:$C$803,A2307,MOVIMIENTOS_COMPLEMENTOS!$D$4:$D$803,B2307,MOVIMIENTOS_COMPLEMENTOS!$E$4:$E$803,C2307,MOVIMIENTOS_COMPLEMENTOS!$F$4:$F$803,D2307,MOVIMIENTOS_COMPLEMENTOS!$G$4:$G$803,E2307,MOVIMIENTOS_COMPLEMENTOS!$H$4:$H$803,G2307,MOVIMIENTOS_COMPLEMENTOS!$B$4:$B$803,"SALIDA"),0)</f>
        <v>0</v>
      </c>
      <c r="I2307" s="102">
        <f t="array" ref="I2307">IFERROR(INDEX(PRECIOS_COMPLEMENTOS!$C$4:$F$17,MATCH(B2307&amp;"_"&amp;C2307,PRECIOS_COMPLEMENTOS!$H$4:$H$17,0),IF(OR(G2307="S",G2307="20cm"),1,IF(OR(G2307="M",G2307="25cm"),2,IF(OR(G2307="L",G2307="30cm"),3,IF(OR(G2307="XL",G2307="35cm"),4,0))))),0)</f>
        <v>0.6</v>
      </c>
      <c r="J2307" s="103">
        <f t="shared" si="1"/>
        <v>0</v>
      </c>
      <c r="K2307" s="104" t="str">
        <f>IF(H2307&lt;0,"ERROR",IF(H2307=0,"",IF(H2307&lt;CONFIG!$B$4,"CRÍTICO",IF(H2307&lt;CONFIG!$B$5,"BAJO","OK"))))</f>
        <v/>
      </c>
    </row>
    <row r="2308" ht="15.75" hidden="1" customHeight="1">
      <c r="A2308" s="90" t="str">
        <f>IF(CLIENTES!A6="","",CLIENTES!A6)</f>
        <v/>
      </c>
      <c r="B2308" s="90" t="s">
        <v>331</v>
      </c>
      <c r="C2308" s="91" t="s">
        <v>328</v>
      </c>
      <c r="D2308" s="109" t="s">
        <v>364</v>
      </c>
      <c r="E2308" s="67" t="str">
        <f>COLORES!A20</f>
        <v/>
      </c>
      <c r="F2308" s="67" t="str">
        <f>COLORES!B20</f>
        <v/>
      </c>
      <c r="G2308" s="90" t="s">
        <v>378</v>
      </c>
      <c r="H2308" s="100">
        <f>IFERROR(SUMIFS(MOVIMIENTOS_COMPLEMENTOS!$I$4:$I$803,MOVIMIENTOS_COMPLEMENTOS!$C$4:$C$803,A2308,MOVIMIENTOS_COMPLEMENTOS!$D$4:$D$803,B2308,MOVIMIENTOS_COMPLEMENTOS!$E$4:$E$803,C2308,MOVIMIENTOS_COMPLEMENTOS!$F$4:$F$803,D2308,MOVIMIENTOS_COMPLEMENTOS!$G$4:$G$803,E2308,MOVIMIENTOS_COMPLEMENTOS!$H$4:$H$803,G2308,MOVIMIENTOS_COMPLEMENTOS!$B$4:$B$803,"INGRESO")+SUMIFS(MOVIMIENTOS_COMPLEMENTOS!$I$4:$I$803,MOVIMIENTOS_COMPLEMENTOS!$C$4:$C$803,A2308,MOVIMIENTOS_COMPLEMENTOS!$D$4:$D$803,B2308,MOVIMIENTOS_COMPLEMENTOS!$E$4:$E$803,C2308,MOVIMIENTOS_COMPLEMENTOS!$F$4:$F$803,D2308,MOVIMIENTOS_COMPLEMENTOS!$G$4:$G$803,E2308,MOVIMIENTOS_COMPLEMENTOS!$H$4:$H$803,G2308,MOVIMIENTOS_COMPLEMENTOS!$B$4:$B$803,"DE CORTE")-SUMIFS(MOVIMIENTOS_COMPLEMENTOS!$I$4:$I$803,MOVIMIENTOS_COMPLEMENTOS!$C$4:$C$803,A2308,MOVIMIENTOS_COMPLEMENTOS!$D$4:$D$803,B2308,MOVIMIENTOS_COMPLEMENTOS!$E$4:$E$803,C2308,MOVIMIENTOS_COMPLEMENTOS!$F$4:$F$803,D2308,MOVIMIENTOS_COMPLEMENTOS!$G$4:$G$803,E2308,MOVIMIENTOS_COMPLEMENTOS!$H$4:$H$803,G2308,MOVIMIENTOS_COMPLEMENTOS!$B$4:$B$803,"SALIDA"),0)</f>
        <v>0</v>
      </c>
      <c r="I2308" s="102">
        <f t="array" ref="I2308">IFERROR(INDEX(PRECIOS_COMPLEMENTOS!$C$4:$F$17,MATCH(B2308&amp;"_"&amp;C2308,PRECIOS_COMPLEMENTOS!$H$4:$H$17,0),IF(OR(G2308="S",G2308="20cm"),1,IF(OR(G2308="M",G2308="25cm"),2,IF(OR(G2308="L",G2308="30cm"),3,IF(OR(G2308="XL",G2308="35cm"),4,0))))),0)</f>
        <v>0.6</v>
      </c>
      <c r="J2308" s="103">
        <f t="shared" si="1"/>
        <v>0</v>
      </c>
      <c r="K2308" s="104" t="str">
        <f>IF(H2308&lt;0,"ERROR",IF(H2308=0,"",IF(H2308&lt;CONFIG!$B$4,"CRÍTICO",IF(H2308&lt;CONFIG!$B$5,"BAJO","OK"))))</f>
        <v/>
      </c>
    </row>
    <row r="2309" ht="15.75" hidden="1" customHeight="1">
      <c r="A2309" s="90" t="str">
        <f>IF(CLIENTES!A6="","",CLIENTES!A6)</f>
        <v/>
      </c>
      <c r="B2309" s="90" t="s">
        <v>331</v>
      </c>
      <c r="C2309" s="91" t="s">
        <v>328</v>
      </c>
      <c r="D2309" s="109" t="s">
        <v>364</v>
      </c>
      <c r="E2309" s="67" t="str">
        <f>COLORES!A20</f>
        <v/>
      </c>
      <c r="F2309" s="67" t="str">
        <f>COLORES!B20</f>
        <v/>
      </c>
      <c r="G2309" s="90" t="s">
        <v>376</v>
      </c>
      <c r="H2309" s="100">
        <f>IFERROR(SUMIFS(MOVIMIENTOS_COMPLEMENTOS!$I$4:$I$803,MOVIMIENTOS_COMPLEMENTOS!$C$4:$C$803,A2309,MOVIMIENTOS_COMPLEMENTOS!$D$4:$D$803,B2309,MOVIMIENTOS_COMPLEMENTOS!$E$4:$E$803,C2309,MOVIMIENTOS_COMPLEMENTOS!$F$4:$F$803,D2309,MOVIMIENTOS_COMPLEMENTOS!$G$4:$G$803,E2309,MOVIMIENTOS_COMPLEMENTOS!$H$4:$H$803,G2309,MOVIMIENTOS_COMPLEMENTOS!$B$4:$B$803,"INGRESO")+SUMIFS(MOVIMIENTOS_COMPLEMENTOS!$I$4:$I$803,MOVIMIENTOS_COMPLEMENTOS!$C$4:$C$803,A2309,MOVIMIENTOS_COMPLEMENTOS!$D$4:$D$803,B2309,MOVIMIENTOS_COMPLEMENTOS!$E$4:$E$803,C2309,MOVIMIENTOS_COMPLEMENTOS!$F$4:$F$803,D2309,MOVIMIENTOS_COMPLEMENTOS!$G$4:$G$803,E2309,MOVIMIENTOS_COMPLEMENTOS!$H$4:$H$803,G2309,MOVIMIENTOS_COMPLEMENTOS!$B$4:$B$803,"DE CORTE")-SUMIFS(MOVIMIENTOS_COMPLEMENTOS!$I$4:$I$803,MOVIMIENTOS_COMPLEMENTOS!$C$4:$C$803,A2309,MOVIMIENTOS_COMPLEMENTOS!$D$4:$D$803,B2309,MOVIMIENTOS_COMPLEMENTOS!$E$4:$E$803,C2309,MOVIMIENTOS_COMPLEMENTOS!$F$4:$F$803,D2309,MOVIMIENTOS_COMPLEMENTOS!$G$4:$G$803,E2309,MOVIMIENTOS_COMPLEMENTOS!$H$4:$H$803,G2309,MOVIMIENTOS_COMPLEMENTOS!$B$4:$B$803,"SALIDA"),0)</f>
        <v>0</v>
      </c>
      <c r="I2309" s="102">
        <f t="array" ref="I2309">IFERROR(INDEX(PRECIOS_COMPLEMENTOS!$C$4:$F$17,MATCH(B2309&amp;"_"&amp;C2309,PRECIOS_COMPLEMENTOS!$H$4:$H$17,0),IF(OR(G2309="S",G2309="20cm"),1,IF(OR(G2309="M",G2309="25cm"),2,IF(OR(G2309="L",G2309="30cm"),3,IF(OR(G2309="XL",G2309="35cm"),4,0))))),0)</f>
        <v>0.6</v>
      </c>
      <c r="J2309" s="103">
        <f t="shared" si="1"/>
        <v>0</v>
      </c>
      <c r="K2309" s="104" t="str">
        <f>IF(H2309&lt;0,"ERROR",IF(H2309=0,"",IF(H2309&lt;CONFIG!$B$4,"CRÍTICO",IF(H2309&lt;CONFIG!$B$5,"BAJO","OK"))))</f>
        <v/>
      </c>
    </row>
    <row r="2310" ht="15.75" hidden="1" customHeight="1">
      <c r="A2310" s="90" t="str">
        <f>IF(CLIENTES!A6="","",CLIENTES!A6)</f>
        <v/>
      </c>
      <c r="B2310" s="90" t="s">
        <v>331</v>
      </c>
      <c r="C2310" s="91" t="s">
        <v>328</v>
      </c>
      <c r="D2310" s="109" t="s">
        <v>364</v>
      </c>
      <c r="E2310" s="67" t="str">
        <f>COLORES!A20</f>
        <v/>
      </c>
      <c r="F2310" s="67" t="str">
        <f>COLORES!B20</f>
        <v/>
      </c>
      <c r="G2310" s="90" t="s">
        <v>377</v>
      </c>
      <c r="H2310" s="100">
        <f>IFERROR(SUMIFS(MOVIMIENTOS_COMPLEMENTOS!$I$4:$I$803,MOVIMIENTOS_COMPLEMENTOS!$C$4:$C$803,A2310,MOVIMIENTOS_COMPLEMENTOS!$D$4:$D$803,B2310,MOVIMIENTOS_COMPLEMENTOS!$E$4:$E$803,C2310,MOVIMIENTOS_COMPLEMENTOS!$F$4:$F$803,D2310,MOVIMIENTOS_COMPLEMENTOS!$G$4:$G$803,E2310,MOVIMIENTOS_COMPLEMENTOS!$H$4:$H$803,G2310,MOVIMIENTOS_COMPLEMENTOS!$B$4:$B$803,"INGRESO")+SUMIFS(MOVIMIENTOS_COMPLEMENTOS!$I$4:$I$803,MOVIMIENTOS_COMPLEMENTOS!$C$4:$C$803,A2310,MOVIMIENTOS_COMPLEMENTOS!$D$4:$D$803,B2310,MOVIMIENTOS_COMPLEMENTOS!$E$4:$E$803,C2310,MOVIMIENTOS_COMPLEMENTOS!$F$4:$F$803,D2310,MOVIMIENTOS_COMPLEMENTOS!$G$4:$G$803,E2310,MOVIMIENTOS_COMPLEMENTOS!$H$4:$H$803,G2310,MOVIMIENTOS_COMPLEMENTOS!$B$4:$B$803,"DE CORTE")-SUMIFS(MOVIMIENTOS_COMPLEMENTOS!$I$4:$I$803,MOVIMIENTOS_COMPLEMENTOS!$C$4:$C$803,A2310,MOVIMIENTOS_COMPLEMENTOS!$D$4:$D$803,B2310,MOVIMIENTOS_COMPLEMENTOS!$E$4:$E$803,C2310,MOVIMIENTOS_COMPLEMENTOS!$F$4:$F$803,D2310,MOVIMIENTOS_COMPLEMENTOS!$G$4:$G$803,E2310,MOVIMIENTOS_COMPLEMENTOS!$H$4:$H$803,G2310,MOVIMIENTOS_COMPLEMENTOS!$B$4:$B$803,"SALIDA"),0)</f>
        <v>0</v>
      </c>
      <c r="I2310" s="102">
        <f t="array" ref="I2310">IFERROR(INDEX(PRECIOS_COMPLEMENTOS!$C$4:$F$17,MATCH(B2310&amp;"_"&amp;C2310,PRECIOS_COMPLEMENTOS!$H$4:$H$17,0),IF(OR(G2310="S",G2310="20cm"),1,IF(OR(G2310="M",G2310="25cm"),2,IF(OR(G2310="L",G2310="30cm"),3,IF(OR(G2310="XL",G2310="35cm"),4,0))))),0)</f>
        <v>0.6</v>
      </c>
      <c r="J2310" s="103">
        <f t="shared" si="1"/>
        <v>0</v>
      </c>
      <c r="K2310" s="104" t="str">
        <f>IF(H2310&lt;0,"ERROR",IF(H2310=0,"",IF(H2310&lt;CONFIG!$B$4,"CRÍTICO",IF(H2310&lt;CONFIG!$B$5,"BAJO","OK"))))</f>
        <v/>
      </c>
    </row>
    <row r="2311" ht="15.75" hidden="1" customHeight="1">
      <c r="A2311" s="90" t="str">
        <f>IF(CLIENTES!A6="","",CLIENTES!A6)</f>
        <v/>
      </c>
      <c r="B2311" s="90" t="s">
        <v>331</v>
      </c>
      <c r="C2311" s="91" t="s">
        <v>328</v>
      </c>
      <c r="D2311" s="109" t="s">
        <v>364</v>
      </c>
      <c r="E2311" s="67" t="str">
        <f>COLORES!A20</f>
        <v/>
      </c>
      <c r="F2311" s="67" t="str">
        <f>COLORES!B20</f>
        <v/>
      </c>
      <c r="G2311" s="90" t="s">
        <v>379</v>
      </c>
      <c r="H2311" s="100">
        <f>IFERROR(SUMIFS(MOVIMIENTOS_COMPLEMENTOS!$I$4:$I$803,MOVIMIENTOS_COMPLEMENTOS!$C$4:$C$803,A2311,MOVIMIENTOS_COMPLEMENTOS!$D$4:$D$803,B2311,MOVIMIENTOS_COMPLEMENTOS!$E$4:$E$803,C2311,MOVIMIENTOS_COMPLEMENTOS!$F$4:$F$803,D2311,MOVIMIENTOS_COMPLEMENTOS!$G$4:$G$803,E2311,MOVIMIENTOS_COMPLEMENTOS!$H$4:$H$803,G2311,MOVIMIENTOS_COMPLEMENTOS!$B$4:$B$803,"INGRESO")+SUMIFS(MOVIMIENTOS_COMPLEMENTOS!$I$4:$I$803,MOVIMIENTOS_COMPLEMENTOS!$C$4:$C$803,A2311,MOVIMIENTOS_COMPLEMENTOS!$D$4:$D$803,B2311,MOVIMIENTOS_COMPLEMENTOS!$E$4:$E$803,C2311,MOVIMIENTOS_COMPLEMENTOS!$F$4:$F$803,D2311,MOVIMIENTOS_COMPLEMENTOS!$G$4:$G$803,E2311,MOVIMIENTOS_COMPLEMENTOS!$H$4:$H$803,G2311,MOVIMIENTOS_COMPLEMENTOS!$B$4:$B$803,"DE CORTE")-SUMIFS(MOVIMIENTOS_COMPLEMENTOS!$I$4:$I$803,MOVIMIENTOS_COMPLEMENTOS!$C$4:$C$803,A2311,MOVIMIENTOS_COMPLEMENTOS!$D$4:$D$803,B2311,MOVIMIENTOS_COMPLEMENTOS!$E$4:$E$803,C2311,MOVIMIENTOS_COMPLEMENTOS!$F$4:$F$803,D2311,MOVIMIENTOS_COMPLEMENTOS!$G$4:$G$803,E2311,MOVIMIENTOS_COMPLEMENTOS!$H$4:$H$803,G2311,MOVIMIENTOS_COMPLEMENTOS!$B$4:$B$803,"SALIDA"),0)</f>
        <v>0</v>
      </c>
      <c r="I2311" s="102">
        <f t="array" ref="I2311">IFERROR(INDEX(PRECIOS_COMPLEMENTOS!$C$4:$F$17,MATCH(B2311&amp;"_"&amp;C2311,PRECIOS_COMPLEMENTOS!$H$4:$H$17,0),IF(OR(G2311="S",G2311="20cm"),1,IF(OR(G2311="M",G2311="25cm"),2,IF(OR(G2311="L",G2311="30cm"),3,IF(OR(G2311="XL",G2311="35cm"),4,0))))),0)</f>
        <v>0.6</v>
      </c>
      <c r="J2311" s="103">
        <f t="shared" si="1"/>
        <v>0</v>
      </c>
      <c r="K2311" s="104" t="str">
        <f>IF(H2311&lt;0,"ERROR",IF(H2311=0,"",IF(H2311&lt;CONFIG!$B$4,"CRÍTICO",IF(H2311&lt;CONFIG!$B$5,"BAJO","OK"))))</f>
        <v/>
      </c>
    </row>
    <row r="2312" ht="15.75" hidden="1" customHeight="1">
      <c r="A2312" s="90" t="str">
        <f>IF(CLIENTES!A6="","",CLIENTES!A6)</f>
        <v/>
      </c>
      <c r="B2312" s="90" t="s">
        <v>331</v>
      </c>
      <c r="C2312" s="91" t="s">
        <v>328</v>
      </c>
      <c r="D2312" s="109" t="s">
        <v>364</v>
      </c>
      <c r="E2312" s="67" t="str">
        <f>COLORES!A21</f>
        <v/>
      </c>
      <c r="F2312" s="67" t="str">
        <f>COLORES!B21</f>
        <v/>
      </c>
      <c r="G2312" s="90" t="s">
        <v>378</v>
      </c>
      <c r="H2312" s="100">
        <f>IFERROR(SUMIFS(MOVIMIENTOS_COMPLEMENTOS!$I$4:$I$803,MOVIMIENTOS_COMPLEMENTOS!$C$4:$C$803,A2312,MOVIMIENTOS_COMPLEMENTOS!$D$4:$D$803,B2312,MOVIMIENTOS_COMPLEMENTOS!$E$4:$E$803,C2312,MOVIMIENTOS_COMPLEMENTOS!$F$4:$F$803,D2312,MOVIMIENTOS_COMPLEMENTOS!$G$4:$G$803,E2312,MOVIMIENTOS_COMPLEMENTOS!$H$4:$H$803,G2312,MOVIMIENTOS_COMPLEMENTOS!$B$4:$B$803,"INGRESO")+SUMIFS(MOVIMIENTOS_COMPLEMENTOS!$I$4:$I$803,MOVIMIENTOS_COMPLEMENTOS!$C$4:$C$803,A2312,MOVIMIENTOS_COMPLEMENTOS!$D$4:$D$803,B2312,MOVIMIENTOS_COMPLEMENTOS!$E$4:$E$803,C2312,MOVIMIENTOS_COMPLEMENTOS!$F$4:$F$803,D2312,MOVIMIENTOS_COMPLEMENTOS!$G$4:$G$803,E2312,MOVIMIENTOS_COMPLEMENTOS!$H$4:$H$803,G2312,MOVIMIENTOS_COMPLEMENTOS!$B$4:$B$803,"DE CORTE")-SUMIFS(MOVIMIENTOS_COMPLEMENTOS!$I$4:$I$803,MOVIMIENTOS_COMPLEMENTOS!$C$4:$C$803,A2312,MOVIMIENTOS_COMPLEMENTOS!$D$4:$D$803,B2312,MOVIMIENTOS_COMPLEMENTOS!$E$4:$E$803,C2312,MOVIMIENTOS_COMPLEMENTOS!$F$4:$F$803,D2312,MOVIMIENTOS_COMPLEMENTOS!$G$4:$G$803,E2312,MOVIMIENTOS_COMPLEMENTOS!$H$4:$H$803,G2312,MOVIMIENTOS_COMPLEMENTOS!$B$4:$B$803,"SALIDA"),0)</f>
        <v>0</v>
      </c>
      <c r="I2312" s="102">
        <f t="array" ref="I2312">IFERROR(INDEX(PRECIOS_COMPLEMENTOS!$C$4:$F$17,MATCH(B2312&amp;"_"&amp;C2312,PRECIOS_COMPLEMENTOS!$H$4:$H$17,0),IF(OR(G2312="S",G2312="20cm"),1,IF(OR(G2312="M",G2312="25cm"),2,IF(OR(G2312="L",G2312="30cm"),3,IF(OR(G2312="XL",G2312="35cm"),4,0))))),0)</f>
        <v>0.6</v>
      </c>
      <c r="J2312" s="103">
        <f t="shared" si="1"/>
        <v>0</v>
      </c>
      <c r="K2312" s="104" t="str">
        <f>IF(H2312&lt;0,"ERROR",IF(H2312=0,"",IF(H2312&lt;CONFIG!$B$4,"CRÍTICO",IF(H2312&lt;CONFIG!$B$5,"BAJO","OK"))))</f>
        <v/>
      </c>
    </row>
    <row r="2313" ht="15.75" hidden="1" customHeight="1">
      <c r="A2313" s="90" t="str">
        <f>IF(CLIENTES!A6="","",CLIENTES!A6)</f>
        <v/>
      </c>
      <c r="B2313" s="90" t="s">
        <v>331</v>
      </c>
      <c r="C2313" s="91" t="s">
        <v>328</v>
      </c>
      <c r="D2313" s="109" t="s">
        <v>364</v>
      </c>
      <c r="E2313" s="67" t="str">
        <f>COLORES!A21</f>
        <v/>
      </c>
      <c r="F2313" s="67" t="str">
        <f>COLORES!B21</f>
        <v/>
      </c>
      <c r="G2313" s="90" t="s">
        <v>376</v>
      </c>
      <c r="H2313" s="100">
        <f>IFERROR(SUMIFS(MOVIMIENTOS_COMPLEMENTOS!$I$4:$I$803,MOVIMIENTOS_COMPLEMENTOS!$C$4:$C$803,A2313,MOVIMIENTOS_COMPLEMENTOS!$D$4:$D$803,B2313,MOVIMIENTOS_COMPLEMENTOS!$E$4:$E$803,C2313,MOVIMIENTOS_COMPLEMENTOS!$F$4:$F$803,D2313,MOVIMIENTOS_COMPLEMENTOS!$G$4:$G$803,E2313,MOVIMIENTOS_COMPLEMENTOS!$H$4:$H$803,G2313,MOVIMIENTOS_COMPLEMENTOS!$B$4:$B$803,"INGRESO")+SUMIFS(MOVIMIENTOS_COMPLEMENTOS!$I$4:$I$803,MOVIMIENTOS_COMPLEMENTOS!$C$4:$C$803,A2313,MOVIMIENTOS_COMPLEMENTOS!$D$4:$D$803,B2313,MOVIMIENTOS_COMPLEMENTOS!$E$4:$E$803,C2313,MOVIMIENTOS_COMPLEMENTOS!$F$4:$F$803,D2313,MOVIMIENTOS_COMPLEMENTOS!$G$4:$G$803,E2313,MOVIMIENTOS_COMPLEMENTOS!$H$4:$H$803,G2313,MOVIMIENTOS_COMPLEMENTOS!$B$4:$B$803,"DE CORTE")-SUMIFS(MOVIMIENTOS_COMPLEMENTOS!$I$4:$I$803,MOVIMIENTOS_COMPLEMENTOS!$C$4:$C$803,A2313,MOVIMIENTOS_COMPLEMENTOS!$D$4:$D$803,B2313,MOVIMIENTOS_COMPLEMENTOS!$E$4:$E$803,C2313,MOVIMIENTOS_COMPLEMENTOS!$F$4:$F$803,D2313,MOVIMIENTOS_COMPLEMENTOS!$G$4:$G$803,E2313,MOVIMIENTOS_COMPLEMENTOS!$H$4:$H$803,G2313,MOVIMIENTOS_COMPLEMENTOS!$B$4:$B$803,"SALIDA"),0)</f>
        <v>0</v>
      </c>
      <c r="I2313" s="102">
        <f t="array" ref="I2313">IFERROR(INDEX(PRECIOS_COMPLEMENTOS!$C$4:$F$17,MATCH(B2313&amp;"_"&amp;C2313,PRECIOS_COMPLEMENTOS!$H$4:$H$17,0),IF(OR(G2313="S",G2313="20cm"),1,IF(OR(G2313="M",G2313="25cm"),2,IF(OR(G2313="L",G2313="30cm"),3,IF(OR(G2313="XL",G2313="35cm"),4,0))))),0)</f>
        <v>0.6</v>
      </c>
      <c r="J2313" s="103">
        <f t="shared" si="1"/>
        <v>0</v>
      </c>
      <c r="K2313" s="104" t="str">
        <f>IF(H2313&lt;0,"ERROR",IF(H2313=0,"",IF(H2313&lt;CONFIG!$B$4,"CRÍTICO",IF(H2313&lt;CONFIG!$B$5,"BAJO","OK"))))</f>
        <v/>
      </c>
    </row>
    <row r="2314" ht="15.75" hidden="1" customHeight="1">
      <c r="A2314" s="90" t="str">
        <f>IF(CLIENTES!A6="","",CLIENTES!A6)</f>
        <v/>
      </c>
      <c r="B2314" s="90" t="s">
        <v>331</v>
      </c>
      <c r="C2314" s="91" t="s">
        <v>328</v>
      </c>
      <c r="D2314" s="109" t="s">
        <v>364</v>
      </c>
      <c r="E2314" s="67" t="str">
        <f>COLORES!A21</f>
        <v/>
      </c>
      <c r="F2314" s="67" t="str">
        <f>COLORES!B21</f>
        <v/>
      </c>
      <c r="G2314" s="90" t="s">
        <v>377</v>
      </c>
      <c r="H2314" s="100">
        <f>IFERROR(SUMIFS(MOVIMIENTOS_COMPLEMENTOS!$I$4:$I$803,MOVIMIENTOS_COMPLEMENTOS!$C$4:$C$803,A2314,MOVIMIENTOS_COMPLEMENTOS!$D$4:$D$803,B2314,MOVIMIENTOS_COMPLEMENTOS!$E$4:$E$803,C2314,MOVIMIENTOS_COMPLEMENTOS!$F$4:$F$803,D2314,MOVIMIENTOS_COMPLEMENTOS!$G$4:$G$803,E2314,MOVIMIENTOS_COMPLEMENTOS!$H$4:$H$803,G2314,MOVIMIENTOS_COMPLEMENTOS!$B$4:$B$803,"INGRESO")+SUMIFS(MOVIMIENTOS_COMPLEMENTOS!$I$4:$I$803,MOVIMIENTOS_COMPLEMENTOS!$C$4:$C$803,A2314,MOVIMIENTOS_COMPLEMENTOS!$D$4:$D$803,B2314,MOVIMIENTOS_COMPLEMENTOS!$E$4:$E$803,C2314,MOVIMIENTOS_COMPLEMENTOS!$F$4:$F$803,D2314,MOVIMIENTOS_COMPLEMENTOS!$G$4:$G$803,E2314,MOVIMIENTOS_COMPLEMENTOS!$H$4:$H$803,G2314,MOVIMIENTOS_COMPLEMENTOS!$B$4:$B$803,"DE CORTE")-SUMIFS(MOVIMIENTOS_COMPLEMENTOS!$I$4:$I$803,MOVIMIENTOS_COMPLEMENTOS!$C$4:$C$803,A2314,MOVIMIENTOS_COMPLEMENTOS!$D$4:$D$803,B2314,MOVIMIENTOS_COMPLEMENTOS!$E$4:$E$803,C2314,MOVIMIENTOS_COMPLEMENTOS!$F$4:$F$803,D2314,MOVIMIENTOS_COMPLEMENTOS!$G$4:$G$803,E2314,MOVIMIENTOS_COMPLEMENTOS!$H$4:$H$803,G2314,MOVIMIENTOS_COMPLEMENTOS!$B$4:$B$803,"SALIDA"),0)</f>
        <v>0</v>
      </c>
      <c r="I2314" s="102">
        <f t="array" ref="I2314">IFERROR(INDEX(PRECIOS_COMPLEMENTOS!$C$4:$F$17,MATCH(B2314&amp;"_"&amp;C2314,PRECIOS_COMPLEMENTOS!$H$4:$H$17,0),IF(OR(G2314="S",G2314="20cm"),1,IF(OR(G2314="M",G2314="25cm"),2,IF(OR(G2314="L",G2314="30cm"),3,IF(OR(G2314="XL",G2314="35cm"),4,0))))),0)</f>
        <v>0.6</v>
      </c>
      <c r="J2314" s="103">
        <f t="shared" si="1"/>
        <v>0</v>
      </c>
      <c r="K2314" s="104" t="str">
        <f>IF(H2314&lt;0,"ERROR",IF(H2314=0,"",IF(H2314&lt;CONFIG!$B$4,"CRÍTICO",IF(H2314&lt;CONFIG!$B$5,"BAJO","OK"))))</f>
        <v/>
      </c>
    </row>
    <row r="2315" ht="15.75" hidden="1" customHeight="1">
      <c r="A2315" s="90" t="str">
        <f>IF(CLIENTES!A6="","",CLIENTES!A6)</f>
        <v/>
      </c>
      <c r="B2315" s="90" t="s">
        <v>331</v>
      </c>
      <c r="C2315" s="91" t="s">
        <v>328</v>
      </c>
      <c r="D2315" s="109" t="s">
        <v>364</v>
      </c>
      <c r="E2315" s="67" t="str">
        <f>COLORES!A21</f>
        <v/>
      </c>
      <c r="F2315" s="67" t="str">
        <f>COLORES!B21</f>
        <v/>
      </c>
      <c r="G2315" s="90" t="s">
        <v>379</v>
      </c>
      <c r="H2315" s="100">
        <f>IFERROR(SUMIFS(MOVIMIENTOS_COMPLEMENTOS!$I$4:$I$803,MOVIMIENTOS_COMPLEMENTOS!$C$4:$C$803,A2315,MOVIMIENTOS_COMPLEMENTOS!$D$4:$D$803,B2315,MOVIMIENTOS_COMPLEMENTOS!$E$4:$E$803,C2315,MOVIMIENTOS_COMPLEMENTOS!$F$4:$F$803,D2315,MOVIMIENTOS_COMPLEMENTOS!$G$4:$G$803,E2315,MOVIMIENTOS_COMPLEMENTOS!$H$4:$H$803,G2315,MOVIMIENTOS_COMPLEMENTOS!$B$4:$B$803,"INGRESO")+SUMIFS(MOVIMIENTOS_COMPLEMENTOS!$I$4:$I$803,MOVIMIENTOS_COMPLEMENTOS!$C$4:$C$803,A2315,MOVIMIENTOS_COMPLEMENTOS!$D$4:$D$803,B2315,MOVIMIENTOS_COMPLEMENTOS!$E$4:$E$803,C2315,MOVIMIENTOS_COMPLEMENTOS!$F$4:$F$803,D2315,MOVIMIENTOS_COMPLEMENTOS!$G$4:$G$803,E2315,MOVIMIENTOS_COMPLEMENTOS!$H$4:$H$803,G2315,MOVIMIENTOS_COMPLEMENTOS!$B$4:$B$803,"DE CORTE")-SUMIFS(MOVIMIENTOS_COMPLEMENTOS!$I$4:$I$803,MOVIMIENTOS_COMPLEMENTOS!$C$4:$C$803,A2315,MOVIMIENTOS_COMPLEMENTOS!$D$4:$D$803,B2315,MOVIMIENTOS_COMPLEMENTOS!$E$4:$E$803,C2315,MOVIMIENTOS_COMPLEMENTOS!$F$4:$F$803,D2315,MOVIMIENTOS_COMPLEMENTOS!$G$4:$G$803,E2315,MOVIMIENTOS_COMPLEMENTOS!$H$4:$H$803,G2315,MOVIMIENTOS_COMPLEMENTOS!$B$4:$B$803,"SALIDA"),0)</f>
        <v>0</v>
      </c>
      <c r="I2315" s="102">
        <f t="array" ref="I2315">IFERROR(INDEX(PRECIOS_COMPLEMENTOS!$C$4:$F$17,MATCH(B2315&amp;"_"&amp;C2315,PRECIOS_COMPLEMENTOS!$H$4:$H$17,0),IF(OR(G2315="S",G2315="20cm"),1,IF(OR(G2315="M",G2315="25cm"),2,IF(OR(G2315="L",G2315="30cm"),3,IF(OR(G2315="XL",G2315="35cm"),4,0))))),0)</f>
        <v>0.6</v>
      </c>
      <c r="J2315" s="103">
        <f t="shared" si="1"/>
        <v>0</v>
      </c>
      <c r="K2315" s="104" t="str">
        <f>IF(H2315&lt;0,"ERROR",IF(H2315=0,"",IF(H2315&lt;CONFIG!$B$4,"CRÍTICO",IF(H2315&lt;CONFIG!$B$5,"BAJO","OK"))))</f>
        <v/>
      </c>
    </row>
    <row r="2316" ht="15.75" hidden="1" customHeight="1">
      <c r="A2316" s="90" t="str">
        <f>IF(CLIENTES!A6="","",CLIENTES!A6)</f>
        <v/>
      </c>
      <c r="B2316" s="90" t="s">
        <v>331</v>
      </c>
      <c r="C2316" s="91" t="s">
        <v>328</v>
      </c>
      <c r="D2316" s="109" t="s">
        <v>364</v>
      </c>
      <c r="E2316" s="67" t="str">
        <f>COLORES!A22</f>
        <v/>
      </c>
      <c r="F2316" s="67" t="str">
        <f>COLORES!B22</f>
        <v/>
      </c>
      <c r="G2316" s="90" t="s">
        <v>378</v>
      </c>
      <c r="H2316" s="100">
        <f>IFERROR(SUMIFS(MOVIMIENTOS_COMPLEMENTOS!$I$4:$I$803,MOVIMIENTOS_COMPLEMENTOS!$C$4:$C$803,A2316,MOVIMIENTOS_COMPLEMENTOS!$D$4:$D$803,B2316,MOVIMIENTOS_COMPLEMENTOS!$E$4:$E$803,C2316,MOVIMIENTOS_COMPLEMENTOS!$F$4:$F$803,D2316,MOVIMIENTOS_COMPLEMENTOS!$G$4:$G$803,E2316,MOVIMIENTOS_COMPLEMENTOS!$H$4:$H$803,G2316,MOVIMIENTOS_COMPLEMENTOS!$B$4:$B$803,"INGRESO")+SUMIFS(MOVIMIENTOS_COMPLEMENTOS!$I$4:$I$803,MOVIMIENTOS_COMPLEMENTOS!$C$4:$C$803,A2316,MOVIMIENTOS_COMPLEMENTOS!$D$4:$D$803,B2316,MOVIMIENTOS_COMPLEMENTOS!$E$4:$E$803,C2316,MOVIMIENTOS_COMPLEMENTOS!$F$4:$F$803,D2316,MOVIMIENTOS_COMPLEMENTOS!$G$4:$G$803,E2316,MOVIMIENTOS_COMPLEMENTOS!$H$4:$H$803,G2316,MOVIMIENTOS_COMPLEMENTOS!$B$4:$B$803,"DE CORTE")-SUMIFS(MOVIMIENTOS_COMPLEMENTOS!$I$4:$I$803,MOVIMIENTOS_COMPLEMENTOS!$C$4:$C$803,A2316,MOVIMIENTOS_COMPLEMENTOS!$D$4:$D$803,B2316,MOVIMIENTOS_COMPLEMENTOS!$E$4:$E$803,C2316,MOVIMIENTOS_COMPLEMENTOS!$F$4:$F$803,D2316,MOVIMIENTOS_COMPLEMENTOS!$G$4:$G$803,E2316,MOVIMIENTOS_COMPLEMENTOS!$H$4:$H$803,G2316,MOVIMIENTOS_COMPLEMENTOS!$B$4:$B$803,"SALIDA"),0)</f>
        <v>0</v>
      </c>
      <c r="I2316" s="102">
        <f t="array" ref="I2316">IFERROR(INDEX(PRECIOS_COMPLEMENTOS!$C$4:$F$17,MATCH(B2316&amp;"_"&amp;C2316,PRECIOS_COMPLEMENTOS!$H$4:$H$17,0),IF(OR(G2316="S",G2316="20cm"),1,IF(OR(G2316="M",G2316="25cm"),2,IF(OR(G2316="L",G2316="30cm"),3,IF(OR(G2316="XL",G2316="35cm"),4,0))))),0)</f>
        <v>0.6</v>
      </c>
      <c r="J2316" s="103">
        <f t="shared" si="1"/>
        <v>0</v>
      </c>
      <c r="K2316" s="104" t="str">
        <f>IF(H2316&lt;0,"ERROR",IF(H2316=0,"",IF(H2316&lt;CONFIG!$B$4,"CRÍTICO",IF(H2316&lt;CONFIG!$B$5,"BAJO","OK"))))</f>
        <v/>
      </c>
    </row>
    <row r="2317" ht="15.75" hidden="1" customHeight="1">
      <c r="A2317" s="90" t="str">
        <f>IF(CLIENTES!A6="","",CLIENTES!A6)</f>
        <v/>
      </c>
      <c r="B2317" s="90" t="s">
        <v>331</v>
      </c>
      <c r="C2317" s="91" t="s">
        <v>328</v>
      </c>
      <c r="D2317" s="109" t="s">
        <v>364</v>
      </c>
      <c r="E2317" s="67" t="str">
        <f>COLORES!A22</f>
        <v/>
      </c>
      <c r="F2317" s="67" t="str">
        <f>COLORES!B22</f>
        <v/>
      </c>
      <c r="G2317" s="90" t="s">
        <v>376</v>
      </c>
      <c r="H2317" s="100">
        <f>IFERROR(SUMIFS(MOVIMIENTOS_COMPLEMENTOS!$I$4:$I$803,MOVIMIENTOS_COMPLEMENTOS!$C$4:$C$803,A2317,MOVIMIENTOS_COMPLEMENTOS!$D$4:$D$803,B2317,MOVIMIENTOS_COMPLEMENTOS!$E$4:$E$803,C2317,MOVIMIENTOS_COMPLEMENTOS!$F$4:$F$803,D2317,MOVIMIENTOS_COMPLEMENTOS!$G$4:$G$803,E2317,MOVIMIENTOS_COMPLEMENTOS!$H$4:$H$803,G2317,MOVIMIENTOS_COMPLEMENTOS!$B$4:$B$803,"INGRESO")+SUMIFS(MOVIMIENTOS_COMPLEMENTOS!$I$4:$I$803,MOVIMIENTOS_COMPLEMENTOS!$C$4:$C$803,A2317,MOVIMIENTOS_COMPLEMENTOS!$D$4:$D$803,B2317,MOVIMIENTOS_COMPLEMENTOS!$E$4:$E$803,C2317,MOVIMIENTOS_COMPLEMENTOS!$F$4:$F$803,D2317,MOVIMIENTOS_COMPLEMENTOS!$G$4:$G$803,E2317,MOVIMIENTOS_COMPLEMENTOS!$H$4:$H$803,G2317,MOVIMIENTOS_COMPLEMENTOS!$B$4:$B$803,"DE CORTE")-SUMIFS(MOVIMIENTOS_COMPLEMENTOS!$I$4:$I$803,MOVIMIENTOS_COMPLEMENTOS!$C$4:$C$803,A2317,MOVIMIENTOS_COMPLEMENTOS!$D$4:$D$803,B2317,MOVIMIENTOS_COMPLEMENTOS!$E$4:$E$803,C2317,MOVIMIENTOS_COMPLEMENTOS!$F$4:$F$803,D2317,MOVIMIENTOS_COMPLEMENTOS!$G$4:$G$803,E2317,MOVIMIENTOS_COMPLEMENTOS!$H$4:$H$803,G2317,MOVIMIENTOS_COMPLEMENTOS!$B$4:$B$803,"SALIDA"),0)</f>
        <v>0</v>
      </c>
      <c r="I2317" s="102">
        <f t="array" ref="I2317">IFERROR(INDEX(PRECIOS_COMPLEMENTOS!$C$4:$F$17,MATCH(B2317&amp;"_"&amp;C2317,PRECIOS_COMPLEMENTOS!$H$4:$H$17,0),IF(OR(G2317="S",G2317="20cm"),1,IF(OR(G2317="M",G2317="25cm"),2,IF(OR(G2317="L",G2317="30cm"),3,IF(OR(G2317="XL",G2317="35cm"),4,0))))),0)</f>
        <v>0.6</v>
      </c>
      <c r="J2317" s="103">
        <f t="shared" si="1"/>
        <v>0</v>
      </c>
      <c r="K2317" s="104" t="str">
        <f>IF(H2317&lt;0,"ERROR",IF(H2317=0,"",IF(H2317&lt;CONFIG!$B$4,"CRÍTICO",IF(H2317&lt;CONFIG!$B$5,"BAJO","OK"))))</f>
        <v/>
      </c>
    </row>
    <row r="2318" ht="15.75" hidden="1" customHeight="1">
      <c r="A2318" s="90" t="str">
        <f>IF(CLIENTES!A6="","",CLIENTES!A6)</f>
        <v/>
      </c>
      <c r="B2318" s="90" t="s">
        <v>331</v>
      </c>
      <c r="C2318" s="91" t="s">
        <v>328</v>
      </c>
      <c r="D2318" s="109" t="s">
        <v>364</v>
      </c>
      <c r="E2318" s="67" t="str">
        <f>COLORES!A22</f>
        <v/>
      </c>
      <c r="F2318" s="67" t="str">
        <f>COLORES!B22</f>
        <v/>
      </c>
      <c r="G2318" s="90" t="s">
        <v>377</v>
      </c>
      <c r="H2318" s="100">
        <f>IFERROR(SUMIFS(MOVIMIENTOS_COMPLEMENTOS!$I$4:$I$803,MOVIMIENTOS_COMPLEMENTOS!$C$4:$C$803,A2318,MOVIMIENTOS_COMPLEMENTOS!$D$4:$D$803,B2318,MOVIMIENTOS_COMPLEMENTOS!$E$4:$E$803,C2318,MOVIMIENTOS_COMPLEMENTOS!$F$4:$F$803,D2318,MOVIMIENTOS_COMPLEMENTOS!$G$4:$G$803,E2318,MOVIMIENTOS_COMPLEMENTOS!$H$4:$H$803,G2318,MOVIMIENTOS_COMPLEMENTOS!$B$4:$B$803,"INGRESO")+SUMIFS(MOVIMIENTOS_COMPLEMENTOS!$I$4:$I$803,MOVIMIENTOS_COMPLEMENTOS!$C$4:$C$803,A2318,MOVIMIENTOS_COMPLEMENTOS!$D$4:$D$803,B2318,MOVIMIENTOS_COMPLEMENTOS!$E$4:$E$803,C2318,MOVIMIENTOS_COMPLEMENTOS!$F$4:$F$803,D2318,MOVIMIENTOS_COMPLEMENTOS!$G$4:$G$803,E2318,MOVIMIENTOS_COMPLEMENTOS!$H$4:$H$803,G2318,MOVIMIENTOS_COMPLEMENTOS!$B$4:$B$803,"DE CORTE")-SUMIFS(MOVIMIENTOS_COMPLEMENTOS!$I$4:$I$803,MOVIMIENTOS_COMPLEMENTOS!$C$4:$C$803,A2318,MOVIMIENTOS_COMPLEMENTOS!$D$4:$D$803,B2318,MOVIMIENTOS_COMPLEMENTOS!$E$4:$E$803,C2318,MOVIMIENTOS_COMPLEMENTOS!$F$4:$F$803,D2318,MOVIMIENTOS_COMPLEMENTOS!$G$4:$G$803,E2318,MOVIMIENTOS_COMPLEMENTOS!$H$4:$H$803,G2318,MOVIMIENTOS_COMPLEMENTOS!$B$4:$B$803,"SALIDA"),0)</f>
        <v>0</v>
      </c>
      <c r="I2318" s="102">
        <f t="array" ref="I2318">IFERROR(INDEX(PRECIOS_COMPLEMENTOS!$C$4:$F$17,MATCH(B2318&amp;"_"&amp;C2318,PRECIOS_COMPLEMENTOS!$H$4:$H$17,0),IF(OR(G2318="S",G2318="20cm"),1,IF(OR(G2318="M",G2318="25cm"),2,IF(OR(G2318="L",G2318="30cm"),3,IF(OR(G2318="XL",G2318="35cm"),4,0))))),0)</f>
        <v>0.6</v>
      </c>
      <c r="J2318" s="103">
        <f t="shared" si="1"/>
        <v>0</v>
      </c>
      <c r="K2318" s="104" t="str">
        <f>IF(H2318&lt;0,"ERROR",IF(H2318=0,"",IF(H2318&lt;CONFIG!$B$4,"CRÍTICO",IF(H2318&lt;CONFIG!$B$5,"BAJO","OK"))))</f>
        <v/>
      </c>
    </row>
    <row r="2319" ht="15.75" hidden="1" customHeight="1">
      <c r="A2319" s="90" t="str">
        <f>IF(CLIENTES!A6="","",CLIENTES!A6)</f>
        <v/>
      </c>
      <c r="B2319" s="90" t="s">
        <v>331</v>
      </c>
      <c r="C2319" s="91" t="s">
        <v>328</v>
      </c>
      <c r="D2319" s="109" t="s">
        <v>364</v>
      </c>
      <c r="E2319" s="67" t="str">
        <f>COLORES!A22</f>
        <v/>
      </c>
      <c r="F2319" s="67" t="str">
        <f>COLORES!B22</f>
        <v/>
      </c>
      <c r="G2319" s="90" t="s">
        <v>379</v>
      </c>
      <c r="H2319" s="100">
        <f>IFERROR(SUMIFS(MOVIMIENTOS_COMPLEMENTOS!$I$4:$I$803,MOVIMIENTOS_COMPLEMENTOS!$C$4:$C$803,A2319,MOVIMIENTOS_COMPLEMENTOS!$D$4:$D$803,B2319,MOVIMIENTOS_COMPLEMENTOS!$E$4:$E$803,C2319,MOVIMIENTOS_COMPLEMENTOS!$F$4:$F$803,D2319,MOVIMIENTOS_COMPLEMENTOS!$G$4:$G$803,E2319,MOVIMIENTOS_COMPLEMENTOS!$H$4:$H$803,G2319,MOVIMIENTOS_COMPLEMENTOS!$B$4:$B$803,"INGRESO")+SUMIFS(MOVIMIENTOS_COMPLEMENTOS!$I$4:$I$803,MOVIMIENTOS_COMPLEMENTOS!$C$4:$C$803,A2319,MOVIMIENTOS_COMPLEMENTOS!$D$4:$D$803,B2319,MOVIMIENTOS_COMPLEMENTOS!$E$4:$E$803,C2319,MOVIMIENTOS_COMPLEMENTOS!$F$4:$F$803,D2319,MOVIMIENTOS_COMPLEMENTOS!$G$4:$G$803,E2319,MOVIMIENTOS_COMPLEMENTOS!$H$4:$H$803,G2319,MOVIMIENTOS_COMPLEMENTOS!$B$4:$B$803,"DE CORTE")-SUMIFS(MOVIMIENTOS_COMPLEMENTOS!$I$4:$I$803,MOVIMIENTOS_COMPLEMENTOS!$C$4:$C$803,A2319,MOVIMIENTOS_COMPLEMENTOS!$D$4:$D$803,B2319,MOVIMIENTOS_COMPLEMENTOS!$E$4:$E$803,C2319,MOVIMIENTOS_COMPLEMENTOS!$F$4:$F$803,D2319,MOVIMIENTOS_COMPLEMENTOS!$G$4:$G$803,E2319,MOVIMIENTOS_COMPLEMENTOS!$H$4:$H$803,G2319,MOVIMIENTOS_COMPLEMENTOS!$B$4:$B$803,"SALIDA"),0)</f>
        <v>0</v>
      </c>
      <c r="I2319" s="102">
        <f t="array" ref="I2319">IFERROR(INDEX(PRECIOS_COMPLEMENTOS!$C$4:$F$17,MATCH(B2319&amp;"_"&amp;C2319,PRECIOS_COMPLEMENTOS!$H$4:$H$17,0),IF(OR(G2319="S",G2319="20cm"),1,IF(OR(G2319="M",G2319="25cm"),2,IF(OR(G2319="L",G2319="30cm"),3,IF(OR(G2319="XL",G2319="35cm"),4,0))))),0)</f>
        <v>0.6</v>
      </c>
      <c r="J2319" s="103">
        <f t="shared" si="1"/>
        <v>0</v>
      </c>
      <c r="K2319" s="104" t="str">
        <f>IF(H2319&lt;0,"ERROR",IF(H2319=0,"",IF(H2319&lt;CONFIG!$B$4,"CRÍTICO",IF(H2319&lt;CONFIG!$B$5,"BAJO","OK"))))</f>
        <v/>
      </c>
    </row>
    <row r="2320" ht="15.75" hidden="1" customHeight="1">
      <c r="A2320" s="90" t="str">
        <f>IF(CLIENTES!A6="","",CLIENTES!A6)</f>
        <v/>
      </c>
      <c r="B2320" s="90" t="s">
        <v>331</v>
      </c>
      <c r="C2320" s="91" t="s">
        <v>328</v>
      </c>
      <c r="D2320" s="109" t="s">
        <v>364</v>
      </c>
      <c r="E2320" s="67" t="str">
        <f>COLORES!A23</f>
        <v/>
      </c>
      <c r="F2320" s="67" t="str">
        <f>COLORES!B23</f>
        <v/>
      </c>
      <c r="G2320" s="90" t="s">
        <v>378</v>
      </c>
      <c r="H2320" s="100">
        <f>IFERROR(SUMIFS(MOVIMIENTOS_COMPLEMENTOS!$I$4:$I$803,MOVIMIENTOS_COMPLEMENTOS!$C$4:$C$803,A2320,MOVIMIENTOS_COMPLEMENTOS!$D$4:$D$803,B2320,MOVIMIENTOS_COMPLEMENTOS!$E$4:$E$803,C2320,MOVIMIENTOS_COMPLEMENTOS!$F$4:$F$803,D2320,MOVIMIENTOS_COMPLEMENTOS!$G$4:$G$803,E2320,MOVIMIENTOS_COMPLEMENTOS!$H$4:$H$803,G2320,MOVIMIENTOS_COMPLEMENTOS!$B$4:$B$803,"INGRESO")+SUMIFS(MOVIMIENTOS_COMPLEMENTOS!$I$4:$I$803,MOVIMIENTOS_COMPLEMENTOS!$C$4:$C$803,A2320,MOVIMIENTOS_COMPLEMENTOS!$D$4:$D$803,B2320,MOVIMIENTOS_COMPLEMENTOS!$E$4:$E$803,C2320,MOVIMIENTOS_COMPLEMENTOS!$F$4:$F$803,D2320,MOVIMIENTOS_COMPLEMENTOS!$G$4:$G$803,E2320,MOVIMIENTOS_COMPLEMENTOS!$H$4:$H$803,G2320,MOVIMIENTOS_COMPLEMENTOS!$B$4:$B$803,"DE CORTE")-SUMIFS(MOVIMIENTOS_COMPLEMENTOS!$I$4:$I$803,MOVIMIENTOS_COMPLEMENTOS!$C$4:$C$803,A2320,MOVIMIENTOS_COMPLEMENTOS!$D$4:$D$803,B2320,MOVIMIENTOS_COMPLEMENTOS!$E$4:$E$803,C2320,MOVIMIENTOS_COMPLEMENTOS!$F$4:$F$803,D2320,MOVIMIENTOS_COMPLEMENTOS!$G$4:$G$803,E2320,MOVIMIENTOS_COMPLEMENTOS!$H$4:$H$803,G2320,MOVIMIENTOS_COMPLEMENTOS!$B$4:$B$803,"SALIDA"),0)</f>
        <v>0</v>
      </c>
      <c r="I2320" s="102">
        <f t="array" ref="I2320">IFERROR(INDEX(PRECIOS_COMPLEMENTOS!$C$4:$F$17,MATCH(B2320&amp;"_"&amp;C2320,PRECIOS_COMPLEMENTOS!$H$4:$H$17,0),IF(OR(G2320="S",G2320="20cm"),1,IF(OR(G2320="M",G2320="25cm"),2,IF(OR(G2320="L",G2320="30cm"),3,IF(OR(G2320="XL",G2320="35cm"),4,0))))),0)</f>
        <v>0.6</v>
      </c>
      <c r="J2320" s="103">
        <f t="shared" si="1"/>
        <v>0</v>
      </c>
      <c r="K2320" s="104" t="str">
        <f>IF(H2320&lt;0,"ERROR",IF(H2320=0,"",IF(H2320&lt;CONFIG!$B$4,"CRÍTICO",IF(H2320&lt;CONFIG!$B$5,"BAJO","OK"))))</f>
        <v/>
      </c>
    </row>
    <row r="2321" ht="15.75" hidden="1" customHeight="1">
      <c r="A2321" s="90" t="str">
        <f>IF(CLIENTES!A6="","",CLIENTES!A6)</f>
        <v/>
      </c>
      <c r="B2321" s="90" t="s">
        <v>331</v>
      </c>
      <c r="C2321" s="91" t="s">
        <v>328</v>
      </c>
      <c r="D2321" s="109" t="s">
        <v>364</v>
      </c>
      <c r="E2321" s="67" t="str">
        <f>COLORES!A23</f>
        <v/>
      </c>
      <c r="F2321" s="67" t="str">
        <f>COLORES!B23</f>
        <v/>
      </c>
      <c r="G2321" s="90" t="s">
        <v>376</v>
      </c>
      <c r="H2321" s="100">
        <f>IFERROR(SUMIFS(MOVIMIENTOS_COMPLEMENTOS!$I$4:$I$803,MOVIMIENTOS_COMPLEMENTOS!$C$4:$C$803,A2321,MOVIMIENTOS_COMPLEMENTOS!$D$4:$D$803,B2321,MOVIMIENTOS_COMPLEMENTOS!$E$4:$E$803,C2321,MOVIMIENTOS_COMPLEMENTOS!$F$4:$F$803,D2321,MOVIMIENTOS_COMPLEMENTOS!$G$4:$G$803,E2321,MOVIMIENTOS_COMPLEMENTOS!$H$4:$H$803,G2321,MOVIMIENTOS_COMPLEMENTOS!$B$4:$B$803,"INGRESO")+SUMIFS(MOVIMIENTOS_COMPLEMENTOS!$I$4:$I$803,MOVIMIENTOS_COMPLEMENTOS!$C$4:$C$803,A2321,MOVIMIENTOS_COMPLEMENTOS!$D$4:$D$803,B2321,MOVIMIENTOS_COMPLEMENTOS!$E$4:$E$803,C2321,MOVIMIENTOS_COMPLEMENTOS!$F$4:$F$803,D2321,MOVIMIENTOS_COMPLEMENTOS!$G$4:$G$803,E2321,MOVIMIENTOS_COMPLEMENTOS!$H$4:$H$803,G2321,MOVIMIENTOS_COMPLEMENTOS!$B$4:$B$803,"DE CORTE")-SUMIFS(MOVIMIENTOS_COMPLEMENTOS!$I$4:$I$803,MOVIMIENTOS_COMPLEMENTOS!$C$4:$C$803,A2321,MOVIMIENTOS_COMPLEMENTOS!$D$4:$D$803,B2321,MOVIMIENTOS_COMPLEMENTOS!$E$4:$E$803,C2321,MOVIMIENTOS_COMPLEMENTOS!$F$4:$F$803,D2321,MOVIMIENTOS_COMPLEMENTOS!$G$4:$G$803,E2321,MOVIMIENTOS_COMPLEMENTOS!$H$4:$H$803,G2321,MOVIMIENTOS_COMPLEMENTOS!$B$4:$B$803,"SALIDA"),0)</f>
        <v>0</v>
      </c>
      <c r="I2321" s="102">
        <f t="array" ref="I2321">IFERROR(INDEX(PRECIOS_COMPLEMENTOS!$C$4:$F$17,MATCH(B2321&amp;"_"&amp;C2321,PRECIOS_COMPLEMENTOS!$H$4:$H$17,0),IF(OR(G2321="S",G2321="20cm"),1,IF(OR(G2321="M",G2321="25cm"),2,IF(OR(G2321="L",G2321="30cm"),3,IF(OR(G2321="XL",G2321="35cm"),4,0))))),0)</f>
        <v>0.6</v>
      </c>
      <c r="J2321" s="103">
        <f t="shared" si="1"/>
        <v>0</v>
      </c>
      <c r="K2321" s="104" t="str">
        <f>IF(H2321&lt;0,"ERROR",IF(H2321=0,"",IF(H2321&lt;CONFIG!$B$4,"CRÍTICO",IF(H2321&lt;CONFIG!$B$5,"BAJO","OK"))))</f>
        <v/>
      </c>
    </row>
    <row r="2322" ht="15.75" hidden="1" customHeight="1">
      <c r="A2322" s="90" t="str">
        <f>IF(CLIENTES!A6="","",CLIENTES!A6)</f>
        <v/>
      </c>
      <c r="B2322" s="90" t="s">
        <v>331</v>
      </c>
      <c r="C2322" s="91" t="s">
        <v>328</v>
      </c>
      <c r="D2322" s="109" t="s">
        <v>364</v>
      </c>
      <c r="E2322" s="67" t="str">
        <f>COLORES!A23</f>
        <v/>
      </c>
      <c r="F2322" s="67" t="str">
        <f>COLORES!B23</f>
        <v/>
      </c>
      <c r="G2322" s="90" t="s">
        <v>377</v>
      </c>
      <c r="H2322" s="100">
        <f>IFERROR(SUMIFS(MOVIMIENTOS_COMPLEMENTOS!$I$4:$I$803,MOVIMIENTOS_COMPLEMENTOS!$C$4:$C$803,A2322,MOVIMIENTOS_COMPLEMENTOS!$D$4:$D$803,B2322,MOVIMIENTOS_COMPLEMENTOS!$E$4:$E$803,C2322,MOVIMIENTOS_COMPLEMENTOS!$F$4:$F$803,D2322,MOVIMIENTOS_COMPLEMENTOS!$G$4:$G$803,E2322,MOVIMIENTOS_COMPLEMENTOS!$H$4:$H$803,G2322,MOVIMIENTOS_COMPLEMENTOS!$B$4:$B$803,"INGRESO")+SUMIFS(MOVIMIENTOS_COMPLEMENTOS!$I$4:$I$803,MOVIMIENTOS_COMPLEMENTOS!$C$4:$C$803,A2322,MOVIMIENTOS_COMPLEMENTOS!$D$4:$D$803,B2322,MOVIMIENTOS_COMPLEMENTOS!$E$4:$E$803,C2322,MOVIMIENTOS_COMPLEMENTOS!$F$4:$F$803,D2322,MOVIMIENTOS_COMPLEMENTOS!$G$4:$G$803,E2322,MOVIMIENTOS_COMPLEMENTOS!$H$4:$H$803,G2322,MOVIMIENTOS_COMPLEMENTOS!$B$4:$B$803,"DE CORTE")-SUMIFS(MOVIMIENTOS_COMPLEMENTOS!$I$4:$I$803,MOVIMIENTOS_COMPLEMENTOS!$C$4:$C$803,A2322,MOVIMIENTOS_COMPLEMENTOS!$D$4:$D$803,B2322,MOVIMIENTOS_COMPLEMENTOS!$E$4:$E$803,C2322,MOVIMIENTOS_COMPLEMENTOS!$F$4:$F$803,D2322,MOVIMIENTOS_COMPLEMENTOS!$G$4:$G$803,E2322,MOVIMIENTOS_COMPLEMENTOS!$H$4:$H$803,G2322,MOVIMIENTOS_COMPLEMENTOS!$B$4:$B$803,"SALIDA"),0)</f>
        <v>0</v>
      </c>
      <c r="I2322" s="102">
        <f t="array" ref="I2322">IFERROR(INDEX(PRECIOS_COMPLEMENTOS!$C$4:$F$17,MATCH(B2322&amp;"_"&amp;C2322,PRECIOS_COMPLEMENTOS!$H$4:$H$17,0),IF(OR(G2322="S",G2322="20cm"),1,IF(OR(G2322="M",G2322="25cm"),2,IF(OR(G2322="L",G2322="30cm"),3,IF(OR(G2322="XL",G2322="35cm"),4,0))))),0)</f>
        <v>0.6</v>
      </c>
      <c r="J2322" s="103">
        <f t="shared" si="1"/>
        <v>0</v>
      </c>
      <c r="K2322" s="104" t="str">
        <f>IF(H2322&lt;0,"ERROR",IF(H2322=0,"",IF(H2322&lt;CONFIG!$B$4,"CRÍTICO",IF(H2322&lt;CONFIG!$B$5,"BAJO","OK"))))</f>
        <v/>
      </c>
    </row>
    <row r="2323" ht="15.75" hidden="1" customHeight="1">
      <c r="A2323" s="90" t="str">
        <f>IF(CLIENTES!A6="","",CLIENTES!A6)</f>
        <v/>
      </c>
      <c r="B2323" s="90" t="s">
        <v>331</v>
      </c>
      <c r="C2323" s="91" t="s">
        <v>328</v>
      </c>
      <c r="D2323" s="109" t="s">
        <v>364</v>
      </c>
      <c r="E2323" s="67" t="str">
        <f>COLORES!A23</f>
        <v/>
      </c>
      <c r="F2323" s="67" t="str">
        <f>COLORES!B23</f>
        <v/>
      </c>
      <c r="G2323" s="90" t="s">
        <v>379</v>
      </c>
      <c r="H2323" s="100">
        <f>IFERROR(SUMIFS(MOVIMIENTOS_COMPLEMENTOS!$I$4:$I$803,MOVIMIENTOS_COMPLEMENTOS!$C$4:$C$803,A2323,MOVIMIENTOS_COMPLEMENTOS!$D$4:$D$803,B2323,MOVIMIENTOS_COMPLEMENTOS!$E$4:$E$803,C2323,MOVIMIENTOS_COMPLEMENTOS!$F$4:$F$803,D2323,MOVIMIENTOS_COMPLEMENTOS!$G$4:$G$803,E2323,MOVIMIENTOS_COMPLEMENTOS!$H$4:$H$803,G2323,MOVIMIENTOS_COMPLEMENTOS!$B$4:$B$803,"INGRESO")+SUMIFS(MOVIMIENTOS_COMPLEMENTOS!$I$4:$I$803,MOVIMIENTOS_COMPLEMENTOS!$C$4:$C$803,A2323,MOVIMIENTOS_COMPLEMENTOS!$D$4:$D$803,B2323,MOVIMIENTOS_COMPLEMENTOS!$E$4:$E$803,C2323,MOVIMIENTOS_COMPLEMENTOS!$F$4:$F$803,D2323,MOVIMIENTOS_COMPLEMENTOS!$G$4:$G$803,E2323,MOVIMIENTOS_COMPLEMENTOS!$H$4:$H$803,G2323,MOVIMIENTOS_COMPLEMENTOS!$B$4:$B$803,"DE CORTE")-SUMIFS(MOVIMIENTOS_COMPLEMENTOS!$I$4:$I$803,MOVIMIENTOS_COMPLEMENTOS!$C$4:$C$803,A2323,MOVIMIENTOS_COMPLEMENTOS!$D$4:$D$803,B2323,MOVIMIENTOS_COMPLEMENTOS!$E$4:$E$803,C2323,MOVIMIENTOS_COMPLEMENTOS!$F$4:$F$803,D2323,MOVIMIENTOS_COMPLEMENTOS!$G$4:$G$803,E2323,MOVIMIENTOS_COMPLEMENTOS!$H$4:$H$803,G2323,MOVIMIENTOS_COMPLEMENTOS!$B$4:$B$803,"SALIDA"),0)</f>
        <v>0</v>
      </c>
      <c r="I2323" s="102">
        <f t="array" ref="I2323">IFERROR(INDEX(PRECIOS_COMPLEMENTOS!$C$4:$F$17,MATCH(B2323&amp;"_"&amp;C2323,PRECIOS_COMPLEMENTOS!$H$4:$H$17,0),IF(OR(G2323="S",G2323="20cm"),1,IF(OR(G2323="M",G2323="25cm"),2,IF(OR(G2323="L",G2323="30cm"),3,IF(OR(G2323="XL",G2323="35cm"),4,0))))),0)</f>
        <v>0.6</v>
      </c>
      <c r="J2323" s="103">
        <f t="shared" si="1"/>
        <v>0</v>
      </c>
      <c r="K2323" s="104" t="str">
        <f>IF(H2323&lt;0,"ERROR",IF(H2323=0,"",IF(H2323&lt;CONFIG!$B$4,"CRÍTICO",IF(H2323&lt;CONFIG!$B$5,"BAJO","OK"))))</f>
        <v/>
      </c>
    </row>
    <row r="2324" ht="15.75" hidden="1" customHeight="1">
      <c r="A2324" s="90" t="str">
        <f>IF(CLIENTES!A6="","",CLIENTES!A6)</f>
        <v/>
      </c>
      <c r="B2324" s="90" t="s">
        <v>331</v>
      </c>
      <c r="C2324" s="91" t="s">
        <v>328</v>
      </c>
      <c r="D2324" s="109" t="s">
        <v>366</v>
      </c>
      <c r="E2324" s="67" t="str">
        <f>COLORES!A4</f>
        <v>Negro</v>
      </c>
      <c r="F2324" s="67" t="str">
        <f>COLORES!B4</f>
        <v>OSCURO</v>
      </c>
      <c r="G2324" s="90" t="s">
        <v>378</v>
      </c>
      <c r="H2324" s="100">
        <f>IFERROR(SUMIFS(MOVIMIENTOS_COMPLEMENTOS!$I$4:$I$803,MOVIMIENTOS_COMPLEMENTOS!$C$4:$C$803,A2324,MOVIMIENTOS_COMPLEMENTOS!$D$4:$D$803,B2324,MOVIMIENTOS_COMPLEMENTOS!$E$4:$E$803,C2324,MOVIMIENTOS_COMPLEMENTOS!$F$4:$F$803,D2324,MOVIMIENTOS_COMPLEMENTOS!$G$4:$G$803,E2324,MOVIMIENTOS_COMPLEMENTOS!$H$4:$H$803,G2324,MOVIMIENTOS_COMPLEMENTOS!$B$4:$B$803,"INGRESO")+SUMIFS(MOVIMIENTOS_COMPLEMENTOS!$I$4:$I$803,MOVIMIENTOS_COMPLEMENTOS!$C$4:$C$803,A2324,MOVIMIENTOS_COMPLEMENTOS!$D$4:$D$803,B2324,MOVIMIENTOS_COMPLEMENTOS!$E$4:$E$803,C2324,MOVIMIENTOS_COMPLEMENTOS!$F$4:$F$803,D2324,MOVIMIENTOS_COMPLEMENTOS!$G$4:$G$803,E2324,MOVIMIENTOS_COMPLEMENTOS!$H$4:$H$803,G2324,MOVIMIENTOS_COMPLEMENTOS!$B$4:$B$803,"DE CORTE")-SUMIFS(MOVIMIENTOS_COMPLEMENTOS!$I$4:$I$803,MOVIMIENTOS_COMPLEMENTOS!$C$4:$C$803,A2324,MOVIMIENTOS_COMPLEMENTOS!$D$4:$D$803,B2324,MOVIMIENTOS_COMPLEMENTOS!$E$4:$E$803,C2324,MOVIMIENTOS_COMPLEMENTOS!$F$4:$F$803,D2324,MOVIMIENTOS_COMPLEMENTOS!$G$4:$G$803,E2324,MOVIMIENTOS_COMPLEMENTOS!$H$4:$H$803,G2324,MOVIMIENTOS_COMPLEMENTOS!$B$4:$B$803,"SALIDA"),0)</f>
        <v>0</v>
      </c>
      <c r="I2324" s="102">
        <f t="array" ref="I2324">IFERROR(INDEX(PRECIOS_COMPLEMENTOS!$C$4:$F$17,MATCH(B2324&amp;"_"&amp;C2324,PRECIOS_COMPLEMENTOS!$H$4:$H$17,0),IF(OR(G2324="S",G2324="20cm"),1,IF(OR(G2324="M",G2324="25cm"),2,IF(OR(G2324="L",G2324="30cm"),3,IF(OR(G2324="XL",G2324="35cm"),4,0))))),0)</f>
        <v>0.6</v>
      </c>
      <c r="J2324" s="103">
        <f t="shared" si="1"/>
        <v>0</v>
      </c>
      <c r="K2324" s="104" t="str">
        <f>IF(H2324&lt;0,"ERROR",IF(H2324=0,"",IF(H2324&lt;CONFIG!$B$4,"CRÍTICO",IF(H2324&lt;CONFIG!$B$5,"BAJO","OK"))))</f>
        <v/>
      </c>
    </row>
    <row r="2325" ht="15.75" hidden="1" customHeight="1">
      <c r="A2325" s="90" t="str">
        <f>IF(CLIENTES!A6="","",CLIENTES!A6)</f>
        <v/>
      </c>
      <c r="B2325" s="90" t="s">
        <v>331</v>
      </c>
      <c r="C2325" s="91" t="s">
        <v>328</v>
      </c>
      <c r="D2325" s="109" t="s">
        <v>366</v>
      </c>
      <c r="E2325" s="67" t="str">
        <f>COLORES!A4</f>
        <v>Negro</v>
      </c>
      <c r="F2325" s="67" t="str">
        <f>COLORES!B4</f>
        <v>OSCURO</v>
      </c>
      <c r="G2325" s="90" t="s">
        <v>376</v>
      </c>
      <c r="H2325" s="100">
        <f>IFERROR(SUMIFS(MOVIMIENTOS_COMPLEMENTOS!$I$4:$I$803,MOVIMIENTOS_COMPLEMENTOS!$C$4:$C$803,A2325,MOVIMIENTOS_COMPLEMENTOS!$D$4:$D$803,B2325,MOVIMIENTOS_COMPLEMENTOS!$E$4:$E$803,C2325,MOVIMIENTOS_COMPLEMENTOS!$F$4:$F$803,D2325,MOVIMIENTOS_COMPLEMENTOS!$G$4:$G$803,E2325,MOVIMIENTOS_COMPLEMENTOS!$H$4:$H$803,G2325,MOVIMIENTOS_COMPLEMENTOS!$B$4:$B$803,"INGRESO")+SUMIFS(MOVIMIENTOS_COMPLEMENTOS!$I$4:$I$803,MOVIMIENTOS_COMPLEMENTOS!$C$4:$C$803,A2325,MOVIMIENTOS_COMPLEMENTOS!$D$4:$D$803,B2325,MOVIMIENTOS_COMPLEMENTOS!$E$4:$E$803,C2325,MOVIMIENTOS_COMPLEMENTOS!$F$4:$F$803,D2325,MOVIMIENTOS_COMPLEMENTOS!$G$4:$G$803,E2325,MOVIMIENTOS_COMPLEMENTOS!$H$4:$H$803,G2325,MOVIMIENTOS_COMPLEMENTOS!$B$4:$B$803,"DE CORTE")-SUMIFS(MOVIMIENTOS_COMPLEMENTOS!$I$4:$I$803,MOVIMIENTOS_COMPLEMENTOS!$C$4:$C$803,A2325,MOVIMIENTOS_COMPLEMENTOS!$D$4:$D$803,B2325,MOVIMIENTOS_COMPLEMENTOS!$E$4:$E$803,C2325,MOVIMIENTOS_COMPLEMENTOS!$F$4:$F$803,D2325,MOVIMIENTOS_COMPLEMENTOS!$G$4:$G$803,E2325,MOVIMIENTOS_COMPLEMENTOS!$H$4:$H$803,G2325,MOVIMIENTOS_COMPLEMENTOS!$B$4:$B$803,"SALIDA"),0)</f>
        <v>0</v>
      </c>
      <c r="I2325" s="102">
        <f t="array" ref="I2325">IFERROR(INDEX(PRECIOS_COMPLEMENTOS!$C$4:$F$17,MATCH(B2325&amp;"_"&amp;C2325,PRECIOS_COMPLEMENTOS!$H$4:$H$17,0),IF(OR(G2325="S",G2325="20cm"),1,IF(OR(G2325="M",G2325="25cm"),2,IF(OR(G2325="L",G2325="30cm"),3,IF(OR(G2325="XL",G2325="35cm"),4,0))))),0)</f>
        <v>0.6</v>
      </c>
      <c r="J2325" s="103">
        <f t="shared" si="1"/>
        <v>0</v>
      </c>
      <c r="K2325" s="104" t="str">
        <f>IF(H2325&lt;0,"ERROR",IF(H2325=0,"",IF(H2325&lt;CONFIG!$B$4,"CRÍTICO",IF(H2325&lt;CONFIG!$B$5,"BAJO","OK"))))</f>
        <v/>
      </c>
    </row>
    <row r="2326" ht="15.75" hidden="1" customHeight="1">
      <c r="A2326" s="90" t="str">
        <f>IF(CLIENTES!A6="","",CLIENTES!A6)</f>
        <v/>
      </c>
      <c r="B2326" s="90" t="s">
        <v>331</v>
      </c>
      <c r="C2326" s="91" t="s">
        <v>328</v>
      </c>
      <c r="D2326" s="109" t="s">
        <v>366</v>
      </c>
      <c r="E2326" s="67" t="str">
        <f>COLORES!A4</f>
        <v>Negro</v>
      </c>
      <c r="F2326" s="67" t="str">
        <f>COLORES!B4</f>
        <v>OSCURO</v>
      </c>
      <c r="G2326" s="90" t="s">
        <v>377</v>
      </c>
      <c r="H2326" s="100">
        <f>IFERROR(SUMIFS(MOVIMIENTOS_COMPLEMENTOS!$I$4:$I$803,MOVIMIENTOS_COMPLEMENTOS!$C$4:$C$803,A2326,MOVIMIENTOS_COMPLEMENTOS!$D$4:$D$803,B2326,MOVIMIENTOS_COMPLEMENTOS!$E$4:$E$803,C2326,MOVIMIENTOS_COMPLEMENTOS!$F$4:$F$803,D2326,MOVIMIENTOS_COMPLEMENTOS!$G$4:$G$803,E2326,MOVIMIENTOS_COMPLEMENTOS!$H$4:$H$803,G2326,MOVIMIENTOS_COMPLEMENTOS!$B$4:$B$803,"INGRESO")+SUMIFS(MOVIMIENTOS_COMPLEMENTOS!$I$4:$I$803,MOVIMIENTOS_COMPLEMENTOS!$C$4:$C$803,A2326,MOVIMIENTOS_COMPLEMENTOS!$D$4:$D$803,B2326,MOVIMIENTOS_COMPLEMENTOS!$E$4:$E$803,C2326,MOVIMIENTOS_COMPLEMENTOS!$F$4:$F$803,D2326,MOVIMIENTOS_COMPLEMENTOS!$G$4:$G$803,E2326,MOVIMIENTOS_COMPLEMENTOS!$H$4:$H$803,G2326,MOVIMIENTOS_COMPLEMENTOS!$B$4:$B$803,"DE CORTE")-SUMIFS(MOVIMIENTOS_COMPLEMENTOS!$I$4:$I$803,MOVIMIENTOS_COMPLEMENTOS!$C$4:$C$803,A2326,MOVIMIENTOS_COMPLEMENTOS!$D$4:$D$803,B2326,MOVIMIENTOS_COMPLEMENTOS!$E$4:$E$803,C2326,MOVIMIENTOS_COMPLEMENTOS!$F$4:$F$803,D2326,MOVIMIENTOS_COMPLEMENTOS!$G$4:$G$803,E2326,MOVIMIENTOS_COMPLEMENTOS!$H$4:$H$803,G2326,MOVIMIENTOS_COMPLEMENTOS!$B$4:$B$803,"SALIDA"),0)</f>
        <v>0</v>
      </c>
      <c r="I2326" s="102">
        <f t="array" ref="I2326">IFERROR(INDEX(PRECIOS_COMPLEMENTOS!$C$4:$F$17,MATCH(B2326&amp;"_"&amp;C2326,PRECIOS_COMPLEMENTOS!$H$4:$H$17,0),IF(OR(G2326="S",G2326="20cm"),1,IF(OR(G2326="M",G2326="25cm"),2,IF(OR(G2326="L",G2326="30cm"),3,IF(OR(G2326="XL",G2326="35cm"),4,0))))),0)</f>
        <v>0.6</v>
      </c>
      <c r="J2326" s="103">
        <f t="shared" si="1"/>
        <v>0</v>
      </c>
      <c r="K2326" s="104" t="str">
        <f>IF(H2326&lt;0,"ERROR",IF(H2326=0,"",IF(H2326&lt;CONFIG!$B$4,"CRÍTICO",IF(H2326&lt;CONFIG!$B$5,"BAJO","OK"))))</f>
        <v/>
      </c>
    </row>
    <row r="2327" ht="15.75" hidden="1" customHeight="1">
      <c r="A2327" s="90" t="str">
        <f>IF(CLIENTES!A6="","",CLIENTES!A6)</f>
        <v/>
      </c>
      <c r="B2327" s="90" t="s">
        <v>331</v>
      </c>
      <c r="C2327" s="91" t="s">
        <v>328</v>
      </c>
      <c r="D2327" s="109" t="s">
        <v>366</v>
      </c>
      <c r="E2327" s="67" t="str">
        <f>COLORES!A4</f>
        <v>Negro</v>
      </c>
      <c r="F2327" s="67" t="str">
        <f>COLORES!B4</f>
        <v>OSCURO</v>
      </c>
      <c r="G2327" s="90" t="s">
        <v>379</v>
      </c>
      <c r="H2327" s="100">
        <f>IFERROR(SUMIFS(MOVIMIENTOS_COMPLEMENTOS!$I$4:$I$803,MOVIMIENTOS_COMPLEMENTOS!$C$4:$C$803,A2327,MOVIMIENTOS_COMPLEMENTOS!$D$4:$D$803,B2327,MOVIMIENTOS_COMPLEMENTOS!$E$4:$E$803,C2327,MOVIMIENTOS_COMPLEMENTOS!$F$4:$F$803,D2327,MOVIMIENTOS_COMPLEMENTOS!$G$4:$G$803,E2327,MOVIMIENTOS_COMPLEMENTOS!$H$4:$H$803,G2327,MOVIMIENTOS_COMPLEMENTOS!$B$4:$B$803,"INGRESO")+SUMIFS(MOVIMIENTOS_COMPLEMENTOS!$I$4:$I$803,MOVIMIENTOS_COMPLEMENTOS!$C$4:$C$803,A2327,MOVIMIENTOS_COMPLEMENTOS!$D$4:$D$803,B2327,MOVIMIENTOS_COMPLEMENTOS!$E$4:$E$803,C2327,MOVIMIENTOS_COMPLEMENTOS!$F$4:$F$803,D2327,MOVIMIENTOS_COMPLEMENTOS!$G$4:$G$803,E2327,MOVIMIENTOS_COMPLEMENTOS!$H$4:$H$803,G2327,MOVIMIENTOS_COMPLEMENTOS!$B$4:$B$803,"DE CORTE")-SUMIFS(MOVIMIENTOS_COMPLEMENTOS!$I$4:$I$803,MOVIMIENTOS_COMPLEMENTOS!$C$4:$C$803,A2327,MOVIMIENTOS_COMPLEMENTOS!$D$4:$D$803,B2327,MOVIMIENTOS_COMPLEMENTOS!$E$4:$E$803,C2327,MOVIMIENTOS_COMPLEMENTOS!$F$4:$F$803,D2327,MOVIMIENTOS_COMPLEMENTOS!$G$4:$G$803,E2327,MOVIMIENTOS_COMPLEMENTOS!$H$4:$H$803,G2327,MOVIMIENTOS_COMPLEMENTOS!$B$4:$B$803,"SALIDA"),0)</f>
        <v>0</v>
      </c>
      <c r="I2327" s="102">
        <f t="array" ref="I2327">IFERROR(INDEX(PRECIOS_COMPLEMENTOS!$C$4:$F$17,MATCH(B2327&amp;"_"&amp;C2327,PRECIOS_COMPLEMENTOS!$H$4:$H$17,0),IF(OR(G2327="S",G2327="20cm"),1,IF(OR(G2327="M",G2327="25cm"),2,IF(OR(G2327="L",G2327="30cm"),3,IF(OR(G2327="XL",G2327="35cm"),4,0))))),0)</f>
        <v>0.6</v>
      </c>
      <c r="J2327" s="103">
        <f t="shared" si="1"/>
        <v>0</v>
      </c>
      <c r="K2327" s="104" t="str">
        <f>IF(H2327&lt;0,"ERROR",IF(H2327=0,"",IF(H2327&lt;CONFIG!$B$4,"CRÍTICO",IF(H2327&lt;CONFIG!$B$5,"BAJO","OK"))))</f>
        <v/>
      </c>
    </row>
    <row r="2328" ht="15.75" hidden="1" customHeight="1">
      <c r="A2328" s="90" t="str">
        <f>IF(CLIENTES!A6="","",CLIENTES!A6)</f>
        <v/>
      </c>
      <c r="B2328" s="90" t="s">
        <v>331</v>
      </c>
      <c r="C2328" s="91" t="s">
        <v>328</v>
      </c>
      <c r="D2328" s="109" t="s">
        <v>366</v>
      </c>
      <c r="E2328" s="67" t="str">
        <f>COLORES!A5</f>
        <v>Perla</v>
      </c>
      <c r="F2328" s="67" t="str">
        <f>COLORES!B5</f>
        <v>PPT</v>
      </c>
      <c r="G2328" s="90" t="s">
        <v>378</v>
      </c>
      <c r="H2328" s="100">
        <f>IFERROR(SUMIFS(MOVIMIENTOS_COMPLEMENTOS!$I$4:$I$803,MOVIMIENTOS_COMPLEMENTOS!$C$4:$C$803,A2328,MOVIMIENTOS_COMPLEMENTOS!$D$4:$D$803,B2328,MOVIMIENTOS_COMPLEMENTOS!$E$4:$E$803,C2328,MOVIMIENTOS_COMPLEMENTOS!$F$4:$F$803,D2328,MOVIMIENTOS_COMPLEMENTOS!$G$4:$G$803,E2328,MOVIMIENTOS_COMPLEMENTOS!$H$4:$H$803,G2328,MOVIMIENTOS_COMPLEMENTOS!$B$4:$B$803,"INGRESO")+SUMIFS(MOVIMIENTOS_COMPLEMENTOS!$I$4:$I$803,MOVIMIENTOS_COMPLEMENTOS!$C$4:$C$803,A2328,MOVIMIENTOS_COMPLEMENTOS!$D$4:$D$803,B2328,MOVIMIENTOS_COMPLEMENTOS!$E$4:$E$803,C2328,MOVIMIENTOS_COMPLEMENTOS!$F$4:$F$803,D2328,MOVIMIENTOS_COMPLEMENTOS!$G$4:$G$803,E2328,MOVIMIENTOS_COMPLEMENTOS!$H$4:$H$803,G2328,MOVIMIENTOS_COMPLEMENTOS!$B$4:$B$803,"DE CORTE")-SUMIFS(MOVIMIENTOS_COMPLEMENTOS!$I$4:$I$803,MOVIMIENTOS_COMPLEMENTOS!$C$4:$C$803,A2328,MOVIMIENTOS_COMPLEMENTOS!$D$4:$D$803,B2328,MOVIMIENTOS_COMPLEMENTOS!$E$4:$E$803,C2328,MOVIMIENTOS_COMPLEMENTOS!$F$4:$F$803,D2328,MOVIMIENTOS_COMPLEMENTOS!$G$4:$G$803,E2328,MOVIMIENTOS_COMPLEMENTOS!$H$4:$H$803,G2328,MOVIMIENTOS_COMPLEMENTOS!$B$4:$B$803,"SALIDA"),0)</f>
        <v>0</v>
      </c>
      <c r="I2328" s="102">
        <f t="array" ref="I2328">IFERROR(INDEX(PRECIOS_COMPLEMENTOS!$C$4:$F$17,MATCH(B2328&amp;"_"&amp;C2328,PRECIOS_COMPLEMENTOS!$H$4:$H$17,0),IF(OR(G2328="S",G2328="20cm"),1,IF(OR(G2328="M",G2328="25cm"),2,IF(OR(G2328="L",G2328="30cm"),3,IF(OR(G2328="XL",G2328="35cm"),4,0))))),0)</f>
        <v>0.6</v>
      </c>
      <c r="J2328" s="103">
        <f t="shared" si="1"/>
        <v>0</v>
      </c>
      <c r="K2328" s="104" t="str">
        <f>IF(H2328&lt;0,"ERROR",IF(H2328=0,"",IF(H2328&lt;CONFIG!$B$4,"CRÍTICO",IF(H2328&lt;CONFIG!$B$5,"BAJO","OK"))))</f>
        <v/>
      </c>
    </row>
    <row r="2329" ht="15.75" hidden="1" customHeight="1">
      <c r="A2329" s="90" t="str">
        <f>IF(CLIENTES!A6="","",CLIENTES!A6)</f>
        <v/>
      </c>
      <c r="B2329" s="90" t="s">
        <v>331</v>
      </c>
      <c r="C2329" s="91" t="s">
        <v>328</v>
      </c>
      <c r="D2329" s="109" t="s">
        <v>366</v>
      </c>
      <c r="E2329" s="67" t="str">
        <f>COLORES!A5</f>
        <v>Perla</v>
      </c>
      <c r="F2329" s="67" t="str">
        <f>COLORES!B5</f>
        <v>PPT</v>
      </c>
      <c r="G2329" s="90" t="s">
        <v>376</v>
      </c>
      <c r="H2329" s="100">
        <f>IFERROR(SUMIFS(MOVIMIENTOS_COMPLEMENTOS!$I$4:$I$803,MOVIMIENTOS_COMPLEMENTOS!$C$4:$C$803,A2329,MOVIMIENTOS_COMPLEMENTOS!$D$4:$D$803,B2329,MOVIMIENTOS_COMPLEMENTOS!$E$4:$E$803,C2329,MOVIMIENTOS_COMPLEMENTOS!$F$4:$F$803,D2329,MOVIMIENTOS_COMPLEMENTOS!$G$4:$G$803,E2329,MOVIMIENTOS_COMPLEMENTOS!$H$4:$H$803,G2329,MOVIMIENTOS_COMPLEMENTOS!$B$4:$B$803,"INGRESO")+SUMIFS(MOVIMIENTOS_COMPLEMENTOS!$I$4:$I$803,MOVIMIENTOS_COMPLEMENTOS!$C$4:$C$803,A2329,MOVIMIENTOS_COMPLEMENTOS!$D$4:$D$803,B2329,MOVIMIENTOS_COMPLEMENTOS!$E$4:$E$803,C2329,MOVIMIENTOS_COMPLEMENTOS!$F$4:$F$803,D2329,MOVIMIENTOS_COMPLEMENTOS!$G$4:$G$803,E2329,MOVIMIENTOS_COMPLEMENTOS!$H$4:$H$803,G2329,MOVIMIENTOS_COMPLEMENTOS!$B$4:$B$803,"DE CORTE")-SUMIFS(MOVIMIENTOS_COMPLEMENTOS!$I$4:$I$803,MOVIMIENTOS_COMPLEMENTOS!$C$4:$C$803,A2329,MOVIMIENTOS_COMPLEMENTOS!$D$4:$D$803,B2329,MOVIMIENTOS_COMPLEMENTOS!$E$4:$E$803,C2329,MOVIMIENTOS_COMPLEMENTOS!$F$4:$F$803,D2329,MOVIMIENTOS_COMPLEMENTOS!$G$4:$G$803,E2329,MOVIMIENTOS_COMPLEMENTOS!$H$4:$H$803,G2329,MOVIMIENTOS_COMPLEMENTOS!$B$4:$B$803,"SALIDA"),0)</f>
        <v>0</v>
      </c>
      <c r="I2329" s="102">
        <f t="array" ref="I2329">IFERROR(INDEX(PRECIOS_COMPLEMENTOS!$C$4:$F$17,MATCH(B2329&amp;"_"&amp;C2329,PRECIOS_COMPLEMENTOS!$H$4:$H$17,0),IF(OR(G2329="S",G2329="20cm"),1,IF(OR(G2329="M",G2329="25cm"),2,IF(OR(G2329="L",G2329="30cm"),3,IF(OR(G2329="XL",G2329="35cm"),4,0))))),0)</f>
        <v>0.6</v>
      </c>
      <c r="J2329" s="103">
        <f t="shared" si="1"/>
        <v>0</v>
      </c>
      <c r="K2329" s="104" t="str">
        <f>IF(H2329&lt;0,"ERROR",IF(H2329=0,"",IF(H2329&lt;CONFIG!$B$4,"CRÍTICO",IF(H2329&lt;CONFIG!$B$5,"BAJO","OK"))))</f>
        <v/>
      </c>
    </row>
    <row r="2330" ht="15.75" hidden="1" customHeight="1">
      <c r="A2330" s="90" t="str">
        <f>IF(CLIENTES!A6="","",CLIENTES!A6)</f>
        <v/>
      </c>
      <c r="B2330" s="90" t="s">
        <v>331</v>
      </c>
      <c r="C2330" s="91" t="s">
        <v>328</v>
      </c>
      <c r="D2330" s="109" t="s">
        <v>366</v>
      </c>
      <c r="E2330" s="67" t="str">
        <f>COLORES!A5</f>
        <v>Perla</v>
      </c>
      <c r="F2330" s="67" t="str">
        <f>COLORES!B5</f>
        <v>PPT</v>
      </c>
      <c r="G2330" s="90" t="s">
        <v>377</v>
      </c>
      <c r="H2330" s="100">
        <f>IFERROR(SUMIFS(MOVIMIENTOS_COMPLEMENTOS!$I$4:$I$803,MOVIMIENTOS_COMPLEMENTOS!$C$4:$C$803,A2330,MOVIMIENTOS_COMPLEMENTOS!$D$4:$D$803,B2330,MOVIMIENTOS_COMPLEMENTOS!$E$4:$E$803,C2330,MOVIMIENTOS_COMPLEMENTOS!$F$4:$F$803,D2330,MOVIMIENTOS_COMPLEMENTOS!$G$4:$G$803,E2330,MOVIMIENTOS_COMPLEMENTOS!$H$4:$H$803,G2330,MOVIMIENTOS_COMPLEMENTOS!$B$4:$B$803,"INGRESO")+SUMIFS(MOVIMIENTOS_COMPLEMENTOS!$I$4:$I$803,MOVIMIENTOS_COMPLEMENTOS!$C$4:$C$803,A2330,MOVIMIENTOS_COMPLEMENTOS!$D$4:$D$803,B2330,MOVIMIENTOS_COMPLEMENTOS!$E$4:$E$803,C2330,MOVIMIENTOS_COMPLEMENTOS!$F$4:$F$803,D2330,MOVIMIENTOS_COMPLEMENTOS!$G$4:$G$803,E2330,MOVIMIENTOS_COMPLEMENTOS!$H$4:$H$803,G2330,MOVIMIENTOS_COMPLEMENTOS!$B$4:$B$803,"DE CORTE")-SUMIFS(MOVIMIENTOS_COMPLEMENTOS!$I$4:$I$803,MOVIMIENTOS_COMPLEMENTOS!$C$4:$C$803,A2330,MOVIMIENTOS_COMPLEMENTOS!$D$4:$D$803,B2330,MOVIMIENTOS_COMPLEMENTOS!$E$4:$E$803,C2330,MOVIMIENTOS_COMPLEMENTOS!$F$4:$F$803,D2330,MOVIMIENTOS_COMPLEMENTOS!$G$4:$G$803,E2330,MOVIMIENTOS_COMPLEMENTOS!$H$4:$H$803,G2330,MOVIMIENTOS_COMPLEMENTOS!$B$4:$B$803,"SALIDA"),0)</f>
        <v>0</v>
      </c>
      <c r="I2330" s="102">
        <f t="array" ref="I2330">IFERROR(INDEX(PRECIOS_COMPLEMENTOS!$C$4:$F$17,MATCH(B2330&amp;"_"&amp;C2330,PRECIOS_COMPLEMENTOS!$H$4:$H$17,0),IF(OR(G2330="S",G2330="20cm"),1,IF(OR(G2330="M",G2330="25cm"),2,IF(OR(G2330="L",G2330="30cm"),3,IF(OR(G2330="XL",G2330="35cm"),4,0))))),0)</f>
        <v>0.6</v>
      </c>
      <c r="J2330" s="103">
        <f t="shared" si="1"/>
        <v>0</v>
      </c>
      <c r="K2330" s="104" t="str">
        <f>IF(H2330&lt;0,"ERROR",IF(H2330=0,"",IF(H2330&lt;CONFIG!$B$4,"CRÍTICO",IF(H2330&lt;CONFIG!$B$5,"BAJO","OK"))))</f>
        <v/>
      </c>
    </row>
    <row r="2331" ht="15.75" hidden="1" customHeight="1">
      <c r="A2331" s="90" t="str">
        <f>IF(CLIENTES!A6="","",CLIENTES!A6)</f>
        <v/>
      </c>
      <c r="B2331" s="90" t="s">
        <v>331</v>
      </c>
      <c r="C2331" s="91" t="s">
        <v>328</v>
      </c>
      <c r="D2331" s="109" t="s">
        <v>366</v>
      </c>
      <c r="E2331" s="67" t="str">
        <f>COLORES!A5</f>
        <v>Perla</v>
      </c>
      <c r="F2331" s="67" t="str">
        <f>COLORES!B5</f>
        <v>PPT</v>
      </c>
      <c r="G2331" s="90" t="s">
        <v>379</v>
      </c>
      <c r="H2331" s="100">
        <f>IFERROR(SUMIFS(MOVIMIENTOS_COMPLEMENTOS!$I$4:$I$803,MOVIMIENTOS_COMPLEMENTOS!$C$4:$C$803,A2331,MOVIMIENTOS_COMPLEMENTOS!$D$4:$D$803,B2331,MOVIMIENTOS_COMPLEMENTOS!$E$4:$E$803,C2331,MOVIMIENTOS_COMPLEMENTOS!$F$4:$F$803,D2331,MOVIMIENTOS_COMPLEMENTOS!$G$4:$G$803,E2331,MOVIMIENTOS_COMPLEMENTOS!$H$4:$H$803,G2331,MOVIMIENTOS_COMPLEMENTOS!$B$4:$B$803,"INGRESO")+SUMIFS(MOVIMIENTOS_COMPLEMENTOS!$I$4:$I$803,MOVIMIENTOS_COMPLEMENTOS!$C$4:$C$803,A2331,MOVIMIENTOS_COMPLEMENTOS!$D$4:$D$803,B2331,MOVIMIENTOS_COMPLEMENTOS!$E$4:$E$803,C2331,MOVIMIENTOS_COMPLEMENTOS!$F$4:$F$803,D2331,MOVIMIENTOS_COMPLEMENTOS!$G$4:$G$803,E2331,MOVIMIENTOS_COMPLEMENTOS!$H$4:$H$803,G2331,MOVIMIENTOS_COMPLEMENTOS!$B$4:$B$803,"DE CORTE")-SUMIFS(MOVIMIENTOS_COMPLEMENTOS!$I$4:$I$803,MOVIMIENTOS_COMPLEMENTOS!$C$4:$C$803,A2331,MOVIMIENTOS_COMPLEMENTOS!$D$4:$D$803,B2331,MOVIMIENTOS_COMPLEMENTOS!$E$4:$E$803,C2331,MOVIMIENTOS_COMPLEMENTOS!$F$4:$F$803,D2331,MOVIMIENTOS_COMPLEMENTOS!$G$4:$G$803,E2331,MOVIMIENTOS_COMPLEMENTOS!$H$4:$H$803,G2331,MOVIMIENTOS_COMPLEMENTOS!$B$4:$B$803,"SALIDA"),0)</f>
        <v>0</v>
      </c>
      <c r="I2331" s="102">
        <f t="array" ref="I2331">IFERROR(INDEX(PRECIOS_COMPLEMENTOS!$C$4:$F$17,MATCH(B2331&amp;"_"&amp;C2331,PRECIOS_COMPLEMENTOS!$H$4:$H$17,0),IF(OR(G2331="S",G2331="20cm"),1,IF(OR(G2331="M",G2331="25cm"),2,IF(OR(G2331="L",G2331="30cm"),3,IF(OR(G2331="XL",G2331="35cm"),4,0))))),0)</f>
        <v>0.6</v>
      </c>
      <c r="J2331" s="103">
        <f t="shared" si="1"/>
        <v>0</v>
      </c>
      <c r="K2331" s="104" t="str">
        <f>IF(H2331&lt;0,"ERROR",IF(H2331=0,"",IF(H2331&lt;CONFIG!$B$4,"CRÍTICO",IF(H2331&lt;CONFIG!$B$5,"BAJO","OK"))))</f>
        <v/>
      </c>
    </row>
    <row r="2332" ht="15.75" hidden="1" customHeight="1">
      <c r="A2332" s="90" t="str">
        <f>IF(CLIENTES!A6="","",CLIENTES!A6)</f>
        <v/>
      </c>
      <c r="B2332" s="90" t="s">
        <v>331</v>
      </c>
      <c r="C2332" s="91" t="s">
        <v>328</v>
      </c>
      <c r="D2332" s="109" t="s">
        <v>366</v>
      </c>
      <c r="E2332" s="67" t="str">
        <f>COLORES!A6</f>
        <v>Blanco</v>
      </c>
      <c r="F2332" s="67" t="str">
        <f>COLORES!B6</f>
        <v>PPT</v>
      </c>
      <c r="G2332" s="90" t="s">
        <v>378</v>
      </c>
      <c r="H2332" s="100">
        <f>IFERROR(SUMIFS(MOVIMIENTOS_COMPLEMENTOS!$I$4:$I$803,MOVIMIENTOS_COMPLEMENTOS!$C$4:$C$803,A2332,MOVIMIENTOS_COMPLEMENTOS!$D$4:$D$803,B2332,MOVIMIENTOS_COMPLEMENTOS!$E$4:$E$803,C2332,MOVIMIENTOS_COMPLEMENTOS!$F$4:$F$803,D2332,MOVIMIENTOS_COMPLEMENTOS!$G$4:$G$803,E2332,MOVIMIENTOS_COMPLEMENTOS!$H$4:$H$803,G2332,MOVIMIENTOS_COMPLEMENTOS!$B$4:$B$803,"INGRESO")+SUMIFS(MOVIMIENTOS_COMPLEMENTOS!$I$4:$I$803,MOVIMIENTOS_COMPLEMENTOS!$C$4:$C$803,A2332,MOVIMIENTOS_COMPLEMENTOS!$D$4:$D$803,B2332,MOVIMIENTOS_COMPLEMENTOS!$E$4:$E$803,C2332,MOVIMIENTOS_COMPLEMENTOS!$F$4:$F$803,D2332,MOVIMIENTOS_COMPLEMENTOS!$G$4:$G$803,E2332,MOVIMIENTOS_COMPLEMENTOS!$H$4:$H$803,G2332,MOVIMIENTOS_COMPLEMENTOS!$B$4:$B$803,"DE CORTE")-SUMIFS(MOVIMIENTOS_COMPLEMENTOS!$I$4:$I$803,MOVIMIENTOS_COMPLEMENTOS!$C$4:$C$803,A2332,MOVIMIENTOS_COMPLEMENTOS!$D$4:$D$803,B2332,MOVIMIENTOS_COMPLEMENTOS!$E$4:$E$803,C2332,MOVIMIENTOS_COMPLEMENTOS!$F$4:$F$803,D2332,MOVIMIENTOS_COMPLEMENTOS!$G$4:$G$803,E2332,MOVIMIENTOS_COMPLEMENTOS!$H$4:$H$803,G2332,MOVIMIENTOS_COMPLEMENTOS!$B$4:$B$803,"SALIDA"),0)</f>
        <v>0</v>
      </c>
      <c r="I2332" s="102">
        <f t="array" ref="I2332">IFERROR(INDEX(PRECIOS_COMPLEMENTOS!$C$4:$F$17,MATCH(B2332&amp;"_"&amp;C2332,PRECIOS_COMPLEMENTOS!$H$4:$H$17,0),IF(OR(G2332="S",G2332="20cm"),1,IF(OR(G2332="M",G2332="25cm"),2,IF(OR(G2332="L",G2332="30cm"),3,IF(OR(G2332="XL",G2332="35cm"),4,0))))),0)</f>
        <v>0.6</v>
      </c>
      <c r="J2332" s="103">
        <f t="shared" si="1"/>
        <v>0</v>
      </c>
      <c r="K2332" s="104" t="str">
        <f>IF(H2332&lt;0,"ERROR",IF(H2332=0,"",IF(H2332&lt;CONFIG!$B$4,"CRÍTICO",IF(H2332&lt;CONFIG!$B$5,"BAJO","OK"))))</f>
        <v/>
      </c>
    </row>
    <row r="2333" ht="15.75" hidden="1" customHeight="1">
      <c r="A2333" s="90" t="str">
        <f>IF(CLIENTES!A6="","",CLIENTES!A6)</f>
        <v/>
      </c>
      <c r="B2333" s="90" t="s">
        <v>331</v>
      </c>
      <c r="C2333" s="91" t="s">
        <v>328</v>
      </c>
      <c r="D2333" s="109" t="s">
        <v>366</v>
      </c>
      <c r="E2333" s="67" t="str">
        <f>COLORES!A6</f>
        <v>Blanco</v>
      </c>
      <c r="F2333" s="67" t="str">
        <f>COLORES!B6</f>
        <v>PPT</v>
      </c>
      <c r="G2333" s="90" t="s">
        <v>376</v>
      </c>
      <c r="H2333" s="100">
        <f>IFERROR(SUMIFS(MOVIMIENTOS_COMPLEMENTOS!$I$4:$I$803,MOVIMIENTOS_COMPLEMENTOS!$C$4:$C$803,A2333,MOVIMIENTOS_COMPLEMENTOS!$D$4:$D$803,B2333,MOVIMIENTOS_COMPLEMENTOS!$E$4:$E$803,C2333,MOVIMIENTOS_COMPLEMENTOS!$F$4:$F$803,D2333,MOVIMIENTOS_COMPLEMENTOS!$G$4:$G$803,E2333,MOVIMIENTOS_COMPLEMENTOS!$H$4:$H$803,G2333,MOVIMIENTOS_COMPLEMENTOS!$B$4:$B$803,"INGRESO")+SUMIFS(MOVIMIENTOS_COMPLEMENTOS!$I$4:$I$803,MOVIMIENTOS_COMPLEMENTOS!$C$4:$C$803,A2333,MOVIMIENTOS_COMPLEMENTOS!$D$4:$D$803,B2333,MOVIMIENTOS_COMPLEMENTOS!$E$4:$E$803,C2333,MOVIMIENTOS_COMPLEMENTOS!$F$4:$F$803,D2333,MOVIMIENTOS_COMPLEMENTOS!$G$4:$G$803,E2333,MOVIMIENTOS_COMPLEMENTOS!$H$4:$H$803,G2333,MOVIMIENTOS_COMPLEMENTOS!$B$4:$B$803,"DE CORTE")-SUMIFS(MOVIMIENTOS_COMPLEMENTOS!$I$4:$I$803,MOVIMIENTOS_COMPLEMENTOS!$C$4:$C$803,A2333,MOVIMIENTOS_COMPLEMENTOS!$D$4:$D$803,B2333,MOVIMIENTOS_COMPLEMENTOS!$E$4:$E$803,C2333,MOVIMIENTOS_COMPLEMENTOS!$F$4:$F$803,D2333,MOVIMIENTOS_COMPLEMENTOS!$G$4:$G$803,E2333,MOVIMIENTOS_COMPLEMENTOS!$H$4:$H$803,G2333,MOVIMIENTOS_COMPLEMENTOS!$B$4:$B$803,"SALIDA"),0)</f>
        <v>0</v>
      </c>
      <c r="I2333" s="102">
        <f t="array" ref="I2333">IFERROR(INDEX(PRECIOS_COMPLEMENTOS!$C$4:$F$17,MATCH(B2333&amp;"_"&amp;C2333,PRECIOS_COMPLEMENTOS!$H$4:$H$17,0),IF(OR(G2333="S",G2333="20cm"),1,IF(OR(G2333="M",G2333="25cm"),2,IF(OR(G2333="L",G2333="30cm"),3,IF(OR(G2333="XL",G2333="35cm"),4,0))))),0)</f>
        <v>0.6</v>
      </c>
      <c r="J2333" s="103">
        <f t="shared" si="1"/>
        <v>0</v>
      </c>
      <c r="K2333" s="104" t="str">
        <f>IF(H2333&lt;0,"ERROR",IF(H2333=0,"",IF(H2333&lt;CONFIG!$B$4,"CRÍTICO",IF(H2333&lt;CONFIG!$B$5,"BAJO","OK"))))</f>
        <v/>
      </c>
    </row>
    <row r="2334" ht="15.75" hidden="1" customHeight="1">
      <c r="A2334" s="90" t="str">
        <f>IF(CLIENTES!A6="","",CLIENTES!A6)</f>
        <v/>
      </c>
      <c r="B2334" s="90" t="s">
        <v>331</v>
      </c>
      <c r="C2334" s="91" t="s">
        <v>328</v>
      </c>
      <c r="D2334" s="109" t="s">
        <v>366</v>
      </c>
      <c r="E2334" s="67" t="str">
        <f>COLORES!A6</f>
        <v>Blanco</v>
      </c>
      <c r="F2334" s="67" t="str">
        <f>COLORES!B6</f>
        <v>PPT</v>
      </c>
      <c r="G2334" s="90" t="s">
        <v>377</v>
      </c>
      <c r="H2334" s="100">
        <f>IFERROR(SUMIFS(MOVIMIENTOS_COMPLEMENTOS!$I$4:$I$803,MOVIMIENTOS_COMPLEMENTOS!$C$4:$C$803,A2334,MOVIMIENTOS_COMPLEMENTOS!$D$4:$D$803,B2334,MOVIMIENTOS_COMPLEMENTOS!$E$4:$E$803,C2334,MOVIMIENTOS_COMPLEMENTOS!$F$4:$F$803,D2334,MOVIMIENTOS_COMPLEMENTOS!$G$4:$G$803,E2334,MOVIMIENTOS_COMPLEMENTOS!$H$4:$H$803,G2334,MOVIMIENTOS_COMPLEMENTOS!$B$4:$B$803,"INGRESO")+SUMIFS(MOVIMIENTOS_COMPLEMENTOS!$I$4:$I$803,MOVIMIENTOS_COMPLEMENTOS!$C$4:$C$803,A2334,MOVIMIENTOS_COMPLEMENTOS!$D$4:$D$803,B2334,MOVIMIENTOS_COMPLEMENTOS!$E$4:$E$803,C2334,MOVIMIENTOS_COMPLEMENTOS!$F$4:$F$803,D2334,MOVIMIENTOS_COMPLEMENTOS!$G$4:$G$803,E2334,MOVIMIENTOS_COMPLEMENTOS!$H$4:$H$803,G2334,MOVIMIENTOS_COMPLEMENTOS!$B$4:$B$803,"DE CORTE")-SUMIFS(MOVIMIENTOS_COMPLEMENTOS!$I$4:$I$803,MOVIMIENTOS_COMPLEMENTOS!$C$4:$C$803,A2334,MOVIMIENTOS_COMPLEMENTOS!$D$4:$D$803,B2334,MOVIMIENTOS_COMPLEMENTOS!$E$4:$E$803,C2334,MOVIMIENTOS_COMPLEMENTOS!$F$4:$F$803,D2334,MOVIMIENTOS_COMPLEMENTOS!$G$4:$G$803,E2334,MOVIMIENTOS_COMPLEMENTOS!$H$4:$H$803,G2334,MOVIMIENTOS_COMPLEMENTOS!$B$4:$B$803,"SALIDA"),0)</f>
        <v>0</v>
      </c>
      <c r="I2334" s="102">
        <f t="array" ref="I2334">IFERROR(INDEX(PRECIOS_COMPLEMENTOS!$C$4:$F$17,MATCH(B2334&amp;"_"&amp;C2334,PRECIOS_COMPLEMENTOS!$H$4:$H$17,0),IF(OR(G2334="S",G2334="20cm"),1,IF(OR(G2334="M",G2334="25cm"),2,IF(OR(G2334="L",G2334="30cm"),3,IF(OR(G2334="XL",G2334="35cm"),4,0))))),0)</f>
        <v>0.6</v>
      </c>
      <c r="J2334" s="103">
        <f t="shared" si="1"/>
        <v>0</v>
      </c>
      <c r="K2334" s="104" t="str">
        <f>IF(H2334&lt;0,"ERROR",IF(H2334=0,"",IF(H2334&lt;CONFIG!$B$4,"CRÍTICO",IF(H2334&lt;CONFIG!$B$5,"BAJO","OK"))))</f>
        <v/>
      </c>
    </row>
    <row r="2335" ht="15.75" hidden="1" customHeight="1">
      <c r="A2335" s="90" t="str">
        <f>IF(CLIENTES!A6="","",CLIENTES!A6)</f>
        <v/>
      </c>
      <c r="B2335" s="90" t="s">
        <v>331</v>
      </c>
      <c r="C2335" s="91" t="s">
        <v>328</v>
      </c>
      <c r="D2335" s="109" t="s">
        <v>366</v>
      </c>
      <c r="E2335" s="67" t="str">
        <f>COLORES!A6</f>
        <v>Blanco</v>
      </c>
      <c r="F2335" s="67" t="str">
        <f>COLORES!B6</f>
        <v>PPT</v>
      </c>
      <c r="G2335" s="90" t="s">
        <v>379</v>
      </c>
      <c r="H2335" s="100">
        <f>IFERROR(SUMIFS(MOVIMIENTOS_COMPLEMENTOS!$I$4:$I$803,MOVIMIENTOS_COMPLEMENTOS!$C$4:$C$803,A2335,MOVIMIENTOS_COMPLEMENTOS!$D$4:$D$803,B2335,MOVIMIENTOS_COMPLEMENTOS!$E$4:$E$803,C2335,MOVIMIENTOS_COMPLEMENTOS!$F$4:$F$803,D2335,MOVIMIENTOS_COMPLEMENTOS!$G$4:$G$803,E2335,MOVIMIENTOS_COMPLEMENTOS!$H$4:$H$803,G2335,MOVIMIENTOS_COMPLEMENTOS!$B$4:$B$803,"INGRESO")+SUMIFS(MOVIMIENTOS_COMPLEMENTOS!$I$4:$I$803,MOVIMIENTOS_COMPLEMENTOS!$C$4:$C$803,A2335,MOVIMIENTOS_COMPLEMENTOS!$D$4:$D$803,B2335,MOVIMIENTOS_COMPLEMENTOS!$E$4:$E$803,C2335,MOVIMIENTOS_COMPLEMENTOS!$F$4:$F$803,D2335,MOVIMIENTOS_COMPLEMENTOS!$G$4:$G$803,E2335,MOVIMIENTOS_COMPLEMENTOS!$H$4:$H$803,G2335,MOVIMIENTOS_COMPLEMENTOS!$B$4:$B$803,"DE CORTE")-SUMIFS(MOVIMIENTOS_COMPLEMENTOS!$I$4:$I$803,MOVIMIENTOS_COMPLEMENTOS!$C$4:$C$803,A2335,MOVIMIENTOS_COMPLEMENTOS!$D$4:$D$803,B2335,MOVIMIENTOS_COMPLEMENTOS!$E$4:$E$803,C2335,MOVIMIENTOS_COMPLEMENTOS!$F$4:$F$803,D2335,MOVIMIENTOS_COMPLEMENTOS!$G$4:$G$803,E2335,MOVIMIENTOS_COMPLEMENTOS!$H$4:$H$803,G2335,MOVIMIENTOS_COMPLEMENTOS!$B$4:$B$803,"SALIDA"),0)</f>
        <v>0</v>
      </c>
      <c r="I2335" s="102">
        <f t="array" ref="I2335">IFERROR(INDEX(PRECIOS_COMPLEMENTOS!$C$4:$F$17,MATCH(B2335&amp;"_"&amp;C2335,PRECIOS_COMPLEMENTOS!$H$4:$H$17,0),IF(OR(G2335="S",G2335="20cm"),1,IF(OR(G2335="M",G2335="25cm"),2,IF(OR(G2335="L",G2335="30cm"),3,IF(OR(G2335="XL",G2335="35cm"),4,0))))),0)</f>
        <v>0.6</v>
      </c>
      <c r="J2335" s="103">
        <f t="shared" si="1"/>
        <v>0</v>
      </c>
      <c r="K2335" s="104" t="str">
        <f>IF(H2335&lt;0,"ERROR",IF(H2335=0,"",IF(H2335&lt;CONFIG!$B$4,"CRÍTICO",IF(H2335&lt;CONFIG!$B$5,"BAJO","OK"))))</f>
        <v/>
      </c>
    </row>
    <row r="2336" ht="15.75" hidden="1" customHeight="1">
      <c r="A2336" s="90" t="str">
        <f>IF(CLIENTES!A6="","",CLIENTES!A6)</f>
        <v/>
      </c>
      <c r="B2336" s="90" t="s">
        <v>331</v>
      </c>
      <c r="C2336" s="91" t="s">
        <v>328</v>
      </c>
      <c r="D2336" s="109" t="s">
        <v>366</v>
      </c>
      <c r="E2336" s="67" t="str">
        <f>COLORES!A7</f>
        <v>Azul</v>
      </c>
      <c r="F2336" s="67" t="str">
        <f>COLORES!B7</f>
        <v>OSCURO</v>
      </c>
      <c r="G2336" s="90" t="s">
        <v>378</v>
      </c>
      <c r="H2336" s="100">
        <f>IFERROR(SUMIFS(MOVIMIENTOS_COMPLEMENTOS!$I$4:$I$803,MOVIMIENTOS_COMPLEMENTOS!$C$4:$C$803,A2336,MOVIMIENTOS_COMPLEMENTOS!$D$4:$D$803,B2336,MOVIMIENTOS_COMPLEMENTOS!$E$4:$E$803,C2336,MOVIMIENTOS_COMPLEMENTOS!$F$4:$F$803,D2336,MOVIMIENTOS_COMPLEMENTOS!$G$4:$G$803,E2336,MOVIMIENTOS_COMPLEMENTOS!$H$4:$H$803,G2336,MOVIMIENTOS_COMPLEMENTOS!$B$4:$B$803,"INGRESO")+SUMIFS(MOVIMIENTOS_COMPLEMENTOS!$I$4:$I$803,MOVIMIENTOS_COMPLEMENTOS!$C$4:$C$803,A2336,MOVIMIENTOS_COMPLEMENTOS!$D$4:$D$803,B2336,MOVIMIENTOS_COMPLEMENTOS!$E$4:$E$803,C2336,MOVIMIENTOS_COMPLEMENTOS!$F$4:$F$803,D2336,MOVIMIENTOS_COMPLEMENTOS!$G$4:$G$803,E2336,MOVIMIENTOS_COMPLEMENTOS!$H$4:$H$803,G2336,MOVIMIENTOS_COMPLEMENTOS!$B$4:$B$803,"DE CORTE")-SUMIFS(MOVIMIENTOS_COMPLEMENTOS!$I$4:$I$803,MOVIMIENTOS_COMPLEMENTOS!$C$4:$C$803,A2336,MOVIMIENTOS_COMPLEMENTOS!$D$4:$D$803,B2336,MOVIMIENTOS_COMPLEMENTOS!$E$4:$E$803,C2336,MOVIMIENTOS_COMPLEMENTOS!$F$4:$F$803,D2336,MOVIMIENTOS_COMPLEMENTOS!$G$4:$G$803,E2336,MOVIMIENTOS_COMPLEMENTOS!$H$4:$H$803,G2336,MOVIMIENTOS_COMPLEMENTOS!$B$4:$B$803,"SALIDA"),0)</f>
        <v>0</v>
      </c>
      <c r="I2336" s="102">
        <f t="array" ref="I2336">IFERROR(INDEX(PRECIOS_COMPLEMENTOS!$C$4:$F$17,MATCH(B2336&amp;"_"&amp;C2336,PRECIOS_COMPLEMENTOS!$H$4:$H$17,0),IF(OR(G2336="S",G2336="20cm"),1,IF(OR(G2336="M",G2336="25cm"),2,IF(OR(G2336="L",G2336="30cm"),3,IF(OR(G2336="XL",G2336="35cm"),4,0))))),0)</f>
        <v>0.6</v>
      </c>
      <c r="J2336" s="103">
        <f t="shared" si="1"/>
        <v>0</v>
      </c>
      <c r="K2336" s="104" t="str">
        <f>IF(H2336&lt;0,"ERROR",IF(H2336=0,"",IF(H2336&lt;CONFIG!$B$4,"CRÍTICO",IF(H2336&lt;CONFIG!$B$5,"BAJO","OK"))))</f>
        <v/>
      </c>
    </row>
    <row r="2337" ht="15.75" hidden="1" customHeight="1">
      <c r="A2337" s="90" t="str">
        <f>IF(CLIENTES!A6="","",CLIENTES!A6)</f>
        <v/>
      </c>
      <c r="B2337" s="90" t="s">
        <v>331</v>
      </c>
      <c r="C2337" s="91" t="s">
        <v>328</v>
      </c>
      <c r="D2337" s="109" t="s">
        <v>366</v>
      </c>
      <c r="E2337" s="67" t="str">
        <f>COLORES!A7</f>
        <v>Azul</v>
      </c>
      <c r="F2337" s="67" t="str">
        <f>COLORES!B7</f>
        <v>OSCURO</v>
      </c>
      <c r="G2337" s="90" t="s">
        <v>376</v>
      </c>
      <c r="H2337" s="100">
        <f>IFERROR(SUMIFS(MOVIMIENTOS_COMPLEMENTOS!$I$4:$I$803,MOVIMIENTOS_COMPLEMENTOS!$C$4:$C$803,A2337,MOVIMIENTOS_COMPLEMENTOS!$D$4:$D$803,B2337,MOVIMIENTOS_COMPLEMENTOS!$E$4:$E$803,C2337,MOVIMIENTOS_COMPLEMENTOS!$F$4:$F$803,D2337,MOVIMIENTOS_COMPLEMENTOS!$G$4:$G$803,E2337,MOVIMIENTOS_COMPLEMENTOS!$H$4:$H$803,G2337,MOVIMIENTOS_COMPLEMENTOS!$B$4:$B$803,"INGRESO")+SUMIFS(MOVIMIENTOS_COMPLEMENTOS!$I$4:$I$803,MOVIMIENTOS_COMPLEMENTOS!$C$4:$C$803,A2337,MOVIMIENTOS_COMPLEMENTOS!$D$4:$D$803,B2337,MOVIMIENTOS_COMPLEMENTOS!$E$4:$E$803,C2337,MOVIMIENTOS_COMPLEMENTOS!$F$4:$F$803,D2337,MOVIMIENTOS_COMPLEMENTOS!$G$4:$G$803,E2337,MOVIMIENTOS_COMPLEMENTOS!$H$4:$H$803,G2337,MOVIMIENTOS_COMPLEMENTOS!$B$4:$B$803,"DE CORTE")-SUMIFS(MOVIMIENTOS_COMPLEMENTOS!$I$4:$I$803,MOVIMIENTOS_COMPLEMENTOS!$C$4:$C$803,A2337,MOVIMIENTOS_COMPLEMENTOS!$D$4:$D$803,B2337,MOVIMIENTOS_COMPLEMENTOS!$E$4:$E$803,C2337,MOVIMIENTOS_COMPLEMENTOS!$F$4:$F$803,D2337,MOVIMIENTOS_COMPLEMENTOS!$G$4:$G$803,E2337,MOVIMIENTOS_COMPLEMENTOS!$H$4:$H$803,G2337,MOVIMIENTOS_COMPLEMENTOS!$B$4:$B$803,"SALIDA"),0)</f>
        <v>0</v>
      </c>
      <c r="I2337" s="102">
        <f t="array" ref="I2337">IFERROR(INDEX(PRECIOS_COMPLEMENTOS!$C$4:$F$17,MATCH(B2337&amp;"_"&amp;C2337,PRECIOS_COMPLEMENTOS!$H$4:$H$17,0),IF(OR(G2337="S",G2337="20cm"),1,IF(OR(G2337="M",G2337="25cm"),2,IF(OR(G2337="L",G2337="30cm"),3,IF(OR(G2337="XL",G2337="35cm"),4,0))))),0)</f>
        <v>0.6</v>
      </c>
      <c r="J2337" s="103">
        <f t="shared" si="1"/>
        <v>0</v>
      </c>
      <c r="K2337" s="104" t="str">
        <f>IF(H2337&lt;0,"ERROR",IF(H2337=0,"",IF(H2337&lt;CONFIG!$B$4,"CRÍTICO",IF(H2337&lt;CONFIG!$B$5,"BAJO","OK"))))</f>
        <v/>
      </c>
    </row>
    <row r="2338" ht="15.75" hidden="1" customHeight="1">
      <c r="A2338" s="90" t="str">
        <f>IF(CLIENTES!A6="","",CLIENTES!A6)</f>
        <v/>
      </c>
      <c r="B2338" s="90" t="s">
        <v>331</v>
      </c>
      <c r="C2338" s="91" t="s">
        <v>328</v>
      </c>
      <c r="D2338" s="109" t="s">
        <v>366</v>
      </c>
      <c r="E2338" s="67" t="str">
        <f>COLORES!A7</f>
        <v>Azul</v>
      </c>
      <c r="F2338" s="67" t="str">
        <f>COLORES!B7</f>
        <v>OSCURO</v>
      </c>
      <c r="G2338" s="90" t="s">
        <v>377</v>
      </c>
      <c r="H2338" s="100">
        <f>IFERROR(SUMIFS(MOVIMIENTOS_COMPLEMENTOS!$I$4:$I$803,MOVIMIENTOS_COMPLEMENTOS!$C$4:$C$803,A2338,MOVIMIENTOS_COMPLEMENTOS!$D$4:$D$803,B2338,MOVIMIENTOS_COMPLEMENTOS!$E$4:$E$803,C2338,MOVIMIENTOS_COMPLEMENTOS!$F$4:$F$803,D2338,MOVIMIENTOS_COMPLEMENTOS!$G$4:$G$803,E2338,MOVIMIENTOS_COMPLEMENTOS!$H$4:$H$803,G2338,MOVIMIENTOS_COMPLEMENTOS!$B$4:$B$803,"INGRESO")+SUMIFS(MOVIMIENTOS_COMPLEMENTOS!$I$4:$I$803,MOVIMIENTOS_COMPLEMENTOS!$C$4:$C$803,A2338,MOVIMIENTOS_COMPLEMENTOS!$D$4:$D$803,B2338,MOVIMIENTOS_COMPLEMENTOS!$E$4:$E$803,C2338,MOVIMIENTOS_COMPLEMENTOS!$F$4:$F$803,D2338,MOVIMIENTOS_COMPLEMENTOS!$G$4:$G$803,E2338,MOVIMIENTOS_COMPLEMENTOS!$H$4:$H$803,G2338,MOVIMIENTOS_COMPLEMENTOS!$B$4:$B$803,"DE CORTE")-SUMIFS(MOVIMIENTOS_COMPLEMENTOS!$I$4:$I$803,MOVIMIENTOS_COMPLEMENTOS!$C$4:$C$803,A2338,MOVIMIENTOS_COMPLEMENTOS!$D$4:$D$803,B2338,MOVIMIENTOS_COMPLEMENTOS!$E$4:$E$803,C2338,MOVIMIENTOS_COMPLEMENTOS!$F$4:$F$803,D2338,MOVIMIENTOS_COMPLEMENTOS!$G$4:$G$803,E2338,MOVIMIENTOS_COMPLEMENTOS!$H$4:$H$803,G2338,MOVIMIENTOS_COMPLEMENTOS!$B$4:$B$803,"SALIDA"),0)</f>
        <v>0</v>
      </c>
      <c r="I2338" s="102">
        <f t="array" ref="I2338">IFERROR(INDEX(PRECIOS_COMPLEMENTOS!$C$4:$F$17,MATCH(B2338&amp;"_"&amp;C2338,PRECIOS_COMPLEMENTOS!$H$4:$H$17,0),IF(OR(G2338="S",G2338="20cm"),1,IF(OR(G2338="M",G2338="25cm"),2,IF(OR(G2338="L",G2338="30cm"),3,IF(OR(G2338="XL",G2338="35cm"),4,0))))),0)</f>
        <v>0.6</v>
      </c>
      <c r="J2338" s="103">
        <f t="shared" si="1"/>
        <v>0</v>
      </c>
      <c r="K2338" s="104" t="str">
        <f>IF(H2338&lt;0,"ERROR",IF(H2338=0,"",IF(H2338&lt;CONFIG!$B$4,"CRÍTICO",IF(H2338&lt;CONFIG!$B$5,"BAJO","OK"))))</f>
        <v/>
      </c>
    </row>
    <row r="2339" ht="15.75" hidden="1" customHeight="1">
      <c r="A2339" s="90" t="str">
        <f>IF(CLIENTES!A6="","",CLIENTES!A6)</f>
        <v/>
      </c>
      <c r="B2339" s="90" t="s">
        <v>331</v>
      </c>
      <c r="C2339" s="91" t="s">
        <v>328</v>
      </c>
      <c r="D2339" s="109" t="s">
        <v>366</v>
      </c>
      <c r="E2339" s="67" t="str">
        <f>COLORES!A7</f>
        <v>Azul</v>
      </c>
      <c r="F2339" s="67" t="str">
        <f>COLORES!B7</f>
        <v>OSCURO</v>
      </c>
      <c r="G2339" s="90" t="s">
        <v>379</v>
      </c>
      <c r="H2339" s="100">
        <f>IFERROR(SUMIFS(MOVIMIENTOS_COMPLEMENTOS!$I$4:$I$803,MOVIMIENTOS_COMPLEMENTOS!$C$4:$C$803,A2339,MOVIMIENTOS_COMPLEMENTOS!$D$4:$D$803,B2339,MOVIMIENTOS_COMPLEMENTOS!$E$4:$E$803,C2339,MOVIMIENTOS_COMPLEMENTOS!$F$4:$F$803,D2339,MOVIMIENTOS_COMPLEMENTOS!$G$4:$G$803,E2339,MOVIMIENTOS_COMPLEMENTOS!$H$4:$H$803,G2339,MOVIMIENTOS_COMPLEMENTOS!$B$4:$B$803,"INGRESO")+SUMIFS(MOVIMIENTOS_COMPLEMENTOS!$I$4:$I$803,MOVIMIENTOS_COMPLEMENTOS!$C$4:$C$803,A2339,MOVIMIENTOS_COMPLEMENTOS!$D$4:$D$803,B2339,MOVIMIENTOS_COMPLEMENTOS!$E$4:$E$803,C2339,MOVIMIENTOS_COMPLEMENTOS!$F$4:$F$803,D2339,MOVIMIENTOS_COMPLEMENTOS!$G$4:$G$803,E2339,MOVIMIENTOS_COMPLEMENTOS!$H$4:$H$803,G2339,MOVIMIENTOS_COMPLEMENTOS!$B$4:$B$803,"DE CORTE")-SUMIFS(MOVIMIENTOS_COMPLEMENTOS!$I$4:$I$803,MOVIMIENTOS_COMPLEMENTOS!$C$4:$C$803,A2339,MOVIMIENTOS_COMPLEMENTOS!$D$4:$D$803,B2339,MOVIMIENTOS_COMPLEMENTOS!$E$4:$E$803,C2339,MOVIMIENTOS_COMPLEMENTOS!$F$4:$F$803,D2339,MOVIMIENTOS_COMPLEMENTOS!$G$4:$G$803,E2339,MOVIMIENTOS_COMPLEMENTOS!$H$4:$H$803,G2339,MOVIMIENTOS_COMPLEMENTOS!$B$4:$B$803,"SALIDA"),0)</f>
        <v>0</v>
      </c>
      <c r="I2339" s="102">
        <f t="array" ref="I2339">IFERROR(INDEX(PRECIOS_COMPLEMENTOS!$C$4:$F$17,MATCH(B2339&amp;"_"&amp;C2339,PRECIOS_COMPLEMENTOS!$H$4:$H$17,0),IF(OR(G2339="S",G2339="20cm"),1,IF(OR(G2339="M",G2339="25cm"),2,IF(OR(G2339="L",G2339="30cm"),3,IF(OR(G2339="XL",G2339="35cm"),4,0))))),0)</f>
        <v>0.6</v>
      </c>
      <c r="J2339" s="103">
        <f t="shared" si="1"/>
        <v>0</v>
      </c>
      <c r="K2339" s="104" t="str">
        <f>IF(H2339&lt;0,"ERROR",IF(H2339=0,"",IF(H2339&lt;CONFIG!$B$4,"CRÍTICO",IF(H2339&lt;CONFIG!$B$5,"BAJO","OK"))))</f>
        <v/>
      </c>
    </row>
    <row r="2340" ht="15.75" hidden="1" customHeight="1">
      <c r="A2340" s="90" t="str">
        <f>IF(CLIENTES!A6="","",CLIENTES!A6)</f>
        <v/>
      </c>
      <c r="B2340" s="90" t="s">
        <v>331</v>
      </c>
      <c r="C2340" s="91" t="s">
        <v>328</v>
      </c>
      <c r="D2340" s="109" t="s">
        <v>366</v>
      </c>
      <c r="E2340" s="67" t="str">
        <f>COLORES!A8</f>
        <v>Beige</v>
      </c>
      <c r="F2340" s="67" t="str">
        <f>COLORES!B8</f>
        <v>CLARO</v>
      </c>
      <c r="G2340" s="90" t="s">
        <v>378</v>
      </c>
      <c r="H2340" s="100">
        <f>IFERROR(SUMIFS(MOVIMIENTOS_COMPLEMENTOS!$I$4:$I$803,MOVIMIENTOS_COMPLEMENTOS!$C$4:$C$803,A2340,MOVIMIENTOS_COMPLEMENTOS!$D$4:$D$803,B2340,MOVIMIENTOS_COMPLEMENTOS!$E$4:$E$803,C2340,MOVIMIENTOS_COMPLEMENTOS!$F$4:$F$803,D2340,MOVIMIENTOS_COMPLEMENTOS!$G$4:$G$803,E2340,MOVIMIENTOS_COMPLEMENTOS!$H$4:$H$803,G2340,MOVIMIENTOS_COMPLEMENTOS!$B$4:$B$803,"INGRESO")+SUMIFS(MOVIMIENTOS_COMPLEMENTOS!$I$4:$I$803,MOVIMIENTOS_COMPLEMENTOS!$C$4:$C$803,A2340,MOVIMIENTOS_COMPLEMENTOS!$D$4:$D$803,B2340,MOVIMIENTOS_COMPLEMENTOS!$E$4:$E$803,C2340,MOVIMIENTOS_COMPLEMENTOS!$F$4:$F$803,D2340,MOVIMIENTOS_COMPLEMENTOS!$G$4:$G$803,E2340,MOVIMIENTOS_COMPLEMENTOS!$H$4:$H$803,G2340,MOVIMIENTOS_COMPLEMENTOS!$B$4:$B$803,"DE CORTE")-SUMIFS(MOVIMIENTOS_COMPLEMENTOS!$I$4:$I$803,MOVIMIENTOS_COMPLEMENTOS!$C$4:$C$803,A2340,MOVIMIENTOS_COMPLEMENTOS!$D$4:$D$803,B2340,MOVIMIENTOS_COMPLEMENTOS!$E$4:$E$803,C2340,MOVIMIENTOS_COMPLEMENTOS!$F$4:$F$803,D2340,MOVIMIENTOS_COMPLEMENTOS!$G$4:$G$803,E2340,MOVIMIENTOS_COMPLEMENTOS!$H$4:$H$803,G2340,MOVIMIENTOS_COMPLEMENTOS!$B$4:$B$803,"SALIDA"),0)</f>
        <v>0</v>
      </c>
      <c r="I2340" s="102">
        <f t="array" ref="I2340">IFERROR(INDEX(PRECIOS_COMPLEMENTOS!$C$4:$F$17,MATCH(B2340&amp;"_"&amp;C2340,PRECIOS_COMPLEMENTOS!$H$4:$H$17,0),IF(OR(G2340="S",G2340="20cm"),1,IF(OR(G2340="M",G2340="25cm"),2,IF(OR(G2340="L",G2340="30cm"),3,IF(OR(G2340="XL",G2340="35cm"),4,0))))),0)</f>
        <v>0.6</v>
      </c>
      <c r="J2340" s="103">
        <f t="shared" si="1"/>
        <v>0</v>
      </c>
      <c r="K2340" s="104" t="str">
        <f>IF(H2340&lt;0,"ERROR",IF(H2340=0,"",IF(H2340&lt;CONFIG!$B$4,"CRÍTICO",IF(H2340&lt;CONFIG!$B$5,"BAJO","OK"))))</f>
        <v/>
      </c>
    </row>
    <row r="2341" ht="15.75" hidden="1" customHeight="1">
      <c r="A2341" s="90" t="str">
        <f>IF(CLIENTES!A6="","",CLIENTES!A6)</f>
        <v/>
      </c>
      <c r="B2341" s="90" t="s">
        <v>331</v>
      </c>
      <c r="C2341" s="91" t="s">
        <v>328</v>
      </c>
      <c r="D2341" s="109" t="s">
        <v>366</v>
      </c>
      <c r="E2341" s="67" t="str">
        <f>COLORES!A8</f>
        <v>Beige</v>
      </c>
      <c r="F2341" s="67" t="str">
        <f>COLORES!B8</f>
        <v>CLARO</v>
      </c>
      <c r="G2341" s="90" t="s">
        <v>376</v>
      </c>
      <c r="H2341" s="100">
        <f>IFERROR(SUMIFS(MOVIMIENTOS_COMPLEMENTOS!$I$4:$I$803,MOVIMIENTOS_COMPLEMENTOS!$C$4:$C$803,A2341,MOVIMIENTOS_COMPLEMENTOS!$D$4:$D$803,B2341,MOVIMIENTOS_COMPLEMENTOS!$E$4:$E$803,C2341,MOVIMIENTOS_COMPLEMENTOS!$F$4:$F$803,D2341,MOVIMIENTOS_COMPLEMENTOS!$G$4:$G$803,E2341,MOVIMIENTOS_COMPLEMENTOS!$H$4:$H$803,G2341,MOVIMIENTOS_COMPLEMENTOS!$B$4:$B$803,"INGRESO")+SUMIFS(MOVIMIENTOS_COMPLEMENTOS!$I$4:$I$803,MOVIMIENTOS_COMPLEMENTOS!$C$4:$C$803,A2341,MOVIMIENTOS_COMPLEMENTOS!$D$4:$D$803,B2341,MOVIMIENTOS_COMPLEMENTOS!$E$4:$E$803,C2341,MOVIMIENTOS_COMPLEMENTOS!$F$4:$F$803,D2341,MOVIMIENTOS_COMPLEMENTOS!$G$4:$G$803,E2341,MOVIMIENTOS_COMPLEMENTOS!$H$4:$H$803,G2341,MOVIMIENTOS_COMPLEMENTOS!$B$4:$B$803,"DE CORTE")-SUMIFS(MOVIMIENTOS_COMPLEMENTOS!$I$4:$I$803,MOVIMIENTOS_COMPLEMENTOS!$C$4:$C$803,A2341,MOVIMIENTOS_COMPLEMENTOS!$D$4:$D$803,B2341,MOVIMIENTOS_COMPLEMENTOS!$E$4:$E$803,C2341,MOVIMIENTOS_COMPLEMENTOS!$F$4:$F$803,D2341,MOVIMIENTOS_COMPLEMENTOS!$G$4:$G$803,E2341,MOVIMIENTOS_COMPLEMENTOS!$H$4:$H$803,G2341,MOVIMIENTOS_COMPLEMENTOS!$B$4:$B$803,"SALIDA"),0)</f>
        <v>0</v>
      </c>
      <c r="I2341" s="102">
        <f t="array" ref="I2341">IFERROR(INDEX(PRECIOS_COMPLEMENTOS!$C$4:$F$17,MATCH(B2341&amp;"_"&amp;C2341,PRECIOS_COMPLEMENTOS!$H$4:$H$17,0),IF(OR(G2341="S",G2341="20cm"),1,IF(OR(G2341="M",G2341="25cm"),2,IF(OR(G2341="L",G2341="30cm"),3,IF(OR(G2341="XL",G2341="35cm"),4,0))))),0)</f>
        <v>0.6</v>
      </c>
      <c r="J2341" s="103">
        <f t="shared" si="1"/>
        <v>0</v>
      </c>
      <c r="K2341" s="104" t="str">
        <f>IF(H2341&lt;0,"ERROR",IF(H2341=0,"",IF(H2341&lt;CONFIG!$B$4,"CRÍTICO",IF(H2341&lt;CONFIG!$B$5,"BAJO","OK"))))</f>
        <v/>
      </c>
    </row>
    <row r="2342" ht="15.75" hidden="1" customHeight="1">
      <c r="A2342" s="90" t="str">
        <f>IF(CLIENTES!A6="","",CLIENTES!A6)</f>
        <v/>
      </c>
      <c r="B2342" s="90" t="s">
        <v>331</v>
      </c>
      <c r="C2342" s="91" t="s">
        <v>328</v>
      </c>
      <c r="D2342" s="109" t="s">
        <v>366</v>
      </c>
      <c r="E2342" s="67" t="str">
        <f>COLORES!A8</f>
        <v>Beige</v>
      </c>
      <c r="F2342" s="67" t="str">
        <f>COLORES!B8</f>
        <v>CLARO</v>
      </c>
      <c r="G2342" s="90" t="s">
        <v>377</v>
      </c>
      <c r="H2342" s="100">
        <f>IFERROR(SUMIFS(MOVIMIENTOS_COMPLEMENTOS!$I$4:$I$803,MOVIMIENTOS_COMPLEMENTOS!$C$4:$C$803,A2342,MOVIMIENTOS_COMPLEMENTOS!$D$4:$D$803,B2342,MOVIMIENTOS_COMPLEMENTOS!$E$4:$E$803,C2342,MOVIMIENTOS_COMPLEMENTOS!$F$4:$F$803,D2342,MOVIMIENTOS_COMPLEMENTOS!$G$4:$G$803,E2342,MOVIMIENTOS_COMPLEMENTOS!$H$4:$H$803,G2342,MOVIMIENTOS_COMPLEMENTOS!$B$4:$B$803,"INGRESO")+SUMIFS(MOVIMIENTOS_COMPLEMENTOS!$I$4:$I$803,MOVIMIENTOS_COMPLEMENTOS!$C$4:$C$803,A2342,MOVIMIENTOS_COMPLEMENTOS!$D$4:$D$803,B2342,MOVIMIENTOS_COMPLEMENTOS!$E$4:$E$803,C2342,MOVIMIENTOS_COMPLEMENTOS!$F$4:$F$803,D2342,MOVIMIENTOS_COMPLEMENTOS!$G$4:$G$803,E2342,MOVIMIENTOS_COMPLEMENTOS!$H$4:$H$803,G2342,MOVIMIENTOS_COMPLEMENTOS!$B$4:$B$803,"DE CORTE")-SUMIFS(MOVIMIENTOS_COMPLEMENTOS!$I$4:$I$803,MOVIMIENTOS_COMPLEMENTOS!$C$4:$C$803,A2342,MOVIMIENTOS_COMPLEMENTOS!$D$4:$D$803,B2342,MOVIMIENTOS_COMPLEMENTOS!$E$4:$E$803,C2342,MOVIMIENTOS_COMPLEMENTOS!$F$4:$F$803,D2342,MOVIMIENTOS_COMPLEMENTOS!$G$4:$G$803,E2342,MOVIMIENTOS_COMPLEMENTOS!$H$4:$H$803,G2342,MOVIMIENTOS_COMPLEMENTOS!$B$4:$B$803,"SALIDA"),0)</f>
        <v>0</v>
      </c>
      <c r="I2342" s="102">
        <f t="array" ref="I2342">IFERROR(INDEX(PRECIOS_COMPLEMENTOS!$C$4:$F$17,MATCH(B2342&amp;"_"&amp;C2342,PRECIOS_COMPLEMENTOS!$H$4:$H$17,0),IF(OR(G2342="S",G2342="20cm"),1,IF(OR(G2342="M",G2342="25cm"),2,IF(OR(G2342="L",G2342="30cm"),3,IF(OR(G2342="XL",G2342="35cm"),4,0))))),0)</f>
        <v>0.6</v>
      </c>
      <c r="J2342" s="103">
        <f t="shared" si="1"/>
        <v>0</v>
      </c>
      <c r="K2342" s="104" t="str">
        <f>IF(H2342&lt;0,"ERROR",IF(H2342=0,"",IF(H2342&lt;CONFIG!$B$4,"CRÍTICO",IF(H2342&lt;CONFIG!$B$5,"BAJO","OK"))))</f>
        <v/>
      </c>
    </row>
    <row r="2343" ht="15.75" hidden="1" customHeight="1">
      <c r="A2343" s="90" t="str">
        <f>IF(CLIENTES!A6="","",CLIENTES!A6)</f>
        <v/>
      </c>
      <c r="B2343" s="90" t="s">
        <v>331</v>
      </c>
      <c r="C2343" s="91" t="s">
        <v>328</v>
      </c>
      <c r="D2343" s="109" t="s">
        <v>366</v>
      </c>
      <c r="E2343" s="67" t="str">
        <f>COLORES!A8</f>
        <v>Beige</v>
      </c>
      <c r="F2343" s="67" t="str">
        <f>COLORES!B8</f>
        <v>CLARO</v>
      </c>
      <c r="G2343" s="90" t="s">
        <v>379</v>
      </c>
      <c r="H2343" s="100">
        <f>IFERROR(SUMIFS(MOVIMIENTOS_COMPLEMENTOS!$I$4:$I$803,MOVIMIENTOS_COMPLEMENTOS!$C$4:$C$803,A2343,MOVIMIENTOS_COMPLEMENTOS!$D$4:$D$803,B2343,MOVIMIENTOS_COMPLEMENTOS!$E$4:$E$803,C2343,MOVIMIENTOS_COMPLEMENTOS!$F$4:$F$803,D2343,MOVIMIENTOS_COMPLEMENTOS!$G$4:$G$803,E2343,MOVIMIENTOS_COMPLEMENTOS!$H$4:$H$803,G2343,MOVIMIENTOS_COMPLEMENTOS!$B$4:$B$803,"INGRESO")+SUMIFS(MOVIMIENTOS_COMPLEMENTOS!$I$4:$I$803,MOVIMIENTOS_COMPLEMENTOS!$C$4:$C$803,A2343,MOVIMIENTOS_COMPLEMENTOS!$D$4:$D$803,B2343,MOVIMIENTOS_COMPLEMENTOS!$E$4:$E$803,C2343,MOVIMIENTOS_COMPLEMENTOS!$F$4:$F$803,D2343,MOVIMIENTOS_COMPLEMENTOS!$G$4:$G$803,E2343,MOVIMIENTOS_COMPLEMENTOS!$H$4:$H$803,G2343,MOVIMIENTOS_COMPLEMENTOS!$B$4:$B$803,"DE CORTE")-SUMIFS(MOVIMIENTOS_COMPLEMENTOS!$I$4:$I$803,MOVIMIENTOS_COMPLEMENTOS!$C$4:$C$803,A2343,MOVIMIENTOS_COMPLEMENTOS!$D$4:$D$803,B2343,MOVIMIENTOS_COMPLEMENTOS!$E$4:$E$803,C2343,MOVIMIENTOS_COMPLEMENTOS!$F$4:$F$803,D2343,MOVIMIENTOS_COMPLEMENTOS!$G$4:$G$803,E2343,MOVIMIENTOS_COMPLEMENTOS!$H$4:$H$803,G2343,MOVIMIENTOS_COMPLEMENTOS!$B$4:$B$803,"SALIDA"),0)</f>
        <v>0</v>
      </c>
      <c r="I2343" s="102">
        <f t="array" ref="I2343">IFERROR(INDEX(PRECIOS_COMPLEMENTOS!$C$4:$F$17,MATCH(B2343&amp;"_"&amp;C2343,PRECIOS_COMPLEMENTOS!$H$4:$H$17,0),IF(OR(G2343="S",G2343="20cm"),1,IF(OR(G2343="M",G2343="25cm"),2,IF(OR(G2343="L",G2343="30cm"),3,IF(OR(G2343="XL",G2343="35cm"),4,0))))),0)</f>
        <v>0.6</v>
      </c>
      <c r="J2343" s="103">
        <f t="shared" si="1"/>
        <v>0</v>
      </c>
      <c r="K2343" s="104" t="str">
        <f>IF(H2343&lt;0,"ERROR",IF(H2343=0,"",IF(H2343&lt;CONFIG!$B$4,"CRÍTICO",IF(H2343&lt;CONFIG!$B$5,"BAJO","OK"))))</f>
        <v/>
      </c>
    </row>
    <row r="2344" ht="15.75" hidden="1" customHeight="1">
      <c r="A2344" s="90" t="str">
        <f>IF(CLIENTES!A6="","",CLIENTES!A6)</f>
        <v/>
      </c>
      <c r="B2344" s="90" t="s">
        <v>331</v>
      </c>
      <c r="C2344" s="91" t="s">
        <v>328</v>
      </c>
      <c r="D2344" s="109" t="s">
        <v>366</v>
      </c>
      <c r="E2344" s="67" t="str">
        <f>COLORES!A9</f>
        <v>Melange</v>
      </c>
      <c r="F2344" s="67" t="str">
        <f>COLORES!B9</f>
        <v>MELANGE</v>
      </c>
      <c r="G2344" s="90" t="s">
        <v>378</v>
      </c>
      <c r="H2344" s="100">
        <f>IFERROR(SUMIFS(MOVIMIENTOS_COMPLEMENTOS!$I$4:$I$803,MOVIMIENTOS_COMPLEMENTOS!$C$4:$C$803,A2344,MOVIMIENTOS_COMPLEMENTOS!$D$4:$D$803,B2344,MOVIMIENTOS_COMPLEMENTOS!$E$4:$E$803,C2344,MOVIMIENTOS_COMPLEMENTOS!$F$4:$F$803,D2344,MOVIMIENTOS_COMPLEMENTOS!$G$4:$G$803,E2344,MOVIMIENTOS_COMPLEMENTOS!$H$4:$H$803,G2344,MOVIMIENTOS_COMPLEMENTOS!$B$4:$B$803,"INGRESO")+SUMIFS(MOVIMIENTOS_COMPLEMENTOS!$I$4:$I$803,MOVIMIENTOS_COMPLEMENTOS!$C$4:$C$803,A2344,MOVIMIENTOS_COMPLEMENTOS!$D$4:$D$803,B2344,MOVIMIENTOS_COMPLEMENTOS!$E$4:$E$803,C2344,MOVIMIENTOS_COMPLEMENTOS!$F$4:$F$803,D2344,MOVIMIENTOS_COMPLEMENTOS!$G$4:$G$803,E2344,MOVIMIENTOS_COMPLEMENTOS!$H$4:$H$803,G2344,MOVIMIENTOS_COMPLEMENTOS!$B$4:$B$803,"DE CORTE")-SUMIFS(MOVIMIENTOS_COMPLEMENTOS!$I$4:$I$803,MOVIMIENTOS_COMPLEMENTOS!$C$4:$C$803,A2344,MOVIMIENTOS_COMPLEMENTOS!$D$4:$D$803,B2344,MOVIMIENTOS_COMPLEMENTOS!$E$4:$E$803,C2344,MOVIMIENTOS_COMPLEMENTOS!$F$4:$F$803,D2344,MOVIMIENTOS_COMPLEMENTOS!$G$4:$G$803,E2344,MOVIMIENTOS_COMPLEMENTOS!$H$4:$H$803,G2344,MOVIMIENTOS_COMPLEMENTOS!$B$4:$B$803,"SALIDA"),0)</f>
        <v>0</v>
      </c>
      <c r="I2344" s="102">
        <f t="array" ref="I2344">IFERROR(INDEX(PRECIOS_COMPLEMENTOS!$C$4:$F$17,MATCH(B2344&amp;"_"&amp;C2344,PRECIOS_COMPLEMENTOS!$H$4:$H$17,0),IF(OR(G2344="S",G2344="20cm"),1,IF(OR(G2344="M",G2344="25cm"),2,IF(OR(G2344="L",G2344="30cm"),3,IF(OR(G2344="XL",G2344="35cm"),4,0))))),0)</f>
        <v>0.6</v>
      </c>
      <c r="J2344" s="103">
        <f t="shared" si="1"/>
        <v>0</v>
      </c>
      <c r="K2344" s="104" t="str">
        <f>IF(H2344&lt;0,"ERROR",IF(H2344=0,"",IF(H2344&lt;CONFIG!$B$4,"CRÍTICO",IF(H2344&lt;CONFIG!$B$5,"BAJO","OK"))))</f>
        <v/>
      </c>
    </row>
    <row r="2345" ht="15.75" hidden="1" customHeight="1">
      <c r="A2345" s="90" t="str">
        <f>IF(CLIENTES!A6="","",CLIENTES!A6)</f>
        <v/>
      </c>
      <c r="B2345" s="90" t="s">
        <v>331</v>
      </c>
      <c r="C2345" s="91" t="s">
        <v>328</v>
      </c>
      <c r="D2345" s="109" t="s">
        <v>366</v>
      </c>
      <c r="E2345" s="67" t="str">
        <f>COLORES!A9</f>
        <v>Melange</v>
      </c>
      <c r="F2345" s="67" t="str">
        <f>COLORES!B9</f>
        <v>MELANGE</v>
      </c>
      <c r="G2345" s="90" t="s">
        <v>376</v>
      </c>
      <c r="H2345" s="100">
        <f>IFERROR(SUMIFS(MOVIMIENTOS_COMPLEMENTOS!$I$4:$I$803,MOVIMIENTOS_COMPLEMENTOS!$C$4:$C$803,A2345,MOVIMIENTOS_COMPLEMENTOS!$D$4:$D$803,B2345,MOVIMIENTOS_COMPLEMENTOS!$E$4:$E$803,C2345,MOVIMIENTOS_COMPLEMENTOS!$F$4:$F$803,D2345,MOVIMIENTOS_COMPLEMENTOS!$G$4:$G$803,E2345,MOVIMIENTOS_COMPLEMENTOS!$H$4:$H$803,G2345,MOVIMIENTOS_COMPLEMENTOS!$B$4:$B$803,"INGRESO")+SUMIFS(MOVIMIENTOS_COMPLEMENTOS!$I$4:$I$803,MOVIMIENTOS_COMPLEMENTOS!$C$4:$C$803,A2345,MOVIMIENTOS_COMPLEMENTOS!$D$4:$D$803,B2345,MOVIMIENTOS_COMPLEMENTOS!$E$4:$E$803,C2345,MOVIMIENTOS_COMPLEMENTOS!$F$4:$F$803,D2345,MOVIMIENTOS_COMPLEMENTOS!$G$4:$G$803,E2345,MOVIMIENTOS_COMPLEMENTOS!$H$4:$H$803,G2345,MOVIMIENTOS_COMPLEMENTOS!$B$4:$B$803,"DE CORTE")-SUMIFS(MOVIMIENTOS_COMPLEMENTOS!$I$4:$I$803,MOVIMIENTOS_COMPLEMENTOS!$C$4:$C$803,A2345,MOVIMIENTOS_COMPLEMENTOS!$D$4:$D$803,B2345,MOVIMIENTOS_COMPLEMENTOS!$E$4:$E$803,C2345,MOVIMIENTOS_COMPLEMENTOS!$F$4:$F$803,D2345,MOVIMIENTOS_COMPLEMENTOS!$G$4:$G$803,E2345,MOVIMIENTOS_COMPLEMENTOS!$H$4:$H$803,G2345,MOVIMIENTOS_COMPLEMENTOS!$B$4:$B$803,"SALIDA"),0)</f>
        <v>0</v>
      </c>
      <c r="I2345" s="102">
        <f t="array" ref="I2345">IFERROR(INDEX(PRECIOS_COMPLEMENTOS!$C$4:$F$17,MATCH(B2345&amp;"_"&amp;C2345,PRECIOS_COMPLEMENTOS!$H$4:$H$17,0),IF(OR(G2345="S",G2345="20cm"),1,IF(OR(G2345="M",G2345="25cm"),2,IF(OR(G2345="L",G2345="30cm"),3,IF(OR(G2345="XL",G2345="35cm"),4,0))))),0)</f>
        <v>0.6</v>
      </c>
      <c r="J2345" s="103">
        <f t="shared" si="1"/>
        <v>0</v>
      </c>
      <c r="K2345" s="104" t="str">
        <f>IF(H2345&lt;0,"ERROR",IF(H2345=0,"",IF(H2345&lt;CONFIG!$B$4,"CRÍTICO",IF(H2345&lt;CONFIG!$B$5,"BAJO","OK"))))</f>
        <v/>
      </c>
    </row>
    <row r="2346" ht="15.75" hidden="1" customHeight="1">
      <c r="A2346" s="90" t="str">
        <f>IF(CLIENTES!A6="","",CLIENTES!A6)</f>
        <v/>
      </c>
      <c r="B2346" s="90" t="s">
        <v>331</v>
      </c>
      <c r="C2346" s="91" t="s">
        <v>328</v>
      </c>
      <c r="D2346" s="109" t="s">
        <v>366</v>
      </c>
      <c r="E2346" s="67" t="str">
        <f>COLORES!A9</f>
        <v>Melange</v>
      </c>
      <c r="F2346" s="67" t="str">
        <f>COLORES!B9</f>
        <v>MELANGE</v>
      </c>
      <c r="G2346" s="90" t="s">
        <v>377</v>
      </c>
      <c r="H2346" s="100">
        <f>IFERROR(SUMIFS(MOVIMIENTOS_COMPLEMENTOS!$I$4:$I$803,MOVIMIENTOS_COMPLEMENTOS!$C$4:$C$803,A2346,MOVIMIENTOS_COMPLEMENTOS!$D$4:$D$803,B2346,MOVIMIENTOS_COMPLEMENTOS!$E$4:$E$803,C2346,MOVIMIENTOS_COMPLEMENTOS!$F$4:$F$803,D2346,MOVIMIENTOS_COMPLEMENTOS!$G$4:$G$803,E2346,MOVIMIENTOS_COMPLEMENTOS!$H$4:$H$803,G2346,MOVIMIENTOS_COMPLEMENTOS!$B$4:$B$803,"INGRESO")+SUMIFS(MOVIMIENTOS_COMPLEMENTOS!$I$4:$I$803,MOVIMIENTOS_COMPLEMENTOS!$C$4:$C$803,A2346,MOVIMIENTOS_COMPLEMENTOS!$D$4:$D$803,B2346,MOVIMIENTOS_COMPLEMENTOS!$E$4:$E$803,C2346,MOVIMIENTOS_COMPLEMENTOS!$F$4:$F$803,D2346,MOVIMIENTOS_COMPLEMENTOS!$G$4:$G$803,E2346,MOVIMIENTOS_COMPLEMENTOS!$H$4:$H$803,G2346,MOVIMIENTOS_COMPLEMENTOS!$B$4:$B$803,"DE CORTE")-SUMIFS(MOVIMIENTOS_COMPLEMENTOS!$I$4:$I$803,MOVIMIENTOS_COMPLEMENTOS!$C$4:$C$803,A2346,MOVIMIENTOS_COMPLEMENTOS!$D$4:$D$803,B2346,MOVIMIENTOS_COMPLEMENTOS!$E$4:$E$803,C2346,MOVIMIENTOS_COMPLEMENTOS!$F$4:$F$803,D2346,MOVIMIENTOS_COMPLEMENTOS!$G$4:$G$803,E2346,MOVIMIENTOS_COMPLEMENTOS!$H$4:$H$803,G2346,MOVIMIENTOS_COMPLEMENTOS!$B$4:$B$803,"SALIDA"),0)</f>
        <v>0</v>
      </c>
      <c r="I2346" s="102">
        <f t="array" ref="I2346">IFERROR(INDEX(PRECIOS_COMPLEMENTOS!$C$4:$F$17,MATCH(B2346&amp;"_"&amp;C2346,PRECIOS_COMPLEMENTOS!$H$4:$H$17,0),IF(OR(G2346="S",G2346="20cm"),1,IF(OR(G2346="M",G2346="25cm"),2,IF(OR(G2346="L",G2346="30cm"),3,IF(OR(G2346="XL",G2346="35cm"),4,0))))),0)</f>
        <v>0.6</v>
      </c>
      <c r="J2346" s="103">
        <f t="shared" si="1"/>
        <v>0</v>
      </c>
      <c r="K2346" s="104" t="str">
        <f>IF(H2346&lt;0,"ERROR",IF(H2346=0,"",IF(H2346&lt;CONFIG!$B$4,"CRÍTICO",IF(H2346&lt;CONFIG!$B$5,"BAJO","OK"))))</f>
        <v/>
      </c>
    </row>
    <row r="2347" ht="15.75" hidden="1" customHeight="1">
      <c r="A2347" s="90" t="str">
        <f>IF(CLIENTES!A6="","",CLIENTES!A6)</f>
        <v/>
      </c>
      <c r="B2347" s="90" t="s">
        <v>331</v>
      </c>
      <c r="C2347" s="91" t="s">
        <v>328</v>
      </c>
      <c r="D2347" s="109" t="s">
        <v>366</v>
      </c>
      <c r="E2347" s="67" t="str">
        <f>COLORES!A9</f>
        <v>Melange</v>
      </c>
      <c r="F2347" s="67" t="str">
        <f>COLORES!B9</f>
        <v>MELANGE</v>
      </c>
      <c r="G2347" s="90" t="s">
        <v>379</v>
      </c>
      <c r="H2347" s="100">
        <f>IFERROR(SUMIFS(MOVIMIENTOS_COMPLEMENTOS!$I$4:$I$803,MOVIMIENTOS_COMPLEMENTOS!$C$4:$C$803,A2347,MOVIMIENTOS_COMPLEMENTOS!$D$4:$D$803,B2347,MOVIMIENTOS_COMPLEMENTOS!$E$4:$E$803,C2347,MOVIMIENTOS_COMPLEMENTOS!$F$4:$F$803,D2347,MOVIMIENTOS_COMPLEMENTOS!$G$4:$G$803,E2347,MOVIMIENTOS_COMPLEMENTOS!$H$4:$H$803,G2347,MOVIMIENTOS_COMPLEMENTOS!$B$4:$B$803,"INGRESO")+SUMIFS(MOVIMIENTOS_COMPLEMENTOS!$I$4:$I$803,MOVIMIENTOS_COMPLEMENTOS!$C$4:$C$803,A2347,MOVIMIENTOS_COMPLEMENTOS!$D$4:$D$803,B2347,MOVIMIENTOS_COMPLEMENTOS!$E$4:$E$803,C2347,MOVIMIENTOS_COMPLEMENTOS!$F$4:$F$803,D2347,MOVIMIENTOS_COMPLEMENTOS!$G$4:$G$803,E2347,MOVIMIENTOS_COMPLEMENTOS!$H$4:$H$803,G2347,MOVIMIENTOS_COMPLEMENTOS!$B$4:$B$803,"DE CORTE")-SUMIFS(MOVIMIENTOS_COMPLEMENTOS!$I$4:$I$803,MOVIMIENTOS_COMPLEMENTOS!$C$4:$C$803,A2347,MOVIMIENTOS_COMPLEMENTOS!$D$4:$D$803,B2347,MOVIMIENTOS_COMPLEMENTOS!$E$4:$E$803,C2347,MOVIMIENTOS_COMPLEMENTOS!$F$4:$F$803,D2347,MOVIMIENTOS_COMPLEMENTOS!$G$4:$G$803,E2347,MOVIMIENTOS_COMPLEMENTOS!$H$4:$H$803,G2347,MOVIMIENTOS_COMPLEMENTOS!$B$4:$B$803,"SALIDA"),0)</f>
        <v>0</v>
      </c>
      <c r="I2347" s="102">
        <f t="array" ref="I2347">IFERROR(INDEX(PRECIOS_COMPLEMENTOS!$C$4:$F$17,MATCH(B2347&amp;"_"&amp;C2347,PRECIOS_COMPLEMENTOS!$H$4:$H$17,0),IF(OR(G2347="S",G2347="20cm"),1,IF(OR(G2347="M",G2347="25cm"),2,IF(OR(G2347="L",G2347="30cm"),3,IF(OR(G2347="XL",G2347="35cm"),4,0))))),0)</f>
        <v>0.6</v>
      </c>
      <c r="J2347" s="103">
        <f t="shared" si="1"/>
        <v>0</v>
      </c>
      <c r="K2347" s="104" t="str">
        <f>IF(H2347&lt;0,"ERROR",IF(H2347=0,"",IF(H2347&lt;CONFIG!$B$4,"CRÍTICO",IF(H2347&lt;CONFIG!$B$5,"BAJO","OK"))))</f>
        <v/>
      </c>
    </row>
    <row r="2348" ht="15.75" hidden="1" customHeight="1">
      <c r="A2348" s="90" t="str">
        <f>IF(CLIENTES!A6="","",CLIENTES!A6)</f>
        <v/>
      </c>
      <c r="B2348" s="90" t="s">
        <v>331</v>
      </c>
      <c r="C2348" s="91" t="s">
        <v>328</v>
      </c>
      <c r="D2348" s="109" t="s">
        <v>366</v>
      </c>
      <c r="E2348" s="67" t="str">
        <f>COLORES!A10</f>
        <v>Botella</v>
      </c>
      <c r="F2348" s="67" t="str">
        <f>COLORES!B10</f>
        <v>OSCURO</v>
      </c>
      <c r="G2348" s="90" t="s">
        <v>378</v>
      </c>
      <c r="H2348" s="100">
        <f>IFERROR(SUMIFS(MOVIMIENTOS_COMPLEMENTOS!$I$4:$I$803,MOVIMIENTOS_COMPLEMENTOS!$C$4:$C$803,A2348,MOVIMIENTOS_COMPLEMENTOS!$D$4:$D$803,B2348,MOVIMIENTOS_COMPLEMENTOS!$E$4:$E$803,C2348,MOVIMIENTOS_COMPLEMENTOS!$F$4:$F$803,D2348,MOVIMIENTOS_COMPLEMENTOS!$G$4:$G$803,E2348,MOVIMIENTOS_COMPLEMENTOS!$H$4:$H$803,G2348,MOVIMIENTOS_COMPLEMENTOS!$B$4:$B$803,"INGRESO")+SUMIFS(MOVIMIENTOS_COMPLEMENTOS!$I$4:$I$803,MOVIMIENTOS_COMPLEMENTOS!$C$4:$C$803,A2348,MOVIMIENTOS_COMPLEMENTOS!$D$4:$D$803,B2348,MOVIMIENTOS_COMPLEMENTOS!$E$4:$E$803,C2348,MOVIMIENTOS_COMPLEMENTOS!$F$4:$F$803,D2348,MOVIMIENTOS_COMPLEMENTOS!$G$4:$G$803,E2348,MOVIMIENTOS_COMPLEMENTOS!$H$4:$H$803,G2348,MOVIMIENTOS_COMPLEMENTOS!$B$4:$B$803,"DE CORTE")-SUMIFS(MOVIMIENTOS_COMPLEMENTOS!$I$4:$I$803,MOVIMIENTOS_COMPLEMENTOS!$C$4:$C$803,A2348,MOVIMIENTOS_COMPLEMENTOS!$D$4:$D$803,B2348,MOVIMIENTOS_COMPLEMENTOS!$E$4:$E$803,C2348,MOVIMIENTOS_COMPLEMENTOS!$F$4:$F$803,D2348,MOVIMIENTOS_COMPLEMENTOS!$G$4:$G$803,E2348,MOVIMIENTOS_COMPLEMENTOS!$H$4:$H$803,G2348,MOVIMIENTOS_COMPLEMENTOS!$B$4:$B$803,"SALIDA"),0)</f>
        <v>0</v>
      </c>
      <c r="I2348" s="102">
        <f t="array" ref="I2348">IFERROR(INDEX(PRECIOS_COMPLEMENTOS!$C$4:$F$17,MATCH(B2348&amp;"_"&amp;C2348,PRECIOS_COMPLEMENTOS!$H$4:$H$17,0),IF(OR(G2348="S",G2348="20cm"),1,IF(OR(G2348="M",G2348="25cm"),2,IF(OR(G2348="L",G2348="30cm"),3,IF(OR(G2348="XL",G2348="35cm"),4,0))))),0)</f>
        <v>0.6</v>
      </c>
      <c r="J2348" s="103">
        <f t="shared" si="1"/>
        <v>0</v>
      </c>
      <c r="K2348" s="104" t="str">
        <f>IF(H2348&lt;0,"ERROR",IF(H2348=0,"",IF(H2348&lt;CONFIG!$B$4,"CRÍTICO",IF(H2348&lt;CONFIG!$B$5,"BAJO","OK"))))</f>
        <v/>
      </c>
    </row>
    <row r="2349" ht="15.75" hidden="1" customHeight="1">
      <c r="A2349" s="90" t="str">
        <f>IF(CLIENTES!A6="","",CLIENTES!A6)</f>
        <v/>
      </c>
      <c r="B2349" s="90" t="s">
        <v>331</v>
      </c>
      <c r="C2349" s="91" t="s">
        <v>328</v>
      </c>
      <c r="D2349" s="109" t="s">
        <v>366</v>
      </c>
      <c r="E2349" s="67" t="str">
        <f>COLORES!A10</f>
        <v>Botella</v>
      </c>
      <c r="F2349" s="67" t="str">
        <f>COLORES!B10</f>
        <v>OSCURO</v>
      </c>
      <c r="G2349" s="90" t="s">
        <v>376</v>
      </c>
      <c r="H2349" s="100">
        <f>IFERROR(SUMIFS(MOVIMIENTOS_COMPLEMENTOS!$I$4:$I$803,MOVIMIENTOS_COMPLEMENTOS!$C$4:$C$803,A2349,MOVIMIENTOS_COMPLEMENTOS!$D$4:$D$803,B2349,MOVIMIENTOS_COMPLEMENTOS!$E$4:$E$803,C2349,MOVIMIENTOS_COMPLEMENTOS!$F$4:$F$803,D2349,MOVIMIENTOS_COMPLEMENTOS!$G$4:$G$803,E2349,MOVIMIENTOS_COMPLEMENTOS!$H$4:$H$803,G2349,MOVIMIENTOS_COMPLEMENTOS!$B$4:$B$803,"INGRESO")+SUMIFS(MOVIMIENTOS_COMPLEMENTOS!$I$4:$I$803,MOVIMIENTOS_COMPLEMENTOS!$C$4:$C$803,A2349,MOVIMIENTOS_COMPLEMENTOS!$D$4:$D$803,B2349,MOVIMIENTOS_COMPLEMENTOS!$E$4:$E$803,C2349,MOVIMIENTOS_COMPLEMENTOS!$F$4:$F$803,D2349,MOVIMIENTOS_COMPLEMENTOS!$G$4:$G$803,E2349,MOVIMIENTOS_COMPLEMENTOS!$H$4:$H$803,G2349,MOVIMIENTOS_COMPLEMENTOS!$B$4:$B$803,"DE CORTE")-SUMIFS(MOVIMIENTOS_COMPLEMENTOS!$I$4:$I$803,MOVIMIENTOS_COMPLEMENTOS!$C$4:$C$803,A2349,MOVIMIENTOS_COMPLEMENTOS!$D$4:$D$803,B2349,MOVIMIENTOS_COMPLEMENTOS!$E$4:$E$803,C2349,MOVIMIENTOS_COMPLEMENTOS!$F$4:$F$803,D2349,MOVIMIENTOS_COMPLEMENTOS!$G$4:$G$803,E2349,MOVIMIENTOS_COMPLEMENTOS!$H$4:$H$803,G2349,MOVIMIENTOS_COMPLEMENTOS!$B$4:$B$803,"SALIDA"),0)</f>
        <v>0</v>
      </c>
      <c r="I2349" s="102">
        <f t="array" ref="I2349">IFERROR(INDEX(PRECIOS_COMPLEMENTOS!$C$4:$F$17,MATCH(B2349&amp;"_"&amp;C2349,PRECIOS_COMPLEMENTOS!$H$4:$H$17,0),IF(OR(G2349="S",G2349="20cm"),1,IF(OR(G2349="M",G2349="25cm"),2,IF(OR(G2349="L",G2349="30cm"),3,IF(OR(G2349="XL",G2349="35cm"),4,0))))),0)</f>
        <v>0.6</v>
      </c>
      <c r="J2349" s="103">
        <f t="shared" si="1"/>
        <v>0</v>
      </c>
      <c r="K2349" s="104" t="str">
        <f>IF(H2349&lt;0,"ERROR",IF(H2349=0,"",IF(H2349&lt;CONFIG!$B$4,"CRÍTICO",IF(H2349&lt;CONFIG!$B$5,"BAJO","OK"))))</f>
        <v/>
      </c>
    </row>
    <row r="2350" ht="15.75" hidden="1" customHeight="1">
      <c r="A2350" s="90" t="str">
        <f>IF(CLIENTES!A6="","",CLIENTES!A6)</f>
        <v/>
      </c>
      <c r="B2350" s="90" t="s">
        <v>331</v>
      </c>
      <c r="C2350" s="91" t="s">
        <v>328</v>
      </c>
      <c r="D2350" s="109" t="s">
        <v>366</v>
      </c>
      <c r="E2350" s="67" t="str">
        <f>COLORES!A10</f>
        <v>Botella</v>
      </c>
      <c r="F2350" s="67" t="str">
        <f>COLORES!B10</f>
        <v>OSCURO</v>
      </c>
      <c r="G2350" s="90" t="s">
        <v>377</v>
      </c>
      <c r="H2350" s="100">
        <f>IFERROR(SUMIFS(MOVIMIENTOS_COMPLEMENTOS!$I$4:$I$803,MOVIMIENTOS_COMPLEMENTOS!$C$4:$C$803,A2350,MOVIMIENTOS_COMPLEMENTOS!$D$4:$D$803,B2350,MOVIMIENTOS_COMPLEMENTOS!$E$4:$E$803,C2350,MOVIMIENTOS_COMPLEMENTOS!$F$4:$F$803,D2350,MOVIMIENTOS_COMPLEMENTOS!$G$4:$G$803,E2350,MOVIMIENTOS_COMPLEMENTOS!$H$4:$H$803,G2350,MOVIMIENTOS_COMPLEMENTOS!$B$4:$B$803,"INGRESO")+SUMIFS(MOVIMIENTOS_COMPLEMENTOS!$I$4:$I$803,MOVIMIENTOS_COMPLEMENTOS!$C$4:$C$803,A2350,MOVIMIENTOS_COMPLEMENTOS!$D$4:$D$803,B2350,MOVIMIENTOS_COMPLEMENTOS!$E$4:$E$803,C2350,MOVIMIENTOS_COMPLEMENTOS!$F$4:$F$803,D2350,MOVIMIENTOS_COMPLEMENTOS!$G$4:$G$803,E2350,MOVIMIENTOS_COMPLEMENTOS!$H$4:$H$803,G2350,MOVIMIENTOS_COMPLEMENTOS!$B$4:$B$803,"DE CORTE")-SUMIFS(MOVIMIENTOS_COMPLEMENTOS!$I$4:$I$803,MOVIMIENTOS_COMPLEMENTOS!$C$4:$C$803,A2350,MOVIMIENTOS_COMPLEMENTOS!$D$4:$D$803,B2350,MOVIMIENTOS_COMPLEMENTOS!$E$4:$E$803,C2350,MOVIMIENTOS_COMPLEMENTOS!$F$4:$F$803,D2350,MOVIMIENTOS_COMPLEMENTOS!$G$4:$G$803,E2350,MOVIMIENTOS_COMPLEMENTOS!$H$4:$H$803,G2350,MOVIMIENTOS_COMPLEMENTOS!$B$4:$B$803,"SALIDA"),0)</f>
        <v>0</v>
      </c>
      <c r="I2350" s="102">
        <f t="array" ref="I2350">IFERROR(INDEX(PRECIOS_COMPLEMENTOS!$C$4:$F$17,MATCH(B2350&amp;"_"&amp;C2350,PRECIOS_COMPLEMENTOS!$H$4:$H$17,0),IF(OR(G2350="S",G2350="20cm"),1,IF(OR(G2350="M",G2350="25cm"),2,IF(OR(G2350="L",G2350="30cm"),3,IF(OR(G2350="XL",G2350="35cm"),4,0))))),0)</f>
        <v>0.6</v>
      </c>
      <c r="J2350" s="103">
        <f t="shared" si="1"/>
        <v>0</v>
      </c>
      <c r="K2350" s="104" t="str">
        <f>IF(H2350&lt;0,"ERROR",IF(H2350=0,"",IF(H2350&lt;CONFIG!$B$4,"CRÍTICO",IF(H2350&lt;CONFIG!$B$5,"BAJO","OK"))))</f>
        <v/>
      </c>
    </row>
    <row r="2351" ht="15.75" hidden="1" customHeight="1">
      <c r="A2351" s="90" t="str">
        <f>IF(CLIENTES!A6="","",CLIENTES!A6)</f>
        <v/>
      </c>
      <c r="B2351" s="90" t="s">
        <v>331</v>
      </c>
      <c r="C2351" s="91" t="s">
        <v>328</v>
      </c>
      <c r="D2351" s="109" t="s">
        <v>366</v>
      </c>
      <c r="E2351" s="67" t="str">
        <f>COLORES!A10</f>
        <v>Botella</v>
      </c>
      <c r="F2351" s="67" t="str">
        <f>COLORES!B10</f>
        <v>OSCURO</v>
      </c>
      <c r="G2351" s="90" t="s">
        <v>379</v>
      </c>
      <c r="H2351" s="100">
        <f>IFERROR(SUMIFS(MOVIMIENTOS_COMPLEMENTOS!$I$4:$I$803,MOVIMIENTOS_COMPLEMENTOS!$C$4:$C$803,A2351,MOVIMIENTOS_COMPLEMENTOS!$D$4:$D$803,B2351,MOVIMIENTOS_COMPLEMENTOS!$E$4:$E$803,C2351,MOVIMIENTOS_COMPLEMENTOS!$F$4:$F$803,D2351,MOVIMIENTOS_COMPLEMENTOS!$G$4:$G$803,E2351,MOVIMIENTOS_COMPLEMENTOS!$H$4:$H$803,G2351,MOVIMIENTOS_COMPLEMENTOS!$B$4:$B$803,"INGRESO")+SUMIFS(MOVIMIENTOS_COMPLEMENTOS!$I$4:$I$803,MOVIMIENTOS_COMPLEMENTOS!$C$4:$C$803,A2351,MOVIMIENTOS_COMPLEMENTOS!$D$4:$D$803,B2351,MOVIMIENTOS_COMPLEMENTOS!$E$4:$E$803,C2351,MOVIMIENTOS_COMPLEMENTOS!$F$4:$F$803,D2351,MOVIMIENTOS_COMPLEMENTOS!$G$4:$G$803,E2351,MOVIMIENTOS_COMPLEMENTOS!$H$4:$H$803,G2351,MOVIMIENTOS_COMPLEMENTOS!$B$4:$B$803,"DE CORTE")-SUMIFS(MOVIMIENTOS_COMPLEMENTOS!$I$4:$I$803,MOVIMIENTOS_COMPLEMENTOS!$C$4:$C$803,A2351,MOVIMIENTOS_COMPLEMENTOS!$D$4:$D$803,B2351,MOVIMIENTOS_COMPLEMENTOS!$E$4:$E$803,C2351,MOVIMIENTOS_COMPLEMENTOS!$F$4:$F$803,D2351,MOVIMIENTOS_COMPLEMENTOS!$G$4:$G$803,E2351,MOVIMIENTOS_COMPLEMENTOS!$H$4:$H$803,G2351,MOVIMIENTOS_COMPLEMENTOS!$B$4:$B$803,"SALIDA"),0)</f>
        <v>0</v>
      </c>
      <c r="I2351" s="102">
        <f t="array" ref="I2351">IFERROR(INDEX(PRECIOS_COMPLEMENTOS!$C$4:$F$17,MATCH(B2351&amp;"_"&amp;C2351,PRECIOS_COMPLEMENTOS!$H$4:$H$17,0),IF(OR(G2351="S",G2351="20cm"),1,IF(OR(G2351="M",G2351="25cm"),2,IF(OR(G2351="L",G2351="30cm"),3,IF(OR(G2351="XL",G2351="35cm"),4,0))))),0)</f>
        <v>0.6</v>
      </c>
      <c r="J2351" s="103">
        <f t="shared" si="1"/>
        <v>0</v>
      </c>
      <c r="K2351" s="104" t="str">
        <f>IF(H2351&lt;0,"ERROR",IF(H2351=0,"",IF(H2351&lt;CONFIG!$B$4,"CRÍTICO",IF(H2351&lt;CONFIG!$B$5,"BAJO","OK"))))</f>
        <v/>
      </c>
    </row>
    <row r="2352" ht="15.75" hidden="1" customHeight="1">
      <c r="A2352" s="90" t="str">
        <f>IF(CLIENTES!A6="","",CLIENTES!A6)</f>
        <v/>
      </c>
      <c r="B2352" s="90" t="s">
        <v>331</v>
      </c>
      <c r="C2352" s="91" t="s">
        <v>328</v>
      </c>
      <c r="D2352" s="109" t="s">
        <v>366</v>
      </c>
      <c r="E2352" s="67" t="str">
        <f>COLORES!A11</f>
        <v>Pacay</v>
      </c>
      <c r="F2352" s="67" t="str">
        <f>COLORES!B11</f>
        <v>CLARO</v>
      </c>
      <c r="G2352" s="90" t="s">
        <v>378</v>
      </c>
      <c r="H2352" s="100">
        <f>IFERROR(SUMIFS(MOVIMIENTOS_COMPLEMENTOS!$I$4:$I$803,MOVIMIENTOS_COMPLEMENTOS!$C$4:$C$803,A2352,MOVIMIENTOS_COMPLEMENTOS!$D$4:$D$803,B2352,MOVIMIENTOS_COMPLEMENTOS!$E$4:$E$803,C2352,MOVIMIENTOS_COMPLEMENTOS!$F$4:$F$803,D2352,MOVIMIENTOS_COMPLEMENTOS!$G$4:$G$803,E2352,MOVIMIENTOS_COMPLEMENTOS!$H$4:$H$803,G2352,MOVIMIENTOS_COMPLEMENTOS!$B$4:$B$803,"INGRESO")+SUMIFS(MOVIMIENTOS_COMPLEMENTOS!$I$4:$I$803,MOVIMIENTOS_COMPLEMENTOS!$C$4:$C$803,A2352,MOVIMIENTOS_COMPLEMENTOS!$D$4:$D$803,B2352,MOVIMIENTOS_COMPLEMENTOS!$E$4:$E$803,C2352,MOVIMIENTOS_COMPLEMENTOS!$F$4:$F$803,D2352,MOVIMIENTOS_COMPLEMENTOS!$G$4:$G$803,E2352,MOVIMIENTOS_COMPLEMENTOS!$H$4:$H$803,G2352,MOVIMIENTOS_COMPLEMENTOS!$B$4:$B$803,"DE CORTE")-SUMIFS(MOVIMIENTOS_COMPLEMENTOS!$I$4:$I$803,MOVIMIENTOS_COMPLEMENTOS!$C$4:$C$803,A2352,MOVIMIENTOS_COMPLEMENTOS!$D$4:$D$803,B2352,MOVIMIENTOS_COMPLEMENTOS!$E$4:$E$803,C2352,MOVIMIENTOS_COMPLEMENTOS!$F$4:$F$803,D2352,MOVIMIENTOS_COMPLEMENTOS!$G$4:$G$803,E2352,MOVIMIENTOS_COMPLEMENTOS!$H$4:$H$803,G2352,MOVIMIENTOS_COMPLEMENTOS!$B$4:$B$803,"SALIDA"),0)</f>
        <v>0</v>
      </c>
      <c r="I2352" s="102">
        <f t="array" ref="I2352">IFERROR(INDEX(PRECIOS_COMPLEMENTOS!$C$4:$F$17,MATCH(B2352&amp;"_"&amp;C2352,PRECIOS_COMPLEMENTOS!$H$4:$H$17,0),IF(OR(G2352="S",G2352="20cm"),1,IF(OR(G2352="M",G2352="25cm"),2,IF(OR(G2352="L",G2352="30cm"),3,IF(OR(G2352="XL",G2352="35cm"),4,0))))),0)</f>
        <v>0.6</v>
      </c>
      <c r="J2352" s="103">
        <f t="shared" si="1"/>
        <v>0</v>
      </c>
      <c r="K2352" s="104" t="str">
        <f>IF(H2352&lt;0,"ERROR",IF(H2352=0,"",IF(H2352&lt;CONFIG!$B$4,"CRÍTICO",IF(H2352&lt;CONFIG!$B$5,"BAJO","OK"))))</f>
        <v/>
      </c>
    </row>
    <row r="2353" ht="15.75" hidden="1" customHeight="1">
      <c r="A2353" s="90" t="str">
        <f>IF(CLIENTES!A6="","",CLIENTES!A6)</f>
        <v/>
      </c>
      <c r="B2353" s="90" t="s">
        <v>331</v>
      </c>
      <c r="C2353" s="91" t="s">
        <v>328</v>
      </c>
      <c r="D2353" s="109" t="s">
        <v>366</v>
      </c>
      <c r="E2353" s="67" t="str">
        <f>COLORES!A11</f>
        <v>Pacay</v>
      </c>
      <c r="F2353" s="67" t="str">
        <f>COLORES!B11</f>
        <v>CLARO</v>
      </c>
      <c r="G2353" s="90" t="s">
        <v>376</v>
      </c>
      <c r="H2353" s="100">
        <f>IFERROR(SUMIFS(MOVIMIENTOS_COMPLEMENTOS!$I$4:$I$803,MOVIMIENTOS_COMPLEMENTOS!$C$4:$C$803,A2353,MOVIMIENTOS_COMPLEMENTOS!$D$4:$D$803,B2353,MOVIMIENTOS_COMPLEMENTOS!$E$4:$E$803,C2353,MOVIMIENTOS_COMPLEMENTOS!$F$4:$F$803,D2353,MOVIMIENTOS_COMPLEMENTOS!$G$4:$G$803,E2353,MOVIMIENTOS_COMPLEMENTOS!$H$4:$H$803,G2353,MOVIMIENTOS_COMPLEMENTOS!$B$4:$B$803,"INGRESO")+SUMIFS(MOVIMIENTOS_COMPLEMENTOS!$I$4:$I$803,MOVIMIENTOS_COMPLEMENTOS!$C$4:$C$803,A2353,MOVIMIENTOS_COMPLEMENTOS!$D$4:$D$803,B2353,MOVIMIENTOS_COMPLEMENTOS!$E$4:$E$803,C2353,MOVIMIENTOS_COMPLEMENTOS!$F$4:$F$803,D2353,MOVIMIENTOS_COMPLEMENTOS!$G$4:$G$803,E2353,MOVIMIENTOS_COMPLEMENTOS!$H$4:$H$803,G2353,MOVIMIENTOS_COMPLEMENTOS!$B$4:$B$803,"DE CORTE")-SUMIFS(MOVIMIENTOS_COMPLEMENTOS!$I$4:$I$803,MOVIMIENTOS_COMPLEMENTOS!$C$4:$C$803,A2353,MOVIMIENTOS_COMPLEMENTOS!$D$4:$D$803,B2353,MOVIMIENTOS_COMPLEMENTOS!$E$4:$E$803,C2353,MOVIMIENTOS_COMPLEMENTOS!$F$4:$F$803,D2353,MOVIMIENTOS_COMPLEMENTOS!$G$4:$G$803,E2353,MOVIMIENTOS_COMPLEMENTOS!$H$4:$H$803,G2353,MOVIMIENTOS_COMPLEMENTOS!$B$4:$B$803,"SALIDA"),0)</f>
        <v>0</v>
      </c>
      <c r="I2353" s="102">
        <f t="array" ref="I2353">IFERROR(INDEX(PRECIOS_COMPLEMENTOS!$C$4:$F$17,MATCH(B2353&amp;"_"&amp;C2353,PRECIOS_COMPLEMENTOS!$H$4:$H$17,0),IF(OR(G2353="S",G2353="20cm"),1,IF(OR(G2353="M",G2353="25cm"),2,IF(OR(G2353="L",G2353="30cm"),3,IF(OR(G2353="XL",G2353="35cm"),4,0))))),0)</f>
        <v>0.6</v>
      </c>
      <c r="J2353" s="103">
        <f t="shared" si="1"/>
        <v>0</v>
      </c>
      <c r="K2353" s="104" t="str">
        <f>IF(H2353&lt;0,"ERROR",IF(H2353=0,"",IF(H2353&lt;CONFIG!$B$4,"CRÍTICO",IF(H2353&lt;CONFIG!$B$5,"BAJO","OK"))))</f>
        <v/>
      </c>
    </row>
    <row r="2354" ht="15.75" hidden="1" customHeight="1">
      <c r="A2354" s="90" t="str">
        <f>IF(CLIENTES!A6="","",CLIENTES!A6)</f>
        <v/>
      </c>
      <c r="B2354" s="90" t="s">
        <v>331</v>
      </c>
      <c r="C2354" s="91" t="s">
        <v>328</v>
      </c>
      <c r="D2354" s="109" t="s">
        <v>366</v>
      </c>
      <c r="E2354" s="67" t="str">
        <f>COLORES!A11</f>
        <v>Pacay</v>
      </c>
      <c r="F2354" s="67" t="str">
        <f>COLORES!B11</f>
        <v>CLARO</v>
      </c>
      <c r="G2354" s="90" t="s">
        <v>377</v>
      </c>
      <c r="H2354" s="100">
        <f>IFERROR(SUMIFS(MOVIMIENTOS_COMPLEMENTOS!$I$4:$I$803,MOVIMIENTOS_COMPLEMENTOS!$C$4:$C$803,A2354,MOVIMIENTOS_COMPLEMENTOS!$D$4:$D$803,B2354,MOVIMIENTOS_COMPLEMENTOS!$E$4:$E$803,C2354,MOVIMIENTOS_COMPLEMENTOS!$F$4:$F$803,D2354,MOVIMIENTOS_COMPLEMENTOS!$G$4:$G$803,E2354,MOVIMIENTOS_COMPLEMENTOS!$H$4:$H$803,G2354,MOVIMIENTOS_COMPLEMENTOS!$B$4:$B$803,"INGRESO")+SUMIFS(MOVIMIENTOS_COMPLEMENTOS!$I$4:$I$803,MOVIMIENTOS_COMPLEMENTOS!$C$4:$C$803,A2354,MOVIMIENTOS_COMPLEMENTOS!$D$4:$D$803,B2354,MOVIMIENTOS_COMPLEMENTOS!$E$4:$E$803,C2354,MOVIMIENTOS_COMPLEMENTOS!$F$4:$F$803,D2354,MOVIMIENTOS_COMPLEMENTOS!$G$4:$G$803,E2354,MOVIMIENTOS_COMPLEMENTOS!$H$4:$H$803,G2354,MOVIMIENTOS_COMPLEMENTOS!$B$4:$B$803,"DE CORTE")-SUMIFS(MOVIMIENTOS_COMPLEMENTOS!$I$4:$I$803,MOVIMIENTOS_COMPLEMENTOS!$C$4:$C$803,A2354,MOVIMIENTOS_COMPLEMENTOS!$D$4:$D$803,B2354,MOVIMIENTOS_COMPLEMENTOS!$E$4:$E$803,C2354,MOVIMIENTOS_COMPLEMENTOS!$F$4:$F$803,D2354,MOVIMIENTOS_COMPLEMENTOS!$G$4:$G$803,E2354,MOVIMIENTOS_COMPLEMENTOS!$H$4:$H$803,G2354,MOVIMIENTOS_COMPLEMENTOS!$B$4:$B$803,"SALIDA"),0)</f>
        <v>0</v>
      </c>
      <c r="I2354" s="102">
        <f t="array" ref="I2354">IFERROR(INDEX(PRECIOS_COMPLEMENTOS!$C$4:$F$17,MATCH(B2354&amp;"_"&amp;C2354,PRECIOS_COMPLEMENTOS!$H$4:$H$17,0),IF(OR(G2354="S",G2354="20cm"),1,IF(OR(G2354="M",G2354="25cm"),2,IF(OR(G2354="L",G2354="30cm"),3,IF(OR(G2354="XL",G2354="35cm"),4,0))))),0)</f>
        <v>0.6</v>
      </c>
      <c r="J2354" s="103">
        <f t="shared" si="1"/>
        <v>0</v>
      </c>
      <c r="K2354" s="104" t="str">
        <f>IF(H2354&lt;0,"ERROR",IF(H2354=0,"",IF(H2354&lt;CONFIG!$B$4,"CRÍTICO",IF(H2354&lt;CONFIG!$B$5,"BAJO","OK"))))</f>
        <v/>
      </c>
    </row>
    <row r="2355" ht="15.75" hidden="1" customHeight="1">
      <c r="A2355" s="90" t="str">
        <f>IF(CLIENTES!A6="","",CLIENTES!A6)</f>
        <v/>
      </c>
      <c r="B2355" s="90" t="s">
        <v>331</v>
      </c>
      <c r="C2355" s="91" t="s">
        <v>328</v>
      </c>
      <c r="D2355" s="109" t="s">
        <v>366</v>
      </c>
      <c r="E2355" s="67" t="str">
        <f>COLORES!A11</f>
        <v>Pacay</v>
      </c>
      <c r="F2355" s="67" t="str">
        <f>COLORES!B11</f>
        <v>CLARO</v>
      </c>
      <c r="G2355" s="90" t="s">
        <v>379</v>
      </c>
      <c r="H2355" s="100">
        <f>IFERROR(SUMIFS(MOVIMIENTOS_COMPLEMENTOS!$I$4:$I$803,MOVIMIENTOS_COMPLEMENTOS!$C$4:$C$803,A2355,MOVIMIENTOS_COMPLEMENTOS!$D$4:$D$803,B2355,MOVIMIENTOS_COMPLEMENTOS!$E$4:$E$803,C2355,MOVIMIENTOS_COMPLEMENTOS!$F$4:$F$803,D2355,MOVIMIENTOS_COMPLEMENTOS!$G$4:$G$803,E2355,MOVIMIENTOS_COMPLEMENTOS!$H$4:$H$803,G2355,MOVIMIENTOS_COMPLEMENTOS!$B$4:$B$803,"INGRESO")+SUMIFS(MOVIMIENTOS_COMPLEMENTOS!$I$4:$I$803,MOVIMIENTOS_COMPLEMENTOS!$C$4:$C$803,A2355,MOVIMIENTOS_COMPLEMENTOS!$D$4:$D$803,B2355,MOVIMIENTOS_COMPLEMENTOS!$E$4:$E$803,C2355,MOVIMIENTOS_COMPLEMENTOS!$F$4:$F$803,D2355,MOVIMIENTOS_COMPLEMENTOS!$G$4:$G$803,E2355,MOVIMIENTOS_COMPLEMENTOS!$H$4:$H$803,G2355,MOVIMIENTOS_COMPLEMENTOS!$B$4:$B$803,"DE CORTE")-SUMIFS(MOVIMIENTOS_COMPLEMENTOS!$I$4:$I$803,MOVIMIENTOS_COMPLEMENTOS!$C$4:$C$803,A2355,MOVIMIENTOS_COMPLEMENTOS!$D$4:$D$803,B2355,MOVIMIENTOS_COMPLEMENTOS!$E$4:$E$803,C2355,MOVIMIENTOS_COMPLEMENTOS!$F$4:$F$803,D2355,MOVIMIENTOS_COMPLEMENTOS!$G$4:$G$803,E2355,MOVIMIENTOS_COMPLEMENTOS!$H$4:$H$803,G2355,MOVIMIENTOS_COMPLEMENTOS!$B$4:$B$803,"SALIDA"),0)</f>
        <v>0</v>
      </c>
      <c r="I2355" s="102">
        <f t="array" ref="I2355">IFERROR(INDEX(PRECIOS_COMPLEMENTOS!$C$4:$F$17,MATCH(B2355&amp;"_"&amp;C2355,PRECIOS_COMPLEMENTOS!$H$4:$H$17,0),IF(OR(G2355="S",G2355="20cm"),1,IF(OR(G2355="M",G2355="25cm"),2,IF(OR(G2355="L",G2355="30cm"),3,IF(OR(G2355="XL",G2355="35cm"),4,0))))),0)</f>
        <v>0.6</v>
      </c>
      <c r="J2355" s="103">
        <f t="shared" si="1"/>
        <v>0</v>
      </c>
      <c r="K2355" s="104" t="str">
        <f>IF(H2355&lt;0,"ERROR",IF(H2355=0,"",IF(H2355&lt;CONFIG!$B$4,"CRÍTICO",IF(H2355&lt;CONFIG!$B$5,"BAJO","OK"))))</f>
        <v/>
      </c>
    </row>
    <row r="2356" ht="15.75" hidden="1" customHeight="1">
      <c r="A2356" s="90" t="str">
        <f>IF(CLIENTES!A6="","",CLIENTES!A6)</f>
        <v/>
      </c>
      <c r="B2356" s="90" t="s">
        <v>331</v>
      </c>
      <c r="C2356" s="91" t="s">
        <v>328</v>
      </c>
      <c r="D2356" s="109" t="s">
        <v>366</v>
      </c>
      <c r="E2356" s="67" t="str">
        <f>COLORES!A12</f>
        <v>Cemento</v>
      </c>
      <c r="F2356" s="67" t="str">
        <f>COLORES!B12</f>
        <v>CLARO</v>
      </c>
      <c r="G2356" s="90" t="s">
        <v>378</v>
      </c>
      <c r="H2356" s="100">
        <f>IFERROR(SUMIFS(MOVIMIENTOS_COMPLEMENTOS!$I$4:$I$803,MOVIMIENTOS_COMPLEMENTOS!$C$4:$C$803,A2356,MOVIMIENTOS_COMPLEMENTOS!$D$4:$D$803,B2356,MOVIMIENTOS_COMPLEMENTOS!$E$4:$E$803,C2356,MOVIMIENTOS_COMPLEMENTOS!$F$4:$F$803,D2356,MOVIMIENTOS_COMPLEMENTOS!$G$4:$G$803,E2356,MOVIMIENTOS_COMPLEMENTOS!$H$4:$H$803,G2356,MOVIMIENTOS_COMPLEMENTOS!$B$4:$B$803,"INGRESO")+SUMIFS(MOVIMIENTOS_COMPLEMENTOS!$I$4:$I$803,MOVIMIENTOS_COMPLEMENTOS!$C$4:$C$803,A2356,MOVIMIENTOS_COMPLEMENTOS!$D$4:$D$803,B2356,MOVIMIENTOS_COMPLEMENTOS!$E$4:$E$803,C2356,MOVIMIENTOS_COMPLEMENTOS!$F$4:$F$803,D2356,MOVIMIENTOS_COMPLEMENTOS!$G$4:$G$803,E2356,MOVIMIENTOS_COMPLEMENTOS!$H$4:$H$803,G2356,MOVIMIENTOS_COMPLEMENTOS!$B$4:$B$803,"DE CORTE")-SUMIFS(MOVIMIENTOS_COMPLEMENTOS!$I$4:$I$803,MOVIMIENTOS_COMPLEMENTOS!$C$4:$C$803,A2356,MOVIMIENTOS_COMPLEMENTOS!$D$4:$D$803,B2356,MOVIMIENTOS_COMPLEMENTOS!$E$4:$E$803,C2356,MOVIMIENTOS_COMPLEMENTOS!$F$4:$F$803,D2356,MOVIMIENTOS_COMPLEMENTOS!$G$4:$G$803,E2356,MOVIMIENTOS_COMPLEMENTOS!$H$4:$H$803,G2356,MOVIMIENTOS_COMPLEMENTOS!$B$4:$B$803,"SALIDA"),0)</f>
        <v>0</v>
      </c>
      <c r="I2356" s="102">
        <f t="array" ref="I2356">IFERROR(INDEX(PRECIOS_COMPLEMENTOS!$C$4:$F$17,MATCH(B2356&amp;"_"&amp;C2356,PRECIOS_COMPLEMENTOS!$H$4:$H$17,0),IF(OR(G2356="S",G2356="20cm"),1,IF(OR(G2356="M",G2356="25cm"),2,IF(OR(G2356="L",G2356="30cm"),3,IF(OR(G2356="XL",G2356="35cm"),4,0))))),0)</f>
        <v>0.6</v>
      </c>
      <c r="J2356" s="103">
        <f t="shared" si="1"/>
        <v>0</v>
      </c>
      <c r="K2356" s="104" t="str">
        <f>IF(H2356&lt;0,"ERROR",IF(H2356=0,"",IF(H2356&lt;CONFIG!$B$4,"CRÍTICO",IF(H2356&lt;CONFIG!$B$5,"BAJO","OK"))))</f>
        <v/>
      </c>
    </row>
    <row r="2357" ht="15.75" hidden="1" customHeight="1">
      <c r="A2357" s="90" t="str">
        <f>IF(CLIENTES!A6="","",CLIENTES!A6)</f>
        <v/>
      </c>
      <c r="B2357" s="90" t="s">
        <v>331</v>
      </c>
      <c r="C2357" s="91" t="s">
        <v>328</v>
      </c>
      <c r="D2357" s="109" t="s">
        <v>366</v>
      </c>
      <c r="E2357" s="67" t="str">
        <f>COLORES!A12</f>
        <v>Cemento</v>
      </c>
      <c r="F2357" s="67" t="str">
        <f>COLORES!B12</f>
        <v>CLARO</v>
      </c>
      <c r="G2357" s="90" t="s">
        <v>376</v>
      </c>
      <c r="H2357" s="100">
        <f>IFERROR(SUMIFS(MOVIMIENTOS_COMPLEMENTOS!$I$4:$I$803,MOVIMIENTOS_COMPLEMENTOS!$C$4:$C$803,A2357,MOVIMIENTOS_COMPLEMENTOS!$D$4:$D$803,B2357,MOVIMIENTOS_COMPLEMENTOS!$E$4:$E$803,C2357,MOVIMIENTOS_COMPLEMENTOS!$F$4:$F$803,D2357,MOVIMIENTOS_COMPLEMENTOS!$G$4:$G$803,E2357,MOVIMIENTOS_COMPLEMENTOS!$H$4:$H$803,G2357,MOVIMIENTOS_COMPLEMENTOS!$B$4:$B$803,"INGRESO")+SUMIFS(MOVIMIENTOS_COMPLEMENTOS!$I$4:$I$803,MOVIMIENTOS_COMPLEMENTOS!$C$4:$C$803,A2357,MOVIMIENTOS_COMPLEMENTOS!$D$4:$D$803,B2357,MOVIMIENTOS_COMPLEMENTOS!$E$4:$E$803,C2357,MOVIMIENTOS_COMPLEMENTOS!$F$4:$F$803,D2357,MOVIMIENTOS_COMPLEMENTOS!$G$4:$G$803,E2357,MOVIMIENTOS_COMPLEMENTOS!$H$4:$H$803,G2357,MOVIMIENTOS_COMPLEMENTOS!$B$4:$B$803,"DE CORTE")-SUMIFS(MOVIMIENTOS_COMPLEMENTOS!$I$4:$I$803,MOVIMIENTOS_COMPLEMENTOS!$C$4:$C$803,A2357,MOVIMIENTOS_COMPLEMENTOS!$D$4:$D$803,B2357,MOVIMIENTOS_COMPLEMENTOS!$E$4:$E$803,C2357,MOVIMIENTOS_COMPLEMENTOS!$F$4:$F$803,D2357,MOVIMIENTOS_COMPLEMENTOS!$G$4:$G$803,E2357,MOVIMIENTOS_COMPLEMENTOS!$H$4:$H$803,G2357,MOVIMIENTOS_COMPLEMENTOS!$B$4:$B$803,"SALIDA"),0)</f>
        <v>0</v>
      </c>
      <c r="I2357" s="102">
        <f t="array" ref="I2357">IFERROR(INDEX(PRECIOS_COMPLEMENTOS!$C$4:$F$17,MATCH(B2357&amp;"_"&amp;C2357,PRECIOS_COMPLEMENTOS!$H$4:$H$17,0),IF(OR(G2357="S",G2357="20cm"),1,IF(OR(G2357="M",G2357="25cm"),2,IF(OR(G2357="L",G2357="30cm"),3,IF(OR(G2357="XL",G2357="35cm"),4,0))))),0)</f>
        <v>0.6</v>
      </c>
      <c r="J2357" s="103">
        <f t="shared" si="1"/>
        <v>0</v>
      </c>
      <c r="K2357" s="104" t="str">
        <f>IF(H2357&lt;0,"ERROR",IF(H2357=0,"",IF(H2357&lt;CONFIG!$B$4,"CRÍTICO",IF(H2357&lt;CONFIG!$B$5,"BAJO","OK"))))</f>
        <v/>
      </c>
    </row>
    <row r="2358" ht="15.75" hidden="1" customHeight="1">
      <c r="A2358" s="90" t="str">
        <f>IF(CLIENTES!A6="","",CLIENTES!A6)</f>
        <v/>
      </c>
      <c r="B2358" s="90" t="s">
        <v>331</v>
      </c>
      <c r="C2358" s="91" t="s">
        <v>328</v>
      </c>
      <c r="D2358" s="109" t="s">
        <v>366</v>
      </c>
      <c r="E2358" s="67" t="str">
        <f>COLORES!A12</f>
        <v>Cemento</v>
      </c>
      <c r="F2358" s="67" t="str">
        <f>COLORES!B12</f>
        <v>CLARO</v>
      </c>
      <c r="G2358" s="90" t="s">
        <v>377</v>
      </c>
      <c r="H2358" s="100">
        <f>IFERROR(SUMIFS(MOVIMIENTOS_COMPLEMENTOS!$I$4:$I$803,MOVIMIENTOS_COMPLEMENTOS!$C$4:$C$803,A2358,MOVIMIENTOS_COMPLEMENTOS!$D$4:$D$803,B2358,MOVIMIENTOS_COMPLEMENTOS!$E$4:$E$803,C2358,MOVIMIENTOS_COMPLEMENTOS!$F$4:$F$803,D2358,MOVIMIENTOS_COMPLEMENTOS!$G$4:$G$803,E2358,MOVIMIENTOS_COMPLEMENTOS!$H$4:$H$803,G2358,MOVIMIENTOS_COMPLEMENTOS!$B$4:$B$803,"INGRESO")+SUMIFS(MOVIMIENTOS_COMPLEMENTOS!$I$4:$I$803,MOVIMIENTOS_COMPLEMENTOS!$C$4:$C$803,A2358,MOVIMIENTOS_COMPLEMENTOS!$D$4:$D$803,B2358,MOVIMIENTOS_COMPLEMENTOS!$E$4:$E$803,C2358,MOVIMIENTOS_COMPLEMENTOS!$F$4:$F$803,D2358,MOVIMIENTOS_COMPLEMENTOS!$G$4:$G$803,E2358,MOVIMIENTOS_COMPLEMENTOS!$H$4:$H$803,G2358,MOVIMIENTOS_COMPLEMENTOS!$B$4:$B$803,"DE CORTE")-SUMIFS(MOVIMIENTOS_COMPLEMENTOS!$I$4:$I$803,MOVIMIENTOS_COMPLEMENTOS!$C$4:$C$803,A2358,MOVIMIENTOS_COMPLEMENTOS!$D$4:$D$803,B2358,MOVIMIENTOS_COMPLEMENTOS!$E$4:$E$803,C2358,MOVIMIENTOS_COMPLEMENTOS!$F$4:$F$803,D2358,MOVIMIENTOS_COMPLEMENTOS!$G$4:$G$803,E2358,MOVIMIENTOS_COMPLEMENTOS!$H$4:$H$803,G2358,MOVIMIENTOS_COMPLEMENTOS!$B$4:$B$803,"SALIDA"),0)</f>
        <v>0</v>
      </c>
      <c r="I2358" s="102">
        <f t="array" ref="I2358">IFERROR(INDEX(PRECIOS_COMPLEMENTOS!$C$4:$F$17,MATCH(B2358&amp;"_"&amp;C2358,PRECIOS_COMPLEMENTOS!$H$4:$H$17,0),IF(OR(G2358="S",G2358="20cm"),1,IF(OR(G2358="M",G2358="25cm"),2,IF(OR(G2358="L",G2358="30cm"),3,IF(OR(G2358="XL",G2358="35cm"),4,0))))),0)</f>
        <v>0.6</v>
      </c>
      <c r="J2358" s="103">
        <f t="shared" si="1"/>
        <v>0</v>
      </c>
      <c r="K2358" s="104" t="str">
        <f>IF(H2358&lt;0,"ERROR",IF(H2358=0,"",IF(H2358&lt;CONFIG!$B$4,"CRÍTICO",IF(H2358&lt;CONFIG!$B$5,"BAJO","OK"))))</f>
        <v/>
      </c>
    </row>
    <row r="2359" ht="15.75" hidden="1" customHeight="1">
      <c r="A2359" s="90" t="str">
        <f>IF(CLIENTES!A6="","",CLIENTES!A6)</f>
        <v/>
      </c>
      <c r="B2359" s="90" t="s">
        <v>331</v>
      </c>
      <c r="C2359" s="91" t="s">
        <v>328</v>
      </c>
      <c r="D2359" s="109" t="s">
        <v>366</v>
      </c>
      <c r="E2359" s="67" t="str">
        <f>COLORES!A12</f>
        <v>Cemento</v>
      </c>
      <c r="F2359" s="67" t="str">
        <f>COLORES!B12</f>
        <v>CLARO</v>
      </c>
      <c r="G2359" s="90" t="s">
        <v>379</v>
      </c>
      <c r="H2359" s="100">
        <f>IFERROR(SUMIFS(MOVIMIENTOS_COMPLEMENTOS!$I$4:$I$803,MOVIMIENTOS_COMPLEMENTOS!$C$4:$C$803,A2359,MOVIMIENTOS_COMPLEMENTOS!$D$4:$D$803,B2359,MOVIMIENTOS_COMPLEMENTOS!$E$4:$E$803,C2359,MOVIMIENTOS_COMPLEMENTOS!$F$4:$F$803,D2359,MOVIMIENTOS_COMPLEMENTOS!$G$4:$G$803,E2359,MOVIMIENTOS_COMPLEMENTOS!$H$4:$H$803,G2359,MOVIMIENTOS_COMPLEMENTOS!$B$4:$B$803,"INGRESO")+SUMIFS(MOVIMIENTOS_COMPLEMENTOS!$I$4:$I$803,MOVIMIENTOS_COMPLEMENTOS!$C$4:$C$803,A2359,MOVIMIENTOS_COMPLEMENTOS!$D$4:$D$803,B2359,MOVIMIENTOS_COMPLEMENTOS!$E$4:$E$803,C2359,MOVIMIENTOS_COMPLEMENTOS!$F$4:$F$803,D2359,MOVIMIENTOS_COMPLEMENTOS!$G$4:$G$803,E2359,MOVIMIENTOS_COMPLEMENTOS!$H$4:$H$803,G2359,MOVIMIENTOS_COMPLEMENTOS!$B$4:$B$803,"DE CORTE")-SUMIFS(MOVIMIENTOS_COMPLEMENTOS!$I$4:$I$803,MOVIMIENTOS_COMPLEMENTOS!$C$4:$C$803,A2359,MOVIMIENTOS_COMPLEMENTOS!$D$4:$D$803,B2359,MOVIMIENTOS_COMPLEMENTOS!$E$4:$E$803,C2359,MOVIMIENTOS_COMPLEMENTOS!$F$4:$F$803,D2359,MOVIMIENTOS_COMPLEMENTOS!$G$4:$G$803,E2359,MOVIMIENTOS_COMPLEMENTOS!$H$4:$H$803,G2359,MOVIMIENTOS_COMPLEMENTOS!$B$4:$B$803,"SALIDA"),0)</f>
        <v>0</v>
      </c>
      <c r="I2359" s="102">
        <f t="array" ref="I2359">IFERROR(INDEX(PRECIOS_COMPLEMENTOS!$C$4:$F$17,MATCH(B2359&amp;"_"&amp;C2359,PRECIOS_COMPLEMENTOS!$H$4:$H$17,0),IF(OR(G2359="S",G2359="20cm"),1,IF(OR(G2359="M",G2359="25cm"),2,IF(OR(G2359="L",G2359="30cm"),3,IF(OR(G2359="XL",G2359="35cm"),4,0))))),0)</f>
        <v>0.6</v>
      </c>
      <c r="J2359" s="103">
        <f t="shared" si="1"/>
        <v>0</v>
      </c>
      <c r="K2359" s="104" t="str">
        <f>IF(H2359&lt;0,"ERROR",IF(H2359=0,"",IF(H2359&lt;CONFIG!$B$4,"CRÍTICO",IF(H2359&lt;CONFIG!$B$5,"BAJO","OK"))))</f>
        <v/>
      </c>
    </row>
    <row r="2360" ht="15.75" hidden="1" customHeight="1">
      <c r="A2360" s="90" t="str">
        <f>IF(CLIENTES!A6="","",CLIENTES!A6)</f>
        <v/>
      </c>
      <c r="B2360" s="90" t="s">
        <v>331</v>
      </c>
      <c r="C2360" s="91" t="s">
        <v>328</v>
      </c>
      <c r="D2360" s="109" t="s">
        <v>366</v>
      </c>
      <c r="E2360" s="67" t="str">
        <f>COLORES!A13</f>
        <v>Camote</v>
      </c>
      <c r="F2360" s="67" t="str">
        <f>COLORES!B13</f>
        <v>CLARO</v>
      </c>
      <c r="G2360" s="90" t="s">
        <v>378</v>
      </c>
      <c r="H2360" s="100">
        <f>IFERROR(SUMIFS(MOVIMIENTOS_COMPLEMENTOS!$I$4:$I$803,MOVIMIENTOS_COMPLEMENTOS!$C$4:$C$803,A2360,MOVIMIENTOS_COMPLEMENTOS!$D$4:$D$803,B2360,MOVIMIENTOS_COMPLEMENTOS!$E$4:$E$803,C2360,MOVIMIENTOS_COMPLEMENTOS!$F$4:$F$803,D2360,MOVIMIENTOS_COMPLEMENTOS!$G$4:$G$803,E2360,MOVIMIENTOS_COMPLEMENTOS!$H$4:$H$803,G2360,MOVIMIENTOS_COMPLEMENTOS!$B$4:$B$803,"INGRESO")+SUMIFS(MOVIMIENTOS_COMPLEMENTOS!$I$4:$I$803,MOVIMIENTOS_COMPLEMENTOS!$C$4:$C$803,A2360,MOVIMIENTOS_COMPLEMENTOS!$D$4:$D$803,B2360,MOVIMIENTOS_COMPLEMENTOS!$E$4:$E$803,C2360,MOVIMIENTOS_COMPLEMENTOS!$F$4:$F$803,D2360,MOVIMIENTOS_COMPLEMENTOS!$G$4:$G$803,E2360,MOVIMIENTOS_COMPLEMENTOS!$H$4:$H$803,G2360,MOVIMIENTOS_COMPLEMENTOS!$B$4:$B$803,"DE CORTE")-SUMIFS(MOVIMIENTOS_COMPLEMENTOS!$I$4:$I$803,MOVIMIENTOS_COMPLEMENTOS!$C$4:$C$803,A2360,MOVIMIENTOS_COMPLEMENTOS!$D$4:$D$803,B2360,MOVIMIENTOS_COMPLEMENTOS!$E$4:$E$803,C2360,MOVIMIENTOS_COMPLEMENTOS!$F$4:$F$803,D2360,MOVIMIENTOS_COMPLEMENTOS!$G$4:$G$803,E2360,MOVIMIENTOS_COMPLEMENTOS!$H$4:$H$803,G2360,MOVIMIENTOS_COMPLEMENTOS!$B$4:$B$803,"SALIDA"),0)</f>
        <v>0</v>
      </c>
      <c r="I2360" s="102">
        <f t="array" ref="I2360">IFERROR(INDEX(PRECIOS_COMPLEMENTOS!$C$4:$F$17,MATCH(B2360&amp;"_"&amp;C2360,PRECIOS_COMPLEMENTOS!$H$4:$H$17,0),IF(OR(G2360="S",G2360="20cm"),1,IF(OR(G2360="M",G2360="25cm"),2,IF(OR(G2360="L",G2360="30cm"),3,IF(OR(G2360="XL",G2360="35cm"),4,0))))),0)</f>
        <v>0.6</v>
      </c>
      <c r="J2360" s="103">
        <f t="shared" si="1"/>
        <v>0</v>
      </c>
      <c r="K2360" s="104" t="str">
        <f>IF(H2360&lt;0,"ERROR",IF(H2360=0,"",IF(H2360&lt;CONFIG!$B$4,"CRÍTICO",IF(H2360&lt;CONFIG!$B$5,"BAJO","OK"))))</f>
        <v/>
      </c>
    </row>
    <row r="2361" ht="15.75" hidden="1" customHeight="1">
      <c r="A2361" s="90" t="str">
        <f>IF(CLIENTES!A6="","",CLIENTES!A6)</f>
        <v/>
      </c>
      <c r="B2361" s="90" t="s">
        <v>331</v>
      </c>
      <c r="C2361" s="91" t="s">
        <v>328</v>
      </c>
      <c r="D2361" s="109" t="s">
        <v>366</v>
      </c>
      <c r="E2361" s="67" t="str">
        <f>COLORES!A13</f>
        <v>Camote</v>
      </c>
      <c r="F2361" s="67" t="str">
        <f>COLORES!B13</f>
        <v>CLARO</v>
      </c>
      <c r="G2361" s="90" t="s">
        <v>376</v>
      </c>
      <c r="H2361" s="100">
        <f>IFERROR(SUMIFS(MOVIMIENTOS_COMPLEMENTOS!$I$4:$I$803,MOVIMIENTOS_COMPLEMENTOS!$C$4:$C$803,A2361,MOVIMIENTOS_COMPLEMENTOS!$D$4:$D$803,B2361,MOVIMIENTOS_COMPLEMENTOS!$E$4:$E$803,C2361,MOVIMIENTOS_COMPLEMENTOS!$F$4:$F$803,D2361,MOVIMIENTOS_COMPLEMENTOS!$G$4:$G$803,E2361,MOVIMIENTOS_COMPLEMENTOS!$H$4:$H$803,G2361,MOVIMIENTOS_COMPLEMENTOS!$B$4:$B$803,"INGRESO")+SUMIFS(MOVIMIENTOS_COMPLEMENTOS!$I$4:$I$803,MOVIMIENTOS_COMPLEMENTOS!$C$4:$C$803,A2361,MOVIMIENTOS_COMPLEMENTOS!$D$4:$D$803,B2361,MOVIMIENTOS_COMPLEMENTOS!$E$4:$E$803,C2361,MOVIMIENTOS_COMPLEMENTOS!$F$4:$F$803,D2361,MOVIMIENTOS_COMPLEMENTOS!$G$4:$G$803,E2361,MOVIMIENTOS_COMPLEMENTOS!$H$4:$H$803,G2361,MOVIMIENTOS_COMPLEMENTOS!$B$4:$B$803,"DE CORTE")-SUMIFS(MOVIMIENTOS_COMPLEMENTOS!$I$4:$I$803,MOVIMIENTOS_COMPLEMENTOS!$C$4:$C$803,A2361,MOVIMIENTOS_COMPLEMENTOS!$D$4:$D$803,B2361,MOVIMIENTOS_COMPLEMENTOS!$E$4:$E$803,C2361,MOVIMIENTOS_COMPLEMENTOS!$F$4:$F$803,D2361,MOVIMIENTOS_COMPLEMENTOS!$G$4:$G$803,E2361,MOVIMIENTOS_COMPLEMENTOS!$H$4:$H$803,G2361,MOVIMIENTOS_COMPLEMENTOS!$B$4:$B$803,"SALIDA"),0)</f>
        <v>0</v>
      </c>
      <c r="I2361" s="102">
        <f t="array" ref="I2361">IFERROR(INDEX(PRECIOS_COMPLEMENTOS!$C$4:$F$17,MATCH(B2361&amp;"_"&amp;C2361,PRECIOS_COMPLEMENTOS!$H$4:$H$17,0),IF(OR(G2361="S",G2361="20cm"),1,IF(OR(G2361="M",G2361="25cm"),2,IF(OR(G2361="L",G2361="30cm"),3,IF(OR(G2361="XL",G2361="35cm"),4,0))))),0)</f>
        <v>0.6</v>
      </c>
      <c r="J2361" s="103">
        <f t="shared" si="1"/>
        <v>0</v>
      </c>
      <c r="K2361" s="104" t="str">
        <f>IF(H2361&lt;0,"ERROR",IF(H2361=0,"",IF(H2361&lt;CONFIG!$B$4,"CRÍTICO",IF(H2361&lt;CONFIG!$B$5,"BAJO","OK"))))</f>
        <v/>
      </c>
    </row>
    <row r="2362" ht="15.75" hidden="1" customHeight="1">
      <c r="A2362" s="90" t="str">
        <f>IF(CLIENTES!A6="","",CLIENTES!A6)</f>
        <v/>
      </c>
      <c r="B2362" s="90" t="s">
        <v>331</v>
      </c>
      <c r="C2362" s="91" t="s">
        <v>328</v>
      </c>
      <c r="D2362" s="109" t="s">
        <v>366</v>
      </c>
      <c r="E2362" s="67" t="str">
        <f>COLORES!A13</f>
        <v>Camote</v>
      </c>
      <c r="F2362" s="67" t="str">
        <f>COLORES!B13</f>
        <v>CLARO</v>
      </c>
      <c r="G2362" s="90" t="s">
        <v>377</v>
      </c>
      <c r="H2362" s="100">
        <f>IFERROR(SUMIFS(MOVIMIENTOS_COMPLEMENTOS!$I$4:$I$803,MOVIMIENTOS_COMPLEMENTOS!$C$4:$C$803,A2362,MOVIMIENTOS_COMPLEMENTOS!$D$4:$D$803,B2362,MOVIMIENTOS_COMPLEMENTOS!$E$4:$E$803,C2362,MOVIMIENTOS_COMPLEMENTOS!$F$4:$F$803,D2362,MOVIMIENTOS_COMPLEMENTOS!$G$4:$G$803,E2362,MOVIMIENTOS_COMPLEMENTOS!$H$4:$H$803,G2362,MOVIMIENTOS_COMPLEMENTOS!$B$4:$B$803,"INGRESO")+SUMIFS(MOVIMIENTOS_COMPLEMENTOS!$I$4:$I$803,MOVIMIENTOS_COMPLEMENTOS!$C$4:$C$803,A2362,MOVIMIENTOS_COMPLEMENTOS!$D$4:$D$803,B2362,MOVIMIENTOS_COMPLEMENTOS!$E$4:$E$803,C2362,MOVIMIENTOS_COMPLEMENTOS!$F$4:$F$803,D2362,MOVIMIENTOS_COMPLEMENTOS!$G$4:$G$803,E2362,MOVIMIENTOS_COMPLEMENTOS!$H$4:$H$803,G2362,MOVIMIENTOS_COMPLEMENTOS!$B$4:$B$803,"DE CORTE")-SUMIFS(MOVIMIENTOS_COMPLEMENTOS!$I$4:$I$803,MOVIMIENTOS_COMPLEMENTOS!$C$4:$C$803,A2362,MOVIMIENTOS_COMPLEMENTOS!$D$4:$D$803,B2362,MOVIMIENTOS_COMPLEMENTOS!$E$4:$E$803,C2362,MOVIMIENTOS_COMPLEMENTOS!$F$4:$F$803,D2362,MOVIMIENTOS_COMPLEMENTOS!$G$4:$G$803,E2362,MOVIMIENTOS_COMPLEMENTOS!$H$4:$H$803,G2362,MOVIMIENTOS_COMPLEMENTOS!$B$4:$B$803,"SALIDA"),0)</f>
        <v>0</v>
      </c>
      <c r="I2362" s="102">
        <f t="array" ref="I2362">IFERROR(INDEX(PRECIOS_COMPLEMENTOS!$C$4:$F$17,MATCH(B2362&amp;"_"&amp;C2362,PRECIOS_COMPLEMENTOS!$H$4:$H$17,0),IF(OR(G2362="S",G2362="20cm"),1,IF(OR(G2362="M",G2362="25cm"),2,IF(OR(G2362="L",G2362="30cm"),3,IF(OR(G2362="XL",G2362="35cm"),4,0))))),0)</f>
        <v>0.6</v>
      </c>
      <c r="J2362" s="103">
        <f t="shared" si="1"/>
        <v>0</v>
      </c>
      <c r="K2362" s="104" t="str">
        <f>IF(H2362&lt;0,"ERROR",IF(H2362=0,"",IF(H2362&lt;CONFIG!$B$4,"CRÍTICO",IF(H2362&lt;CONFIG!$B$5,"BAJO","OK"))))</f>
        <v/>
      </c>
    </row>
    <row r="2363" ht="15.75" hidden="1" customHeight="1">
      <c r="A2363" s="90" t="str">
        <f>IF(CLIENTES!A6="","",CLIENTES!A6)</f>
        <v/>
      </c>
      <c r="B2363" s="90" t="s">
        <v>331</v>
      </c>
      <c r="C2363" s="91" t="s">
        <v>328</v>
      </c>
      <c r="D2363" s="109" t="s">
        <v>366</v>
      </c>
      <c r="E2363" s="67" t="str">
        <f>COLORES!A13</f>
        <v>Camote</v>
      </c>
      <c r="F2363" s="67" t="str">
        <f>COLORES!B13</f>
        <v>CLARO</v>
      </c>
      <c r="G2363" s="90" t="s">
        <v>379</v>
      </c>
      <c r="H2363" s="100">
        <f>IFERROR(SUMIFS(MOVIMIENTOS_COMPLEMENTOS!$I$4:$I$803,MOVIMIENTOS_COMPLEMENTOS!$C$4:$C$803,A2363,MOVIMIENTOS_COMPLEMENTOS!$D$4:$D$803,B2363,MOVIMIENTOS_COMPLEMENTOS!$E$4:$E$803,C2363,MOVIMIENTOS_COMPLEMENTOS!$F$4:$F$803,D2363,MOVIMIENTOS_COMPLEMENTOS!$G$4:$G$803,E2363,MOVIMIENTOS_COMPLEMENTOS!$H$4:$H$803,G2363,MOVIMIENTOS_COMPLEMENTOS!$B$4:$B$803,"INGRESO")+SUMIFS(MOVIMIENTOS_COMPLEMENTOS!$I$4:$I$803,MOVIMIENTOS_COMPLEMENTOS!$C$4:$C$803,A2363,MOVIMIENTOS_COMPLEMENTOS!$D$4:$D$803,B2363,MOVIMIENTOS_COMPLEMENTOS!$E$4:$E$803,C2363,MOVIMIENTOS_COMPLEMENTOS!$F$4:$F$803,D2363,MOVIMIENTOS_COMPLEMENTOS!$G$4:$G$803,E2363,MOVIMIENTOS_COMPLEMENTOS!$H$4:$H$803,G2363,MOVIMIENTOS_COMPLEMENTOS!$B$4:$B$803,"DE CORTE")-SUMIFS(MOVIMIENTOS_COMPLEMENTOS!$I$4:$I$803,MOVIMIENTOS_COMPLEMENTOS!$C$4:$C$803,A2363,MOVIMIENTOS_COMPLEMENTOS!$D$4:$D$803,B2363,MOVIMIENTOS_COMPLEMENTOS!$E$4:$E$803,C2363,MOVIMIENTOS_COMPLEMENTOS!$F$4:$F$803,D2363,MOVIMIENTOS_COMPLEMENTOS!$G$4:$G$803,E2363,MOVIMIENTOS_COMPLEMENTOS!$H$4:$H$803,G2363,MOVIMIENTOS_COMPLEMENTOS!$B$4:$B$803,"SALIDA"),0)</f>
        <v>0</v>
      </c>
      <c r="I2363" s="102">
        <f t="array" ref="I2363">IFERROR(INDEX(PRECIOS_COMPLEMENTOS!$C$4:$F$17,MATCH(B2363&amp;"_"&amp;C2363,PRECIOS_COMPLEMENTOS!$H$4:$H$17,0),IF(OR(G2363="S",G2363="20cm"),1,IF(OR(G2363="M",G2363="25cm"),2,IF(OR(G2363="L",G2363="30cm"),3,IF(OR(G2363="XL",G2363="35cm"),4,0))))),0)</f>
        <v>0.6</v>
      </c>
      <c r="J2363" s="103">
        <f t="shared" si="1"/>
        <v>0</v>
      </c>
      <c r="K2363" s="104" t="str">
        <f>IF(H2363&lt;0,"ERROR",IF(H2363=0,"",IF(H2363&lt;CONFIG!$B$4,"CRÍTICO",IF(H2363&lt;CONFIG!$B$5,"BAJO","OK"))))</f>
        <v/>
      </c>
    </row>
    <row r="2364" ht="15.75" hidden="1" customHeight="1">
      <c r="A2364" s="90" t="str">
        <f>IF(CLIENTES!A6="","",CLIENTES!A6)</f>
        <v/>
      </c>
      <c r="B2364" s="90" t="s">
        <v>331</v>
      </c>
      <c r="C2364" s="91" t="s">
        <v>328</v>
      </c>
      <c r="D2364" s="109" t="s">
        <v>366</v>
      </c>
      <c r="E2364" s="67" t="str">
        <f>COLORES!A14</f>
        <v>Denim</v>
      </c>
      <c r="F2364" s="67" t="str">
        <f>COLORES!B14</f>
        <v>CLARO</v>
      </c>
      <c r="G2364" s="90" t="s">
        <v>378</v>
      </c>
      <c r="H2364" s="100">
        <f>IFERROR(SUMIFS(MOVIMIENTOS_COMPLEMENTOS!$I$4:$I$803,MOVIMIENTOS_COMPLEMENTOS!$C$4:$C$803,A2364,MOVIMIENTOS_COMPLEMENTOS!$D$4:$D$803,B2364,MOVIMIENTOS_COMPLEMENTOS!$E$4:$E$803,C2364,MOVIMIENTOS_COMPLEMENTOS!$F$4:$F$803,D2364,MOVIMIENTOS_COMPLEMENTOS!$G$4:$G$803,E2364,MOVIMIENTOS_COMPLEMENTOS!$H$4:$H$803,G2364,MOVIMIENTOS_COMPLEMENTOS!$B$4:$B$803,"INGRESO")+SUMIFS(MOVIMIENTOS_COMPLEMENTOS!$I$4:$I$803,MOVIMIENTOS_COMPLEMENTOS!$C$4:$C$803,A2364,MOVIMIENTOS_COMPLEMENTOS!$D$4:$D$803,B2364,MOVIMIENTOS_COMPLEMENTOS!$E$4:$E$803,C2364,MOVIMIENTOS_COMPLEMENTOS!$F$4:$F$803,D2364,MOVIMIENTOS_COMPLEMENTOS!$G$4:$G$803,E2364,MOVIMIENTOS_COMPLEMENTOS!$H$4:$H$803,G2364,MOVIMIENTOS_COMPLEMENTOS!$B$4:$B$803,"DE CORTE")-SUMIFS(MOVIMIENTOS_COMPLEMENTOS!$I$4:$I$803,MOVIMIENTOS_COMPLEMENTOS!$C$4:$C$803,A2364,MOVIMIENTOS_COMPLEMENTOS!$D$4:$D$803,B2364,MOVIMIENTOS_COMPLEMENTOS!$E$4:$E$803,C2364,MOVIMIENTOS_COMPLEMENTOS!$F$4:$F$803,D2364,MOVIMIENTOS_COMPLEMENTOS!$G$4:$G$803,E2364,MOVIMIENTOS_COMPLEMENTOS!$H$4:$H$803,G2364,MOVIMIENTOS_COMPLEMENTOS!$B$4:$B$803,"SALIDA"),0)</f>
        <v>0</v>
      </c>
      <c r="I2364" s="102">
        <f t="array" ref="I2364">IFERROR(INDEX(PRECIOS_COMPLEMENTOS!$C$4:$F$17,MATCH(B2364&amp;"_"&amp;C2364,PRECIOS_COMPLEMENTOS!$H$4:$H$17,0),IF(OR(G2364="S",G2364="20cm"),1,IF(OR(G2364="M",G2364="25cm"),2,IF(OR(G2364="L",G2364="30cm"),3,IF(OR(G2364="XL",G2364="35cm"),4,0))))),0)</f>
        <v>0.6</v>
      </c>
      <c r="J2364" s="103">
        <f t="shared" si="1"/>
        <v>0</v>
      </c>
      <c r="K2364" s="104" t="str">
        <f>IF(H2364&lt;0,"ERROR",IF(H2364=0,"",IF(H2364&lt;CONFIG!$B$4,"CRÍTICO",IF(H2364&lt;CONFIG!$B$5,"BAJO","OK"))))</f>
        <v/>
      </c>
    </row>
    <row r="2365" ht="15.75" hidden="1" customHeight="1">
      <c r="A2365" s="90" t="str">
        <f>IF(CLIENTES!A6="","",CLIENTES!A6)</f>
        <v/>
      </c>
      <c r="B2365" s="90" t="s">
        <v>331</v>
      </c>
      <c r="C2365" s="91" t="s">
        <v>328</v>
      </c>
      <c r="D2365" s="109" t="s">
        <v>366</v>
      </c>
      <c r="E2365" s="67" t="str">
        <f>COLORES!A14</f>
        <v>Denim</v>
      </c>
      <c r="F2365" s="67" t="str">
        <f>COLORES!B14</f>
        <v>CLARO</v>
      </c>
      <c r="G2365" s="90" t="s">
        <v>376</v>
      </c>
      <c r="H2365" s="100">
        <f>IFERROR(SUMIFS(MOVIMIENTOS_COMPLEMENTOS!$I$4:$I$803,MOVIMIENTOS_COMPLEMENTOS!$C$4:$C$803,A2365,MOVIMIENTOS_COMPLEMENTOS!$D$4:$D$803,B2365,MOVIMIENTOS_COMPLEMENTOS!$E$4:$E$803,C2365,MOVIMIENTOS_COMPLEMENTOS!$F$4:$F$803,D2365,MOVIMIENTOS_COMPLEMENTOS!$G$4:$G$803,E2365,MOVIMIENTOS_COMPLEMENTOS!$H$4:$H$803,G2365,MOVIMIENTOS_COMPLEMENTOS!$B$4:$B$803,"INGRESO")+SUMIFS(MOVIMIENTOS_COMPLEMENTOS!$I$4:$I$803,MOVIMIENTOS_COMPLEMENTOS!$C$4:$C$803,A2365,MOVIMIENTOS_COMPLEMENTOS!$D$4:$D$803,B2365,MOVIMIENTOS_COMPLEMENTOS!$E$4:$E$803,C2365,MOVIMIENTOS_COMPLEMENTOS!$F$4:$F$803,D2365,MOVIMIENTOS_COMPLEMENTOS!$G$4:$G$803,E2365,MOVIMIENTOS_COMPLEMENTOS!$H$4:$H$803,G2365,MOVIMIENTOS_COMPLEMENTOS!$B$4:$B$803,"DE CORTE")-SUMIFS(MOVIMIENTOS_COMPLEMENTOS!$I$4:$I$803,MOVIMIENTOS_COMPLEMENTOS!$C$4:$C$803,A2365,MOVIMIENTOS_COMPLEMENTOS!$D$4:$D$803,B2365,MOVIMIENTOS_COMPLEMENTOS!$E$4:$E$803,C2365,MOVIMIENTOS_COMPLEMENTOS!$F$4:$F$803,D2365,MOVIMIENTOS_COMPLEMENTOS!$G$4:$G$803,E2365,MOVIMIENTOS_COMPLEMENTOS!$H$4:$H$803,G2365,MOVIMIENTOS_COMPLEMENTOS!$B$4:$B$803,"SALIDA"),0)</f>
        <v>0</v>
      </c>
      <c r="I2365" s="102">
        <f t="array" ref="I2365">IFERROR(INDEX(PRECIOS_COMPLEMENTOS!$C$4:$F$17,MATCH(B2365&amp;"_"&amp;C2365,PRECIOS_COMPLEMENTOS!$H$4:$H$17,0),IF(OR(G2365="S",G2365="20cm"),1,IF(OR(G2365="M",G2365="25cm"),2,IF(OR(G2365="L",G2365="30cm"),3,IF(OR(G2365="XL",G2365="35cm"),4,0))))),0)</f>
        <v>0.6</v>
      </c>
      <c r="J2365" s="103">
        <f t="shared" si="1"/>
        <v>0</v>
      </c>
      <c r="K2365" s="104" t="str">
        <f>IF(H2365&lt;0,"ERROR",IF(H2365=0,"",IF(H2365&lt;CONFIG!$B$4,"CRÍTICO",IF(H2365&lt;CONFIG!$B$5,"BAJO","OK"))))</f>
        <v/>
      </c>
    </row>
    <row r="2366" ht="15.75" hidden="1" customHeight="1">
      <c r="A2366" s="90" t="str">
        <f>IF(CLIENTES!A6="","",CLIENTES!A6)</f>
        <v/>
      </c>
      <c r="B2366" s="90" t="s">
        <v>331</v>
      </c>
      <c r="C2366" s="91" t="s">
        <v>328</v>
      </c>
      <c r="D2366" s="109" t="s">
        <v>366</v>
      </c>
      <c r="E2366" s="67" t="str">
        <f>COLORES!A14</f>
        <v>Denim</v>
      </c>
      <c r="F2366" s="67" t="str">
        <f>COLORES!B14</f>
        <v>CLARO</v>
      </c>
      <c r="G2366" s="90" t="s">
        <v>377</v>
      </c>
      <c r="H2366" s="100">
        <f>IFERROR(SUMIFS(MOVIMIENTOS_COMPLEMENTOS!$I$4:$I$803,MOVIMIENTOS_COMPLEMENTOS!$C$4:$C$803,A2366,MOVIMIENTOS_COMPLEMENTOS!$D$4:$D$803,B2366,MOVIMIENTOS_COMPLEMENTOS!$E$4:$E$803,C2366,MOVIMIENTOS_COMPLEMENTOS!$F$4:$F$803,D2366,MOVIMIENTOS_COMPLEMENTOS!$G$4:$G$803,E2366,MOVIMIENTOS_COMPLEMENTOS!$H$4:$H$803,G2366,MOVIMIENTOS_COMPLEMENTOS!$B$4:$B$803,"INGRESO")+SUMIFS(MOVIMIENTOS_COMPLEMENTOS!$I$4:$I$803,MOVIMIENTOS_COMPLEMENTOS!$C$4:$C$803,A2366,MOVIMIENTOS_COMPLEMENTOS!$D$4:$D$803,B2366,MOVIMIENTOS_COMPLEMENTOS!$E$4:$E$803,C2366,MOVIMIENTOS_COMPLEMENTOS!$F$4:$F$803,D2366,MOVIMIENTOS_COMPLEMENTOS!$G$4:$G$803,E2366,MOVIMIENTOS_COMPLEMENTOS!$H$4:$H$803,G2366,MOVIMIENTOS_COMPLEMENTOS!$B$4:$B$803,"DE CORTE")-SUMIFS(MOVIMIENTOS_COMPLEMENTOS!$I$4:$I$803,MOVIMIENTOS_COMPLEMENTOS!$C$4:$C$803,A2366,MOVIMIENTOS_COMPLEMENTOS!$D$4:$D$803,B2366,MOVIMIENTOS_COMPLEMENTOS!$E$4:$E$803,C2366,MOVIMIENTOS_COMPLEMENTOS!$F$4:$F$803,D2366,MOVIMIENTOS_COMPLEMENTOS!$G$4:$G$803,E2366,MOVIMIENTOS_COMPLEMENTOS!$H$4:$H$803,G2366,MOVIMIENTOS_COMPLEMENTOS!$B$4:$B$803,"SALIDA"),0)</f>
        <v>0</v>
      </c>
      <c r="I2366" s="102">
        <f t="array" ref="I2366">IFERROR(INDEX(PRECIOS_COMPLEMENTOS!$C$4:$F$17,MATCH(B2366&amp;"_"&amp;C2366,PRECIOS_COMPLEMENTOS!$H$4:$H$17,0),IF(OR(G2366="S",G2366="20cm"),1,IF(OR(G2366="M",G2366="25cm"),2,IF(OR(G2366="L",G2366="30cm"),3,IF(OR(G2366="XL",G2366="35cm"),4,0))))),0)</f>
        <v>0.6</v>
      </c>
      <c r="J2366" s="103">
        <f t="shared" si="1"/>
        <v>0</v>
      </c>
      <c r="K2366" s="104" t="str">
        <f>IF(H2366&lt;0,"ERROR",IF(H2366=0,"",IF(H2366&lt;CONFIG!$B$4,"CRÍTICO",IF(H2366&lt;CONFIG!$B$5,"BAJO","OK"))))</f>
        <v/>
      </c>
    </row>
    <row r="2367" ht="15.75" hidden="1" customHeight="1">
      <c r="A2367" s="90" t="str">
        <f>IF(CLIENTES!A6="","",CLIENTES!A6)</f>
        <v/>
      </c>
      <c r="B2367" s="90" t="s">
        <v>331</v>
      </c>
      <c r="C2367" s="91" t="s">
        <v>328</v>
      </c>
      <c r="D2367" s="109" t="s">
        <v>366</v>
      </c>
      <c r="E2367" s="67" t="str">
        <f>COLORES!A14</f>
        <v>Denim</v>
      </c>
      <c r="F2367" s="67" t="str">
        <f>COLORES!B14</f>
        <v>CLARO</v>
      </c>
      <c r="G2367" s="90" t="s">
        <v>379</v>
      </c>
      <c r="H2367" s="100">
        <f>IFERROR(SUMIFS(MOVIMIENTOS_COMPLEMENTOS!$I$4:$I$803,MOVIMIENTOS_COMPLEMENTOS!$C$4:$C$803,A2367,MOVIMIENTOS_COMPLEMENTOS!$D$4:$D$803,B2367,MOVIMIENTOS_COMPLEMENTOS!$E$4:$E$803,C2367,MOVIMIENTOS_COMPLEMENTOS!$F$4:$F$803,D2367,MOVIMIENTOS_COMPLEMENTOS!$G$4:$G$803,E2367,MOVIMIENTOS_COMPLEMENTOS!$H$4:$H$803,G2367,MOVIMIENTOS_COMPLEMENTOS!$B$4:$B$803,"INGRESO")+SUMIFS(MOVIMIENTOS_COMPLEMENTOS!$I$4:$I$803,MOVIMIENTOS_COMPLEMENTOS!$C$4:$C$803,A2367,MOVIMIENTOS_COMPLEMENTOS!$D$4:$D$803,B2367,MOVIMIENTOS_COMPLEMENTOS!$E$4:$E$803,C2367,MOVIMIENTOS_COMPLEMENTOS!$F$4:$F$803,D2367,MOVIMIENTOS_COMPLEMENTOS!$G$4:$G$803,E2367,MOVIMIENTOS_COMPLEMENTOS!$H$4:$H$803,G2367,MOVIMIENTOS_COMPLEMENTOS!$B$4:$B$803,"DE CORTE")-SUMIFS(MOVIMIENTOS_COMPLEMENTOS!$I$4:$I$803,MOVIMIENTOS_COMPLEMENTOS!$C$4:$C$803,A2367,MOVIMIENTOS_COMPLEMENTOS!$D$4:$D$803,B2367,MOVIMIENTOS_COMPLEMENTOS!$E$4:$E$803,C2367,MOVIMIENTOS_COMPLEMENTOS!$F$4:$F$803,D2367,MOVIMIENTOS_COMPLEMENTOS!$G$4:$G$803,E2367,MOVIMIENTOS_COMPLEMENTOS!$H$4:$H$803,G2367,MOVIMIENTOS_COMPLEMENTOS!$B$4:$B$803,"SALIDA"),0)</f>
        <v>0</v>
      </c>
      <c r="I2367" s="102">
        <f t="array" ref="I2367">IFERROR(INDEX(PRECIOS_COMPLEMENTOS!$C$4:$F$17,MATCH(B2367&amp;"_"&amp;C2367,PRECIOS_COMPLEMENTOS!$H$4:$H$17,0),IF(OR(G2367="S",G2367="20cm"),1,IF(OR(G2367="M",G2367="25cm"),2,IF(OR(G2367="L",G2367="30cm"),3,IF(OR(G2367="XL",G2367="35cm"),4,0))))),0)</f>
        <v>0.6</v>
      </c>
      <c r="J2367" s="103">
        <f t="shared" si="1"/>
        <v>0</v>
      </c>
      <c r="K2367" s="104" t="str">
        <f>IF(H2367&lt;0,"ERROR",IF(H2367=0,"",IF(H2367&lt;CONFIG!$B$4,"CRÍTICO",IF(H2367&lt;CONFIG!$B$5,"BAJO","OK"))))</f>
        <v/>
      </c>
    </row>
    <row r="2368" ht="15.75" hidden="1" customHeight="1">
      <c r="A2368" s="90" t="str">
        <f>IF(CLIENTES!A6="","",CLIENTES!A6)</f>
        <v/>
      </c>
      <c r="B2368" s="90" t="s">
        <v>331</v>
      </c>
      <c r="C2368" s="91" t="s">
        <v>328</v>
      </c>
      <c r="D2368" s="109" t="s">
        <v>366</v>
      </c>
      <c r="E2368" s="67" t="str">
        <f>COLORES!A15</f>
        <v>Plomo</v>
      </c>
      <c r="F2368" s="67" t="str">
        <f>COLORES!B15</f>
        <v>OSCURO</v>
      </c>
      <c r="G2368" s="90" t="s">
        <v>378</v>
      </c>
      <c r="H2368" s="100">
        <f>IFERROR(SUMIFS(MOVIMIENTOS_COMPLEMENTOS!$I$4:$I$803,MOVIMIENTOS_COMPLEMENTOS!$C$4:$C$803,A2368,MOVIMIENTOS_COMPLEMENTOS!$D$4:$D$803,B2368,MOVIMIENTOS_COMPLEMENTOS!$E$4:$E$803,C2368,MOVIMIENTOS_COMPLEMENTOS!$F$4:$F$803,D2368,MOVIMIENTOS_COMPLEMENTOS!$G$4:$G$803,E2368,MOVIMIENTOS_COMPLEMENTOS!$H$4:$H$803,G2368,MOVIMIENTOS_COMPLEMENTOS!$B$4:$B$803,"INGRESO")+SUMIFS(MOVIMIENTOS_COMPLEMENTOS!$I$4:$I$803,MOVIMIENTOS_COMPLEMENTOS!$C$4:$C$803,A2368,MOVIMIENTOS_COMPLEMENTOS!$D$4:$D$803,B2368,MOVIMIENTOS_COMPLEMENTOS!$E$4:$E$803,C2368,MOVIMIENTOS_COMPLEMENTOS!$F$4:$F$803,D2368,MOVIMIENTOS_COMPLEMENTOS!$G$4:$G$803,E2368,MOVIMIENTOS_COMPLEMENTOS!$H$4:$H$803,G2368,MOVIMIENTOS_COMPLEMENTOS!$B$4:$B$803,"DE CORTE")-SUMIFS(MOVIMIENTOS_COMPLEMENTOS!$I$4:$I$803,MOVIMIENTOS_COMPLEMENTOS!$C$4:$C$803,A2368,MOVIMIENTOS_COMPLEMENTOS!$D$4:$D$803,B2368,MOVIMIENTOS_COMPLEMENTOS!$E$4:$E$803,C2368,MOVIMIENTOS_COMPLEMENTOS!$F$4:$F$803,D2368,MOVIMIENTOS_COMPLEMENTOS!$G$4:$G$803,E2368,MOVIMIENTOS_COMPLEMENTOS!$H$4:$H$803,G2368,MOVIMIENTOS_COMPLEMENTOS!$B$4:$B$803,"SALIDA"),0)</f>
        <v>0</v>
      </c>
      <c r="I2368" s="102">
        <f t="array" ref="I2368">IFERROR(INDEX(PRECIOS_COMPLEMENTOS!$C$4:$F$17,MATCH(B2368&amp;"_"&amp;C2368,PRECIOS_COMPLEMENTOS!$H$4:$H$17,0),IF(OR(G2368="S",G2368="20cm"),1,IF(OR(G2368="M",G2368="25cm"),2,IF(OR(G2368="L",G2368="30cm"),3,IF(OR(G2368="XL",G2368="35cm"),4,0))))),0)</f>
        <v>0.6</v>
      </c>
      <c r="J2368" s="103">
        <f t="shared" si="1"/>
        <v>0</v>
      </c>
      <c r="K2368" s="104" t="str">
        <f>IF(H2368&lt;0,"ERROR",IF(H2368=0,"",IF(H2368&lt;CONFIG!$B$4,"CRÍTICO",IF(H2368&lt;CONFIG!$B$5,"BAJO","OK"))))</f>
        <v/>
      </c>
    </row>
    <row r="2369" ht="15.75" hidden="1" customHeight="1">
      <c r="A2369" s="90" t="str">
        <f>IF(CLIENTES!A6="","",CLIENTES!A6)</f>
        <v/>
      </c>
      <c r="B2369" s="90" t="s">
        <v>331</v>
      </c>
      <c r="C2369" s="91" t="s">
        <v>328</v>
      </c>
      <c r="D2369" s="109" t="s">
        <v>366</v>
      </c>
      <c r="E2369" s="67" t="str">
        <f>COLORES!A15</f>
        <v>Plomo</v>
      </c>
      <c r="F2369" s="67" t="str">
        <f>COLORES!B15</f>
        <v>OSCURO</v>
      </c>
      <c r="G2369" s="90" t="s">
        <v>376</v>
      </c>
      <c r="H2369" s="100">
        <f>IFERROR(SUMIFS(MOVIMIENTOS_COMPLEMENTOS!$I$4:$I$803,MOVIMIENTOS_COMPLEMENTOS!$C$4:$C$803,A2369,MOVIMIENTOS_COMPLEMENTOS!$D$4:$D$803,B2369,MOVIMIENTOS_COMPLEMENTOS!$E$4:$E$803,C2369,MOVIMIENTOS_COMPLEMENTOS!$F$4:$F$803,D2369,MOVIMIENTOS_COMPLEMENTOS!$G$4:$G$803,E2369,MOVIMIENTOS_COMPLEMENTOS!$H$4:$H$803,G2369,MOVIMIENTOS_COMPLEMENTOS!$B$4:$B$803,"INGRESO")+SUMIFS(MOVIMIENTOS_COMPLEMENTOS!$I$4:$I$803,MOVIMIENTOS_COMPLEMENTOS!$C$4:$C$803,A2369,MOVIMIENTOS_COMPLEMENTOS!$D$4:$D$803,B2369,MOVIMIENTOS_COMPLEMENTOS!$E$4:$E$803,C2369,MOVIMIENTOS_COMPLEMENTOS!$F$4:$F$803,D2369,MOVIMIENTOS_COMPLEMENTOS!$G$4:$G$803,E2369,MOVIMIENTOS_COMPLEMENTOS!$H$4:$H$803,G2369,MOVIMIENTOS_COMPLEMENTOS!$B$4:$B$803,"DE CORTE")-SUMIFS(MOVIMIENTOS_COMPLEMENTOS!$I$4:$I$803,MOVIMIENTOS_COMPLEMENTOS!$C$4:$C$803,A2369,MOVIMIENTOS_COMPLEMENTOS!$D$4:$D$803,B2369,MOVIMIENTOS_COMPLEMENTOS!$E$4:$E$803,C2369,MOVIMIENTOS_COMPLEMENTOS!$F$4:$F$803,D2369,MOVIMIENTOS_COMPLEMENTOS!$G$4:$G$803,E2369,MOVIMIENTOS_COMPLEMENTOS!$H$4:$H$803,G2369,MOVIMIENTOS_COMPLEMENTOS!$B$4:$B$803,"SALIDA"),0)</f>
        <v>0</v>
      </c>
      <c r="I2369" s="102">
        <f t="array" ref="I2369">IFERROR(INDEX(PRECIOS_COMPLEMENTOS!$C$4:$F$17,MATCH(B2369&amp;"_"&amp;C2369,PRECIOS_COMPLEMENTOS!$H$4:$H$17,0),IF(OR(G2369="S",G2369="20cm"),1,IF(OR(G2369="M",G2369="25cm"),2,IF(OR(G2369="L",G2369="30cm"),3,IF(OR(G2369="XL",G2369="35cm"),4,0))))),0)</f>
        <v>0.6</v>
      </c>
      <c r="J2369" s="103">
        <f t="shared" si="1"/>
        <v>0</v>
      </c>
      <c r="K2369" s="104" t="str">
        <f>IF(H2369&lt;0,"ERROR",IF(H2369=0,"",IF(H2369&lt;CONFIG!$B$4,"CRÍTICO",IF(H2369&lt;CONFIG!$B$5,"BAJO","OK"))))</f>
        <v/>
      </c>
    </row>
    <row r="2370" ht="15.75" hidden="1" customHeight="1">
      <c r="A2370" s="90" t="str">
        <f>IF(CLIENTES!A6="","",CLIENTES!A6)</f>
        <v/>
      </c>
      <c r="B2370" s="90" t="s">
        <v>331</v>
      </c>
      <c r="C2370" s="91" t="s">
        <v>328</v>
      </c>
      <c r="D2370" s="109" t="s">
        <v>366</v>
      </c>
      <c r="E2370" s="67" t="str">
        <f>COLORES!A15</f>
        <v>Plomo</v>
      </c>
      <c r="F2370" s="67" t="str">
        <f>COLORES!B15</f>
        <v>OSCURO</v>
      </c>
      <c r="G2370" s="90" t="s">
        <v>377</v>
      </c>
      <c r="H2370" s="100">
        <f>IFERROR(SUMIFS(MOVIMIENTOS_COMPLEMENTOS!$I$4:$I$803,MOVIMIENTOS_COMPLEMENTOS!$C$4:$C$803,A2370,MOVIMIENTOS_COMPLEMENTOS!$D$4:$D$803,B2370,MOVIMIENTOS_COMPLEMENTOS!$E$4:$E$803,C2370,MOVIMIENTOS_COMPLEMENTOS!$F$4:$F$803,D2370,MOVIMIENTOS_COMPLEMENTOS!$G$4:$G$803,E2370,MOVIMIENTOS_COMPLEMENTOS!$H$4:$H$803,G2370,MOVIMIENTOS_COMPLEMENTOS!$B$4:$B$803,"INGRESO")+SUMIFS(MOVIMIENTOS_COMPLEMENTOS!$I$4:$I$803,MOVIMIENTOS_COMPLEMENTOS!$C$4:$C$803,A2370,MOVIMIENTOS_COMPLEMENTOS!$D$4:$D$803,B2370,MOVIMIENTOS_COMPLEMENTOS!$E$4:$E$803,C2370,MOVIMIENTOS_COMPLEMENTOS!$F$4:$F$803,D2370,MOVIMIENTOS_COMPLEMENTOS!$G$4:$G$803,E2370,MOVIMIENTOS_COMPLEMENTOS!$H$4:$H$803,G2370,MOVIMIENTOS_COMPLEMENTOS!$B$4:$B$803,"DE CORTE")-SUMIFS(MOVIMIENTOS_COMPLEMENTOS!$I$4:$I$803,MOVIMIENTOS_COMPLEMENTOS!$C$4:$C$803,A2370,MOVIMIENTOS_COMPLEMENTOS!$D$4:$D$803,B2370,MOVIMIENTOS_COMPLEMENTOS!$E$4:$E$803,C2370,MOVIMIENTOS_COMPLEMENTOS!$F$4:$F$803,D2370,MOVIMIENTOS_COMPLEMENTOS!$G$4:$G$803,E2370,MOVIMIENTOS_COMPLEMENTOS!$H$4:$H$803,G2370,MOVIMIENTOS_COMPLEMENTOS!$B$4:$B$803,"SALIDA"),0)</f>
        <v>0</v>
      </c>
      <c r="I2370" s="102">
        <f t="array" ref="I2370">IFERROR(INDEX(PRECIOS_COMPLEMENTOS!$C$4:$F$17,MATCH(B2370&amp;"_"&amp;C2370,PRECIOS_COMPLEMENTOS!$H$4:$H$17,0),IF(OR(G2370="S",G2370="20cm"),1,IF(OR(G2370="M",G2370="25cm"),2,IF(OR(G2370="L",G2370="30cm"),3,IF(OR(G2370="XL",G2370="35cm"),4,0))))),0)</f>
        <v>0.6</v>
      </c>
      <c r="J2370" s="103">
        <f t="shared" si="1"/>
        <v>0</v>
      </c>
      <c r="K2370" s="104" t="str">
        <f>IF(H2370&lt;0,"ERROR",IF(H2370=0,"",IF(H2370&lt;CONFIG!$B$4,"CRÍTICO",IF(H2370&lt;CONFIG!$B$5,"BAJO","OK"))))</f>
        <v/>
      </c>
    </row>
    <row r="2371" ht="15.75" hidden="1" customHeight="1">
      <c r="A2371" s="90" t="str">
        <f>IF(CLIENTES!A6="","",CLIENTES!A6)</f>
        <v/>
      </c>
      <c r="B2371" s="90" t="s">
        <v>331</v>
      </c>
      <c r="C2371" s="91" t="s">
        <v>328</v>
      </c>
      <c r="D2371" s="109" t="s">
        <v>366</v>
      </c>
      <c r="E2371" s="67" t="str">
        <f>COLORES!A15</f>
        <v>Plomo</v>
      </c>
      <c r="F2371" s="67" t="str">
        <f>COLORES!B15</f>
        <v>OSCURO</v>
      </c>
      <c r="G2371" s="90" t="s">
        <v>379</v>
      </c>
      <c r="H2371" s="100">
        <f>IFERROR(SUMIFS(MOVIMIENTOS_COMPLEMENTOS!$I$4:$I$803,MOVIMIENTOS_COMPLEMENTOS!$C$4:$C$803,A2371,MOVIMIENTOS_COMPLEMENTOS!$D$4:$D$803,B2371,MOVIMIENTOS_COMPLEMENTOS!$E$4:$E$803,C2371,MOVIMIENTOS_COMPLEMENTOS!$F$4:$F$803,D2371,MOVIMIENTOS_COMPLEMENTOS!$G$4:$G$803,E2371,MOVIMIENTOS_COMPLEMENTOS!$H$4:$H$803,G2371,MOVIMIENTOS_COMPLEMENTOS!$B$4:$B$803,"INGRESO")+SUMIFS(MOVIMIENTOS_COMPLEMENTOS!$I$4:$I$803,MOVIMIENTOS_COMPLEMENTOS!$C$4:$C$803,A2371,MOVIMIENTOS_COMPLEMENTOS!$D$4:$D$803,B2371,MOVIMIENTOS_COMPLEMENTOS!$E$4:$E$803,C2371,MOVIMIENTOS_COMPLEMENTOS!$F$4:$F$803,D2371,MOVIMIENTOS_COMPLEMENTOS!$G$4:$G$803,E2371,MOVIMIENTOS_COMPLEMENTOS!$H$4:$H$803,G2371,MOVIMIENTOS_COMPLEMENTOS!$B$4:$B$803,"DE CORTE")-SUMIFS(MOVIMIENTOS_COMPLEMENTOS!$I$4:$I$803,MOVIMIENTOS_COMPLEMENTOS!$C$4:$C$803,A2371,MOVIMIENTOS_COMPLEMENTOS!$D$4:$D$803,B2371,MOVIMIENTOS_COMPLEMENTOS!$E$4:$E$803,C2371,MOVIMIENTOS_COMPLEMENTOS!$F$4:$F$803,D2371,MOVIMIENTOS_COMPLEMENTOS!$G$4:$G$803,E2371,MOVIMIENTOS_COMPLEMENTOS!$H$4:$H$803,G2371,MOVIMIENTOS_COMPLEMENTOS!$B$4:$B$803,"SALIDA"),0)</f>
        <v>0</v>
      </c>
      <c r="I2371" s="102">
        <f t="array" ref="I2371">IFERROR(INDEX(PRECIOS_COMPLEMENTOS!$C$4:$F$17,MATCH(B2371&amp;"_"&amp;C2371,PRECIOS_COMPLEMENTOS!$H$4:$H$17,0),IF(OR(G2371="S",G2371="20cm"),1,IF(OR(G2371="M",G2371="25cm"),2,IF(OR(G2371="L",G2371="30cm"),3,IF(OR(G2371="XL",G2371="35cm"),4,0))))),0)</f>
        <v>0.6</v>
      </c>
      <c r="J2371" s="103">
        <f t="shared" si="1"/>
        <v>0</v>
      </c>
      <c r="K2371" s="104" t="str">
        <f>IF(H2371&lt;0,"ERROR",IF(H2371=0,"",IF(H2371&lt;CONFIG!$B$4,"CRÍTICO",IF(H2371&lt;CONFIG!$B$5,"BAJO","OK"))))</f>
        <v/>
      </c>
    </row>
    <row r="2372" ht="15.75" hidden="1" customHeight="1">
      <c r="A2372" s="90" t="str">
        <f>IF(CLIENTES!A6="","",CLIENTES!A6)</f>
        <v/>
      </c>
      <c r="B2372" s="90" t="s">
        <v>331</v>
      </c>
      <c r="C2372" s="91" t="s">
        <v>328</v>
      </c>
      <c r="D2372" s="109" t="s">
        <v>366</v>
      </c>
      <c r="E2372" s="67" t="str">
        <f>COLORES!A16</f>
        <v>Topo</v>
      </c>
      <c r="F2372" s="67" t="str">
        <f>COLORES!B16</f>
        <v>CLARO</v>
      </c>
      <c r="G2372" s="90" t="s">
        <v>378</v>
      </c>
      <c r="H2372" s="100">
        <f>IFERROR(SUMIFS(MOVIMIENTOS_COMPLEMENTOS!$I$4:$I$803,MOVIMIENTOS_COMPLEMENTOS!$C$4:$C$803,A2372,MOVIMIENTOS_COMPLEMENTOS!$D$4:$D$803,B2372,MOVIMIENTOS_COMPLEMENTOS!$E$4:$E$803,C2372,MOVIMIENTOS_COMPLEMENTOS!$F$4:$F$803,D2372,MOVIMIENTOS_COMPLEMENTOS!$G$4:$G$803,E2372,MOVIMIENTOS_COMPLEMENTOS!$H$4:$H$803,G2372,MOVIMIENTOS_COMPLEMENTOS!$B$4:$B$803,"INGRESO")+SUMIFS(MOVIMIENTOS_COMPLEMENTOS!$I$4:$I$803,MOVIMIENTOS_COMPLEMENTOS!$C$4:$C$803,A2372,MOVIMIENTOS_COMPLEMENTOS!$D$4:$D$803,B2372,MOVIMIENTOS_COMPLEMENTOS!$E$4:$E$803,C2372,MOVIMIENTOS_COMPLEMENTOS!$F$4:$F$803,D2372,MOVIMIENTOS_COMPLEMENTOS!$G$4:$G$803,E2372,MOVIMIENTOS_COMPLEMENTOS!$H$4:$H$803,G2372,MOVIMIENTOS_COMPLEMENTOS!$B$4:$B$803,"DE CORTE")-SUMIFS(MOVIMIENTOS_COMPLEMENTOS!$I$4:$I$803,MOVIMIENTOS_COMPLEMENTOS!$C$4:$C$803,A2372,MOVIMIENTOS_COMPLEMENTOS!$D$4:$D$803,B2372,MOVIMIENTOS_COMPLEMENTOS!$E$4:$E$803,C2372,MOVIMIENTOS_COMPLEMENTOS!$F$4:$F$803,D2372,MOVIMIENTOS_COMPLEMENTOS!$G$4:$G$803,E2372,MOVIMIENTOS_COMPLEMENTOS!$H$4:$H$803,G2372,MOVIMIENTOS_COMPLEMENTOS!$B$4:$B$803,"SALIDA"),0)</f>
        <v>0</v>
      </c>
      <c r="I2372" s="102">
        <f t="array" ref="I2372">IFERROR(INDEX(PRECIOS_COMPLEMENTOS!$C$4:$F$17,MATCH(B2372&amp;"_"&amp;C2372,PRECIOS_COMPLEMENTOS!$H$4:$H$17,0),IF(OR(G2372="S",G2372="20cm"),1,IF(OR(G2372="M",G2372="25cm"),2,IF(OR(G2372="L",G2372="30cm"),3,IF(OR(G2372="XL",G2372="35cm"),4,0))))),0)</f>
        <v>0.6</v>
      </c>
      <c r="J2372" s="103">
        <f t="shared" si="1"/>
        <v>0</v>
      </c>
      <c r="K2372" s="104" t="str">
        <f>IF(H2372&lt;0,"ERROR",IF(H2372=0,"",IF(H2372&lt;CONFIG!$B$4,"CRÍTICO",IF(H2372&lt;CONFIG!$B$5,"BAJO","OK"))))</f>
        <v/>
      </c>
    </row>
    <row r="2373" ht="15.75" hidden="1" customHeight="1">
      <c r="A2373" s="90" t="str">
        <f>IF(CLIENTES!A6="","",CLIENTES!A6)</f>
        <v/>
      </c>
      <c r="B2373" s="90" t="s">
        <v>331</v>
      </c>
      <c r="C2373" s="91" t="s">
        <v>328</v>
      </c>
      <c r="D2373" s="109" t="s">
        <v>366</v>
      </c>
      <c r="E2373" s="67" t="str">
        <f>COLORES!A16</f>
        <v>Topo</v>
      </c>
      <c r="F2373" s="67" t="str">
        <f>COLORES!B16</f>
        <v>CLARO</v>
      </c>
      <c r="G2373" s="90" t="s">
        <v>376</v>
      </c>
      <c r="H2373" s="100">
        <f>IFERROR(SUMIFS(MOVIMIENTOS_COMPLEMENTOS!$I$4:$I$803,MOVIMIENTOS_COMPLEMENTOS!$C$4:$C$803,A2373,MOVIMIENTOS_COMPLEMENTOS!$D$4:$D$803,B2373,MOVIMIENTOS_COMPLEMENTOS!$E$4:$E$803,C2373,MOVIMIENTOS_COMPLEMENTOS!$F$4:$F$803,D2373,MOVIMIENTOS_COMPLEMENTOS!$G$4:$G$803,E2373,MOVIMIENTOS_COMPLEMENTOS!$H$4:$H$803,G2373,MOVIMIENTOS_COMPLEMENTOS!$B$4:$B$803,"INGRESO")+SUMIFS(MOVIMIENTOS_COMPLEMENTOS!$I$4:$I$803,MOVIMIENTOS_COMPLEMENTOS!$C$4:$C$803,A2373,MOVIMIENTOS_COMPLEMENTOS!$D$4:$D$803,B2373,MOVIMIENTOS_COMPLEMENTOS!$E$4:$E$803,C2373,MOVIMIENTOS_COMPLEMENTOS!$F$4:$F$803,D2373,MOVIMIENTOS_COMPLEMENTOS!$G$4:$G$803,E2373,MOVIMIENTOS_COMPLEMENTOS!$H$4:$H$803,G2373,MOVIMIENTOS_COMPLEMENTOS!$B$4:$B$803,"DE CORTE")-SUMIFS(MOVIMIENTOS_COMPLEMENTOS!$I$4:$I$803,MOVIMIENTOS_COMPLEMENTOS!$C$4:$C$803,A2373,MOVIMIENTOS_COMPLEMENTOS!$D$4:$D$803,B2373,MOVIMIENTOS_COMPLEMENTOS!$E$4:$E$803,C2373,MOVIMIENTOS_COMPLEMENTOS!$F$4:$F$803,D2373,MOVIMIENTOS_COMPLEMENTOS!$G$4:$G$803,E2373,MOVIMIENTOS_COMPLEMENTOS!$H$4:$H$803,G2373,MOVIMIENTOS_COMPLEMENTOS!$B$4:$B$803,"SALIDA"),0)</f>
        <v>0</v>
      </c>
      <c r="I2373" s="102">
        <f t="array" ref="I2373">IFERROR(INDEX(PRECIOS_COMPLEMENTOS!$C$4:$F$17,MATCH(B2373&amp;"_"&amp;C2373,PRECIOS_COMPLEMENTOS!$H$4:$H$17,0),IF(OR(G2373="S",G2373="20cm"),1,IF(OR(G2373="M",G2373="25cm"),2,IF(OR(G2373="L",G2373="30cm"),3,IF(OR(G2373="XL",G2373="35cm"),4,0))))),0)</f>
        <v>0.6</v>
      </c>
      <c r="J2373" s="103">
        <f t="shared" si="1"/>
        <v>0</v>
      </c>
      <c r="K2373" s="104" t="str">
        <f>IF(H2373&lt;0,"ERROR",IF(H2373=0,"",IF(H2373&lt;CONFIG!$B$4,"CRÍTICO",IF(H2373&lt;CONFIG!$B$5,"BAJO","OK"))))</f>
        <v/>
      </c>
    </row>
    <row r="2374" ht="15.75" hidden="1" customHeight="1">
      <c r="A2374" s="90" t="str">
        <f>IF(CLIENTES!A6="","",CLIENTES!A6)</f>
        <v/>
      </c>
      <c r="B2374" s="90" t="s">
        <v>331</v>
      </c>
      <c r="C2374" s="91" t="s">
        <v>328</v>
      </c>
      <c r="D2374" s="109" t="s">
        <v>366</v>
      </c>
      <c r="E2374" s="67" t="str">
        <f>COLORES!A16</f>
        <v>Topo</v>
      </c>
      <c r="F2374" s="67" t="str">
        <f>COLORES!B16</f>
        <v>CLARO</v>
      </c>
      <c r="G2374" s="90" t="s">
        <v>377</v>
      </c>
      <c r="H2374" s="100">
        <f>IFERROR(SUMIFS(MOVIMIENTOS_COMPLEMENTOS!$I$4:$I$803,MOVIMIENTOS_COMPLEMENTOS!$C$4:$C$803,A2374,MOVIMIENTOS_COMPLEMENTOS!$D$4:$D$803,B2374,MOVIMIENTOS_COMPLEMENTOS!$E$4:$E$803,C2374,MOVIMIENTOS_COMPLEMENTOS!$F$4:$F$803,D2374,MOVIMIENTOS_COMPLEMENTOS!$G$4:$G$803,E2374,MOVIMIENTOS_COMPLEMENTOS!$H$4:$H$803,G2374,MOVIMIENTOS_COMPLEMENTOS!$B$4:$B$803,"INGRESO")+SUMIFS(MOVIMIENTOS_COMPLEMENTOS!$I$4:$I$803,MOVIMIENTOS_COMPLEMENTOS!$C$4:$C$803,A2374,MOVIMIENTOS_COMPLEMENTOS!$D$4:$D$803,B2374,MOVIMIENTOS_COMPLEMENTOS!$E$4:$E$803,C2374,MOVIMIENTOS_COMPLEMENTOS!$F$4:$F$803,D2374,MOVIMIENTOS_COMPLEMENTOS!$G$4:$G$803,E2374,MOVIMIENTOS_COMPLEMENTOS!$H$4:$H$803,G2374,MOVIMIENTOS_COMPLEMENTOS!$B$4:$B$803,"DE CORTE")-SUMIFS(MOVIMIENTOS_COMPLEMENTOS!$I$4:$I$803,MOVIMIENTOS_COMPLEMENTOS!$C$4:$C$803,A2374,MOVIMIENTOS_COMPLEMENTOS!$D$4:$D$803,B2374,MOVIMIENTOS_COMPLEMENTOS!$E$4:$E$803,C2374,MOVIMIENTOS_COMPLEMENTOS!$F$4:$F$803,D2374,MOVIMIENTOS_COMPLEMENTOS!$G$4:$G$803,E2374,MOVIMIENTOS_COMPLEMENTOS!$H$4:$H$803,G2374,MOVIMIENTOS_COMPLEMENTOS!$B$4:$B$803,"SALIDA"),0)</f>
        <v>0</v>
      </c>
      <c r="I2374" s="102">
        <f t="array" ref="I2374">IFERROR(INDEX(PRECIOS_COMPLEMENTOS!$C$4:$F$17,MATCH(B2374&amp;"_"&amp;C2374,PRECIOS_COMPLEMENTOS!$H$4:$H$17,0),IF(OR(G2374="S",G2374="20cm"),1,IF(OR(G2374="M",G2374="25cm"),2,IF(OR(G2374="L",G2374="30cm"),3,IF(OR(G2374="XL",G2374="35cm"),4,0))))),0)</f>
        <v>0.6</v>
      </c>
      <c r="J2374" s="103">
        <f t="shared" si="1"/>
        <v>0</v>
      </c>
      <c r="K2374" s="104" t="str">
        <f>IF(H2374&lt;0,"ERROR",IF(H2374=0,"",IF(H2374&lt;CONFIG!$B$4,"CRÍTICO",IF(H2374&lt;CONFIG!$B$5,"BAJO","OK"))))</f>
        <v/>
      </c>
    </row>
    <row r="2375" ht="15.75" hidden="1" customHeight="1">
      <c r="A2375" s="90" t="str">
        <f>IF(CLIENTES!A6="","",CLIENTES!A6)</f>
        <v/>
      </c>
      <c r="B2375" s="90" t="s">
        <v>331</v>
      </c>
      <c r="C2375" s="91" t="s">
        <v>328</v>
      </c>
      <c r="D2375" s="109" t="s">
        <v>366</v>
      </c>
      <c r="E2375" s="67" t="str">
        <f>COLORES!A16</f>
        <v>Topo</v>
      </c>
      <c r="F2375" s="67" t="str">
        <f>COLORES!B16</f>
        <v>CLARO</v>
      </c>
      <c r="G2375" s="90" t="s">
        <v>379</v>
      </c>
      <c r="H2375" s="100">
        <f>IFERROR(SUMIFS(MOVIMIENTOS_COMPLEMENTOS!$I$4:$I$803,MOVIMIENTOS_COMPLEMENTOS!$C$4:$C$803,A2375,MOVIMIENTOS_COMPLEMENTOS!$D$4:$D$803,B2375,MOVIMIENTOS_COMPLEMENTOS!$E$4:$E$803,C2375,MOVIMIENTOS_COMPLEMENTOS!$F$4:$F$803,D2375,MOVIMIENTOS_COMPLEMENTOS!$G$4:$G$803,E2375,MOVIMIENTOS_COMPLEMENTOS!$H$4:$H$803,G2375,MOVIMIENTOS_COMPLEMENTOS!$B$4:$B$803,"INGRESO")+SUMIFS(MOVIMIENTOS_COMPLEMENTOS!$I$4:$I$803,MOVIMIENTOS_COMPLEMENTOS!$C$4:$C$803,A2375,MOVIMIENTOS_COMPLEMENTOS!$D$4:$D$803,B2375,MOVIMIENTOS_COMPLEMENTOS!$E$4:$E$803,C2375,MOVIMIENTOS_COMPLEMENTOS!$F$4:$F$803,D2375,MOVIMIENTOS_COMPLEMENTOS!$G$4:$G$803,E2375,MOVIMIENTOS_COMPLEMENTOS!$H$4:$H$803,G2375,MOVIMIENTOS_COMPLEMENTOS!$B$4:$B$803,"DE CORTE")-SUMIFS(MOVIMIENTOS_COMPLEMENTOS!$I$4:$I$803,MOVIMIENTOS_COMPLEMENTOS!$C$4:$C$803,A2375,MOVIMIENTOS_COMPLEMENTOS!$D$4:$D$803,B2375,MOVIMIENTOS_COMPLEMENTOS!$E$4:$E$803,C2375,MOVIMIENTOS_COMPLEMENTOS!$F$4:$F$803,D2375,MOVIMIENTOS_COMPLEMENTOS!$G$4:$G$803,E2375,MOVIMIENTOS_COMPLEMENTOS!$H$4:$H$803,G2375,MOVIMIENTOS_COMPLEMENTOS!$B$4:$B$803,"SALIDA"),0)</f>
        <v>0</v>
      </c>
      <c r="I2375" s="102">
        <f t="array" ref="I2375">IFERROR(INDEX(PRECIOS_COMPLEMENTOS!$C$4:$F$17,MATCH(B2375&amp;"_"&amp;C2375,PRECIOS_COMPLEMENTOS!$H$4:$H$17,0),IF(OR(G2375="S",G2375="20cm"),1,IF(OR(G2375="M",G2375="25cm"),2,IF(OR(G2375="L",G2375="30cm"),3,IF(OR(G2375="XL",G2375="35cm"),4,0))))),0)</f>
        <v>0.6</v>
      </c>
      <c r="J2375" s="103">
        <f t="shared" si="1"/>
        <v>0</v>
      </c>
      <c r="K2375" s="104" t="str">
        <f>IF(H2375&lt;0,"ERROR",IF(H2375=0,"",IF(H2375&lt;CONFIG!$B$4,"CRÍTICO",IF(H2375&lt;CONFIG!$B$5,"BAJO","OK"))))</f>
        <v/>
      </c>
    </row>
    <row r="2376" ht="15.75" hidden="1" customHeight="1">
      <c r="A2376" s="90" t="str">
        <f>IF(CLIENTES!A6="","",CLIENTES!A6)</f>
        <v/>
      </c>
      <c r="B2376" s="90" t="s">
        <v>331</v>
      </c>
      <c r="C2376" s="91" t="s">
        <v>328</v>
      </c>
      <c r="D2376" s="109" t="s">
        <v>366</v>
      </c>
      <c r="E2376" s="67" t="str">
        <f>COLORES!A17</f>
        <v>Vino</v>
      </c>
      <c r="F2376" s="67" t="str">
        <f>COLORES!B17</f>
        <v>OSCURO</v>
      </c>
      <c r="G2376" s="90" t="s">
        <v>378</v>
      </c>
      <c r="H2376" s="100">
        <f>IFERROR(SUMIFS(MOVIMIENTOS_COMPLEMENTOS!$I$4:$I$803,MOVIMIENTOS_COMPLEMENTOS!$C$4:$C$803,A2376,MOVIMIENTOS_COMPLEMENTOS!$D$4:$D$803,B2376,MOVIMIENTOS_COMPLEMENTOS!$E$4:$E$803,C2376,MOVIMIENTOS_COMPLEMENTOS!$F$4:$F$803,D2376,MOVIMIENTOS_COMPLEMENTOS!$G$4:$G$803,E2376,MOVIMIENTOS_COMPLEMENTOS!$H$4:$H$803,G2376,MOVIMIENTOS_COMPLEMENTOS!$B$4:$B$803,"INGRESO")+SUMIFS(MOVIMIENTOS_COMPLEMENTOS!$I$4:$I$803,MOVIMIENTOS_COMPLEMENTOS!$C$4:$C$803,A2376,MOVIMIENTOS_COMPLEMENTOS!$D$4:$D$803,B2376,MOVIMIENTOS_COMPLEMENTOS!$E$4:$E$803,C2376,MOVIMIENTOS_COMPLEMENTOS!$F$4:$F$803,D2376,MOVIMIENTOS_COMPLEMENTOS!$G$4:$G$803,E2376,MOVIMIENTOS_COMPLEMENTOS!$H$4:$H$803,G2376,MOVIMIENTOS_COMPLEMENTOS!$B$4:$B$803,"DE CORTE")-SUMIFS(MOVIMIENTOS_COMPLEMENTOS!$I$4:$I$803,MOVIMIENTOS_COMPLEMENTOS!$C$4:$C$803,A2376,MOVIMIENTOS_COMPLEMENTOS!$D$4:$D$803,B2376,MOVIMIENTOS_COMPLEMENTOS!$E$4:$E$803,C2376,MOVIMIENTOS_COMPLEMENTOS!$F$4:$F$803,D2376,MOVIMIENTOS_COMPLEMENTOS!$G$4:$G$803,E2376,MOVIMIENTOS_COMPLEMENTOS!$H$4:$H$803,G2376,MOVIMIENTOS_COMPLEMENTOS!$B$4:$B$803,"SALIDA"),0)</f>
        <v>0</v>
      </c>
      <c r="I2376" s="102">
        <f t="array" ref="I2376">IFERROR(INDEX(PRECIOS_COMPLEMENTOS!$C$4:$F$17,MATCH(B2376&amp;"_"&amp;C2376,PRECIOS_COMPLEMENTOS!$H$4:$H$17,0),IF(OR(G2376="S",G2376="20cm"),1,IF(OR(G2376="M",G2376="25cm"),2,IF(OR(G2376="L",G2376="30cm"),3,IF(OR(G2376="XL",G2376="35cm"),4,0))))),0)</f>
        <v>0.6</v>
      </c>
      <c r="J2376" s="103">
        <f t="shared" si="1"/>
        <v>0</v>
      </c>
      <c r="K2376" s="104" t="str">
        <f>IF(H2376&lt;0,"ERROR",IF(H2376=0,"",IF(H2376&lt;CONFIG!$B$4,"CRÍTICO",IF(H2376&lt;CONFIG!$B$5,"BAJO","OK"))))</f>
        <v/>
      </c>
    </row>
    <row r="2377" ht="15.75" hidden="1" customHeight="1">
      <c r="A2377" s="90" t="str">
        <f>IF(CLIENTES!A6="","",CLIENTES!A6)</f>
        <v/>
      </c>
      <c r="B2377" s="90" t="s">
        <v>331</v>
      </c>
      <c r="C2377" s="91" t="s">
        <v>328</v>
      </c>
      <c r="D2377" s="109" t="s">
        <v>366</v>
      </c>
      <c r="E2377" s="67" t="str">
        <f>COLORES!A17</f>
        <v>Vino</v>
      </c>
      <c r="F2377" s="67" t="str">
        <f>COLORES!B17</f>
        <v>OSCURO</v>
      </c>
      <c r="G2377" s="90" t="s">
        <v>376</v>
      </c>
      <c r="H2377" s="100">
        <f>IFERROR(SUMIFS(MOVIMIENTOS_COMPLEMENTOS!$I$4:$I$803,MOVIMIENTOS_COMPLEMENTOS!$C$4:$C$803,A2377,MOVIMIENTOS_COMPLEMENTOS!$D$4:$D$803,B2377,MOVIMIENTOS_COMPLEMENTOS!$E$4:$E$803,C2377,MOVIMIENTOS_COMPLEMENTOS!$F$4:$F$803,D2377,MOVIMIENTOS_COMPLEMENTOS!$G$4:$G$803,E2377,MOVIMIENTOS_COMPLEMENTOS!$H$4:$H$803,G2377,MOVIMIENTOS_COMPLEMENTOS!$B$4:$B$803,"INGRESO")+SUMIFS(MOVIMIENTOS_COMPLEMENTOS!$I$4:$I$803,MOVIMIENTOS_COMPLEMENTOS!$C$4:$C$803,A2377,MOVIMIENTOS_COMPLEMENTOS!$D$4:$D$803,B2377,MOVIMIENTOS_COMPLEMENTOS!$E$4:$E$803,C2377,MOVIMIENTOS_COMPLEMENTOS!$F$4:$F$803,D2377,MOVIMIENTOS_COMPLEMENTOS!$G$4:$G$803,E2377,MOVIMIENTOS_COMPLEMENTOS!$H$4:$H$803,G2377,MOVIMIENTOS_COMPLEMENTOS!$B$4:$B$803,"DE CORTE")-SUMIFS(MOVIMIENTOS_COMPLEMENTOS!$I$4:$I$803,MOVIMIENTOS_COMPLEMENTOS!$C$4:$C$803,A2377,MOVIMIENTOS_COMPLEMENTOS!$D$4:$D$803,B2377,MOVIMIENTOS_COMPLEMENTOS!$E$4:$E$803,C2377,MOVIMIENTOS_COMPLEMENTOS!$F$4:$F$803,D2377,MOVIMIENTOS_COMPLEMENTOS!$G$4:$G$803,E2377,MOVIMIENTOS_COMPLEMENTOS!$H$4:$H$803,G2377,MOVIMIENTOS_COMPLEMENTOS!$B$4:$B$803,"SALIDA"),0)</f>
        <v>0</v>
      </c>
      <c r="I2377" s="102">
        <f t="array" ref="I2377">IFERROR(INDEX(PRECIOS_COMPLEMENTOS!$C$4:$F$17,MATCH(B2377&amp;"_"&amp;C2377,PRECIOS_COMPLEMENTOS!$H$4:$H$17,0),IF(OR(G2377="S",G2377="20cm"),1,IF(OR(G2377="M",G2377="25cm"),2,IF(OR(G2377="L",G2377="30cm"),3,IF(OR(G2377="XL",G2377="35cm"),4,0))))),0)</f>
        <v>0.6</v>
      </c>
      <c r="J2377" s="103">
        <f t="shared" si="1"/>
        <v>0</v>
      </c>
      <c r="K2377" s="104" t="str">
        <f>IF(H2377&lt;0,"ERROR",IF(H2377=0,"",IF(H2377&lt;CONFIG!$B$4,"CRÍTICO",IF(H2377&lt;CONFIG!$B$5,"BAJO","OK"))))</f>
        <v/>
      </c>
    </row>
    <row r="2378" ht="15.75" hidden="1" customHeight="1">
      <c r="A2378" s="90" t="str">
        <f>IF(CLIENTES!A6="","",CLIENTES!A6)</f>
        <v/>
      </c>
      <c r="B2378" s="90" t="s">
        <v>331</v>
      </c>
      <c r="C2378" s="91" t="s">
        <v>328</v>
      </c>
      <c r="D2378" s="109" t="s">
        <v>366</v>
      </c>
      <c r="E2378" s="67" t="str">
        <f>COLORES!A17</f>
        <v>Vino</v>
      </c>
      <c r="F2378" s="67" t="str">
        <f>COLORES!B17</f>
        <v>OSCURO</v>
      </c>
      <c r="G2378" s="90" t="s">
        <v>377</v>
      </c>
      <c r="H2378" s="100">
        <f>IFERROR(SUMIFS(MOVIMIENTOS_COMPLEMENTOS!$I$4:$I$803,MOVIMIENTOS_COMPLEMENTOS!$C$4:$C$803,A2378,MOVIMIENTOS_COMPLEMENTOS!$D$4:$D$803,B2378,MOVIMIENTOS_COMPLEMENTOS!$E$4:$E$803,C2378,MOVIMIENTOS_COMPLEMENTOS!$F$4:$F$803,D2378,MOVIMIENTOS_COMPLEMENTOS!$G$4:$G$803,E2378,MOVIMIENTOS_COMPLEMENTOS!$H$4:$H$803,G2378,MOVIMIENTOS_COMPLEMENTOS!$B$4:$B$803,"INGRESO")+SUMIFS(MOVIMIENTOS_COMPLEMENTOS!$I$4:$I$803,MOVIMIENTOS_COMPLEMENTOS!$C$4:$C$803,A2378,MOVIMIENTOS_COMPLEMENTOS!$D$4:$D$803,B2378,MOVIMIENTOS_COMPLEMENTOS!$E$4:$E$803,C2378,MOVIMIENTOS_COMPLEMENTOS!$F$4:$F$803,D2378,MOVIMIENTOS_COMPLEMENTOS!$G$4:$G$803,E2378,MOVIMIENTOS_COMPLEMENTOS!$H$4:$H$803,G2378,MOVIMIENTOS_COMPLEMENTOS!$B$4:$B$803,"DE CORTE")-SUMIFS(MOVIMIENTOS_COMPLEMENTOS!$I$4:$I$803,MOVIMIENTOS_COMPLEMENTOS!$C$4:$C$803,A2378,MOVIMIENTOS_COMPLEMENTOS!$D$4:$D$803,B2378,MOVIMIENTOS_COMPLEMENTOS!$E$4:$E$803,C2378,MOVIMIENTOS_COMPLEMENTOS!$F$4:$F$803,D2378,MOVIMIENTOS_COMPLEMENTOS!$G$4:$G$803,E2378,MOVIMIENTOS_COMPLEMENTOS!$H$4:$H$803,G2378,MOVIMIENTOS_COMPLEMENTOS!$B$4:$B$803,"SALIDA"),0)</f>
        <v>0</v>
      </c>
      <c r="I2378" s="102">
        <f t="array" ref="I2378">IFERROR(INDEX(PRECIOS_COMPLEMENTOS!$C$4:$F$17,MATCH(B2378&amp;"_"&amp;C2378,PRECIOS_COMPLEMENTOS!$H$4:$H$17,0),IF(OR(G2378="S",G2378="20cm"),1,IF(OR(G2378="M",G2378="25cm"),2,IF(OR(G2378="L",G2378="30cm"),3,IF(OR(G2378="XL",G2378="35cm"),4,0))))),0)</f>
        <v>0.6</v>
      </c>
      <c r="J2378" s="103">
        <f t="shared" si="1"/>
        <v>0</v>
      </c>
      <c r="K2378" s="104" t="str">
        <f>IF(H2378&lt;0,"ERROR",IF(H2378=0,"",IF(H2378&lt;CONFIG!$B$4,"CRÍTICO",IF(H2378&lt;CONFIG!$B$5,"BAJO","OK"))))</f>
        <v/>
      </c>
    </row>
    <row r="2379" ht="15.75" hidden="1" customHeight="1">
      <c r="A2379" s="90" t="str">
        <f>IF(CLIENTES!A6="","",CLIENTES!A6)</f>
        <v/>
      </c>
      <c r="B2379" s="90" t="s">
        <v>331</v>
      </c>
      <c r="C2379" s="91" t="s">
        <v>328</v>
      </c>
      <c r="D2379" s="109" t="s">
        <v>366</v>
      </c>
      <c r="E2379" s="67" t="str">
        <f>COLORES!A17</f>
        <v>Vino</v>
      </c>
      <c r="F2379" s="67" t="str">
        <f>COLORES!B17</f>
        <v>OSCURO</v>
      </c>
      <c r="G2379" s="90" t="s">
        <v>379</v>
      </c>
      <c r="H2379" s="100">
        <f>IFERROR(SUMIFS(MOVIMIENTOS_COMPLEMENTOS!$I$4:$I$803,MOVIMIENTOS_COMPLEMENTOS!$C$4:$C$803,A2379,MOVIMIENTOS_COMPLEMENTOS!$D$4:$D$803,B2379,MOVIMIENTOS_COMPLEMENTOS!$E$4:$E$803,C2379,MOVIMIENTOS_COMPLEMENTOS!$F$4:$F$803,D2379,MOVIMIENTOS_COMPLEMENTOS!$G$4:$G$803,E2379,MOVIMIENTOS_COMPLEMENTOS!$H$4:$H$803,G2379,MOVIMIENTOS_COMPLEMENTOS!$B$4:$B$803,"INGRESO")+SUMIFS(MOVIMIENTOS_COMPLEMENTOS!$I$4:$I$803,MOVIMIENTOS_COMPLEMENTOS!$C$4:$C$803,A2379,MOVIMIENTOS_COMPLEMENTOS!$D$4:$D$803,B2379,MOVIMIENTOS_COMPLEMENTOS!$E$4:$E$803,C2379,MOVIMIENTOS_COMPLEMENTOS!$F$4:$F$803,D2379,MOVIMIENTOS_COMPLEMENTOS!$G$4:$G$803,E2379,MOVIMIENTOS_COMPLEMENTOS!$H$4:$H$803,G2379,MOVIMIENTOS_COMPLEMENTOS!$B$4:$B$803,"DE CORTE")-SUMIFS(MOVIMIENTOS_COMPLEMENTOS!$I$4:$I$803,MOVIMIENTOS_COMPLEMENTOS!$C$4:$C$803,A2379,MOVIMIENTOS_COMPLEMENTOS!$D$4:$D$803,B2379,MOVIMIENTOS_COMPLEMENTOS!$E$4:$E$803,C2379,MOVIMIENTOS_COMPLEMENTOS!$F$4:$F$803,D2379,MOVIMIENTOS_COMPLEMENTOS!$G$4:$G$803,E2379,MOVIMIENTOS_COMPLEMENTOS!$H$4:$H$803,G2379,MOVIMIENTOS_COMPLEMENTOS!$B$4:$B$803,"SALIDA"),0)</f>
        <v>0</v>
      </c>
      <c r="I2379" s="102">
        <f t="array" ref="I2379">IFERROR(INDEX(PRECIOS_COMPLEMENTOS!$C$4:$F$17,MATCH(B2379&amp;"_"&amp;C2379,PRECIOS_COMPLEMENTOS!$H$4:$H$17,0),IF(OR(G2379="S",G2379="20cm"),1,IF(OR(G2379="M",G2379="25cm"),2,IF(OR(G2379="L",G2379="30cm"),3,IF(OR(G2379="XL",G2379="35cm"),4,0))))),0)</f>
        <v>0.6</v>
      </c>
      <c r="J2379" s="103">
        <f t="shared" si="1"/>
        <v>0</v>
      </c>
      <c r="K2379" s="104" t="str">
        <f>IF(H2379&lt;0,"ERROR",IF(H2379=0,"",IF(H2379&lt;CONFIG!$B$4,"CRÍTICO",IF(H2379&lt;CONFIG!$B$5,"BAJO","OK"))))</f>
        <v/>
      </c>
    </row>
    <row r="2380" ht="15.75" hidden="1" customHeight="1">
      <c r="A2380" s="90" t="str">
        <f>IF(CLIENTES!A6="","",CLIENTES!A6)</f>
        <v/>
      </c>
      <c r="B2380" s="90" t="s">
        <v>331</v>
      </c>
      <c r="C2380" s="91" t="s">
        <v>328</v>
      </c>
      <c r="D2380" s="109" t="s">
        <v>366</v>
      </c>
      <c r="E2380" s="67" t="str">
        <f>COLORES!A18</f>
        <v>P. Rosa</v>
      </c>
      <c r="F2380" s="67" t="str">
        <f>COLORES!B18</f>
        <v>CLARO</v>
      </c>
      <c r="G2380" s="90" t="s">
        <v>378</v>
      </c>
      <c r="H2380" s="100">
        <f>IFERROR(SUMIFS(MOVIMIENTOS_COMPLEMENTOS!$I$4:$I$803,MOVIMIENTOS_COMPLEMENTOS!$C$4:$C$803,A2380,MOVIMIENTOS_COMPLEMENTOS!$D$4:$D$803,B2380,MOVIMIENTOS_COMPLEMENTOS!$E$4:$E$803,C2380,MOVIMIENTOS_COMPLEMENTOS!$F$4:$F$803,D2380,MOVIMIENTOS_COMPLEMENTOS!$G$4:$G$803,E2380,MOVIMIENTOS_COMPLEMENTOS!$H$4:$H$803,G2380,MOVIMIENTOS_COMPLEMENTOS!$B$4:$B$803,"INGRESO")+SUMIFS(MOVIMIENTOS_COMPLEMENTOS!$I$4:$I$803,MOVIMIENTOS_COMPLEMENTOS!$C$4:$C$803,A2380,MOVIMIENTOS_COMPLEMENTOS!$D$4:$D$803,B2380,MOVIMIENTOS_COMPLEMENTOS!$E$4:$E$803,C2380,MOVIMIENTOS_COMPLEMENTOS!$F$4:$F$803,D2380,MOVIMIENTOS_COMPLEMENTOS!$G$4:$G$803,E2380,MOVIMIENTOS_COMPLEMENTOS!$H$4:$H$803,G2380,MOVIMIENTOS_COMPLEMENTOS!$B$4:$B$803,"DE CORTE")-SUMIFS(MOVIMIENTOS_COMPLEMENTOS!$I$4:$I$803,MOVIMIENTOS_COMPLEMENTOS!$C$4:$C$803,A2380,MOVIMIENTOS_COMPLEMENTOS!$D$4:$D$803,B2380,MOVIMIENTOS_COMPLEMENTOS!$E$4:$E$803,C2380,MOVIMIENTOS_COMPLEMENTOS!$F$4:$F$803,D2380,MOVIMIENTOS_COMPLEMENTOS!$G$4:$G$803,E2380,MOVIMIENTOS_COMPLEMENTOS!$H$4:$H$803,G2380,MOVIMIENTOS_COMPLEMENTOS!$B$4:$B$803,"SALIDA"),0)</f>
        <v>0</v>
      </c>
      <c r="I2380" s="102">
        <f t="array" ref="I2380">IFERROR(INDEX(PRECIOS_COMPLEMENTOS!$C$4:$F$17,MATCH(B2380&amp;"_"&amp;C2380,PRECIOS_COMPLEMENTOS!$H$4:$H$17,0),IF(OR(G2380="S",G2380="20cm"),1,IF(OR(G2380="M",G2380="25cm"),2,IF(OR(G2380="L",G2380="30cm"),3,IF(OR(G2380="XL",G2380="35cm"),4,0))))),0)</f>
        <v>0.6</v>
      </c>
      <c r="J2380" s="103">
        <f t="shared" si="1"/>
        <v>0</v>
      </c>
      <c r="K2380" s="104" t="str">
        <f>IF(H2380&lt;0,"ERROR",IF(H2380=0,"",IF(H2380&lt;CONFIG!$B$4,"CRÍTICO",IF(H2380&lt;CONFIG!$B$5,"BAJO","OK"))))</f>
        <v/>
      </c>
    </row>
    <row r="2381" ht="15.75" hidden="1" customHeight="1">
      <c r="A2381" s="90" t="str">
        <f>IF(CLIENTES!A6="","",CLIENTES!A6)</f>
        <v/>
      </c>
      <c r="B2381" s="90" t="s">
        <v>331</v>
      </c>
      <c r="C2381" s="91" t="s">
        <v>328</v>
      </c>
      <c r="D2381" s="109" t="s">
        <v>366</v>
      </c>
      <c r="E2381" s="67" t="str">
        <f>COLORES!A18</f>
        <v>P. Rosa</v>
      </c>
      <c r="F2381" s="67" t="str">
        <f>COLORES!B18</f>
        <v>CLARO</v>
      </c>
      <c r="G2381" s="90" t="s">
        <v>376</v>
      </c>
      <c r="H2381" s="100">
        <f>IFERROR(SUMIFS(MOVIMIENTOS_COMPLEMENTOS!$I$4:$I$803,MOVIMIENTOS_COMPLEMENTOS!$C$4:$C$803,A2381,MOVIMIENTOS_COMPLEMENTOS!$D$4:$D$803,B2381,MOVIMIENTOS_COMPLEMENTOS!$E$4:$E$803,C2381,MOVIMIENTOS_COMPLEMENTOS!$F$4:$F$803,D2381,MOVIMIENTOS_COMPLEMENTOS!$G$4:$G$803,E2381,MOVIMIENTOS_COMPLEMENTOS!$H$4:$H$803,G2381,MOVIMIENTOS_COMPLEMENTOS!$B$4:$B$803,"INGRESO")+SUMIFS(MOVIMIENTOS_COMPLEMENTOS!$I$4:$I$803,MOVIMIENTOS_COMPLEMENTOS!$C$4:$C$803,A2381,MOVIMIENTOS_COMPLEMENTOS!$D$4:$D$803,B2381,MOVIMIENTOS_COMPLEMENTOS!$E$4:$E$803,C2381,MOVIMIENTOS_COMPLEMENTOS!$F$4:$F$803,D2381,MOVIMIENTOS_COMPLEMENTOS!$G$4:$G$803,E2381,MOVIMIENTOS_COMPLEMENTOS!$H$4:$H$803,G2381,MOVIMIENTOS_COMPLEMENTOS!$B$4:$B$803,"DE CORTE")-SUMIFS(MOVIMIENTOS_COMPLEMENTOS!$I$4:$I$803,MOVIMIENTOS_COMPLEMENTOS!$C$4:$C$803,A2381,MOVIMIENTOS_COMPLEMENTOS!$D$4:$D$803,B2381,MOVIMIENTOS_COMPLEMENTOS!$E$4:$E$803,C2381,MOVIMIENTOS_COMPLEMENTOS!$F$4:$F$803,D2381,MOVIMIENTOS_COMPLEMENTOS!$G$4:$G$803,E2381,MOVIMIENTOS_COMPLEMENTOS!$H$4:$H$803,G2381,MOVIMIENTOS_COMPLEMENTOS!$B$4:$B$803,"SALIDA"),0)</f>
        <v>0</v>
      </c>
      <c r="I2381" s="102">
        <f t="array" ref="I2381">IFERROR(INDEX(PRECIOS_COMPLEMENTOS!$C$4:$F$17,MATCH(B2381&amp;"_"&amp;C2381,PRECIOS_COMPLEMENTOS!$H$4:$H$17,0),IF(OR(G2381="S",G2381="20cm"),1,IF(OR(G2381="M",G2381="25cm"),2,IF(OR(G2381="L",G2381="30cm"),3,IF(OR(G2381="XL",G2381="35cm"),4,0))))),0)</f>
        <v>0.6</v>
      </c>
      <c r="J2381" s="103">
        <f t="shared" si="1"/>
        <v>0</v>
      </c>
      <c r="K2381" s="104" t="str">
        <f>IF(H2381&lt;0,"ERROR",IF(H2381=0,"",IF(H2381&lt;CONFIG!$B$4,"CRÍTICO",IF(H2381&lt;CONFIG!$B$5,"BAJO","OK"))))</f>
        <v/>
      </c>
    </row>
    <row r="2382" ht="15.75" hidden="1" customHeight="1">
      <c r="A2382" s="90" t="str">
        <f>IF(CLIENTES!A6="","",CLIENTES!A6)</f>
        <v/>
      </c>
      <c r="B2382" s="90" t="s">
        <v>331</v>
      </c>
      <c r="C2382" s="91" t="s">
        <v>328</v>
      </c>
      <c r="D2382" s="109" t="s">
        <v>366</v>
      </c>
      <c r="E2382" s="67" t="str">
        <f>COLORES!A18</f>
        <v>P. Rosa</v>
      </c>
      <c r="F2382" s="67" t="str">
        <f>COLORES!B18</f>
        <v>CLARO</v>
      </c>
      <c r="G2382" s="90" t="s">
        <v>377</v>
      </c>
      <c r="H2382" s="100">
        <f>IFERROR(SUMIFS(MOVIMIENTOS_COMPLEMENTOS!$I$4:$I$803,MOVIMIENTOS_COMPLEMENTOS!$C$4:$C$803,A2382,MOVIMIENTOS_COMPLEMENTOS!$D$4:$D$803,B2382,MOVIMIENTOS_COMPLEMENTOS!$E$4:$E$803,C2382,MOVIMIENTOS_COMPLEMENTOS!$F$4:$F$803,D2382,MOVIMIENTOS_COMPLEMENTOS!$G$4:$G$803,E2382,MOVIMIENTOS_COMPLEMENTOS!$H$4:$H$803,G2382,MOVIMIENTOS_COMPLEMENTOS!$B$4:$B$803,"INGRESO")+SUMIFS(MOVIMIENTOS_COMPLEMENTOS!$I$4:$I$803,MOVIMIENTOS_COMPLEMENTOS!$C$4:$C$803,A2382,MOVIMIENTOS_COMPLEMENTOS!$D$4:$D$803,B2382,MOVIMIENTOS_COMPLEMENTOS!$E$4:$E$803,C2382,MOVIMIENTOS_COMPLEMENTOS!$F$4:$F$803,D2382,MOVIMIENTOS_COMPLEMENTOS!$G$4:$G$803,E2382,MOVIMIENTOS_COMPLEMENTOS!$H$4:$H$803,G2382,MOVIMIENTOS_COMPLEMENTOS!$B$4:$B$803,"DE CORTE")-SUMIFS(MOVIMIENTOS_COMPLEMENTOS!$I$4:$I$803,MOVIMIENTOS_COMPLEMENTOS!$C$4:$C$803,A2382,MOVIMIENTOS_COMPLEMENTOS!$D$4:$D$803,B2382,MOVIMIENTOS_COMPLEMENTOS!$E$4:$E$803,C2382,MOVIMIENTOS_COMPLEMENTOS!$F$4:$F$803,D2382,MOVIMIENTOS_COMPLEMENTOS!$G$4:$G$803,E2382,MOVIMIENTOS_COMPLEMENTOS!$H$4:$H$803,G2382,MOVIMIENTOS_COMPLEMENTOS!$B$4:$B$803,"SALIDA"),0)</f>
        <v>0</v>
      </c>
      <c r="I2382" s="102">
        <f t="array" ref="I2382">IFERROR(INDEX(PRECIOS_COMPLEMENTOS!$C$4:$F$17,MATCH(B2382&amp;"_"&amp;C2382,PRECIOS_COMPLEMENTOS!$H$4:$H$17,0),IF(OR(G2382="S",G2382="20cm"),1,IF(OR(G2382="M",G2382="25cm"),2,IF(OR(G2382="L",G2382="30cm"),3,IF(OR(G2382="XL",G2382="35cm"),4,0))))),0)</f>
        <v>0.6</v>
      </c>
      <c r="J2382" s="103">
        <f t="shared" si="1"/>
        <v>0</v>
      </c>
      <c r="K2382" s="104" t="str">
        <f>IF(H2382&lt;0,"ERROR",IF(H2382=0,"",IF(H2382&lt;CONFIG!$B$4,"CRÍTICO",IF(H2382&lt;CONFIG!$B$5,"BAJO","OK"))))</f>
        <v/>
      </c>
    </row>
    <row r="2383" ht="15.75" hidden="1" customHeight="1">
      <c r="A2383" s="90" t="str">
        <f>IF(CLIENTES!A6="","",CLIENTES!A6)</f>
        <v/>
      </c>
      <c r="B2383" s="90" t="s">
        <v>331</v>
      </c>
      <c r="C2383" s="91" t="s">
        <v>328</v>
      </c>
      <c r="D2383" s="109" t="s">
        <v>366</v>
      </c>
      <c r="E2383" s="67" t="str">
        <f>COLORES!A18</f>
        <v>P. Rosa</v>
      </c>
      <c r="F2383" s="67" t="str">
        <f>COLORES!B18</f>
        <v>CLARO</v>
      </c>
      <c r="G2383" s="90" t="s">
        <v>379</v>
      </c>
      <c r="H2383" s="100">
        <f>IFERROR(SUMIFS(MOVIMIENTOS_COMPLEMENTOS!$I$4:$I$803,MOVIMIENTOS_COMPLEMENTOS!$C$4:$C$803,A2383,MOVIMIENTOS_COMPLEMENTOS!$D$4:$D$803,B2383,MOVIMIENTOS_COMPLEMENTOS!$E$4:$E$803,C2383,MOVIMIENTOS_COMPLEMENTOS!$F$4:$F$803,D2383,MOVIMIENTOS_COMPLEMENTOS!$G$4:$G$803,E2383,MOVIMIENTOS_COMPLEMENTOS!$H$4:$H$803,G2383,MOVIMIENTOS_COMPLEMENTOS!$B$4:$B$803,"INGRESO")+SUMIFS(MOVIMIENTOS_COMPLEMENTOS!$I$4:$I$803,MOVIMIENTOS_COMPLEMENTOS!$C$4:$C$803,A2383,MOVIMIENTOS_COMPLEMENTOS!$D$4:$D$803,B2383,MOVIMIENTOS_COMPLEMENTOS!$E$4:$E$803,C2383,MOVIMIENTOS_COMPLEMENTOS!$F$4:$F$803,D2383,MOVIMIENTOS_COMPLEMENTOS!$G$4:$G$803,E2383,MOVIMIENTOS_COMPLEMENTOS!$H$4:$H$803,G2383,MOVIMIENTOS_COMPLEMENTOS!$B$4:$B$803,"DE CORTE")-SUMIFS(MOVIMIENTOS_COMPLEMENTOS!$I$4:$I$803,MOVIMIENTOS_COMPLEMENTOS!$C$4:$C$803,A2383,MOVIMIENTOS_COMPLEMENTOS!$D$4:$D$803,B2383,MOVIMIENTOS_COMPLEMENTOS!$E$4:$E$803,C2383,MOVIMIENTOS_COMPLEMENTOS!$F$4:$F$803,D2383,MOVIMIENTOS_COMPLEMENTOS!$G$4:$G$803,E2383,MOVIMIENTOS_COMPLEMENTOS!$H$4:$H$803,G2383,MOVIMIENTOS_COMPLEMENTOS!$B$4:$B$803,"SALIDA"),0)</f>
        <v>0</v>
      </c>
      <c r="I2383" s="102">
        <f t="array" ref="I2383">IFERROR(INDEX(PRECIOS_COMPLEMENTOS!$C$4:$F$17,MATCH(B2383&amp;"_"&amp;C2383,PRECIOS_COMPLEMENTOS!$H$4:$H$17,0),IF(OR(G2383="S",G2383="20cm"),1,IF(OR(G2383="M",G2383="25cm"),2,IF(OR(G2383="L",G2383="30cm"),3,IF(OR(G2383="XL",G2383="35cm"),4,0))))),0)</f>
        <v>0.6</v>
      </c>
      <c r="J2383" s="103">
        <f t="shared" si="1"/>
        <v>0</v>
      </c>
      <c r="K2383" s="104" t="str">
        <f>IF(H2383&lt;0,"ERROR",IF(H2383=0,"",IF(H2383&lt;CONFIG!$B$4,"CRÍTICO",IF(H2383&lt;CONFIG!$B$5,"BAJO","OK"))))</f>
        <v/>
      </c>
    </row>
    <row r="2384" ht="15.75" hidden="1" customHeight="1">
      <c r="A2384" s="90" t="str">
        <f>IF(CLIENTES!A6="","",CLIENTES!A6)</f>
        <v/>
      </c>
      <c r="B2384" s="90" t="s">
        <v>331</v>
      </c>
      <c r="C2384" s="91" t="s">
        <v>328</v>
      </c>
      <c r="D2384" s="109" t="s">
        <v>366</v>
      </c>
      <c r="E2384" s="67" t="str">
        <f>COLORES!A19</f>
        <v/>
      </c>
      <c r="F2384" s="67" t="str">
        <f>COLORES!B19</f>
        <v/>
      </c>
      <c r="G2384" s="90" t="s">
        <v>378</v>
      </c>
      <c r="H2384" s="100">
        <f>IFERROR(SUMIFS(MOVIMIENTOS_COMPLEMENTOS!$I$4:$I$803,MOVIMIENTOS_COMPLEMENTOS!$C$4:$C$803,A2384,MOVIMIENTOS_COMPLEMENTOS!$D$4:$D$803,B2384,MOVIMIENTOS_COMPLEMENTOS!$E$4:$E$803,C2384,MOVIMIENTOS_COMPLEMENTOS!$F$4:$F$803,D2384,MOVIMIENTOS_COMPLEMENTOS!$G$4:$G$803,E2384,MOVIMIENTOS_COMPLEMENTOS!$H$4:$H$803,G2384,MOVIMIENTOS_COMPLEMENTOS!$B$4:$B$803,"INGRESO")+SUMIFS(MOVIMIENTOS_COMPLEMENTOS!$I$4:$I$803,MOVIMIENTOS_COMPLEMENTOS!$C$4:$C$803,A2384,MOVIMIENTOS_COMPLEMENTOS!$D$4:$D$803,B2384,MOVIMIENTOS_COMPLEMENTOS!$E$4:$E$803,C2384,MOVIMIENTOS_COMPLEMENTOS!$F$4:$F$803,D2384,MOVIMIENTOS_COMPLEMENTOS!$G$4:$G$803,E2384,MOVIMIENTOS_COMPLEMENTOS!$H$4:$H$803,G2384,MOVIMIENTOS_COMPLEMENTOS!$B$4:$B$803,"DE CORTE")-SUMIFS(MOVIMIENTOS_COMPLEMENTOS!$I$4:$I$803,MOVIMIENTOS_COMPLEMENTOS!$C$4:$C$803,A2384,MOVIMIENTOS_COMPLEMENTOS!$D$4:$D$803,B2384,MOVIMIENTOS_COMPLEMENTOS!$E$4:$E$803,C2384,MOVIMIENTOS_COMPLEMENTOS!$F$4:$F$803,D2384,MOVIMIENTOS_COMPLEMENTOS!$G$4:$G$803,E2384,MOVIMIENTOS_COMPLEMENTOS!$H$4:$H$803,G2384,MOVIMIENTOS_COMPLEMENTOS!$B$4:$B$803,"SALIDA"),0)</f>
        <v>0</v>
      </c>
      <c r="I2384" s="102">
        <f t="array" ref="I2384">IFERROR(INDEX(PRECIOS_COMPLEMENTOS!$C$4:$F$17,MATCH(B2384&amp;"_"&amp;C2384,PRECIOS_COMPLEMENTOS!$H$4:$H$17,0),IF(OR(G2384="S",G2384="20cm"),1,IF(OR(G2384="M",G2384="25cm"),2,IF(OR(G2384="L",G2384="30cm"),3,IF(OR(G2384="XL",G2384="35cm"),4,0))))),0)</f>
        <v>0.6</v>
      </c>
      <c r="J2384" s="103">
        <f t="shared" si="1"/>
        <v>0</v>
      </c>
      <c r="K2384" s="104" t="str">
        <f>IF(H2384&lt;0,"ERROR",IF(H2384=0,"",IF(H2384&lt;CONFIG!$B$4,"CRÍTICO",IF(H2384&lt;CONFIG!$B$5,"BAJO","OK"))))</f>
        <v/>
      </c>
    </row>
    <row r="2385" ht="15.75" hidden="1" customHeight="1">
      <c r="A2385" s="90" t="str">
        <f>IF(CLIENTES!A6="","",CLIENTES!A6)</f>
        <v/>
      </c>
      <c r="B2385" s="90" t="s">
        <v>331</v>
      </c>
      <c r="C2385" s="91" t="s">
        <v>328</v>
      </c>
      <c r="D2385" s="109" t="s">
        <v>366</v>
      </c>
      <c r="E2385" s="67" t="str">
        <f>COLORES!A19</f>
        <v/>
      </c>
      <c r="F2385" s="67" t="str">
        <f>COLORES!B19</f>
        <v/>
      </c>
      <c r="G2385" s="90" t="s">
        <v>376</v>
      </c>
      <c r="H2385" s="100">
        <f>IFERROR(SUMIFS(MOVIMIENTOS_COMPLEMENTOS!$I$4:$I$803,MOVIMIENTOS_COMPLEMENTOS!$C$4:$C$803,A2385,MOVIMIENTOS_COMPLEMENTOS!$D$4:$D$803,B2385,MOVIMIENTOS_COMPLEMENTOS!$E$4:$E$803,C2385,MOVIMIENTOS_COMPLEMENTOS!$F$4:$F$803,D2385,MOVIMIENTOS_COMPLEMENTOS!$G$4:$G$803,E2385,MOVIMIENTOS_COMPLEMENTOS!$H$4:$H$803,G2385,MOVIMIENTOS_COMPLEMENTOS!$B$4:$B$803,"INGRESO")+SUMIFS(MOVIMIENTOS_COMPLEMENTOS!$I$4:$I$803,MOVIMIENTOS_COMPLEMENTOS!$C$4:$C$803,A2385,MOVIMIENTOS_COMPLEMENTOS!$D$4:$D$803,B2385,MOVIMIENTOS_COMPLEMENTOS!$E$4:$E$803,C2385,MOVIMIENTOS_COMPLEMENTOS!$F$4:$F$803,D2385,MOVIMIENTOS_COMPLEMENTOS!$G$4:$G$803,E2385,MOVIMIENTOS_COMPLEMENTOS!$H$4:$H$803,G2385,MOVIMIENTOS_COMPLEMENTOS!$B$4:$B$803,"DE CORTE")-SUMIFS(MOVIMIENTOS_COMPLEMENTOS!$I$4:$I$803,MOVIMIENTOS_COMPLEMENTOS!$C$4:$C$803,A2385,MOVIMIENTOS_COMPLEMENTOS!$D$4:$D$803,B2385,MOVIMIENTOS_COMPLEMENTOS!$E$4:$E$803,C2385,MOVIMIENTOS_COMPLEMENTOS!$F$4:$F$803,D2385,MOVIMIENTOS_COMPLEMENTOS!$G$4:$G$803,E2385,MOVIMIENTOS_COMPLEMENTOS!$H$4:$H$803,G2385,MOVIMIENTOS_COMPLEMENTOS!$B$4:$B$803,"SALIDA"),0)</f>
        <v>0</v>
      </c>
      <c r="I2385" s="102">
        <f t="array" ref="I2385">IFERROR(INDEX(PRECIOS_COMPLEMENTOS!$C$4:$F$17,MATCH(B2385&amp;"_"&amp;C2385,PRECIOS_COMPLEMENTOS!$H$4:$H$17,0),IF(OR(G2385="S",G2385="20cm"),1,IF(OR(G2385="M",G2385="25cm"),2,IF(OR(G2385="L",G2385="30cm"),3,IF(OR(G2385="XL",G2385="35cm"),4,0))))),0)</f>
        <v>0.6</v>
      </c>
      <c r="J2385" s="103">
        <f t="shared" si="1"/>
        <v>0</v>
      </c>
      <c r="K2385" s="104" t="str">
        <f>IF(H2385&lt;0,"ERROR",IF(H2385=0,"",IF(H2385&lt;CONFIG!$B$4,"CRÍTICO",IF(H2385&lt;CONFIG!$B$5,"BAJO","OK"))))</f>
        <v/>
      </c>
    </row>
    <row r="2386" ht="15.75" hidden="1" customHeight="1">
      <c r="A2386" s="90" t="str">
        <f>IF(CLIENTES!A6="","",CLIENTES!A6)</f>
        <v/>
      </c>
      <c r="B2386" s="90" t="s">
        <v>331</v>
      </c>
      <c r="C2386" s="91" t="s">
        <v>328</v>
      </c>
      <c r="D2386" s="109" t="s">
        <v>366</v>
      </c>
      <c r="E2386" s="67" t="str">
        <f>COLORES!A19</f>
        <v/>
      </c>
      <c r="F2386" s="67" t="str">
        <f>COLORES!B19</f>
        <v/>
      </c>
      <c r="G2386" s="90" t="s">
        <v>377</v>
      </c>
      <c r="H2386" s="100">
        <f>IFERROR(SUMIFS(MOVIMIENTOS_COMPLEMENTOS!$I$4:$I$803,MOVIMIENTOS_COMPLEMENTOS!$C$4:$C$803,A2386,MOVIMIENTOS_COMPLEMENTOS!$D$4:$D$803,B2386,MOVIMIENTOS_COMPLEMENTOS!$E$4:$E$803,C2386,MOVIMIENTOS_COMPLEMENTOS!$F$4:$F$803,D2386,MOVIMIENTOS_COMPLEMENTOS!$G$4:$G$803,E2386,MOVIMIENTOS_COMPLEMENTOS!$H$4:$H$803,G2386,MOVIMIENTOS_COMPLEMENTOS!$B$4:$B$803,"INGRESO")+SUMIFS(MOVIMIENTOS_COMPLEMENTOS!$I$4:$I$803,MOVIMIENTOS_COMPLEMENTOS!$C$4:$C$803,A2386,MOVIMIENTOS_COMPLEMENTOS!$D$4:$D$803,B2386,MOVIMIENTOS_COMPLEMENTOS!$E$4:$E$803,C2386,MOVIMIENTOS_COMPLEMENTOS!$F$4:$F$803,D2386,MOVIMIENTOS_COMPLEMENTOS!$G$4:$G$803,E2386,MOVIMIENTOS_COMPLEMENTOS!$H$4:$H$803,G2386,MOVIMIENTOS_COMPLEMENTOS!$B$4:$B$803,"DE CORTE")-SUMIFS(MOVIMIENTOS_COMPLEMENTOS!$I$4:$I$803,MOVIMIENTOS_COMPLEMENTOS!$C$4:$C$803,A2386,MOVIMIENTOS_COMPLEMENTOS!$D$4:$D$803,B2386,MOVIMIENTOS_COMPLEMENTOS!$E$4:$E$803,C2386,MOVIMIENTOS_COMPLEMENTOS!$F$4:$F$803,D2386,MOVIMIENTOS_COMPLEMENTOS!$G$4:$G$803,E2386,MOVIMIENTOS_COMPLEMENTOS!$H$4:$H$803,G2386,MOVIMIENTOS_COMPLEMENTOS!$B$4:$B$803,"SALIDA"),0)</f>
        <v>0</v>
      </c>
      <c r="I2386" s="102">
        <f t="array" ref="I2386">IFERROR(INDEX(PRECIOS_COMPLEMENTOS!$C$4:$F$17,MATCH(B2386&amp;"_"&amp;C2386,PRECIOS_COMPLEMENTOS!$H$4:$H$17,0),IF(OR(G2386="S",G2386="20cm"),1,IF(OR(G2386="M",G2386="25cm"),2,IF(OR(G2386="L",G2386="30cm"),3,IF(OR(G2386="XL",G2386="35cm"),4,0))))),0)</f>
        <v>0.6</v>
      </c>
      <c r="J2386" s="103">
        <f t="shared" si="1"/>
        <v>0</v>
      </c>
      <c r="K2386" s="104" t="str">
        <f>IF(H2386&lt;0,"ERROR",IF(H2386=0,"",IF(H2386&lt;CONFIG!$B$4,"CRÍTICO",IF(H2386&lt;CONFIG!$B$5,"BAJO","OK"))))</f>
        <v/>
      </c>
    </row>
    <row r="2387" ht="15.75" hidden="1" customHeight="1">
      <c r="A2387" s="90" t="str">
        <f>IF(CLIENTES!A6="","",CLIENTES!A6)</f>
        <v/>
      </c>
      <c r="B2387" s="90" t="s">
        <v>331</v>
      </c>
      <c r="C2387" s="91" t="s">
        <v>328</v>
      </c>
      <c r="D2387" s="109" t="s">
        <v>366</v>
      </c>
      <c r="E2387" s="67" t="str">
        <f>COLORES!A19</f>
        <v/>
      </c>
      <c r="F2387" s="67" t="str">
        <f>COLORES!B19</f>
        <v/>
      </c>
      <c r="G2387" s="90" t="s">
        <v>379</v>
      </c>
      <c r="H2387" s="100">
        <f>IFERROR(SUMIFS(MOVIMIENTOS_COMPLEMENTOS!$I$4:$I$803,MOVIMIENTOS_COMPLEMENTOS!$C$4:$C$803,A2387,MOVIMIENTOS_COMPLEMENTOS!$D$4:$D$803,B2387,MOVIMIENTOS_COMPLEMENTOS!$E$4:$E$803,C2387,MOVIMIENTOS_COMPLEMENTOS!$F$4:$F$803,D2387,MOVIMIENTOS_COMPLEMENTOS!$G$4:$G$803,E2387,MOVIMIENTOS_COMPLEMENTOS!$H$4:$H$803,G2387,MOVIMIENTOS_COMPLEMENTOS!$B$4:$B$803,"INGRESO")+SUMIFS(MOVIMIENTOS_COMPLEMENTOS!$I$4:$I$803,MOVIMIENTOS_COMPLEMENTOS!$C$4:$C$803,A2387,MOVIMIENTOS_COMPLEMENTOS!$D$4:$D$803,B2387,MOVIMIENTOS_COMPLEMENTOS!$E$4:$E$803,C2387,MOVIMIENTOS_COMPLEMENTOS!$F$4:$F$803,D2387,MOVIMIENTOS_COMPLEMENTOS!$G$4:$G$803,E2387,MOVIMIENTOS_COMPLEMENTOS!$H$4:$H$803,G2387,MOVIMIENTOS_COMPLEMENTOS!$B$4:$B$803,"DE CORTE")-SUMIFS(MOVIMIENTOS_COMPLEMENTOS!$I$4:$I$803,MOVIMIENTOS_COMPLEMENTOS!$C$4:$C$803,A2387,MOVIMIENTOS_COMPLEMENTOS!$D$4:$D$803,B2387,MOVIMIENTOS_COMPLEMENTOS!$E$4:$E$803,C2387,MOVIMIENTOS_COMPLEMENTOS!$F$4:$F$803,D2387,MOVIMIENTOS_COMPLEMENTOS!$G$4:$G$803,E2387,MOVIMIENTOS_COMPLEMENTOS!$H$4:$H$803,G2387,MOVIMIENTOS_COMPLEMENTOS!$B$4:$B$803,"SALIDA"),0)</f>
        <v>0</v>
      </c>
      <c r="I2387" s="102">
        <f t="array" ref="I2387">IFERROR(INDEX(PRECIOS_COMPLEMENTOS!$C$4:$F$17,MATCH(B2387&amp;"_"&amp;C2387,PRECIOS_COMPLEMENTOS!$H$4:$H$17,0),IF(OR(G2387="S",G2387="20cm"),1,IF(OR(G2387="M",G2387="25cm"),2,IF(OR(G2387="L",G2387="30cm"),3,IF(OR(G2387="XL",G2387="35cm"),4,0))))),0)</f>
        <v>0.6</v>
      </c>
      <c r="J2387" s="103">
        <f t="shared" si="1"/>
        <v>0</v>
      </c>
      <c r="K2387" s="104" t="str">
        <f>IF(H2387&lt;0,"ERROR",IF(H2387=0,"",IF(H2387&lt;CONFIG!$B$4,"CRÍTICO",IF(H2387&lt;CONFIG!$B$5,"BAJO","OK"))))</f>
        <v/>
      </c>
    </row>
    <row r="2388" ht="15.75" hidden="1" customHeight="1">
      <c r="A2388" s="90" t="str">
        <f>IF(CLIENTES!A6="","",CLIENTES!A6)</f>
        <v/>
      </c>
      <c r="B2388" s="90" t="s">
        <v>331</v>
      </c>
      <c r="C2388" s="91" t="s">
        <v>328</v>
      </c>
      <c r="D2388" s="109" t="s">
        <v>366</v>
      </c>
      <c r="E2388" s="67" t="str">
        <f>COLORES!A20</f>
        <v/>
      </c>
      <c r="F2388" s="67" t="str">
        <f>COLORES!B20</f>
        <v/>
      </c>
      <c r="G2388" s="90" t="s">
        <v>378</v>
      </c>
      <c r="H2388" s="100">
        <f>IFERROR(SUMIFS(MOVIMIENTOS_COMPLEMENTOS!$I$4:$I$803,MOVIMIENTOS_COMPLEMENTOS!$C$4:$C$803,A2388,MOVIMIENTOS_COMPLEMENTOS!$D$4:$D$803,B2388,MOVIMIENTOS_COMPLEMENTOS!$E$4:$E$803,C2388,MOVIMIENTOS_COMPLEMENTOS!$F$4:$F$803,D2388,MOVIMIENTOS_COMPLEMENTOS!$G$4:$G$803,E2388,MOVIMIENTOS_COMPLEMENTOS!$H$4:$H$803,G2388,MOVIMIENTOS_COMPLEMENTOS!$B$4:$B$803,"INGRESO")+SUMIFS(MOVIMIENTOS_COMPLEMENTOS!$I$4:$I$803,MOVIMIENTOS_COMPLEMENTOS!$C$4:$C$803,A2388,MOVIMIENTOS_COMPLEMENTOS!$D$4:$D$803,B2388,MOVIMIENTOS_COMPLEMENTOS!$E$4:$E$803,C2388,MOVIMIENTOS_COMPLEMENTOS!$F$4:$F$803,D2388,MOVIMIENTOS_COMPLEMENTOS!$G$4:$G$803,E2388,MOVIMIENTOS_COMPLEMENTOS!$H$4:$H$803,G2388,MOVIMIENTOS_COMPLEMENTOS!$B$4:$B$803,"DE CORTE")-SUMIFS(MOVIMIENTOS_COMPLEMENTOS!$I$4:$I$803,MOVIMIENTOS_COMPLEMENTOS!$C$4:$C$803,A2388,MOVIMIENTOS_COMPLEMENTOS!$D$4:$D$803,B2388,MOVIMIENTOS_COMPLEMENTOS!$E$4:$E$803,C2388,MOVIMIENTOS_COMPLEMENTOS!$F$4:$F$803,D2388,MOVIMIENTOS_COMPLEMENTOS!$G$4:$G$803,E2388,MOVIMIENTOS_COMPLEMENTOS!$H$4:$H$803,G2388,MOVIMIENTOS_COMPLEMENTOS!$B$4:$B$803,"SALIDA"),0)</f>
        <v>0</v>
      </c>
      <c r="I2388" s="102">
        <f t="array" ref="I2388">IFERROR(INDEX(PRECIOS_COMPLEMENTOS!$C$4:$F$17,MATCH(B2388&amp;"_"&amp;C2388,PRECIOS_COMPLEMENTOS!$H$4:$H$17,0),IF(OR(G2388="S",G2388="20cm"),1,IF(OR(G2388="M",G2388="25cm"),2,IF(OR(G2388="L",G2388="30cm"),3,IF(OR(G2388="XL",G2388="35cm"),4,0))))),0)</f>
        <v>0.6</v>
      </c>
      <c r="J2388" s="103">
        <f t="shared" si="1"/>
        <v>0</v>
      </c>
      <c r="K2388" s="104" t="str">
        <f>IF(H2388&lt;0,"ERROR",IF(H2388=0,"",IF(H2388&lt;CONFIG!$B$4,"CRÍTICO",IF(H2388&lt;CONFIG!$B$5,"BAJO","OK"))))</f>
        <v/>
      </c>
    </row>
    <row r="2389" ht="15.75" hidden="1" customHeight="1">
      <c r="A2389" s="90" t="str">
        <f>IF(CLIENTES!A6="","",CLIENTES!A6)</f>
        <v/>
      </c>
      <c r="B2389" s="90" t="s">
        <v>331</v>
      </c>
      <c r="C2389" s="91" t="s">
        <v>328</v>
      </c>
      <c r="D2389" s="109" t="s">
        <v>366</v>
      </c>
      <c r="E2389" s="67" t="str">
        <f>COLORES!A20</f>
        <v/>
      </c>
      <c r="F2389" s="67" t="str">
        <f>COLORES!B20</f>
        <v/>
      </c>
      <c r="G2389" s="90" t="s">
        <v>376</v>
      </c>
      <c r="H2389" s="100">
        <f>IFERROR(SUMIFS(MOVIMIENTOS_COMPLEMENTOS!$I$4:$I$803,MOVIMIENTOS_COMPLEMENTOS!$C$4:$C$803,A2389,MOVIMIENTOS_COMPLEMENTOS!$D$4:$D$803,B2389,MOVIMIENTOS_COMPLEMENTOS!$E$4:$E$803,C2389,MOVIMIENTOS_COMPLEMENTOS!$F$4:$F$803,D2389,MOVIMIENTOS_COMPLEMENTOS!$G$4:$G$803,E2389,MOVIMIENTOS_COMPLEMENTOS!$H$4:$H$803,G2389,MOVIMIENTOS_COMPLEMENTOS!$B$4:$B$803,"INGRESO")+SUMIFS(MOVIMIENTOS_COMPLEMENTOS!$I$4:$I$803,MOVIMIENTOS_COMPLEMENTOS!$C$4:$C$803,A2389,MOVIMIENTOS_COMPLEMENTOS!$D$4:$D$803,B2389,MOVIMIENTOS_COMPLEMENTOS!$E$4:$E$803,C2389,MOVIMIENTOS_COMPLEMENTOS!$F$4:$F$803,D2389,MOVIMIENTOS_COMPLEMENTOS!$G$4:$G$803,E2389,MOVIMIENTOS_COMPLEMENTOS!$H$4:$H$803,G2389,MOVIMIENTOS_COMPLEMENTOS!$B$4:$B$803,"DE CORTE")-SUMIFS(MOVIMIENTOS_COMPLEMENTOS!$I$4:$I$803,MOVIMIENTOS_COMPLEMENTOS!$C$4:$C$803,A2389,MOVIMIENTOS_COMPLEMENTOS!$D$4:$D$803,B2389,MOVIMIENTOS_COMPLEMENTOS!$E$4:$E$803,C2389,MOVIMIENTOS_COMPLEMENTOS!$F$4:$F$803,D2389,MOVIMIENTOS_COMPLEMENTOS!$G$4:$G$803,E2389,MOVIMIENTOS_COMPLEMENTOS!$H$4:$H$803,G2389,MOVIMIENTOS_COMPLEMENTOS!$B$4:$B$803,"SALIDA"),0)</f>
        <v>0</v>
      </c>
      <c r="I2389" s="102">
        <f t="array" ref="I2389">IFERROR(INDEX(PRECIOS_COMPLEMENTOS!$C$4:$F$17,MATCH(B2389&amp;"_"&amp;C2389,PRECIOS_COMPLEMENTOS!$H$4:$H$17,0),IF(OR(G2389="S",G2389="20cm"),1,IF(OR(G2389="M",G2389="25cm"),2,IF(OR(G2389="L",G2389="30cm"),3,IF(OR(G2389="XL",G2389="35cm"),4,0))))),0)</f>
        <v>0.6</v>
      </c>
      <c r="J2389" s="103">
        <f t="shared" si="1"/>
        <v>0</v>
      </c>
      <c r="K2389" s="104" t="str">
        <f>IF(H2389&lt;0,"ERROR",IF(H2389=0,"",IF(H2389&lt;CONFIG!$B$4,"CRÍTICO",IF(H2389&lt;CONFIG!$B$5,"BAJO","OK"))))</f>
        <v/>
      </c>
    </row>
    <row r="2390" ht="15.75" hidden="1" customHeight="1">
      <c r="A2390" s="90" t="str">
        <f>IF(CLIENTES!A6="","",CLIENTES!A6)</f>
        <v/>
      </c>
      <c r="B2390" s="90" t="s">
        <v>331</v>
      </c>
      <c r="C2390" s="91" t="s">
        <v>328</v>
      </c>
      <c r="D2390" s="109" t="s">
        <v>366</v>
      </c>
      <c r="E2390" s="67" t="str">
        <f>COLORES!A20</f>
        <v/>
      </c>
      <c r="F2390" s="67" t="str">
        <f>COLORES!B20</f>
        <v/>
      </c>
      <c r="G2390" s="90" t="s">
        <v>377</v>
      </c>
      <c r="H2390" s="100">
        <f>IFERROR(SUMIFS(MOVIMIENTOS_COMPLEMENTOS!$I$4:$I$803,MOVIMIENTOS_COMPLEMENTOS!$C$4:$C$803,A2390,MOVIMIENTOS_COMPLEMENTOS!$D$4:$D$803,B2390,MOVIMIENTOS_COMPLEMENTOS!$E$4:$E$803,C2390,MOVIMIENTOS_COMPLEMENTOS!$F$4:$F$803,D2390,MOVIMIENTOS_COMPLEMENTOS!$G$4:$G$803,E2390,MOVIMIENTOS_COMPLEMENTOS!$H$4:$H$803,G2390,MOVIMIENTOS_COMPLEMENTOS!$B$4:$B$803,"INGRESO")+SUMIFS(MOVIMIENTOS_COMPLEMENTOS!$I$4:$I$803,MOVIMIENTOS_COMPLEMENTOS!$C$4:$C$803,A2390,MOVIMIENTOS_COMPLEMENTOS!$D$4:$D$803,B2390,MOVIMIENTOS_COMPLEMENTOS!$E$4:$E$803,C2390,MOVIMIENTOS_COMPLEMENTOS!$F$4:$F$803,D2390,MOVIMIENTOS_COMPLEMENTOS!$G$4:$G$803,E2390,MOVIMIENTOS_COMPLEMENTOS!$H$4:$H$803,G2390,MOVIMIENTOS_COMPLEMENTOS!$B$4:$B$803,"DE CORTE")-SUMIFS(MOVIMIENTOS_COMPLEMENTOS!$I$4:$I$803,MOVIMIENTOS_COMPLEMENTOS!$C$4:$C$803,A2390,MOVIMIENTOS_COMPLEMENTOS!$D$4:$D$803,B2390,MOVIMIENTOS_COMPLEMENTOS!$E$4:$E$803,C2390,MOVIMIENTOS_COMPLEMENTOS!$F$4:$F$803,D2390,MOVIMIENTOS_COMPLEMENTOS!$G$4:$G$803,E2390,MOVIMIENTOS_COMPLEMENTOS!$H$4:$H$803,G2390,MOVIMIENTOS_COMPLEMENTOS!$B$4:$B$803,"SALIDA"),0)</f>
        <v>0</v>
      </c>
      <c r="I2390" s="102">
        <f t="array" ref="I2390">IFERROR(INDEX(PRECIOS_COMPLEMENTOS!$C$4:$F$17,MATCH(B2390&amp;"_"&amp;C2390,PRECIOS_COMPLEMENTOS!$H$4:$H$17,0),IF(OR(G2390="S",G2390="20cm"),1,IF(OR(G2390="M",G2390="25cm"),2,IF(OR(G2390="L",G2390="30cm"),3,IF(OR(G2390="XL",G2390="35cm"),4,0))))),0)</f>
        <v>0.6</v>
      </c>
      <c r="J2390" s="103">
        <f t="shared" si="1"/>
        <v>0</v>
      </c>
      <c r="K2390" s="104" t="str">
        <f>IF(H2390&lt;0,"ERROR",IF(H2390=0,"",IF(H2390&lt;CONFIG!$B$4,"CRÍTICO",IF(H2390&lt;CONFIG!$B$5,"BAJO","OK"))))</f>
        <v/>
      </c>
    </row>
    <row r="2391" ht="15.75" hidden="1" customHeight="1">
      <c r="A2391" s="90" t="str">
        <f>IF(CLIENTES!A6="","",CLIENTES!A6)</f>
        <v/>
      </c>
      <c r="B2391" s="90" t="s">
        <v>331</v>
      </c>
      <c r="C2391" s="91" t="s">
        <v>328</v>
      </c>
      <c r="D2391" s="109" t="s">
        <v>366</v>
      </c>
      <c r="E2391" s="67" t="str">
        <f>COLORES!A20</f>
        <v/>
      </c>
      <c r="F2391" s="67" t="str">
        <f>COLORES!B20</f>
        <v/>
      </c>
      <c r="G2391" s="90" t="s">
        <v>379</v>
      </c>
      <c r="H2391" s="100">
        <f>IFERROR(SUMIFS(MOVIMIENTOS_COMPLEMENTOS!$I$4:$I$803,MOVIMIENTOS_COMPLEMENTOS!$C$4:$C$803,A2391,MOVIMIENTOS_COMPLEMENTOS!$D$4:$D$803,B2391,MOVIMIENTOS_COMPLEMENTOS!$E$4:$E$803,C2391,MOVIMIENTOS_COMPLEMENTOS!$F$4:$F$803,D2391,MOVIMIENTOS_COMPLEMENTOS!$G$4:$G$803,E2391,MOVIMIENTOS_COMPLEMENTOS!$H$4:$H$803,G2391,MOVIMIENTOS_COMPLEMENTOS!$B$4:$B$803,"INGRESO")+SUMIFS(MOVIMIENTOS_COMPLEMENTOS!$I$4:$I$803,MOVIMIENTOS_COMPLEMENTOS!$C$4:$C$803,A2391,MOVIMIENTOS_COMPLEMENTOS!$D$4:$D$803,B2391,MOVIMIENTOS_COMPLEMENTOS!$E$4:$E$803,C2391,MOVIMIENTOS_COMPLEMENTOS!$F$4:$F$803,D2391,MOVIMIENTOS_COMPLEMENTOS!$G$4:$G$803,E2391,MOVIMIENTOS_COMPLEMENTOS!$H$4:$H$803,G2391,MOVIMIENTOS_COMPLEMENTOS!$B$4:$B$803,"DE CORTE")-SUMIFS(MOVIMIENTOS_COMPLEMENTOS!$I$4:$I$803,MOVIMIENTOS_COMPLEMENTOS!$C$4:$C$803,A2391,MOVIMIENTOS_COMPLEMENTOS!$D$4:$D$803,B2391,MOVIMIENTOS_COMPLEMENTOS!$E$4:$E$803,C2391,MOVIMIENTOS_COMPLEMENTOS!$F$4:$F$803,D2391,MOVIMIENTOS_COMPLEMENTOS!$G$4:$G$803,E2391,MOVIMIENTOS_COMPLEMENTOS!$H$4:$H$803,G2391,MOVIMIENTOS_COMPLEMENTOS!$B$4:$B$803,"SALIDA"),0)</f>
        <v>0</v>
      </c>
      <c r="I2391" s="102">
        <f t="array" ref="I2391">IFERROR(INDEX(PRECIOS_COMPLEMENTOS!$C$4:$F$17,MATCH(B2391&amp;"_"&amp;C2391,PRECIOS_COMPLEMENTOS!$H$4:$H$17,0),IF(OR(G2391="S",G2391="20cm"),1,IF(OR(G2391="M",G2391="25cm"),2,IF(OR(G2391="L",G2391="30cm"),3,IF(OR(G2391="XL",G2391="35cm"),4,0))))),0)</f>
        <v>0.6</v>
      </c>
      <c r="J2391" s="103">
        <f t="shared" si="1"/>
        <v>0</v>
      </c>
      <c r="K2391" s="104" t="str">
        <f>IF(H2391&lt;0,"ERROR",IF(H2391=0,"",IF(H2391&lt;CONFIG!$B$4,"CRÍTICO",IF(H2391&lt;CONFIG!$B$5,"BAJO","OK"))))</f>
        <v/>
      </c>
    </row>
    <row r="2392" ht="15.75" hidden="1" customHeight="1">
      <c r="A2392" s="90" t="str">
        <f>IF(CLIENTES!A6="","",CLIENTES!A6)</f>
        <v/>
      </c>
      <c r="B2392" s="90" t="s">
        <v>331</v>
      </c>
      <c r="C2392" s="91" t="s">
        <v>328</v>
      </c>
      <c r="D2392" s="109" t="s">
        <v>366</v>
      </c>
      <c r="E2392" s="67" t="str">
        <f>COLORES!A21</f>
        <v/>
      </c>
      <c r="F2392" s="67" t="str">
        <f>COLORES!B21</f>
        <v/>
      </c>
      <c r="G2392" s="90" t="s">
        <v>378</v>
      </c>
      <c r="H2392" s="100">
        <f>IFERROR(SUMIFS(MOVIMIENTOS_COMPLEMENTOS!$I$4:$I$803,MOVIMIENTOS_COMPLEMENTOS!$C$4:$C$803,A2392,MOVIMIENTOS_COMPLEMENTOS!$D$4:$D$803,B2392,MOVIMIENTOS_COMPLEMENTOS!$E$4:$E$803,C2392,MOVIMIENTOS_COMPLEMENTOS!$F$4:$F$803,D2392,MOVIMIENTOS_COMPLEMENTOS!$G$4:$G$803,E2392,MOVIMIENTOS_COMPLEMENTOS!$H$4:$H$803,G2392,MOVIMIENTOS_COMPLEMENTOS!$B$4:$B$803,"INGRESO")+SUMIFS(MOVIMIENTOS_COMPLEMENTOS!$I$4:$I$803,MOVIMIENTOS_COMPLEMENTOS!$C$4:$C$803,A2392,MOVIMIENTOS_COMPLEMENTOS!$D$4:$D$803,B2392,MOVIMIENTOS_COMPLEMENTOS!$E$4:$E$803,C2392,MOVIMIENTOS_COMPLEMENTOS!$F$4:$F$803,D2392,MOVIMIENTOS_COMPLEMENTOS!$G$4:$G$803,E2392,MOVIMIENTOS_COMPLEMENTOS!$H$4:$H$803,G2392,MOVIMIENTOS_COMPLEMENTOS!$B$4:$B$803,"DE CORTE")-SUMIFS(MOVIMIENTOS_COMPLEMENTOS!$I$4:$I$803,MOVIMIENTOS_COMPLEMENTOS!$C$4:$C$803,A2392,MOVIMIENTOS_COMPLEMENTOS!$D$4:$D$803,B2392,MOVIMIENTOS_COMPLEMENTOS!$E$4:$E$803,C2392,MOVIMIENTOS_COMPLEMENTOS!$F$4:$F$803,D2392,MOVIMIENTOS_COMPLEMENTOS!$G$4:$G$803,E2392,MOVIMIENTOS_COMPLEMENTOS!$H$4:$H$803,G2392,MOVIMIENTOS_COMPLEMENTOS!$B$4:$B$803,"SALIDA"),0)</f>
        <v>0</v>
      </c>
      <c r="I2392" s="102">
        <f t="array" ref="I2392">IFERROR(INDEX(PRECIOS_COMPLEMENTOS!$C$4:$F$17,MATCH(B2392&amp;"_"&amp;C2392,PRECIOS_COMPLEMENTOS!$H$4:$H$17,0),IF(OR(G2392="S",G2392="20cm"),1,IF(OR(G2392="M",G2392="25cm"),2,IF(OR(G2392="L",G2392="30cm"),3,IF(OR(G2392="XL",G2392="35cm"),4,0))))),0)</f>
        <v>0.6</v>
      </c>
      <c r="J2392" s="103">
        <f t="shared" si="1"/>
        <v>0</v>
      </c>
      <c r="K2392" s="104" t="str">
        <f>IF(H2392&lt;0,"ERROR",IF(H2392=0,"",IF(H2392&lt;CONFIG!$B$4,"CRÍTICO",IF(H2392&lt;CONFIG!$B$5,"BAJO","OK"))))</f>
        <v/>
      </c>
    </row>
    <row r="2393" ht="15.75" hidden="1" customHeight="1">
      <c r="A2393" s="90" t="str">
        <f>IF(CLIENTES!A6="","",CLIENTES!A6)</f>
        <v/>
      </c>
      <c r="B2393" s="90" t="s">
        <v>331</v>
      </c>
      <c r="C2393" s="91" t="s">
        <v>328</v>
      </c>
      <c r="D2393" s="109" t="s">
        <v>366</v>
      </c>
      <c r="E2393" s="67" t="str">
        <f>COLORES!A21</f>
        <v/>
      </c>
      <c r="F2393" s="67" t="str">
        <f>COLORES!B21</f>
        <v/>
      </c>
      <c r="G2393" s="90" t="s">
        <v>376</v>
      </c>
      <c r="H2393" s="100">
        <f>IFERROR(SUMIFS(MOVIMIENTOS_COMPLEMENTOS!$I$4:$I$803,MOVIMIENTOS_COMPLEMENTOS!$C$4:$C$803,A2393,MOVIMIENTOS_COMPLEMENTOS!$D$4:$D$803,B2393,MOVIMIENTOS_COMPLEMENTOS!$E$4:$E$803,C2393,MOVIMIENTOS_COMPLEMENTOS!$F$4:$F$803,D2393,MOVIMIENTOS_COMPLEMENTOS!$G$4:$G$803,E2393,MOVIMIENTOS_COMPLEMENTOS!$H$4:$H$803,G2393,MOVIMIENTOS_COMPLEMENTOS!$B$4:$B$803,"INGRESO")+SUMIFS(MOVIMIENTOS_COMPLEMENTOS!$I$4:$I$803,MOVIMIENTOS_COMPLEMENTOS!$C$4:$C$803,A2393,MOVIMIENTOS_COMPLEMENTOS!$D$4:$D$803,B2393,MOVIMIENTOS_COMPLEMENTOS!$E$4:$E$803,C2393,MOVIMIENTOS_COMPLEMENTOS!$F$4:$F$803,D2393,MOVIMIENTOS_COMPLEMENTOS!$G$4:$G$803,E2393,MOVIMIENTOS_COMPLEMENTOS!$H$4:$H$803,G2393,MOVIMIENTOS_COMPLEMENTOS!$B$4:$B$803,"DE CORTE")-SUMIFS(MOVIMIENTOS_COMPLEMENTOS!$I$4:$I$803,MOVIMIENTOS_COMPLEMENTOS!$C$4:$C$803,A2393,MOVIMIENTOS_COMPLEMENTOS!$D$4:$D$803,B2393,MOVIMIENTOS_COMPLEMENTOS!$E$4:$E$803,C2393,MOVIMIENTOS_COMPLEMENTOS!$F$4:$F$803,D2393,MOVIMIENTOS_COMPLEMENTOS!$G$4:$G$803,E2393,MOVIMIENTOS_COMPLEMENTOS!$H$4:$H$803,G2393,MOVIMIENTOS_COMPLEMENTOS!$B$4:$B$803,"SALIDA"),0)</f>
        <v>0</v>
      </c>
      <c r="I2393" s="102">
        <f t="array" ref="I2393">IFERROR(INDEX(PRECIOS_COMPLEMENTOS!$C$4:$F$17,MATCH(B2393&amp;"_"&amp;C2393,PRECIOS_COMPLEMENTOS!$H$4:$H$17,0),IF(OR(G2393="S",G2393="20cm"),1,IF(OR(G2393="M",G2393="25cm"),2,IF(OR(G2393="L",G2393="30cm"),3,IF(OR(G2393="XL",G2393="35cm"),4,0))))),0)</f>
        <v>0.6</v>
      </c>
      <c r="J2393" s="103">
        <f t="shared" si="1"/>
        <v>0</v>
      </c>
      <c r="K2393" s="104" t="str">
        <f>IF(H2393&lt;0,"ERROR",IF(H2393=0,"",IF(H2393&lt;CONFIG!$B$4,"CRÍTICO",IF(H2393&lt;CONFIG!$B$5,"BAJO","OK"))))</f>
        <v/>
      </c>
    </row>
    <row r="2394" ht="15.75" hidden="1" customHeight="1">
      <c r="A2394" s="90" t="str">
        <f>IF(CLIENTES!A6="","",CLIENTES!A6)</f>
        <v/>
      </c>
      <c r="B2394" s="90" t="s">
        <v>331</v>
      </c>
      <c r="C2394" s="91" t="s">
        <v>328</v>
      </c>
      <c r="D2394" s="109" t="s">
        <v>366</v>
      </c>
      <c r="E2394" s="67" t="str">
        <f>COLORES!A21</f>
        <v/>
      </c>
      <c r="F2394" s="67" t="str">
        <f>COLORES!B21</f>
        <v/>
      </c>
      <c r="G2394" s="90" t="s">
        <v>377</v>
      </c>
      <c r="H2394" s="100">
        <f>IFERROR(SUMIFS(MOVIMIENTOS_COMPLEMENTOS!$I$4:$I$803,MOVIMIENTOS_COMPLEMENTOS!$C$4:$C$803,A2394,MOVIMIENTOS_COMPLEMENTOS!$D$4:$D$803,B2394,MOVIMIENTOS_COMPLEMENTOS!$E$4:$E$803,C2394,MOVIMIENTOS_COMPLEMENTOS!$F$4:$F$803,D2394,MOVIMIENTOS_COMPLEMENTOS!$G$4:$G$803,E2394,MOVIMIENTOS_COMPLEMENTOS!$H$4:$H$803,G2394,MOVIMIENTOS_COMPLEMENTOS!$B$4:$B$803,"INGRESO")+SUMIFS(MOVIMIENTOS_COMPLEMENTOS!$I$4:$I$803,MOVIMIENTOS_COMPLEMENTOS!$C$4:$C$803,A2394,MOVIMIENTOS_COMPLEMENTOS!$D$4:$D$803,B2394,MOVIMIENTOS_COMPLEMENTOS!$E$4:$E$803,C2394,MOVIMIENTOS_COMPLEMENTOS!$F$4:$F$803,D2394,MOVIMIENTOS_COMPLEMENTOS!$G$4:$G$803,E2394,MOVIMIENTOS_COMPLEMENTOS!$H$4:$H$803,G2394,MOVIMIENTOS_COMPLEMENTOS!$B$4:$B$803,"DE CORTE")-SUMIFS(MOVIMIENTOS_COMPLEMENTOS!$I$4:$I$803,MOVIMIENTOS_COMPLEMENTOS!$C$4:$C$803,A2394,MOVIMIENTOS_COMPLEMENTOS!$D$4:$D$803,B2394,MOVIMIENTOS_COMPLEMENTOS!$E$4:$E$803,C2394,MOVIMIENTOS_COMPLEMENTOS!$F$4:$F$803,D2394,MOVIMIENTOS_COMPLEMENTOS!$G$4:$G$803,E2394,MOVIMIENTOS_COMPLEMENTOS!$H$4:$H$803,G2394,MOVIMIENTOS_COMPLEMENTOS!$B$4:$B$803,"SALIDA"),0)</f>
        <v>0</v>
      </c>
      <c r="I2394" s="102">
        <f t="array" ref="I2394">IFERROR(INDEX(PRECIOS_COMPLEMENTOS!$C$4:$F$17,MATCH(B2394&amp;"_"&amp;C2394,PRECIOS_COMPLEMENTOS!$H$4:$H$17,0),IF(OR(G2394="S",G2394="20cm"),1,IF(OR(G2394="M",G2394="25cm"),2,IF(OR(G2394="L",G2394="30cm"),3,IF(OR(G2394="XL",G2394="35cm"),4,0))))),0)</f>
        <v>0.6</v>
      </c>
      <c r="J2394" s="103">
        <f t="shared" si="1"/>
        <v>0</v>
      </c>
      <c r="K2394" s="104" t="str">
        <f>IF(H2394&lt;0,"ERROR",IF(H2394=0,"",IF(H2394&lt;CONFIG!$B$4,"CRÍTICO",IF(H2394&lt;CONFIG!$B$5,"BAJO","OK"))))</f>
        <v/>
      </c>
    </row>
    <row r="2395" ht="15.75" hidden="1" customHeight="1">
      <c r="A2395" s="90" t="str">
        <f>IF(CLIENTES!A6="","",CLIENTES!A6)</f>
        <v/>
      </c>
      <c r="B2395" s="90" t="s">
        <v>331</v>
      </c>
      <c r="C2395" s="91" t="s">
        <v>328</v>
      </c>
      <c r="D2395" s="109" t="s">
        <v>366</v>
      </c>
      <c r="E2395" s="67" t="str">
        <f>COLORES!A21</f>
        <v/>
      </c>
      <c r="F2395" s="67" t="str">
        <f>COLORES!B21</f>
        <v/>
      </c>
      <c r="G2395" s="90" t="s">
        <v>379</v>
      </c>
      <c r="H2395" s="100">
        <f>IFERROR(SUMIFS(MOVIMIENTOS_COMPLEMENTOS!$I$4:$I$803,MOVIMIENTOS_COMPLEMENTOS!$C$4:$C$803,A2395,MOVIMIENTOS_COMPLEMENTOS!$D$4:$D$803,B2395,MOVIMIENTOS_COMPLEMENTOS!$E$4:$E$803,C2395,MOVIMIENTOS_COMPLEMENTOS!$F$4:$F$803,D2395,MOVIMIENTOS_COMPLEMENTOS!$G$4:$G$803,E2395,MOVIMIENTOS_COMPLEMENTOS!$H$4:$H$803,G2395,MOVIMIENTOS_COMPLEMENTOS!$B$4:$B$803,"INGRESO")+SUMIFS(MOVIMIENTOS_COMPLEMENTOS!$I$4:$I$803,MOVIMIENTOS_COMPLEMENTOS!$C$4:$C$803,A2395,MOVIMIENTOS_COMPLEMENTOS!$D$4:$D$803,B2395,MOVIMIENTOS_COMPLEMENTOS!$E$4:$E$803,C2395,MOVIMIENTOS_COMPLEMENTOS!$F$4:$F$803,D2395,MOVIMIENTOS_COMPLEMENTOS!$G$4:$G$803,E2395,MOVIMIENTOS_COMPLEMENTOS!$H$4:$H$803,G2395,MOVIMIENTOS_COMPLEMENTOS!$B$4:$B$803,"DE CORTE")-SUMIFS(MOVIMIENTOS_COMPLEMENTOS!$I$4:$I$803,MOVIMIENTOS_COMPLEMENTOS!$C$4:$C$803,A2395,MOVIMIENTOS_COMPLEMENTOS!$D$4:$D$803,B2395,MOVIMIENTOS_COMPLEMENTOS!$E$4:$E$803,C2395,MOVIMIENTOS_COMPLEMENTOS!$F$4:$F$803,D2395,MOVIMIENTOS_COMPLEMENTOS!$G$4:$G$803,E2395,MOVIMIENTOS_COMPLEMENTOS!$H$4:$H$803,G2395,MOVIMIENTOS_COMPLEMENTOS!$B$4:$B$803,"SALIDA"),0)</f>
        <v>0</v>
      </c>
      <c r="I2395" s="102">
        <f t="array" ref="I2395">IFERROR(INDEX(PRECIOS_COMPLEMENTOS!$C$4:$F$17,MATCH(B2395&amp;"_"&amp;C2395,PRECIOS_COMPLEMENTOS!$H$4:$H$17,0),IF(OR(G2395="S",G2395="20cm"),1,IF(OR(G2395="M",G2395="25cm"),2,IF(OR(G2395="L",G2395="30cm"),3,IF(OR(G2395="XL",G2395="35cm"),4,0))))),0)</f>
        <v>0.6</v>
      </c>
      <c r="J2395" s="103">
        <f t="shared" si="1"/>
        <v>0</v>
      </c>
      <c r="K2395" s="104" t="str">
        <f>IF(H2395&lt;0,"ERROR",IF(H2395=0,"",IF(H2395&lt;CONFIG!$B$4,"CRÍTICO",IF(H2395&lt;CONFIG!$B$5,"BAJO","OK"))))</f>
        <v/>
      </c>
    </row>
    <row r="2396" ht="15.75" hidden="1" customHeight="1">
      <c r="A2396" s="90" t="str">
        <f>IF(CLIENTES!A6="","",CLIENTES!A6)</f>
        <v/>
      </c>
      <c r="B2396" s="90" t="s">
        <v>331</v>
      </c>
      <c r="C2396" s="91" t="s">
        <v>328</v>
      </c>
      <c r="D2396" s="109" t="s">
        <v>366</v>
      </c>
      <c r="E2396" s="67" t="str">
        <f>COLORES!A22</f>
        <v/>
      </c>
      <c r="F2396" s="67" t="str">
        <f>COLORES!B22</f>
        <v/>
      </c>
      <c r="G2396" s="90" t="s">
        <v>378</v>
      </c>
      <c r="H2396" s="100">
        <f>IFERROR(SUMIFS(MOVIMIENTOS_COMPLEMENTOS!$I$4:$I$803,MOVIMIENTOS_COMPLEMENTOS!$C$4:$C$803,A2396,MOVIMIENTOS_COMPLEMENTOS!$D$4:$D$803,B2396,MOVIMIENTOS_COMPLEMENTOS!$E$4:$E$803,C2396,MOVIMIENTOS_COMPLEMENTOS!$F$4:$F$803,D2396,MOVIMIENTOS_COMPLEMENTOS!$G$4:$G$803,E2396,MOVIMIENTOS_COMPLEMENTOS!$H$4:$H$803,G2396,MOVIMIENTOS_COMPLEMENTOS!$B$4:$B$803,"INGRESO")+SUMIFS(MOVIMIENTOS_COMPLEMENTOS!$I$4:$I$803,MOVIMIENTOS_COMPLEMENTOS!$C$4:$C$803,A2396,MOVIMIENTOS_COMPLEMENTOS!$D$4:$D$803,B2396,MOVIMIENTOS_COMPLEMENTOS!$E$4:$E$803,C2396,MOVIMIENTOS_COMPLEMENTOS!$F$4:$F$803,D2396,MOVIMIENTOS_COMPLEMENTOS!$G$4:$G$803,E2396,MOVIMIENTOS_COMPLEMENTOS!$H$4:$H$803,G2396,MOVIMIENTOS_COMPLEMENTOS!$B$4:$B$803,"DE CORTE")-SUMIFS(MOVIMIENTOS_COMPLEMENTOS!$I$4:$I$803,MOVIMIENTOS_COMPLEMENTOS!$C$4:$C$803,A2396,MOVIMIENTOS_COMPLEMENTOS!$D$4:$D$803,B2396,MOVIMIENTOS_COMPLEMENTOS!$E$4:$E$803,C2396,MOVIMIENTOS_COMPLEMENTOS!$F$4:$F$803,D2396,MOVIMIENTOS_COMPLEMENTOS!$G$4:$G$803,E2396,MOVIMIENTOS_COMPLEMENTOS!$H$4:$H$803,G2396,MOVIMIENTOS_COMPLEMENTOS!$B$4:$B$803,"SALIDA"),0)</f>
        <v>0</v>
      </c>
      <c r="I2396" s="102">
        <f t="array" ref="I2396">IFERROR(INDEX(PRECIOS_COMPLEMENTOS!$C$4:$F$17,MATCH(B2396&amp;"_"&amp;C2396,PRECIOS_COMPLEMENTOS!$H$4:$H$17,0),IF(OR(G2396="S",G2396="20cm"),1,IF(OR(G2396="M",G2396="25cm"),2,IF(OR(G2396="L",G2396="30cm"),3,IF(OR(G2396="XL",G2396="35cm"),4,0))))),0)</f>
        <v>0.6</v>
      </c>
      <c r="J2396" s="103">
        <f t="shared" si="1"/>
        <v>0</v>
      </c>
      <c r="K2396" s="104" t="str">
        <f>IF(H2396&lt;0,"ERROR",IF(H2396=0,"",IF(H2396&lt;CONFIG!$B$4,"CRÍTICO",IF(H2396&lt;CONFIG!$B$5,"BAJO","OK"))))</f>
        <v/>
      </c>
    </row>
    <row r="2397" ht="15.75" hidden="1" customHeight="1">
      <c r="A2397" s="90" t="str">
        <f>IF(CLIENTES!A6="","",CLIENTES!A6)</f>
        <v/>
      </c>
      <c r="B2397" s="90" t="s">
        <v>331</v>
      </c>
      <c r="C2397" s="91" t="s">
        <v>328</v>
      </c>
      <c r="D2397" s="109" t="s">
        <v>366</v>
      </c>
      <c r="E2397" s="67" t="str">
        <f>COLORES!A22</f>
        <v/>
      </c>
      <c r="F2397" s="67" t="str">
        <f>COLORES!B22</f>
        <v/>
      </c>
      <c r="G2397" s="90" t="s">
        <v>376</v>
      </c>
      <c r="H2397" s="100">
        <f>IFERROR(SUMIFS(MOVIMIENTOS_COMPLEMENTOS!$I$4:$I$803,MOVIMIENTOS_COMPLEMENTOS!$C$4:$C$803,A2397,MOVIMIENTOS_COMPLEMENTOS!$D$4:$D$803,B2397,MOVIMIENTOS_COMPLEMENTOS!$E$4:$E$803,C2397,MOVIMIENTOS_COMPLEMENTOS!$F$4:$F$803,D2397,MOVIMIENTOS_COMPLEMENTOS!$G$4:$G$803,E2397,MOVIMIENTOS_COMPLEMENTOS!$H$4:$H$803,G2397,MOVIMIENTOS_COMPLEMENTOS!$B$4:$B$803,"INGRESO")+SUMIFS(MOVIMIENTOS_COMPLEMENTOS!$I$4:$I$803,MOVIMIENTOS_COMPLEMENTOS!$C$4:$C$803,A2397,MOVIMIENTOS_COMPLEMENTOS!$D$4:$D$803,B2397,MOVIMIENTOS_COMPLEMENTOS!$E$4:$E$803,C2397,MOVIMIENTOS_COMPLEMENTOS!$F$4:$F$803,D2397,MOVIMIENTOS_COMPLEMENTOS!$G$4:$G$803,E2397,MOVIMIENTOS_COMPLEMENTOS!$H$4:$H$803,G2397,MOVIMIENTOS_COMPLEMENTOS!$B$4:$B$803,"DE CORTE")-SUMIFS(MOVIMIENTOS_COMPLEMENTOS!$I$4:$I$803,MOVIMIENTOS_COMPLEMENTOS!$C$4:$C$803,A2397,MOVIMIENTOS_COMPLEMENTOS!$D$4:$D$803,B2397,MOVIMIENTOS_COMPLEMENTOS!$E$4:$E$803,C2397,MOVIMIENTOS_COMPLEMENTOS!$F$4:$F$803,D2397,MOVIMIENTOS_COMPLEMENTOS!$G$4:$G$803,E2397,MOVIMIENTOS_COMPLEMENTOS!$H$4:$H$803,G2397,MOVIMIENTOS_COMPLEMENTOS!$B$4:$B$803,"SALIDA"),0)</f>
        <v>0</v>
      </c>
      <c r="I2397" s="102">
        <f t="array" ref="I2397">IFERROR(INDEX(PRECIOS_COMPLEMENTOS!$C$4:$F$17,MATCH(B2397&amp;"_"&amp;C2397,PRECIOS_COMPLEMENTOS!$H$4:$H$17,0),IF(OR(G2397="S",G2397="20cm"),1,IF(OR(G2397="M",G2397="25cm"),2,IF(OR(G2397="L",G2397="30cm"),3,IF(OR(G2397="XL",G2397="35cm"),4,0))))),0)</f>
        <v>0.6</v>
      </c>
      <c r="J2397" s="103">
        <f t="shared" si="1"/>
        <v>0</v>
      </c>
      <c r="K2397" s="104" t="str">
        <f>IF(H2397&lt;0,"ERROR",IF(H2397=0,"",IF(H2397&lt;CONFIG!$B$4,"CRÍTICO",IF(H2397&lt;CONFIG!$B$5,"BAJO","OK"))))</f>
        <v/>
      </c>
    </row>
    <row r="2398" ht="15.75" hidden="1" customHeight="1">
      <c r="A2398" s="90" t="str">
        <f>IF(CLIENTES!A6="","",CLIENTES!A6)</f>
        <v/>
      </c>
      <c r="B2398" s="90" t="s">
        <v>331</v>
      </c>
      <c r="C2398" s="91" t="s">
        <v>328</v>
      </c>
      <c r="D2398" s="109" t="s">
        <v>366</v>
      </c>
      <c r="E2398" s="67" t="str">
        <f>COLORES!A22</f>
        <v/>
      </c>
      <c r="F2398" s="67" t="str">
        <f>COLORES!B22</f>
        <v/>
      </c>
      <c r="G2398" s="90" t="s">
        <v>377</v>
      </c>
      <c r="H2398" s="100">
        <f>IFERROR(SUMIFS(MOVIMIENTOS_COMPLEMENTOS!$I$4:$I$803,MOVIMIENTOS_COMPLEMENTOS!$C$4:$C$803,A2398,MOVIMIENTOS_COMPLEMENTOS!$D$4:$D$803,B2398,MOVIMIENTOS_COMPLEMENTOS!$E$4:$E$803,C2398,MOVIMIENTOS_COMPLEMENTOS!$F$4:$F$803,D2398,MOVIMIENTOS_COMPLEMENTOS!$G$4:$G$803,E2398,MOVIMIENTOS_COMPLEMENTOS!$H$4:$H$803,G2398,MOVIMIENTOS_COMPLEMENTOS!$B$4:$B$803,"INGRESO")+SUMIFS(MOVIMIENTOS_COMPLEMENTOS!$I$4:$I$803,MOVIMIENTOS_COMPLEMENTOS!$C$4:$C$803,A2398,MOVIMIENTOS_COMPLEMENTOS!$D$4:$D$803,B2398,MOVIMIENTOS_COMPLEMENTOS!$E$4:$E$803,C2398,MOVIMIENTOS_COMPLEMENTOS!$F$4:$F$803,D2398,MOVIMIENTOS_COMPLEMENTOS!$G$4:$G$803,E2398,MOVIMIENTOS_COMPLEMENTOS!$H$4:$H$803,G2398,MOVIMIENTOS_COMPLEMENTOS!$B$4:$B$803,"DE CORTE")-SUMIFS(MOVIMIENTOS_COMPLEMENTOS!$I$4:$I$803,MOVIMIENTOS_COMPLEMENTOS!$C$4:$C$803,A2398,MOVIMIENTOS_COMPLEMENTOS!$D$4:$D$803,B2398,MOVIMIENTOS_COMPLEMENTOS!$E$4:$E$803,C2398,MOVIMIENTOS_COMPLEMENTOS!$F$4:$F$803,D2398,MOVIMIENTOS_COMPLEMENTOS!$G$4:$G$803,E2398,MOVIMIENTOS_COMPLEMENTOS!$H$4:$H$803,G2398,MOVIMIENTOS_COMPLEMENTOS!$B$4:$B$803,"SALIDA"),0)</f>
        <v>0</v>
      </c>
      <c r="I2398" s="102">
        <f t="array" ref="I2398">IFERROR(INDEX(PRECIOS_COMPLEMENTOS!$C$4:$F$17,MATCH(B2398&amp;"_"&amp;C2398,PRECIOS_COMPLEMENTOS!$H$4:$H$17,0),IF(OR(G2398="S",G2398="20cm"),1,IF(OR(G2398="M",G2398="25cm"),2,IF(OR(G2398="L",G2398="30cm"),3,IF(OR(G2398="XL",G2398="35cm"),4,0))))),0)</f>
        <v>0.6</v>
      </c>
      <c r="J2398" s="103">
        <f t="shared" si="1"/>
        <v>0</v>
      </c>
      <c r="K2398" s="104" t="str">
        <f>IF(H2398&lt;0,"ERROR",IF(H2398=0,"",IF(H2398&lt;CONFIG!$B$4,"CRÍTICO",IF(H2398&lt;CONFIG!$B$5,"BAJO","OK"))))</f>
        <v/>
      </c>
    </row>
    <row r="2399" ht="15.75" hidden="1" customHeight="1">
      <c r="A2399" s="90" t="str">
        <f>IF(CLIENTES!A6="","",CLIENTES!A6)</f>
        <v/>
      </c>
      <c r="B2399" s="90" t="s">
        <v>331</v>
      </c>
      <c r="C2399" s="91" t="s">
        <v>328</v>
      </c>
      <c r="D2399" s="109" t="s">
        <v>366</v>
      </c>
      <c r="E2399" s="67" t="str">
        <f>COLORES!A22</f>
        <v/>
      </c>
      <c r="F2399" s="67" t="str">
        <f>COLORES!B22</f>
        <v/>
      </c>
      <c r="G2399" s="90" t="s">
        <v>379</v>
      </c>
      <c r="H2399" s="100">
        <f>IFERROR(SUMIFS(MOVIMIENTOS_COMPLEMENTOS!$I$4:$I$803,MOVIMIENTOS_COMPLEMENTOS!$C$4:$C$803,A2399,MOVIMIENTOS_COMPLEMENTOS!$D$4:$D$803,B2399,MOVIMIENTOS_COMPLEMENTOS!$E$4:$E$803,C2399,MOVIMIENTOS_COMPLEMENTOS!$F$4:$F$803,D2399,MOVIMIENTOS_COMPLEMENTOS!$G$4:$G$803,E2399,MOVIMIENTOS_COMPLEMENTOS!$H$4:$H$803,G2399,MOVIMIENTOS_COMPLEMENTOS!$B$4:$B$803,"INGRESO")+SUMIFS(MOVIMIENTOS_COMPLEMENTOS!$I$4:$I$803,MOVIMIENTOS_COMPLEMENTOS!$C$4:$C$803,A2399,MOVIMIENTOS_COMPLEMENTOS!$D$4:$D$803,B2399,MOVIMIENTOS_COMPLEMENTOS!$E$4:$E$803,C2399,MOVIMIENTOS_COMPLEMENTOS!$F$4:$F$803,D2399,MOVIMIENTOS_COMPLEMENTOS!$G$4:$G$803,E2399,MOVIMIENTOS_COMPLEMENTOS!$H$4:$H$803,G2399,MOVIMIENTOS_COMPLEMENTOS!$B$4:$B$803,"DE CORTE")-SUMIFS(MOVIMIENTOS_COMPLEMENTOS!$I$4:$I$803,MOVIMIENTOS_COMPLEMENTOS!$C$4:$C$803,A2399,MOVIMIENTOS_COMPLEMENTOS!$D$4:$D$803,B2399,MOVIMIENTOS_COMPLEMENTOS!$E$4:$E$803,C2399,MOVIMIENTOS_COMPLEMENTOS!$F$4:$F$803,D2399,MOVIMIENTOS_COMPLEMENTOS!$G$4:$G$803,E2399,MOVIMIENTOS_COMPLEMENTOS!$H$4:$H$803,G2399,MOVIMIENTOS_COMPLEMENTOS!$B$4:$B$803,"SALIDA"),0)</f>
        <v>0</v>
      </c>
      <c r="I2399" s="102">
        <f t="array" ref="I2399">IFERROR(INDEX(PRECIOS_COMPLEMENTOS!$C$4:$F$17,MATCH(B2399&amp;"_"&amp;C2399,PRECIOS_COMPLEMENTOS!$H$4:$H$17,0),IF(OR(G2399="S",G2399="20cm"),1,IF(OR(G2399="M",G2399="25cm"),2,IF(OR(G2399="L",G2399="30cm"),3,IF(OR(G2399="XL",G2399="35cm"),4,0))))),0)</f>
        <v>0.6</v>
      </c>
      <c r="J2399" s="103">
        <f t="shared" si="1"/>
        <v>0</v>
      </c>
      <c r="K2399" s="104" t="str">
        <f>IF(H2399&lt;0,"ERROR",IF(H2399=0,"",IF(H2399&lt;CONFIG!$B$4,"CRÍTICO",IF(H2399&lt;CONFIG!$B$5,"BAJO","OK"))))</f>
        <v/>
      </c>
    </row>
    <row r="2400" ht="15.75" hidden="1" customHeight="1">
      <c r="A2400" s="90" t="str">
        <f>IF(CLIENTES!A6="","",CLIENTES!A6)</f>
        <v/>
      </c>
      <c r="B2400" s="90" t="s">
        <v>331</v>
      </c>
      <c r="C2400" s="91" t="s">
        <v>328</v>
      </c>
      <c r="D2400" s="109" t="s">
        <v>366</v>
      </c>
      <c r="E2400" s="67" t="str">
        <f>COLORES!A23</f>
        <v/>
      </c>
      <c r="F2400" s="67" t="str">
        <f>COLORES!B23</f>
        <v/>
      </c>
      <c r="G2400" s="90" t="s">
        <v>378</v>
      </c>
      <c r="H2400" s="100">
        <f>IFERROR(SUMIFS(MOVIMIENTOS_COMPLEMENTOS!$I$4:$I$803,MOVIMIENTOS_COMPLEMENTOS!$C$4:$C$803,A2400,MOVIMIENTOS_COMPLEMENTOS!$D$4:$D$803,B2400,MOVIMIENTOS_COMPLEMENTOS!$E$4:$E$803,C2400,MOVIMIENTOS_COMPLEMENTOS!$F$4:$F$803,D2400,MOVIMIENTOS_COMPLEMENTOS!$G$4:$G$803,E2400,MOVIMIENTOS_COMPLEMENTOS!$H$4:$H$803,G2400,MOVIMIENTOS_COMPLEMENTOS!$B$4:$B$803,"INGRESO")+SUMIFS(MOVIMIENTOS_COMPLEMENTOS!$I$4:$I$803,MOVIMIENTOS_COMPLEMENTOS!$C$4:$C$803,A2400,MOVIMIENTOS_COMPLEMENTOS!$D$4:$D$803,B2400,MOVIMIENTOS_COMPLEMENTOS!$E$4:$E$803,C2400,MOVIMIENTOS_COMPLEMENTOS!$F$4:$F$803,D2400,MOVIMIENTOS_COMPLEMENTOS!$G$4:$G$803,E2400,MOVIMIENTOS_COMPLEMENTOS!$H$4:$H$803,G2400,MOVIMIENTOS_COMPLEMENTOS!$B$4:$B$803,"DE CORTE")-SUMIFS(MOVIMIENTOS_COMPLEMENTOS!$I$4:$I$803,MOVIMIENTOS_COMPLEMENTOS!$C$4:$C$803,A2400,MOVIMIENTOS_COMPLEMENTOS!$D$4:$D$803,B2400,MOVIMIENTOS_COMPLEMENTOS!$E$4:$E$803,C2400,MOVIMIENTOS_COMPLEMENTOS!$F$4:$F$803,D2400,MOVIMIENTOS_COMPLEMENTOS!$G$4:$G$803,E2400,MOVIMIENTOS_COMPLEMENTOS!$H$4:$H$803,G2400,MOVIMIENTOS_COMPLEMENTOS!$B$4:$B$803,"SALIDA"),0)</f>
        <v>0</v>
      </c>
      <c r="I2400" s="102">
        <f t="array" ref="I2400">IFERROR(INDEX(PRECIOS_COMPLEMENTOS!$C$4:$F$17,MATCH(B2400&amp;"_"&amp;C2400,PRECIOS_COMPLEMENTOS!$H$4:$H$17,0),IF(OR(G2400="S",G2400="20cm"),1,IF(OR(G2400="M",G2400="25cm"),2,IF(OR(G2400="L",G2400="30cm"),3,IF(OR(G2400="XL",G2400="35cm"),4,0))))),0)</f>
        <v>0.6</v>
      </c>
      <c r="J2400" s="103">
        <f t="shared" si="1"/>
        <v>0</v>
      </c>
      <c r="K2400" s="104" t="str">
        <f>IF(H2400&lt;0,"ERROR",IF(H2400=0,"",IF(H2400&lt;CONFIG!$B$4,"CRÍTICO",IF(H2400&lt;CONFIG!$B$5,"BAJO","OK"))))</f>
        <v/>
      </c>
    </row>
    <row r="2401" ht="15.75" hidden="1" customHeight="1">
      <c r="A2401" s="90" t="str">
        <f>IF(CLIENTES!A6="","",CLIENTES!A6)</f>
        <v/>
      </c>
      <c r="B2401" s="90" t="s">
        <v>331</v>
      </c>
      <c r="C2401" s="91" t="s">
        <v>328</v>
      </c>
      <c r="D2401" s="109" t="s">
        <v>366</v>
      </c>
      <c r="E2401" s="67" t="str">
        <f>COLORES!A23</f>
        <v/>
      </c>
      <c r="F2401" s="67" t="str">
        <f>COLORES!B23</f>
        <v/>
      </c>
      <c r="G2401" s="90" t="s">
        <v>376</v>
      </c>
      <c r="H2401" s="100">
        <f>IFERROR(SUMIFS(MOVIMIENTOS_COMPLEMENTOS!$I$4:$I$803,MOVIMIENTOS_COMPLEMENTOS!$C$4:$C$803,A2401,MOVIMIENTOS_COMPLEMENTOS!$D$4:$D$803,B2401,MOVIMIENTOS_COMPLEMENTOS!$E$4:$E$803,C2401,MOVIMIENTOS_COMPLEMENTOS!$F$4:$F$803,D2401,MOVIMIENTOS_COMPLEMENTOS!$G$4:$G$803,E2401,MOVIMIENTOS_COMPLEMENTOS!$H$4:$H$803,G2401,MOVIMIENTOS_COMPLEMENTOS!$B$4:$B$803,"INGRESO")+SUMIFS(MOVIMIENTOS_COMPLEMENTOS!$I$4:$I$803,MOVIMIENTOS_COMPLEMENTOS!$C$4:$C$803,A2401,MOVIMIENTOS_COMPLEMENTOS!$D$4:$D$803,B2401,MOVIMIENTOS_COMPLEMENTOS!$E$4:$E$803,C2401,MOVIMIENTOS_COMPLEMENTOS!$F$4:$F$803,D2401,MOVIMIENTOS_COMPLEMENTOS!$G$4:$G$803,E2401,MOVIMIENTOS_COMPLEMENTOS!$H$4:$H$803,G2401,MOVIMIENTOS_COMPLEMENTOS!$B$4:$B$803,"DE CORTE")-SUMIFS(MOVIMIENTOS_COMPLEMENTOS!$I$4:$I$803,MOVIMIENTOS_COMPLEMENTOS!$C$4:$C$803,A2401,MOVIMIENTOS_COMPLEMENTOS!$D$4:$D$803,B2401,MOVIMIENTOS_COMPLEMENTOS!$E$4:$E$803,C2401,MOVIMIENTOS_COMPLEMENTOS!$F$4:$F$803,D2401,MOVIMIENTOS_COMPLEMENTOS!$G$4:$G$803,E2401,MOVIMIENTOS_COMPLEMENTOS!$H$4:$H$803,G2401,MOVIMIENTOS_COMPLEMENTOS!$B$4:$B$803,"SALIDA"),0)</f>
        <v>0</v>
      </c>
      <c r="I2401" s="102">
        <f t="array" ref="I2401">IFERROR(INDEX(PRECIOS_COMPLEMENTOS!$C$4:$F$17,MATCH(B2401&amp;"_"&amp;C2401,PRECIOS_COMPLEMENTOS!$H$4:$H$17,0),IF(OR(G2401="S",G2401="20cm"),1,IF(OR(G2401="M",G2401="25cm"),2,IF(OR(G2401="L",G2401="30cm"),3,IF(OR(G2401="XL",G2401="35cm"),4,0))))),0)</f>
        <v>0.6</v>
      </c>
      <c r="J2401" s="103">
        <f t="shared" si="1"/>
        <v>0</v>
      </c>
      <c r="K2401" s="104" t="str">
        <f>IF(H2401&lt;0,"ERROR",IF(H2401=0,"",IF(H2401&lt;CONFIG!$B$4,"CRÍTICO",IF(H2401&lt;CONFIG!$B$5,"BAJO","OK"))))</f>
        <v/>
      </c>
    </row>
    <row r="2402" ht="15.75" hidden="1" customHeight="1">
      <c r="A2402" s="90" t="str">
        <f>IF(CLIENTES!A6="","",CLIENTES!A6)</f>
        <v/>
      </c>
      <c r="B2402" s="90" t="s">
        <v>331</v>
      </c>
      <c r="C2402" s="91" t="s">
        <v>328</v>
      </c>
      <c r="D2402" s="109" t="s">
        <v>366</v>
      </c>
      <c r="E2402" s="67" t="str">
        <f>COLORES!A23</f>
        <v/>
      </c>
      <c r="F2402" s="67" t="str">
        <f>COLORES!B23</f>
        <v/>
      </c>
      <c r="G2402" s="90" t="s">
        <v>377</v>
      </c>
      <c r="H2402" s="100">
        <f>IFERROR(SUMIFS(MOVIMIENTOS_COMPLEMENTOS!$I$4:$I$803,MOVIMIENTOS_COMPLEMENTOS!$C$4:$C$803,A2402,MOVIMIENTOS_COMPLEMENTOS!$D$4:$D$803,B2402,MOVIMIENTOS_COMPLEMENTOS!$E$4:$E$803,C2402,MOVIMIENTOS_COMPLEMENTOS!$F$4:$F$803,D2402,MOVIMIENTOS_COMPLEMENTOS!$G$4:$G$803,E2402,MOVIMIENTOS_COMPLEMENTOS!$H$4:$H$803,G2402,MOVIMIENTOS_COMPLEMENTOS!$B$4:$B$803,"INGRESO")+SUMIFS(MOVIMIENTOS_COMPLEMENTOS!$I$4:$I$803,MOVIMIENTOS_COMPLEMENTOS!$C$4:$C$803,A2402,MOVIMIENTOS_COMPLEMENTOS!$D$4:$D$803,B2402,MOVIMIENTOS_COMPLEMENTOS!$E$4:$E$803,C2402,MOVIMIENTOS_COMPLEMENTOS!$F$4:$F$803,D2402,MOVIMIENTOS_COMPLEMENTOS!$G$4:$G$803,E2402,MOVIMIENTOS_COMPLEMENTOS!$H$4:$H$803,G2402,MOVIMIENTOS_COMPLEMENTOS!$B$4:$B$803,"DE CORTE")-SUMIFS(MOVIMIENTOS_COMPLEMENTOS!$I$4:$I$803,MOVIMIENTOS_COMPLEMENTOS!$C$4:$C$803,A2402,MOVIMIENTOS_COMPLEMENTOS!$D$4:$D$803,B2402,MOVIMIENTOS_COMPLEMENTOS!$E$4:$E$803,C2402,MOVIMIENTOS_COMPLEMENTOS!$F$4:$F$803,D2402,MOVIMIENTOS_COMPLEMENTOS!$G$4:$G$803,E2402,MOVIMIENTOS_COMPLEMENTOS!$H$4:$H$803,G2402,MOVIMIENTOS_COMPLEMENTOS!$B$4:$B$803,"SALIDA"),0)</f>
        <v>0</v>
      </c>
      <c r="I2402" s="102">
        <f t="array" ref="I2402">IFERROR(INDEX(PRECIOS_COMPLEMENTOS!$C$4:$F$17,MATCH(B2402&amp;"_"&amp;C2402,PRECIOS_COMPLEMENTOS!$H$4:$H$17,0),IF(OR(G2402="S",G2402="20cm"),1,IF(OR(G2402="M",G2402="25cm"),2,IF(OR(G2402="L",G2402="30cm"),3,IF(OR(G2402="XL",G2402="35cm"),4,0))))),0)</f>
        <v>0.6</v>
      </c>
      <c r="J2402" s="103">
        <f t="shared" si="1"/>
        <v>0</v>
      </c>
      <c r="K2402" s="104" t="str">
        <f>IF(H2402&lt;0,"ERROR",IF(H2402=0,"",IF(H2402&lt;CONFIG!$B$4,"CRÍTICO",IF(H2402&lt;CONFIG!$B$5,"BAJO","OK"))))</f>
        <v/>
      </c>
    </row>
    <row r="2403" ht="15.75" hidden="1" customHeight="1">
      <c r="A2403" s="90" t="str">
        <f>IF(CLIENTES!A6="","",CLIENTES!A6)</f>
        <v/>
      </c>
      <c r="B2403" s="90" t="s">
        <v>331</v>
      </c>
      <c r="C2403" s="91" t="s">
        <v>328</v>
      </c>
      <c r="D2403" s="109" t="s">
        <v>366</v>
      </c>
      <c r="E2403" s="67" t="str">
        <f>COLORES!A23</f>
        <v/>
      </c>
      <c r="F2403" s="67" t="str">
        <f>COLORES!B23</f>
        <v/>
      </c>
      <c r="G2403" s="90" t="s">
        <v>379</v>
      </c>
      <c r="H2403" s="100">
        <f>IFERROR(SUMIFS(MOVIMIENTOS_COMPLEMENTOS!$I$4:$I$803,MOVIMIENTOS_COMPLEMENTOS!$C$4:$C$803,A2403,MOVIMIENTOS_COMPLEMENTOS!$D$4:$D$803,B2403,MOVIMIENTOS_COMPLEMENTOS!$E$4:$E$803,C2403,MOVIMIENTOS_COMPLEMENTOS!$F$4:$F$803,D2403,MOVIMIENTOS_COMPLEMENTOS!$G$4:$G$803,E2403,MOVIMIENTOS_COMPLEMENTOS!$H$4:$H$803,G2403,MOVIMIENTOS_COMPLEMENTOS!$B$4:$B$803,"INGRESO")+SUMIFS(MOVIMIENTOS_COMPLEMENTOS!$I$4:$I$803,MOVIMIENTOS_COMPLEMENTOS!$C$4:$C$803,A2403,MOVIMIENTOS_COMPLEMENTOS!$D$4:$D$803,B2403,MOVIMIENTOS_COMPLEMENTOS!$E$4:$E$803,C2403,MOVIMIENTOS_COMPLEMENTOS!$F$4:$F$803,D2403,MOVIMIENTOS_COMPLEMENTOS!$G$4:$G$803,E2403,MOVIMIENTOS_COMPLEMENTOS!$H$4:$H$803,G2403,MOVIMIENTOS_COMPLEMENTOS!$B$4:$B$803,"DE CORTE")-SUMIFS(MOVIMIENTOS_COMPLEMENTOS!$I$4:$I$803,MOVIMIENTOS_COMPLEMENTOS!$C$4:$C$803,A2403,MOVIMIENTOS_COMPLEMENTOS!$D$4:$D$803,B2403,MOVIMIENTOS_COMPLEMENTOS!$E$4:$E$803,C2403,MOVIMIENTOS_COMPLEMENTOS!$F$4:$F$803,D2403,MOVIMIENTOS_COMPLEMENTOS!$G$4:$G$803,E2403,MOVIMIENTOS_COMPLEMENTOS!$H$4:$H$803,G2403,MOVIMIENTOS_COMPLEMENTOS!$B$4:$B$803,"SALIDA"),0)</f>
        <v>0</v>
      </c>
      <c r="I2403" s="102">
        <f t="array" ref="I2403">IFERROR(INDEX(PRECIOS_COMPLEMENTOS!$C$4:$F$17,MATCH(B2403&amp;"_"&amp;C2403,PRECIOS_COMPLEMENTOS!$H$4:$H$17,0),IF(OR(G2403="S",G2403="20cm"),1,IF(OR(G2403="M",G2403="25cm"),2,IF(OR(G2403="L",G2403="30cm"),3,IF(OR(G2403="XL",G2403="35cm"),4,0))))),0)</f>
        <v>0.6</v>
      </c>
      <c r="J2403" s="103">
        <f t="shared" si="1"/>
        <v>0</v>
      </c>
      <c r="K2403" s="104" t="str">
        <f>IF(H2403&lt;0,"ERROR",IF(H2403=0,"",IF(H2403&lt;CONFIG!$B$4,"CRÍTICO",IF(H2403&lt;CONFIG!$B$5,"BAJO","OK"))))</f>
        <v/>
      </c>
    </row>
    <row r="2404" ht="15.75" hidden="1" customHeight="1">
      <c r="A2404" s="90" t="str">
        <f>IF(CLIENTES!A7="","",CLIENTES!A7)</f>
        <v/>
      </c>
      <c r="B2404" s="90" t="s">
        <v>331</v>
      </c>
      <c r="C2404" s="91" t="s">
        <v>328</v>
      </c>
      <c r="D2404" s="109" t="s">
        <v>364</v>
      </c>
      <c r="E2404" s="67" t="str">
        <f>COLORES!A4</f>
        <v>Negro</v>
      </c>
      <c r="F2404" s="67" t="str">
        <f>COLORES!B4</f>
        <v>OSCURO</v>
      </c>
      <c r="G2404" s="90" t="s">
        <v>378</v>
      </c>
      <c r="H2404" s="100">
        <f>IFERROR(SUMIFS(MOVIMIENTOS_COMPLEMENTOS!$I$4:$I$803,MOVIMIENTOS_COMPLEMENTOS!$C$4:$C$803,A2404,MOVIMIENTOS_COMPLEMENTOS!$D$4:$D$803,B2404,MOVIMIENTOS_COMPLEMENTOS!$E$4:$E$803,C2404,MOVIMIENTOS_COMPLEMENTOS!$F$4:$F$803,D2404,MOVIMIENTOS_COMPLEMENTOS!$G$4:$G$803,E2404,MOVIMIENTOS_COMPLEMENTOS!$H$4:$H$803,G2404,MOVIMIENTOS_COMPLEMENTOS!$B$4:$B$803,"INGRESO")+SUMIFS(MOVIMIENTOS_COMPLEMENTOS!$I$4:$I$803,MOVIMIENTOS_COMPLEMENTOS!$C$4:$C$803,A2404,MOVIMIENTOS_COMPLEMENTOS!$D$4:$D$803,B2404,MOVIMIENTOS_COMPLEMENTOS!$E$4:$E$803,C2404,MOVIMIENTOS_COMPLEMENTOS!$F$4:$F$803,D2404,MOVIMIENTOS_COMPLEMENTOS!$G$4:$G$803,E2404,MOVIMIENTOS_COMPLEMENTOS!$H$4:$H$803,G2404,MOVIMIENTOS_COMPLEMENTOS!$B$4:$B$803,"DE CORTE")-SUMIFS(MOVIMIENTOS_COMPLEMENTOS!$I$4:$I$803,MOVIMIENTOS_COMPLEMENTOS!$C$4:$C$803,A2404,MOVIMIENTOS_COMPLEMENTOS!$D$4:$D$803,B2404,MOVIMIENTOS_COMPLEMENTOS!$E$4:$E$803,C2404,MOVIMIENTOS_COMPLEMENTOS!$F$4:$F$803,D2404,MOVIMIENTOS_COMPLEMENTOS!$G$4:$G$803,E2404,MOVIMIENTOS_COMPLEMENTOS!$H$4:$H$803,G2404,MOVIMIENTOS_COMPLEMENTOS!$B$4:$B$803,"SALIDA"),0)</f>
        <v>0</v>
      </c>
      <c r="I2404" s="102">
        <f t="array" ref="I2404">IFERROR(INDEX(PRECIOS_COMPLEMENTOS!$C$4:$F$17,MATCH(B2404&amp;"_"&amp;C2404,PRECIOS_COMPLEMENTOS!$H$4:$H$17,0),IF(OR(G2404="S",G2404="20cm"),1,IF(OR(G2404="M",G2404="25cm"),2,IF(OR(G2404="L",G2404="30cm"),3,IF(OR(G2404="XL",G2404="35cm"),4,0))))),0)</f>
        <v>0.6</v>
      </c>
      <c r="J2404" s="103">
        <f t="shared" si="1"/>
        <v>0</v>
      </c>
      <c r="K2404" s="104" t="str">
        <f>IF(H2404&lt;0,"ERROR",IF(H2404=0,"",IF(H2404&lt;CONFIG!$B$4,"CRÍTICO",IF(H2404&lt;CONFIG!$B$5,"BAJO","OK"))))</f>
        <v/>
      </c>
    </row>
    <row r="2405" ht="15.75" hidden="1" customHeight="1">
      <c r="A2405" s="90" t="str">
        <f>IF(CLIENTES!A7="","",CLIENTES!A7)</f>
        <v/>
      </c>
      <c r="B2405" s="90" t="s">
        <v>331</v>
      </c>
      <c r="C2405" s="91" t="s">
        <v>328</v>
      </c>
      <c r="D2405" s="109" t="s">
        <v>364</v>
      </c>
      <c r="E2405" s="67" t="str">
        <f>COLORES!A4</f>
        <v>Negro</v>
      </c>
      <c r="F2405" s="67" t="str">
        <f>COLORES!B4</f>
        <v>OSCURO</v>
      </c>
      <c r="G2405" s="90" t="s">
        <v>376</v>
      </c>
      <c r="H2405" s="100">
        <f>IFERROR(SUMIFS(MOVIMIENTOS_COMPLEMENTOS!$I$4:$I$803,MOVIMIENTOS_COMPLEMENTOS!$C$4:$C$803,A2405,MOVIMIENTOS_COMPLEMENTOS!$D$4:$D$803,B2405,MOVIMIENTOS_COMPLEMENTOS!$E$4:$E$803,C2405,MOVIMIENTOS_COMPLEMENTOS!$F$4:$F$803,D2405,MOVIMIENTOS_COMPLEMENTOS!$G$4:$G$803,E2405,MOVIMIENTOS_COMPLEMENTOS!$H$4:$H$803,G2405,MOVIMIENTOS_COMPLEMENTOS!$B$4:$B$803,"INGRESO")+SUMIFS(MOVIMIENTOS_COMPLEMENTOS!$I$4:$I$803,MOVIMIENTOS_COMPLEMENTOS!$C$4:$C$803,A2405,MOVIMIENTOS_COMPLEMENTOS!$D$4:$D$803,B2405,MOVIMIENTOS_COMPLEMENTOS!$E$4:$E$803,C2405,MOVIMIENTOS_COMPLEMENTOS!$F$4:$F$803,D2405,MOVIMIENTOS_COMPLEMENTOS!$G$4:$G$803,E2405,MOVIMIENTOS_COMPLEMENTOS!$H$4:$H$803,G2405,MOVIMIENTOS_COMPLEMENTOS!$B$4:$B$803,"DE CORTE")-SUMIFS(MOVIMIENTOS_COMPLEMENTOS!$I$4:$I$803,MOVIMIENTOS_COMPLEMENTOS!$C$4:$C$803,A2405,MOVIMIENTOS_COMPLEMENTOS!$D$4:$D$803,B2405,MOVIMIENTOS_COMPLEMENTOS!$E$4:$E$803,C2405,MOVIMIENTOS_COMPLEMENTOS!$F$4:$F$803,D2405,MOVIMIENTOS_COMPLEMENTOS!$G$4:$G$803,E2405,MOVIMIENTOS_COMPLEMENTOS!$H$4:$H$803,G2405,MOVIMIENTOS_COMPLEMENTOS!$B$4:$B$803,"SALIDA"),0)</f>
        <v>0</v>
      </c>
      <c r="I2405" s="102">
        <f t="array" ref="I2405">IFERROR(INDEX(PRECIOS_COMPLEMENTOS!$C$4:$F$17,MATCH(B2405&amp;"_"&amp;C2405,PRECIOS_COMPLEMENTOS!$H$4:$H$17,0),IF(OR(G2405="S",G2405="20cm"),1,IF(OR(G2405="M",G2405="25cm"),2,IF(OR(G2405="L",G2405="30cm"),3,IF(OR(G2405="XL",G2405="35cm"),4,0))))),0)</f>
        <v>0.6</v>
      </c>
      <c r="J2405" s="103">
        <f t="shared" si="1"/>
        <v>0</v>
      </c>
      <c r="K2405" s="104" t="str">
        <f>IF(H2405&lt;0,"ERROR",IF(H2405=0,"",IF(H2405&lt;CONFIG!$B$4,"CRÍTICO",IF(H2405&lt;CONFIG!$B$5,"BAJO","OK"))))</f>
        <v/>
      </c>
    </row>
    <row r="2406" ht="15.75" hidden="1" customHeight="1">
      <c r="A2406" s="90" t="str">
        <f>IF(CLIENTES!A7="","",CLIENTES!A7)</f>
        <v/>
      </c>
      <c r="B2406" s="90" t="s">
        <v>331</v>
      </c>
      <c r="C2406" s="91" t="s">
        <v>328</v>
      </c>
      <c r="D2406" s="109" t="s">
        <v>364</v>
      </c>
      <c r="E2406" s="67" t="str">
        <f>COLORES!A4</f>
        <v>Negro</v>
      </c>
      <c r="F2406" s="67" t="str">
        <f>COLORES!B4</f>
        <v>OSCURO</v>
      </c>
      <c r="G2406" s="90" t="s">
        <v>377</v>
      </c>
      <c r="H2406" s="100">
        <f>IFERROR(SUMIFS(MOVIMIENTOS_COMPLEMENTOS!$I$4:$I$803,MOVIMIENTOS_COMPLEMENTOS!$C$4:$C$803,A2406,MOVIMIENTOS_COMPLEMENTOS!$D$4:$D$803,B2406,MOVIMIENTOS_COMPLEMENTOS!$E$4:$E$803,C2406,MOVIMIENTOS_COMPLEMENTOS!$F$4:$F$803,D2406,MOVIMIENTOS_COMPLEMENTOS!$G$4:$G$803,E2406,MOVIMIENTOS_COMPLEMENTOS!$H$4:$H$803,G2406,MOVIMIENTOS_COMPLEMENTOS!$B$4:$B$803,"INGRESO")+SUMIFS(MOVIMIENTOS_COMPLEMENTOS!$I$4:$I$803,MOVIMIENTOS_COMPLEMENTOS!$C$4:$C$803,A2406,MOVIMIENTOS_COMPLEMENTOS!$D$4:$D$803,B2406,MOVIMIENTOS_COMPLEMENTOS!$E$4:$E$803,C2406,MOVIMIENTOS_COMPLEMENTOS!$F$4:$F$803,D2406,MOVIMIENTOS_COMPLEMENTOS!$G$4:$G$803,E2406,MOVIMIENTOS_COMPLEMENTOS!$H$4:$H$803,G2406,MOVIMIENTOS_COMPLEMENTOS!$B$4:$B$803,"DE CORTE")-SUMIFS(MOVIMIENTOS_COMPLEMENTOS!$I$4:$I$803,MOVIMIENTOS_COMPLEMENTOS!$C$4:$C$803,A2406,MOVIMIENTOS_COMPLEMENTOS!$D$4:$D$803,B2406,MOVIMIENTOS_COMPLEMENTOS!$E$4:$E$803,C2406,MOVIMIENTOS_COMPLEMENTOS!$F$4:$F$803,D2406,MOVIMIENTOS_COMPLEMENTOS!$G$4:$G$803,E2406,MOVIMIENTOS_COMPLEMENTOS!$H$4:$H$803,G2406,MOVIMIENTOS_COMPLEMENTOS!$B$4:$B$803,"SALIDA"),0)</f>
        <v>0</v>
      </c>
      <c r="I2406" s="102">
        <f t="array" ref="I2406">IFERROR(INDEX(PRECIOS_COMPLEMENTOS!$C$4:$F$17,MATCH(B2406&amp;"_"&amp;C2406,PRECIOS_COMPLEMENTOS!$H$4:$H$17,0),IF(OR(G2406="S",G2406="20cm"),1,IF(OR(G2406="M",G2406="25cm"),2,IF(OR(G2406="L",G2406="30cm"),3,IF(OR(G2406="XL",G2406="35cm"),4,0))))),0)</f>
        <v>0.6</v>
      </c>
      <c r="J2406" s="103">
        <f t="shared" si="1"/>
        <v>0</v>
      </c>
      <c r="K2406" s="104" t="str">
        <f>IF(H2406&lt;0,"ERROR",IF(H2406=0,"",IF(H2406&lt;CONFIG!$B$4,"CRÍTICO",IF(H2406&lt;CONFIG!$B$5,"BAJO","OK"))))</f>
        <v/>
      </c>
    </row>
    <row r="2407" ht="15.75" hidden="1" customHeight="1">
      <c r="A2407" s="90" t="str">
        <f>IF(CLIENTES!A7="","",CLIENTES!A7)</f>
        <v/>
      </c>
      <c r="B2407" s="90" t="s">
        <v>331</v>
      </c>
      <c r="C2407" s="91" t="s">
        <v>328</v>
      </c>
      <c r="D2407" s="109" t="s">
        <v>364</v>
      </c>
      <c r="E2407" s="67" t="str">
        <f>COLORES!A4</f>
        <v>Negro</v>
      </c>
      <c r="F2407" s="67" t="str">
        <f>COLORES!B4</f>
        <v>OSCURO</v>
      </c>
      <c r="G2407" s="90" t="s">
        <v>379</v>
      </c>
      <c r="H2407" s="100">
        <f>IFERROR(SUMIFS(MOVIMIENTOS_COMPLEMENTOS!$I$4:$I$803,MOVIMIENTOS_COMPLEMENTOS!$C$4:$C$803,A2407,MOVIMIENTOS_COMPLEMENTOS!$D$4:$D$803,B2407,MOVIMIENTOS_COMPLEMENTOS!$E$4:$E$803,C2407,MOVIMIENTOS_COMPLEMENTOS!$F$4:$F$803,D2407,MOVIMIENTOS_COMPLEMENTOS!$G$4:$G$803,E2407,MOVIMIENTOS_COMPLEMENTOS!$H$4:$H$803,G2407,MOVIMIENTOS_COMPLEMENTOS!$B$4:$B$803,"INGRESO")+SUMIFS(MOVIMIENTOS_COMPLEMENTOS!$I$4:$I$803,MOVIMIENTOS_COMPLEMENTOS!$C$4:$C$803,A2407,MOVIMIENTOS_COMPLEMENTOS!$D$4:$D$803,B2407,MOVIMIENTOS_COMPLEMENTOS!$E$4:$E$803,C2407,MOVIMIENTOS_COMPLEMENTOS!$F$4:$F$803,D2407,MOVIMIENTOS_COMPLEMENTOS!$G$4:$G$803,E2407,MOVIMIENTOS_COMPLEMENTOS!$H$4:$H$803,G2407,MOVIMIENTOS_COMPLEMENTOS!$B$4:$B$803,"DE CORTE")-SUMIFS(MOVIMIENTOS_COMPLEMENTOS!$I$4:$I$803,MOVIMIENTOS_COMPLEMENTOS!$C$4:$C$803,A2407,MOVIMIENTOS_COMPLEMENTOS!$D$4:$D$803,B2407,MOVIMIENTOS_COMPLEMENTOS!$E$4:$E$803,C2407,MOVIMIENTOS_COMPLEMENTOS!$F$4:$F$803,D2407,MOVIMIENTOS_COMPLEMENTOS!$G$4:$G$803,E2407,MOVIMIENTOS_COMPLEMENTOS!$H$4:$H$803,G2407,MOVIMIENTOS_COMPLEMENTOS!$B$4:$B$803,"SALIDA"),0)</f>
        <v>0</v>
      </c>
      <c r="I2407" s="102">
        <f t="array" ref="I2407">IFERROR(INDEX(PRECIOS_COMPLEMENTOS!$C$4:$F$17,MATCH(B2407&amp;"_"&amp;C2407,PRECIOS_COMPLEMENTOS!$H$4:$H$17,0),IF(OR(G2407="S",G2407="20cm"),1,IF(OR(G2407="M",G2407="25cm"),2,IF(OR(G2407="L",G2407="30cm"),3,IF(OR(G2407="XL",G2407="35cm"),4,0))))),0)</f>
        <v>0.6</v>
      </c>
      <c r="J2407" s="103">
        <f t="shared" si="1"/>
        <v>0</v>
      </c>
      <c r="K2407" s="104" t="str">
        <f>IF(H2407&lt;0,"ERROR",IF(H2407=0,"",IF(H2407&lt;CONFIG!$B$4,"CRÍTICO",IF(H2407&lt;CONFIG!$B$5,"BAJO","OK"))))</f>
        <v/>
      </c>
    </row>
    <row r="2408" ht="15.75" hidden="1" customHeight="1">
      <c r="A2408" s="90" t="str">
        <f>IF(CLIENTES!A7="","",CLIENTES!A7)</f>
        <v/>
      </c>
      <c r="B2408" s="90" t="s">
        <v>331</v>
      </c>
      <c r="C2408" s="91" t="s">
        <v>328</v>
      </c>
      <c r="D2408" s="109" t="s">
        <v>364</v>
      </c>
      <c r="E2408" s="67" t="str">
        <f>COLORES!A5</f>
        <v>Perla</v>
      </c>
      <c r="F2408" s="67" t="str">
        <f>COLORES!B5</f>
        <v>PPT</v>
      </c>
      <c r="G2408" s="90" t="s">
        <v>378</v>
      </c>
      <c r="H2408" s="100">
        <f>IFERROR(SUMIFS(MOVIMIENTOS_COMPLEMENTOS!$I$4:$I$803,MOVIMIENTOS_COMPLEMENTOS!$C$4:$C$803,A2408,MOVIMIENTOS_COMPLEMENTOS!$D$4:$D$803,B2408,MOVIMIENTOS_COMPLEMENTOS!$E$4:$E$803,C2408,MOVIMIENTOS_COMPLEMENTOS!$F$4:$F$803,D2408,MOVIMIENTOS_COMPLEMENTOS!$G$4:$G$803,E2408,MOVIMIENTOS_COMPLEMENTOS!$H$4:$H$803,G2408,MOVIMIENTOS_COMPLEMENTOS!$B$4:$B$803,"INGRESO")+SUMIFS(MOVIMIENTOS_COMPLEMENTOS!$I$4:$I$803,MOVIMIENTOS_COMPLEMENTOS!$C$4:$C$803,A2408,MOVIMIENTOS_COMPLEMENTOS!$D$4:$D$803,B2408,MOVIMIENTOS_COMPLEMENTOS!$E$4:$E$803,C2408,MOVIMIENTOS_COMPLEMENTOS!$F$4:$F$803,D2408,MOVIMIENTOS_COMPLEMENTOS!$G$4:$G$803,E2408,MOVIMIENTOS_COMPLEMENTOS!$H$4:$H$803,G2408,MOVIMIENTOS_COMPLEMENTOS!$B$4:$B$803,"DE CORTE")-SUMIFS(MOVIMIENTOS_COMPLEMENTOS!$I$4:$I$803,MOVIMIENTOS_COMPLEMENTOS!$C$4:$C$803,A2408,MOVIMIENTOS_COMPLEMENTOS!$D$4:$D$803,B2408,MOVIMIENTOS_COMPLEMENTOS!$E$4:$E$803,C2408,MOVIMIENTOS_COMPLEMENTOS!$F$4:$F$803,D2408,MOVIMIENTOS_COMPLEMENTOS!$G$4:$G$803,E2408,MOVIMIENTOS_COMPLEMENTOS!$H$4:$H$803,G2408,MOVIMIENTOS_COMPLEMENTOS!$B$4:$B$803,"SALIDA"),0)</f>
        <v>0</v>
      </c>
      <c r="I2408" s="102">
        <f t="array" ref="I2408">IFERROR(INDEX(PRECIOS_COMPLEMENTOS!$C$4:$F$17,MATCH(B2408&amp;"_"&amp;C2408,PRECIOS_COMPLEMENTOS!$H$4:$H$17,0),IF(OR(G2408="S",G2408="20cm"),1,IF(OR(G2408="M",G2408="25cm"),2,IF(OR(G2408="L",G2408="30cm"),3,IF(OR(G2408="XL",G2408="35cm"),4,0))))),0)</f>
        <v>0.6</v>
      </c>
      <c r="J2408" s="103">
        <f t="shared" si="1"/>
        <v>0</v>
      </c>
      <c r="K2408" s="104" t="str">
        <f>IF(H2408&lt;0,"ERROR",IF(H2408=0,"",IF(H2408&lt;CONFIG!$B$4,"CRÍTICO",IF(H2408&lt;CONFIG!$B$5,"BAJO","OK"))))</f>
        <v/>
      </c>
    </row>
    <row r="2409" ht="15.75" hidden="1" customHeight="1">
      <c r="A2409" s="90" t="str">
        <f>IF(CLIENTES!A7="","",CLIENTES!A7)</f>
        <v/>
      </c>
      <c r="B2409" s="90" t="s">
        <v>331</v>
      </c>
      <c r="C2409" s="91" t="s">
        <v>328</v>
      </c>
      <c r="D2409" s="109" t="s">
        <v>364</v>
      </c>
      <c r="E2409" s="67" t="str">
        <f>COLORES!A5</f>
        <v>Perla</v>
      </c>
      <c r="F2409" s="67" t="str">
        <f>COLORES!B5</f>
        <v>PPT</v>
      </c>
      <c r="G2409" s="90" t="s">
        <v>376</v>
      </c>
      <c r="H2409" s="100">
        <f>IFERROR(SUMIFS(MOVIMIENTOS_COMPLEMENTOS!$I$4:$I$803,MOVIMIENTOS_COMPLEMENTOS!$C$4:$C$803,A2409,MOVIMIENTOS_COMPLEMENTOS!$D$4:$D$803,B2409,MOVIMIENTOS_COMPLEMENTOS!$E$4:$E$803,C2409,MOVIMIENTOS_COMPLEMENTOS!$F$4:$F$803,D2409,MOVIMIENTOS_COMPLEMENTOS!$G$4:$G$803,E2409,MOVIMIENTOS_COMPLEMENTOS!$H$4:$H$803,G2409,MOVIMIENTOS_COMPLEMENTOS!$B$4:$B$803,"INGRESO")+SUMIFS(MOVIMIENTOS_COMPLEMENTOS!$I$4:$I$803,MOVIMIENTOS_COMPLEMENTOS!$C$4:$C$803,A2409,MOVIMIENTOS_COMPLEMENTOS!$D$4:$D$803,B2409,MOVIMIENTOS_COMPLEMENTOS!$E$4:$E$803,C2409,MOVIMIENTOS_COMPLEMENTOS!$F$4:$F$803,D2409,MOVIMIENTOS_COMPLEMENTOS!$G$4:$G$803,E2409,MOVIMIENTOS_COMPLEMENTOS!$H$4:$H$803,G2409,MOVIMIENTOS_COMPLEMENTOS!$B$4:$B$803,"DE CORTE")-SUMIFS(MOVIMIENTOS_COMPLEMENTOS!$I$4:$I$803,MOVIMIENTOS_COMPLEMENTOS!$C$4:$C$803,A2409,MOVIMIENTOS_COMPLEMENTOS!$D$4:$D$803,B2409,MOVIMIENTOS_COMPLEMENTOS!$E$4:$E$803,C2409,MOVIMIENTOS_COMPLEMENTOS!$F$4:$F$803,D2409,MOVIMIENTOS_COMPLEMENTOS!$G$4:$G$803,E2409,MOVIMIENTOS_COMPLEMENTOS!$H$4:$H$803,G2409,MOVIMIENTOS_COMPLEMENTOS!$B$4:$B$803,"SALIDA"),0)</f>
        <v>0</v>
      </c>
      <c r="I2409" s="102">
        <f t="array" ref="I2409">IFERROR(INDEX(PRECIOS_COMPLEMENTOS!$C$4:$F$17,MATCH(B2409&amp;"_"&amp;C2409,PRECIOS_COMPLEMENTOS!$H$4:$H$17,0),IF(OR(G2409="S",G2409="20cm"),1,IF(OR(G2409="M",G2409="25cm"),2,IF(OR(G2409="L",G2409="30cm"),3,IF(OR(G2409="XL",G2409="35cm"),4,0))))),0)</f>
        <v>0.6</v>
      </c>
      <c r="J2409" s="103">
        <f t="shared" si="1"/>
        <v>0</v>
      </c>
      <c r="K2409" s="104" t="str">
        <f>IF(H2409&lt;0,"ERROR",IF(H2409=0,"",IF(H2409&lt;CONFIG!$B$4,"CRÍTICO",IF(H2409&lt;CONFIG!$B$5,"BAJO","OK"))))</f>
        <v/>
      </c>
    </row>
    <row r="2410" ht="15.75" hidden="1" customHeight="1">
      <c r="A2410" s="90" t="str">
        <f>IF(CLIENTES!A7="","",CLIENTES!A7)</f>
        <v/>
      </c>
      <c r="B2410" s="90" t="s">
        <v>331</v>
      </c>
      <c r="C2410" s="91" t="s">
        <v>328</v>
      </c>
      <c r="D2410" s="109" t="s">
        <v>364</v>
      </c>
      <c r="E2410" s="67" t="str">
        <f>COLORES!A5</f>
        <v>Perla</v>
      </c>
      <c r="F2410" s="67" t="str">
        <f>COLORES!B5</f>
        <v>PPT</v>
      </c>
      <c r="G2410" s="90" t="s">
        <v>377</v>
      </c>
      <c r="H2410" s="100">
        <f>IFERROR(SUMIFS(MOVIMIENTOS_COMPLEMENTOS!$I$4:$I$803,MOVIMIENTOS_COMPLEMENTOS!$C$4:$C$803,A2410,MOVIMIENTOS_COMPLEMENTOS!$D$4:$D$803,B2410,MOVIMIENTOS_COMPLEMENTOS!$E$4:$E$803,C2410,MOVIMIENTOS_COMPLEMENTOS!$F$4:$F$803,D2410,MOVIMIENTOS_COMPLEMENTOS!$G$4:$G$803,E2410,MOVIMIENTOS_COMPLEMENTOS!$H$4:$H$803,G2410,MOVIMIENTOS_COMPLEMENTOS!$B$4:$B$803,"INGRESO")+SUMIFS(MOVIMIENTOS_COMPLEMENTOS!$I$4:$I$803,MOVIMIENTOS_COMPLEMENTOS!$C$4:$C$803,A2410,MOVIMIENTOS_COMPLEMENTOS!$D$4:$D$803,B2410,MOVIMIENTOS_COMPLEMENTOS!$E$4:$E$803,C2410,MOVIMIENTOS_COMPLEMENTOS!$F$4:$F$803,D2410,MOVIMIENTOS_COMPLEMENTOS!$G$4:$G$803,E2410,MOVIMIENTOS_COMPLEMENTOS!$H$4:$H$803,G2410,MOVIMIENTOS_COMPLEMENTOS!$B$4:$B$803,"DE CORTE")-SUMIFS(MOVIMIENTOS_COMPLEMENTOS!$I$4:$I$803,MOVIMIENTOS_COMPLEMENTOS!$C$4:$C$803,A2410,MOVIMIENTOS_COMPLEMENTOS!$D$4:$D$803,B2410,MOVIMIENTOS_COMPLEMENTOS!$E$4:$E$803,C2410,MOVIMIENTOS_COMPLEMENTOS!$F$4:$F$803,D2410,MOVIMIENTOS_COMPLEMENTOS!$G$4:$G$803,E2410,MOVIMIENTOS_COMPLEMENTOS!$H$4:$H$803,G2410,MOVIMIENTOS_COMPLEMENTOS!$B$4:$B$803,"SALIDA"),0)</f>
        <v>0</v>
      </c>
      <c r="I2410" s="102">
        <f t="array" ref="I2410">IFERROR(INDEX(PRECIOS_COMPLEMENTOS!$C$4:$F$17,MATCH(B2410&amp;"_"&amp;C2410,PRECIOS_COMPLEMENTOS!$H$4:$H$17,0),IF(OR(G2410="S",G2410="20cm"),1,IF(OR(G2410="M",G2410="25cm"),2,IF(OR(G2410="L",G2410="30cm"),3,IF(OR(G2410="XL",G2410="35cm"),4,0))))),0)</f>
        <v>0.6</v>
      </c>
      <c r="J2410" s="103">
        <f t="shared" si="1"/>
        <v>0</v>
      </c>
      <c r="K2410" s="104" t="str">
        <f>IF(H2410&lt;0,"ERROR",IF(H2410=0,"",IF(H2410&lt;CONFIG!$B$4,"CRÍTICO",IF(H2410&lt;CONFIG!$B$5,"BAJO","OK"))))</f>
        <v/>
      </c>
    </row>
    <row r="2411" ht="15.75" hidden="1" customHeight="1">
      <c r="A2411" s="90" t="str">
        <f>IF(CLIENTES!A7="","",CLIENTES!A7)</f>
        <v/>
      </c>
      <c r="B2411" s="90" t="s">
        <v>331</v>
      </c>
      <c r="C2411" s="91" t="s">
        <v>328</v>
      </c>
      <c r="D2411" s="109" t="s">
        <v>364</v>
      </c>
      <c r="E2411" s="67" t="str">
        <f>COLORES!A5</f>
        <v>Perla</v>
      </c>
      <c r="F2411" s="67" t="str">
        <f>COLORES!B5</f>
        <v>PPT</v>
      </c>
      <c r="G2411" s="90" t="s">
        <v>379</v>
      </c>
      <c r="H2411" s="100">
        <f>IFERROR(SUMIFS(MOVIMIENTOS_COMPLEMENTOS!$I$4:$I$803,MOVIMIENTOS_COMPLEMENTOS!$C$4:$C$803,A2411,MOVIMIENTOS_COMPLEMENTOS!$D$4:$D$803,B2411,MOVIMIENTOS_COMPLEMENTOS!$E$4:$E$803,C2411,MOVIMIENTOS_COMPLEMENTOS!$F$4:$F$803,D2411,MOVIMIENTOS_COMPLEMENTOS!$G$4:$G$803,E2411,MOVIMIENTOS_COMPLEMENTOS!$H$4:$H$803,G2411,MOVIMIENTOS_COMPLEMENTOS!$B$4:$B$803,"INGRESO")+SUMIFS(MOVIMIENTOS_COMPLEMENTOS!$I$4:$I$803,MOVIMIENTOS_COMPLEMENTOS!$C$4:$C$803,A2411,MOVIMIENTOS_COMPLEMENTOS!$D$4:$D$803,B2411,MOVIMIENTOS_COMPLEMENTOS!$E$4:$E$803,C2411,MOVIMIENTOS_COMPLEMENTOS!$F$4:$F$803,D2411,MOVIMIENTOS_COMPLEMENTOS!$G$4:$G$803,E2411,MOVIMIENTOS_COMPLEMENTOS!$H$4:$H$803,G2411,MOVIMIENTOS_COMPLEMENTOS!$B$4:$B$803,"DE CORTE")-SUMIFS(MOVIMIENTOS_COMPLEMENTOS!$I$4:$I$803,MOVIMIENTOS_COMPLEMENTOS!$C$4:$C$803,A2411,MOVIMIENTOS_COMPLEMENTOS!$D$4:$D$803,B2411,MOVIMIENTOS_COMPLEMENTOS!$E$4:$E$803,C2411,MOVIMIENTOS_COMPLEMENTOS!$F$4:$F$803,D2411,MOVIMIENTOS_COMPLEMENTOS!$G$4:$G$803,E2411,MOVIMIENTOS_COMPLEMENTOS!$H$4:$H$803,G2411,MOVIMIENTOS_COMPLEMENTOS!$B$4:$B$803,"SALIDA"),0)</f>
        <v>0</v>
      </c>
      <c r="I2411" s="102">
        <f t="array" ref="I2411">IFERROR(INDEX(PRECIOS_COMPLEMENTOS!$C$4:$F$17,MATCH(B2411&amp;"_"&amp;C2411,PRECIOS_COMPLEMENTOS!$H$4:$H$17,0),IF(OR(G2411="S",G2411="20cm"),1,IF(OR(G2411="M",G2411="25cm"),2,IF(OR(G2411="L",G2411="30cm"),3,IF(OR(G2411="XL",G2411="35cm"),4,0))))),0)</f>
        <v>0.6</v>
      </c>
      <c r="J2411" s="103">
        <f t="shared" si="1"/>
        <v>0</v>
      </c>
      <c r="K2411" s="104" t="str">
        <f>IF(H2411&lt;0,"ERROR",IF(H2411=0,"",IF(H2411&lt;CONFIG!$B$4,"CRÍTICO",IF(H2411&lt;CONFIG!$B$5,"BAJO","OK"))))</f>
        <v/>
      </c>
    </row>
    <row r="2412" ht="15.75" hidden="1" customHeight="1">
      <c r="A2412" s="90" t="str">
        <f>IF(CLIENTES!A7="","",CLIENTES!A7)</f>
        <v/>
      </c>
      <c r="B2412" s="90" t="s">
        <v>331</v>
      </c>
      <c r="C2412" s="91" t="s">
        <v>328</v>
      </c>
      <c r="D2412" s="109" t="s">
        <v>364</v>
      </c>
      <c r="E2412" s="67" t="str">
        <f>COLORES!A6</f>
        <v>Blanco</v>
      </c>
      <c r="F2412" s="67" t="str">
        <f>COLORES!B6</f>
        <v>PPT</v>
      </c>
      <c r="G2412" s="90" t="s">
        <v>378</v>
      </c>
      <c r="H2412" s="100">
        <f>IFERROR(SUMIFS(MOVIMIENTOS_COMPLEMENTOS!$I$4:$I$803,MOVIMIENTOS_COMPLEMENTOS!$C$4:$C$803,A2412,MOVIMIENTOS_COMPLEMENTOS!$D$4:$D$803,B2412,MOVIMIENTOS_COMPLEMENTOS!$E$4:$E$803,C2412,MOVIMIENTOS_COMPLEMENTOS!$F$4:$F$803,D2412,MOVIMIENTOS_COMPLEMENTOS!$G$4:$G$803,E2412,MOVIMIENTOS_COMPLEMENTOS!$H$4:$H$803,G2412,MOVIMIENTOS_COMPLEMENTOS!$B$4:$B$803,"INGRESO")+SUMIFS(MOVIMIENTOS_COMPLEMENTOS!$I$4:$I$803,MOVIMIENTOS_COMPLEMENTOS!$C$4:$C$803,A2412,MOVIMIENTOS_COMPLEMENTOS!$D$4:$D$803,B2412,MOVIMIENTOS_COMPLEMENTOS!$E$4:$E$803,C2412,MOVIMIENTOS_COMPLEMENTOS!$F$4:$F$803,D2412,MOVIMIENTOS_COMPLEMENTOS!$G$4:$G$803,E2412,MOVIMIENTOS_COMPLEMENTOS!$H$4:$H$803,G2412,MOVIMIENTOS_COMPLEMENTOS!$B$4:$B$803,"DE CORTE")-SUMIFS(MOVIMIENTOS_COMPLEMENTOS!$I$4:$I$803,MOVIMIENTOS_COMPLEMENTOS!$C$4:$C$803,A2412,MOVIMIENTOS_COMPLEMENTOS!$D$4:$D$803,B2412,MOVIMIENTOS_COMPLEMENTOS!$E$4:$E$803,C2412,MOVIMIENTOS_COMPLEMENTOS!$F$4:$F$803,D2412,MOVIMIENTOS_COMPLEMENTOS!$G$4:$G$803,E2412,MOVIMIENTOS_COMPLEMENTOS!$H$4:$H$803,G2412,MOVIMIENTOS_COMPLEMENTOS!$B$4:$B$803,"SALIDA"),0)</f>
        <v>0</v>
      </c>
      <c r="I2412" s="102">
        <f t="array" ref="I2412">IFERROR(INDEX(PRECIOS_COMPLEMENTOS!$C$4:$F$17,MATCH(B2412&amp;"_"&amp;C2412,PRECIOS_COMPLEMENTOS!$H$4:$H$17,0),IF(OR(G2412="S",G2412="20cm"),1,IF(OR(G2412="M",G2412="25cm"),2,IF(OR(G2412="L",G2412="30cm"),3,IF(OR(G2412="XL",G2412="35cm"),4,0))))),0)</f>
        <v>0.6</v>
      </c>
      <c r="J2412" s="103">
        <f t="shared" si="1"/>
        <v>0</v>
      </c>
      <c r="K2412" s="104" t="str">
        <f>IF(H2412&lt;0,"ERROR",IF(H2412=0,"",IF(H2412&lt;CONFIG!$B$4,"CRÍTICO",IF(H2412&lt;CONFIG!$B$5,"BAJO","OK"))))</f>
        <v/>
      </c>
    </row>
    <row r="2413" ht="15.75" hidden="1" customHeight="1">
      <c r="A2413" s="90" t="str">
        <f>IF(CLIENTES!A7="","",CLIENTES!A7)</f>
        <v/>
      </c>
      <c r="B2413" s="90" t="s">
        <v>331</v>
      </c>
      <c r="C2413" s="91" t="s">
        <v>328</v>
      </c>
      <c r="D2413" s="109" t="s">
        <v>364</v>
      </c>
      <c r="E2413" s="67" t="str">
        <f>COLORES!A6</f>
        <v>Blanco</v>
      </c>
      <c r="F2413" s="67" t="str">
        <f>COLORES!B6</f>
        <v>PPT</v>
      </c>
      <c r="G2413" s="90" t="s">
        <v>376</v>
      </c>
      <c r="H2413" s="100">
        <f>IFERROR(SUMIFS(MOVIMIENTOS_COMPLEMENTOS!$I$4:$I$803,MOVIMIENTOS_COMPLEMENTOS!$C$4:$C$803,A2413,MOVIMIENTOS_COMPLEMENTOS!$D$4:$D$803,B2413,MOVIMIENTOS_COMPLEMENTOS!$E$4:$E$803,C2413,MOVIMIENTOS_COMPLEMENTOS!$F$4:$F$803,D2413,MOVIMIENTOS_COMPLEMENTOS!$G$4:$G$803,E2413,MOVIMIENTOS_COMPLEMENTOS!$H$4:$H$803,G2413,MOVIMIENTOS_COMPLEMENTOS!$B$4:$B$803,"INGRESO")+SUMIFS(MOVIMIENTOS_COMPLEMENTOS!$I$4:$I$803,MOVIMIENTOS_COMPLEMENTOS!$C$4:$C$803,A2413,MOVIMIENTOS_COMPLEMENTOS!$D$4:$D$803,B2413,MOVIMIENTOS_COMPLEMENTOS!$E$4:$E$803,C2413,MOVIMIENTOS_COMPLEMENTOS!$F$4:$F$803,D2413,MOVIMIENTOS_COMPLEMENTOS!$G$4:$G$803,E2413,MOVIMIENTOS_COMPLEMENTOS!$H$4:$H$803,G2413,MOVIMIENTOS_COMPLEMENTOS!$B$4:$B$803,"DE CORTE")-SUMIFS(MOVIMIENTOS_COMPLEMENTOS!$I$4:$I$803,MOVIMIENTOS_COMPLEMENTOS!$C$4:$C$803,A2413,MOVIMIENTOS_COMPLEMENTOS!$D$4:$D$803,B2413,MOVIMIENTOS_COMPLEMENTOS!$E$4:$E$803,C2413,MOVIMIENTOS_COMPLEMENTOS!$F$4:$F$803,D2413,MOVIMIENTOS_COMPLEMENTOS!$G$4:$G$803,E2413,MOVIMIENTOS_COMPLEMENTOS!$H$4:$H$803,G2413,MOVIMIENTOS_COMPLEMENTOS!$B$4:$B$803,"SALIDA"),0)</f>
        <v>0</v>
      </c>
      <c r="I2413" s="102">
        <f t="array" ref="I2413">IFERROR(INDEX(PRECIOS_COMPLEMENTOS!$C$4:$F$17,MATCH(B2413&amp;"_"&amp;C2413,PRECIOS_COMPLEMENTOS!$H$4:$H$17,0),IF(OR(G2413="S",G2413="20cm"),1,IF(OR(G2413="M",G2413="25cm"),2,IF(OR(G2413="L",G2413="30cm"),3,IF(OR(G2413="XL",G2413="35cm"),4,0))))),0)</f>
        <v>0.6</v>
      </c>
      <c r="J2413" s="103">
        <f t="shared" si="1"/>
        <v>0</v>
      </c>
      <c r="K2413" s="104" t="str">
        <f>IF(H2413&lt;0,"ERROR",IF(H2413=0,"",IF(H2413&lt;CONFIG!$B$4,"CRÍTICO",IF(H2413&lt;CONFIG!$B$5,"BAJO","OK"))))</f>
        <v/>
      </c>
    </row>
    <row r="2414" ht="15.75" hidden="1" customHeight="1">
      <c r="A2414" s="90" t="str">
        <f>IF(CLIENTES!A7="","",CLIENTES!A7)</f>
        <v/>
      </c>
      <c r="B2414" s="90" t="s">
        <v>331</v>
      </c>
      <c r="C2414" s="91" t="s">
        <v>328</v>
      </c>
      <c r="D2414" s="109" t="s">
        <v>364</v>
      </c>
      <c r="E2414" s="67" t="str">
        <f>COLORES!A6</f>
        <v>Blanco</v>
      </c>
      <c r="F2414" s="67" t="str">
        <f>COLORES!B6</f>
        <v>PPT</v>
      </c>
      <c r="G2414" s="90" t="s">
        <v>377</v>
      </c>
      <c r="H2414" s="100">
        <f>IFERROR(SUMIFS(MOVIMIENTOS_COMPLEMENTOS!$I$4:$I$803,MOVIMIENTOS_COMPLEMENTOS!$C$4:$C$803,A2414,MOVIMIENTOS_COMPLEMENTOS!$D$4:$D$803,B2414,MOVIMIENTOS_COMPLEMENTOS!$E$4:$E$803,C2414,MOVIMIENTOS_COMPLEMENTOS!$F$4:$F$803,D2414,MOVIMIENTOS_COMPLEMENTOS!$G$4:$G$803,E2414,MOVIMIENTOS_COMPLEMENTOS!$H$4:$H$803,G2414,MOVIMIENTOS_COMPLEMENTOS!$B$4:$B$803,"INGRESO")+SUMIFS(MOVIMIENTOS_COMPLEMENTOS!$I$4:$I$803,MOVIMIENTOS_COMPLEMENTOS!$C$4:$C$803,A2414,MOVIMIENTOS_COMPLEMENTOS!$D$4:$D$803,B2414,MOVIMIENTOS_COMPLEMENTOS!$E$4:$E$803,C2414,MOVIMIENTOS_COMPLEMENTOS!$F$4:$F$803,D2414,MOVIMIENTOS_COMPLEMENTOS!$G$4:$G$803,E2414,MOVIMIENTOS_COMPLEMENTOS!$H$4:$H$803,G2414,MOVIMIENTOS_COMPLEMENTOS!$B$4:$B$803,"DE CORTE")-SUMIFS(MOVIMIENTOS_COMPLEMENTOS!$I$4:$I$803,MOVIMIENTOS_COMPLEMENTOS!$C$4:$C$803,A2414,MOVIMIENTOS_COMPLEMENTOS!$D$4:$D$803,B2414,MOVIMIENTOS_COMPLEMENTOS!$E$4:$E$803,C2414,MOVIMIENTOS_COMPLEMENTOS!$F$4:$F$803,D2414,MOVIMIENTOS_COMPLEMENTOS!$G$4:$G$803,E2414,MOVIMIENTOS_COMPLEMENTOS!$H$4:$H$803,G2414,MOVIMIENTOS_COMPLEMENTOS!$B$4:$B$803,"SALIDA"),0)</f>
        <v>0</v>
      </c>
      <c r="I2414" s="102">
        <f t="array" ref="I2414">IFERROR(INDEX(PRECIOS_COMPLEMENTOS!$C$4:$F$17,MATCH(B2414&amp;"_"&amp;C2414,PRECIOS_COMPLEMENTOS!$H$4:$H$17,0),IF(OR(G2414="S",G2414="20cm"),1,IF(OR(G2414="M",G2414="25cm"),2,IF(OR(G2414="L",G2414="30cm"),3,IF(OR(G2414="XL",G2414="35cm"),4,0))))),0)</f>
        <v>0.6</v>
      </c>
      <c r="J2414" s="103">
        <f t="shared" si="1"/>
        <v>0</v>
      </c>
      <c r="K2414" s="104" t="str">
        <f>IF(H2414&lt;0,"ERROR",IF(H2414=0,"",IF(H2414&lt;CONFIG!$B$4,"CRÍTICO",IF(H2414&lt;CONFIG!$B$5,"BAJO","OK"))))</f>
        <v/>
      </c>
    </row>
    <row r="2415" ht="15.75" hidden="1" customHeight="1">
      <c r="A2415" s="90" t="str">
        <f>IF(CLIENTES!A7="","",CLIENTES!A7)</f>
        <v/>
      </c>
      <c r="B2415" s="90" t="s">
        <v>331</v>
      </c>
      <c r="C2415" s="91" t="s">
        <v>328</v>
      </c>
      <c r="D2415" s="109" t="s">
        <v>364</v>
      </c>
      <c r="E2415" s="67" t="str">
        <f>COLORES!A6</f>
        <v>Blanco</v>
      </c>
      <c r="F2415" s="67" t="str">
        <f>COLORES!B6</f>
        <v>PPT</v>
      </c>
      <c r="G2415" s="90" t="s">
        <v>379</v>
      </c>
      <c r="H2415" s="100">
        <f>IFERROR(SUMIFS(MOVIMIENTOS_COMPLEMENTOS!$I$4:$I$803,MOVIMIENTOS_COMPLEMENTOS!$C$4:$C$803,A2415,MOVIMIENTOS_COMPLEMENTOS!$D$4:$D$803,B2415,MOVIMIENTOS_COMPLEMENTOS!$E$4:$E$803,C2415,MOVIMIENTOS_COMPLEMENTOS!$F$4:$F$803,D2415,MOVIMIENTOS_COMPLEMENTOS!$G$4:$G$803,E2415,MOVIMIENTOS_COMPLEMENTOS!$H$4:$H$803,G2415,MOVIMIENTOS_COMPLEMENTOS!$B$4:$B$803,"INGRESO")+SUMIFS(MOVIMIENTOS_COMPLEMENTOS!$I$4:$I$803,MOVIMIENTOS_COMPLEMENTOS!$C$4:$C$803,A2415,MOVIMIENTOS_COMPLEMENTOS!$D$4:$D$803,B2415,MOVIMIENTOS_COMPLEMENTOS!$E$4:$E$803,C2415,MOVIMIENTOS_COMPLEMENTOS!$F$4:$F$803,D2415,MOVIMIENTOS_COMPLEMENTOS!$G$4:$G$803,E2415,MOVIMIENTOS_COMPLEMENTOS!$H$4:$H$803,G2415,MOVIMIENTOS_COMPLEMENTOS!$B$4:$B$803,"DE CORTE")-SUMIFS(MOVIMIENTOS_COMPLEMENTOS!$I$4:$I$803,MOVIMIENTOS_COMPLEMENTOS!$C$4:$C$803,A2415,MOVIMIENTOS_COMPLEMENTOS!$D$4:$D$803,B2415,MOVIMIENTOS_COMPLEMENTOS!$E$4:$E$803,C2415,MOVIMIENTOS_COMPLEMENTOS!$F$4:$F$803,D2415,MOVIMIENTOS_COMPLEMENTOS!$G$4:$G$803,E2415,MOVIMIENTOS_COMPLEMENTOS!$H$4:$H$803,G2415,MOVIMIENTOS_COMPLEMENTOS!$B$4:$B$803,"SALIDA"),0)</f>
        <v>0</v>
      </c>
      <c r="I2415" s="102">
        <f t="array" ref="I2415">IFERROR(INDEX(PRECIOS_COMPLEMENTOS!$C$4:$F$17,MATCH(B2415&amp;"_"&amp;C2415,PRECIOS_COMPLEMENTOS!$H$4:$H$17,0),IF(OR(G2415="S",G2415="20cm"),1,IF(OR(G2415="M",G2415="25cm"),2,IF(OR(G2415="L",G2415="30cm"),3,IF(OR(G2415="XL",G2415="35cm"),4,0))))),0)</f>
        <v>0.6</v>
      </c>
      <c r="J2415" s="103">
        <f t="shared" si="1"/>
        <v>0</v>
      </c>
      <c r="K2415" s="104" t="str">
        <f>IF(H2415&lt;0,"ERROR",IF(H2415=0,"",IF(H2415&lt;CONFIG!$B$4,"CRÍTICO",IF(H2415&lt;CONFIG!$B$5,"BAJO","OK"))))</f>
        <v/>
      </c>
    </row>
    <row r="2416" ht="15.75" hidden="1" customHeight="1">
      <c r="A2416" s="90" t="str">
        <f>IF(CLIENTES!A7="","",CLIENTES!A7)</f>
        <v/>
      </c>
      <c r="B2416" s="90" t="s">
        <v>331</v>
      </c>
      <c r="C2416" s="91" t="s">
        <v>328</v>
      </c>
      <c r="D2416" s="109" t="s">
        <v>364</v>
      </c>
      <c r="E2416" s="67" t="str">
        <f>COLORES!A7</f>
        <v>Azul</v>
      </c>
      <c r="F2416" s="67" t="str">
        <f>COLORES!B7</f>
        <v>OSCURO</v>
      </c>
      <c r="G2416" s="90" t="s">
        <v>378</v>
      </c>
      <c r="H2416" s="100">
        <f>IFERROR(SUMIFS(MOVIMIENTOS_COMPLEMENTOS!$I$4:$I$803,MOVIMIENTOS_COMPLEMENTOS!$C$4:$C$803,A2416,MOVIMIENTOS_COMPLEMENTOS!$D$4:$D$803,B2416,MOVIMIENTOS_COMPLEMENTOS!$E$4:$E$803,C2416,MOVIMIENTOS_COMPLEMENTOS!$F$4:$F$803,D2416,MOVIMIENTOS_COMPLEMENTOS!$G$4:$G$803,E2416,MOVIMIENTOS_COMPLEMENTOS!$H$4:$H$803,G2416,MOVIMIENTOS_COMPLEMENTOS!$B$4:$B$803,"INGRESO")+SUMIFS(MOVIMIENTOS_COMPLEMENTOS!$I$4:$I$803,MOVIMIENTOS_COMPLEMENTOS!$C$4:$C$803,A2416,MOVIMIENTOS_COMPLEMENTOS!$D$4:$D$803,B2416,MOVIMIENTOS_COMPLEMENTOS!$E$4:$E$803,C2416,MOVIMIENTOS_COMPLEMENTOS!$F$4:$F$803,D2416,MOVIMIENTOS_COMPLEMENTOS!$G$4:$G$803,E2416,MOVIMIENTOS_COMPLEMENTOS!$H$4:$H$803,G2416,MOVIMIENTOS_COMPLEMENTOS!$B$4:$B$803,"DE CORTE")-SUMIFS(MOVIMIENTOS_COMPLEMENTOS!$I$4:$I$803,MOVIMIENTOS_COMPLEMENTOS!$C$4:$C$803,A2416,MOVIMIENTOS_COMPLEMENTOS!$D$4:$D$803,B2416,MOVIMIENTOS_COMPLEMENTOS!$E$4:$E$803,C2416,MOVIMIENTOS_COMPLEMENTOS!$F$4:$F$803,D2416,MOVIMIENTOS_COMPLEMENTOS!$G$4:$G$803,E2416,MOVIMIENTOS_COMPLEMENTOS!$H$4:$H$803,G2416,MOVIMIENTOS_COMPLEMENTOS!$B$4:$B$803,"SALIDA"),0)</f>
        <v>0</v>
      </c>
      <c r="I2416" s="102">
        <f t="array" ref="I2416">IFERROR(INDEX(PRECIOS_COMPLEMENTOS!$C$4:$F$17,MATCH(B2416&amp;"_"&amp;C2416,PRECIOS_COMPLEMENTOS!$H$4:$H$17,0),IF(OR(G2416="S",G2416="20cm"),1,IF(OR(G2416="M",G2416="25cm"),2,IF(OR(G2416="L",G2416="30cm"),3,IF(OR(G2416="XL",G2416="35cm"),4,0))))),0)</f>
        <v>0.6</v>
      </c>
      <c r="J2416" s="103">
        <f t="shared" si="1"/>
        <v>0</v>
      </c>
      <c r="K2416" s="104" t="str">
        <f>IF(H2416&lt;0,"ERROR",IF(H2416=0,"",IF(H2416&lt;CONFIG!$B$4,"CRÍTICO",IF(H2416&lt;CONFIG!$B$5,"BAJO","OK"))))</f>
        <v/>
      </c>
    </row>
    <row r="2417" ht="15.75" hidden="1" customHeight="1">
      <c r="A2417" s="90" t="str">
        <f>IF(CLIENTES!A7="","",CLIENTES!A7)</f>
        <v/>
      </c>
      <c r="B2417" s="90" t="s">
        <v>331</v>
      </c>
      <c r="C2417" s="91" t="s">
        <v>328</v>
      </c>
      <c r="D2417" s="109" t="s">
        <v>364</v>
      </c>
      <c r="E2417" s="67" t="str">
        <f>COLORES!A7</f>
        <v>Azul</v>
      </c>
      <c r="F2417" s="67" t="str">
        <f>COLORES!B7</f>
        <v>OSCURO</v>
      </c>
      <c r="G2417" s="90" t="s">
        <v>376</v>
      </c>
      <c r="H2417" s="100">
        <f>IFERROR(SUMIFS(MOVIMIENTOS_COMPLEMENTOS!$I$4:$I$803,MOVIMIENTOS_COMPLEMENTOS!$C$4:$C$803,A2417,MOVIMIENTOS_COMPLEMENTOS!$D$4:$D$803,B2417,MOVIMIENTOS_COMPLEMENTOS!$E$4:$E$803,C2417,MOVIMIENTOS_COMPLEMENTOS!$F$4:$F$803,D2417,MOVIMIENTOS_COMPLEMENTOS!$G$4:$G$803,E2417,MOVIMIENTOS_COMPLEMENTOS!$H$4:$H$803,G2417,MOVIMIENTOS_COMPLEMENTOS!$B$4:$B$803,"INGRESO")+SUMIFS(MOVIMIENTOS_COMPLEMENTOS!$I$4:$I$803,MOVIMIENTOS_COMPLEMENTOS!$C$4:$C$803,A2417,MOVIMIENTOS_COMPLEMENTOS!$D$4:$D$803,B2417,MOVIMIENTOS_COMPLEMENTOS!$E$4:$E$803,C2417,MOVIMIENTOS_COMPLEMENTOS!$F$4:$F$803,D2417,MOVIMIENTOS_COMPLEMENTOS!$G$4:$G$803,E2417,MOVIMIENTOS_COMPLEMENTOS!$H$4:$H$803,G2417,MOVIMIENTOS_COMPLEMENTOS!$B$4:$B$803,"DE CORTE")-SUMIFS(MOVIMIENTOS_COMPLEMENTOS!$I$4:$I$803,MOVIMIENTOS_COMPLEMENTOS!$C$4:$C$803,A2417,MOVIMIENTOS_COMPLEMENTOS!$D$4:$D$803,B2417,MOVIMIENTOS_COMPLEMENTOS!$E$4:$E$803,C2417,MOVIMIENTOS_COMPLEMENTOS!$F$4:$F$803,D2417,MOVIMIENTOS_COMPLEMENTOS!$G$4:$G$803,E2417,MOVIMIENTOS_COMPLEMENTOS!$H$4:$H$803,G2417,MOVIMIENTOS_COMPLEMENTOS!$B$4:$B$803,"SALIDA"),0)</f>
        <v>0</v>
      </c>
      <c r="I2417" s="102">
        <f t="array" ref="I2417">IFERROR(INDEX(PRECIOS_COMPLEMENTOS!$C$4:$F$17,MATCH(B2417&amp;"_"&amp;C2417,PRECIOS_COMPLEMENTOS!$H$4:$H$17,0),IF(OR(G2417="S",G2417="20cm"),1,IF(OR(G2417="M",G2417="25cm"),2,IF(OR(G2417="L",G2417="30cm"),3,IF(OR(G2417="XL",G2417="35cm"),4,0))))),0)</f>
        <v>0.6</v>
      </c>
      <c r="J2417" s="103">
        <f t="shared" si="1"/>
        <v>0</v>
      </c>
      <c r="K2417" s="104" t="str">
        <f>IF(H2417&lt;0,"ERROR",IF(H2417=0,"",IF(H2417&lt;CONFIG!$B$4,"CRÍTICO",IF(H2417&lt;CONFIG!$B$5,"BAJO","OK"))))</f>
        <v/>
      </c>
    </row>
    <row r="2418" ht="15.75" hidden="1" customHeight="1">
      <c r="A2418" s="90" t="str">
        <f>IF(CLIENTES!A7="","",CLIENTES!A7)</f>
        <v/>
      </c>
      <c r="B2418" s="90" t="s">
        <v>331</v>
      </c>
      <c r="C2418" s="91" t="s">
        <v>328</v>
      </c>
      <c r="D2418" s="109" t="s">
        <v>364</v>
      </c>
      <c r="E2418" s="67" t="str">
        <f>COLORES!A7</f>
        <v>Azul</v>
      </c>
      <c r="F2418" s="67" t="str">
        <f>COLORES!B7</f>
        <v>OSCURO</v>
      </c>
      <c r="G2418" s="90" t="s">
        <v>377</v>
      </c>
      <c r="H2418" s="100">
        <f>IFERROR(SUMIFS(MOVIMIENTOS_COMPLEMENTOS!$I$4:$I$803,MOVIMIENTOS_COMPLEMENTOS!$C$4:$C$803,A2418,MOVIMIENTOS_COMPLEMENTOS!$D$4:$D$803,B2418,MOVIMIENTOS_COMPLEMENTOS!$E$4:$E$803,C2418,MOVIMIENTOS_COMPLEMENTOS!$F$4:$F$803,D2418,MOVIMIENTOS_COMPLEMENTOS!$G$4:$G$803,E2418,MOVIMIENTOS_COMPLEMENTOS!$H$4:$H$803,G2418,MOVIMIENTOS_COMPLEMENTOS!$B$4:$B$803,"INGRESO")+SUMIFS(MOVIMIENTOS_COMPLEMENTOS!$I$4:$I$803,MOVIMIENTOS_COMPLEMENTOS!$C$4:$C$803,A2418,MOVIMIENTOS_COMPLEMENTOS!$D$4:$D$803,B2418,MOVIMIENTOS_COMPLEMENTOS!$E$4:$E$803,C2418,MOVIMIENTOS_COMPLEMENTOS!$F$4:$F$803,D2418,MOVIMIENTOS_COMPLEMENTOS!$G$4:$G$803,E2418,MOVIMIENTOS_COMPLEMENTOS!$H$4:$H$803,G2418,MOVIMIENTOS_COMPLEMENTOS!$B$4:$B$803,"DE CORTE")-SUMIFS(MOVIMIENTOS_COMPLEMENTOS!$I$4:$I$803,MOVIMIENTOS_COMPLEMENTOS!$C$4:$C$803,A2418,MOVIMIENTOS_COMPLEMENTOS!$D$4:$D$803,B2418,MOVIMIENTOS_COMPLEMENTOS!$E$4:$E$803,C2418,MOVIMIENTOS_COMPLEMENTOS!$F$4:$F$803,D2418,MOVIMIENTOS_COMPLEMENTOS!$G$4:$G$803,E2418,MOVIMIENTOS_COMPLEMENTOS!$H$4:$H$803,G2418,MOVIMIENTOS_COMPLEMENTOS!$B$4:$B$803,"SALIDA"),0)</f>
        <v>0</v>
      </c>
      <c r="I2418" s="102">
        <f t="array" ref="I2418">IFERROR(INDEX(PRECIOS_COMPLEMENTOS!$C$4:$F$17,MATCH(B2418&amp;"_"&amp;C2418,PRECIOS_COMPLEMENTOS!$H$4:$H$17,0),IF(OR(G2418="S",G2418="20cm"),1,IF(OR(G2418="M",G2418="25cm"),2,IF(OR(G2418="L",G2418="30cm"),3,IF(OR(G2418="XL",G2418="35cm"),4,0))))),0)</f>
        <v>0.6</v>
      </c>
      <c r="J2418" s="103">
        <f t="shared" si="1"/>
        <v>0</v>
      </c>
      <c r="K2418" s="104" t="str">
        <f>IF(H2418&lt;0,"ERROR",IF(H2418=0,"",IF(H2418&lt;CONFIG!$B$4,"CRÍTICO",IF(H2418&lt;CONFIG!$B$5,"BAJO","OK"))))</f>
        <v/>
      </c>
    </row>
    <row r="2419" ht="15.75" hidden="1" customHeight="1">
      <c r="A2419" s="90" t="str">
        <f>IF(CLIENTES!A7="","",CLIENTES!A7)</f>
        <v/>
      </c>
      <c r="B2419" s="90" t="s">
        <v>331</v>
      </c>
      <c r="C2419" s="91" t="s">
        <v>328</v>
      </c>
      <c r="D2419" s="109" t="s">
        <v>364</v>
      </c>
      <c r="E2419" s="67" t="str">
        <f>COLORES!A7</f>
        <v>Azul</v>
      </c>
      <c r="F2419" s="67" t="str">
        <f>COLORES!B7</f>
        <v>OSCURO</v>
      </c>
      <c r="G2419" s="90" t="s">
        <v>379</v>
      </c>
      <c r="H2419" s="100">
        <f>IFERROR(SUMIFS(MOVIMIENTOS_COMPLEMENTOS!$I$4:$I$803,MOVIMIENTOS_COMPLEMENTOS!$C$4:$C$803,A2419,MOVIMIENTOS_COMPLEMENTOS!$D$4:$D$803,B2419,MOVIMIENTOS_COMPLEMENTOS!$E$4:$E$803,C2419,MOVIMIENTOS_COMPLEMENTOS!$F$4:$F$803,D2419,MOVIMIENTOS_COMPLEMENTOS!$G$4:$G$803,E2419,MOVIMIENTOS_COMPLEMENTOS!$H$4:$H$803,G2419,MOVIMIENTOS_COMPLEMENTOS!$B$4:$B$803,"INGRESO")+SUMIFS(MOVIMIENTOS_COMPLEMENTOS!$I$4:$I$803,MOVIMIENTOS_COMPLEMENTOS!$C$4:$C$803,A2419,MOVIMIENTOS_COMPLEMENTOS!$D$4:$D$803,B2419,MOVIMIENTOS_COMPLEMENTOS!$E$4:$E$803,C2419,MOVIMIENTOS_COMPLEMENTOS!$F$4:$F$803,D2419,MOVIMIENTOS_COMPLEMENTOS!$G$4:$G$803,E2419,MOVIMIENTOS_COMPLEMENTOS!$H$4:$H$803,G2419,MOVIMIENTOS_COMPLEMENTOS!$B$4:$B$803,"DE CORTE")-SUMIFS(MOVIMIENTOS_COMPLEMENTOS!$I$4:$I$803,MOVIMIENTOS_COMPLEMENTOS!$C$4:$C$803,A2419,MOVIMIENTOS_COMPLEMENTOS!$D$4:$D$803,B2419,MOVIMIENTOS_COMPLEMENTOS!$E$4:$E$803,C2419,MOVIMIENTOS_COMPLEMENTOS!$F$4:$F$803,D2419,MOVIMIENTOS_COMPLEMENTOS!$G$4:$G$803,E2419,MOVIMIENTOS_COMPLEMENTOS!$H$4:$H$803,G2419,MOVIMIENTOS_COMPLEMENTOS!$B$4:$B$803,"SALIDA"),0)</f>
        <v>0</v>
      </c>
      <c r="I2419" s="102">
        <f t="array" ref="I2419">IFERROR(INDEX(PRECIOS_COMPLEMENTOS!$C$4:$F$17,MATCH(B2419&amp;"_"&amp;C2419,PRECIOS_COMPLEMENTOS!$H$4:$H$17,0),IF(OR(G2419="S",G2419="20cm"),1,IF(OR(G2419="M",G2419="25cm"),2,IF(OR(G2419="L",G2419="30cm"),3,IF(OR(G2419="XL",G2419="35cm"),4,0))))),0)</f>
        <v>0.6</v>
      </c>
      <c r="J2419" s="103">
        <f t="shared" si="1"/>
        <v>0</v>
      </c>
      <c r="K2419" s="104" t="str">
        <f>IF(H2419&lt;0,"ERROR",IF(H2419=0,"",IF(H2419&lt;CONFIG!$B$4,"CRÍTICO",IF(H2419&lt;CONFIG!$B$5,"BAJO","OK"))))</f>
        <v/>
      </c>
    </row>
    <row r="2420" ht="15.75" hidden="1" customHeight="1">
      <c r="A2420" s="90" t="str">
        <f>IF(CLIENTES!A7="","",CLIENTES!A7)</f>
        <v/>
      </c>
      <c r="B2420" s="90" t="s">
        <v>331</v>
      </c>
      <c r="C2420" s="91" t="s">
        <v>328</v>
      </c>
      <c r="D2420" s="109" t="s">
        <v>364</v>
      </c>
      <c r="E2420" s="67" t="str">
        <f>COLORES!A8</f>
        <v>Beige</v>
      </c>
      <c r="F2420" s="67" t="str">
        <f>COLORES!B8</f>
        <v>CLARO</v>
      </c>
      <c r="G2420" s="90" t="s">
        <v>378</v>
      </c>
      <c r="H2420" s="100">
        <f>IFERROR(SUMIFS(MOVIMIENTOS_COMPLEMENTOS!$I$4:$I$803,MOVIMIENTOS_COMPLEMENTOS!$C$4:$C$803,A2420,MOVIMIENTOS_COMPLEMENTOS!$D$4:$D$803,B2420,MOVIMIENTOS_COMPLEMENTOS!$E$4:$E$803,C2420,MOVIMIENTOS_COMPLEMENTOS!$F$4:$F$803,D2420,MOVIMIENTOS_COMPLEMENTOS!$G$4:$G$803,E2420,MOVIMIENTOS_COMPLEMENTOS!$H$4:$H$803,G2420,MOVIMIENTOS_COMPLEMENTOS!$B$4:$B$803,"INGRESO")+SUMIFS(MOVIMIENTOS_COMPLEMENTOS!$I$4:$I$803,MOVIMIENTOS_COMPLEMENTOS!$C$4:$C$803,A2420,MOVIMIENTOS_COMPLEMENTOS!$D$4:$D$803,B2420,MOVIMIENTOS_COMPLEMENTOS!$E$4:$E$803,C2420,MOVIMIENTOS_COMPLEMENTOS!$F$4:$F$803,D2420,MOVIMIENTOS_COMPLEMENTOS!$G$4:$G$803,E2420,MOVIMIENTOS_COMPLEMENTOS!$H$4:$H$803,G2420,MOVIMIENTOS_COMPLEMENTOS!$B$4:$B$803,"DE CORTE")-SUMIFS(MOVIMIENTOS_COMPLEMENTOS!$I$4:$I$803,MOVIMIENTOS_COMPLEMENTOS!$C$4:$C$803,A2420,MOVIMIENTOS_COMPLEMENTOS!$D$4:$D$803,B2420,MOVIMIENTOS_COMPLEMENTOS!$E$4:$E$803,C2420,MOVIMIENTOS_COMPLEMENTOS!$F$4:$F$803,D2420,MOVIMIENTOS_COMPLEMENTOS!$G$4:$G$803,E2420,MOVIMIENTOS_COMPLEMENTOS!$H$4:$H$803,G2420,MOVIMIENTOS_COMPLEMENTOS!$B$4:$B$803,"SALIDA"),0)</f>
        <v>0</v>
      </c>
      <c r="I2420" s="102">
        <f t="array" ref="I2420">IFERROR(INDEX(PRECIOS_COMPLEMENTOS!$C$4:$F$17,MATCH(B2420&amp;"_"&amp;C2420,PRECIOS_COMPLEMENTOS!$H$4:$H$17,0),IF(OR(G2420="S",G2420="20cm"),1,IF(OR(G2420="M",G2420="25cm"),2,IF(OR(G2420="L",G2420="30cm"),3,IF(OR(G2420="XL",G2420="35cm"),4,0))))),0)</f>
        <v>0.6</v>
      </c>
      <c r="J2420" s="103">
        <f t="shared" si="1"/>
        <v>0</v>
      </c>
      <c r="K2420" s="104" t="str">
        <f>IF(H2420&lt;0,"ERROR",IF(H2420=0,"",IF(H2420&lt;CONFIG!$B$4,"CRÍTICO",IF(H2420&lt;CONFIG!$B$5,"BAJO","OK"))))</f>
        <v/>
      </c>
    </row>
    <row r="2421" ht="15.75" hidden="1" customHeight="1">
      <c r="A2421" s="90" t="str">
        <f>IF(CLIENTES!A7="","",CLIENTES!A7)</f>
        <v/>
      </c>
      <c r="B2421" s="90" t="s">
        <v>331</v>
      </c>
      <c r="C2421" s="91" t="s">
        <v>328</v>
      </c>
      <c r="D2421" s="109" t="s">
        <v>364</v>
      </c>
      <c r="E2421" s="67" t="str">
        <f>COLORES!A8</f>
        <v>Beige</v>
      </c>
      <c r="F2421" s="67" t="str">
        <f>COLORES!B8</f>
        <v>CLARO</v>
      </c>
      <c r="G2421" s="90" t="s">
        <v>376</v>
      </c>
      <c r="H2421" s="100">
        <f>IFERROR(SUMIFS(MOVIMIENTOS_COMPLEMENTOS!$I$4:$I$803,MOVIMIENTOS_COMPLEMENTOS!$C$4:$C$803,A2421,MOVIMIENTOS_COMPLEMENTOS!$D$4:$D$803,B2421,MOVIMIENTOS_COMPLEMENTOS!$E$4:$E$803,C2421,MOVIMIENTOS_COMPLEMENTOS!$F$4:$F$803,D2421,MOVIMIENTOS_COMPLEMENTOS!$G$4:$G$803,E2421,MOVIMIENTOS_COMPLEMENTOS!$H$4:$H$803,G2421,MOVIMIENTOS_COMPLEMENTOS!$B$4:$B$803,"INGRESO")+SUMIFS(MOVIMIENTOS_COMPLEMENTOS!$I$4:$I$803,MOVIMIENTOS_COMPLEMENTOS!$C$4:$C$803,A2421,MOVIMIENTOS_COMPLEMENTOS!$D$4:$D$803,B2421,MOVIMIENTOS_COMPLEMENTOS!$E$4:$E$803,C2421,MOVIMIENTOS_COMPLEMENTOS!$F$4:$F$803,D2421,MOVIMIENTOS_COMPLEMENTOS!$G$4:$G$803,E2421,MOVIMIENTOS_COMPLEMENTOS!$H$4:$H$803,G2421,MOVIMIENTOS_COMPLEMENTOS!$B$4:$B$803,"DE CORTE")-SUMIFS(MOVIMIENTOS_COMPLEMENTOS!$I$4:$I$803,MOVIMIENTOS_COMPLEMENTOS!$C$4:$C$803,A2421,MOVIMIENTOS_COMPLEMENTOS!$D$4:$D$803,B2421,MOVIMIENTOS_COMPLEMENTOS!$E$4:$E$803,C2421,MOVIMIENTOS_COMPLEMENTOS!$F$4:$F$803,D2421,MOVIMIENTOS_COMPLEMENTOS!$G$4:$G$803,E2421,MOVIMIENTOS_COMPLEMENTOS!$H$4:$H$803,G2421,MOVIMIENTOS_COMPLEMENTOS!$B$4:$B$803,"SALIDA"),0)</f>
        <v>0</v>
      </c>
      <c r="I2421" s="102">
        <f t="array" ref="I2421">IFERROR(INDEX(PRECIOS_COMPLEMENTOS!$C$4:$F$17,MATCH(B2421&amp;"_"&amp;C2421,PRECIOS_COMPLEMENTOS!$H$4:$H$17,0),IF(OR(G2421="S",G2421="20cm"),1,IF(OR(G2421="M",G2421="25cm"),2,IF(OR(G2421="L",G2421="30cm"),3,IF(OR(G2421="XL",G2421="35cm"),4,0))))),0)</f>
        <v>0.6</v>
      </c>
      <c r="J2421" s="103">
        <f t="shared" si="1"/>
        <v>0</v>
      </c>
      <c r="K2421" s="104" t="str">
        <f>IF(H2421&lt;0,"ERROR",IF(H2421=0,"",IF(H2421&lt;CONFIG!$B$4,"CRÍTICO",IF(H2421&lt;CONFIG!$B$5,"BAJO","OK"))))</f>
        <v/>
      </c>
    </row>
    <row r="2422" ht="15.75" hidden="1" customHeight="1">
      <c r="A2422" s="90" t="str">
        <f>IF(CLIENTES!A7="","",CLIENTES!A7)</f>
        <v/>
      </c>
      <c r="B2422" s="90" t="s">
        <v>331</v>
      </c>
      <c r="C2422" s="91" t="s">
        <v>328</v>
      </c>
      <c r="D2422" s="109" t="s">
        <v>364</v>
      </c>
      <c r="E2422" s="67" t="str">
        <f>COLORES!A8</f>
        <v>Beige</v>
      </c>
      <c r="F2422" s="67" t="str">
        <f>COLORES!B8</f>
        <v>CLARO</v>
      </c>
      <c r="G2422" s="90" t="s">
        <v>377</v>
      </c>
      <c r="H2422" s="100">
        <f>IFERROR(SUMIFS(MOVIMIENTOS_COMPLEMENTOS!$I$4:$I$803,MOVIMIENTOS_COMPLEMENTOS!$C$4:$C$803,A2422,MOVIMIENTOS_COMPLEMENTOS!$D$4:$D$803,B2422,MOVIMIENTOS_COMPLEMENTOS!$E$4:$E$803,C2422,MOVIMIENTOS_COMPLEMENTOS!$F$4:$F$803,D2422,MOVIMIENTOS_COMPLEMENTOS!$G$4:$G$803,E2422,MOVIMIENTOS_COMPLEMENTOS!$H$4:$H$803,G2422,MOVIMIENTOS_COMPLEMENTOS!$B$4:$B$803,"INGRESO")+SUMIFS(MOVIMIENTOS_COMPLEMENTOS!$I$4:$I$803,MOVIMIENTOS_COMPLEMENTOS!$C$4:$C$803,A2422,MOVIMIENTOS_COMPLEMENTOS!$D$4:$D$803,B2422,MOVIMIENTOS_COMPLEMENTOS!$E$4:$E$803,C2422,MOVIMIENTOS_COMPLEMENTOS!$F$4:$F$803,D2422,MOVIMIENTOS_COMPLEMENTOS!$G$4:$G$803,E2422,MOVIMIENTOS_COMPLEMENTOS!$H$4:$H$803,G2422,MOVIMIENTOS_COMPLEMENTOS!$B$4:$B$803,"DE CORTE")-SUMIFS(MOVIMIENTOS_COMPLEMENTOS!$I$4:$I$803,MOVIMIENTOS_COMPLEMENTOS!$C$4:$C$803,A2422,MOVIMIENTOS_COMPLEMENTOS!$D$4:$D$803,B2422,MOVIMIENTOS_COMPLEMENTOS!$E$4:$E$803,C2422,MOVIMIENTOS_COMPLEMENTOS!$F$4:$F$803,D2422,MOVIMIENTOS_COMPLEMENTOS!$G$4:$G$803,E2422,MOVIMIENTOS_COMPLEMENTOS!$H$4:$H$803,G2422,MOVIMIENTOS_COMPLEMENTOS!$B$4:$B$803,"SALIDA"),0)</f>
        <v>0</v>
      </c>
      <c r="I2422" s="102">
        <f t="array" ref="I2422">IFERROR(INDEX(PRECIOS_COMPLEMENTOS!$C$4:$F$17,MATCH(B2422&amp;"_"&amp;C2422,PRECIOS_COMPLEMENTOS!$H$4:$H$17,0),IF(OR(G2422="S",G2422="20cm"),1,IF(OR(G2422="M",G2422="25cm"),2,IF(OR(G2422="L",G2422="30cm"),3,IF(OR(G2422="XL",G2422="35cm"),4,0))))),0)</f>
        <v>0.6</v>
      </c>
      <c r="J2422" s="103">
        <f t="shared" si="1"/>
        <v>0</v>
      </c>
      <c r="K2422" s="104" t="str">
        <f>IF(H2422&lt;0,"ERROR",IF(H2422=0,"",IF(H2422&lt;CONFIG!$B$4,"CRÍTICO",IF(H2422&lt;CONFIG!$B$5,"BAJO","OK"))))</f>
        <v/>
      </c>
    </row>
    <row r="2423" ht="15.75" hidden="1" customHeight="1">
      <c r="A2423" s="90" t="str">
        <f>IF(CLIENTES!A7="","",CLIENTES!A7)</f>
        <v/>
      </c>
      <c r="B2423" s="90" t="s">
        <v>331</v>
      </c>
      <c r="C2423" s="91" t="s">
        <v>328</v>
      </c>
      <c r="D2423" s="109" t="s">
        <v>364</v>
      </c>
      <c r="E2423" s="67" t="str">
        <f>COLORES!A8</f>
        <v>Beige</v>
      </c>
      <c r="F2423" s="67" t="str">
        <f>COLORES!B8</f>
        <v>CLARO</v>
      </c>
      <c r="G2423" s="90" t="s">
        <v>379</v>
      </c>
      <c r="H2423" s="100">
        <f>IFERROR(SUMIFS(MOVIMIENTOS_COMPLEMENTOS!$I$4:$I$803,MOVIMIENTOS_COMPLEMENTOS!$C$4:$C$803,A2423,MOVIMIENTOS_COMPLEMENTOS!$D$4:$D$803,B2423,MOVIMIENTOS_COMPLEMENTOS!$E$4:$E$803,C2423,MOVIMIENTOS_COMPLEMENTOS!$F$4:$F$803,D2423,MOVIMIENTOS_COMPLEMENTOS!$G$4:$G$803,E2423,MOVIMIENTOS_COMPLEMENTOS!$H$4:$H$803,G2423,MOVIMIENTOS_COMPLEMENTOS!$B$4:$B$803,"INGRESO")+SUMIFS(MOVIMIENTOS_COMPLEMENTOS!$I$4:$I$803,MOVIMIENTOS_COMPLEMENTOS!$C$4:$C$803,A2423,MOVIMIENTOS_COMPLEMENTOS!$D$4:$D$803,B2423,MOVIMIENTOS_COMPLEMENTOS!$E$4:$E$803,C2423,MOVIMIENTOS_COMPLEMENTOS!$F$4:$F$803,D2423,MOVIMIENTOS_COMPLEMENTOS!$G$4:$G$803,E2423,MOVIMIENTOS_COMPLEMENTOS!$H$4:$H$803,G2423,MOVIMIENTOS_COMPLEMENTOS!$B$4:$B$803,"DE CORTE")-SUMIFS(MOVIMIENTOS_COMPLEMENTOS!$I$4:$I$803,MOVIMIENTOS_COMPLEMENTOS!$C$4:$C$803,A2423,MOVIMIENTOS_COMPLEMENTOS!$D$4:$D$803,B2423,MOVIMIENTOS_COMPLEMENTOS!$E$4:$E$803,C2423,MOVIMIENTOS_COMPLEMENTOS!$F$4:$F$803,D2423,MOVIMIENTOS_COMPLEMENTOS!$G$4:$G$803,E2423,MOVIMIENTOS_COMPLEMENTOS!$H$4:$H$803,G2423,MOVIMIENTOS_COMPLEMENTOS!$B$4:$B$803,"SALIDA"),0)</f>
        <v>0</v>
      </c>
      <c r="I2423" s="102">
        <f t="array" ref="I2423">IFERROR(INDEX(PRECIOS_COMPLEMENTOS!$C$4:$F$17,MATCH(B2423&amp;"_"&amp;C2423,PRECIOS_COMPLEMENTOS!$H$4:$H$17,0),IF(OR(G2423="S",G2423="20cm"),1,IF(OR(G2423="M",G2423="25cm"),2,IF(OR(G2423="L",G2423="30cm"),3,IF(OR(G2423="XL",G2423="35cm"),4,0))))),0)</f>
        <v>0.6</v>
      </c>
      <c r="J2423" s="103">
        <f t="shared" si="1"/>
        <v>0</v>
      </c>
      <c r="K2423" s="104" t="str">
        <f>IF(H2423&lt;0,"ERROR",IF(H2423=0,"",IF(H2423&lt;CONFIG!$B$4,"CRÍTICO",IF(H2423&lt;CONFIG!$B$5,"BAJO","OK"))))</f>
        <v/>
      </c>
    </row>
    <row r="2424" ht="15.75" hidden="1" customHeight="1">
      <c r="A2424" s="90" t="str">
        <f>IF(CLIENTES!A7="","",CLIENTES!A7)</f>
        <v/>
      </c>
      <c r="B2424" s="90" t="s">
        <v>331</v>
      </c>
      <c r="C2424" s="91" t="s">
        <v>328</v>
      </c>
      <c r="D2424" s="109" t="s">
        <v>364</v>
      </c>
      <c r="E2424" s="67" t="str">
        <f>COLORES!A9</f>
        <v>Melange</v>
      </c>
      <c r="F2424" s="67" t="str">
        <f>COLORES!B9</f>
        <v>MELANGE</v>
      </c>
      <c r="G2424" s="90" t="s">
        <v>378</v>
      </c>
      <c r="H2424" s="100">
        <f>IFERROR(SUMIFS(MOVIMIENTOS_COMPLEMENTOS!$I$4:$I$803,MOVIMIENTOS_COMPLEMENTOS!$C$4:$C$803,A2424,MOVIMIENTOS_COMPLEMENTOS!$D$4:$D$803,B2424,MOVIMIENTOS_COMPLEMENTOS!$E$4:$E$803,C2424,MOVIMIENTOS_COMPLEMENTOS!$F$4:$F$803,D2424,MOVIMIENTOS_COMPLEMENTOS!$G$4:$G$803,E2424,MOVIMIENTOS_COMPLEMENTOS!$H$4:$H$803,G2424,MOVIMIENTOS_COMPLEMENTOS!$B$4:$B$803,"INGRESO")+SUMIFS(MOVIMIENTOS_COMPLEMENTOS!$I$4:$I$803,MOVIMIENTOS_COMPLEMENTOS!$C$4:$C$803,A2424,MOVIMIENTOS_COMPLEMENTOS!$D$4:$D$803,B2424,MOVIMIENTOS_COMPLEMENTOS!$E$4:$E$803,C2424,MOVIMIENTOS_COMPLEMENTOS!$F$4:$F$803,D2424,MOVIMIENTOS_COMPLEMENTOS!$G$4:$G$803,E2424,MOVIMIENTOS_COMPLEMENTOS!$H$4:$H$803,G2424,MOVIMIENTOS_COMPLEMENTOS!$B$4:$B$803,"DE CORTE")-SUMIFS(MOVIMIENTOS_COMPLEMENTOS!$I$4:$I$803,MOVIMIENTOS_COMPLEMENTOS!$C$4:$C$803,A2424,MOVIMIENTOS_COMPLEMENTOS!$D$4:$D$803,B2424,MOVIMIENTOS_COMPLEMENTOS!$E$4:$E$803,C2424,MOVIMIENTOS_COMPLEMENTOS!$F$4:$F$803,D2424,MOVIMIENTOS_COMPLEMENTOS!$G$4:$G$803,E2424,MOVIMIENTOS_COMPLEMENTOS!$H$4:$H$803,G2424,MOVIMIENTOS_COMPLEMENTOS!$B$4:$B$803,"SALIDA"),0)</f>
        <v>0</v>
      </c>
      <c r="I2424" s="102">
        <f t="array" ref="I2424">IFERROR(INDEX(PRECIOS_COMPLEMENTOS!$C$4:$F$17,MATCH(B2424&amp;"_"&amp;C2424,PRECIOS_COMPLEMENTOS!$H$4:$H$17,0),IF(OR(G2424="S",G2424="20cm"),1,IF(OR(G2424="M",G2424="25cm"),2,IF(OR(G2424="L",G2424="30cm"),3,IF(OR(G2424="XL",G2424="35cm"),4,0))))),0)</f>
        <v>0.6</v>
      </c>
      <c r="J2424" s="103">
        <f t="shared" si="1"/>
        <v>0</v>
      </c>
      <c r="K2424" s="104" t="str">
        <f>IF(H2424&lt;0,"ERROR",IF(H2424=0,"",IF(H2424&lt;CONFIG!$B$4,"CRÍTICO",IF(H2424&lt;CONFIG!$B$5,"BAJO","OK"))))</f>
        <v/>
      </c>
    </row>
    <row r="2425" ht="15.75" hidden="1" customHeight="1">
      <c r="A2425" s="90" t="str">
        <f>IF(CLIENTES!A7="","",CLIENTES!A7)</f>
        <v/>
      </c>
      <c r="B2425" s="90" t="s">
        <v>331</v>
      </c>
      <c r="C2425" s="91" t="s">
        <v>328</v>
      </c>
      <c r="D2425" s="109" t="s">
        <v>364</v>
      </c>
      <c r="E2425" s="67" t="str">
        <f>COLORES!A9</f>
        <v>Melange</v>
      </c>
      <c r="F2425" s="67" t="str">
        <f>COLORES!B9</f>
        <v>MELANGE</v>
      </c>
      <c r="G2425" s="90" t="s">
        <v>376</v>
      </c>
      <c r="H2425" s="100">
        <f>IFERROR(SUMIFS(MOVIMIENTOS_COMPLEMENTOS!$I$4:$I$803,MOVIMIENTOS_COMPLEMENTOS!$C$4:$C$803,A2425,MOVIMIENTOS_COMPLEMENTOS!$D$4:$D$803,B2425,MOVIMIENTOS_COMPLEMENTOS!$E$4:$E$803,C2425,MOVIMIENTOS_COMPLEMENTOS!$F$4:$F$803,D2425,MOVIMIENTOS_COMPLEMENTOS!$G$4:$G$803,E2425,MOVIMIENTOS_COMPLEMENTOS!$H$4:$H$803,G2425,MOVIMIENTOS_COMPLEMENTOS!$B$4:$B$803,"INGRESO")+SUMIFS(MOVIMIENTOS_COMPLEMENTOS!$I$4:$I$803,MOVIMIENTOS_COMPLEMENTOS!$C$4:$C$803,A2425,MOVIMIENTOS_COMPLEMENTOS!$D$4:$D$803,B2425,MOVIMIENTOS_COMPLEMENTOS!$E$4:$E$803,C2425,MOVIMIENTOS_COMPLEMENTOS!$F$4:$F$803,D2425,MOVIMIENTOS_COMPLEMENTOS!$G$4:$G$803,E2425,MOVIMIENTOS_COMPLEMENTOS!$H$4:$H$803,G2425,MOVIMIENTOS_COMPLEMENTOS!$B$4:$B$803,"DE CORTE")-SUMIFS(MOVIMIENTOS_COMPLEMENTOS!$I$4:$I$803,MOVIMIENTOS_COMPLEMENTOS!$C$4:$C$803,A2425,MOVIMIENTOS_COMPLEMENTOS!$D$4:$D$803,B2425,MOVIMIENTOS_COMPLEMENTOS!$E$4:$E$803,C2425,MOVIMIENTOS_COMPLEMENTOS!$F$4:$F$803,D2425,MOVIMIENTOS_COMPLEMENTOS!$G$4:$G$803,E2425,MOVIMIENTOS_COMPLEMENTOS!$H$4:$H$803,G2425,MOVIMIENTOS_COMPLEMENTOS!$B$4:$B$803,"SALIDA"),0)</f>
        <v>0</v>
      </c>
      <c r="I2425" s="102">
        <f t="array" ref="I2425">IFERROR(INDEX(PRECIOS_COMPLEMENTOS!$C$4:$F$17,MATCH(B2425&amp;"_"&amp;C2425,PRECIOS_COMPLEMENTOS!$H$4:$H$17,0),IF(OR(G2425="S",G2425="20cm"),1,IF(OR(G2425="M",G2425="25cm"),2,IF(OR(G2425="L",G2425="30cm"),3,IF(OR(G2425="XL",G2425="35cm"),4,0))))),0)</f>
        <v>0.6</v>
      </c>
      <c r="J2425" s="103">
        <f t="shared" si="1"/>
        <v>0</v>
      </c>
      <c r="K2425" s="104" t="str">
        <f>IF(H2425&lt;0,"ERROR",IF(H2425=0,"",IF(H2425&lt;CONFIG!$B$4,"CRÍTICO",IF(H2425&lt;CONFIG!$B$5,"BAJO","OK"))))</f>
        <v/>
      </c>
    </row>
    <row r="2426" ht="15.75" hidden="1" customHeight="1">
      <c r="A2426" s="90" t="str">
        <f>IF(CLIENTES!A7="","",CLIENTES!A7)</f>
        <v/>
      </c>
      <c r="B2426" s="90" t="s">
        <v>331</v>
      </c>
      <c r="C2426" s="91" t="s">
        <v>328</v>
      </c>
      <c r="D2426" s="109" t="s">
        <v>364</v>
      </c>
      <c r="E2426" s="67" t="str">
        <f>COLORES!A9</f>
        <v>Melange</v>
      </c>
      <c r="F2426" s="67" t="str">
        <f>COLORES!B9</f>
        <v>MELANGE</v>
      </c>
      <c r="G2426" s="90" t="s">
        <v>377</v>
      </c>
      <c r="H2426" s="100">
        <f>IFERROR(SUMIFS(MOVIMIENTOS_COMPLEMENTOS!$I$4:$I$803,MOVIMIENTOS_COMPLEMENTOS!$C$4:$C$803,A2426,MOVIMIENTOS_COMPLEMENTOS!$D$4:$D$803,B2426,MOVIMIENTOS_COMPLEMENTOS!$E$4:$E$803,C2426,MOVIMIENTOS_COMPLEMENTOS!$F$4:$F$803,D2426,MOVIMIENTOS_COMPLEMENTOS!$G$4:$G$803,E2426,MOVIMIENTOS_COMPLEMENTOS!$H$4:$H$803,G2426,MOVIMIENTOS_COMPLEMENTOS!$B$4:$B$803,"INGRESO")+SUMIFS(MOVIMIENTOS_COMPLEMENTOS!$I$4:$I$803,MOVIMIENTOS_COMPLEMENTOS!$C$4:$C$803,A2426,MOVIMIENTOS_COMPLEMENTOS!$D$4:$D$803,B2426,MOVIMIENTOS_COMPLEMENTOS!$E$4:$E$803,C2426,MOVIMIENTOS_COMPLEMENTOS!$F$4:$F$803,D2426,MOVIMIENTOS_COMPLEMENTOS!$G$4:$G$803,E2426,MOVIMIENTOS_COMPLEMENTOS!$H$4:$H$803,G2426,MOVIMIENTOS_COMPLEMENTOS!$B$4:$B$803,"DE CORTE")-SUMIFS(MOVIMIENTOS_COMPLEMENTOS!$I$4:$I$803,MOVIMIENTOS_COMPLEMENTOS!$C$4:$C$803,A2426,MOVIMIENTOS_COMPLEMENTOS!$D$4:$D$803,B2426,MOVIMIENTOS_COMPLEMENTOS!$E$4:$E$803,C2426,MOVIMIENTOS_COMPLEMENTOS!$F$4:$F$803,D2426,MOVIMIENTOS_COMPLEMENTOS!$G$4:$G$803,E2426,MOVIMIENTOS_COMPLEMENTOS!$H$4:$H$803,G2426,MOVIMIENTOS_COMPLEMENTOS!$B$4:$B$803,"SALIDA"),0)</f>
        <v>0</v>
      </c>
      <c r="I2426" s="102">
        <f t="array" ref="I2426">IFERROR(INDEX(PRECIOS_COMPLEMENTOS!$C$4:$F$17,MATCH(B2426&amp;"_"&amp;C2426,PRECIOS_COMPLEMENTOS!$H$4:$H$17,0),IF(OR(G2426="S",G2426="20cm"),1,IF(OR(G2426="M",G2426="25cm"),2,IF(OR(G2426="L",G2426="30cm"),3,IF(OR(G2426="XL",G2426="35cm"),4,0))))),0)</f>
        <v>0.6</v>
      </c>
      <c r="J2426" s="103">
        <f t="shared" si="1"/>
        <v>0</v>
      </c>
      <c r="K2426" s="104" t="str">
        <f>IF(H2426&lt;0,"ERROR",IF(H2426=0,"",IF(H2426&lt;CONFIG!$B$4,"CRÍTICO",IF(H2426&lt;CONFIG!$B$5,"BAJO","OK"))))</f>
        <v/>
      </c>
    </row>
    <row r="2427" ht="15.75" hidden="1" customHeight="1">
      <c r="A2427" s="90" t="str">
        <f>IF(CLIENTES!A7="","",CLIENTES!A7)</f>
        <v/>
      </c>
      <c r="B2427" s="90" t="s">
        <v>331</v>
      </c>
      <c r="C2427" s="91" t="s">
        <v>328</v>
      </c>
      <c r="D2427" s="109" t="s">
        <v>364</v>
      </c>
      <c r="E2427" s="67" t="str">
        <f>COLORES!A9</f>
        <v>Melange</v>
      </c>
      <c r="F2427" s="67" t="str">
        <f>COLORES!B9</f>
        <v>MELANGE</v>
      </c>
      <c r="G2427" s="90" t="s">
        <v>379</v>
      </c>
      <c r="H2427" s="100">
        <f>IFERROR(SUMIFS(MOVIMIENTOS_COMPLEMENTOS!$I$4:$I$803,MOVIMIENTOS_COMPLEMENTOS!$C$4:$C$803,A2427,MOVIMIENTOS_COMPLEMENTOS!$D$4:$D$803,B2427,MOVIMIENTOS_COMPLEMENTOS!$E$4:$E$803,C2427,MOVIMIENTOS_COMPLEMENTOS!$F$4:$F$803,D2427,MOVIMIENTOS_COMPLEMENTOS!$G$4:$G$803,E2427,MOVIMIENTOS_COMPLEMENTOS!$H$4:$H$803,G2427,MOVIMIENTOS_COMPLEMENTOS!$B$4:$B$803,"INGRESO")+SUMIFS(MOVIMIENTOS_COMPLEMENTOS!$I$4:$I$803,MOVIMIENTOS_COMPLEMENTOS!$C$4:$C$803,A2427,MOVIMIENTOS_COMPLEMENTOS!$D$4:$D$803,B2427,MOVIMIENTOS_COMPLEMENTOS!$E$4:$E$803,C2427,MOVIMIENTOS_COMPLEMENTOS!$F$4:$F$803,D2427,MOVIMIENTOS_COMPLEMENTOS!$G$4:$G$803,E2427,MOVIMIENTOS_COMPLEMENTOS!$H$4:$H$803,G2427,MOVIMIENTOS_COMPLEMENTOS!$B$4:$B$803,"DE CORTE")-SUMIFS(MOVIMIENTOS_COMPLEMENTOS!$I$4:$I$803,MOVIMIENTOS_COMPLEMENTOS!$C$4:$C$803,A2427,MOVIMIENTOS_COMPLEMENTOS!$D$4:$D$803,B2427,MOVIMIENTOS_COMPLEMENTOS!$E$4:$E$803,C2427,MOVIMIENTOS_COMPLEMENTOS!$F$4:$F$803,D2427,MOVIMIENTOS_COMPLEMENTOS!$G$4:$G$803,E2427,MOVIMIENTOS_COMPLEMENTOS!$H$4:$H$803,G2427,MOVIMIENTOS_COMPLEMENTOS!$B$4:$B$803,"SALIDA"),0)</f>
        <v>0</v>
      </c>
      <c r="I2427" s="102">
        <f t="array" ref="I2427">IFERROR(INDEX(PRECIOS_COMPLEMENTOS!$C$4:$F$17,MATCH(B2427&amp;"_"&amp;C2427,PRECIOS_COMPLEMENTOS!$H$4:$H$17,0),IF(OR(G2427="S",G2427="20cm"),1,IF(OR(G2427="M",G2427="25cm"),2,IF(OR(G2427="L",G2427="30cm"),3,IF(OR(G2427="XL",G2427="35cm"),4,0))))),0)</f>
        <v>0.6</v>
      </c>
      <c r="J2427" s="103">
        <f t="shared" si="1"/>
        <v>0</v>
      </c>
      <c r="K2427" s="104" t="str">
        <f>IF(H2427&lt;0,"ERROR",IF(H2427=0,"",IF(H2427&lt;CONFIG!$B$4,"CRÍTICO",IF(H2427&lt;CONFIG!$B$5,"BAJO","OK"))))</f>
        <v/>
      </c>
    </row>
    <row r="2428" ht="15.75" hidden="1" customHeight="1">
      <c r="A2428" s="90" t="str">
        <f>IF(CLIENTES!A7="","",CLIENTES!A7)</f>
        <v/>
      </c>
      <c r="B2428" s="90" t="s">
        <v>331</v>
      </c>
      <c r="C2428" s="91" t="s">
        <v>328</v>
      </c>
      <c r="D2428" s="109" t="s">
        <v>364</v>
      </c>
      <c r="E2428" s="67" t="str">
        <f>COLORES!A10</f>
        <v>Botella</v>
      </c>
      <c r="F2428" s="67" t="str">
        <f>COLORES!B10</f>
        <v>OSCURO</v>
      </c>
      <c r="G2428" s="90" t="s">
        <v>378</v>
      </c>
      <c r="H2428" s="100">
        <f>IFERROR(SUMIFS(MOVIMIENTOS_COMPLEMENTOS!$I$4:$I$803,MOVIMIENTOS_COMPLEMENTOS!$C$4:$C$803,A2428,MOVIMIENTOS_COMPLEMENTOS!$D$4:$D$803,B2428,MOVIMIENTOS_COMPLEMENTOS!$E$4:$E$803,C2428,MOVIMIENTOS_COMPLEMENTOS!$F$4:$F$803,D2428,MOVIMIENTOS_COMPLEMENTOS!$G$4:$G$803,E2428,MOVIMIENTOS_COMPLEMENTOS!$H$4:$H$803,G2428,MOVIMIENTOS_COMPLEMENTOS!$B$4:$B$803,"INGRESO")+SUMIFS(MOVIMIENTOS_COMPLEMENTOS!$I$4:$I$803,MOVIMIENTOS_COMPLEMENTOS!$C$4:$C$803,A2428,MOVIMIENTOS_COMPLEMENTOS!$D$4:$D$803,B2428,MOVIMIENTOS_COMPLEMENTOS!$E$4:$E$803,C2428,MOVIMIENTOS_COMPLEMENTOS!$F$4:$F$803,D2428,MOVIMIENTOS_COMPLEMENTOS!$G$4:$G$803,E2428,MOVIMIENTOS_COMPLEMENTOS!$H$4:$H$803,G2428,MOVIMIENTOS_COMPLEMENTOS!$B$4:$B$803,"DE CORTE")-SUMIFS(MOVIMIENTOS_COMPLEMENTOS!$I$4:$I$803,MOVIMIENTOS_COMPLEMENTOS!$C$4:$C$803,A2428,MOVIMIENTOS_COMPLEMENTOS!$D$4:$D$803,B2428,MOVIMIENTOS_COMPLEMENTOS!$E$4:$E$803,C2428,MOVIMIENTOS_COMPLEMENTOS!$F$4:$F$803,D2428,MOVIMIENTOS_COMPLEMENTOS!$G$4:$G$803,E2428,MOVIMIENTOS_COMPLEMENTOS!$H$4:$H$803,G2428,MOVIMIENTOS_COMPLEMENTOS!$B$4:$B$803,"SALIDA"),0)</f>
        <v>0</v>
      </c>
      <c r="I2428" s="102">
        <f t="array" ref="I2428">IFERROR(INDEX(PRECIOS_COMPLEMENTOS!$C$4:$F$17,MATCH(B2428&amp;"_"&amp;C2428,PRECIOS_COMPLEMENTOS!$H$4:$H$17,0),IF(OR(G2428="S",G2428="20cm"),1,IF(OR(G2428="M",G2428="25cm"),2,IF(OR(G2428="L",G2428="30cm"),3,IF(OR(G2428="XL",G2428="35cm"),4,0))))),0)</f>
        <v>0.6</v>
      </c>
      <c r="J2428" s="103">
        <f t="shared" si="1"/>
        <v>0</v>
      </c>
      <c r="K2428" s="104" t="str">
        <f>IF(H2428&lt;0,"ERROR",IF(H2428=0,"",IF(H2428&lt;CONFIG!$B$4,"CRÍTICO",IF(H2428&lt;CONFIG!$B$5,"BAJO","OK"))))</f>
        <v/>
      </c>
    </row>
    <row r="2429" ht="15.75" hidden="1" customHeight="1">
      <c r="A2429" s="90" t="str">
        <f>IF(CLIENTES!A7="","",CLIENTES!A7)</f>
        <v/>
      </c>
      <c r="B2429" s="90" t="s">
        <v>331</v>
      </c>
      <c r="C2429" s="91" t="s">
        <v>328</v>
      </c>
      <c r="D2429" s="109" t="s">
        <v>364</v>
      </c>
      <c r="E2429" s="67" t="str">
        <f>COLORES!A10</f>
        <v>Botella</v>
      </c>
      <c r="F2429" s="67" t="str">
        <f>COLORES!B10</f>
        <v>OSCURO</v>
      </c>
      <c r="G2429" s="90" t="s">
        <v>376</v>
      </c>
      <c r="H2429" s="100">
        <f>IFERROR(SUMIFS(MOVIMIENTOS_COMPLEMENTOS!$I$4:$I$803,MOVIMIENTOS_COMPLEMENTOS!$C$4:$C$803,A2429,MOVIMIENTOS_COMPLEMENTOS!$D$4:$D$803,B2429,MOVIMIENTOS_COMPLEMENTOS!$E$4:$E$803,C2429,MOVIMIENTOS_COMPLEMENTOS!$F$4:$F$803,D2429,MOVIMIENTOS_COMPLEMENTOS!$G$4:$G$803,E2429,MOVIMIENTOS_COMPLEMENTOS!$H$4:$H$803,G2429,MOVIMIENTOS_COMPLEMENTOS!$B$4:$B$803,"INGRESO")+SUMIFS(MOVIMIENTOS_COMPLEMENTOS!$I$4:$I$803,MOVIMIENTOS_COMPLEMENTOS!$C$4:$C$803,A2429,MOVIMIENTOS_COMPLEMENTOS!$D$4:$D$803,B2429,MOVIMIENTOS_COMPLEMENTOS!$E$4:$E$803,C2429,MOVIMIENTOS_COMPLEMENTOS!$F$4:$F$803,D2429,MOVIMIENTOS_COMPLEMENTOS!$G$4:$G$803,E2429,MOVIMIENTOS_COMPLEMENTOS!$H$4:$H$803,G2429,MOVIMIENTOS_COMPLEMENTOS!$B$4:$B$803,"DE CORTE")-SUMIFS(MOVIMIENTOS_COMPLEMENTOS!$I$4:$I$803,MOVIMIENTOS_COMPLEMENTOS!$C$4:$C$803,A2429,MOVIMIENTOS_COMPLEMENTOS!$D$4:$D$803,B2429,MOVIMIENTOS_COMPLEMENTOS!$E$4:$E$803,C2429,MOVIMIENTOS_COMPLEMENTOS!$F$4:$F$803,D2429,MOVIMIENTOS_COMPLEMENTOS!$G$4:$G$803,E2429,MOVIMIENTOS_COMPLEMENTOS!$H$4:$H$803,G2429,MOVIMIENTOS_COMPLEMENTOS!$B$4:$B$803,"SALIDA"),0)</f>
        <v>0</v>
      </c>
      <c r="I2429" s="102">
        <f t="array" ref="I2429">IFERROR(INDEX(PRECIOS_COMPLEMENTOS!$C$4:$F$17,MATCH(B2429&amp;"_"&amp;C2429,PRECIOS_COMPLEMENTOS!$H$4:$H$17,0),IF(OR(G2429="S",G2429="20cm"),1,IF(OR(G2429="M",G2429="25cm"),2,IF(OR(G2429="L",G2429="30cm"),3,IF(OR(G2429="XL",G2429="35cm"),4,0))))),0)</f>
        <v>0.6</v>
      </c>
      <c r="J2429" s="103">
        <f t="shared" si="1"/>
        <v>0</v>
      </c>
      <c r="K2429" s="104" t="str">
        <f>IF(H2429&lt;0,"ERROR",IF(H2429=0,"",IF(H2429&lt;CONFIG!$B$4,"CRÍTICO",IF(H2429&lt;CONFIG!$B$5,"BAJO","OK"))))</f>
        <v/>
      </c>
    </row>
    <row r="2430" ht="15.75" hidden="1" customHeight="1">
      <c r="A2430" s="90" t="str">
        <f>IF(CLIENTES!A7="","",CLIENTES!A7)</f>
        <v/>
      </c>
      <c r="B2430" s="90" t="s">
        <v>331</v>
      </c>
      <c r="C2430" s="91" t="s">
        <v>328</v>
      </c>
      <c r="D2430" s="109" t="s">
        <v>364</v>
      </c>
      <c r="E2430" s="67" t="str">
        <f>COLORES!A10</f>
        <v>Botella</v>
      </c>
      <c r="F2430" s="67" t="str">
        <f>COLORES!B10</f>
        <v>OSCURO</v>
      </c>
      <c r="G2430" s="90" t="s">
        <v>377</v>
      </c>
      <c r="H2430" s="100">
        <f>IFERROR(SUMIFS(MOVIMIENTOS_COMPLEMENTOS!$I$4:$I$803,MOVIMIENTOS_COMPLEMENTOS!$C$4:$C$803,A2430,MOVIMIENTOS_COMPLEMENTOS!$D$4:$D$803,B2430,MOVIMIENTOS_COMPLEMENTOS!$E$4:$E$803,C2430,MOVIMIENTOS_COMPLEMENTOS!$F$4:$F$803,D2430,MOVIMIENTOS_COMPLEMENTOS!$G$4:$G$803,E2430,MOVIMIENTOS_COMPLEMENTOS!$H$4:$H$803,G2430,MOVIMIENTOS_COMPLEMENTOS!$B$4:$B$803,"INGRESO")+SUMIFS(MOVIMIENTOS_COMPLEMENTOS!$I$4:$I$803,MOVIMIENTOS_COMPLEMENTOS!$C$4:$C$803,A2430,MOVIMIENTOS_COMPLEMENTOS!$D$4:$D$803,B2430,MOVIMIENTOS_COMPLEMENTOS!$E$4:$E$803,C2430,MOVIMIENTOS_COMPLEMENTOS!$F$4:$F$803,D2430,MOVIMIENTOS_COMPLEMENTOS!$G$4:$G$803,E2430,MOVIMIENTOS_COMPLEMENTOS!$H$4:$H$803,G2430,MOVIMIENTOS_COMPLEMENTOS!$B$4:$B$803,"DE CORTE")-SUMIFS(MOVIMIENTOS_COMPLEMENTOS!$I$4:$I$803,MOVIMIENTOS_COMPLEMENTOS!$C$4:$C$803,A2430,MOVIMIENTOS_COMPLEMENTOS!$D$4:$D$803,B2430,MOVIMIENTOS_COMPLEMENTOS!$E$4:$E$803,C2430,MOVIMIENTOS_COMPLEMENTOS!$F$4:$F$803,D2430,MOVIMIENTOS_COMPLEMENTOS!$G$4:$G$803,E2430,MOVIMIENTOS_COMPLEMENTOS!$H$4:$H$803,G2430,MOVIMIENTOS_COMPLEMENTOS!$B$4:$B$803,"SALIDA"),0)</f>
        <v>0</v>
      </c>
      <c r="I2430" s="102">
        <f t="array" ref="I2430">IFERROR(INDEX(PRECIOS_COMPLEMENTOS!$C$4:$F$17,MATCH(B2430&amp;"_"&amp;C2430,PRECIOS_COMPLEMENTOS!$H$4:$H$17,0),IF(OR(G2430="S",G2430="20cm"),1,IF(OR(G2430="M",G2430="25cm"),2,IF(OR(G2430="L",G2430="30cm"),3,IF(OR(G2430="XL",G2430="35cm"),4,0))))),0)</f>
        <v>0.6</v>
      </c>
      <c r="J2430" s="103">
        <f t="shared" si="1"/>
        <v>0</v>
      </c>
      <c r="K2430" s="104" t="str">
        <f>IF(H2430&lt;0,"ERROR",IF(H2430=0,"",IF(H2430&lt;CONFIG!$B$4,"CRÍTICO",IF(H2430&lt;CONFIG!$B$5,"BAJO","OK"))))</f>
        <v/>
      </c>
    </row>
    <row r="2431" ht="15.75" hidden="1" customHeight="1">
      <c r="A2431" s="90" t="str">
        <f>IF(CLIENTES!A7="","",CLIENTES!A7)</f>
        <v/>
      </c>
      <c r="B2431" s="90" t="s">
        <v>331</v>
      </c>
      <c r="C2431" s="91" t="s">
        <v>328</v>
      </c>
      <c r="D2431" s="109" t="s">
        <v>364</v>
      </c>
      <c r="E2431" s="67" t="str">
        <f>COLORES!A10</f>
        <v>Botella</v>
      </c>
      <c r="F2431" s="67" t="str">
        <f>COLORES!B10</f>
        <v>OSCURO</v>
      </c>
      <c r="G2431" s="90" t="s">
        <v>379</v>
      </c>
      <c r="H2431" s="100">
        <f>IFERROR(SUMIFS(MOVIMIENTOS_COMPLEMENTOS!$I$4:$I$803,MOVIMIENTOS_COMPLEMENTOS!$C$4:$C$803,A2431,MOVIMIENTOS_COMPLEMENTOS!$D$4:$D$803,B2431,MOVIMIENTOS_COMPLEMENTOS!$E$4:$E$803,C2431,MOVIMIENTOS_COMPLEMENTOS!$F$4:$F$803,D2431,MOVIMIENTOS_COMPLEMENTOS!$G$4:$G$803,E2431,MOVIMIENTOS_COMPLEMENTOS!$H$4:$H$803,G2431,MOVIMIENTOS_COMPLEMENTOS!$B$4:$B$803,"INGRESO")+SUMIFS(MOVIMIENTOS_COMPLEMENTOS!$I$4:$I$803,MOVIMIENTOS_COMPLEMENTOS!$C$4:$C$803,A2431,MOVIMIENTOS_COMPLEMENTOS!$D$4:$D$803,B2431,MOVIMIENTOS_COMPLEMENTOS!$E$4:$E$803,C2431,MOVIMIENTOS_COMPLEMENTOS!$F$4:$F$803,D2431,MOVIMIENTOS_COMPLEMENTOS!$G$4:$G$803,E2431,MOVIMIENTOS_COMPLEMENTOS!$H$4:$H$803,G2431,MOVIMIENTOS_COMPLEMENTOS!$B$4:$B$803,"DE CORTE")-SUMIFS(MOVIMIENTOS_COMPLEMENTOS!$I$4:$I$803,MOVIMIENTOS_COMPLEMENTOS!$C$4:$C$803,A2431,MOVIMIENTOS_COMPLEMENTOS!$D$4:$D$803,B2431,MOVIMIENTOS_COMPLEMENTOS!$E$4:$E$803,C2431,MOVIMIENTOS_COMPLEMENTOS!$F$4:$F$803,D2431,MOVIMIENTOS_COMPLEMENTOS!$G$4:$G$803,E2431,MOVIMIENTOS_COMPLEMENTOS!$H$4:$H$803,G2431,MOVIMIENTOS_COMPLEMENTOS!$B$4:$B$803,"SALIDA"),0)</f>
        <v>0</v>
      </c>
      <c r="I2431" s="102">
        <f t="array" ref="I2431">IFERROR(INDEX(PRECIOS_COMPLEMENTOS!$C$4:$F$17,MATCH(B2431&amp;"_"&amp;C2431,PRECIOS_COMPLEMENTOS!$H$4:$H$17,0),IF(OR(G2431="S",G2431="20cm"),1,IF(OR(G2431="M",G2431="25cm"),2,IF(OR(G2431="L",G2431="30cm"),3,IF(OR(G2431="XL",G2431="35cm"),4,0))))),0)</f>
        <v>0.6</v>
      </c>
      <c r="J2431" s="103">
        <f t="shared" si="1"/>
        <v>0</v>
      </c>
      <c r="K2431" s="104" t="str">
        <f>IF(H2431&lt;0,"ERROR",IF(H2431=0,"",IF(H2431&lt;CONFIG!$B$4,"CRÍTICO",IF(H2431&lt;CONFIG!$B$5,"BAJO","OK"))))</f>
        <v/>
      </c>
    </row>
    <row r="2432" ht="15.75" hidden="1" customHeight="1">
      <c r="A2432" s="90" t="str">
        <f>IF(CLIENTES!A7="","",CLIENTES!A7)</f>
        <v/>
      </c>
      <c r="B2432" s="90" t="s">
        <v>331</v>
      </c>
      <c r="C2432" s="91" t="s">
        <v>328</v>
      </c>
      <c r="D2432" s="109" t="s">
        <v>364</v>
      </c>
      <c r="E2432" s="67" t="str">
        <f>COLORES!A11</f>
        <v>Pacay</v>
      </c>
      <c r="F2432" s="67" t="str">
        <f>COLORES!B11</f>
        <v>CLARO</v>
      </c>
      <c r="G2432" s="90" t="s">
        <v>378</v>
      </c>
      <c r="H2432" s="100">
        <f>IFERROR(SUMIFS(MOVIMIENTOS_COMPLEMENTOS!$I$4:$I$803,MOVIMIENTOS_COMPLEMENTOS!$C$4:$C$803,A2432,MOVIMIENTOS_COMPLEMENTOS!$D$4:$D$803,B2432,MOVIMIENTOS_COMPLEMENTOS!$E$4:$E$803,C2432,MOVIMIENTOS_COMPLEMENTOS!$F$4:$F$803,D2432,MOVIMIENTOS_COMPLEMENTOS!$G$4:$G$803,E2432,MOVIMIENTOS_COMPLEMENTOS!$H$4:$H$803,G2432,MOVIMIENTOS_COMPLEMENTOS!$B$4:$B$803,"INGRESO")+SUMIFS(MOVIMIENTOS_COMPLEMENTOS!$I$4:$I$803,MOVIMIENTOS_COMPLEMENTOS!$C$4:$C$803,A2432,MOVIMIENTOS_COMPLEMENTOS!$D$4:$D$803,B2432,MOVIMIENTOS_COMPLEMENTOS!$E$4:$E$803,C2432,MOVIMIENTOS_COMPLEMENTOS!$F$4:$F$803,D2432,MOVIMIENTOS_COMPLEMENTOS!$G$4:$G$803,E2432,MOVIMIENTOS_COMPLEMENTOS!$H$4:$H$803,G2432,MOVIMIENTOS_COMPLEMENTOS!$B$4:$B$803,"DE CORTE")-SUMIFS(MOVIMIENTOS_COMPLEMENTOS!$I$4:$I$803,MOVIMIENTOS_COMPLEMENTOS!$C$4:$C$803,A2432,MOVIMIENTOS_COMPLEMENTOS!$D$4:$D$803,B2432,MOVIMIENTOS_COMPLEMENTOS!$E$4:$E$803,C2432,MOVIMIENTOS_COMPLEMENTOS!$F$4:$F$803,D2432,MOVIMIENTOS_COMPLEMENTOS!$G$4:$G$803,E2432,MOVIMIENTOS_COMPLEMENTOS!$H$4:$H$803,G2432,MOVIMIENTOS_COMPLEMENTOS!$B$4:$B$803,"SALIDA"),0)</f>
        <v>0</v>
      </c>
      <c r="I2432" s="102">
        <f t="array" ref="I2432">IFERROR(INDEX(PRECIOS_COMPLEMENTOS!$C$4:$F$17,MATCH(B2432&amp;"_"&amp;C2432,PRECIOS_COMPLEMENTOS!$H$4:$H$17,0),IF(OR(G2432="S",G2432="20cm"),1,IF(OR(G2432="M",G2432="25cm"),2,IF(OR(G2432="L",G2432="30cm"),3,IF(OR(G2432="XL",G2432="35cm"),4,0))))),0)</f>
        <v>0.6</v>
      </c>
      <c r="J2432" s="103">
        <f t="shared" si="1"/>
        <v>0</v>
      </c>
      <c r="K2432" s="104" t="str">
        <f>IF(H2432&lt;0,"ERROR",IF(H2432=0,"",IF(H2432&lt;CONFIG!$B$4,"CRÍTICO",IF(H2432&lt;CONFIG!$B$5,"BAJO","OK"))))</f>
        <v/>
      </c>
    </row>
    <row r="2433" ht="15.75" hidden="1" customHeight="1">
      <c r="A2433" s="90" t="str">
        <f>IF(CLIENTES!A7="","",CLIENTES!A7)</f>
        <v/>
      </c>
      <c r="B2433" s="90" t="s">
        <v>331</v>
      </c>
      <c r="C2433" s="91" t="s">
        <v>328</v>
      </c>
      <c r="D2433" s="109" t="s">
        <v>364</v>
      </c>
      <c r="E2433" s="67" t="str">
        <f>COLORES!A11</f>
        <v>Pacay</v>
      </c>
      <c r="F2433" s="67" t="str">
        <f>COLORES!B11</f>
        <v>CLARO</v>
      </c>
      <c r="G2433" s="90" t="s">
        <v>376</v>
      </c>
      <c r="H2433" s="100">
        <f>IFERROR(SUMIFS(MOVIMIENTOS_COMPLEMENTOS!$I$4:$I$803,MOVIMIENTOS_COMPLEMENTOS!$C$4:$C$803,A2433,MOVIMIENTOS_COMPLEMENTOS!$D$4:$D$803,B2433,MOVIMIENTOS_COMPLEMENTOS!$E$4:$E$803,C2433,MOVIMIENTOS_COMPLEMENTOS!$F$4:$F$803,D2433,MOVIMIENTOS_COMPLEMENTOS!$G$4:$G$803,E2433,MOVIMIENTOS_COMPLEMENTOS!$H$4:$H$803,G2433,MOVIMIENTOS_COMPLEMENTOS!$B$4:$B$803,"INGRESO")+SUMIFS(MOVIMIENTOS_COMPLEMENTOS!$I$4:$I$803,MOVIMIENTOS_COMPLEMENTOS!$C$4:$C$803,A2433,MOVIMIENTOS_COMPLEMENTOS!$D$4:$D$803,B2433,MOVIMIENTOS_COMPLEMENTOS!$E$4:$E$803,C2433,MOVIMIENTOS_COMPLEMENTOS!$F$4:$F$803,D2433,MOVIMIENTOS_COMPLEMENTOS!$G$4:$G$803,E2433,MOVIMIENTOS_COMPLEMENTOS!$H$4:$H$803,G2433,MOVIMIENTOS_COMPLEMENTOS!$B$4:$B$803,"DE CORTE")-SUMIFS(MOVIMIENTOS_COMPLEMENTOS!$I$4:$I$803,MOVIMIENTOS_COMPLEMENTOS!$C$4:$C$803,A2433,MOVIMIENTOS_COMPLEMENTOS!$D$4:$D$803,B2433,MOVIMIENTOS_COMPLEMENTOS!$E$4:$E$803,C2433,MOVIMIENTOS_COMPLEMENTOS!$F$4:$F$803,D2433,MOVIMIENTOS_COMPLEMENTOS!$G$4:$G$803,E2433,MOVIMIENTOS_COMPLEMENTOS!$H$4:$H$803,G2433,MOVIMIENTOS_COMPLEMENTOS!$B$4:$B$803,"SALIDA"),0)</f>
        <v>0</v>
      </c>
      <c r="I2433" s="102">
        <f t="array" ref="I2433">IFERROR(INDEX(PRECIOS_COMPLEMENTOS!$C$4:$F$17,MATCH(B2433&amp;"_"&amp;C2433,PRECIOS_COMPLEMENTOS!$H$4:$H$17,0),IF(OR(G2433="S",G2433="20cm"),1,IF(OR(G2433="M",G2433="25cm"),2,IF(OR(G2433="L",G2433="30cm"),3,IF(OR(G2433="XL",G2433="35cm"),4,0))))),0)</f>
        <v>0.6</v>
      </c>
      <c r="J2433" s="103">
        <f t="shared" si="1"/>
        <v>0</v>
      </c>
      <c r="K2433" s="104" t="str">
        <f>IF(H2433&lt;0,"ERROR",IF(H2433=0,"",IF(H2433&lt;CONFIG!$B$4,"CRÍTICO",IF(H2433&lt;CONFIG!$B$5,"BAJO","OK"))))</f>
        <v/>
      </c>
    </row>
    <row r="2434" ht="15.75" hidden="1" customHeight="1">
      <c r="A2434" s="90" t="str">
        <f>IF(CLIENTES!A7="","",CLIENTES!A7)</f>
        <v/>
      </c>
      <c r="B2434" s="90" t="s">
        <v>331</v>
      </c>
      <c r="C2434" s="91" t="s">
        <v>328</v>
      </c>
      <c r="D2434" s="109" t="s">
        <v>364</v>
      </c>
      <c r="E2434" s="67" t="str">
        <f>COLORES!A11</f>
        <v>Pacay</v>
      </c>
      <c r="F2434" s="67" t="str">
        <f>COLORES!B11</f>
        <v>CLARO</v>
      </c>
      <c r="G2434" s="90" t="s">
        <v>377</v>
      </c>
      <c r="H2434" s="100">
        <f>IFERROR(SUMIFS(MOVIMIENTOS_COMPLEMENTOS!$I$4:$I$803,MOVIMIENTOS_COMPLEMENTOS!$C$4:$C$803,A2434,MOVIMIENTOS_COMPLEMENTOS!$D$4:$D$803,B2434,MOVIMIENTOS_COMPLEMENTOS!$E$4:$E$803,C2434,MOVIMIENTOS_COMPLEMENTOS!$F$4:$F$803,D2434,MOVIMIENTOS_COMPLEMENTOS!$G$4:$G$803,E2434,MOVIMIENTOS_COMPLEMENTOS!$H$4:$H$803,G2434,MOVIMIENTOS_COMPLEMENTOS!$B$4:$B$803,"INGRESO")+SUMIFS(MOVIMIENTOS_COMPLEMENTOS!$I$4:$I$803,MOVIMIENTOS_COMPLEMENTOS!$C$4:$C$803,A2434,MOVIMIENTOS_COMPLEMENTOS!$D$4:$D$803,B2434,MOVIMIENTOS_COMPLEMENTOS!$E$4:$E$803,C2434,MOVIMIENTOS_COMPLEMENTOS!$F$4:$F$803,D2434,MOVIMIENTOS_COMPLEMENTOS!$G$4:$G$803,E2434,MOVIMIENTOS_COMPLEMENTOS!$H$4:$H$803,G2434,MOVIMIENTOS_COMPLEMENTOS!$B$4:$B$803,"DE CORTE")-SUMIFS(MOVIMIENTOS_COMPLEMENTOS!$I$4:$I$803,MOVIMIENTOS_COMPLEMENTOS!$C$4:$C$803,A2434,MOVIMIENTOS_COMPLEMENTOS!$D$4:$D$803,B2434,MOVIMIENTOS_COMPLEMENTOS!$E$4:$E$803,C2434,MOVIMIENTOS_COMPLEMENTOS!$F$4:$F$803,D2434,MOVIMIENTOS_COMPLEMENTOS!$G$4:$G$803,E2434,MOVIMIENTOS_COMPLEMENTOS!$H$4:$H$803,G2434,MOVIMIENTOS_COMPLEMENTOS!$B$4:$B$803,"SALIDA"),0)</f>
        <v>0</v>
      </c>
      <c r="I2434" s="102">
        <f t="array" ref="I2434">IFERROR(INDEX(PRECIOS_COMPLEMENTOS!$C$4:$F$17,MATCH(B2434&amp;"_"&amp;C2434,PRECIOS_COMPLEMENTOS!$H$4:$H$17,0),IF(OR(G2434="S",G2434="20cm"),1,IF(OR(G2434="M",G2434="25cm"),2,IF(OR(G2434="L",G2434="30cm"),3,IF(OR(G2434="XL",G2434="35cm"),4,0))))),0)</f>
        <v>0.6</v>
      </c>
      <c r="J2434" s="103">
        <f t="shared" si="1"/>
        <v>0</v>
      </c>
      <c r="K2434" s="104" t="str">
        <f>IF(H2434&lt;0,"ERROR",IF(H2434=0,"",IF(H2434&lt;CONFIG!$B$4,"CRÍTICO",IF(H2434&lt;CONFIG!$B$5,"BAJO","OK"))))</f>
        <v/>
      </c>
    </row>
    <row r="2435" ht="15.75" hidden="1" customHeight="1">
      <c r="A2435" s="90" t="str">
        <f>IF(CLIENTES!A7="","",CLIENTES!A7)</f>
        <v/>
      </c>
      <c r="B2435" s="90" t="s">
        <v>331</v>
      </c>
      <c r="C2435" s="91" t="s">
        <v>328</v>
      </c>
      <c r="D2435" s="109" t="s">
        <v>364</v>
      </c>
      <c r="E2435" s="67" t="str">
        <f>COLORES!A11</f>
        <v>Pacay</v>
      </c>
      <c r="F2435" s="67" t="str">
        <f>COLORES!B11</f>
        <v>CLARO</v>
      </c>
      <c r="G2435" s="90" t="s">
        <v>379</v>
      </c>
      <c r="H2435" s="100">
        <f>IFERROR(SUMIFS(MOVIMIENTOS_COMPLEMENTOS!$I$4:$I$803,MOVIMIENTOS_COMPLEMENTOS!$C$4:$C$803,A2435,MOVIMIENTOS_COMPLEMENTOS!$D$4:$D$803,B2435,MOVIMIENTOS_COMPLEMENTOS!$E$4:$E$803,C2435,MOVIMIENTOS_COMPLEMENTOS!$F$4:$F$803,D2435,MOVIMIENTOS_COMPLEMENTOS!$G$4:$G$803,E2435,MOVIMIENTOS_COMPLEMENTOS!$H$4:$H$803,G2435,MOVIMIENTOS_COMPLEMENTOS!$B$4:$B$803,"INGRESO")+SUMIFS(MOVIMIENTOS_COMPLEMENTOS!$I$4:$I$803,MOVIMIENTOS_COMPLEMENTOS!$C$4:$C$803,A2435,MOVIMIENTOS_COMPLEMENTOS!$D$4:$D$803,B2435,MOVIMIENTOS_COMPLEMENTOS!$E$4:$E$803,C2435,MOVIMIENTOS_COMPLEMENTOS!$F$4:$F$803,D2435,MOVIMIENTOS_COMPLEMENTOS!$G$4:$G$803,E2435,MOVIMIENTOS_COMPLEMENTOS!$H$4:$H$803,G2435,MOVIMIENTOS_COMPLEMENTOS!$B$4:$B$803,"DE CORTE")-SUMIFS(MOVIMIENTOS_COMPLEMENTOS!$I$4:$I$803,MOVIMIENTOS_COMPLEMENTOS!$C$4:$C$803,A2435,MOVIMIENTOS_COMPLEMENTOS!$D$4:$D$803,B2435,MOVIMIENTOS_COMPLEMENTOS!$E$4:$E$803,C2435,MOVIMIENTOS_COMPLEMENTOS!$F$4:$F$803,D2435,MOVIMIENTOS_COMPLEMENTOS!$G$4:$G$803,E2435,MOVIMIENTOS_COMPLEMENTOS!$H$4:$H$803,G2435,MOVIMIENTOS_COMPLEMENTOS!$B$4:$B$803,"SALIDA"),0)</f>
        <v>0</v>
      </c>
      <c r="I2435" s="102">
        <f t="array" ref="I2435">IFERROR(INDEX(PRECIOS_COMPLEMENTOS!$C$4:$F$17,MATCH(B2435&amp;"_"&amp;C2435,PRECIOS_COMPLEMENTOS!$H$4:$H$17,0),IF(OR(G2435="S",G2435="20cm"),1,IF(OR(G2435="M",G2435="25cm"),2,IF(OR(G2435="L",G2435="30cm"),3,IF(OR(G2435="XL",G2435="35cm"),4,0))))),0)</f>
        <v>0.6</v>
      </c>
      <c r="J2435" s="103">
        <f t="shared" si="1"/>
        <v>0</v>
      </c>
      <c r="K2435" s="104" t="str">
        <f>IF(H2435&lt;0,"ERROR",IF(H2435=0,"",IF(H2435&lt;CONFIG!$B$4,"CRÍTICO",IF(H2435&lt;CONFIG!$B$5,"BAJO","OK"))))</f>
        <v/>
      </c>
    </row>
    <row r="2436" ht="15.75" hidden="1" customHeight="1">
      <c r="A2436" s="90" t="str">
        <f>IF(CLIENTES!A7="","",CLIENTES!A7)</f>
        <v/>
      </c>
      <c r="B2436" s="90" t="s">
        <v>331</v>
      </c>
      <c r="C2436" s="91" t="s">
        <v>328</v>
      </c>
      <c r="D2436" s="109" t="s">
        <v>364</v>
      </c>
      <c r="E2436" s="67" t="str">
        <f>COLORES!A12</f>
        <v>Cemento</v>
      </c>
      <c r="F2436" s="67" t="str">
        <f>COLORES!B12</f>
        <v>CLARO</v>
      </c>
      <c r="G2436" s="90" t="s">
        <v>378</v>
      </c>
      <c r="H2436" s="100">
        <f>IFERROR(SUMIFS(MOVIMIENTOS_COMPLEMENTOS!$I$4:$I$803,MOVIMIENTOS_COMPLEMENTOS!$C$4:$C$803,A2436,MOVIMIENTOS_COMPLEMENTOS!$D$4:$D$803,B2436,MOVIMIENTOS_COMPLEMENTOS!$E$4:$E$803,C2436,MOVIMIENTOS_COMPLEMENTOS!$F$4:$F$803,D2436,MOVIMIENTOS_COMPLEMENTOS!$G$4:$G$803,E2436,MOVIMIENTOS_COMPLEMENTOS!$H$4:$H$803,G2436,MOVIMIENTOS_COMPLEMENTOS!$B$4:$B$803,"INGRESO")+SUMIFS(MOVIMIENTOS_COMPLEMENTOS!$I$4:$I$803,MOVIMIENTOS_COMPLEMENTOS!$C$4:$C$803,A2436,MOVIMIENTOS_COMPLEMENTOS!$D$4:$D$803,B2436,MOVIMIENTOS_COMPLEMENTOS!$E$4:$E$803,C2436,MOVIMIENTOS_COMPLEMENTOS!$F$4:$F$803,D2436,MOVIMIENTOS_COMPLEMENTOS!$G$4:$G$803,E2436,MOVIMIENTOS_COMPLEMENTOS!$H$4:$H$803,G2436,MOVIMIENTOS_COMPLEMENTOS!$B$4:$B$803,"DE CORTE")-SUMIFS(MOVIMIENTOS_COMPLEMENTOS!$I$4:$I$803,MOVIMIENTOS_COMPLEMENTOS!$C$4:$C$803,A2436,MOVIMIENTOS_COMPLEMENTOS!$D$4:$D$803,B2436,MOVIMIENTOS_COMPLEMENTOS!$E$4:$E$803,C2436,MOVIMIENTOS_COMPLEMENTOS!$F$4:$F$803,D2436,MOVIMIENTOS_COMPLEMENTOS!$G$4:$G$803,E2436,MOVIMIENTOS_COMPLEMENTOS!$H$4:$H$803,G2436,MOVIMIENTOS_COMPLEMENTOS!$B$4:$B$803,"SALIDA"),0)</f>
        <v>0</v>
      </c>
      <c r="I2436" s="102">
        <f t="array" ref="I2436">IFERROR(INDEX(PRECIOS_COMPLEMENTOS!$C$4:$F$17,MATCH(B2436&amp;"_"&amp;C2436,PRECIOS_COMPLEMENTOS!$H$4:$H$17,0),IF(OR(G2436="S",G2436="20cm"),1,IF(OR(G2436="M",G2436="25cm"),2,IF(OR(G2436="L",G2436="30cm"),3,IF(OR(G2436="XL",G2436="35cm"),4,0))))),0)</f>
        <v>0.6</v>
      </c>
      <c r="J2436" s="103">
        <f t="shared" si="1"/>
        <v>0</v>
      </c>
      <c r="K2436" s="104" t="str">
        <f>IF(H2436&lt;0,"ERROR",IF(H2436=0,"",IF(H2436&lt;CONFIG!$B$4,"CRÍTICO",IF(H2436&lt;CONFIG!$B$5,"BAJO","OK"))))</f>
        <v/>
      </c>
    </row>
    <row r="2437" ht="15.75" hidden="1" customHeight="1">
      <c r="A2437" s="90" t="str">
        <f>IF(CLIENTES!A7="","",CLIENTES!A7)</f>
        <v/>
      </c>
      <c r="B2437" s="90" t="s">
        <v>331</v>
      </c>
      <c r="C2437" s="91" t="s">
        <v>328</v>
      </c>
      <c r="D2437" s="109" t="s">
        <v>364</v>
      </c>
      <c r="E2437" s="67" t="str">
        <f>COLORES!A12</f>
        <v>Cemento</v>
      </c>
      <c r="F2437" s="67" t="str">
        <f>COLORES!B12</f>
        <v>CLARO</v>
      </c>
      <c r="G2437" s="90" t="s">
        <v>376</v>
      </c>
      <c r="H2437" s="100">
        <f>IFERROR(SUMIFS(MOVIMIENTOS_COMPLEMENTOS!$I$4:$I$803,MOVIMIENTOS_COMPLEMENTOS!$C$4:$C$803,A2437,MOVIMIENTOS_COMPLEMENTOS!$D$4:$D$803,B2437,MOVIMIENTOS_COMPLEMENTOS!$E$4:$E$803,C2437,MOVIMIENTOS_COMPLEMENTOS!$F$4:$F$803,D2437,MOVIMIENTOS_COMPLEMENTOS!$G$4:$G$803,E2437,MOVIMIENTOS_COMPLEMENTOS!$H$4:$H$803,G2437,MOVIMIENTOS_COMPLEMENTOS!$B$4:$B$803,"INGRESO")+SUMIFS(MOVIMIENTOS_COMPLEMENTOS!$I$4:$I$803,MOVIMIENTOS_COMPLEMENTOS!$C$4:$C$803,A2437,MOVIMIENTOS_COMPLEMENTOS!$D$4:$D$803,B2437,MOVIMIENTOS_COMPLEMENTOS!$E$4:$E$803,C2437,MOVIMIENTOS_COMPLEMENTOS!$F$4:$F$803,D2437,MOVIMIENTOS_COMPLEMENTOS!$G$4:$G$803,E2437,MOVIMIENTOS_COMPLEMENTOS!$H$4:$H$803,G2437,MOVIMIENTOS_COMPLEMENTOS!$B$4:$B$803,"DE CORTE")-SUMIFS(MOVIMIENTOS_COMPLEMENTOS!$I$4:$I$803,MOVIMIENTOS_COMPLEMENTOS!$C$4:$C$803,A2437,MOVIMIENTOS_COMPLEMENTOS!$D$4:$D$803,B2437,MOVIMIENTOS_COMPLEMENTOS!$E$4:$E$803,C2437,MOVIMIENTOS_COMPLEMENTOS!$F$4:$F$803,D2437,MOVIMIENTOS_COMPLEMENTOS!$G$4:$G$803,E2437,MOVIMIENTOS_COMPLEMENTOS!$H$4:$H$803,G2437,MOVIMIENTOS_COMPLEMENTOS!$B$4:$B$803,"SALIDA"),0)</f>
        <v>0</v>
      </c>
      <c r="I2437" s="102">
        <f t="array" ref="I2437">IFERROR(INDEX(PRECIOS_COMPLEMENTOS!$C$4:$F$17,MATCH(B2437&amp;"_"&amp;C2437,PRECIOS_COMPLEMENTOS!$H$4:$H$17,0),IF(OR(G2437="S",G2437="20cm"),1,IF(OR(G2437="M",G2437="25cm"),2,IF(OR(G2437="L",G2437="30cm"),3,IF(OR(G2437="XL",G2437="35cm"),4,0))))),0)</f>
        <v>0.6</v>
      </c>
      <c r="J2437" s="103">
        <f t="shared" si="1"/>
        <v>0</v>
      </c>
      <c r="K2437" s="104" t="str">
        <f>IF(H2437&lt;0,"ERROR",IF(H2437=0,"",IF(H2437&lt;CONFIG!$B$4,"CRÍTICO",IF(H2437&lt;CONFIG!$B$5,"BAJO","OK"))))</f>
        <v/>
      </c>
    </row>
    <row r="2438" ht="15.75" hidden="1" customHeight="1">
      <c r="A2438" s="90" t="str">
        <f>IF(CLIENTES!A7="","",CLIENTES!A7)</f>
        <v/>
      </c>
      <c r="B2438" s="90" t="s">
        <v>331</v>
      </c>
      <c r="C2438" s="91" t="s">
        <v>328</v>
      </c>
      <c r="D2438" s="109" t="s">
        <v>364</v>
      </c>
      <c r="E2438" s="67" t="str">
        <f>COLORES!A12</f>
        <v>Cemento</v>
      </c>
      <c r="F2438" s="67" t="str">
        <f>COLORES!B12</f>
        <v>CLARO</v>
      </c>
      <c r="G2438" s="90" t="s">
        <v>377</v>
      </c>
      <c r="H2438" s="100">
        <f>IFERROR(SUMIFS(MOVIMIENTOS_COMPLEMENTOS!$I$4:$I$803,MOVIMIENTOS_COMPLEMENTOS!$C$4:$C$803,A2438,MOVIMIENTOS_COMPLEMENTOS!$D$4:$D$803,B2438,MOVIMIENTOS_COMPLEMENTOS!$E$4:$E$803,C2438,MOVIMIENTOS_COMPLEMENTOS!$F$4:$F$803,D2438,MOVIMIENTOS_COMPLEMENTOS!$G$4:$G$803,E2438,MOVIMIENTOS_COMPLEMENTOS!$H$4:$H$803,G2438,MOVIMIENTOS_COMPLEMENTOS!$B$4:$B$803,"INGRESO")+SUMIFS(MOVIMIENTOS_COMPLEMENTOS!$I$4:$I$803,MOVIMIENTOS_COMPLEMENTOS!$C$4:$C$803,A2438,MOVIMIENTOS_COMPLEMENTOS!$D$4:$D$803,B2438,MOVIMIENTOS_COMPLEMENTOS!$E$4:$E$803,C2438,MOVIMIENTOS_COMPLEMENTOS!$F$4:$F$803,D2438,MOVIMIENTOS_COMPLEMENTOS!$G$4:$G$803,E2438,MOVIMIENTOS_COMPLEMENTOS!$H$4:$H$803,G2438,MOVIMIENTOS_COMPLEMENTOS!$B$4:$B$803,"DE CORTE")-SUMIFS(MOVIMIENTOS_COMPLEMENTOS!$I$4:$I$803,MOVIMIENTOS_COMPLEMENTOS!$C$4:$C$803,A2438,MOVIMIENTOS_COMPLEMENTOS!$D$4:$D$803,B2438,MOVIMIENTOS_COMPLEMENTOS!$E$4:$E$803,C2438,MOVIMIENTOS_COMPLEMENTOS!$F$4:$F$803,D2438,MOVIMIENTOS_COMPLEMENTOS!$G$4:$G$803,E2438,MOVIMIENTOS_COMPLEMENTOS!$H$4:$H$803,G2438,MOVIMIENTOS_COMPLEMENTOS!$B$4:$B$803,"SALIDA"),0)</f>
        <v>0</v>
      </c>
      <c r="I2438" s="102">
        <f t="array" ref="I2438">IFERROR(INDEX(PRECIOS_COMPLEMENTOS!$C$4:$F$17,MATCH(B2438&amp;"_"&amp;C2438,PRECIOS_COMPLEMENTOS!$H$4:$H$17,0),IF(OR(G2438="S",G2438="20cm"),1,IF(OR(G2438="M",G2438="25cm"),2,IF(OR(G2438="L",G2438="30cm"),3,IF(OR(G2438="XL",G2438="35cm"),4,0))))),0)</f>
        <v>0.6</v>
      </c>
      <c r="J2438" s="103">
        <f t="shared" si="1"/>
        <v>0</v>
      </c>
      <c r="K2438" s="104" t="str">
        <f>IF(H2438&lt;0,"ERROR",IF(H2438=0,"",IF(H2438&lt;CONFIG!$B$4,"CRÍTICO",IF(H2438&lt;CONFIG!$B$5,"BAJO","OK"))))</f>
        <v/>
      </c>
    </row>
    <row r="2439" ht="15.75" hidden="1" customHeight="1">
      <c r="A2439" s="90" t="str">
        <f>IF(CLIENTES!A7="","",CLIENTES!A7)</f>
        <v/>
      </c>
      <c r="B2439" s="90" t="s">
        <v>331</v>
      </c>
      <c r="C2439" s="91" t="s">
        <v>328</v>
      </c>
      <c r="D2439" s="109" t="s">
        <v>364</v>
      </c>
      <c r="E2439" s="67" t="str">
        <f>COLORES!A12</f>
        <v>Cemento</v>
      </c>
      <c r="F2439" s="67" t="str">
        <f>COLORES!B12</f>
        <v>CLARO</v>
      </c>
      <c r="G2439" s="90" t="s">
        <v>379</v>
      </c>
      <c r="H2439" s="100">
        <f>IFERROR(SUMIFS(MOVIMIENTOS_COMPLEMENTOS!$I$4:$I$803,MOVIMIENTOS_COMPLEMENTOS!$C$4:$C$803,A2439,MOVIMIENTOS_COMPLEMENTOS!$D$4:$D$803,B2439,MOVIMIENTOS_COMPLEMENTOS!$E$4:$E$803,C2439,MOVIMIENTOS_COMPLEMENTOS!$F$4:$F$803,D2439,MOVIMIENTOS_COMPLEMENTOS!$G$4:$G$803,E2439,MOVIMIENTOS_COMPLEMENTOS!$H$4:$H$803,G2439,MOVIMIENTOS_COMPLEMENTOS!$B$4:$B$803,"INGRESO")+SUMIFS(MOVIMIENTOS_COMPLEMENTOS!$I$4:$I$803,MOVIMIENTOS_COMPLEMENTOS!$C$4:$C$803,A2439,MOVIMIENTOS_COMPLEMENTOS!$D$4:$D$803,B2439,MOVIMIENTOS_COMPLEMENTOS!$E$4:$E$803,C2439,MOVIMIENTOS_COMPLEMENTOS!$F$4:$F$803,D2439,MOVIMIENTOS_COMPLEMENTOS!$G$4:$G$803,E2439,MOVIMIENTOS_COMPLEMENTOS!$H$4:$H$803,G2439,MOVIMIENTOS_COMPLEMENTOS!$B$4:$B$803,"DE CORTE")-SUMIFS(MOVIMIENTOS_COMPLEMENTOS!$I$4:$I$803,MOVIMIENTOS_COMPLEMENTOS!$C$4:$C$803,A2439,MOVIMIENTOS_COMPLEMENTOS!$D$4:$D$803,B2439,MOVIMIENTOS_COMPLEMENTOS!$E$4:$E$803,C2439,MOVIMIENTOS_COMPLEMENTOS!$F$4:$F$803,D2439,MOVIMIENTOS_COMPLEMENTOS!$G$4:$G$803,E2439,MOVIMIENTOS_COMPLEMENTOS!$H$4:$H$803,G2439,MOVIMIENTOS_COMPLEMENTOS!$B$4:$B$803,"SALIDA"),0)</f>
        <v>0</v>
      </c>
      <c r="I2439" s="102">
        <f t="array" ref="I2439">IFERROR(INDEX(PRECIOS_COMPLEMENTOS!$C$4:$F$17,MATCH(B2439&amp;"_"&amp;C2439,PRECIOS_COMPLEMENTOS!$H$4:$H$17,0),IF(OR(G2439="S",G2439="20cm"),1,IF(OR(G2439="M",G2439="25cm"),2,IF(OR(G2439="L",G2439="30cm"),3,IF(OR(G2439="XL",G2439="35cm"),4,0))))),0)</f>
        <v>0.6</v>
      </c>
      <c r="J2439" s="103">
        <f t="shared" si="1"/>
        <v>0</v>
      </c>
      <c r="K2439" s="104" t="str">
        <f>IF(H2439&lt;0,"ERROR",IF(H2439=0,"",IF(H2439&lt;CONFIG!$B$4,"CRÍTICO",IF(H2439&lt;CONFIG!$B$5,"BAJO","OK"))))</f>
        <v/>
      </c>
    </row>
    <row r="2440" ht="15.75" hidden="1" customHeight="1">
      <c r="A2440" s="90" t="str">
        <f>IF(CLIENTES!A7="","",CLIENTES!A7)</f>
        <v/>
      </c>
      <c r="B2440" s="90" t="s">
        <v>331</v>
      </c>
      <c r="C2440" s="91" t="s">
        <v>328</v>
      </c>
      <c r="D2440" s="109" t="s">
        <v>364</v>
      </c>
      <c r="E2440" s="67" t="str">
        <f>COLORES!A13</f>
        <v>Camote</v>
      </c>
      <c r="F2440" s="67" t="str">
        <f>COLORES!B13</f>
        <v>CLARO</v>
      </c>
      <c r="G2440" s="90" t="s">
        <v>378</v>
      </c>
      <c r="H2440" s="100">
        <f>IFERROR(SUMIFS(MOVIMIENTOS_COMPLEMENTOS!$I$4:$I$803,MOVIMIENTOS_COMPLEMENTOS!$C$4:$C$803,A2440,MOVIMIENTOS_COMPLEMENTOS!$D$4:$D$803,B2440,MOVIMIENTOS_COMPLEMENTOS!$E$4:$E$803,C2440,MOVIMIENTOS_COMPLEMENTOS!$F$4:$F$803,D2440,MOVIMIENTOS_COMPLEMENTOS!$G$4:$G$803,E2440,MOVIMIENTOS_COMPLEMENTOS!$H$4:$H$803,G2440,MOVIMIENTOS_COMPLEMENTOS!$B$4:$B$803,"INGRESO")+SUMIFS(MOVIMIENTOS_COMPLEMENTOS!$I$4:$I$803,MOVIMIENTOS_COMPLEMENTOS!$C$4:$C$803,A2440,MOVIMIENTOS_COMPLEMENTOS!$D$4:$D$803,B2440,MOVIMIENTOS_COMPLEMENTOS!$E$4:$E$803,C2440,MOVIMIENTOS_COMPLEMENTOS!$F$4:$F$803,D2440,MOVIMIENTOS_COMPLEMENTOS!$G$4:$G$803,E2440,MOVIMIENTOS_COMPLEMENTOS!$H$4:$H$803,G2440,MOVIMIENTOS_COMPLEMENTOS!$B$4:$B$803,"DE CORTE")-SUMIFS(MOVIMIENTOS_COMPLEMENTOS!$I$4:$I$803,MOVIMIENTOS_COMPLEMENTOS!$C$4:$C$803,A2440,MOVIMIENTOS_COMPLEMENTOS!$D$4:$D$803,B2440,MOVIMIENTOS_COMPLEMENTOS!$E$4:$E$803,C2440,MOVIMIENTOS_COMPLEMENTOS!$F$4:$F$803,D2440,MOVIMIENTOS_COMPLEMENTOS!$G$4:$G$803,E2440,MOVIMIENTOS_COMPLEMENTOS!$H$4:$H$803,G2440,MOVIMIENTOS_COMPLEMENTOS!$B$4:$B$803,"SALIDA"),0)</f>
        <v>0</v>
      </c>
      <c r="I2440" s="102">
        <f t="array" ref="I2440">IFERROR(INDEX(PRECIOS_COMPLEMENTOS!$C$4:$F$17,MATCH(B2440&amp;"_"&amp;C2440,PRECIOS_COMPLEMENTOS!$H$4:$H$17,0),IF(OR(G2440="S",G2440="20cm"),1,IF(OR(G2440="M",G2440="25cm"),2,IF(OR(G2440="L",G2440="30cm"),3,IF(OR(G2440="XL",G2440="35cm"),4,0))))),0)</f>
        <v>0.6</v>
      </c>
      <c r="J2440" s="103">
        <f t="shared" si="1"/>
        <v>0</v>
      </c>
      <c r="K2440" s="104" t="str">
        <f>IF(H2440&lt;0,"ERROR",IF(H2440=0,"",IF(H2440&lt;CONFIG!$B$4,"CRÍTICO",IF(H2440&lt;CONFIG!$B$5,"BAJO","OK"))))</f>
        <v/>
      </c>
    </row>
    <row r="2441" ht="15.75" hidden="1" customHeight="1">
      <c r="A2441" s="90" t="str">
        <f>IF(CLIENTES!A7="","",CLIENTES!A7)</f>
        <v/>
      </c>
      <c r="B2441" s="90" t="s">
        <v>331</v>
      </c>
      <c r="C2441" s="91" t="s">
        <v>328</v>
      </c>
      <c r="D2441" s="109" t="s">
        <v>364</v>
      </c>
      <c r="E2441" s="67" t="str">
        <f>COLORES!A13</f>
        <v>Camote</v>
      </c>
      <c r="F2441" s="67" t="str">
        <f>COLORES!B13</f>
        <v>CLARO</v>
      </c>
      <c r="G2441" s="90" t="s">
        <v>376</v>
      </c>
      <c r="H2441" s="100">
        <f>IFERROR(SUMIFS(MOVIMIENTOS_COMPLEMENTOS!$I$4:$I$803,MOVIMIENTOS_COMPLEMENTOS!$C$4:$C$803,A2441,MOVIMIENTOS_COMPLEMENTOS!$D$4:$D$803,B2441,MOVIMIENTOS_COMPLEMENTOS!$E$4:$E$803,C2441,MOVIMIENTOS_COMPLEMENTOS!$F$4:$F$803,D2441,MOVIMIENTOS_COMPLEMENTOS!$G$4:$G$803,E2441,MOVIMIENTOS_COMPLEMENTOS!$H$4:$H$803,G2441,MOVIMIENTOS_COMPLEMENTOS!$B$4:$B$803,"INGRESO")+SUMIFS(MOVIMIENTOS_COMPLEMENTOS!$I$4:$I$803,MOVIMIENTOS_COMPLEMENTOS!$C$4:$C$803,A2441,MOVIMIENTOS_COMPLEMENTOS!$D$4:$D$803,B2441,MOVIMIENTOS_COMPLEMENTOS!$E$4:$E$803,C2441,MOVIMIENTOS_COMPLEMENTOS!$F$4:$F$803,D2441,MOVIMIENTOS_COMPLEMENTOS!$G$4:$G$803,E2441,MOVIMIENTOS_COMPLEMENTOS!$H$4:$H$803,G2441,MOVIMIENTOS_COMPLEMENTOS!$B$4:$B$803,"DE CORTE")-SUMIFS(MOVIMIENTOS_COMPLEMENTOS!$I$4:$I$803,MOVIMIENTOS_COMPLEMENTOS!$C$4:$C$803,A2441,MOVIMIENTOS_COMPLEMENTOS!$D$4:$D$803,B2441,MOVIMIENTOS_COMPLEMENTOS!$E$4:$E$803,C2441,MOVIMIENTOS_COMPLEMENTOS!$F$4:$F$803,D2441,MOVIMIENTOS_COMPLEMENTOS!$G$4:$G$803,E2441,MOVIMIENTOS_COMPLEMENTOS!$H$4:$H$803,G2441,MOVIMIENTOS_COMPLEMENTOS!$B$4:$B$803,"SALIDA"),0)</f>
        <v>0</v>
      </c>
      <c r="I2441" s="102">
        <f t="array" ref="I2441">IFERROR(INDEX(PRECIOS_COMPLEMENTOS!$C$4:$F$17,MATCH(B2441&amp;"_"&amp;C2441,PRECIOS_COMPLEMENTOS!$H$4:$H$17,0),IF(OR(G2441="S",G2441="20cm"),1,IF(OR(G2441="M",G2441="25cm"),2,IF(OR(G2441="L",G2441="30cm"),3,IF(OR(G2441="XL",G2441="35cm"),4,0))))),0)</f>
        <v>0.6</v>
      </c>
      <c r="J2441" s="103">
        <f t="shared" si="1"/>
        <v>0</v>
      </c>
      <c r="K2441" s="104" t="str">
        <f>IF(H2441&lt;0,"ERROR",IF(H2441=0,"",IF(H2441&lt;CONFIG!$B$4,"CRÍTICO",IF(H2441&lt;CONFIG!$B$5,"BAJO","OK"))))</f>
        <v/>
      </c>
    </row>
    <row r="2442" ht="15.75" hidden="1" customHeight="1">
      <c r="A2442" s="90" t="str">
        <f>IF(CLIENTES!A7="","",CLIENTES!A7)</f>
        <v/>
      </c>
      <c r="B2442" s="90" t="s">
        <v>331</v>
      </c>
      <c r="C2442" s="91" t="s">
        <v>328</v>
      </c>
      <c r="D2442" s="109" t="s">
        <v>364</v>
      </c>
      <c r="E2442" s="67" t="str">
        <f>COLORES!A13</f>
        <v>Camote</v>
      </c>
      <c r="F2442" s="67" t="str">
        <f>COLORES!B13</f>
        <v>CLARO</v>
      </c>
      <c r="G2442" s="90" t="s">
        <v>377</v>
      </c>
      <c r="H2442" s="100">
        <f>IFERROR(SUMIFS(MOVIMIENTOS_COMPLEMENTOS!$I$4:$I$803,MOVIMIENTOS_COMPLEMENTOS!$C$4:$C$803,A2442,MOVIMIENTOS_COMPLEMENTOS!$D$4:$D$803,B2442,MOVIMIENTOS_COMPLEMENTOS!$E$4:$E$803,C2442,MOVIMIENTOS_COMPLEMENTOS!$F$4:$F$803,D2442,MOVIMIENTOS_COMPLEMENTOS!$G$4:$G$803,E2442,MOVIMIENTOS_COMPLEMENTOS!$H$4:$H$803,G2442,MOVIMIENTOS_COMPLEMENTOS!$B$4:$B$803,"INGRESO")+SUMIFS(MOVIMIENTOS_COMPLEMENTOS!$I$4:$I$803,MOVIMIENTOS_COMPLEMENTOS!$C$4:$C$803,A2442,MOVIMIENTOS_COMPLEMENTOS!$D$4:$D$803,B2442,MOVIMIENTOS_COMPLEMENTOS!$E$4:$E$803,C2442,MOVIMIENTOS_COMPLEMENTOS!$F$4:$F$803,D2442,MOVIMIENTOS_COMPLEMENTOS!$G$4:$G$803,E2442,MOVIMIENTOS_COMPLEMENTOS!$H$4:$H$803,G2442,MOVIMIENTOS_COMPLEMENTOS!$B$4:$B$803,"DE CORTE")-SUMIFS(MOVIMIENTOS_COMPLEMENTOS!$I$4:$I$803,MOVIMIENTOS_COMPLEMENTOS!$C$4:$C$803,A2442,MOVIMIENTOS_COMPLEMENTOS!$D$4:$D$803,B2442,MOVIMIENTOS_COMPLEMENTOS!$E$4:$E$803,C2442,MOVIMIENTOS_COMPLEMENTOS!$F$4:$F$803,D2442,MOVIMIENTOS_COMPLEMENTOS!$G$4:$G$803,E2442,MOVIMIENTOS_COMPLEMENTOS!$H$4:$H$803,G2442,MOVIMIENTOS_COMPLEMENTOS!$B$4:$B$803,"SALIDA"),0)</f>
        <v>0</v>
      </c>
      <c r="I2442" s="102">
        <f t="array" ref="I2442">IFERROR(INDEX(PRECIOS_COMPLEMENTOS!$C$4:$F$17,MATCH(B2442&amp;"_"&amp;C2442,PRECIOS_COMPLEMENTOS!$H$4:$H$17,0),IF(OR(G2442="S",G2442="20cm"),1,IF(OR(G2442="M",G2442="25cm"),2,IF(OR(G2442="L",G2442="30cm"),3,IF(OR(G2442="XL",G2442="35cm"),4,0))))),0)</f>
        <v>0.6</v>
      </c>
      <c r="J2442" s="103">
        <f t="shared" si="1"/>
        <v>0</v>
      </c>
      <c r="K2442" s="104" t="str">
        <f>IF(H2442&lt;0,"ERROR",IF(H2442=0,"",IF(H2442&lt;CONFIG!$B$4,"CRÍTICO",IF(H2442&lt;CONFIG!$B$5,"BAJO","OK"))))</f>
        <v/>
      </c>
    </row>
    <row r="2443" ht="15.75" hidden="1" customHeight="1">
      <c r="A2443" s="90" t="str">
        <f>IF(CLIENTES!A7="","",CLIENTES!A7)</f>
        <v/>
      </c>
      <c r="B2443" s="90" t="s">
        <v>331</v>
      </c>
      <c r="C2443" s="91" t="s">
        <v>328</v>
      </c>
      <c r="D2443" s="109" t="s">
        <v>364</v>
      </c>
      <c r="E2443" s="67" t="str">
        <f>COLORES!A13</f>
        <v>Camote</v>
      </c>
      <c r="F2443" s="67" t="str">
        <f>COLORES!B13</f>
        <v>CLARO</v>
      </c>
      <c r="G2443" s="90" t="s">
        <v>379</v>
      </c>
      <c r="H2443" s="100">
        <f>IFERROR(SUMIFS(MOVIMIENTOS_COMPLEMENTOS!$I$4:$I$803,MOVIMIENTOS_COMPLEMENTOS!$C$4:$C$803,A2443,MOVIMIENTOS_COMPLEMENTOS!$D$4:$D$803,B2443,MOVIMIENTOS_COMPLEMENTOS!$E$4:$E$803,C2443,MOVIMIENTOS_COMPLEMENTOS!$F$4:$F$803,D2443,MOVIMIENTOS_COMPLEMENTOS!$G$4:$G$803,E2443,MOVIMIENTOS_COMPLEMENTOS!$H$4:$H$803,G2443,MOVIMIENTOS_COMPLEMENTOS!$B$4:$B$803,"INGRESO")+SUMIFS(MOVIMIENTOS_COMPLEMENTOS!$I$4:$I$803,MOVIMIENTOS_COMPLEMENTOS!$C$4:$C$803,A2443,MOVIMIENTOS_COMPLEMENTOS!$D$4:$D$803,B2443,MOVIMIENTOS_COMPLEMENTOS!$E$4:$E$803,C2443,MOVIMIENTOS_COMPLEMENTOS!$F$4:$F$803,D2443,MOVIMIENTOS_COMPLEMENTOS!$G$4:$G$803,E2443,MOVIMIENTOS_COMPLEMENTOS!$H$4:$H$803,G2443,MOVIMIENTOS_COMPLEMENTOS!$B$4:$B$803,"DE CORTE")-SUMIFS(MOVIMIENTOS_COMPLEMENTOS!$I$4:$I$803,MOVIMIENTOS_COMPLEMENTOS!$C$4:$C$803,A2443,MOVIMIENTOS_COMPLEMENTOS!$D$4:$D$803,B2443,MOVIMIENTOS_COMPLEMENTOS!$E$4:$E$803,C2443,MOVIMIENTOS_COMPLEMENTOS!$F$4:$F$803,D2443,MOVIMIENTOS_COMPLEMENTOS!$G$4:$G$803,E2443,MOVIMIENTOS_COMPLEMENTOS!$H$4:$H$803,G2443,MOVIMIENTOS_COMPLEMENTOS!$B$4:$B$803,"SALIDA"),0)</f>
        <v>0</v>
      </c>
      <c r="I2443" s="102">
        <f t="array" ref="I2443">IFERROR(INDEX(PRECIOS_COMPLEMENTOS!$C$4:$F$17,MATCH(B2443&amp;"_"&amp;C2443,PRECIOS_COMPLEMENTOS!$H$4:$H$17,0),IF(OR(G2443="S",G2443="20cm"),1,IF(OR(G2443="M",G2443="25cm"),2,IF(OR(G2443="L",G2443="30cm"),3,IF(OR(G2443="XL",G2443="35cm"),4,0))))),0)</f>
        <v>0.6</v>
      </c>
      <c r="J2443" s="103">
        <f t="shared" si="1"/>
        <v>0</v>
      </c>
      <c r="K2443" s="104" t="str">
        <f>IF(H2443&lt;0,"ERROR",IF(H2443=0,"",IF(H2443&lt;CONFIG!$B$4,"CRÍTICO",IF(H2443&lt;CONFIG!$B$5,"BAJO","OK"))))</f>
        <v/>
      </c>
    </row>
    <row r="2444" ht="15.75" hidden="1" customHeight="1">
      <c r="A2444" s="90" t="str">
        <f>IF(CLIENTES!A7="","",CLIENTES!A7)</f>
        <v/>
      </c>
      <c r="B2444" s="90" t="s">
        <v>331</v>
      </c>
      <c r="C2444" s="91" t="s">
        <v>328</v>
      </c>
      <c r="D2444" s="109" t="s">
        <v>364</v>
      </c>
      <c r="E2444" s="67" t="str">
        <f>COLORES!A14</f>
        <v>Denim</v>
      </c>
      <c r="F2444" s="67" t="str">
        <f>COLORES!B14</f>
        <v>CLARO</v>
      </c>
      <c r="G2444" s="90" t="s">
        <v>378</v>
      </c>
      <c r="H2444" s="100">
        <f>IFERROR(SUMIFS(MOVIMIENTOS_COMPLEMENTOS!$I$4:$I$803,MOVIMIENTOS_COMPLEMENTOS!$C$4:$C$803,A2444,MOVIMIENTOS_COMPLEMENTOS!$D$4:$D$803,B2444,MOVIMIENTOS_COMPLEMENTOS!$E$4:$E$803,C2444,MOVIMIENTOS_COMPLEMENTOS!$F$4:$F$803,D2444,MOVIMIENTOS_COMPLEMENTOS!$G$4:$G$803,E2444,MOVIMIENTOS_COMPLEMENTOS!$H$4:$H$803,G2444,MOVIMIENTOS_COMPLEMENTOS!$B$4:$B$803,"INGRESO")+SUMIFS(MOVIMIENTOS_COMPLEMENTOS!$I$4:$I$803,MOVIMIENTOS_COMPLEMENTOS!$C$4:$C$803,A2444,MOVIMIENTOS_COMPLEMENTOS!$D$4:$D$803,B2444,MOVIMIENTOS_COMPLEMENTOS!$E$4:$E$803,C2444,MOVIMIENTOS_COMPLEMENTOS!$F$4:$F$803,D2444,MOVIMIENTOS_COMPLEMENTOS!$G$4:$G$803,E2444,MOVIMIENTOS_COMPLEMENTOS!$H$4:$H$803,G2444,MOVIMIENTOS_COMPLEMENTOS!$B$4:$B$803,"DE CORTE")-SUMIFS(MOVIMIENTOS_COMPLEMENTOS!$I$4:$I$803,MOVIMIENTOS_COMPLEMENTOS!$C$4:$C$803,A2444,MOVIMIENTOS_COMPLEMENTOS!$D$4:$D$803,B2444,MOVIMIENTOS_COMPLEMENTOS!$E$4:$E$803,C2444,MOVIMIENTOS_COMPLEMENTOS!$F$4:$F$803,D2444,MOVIMIENTOS_COMPLEMENTOS!$G$4:$G$803,E2444,MOVIMIENTOS_COMPLEMENTOS!$H$4:$H$803,G2444,MOVIMIENTOS_COMPLEMENTOS!$B$4:$B$803,"SALIDA"),0)</f>
        <v>0</v>
      </c>
      <c r="I2444" s="102">
        <f t="array" ref="I2444">IFERROR(INDEX(PRECIOS_COMPLEMENTOS!$C$4:$F$17,MATCH(B2444&amp;"_"&amp;C2444,PRECIOS_COMPLEMENTOS!$H$4:$H$17,0),IF(OR(G2444="S",G2444="20cm"),1,IF(OR(G2444="M",G2444="25cm"),2,IF(OR(G2444="L",G2444="30cm"),3,IF(OR(G2444="XL",G2444="35cm"),4,0))))),0)</f>
        <v>0.6</v>
      </c>
      <c r="J2444" s="103">
        <f t="shared" si="1"/>
        <v>0</v>
      </c>
      <c r="K2444" s="104" t="str">
        <f>IF(H2444&lt;0,"ERROR",IF(H2444=0,"",IF(H2444&lt;CONFIG!$B$4,"CRÍTICO",IF(H2444&lt;CONFIG!$B$5,"BAJO","OK"))))</f>
        <v/>
      </c>
    </row>
    <row r="2445" ht="15.75" hidden="1" customHeight="1">
      <c r="A2445" s="90" t="str">
        <f>IF(CLIENTES!A7="","",CLIENTES!A7)</f>
        <v/>
      </c>
      <c r="B2445" s="90" t="s">
        <v>331</v>
      </c>
      <c r="C2445" s="91" t="s">
        <v>328</v>
      </c>
      <c r="D2445" s="109" t="s">
        <v>364</v>
      </c>
      <c r="E2445" s="67" t="str">
        <f>COLORES!A14</f>
        <v>Denim</v>
      </c>
      <c r="F2445" s="67" t="str">
        <f>COLORES!B14</f>
        <v>CLARO</v>
      </c>
      <c r="G2445" s="90" t="s">
        <v>376</v>
      </c>
      <c r="H2445" s="100">
        <f>IFERROR(SUMIFS(MOVIMIENTOS_COMPLEMENTOS!$I$4:$I$803,MOVIMIENTOS_COMPLEMENTOS!$C$4:$C$803,A2445,MOVIMIENTOS_COMPLEMENTOS!$D$4:$D$803,B2445,MOVIMIENTOS_COMPLEMENTOS!$E$4:$E$803,C2445,MOVIMIENTOS_COMPLEMENTOS!$F$4:$F$803,D2445,MOVIMIENTOS_COMPLEMENTOS!$G$4:$G$803,E2445,MOVIMIENTOS_COMPLEMENTOS!$H$4:$H$803,G2445,MOVIMIENTOS_COMPLEMENTOS!$B$4:$B$803,"INGRESO")+SUMIFS(MOVIMIENTOS_COMPLEMENTOS!$I$4:$I$803,MOVIMIENTOS_COMPLEMENTOS!$C$4:$C$803,A2445,MOVIMIENTOS_COMPLEMENTOS!$D$4:$D$803,B2445,MOVIMIENTOS_COMPLEMENTOS!$E$4:$E$803,C2445,MOVIMIENTOS_COMPLEMENTOS!$F$4:$F$803,D2445,MOVIMIENTOS_COMPLEMENTOS!$G$4:$G$803,E2445,MOVIMIENTOS_COMPLEMENTOS!$H$4:$H$803,G2445,MOVIMIENTOS_COMPLEMENTOS!$B$4:$B$803,"DE CORTE")-SUMIFS(MOVIMIENTOS_COMPLEMENTOS!$I$4:$I$803,MOVIMIENTOS_COMPLEMENTOS!$C$4:$C$803,A2445,MOVIMIENTOS_COMPLEMENTOS!$D$4:$D$803,B2445,MOVIMIENTOS_COMPLEMENTOS!$E$4:$E$803,C2445,MOVIMIENTOS_COMPLEMENTOS!$F$4:$F$803,D2445,MOVIMIENTOS_COMPLEMENTOS!$G$4:$G$803,E2445,MOVIMIENTOS_COMPLEMENTOS!$H$4:$H$803,G2445,MOVIMIENTOS_COMPLEMENTOS!$B$4:$B$803,"SALIDA"),0)</f>
        <v>0</v>
      </c>
      <c r="I2445" s="102">
        <f t="array" ref="I2445">IFERROR(INDEX(PRECIOS_COMPLEMENTOS!$C$4:$F$17,MATCH(B2445&amp;"_"&amp;C2445,PRECIOS_COMPLEMENTOS!$H$4:$H$17,0),IF(OR(G2445="S",G2445="20cm"),1,IF(OR(G2445="M",G2445="25cm"),2,IF(OR(G2445="L",G2445="30cm"),3,IF(OR(G2445="XL",G2445="35cm"),4,0))))),0)</f>
        <v>0.6</v>
      </c>
      <c r="J2445" s="103">
        <f t="shared" si="1"/>
        <v>0</v>
      </c>
      <c r="K2445" s="104" t="str">
        <f>IF(H2445&lt;0,"ERROR",IF(H2445=0,"",IF(H2445&lt;CONFIG!$B$4,"CRÍTICO",IF(H2445&lt;CONFIG!$B$5,"BAJO","OK"))))</f>
        <v/>
      </c>
    </row>
    <row r="2446" ht="15.75" hidden="1" customHeight="1">
      <c r="A2446" s="90" t="str">
        <f>IF(CLIENTES!A7="","",CLIENTES!A7)</f>
        <v/>
      </c>
      <c r="B2446" s="90" t="s">
        <v>331</v>
      </c>
      <c r="C2446" s="91" t="s">
        <v>328</v>
      </c>
      <c r="D2446" s="109" t="s">
        <v>364</v>
      </c>
      <c r="E2446" s="67" t="str">
        <f>COLORES!A14</f>
        <v>Denim</v>
      </c>
      <c r="F2446" s="67" t="str">
        <f>COLORES!B14</f>
        <v>CLARO</v>
      </c>
      <c r="G2446" s="90" t="s">
        <v>377</v>
      </c>
      <c r="H2446" s="100">
        <f>IFERROR(SUMIFS(MOVIMIENTOS_COMPLEMENTOS!$I$4:$I$803,MOVIMIENTOS_COMPLEMENTOS!$C$4:$C$803,A2446,MOVIMIENTOS_COMPLEMENTOS!$D$4:$D$803,B2446,MOVIMIENTOS_COMPLEMENTOS!$E$4:$E$803,C2446,MOVIMIENTOS_COMPLEMENTOS!$F$4:$F$803,D2446,MOVIMIENTOS_COMPLEMENTOS!$G$4:$G$803,E2446,MOVIMIENTOS_COMPLEMENTOS!$H$4:$H$803,G2446,MOVIMIENTOS_COMPLEMENTOS!$B$4:$B$803,"INGRESO")+SUMIFS(MOVIMIENTOS_COMPLEMENTOS!$I$4:$I$803,MOVIMIENTOS_COMPLEMENTOS!$C$4:$C$803,A2446,MOVIMIENTOS_COMPLEMENTOS!$D$4:$D$803,B2446,MOVIMIENTOS_COMPLEMENTOS!$E$4:$E$803,C2446,MOVIMIENTOS_COMPLEMENTOS!$F$4:$F$803,D2446,MOVIMIENTOS_COMPLEMENTOS!$G$4:$G$803,E2446,MOVIMIENTOS_COMPLEMENTOS!$H$4:$H$803,G2446,MOVIMIENTOS_COMPLEMENTOS!$B$4:$B$803,"DE CORTE")-SUMIFS(MOVIMIENTOS_COMPLEMENTOS!$I$4:$I$803,MOVIMIENTOS_COMPLEMENTOS!$C$4:$C$803,A2446,MOVIMIENTOS_COMPLEMENTOS!$D$4:$D$803,B2446,MOVIMIENTOS_COMPLEMENTOS!$E$4:$E$803,C2446,MOVIMIENTOS_COMPLEMENTOS!$F$4:$F$803,D2446,MOVIMIENTOS_COMPLEMENTOS!$G$4:$G$803,E2446,MOVIMIENTOS_COMPLEMENTOS!$H$4:$H$803,G2446,MOVIMIENTOS_COMPLEMENTOS!$B$4:$B$803,"SALIDA"),0)</f>
        <v>0</v>
      </c>
      <c r="I2446" s="102">
        <f t="array" ref="I2446">IFERROR(INDEX(PRECIOS_COMPLEMENTOS!$C$4:$F$17,MATCH(B2446&amp;"_"&amp;C2446,PRECIOS_COMPLEMENTOS!$H$4:$H$17,0),IF(OR(G2446="S",G2446="20cm"),1,IF(OR(G2446="M",G2446="25cm"),2,IF(OR(G2446="L",G2446="30cm"),3,IF(OR(G2446="XL",G2446="35cm"),4,0))))),0)</f>
        <v>0.6</v>
      </c>
      <c r="J2446" s="103">
        <f t="shared" si="1"/>
        <v>0</v>
      </c>
      <c r="K2446" s="104" t="str">
        <f>IF(H2446&lt;0,"ERROR",IF(H2446=0,"",IF(H2446&lt;CONFIG!$B$4,"CRÍTICO",IF(H2446&lt;CONFIG!$B$5,"BAJO","OK"))))</f>
        <v/>
      </c>
    </row>
    <row r="2447" ht="15.75" hidden="1" customHeight="1">
      <c r="A2447" s="90" t="str">
        <f>IF(CLIENTES!A7="","",CLIENTES!A7)</f>
        <v/>
      </c>
      <c r="B2447" s="90" t="s">
        <v>331</v>
      </c>
      <c r="C2447" s="91" t="s">
        <v>328</v>
      </c>
      <c r="D2447" s="109" t="s">
        <v>364</v>
      </c>
      <c r="E2447" s="67" t="str">
        <f>COLORES!A14</f>
        <v>Denim</v>
      </c>
      <c r="F2447" s="67" t="str">
        <f>COLORES!B14</f>
        <v>CLARO</v>
      </c>
      <c r="G2447" s="90" t="s">
        <v>379</v>
      </c>
      <c r="H2447" s="100">
        <f>IFERROR(SUMIFS(MOVIMIENTOS_COMPLEMENTOS!$I$4:$I$803,MOVIMIENTOS_COMPLEMENTOS!$C$4:$C$803,A2447,MOVIMIENTOS_COMPLEMENTOS!$D$4:$D$803,B2447,MOVIMIENTOS_COMPLEMENTOS!$E$4:$E$803,C2447,MOVIMIENTOS_COMPLEMENTOS!$F$4:$F$803,D2447,MOVIMIENTOS_COMPLEMENTOS!$G$4:$G$803,E2447,MOVIMIENTOS_COMPLEMENTOS!$H$4:$H$803,G2447,MOVIMIENTOS_COMPLEMENTOS!$B$4:$B$803,"INGRESO")+SUMIFS(MOVIMIENTOS_COMPLEMENTOS!$I$4:$I$803,MOVIMIENTOS_COMPLEMENTOS!$C$4:$C$803,A2447,MOVIMIENTOS_COMPLEMENTOS!$D$4:$D$803,B2447,MOVIMIENTOS_COMPLEMENTOS!$E$4:$E$803,C2447,MOVIMIENTOS_COMPLEMENTOS!$F$4:$F$803,D2447,MOVIMIENTOS_COMPLEMENTOS!$G$4:$G$803,E2447,MOVIMIENTOS_COMPLEMENTOS!$H$4:$H$803,G2447,MOVIMIENTOS_COMPLEMENTOS!$B$4:$B$803,"DE CORTE")-SUMIFS(MOVIMIENTOS_COMPLEMENTOS!$I$4:$I$803,MOVIMIENTOS_COMPLEMENTOS!$C$4:$C$803,A2447,MOVIMIENTOS_COMPLEMENTOS!$D$4:$D$803,B2447,MOVIMIENTOS_COMPLEMENTOS!$E$4:$E$803,C2447,MOVIMIENTOS_COMPLEMENTOS!$F$4:$F$803,D2447,MOVIMIENTOS_COMPLEMENTOS!$G$4:$G$803,E2447,MOVIMIENTOS_COMPLEMENTOS!$H$4:$H$803,G2447,MOVIMIENTOS_COMPLEMENTOS!$B$4:$B$803,"SALIDA"),0)</f>
        <v>0</v>
      </c>
      <c r="I2447" s="102">
        <f t="array" ref="I2447">IFERROR(INDEX(PRECIOS_COMPLEMENTOS!$C$4:$F$17,MATCH(B2447&amp;"_"&amp;C2447,PRECIOS_COMPLEMENTOS!$H$4:$H$17,0),IF(OR(G2447="S",G2447="20cm"),1,IF(OR(G2447="M",G2447="25cm"),2,IF(OR(G2447="L",G2447="30cm"),3,IF(OR(G2447="XL",G2447="35cm"),4,0))))),0)</f>
        <v>0.6</v>
      </c>
      <c r="J2447" s="103">
        <f t="shared" si="1"/>
        <v>0</v>
      </c>
      <c r="K2447" s="104" t="str">
        <f>IF(H2447&lt;0,"ERROR",IF(H2447=0,"",IF(H2447&lt;CONFIG!$B$4,"CRÍTICO",IF(H2447&lt;CONFIG!$B$5,"BAJO","OK"))))</f>
        <v/>
      </c>
    </row>
    <row r="2448" ht="15.75" hidden="1" customHeight="1">
      <c r="A2448" s="90" t="str">
        <f>IF(CLIENTES!A7="","",CLIENTES!A7)</f>
        <v/>
      </c>
      <c r="B2448" s="90" t="s">
        <v>331</v>
      </c>
      <c r="C2448" s="91" t="s">
        <v>328</v>
      </c>
      <c r="D2448" s="109" t="s">
        <v>364</v>
      </c>
      <c r="E2448" s="67" t="str">
        <f>COLORES!A15</f>
        <v>Plomo</v>
      </c>
      <c r="F2448" s="67" t="str">
        <f>COLORES!B15</f>
        <v>OSCURO</v>
      </c>
      <c r="G2448" s="90" t="s">
        <v>378</v>
      </c>
      <c r="H2448" s="100">
        <f>IFERROR(SUMIFS(MOVIMIENTOS_COMPLEMENTOS!$I$4:$I$803,MOVIMIENTOS_COMPLEMENTOS!$C$4:$C$803,A2448,MOVIMIENTOS_COMPLEMENTOS!$D$4:$D$803,B2448,MOVIMIENTOS_COMPLEMENTOS!$E$4:$E$803,C2448,MOVIMIENTOS_COMPLEMENTOS!$F$4:$F$803,D2448,MOVIMIENTOS_COMPLEMENTOS!$G$4:$G$803,E2448,MOVIMIENTOS_COMPLEMENTOS!$H$4:$H$803,G2448,MOVIMIENTOS_COMPLEMENTOS!$B$4:$B$803,"INGRESO")+SUMIFS(MOVIMIENTOS_COMPLEMENTOS!$I$4:$I$803,MOVIMIENTOS_COMPLEMENTOS!$C$4:$C$803,A2448,MOVIMIENTOS_COMPLEMENTOS!$D$4:$D$803,B2448,MOVIMIENTOS_COMPLEMENTOS!$E$4:$E$803,C2448,MOVIMIENTOS_COMPLEMENTOS!$F$4:$F$803,D2448,MOVIMIENTOS_COMPLEMENTOS!$G$4:$G$803,E2448,MOVIMIENTOS_COMPLEMENTOS!$H$4:$H$803,G2448,MOVIMIENTOS_COMPLEMENTOS!$B$4:$B$803,"DE CORTE")-SUMIFS(MOVIMIENTOS_COMPLEMENTOS!$I$4:$I$803,MOVIMIENTOS_COMPLEMENTOS!$C$4:$C$803,A2448,MOVIMIENTOS_COMPLEMENTOS!$D$4:$D$803,B2448,MOVIMIENTOS_COMPLEMENTOS!$E$4:$E$803,C2448,MOVIMIENTOS_COMPLEMENTOS!$F$4:$F$803,D2448,MOVIMIENTOS_COMPLEMENTOS!$G$4:$G$803,E2448,MOVIMIENTOS_COMPLEMENTOS!$H$4:$H$803,G2448,MOVIMIENTOS_COMPLEMENTOS!$B$4:$B$803,"SALIDA"),0)</f>
        <v>0</v>
      </c>
      <c r="I2448" s="102">
        <f t="array" ref="I2448">IFERROR(INDEX(PRECIOS_COMPLEMENTOS!$C$4:$F$17,MATCH(B2448&amp;"_"&amp;C2448,PRECIOS_COMPLEMENTOS!$H$4:$H$17,0),IF(OR(G2448="S",G2448="20cm"),1,IF(OR(G2448="M",G2448="25cm"),2,IF(OR(G2448="L",G2448="30cm"),3,IF(OR(G2448="XL",G2448="35cm"),4,0))))),0)</f>
        <v>0.6</v>
      </c>
      <c r="J2448" s="103">
        <f t="shared" si="1"/>
        <v>0</v>
      </c>
      <c r="K2448" s="104" t="str">
        <f>IF(H2448&lt;0,"ERROR",IF(H2448=0,"",IF(H2448&lt;CONFIG!$B$4,"CRÍTICO",IF(H2448&lt;CONFIG!$B$5,"BAJO","OK"))))</f>
        <v/>
      </c>
    </row>
    <row r="2449" ht="15.75" hidden="1" customHeight="1">
      <c r="A2449" s="90" t="str">
        <f>IF(CLIENTES!A7="","",CLIENTES!A7)</f>
        <v/>
      </c>
      <c r="B2449" s="90" t="s">
        <v>331</v>
      </c>
      <c r="C2449" s="91" t="s">
        <v>328</v>
      </c>
      <c r="D2449" s="109" t="s">
        <v>364</v>
      </c>
      <c r="E2449" s="67" t="str">
        <f>COLORES!A15</f>
        <v>Plomo</v>
      </c>
      <c r="F2449" s="67" t="str">
        <f>COLORES!B15</f>
        <v>OSCURO</v>
      </c>
      <c r="G2449" s="90" t="s">
        <v>376</v>
      </c>
      <c r="H2449" s="100">
        <f>IFERROR(SUMIFS(MOVIMIENTOS_COMPLEMENTOS!$I$4:$I$803,MOVIMIENTOS_COMPLEMENTOS!$C$4:$C$803,A2449,MOVIMIENTOS_COMPLEMENTOS!$D$4:$D$803,B2449,MOVIMIENTOS_COMPLEMENTOS!$E$4:$E$803,C2449,MOVIMIENTOS_COMPLEMENTOS!$F$4:$F$803,D2449,MOVIMIENTOS_COMPLEMENTOS!$G$4:$G$803,E2449,MOVIMIENTOS_COMPLEMENTOS!$H$4:$H$803,G2449,MOVIMIENTOS_COMPLEMENTOS!$B$4:$B$803,"INGRESO")+SUMIFS(MOVIMIENTOS_COMPLEMENTOS!$I$4:$I$803,MOVIMIENTOS_COMPLEMENTOS!$C$4:$C$803,A2449,MOVIMIENTOS_COMPLEMENTOS!$D$4:$D$803,B2449,MOVIMIENTOS_COMPLEMENTOS!$E$4:$E$803,C2449,MOVIMIENTOS_COMPLEMENTOS!$F$4:$F$803,D2449,MOVIMIENTOS_COMPLEMENTOS!$G$4:$G$803,E2449,MOVIMIENTOS_COMPLEMENTOS!$H$4:$H$803,G2449,MOVIMIENTOS_COMPLEMENTOS!$B$4:$B$803,"DE CORTE")-SUMIFS(MOVIMIENTOS_COMPLEMENTOS!$I$4:$I$803,MOVIMIENTOS_COMPLEMENTOS!$C$4:$C$803,A2449,MOVIMIENTOS_COMPLEMENTOS!$D$4:$D$803,B2449,MOVIMIENTOS_COMPLEMENTOS!$E$4:$E$803,C2449,MOVIMIENTOS_COMPLEMENTOS!$F$4:$F$803,D2449,MOVIMIENTOS_COMPLEMENTOS!$G$4:$G$803,E2449,MOVIMIENTOS_COMPLEMENTOS!$H$4:$H$803,G2449,MOVIMIENTOS_COMPLEMENTOS!$B$4:$B$803,"SALIDA"),0)</f>
        <v>0</v>
      </c>
      <c r="I2449" s="102">
        <f t="array" ref="I2449">IFERROR(INDEX(PRECIOS_COMPLEMENTOS!$C$4:$F$17,MATCH(B2449&amp;"_"&amp;C2449,PRECIOS_COMPLEMENTOS!$H$4:$H$17,0),IF(OR(G2449="S",G2449="20cm"),1,IF(OR(G2449="M",G2449="25cm"),2,IF(OR(G2449="L",G2449="30cm"),3,IF(OR(G2449="XL",G2449="35cm"),4,0))))),0)</f>
        <v>0.6</v>
      </c>
      <c r="J2449" s="103">
        <f t="shared" si="1"/>
        <v>0</v>
      </c>
      <c r="K2449" s="104" t="str">
        <f>IF(H2449&lt;0,"ERROR",IF(H2449=0,"",IF(H2449&lt;CONFIG!$B$4,"CRÍTICO",IF(H2449&lt;CONFIG!$B$5,"BAJO","OK"))))</f>
        <v/>
      </c>
    </row>
    <row r="2450" ht="15.75" hidden="1" customHeight="1">
      <c r="A2450" s="90" t="str">
        <f>IF(CLIENTES!A7="","",CLIENTES!A7)</f>
        <v/>
      </c>
      <c r="B2450" s="90" t="s">
        <v>331</v>
      </c>
      <c r="C2450" s="91" t="s">
        <v>328</v>
      </c>
      <c r="D2450" s="109" t="s">
        <v>364</v>
      </c>
      <c r="E2450" s="67" t="str">
        <f>COLORES!A15</f>
        <v>Plomo</v>
      </c>
      <c r="F2450" s="67" t="str">
        <f>COLORES!B15</f>
        <v>OSCURO</v>
      </c>
      <c r="G2450" s="90" t="s">
        <v>377</v>
      </c>
      <c r="H2450" s="100">
        <f>IFERROR(SUMIFS(MOVIMIENTOS_COMPLEMENTOS!$I$4:$I$803,MOVIMIENTOS_COMPLEMENTOS!$C$4:$C$803,A2450,MOVIMIENTOS_COMPLEMENTOS!$D$4:$D$803,B2450,MOVIMIENTOS_COMPLEMENTOS!$E$4:$E$803,C2450,MOVIMIENTOS_COMPLEMENTOS!$F$4:$F$803,D2450,MOVIMIENTOS_COMPLEMENTOS!$G$4:$G$803,E2450,MOVIMIENTOS_COMPLEMENTOS!$H$4:$H$803,G2450,MOVIMIENTOS_COMPLEMENTOS!$B$4:$B$803,"INGRESO")+SUMIFS(MOVIMIENTOS_COMPLEMENTOS!$I$4:$I$803,MOVIMIENTOS_COMPLEMENTOS!$C$4:$C$803,A2450,MOVIMIENTOS_COMPLEMENTOS!$D$4:$D$803,B2450,MOVIMIENTOS_COMPLEMENTOS!$E$4:$E$803,C2450,MOVIMIENTOS_COMPLEMENTOS!$F$4:$F$803,D2450,MOVIMIENTOS_COMPLEMENTOS!$G$4:$G$803,E2450,MOVIMIENTOS_COMPLEMENTOS!$H$4:$H$803,G2450,MOVIMIENTOS_COMPLEMENTOS!$B$4:$B$803,"DE CORTE")-SUMIFS(MOVIMIENTOS_COMPLEMENTOS!$I$4:$I$803,MOVIMIENTOS_COMPLEMENTOS!$C$4:$C$803,A2450,MOVIMIENTOS_COMPLEMENTOS!$D$4:$D$803,B2450,MOVIMIENTOS_COMPLEMENTOS!$E$4:$E$803,C2450,MOVIMIENTOS_COMPLEMENTOS!$F$4:$F$803,D2450,MOVIMIENTOS_COMPLEMENTOS!$G$4:$G$803,E2450,MOVIMIENTOS_COMPLEMENTOS!$H$4:$H$803,G2450,MOVIMIENTOS_COMPLEMENTOS!$B$4:$B$803,"SALIDA"),0)</f>
        <v>0</v>
      </c>
      <c r="I2450" s="102">
        <f t="array" ref="I2450">IFERROR(INDEX(PRECIOS_COMPLEMENTOS!$C$4:$F$17,MATCH(B2450&amp;"_"&amp;C2450,PRECIOS_COMPLEMENTOS!$H$4:$H$17,0),IF(OR(G2450="S",G2450="20cm"),1,IF(OR(G2450="M",G2450="25cm"),2,IF(OR(G2450="L",G2450="30cm"),3,IF(OR(G2450="XL",G2450="35cm"),4,0))))),0)</f>
        <v>0.6</v>
      </c>
      <c r="J2450" s="103">
        <f t="shared" si="1"/>
        <v>0</v>
      </c>
      <c r="K2450" s="104" t="str">
        <f>IF(H2450&lt;0,"ERROR",IF(H2450=0,"",IF(H2450&lt;CONFIG!$B$4,"CRÍTICO",IF(H2450&lt;CONFIG!$B$5,"BAJO","OK"))))</f>
        <v/>
      </c>
    </row>
    <row r="2451" ht="15.75" hidden="1" customHeight="1">
      <c r="A2451" s="90" t="str">
        <f>IF(CLIENTES!A7="","",CLIENTES!A7)</f>
        <v/>
      </c>
      <c r="B2451" s="90" t="s">
        <v>331</v>
      </c>
      <c r="C2451" s="91" t="s">
        <v>328</v>
      </c>
      <c r="D2451" s="109" t="s">
        <v>364</v>
      </c>
      <c r="E2451" s="67" t="str">
        <f>COLORES!A15</f>
        <v>Plomo</v>
      </c>
      <c r="F2451" s="67" t="str">
        <f>COLORES!B15</f>
        <v>OSCURO</v>
      </c>
      <c r="G2451" s="90" t="s">
        <v>379</v>
      </c>
      <c r="H2451" s="100">
        <f>IFERROR(SUMIFS(MOVIMIENTOS_COMPLEMENTOS!$I$4:$I$803,MOVIMIENTOS_COMPLEMENTOS!$C$4:$C$803,A2451,MOVIMIENTOS_COMPLEMENTOS!$D$4:$D$803,B2451,MOVIMIENTOS_COMPLEMENTOS!$E$4:$E$803,C2451,MOVIMIENTOS_COMPLEMENTOS!$F$4:$F$803,D2451,MOVIMIENTOS_COMPLEMENTOS!$G$4:$G$803,E2451,MOVIMIENTOS_COMPLEMENTOS!$H$4:$H$803,G2451,MOVIMIENTOS_COMPLEMENTOS!$B$4:$B$803,"INGRESO")+SUMIFS(MOVIMIENTOS_COMPLEMENTOS!$I$4:$I$803,MOVIMIENTOS_COMPLEMENTOS!$C$4:$C$803,A2451,MOVIMIENTOS_COMPLEMENTOS!$D$4:$D$803,B2451,MOVIMIENTOS_COMPLEMENTOS!$E$4:$E$803,C2451,MOVIMIENTOS_COMPLEMENTOS!$F$4:$F$803,D2451,MOVIMIENTOS_COMPLEMENTOS!$G$4:$G$803,E2451,MOVIMIENTOS_COMPLEMENTOS!$H$4:$H$803,G2451,MOVIMIENTOS_COMPLEMENTOS!$B$4:$B$803,"DE CORTE")-SUMIFS(MOVIMIENTOS_COMPLEMENTOS!$I$4:$I$803,MOVIMIENTOS_COMPLEMENTOS!$C$4:$C$803,A2451,MOVIMIENTOS_COMPLEMENTOS!$D$4:$D$803,B2451,MOVIMIENTOS_COMPLEMENTOS!$E$4:$E$803,C2451,MOVIMIENTOS_COMPLEMENTOS!$F$4:$F$803,D2451,MOVIMIENTOS_COMPLEMENTOS!$G$4:$G$803,E2451,MOVIMIENTOS_COMPLEMENTOS!$H$4:$H$803,G2451,MOVIMIENTOS_COMPLEMENTOS!$B$4:$B$803,"SALIDA"),0)</f>
        <v>0</v>
      </c>
      <c r="I2451" s="102">
        <f t="array" ref="I2451">IFERROR(INDEX(PRECIOS_COMPLEMENTOS!$C$4:$F$17,MATCH(B2451&amp;"_"&amp;C2451,PRECIOS_COMPLEMENTOS!$H$4:$H$17,0),IF(OR(G2451="S",G2451="20cm"),1,IF(OR(G2451="M",G2451="25cm"),2,IF(OR(G2451="L",G2451="30cm"),3,IF(OR(G2451="XL",G2451="35cm"),4,0))))),0)</f>
        <v>0.6</v>
      </c>
      <c r="J2451" s="103">
        <f t="shared" si="1"/>
        <v>0</v>
      </c>
      <c r="K2451" s="104" t="str">
        <f>IF(H2451&lt;0,"ERROR",IF(H2451=0,"",IF(H2451&lt;CONFIG!$B$4,"CRÍTICO",IF(H2451&lt;CONFIG!$B$5,"BAJO","OK"))))</f>
        <v/>
      </c>
    </row>
    <row r="2452" ht="15.75" hidden="1" customHeight="1">
      <c r="A2452" s="90" t="str">
        <f>IF(CLIENTES!A7="","",CLIENTES!A7)</f>
        <v/>
      </c>
      <c r="B2452" s="90" t="s">
        <v>331</v>
      </c>
      <c r="C2452" s="91" t="s">
        <v>328</v>
      </c>
      <c r="D2452" s="109" t="s">
        <v>364</v>
      </c>
      <c r="E2452" s="67" t="str">
        <f>COLORES!A16</f>
        <v>Topo</v>
      </c>
      <c r="F2452" s="67" t="str">
        <f>COLORES!B16</f>
        <v>CLARO</v>
      </c>
      <c r="G2452" s="90" t="s">
        <v>378</v>
      </c>
      <c r="H2452" s="100">
        <f>IFERROR(SUMIFS(MOVIMIENTOS_COMPLEMENTOS!$I$4:$I$803,MOVIMIENTOS_COMPLEMENTOS!$C$4:$C$803,A2452,MOVIMIENTOS_COMPLEMENTOS!$D$4:$D$803,B2452,MOVIMIENTOS_COMPLEMENTOS!$E$4:$E$803,C2452,MOVIMIENTOS_COMPLEMENTOS!$F$4:$F$803,D2452,MOVIMIENTOS_COMPLEMENTOS!$G$4:$G$803,E2452,MOVIMIENTOS_COMPLEMENTOS!$H$4:$H$803,G2452,MOVIMIENTOS_COMPLEMENTOS!$B$4:$B$803,"INGRESO")+SUMIFS(MOVIMIENTOS_COMPLEMENTOS!$I$4:$I$803,MOVIMIENTOS_COMPLEMENTOS!$C$4:$C$803,A2452,MOVIMIENTOS_COMPLEMENTOS!$D$4:$D$803,B2452,MOVIMIENTOS_COMPLEMENTOS!$E$4:$E$803,C2452,MOVIMIENTOS_COMPLEMENTOS!$F$4:$F$803,D2452,MOVIMIENTOS_COMPLEMENTOS!$G$4:$G$803,E2452,MOVIMIENTOS_COMPLEMENTOS!$H$4:$H$803,G2452,MOVIMIENTOS_COMPLEMENTOS!$B$4:$B$803,"DE CORTE")-SUMIFS(MOVIMIENTOS_COMPLEMENTOS!$I$4:$I$803,MOVIMIENTOS_COMPLEMENTOS!$C$4:$C$803,A2452,MOVIMIENTOS_COMPLEMENTOS!$D$4:$D$803,B2452,MOVIMIENTOS_COMPLEMENTOS!$E$4:$E$803,C2452,MOVIMIENTOS_COMPLEMENTOS!$F$4:$F$803,D2452,MOVIMIENTOS_COMPLEMENTOS!$G$4:$G$803,E2452,MOVIMIENTOS_COMPLEMENTOS!$H$4:$H$803,G2452,MOVIMIENTOS_COMPLEMENTOS!$B$4:$B$803,"SALIDA"),0)</f>
        <v>0</v>
      </c>
      <c r="I2452" s="102">
        <f t="array" ref="I2452">IFERROR(INDEX(PRECIOS_COMPLEMENTOS!$C$4:$F$17,MATCH(B2452&amp;"_"&amp;C2452,PRECIOS_COMPLEMENTOS!$H$4:$H$17,0),IF(OR(G2452="S",G2452="20cm"),1,IF(OR(G2452="M",G2452="25cm"),2,IF(OR(G2452="L",G2452="30cm"),3,IF(OR(G2452="XL",G2452="35cm"),4,0))))),0)</f>
        <v>0.6</v>
      </c>
      <c r="J2452" s="103">
        <f t="shared" si="1"/>
        <v>0</v>
      </c>
      <c r="K2452" s="104" t="str">
        <f>IF(H2452&lt;0,"ERROR",IF(H2452=0,"",IF(H2452&lt;CONFIG!$B$4,"CRÍTICO",IF(H2452&lt;CONFIG!$B$5,"BAJO","OK"))))</f>
        <v/>
      </c>
    </row>
    <row r="2453" ht="15.75" hidden="1" customHeight="1">
      <c r="A2453" s="90" t="str">
        <f>IF(CLIENTES!A7="","",CLIENTES!A7)</f>
        <v/>
      </c>
      <c r="B2453" s="90" t="s">
        <v>331</v>
      </c>
      <c r="C2453" s="91" t="s">
        <v>328</v>
      </c>
      <c r="D2453" s="109" t="s">
        <v>364</v>
      </c>
      <c r="E2453" s="67" t="str">
        <f>COLORES!A16</f>
        <v>Topo</v>
      </c>
      <c r="F2453" s="67" t="str">
        <f>COLORES!B16</f>
        <v>CLARO</v>
      </c>
      <c r="G2453" s="90" t="s">
        <v>376</v>
      </c>
      <c r="H2453" s="100">
        <f>IFERROR(SUMIFS(MOVIMIENTOS_COMPLEMENTOS!$I$4:$I$803,MOVIMIENTOS_COMPLEMENTOS!$C$4:$C$803,A2453,MOVIMIENTOS_COMPLEMENTOS!$D$4:$D$803,B2453,MOVIMIENTOS_COMPLEMENTOS!$E$4:$E$803,C2453,MOVIMIENTOS_COMPLEMENTOS!$F$4:$F$803,D2453,MOVIMIENTOS_COMPLEMENTOS!$G$4:$G$803,E2453,MOVIMIENTOS_COMPLEMENTOS!$H$4:$H$803,G2453,MOVIMIENTOS_COMPLEMENTOS!$B$4:$B$803,"INGRESO")+SUMIFS(MOVIMIENTOS_COMPLEMENTOS!$I$4:$I$803,MOVIMIENTOS_COMPLEMENTOS!$C$4:$C$803,A2453,MOVIMIENTOS_COMPLEMENTOS!$D$4:$D$803,B2453,MOVIMIENTOS_COMPLEMENTOS!$E$4:$E$803,C2453,MOVIMIENTOS_COMPLEMENTOS!$F$4:$F$803,D2453,MOVIMIENTOS_COMPLEMENTOS!$G$4:$G$803,E2453,MOVIMIENTOS_COMPLEMENTOS!$H$4:$H$803,G2453,MOVIMIENTOS_COMPLEMENTOS!$B$4:$B$803,"DE CORTE")-SUMIFS(MOVIMIENTOS_COMPLEMENTOS!$I$4:$I$803,MOVIMIENTOS_COMPLEMENTOS!$C$4:$C$803,A2453,MOVIMIENTOS_COMPLEMENTOS!$D$4:$D$803,B2453,MOVIMIENTOS_COMPLEMENTOS!$E$4:$E$803,C2453,MOVIMIENTOS_COMPLEMENTOS!$F$4:$F$803,D2453,MOVIMIENTOS_COMPLEMENTOS!$G$4:$G$803,E2453,MOVIMIENTOS_COMPLEMENTOS!$H$4:$H$803,G2453,MOVIMIENTOS_COMPLEMENTOS!$B$4:$B$803,"SALIDA"),0)</f>
        <v>0</v>
      </c>
      <c r="I2453" s="102">
        <f t="array" ref="I2453">IFERROR(INDEX(PRECIOS_COMPLEMENTOS!$C$4:$F$17,MATCH(B2453&amp;"_"&amp;C2453,PRECIOS_COMPLEMENTOS!$H$4:$H$17,0),IF(OR(G2453="S",G2453="20cm"),1,IF(OR(G2453="M",G2453="25cm"),2,IF(OR(G2453="L",G2453="30cm"),3,IF(OR(G2453="XL",G2453="35cm"),4,0))))),0)</f>
        <v>0.6</v>
      </c>
      <c r="J2453" s="103">
        <f t="shared" si="1"/>
        <v>0</v>
      </c>
      <c r="K2453" s="104" t="str">
        <f>IF(H2453&lt;0,"ERROR",IF(H2453=0,"",IF(H2453&lt;CONFIG!$B$4,"CRÍTICO",IF(H2453&lt;CONFIG!$B$5,"BAJO","OK"))))</f>
        <v/>
      </c>
    </row>
    <row r="2454" ht="15.75" hidden="1" customHeight="1">
      <c r="A2454" s="90" t="str">
        <f>IF(CLIENTES!A7="","",CLIENTES!A7)</f>
        <v/>
      </c>
      <c r="B2454" s="90" t="s">
        <v>331</v>
      </c>
      <c r="C2454" s="91" t="s">
        <v>328</v>
      </c>
      <c r="D2454" s="109" t="s">
        <v>364</v>
      </c>
      <c r="E2454" s="67" t="str">
        <f>COLORES!A16</f>
        <v>Topo</v>
      </c>
      <c r="F2454" s="67" t="str">
        <f>COLORES!B16</f>
        <v>CLARO</v>
      </c>
      <c r="G2454" s="90" t="s">
        <v>377</v>
      </c>
      <c r="H2454" s="100">
        <f>IFERROR(SUMIFS(MOVIMIENTOS_COMPLEMENTOS!$I$4:$I$803,MOVIMIENTOS_COMPLEMENTOS!$C$4:$C$803,A2454,MOVIMIENTOS_COMPLEMENTOS!$D$4:$D$803,B2454,MOVIMIENTOS_COMPLEMENTOS!$E$4:$E$803,C2454,MOVIMIENTOS_COMPLEMENTOS!$F$4:$F$803,D2454,MOVIMIENTOS_COMPLEMENTOS!$G$4:$G$803,E2454,MOVIMIENTOS_COMPLEMENTOS!$H$4:$H$803,G2454,MOVIMIENTOS_COMPLEMENTOS!$B$4:$B$803,"INGRESO")+SUMIFS(MOVIMIENTOS_COMPLEMENTOS!$I$4:$I$803,MOVIMIENTOS_COMPLEMENTOS!$C$4:$C$803,A2454,MOVIMIENTOS_COMPLEMENTOS!$D$4:$D$803,B2454,MOVIMIENTOS_COMPLEMENTOS!$E$4:$E$803,C2454,MOVIMIENTOS_COMPLEMENTOS!$F$4:$F$803,D2454,MOVIMIENTOS_COMPLEMENTOS!$G$4:$G$803,E2454,MOVIMIENTOS_COMPLEMENTOS!$H$4:$H$803,G2454,MOVIMIENTOS_COMPLEMENTOS!$B$4:$B$803,"DE CORTE")-SUMIFS(MOVIMIENTOS_COMPLEMENTOS!$I$4:$I$803,MOVIMIENTOS_COMPLEMENTOS!$C$4:$C$803,A2454,MOVIMIENTOS_COMPLEMENTOS!$D$4:$D$803,B2454,MOVIMIENTOS_COMPLEMENTOS!$E$4:$E$803,C2454,MOVIMIENTOS_COMPLEMENTOS!$F$4:$F$803,D2454,MOVIMIENTOS_COMPLEMENTOS!$G$4:$G$803,E2454,MOVIMIENTOS_COMPLEMENTOS!$H$4:$H$803,G2454,MOVIMIENTOS_COMPLEMENTOS!$B$4:$B$803,"SALIDA"),0)</f>
        <v>0</v>
      </c>
      <c r="I2454" s="102">
        <f t="array" ref="I2454">IFERROR(INDEX(PRECIOS_COMPLEMENTOS!$C$4:$F$17,MATCH(B2454&amp;"_"&amp;C2454,PRECIOS_COMPLEMENTOS!$H$4:$H$17,0),IF(OR(G2454="S",G2454="20cm"),1,IF(OR(G2454="M",G2454="25cm"),2,IF(OR(G2454="L",G2454="30cm"),3,IF(OR(G2454="XL",G2454="35cm"),4,0))))),0)</f>
        <v>0.6</v>
      </c>
      <c r="J2454" s="103">
        <f t="shared" si="1"/>
        <v>0</v>
      </c>
      <c r="K2454" s="104" t="str">
        <f>IF(H2454&lt;0,"ERROR",IF(H2454=0,"",IF(H2454&lt;CONFIG!$B$4,"CRÍTICO",IF(H2454&lt;CONFIG!$B$5,"BAJO","OK"))))</f>
        <v/>
      </c>
    </row>
    <row r="2455" ht="15.75" hidden="1" customHeight="1">
      <c r="A2455" s="90" t="str">
        <f>IF(CLIENTES!A7="","",CLIENTES!A7)</f>
        <v/>
      </c>
      <c r="B2455" s="90" t="s">
        <v>331</v>
      </c>
      <c r="C2455" s="91" t="s">
        <v>328</v>
      </c>
      <c r="D2455" s="109" t="s">
        <v>364</v>
      </c>
      <c r="E2455" s="67" t="str">
        <f>COLORES!A16</f>
        <v>Topo</v>
      </c>
      <c r="F2455" s="67" t="str">
        <f>COLORES!B16</f>
        <v>CLARO</v>
      </c>
      <c r="G2455" s="90" t="s">
        <v>379</v>
      </c>
      <c r="H2455" s="100">
        <f>IFERROR(SUMIFS(MOVIMIENTOS_COMPLEMENTOS!$I$4:$I$803,MOVIMIENTOS_COMPLEMENTOS!$C$4:$C$803,A2455,MOVIMIENTOS_COMPLEMENTOS!$D$4:$D$803,B2455,MOVIMIENTOS_COMPLEMENTOS!$E$4:$E$803,C2455,MOVIMIENTOS_COMPLEMENTOS!$F$4:$F$803,D2455,MOVIMIENTOS_COMPLEMENTOS!$G$4:$G$803,E2455,MOVIMIENTOS_COMPLEMENTOS!$H$4:$H$803,G2455,MOVIMIENTOS_COMPLEMENTOS!$B$4:$B$803,"INGRESO")+SUMIFS(MOVIMIENTOS_COMPLEMENTOS!$I$4:$I$803,MOVIMIENTOS_COMPLEMENTOS!$C$4:$C$803,A2455,MOVIMIENTOS_COMPLEMENTOS!$D$4:$D$803,B2455,MOVIMIENTOS_COMPLEMENTOS!$E$4:$E$803,C2455,MOVIMIENTOS_COMPLEMENTOS!$F$4:$F$803,D2455,MOVIMIENTOS_COMPLEMENTOS!$G$4:$G$803,E2455,MOVIMIENTOS_COMPLEMENTOS!$H$4:$H$803,G2455,MOVIMIENTOS_COMPLEMENTOS!$B$4:$B$803,"DE CORTE")-SUMIFS(MOVIMIENTOS_COMPLEMENTOS!$I$4:$I$803,MOVIMIENTOS_COMPLEMENTOS!$C$4:$C$803,A2455,MOVIMIENTOS_COMPLEMENTOS!$D$4:$D$803,B2455,MOVIMIENTOS_COMPLEMENTOS!$E$4:$E$803,C2455,MOVIMIENTOS_COMPLEMENTOS!$F$4:$F$803,D2455,MOVIMIENTOS_COMPLEMENTOS!$G$4:$G$803,E2455,MOVIMIENTOS_COMPLEMENTOS!$H$4:$H$803,G2455,MOVIMIENTOS_COMPLEMENTOS!$B$4:$B$803,"SALIDA"),0)</f>
        <v>0</v>
      </c>
      <c r="I2455" s="102">
        <f t="array" ref="I2455">IFERROR(INDEX(PRECIOS_COMPLEMENTOS!$C$4:$F$17,MATCH(B2455&amp;"_"&amp;C2455,PRECIOS_COMPLEMENTOS!$H$4:$H$17,0),IF(OR(G2455="S",G2455="20cm"),1,IF(OR(G2455="M",G2455="25cm"),2,IF(OR(G2455="L",G2455="30cm"),3,IF(OR(G2455="XL",G2455="35cm"),4,0))))),0)</f>
        <v>0.6</v>
      </c>
      <c r="J2455" s="103">
        <f t="shared" si="1"/>
        <v>0</v>
      </c>
      <c r="K2455" s="104" t="str">
        <f>IF(H2455&lt;0,"ERROR",IF(H2455=0,"",IF(H2455&lt;CONFIG!$B$4,"CRÍTICO",IF(H2455&lt;CONFIG!$B$5,"BAJO","OK"))))</f>
        <v/>
      </c>
    </row>
    <row r="2456" ht="15.75" hidden="1" customHeight="1">
      <c r="A2456" s="90" t="str">
        <f>IF(CLIENTES!A7="","",CLIENTES!A7)</f>
        <v/>
      </c>
      <c r="B2456" s="90" t="s">
        <v>331</v>
      </c>
      <c r="C2456" s="91" t="s">
        <v>328</v>
      </c>
      <c r="D2456" s="109" t="s">
        <v>364</v>
      </c>
      <c r="E2456" s="67" t="str">
        <f>COLORES!A17</f>
        <v>Vino</v>
      </c>
      <c r="F2456" s="67" t="str">
        <f>COLORES!B17</f>
        <v>OSCURO</v>
      </c>
      <c r="G2456" s="90" t="s">
        <v>378</v>
      </c>
      <c r="H2456" s="100">
        <f>IFERROR(SUMIFS(MOVIMIENTOS_COMPLEMENTOS!$I$4:$I$803,MOVIMIENTOS_COMPLEMENTOS!$C$4:$C$803,A2456,MOVIMIENTOS_COMPLEMENTOS!$D$4:$D$803,B2456,MOVIMIENTOS_COMPLEMENTOS!$E$4:$E$803,C2456,MOVIMIENTOS_COMPLEMENTOS!$F$4:$F$803,D2456,MOVIMIENTOS_COMPLEMENTOS!$G$4:$G$803,E2456,MOVIMIENTOS_COMPLEMENTOS!$H$4:$H$803,G2456,MOVIMIENTOS_COMPLEMENTOS!$B$4:$B$803,"INGRESO")+SUMIFS(MOVIMIENTOS_COMPLEMENTOS!$I$4:$I$803,MOVIMIENTOS_COMPLEMENTOS!$C$4:$C$803,A2456,MOVIMIENTOS_COMPLEMENTOS!$D$4:$D$803,B2456,MOVIMIENTOS_COMPLEMENTOS!$E$4:$E$803,C2456,MOVIMIENTOS_COMPLEMENTOS!$F$4:$F$803,D2456,MOVIMIENTOS_COMPLEMENTOS!$G$4:$G$803,E2456,MOVIMIENTOS_COMPLEMENTOS!$H$4:$H$803,G2456,MOVIMIENTOS_COMPLEMENTOS!$B$4:$B$803,"DE CORTE")-SUMIFS(MOVIMIENTOS_COMPLEMENTOS!$I$4:$I$803,MOVIMIENTOS_COMPLEMENTOS!$C$4:$C$803,A2456,MOVIMIENTOS_COMPLEMENTOS!$D$4:$D$803,B2456,MOVIMIENTOS_COMPLEMENTOS!$E$4:$E$803,C2456,MOVIMIENTOS_COMPLEMENTOS!$F$4:$F$803,D2456,MOVIMIENTOS_COMPLEMENTOS!$G$4:$G$803,E2456,MOVIMIENTOS_COMPLEMENTOS!$H$4:$H$803,G2456,MOVIMIENTOS_COMPLEMENTOS!$B$4:$B$803,"SALIDA"),0)</f>
        <v>0</v>
      </c>
      <c r="I2456" s="102">
        <f t="array" ref="I2456">IFERROR(INDEX(PRECIOS_COMPLEMENTOS!$C$4:$F$17,MATCH(B2456&amp;"_"&amp;C2456,PRECIOS_COMPLEMENTOS!$H$4:$H$17,0),IF(OR(G2456="S",G2456="20cm"),1,IF(OR(G2456="M",G2456="25cm"),2,IF(OR(G2456="L",G2456="30cm"),3,IF(OR(G2456="XL",G2456="35cm"),4,0))))),0)</f>
        <v>0.6</v>
      </c>
      <c r="J2456" s="103">
        <f t="shared" si="1"/>
        <v>0</v>
      </c>
      <c r="K2456" s="104" t="str">
        <f>IF(H2456&lt;0,"ERROR",IF(H2456=0,"",IF(H2456&lt;CONFIG!$B$4,"CRÍTICO",IF(H2456&lt;CONFIG!$B$5,"BAJO","OK"))))</f>
        <v/>
      </c>
    </row>
    <row r="2457" ht="15.75" hidden="1" customHeight="1">
      <c r="A2457" s="90" t="str">
        <f>IF(CLIENTES!A7="","",CLIENTES!A7)</f>
        <v/>
      </c>
      <c r="B2457" s="90" t="s">
        <v>331</v>
      </c>
      <c r="C2457" s="91" t="s">
        <v>328</v>
      </c>
      <c r="D2457" s="109" t="s">
        <v>364</v>
      </c>
      <c r="E2457" s="67" t="str">
        <f>COLORES!A17</f>
        <v>Vino</v>
      </c>
      <c r="F2457" s="67" t="str">
        <f>COLORES!B17</f>
        <v>OSCURO</v>
      </c>
      <c r="G2457" s="90" t="s">
        <v>376</v>
      </c>
      <c r="H2457" s="100">
        <f>IFERROR(SUMIFS(MOVIMIENTOS_COMPLEMENTOS!$I$4:$I$803,MOVIMIENTOS_COMPLEMENTOS!$C$4:$C$803,A2457,MOVIMIENTOS_COMPLEMENTOS!$D$4:$D$803,B2457,MOVIMIENTOS_COMPLEMENTOS!$E$4:$E$803,C2457,MOVIMIENTOS_COMPLEMENTOS!$F$4:$F$803,D2457,MOVIMIENTOS_COMPLEMENTOS!$G$4:$G$803,E2457,MOVIMIENTOS_COMPLEMENTOS!$H$4:$H$803,G2457,MOVIMIENTOS_COMPLEMENTOS!$B$4:$B$803,"INGRESO")+SUMIFS(MOVIMIENTOS_COMPLEMENTOS!$I$4:$I$803,MOVIMIENTOS_COMPLEMENTOS!$C$4:$C$803,A2457,MOVIMIENTOS_COMPLEMENTOS!$D$4:$D$803,B2457,MOVIMIENTOS_COMPLEMENTOS!$E$4:$E$803,C2457,MOVIMIENTOS_COMPLEMENTOS!$F$4:$F$803,D2457,MOVIMIENTOS_COMPLEMENTOS!$G$4:$G$803,E2457,MOVIMIENTOS_COMPLEMENTOS!$H$4:$H$803,G2457,MOVIMIENTOS_COMPLEMENTOS!$B$4:$B$803,"DE CORTE")-SUMIFS(MOVIMIENTOS_COMPLEMENTOS!$I$4:$I$803,MOVIMIENTOS_COMPLEMENTOS!$C$4:$C$803,A2457,MOVIMIENTOS_COMPLEMENTOS!$D$4:$D$803,B2457,MOVIMIENTOS_COMPLEMENTOS!$E$4:$E$803,C2457,MOVIMIENTOS_COMPLEMENTOS!$F$4:$F$803,D2457,MOVIMIENTOS_COMPLEMENTOS!$G$4:$G$803,E2457,MOVIMIENTOS_COMPLEMENTOS!$H$4:$H$803,G2457,MOVIMIENTOS_COMPLEMENTOS!$B$4:$B$803,"SALIDA"),0)</f>
        <v>0</v>
      </c>
      <c r="I2457" s="102">
        <f t="array" ref="I2457">IFERROR(INDEX(PRECIOS_COMPLEMENTOS!$C$4:$F$17,MATCH(B2457&amp;"_"&amp;C2457,PRECIOS_COMPLEMENTOS!$H$4:$H$17,0),IF(OR(G2457="S",G2457="20cm"),1,IF(OR(G2457="M",G2457="25cm"),2,IF(OR(G2457="L",G2457="30cm"),3,IF(OR(G2457="XL",G2457="35cm"),4,0))))),0)</f>
        <v>0.6</v>
      </c>
      <c r="J2457" s="103">
        <f t="shared" si="1"/>
        <v>0</v>
      </c>
      <c r="K2457" s="104" t="str">
        <f>IF(H2457&lt;0,"ERROR",IF(H2457=0,"",IF(H2457&lt;CONFIG!$B$4,"CRÍTICO",IF(H2457&lt;CONFIG!$B$5,"BAJO","OK"))))</f>
        <v/>
      </c>
    </row>
    <row r="2458" ht="15.75" hidden="1" customHeight="1">
      <c r="A2458" s="90" t="str">
        <f>IF(CLIENTES!A7="","",CLIENTES!A7)</f>
        <v/>
      </c>
      <c r="B2458" s="90" t="s">
        <v>331</v>
      </c>
      <c r="C2458" s="91" t="s">
        <v>328</v>
      </c>
      <c r="D2458" s="109" t="s">
        <v>364</v>
      </c>
      <c r="E2458" s="67" t="str">
        <f>COLORES!A17</f>
        <v>Vino</v>
      </c>
      <c r="F2458" s="67" t="str">
        <f>COLORES!B17</f>
        <v>OSCURO</v>
      </c>
      <c r="G2458" s="90" t="s">
        <v>377</v>
      </c>
      <c r="H2458" s="100">
        <f>IFERROR(SUMIFS(MOVIMIENTOS_COMPLEMENTOS!$I$4:$I$803,MOVIMIENTOS_COMPLEMENTOS!$C$4:$C$803,A2458,MOVIMIENTOS_COMPLEMENTOS!$D$4:$D$803,B2458,MOVIMIENTOS_COMPLEMENTOS!$E$4:$E$803,C2458,MOVIMIENTOS_COMPLEMENTOS!$F$4:$F$803,D2458,MOVIMIENTOS_COMPLEMENTOS!$G$4:$G$803,E2458,MOVIMIENTOS_COMPLEMENTOS!$H$4:$H$803,G2458,MOVIMIENTOS_COMPLEMENTOS!$B$4:$B$803,"INGRESO")+SUMIFS(MOVIMIENTOS_COMPLEMENTOS!$I$4:$I$803,MOVIMIENTOS_COMPLEMENTOS!$C$4:$C$803,A2458,MOVIMIENTOS_COMPLEMENTOS!$D$4:$D$803,B2458,MOVIMIENTOS_COMPLEMENTOS!$E$4:$E$803,C2458,MOVIMIENTOS_COMPLEMENTOS!$F$4:$F$803,D2458,MOVIMIENTOS_COMPLEMENTOS!$G$4:$G$803,E2458,MOVIMIENTOS_COMPLEMENTOS!$H$4:$H$803,G2458,MOVIMIENTOS_COMPLEMENTOS!$B$4:$B$803,"DE CORTE")-SUMIFS(MOVIMIENTOS_COMPLEMENTOS!$I$4:$I$803,MOVIMIENTOS_COMPLEMENTOS!$C$4:$C$803,A2458,MOVIMIENTOS_COMPLEMENTOS!$D$4:$D$803,B2458,MOVIMIENTOS_COMPLEMENTOS!$E$4:$E$803,C2458,MOVIMIENTOS_COMPLEMENTOS!$F$4:$F$803,D2458,MOVIMIENTOS_COMPLEMENTOS!$G$4:$G$803,E2458,MOVIMIENTOS_COMPLEMENTOS!$H$4:$H$803,G2458,MOVIMIENTOS_COMPLEMENTOS!$B$4:$B$803,"SALIDA"),0)</f>
        <v>0</v>
      </c>
      <c r="I2458" s="102">
        <f t="array" ref="I2458">IFERROR(INDEX(PRECIOS_COMPLEMENTOS!$C$4:$F$17,MATCH(B2458&amp;"_"&amp;C2458,PRECIOS_COMPLEMENTOS!$H$4:$H$17,0),IF(OR(G2458="S",G2458="20cm"),1,IF(OR(G2458="M",G2458="25cm"),2,IF(OR(G2458="L",G2458="30cm"),3,IF(OR(G2458="XL",G2458="35cm"),4,0))))),0)</f>
        <v>0.6</v>
      </c>
      <c r="J2458" s="103">
        <f t="shared" si="1"/>
        <v>0</v>
      </c>
      <c r="K2458" s="104" t="str">
        <f>IF(H2458&lt;0,"ERROR",IF(H2458=0,"",IF(H2458&lt;CONFIG!$B$4,"CRÍTICO",IF(H2458&lt;CONFIG!$B$5,"BAJO","OK"))))</f>
        <v/>
      </c>
    </row>
    <row r="2459" ht="15.75" hidden="1" customHeight="1">
      <c r="A2459" s="90" t="str">
        <f>IF(CLIENTES!A7="","",CLIENTES!A7)</f>
        <v/>
      </c>
      <c r="B2459" s="90" t="s">
        <v>331</v>
      </c>
      <c r="C2459" s="91" t="s">
        <v>328</v>
      </c>
      <c r="D2459" s="109" t="s">
        <v>364</v>
      </c>
      <c r="E2459" s="67" t="str">
        <f>COLORES!A17</f>
        <v>Vino</v>
      </c>
      <c r="F2459" s="67" t="str">
        <f>COLORES!B17</f>
        <v>OSCURO</v>
      </c>
      <c r="G2459" s="90" t="s">
        <v>379</v>
      </c>
      <c r="H2459" s="100">
        <f>IFERROR(SUMIFS(MOVIMIENTOS_COMPLEMENTOS!$I$4:$I$803,MOVIMIENTOS_COMPLEMENTOS!$C$4:$C$803,A2459,MOVIMIENTOS_COMPLEMENTOS!$D$4:$D$803,B2459,MOVIMIENTOS_COMPLEMENTOS!$E$4:$E$803,C2459,MOVIMIENTOS_COMPLEMENTOS!$F$4:$F$803,D2459,MOVIMIENTOS_COMPLEMENTOS!$G$4:$G$803,E2459,MOVIMIENTOS_COMPLEMENTOS!$H$4:$H$803,G2459,MOVIMIENTOS_COMPLEMENTOS!$B$4:$B$803,"INGRESO")+SUMIFS(MOVIMIENTOS_COMPLEMENTOS!$I$4:$I$803,MOVIMIENTOS_COMPLEMENTOS!$C$4:$C$803,A2459,MOVIMIENTOS_COMPLEMENTOS!$D$4:$D$803,B2459,MOVIMIENTOS_COMPLEMENTOS!$E$4:$E$803,C2459,MOVIMIENTOS_COMPLEMENTOS!$F$4:$F$803,D2459,MOVIMIENTOS_COMPLEMENTOS!$G$4:$G$803,E2459,MOVIMIENTOS_COMPLEMENTOS!$H$4:$H$803,G2459,MOVIMIENTOS_COMPLEMENTOS!$B$4:$B$803,"DE CORTE")-SUMIFS(MOVIMIENTOS_COMPLEMENTOS!$I$4:$I$803,MOVIMIENTOS_COMPLEMENTOS!$C$4:$C$803,A2459,MOVIMIENTOS_COMPLEMENTOS!$D$4:$D$803,B2459,MOVIMIENTOS_COMPLEMENTOS!$E$4:$E$803,C2459,MOVIMIENTOS_COMPLEMENTOS!$F$4:$F$803,D2459,MOVIMIENTOS_COMPLEMENTOS!$G$4:$G$803,E2459,MOVIMIENTOS_COMPLEMENTOS!$H$4:$H$803,G2459,MOVIMIENTOS_COMPLEMENTOS!$B$4:$B$803,"SALIDA"),0)</f>
        <v>0</v>
      </c>
      <c r="I2459" s="102">
        <f t="array" ref="I2459">IFERROR(INDEX(PRECIOS_COMPLEMENTOS!$C$4:$F$17,MATCH(B2459&amp;"_"&amp;C2459,PRECIOS_COMPLEMENTOS!$H$4:$H$17,0),IF(OR(G2459="S",G2459="20cm"),1,IF(OR(G2459="M",G2459="25cm"),2,IF(OR(G2459="L",G2459="30cm"),3,IF(OR(G2459="XL",G2459="35cm"),4,0))))),0)</f>
        <v>0.6</v>
      </c>
      <c r="J2459" s="103">
        <f t="shared" si="1"/>
        <v>0</v>
      </c>
      <c r="K2459" s="104" t="str">
        <f>IF(H2459&lt;0,"ERROR",IF(H2459=0,"",IF(H2459&lt;CONFIG!$B$4,"CRÍTICO",IF(H2459&lt;CONFIG!$B$5,"BAJO","OK"))))</f>
        <v/>
      </c>
    </row>
    <row r="2460" ht="15.75" hidden="1" customHeight="1">
      <c r="A2460" s="90" t="str">
        <f>IF(CLIENTES!A7="","",CLIENTES!A7)</f>
        <v/>
      </c>
      <c r="B2460" s="90" t="s">
        <v>331</v>
      </c>
      <c r="C2460" s="91" t="s">
        <v>328</v>
      </c>
      <c r="D2460" s="109" t="s">
        <v>364</v>
      </c>
      <c r="E2460" s="67" t="str">
        <f>COLORES!A18</f>
        <v>P. Rosa</v>
      </c>
      <c r="F2460" s="67" t="str">
        <f>COLORES!B18</f>
        <v>CLARO</v>
      </c>
      <c r="G2460" s="90" t="s">
        <v>378</v>
      </c>
      <c r="H2460" s="100">
        <f>IFERROR(SUMIFS(MOVIMIENTOS_COMPLEMENTOS!$I$4:$I$803,MOVIMIENTOS_COMPLEMENTOS!$C$4:$C$803,A2460,MOVIMIENTOS_COMPLEMENTOS!$D$4:$D$803,B2460,MOVIMIENTOS_COMPLEMENTOS!$E$4:$E$803,C2460,MOVIMIENTOS_COMPLEMENTOS!$F$4:$F$803,D2460,MOVIMIENTOS_COMPLEMENTOS!$G$4:$G$803,E2460,MOVIMIENTOS_COMPLEMENTOS!$H$4:$H$803,G2460,MOVIMIENTOS_COMPLEMENTOS!$B$4:$B$803,"INGRESO")+SUMIFS(MOVIMIENTOS_COMPLEMENTOS!$I$4:$I$803,MOVIMIENTOS_COMPLEMENTOS!$C$4:$C$803,A2460,MOVIMIENTOS_COMPLEMENTOS!$D$4:$D$803,B2460,MOVIMIENTOS_COMPLEMENTOS!$E$4:$E$803,C2460,MOVIMIENTOS_COMPLEMENTOS!$F$4:$F$803,D2460,MOVIMIENTOS_COMPLEMENTOS!$G$4:$G$803,E2460,MOVIMIENTOS_COMPLEMENTOS!$H$4:$H$803,G2460,MOVIMIENTOS_COMPLEMENTOS!$B$4:$B$803,"DE CORTE")-SUMIFS(MOVIMIENTOS_COMPLEMENTOS!$I$4:$I$803,MOVIMIENTOS_COMPLEMENTOS!$C$4:$C$803,A2460,MOVIMIENTOS_COMPLEMENTOS!$D$4:$D$803,B2460,MOVIMIENTOS_COMPLEMENTOS!$E$4:$E$803,C2460,MOVIMIENTOS_COMPLEMENTOS!$F$4:$F$803,D2460,MOVIMIENTOS_COMPLEMENTOS!$G$4:$G$803,E2460,MOVIMIENTOS_COMPLEMENTOS!$H$4:$H$803,G2460,MOVIMIENTOS_COMPLEMENTOS!$B$4:$B$803,"SALIDA"),0)</f>
        <v>0</v>
      </c>
      <c r="I2460" s="102">
        <f t="array" ref="I2460">IFERROR(INDEX(PRECIOS_COMPLEMENTOS!$C$4:$F$17,MATCH(B2460&amp;"_"&amp;C2460,PRECIOS_COMPLEMENTOS!$H$4:$H$17,0),IF(OR(G2460="S",G2460="20cm"),1,IF(OR(G2460="M",G2460="25cm"),2,IF(OR(G2460="L",G2460="30cm"),3,IF(OR(G2460="XL",G2460="35cm"),4,0))))),0)</f>
        <v>0.6</v>
      </c>
      <c r="J2460" s="103">
        <f t="shared" si="1"/>
        <v>0</v>
      </c>
      <c r="K2460" s="104" t="str">
        <f>IF(H2460&lt;0,"ERROR",IF(H2460=0,"",IF(H2460&lt;CONFIG!$B$4,"CRÍTICO",IF(H2460&lt;CONFIG!$B$5,"BAJO","OK"))))</f>
        <v/>
      </c>
    </row>
    <row r="2461" ht="15.75" hidden="1" customHeight="1">
      <c r="A2461" s="90" t="str">
        <f>IF(CLIENTES!A7="","",CLIENTES!A7)</f>
        <v/>
      </c>
      <c r="B2461" s="90" t="s">
        <v>331</v>
      </c>
      <c r="C2461" s="91" t="s">
        <v>328</v>
      </c>
      <c r="D2461" s="109" t="s">
        <v>364</v>
      </c>
      <c r="E2461" s="67" t="str">
        <f>COLORES!A18</f>
        <v>P. Rosa</v>
      </c>
      <c r="F2461" s="67" t="str">
        <f>COLORES!B18</f>
        <v>CLARO</v>
      </c>
      <c r="G2461" s="90" t="s">
        <v>376</v>
      </c>
      <c r="H2461" s="100">
        <f>IFERROR(SUMIFS(MOVIMIENTOS_COMPLEMENTOS!$I$4:$I$803,MOVIMIENTOS_COMPLEMENTOS!$C$4:$C$803,A2461,MOVIMIENTOS_COMPLEMENTOS!$D$4:$D$803,B2461,MOVIMIENTOS_COMPLEMENTOS!$E$4:$E$803,C2461,MOVIMIENTOS_COMPLEMENTOS!$F$4:$F$803,D2461,MOVIMIENTOS_COMPLEMENTOS!$G$4:$G$803,E2461,MOVIMIENTOS_COMPLEMENTOS!$H$4:$H$803,G2461,MOVIMIENTOS_COMPLEMENTOS!$B$4:$B$803,"INGRESO")+SUMIFS(MOVIMIENTOS_COMPLEMENTOS!$I$4:$I$803,MOVIMIENTOS_COMPLEMENTOS!$C$4:$C$803,A2461,MOVIMIENTOS_COMPLEMENTOS!$D$4:$D$803,B2461,MOVIMIENTOS_COMPLEMENTOS!$E$4:$E$803,C2461,MOVIMIENTOS_COMPLEMENTOS!$F$4:$F$803,D2461,MOVIMIENTOS_COMPLEMENTOS!$G$4:$G$803,E2461,MOVIMIENTOS_COMPLEMENTOS!$H$4:$H$803,G2461,MOVIMIENTOS_COMPLEMENTOS!$B$4:$B$803,"DE CORTE")-SUMIFS(MOVIMIENTOS_COMPLEMENTOS!$I$4:$I$803,MOVIMIENTOS_COMPLEMENTOS!$C$4:$C$803,A2461,MOVIMIENTOS_COMPLEMENTOS!$D$4:$D$803,B2461,MOVIMIENTOS_COMPLEMENTOS!$E$4:$E$803,C2461,MOVIMIENTOS_COMPLEMENTOS!$F$4:$F$803,D2461,MOVIMIENTOS_COMPLEMENTOS!$G$4:$G$803,E2461,MOVIMIENTOS_COMPLEMENTOS!$H$4:$H$803,G2461,MOVIMIENTOS_COMPLEMENTOS!$B$4:$B$803,"SALIDA"),0)</f>
        <v>0</v>
      </c>
      <c r="I2461" s="102">
        <f t="array" ref="I2461">IFERROR(INDEX(PRECIOS_COMPLEMENTOS!$C$4:$F$17,MATCH(B2461&amp;"_"&amp;C2461,PRECIOS_COMPLEMENTOS!$H$4:$H$17,0),IF(OR(G2461="S",G2461="20cm"),1,IF(OR(G2461="M",G2461="25cm"),2,IF(OR(G2461="L",G2461="30cm"),3,IF(OR(G2461="XL",G2461="35cm"),4,0))))),0)</f>
        <v>0.6</v>
      </c>
      <c r="J2461" s="103">
        <f t="shared" si="1"/>
        <v>0</v>
      </c>
      <c r="K2461" s="104" t="str">
        <f>IF(H2461&lt;0,"ERROR",IF(H2461=0,"",IF(H2461&lt;CONFIG!$B$4,"CRÍTICO",IF(H2461&lt;CONFIG!$B$5,"BAJO","OK"))))</f>
        <v/>
      </c>
    </row>
    <row r="2462" ht="15.75" hidden="1" customHeight="1">
      <c r="A2462" s="90" t="str">
        <f>IF(CLIENTES!A7="","",CLIENTES!A7)</f>
        <v/>
      </c>
      <c r="B2462" s="90" t="s">
        <v>331</v>
      </c>
      <c r="C2462" s="91" t="s">
        <v>328</v>
      </c>
      <c r="D2462" s="109" t="s">
        <v>364</v>
      </c>
      <c r="E2462" s="67" t="str">
        <f>COLORES!A18</f>
        <v>P. Rosa</v>
      </c>
      <c r="F2462" s="67" t="str">
        <f>COLORES!B18</f>
        <v>CLARO</v>
      </c>
      <c r="G2462" s="90" t="s">
        <v>377</v>
      </c>
      <c r="H2462" s="100">
        <f>IFERROR(SUMIFS(MOVIMIENTOS_COMPLEMENTOS!$I$4:$I$803,MOVIMIENTOS_COMPLEMENTOS!$C$4:$C$803,A2462,MOVIMIENTOS_COMPLEMENTOS!$D$4:$D$803,B2462,MOVIMIENTOS_COMPLEMENTOS!$E$4:$E$803,C2462,MOVIMIENTOS_COMPLEMENTOS!$F$4:$F$803,D2462,MOVIMIENTOS_COMPLEMENTOS!$G$4:$G$803,E2462,MOVIMIENTOS_COMPLEMENTOS!$H$4:$H$803,G2462,MOVIMIENTOS_COMPLEMENTOS!$B$4:$B$803,"INGRESO")+SUMIFS(MOVIMIENTOS_COMPLEMENTOS!$I$4:$I$803,MOVIMIENTOS_COMPLEMENTOS!$C$4:$C$803,A2462,MOVIMIENTOS_COMPLEMENTOS!$D$4:$D$803,B2462,MOVIMIENTOS_COMPLEMENTOS!$E$4:$E$803,C2462,MOVIMIENTOS_COMPLEMENTOS!$F$4:$F$803,D2462,MOVIMIENTOS_COMPLEMENTOS!$G$4:$G$803,E2462,MOVIMIENTOS_COMPLEMENTOS!$H$4:$H$803,G2462,MOVIMIENTOS_COMPLEMENTOS!$B$4:$B$803,"DE CORTE")-SUMIFS(MOVIMIENTOS_COMPLEMENTOS!$I$4:$I$803,MOVIMIENTOS_COMPLEMENTOS!$C$4:$C$803,A2462,MOVIMIENTOS_COMPLEMENTOS!$D$4:$D$803,B2462,MOVIMIENTOS_COMPLEMENTOS!$E$4:$E$803,C2462,MOVIMIENTOS_COMPLEMENTOS!$F$4:$F$803,D2462,MOVIMIENTOS_COMPLEMENTOS!$G$4:$G$803,E2462,MOVIMIENTOS_COMPLEMENTOS!$H$4:$H$803,G2462,MOVIMIENTOS_COMPLEMENTOS!$B$4:$B$803,"SALIDA"),0)</f>
        <v>0</v>
      </c>
      <c r="I2462" s="102">
        <f t="array" ref="I2462">IFERROR(INDEX(PRECIOS_COMPLEMENTOS!$C$4:$F$17,MATCH(B2462&amp;"_"&amp;C2462,PRECIOS_COMPLEMENTOS!$H$4:$H$17,0),IF(OR(G2462="S",G2462="20cm"),1,IF(OR(G2462="M",G2462="25cm"),2,IF(OR(G2462="L",G2462="30cm"),3,IF(OR(G2462="XL",G2462="35cm"),4,0))))),0)</f>
        <v>0.6</v>
      </c>
      <c r="J2462" s="103">
        <f t="shared" si="1"/>
        <v>0</v>
      </c>
      <c r="K2462" s="104" t="str">
        <f>IF(H2462&lt;0,"ERROR",IF(H2462=0,"",IF(H2462&lt;CONFIG!$B$4,"CRÍTICO",IF(H2462&lt;CONFIG!$B$5,"BAJO","OK"))))</f>
        <v/>
      </c>
    </row>
    <row r="2463" ht="15.75" hidden="1" customHeight="1">
      <c r="A2463" s="90" t="str">
        <f>IF(CLIENTES!A7="","",CLIENTES!A7)</f>
        <v/>
      </c>
      <c r="B2463" s="90" t="s">
        <v>331</v>
      </c>
      <c r="C2463" s="91" t="s">
        <v>328</v>
      </c>
      <c r="D2463" s="109" t="s">
        <v>364</v>
      </c>
      <c r="E2463" s="67" t="str">
        <f>COLORES!A18</f>
        <v>P. Rosa</v>
      </c>
      <c r="F2463" s="67" t="str">
        <f>COLORES!B18</f>
        <v>CLARO</v>
      </c>
      <c r="G2463" s="90" t="s">
        <v>379</v>
      </c>
      <c r="H2463" s="100">
        <f>IFERROR(SUMIFS(MOVIMIENTOS_COMPLEMENTOS!$I$4:$I$803,MOVIMIENTOS_COMPLEMENTOS!$C$4:$C$803,A2463,MOVIMIENTOS_COMPLEMENTOS!$D$4:$D$803,B2463,MOVIMIENTOS_COMPLEMENTOS!$E$4:$E$803,C2463,MOVIMIENTOS_COMPLEMENTOS!$F$4:$F$803,D2463,MOVIMIENTOS_COMPLEMENTOS!$G$4:$G$803,E2463,MOVIMIENTOS_COMPLEMENTOS!$H$4:$H$803,G2463,MOVIMIENTOS_COMPLEMENTOS!$B$4:$B$803,"INGRESO")+SUMIFS(MOVIMIENTOS_COMPLEMENTOS!$I$4:$I$803,MOVIMIENTOS_COMPLEMENTOS!$C$4:$C$803,A2463,MOVIMIENTOS_COMPLEMENTOS!$D$4:$D$803,B2463,MOVIMIENTOS_COMPLEMENTOS!$E$4:$E$803,C2463,MOVIMIENTOS_COMPLEMENTOS!$F$4:$F$803,D2463,MOVIMIENTOS_COMPLEMENTOS!$G$4:$G$803,E2463,MOVIMIENTOS_COMPLEMENTOS!$H$4:$H$803,G2463,MOVIMIENTOS_COMPLEMENTOS!$B$4:$B$803,"DE CORTE")-SUMIFS(MOVIMIENTOS_COMPLEMENTOS!$I$4:$I$803,MOVIMIENTOS_COMPLEMENTOS!$C$4:$C$803,A2463,MOVIMIENTOS_COMPLEMENTOS!$D$4:$D$803,B2463,MOVIMIENTOS_COMPLEMENTOS!$E$4:$E$803,C2463,MOVIMIENTOS_COMPLEMENTOS!$F$4:$F$803,D2463,MOVIMIENTOS_COMPLEMENTOS!$G$4:$G$803,E2463,MOVIMIENTOS_COMPLEMENTOS!$H$4:$H$803,G2463,MOVIMIENTOS_COMPLEMENTOS!$B$4:$B$803,"SALIDA"),0)</f>
        <v>0</v>
      </c>
      <c r="I2463" s="102">
        <f t="array" ref="I2463">IFERROR(INDEX(PRECIOS_COMPLEMENTOS!$C$4:$F$17,MATCH(B2463&amp;"_"&amp;C2463,PRECIOS_COMPLEMENTOS!$H$4:$H$17,0),IF(OR(G2463="S",G2463="20cm"),1,IF(OR(G2463="M",G2463="25cm"),2,IF(OR(G2463="L",G2463="30cm"),3,IF(OR(G2463="XL",G2463="35cm"),4,0))))),0)</f>
        <v>0.6</v>
      </c>
      <c r="J2463" s="103">
        <f t="shared" si="1"/>
        <v>0</v>
      </c>
      <c r="K2463" s="104" t="str">
        <f>IF(H2463&lt;0,"ERROR",IF(H2463=0,"",IF(H2463&lt;CONFIG!$B$4,"CRÍTICO",IF(H2463&lt;CONFIG!$B$5,"BAJO","OK"))))</f>
        <v/>
      </c>
    </row>
    <row r="2464" ht="15.75" hidden="1" customHeight="1">
      <c r="A2464" s="90" t="str">
        <f>IF(CLIENTES!A7="","",CLIENTES!A7)</f>
        <v/>
      </c>
      <c r="B2464" s="90" t="s">
        <v>331</v>
      </c>
      <c r="C2464" s="91" t="s">
        <v>328</v>
      </c>
      <c r="D2464" s="109" t="s">
        <v>364</v>
      </c>
      <c r="E2464" s="67" t="str">
        <f>COLORES!A19</f>
        <v/>
      </c>
      <c r="F2464" s="67" t="str">
        <f>COLORES!B19</f>
        <v/>
      </c>
      <c r="G2464" s="90" t="s">
        <v>378</v>
      </c>
      <c r="H2464" s="100">
        <f>IFERROR(SUMIFS(MOVIMIENTOS_COMPLEMENTOS!$I$4:$I$803,MOVIMIENTOS_COMPLEMENTOS!$C$4:$C$803,A2464,MOVIMIENTOS_COMPLEMENTOS!$D$4:$D$803,B2464,MOVIMIENTOS_COMPLEMENTOS!$E$4:$E$803,C2464,MOVIMIENTOS_COMPLEMENTOS!$F$4:$F$803,D2464,MOVIMIENTOS_COMPLEMENTOS!$G$4:$G$803,E2464,MOVIMIENTOS_COMPLEMENTOS!$H$4:$H$803,G2464,MOVIMIENTOS_COMPLEMENTOS!$B$4:$B$803,"INGRESO")+SUMIFS(MOVIMIENTOS_COMPLEMENTOS!$I$4:$I$803,MOVIMIENTOS_COMPLEMENTOS!$C$4:$C$803,A2464,MOVIMIENTOS_COMPLEMENTOS!$D$4:$D$803,B2464,MOVIMIENTOS_COMPLEMENTOS!$E$4:$E$803,C2464,MOVIMIENTOS_COMPLEMENTOS!$F$4:$F$803,D2464,MOVIMIENTOS_COMPLEMENTOS!$G$4:$G$803,E2464,MOVIMIENTOS_COMPLEMENTOS!$H$4:$H$803,G2464,MOVIMIENTOS_COMPLEMENTOS!$B$4:$B$803,"DE CORTE")-SUMIFS(MOVIMIENTOS_COMPLEMENTOS!$I$4:$I$803,MOVIMIENTOS_COMPLEMENTOS!$C$4:$C$803,A2464,MOVIMIENTOS_COMPLEMENTOS!$D$4:$D$803,B2464,MOVIMIENTOS_COMPLEMENTOS!$E$4:$E$803,C2464,MOVIMIENTOS_COMPLEMENTOS!$F$4:$F$803,D2464,MOVIMIENTOS_COMPLEMENTOS!$G$4:$G$803,E2464,MOVIMIENTOS_COMPLEMENTOS!$H$4:$H$803,G2464,MOVIMIENTOS_COMPLEMENTOS!$B$4:$B$803,"SALIDA"),0)</f>
        <v>0</v>
      </c>
      <c r="I2464" s="102">
        <f t="array" ref="I2464">IFERROR(INDEX(PRECIOS_COMPLEMENTOS!$C$4:$F$17,MATCH(B2464&amp;"_"&amp;C2464,PRECIOS_COMPLEMENTOS!$H$4:$H$17,0),IF(OR(G2464="S",G2464="20cm"),1,IF(OR(G2464="M",G2464="25cm"),2,IF(OR(G2464="L",G2464="30cm"),3,IF(OR(G2464="XL",G2464="35cm"),4,0))))),0)</f>
        <v>0.6</v>
      </c>
      <c r="J2464" s="103">
        <f t="shared" si="1"/>
        <v>0</v>
      </c>
      <c r="K2464" s="104" t="str">
        <f>IF(H2464&lt;0,"ERROR",IF(H2464=0,"",IF(H2464&lt;CONFIG!$B$4,"CRÍTICO",IF(H2464&lt;CONFIG!$B$5,"BAJO","OK"))))</f>
        <v/>
      </c>
    </row>
    <row r="2465" ht="15.75" hidden="1" customHeight="1">
      <c r="A2465" s="90" t="str">
        <f>IF(CLIENTES!A7="","",CLIENTES!A7)</f>
        <v/>
      </c>
      <c r="B2465" s="90" t="s">
        <v>331</v>
      </c>
      <c r="C2465" s="91" t="s">
        <v>328</v>
      </c>
      <c r="D2465" s="109" t="s">
        <v>364</v>
      </c>
      <c r="E2465" s="67" t="str">
        <f>COLORES!A19</f>
        <v/>
      </c>
      <c r="F2465" s="67" t="str">
        <f>COLORES!B19</f>
        <v/>
      </c>
      <c r="G2465" s="90" t="s">
        <v>376</v>
      </c>
      <c r="H2465" s="100">
        <f>IFERROR(SUMIFS(MOVIMIENTOS_COMPLEMENTOS!$I$4:$I$803,MOVIMIENTOS_COMPLEMENTOS!$C$4:$C$803,A2465,MOVIMIENTOS_COMPLEMENTOS!$D$4:$D$803,B2465,MOVIMIENTOS_COMPLEMENTOS!$E$4:$E$803,C2465,MOVIMIENTOS_COMPLEMENTOS!$F$4:$F$803,D2465,MOVIMIENTOS_COMPLEMENTOS!$G$4:$G$803,E2465,MOVIMIENTOS_COMPLEMENTOS!$H$4:$H$803,G2465,MOVIMIENTOS_COMPLEMENTOS!$B$4:$B$803,"INGRESO")+SUMIFS(MOVIMIENTOS_COMPLEMENTOS!$I$4:$I$803,MOVIMIENTOS_COMPLEMENTOS!$C$4:$C$803,A2465,MOVIMIENTOS_COMPLEMENTOS!$D$4:$D$803,B2465,MOVIMIENTOS_COMPLEMENTOS!$E$4:$E$803,C2465,MOVIMIENTOS_COMPLEMENTOS!$F$4:$F$803,D2465,MOVIMIENTOS_COMPLEMENTOS!$G$4:$G$803,E2465,MOVIMIENTOS_COMPLEMENTOS!$H$4:$H$803,G2465,MOVIMIENTOS_COMPLEMENTOS!$B$4:$B$803,"DE CORTE")-SUMIFS(MOVIMIENTOS_COMPLEMENTOS!$I$4:$I$803,MOVIMIENTOS_COMPLEMENTOS!$C$4:$C$803,A2465,MOVIMIENTOS_COMPLEMENTOS!$D$4:$D$803,B2465,MOVIMIENTOS_COMPLEMENTOS!$E$4:$E$803,C2465,MOVIMIENTOS_COMPLEMENTOS!$F$4:$F$803,D2465,MOVIMIENTOS_COMPLEMENTOS!$G$4:$G$803,E2465,MOVIMIENTOS_COMPLEMENTOS!$H$4:$H$803,G2465,MOVIMIENTOS_COMPLEMENTOS!$B$4:$B$803,"SALIDA"),0)</f>
        <v>0</v>
      </c>
      <c r="I2465" s="102">
        <f t="array" ref="I2465">IFERROR(INDEX(PRECIOS_COMPLEMENTOS!$C$4:$F$17,MATCH(B2465&amp;"_"&amp;C2465,PRECIOS_COMPLEMENTOS!$H$4:$H$17,0),IF(OR(G2465="S",G2465="20cm"),1,IF(OR(G2465="M",G2465="25cm"),2,IF(OR(G2465="L",G2465="30cm"),3,IF(OR(G2465="XL",G2465="35cm"),4,0))))),0)</f>
        <v>0.6</v>
      </c>
      <c r="J2465" s="103">
        <f t="shared" si="1"/>
        <v>0</v>
      </c>
      <c r="K2465" s="104" t="str">
        <f>IF(H2465&lt;0,"ERROR",IF(H2465=0,"",IF(H2465&lt;CONFIG!$B$4,"CRÍTICO",IF(H2465&lt;CONFIG!$B$5,"BAJO","OK"))))</f>
        <v/>
      </c>
    </row>
    <row r="2466" ht="15.75" hidden="1" customHeight="1">
      <c r="A2466" s="90" t="str">
        <f>IF(CLIENTES!A7="","",CLIENTES!A7)</f>
        <v/>
      </c>
      <c r="B2466" s="90" t="s">
        <v>331</v>
      </c>
      <c r="C2466" s="91" t="s">
        <v>328</v>
      </c>
      <c r="D2466" s="109" t="s">
        <v>364</v>
      </c>
      <c r="E2466" s="67" t="str">
        <f>COLORES!A19</f>
        <v/>
      </c>
      <c r="F2466" s="67" t="str">
        <f>COLORES!B19</f>
        <v/>
      </c>
      <c r="G2466" s="90" t="s">
        <v>377</v>
      </c>
      <c r="H2466" s="100">
        <f>IFERROR(SUMIFS(MOVIMIENTOS_COMPLEMENTOS!$I$4:$I$803,MOVIMIENTOS_COMPLEMENTOS!$C$4:$C$803,A2466,MOVIMIENTOS_COMPLEMENTOS!$D$4:$D$803,B2466,MOVIMIENTOS_COMPLEMENTOS!$E$4:$E$803,C2466,MOVIMIENTOS_COMPLEMENTOS!$F$4:$F$803,D2466,MOVIMIENTOS_COMPLEMENTOS!$G$4:$G$803,E2466,MOVIMIENTOS_COMPLEMENTOS!$H$4:$H$803,G2466,MOVIMIENTOS_COMPLEMENTOS!$B$4:$B$803,"INGRESO")+SUMIFS(MOVIMIENTOS_COMPLEMENTOS!$I$4:$I$803,MOVIMIENTOS_COMPLEMENTOS!$C$4:$C$803,A2466,MOVIMIENTOS_COMPLEMENTOS!$D$4:$D$803,B2466,MOVIMIENTOS_COMPLEMENTOS!$E$4:$E$803,C2466,MOVIMIENTOS_COMPLEMENTOS!$F$4:$F$803,D2466,MOVIMIENTOS_COMPLEMENTOS!$G$4:$G$803,E2466,MOVIMIENTOS_COMPLEMENTOS!$H$4:$H$803,G2466,MOVIMIENTOS_COMPLEMENTOS!$B$4:$B$803,"DE CORTE")-SUMIFS(MOVIMIENTOS_COMPLEMENTOS!$I$4:$I$803,MOVIMIENTOS_COMPLEMENTOS!$C$4:$C$803,A2466,MOVIMIENTOS_COMPLEMENTOS!$D$4:$D$803,B2466,MOVIMIENTOS_COMPLEMENTOS!$E$4:$E$803,C2466,MOVIMIENTOS_COMPLEMENTOS!$F$4:$F$803,D2466,MOVIMIENTOS_COMPLEMENTOS!$G$4:$G$803,E2466,MOVIMIENTOS_COMPLEMENTOS!$H$4:$H$803,G2466,MOVIMIENTOS_COMPLEMENTOS!$B$4:$B$803,"SALIDA"),0)</f>
        <v>0</v>
      </c>
      <c r="I2466" s="102">
        <f t="array" ref="I2466">IFERROR(INDEX(PRECIOS_COMPLEMENTOS!$C$4:$F$17,MATCH(B2466&amp;"_"&amp;C2466,PRECIOS_COMPLEMENTOS!$H$4:$H$17,0),IF(OR(G2466="S",G2466="20cm"),1,IF(OR(G2466="M",G2466="25cm"),2,IF(OR(G2466="L",G2466="30cm"),3,IF(OR(G2466="XL",G2466="35cm"),4,0))))),0)</f>
        <v>0.6</v>
      </c>
      <c r="J2466" s="103">
        <f t="shared" si="1"/>
        <v>0</v>
      </c>
      <c r="K2466" s="104" t="str">
        <f>IF(H2466&lt;0,"ERROR",IF(H2466=0,"",IF(H2466&lt;CONFIG!$B$4,"CRÍTICO",IF(H2466&lt;CONFIG!$B$5,"BAJO","OK"))))</f>
        <v/>
      </c>
    </row>
    <row r="2467" ht="15.75" hidden="1" customHeight="1">
      <c r="A2467" s="90" t="str">
        <f>IF(CLIENTES!A7="","",CLIENTES!A7)</f>
        <v/>
      </c>
      <c r="B2467" s="90" t="s">
        <v>331</v>
      </c>
      <c r="C2467" s="91" t="s">
        <v>328</v>
      </c>
      <c r="D2467" s="109" t="s">
        <v>364</v>
      </c>
      <c r="E2467" s="67" t="str">
        <f>COLORES!A19</f>
        <v/>
      </c>
      <c r="F2467" s="67" t="str">
        <f>COLORES!B19</f>
        <v/>
      </c>
      <c r="G2467" s="90" t="s">
        <v>379</v>
      </c>
      <c r="H2467" s="100">
        <f>IFERROR(SUMIFS(MOVIMIENTOS_COMPLEMENTOS!$I$4:$I$803,MOVIMIENTOS_COMPLEMENTOS!$C$4:$C$803,A2467,MOVIMIENTOS_COMPLEMENTOS!$D$4:$D$803,B2467,MOVIMIENTOS_COMPLEMENTOS!$E$4:$E$803,C2467,MOVIMIENTOS_COMPLEMENTOS!$F$4:$F$803,D2467,MOVIMIENTOS_COMPLEMENTOS!$G$4:$G$803,E2467,MOVIMIENTOS_COMPLEMENTOS!$H$4:$H$803,G2467,MOVIMIENTOS_COMPLEMENTOS!$B$4:$B$803,"INGRESO")+SUMIFS(MOVIMIENTOS_COMPLEMENTOS!$I$4:$I$803,MOVIMIENTOS_COMPLEMENTOS!$C$4:$C$803,A2467,MOVIMIENTOS_COMPLEMENTOS!$D$4:$D$803,B2467,MOVIMIENTOS_COMPLEMENTOS!$E$4:$E$803,C2467,MOVIMIENTOS_COMPLEMENTOS!$F$4:$F$803,D2467,MOVIMIENTOS_COMPLEMENTOS!$G$4:$G$803,E2467,MOVIMIENTOS_COMPLEMENTOS!$H$4:$H$803,G2467,MOVIMIENTOS_COMPLEMENTOS!$B$4:$B$803,"DE CORTE")-SUMIFS(MOVIMIENTOS_COMPLEMENTOS!$I$4:$I$803,MOVIMIENTOS_COMPLEMENTOS!$C$4:$C$803,A2467,MOVIMIENTOS_COMPLEMENTOS!$D$4:$D$803,B2467,MOVIMIENTOS_COMPLEMENTOS!$E$4:$E$803,C2467,MOVIMIENTOS_COMPLEMENTOS!$F$4:$F$803,D2467,MOVIMIENTOS_COMPLEMENTOS!$G$4:$G$803,E2467,MOVIMIENTOS_COMPLEMENTOS!$H$4:$H$803,G2467,MOVIMIENTOS_COMPLEMENTOS!$B$4:$B$803,"SALIDA"),0)</f>
        <v>0</v>
      </c>
      <c r="I2467" s="102">
        <f t="array" ref="I2467">IFERROR(INDEX(PRECIOS_COMPLEMENTOS!$C$4:$F$17,MATCH(B2467&amp;"_"&amp;C2467,PRECIOS_COMPLEMENTOS!$H$4:$H$17,0),IF(OR(G2467="S",G2467="20cm"),1,IF(OR(G2467="M",G2467="25cm"),2,IF(OR(G2467="L",G2467="30cm"),3,IF(OR(G2467="XL",G2467="35cm"),4,0))))),0)</f>
        <v>0.6</v>
      </c>
      <c r="J2467" s="103">
        <f t="shared" si="1"/>
        <v>0</v>
      </c>
      <c r="K2467" s="104" t="str">
        <f>IF(H2467&lt;0,"ERROR",IF(H2467=0,"",IF(H2467&lt;CONFIG!$B$4,"CRÍTICO",IF(H2467&lt;CONFIG!$B$5,"BAJO","OK"))))</f>
        <v/>
      </c>
    </row>
    <row r="2468" ht="15.75" hidden="1" customHeight="1">
      <c r="A2468" s="90" t="str">
        <f>IF(CLIENTES!A7="","",CLIENTES!A7)</f>
        <v/>
      </c>
      <c r="B2468" s="90" t="s">
        <v>331</v>
      </c>
      <c r="C2468" s="91" t="s">
        <v>328</v>
      </c>
      <c r="D2468" s="109" t="s">
        <v>364</v>
      </c>
      <c r="E2468" s="67" t="str">
        <f>COLORES!A20</f>
        <v/>
      </c>
      <c r="F2468" s="67" t="str">
        <f>COLORES!B20</f>
        <v/>
      </c>
      <c r="G2468" s="90" t="s">
        <v>378</v>
      </c>
      <c r="H2468" s="100">
        <f>IFERROR(SUMIFS(MOVIMIENTOS_COMPLEMENTOS!$I$4:$I$803,MOVIMIENTOS_COMPLEMENTOS!$C$4:$C$803,A2468,MOVIMIENTOS_COMPLEMENTOS!$D$4:$D$803,B2468,MOVIMIENTOS_COMPLEMENTOS!$E$4:$E$803,C2468,MOVIMIENTOS_COMPLEMENTOS!$F$4:$F$803,D2468,MOVIMIENTOS_COMPLEMENTOS!$G$4:$G$803,E2468,MOVIMIENTOS_COMPLEMENTOS!$H$4:$H$803,G2468,MOVIMIENTOS_COMPLEMENTOS!$B$4:$B$803,"INGRESO")+SUMIFS(MOVIMIENTOS_COMPLEMENTOS!$I$4:$I$803,MOVIMIENTOS_COMPLEMENTOS!$C$4:$C$803,A2468,MOVIMIENTOS_COMPLEMENTOS!$D$4:$D$803,B2468,MOVIMIENTOS_COMPLEMENTOS!$E$4:$E$803,C2468,MOVIMIENTOS_COMPLEMENTOS!$F$4:$F$803,D2468,MOVIMIENTOS_COMPLEMENTOS!$G$4:$G$803,E2468,MOVIMIENTOS_COMPLEMENTOS!$H$4:$H$803,G2468,MOVIMIENTOS_COMPLEMENTOS!$B$4:$B$803,"DE CORTE")-SUMIFS(MOVIMIENTOS_COMPLEMENTOS!$I$4:$I$803,MOVIMIENTOS_COMPLEMENTOS!$C$4:$C$803,A2468,MOVIMIENTOS_COMPLEMENTOS!$D$4:$D$803,B2468,MOVIMIENTOS_COMPLEMENTOS!$E$4:$E$803,C2468,MOVIMIENTOS_COMPLEMENTOS!$F$4:$F$803,D2468,MOVIMIENTOS_COMPLEMENTOS!$G$4:$G$803,E2468,MOVIMIENTOS_COMPLEMENTOS!$H$4:$H$803,G2468,MOVIMIENTOS_COMPLEMENTOS!$B$4:$B$803,"SALIDA"),0)</f>
        <v>0</v>
      </c>
      <c r="I2468" s="102">
        <f t="array" ref="I2468">IFERROR(INDEX(PRECIOS_COMPLEMENTOS!$C$4:$F$17,MATCH(B2468&amp;"_"&amp;C2468,PRECIOS_COMPLEMENTOS!$H$4:$H$17,0),IF(OR(G2468="S",G2468="20cm"),1,IF(OR(G2468="M",G2468="25cm"),2,IF(OR(G2468="L",G2468="30cm"),3,IF(OR(G2468="XL",G2468="35cm"),4,0))))),0)</f>
        <v>0.6</v>
      </c>
      <c r="J2468" s="103">
        <f t="shared" si="1"/>
        <v>0</v>
      </c>
      <c r="K2468" s="104" t="str">
        <f>IF(H2468&lt;0,"ERROR",IF(H2468=0,"",IF(H2468&lt;CONFIG!$B$4,"CRÍTICO",IF(H2468&lt;CONFIG!$B$5,"BAJO","OK"))))</f>
        <v/>
      </c>
    </row>
    <row r="2469" ht="15.75" hidden="1" customHeight="1">
      <c r="A2469" s="90" t="str">
        <f>IF(CLIENTES!A7="","",CLIENTES!A7)</f>
        <v/>
      </c>
      <c r="B2469" s="90" t="s">
        <v>331</v>
      </c>
      <c r="C2469" s="91" t="s">
        <v>328</v>
      </c>
      <c r="D2469" s="109" t="s">
        <v>364</v>
      </c>
      <c r="E2469" s="67" t="str">
        <f>COLORES!A20</f>
        <v/>
      </c>
      <c r="F2469" s="67" t="str">
        <f>COLORES!B20</f>
        <v/>
      </c>
      <c r="G2469" s="90" t="s">
        <v>376</v>
      </c>
      <c r="H2469" s="100">
        <f>IFERROR(SUMIFS(MOVIMIENTOS_COMPLEMENTOS!$I$4:$I$803,MOVIMIENTOS_COMPLEMENTOS!$C$4:$C$803,A2469,MOVIMIENTOS_COMPLEMENTOS!$D$4:$D$803,B2469,MOVIMIENTOS_COMPLEMENTOS!$E$4:$E$803,C2469,MOVIMIENTOS_COMPLEMENTOS!$F$4:$F$803,D2469,MOVIMIENTOS_COMPLEMENTOS!$G$4:$G$803,E2469,MOVIMIENTOS_COMPLEMENTOS!$H$4:$H$803,G2469,MOVIMIENTOS_COMPLEMENTOS!$B$4:$B$803,"INGRESO")+SUMIFS(MOVIMIENTOS_COMPLEMENTOS!$I$4:$I$803,MOVIMIENTOS_COMPLEMENTOS!$C$4:$C$803,A2469,MOVIMIENTOS_COMPLEMENTOS!$D$4:$D$803,B2469,MOVIMIENTOS_COMPLEMENTOS!$E$4:$E$803,C2469,MOVIMIENTOS_COMPLEMENTOS!$F$4:$F$803,D2469,MOVIMIENTOS_COMPLEMENTOS!$G$4:$G$803,E2469,MOVIMIENTOS_COMPLEMENTOS!$H$4:$H$803,G2469,MOVIMIENTOS_COMPLEMENTOS!$B$4:$B$803,"DE CORTE")-SUMIFS(MOVIMIENTOS_COMPLEMENTOS!$I$4:$I$803,MOVIMIENTOS_COMPLEMENTOS!$C$4:$C$803,A2469,MOVIMIENTOS_COMPLEMENTOS!$D$4:$D$803,B2469,MOVIMIENTOS_COMPLEMENTOS!$E$4:$E$803,C2469,MOVIMIENTOS_COMPLEMENTOS!$F$4:$F$803,D2469,MOVIMIENTOS_COMPLEMENTOS!$G$4:$G$803,E2469,MOVIMIENTOS_COMPLEMENTOS!$H$4:$H$803,G2469,MOVIMIENTOS_COMPLEMENTOS!$B$4:$B$803,"SALIDA"),0)</f>
        <v>0</v>
      </c>
      <c r="I2469" s="102">
        <f t="array" ref="I2469">IFERROR(INDEX(PRECIOS_COMPLEMENTOS!$C$4:$F$17,MATCH(B2469&amp;"_"&amp;C2469,PRECIOS_COMPLEMENTOS!$H$4:$H$17,0),IF(OR(G2469="S",G2469="20cm"),1,IF(OR(G2469="M",G2469="25cm"),2,IF(OR(G2469="L",G2469="30cm"),3,IF(OR(G2469="XL",G2469="35cm"),4,0))))),0)</f>
        <v>0.6</v>
      </c>
      <c r="J2469" s="103">
        <f t="shared" si="1"/>
        <v>0</v>
      </c>
      <c r="K2469" s="104" t="str">
        <f>IF(H2469&lt;0,"ERROR",IF(H2469=0,"",IF(H2469&lt;CONFIG!$B$4,"CRÍTICO",IF(H2469&lt;CONFIG!$B$5,"BAJO","OK"))))</f>
        <v/>
      </c>
    </row>
    <row r="2470" ht="15.75" hidden="1" customHeight="1">
      <c r="A2470" s="90" t="str">
        <f>IF(CLIENTES!A7="","",CLIENTES!A7)</f>
        <v/>
      </c>
      <c r="B2470" s="90" t="s">
        <v>331</v>
      </c>
      <c r="C2470" s="91" t="s">
        <v>328</v>
      </c>
      <c r="D2470" s="109" t="s">
        <v>364</v>
      </c>
      <c r="E2470" s="67" t="str">
        <f>COLORES!A20</f>
        <v/>
      </c>
      <c r="F2470" s="67" t="str">
        <f>COLORES!B20</f>
        <v/>
      </c>
      <c r="G2470" s="90" t="s">
        <v>377</v>
      </c>
      <c r="H2470" s="100">
        <f>IFERROR(SUMIFS(MOVIMIENTOS_COMPLEMENTOS!$I$4:$I$803,MOVIMIENTOS_COMPLEMENTOS!$C$4:$C$803,A2470,MOVIMIENTOS_COMPLEMENTOS!$D$4:$D$803,B2470,MOVIMIENTOS_COMPLEMENTOS!$E$4:$E$803,C2470,MOVIMIENTOS_COMPLEMENTOS!$F$4:$F$803,D2470,MOVIMIENTOS_COMPLEMENTOS!$G$4:$G$803,E2470,MOVIMIENTOS_COMPLEMENTOS!$H$4:$H$803,G2470,MOVIMIENTOS_COMPLEMENTOS!$B$4:$B$803,"INGRESO")+SUMIFS(MOVIMIENTOS_COMPLEMENTOS!$I$4:$I$803,MOVIMIENTOS_COMPLEMENTOS!$C$4:$C$803,A2470,MOVIMIENTOS_COMPLEMENTOS!$D$4:$D$803,B2470,MOVIMIENTOS_COMPLEMENTOS!$E$4:$E$803,C2470,MOVIMIENTOS_COMPLEMENTOS!$F$4:$F$803,D2470,MOVIMIENTOS_COMPLEMENTOS!$G$4:$G$803,E2470,MOVIMIENTOS_COMPLEMENTOS!$H$4:$H$803,G2470,MOVIMIENTOS_COMPLEMENTOS!$B$4:$B$803,"DE CORTE")-SUMIFS(MOVIMIENTOS_COMPLEMENTOS!$I$4:$I$803,MOVIMIENTOS_COMPLEMENTOS!$C$4:$C$803,A2470,MOVIMIENTOS_COMPLEMENTOS!$D$4:$D$803,B2470,MOVIMIENTOS_COMPLEMENTOS!$E$4:$E$803,C2470,MOVIMIENTOS_COMPLEMENTOS!$F$4:$F$803,D2470,MOVIMIENTOS_COMPLEMENTOS!$G$4:$G$803,E2470,MOVIMIENTOS_COMPLEMENTOS!$H$4:$H$803,G2470,MOVIMIENTOS_COMPLEMENTOS!$B$4:$B$803,"SALIDA"),0)</f>
        <v>0</v>
      </c>
      <c r="I2470" s="102">
        <f t="array" ref="I2470">IFERROR(INDEX(PRECIOS_COMPLEMENTOS!$C$4:$F$17,MATCH(B2470&amp;"_"&amp;C2470,PRECIOS_COMPLEMENTOS!$H$4:$H$17,0),IF(OR(G2470="S",G2470="20cm"),1,IF(OR(G2470="M",G2470="25cm"),2,IF(OR(G2470="L",G2470="30cm"),3,IF(OR(G2470="XL",G2470="35cm"),4,0))))),0)</f>
        <v>0.6</v>
      </c>
      <c r="J2470" s="103">
        <f t="shared" si="1"/>
        <v>0</v>
      </c>
      <c r="K2470" s="104" t="str">
        <f>IF(H2470&lt;0,"ERROR",IF(H2470=0,"",IF(H2470&lt;CONFIG!$B$4,"CRÍTICO",IF(H2470&lt;CONFIG!$B$5,"BAJO","OK"))))</f>
        <v/>
      </c>
    </row>
    <row r="2471" ht="15.75" hidden="1" customHeight="1">
      <c r="A2471" s="90" t="str">
        <f>IF(CLIENTES!A7="","",CLIENTES!A7)</f>
        <v/>
      </c>
      <c r="B2471" s="90" t="s">
        <v>331</v>
      </c>
      <c r="C2471" s="91" t="s">
        <v>328</v>
      </c>
      <c r="D2471" s="109" t="s">
        <v>364</v>
      </c>
      <c r="E2471" s="67" t="str">
        <f>COLORES!A20</f>
        <v/>
      </c>
      <c r="F2471" s="67" t="str">
        <f>COLORES!B20</f>
        <v/>
      </c>
      <c r="G2471" s="90" t="s">
        <v>379</v>
      </c>
      <c r="H2471" s="100">
        <f>IFERROR(SUMIFS(MOVIMIENTOS_COMPLEMENTOS!$I$4:$I$803,MOVIMIENTOS_COMPLEMENTOS!$C$4:$C$803,A2471,MOVIMIENTOS_COMPLEMENTOS!$D$4:$D$803,B2471,MOVIMIENTOS_COMPLEMENTOS!$E$4:$E$803,C2471,MOVIMIENTOS_COMPLEMENTOS!$F$4:$F$803,D2471,MOVIMIENTOS_COMPLEMENTOS!$G$4:$G$803,E2471,MOVIMIENTOS_COMPLEMENTOS!$H$4:$H$803,G2471,MOVIMIENTOS_COMPLEMENTOS!$B$4:$B$803,"INGRESO")+SUMIFS(MOVIMIENTOS_COMPLEMENTOS!$I$4:$I$803,MOVIMIENTOS_COMPLEMENTOS!$C$4:$C$803,A2471,MOVIMIENTOS_COMPLEMENTOS!$D$4:$D$803,B2471,MOVIMIENTOS_COMPLEMENTOS!$E$4:$E$803,C2471,MOVIMIENTOS_COMPLEMENTOS!$F$4:$F$803,D2471,MOVIMIENTOS_COMPLEMENTOS!$G$4:$G$803,E2471,MOVIMIENTOS_COMPLEMENTOS!$H$4:$H$803,G2471,MOVIMIENTOS_COMPLEMENTOS!$B$4:$B$803,"DE CORTE")-SUMIFS(MOVIMIENTOS_COMPLEMENTOS!$I$4:$I$803,MOVIMIENTOS_COMPLEMENTOS!$C$4:$C$803,A2471,MOVIMIENTOS_COMPLEMENTOS!$D$4:$D$803,B2471,MOVIMIENTOS_COMPLEMENTOS!$E$4:$E$803,C2471,MOVIMIENTOS_COMPLEMENTOS!$F$4:$F$803,D2471,MOVIMIENTOS_COMPLEMENTOS!$G$4:$G$803,E2471,MOVIMIENTOS_COMPLEMENTOS!$H$4:$H$803,G2471,MOVIMIENTOS_COMPLEMENTOS!$B$4:$B$803,"SALIDA"),0)</f>
        <v>0</v>
      </c>
      <c r="I2471" s="102">
        <f t="array" ref="I2471">IFERROR(INDEX(PRECIOS_COMPLEMENTOS!$C$4:$F$17,MATCH(B2471&amp;"_"&amp;C2471,PRECIOS_COMPLEMENTOS!$H$4:$H$17,0),IF(OR(G2471="S",G2471="20cm"),1,IF(OR(G2471="M",G2471="25cm"),2,IF(OR(G2471="L",G2471="30cm"),3,IF(OR(G2471="XL",G2471="35cm"),4,0))))),0)</f>
        <v>0.6</v>
      </c>
      <c r="J2471" s="103">
        <f t="shared" si="1"/>
        <v>0</v>
      </c>
      <c r="K2471" s="104" t="str">
        <f>IF(H2471&lt;0,"ERROR",IF(H2471=0,"",IF(H2471&lt;CONFIG!$B$4,"CRÍTICO",IF(H2471&lt;CONFIG!$B$5,"BAJO","OK"))))</f>
        <v/>
      </c>
    </row>
    <row r="2472" ht="15.75" hidden="1" customHeight="1">
      <c r="A2472" s="90" t="str">
        <f>IF(CLIENTES!A7="","",CLIENTES!A7)</f>
        <v/>
      </c>
      <c r="B2472" s="90" t="s">
        <v>331</v>
      </c>
      <c r="C2472" s="91" t="s">
        <v>328</v>
      </c>
      <c r="D2472" s="109" t="s">
        <v>364</v>
      </c>
      <c r="E2472" s="67" t="str">
        <f>COLORES!A21</f>
        <v/>
      </c>
      <c r="F2472" s="67" t="str">
        <f>COLORES!B21</f>
        <v/>
      </c>
      <c r="G2472" s="90" t="s">
        <v>378</v>
      </c>
      <c r="H2472" s="100">
        <f>IFERROR(SUMIFS(MOVIMIENTOS_COMPLEMENTOS!$I$4:$I$803,MOVIMIENTOS_COMPLEMENTOS!$C$4:$C$803,A2472,MOVIMIENTOS_COMPLEMENTOS!$D$4:$D$803,B2472,MOVIMIENTOS_COMPLEMENTOS!$E$4:$E$803,C2472,MOVIMIENTOS_COMPLEMENTOS!$F$4:$F$803,D2472,MOVIMIENTOS_COMPLEMENTOS!$G$4:$G$803,E2472,MOVIMIENTOS_COMPLEMENTOS!$H$4:$H$803,G2472,MOVIMIENTOS_COMPLEMENTOS!$B$4:$B$803,"INGRESO")+SUMIFS(MOVIMIENTOS_COMPLEMENTOS!$I$4:$I$803,MOVIMIENTOS_COMPLEMENTOS!$C$4:$C$803,A2472,MOVIMIENTOS_COMPLEMENTOS!$D$4:$D$803,B2472,MOVIMIENTOS_COMPLEMENTOS!$E$4:$E$803,C2472,MOVIMIENTOS_COMPLEMENTOS!$F$4:$F$803,D2472,MOVIMIENTOS_COMPLEMENTOS!$G$4:$G$803,E2472,MOVIMIENTOS_COMPLEMENTOS!$H$4:$H$803,G2472,MOVIMIENTOS_COMPLEMENTOS!$B$4:$B$803,"DE CORTE")-SUMIFS(MOVIMIENTOS_COMPLEMENTOS!$I$4:$I$803,MOVIMIENTOS_COMPLEMENTOS!$C$4:$C$803,A2472,MOVIMIENTOS_COMPLEMENTOS!$D$4:$D$803,B2472,MOVIMIENTOS_COMPLEMENTOS!$E$4:$E$803,C2472,MOVIMIENTOS_COMPLEMENTOS!$F$4:$F$803,D2472,MOVIMIENTOS_COMPLEMENTOS!$G$4:$G$803,E2472,MOVIMIENTOS_COMPLEMENTOS!$H$4:$H$803,G2472,MOVIMIENTOS_COMPLEMENTOS!$B$4:$B$803,"SALIDA"),0)</f>
        <v>0</v>
      </c>
      <c r="I2472" s="102">
        <f t="array" ref="I2472">IFERROR(INDEX(PRECIOS_COMPLEMENTOS!$C$4:$F$17,MATCH(B2472&amp;"_"&amp;C2472,PRECIOS_COMPLEMENTOS!$H$4:$H$17,0),IF(OR(G2472="S",G2472="20cm"),1,IF(OR(G2472="M",G2472="25cm"),2,IF(OR(G2472="L",G2472="30cm"),3,IF(OR(G2472="XL",G2472="35cm"),4,0))))),0)</f>
        <v>0.6</v>
      </c>
      <c r="J2472" s="103">
        <f t="shared" si="1"/>
        <v>0</v>
      </c>
      <c r="K2472" s="104" t="str">
        <f>IF(H2472&lt;0,"ERROR",IF(H2472=0,"",IF(H2472&lt;CONFIG!$B$4,"CRÍTICO",IF(H2472&lt;CONFIG!$B$5,"BAJO","OK"))))</f>
        <v/>
      </c>
    </row>
    <row r="2473" ht="15.75" hidden="1" customHeight="1">
      <c r="A2473" s="90" t="str">
        <f>IF(CLIENTES!A7="","",CLIENTES!A7)</f>
        <v/>
      </c>
      <c r="B2473" s="90" t="s">
        <v>331</v>
      </c>
      <c r="C2473" s="91" t="s">
        <v>328</v>
      </c>
      <c r="D2473" s="109" t="s">
        <v>364</v>
      </c>
      <c r="E2473" s="67" t="str">
        <f>COLORES!A21</f>
        <v/>
      </c>
      <c r="F2473" s="67" t="str">
        <f>COLORES!B21</f>
        <v/>
      </c>
      <c r="G2473" s="90" t="s">
        <v>376</v>
      </c>
      <c r="H2473" s="100">
        <f>IFERROR(SUMIFS(MOVIMIENTOS_COMPLEMENTOS!$I$4:$I$803,MOVIMIENTOS_COMPLEMENTOS!$C$4:$C$803,A2473,MOVIMIENTOS_COMPLEMENTOS!$D$4:$D$803,B2473,MOVIMIENTOS_COMPLEMENTOS!$E$4:$E$803,C2473,MOVIMIENTOS_COMPLEMENTOS!$F$4:$F$803,D2473,MOVIMIENTOS_COMPLEMENTOS!$G$4:$G$803,E2473,MOVIMIENTOS_COMPLEMENTOS!$H$4:$H$803,G2473,MOVIMIENTOS_COMPLEMENTOS!$B$4:$B$803,"INGRESO")+SUMIFS(MOVIMIENTOS_COMPLEMENTOS!$I$4:$I$803,MOVIMIENTOS_COMPLEMENTOS!$C$4:$C$803,A2473,MOVIMIENTOS_COMPLEMENTOS!$D$4:$D$803,B2473,MOVIMIENTOS_COMPLEMENTOS!$E$4:$E$803,C2473,MOVIMIENTOS_COMPLEMENTOS!$F$4:$F$803,D2473,MOVIMIENTOS_COMPLEMENTOS!$G$4:$G$803,E2473,MOVIMIENTOS_COMPLEMENTOS!$H$4:$H$803,G2473,MOVIMIENTOS_COMPLEMENTOS!$B$4:$B$803,"DE CORTE")-SUMIFS(MOVIMIENTOS_COMPLEMENTOS!$I$4:$I$803,MOVIMIENTOS_COMPLEMENTOS!$C$4:$C$803,A2473,MOVIMIENTOS_COMPLEMENTOS!$D$4:$D$803,B2473,MOVIMIENTOS_COMPLEMENTOS!$E$4:$E$803,C2473,MOVIMIENTOS_COMPLEMENTOS!$F$4:$F$803,D2473,MOVIMIENTOS_COMPLEMENTOS!$G$4:$G$803,E2473,MOVIMIENTOS_COMPLEMENTOS!$H$4:$H$803,G2473,MOVIMIENTOS_COMPLEMENTOS!$B$4:$B$803,"SALIDA"),0)</f>
        <v>0</v>
      </c>
      <c r="I2473" s="102">
        <f t="array" ref="I2473">IFERROR(INDEX(PRECIOS_COMPLEMENTOS!$C$4:$F$17,MATCH(B2473&amp;"_"&amp;C2473,PRECIOS_COMPLEMENTOS!$H$4:$H$17,0),IF(OR(G2473="S",G2473="20cm"),1,IF(OR(G2473="M",G2473="25cm"),2,IF(OR(G2473="L",G2473="30cm"),3,IF(OR(G2473="XL",G2473="35cm"),4,0))))),0)</f>
        <v>0.6</v>
      </c>
      <c r="J2473" s="103">
        <f t="shared" si="1"/>
        <v>0</v>
      </c>
      <c r="K2473" s="104" t="str">
        <f>IF(H2473&lt;0,"ERROR",IF(H2473=0,"",IF(H2473&lt;CONFIG!$B$4,"CRÍTICO",IF(H2473&lt;CONFIG!$B$5,"BAJO","OK"))))</f>
        <v/>
      </c>
    </row>
    <row r="2474" ht="15.75" hidden="1" customHeight="1">
      <c r="A2474" s="90" t="str">
        <f>IF(CLIENTES!A7="","",CLIENTES!A7)</f>
        <v/>
      </c>
      <c r="B2474" s="90" t="s">
        <v>331</v>
      </c>
      <c r="C2474" s="91" t="s">
        <v>328</v>
      </c>
      <c r="D2474" s="109" t="s">
        <v>364</v>
      </c>
      <c r="E2474" s="67" t="str">
        <f>COLORES!A21</f>
        <v/>
      </c>
      <c r="F2474" s="67" t="str">
        <f>COLORES!B21</f>
        <v/>
      </c>
      <c r="G2474" s="90" t="s">
        <v>377</v>
      </c>
      <c r="H2474" s="100">
        <f>IFERROR(SUMIFS(MOVIMIENTOS_COMPLEMENTOS!$I$4:$I$803,MOVIMIENTOS_COMPLEMENTOS!$C$4:$C$803,A2474,MOVIMIENTOS_COMPLEMENTOS!$D$4:$D$803,B2474,MOVIMIENTOS_COMPLEMENTOS!$E$4:$E$803,C2474,MOVIMIENTOS_COMPLEMENTOS!$F$4:$F$803,D2474,MOVIMIENTOS_COMPLEMENTOS!$G$4:$G$803,E2474,MOVIMIENTOS_COMPLEMENTOS!$H$4:$H$803,G2474,MOVIMIENTOS_COMPLEMENTOS!$B$4:$B$803,"INGRESO")+SUMIFS(MOVIMIENTOS_COMPLEMENTOS!$I$4:$I$803,MOVIMIENTOS_COMPLEMENTOS!$C$4:$C$803,A2474,MOVIMIENTOS_COMPLEMENTOS!$D$4:$D$803,B2474,MOVIMIENTOS_COMPLEMENTOS!$E$4:$E$803,C2474,MOVIMIENTOS_COMPLEMENTOS!$F$4:$F$803,D2474,MOVIMIENTOS_COMPLEMENTOS!$G$4:$G$803,E2474,MOVIMIENTOS_COMPLEMENTOS!$H$4:$H$803,G2474,MOVIMIENTOS_COMPLEMENTOS!$B$4:$B$803,"DE CORTE")-SUMIFS(MOVIMIENTOS_COMPLEMENTOS!$I$4:$I$803,MOVIMIENTOS_COMPLEMENTOS!$C$4:$C$803,A2474,MOVIMIENTOS_COMPLEMENTOS!$D$4:$D$803,B2474,MOVIMIENTOS_COMPLEMENTOS!$E$4:$E$803,C2474,MOVIMIENTOS_COMPLEMENTOS!$F$4:$F$803,D2474,MOVIMIENTOS_COMPLEMENTOS!$G$4:$G$803,E2474,MOVIMIENTOS_COMPLEMENTOS!$H$4:$H$803,G2474,MOVIMIENTOS_COMPLEMENTOS!$B$4:$B$803,"SALIDA"),0)</f>
        <v>0</v>
      </c>
      <c r="I2474" s="102">
        <f t="array" ref="I2474">IFERROR(INDEX(PRECIOS_COMPLEMENTOS!$C$4:$F$17,MATCH(B2474&amp;"_"&amp;C2474,PRECIOS_COMPLEMENTOS!$H$4:$H$17,0),IF(OR(G2474="S",G2474="20cm"),1,IF(OR(G2474="M",G2474="25cm"),2,IF(OR(G2474="L",G2474="30cm"),3,IF(OR(G2474="XL",G2474="35cm"),4,0))))),0)</f>
        <v>0.6</v>
      </c>
      <c r="J2474" s="103">
        <f t="shared" si="1"/>
        <v>0</v>
      </c>
      <c r="K2474" s="104" t="str">
        <f>IF(H2474&lt;0,"ERROR",IF(H2474=0,"",IF(H2474&lt;CONFIG!$B$4,"CRÍTICO",IF(H2474&lt;CONFIG!$B$5,"BAJO","OK"))))</f>
        <v/>
      </c>
    </row>
    <row r="2475" ht="15.75" hidden="1" customHeight="1">
      <c r="A2475" s="90" t="str">
        <f>IF(CLIENTES!A7="","",CLIENTES!A7)</f>
        <v/>
      </c>
      <c r="B2475" s="90" t="s">
        <v>331</v>
      </c>
      <c r="C2475" s="91" t="s">
        <v>328</v>
      </c>
      <c r="D2475" s="109" t="s">
        <v>364</v>
      </c>
      <c r="E2475" s="67" t="str">
        <f>COLORES!A21</f>
        <v/>
      </c>
      <c r="F2475" s="67" t="str">
        <f>COLORES!B21</f>
        <v/>
      </c>
      <c r="G2475" s="90" t="s">
        <v>379</v>
      </c>
      <c r="H2475" s="100">
        <f>IFERROR(SUMIFS(MOVIMIENTOS_COMPLEMENTOS!$I$4:$I$803,MOVIMIENTOS_COMPLEMENTOS!$C$4:$C$803,A2475,MOVIMIENTOS_COMPLEMENTOS!$D$4:$D$803,B2475,MOVIMIENTOS_COMPLEMENTOS!$E$4:$E$803,C2475,MOVIMIENTOS_COMPLEMENTOS!$F$4:$F$803,D2475,MOVIMIENTOS_COMPLEMENTOS!$G$4:$G$803,E2475,MOVIMIENTOS_COMPLEMENTOS!$H$4:$H$803,G2475,MOVIMIENTOS_COMPLEMENTOS!$B$4:$B$803,"INGRESO")+SUMIFS(MOVIMIENTOS_COMPLEMENTOS!$I$4:$I$803,MOVIMIENTOS_COMPLEMENTOS!$C$4:$C$803,A2475,MOVIMIENTOS_COMPLEMENTOS!$D$4:$D$803,B2475,MOVIMIENTOS_COMPLEMENTOS!$E$4:$E$803,C2475,MOVIMIENTOS_COMPLEMENTOS!$F$4:$F$803,D2475,MOVIMIENTOS_COMPLEMENTOS!$G$4:$G$803,E2475,MOVIMIENTOS_COMPLEMENTOS!$H$4:$H$803,G2475,MOVIMIENTOS_COMPLEMENTOS!$B$4:$B$803,"DE CORTE")-SUMIFS(MOVIMIENTOS_COMPLEMENTOS!$I$4:$I$803,MOVIMIENTOS_COMPLEMENTOS!$C$4:$C$803,A2475,MOVIMIENTOS_COMPLEMENTOS!$D$4:$D$803,B2475,MOVIMIENTOS_COMPLEMENTOS!$E$4:$E$803,C2475,MOVIMIENTOS_COMPLEMENTOS!$F$4:$F$803,D2475,MOVIMIENTOS_COMPLEMENTOS!$G$4:$G$803,E2475,MOVIMIENTOS_COMPLEMENTOS!$H$4:$H$803,G2475,MOVIMIENTOS_COMPLEMENTOS!$B$4:$B$803,"SALIDA"),0)</f>
        <v>0</v>
      </c>
      <c r="I2475" s="102">
        <f t="array" ref="I2475">IFERROR(INDEX(PRECIOS_COMPLEMENTOS!$C$4:$F$17,MATCH(B2475&amp;"_"&amp;C2475,PRECIOS_COMPLEMENTOS!$H$4:$H$17,0),IF(OR(G2475="S",G2475="20cm"),1,IF(OR(G2475="M",G2475="25cm"),2,IF(OR(G2475="L",G2475="30cm"),3,IF(OR(G2475="XL",G2475="35cm"),4,0))))),0)</f>
        <v>0.6</v>
      </c>
      <c r="J2475" s="103">
        <f t="shared" si="1"/>
        <v>0</v>
      </c>
      <c r="K2475" s="104" t="str">
        <f>IF(H2475&lt;0,"ERROR",IF(H2475=0,"",IF(H2475&lt;CONFIG!$B$4,"CRÍTICO",IF(H2475&lt;CONFIG!$B$5,"BAJO","OK"))))</f>
        <v/>
      </c>
    </row>
    <row r="2476" ht="15.75" hidden="1" customHeight="1">
      <c r="A2476" s="90" t="str">
        <f>IF(CLIENTES!A7="","",CLIENTES!A7)</f>
        <v/>
      </c>
      <c r="B2476" s="90" t="s">
        <v>331</v>
      </c>
      <c r="C2476" s="91" t="s">
        <v>328</v>
      </c>
      <c r="D2476" s="109" t="s">
        <v>364</v>
      </c>
      <c r="E2476" s="67" t="str">
        <f>COLORES!A22</f>
        <v/>
      </c>
      <c r="F2476" s="67" t="str">
        <f>COLORES!B22</f>
        <v/>
      </c>
      <c r="G2476" s="90" t="s">
        <v>378</v>
      </c>
      <c r="H2476" s="100">
        <f>IFERROR(SUMIFS(MOVIMIENTOS_COMPLEMENTOS!$I$4:$I$803,MOVIMIENTOS_COMPLEMENTOS!$C$4:$C$803,A2476,MOVIMIENTOS_COMPLEMENTOS!$D$4:$D$803,B2476,MOVIMIENTOS_COMPLEMENTOS!$E$4:$E$803,C2476,MOVIMIENTOS_COMPLEMENTOS!$F$4:$F$803,D2476,MOVIMIENTOS_COMPLEMENTOS!$G$4:$G$803,E2476,MOVIMIENTOS_COMPLEMENTOS!$H$4:$H$803,G2476,MOVIMIENTOS_COMPLEMENTOS!$B$4:$B$803,"INGRESO")+SUMIFS(MOVIMIENTOS_COMPLEMENTOS!$I$4:$I$803,MOVIMIENTOS_COMPLEMENTOS!$C$4:$C$803,A2476,MOVIMIENTOS_COMPLEMENTOS!$D$4:$D$803,B2476,MOVIMIENTOS_COMPLEMENTOS!$E$4:$E$803,C2476,MOVIMIENTOS_COMPLEMENTOS!$F$4:$F$803,D2476,MOVIMIENTOS_COMPLEMENTOS!$G$4:$G$803,E2476,MOVIMIENTOS_COMPLEMENTOS!$H$4:$H$803,G2476,MOVIMIENTOS_COMPLEMENTOS!$B$4:$B$803,"DE CORTE")-SUMIFS(MOVIMIENTOS_COMPLEMENTOS!$I$4:$I$803,MOVIMIENTOS_COMPLEMENTOS!$C$4:$C$803,A2476,MOVIMIENTOS_COMPLEMENTOS!$D$4:$D$803,B2476,MOVIMIENTOS_COMPLEMENTOS!$E$4:$E$803,C2476,MOVIMIENTOS_COMPLEMENTOS!$F$4:$F$803,D2476,MOVIMIENTOS_COMPLEMENTOS!$G$4:$G$803,E2476,MOVIMIENTOS_COMPLEMENTOS!$H$4:$H$803,G2476,MOVIMIENTOS_COMPLEMENTOS!$B$4:$B$803,"SALIDA"),0)</f>
        <v>0</v>
      </c>
      <c r="I2476" s="102">
        <f t="array" ref="I2476">IFERROR(INDEX(PRECIOS_COMPLEMENTOS!$C$4:$F$17,MATCH(B2476&amp;"_"&amp;C2476,PRECIOS_COMPLEMENTOS!$H$4:$H$17,0),IF(OR(G2476="S",G2476="20cm"),1,IF(OR(G2476="M",G2476="25cm"),2,IF(OR(G2476="L",G2476="30cm"),3,IF(OR(G2476="XL",G2476="35cm"),4,0))))),0)</f>
        <v>0.6</v>
      </c>
      <c r="J2476" s="103">
        <f t="shared" si="1"/>
        <v>0</v>
      </c>
      <c r="K2476" s="104" t="str">
        <f>IF(H2476&lt;0,"ERROR",IF(H2476=0,"",IF(H2476&lt;CONFIG!$B$4,"CRÍTICO",IF(H2476&lt;CONFIG!$B$5,"BAJO","OK"))))</f>
        <v/>
      </c>
    </row>
    <row r="2477" ht="15.75" hidden="1" customHeight="1">
      <c r="A2477" s="90" t="str">
        <f>IF(CLIENTES!A7="","",CLIENTES!A7)</f>
        <v/>
      </c>
      <c r="B2477" s="90" t="s">
        <v>331</v>
      </c>
      <c r="C2477" s="91" t="s">
        <v>328</v>
      </c>
      <c r="D2477" s="109" t="s">
        <v>364</v>
      </c>
      <c r="E2477" s="67" t="str">
        <f>COLORES!A22</f>
        <v/>
      </c>
      <c r="F2477" s="67" t="str">
        <f>COLORES!B22</f>
        <v/>
      </c>
      <c r="G2477" s="90" t="s">
        <v>376</v>
      </c>
      <c r="H2477" s="100">
        <f>IFERROR(SUMIFS(MOVIMIENTOS_COMPLEMENTOS!$I$4:$I$803,MOVIMIENTOS_COMPLEMENTOS!$C$4:$C$803,A2477,MOVIMIENTOS_COMPLEMENTOS!$D$4:$D$803,B2477,MOVIMIENTOS_COMPLEMENTOS!$E$4:$E$803,C2477,MOVIMIENTOS_COMPLEMENTOS!$F$4:$F$803,D2477,MOVIMIENTOS_COMPLEMENTOS!$G$4:$G$803,E2477,MOVIMIENTOS_COMPLEMENTOS!$H$4:$H$803,G2477,MOVIMIENTOS_COMPLEMENTOS!$B$4:$B$803,"INGRESO")+SUMIFS(MOVIMIENTOS_COMPLEMENTOS!$I$4:$I$803,MOVIMIENTOS_COMPLEMENTOS!$C$4:$C$803,A2477,MOVIMIENTOS_COMPLEMENTOS!$D$4:$D$803,B2477,MOVIMIENTOS_COMPLEMENTOS!$E$4:$E$803,C2477,MOVIMIENTOS_COMPLEMENTOS!$F$4:$F$803,D2477,MOVIMIENTOS_COMPLEMENTOS!$G$4:$G$803,E2477,MOVIMIENTOS_COMPLEMENTOS!$H$4:$H$803,G2477,MOVIMIENTOS_COMPLEMENTOS!$B$4:$B$803,"DE CORTE")-SUMIFS(MOVIMIENTOS_COMPLEMENTOS!$I$4:$I$803,MOVIMIENTOS_COMPLEMENTOS!$C$4:$C$803,A2477,MOVIMIENTOS_COMPLEMENTOS!$D$4:$D$803,B2477,MOVIMIENTOS_COMPLEMENTOS!$E$4:$E$803,C2477,MOVIMIENTOS_COMPLEMENTOS!$F$4:$F$803,D2477,MOVIMIENTOS_COMPLEMENTOS!$G$4:$G$803,E2477,MOVIMIENTOS_COMPLEMENTOS!$H$4:$H$803,G2477,MOVIMIENTOS_COMPLEMENTOS!$B$4:$B$803,"SALIDA"),0)</f>
        <v>0</v>
      </c>
      <c r="I2477" s="102">
        <f t="array" ref="I2477">IFERROR(INDEX(PRECIOS_COMPLEMENTOS!$C$4:$F$17,MATCH(B2477&amp;"_"&amp;C2477,PRECIOS_COMPLEMENTOS!$H$4:$H$17,0),IF(OR(G2477="S",G2477="20cm"),1,IF(OR(G2477="M",G2477="25cm"),2,IF(OR(G2477="L",G2477="30cm"),3,IF(OR(G2477="XL",G2477="35cm"),4,0))))),0)</f>
        <v>0.6</v>
      </c>
      <c r="J2477" s="103">
        <f t="shared" si="1"/>
        <v>0</v>
      </c>
      <c r="K2477" s="104" t="str">
        <f>IF(H2477&lt;0,"ERROR",IF(H2477=0,"",IF(H2477&lt;CONFIG!$B$4,"CRÍTICO",IF(H2477&lt;CONFIG!$B$5,"BAJO","OK"))))</f>
        <v/>
      </c>
    </row>
    <row r="2478" ht="15.75" hidden="1" customHeight="1">
      <c r="A2478" s="90" t="str">
        <f>IF(CLIENTES!A7="","",CLIENTES!A7)</f>
        <v/>
      </c>
      <c r="B2478" s="90" t="s">
        <v>331</v>
      </c>
      <c r="C2478" s="91" t="s">
        <v>328</v>
      </c>
      <c r="D2478" s="109" t="s">
        <v>364</v>
      </c>
      <c r="E2478" s="67" t="str">
        <f>COLORES!A22</f>
        <v/>
      </c>
      <c r="F2478" s="67" t="str">
        <f>COLORES!B22</f>
        <v/>
      </c>
      <c r="G2478" s="90" t="s">
        <v>377</v>
      </c>
      <c r="H2478" s="100">
        <f>IFERROR(SUMIFS(MOVIMIENTOS_COMPLEMENTOS!$I$4:$I$803,MOVIMIENTOS_COMPLEMENTOS!$C$4:$C$803,A2478,MOVIMIENTOS_COMPLEMENTOS!$D$4:$D$803,B2478,MOVIMIENTOS_COMPLEMENTOS!$E$4:$E$803,C2478,MOVIMIENTOS_COMPLEMENTOS!$F$4:$F$803,D2478,MOVIMIENTOS_COMPLEMENTOS!$G$4:$G$803,E2478,MOVIMIENTOS_COMPLEMENTOS!$H$4:$H$803,G2478,MOVIMIENTOS_COMPLEMENTOS!$B$4:$B$803,"INGRESO")+SUMIFS(MOVIMIENTOS_COMPLEMENTOS!$I$4:$I$803,MOVIMIENTOS_COMPLEMENTOS!$C$4:$C$803,A2478,MOVIMIENTOS_COMPLEMENTOS!$D$4:$D$803,B2478,MOVIMIENTOS_COMPLEMENTOS!$E$4:$E$803,C2478,MOVIMIENTOS_COMPLEMENTOS!$F$4:$F$803,D2478,MOVIMIENTOS_COMPLEMENTOS!$G$4:$G$803,E2478,MOVIMIENTOS_COMPLEMENTOS!$H$4:$H$803,G2478,MOVIMIENTOS_COMPLEMENTOS!$B$4:$B$803,"DE CORTE")-SUMIFS(MOVIMIENTOS_COMPLEMENTOS!$I$4:$I$803,MOVIMIENTOS_COMPLEMENTOS!$C$4:$C$803,A2478,MOVIMIENTOS_COMPLEMENTOS!$D$4:$D$803,B2478,MOVIMIENTOS_COMPLEMENTOS!$E$4:$E$803,C2478,MOVIMIENTOS_COMPLEMENTOS!$F$4:$F$803,D2478,MOVIMIENTOS_COMPLEMENTOS!$G$4:$G$803,E2478,MOVIMIENTOS_COMPLEMENTOS!$H$4:$H$803,G2478,MOVIMIENTOS_COMPLEMENTOS!$B$4:$B$803,"SALIDA"),0)</f>
        <v>0</v>
      </c>
      <c r="I2478" s="102">
        <f t="array" ref="I2478">IFERROR(INDEX(PRECIOS_COMPLEMENTOS!$C$4:$F$17,MATCH(B2478&amp;"_"&amp;C2478,PRECIOS_COMPLEMENTOS!$H$4:$H$17,0),IF(OR(G2478="S",G2478="20cm"),1,IF(OR(G2478="M",G2478="25cm"),2,IF(OR(G2478="L",G2478="30cm"),3,IF(OR(G2478="XL",G2478="35cm"),4,0))))),0)</f>
        <v>0.6</v>
      </c>
      <c r="J2478" s="103">
        <f t="shared" si="1"/>
        <v>0</v>
      </c>
      <c r="K2478" s="104" t="str">
        <f>IF(H2478&lt;0,"ERROR",IF(H2478=0,"",IF(H2478&lt;CONFIG!$B$4,"CRÍTICO",IF(H2478&lt;CONFIG!$B$5,"BAJO","OK"))))</f>
        <v/>
      </c>
    </row>
    <row r="2479" ht="15.75" hidden="1" customHeight="1">
      <c r="A2479" s="90" t="str">
        <f>IF(CLIENTES!A7="","",CLIENTES!A7)</f>
        <v/>
      </c>
      <c r="B2479" s="90" t="s">
        <v>331</v>
      </c>
      <c r="C2479" s="91" t="s">
        <v>328</v>
      </c>
      <c r="D2479" s="109" t="s">
        <v>364</v>
      </c>
      <c r="E2479" s="67" t="str">
        <f>COLORES!A22</f>
        <v/>
      </c>
      <c r="F2479" s="67" t="str">
        <f>COLORES!B22</f>
        <v/>
      </c>
      <c r="G2479" s="90" t="s">
        <v>379</v>
      </c>
      <c r="H2479" s="100">
        <f>IFERROR(SUMIFS(MOVIMIENTOS_COMPLEMENTOS!$I$4:$I$803,MOVIMIENTOS_COMPLEMENTOS!$C$4:$C$803,A2479,MOVIMIENTOS_COMPLEMENTOS!$D$4:$D$803,B2479,MOVIMIENTOS_COMPLEMENTOS!$E$4:$E$803,C2479,MOVIMIENTOS_COMPLEMENTOS!$F$4:$F$803,D2479,MOVIMIENTOS_COMPLEMENTOS!$G$4:$G$803,E2479,MOVIMIENTOS_COMPLEMENTOS!$H$4:$H$803,G2479,MOVIMIENTOS_COMPLEMENTOS!$B$4:$B$803,"INGRESO")+SUMIFS(MOVIMIENTOS_COMPLEMENTOS!$I$4:$I$803,MOVIMIENTOS_COMPLEMENTOS!$C$4:$C$803,A2479,MOVIMIENTOS_COMPLEMENTOS!$D$4:$D$803,B2479,MOVIMIENTOS_COMPLEMENTOS!$E$4:$E$803,C2479,MOVIMIENTOS_COMPLEMENTOS!$F$4:$F$803,D2479,MOVIMIENTOS_COMPLEMENTOS!$G$4:$G$803,E2479,MOVIMIENTOS_COMPLEMENTOS!$H$4:$H$803,G2479,MOVIMIENTOS_COMPLEMENTOS!$B$4:$B$803,"DE CORTE")-SUMIFS(MOVIMIENTOS_COMPLEMENTOS!$I$4:$I$803,MOVIMIENTOS_COMPLEMENTOS!$C$4:$C$803,A2479,MOVIMIENTOS_COMPLEMENTOS!$D$4:$D$803,B2479,MOVIMIENTOS_COMPLEMENTOS!$E$4:$E$803,C2479,MOVIMIENTOS_COMPLEMENTOS!$F$4:$F$803,D2479,MOVIMIENTOS_COMPLEMENTOS!$G$4:$G$803,E2479,MOVIMIENTOS_COMPLEMENTOS!$H$4:$H$803,G2479,MOVIMIENTOS_COMPLEMENTOS!$B$4:$B$803,"SALIDA"),0)</f>
        <v>0</v>
      </c>
      <c r="I2479" s="102">
        <f t="array" ref="I2479">IFERROR(INDEX(PRECIOS_COMPLEMENTOS!$C$4:$F$17,MATCH(B2479&amp;"_"&amp;C2479,PRECIOS_COMPLEMENTOS!$H$4:$H$17,0),IF(OR(G2479="S",G2479="20cm"),1,IF(OR(G2479="M",G2479="25cm"),2,IF(OR(G2479="L",G2479="30cm"),3,IF(OR(G2479="XL",G2479="35cm"),4,0))))),0)</f>
        <v>0.6</v>
      </c>
      <c r="J2479" s="103">
        <f t="shared" si="1"/>
        <v>0</v>
      </c>
      <c r="K2479" s="104" t="str">
        <f>IF(H2479&lt;0,"ERROR",IF(H2479=0,"",IF(H2479&lt;CONFIG!$B$4,"CRÍTICO",IF(H2479&lt;CONFIG!$B$5,"BAJO","OK"))))</f>
        <v/>
      </c>
    </row>
    <row r="2480" ht="15.75" hidden="1" customHeight="1">
      <c r="A2480" s="90" t="str">
        <f>IF(CLIENTES!A7="","",CLIENTES!A7)</f>
        <v/>
      </c>
      <c r="B2480" s="90" t="s">
        <v>331</v>
      </c>
      <c r="C2480" s="91" t="s">
        <v>328</v>
      </c>
      <c r="D2480" s="109" t="s">
        <v>364</v>
      </c>
      <c r="E2480" s="67" t="str">
        <f>COLORES!A23</f>
        <v/>
      </c>
      <c r="F2480" s="67" t="str">
        <f>COLORES!B23</f>
        <v/>
      </c>
      <c r="G2480" s="90" t="s">
        <v>378</v>
      </c>
      <c r="H2480" s="100">
        <f>IFERROR(SUMIFS(MOVIMIENTOS_COMPLEMENTOS!$I$4:$I$803,MOVIMIENTOS_COMPLEMENTOS!$C$4:$C$803,A2480,MOVIMIENTOS_COMPLEMENTOS!$D$4:$D$803,B2480,MOVIMIENTOS_COMPLEMENTOS!$E$4:$E$803,C2480,MOVIMIENTOS_COMPLEMENTOS!$F$4:$F$803,D2480,MOVIMIENTOS_COMPLEMENTOS!$G$4:$G$803,E2480,MOVIMIENTOS_COMPLEMENTOS!$H$4:$H$803,G2480,MOVIMIENTOS_COMPLEMENTOS!$B$4:$B$803,"INGRESO")+SUMIFS(MOVIMIENTOS_COMPLEMENTOS!$I$4:$I$803,MOVIMIENTOS_COMPLEMENTOS!$C$4:$C$803,A2480,MOVIMIENTOS_COMPLEMENTOS!$D$4:$D$803,B2480,MOVIMIENTOS_COMPLEMENTOS!$E$4:$E$803,C2480,MOVIMIENTOS_COMPLEMENTOS!$F$4:$F$803,D2480,MOVIMIENTOS_COMPLEMENTOS!$G$4:$G$803,E2480,MOVIMIENTOS_COMPLEMENTOS!$H$4:$H$803,G2480,MOVIMIENTOS_COMPLEMENTOS!$B$4:$B$803,"DE CORTE")-SUMIFS(MOVIMIENTOS_COMPLEMENTOS!$I$4:$I$803,MOVIMIENTOS_COMPLEMENTOS!$C$4:$C$803,A2480,MOVIMIENTOS_COMPLEMENTOS!$D$4:$D$803,B2480,MOVIMIENTOS_COMPLEMENTOS!$E$4:$E$803,C2480,MOVIMIENTOS_COMPLEMENTOS!$F$4:$F$803,D2480,MOVIMIENTOS_COMPLEMENTOS!$G$4:$G$803,E2480,MOVIMIENTOS_COMPLEMENTOS!$H$4:$H$803,G2480,MOVIMIENTOS_COMPLEMENTOS!$B$4:$B$803,"SALIDA"),0)</f>
        <v>0</v>
      </c>
      <c r="I2480" s="102">
        <f t="array" ref="I2480">IFERROR(INDEX(PRECIOS_COMPLEMENTOS!$C$4:$F$17,MATCH(B2480&amp;"_"&amp;C2480,PRECIOS_COMPLEMENTOS!$H$4:$H$17,0),IF(OR(G2480="S",G2480="20cm"),1,IF(OR(G2480="M",G2480="25cm"),2,IF(OR(G2480="L",G2480="30cm"),3,IF(OR(G2480="XL",G2480="35cm"),4,0))))),0)</f>
        <v>0.6</v>
      </c>
      <c r="J2480" s="103">
        <f t="shared" si="1"/>
        <v>0</v>
      </c>
      <c r="K2480" s="104" t="str">
        <f>IF(H2480&lt;0,"ERROR",IF(H2480=0,"",IF(H2480&lt;CONFIG!$B$4,"CRÍTICO",IF(H2480&lt;CONFIG!$B$5,"BAJO","OK"))))</f>
        <v/>
      </c>
    </row>
    <row r="2481" ht="15.75" hidden="1" customHeight="1">
      <c r="A2481" s="90" t="str">
        <f>IF(CLIENTES!A7="","",CLIENTES!A7)</f>
        <v/>
      </c>
      <c r="B2481" s="90" t="s">
        <v>331</v>
      </c>
      <c r="C2481" s="91" t="s">
        <v>328</v>
      </c>
      <c r="D2481" s="109" t="s">
        <v>364</v>
      </c>
      <c r="E2481" s="67" t="str">
        <f>COLORES!A23</f>
        <v/>
      </c>
      <c r="F2481" s="67" t="str">
        <f>COLORES!B23</f>
        <v/>
      </c>
      <c r="G2481" s="90" t="s">
        <v>376</v>
      </c>
      <c r="H2481" s="100">
        <f>IFERROR(SUMIFS(MOVIMIENTOS_COMPLEMENTOS!$I$4:$I$803,MOVIMIENTOS_COMPLEMENTOS!$C$4:$C$803,A2481,MOVIMIENTOS_COMPLEMENTOS!$D$4:$D$803,B2481,MOVIMIENTOS_COMPLEMENTOS!$E$4:$E$803,C2481,MOVIMIENTOS_COMPLEMENTOS!$F$4:$F$803,D2481,MOVIMIENTOS_COMPLEMENTOS!$G$4:$G$803,E2481,MOVIMIENTOS_COMPLEMENTOS!$H$4:$H$803,G2481,MOVIMIENTOS_COMPLEMENTOS!$B$4:$B$803,"INGRESO")+SUMIFS(MOVIMIENTOS_COMPLEMENTOS!$I$4:$I$803,MOVIMIENTOS_COMPLEMENTOS!$C$4:$C$803,A2481,MOVIMIENTOS_COMPLEMENTOS!$D$4:$D$803,B2481,MOVIMIENTOS_COMPLEMENTOS!$E$4:$E$803,C2481,MOVIMIENTOS_COMPLEMENTOS!$F$4:$F$803,D2481,MOVIMIENTOS_COMPLEMENTOS!$G$4:$G$803,E2481,MOVIMIENTOS_COMPLEMENTOS!$H$4:$H$803,G2481,MOVIMIENTOS_COMPLEMENTOS!$B$4:$B$803,"DE CORTE")-SUMIFS(MOVIMIENTOS_COMPLEMENTOS!$I$4:$I$803,MOVIMIENTOS_COMPLEMENTOS!$C$4:$C$803,A2481,MOVIMIENTOS_COMPLEMENTOS!$D$4:$D$803,B2481,MOVIMIENTOS_COMPLEMENTOS!$E$4:$E$803,C2481,MOVIMIENTOS_COMPLEMENTOS!$F$4:$F$803,D2481,MOVIMIENTOS_COMPLEMENTOS!$G$4:$G$803,E2481,MOVIMIENTOS_COMPLEMENTOS!$H$4:$H$803,G2481,MOVIMIENTOS_COMPLEMENTOS!$B$4:$B$803,"SALIDA"),0)</f>
        <v>0</v>
      </c>
      <c r="I2481" s="102">
        <f t="array" ref="I2481">IFERROR(INDEX(PRECIOS_COMPLEMENTOS!$C$4:$F$17,MATCH(B2481&amp;"_"&amp;C2481,PRECIOS_COMPLEMENTOS!$H$4:$H$17,0),IF(OR(G2481="S",G2481="20cm"),1,IF(OR(G2481="M",G2481="25cm"),2,IF(OR(G2481="L",G2481="30cm"),3,IF(OR(G2481="XL",G2481="35cm"),4,0))))),0)</f>
        <v>0.6</v>
      </c>
      <c r="J2481" s="103">
        <f t="shared" si="1"/>
        <v>0</v>
      </c>
      <c r="K2481" s="104" t="str">
        <f>IF(H2481&lt;0,"ERROR",IF(H2481=0,"",IF(H2481&lt;CONFIG!$B$4,"CRÍTICO",IF(H2481&lt;CONFIG!$B$5,"BAJO","OK"))))</f>
        <v/>
      </c>
    </row>
    <row r="2482" ht="15.75" hidden="1" customHeight="1">
      <c r="A2482" s="90" t="str">
        <f>IF(CLIENTES!A7="","",CLIENTES!A7)</f>
        <v/>
      </c>
      <c r="B2482" s="90" t="s">
        <v>331</v>
      </c>
      <c r="C2482" s="91" t="s">
        <v>328</v>
      </c>
      <c r="D2482" s="109" t="s">
        <v>364</v>
      </c>
      <c r="E2482" s="67" t="str">
        <f>COLORES!A23</f>
        <v/>
      </c>
      <c r="F2482" s="67" t="str">
        <f>COLORES!B23</f>
        <v/>
      </c>
      <c r="G2482" s="90" t="s">
        <v>377</v>
      </c>
      <c r="H2482" s="100">
        <f>IFERROR(SUMIFS(MOVIMIENTOS_COMPLEMENTOS!$I$4:$I$803,MOVIMIENTOS_COMPLEMENTOS!$C$4:$C$803,A2482,MOVIMIENTOS_COMPLEMENTOS!$D$4:$D$803,B2482,MOVIMIENTOS_COMPLEMENTOS!$E$4:$E$803,C2482,MOVIMIENTOS_COMPLEMENTOS!$F$4:$F$803,D2482,MOVIMIENTOS_COMPLEMENTOS!$G$4:$G$803,E2482,MOVIMIENTOS_COMPLEMENTOS!$H$4:$H$803,G2482,MOVIMIENTOS_COMPLEMENTOS!$B$4:$B$803,"INGRESO")+SUMIFS(MOVIMIENTOS_COMPLEMENTOS!$I$4:$I$803,MOVIMIENTOS_COMPLEMENTOS!$C$4:$C$803,A2482,MOVIMIENTOS_COMPLEMENTOS!$D$4:$D$803,B2482,MOVIMIENTOS_COMPLEMENTOS!$E$4:$E$803,C2482,MOVIMIENTOS_COMPLEMENTOS!$F$4:$F$803,D2482,MOVIMIENTOS_COMPLEMENTOS!$G$4:$G$803,E2482,MOVIMIENTOS_COMPLEMENTOS!$H$4:$H$803,G2482,MOVIMIENTOS_COMPLEMENTOS!$B$4:$B$803,"DE CORTE")-SUMIFS(MOVIMIENTOS_COMPLEMENTOS!$I$4:$I$803,MOVIMIENTOS_COMPLEMENTOS!$C$4:$C$803,A2482,MOVIMIENTOS_COMPLEMENTOS!$D$4:$D$803,B2482,MOVIMIENTOS_COMPLEMENTOS!$E$4:$E$803,C2482,MOVIMIENTOS_COMPLEMENTOS!$F$4:$F$803,D2482,MOVIMIENTOS_COMPLEMENTOS!$G$4:$G$803,E2482,MOVIMIENTOS_COMPLEMENTOS!$H$4:$H$803,G2482,MOVIMIENTOS_COMPLEMENTOS!$B$4:$B$803,"SALIDA"),0)</f>
        <v>0</v>
      </c>
      <c r="I2482" s="102">
        <f t="array" ref="I2482">IFERROR(INDEX(PRECIOS_COMPLEMENTOS!$C$4:$F$17,MATCH(B2482&amp;"_"&amp;C2482,PRECIOS_COMPLEMENTOS!$H$4:$H$17,0),IF(OR(G2482="S",G2482="20cm"),1,IF(OR(G2482="M",G2482="25cm"),2,IF(OR(G2482="L",G2482="30cm"),3,IF(OR(G2482="XL",G2482="35cm"),4,0))))),0)</f>
        <v>0.6</v>
      </c>
      <c r="J2482" s="103">
        <f t="shared" si="1"/>
        <v>0</v>
      </c>
      <c r="K2482" s="104" t="str">
        <f>IF(H2482&lt;0,"ERROR",IF(H2482=0,"",IF(H2482&lt;CONFIG!$B$4,"CRÍTICO",IF(H2482&lt;CONFIG!$B$5,"BAJO","OK"))))</f>
        <v/>
      </c>
    </row>
    <row r="2483" ht="15.75" hidden="1" customHeight="1">
      <c r="A2483" s="90" t="str">
        <f>IF(CLIENTES!A7="","",CLIENTES!A7)</f>
        <v/>
      </c>
      <c r="B2483" s="90" t="s">
        <v>331</v>
      </c>
      <c r="C2483" s="91" t="s">
        <v>328</v>
      </c>
      <c r="D2483" s="109" t="s">
        <v>364</v>
      </c>
      <c r="E2483" s="67" t="str">
        <f>COLORES!A23</f>
        <v/>
      </c>
      <c r="F2483" s="67" t="str">
        <f>COLORES!B23</f>
        <v/>
      </c>
      <c r="G2483" s="90" t="s">
        <v>379</v>
      </c>
      <c r="H2483" s="100">
        <f>IFERROR(SUMIFS(MOVIMIENTOS_COMPLEMENTOS!$I$4:$I$803,MOVIMIENTOS_COMPLEMENTOS!$C$4:$C$803,A2483,MOVIMIENTOS_COMPLEMENTOS!$D$4:$D$803,B2483,MOVIMIENTOS_COMPLEMENTOS!$E$4:$E$803,C2483,MOVIMIENTOS_COMPLEMENTOS!$F$4:$F$803,D2483,MOVIMIENTOS_COMPLEMENTOS!$G$4:$G$803,E2483,MOVIMIENTOS_COMPLEMENTOS!$H$4:$H$803,G2483,MOVIMIENTOS_COMPLEMENTOS!$B$4:$B$803,"INGRESO")+SUMIFS(MOVIMIENTOS_COMPLEMENTOS!$I$4:$I$803,MOVIMIENTOS_COMPLEMENTOS!$C$4:$C$803,A2483,MOVIMIENTOS_COMPLEMENTOS!$D$4:$D$803,B2483,MOVIMIENTOS_COMPLEMENTOS!$E$4:$E$803,C2483,MOVIMIENTOS_COMPLEMENTOS!$F$4:$F$803,D2483,MOVIMIENTOS_COMPLEMENTOS!$G$4:$G$803,E2483,MOVIMIENTOS_COMPLEMENTOS!$H$4:$H$803,G2483,MOVIMIENTOS_COMPLEMENTOS!$B$4:$B$803,"DE CORTE")-SUMIFS(MOVIMIENTOS_COMPLEMENTOS!$I$4:$I$803,MOVIMIENTOS_COMPLEMENTOS!$C$4:$C$803,A2483,MOVIMIENTOS_COMPLEMENTOS!$D$4:$D$803,B2483,MOVIMIENTOS_COMPLEMENTOS!$E$4:$E$803,C2483,MOVIMIENTOS_COMPLEMENTOS!$F$4:$F$803,D2483,MOVIMIENTOS_COMPLEMENTOS!$G$4:$G$803,E2483,MOVIMIENTOS_COMPLEMENTOS!$H$4:$H$803,G2483,MOVIMIENTOS_COMPLEMENTOS!$B$4:$B$803,"SALIDA"),0)</f>
        <v>0</v>
      </c>
      <c r="I2483" s="102">
        <f t="array" ref="I2483">IFERROR(INDEX(PRECIOS_COMPLEMENTOS!$C$4:$F$17,MATCH(B2483&amp;"_"&amp;C2483,PRECIOS_COMPLEMENTOS!$H$4:$H$17,0),IF(OR(G2483="S",G2483="20cm"),1,IF(OR(G2483="M",G2483="25cm"),2,IF(OR(G2483="L",G2483="30cm"),3,IF(OR(G2483="XL",G2483="35cm"),4,0))))),0)</f>
        <v>0.6</v>
      </c>
      <c r="J2483" s="103">
        <f t="shared" si="1"/>
        <v>0</v>
      </c>
      <c r="K2483" s="104" t="str">
        <f>IF(H2483&lt;0,"ERROR",IF(H2483=0,"",IF(H2483&lt;CONFIG!$B$4,"CRÍTICO",IF(H2483&lt;CONFIG!$B$5,"BAJO","OK"))))</f>
        <v/>
      </c>
    </row>
    <row r="2484" ht="15.75" hidden="1" customHeight="1">
      <c r="A2484" s="90" t="str">
        <f>IF(CLIENTES!A7="","",CLIENTES!A7)</f>
        <v/>
      </c>
      <c r="B2484" s="90" t="s">
        <v>331</v>
      </c>
      <c r="C2484" s="91" t="s">
        <v>328</v>
      </c>
      <c r="D2484" s="109" t="s">
        <v>366</v>
      </c>
      <c r="E2484" s="67" t="str">
        <f>COLORES!A4</f>
        <v>Negro</v>
      </c>
      <c r="F2484" s="67" t="str">
        <f>COLORES!B4</f>
        <v>OSCURO</v>
      </c>
      <c r="G2484" s="90" t="s">
        <v>378</v>
      </c>
      <c r="H2484" s="100">
        <f>IFERROR(SUMIFS(MOVIMIENTOS_COMPLEMENTOS!$I$4:$I$803,MOVIMIENTOS_COMPLEMENTOS!$C$4:$C$803,A2484,MOVIMIENTOS_COMPLEMENTOS!$D$4:$D$803,B2484,MOVIMIENTOS_COMPLEMENTOS!$E$4:$E$803,C2484,MOVIMIENTOS_COMPLEMENTOS!$F$4:$F$803,D2484,MOVIMIENTOS_COMPLEMENTOS!$G$4:$G$803,E2484,MOVIMIENTOS_COMPLEMENTOS!$H$4:$H$803,G2484,MOVIMIENTOS_COMPLEMENTOS!$B$4:$B$803,"INGRESO")+SUMIFS(MOVIMIENTOS_COMPLEMENTOS!$I$4:$I$803,MOVIMIENTOS_COMPLEMENTOS!$C$4:$C$803,A2484,MOVIMIENTOS_COMPLEMENTOS!$D$4:$D$803,B2484,MOVIMIENTOS_COMPLEMENTOS!$E$4:$E$803,C2484,MOVIMIENTOS_COMPLEMENTOS!$F$4:$F$803,D2484,MOVIMIENTOS_COMPLEMENTOS!$G$4:$G$803,E2484,MOVIMIENTOS_COMPLEMENTOS!$H$4:$H$803,G2484,MOVIMIENTOS_COMPLEMENTOS!$B$4:$B$803,"DE CORTE")-SUMIFS(MOVIMIENTOS_COMPLEMENTOS!$I$4:$I$803,MOVIMIENTOS_COMPLEMENTOS!$C$4:$C$803,A2484,MOVIMIENTOS_COMPLEMENTOS!$D$4:$D$803,B2484,MOVIMIENTOS_COMPLEMENTOS!$E$4:$E$803,C2484,MOVIMIENTOS_COMPLEMENTOS!$F$4:$F$803,D2484,MOVIMIENTOS_COMPLEMENTOS!$G$4:$G$803,E2484,MOVIMIENTOS_COMPLEMENTOS!$H$4:$H$803,G2484,MOVIMIENTOS_COMPLEMENTOS!$B$4:$B$803,"SALIDA"),0)</f>
        <v>0</v>
      </c>
      <c r="I2484" s="102">
        <f t="array" ref="I2484">IFERROR(INDEX(PRECIOS_COMPLEMENTOS!$C$4:$F$17,MATCH(B2484&amp;"_"&amp;C2484,PRECIOS_COMPLEMENTOS!$H$4:$H$17,0),IF(OR(G2484="S",G2484="20cm"),1,IF(OR(G2484="M",G2484="25cm"),2,IF(OR(G2484="L",G2484="30cm"),3,IF(OR(G2484="XL",G2484="35cm"),4,0))))),0)</f>
        <v>0.6</v>
      </c>
      <c r="J2484" s="103">
        <f t="shared" si="1"/>
        <v>0</v>
      </c>
      <c r="K2484" s="104" t="str">
        <f>IF(H2484&lt;0,"ERROR",IF(H2484=0,"",IF(H2484&lt;CONFIG!$B$4,"CRÍTICO",IF(H2484&lt;CONFIG!$B$5,"BAJO","OK"))))</f>
        <v/>
      </c>
    </row>
    <row r="2485" ht="15.75" hidden="1" customHeight="1">
      <c r="A2485" s="90" t="str">
        <f>IF(CLIENTES!A7="","",CLIENTES!A7)</f>
        <v/>
      </c>
      <c r="B2485" s="90" t="s">
        <v>331</v>
      </c>
      <c r="C2485" s="91" t="s">
        <v>328</v>
      </c>
      <c r="D2485" s="109" t="s">
        <v>366</v>
      </c>
      <c r="E2485" s="67" t="str">
        <f>COLORES!A4</f>
        <v>Negro</v>
      </c>
      <c r="F2485" s="67" t="str">
        <f>COLORES!B4</f>
        <v>OSCURO</v>
      </c>
      <c r="G2485" s="90" t="s">
        <v>376</v>
      </c>
      <c r="H2485" s="100">
        <f>IFERROR(SUMIFS(MOVIMIENTOS_COMPLEMENTOS!$I$4:$I$803,MOVIMIENTOS_COMPLEMENTOS!$C$4:$C$803,A2485,MOVIMIENTOS_COMPLEMENTOS!$D$4:$D$803,B2485,MOVIMIENTOS_COMPLEMENTOS!$E$4:$E$803,C2485,MOVIMIENTOS_COMPLEMENTOS!$F$4:$F$803,D2485,MOVIMIENTOS_COMPLEMENTOS!$G$4:$G$803,E2485,MOVIMIENTOS_COMPLEMENTOS!$H$4:$H$803,G2485,MOVIMIENTOS_COMPLEMENTOS!$B$4:$B$803,"INGRESO")+SUMIFS(MOVIMIENTOS_COMPLEMENTOS!$I$4:$I$803,MOVIMIENTOS_COMPLEMENTOS!$C$4:$C$803,A2485,MOVIMIENTOS_COMPLEMENTOS!$D$4:$D$803,B2485,MOVIMIENTOS_COMPLEMENTOS!$E$4:$E$803,C2485,MOVIMIENTOS_COMPLEMENTOS!$F$4:$F$803,D2485,MOVIMIENTOS_COMPLEMENTOS!$G$4:$G$803,E2485,MOVIMIENTOS_COMPLEMENTOS!$H$4:$H$803,G2485,MOVIMIENTOS_COMPLEMENTOS!$B$4:$B$803,"DE CORTE")-SUMIFS(MOVIMIENTOS_COMPLEMENTOS!$I$4:$I$803,MOVIMIENTOS_COMPLEMENTOS!$C$4:$C$803,A2485,MOVIMIENTOS_COMPLEMENTOS!$D$4:$D$803,B2485,MOVIMIENTOS_COMPLEMENTOS!$E$4:$E$803,C2485,MOVIMIENTOS_COMPLEMENTOS!$F$4:$F$803,D2485,MOVIMIENTOS_COMPLEMENTOS!$G$4:$G$803,E2485,MOVIMIENTOS_COMPLEMENTOS!$H$4:$H$803,G2485,MOVIMIENTOS_COMPLEMENTOS!$B$4:$B$803,"SALIDA"),0)</f>
        <v>0</v>
      </c>
      <c r="I2485" s="102">
        <f t="array" ref="I2485">IFERROR(INDEX(PRECIOS_COMPLEMENTOS!$C$4:$F$17,MATCH(B2485&amp;"_"&amp;C2485,PRECIOS_COMPLEMENTOS!$H$4:$H$17,0),IF(OR(G2485="S",G2485="20cm"),1,IF(OR(G2485="M",G2485="25cm"),2,IF(OR(G2485="L",G2485="30cm"),3,IF(OR(G2485="XL",G2485="35cm"),4,0))))),0)</f>
        <v>0.6</v>
      </c>
      <c r="J2485" s="103">
        <f t="shared" si="1"/>
        <v>0</v>
      </c>
      <c r="K2485" s="104" t="str">
        <f>IF(H2485&lt;0,"ERROR",IF(H2485=0,"",IF(H2485&lt;CONFIG!$B$4,"CRÍTICO",IF(H2485&lt;CONFIG!$B$5,"BAJO","OK"))))</f>
        <v/>
      </c>
    </row>
    <row r="2486" ht="15.75" hidden="1" customHeight="1">
      <c r="A2486" s="90" t="str">
        <f>IF(CLIENTES!A7="","",CLIENTES!A7)</f>
        <v/>
      </c>
      <c r="B2486" s="90" t="s">
        <v>331</v>
      </c>
      <c r="C2486" s="91" t="s">
        <v>328</v>
      </c>
      <c r="D2486" s="109" t="s">
        <v>366</v>
      </c>
      <c r="E2486" s="67" t="str">
        <f>COLORES!A4</f>
        <v>Negro</v>
      </c>
      <c r="F2486" s="67" t="str">
        <f>COLORES!B4</f>
        <v>OSCURO</v>
      </c>
      <c r="G2486" s="90" t="s">
        <v>377</v>
      </c>
      <c r="H2486" s="100">
        <f>IFERROR(SUMIFS(MOVIMIENTOS_COMPLEMENTOS!$I$4:$I$803,MOVIMIENTOS_COMPLEMENTOS!$C$4:$C$803,A2486,MOVIMIENTOS_COMPLEMENTOS!$D$4:$D$803,B2486,MOVIMIENTOS_COMPLEMENTOS!$E$4:$E$803,C2486,MOVIMIENTOS_COMPLEMENTOS!$F$4:$F$803,D2486,MOVIMIENTOS_COMPLEMENTOS!$G$4:$G$803,E2486,MOVIMIENTOS_COMPLEMENTOS!$H$4:$H$803,G2486,MOVIMIENTOS_COMPLEMENTOS!$B$4:$B$803,"INGRESO")+SUMIFS(MOVIMIENTOS_COMPLEMENTOS!$I$4:$I$803,MOVIMIENTOS_COMPLEMENTOS!$C$4:$C$803,A2486,MOVIMIENTOS_COMPLEMENTOS!$D$4:$D$803,B2486,MOVIMIENTOS_COMPLEMENTOS!$E$4:$E$803,C2486,MOVIMIENTOS_COMPLEMENTOS!$F$4:$F$803,D2486,MOVIMIENTOS_COMPLEMENTOS!$G$4:$G$803,E2486,MOVIMIENTOS_COMPLEMENTOS!$H$4:$H$803,G2486,MOVIMIENTOS_COMPLEMENTOS!$B$4:$B$803,"DE CORTE")-SUMIFS(MOVIMIENTOS_COMPLEMENTOS!$I$4:$I$803,MOVIMIENTOS_COMPLEMENTOS!$C$4:$C$803,A2486,MOVIMIENTOS_COMPLEMENTOS!$D$4:$D$803,B2486,MOVIMIENTOS_COMPLEMENTOS!$E$4:$E$803,C2486,MOVIMIENTOS_COMPLEMENTOS!$F$4:$F$803,D2486,MOVIMIENTOS_COMPLEMENTOS!$G$4:$G$803,E2486,MOVIMIENTOS_COMPLEMENTOS!$H$4:$H$803,G2486,MOVIMIENTOS_COMPLEMENTOS!$B$4:$B$803,"SALIDA"),0)</f>
        <v>0</v>
      </c>
      <c r="I2486" s="102">
        <f t="array" ref="I2486">IFERROR(INDEX(PRECIOS_COMPLEMENTOS!$C$4:$F$17,MATCH(B2486&amp;"_"&amp;C2486,PRECIOS_COMPLEMENTOS!$H$4:$H$17,0),IF(OR(G2486="S",G2486="20cm"),1,IF(OR(G2486="M",G2486="25cm"),2,IF(OR(G2486="L",G2486="30cm"),3,IF(OR(G2486="XL",G2486="35cm"),4,0))))),0)</f>
        <v>0.6</v>
      </c>
      <c r="J2486" s="103">
        <f t="shared" si="1"/>
        <v>0</v>
      </c>
      <c r="K2486" s="104" t="str">
        <f>IF(H2486&lt;0,"ERROR",IF(H2486=0,"",IF(H2486&lt;CONFIG!$B$4,"CRÍTICO",IF(H2486&lt;CONFIG!$B$5,"BAJO","OK"))))</f>
        <v/>
      </c>
    </row>
    <row r="2487" ht="15.75" hidden="1" customHeight="1">
      <c r="A2487" s="90" t="str">
        <f>IF(CLIENTES!A7="","",CLIENTES!A7)</f>
        <v/>
      </c>
      <c r="B2487" s="90" t="s">
        <v>331</v>
      </c>
      <c r="C2487" s="91" t="s">
        <v>328</v>
      </c>
      <c r="D2487" s="109" t="s">
        <v>366</v>
      </c>
      <c r="E2487" s="67" t="str">
        <f>COLORES!A4</f>
        <v>Negro</v>
      </c>
      <c r="F2487" s="67" t="str">
        <f>COLORES!B4</f>
        <v>OSCURO</v>
      </c>
      <c r="G2487" s="90" t="s">
        <v>379</v>
      </c>
      <c r="H2487" s="100">
        <f>IFERROR(SUMIFS(MOVIMIENTOS_COMPLEMENTOS!$I$4:$I$803,MOVIMIENTOS_COMPLEMENTOS!$C$4:$C$803,A2487,MOVIMIENTOS_COMPLEMENTOS!$D$4:$D$803,B2487,MOVIMIENTOS_COMPLEMENTOS!$E$4:$E$803,C2487,MOVIMIENTOS_COMPLEMENTOS!$F$4:$F$803,D2487,MOVIMIENTOS_COMPLEMENTOS!$G$4:$G$803,E2487,MOVIMIENTOS_COMPLEMENTOS!$H$4:$H$803,G2487,MOVIMIENTOS_COMPLEMENTOS!$B$4:$B$803,"INGRESO")+SUMIFS(MOVIMIENTOS_COMPLEMENTOS!$I$4:$I$803,MOVIMIENTOS_COMPLEMENTOS!$C$4:$C$803,A2487,MOVIMIENTOS_COMPLEMENTOS!$D$4:$D$803,B2487,MOVIMIENTOS_COMPLEMENTOS!$E$4:$E$803,C2487,MOVIMIENTOS_COMPLEMENTOS!$F$4:$F$803,D2487,MOVIMIENTOS_COMPLEMENTOS!$G$4:$G$803,E2487,MOVIMIENTOS_COMPLEMENTOS!$H$4:$H$803,G2487,MOVIMIENTOS_COMPLEMENTOS!$B$4:$B$803,"DE CORTE")-SUMIFS(MOVIMIENTOS_COMPLEMENTOS!$I$4:$I$803,MOVIMIENTOS_COMPLEMENTOS!$C$4:$C$803,A2487,MOVIMIENTOS_COMPLEMENTOS!$D$4:$D$803,B2487,MOVIMIENTOS_COMPLEMENTOS!$E$4:$E$803,C2487,MOVIMIENTOS_COMPLEMENTOS!$F$4:$F$803,D2487,MOVIMIENTOS_COMPLEMENTOS!$G$4:$G$803,E2487,MOVIMIENTOS_COMPLEMENTOS!$H$4:$H$803,G2487,MOVIMIENTOS_COMPLEMENTOS!$B$4:$B$803,"SALIDA"),0)</f>
        <v>0</v>
      </c>
      <c r="I2487" s="102">
        <f t="array" ref="I2487">IFERROR(INDEX(PRECIOS_COMPLEMENTOS!$C$4:$F$17,MATCH(B2487&amp;"_"&amp;C2487,PRECIOS_COMPLEMENTOS!$H$4:$H$17,0),IF(OR(G2487="S",G2487="20cm"),1,IF(OR(G2487="M",G2487="25cm"),2,IF(OR(G2487="L",G2487="30cm"),3,IF(OR(G2487="XL",G2487="35cm"),4,0))))),0)</f>
        <v>0.6</v>
      </c>
      <c r="J2487" s="103">
        <f t="shared" si="1"/>
        <v>0</v>
      </c>
      <c r="K2487" s="104" t="str">
        <f>IF(H2487&lt;0,"ERROR",IF(H2487=0,"",IF(H2487&lt;CONFIG!$B$4,"CRÍTICO",IF(H2487&lt;CONFIG!$B$5,"BAJO","OK"))))</f>
        <v/>
      </c>
    </row>
    <row r="2488" ht="15.75" hidden="1" customHeight="1">
      <c r="A2488" s="90" t="str">
        <f>IF(CLIENTES!A7="","",CLIENTES!A7)</f>
        <v/>
      </c>
      <c r="B2488" s="90" t="s">
        <v>331</v>
      </c>
      <c r="C2488" s="91" t="s">
        <v>328</v>
      </c>
      <c r="D2488" s="109" t="s">
        <v>366</v>
      </c>
      <c r="E2488" s="67" t="str">
        <f>COLORES!A5</f>
        <v>Perla</v>
      </c>
      <c r="F2488" s="67" t="str">
        <f>COLORES!B5</f>
        <v>PPT</v>
      </c>
      <c r="G2488" s="90" t="s">
        <v>378</v>
      </c>
      <c r="H2488" s="100">
        <f>IFERROR(SUMIFS(MOVIMIENTOS_COMPLEMENTOS!$I$4:$I$803,MOVIMIENTOS_COMPLEMENTOS!$C$4:$C$803,A2488,MOVIMIENTOS_COMPLEMENTOS!$D$4:$D$803,B2488,MOVIMIENTOS_COMPLEMENTOS!$E$4:$E$803,C2488,MOVIMIENTOS_COMPLEMENTOS!$F$4:$F$803,D2488,MOVIMIENTOS_COMPLEMENTOS!$G$4:$G$803,E2488,MOVIMIENTOS_COMPLEMENTOS!$H$4:$H$803,G2488,MOVIMIENTOS_COMPLEMENTOS!$B$4:$B$803,"INGRESO")+SUMIFS(MOVIMIENTOS_COMPLEMENTOS!$I$4:$I$803,MOVIMIENTOS_COMPLEMENTOS!$C$4:$C$803,A2488,MOVIMIENTOS_COMPLEMENTOS!$D$4:$D$803,B2488,MOVIMIENTOS_COMPLEMENTOS!$E$4:$E$803,C2488,MOVIMIENTOS_COMPLEMENTOS!$F$4:$F$803,D2488,MOVIMIENTOS_COMPLEMENTOS!$G$4:$G$803,E2488,MOVIMIENTOS_COMPLEMENTOS!$H$4:$H$803,G2488,MOVIMIENTOS_COMPLEMENTOS!$B$4:$B$803,"DE CORTE")-SUMIFS(MOVIMIENTOS_COMPLEMENTOS!$I$4:$I$803,MOVIMIENTOS_COMPLEMENTOS!$C$4:$C$803,A2488,MOVIMIENTOS_COMPLEMENTOS!$D$4:$D$803,B2488,MOVIMIENTOS_COMPLEMENTOS!$E$4:$E$803,C2488,MOVIMIENTOS_COMPLEMENTOS!$F$4:$F$803,D2488,MOVIMIENTOS_COMPLEMENTOS!$G$4:$G$803,E2488,MOVIMIENTOS_COMPLEMENTOS!$H$4:$H$803,G2488,MOVIMIENTOS_COMPLEMENTOS!$B$4:$B$803,"SALIDA"),0)</f>
        <v>0</v>
      </c>
      <c r="I2488" s="102">
        <f t="array" ref="I2488">IFERROR(INDEX(PRECIOS_COMPLEMENTOS!$C$4:$F$17,MATCH(B2488&amp;"_"&amp;C2488,PRECIOS_COMPLEMENTOS!$H$4:$H$17,0),IF(OR(G2488="S",G2488="20cm"),1,IF(OR(G2488="M",G2488="25cm"),2,IF(OR(G2488="L",G2488="30cm"),3,IF(OR(G2488="XL",G2488="35cm"),4,0))))),0)</f>
        <v>0.6</v>
      </c>
      <c r="J2488" s="103">
        <f t="shared" si="1"/>
        <v>0</v>
      </c>
      <c r="K2488" s="104" t="str">
        <f>IF(H2488&lt;0,"ERROR",IF(H2488=0,"",IF(H2488&lt;CONFIG!$B$4,"CRÍTICO",IF(H2488&lt;CONFIG!$B$5,"BAJO","OK"))))</f>
        <v/>
      </c>
    </row>
    <row r="2489" ht="15.75" hidden="1" customHeight="1">
      <c r="A2489" s="90" t="str">
        <f>IF(CLIENTES!A7="","",CLIENTES!A7)</f>
        <v/>
      </c>
      <c r="B2489" s="90" t="s">
        <v>331</v>
      </c>
      <c r="C2489" s="91" t="s">
        <v>328</v>
      </c>
      <c r="D2489" s="109" t="s">
        <v>366</v>
      </c>
      <c r="E2489" s="67" t="str">
        <f>COLORES!A5</f>
        <v>Perla</v>
      </c>
      <c r="F2489" s="67" t="str">
        <f>COLORES!B5</f>
        <v>PPT</v>
      </c>
      <c r="G2489" s="90" t="s">
        <v>376</v>
      </c>
      <c r="H2489" s="100">
        <f>IFERROR(SUMIFS(MOVIMIENTOS_COMPLEMENTOS!$I$4:$I$803,MOVIMIENTOS_COMPLEMENTOS!$C$4:$C$803,A2489,MOVIMIENTOS_COMPLEMENTOS!$D$4:$D$803,B2489,MOVIMIENTOS_COMPLEMENTOS!$E$4:$E$803,C2489,MOVIMIENTOS_COMPLEMENTOS!$F$4:$F$803,D2489,MOVIMIENTOS_COMPLEMENTOS!$G$4:$G$803,E2489,MOVIMIENTOS_COMPLEMENTOS!$H$4:$H$803,G2489,MOVIMIENTOS_COMPLEMENTOS!$B$4:$B$803,"INGRESO")+SUMIFS(MOVIMIENTOS_COMPLEMENTOS!$I$4:$I$803,MOVIMIENTOS_COMPLEMENTOS!$C$4:$C$803,A2489,MOVIMIENTOS_COMPLEMENTOS!$D$4:$D$803,B2489,MOVIMIENTOS_COMPLEMENTOS!$E$4:$E$803,C2489,MOVIMIENTOS_COMPLEMENTOS!$F$4:$F$803,D2489,MOVIMIENTOS_COMPLEMENTOS!$G$4:$G$803,E2489,MOVIMIENTOS_COMPLEMENTOS!$H$4:$H$803,G2489,MOVIMIENTOS_COMPLEMENTOS!$B$4:$B$803,"DE CORTE")-SUMIFS(MOVIMIENTOS_COMPLEMENTOS!$I$4:$I$803,MOVIMIENTOS_COMPLEMENTOS!$C$4:$C$803,A2489,MOVIMIENTOS_COMPLEMENTOS!$D$4:$D$803,B2489,MOVIMIENTOS_COMPLEMENTOS!$E$4:$E$803,C2489,MOVIMIENTOS_COMPLEMENTOS!$F$4:$F$803,D2489,MOVIMIENTOS_COMPLEMENTOS!$G$4:$G$803,E2489,MOVIMIENTOS_COMPLEMENTOS!$H$4:$H$803,G2489,MOVIMIENTOS_COMPLEMENTOS!$B$4:$B$803,"SALIDA"),0)</f>
        <v>0</v>
      </c>
      <c r="I2489" s="102">
        <f t="array" ref="I2489">IFERROR(INDEX(PRECIOS_COMPLEMENTOS!$C$4:$F$17,MATCH(B2489&amp;"_"&amp;C2489,PRECIOS_COMPLEMENTOS!$H$4:$H$17,0),IF(OR(G2489="S",G2489="20cm"),1,IF(OR(G2489="M",G2489="25cm"),2,IF(OR(G2489="L",G2489="30cm"),3,IF(OR(G2489="XL",G2489="35cm"),4,0))))),0)</f>
        <v>0.6</v>
      </c>
      <c r="J2489" s="103">
        <f t="shared" si="1"/>
        <v>0</v>
      </c>
      <c r="K2489" s="104" t="str">
        <f>IF(H2489&lt;0,"ERROR",IF(H2489=0,"",IF(H2489&lt;CONFIG!$B$4,"CRÍTICO",IF(H2489&lt;CONFIG!$B$5,"BAJO","OK"))))</f>
        <v/>
      </c>
    </row>
    <row r="2490" ht="15.75" hidden="1" customHeight="1">
      <c r="A2490" s="90" t="str">
        <f>IF(CLIENTES!A7="","",CLIENTES!A7)</f>
        <v/>
      </c>
      <c r="B2490" s="90" t="s">
        <v>331</v>
      </c>
      <c r="C2490" s="91" t="s">
        <v>328</v>
      </c>
      <c r="D2490" s="109" t="s">
        <v>366</v>
      </c>
      <c r="E2490" s="67" t="str">
        <f>COLORES!A5</f>
        <v>Perla</v>
      </c>
      <c r="F2490" s="67" t="str">
        <f>COLORES!B5</f>
        <v>PPT</v>
      </c>
      <c r="G2490" s="90" t="s">
        <v>377</v>
      </c>
      <c r="H2490" s="100">
        <f>IFERROR(SUMIFS(MOVIMIENTOS_COMPLEMENTOS!$I$4:$I$803,MOVIMIENTOS_COMPLEMENTOS!$C$4:$C$803,A2490,MOVIMIENTOS_COMPLEMENTOS!$D$4:$D$803,B2490,MOVIMIENTOS_COMPLEMENTOS!$E$4:$E$803,C2490,MOVIMIENTOS_COMPLEMENTOS!$F$4:$F$803,D2490,MOVIMIENTOS_COMPLEMENTOS!$G$4:$G$803,E2490,MOVIMIENTOS_COMPLEMENTOS!$H$4:$H$803,G2490,MOVIMIENTOS_COMPLEMENTOS!$B$4:$B$803,"INGRESO")+SUMIFS(MOVIMIENTOS_COMPLEMENTOS!$I$4:$I$803,MOVIMIENTOS_COMPLEMENTOS!$C$4:$C$803,A2490,MOVIMIENTOS_COMPLEMENTOS!$D$4:$D$803,B2490,MOVIMIENTOS_COMPLEMENTOS!$E$4:$E$803,C2490,MOVIMIENTOS_COMPLEMENTOS!$F$4:$F$803,D2490,MOVIMIENTOS_COMPLEMENTOS!$G$4:$G$803,E2490,MOVIMIENTOS_COMPLEMENTOS!$H$4:$H$803,G2490,MOVIMIENTOS_COMPLEMENTOS!$B$4:$B$803,"DE CORTE")-SUMIFS(MOVIMIENTOS_COMPLEMENTOS!$I$4:$I$803,MOVIMIENTOS_COMPLEMENTOS!$C$4:$C$803,A2490,MOVIMIENTOS_COMPLEMENTOS!$D$4:$D$803,B2490,MOVIMIENTOS_COMPLEMENTOS!$E$4:$E$803,C2490,MOVIMIENTOS_COMPLEMENTOS!$F$4:$F$803,D2490,MOVIMIENTOS_COMPLEMENTOS!$G$4:$G$803,E2490,MOVIMIENTOS_COMPLEMENTOS!$H$4:$H$803,G2490,MOVIMIENTOS_COMPLEMENTOS!$B$4:$B$803,"SALIDA"),0)</f>
        <v>0</v>
      </c>
      <c r="I2490" s="102">
        <f t="array" ref="I2490">IFERROR(INDEX(PRECIOS_COMPLEMENTOS!$C$4:$F$17,MATCH(B2490&amp;"_"&amp;C2490,PRECIOS_COMPLEMENTOS!$H$4:$H$17,0),IF(OR(G2490="S",G2490="20cm"),1,IF(OR(G2490="M",G2490="25cm"),2,IF(OR(G2490="L",G2490="30cm"),3,IF(OR(G2490="XL",G2490="35cm"),4,0))))),0)</f>
        <v>0.6</v>
      </c>
      <c r="J2490" s="103">
        <f t="shared" si="1"/>
        <v>0</v>
      </c>
      <c r="K2490" s="104" t="str">
        <f>IF(H2490&lt;0,"ERROR",IF(H2490=0,"",IF(H2490&lt;CONFIG!$B$4,"CRÍTICO",IF(H2490&lt;CONFIG!$B$5,"BAJO","OK"))))</f>
        <v/>
      </c>
    </row>
    <row r="2491" ht="15.75" hidden="1" customHeight="1">
      <c r="A2491" s="90" t="str">
        <f>IF(CLIENTES!A7="","",CLIENTES!A7)</f>
        <v/>
      </c>
      <c r="B2491" s="90" t="s">
        <v>331</v>
      </c>
      <c r="C2491" s="91" t="s">
        <v>328</v>
      </c>
      <c r="D2491" s="109" t="s">
        <v>366</v>
      </c>
      <c r="E2491" s="67" t="str">
        <f>COLORES!A5</f>
        <v>Perla</v>
      </c>
      <c r="F2491" s="67" t="str">
        <f>COLORES!B5</f>
        <v>PPT</v>
      </c>
      <c r="G2491" s="90" t="s">
        <v>379</v>
      </c>
      <c r="H2491" s="100">
        <f>IFERROR(SUMIFS(MOVIMIENTOS_COMPLEMENTOS!$I$4:$I$803,MOVIMIENTOS_COMPLEMENTOS!$C$4:$C$803,A2491,MOVIMIENTOS_COMPLEMENTOS!$D$4:$D$803,B2491,MOVIMIENTOS_COMPLEMENTOS!$E$4:$E$803,C2491,MOVIMIENTOS_COMPLEMENTOS!$F$4:$F$803,D2491,MOVIMIENTOS_COMPLEMENTOS!$G$4:$G$803,E2491,MOVIMIENTOS_COMPLEMENTOS!$H$4:$H$803,G2491,MOVIMIENTOS_COMPLEMENTOS!$B$4:$B$803,"INGRESO")+SUMIFS(MOVIMIENTOS_COMPLEMENTOS!$I$4:$I$803,MOVIMIENTOS_COMPLEMENTOS!$C$4:$C$803,A2491,MOVIMIENTOS_COMPLEMENTOS!$D$4:$D$803,B2491,MOVIMIENTOS_COMPLEMENTOS!$E$4:$E$803,C2491,MOVIMIENTOS_COMPLEMENTOS!$F$4:$F$803,D2491,MOVIMIENTOS_COMPLEMENTOS!$G$4:$G$803,E2491,MOVIMIENTOS_COMPLEMENTOS!$H$4:$H$803,G2491,MOVIMIENTOS_COMPLEMENTOS!$B$4:$B$803,"DE CORTE")-SUMIFS(MOVIMIENTOS_COMPLEMENTOS!$I$4:$I$803,MOVIMIENTOS_COMPLEMENTOS!$C$4:$C$803,A2491,MOVIMIENTOS_COMPLEMENTOS!$D$4:$D$803,B2491,MOVIMIENTOS_COMPLEMENTOS!$E$4:$E$803,C2491,MOVIMIENTOS_COMPLEMENTOS!$F$4:$F$803,D2491,MOVIMIENTOS_COMPLEMENTOS!$G$4:$G$803,E2491,MOVIMIENTOS_COMPLEMENTOS!$H$4:$H$803,G2491,MOVIMIENTOS_COMPLEMENTOS!$B$4:$B$803,"SALIDA"),0)</f>
        <v>0</v>
      </c>
      <c r="I2491" s="102">
        <f t="array" ref="I2491">IFERROR(INDEX(PRECIOS_COMPLEMENTOS!$C$4:$F$17,MATCH(B2491&amp;"_"&amp;C2491,PRECIOS_COMPLEMENTOS!$H$4:$H$17,0),IF(OR(G2491="S",G2491="20cm"),1,IF(OR(G2491="M",G2491="25cm"),2,IF(OR(G2491="L",G2491="30cm"),3,IF(OR(G2491="XL",G2491="35cm"),4,0))))),0)</f>
        <v>0.6</v>
      </c>
      <c r="J2491" s="103">
        <f t="shared" si="1"/>
        <v>0</v>
      </c>
      <c r="K2491" s="104" t="str">
        <f>IF(H2491&lt;0,"ERROR",IF(H2491=0,"",IF(H2491&lt;CONFIG!$B$4,"CRÍTICO",IF(H2491&lt;CONFIG!$B$5,"BAJO","OK"))))</f>
        <v/>
      </c>
    </row>
    <row r="2492" ht="15.75" hidden="1" customHeight="1">
      <c r="A2492" s="90" t="str">
        <f>IF(CLIENTES!A7="","",CLIENTES!A7)</f>
        <v/>
      </c>
      <c r="B2492" s="90" t="s">
        <v>331</v>
      </c>
      <c r="C2492" s="91" t="s">
        <v>328</v>
      </c>
      <c r="D2492" s="109" t="s">
        <v>366</v>
      </c>
      <c r="E2492" s="67" t="str">
        <f>COLORES!A6</f>
        <v>Blanco</v>
      </c>
      <c r="F2492" s="67" t="str">
        <f>COLORES!B6</f>
        <v>PPT</v>
      </c>
      <c r="G2492" s="90" t="s">
        <v>378</v>
      </c>
      <c r="H2492" s="100">
        <f>IFERROR(SUMIFS(MOVIMIENTOS_COMPLEMENTOS!$I$4:$I$803,MOVIMIENTOS_COMPLEMENTOS!$C$4:$C$803,A2492,MOVIMIENTOS_COMPLEMENTOS!$D$4:$D$803,B2492,MOVIMIENTOS_COMPLEMENTOS!$E$4:$E$803,C2492,MOVIMIENTOS_COMPLEMENTOS!$F$4:$F$803,D2492,MOVIMIENTOS_COMPLEMENTOS!$G$4:$G$803,E2492,MOVIMIENTOS_COMPLEMENTOS!$H$4:$H$803,G2492,MOVIMIENTOS_COMPLEMENTOS!$B$4:$B$803,"INGRESO")+SUMIFS(MOVIMIENTOS_COMPLEMENTOS!$I$4:$I$803,MOVIMIENTOS_COMPLEMENTOS!$C$4:$C$803,A2492,MOVIMIENTOS_COMPLEMENTOS!$D$4:$D$803,B2492,MOVIMIENTOS_COMPLEMENTOS!$E$4:$E$803,C2492,MOVIMIENTOS_COMPLEMENTOS!$F$4:$F$803,D2492,MOVIMIENTOS_COMPLEMENTOS!$G$4:$G$803,E2492,MOVIMIENTOS_COMPLEMENTOS!$H$4:$H$803,G2492,MOVIMIENTOS_COMPLEMENTOS!$B$4:$B$803,"DE CORTE")-SUMIFS(MOVIMIENTOS_COMPLEMENTOS!$I$4:$I$803,MOVIMIENTOS_COMPLEMENTOS!$C$4:$C$803,A2492,MOVIMIENTOS_COMPLEMENTOS!$D$4:$D$803,B2492,MOVIMIENTOS_COMPLEMENTOS!$E$4:$E$803,C2492,MOVIMIENTOS_COMPLEMENTOS!$F$4:$F$803,D2492,MOVIMIENTOS_COMPLEMENTOS!$G$4:$G$803,E2492,MOVIMIENTOS_COMPLEMENTOS!$H$4:$H$803,G2492,MOVIMIENTOS_COMPLEMENTOS!$B$4:$B$803,"SALIDA"),0)</f>
        <v>0</v>
      </c>
      <c r="I2492" s="102">
        <f t="array" ref="I2492">IFERROR(INDEX(PRECIOS_COMPLEMENTOS!$C$4:$F$17,MATCH(B2492&amp;"_"&amp;C2492,PRECIOS_COMPLEMENTOS!$H$4:$H$17,0),IF(OR(G2492="S",G2492="20cm"),1,IF(OR(G2492="M",G2492="25cm"),2,IF(OR(G2492="L",G2492="30cm"),3,IF(OR(G2492="XL",G2492="35cm"),4,0))))),0)</f>
        <v>0.6</v>
      </c>
      <c r="J2492" s="103">
        <f t="shared" si="1"/>
        <v>0</v>
      </c>
      <c r="K2492" s="104" t="str">
        <f>IF(H2492&lt;0,"ERROR",IF(H2492=0,"",IF(H2492&lt;CONFIG!$B$4,"CRÍTICO",IF(H2492&lt;CONFIG!$B$5,"BAJO","OK"))))</f>
        <v/>
      </c>
    </row>
    <row r="2493" ht="15.75" hidden="1" customHeight="1">
      <c r="A2493" s="90" t="str">
        <f>IF(CLIENTES!A7="","",CLIENTES!A7)</f>
        <v/>
      </c>
      <c r="B2493" s="90" t="s">
        <v>331</v>
      </c>
      <c r="C2493" s="91" t="s">
        <v>328</v>
      </c>
      <c r="D2493" s="109" t="s">
        <v>366</v>
      </c>
      <c r="E2493" s="67" t="str">
        <f>COLORES!A6</f>
        <v>Blanco</v>
      </c>
      <c r="F2493" s="67" t="str">
        <f>COLORES!B6</f>
        <v>PPT</v>
      </c>
      <c r="G2493" s="90" t="s">
        <v>376</v>
      </c>
      <c r="H2493" s="100">
        <f>IFERROR(SUMIFS(MOVIMIENTOS_COMPLEMENTOS!$I$4:$I$803,MOVIMIENTOS_COMPLEMENTOS!$C$4:$C$803,A2493,MOVIMIENTOS_COMPLEMENTOS!$D$4:$D$803,B2493,MOVIMIENTOS_COMPLEMENTOS!$E$4:$E$803,C2493,MOVIMIENTOS_COMPLEMENTOS!$F$4:$F$803,D2493,MOVIMIENTOS_COMPLEMENTOS!$G$4:$G$803,E2493,MOVIMIENTOS_COMPLEMENTOS!$H$4:$H$803,G2493,MOVIMIENTOS_COMPLEMENTOS!$B$4:$B$803,"INGRESO")+SUMIFS(MOVIMIENTOS_COMPLEMENTOS!$I$4:$I$803,MOVIMIENTOS_COMPLEMENTOS!$C$4:$C$803,A2493,MOVIMIENTOS_COMPLEMENTOS!$D$4:$D$803,B2493,MOVIMIENTOS_COMPLEMENTOS!$E$4:$E$803,C2493,MOVIMIENTOS_COMPLEMENTOS!$F$4:$F$803,D2493,MOVIMIENTOS_COMPLEMENTOS!$G$4:$G$803,E2493,MOVIMIENTOS_COMPLEMENTOS!$H$4:$H$803,G2493,MOVIMIENTOS_COMPLEMENTOS!$B$4:$B$803,"DE CORTE")-SUMIFS(MOVIMIENTOS_COMPLEMENTOS!$I$4:$I$803,MOVIMIENTOS_COMPLEMENTOS!$C$4:$C$803,A2493,MOVIMIENTOS_COMPLEMENTOS!$D$4:$D$803,B2493,MOVIMIENTOS_COMPLEMENTOS!$E$4:$E$803,C2493,MOVIMIENTOS_COMPLEMENTOS!$F$4:$F$803,D2493,MOVIMIENTOS_COMPLEMENTOS!$G$4:$G$803,E2493,MOVIMIENTOS_COMPLEMENTOS!$H$4:$H$803,G2493,MOVIMIENTOS_COMPLEMENTOS!$B$4:$B$803,"SALIDA"),0)</f>
        <v>0</v>
      </c>
      <c r="I2493" s="102">
        <f t="array" ref="I2493">IFERROR(INDEX(PRECIOS_COMPLEMENTOS!$C$4:$F$17,MATCH(B2493&amp;"_"&amp;C2493,PRECIOS_COMPLEMENTOS!$H$4:$H$17,0),IF(OR(G2493="S",G2493="20cm"),1,IF(OR(G2493="M",G2493="25cm"),2,IF(OR(G2493="L",G2493="30cm"),3,IF(OR(G2493="XL",G2493="35cm"),4,0))))),0)</f>
        <v>0.6</v>
      </c>
      <c r="J2493" s="103">
        <f t="shared" si="1"/>
        <v>0</v>
      </c>
      <c r="K2493" s="104" t="str">
        <f>IF(H2493&lt;0,"ERROR",IF(H2493=0,"",IF(H2493&lt;CONFIG!$B$4,"CRÍTICO",IF(H2493&lt;CONFIG!$B$5,"BAJO","OK"))))</f>
        <v/>
      </c>
    </row>
    <row r="2494" ht="15.75" hidden="1" customHeight="1">
      <c r="A2494" s="90" t="str">
        <f>IF(CLIENTES!A7="","",CLIENTES!A7)</f>
        <v/>
      </c>
      <c r="B2494" s="90" t="s">
        <v>331</v>
      </c>
      <c r="C2494" s="91" t="s">
        <v>328</v>
      </c>
      <c r="D2494" s="109" t="s">
        <v>366</v>
      </c>
      <c r="E2494" s="67" t="str">
        <f>COLORES!A6</f>
        <v>Blanco</v>
      </c>
      <c r="F2494" s="67" t="str">
        <f>COLORES!B6</f>
        <v>PPT</v>
      </c>
      <c r="G2494" s="90" t="s">
        <v>377</v>
      </c>
      <c r="H2494" s="100">
        <f>IFERROR(SUMIFS(MOVIMIENTOS_COMPLEMENTOS!$I$4:$I$803,MOVIMIENTOS_COMPLEMENTOS!$C$4:$C$803,A2494,MOVIMIENTOS_COMPLEMENTOS!$D$4:$D$803,B2494,MOVIMIENTOS_COMPLEMENTOS!$E$4:$E$803,C2494,MOVIMIENTOS_COMPLEMENTOS!$F$4:$F$803,D2494,MOVIMIENTOS_COMPLEMENTOS!$G$4:$G$803,E2494,MOVIMIENTOS_COMPLEMENTOS!$H$4:$H$803,G2494,MOVIMIENTOS_COMPLEMENTOS!$B$4:$B$803,"INGRESO")+SUMIFS(MOVIMIENTOS_COMPLEMENTOS!$I$4:$I$803,MOVIMIENTOS_COMPLEMENTOS!$C$4:$C$803,A2494,MOVIMIENTOS_COMPLEMENTOS!$D$4:$D$803,B2494,MOVIMIENTOS_COMPLEMENTOS!$E$4:$E$803,C2494,MOVIMIENTOS_COMPLEMENTOS!$F$4:$F$803,D2494,MOVIMIENTOS_COMPLEMENTOS!$G$4:$G$803,E2494,MOVIMIENTOS_COMPLEMENTOS!$H$4:$H$803,G2494,MOVIMIENTOS_COMPLEMENTOS!$B$4:$B$803,"DE CORTE")-SUMIFS(MOVIMIENTOS_COMPLEMENTOS!$I$4:$I$803,MOVIMIENTOS_COMPLEMENTOS!$C$4:$C$803,A2494,MOVIMIENTOS_COMPLEMENTOS!$D$4:$D$803,B2494,MOVIMIENTOS_COMPLEMENTOS!$E$4:$E$803,C2494,MOVIMIENTOS_COMPLEMENTOS!$F$4:$F$803,D2494,MOVIMIENTOS_COMPLEMENTOS!$G$4:$G$803,E2494,MOVIMIENTOS_COMPLEMENTOS!$H$4:$H$803,G2494,MOVIMIENTOS_COMPLEMENTOS!$B$4:$B$803,"SALIDA"),0)</f>
        <v>0</v>
      </c>
      <c r="I2494" s="102">
        <f t="array" ref="I2494">IFERROR(INDEX(PRECIOS_COMPLEMENTOS!$C$4:$F$17,MATCH(B2494&amp;"_"&amp;C2494,PRECIOS_COMPLEMENTOS!$H$4:$H$17,0),IF(OR(G2494="S",G2494="20cm"),1,IF(OR(G2494="M",G2494="25cm"),2,IF(OR(G2494="L",G2494="30cm"),3,IF(OR(G2494="XL",G2494="35cm"),4,0))))),0)</f>
        <v>0.6</v>
      </c>
      <c r="J2494" s="103">
        <f t="shared" si="1"/>
        <v>0</v>
      </c>
      <c r="K2494" s="104" t="str">
        <f>IF(H2494&lt;0,"ERROR",IF(H2494=0,"",IF(H2494&lt;CONFIG!$B$4,"CRÍTICO",IF(H2494&lt;CONFIG!$B$5,"BAJO","OK"))))</f>
        <v/>
      </c>
    </row>
    <row r="2495" ht="15.75" hidden="1" customHeight="1">
      <c r="A2495" s="90" t="str">
        <f>IF(CLIENTES!A7="","",CLIENTES!A7)</f>
        <v/>
      </c>
      <c r="B2495" s="90" t="s">
        <v>331</v>
      </c>
      <c r="C2495" s="91" t="s">
        <v>328</v>
      </c>
      <c r="D2495" s="109" t="s">
        <v>366</v>
      </c>
      <c r="E2495" s="67" t="str">
        <f>COLORES!A6</f>
        <v>Blanco</v>
      </c>
      <c r="F2495" s="67" t="str">
        <f>COLORES!B6</f>
        <v>PPT</v>
      </c>
      <c r="G2495" s="90" t="s">
        <v>379</v>
      </c>
      <c r="H2495" s="100">
        <f>IFERROR(SUMIFS(MOVIMIENTOS_COMPLEMENTOS!$I$4:$I$803,MOVIMIENTOS_COMPLEMENTOS!$C$4:$C$803,A2495,MOVIMIENTOS_COMPLEMENTOS!$D$4:$D$803,B2495,MOVIMIENTOS_COMPLEMENTOS!$E$4:$E$803,C2495,MOVIMIENTOS_COMPLEMENTOS!$F$4:$F$803,D2495,MOVIMIENTOS_COMPLEMENTOS!$G$4:$G$803,E2495,MOVIMIENTOS_COMPLEMENTOS!$H$4:$H$803,G2495,MOVIMIENTOS_COMPLEMENTOS!$B$4:$B$803,"INGRESO")+SUMIFS(MOVIMIENTOS_COMPLEMENTOS!$I$4:$I$803,MOVIMIENTOS_COMPLEMENTOS!$C$4:$C$803,A2495,MOVIMIENTOS_COMPLEMENTOS!$D$4:$D$803,B2495,MOVIMIENTOS_COMPLEMENTOS!$E$4:$E$803,C2495,MOVIMIENTOS_COMPLEMENTOS!$F$4:$F$803,D2495,MOVIMIENTOS_COMPLEMENTOS!$G$4:$G$803,E2495,MOVIMIENTOS_COMPLEMENTOS!$H$4:$H$803,G2495,MOVIMIENTOS_COMPLEMENTOS!$B$4:$B$803,"DE CORTE")-SUMIFS(MOVIMIENTOS_COMPLEMENTOS!$I$4:$I$803,MOVIMIENTOS_COMPLEMENTOS!$C$4:$C$803,A2495,MOVIMIENTOS_COMPLEMENTOS!$D$4:$D$803,B2495,MOVIMIENTOS_COMPLEMENTOS!$E$4:$E$803,C2495,MOVIMIENTOS_COMPLEMENTOS!$F$4:$F$803,D2495,MOVIMIENTOS_COMPLEMENTOS!$G$4:$G$803,E2495,MOVIMIENTOS_COMPLEMENTOS!$H$4:$H$803,G2495,MOVIMIENTOS_COMPLEMENTOS!$B$4:$B$803,"SALIDA"),0)</f>
        <v>0</v>
      </c>
      <c r="I2495" s="102">
        <f t="array" ref="I2495">IFERROR(INDEX(PRECIOS_COMPLEMENTOS!$C$4:$F$17,MATCH(B2495&amp;"_"&amp;C2495,PRECIOS_COMPLEMENTOS!$H$4:$H$17,0),IF(OR(G2495="S",G2495="20cm"),1,IF(OR(G2495="M",G2495="25cm"),2,IF(OR(G2495="L",G2495="30cm"),3,IF(OR(G2495="XL",G2495="35cm"),4,0))))),0)</f>
        <v>0.6</v>
      </c>
      <c r="J2495" s="103">
        <f t="shared" si="1"/>
        <v>0</v>
      </c>
      <c r="K2495" s="104" t="str">
        <f>IF(H2495&lt;0,"ERROR",IF(H2495=0,"",IF(H2495&lt;CONFIG!$B$4,"CRÍTICO",IF(H2495&lt;CONFIG!$B$5,"BAJO","OK"))))</f>
        <v/>
      </c>
    </row>
    <row r="2496" ht="15.75" hidden="1" customHeight="1">
      <c r="A2496" s="90" t="str">
        <f>IF(CLIENTES!A7="","",CLIENTES!A7)</f>
        <v/>
      </c>
      <c r="B2496" s="90" t="s">
        <v>331</v>
      </c>
      <c r="C2496" s="91" t="s">
        <v>328</v>
      </c>
      <c r="D2496" s="109" t="s">
        <v>366</v>
      </c>
      <c r="E2496" s="67" t="str">
        <f>COLORES!A7</f>
        <v>Azul</v>
      </c>
      <c r="F2496" s="67" t="str">
        <f>COLORES!B7</f>
        <v>OSCURO</v>
      </c>
      <c r="G2496" s="90" t="s">
        <v>378</v>
      </c>
      <c r="H2496" s="100">
        <f>IFERROR(SUMIFS(MOVIMIENTOS_COMPLEMENTOS!$I$4:$I$803,MOVIMIENTOS_COMPLEMENTOS!$C$4:$C$803,A2496,MOVIMIENTOS_COMPLEMENTOS!$D$4:$D$803,B2496,MOVIMIENTOS_COMPLEMENTOS!$E$4:$E$803,C2496,MOVIMIENTOS_COMPLEMENTOS!$F$4:$F$803,D2496,MOVIMIENTOS_COMPLEMENTOS!$G$4:$G$803,E2496,MOVIMIENTOS_COMPLEMENTOS!$H$4:$H$803,G2496,MOVIMIENTOS_COMPLEMENTOS!$B$4:$B$803,"INGRESO")+SUMIFS(MOVIMIENTOS_COMPLEMENTOS!$I$4:$I$803,MOVIMIENTOS_COMPLEMENTOS!$C$4:$C$803,A2496,MOVIMIENTOS_COMPLEMENTOS!$D$4:$D$803,B2496,MOVIMIENTOS_COMPLEMENTOS!$E$4:$E$803,C2496,MOVIMIENTOS_COMPLEMENTOS!$F$4:$F$803,D2496,MOVIMIENTOS_COMPLEMENTOS!$G$4:$G$803,E2496,MOVIMIENTOS_COMPLEMENTOS!$H$4:$H$803,G2496,MOVIMIENTOS_COMPLEMENTOS!$B$4:$B$803,"DE CORTE")-SUMIFS(MOVIMIENTOS_COMPLEMENTOS!$I$4:$I$803,MOVIMIENTOS_COMPLEMENTOS!$C$4:$C$803,A2496,MOVIMIENTOS_COMPLEMENTOS!$D$4:$D$803,B2496,MOVIMIENTOS_COMPLEMENTOS!$E$4:$E$803,C2496,MOVIMIENTOS_COMPLEMENTOS!$F$4:$F$803,D2496,MOVIMIENTOS_COMPLEMENTOS!$G$4:$G$803,E2496,MOVIMIENTOS_COMPLEMENTOS!$H$4:$H$803,G2496,MOVIMIENTOS_COMPLEMENTOS!$B$4:$B$803,"SALIDA"),0)</f>
        <v>0</v>
      </c>
      <c r="I2496" s="102">
        <f t="array" ref="I2496">IFERROR(INDEX(PRECIOS_COMPLEMENTOS!$C$4:$F$17,MATCH(B2496&amp;"_"&amp;C2496,PRECIOS_COMPLEMENTOS!$H$4:$H$17,0),IF(OR(G2496="S",G2496="20cm"),1,IF(OR(G2496="M",G2496="25cm"),2,IF(OR(G2496="L",G2496="30cm"),3,IF(OR(G2496="XL",G2496="35cm"),4,0))))),0)</f>
        <v>0.6</v>
      </c>
      <c r="J2496" s="103">
        <f t="shared" si="1"/>
        <v>0</v>
      </c>
      <c r="K2496" s="104" t="str">
        <f>IF(H2496&lt;0,"ERROR",IF(H2496=0,"",IF(H2496&lt;CONFIG!$B$4,"CRÍTICO",IF(H2496&lt;CONFIG!$B$5,"BAJO","OK"))))</f>
        <v/>
      </c>
    </row>
    <row r="2497" ht="15.75" hidden="1" customHeight="1">
      <c r="A2497" s="90" t="str">
        <f>IF(CLIENTES!A7="","",CLIENTES!A7)</f>
        <v/>
      </c>
      <c r="B2497" s="90" t="s">
        <v>331</v>
      </c>
      <c r="C2497" s="91" t="s">
        <v>328</v>
      </c>
      <c r="D2497" s="109" t="s">
        <v>366</v>
      </c>
      <c r="E2497" s="67" t="str">
        <f>COLORES!A7</f>
        <v>Azul</v>
      </c>
      <c r="F2497" s="67" t="str">
        <f>COLORES!B7</f>
        <v>OSCURO</v>
      </c>
      <c r="G2497" s="90" t="s">
        <v>376</v>
      </c>
      <c r="H2497" s="100">
        <f>IFERROR(SUMIFS(MOVIMIENTOS_COMPLEMENTOS!$I$4:$I$803,MOVIMIENTOS_COMPLEMENTOS!$C$4:$C$803,A2497,MOVIMIENTOS_COMPLEMENTOS!$D$4:$D$803,B2497,MOVIMIENTOS_COMPLEMENTOS!$E$4:$E$803,C2497,MOVIMIENTOS_COMPLEMENTOS!$F$4:$F$803,D2497,MOVIMIENTOS_COMPLEMENTOS!$G$4:$G$803,E2497,MOVIMIENTOS_COMPLEMENTOS!$H$4:$H$803,G2497,MOVIMIENTOS_COMPLEMENTOS!$B$4:$B$803,"INGRESO")+SUMIFS(MOVIMIENTOS_COMPLEMENTOS!$I$4:$I$803,MOVIMIENTOS_COMPLEMENTOS!$C$4:$C$803,A2497,MOVIMIENTOS_COMPLEMENTOS!$D$4:$D$803,B2497,MOVIMIENTOS_COMPLEMENTOS!$E$4:$E$803,C2497,MOVIMIENTOS_COMPLEMENTOS!$F$4:$F$803,D2497,MOVIMIENTOS_COMPLEMENTOS!$G$4:$G$803,E2497,MOVIMIENTOS_COMPLEMENTOS!$H$4:$H$803,G2497,MOVIMIENTOS_COMPLEMENTOS!$B$4:$B$803,"DE CORTE")-SUMIFS(MOVIMIENTOS_COMPLEMENTOS!$I$4:$I$803,MOVIMIENTOS_COMPLEMENTOS!$C$4:$C$803,A2497,MOVIMIENTOS_COMPLEMENTOS!$D$4:$D$803,B2497,MOVIMIENTOS_COMPLEMENTOS!$E$4:$E$803,C2497,MOVIMIENTOS_COMPLEMENTOS!$F$4:$F$803,D2497,MOVIMIENTOS_COMPLEMENTOS!$G$4:$G$803,E2497,MOVIMIENTOS_COMPLEMENTOS!$H$4:$H$803,G2497,MOVIMIENTOS_COMPLEMENTOS!$B$4:$B$803,"SALIDA"),0)</f>
        <v>0</v>
      </c>
      <c r="I2497" s="102">
        <f t="array" ref="I2497">IFERROR(INDEX(PRECIOS_COMPLEMENTOS!$C$4:$F$17,MATCH(B2497&amp;"_"&amp;C2497,PRECIOS_COMPLEMENTOS!$H$4:$H$17,0),IF(OR(G2497="S",G2497="20cm"),1,IF(OR(G2497="M",G2497="25cm"),2,IF(OR(G2497="L",G2497="30cm"),3,IF(OR(G2497="XL",G2497="35cm"),4,0))))),0)</f>
        <v>0.6</v>
      </c>
      <c r="J2497" s="103">
        <f t="shared" si="1"/>
        <v>0</v>
      </c>
      <c r="K2497" s="104" t="str">
        <f>IF(H2497&lt;0,"ERROR",IF(H2497=0,"",IF(H2497&lt;CONFIG!$B$4,"CRÍTICO",IF(H2497&lt;CONFIG!$B$5,"BAJO","OK"))))</f>
        <v/>
      </c>
    </row>
    <row r="2498" ht="15.75" hidden="1" customHeight="1">
      <c r="A2498" s="90" t="str">
        <f>IF(CLIENTES!A7="","",CLIENTES!A7)</f>
        <v/>
      </c>
      <c r="B2498" s="90" t="s">
        <v>331</v>
      </c>
      <c r="C2498" s="91" t="s">
        <v>328</v>
      </c>
      <c r="D2498" s="109" t="s">
        <v>366</v>
      </c>
      <c r="E2498" s="67" t="str">
        <f>COLORES!A7</f>
        <v>Azul</v>
      </c>
      <c r="F2498" s="67" t="str">
        <f>COLORES!B7</f>
        <v>OSCURO</v>
      </c>
      <c r="G2498" s="90" t="s">
        <v>377</v>
      </c>
      <c r="H2498" s="100">
        <f>IFERROR(SUMIFS(MOVIMIENTOS_COMPLEMENTOS!$I$4:$I$803,MOVIMIENTOS_COMPLEMENTOS!$C$4:$C$803,A2498,MOVIMIENTOS_COMPLEMENTOS!$D$4:$D$803,B2498,MOVIMIENTOS_COMPLEMENTOS!$E$4:$E$803,C2498,MOVIMIENTOS_COMPLEMENTOS!$F$4:$F$803,D2498,MOVIMIENTOS_COMPLEMENTOS!$G$4:$G$803,E2498,MOVIMIENTOS_COMPLEMENTOS!$H$4:$H$803,G2498,MOVIMIENTOS_COMPLEMENTOS!$B$4:$B$803,"INGRESO")+SUMIFS(MOVIMIENTOS_COMPLEMENTOS!$I$4:$I$803,MOVIMIENTOS_COMPLEMENTOS!$C$4:$C$803,A2498,MOVIMIENTOS_COMPLEMENTOS!$D$4:$D$803,B2498,MOVIMIENTOS_COMPLEMENTOS!$E$4:$E$803,C2498,MOVIMIENTOS_COMPLEMENTOS!$F$4:$F$803,D2498,MOVIMIENTOS_COMPLEMENTOS!$G$4:$G$803,E2498,MOVIMIENTOS_COMPLEMENTOS!$H$4:$H$803,G2498,MOVIMIENTOS_COMPLEMENTOS!$B$4:$B$803,"DE CORTE")-SUMIFS(MOVIMIENTOS_COMPLEMENTOS!$I$4:$I$803,MOVIMIENTOS_COMPLEMENTOS!$C$4:$C$803,A2498,MOVIMIENTOS_COMPLEMENTOS!$D$4:$D$803,B2498,MOVIMIENTOS_COMPLEMENTOS!$E$4:$E$803,C2498,MOVIMIENTOS_COMPLEMENTOS!$F$4:$F$803,D2498,MOVIMIENTOS_COMPLEMENTOS!$G$4:$G$803,E2498,MOVIMIENTOS_COMPLEMENTOS!$H$4:$H$803,G2498,MOVIMIENTOS_COMPLEMENTOS!$B$4:$B$803,"SALIDA"),0)</f>
        <v>0</v>
      </c>
      <c r="I2498" s="102">
        <f t="array" ref="I2498">IFERROR(INDEX(PRECIOS_COMPLEMENTOS!$C$4:$F$17,MATCH(B2498&amp;"_"&amp;C2498,PRECIOS_COMPLEMENTOS!$H$4:$H$17,0),IF(OR(G2498="S",G2498="20cm"),1,IF(OR(G2498="M",G2498="25cm"),2,IF(OR(G2498="L",G2498="30cm"),3,IF(OR(G2498="XL",G2498="35cm"),4,0))))),0)</f>
        <v>0.6</v>
      </c>
      <c r="J2498" s="103">
        <f t="shared" si="1"/>
        <v>0</v>
      </c>
      <c r="K2498" s="104" t="str">
        <f>IF(H2498&lt;0,"ERROR",IF(H2498=0,"",IF(H2498&lt;CONFIG!$B$4,"CRÍTICO",IF(H2498&lt;CONFIG!$B$5,"BAJO","OK"))))</f>
        <v/>
      </c>
    </row>
    <row r="2499" ht="15.75" hidden="1" customHeight="1">
      <c r="A2499" s="90" t="str">
        <f>IF(CLIENTES!A7="","",CLIENTES!A7)</f>
        <v/>
      </c>
      <c r="B2499" s="90" t="s">
        <v>331</v>
      </c>
      <c r="C2499" s="91" t="s">
        <v>328</v>
      </c>
      <c r="D2499" s="109" t="s">
        <v>366</v>
      </c>
      <c r="E2499" s="67" t="str">
        <f>COLORES!A7</f>
        <v>Azul</v>
      </c>
      <c r="F2499" s="67" t="str">
        <f>COLORES!B7</f>
        <v>OSCURO</v>
      </c>
      <c r="G2499" s="90" t="s">
        <v>379</v>
      </c>
      <c r="H2499" s="100">
        <f>IFERROR(SUMIFS(MOVIMIENTOS_COMPLEMENTOS!$I$4:$I$803,MOVIMIENTOS_COMPLEMENTOS!$C$4:$C$803,A2499,MOVIMIENTOS_COMPLEMENTOS!$D$4:$D$803,B2499,MOVIMIENTOS_COMPLEMENTOS!$E$4:$E$803,C2499,MOVIMIENTOS_COMPLEMENTOS!$F$4:$F$803,D2499,MOVIMIENTOS_COMPLEMENTOS!$G$4:$G$803,E2499,MOVIMIENTOS_COMPLEMENTOS!$H$4:$H$803,G2499,MOVIMIENTOS_COMPLEMENTOS!$B$4:$B$803,"INGRESO")+SUMIFS(MOVIMIENTOS_COMPLEMENTOS!$I$4:$I$803,MOVIMIENTOS_COMPLEMENTOS!$C$4:$C$803,A2499,MOVIMIENTOS_COMPLEMENTOS!$D$4:$D$803,B2499,MOVIMIENTOS_COMPLEMENTOS!$E$4:$E$803,C2499,MOVIMIENTOS_COMPLEMENTOS!$F$4:$F$803,D2499,MOVIMIENTOS_COMPLEMENTOS!$G$4:$G$803,E2499,MOVIMIENTOS_COMPLEMENTOS!$H$4:$H$803,G2499,MOVIMIENTOS_COMPLEMENTOS!$B$4:$B$803,"DE CORTE")-SUMIFS(MOVIMIENTOS_COMPLEMENTOS!$I$4:$I$803,MOVIMIENTOS_COMPLEMENTOS!$C$4:$C$803,A2499,MOVIMIENTOS_COMPLEMENTOS!$D$4:$D$803,B2499,MOVIMIENTOS_COMPLEMENTOS!$E$4:$E$803,C2499,MOVIMIENTOS_COMPLEMENTOS!$F$4:$F$803,D2499,MOVIMIENTOS_COMPLEMENTOS!$G$4:$G$803,E2499,MOVIMIENTOS_COMPLEMENTOS!$H$4:$H$803,G2499,MOVIMIENTOS_COMPLEMENTOS!$B$4:$B$803,"SALIDA"),0)</f>
        <v>0</v>
      </c>
      <c r="I2499" s="102">
        <f t="array" ref="I2499">IFERROR(INDEX(PRECIOS_COMPLEMENTOS!$C$4:$F$17,MATCH(B2499&amp;"_"&amp;C2499,PRECIOS_COMPLEMENTOS!$H$4:$H$17,0),IF(OR(G2499="S",G2499="20cm"),1,IF(OR(G2499="M",G2499="25cm"),2,IF(OR(G2499="L",G2499="30cm"),3,IF(OR(G2499="XL",G2499="35cm"),4,0))))),0)</f>
        <v>0.6</v>
      </c>
      <c r="J2499" s="103">
        <f t="shared" si="1"/>
        <v>0</v>
      </c>
      <c r="K2499" s="104" t="str">
        <f>IF(H2499&lt;0,"ERROR",IF(H2499=0,"",IF(H2499&lt;CONFIG!$B$4,"CRÍTICO",IF(H2499&lt;CONFIG!$B$5,"BAJO","OK"))))</f>
        <v/>
      </c>
    </row>
    <row r="2500" ht="15.75" hidden="1" customHeight="1">
      <c r="A2500" s="90" t="str">
        <f>IF(CLIENTES!A7="","",CLIENTES!A7)</f>
        <v/>
      </c>
      <c r="B2500" s="90" t="s">
        <v>331</v>
      </c>
      <c r="C2500" s="91" t="s">
        <v>328</v>
      </c>
      <c r="D2500" s="109" t="s">
        <v>366</v>
      </c>
      <c r="E2500" s="67" t="str">
        <f>COLORES!A8</f>
        <v>Beige</v>
      </c>
      <c r="F2500" s="67" t="str">
        <f>COLORES!B8</f>
        <v>CLARO</v>
      </c>
      <c r="G2500" s="90" t="s">
        <v>378</v>
      </c>
      <c r="H2500" s="100">
        <f>IFERROR(SUMIFS(MOVIMIENTOS_COMPLEMENTOS!$I$4:$I$803,MOVIMIENTOS_COMPLEMENTOS!$C$4:$C$803,A2500,MOVIMIENTOS_COMPLEMENTOS!$D$4:$D$803,B2500,MOVIMIENTOS_COMPLEMENTOS!$E$4:$E$803,C2500,MOVIMIENTOS_COMPLEMENTOS!$F$4:$F$803,D2500,MOVIMIENTOS_COMPLEMENTOS!$G$4:$G$803,E2500,MOVIMIENTOS_COMPLEMENTOS!$H$4:$H$803,G2500,MOVIMIENTOS_COMPLEMENTOS!$B$4:$B$803,"INGRESO")+SUMIFS(MOVIMIENTOS_COMPLEMENTOS!$I$4:$I$803,MOVIMIENTOS_COMPLEMENTOS!$C$4:$C$803,A2500,MOVIMIENTOS_COMPLEMENTOS!$D$4:$D$803,B2500,MOVIMIENTOS_COMPLEMENTOS!$E$4:$E$803,C2500,MOVIMIENTOS_COMPLEMENTOS!$F$4:$F$803,D2500,MOVIMIENTOS_COMPLEMENTOS!$G$4:$G$803,E2500,MOVIMIENTOS_COMPLEMENTOS!$H$4:$H$803,G2500,MOVIMIENTOS_COMPLEMENTOS!$B$4:$B$803,"DE CORTE")-SUMIFS(MOVIMIENTOS_COMPLEMENTOS!$I$4:$I$803,MOVIMIENTOS_COMPLEMENTOS!$C$4:$C$803,A2500,MOVIMIENTOS_COMPLEMENTOS!$D$4:$D$803,B2500,MOVIMIENTOS_COMPLEMENTOS!$E$4:$E$803,C2500,MOVIMIENTOS_COMPLEMENTOS!$F$4:$F$803,D2500,MOVIMIENTOS_COMPLEMENTOS!$G$4:$G$803,E2500,MOVIMIENTOS_COMPLEMENTOS!$H$4:$H$803,G2500,MOVIMIENTOS_COMPLEMENTOS!$B$4:$B$803,"SALIDA"),0)</f>
        <v>0</v>
      </c>
      <c r="I2500" s="102">
        <f t="array" ref="I2500">IFERROR(INDEX(PRECIOS_COMPLEMENTOS!$C$4:$F$17,MATCH(B2500&amp;"_"&amp;C2500,PRECIOS_COMPLEMENTOS!$H$4:$H$17,0),IF(OR(G2500="S",G2500="20cm"),1,IF(OR(G2500="M",G2500="25cm"),2,IF(OR(G2500="L",G2500="30cm"),3,IF(OR(G2500="XL",G2500="35cm"),4,0))))),0)</f>
        <v>0.6</v>
      </c>
      <c r="J2500" s="103">
        <f t="shared" si="1"/>
        <v>0</v>
      </c>
      <c r="K2500" s="104" t="str">
        <f>IF(H2500&lt;0,"ERROR",IF(H2500=0,"",IF(H2500&lt;CONFIG!$B$4,"CRÍTICO",IF(H2500&lt;CONFIG!$B$5,"BAJO","OK"))))</f>
        <v/>
      </c>
    </row>
    <row r="2501" ht="15.75" hidden="1" customHeight="1">
      <c r="A2501" s="90" t="str">
        <f>IF(CLIENTES!A7="","",CLIENTES!A7)</f>
        <v/>
      </c>
      <c r="B2501" s="90" t="s">
        <v>331</v>
      </c>
      <c r="C2501" s="91" t="s">
        <v>328</v>
      </c>
      <c r="D2501" s="109" t="s">
        <v>366</v>
      </c>
      <c r="E2501" s="67" t="str">
        <f>COLORES!A8</f>
        <v>Beige</v>
      </c>
      <c r="F2501" s="67" t="str">
        <f>COLORES!B8</f>
        <v>CLARO</v>
      </c>
      <c r="G2501" s="90" t="s">
        <v>376</v>
      </c>
      <c r="H2501" s="100">
        <f>IFERROR(SUMIFS(MOVIMIENTOS_COMPLEMENTOS!$I$4:$I$803,MOVIMIENTOS_COMPLEMENTOS!$C$4:$C$803,A2501,MOVIMIENTOS_COMPLEMENTOS!$D$4:$D$803,B2501,MOVIMIENTOS_COMPLEMENTOS!$E$4:$E$803,C2501,MOVIMIENTOS_COMPLEMENTOS!$F$4:$F$803,D2501,MOVIMIENTOS_COMPLEMENTOS!$G$4:$G$803,E2501,MOVIMIENTOS_COMPLEMENTOS!$H$4:$H$803,G2501,MOVIMIENTOS_COMPLEMENTOS!$B$4:$B$803,"INGRESO")+SUMIFS(MOVIMIENTOS_COMPLEMENTOS!$I$4:$I$803,MOVIMIENTOS_COMPLEMENTOS!$C$4:$C$803,A2501,MOVIMIENTOS_COMPLEMENTOS!$D$4:$D$803,B2501,MOVIMIENTOS_COMPLEMENTOS!$E$4:$E$803,C2501,MOVIMIENTOS_COMPLEMENTOS!$F$4:$F$803,D2501,MOVIMIENTOS_COMPLEMENTOS!$G$4:$G$803,E2501,MOVIMIENTOS_COMPLEMENTOS!$H$4:$H$803,G2501,MOVIMIENTOS_COMPLEMENTOS!$B$4:$B$803,"DE CORTE")-SUMIFS(MOVIMIENTOS_COMPLEMENTOS!$I$4:$I$803,MOVIMIENTOS_COMPLEMENTOS!$C$4:$C$803,A2501,MOVIMIENTOS_COMPLEMENTOS!$D$4:$D$803,B2501,MOVIMIENTOS_COMPLEMENTOS!$E$4:$E$803,C2501,MOVIMIENTOS_COMPLEMENTOS!$F$4:$F$803,D2501,MOVIMIENTOS_COMPLEMENTOS!$G$4:$G$803,E2501,MOVIMIENTOS_COMPLEMENTOS!$H$4:$H$803,G2501,MOVIMIENTOS_COMPLEMENTOS!$B$4:$B$803,"SALIDA"),0)</f>
        <v>0</v>
      </c>
      <c r="I2501" s="102">
        <f t="array" ref="I2501">IFERROR(INDEX(PRECIOS_COMPLEMENTOS!$C$4:$F$17,MATCH(B2501&amp;"_"&amp;C2501,PRECIOS_COMPLEMENTOS!$H$4:$H$17,0),IF(OR(G2501="S",G2501="20cm"),1,IF(OR(G2501="M",G2501="25cm"),2,IF(OR(G2501="L",G2501="30cm"),3,IF(OR(G2501="XL",G2501="35cm"),4,0))))),0)</f>
        <v>0.6</v>
      </c>
      <c r="J2501" s="103">
        <f t="shared" si="1"/>
        <v>0</v>
      </c>
      <c r="K2501" s="104" t="str">
        <f>IF(H2501&lt;0,"ERROR",IF(H2501=0,"",IF(H2501&lt;CONFIG!$B$4,"CRÍTICO",IF(H2501&lt;CONFIG!$B$5,"BAJO","OK"))))</f>
        <v/>
      </c>
    </row>
    <row r="2502" ht="15.75" hidden="1" customHeight="1">
      <c r="A2502" s="90" t="str">
        <f>IF(CLIENTES!A7="","",CLIENTES!A7)</f>
        <v/>
      </c>
      <c r="B2502" s="90" t="s">
        <v>331</v>
      </c>
      <c r="C2502" s="91" t="s">
        <v>328</v>
      </c>
      <c r="D2502" s="109" t="s">
        <v>366</v>
      </c>
      <c r="E2502" s="67" t="str">
        <f>COLORES!A8</f>
        <v>Beige</v>
      </c>
      <c r="F2502" s="67" t="str">
        <f>COLORES!B8</f>
        <v>CLARO</v>
      </c>
      <c r="G2502" s="90" t="s">
        <v>377</v>
      </c>
      <c r="H2502" s="100">
        <f>IFERROR(SUMIFS(MOVIMIENTOS_COMPLEMENTOS!$I$4:$I$803,MOVIMIENTOS_COMPLEMENTOS!$C$4:$C$803,A2502,MOVIMIENTOS_COMPLEMENTOS!$D$4:$D$803,B2502,MOVIMIENTOS_COMPLEMENTOS!$E$4:$E$803,C2502,MOVIMIENTOS_COMPLEMENTOS!$F$4:$F$803,D2502,MOVIMIENTOS_COMPLEMENTOS!$G$4:$G$803,E2502,MOVIMIENTOS_COMPLEMENTOS!$H$4:$H$803,G2502,MOVIMIENTOS_COMPLEMENTOS!$B$4:$B$803,"INGRESO")+SUMIFS(MOVIMIENTOS_COMPLEMENTOS!$I$4:$I$803,MOVIMIENTOS_COMPLEMENTOS!$C$4:$C$803,A2502,MOVIMIENTOS_COMPLEMENTOS!$D$4:$D$803,B2502,MOVIMIENTOS_COMPLEMENTOS!$E$4:$E$803,C2502,MOVIMIENTOS_COMPLEMENTOS!$F$4:$F$803,D2502,MOVIMIENTOS_COMPLEMENTOS!$G$4:$G$803,E2502,MOVIMIENTOS_COMPLEMENTOS!$H$4:$H$803,G2502,MOVIMIENTOS_COMPLEMENTOS!$B$4:$B$803,"DE CORTE")-SUMIFS(MOVIMIENTOS_COMPLEMENTOS!$I$4:$I$803,MOVIMIENTOS_COMPLEMENTOS!$C$4:$C$803,A2502,MOVIMIENTOS_COMPLEMENTOS!$D$4:$D$803,B2502,MOVIMIENTOS_COMPLEMENTOS!$E$4:$E$803,C2502,MOVIMIENTOS_COMPLEMENTOS!$F$4:$F$803,D2502,MOVIMIENTOS_COMPLEMENTOS!$G$4:$G$803,E2502,MOVIMIENTOS_COMPLEMENTOS!$H$4:$H$803,G2502,MOVIMIENTOS_COMPLEMENTOS!$B$4:$B$803,"SALIDA"),0)</f>
        <v>0</v>
      </c>
      <c r="I2502" s="102">
        <f t="array" ref="I2502">IFERROR(INDEX(PRECIOS_COMPLEMENTOS!$C$4:$F$17,MATCH(B2502&amp;"_"&amp;C2502,PRECIOS_COMPLEMENTOS!$H$4:$H$17,0),IF(OR(G2502="S",G2502="20cm"),1,IF(OR(G2502="M",G2502="25cm"),2,IF(OR(G2502="L",G2502="30cm"),3,IF(OR(G2502="XL",G2502="35cm"),4,0))))),0)</f>
        <v>0.6</v>
      </c>
      <c r="J2502" s="103">
        <f t="shared" si="1"/>
        <v>0</v>
      </c>
      <c r="K2502" s="104" t="str">
        <f>IF(H2502&lt;0,"ERROR",IF(H2502=0,"",IF(H2502&lt;CONFIG!$B$4,"CRÍTICO",IF(H2502&lt;CONFIG!$B$5,"BAJO","OK"))))</f>
        <v/>
      </c>
    </row>
    <row r="2503" ht="15.75" hidden="1" customHeight="1">
      <c r="A2503" s="90" t="str">
        <f>IF(CLIENTES!A7="","",CLIENTES!A7)</f>
        <v/>
      </c>
      <c r="B2503" s="90" t="s">
        <v>331</v>
      </c>
      <c r="C2503" s="91" t="s">
        <v>328</v>
      </c>
      <c r="D2503" s="109" t="s">
        <v>366</v>
      </c>
      <c r="E2503" s="67" t="str">
        <f>COLORES!A8</f>
        <v>Beige</v>
      </c>
      <c r="F2503" s="67" t="str">
        <f>COLORES!B8</f>
        <v>CLARO</v>
      </c>
      <c r="G2503" s="90" t="s">
        <v>379</v>
      </c>
      <c r="H2503" s="100">
        <f>IFERROR(SUMIFS(MOVIMIENTOS_COMPLEMENTOS!$I$4:$I$803,MOVIMIENTOS_COMPLEMENTOS!$C$4:$C$803,A2503,MOVIMIENTOS_COMPLEMENTOS!$D$4:$D$803,B2503,MOVIMIENTOS_COMPLEMENTOS!$E$4:$E$803,C2503,MOVIMIENTOS_COMPLEMENTOS!$F$4:$F$803,D2503,MOVIMIENTOS_COMPLEMENTOS!$G$4:$G$803,E2503,MOVIMIENTOS_COMPLEMENTOS!$H$4:$H$803,G2503,MOVIMIENTOS_COMPLEMENTOS!$B$4:$B$803,"INGRESO")+SUMIFS(MOVIMIENTOS_COMPLEMENTOS!$I$4:$I$803,MOVIMIENTOS_COMPLEMENTOS!$C$4:$C$803,A2503,MOVIMIENTOS_COMPLEMENTOS!$D$4:$D$803,B2503,MOVIMIENTOS_COMPLEMENTOS!$E$4:$E$803,C2503,MOVIMIENTOS_COMPLEMENTOS!$F$4:$F$803,D2503,MOVIMIENTOS_COMPLEMENTOS!$G$4:$G$803,E2503,MOVIMIENTOS_COMPLEMENTOS!$H$4:$H$803,G2503,MOVIMIENTOS_COMPLEMENTOS!$B$4:$B$803,"DE CORTE")-SUMIFS(MOVIMIENTOS_COMPLEMENTOS!$I$4:$I$803,MOVIMIENTOS_COMPLEMENTOS!$C$4:$C$803,A2503,MOVIMIENTOS_COMPLEMENTOS!$D$4:$D$803,B2503,MOVIMIENTOS_COMPLEMENTOS!$E$4:$E$803,C2503,MOVIMIENTOS_COMPLEMENTOS!$F$4:$F$803,D2503,MOVIMIENTOS_COMPLEMENTOS!$G$4:$G$803,E2503,MOVIMIENTOS_COMPLEMENTOS!$H$4:$H$803,G2503,MOVIMIENTOS_COMPLEMENTOS!$B$4:$B$803,"SALIDA"),0)</f>
        <v>0</v>
      </c>
      <c r="I2503" s="102">
        <f t="array" ref="I2503">IFERROR(INDEX(PRECIOS_COMPLEMENTOS!$C$4:$F$17,MATCH(B2503&amp;"_"&amp;C2503,PRECIOS_COMPLEMENTOS!$H$4:$H$17,0),IF(OR(G2503="S",G2503="20cm"),1,IF(OR(G2503="M",G2503="25cm"),2,IF(OR(G2503="L",G2503="30cm"),3,IF(OR(G2503="XL",G2503="35cm"),4,0))))),0)</f>
        <v>0.6</v>
      </c>
      <c r="J2503" s="103">
        <f t="shared" si="1"/>
        <v>0</v>
      </c>
      <c r="K2503" s="104" t="str">
        <f>IF(H2503&lt;0,"ERROR",IF(H2503=0,"",IF(H2503&lt;CONFIG!$B$4,"CRÍTICO",IF(H2503&lt;CONFIG!$B$5,"BAJO","OK"))))</f>
        <v/>
      </c>
    </row>
    <row r="2504" ht="15.75" hidden="1" customHeight="1">
      <c r="A2504" s="90" t="str">
        <f>IF(CLIENTES!A7="","",CLIENTES!A7)</f>
        <v/>
      </c>
      <c r="B2504" s="90" t="s">
        <v>331</v>
      </c>
      <c r="C2504" s="91" t="s">
        <v>328</v>
      </c>
      <c r="D2504" s="109" t="s">
        <v>366</v>
      </c>
      <c r="E2504" s="67" t="str">
        <f>COLORES!A9</f>
        <v>Melange</v>
      </c>
      <c r="F2504" s="67" t="str">
        <f>COLORES!B9</f>
        <v>MELANGE</v>
      </c>
      <c r="G2504" s="90" t="s">
        <v>378</v>
      </c>
      <c r="H2504" s="100">
        <f>IFERROR(SUMIFS(MOVIMIENTOS_COMPLEMENTOS!$I$4:$I$803,MOVIMIENTOS_COMPLEMENTOS!$C$4:$C$803,A2504,MOVIMIENTOS_COMPLEMENTOS!$D$4:$D$803,B2504,MOVIMIENTOS_COMPLEMENTOS!$E$4:$E$803,C2504,MOVIMIENTOS_COMPLEMENTOS!$F$4:$F$803,D2504,MOVIMIENTOS_COMPLEMENTOS!$G$4:$G$803,E2504,MOVIMIENTOS_COMPLEMENTOS!$H$4:$H$803,G2504,MOVIMIENTOS_COMPLEMENTOS!$B$4:$B$803,"INGRESO")+SUMIFS(MOVIMIENTOS_COMPLEMENTOS!$I$4:$I$803,MOVIMIENTOS_COMPLEMENTOS!$C$4:$C$803,A2504,MOVIMIENTOS_COMPLEMENTOS!$D$4:$D$803,B2504,MOVIMIENTOS_COMPLEMENTOS!$E$4:$E$803,C2504,MOVIMIENTOS_COMPLEMENTOS!$F$4:$F$803,D2504,MOVIMIENTOS_COMPLEMENTOS!$G$4:$G$803,E2504,MOVIMIENTOS_COMPLEMENTOS!$H$4:$H$803,G2504,MOVIMIENTOS_COMPLEMENTOS!$B$4:$B$803,"DE CORTE")-SUMIFS(MOVIMIENTOS_COMPLEMENTOS!$I$4:$I$803,MOVIMIENTOS_COMPLEMENTOS!$C$4:$C$803,A2504,MOVIMIENTOS_COMPLEMENTOS!$D$4:$D$803,B2504,MOVIMIENTOS_COMPLEMENTOS!$E$4:$E$803,C2504,MOVIMIENTOS_COMPLEMENTOS!$F$4:$F$803,D2504,MOVIMIENTOS_COMPLEMENTOS!$G$4:$G$803,E2504,MOVIMIENTOS_COMPLEMENTOS!$H$4:$H$803,G2504,MOVIMIENTOS_COMPLEMENTOS!$B$4:$B$803,"SALIDA"),0)</f>
        <v>0</v>
      </c>
      <c r="I2504" s="102">
        <f t="array" ref="I2504">IFERROR(INDEX(PRECIOS_COMPLEMENTOS!$C$4:$F$17,MATCH(B2504&amp;"_"&amp;C2504,PRECIOS_COMPLEMENTOS!$H$4:$H$17,0),IF(OR(G2504="S",G2504="20cm"),1,IF(OR(G2504="M",G2504="25cm"),2,IF(OR(G2504="L",G2504="30cm"),3,IF(OR(G2504="XL",G2504="35cm"),4,0))))),0)</f>
        <v>0.6</v>
      </c>
      <c r="J2504" s="103">
        <f t="shared" si="1"/>
        <v>0</v>
      </c>
      <c r="K2504" s="104" t="str">
        <f>IF(H2504&lt;0,"ERROR",IF(H2504=0,"",IF(H2504&lt;CONFIG!$B$4,"CRÍTICO",IF(H2504&lt;CONFIG!$B$5,"BAJO","OK"))))</f>
        <v/>
      </c>
    </row>
    <row r="2505" ht="15.75" hidden="1" customHeight="1">
      <c r="A2505" s="90" t="str">
        <f>IF(CLIENTES!A7="","",CLIENTES!A7)</f>
        <v/>
      </c>
      <c r="B2505" s="90" t="s">
        <v>331</v>
      </c>
      <c r="C2505" s="91" t="s">
        <v>328</v>
      </c>
      <c r="D2505" s="109" t="s">
        <v>366</v>
      </c>
      <c r="E2505" s="67" t="str">
        <f>COLORES!A9</f>
        <v>Melange</v>
      </c>
      <c r="F2505" s="67" t="str">
        <f>COLORES!B9</f>
        <v>MELANGE</v>
      </c>
      <c r="G2505" s="90" t="s">
        <v>376</v>
      </c>
      <c r="H2505" s="100">
        <f>IFERROR(SUMIFS(MOVIMIENTOS_COMPLEMENTOS!$I$4:$I$803,MOVIMIENTOS_COMPLEMENTOS!$C$4:$C$803,A2505,MOVIMIENTOS_COMPLEMENTOS!$D$4:$D$803,B2505,MOVIMIENTOS_COMPLEMENTOS!$E$4:$E$803,C2505,MOVIMIENTOS_COMPLEMENTOS!$F$4:$F$803,D2505,MOVIMIENTOS_COMPLEMENTOS!$G$4:$G$803,E2505,MOVIMIENTOS_COMPLEMENTOS!$H$4:$H$803,G2505,MOVIMIENTOS_COMPLEMENTOS!$B$4:$B$803,"INGRESO")+SUMIFS(MOVIMIENTOS_COMPLEMENTOS!$I$4:$I$803,MOVIMIENTOS_COMPLEMENTOS!$C$4:$C$803,A2505,MOVIMIENTOS_COMPLEMENTOS!$D$4:$D$803,B2505,MOVIMIENTOS_COMPLEMENTOS!$E$4:$E$803,C2505,MOVIMIENTOS_COMPLEMENTOS!$F$4:$F$803,D2505,MOVIMIENTOS_COMPLEMENTOS!$G$4:$G$803,E2505,MOVIMIENTOS_COMPLEMENTOS!$H$4:$H$803,G2505,MOVIMIENTOS_COMPLEMENTOS!$B$4:$B$803,"DE CORTE")-SUMIFS(MOVIMIENTOS_COMPLEMENTOS!$I$4:$I$803,MOVIMIENTOS_COMPLEMENTOS!$C$4:$C$803,A2505,MOVIMIENTOS_COMPLEMENTOS!$D$4:$D$803,B2505,MOVIMIENTOS_COMPLEMENTOS!$E$4:$E$803,C2505,MOVIMIENTOS_COMPLEMENTOS!$F$4:$F$803,D2505,MOVIMIENTOS_COMPLEMENTOS!$G$4:$G$803,E2505,MOVIMIENTOS_COMPLEMENTOS!$H$4:$H$803,G2505,MOVIMIENTOS_COMPLEMENTOS!$B$4:$B$803,"SALIDA"),0)</f>
        <v>0</v>
      </c>
      <c r="I2505" s="102">
        <f t="array" ref="I2505">IFERROR(INDEX(PRECIOS_COMPLEMENTOS!$C$4:$F$17,MATCH(B2505&amp;"_"&amp;C2505,PRECIOS_COMPLEMENTOS!$H$4:$H$17,0),IF(OR(G2505="S",G2505="20cm"),1,IF(OR(G2505="M",G2505="25cm"),2,IF(OR(G2505="L",G2505="30cm"),3,IF(OR(G2505="XL",G2505="35cm"),4,0))))),0)</f>
        <v>0.6</v>
      </c>
      <c r="J2505" s="103">
        <f t="shared" si="1"/>
        <v>0</v>
      </c>
      <c r="K2505" s="104" t="str">
        <f>IF(H2505&lt;0,"ERROR",IF(H2505=0,"",IF(H2505&lt;CONFIG!$B$4,"CRÍTICO",IF(H2505&lt;CONFIG!$B$5,"BAJO","OK"))))</f>
        <v/>
      </c>
    </row>
    <row r="2506" ht="15.75" hidden="1" customHeight="1">
      <c r="A2506" s="90" t="str">
        <f>IF(CLIENTES!A7="","",CLIENTES!A7)</f>
        <v/>
      </c>
      <c r="B2506" s="90" t="s">
        <v>331</v>
      </c>
      <c r="C2506" s="91" t="s">
        <v>328</v>
      </c>
      <c r="D2506" s="109" t="s">
        <v>366</v>
      </c>
      <c r="E2506" s="67" t="str">
        <f>COLORES!A9</f>
        <v>Melange</v>
      </c>
      <c r="F2506" s="67" t="str">
        <f>COLORES!B9</f>
        <v>MELANGE</v>
      </c>
      <c r="G2506" s="90" t="s">
        <v>377</v>
      </c>
      <c r="H2506" s="100">
        <f>IFERROR(SUMIFS(MOVIMIENTOS_COMPLEMENTOS!$I$4:$I$803,MOVIMIENTOS_COMPLEMENTOS!$C$4:$C$803,A2506,MOVIMIENTOS_COMPLEMENTOS!$D$4:$D$803,B2506,MOVIMIENTOS_COMPLEMENTOS!$E$4:$E$803,C2506,MOVIMIENTOS_COMPLEMENTOS!$F$4:$F$803,D2506,MOVIMIENTOS_COMPLEMENTOS!$G$4:$G$803,E2506,MOVIMIENTOS_COMPLEMENTOS!$H$4:$H$803,G2506,MOVIMIENTOS_COMPLEMENTOS!$B$4:$B$803,"INGRESO")+SUMIFS(MOVIMIENTOS_COMPLEMENTOS!$I$4:$I$803,MOVIMIENTOS_COMPLEMENTOS!$C$4:$C$803,A2506,MOVIMIENTOS_COMPLEMENTOS!$D$4:$D$803,B2506,MOVIMIENTOS_COMPLEMENTOS!$E$4:$E$803,C2506,MOVIMIENTOS_COMPLEMENTOS!$F$4:$F$803,D2506,MOVIMIENTOS_COMPLEMENTOS!$G$4:$G$803,E2506,MOVIMIENTOS_COMPLEMENTOS!$H$4:$H$803,G2506,MOVIMIENTOS_COMPLEMENTOS!$B$4:$B$803,"DE CORTE")-SUMIFS(MOVIMIENTOS_COMPLEMENTOS!$I$4:$I$803,MOVIMIENTOS_COMPLEMENTOS!$C$4:$C$803,A2506,MOVIMIENTOS_COMPLEMENTOS!$D$4:$D$803,B2506,MOVIMIENTOS_COMPLEMENTOS!$E$4:$E$803,C2506,MOVIMIENTOS_COMPLEMENTOS!$F$4:$F$803,D2506,MOVIMIENTOS_COMPLEMENTOS!$G$4:$G$803,E2506,MOVIMIENTOS_COMPLEMENTOS!$H$4:$H$803,G2506,MOVIMIENTOS_COMPLEMENTOS!$B$4:$B$803,"SALIDA"),0)</f>
        <v>0</v>
      </c>
      <c r="I2506" s="102">
        <f t="array" ref="I2506">IFERROR(INDEX(PRECIOS_COMPLEMENTOS!$C$4:$F$17,MATCH(B2506&amp;"_"&amp;C2506,PRECIOS_COMPLEMENTOS!$H$4:$H$17,0),IF(OR(G2506="S",G2506="20cm"),1,IF(OR(G2506="M",G2506="25cm"),2,IF(OR(G2506="L",G2506="30cm"),3,IF(OR(G2506="XL",G2506="35cm"),4,0))))),0)</f>
        <v>0.6</v>
      </c>
      <c r="J2506" s="103">
        <f t="shared" si="1"/>
        <v>0</v>
      </c>
      <c r="K2506" s="104" t="str">
        <f>IF(H2506&lt;0,"ERROR",IF(H2506=0,"",IF(H2506&lt;CONFIG!$B$4,"CRÍTICO",IF(H2506&lt;CONFIG!$B$5,"BAJO","OK"))))</f>
        <v/>
      </c>
    </row>
    <row r="2507" ht="15.75" hidden="1" customHeight="1">
      <c r="A2507" s="90" t="str">
        <f>IF(CLIENTES!A7="","",CLIENTES!A7)</f>
        <v/>
      </c>
      <c r="B2507" s="90" t="s">
        <v>331</v>
      </c>
      <c r="C2507" s="91" t="s">
        <v>328</v>
      </c>
      <c r="D2507" s="109" t="s">
        <v>366</v>
      </c>
      <c r="E2507" s="67" t="str">
        <f>COLORES!A9</f>
        <v>Melange</v>
      </c>
      <c r="F2507" s="67" t="str">
        <f>COLORES!B9</f>
        <v>MELANGE</v>
      </c>
      <c r="G2507" s="90" t="s">
        <v>379</v>
      </c>
      <c r="H2507" s="100">
        <f>IFERROR(SUMIFS(MOVIMIENTOS_COMPLEMENTOS!$I$4:$I$803,MOVIMIENTOS_COMPLEMENTOS!$C$4:$C$803,A2507,MOVIMIENTOS_COMPLEMENTOS!$D$4:$D$803,B2507,MOVIMIENTOS_COMPLEMENTOS!$E$4:$E$803,C2507,MOVIMIENTOS_COMPLEMENTOS!$F$4:$F$803,D2507,MOVIMIENTOS_COMPLEMENTOS!$G$4:$G$803,E2507,MOVIMIENTOS_COMPLEMENTOS!$H$4:$H$803,G2507,MOVIMIENTOS_COMPLEMENTOS!$B$4:$B$803,"INGRESO")+SUMIFS(MOVIMIENTOS_COMPLEMENTOS!$I$4:$I$803,MOVIMIENTOS_COMPLEMENTOS!$C$4:$C$803,A2507,MOVIMIENTOS_COMPLEMENTOS!$D$4:$D$803,B2507,MOVIMIENTOS_COMPLEMENTOS!$E$4:$E$803,C2507,MOVIMIENTOS_COMPLEMENTOS!$F$4:$F$803,D2507,MOVIMIENTOS_COMPLEMENTOS!$G$4:$G$803,E2507,MOVIMIENTOS_COMPLEMENTOS!$H$4:$H$803,G2507,MOVIMIENTOS_COMPLEMENTOS!$B$4:$B$803,"DE CORTE")-SUMIFS(MOVIMIENTOS_COMPLEMENTOS!$I$4:$I$803,MOVIMIENTOS_COMPLEMENTOS!$C$4:$C$803,A2507,MOVIMIENTOS_COMPLEMENTOS!$D$4:$D$803,B2507,MOVIMIENTOS_COMPLEMENTOS!$E$4:$E$803,C2507,MOVIMIENTOS_COMPLEMENTOS!$F$4:$F$803,D2507,MOVIMIENTOS_COMPLEMENTOS!$G$4:$G$803,E2507,MOVIMIENTOS_COMPLEMENTOS!$H$4:$H$803,G2507,MOVIMIENTOS_COMPLEMENTOS!$B$4:$B$803,"SALIDA"),0)</f>
        <v>0</v>
      </c>
      <c r="I2507" s="102">
        <f t="array" ref="I2507">IFERROR(INDEX(PRECIOS_COMPLEMENTOS!$C$4:$F$17,MATCH(B2507&amp;"_"&amp;C2507,PRECIOS_COMPLEMENTOS!$H$4:$H$17,0),IF(OR(G2507="S",G2507="20cm"),1,IF(OR(G2507="M",G2507="25cm"),2,IF(OR(G2507="L",G2507="30cm"),3,IF(OR(G2507="XL",G2507="35cm"),4,0))))),0)</f>
        <v>0.6</v>
      </c>
      <c r="J2507" s="103">
        <f t="shared" si="1"/>
        <v>0</v>
      </c>
      <c r="K2507" s="104" t="str">
        <f>IF(H2507&lt;0,"ERROR",IF(H2507=0,"",IF(H2507&lt;CONFIG!$B$4,"CRÍTICO",IF(H2507&lt;CONFIG!$B$5,"BAJO","OK"))))</f>
        <v/>
      </c>
    </row>
    <row r="2508" ht="15.75" hidden="1" customHeight="1">
      <c r="A2508" s="90" t="str">
        <f>IF(CLIENTES!A7="","",CLIENTES!A7)</f>
        <v/>
      </c>
      <c r="B2508" s="90" t="s">
        <v>331</v>
      </c>
      <c r="C2508" s="91" t="s">
        <v>328</v>
      </c>
      <c r="D2508" s="109" t="s">
        <v>366</v>
      </c>
      <c r="E2508" s="67" t="str">
        <f>COLORES!A10</f>
        <v>Botella</v>
      </c>
      <c r="F2508" s="67" t="str">
        <f>COLORES!B10</f>
        <v>OSCURO</v>
      </c>
      <c r="G2508" s="90" t="s">
        <v>378</v>
      </c>
      <c r="H2508" s="100">
        <f>IFERROR(SUMIFS(MOVIMIENTOS_COMPLEMENTOS!$I$4:$I$803,MOVIMIENTOS_COMPLEMENTOS!$C$4:$C$803,A2508,MOVIMIENTOS_COMPLEMENTOS!$D$4:$D$803,B2508,MOVIMIENTOS_COMPLEMENTOS!$E$4:$E$803,C2508,MOVIMIENTOS_COMPLEMENTOS!$F$4:$F$803,D2508,MOVIMIENTOS_COMPLEMENTOS!$G$4:$G$803,E2508,MOVIMIENTOS_COMPLEMENTOS!$H$4:$H$803,G2508,MOVIMIENTOS_COMPLEMENTOS!$B$4:$B$803,"INGRESO")+SUMIFS(MOVIMIENTOS_COMPLEMENTOS!$I$4:$I$803,MOVIMIENTOS_COMPLEMENTOS!$C$4:$C$803,A2508,MOVIMIENTOS_COMPLEMENTOS!$D$4:$D$803,B2508,MOVIMIENTOS_COMPLEMENTOS!$E$4:$E$803,C2508,MOVIMIENTOS_COMPLEMENTOS!$F$4:$F$803,D2508,MOVIMIENTOS_COMPLEMENTOS!$G$4:$G$803,E2508,MOVIMIENTOS_COMPLEMENTOS!$H$4:$H$803,G2508,MOVIMIENTOS_COMPLEMENTOS!$B$4:$B$803,"DE CORTE")-SUMIFS(MOVIMIENTOS_COMPLEMENTOS!$I$4:$I$803,MOVIMIENTOS_COMPLEMENTOS!$C$4:$C$803,A2508,MOVIMIENTOS_COMPLEMENTOS!$D$4:$D$803,B2508,MOVIMIENTOS_COMPLEMENTOS!$E$4:$E$803,C2508,MOVIMIENTOS_COMPLEMENTOS!$F$4:$F$803,D2508,MOVIMIENTOS_COMPLEMENTOS!$G$4:$G$803,E2508,MOVIMIENTOS_COMPLEMENTOS!$H$4:$H$803,G2508,MOVIMIENTOS_COMPLEMENTOS!$B$4:$B$803,"SALIDA"),0)</f>
        <v>0</v>
      </c>
      <c r="I2508" s="102">
        <f t="array" ref="I2508">IFERROR(INDEX(PRECIOS_COMPLEMENTOS!$C$4:$F$17,MATCH(B2508&amp;"_"&amp;C2508,PRECIOS_COMPLEMENTOS!$H$4:$H$17,0),IF(OR(G2508="S",G2508="20cm"),1,IF(OR(G2508="M",G2508="25cm"),2,IF(OR(G2508="L",G2508="30cm"),3,IF(OR(G2508="XL",G2508="35cm"),4,0))))),0)</f>
        <v>0.6</v>
      </c>
      <c r="J2508" s="103">
        <f t="shared" si="1"/>
        <v>0</v>
      </c>
      <c r="K2508" s="104" t="str">
        <f>IF(H2508&lt;0,"ERROR",IF(H2508=0,"",IF(H2508&lt;CONFIG!$B$4,"CRÍTICO",IF(H2508&lt;CONFIG!$B$5,"BAJO","OK"))))</f>
        <v/>
      </c>
    </row>
    <row r="2509" ht="15.75" hidden="1" customHeight="1">
      <c r="A2509" s="90" t="str">
        <f>IF(CLIENTES!A7="","",CLIENTES!A7)</f>
        <v/>
      </c>
      <c r="B2509" s="90" t="s">
        <v>331</v>
      </c>
      <c r="C2509" s="91" t="s">
        <v>328</v>
      </c>
      <c r="D2509" s="109" t="s">
        <v>366</v>
      </c>
      <c r="E2509" s="67" t="str">
        <f>COLORES!A10</f>
        <v>Botella</v>
      </c>
      <c r="F2509" s="67" t="str">
        <f>COLORES!B10</f>
        <v>OSCURO</v>
      </c>
      <c r="G2509" s="90" t="s">
        <v>376</v>
      </c>
      <c r="H2509" s="100">
        <f>IFERROR(SUMIFS(MOVIMIENTOS_COMPLEMENTOS!$I$4:$I$803,MOVIMIENTOS_COMPLEMENTOS!$C$4:$C$803,A2509,MOVIMIENTOS_COMPLEMENTOS!$D$4:$D$803,B2509,MOVIMIENTOS_COMPLEMENTOS!$E$4:$E$803,C2509,MOVIMIENTOS_COMPLEMENTOS!$F$4:$F$803,D2509,MOVIMIENTOS_COMPLEMENTOS!$G$4:$G$803,E2509,MOVIMIENTOS_COMPLEMENTOS!$H$4:$H$803,G2509,MOVIMIENTOS_COMPLEMENTOS!$B$4:$B$803,"INGRESO")+SUMIFS(MOVIMIENTOS_COMPLEMENTOS!$I$4:$I$803,MOVIMIENTOS_COMPLEMENTOS!$C$4:$C$803,A2509,MOVIMIENTOS_COMPLEMENTOS!$D$4:$D$803,B2509,MOVIMIENTOS_COMPLEMENTOS!$E$4:$E$803,C2509,MOVIMIENTOS_COMPLEMENTOS!$F$4:$F$803,D2509,MOVIMIENTOS_COMPLEMENTOS!$G$4:$G$803,E2509,MOVIMIENTOS_COMPLEMENTOS!$H$4:$H$803,G2509,MOVIMIENTOS_COMPLEMENTOS!$B$4:$B$803,"DE CORTE")-SUMIFS(MOVIMIENTOS_COMPLEMENTOS!$I$4:$I$803,MOVIMIENTOS_COMPLEMENTOS!$C$4:$C$803,A2509,MOVIMIENTOS_COMPLEMENTOS!$D$4:$D$803,B2509,MOVIMIENTOS_COMPLEMENTOS!$E$4:$E$803,C2509,MOVIMIENTOS_COMPLEMENTOS!$F$4:$F$803,D2509,MOVIMIENTOS_COMPLEMENTOS!$G$4:$G$803,E2509,MOVIMIENTOS_COMPLEMENTOS!$H$4:$H$803,G2509,MOVIMIENTOS_COMPLEMENTOS!$B$4:$B$803,"SALIDA"),0)</f>
        <v>0</v>
      </c>
      <c r="I2509" s="102">
        <f t="array" ref="I2509">IFERROR(INDEX(PRECIOS_COMPLEMENTOS!$C$4:$F$17,MATCH(B2509&amp;"_"&amp;C2509,PRECIOS_COMPLEMENTOS!$H$4:$H$17,0),IF(OR(G2509="S",G2509="20cm"),1,IF(OR(G2509="M",G2509="25cm"),2,IF(OR(G2509="L",G2509="30cm"),3,IF(OR(G2509="XL",G2509="35cm"),4,0))))),0)</f>
        <v>0.6</v>
      </c>
      <c r="J2509" s="103">
        <f t="shared" si="1"/>
        <v>0</v>
      </c>
      <c r="K2509" s="104" t="str">
        <f>IF(H2509&lt;0,"ERROR",IF(H2509=0,"",IF(H2509&lt;CONFIG!$B$4,"CRÍTICO",IF(H2509&lt;CONFIG!$B$5,"BAJO","OK"))))</f>
        <v/>
      </c>
    </row>
    <row r="2510" ht="15.75" hidden="1" customHeight="1">
      <c r="A2510" s="90" t="str">
        <f>IF(CLIENTES!A7="","",CLIENTES!A7)</f>
        <v/>
      </c>
      <c r="B2510" s="90" t="s">
        <v>331</v>
      </c>
      <c r="C2510" s="91" t="s">
        <v>328</v>
      </c>
      <c r="D2510" s="109" t="s">
        <v>366</v>
      </c>
      <c r="E2510" s="67" t="str">
        <f>COLORES!A10</f>
        <v>Botella</v>
      </c>
      <c r="F2510" s="67" t="str">
        <f>COLORES!B10</f>
        <v>OSCURO</v>
      </c>
      <c r="G2510" s="90" t="s">
        <v>377</v>
      </c>
      <c r="H2510" s="100">
        <f>IFERROR(SUMIFS(MOVIMIENTOS_COMPLEMENTOS!$I$4:$I$803,MOVIMIENTOS_COMPLEMENTOS!$C$4:$C$803,A2510,MOVIMIENTOS_COMPLEMENTOS!$D$4:$D$803,B2510,MOVIMIENTOS_COMPLEMENTOS!$E$4:$E$803,C2510,MOVIMIENTOS_COMPLEMENTOS!$F$4:$F$803,D2510,MOVIMIENTOS_COMPLEMENTOS!$G$4:$G$803,E2510,MOVIMIENTOS_COMPLEMENTOS!$H$4:$H$803,G2510,MOVIMIENTOS_COMPLEMENTOS!$B$4:$B$803,"INGRESO")+SUMIFS(MOVIMIENTOS_COMPLEMENTOS!$I$4:$I$803,MOVIMIENTOS_COMPLEMENTOS!$C$4:$C$803,A2510,MOVIMIENTOS_COMPLEMENTOS!$D$4:$D$803,B2510,MOVIMIENTOS_COMPLEMENTOS!$E$4:$E$803,C2510,MOVIMIENTOS_COMPLEMENTOS!$F$4:$F$803,D2510,MOVIMIENTOS_COMPLEMENTOS!$G$4:$G$803,E2510,MOVIMIENTOS_COMPLEMENTOS!$H$4:$H$803,G2510,MOVIMIENTOS_COMPLEMENTOS!$B$4:$B$803,"DE CORTE")-SUMIFS(MOVIMIENTOS_COMPLEMENTOS!$I$4:$I$803,MOVIMIENTOS_COMPLEMENTOS!$C$4:$C$803,A2510,MOVIMIENTOS_COMPLEMENTOS!$D$4:$D$803,B2510,MOVIMIENTOS_COMPLEMENTOS!$E$4:$E$803,C2510,MOVIMIENTOS_COMPLEMENTOS!$F$4:$F$803,D2510,MOVIMIENTOS_COMPLEMENTOS!$G$4:$G$803,E2510,MOVIMIENTOS_COMPLEMENTOS!$H$4:$H$803,G2510,MOVIMIENTOS_COMPLEMENTOS!$B$4:$B$803,"SALIDA"),0)</f>
        <v>0</v>
      </c>
      <c r="I2510" s="102">
        <f t="array" ref="I2510">IFERROR(INDEX(PRECIOS_COMPLEMENTOS!$C$4:$F$17,MATCH(B2510&amp;"_"&amp;C2510,PRECIOS_COMPLEMENTOS!$H$4:$H$17,0),IF(OR(G2510="S",G2510="20cm"),1,IF(OR(G2510="M",G2510="25cm"),2,IF(OR(G2510="L",G2510="30cm"),3,IF(OR(G2510="XL",G2510="35cm"),4,0))))),0)</f>
        <v>0.6</v>
      </c>
      <c r="J2510" s="103">
        <f t="shared" si="1"/>
        <v>0</v>
      </c>
      <c r="K2510" s="104" t="str">
        <f>IF(H2510&lt;0,"ERROR",IF(H2510=0,"",IF(H2510&lt;CONFIG!$B$4,"CRÍTICO",IF(H2510&lt;CONFIG!$B$5,"BAJO","OK"))))</f>
        <v/>
      </c>
    </row>
    <row r="2511" ht="15.75" hidden="1" customHeight="1">
      <c r="A2511" s="90" t="str">
        <f>IF(CLIENTES!A7="","",CLIENTES!A7)</f>
        <v/>
      </c>
      <c r="B2511" s="90" t="s">
        <v>331</v>
      </c>
      <c r="C2511" s="91" t="s">
        <v>328</v>
      </c>
      <c r="D2511" s="109" t="s">
        <v>366</v>
      </c>
      <c r="E2511" s="67" t="str">
        <f>COLORES!A10</f>
        <v>Botella</v>
      </c>
      <c r="F2511" s="67" t="str">
        <f>COLORES!B10</f>
        <v>OSCURO</v>
      </c>
      <c r="G2511" s="90" t="s">
        <v>379</v>
      </c>
      <c r="H2511" s="100">
        <f>IFERROR(SUMIFS(MOVIMIENTOS_COMPLEMENTOS!$I$4:$I$803,MOVIMIENTOS_COMPLEMENTOS!$C$4:$C$803,A2511,MOVIMIENTOS_COMPLEMENTOS!$D$4:$D$803,B2511,MOVIMIENTOS_COMPLEMENTOS!$E$4:$E$803,C2511,MOVIMIENTOS_COMPLEMENTOS!$F$4:$F$803,D2511,MOVIMIENTOS_COMPLEMENTOS!$G$4:$G$803,E2511,MOVIMIENTOS_COMPLEMENTOS!$H$4:$H$803,G2511,MOVIMIENTOS_COMPLEMENTOS!$B$4:$B$803,"INGRESO")+SUMIFS(MOVIMIENTOS_COMPLEMENTOS!$I$4:$I$803,MOVIMIENTOS_COMPLEMENTOS!$C$4:$C$803,A2511,MOVIMIENTOS_COMPLEMENTOS!$D$4:$D$803,B2511,MOVIMIENTOS_COMPLEMENTOS!$E$4:$E$803,C2511,MOVIMIENTOS_COMPLEMENTOS!$F$4:$F$803,D2511,MOVIMIENTOS_COMPLEMENTOS!$G$4:$G$803,E2511,MOVIMIENTOS_COMPLEMENTOS!$H$4:$H$803,G2511,MOVIMIENTOS_COMPLEMENTOS!$B$4:$B$803,"DE CORTE")-SUMIFS(MOVIMIENTOS_COMPLEMENTOS!$I$4:$I$803,MOVIMIENTOS_COMPLEMENTOS!$C$4:$C$803,A2511,MOVIMIENTOS_COMPLEMENTOS!$D$4:$D$803,B2511,MOVIMIENTOS_COMPLEMENTOS!$E$4:$E$803,C2511,MOVIMIENTOS_COMPLEMENTOS!$F$4:$F$803,D2511,MOVIMIENTOS_COMPLEMENTOS!$G$4:$G$803,E2511,MOVIMIENTOS_COMPLEMENTOS!$H$4:$H$803,G2511,MOVIMIENTOS_COMPLEMENTOS!$B$4:$B$803,"SALIDA"),0)</f>
        <v>0</v>
      </c>
      <c r="I2511" s="102">
        <f t="array" ref="I2511">IFERROR(INDEX(PRECIOS_COMPLEMENTOS!$C$4:$F$17,MATCH(B2511&amp;"_"&amp;C2511,PRECIOS_COMPLEMENTOS!$H$4:$H$17,0),IF(OR(G2511="S",G2511="20cm"),1,IF(OR(G2511="M",G2511="25cm"),2,IF(OR(G2511="L",G2511="30cm"),3,IF(OR(G2511="XL",G2511="35cm"),4,0))))),0)</f>
        <v>0.6</v>
      </c>
      <c r="J2511" s="103">
        <f t="shared" si="1"/>
        <v>0</v>
      </c>
      <c r="K2511" s="104" t="str">
        <f>IF(H2511&lt;0,"ERROR",IF(H2511=0,"",IF(H2511&lt;CONFIG!$B$4,"CRÍTICO",IF(H2511&lt;CONFIG!$B$5,"BAJO","OK"))))</f>
        <v/>
      </c>
    </row>
    <row r="2512" ht="15.75" hidden="1" customHeight="1">
      <c r="A2512" s="90" t="str">
        <f>IF(CLIENTES!A7="","",CLIENTES!A7)</f>
        <v/>
      </c>
      <c r="B2512" s="90" t="s">
        <v>331</v>
      </c>
      <c r="C2512" s="91" t="s">
        <v>328</v>
      </c>
      <c r="D2512" s="109" t="s">
        <v>366</v>
      </c>
      <c r="E2512" s="67" t="str">
        <f>COLORES!A11</f>
        <v>Pacay</v>
      </c>
      <c r="F2512" s="67" t="str">
        <f>COLORES!B11</f>
        <v>CLARO</v>
      </c>
      <c r="G2512" s="90" t="s">
        <v>378</v>
      </c>
      <c r="H2512" s="100">
        <f>IFERROR(SUMIFS(MOVIMIENTOS_COMPLEMENTOS!$I$4:$I$803,MOVIMIENTOS_COMPLEMENTOS!$C$4:$C$803,A2512,MOVIMIENTOS_COMPLEMENTOS!$D$4:$D$803,B2512,MOVIMIENTOS_COMPLEMENTOS!$E$4:$E$803,C2512,MOVIMIENTOS_COMPLEMENTOS!$F$4:$F$803,D2512,MOVIMIENTOS_COMPLEMENTOS!$G$4:$G$803,E2512,MOVIMIENTOS_COMPLEMENTOS!$H$4:$H$803,G2512,MOVIMIENTOS_COMPLEMENTOS!$B$4:$B$803,"INGRESO")+SUMIFS(MOVIMIENTOS_COMPLEMENTOS!$I$4:$I$803,MOVIMIENTOS_COMPLEMENTOS!$C$4:$C$803,A2512,MOVIMIENTOS_COMPLEMENTOS!$D$4:$D$803,B2512,MOVIMIENTOS_COMPLEMENTOS!$E$4:$E$803,C2512,MOVIMIENTOS_COMPLEMENTOS!$F$4:$F$803,D2512,MOVIMIENTOS_COMPLEMENTOS!$G$4:$G$803,E2512,MOVIMIENTOS_COMPLEMENTOS!$H$4:$H$803,G2512,MOVIMIENTOS_COMPLEMENTOS!$B$4:$B$803,"DE CORTE")-SUMIFS(MOVIMIENTOS_COMPLEMENTOS!$I$4:$I$803,MOVIMIENTOS_COMPLEMENTOS!$C$4:$C$803,A2512,MOVIMIENTOS_COMPLEMENTOS!$D$4:$D$803,B2512,MOVIMIENTOS_COMPLEMENTOS!$E$4:$E$803,C2512,MOVIMIENTOS_COMPLEMENTOS!$F$4:$F$803,D2512,MOVIMIENTOS_COMPLEMENTOS!$G$4:$G$803,E2512,MOVIMIENTOS_COMPLEMENTOS!$H$4:$H$803,G2512,MOVIMIENTOS_COMPLEMENTOS!$B$4:$B$803,"SALIDA"),0)</f>
        <v>0</v>
      </c>
      <c r="I2512" s="102">
        <f t="array" ref="I2512">IFERROR(INDEX(PRECIOS_COMPLEMENTOS!$C$4:$F$17,MATCH(B2512&amp;"_"&amp;C2512,PRECIOS_COMPLEMENTOS!$H$4:$H$17,0),IF(OR(G2512="S",G2512="20cm"),1,IF(OR(G2512="M",G2512="25cm"),2,IF(OR(G2512="L",G2512="30cm"),3,IF(OR(G2512="XL",G2512="35cm"),4,0))))),0)</f>
        <v>0.6</v>
      </c>
      <c r="J2512" s="103">
        <f t="shared" si="1"/>
        <v>0</v>
      </c>
      <c r="K2512" s="104" t="str">
        <f>IF(H2512&lt;0,"ERROR",IF(H2512=0,"",IF(H2512&lt;CONFIG!$B$4,"CRÍTICO",IF(H2512&lt;CONFIG!$B$5,"BAJO","OK"))))</f>
        <v/>
      </c>
    </row>
    <row r="2513" ht="15.75" hidden="1" customHeight="1">
      <c r="A2513" s="90" t="str">
        <f>IF(CLIENTES!A7="","",CLIENTES!A7)</f>
        <v/>
      </c>
      <c r="B2513" s="90" t="s">
        <v>331</v>
      </c>
      <c r="C2513" s="91" t="s">
        <v>328</v>
      </c>
      <c r="D2513" s="109" t="s">
        <v>366</v>
      </c>
      <c r="E2513" s="67" t="str">
        <f>COLORES!A11</f>
        <v>Pacay</v>
      </c>
      <c r="F2513" s="67" t="str">
        <f>COLORES!B11</f>
        <v>CLARO</v>
      </c>
      <c r="G2513" s="90" t="s">
        <v>376</v>
      </c>
      <c r="H2513" s="100">
        <f>IFERROR(SUMIFS(MOVIMIENTOS_COMPLEMENTOS!$I$4:$I$803,MOVIMIENTOS_COMPLEMENTOS!$C$4:$C$803,A2513,MOVIMIENTOS_COMPLEMENTOS!$D$4:$D$803,B2513,MOVIMIENTOS_COMPLEMENTOS!$E$4:$E$803,C2513,MOVIMIENTOS_COMPLEMENTOS!$F$4:$F$803,D2513,MOVIMIENTOS_COMPLEMENTOS!$G$4:$G$803,E2513,MOVIMIENTOS_COMPLEMENTOS!$H$4:$H$803,G2513,MOVIMIENTOS_COMPLEMENTOS!$B$4:$B$803,"INGRESO")+SUMIFS(MOVIMIENTOS_COMPLEMENTOS!$I$4:$I$803,MOVIMIENTOS_COMPLEMENTOS!$C$4:$C$803,A2513,MOVIMIENTOS_COMPLEMENTOS!$D$4:$D$803,B2513,MOVIMIENTOS_COMPLEMENTOS!$E$4:$E$803,C2513,MOVIMIENTOS_COMPLEMENTOS!$F$4:$F$803,D2513,MOVIMIENTOS_COMPLEMENTOS!$G$4:$G$803,E2513,MOVIMIENTOS_COMPLEMENTOS!$H$4:$H$803,G2513,MOVIMIENTOS_COMPLEMENTOS!$B$4:$B$803,"DE CORTE")-SUMIFS(MOVIMIENTOS_COMPLEMENTOS!$I$4:$I$803,MOVIMIENTOS_COMPLEMENTOS!$C$4:$C$803,A2513,MOVIMIENTOS_COMPLEMENTOS!$D$4:$D$803,B2513,MOVIMIENTOS_COMPLEMENTOS!$E$4:$E$803,C2513,MOVIMIENTOS_COMPLEMENTOS!$F$4:$F$803,D2513,MOVIMIENTOS_COMPLEMENTOS!$G$4:$G$803,E2513,MOVIMIENTOS_COMPLEMENTOS!$H$4:$H$803,G2513,MOVIMIENTOS_COMPLEMENTOS!$B$4:$B$803,"SALIDA"),0)</f>
        <v>0</v>
      </c>
      <c r="I2513" s="102">
        <f t="array" ref="I2513">IFERROR(INDEX(PRECIOS_COMPLEMENTOS!$C$4:$F$17,MATCH(B2513&amp;"_"&amp;C2513,PRECIOS_COMPLEMENTOS!$H$4:$H$17,0),IF(OR(G2513="S",G2513="20cm"),1,IF(OR(G2513="M",G2513="25cm"),2,IF(OR(G2513="L",G2513="30cm"),3,IF(OR(G2513="XL",G2513="35cm"),4,0))))),0)</f>
        <v>0.6</v>
      </c>
      <c r="J2513" s="103">
        <f t="shared" si="1"/>
        <v>0</v>
      </c>
      <c r="K2513" s="104" t="str">
        <f>IF(H2513&lt;0,"ERROR",IF(H2513=0,"",IF(H2513&lt;CONFIG!$B$4,"CRÍTICO",IF(H2513&lt;CONFIG!$B$5,"BAJO","OK"))))</f>
        <v/>
      </c>
    </row>
    <row r="2514" ht="15.75" hidden="1" customHeight="1">
      <c r="A2514" s="90" t="str">
        <f>IF(CLIENTES!A7="","",CLIENTES!A7)</f>
        <v/>
      </c>
      <c r="B2514" s="90" t="s">
        <v>331</v>
      </c>
      <c r="C2514" s="91" t="s">
        <v>328</v>
      </c>
      <c r="D2514" s="109" t="s">
        <v>366</v>
      </c>
      <c r="E2514" s="67" t="str">
        <f>COLORES!A11</f>
        <v>Pacay</v>
      </c>
      <c r="F2514" s="67" t="str">
        <f>COLORES!B11</f>
        <v>CLARO</v>
      </c>
      <c r="G2514" s="90" t="s">
        <v>377</v>
      </c>
      <c r="H2514" s="100">
        <f>IFERROR(SUMIFS(MOVIMIENTOS_COMPLEMENTOS!$I$4:$I$803,MOVIMIENTOS_COMPLEMENTOS!$C$4:$C$803,A2514,MOVIMIENTOS_COMPLEMENTOS!$D$4:$D$803,B2514,MOVIMIENTOS_COMPLEMENTOS!$E$4:$E$803,C2514,MOVIMIENTOS_COMPLEMENTOS!$F$4:$F$803,D2514,MOVIMIENTOS_COMPLEMENTOS!$G$4:$G$803,E2514,MOVIMIENTOS_COMPLEMENTOS!$H$4:$H$803,G2514,MOVIMIENTOS_COMPLEMENTOS!$B$4:$B$803,"INGRESO")+SUMIFS(MOVIMIENTOS_COMPLEMENTOS!$I$4:$I$803,MOVIMIENTOS_COMPLEMENTOS!$C$4:$C$803,A2514,MOVIMIENTOS_COMPLEMENTOS!$D$4:$D$803,B2514,MOVIMIENTOS_COMPLEMENTOS!$E$4:$E$803,C2514,MOVIMIENTOS_COMPLEMENTOS!$F$4:$F$803,D2514,MOVIMIENTOS_COMPLEMENTOS!$G$4:$G$803,E2514,MOVIMIENTOS_COMPLEMENTOS!$H$4:$H$803,G2514,MOVIMIENTOS_COMPLEMENTOS!$B$4:$B$803,"DE CORTE")-SUMIFS(MOVIMIENTOS_COMPLEMENTOS!$I$4:$I$803,MOVIMIENTOS_COMPLEMENTOS!$C$4:$C$803,A2514,MOVIMIENTOS_COMPLEMENTOS!$D$4:$D$803,B2514,MOVIMIENTOS_COMPLEMENTOS!$E$4:$E$803,C2514,MOVIMIENTOS_COMPLEMENTOS!$F$4:$F$803,D2514,MOVIMIENTOS_COMPLEMENTOS!$G$4:$G$803,E2514,MOVIMIENTOS_COMPLEMENTOS!$H$4:$H$803,G2514,MOVIMIENTOS_COMPLEMENTOS!$B$4:$B$803,"SALIDA"),0)</f>
        <v>0</v>
      </c>
      <c r="I2514" s="102">
        <f t="array" ref="I2514">IFERROR(INDEX(PRECIOS_COMPLEMENTOS!$C$4:$F$17,MATCH(B2514&amp;"_"&amp;C2514,PRECIOS_COMPLEMENTOS!$H$4:$H$17,0),IF(OR(G2514="S",G2514="20cm"),1,IF(OR(G2514="M",G2514="25cm"),2,IF(OR(G2514="L",G2514="30cm"),3,IF(OR(G2514="XL",G2514="35cm"),4,0))))),0)</f>
        <v>0.6</v>
      </c>
      <c r="J2514" s="103">
        <f t="shared" si="1"/>
        <v>0</v>
      </c>
      <c r="K2514" s="104" t="str">
        <f>IF(H2514&lt;0,"ERROR",IF(H2514=0,"",IF(H2514&lt;CONFIG!$B$4,"CRÍTICO",IF(H2514&lt;CONFIG!$B$5,"BAJO","OK"))))</f>
        <v/>
      </c>
    </row>
    <row r="2515" ht="15.75" hidden="1" customHeight="1">
      <c r="A2515" s="90" t="str">
        <f>IF(CLIENTES!A7="","",CLIENTES!A7)</f>
        <v/>
      </c>
      <c r="B2515" s="90" t="s">
        <v>331</v>
      </c>
      <c r="C2515" s="91" t="s">
        <v>328</v>
      </c>
      <c r="D2515" s="109" t="s">
        <v>366</v>
      </c>
      <c r="E2515" s="67" t="str">
        <f>COLORES!A11</f>
        <v>Pacay</v>
      </c>
      <c r="F2515" s="67" t="str">
        <f>COLORES!B11</f>
        <v>CLARO</v>
      </c>
      <c r="G2515" s="90" t="s">
        <v>379</v>
      </c>
      <c r="H2515" s="100">
        <f>IFERROR(SUMIFS(MOVIMIENTOS_COMPLEMENTOS!$I$4:$I$803,MOVIMIENTOS_COMPLEMENTOS!$C$4:$C$803,A2515,MOVIMIENTOS_COMPLEMENTOS!$D$4:$D$803,B2515,MOVIMIENTOS_COMPLEMENTOS!$E$4:$E$803,C2515,MOVIMIENTOS_COMPLEMENTOS!$F$4:$F$803,D2515,MOVIMIENTOS_COMPLEMENTOS!$G$4:$G$803,E2515,MOVIMIENTOS_COMPLEMENTOS!$H$4:$H$803,G2515,MOVIMIENTOS_COMPLEMENTOS!$B$4:$B$803,"INGRESO")+SUMIFS(MOVIMIENTOS_COMPLEMENTOS!$I$4:$I$803,MOVIMIENTOS_COMPLEMENTOS!$C$4:$C$803,A2515,MOVIMIENTOS_COMPLEMENTOS!$D$4:$D$803,B2515,MOVIMIENTOS_COMPLEMENTOS!$E$4:$E$803,C2515,MOVIMIENTOS_COMPLEMENTOS!$F$4:$F$803,D2515,MOVIMIENTOS_COMPLEMENTOS!$G$4:$G$803,E2515,MOVIMIENTOS_COMPLEMENTOS!$H$4:$H$803,G2515,MOVIMIENTOS_COMPLEMENTOS!$B$4:$B$803,"DE CORTE")-SUMIFS(MOVIMIENTOS_COMPLEMENTOS!$I$4:$I$803,MOVIMIENTOS_COMPLEMENTOS!$C$4:$C$803,A2515,MOVIMIENTOS_COMPLEMENTOS!$D$4:$D$803,B2515,MOVIMIENTOS_COMPLEMENTOS!$E$4:$E$803,C2515,MOVIMIENTOS_COMPLEMENTOS!$F$4:$F$803,D2515,MOVIMIENTOS_COMPLEMENTOS!$G$4:$G$803,E2515,MOVIMIENTOS_COMPLEMENTOS!$H$4:$H$803,G2515,MOVIMIENTOS_COMPLEMENTOS!$B$4:$B$803,"SALIDA"),0)</f>
        <v>0</v>
      </c>
      <c r="I2515" s="102">
        <f t="array" ref="I2515">IFERROR(INDEX(PRECIOS_COMPLEMENTOS!$C$4:$F$17,MATCH(B2515&amp;"_"&amp;C2515,PRECIOS_COMPLEMENTOS!$H$4:$H$17,0),IF(OR(G2515="S",G2515="20cm"),1,IF(OR(G2515="M",G2515="25cm"),2,IF(OR(G2515="L",G2515="30cm"),3,IF(OR(G2515="XL",G2515="35cm"),4,0))))),0)</f>
        <v>0.6</v>
      </c>
      <c r="J2515" s="103">
        <f t="shared" si="1"/>
        <v>0</v>
      </c>
      <c r="K2515" s="104" t="str">
        <f>IF(H2515&lt;0,"ERROR",IF(H2515=0,"",IF(H2515&lt;CONFIG!$B$4,"CRÍTICO",IF(H2515&lt;CONFIG!$B$5,"BAJO","OK"))))</f>
        <v/>
      </c>
    </row>
    <row r="2516" ht="15.75" hidden="1" customHeight="1">
      <c r="A2516" s="90" t="str">
        <f>IF(CLIENTES!A7="","",CLIENTES!A7)</f>
        <v/>
      </c>
      <c r="B2516" s="90" t="s">
        <v>331</v>
      </c>
      <c r="C2516" s="91" t="s">
        <v>328</v>
      </c>
      <c r="D2516" s="109" t="s">
        <v>366</v>
      </c>
      <c r="E2516" s="67" t="str">
        <f>COLORES!A12</f>
        <v>Cemento</v>
      </c>
      <c r="F2516" s="67" t="str">
        <f>COLORES!B12</f>
        <v>CLARO</v>
      </c>
      <c r="G2516" s="90" t="s">
        <v>378</v>
      </c>
      <c r="H2516" s="100">
        <f>IFERROR(SUMIFS(MOVIMIENTOS_COMPLEMENTOS!$I$4:$I$803,MOVIMIENTOS_COMPLEMENTOS!$C$4:$C$803,A2516,MOVIMIENTOS_COMPLEMENTOS!$D$4:$D$803,B2516,MOVIMIENTOS_COMPLEMENTOS!$E$4:$E$803,C2516,MOVIMIENTOS_COMPLEMENTOS!$F$4:$F$803,D2516,MOVIMIENTOS_COMPLEMENTOS!$G$4:$G$803,E2516,MOVIMIENTOS_COMPLEMENTOS!$H$4:$H$803,G2516,MOVIMIENTOS_COMPLEMENTOS!$B$4:$B$803,"INGRESO")+SUMIFS(MOVIMIENTOS_COMPLEMENTOS!$I$4:$I$803,MOVIMIENTOS_COMPLEMENTOS!$C$4:$C$803,A2516,MOVIMIENTOS_COMPLEMENTOS!$D$4:$D$803,B2516,MOVIMIENTOS_COMPLEMENTOS!$E$4:$E$803,C2516,MOVIMIENTOS_COMPLEMENTOS!$F$4:$F$803,D2516,MOVIMIENTOS_COMPLEMENTOS!$G$4:$G$803,E2516,MOVIMIENTOS_COMPLEMENTOS!$H$4:$H$803,G2516,MOVIMIENTOS_COMPLEMENTOS!$B$4:$B$803,"DE CORTE")-SUMIFS(MOVIMIENTOS_COMPLEMENTOS!$I$4:$I$803,MOVIMIENTOS_COMPLEMENTOS!$C$4:$C$803,A2516,MOVIMIENTOS_COMPLEMENTOS!$D$4:$D$803,B2516,MOVIMIENTOS_COMPLEMENTOS!$E$4:$E$803,C2516,MOVIMIENTOS_COMPLEMENTOS!$F$4:$F$803,D2516,MOVIMIENTOS_COMPLEMENTOS!$G$4:$G$803,E2516,MOVIMIENTOS_COMPLEMENTOS!$H$4:$H$803,G2516,MOVIMIENTOS_COMPLEMENTOS!$B$4:$B$803,"SALIDA"),0)</f>
        <v>0</v>
      </c>
      <c r="I2516" s="102">
        <f t="array" ref="I2516">IFERROR(INDEX(PRECIOS_COMPLEMENTOS!$C$4:$F$17,MATCH(B2516&amp;"_"&amp;C2516,PRECIOS_COMPLEMENTOS!$H$4:$H$17,0),IF(OR(G2516="S",G2516="20cm"),1,IF(OR(G2516="M",G2516="25cm"),2,IF(OR(G2516="L",G2516="30cm"),3,IF(OR(G2516="XL",G2516="35cm"),4,0))))),0)</f>
        <v>0.6</v>
      </c>
      <c r="J2516" s="103">
        <f t="shared" si="1"/>
        <v>0</v>
      </c>
      <c r="K2516" s="104" t="str">
        <f>IF(H2516&lt;0,"ERROR",IF(H2516=0,"",IF(H2516&lt;CONFIG!$B$4,"CRÍTICO",IF(H2516&lt;CONFIG!$B$5,"BAJO","OK"))))</f>
        <v/>
      </c>
    </row>
    <row r="2517" ht="15.75" hidden="1" customHeight="1">
      <c r="A2517" s="90" t="str">
        <f>IF(CLIENTES!A7="","",CLIENTES!A7)</f>
        <v/>
      </c>
      <c r="B2517" s="90" t="s">
        <v>331</v>
      </c>
      <c r="C2517" s="91" t="s">
        <v>328</v>
      </c>
      <c r="D2517" s="109" t="s">
        <v>366</v>
      </c>
      <c r="E2517" s="67" t="str">
        <f>COLORES!A12</f>
        <v>Cemento</v>
      </c>
      <c r="F2517" s="67" t="str">
        <f>COLORES!B12</f>
        <v>CLARO</v>
      </c>
      <c r="G2517" s="90" t="s">
        <v>376</v>
      </c>
      <c r="H2517" s="100">
        <f>IFERROR(SUMIFS(MOVIMIENTOS_COMPLEMENTOS!$I$4:$I$803,MOVIMIENTOS_COMPLEMENTOS!$C$4:$C$803,A2517,MOVIMIENTOS_COMPLEMENTOS!$D$4:$D$803,B2517,MOVIMIENTOS_COMPLEMENTOS!$E$4:$E$803,C2517,MOVIMIENTOS_COMPLEMENTOS!$F$4:$F$803,D2517,MOVIMIENTOS_COMPLEMENTOS!$G$4:$G$803,E2517,MOVIMIENTOS_COMPLEMENTOS!$H$4:$H$803,G2517,MOVIMIENTOS_COMPLEMENTOS!$B$4:$B$803,"INGRESO")+SUMIFS(MOVIMIENTOS_COMPLEMENTOS!$I$4:$I$803,MOVIMIENTOS_COMPLEMENTOS!$C$4:$C$803,A2517,MOVIMIENTOS_COMPLEMENTOS!$D$4:$D$803,B2517,MOVIMIENTOS_COMPLEMENTOS!$E$4:$E$803,C2517,MOVIMIENTOS_COMPLEMENTOS!$F$4:$F$803,D2517,MOVIMIENTOS_COMPLEMENTOS!$G$4:$G$803,E2517,MOVIMIENTOS_COMPLEMENTOS!$H$4:$H$803,G2517,MOVIMIENTOS_COMPLEMENTOS!$B$4:$B$803,"DE CORTE")-SUMIFS(MOVIMIENTOS_COMPLEMENTOS!$I$4:$I$803,MOVIMIENTOS_COMPLEMENTOS!$C$4:$C$803,A2517,MOVIMIENTOS_COMPLEMENTOS!$D$4:$D$803,B2517,MOVIMIENTOS_COMPLEMENTOS!$E$4:$E$803,C2517,MOVIMIENTOS_COMPLEMENTOS!$F$4:$F$803,D2517,MOVIMIENTOS_COMPLEMENTOS!$G$4:$G$803,E2517,MOVIMIENTOS_COMPLEMENTOS!$H$4:$H$803,G2517,MOVIMIENTOS_COMPLEMENTOS!$B$4:$B$803,"SALIDA"),0)</f>
        <v>0</v>
      </c>
      <c r="I2517" s="102">
        <f t="array" ref="I2517">IFERROR(INDEX(PRECIOS_COMPLEMENTOS!$C$4:$F$17,MATCH(B2517&amp;"_"&amp;C2517,PRECIOS_COMPLEMENTOS!$H$4:$H$17,0),IF(OR(G2517="S",G2517="20cm"),1,IF(OR(G2517="M",G2517="25cm"),2,IF(OR(G2517="L",G2517="30cm"),3,IF(OR(G2517="XL",G2517="35cm"),4,0))))),0)</f>
        <v>0.6</v>
      </c>
      <c r="J2517" s="103">
        <f t="shared" si="1"/>
        <v>0</v>
      </c>
      <c r="K2517" s="104" t="str">
        <f>IF(H2517&lt;0,"ERROR",IF(H2517=0,"",IF(H2517&lt;CONFIG!$B$4,"CRÍTICO",IF(H2517&lt;CONFIG!$B$5,"BAJO","OK"))))</f>
        <v/>
      </c>
    </row>
    <row r="2518" ht="15.75" hidden="1" customHeight="1">
      <c r="A2518" s="90" t="str">
        <f>IF(CLIENTES!A7="","",CLIENTES!A7)</f>
        <v/>
      </c>
      <c r="B2518" s="90" t="s">
        <v>331</v>
      </c>
      <c r="C2518" s="91" t="s">
        <v>328</v>
      </c>
      <c r="D2518" s="109" t="s">
        <v>366</v>
      </c>
      <c r="E2518" s="67" t="str">
        <f>COLORES!A12</f>
        <v>Cemento</v>
      </c>
      <c r="F2518" s="67" t="str">
        <f>COLORES!B12</f>
        <v>CLARO</v>
      </c>
      <c r="G2518" s="90" t="s">
        <v>377</v>
      </c>
      <c r="H2518" s="100">
        <f>IFERROR(SUMIFS(MOVIMIENTOS_COMPLEMENTOS!$I$4:$I$803,MOVIMIENTOS_COMPLEMENTOS!$C$4:$C$803,A2518,MOVIMIENTOS_COMPLEMENTOS!$D$4:$D$803,B2518,MOVIMIENTOS_COMPLEMENTOS!$E$4:$E$803,C2518,MOVIMIENTOS_COMPLEMENTOS!$F$4:$F$803,D2518,MOVIMIENTOS_COMPLEMENTOS!$G$4:$G$803,E2518,MOVIMIENTOS_COMPLEMENTOS!$H$4:$H$803,G2518,MOVIMIENTOS_COMPLEMENTOS!$B$4:$B$803,"INGRESO")+SUMIFS(MOVIMIENTOS_COMPLEMENTOS!$I$4:$I$803,MOVIMIENTOS_COMPLEMENTOS!$C$4:$C$803,A2518,MOVIMIENTOS_COMPLEMENTOS!$D$4:$D$803,B2518,MOVIMIENTOS_COMPLEMENTOS!$E$4:$E$803,C2518,MOVIMIENTOS_COMPLEMENTOS!$F$4:$F$803,D2518,MOVIMIENTOS_COMPLEMENTOS!$G$4:$G$803,E2518,MOVIMIENTOS_COMPLEMENTOS!$H$4:$H$803,G2518,MOVIMIENTOS_COMPLEMENTOS!$B$4:$B$803,"DE CORTE")-SUMIFS(MOVIMIENTOS_COMPLEMENTOS!$I$4:$I$803,MOVIMIENTOS_COMPLEMENTOS!$C$4:$C$803,A2518,MOVIMIENTOS_COMPLEMENTOS!$D$4:$D$803,B2518,MOVIMIENTOS_COMPLEMENTOS!$E$4:$E$803,C2518,MOVIMIENTOS_COMPLEMENTOS!$F$4:$F$803,D2518,MOVIMIENTOS_COMPLEMENTOS!$G$4:$G$803,E2518,MOVIMIENTOS_COMPLEMENTOS!$H$4:$H$803,G2518,MOVIMIENTOS_COMPLEMENTOS!$B$4:$B$803,"SALIDA"),0)</f>
        <v>0</v>
      </c>
      <c r="I2518" s="102">
        <f t="array" ref="I2518">IFERROR(INDEX(PRECIOS_COMPLEMENTOS!$C$4:$F$17,MATCH(B2518&amp;"_"&amp;C2518,PRECIOS_COMPLEMENTOS!$H$4:$H$17,0),IF(OR(G2518="S",G2518="20cm"),1,IF(OR(G2518="M",G2518="25cm"),2,IF(OR(G2518="L",G2518="30cm"),3,IF(OR(G2518="XL",G2518="35cm"),4,0))))),0)</f>
        <v>0.6</v>
      </c>
      <c r="J2518" s="103">
        <f t="shared" si="1"/>
        <v>0</v>
      </c>
      <c r="K2518" s="104" t="str">
        <f>IF(H2518&lt;0,"ERROR",IF(H2518=0,"",IF(H2518&lt;CONFIG!$B$4,"CRÍTICO",IF(H2518&lt;CONFIG!$B$5,"BAJO","OK"))))</f>
        <v/>
      </c>
    </row>
    <row r="2519" ht="15.75" hidden="1" customHeight="1">
      <c r="A2519" s="90" t="str">
        <f>IF(CLIENTES!A7="","",CLIENTES!A7)</f>
        <v/>
      </c>
      <c r="B2519" s="90" t="s">
        <v>331</v>
      </c>
      <c r="C2519" s="91" t="s">
        <v>328</v>
      </c>
      <c r="D2519" s="109" t="s">
        <v>366</v>
      </c>
      <c r="E2519" s="67" t="str">
        <f>COLORES!A12</f>
        <v>Cemento</v>
      </c>
      <c r="F2519" s="67" t="str">
        <f>COLORES!B12</f>
        <v>CLARO</v>
      </c>
      <c r="G2519" s="90" t="s">
        <v>379</v>
      </c>
      <c r="H2519" s="100">
        <f>IFERROR(SUMIFS(MOVIMIENTOS_COMPLEMENTOS!$I$4:$I$803,MOVIMIENTOS_COMPLEMENTOS!$C$4:$C$803,A2519,MOVIMIENTOS_COMPLEMENTOS!$D$4:$D$803,B2519,MOVIMIENTOS_COMPLEMENTOS!$E$4:$E$803,C2519,MOVIMIENTOS_COMPLEMENTOS!$F$4:$F$803,D2519,MOVIMIENTOS_COMPLEMENTOS!$G$4:$G$803,E2519,MOVIMIENTOS_COMPLEMENTOS!$H$4:$H$803,G2519,MOVIMIENTOS_COMPLEMENTOS!$B$4:$B$803,"INGRESO")+SUMIFS(MOVIMIENTOS_COMPLEMENTOS!$I$4:$I$803,MOVIMIENTOS_COMPLEMENTOS!$C$4:$C$803,A2519,MOVIMIENTOS_COMPLEMENTOS!$D$4:$D$803,B2519,MOVIMIENTOS_COMPLEMENTOS!$E$4:$E$803,C2519,MOVIMIENTOS_COMPLEMENTOS!$F$4:$F$803,D2519,MOVIMIENTOS_COMPLEMENTOS!$G$4:$G$803,E2519,MOVIMIENTOS_COMPLEMENTOS!$H$4:$H$803,G2519,MOVIMIENTOS_COMPLEMENTOS!$B$4:$B$803,"DE CORTE")-SUMIFS(MOVIMIENTOS_COMPLEMENTOS!$I$4:$I$803,MOVIMIENTOS_COMPLEMENTOS!$C$4:$C$803,A2519,MOVIMIENTOS_COMPLEMENTOS!$D$4:$D$803,B2519,MOVIMIENTOS_COMPLEMENTOS!$E$4:$E$803,C2519,MOVIMIENTOS_COMPLEMENTOS!$F$4:$F$803,D2519,MOVIMIENTOS_COMPLEMENTOS!$G$4:$G$803,E2519,MOVIMIENTOS_COMPLEMENTOS!$H$4:$H$803,G2519,MOVIMIENTOS_COMPLEMENTOS!$B$4:$B$803,"SALIDA"),0)</f>
        <v>0</v>
      </c>
      <c r="I2519" s="102">
        <f t="array" ref="I2519">IFERROR(INDEX(PRECIOS_COMPLEMENTOS!$C$4:$F$17,MATCH(B2519&amp;"_"&amp;C2519,PRECIOS_COMPLEMENTOS!$H$4:$H$17,0),IF(OR(G2519="S",G2519="20cm"),1,IF(OR(G2519="M",G2519="25cm"),2,IF(OR(G2519="L",G2519="30cm"),3,IF(OR(G2519="XL",G2519="35cm"),4,0))))),0)</f>
        <v>0.6</v>
      </c>
      <c r="J2519" s="103">
        <f t="shared" si="1"/>
        <v>0</v>
      </c>
      <c r="K2519" s="104" t="str">
        <f>IF(H2519&lt;0,"ERROR",IF(H2519=0,"",IF(H2519&lt;CONFIG!$B$4,"CRÍTICO",IF(H2519&lt;CONFIG!$B$5,"BAJO","OK"))))</f>
        <v/>
      </c>
    </row>
    <row r="2520" ht="15.75" hidden="1" customHeight="1">
      <c r="A2520" s="90" t="str">
        <f>IF(CLIENTES!A7="","",CLIENTES!A7)</f>
        <v/>
      </c>
      <c r="B2520" s="90" t="s">
        <v>331</v>
      </c>
      <c r="C2520" s="91" t="s">
        <v>328</v>
      </c>
      <c r="D2520" s="109" t="s">
        <v>366</v>
      </c>
      <c r="E2520" s="67" t="str">
        <f>COLORES!A13</f>
        <v>Camote</v>
      </c>
      <c r="F2520" s="67" t="str">
        <f>COLORES!B13</f>
        <v>CLARO</v>
      </c>
      <c r="G2520" s="90" t="s">
        <v>378</v>
      </c>
      <c r="H2520" s="100">
        <f>IFERROR(SUMIFS(MOVIMIENTOS_COMPLEMENTOS!$I$4:$I$803,MOVIMIENTOS_COMPLEMENTOS!$C$4:$C$803,A2520,MOVIMIENTOS_COMPLEMENTOS!$D$4:$D$803,B2520,MOVIMIENTOS_COMPLEMENTOS!$E$4:$E$803,C2520,MOVIMIENTOS_COMPLEMENTOS!$F$4:$F$803,D2520,MOVIMIENTOS_COMPLEMENTOS!$G$4:$G$803,E2520,MOVIMIENTOS_COMPLEMENTOS!$H$4:$H$803,G2520,MOVIMIENTOS_COMPLEMENTOS!$B$4:$B$803,"INGRESO")+SUMIFS(MOVIMIENTOS_COMPLEMENTOS!$I$4:$I$803,MOVIMIENTOS_COMPLEMENTOS!$C$4:$C$803,A2520,MOVIMIENTOS_COMPLEMENTOS!$D$4:$D$803,B2520,MOVIMIENTOS_COMPLEMENTOS!$E$4:$E$803,C2520,MOVIMIENTOS_COMPLEMENTOS!$F$4:$F$803,D2520,MOVIMIENTOS_COMPLEMENTOS!$G$4:$G$803,E2520,MOVIMIENTOS_COMPLEMENTOS!$H$4:$H$803,G2520,MOVIMIENTOS_COMPLEMENTOS!$B$4:$B$803,"DE CORTE")-SUMIFS(MOVIMIENTOS_COMPLEMENTOS!$I$4:$I$803,MOVIMIENTOS_COMPLEMENTOS!$C$4:$C$803,A2520,MOVIMIENTOS_COMPLEMENTOS!$D$4:$D$803,B2520,MOVIMIENTOS_COMPLEMENTOS!$E$4:$E$803,C2520,MOVIMIENTOS_COMPLEMENTOS!$F$4:$F$803,D2520,MOVIMIENTOS_COMPLEMENTOS!$G$4:$G$803,E2520,MOVIMIENTOS_COMPLEMENTOS!$H$4:$H$803,G2520,MOVIMIENTOS_COMPLEMENTOS!$B$4:$B$803,"SALIDA"),0)</f>
        <v>0</v>
      </c>
      <c r="I2520" s="102">
        <f t="array" ref="I2520">IFERROR(INDEX(PRECIOS_COMPLEMENTOS!$C$4:$F$17,MATCH(B2520&amp;"_"&amp;C2520,PRECIOS_COMPLEMENTOS!$H$4:$H$17,0),IF(OR(G2520="S",G2520="20cm"),1,IF(OR(G2520="M",G2520="25cm"),2,IF(OR(G2520="L",G2520="30cm"),3,IF(OR(G2520="XL",G2520="35cm"),4,0))))),0)</f>
        <v>0.6</v>
      </c>
      <c r="J2520" s="103">
        <f t="shared" si="1"/>
        <v>0</v>
      </c>
      <c r="K2520" s="104" t="str">
        <f>IF(H2520&lt;0,"ERROR",IF(H2520=0,"",IF(H2520&lt;CONFIG!$B$4,"CRÍTICO",IF(H2520&lt;CONFIG!$B$5,"BAJO","OK"))))</f>
        <v/>
      </c>
    </row>
    <row r="2521" ht="15.75" hidden="1" customHeight="1">
      <c r="A2521" s="90" t="str">
        <f>IF(CLIENTES!A7="","",CLIENTES!A7)</f>
        <v/>
      </c>
      <c r="B2521" s="90" t="s">
        <v>331</v>
      </c>
      <c r="C2521" s="91" t="s">
        <v>328</v>
      </c>
      <c r="D2521" s="109" t="s">
        <v>366</v>
      </c>
      <c r="E2521" s="67" t="str">
        <f>COLORES!A13</f>
        <v>Camote</v>
      </c>
      <c r="F2521" s="67" t="str">
        <f>COLORES!B13</f>
        <v>CLARO</v>
      </c>
      <c r="G2521" s="90" t="s">
        <v>376</v>
      </c>
      <c r="H2521" s="100">
        <f>IFERROR(SUMIFS(MOVIMIENTOS_COMPLEMENTOS!$I$4:$I$803,MOVIMIENTOS_COMPLEMENTOS!$C$4:$C$803,A2521,MOVIMIENTOS_COMPLEMENTOS!$D$4:$D$803,B2521,MOVIMIENTOS_COMPLEMENTOS!$E$4:$E$803,C2521,MOVIMIENTOS_COMPLEMENTOS!$F$4:$F$803,D2521,MOVIMIENTOS_COMPLEMENTOS!$G$4:$G$803,E2521,MOVIMIENTOS_COMPLEMENTOS!$H$4:$H$803,G2521,MOVIMIENTOS_COMPLEMENTOS!$B$4:$B$803,"INGRESO")+SUMIFS(MOVIMIENTOS_COMPLEMENTOS!$I$4:$I$803,MOVIMIENTOS_COMPLEMENTOS!$C$4:$C$803,A2521,MOVIMIENTOS_COMPLEMENTOS!$D$4:$D$803,B2521,MOVIMIENTOS_COMPLEMENTOS!$E$4:$E$803,C2521,MOVIMIENTOS_COMPLEMENTOS!$F$4:$F$803,D2521,MOVIMIENTOS_COMPLEMENTOS!$G$4:$G$803,E2521,MOVIMIENTOS_COMPLEMENTOS!$H$4:$H$803,G2521,MOVIMIENTOS_COMPLEMENTOS!$B$4:$B$803,"DE CORTE")-SUMIFS(MOVIMIENTOS_COMPLEMENTOS!$I$4:$I$803,MOVIMIENTOS_COMPLEMENTOS!$C$4:$C$803,A2521,MOVIMIENTOS_COMPLEMENTOS!$D$4:$D$803,B2521,MOVIMIENTOS_COMPLEMENTOS!$E$4:$E$803,C2521,MOVIMIENTOS_COMPLEMENTOS!$F$4:$F$803,D2521,MOVIMIENTOS_COMPLEMENTOS!$G$4:$G$803,E2521,MOVIMIENTOS_COMPLEMENTOS!$H$4:$H$803,G2521,MOVIMIENTOS_COMPLEMENTOS!$B$4:$B$803,"SALIDA"),0)</f>
        <v>0</v>
      </c>
      <c r="I2521" s="102">
        <f t="array" ref="I2521">IFERROR(INDEX(PRECIOS_COMPLEMENTOS!$C$4:$F$17,MATCH(B2521&amp;"_"&amp;C2521,PRECIOS_COMPLEMENTOS!$H$4:$H$17,0),IF(OR(G2521="S",G2521="20cm"),1,IF(OR(G2521="M",G2521="25cm"),2,IF(OR(G2521="L",G2521="30cm"),3,IF(OR(G2521="XL",G2521="35cm"),4,0))))),0)</f>
        <v>0.6</v>
      </c>
      <c r="J2521" s="103">
        <f t="shared" si="1"/>
        <v>0</v>
      </c>
      <c r="K2521" s="104" t="str">
        <f>IF(H2521&lt;0,"ERROR",IF(H2521=0,"",IF(H2521&lt;CONFIG!$B$4,"CRÍTICO",IF(H2521&lt;CONFIG!$B$5,"BAJO","OK"))))</f>
        <v/>
      </c>
    </row>
    <row r="2522" ht="15.75" hidden="1" customHeight="1">
      <c r="A2522" s="90" t="str">
        <f>IF(CLIENTES!A7="","",CLIENTES!A7)</f>
        <v/>
      </c>
      <c r="B2522" s="90" t="s">
        <v>331</v>
      </c>
      <c r="C2522" s="91" t="s">
        <v>328</v>
      </c>
      <c r="D2522" s="109" t="s">
        <v>366</v>
      </c>
      <c r="E2522" s="67" t="str">
        <f>COLORES!A13</f>
        <v>Camote</v>
      </c>
      <c r="F2522" s="67" t="str">
        <f>COLORES!B13</f>
        <v>CLARO</v>
      </c>
      <c r="G2522" s="90" t="s">
        <v>377</v>
      </c>
      <c r="H2522" s="100">
        <f>IFERROR(SUMIFS(MOVIMIENTOS_COMPLEMENTOS!$I$4:$I$803,MOVIMIENTOS_COMPLEMENTOS!$C$4:$C$803,A2522,MOVIMIENTOS_COMPLEMENTOS!$D$4:$D$803,B2522,MOVIMIENTOS_COMPLEMENTOS!$E$4:$E$803,C2522,MOVIMIENTOS_COMPLEMENTOS!$F$4:$F$803,D2522,MOVIMIENTOS_COMPLEMENTOS!$G$4:$G$803,E2522,MOVIMIENTOS_COMPLEMENTOS!$H$4:$H$803,G2522,MOVIMIENTOS_COMPLEMENTOS!$B$4:$B$803,"INGRESO")+SUMIFS(MOVIMIENTOS_COMPLEMENTOS!$I$4:$I$803,MOVIMIENTOS_COMPLEMENTOS!$C$4:$C$803,A2522,MOVIMIENTOS_COMPLEMENTOS!$D$4:$D$803,B2522,MOVIMIENTOS_COMPLEMENTOS!$E$4:$E$803,C2522,MOVIMIENTOS_COMPLEMENTOS!$F$4:$F$803,D2522,MOVIMIENTOS_COMPLEMENTOS!$G$4:$G$803,E2522,MOVIMIENTOS_COMPLEMENTOS!$H$4:$H$803,G2522,MOVIMIENTOS_COMPLEMENTOS!$B$4:$B$803,"DE CORTE")-SUMIFS(MOVIMIENTOS_COMPLEMENTOS!$I$4:$I$803,MOVIMIENTOS_COMPLEMENTOS!$C$4:$C$803,A2522,MOVIMIENTOS_COMPLEMENTOS!$D$4:$D$803,B2522,MOVIMIENTOS_COMPLEMENTOS!$E$4:$E$803,C2522,MOVIMIENTOS_COMPLEMENTOS!$F$4:$F$803,D2522,MOVIMIENTOS_COMPLEMENTOS!$G$4:$G$803,E2522,MOVIMIENTOS_COMPLEMENTOS!$H$4:$H$803,G2522,MOVIMIENTOS_COMPLEMENTOS!$B$4:$B$803,"SALIDA"),0)</f>
        <v>0</v>
      </c>
      <c r="I2522" s="102">
        <f t="array" ref="I2522">IFERROR(INDEX(PRECIOS_COMPLEMENTOS!$C$4:$F$17,MATCH(B2522&amp;"_"&amp;C2522,PRECIOS_COMPLEMENTOS!$H$4:$H$17,0),IF(OR(G2522="S",G2522="20cm"),1,IF(OR(G2522="M",G2522="25cm"),2,IF(OR(G2522="L",G2522="30cm"),3,IF(OR(G2522="XL",G2522="35cm"),4,0))))),0)</f>
        <v>0.6</v>
      </c>
      <c r="J2522" s="103">
        <f t="shared" si="1"/>
        <v>0</v>
      </c>
      <c r="K2522" s="104" t="str">
        <f>IF(H2522&lt;0,"ERROR",IF(H2522=0,"",IF(H2522&lt;CONFIG!$B$4,"CRÍTICO",IF(H2522&lt;CONFIG!$B$5,"BAJO","OK"))))</f>
        <v/>
      </c>
    </row>
    <row r="2523" ht="15.75" hidden="1" customHeight="1">
      <c r="A2523" s="90" t="str">
        <f>IF(CLIENTES!A7="","",CLIENTES!A7)</f>
        <v/>
      </c>
      <c r="B2523" s="90" t="s">
        <v>331</v>
      </c>
      <c r="C2523" s="91" t="s">
        <v>328</v>
      </c>
      <c r="D2523" s="109" t="s">
        <v>366</v>
      </c>
      <c r="E2523" s="67" t="str">
        <f>COLORES!A13</f>
        <v>Camote</v>
      </c>
      <c r="F2523" s="67" t="str">
        <f>COLORES!B13</f>
        <v>CLARO</v>
      </c>
      <c r="G2523" s="90" t="s">
        <v>379</v>
      </c>
      <c r="H2523" s="100">
        <f>IFERROR(SUMIFS(MOVIMIENTOS_COMPLEMENTOS!$I$4:$I$803,MOVIMIENTOS_COMPLEMENTOS!$C$4:$C$803,A2523,MOVIMIENTOS_COMPLEMENTOS!$D$4:$D$803,B2523,MOVIMIENTOS_COMPLEMENTOS!$E$4:$E$803,C2523,MOVIMIENTOS_COMPLEMENTOS!$F$4:$F$803,D2523,MOVIMIENTOS_COMPLEMENTOS!$G$4:$G$803,E2523,MOVIMIENTOS_COMPLEMENTOS!$H$4:$H$803,G2523,MOVIMIENTOS_COMPLEMENTOS!$B$4:$B$803,"INGRESO")+SUMIFS(MOVIMIENTOS_COMPLEMENTOS!$I$4:$I$803,MOVIMIENTOS_COMPLEMENTOS!$C$4:$C$803,A2523,MOVIMIENTOS_COMPLEMENTOS!$D$4:$D$803,B2523,MOVIMIENTOS_COMPLEMENTOS!$E$4:$E$803,C2523,MOVIMIENTOS_COMPLEMENTOS!$F$4:$F$803,D2523,MOVIMIENTOS_COMPLEMENTOS!$G$4:$G$803,E2523,MOVIMIENTOS_COMPLEMENTOS!$H$4:$H$803,G2523,MOVIMIENTOS_COMPLEMENTOS!$B$4:$B$803,"DE CORTE")-SUMIFS(MOVIMIENTOS_COMPLEMENTOS!$I$4:$I$803,MOVIMIENTOS_COMPLEMENTOS!$C$4:$C$803,A2523,MOVIMIENTOS_COMPLEMENTOS!$D$4:$D$803,B2523,MOVIMIENTOS_COMPLEMENTOS!$E$4:$E$803,C2523,MOVIMIENTOS_COMPLEMENTOS!$F$4:$F$803,D2523,MOVIMIENTOS_COMPLEMENTOS!$G$4:$G$803,E2523,MOVIMIENTOS_COMPLEMENTOS!$H$4:$H$803,G2523,MOVIMIENTOS_COMPLEMENTOS!$B$4:$B$803,"SALIDA"),0)</f>
        <v>0</v>
      </c>
      <c r="I2523" s="102">
        <f t="array" ref="I2523">IFERROR(INDEX(PRECIOS_COMPLEMENTOS!$C$4:$F$17,MATCH(B2523&amp;"_"&amp;C2523,PRECIOS_COMPLEMENTOS!$H$4:$H$17,0),IF(OR(G2523="S",G2523="20cm"),1,IF(OR(G2523="M",G2523="25cm"),2,IF(OR(G2523="L",G2523="30cm"),3,IF(OR(G2523="XL",G2523="35cm"),4,0))))),0)</f>
        <v>0.6</v>
      </c>
      <c r="J2523" s="103">
        <f t="shared" si="1"/>
        <v>0</v>
      </c>
      <c r="K2523" s="104" t="str">
        <f>IF(H2523&lt;0,"ERROR",IF(H2523=0,"",IF(H2523&lt;CONFIG!$B$4,"CRÍTICO",IF(H2523&lt;CONFIG!$B$5,"BAJO","OK"))))</f>
        <v/>
      </c>
    </row>
    <row r="2524" ht="15.75" hidden="1" customHeight="1">
      <c r="A2524" s="90" t="str">
        <f>IF(CLIENTES!A7="","",CLIENTES!A7)</f>
        <v/>
      </c>
      <c r="B2524" s="90" t="s">
        <v>331</v>
      </c>
      <c r="C2524" s="91" t="s">
        <v>328</v>
      </c>
      <c r="D2524" s="109" t="s">
        <v>366</v>
      </c>
      <c r="E2524" s="67" t="str">
        <f>COLORES!A14</f>
        <v>Denim</v>
      </c>
      <c r="F2524" s="67" t="str">
        <f>COLORES!B14</f>
        <v>CLARO</v>
      </c>
      <c r="G2524" s="90" t="s">
        <v>378</v>
      </c>
      <c r="H2524" s="100">
        <f>IFERROR(SUMIFS(MOVIMIENTOS_COMPLEMENTOS!$I$4:$I$803,MOVIMIENTOS_COMPLEMENTOS!$C$4:$C$803,A2524,MOVIMIENTOS_COMPLEMENTOS!$D$4:$D$803,B2524,MOVIMIENTOS_COMPLEMENTOS!$E$4:$E$803,C2524,MOVIMIENTOS_COMPLEMENTOS!$F$4:$F$803,D2524,MOVIMIENTOS_COMPLEMENTOS!$G$4:$G$803,E2524,MOVIMIENTOS_COMPLEMENTOS!$H$4:$H$803,G2524,MOVIMIENTOS_COMPLEMENTOS!$B$4:$B$803,"INGRESO")+SUMIFS(MOVIMIENTOS_COMPLEMENTOS!$I$4:$I$803,MOVIMIENTOS_COMPLEMENTOS!$C$4:$C$803,A2524,MOVIMIENTOS_COMPLEMENTOS!$D$4:$D$803,B2524,MOVIMIENTOS_COMPLEMENTOS!$E$4:$E$803,C2524,MOVIMIENTOS_COMPLEMENTOS!$F$4:$F$803,D2524,MOVIMIENTOS_COMPLEMENTOS!$G$4:$G$803,E2524,MOVIMIENTOS_COMPLEMENTOS!$H$4:$H$803,G2524,MOVIMIENTOS_COMPLEMENTOS!$B$4:$B$803,"DE CORTE")-SUMIFS(MOVIMIENTOS_COMPLEMENTOS!$I$4:$I$803,MOVIMIENTOS_COMPLEMENTOS!$C$4:$C$803,A2524,MOVIMIENTOS_COMPLEMENTOS!$D$4:$D$803,B2524,MOVIMIENTOS_COMPLEMENTOS!$E$4:$E$803,C2524,MOVIMIENTOS_COMPLEMENTOS!$F$4:$F$803,D2524,MOVIMIENTOS_COMPLEMENTOS!$G$4:$G$803,E2524,MOVIMIENTOS_COMPLEMENTOS!$H$4:$H$803,G2524,MOVIMIENTOS_COMPLEMENTOS!$B$4:$B$803,"SALIDA"),0)</f>
        <v>0</v>
      </c>
      <c r="I2524" s="102">
        <f t="array" ref="I2524">IFERROR(INDEX(PRECIOS_COMPLEMENTOS!$C$4:$F$17,MATCH(B2524&amp;"_"&amp;C2524,PRECIOS_COMPLEMENTOS!$H$4:$H$17,0),IF(OR(G2524="S",G2524="20cm"),1,IF(OR(G2524="M",G2524="25cm"),2,IF(OR(G2524="L",G2524="30cm"),3,IF(OR(G2524="XL",G2524="35cm"),4,0))))),0)</f>
        <v>0.6</v>
      </c>
      <c r="J2524" s="103">
        <f t="shared" si="1"/>
        <v>0</v>
      </c>
      <c r="K2524" s="104" t="str">
        <f>IF(H2524&lt;0,"ERROR",IF(H2524=0,"",IF(H2524&lt;CONFIG!$B$4,"CRÍTICO",IF(H2524&lt;CONFIG!$B$5,"BAJO","OK"))))</f>
        <v/>
      </c>
    </row>
    <row r="2525" ht="15.75" hidden="1" customHeight="1">
      <c r="A2525" s="90" t="str">
        <f>IF(CLIENTES!A7="","",CLIENTES!A7)</f>
        <v/>
      </c>
      <c r="B2525" s="90" t="s">
        <v>331</v>
      </c>
      <c r="C2525" s="91" t="s">
        <v>328</v>
      </c>
      <c r="D2525" s="109" t="s">
        <v>366</v>
      </c>
      <c r="E2525" s="67" t="str">
        <f>COLORES!A14</f>
        <v>Denim</v>
      </c>
      <c r="F2525" s="67" t="str">
        <f>COLORES!B14</f>
        <v>CLARO</v>
      </c>
      <c r="G2525" s="90" t="s">
        <v>376</v>
      </c>
      <c r="H2525" s="100">
        <f>IFERROR(SUMIFS(MOVIMIENTOS_COMPLEMENTOS!$I$4:$I$803,MOVIMIENTOS_COMPLEMENTOS!$C$4:$C$803,A2525,MOVIMIENTOS_COMPLEMENTOS!$D$4:$D$803,B2525,MOVIMIENTOS_COMPLEMENTOS!$E$4:$E$803,C2525,MOVIMIENTOS_COMPLEMENTOS!$F$4:$F$803,D2525,MOVIMIENTOS_COMPLEMENTOS!$G$4:$G$803,E2525,MOVIMIENTOS_COMPLEMENTOS!$H$4:$H$803,G2525,MOVIMIENTOS_COMPLEMENTOS!$B$4:$B$803,"INGRESO")+SUMIFS(MOVIMIENTOS_COMPLEMENTOS!$I$4:$I$803,MOVIMIENTOS_COMPLEMENTOS!$C$4:$C$803,A2525,MOVIMIENTOS_COMPLEMENTOS!$D$4:$D$803,B2525,MOVIMIENTOS_COMPLEMENTOS!$E$4:$E$803,C2525,MOVIMIENTOS_COMPLEMENTOS!$F$4:$F$803,D2525,MOVIMIENTOS_COMPLEMENTOS!$G$4:$G$803,E2525,MOVIMIENTOS_COMPLEMENTOS!$H$4:$H$803,G2525,MOVIMIENTOS_COMPLEMENTOS!$B$4:$B$803,"DE CORTE")-SUMIFS(MOVIMIENTOS_COMPLEMENTOS!$I$4:$I$803,MOVIMIENTOS_COMPLEMENTOS!$C$4:$C$803,A2525,MOVIMIENTOS_COMPLEMENTOS!$D$4:$D$803,B2525,MOVIMIENTOS_COMPLEMENTOS!$E$4:$E$803,C2525,MOVIMIENTOS_COMPLEMENTOS!$F$4:$F$803,D2525,MOVIMIENTOS_COMPLEMENTOS!$G$4:$G$803,E2525,MOVIMIENTOS_COMPLEMENTOS!$H$4:$H$803,G2525,MOVIMIENTOS_COMPLEMENTOS!$B$4:$B$803,"SALIDA"),0)</f>
        <v>0</v>
      </c>
      <c r="I2525" s="102">
        <f t="array" ref="I2525">IFERROR(INDEX(PRECIOS_COMPLEMENTOS!$C$4:$F$17,MATCH(B2525&amp;"_"&amp;C2525,PRECIOS_COMPLEMENTOS!$H$4:$H$17,0),IF(OR(G2525="S",G2525="20cm"),1,IF(OR(G2525="M",G2525="25cm"),2,IF(OR(G2525="L",G2525="30cm"),3,IF(OR(G2525="XL",G2525="35cm"),4,0))))),0)</f>
        <v>0.6</v>
      </c>
      <c r="J2525" s="103">
        <f t="shared" si="1"/>
        <v>0</v>
      </c>
      <c r="K2525" s="104" t="str">
        <f>IF(H2525&lt;0,"ERROR",IF(H2525=0,"",IF(H2525&lt;CONFIG!$B$4,"CRÍTICO",IF(H2525&lt;CONFIG!$B$5,"BAJO","OK"))))</f>
        <v/>
      </c>
    </row>
    <row r="2526" ht="15.75" hidden="1" customHeight="1">
      <c r="A2526" s="90" t="str">
        <f>IF(CLIENTES!A7="","",CLIENTES!A7)</f>
        <v/>
      </c>
      <c r="B2526" s="90" t="s">
        <v>331</v>
      </c>
      <c r="C2526" s="91" t="s">
        <v>328</v>
      </c>
      <c r="D2526" s="109" t="s">
        <v>366</v>
      </c>
      <c r="E2526" s="67" t="str">
        <f>COLORES!A14</f>
        <v>Denim</v>
      </c>
      <c r="F2526" s="67" t="str">
        <f>COLORES!B14</f>
        <v>CLARO</v>
      </c>
      <c r="G2526" s="90" t="s">
        <v>377</v>
      </c>
      <c r="H2526" s="100">
        <f>IFERROR(SUMIFS(MOVIMIENTOS_COMPLEMENTOS!$I$4:$I$803,MOVIMIENTOS_COMPLEMENTOS!$C$4:$C$803,A2526,MOVIMIENTOS_COMPLEMENTOS!$D$4:$D$803,B2526,MOVIMIENTOS_COMPLEMENTOS!$E$4:$E$803,C2526,MOVIMIENTOS_COMPLEMENTOS!$F$4:$F$803,D2526,MOVIMIENTOS_COMPLEMENTOS!$G$4:$G$803,E2526,MOVIMIENTOS_COMPLEMENTOS!$H$4:$H$803,G2526,MOVIMIENTOS_COMPLEMENTOS!$B$4:$B$803,"INGRESO")+SUMIFS(MOVIMIENTOS_COMPLEMENTOS!$I$4:$I$803,MOVIMIENTOS_COMPLEMENTOS!$C$4:$C$803,A2526,MOVIMIENTOS_COMPLEMENTOS!$D$4:$D$803,B2526,MOVIMIENTOS_COMPLEMENTOS!$E$4:$E$803,C2526,MOVIMIENTOS_COMPLEMENTOS!$F$4:$F$803,D2526,MOVIMIENTOS_COMPLEMENTOS!$G$4:$G$803,E2526,MOVIMIENTOS_COMPLEMENTOS!$H$4:$H$803,G2526,MOVIMIENTOS_COMPLEMENTOS!$B$4:$B$803,"DE CORTE")-SUMIFS(MOVIMIENTOS_COMPLEMENTOS!$I$4:$I$803,MOVIMIENTOS_COMPLEMENTOS!$C$4:$C$803,A2526,MOVIMIENTOS_COMPLEMENTOS!$D$4:$D$803,B2526,MOVIMIENTOS_COMPLEMENTOS!$E$4:$E$803,C2526,MOVIMIENTOS_COMPLEMENTOS!$F$4:$F$803,D2526,MOVIMIENTOS_COMPLEMENTOS!$G$4:$G$803,E2526,MOVIMIENTOS_COMPLEMENTOS!$H$4:$H$803,G2526,MOVIMIENTOS_COMPLEMENTOS!$B$4:$B$803,"SALIDA"),0)</f>
        <v>0</v>
      </c>
      <c r="I2526" s="102">
        <f t="array" ref="I2526">IFERROR(INDEX(PRECIOS_COMPLEMENTOS!$C$4:$F$17,MATCH(B2526&amp;"_"&amp;C2526,PRECIOS_COMPLEMENTOS!$H$4:$H$17,0),IF(OR(G2526="S",G2526="20cm"),1,IF(OR(G2526="M",G2526="25cm"),2,IF(OR(G2526="L",G2526="30cm"),3,IF(OR(G2526="XL",G2526="35cm"),4,0))))),0)</f>
        <v>0.6</v>
      </c>
      <c r="J2526" s="103">
        <f t="shared" si="1"/>
        <v>0</v>
      </c>
      <c r="K2526" s="104" t="str">
        <f>IF(H2526&lt;0,"ERROR",IF(H2526=0,"",IF(H2526&lt;CONFIG!$B$4,"CRÍTICO",IF(H2526&lt;CONFIG!$B$5,"BAJO","OK"))))</f>
        <v/>
      </c>
    </row>
    <row r="2527" ht="15.75" hidden="1" customHeight="1">
      <c r="A2527" s="90" t="str">
        <f>IF(CLIENTES!A7="","",CLIENTES!A7)</f>
        <v/>
      </c>
      <c r="B2527" s="90" t="s">
        <v>331</v>
      </c>
      <c r="C2527" s="91" t="s">
        <v>328</v>
      </c>
      <c r="D2527" s="109" t="s">
        <v>366</v>
      </c>
      <c r="E2527" s="67" t="str">
        <f>COLORES!A14</f>
        <v>Denim</v>
      </c>
      <c r="F2527" s="67" t="str">
        <f>COLORES!B14</f>
        <v>CLARO</v>
      </c>
      <c r="G2527" s="90" t="s">
        <v>379</v>
      </c>
      <c r="H2527" s="100">
        <f>IFERROR(SUMIFS(MOVIMIENTOS_COMPLEMENTOS!$I$4:$I$803,MOVIMIENTOS_COMPLEMENTOS!$C$4:$C$803,A2527,MOVIMIENTOS_COMPLEMENTOS!$D$4:$D$803,B2527,MOVIMIENTOS_COMPLEMENTOS!$E$4:$E$803,C2527,MOVIMIENTOS_COMPLEMENTOS!$F$4:$F$803,D2527,MOVIMIENTOS_COMPLEMENTOS!$G$4:$G$803,E2527,MOVIMIENTOS_COMPLEMENTOS!$H$4:$H$803,G2527,MOVIMIENTOS_COMPLEMENTOS!$B$4:$B$803,"INGRESO")+SUMIFS(MOVIMIENTOS_COMPLEMENTOS!$I$4:$I$803,MOVIMIENTOS_COMPLEMENTOS!$C$4:$C$803,A2527,MOVIMIENTOS_COMPLEMENTOS!$D$4:$D$803,B2527,MOVIMIENTOS_COMPLEMENTOS!$E$4:$E$803,C2527,MOVIMIENTOS_COMPLEMENTOS!$F$4:$F$803,D2527,MOVIMIENTOS_COMPLEMENTOS!$G$4:$G$803,E2527,MOVIMIENTOS_COMPLEMENTOS!$H$4:$H$803,G2527,MOVIMIENTOS_COMPLEMENTOS!$B$4:$B$803,"DE CORTE")-SUMIFS(MOVIMIENTOS_COMPLEMENTOS!$I$4:$I$803,MOVIMIENTOS_COMPLEMENTOS!$C$4:$C$803,A2527,MOVIMIENTOS_COMPLEMENTOS!$D$4:$D$803,B2527,MOVIMIENTOS_COMPLEMENTOS!$E$4:$E$803,C2527,MOVIMIENTOS_COMPLEMENTOS!$F$4:$F$803,D2527,MOVIMIENTOS_COMPLEMENTOS!$G$4:$G$803,E2527,MOVIMIENTOS_COMPLEMENTOS!$H$4:$H$803,G2527,MOVIMIENTOS_COMPLEMENTOS!$B$4:$B$803,"SALIDA"),0)</f>
        <v>0</v>
      </c>
      <c r="I2527" s="102">
        <f t="array" ref="I2527">IFERROR(INDEX(PRECIOS_COMPLEMENTOS!$C$4:$F$17,MATCH(B2527&amp;"_"&amp;C2527,PRECIOS_COMPLEMENTOS!$H$4:$H$17,0),IF(OR(G2527="S",G2527="20cm"),1,IF(OR(G2527="M",G2527="25cm"),2,IF(OR(G2527="L",G2527="30cm"),3,IF(OR(G2527="XL",G2527="35cm"),4,0))))),0)</f>
        <v>0.6</v>
      </c>
      <c r="J2527" s="103">
        <f t="shared" si="1"/>
        <v>0</v>
      </c>
      <c r="K2527" s="104" t="str">
        <f>IF(H2527&lt;0,"ERROR",IF(H2527=0,"",IF(H2527&lt;CONFIG!$B$4,"CRÍTICO",IF(H2527&lt;CONFIG!$B$5,"BAJO","OK"))))</f>
        <v/>
      </c>
    </row>
    <row r="2528" ht="15.75" hidden="1" customHeight="1">
      <c r="A2528" s="90" t="str">
        <f>IF(CLIENTES!A7="","",CLIENTES!A7)</f>
        <v/>
      </c>
      <c r="B2528" s="90" t="s">
        <v>331</v>
      </c>
      <c r="C2528" s="91" t="s">
        <v>328</v>
      </c>
      <c r="D2528" s="109" t="s">
        <v>366</v>
      </c>
      <c r="E2528" s="67" t="str">
        <f>COLORES!A15</f>
        <v>Plomo</v>
      </c>
      <c r="F2528" s="67" t="str">
        <f>COLORES!B15</f>
        <v>OSCURO</v>
      </c>
      <c r="G2528" s="90" t="s">
        <v>378</v>
      </c>
      <c r="H2528" s="100">
        <f>IFERROR(SUMIFS(MOVIMIENTOS_COMPLEMENTOS!$I$4:$I$803,MOVIMIENTOS_COMPLEMENTOS!$C$4:$C$803,A2528,MOVIMIENTOS_COMPLEMENTOS!$D$4:$D$803,B2528,MOVIMIENTOS_COMPLEMENTOS!$E$4:$E$803,C2528,MOVIMIENTOS_COMPLEMENTOS!$F$4:$F$803,D2528,MOVIMIENTOS_COMPLEMENTOS!$G$4:$G$803,E2528,MOVIMIENTOS_COMPLEMENTOS!$H$4:$H$803,G2528,MOVIMIENTOS_COMPLEMENTOS!$B$4:$B$803,"INGRESO")+SUMIFS(MOVIMIENTOS_COMPLEMENTOS!$I$4:$I$803,MOVIMIENTOS_COMPLEMENTOS!$C$4:$C$803,A2528,MOVIMIENTOS_COMPLEMENTOS!$D$4:$D$803,B2528,MOVIMIENTOS_COMPLEMENTOS!$E$4:$E$803,C2528,MOVIMIENTOS_COMPLEMENTOS!$F$4:$F$803,D2528,MOVIMIENTOS_COMPLEMENTOS!$G$4:$G$803,E2528,MOVIMIENTOS_COMPLEMENTOS!$H$4:$H$803,G2528,MOVIMIENTOS_COMPLEMENTOS!$B$4:$B$803,"DE CORTE")-SUMIFS(MOVIMIENTOS_COMPLEMENTOS!$I$4:$I$803,MOVIMIENTOS_COMPLEMENTOS!$C$4:$C$803,A2528,MOVIMIENTOS_COMPLEMENTOS!$D$4:$D$803,B2528,MOVIMIENTOS_COMPLEMENTOS!$E$4:$E$803,C2528,MOVIMIENTOS_COMPLEMENTOS!$F$4:$F$803,D2528,MOVIMIENTOS_COMPLEMENTOS!$G$4:$G$803,E2528,MOVIMIENTOS_COMPLEMENTOS!$H$4:$H$803,G2528,MOVIMIENTOS_COMPLEMENTOS!$B$4:$B$803,"SALIDA"),0)</f>
        <v>0</v>
      </c>
      <c r="I2528" s="102">
        <f t="array" ref="I2528">IFERROR(INDEX(PRECIOS_COMPLEMENTOS!$C$4:$F$17,MATCH(B2528&amp;"_"&amp;C2528,PRECIOS_COMPLEMENTOS!$H$4:$H$17,0),IF(OR(G2528="S",G2528="20cm"),1,IF(OR(G2528="M",G2528="25cm"),2,IF(OR(G2528="L",G2528="30cm"),3,IF(OR(G2528="XL",G2528="35cm"),4,0))))),0)</f>
        <v>0.6</v>
      </c>
      <c r="J2528" s="103">
        <f t="shared" si="1"/>
        <v>0</v>
      </c>
      <c r="K2528" s="104" t="str">
        <f>IF(H2528&lt;0,"ERROR",IF(H2528=0,"",IF(H2528&lt;CONFIG!$B$4,"CRÍTICO",IF(H2528&lt;CONFIG!$B$5,"BAJO","OK"))))</f>
        <v/>
      </c>
    </row>
    <row r="2529" ht="15.75" hidden="1" customHeight="1">
      <c r="A2529" s="90" t="str">
        <f>IF(CLIENTES!A7="","",CLIENTES!A7)</f>
        <v/>
      </c>
      <c r="B2529" s="90" t="s">
        <v>331</v>
      </c>
      <c r="C2529" s="91" t="s">
        <v>328</v>
      </c>
      <c r="D2529" s="109" t="s">
        <v>366</v>
      </c>
      <c r="E2529" s="67" t="str">
        <f>COLORES!A15</f>
        <v>Plomo</v>
      </c>
      <c r="F2529" s="67" t="str">
        <f>COLORES!B15</f>
        <v>OSCURO</v>
      </c>
      <c r="G2529" s="90" t="s">
        <v>376</v>
      </c>
      <c r="H2529" s="100">
        <f>IFERROR(SUMIFS(MOVIMIENTOS_COMPLEMENTOS!$I$4:$I$803,MOVIMIENTOS_COMPLEMENTOS!$C$4:$C$803,A2529,MOVIMIENTOS_COMPLEMENTOS!$D$4:$D$803,B2529,MOVIMIENTOS_COMPLEMENTOS!$E$4:$E$803,C2529,MOVIMIENTOS_COMPLEMENTOS!$F$4:$F$803,D2529,MOVIMIENTOS_COMPLEMENTOS!$G$4:$G$803,E2529,MOVIMIENTOS_COMPLEMENTOS!$H$4:$H$803,G2529,MOVIMIENTOS_COMPLEMENTOS!$B$4:$B$803,"INGRESO")+SUMIFS(MOVIMIENTOS_COMPLEMENTOS!$I$4:$I$803,MOVIMIENTOS_COMPLEMENTOS!$C$4:$C$803,A2529,MOVIMIENTOS_COMPLEMENTOS!$D$4:$D$803,B2529,MOVIMIENTOS_COMPLEMENTOS!$E$4:$E$803,C2529,MOVIMIENTOS_COMPLEMENTOS!$F$4:$F$803,D2529,MOVIMIENTOS_COMPLEMENTOS!$G$4:$G$803,E2529,MOVIMIENTOS_COMPLEMENTOS!$H$4:$H$803,G2529,MOVIMIENTOS_COMPLEMENTOS!$B$4:$B$803,"DE CORTE")-SUMIFS(MOVIMIENTOS_COMPLEMENTOS!$I$4:$I$803,MOVIMIENTOS_COMPLEMENTOS!$C$4:$C$803,A2529,MOVIMIENTOS_COMPLEMENTOS!$D$4:$D$803,B2529,MOVIMIENTOS_COMPLEMENTOS!$E$4:$E$803,C2529,MOVIMIENTOS_COMPLEMENTOS!$F$4:$F$803,D2529,MOVIMIENTOS_COMPLEMENTOS!$G$4:$G$803,E2529,MOVIMIENTOS_COMPLEMENTOS!$H$4:$H$803,G2529,MOVIMIENTOS_COMPLEMENTOS!$B$4:$B$803,"SALIDA"),0)</f>
        <v>0</v>
      </c>
      <c r="I2529" s="102">
        <f t="array" ref="I2529">IFERROR(INDEX(PRECIOS_COMPLEMENTOS!$C$4:$F$17,MATCH(B2529&amp;"_"&amp;C2529,PRECIOS_COMPLEMENTOS!$H$4:$H$17,0),IF(OR(G2529="S",G2529="20cm"),1,IF(OR(G2529="M",G2529="25cm"),2,IF(OR(G2529="L",G2529="30cm"),3,IF(OR(G2529="XL",G2529="35cm"),4,0))))),0)</f>
        <v>0.6</v>
      </c>
      <c r="J2529" s="103">
        <f t="shared" si="1"/>
        <v>0</v>
      </c>
      <c r="K2529" s="104" t="str">
        <f>IF(H2529&lt;0,"ERROR",IF(H2529=0,"",IF(H2529&lt;CONFIG!$B$4,"CRÍTICO",IF(H2529&lt;CONFIG!$B$5,"BAJO","OK"))))</f>
        <v/>
      </c>
    </row>
    <row r="2530" ht="15.75" hidden="1" customHeight="1">
      <c r="A2530" s="90" t="str">
        <f>IF(CLIENTES!A7="","",CLIENTES!A7)</f>
        <v/>
      </c>
      <c r="B2530" s="90" t="s">
        <v>331</v>
      </c>
      <c r="C2530" s="91" t="s">
        <v>328</v>
      </c>
      <c r="D2530" s="109" t="s">
        <v>366</v>
      </c>
      <c r="E2530" s="67" t="str">
        <f>COLORES!A15</f>
        <v>Plomo</v>
      </c>
      <c r="F2530" s="67" t="str">
        <f>COLORES!B15</f>
        <v>OSCURO</v>
      </c>
      <c r="G2530" s="90" t="s">
        <v>377</v>
      </c>
      <c r="H2530" s="100">
        <f>IFERROR(SUMIFS(MOVIMIENTOS_COMPLEMENTOS!$I$4:$I$803,MOVIMIENTOS_COMPLEMENTOS!$C$4:$C$803,A2530,MOVIMIENTOS_COMPLEMENTOS!$D$4:$D$803,B2530,MOVIMIENTOS_COMPLEMENTOS!$E$4:$E$803,C2530,MOVIMIENTOS_COMPLEMENTOS!$F$4:$F$803,D2530,MOVIMIENTOS_COMPLEMENTOS!$G$4:$G$803,E2530,MOVIMIENTOS_COMPLEMENTOS!$H$4:$H$803,G2530,MOVIMIENTOS_COMPLEMENTOS!$B$4:$B$803,"INGRESO")+SUMIFS(MOVIMIENTOS_COMPLEMENTOS!$I$4:$I$803,MOVIMIENTOS_COMPLEMENTOS!$C$4:$C$803,A2530,MOVIMIENTOS_COMPLEMENTOS!$D$4:$D$803,B2530,MOVIMIENTOS_COMPLEMENTOS!$E$4:$E$803,C2530,MOVIMIENTOS_COMPLEMENTOS!$F$4:$F$803,D2530,MOVIMIENTOS_COMPLEMENTOS!$G$4:$G$803,E2530,MOVIMIENTOS_COMPLEMENTOS!$H$4:$H$803,G2530,MOVIMIENTOS_COMPLEMENTOS!$B$4:$B$803,"DE CORTE")-SUMIFS(MOVIMIENTOS_COMPLEMENTOS!$I$4:$I$803,MOVIMIENTOS_COMPLEMENTOS!$C$4:$C$803,A2530,MOVIMIENTOS_COMPLEMENTOS!$D$4:$D$803,B2530,MOVIMIENTOS_COMPLEMENTOS!$E$4:$E$803,C2530,MOVIMIENTOS_COMPLEMENTOS!$F$4:$F$803,D2530,MOVIMIENTOS_COMPLEMENTOS!$G$4:$G$803,E2530,MOVIMIENTOS_COMPLEMENTOS!$H$4:$H$803,G2530,MOVIMIENTOS_COMPLEMENTOS!$B$4:$B$803,"SALIDA"),0)</f>
        <v>0</v>
      </c>
      <c r="I2530" s="102">
        <f t="array" ref="I2530">IFERROR(INDEX(PRECIOS_COMPLEMENTOS!$C$4:$F$17,MATCH(B2530&amp;"_"&amp;C2530,PRECIOS_COMPLEMENTOS!$H$4:$H$17,0),IF(OR(G2530="S",G2530="20cm"),1,IF(OR(G2530="M",G2530="25cm"),2,IF(OR(G2530="L",G2530="30cm"),3,IF(OR(G2530="XL",G2530="35cm"),4,0))))),0)</f>
        <v>0.6</v>
      </c>
      <c r="J2530" s="103">
        <f t="shared" si="1"/>
        <v>0</v>
      </c>
      <c r="K2530" s="104" t="str">
        <f>IF(H2530&lt;0,"ERROR",IF(H2530=0,"",IF(H2530&lt;CONFIG!$B$4,"CRÍTICO",IF(H2530&lt;CONFIG!$B$5,"BAJO","OK"))))</f>
        <v/>
      </c>
    </row>
    <row r="2531" ht="15.75" hidden="1" customHeight="1">
      <c r="A2531" s="90" t="str">
        <f>IF(CLIENTES!A7="","",CLIENTES!A7)</f>
        <v/>
      </c>
      <c r="B2531" s="90" t="s">
        <v>331</v>
      </c>
      <c r="C2531" s="91" t="s">
        <v>328</v>
      </c>
      <c r="D2531" s="109" t="s">
        <v>366</v>
      </c>
      <c r="E2531" s="67" t="str">
        <f>COLORES!A15</f>
        <v>Plomo</v>
      </c>
      <c r="F2531" s="67" t="str">
        <f>COLORES!B15</f>
        <v>OSCURO</v>
      </c>
      <c r="G2531" s="90" t="s">
        <v>379</v>
      </c>
      <c r="H2531" s="100">
        <f>IFERROR(SUMIFS(MOVIMIENTOS_COMPLEMENTOS!$I$4:$I$803,MOVIMIENTOS_COMPLEMENTOS!$C$4:$C$803,A2531,MOVIMIENTOS_COMPLEMENTOS!$D$4:$D$803,B2531,MOVIMIENTOS_COMPLEMENTOS!$E$4:$E$803,C2531,MOVIMIENTOS_COMPLEMENTOS!$F$4:$F$803,D2531,MOVIMIENTOS_COMPLEMENTOS!$G$4:$G$803,E2531,MOVIMIENTOS_COMPLEMENTOS!$H$4:$H$803,G2531,MOVIMIENTOS_COMPLEMENTOS!$B$4:$B$803,"INGRESO")+SUMIFS(MOVIMIENTOS_COMPLEMENTOS!$I$4:$I$803,MOVIMIENTOS_COMPLEMENTOS!$C$4:$C$803,A2531,MOVIMIENTOS_COMPLEMENTOS!$D$4:$D$803,B2531,MOVIMIENTOS_COMPLEMENTOS!$E$4:$E$803,C2531,MOVIMIENTOS_COMPLEMENTOS!$F$4:$F$803,D2531,MOVIMIENTOS_COMPLEMENTOS!$G$4:$G$803,E2531,MOVIMIENTOS_COMPLEMENTOS!$H$4:$H$803,G2531,MOVIMIENTOS_COMPLEMENTOS!$B$4:$B$803,"DE CORTE")-SUMIFS(MOVIMIENTOS_COMPLEMENTOS!$I$4:$I$803,MOVIMIENTOS_COMPLEMENTOS!$C$4:$C$803,A2531,MOVIMIENTOS_COMPLEMENTOS!$D$4:$D$803,B2531,MOVIMIENTOS_COMPLEMENTOS!$E$4:$E$803,C2531,MOVIMIENTOS_COMPLEMENTOS!$F$4:$F$803,D2531,MOVIMIENTOS_COMPLEMENTOS!$G$4:$G$803,E2531,MOVIMIENTOS_COMPLEMENTOS!$H$4:$H$803,G2531,MOVIMIENTOS_COMPLEMENTOS!$B$4:$B$803,"SALIDA"),0)</f>
        <v>0</v>
      </c>
      <c r="I2531" s="102">
        <f t="array" ref="I2531">IFERROR(INDEX(PRECIOS_COMPLEMENTOS!$C$4:$F$17,MATCH(B2531&amp;"_"&amp;C2531,PRECIOS_COMPLEMENTOS!$H$4:$H$17,0),IF(OR(G2531="S",G2531="20cm"),1,IF(OR(G2531="M",G2531="25cm"),2,IF(OR(G2531="L",G2531="30cm"),3,IF(OR(G2531="XL",G2531="35cm"),4,0))))),0)</f>
        <v>0.6</v>
      </c>
      <c r="J2531" s="103">
        <f t="shared" si="1"/>
        <v>0</v>
      </c>
      <c r="K2531" s="104" t="str">
        <f>IF(H2531&lt;0,"ERROR",IF(H2531=0,"",IF(H2531&lt;CONFIG!$B$4,"CRÍTICO",IF(H2531&lt;CONFIG!$B$5,"BAJO","OK"))))</f>
        <v/>
      </c>
    </row>
    <row r="2532" ht="15.75" hidden="1" customHeight="1">
      <c r="A2532" s="90" t="str">
        <f>IF(CLIENTES!A7="","",CLIENTES!A7)</f>
        <v/>
      </c>
      <c r="B2532" s="90" t="s">
        <v>331</v>
      </c>
      <c r="C2532" s="91" t="s">
        <v>328</v>
      </c>
      <c r="D2532" s="109" t="s">
        <v>366</v>
      </c>
      <c r="E2532" s="67" t="str">
        <f>COLORES!A16</f>
        <v>Topo</v>
      </c>
      <c r="F2532" s="67" t="str">
        <f>COLORES!B16</f>
        <v>CLARO</v>
      </c>
      <c r="G2532" s="90" t="s">
        <v>378</v>
      </c>
      <c r="H2532" s="100">
        <f>IFERROR(SUMIFS(MOVIMIENTOS_COMPLEMENTOS!$I$4:$I$803,MOVIMIENTOS_COMPLEMENTOS!$C$4:$C$803,A2532,MOVIMIENTOS_COMPLEMENTOS!$D$4:$D$803,B2532,MOVIMIENTOS_COMPLEMENTOS!$E$4:$E$803,C2532,MOVIMIENTOS_COMPLEMENTOS!$F$4:$F$803,D2532,MOVIMIENTOS_COMPLEMENTOS!$G$4:$G$803,E2532,MOVIMIENTOS_COMPLEMENTOS!$H$4:$H$803,G2532,MOVIMIENTOS_COMPLEMENTOS!$B$4:$B$803,"INGRESO")+SUMIFS(MOVIMIENTOS_COMPLEMENTOS!$I$4:$I$803,MOVIMIENTOS_COMPLEMENTOS!$C$4:$C$803,A2532,MOVIMIENTOS_COMPLEMENTOS!$D$4:$D$803,B2532,MOVIMIENTOS_COMPLEMENTOS!$E$4:$E$803,C2532,MOVIMIENTOS_COMPLEMENTOS!$F$4:$F$803,D2532,MOVIMIENTOS_COMPLEMENTOS!$G$4:$G$803,E2532,MOVIMIENTOS_COMPLEMENTOS!$H$4:$H$803,G2532,MOVIMIENTOS_COMPLEMENTOS!$B$4:$B$803,"DE CORTE")-SUMIFS(MOVIMIENTOS_COMPLEMENTOS!$I$4:$I$803,MOVIMIENTOS_COMPLEMENTOS!$C$4:$C$803,A2532,MOVIMIENTOS_COMPLEMENTOS!$D$4:$D$803,B2532,MOVIMIENTOS_COMPLEMENTOS!$E$4:$E$803,C2532,MOVIMIENTOS_COMPLEMENTOS!$F$4:$F$803,D2532,MOVIMIENTOS_COMPLEMENTOS!$G$4:$G$803,E2532,MOVIMIENTOS_COMPLEMENTOS!$H$4:$H$803,G2532,MOVIMIENTOS_COMPLEMENTOS!$B$4:$B$803,"SALIDA"),0)</f>
        <v>0</v>
      </c>
      <c r="I2532" s="102">
        <f t="array" ref="I2532">IFERROR(INDEX(PRECIOS_COMPLEMENTOS!$C$4:$F$17,MATCH(B2532&amp;"_"&amp;C2532,PRECIOS_COMPLEMENTOS!$H$4:$H$17,0),IF(OR(G2532="S",G2532="20cm"),1,IF(OR(G2532="M",G2532="25cm"),2,IF(OR(G2532="L",G2532="30cm"),3,IF(OR(G2532="XL",G2532="35cm"),4,0))))),0)</f>
        <v>0.6</v>
      </c>
      <c r="J2532" s="103">
        <f t="shared" si="1"/>
        <v>0</v>
      </c>
      <c r="K2532" s="104" t="str">
        <f>IF(H2532&lt;0,"ERROR",IF(H2532=0,"",IF(H2532&lt;CONFIG!$B$4,"CRÍTICO",IF(H2532&lt;CONFIG!$B$5,"BAJO","OK"))))</f>
        <v/>
      </c>
    </row>
    <row r="2533" ht="15.75" hidden="1" customHeight="1">
      <c r="A2533" s="90" t="str">
        <f>IF(CLIENTES!A7="","",CLIENTES!A7)</f>
        <v/>
      </c>
      <c r="B2533" s="90" t="s">
        <v>331</v>
      </c>
      <c r="C2533" s="91" t="s">
        <v>328</v>
      </c>
      <c r="D2533" s="109" t="s">
        <v>366</v>
      </c>
      <c r="E2533" s="67" t="str">
        <f>COLORES!A16</f>
        <v>Topo</v>
      </c>
      <c r="F2533" s="67" t="str">
        <f>COLORES!B16</f>
        <v>CLARO</v>
      </c>
      <c r="G2533" s="90" t="s">
        <v>376</v>
      </c>
      <c r="H2533" s="100">
        <f>IFERROR(SUMIFS(MOVIMIENTOS_COMPLEMENTOS!$I$4:$I$803,MOVIMIENTOS_COMPLEMENTOS!$C$4:$C$803,A2533,MOVIMIENTOS_COMPLEMENTOS!$D$4:$D$803,B2533,MOVIMIENTOS_COMPLEMENTOS!$E$4:$E$803,C2533,MOVIMIENTOS_COMPLEMENTOS!$F$4:$F$803,D2533,MOVIMIENTOS_COMPLEMENTOS!$G$4:$G$803,E2533,MOVIMIENTOS_COMPLEMENTOS!$H$4:$H$803,G2533,MOVIMIENTOS_COMPLEMENTOS!$B$4:$B$803,"INGRESO")+SUMIFS(MOVIMIENTOS_COMPLEMENTOS!$I$4:$I$803,MOVIMIENTOS_COMPLEMENTOS!$C$4:$C$803,A2533,MOVIMIENTOS_COMPLEMENTOS!$D$4:$D$803,B2533,MOVIMIENTOS_COMPLEMENTOS!$E$4:$E$803,C2533,MOVIMIENTOS_COMPLEMENTOS!$F$4:$F$803,D2533,MOVIMIENTOS_COMPLEMENTOS!$G$4:$G$803,E2533,MOVIMIENTOS_COMPLEMENTOS!$H$4:$H$803,G2533,MOVIMIENTOS_COMPLEMENTOS!$B$4:$B$803,"DE CORTE")-SUMIFS(MOVIMIENTOS_COMPLEMENTOS!$I$4:$I$803,MOVIMIENTOS_COMPLEMENTOS!$C$4:$C$803,A2533,MOVIMIENTOS_COMPLEMENTOS!$D$4:$D$803,B2533,MOVIMIENTOS_COMPLEMENTOS!$E$4:$E$803,C2533,MOVIMIENTOS_COMPLEMENTOS!$F$4:$F$803,D2533,MOVIMIENTOS_COMPLEMENTOS!$G$4:$G$803,E2533,MOVIMIENTOS_COMPLEMENTOS!$H$4:$H$803,G2533,MOVIMIENTOS_COMPLEMENTOS!$B$4:$B$803,"SALIDA"),0)</f>
        <v>0</v>
      </c>
      <c r="I2533" s="102">
        <f t="array" ref="I2533">IFERROR(INDEX(PRECIOS_COMPLEMENTOS!$C$4:$F$17,MATCH(B2533&amp;"_"&amp;C2533,PRECIOS_COMPLEMENTOS!$H$4:$H$17,0),IF(OR(G2533="S",G2533="20cm"),1,IF(OR(G2533="M",G2533="25cm"),2,IF(OR(G2533="L",G2533="30cm"),3,IF(OR(G2533="XL",G2533="35cm"),4,0))))),0)</f>
        <v>0.6</v>
      </c>
      <c r="J2533" s="103">
        <f t="shared" si="1"/>
        <v>0</v>
      </c>
      <c r="K2533" s="104" t="str">
        <f>IF(H2533&lt;0,"ERROR",IF(H2533=0,"",IF(H2533&lt;CONFIG!$B$4,"CRÍTICO",IF(H2533&lt;CONFIG!$B$5,"BAJO","OK"))))</f>
        <v/>
      </c>
    </row>
    <row r="2534" ht="15.75" hidden="1" customHeight="1">
      <c r="A2534" s="90" t="str">
        <f>IF(CLIENTES!A7="","",CLIENTES!A7)</f>
        <v/>
      </c>
      <c r="B2534" s="90" t="s">
        <v>331</v>
      </c>
      <c r="C2534" s="91" t="s">
        <v>328</v>
      </c>
      <c r="D2534" s="109" t="s">
        <v>366</v>
      </c>
      <c r="E2534" s="67" t="str">
        <f>COLORES!A16</f>
        <v>Topo</v>
      </c>
      <c r="F2534" s="67" t="str">
        <f>COLORES!B16</f>
        <v>CLARO</v>
      </c>
      <c r="G2534" s="90" t="s">
        <v>377</v>
      </c>
      <c r="H2534" s="100">
        <f>IFERROR(SUMIFS(MOVIMIENTOS_COMPLEMENTOS!$I$4:$I$803,MOVIMIENTOS_COMPLEMENTOS!$C$4:$C$803,A2534,MOVIMIENTOS_COMPLEMENTOS!$D$4:$D$803,B2534,MOVIMIENTOS_COMPLEMENTOS!$E$4:$E$803,C2534,MOVIMIENTOS_COMPLEMENTOS!$F$4:$F$803,D2534,MOVIMIENTOS_COMPLEMENTOS!$G$4:$G$803,E2534,MOVIMIENTOS_COMPLEMENTOS!$H$4:$H$803,G2534,MOVIMIENTOS_COMPLEMENTOS!$B$4:$B$803,"INGRESO")+SUMIFS(MOVIMIENTOS_COMPLEMENTOS!$I$4:$I$803,MOVIMIENTOS_COMPLEMENTOS!$C$4:$C$803,A2534,MOVIMIENTOS_COMPLEMENTOS!$D$4:$D$803,B2534,MOVIMIENTOS_COMPLEMENTOS!$E$4:$E$803,C2534,MOVIMIENTOS_COMPLEMENTOS!$F$4:$F$803,D2534,MOVIMIENTOS_COMPLEMENTOS!$G$4:$G$803,E2534,MOVIMIENTOS_COMPLEMENTOS!$H$4:$H$803,G2534,MOVIMIENTOS_COMPLEMENTOS!$B$4:$B$803,"DE CORTE")-SUMIFS(MOVIMIENTOS_COMPLEMENTOS!$I$4:$I$803,MOVIMIENTOS_COMPLEMENTOS!$C$4:$C$803,A2534,MOVIMIENTOS_COMPLEMENTOS!$D$4:$D$803,B2534,MOVIMIENTOS_COMPLEMENTOS!$E$4:$E$803,C2534,MOVIMIENTOS_COMPLEMENTOS!$F$4:$F$803,D2534,MOVIMIENTOS_COMPLEMENTOS!$G$4:$G$803,E2534,MOVIMIENTOS_COMPLEMENTOS!$H$4:$H$803,G2534,MOVIMIENTOS_COMPLEMENTOS!$B$4:$B$803,"SALIDA"),0)</f>
        <v>0</v>
      </c>
      <c r="I2534" s="102">
        <f t="array" ref="I2534">IFERROR(INDEX(PRECIOS_COMPLEMENTOS!$C$4:$F$17,MATCH(B2534&amp;"_"&amp;C2534,PRECIOS_COMPLEMENTOS!$H$4:$H$17,0),IF(OR(G2534="S",G2534="20cm"),1,IF(OR(G2534="M",G2534="25cm"),2,IF(OR(G2534="L",G2534="30cm"),3,IF(OR(G2534="XL",G2534="35cm"),4,0))))),0)</f>
        <v>0.6</v>
      </c>
      <c r="J2534" s="103">
        <f t="shared" si="1"/>
        <v>0</v>
      </c>
      <c r="K2534" s="104" t="str">
        <f>IF(H2534&lt;0,"ERROR",IF(H2534=0,"",IF(H2534&lt;CONFIG!$B$4,"CRÍTICO",IF(H2534&lt;CONFIG!$B$5,"BAJO","OK"))))</f>
        <v/>
      </c>
    </row>
    <row r="2535" ht="15.75" hidden="1" customHeight="1">
      <c r="A2535" s="90" t="str">
        <f>IF(CLIENTES!A7="","",CLIENTES!A7)</f>
        <v/>
      </c>
      <c r="B2535" s="90" t="s">
        <v>331</v>
      </c>
      <c r="C2535" s="91" t="s">
        <v>328</v>
      </c>
      <c r="D2535" s="109" t="s">
        <v>366</v>
      </c>
      <c r="E2535" s="67" t="str">
        <f>COLORES!A16</f>
        <v>Topo</v>
      </c>
      <c r="F2535" s="67" t="str">
        <f>COLORES!B16</f>
        <v>CLARO</v>
      </c>
      <c r="G2535" s="90" t="s">
        <v>379</v>
      </c>
      <c r="H2535" s="100">
        <f>IFERROR(SUMIFS(MOVIMIENTOS_COMPLEMENTOS!$I$4:$I$803,MOVIMIENTOS_COMPLEMENTOS!$C$4:$C$803,A2535,MOVIMIENTOS_COMPLEMENTOS!$D$4:$D$803,B2535,MOVIMIENTOS_COMPLEMENTOS!$E$4:$E$803,C2535,MOVIMIENTOS_COMPLEMENTOS!$F$4:$F$803,D2535,MOVIMIENTOS_COMPLEMENTOS!$G$4:$G$803,E2535,MOVIMIENTOS_COMPLEMENTOS!$H$4:$H$803,G2535,MOVIMIENTOS_COMPLEMENTOS!$B$4:$B$803,"INGRESO")+SUMIFS(MOVIMIENTOS_COMPLEMENTOS!$I$4:$I$803,MOVIMIENTOS_COMPLEMENTOS!$C$4:$C$803,A2535,MOVIMIENTOS_COMPLEMENTOS!$D$4:$D$803,B2535,MOVIMIENTOS_COMPLEMENTOS!$E$4:$E$803,C2535,MOVIMIENTOS_COMPLEMENTOS!$F$4:$F$803,D2535,MOVIMIENTOS_COMPLEMENTOS!$G$4:$G$803,E2535,MOVIMIENTOS_COMPLEMENTOS!$H$4:$H$803,G2535,MOVIMIENTOS_COMPLEMENTOS!$B$4:$B$803,"DE CORTE")-SUMIFS(MOVIMIENTOS_COMPLEMENTOS!$I$4:$I$803,MOVIMIENTOS_COMPLEMENTOS!$C$4:$C$803,A2535,MOVIMIENTOS_COMPLEMENTOS!$D$4:$D$803,B2535,MOVIMIENTOS_COMPLEMENTOS!$E$4:$E$803,C2535,MOVIMIENTOS_COMPLEMENTOS!$F$4:$F$803,D2535,MOVIMIENTOS_COMPLEMENTOS!$G$4:$G$803,E2535,MOVIMIENTOS_COMPLEMENTOS!$H$4:$H$803,G2535,MOVIMIENTOS_COMPLEMENTOS!$B$4:$B$803,"SALIDA"),0)</f>
        <v>0</v>
      </c>
      <c r="I2535" s="102">
        <f t="array" ref="I2535">IFERROR(INDEX(PRECIOS_COMPLEMENTOS!$C$4:$F$17,MATCH(B2535&amp;"_"&amp;C2535,PRECIOS_COMPLEMENTOS!$H$4:$H$17,0),IF(OR(G2535="S",G2535="20cm"),1,IF(OR(G2535="M",G2535="25cm"),2,IF(OR(G2535="L",G2535="30cm"),3,IF(OR(G2535="XL",G2535="35cm"),4,0))))),0)</f>
        <v>0.6</v>
      </c>
      <c r="J2535" s="103">
        <f t="shared" si="1"/>
        <v>0</v>
      </c>
      <c r="K2535" s="104" t="str">
        <f>IF(H2535&lt;0,"ERROR",IF(H2535=0,"",IF(H2535&lt;CONFIG!$B$4,"CRÍTICO",IF(H2535&lt;CONFIG!$B$5,"BAJO","OK"))))</f>
        <v/>
      </c>
    </row>
    <row r="2536" ht="15.75" hidden="1" customHeight="1">
      <c r="A2536" s="90" t="str">
        <f>IF(CLIENTES!A7="","",CLIENTES!A7)</f>
        <v/>
      </c>
      <c r="B2536" s="90" t="s">
        <v>331</v>
      </c>
      <c r="C2536" s="91" t="s">
        <v>328</v>
      </c>
      <c r="D2536" s="109" t="s">
        <v>366</v>
      </c>
      <c r="E2536" s="67" t="str">
        <f>COLORES!A17</f>
        <v>Vino</v>
      </c>
      <c r="F2536" s="67" t="str">
        <f>COLORES!B17</f>
        <v>OSCURO</v>
      </c>
      <c r="G2536" s="90" t="s">
        <v>378</v>
      </c>
      <c r="H2536" s="100">
        <f>IFERROR(SUMIFS(MOVIMIENTOS_COMPLEMENTOS!$I$4:$I$803,MOVIMIENTOS_COMPLEMENTOS!$C$4:$C$803,A2536,MOVIMIENTOS_COMPLEMENTOS!$D$4:$D$803,B2536,MOVIMIENTOS_COMPLEMENTOS!$E$4:$E$803,C2536,MOVIMIENTOS_COMPLEMENTOS!$F$4:$F$803,D2536,MOVIMIENTOS_COMPLEMENTOS!$G$4:$G$803,E2536,MOVIMIENTOS_COMPLEMENTOS!$H$4:$H$803,G2536,MOVIMIENTOS_COMPLEMENTOS!$B$4:$B$803,"INGRESO")+SUMIFS(MOVIMIENTOS_COMPLEMENTOS!$I$4:$I$803,MOVIMIENTOS_COMPLEMENTOS!$C$4:$C$803,A2536,MOVIMIENTOS_COMPLEMENTOS!$D$4:$D$803,B2536,MOVIMIENTOS_COMPLEMENTOS!$E$4:$E$803,C2536,MOVIMIENTOS_COMPLEMENTOS!$F$4:$F$803,D2536,MOVIMIENTOS_COMPLEMENTOS!$G$4:$G$803,E2536,MOVIMIENTOS_COMPLEMENTOS!$H$4:$H$803,G2536,MOVIMIENTOS_COMPLEMENTOS!$B$4:$B$803,"DE CORTE")-SUMIFS(MOVIMIENTOS_COMPLEMENTOS!$I$4:$I$803,MOVIMIENTOS_COMPLEMENTOS!$C$4:$C$803,A2536,MOVIMIENTOS_COMPLEMENTOS!$D$4:$D$803,B2536,MOVIMIENTOS_COMPLEMENTOS!$E$4:$E$803,C2536,MOVIMIENTOS_COMPLEMENTOS!$F$4:$F$803,D2536,MOVIMIENTOS_COMPLEMENTOS!$G$4:$G$803,E2536,MOVIMIENTOS_COMPLEMENTOS!$H$4:$H$803,G2536,MOVIMIENTOS_COMPLEMENTOS!$B$4:$B$803,"SALIDA"),0)</f>
        <v>0</v>
      </c>
      <c r="I2536" s="102">
        <f t="array" ref="I2536">IFERROR(INDEX(PRECIOS_COMPLEMENTOS!$C$4:$F$17,MATCH(B2536&amp;"_"&amp;C2536,PRECIOS_COMPLEMENTOS!$H$4:$H$17,0),IF(OR(G2536="S",G2536="20cm"),1,IF(OR(G2536="M",G2536="25cm"),2,IF(OR(G2536="L",G2536="30cm"),3,IF(OR(G2536="XL",G2536="35cm"),4,0))))),0)</f>
        <v>0.6</v>
      </c>
      <c r="J2536" s="103">
        <f t="shared" si="1"/>
        <v>0</v>
      </c>
      <c r="K2536" s="104" t="str">
        <f>IF(H2536&lt;0,"ERROR",IF(H2536=0,"",IF(H2536&lt;CONFIG!$B$4,"CRÍTICO",IF(H2536&lt;CONFIG!$B$5,"BAJO","OK"))))</f>
        <v/>
      </c>
    </row>
    <row r="2537" ht="15.75" hidden="1" customHeight="1">
      <c r="A2537" s="90" t="str">
        <f>IF(CLIENTES!A7="","",CLIENTES!A7)</f>
        <v/>
      </c>
      <c r="B2537" s="90" t="s">
        <v>331</v>
      </c>
      <c r="C2537" s="91" t="s">
        <v>328</v>
      </c>
      <c r="D2537" s="109" t="s">
        <v>366</v>
      </c>
      <c r="E2537" s="67" t="str">
        <f>COLORES!A17</f>
        <v>Vino</v>
      </c>
      <c r="F2537" s="67" t="str">
        <f>COLORES!B17</f>
        <v>OSCURO</v>
      </c>
      <c r="G2537" s="90" t="s">
        <v>376</v>
      </c>
      <c r="H2537" s="100">
        <f>IFERROR(SUMIFS(MOVIMIENTOS_COMPLEMENTOS!$I$4:$I$803,MOVIMIENTOS_COMPLEMENTOS!$C$4:$C$803,A2537,MOVIMIENTOS_COMPLEMENTOS!$D$4:$D$803,B2537,MOVIMIENTOS_COMPLEMENTOS!$E$4:$E$803,C2537,MOVIMIENTOS_COMPLEMENTOS!$F$4:$F$803,D2537,MOVIMIENTOS_COMPLEMENTOS!$G$4:$G$803,E2537,MOVIMIENTOS_COMPLEMENTOS!$H$4:$H$803,G2537,MOVIMIENTOS_COMPLEMENTOS!$B$4:$B$803,"INGRESO")+SUMIFS(MOVIMIENTOS_COMPLEMENTOS!$I$4:$I$803,MOVIMIENTOS_COMPLEMENTOS!$C$4:$C$803,A2537,MOVIMIENTOS_COMPLEMENTOS!$D$4:$D$803,B2537,MOVIMIENTOS_COMPLEMENTOS!$E$4:$E$803,C2537,MOVIMIENTOS_COMPLEMENTOS!$F$4:$F$803,D2537,MOVIMIENTOS_COMPLEMENTOS!$G$4:$G$803,E2537,MOVIMIENTOS_COMPLEMENTOS!$H$4:$H$803,G2537,MOVIMIENTOS_COMPLEMENTOS!$B$4:$B$803,"DE CORTE")-SUMIFS(MOVIMIENTOS_COMPLEMENTOS!$I$4:$I$803,MOVIMIENTOS_COMPLEMENTOS!$C$4:$C$803,A2537,MOVIMIENTOS_COMPLEMENTOS!$D$4:$D$803,B2537,MOVIMIENTOS_COMPLEMENTOS!$E$4:$E$803,C2537,MOVIMIENTOS_COMPLEMENTOS!$F$4:$F$803,D2537,MOVIMIENTOS_COMPLEMENTOS!$G$4:$G$803,E2537,MOVIMIENTOS_COMPLEMENTOS!$H$4:$H$803,G2537,MOVIMIENTOS_COMPLEMENTOS!$B$4:$B$803,"SALIDA"),0)</f>
        <v>0</v>
      </c>
      <c r="I2537" s="102">
        <f t="array" ref="I2537">IFERROR(INDEX(PRECIOS_COMPLEMENTOS!$C$4:$F$17,MATCH(B2537&amp;"_"&amp;C2537,PRECIOS_COMPLEMENTOS!$H$4:$H$17,0),IF(OR(G2537="S",G2537="20cm"),1,IF(OR(G2537="M",G2537="25cm"),2,IF(OR(G2537="L",G2537="30cm"),3,IF(OR(G2537="XL",G2537="35cm"),4,0))))),0)</f>
        <v>0.6</v>
      </c>
      <c r="J2537" s="103">
        <f t="shared" si="1"/>
        <v>0</v>
      </c>
      <c r="K2537" s="104" t="str">
        <f>IF(H2537&lt;0,"ERROR",IF(H2537=0,"",IF(H2537&lt;CONFIG!$B$4,"CRÍTICO",IF(H2537&lt;CONFIG!$B$5,"BAJO","OK"))))</f>
        <v/>
      </c>
    </row>
    <row r="2538" ht="15.75" hidden="1" customHeight="1">
      <c r="A2538" s="90" t="str">
        <f>IF(CLIENTES!A7="","",CLIENTES!A7)</f>
        <v/>
      </c>
      <c r="B2538" s="90" t="s">
        <v>331</v>
      </c>
      <c r="C2538" s="91" t="s">
        <v>328</v>
      </c>
      <c r="D2538" s="109" t="s">
        <v>366</v>
      </c>
      <c r="E2538" s="67" t="str">
        <f>COLORES!A17</f>
        <v>Vino</v>
      </c>
      <c r="F2538" s="67" t="str">
        <f>COLORES!B17</f>
        <v>OSCURO</v>
      </c>
      <c r="G2538" s="90" t="s">
        <v>377</v>
      </c>
      <c r="H2538" s="100">
        <f>IFERROR(SUMIFS(MOVIMIENTOS_COMPLEMENTOS!$I$4:$I$803,MOVIMIENTOS_COMPLEMENTOS!$C$4:$C$803,A2538,MOVIMIENTOS_COMPLEMENTOS!$D$4:$D$803,B2538,MOVIMIENTOS_COMPLEMENTOS!$E$4:$E$803,C2538,MOVIMIENTOS_COMPLEMENTOS!$F$4:$F$803,D2538,MOVIMIENTOS_COMPLEMENTOS!$G$4:$G$803,E2538,MOVIMIENTOS_COMPLEMENTOS!$H$4:$H$803,G2538,MOVIMIENTOS_COMPLEMENTOS!$B$4:$B$803,"INGRESO")+SUMIFS(MOVIMIENTOS_COMPLEMENTOS!$I$4:$I$803,MOVIMIENTOS_COMPLEMENTOS!$C$4:$C$803,A2538,MOVIMIENTOS_COMPLEMENTOS!$D$4:$D$803,B2538,MOVIMIENTOS_COMPLEMENTOS!$E$4:$E$803,C2538,MOVIMIENTOS_COMPLEMENTOS!$F$4:$F$803,D2538,MOVIMIENTOS_COMPLEMENTOS!$G$4:$G$803,E2538,MOVIMIENTOS_COMPLEMENTOS!$H$4:$H$803,G2538,MOVIMIENTOS_COMPLEMENTOS!$B$4:$B$803,"DE CORTE")-SUMIFS(MOVIMIENTOS_COMPLEMENTOS!$I$4:$I$803,MOVIMIENTOS_COMPLEMENTOS!$C$4:$C$803,A2538,MOVIMIENTOS_COMPLEMENTOS!$D$4:$D$803,B2538,MOVIMIENTOS_COMPLEMENTOS!$E$4:$E$803,C2538,MOVIMIENTOS_COMPLEMENTOS!$F$4:$F$803,D2538,MOVIMIENTOS_COMPLEMENTOS!$G$4:$G$803,E2538,MOVIMIENTOS_COMPLEMENTOS!$H$4:$H$803,G2538,MOVIMIENTOS_COMPLEMENTOS!$B$4:$B$803,"SALIDA"),0)</f>
        <v>0</v>
      </c>
      <c r="I2538" s="102">
        <f t="array" ref="I2538">IFERROR(INDEX(PRECIOS_COMPLEMENTOS!$C$4:$F$17,MATCH(B2538&amp;"_"&amp;C2538,PRECIOS_COMPLEMENTOS!$H$4:$H$17,0),IF(OR(G2538="S",G2538="20cm"),1,IF(OR(G2538="M",G2538="25cm"),2,IF(OR(G2538="L",G2538="30cm"),3,IF(OR(G2538="XL",G2538="35cm"),4,0))))),0)</f>
        <v>0.6</v>
      </c>
      <c r="J2538" s="103">
        <f t="shared" si="1"/>
        <v>0</v>
      </c>
      <c r="K2538" s="104" t="str">
        <f>IF(H2538&lt;0,"ERROR",IF(H2538=0,"",IF(H2538&lt;CONFIG!$B$4,"CRÍTICO",IF(H2538&lt;CONFIG!$B$5,"BAJO","OK"))))</f>
        <v/>
      </c>
    </row>
    <row r="2539" ht="15.75" hidden="1" customHeight="1">
      <c r="A2539" s="90" t="str">
        <f>IF(CLIENTES!A7="","",CLIENTES!A7)</f>
        <v/>
      </c>
      <c r="B2539" s="90" t="s">
        <v>331</v>
      </c>
      <c r="C2539" s="91" t="s">
        <v>328</v>
      </c>
      <c r="D2539" s="109" t="s">
        <v>366</v>
      </c>
      <c r="E2539" s="67" t="str">
        <f>COLORES!A17</f>
        <v>Vino</v>
      </c>
      <c r="F2539" s="67" t="str">
        <f>COLORES!B17</f>
        <v>OSCURO</v>
      </c>
      <c r="G2539" s="90" t="s">
        <v>379</v>
      </c>
      <c r="H2539" s="100">
        <f>IFERROR(SUMIFS(MOVIMIENTOS_COMPLEMENTOS!$I$4:$I$803,MOVIMIENTOS_COMPLEMENTOS!$C$4:$C$803,A2539,MOVIMIENTOS_COMPLEMENTOS!$D$4:$D$803,B2539,MOVIMIENTOS_COMPLEMENTOS!$E$4:$E$803,C2539,MOVIMIENTOS_COMPLEMENTOS!$F$4:$F$803,D2539,MOVIMIENTOS_COMPLEMENTOS!$G$4:$G$803,E2539,MOVIMIENTOS_COMPLEMENTOS!$H$4:$H$803,G2539,MOVIMIENTOS_COMPLEMENTOS!$B$4:$B$803,"INGRESO")+SUMIFS(MOVIMIENTOS_COMPLEMENTOS!$I$4:$I$803,MOVIMIENTOS_COMPLEMENTOS!$C$4:$C$803,A2539,MOVIMIENTOS_COMPLEMENTOS!$D$4:$D$803,B2539,MOVIMIENTOS_COMPLEMENTOS!$E$4:$E$803,C2539,MOVIMIENTOS_COMPLEMENTOS!$F$4:$F$803,D2539,MOVIMIENTOS_COMPLEMENTOS!$G$4:$G$803,E2539,MOVIMIENTOS_COMPLEMENTOS!$H$4:$H$803,G2539,MOVIMIENTOS_COMPLEMENTOS!$B$4:$B$803,"DE CORTE")-SUMIFS(MOVIMIENTOS_COMPLEMENTOS!$I$4:$I$803,MOVIMIENTOS_COMPLEMENTOS!$C$4:$C$803,A2539,MOVIMIENTOS_COMPLEMENTOS!$D$4:$D$803,B2539,MOVIMIENTOS_COMPLEMENTOS!$E$4:$E$803,C2539,MOVIMIENTOS_COMPLEMENTOS!$F$4:$F$803,D2539,MOVIMIENTOS_COMPLEMENTOS!$G$4:$G$803,E2539,MOVIMIENTOS_COMPLEMENTOS!$H$4:$H$803,G2539,MOVIMIENTOS_COMPLEMENTOS!$B$4:$B$803,"SALIDA"),0)</f>
        <v>0</v>
      </c>
      <c r="I2539" s="102">
        <f t="array" ref="I2539">IFERROR(INDEX(PRECIOS_COMPLEMENTOS!$C$4:$F$17,MATCH(B2539&amp;"_"&amp;C2539,PRECIOS_COMPLEMENTOS!$H$4:$H$17,0),IF(OR(G2539="S",G2539="20cm"),1,IF(OR(G2539="M",G2539="25cm"),2,IF(OR(G2539="L",G2539="30cm"),3,IF(OR(G2539="XL",G2539="35cm"),4,0))))),0)</f>
        <v>0.6</v>
      </c>
      <c r="J2539" s="103">
        <f t="shared" si="1"/>
        <v>0</v>
      </c>
      <c r="K2539" s="104" t="str">
        <f>IF(H2539&lt;0,"ERROR",IF(H2539=0,"",IF(H2539&lt;CONFIG!$B$4,"CRÍTICO",IF(H2539&lt;CONFIG!$B$5,"BAJO","OK"))))</f>
        <v/>
      </c>
    </row>
    <row r="2540" ht="15.75" hidden="1" customHeight="1">
      <c r="A2540" s="90" t="str">
        <f>IF(CLIENTES!A7="","",CLIENTES!A7)</f>
        <v/>
      </c>
      <c r="B2540" s="90" t="s">
        <v>331</v>
      </c>
      <c r="C2540" s="91" t="s">
        <v>328</v>
      </c>
      <c r="D2540" s="109" t="s">
        <v>366</v>
      </c>
      <c r="E2540" s="67" t="str">
        <f>COLORES!A18</f>
        <v>P. Rosa</v>
      </c>
      <c r="F2540" s="67" t="str">
        <f>COLORES!B18</f>
        <v>CLARO</v>
      </c>
      <c r="G2540" s="90" t="s">
        <v>378</v>
      </c>
      <c r="H2540" s="100">
        <f>IFERROR(SUMIFS(MOVIMIENTOS_COMPLEMENTOS!$I$4:$I$803,MOVIMIENTOS_COMPLEMENTOS!$C$4:$C$803,A2540,MOVIMIENTOS_COMPLEMENTOS!$D$4:$D$803,B2540,MOVIMIENTOS_COMPLEMENTOS!$E$4:$E$803,C2540,MOVIMIENTOS_COMPLEMENTOS!$F$4:$F$803,D2540,MOVIMIENTOS_COMPLEMENTOS!$G$4:$G$803,E2540,MOVIMIENTOS_COMPLEMENTOS!$H$4:$H$803,G2540,MOVIMIENTOS_COMPLEMENTOS!$B$4:$B$803,"INGRESO")+SUMIFS(MOVIMIENTOS_COMPLEMENTOS!$I$4:$I$803,MOVIMIENTOS_COMPLEMENTOS!$C$4:$C$803,A2540,MOVIMIENTOS_COMPLEMENTOS!$D$4:$D$803,B2540,MOVIMIENTOS_COMPLEMENTOS!$E$4:$E$803,C2540,MOVIMIENTOS_COMPLEMENTOS!$F$4:$F$803,D2540,MOVIMIENTOS_COMPLEMENTOS!$G$4:$G$803,E2540,MOVIMIENTOS_COMPLEMENTOS!$H$4:$H$803,G2540,MOVIMIENTOS_COMPLEMENTOS!$B$4:$B$803,"DE CORTE")-SUMIFS(MOVIMIENTOS_COMPLEMENTOS!$I$4:$I$803,MOVIMIENTOS_COMPLEMENTOS!$C$4:$C$803,A2540,MOVIMIENTOS_COMPLEMENTOS!$D$4:$D$803,B2540,MOVIMIENTOS_COMPLEMENTOS!$E$4:$E$803,C2540,MOVIMIENTOS_COMPLEMENTOS!$F$4:$F$803,D2540,MOVIMIENTOS_COMPLEMENTOS!$G$4:$G$803,E2540,MOVIMIENTOS_COMPLEMENTOS!$H$4:$H$803,G2540,MOVIMIENTOS_COMPLEMENTOS!$B$4:$B$803,"SALIDA"),0)</f>
        <v>0</v>
      </c>
      <c r="I2540" s="102">
        <f t="array" ref="I2540">IFERROR(INDEX(PRECIOS_COMPLEMENTOS!$C$4:$F$17,MATCH(B2540&amp;"_"&amp;C2540,PRECIOS_COMPLEMENTOS!$H$4:$H$17,0),IF(OR(G2540="S",G2540="20cm"),1,IF(OR(G2540="M",G2540="25cm"),2,IF(OR(G2540="L",G2540="30cm"),3,IF(OR(G2540="XL",G2540="35cm"),4,0))))),0)</f>
        <v>0.6</v>
      </c>
      <c r="J2540" s="103">
        <f t="shared" si="1"/>
        <v>0</v>
      </c>
      <c r="K2540" s="104" t="str">
        <f>IF(H2540&lt;0,"ERROR",IF(H2540=0,"",IF(H2540&lt;CONFIG!$B$4,"CRÍTICO",IF(H2540&lt;CONFIG!$B$5,"BAJO","OK"))))</f>
        <v/>
      </c>
    </row>
    <row r="2541" ht="15.75" hidden="1" customHeight="1">
      <c r="A2541" s="90" t="str">
        <f>IF(CLIENTES!A7="","",CLIENTES!A7)</f>
        <v/>
      </c>
      <c r="B2541" s="90" t="s">
        <v>331</v>
      </c>
      <c r="C2541" s="91" t="s">
        <v>328</v>
      </c>
      <c r="D2541" s="109" t="s">
        <v>366</v>
      </c>
      <c r="E2541" s="67" t="str">
        <f>COLORES!A18</f>
        <v>P. Rosa</v>
      </c>
      <c r="F2541" s="67" t="str">
        <f>COLORES!B18</f>
        <v>CLARO</v>
      </c>
      <c r="G2541" s="90" t="s">
        <v>376</v>
      </c>
      <c r="H2541" s="100">
        <f>IFERROR(SUMIFS(MOVIMIENTOS_COMPLEMENTOS!$I$4:$I$803,MOVIMIENTOS_COMPLEMENTOS!$C$4:$C$803,A2541,MOVIMIENTOS_COMPLEMENTOS!$D$4:$D$803,B2541,MOVIMIENTOS_COMPLEMENTOS!$E$4:$E$803,C2541,MOVIMIENTOS_COMPLEMENTOS!$F$4:$F$803,D2541,MOVIMIENTOS_COMPLEMENTOS!$G$4:$G$803,E2541,MOVIMIENTOS_COMPLEMENTOS!$H$4:$H$803,G2541,MOVIMIENTOS_COMPLEMENTOS!$B$4:$B$803,"INGRESO")+SUMIFS(MOVIMIENTOS_COMPLEMENTOS!$I$4:$I$803,MOVIMIENTOS_COMPLEMENTOS!$C$4:$C$803,A2541,MOVIMIENTOS_COMPLEMENTOS!$D$4:$D$803,B2541,MOVIMIENTOS_COMPLEMENTOS!$E$4:$E$803,C2541,MOVIMIENTOS_COMPLEMENTOS!$F$4:$F$803,D2541,MOVIMIENTOS_COMPLEMENTOS!$G$4:$G$803,E2541,MOVIMIENTOS_COMPLEMENTOS!$H$4:$H$803,G2541,MOVIMIENTOS_COMPLEMENTOS!$B$4:$B$803,"DE CORTE")-SUMIFS(MOVIMIENTOS_COMPLEMENTOS!$I$4:$I$803,MOVIMIENTOS_COMPLEMENTOS!$C$4:$C$803,A2541,MOVIMIENTOS_COMPLEMENTOS!$D$4:$D$803,B2541,MOVIMIENTOS_COMPLEMENTOS!$E$4:$E$803,C2541,MOVIMIENTOS_COMPLEMENTOS!$F$4:$F$803,D2541,MOVIMIENTOS_COMPLEMENTOS!$G$4:$G$803,E2541,MOVIMIENTOS_COMPLEMENTOS!$H$4:$H$803,G2541,MOVIMIENTOS_COMPLEMENTOS!$B$4:$B$803,"SALIDA"),0)</f>
        <v>0</v>
      </c>
      <c r="I2541" s="102">
        <f t="array" ref="I2541">IFERROR(INDEX(PRECIOS_COMPLEMENTOS!$C$4:$F$17,MATCH(B2541&amp;"_"&amp;C2541,PRECIOS_COMPLEMENTOS!$H$4:$H$17,0),IF(OR(G2541="S",G2541="20cm"),1,IF(OR(G2541="M",G2541="25cm"),2,IF(OR(G2541="L",G2541="30cm"),3,IF(OR(G2541="XL",G2541="35cm"),4,0))))),0)</f>
        <v>0.6</v>
      </c>
      <c r="J2541" s="103">
        <f t="shared" si="1"/>
        <v>0</v>
      </c>
      <c r="K2541" s="104" t="str">
        <f>IF(H2541&lt;0,"ERROR",IF(H2541=0,"",IF(H2541&lt;CONFIG!$B$4,"CRÍTICO",IF(H2541&lt;CONFIG!$B$5,"BAJO","OK"))))</f>
        <v/>
      </c>
    </row>
    <row r="2542" ht="15.75" hidden="1" customHeight="1">
      <c r="A2542" s="90" t="str">
        <f>IF(CLIENTES!A7="","",CLIENTES!A7)</f>
        <v/>
      </c>
      <c r="B2542" s="90" t="s">
        <v>331</v>
      </c>
      <c r="C2542" s="91" t="s">
        <v>328</v>
      </c>
      <c r="D2542" s="109" t="s">
        <v>366</v>
      </c>
      <c r="E2542" s="67" t="str">
        <f>COLORES!A18</f>
        <v>P. Rosa</v>
      </c>
      <c r="F2542" s="67" t="str">
        <f>COLORES!B18</f>
        <v>CLARO</v>
      </c>
      <c r="G2542" s="90" t="s">
        <v>377</v>
      </c>
      <c r="H2542" s="100">
        <f>IFERROR(SUMIFS(MOVIMIENTOS_COMPLEMENTOS!$I$4:$I$803,MOVIMIENTOS_COMPLEMENTOS!$C$4:$C$803,A2542,MOVIMIENTOS_COMPLEMENTOS!$D$4:$D$803,B2542,MOVIMIENTOS_COMPLEMENTOS!$E$4:$E$803,C2542,MOVIMIENTOS_COMPLEMENTOS!$F$4:$F$803,D2542,MOVIMIENTOS_COMPLEMENTOS!$G$4:$G$803,E2542,MOVIMIENTOS_COMPLEMENTOS!$H$4:$H$803,G2542,MOVIMIENTOS_COMPLEMENTOS!$B$4:$B$803,"INGRESO")+SUMIFS(MOVIMIENTOS_COMPLEMENTOS!$I$4:$I$803,MOVIMIENTOS_COMPLEMENTOS!$C$4:$C$803,A2542,MOVIMIENTOS_COMPLEMENTOS!$D$4:$D$803,B2542,MOVIMIENTOS_COMPLEMENTOS!$E$4:$E$803,C2542,MOVIMIENTOS_COMPLEMENTOS!$F$4:$F$803,D2542,MOVIMIENTOS_COMPLEMENTOS!$G$4:$G$803,E2542,MOVIMIENTOS_COMPLEMENTOS!$H$4:$H$803,G2542,MOVIMIENTOS_COMPLEMENTOS!$B$4:$B$803,"DE CORTE")-SUMIFS(MOVIMIENTOS_COMPLEMENTOS!$I$4:$I$803,MOVIMIENTOS_COMPLEMENTOS!$C$4:$C$803,A2542,MOVIMIENTOS_COMPLEMENTOS!$D$4:$D$803,B2542,MOVIMIENTOS_COMPLEMENTOS!$E$4:$E$803,C2542,MOVIMIENTOS_COMPLEMENTOS!$F$4:$F$803,D2542,MOVIMIENTOS_COMPLEMENTOS!$G$4:$G$803,E2542,MOVIMIENTOS_COMPLEMENTOS!$H$4:$H$803,G2542,MOVIMIENTOS_COMPLEMENTOS!$B$4:$B$803,"SALIDA"),0)</f>
        <v>0</v>
      </c>
      <c r="I2542" s="102">
        <f t="array" ref="I2542">IFERROR(INDEX(PRECIOS_COMPLEMENTOS!$C$4:$F$17,MATCH(B2542&amp;"_"&amp;C2542,PRECIOS_COMPLEMENTOS!$H$4:$H$17,0),IF(OR(G2542="S",G2542="20cm"),1,IF(OR(G2542="M",G2542="25cm"),2,IF(OR(G2542="L",G2542="30cm"),3,IF(OR(G2542="XL",G2542="35cm"),4,0))))),0)</f>
        <v>0.6</v>
      </c>
      <c r="J2542" s="103">
        <f t="shared" si="1"/>
        <v>0</v>
      </c>
      <c r="K2542" s="104" t="str">
        <f>IF(H2542&lt;0,"ERROR",IF(H2542=0,"",IF(H2542&lt;CONFIG!$B$4,"CRÍTICO",IF(H2542&lt;CONFIG!$B$5,"BAJO","OK"))))</f>
        <v/>
      </c>
    </row>
    <row r="2543" ht="15.75" hidden="1" customHeight="1">
      <c r="A2543" s="90" t="str">
        <f>IF(CLIENTES!A7="","",CLIENTES!A7)</f>
        <v/>
      </c>
      <c r="B2543" s="90" t="s">
        <v>331</v>
      </c>
      <c r="C2543" s="91" t="s">
        <v>328</v>
      </c>
      <c r="D2543" s="109" t="s">
        <v>366</v>
      </c>
      <c r="E2543" s="67" t="str">
        <f>COLORES!A18</f>
        <v>P. Rosa</v>
      </c>
      <c r="F2543" s="67" t="str">
        <f>COLORES!B18</f>
        <v>CLARO</v>
      </c>
      <c r="G2543" s="90" t="s">
        <v>379</v>
      </c>
      <c r="H2543" s="100">
        <f>IFERROR(SUMIFS(MOVIMIENTOS_COMPLEMENTOS!$I$4:$I$803,MOVIMIENTOS_COMPLEMENTOS!$C$4:$C$803,A2543,MOVIMIENTOS_COMPLEMENTOS!$D$4:$D$803,B2543,MOVIMIENTOS_COMPLEMENTOS!$E$4:$E$803,C2543,MOVIMIENTOS_COMPLEMENTOS!$F$4:$F$803,D2543,MOVIMIENTOS_COMPLEMENTOS!$G$4:$G$803,E2543,MOVIMIENTOS_COMPLEMENTOS!$H$4:$H$803,G2543,MOVIMIENTOS_COMPLEMENTOS!$B$4:$B$803,"INGRESO")+SUMIFS(MOVIMIENTOS_COMPLEMENTOS!$I$4:$I$803,MOVIMIENTOS_COMPLEMENTOS!$C$4:$C$803,A2543,MOVIMIENTOS_COMPLEMENTOS!$D$4:$D$803,B2543,MOVIMIENTOS_COMPLEMENTOS!$E$4:$E$803,C2543,MOVIMIENTOS_COMPLEMENTOS!$F$4:$F$803,D2543,MOVIMIENTOS_COMPLEMENTOS!$G$4:$G$803,E2543,MOVIMIENTOS_COMPLEMENTOS!$H$4:$H$803,G2543,MOVIMIENTOS_COMPLEMENTOS!$B$4:$B$803,"DE CORTE")-SUMIFS(MOVIMIENTOS_COMPLEMENTOS!$I$4:$I$803,MOVIMIENTOS_COMPLEMENTOS!$C$4:$C$803,A2543,MOVIMIENTOS_COMPLEMENTOS!$D$4:$D$803,B2543,MOVIMIENTOS_COMPLEMENTOS!$E$4:$E$803,C2543,MOVIMIENTOS_COMPLEMENTOS!$F$4:$F$803,D2543,MOVIMIENTOS_COMPLEMENTOS!$G$4:$G$803,E2543,MOVIMIENTOS_COMPLEMENTOS!$H$4:$H$803,G2543,MOVIMIENTOS_COMPLEMENTOS!$B$4:$B$803,"SALIDA"),0)</f>
        <v>0</v>
      </c>
      <c r="I2543" s="102">
        <f t="array" ref="I2543">IFERROR(INDEX(PRECIOS_COMPLEMENTOS!$C$4:$F$17,MATCH(B2543&amp;"_"&amp;C2543,PRECIOS_COMPLEMENTOS!$H$4:$H$17,0),IF(OR(G2543="S",G2543="20cm"),1,IF(OR(G2543="M",G2543="25cm"),2,IF(OR(G2543="L",G2543="30cm"),3,IF(OR(G2543="XL",G2543="35cm"),4,0))))),0)</f>
        <v>0.6</v>
      </c>
      <c r="J2543" s="103">
        <f t="shared" si="1"/>
        <v>0</v>
      </c>
      <c r="K2543" s="104" t="str">
        <f>IF(H2543&lt;0,"ERROR",IF(H2543=0,"",IF(H2543&lt;CONFIG!$B$4,"CRÍTICO",IF(H2543&lt;CONFIG!$B$5,"BAJO","OK"))))</f>
        <v/>
      </c>
    </row>
    <row r="2544" ht="15.75" hidden="1" customHeight="1">
      <c r="A2544" s="90" t="str">
        <f>IF(CLIENTES!A7="","",CLIENTES!A7)</f>
        <v/>
      </c>
      <c r="B2544" s="90" t="s">
        <v>331</v>
      </c>
      <c r="C2544" s="91" t="s">
        <v>328</v>
      </c>
      <c r="D2544" s="109" t="s">
        <v>366</v>
      </c>
      <c r="E2544" s="67" t="str">
        <f>COLORES!A19</f>
        <v/>
      </c>
      <c r="F2544" s="67" t="str">
        <f>COLORES!B19</f>
        <v/>
      </c>
      <c r="G2544" s="90" t="s">
        <v>378</v>
      </c>
      <c r="H2544" s="100">
        <f>IFERROR(SUMIFS(MOVIMIENTOS_COMPLEMENTOS!$I$4:$I$803,MOVIMIENTOS_COMPLEMENTOS!$C$4:$C$803,A2544,MOVIMIENTOS_COMPLEMENTOS!$D$4:$D$803,B2544,MOVIMIENTOS_COMPLEMENTOS!$E$4:$E$803,C2544,MOVIMIENTOS_COMPLEMENTOS!$F$4:$F$803,D2544,MOVIMIENTOS_COMPLEMENTOS!$G$4:$G$803,E2544,MOVIMIENTOS_COMPLEMENTOS!$H$4:$H$803,G2544,MOVIMIENTOS_COMPLEMENTOS!$B$4:$B$803,"INGRESO")+SUMIFS(MOVIMIENTOS_COMPLEMENTOS!$I$4:$I$803,MOVIMIENTOS_COMPLEMENTOS!$C$4:$C$803,A2544,MOVIMIENTOS_COMPLEMENTOS!$D$4:$D$803,B2544,MOVIMIENTOS_COMPLEMENTOS!$E$4:$E$803,C2544,MOVIMIENTOS_COMPLEMENTOS!$F$4:$F$803,D2544,MOVIMIENTOS_COMPLEMENTOS!$G$4:$G$803,E2544,MOVIMIENTOS_COMPLEMENTOS!$H$4:$H$803,G2544,MOVIMIENTOS_COMPLEMENTOS!$B$4:$B$803,"DE CORTE")-SUMIFS(MOVIMIENTOS_COMPLEMENTOS!$I$4:$I$803,MOVIMIENTOS_COMPLEMENTOS!$C$4:$C$803,A2544,MOVIMIENTOS_COMPLEMENTOS!$D$4:$D$803,B2544,MOVIMIENTOS_COMPLEMENTOS!$E$4:$E$803,C2544,MOVIMIENTOS_COMPLEMENTOS!$F$4:$F$803,D2544,MOVIMIENTOS_COMPLEMENTOS!$G$4:$G$803,E2544,MOVIMIENTOS_COMPLEMENTOS!$H$4:$H$803,G2544,MOVIMIENTOS_COMPLEMENTOS!$B$4:$B$803,"SALIDA"),0)</f>
        <v>0</v>
      </c>
      <c r="I2544" s="102">
        <f t="array" ref="I2544">IFERROR(INDEX(PRECIOS_COMPLEMENTOS!$C$4:$F$17,MATCH(B2544&amp;"_"&amp;C2544,PRECIOS_COMPLEMENTOS!$H$4:$H$17,0),IF(OR(G2544="S",G2544="20cm"),1,IF(OR(G2544="M",G2544="25cm"),2,IF(OR(G2544="L",G2544="30cm"),3,IF(OR(G2544="XL",G2544="35cm"),4,0))))),0)</f>
        <v>0.6</v>
      </c>
      <c r="J2544" s="103">
        <f t="shared" si="1"/>
        <v>0</v>
      </c>
      <c r="K2544" s="104" t="str">
        <f>IF(H2544&lt;0,"ERROR",IF(H2544=0,"",IF(H2544&lt;CONFIG!$B$4,"CRÍTICO",IF(H2544&lt;CONFIG!$B$5,"BAJO","OK"))))</f>
        <v/>
      </c>
    </row>
    <row r="2545" ht="15.75" hidden="1" customHeight="1">
      <c r="A2545" s="90" t="str">
        <f>IF(CLIENTES!A7="","",CLIENTES!A7)</f>
        <v/>
      </c>
      <c r="B2545" s="90" t="s">
        <v>331</v>
      </c>
      <c r="C2545" s="91" t="s">
        <v>328</v>
      </c>
      <c r="D2545" s="109" t="s">
        <v>366</v>
      </c>
      <c r="E2545" s="67" t="str">
        <f>COLORES!A19</f>
        <v/>
      </c>
      <c r="F2545" s="67" t="str">
        <f>COLORES!B19</f>
        <v/>
      </c>
      <c r="G2545" s="90" t="s">
        <v>376</v>
      </c>
      <c r="H2545" s="100">
        <f>IFERROR(SUMIFS(MOVIMIENTOS_COMPLEMENTOS!$I$4:$I$803,MOVIMIENTOS_COMPLEMENTOS!$C$4:$C$803,A2545,MOVIMIENTOS_COMPLEMENTOS!$D$4:$D$803,B2545,MOVIMIENTOS_COMPLEMENTOS!$E$4:$E$803,C2545,MOVIMIENTOS_COMPLEMENTOS!$F$4:$F$803,D2545,MOVIMIENTOS_COMPLEMENTOS!$G$4:$G$803,E2545,MOVIMIENTOS_COMPLEMENTOS!$H$4:$H$803,G2545,MOVIMIENTOS_COMPLEMENTOS!$B$4:$B$803,"INGRESO")+SUMIFS(MOVIMIENTOS_COMPLEMENTOS!$I$4:$I$803,MOVIMIENTOS_COMPLEMENTOS!$C$4:$C$803,A2545,MOVIMIENTOS_COMPLEMENTOS!$D$4:$D$803,B2545,MOVIMIENTOS_COMPLEMENTOS!$E$4:$E$803,C2545,MOVIMIENTOS_COMPLEMENTOS!$F$4:$F$803,D2545,MOVIMIENTOS_COMPLEMENTOS!$G$4:$G$803,E2545,MOVIMIENTOS_COMPLEMENTOS!$H$4:$H$803,G2545,MOVIMIENTOS_COMPLEMENTOS!$B$4:$B$803,"DE CORTE")-SUMIFS(MOVIMIENTOS_COMPLEMENTOS!$I$4:$I$803,MOVIMIENTOS_COMPLEMENTOS!$C$4:$C$803,A2545,MOVIMIENTOS_COMPLEMENTOS!$D$4:$D$803,B2545,MOVIMIENTOS_COMPLEMENTOS!$E$4:$E$803,C2545,MOVIMIENTOS_COMPLEMENTOS!$F$4:$F$803,D2545,MOVIMIENTOS_COMPLEMENTOS!$G$4:$G$803,E2545,MOVIMIENTOS_COMPLEMENTOS!$H$4:$H$803,G2545,MOVIMIENTOS_COMPLEMENTOS!$B$4:$B$803,"SALIDA"),0)</f>
        <v>0</v>
      </c>
      <c r="I2545" s="102">
        <f t="array" ref="I2545">IFERROR(INDEX(PRECIOS_COMPLEMENTOS!$C$4:$F$17,MATCH(B2545&amp;"_"&amp;C2545,PRECIOS_COMPLEMENTOS!$H$4:$H$17,0),IF(OR(G2545="S",G2545="20cm"),1,IF(OR(G2545="M",G2545="25cm"),2,IF(OR(G2545="L",G2545="30cm"),3,IF(OR(G2545="XL",G2545="35cm"),4,0))))),0)</f>
        <v>0.6</v>
      </c>
      <c r="J2545" s="103">
        <f t="shared" si="1"/>
        <v>0</v>
      </c>
      <c r="K2545" s="104" t="str">
        <f>IF(H2545&lt;0,"ERROR",IF(H2545=0,"",IF(H2545&lt;CONFIG!$B$4,"CRÍTICO",IF(H2545&lt;CONFIG!$B$5,"BAJO","OK"))))</f>
        <v/>
      </c>
    </row>
    <row r="2546" ht="15.75" hidden="1" customHeight="1">
      <c r="A2546" s="90" t="str">
        <f>IF(CLIENTES!A7="","",CLIENTES!A7)</f>
        <v/>
      </c>
      <c r="B2546" s="90" t="s">
        <v>331</v>
      </c>
      <c r="C2546" s="91" t="s">
        <v>328</v>
      </c>
      <c r="D2546" s="109" t="s">
        <v>366</v>
      </c>
      <c r="E2546" s="67" t="str">
        <f>COLORES!A19</f>
        <v/>
      </c>
      <c r="F2546" s="67" t="str">
        <f>COLORES!B19</f>
        <v/>
      </c>
      <c r="G2546" s="90" t="s">
        <v>377</v>
      </c>
      <c r="H2546" s="100">
        <f>IFERROR(SUMIFS(MOVIMIENTOS_COMPLEMENTOS!$I$4:$I$803,MOVIMIENTOS_COMPLEMENTOS!$C$4:$C$803,A2546,MOVIMIENTOS_COMPLEMENTOS!$D$4:$D$803,B2546,MOVIMIENTOS_COMPLEMENTOS!$E$4:$E$803,C2546,MOVIMIENTOS_COMPLEMENTOS!$F$4:$F$803,D2546,MOVIMIENTOS_COMPLEMENTOS!$G$4:$G$803,E2546,MOVIMIENTOS_COMPLEMENTOS!$H$4:$H$803,G2546,MOVIMIENTOS_COMPLEMENTOS!$B$4:$B$803,"INGRESO")+SUMIFS(MOVIMIENTOS_COMPLEMENTOS!$I$4:$I$803,MOVIMIENTOS_COMPLEMENTOS!$C$4:$C$803,A2546,MOVIMIENTOS_COMPLEMENTOS!$D$4:$D$803,B2546,MOVIMIENTOS_COMPLEMENTOS!$E$4:$E$803,C2546,MOVIMIENTOS_COMPLEMENTOS!$F$4:$F$803,D2546,MOVIMIENTOS_COMPLEMENTOS!$G$4:$G$803,E2546,MOVIMIENTOS_COMPLEMENTOS!$H$4:$H$803,G2546,MOVIMIENTOS_COMPLEMENTOS!$B$4:$B$803,"DE CORTE")-SUMIFS(MOVIMIENTOS_COMPLEMENTOS!$I$4:$I$803,MOVIMIENTOS_COMPLEMENTOS!$C$4:$C$803,A2546,MOVIMIENTOS_COMPLEMENTOS!$D$4:$D$803,B2546,MOVIMIENTOS_COMPLEMENTOS!$E$4:$E$803,C2546,MOVIMIENTOS_COMPLEMENTOS!$F$4:$F$803,D2546,MOVIMIENTOS_COMPLEMENTOS!$G$4:$G$803,E2546,MOVIMIENTOS_COMPLEMENTOS!$H$4:$H$803,G2546,MOVIMIENTOS_COMPLEMENTOS!$B$4:$B$803,"SALIDA"),0)</f>
        <v>0</v>
      </c>
      <c r="I2546" s="102">
        <f t="array" ref="I2546">IFERROR(INDEX(PRECIOS_COMPLEMENTOS!$C$4:$F$17,MATCH(B2546&amp;"_"&amp;C2546,PRECIOS_COMPLEMENTOS!$H$4:$H$17,0),IF(OR(G2546="S",G2546="20cm"),1,IF(OR(G2546="M",G2546="25cm"),2,IF(OR(G2546="L",G2546="30cm"),3,IF(OR(G2546="XL",G2546="35cm"),4,0))))),0)</f>
        <v>0.6</v>
      </c>
      <c r="J2546" s="103">
        <f t="shared" si="1"/>
        <v>0</v>
      </c>
      <c r="K2546" s="104" t="str">
        <f>IF(H2546&lt;0,"ERROR",IF(H2546=0,"",IF(H2546&lt;CONFIG!$B$4,"CRÍTICO",IF(H2546&lt;CONFIG!$B$5,"BAJO","OK"))))</f>
        <v/>
      </c>
    </row>
    <row r="2547" ht="15.75" hidden="1" customHeight="1">
      <c r="A2547" s="90" t="str">
        <f>IF(CLIENTES!A7="","",CLIENTES!A7)</f>
        <v/>
      </c>
      <c r="B2547" s="90" t="s">
        <v>331</v>
      </c>
      <c r="C2547" s="91" t="s">
        <v>328</v>
      </c>
      <c r="D2547" s="109" t="s">
        <v>366</v>
      </c>
      <c r="E2547" s="67" t="str">
        <f>COLORES!A19</f>
        <v/>
      </c>
      <c r="F2547" s="67" t="str">
        <f>COLORES!B19</f>
        <v/>
      </c>
      <c r="G2547" s="90" t="s">
        <v>379</v>
      </c>
      <c r="H2547" s="100">
        <f>IFERROR(SUMIFS(MOVIMIENTOS_COMPLEMENTOS!$I$4:$I$803,MOVIMIENTOS_COMPLEMENTOS!$C$4:$C$803,A2547,MOVIMIENTOS_COMPLEMENTOS!$D$4:$D$803,B2547,MOVIMIENTOS_COMPLEMENTOS!$E$4:$E$803,C2547,MOVIMIENTOS_COMPLEMENTOS!$F$4:$F$803,D2547,MOVIMIENTOS_COMPLEMENTOS!$G$4:$G$803,E2547,MOVIMIENTOS_COMPLEMENTOS!$H$4:$H$803,G2547,MOVIMIENTOS_COMPLEMENTOS!$B$4:$B$803,"INGRESO")+SUMIFS(MOVIMIENTOS_COMPLEMENTOS!$I$4:$I$803,MOVIMIENTOS_COMPLEMENTOS!$C$4:$C$803,A2547,MOVIMIENTOS_COMPLEMENTOS!$D$4:$D$803,B2547,MOVIMIENTOS_COMPLEMENTOS!$E$4:$E$803,C2547,MOVIMIENTOS_COMPLEMENTOS!$F$4:$F$803,D2547,MOVIMIENTOS_COMPLEMENTOS!$G$4:$G$803,E2547,MOVIMIENTOS_COMPLEMENTOS!$H$4:$H$803,G2547,MOVIMIENTOS_COMPLEMENTOS!$B$4:$B$803,"DE CORTE")-SUMIFS(MOVIMIENTOS_COMPLEMENTOS!$I$4:$I$803,MOVIMIENTOS_COMPLEMENTOS!$C$4:$C$803,A2547,MOVIMIENTOS_COMPLEMENTOS!$D$4:$D$803,B2547,MOVIMIENTOS_COMPLEMENTOS!$E$4:$E$803,C2547,MOVIMIENTOS_COMPLEMENTOS!$F$4:$F$803,D2547,MOVIMIENTOS_COMPLEMENTOS!$G$4:$G$803,E2547,MOVIMIENTOS_COMPLEMENTOS!$H$4:$H$803,G2547,MOVIMIENTOS_COMPLEMENTOS!$B$4:$B$803,"SALIDA"),0)</f>
        <v>0</v>
      </c>
      <c r="I2547" s="102">
        <f t="array" ref="I2547">IFERROR(INDEX(PRECIOS_COMPLEMENTOS!$C$4:$F$17,MATCH(B2547&amp;"_"&amp;C2547,PRECIOS_COMPLEMENTOS!$H$4:$H$17,0),IF(OR(G2547="S",G2547="20cm"),1,IF(OR(G2547="M",G2547="25cm"),2,IF(OR(G2547="L",G2547="30cm"),3,IF(OR(G2547="XL",G2547="35cm"),4,0))))),0)</f>
        <v>0.6</v>
      </c>
      <c r="J2547" s="103">
        <f t="shared" si="1"/>
        <v>0</v>
      </c>
      <c r="K2547" s="104" t="str">
        <f>IF(H2547&lt;0,"ERROR",IF(H2547=0,"",IF(H2547&lt;CONFIG!$B$4,"CRÍTICO",IF(H2547&lt;CONFIG!$B$5,"BAJO","OK"))))</f>
        <v/>
      </c>
    </row>
    <row r="2548" ht="15.75" hidden="1" customHeight="1">
      <c r="A2548" s="90" t="str">
        <f>IF(CLIENTES!A7="","",CLIENTES!A7)</f>
        <v/>
      </c>
      <c r="B2548" s="90" t="s">
        <v>331</v>
      </c>
      <c r="C2548" s="91" t="s">
        <v>328</v>
      </c>
      <c r="D2548" s="109" t="s">
        <v>366</v>
      </c>
      <c r="E2548" s="67" t="str">
        <f>COLORES!A20</f>
        <v/>
      </c>
      <c r="F2548" s="67" t="str">
        <f>COLORES!B20</f>
        <v/>
      </c>
      <c r="G2548" s="90" t="s">
        <v>378</v>
      </c>
      <c r="H2548" s="100">
        <f>IFERROR(SUMIFS(MOVIMIENTOS_COMPLEMENTOS!$I$4:$I$803,MOVIMIENTOS_COMPLEMENTOS!$C$4:$C$803,A2548,MOVIMIENTOS_COMPLEMENTOS!$D$4:$D$803,B2548,MOVIMIENTOS_COMPLEMENTOS!$E$4:$E$803,C2548,MOVIMIENTOS_COMPLEMENTOS!$F$4:$F$803,D2548,MOVIMIENTOS_COMPLEMENTOS!$G$4:$G$803,E2548,MOVIMIENTOS_COMPLEMENTOS!$H$4:$H$803,G2548,MOVIMIENTOS_COMPLEMENTOS!$B$4:$B$803,"INGRESO")+SUMIFS(MOVIMIENTOS_COMPLEMENTOS!$I$4:$I$803,MOVIMIENTOS_COMPLEMENTOS!$C$4:$C$803,A2548,MOVIMIENTOS_COMPLEMENTOS!$D$4:$D$803,B2548,MOVIMIENTOS_COMPLEMENTOS!$E$4:$E$803,C2548,MOVIMIENTOS_COMPLEMENTOS!$F$4:$F$803,D2548,MOVIMIENTOS_COMPLEMENTOS!$G$4:$G$803,E2548,MOVIMIENTOS_COMPLEMENTOS!$H$4:$H$803,G2548,MOVIMIENTOS_COMPLEMENTOS!$B$4:$B$803,"DE CORTE")-SUMIFS(MOVIMIENTOS_COMPLEMENTOS!$I$4:$I$803,MOVIMIENTOS_COMPLEMENTOS!$C$4:$C$803,A2548,MOVIMIENTOS_COMPLEMENTOS!$D$4:$D$803,B2548,MOVIMIENTOS_COMPLEMENTOS!$E$4:$E$803,C2548,MOVIMIENTOS_COMPLEMENTOS!$F$4:$F$803,D2548,MOVIMIENTOS_COMPLEMENTOS!$G$4:$G$803,E2548,MOVIMIENTOS_COMPLEMENTOS!$H$4:$H$803,G2548,MOVIMIENTOS_COMPLEMENTOS!$B$4:$B$803,"SALIDA"),0)</f>
        <v>0</v>
      </c>
      <c r="I2548" s="102">
        <f t="array" ref="I2548">IFERROR(INDEX(PRECIOS_COMPLEMENTOS!$C$4:$F$17,MATCH(B2548&amp;"_"&amp;C2548,PRECIOS_COMPLEMENTOS!$H$4:$H$17,0),IF(OR(G2548="S",G2548="20cm"),1,IF(OR(G2548="M",G2548="25cm"),2,IF(OR(G2548="L",G2548="30cm"),3,IF(OR(G2548="XL",G2548="35cm"),4,0))))),0)</f>
        <v>0.6</v>
      </c>
      <c r="J2548" s="103">
        <f t="shared" si="1"/>
        <v>0</v>
      </c>
      <c r="K2548" s="104" t="str">
        <f>IF(H2548&lt;0,"ERROR",IF(H2548=0,"",IF(H2548&lt;CONFIG!$B$4,"CRÍTICO",IF(H2548&lt;CONFIG!$B$5,"BAJO","OK"))))</f>
        <v/>
      </c>
    </row>
    <row r="2549" ht="15.75" hidden="1" customHeight="1">
      <c r="A2549" s="90" t="str">
        <f>IF(CLIENTES!A7="","",CLIENTES!A7)</f>
        <v/>
      </c>
      <c r="B2549" s="90" t="s">
        <v>331</v>
      </c>
      <c r="C2549" s="91" t="s">
        <v>328</v>
      </c>
      <c r="D2549" s="109" t="s">
        <v>366</v>
      </c>
      <c r="E2549" s="67" t="str">
        <f>COLORES!A20</f>
        <v/>
      </c>
      <c r="F2549" s="67" t="str">
        <f>COLORES!B20</f>
        <v/>
      </c>
      <c r="G2549" s="90" t="s">
        <v>376</v>
      </c>
      <c r="H2549" s="100">
        <f>IFERROR(SUMIFS(MOVIMIENTOS_COMPLEMENTOS!$I$4:$I$803,MOVIMIENTOS_COMPLEMENTOS!$C$4:$C$803,A2549,MOVIMIENTOS_COMPLEMENTOS!$D$4:$D$803,B2549,MOVIMIENTOS_COMPLEMENTOS!$E$4:$E$803,C2549,MOVIMIENTOS_COMPLEMENTOS!$F$4:$F$803,D2549,MOVIMIENTOS_COMPLEMENTOS!$G$4:$G$803,E2549,MOVIMIENTOS_COMPLEMENTOS!$H$4:$H$803,G2549,MOVIMIENTOS_COMPLEMENTOS!$B$4:$B$803,"INGRESO")+SUMIFS(MOVIMIENTOS_COMPLEMENTOS!$I$4:$I$803,MOVIMIENTOS_COMPLEMENTOS!$C$4:$C$803,A2549,MOVIMIENTOS_COMPLEMENTOS!$D$4:$D$803,B2549,MOVIMIENTOS_COMPLEMENTOS!$E$4:$E$803,C2549,MOVIMIENTOS_COMPLEMENTOS!$F$4:$F$803,D2549,MOVIMIENTOS_COMPLEMENTOS!$G$4:$G$803,E2549,MOVIMIENTOS_COMPLEMENTOS!$H$4:$H$803,G2549,MOVIMIENTOS_COMPLEMENTOS!$B$4:$B$803,"DE CORTE")-SUMIFS(MOVIMIENTOS_COMPLEMENTOS!$I$4:$I$803,MOVIMIENTOS_COMPLEMENTOS!$C$4:$C$803,A2549,MOVIMIENTOS_COMPLEMENTOS!$D$4:$D$803,B2549,MOVIMIENTOS_COMPLEMENTOS!$E$4:$E$803,C2549,MOVIMIENTOS_COMPLEMENTOS!$F$4:$F$803,D2549,MOVIMIENTOS_COMPLEMENTOS!$G$4:$G$803,E2549,MOVIMIENTOS_COMPLEMENTOS!$H$4:$H$803,G2549,MOVIMIENTOS_COMPLEMENTOS!$B$4:$B$803,"SALIDA"),0)</f>
        <v>0</v>
      </c>
      <c r="I2549" s="102">
        <f t="array" ref="I2549">IFERROR(INDEX(PRECIOS_COMPLEMENTOS!$C$4:$F$17,MATCH(B2549&amp;"_"&amp;C2549,PRECIOS_COMPLEMENTOS!$H$4:$H$17,0),IF(OR(G2549="S",G2549="20cm"),1,IF(OR(G2549="M",G2549="25cm"),2,IF(OR(G2549="L",G2549="30cm"),3,IF(OR(G2549="XL",G2549="35cm"),4,0))))),0)</f>
        <v>0.6</v>
      </c>
      <c r="J2549" s="103">
        <f t="shared" si="1"/>
        <v>0</v>
      </c>
      <c r="K2549" s="104" t="str">
        <f>IF(H2549&lt;0,"ERROR",IF(H2549=0,"",IF(H2549&lt;CONFIG!$B$4,"CRÍTICO",IF(H2549&lt;CONFIG!$B$5,"BAJO","OK"))))</f>
        <v/>
      </c>
    </row>
    <row r="2550" ht="15.75" hidden="1" customHeight="1">
      <c r="A2550" s="90" t="str">
        <f>IF(CLIENTES!A7="","",CLIENTES!A7)</f>
        <v/>
      </c>
      <c r="B2550" s="90" t="s">
        <v>331</v>
      </c>
      <c r="C2550" s="91" t="s">
        <v>328</v>
      </c>
      <c r="D2550" s="109" t="s">
        <v>366</v>
      </c>
      <c r="E2550" s="67" t="str">
        <f>COLORES!A20</f>
        <v/>
      </c>
      <c r="F2550" s="67" t="str">
        <f>COLORES!B20</f>
        <v/>
      </c>
      <c r="G2550" s="90" t="s">
        <v>377</v>
      </c>
      <c r="H2550" s="100">
        <f>IFERROR(SUMIFS(MOVIMIENTOS_COMPLEMENTOS!$I$4:$I$803,MOVIMIENTOS_COMPLEMENTOS!$C$4:$C$803,A2550,MOVIMIENTOS_COMPLEMENTOS!$D$4:$D$803,B2550,MOVIMIENTOS_COMPLEMENTOS!$E$4:$E$803,C2550,MOVIMIENTOS_COMPLEMENTOS!$F$4:$F$803,D2550,MOVIMIENTOS_COMPLEMENTOS!$G$4:$G$803,E2550,MOVIMIENTOS_COMPLEMENTOS!$H$4:$H$803,G2550,MOVIMIENTOS_COMPLEMENTOS!$B$4:$B$803,"INGRESO")+SUMIFS(MOVIMIENTOS_COMPLEMENTOS!$I$4:$I$803,MOVIMIENTOS_COMPLEMENTOS!$C$4:$C$803,A2550,MOVIMIENTOS_COMPLEMENTOS!$D$4:$D$803,B2550,MOVIMIENTOS_COMPLEMENTOS!$E$4:$E$803,C2550,MOVIMIENTOS_COMPLEMENTOS!$F$4:$F$803,D2550,MOVIMIENTOS_COMPLEMENTOS!$G$4:$G$803,E2550,MOVIMIENTOS_COMPLEMENTOS!$H$4:$H$803,G2550,MOVIMIENTOS_COMPLEMENTOS!$B$4:$B$803,"DE CORTE")-SUMIFS(MOVIMIENTOS_COMPLEMENTOS!$I$4:$I$803,MOVIMIENTOS_COMPLEMENTOS!$C$4:$C$803,A2550,MOVIMIENTOS_COMPLEMENTOS!$D$4:$D$803,B2550,MOVIMIENTOS_COMPLEMENTOS!$E$4:$E$803,C2550,MOVIMIENTOS_COMPLEMENTOS!$F$4:$F$803,D2550,MOVIMIENTOS_COMPLEMENTOS!$G$4:$G$803,E2550,MOVIMIENTOS_COMPLEMENTOS!$H$4:$H$803,G2550,MOVIMIENTOS_COMPLEMENTOS!$B$4:$B$803,"SALIDA"),0)</f>
        <v>0</v>
      </c>
      <c r="I2550" s="102">
        <f t="array" ref="I2550">IFERROR(INDEX(PRECIOS_COMPLEMENTOS!$C$4:$F$17,MATCH(B2550&amp;"_"&amp;C2550,PRECIOS_COMPLEMENTOS!$H$4:$H$17,0),IF(OR(G2550="S",G2550="20cm"),1,IF(OR(G2550="M",G2550="25cm"),2,IF(OR(G2550="L",G2550="30cm"),3,IF(OR(G2550="XL",G2550="35cm"),4,0))))),0)</f>
        <v>0.6</v>
      </c>
      <c r="J2550" s="103">
        <f t="shared" si="1"/>
        <v>0</v>
      </c>
      <c r="K2550" s="104" t="str">
        <f>IF(H2550&lt;0,"ERROR",IF(H2550=0,"",IF(H2550&lt;CONFIG!$B$4,"CRÍTICO",IF(H2550&lt;CONFIG!$B$5,"BAJO","OK"))))</f>
        <v/>
      </c>
    </row>
    <row r="2551" ht="15.75" hidden="1" customHeight="1">
      <c r="A2551" s="90" t="str">
        <f>IF(CLIENTES!A7="","",CLIENTES!A7)</f>
        <v/>
      </c>
      <c r="B2551" s="90" t="s">
        <v>331</v>
      </c>
      <c r="C2551" s="91" t="s">
        <v>328</v>
      </c>
      <c r="D2551" s="109" t="s">
        <v>366</v>
      </c>
      <c r="E2551" s="67" t="str">
        <f>COLORES!A20</f>
        <v/>
      </c>
      <c r="F2551" s="67" t="str">
        <f>COLORES!B20</f>
        <v/>
      </c>
      <c r="G2551" s="90" t="s">
        <v>379</v>
      </c>
      <c r="H2551" s="100">
        <f>IFERROR(SUMIFS(MOVIMIENTOS_COMPLEMENTOS!$I$4:$I$803,MOVIMIENTOS_COMPLEMENTOS!$C$4:$C$803,A2551,MOVIMIENTOS_COMPLEMENTOS!$D$4:$D$803,B2551,MOVIMIENTOS_COMPLEMENTOS!$E$4:$E$803,C2551,MOVIMIENTOS_COMPLEMENTOS!$F$4:$F$803,D2551,MOVIMIENTOS_COMPLEMENTOS!$G$4:$G$803,E2551,MOVIMIENTOS_COMPLEMENTOS!$H$4:$H$803,G2551,MOVIMIENTOS_COMPLEMENTOS!$B$4:$B$803,"INGRESO")+SUMIFS(MOVIMIENTOS_COMPLEMENTOS!$I$4:$I$803,MOVIMIENTOS_COMPLEMENTOS!$C$4:$C$803,A2551,MOVIMIENTOS_COMPLEMENTOS!$D$4:$D$803,B2551,MOVIMIENTOS_COMPLEMENTOS!$E$4:$E$803,C2551,MOVIMIENTOS_COMPLEMENTOS!$F$4:$F$803,D2551,MOVIMIENTOS_COMPLEMENTOS!$G$4:$G$803,E2551,MOVIMIENTOS_COMPLEMENTOS!$H$4:$H$803,G2551,MOVIMIENTOS_COMPLEMENTOS!$B$4:$B$803,"DE CORTE")-SUMIFS(MOVIMIENTOS_COMPLEMENTOS!$I$4:$I$803,MOVIMIENTOS_COMPLEMENTOS!$C$4:$C$803,A2551,MOVIMIENTOS_COMPLEMENTOS!$D$4:$D$803,B2551,MOVIMIENTOS_COMPLEMENTOS!$E$4:$E$803,C2551,MOVIMIENTOS_COMPLEMENTOS!$F$4:$F$803,D2551,MOVIMIENTOS_COMPLEMENTOS!$G$4:$G$803,E2551,MOVIMIENTOS_COMPLEMENTOS!$H$4:$H$803,G2551,MOVIMIENTOS_COMPLEMENTOS!$B$4:$B$803,"SALIDA"),0)</f>
        <v>0</v>
      </c>
      <c r="I2551" s="102">
        <f t="array" ref="I2551">IFERROR(INDEX(PRECIOS_COMPLEMENTOS!$C$4:$F$17,MATCH(B2551&amp;"_"&amp;C2551,PRECIOS_COMPLEMENTOS!$H$4:$H$17,0),IF(OR(G2551="S",G2551="20cm"),1,IF(OR(G2551="M",G2551="25cm"),2,IF(OR(G2551="L",G2551="30cm"),3,IF(OR(G2551="XL",G2551="35cm"),4,0))))),0)</f>
        <v>0.6</v>
      </c>
      <c r="J2551" s="103">
        <f t="shared" si="1"/>
        <v>0</v>
      </c>
      <c r="K2551" s="104" t="str">
        <f>IF(H2551&lt;0,"ERROR",IF(H2551=0,"",IF(H2551&lt;CONFIG!$B$4,"CRÍTICO",IF(H2551&lt;CONFIG!$B$5,"BAJO","OK"))))</f>
        <v/>
      </c>
    </row>
    <row r="2552" ht="15.75" hidden="1" customHeight="1">
      <c r="A2552" s="90" t="str">
        <f>IF(CLIENTES!A7="","",CLIENTES!A7)</f>
        <v/>
      </c>
      <c r="B2552" s="90" t="s">
        <v>331</v>
      </c>
      <c r="C2552" s="91" t="s">
        <v>328</v>
      </c>
      <c r="D2552" s="109" t="s">
        <v>366</v>
      </c>
      <c r="E2552" s="67" t="str">
        <f>COLORES!A21</f>
        <v/>
      </c>
      <c r="F2552" s="67" t="str">
        <f>COLORES!B21</f>
        <v/>
      </c>
      <c r="G2552" s="90" t="s">
        <v>378</v>
      </c>
      <c r="H2552" s="100">
        <f>IFERROR(SUMIFS(MOVIMIENTOS_COMPLEMENTOS!$I$4:$I$803,MOVIMIENTOS_COMPLEMENTOS!$C$4:$C$803,A2552,MOVIMIENTOS_COMPLEMENTOS!$D$4:$D$803,B2552,MOVIMIENTOS_COMPLEMENTOS!$E$4:$E$803,C2552,MOVIMIENTOS_COMPLEMENTOS!$F$4:$F$803,D2552,MOVIMIENTOS_COMPLEMENTOS!$G$4:$G$803,E2552,MOVIMIENTOS_COMPLEMENTOS!$H$4:$H$803,G2552,MOVIMIENTOS_COMPLEMENTOS!$B$4:$B$803,"INGRESO")+SUMIFS(MOVIMIENTOS_COMPLEMENTOS!$I$4:$I$803,MOVIMIENTOS_COMPLEMENTOS!$C$4:$C$803,A2552,MOVIMIENTOS_COMPLEMENTOS!$D$4:$D$803,B2552,MOVIMIENTOS_COMPLEMENTOS!$E$4:$E$803,C2552,MOVIMIENTOS_COMPLEMENTOS!$F$4:$F$803,D2552,MOVIMIENTOS_COMPLEMENTOS!$G$4:$G$803,E2552,MOVIMIENTOS_COMPLEMENTOS!$H$4:$H$803,G2552,MOVIMIENTOS_COMPLEMENTOS!$B$4:$B$803,"DE CORTE")-SUMIFS(MOVIMIENTOS_COMPLEMENTOS!$I$4:$I$803,MOVIMIENTOS_COMPLEMENTOS!$C$4:$C$803,A2552,MOVIMIENTOS_COMPLEMENTOS!$D$4:$D$803,B2552,MOVIMIENTOS_COMPLEMENTOS!$E$4:$E$803,C2552,MOVIMIENTOS_COMPLEMENTOS!$F$4:$F$803,D2552,MOVIMIENTOS_COMPLEMENTOS!$G$4:$G$803,E2552,MOVIMIENTOS_COMPLEMENTOS!$H$4:$H$803,G2552,MOVIMIENTOS_COMPLEMENTOS!$B$4:$B$803,"SALIDA"),0)</f>
        <v>0</v>
      </c>
      <c r="I2552" s="102">
        <f t="array" ref="I2552">IFERROR(INDEX(PRECIOS_COMPLEMENTOS!$C$4:$F$17,MATCH(B2552&amp;"_"&amp;C2552,PRECIOS_COMPLEMENTOS!$H$4:$H$17,0),IF(OR(G2552="S",G2552="20cm"),1,IF(OR(G2552="M",G2552="25cm"),2,IF(OR(G2552="L",G2552="30cm"),3,IF(OR(G2552="XL",G2552="35cm"),4,0))))),0)</f>
        <v>0.6</v>
      </c>
      <c r="J2552" s="103">
        <f t="shared" si="1"/>
        <v>0</v>
      </c>
      <c r="K2552" s="104" t="str">
        <f>IF(H2552&lt;0,"ERROR",IF(H2552=0,"",IF(H2552&lt;CONFIG!$B$4,"CRÍTICO",IF(H2552&lt;CONFIG!$B$5,"BAJO","OK"))))</f>
        <v/>
      </c>
    </row>
    <row r="2553" ht="15.75" hidden="1" customHeight="1">
      <c r="A2553" s="90" t="str">
        <f>IF(CLIENTES!A7="","",CLIENTES!A7)</f>
        <v/>
      </c>
      <c r="B2553" s="90" t="s">
        <v>331</v>
      </c>
      <c r="C2553" s="91" t="s">
        <v>328</v>
      </c>
      <c r="D2553" s="109" t="s">
        <v>366</v>
      </c>
      <c r="E2553" s="67" t="str">
        <f>COLORES!A21</f>
        <v/>
      </c>
      <c r="F2553" s="67" t="str">
        <f>COLORES!B21</f>
        <v/>
      </c>
      <c r="G2553" s="90" t="s">
        <v>376</v>
      </c>
      <c r="H2553" s="100">
        <f>IFERROR(SUMIFS(MOVIMIENTOS_COMPLEMENTOS!$I$4:$I$803,MOVIMIENTOS_COMPLEMENTOS!$C$4:$C$803,A2553,MOVIMIENTOS_COMPLEMENTOS!$D$4:$D$803,B2553,MOVIMIENTOS_COMPLEMENTOS!$E$4:$E$803,C2553,MOVIMIENTOS_COMPLEMENTOS!$F$4:$F$803,D2553,MOVIMIENTOS_COMPLEMENTOS!$G$4:$G$803,E2553,MOVIMIENTOS_COMPLEMENTOS!$H$4:$H$803,G2553,MOVIMIENTOS_COMPLEMENTOS!$B$4:$B$803,"INGRESO")+SUMIFS(MOVIMIENTOS_COMPLEMENTOS!$I$4:$I$803,MOVIMIENTOS_COMPLEMENTOS!$C$4:$C$803,A2553,MOVIMIENTOS_COMPLEMENTOS!$D$4:$D$803,B2553,MOVIMIENTOS_COMPLEMENTOS!$E$4:$E$803,C2553,MOVIMIENTOS_COMPLEMENTOS!$F$4:$F$803,D2553,MOVIMIENTOS_COMPLEMENTOS!$G$4:$G$803,E2553,MOVIMIENTOS_COMPLEMENTOS!$H$4:$H$803,G2553,MOVIMIENTOS_COMPLEMENTOS!$B$4:$B$803,"DE CORTE")-SUMIFS(MOVIMIENTOS_COMPLEMENTOS!$I$4:$I$803,MOVIMIENTOS_COMPLEMENTOS!$C$4:$C$803,A2553,MOVIMIENTOS_COMPLEMENTOS!$D$4:$D$803,B2553,MOVIMIENTOS_COMPLEMENTOS!$E$4:$E$803,C2553,MOVIMIENTOS_COMPLEMENTOS!$F$4:$F$803,D2553,MOVIMIENTOS_COMPLEMENTOS!$G$4:$G$803,E2553,MOVIMIENTOS_COMPLEMENTOS!$H$4:$H$803,G2553,MOVIMIENTOS_COMPLEMENTOS!$B$4:$B$803,"SALIDA"),0)</f>
        <v>0</v>
      </c>
      <c r="I2553" s="102">
        <f t="array" ref="I2553">IFERROR(INDEX(PRECIOS_COMPLEMENTOS!$C$4:$F$17,MATCH(B2553&amp;"_"&amp;C2553,PRECIOS_COMPLEMENTOS!$H$4:$H$17,0),IF(OR(G2553="S",G2553="20cm"),1,IF(OR(G2553="M",G2553="25cm"),2,IF(OR(G2553="L",G2553="30cm"),3,IF(OR(G2553="XL",G2553="35cm"),4,0))))),0)</f>
        <v>0.6</v>
      </c>
      <c r="J2553" s="103">
        <f t="shared" si="1"/>
        <v>0</v>
      </c>
      <c r="K2553" s="104" t="str">
        <f>IF(H2553&lt;0,"ERROR",IF(H2553=0,"",IF(H2553&lt;CONFIG!$B$4,"CRÍTICO",IF(H2553&lt;CONFIG!$B$5,"BAJO","OK"))))</f>
        <v/>
      </c>
    </row>
    <row r="2554" ht="15.75" hidden="1" customHeight="1">
      <c r="A2554" s="90" t="str">
        <f>IF(CLIENTES!A7="","",CLIENTES!A7)</f>
        <v/>
      </c>
      <c r="B2554" s="90" t="s">
        <v>331</v>
      </c>
      <c r="C2554" s="91" t="s">
        <v>328</v>
      </c>
      <c r="D2554" s="109" t="s">
        <v>366</v>
      </c>
      <c r="E2554" s="67" t="str">
        <f>COLORES!A21</f>
        <v/>
      </c>
      <c r="F2554" s="67" t="str">
        <f>COLORES!B21</f>
        <v/>
      </c>
      <c r="G2554" s="90" t="s">
        <v>377</v>
      </c>
      <c r="H2554" s="100">
        <f>IFERROR(SUMIFS(MOVIMIENTOS_COMPLEMENTOS!$I$4:$I$803,MOVIMIENTOS_COMPLEMENTOS!$C$4:$C$803,A2554,MOVIMIENTOS_COMPLEMENTOS!$D$4:$D$803,B2554,MOVIMIENTOS_COMPLEMENTOS!$E$4:$E$803,C2554,MOVIMIENTOS_COMPLEMENTOS!$F$4:$F$803,D2554,MOVIMIENTOS_COMPLEMENTOS!$G$4:$G$803,E2554,MOVIMIENTOS_COMPLEMENTOS!$H$4:$H$803,G2554,MOVIMIENTOS_COMPLEMENTOS!$B$4:$B$803,"INGRESO")+SUMIFS(MOVIMIENTOS_COMPLEMENTOS!$I$4:$I$803,MOVIMIENTOS_COMPLEMENTOS!$C$4:$C$803,A2554,MOVIMIENTOS_COMPLEMENTOS!$D$4:$D$803,B2554,MOVIMIENTOS_COMPLEMENTOS!$E$4:$E$803,C2554,MOVIMIENTOS_COMPLEMENTOS!$F$4:$F$803,D2554,MOVIMIENTOS_COMPLEMENTOS!$G$4:$G$803,E2554,MOVIMIENTOS_COMPLEMENTOS!$H$4:$H$803,G2554,MOVIMIENTOS_COMPLEMENTOS!$B$4:$B$803,"DE CORTE")-SUMIFS(MOVIMIENTOS_COMPLEMENTOS!$I$4:$I$803,MOVIMIENTOS_COMPLEMENTOS!$C$4:$C$803,A2554,MOVIMIENTOS_COMPLEMENTOS!$D$4:$D$803,B2554,MOVIMIENTOS_COMPLEMENTOS!$E$4:$E$803,C2554,MOVIMIENTOS_COMPLEMENTOS!$F$4:$F$803,D2554,MOVIMIENTOS_COMPLEMENTOS!$G$4:$G$803,E2554,MOVIMIENTOS_COMPLEMENTOS!$H$4:$H$803,G2554,MOVIMIENTOS_COMPLEMENTOS!$B$4:$B$803,"SALIDA"),0)</f>
        <v>0</v>
      </c>
      <c r="I2554" s="102">
        <f t="array" ref="I2554">IFERROR(INDEX(PRECIOS_COMPLEMENTOS!$C$4:$F$17,MATCH(B2554&amp;"_"&amp;C2554,PRECIOS_COMPLEMENTOS!$H$4:$H$17,0),IF(OR(G2554="S",G2554="20cm"),1,IF(OR(G2554="M",G2554="25cm"),2,IF(OR(G2554="L",G2554="30cm"),3,IF(OR(G2554="XL",G2554="35cm"),4,0))))),0)</f>
        <v>0.6</v>
      </c>
      <c r="J2554" s="103">
        <f t="shared" si="1"/>
        <v>0</v>
      </c>
      <c r="K2554" s="104" t="str">
        <f>IF(H2554&lt;0,"ERROR",IF(H2554=0,"",IF(H2554&lt;CONFIG!$B$4,"CRÍTICO",IF(H2554&lt;CONFIG!$B$5,"BAJO","OK"))))</f>
        <v/>
      </c>
    </row>
    <row r="2555" ht="15.75" hidden="1" customHeight="1">
      <c r="A2555" s="90" t="str">
        <f>IF(CLIENTES!A7="","",CLIENTES!A7)</f>
        <v/>
      </c>
      <c r="B2555" s="90" t="s">
        <v>331</v>
      </c>
      <c r="C2555" s="91" t="s">
        <v>328</v>
      </c>
      <c r="D2555" s="109" t="s">
        <v>366</v>
      </c>
      <c r="E2555" s="67" t="str">
        <f>COLORES!A21</f>
        <v/>
      </c>
      <c r="F2555" s="67" t="str">
        <f>COLORES!B21</f>
        <v/>
      </c>
      <c r="G2555" s="90" t="s">
        <v>379</v>
      </c>
      <c r="H2555" s="100">
        <f>IFERROR(SUMIFS(MOVIMIENTOS_COMPLEMENTOS!$I$4:$I$803,MOVIMIENTOS_COMPLEMENTOS!$C$4:$C$803,A2555,MOVIMIENTOS_COMPLEMENTOS!$D$4:$D$803,B2555,MOVIMIENTOS_COMPLEMENTOS!$E$4:$E$803,C2555,MOVIMIENTOS_COMPLEMENTOS!$F$4:$F$803,D2555,MOVIMIENTOS_COMPLEMENTOS!$G$4:$G$803,E2555,MOVIMIENTOS_COMPLEMENTOS!$H$4:$H$803,G2555,MOVIMIENTOS_COMPLEMENTOS!$B$4:$B$803,"INGRESO")+SUMIFS(MOVIMIENTOS_COMPLEMENTOS!$I$4:$I$803,MOVIMIENTOS_COMPLEMENTOS!$C$4:$C$803,A2555,MOVIMIENTOS_COMPLEMENTOS!$D$4:$D$803,B2555,MOVIMIENTOS_COMPLEMENTOS!$E$4:$E$803,C2555,MOVIMIENTOS_COMPLEMENTOS!$F$4:$F$803,D2555,MOVIMIENTOS_COMPLEMENTOS!$G$4:$G$803,E2555,MOVIMIENTOS_COMPLEMENTOS!$H$4:$H$803,G2555,MOVIMIENTOS_COMPLEMENTOS!$B$4:$B$803,"DE CORTE")-SUMIFS(MOVIMIENTOS_COMPLEMENTOS!$I$4:$I$803,MOVIMIENTOS_COMPLEMENTOS!$C$4:$C$803,A2555,MOVIMIENTOS_COMPLEMENTOS!$D$4:$D$803,B2555,MOVIMIENTOS_COMPLEMENTOS!$E$4:$E$803,C2555,MOVIMIENTOS_COMPLEMENTOS!$F$4:$F$803,D2555,MOVIMIENTOS_COMPLEMENTOS!$G$4:$G$803,E2555,MOVIMIENTOS_COMPLEMENTOS!$H$4:$H$803,G2555,MOVIMIENTOS_COMPLEMENTOS!$B$4:$B$803,"SALIDA"),0)</f>
        <v>0</v>
      </c>
      <c r="I2555" s="102">
        <f t="array" ref="I2555">IFERROR(INDEX(PRECIOS_COMPLEMENTOS!$C$4:$F$17,MATCH(B2555&amp;"_"&amp;C2555,PRECIOS_COMPLEMENTOS!$H$4:$H$17,0),IF(OR(G2555="S",G2555="20cm"),1,IF(OR(G2555="M",G2555="25cm"),2,IF(OR(G2555="L",G2555="30cm"),3,IF(OR(G2555="XL",G2555="35cm"),4,0))))),0)</f>
        <v>0.6</v>
      </c>
      <c r="J2555" s="103">
        <f t="shared" si="1"/>
        <v>0</v>
      </c>
      <c r="K2555" s="104" t="str">
        <f>IF(H2555&lt;0,"ERROR",IF(H2555=0,"",IF(H2555&lt;CONFIG!$B$4,"CRÍTICO",IF(H2555&lt;CONFIG!$B$5,"BAJO","OK"))))</f>
        <v/>
      </c>
    </row>
    <row r="2556" ht="15.75" hidden="1" customHeight="1">
      <c r="A2556" s="90" t="str">
        <f>IF(CLIENTES!A7="","",CLIENTES!A7)</f>
        <v/>
      </c>
      <c r="B2556" s="90" t="s">
        <v>331</v>
      </c>
      <c r="C2556" s="91" t="s">
        <v>328</v>
      </c>
      <c r="D2556" s="109" t="s">
        <v>366</v>
      </c>
      <c r="E2556" s="67" t="str">
        <f>COLORES!A22</f>
        <v/>
      </c>
      <c r="F2556" s="67" t="str">
        <f>COLORES!B22</f>
        <v/>
      </c>
      <c r="G2556" s="90" t="s">
        <v>378</v>
      </c>
      <c r="H2556" s="100">
        <f>IFERROR(SUMIFS(MOVIMIENTOS_COMPLEMENTOS!$I$4:$I$803,MOVIMIENTOS_COMPLEMENTOS!$C$4:$C$803,A2556,MOVIMIENTOS_COMPLEMENTOS!$D$4:$D$803,B2556,MOVIMIENTOS_COMPLEMENTOS!$E$4:$E$803,C2556,MOVIMIENTOS_COMPLEMENTOS!$F$4:$F$803,D2556,MOVIMIENTOS_COMPLEMENTOS!$G$4:$G$803,E2556,MOVIMIENTOS_COMPLEMENTOS!$H$4:$H$803,G2556,MOVIMIENTOS_COMPLEMENTOS!$B$4:$B$803,"INGRESO")+SUMIFS(MOVIMIENTOS_COMPLEMENTOS!$I$4:$I$803,MOVIMIENTOS_COMPLEMENTOS!$C$4:$C$803,A2556,MOVIMIENTOS_COMPLEMENTOS!$D$4:$D$803,B2556,MOVIMIENTOS_COMPLEMENTOS!$E$4:$E$803,C2556,MOVIMIENTOS_COMPLEMENTOS!$F$4:$F$803,D2556,MOVIMIENTOS_COMPLEMENTOS!$G$4:$G$803,E2556,MOVIMIENTOS_COMPLEMENTOS!$H$4:$H$803,G2556,MOVIMIENTOS_COMPLEMENTOS!$B$4:$B$803,"DE CORTE")-SUMIFS(MOVIMIENTOS_COMPLEMENTOS!$I$4:$I$803,MOVIMIENTOS_COMPLEMENTOS!$C$4:$C$803,A2556,MOVIMIENTOS_COMPLEMENTOS!$D$4:$D$803,B2556,MOVIMIENTOS_COMPLEMENTOS!$E$4:$E$803,C2556,MOVIMIENTOS_COMPLEMENTOS!$F$4:$F$803,D2556,MOVIMIENTOS_COMPLEMENTOS!$G$4:$G$803,E2556,MOVIMIENTOS_COMPLEMENTOS!$H$4:$H$803,G2556,MOVIMIENTOS_COMPLEMENTOS!$B$4:$B$803,"SALIDA"),0)</f>
        <v>0</v>
      </c>
      <c r="I2556" s="102">
        <f t="array" ref="I2556">IFERROR(INDEX(PRECIOS_COMPLEMENTOS!$C$4:$F$17,MATCH(B2556&amp;"_"&amp;C2556,PRECIOS_COMPLEMENTOS!$H$4:$H$17,0),IF(OR(G2556="S",G2556="20cm"),1,IF(OR(G2556="M",G2556="25cm"),2,IF(OR(G2556="L",G2556="30cm"),3,IF(OR(G2556="XL",G2556="35cm"),4,0))))),0)</f>
        <v>0.6</v>
      </c>
      <c r="J2556" s="103">
        <f t="shared" si="1"/>
        <v>0</v>
      </c>
      <c r="K2556" s="104" t="str">
        <f>IF(H2556&lt;0,"ERROR",IF(H2556=0,"",IF(H2556&lt;CONFIG!$B$4,"CRÍTICO",IF(H2556&lt;CONFIG!$B$5,"BAJO","OK"))))</f>
        <v/>
      </c>
    </row>
    <row r="2557" ht="15.75" hidden="1" customHeight="1">
      <c r="A2557" s="90" t="str">
        <f>IF(CLIENTES!A7="","",CLIENTES!A7)</f>
        <v/>
      </c>
      <c r="B2557" s="90" t="s">
        <v>331</v>
      </c>
      <c r="C2557" s="91" t="s">
        <v>328</v>
      </c>
      <c r="D2557" s="109" t="s">
        <v>366</v>
      </c>
      <c r="E2557" s="67" t="str">
        <f>COLORES!A22</f>
        <v/>
      </c>
      <c r="F2557" s="67" t="str">
        <f>COLORES!B22</f>
        <v/>
      </c>
      <c r="G2557" s="90" t="s">
        <v>376</v>
      </c>
      <c r="H2557" s="100">
        <f>IFERROR(SUMIFS(MOVIMIENTOS_COMPLEMENTOS!$I$4:$I$803,MOVIMIENTOS_COMPLEMENTOS!$C$4:$C$803,A2557,MOVIMIENTOS_COMPLEMENTOS!$D$4:$D$803,B2557,MOVIMIENTOS_COMPLEMENTOS!$E$4:$E$803,C2557,MOVIMIENTOS_COMPLEMENTOS!$F$4:$F$803,D2557,MOVIMIENTOS_COMPLEMENTOS!$G$4:$G$803,E2557,MOVIMIENTOS_COMPLEMENTOS!$H$4:$H$803,G2557,MOVIMIENTOS_COMPLEMENTOS!$B$4:$B$803,"INGRESO")+SUMIFS(MOVIMIENTOS_COMPLEMENTOS!$I$4:$I$803,MOVIMIENTOS_COMPLEMENTOS!$C$4:$C$803,A2557,MOVIMIENTOS_COMPLEMENTOS!$D$4:$D$803,B2557,MOVIMIENTOS_COMPLEMENTOS!$E$4:$E$803,C2557,MOVIMIENTOS_COMPLEMENTOS!$F$4:$F$803,D2557,MOVIMIENTOS_COMPLEMENTOS!$G$4:$G$803,E2557,MOVIMIENTOS_COMPLEMENTOS!$H$4:$H$803,G2557,MOVIMIENTOS_COMPLEMENTOS!$B$4:$B$803,"DE CORTE")-SUMIFS(MOVIMIENTOS_COMPLEMENTOS!$I$4:$I$803,MOVIMIENTOS_COMPLEMENTOS!$C$4:$C$803,A2557,MOVIMIENTOS_COMPLEMENTOS!$D$4:$D$803,B2557,MOVIMIENTOS_COMPLEMENTOS!$E$4:$E$803,C2557,MOVIMIENTOS_COMPLEMENTOS!$F$4:$F$803,D2557,MOVIMIENTOS_COMPLEMENTOS!$G$4:$G$803,E2557,MOVIMIENTOS_COMPLEMENTOS!$H$4:$H$803,G2557,MOVIMIENTOS_COMPLEMENTOS!$B$4:$B$803,"SALIDA"),0)</f>
        <v>0</v>
      </c>
      <c r="I2557" s="102">
        <f t="array" ref="I2557">IFERROR(INDEX(PRECIOS_COMPLEMENTOS!$C$4:$F$17,MATCH(B2557&amp;"_"&amp;C2557,PRECIOS_COMPLEMENTOS!$H$4:$H$17,0),IF(OR(G2557="S",G2557="20cm"),1,IF(OR(G2557="M",G2557="25cm"),2,IF(OR(G2557="L",G2557="30cm"),3,IF(OR(G2557="XL",G2557="35cm"),4,0))))),0)</f>
        <v>0.6</v>
      </c>
      <c r="J2557" s="103">
        <f t="shared" si="1"/>
        <v>0</v>
      </c>
      <c r="K2557" s="104" t="str">
        <f>IF(H2557&lt;0,"ERROR",IF(H2557=0,"",IF(H2557&lt;CONFIG!$B$4,"CRÍTICO",IF(H2557&lt;CONFIG!$B$5,"BAJO","OK"))))</f>
        <v/>
      </c>
    </row>
    <row r="2558" ht="15.75" hidden="1" customHeight="1">
      <c r="A2558" s="90" t="str">
        <f>IF(CLIENTES!A7="","",CLIENTES!A7)</f>
        <v/>
      </c>
      <c r="B2558" s="90" t="s">
        <v>331</v>
      </c>
      <c r="C2558" s="91" t="s">
        <v>328</v>
      </c>
      <c r="D2558" s="109" t="s">
        <v>366</v>
      </c>
      <c r="E2558" s="67" t="str">
        <f>COLORES!A22</f>
        <v/>
      </c>
      <c r="F2558" s="67" t="str">
        <f>COLORES!B22</f>
        <v/>
      </c>
      <c r="G2558" s="90" t="s">
        <v>377</v>
      </c>
      <c r="H2558" s="100">
        <f>IFERROR(SUMIFS(MOVIMIENTOS_COMPLEMENTOS!$I$4:$I$803,MOVIMIENTOS_COMPLEMENTOS!$C$4:$C$803,A2558,MOVIMIENTOS_COMPLEMENTOS!$D$4:$D$803,B2558,MOVIMIENTOS_COMPLEMENTOS!$E$4:$E$803,C2558,MOVIMIENTOS_COMPLEMENTOS!$F$4:$F$803,D2558,MOVIMIENTOS_COMPLEMENTOS!$G$4:$G$803,E2558,MOVIMIENTOS_COMPLEMENTOS!$H$4:$H$803,G2558,MOVIMIENTOS_COMPLEMENTOS!$B$4:$B$803,"INGRESO")+SUMIFS(MOVIMIENTOS_COMPLEMENTOS!$I$4:$I$803,MOVIMIENTOS_COMPLEMENTOS!$C$4:$C$803,A2558,MOVIMIENTOS_COMPLEMENTOS!$D$4:$D$803,B2558,MOVIMIENTOS_COMPLEMENTOS!$E$4:$E$803,C2558,MOVIMIENTOS_COMPLEMENTOS!$F$4:$F$803,D2558,MOVIMIENTOS_COMPLEMENTOS!$G$4:$G$803,E2558,MOVIMIENTOS_COMPLEMENTOS!$H$4:$H$803,G2558,MOVIMIENTOS_COMPLEMENTOS!$B$4:$B$803,"DE CORTE")-SUMIFS(MOVIMIENTOS_COMPLEMENTOS!$I$4:$I$803,MOVIMIENTOS_COMPLEMENTOS!$C$4:$C$803,A2558,MOVIMIENTOS_COMPLEMENTOS!$D$4:$D$803,B2558,MOVIMIENTOS_COMPLEMENTOS!$E$4:$E$803,C2558,MOVIMIENTOS_COMPLEMENTOS!$F$4:$F$803,D2558,MOVIMIENTOS_COMPLEMENTOS!$G$4:$G$803,E2558,MOVIMIENTOS_COMPLEMENTOS!$H$4:$H$803,G2558,MOVIMIENTOS_COMPLEMENTOS!$B$4:$B$803,"SALIDA"),0)</f>
        <v>0</v>
      </c>
      <c r="I2558" s="102">
        <f t="array" ref="I2558">IFERROR(INDEX(PRECIOS_COMPLEMENTOS!$C$4:$F$17,MATCH(B2558&amp;"_"&amp;C2558,PRECIOS_COMPLEMENTOS!$H$4:$H$17,0),IF(OR(G2558="S",G2558="20cm"),1,IF(OR(G2558="M",G2558="25cm"),2,IF(OR(G2558="L",G2558="30cm"),3,IF(OR(G2558="XL",G2558="35cm"),4,0))))),0)</f>
        <v>0.6</v>
      </c>
      <c r="J2558" s="103">
        <f t="shared" si="1"/>
        <v>0</v>
      </c>
      <c r="K2558" s="104" t="str">
        <f>IF(H2558&lt;0,"ERROR",IF(H2558=0,"",IF(H2558&lt;CONFIG!$B$4,"CRÍTICO",IF(H2558&lt;CONFIG!$B$5,"BAJO","OK"))))</f>
        <v/>
      </c>
    </row>
    <row r="2559" ht="15.75" hidden="1" customHeight="1">
      <c r="A2559" s="90" t="str">
        <f>IF(CLIENTES!A7="","",CLIENTES!A7)</f>
        <v/>
      </c>
      <c r="B2559" s="90" t="s">
        <v>331</v>
      </c>
      <c r="C2559" s="91" t="s">
        <v>328</v>
      </c>
      <c r="D2559" s="109" t="s">
        <v>366</v>
      </c>
      <c r="E2559" s="67" t="str">
        <f>COLORES!A22</f>
        <v/>
      </c>
      <c r="F2559" s="67" t="str">
        <f>COLORES!B22</f>
        <v/>
      </c>
      <c r="G2559" s="90" t="s">
        <v>379</v>
      </c>
      <c r="H2559" s="100">
        <f>IFERROR(SUMIFS(MOVIMIENTOS_COMPLEMENTOS!$I$4:$I$803,MOVIMIENTOS_COMPLEMENTOS!$C$4:$C$803,A2559,MOVIMIENTOS_COMPLEMENTOS!$D$4:$D$803,B2559,MOVIMIENTOS_COMPLEMENTOS!$E$4:$E$803,C2559,MOVIMIENTOS_COMPLEMENTOS!$F$4:$F$803,D2559,MOVIMIENTOS_COMPLEMENTOS!$G$4:$G$803,E2559,MOVIMIENTOS_COMPLEMENTOS!$H$4:$H$803,G2559,MOVIMIENTOS_COMPLEMENTOS!$B$4:$B$803,"INGRESO")+SUMIFS(MOVIMIENTOS_COMPLEMENTOS!$I$4:$I$803,MOVIMIENTOS_COMPLEMENTOS!$C$4:$C$803,A2559,MOVIMIENTOS_COMPLEMENTOS!$D$4:$D$803,B2559,MOVIMIENTOS_COMPLEMENTOS!$E$4:$E$803,C2559,MOVIMIENTOS_COMPLEMENTOS!$F$4:$F$803,D2559,MOVIMIENTOS_COMPLEMENTOS!$G$4:$G$803,E2559,MOVIMIENTOS_COMPLEMENTOS!$H$4:$H$803,G2559,MOVIMIENTOS_COMPLEMENTOS!$B$4:$B$803,"DE CORTE")-SUMIFS(MOVIMIENTOS_COMPLEMENTOS!$I$4:$I$803,MOVIMIENTOS_COMPLEMENTOS!$C$4:$C$803,A2559,MOVIMIENTOS_COMPLEMENTOS!$D$4:$D$803,B2559,MOVIMIENTOS_COMPLEMENTOS!$E$4:$E$803,C2559,MOVIMIENTOS_COMPLEMENTOS!$F$4:$F$803,D2559,MOVIMIENTOS_COMPLEMENTOS!$G$4:$G$803,E2559,MOVIMIENTOS_COMPLEMENTOS!$H$4:$H$803,G2559,MOVIMIENTOS_COMPLEMENTOS!$B$4:$B$803,"SALIDA"),0)</f>
        <v>0</v>
      </c>
      <c r="I2559" s="102">
        <f t="array" ref="I2559">IFERROR(INDEX(PRECIOS_COMPLEMENTOS!$C$4:$F$17,MATCH(B2559&amp;"_"&amp;C2559,PRECIOS_COMPLEMENTOS!$H$4:$H$17,0),IF(OR(G2559="S",G2559="20cm"),1,IF(OR(G2559="M",G2559="25cm"),2,IF(OR(G2559="L",G2559="30cm"),3,IF(OR(G2559="XL",G2559="35cm"),4,0))))),0)</f>
        <v>0.6</v>
      </c>
      <c r="J2559" s="103">
        <f t="shared" si="1"/>
        <v>0</v>
      </c>
      <c r="K2559" s="104" t="str">
        <f>IF(H2559&lt;0,"ERROR",IF(H2559=0,"",IF(H2559&lt;CONFIG!$B$4,"CRÍTICO",IF(H2559&lt;CONFIG!$B$5,"BAJO","OK"))))</f>
        <v/>
      </c>
    </row>
    <row r="2560" ht="15.75" hidden="1" customHeight="1">
      <c r="A2560" s="90" t="str">
        <f>IF(CLIENTES!A7="","",CLIENTES!A7)</f>
        <v/>
      </c>
      <c r="B2560" s="90" t="s">
        <v>331</v>
      </c>
      <c r="C2560" s="91" t="s">
        <v>328</v>
      </c>
      <c r="D2560" s="109" t="s">
        <v>366</v>
      </c>
      <c r="E2560" s="67" t="str">
        <f>COLORES!A23</f>
        <v/>
      </c>
      <c r="F2560" s="67" t="str">
        <f>COLORES!B23</f>
        <v/>
      </c>
      <c r="G2560" s="90" t="s">
        <v>378</v>
      </c>
      <c r="H2560" s="100">
        <f>IFERROR(SUMIFS(MOVIMIENTOS_COMPLEMENTOS!$I$4:$I$803,MOVIMIENTOS_COMPLEMENTOS!$C$4:$C$803,A2560,MOVIMIENTOS_COMPLEMENTOS!$D$4:$D$803,B2560,MOVIMIENTOS_COMPLEMENTOS!$E$4:$E$803,C2560,MOVIMIENTOS_COMPLEMENTOS!$F$4:$F$803,D2560,MOVIMIENTOS_COMPLEMENTOS!$G$4:$G$803,E2560,MOVIMIENTOS_COMPLEMENTOS!$H$4:$H$803,G2560,MOVIMIENTOS_COMPLEMENTOS!$B$4:$B$803,"INGRESO")+SUMIFS(MOVIMIENTOS_COMPLEMENTOS!$I$4:$I$803,MOVIMIENTOS_COMPLEMENTOS!$C$4:$C$803,A2560,MOVIMIENTOS_COMPLEMENTOS!$D$4:$D$803,B2560,MOVIMIENTOS_COMPLEMENTOS!$E$4:$E$803,C2560,MOVIMIENTOS_COMPLEMENTOS!$F$4:$F$803,D2560,MOVIMIENTOS_COMPLEMENTOS!$G$4:$G$803,E2560,MOVIMIENTOS_COMPLEMENTOS!$H$4:$H$803,G2560,MOVIMIENTOS_COMPLEMENTOS!$B$4:$B$803,"DE CORTE")-SUMIFS(MOVIMIENTOS_COMPLEMENTOS!$I$4:$I$803,MOVIMIENTOS_COMPLEMENTOS!$C$4:$C$803,A2560,MOVIMIENTOS_COMPLEMENTOS!$D$4:$D$803,B2560,MOVIMIENTOS_COMPLEMENTOS!$E$4:$E$803,C2560,MOVIMIENTOS_COMPLEMENTOS!$F$4:$F$803,D2560,MOVIMIENTOS_COMPLEMENTOS!$G$4:$G$803,E2560,MOVIMIENTOS_COMPLEMENTOS!$H$4:$H$803,G2560,MOVIMIENTOS_COMPLEMENTOS!$B$4:$B$803,"SALIDA"),0)</f>
        <v>0</v>
      </c>
      <c r="I2560" s="102">
        <f t="array" ref="I2560">IFERROR(INDEX(PRECIOS_COMPLEMENTOS!$C$4:$F$17,MATCH(B2560&amp;"_"&amp;C2560,PRECIOS_COMPLEMENTOS!$H$4:$H$17,0),IF(OR(G2560="S",G2560="20cm"),1,IF(OR(G2560="M",G2560="25cm"),2,IF(OR(G2560="L",G2560="30cm"),3,IF(OR(G2560="XL",G2560="35cm"),4,0))))),0)</f>
        <v>0.6</v>
      </c>
      <c r="J2560" s="103">
        <f t="shared" si="1"/>
        <v>0</v>
      </c>
      <c r="K2560" s="104" t="str">
        <f>IF(H2560&lt;0,"ERROR",IF(H2560=0,"",IF(H2560&lt;CONFIG!$B$4,"CRÍTICO",IF(H2560&lt;CONFIG!$B$5,"BAJO","OK"))))</f>
        <v/>
      </c>
    </row>
    <row r="2561" ht="15.75" hidden="1" customHeight="1">
      <c r="A2561" s="90" t="str">
        <f>IF(CLIENTES!A7="","",CLIENTES!A7)</f>
        <v/>
      </c>
      <c r="B2561" s="90" t="s">
        <v>331</v>
      </c>
      <c r="C2561" s="91" t="s">
        <v>328</v>
      </c>
      <c r="D2561" s="109" t="s">
        <v>366</v>
      </c>
      <c r="E2561" s="67" t="str">
        <f>COLORES!A23</f>
        <v/>
      </c>
      <c r="F2561" s="67" t="str">
        <f>COLORES!B23</f>
        <v/>
      </c>
      <c r="G2561" s="90" t="s">
        <v>376</v>
      </c>
      <c r="H2561" s="100">
        <f>IFERROR(SUMIFS(MOVIMIENTOS_COMPLEMENTOS!$I$4:$I$803,MOVIMIENTOS_COMPLEMENTOS!$C$4:$C$803,A2561,MOVIMIENTOS_COMPLEMENTOS!$D$4:$D$803,B2561,MOVIMIENTOS_COMPLEMENTOS!$E$4:$E$803,C2561,MOVIMIENTOS_COMPLEMENTOS!$F$4:$F$803,D2561,MOVIMIENTOS_COMPLEMENTOS!$G$4:$G$803,E2561,MOVIMIENTOS_COMPLEMENTOS!$H$4:$H$803,G2561,MOVIMIENTOS_COMPLEMENTOS!$B$4:$B$803,"INGRESO")+SUMIFS(MOVIMIENTOS_COMPLEMENTOS!$I$4:$I$803,MOVIMIENTOS_COMPLEMENTOS!$C$4:$C$803,A2561,MOVIMIENTOS_COMPLEMENTOS!$D$4:$D$803,B2561,MOVIMIENTOS_COMPLEMENTOS!$E$4:$E$803,C2561,MOVIMIENTOS_COMPLEMENTOS!$F$4:$F$803,D2561,MOVIMIENTOS_COMPLEMENTOS!$G$4:$G$803,E2561,MOVIMIENTOS_COMPLEMENTOS!$H$4:$H$803,G2561,MOVIMIENTOS_COMPLEMENTOS!$B$4:$B$803,"DE CORTE")-SUMIFS(MOVIMIENTOS_COMPLEMENTOS!$I$4:$I$803,MOVIMIENTOS_COMPLEMENTOS!$C$4:$C$803,A2561,MOVIMIENTOS_COMPLEMENTOS!$D$4:$D$803,B2561,MOVIMIENTOS_COMPLEMENTOS!$E$4:$E$803,C2561,MOVIMIENTOS_COMPLEMENTOS!$F$4:$F$803,D2561,MOVIMIENTOS_COMPLEMENTOS!$G$4:$G$803,E2561,MOVIMIENTOS_COMPLEMENTOS!$H$4:$H$803,G2561,MOVIMIENTOS_COMPLEMENTOS!$B$4:$B$803,"SALIDA"),0)</f>
        <v>0</v>
      </c>
      <c r="I2561" s="102">
        <f t="array" ref="I2561">IFERROR(INDEX(PRECIOS_COMPLEMENTOS!$C$4:$F$17,MATCH(B2561&amp;"_"&amp;C2561,PRECIOS_COMPLEMENTOS!$H$4:$H$17,0),IF(OR(G2561="S",G2561="20cm"),1,IF(OR(G2561="M",G2561="25cm"),2,IF(OR(G2561="L",G2561="30cm"),3,IF(OR(G2561="XL",G2561="35cm"),4,0))))),0)</f>
        <v>0.6</v>
      </c>
      <c r="J2561" s="103">
        <f t="shared" si="1"/>
        <v>0</v>
      </c>
      <c r="K2561" s="104" t="str">
        <f>IF(H2561&lt;0,"ERROR",IF(H2561=0,"",IF(H2561&lt;CONFIG!$B$4,"CRÍTICO",IF(H2561&lt;CONFIG!$B$5,"BAJO","OK"))))</f>
        <v/>
      </c>
    </row>
    <row r="2562" ht="15.75" hidden="1" customHeight="1">
      <c r="A2562" s="90" t="str">
        <f>IF(CLIENTES!A7="","",CLIENTES!A7)</f>
        <v/>
      </c>
      <c r="B2562" s="90" t="s">
        <v>331</v>
      </c>
      <c r="C2562" s="91" t="s">
        <v>328</v>
      </c>
      <c r="D2562" s="109" t="s">
        <v>366</v>
      </c>
      <c r="E2562" s="67" t="str">
        <f>COLORES!A23</f>
        <v/>
      </c>
      <c r="F2562" s="67" t="str">
        <f>COLORES!B23</f>
        <v/>
      </c>
      <c r="G2562" s="90" t="s">
        <v>377</v>
      </c>
      <c r="H2562" s="100">
        <f>IFERROR(SUMIFS(MOVIMIENTOS_COMPLEMENTOS!$I$4:$I$803,MOVIMIENTOS_COMPLEMENTOS!$C$4:$C$803,A2562,MOVIMIENTOS_COMPLEMENTOS!$D$4:$D$803,B2562,MOVIMIENTOS_COMPLEMENTOS!$E$4:$E$803,C2562,MOVIMIENTOS_COMPLEMENTOS!$F$4:$F$803,D2562,MOVIMIENTOS_COMPLEMENTOS!$G$4:$G$803,E2562,MOVIMIENTOS_COMPLEMENTOS!$H$4:$H$803,G2562,MOVIMIENTOS_COMPLEMENTOS!$B$4:$B$803,"INGRESO")+SUMIFS(MOVIMIENTOS_COMPLEMENTOS!$I$4:$I$803,MOVIMIENTOS_COMPLEMENTOS!$C$4:$C$803,A2562,MOVIMIENTOS_COMPLEMENTOS!$D$4:$D$803,B2562,MOVIMIENTOS_COMPLEMENTOS!$E$4:$E$803,C2562,MOVIMIENTOS_COMPLEMENTOS!$F$4:$F$803,D2562,MOVIMIENTOS_COMPLEMENTOS!$G$4:$G$803,E2562,MOVIMIENTOS_COMPLEMENTOS!$H$4:$H$803,G2562,MOVIMIENTOS_COMPLEMENTOS!$B$4:$B$803,"DE CORTE")-SUMIFS(MOVIMIENTOS_COMPLEMENTOS!$I$4:$I$803,MOVIMIENTOS_COMPLEMENTOS!$C$4:$C$803,A2562,MOVIMIENTOS_COMPLEMENTOS!$D$4:$D$803,B2562,MOVIMIENTOS_COMPLEMENTOS!$E$4:$E$803,C2562,MOVIMIENTOS_COMPLEMENTOS!$F$4:$F$803,D2562,MOVIMIENTOS_COMPLEMENTOS!$G$4:$G$803,E2562,MOVIMIENTOS_COMPLEMENTOS!$H$4:$H$803,G2562,MOVIMIENTOS_COMPLEMENTOS!$B$4:$B$803,"SALIDA"),0)</f>
        <v>0</v>
      </c>
      <c r="I2562" s="102">
        <f t="array" ref="I2562">IFERROR(INDEX(PRECIOS_COMPLEMENTOS!$C$4:$F$17,MATCH(B2562&amp;"_"&amp;C2562,PRECIOS_COMPLEMENTOS!$H$4:$H$17,0),IF(OR(G2562="S",G2562="20cm"),1,IF(OR(G2562="M",G2562="25cm"),2,IF(OR(G2562="L",G2562="30cm"),3,IF(OR(G2562="XL",G2562="35cm"),4,0))))),0)</f>
        <v>0.6</v>
      </c>
      <c r="J2562" s="103">
        <f t="shared" si="1"/>
        <v>0</v>
      </c>
      <c r="K2562" s="104" t="str">
        <f>IF(H2562&lt;0,"ERROR",IF(H2562=0,"",IF(H2562&lt;CONFIG!$B$4,"CRÍTICO",IF(H2562&lt;CONFIG!$B$5,"BAJO","OK"))))</f>
        <v/>
      </c>
    </row>
    <row r="2563" ht="15.75" hidden="1" customHeight="1">
      <c r="A2563" s="90" t="str">
        <f>IF(CLIENTES!A7="","",CLIENTES!A7)</f>
        <v/>
      </c>
      <c r="B2563" s="90" t="s">
        <v>331</v>
      </c>
      <c r="C2563" s="91" t="s">
        <v>328</v>
      </c>
      <c r="D2563" s="109" t="s">
        <v>366</v>
      </c>
      <c r="E2563" s="67" t="str">
        <f>COLORES!A23</f>
        <v/>
      </c>
      <c r="F2563" s="67" t="str">
        <f>COLORES!B23</f>
        <v/>
      </c>
      <c r="G2563" s="90" t="s">
        <v>379</v>
      </c>
      <c r="H2563" s="100">
        <f>IFERROR(SUMIFS(MOVIMIENTOS_COMPLEMENTOS!$I$4:$I$803,MOVIMIENTOS_COMPLEMENTOS!$C$4:$C$803,A2563,MOVIMIENTOS_COMPLEMENTOS!$D$4:$D$803,B2563,MOVIMIENTOS_COMPLEMENTOS!$E$4:$E$803,C2563,MOVIMIENTOS_COMPLEMENTOS!$F$4:$F$803,D2563,MOVIMIENTOS_COMPLEMENTOS!$G$4:$G$803,E2563,MOVIMIENTOS_COMPLEMENTOS!$H$4:$H$803,G2563,MOVIMIENTOS_COMPLEMENTOS!$B$4:$B$803,"INGRESO")+SUMIFS(MOVIMIENTOS_COMPLEMENTOS!$I$4:$I$803,MOVIMIENTOS_COMPLEMENTOS!$C$4:$C$803,A2563,MOVIMIENTOS_COMPLEMENTOS!$D$4:$D$803,B2563,MOVIMIENTOS_COMPLEMENTOS!$E$4:$E$803,C2563,MOVIMIENTOS_COMPLEMENTOS!$F$4:$F$803,D2563,MOVIMIENTOS_COMPLEMENTOS!$G$4:$G$803,E2563,MOVIMIENTOS_COMPLEMENTOS!$H$4:$H$803,G2563,MOVIMIENTOS_COMPLEMENTOS!$B$4:$B$803,"DE CORTE")-SUMIFS(MOVIMIENTOS_COMPLEMENTOS!$I$4:$I$803,MOVIMIENTOS_COMPLEMENTOS!$C$4:$C$803,A2563,MOVIMIENTOS_COMPLEMENTOS!$D$4:$D$803,B2563,MOVIMIENTOS_COMPLEMENTOS!$E$4:$E$803,C2563,MOVIMIENTOS_COMPLEMENTOS!$F$4:$F$803,D2563,MOVIMIENTOS_COMPLEMENTOS!$G$4:$G$803,E2563,MOVIMIENTOS_COMPLEMENTOS!$H$4:$H$803,G2563,MOVIMIENTOS_COMPLEMENTOS!$B$4:$B$803,"SALIDA"),0)</f>
        <v>0</v>
      </c>
      <c r="I2563" s="102">
        <f t="array" ref="I2563">IFERROR(INDEX(PRECIOS_COMPLEMENTOS!$C$4:$F$17,MATCH(B2563&amp;"_"&amp;C2563,PRECIOS_COMPLEMENTOS!$H$4:$H$17,0),IF(OR(G2563="S",G2563="20cm"),1,IF(OR(G2563="M",G2563="25cm"),2,IF(OR(G2563="L",G2563="30cm"),3,IF(OR(G2563="XL",G2563="35cm"),4,0))))),0)</f>
        <v>0.6</v>
      </c>
      <c r="J2563" s="103">
        <f t="shared" si="1"/>
        <v>0</v>
      </c>
      <c r="K2563" s="104" t="str">
        <f>IF(H2563&lt;0,"ERROR",IF(H2563=0,"",IF(H2563&lt;CONFIG!$B$4,"CRÍTICO",IF(H2563&lt;CONFIG!$B$5,"BAJO","OK"))))</f>
        <v/>
      </c>
    </row>
    <row r="2564" ht="15.75" hidden="1" customHeight="1">
      <c r="A2564" s="90" t="str">
        <f>IF(CLIENTES!A8="","",CLIENTES!A8)</f>
        <v/>
      </c>
      <c r="B2564" s="90" t="s">
        <v>331</v>
      </c>
      <c r="C2564" s="91" t="s">
        <v>328</v>
      </c>
      <c r="D2564" s="109" t="s">
        <v>364</v>
      </c>
      <c r="E2564" s="67" t="str">
        <f>COLORES!A4</f>
        <v>Negro</v>
      </c>
      <c r="F2564" s="67" t="str">
        <f>COLORES!B4</f>
        <v>OSCURO</v>
      </c>
      <c r="G2564" s="90" t="s">
        <v>378</v>
      </c>
      <c r="H2564" s="100">
        <f>IFERROR(SUMIFS(MOVIMIENTOS_COMPLEMENTOS!$I$4:$I$803,MOVIMIENTOS_COMPLEMENTOS!$C$4:$C$803,A2564,MOVIMIENTOS_COMPLEMENTOS!$D$4:$D$803,B2564,MOVIMIENTOS_COMPLEMENTOS!$E$4:$E$803,C2564,MOVIMIENTOS_COMPLEMENTOS!$F$4:$F$803,D2564,MOVIMIENTOS_COMPLEMENTOS!$G$4:$G$803,E2564,MOVIMIENTOS_COMPLEMENTOS!$H$4:$H$803,G2564,MOVIMIENTOS_COMPLEMENTOS!$B$4:$B$803,"INGRESO")+SUMIFS(MOVIMIENTOS_COMPLEMENTOS!$I$4:$I$803,MOVIMIENTOS_COMPLEMENTOS!$C$4:$C$803,A2564,MOVIMIENTOS_COMPLEMENTOS!$D$4:$D$803,B2564,MOVIMIENTOS_COMPLEMENTOS!$E$4:$E$803,C2564,MOVIMIENTOS_COMPLEMENTOS!$F$4:$F$803,D2564,MOVIMIENTOS_COMPLEMENTOS!$G$4:$G$803,E2564,MOVIMIENTOS_COMPLEMENTOS!$H$4:$H$803,G2564,MOVIMIENTOS_COMPLEMENTOS!$B$4:$B$803,"DE CORTE")-SUMIFS(MOVIMIENTOS_COMPLEMENTOS!$I$4:$I$803,MOVIMIENTOS_COMPLEMENTOS!$C$4:$C$803,A2564,MOVIMIENTOS_COMPLEMENTOS!$D$4:$D$803,B2564,MOVIMIENTOS_COMPLEMENTOS!$E$4:$E$803,C2564,MOVIMIENTOS_COMPLEMENTOS!$F$4:$F$803,D2564,MOVIMIENTOS_COMPLEMENTOS!$G$4:$G$803,E2564,MOVIMIENTOS_COMPLEMENTOS!$H$4:$H$803,G2564,MOVIMIENTOS_COMPLEMENTOS!$B$4:$B$803,"SALIDA"),0)</f>
        <v>0</v>
      </c>
      <c r="I2564" s="102">
        <f t="array" ref="I2564">IFERROR(INDEX(PRECIOS_COMPLEMENTOS!$C$4:$F$17,MATCH(B2564&amp;"_"&amp;C2564,PRECIOS_COMPLEMENTOS!$H$4:$H$17,0),IF(OR(G2564="S",G2564="20cm"),1,IF(OR(G2564="M",G2564="25cm"),2,IF(OR(G2564="L",G2564="30cm"),3,IF(OR(G2564="XL",G2564="35cm"),4,0))))),0)</f>
        <v>0.6</v>
      </c>
      <c r="J2564" s="103">
        <f t="shared" si="1"/>
        <v>0</v>
      </c>
      <c r="K2564" s="104" t="str">
        <f>IF(H2564&lt;0,"ERROR",IF(H2564=0,"",IF(H2564&lt;CONFIG!$B$4,"CRÍTICO",IF(H2564&lt;CONFIG!$B$5,"BAJO","OK"))))</f>
        <v/>
      </c>
    </row>
    <row r="2565" ht="15.75" hidden="1" customHeight="1">
      <c r="A2565" s="90" t="str">
        <f>IF(CLIENTES!A8="","",CLIENTES!A8)</f>
        <v/>
      </c>
      <c r="B2565" s="90" t="s">
        <v>331</v>
      </c>
      <c r="C2565" s="91" t="s">
        <v>328</v>
      </c>
      <c r="D2565" s="109" t="s">
        <v>364</v>
      </c>
      <c r="E2565" s="67" t="str">
        <f>COLORES!A4</f>
        <v>Negro</v>
      </c>
      <c r="F2565" s="67" t="str">
        <f>COLORES!B4</f>
        <v>OSCURO</v>
      </c>
      <c r="G2565" s="90" t="s">
        <v>376</v>
      </c>
      <c r="H2565" s="100">
        <f>IFERROR(SUMIFS(MOVIMIENTOS_COMPLEMENTOS!$I$4:$I$803,MOVIMIENTOS_COMPLEMENTOS!$C$4:$C$803,A2565,MOVIMIENTOS_COMPLEMENTOS!$D$4:$D$803,B2565,MOVIMIENTOS_COMPLEMENTOS!$E$4:$E$803,C2565,MOVIMIENTOS_COMPLEMENTOS!$F$4:$F$803,D2565,MOVIMIENTOS_COMPLEMENTOS!$G$4:$G$803,E2565,MOVIMIENTOS_COMPLEMENTOS!$H$4:$H$803,G2565,MOVIMIENTOS_COMPLEMENTOS!$B$4:$B$803,"INGRESO")+SUMIFS(MOVIMIENTOS_COMPLEMENTOS!$I$4:$I$803,MOVIMIENTOS_COMPLEMENTOS!$C$4:$C$803,A2565,MOVIMIENTOS_COMPLEMENTOS!$D$4:$D$803,B2565,MOVIMIENTOS_COMPLEMENTOS!$E$4:$E$803,C2565,MOVIMIENTOS_COMPLEMENTOS!$F$4:$F$803,D2565,MOVIMIENTOS_COMPLEMENTOS!$G$4:$G$803,E2565,MOVIMIENTOS_COMPLEMENTOS!$H$4:$H$803,G2565,MOVIMIENTOS_COMPLEMENTOS!$B$4:$B$803,"DE CORTE")-SUMIFS(MOVIMIENTOS_COMPLEMENTOS!$I$4:$I$803,MOVIMIENTOS_COMPLEMENTOS!$C$4:$C$803,A2565,MOVIMIENTOS_COMPLEMENTOS!$D$4:$D$803,B2565,MOVIMIENTOS_COMPLEMENTOS!$E$4:$E$803,C2565,MOVIMIENTOS_COMPLEMENTOS!$F$4:$F$803,D2565,MOVIMIENTOS_COMPLEMENTOS!$G$4:$G$803,E2565,MOVIMIENTOS_COMPLEMENTOS!$H$4:$H$803,G2565,MOVIMIENTOS_COMPLEMENTOS!$B$4:$B$803,"SALIDA"),0)</f>
        <v>0</v>
      </c>
      <c r="I2565" s="102">
        <f t="array" ref="I2565">IFERROR(INDEX(PRECIOS_COMPLEMENTOS!$C$4:$F$17,MATCH(B2565&amp;"_"&amp;C2565,PRECIOS_COMPLEMENTOS!$H$4:$H$17,0),IF(OR(G2565="S",G2565="20cm"),1,IF(OR(G2565="M",G2565="25cm"),2,IF(OR(G2565="L",G2565="30cm"),3,IF(OR(G2565="XL",G2565="35cm"),4,0))))),0)</f>
        <v>0.6</v>
      </c>
      <c r="J2565" s="103">
        <f t="shared" si="1"/>
        <v>0</v>
      </c>
      <c r="K2565" s="104" t="str">
        <f>IF(H2565&lt;0,"ERROR",IF(H2565=0,"",IF(H2565&lt;CONFIG!$B$4,"CRÍTICO",IF(H2565&lt;CONFIG!$B$5,"BAJO","OK"))))</f>
        <v/>
      </c>
    </row>
    <row r="2566" ht="15.75" hidden="1" customHeight="1">
      <c r="A2566" s="90" t="str">
        <f>IF(CLIENTES!A8="","",CLIENTES!A8)</f>
        <v/>
      </c>
      <c r="B2566" s="90" t="s">
        <v>331</v>
      </c>
      <c r="C2566" s="91" t="s">
        <v>328</v>
      </c>
      <c r="D2566" s="109" t="s">
        <v>364</v>
      </c>
      <c r="E2566" s="67" t="str">
        <f>COLORES!A4</f>
        <v>Negro</v>
      </c>
      <c r="F2566" s="67" t="str">
        <f>COLORES!B4</f>
        <v>OSCURO</v>
      </c>
      <c r="G2566" s="90" t="s">
        <v>377</v>
      </c>
      <c r="H2566" s="100">
        <f>IFERROR(SUMIFS(MOVIMIENTOS_COMPLEMENTOS!$I$4:$I$803,MOVIMIENTOS_COMPLEMENTOS!$C$4:$C$803,A2566,MOVIMIENTOS_COMPLEMENTOS!$D$4:$D$803,B2566,MOVIMIENTOS_COMPLEMENTOS!$E$4:$E$803,C2566,MOVIMIENTOS_COMPLEMENTOS!$F$4:$F$803,D2566,MOVIMIENTOS_COMPLEMENTOS!$G$4:$G$803,E2566,MOVIMIENTOS_COMPLEMENTOS!$H$4:$H$803,G2566,MOVIMIENTOS_COMPLEMENTOS!$B$4:$B$803,"INGRESO")+SUMIFS(MOVIMIENTOS_COMPLEMENTOS!$I$4:$I$803,MOVIMIENTOS_COMPLEMENTOS!$C$4:$C$803,A2566,MOVIMIENTOS_COMPLEMENTOS!$D$4:$D$803,B2566,MOVIMIENTOS_COMPLEMENTOS!$E$4:$E$803,C2566,MOVIMIENTOS_COMPLEMENTOS!$F$4:$F$803,D2566,MOVIMIENTOS_COMPLEMENTOS!$G$4:$G$803,E2566,MOVIMIENTOS_COMPLEMENTOS!$H$4:$H$803,G2566,MOVIMIENTOS_COMPLEMENTOS!$B$4:$B$803,"DE CORTE")-SUMIFS(MOVIMIENTOS_COMPLEMENTOS!$I$4:$I$803,MOVIMIENTOS_COMPLEMENTOS!$C$4:$C$803,A2566,MOVIMIENTOS_COMPLEMENTOS!$D$4:$D$803,B2566,MOVIMIENTOS_COMPLEMENTOS!$E$4:$E$803,C2566,MOVIMIENTOS_COMPLEMENTOS!$F$4:$F$803,D2566,MOVIMIENTOS_COMPLEMENTOS!$G$4:$G$803,E2566,MOVIMIENTOS_COMPLEMENTOS!$H$4:$H$803,G2566,MOVIMIENTOS_COMPLEMENTOS!$B$4:$B$803,"SALIDA"),0)</f>
        <v>0</v>
      </c>
      <c r="I2566" s="102">
        <f t="array" ref="I2566">IFERROR(INDEX(PRECIOS_COMPLEMENTOS!$C$4:$F$17,MATCH(B2566&amp;"_"&amp;C2566,PRECIOS_COMPLEMENTOS!$H$4:$H$17,0),IF(OR(G2566="S",G2566="20cm"),1,IF(OR(G2566="M",G2566="25cm"),2,IF(OR(G2566="L",G2566="30cm"),3,IF(OR(G2566="XL",G2566="35cm"),4,0))))),0)</f>
        <v>0.6</v>
      </c>
      <c r="J2566" s="103">
        <f t="shared" si="1"/>
        <v>0</v>
      </c>
      <c r="K2566" s="104" t="str">
        <f>IF(H2566&lt;0,"ERROR",IF(H2566=0,"",IF(H2566&lt;CONFIG!$B$4,"CRÍTICO",IF(H2566&lt;CONFIG!$B$5,"BAJO","OK"))))</f>
        <v/>
      </c>
    </row>
    <row r="2567" ht="15.75" hidden="1" customHeight="1">
      <c r="A2567" s="90" t="str">
        <f>IF(CLIENTES!A8="","",CLIENTES!A8)</f>
        <v/>
      </c>
      <c r="B2567" s="90" t="s">
        <v>331</v>
      </c>
      <c r="C2567" s="91" t="s">
        <v>328</v>
      </c>
      <c r="D2567" s="109" t="s">
        <v>364</v>
      </c>
      <c r="E2567" s="67" t="str">
        <f>COLORES!A4</f>
        <v>Negro</v>
      </c>
      <c r="F2567" s="67" t="str">
        <f>COLORES!B4</f>
        <v>OSCURO</v>
      </c>
      <c r="G2567" s="90" t="s">
        <v>379</v>
      </c>
      <c r="H2567" s="100">
        <f>IFERROR(SUMIFS(MOVIMIENTOS_COMPLEMENTOS!$I$4:$I$803,MOVIMIENTOS_COMPLEMENTOS!$C$4:$C$803,A2567,MOVIMIENTOS_COMPLEMENTOS!$D$4:$D$803,B2567,MOVIMIENTOS_COMPLEMENTOS!$E$4:$E$803,C2567,MOVIMIENTOS_COMPLEMENTOS!$F$4:$F$803,D2567,MOVIMIENTOS_COMPLEMENTOS!$G$4:$G$803,E2567,MOVIMIENTOS_COMPLEMENTOS!$H$4:$H$803,G2567,MOVIMIENTOS_COMPLEMENTOS!$B$4:$B$803,"INGRESO")+SUMIFS(MOVIMIENTOS_COMPLEMENTOS!$I$4:$I$803,MOVIMIENTOS_COMPLEMENTOS!$C$4:$C$803,A2567,MOVIMIENTOS_COMPLEMENTOS!$D$4:$D$803,B2567,MOVIMIENTOS_COMPLEMENTOS!$E$4:$E$803,C2567,MOVIMIENTOS_COMPLEMENTOS!$F$4:$F$803,D2567,MOVIMIENTOS_COMPLEMENTOS!$G$4:$G$803,E2567,MOVIMIENTOS_COMPLEMENTOS!$H$4:$H$803,G2567,MOVIMIENTOS_COMPLEMENTOS!$B$4:$B$803,"DE CORTE")-SUMIFS(MOVIMIENTOS_COMPLEMENTOS!$I$4:$I$803,MOVIMIENTOS_COMPLEMENTOS!$C$4:$C$803,A2567,MOVIMIENTOS_COMPLEMENTOS!$D$4:$D$803,B2567,MOVIMIENTOS_COMPLEMENTOS!$E$4:$E$803,C2567,MOVIMIENTOS_COMPLEMENTOS!$F$4:$F$803,D2567,MOVIMIENTOS_COMPLEMENTOS!$G$4:$G$803,E2567,MOVIMIENTOS_COMPLEMENTOS!$H$4:$H$803,G2567,MOVIMIENTOS_COMPLEMENTOS!$B$4:$B$803,"SALIDA"),0)</f>
        <v>0</v>
      </c>
      <c r="I2567" s="102">
        <f t="array" ref="I2567">IFERROR(INDEX(PRECIOS_COMPLEMENTOS!$C$4:$F$17,MATCH(B2567&amp;"_"&amp;C2567,PRECIOS_COMPLEMENTOS!$H$4:$H$17,0),IF(OR(G2567="S",G2567="20cm"),1,IF(OR(G2567="M",G2567="25cm"),2,IF(OR(G2567="L",G2567="30cm"),3,IF(OR(G2567="XL",G2567="35cm"),4,0))))),0)</f>
        <v>0.6</v>
      </c>
      <c r="J2567" s="103">
        <f t="shared" si="1"/>
        <v>0</v>
      </c>
      <c r="K2567" s="104" t="str">
        <f>IF(H2567&lt;0,"ERROR",IF(H2567=0,"",IF(H2567&lt;CONFIG!$B$4,"CRÍTICO",IF(H2567&lt;CONFIG!$B$5,"BAJO","OK"))))</f>
        <v/>
      </c>
    </row>
    <row r="2568" ht="15.75" hidden="1" customHeight="1">
      <c r="A2568" s="90" t="str">
        <f>IF(CLIENTES!A8="","",CLIENTES!A8)</f>
        <v/>
      </c>
      <c r="B2568" s="90" t="s">
        <v>331</v>
      </c>
      <c r="C2568" s="91" t="s">
        <v>328</v>
      </c>
      <c r="D2568" s="109" t="s">
        <v>364</v>
      </c>
      <c r="E2568" s="67" t="str">
        <f>COLORES!A5</f>
        <v>Perla</v>
      </c>
      <c r="F2568" s="67" t="str">
        <f>COLORES!B5</f>
        <v>PPT</v>
      </c>
      <c r="G2568" s="90" t="s">
        <v>378</v>
      </c>
      <c r="H2568" s="100">
        <f>IFERROR(SUMIFS(MOVIMIENTOS_COMPLEMENTOS!$I$4:$I$803,MOVIMIENTOS_COMPLEMENTOS!$C$4:$C$803,A2568,MOVIMIENTOS_COMPLEMENTOS!$D$4:$D$803,B2568,MOVIMIENTOS_COMPLEMENTOS!$E$4:$E$803,C2568,MOVIMIENTOS_COMPLEMENTOS!$F$4:$F$803,D2568,MOVIMIENTOS_COMPLEMENTOS!$G$4:$G$803,E2568,MOVIMIENTOS_COMPLEMENTOS!$H$4:$H$803,G2568,MOVIMIENTOS_COMPLEMENTOS!$B$4:$B$803,"INGRESO")+SUMIFS(MOVIMIENTOS_COMPLEMENTOS!$I$4:$I$803,MOVIMIENTOS_COMPLEMENTOS!$C$4:$C$803,A2568,MOVIMIENTOS_COMPLEMENTOS!$D$4:$D$803,B2568,MOVIMIENTOS_COMPLEMENTOS!$E$4:$E$803,C2568,MOVIMIENTOS_COMPLEMENTOS!$F$4:$F$803,D2568,MOVIMIENTOS_COMPLEMENTOS!$G$4:$G$803,E2568,MOVIMIENTOS_COMPLEMENTOS!$H$4:$H$803,G2568,MOVIMIENTOS_COMPLEMENTOS!$B$4:$B$803,"DE CORTE")-SUMIFS(MOVIMIENTOS_COMPLEMENTOS!$I$4:$I$803,MOVIMIENTOS_COMPLEMENTOS!$C$4:$C$803,A2568,MOVIMIENTOS_COMPLEMENTOS!$D$4:$D$803,B2568,MOVIMIENTOS_COMPLEMENTOS!$E$4:$E$803,C2568,MOVIMIENTOS_COMPLEMENTOS!$F$4:$F$803,D2568,MOVIMIENTOS_COMPLEMENTOS!$G$4:$G$803,E2568,MOVIMIENTOS_COMPLEMENTOS!$H$4:$H$803,G2568,MOVIMIENTOS_COMPLEMENTOS!$B$4:$B$803,"SALIDA"),0)</f>
        <v>0</v>
      </c>
      <c r="I2568" s="102">
        <f t="array" ref="I2568">IFERROR(INDEX(PRECIOS_COMPLEMENTOS!$C$4:$F$17,MATCH(B2568&amp;"_"&amp;C2568,PRECIOS_COMPLEMENTOS!$H$4:$H$17,0),IF(OR(G2568="S",G2568="20cm"),1,IF(OR(G2568="M",G2568="25cm"),2,IF(OR(G2568="L",G2568="30cm"),3,IF(OR(G2568="XL",G2568="35cm"),4,0))))),0)</f>
        <v>0.6</v>
      </c>
      <c r="J2568" s="103">
        <f t="shared" si="1"/>
        <v>0</v>
      </c>
      <c r="K2568" s="104" t="str">
        <f>IF(H2568&lt;0,"ERROR",IF(H2568=0,"",IF(H2568&lt;CONFIG!$B$4,"CRÍTICO",IF(H2568&lt;CONFIG!$B$5,"BAJO","OK"))))</f>
        <v/>
      </c>
    </row>
    <row r="2569" ht="15.75" hidden="1" customHeight="1">
      <c r="A2569" s="90" t="str">
        <f>IF(CLIENTES!A8="","",CLIENTES!A8)</f>
        <v/>
      </c>
      <c r="B2569" s="90" t="s">
        <v>331</v>
      </c>
      <c r="C2569" s="91" t="s">
        <v>328</v>
      </c>
      <c r="D2569" s="109" t="s">
        <v>364</v>
      </c>
      <c r="E2569" s="67" t="str">
        <f>COLORES!A5</f>
        <v>Perla</v>
      </c>
      <c r="F2569" s="67" t="str">
        <f>COLORES!B5</f>
        <v>PPT</v>
      </c>
      <c r="G2569" s="90" t="s">
        <v>376</v>
      </c>
      <c r="H2569" s="100">
        <f>IFERROR(SUMIFS(MOVIMIENTOS_COMPLEMENTOS!$I$4:$I$803,MOVIMIENTOS_COMPLEMENTOS!$C$4:$C$803,A2569,MOVIMIENTOS_COMPLEMENTOS!$D$4:$D$803,B2569,MOVIMIENTOS_COMPLEMENTOS!$E$4:$E$803,C2569,MOVIMIENTOS_COMPLEMENTOS!$F$4:$F$803,D2569,MOVIMIENTOS_COMPLEMENTOS!$G$4:$G$803,E2569,MOVIMIENTOS_COMPLEMENTOS!$H$4:$H$803,G2569,MOVIMIENTOS_COMPLEMENTOS!$B$4:$B$803,"INGRESO")+SUMIFS(MOVIMIENTOS_COMPLEMENTOS!$I$4:$I$803,MOVIMIENTOS_COMPLEMENTOS!$C$4:$C$803,A2569,MOVIMIENTOS_COMPLEMENTOS!$D$4:$D$803,B2569,MOVIMIENTOS_COMPLEMENTOS!$E$4:$E$803,C2569,MOVIMIENTOS_COMPLEMENTOS!$F$4:$F$803,D2569,MOVIMIENTOS_COMPLEMENTOS!$G$4:$G$803,E2569,MOVIMIENTOS_COMPLEMENTOS!$H$4:$H$803,G2569,MOVIMIENTOS_COMPLEMENTOS!$B$4:$B$803,"DE CORTE")-SUMIFS(MOVIMIENTOS_COMPLEMENTOS!$I$4:$I$803,MOVIMIENTOS_COMPLEMENTOS!$C$4:$C$803,A2569,MOVIMIENTOS_COMPLEMENTOS!$D$4:$D$803,B2569,MOVIMIENTOS_COMPLEMENTOS!$E$4:$E$803,C2569,MOVIMIENTOS_COMPLEMENTOS!$F$4:$F$803,D2569,MOVIMIENTOS_COMPLEMENTOS!$G$4:$G$803,E2569,MOVIMIENTOS_COMPLEMENTOS!$H$4:$H$803,G2569,MOVIMIENTOS_COMPLEMENTOS!$B$4:$B$803,"SALIDA"),0)</f>
        <v>0</v>
      </c>
      <c r="I2569" s="102">
        <f t="array" ref="I2569">IFERROR(INDEX(PRECIOS_COMPLEMENTOS!$C$4:$F$17,MATCH(B2569&amp;"_"&amp;C2569,PRECIOS_COMPLEMENTOS!$H$4:$H$17,0),IF(OR(G2569="S",G2569="20cm"),1,IF(OR(G2569="M",G2569="25cm"),2,IF(OR(G2569="L",G2569="30cm"),3,IF(OR(G2569="XL",G2569="35cm"),4,0))))),0)</f>
        <v>0.6</v>
      </c>
      <c r="J2569" s="103">
        <f t="shared" si="1"/>
        <v>0</v>
      </c>
      <c r="K2569" s="104" t="str">
        <f>IF(H2569&lt;0,"ERROR",IF(H2569=0,"",IF(H2569&lt;CONFIG!$B$4,"CRÍTICO",IF(H2569&lt;CONFIG!$B$5,"BAJO","OK"))))</f>
        <v/>
      </c>
    </row>
    <row r="2570" ht="15.75" hidden="1" customHeight="1">
      <c r="A2570" s="90" t="str">
        <f>IF(CLIENTES!A8="","",CLIENTES!A8)</f>
        <v/>
      </c>
      <c r="B2570" s="90" t="s">
        <v>331</v>
      </c>
      <c r="C2570" s="91" t="s">
        <v>328</v>
      </c>
      <c r="D2570" s="109" t="s">
        <v>364</v>
      </c>
      <c r="E2570" s="67" t="str">
        <f>COLORES!A5</f>
        <v>Perla</v>
      </c>
      <c r="F2570" s="67" t="str">
        <f>COLORES!B5</f>
        <v>PPT</v>
      </c>
      <c r="G2570" s="90" t="s">
        <v>377</v>
      </c>
      <c r="H2570" s="100">
        <f>IFERROR(SUMIFS(MOVIMIENTOS_COMPLEMENTOS!$I$4:$I$803,MOVIMIENTOS_COMPLEMENTOS!$C$4:$C$803,A2570,MOVIMIENTOS_COMPLEMENTOS!$D$4:$D$803,B2570,MOVIMIENTOS_COMPLEMENTOS!$E$4:$E$803,C2570,MOVIMIENTOS_COMPLEMENTOS!$F$4:$F$803,D2570,MOVIMIENTOS_COMPLEMENTOS!$G$4:$G$803,E2570,MOVIMIENTOS_COMPLEMENTOS!$H$4:$H$803,G2570,MOVIMIENTOS_COMPLEMENTOS!$B$4:$B$803,"INGRESO")+SUMIFS(MOVIMIENTOS_COMPLEMENTOS!$I$4:$I$803,MOVIMIENTOS_COMPLEMENTOS!$C$4:$C$803,A2570,MOVIMIENTOS_COMPLEMENTOS!$D$4:$D$803,B2570,MOVIMIENTOS_COMPLEMENTOS!$E$4:$E$803,C2570,MOVIMIENTOS_COMPLEMENTOS!$F$4:$F$803,D2570,MOVIMIENTOS_COMPLEMENTOS!$G$4:$G$803,E2570,MOVIMIENTOS_COMPLEMENTOS!$H$4:$H$803,G2570,MOVIMIENTOS_COMPLEMENTOS!$B$4:$B$803,"DE CORTE")-SUMIFS(MOVIMIENTOS_COMPLEMENTOS!$I$4:$I$803,MOVIMIENTOS_COMPLEMENTOS!$C$4:$C$803,A2570,MOVIMIENTOS_COMPLEMENTOS!$D$4:$D$803,B2570,MOVIMIENTOS_COMPLEMENTOS!$E$4:$E$803,C2570,MOVIMIENTOS_COMPLEMENTOS!$F$4:$F$803,D2570,MOVIMIENTOS_COMPLEMENTOS!$G$4:$G$803,E2570,MOVIMIENTOS_COMPLEMENTOS!$H$4:$H$803,G2570,MOVIMIENTOS_COMPLEMENTOS!$B$4:$B$803,"SALIDA"),0)</f>
        <v>0</v>
      </c>
      <c r="I2570" s="102">
        <f t="array" ref="I2570">IFERROR(INDEX(PRECIOS_COMPLEMENTOS!$C$4:$F$17,MATCH(B2570&amp;"_"&amp;C2570,PRECIOS_COMPLEMENTOS!$H$4:$H$17,0),IF(OR(G2570="S",G2570="20cm"),1,IF(OR(G2570="M",G2570="25cm"),2,IF(OR(G2570="L",G2570="30cm"),3,IF(OR(G2570="XL",G2570="35cm"),4,0))))),0)</f>
        <v>0.6</v>
      </c>
      <c r="J2570" s="103">
        <f t="shared" si="1"/>
        <v>0</v>
      </c>
      <c r="K2570" s="104" t="str">
        <f>IF(H2570&lt;0,"ERROR",IF(H2570=0,"",IF(H2570&lt;CONFIG!$B$4,"CRÍTICO",IF(H2570&lt;CONFIG!$B$5,"BAJO","OK"))))</f>
        <v/>
      </c>
    </row>
    <row r="2571" ht="15.75" hidden="1" customHeight="1">
      <c r="A2571" s="90" t="str">
        <f>IF(CLIENTES!A8="","",CLIENTES!A8)</f>
        <v/>
      </c>
      <c r="B2571" s="90" t="s">
        <v>331</v>
      </c>
      <c r="C2571" s="91" t="s">
        <v>328</v>
      </c>
      <c r="D2571" s="109" t="s">
        <v>364</v>
      </c>
      <c r="E2571" s="67" t="str">
        <f>COLORES!A5</f>
        <v>Perla</v>
      </c>
      <c r="F2571" s="67" t="str">
        <f>COLORES!B5</f>
        <v>PPT</v>
      </c>
      <c r="G2571" s="90" t="s">
        <v>379</v>
      </c>
      <c r="H2571" s="100">
        <f>IFERROR(SUMIFS(MOVIMIENTOS_COMPLEMENTOS!$I$4:$I$803,MOVIMIENTOS_COMPLEMENTOS!$C$4:$C$803,A2571,MOVIMIENTOS_COMPLEMENTOS!$D$4:$D$803,B2571,MOVIMIENTOS_COMPLEMENTOS!$E$4:$E$803,C2571,MOVIMIENTOS_COMPLEMENTOS!$F$4:$F$803,D2571,MOVIMIENTOS_COMPLEMENTOS!$G$4:$G$803,E2571,MOVIMIENTOS_COMPLEMENTOS!$H$4:$H$803,G2571,MOVIMIENTOS_COMPLEMENTOS!$B$4:$B$803,"INGRESO")+SUMIFS(MOVIMIENTOS_COMPLEMENTOS!$I$4:$I$803,MOVIMIENTOS_COMPLEMENTOS!$C$4:$C$803,A2571,MOVIMIENTOS_COMPLEMENTOS!$D$4:$D$803,B2571,MOVIMIENTOS_COMPLEMENTOS!$E$4:$E$803,C2571,MOVIMIENTOS_COMPLEMENTOS!$F$4:$F$803,D2571,MOVIMIENTOS_COMPLEMENTOS!$G$4:$G$803,E2571,MOVIMIENTOS_COMPLEMENTOS!$H$4:$H$803,G2571,MOVIMIENTOS_COMPLEMENTOS!$B$4:$B$803,"DE CORTE")-SUMIFS(MOVIMIENTOS_COMPLEMENTOS!$I$4:$I$803,MOVIMIENTOS_COMPLEMENTOS!$C$4:$C$803,A2571,MOVIMIENTOS_COMPLEMENTOS!$D$4:$D$803,B2571,MOVIMIENTOS_COMPLEMENTOS!$E$4:$E$803,C2571,MOVIMIENTOS_COMPLEMENTOS!$F$4:$F$803,D2571,MOVIMIENTOS_COMPLEMENTOS!$G$4:$G$803,E2571,MOVIMIENTOS_COMPLEMENTOS!$H$4:$H$803,G2571,MOVIMIENTOS_COMPLEMENTOS!$B$4:$B$803,"SALIDA"),0)</f>
        <v>0</v>
      </c>
      <c r="I2571" s="102">
        <f t="array" ref="I2571">IFERROR(INDEX(PRECIOS_COMPLEMENTOS!$C$4:$F$17,MATCH(B2571&amp;"_"&amp;C2571,PRECIOS_COMPLEMENTOS!$H$4:$H$17,0),IF(OR(G2571="S",G2571="20cm"),1,IF(OR(G2571="M",G2571="25cm"),2,IF(OR(G2571="L",G2571="30cm"),3,IF(OR(G2571="XL",G2571="35cm"),4,0))))),0)</f>
        <v>0.6</v>
      </c>
      <c r="J2571" s="103">
        <f t="shared" si="1"/>
        <v>0</v>
      </c>
      <c r="K2571" s="104" t="str">
        <f>IF(H2571&lt;0,"ERROR",IF(H2571=0,"",IF(H2571&lt;CONFIG!$B$4,"CRÍTICO",IF(H2571&lt;CONFIG!$B$5,"BAJO","OK"))))</f>
        <v/>
      </c>
    </row>
    <row r="2572" ht="15.75" hidden="1" customHeight="1">
      <c r="A2572" s="90" t="str">
        <f>IF(CLIENTES!A8="","",CLIENTES!A8)</f>
        <v/>
      </c>
      <c r="B2572" s="90" t="s">
        <v>331</v>
      </c>
      <c r="C2572" s="91" t="s">
        <v>328</v>
      </c>
      <c r="D2572" s="109" t="s">
        <v>364</v>
      </c>
      <c r="E2572" s="67" t="str">
        <f>COLORES!A6</f>
        <v>Blanco</v>
      </c>
      <c r="F2572" s="67" t="str">
        <f>COLORES!B6</f>
        <v>PPT</v>
      </c>
      <c r="G2572" s="90" t="s">
        <v>378</v>
      </c>
      <c r="H2572" s="100">
        <f>IFERROR(SUMIFS(MOVIMIENTOS_COMPLEMENTOS!$I$4:$I$803,MOVIMIENTOS_COMPLEMENTOS!$C$4:$C$803,A2572,MOVIMIENTOS_COMPLEMENTOS!$D$4:$D$803,B2572,MOVIMIENTOS_COMPLEMENTOS!$E$4:$E$803,C2572,MOVIMIENTOS_COMPLEMENTOS!$F$4:$F$803,D2572,MOVIMIENTOS_COMPLEMENTOS!$G$4:$G$803,E2572,MOVIMIENTOS_COMPLEMENTOS!$H$4:$H$803,G2572,MOVIMIENTOS_COMPLEMENTOS!$B$4:$B$803,"INGRESO")+SUMIFS(MOVIMIENTOS_COMPLEMENTOS!$I$4:$I$803,MOVIMIENTOS_COMPLEMENTOS!$C$4:$C$803,A2572,MOVIMIENTOS_COMPLEMENTOS!$D$4:$D$803,B2572,MOVIMIENTOS_COMPLEMENTOS!$E$4:$E$803,C2572,MOVIMIENTOS_COMPLEMENTOS!$F$4:$F$803,D2572,MOVIMIENTOS_COMPLEMENTOS!$G$4:$G$803,E2572,MOVIMIENTOS_COMPLEMENTOS!$H$4:$H$803,G2572,MOVIMIENTOS_COMPLEMENTOS!$B$4:$B$803,"DE CORTE")-SUMIFS(MOVIMIENTOS_COMPLEMENTOS!$I$4:$I$803,MOVIMIENTOS_COMPLEMENTOS!$C$4:$C$803,A2572,MOVIMIENTOS_COMPLEMENTOS!$D$4:$D$803,B2572,MOVIMIENTOS_COMPLEMENTOS!$E$4:$E$803,C2572,MOVIMIENTOS_COMPLEMENTOS!$F$4:$F$803,D2572,MOVIMIENTOS_COMPLEMENTOS!$G$4:$G$803,E2572,MOVIMIENTOS_COMPLEMENTOS!$H$4:$H$803,G2572,MOVIMIENTOS_COMPLEMENTOS!$B$4:$B$803,"SALIDA"),0)</f>
        <v>0</v>
      </c>
      <c r="I2572" s="102">
        <f t="array" ref="I2572">IFERROR(INDEX(PRECIOS_COMPLEMENTOS!$C$4:$F$17,MATCH(B2572&amp;"_"&amp;C2572,PRECIOS_COMPLEMENTOS!$H$4:$H$17,0),IF(OR(G2572="S",G2572="20cm"),1,IF(OR(G2572="M",G2572="25cm"),2,IF(OR(G2572="L",G2572="30cm"),3,IF(OR(G2572="XL",G2572="35cm"),4,0))))),0)</f>
        <v>0.6</v>
      </c>
      <c r="J2572" s="103">
        <f t="shared" si="1"/>
        <v>0</v>
      </c>
      <c r="K2572" s="104" t="str">
        <f>IF(H2572&lt;0,"ERROR",IF(H2572=0,"",IF(H2572&lt;CONFIG!$B$4,"CRÍTICO",IF(H2572&lt;CONFIG!$B$5,"BAJO","OK"))))</f>
        <v/>
      </c>
    </row>
    <row r="2573" ht="15.75" hidden="1" customHeight="1">
      <c r="A2573" s="90" t="str">
        <f>IF(CLIENTES!A8="","",CLIENTES!A8)</f>
        <v/>
      </c>
      <c r="B2573" s="90" t="s">
        <v>331</v>
      </c>
      <c r="C2573" s="91" t="s">
        <v>328</v>
      </c>
      <c r="D2573" s="109" t="s">
        <v>364</v>
      </c>
      <c r="E2573" s="67" t="str">
        <f>COLORES!A6</f>
        <v>Blanco</v>
      </c>
      <c r="F2573" s="67" t="str">
        <f>COLORES!B6</f>
        <v>PPT</v>
      </c>
      <c r="G2573" s="90" t="s">
        <v>376</v>
      </c>
      <c r="H2573" s="100">
        <f>IFERROR(SUMIFS(MOVIMIENTOS_COMPLEMENTOS!$I$4:$I$803,MOVIMIENTOS_COMPLEMENTOS!$C$4:$C$803,A2573,MOVIMIENTOS_COMPLEMENTOS!$D$4:$D$803,B2573,MOVIMIENTOS_COMPLEMENTOS!$E$4:$E$803,C2573,MOVIMIENTOS_COMPLEMENTOS!$F$4:$F$803,D2573,MOVIMIENTOS_COMPLEMENTOS!$G$4:$G$803,E2573,MOVIMIENTOS_COMPLEMENTOS!$H$4:$H$803,G2573,MOVIMIENTOS_COMPLEMENTOS!$B$4:$B$803,"INGRESO")+SUMIFS(MOVIMIENTOS_COMPLEMENTOS!$I$4:$I$803,MOVIMIENTOS_COMPLEMENTOS!$C$4:$C$803,A2573,MOVIMIENTOS_COMPLEMENTOS!$D$4:$D$803,B2573,MOVIMIENTOS_COMPLEMENTOS!$E$4:$E$803,C2573,MOVIMIENTOS_COMPLEMENTOS!$F$4:$F$803,D2573,MOVIMIENTOS_COMPLEMENTOS!$G$4:$G$803,E2573,MOVIMIENTOS_COMPLEMENTOS!$H$4:$H$803,G2573,MOVIMIENTOS_COMPLEMENTOS!$B$4:$B$803,"DE CORTE")-SUMIFS(MOVIMIENTOS_COMPLEMENTOS!$I$4:$I$803,MOVIMIENTOS_COMPLEMENTOS!$C$4:$C$803,A2573,MOVIMIENTOS_COMPLEMENTOS!$D$4:$D$803,B2573,MOVIMIENTOS_COMPLEMENTOS!$E$4:$E$803,C2573,MOVIMIENTOS_COMPLEMENTOS!$F$4:$F$803,D2573,MOVIMIENTOS_COMPLEMENTOS!$G$4:$G$803,E2573,MOVIMIENTOS_COMPLEMENTOS!$H$4:$H$803,G2573,MOVIMIENTOS_COMPLEMENTOS!$B$4:$B$803,"SALIDA"),0)</f>
        <v>0</v>
      </c>
      <c r="I2573" s="102">
        <f t="array" ref="I2573">IFERROR(INDEX(PRECIOS_COMPLEMENTOS!$C$4:$F$17,MATCH(B2573&amp;"_"&amp;C2573,PRECIOS_COMPLEMENTOS!$H$4:$H$17,0),IF(OR(G2573="S",G2573="20cm"),1,IF(OR(G2573="M",G2573="25cm"),2,IF(OR(G2573="L",G2573="30cm"),3,IF(OR(G2573="XL",G2573="35cm"),4,0))))),0)</f>
        <v>0.6</v>
      </c>
      <c r="J2573" s="103">
        <f t="shared" si="1"/>
        <v>0</v>
      </c>
      <c r="K2573" s="104" t="str">
        <f>IF(H2573&lt;0,"ERROR",IF(H2573=0,"",IF(H2573&lt;CONFIG!$B$4,"CRÍTICO",IF(H2573&lt;CONFIG!$B$5,"BAJO","OK"))))</f>
        <v/>
      </c>
    </row>
    <row r="2574" ht="15.75" hidden="1" customHeight="1">
      <c r="A2574" s="90" t="str">
        <f>IF(CLIENTES!A8="","",CLIENTES!A8)</f>
        <v/>
      </c>
      <c r="B2574" s="90" t="s">
        <v>331</v>
      </c>
      <c r="C2574" s="91" t="s">
        <v>328</v>
      </c>
      <c r="D2574" s="109" t="s">
        <v>364</v>
      </c>
      <c r="E2574" s="67" t="str">
        <f>COLORES!A6</f>
        <v>Blanco</v>
      </c>
      <c r="F2574" s="67" t="str">
        <f>COLORES!B6</f>
        <v>PPT</v>
      </c>
      <c r="G2574" s="90" t="s">
        <v>377</v>
      </c>
      <c r="H2574" s="100">
        <f>IFERROR(SUMIFS(MOVIMIENTOS_COMPLEMENTOS!$I$4:$I$803,MOVIMIENTOS_COMPLEMENTOS!$C$4:$C$803,A2574,MOVIMIENTOS_COMPLEMENTOS!$D$4:$D$803,B2574,MOVIMIENTOS_COMPLEMENTOS!$E$4:$E$803,C2574,MOVIMIENTOS_COMPLEMENTOS!$F$4:$F$803,D2574,MOVIMIENTOS_COMPLEMENTOS!$G$4:$G$803,E2574,MOVIMIENTOS_COMPLEMENTOS!$H$4:$H$803,G2574,MOVIMIENTOS_COMPLEMENTOS!$B$4:$B$803,"INGRESO")+SUMIFS(MOVIMIENTOS_COMPLEMENTOS!$I$4:$I$803,MOVIMIENTOS_COMPLEMENTOS!$C$4:$C$803,A2574,MOVIMIENTOS_COMPLEMENTOS!$D$4:$D$803,B2574,MOVIMIENTOS_COMPLEMENTOS!$E$4:$E$803,C2574,MOVIMIENTOS_COMPLEMENTOS!$F$4:$F$803,D2574,MOVIMIENTOS_COMPLEMENTOS!$G$4:$G$803,E2574,MOVIMIENTOS_COMPLEMENTOS!$H$4:$H$803,G2574,MOVIMIENTOS_COMPLEMENTOS!$B$4:$B$803,"DE CORTE")-SUMIFS(MOVIMIENTOS_COMPLEMENTOS!$I$4:$I$803,MOVIMIENTOS_COMPLEMENTOS!$C$4:$C$803,A2574,MOVIMIENTOS_COMPLEMENTOS!$D$4:$D$803,B2574,MOVIMIENTOS_COMPLEMENTOS!$E$4:$E$803,C2574,MOVIMIENTOS_COMPLEMENTOS!$F$4:$F$803,D2574,MOVIMIENTOS_COMPLEMENTOS!$G$4:$G$803,E2574,MOVIMIENTOS_COMPLEMENTOS!$H$4:$H$803,G2574,MOVIMIENTOS_COMPLEMENTOS!$B$4:$B$803,"SALIDA"),0)</f>
        <v>0</v>
      </c>
      <c r="I2574" s="102">
        <f t="array" ref="I2574">IFERROR(INDEX(PRECIOS_COMPLEMENTOS!$C$4:$F$17,MATCH(B2574&amp;"_"&amp;C2574,PRECIOS_COMPLEMENTOS!$H$4:$H$17,0),IF(OR(G2574="S",G2574="20cm"),1,IF(OR(G2574="M",G2574="25cm"),2,IF(OR(G2574="L",G2574="30cm"),3,IF(OR(G2574="XL",G2574="35cm"),4,0))))),0)</f>
        <v>0.6</v>
      </c>
      <c r="J2574" s="103">
        <f t="shared" si="1"/>
        <v>0</v>
      </c>
      <c r="K2574" s="104" t="str">
        <f>IF(H2574&lt;0,"ERROR",IF(H2574=0,"",IF(H2574&lt;CONFIG!$B$4,"CRÍTICO",IF(H2574&lt;CONFIG!$B$5,"BAJO","OK"))))</f>
        <v/>
      </c>
    </row>
    <row r="2575" ht="15.75" hidden="1" customHeight="1">
      <c r="A2575" s="90" t="str">
        <f>IF(CLIENTES!A8="","",CLIENTES!A8)</f>
        <v/>
      </c>
      <c r="B2575" s="90" t="s">
        <v>331</v>
      </c>
      <c r="C2575" s="91" t="s">
        <v>328</v>
      </c>
      <c r="D2575" s="109" t="s">
        <v>364</v>
      </c>
      <c r="E2575" s="67" t="str">
        <f>COLORES!A6</f>
        <v>Blanco</v>
      </c>
      <c r="F2575" s="67" t="str">
        <f>COLORES!B6</f>
        <v>PPT</v>
      </c>
      <c r="G2575" s="90" t="s">
        <v>379</v>
      </c>
      <c r="H2575" s="100">
        <f>IFERROR(SUMIFS(MOVIMIENTOS_COMPLEMENTOS!$I$4:$I$803,MOVIMIENTOS_COMPLEMENTOS!$C$4:$C$803,A2575,MOVIMIENTOS_COMPLEMENTOS!$D$4:$D$803,B2575,MOVIMIENTOS_COMPLEMENTOS!$E$4:$E$803,C2575,MOVIMIENTOS_COMPLEMENTOS!$F$4:$F$803,D2575,MOVIMIENTOS_COMPLEMENTOS!$G$4:$G$803,E2575,MOVIMIENTOS_COMPLEMENTOS!$H$4:$H$803,G2575,MOVIMIENTOS_COMPLEMENTOS!$B$4:$B$803,"INGRESO")+SUMIFS(MOVIMIENTOS_COMPLEMENTOS!$I$4:$I$803,MOVIMIENTOS_COMPLEMENTOS!$C$4:$C$803,A2575,MOVIMIENTOS_COMPLEMENTOS!$D$4:$D$803,B2575,MOVIMIENTOS_COMPLEMENTOS!$E$4:$E$803,C2575,MOVIMIENTOS_COMPLEMENTOS!$F$4:$F$803,D2575,MOVIMIENTOS_COMPLEMENTOS!$G$4:$G$803,E2575,MOVIMIENTOS_COMPLEMENTOS!$H$4:$H$803,G2575,MOVIMIENTOS_COMPLEMENTOS!$B$4:$B$803,"DE CORTE")-SUMIFS(MOVIMIENTOS_COMPLEMENTOS!$I$4:$I$803,MOVIMIENTOS_COMPLEMENTOS!$C$4:$C$803,A2575,MOVIMIENTOS_COMPLEMENTOS!$D$4:$D$803,B2575,MOVIMIENTOS_COMPLEMENTOS!$E$4:$E$803,C2575,MOVIMIENTOS_COMPLEMENTOS!$F$4:$F$803,D2575,MOVIMIENTOS_COMPLEMENTOS!$G$4:$G$803,E2575,MOVIMIENTOS_COMPLEMENTOS!$H$4:$H$803,G2575,MOVIMIENTOS_COMPLEMENTOS!$B$4:$B$803,"SALIDA"),0)</f>
        <v>0</v>
      </c>
      <c r="I2575" s="102">
        <f t="array" ref="I2575">IFERROR(INDEX(PRECIOS_COMPLEMENTOS!$C$4:$F$17,MATCH(B2575&amp;"_"&amp;C2575,PRECIOS_COMPLEMENTOS!$H$4:$H$17,0),IF(OR(G2575="S",G2575="20cm"),1,IF(OR(G2575="M",G2575="25cm"),2,IF(OR(G2575="L",G2575="30cm"),3,IF(OR(G2575="XL",G2575="35cm"),4,0))))),0)</f>
        <v>0.6</v>
      </c>
      <c r="J2575" s="103">
        <f t="shared" si="1"/>
        <v>0</v>
      </c>
      <c r="K2575" s="104" t="str">
        <f>IF(H2575&lt;0,"ERROR",IF(H2575=0,"",IF(H2575&lt;CONFIG!$B$4,"CRÍTICO",IF(H2575&lt;CONFIG!$B$5,"BAJO","OK"))))</f>
        <v/>
      </c>
    </row>
    <row r="2576" ht="15.75" hidden="1" customHeight="1">
      <c r="A2576" s="90" t="str">
        <f>IF(CLIENTES!A8="","",CLIENTES!A8)</f>
        <v/>
      </c>
      <c r="B2576" s="90" t="s">
        <v>331</v>
      </c>
      <c r="C2576" s="91" t="s">
        <v>328</v>
      </c>
      <c r="D2576" s="109" t="s">
        <v>364</v>
      </c>
      <c r="E2576" s="67" t="str">
        <f>COLORES!A7</f>
        <v>Azul</v>
      </c>
      <c r="F2576" s="67" t="str">
        <f>COLORES!B7</f>
        <v>OSCURO</v>
      </c>
      <c r="G2576" s="90" t="s">
        <v>378</v>
      </c>
      <c r="H2576" s="100">
        <f>IFERROR(SUMIFS(MOVIMIENTOS_COMPLEMENTOS!$I$4:$I$803,MOVIMIENTOS_COMPLEMENTOS!$C$4:$C$803,A2576,MOVIMIENTOS_COMPLEMENTOS!$D$4:$D$803,B2576,MOVIMIENTOS_COMPLEMENTOS!$E$4:$E$803,C2576,MOVIMIENTOS_COMPLEMENTOS!$F$4:$F$803,D2576,MOVIMIENTOS_COMPLEMENTOS!$G$4:$G$803,E2576,MOVIMIENTOS_COMPLEMENTOS!$H$4:$H$803,G2576,MOVIMIENTOS_COMPLEMENTOS!$B$4:$B$803,"INGRESO")+SUMIFS(MOVIMIENTOS_COMPLEMENTOS!$I$4:$I$803,MOVIMIENTOS_COMPLEMENTOS!$C$4:$C$803,A2576,MOVIMIENTOS_COMPLEMENTOS!$D$4:$D$803,B2576,MOVIMIENTOS_COMPLEMENTOS!$E$4:$E$803,C2576,MOVIMIENTOS_COMPLEMENTOS!$F$4:$F$803,D2576,MOVIMIENTOS_COMPLEMENTOS!$G$4:$G$803,E2576,MOVIMIENTOS_COMPLEMENTOS!$H$4:$H$803,G2576,MOVIMIENTOS_COMPLEMENTOS!$B$4:$B$803,"DE CORTE")-SUMIFS(MOVIMIENTOS_COMPLEMENTOS!$I$4:$I$803,MOVIMIENTOS_COMPLEMENTOS!$C$4:$C$803,A2576,MOVIMIENTOS_COMPLEMENTOS!$D$4:$D$803,B2576,MOVIMIENTOS_COMPLEMENTOS!$E$4:$E$803,C2576,MOVIMIENTOS_COMPLEMENTOS!$F$4:$F$803,D2576,MOVIMIENTOS_COMPLEMENTOS!$G$4:$G$803,E2576,MOVIMIENTOS_COMPLEMENTOS!$H$4:$H$803,G2576,MOVIMIENTOS_COMPLEMENTOS!$B$4:$B$803,"SALIDA"),0)</f>
        <v>0</v>
      </c>
      <c r="I2576" s="102">
        <f t="array" ref="I2576">IFERROR(INDEX(PRECIOS_COMPLEMENTOS!$C$4:$F$17,MATCH(B2576&amp;"_"&amp;C2576,PRECIOS_COMPLEMENTOS!$H$4:$H$17,0),IF(OR(G2576="S",G2576="20cm"),1,IF(OR(G2576="M",G2576="25cm"),2,IF(OR(G2576="L",G2576="30cm"),3,IF(OR(G2576="XL",G2576="35cm"),4,0))))),0)</f>
        <v>0.6</v>
      </c>
      <c r="J2576" s="103">
        <f t="shared" si="1"/>
        <v>0</v>
      </c>
      <c r="K2576" s="104" t="str">
        <f>IF(H2576&lt;0,"ERROR",IF(H2576=0,"",IF(H2576&lt;CONFIG!$B$4,"CRÍTICO",IF(H2576&lt;CONFIG!$B$5,"BAJO","OK"))))</f>
        <v/>
      </c>
    </row>
    <row r="2577" ht="15.75" hidden="1" customHeight="1">
      <c r="A2577" s="90" t="str">
        <f>IF(CLIENTES!A8="","",CLIENTES!A8)</f>
        <v/>
      </c>
      <c r="B2577" s="90" t="s">
        <v>331</v>
      </c>
      <c r="C2577" s="91" t="s">
        <v>328</v>
      </c>
      <c r="D2577" s="109" t="s">
        <v>364</v>
      </c>
      <c r="E2577" s="67" t="str">
        <f>COLORES!A7</f>
        <v>Azul</v>
      </c>
      <c r="F2577" s="67" t="str">
        <f>COLORES!B7</f>
        <v>OSCURO</v>
      </c>
      <c r="G2577" s="90" t="s">
        <v>376</v>
      </c>
      <c r="H2577" s="100">
        <f>IFERROR(SUMIFS(MOVIMIENTOS_COMPLEMENTOS!$I$4:$I$803,MOVIMIENTOS_COMPLEMENTOS!$C$4:$C$803,A2577,MOVIMIENTOS_COMPLEMENTOS!$D$4:$D$803,B2577,MOVIMIENTOS_COMPLEMENTOS!$E$4:$E$803,C2577,MOVIMIENTOS_COMPLEMENTOS!$F$4:$F$803,D2577,MOVIMIENTOS_COMPLEMENTOS!$G$4:$G$803,E2577,MOVIMIENTOS_COMPLEMENTOS!$H$4:$H$803,G2577,MOVIMIENTOS_COMPLEMENTOS!$B$4:$B$803,"INGRESO")+SUMIFS(MOVIMIENTOS_COMPLEMENTOS!$I$4:$I$803,MOVIMIENTOS_COMPLEMENTOS!$C$4:$C$803,A2577,MOVIMIENTOS_COMPLEMENTOS!$D$4:$D$803,B2577,MOVIMIENTOS_COMPLEMENTOS!$E$4:$E$803,C2577,MOVIMIENTOS_COMPLEMENTOS!$F$4:$F$803,D2577,MOVIMIENTOS_COMPLEMENTOS!$G$4:$G$803,E2577,MOVIMIENTOS_COMPLEMENTOS!$H$4:$H$803,G2577,MOVIMIENTOS_COMPLEMENTOS!$B$4:$B$803,"DE CORTE")-SUMIFS(MOVIMIENTOS_COMPLEMENTOS!$I$4:$I$803,MOVIMIENTOS_COMPLEMENTOS!$C$4:$C$803,A2577,MOVIMIENTOS_COMPLEMENTOS!$D$4:$D$803,B2577,MOVIMIENTOS_COMPLEMENTOS!$E$4:$E$803,C2577,MOVIMIENTOS_COMPLEMENTOS!$F$4:$F$803,D2577,MOVIMIENTOS_COMPLEMENTOS!$G$4:$G$803,E2577,MOVIMIENTOS_COMPLEMENTOS!$H$4:$H$803,G2577,MOVIMIENTOS_COMPLEMENTOS!$B$4:$B$803,"SALIDA"),0)</f>
        <v>0</v>
      </c>
      <c r="I2577" s="102">
        <f t="array" ref="I2577">IFERROR(INDEX(PRECIOS_COMPLEMENTOS!$C$4:$F$17,MATCH(B2577&amp;"_"&amp;C2577,PRECIOS_COMPLEMENTOS!$H$4:$H$17,0),IF(OR(G2577="S",G2577="20cm"),1,IF(OR(G2577="M",G2577="25cm"),2,IF(OR(G2577="L",G2577="30cm"),3,IF(OR(G2577="XL",G2577="35cm"),4,0))))),0)</f>
        <v>0.6</v>
      </c>
      <c r="J2577" s="103">
        <f t="shared" si="1"/>
        <v>0</v>
      </c>
      <c r="K2577" s="104" t="str">
        <f>IF(H2577&lt;0,"ERROR",IF(H2577=0,"",IF(H2577&lt;CONFIG!$B$4,"CRÍTICO",IF(H2577&lt;CONFIG!$B$5,"BAJO","OK"))))</f>
        <v/>
      </c>
    </row>
    <row r="2578" ht="15.75" hidden="1" customHeight="1">
      <c r="A2578" s="90" t="str">
        <f>IF(CLIENTES!A8="","",CLIENTES!A8)</f>
        <v/>
      </c>
      <c r="B2578" s="90" t="s">
        <v>331</v>
      </c>
      <c r="C2578" s="91" t="s">
        <v>328</v>
      </c>
      <c r="D2578" s="109" t="s">
        <v>364</v>
      </c>
      <c r="E2578" s="67" t="str">
        <f>COLORES!A7</f>
        <v>Azul</v>
      </c>
      <c r="F2578" s="67" t="str">
        <f>COLORES!B7</f>
        <v>OSCURO</v>
      </c>
      <c r="G2578" s="90" t="s">
        <v>377</v>
      </c>
      <c r="H2578" s="100">
        <f>IFERROR(SUMIFS(MOVIMIENTOS_COMPLEMENTOS!$I$4:$I$803,MOVIMIENTOS_COMPLEMENTOS!$C$4:$C$803,A2578,MOVIMIENTOS_COMPLEMENTOS!$D$4:$D$803,B2578,MOVIMIENTOS_COMPLEMENTOS!$E$4:$E$803,C2578,MOVIMIENTOS_COMPLEMENTOS!$F$4:$F$803,D2578,MOVIMIENTOS_COMPLEMENTOS!$G$4:$G$803,E2578,MOVIMIENTOS_COMPLEMENTOS!$H$4:$H$803,G2578,MOVIMIENTOS_COMPLEMENTOS!$B$4:$B$803,"INGRESO")+SUMIFS(MOVIMIENTOS_COMPLEMENTOS!$I$4:$I$803,MOVIMIENTOS_COMPLEMENTOS!$C$4:$C$803,A2578,MOVIMIENTOS_COMPLEMENTOS!$D$4:$D$803,B2578,MOVIMIENTOS_COMPLEMENTOS!$E$4:$E$803,C2578,MOVIMIENTOS_COMPLEMENTOS!$F$4:$F$803,D2578,MOVIMIENTOS_COMPLEMENTOS!$G$4:$G$803,E2578,MOVIMIENTOS_COMPLEMENTOS!$H$4:$H$803,G2578,MOVIMIENTOS_COMPLEMENTOS!$B$4:$B$803,"DE CORTE")-SUMIFS(MOVIMIENTOS_COMPLEMENTOS!$I$4:$I$803,MOVIMIENTOS_COMPLEMENTOS!$C$4:$C$803,A2578,MOVIMIENTOS_COMPLEMENTOS!$D$4:$D$803,B2578,MOVIMIENTOS_COMPLEMENTOS!$E$4:$E$803,C2578,MOVIMIENTOS_COMPLEMENTOS!$F$4:$F$803,D2578,MOVIMIENTOS_COMPLEMENTOS!$G$4:$G$803,E2578,MOVIMIENTOS_COMPLEMENTOS!$H$4:$H$803,G2578,MOVIMIENTOS_COMPLEMENTOS!$B$4:$B$803,"SALIDA"),0)</f>
        <v>0</v>
      </c>
      <c r="I2578" s="102">
        <f t="array" ref="I2578">IFERROR(INDEX(PRECIOS_COMPLEMENTOS!$C$4:$F$17,MATCH(B2578&amp;"_"&amp;C2578,PRECIOS_COMPLEMENTOS!$H$4:$H$17,0),IF(OR(G2578="S",G2578="20cm"),1,IF(OR(G2578="M",G2578="25cm"),2,IF(OR(G2578="L",G2578="30cm"),3,IF(OR(G2578="XL",G2578="35cm"),4,0))))),0)</f>
        <v>0.6</v>
      </c>
      <c r="J2578" s="103">
        <f t="shared" si="1"/>
        <v>0</v>
      </c>
      <c r="K2578" s="104" t="str">
        <f>IF(H2578&lt;0,"ERROR",IF(H2578=0,"",IF(H2578&lt;CONFIG!$B$4,"CRÍTICO",IF(H2578&lt;CONFIG!$B$5,"BAJO","OK"))))</f>
        <v/>
      </c>
    </row>
    <row r="2579" ht="15.75" hidden="1" customHeight="1">
      <c r="A2579" s="90" t="str">
        <f>IF(CLIENTES!A8="","",CLIENTES!A8)</f>
        <v/>
      </c>
      <c r="B2579" s="90" t="s">
        <v>331</v>
      </c>
      <c r="C2579" s="91" t="s">
        <v>328</v>
      </c>
      <c r="D2579" s="109" t="s">
        <v>364</v>
      </c>
      <c r="E2579" s="67" t="str">
        <f>COLORES!A7</f>
        <v>Azul</v>
      </c>
      <c r="F2579" s="67" t="str">
        <f>COLORES!B7</f>
        <v>OSCURO</v>
      </c>
      <c r="G2579" s="90" t="s">
        <v>379</v>
      </c>
      <c r="H2579" s="100">
        <f>IFERROR(SUMIFS(MOVIMIENTOS_COMPLEMENTOS!$I$4:$I$803,MOVIMIENTOS_COMPLEMENTOS!$C$4:$C$803,A2579,MOVIMIENTOS_COMPLEMENTOS!$D$4:$D$803,B2579,MOVIMIENTOS_COMPLEMENTOS!$E$4:$E$803,C2579,MOVIMIENTOS_COMPLEMENTOS!$F$4:$F$803,D2579,MOVIMIENTOS_COMPLEMENTOS!$G$4:$G$803,E2579,MOVIMIENTOS_COMPLEMENTOS!$H$4:$H$803,G2579,MOVIMIENTOS_COMPLEMENTOS!$B$4:$B$803,"INGRESO")+SUMIFS(MOVIMIENTOS_COMPLEMENTOS!$I$4:$I$803,MOVIMIENTOS_COMPLEMENTOS!$C$4:$C$803,A2579,MOVIMIENTOS_COMPLEMENTOS!$D$4:$D$803,B2579,MOVIMIENTOS_COMPLEMENTOS!$E$4:$E$803,C2579,MOVIMIENTOS_COMPLEMENTOS!$F$4:$F$803,D2579,MOVIMIENTOS_COMPLEMENTOS!$G$4:$G$803,E2579,MOVIMIENTOS_COMPLEMENTOS!$H$4:$H$803,G2579,MOVIMIENTOS_COMPLEMENTOS!$B$4:$B$803,"DE CORTE")-SUMIFS(MOVIMIENTOS_COMPLEMENTOS!$I$4:$I$803,MOVIMIENTOS_COMPLEMENTOS!$C$4:$C$803,A2579,MOVIMIENTOS_COMPLEMENTOS!$D$4:$D$803,B2579,MOVIMIENTOS_COMPLEMENTOS!$E$4:$E$803,C2579,MOVIMIENTOS_COMPLEMENTOS!$F$4:$F$803,D2579,MOVIMIENTOS_COMPLEMENTOS!$G$4:$G$803,E2579,MOVIMIENTOS_COMPLEMENTOS!$H$4:$H$803,G2579,MOVIMIENTOS_COMPLEMENTOS!$B$4:$B$803,"SALIDA"),0)</f>
        <v>0</v>
      </c>
      <c r="I2579" s="102">
        <f t="array" ref="I2579">IFERROR(INDEX(PRECIOS_COMPLEMENTOS!$C$4:$F$17,MATCH(B2579&amp;"_"&amp;C2579,PRECIOS_COMPLEMENTOS!$H$4:$H$17,0),IF(OR(G2579="S",G2579="20cm"),1,IF(OR(G2579="M",G2579="25cm"),2,IF(OR(G2579="L",G2579="30cm"),3,IF(OR(G2579="XL",G2579="35cm"),4,0))))),0)</f>
        <v>0.6</v>
      </c>
      <c r="J2579" s="103">
        <f t="shared" si="1"/>
        <v>0</v>
      </c>
      <c r="K2579" s="104" t="str">
        <f>IF(H2579&lt;0,"ERROR",IF(H2579=0,"",IF(H2579&lt;CONFIG!$B$4,"CRÍTICO",IF(H2579&lt;CONFIG!$B$5,"BAJO","OK"))))</f>
        <v/>
      </c>
    </row>
    <row r="2580" ht="15.75" hidden="1" customHeight="1">
      <c r="A2580" s="90" t="str">
        <f>IF(CLIENTES!A8="","",CLIENTES!A8)</f>
        <v/>
      </c>
      <c r="B2580" s="90" t="s">
        <v>331</v>
      </c>
      <c r="C2580" s="91" t="s">
        <v>328</v>
      </c>
      <c r="D2580" s="109" t="s">
        <v>364</v>
      </c>
      <c r="E2580" s="67" t="str">
        <f>COLORES!A8</f>
        <v>Beige</v>
      </c>
      <c r="F2580" s="67" t="str">
        <f>COLORES!B8</f>
        <v>CLARO</v>
      </c>
      <c r="G2580" s="90" t="s">
        <v>378</v>
      </c>
      <c r="H2580" s="100">
        <f>IFERROR(SUMIFS(MOVIMIENTOS_COMPLEMENTOS!$I$4:$I$803,MOVIMIENTOS_COMPLEMENTOS!$C$4:$C$803,A2580,MOVIMIENTOS_COMPLEMENTOS!$D$4:$D$803,B2580,MOVIMIENTOS_COMPLEMENTOS!$E$4:$E$803,C2580,MOVIMIENTOS_COMPLEMENTOS!$F$4:$F$803,D2580,MOVIMIENTOS_COMPLEMENTOS!$G$4:$G$803,E2580,MOVIMIENTOS_COMPLEMENTOS!$H$4:$H$803,G2580,MOVIMIENTOS_COMPLEMENTOS!$B$4:$B$803,"INGRESO")+SUMIFS(MOVIMIENTOS_COMPLEMENTOS!$I$4:$I$803,MOVIMIENTOS_COMPLEMENTOS!$C$4:$C$803,A2580,MOVIMIENTOS_COMPLEMENTOS!$D$4:$D$803,B2580,MOVIMIENTOS_COMPLEMENTOS!$E$4:$E$803,C2580,MOVIMIENTOS_COMPLEMENTOS!$F$4:$F$803,D2580,MOVIMIENTOS_COMPLEMENTOS!$G$4:$G$803,E2580,MOVIMIENTOS_COMPLEMENTOS!$H$4:$H$803,G2580,MOVIMIENTOS_COMPLEMENTOS!$B$4:$B$803,"DE CORTE")-SUMIFS(MOVIMIENTOS_COMPLEMENTOS!$I$4:$I$803,MOVIMIENTOS_COMPLEMENTOS!$C$4:$C$803,A2580,MOVIMIENTOS_COMPLEMENTOS!$D$4:$D$803,B2580,MOVIMIENTOS_COMPLEMENTOS!$E$4:$E$803,C2580,MOVIMIENTOS_COMPLEMENTOS!$F$4:$F$803,D2580,MOVIMIENTOS_COMPLEMENTOS!$G$4:$G$803,E2580,MOVIMIENTOS_COMPLEMENTOS!$H$4:$H$803,G2580,MOVIMIENTOS_COMPLEMENTOS!$B$4:$B$803,"SALIDA"),0)</f>
        <v>0</v>
      </c>
      <c r="I2580" s="102">
        <f t="array" ref="I2580">IFERROR(INDEX(PRECIOS_COMPLEMENTOS!$C$4:$F$17,MATCH(B2580&amp;"_"&amp;C2580,PRECIOS_COMPLEMENTOS!$H$4:$H$17,0),IF(OR(G2580="S",G2580="20cm"),1,IF(OR(G2580="M",G2580="25cm"),2,IF(OR(G2580="L",G2580="30cm"),3,IF(OR(G2580="XL",G2580="35cm"),4,0))))),0)</f>
        <v>0.6</v>
      </c>
      <c r="J2580" s="103">
        <f t="shared" si="1"/>
        <v>0</v>
      </c>
      <c r="K2580" s="104" t="str">
        <f>IF(H2580&lt;0,"ERROR",IF(H2580=0,"",IF(H2580&lt;CONFIG!$B$4,"CRÍTICO",IF(H2580&lt;CONFIG!$B$5,"BAJO","OK"))))</f>
        <v/>
      </c>
    </row>
    <row r="2581" ht="15.75" hidden="1" customHeight="1">
      <c r="A2581" s="90" t="str">
        <f>IF(CLIENTES!A8="","",CLIENTES!A8)</f>
        <v/>
      </c>
      <c r="B2581" s="90" t="s">
        <v>331</v>
      </c>
      <c r="C2581" s="91" t="s">
        <v>328</v>
      </c>
      <c r="D2581" s="109" t="s">
        <v>364</v>
      </c>
      <c r="E2581" s="67" t="str">
        <f>COLORES!A8</f>
        <v>Beige</v>
      </c>
      <c r="F2581" s="67" t="str">
        <f>COLORES!B8</f>
        <v>CLARO</v>
      </c>
      <c r="G2581" s="90" t="s">
        <v>376</v>
      </c>
      <c r="H2581" s="100">
        <f>IFERROR(SUMIFS(MOVIMIENTOS_COMPLEMENTOS!$I$4:$I$803,MOVIMIENTOS_COMPLEMENTOS!$C$4:$C$803,A2581,MOVIMIENTOS_COMPLEMENTOS!$D$4:$D$803,B2581,MOVIMIENTOS_COMPLEMENTOS!$E$4:$E$803,C2581,MOVIMIENTOS_COMPLEMENTOS!$F$4:$F$803,D2581,MOVIMIENTOS_COMPLEMENTOS!$G$4:$G$803,E2581,MOVIMIENTOS_COMPLEMENTOS!$H$4:$H$803,G2581,MOVIMIENTOS_COMPLEMENTOS!$B$4:$B$803,"INGRESO")+SUMIFS(MOVIMIENTOS_COMPLEMENTOS!$I$4:$I$803,MOVIMIENTOS_COMPLEMENTOS!$C$4:$C$803,A2581,MOVIMIENTOS_COMPLEMENTOS!$D$4:$D$803,B2581,MOVIMIENTOS_COMPLEMENTOS!$E$4:$E$803,C2581,MOVIMIENTOS_COMPLEMENTOS!$F$4:$F$803,D2581,MOVIMIENTOS_COMPLEMENTOS!$G$4:$G$803,E2581,MOVIMIENTOS_COMPLEMENTOS!$H$4:$H$803,G2581,MOVIMIENTOS_COMPLEMENTOS!$B$4:$B$803,"DE CORTE")-SUMIFS(MOVIMIENTOS_COMPLEMENTOS!$I$4:$I$803,MOVIMIENTOS_COMPLEMENTOS!$C$4:$C$803,A2581,MOVIMIENTOS_COMPLEMENTOS!$D$4:$D$803,B2581,MOVIMIENTOS_COMPLEMENTOS!$E$4:$E$803,C2581,MOVIMIENTOS_COMPLEMENTOS!$F$4:$F$803,D2581,MOVIMIENTOS_COMPLEMENTOS!$G$4:$G$803,E2581,MOVIMIENTOS_COMPLEMENTOS!$H$4:$H$803,G2581,MOVIMIENTOS_COMPLEMENTOS!$B$4:$B$803,"SALIDA"),0)</f>
        <v>0</v>
      </c>
      <c r="I2581" s="102">
        <f t="array" ref="I2581">IFERROR(INDEX(PRECIOS_COMPLEMENTOS!$C$4:$F$17,MATCH(B2581&amp;"_"&amp;C2581,PRECIOS_COMPLEMENTOS!$H$4:$H$17,0),IF(OR(G2581="S",G2581="20cm"),1,IF(OR(G2581="M",G2581="25cm"),2,IF(OR(G2581="L",G2581="30cm"),3,IF(OR(G2581="XL",G2581="35cm"),4,0))))),0)</f>
        <v>0.6</v>
      </c>
      <c r="J2581" s="103">
        <f t="shared" si="1"/>
        <v>0</v>
      </c>
      <c r="K2581" s="104" t="str">
        <f>IF(H2581&lt;0,"ERROR",IF(H2581=0,"",IF(H2581&lt;CONFIG!$B$4,"CRÍTICO",IF(H2581&lt;CONFIG!$B$5,"BAJO","OK"))))</f>
        <v/>
      </c>
    </row>
    <row r="2582" ht="15.75" hidden="1" customHeight="1">
      <c r="A2582" s="90" t="str">
        <f>IF(CLIENTES!A8="","",CLIENTES!A8)</f>
        <v/>
      </c>
      <c r="B2582" s="90" t="s">
        <v>331</v>
      </c>
      <c r="C2582" s="91" t="s">
        <v>328</v>
      </c>
      <c r="D2582" s="109" t="s">
        <v>364</v>
      </c>
      <c r="E2582" s="67" t="str">
        <f>COLORES!A8</f>
        <v>Beige</v>
      </c>
      <c r="F2582" s="67" t="str">
        <f>COLORES!B8</f>
        <v>CLARO</v>
      </c>
      <c r="G2582" s="90" t="s">
        <v>377</v>
      </c>
      <c r="H2582" s="100">
        <f>IFERROR(SUMIFS(MOVIMIENTOS_COMPLEMENTOS!$I$4:$I$803,MOVIMIENTOS_COMPLEMENTOS!$C$4:$C$803,A2582,MOVIMIENTOS_COMPLEMENTOS!$D$4:$D$803,B2582,MOVIMIENTOS_COMPLEMENTOS!$E$4:$E$803,C2582,MOVIMIENTOS_COMPLEMENTOS!$F$4:$F$803,D2582,MOVIMIENTOS_COMPLEMENTOS!$G$4:$G$803,E2582,MOVIMIENTOS_COMPLEMENTOS!$H$4:$H$803,G2582,MOVIMIENTOS_COMPLEMENTOS!$B$4:$B$803,"INGRESO")+SUMIFS(MOVIMIENTOS_COMPLEMENTOS!$I$4:$I$803,MOVIMIENTOS_COMPLEMENTOS!$C$4:$C$803,A2582,MOVIMIENTOS_COMPLEMENTOS!$D$4:$D$803,B2582,MOVIMIENTOS_COMPLEMENTOS!$E$4:$E$803,C2582,MOVIMIENTOS_COMPLEMENTOS!$F$4:$F$803,D2582,MOVIMIENTOS_COMPLEMENTOS!$G$4:$G$803,E2582,MOVIMIENTOS_COMPLEMENTOS!$H$4:$H$803,G2582,MOVIMIENTOS_COMPLEMENTOS!$B$4:$B$803,"DE CORTE")-SUMIFS(MOVIMIENTOS_COMPLEMENTOS!$I$4:$I$803,MOVIMIENTOS_COMPLEMENTOS!$C$4:$C$803,A2582,MOVIMIENTOS_COMPLEMENTOS!$D$4:$D$803,B2582,MOVIMIENTOS_COMPLEMENTOS!$E$4:$E$803,C2582,MOVIMIENTOS_COMPLEMENTOS!$F$4:$F$803,D2582,MOVIMIENTOS_COMPLEMENTOS!$G$4:$G$803,E2582,MOVIMIENTOS_COMPLEMENTOS!$H$4:$H$803,G2582,MOVIMIENTOS_COMPLEMENTOS!$B$4:$B$803,"SALIDA"),0)</f>
        <v>0</v>
      </c>
      <c r="I2582" s="102">
        <f t="array" ref="I2582">IFERROR(INDEX(PRECIOS_COMPLEMENTOS!$C$4:$F$17,MATCH(B2582&amp;"_"&amp;C2582,PRECIOS_COMPLEMENTOS!$H$4:$H$17,0),IF(OR(G2582="S",G2582="20cm"),1,IF(OR(G2582="M",G2582="25cm"),2,IF(OR(G2582="L",G2582="30cm"),3,IF(OR(G2582="XL",G2582="35cm"),4,0))))),0)</f>
        <v>0.6</v>
      </c>
      <c r="J2582" s="103">
        <f t="shared" si="1"/>
        <v>0</v>
      </c>
      <c r="K2582" s="104" t="str">
        <f>IF(H2582&lt;0,"ERROR",IF(H2582=0,"",IF(H2582&lt;CONFIG!$B$4,"CRÍTICO",IF(H2582&lt;CONFIG!$B$5,"BAJO","OK"))))</f>
        <v/>
      </c>
    </row>
    <row r="2583" ht="15.75" hidden="1" customHeight="1">
      <c r="A2583" s="90" t="str">
        <f>IF(CLIENTES!A8="","",CLIENTES!A8)</f>
        <v/>
      </c>
      <c r="B2583" s="90" t="s">
        <v>331</v>
      </c>
      <c r="C2583" s="91" t="s">
        <v>328</v>
      </c>
      <c r="D2583" s="109" t="s">
        <v>364</v>
      </c>
      <c r="E2583" s="67" t="str">
        <f>COLORES!A8</f>
        <v>Beige</v>
      </c>
      <c r="F2583" s="67" t="str">
        <f>COLORES!B8</f>
        <v>CLARO</v>
      </c>
      <c r="G2583" s="90" t="s">
        <v>379</v>
      </c>
      <c r="H2583" s="100">
        <f>IFERROR(SUMIFS(MOVIMIENTOS_COMPLEMENTOS!$I$4:$I$803,MOVIMIENTOS_COMPLEMENTOS!$C$4:$C$803,A2583,MOVIMIENTOS_COMPLEMENTOS!$D$4:$D$803,B2583,MOVIMIENTOS_COMPLEMENTOS!$E$4:$E$803,C2583,MOVIMIENTOS_COMPLEMENTOS!$F$4:$F$803,D2583,MOVIMIENTOS_COMPLEMENTOS!$G$4:$G$803,E2583,MOVIMIENTOS_COMPLEMENTOS!$H$4:$H$803,G2583,MOVIMIENTOS_COMPLEMENTOS!$B$4:$B$803,"INGRESO")+SUMIFS(MOVIMIENTOS_COMPLEMENTOS!$I$4:$I$803,MOVIMIENTOS_COMPLEMENTOS!$C$4:$C$803,A2583,MOVIMIENTOS_COMPLEMENTOS!$D$4:$D$803,B2583,MOVIMIENTOS_COMPLEMENTOS!$E$4:$E$803,C2583,MOVIMIENTOS_COMPLEMENTOS!$F$4:$F$803,D2583,MOVIMIENTOS_COMPLEMENTOS!$G$4:$G$803,E2583,MOVIMIENTOS_COMPLEMENTOS!$H$4:$H$803,G2583,MOVIMIENTOS_COMPLEMENTOS!$B$4:$B$803,"DE CORTE")-SUMIFS(MOVIMIENTOS_COMPLEMENTOS!$I$4:$I$803,MOVIMIENTOS_COMPLEMENTOS!$C$4:$C$803,A2583,MOVIMIENTOS_COMPLEMENTOS!$D$4:$D$803,B2583,MOVIMIENTOS_COMPLEMENTOS!$E$4:$E$803,C2583,MOVIMIENTOS_COMPLEMENTOS!$F$4:$F$803,D2583,MOVIMIENTOS_COMPLEMENTOS!$G$4:$G$803,E2583,MOVIMIENTOS_COMPLEMENTOS!$H$4:$H$803,G2583,MOVIMIENTOS_COMPLEMENTOS!$B$4:$B$803,"SALIDA"),0)</f>
        <v>0</v>
      </c>
      <c r="I2583" s="102">
        <f t="array" ref="I2583">IFERROR(INDEX(PRECIOS_COMPLEMENTOS!$C$4:$F$17,MATCH(B2583&amp;"_"&amp;C2583,PRECIOS_COMPLEMENTOS!$H$4:$H$17,0),IF(OR(G2583="S",G2583="20cm"),1,IF(OR(G2583="M",G2583="25cm"),2,IF(OR(G2583="L",G2583="30cm"),3,IF(OR(G2583="XL",G2583="35cm"),4,0))))),0)</f>
        <v>0.6</v>
      </c>
      <c r="J2583" s="103">
        <f t="shared" si="1"/>
        <v>0</v>
      </c>
      <c r="K2583" s="104" t="str">
        <f>IF(H2583&lt;0,"ERROR",IF(H2583=0,"",IF(H2583&lt;CONFIG!$B$4,"CRÍTICO",IF(H2583&lt;CONFIG!$B$5,"BAJO","OK"))))</f>
        <v/>
      </c>
    </row>
    <row r="2584" ht="15.75" hidden="1" customHeight="1">
      <c r="A2584" s="90" t="str">
        <f>IF(CLIENTES!A8="","",CLIENTES!A8)</f>
        <v/>
      </c>
      <c r="B2584" s="90" t="s">
        <v>331</v>
      </c>
      <c r="C2584" s="91" t="s">
        <v>328</v>
      </c>
      <c r="D2584" s="109" t="s">
        <v>364</v>
      </c>
      <c r="E2584" s="67" t="str">
        <f>COLORES!A9</f>
        <v>Melange</v>
      </c>
      <c r="F2584" s="67" t="str">
        <f>COLORES!B9</f>
        <v>MELANGE</v>
      </c>
      <c r="G2584" s="90" t="s">
        <v>378</v>
      </c>
      <c r="H2584" s="100">
        <f>IFERROR(SUMIFS(MOVIMIENTOS_COMPLEMENTOS!$I$4:$I$803,MOVIMIENTOS_COMPLEMENTOS!$C$4:$C$803,A2584,MOVIMIENTOS_COMPLEMENTOS!$D$4:$D$803,B2584,MOVIMIENTOS_COMPLEMENTOS!$E$4:$E$803,C2584,MOVIMIENTOS_COMPLEMENTOS!$F$4:$F$803,D2584,MOVIMIENTOS_COMPLEMENTOS!$G$4:$G$803,E2584,MOVIMIENTOS_COMPLEMENTOS!$H$4:$H$803,G2584,MOVIMIENTOS_COMPLEMENTOS!$B$4:$B$803,"INGRESO")+SUMIFS(MOVIMIENTOS_COMPLEMENTOS!$I$4:$I$803,MOVIMIENTOS_COMPLEMENTOS!$C$4:$C$803,A2584,MOVIMIENTOS_COMPLEMENTOS!$D$4:$D$803,B2584,MOVIMIENTOS_COMPLEMENTOS!$E$4:$E$803,C2584,MOVIMIENTOS_COMPLEMENTOS!$F$4:$F$803,D2584,MOVIMIENTOS_COMPLEMENTOS!$G$4:$G$803,E2584,MOVIMIENTOS_COMPLEMENTOS!$H$4:$H$803,G2584,MOVIMIENTOS_COMPLEMENTOS!$B$4:$B$803,"DE CORTE")-SUMIFS(MOVIMIENTOS_COMPLEMENTOS!$I$4:$I$803,MOVIMIENTOS_COMPLEMENTOS!$C$4:$C$803,A2584,MOVIMIENTOS_COMPLEMENTOS!$D$4:$D$803,B2584,MOVIMIENTOS_COMPLEMENTOS!$E$4:$E$803,C2584,MOVIMIENTOS_COMPLEMENTOS!$F$4:$F$803,D2584,MOVIMIENTOS_COMPLEMENTOS!$G$4:$G$803,E2584,MOVIMIENTOS_COMPLEMENTOS!$H$4:$H$803,G2584,MOVIMIENTOS_COMPLEMENTOS!$B$4:$B$803,"SALIDA"),0)</f>
        <v>0</v>
      </c>
      <c r="I2584" s="102">
        <f t="array" ref="I2584">IFERROR(INDEX(PRECIOS_COMPLEMENTOS!$C$4:$F$17,MATCH(B2584&amp;"_"&amp;C2584,PRECIOS_COMPLEMENTOS!$H$4:$H$17,0),IF(OR(G2584="S",G2584="20cm"),1,IF(OR(G2584="M",G2584="25cm"),2,IF(OR(G2584="L",G2584="30cm"),3,IF(OR(G2584="XL",G2584="35cm"),4,0))))),0)</f>
        <v>0.6</v>
      </c>
      <c r="J2584" s="103">
        <f t="shared" si="1"/>
        <v>0</v>
      </c>
      <c r="K2584" s="104" t="str">
        <f>IF(H2584&lt;0,"ERROR",IF(H2584=0,"",IF(H2584&lt;CONFIG!$B$4,"CRÍTICO",IF(H2584&lt;CONFIG!$B$5,"BAJO","OK"))))</f>
        <v/>
      </c>
    </row>
    <row r="2585" ht="15.75" hidden="1" customHeight="1">
      <c r="A2585" s="90" t="str">
        <f>IF(CLIENTES!A8="","",CLIENTES!A8)</f>
        <v/>
      </c>
      <c r="B2585" s="90" t="s">
        <v>331</v>
      </c>
      <c r="C2585" s="91" t="s">
        <v>328</v>
      </c>
      <c r="D2585" s="109" t="s">
        <v>364</v>
      </c>
      <c r="E2585" s="67" t="str">
        <f>COLORES!A9</f>
        <v>Melange</v>
      </c>
      <c r="F2585" s="67" t="str">
        <f>COLORES!B9</f>
        <v>MELANGE</v>
      </c>
      <c r="G2585" s="90" t="s">
        <v>376</v>
      </c>
      <c r="H2585" s="100">
        <f>IFERROR(SUMIFS(MOVIMIENTOS_COMPLEMENTOS!$I$4:$I$803,MOVIMIENTOS_COMPLEMENTOS!$C$4:$C$803,A2585,MOVIMIENTOS_COMPLEMENTOS!$D$4:$D$803,B2585,MOVIMIENTOS_COMPLEMENTOS!$E$4:$E$803,C2585,MOVIMIENTOS_COMPLEMENTOS!$F$4:$F$803,D2585,MOVIMIENTOS_COMPLEMENTOS!$G$4:$G$803,E2585,MOVIMIENTOS_COMPLEMENTOS!$H$4:$H$803,G2585,MOVIMIENTOS_COMPLEMENTOS!$B$4:$B$803,"INGRESO")+SUMIFS(MOVIMIENTOS_COMPLEMENTOS!$I$4:$I$803,MOVIMIENTOS_COMPLEMENTOS!$C$4:$C$803,A2585,MOVIMIENTOS_COMPLEMENTOS!$D$4:$D$803,B2585,MOVIMIENTOS_COMPLEMENTOS!$E$4:$E$803,C2585,MOVIMIENTOS_COMPLEMENTOS!$F$4:$F$803,D2585,MOVIMIENTOS_COMPLEMENTOS!$G$4:$G$803,E2585,MOVIMIENTOS_COMPLEMENTOS!$H$4:$H$803,G2585,MOVIMIENTOS_COMPLEMENTOS!$B$4:$B$803,"DE CORTE")-SUMIFS(MOVIMIENTOS_COMPLEMENTOS!$I$4:$I$803,MOVIMIENTOS_COMPLEMENTOS!$C$4:$C$803,A2585,MOVIMIENTOS_COMPLEMENTOS!$D$4:$D$803,B2585,MOVIMIENTOS_COMPLEMENTOS!$E$4:$E$803,C2585,MOVIMIENTOS_COMPLEMENTOS!$F$4:$F$803,D2585,MOVIMIENTOS_COMPLEMENTOS!$G$4:$G$803,E2585,MOVIMIENTOS_COMPLEMENTOS!$H$4:$H$803,G2585,MOVIMIENTOS_COMPLEMENTOS!$B$4:$B$803,"SALIDA"),0)</f>
        <v>0</v>
      </c>
      <c r="I2585" s="102">
        <f t="array" ref="I2585">IFERROR(INDEX(PRECIOS_COMPLEMENTOS!$C$4:$F$17,MATCH(B2585&amp;"_"&amp;C2585,PRECIOS_COMPLEMENTOS!$H$4:$H$17,0),IF(OR(G2585="S",G2585="20cm"),1,IF(OR(G2585="M",G2585="25cm"),2,IF(OR(G2585="L",G2585="30cm"),3,IF(OR(G2585="XL",G2585="35cm"),4,0))))),0)</f>
        <v>0.6</v>
      </c>
      <c r="J2585" s="103">
        <f t="shared" si="1"/>
        <v>0</v>
      </c>
      <c r="K2585" s="104" t="str">
        <f>IF(H2585&lt;0,"ERROR",IF(H2585=0,"",IF(H2585&lt;CONFIG!$B$4,"CRÍTICO",IF(H2585&lt;CONFIG!$B$5,"BAJO","OK"))))</f>
        <v/>
      </c>
    </row>
    <row r="2586" ht="15.75" hidden="1" customHeight="1">
      <c r="A2586" s="90" t="str">
        <f>IF(CLIENTES!A8="","",CLIENTES!A8)</f>
        <v/>
      </c>
      <c r="B2586" s="90" t="s">
        <v>331</v>
      </c>
      <c r="C2586" s="91" t="s">
        <v>328</v>
      </c>
      <c r="D2586" s="109" t="s">
        <v>364</v>
      </c>
      <c r="E2586" s="67" t="str">
        <f>COLORES!A9</f>
        <v>Melange</v>
      </c>
      <c r="F2586" s="67" t="str">
        <f>COLORES!B9</f>
        <v>MELANGE</v>
      </c>
      <c r="G2586" s="90" t="s">
        <v>377</v>
      </c>
      <c r="H2586" s="100">
        <f>IFERROR(SUMIFS(MOVIMIENTOS_COMPLEMENTOS!$I$4:$I$803,MOVIMIENTOS_COMPLEMENTOS!$C$4:$C$803,A2586,MOVIMIENTOS_COMPLEMENTOS!$D$4:$D$803,B2586,MOVIMIENTOS_COMPLEMENTOS!$E$4:$E$803,C2586,MOVIMIENTOS_COMPLEMENTOS!$F$4:$F$803,D2586,MOVIMIENTOS_COMPLEMENTOS!$G$4:$G$803,E2586,MOVIMIENTOS_COMPLEMENTOS!$H$4:$H$803,G2586,MOVIMIENTOS_COMPLEMENTOS!$B$4:$B$803,"INGRESO")+SUMIFS(MOVIMIENTOS_COMPLEMENTOS!$I$4:$I$803,MOVIMIENTOS_COMPLEMENTOS!$C$4:$C$803,A2586,MOVIMIENTOS_COMPLEMENTOS!$D$4:$D$803,B2586,MOVIMIENTOS_COMPLEMENTOS!$E$4:$E$803,C2586,MOVIMIENTOS_COMPLEMENTOS!$F$4:$F$803,D2586,MOVIMIENTOS_COMPLEMENTOS!$G$4:$G$803,E2586,MOVIMIENTOS_COMPLEMENTOS!$H$4:$H$803,G2586,MOVIMIENTOS_COMPLEMENTOS!$B$4:$B$803,"DE CORTE")-SUMIFS(MOVIMIENTOS_COMPLEMENTOS!$I$4:$I$803,MOVIMIENTOS_COMPLEMENTOS!$C$4:$C$803,A2586,MOVIMIENTOS_COMPLEMENTOS!$D$4:$D$803,B2586,MOVIMIENTOS_COMPLEMENTOS!$E$4:$E$803,C2586,MOVIMIENTOS_COMPLEMENTOS!$F$4:$F$803,D2586,MOVIMIENTOS_COMPLEMENTOS!$G$4:$G$803,E2586,MOVIMIENTOS_COMPLEMENTOS!$H$4:$H$803,G2586,MOVIMIENTOS_COMPLEMENTOS!$B$4:$B$803,"SALIDA"),0)</f>
        <v>0</v>
      </c>
      <c r="I2586" s="102">
        <f t="array" ref="I2586">IFERROR(INDEX(PRECIOS_COMPLEMENTOS!$C$4:$F$17,MATCH(B2586&amp;"_"&amp;C2586,PRECIOS_COMPLEMENTOS!$H$4:$H$17,0),IF(OR(G2586="S",G2586="20cm"),1,IF(OR(G2586="M",G2586="25cm"),2,IF(OR(G2586="L",G2586="30cm"),3,IF(OR(G2586="XL",G2586="35cm"),4,0))))),0)</f>
        <v>0.6</v>
      </c>
      <c r="J2586" s="103">
        <f t="shared" si="1"/>
        <v>0</v>
      </c>
      <c r="K2586" s="104" t="str">
        <f>IF(H2586&lt;0,"ERROR",IF(H2586=0,"",IF(H2586&lt;CONFIG!$B$4,"CRÍTICO",IF(H2586&lt;CONFIG!$B$5,"BAJO","OK"))))</f>
        <v/>
      </c>
    </row>
    <row r="2587" ht="15.75" hidden="1" customHeight="1">
      <c r="A2587" s="90" t="str">
        <f>IF(CLIENTES!A8="","",CLIENTES!A8)</f>
        <v/>
      </c>
      <c r="B2587" s="90" t="s">
        <v>331</v>
      </c>
      <c r="C2587" s="91" t="s">
        <v>328</v>
      </c>
      <c r="D2587" s="109" t="s">
        <v>364</v>
      </c>
      <c r="E2587" s="67" t="str">
        <f>COLORES!A9</f>
        <v>Melange</v>
      </c>
      <c r="F2587" s="67" t="str">
        <f>COLORES!B9</f>
        <v>MELANGE</v>
      </c>
      <c r="G2587" s="90" t="s">
        <v>379</v>
      </c>
      <c r="H2587" s="100">
        <f>IFERROR(SUMIFS(MOVIMIENTOS_COMPLEMENTOS!$I$4:$I$803,MOVIMIENTOS_COMPLEMENTOS!$C$4:$C$803,A2587,MOVIMIENTOS_COMPLEMENTOS!$D$4:$D$803,B2587,MOVIMIENTOS_COMPLEMENTOS!$E$4:$E$803,C2587,MOVIMIENTOS_COMPLEMENTOS!$F$4:$F$803,D2587,MOVIMIENTOS_COMPLEMENTOS!$G$4:$G$803,E2587,MOVIMIENTOS_COMPLEMENTOS!$H$4:$H$803,G2587,MOVIMIENTOS_COMPLEMENTOS!$B$4:$B$803,"INGRESO")+SUMIFS(MOVIMIENTOS_COMPLEMENTOS!$I$4:$I$803,MOVIMIENTOS_COMPLEMENTOS!$C$4:$C$803,A2587,MOVIMIENTOS_COMPLEMENTOS!$D$4:$D$803,B2587,MOVIMIENTOS_COMPLEMENTOS!$E$4:$E$803,C2587,MOVIMIENTOS_COMPLEMENTOS!$F$4:$F$803,D2587,MOVIMIENTOS_COMPLEMENTOS!$G$4:$G$803,E2587,MOVIMIENTOS_COMPLEMENTOS!$H$4:$H$803,G2587,MOVIMIENTOS_COMPLEMENTOS!$B$4:$B$803,"DE CORTE")-SUMIFS(MOVIMIENTOS_COMPLEMENTOS!$I$4:$I$803,MOVIMIENTOS_COMPLEMENTOS!$C$4:$C$803,A2587,MOVIMIENTOS_COMPLEMENTOS!$D$4:$D$803,B2587,MOVIMIENTOS_COMPLEMENTOS!$E$4:$E$803,C2587,MOVIMIENTOS_COMPLEMENTOS!$F$4:$F$803,D2587,MOVIMIENTOS_COMPLEMENTOS!$G$4:$G$803,E2587,MOVIMIENTOS_COMPLEMENTOS!$H$4:$H$803,G2587,MOVIMIENTOS_COMPLEMENTOS!$B$4:$B$803,"SALIDA"),0)</f>
        <v>0</v>
      </c>
      <c r="I2587" s="102">
        <f t="array" ref="I2587">IFERROR(INDEX(PRECIOS_COMPLEMENTOS!$C$4:$F$17,MATCH(B2587&amp;"_"&amp;C2587,PRECIOS_COMPLEMENTOS!$H$4:$H$17,0),IF(OR(G2587="S",G2587="20cm"),1,IF(OR(G2587="M",G2587="25cm"),2,IF(OR(G2587="L",G2587="30cm"),3,IF(OR(G2587="XL",G2587="35cm"),4,0))))),0)</f>
        <v>0.6</v>
      </c>
      <c r="J2587" s="103">
        <f t="shared" si="1"/>
        <v>0</v>
      </c>
      <c r="K2587" s="104" t="str">
        <f>IF(H2587&lt;0,"ERROR",IF(H2587=0,"",IF(H2587&lt;CONFIG!$B$4,"CRÍTICO",IF(H2587&lt;CONFIG!$B$5,"BAJO","OK"))))</f>
        <v/>
      </c>
    </row>
    <row r="2588" ht="15.75" hidden="1" customHeight="1">
      <c r="A2588" s="90" t="str">
        <f>IF(CLIENTES!A8="","",CLIENTES!A8)</f>
        <v/>
      </c>
      <c r="B2588" s="90" t="s">
        <v>331</v>
      </c>
      <c r="C2588" s="91" t="s">
        <v>328</v>
      </c>
      <c r="D2588" s="109" t="s">
        <v>364</v>
      </c>
      <c r="E2588" s="67" t="str">
        <f>COLORES!A10</f>
        <v>Botella</v>
      </c>
      <c r="F2588" s="67" t="str">
        <f>COLORES!B10</f>
        <v>OSCURO</v>
      </c>
      <c r="G2588" s="90" t="s">
        <v>378</v>
      </c>
      <c r="H2588" s="100">
        <f>IFERROR(SUMIFS(MOVIMIENTOS_COMPLEMENTOS!$I$4:$I$803,MOVIMIENTOS_COMPLEMENTOS!$C$4:$C$803,A2588,MOVIMIENTOS_COMPLEMENTOS!$D$4:$D$803,B2588,MOVIMIENTOS_COMPLEMENTOS!$E$4:$E$803,C2588,MOVIMIENTOS_COMPLEMENTOS!$F$4:$F$803,D2588,MOVIMIENTOS_COMPLEMENTOS!$G$4:$G$803,E2588,MOVIMIENTOS_COMPLEMENTOS!$H$4:$H$803,G2588,MOVIMIENTOS_COMPLEMENTOS!$B$4:$B$803,"INGRESO")+SUMIFS(MOVIMIENTOS_COMPLEMENTOS!$I$4:$I$803,MOVIMIENTOS_COMPLEMENTOS!$C$4:$C$803,A2588,MOVIMIENTOS_COMPLEMENTOS!$D$4:$D$803,B2588,MOVIMIENTOS_COMPLEMENTOS!$E$4:$E$803,C2588,MOVIMIENTOS_COMPLEMENTOS!$F$4:$F$803,D2588,MOVIMIENTOS_COMPLEMENTOS!$G$4:$G$803,E2588,MOVIMIENTOS_COMPLEMENTOS!$H$4:$H$803,G2588,MOVIMIENTOS_COMPLEMENTOS!$B$4:$B$803,"DE CORTE")-SUMIFS(MOVIMIENTOS_COMPLEMENTOS!$I$4:$I$803,MOVIMIENTOS_COMPLEMENTOS!$C$4:$C$803,A2588,MOVIMIENTOS_COMPLEMENTOS!$D$4:$D$803,B2588,MOVIMIENTOS_COMPLEMENTOS!$E$4:$E$803,C2588,MOVIMIENTOS_COMPLEMENTOS!$F$4:$F$803,D2588,MOVIMIENTOS_COMPLEMENTOS!$G$4:$G$803,E2588,MOVIMIENTOS_COMPLEMENTOS!$H$4:$H$803,G2588,MOVIMIENTOS_COMPLEMENTOS!$B$4:$B$803,"SALIDA"),0)</f>
        <v>0</v>
      </c>
      <c r="I2588" s="102">
        <f t="array" ref="I2588">IFERROR(INDEX(PRECIOS_COMPLEMENTOS!$C$4:$F$17,MATCH(B2588&amp;"_"&amp;C2588,PRECIOS_COMPLEMENTOS!$H$4:$H$17,0),IF(OR(G2588="S",G2588="20cm"),1,IF(OR(G2588="M",G2588="25cm"),2,IF(OR(G2588="L",G2588="30cm"),3,IF(OR(G2588="XL",G2588="35cm"),4,0))))),0)</f>
        <v>0.6</v>
      </c>
      <c r="J2588" s="103">
        <f t="shared" si="1"/>
        <v>0</v>
      </c>
      <c r="K2588" s="104" t="str">
        <f>IF(H2588&lt;0,"ERROR",IF(H2588=0,"",IF(H2588&lt;CONFIG!$B$4,"CRÍTICO",IF(H2588&lt;CONFIG!$B$5,"BAJO","OK"))))</f>
        <v/>
      </c>
    </row>
    <row r="2589" ht="15.75" hidden="1" customHeight="1">
      <c r="A2589" s="90" t="str">
        <f>IF(CLIENTES!A8="","",CLIENTES!A8)</f>
        <v/>
      </c>
      <c r="B2589" s="90" t="s">
        <v>331</v>
      </c>
      <c r="C2589" s="91" t="s">
        <v>328</v>
      </c>
      <c r="D2589" s="109" t="s">
        <v>364</v>
      </c>
      <c r="E2589" s="67" t="str">
        <f>COLORES!A10</f>
        <v>Botella</v>
      </c>
      <c r="F2589" s="67" t="str">
        <f>COLORES!B10</f>
        <v>OSCURO</v>
      </c>
      <c r="G2589" s="90" t="s">
        <v>376</v>
      </c>
      <c r="H2589" s="100">
        <f>IFERROR(SUMIFS(MOVIMIENTOS_COMPLEMENTOS!$I$4:$I$803,MOVIMIENTOS_COMPLEMENTOS!$C$4:$C$803,A2589,MOVIMIENTOS_COMPLEMENTOS!$D$4:$D$803,B2589,MOVIMIENTOS_COMPLEMENTOS!$E$4:$E$803,C2589,MOVIMIENTOS_COMPLEMENTOS!$F$4:$F$803,D2589,MOVIMIENTOS_COMPLEMENTOS!$G$4:$G$803,E2589,MOVIMIENTOS_COMPLEMENTOS!$H$4:$H$803,G2589,MOVIMIENTOS_COMPLEMENTOS!$B$4:$B$803,"INGRESO")+SUMIFS(MOVIMIENTOS_COMPLEMENTOS!$I$4:$I$803,MOVIMIENTOS_COMPLEMENTOS!$C$4:$C$803,A2589,MOVIMIENTOS_COMPLEMENTOS!$D$4:$D$803,B2589,MOVIMIENTOS_COMPLEMENTOS!$E$4:$E$803,C2589,MOVIMIENTOS_COMPLEMENTOS!$F$4:$F$803,D2589,MOVIMIENTOS_COMPLEMENTOS!$G$4:$G$803,E2589,MOVIMIENTOS_COMPLEMENTOS!$H$4:$H$803,G2589,MOVIMIENTOS_COMPLEMENTOS!$B$4:$B$803,"DE CORTE")-SUMIFS(MOVIMIENTOS_COMPLEMENTOS!$I$4:$I$803,MOVIMIENTOS_COMPLEMENTOS!$C$4:$C$803,A2589,MOVIMIENTOS_COMPLEMENTOS!$D$4:$D$803,B2589,MOVIMIENTOS_COMPLEMENTOS!$E$4:$E$803,C2589,MOVIMIENTOS_COMPLEMENTOS!$F$4:$F$803,D2589,MOVIMIENTOS_COMPLEMENTOS!$G$4:$G$803,E2589,MOVIMIENTOS_COMPLEMENTOS!$H$4:$H$803,G2589,MOVIMIENTOS_COMPLEMENTOS!$B$4:$B$803,"SALIDA"),0)</f>
        <v>0</v>
      </c>
      <c r="I2589" s="102">
        <f t="array" ref="I2589">IFERROR(INDEX(PRECIOS_COMPLEMENTOS!$C$4:$F$17,MATCH(B2589&amp;"_"&amp;C2589,PRECIOS_COMPLEMENTOS!$H$4:$H$17,0),IF(OR(G2589="S",G2589="20cm"),1,IF(OR(G2589="M",G2589="25cm"),2,IF(OR(G2589="L",G2589="30cm"),3,IF(OR(G2589="XL",G2589="35cm"),4,0))))),0)</f>
        <v>0.6</v>
      </c>
      <c r="J2589" s="103">
        <f t="shared" si="1"/>
        <v>0</v>
      </c>
      <c r="K2589" s="104" t="str">
        <f>IF(H2589&lt;0,"ERROR",IF(H2589=0,"",IF(H2589&lt;CONFIG!$B$4,"CRÍTICO",IF(H2589&lt;CONFIG!$B$5,"BAJO","OK"))))</f>
        <v/>
      </c>
    </row>
    <row r="2590" ht="15.75" hidden="1" customHeight="1">
      <c r="A2590" s="90" t="str">
        <f>IF(CLIENTES!A8="","",CLIENTES!A8)</f>
        <v/>
      </c>
      <c r="B2590" s="90" t="s">
        <v>331</v>
      </c>
      <c r="C2590" s="91" t="s">
        <v>328</v>
      </c>
      <c r="D2590" s="109" t="s">
        <v>364</v>
      </c>
      <c r="E2590" s="67" t="str">
        <f>COLORES!A10</f>
        <v>Botella</v>
      </c>
      <c r="F2590" s="67" t="str">
        <f>COLORES!B10</f>
        <v>OSCURO</v>
      </c>
      <c r="G2590" s="90" t="s">
        <v>377</v>
      </c>
      <c r="H2590" s="100">
        <f>IFERROR(SUMIFS(MOVIMIENTOS_COMPLEMENTOS!$I$4:$I$803,MOVIMIENTOS_COMPLEMENTOS!$C$4:$C$803,A2590,MOVIMIENTOS_COMPLEMENTOS!$D$4:$D$803,B2590,MOVIMIENTOS_COMPLEMENTOS!$E$4:$E$803,C2590,MOVIMIENTOS_COMPLEMENTOS!$F$4:$F$803,D2590,MOVIMIENTOS_COMPLEMENTOS!$G$4:$G$803,E2590,MOVIMIENTOS_COMPLEMENTOS!$H$4:$H$803,G2590,MOVIMIENTOS_COMPLEMENTOS!$B$4:$B$803,"INGRESO")+SUMIFS(MOVIMIENTOS_COMPLEMENTOS!$I$4:$I$803,MOVIMIENTOS_COMPLEMENTOS!$C$4:$C$803,A2590,MOVIMIENTOS_COMPLEMENTOS!$D$4:$D$803,B2590,MOVIMIENTOS_COMPLEMENTOS!$E$4:$E$803,C2590,MOVIMIENTOS_COMPLEMENTOS!$F$4:$F$803,D2590,MOVIMIENTOS_COMPLEMENTOS!$G$4:$G$803,E2590,MOVIMIENTOS_COMPLEMENTOS!$H$4:$H$803,G2590,MOVIMIENTOS_COMPLEMENTOS!$B$4:$B$803,"DE CORTE")-SUMIFS(MOVIMIENTOS_COMPLEMENTOS!$I$4:$I$803,MOVIMIENTOS_COMPLEMENTOS!$C$4:$C$803,A2590,MOVIMIENTOS_COMPLEMENTOS!$D$4:$D$803,B2590,MOVIMIENTOS_COMPLEMENTOS!$E$4:$E$803,C2590,MOVIMIENTOS_COMPLEMENTOS!$F$4:$F$803,D2590,MOVIMIENTOS_COMPLEMENTOS!$G$4:$G$803,E2590,MOVIMIENTOS_COMPLEMENTOS!$H$4:$H$803,G2590,MOVIMIENTOS_COMPLEMENTOS!$B$4:$B$803,"SALIDA"),0)</f>
        <v>0</v>
      </c>
      <c r="I2590" s="102">
        <f t="array" ref="I2590">IFERROR(INDEX(PRECIOS_COMPLEMENTOS!$C$4:$F$17,MATCH(B2590&amp;"_"&amp;C2590,PRECIOS_COMPLEMENTOS!$H$4:$H$17,0),IF(OR(G2590="S",G2590="20cm"),1,IF(OR(G2590="M",G2590="25cm"),2,IF(OR(G2590="L",G2590="30cm"),3,IF(OR(G2590="XL",G2590="35cm"),4,0))))),0)</f>
        <v>0.6</v>
      </c>
      <c r="J2590" s="103">
        <f t="shared" si="1"/>
        <v>0</v>
      </c>
      <c r="K2590" s="104" t="str">
        <f>IF(H2590&lt;0,"ERROR",IF(H2590=0,"",IF(H2590&lt;CONFIG!$B$4,"CRÍTICO",IF(H2590&lt;CONFIG!$B$5,"BAJO","OK"))))</f>
        <v/>
      </c>
    </row>
    <row r="2591" ht="15.75" hidden="1" customHeight="1">
      <c r="A2591" s="90" t="str">
        <f>IF(CLIENTES!A8="","",CLIENTES!A8)</f>
        <v/>
      </c>
      <c r="B2591" s="90" t="s">
        <v>331</v>
      </c>
      <c r="C2591" s="91" t="s">
        <v>328</v>
      </c>
      <c r="D2591" s="109" t="s">
        <v>364</v>
      </c>
      <c r="E2591" s="67" t="str">
        <f>COLORES!A10</f>
        <v>Botella</v>
      </c>
      <c r="F2591" s="67" t="str">
        <f>COLORES!B10</f>
        <v>OSCURO</v>
      </c>
      <c r="G2591" s="90" t="s">
        <v>379</v>
      </c>
      <c r="H2591" s="100">
        <f>IFERROR(SUMIFS(MOVIMIENTOS_COMPLEMENTOS!$I$4:$I$803,MOVIMIENTOS_COMPLEMENTOS!$C$4:$C$803,A2591,MOVIMIENTOS_COMPLEMENTOS!$D$4:$D$803,B2591,MOVIMIENTOS_COMPLEMENTOS!$E$4:$E$803,C2591,MOVIMIENTOS_COMPLEMENTOS!$F$4:$F$803,D2591,MOVIMIENTOS_COMPLEMENTOS!$G$4:$G$803,E2591,MOVIMIENTOS_COMPLEMENTOS!$H$4:$H$803,G2591,MOVIMIENTOS_COMPLEMENTOS!$B$4:$B$803,"INGRESO")+SUMIFS(MOVIMIENTOS_COMPLEMENTOS!$I$4:$I$803,MOVIMIENTOS_COMPLEMENTOS!$C$4:$C$803,A2591,MOVIMIENTOS_COMPLEMENTOS!$D$4:$D$803,B2591,MOVIMIENTOS_COMPLEMENTOS!$E$4:$E$803,C2591,MOVIMIENTOS_COMPLEMENTOS!$F$4:$F$803,D2591,MOVIMIENTOS_COMPLEMENTOS!$G$4:$G$803,E2591,MOVIMIENTOS_COMPLEMENTOS!$H$4:$H$803,G2591,MOVIMIENTOS_COMPLEMENTOS!$B$4:$B$803,"DE CORTE")-SUMIFS(MOVIMIENTOS_COMPLEMENTOS!$I$4:$I$803,MOVIMIENTOS_COMPLEMENTOS!$C$4:$C$803,A2591,MOVIMIENTOS_COMPLEMENTOS!$D$4:$D$803,B2591,MOVIMIENTOS_COMPLEMENTOS!$E$4:$E$803,C2591,MOVIMIENTOS_COMPLEMENTOS!$F$4:$F$803,D2591,MOVIMIENTOS_COMPLEMENTOS!$G$4:$G$803,E2591,MOVIMIENTOS_COMPLEMENTOS!$H$4:$H$803,G2591,MOVIMIENTOS_COMPLEMENTOS!$B$4:$B$803,"SALIDA"),0)</f>
        <v>0</v>
      </c>
      <c r="I2591" s="102">
        <f t="array" ref="I2591">IFERROR(INDEX(PRECIOS_COMPLEMENTOS!$C$4:$F$17,MATCH(B2591&amp;"_"&amp;C2591,PRECIOS_COMPLEMENTOS!$H$4:$H$17,0),IF(OR(G2591="S",G2591="20cm"),1,IF(OR(G2591="M",G2591="25cm"),2,IF(OR(G2591="L",G2591="30cm"),3,IF(OR(G2591="XL",G2591="35cm"),4,0))))),0)</f>
        <v>0.6</v>
      </c>
      <c r="J2591" s="103">
        <f t="shared" si="1"/>
        <v>0</v>
      </c>
      <c r="K2591" s="104" t="str">
        <f>IF(H2591&lt;0,"ERROR",IF(H2591=0,"",IF(H2591&lt;CONFIG!$B$4,"CRÍTICO",IF(H2591&lt;CONFIG!$B$5,"BAJO","OK"))))</f>
        <v/>
      </c>
    </row>
    <row r="2592" ht="15.75" hidden="1" customHeight="1">
      <c r="A2592" s="90" t="str">
        <f>IF(CLIENTES!A8="","",CLIENTES!A8)</f>
        <v/>
      </c>
      <c r="B2592" s="90" t="s">
        <v>331</v>
      </c>
      <c r="C2592" s="91" t="s">
        <v>328</v>
      </c>
      <c r="D2592" s="109" t="s">
        <v>364</v>
      </c>
      <c r="E2592" s="67" t="str">
        <f>COLORES!A11</f>
        <v>Pacay</v>
      </c>
      <c r="F2592" s="67" t="str">
        <f>COLORES!B11</f>
        <v>CLARO</v>
      </c>
      <c r="G2592" s="90" t="s">
        <v>378</v>
      </c>
      <c r="H2592" s="100">
        <f>IFERROR(SUMIFS(MOVIMIENTOS_COMPLEMENTOS!$I$4:$I$803,MOVIMIENTOS_COMPLEMENTOS!$C$4:$C$803,A2592,MOVIMIENTOS_COMPLEMENTOS!$D$4:$D$803,B2592,MOVIMIENTOS_COMPLEMENTOS!$E$4:$E$803,C2592,MOVIMIENTOS_COMPLEMENTOS!$F$4:$F$803,D2592,MOVIMIENTOS_COMPLEMENTOS!$G$4:$G$803,E2592,MOVIMIENTOS_COMPLEMENTOS!$H$4:$H$803,G2592,MOVIMIENTOS_COMPLEMENTOS!$B$4:$B$803,"INGRESO")+SUMIFS(MOVIMIENTOS_COMPLEMENTOS!$I$4:$I$803,MOVIMIENTOS_COMPLEMENTOS!$C$4:$C$803,A2592,MOVIMIENTOS_COMPLEMENTOS!$D$4:$D$803,B2592,MOVIMIENTOS_COMPLEMENTOS!$E$4:$E$803,C2592,MOVIMIENTOS_COMPLEMENTOS!$F$4:$F$803,D2592,MOVIMIENTOS_COMPLEMENTOS!$G$4:$G$803,E2592,MOVIMIENTOS_COMPLEMENTOS!$H$4:$H$803,G2592,MOVIMIENTOS_COMPLEMENTOS!$B$4:$B$803,"DE CORTE")-SUMIFS(MOVIMIENTOS_COMPLEMENTOS!$I$4:$I$803,MOVIMIENTOS_COMPLEMENTOS!$C$4:$C$803,A2592,MOVIMIENTOS_COMPLEMENTOS!$D$4:$D$803,B2592,MOVIMIENTOS_COMPLEMENTOS!$E$4:$E$803,C2592,MOVIMIENTOS_COMPLEMENTOS!$F$4:$F$803,D2592,MOVIMIENTOS_COMPLEMENTOS!$G$4:$G$803,E2592,MOVIMIENTOS_COMPLEMENTOS!$H$4:$H$803,G2592,MOVIMIENTOS_COMPLEMENTOS!$B$4:$B$803,"SALIDA"),0)</f>
        <v>0</v>
      </c>
      <c r="I2592" s="102">
        <f t="array" ref="I2592">IFERROR(INDEX(PRECIOS_COMPLEMENTOS!$C$4:$F$17,MATCH(B2592&amp;"_"&amp;C2592,PRECIOS_COMPLEMENTOS!$H$4:$H$17,0),IF(OR(G2592="S",G2592="20cm"),1,IF(OR(G2592="M",G2592="25cm"),2,IF(OR(G2592="L",G2592="30cm"),3,IF(OR(G2592="XL",G2592="35cm"),4,0))))),0)</f>
        <v>0.6</v>
      </c>
      <c r="J2592" s="103">
        <f t="shared" si="1"/>
        <v>0</v>
      </c>
      <c r="K2592" s="104" t="str">
        <f>IF(H2592&lt;0,"ERROR",IF(H2592=0,"",IF(H2592&lt;CONFIG!$B$4,"CRÍTICO",IF(H2592&lt;CONFIG!$B$5,"BAJO","OK"))))</f>
        <v/>
      </c>
    </row>
    <row r="2593" ht="15.75" hidden="1" customHeight="1">
      <c r="A2593" s="90" t="str">
        <f>IF(CLIENTES!A8="","",CLIENTES!A8)</f>
        <v/>
      </c>
      <c r="B2593" s="90" t="s">
        <v>331</v>
      </c>
      <c r="C2593" s="91" t="s">
        <v>328</v>
      </c>
      <c r="D2593" s="109" t="s">
        <v>364</v>
      </c>
      <c r="E2593" s="67" t="str">
        <f>COLORES!A11</f>
        <v>Pacay</v>
      </c>
      <c r="F2593" s="67" t="str">
        <f>COLORES!B11</f>
        <v>CLARO</v>
      </c>
      <c r="G2593" s="90" t="s">
        <v>376</v>
      </c>
      <c r="H2593" s="100">
        <f>IFERROR(SUMIFS(MOVIMIENTOS_COMPLEMENTOS!$I$4:$I$803,MOVIMIENTOS_COMPLEMENTOS!$C$4:$C$803,A2593,MOVIMIENTOS_COMPLEMENTOS!$D$4:$D$803,B2593,MOVIMIENTOS_COMPLEMENTOS!$E$4:$E$803,C2593,MOVIMIENTOS_COMPLEMENTOS!$F$4:$F$803,D2593,MOVIMIENTOS_COMPLEMENTOS!$G$4:$G$803,E2593,MOVIMIENTOS_COMPLEMENTOS!$H$4:$H$803,G2593,MOVIMIENTOS_COMPLEMENTOS!$B$4:$B$803,"INGRESO")+SUMIFS(MOVIMIENTOS_COMPLEMENTOS!$I$4:$I$803,MOVIMIENTOS_COMPLEMENTOS!$C$4:$C$803,A2593,MOVIMIENTOS_COMPLEMENTOS!$D$4:$D$803,B2593,MOVIMIENTOS_COMPLEMENTOS!$E$4:$E$803,C2593,MOVIMIENTOS_COMPLEMENTOS!$F$4:$F$803,D2593,MOVIMIENTOS_COMPLEMENTOS!$G$4:$G$803,E2593,MOVIMIENTOS_COMPLEMENTOS!$H$4:$H$803,G2593,MOVIMIENTOS_COMPLEMENTOS!$B$4:$B$803,"DE CORTE")-SUMIFS(MOVIMIENTOS_COMPLEMENTOS!$I$4:$I$803,MOVIMIENTOS_COMPLEMENTOS!$C$4:$C$803,A2593,MOVIMIENTOS_COMPLEMENTOS!$D$4:$D$803,B2593,MOVIMIENTOS_COMPLEMENTOS!$E$4:$E$803,C2593,MOVIMIENTOS_COMPLEMENTOS!$F$4:$F$803,D2593,MOVIMIENTOS_COMPLEMENTOS!$G$4:$G$803,E2593,MOVIMIENTOS_COMPLEMENTOS!$H$4:$H$803,G2593,MOVIMIENTOS_COMPLEMENTOS!$B$4:$B$803,"SALIDA"),0)</f>
        <v>0</v>
      </c>
      <c r="I2593" s="102">
        <f t="array" ref="I2593">IFERROR(INDEX(PRECIOS_COMPLEMENTOS!$C$4:$F$17,MATCH(B2593&amp;"_"&amp;C2593,PRECIOS_COMPLEMENTOS!$H$4:$H$17,0),IF(OR(G2593="S",G2593="20cm"),1,IF(OR(G2593="M",G2593="25cm"),2,IF(OR(G2593="L",G2593="30cm"),3,IF(OR(G2593="XL",G2593="35cm"),4,0))))),0)</f>
        <v>0.6</v>
      </c>
      <c r="J2593" s="103">
        <f t="shared" si="1"/>
        <v>0</v>
      </c>
      <c r="K2593" s="104" t="str">
        <f>IF(H2593&lt;0,"ERROR",IF(H2593=0,"",IF(H2593&lt;CONFIG!$B$4,"CRÍTICO",IF(H2593&lt;CONFIG!$B$5,"BAJO","OK"))))</f>
        <v/>
      </c>
    </row>
    <row r="2594" ht="15.75" hidden="1" customHeight="1">
      <c r="A2594" s="90" t="str">
        <f>IF(CLIENTES!A8="","",CLIENTES!A8)</f>
        <v/>
      </c>
      <c r="B2594" s="90" t="s">
        <v>331</v>
      </c>
      <c r="C2594" s="91" t="s">
        <v>328</v>
      </c>
      <c r="D2594" s="109" t="s">
        <v>364</v>
      </c>
      <c r="E2594" s="67" t="str">
        <f>COLORES!A11</f>
        <v>Pacay</v>
      </c>
      <c r="F2594" s="67" t="str">
        <f>COLORES!B11</f>
        <v>CLARO</v>
      </c>
      <c r="G2594" s="90" t="s">
        <v>377</v>
      </c>
      <c r="H2594" s="100">
        <f>IFERROR(SUMIFS(MOVIMIENTOS_COMPLEMENTOS!$I$4:$I$803,MOVIMIENTOS_COMPLEMENTOS!$C$4:$C$803,A2594,MOVIMIENTOS_COMPLEMENTOS!$D$4:$D$803,B2594,MOVIMIENTOS_COMPLEMENTOS!$E$4:$E$803,C2594,MOVIMIENTOS_COMPLEMENTOS!$F$4:$F$803,D2594,MOVIMIENTOS_COMPLEMENTOS!$G$4:$G$803,E2594,MOVIMIENTOS_COMPLEMENTOS!$H$4:$H$803,G2594,MOVIMIENTOS_COMPLEMENTOS!$B$4:$B$803,"INGRESO")+SUMIFS(MOVIMIENTOS_COMPLEMENTOS!$I$4:$I$803,MOVIMIENTOS_COMPLEMENTOS!$C$4:$C$803,A2594,MOVIMIENTOS_COMPLEMENTOS!$D$4:$D$803,B2594,MOVIMIENTOS_COMPLEMENTOS!$E$4:$E$803,C2594,MOVIMIENTOS_COMPLEMENTOS!$F$4:$F$803,D2594,MOVIMIENTOS_COMPLEMENTOS!$G$4:$G$803,E2594,MOVIMIENTOS_COMPLEMENTOS!$H$4:$H$803,G2594,MOVIMIENTOS_COMPLEMENTOS!$B$4:$B$803,"DE CORTE")-SUMIFS(MOVIMIENTOS_COMPLEMENTOS!$I$4:$I$803,MOVIMIENTOS_COMPLEMENTOS!$C$4:$C$803,A2594,MOVIMIENTOS_COMPLEMENTOS!$D$4:$D$803,B2594,MOVIMIENTOS_COMPLEMENTOS!$E$4:$E$803,C2594,MOVIMIENTOS_COMPLEMENTOS!$F$4:$F$803,D2594,MOVIMIENTOS_COMPLEMENTOS!$G$4:$G$803,E2594,MOVIMIENTOS_COMPLEMENTOS!$H$4:$H$803,G2594,MOVIMIENTOS_COMPLEMENTOS!$B$4:$B$803,"SALIDA"),0)</f>
        <v>0</v>
      </c>
      <c r="I2594" s="102">
        <f t="array" ref="I2594">IFERROR(INDEX(PRECIOS_COMPLEMENTOS!$C$4:$F$17,MATCH(B2594&amp;"_"&amp;C2594,PRECIOS_COMPLEMENTOS!$H$4:$H$17,0),IF(OR(G2594="S",G2594="20cm"),1,IF(OR(G2594="M",G2594="25cm"),2,IF(OR(G2594="L",G2594="30cm"),3,IF(OR(G2594="XL",G2594="35cm"),4,0))))),0)</f>
        <v>0.6</v>
      </c>
      <c r="J2594" s="103">
        <f t="shared" si="1"/>
        <v>0</v>
      </c>
      <c r="K2594" s="104" t="str">
        <f>IF(H2594&lt;0,"ERROR",IF(H2594=0,"",IF(H2594&lt;CONFIG!$B$4,"CRÍTICO",IF(H2594&lt;CONFIG!$B$5,"BAJO","OK"))))</f>
        <v/>
      </c>
    </row>
    <row r="2595" ht="15.75" hidden="1" customHeight="1">
      <c r="A2595" s="90" t="str">
        <f>IF(CLIENTES!A8="","",CLIENTES!A8)</f>
        <v/>
      </c>
      <c r="B2595" s="90" t="s">
        <v>331</v>
      </c>
      <c r="C2595" s="91" t="s">
        <v>328</v>
      </c>
      <c r="D2595" s="109" t="s">
        <v>364</v>
      </c>
      <c r="E2595" s="67" t="str">
        <f>COLORES!A11</f>
        <v>Pacay</v>
      </c>
      <c r="F2595" s="67" t="str">
        <f>COLORES!B11</f>
        <v>CLARO</v>
      </c>
      <c r="G2595" s="90" t="s">
        <v>379</v>
      </c>
      <c r="H2595" s="100">
        <f>IFERROR(SUMIFS(MOVIMIENTOS_COMPLEMENTOS!$I$4:$I$803,MOVIMIENTOS_COMPLEMENTOS!$C$4:$C$803,A2595,MOVIMIENTOS_COMPLEMENTOS!$D$4:$D$803,B2595,MOVIMIENTOS_COMPLEMENTOS!$E$4:$E$803,C2595,MOVIMIENTOS_COMPLEMENTOS!$F$4:$F$803,D2595,MOVIMIENTOS_COMPLEMENTOS!$G$4:$G$803,E2595,MOVIMIENTOS_COMPLEMENTOS!$H$4:$H$803,G2595,MOVIMIENTOS_COMPLEMENTOS!$B$4:$B$803,"INGRESO")+SUMIFS(MOVIMIENTOS_COMPLEMENTOS!$I$4:$I$803,MOVIMIENTOS_COMPLEMENTOS!$C$4:$C$803,A2595,MOVIMIENTOS_COMPLEMENTOS!$D$4:$D$803,B2595,MOVIMIENTOS_COMPLEMENTOS!$E$4:$E$803,C2595,MOVIMIENTOS_COMPLEMENTOS!$F$4:$F$803,D2595,MOVIMIENTOS_COMPLEMENTOS!$G$4:$G$803,E2595,MOVIMIENTOS_COMPLEMENTOS!$H$4:$H$803,G2595,MOVIMIENTOS_COMPLEMENTOS!$B$4:$B$803,"DE CORTE")-SUMIFS(MOVIMIENTOS_COMPLEMENTOS!$I$4:$I$803,MOVIMIENTOS_COMPLEMENTOS!$C$4:$C$803,A2595,MOVIMIENTOS_COMPLEMENTOS!$D$4:$D$803,B2595,MOVIMIENTOS_COMPLEMENTOS!$E$4:$E$803,C2595,MOVIMIENTOS_COMPLEMENTOS!$F$4:$F$803,D2595,MOVIMIENTOS_COMPLEMENTOS!$G$4:$G$803,E2595,MOVIMIENTOS_COMPLEMENTOS!$H$4:$H$803,G2595,MOVIMIENTOS_COMPLEMENTOS!$B$4:$B$803,"SALIDA"),0)</f>
        <v>0</v>
      </c>
      <c r="I2595" s="102">
        <f t="array" ref="I2595">IFERROR(INDEX(PRECIOS_COMPLEMENTOS!$C$4:$F$17,MATCH(B2595&amp;"_"&amp;C2595,PRECIOS_COMPLEMENTOS!$H$4:$H$17,0),IF(OR(G2595="S",G2595="20cm"),1,IF(OR(G2595="M",G2595="25cm"),2,IF(OR(G2595="L",G2595="30cm"),3,IF(OR(G2595="XL",G2595="35cm"),4,0))))),0)</f>
        <v>0.6</v>
      </c>
      <c r="J2595" s="103">
        <f t="shared" si="1"/>
        <v>0</v>
      </c>
      <c r="K2595" s="104" t="str">
        <f>IF(H2595&lt;0,"ERROR",IF(H2595=0,"",IF(H2595&lt;CONFIG!$B$4,"CRÍTICO",IF(H2595&lt;CONFIG!$B$5,"BAJO","OK"))))</f>
        <v/>
      </c>
    </row>
    <row r="2596" ht="15.75" hidden="1" customHeight="1">
      <c r="A2596" s="90" t="str">
        <f>IF(CLIENTES!A8="","",CLIENTES!A8)</f>
        <v/>
      </c>
      <c r="B2596" s="90" t="s">
        <v>331</v>
      </c>
      <c r="C2596" s="91" t="s">
        <v>328</v>
      </c>
      <c r="D2596" s="109" t="s">
        <v>364</v>
      </c>
      <c r="E2596" s="67" t="str">
        <f>COLORES!A12</f>
        <v>Cemento</v>
      </c>
      <c r="F2596" s="67" t="str">
        <f>COLORES!B12</f>
        <v>CLARO</v>
      </c>
      <c r="G2596" s="90" t="s">
        <v>378</v>
      </c>
      <c r="H2596" s="100">
        <f>IFERROR(SUMIFS(MOVIMIENTOS_COMPLEMENTOS!$I$4:$I$803,MOVIMIENTOS_COMPLEMENTOS!$C$4:$C$803,A2596,MOVIMIENTOS_COMPLEMENTOS!$D$4:$D$803,B2596,MOVIMIENTOS_COMPLEMENTOS!$E$4:$E$803,C2596,MOVIMIENTOS_COMPLEMENTOS!$F$4:$F$803,D2596,MOVIMIENTOS_COMPLEMENTOS!$G$4:$G$803,E2596,MOVIMIENTOS_COMPLEMENTOS!$H$4:$H$803,G2596,MOVIMIENTOS_COMPLEMENTOS!$B$4:$B$803,"INGRESO")+SUMIFS(MOVIMIENTOS_COMPLEMENTOS!$I$4:$I$803,MOVIMIENTOS_COMPLEMENTOS!$C$4:$C$803,A2596,MOVIMIENTOS_COMPLEMENTOS!$D$4:$D$803,B2596,MOVIMIENTOS_COMPLEMENTOS!$E$4:$E$803,C2596,MOVIMIENTOS_COMPLEMENTOS!$F$4:$F$803,D2596,MOVIMIENTOS_COMPLEMENTOS!$G$4:$G$803,E2596,MOVIMIENTOS_COMPLEMENTOS!$H$4:$H$803,G2596,MOVIMIENTOS_COMPLEMENTOS!$B$4:$B$803,"DE CORTE")-SUMIFS(MOVIMIENTOS_COMPLEMENTOS!$I$4:$I$803,MOVIMIENTOS_COMPLEMENTOS!$C$4:$C$803,A2596,MOVIMIENTOS_COMPLEMENTOS!$D$4:$D$803,B2596,MOVIMIENTOS_COMPLEMENTOS!$E$4:$E$803,C2596,MOVIMIENTOS_COMPLEMENTOS!$F$4:$F$803,D2596,MOVIMIENTOS_COMPLEMENTOS!$G$4:$G$803,E2596,MOVIMIENTOS_COMPLEMENTOS!$H$4:$H$803,G2596,MOVIMIENTOS_COMPLEMENTOS!$B$4:$B$803,"SALIDA"),0)</f>
        <v>0</v>
      </c>
      <c r="I2596" s="102">
        <f t="array" ref="I2596">IFERROR(INDEX(PRECIOS_COMPLEMENTOS!$C$4:$F$17,MATCH(B2596&amp;"_"&amp;C2596,PRECIOS_COMPLEMENTOS!$H$4:$H$17,0),IF(OR(G2596="S",G2596="20cm"),1,IF(OR(G2596="M",G2596="25cm"),2,IF(OR(G2596="L",G2596="30cm"),3,IF(OR(G2596="XL",G2596="35cm"),4,0))))),0)</f>
        <v>0.6</v>
      </c>
      <c r="J2596" s="103">
        <f t="shared" si="1"/>
        <v>0</v>
      </c>
      <c r="K2596" s="104" t="str">
        <f>IF(H2596&lt;0,"ERROR",IF(H2596=0,"",IF(H2596&lt;CONFIG!$B$4,"CRÍTICO",IF(H2596&lt;CONFIG!$B$5,"BAJO","OK"))))</f>
        <v/>
      </c>
    </row>
    <row r="2597" ht="15.75" hidden="1" customHeight="1">
      <c r="A2597" s="90" t="str">
        <f>IF(CLIENTES!A8="","",CLIENTES!A8)</f>
        <v/>
      </c>
      <c r="B2597" s="90" t="s">
        <v>331</v>
      </c>
      <c r="C2597" s="91" t="s">
        <v>328</v>
      </c>
      <c r="D2597" s="109" t="s">
        <v>364</v>
      </c>
      <c r="E2597" s="67" t="str">
        <f>COLORES!A12</f>
        <v>Cemento</v>
      </c>
      <c r="F2597" s="67" t="str">
        <f>COLORES!B12</f>
        <v>CLARO</v>
      </c>
      <c r="G2597" s="90" t="s">
        <v>376</v>
      </c>
      <c r="H2597" s="100">
        <f>IFERROR(SUMIFS(MOVIMIENTOS_COMPLEMENTOS!$I$4:$I$803,MOVIMIENTOS_COMPLEMENTOS!$C$4:$C$803,A2597,MOVIMIENTOS_COMPLEMENTOS!$D$4:$D$803,B2597,MOVIMIENTOS_COMPLEMENTOS!$E$4:$E$803,C2597,MOVIMIENTOS_COMPLEMENTOS!$F$4:$F$803,D2597,MOVIMIENTOS_COMPLEMENTOS!$G$4:$G$803,E2597,MOVIMIENTOS_COMPLEMENTOS!$H$4:$H$803,G2597,MOVIMIENTOS_COMPLEMENTOS!$B$4:$B$803,"INGRESO")+SUMIFS(MOVIMIENTOS_COMPLEMENTOS!$I$4:$I$803,MOVIMIENTOS_COMPLEMENTOS!$C$4:$C$803,A2597,MOVIMIENTOS_COMPLEMENTOS!$D$4:$D$803,B2597,MOVIMIENTOS_COMPLEMENTOS!$E$4:$E$803,C2597,MOVIMIENTOS_COMPLEMENTOS!$F$4:$F$803,D2597,MOVIMIENTOS_COMPLEMENTOS!$G$4:$G$803,E2597,MOVIMIENTOS_COMPLEMENTOS!$H$4:$H$803,G2597,MOVIMIENTOS_COMPLEMENTOS!$B$4:$B$803,"DE CORTE")-SUMIFS(MOVIMIENTOS_COMPLEMENTOS!$I$4:$I$803,MOVIMIENTOS_COMPLEMENTOS!$C$4:$C$803,A2597,MOVIMIENTOS_COMPLEMENTOS!$D$4:$D$803,B2597,MOVIMIENTOS_COMPLEMENTOS!$E$4:$E$803,C2597,MOVIMIENTOS_COMPLEMENTOS!$F$4:$F$803,D2597,MOVIMIENTOS_COMPLEMENTOS!$G$4:$G$803,E2597,MOVIMIENTOS_COMPLEMENTOS!$H$4:$H$803,G2597,MOVIMIENTOS_COMPLEMENTOS!$B$4:$B$803,"SALIDA"),0)</f>
        <v>0</v>
      </c>
      <c r="I2597" s="102">
        <f t="array" ref="I2597">IFERROR(INDEX(PRECIOS_COMPLEMENTOS!$C$4:$F$17,MATCH(B2597&amp;"_"&amp;C2597,PRECIOS_COMPLEMENTOS!$H$4:$H$17,0),IF(OR(G2597="S",G2597="20cm"),1,IF(OR(G2597="M",G2597="25cm"),2,IF(OR(G2597="L",G2597="30cm"),3,IF(OR(G2597="XL",G2597="35cm"),4,0))))),0)</f>
        <v>0.6</v>
      </c>
      <c r="J2597" s="103">
        <f t="shared" si="1"/>
        <v>0</v>
      </c>
      <c r="K2597" s="104" t="str">
        <f>IF(H2597&lt;0,"ERROR",IF(H2597=0,"",IF(H2597&lt;CONFIG!$B$4,"CRÍTICO",IF(H2597&lt;CONFIG!$B$5,"BAJO","OK"))))</f>
        <v/>
      </c>
    </row>
    <row r="2598" ht="15.75" hidden="1" customHeight="1">
      <c r="A2598" s="90" t="str">
        <f>IF(CLIENTES!A8="","",CLIENTES!A8)</f>
        <v/>
      </c>
      <c r="B2598" s="90" t="s">
        <v>331</v>
      </c>
      <c r="C2598" s="91" t="s">
        <v>328</v>
      </c>
      <c r="D2598" s="109" t="s">
        <v>364</v>
      </c>
      <c r="E2598" s="67" t="str">
        <f>COLORES!A12</f>
        <v>Cemento</v>
      </c>
      <c r="F2598" s="67" t="str">
        <f>COLORES!B12</f>
        <v>CLARO</v>
      </c>
      <c r="G2598" s="90" t="s">
        <v>377</v>
      </c>
      <c r="H2598" s="100">
        <f>IFERROR(SUMIFS(MOVIMIENTOS_COMPLEMENTOS!$I$4:$I$803,MOVIMIENTOS_COMPLEMENTOS!$C$4:$C$803,A2598,MOVIMIENTOS_COMPLEMENTOS!$D$4:$D$803,B2598,MOVIMIENTOS_COMPLEMENTOS!$E$4:$E$803,C2598,MOVIMIENTOS_COMPLEMENTOS!$F$4:$F$803,D2598,MOVIMIENTOS_COMPLEMENTOS!$G$4:$G$803,E2598,MOVIMIENTOS_COMPLEMENTOS!$H$4:$H$803,G2598,MOVIMIENTOS_COMPLEMENTOS!$B$4:$B$803,"INGRESO")+SUMIFS(MOVIMIENTOS_COMPLEMENTOS!$I$4:$I$803,MOVIMIENTOS_COMPLEMENTOS!$C$4:$C$803,A2598,MOVIMIENTOS_COMPLEMENTOS!$D$4:$D$803,B2598,MOVIMIENTOS_COMPLEMENTOS!$E$4:$E$803,C2598,MOVIMIENTOS_COMPLEMENTOS!$F$4:$F$803,D2598,MOVIMIENTOS_COMPLEMENTOS!$G$4:$G$803,E2598,MOVIMIENTOS_COMPLEMENTOS!$H$4:$H$803,G2598,MOVIMIENTOS_COMPLEMENTOS!$B$4:$B$803,"DE CORTE")-SUMIFS(MOVIMIENTOS_COMPLEMENTOS!$I$4:$I$803,MOVIMIENTOS_COMPLEMENTOS!$C$4:$C$803,A2598,MOVIMIENTOS_COMPLEMENTOS!$D$4:$D$803,B2598,MOVIMIENTOS_COMPLEMENTOS!$E$4:$E$803,C2598,MOVIMIENTOS_COMPLEMENTOS!$F$4:$F$803,D2598,MOVIMIENTOS_COMPLEMENTOS!$G$4:$G$803,E2598,MOVIMIENTOS_COMPLEMENTOS!$H$4:$H$803,G2598,MOVIMIENTOS_COMPLEMENTOS!$B$4:$B$803,"SALIDA"),0)</f>
        <v>0</v>
      </c>
      <c r="I2598" s="102">
        <f t="array" ref="I2598">IFERROR(INDEX(PRECIOS_COMPLEMENTOS!$C$4:$F$17,MATCH(B2598&amp;"_"&amp;C2598,PRECIOS_COMPLEMENTOS!$H$4:$H$17,0),IF(OR(G2598="S",G2598="20cm"),1,IF(OR(G2598="M",G2598="25cm"),2,IF(OR(G2598="L",G2598="30cm"),3,IF(OR(G2598="XL",G2598="35cm"),4,0))))),0)</f>
        <v>0.6</v>
      </c>
      <c r="J2598" s="103">
        <f t="shared" si="1"/>
        <v>0</v>
      </c>
      <c r="K2598" s="104" t="str">
        <f>IF(H2598&lt;0,"ERROR",IF(H2598=0,"",IF(H2598&lt;CONFIG!$B$4,"CRÍTICO",IF(H2598&lt;CONFIG!$B$5,"BAJO","OK"))))</f>
        <v/>
      </c>
    </row>
    <row r="2599" ht="15.75" hidden="1" customHeight="1">
      <c r="A2599" s="90" t="str">
        <f>IF(CLIENTES!A8="","",CLIENTES!A8)</f>
        <v/>
      </c>
      <c r="B2599" s="90" t="s">
        <v>331</v>
      </c>
      <c r="C2599" s="91" t="s">
        <v>328</v>
      </c>
      <c r="D2599" s="109" t="s">
        <v>364</v>
      </c>
      <c r="E2599" s="67" t="str">
        <f>COLORES!A12</f>
        <v>Cemento</v>
      </c>
      <c r="F2599" s="67" t="str">
        <f>COLORES!B12</f>
        <v>CLARO</v>
      </c>
      <c r="G2599" s="90" t="s">
        <v>379</v>
      </c>
      <c r="H2599" s="100">
        <f>IFERROR(SUMIFS(MOVIMIENTOS_COMPLEMENTOS!$I$4:$I$803,MOVIMIENTOS_COMPLEMENTOS!$C$4:$C$803,A2599,MOVIMIENTOS_COMPLEMENTOS!$D$4:$D$803,B2599,MOVIMIENTOS_COMPLEMENTOS!$E$4:$E$803,C2599,MOVIMIENTOS_COMPLEMENTOS!$F$4:$F$803,D2599,MOVIMIENTOS_COMPLEMENTOS!$G$4:$G$803,E2599,MOVIMIENTOS_COMPLEMENTOS!$H$4:$H$803,G2599,MOVIMIENTOS_COMPLEMENTOS!$B$4:$B$803,"INGRESO")+SUMIFS(MOVIMIENTOS_COMPLEMENTOS!$I$4:$I$803,MOVIMIENTOS_COMPLEMENTOS!$C$4:$C$803,A2599,MOVIMIENTOS_COMPLEMENTOS!$D$4:$D$803,B2599,MOVIMIENTOS_COMPLEMENTOS!$E$4:$E$803,C2599,MOVIMIENTOS_COMPLEMENTOS!$F$4:$F$803,D2599,MOVIMIENTOS_COMPLEMENTOS!$G$4:$G$803,E2599,MOVIMIENTOS_COMPLEMENTOS!$H$4:$H$803,G2599,MOVIMIENTOS_COMPLEMENTOS!$B$4:$B$803,"DE CORTE")-SUMIFS(MOVIMIENTOS_COMPLEMENTOS!$I$4:$I$803,MOVIMIENTOS_COMPLEMENTOS!$C$4:$C$803,A2599,MOVIMIENTOS_COMPLEMENTOS!$D$4:$D$803,B2599,MOVIMIENTOS_COMPLEMENTOS!$E$4:$E$803,C2599,MOVIMIENTOS_COMPLEMENTOS!$F$4:$F$803,D2599,MOVIMIENTOS_COMPLEMENTOS!$G$4:$G$803,E2599,MOVIMIENTOS_COMPLEMENTOS!$H$4:$H$803,G2599,MOVIMIENTOS_COMPLEMENTOS!$B$4:$B$803,"SALIDA"),0)</f>
        <v>0</v>
      </c>
      <c r="I2599" s="102">
        <f t="array" ref="I2599">IFERROR(INDEX(PRECIOS_COMPLEMENTOS!$C$4:$F$17,MATCH(B2599&amp;"_"&amp;C2599,PRECIOS_COMPLEMENTOS!$H$4:$H$17,0),IF(OR(G2599="S",G2599="20cm"),1,IF(OR(G2599="M",G2599="25cm"),2,IF(OR(G2599="L",G2599="30cm"),3,IF(OR(G2599="XL",G2599="35cm"),4,0))))),0)</f>
        <v>0.6</v>
      </c>
      <c r="J2599" s="103">
        <f t="shared" si="1"/>
        <v>0</v>
      </c>
      <c r="K2599" s="104" t="str">
        <f>IF(H2599&lt;0,"ERROR",IF(H2599=0,"",IF(H2599&lt;CONFIG!$B$4,"CRÍTICO",IF(H2599&lt;CONFIG!$B$5,"BAJO","OK"))))</f>
        <v/>
      </c>
    </row>
    <row r="2600" ht="15.75" hidden="1" customHeight="1">
      <c r="A2600" s="90" t="str">
        <f>IF(CLIENTES!A8="","",CLIENTES!A8)</f>
        <v/>
      </c>
      <c r="B2600" s="90" t="s">
        <v>331</v>
      </c>
      <c r="C2600" s="91" t="s">
        <v>328</v>
      </c>
      <c r="D2600" s="109" t="s">
        <v>364</v>
      </c>
      <c r="E2600" s="67" t="str">
        <f>COLORES!A13</f>
        <v>Camote</v>
      </c>
      <c r="F2600" s="67" t="str">
        <f>COLORES!B13</f>
        <v>CLARO</v>
      </c>
      <c r="G2600" s="90" t="s">
        <v>378</v>
      </c>
      <c r="H2600" s="100">
        <f>IFERROR(SUMIFS(MOVIMIENTOS_COMPLEMENTOS!$I$4:$I$803,MOVIMIENTOS_COMPLEMENTOS!$C$4:$C$803,A2600,MOVIMIENTOS_COMPLEMENTOS!$D$4:$D$803,B2600,MOVIMIENTOS_COMPLEMENTOS!$E$4:$E$803,C2600,MOVIMIENTOS_COMPLEMENTOS!$F$4:$F$803,D2600,MOVIMIENTOS_COMPLEMENTOS!$G$4:$G$803,E2600,MOVIMIENTOS_COMPLEMENTOS!$H$4:$H$803,G2600,MOVIMIENTOS_COMPLEMENTOS!$B$4:$B$803,"INGRESO")+SUMIFS(MOVIMIENTOS_COMPLEMENTOS!$I$4:$I$803,MOVIMIENTOS_COMPLEMENTOS!$C$4:$C$803,A2600,MOVIMIENTOS_COMPLEMENTOS!$D$4:$D$803,B2600,MOVIMIENTOS_COMPLEMENTOS!$E$4:$E$803,C2600,MOVIMIENTOS_COMPLEMENTOS!$F$4:$F$803,D2600,MOVIMIENTOS_COMPLEMENTOS!$G$4:$G$803,E2600,MOVIMIENTOS_COMPLEMENTOS!$H$4:$H$803,G2600,MOVIMIENTOS_COMPLEMENTOS!$B$4:$B$803,"DE CORTE")-SUMIFS(MOVIMIENTOS_COMPLEMENTOS!$I$4:$I$803,MOVIMIENTOS_COMPLEMENTOS!$C$4:$C$803,A2600,MOVIMIENTOS_COMPLEMENTOS!$D$4:$D$803,B2600,MOVIMIENTOS_COMPLEMENTOS!$E$4:$E$803,C2600,MOVIMIENTOS_COMPLEMENTOS!$F$4:$F$803,D2600,MOVIMIENTOS_COMPLEMENTOS!$G$4:$G$803,E2600,MOVIMIENTOS_COMPLEMENTOS!$H$4:$H$803,G2600,MOVIMIENTOS_COMPLEMENTOS!$B$4:$B$803,"SALIDA"),0)</f>
        <v>0</v>
      </c>
      <c r="I2600" s="102">
        <f t="array" ref="I2600">IFERROR(INDEX(PRECIOS_COMPLEMENTOS!$C$4:$F$17,MATCH(B2600&amp;"_"&amp;C2600,PRECIOS_COMPLEMENTOS!$H$4:$H$17,0),IF(OR(G2600="S",G2600="20cm"),1,IF(OR(G2600="M",G2600="25cm"),2,IF(OR(G2600="L",G2600="30cm"),3,IF(OR(G2600="XL",G2600="35cm"),4,0))))),0)</f>
        <v>0.6</v>
      </c>
      <c r="J2600" s="103">
        <f t="shared" si="1"/>
        <v>0</v>
      </c>
      <c r="K2600" s="104" t="str">
        <f>IF(H2600&lt;0,"ERROR",IF(H2600=0,"",IF(H2600&lt;CONFIG!$B$4,"CRÍTICO",IF(H2600&lt;CONFIG!$B$5,"BAJO","OK"))))</f>
        <v/>
      </c>
    </row>
    <row r="2601" ht="15.75" hidden="1" customHeight="1">
      <c r="A2601" s="90" t="str">
        <f>IF(CLIENTES!A8="","",CLIENTES!A8)</f>
        <v/>
      </c>
      <c r="B2601" s="90" t="s">
        <v>331</v>
      </c>
      <c r="C2601" s="91" t="s">
        <v>328</v>
      </c>
      <c r="D2601" s="109" t="s">
        <v>364</v>
      </c>
      <c r="E2601" s="67" t="str">
        <f>COLORES!A13</f>
        <v>Camote</v>
      </c>
      <c r="F2601" s="67" t="str">
        <f>COLORES!B13</f>
        <v>CLARO</v>
      </c>
      <c r="G2601" s="90" t="s">
        <v>376</v>
      </c>
      <c r="H2601" s="100">
        <f>IFERROR(SUMIFS(MOVIMIENTOS_COMPLEMENTOS!$I$4:$I$803,MOVIMIENTOS_COMPLEMENTOS!$C$4:$C$803,A2601,MOVIMIENTOS_COMPLEMENTOS!$D$4:$D$803,B2601,MOVIMIENTOS_COMPLEMENTOS!$E$4:$E$803,C2601,MOVIMIENTOS_COMPLEMENTOS!$F$4:$F$803,D2601,MOVIMIENTOS_COMPLEMENTOS!$G$4:$G$803,E2601,MOVIMIENTOS_COMPLEMENTOS!$H$4:$H$803,G2601,MOVIMIENTOS_COMPLEMENTOS!$B$4:$B$803,"INGRESO")+SUMIFS(MOVIMIENTOS_COMPLEMENTOS!$I$4:$I$803,MOVIMIENTOS_COMPLEMENTOS!$C$4:$C$803,A2601,MOVIMIENTOS_COMPLEMENTOS!$D$4:$D$803,B2601,MOVIMIENTOS_COMPLEMENTOS!$E$4:$E$803,C2601,MOVIMIENTOS_COMPLEMENTOS!$F$4:$F$803,D2601,MOVIMIENTOS_COMPLEMENTOS!$G$4:$G$803,E2601,MOVIMIENTOS_COMPLEMENTOS!$H$4:$H$803,G2601,MOVIMIENTOS_COMPLEMENTOS!$B$4:$B$803,"DE CORTE")-SUMIFS(MOVIMIENTOS_COMPLEMENTOS!$I$4:$I$803,MOVIMIENTOS_COMPLEMENTOS!$C$4:$C$803,A2601,MOVIMIENTOS_COMPLEMENTOS!$D$4:$D$803,B2601,MOVIMIENTOS_COMPLEMENTOS!$E$4:$E$803,C2601,MOVIMIENTOS_COMPLEMENTOS!$F$4:$F$803,D2601,MOVIMIENTOS_COMPLEMENTOS!$G$4:$G$803,E2601,MOVIMIENTOS_COMPLEMENTOS!$H$4:$H$803,G2601,MOVIMIENTOS_COMPLEMENTOS!$B$4:$B$803,"SALIDA"),0)</f>
        <v>0</v>
      </c>
      <c r="I2601" s="102">
        <f t="array" ref="I2601">IFERROR(INDEX(PRECIOS_COMPLEMENTOS!$C$4:$F$17,MATCH(B2601&amp;"_"&amp;C2601,PRECIOS_COMPLEMENTOS!$H$4:$H$17,0),IF(OR(G2601="S",G2601="20cm"),1,IF(OR(G2601="M",G2601="25cm"),2,IF(OR(G2601="L",G2601="30cm"),3,IF(OR(G2601="XL",G2601="35cm"),4,0))))),0)</f>
        <v>0.6</v>
      </c>
      <c r="J2601" s="103">
        <f t="shared" si="1"/>
        <v>0</v>
      </c>
      <c r="K2601" s="104" t="str">
        <f>IF(H2601&lt;0,"ERROR",IF(H2601=0,"",IF(H2601&lt;CONFIG!$B$4,"CRÍTICO",IF(H2601&lt;CONFIG!$B$5,"BAJO","OK"))))</f>
        <v/>
      </c>
    </row>
    <row r="2602" ht="15.75" hidden="1" customHeight="1">
      <c r="A2602" s="90" t="str">
        <f>IF(CLIENTES!A8="","",CLIENTES!A8)</f>
        <v/>
      </c>
      <c r="B2602" s="90" t="s">
        <v>331</v>
      </c>
      <c r="C2602" s="91" t="s">
        <v>328</v>
      </c>
      <c r="D2602" s="109" t="s">
        <v>364</v>
      </c>
      <c r="E2602" s="67" t="str">
        <f>COLORES!A13</f>
        <v>Camote</v>
      </c>
      <c r="F2602" s="67" t="str">
        <f>COLORES!B13</f>
        <v>CLARO</v>
      </c>
      <c r="G2602" s="90" t="s">
        <v>377</v>
      </c>
      <c r="H2602" s="100">
        <f>IFERROR(SUMIFS(MOVIMIENTOS_COMPLEMENTOS!$I$4:$I$803,MOVIMIENTOS_COMPLEMENTOS!$C$4:$C$803,A2602,MOVIMIENTOS_COMPLEMENTOS!$D$4:$D$803,B2602,MOVIMIENTOS_COMPLEMENTOS!$E$4:$E$803,C2602,MOVIMIENTOS_COMPLEMENTOS!$F$4:$F$803,D2602,MOVIMIENTOS_COMPLEMENTOS!$G$4:$G$803,E2602,MOVIMIENTOS_COMPLEMENTOS!$H$4:$H$803,G2602,MOVIMIENTOS_COMPLEMENTOS!$B$4:$B$803,"INGRESO")+SUMIFS(MOVIMIENTOS_COMPLEMENTOS!$I$4:$I$803,MOVIMIENTOS_COMPLEMENTOS!$C$4:$C$803,A2602,MOVIMIENTOS_COMPLEMENTOS!$D$4:$D$803,B2602,MOVIMIENTOS_COMPLEMENTOS!$E$4:$E$803,C2602,MOVIMIENTOS_COMPLEMENTOS!$F$4:$F$803,D2602,MOVIMIENTOS_COMPLEMENTOS!$G$4:$G$803,E2602,MOVIMIENTOS_COMPLEMENTOS!$H$4:$H$803,G2602,MOVIMIENTOS_COMPLEMENTOS!$B$4:$B$803,"DE CORTE")-SUMIFS(MOVIMIENTOS_COMPLEMENTOS!$I$4:$I$803,MOVIMIENTOS_COMPLEMENTOS!$C$4:$C$803,A2602,MOVIMIENTOS_COMPLEMENTOS!$D$4:$D$803,B2602,MOVIMIENTOS_COMPLEMENTOS!$E$4:$E$803,C2602,MOVIMIENTOS_COMPLEMENTOS!$F$4:$F$803,D2602,MOVIMIENTOS_COMPLEMENTOS!$G$4:$G$803,E2602,MOVIMIENTOS_COMPLEMENTOS!$H$4:$H$803,G2602,MOVIMIENTOS_COMPLEMENTOS!$B$4:$B$803,"SALIDA"),0)</f>
        <v>0</v>
      </c>
      <c r="I2602" s="102">
        <f t="array" ref="I2602">IFERROR(INDEX(PRECIOS_COMPLEMENTOS!$C$4:$F$17,MATCH(B2602&amp;"_"&amp;C2602,PRECIOS_COMPLEMENTOS!$H$4:$H$17,0),IF(OR(G2602="S",G2602="20cm"),1,IF(OR(G2602="M",G2602="25cm"),2,IF(OR(G2602="L",G2602="30cm"),3,IF(OR(G2602="XL",G2602="35cm"),4,0))))),0)</f>
        <v>0.6</v>
      </c>
      <c r="J2602" s="103">
        <f t="shared" si="1"/>
        <v>0</v>
      </c>
      <c r="K2602" s="104" t="str">
        <f>IF(H2602&lt;0,"ERROR",IF(H2602=0,"",IF(H2602&lt;CONFIG!$B$4,"CRÍTICO",IF(H2602&lt;CONFIG!$B$5,"BAJO","OK"))))</f>
        <v/>
      </c>
    </row>
    <row r="2603" ht="15.75" hidden="1" customHeight="1">
      <c r="A2603" s="90" t="str">
        <f>IF(CLIENTES!A8="","",CLIENTES!A8)</f>
        <v/>
      </c>
      <c r="B2603" s="90" t="s">
        <v>331</v>
      </c>
      <c r="C2603" s="91" t="s">
        <v>328</v>
      </c>
      <c r="D2603" s="109" t="s">
        <v>364</v>
      </c>
      <c r="E2603" s="67" t="str">
        <f>COLORES!A13</f>
        <v>Camote</v>
      </c>
      <c r="F2603" s="67" t="str">
        <f>COLORES!B13</f>
        <v>CLARO</v>
      </c>
      <c r="G2603" s="90" t="s">
        <v>379</v>
      </c>
      <c r="H2603" s="100">
        <f>IFERROR(SUMIFS(MOVIMIENTOS_COMPLEMENTOS!$I$4:$I$803,MOVIMIENTOS_COMPLEMENTOS!$C$4:$C$803,A2603,MOVIMIENTOS_COMPLEMENTOS!$D$4:$D$803,B2603,MOVIMIENTOS_COMPLEMENTOS!$E$4:$E$803,C2603,MOVIMIENTOS_COMPLEMENTOS!$F$4:$F$803,D2603,MOVIMIENTOS_COMPLEMENTOS!$G$4:$G$803,E2603,MOVIMIENTOS_COMPLEMENTOS!$H$4:$H$803,G2603,MOVIMIENTOS_COMPLEMENTOS!$B$4:$B$803,"INGRESO")+SUMIFS(MOVIMIENTOS_COMPLEMENTOS!$I$4:$I$803,MOVIMIENTOS_COMPLEMENTOS!$C$4:$C$803,A2603,MOVIMIENTOS_COMPLEMENTOS!$D$4:$D$803,B2603,MOVIMIENTOS_COMPLEMENTOS!$E$4:$E$803,C2603,MOVIMIENTOS_COMPLEMENTOS!$F$4:$F$803,D2603,MOVIMIENTOS_COMPLEMENTOS!$G$4:$G$803,E2603,MOVIMIENTOS_COMPLEMENTOS!$H$4:$H$803,G2603,MOVIMIENTOS_COMPLEMENTOS!$B$4:$B$803,"DE CORTE")-SUMIFS(MOVIMIENTOS_COMPLEMENTOS!$I$4:$I$803,MOVIMIENTOS_COMPLEMENTOS!$C$4:$C$803,A2603,MOVIMIENTOS_COMPLEMENTOS!$D$4:$D$803,B2603,MOVIMIENTOS_COMPLEMENTOS!$E$4:$E$803,C2603,MOVIMIENTOS_COMPLEMENTOS!$F$4:$F$803,D2603,MOVIMIENTOS_COMPLEMENTOS!$G$4:$G$803,E2603,MOVIMIENTOS_COMPLEMENTOS!$H$4:$H$803,G2603,MOVIMIENTOS_COMPLEMENTOS!$B$4:$B$803,"SALIDA"),0)</f>
        <v>0</v>
      </c>
      <c r="I2603" s="102">
        <f t="array" ref="I2603">IFERROR(INDEX(PRECIOS_COMPLEMENTOS!$C$4:$F$17,MATCH(B2603&amp;"_"&amp;C2603,PRECIOS_COMPLEMENTOS!$H$4:$H$17,0),IF(OR(G2603="S",G2603="20cm"),1,IF(OR(G2603="M",G2603="25cm"),2,IF(OR(G2603="L",G2603="30cm"),3,IF(OR(G2603="XL",G2603="35cm"),4,0))))),0)</f>
        <v>0.6</v>
      </c>
      <c r="J2603" s="103">
        <f t="shared" si="1"/>
        <v>0</v>
      </c>
      <c r="K2603" s="104" t="str">
        <f>IF(H2603&lt;0,"ERROR",IF(H2603=0,"",IF(H2603&lt;CONFIG!$B$4,"CRÍTICO",IF(H2603&lt;CONFIG!$B$5,"BAJO","OK"))))</f>
        <v/>
      </c>
    </row>
    <row r="2604" ht="15.75" hidden="1" customHeight="1">
      <c r="A2604" s="90" t="str">
        <f>IF(CLIENTES!A8="","",CLIENTES!A8)</f>
        <v/>
      </c>
      <c r="B2604" s="90" t="s">
        <v>331</v>
      </c>
      <c r="C2604" s="91" t="s">
        <v>328</v>
      </c>
      <c r="D2604" s="109" t="s">
        <v>364</v>
      </c>
      <c r="E2604" s="67" t="str">
        <f>COLORES!A14</f>
        <v>Denim</v>
      </c>
      <c r="F2604" s="67" t="str">
        <f>COLORES!B14</f>
        <v>CLARO</v>
      </c>
      <c r="G2604" s="90" t="s">
        <v>378</v>
      </c>
      <c r="H2604" s="100">
        <f>IFERROR(SUMIFS(MOVIMIENTOS_COMPLEMENTOS!$I$4:$I$803,MOVIMIENTOS_COMPLEMENTOS!$C$4:$C$803,A2604,MOVIMIENTOS_COMPLEMENTOS!$D$4:$D$803,B2604,MOVIMIENTOS_COMPLEMENTOS!$E$4:$E$803,C2604,MOVIMIENTOS_COMPLEMENTOS!$F$4:$F$803,D2604,MOVIMIENTOS_COMPLEMENTOS!$G$4:$G$803,E2604,MOVIMIENTOS_COMPLEMENTOS!$H$4:$H$803,G2604,MOVIMIENTOS_COMPLEMENTOS!$B$4:$B$803,"INGRESO")+SUMIFS(MOVIMIENTOS_COMPLEMENTOS!$I$4:$I$803,MOVIMIENTOS_COMPLEMENTOS!$C$4:$C$803,A2604,MOVIMIENTOS_COMPLEMENTOS!$D$4:$D$803,B2604,MOVIMIENTOS_COMPLEMENTOS!$E$4:$E$803,C2604,MOVIMIENTOS_COMPLEMENTOS!$F$4:$F$803,D2604,MOVIMIENTOS_COMPLEMENTOS!$G$4:$G$803,E2604,MOVIMIENTOS_COMPLEMENTOS!$H$4:$H$803,G2604,MOVIMIENTOS_COMPLEMENTOS!$B$4:$B$803,"DE CORTE")-SUMIFS(MOVIMIENTOS_COMPLEMENTOS!$I$4:$I$803,MOVIMIENTOS_COMPLEMENTOS!$C$4:$C$803,A2604,MOVIMIENTOS_COMPLEMENTOS!$D$4:$D$803,B2604,MOVIMIENTOS_COMPLEMENTOS!$E$4:$E$803,C2604,MOVIMIENTOS_COMPLEMENTOS!$F$4:$F$803,D2604,MOVIMIENTOS_COMPLEMENTOS!$G$4:$G$803,E2604,MOVIMIENTOS_COMPLEMENTOS!$H$4:$H$803,G2604,MOVIMIENTOS_COMPLEMENTOS!$B$4:$B$803,"SALIDA"),0)</f>
        <v>0</v>
      </c>
      <c r="I2604" s="102">
        <f t="array" ref="I2604">IFERROR(INDEX(PRECIOS_COMPLEMENTOS!$C$4:$F$17,MATCH(B2604&amp;"_"&amp;C2604,PRECIOS_COMPLEMENTOS!$H$4:$H$17,0),IF(OR(G2604="S",G2604="20cm"),1,IF(OR(G2604="M",G2604="25cm"),2,IF(OR(G2604="L",G2604="30cm"),3,IF(OR(G2604="XL",G2604="35cm"),4,0))))),0)</f>
        <v>0.6</v>
      </c>
      <c r="J2604" s="103">
        <f t="shared" si="1"/>
        <v>0</v>
      </c>
      <c r="K2604" s="104" t="str">
        <f>IF(H2604&lt;0,"ERROR",IF(H2604=0,"",IF(H2604&lt;CONFIG!$B$4,"CRÍTICO",IF(H2604&lt;CONFIG!$B$5,"BAJO","OK"))))</f>
        <v/>
      </c>
    </row>
    <row r="2605" ht="15.75" hidden="1" customHeight="1">
      <c r="A2605" s="90" t="str">
        <f>IF(CLIENTES!A8="","",CLIENTES!A8)</f>
        <v/>
      </c>
      <c r="B2605" s="90" t="s">
        <v>331</v>
      </c>
      <c r="C2605" s="91" t="s">
        <v>328</v>
      </c>
      <c r="D2605" s="109" t="s">
        <v>364</v>
      </c>
      <c r="E2605" s="67" t="str">
        <f>COLORES!A14</f>
        <v>Denim</v>
      </c>
      <c r="F2605" s="67" t="str">
        <f>COLORES!B14</f>
        <v>CLARO</v>
      </c>
      <c r="G2605" s="90" t="s">
        <v>376</v>
      </c>
      <c r="H2605" s="100">
        <f>IFERROR(SUMIFS(MOVIMIENTOS_COMPLEMENTOS!$I$4:$I$803,MOVIMIENTOS_COMPLEMENTOS!$C$4:$C$803,A2605,MOVIMIENTOS_COMPLEMENTOS!$D$4:$D$803,B2605,MOVIMIENTOS_COMPLEMENTOS!$E$4:$E$803,C2605,MOVIMIENTOS_COMPLEMENTOS!$F$4:$F$803,D2605,MOVIMIENTOS_COMPLEMENTOS!$G$4:$G$803,E2605,MOVIMIENTOS_COMPLEMENTOS!$H$4:$H$803,G2605,MOVIMIENTOS_COMPLEMENTOS!$B$4:$B$803,"INGRESO")+SUMIFS(MOVIMIENTOS_COMPLEMENTOS!$I$4:$I$803,MOVIMIENTOS_COMPLEMENTOS!$C$4:$C$803,A2605,MOVIMIENTOS_COMPLEMENTOS!$D$4:$D$803,B2605,MOVIMIENTOS_COMPLEMENTOS!$E$4:$E$803,C2605,MOVIMIENTOS_COMPLEMENTOS!$F$4:$F$803,D2605,MOVIMIENTOS_COMPLEMENTOS!$G$4:$G$803,E2605,MOVIMIENTOS_COMPLEMENTOS!$H$4:$H$803,G2605,MOVIMIENTOS_COMPLEMENTOS!$B$4:$B$803,"DE CORTE")-SUMIFS(MOVIMIENTOS_COMPLEMENTOS!$I$4:$I$803,MOVIMIENTOS_COMPLEMENTOS!$C$4:$C$803,A2605,MOVIMIENTOS_COMPLEMENTOS!$D$4:$D$803,B2605,MOVIMIENTOS_COMPLEMENTOS!$E$4:$E$803,C2605,MOVIMIENTOS_COMPLEMENTOS!$F$4:$F$803,D2605,MOVIMIENTOS_COMPLEMENTOS!$G$4:$G$803,E2605,MOVIMIENTOS_COMPLEMENTOS!$H$4:$H$803,G2605,MOVIMIENTOS_COMPLEMENTOS!$B$4:$B$803,"SALIDA"),0)</f>
        <v>0</v>
      </c>
      <c r="I2605" s="102">
        <f t="array" ref="I2605">IFERROR(INDEX(PRECIOS_COMPLEMENTOS!$C$4:$F$17,MATCH(B2605&amp;"_"&amp;C2605,PRECIOS_COMPLEMENTOS!$H$4:$H$17,0),IF(OR(G2605="S",G2605="20cm"),1,IF(OR(G2605="M",G2605="25cm"),2,IF(OR(G2605="L",G2605="30cm"),3,IF(OR(G2605="XL",G2605="35cm"),4,0))))),0)</f>
        <v>0.6</v>
      </c>
      <c r="J2605" s="103">
        <f t="shared" si="1"/>
        <v>0</v>
      </c>
      <c r="K2605" s="104" t="str">
        <f>IF(H2605&lt;0,"ERROR",IF(H2605=0,"",IF(H2605&lt;CONFIG!$B$4,"CRÍTICO",IF(H2605&lt;CONFIG!$B$5,"BAJO","OK"))))</f>
        <v/>
      </c>
    </row>
    <row r="2606" ht="15.75" hidden="1" customHeight="1">
      <c r="A2606" s="90" t="str">
        <f>IF(CLIENTES!A8="","",CLIENTES!A8)</f>
        <v/>
      </c>
      <c r="B2606" s="90" t="s">
        <v>331</v>
      </c>
      <c r="C2606" s="91" t="s">
        <v>328</v>
      </c>
      <c r="D2606" s="109" t="s">
        <v>364</v>
      </c>
      <c r="E2606" s="67" t="str">
        <f>COLORES!A14</f>
        <v>Denim</v>
      </c>
      <c r="F2606" s="67" t="str">
        <f>COLORES!B14</f>
        <v>CLARO</v>
      </c>
      <c r="G2606" s="90" t="s">
        <v>377</v>
      </c>
      <c r="H2606" s="100">
        <f>IFERROR(SUMIFS(MOVIMIENTOS_COMPLEMENTOS!$I$4:$I$803,MOVIMIENTOS_COMPLEMENTOS!$C$4:$C$803,A2606,MOVIMIENTOS_COMPLEMENTOS!$D$4:$D$803,B2606,MOVIMIENTOS_COMPLEMENTOS!$E$4:$E$803,C2606,MOVIMIENTOS_COMPLEMENTOS!$F$4:$F$803,D2606,MOVIMIENTOS_COMPLEMENTOS!$G$4:$G$803,E2606,MOVIMIENTOS_COMPLEMENTOS!$H$4:$H$803,G2606,MOVIMIENTOS_COMPLEMENTOS!$B$4:$B$803,"INGRESO")+SUMIFS(MOVIMIENTOS_COMPLEMENTOS!$I$4:$I$803,MOVIMIENTOS_COMPLEMENTOS!$C$4:$C$803,A2606,MOVIMIENTOS_COMPLEMENTOS!$D$4:$D$803,B2606,MOVIMIENTOS_COMPLEMENTOS!$E$4:$E$803,C2606,MOVIMIENTOS_COMPLEMENTOS!$F$4:$F$803,D2606,MOVIMIENTOS_COMPLEMENTOS!$G$4:$G$803,E2606,MOVIMIENTOS_COMPLEMENTOS!$H$4:$H$803,G2606,MOVIMIENTOS_COMPLEMENTOS!$B$4:$B$803,"DE CORTE")-SUMIFS(MOVIMIENTOS_COMPLEMENTOS!$I$4:$I$803,MOVIMIENTOS_COMPLEMENTOS!$C$4:$C$803,A2606,MOVIMIENTOS_COMPLEMENTOS!$D$4:$D$803,B2606,MOVIMIENTOS_COMPLEMENTOS!$E$4:$E$803,C2606,MOVIMIENTOS_COMPLEMENTOS!$F$4:$F$803,D2606,MOVIMIENTOS_COMPLEMENTOS!$G$4:$G$803,E2606,MOVIMIENTOS_COMPLEMENTOS!$H$4:$H$803,G2606,MOVIMIENTOS_COMPLEMENTOS!$B$4:$B$803,"SALIDA"),0)</f>
        <v>0</v>
      </c>
      <c r="I2606" s="102">
        <f t="array" ref="I2606">IFERROR(INDEX(PRECIOS_COMPLEMENTOS!$C$4:$F$17,MATCH(B2606&amp;"_"&amp;C2606,PRECIOS_COMPLEMENTOS!$H$4:$H$17,0),IF(OR(G2606="S",G2606="20cm"),1,IF(OR(G2606="M",G2606="25cm"),2,IF(OR(G2606="L",G2606="30cm"),3,IF(OR(G2606="XL",G2606="35cm"),4,0))))),0)</f>
        <v>0.6</v>
      </c>
      <c r="J2606" s="103">
        <f t="shared" si="1"/>
        <v>0</v>
      </c>
      <c r="K2606" s="104" t="str">
        <f>IF(H2606&lt;0,"ERROR",IF(H2606=0,"",IF(H2606&lt;CONFIG!$B$4,"CRÍTICO",IF(H2606&lt;CONFIG!$B$5,"BAJO","OK"))))</f>
        <v/>
      </c>
    </row>
    <row r="2607" ht="15.75" hidden="1" customHeight="1">
      <c r="A2607" s="90" t="str">
        <f>IF(CLIENTES!A8="","",CLIENTES!A8)</f>
        <v/>
      </c>
      <c r="B2607" s="90" t="s">
        <v>331</v>
      </c>
      <c r="C2607" s="91" t="s">
        <v>328</v>
      </c>
      <c r="D2607" s="109" t="s">
        <v>364</v>
      </c>
      <c r="E2607" s="67" t="str">
        <f>COLORES!A14</f>
        <v>Denim</v>
      </c>
      <c r="F2607" s="67" t="str">
        <f>COLORES!B14</f>
        <v>CLARO</v>
      </c>
      <c r="G2607" s="90" t="s">
        <v>379</v>
      </c>
      <c r="H2607" s="100">
        <f>IFERROR(SUMIFS(MOVIMIENTOS_COMPLEMENTOS!$I$4:$I$803,MOVIMIENTOS_COMPLEMENTOS!$C$4:$C$803,A2607,MOVIMIENTOS_COMPLEMENTOS!$D$4:$D$803,B2607,MOVIMIENTOS_COMPLEMENTOS!$E$4:$E$803,C2607,MOVIMIENTOS_COMPLEMENTOS!$F$4:$F$803,D2607,MOVIMIENTOS_COMPLEMENTOS!$G$4:$G$803,E2607,MOVIMIENTOS_COMPLEMENTOS!$H$4:$H$803,G2607,MOVIMIENTOS_COMPLEMENTOS!$B$4:$B$803,"INGRESO")+SUMIFS(MOVIMIENTOS_COMPLEMENTOS!$I$4:$I$803,MOVIMIENTOS_COMPLEMENTOS!$C$4:$C$803,A2607,MOVIMIENTOS_COMPLEMENTOS!$D$4:$D$803,B2607,MOVIMIENTOS_COMPLEMENTOS!$E$4:$E$803,C2607,MOVIMIENTOS_COMPLEMENTOS!$F$4:$F$803,D2607,MOVIMIENTOS_COMPLEMENTOS!$G$4:$G$803,E2607,MOVIMIENTOS_COMPLEMENTOS!$H$4:$H$803,G2607,MOVIMIENTOS_COMPLEMENTOS!$B$4:$B$803,"DE CORTE")-SUMIFS(MOVIMIENTOS_COMPLEMENTOS!$I$4:$I$803,MOVIMIENTOS_COMPLEMENTOS!$C$4:$C$803,A2607,MOVIMIENTOS_COMPLEMENTOS!$D$4:$D$803,B2607,MOVIMIENTOS_COMPLEMENTOS!$E$4:$E$803,C2607,MOVIMIENTOS_COMPLEMENTOS!$F$4:$F$803,D2607,MOVIMIENTOS_COMPLEMENTOS!$G$4:$G$803,E2607,MOVIMIENTOS_COMPLEMENTOS!$H$4:$H$803,G2607,MOVIMIENTOS_COMPLEMENTOS!$B$4:$B$803,"SALIDA"),0)</f>
        <v>0</v>
      </c>
      <c r="I2607" s="102">
        <f t="array" ref="I2607">IFERROR(INDEX(PRECIOS_COMPLEMENTOS!$C$4:$F$17,MATCH(B2607&amp;"_"&amp;C2607,PRECIOS_COMPLEMENTOS!$H$4:$H$17,0),IF(OR(G2607="S",G2607="20cm"),1,IF(OR(G2607="M",G2607="25cm"),2,IF(OR(G2607="L",G2607="30cm"),3,IF(OR(G2607="XL",G2607="35cm"),4,0))))),0)</f>
        <v>0.6</v>
      </c>
      <c r="J2607" s="103">
        <f t="shared" si="1"/>
        <v>0</v>
      </c>
      <c r="K2607" s="104" t="str">
        <f>IF(H2607&lt;0,"ERROR",IF(H2607=0,"",IF(H2607&lt;CONFIG!$B$4,"CRÍTICO",IF(H2607&lt;CONFIG!$B$5,"BAJO","OK"))))</f>
        <v/>
      </c>
    </row>
    <row r="2608" ht="15.75" hidden="1" customHeight="1">
      <c r="A2608" s="90" t="str">
        <f>IF(CLIENTES!A8="","",CLIENTES!A8)</f>
        <v/>
      </c>
      <c r="B2608" s="90" t="s">
        <v>331</v>
      </c>
      <c r="C2608" s="91" t="s">
        <v>328</v>
      </c>
      <c r="D2608" s="109" t="s">
        <v>364</v>
      </c>
      <c r="E2608" s="67" t="str">
        <f>COLORES!A15</f>
        <v>Plomo</v>
      </c>
      <c r="F2608" s="67" t="str">
        <f>COLORES!B15</f>
        <v>OSCURO</v>
      </c>
      <c r="G2608" s="90" t="s">
        <v>378</v>
      </c>
      <c r="H2608" s="100">
        <f>IFERROR(SUMIFS(MOVIMIENTOS_COMPLEMENTOS!$I$4:$I$803,MOVIMIENTOS_COMPLEMENTOS!$C$4:$C$803,A2608,MOVIMIENTOS_COMPLEMENTOS!$D$4:$D$803,B2608,MOVIMIENTOS_COMPLEMENTOS!$E$4:$E$803,C2608,MOVIMIENTOS_COMPLEMENTOS!$F$4:$F$803,D2608,MOVIMIENTOS_COMPLEMENTOS!$G$4:$G$803,E2608,MOVIMIENTOS_COMPLEMENTOS!$H$4:$H$803,G2608,MOVIMIENTOS_COMPLEMENTOS!$B$4:$B$803,"INGRESO")+SUMIFS(MOVIMIENTOS_COMPLEMENTOS!$I$4:$I$803,MOVIMIENTOS_COMPLEMENTOS!$C$4:$C$803,A2608,MOVIMIENTOS_COMPLEMENTOS!$D$4:$D$803,B2608,MOVIMIENTOS_COMPLEMENTOS!$E$4:$E$803,C2608,MOVIMIENTOS_COMPLEMENTOS!$F$4:$F$803,D2608,MOVIMIENTOS_COMPLEMENTOS!$G$4:$G$803,E2608,MOVIMIENTOS_COMPLEMENTOS!$H$4:$H$803,G2608,MOVIMIENTOS_COMPLEMENTOS!$B$4:$B$803,"DE CORTE")-SUMIFS(MOVIMIENTOS_COMPLEMENTOS!$I$4:$I$803,MOVIMIENTOS_COMPLEMENTOS!$C$4:$C$803,A2608,MOVIMIENTOS_COMPLEMENTOS!$D$4:$D$803,B2608,MOVIMIENTOS_COMPLEMENTOS!$E$4:$E$803,C2608,MOVIMIENTOS_COMPLEMENTOS!$F$4:$F$803,D2608,MOVIMIENTOS_COMPLEMENTOS!$G$4:$G$803,E2608,MOVIMIENTOS_COMPLEMENTOS!$H$4:$H$803,G2608,MOVIMIENTOS_COMPLEMENTOS!$B$4:$B$803,"SALIDA"),0)</f>
        <v>0</v>
      </c>
      <c r="I2608" s="102">
        <f t="array" ref="I2608">IFERROR(INDEX(PRECIOS_COMPLEMENTOS!$C$4:$F$17,MATCH(B2608&amp;"_"&amp;C2608,PRECIOS_COMPLEMENTOS!$H$4:$H$17,0),IF(OR(G2608="S",G2608="20cm"),1,IF(OR(G2608="M",G2608="25cm"),2,IF(OR(G2608="L",G2608="30cm"),3,IF(OR(G2608="XL",G2608="35cm"),4,0))))),0)</f>
        <v>0.6</v>
      </c>
      <c r="J2608" s="103">
        <f t="shared" si="1"/>
        <v>0</v>
      </c>
      <c r="K2608" s="104" t="str">
        <f>IF(H2608&lt;0,"ERROR",IF(H2608=0,"",IF(H2608&lt;CONFIG!$B$4,"CRÍTICO",IF(H2608&lt;CONFIG!$B$5,"BAJO","OK"))))</f>
        <v/>
      </c>
    </row>
    <row r="2609" ht="15.75" hidden="1" customHeight="1">
      <c r="A2609" s="90" t="str">
        <f>IF(CLIENTES!A8="","",CLIENTES!A8)</f>
        <v/>
      </c>
      <c r="B2609" s="90" t="s">
        <v>331</v>
      </c>
      <c r="C2609" s="91" t="s">
        <v>328</v>
      </c>
      <c r="D2609" s="109" t="s">
        <v>364</v>
      </c>
      <c r="E2609" s="67" t="str">
        <f>COLORES!A15</f>
        <v>Plomo</v>
      </c>
      <c r="F2609" s="67" t="str">
        <f>COLORES!B15</f>
        <v>OSCURO</v>
      </c>
      <c r="G2609" s="90" t="s">
        <v>376</v>
      </c>
      <c r="H2609" s="100">
        <f>IFERROR(SUMIFS(MOVIMIENTOS_COMPLEMENTOS!$I$4:$I$803,MOVIMIENTOS_COMPLEMENTOS!$C$4:$C$803,A2609,MOVIMIENTOS_COMPLEMENTOS!$D$4:$D$803,B2609,MOVIMIENTOS_COMPLEMENTOS!$E$4:$E$803,C2609,MOVIMIENTOS_COMPLEMENTOS!$F$4:$F$803,D2609,MOVIMIENTOS_COMPLEMENTOS!$G$4:$G$803,E2609,MOVIMIENTOS_COMPLEMENTOS!$H$4:$H$803,G2609,MOVIMIENTOS_COMPLEMENTOS!$B$4:$B$803,"INGRESO")+SUMIFS(MOVIMIENTOS_COMPLEMENTOS!$I$4:$I$803,MOVIMIENTOS_COMPLEMENTOS!$C$4:$C$803,A2609,MOVIMIENTOS_COMPLEMENTOS!$D$4:$D$803,B2609,MOVIMIENTOS_COMPLEMENTOS!$E$4:$E$803,C2609,MOVIMIENTOS_COMPLEMENTOS!$F$4:$F$803,D2609,MOVIMIENTOS_COMPLEMENTOS!$G$4:$G$803,E2609,MOVIMIENTOS_COMPLEMENTOS!$H$4:$H$803,G2609,MOVIMIENTOS_COMPLEMENTOS!$B$4:$B$803,"DE CORTE")-SUMIFS(MOVIMIENTOS_COMPLEMENTOS!$I$4:$I$803,MOVIMIENTOS_COMPLEMENTOS!$C$4:$C$803,A2609,MOVIMIENTOS_COMPLEMENTOS!$D$4:$D$803,B2609,MOVIMIENTOS_COMPLEMENTOS!$E$4:$E$803,C2609,MOVIMIENTOS_COMPLEMENTOS!$F$4:$F$803,D2609,MOVIMIENTOS_COMPLEMENTOS!$G$4:$G$803,E2609,MOVIMIENTOS_COMPLEMENTOS!$H$4:$H$803,G2609,MOVIMIENTOS_COMPLEMENTOS!$B$4:$B$803,"SALIDA"),0)</f>
        <v>0</v>
      </c>
      <c r="I2609" s="102">
        <f t="array" ref="I2609">IFERROR(INDEX(PRECIOS_COMPLEMENTOS!$C$4:$F$17,MATCH(B2609&amp;"_"&amp;C2609,PRECIOS_COMPLEMENTOS!$H$4:$H$17,0),IF(OR(G2609="S",G2609="20cm"),1,IF(OR(G2609="M",G2609="25cm"),2,IF(OR(G2609="L",G2609="30cm"),3,IF(OR(G2609="XL",G2609="35cm"),4,0))))),0)</f>
        <v>0.6</v>
      </c>
      <c r="J2609" s="103">
        <f t="shared" si="1"/>
        <v>0</v>
      </c>
      <c r="K2609" s="104" t="str">
        <f>IF(H2609&lt;0,"ERROR",IF(H2609=0,"",IF(H2609&lt;CONFIG!$B$4,"CRÍTICO",IF(H2609&lt;CONFIG!$B$5,"BAJO","OK"))))</f>
        <v/>
      </c>
    </row>
    <row r="2610" ht="15.75" hidden="1" customHeight="1">
      <c r="A2610" s="90" t="str">
        <f>IF(CLIENTES!A8="","",CLIENTES!A8)</f>
        <v/>
      </c>
      <c r="B2610" s="90" t="s">
        <v>331</v>
      </c>
      <c r="C2610" s="91" t="s">
        <v>328</v>
      </c>
      <c r="D2610" s="109" t="s">
        <v>364</v>
      </c>
      <c r="E2610" s="67" t="str">
        <f>COLORES!A15</f>
        <v>Plomo</v>
      </c>
      <c r="F2610" s="67" t="str">
        <f>COLORES!B15</f>
        <v>OSCURO</v>
      </c>
      <c r="G2610" s="90" t="s">
        <v>377</v>
      </c>
      <c r="H2610" s="100">
        <f>IFERROR(SUMIFS(MOVIMIENTOS_COMPLEMENTOS!$I$4:$I$803,MOVIMIENTOS_COMPLEMENTOS!$C$4:$C$803,A2610,MOVIMIENTOS_COMPLEMENTOS!$D$4:$D$803,B2610,MOVIMIENTOS_COMPLEMENTOS!$E$4:$E$803,C2610,MOVIMIENTOS_COMPLEMENTOS!$F$4:$F$803,D2610,MOVIMIENTOS_COMPLEMENTOS!$G$4:$G$803,E2610,MOVIMIENTOS_COMPLEMENTOS!$H$4:$H$803,G2610,MOVIMIENTOS_COMPLEMENTOS!$B$4:$B$803,"INGRESO")+SUMIFS(MOVIMIENTOS_COMPLEMENTOS!$I$4:$I$803,MOVIMIENTOS_COMPLEMENTOS!$C$4:$C$803,A2610,MOVIMIENTOS_COMPLEMENTOS!$D$4:$D$803,B2610,MOVIMIENTOS_COMPLEMENTOS!$E$4:$E$803,C2610,MOVIMIENTOS_COMPLEMENTOS!$F$4:$F$803,D2610,MOVIMIENTOS_COMPLEMENTOS!$G$4:$G$803,E2610,MOVIMIENTOS_COMPLEMENTOS!$H$4:$H$803,G2610,MOVIMIENTOS_COMPLEMENTOS!$B$4:$B$803,"DE CORTE")-SUMIFS(MOVIMIENTOS_COMPLEMENTOS!$I$4:$I$803,MOVIMIENTOS_COMPLEMENTOS!$C$4:$C$803,A2610,MOVIMIENTOS_COMPLEMENTOS!$D$4:$D$803,B2610,MOVIMIENTOS_COMPLEMENTOS!$E$4:$E$803,C2610,MOVIMIENTOS_COMPLEMENTOS!$F$4:$F$803,D2610,MOVIMIENTOS_COMPLEMENTOS!$G$4:$G$803,E2610,MOVIMIENTOS_COMPLEMENTOS!$H$4:$H$803,G2610,MOVIMIENTOS_COMPLEMENTOS!$B$4:$B$803,"SALIDA"),0)</f>
        <v>0</v>
      </c>
      <c r="I2610" s="102">
        <f t="array" ref="I2610">IFERROR(INDEX(PRECIOS_COMPLEMENTOS!$C$4:$F$17,MATCH(B2610&amp;"_"&amp;C2610,PRECIOS_COMPLEMENTOS!$H$4:$H$17,0),IF(OR(G2610="S",G2610="20cm"),1,IF(OR(G2610="M",G2610="25cm"),2,IF(OR(G2610="L",G2610="30cm"),3,IF(OR(G2610="XL",G2610="35cm"),4,0))))),0)</f>
        <v>0.6</v>
      </c>
      <c r="J2610" s="103">
        <f t="shared" si="1"/>
        <v>0</v>
      </c>
      <c r="K2610" s="104" t="str">
        <f>IF(H2610&lt;0,"ERROR",IF(H2610=0,"",IF(H2610&lt;CONFIG!$B$4,"CRÍTICO",IF(H2610&lt;CONFIG!$B$5,"BAJO","OK"))))</f>
        <v/>
      </c>
    </row>
    <row r="2611" ht="15.75" hidden="1" customHeight="1">
      <c r="A2611" s="90" t="str">
        <f>IF(CLIENTES!A8="","",CLIENTES!A8)</f>
        <v/>
      </c>
      <c r="B2611" s="90" t="s">
        <v>331</v>
      </c>
      <c r="C2611" s="91" t="s">
        <v>328</v>
      </c>
      <c r="D2611" s="109" t="s">
        <v>364</v>
      </c>
      <c r="E2611" s="67" t="str">
        <f>COLORES!A15</f>
        <v>Plomo</v>
      </c>
      <c r="F2611" s="67" t="str">
        <f>COLORES!B15</f>
        <v>OSCURO</v>
      </c>
      <c r="G2611" s="90" t="s">
        <v>379</v>
      </c>
      <c r="H2611" s="100">
        <f>IFERROR(SUMIFS(MOVIMIENTOS_COMPLEMENTOS!$I$4:$I$803,MOVIMIENTOS_COMPLEMENTOS!$C$4:$C$803,A2611,MOVIMIENTOS_COMPLEMENTOS!$D$4:$D$803,B2611,MOVIMIENTOS_COMPLEMENTOS!$E$4:$E$803,C2611,MOVIMIENTOS_COMPLEMENTOS!$F$4:$F$803,D2611,MOVIMIENTOS_COMPLEMENTOS!$G$4:$G$803,E2611,MOVIMIENTOS_COMPLEMENTOS!$H$4:$H$803,G2611,MOVIMIENTOS_COMPLEMENTOS!$B$4:$B$803,"INGRESO")+SUMIFS(MOVIMIENTOS_COMPLEMENTOS!$I$4:$I$803,MOVIMIENTOS_COMPLEMENTOS!$C$4:$C$803,A2611,MOVIMIENTOS_COMPLEMENTOS!$D$4:$D$803,B2611,MOVIMIENTOS_COMPLEMENTOS!$E$4:$E$803,C2611,MOVIMIENTOS_COMPLEMENTOS!$F$4:$F$803,D2611,MOVIMIENTOS_COMPLEMENTOS!$G$4:$G$803,E2611,MOVIMIENTOS_COMPLEMENTOS!$H$4:$H$803,G2611,MOVIMIENTOS_COMPLEMENTOS!$B$4:$B$803,"DE CORTE")-SUMIFS(MOVIMIENTOS_COMPLEMENTOS!$I$4:$I$803,MOVIMIENTOS_COMPLEMENTOS!$C$4:$C$803,A2611,MOVIMIENTOS_COMPLEMENTOS!$D$4:$D$803,B2611,MOVIMIENTOS_COMPLEMENTOS!$E$4:$E$803,C2611,MOVIMIENTOS_COMPLEMENTOS!$F$4:$F$803,D2611,MOVIMIENTOS_COMPLEMENTOS!$G$4:$G$803,E2611,MOVIMIENTOS_COMPLEMENTOS!$H$4:$H$803,G2611,MOVIMIENTOS_COMPLEMENTOS!$B$4:$B$803,"SALIDA"),0)</f>
        <v>0</v>
      </c>
      <c r="I2611" s="102">
        <f t="array" ref="I2611">IFERROR(INDEX(PRECIOS_COMPLEMENTOS!$C$4:$F$17,MATCH(B2611&amp;"_"&amp;C2611,PRECIOS_COMPLEMENTOS!$H$4:$H$17,0),IF(OR(G2611="S",G2611="20cm"),1,IF(OR(G2611="M",G2611="25cm"),2,IF(OR(G2611="L",G2611="30cm"),3,IF(OR(G2611="XL",G2611="35cm"),4,0))))),0)</f>
        <v>0.6</v>
      </c>
      <c r="J2611" s="103">
        <f t="shared" si="1"/>
        <v>0</v>
      </c>
      <c r="K2611" s="104" t="str">
        <f>IF(H2611&lt;0,"ERROR",IF(H2611=0,"",IF(H2611&lt;CONFIG!$B$4,"CRÍTICO",IF(H2611&lt;CONFIG!$B$5,"BAJO","OK"))))</f>
        <v/>
      </c>
    </row>
    <row r="2612" ht="15.75" hidden="1" customHeight="1">
      <c r="A2612" s="90" t="str">
        <f>IF(CLIENTES!A8="","",CLIENTES!A8)</f>
        <v/>
      </c>
      <c r="B2612" s="90" t="s">
        <v>331</v>
      </c>
      <c r="C2612" s="91" t="s">
        <v>328</v>
      </c>
      <c r="D2612" s="109" t="s">
        <v>364</v>
      </c>
      <c r="E2612" s="67" t="str">
        <f>COLORES!A16</f>
        <v>Topo</v>
      </c>
      <c r="F2612" s="67" t="str">
        <f>COLORES!B16</f>
        <v>CLARO</v>
      </c>
      <c r="G2612" s="90" t="s">
        <v>378</v>
      </c>
      <c r="H2612" s="100">
        <f>IFERROR(SUMIFS(MOVIMIENTOS_COMPLEMENTOS!$I$4:$I$803,MOVIMIENTOS_COMPLEMENTOS!$C$4:$C$803,A2612,MOVIMIENTOS_COMPLEMENTOS!$D$4:$D$803,B2612,MOVIMIENTOS_COMPLEMENTOS!$E$4:$E$803,C2612,MOVIMIENTOS_COMPLEMENTOS!$F$4:$F$803,D2612,MOVIMIENTOS_COMPLEMENTOS!$G$4:$G$803,E2612,MOVIMIENTOS_COMPLEMENTOS!$H$4:$H$803,G2612,MOVIMIENTOS_COMPLEMENTOS!$B$4:$B$803,"INGRESO")+SUMIFS(MOVIMIENTOS_COMPLEMENTOS!$I$4:$I$803,MOVIMIENTOS_COMPLEMENTOS!$C$4:$C$803,A2612,MOVIMIENTOS_COMPLEMENTOS!$D$4:$D$803,B2612,MOVIMIENTOS_COMPLEMENTOS!$E$4:$E$803,C2612,MOVIMIENTOS_COMPLEMENTOS!$F$4:$F$803,D2612,MOVIMIENTOS_COMPLEMENTOS!$G$4:$G$803,E2612,MOVIMIENTOS_COMPLEMENTOS!$H$4:$H$803,G2612,MOVIMIENTOS_COMPLEMENTOS!$B$4:$B$803,"DE CORTE")-SUMIFS(MOVIMIENTOS_COMPLEMENTOS!$I$4:$I$803,MOVIMIENTOS_COMPLEMENTOS!$C$4:$C$803,A2612,MOVIMIENTOS_COMPLEMENTOS!$D$4:$D$803,B2612,MOVIMIENTOS_COMPLEMENTOS!$E$4:$E$803,C2612,MOVIMIENTOS_COMPLEMENTOS!$F$4:$F$803,D2612,MOVIMIENTOS_COMPLEMENTOS!$G$4:$G$803,E2612,MOVIMIENTOS_COMPLEMENTOS!$H$4:$H$803,G2612,MOVIMIENTOS_COMPLEMENTOS!$B$4:$B$803,"SALIDA"),0)</f>
        <v>0</v>
      </c>
      <c r="I2612" s="102">
        <f t="array" ref="I2612">IFERROR(INDEX(PRECIOS_COMPLEMENTOS!$C$4:$F$17,MATCH(B2612&amp;"_"&amp;C2612,PRECIOS_COMPLEMENTOS!$H$4:$H$17,0),IF(OR(G2612="S",G2612="20cm"),1,IF(OR(G2612="M",G2612="25cm"),2,IF(OR(G2612="L",G2612="30cm"),3,IF(OR(G2612="XL",G2612="35cm"),4,0))))),0)</f>
        <v>0.6</v>
      </c>
      <c r="J2612" s="103">
        <f t="shared" si="1"/>
        <v>0</v>
      </c>
      <c r="K2612" s="104" t="str">
        <f>IF(H2612&lt;0,"ERROR",IF(H2612=0,"",IF(H2612&lt;CONFIG!$B$4,"CRÍTICO",IF(H2612&lt;CONFIG!$B$5,"BAJO","OK"))))</f>
        <v/>
      </c>
    </row>
    <row r="2613" ht="15.75" hidden="1" customHeight="1">
      <c r="A2613" s="90" t="str">
        <f>IF(CLIENTES!A8="","",CLIENTES!A8)</f>
        <v/>
      </c>
      <c r="B2613" s="90" t="s">
        <v>331</v>
      </c>
      <c r="C2613" s="91" t="s">
        <v>328</v>
      </c>
      <c r="D2613" s="109" t="s">
        <v>364</v>
      </c>
      <c r="E2613" s="67" t="str">
        <f>COLORES!A16</f>
        <v>Topo</v>
      </c>
      <c r="F2613" s="67" t="str">
        <f>COLORES!B16</f>
        <v>CLARO</v>
      </c>
      <c r="G2613" s="90" t="s">
        <v>376</v>
      </c>
      <c r="H2613" s="100">
        <f>IFERROR(SUMIFS(MOVIMIENTOS_COMPLEMENTOS!$I$4:$I$803,MOVIMIENTOS_COMPLEMENTOS!$C$4:$C$803,A2613,MOVIMIENTOS_COMPLEMENTOS!$D$4:$D$803,B2613,MOVIMIENTOS_COMPLEMENTOS!$E$4:$E$803,C2613,MOVIMIENTOS_COMPLEMENTOS!$F$4:$F$803,D2613,MOVIMIENTOS_COMPLEMENTOS!$G$4:$G$803,E2613,MOVIMIENTOS_COMPLEMENTOS!$H$4:$H$803,G2613,MOVIMIENTOS_COMPLEMENTOS!$B$4:$B$803,"INGRESO")+SUMIFS(MOVIMIENTOS_COMPLEMENTOS!$I$4:$I$803,MOVIMIENTOS_COMPLEMENTOS!$C$4:$C$803,A2613,MOVIMIENTOS_COMPLEMENTOS!$D$4:$D$803,B2613,MOVIMIENTOS_COMPLEMENTOS!$E$4:$E$803,C2613,MOVIMIENTOS_COMPLEMENTOS!$F$4:$F$803,D2613,MOVIMIENTOS_COMPLEMENTOS!$G$4:$G$803,E2613,MOVIMIENTOS_COMPLEMENTOS!$H$4:$H$803,G2613,MOVIMIENTOS_COMPLEMENTOS!$B$4:$B$803,"DE CORTE")-SUMIFS(MOVIMIENTOS_COMPLEMENTOS!$I$4:$I$803,MOVIMIENTOS_COMPLEMENTOS!$C$4:$C$803,A2613,MOVIMIENTOS_COMPLEMENTOS!$D$4:$D$803,B2613,MOVIMIENTOS_COMPLEMENTOS!$E$4:$E$803,C2613,MOVIMIENTOS_COMPLEMENTOS!$F$4:$F$803,D2613,MOVIMIENTOS_COMPLEMENTOS!$G$4:$G$803,E2613,MOVIMIENTOS_COMPLEMENTOS!$H$4:$H$803,G2613,MOVIMIENTOS_COMPLEMENTOS!$B$4:$B$803,"SALIDA"),0)</f>
        <v>0</v>
      </c>
      <c r="I2613" s="102">
        <f t="array" ref="I2613">IFERROR(INDEX(PRECIOS_COMPLEMENTOS!$C$4:$F$17,MATCH(B2613&amp;"_"&amp;C2613,PRECIOS_COMPLEMENTOS!$H$4:$H$17,0),IF(OR(G2613="S",G2613="20cm"),1,IF(OR(G2613="M",G2613="25cm"),2,IF(OR(G2613="L",G2613="30cm"),3,IF(OR(G2613="XL",G2613="35cm"),4,0))))),0)</f>
        <v>0.6</v>
      </c>
      <c r="J2613" s="103">
        <f t="shared" si="1"/>
        <v>0</v>
      </c>
      <c r="K2613" s="104" t="str">
        <f>IF(H2613&lt;0,"ERROR",IF(H2613=0,"",IF(H2613&lt;CONFIG!$B$4,"CRÍTICO",IF(H2613&lt;CONFIG!$B$5,"BAJO","OK"))))</f>
        <v/>
      </c>
    </row>
    <row r="2614" ht="15.75" hidden="1" customHeight="1">
      <c r="A2614" s="90" t="str">
        <f>IF(CLIENTES!A8="","",CLIENTES!A8)</f>
        <v/>
      </c>
      <c r="B2614" s="90" t="s">
        <v>331</v>
      </c>
      <c r="C2614" s="91" t="s">
        <v>328</v>
      </c>
      <c r="D2614" s="109" t="s">
        <v>364</v>
      </c>
      <c r="E2614" s="67" t="str">
        <f>COLORES!A16</f>
        <v>Topo</v>
      </c>
      <c r="F2614" s="67" t="str">
        <f>COLORES!B16</f>
        <v>CLARO</v>
      </c>
      <c r="G2614" s="90" t="s">
        <v>377</v>
      </c>
      <c r="H2614" s="100">
        <f>IFERROR(SUMIFS(MOVIMIENTOS_COMPLEMENTOS!$I$4:$I$803,MOVIMIENTOS_COMPLEMENTOS!$C$4:$C$803,A2614,MOVIMIENTOS_COMPLEMENTOS!$D$4:$D$803,B2614,MOVIMIENTOS_COMPLEMENTOS!$E$4:$E$803,C2614,MOVIMIENTOS_COMPLEMENTOS!$F$4:$F$803,D2614,MOVIMIENTOS_COMPLEMENTOS!$G$4:$G$803,E2614,MOVIMIENTOS_COMPLEMENTOS!$H$4:$H$803,G2614,MOVIMIENTOS_COMPLEMENTOS!$B$4:$B$803,"INGRESO")+SUMIFS(MOVIMIENTOS_COMPLEMENTOS!$I$4:$I$803,MOVIMIENTOS_COMPLEMENTOS!$C$4:$C$803,A2614,MOVIMIENTOS_COMPLEMENTOS!$D$4:$D$803,B2614,MOVIMIENTOS_COMPLEMENTOS!$E$4:$E$803,C2614,MOVIMIENTOS_COMPLEMENTOS!$F$4:$F$803,D2614,MOVIMIENTOS_COMPLEMENTOS!$G$4:$G$803,E2614,MOVIMIENTOS_COMPLEMENTOS!$H$4:$H$803,G2614,MOVIMIENTOS_COMPLEMENTOS!$B$4:$B$803,"DE CORTE")-SUMIFS(MOVIMIENTOS_COMPLEMENTOS!$I$4:$I$803,MOVIMIENTOS_COMPLEMENTOS!$C$4:$C$803,A2614,MOVIMIENTOS_COMPLEMENTOS!$D$4:$D$803,B2614,MOVIMIENTOS_COMPLEMENTOS!$E$4:$E$803,C2614,MOVIMIENTOS_COMPLEMENTOS!$F$4:$F$803,D2614,MOVIMIENTOS_COMPLEMENTOS!$G$4:$G$803,E2614,MOVIMIENTOS_COMPLEMENTOS!$H$4:$H$803,G2614,MOVIMIENTOS_COMPLEMENTOS!$B$4:$B$803,"SALIDA"),0)</f>
        <v>0</v>
      </c>
      <c r="I2614" s="102">
        <f t="array" ref="I2614">IFERROR(INDEX(PRECIOS_COMPLEMENTOS!$C$4:$F$17,MATCH(B2614&amp;"_"&amp;C2614,PRECIOS_COMPLEMENTOS!$H$4:$H$17,0),IF(OR(G2614="S",G2614="20cm"),1,IF(OR(G2614="M",G2614="25cm"),2,IF(OR(G2614="L",G2614="30cm"),3,IF(OR(G2614="XL",G2614="35cm"),4,0))))),0)</f>
        <v>0.6</v>
      </c>
      <c r="J2614" s="103">
        <f t="shared" si="1"/>
        <v>0</v>
      </c>
      <c r="K2614" s="104" t="str">
        <f>IF(H2614&lt;0,"ERROR",IF(H2614=0,"",IF(H2614&lt;CONFIG!$B$4,"CRÍTICO",IF(H2614&lt;CONFIG!$B$5,"BAJO","OK"))))</f>
        <v/>
      </c>
    </row>
    <row r="2615" ht="15.75" hidden="1" customHeight="1">
      <c r="A2615" s="90" t="str">
        <f>IF(CLIENTES!A8="","",CLIENTES!A8)</f>
        <v/>
      </c>
      <c r="B2615" s="90" t="s">
        <v>331</v>
      </c>
      <c r="C2615" s="91" t="s">
        <v>328</v>
      </c>
      <c r="D2615" s="109" t="s">
        <v>364</v>
      </c>
      <c r="E2615" s="67" t="str">
        <f>COLORES!A16</f>
        <v>Topo</v>
      </c>
      <c r="F2615" s="67" t="str">
        <f>COLORES!B16</f>
        <v>CLARO</v>
      </c>
      <c r="G2615" s="90" t="s">
        <v>379</v>
      </c>
      <c r="H2615" s="100">
        <f>IFERROR(SUMIFS(MOVIMIENTOS_COMPLEMENTOS!$I$4:$I$803,MOVIMIENTOS_COMPLEMENTOS!$C$4:$C$803,A2615,MOVIMIENTOS_COMPLEMENTOS!$D$4:$D$803,B2615,MOVIMIENTOS_COMPLEMENTOS!$E$4:$E$803,C2615,MOVIMIENTOS_COMPLEMENTOS!$F$4:$F$803,D2615,MOVIMIENTOS_COMPLEMENTOS!$G$4:$G$803,E2615,MOVIMIENTOS_COMPLEMENTOS!$H$4:$H$803,G2615,MOVIMIENTOS_COMPLEMENTOS!$B$4:$B$803,"INGRESO")+SUMIFS(MOVIMIENTOS_COMPLEMENTOS!$I$4:$I$803,MOVIMIENTOS_COMPLEMENTOS!$C$4:$C$803,A2615,MOVIMIENTOS_COMPLEMENTOS!$D$4:$D$803,B2615,MOVIMIENTOS_COMPLEMENTOS!$E$4:$E$803,C2615,MOVIMIENTOS_COMPLEMENTOS!$F$4:$F$803,D2615,MOVIMIENTOS_COMPLEMENTOS!$G$4:$G$803,E2615,MOVIMIENTOS_COMPLEMENTOS!$H$4:$H$803,G2615,MOVIMIENTOS_COMPLEMENTOS!$B$4:$B$803,"DE CORTE")-SUMIFS(MOVIMIENTOS_COMPLEMENTOS!$I$4:$I$803,MOVIMIENTOS_COMPLEMENTOS!$C$4:$C$803,A2615,MOVIMIENTOS_COMPLEMENTOS!$D$4:$D$803,B2615,MOVIMIENTOS_COMPLEMENTOS!$E$4:$E$803,C2615,MOVIMIENTOS_COMPLEMENTOS!$F$4:$F$803,D2615,MOVIMIENTOS_COMPLEMENTOS!$G$4:$G$803,E2615,MOVIMIENTOS_COMPLEMENTOS!$H$4:$H$803,G2615,MOVIMIENTOS_COMPLEMENTOS!$B$4:$B$803,"SALIDA"),0)</f>
        <v>0</v>
      </c>
      <c r="I2615" s="102">
        <f t="array" ref="I2615">IFERROR(INDEX(PRECIOS_COMPLEMENTOS!$C$4:$F$17,MATCH(B2615&amp;"_"&amp;C2615,PRECIOS_COMPLEMENTOS!$H$4:$H$17,0),IF(OR(G2615="S",G2615="20cm"),1,IF(OR(G2615="M",G2615="25cm"),2,IF(OR(G2615="L",G2615="30cm"),3,IF(OR(G2615="XL",G2615="35cm"),4,0))))),0)</f>
        <v>0.6</v>
      </c>
      <c r="J2615" s="103">
        <f t="shared" si="1"/>
        <v>0</v>
      </c>
      <c r="K2615" s="104" t="str">
        <f>IF(H2615&lt;0,"ERROR",IF(H2615=0,"",IF(H2615&lt;CONFIG!$B$4,"CRÍTICO",IF(H2615&lt;CONFIG!$B$5,"BAJO","OK"))))</f>
        <v/>
      </c>
    </row>
    <row r="2616" ht="15.75" hidden="1" customHeight="1">
      <c r="A2616" s="90" t="str">
        <f>IF(CLIENTES!A8="","",CLIENTES!A8)</f>
        <v/>
      </c>
      <c r="B2616" s="90" t="s">
        <v>331</v>
      </c>
      <c r="C2616" s="91" t="s">
        <v>328</v>
      </c>
      <c r="D2616" s="109" t="s">
        <v>364</v>
      </c>
      <c r="E2616" s="67" t="str">
        <f>COLORES!A17</f>
        <v>Vino</v>
      </c>
      <c r="F2616" s="67" t="str">
        <f>COLORES!B17</f>
        <v>OSCURO</v>
      </c>
      <c r="G2616" s="90" t="s">
        <v>378</v>
      </c>
      <c r="H2616" s="100">
        <f>IFERROR(SUMIFS(MOVIMIENTOS_COMPLEMENTOS!$I$4:$I$803,MOVIMIENTOS_COMPLEMENTOS!$C$4:$C$803,A2616,MOVIMIENTOS_COMPLEMENTOS!$D$4:$D$803,B2616,MOVIMIENTOS_COMPLEMENTOS!$E$4:$E$803,C2616,MOVIMIENTOS_COMPLEMENTOS!$F$4:$F$803,D2616,MOVIMIENTOS_COMPLEMENTOS!$G$4:$G$803,E2616,MOVIMIENTOS_COMPLEMENTOS!$H$4:$H$803,G2616,MOVIMIENTOS_COMPLEMENTOS!$B$4:$B$803,"INGRESO")+SUMIFS(MOVIMIENTOS_COMPLEMENTOS!$I$4:$I$803,MOVIMIENTOS_COMPLEMENTOS!$C$4:$C$803,A2616,MOVIMIENTOS_COMPLEMENTOS!$D$4:$D$803,B2616,MOVIMIENTOS_COMPLEMENTOS!$E$4:$E$803,C2616,MOVIMIENTOS_COMPLEMENTOS!$F$4:$F$803,D2616,MOVIMIENTOS_COMPLEMENTOS!$G$4:$G$803,E2616,MOVIMIENTOS_COMPLEMENTOS!$H$4:$H$803,G2616,MOVIMIENTOS_COMPLEMENTOS!$B$4:$B$803,"DE CORTE")-SUMIFS(MOVIMIENTOS_COMPLEMENTOS!$I$4:$I$803,MOVIMIENTOS_COMPLEMENTOS!$C$4:$C$803,A2616,MOVIMIENTOS_COMPLEMENTOS!$D$4:$D$803,B2616,MOVIMIENTOS_COMPLEMENTOS!$E$4:$E$803,C2616,MOVIMIENTOS_COMPLEMENTOS!$F$4:$F$803,D2616,MOVIMIENTOS_COMPLEMENTOS!$G$4:$G$803,E2616,MOVIMIENTOS_COMPLEMENTOS!$H$4:$H$803,G2616,MOVIMIENTOS_COMPLEMENTOS!$B$4:$B$803,"SALIDA"),0)</f>
        <v>0</v>
      </c>
      <c r="I2616" s="102">
        <f t="array" ref="I2616">IFERROR(INDEX(PRECIOS_COMPLEMENTOS!$C$4:$F$17,MATCH(B2616&amp;"_"&amp;C2616,PRECIOS_COMPLEMENTOS!$H$4:$H$17,0),IF(OR(G2616="S",G2616="20cm"),1,IF(OR(G2616="M",G2616="25cm"),2,IF(OR(G2616="L",G2616="30cm"),3,IF(OR(G2616="XL",G2616="35cm"),4,0))))),0)</f>
        <v>0.6</v>
      </c>
      <c r="J2616" s="103">
        <f t="shared" si="1"/>
        <v>0</v>
      </c>
      <c r="K2616" s="104" t="str">
        <f>IF(H2616&lt;0,"ERROR",IF(H2616=0,"",IF(H2616&lt;CONFIG!$B$4,"CRÍTICO",IF(H2616&lt;CONFIG!$B$5,"BAJO","OK"))))</f>
        <v/>
      </c>
    </row>
    <row r="2617" ht="15.75" hidden="1" customHeight="1">
      <c r="A2617" s="90" t="str">
        <f>IF(CLIENTES!A8="","",CLIENTES!A8)</f>
        <v/>
      </c>
      <c r="B2617" s="90" t="s">
        <v>331</v>
      </c>
      <c r="C2617" s="91" t="s">
        <v>328</v>
      </c>
      <c r="D2617" s="109" t="s">
        <v>364</v>
      </c>
      <c r="E2617" s="67" t="str">
        <f>COLORES!A17</f>
        <v>Vino</v>
      </c>
      <c r="F2617" s="67" t="str">
        <f>COLORES!B17</f>
        <v>OSCURO</v>
      </c>
      <c r="G2617" s="90" t="s">
        <v>376</v>
      </c>
      <c r="H2617" s="100">
        <f>IFERROR(SUMIFS(MOVIMIENTOS_COMPLEMENTOS!$I$4:$I$803,MOVIMIENTOS_COMPLEMENTOS!$C$4:$C$803,A2617,MOVIMIENTOS_COMPLEMENTOS!$D$4:$D$803,B2617,MOVIMIENTOS_COMPLEMENTOS!$E$4:$E$803,C2617,MOVIMIENTOS_COMPLEMENTOS!$F$4:$F$803,D2617,MOVIMIENTOS_COMPLEMENTOS!$G$4:$G$803,E2617,MOVIMIENTOS_COMPLEMENTOS!$H$4:$H$803,G2617,MOVIMIENTOS_COMPLEMENTOS!$B$4:$B$803,"INGRESO")+SUMIFS(MOVIMIENTOS_COMPLEMENTOS!$I$4:$I$803,MOVIMIENTOS_COMPLEMENTOS!$C$4:$C$803,A2617,MOVIMIENTOS_COMPLEMENTOS!$D$4:$D$803,B2617,MOVIMIENTOS_COMPLEMENTOS!$E$4:$E$803,C2617,MOVIMIENTOS_COMPLEMENTOS!$F$4:$F$803,D2617,MOVIMIENTOS_COMPLEMENTOS!$G$4:$G$803,E2617,MOVIMIENTOS_COMPLEMENTOS!$H$4:$H$803,G2617,MOVIMIENTOS_COMPLEMENTOS!$B$4:$B$803,"DE CORTE")-SUMIFS(MOVIMIENTOS_COMPLEMENTOS!$I$4:$I$803,MOVIMIENTOS_COMPLEMENTOS!$C$4:$C$803,A2617,MOVIMIENTOS_COMPLEMENTOS!$D$4:$D$803,B2617,MOVIMIENTOS_COMPLEMENTOS!$E$4:$E$803,C2617,MOVIMIENTOS_COMPLEMENTOS!$F$4:$F$803,D2617,MOVIMIENTOS_COMPLEMENTOS!$G$4:$G$803,E2617,MOVIMIENTOS_COMPLEMENTOS!$H$4:$H$803,G2617,MOVIMIENTOS_COMPLEMENTOS!$B$4:$B$803,"SALIDA"),0)</f>
        <v>0</v>
      </c>
      <c r="I2617" s="102">
        <f t="array" ref="I2617">IFERROR(INDEX(PRECIOS_COMPLEMENTOS!$C$4:$F$17,MATCH(B2617&amp;"_"&amp;C2617,PRECIOS_COMPLEMENTOS!$H$4:$H$17,0),IF(OR(G2617="S",G2617="20cm"),1,IF(OR(G2617="M",G2617="25cm"),2,IF(OR(G2617="L",G2617="30cm"),3,IF(OR(G2617="XL",G2617="35cm"),4,0))))),0)</f>
        <v>0.6</v>
      </c>
      <c r="J2617" s="103">
        <f t="shared" si="1"/>
        <v>0</v>
      </c>
      <c r="K2617" s="104" t="str">
        <f>IF(H2617&lt;0,"ERROR",IF(H2617=0,"",IF(H2617&lt;CONFIG!$B$4,"CRÍTICO",IF(H2617&lt;CONFIG!$B$5,"BAJO","OK"))))</f>
        <v/>
      </c>
    </row>
    <row r="2618" ht="15.75" hidden="1" customHeight="1">
      <c r="A2618" s="90" t="str">
        <f>IF(CLIENTES!A8="","",CLIENTES!A8)</f>
        <v/>
      </c>
      <c r="B2618" s="90" t="s">
        <v>331</v>
      </c>
      <c r="C2618" s="91" t="s">
        <v>328</v>
      </c>
      <c r="D2618" s="109" t="s">
        <v>364</v>
      </c>
      <c r="E2618" s="67" t="str">
        <f>COLORES!A17</f>
        <v>Vino</v>
      </c>
      <c r="F2618" s="67" t="str">
        <f>COLORES!B17</f>
        <v>OSCURO</v>
      </c>
      <c r="G2618" s="90" t="s">
        <v>377</v>
      </c>
      <c r="H2618" s="100">
        <f>IFERROR(SUMIFS(MOVIMIENTOS_COMPLEMENTOS!$I$4:$I$803,MOVIMIENTOS_COMPLEMENTOS!$C$4:$C$803,A2618,MOVIMIENTOS_COMPLEMENTOS!$D$4:$D$803,B2618,MOVIMIENTOS_COMPLEMENTOS!$E$4:$E$803,C2618,MOVIMIENTOS_COMPLEMENTOS!$F$4:$F$803,D2618,MOVIMIENTOS_COMPLEMENTOS!$G$4:$G$803,E2618,MOVIMIENTOS_COMPLEMENTOS!$H$4:$H$803,G2618,MOVIMIENTOS_COMPLEMENTOS!$B$4:$B$803,"INGRESO")+SUMIFS(MOVIMIENTOS_COMPLEMENTOS!$I$4:$I$803,MOVIMIENTOS_COMPLEMENTOS!$C$4:$C$803,A2618,MOVIMIENTOS_COMPLEMENTOS!$D$4:$D$803,B2618,MOVIMIENTOS_COMPLEMENTOS!$E$4:$E$803,C2618,MOVIMIENTOS_COMPLEMENTOS!$F$4:$F$803,D2618,MOVIMIENTOS_COMPLEMENTOS!$G$4:$G$803,E2618,MOVIMIENTOS_COMPLEMENTOS!$H$4:$H$803,G2618,MOVIMIENTOS_COMPLEMENTOS!$B$4:$B$803,"DE CORTE")-SUMIFS(MOVIMIENTOS_COMPLEMENTOS!$I$4:$I$803,MOVIMIENTOS_COMPLEMENTOS!$C$4:$C$803,A2618,MOVIMIENTOS_COMPLEMENTOS!$D$4:$D$803,B2618,MOVIMIENTOS_COMPLEMENTOS!$E$4:$E$803,C2618,MOVIMIENTOS_COMPLEMENTOS!$F$4:$F$803,D2618,MOVIMIENTOS_COMPLEMENTOS!$G$4:$G$803,E2618,MOVIMIENTOS_COMPLEMENTOS!$H$4:$H$803,G2618,MOVIMIENTOS_COMPLEMENTOS!$B$4:$B$803,"SALIDA"),0)</f>
        <v>0</v>
      </c>
      <c r="I2618" s="102">
        <f t="array" ref="I2618">IFERROR(INDEX(PRECIOS_COMPLEMENTOS!$C$4:$F$17,MATCH(B2618&amp;"_"&amp;C2618,PRECIOS_COMPLEMENTOS!$H$4:$H$17,0),IF(OR(G2618="S",G2618="20cm"),1,IF(OR(G2618="M",G2618="25cm"),2,IF(OR(G2618="L",G2618="30cm"),3,IF(OR(G2618="XL",G2618="35cm"),4,0))))),0)</f>
        <v>0.6</v>
      </c>
      <c r="J2618" s="103">
        <f t="shared" si="1"/>
        <v>0</v>
      </c>
      <c r="K2618" s="104" t="str">
        <f>IF(H2618&lt;0,"ERROR",IF(H2618=0,"",IF(H2618&lt;CONFIG!$B$4,"CRÍTICO",IF(H2618&lt;CONFIG!$B$5,"BAJO","OK"))))</f>
        <v/>
      </c>
    </row>
    <row r="2619" ht="15.75" hidden="1" customHeight="1">
      <c r="A2619" s="90" t="str">
        <f>IF(CLIENTES!A8="","",CLIENTES!A8)</f>
        <v/>
      </c>
      <c r="B2619" s="90" t="s">
        <v>331</v>
      </c>
      <c r="C2619" s="91" t="s">
        <v>328</v>
      </c>
      <c r="D2619" s="109" t="s">
        <v>364</v>
      </c>
      <c r="E2619" s="67" t="str">
        <f>COLORES!A17</f>
        <v>Vino</v>
      </c>
      <c r="F2619" s="67" t="str">
        <f>COLORES!B17</f>
        <v>OSCURO</v>
      </c>
      <c r="G2619" s="90" t="s">
        <v>379</v>
      </c>
      <c r="H2619" s="100">
        <f>IFERROR(SUMIFS(MOVIMIENTOS_COMPLEMENTOS!$I$4:$I$803,MOVIMIENTOS_COMPLEMENTOS!$C$4:$C$803,A2619,MOVIMIENTOS_COMPLEMENTOS!$D$4:$D$803,B2619,MOVIMIENTOS_COMPLEMENTOS!$E$4:$E$803,C2619,MOVIMIENTOS_COMPLEMENTOS!$F$4:$F$803,D2619,MOVIMIENTOS_COMPLEMENTOS!$G$4:$G$803,E2619,MOVIMIENTOS_COMPLEMENTOS!$H$4:$H$803,G2619,MOVIMIENTOS_COMPLEMENTOS!$B$4:$B$803,"INGRESO")+SUMIFS(MOVIMIENTOS_COMPLEMENTOS!$I$4:$I$803,MOVIMIENTOS_COMPLEMENTOS!$C$4:$C$803,A2619,MOVIMIENTOS_COMPLEMENTOS!$D$4:$D$803,B2619,MOVIMIENTOS_COMPLEMENTOS!$E$4:$E$803,C2619,MOVIMIENTOS_COMPLEMENTOS!$F$4:$F$803,D2619,MOVIMIENTOS_COMPLEMENTOS!$G$4:$G$803,E2619,MOVIMIENTOS_COMPLEMENTOS!$H$4:$H$803,G2619,MOVIMIENTOS_COMPLEMENTOS!$B$4:$B$803,"DE CORTE")-SUMIFS(MOVIMIENTOS_COMPLEMENTOS!$I$4:$I$803,MOVIMIENTOS_COMPLEMENTOS!$C$4:$C$803,A2619,MOVIMIENTOS_COMPLEMENTOS!$D$4:$D$803,B2619,MOVIMIENTOS_COMPLEMENTOS!$E$4:$E$803,C2619,MOVIMIENTOS_COMPLEMENTOS!$F$4:$F$803,D2619,MOVIMIENTOS_COMPLEMENTOS!$G$4:$G$803,E2619,MOVIMIENTOS_COMPLEMENTOS!$H$4:$H$803,G2619,MOVIMIENTOS_COMPLEMENTOS!$B$4:$B$803,"SALIDA"),0)</f>
        <v>0</v>
      </c>
      <c r="I2619" s="102">
        <f t="array" ref="I2619">IFERROR(INDEX(PRECIOS_COMPLEMENTOS!$C$4:$F$17,MATCH(B2619&amp;"_"&amp;C2619,PRECIOS_COMPLEMENTOS!$H$4:$H$17,0),IF(OR(G2619="S",G2619="20cm"),1,IF(OR(G2619="M",G2619="25cm"),2,IF(OR(G2619="L",G2619="30cm"),3,IF(OR(G2619="XL",G2619="35cm"),4,0))))),0)</f>
        <v>0.6</v>
      </c>
      <c r="J2619" s="103">
        <f t="shared" si="1"/>
        <v>0</v>
      </c>
      <c r="K2619" s="104" t="str">
        <f>IF(H2619&lt;0,"ERROR",IF(H2619=0,"",IF(H2619&lt;CONFIG!$B$4,"CRÍTICO",IF(H2619&lt;CONFIG!$B$5,"BAJO","OK"))))</f>
        <v/>
      </c>
    </row>
    <row r="2620" ht="15.75" hidden="1" customHeight="1">
      <c r="A2620" s="90" t="str">
        <f>IF(CLIENTES!A8="","",CLIENTES!A8)</f>
        <v/>
      </c>
      <c r="B2620" s="90" t="s">
        <v>331</v>
      </c>
      <c r="C2620" s="91" t="s">
        <v>328</v>
      </c>
      <c r="D2620" s="109" t="s">
        <v>364</v>
      </c>
      <c r="E2620" s="67" t="str">
        <f>COLORES!A18</f>
        <v>P. Rosa</v>
      </c>
      <c r="F2620" s="67" t="str">
        <f>COLORES!B18</f>
        <v>CLARO</v>
      </c>
      <c r="G2620" s="90" t="s">
        <v>378</v>
      </c>
      <c r="H2620" s="100">
        <f>IFERROR(SUMIFS(MOVIMIENTOS_COMPLEMENTOS!$I$4:$I$803,MOVIMIENTOS_COMPLEMENTOS!$C$4:$C$803,A2620,MOVIMIENTOS_COMPLEMENTOS!$D$4:$D$803,B2620,MOVIMIENTOS_COMPLEMENTOS!$E$4:$E$803,C2620,MOVIMIENTOS_COMPLEMENTOS!$F$4:$F$803,D2620,MOVIMIENTOS_COMPLEMENTOS!$G$4:$G$803,E2620,MOVIMIENTOS_COMPLEMENTOS!$H$4:$H$803,G2620,MOVIMIENTOS_COMPLEMENTOS!$B$4:$B$803,"INGRESO")+SUMIFS(MOVIMIENTOS_COMPLEMENTOS!$I$4:$I$803,MOVIMIENTOS_COMPLEMENTOS!$C$4:$C$803,A2620,MOVIMIENTOS_COMPLEMENTOS!$D$4:$D$803,B2620,MOVIMIENTOS_COMPLEMENTOS!$E$4:$E$803,C2620,MOVIMIENTOS_COMPLEMENTOS!$F$4:$F$803,D2620,MOVIMIENTOS_COMPLEMENTOS!$G$4:$G$803,E2620,MOVIMIENTOS_COMPLEMENTOS!$H$4:$H$803,G2620,MOVIMIENTOS_COMPLEMENTOS!$B$4:$B$803,"DE CORTE")-SUMIFS(MOVIMIENTOS_COMPLEMENTOS!$I$4:$I$803,MOVIMIENTOS_COMPLEMENTOS!$C$4:$C$803,A2620,MOVIMIENTOS_COMPLEMENTOS!$D$4:$D$803,B2620,MOVIMIENTOS_COMPLEMENTOS!$E$4:$E$803,C2620,MOVIMIENTOS_COMPLEMENTOS!$F$4:$F$803,D2620,MOVIMIENTOS_COMPLEMENTOS!$G$4:$G$803,E2620,MOVIMIENTOS_COMPLEMENTOS!$H$4:$H$803,G2620,MOVIMIENTOS_COMPLEMENTOS!$B$4:$B$803,"SALIDA"),0)</f>
        <v>0</v>
      </c>
      <c r="I2620" s="102">
        <f t="array" ref="I2620">IFERROR(INDEX(PRECIOS_COMPLEMENTOS!$C$4:$F$17,MATCH(B2620&amp;"_"&amp;C2620,PRECIOS_COMPLEMENTOS!$H$4:$H$17,0),IF(OR(G2620="S",G2620="20cm"),1,IF(OR(G2620="M",G2620="25cm"),2,IF(OR(G2620="L",G2620="30cm"),3,IF(OR(G2620="XL",G2620="35cm"),4,0))))),0)</f>
        <v>0.6</v>
      </c>
      <c r="J2620" s="103">
        <f t="shared" si="1"/>
        <v>0</v>
      </c>
      <c r="K2620" s="104" t="str">
        <f>IF(H2620&lt;0,"ERROR",IF(H2620=0,"",IF(H2620&lt;CONFIG!$B$4,"CRÍTICO",IF(H2620&lt;CONFIG!$B$5,"BAJO","OK"))))</f>
        <v/>
      </c>
    </row>
    <row r="2621" ht="15.75" hidden="1" customHeight="1">
      <c r="A2621" s="90" t="str">
        <f>IF(CLIENTES!A8="","",CLIENTES!A8)</f>
        <v/>
      </c>
      <c r="B2621" s="90" t="s">
        <v>331</v>
      </c>
      <c r="C2621" s="91" t="s">
        <v>328</v>
      </c>
      <c r="D2621" s="109" t="s">
        <v>364</v>
      </c>
      <c r="E2621" s="67" t="str">
        <f>COLORES!A18</f>
        <v>P. Rosa</v>
      </c>
      <c r="F2621" s="67" t="str">
        <f>COLORES!B18</f>
        <v>CLARO</v>
      </c>
      <c r="G2621" s="90" t="s">
        <v>376</v>
      </c>
      <c r="H2621" s="100">
        <f>IFERROR(SUMIFS(MOVIMIENTOS_COMPLEMENTOS!$I$4:$I$803,MOVIMIENTOS_COMPLEMENTOS!$C$4:$C$803,A2621,MOVIMIENTOS_COMPLEMENTOS!$D$4:$D$803,B2621,MOVIMIENTOS_COMPLEMENTOS!$E$4:$E$803,C2621,MOVIMIENTOS_COMPLEMENTOS!$F$4:$F$803,D2621,MOVIMIENTOS_COMPLEMENTOS!$G$4:$G$803,E2621,MOVIMIENTOS_COMPLEMENTOS!$H$4:$H$803,G2621,MOVIMIENTOS_COMPLEMENTOS!$B$4:$B$803,"INGRESO")+SUMIFS(MOVIMIENTOS_COMPLEMENTOS!$I$4:$I$803,MOVIMIENTOS_COMPLEMENTOS!$C$4:$C$803,A2621,MOVIMIENTOS_COMPLEMENTOS!$D$4:$D$803,B2621,MOVIMIENTOS_COMPLEMENTOS!$E$4:$E$803,C2621,MOVIMIENTOS_COMPLEMENTOS!$F$4:$F$803,D2621,MOVIMIENTOS_COMPLEMENTOS!$G$4:$G$803,E2621,MOVIMIENTOS_COMPLEMENTOS!$H$4:$H$803,G2621,MOVIMIENTOS_COMPLEMENTOS!$B$4:$B$803,"DE CORTE")-SUMIFS(MOVIMIENTOS_COMPLEMENTOS!$I$4:$I$803,MOVIMIENTOS_COMPLEMENTOS!$C$4:$C$803,A2621,MOVIMIENTOS_COMPLEMENTOS!$D$4:$D$803,B2621,MOVIMIENTOS_COMPLEMENTOS!$E$4:$E$803,C2621,MOVIMIENTOS_COMPLEMENTOS!$F$4:$F$803,D2621,MOVIMIENTOS_COMPLEMENTOS!$G$4:$G$803,E2621,MOVIMIENTOS_COMPLEMENTOS!$H$4:$H$803,G2621,MOVIMIENTOS_COMPLEMENTOS!$B$4:$B$803,"SALIDA"),0)</f>
        <v>0</v>
      </c>
      <c r="I2621" s="102">
        <f t="array" ref="I2621">IFERROR(INDEX(PRECIOS_COMPLEMENTOS!$C$4:$F$17,MATCH(B2621&amp;"_"&amp;C2621,PRECIOS_COMPLEMENTOS!$H$4:$H$17,0),IF(OR(G2621="S",G2621="20cm"),1,IF(OR(G2621="M",G2621="25cm"),2,IF(OR(G2621="L",G2621="30cm"),3,IF(OR(G2621="XL",G2621="35cm"),4,0))))),0)</f>
        <v>0.6</v>
      </c>
      <c r="J2621" s="103">
        <f t="shared" si="1"/>
        <v>0</v>
      </c>
      <c r="K2621" s="104" t="str">
        <f>IF(H2621&lt;0,"ERROR",IF(H2621=0,"",IF(H2621&lt;CONFIG!$B$4,"CRÍTICO",IF(H2621&lt;CONFIG!$B$5,"BAJO","OK"))))</f>
        <v/>
      </c>
    </row>
    <row r="2622" ht="15.75" hidden="1" customHeight="1">
      <c r="A2622" s="90" t="str">
        <f>IF(CLIENTES!A8="","",CLIENTES!A8)</f>
        <v/>
      </c>
      <c r="B2622" s="90" t="s">
        <v>331</v>
      </c>
      <c r="C2622" s="91" t="s">
        <v>328</v>
      </c>
      <c r="D2622" s="109" t="s">
        <v>364</v>
      </c>
      <c r="E2622" s="67" t="str">
        <f>COLORES!A18</f>
        <v>P. Rosa</v>
      </c>
      <c r="F2622" s="67" t="str">
        <f>COLORES!B18</f>
        <v>CLARO</v>
      </c>
      <c r="G2622" s="90" t="s">
        <v>377</v>
      </c>
      <c r="H2622" s="100">
        <f>IFERROR(SUMIFS(MOVIMIENTOS_COMPLEMENTOS!$I$4:$I$803,MOVIMIENTOS_COMPLEMENTOS!$C$4:$C$803,A2622,MOVIMIENTOS_COMPLEMENTOS!$D$4:$D$803,B2622,MOVIMIENTOS_COMPLEMENTOS!$E$4:$E$803,C2622,MOVIMIENTOS_COMPLEMENTOS!$F$4:$F$803,D2622,MOVIMIENTOS_COMPLEMENTOS!$G$4:$G$803,E2622,MOVIMIENTOS_COMPLEMENTOS!$H$4:$H$803,G2622,MOVIMIENTOS_COMPLEMENTOS!$B$4:$B$803,"INGRESO")+SUMIFS(MOVIMIENTOS_COMPLEMENTOS!$I$4:$I$803,MOVIMIENTOS_COMPLEMENTOS!$C$4:$C$803,A2622,MOVIMIENTOS_COMPLEMENTOS!$D$4:$D$803,B2622,MOVIMIENTOS_COMPLEMENTOS!$E$4:$E$803,C2622,MOVIMIENTOS_COMPLEMENTOS!$F$4:$F$803,D2622,MOVIMIENTOS_COMPLEMENTOS!$G$4:$G$803,E2622,MOVIMIENTOS_COMPLEMENTOS!$H$4:$H$803,G2622,MOVIMIENTOS_COMPLEMENTOS!$B$4:$B$803,"DE CORTE")-SUMIFS(MOVIMIENTOS_COMPLEMENTOS!$I$4:$I$803,MOVIMIENTOS_COMPLEMENTOS!$C$4:$C$803,A2622,MOVIMIENTOS_COMPLEMENTOS!$D$4:$D$803,B2622,MOVIMIENTOS_COMPLEMENTOS!$E$4:$E$803,C2622,MOVIMIENTOS_COMPLEMENTOS!$F$4:$F$803,D2622,MOVIMIENTOS_COMPLEMENTOS!$G$4:$G$803,E2622,MOVIMIENTOS_COMPLEMENTOS!$H$4:$H$803,G2622,MOVIMIENTOS_COMPLEMENTOS!$B$4:$B$803,"SALIDA"),0)</f>
        <v>0</v>
      </c>
      <c r="I2622" s="102">
        <f t="array" ref="I2622">IFERROR(INDEX(PRECIOS_COMPLEMENTOS!$C$4:$F$17,MATCH(B2622&amp;"_"&amp;C2622,PRECIOS_COMPLEMENTOS!$H$4:$H$17,0),IF(OR(G2622="S",G2622="20cm"),1,IF(OR(G2622="M",G2622="25cm"),2,IF(OR(G2622="L",G2622="30cm"),3,IF(OR(G2622="XL",G2622="35cm"),4,0))))),0)</f>
        <v>0.6</v>
      </c>
      <c r="J2622" s="103">
        <f t="shared" si="1"/>
        <v>0</v>
      </c>
      <c r="K2622" s="104" t="str">
        <f>IF(H2622&lt;0,"ERROR",IF(H2622=0,"",IF(H2622&lt;CONFIG!$B$4,"CRÍTICO",IF(H2622&lt;CONFIG!$B$5,"BAJO","OK"))))</f>
        <v/>
      </c>
    </row>
    <row r="2623" ht="15.75" hidden="1" customHeight="1">
      <c r="A2623" s="90" t="str">
        <f>IF(CLIENTES!A8="","",CLIENTES!A8)</f>
        <v/>
      </c>
      <c r="B2623" s="90" t="s">
        <v>331</v>
      </c>
      <c r="C2623" s="91" t="s">
        <v>328</v>
      </c>
      <c r="D2623" s="109" t="s">
        <v>364</v>
      </c>
      <c r="E2623" s="67" t="str">
        <f>COLORES!A18</f>
        <v>P. Rosa</v>
      </c>
      <c r="F2623" s="67" t="str">
        <f>COLORES!B18</f>
        <v>CLARO</v>
      </c>
      <c r="G2623" s="90" t="s">
        <v>379</v>
      </c>
      <c r="H2623" s="100">
        <f>IFERROR(SUMIFS(MOVIMIENTOS_COMPLEMENTOS!$I$4:$I$803,MOVIMIENTOS_COMPLEMENTOS!$C$4:$C$803,A2623,MOVIMIENTOS_COMPLEMENTOS!$D$4:$D$803,B2623,MOVIMIENTOS_COMPLEMENTOS!$E$4:$E$803,C2623,MOVIMIENTOS_COMPLEMENTOS!$F$4:$F$803,D2623,MOVIMIENTOS_COMPLEMENTOS!$G$4:$G$803,E2623,MOVIMIENTOS_COMPLEMENTOS!$H$4:$H$803,G2623,MOVIMIENTOS_COMPLEMENTOS!$B$4:$B$803,"INGRESO")+SUMIFS(MOVIMIENTOS_COMPLEMENTOS!$I$4:$I$803,MOVIMIENTOS_COMPLEMENTOS!$C$4:$C$803,A2623,MOVIMIENTOS_COMPLEMENTOS!$D$4:$D$803,B2623,MOVIMIENTOS_COMPLEMENTOS!$E$4:$E$803,C2623,MOVIMIENTOS_COMPLEMENTOS!$F$4:$F$803,D2623,MOVIMIENTOS_COMPLEMENTOS!$G$4:$G$803,E2623,MOVIMIENTOS_COMPLEMENTOS!$H$4:$H$803,G2623,MOVIMIENTOS_COMPLEMENTOS!$B$4:$B$803,"DE CORTE")-SUMIFS(MOVIMIENTOS_COMPLEMENTOS!$I$4:$I$803,MOVIMIENTOS_COMPLEMENTOS!$C$4:$C$803,A2623,MOVIMIENTOS_COMPLEMENTOS!$D$4:$D$803,B2623,MOVIMIENTOS_COMPLEMENTOS!$E$4:$E$803,C2623,MOVIMIENTOS_COMPLEMENTOS!$F$4:$F$803,D2623,MOVIMIENTOS_COMPLEMENTOS!$G$4:$G$803,E2623,MOVIMIENTOS_COMPLEMENTOS!$H$4:$H$803,G2623,MOVIMIENTOS_COMPLEMENTOS!$B$4:$B$803,"SALIDA"),0)</f>
        <v>0</v>
      </c>
      <c r="I2623" s="102">
        <f t="array" ref="I2623">IFERROR(INDEX(PRECIOS_COMPLEMENTOS!$C$4:$F$17,MATCH(B2623&amp;"_"&amp;C2623,PRECIOS_COMPLEMENTOS!$H$4:$H$17,0),IF(OR(G2623="S",G2623="20cm"),1,IF(OR(G2623="M",G2623="25cm"),2,IF(OR(G2623="L",G2623="30cm"),3,IF(OR(G2623="XL",G2623="35cm"),4,0))))),0)</f>
        <v>0.6</v>
      </c>
      <c r="J2623" s="103">
        <f t="shared" si="1"/>
        <v>0</v>
      </c>
      <c r="K2623" s="104" t="str">
        <f>IF(H2623&lt;0,"ERROR",IF(H2623=0,"",IF(H2623&lt;CONFIG!$B$4,"CRÍTICO",IF(H2623&lt;CONFIG!$B$5,"BAJO","OK"))))</f>
        <v/>
      </c>
    </row>
    <row r="2624" ht="15.75" hidden="1" customHeight="1">
      <c r="A2624" s="90" t="str">
        <f>IF(CLIENTES!A8="","",CLIENTES!A8)</f>
        <v/>
      </c>
      <c r="B2624" s="90" t="s">
        <v>331</v>
      </c>
      <c r="C2624" s="91" t="s">
        <v>328</v>
      </c>
      <c r="D2624" s="109" t="s">
        <v>364</v>
      </c>
      <c r="E2624" s="67" t="str">
        <f>COLORES!A19</f>
        <v/>
      </c>
      <c r="F2624" s="67" t="str">
        <f>COLORES!B19</f>
        <v/>
      </c>
      <c r="G2624" s="90" t="s">
        <v>378</v>
      </c>
      <c r="H2624" s="100">
        <f>IFERROR(SUMIFS(MOVIMIENTOS_COMPLEMENTOS!$I$4:$I$803,MOVIMIENTOS_COMPLEMENTOS!$C$4:$C$803,A2624,MOVIMIENTOS_COMPLEMENTOS!$D$4:$D$803,B2624,MOVIMIENTOS_COMPLEMENTOS!$E$4:$E$803,C2624,MOVIMIENTOS_COMPLEMENTOS!$F$4:$F$803,D2624,MOVIMIENTOS_COMPLEMENTOS!$G$4:$G$803,E2624,MOVIMIENTOS_COMPLEMENTOS!$H$4:$H$803,G2624,MOVIMIENTOS_COMPLEMENTOS!$B$4:$B$803,"INGRESO")+SUMIFS(MOVIMIENTOS_COMPLEMENTOS!$I$4:$I$803,MOVIMIENTOS_COMPLEMENTOS!$C$4:$C$803,A2624,MOVIMIENTOS_COMPLEMENTOS!$D$4:$D$803,B2624,MOVIMIENTOS_COMPLEMENTOS!$E$4:$E$803,C2624,MOVIMIENTOS_COMPLEMENTOS!$F$4:$F$803,D2624,MOVIMIENTOS_COMPLEMENTOS!$G$4:$G$803,E2624,MOVIMIENTOS_COMPLEMENTOS!$H$4:$H$803,G2624,MOVIMIENTOS_COMPLEMENTOS!$B$4:$B$803,"DE CORTE")-SUMIFS(MOVIMIENTOS_COMPLEMENTOS!$I$4:$I$803,MOVIMIENTOS_COMPLEMENTOS!$C$4:$C$803,A2624,MOVIMIENTOS_COMPLEMENTOS!$D$4:$D$803,B2624,MOVIMIENTOS_COMPLEMENTOS!$E$4:$E$803,C2624,MOVIMIENTOS_COMPLEMENTOS!$F$4:$F$803,D2624,MOVIMIENTOS_COMPLEMENTOS!$G$4:$G$803,E2624,MOVIMIENTOS_COMPLEMENTOS!$H$4:$H$803,G2624,MOVIMIENTOS_COMPLEMENTOS!$B$4:$B$803,"SALIDA"),0)</f>
        <v>0</v>
      </c>
      <c r="I2624" s="102">
        <f t="array" ref="I2624">IFERROR(INDEX(PRECIOS_COMPLEMENTOS!$C$4:$F$17,MATCH(B2624&amp;"_"&amp;C2624,PRECIOS_COMPLEMENTOS!$H$4:$H$17,0),IF(OR(G2624="S",G2624="20cm"),1,IF(OR(G2624="M",G2624="25cm"),2,IF(OR(G2624="L",G2624="30cm"),3,IF(OR(G2624="XL",G2624="35cm"),4,0))))),0)</f>
        <v>0.6</v>
      </c>
      <c r="J2624" s="103">
        <f t="shared" si="1"/>
        <v>0</v>
      </c>
      <c r="K2624" s="104" t="str">
        <f>IF(H2624&lt;0,"ERROR",IF(H2624=0,"",IF(H2624&lt;CONFIG!$B$4,"CRÍTICO",IF(H2624&lt;CONFIG!$B$5,"BAJO","OK"))))</f>
        <v/>
      </c>
    </row>
    <row r="2625" ht="15.75" hidden="1" customHeight="1">
      <c r="A2625" s="90" t="str">
        <f>IF(CLIENTES!A8="","",CLIENTES!A8)</f>
        <v/>
      </c>
      <c r="B2625" s="90" t="s">
        <v>331</v>
      </c>
      <c r="C2625" s="91" t="s">
        <v>328</v>
      </c>
      <c r="D2625" s="109" t="s">
        <v>364</v>
      </c>
      <c r="E2625" s="67" t="str">
        <f>COLORES!A19</f>
        <v/>
      </c>
      <c r="F2625" s="67" t="str">
        <f>COLORES!B19</f>
        <v/>
      </c>
      <c r="G2625" s="90" t="s">
        <v>376</v>
      </c>
      <c r="H2625" s="100">
        <f>IFERROR(SUMIFS(MOVIMIENTOS_COMPLEMENTOS!$I$4:$I$803,MOVIMIENTOS_COMPLEMENTOS!$C$4:$C$803,A2625,MOVIMIENTOS_COMPLEMENTOS!$D$4:$D$803,B2625,MOVIMIENTOS_COMPLEMENTOS!$E$4:$E$803,C2625,MOVIMIENTOS_COMPLEMENTOS!$F$4:$F$803,D2625,MOVIMIENTOS_COMPLEMENTOS!$G$4:$G$803,E2625,MOVIMIENTOS_COMPLEMENTOS!$H$4:$H$803,G2625,MOVIMIENTOS_COMPLEMENTOS!$B$4:$B$803,"INGRESO")+SUMIFS(MOVIMIENTOS_COMPLEMENTOS!$I$4:$I$803,MOVIMIENTOS_COMPLEMENTOS!$C$4:$C$803,A2625,MOVIMIENTOS_COMPLEMENTOS!$D$4:$D$803,B2625,MOVIMIENTOS_COMPLEMENTOS!$E$4:$E$803,C2625,MOVIMIENTOS_COMPLEMENTOS!$F$4:$F$803,D2625,MOVIMIENTOS_COMPLEMENTOS!$G$4:$G$803,E2625,MOVIMIENTOS_COMPLEMENTOS!$H$4:$H$803,G2625,MOVIMIENTOS_COMPLEMENTOS!$B$4:$B$803,"DE CORTE")-SUMIFS(MOVIMIENTOS_COMPLEMENTOS!$I$4:$I$803,MOVIMIENTOS_COMPLEMENTOS!$C$4:$C$803,A2625,MOVIMIENTOS_COMPLEMENTOS!$D$4:$D$803,B2625,MOVIMIENTOS_COMPLEMENTOS!$E$4:$E$803,C2625,MOVIMIENTOS_COMPLEMENTOS!$F$4:$F$803,D2625,MOVIMIENTOS_COMPLEMENTOS!$G$4:$G$803,E2625,MOVIMIENTOS_COMPLEMENTOS!$H$4:$H$803,G2625,MOVIMIENTOS_COMPLEMENTOS!$B$4:$B$803,"SALIDA"),0)</f>
        <v>0</v>
      </c>
      <c r="I2625" s="102">
        <f t="array" ref="I2625">IFERROR(INDEX(PRECIOS_COMPLEMENTOS!$C$4:$F$17,MATCH(B2625&amp;"_"&amp;C2625,PRECIOS_COMPLEMENTOS!$H$4:$H$17,0),IF(OR(G2625="S",G2625="20cm"),1,IF(OR(G2625="M",G2625="25cm"),2,IF(OR(G2625="L",G2625="30cm"),3,IF(OR(G2625="XL",G2625="35cm"),4,0))))),0)</f>
        <v>0.6</v>
      </c>
      <c r="J2625" s="103">
        <f t="shared" si="1"/>
        <v>0</v>
      </c>
      <c r="K2625" s="104" t="str">
        <f>IF(H2625&lt;0,"ERROR",IF(H2625=0,"",IF(H2625&lt;CONFIG!$B$4,"CRÍTICO",IF(H2625&lt;CONFIG!$B$5,"BAJO","OK"))))</f>
        <v/>
      </c>
    </row>
    <row r="2626" ht="15.75" hidden="1" customHeight="1">
      <c r="A2626" s="90" t="str">
        <f>IF(CLIENTES!A8="","",CLIENTES!A8)</f>
        <v/>
      </c>
      <c r="B2626" s="90" t="s">
        <v>331</v>
      </c>
      <c r="C2626" s="91" t="s">
        <v>328</v>
      </c>
      <c r="D2626" s="109" t="s">
        <v>364</v>
      </c>
      <c r="E2626" s="67" t="str">
        <f>COLORES!A19</f>
        <v/>
      </c>
      <c r="F2626" s="67" t="str">
        <f>COLORES!B19</f>
        <v/>
      </c>
      <c r="G2626" s="90" t="s">
        <v>377</v>
      </c>
      <c r="H2626" s="100">
        <f>IFERROR(SUMIFS(MOVIMIENTOS_COMPLEMENTOS!$I$4:$I$803,MOVIMIENTOS_COMPLEMENTOS!$C$4:$C$803,A2626,MOVIMIENTOS_COMPLEMENTOS!$D$4:$D$803,B2626,MOVIMIENTOS_COMPLEMENTOS!$E$4:$E$803,C2626,MOVIMIENTOS_COMPLEMENTOS!$F$4:$F$803,D2626,MOVIMIENTOS_COMPLEMENTOS!$G$4:$G$803,E2626,MOVIMIENTOS_COMPLEMENTOS!$H$4:$H$803,G2626,MOVIMIENTOS_COMPLEMENTOS!$B$4:$B$803,"INGRESO")+SUMIFS(MOVIMIENTOS_COMPLEMENTOS!$I$4:$I$803,MOVIMIENTOS_COMPLEMENTOS!$C$4:$C$803,A2626,MOVIMIENTOS_COMPLEMENTOS!$D$4:$D$803,B2626,MOVIMIENTOS_COMPLEMENTOS!$E$4:$E$803,C2626,MOVIMIENTOS_COMPLEMENTOS!$F$4:$F$803,D2626,MOVIMIENTOS_COMPLEMENTOS!$G$4:$G$803,E2626,MOVIMIENTOS_COMPLEMENTOS!$H$4:$H$803,G2626,MOVIMIENTOS_COMPLEMENTOS!$B$4:$B$803,"DE CORTE")-SUMIFS(MOVIMIENTOS_COMPLEMENTOS!$I$4:$I$803,MOVIMIENTOS_COMPLEMENTOS!$C$4:$C$803,A2626,MOVIMIENTOS_COMPLEMENTOS!$D$4:$D$803,B2626,MOVIMIENTOS_COMPLEMENTOS!$E$4:$E$803,C2626,MOVIMIENTOS_COMPLEMENTOS!$F$4:$F$803,D2626,MOVIMIENTOS_COMPLEMENTOS!$G$4:$G$803,E2626,MOVIMIENTOS_COMPLEMENTOS!$H$4:$H$803,G2626,MOVIMIENTOS_COMPLEMENTOS!$B$4:$B$803,"SALIDA"),0)</f>
        <v>0</v>
      </c>
      <c r="I2626" s="102">
        <f t="array" ref="I2626">IFERROR(INDEX(PRECIOS_COMPLEMENTOS!$C$4:$F$17,MATCH(B2626&amp;"_"&amp;C2626,PRECIOS_COMPLEMENTOS!$H$4:$H$17,0),IF(OR(G2626="S",G2626="20cm"),1,IF(OR(G2626="M",G2626="25cm"),2,IF(OR(G2626="L",G2626="30cm"),3,IF(OR(G2626="XL",G2626="35cm"),4,0))))),0)</f>
        <v>0.6</v>
      </c>
      <c r="J2626" s="103">
        <f t="shared" si="1"/>
        <v>0</v>
      </c>
      <c r="K2626" s="104" t="str">
        <f>IF(H2626&lt;0,"ERROR",IF(H2626=0,"",IF(H2626&lt;CONFIG!$B$4,"CRÍTICO",IF(H2626&lt;CONFIG!$B$5,"BAJO","OK"))))</f>
        <v/>
      </c>
    </row>
    <row r="2627" ht="15.75" hidden="1" customHeight="1">
      <c r="A2627" s="90" t="str">
        <f>IF(CLIENTES!A8="","",CLIENTES!A8)</f>
        <v/>
      </c>
      <c r="B2627" s="90" t="s">
        <v>331</v>
      </c>
      <c r="C2627" s="91" t="s">
        <v>328</v>
      </c>
      <c r="D2627" s="109" t="s">
        <v>364</v>
      </c>
      <c r="E2627" s="67" t="str">
        <f>COLORES!A19</f>
        <v/>
      </c>
      <c r="F2627" s="67" t="str">
        <f>COLORES!B19</f>
        <v/>
      </c>
      <c r="G2627" s="90" t="s">
        <v>379</v>
      </c>
      <c r="H2627" s="100">
        <f>IFERROR(SUMIFS(MOVIMIENTOS_COMPLEMENTOS!$I$4:$I$803,MOVIMIENTOS_COMPLEMENTOS!$C$4:$C$803,A2627,MOVIMIENTOS_COMPLEMENTOS!$D$4:$D$803,B2627,MOVIMIENTOS_COMPLEMENTOS!$E$4:$E$803,C2627,MOVIMIENTOS_COMPLEMENTOS!$F$4:$F$803,D2627,MOVIMIENTOS_COMPLEMENTOS!$G$4:$G$803,E2627,MOVIMIENTOS_COMPLEMENTOS!$H$4:$H$803,G2627,MOVIMIENTOS_COMPLEMENTOS!$B$4:$B$803,"INGRESO")+SUMIFS(MOVIMIENTOS_COMPLEMENTOS!$I$4:$I$803,MOVIMIENTOS_COMPLEMENTOS!$C$4:$C$803,A2627,MOVIMIENTOS_COMPLEMENTOS!$D$4:$D$803,B2627,MOVIMIENTOS_COMPLEMENTOS!$E$4:$E$803,C2627,MOVIMIENTOS_COMPLEMENTOS!$F$4:$F$803,D2627,MOVIMIENTOS_COMPLEMENTOS!$G$4:$G$803,E2627,MOVIMIENTOS_COMPLEMENTOS!$H$4:$H$803,G2627,MOVIMIENTOS_COMPLEMENTOS!$B$4:$B$803,"DE CORTE")-SUMIFS(MOVIMIENTOS_COMPLEMENTOS!$I$4:$I$803,MOVIMIENTOS_COMPLEMENTOS!$C$4:$C$803,A2627,MOVIMIENTOS_COMPLEMENTOS!$D$4:$D$803,B2627,MOVIMIENTOS_COMPLEMENTOS!$E$4:$E$803,C2627,MOVIMIENTOS_COMPLEMENTOS!$F$4:$F$803,D2627,MOVIMIENTOS_COMPLEMENTOS!$G$4:$G$803,E2627,MOVIMIENTOS_COMPLEMENTOS!$H$4:$H$803,G2627,MOVIMIENTOS_COMPLEMENTOS!$B$4:$B$803,"SALIDA"),0)</f>
        <v>0</v>
      </c>
      <c r="I2627" s="102">
        <f t="array" ref="I2627">IFERROR(INDEX(PRECIOS_COMPLEMENTOS!$C$4:$F$17,MATCH(B2627&amp;"_"&amp;C2627,PRECIOS_COMPLEMENTOS!$H$4:$H$17,0),IF(OR(G2627="S",G2627="20cm"),1,IF(OR(G2627="M",G2627="25cm"),2,IF(OR(G2627="L",G2627="30cm"),3,IF(OR(G2627="XL",G2627="35cm"),4,0))))),0)</f>
        <v>0.6</v>
      </c>
      <c r="J2627" s="103">
        <f t="shared" si="1"/>
        <v>0</v>
      </c>
      <c r="K2627" s="104" t="str">
        <f>IF(H2627&lt;0,"ERROR",IF(H2627=0,"",IF(H2627&lt;CONFIG!$B$4,"CRÍTICO",IF(H2627&lt;CONFIG!$B$5,"BAJO","OK"))))</f>
        <v/>
      </c>
    </row>
    <row r="2628" ht="15.75" hidden="1" customHeight="1">
      <c r="A2628" s="90" t="str">
        <f>IF(CLIENTES!A8="","",CLIENTES!A8)</f>
        <v/>
      </c>
      <c r="B2628" s="90" t="s">
        <v>331</v>
      </c>
      <c r="C2628" s="91" t="s">
        <v>328</v>
      </c>
      <c r="D2628" s="109" t="s">
        <v>364</v>
      </c>
      <c r="E2628" s="67" t="str">
        <f>COLORES!A20</f>
        <v/>
      </c>
      <c r="F2628" s="67" t="str">
        <f>COLORES!B20</f>
        <v/>
      </c>
      <c r="G2628" s="90" t="s">
        <v>378</v>
      </c>
      <c r="H2628" s="100">
        <f>IFERROR(SUMIFS(MOVIMIENTOS_COMPLEMENTOS!$I$4:$I$803,MOVIMIENTOS_COMPLEMENTOS!$C$4:$C$803,A2628,MOVIMIENTOS_COMPLEMENTOS!$D$4:$D$803,B2628,MOVIMIENTOS_COMPLEMENTOS!$E$4:$E$803,C2628,MOVIMIENTOS_COMPLEMENTOS!$F$4:$F$803,D2628,MOVIMIENTOS_COMPLEMENTOS!$G$4:$G$803,E2628,MOVIMIENTOS_COMPLEMENTOS!$H$4:$H$803,G2628,MOVIMIENTOS_COMPLEMENTOS!$B$4:$B$803,"INGRESO")+SUMIFS(MOVIMIENTOS_COMPLEMENTOS!$I$4:$I$803,MOVIMIENTOS_COMPLEMENTOS!$C$4:$C$803,A2628,MOVIMIENTOS_COMPLEMENTOS!$D$4:$D$803,B2628,MOVIMIENTOS_COMPLEMENTOS!$E$4:$E$803,C2628,MOVIMIENTOS_COMPLEMENTOS!$F$4:$F$803,D2628,MOVIMIENTOS_COMPLEMENTOS!$G$4:$G$803,E2628,MOVIMIENTOS_COMPLEMENTOS!$H$4:$H$803,G2628,MOVIMIENTOS_COMPLEMENTOS!$B$4:$B$803,"DE CORTE")-SUMIFS(MOVIMIENTOS_COMPLEMENTOS!$I$4:$I$803,MOVIMIENTOS_COMPLEMENTOS!$C$4:$C$803,A2628,MOVIMIENTOS_COMPLEMENTOS!$D$4:$D$803,B2628,MOVIMIENTOS_COMPLEMENTOS!$E$4:$E$803,C2628,MOVIMIENTOS_COMPLEMENTOS!$F$4:$F$803,D2628,MOVIMIENTOS_COMPLEMENTOS!$G$4:$G$803,E2628,MOVIMIENTOS_COMPLEMENTOS!$H$4:$H$803,G2628,MOVIMIENTOS_COMPLEMENTOS!$B$4:$B$803,"SALIDA"),0)</f>
        <v>0</v>
      </c>
      <c r="I2628" s="102">
        <f t="array" ref="I2628">IFERROR(INDEX(PRECIOS_COMPLEMENTOS!$C$4:$F$17,MATCH(B2628&amp;"_"&amp;C2628,PRECIOS_COMPLEMENTOS!$H$4:$H$17,0),IF(OR(G2628="S",G2628="20cm"),1,IF(OR(G2628="M",G2628="25cm"),2,IF(OR(G2628="L",G2628="30cm"),3,IF(OR(G2628="XL",G2628="35cm"),4,0))))),0)</f>
        <v>0.6</v>
      </c>
      <c r="J2628" s="103">
        <f t="shared" si="1"/>
        <v>0</v>
      </c>
      <c r="K2628" s="104" t="str">
        <f>IF(H2628&lt;0,"ERROR",IF(H2628=0,"",IF(H2628&lt;CONFIG!$B$4,"CRÍTICO",IF(H2628&lt;CONFIG!$B$5,"BAJO","OK"))))</f>
        <v/>
      </c>
    </row>
    <row r="2629" ht="15.75" hidden="1" customHeight="1">
      <c r="A2629" s="90" t="str">
        <f>IF(CLIENTES!A8="","",CLIENTES!A8)</f>
        <v/>
      </c>
      <c r="B2629" s="90" t="s">
        <v>331</v>
      </c>
      <c r="C2629" s="91" t="s">
        <v>328</v>
      </c>
      <c r="D2629" s="109" t="s">
        <v>364</v>
      </c>
      <c r="E2629" s="67" t="str">
        <f>COLORES!A20</f>
        <v/>
      </c>
      <c r="F2629" s="67" t="str">
        <f>COLORES!B20</f>
        <v/>
      </c>
      <c r="G2629" s="90" t="s">
        <v>376</v>
      </c>
      <c r="H2629" s="100">
        <f>IFERROR(SUMIFS(MOVIMIENTOS_COMPLEMENTOS!$I$4:$I$803,MOVIMIENTOS_COMPLEMENTOS!$C$4:$C$803,A2629,MOVIMIENTOS_COMPLEMENTOS!$D$4:$D$803,B2629,MOVIMIENTOS_COMPLEMENTOS!$E$4:$E$803,C2629,MOVIMIENTOS_COMPLEMENTOS!$F$4:$F$803,D2629,MOVIMIENTOS_COMPLEMENTOS!$G$4:$G$803,E2629,MOVIMIENTOS_COMPLEMENTOS!$H$4:$H$803,G2629,MOVIMIENTOS_COMPLEMENTOS!$B$4:$B$803,"INGRESO")+SUMIFS(MOVIMIENTOS_COMPLEMENTOS!$I$4:$I$803,MOVIMIENTOS_COMPLEMENTOS!$C$4:$C$803,A2629,MOVIMIENTOS_COMPLEMENTOS!$D$4:$D$803,B2629,MOVIMIENTOS_COMPLEMENTOS!$E$4:$E$803,C2629,MOVIMIENTOS_COMPLEMENTOS!$F$4:$F$803,D2629,MOVIMIENTOS_COMPLEMENTOS!$G$4:$G$803,E2629,MOVIMIENTOS_COMPLEMENTOS!$H$4:$H$803,G2629,MOVIMIENTOS_COMPLEMENTOS!$B$4:$B$803,"DE CORTE")-SUMIFS(MOVIMIENTOS_COMPLEMENTOS!$I$4:$I$803,MOVIMIENTOS_COMPLEMENTOS!$C$4:$C$803,A2629,MOVIMIENTOS_COMPLEMENTOS!$D$4:$D$803,B2629,MOVIMIENTOS_COMPLEMENTOS!$E$4:$E$803,C2629,MOVIMIENTOS_COMPLEMENTOS!$F$4:$F$803,D2629,MOVIMIENTOS_COMPLEMENTOS!$G$4:$G$803,E2629,MOVIMIENTOS_COMPLEMENTOS!$H$4:$H$803,G2629,MOVIMIENTOS_COMPLEMENTOS!$B$4:$B$803,"SALIDA"),0)</f>
        <v>0</v>
      </c>
      <c r="I2629" s="102">
        <f t="array" ref="I2629">IFERROR(INDEX(PRECIOS_COMPLEMENTOS!$C$4:$F$17,MATCH(B2629&amp;"_"&amp;C2629,PRECIOS_COMPLEMENTOS!$H$4:$H$17,0),IF(OR(G2629="S",G2629="20cm"),1,IF(OR(G2629="M",G2629="25cm"),2,IF(OR(G2629="L",G2629="30cm"),3,IF(OR(G2629="XL",G2629="35cm"),4,0))))),0)</f>
        <v>0.6</v>
      </c>
      <c r="J2629" s="103">
        <f t="shared" si="1"/>
        <v>0</v>
      </c>
      <c r="K2629" s="104" t="str">
        <f>IF(H2629&lt;0,"ERROR",IF(H2629=0,"",IF(H2629&lt;CONFIG!$B$4,"CRÍTICO",IF(H2629&lt;CONFIG!$B$5,"BAJO","OK"))))</f>
        <v/>
      </c>
    </row>
    <row r="2630" ht="15.75" hidden="1" customHeight="1">
      <c r="A2630" s="90" t="str">
        <f>IF(CLIENTES!A8="","",CLIENTES!A8)</f>
        <v/>
      </c>
      <c r="B2630" s="90" t="s">
        <v>331</v>
      </c>
      <c r="C2630" s="91" t="s">
        <v>328</v>
      </c>
      <c r="D2630" s="109" t="s">
        <v>364</v>
      </c>
      <c r="E2630" s="67" t="str">
        <f>COLORES!A20</f>
        <v/>
      </c>
      <c r="F2630" s="67" t="str">
        <f>COLORES!B20</f>
        <v/>
      </c>
      <c r="G2630" s="90" t="s">
        <v>377</v>
      </c>
      <c r="H2630" s="100">
        <f>IFERROR(SUMIFS(MOVIMIENTOS_COMPLEMENTOS!$I$4:$I$803,MOVIMIENTOS_COMPLEMENTOS!$C$4:$C$803,A2630,MOVIMIENTOS_COMPLEMENTOS!$D$4:$D$803,B2630,MOVIMIENTOS_COMPLEMENTOS!$E$4:$E$803,C2630,MOVIMIENTOS_COMPLEMENTOS!$F$4:$F$803,D2630,MOVIMIENTOS_COMPLEMENTOS!$G$4:$G$803,E2630,MOVIMIENTOS_COMPLEMENTOS!$H$4:$H$803,G2630,MOVIMIENTOS_COMPLEMENTOS!$B$4:$B$803,"INGRESO")+SUMIFS(MOVIMIENTOS_COMPLEMENTOS!$I$4:$I$803,MOVIMIENTOS_COMPLEMENTOS!$C$4:$C$803,A2630,MOVIMIENTOS_COMPLEMENTOS!$D$4:$D$803,B2630,MOVIMIENTOS_COMPLEMENTOS!$E$4:$E$803,C2630,MOVIMIENTOS_COMPLEMENTOS!$F$4:$F$803,D2630,MOVIMIENTOS_COMPLEMENTOS!$G$4:$G$803,E2630,MOVIMIENTOS_COMPLEMENTOS!$H$4:$H$803,G2630,MOVIMIENTOS_COMPLEMENTOS!$B$4:$B$803,"DE CORTE")-SUMIFS(MOVIMIENTOS_COMPLEMENTOS!$I$4:$I$803,MOVIMIENTOS_COMPLEMENTOS!$C$4:$C$803,A2630,MOVIMIENTOS_COMPLEMENTOS!$D$4:$D$803,B2630,MOVIMIENTOS_COMPLEMENTOS!$E$4:$E$803,C2630,MOVIMIENTOS_COMPLEMENTOS!$F$4:$F$803,D2630,MOVIMIENTOS_COMPLEMENTOS!$G$4:$G$803,E2630,MOVIMIENTOS_COMPLEMENTOS!$H$4:$H$803,G2630,MOVIMIENTOS_COMPLEMENTOS!$B$4:$B$803,"SALIDA"),0)</f>
        <v>0</v>
      </c>
      <c r="I2630" s="102">
        <f t="array" ref="I2630">IFERROR(INDEX(PRECIOS_COMPLEMENTOS!$C$4:$F$17,MATCH(B2630&amp;"_"&amp;C2630,PRECIOS_COMPLEMENTOS!$H$4:$H$17,0),IF(OR(G2630="S",G2630="20cm"),1,IF(OR(G2630="M",G2630="25cm"),2,IF(OR(G2630="L",G2630="30cm"),3,IF(OR(G2630="XL",G2630="35cm"),4,0))))),0)</f>
        <v>0.6</v>
      </c>
      <c r="J2630" s="103">
        <f t="shared" si="1"/>
        <v>0</v>
      </c>
      <c r="K2630" s="104" t="str">
        <f>IF(H2630&lt;0,"ERROR",IF(H2630=0,"",IF(H2630&lt;CONFIG!$B$4,"CRÍTICO",IF(H2630&lt;CONFIG!$B$5,"BAJO","OK"))))</f>
        <v/>
      </c>
    </row>
    <row r="2631" ht="15.75" hidden="1" customHeight="1">
      <c r="A2631" s="90" t="str">
        <f>IF(CLIENTES!A8="","",CLIENTES!A8)</f>
        <v/>
      </c>
      <c r="B2631" s="90" t="s">
        <v>331</v>
      </c>
      <c r="C2631" s="91" t="s">
        <v>328</v>
      </c>
      <c r="D2631" s="109" t="s">
        <v>364</v>
      </c>
      <c r="E2631" s="67" t="str">
        <f>COLORES!A20</f>
        <v/>
      </c>
      <c r="F2631" s="67" t="str">
        <f>COLORES!B20</f>
        <v/>
      </c>
      <c r="G2631" s="90" t="s">
        <v>379</v>
      </c>
      <c r="H2631" s="100">
        <f>IFERROR(SUMIFS(MOVIMIENTOS_COMPLEMENTOS!$I$4:$I$803,MOVIMIENTOS_COMPLEMENTOS!$C$4:$C$803,A2631,MOVIMIENTOS_COMPLEMENTOS!$D$4:$D$803,B2631,MOVIMIENTOS_COMPLEMENTOS!$E$4:$E$803,C2631,MOVIMIENTOS_COMPLEMENTOS!$F$4:$F$803,D2631,MOVIMIENTOS_COMPLEMENTOS!$G$4:$G$803,E2631,MOVIMIENTOS_COMPLEMENTOS!$H$4:$H$803,G2631,MOVIMIENTOS_COMPLEMENTOS!$B$4:$B$803,"INGRESO")+SUMIFS(MOVIMIENTOS_COMPLEMENTOS!$I$4:$I$803,MOVIMIENTOS_COMPLEMENTOS!$C$4:$C$803,A2631,MOVIMIENTOS_COMPLEMENTOS!$D$4:$D$803,B2631,MOVIMIENTOS_COMPLEMENTOS!$E$4:$E$803,C2631,MOVIMIENTOS_COMPLEMENTOS!$F$4:$F$803,D2631,MOVIMIENTOS_COMPLEMENTOS!$G$4:$G$803,E2631,MOVIMIENTOS_COMPLEMENTOS!$H$4:$H$803,G2631,MOVIMIENTOS_COMPLEMENTOS!$B$4:$B$803,"DE CORTE")-SUMIFS(MOVIMIENTOS_COMPLEMENTOS!$I$4:$I$803,MOVIMIENTOS_COMPLEMENTOS!$C$4:$C$803,A2631,MOVIMIENTOS_COMPLEMENTOS!$D$4:$D$803,B2631,MOVIMIENTOS_COMPLEMENTOS!$E$4:$E$803,C2631,MOVIMIENTOS_COMPLEMENTOS!$F$4:$F$803,D2631,MOVIMIENTOS_COMPLEMENTOS!$G$4:$G$803,E2631,MOVIMIENTOS_COMPLEMENTOS!$H$4:$H$803,G2631,MOVIMIENTOS_COMPLEMENTOS!$B$4:$B$803,"SALIDA"),0)</f>
        <v>0</v>
      </c>
      <c r="I2631" s="102">
        <f t="array" ref="I2631">IFERROR(INDEX(PRECIOS_COMPLEMENTOS!$C$4:$F$17,MATCH(B2631&amp;"_"&amp;C2631,PRECIOS_COMPLEMENTOS!$H$4:$H$17,0),IF(OR(G2631="S",G2631="20cm"),1,IF(OR(G2631="M",G2631="25cm"),2,IF(OR(G2631="L",G2631="30cm"),3,IF(OR(G2631="XL",G2631="35cm"),4,0))))),0)</f>
        <v>0.6</v>
      </c>
      <c r="J2631" s="103">
        <f t="shared" si="1"/>
        <v>0</v>
      </c>
      <c r="K2631" s="104" t="str">
        <f>IF(H2631&lt;0,"ERROR",IF(H2631=0,"",IF(H2631&lt;CONFIG!$B$4,"CRÍTICO",IF(H2631&lt;CONFIG!$B$5,"BAJO","OK"))))</f>
        <v/>
      </c>
    </row>
    <row r="2632" ht="15.75" hidden="1" customHeight="1">
      <c r="A2632" s="90" t="str">
        <f>IF(CLIENTES!A8="","",CLIENTES!A8)</f>
        <v/>
      </c>
      <c r="B2632" s="90" t="s">
        <v>331</v>
      </c>
      <c r="C2632" s="91" t="s">
        <v>328</v>
      </c>
      <c r="D2632" s="109" t="s">
        <v>364</v>
      </c>
      <c r="E2632" s="67" t="str">
        <f>COLORES!A21</f>
        <v/>
      </c>
      <c r="F2632" s="67" t="str">
        <f>COLORES!B21</f>
        <v/>
      </c>
      <c r="G2632" s="90" t="s">
        <v>378</v>
      </c>
      <c r="H2632" s="100">
        <f>IFERROR(SUMIFS(MOVIMIENTOS_COMPLEMENTOS!$I$4:$I$803,MOVIMIENTOS_COMPLEMENTOS!$C$4:$C$803,A2632,MOVIMIENTOS_COMPLEMENTOS!$D$4:$D$803,B2632,MOVIMIENTOS_COMPLEMENTOS!$E$4:$E$803,C2632,MOVIMIENTOS_COMPLEMENTOS!$F$4:$F$803,D2632,MOVIMIENTOS_COMPLEMENTOS!$G$4:$G$803,E2632,MOVIMIENTOS_COMPLEMENTOS!$H$4:$H$803,G2632,MOVIMIENTOS_COMPLEMENTOS!$B$4:$B$803,"INGRESO")+SUMIFS(MOVIMIENTOS_COMPLEMENTOS!$I$4:$I$803,MOVIMIENTOS_COMPLEMENTOS!$C$4:$C$803,A2632,MOVIMIENTOS_COMPLEMENTOS!$D$4:$D$803,B2632,MOVIMIENTOS_COMPLEMENTOS!$E$4:$E$803,C2632,MOVIMIENTOS_COMPLEMENTOS!$F$4:$F$803,D2632,MOVIMIENTOS_COMPLEMENTOS!$G$4:$G$803,E2632,MOVIMIENTOS_COMPLEMENTOS!$H$4:$H$803,G2632,MOVIMIENTOS_COMPLEMENTOS!$B$4:$B$803,"DE CORTE")-SUMIFS(MOVIMIENTOS_COMPLEMENTOS!$I$4:$I$803,MOVIMIENTOS_COMPLEMENTOS!$C$4:$C$803,A2632,MOVIMIENTOS_COMPLEMENTOS!$D$4:$D$803,B2632,MOVIMIENTOS_COMPLEMENTOS!$E$4:$E$803,C2632,MOVIMIENTOS_COMPLEMENTOS!$F$4:$F$803,D2632,MOVIMIENTOS_COMPLEMENTOS!$G$4:$G$803,E2632,MOVIMIENTOS_COMPLEMENTOS!$H$4:$H$803,G2632,MOVIMIENTOS_COMPLEMENTOS!$B$4:$B$803,"SALIDA"),0)</f>
        <v>0</v>
      </c>
      <c r="I2632" s="102">
        <f t="array" ref="I2632">IFERROR(INDEX(PRECIOS_COMPLEMENTOS!$C$4:$F$17,MATCH(B2632&amp;"_"&amp;C2632,PRECIOS_COMPLEMENTOS!$H$4:$H$17,0),IF(OR(G2632="S",G2632="20cm"),1,IF(OR(G2632="M",G2632="25cm"),2,IF(OR(G2632="L",G2632="30cm"),3,IF(OR(G2632="XL",G2632="35cm"),4,0))))),0)</f>
        <v>0.6</v>
      </c>
      <c r="J2632" s="103">
        <f t="shared" si="1"/>
        <v>0</v>
      </c>
      <c r="K2632" s="104" t="str">
        <f>IF(H2632&lt;0,"ERROR",IF(H2632=0,"",IF(H2632&lt;CONFIG!$B$4,"CRÍTICO",IF(H2632&lt;CONFIG!$B$5,"BAJO","OK"))))</f>
        <v/>
      </c>
    </row>
    <row r="2633" ht="15.75" hidden="1" customHeight="1">
      <c r="A2633" s="90" t="str">
        <f>IF(CLIENTES!A8="","",CLIENTES!A8)</f>
        <v/>
      </c>
      <c r="B2633" s="90" t="s">
        <v>331</v>
      </c>
      <c r="C2633" s="91" t="s">
        <v>328</v>
      </c>
      <c r="D2633" s="109" t="s">
        <v>364</v>
      </c>
      <c r="E2633" s="67" t="str">
        <f>COLORES!A21</f>
        <v/>
      </c>
      <c r="F2633" s="67" t="str">
        <f>COLORES!B21</f>
        <v/>
      </c>
      <c r="G2633" s="90" t="s">
        <v>376</v>
      </c>
      <c r="H2633" s="100">
        <f>IFERROR(SUMIFS(MOVIMIENTOS_COMPLEMENTOS!$I$4:$I$803,MOVIMIENTOS_COMPLEMENTOS!$C$4:$C$803,A2633,MOVIMIENTOS_COMPLEMENTOS!$D$4:$D$803,B2633,MOVIMIENTOS_COMPLEMENTOS!$E$4:$E$803,C2633,MOVIMIENTOS_COMPLEMENTOS!$F$4:$F$803,D2633,MOVIMIENTOS_COMPLEMENTOS!$G$4:$G$803,E2633,MOVIMIENTOS_COMPLEMENTOS!$H$4:$H$803,G2633,MOVIMIENTOS_COMPLEMENTOS!$B$4:$B$803,"INGRESO")+SUMIFS(MOVIMIENTOS_COMPLEMENTOS!$I$4:$I$803,MOVIMIENTOS_COMPLEMENTOS!$C$4:$C$803,A2633,MOVIMIENTOS_COMPLEMENTOS!$D$4:$D$803,B2633,MOVIMIENTOS_COMPLEMENTOS!$E$4:$E$803,C2633,MOVIMIENTOS_COMPLEMENTOS!$F$4:$F$803,D2633,MOVIMIENTOS_COMPLEMENTOS!$G$4:$G$803,E2633,MOVIMIENTOS_COMPLEMENTOS!$H$4:$H$803,G2633,MOVIMIENTOS_COMPLEMENTOS!$B$4:$B$803,"DE CORTE")-SUMIFS(MOVIMIENTOS_COMPLEMENTOS!$I$4:$I$803,MOVIMIENTOS_COMPLEMENTOS!$C$4:$C$803,A2633,MOVIMIENTOS_COMPLEMENTOS!$D$4:$D$803,B2633,MOVIMIENTOS_COMPLEMENTOS!$E$4:$E$803,C2633,MOVIMIENTOS_COMPLEMENTOS!$F$4:$F$803,D2633,MOVIMIENTOS_COMPLEMENTOS!$G$4:$G$803,E2633,MOVIMIENTOS_COMPLEMENTOS!$H$4:$H$803,G2633,MOVIMIENTOS_COMPLEMENTOS!$B$4:$B$803,"SALIDA"),0)</f>
        <v>0</v>
      </c>
      <c r="I2633" s="102">
        <f t="array" ref="I2633">IFERROR(INDEX(PRECIOS_COMPLEMENTOS!$C$4:$F$17,MATCH(B2633&amp;"_"&amp;C2633,PRECIOS_COMPLEMENTOS!$H$4:$H$17,0),IF(OR(G2633="S",G2633="20cm"),1,IF(OR(G2633="M",G2633="25cm"),2,IF(OR(G2633="L",G2633="30cm"),3,IF(OR(G2633="XL",G2633="35cm"),4,0))))),0)</f>
        <v>0.6</v>
      </c>
      <c r="J2633" s="103">
        <f t="shared" si="1"/>
        <v>0</v>
      </c>
      <c r="K2633" s="104" t="str">
        <f>IF(H2633&lt;0,"ERROR",IF(H2633=0,"",IF(H2633&lt;CONFIG!$B$4,"CRÍTICO",IF(H2633&lt;CONFIG!$B$5,"BAJO","OK"))))</f>
        <v/>
      </c>
    </row>
    <row r="2634" ht="15.75" hidden="1" customHeight="1">
      <c r="A2634" s="90" t="str">
        <f>IF(CLIENTES!A8="","",CLIENTES!A8)</f>
        <v/>
      </c>
      <c r="B2634" s="90" t="s">
        <v>331</v>
      </c>
      <c r="C2634" s="91" t="s">
        <v>328</v>
      </c>
      <c r="D2634" s="109" t="s">
        <v>364</v>
      </c>
      <c r="E2634" s="67" t="str">
        <f>COLORES!A21</f>
        <v/>
      </c>
      <c r="F2634" s="67" t="str">
        <f>COLORES!B21</f>
        <v/>
      </c>
      <c r="G2634" s="90" t="s">
        <v>377</v>
      </c>
      <c r="H2634" s="100">
        <f>IFERROR(SUMIFS(MOVIMIENTOS_COMPLEMENTOS!$I$4:$I$803,MOVIMIENTOS_COMPLEMENTOS!$C$4:$C$803,A2634,MOVIMIENTOS_COMPLEMENTOS!$D$4:$D$803,B2634,MOVIMIENTOS_COMPLEMENTOS!$E$4:$E$803,C2634,MOVIMIENTOS_COMPLEMENTOS!$F$4:$F$803,D2634,MOVIMIENTOS_COMPLEMENTOS!$G$4:$G$803,E2634,MOVIMIENTOS_COMPLEMENTOS!$H$4:$H$803,G2634,MOVIMIENTOS_COMPLEMENTOS!$B$4:$B$803,"INGRESO")+SUMIFS(MOVIMIENTOS_COMPLEMENTOS!$I$4:$I$803,MOVIMIENTOS_COMPLEMENTOS!$C$4:$C$803,A2634,MOVIMIENTOS_COMPLEMENTOS!$D$4:$D$803,B2634,MOVIMIENTOS_COMPLEMENTOS!$E$4:$E$803,C2634,MOVIMIENTOS_COMPLEMENTOS!$F$4:$F$803,D2634,MOVIMIENTOS_COMPLEMENTOS!$G$4:$G$803,E2634,MOVIMIENTOS_COMPLEMENTOS!$H$4:$H$803,G2634,MOVIMIENTOS_COMPLEMENTOS!$B$4:$B$803,"DE CORTE")-SUMIFS(MOVIMIENTOS_COMPLEMENTOS!$I$4:$I$803,MOVIMIENTOS_COMPLEMENTOS!$C$4:$C$803,A2634,MOVIMIENTOS_COMPLEMENTOS!$D$4:$D$803,B2634,MOVIMIENTOS_COMPLEMENTOS!$E$4:$E$803,C2634,MOVIMIENTOS_COMPLEMENTOS!$F$4:$F$803,D2634,MOVIMIENTOS_COMPLEMENTOS!$G$4:$G$803,E2634,MOVIMIENTOS_COMPLEMENTOS!$H$4:$H$803,G2634,MOVIMIENTOS_COMPLEMENTOS!$B$4:$B$803,"SALIDA"),0)</f>
        <v>0</v>
      </c>
      <c r="I2634" s="102">
        <f t="array" ref="I2634">IFERROR(INDEX(PRECIOS_COMPLEMENTOS!$C$4:$F$17,MATCH(B2634&amp;"_"&amp;C2634,PRECIOS_COMPLEMENTOS!$H$4:$H$17,0),IF(OR(G2634="S",G2634="20cm"),1,IF(OR(G2634="M",G2634="25cm"),2,IF(OR(G2634="L",G2634="30cm"),3,IF(OR(G2634="XL",G2634="35cm"),4,0))))),0)</f>
        <v>0.6</v>
      </c>
      <c r="J2634" s="103">
        <f t="shared" si="1"/>
        <v>0</v>
      </c>
      <c r="K2634" s="104" t="str">
        <f>IF(H2634&lt;0,"ERROR",IF(H2634=0,"",IF(H2634&lt;CONFIG!$B$4,"CRÍTICO",IF(H2634&lt;CONFIG!$B$5,"BAJO","OK"))))</f>
        <v/>
      </c>
    </row>
    <row r="2635" ht="15.75" hidden="1" customHeight="1">
      <c r="A2635" s="90" t="str">
        <f>IF(CLIENTES!A8="","",CLIENTES!A8)</f>
        <v/>
      </c>
      <c r="B2635" s="90" t="s">
        <v>331</v>
      </c>
      <c r="C2635" s="91" t="s">
        <v>328</v>
      </c>
      <c r="D2635" s="109" t="s">
        <v>364</v>
      </c>
      <c r="E2635" s="67" t="str">
        <f>COLORES!A21</f>
        <v/>
      </c>
      <c r="F2635" s="67" t="str">
        <f>COLORES!B21</f>
        <v/>
      </c>
      <c r="G2635" s="90" t="s">
        <v>379</v>
      </c>
      <c r="H2635" s="100">
        <f>IFERROR(SUMIFS(MOVIMIENTOS_COMPLEMENTOS!$I$4:$I$803,MOVIMIENTOS_COMPLEMENTOS!$C$4:$C$803,A2635,MOVIMIENTOS_COMPLEMENTOS!$D$4:$D$803,B2635,MOVIMIENTOS_COMPLEMENTOS!$E$4:$E$803,C2635,MOVIMIENTOS_COMPLEMENTOS!$F$4:$F$803,D2635,MOVIMIENTOS_COMPLEMENTOS!$G$4:$G$803,E2635,MOVIMIENTOS_COMPLEMENTOS!$H$4:$H$803,G2635,MOVIMIENTOS_COMPLEMENTOS!$B$4:$B$803,"INGRESO")+SUMIFS(MOVIMIENTOS_COMPLEMENTOS!$I$4:$I$803,MOVIMIENTOS_COMPLEMENTOS!$C$4:$C$803,A2635,MOVIMIENTOS_COMPLEMENTOS!$D$4:$D$803,B2635,MOVIMIENTOS_COMPLEMENTOS!$E$4:$E$803,C2635,MOVIMIENTOS_COMPLEMENTOS!$F$4:$F$803,D2635,MOVIMIENTOS_COMPLEMENTOS!$G$4:$G$803,E2635,MOVIMIENTOS_COMPLEMENTOS!$H$4:$H$803,G2635,MOVIMIENTOS_COMPLEMENTOS!$B$4:$B$803,"DE CORTE")-SUMIFS(MOVIMIENTOS_COMPLEMENTOS!$I$4:$I$803,MOVIMIENTOS_COMPLEMENTOS!$C$4:$C$803,A2635,MOVIMIENTOS_COMPLEMENTOS!$D$4:$D$803,B2635,MOVIMIENTOS_COMPLEMENTOS!$E$4:$E$803,C2635,MOVIMIENTOS_COMPLEMENTOS!$F$4:$F$803,D2635,MOVIMIENTOS_COMPLEMENTOS!$G$4:$G$803,E2635,MOVIMIENTOS_COMPLEMENTOS!$H$4:$H$803,G2635,MOVIMIENTOS_COMPLEMENTOS!$B$4:$B$803,"SALIDA"),0)</f>
        <v>0</v>
      </c>
      <c r="I2635" s="102">
        <f t="array" ref="I2635">IFERROR(INDEX(PRECIOS_COMPLEMENTOS!$C$4:$F$17,MATCH(B2635&amp;"_"&amp;C2635,PRECIOS_COMPLEMENTOS!$H$4:$H$17,0),IF(OR(G2635="S",G2635="20cm"),1,IF(OR(G2635="M",G2635="25cm"),2,IF(OR(G2635="L",G2635="30cm"),3,IF(OR(G2635="XL",G2635="35cm"),4,0))))),0)</f>
        <v>0.6</v>
      </c>
      <c r="J2635" s="103">
        <f t="shared" si="1"/>
        <v>0</v>
      </c>
      <c r="K2635" s="104" t="str">
        <f>IF(H2635&lt;0,"ERROR",IF(H2635=0,"",IF(H2635&lt;CONFIG!$B$4,"CRÍTICO",IF(H2635&lt;CONFIG!$B$5,"BAJO","OK"))))</f>
        <v/>
      </c>
    </row>
    <row r="2636" ht="15.75" hidden="1" customHeight="1">
      <c r="A2636" s="90" t="str">
        <f>IF(CLIENTES!A8="","",CLIENTES!A8)</f>
        <v/>
      </c>
      <c r="B2636" s="90" t="s">
        <v>331</v>
      </c>
      <c r="C2636" s="91" t="s">
        <v>328</v>
      </c>
      <c r="D2636" s="109" t="s">
        <v>364</v>
      </c>
      <c r="E2636" s="67" t="str">
        <f>COLORES!A22</f>
        <v/>
      </c>
      <c r="F2636" s="67" t="str">
        <f>COLORES!B22</f>
        <v/>
      </c>
      <c r="G2636" s="90" t="s">
        <v>378</v>
      </c>
      <c r="H2636" s="100">
        <f>IFERROR(SUMIFS(MOVIMIENTOS_COMPLEMENTOS!$I$4:$I$803,MOVIMIENTOS_COMPLEMENTOS!$C$4:$C$803,A2636,MOVIMIENTOS_COMPLEMENTOS!$D$4:$D$803,B2636,MOVIMIENTOS_COMPLEMENTOS!$E$4:$E$803,C2636,MOVIMIENTOS_COMPLEMENTOS!$F$4:$F$803,D2636,MOVIMIENTOS_COMPLEMENTOS!$G$4:$G$803,E2636,MOVIMIENTOS_COMPLEMENTOS!$H$4:$H$803,G2636,MOVIMIENTOS_COMPLEMENTOS!$B$4:$B$803,"INGRESO")+SUMIFS(MOVIMIENTOS_COMPLEMENTOS!$I$4:$I$803,MOVIMIENTOS_COMPLEMENTOS!$C$4:$C$803,A2636,MOVIMIENTOS_COMPLEMENTOS!$D$4:$D$803,B2636,MOVIMIENTOS_COMPLEMENTOS!$E$4:$E$803,C2636,MOVIMIENTOS_COMPLEMENTOS!$F$4:$F$803,D2636,MOVIMIENTOS_COMPLEMENTOS!$G$4:$G$803,E2636,MOVIMIENTOS_COMPLEMENTOS!$H$4:$H$803,G2636,MOVIMIENTOS_COMPLEMENTOS!$B$4:$B$803,"DE CORTE")-SUMIFS(MOVIMIENTOS_COMPLEMENTOS!$I$4:$I$803,MOVIMIENTOS_COMPLEMENTOS!$C$4:$C$803,A2636,MOVIMIENTOS_COMPLEMENTOS!$D$4:$D$803,B2636,MOVIMIENTOS_COMPLEMENTOS!$E$4:$E$803,C2636,MOVIMIENTOS_COMPLEMENTOS!$F$4:$F$803,D2636,MOVIMIENTOS_COMPLEMENTOS!$G$4:$G$803,E2636,MOVIMIENTOS_COMPLEMENTOS!$H$4:$H$803,G2636,MOVIMIENTOS_COMPLEMENTOS!$B$4:$B$803,"SALIDA"),0)</f>
        <v>0</v>
      </c>
      <c r="I2636" s="102">
        <f t="array" ref="I2636">IFERROR(INDEX(PRECIOS_COMPLEMENTOS!$C$4:$F$17,MATCH(B2636&amp;"_"&amp;C2636,PRECIOS_COMPLEMENTOS!$H$4:$H$17,0),IF(OR(G2636="S",G2636="20cm"),1,IF(OR(G2636="M",G2636="25cm"),2,IF(OR(G2636="L",G2636="30cm"),3,IF(OR(G2636="XL",G2636="35cm"),4,0))))),0)</f>
        <v>0.6</v>
      </c>
      <c r="J2636" s="103">
        <f t="shared" si="1"/>
        <v>0</v>
      </c>
      <c r="K2636" s="104" t="str">
        <f>IF(H2636&lt;0,"ERROR",IF(H2636=0,"",IF(H2636&lt;CONFIG!$B$4,"CRÍTICO",IF(H2636&lt;CONFIG!$B$5,"BAJO","OK"))))</f>
        <v/>
      </c>
    </row>
    <row r="2637" ht="15.75" hidden="1" customHeight="1">
      <c r="A2637" s="90" t="str">
        <f>IF(CLIENTES!A8="","",CLIENTES!A8)</f>
        <v/>
      </c>
      <c r="B2637" s="90" t="s">
        <v>331</v>
      </c>
      <c r="C2637" s="91" t="s">
        <v>328</v>
      </c>
      <c r="D2637" s="109" t="s">
        <v>364</v>
      </c>
      <c r="E2637" s="67" t="str">
        <f>COLORES!A22</f>
        <v/>
      </c>
      <c r="F2637" s="67" t="str">
        <f>COLORES!B22</f>
        <v/>
      </c>
      <c r="G2637" s="90" t="s">
        <v>376</v>
      </c>
      <c r="H2637" s="100">
        <f>IFERROR(SUMIFS(MOVIMIENTOS_COMPLEMENTOS!$I$4:$I$803,MOVIMIENTOS_COMPLEMENTOS!$C$4:$C$803,A2637,MOVIMIENTOS_COMPLEMENTOS!$D$4:$D$803,B2637,MOVIMIENTOS_COMPLEMENTOS!$E$4:$E$803,C2637,MOVIMIENTOS_COMPLEMENTOS!$F$4:$F$803,D2637,MOVIMIENTOS_COMPLEMENTOS!$G$4:$G$803,E2637,MOVIMIENTOS_COMPLEMENTOS!$H$4:$H$803,G2637,MOVIMIENTOS_COMPLEMENTOS!$B$4:$B$803,"INGRESO")+SUMIFS(MOVIMIENTOS_COMPLEMENTOS!$I$4:$I$803,MOVIMIENTOS_COMPLEMENTOS!$C$4:$C$803,A2637,MOVIMIENTOS_COMPLEMENTOS!$D$4:$D$803,B2637,MOVIMIENTOS_COMPLEMENTOS!$E$4:$E$803,C2637,MOVIMIENTOS_COMPLEMENTOS!$F$4:$F$803,D2637,MOVIMIENTOS_COMPLEMENTOS!$G$4:$G$803,E2637,MOVIMIENTOS_COMPLEMENTOS!$H$4:$H$803,G2637,MOVIMIENTOS_COMPLEMENTOS!$B$4:$B$803,"DE CORTE")-SUMIFS(MOVIMIENTOS_COMPLEMENTOS!$I$4:$I$803,MOVIMIENTOS_COMPLEMENTOS!$C$4:$C$803,A2637,MOVIMIENTOS_COMPLEMENTOS!$D$4:$D$803,B2637,MOVIMIENTOS_COMPLEMENTOS!$E$4:$E$803,C2637,MOVIMIENTOS_COMPLEMENTOS!$F$4:$F$803,D2637,MOVIMIENTOS_COMPLEMENTOS!$G$4:$G$803,E2637,MOVIMIENTOS_COMPLEMENTOS!$H$4:$H$803,G2637,MOVIMIENTOS_COMPLEMENTOS!$B$4:$B$803,"SALIDA"),0)</f>
        <v>0</v>
      </c>
      <c r="I2637" s="102">
        <f t="array" ref="I2637">IFERROR(INDEX(PRECIOS_COMPLEMENTOS!$C$4:$F$17,MATCH(B2637&amp;"_"&amp;C2637,PRECIOS_COMPLEMENTOS!$H$4:$H$17,0),IF(OR(G2637="S",G2637="20cm"),1,IF(OR(G2637="M",G2637="25cm"),2,IF(OR(G2637="L",G2637="30cm"),3,IF(OR(G2637="XL",G2637="35cm"),4,0))))),0)</f>
        <v>0.6</v>
      </c>
      <c r="J2637" s="103">
        <f t="shared" si="1"/>
        <v>0</v>
      </c>
      <c r="K2637" s="104" t="str">
        <f>IF(H2637&lt;0,"ERROR",IF(H2637=0,"",IF(H2637&lt;CONFIG!$B$4,"CRÍTICO",IF(H2637&lt;CONFIG!$B$5,"BAJO","OK"))))</f>
        <v/>
      </c>
    </row>
    <row r="2638" ht="15.75" hidden="1" customHeight="1">
      <c r="A2638" s="90" t="str">
        <f>IF(CLIENTES!A8="","",CLIENTES!A8)</f>
        <v/>
      </c>
      <c r="B2638" s="90" t="s">
        <v>331</v>
      </c>
      <c r="C2638" s="91" t="s">
        <v>328</v>
      </c>
      <c r="D2638" s="109" t="s">
        <v>364</v>
      </c>
      <c r="E2638" s="67" t="str">
        <f>COLORES!A22</f>
        <v/>
      </c>
      <c r="F2638" s="67" t="str">
        <f>COLORES!B22</f>
        <v/>
      </c>
      <c r="G2638" s="90" t="s">
        <v>377</v>
      </c>
      <c r="H2638" s="100">
        <f>IFERROR(SUMIFS(MOVIMIENTOS_COMPLEMENTOS!$I$4:$I$803,MOVIMIENTOS_COMPLEMENTOS!$C$4:$C$803,A2638,MOVIMIENTOS_COMPLEMENTOS!$D$4:$D$803,B2638,MOVIMIENTOS_COMPLEMENTOS!$E$4:$E$803,C2638,MOVIMIENTOS_COMPLEMENTOS!$F$4:$F$803,D2638,MOVIMIENTOS_COMPLEMENTOS!$G$4:$G$803,E2638,MOVIMIENTOS_COMPLEMENTOS!$H$4:$H$803,G2638,MOVIMIENTOS_COMPLEMENTOS!$B$4:$B$803,"INGRESO")+SUMIFS(MOVIMIENTOS_COMPLEMENTOS!$I$4:$I$803,MOVIMIENTOS_COMPLEMENTOS!$C$4:$C$803,A2638,MOVIMIENTOS_COMPLEMENTOS!$D$4:$D$803,B2638,MOVIMIENTOS_COMPLEMENTOS!$E$4:$E$803,C2638,MOVIMIENTOS_COMPLEMENTOS!$F$4:$F$803,D2638,MOVIMIENTOS_COMPLEMENTOS!$G$4:$G$803,E2638,MOVIMIENTOS_COMPLEMENTOS!$H$4:$H$803,G2638,MOVIMIENTOS_COMPLEMENTOS!$B$4:$B$803,"DE CORTE")-SUMIFS(MOVIMIENTOS_COMPLEMENTOS!$I$4:$I$803,MOVIMIENTOS_COMPLEMENTOS!$C$4:$C$803,A2638,MOVIMIENTOS_COMPLEMENTOS!$D$4:$D$803,B2638,MOVIMIENTOS_COMPLEMENTOS!$E$4:$E$803,C2638,MOVIMIENTOS_COMPLEMENTOS!$F$4:$F$803,D2638,MOVIMIENTOS_COMPLEMENTOS!$G$4:$G$803,E2638,MOVIMIENTOS_COMPLEMENTOS!$H$4:$H$803,G2638,MOVIMIENTOS_COMPLEMENTOS!$B$4:$B$803,"SALIDA"),0)</f>
        <v>0</v>
      </c>
      <c r="I2638" s="102">
        <f t="array" ref="I2638">IFERROR(INDEX(PRECIOS_COMPLEMENTOS!$C$4:$F$17,MATCH(B2638&amp;"_"&amp;C2638,PRECIOS_COMPLEMENTOS!$H$4:$H$17,0),IF(OR(G2638="S",G2638="20cm"),1,IF(OR(G2638="M",G2638="25cm"),2,IF(OR(G2638="L",G2638="30cm"),3,IF(OR(G2638="XL",G2638="35cm"),4,0))))),0)</f>
        <v>0.6</v>
      </c>
      <c r="J2638" s="103">
        <f t="shared" si="1"/>
        <v>0</v>
      </c>
      <c r="K2638" s="104" t="str">
        <f>IF(H2638&lt;0,"ERROR",IF(H2638=0,"",IF(H2638&lt;CONFIG!$B$4,"CRÍTICO",IF(H2638&lt;CONFIG!$B$5,"BAJO","OK"))))</f>
        <v/>
      </c>
    </row>
    <row r="2639" ht="15.75" hidden="1" customHeight="1">
      <c r="A2639" s="90" t="str">
        <f>IF(CLIENTES!A8="","",CLIENTES!A8)</f>
        <v/>
      </c>
      <c r="B2639" s="90" t="s">
        <v>331</v>
      </c>
      <c r="C2639" s="91" t="s">
        <v>328</v>
      </c>
      <c r="D2639" s="109" t="s">
        <v>364</v>
      </c>
      <c r="E2639" s="67" t="str">
        <f>COLORES!A22</f>
        <v/>
      </c>
      <c r="F2639" s="67" t="str">
        <f>COLORES!B22</f>
        <v/>
      </c>
      <c r="G2639" s="90" t="s">
        <v>379</v>
      </c>
      <c r="H2639" s="100">
        <f>IFERROR(SUMIFS(MOVIMIENTOS_COMPLEMENTOS!$I$4:$I$803,MOVIMIENTOS_COMPLEMENTOS!$C$4:$C$803,A2639,MOVIMIENTOS_COMPLEMENTOS!$D$4:$D$803,B2639,MOVIMIENTOS_COMPLEMENTOS!$E$4:$E$803,C2639,MOVIMIENTOS_COMPLEMENTOS!$F$4:$F$803,D2639,MOVIMIENTOS_COMPLEMENTOS!$G$4:$G$803,E2639,MOVIMIENTOS_COMPLEMENTOS!$H$4:$H$803,G2639,MOVIMIENTOS_COMPLEMENTOS!$B$4:$B$803,"INGRESO")+SUMIFS(MOVIMIENTOS_COMPLEMENTOS!$I$4:$I$803,MOVIMIENTOS_COMPLEMENTOS!$C$4:$C$803,A2639,MOVIMIENTOS_COMPLEMENTOS!$D$4:$D$803,B2639,MOVIMIENTOS_COMPLEMENTOS!$E$4:$E$803,C2639,MOVIMIENTOS_COMPLEMENTOS!$F$4:$F$803,D2639,MOVIMIENTOS_COMPLEMENTOS!$G$4:$G$803,E2639,MOVIMIENTOS_COMPLEMENTOS!$H$4:$H$803,G2639,MOVIMIENTOS_COMPLEMENTOS!$B$4:$B$803,"DE CORTE")-SUMIFS(MOVIMIENTOS_COMPLEMENTOS!$I$4:$I$803,MOVIMIENTOS_COMPLEMENTOS!$C$4:$C$803,A2639,MOVIMIENTOS_COMPLEMENTOS!$D$4:$D$803,B2639,MOVIMIENTOS_COMPLEMENTOS!$E$4:$E$803,C2639,MOVIMIENTOS_COMPLEMENTOS!$F$4:$F$803,D2639,MOVIMIENTOS_COMPLEMENTOS!$G$4:$G$803,E2639,MOVIMIENTOS_COMPLEMENTOS!$H$4:$H$803,G2639,MOVIMIENTOS_COMPLEMENTOS!$B$4:$B$803,"SALIDA"),0)</f>
        <v>0</v>
      </c>
      <c r="I2639" s="102">
        <f t="array" ref="I2639">IFERROR(INDEX(PRECIOS_COMPLEMENTOS!$C$4:$F$17,MATCH(B2639&amp;"_"&amp;C2639,PRECIOS_COMPLEMENTOS!$H$4:$H$17,0),IF(OR(G2639="S",G2639="20cm"),1,IF(OR(G2639="M",G2639="25cm"),2,IF(OR(G2639="L",G2639="30cm"),3,IF(OR(G2639="XL",G2639="35cm"),4,0))))),0)</f>
        <v>0.6</v>
      </c>
      <c r="J2639" s="103">
        <f t="shared" si="1"/>
        <v>0</v>
      </c>
      <c r="K2639" s="104" t="str">
        <f>IF(H2639&lt;0,"ERROR",IF(H2639=0,"",IF(H2639&lt;CONFIG!$B$4,"CRÍTICO",IF(H2639&lt;CONFIG!$B$5,"BAJO","OK"))))</f>
        <v/>
      </c>
    </row>
    <row r="2640" ht="15.75" hidden="1" customHeight="1">
      <c r="A2640" s="90" t="str">
        <f>IF(CLIENTES!A8="","",CLIENTES!A8)</f>
        <v/>
      </c>
      <c r="B2640" s="90" t="s">
        <v>331</v>
      </c>
      <c r="C2640" s="91" t="s">
        <v>328</v>
      </c>
      <c r="D2640" s="109" t="s">
        <v>364</v>
      </c>
      <c r="E2640" s="67" t="str">
        <f>COLORES!A23</f>
        <v/>
      </c>
      <c r="F2640" s="67" t="str">
        <f>COLORES!B23</f>
        <v/>
      </c>
      <c r="G2640" s="90" t="s">
        <v>378</v>
      </c>
      <c r="H2640" s="100">
        <f>IFERROR(SUMIFS(MOVIMIENTOS_COMPLEMENTOS!$I$4:$I$803,MOVIMIENTOS_COMPLEMENTOS!$C$4:$C$803,A2640,MOVIMIENTOS_COMPLEMENTOS!$D$4:$D$803,B2640,MOVIMIENTOS_COMPLEMENTOS!$E$4:$E$803,C2640,MOVIMIENTOS_COMPLEMENTOS!$F$4:$F$803,D2640,MOVIMIENTOS_COMPLEMENTOS!$G$4:$G$803,E2640,MOVIMIENTOS_COMPLEMENTOS!$H$4:$H$803,G2640,MOVIMIENTOS_COMPLEMENTOS!$B$4:$B$803,"INGRESO")+SUMIFS(MOVIMIENTOS_COMPLEMENTOS!$I$4:$I$803,MOVIMIENTOS_COMPLEMENTOS!$C$4:$C$803,A2640,MOVIMIENTOS_COMPLEMENTOS!$D$4:$D$803,B2640,MOVIMIENTOS_COMPLEMENTOS!$E$4:$E$803,C2640,MOVIMIENTOS_COMPLEMENTOS!$F$4:$F$803,D2640,MOVIMIENTOS_COMPLEMENTOS!$G$4:$G$803,E2640,MOVIMIENTOS_COMPLEMENTOS!$H$4:$H$803,G2640,MOVIMIENTOS_COMPLEMENTOS!$B$4:$B$803,"DE CORTE")-SUMIFS(MOVIMIENTOS_COMPLEMENTOS!$I$4:$I$803,MOVIMIENTOS_COMPLEMENTOS!$C$4:$C$803,A2640,MOVIMIENTOS_COMPLEMENTOS!$D$4:$D$803,B2640,MOVIMIENTOS_COMPLEMENTOS!$E$4:$E$803,C2640,MOVIMIENTOS_COMPLEMENTOS!$F$4:$F$803,D2640,MOVIMIENTOS_COMPLEMENTOS!$G$4:$G$803,E2640,MOVIMIENTOS_COMPLEMENTOS!$H$4:$H$803,G2640,MOVIMIENTOS_COMPLEMENTOS!$B$4:$B$803,"SALIDA"),0)</f>
        <v>0</v>
      </c>
      <c r="I2640" s="102">
        <f t="array" ref="I2640">IFERROR(INDEX(PRECIOS_COMPLEMENTOS!$C$4:$F$17,MATCH(B2640&amp;"_"&amp;C2640,PRECIOS_COMPLEMENTOS!$H$4:$H$17,0),IF(OR(G2640="S",G2640="20cm"),1,IF(OR(G2640="M",G2640="25cm"),2,IF(OR(G2640="L",G2640="30cm"),3,IF(OR(G2640="XL",G2640="35cm"),4,0))))),0)</f>
        <v>0.6</v>
      </c>
      <c r="J2640" s="103">
        <f t="shared" si="1"/>
        <v>0</v>
      </c>
      <c r="K2640" s="104" t="str">
        <f>IF(H2640&lt;0,"ERROR",IF(H2640=0,"",IF(H2640&lt;CONFIG!$B$4,"CRÍTICO",IF(H2640&lt;CONFIG!$B$5,"BAJO","OK"))))</f>
        <v/>
      </c>
    </row>
    <row r="2641" ht="15.75" hidden="1" customHeight="1">
      <c r="A2641" s="90" t="str">
        <f>IF(CLIENTES!A8="","",CLIENTES!A8)</f>
        <v/>
      </c>
      <c r="B2641" s="90" t="s">
        <v>331</v>
      </c>
      <c r="C2641" s="91" t="s">
        <v>328</v>
      </c>
      <c r="D2641" s="109" t="s">
        <v>364</v>
      </c>
      <c r="E2641" s="67" t="str">
        <f>COLORES!A23</f>
        <v/>
      </c>
      <c r="F2641" s="67" t="str">
        <f>COLORES!B23</f>
        <v/>
      </c>
      <c r="G2641" s="90" t="s">
        <v>376</v>
      </c>
      <c r="H2641" s="100">
        <f>IFERROR(SUMIFS(MOVIMIENTOS_COMPLEMENTOS!$I$4:$I$803,MOVIMIENTOS_COMPLEMENTOS!$C$4:$C$803,A2641,MOVIMIENTOS_COMPLEMENTOS!$D$4:$D$803,B2641,MOVIMIENTOS_COMPLEMENTOS!$E$4:$E$803,C2641,MOVIMIENTOS_COMPLEMENTOS!$F$4:$F$803,D2641,MOVIMIENTOS_COMPLEMENTOS!$G$4:$G$803,E2641,MOVIMIENTOS_COMPLEMENTOS!$H$4:$H$803,G2641,MOVIMIENTOS_COMPLEMENTOS!$B$4:$B$803,"INGRESO")+SUMIFS(MOVIMIENTOS_COMPLEMENTOS!$I$4:$I$803,MOVIMIENTOS_COMPLEMENTOS!$C$4:$C$803,A2641,MOVIMIENTOS_COMPLEMENTOS!$D$4:$D$803,B2641,MOVIMIENTOS_COMPLEMENTOS!$E$4:$E$803,C2641,MOVIMIENTOS_COMPLEMENTOS!$F$4:$F$803,D2641,MOVIMIENTOS_COMPLEMENTOS!$G$4:$G$803,E2641,MOVIMIENTOS_COMPLEMENTOS!$H$4:$H$803,G2641,MOVIMIENTOS_COMPLEMENTOS!$B$4:$B$803,"DE CORTE")-SUMIFS(MOVIMIENTOS_COMPLEMENTOS!$I$4:$I$803,MOVIMIENTOS_COMPLEMENTOS!$C$4:$C$803,A2641,MOVIMIENTOS_COMPLEMENTOS!$D$4:$D$803,B2641,MOVIMIENTOS_COMPLEMENTOS!$E$4:$E$803,C2641,MOVIMIENTOS_COMPLEMENTOS!$F$4:$F$803,D2641,MOVIMIENTOS_COMPLEMENTOS!$G$4:$G$803,E2641,MOVIMIENTOS_COMPLEMENTOS!$H$4:$H$803,G2641,MOVIMIENTOS_COMPLEMENTOS!$B$4:$B$803,"SALIDA"),0)</f>
        <v>0</v>
      </c>
      <c r="I2641" s="102">
        <f t="array" ref="I2641">IFERROR(INDEX(PRECIOS_COMPLEMENTOS!$C$4:$F$17,MATCH(B2641&amp;"_"&amp;C2641,PRECIOS_COMPLEMENTOS!$H$4:$H$17,0),IF(OR(G2641="S",G2641="20cm"),1,IF(OR(G2641="M",G2641="25cm"),2,IF(OR(G2641="L",G2641="30cm"),3,IF(OR(G2641="XL",G2641="35cm"),4,0))))),0)</f>
        <v>0.6</v>
      </c>
      <c r="J2641" s="103">
        <f t="shared" si="1"/>
        <v>0</v>
      </c>
      <c r="K2641" s="104" t="str">
        <f>IF(H2641&lt;0,"ERROR",IF(H2641=0,"",IF(H2641&lt;CONFIG!$B$4,"CRÍTICO",IF(H2641&lt;CONFIG!$B$5,"BAJO","OK"))))</f>
        <v/>
      </c>
    </row>
    <row r="2642" ht="15.75" hidden="1" customHeight="1">
      <c r="A2642" s="90" t="str">
        <f>IF(CLIENTES!A8="","",CLIENTES!A8)</f>
        <v/>
      </c>
      <c r="B2642" s="90" t="s">
        <v>331</v>
      </c>
      <c r="C2642" s="91" t="s">
        <v>328</v>
      </c>
      <c r="D2642" s="109" t="s">
        <v>364</v>
      </c>
      <c r="E2642" s="67" t="str">
        <f>COLORES!A23</f>
        <v/>
      </c>
      <c r="F2642" s="67" t="str">
        <f>COLORES!B23</f>
        <v/>
      </c>
      <c r="G2642" s="90" t="s">
        <v>377</v>
      </c>
      <c r="H2642" s="100">
        <f>IFERROR(SUMIFS(MOVIMIENTOS_COMPLEMENTOS!$I$4:$I$803,MOVIMIENTOS_COMPLEMENTOS!$C$4:$C$803,A2642,MOVIMIENTOS_COMPLEMENTOS!$D$4:$D$803,B2642,MOVIMIENTOS_COMPLEMENTOS!$E$4:$E$803,C2642,MOVIMIENTOS_COMPLEMENTOS!$F$4:$F$803,D2642,MOVIMIENTOS_COMPLEMENTOS!$G$4:$G$803,E2642,MOVIMIENTOS_COMPLEMENTOS!$H$4:$H$803,G2642,MOVIMIENTOS_COMPLEMENTOS!$B$4:$B$803,"INGRESO")+SUMIFS(MOVIMIENTOS_COMPLEMENTOS!$I$4:$I$803,MOVIMIENTOS_COMPLEMENTOS!$C$4:$C$803,A2642,MOVIMIENTOS_COMPLEMENTOS!$D$4:$D$803,B2642,MOVIMIENTOS_COMPLEMENTOS!$E$4:$E$803,C2642,MOVIMIENTOS_COMPLEMENTOS!$F$4:$F$803,D2642,MOVIMIENTOS_COMPLEMENTOS!$G$4:$G$803,E2642,MOVIMIENTOS_COMPLEMENTOS!$H$4:$H$803,G2642,MOVIMIENTOS_COMPLEMENTOS!$B$4:$B$803,"DE CORTE")-SUMIFS(MOVIMIENTOS_COMPLEMENTOS!$I$4:$I$803,MOVIMIENTOS_COMPLEMENTOS!$C$4:$C$803,A2642,MOVIMIENTOS_COMPLEMENTOS!$D$4:$D$803,B2642,MOVIMIENTOS_COMPLEMENTOS!$E$4:$E$803,C2642,MOVIMIENTOS_COMPLEMENTOS!$F$4:$F$803,D2642,MOVIMIENTOS_COMPLEMENTOS!$G$4:$G$803,E2642,MOVIMIENTOS_COMPLEMENTOS!$H$4:$H$803,G2642,MOVIMIENTOS_COMPLEMENTOS!$B$4:$B$803,"SALIDA"),0)</f>
        <v>0</v>
      </c>
      <c r="I2642" s="102">
        <f t="array" ref="I2642">IFERROR(INDEX(PRECIOS_COMPLEMENTOS!$C$4:$F$17,MATCH(B2642&amp;"_"&amp;C2642,PRECIOS_COMPLEMENTOS!$H$4:$H$17,0),IF(OR(G2642="S",G2642="20cm"),1,IF(OR(G2642="M",G2642="25cm"),2,IF(OR(G2642="L",G2642="30cm"),3,IF(OR(G2642="XL",G2642="35cm"),4,0))))),0)</f>
        <v>0.6</v>
      </c>
      <c r="J2642" s="103">
        <f t="shared" si="1"/>
        <v>0</v>
      </c>
      <c r="K2642" s="104" t="str">
        <f>IF(H2642&lt;0,"ERROR",IF(H2642=0,"",IF(H2642&lt;CONFIG!$B$4,"CRÍTICO",IF(H2642&lt;CONFIG!$B$5,"BAJO","OK"))))</f>
        <v/>
      </c>
    </row>
    <row r="2643" ht="15.75" hidden="1" customHeight="1">
      <c r="A2643" s="90" t="str">
        <f>IF(CLIENTES!A8="","",CLIENTES!A8)</f>
        <v/>
      </c>
      <c r="B2643" s="90" t="s">
        <v>331</v>
      </c>
      <c r="C2643" s="91" t="s">
        <v>328</v>
      </c>
      <c r="D2643" s="109" t="s">
        <v>364</v>
      </c>
      <c r="E2643" s="67" t="str">
        <f>COLORES!A23</f>
        <v/>
      </c>
      <c r="F2643" s="67" t="str">
        <f>COLORES!B23</f>
        <v/>
      </c>
      <c r="G2643" s="90" t="s">
        <v>379</v>
      </c>
      <c r="H2643" s="100">
        <f>IFERROR(SUMIFS(MOVIMIENTOS_COMPLEMENTOS!$I$4:$I$803,MOVIMIENTOS_COMPLEMENTOS!$C$4:$C$803,A2643,MOVIMIENTOS_COMPLEMENTOS!$D$4:$D$803,B2643,MOVIMIENTOS_COMPLEMENTOS!$E$4:$E$803,C2643,MOVIMIENTOS_COMPLEMENTOS!$F$4:$F$803,D2643,MOVIMIENTOS_COMPLEMENTOS!$G$4:$G$803,E2643,MOVIMIENTOS_COMPLEMENTOS!$H$4:$H$803,G2643,MOVIMIENTOS_COMPLEMENTOS!$B$4:$B$803,"INGRESO")+SUMIFS(MOVIMIENTOS_COMPLEMENTOS!$I$4:$I$803,MOVIMIENTOS_COMPLEMENTOS!$C$4:$C$803,A2643,MOVIMIENTOS_COMPLEMENTOS!$D$4:$D$803,B2643,MOVIMIENTOS_COMPLEMENTOS!$E$4:$E$803,C2643,MOVIMIENTOS_COMPLEMENTOS!$F$4:$F$803,D2643,MOVIMIENTOS_COMPLEMENTOS!$G$4:$G$803,E2643,MOVIMIENTOS_COMPLEMENTOS!$H$4:$H$803,G2643,MOVIMIENTOS_COMPLEMENTOS!$B$4:$B$803,"DE CORTE")-SUMIFS(MOVIMIENTOS_COMPLEMENTOS!$I$4:$I$803,MOVIMIENTOS_COMPLEMENTOS!$C$4:$C$803,A2643,MOVIMIENTOS_COMPLEMENTOS!$D$4:$D$803,B2643,MOVIMIENTOS_COMPLEMENTOS!$E$4:$E$803,C2643,MOVIMIENTOS_COMPLEMENTOS!$F$4:$F$803,D2643,MOVIMIENTOS_COMPLEMENTOS!$G$4:$G$803,E2643,MOVIMIENTOS_COMPLEMENTOS!$H$4:$H$803,G2643,MOVIMIENTOS_COMPLEMENTOS!$B$4:$B$803,"SALIDA"),0)</f>
        <v>0</v>
      </c>
      <c r="I2643" s="102">
        <f t="array" ref="I2643">IFERROR(INDEX(PRECIOS_COMPLEMENTOS!$C$4:$F$17,MATCH(B2643&amp;"_"&amp;C2643,PRECIOS_COMPLEMENTOS!$H$4:$H$17,0),IF(OR(G2643="S",G2643="20cm"),1,IF(OR(G2643="M",G2643="25cm"),2,IF(OR(G2643="L",G2643="30cm"),3,IF(OR(G2643="XL",G2643="35cm"),4,0))))),0)</f>
        <v>0.6</v>
      </c>
      <c r="J2643" s="103">
        <f t="shared" si="1"/>
        <v>0</v>
      </c>
      <c r="K2643" s="104" t="str">
        <f>IF(H2643&lt;0,"ERROR",IF(H2643=0,"",IF(H2643&lt;CONFIG!$B$4,"CRÍTICO",IF(H2643&lt;CONFIG!$B$5,"BAJO","OK"))))</f>
        <v/>
      </c>
    </row>
    <row r="2644" ht="15.75" hidden="1" customHeight="1">
      <c r="A2644" s="90" t="str">
        <f>IF(CLIENTES!A8="","",CLIENTES!A8)</f>
        <v/>
      </c>
      <c r="B2644" s="90" t="s">
        <v>331</v>
      </c>
      <c r="C2644" s="91" t="s">
        <v>328</v>
      </c>
      <c r="D2644" s="109" t="s">
        <v>366</v>
      </c>
      <c r="E2644" s="67" t="str">
        <f>COLORES!A4</f>
        <v>Negro</v>
      </c>
      <c r="F2644" s="67" t="str">
        <f>COLORES!B4</f>
        <v>OSCURO</v>
      </c>
      <c r="G2644" s="90" t="s">
        <v>378</v>
      </c>
      <c r="H2644" s="100">
        <f>IFERROR(SUMIFS(MOVIMIENTOS_COMPLEMENTOS!$I$4:$I$803,MOVIMIENTOS_COMPLEMENTOS!$C$4:$C$803,A2644,MOVIMIENTOS_COMPLEMENTOS!$D$4:$D$803,B2644,MOVIMIENTOS_COMPLEMENTOS!$E$4:$E$803,C2644,MOVIMIENTOS_COMPLEMENTOS!$F$4:$F$803,D2644,MOVIMIENTOS_COMPLEMENTOS!$G$4:$G$803,E2644,MOVIMIENTOS_COMPLEMENTOS!$H$4:$H$803,G2644,MOVIMIENTOS_COMPLEMENTOS!$B$4:$B$803,"INGRESO")+SUMIFS(MOVIMIENTOS_COMPLEMENTOS!$I$4:$I$803,MOVIMIENTOS_COMPLEMENTOS!$C$4:$C$803,A2644,MOVIMIENTOS_COMPLEMENTOS!$D$4:$D$803,B2644,MOVIMIENTOS_COMPLEMENTOS!$E$4:$E$803,C2644,MOVIMIENTOS_COMPLEMENTOS!$F$4:$F$803,D2644,MOVIMIENTOS_COMPLEMENTOS!$G$4:$G$803,E2644,MOVIMIENTOS_COMPLEMENTOS!$H$4:$H$803,G2644,MOVIMIENTOS_COMPLEMENTOS!$B$4:$B$803,"DE CORTE")-SUMIFS(MOVIMIENTOS_COMPLEMENTOS!$I$4:$I$803,MOVIMIENTOS_COMPLEMENTOS!$C$4:$C$803,A2644,MOVIMIENTOS_COMPLEMENTOS!$D$4:$D$803,B2644,MOVIMIENTOS_COMPLEMENTOS!$E$4:$E$803,C2644,MOVIMIENTOS_COMPLEMENTOS!$F$4:$F$803,D2644,MOVIMIENTOS_COMPLEMENTOS!$G$4:$G$803,E2644,MOVIMIENTOS_COMPLEMENTOS!$H$4:$H$803,G2644,MOVIMIENTOS_COMPLEMENTOS!$B$4:$B$803,"SALIDA"),0)</f>
        <v>0</v>
      </c>
      <c r="I2644" s="102">
        <f t="array" ref="I2644">IFERROR(INDEX(PRECIOS_COMPLEMENTOS!$C$4:$F$17,MATCH(B2644&amp;"_"&amp;C2644,PRECIOS_COMPLEMENTOS!$H$4:$H$17,0),IF(OR(G2644="S",G2644="20cm"),1,IF(OR(G2644="M",G2644="25cm"),2,IF(OR(G2644="L",G2644="30cm"),3,IF(OR(G2644="XL",G2644="35cm"),4,0))))),0)</f>
        <v>0.6</v>
      </c>
      <c r="J2644" s="103">
        <f t="shared" si="1"/>
        <v>0</v>
      </c>
      <c r="K2644" s="104" t="str">
        <f>IF(H2644&lt;0,"ERROR",IF(H2644=0,"",IF(H2644&lt;CONFIG!$B$4,"CRÍTICO",IF(H2644&lt;CONFIG!$B$5,"BAJO","OK"))))</f>
        <v/>
      </c>
    </row>
    <row r="2645" ht="15.75" hidden="1" customHeight="1">
      <c r="A2645" s="90" t="str">
        <f>IF(CLIENTES!A8="","",CLIENTES!A8)</f>
        <v/>
      </c>
      <c r="B2645" s="90" t="s">
        <v>331</v>
      </c>
      <c r="C2645" s="91" t="s">
        <v>328</v>
      </c>
      <c r="D2645" s="109" t="s">
        <v>366</v>
      </c>
      <c r="E2645" s="67" t="str">
        <f>COLORES!A4</f>
        <v>Negro</v>
      </c>
      <c r="F2645" s="67" t="str">
        <f>COLORES!B4</f>
        <v>OSCURO</v>
      </c>
      <c r="G2645" s="90" t="s">
        <v>376</v>
      </c>
      <c r="H2645" s="100">
        <f>IFERROR(SUMIFS(MOVIMIENTOS_COMPLEMENTOS!$I$4:$I$803,MOVIMIENTOS_COMPLEMENTOS!$C$4:$C$803,A2645,MOVIMIENTOS_COMPLEMENTOS!$D$4:$D$803,B2645,MOVIMIENTOS_COMPLEMENTOS!$E$4:$E$803,C2645,MOVIMIENTOS_COMPLEMENTOS!$F$4:$F$803,D2645,MOVIMIENTOS_COMPLEMENTOS!$G$4:$G$803,E2645,MOVIMIENTOS_COMPLEMENTOS!$H$4:$H$803,G2645,MOVIMIENTOS_COMPLEMENTOS!$B$4:$B$803,"INGRESO")+SUMIFS(MOVIMIENTOS_COMPLEMENTOS!$I$4:$I$803,MOVIMIENTOS_COMPLEMENTOS!$C$4:$C$803,A2645,MOVIMIENTOS_COMPLEMENTOS!$D$4:$D$803,B2645,MOVIMIENTOS_COMPLEMENTOS!$E$4:$E$803,C2645,MOVIMIENTOS_COMPLEMENTOS!$F$4:$F$803,D2645,MOVIMIENTOS_COMPLEMENTOS!$G$4:$G$803,E2645,MOVIMIENTOS_COMPLEMENTOS!$H$4:$H$803,G2645,MOVIMIENTOS_COMPLEMENTOS!$B$4:$B$803,"DE CORTE")-SUMIFS(MOVIMIENTOS_COMPLEMENTOS!$I$4:$I$803,MOVIMIENTOS_COMPLEMENTOS!$C$4:$C$803,A2645,MOVIMIENTOS_COMPLEMENTOS!$D$4:$D$803,B2645,MOVIMIENTOS_COMPLEMENTOS!$E$4:$E$803,C2645,MOVIMIENTOS_COMPLEMENTOS!$F$4:$F$803,D2645,MOVIMIENTOS_COMPLEMENTOS!$G$4:$G$803,E2645,MOVIMIENTOS_COMPLEMENTOS!$H$4:$H$803,G2645,MOVIMIENTOS_COMPLEMENTOS!$B$4:$B$803,"SALIDA"),0)</f>
        <v>0</v>
      </c>
      <c r="I2645" s="102">
        <f t="array" ref="I2645">IFERROR(INDEX(PRECIOS_COMPLEMENTOS!$C$4:$F$17,MATCH(B2645&amp;"_"&amp;C2645,PRECIOS_COMPLEMENTOS!$H$4:$H$17,0),IF(OR(G2645="S",G2645="20cm"),1,IF(OR(G2645="M",G2645="25cm"),2,IF(OR(G2645="L",G2645="30cm"),3,IF(OR(G2645="XL",G2645="35cm"),4,0))))),0)</f>
        <v>0.6</v>
      </c>
      <c r="J2645" s="103">
        <f t="shared" si="1"/>
        <v>0</v>
      </c>
      <c r="K2645" s="104" t="str">
        <f>IF(H2645&lt;0,"ERROR",IF(H2645=0,"",IF(H2645&lt;CONFIG!$B$4,"CRÍTICO",IF(H2645&lt;CONFIG!$B$5,"BAJO","OK"))))</f>
        <v/>
      </c>
    </row>
    <row r="2646" ht="15.75" hidden="1" customHeight="1">
      <c r="A2646" s="90" t="str">
        <f>IF(CLIENTES!A8="","",CLIENTES!A8)</f>
        <v/>
      </c>
      <c r="B2646" s="90" t="s">
        <v>331</v>
      </c>
      <c r="C2646" s="91" t="s">
        <v>328</v>
      </c>
      <c r="D2646" s="109" t="s">
        <v>366</v>
      </c>
      <c r="E2646" s="67" t="str">
        <f>COLORES!A4</f>
        <v>Negro</v>
      </c>
      <c r="F2646" s="67" t="str">
        <f>COLORES!B4</f>
        <v>OSCURO</v>
      </c>
      <c r="G2646" s="90" t="s">
        <v>377</v>
      </c>
      <c r="H2646" s="100">
        <f>IFERROR(SUMIFS(MOVIMIENTOS_COMPLEMENTOS!$I$4:$I$803,MOVIMIENTOS_COMPLEMENTOS!$C$4:$C$803,A2646,MOVIMIENTOS_COMPLEMENTOS!$D$4:$D$803,B2646,MOVIMIENTOS_COMPLEMENTOS!$E$4:$E$803,C2646,MOVIMIENTOS_COMPLEMENTOS!$F$4:$F$803,D2646,MOVIMIENTOS_COMPLEMENTOS!$G$4:$G$803,E2646,MOVIMIENTOS_COMPLEMENTOS!$H$4:$H$803,G2646,MOVIMIENTOS_COMPLEMENTOS!$B$4:$B$803,"INGRESO")+SUMIFS(MOVIMIENTOS_COMPLEMENTOS!$I$4:$I$803,MOVIMIENTOS_COMPLEMENTOS!$C$4:$C$803,A2646,MOVIMIENTOS_COMPLEMENTOS!$D$4:$D$803,B2646,MOVIMIENTOS_COMPLEMENTOS!$E$4:$E$803,C2646,MOVIMIENTOS_COMPLEMENTOS!$F$4:$F$803,D2646,MOVIMIENTOS_COMPLEMENTOS!$G$4:$G$803,E2646,MOVIMIENTOS_COMPLEMENTOS!$H$4:$H$803,G2646,MOVIMIENTOS_COMPLEMENTOS!$B$4:$B$803,"DE CORTE")-SUMIFS(MOVIMIENTOS_COMPLEMENTOS!$I$4:$I$803,MOVIMIENTOS_COMPLEMENTOS!$C$4:$C$803,A2646,MOVIMIENTOS_COMPLEMENTOS!$D$4:$D$803,B2646,MOVIMIENTOS_COMPLEMENTOS!$E$4:$E$803,C2646,MOVIMIENTOS_COMPLEMENTOS!$F$4:$F$803,D2646,MOVIMIENTOS_COMPLEMENTOS!$G$4:$G$803,E2646,MOVIMIENTOS_COMPLEMENTOS!$H$4:$H$803,G2646,MOVIMIENTOS_COMPLEMENTOS!$B$4:$B$803,"SALIDA"),0)</f>
        <v>0</v>
      </c>
      <c r="I2646" s="102">
        <f t="array" ref="I2646">IFERROR(INDEX(PRECIOS_COMPLEMENTOS!$C$4:$F$17,MATCH(B2646&amp;"_"&amp;C2646,PRECIOS_COMPLEMENTOS!$H$4:$H$17,0),IF(OR(G2646="S",G2646="20cm"),1,IF(OR(G2646="M",G2646="25cm"),2,IF(OR(G2646="L",G2646="30cm"),3,IF(OR(G2646="XL",G2646="35cm"),4,0))))),0)</f>
        <v>0.6</v>
      </c>
      <c r="J2646" s="103">
        <f t="shared" si="1"/>
        <v>0</v>
      </c>
      <c r="K2646" s="104" t="str">
        <f>IF(H2646&lt;0,"ERROR",IF(H2646=0,"",IF(H2646&lt;CONFIG!$B$4,"CRÍTICO",IF(H2646&lt;CONFIG!$B$5,"BAJO","OK"))))</f>
        <v/>
      </c>
    </row>
    <row r="2647" ht="15.75" hidden="1" customHeight="1">
      <c r="A2647" s="90" t="str">
        <f>IF(CLIENTES!A8="","",CLIENTES!A8)</f>
        <v/>
      </c>
      <c r="B2647" s="90" t="s">
        <v>331</v>
      </c>
      <c r="C2647" s="91" t="s">
        <v>328</v>
      </c>
      <c r="D2647" s="109" t="s">
        <v>366</v>
      </c>
      <c r="E2647" s="67" t="str">
        <f>COLORES!A4</f>
        <v>Negro</v>
      </c>
      <c r="F2647" s="67" t="str">
        <f>COLORES!B4</f>
        <v>OSCURO</v>
      </c>
      <c r="G2647" s="90" t="s">
        <v>379</v>
      </c>
      <c r="H2647" s="100">
        <f>IFERROR(SUMIFS(MOVIMIENTOS_COMPLEMENTOS!$I$4:$I$803,MOVIMIENTOS_COMPLEMENTOS!$C$4:$C$803,A2647,MOVIMIENTOS_COMPLEMENTOS!$D$4:$D$803,B2647,MOVIMIENTOS_COMPLEMENTOS!$E$4:$E$803,C2647,MOVIMIENTOS_COMPLEMENTOS!$F$4:$F$803,D2647,MOVIMIENTOS_COMPLEMENTOS!$G$4:$G$803,E2647,MOVIMIENTOS_COMPLEMENTOS!$H$4:$H$803,G2647,MOVIMIENTOS_COMPLEMENTOS!$B$4:$B$803,"INGRESO")+SUMIFS(MOVIMIENTOS_COMPLEMENTOS!$I$4:$I$803,MOVIMIENTOS_COMPLEMENTOS!$C$4:$C$803,A2647,MOVIMIENTOS_COMPLEMENTOS!$D$4:$D$803,B2647,MOVIMIENTOS_COMPLEMENTOS!$E$4:$E$803,C2647,MOVIMIENTOS_COMPLEMENTOS!$F$4:$F$803,D2647,MOVIMIENTOS_COMPLEMENTOS!$G$4:$G$803,E2647,MOVIMIENTOS_COMPLEMENTOS!$H$4:$H$803,G2647,MOVIMIENTOS_COMPLEMENTOS!$B$4:$B$803,"DE CORTE")-SUMIFS(MOVIMIENTOS_COMPLEMENTOS!$I$4:$I$803,MOVIMIENTOS_COMPLEMENTOS!$C$4:$C$803,A2647,MOVIMIENTOS_COMPLEMENTOS!$D$4:$D$803,B2647,MOVIMIENTOS_COMPLEMENTOS!$E$4:$E$803,C2647,MOVIMIENTOS_COMPLEMENTOS!$F$4:$F$803,D2647,MOVIMIENTOS_COMPLEMENTOS!$G$4:$G$803,E2647,MOVIMIENTOS_COMPLEMENTOS!$H$4:$H$803,G2647,MOVIMIENTOS_COMPLEMENTOS!$B$4:$B$803,"SALIDA"),0)</f>
        <v>0</v>
      </c>
      <c r="I2647" s="102">
        <f t="array" ref="I2647">IFERROR(INDEX(PRECIOS_COMPLEMENTOS!$C$4:$F$17,MATCH(B2647&amp;"_"&amp;C2647,PRECIOS_COMPLEMENTOS!$H$4:$H$17,0),IF(OR(G2647="S",G2647="20cm"),1,IF(OR(G2647="M",G2647="25cm"),2,IF(OR(G2647="L",G2647="30cm"),3,IF(OR(G2647="XL",G2647="35cm"),4,0))))),0)</f>
        <v>0.6</v>
      </c>
      <c r="J2647" s="103">
        <f t="shared" si="1"/>
        <v>0</v>
      </c>
      <c r="K2647" s="104" t="str">
        <f>IF(H2647&lt;0,"ERROR",IF(H2647=0,"",IF(H2647&lt;CONFIG!$B$4,"CRÍTICO",IF(H2647&lt;CONFIG!$B$5,"BAJO","OK"))))</f>
        <v/>
      </c>
    </row>
    <row r="2648" ht="15.75" hidden="1" customHeight="1">
      <c r="A2648" s="90" t="str">
        <f>IF(CLIENTES!A8="","",CLIENTES!A8)</f>
        <v/>
      </c>
      <c r="B2648" s="90" t="s">
        <v>331</v>
      </c>
      <c r="C2648" s="91" t="s">
        <v>328</v>
      </c>
      <c r="D2648" s="109" t="s">
        <v>366</v>
      </c>
      <c r="E2648" s="67" t="str">
        <f>COLORES!A5</f>
        <v>Perla</v>
      </c>
      <c r="F2648" s="67" t="str">
        <f>COLORES!B5</f>
        <v>PPT</v>
      </c>
      <c r="G2648" s="90" t="s">
        <v>378</v>
      </c>
      <c r="H2648" s="100">
        <f>IFERROR(SUMIFS(MOVIMIENTOS_COMPLEMENTOS!$I$4:$I$803,MOVIMIENTOS_COMPLEMENTOS!$C$4:$C$803,A2648,MOVIMIENTOS_COMPLEMENTOS!$D$4:$D$803,B2648,MOVIMIENTOS_COMPLEMENTOS!$E$4:$E$803,C2648,MOVIMIENTOS_COMPLEMENTOS!$F$4:$F$803,D2648,MOVIMIENTOS_COMPLEMENTOS!$G$4:$G$803,E2648,MOVIMIENTOS_COMPLEMENTOS!$H$4:$H$803,G2648,MOVIMIENTOS_COMPLEMENTOS!$B$4:$B$803,"INGRESO")+SUMIFS(MOVIMIENTOS_COMPLEMENTOS!$I$4:$I$803,MOVIMIENTOS_COMPLEMENTOS!$C$4:$C$803,A2648,MOVIMIENTOS_COMPLEMENTOS!$D$4:$D$803,B2648,MOVIMIENTOS_COMPLEMENTOS!$E$4:$E$803,C2648,MOVIMIENTOS_COMPLEMENTOS!$F$4:$F$803,D2648,MOVIMIENTOS_COMPLEMENTOS!$G$4:$G$803,E2648,MOVIMIENTOS_COMPLEMENTOS!$H$4:$H$803,G2648,MOVIMIENTOS_COMPLEMENTOS!$B$4:$B$803,"DE CORTE")-SUMIFS(MOVIMIENTOS_COMPLEMENTOS!$I$4:$I$803,MOVIMIENTOS_COMPLEMENTOS!$C$4:$C$803,A2648,MOVIMIENTOS_COMPLEMENTOS!$D$4:$D$803,B2648,MOVIMIENTOS_COMPLEMENTOS!$E$4:$E$803,C2648,MOVIMIENTOS_COMPLEMENTOS!$F$4:$F$803,D2648,MOVIMIENTOS_COMPLEMENTOS!$G$4:$G$803,E2648,MOVIMIENTOS_COMPLEMENTOS!$H$4:$H$803,G2648,MOVIMIENTOS_COMPLEMENTOS!$B$4:$B$803,"SALIDA"),0)</f>
        <v>0</v>
      </c>
      <c r="I2648" s="102">
        <f t="array" ref="I2648">IFERROR(INDEX(PRECIOS_COMPLEMENTOS!$C$4:$F$17,MATCH(B2648&amp;"_"&amp;C2648,PRECIOS_COMPLEMENTOS!$H$4:$H$17,0),IF(OR(G2648="S",G2648="20cm"),1,IF(OR(G2648="M",G2648="25cm"),2,IF(OR(G2648="L",G2648="30cm"),3,IF(OR(G2648="XL",G2648="35cm"),4,0))))),0)</f>
        <v>0.6</v>
      </c>
      <c r="J2648" s="103">
        <f t="shared" si="1"/>
        <v>0</v>
      </c>
      <c r="K2648" s="104" t="str">
        <f>IF(H2648&lt;0,"ERROR",IF(H2648=0,"",IF(H2648&lt;CONFIG!$B$4,"CRÍTICO",IF(H2648&lt;CONFIG!$B$5,"BAJO","OK"))))</f>
        <v/>
      </c>
    </row>
    <row r="2649" ht="15.75" hidden="1" customHeight="1">
      <c r="A2649" s="90" t="str">
        <f>IF(CLIENTES!A8="","",CLIENTES!A8)</f>
        <v/>
      </c>
      <c r="B2649" s="90" t="s">
        <v>331</v>
      </c>
      <c r="C2649" s="91" t="s">
        <v>328</v>
      </c>
      <c r="D2649" s="109" t="s">
        <v>366</v>
      </c>
      <c r="E2649" s="67" t="str">
        <f>COLORES!A5</f>
        <v>Perla</v>
      </c>
      <c r="F2649" s="67" t="str">
        <f>COLORES!B5</f>
        <v>PPT</v>
      </c>
      <c r="G2649" s="90" t="s">
        <v>376</v>
      </c>
      <c r="H2649" s="100">
        <f>IFERROR(SUMIFS(MOVIMIENTOS_COMPLEMENTOS!$I$4:$I$803,MOVIMIENTOS_COMPLEMENTOS!$C$4:$C$803,A2649,MOVIMIENTOS_COMPLEMENTOS!$D$4:$D$803,B2649,MOVIMIENTOS_COMPLEMENTOS!$E$4:$E$803,C2649,MOVIMIENTOS_COMPLEMENTOS!$F$4:$F$803,D2649,MOVIMIENTOS_COMPLEMENTOS!$G$4:$G$803,E2649,MOVIMIENTOS_COMPLEMENTOS!$H$4:$H$803,G2649,MOVIMIENTOS_COMPLEMENTOS!$B$4:$B$803,"INGRESO")+SUMIFS(MOVIMIENTOS_COMPLEMENTOS!$I$4:$I$803,MOVIMIENTOS_COMPLEMENTOS!$C$4:$C$803,A2649,MOVIMIENTOS_COMPLEMENTOS!$D$4:$D$803,B2649,MOVIMIENTOS_COMPLEMENTOS!$E$4:$E$803,C2649,MOVIMIENTOS_COMPLEMENTOS!$F$4:$F$803,D2649,MOVIMIENTOS_COMPLEMENTOS!$G$4:$G$803,E2649,MOVIMIENTOS_COMPLEMENTOS!$H$4:$H$803,G2649,MOVIMIENTOS_COMPLEMENTOS!$B$4:$B$803,"DE CORTE")-SUMIFS(MOVIMIENTOS_COMPLEMENTOS!$I$4:$I$803,MOVIMIENTOS_COMPLEMENTOS!$C$4:$C$803,A2649,MOVIMIENTOS_COMPLEMENTOS!$D$4:$D$803,B2649,MOVIMIENTOS_COMPLEMENTOS!$E$4:$E$803,C2649,MOVIMIENTOS_COMPLEMENTOS!$F$4:$F$803,D2649,MOVIMIENTOS_COMPLEMENTOS!$G$4:$G$803,E2649,MOVIMIENTOS_COMPLEMENTOS!$H$4:$H$803,G2649,MOVIMIENTOS_COMPLEMENTOS!$B$4:$B$803,"SALIDA"),0)</f>
        <v>0</v>
      </c>
      <c r="I2649" s="102">
        <f t="array" ref="I2649">IFERROR(INDEX(PRECIOS_COMPLEMENTOS!$C$4:$F$17,MATCH(B2649&amp;"_"&amp;C2649,PRECIOS_COMPLEMENTOS!$H$4:$H$17,0),IF(OR(G2649="S",G2649="20cm"),1,IF(OR(G2649="M",G2649="25cm"),2,IF(OR(G2649="L",G2649="30cm"),3,IF(OR(G2649="XL",G2649="35cm"),4,0))))),0)</f>
        <v>0.6</v>
      </c>
      <c r="J2649" s="103">
        <f t="shared" si="1"/>
        <v>0</v>
      </c>
      <c r="K2649" s="104" t="str">
        <f>IF(H2649&lt;0,"ERROR",IF(H2649=0,"",IF(H2649&lt;CONFIG!$B$4,"CRÍTICO",IF(H2649&lt;CONFIG!$B$5,"BAJO","OK"))))</f>
        <v/>
      </c>
    </row>
    <row r="2650" ht="15.75" hidden="1" customHeight="1">
      <c r="A2650" s="90" t="str">
        <f>IF(CLIENTES!A8="","",CLIENTES!A8)</f>
        <v/>
      </c>
      <c r="B2650" s="90" t="s">
        <v>331</v>
      </c>
      <c r="C2650" s="91" t="s">
        <v>328</v>
      </c>
      <c r="D2650" s="109" t="s">
        <v>366</v>
      </c>
      <c r="E2650" s="67" t="str">
        <f>COLORES!A5</f>
        <v>Perla</v>
      </c>
      <c r="F2650" s="67" t="str">
        <f>COLORES!B5</f>
        <v>PPT</v>
      </c>
      <c r="G2650" s="90" t="s">
        <v>377</v>
      </c>
      <c r="H2650" s="100">
        <f>IFERROR(SUMIFS(MOVIMIENTOS_COMPLEMENTOS!$I$4:$I$803,MOVIMIENTOS_COMPLEMENTOS!$C$4:$C$803,A2650,MOVIMIENTOS_COMPLEMENTOS!$D$4:$D$803,B2650,MOVIMIENTOS_COMPLEMENTOS!$E$4:$E$803,C2650,MOVIMIENTOS_COMPLEMENTOS!$F$4:$F$803,D2650,MOVIMIENTOS_COMPLEMENTOS!$G$4:$G$803,E2650,MOVIMIENTOS_COMPLEMENTOS!$H$4:$H$803,G2650,MOVIMIENTOS_COMPLEMENTOS!$B$4:$B$803,"INGRESO")+SUMIFS(MOVIMIENTOS_COMPLEMENTOS!$I$4:$I$803,MOVIMIENTOS_COMPLEMENTOS!$C$4:$C$803,A2650,MOVIMIENTOS_COMPLEMENTOS!$D$4:$D$803,B2650,MOVIMIENTOS_COMPLEMENTOS!$E$4:$E$803,C2650,MOVIMIENTOS_COMPLEMENTOS!$F$4:$F$803,D2650,MOVIMIENTOS_COMPLEMENTOS!$G$4:$G$803,E2650,MOVIMIENTOS_COMPLEMENTOS!$H$4:$H$803,G2650,MOVIMIENTOS_COMPLEMENTOS!$B$4:$B$803,"DE CORTE")-SUMIFS(MOVIMIENTOS_COMPLEMENTOS!$I$4:$I$803,MOVIMIENTOS_COMPLEMENTOS!$C$4:$C$803,A2650,MOVIMIENTOS_COMPLEMENTOS!$D$4:$D$803,B2650,MOVIMIENTOS_COMPLEMENTOS!$E$4:$E$803,C2650,MOVIMIENTOS_COMPLEMENTOS!$F$4:$F$803,D2650,MOVIMIENTOS_COMPLEMENTOS!$G$4:$G$803,E2650,MOVIMIENTOS_COMPLEMENTOS!$H$4:$H$803,G2650,MOVIMIENTOS_COMPLEMENTOS!$B$4:$B$803,"SALIDA"),0)</f>
        <v>0</v>
      </c>
      <c r="I2650" s="102">
        <f t="array" ref="I2650">IFERROR(INDEX(PRECIOS_COMPLEMENTOS!$C$4:$F$17,MATCH(B2650&amp;"_"&amp;C2650,PRECIOS_COMPLEMENTOS!$H$4:$H$17,0),IF(OR(G2650="S",G2650="20cm"),1,IF(OR(G2650="M",G2650="25cm"),2,IF(OR(G2650="L",G2650="30cm"),3,IF(OR(G2650="XL",G2650="35cm"),4,0))))),0)</f>
        <v>0.6</v>
      </c>
      <c r="J2650" s="103">
        <f t="shared" si="1"/>
        <v>0</v>
      </c>
      <c r="K2650" s="104" t="str">
        <f>IF(H2650&lt;0,"ERROR",IF(H2650=0,"",IF(H2650&lt;CONFIG!$B$4,"CRÍTICO",IF(H2650&lt;CONFIG!$B$5,"BAJO","OK"))))</f>
        <v/>
      </c>
    </row>
    <row r="2651" ht="15.75" hidden="1" customHeight="1">
      <c r="A2651" s="90" t="str">
        <f>IF(CLIENTES!A8="","",CLIENTES!A8)</f>
        <v/>
      </c>
      <c r="B2651" s="90" t="s">
        <v>331</v>
      </c>
      <c r="C2651" s="91" t="s">
        <v>328</v>
      </c>
      <c r="D2651" s="109" t="s">
        <v>366</v>
      </c>
      <c r="E2651" s="67" t="str">
        <f>COLORES!A5</f>
        <v>Perla</v>
      </c>
      <c r="F2651" s="67" t="str">
        <f>COLORES!B5</f>
        <v>PPT</v>
      </c>
      <c r="G2651" s="90" t="s">
        <v>379</v>
      </c>
      <c r="H2651" s="100">
        <f>IFERROR(SUMIFS(MOVIMIENTOS_COMPLEMENTOS!$I$4:$I$803,MOVIMIENTOS_COMPLEMENTOS!$C$4:$C$803,A2651,MOVIMIENTOS_COMPLEMENTOS!$D$4:$D$803,B2651,MOVIMIENTOS_COMPLEMENTOS!$E$4:$E$803,C2651,MOVIMIENTOS_COMPLEMENTOS!$F$4:$F$803,D2651,MOVIMIENTOS_COMPLEMENTOS!$G$4:$G$803,E2651,MOVIMIENTOS_COMPLEMENTOS!$H$4:$H$803,G2651,MOVIMIENTOS_COMPLEMENTOS!$B$4:$B$803,"INGRESO")+SUMIFS(MOVIMIENTOS_COMPLEMENTOS!$I$4:$I$803,MOVIMIENTOS_COMPLEMENTOS!$C$4:$C$803,A2651,MOVIMIENTOS_COMPLEMENTOS!$D$4:$D$803,B2651,MOVIMIENTOS_COMPLEMENTOS!$E$4:$E$803,C2651,MOVIMIENTOS_COMPLEMENTOS!$F$4:$F$803,D2651,MOVIMIENTOS_COMPLEMENTOS!$G$4:$G$803,E2651,MOVIMIENTOS_COMPLEMENTOS!$H$4:$H$803,G2651,MOVIMIENTOS_COMPLEMENTOS!$B$4:$B$803,"DE CORTE")-SUMIFS(MOVIMIENTOS_COMPLEMENTOS!$I$4:$I$803,MOVIMIENTOS_COMPLEMENTOS!$C$4:$C$803,A2651,MOVIMIENTOS_COMPLEMENTOS!$D$4:$D$803,B2651,MOVIMIENTOS_COMPLEMENTOS!$E$4:$E$803,C2651,MOVIMIENTOS_COMPLEMENTOS!$F$4:$F$803,D2651,MOVIMIENTOS_COMPLEMENTOS!$G$4:$G$803,E2651,MOVIMIENTOS_COMPLEMENTOS!$H$4:$H$803,G2651,MOVIMIENTOS_COMPLEMENTOS!$B$4:$B$803,"SALIDA"),0)</f>
        <v>0</v>
      </c>
      <c r="I2651" s="102">
        <f t="array" ref="I2651">IFERROR(INDEX(PRECIOS_COMPLEMENTOS!$C$4:$F$17,MATCH(B2651&amp;"_"&amp;C2651,PRECIOS_COMPLEMENTOS!$H$4:$H$17,0),IF(OR(G2651="S",G2651="20cm"),1,IF(OR(G2651="M",G2651="25cm"),2,IF(OR(G2651="L",G2651="30cm"),3,IF(OR(G2651="XL",G2651="35cm"),4,0))))),0)</f>
        <v>0.6</v>
      </c>
      <c r="J2651" s="103">
        <f t="shared" si="1"/>
        <v>0</v>
      </c>
      <c r="K2651" s="104" t="str">
        <f>IF(H2651&lt;0,"ERROR",IF(H2651=0,"",IF(H2651&lt;CONFIG!$B$4,"CRÍTICO",IF(H2651&lt;CONFIG!$B$5,"BAJO","OK"))))</f>
        <v/>
      </c>
    </row>
    <row r="2652" ht="15.75" hidden="1" customHeight="1">
      <c r="A2652" s="90" t="str">
        <f>IF(CLIENTES!A8="","",CLIENTES!A8)</f>
        <v/>
      </c>
      <c r="B2652" s="90" t="s">
        <v>331</v>
      </c>
      <c r="C2652" s="91" t="s">
        <v>328</v>
      </c>
      <c r="D2652" s="109" t="s">
        <v>366</v>
      </c>
      <c r="E2652" s="67" t="str">
        <f>COLORES!A6</f>
        <v>Blanco</v>
      </c>
      <c r="F2652" s="67" t="str">
        <f>COLORES!B6</f>
        <v>PPT</v>
      </c>
      <c r="G2652" s="90" t="s">
        <v>378</v>
      </c>
      <c r="H2652" s="100">
        <f>IFERROR(SUMIFS(MOVIMIENTOS_COMPLEMENTOS!$I$4:$I$803,MOVIMIENTOS_COMPLEMENTOS!$C$4:$C$803,A2652,MOVIMIENTOS_COMPLEMENTOS!$D$4:$D$803,B2652,MOVIMIENTOS_COMPLEMENTOS!$E$4:$E$803,C2652,MOVIMIENTOS_COMPLEMENTOS!$F$4:$F$803,D2652,MOVIMIENTOS_COMPLEMENTOS!$G$4:$G$803,E2652,MOVIMIENTOS_COMPLEMENTOS!$H$4:$H$803,G2652,MOVIMIENTOS_COMPLEMENTOS!$B$4:$B$803,"INGRESO")+SUMIFS(MOVIMIENTOS_COMPLEMENTOS!$I$4:$I$803,MOVIMIENTOS_COMPLEMENTOS!$C$4:$C$803,A2652,MOVIMIENTOS_COMPLEMENTOS!$D$4:$D$803,B2652,MOVIMIENTOS_COMPLEMENTOS!$E$4:$E$803,C2652,MOVIMIENTOS_COMPLEMENTOS!$F$4:$F$803,D2652,MOVIMIENTOS_COMPLEMENTOS!$G$4:$G$803,E2652,MOVIMIENTOS_COMPLEMENTOS!$H$4:$H$803,G2652,MOVIMIENTOS_COMPLEMENTOS!$B$4:$B$803,"DE CORTE")-SUMIFS(MOVIMIENTOS_COMPLEMENTOS!$I$4:$I$803,MOVIMIENTOS_COMPLEMENTOS!$C$4:$C$803,A2652,MOVIMIENTOS_COMPLEMENTOS!$D$4:$D$803,B2652,MOVIMIENTOS_COMPLEMENTOS!$E$4:$E$803,C2652,MOVIMIENTOS_COMPLEMENTOS!$F$4:$F$803,D2652,MOVIMIENTOS_COMPLEMENTOS!$G$4:$G$803,E2652,MOVIMIENTOS_COMPLEMENTOS!$H$4:$H$803,G2652,MOVIMIENTOS_COMPLEMENTOS!$B$4:$B$803,"SALIDA"),0)</f>
        <v>0</v>
      </c>
      <c r="I2652" s="102">
        <f t="array" ref="I2652">IFERROR(INDEX(PRECIOS_COMPLEMENTOS!$C$4:$F$17,MATCH(B2652&amp;"_"&amp;C2652,PRECIOS_COMPLEMENTOS!$H$4:$H$17,0),IF(OR(G2652="S",G2652="20cm"),1,IF(OR(G2652="M",G2652="25cm"),2,IF(OR(G2652="L",G2652="30cm"),3,IF(OR(G2652="XL",G2652="35cm"),4,0))))),0)</f>
        <v>0.6</v>
      </c>
      <c r="J2652" s="103">
        <f t="shared" si="1"/>
        <v>0</v>
      </c>
      <c r="K2652" s="104" t="str">
        <f>IF(H2652&lt;0,"ERROR",IF(H2652=0,"",IF(H2652&lt;CONFIG!$B$4,"CRÍTICO",IF(H2652&lt;CONFIG!$B$5,"BAJO","OK"))))</f>
        <v/>
      </c>
    </row>
    <row r="2653" ht="15.75" hidden="1" customHeight="1">
      <c r="A2653" s="90" t="str">
        <f>IF(CLIENTES!A8="","",CLIENTES!A8)</f>
        <v/>
      </c>
      <c r="B2653" s="90" t="s">
        <v>331</v>
      </c>
      <c r="C2653" s="91" t="s">
        <v>328</v>
      </c>
      <c r="D2653" s="109" t="s">
        <v>366</v>
      </c>
      <c r="E2653" s="67" t="str">
        <f>COLORES!A6</f>
        <v>Blanco</v>
      </c>
      <c r="F2653" s="67" t="str">
        <f>COLORES!B6</f>
        <v>PPT</v>
      </c>
      <c r="G2653" s="90" t="s">
        <v>376</v>
      </c>
      <c r="H2653" s="100">
        <f>IFERROR(SUMIFS(MOVIMIENTOS_COMPLEMENTOS!$I$4:$I$803,MOVIMIENTOS_COMPLEMENTOS!$C$4:$C$803,A2653,MOVIMIENTOS_COMPLEMENTOS!$D$4:$D$803,B2653,MOVIMIENTOS_COMPLEMENTOS!$E$4:$E$803,C2653,MOVIMIENTOS_COMPLEMENTOS!$F$4:$F$803,D2653,MOVIMIENTOS_COMPLEMENTOS!$G$4:$G$803,E2653,MOVIMIENTOS_COMPLEMENTOS!$H$4:$H$803,G2653,MOVIMIENTOS_COMPLEMENTOS!$B$4:$B$803,"INGRESO")+SUMIFS(MOVIMIENTOS_COMPLEMENTOS!$I$4:$I$803,MOVIMIENTOS_COMPLEMENTOS!$C$4:$C$803,A2653,MOVIMIENTOS_COMPLEMENTOS!$D$4:$D$803,B2653,MOVIMIENTOS_COMPLEMENTOS!$E$4:$E$803,C2653,MOVIMIENTOS_COMPLEMENTOS!$F$4:$F$803,D2653,MOVIMIENTOS_COMPLEMENTOS!$G$4:$G$803,E2653,MOVIMIENTOS_COMPLEMENTOS!$H$4:$H$803,G2653,MOVIMIENTOS_COMPLEMENTOS!$B$4:$B$803,"DE CORTE")-SUMIFS(MOVIMIENTOS_COMPLEMENTOS!$I$4:$I$803,MOVIMIENTOS_COMPLEMENTOS!$C$4:$C$803,A2653,MOVIMIENTOS_COMPLEMENTOS!$D$4:$D$803,B2653,MOVIMIENTOS_COMPLEMENTOS!$E$4:$E$803,C2653,MOVIMIENTOS_COMPLEMENTOS!$F$4:$F$803,D2653,MOVIMIENTOS_COMPLEMENTOS!$G$4:$G$803,E2653,MOVIMIENTOS_COMPLEMENTOS!$H$4:$H$803,G2653,MOVIMIENTOS_COMPLEMENTOS!$B$4:$B$803,"SALIDA"),0)</f>
        <v>0</v>
      </c>
      <c r="I2653" s="102">
        <f t="array" ref="I2653">IFERROR(INDEX(PRECIOS_COMPLEMENTOS!$C$4:$F$17,MATCH(B2653&amp;"_"&amp;C2653,PRECIOS_COMPLEMENTOS!$H$4:$H$17,0),IF(OR(G2653="S",G2653="20cm"),1,IF(OR(G2653="M",G2653="25cm"),2,IF(OR(G2653="L",G2653="30cm"),3,IF(OR(G2653="XL",G2653="35cm"),4,0))))),0)</f>
        <v>0.6</v>
      </c>
      <c r="J2653" s="103">
        <f t="shared" si="1"/>
        <v>0</v>
      </c>
      <c r="K2653" s="104" t="str">
        <f>IF(H2653&lt;0,"ERROR",IF(H2653=0,"",IF(H2653&lt;CONFIG!$B$4,"CRÍTICO",IF(H2653&lt;CONFIG!$B$5,"BAJO","OK"))))</f>
        <v/>
      </c>
    </row>
    <row r="2654" ht="15.75" hidden="1" customHeight="1">
      <c r="A2654" s="90" t="str">
        <f>IF(CLIENTES!A8="","",CLIENTES!A8)</f>
        <v/>
      </c>
      <c r="B2654" s="90" t="s">
        <v>331</v>
      </c>
      <c r="C2654" s="91" t="s">
        <v>328</v>
      </c>
      <c r="D2654" s="109" t="s">
        <v>366</v>
      </c>
      <c r="E2654" s="67" t="str">
        <f>COLORES!A6</f>
        <v>Blanco</v>
      </c>
      <c r="F2654" s="67" t="str">
        <f>COLORES!B6</f>
        <v>PPT</v>
      </c>
      <c r="G2654" s="90" t="s">
        <v>377</v>
      </c>
      <c r="H2654" s="100">
        <f>IFERROR(SUMIFS(MOVIMIENTOS_COMPLEMENTOS!$I$4:$I$803,MOVIMIENTOS_COMPLEMENTOS!$C$4:$C$803,A2654,MOVIMIENTOS_COMPLEMENTOS!$D$4:$D$803,B2654,MOVIMIENTOS_COMPLEMENTOS!$E$4:$E$803,C2654,MOVIMIENTOS_COMPLEMENTOS!$F$4:$F$803,D2654,MOVIMIENTOS_COMPLEMENTOS!$G$4:$G$803,E2654,MOVIMIENTOS_COMPLEMENTOS!$H$4:$H$803,G2654,MOVIMIENTOS_COMPLEMENTOS!$B$4:$B$803,"INGRESO")+SUMIFS(MOVIMIENTOS_COMPLEMENTOS!$I$4:$I$803,MOVIMIENTOS_COMPLEMENTOS!$C$4:$C$803,A2654,MOVIMIENTOS_COMPLEMENTOS!$D$4:$D$803,B2654,MOVIMIENTOS_COMPLEMENTOS!$E$4:$E$803,C2654,MOVIMIENTOS_COMPLEMENTOS!$F$4:$F$803,D2654,MOVIMIENTOS_COMPLEMENTOS!$G$4:$G$803,E2654,MOVIMIENTOS_COMPLEMENTOS!$H$4:$H$803,G2654,MOVIMIENTOS_COMPLEMENTOS!$B$4:$B$803,"DE CORTE")-SUMIFS(MOVIMIENTOS_COMPLEMENTOS!$I$4:$I$803,MOVIMIENTOS_COMPLEMENTOS!$C$4:$C$803,A2654,MOVIMIENTOS_COMPLEMENTOS!$D$4:$D$803,B2654,MOVIMIENTOS_COMPLEMENTOS!$E$4:$E$803,C2654,MOVIMIENTOS_COMPLEMENTOS!$F$4:$F$803,D2654,MOVIMIENTOS_COMPLEMENTOS!$G$4:$G$803,E2654,MOVIMIENTOS_COMPLEMENTOS!$H$4:$H$803,G2654,MOVIMIENTOS_COMPLEMENTOS!$B$4:$B$803,"SALIDA"),0)</f>
        <v>0</v>
      </c>
      <c r="I2654" s="102">
        <f t="array" ref="I2654">IFERROR(INDEX(PRECIOS_COMPLEMENTOS!$C$4:$F$17,MATCH(B2654&amp;"_"&amp;C2654,PRECIOS_COMPLEMENTOS!$H$4:$H$17,0),IF(OR(G2654="S",G2654="20cm"),1,IF(OR(G2654="M",G2654="25cm"),2,IF(OR(G2654="L",G2654="30cm"),3,IF(OR(G2654="XL",G2654="35cm"),4,0))))),0)</f>
        <v>0.6</v>
      </c>
      <c r="J2654" s="103">
        <f t="shared" si="1"/>
        <v>0</v>
      </c>
      <c r="K2654" s="104" t="str">
        <f>IF(H2654&lt;0,"ERROR",IF(H2654=0,"",IF(H2654&lt;CONFIG!$B$4,"CRÍTICO",IF(H2654&lt;CONFIG!$B$5,"BAJO","OK"))))</f>
        <v/>
      </c>
    </row>
    <row r="2655" ht="15.75" hidden="1" customHeight="1">
      <c r="A2655" s="90" t="str">
        <f>IF(CLIENTES!A8="","",CLIENTES!A8)</f>
        <v/>
      </c>
      <c r="B2655" s="90" t="s">
        <v>331</v>
      </c>
      <c r="C2655" s="91" t="s">
        <v>328</v>
      </c>
      <c r="D2655" s="109" t="s">
        <v>366</v>
      </c>
      <c r="E2655" s="67" t="str">
        <f>COLORES!A6</f>
        <v>Blanco</v>
      </c>
      <c r="F2655" s="67" t="str">
        <f>COLORES!B6</f>
        <v>PPT</v>
      </c>
      <c r="G2655" s="90" t="s">
        <v>379</v>
      </c>
      <c r="H2655" s="100">
        <f>IFERROR(SUMIFS(MOVIMIENTOS_COMPLEMENTOS!$I$4:$I$803,MOVIMIENTOS_COMPLEMENTOS!$C$4:$C$803,A2655,MOVIMIENTOS_COMPLEMENTOS!$D$4:$D$803,B2655,MOVIMIENTOS_COMPLEMENTOS!$E$4:$E$803,C2655,MOVIMIENTOS_COMPLEMENTOS!$F$4:$F$803,D2655,MOVIMIENTOS_COMPLEMENTOS!$G$4:$G$803,E2655,MOVIMIENTOS_COMPLEMENTOS!$H$4:$H$803,G2655,MOVIMIENTOS_COMPLEMENTOS!$B$4:$B$803,"INGRESO")+SUMIFS(MOVIMIENTOS_COMPLEMENTOS!$I$4:$I$803,MOVIMIENTOS_COMPLEMENTOS!$C$4:$C$803,A2655,MOVIMIENTOS_COMPLEMENTOS!$D$4:$D$803,B2655,MOVIMIENTOS_COMPLEMENTOS!$E$4:$E$803,C2655,MOVIMIENTOS_COMPLEMENTOS!$F$4:$F$803,D2655,MOVIMIENTOS_COMPLEMENTOS!$G$4:$G$803,E2655,MOVIMIENTOS_COMPLEMENTOS!$H$4:$H$803,G2655,MOVIMIENTOS_COMPLEMENTOS!$B$4:$B$803,"DE CORTE")-SUMIFS(MOVIMIENTOS_COMPLEMENTOS!$I$4:$I$803,MOVIMIENTOS_COMPLEMENTOS!$C$4:$C$803,A2655,MOVIMIENTOS_COMPLEMENTOS!$D$4:$D$803,B2655,MOVIMIENTOS_COMPLEMENTOS!$E$4:$E$803,C2655,MOVIMIENTOS_COMPLEMENTOS!$F$4:$F$803,D2655,MOVIMIENTOS_COMPLEMENTOS!$G$4:$G$803,E2655,MOVIMIENTOS_COMPLEMENTOS!$H$4:$H$803,G2655,MOVIMIENTOS_COMPLEMENTOS!$B$4:$B$803,"SALIDA"),0)</f>
        <v>0</v>
      </c>
      <c r="I2655" s="102">
        <f t="array" ref="I2655">IFERROR(INDEX(PRECIOS_COMPLEMENTOS!$C$4:$F$17,MATCH(B2655&amp;"_"&amp;C2655,PRECIOS_COMPLEMENTOS!$H$4:$H$17,0),IF(OR(G2655="S",G2655="20cm"),1,IF(OR(G2655="M",G2655="25cm"),2,IF(OR(G2655="L",G2655="30cm"),3,IF(OR(G2655="XL",G2655="35cm"),4,0))))),0)</f>
        <v>0.6</v>
      </c>
      <c r="J2655" s="103">
        <f t="shared" si="1"/>
        <v>0</v>
      </c>
      <c r="K2655" s="104" t="str">
        <f>IF(H2655&lt;0,"ERROR",IF(H2655=0,"",IF(H2655&lt;CONFIG!$B$4,"CRÍTICO",IF(H2655&lt;CONFIG!$B$5,"BAJO","OK"))))</f>
        <v/>
      </c>
    </row>
    <row r="2656" ht="15.75" hidden="1" customHeight="1">
      <c r="A2656" s="90" t="str">
        <f>IF(CLIENTES!A8="","",CLIENTES!A8)</f>
        <v/>
      </c>
      <c r="B2656" s="90" t="s">
        <v>331</v>
      </c>
      <c r="C2656" s="91" t="s">
        <v>328</v>
      </c>
      <c r="D2656" s="109" t="s">
        <v>366</v>
      </c>
      <c r="E2656" s="67" t="str">
        <f>COLORES!A7</f>
        <v>Azul</v>
      </c>
      <c r="F2656" s="67" t="str">
        <f>COLORES!B7</f>
        <v>OSCURO</v>
      </c>
      <c r="G2656" s="90" t="s">
        <v>378</v>
      </c>
      <c r="H2656" s="100">
        <f>IFERROR(SUMIFS(MOVIMIENTOS_COMPLEMENTOS!$I$4:$I$803,MOVIMIENTOS_COMPLEMENTOS!$C$4:$C$803,A2656,MOVIMIENTOS_COMPLEMENTOS!$D$4:$D$803,B2656,MOVIMIENTOS_COMPLEMENTOS!$E$4:$E$803,C2656,MOVIMIENTOS_COMPLEMENTOS!$F$4:$F$803,D2656,MOVIMIENTOS_COMPLEMENTOS!$G$4:$G$803,E2656,MOVIMIENTOS_COMPLEMENTOS!$H$4:$H$803,G2656,MOVIMIENTOS_COMPLEMENTOS!$B$4:$B$803,"INGRESO")+SUMIFS(MOVIMIENTOS_COMPLEMENTOS!$I$4:$I$803,MOVIMIENTOS_COMPLEMENTOS!$C$4:$C$803,A2656,MOVIMIENTOS_COMPLEMENTOS!$D$4:$D$803,B2656,MOVIMIENTOS_COMPLEMENTOS!$E$4:$E$803,C2656,MOVIMIENTOS_COMPLEMENTOS!$F$4:$F$803,D2656,MOVIMIENTOS_COMPLEMENTOS!$G$4:$G$803,E2656,MOVIMIENTOS_COMPLEMENTOS!$H$4:$H$803,G2656,MOVIMIENTOS_COMPLEMENTOS!$B$4:$B$803,"DE CORTE")-SUMIFS(MOVIMIENTOS_COMPLEMENTOS!$I$4:$I$803,MOVIMIENTOS_COMPLEMENTOS!$C$4:$C$803,A2656,MOVIMIENTOS_COMPLEMENTOS!$D$4:$D$803,B2656,MOVIMIENTOS_COMPLEMENTOS!$E$4:$E$803,C2656,MOVIMIENTOS_COMPLEMENTOS!$F$4:$F$803,D2656,MOVIMIENTOS_COMPLEMENTOS!$G$4:$G$803,E2656,MOVIMIENTOS_COMPLEMENTOS!$H$4:$H$803,G2656,MOVIMIENTOS_COMPLEMENTOS!$B$4:$B$803,"SALIDA"),0)</f>
        <v>0</v>
      </c>
      <c r="I2656" s="102">
        <f t="array" ref="I2656">IFERROR(INDEX(PRECIOS_COMPLEMENTOS!$C$4:$F$17,MATCH(B2656&amp;"_"&amp;C2656,PRECIOS_COMPLEMENTOS!$H$4:$H$17,0),IF(OR(G2656="S",G2656="20cm"),1,IF(OR(G2656="M",G2656="25cm"),2,IF(OR(G2656="L",G2656="30cm"),3,IF(OR(G2656="XL",G2656="35cm"),4,0))))),0)</f>
        <v>0.6</v>
      </c>
      <c r="J2656" s="103">
        <f t="shared" si="1"/>
        <v>0</v>
      </c>
      <c r="K2656" s="104" t="str">
        <f>IF(H2656&lt;0,"ERROR",IF(H2656=0,"",IF(H2656&lt;CONFIG!$B$4,"CRÍTICO",IF(H2656&lt;CONFIG!$B$5,"BAJO","OK"))))</f>
        <v/>
      </c>
    </row>
    <row r="2657" ht="15.75" hidden="1" customHeight="1">
      <c r="A2657" s="90" t="str">
        <f>IF(CLIENTES!A8="","",CLIENTES!A8)</f>
        <v/>
      </c>
      <c r="B2657" s="90" t="s">
        <v>331</v>
      </c>
      <c r="C2657" s="91" t="s">
        <v>328</v>
      </c>
      <c r="D2657" s="109" t="s">
        <v>366</v>
      </c>
      <c r="E2657" s="67" t="str">
        <f>COLORES!A7</f>
        <v>Azul</v>
      </c>
      <c r="F2657" s="67" t="str">
        <f>COLORES!B7</f>
        <v>OSCURO</v>
      </c>
      <c r="G2657" s="90" t="s">
        <v>376</v>
      </c>
      <c r="H2657" s="100">
        <f>IFERROR(SUMIFS(MOVIMIENTOS_COMPLEMENTOS!$I$4:$I$803,MOVIMIENTOS_COMPLEMENTOS!$C$4:$C$803,A2657,MOVIMIENTOS_COMPLEMENTOS!$D$4:$D$803,B2657,MOVIMIENTOS_COMPLEMENTOS!$E$4:$E$803,C2657,MOVIMIENTOS_COMPLEMENTOS!$F$4:$F$803,D2657,MOVIMIENTOS_COMPLEMENTOS!$G$4:$G$803,E2657,MOVIMIENTOS_COMPLEMENTOS!$H$4:$H$803,G2657,MOVIMIENTOS_COMPLEMENTOS!$B$4:$B$803,"INGRESO")+SUMIFS(MOVIMIENTOS_COMPLEMENTOS!$I$4:$I$803,MOVIMIENTOS_COMPLEMENTOS!$C$4:$C$803,A2657,MOVIMIENTOS_COMPLEMENTOS!$D$4:$D$803,B2657,MOVIMIENTOS_COMPLEMENTOS!$E$4:$E$803,C2657,MOVIMIENTOS_COMPLEMENTOS!$F$4:$F$803,D2657,MOVIMIENTOS_COMPLEMENTOS!$G$4:$G$803,E2657,MOVIMIENTOS_COMPLEMENTOS!$H$4:$H$803,G2657,MOVIMIENTOS_COMPLEMENTOS!$B$4:$B$803,"DE CORTE")-SUMIFS(MOVIMIENTOS_COMPLEMENTOS!$I$4:$I$803,MOVIMIENTOS_COMPLEMENTOS!$C$4:$C$803,A2657,MOVIMIENTOS_COMPLEMENTOS!$D$4:$D$803,B2657,MOVIMIENTOS_COMPLEMENTOS!$E$4:$E$803,C2657,MOVIMIENTOS_COMPLEMENTOS!$F$4:$F$803,D2657,MOVIMIENTOS_COMPLEMENTOS!$G$4:$G$803,E2657,MOVIMIENTOS_COMPLEMENTOS!$H$4:$H$803,G2657,MOVIMIENTOS_COMPLEMENTOS!$B$4:$B$803,"SALIDA"),0)</f>
        <v>0</v>
      </c>
      <c r="I2657" s="102">
        <f t="array" ref="I2657">IFERROR(INDEX(PRECIOS_COMPLEMENTOS!$C$4:$F$17,MATCH(B2657&amp;"_"&amp;C2657,PRECIOS_COMPLEMENTOS!$H$4:$H$17,0),IF(OR(G2657="S",G2657="20cm"),1,IF(OR(G2657="M",G2657="25cm"),2,IF(OR(G2657="L",G2657="30cm"),3,IF(OR(G2657="XL",G2657="35cm"),4,0))))),0)</f>
        <v>0.6</v>
      </c>
      <c r="J2657" s="103">
        <f t="shared" si="1"/>
        <v>0</v>
      </c>
      <c r="K2657" s="104" t="str">
        <f>IF(H2657&lt;0,"ERROR",IF(H2657=0,"",IF(H2657&lt;CONFIG!$B$4,"CRÍTICO",IF(H2657&lt;CONFIG!$B$5,"BAJO","OK"))))</f>
        <v/>
      </c>
    </row>
    <row r="2658" ht="15.75" hidden="1" customHeight="1">
      <c r="A2658" s="90" t="str">
        <f>IF(CLIENTES!A8="","",CLIENTES!A8)</f>
        <v/>
      </c>
      <c r="B2658" s="90" t="s">
        <v>331</v>
      </c>
      <c r="C2658" s="91" t="s">
        <v>328</v>
      </c>
      <c r="D2658" s="109" t="s">
        <v>366</v>
      </c>
      <c r="E2658" s="67" t="str">
        <f>COLORES!A7</f>
        <v>Azul</v>
      </c>
      <c r="F2658" s="67" t="str">
        <f>COLORES!B7</f>
        <v>OSCURO</v>
      </c>
      <c r="G2658" s="90" t="s">
        <v>377</v>
      </c>
      <c r="H2658" s="100">
        <f>IFERROR(SUMIFS(MOVIMIENTOS_COMPLEMENTOS!$I$4:$I$803,MOVIMIENTOS_COMPLEMENTOS!$C$4:$C$803,A2658,MOVIMIENTOS_COMPLEMENTOS!$D$4:$D$803,B2658,MOVIMIENTOS_COMPLEMENTOS!$E$4:$E$803,C2658,MOVIMIENTOS_COMPLEMENTOS!$F$4:$F$803,D2658,MOVIMIENTOS_COMPLEMENTOS!$G$4:$G$803,E2658,MOVIMIENTOS_COMPLEMENTOS!$H$4:$H$803,G2658,MOVIMIENTOS_COMPLEMENTOS!$B$4:$B$803,"INGRESO")+SUMIFS(MOVIMIENTOS_COMPLEMENTOS!$I$4:$I$803,MOVIMIENTOS_COMPLEMENTOS!$C$4:$C$803,A2658,MOVIMIENTOS_COMPLEMENTOS!$D$4:$D$803,B2658,MOVIMIENTOS_COMPLEMENTOS!$E$4:$E$803,C2658,MOVIMIENTOS_COMPLEMENTOS!$F$4:$F$803,D2658,MOVIMIENTOS_COMPLEMENTOS!$G$4:$G$803,E2658,MOVIMIENTOS_COMPLEMENTOS!$H$4:$H$803,G2658,MOVIMIENTOS_COMPLEMENTOS!$B$4:$B$803,"DE CORTE")-SUMIFS(MOVIMIENTOS_COMPLEMENTOS!$I$4:$I$803,MOVIMIENTOS_COMPLEMENTOS!$C$4:$C$803,A2658,MOVIMIENTOS_COMPLEMENTOS!$D$4:$D$803,B2658,MOVIMIENTOS_COMPLEMENTOS!$E$4:$E$803,C2658,MOVIMIENTOS_COMPLEMENTOS!$F$4:$F$803,D2658,MOVIMIENTOS_COMPLEMENTOS!$G$4:$G$803,E2658,MOVIMIENTOS_COMPLEMENTOS!$H$4:$H$803,G2658,MOVIMIENTOS_COMPLEMENTOS!$B$4:$B$803,"SALIDA"),0)</f>
        <v>0</v>
      </c>
      <c r="I2658" s="102">
        <f t="array" ref="I2658">IFERROR(INDEX(PRECIOS_COMPLEMENTOS!$C$4:$F$17,MATCH(B2658&amp;"_"&amp;C2658,PRECIOS_COMPLEMENTOS!$H$4:$H$17,0),IF(OR(G2658="S",G2658="20cm"),1,IF(OR(G2658="M",G2658="25cm"),2,IF(OR(G2658="L",G2658="30cm"),3,IF(OR(G2658="XL",G2658="35cm"),4,0))))),0)</f>
        <v>0.6</v>
      </c>
      <c r="J2658" s="103">
        <f t="shared" si="1"/>
        <v>0</v>
      </c>
      <c r="K2658" s="104" t="str">
        <f>IF(H2658&lt;0,"ERROR",IF(H2658=0,"",IF(H2658&lt;CONFIG!$B$4,"CRÍTICO",IF(H2658&lt;CONFIG!$B$5,"BAJO","OK"))))</f>
        <v/>
      </c>
    </row>
    <row r="2659" ht="15.75" hidden="1" customHeight="1">
      <c r="A2659" s="90" t="str">
        <f>IF(CLIENTES!A8="","",CLIENTES!A8)</f>
        <v/>
      </c>
      <c r="B2659" s="90" t="s">
        <v>331</v>
      </c>
      <c r="C2659" s="91" t="s">
        <v>328</v>
      </c>
      <c r="D2659" s="109" t="s">
        <v>366</v>
      </c>
      <c r="E2659" s="67" t="str">
        <f>COLORES!A7</f>
        <v>Azul</v>
      </c>
      <c r="F2659" s="67" t="str">
        <f>COLORES!B7</f>
        <v>OSCURO</v>
      </c>
      <c r="G2659" s="90" t="s">
        <v>379</v>
      </c>
      <c r="H2659" s="100">
        <f>IFERROR(SUMIFS(MOVIMIENTOS_COMPLEMENTOS!$I$4:$I$803,MOVIMIENTOS_COMPLEMENTOS!$C$4:$C$803,A2659,MOVIMIENTOS_COMPLEMENTOS!$D$4:$D$803,B2659,MOVIMIENTOS_COMPLEMENTOS!$E$4:$E$803,C2659,MOVIMIENTOS_COMPLEMENTOS!$F$4:$F$803,D2659,MOVIMIENTOS_COMPLEMENTOS!$G$4:$G$803,E2659,MOVIMIENTOS_COMPLEMENTOS!$H$4:$H$803,G2659,MOVIMIENTOS_COMPLEMENTOS!$B$4:$B$803,"INGRESO")+SUMIFS(MOVIMIENTOS_COMPLEMENTOS!$I$4:$I$803,MOVIMIENTOS_COMPLEMENTOS!$C$4:$C$803,A2659,MOVIMIENTOS_COMPLEMENTOS!$D$4:$D$803,B2659,MOVIMIENTOS_COMPLEMENTOS!$E$4:$E$803,C2659,MOVIMIENTOS_COMPLEMENTOS!$F$4:$F$803,D2659,MOVIMIENTOS_COMPLEMENTOS!$G$4:$G$803,E2659,MOVIMIENTOS_COMPLEMENTOS!$H$4:$H$803,G2659,MOVIMIENTOS_COMPLEMENTOS!$B$4:$B$803,"DE CORTE")-SUMIFS(MOVIMIENTOS_COMPLEMENTOS!$I$4:$I$803,MOVIMIENTOS_COMPLEMENTOS!$C$4:$C$803,A2659,MOVIMIENTOS_COMPLEMENTOS!$D$4:$D$803,B2659,MOVIMIENTOS_COMPLEMENTOS!$E$4:$E$803,C2659,MOVIMIENTOS_COMPLEMENTOS!$F$4:$F$803,D2659,MOVIMIENTOS_COMPLEMENTOS!$G$4:$G$803,E2659,MOVIMIENTOS_COMPLEMENTOS!$H$4:$H$803,G2659,MOVIMIENTOS_COMPLEMENTOS!$B$4:$B$803,"SALIDA"),0)</f>
        <v>0</v>
      </c>
      <c r="I2659" s="102">
        <f t="array" ref="I2659">IFERROR(INDEX(PRECIOS_COMPLEMENTOS!$C$4:$F$17,MATCH(B2659&amp;"_"&amp;C2659,PRECIOS_COMPLEMENTOS!$H$4:$H$17,0),IF(OR(G2659="S",G2659="20cm"),1,IF(OR(G2659="M",G2659="25cm"),2,IF(OR(G2659="L",G2659="30cm"),3,IF(OR(G2659="XL",G2659="35cm"),4,0))))),0)</f>
        <v>0.6</v>
      </c>
      <c r="J2659" s="103">
        <f t="shared" si="1"/>
        <v>0</v>
      </c>
      <c r="K2659" s="104" t="str">
        <f>IF(H2659&lt;0,"ERROR",IF(H2659=0,"",IF(H2659&lt;CONFIG!$B$4,"CRÍTICO",IF(H2659&lt;CONFIG!$B$5,"BAJO","OK"))))</f>
        <v/>
      </c>
    </row>
    <row r="2660" ht="15.75" hidden="1" customHeight="1">
      <c r="A2660" s="90" t="str">
        <f>IF(CLIENTES!A8="","",CLIENTES!A8)</f>
        <v/>
      </c>
      <c r="B2660" s="90" t="s">
        <v>331</v>
      </c>
      <c r="C2660" s="91" t="s">
        <v>328</v>
      </c>
      <c r="D2660" s="109" t="s">
        <v>366</v>
      </c>
      <c r="E2660" s="67" t="str">
        <f>COLORES!A8</f>
        <v>Beige</v>
      </c>
      <c r="F2660" s="67" t="str">
        <f>COLORES!B8</f>
        <v>CLARO</v>
      </c>
      <c r="G2660" s="90" t="s">
        <v>378</v>
      </c>
      <c r="H2660" s="100">
        <f>IFERROR(SUMIFS(MOVIMIENTOS_COMPLEMENTOS!$I$4:$I$803,MOVIMIENTOS_COMPLEMENTOS!$C$4:$C$803,A2660,MOVIMIENTOS_COMPLEMENTOS!$D$4:$D$803,B2660,MOVIMIENTOS_COMPLEMENTOS!$E$4:$E$803,C2660,MOVIMIENTOS_COMPLEMENTOS!$F$4:$F$803,D2660,MOVIMIENTOS_COMPLEMENTOS!$G$4:$G$803,E2660,MOVIMIENTOS_COMPLEMENTOS!$H$4:$H$803,G2660,MOVIMIENTOS_COMPLEMENTOS!$B$4:$B$803,"INGRESO")+SUMIFS(MOVIMIENTOS_COMPLEMENTOS!$I$4:$I$803,MOVIMIENTOS_COMPLEMENTOS!$C$4:$C$803,A2660,MOVIMIENTOS_COMPLEMENTOS!$D$4:$D$803,B2660,MOVIMIENTOS_COMPLEMENTOS!$E$4:$E$803,C2660,MOVIMIENTOS_COMPLEMENTOS!$F$4:$F$803,D2660,MOVIMIENTOS_COMPLEMENTOS!$G$4:$G$803,E2660,MOVIMIENTOS_COMPLEMENTOS!$H$4:$H$803,G2660,MOVIMIENTOS_COMPLEMENTOS!$B$4:$B$803,"DE CORTE")-SUMIFS(MOVIMIENTOS_COMPLEMENTOS!$I$4:$I$803,MOVIMIENTOS_COMPLEMENTOS!$C$4:$C$803,A2660,MOVIMIENTOS_COMPLEMENTOS!$D$4:$D$803,B2660,MOVIMIENTOS_COMPLEMENTOS!$E$4:$E$803,C2660,MOVIMIENTOS_COMPLEMENTOS!$F$4:$F$803,D2660,MOVIMIENTOS_COMPLEMENTOS!$G$4:$G$803,E2660,MOVIMIENTOS_COMPLEMENTOS!$H$4:$H$803,G2660,MOVIMIENTOS_COMPLEMENTOS!$B$4:$B$803,"SALIDA"),0)</f>
        <v>0</v>
      </c>
      <c r="I2660" s="102">
        <f t="array" ref="I2660">IFERROR(INDEX(PRECIOS_COMPLEMENTOS!$C$4:$F$17,MATCH(B2660&amp;"_"&amp;C2660,PRECIOS_COMPLEMENTOS!$H$4:$H$17,0),IF(OR(G2660="S",G2660="20cm"),1,IF(OR(G2660="M",G2660="25cm"),2,IF(OR(G2660="L",G2660="30cm"),3,IF(OR(G2660="XL",G2660="35cm"),4,0))))),0)</f>
        <v>0.6</v>
      </c>
      <c r="J2660" s="103">
        <f t="shared" si="1"/>
        <v>0</v>
      </c>
      <c r="K2660" s="104" t="str">
        <f>IF(H2660&lt;0,"ERROR",IF(H2660=0,"",IF(H2660&lt;CONFIG!$B$4,"CRÍTICO",IF(H2660&lt;CONFIG!$B$5,"BAJO","OK"))))</f>
        <v/>
      </c>
    </row>
    <row r="2661" ht="15.75" hidden="1" customHeight="1">
      <c r="A2661" s="90" t="str">
        <f>IF(CLIENTES!A8="","",CLIENTES!A8)</f>
        <v/>
      </c>
      <c r="B2661" s="90" t="s">
        <v>331</v>
      </c>
      <c r="C2661" s="91" t="s">
        <v>328</v>
      </c>
      <c r="D2661" s="109" t="s">
        <v>366</v>
      </c>
      <c r="E2661" s="67" t="str">
        <f>COLORES!A8</f>
        <v>Beige</v>
      </c>
      <c r="F2661" s="67" t="str">
        <f>COLORES!B8</f>
        <v>CLARO</v>
      </c>
      <c r="G2661" s="90" t="s">
        <v>376</v>
      </c>
      <c r="H2661" s="100">
        <f>IFERROR(SUMIFS(MOVIMIENTOS_COMPLEMENTOS!$I$4:$I$803,MOVIMIENTOS_COMPLEMENTOS!$C$4:$C$803,A2661,MOVIMIENTOS_COMPLEMENTOS!$D$4:$D$803,B2661,MOVIMIENTOS_COMPLEMENTOS!$E$4:$E$803,C2661,MOVIMIENTOS_COMPLEMENTOS!$F$4:$F$803,D2661,MOVIMIENTOS_COMPLEMENTOS!$G$4:$G$803,E2661,MOVIMIENTOS_COMPLEMENTOS!$H$4:$H$803,G2661,MOVIMIENTOS_COMPLEMENTOS!$B$4:$B$803,"INGRESO")+SUMIFS(MOVIMIENTOS_COMPLEMENTOS!$I$4:$I$803,MOVIMIENTOS_COMPLEMENTOS!$C$4:$C$803,A2661,MOVIMIENTOS_COMPLEMENTOS!$D$4:$D$803,B2661,MOVIMIENTOS_COMPLEMENTOS!$E$4:$E$803,C2661,MOVIMIENTOS_COMPLEMENTOS!$F$4:$F$803,D2661,MOVIMIENTOS_COMPLEMENTOS!$G$4:$G$803,E2661,MOVIMIENTOS_COMPLEMENTOS!$H$4:$H$803,G2661,MOVIMIENTOS_COMPLEMENTOS!$B$4:$B$803,"DE CORTE")-SUMIFS(MOVIMIENTOS_COMPLEMENTOS!$I$4:$I$803,MOVIMIENTOS_COMPLEMENTOS!$C$4:$C$803,A2661,MOVIMIENTOS_COMPLEMENTOS!$D$4:$D$803,B2661,MOVIMIENTOS_COMPLEMENTOS!$E$4:$E$803,C2661,MOVIMIENTOS_COMPLEMENTOS!$F$4:$F$803,D2661,MOVIMIENTOS_COMPLEMENTOS!$G$4:$G$803,E2661,MOVIMIENTOS_COMPLEMENTOS!$H$4:$H$803,G2661,MOVIMIENTOS_COMPLEMENTOS!$B$4:$B$803,"SALIDA"),0)</f>
        <v>0</v>
      </c>
      <c r="I2661" s="102">
        <f t="array" ref="I2661">IFERROR(INDEX(PRECIOS_COMPLEMENTOS!$C$4:$F$17,MATCH(B2661&amp;"_"&amp;C2661,PRECIOS_COMPLEMENTOS!$H$4:$H$17,0),IF(OR(G2661="S",G2661="20cm"),1,IF(OR(G2661="M",G2661="25cm"),2,IF(OR(G2661="L",G2661="30cm"),3,IF(OR(G2661="XL",G2661="35cm"),4,0))))),0)</f>
        <v>0.6</v>
      </c>
      <c r="J2661" s="103">
        <f t="shared" si="1"/>
        <v>0</v>
      </c>
      <c r="K2661" s="104" t="str">
        <f>IF(H2661&lt;0,"ERROR",IF(H2661=0,"",IF(H2661&lt;CONFIG!$B$4,"CRÍTICO",IF(H2661&lt;CONFIG!$B$5,"BAJO","OK"))))</f>
        <v/>
      </c>
    </row>
    <row r="2662" ht="15.75" hidden="1" customHeight="1">
      <c r="A2662" s="90" t="str">
        <f>IF(CLIENTES!A8="","",CLIENTES!A8)</f>
        <v/>
      </c>
      <c r="B2662" s="90" t="s">
        <v>331</v>
      </c>
      <c r="C2662" s="91" t="s">
        <v>328</v>
      </c>
      <c r="D2662" s="109" t="s">
        <v>366</v>
      </c>
      <c r="E2662" s="67" t="str">
        <f>COLORES!A8</f>
        <v>Beige</v>
      </c>
      <c r="F2662" s="67" t="str">
        <f>COLORES!B8</f>
        <v>CLARO</v>
      </c>
      <c r="G2662" s="90" t="s">
        <v>377</v>
      </c>
      <c r="H2662" s="100">
        <f>IFERROR(SUMIFS(MOVIMIENTOS_COMPLEMENTOS!$I$4:$I$803,MOVIMIENTOS_COMPLEMENTOS!$C$4:$C$803,A2662,MOVIMIENTOS_COMPLEMENTOS!$D$4:$D$803,B2662,MOVIMIENTOS_COMPLEMENTOS!$E$4:$E$803,C2662,MOVIMIENTOS_COMPLEMENTOS!$F$4:$F$803,D2662,MOVIMIENTOS_COMPLEMENTOS!$G$4:$G$803,E2662,MOVIMIENTOS_COMPLEMENTOS!$H$4:$H$803,G2662,MOVIMIENTOS_COMPLEMENTOS!$B$4:$B$803,"INGRESO")+SUMIFS(MOVIMIENTOS_COMPLEMENTOS!$I$4:$I$803,MOVIMIENTOS_COMPLEMENTOS!$C$4:$C$803,A2662,MOVIMIENTOS_COMPLEMENTOS!$D$4:$D$803,B2662,MOVIMIENTOS_COMPLEMENTOS!$E$4:$E$803,C2662,MOVIMIENTOS_COMPLEMENTOS!$F$4:$F$803,D2662,MOVIMIENTOS_COMPLEMENTOS!$G$4:$G$803,E2662,MOVIMIENTOS_COMPLEMENTOS!$H$4:$H$803,G2662,MOVIMIENTOS_COMPLEMENTOS!$B$4:$B$803,"DE CORTE")-SUMIFS(MOVIMIENTOS_COMPLEMENTOS!$I$4:$I$803,MOVIMIENTOS_COMPLEMENTOS!$C$4:$C$803,A2662,MOVIMIENTOS_COMPLEMENTOS!$D$4:$D$803,B2662,MOVIMIENTOS_COMPLEMENTOS!$E$4:$E$803,C2662,MOVIMIENTOS_COMPLEMENTOS!$F$4:$F$803,D2662,MOVIMIENTOS_COMPLEMENTOS!$G$4:$G$803,E2662,MOVIMIENTOS_COMPLEMENTOS!$H$4:$H$803,G2662,MOVIMIENTOS_COMPLEMENTOS!$B$4:$B$803,"SALIDA"),0)</f>
        <v>0</v>
      </c>
      <c r="I2662" s="102">
        <f t="array" ref="I2662">IFERROR(INDEX(PRECIOS_COMPLEMENTOS!$C$4:$F$17,MATCH(B2662&amp;"_"&amp;C2662,PRECIOS_COMPLEMENTOS!$H$4:$H$17,0),IF(OR(G2662="S",G2662="20cm"),1,IF(OR(G2662="M",G2662="25cm"),2,IF(OR(G2662="L",G2662="30cm"),3,IF(OR(G2662="XL",G2662="35cm"),4,0))))),0)</f>
        <v>0.6</v>
      </c>
      <c r="J2662" s="103">
        <f t="shared" si="1"/>
        <v>0</v>
      </c>
      <c r="K2662" s="104" t="str">
        <f>IF(H2662&lt;0,"ERROR",IF(H2662=0,"",IF(H2662&lt;CONFIG!$B$4,"CRÍTICO",IF(H2662&lt;CONFIG!$B$5,"BAJO","OK"))))</f>
        <v/>
      </c>
    </row>
    <row r="2663" ht="15.75" hidden="1" customHeight="1">
      <c r="A2663" s="90" t="str">
        <f>IF(CLIENTES!A8="","",CLIENTES!A8)</f>
        <v/>
      </c>
      <c r="B2663" s="90" t="s">
        <v>331</v>
      </c>
      <c r="C2663" s="91" t="s">
        <v>328</v>
      </c>
      <c r="D2663" s="109" t="s">
        <v>366</v>
      </c>
      <c r="E2663" s="67" t="str">
        <f>COLORES!A8</f>
        <v>Beige</v>
      </c>
      <c r="F2663" s="67" t="str">
        <f>COLORES!B8</f>
        <v>CLARO</v>
      </c>
      <c r="G2663" s="90" t="s">
        <v>379</v>
      </c>
      <c r="H2663" s="100">
        <f>IFERROR(SUMIFS(MOVIMIENTOS_COMPLEMENTOS!$I$4:$I$803,MOVIMIENTOS_COMPLEMENTOS!$C$4:$C$803,A2663,MOVIMIENTOS_COMPLEMENTOS!$D$4:$D$803,B2663,MOVIMIENTOS_COMPLEMENTOS!$E$4:$E$803,C2663,MOVIMIENTOS_COMPLEMENTOS!$F$4:$F$803,D2663,MOVIMIENTOS_COMPLEMENTOS!$G$4:$G$803,E2663,MOVIMIENTOS_COMPLEMENTOS!$H$4:$H$803,G2663,MOVIMIENTOS_COMPLEMENTOS!$B$4:$B$803,"INGRESO")+SUMIFS(MOVIMIENTOS_COMPLEMENTOS!$I$4:$I$803,MOVIMIENTOS_COMPLEMENTOS!$C$4:$C$803,A2663,MOVIMIENTOS_COMPLEMENTOS!$D$4:$D$803,B2663,MOVIMIENTOS_COMPLEMENTOS!$E$4:$E$803,C2663,MOVIMIENTOS_COMPLEMENTOS!$F$4:$F$803,D2663,MOVIMIENTOS_COMPLEMENTOS!$G$4:$G$803,E2663,MOVIMIENTOS_COMPLEMENTOS!$H$4:$H$803,G2663,MOVIMIENTOS_COMPLEMENTOS!$B$4:$B$803,"DE CORTE")-SUMIFS(MOVIMIENTOS_COMPLEMENTOS!$I$4:$I$803,MOVIMIENTOS_COMPLEMENTOS!$C$4:$C$803,A2663,MOVIMIENTOS_COMPLEMENTOS!$D$4:$D$803,B2663,MOVIMIENTOS_COMPLEMENTOS!$E$4:$E$803,C2663,MOVIMIENTOS_COMPLEMENTOS!$F$4:$F$803,D2663,MOVIMIENTOS_COMPLEMENTOS!$G$4:$G$803,E2663,MOVIMIENTOS_COMPLEMENTOS!$H$4:$H$803,G2663,MOVIMIENTOS_COMPLEMENTOS!$B$4:$B$803,"SALIDA"),0)</f>
        <v>0</v>
      </c>
      <c r="I2663" s="102">
        <f t="array" ref="I2663">IFERROR(INDEX(PRECIOS_COMPLEMENTOS!$C$4:$F$17,MATCH(B2663&amp;"_"&amp;C2663,PRECIOS_COMPLEMENTOS!$H$4:$H$17,0),IF(OR(G2663="S",G2663="20cm"),1,IF(OR(G2663="M",G2663="25cm"),2,IF(OR(G2663="L",G2663="30cm"),3,IF(OR(G2663="XL",G2663="35cm"),4,0))))),0)</f>
        <v>0.6</v>
      </c>
      <c r="J2663" s="103">
        <f t="shared" si="1"/>
        <v>0</v>
      </c>
      <c r="K2663" s="104" t="str">
        <f>IF(H2663&lt;0,"ERROR",IF(H2663=0,"",IF(H2663&lt;CONFIG!$B$4,"CRÍTICO",IF(H2663&lt;CONFIG!$B$5,"BAJO","OK"))))</f>
        <v/>
      </c>
    </row>
    <row r="2664" ht="15.75" hidden="1" customHeight="1">
      <c r="A2664" s="90" t="str">
        <f>IF(CLIENTES!A8="","",CLIENTES!A8)</f>
        <v/>
      </c>
      <c r="B2664" s="90" t="s">
        <v>331</v>
      </c>
      <c r="C2664" s="91" t="s">
        <v>328</v>
      </c>
      <c r="D2664" s="109" t="s">
        <v>366</v>
      </c>
      <c r="E2664" s="67" t="str">
        <f>COLORES!A9</f>
        <v>Melange</v>
      </c>
      <c r="F2664" s="67" t="str">
        <f>COLORES!B9</f>
        <v>MELANGE</v>
      </c>
      <c r="G2664" s="90" t="s">
        <v>378</v>
      </c>
      <c r="H2664" s="100">
        <f>IFERROR(SUMIFS(MOVIMIENTOS_COMPLEMENTOS!$I$4:$I$803,MOVIMIENTOS_COMPLEMENTOS!$C$4:$C$803,A2664,MOVIMIENTOS_COMPLEMENTOS!$D$4:$D$803,B2664,MOVIMIENTOS_COMPLEMENTOS!$E$4:$E$803,C2664,MOVIMIENTOS_COMPLEMENTOS!$F$4:$F$803,D2664,MOVIMIENTOS_COMPLEMENTOS!$G$4:$G$803,E2664,MOVIMIENTOS_COMPLEMENTOS!$H$4:$H$803,G2664,MOVIMIENTOS_COMPLEMENTOS!$B$4:$B$803,"INGRESO")+SUMIFS(MOVIMIENTOS_COMPLEMENTOS!$I$4:$I$803,MOVIMIENTOS_COMPLEMENTOS!$C$4:$C$803,A2664,MOVIMIENTOS_COMPLEMENTOS!$D$4:$D$803,B2664,MOVIMIENTOS_COMPLEMENTOS!$E$4:$E$803,C2664,MOVIMIENTOS_COMPLEMENTOS!$F$4:$F$803,D2664,MOVIMIENTOS_COMPLEMENTOS!$G$4:$G$803,E2664,MOVIMIENTOS_COMPLEMENTOS!$H$4:$H$803,G2664,MOVIMIENTOS_COMPLEMENTOS!$B$4:$B$803,"DE CORTE")-SUMIFS(MOVIMIENTOS_COMPLEMENTOS!$I$4:$I$803,MOVIMIENTOS_COMPLEMENTOS!$C$4:$C$803,A2664,MOVIMIENTOS_COMPLEMENTOS!$D$4:$D$803,B2664,MOVIMIENTOS_COMPLEMENTOS!$E$4:$E$803,C2664,MOVIMIENTOS_COMPLEMENTOS!$F$4:$F$803,D2664,MOVIMIENTOS_COMPLEMENTOS!$G$4:$G$803,E2664,MOVIMIENTOS_COMPLEMENTOS!$H$4:$H$803,G2664,MOVIMIENTOS_COMPLEMENTOS!$B$4:$B$803,"SALIDA"),0)</f>
        <v>0</v>
      </c>
      <c r="I2664" s="102">
        <f t="array" ref="I2664">IFERROR(INDEX(PRECIOS_COMPLEMENTOS!$C$4:$F$17,MATCH(B2664&amp;"_"&amp;C2664,PRECIOS_COMPLEMENTOS!$H$4:$H$17,0),IF(OR(G2664="S",G2664="20cm"),1,IF(OR(G2664="M",G2664="25cm"),2,IF(OR(G2664="L",G2664="30cm"),3,IF(OR(G2664="XL",G2664="35cm"),4,0))))),0)</f>
        <v>0.6</v>
      </c>
      <c r="J2664" s="103">
        <f t="shared" si="1"/>
        <v>0</v>
      </c>
      <c r="K2664" s="104" t="str">
        <f>IF(H2664&lt;0,"ERROR",IF(H2664=0,"",IF(H2664&lt;CONFIG!$B$4,"CRÍTICO",IF(H2664&lt;CONFIG!$B$5,"BAJO","OK"))))</f>
        <v/>
      </c>
    </row>
    <row r="2665" ht="15.75" hidden="1" customHeight="1">
      <c r="A2665" s="90" t="str">
        <f>IF(CLIENTES!A8="","",CLIENTES!A8)</f>
        <v/>
      </c>
      <c r="B2665" s="90" t="s">
        <v>331</v>
      </c>
      <c r="C2665" s="91" t="s">
        <v>328</v>
      </c>
      <c r="D2665" s="109" t="s">
        <v>366</v>
      </c>
      <c r="E2665" s="67" t="str">
        <f>COLORES!A9</f>
        <v>Melange</v>
      </c>
      <c r="F2665" s="67" t="str">
        <f>COLORES!B9</f>
        <v>MELANGE</v>
      </c>
      <c r="G2665" s="90" t="s">
        <v>376</v>
      </c>
      <c r="H2665" s="100">
        <f>IFERROR(SUMIFS(MOVIMIENTOS_COMPLEMENTOS!$I$4:$I$803,MOVIMIENTOS_COMPLEMENTOS!$C$4:$C$803,A2665,MOVIMIENTOS_COMPLEMENTOS!$D$4:$D$803,B2665,MOVIMIENTOS_COMPLEMENTOS!$E$4:$E$803,C2665,MOVIMIENTOS_COMPLEMENTOS!$F$4:$F$803,D2665,MOVIMIENTOS_COMPLEMENTOS!$G$4:$G$803,E2665,MOVIMIENTOS_COMPLEMENTOS!$H$4:$H$803,G2665,MOVIMIENTOS_COMPLEMENTOS!$B$4:$B$803,"INGRESO")+SUMIFS(MOVIMIENTOS_COMPLEMENTOS!$I$4:$I$803,MOVIMIENTOS_COMPLEMENTOS!$C$4:$C$803,A2665,MOVIMIENTOS_COMPLEMENTOS!$D$4:$D$803,B2665,MOVIMIENTOS_COMPLEMENTOS!$E$4:$E$803,C2665,MOVIMIENTOS_COMPLEMENTOS!$F$4:$F$803,D2665,MOVIMIENTOS_COMPLEMENTOS!$G$4:$G$803,E2665,MOVIMIENTOS_COMPLEMENTOS!$H$4:$H$803,G2665,MOVIMIENTOS_COMPLEMENTOS!$B$4:$B$803,"DE CORTE")-SUMIFS(MOVIMIENTOS_COMPLEMENTOS!$I$4:$I$803,MOVIMIENTOS_COMPLEMENTOS!$C$4:$C$803,A2665,MOVIMIENTOS_COMPLEMENTOS!$D$4:$D$803,B2665,MOVIMIENTOS_COMPLEMENTOS!$E$4:$E$803,C2665,MOVIMIENTOS_COMPLEMENTOS!$F$4:$F$803,D2665,MOVIMIENTOS_COMPLEMENTOS!$G$4:$G$803,E2665,MOVIMIENTOS_COMPLEMENTOS!$H$4:$H$803,G2665,MOVIMIENTOS_COMPLEMENTOS!$B$4:$B$803,"SALIDA"),0)</f>
        <v>0</v>
      </c>
      <c r="I2665" s="102">
        <f t="array" ref="I2665">IFERROR(INDEX(PRECIOS_COMPLEMENTOS!$C$4:$F$17,MATCH(B2665&amp;"_"&amp;C2665,PRECIOS_COMPLEMENTOS!$H$4:$H$17,0),IF(OR(G2665="S",G2665="20cm"),1,IF(OR(G2665="M",G2665="25cm"),2,IF(OR(G2665="L",G2665="30cm"),3,IF(OR(G2665="XL",G2665="35cm"),4,0))))),0)</f>
        <v>0.6</v>
      </c>
      <c r="J2665" s="103">
        <f t="shared" si="1"/>
        <v>0</v>
      </c>
      <c r="K2665" s="104" t="str">
        <f>IF(H2665&lt;0,"ERROR",IF(H2665=0,"",IF(H2665&lt;CONFIG!$B$4,"CRÍTICO",IF(H2665&lt;CONFIG!$B$5,"BAJO","OK"))))</f>
        <v/>
      </c>
    </row>
    <row r="2666" ht="15.75" hidden="1" customHeight="1">
      <c r="A2666" s="90" t="str">
        <f>IF(CLIENTES!A8="","",CLIENTES!A8)</f>
        <v/>
      </c>
      <c r="B2666" s="90" t="s">
        <v>331</v>
      </c>
      <c r="C2666" s="91" t="s">
        <v>328</v>
      </c>
      <c r="D2666" s="109" t="s">
        <v>366</v>
      </c>
      <c r="E2666" s="67" t="str">
        <f>COLORES!A9</f>
        <v>Melange</v>
      </c>
      <c r="F2666" s="67" t="str">
        <f>COLORES!B9</f>
        <v>MELANGE</v>
      </c>
      <c r="G2666" s="90" t="s">
        <v>377</v>
      </c>
      <c r="H2666" s="100">
        <f>IFERROR(SUMIFS(MOVIMIENTOS_COMPLEMENTOS!$I$4:$I$803,MOVIMIENTOS_COMPLEMENTOS!$C$4:$C$803,A2666,MOVIMIENTOS_COMPLEMENTOS!$D$4:$D$803,B2666,MOVIMIENTOS_COMPLEMENTOS!$E$4:$E$803,C2666,MOVIMIENTOS_COMPLEMENTOS!$F$4:$F$803,D2666,MOVIMIENTOS_COMPLEMENTOS!$G$4:$G$803,E2666,MOVIMIENTOS_COMPLEMENTOS!$H$4:$H$803,G2666,MOVIMIENTOS_COMPLEMENTOS!$B$4:$B$803,"INGRESO")+SUMIFS(MOVIMIENTOS_COMPLEMENTOS!$I$4:$I$803,MOVIMIENTOS_COMPLEMENTOS!$C$4:$C$803,A2666,MOVIMIENTOS_COMPLEMENTOS!$D$4:$D$803,B2666,MOVIMIENTOS_COMPLEMENTOS!$E$4:$E$803,C2666,MOVIMIENTOS_COMPLEMENTOS!$F$4:$F$803,D2666,MOVIMIENTOS_COMPLEMENTOS!$G$4:$G$803,E2666,MOVIMIENTOS_COMPLEMENTOS!$H$4:$H$803,G2666,MOVIMIENTOS_COMPLEMENTOS!$B$4:$B$803,"DE CORTE")-SUMIFS(MOVIMIENTOS_COMPLEMENTOS!$I$4:$I$803,MOVIMIENTOS_COMPLEMENTOS!$C$4:$C$803,A2666,MOVIMIENTOS_COMPLEMENTOS!$D$4:$D$803,B2666,MOVIMIENTOS_COMPLEMENTOS!$E$4:$E$803,C2666,MOVIMIENTOS_COMPLEMENTOS!$F$4:$F$803,D2666,MOVIMIENTOS_COMPLEMENTOS!$G$4:$G$803,E2666,MOVIMIENTOS_COMPLEMENTOS!$H$4:$H$803,G2666,MOVIMIENTOS_COMPLEMENTOS!$B$4:$B$803,"SALIDA"),0)</f>
        <v>0</v>
      </c>
      <c r="I2666" s="102">
        <f t="array" ref="I2666">IFERROR(INDEX(PRECIOS_COMPLEMENTOS!$C$4:$F$17,MATCH(B2666&amp;"_"&amp;C2666,PRECIOS_COMPLEMENTOS!$H$4:$H$17,0),IF(OR(G2666="S",G2666="20cm"),1,IF(OR(G2666="M",G2666="25cm"),2,IF(OR(G2666="L",G2666="30cm"),3,IF(OR(G2666="XL",G2666="35cm"),4,0))))),0)</f>
        <v>0.6</v>
      </c>
      <c r="J2666" s="103">
        <f t="shared" si="1"/>
        <v>0</v>
      </c>
      <c r="K2666" s="104" t="str">
        <f>IF(H2666&lt;0,"ERROR",IF(H2666=0,"",IF(H2666&lt;CONFIG!$B$4,"CRÍTICO",IF(H2666&lt;CONFIG!$B$5,"BAJO","OK"))))</f>
        <v/>
      </c>
    </row>
    <row r="2667" ht="15.75" hidden="1" customHeight="1">
      <c r="A2667" s="90" t="str">
        <f>IF(CLIENTES!A8="","",CLIENTES!A8)</f>
        <v/>
      </c>
      <c r="B2667" s="90" t="s">
        <v>331</v>
      </c>
      <c r="C2667" s="91" t="s">
        <v>328</v>
      </c>
      <c r="D2667" s="109" t="s">
        <v>366</v>
      </c>
      <c r="E2667" s="67" t="str">
        <f>COLORES!A9</f>
        <v>Melange</v>
      </c>
      <c r="F2667" s="67" t="str">
        <f>COLORES!B9</f>
        <v>MELANGE</v>
      </c>
      <c r="G2667" s="90" t="s">
        <v>379</v>
      </c>
      <c r="H2667" s="100">
        <f>IFERROR(SUMIFS(MOVIMIENTOS_COMPLEMENTOS!$I$4:$I$803,MOVIMIENTOS_COMPLEMENTOS!$C$4:$C$803,A2667,MOVIMIENTOS_COMPLEMENTOS!$D$4:$D$803,B2667,MOVIMIENTOS_COMPLEMENTOS!$E$4:$E$803,C2667,MOVIMIENTOS_COMPLEMENTOS!$F$4:$F$803,D2667,MOVIMIENTOS_COMPLEMENTOS!$G$4:$G$803,E2667,MOVIMIENTOS_COMPLEMENTOS!$H$4:$H$803,G2667,MOVIMIENTOS_COMPLEMENTOS!$B$4:$B$803,"INGRESO")+SUMIFS(MOVIMIENTOS_COMPLEMENTOS!$I$4:$I$803,MOVIMIENTOS_COMPLEMENTOS!$C$4:$C$803,A2667,MOVIMIENTOS_COMPLEMENTOS!$D$4:$D$803,B2667,MOVIMIENTOS_COMPLEMENTOS!$E$4:$E$803,C2667,MOVIMIENTOS_COMPLEMENTOS!$F$4:$F$803,D2667,MOVIMIENTOS_COMPLEMENTOS!$G$4:$G$803,E2667,MOVIMIENTOS_COMPLEMENTOS!$H$4:$H$803,G2667,MOVIMIENTOS_COMPLEMENTOS!$B$4:$B$803,"DE CORTE")-SUMIFS(MOVIMIENTOS_COMPLEMENTOS!$I$4:$I$803,MOVIMIENTOS_COMPLEMENTOS!$C$4:$C$803,A2667,MOVIMIENTOS_COMPLEMENTOS!$D$4:$D$803,B2667,MOVIMIENTOS_COMPLEMENTOS!$E$4:$E$803,C2667,MOVIMIENTOS_COMPLEMENTOS!$F$4:$F$803,D2667,MOVIMIENTOS_COMPLEMENTOS!$G$4:$G$803,E2667,MOVIMIENTOS_COMPLEMENTOS!$H$4:$H$803,G2667,MOVIMIENTOS_COMPLEMENTOS!$B$4:$B$803,"SALIDA"),0)</f>
        <v>0</v>
      </c>
      <c r="I2667" s="102">
        <f t="array" ref="I2667">IFERROR(INDEX(PRECIOS_COMPLEMENTOS!$C$4:$F$17,MATCH(B2667&amp;"_"&amp;C2667,PRECIOS_COMPLEMENTOS!$H$4:$H$17,0),IF(OR(G2667="S",G2667="20cm"),1,IF(OR(G2667="M",G2667="25cm"),2,IF(OR(G2667="L",G2667="30cm"),3,IF(OR(G2667="XL",G2667="35cm"),4,0))))),0)</f>
        <v>0.6</v>
      </c>
      <c r="J2667" s="103">
        <f t="shared" si="1"/>
        <v>0</v>
      </c>
      <c r="K2667" s="104" t="str">
        <f>IF(H2667&lt;0,"ERROR",IF(H2667=0,"",IF(H2667&lt;CONFIG!$B$4,"CRÍTICO",IF(H2667&lt;CONFIG!$B$5,"BAJO","OK"))))</f>
        <v/>
      </c>
    </row>
    <row r="2668" ht="15.75" hidden="1" customHeight="1">
      <c r="A2668" s="90" t="str">
        <f>IF(CLIENTES!A8="","",CLIENTES!A8)</f>
        <v/>
      </c>
      <c r="B2668" s="90" t="s">
        <v>331</v>
      </c>
      <c r="C2668" s="91" t="s">
        <v>328</v>
      </c>
      <c r="D2668" s="109" t="s">
        <v>366</v>
      </c>
      <c r="E2668" s="67" t="str">
        <f>COLORES!A10</f>
        <v>Botella</v>
      </c>
      <c r="F2668" s="67" t="str">
        <f>COLORES!B10</f>
        <v>OSCURO</v>
      </c>
      <c r="G2668" s="90" t="s">
        <v>378</v>
      </c>
      <c r="H2668" s="100">
        <f>IFERROR(SUMIFS(MOVIMIENTOS_COMPLEMENTOS!$I$4:$I$803,MOVIMIENTOS_COMPLEMENTOS!$C$4:$C$803,A2668,MOVIMIENTOS_COMPLEMENTOS!$D$4:$D$803,B2668,MOVIMIENTOS_COMPLEMENTOS!$E$4:$E$803,C2668,MOVIMIENTOS_COMPLEMENTOS!$F$4:$F$803,D2668,MOVIMIENTOS_COMPLEMENTOS!$G$4:$G$803,E2668,MOVIMIENTOS_COMPLEMENTOS!$H$4:$H$803,G2668,MOVIMIENTOS_COMPLEMENTOS!$B$4:$B$803,"INGRESO")+SUMIFS(MOVIMIENTOS_COMPLEMENTOS!$I$4:$I$803,MOVIMIENTOS_COMPLEMENTOS!$C$4:$C$803,A2668,MOVIMIENTOS_COMPLEMENTOS!$D$4:$D$803,B2668,MOVIMIENTOS_COMPLEMENTOS!$E$4:$E$803,C2668,MOVIMIENTOS_COMPLEMENTOS!$F$4:$F$803,D2668,MOVIMIENTOS_COMPLEMENTOS!$G$4:$G$803,E2668,MOVIMIENTOS_COMPLEMENTOS!$H$4:$H$803,G2668,MOVIMIENTOS_COMPLEMENTOS!$B$4:$B$803,"DE CORTE")-SUMIFS(MOVIMIENTOS_COMPLEMENTOS!$I$4:$I$803,MOVIMIENTOS_COMPLEMENTOS!$C$4:$C$803,A2668,MOVIMIENTOS_COMPLEMENTOS!$D$4:$D$803,B2668,MOVIMIENTOS_COMPLEMENTOS!$E$4:$E$803,C2668,MOVIMIENTOS_COMPLEMENTOS!$F$4:$F$803,D2668,MOVIMIENTOS_COMPLEMENTOS!$G$4:$G$803,E2668,MOVIMIENTOS_COMPLEMENTOS!$H$4:$H$803,G2668,MOVIMIENTOS_COMPLEMENTOS!$B$4:$B$803,"SALIDA"),0)</f>
        <v>0</v>
      </c>
      <c r="I2668" s="102">
        <f t="array" ref="I2668">IFERROR(INDEX(PRECIOS_COMPLEMENTOS!$C$4:$F$17,MATCH(B2668&amp;"_"&amp;C2668,PRECIOS_COMPLEMENTOS!$H$4:$H$17,0),IF(OR(G2668="S",G2668="20cm"),1,IF(OR(G2668="M",G2668="25cm"),2,IF(OR(G2668="L",G2668="30cm"),3,IF(OR(G2668="XL",G2668="35cm"),4,0))))),0)</f>
        <v>0.6</v>
      </c>
      <c r="J2668" s="103">
        <f t="shared" si="1"/>
        <v>0</v>
      </c>
      <c r="K2668" s="104" t="str">
        <f>IF(H2668&lt;0,"ERROR",IF(H2668=0,"",IF(H2668&lt;CONFIG!$B$4,"CRÍTICO",IF(H2668&lt;CONFIG!$B$5,"BAJO","OK"))))</f>
        <v/>
      </c>
    </row>
    <row r="2669" ht="15.75" hidden="1" customHeight="1">
      <c r="A2669" s="90" t="str">
        <f>IF(CLIENTES!A8="","",CLIENTES!A8)</f>
        <v/>
      </c>
      <c r="B2669" s="90" t="s">
        <v>331</v>
      </c>
      <c r="C2669" s="91" t="s">
        <v>328</v>
      </c>
      <c r="D2669" s="109" t="s">
        <v>366</v>
      </c>
      <c r="E2669" s="67" t="str">
        <f>COLORES!A10</f>
        <v>Botella</v>
      </c>
      <c r="F2669" s="67" t="str">
        <f>COLORES!B10</f>
        <v>OSCURO</v>
      </c>
      <c r="G2669" s="90" t="s">
        <v>376</v>
      </c>
      <c r="H2669" s="100">
        <f>IFERROR(SUMIFS(MOVIMIENTOS_COMPLEMENTOS!$I$4:$I$803,MOVIMIENTOS_COMPLEMENTOS!$C$4:$C$803,A2669,MOVIMIENTOS_COMPLEMENTOS!$D$4:$D$803,B2669,MOVIMIENTOS_COMPLEMENTOS!$E$4:$E$803,C2669,MOVIMIENTOS_COMPLEMENTOS!$F$4:$F$803,D2669,MOVIMIENTOS_COMPLEMENTOS!$G$4:$G$803,E2669,MOVIMIENTOS_COMPLEMENTOS!$H$4:$H$803,G2669,MOVIMIENTOS_COMPLEMENTOS!$B$4:$B$803,"INGRESO")+SUMIFS(MOVIMIENTOS_COMPLEMENTOS!$I$4:$I$803,MOVIMIENTOS_COMPLEMENTOS!$C$4:$C$803,A2669,MOVIMIENTOS_COMPLEMENTOS!$D$4:$D$803,B2669,MOVIMIENTOS_COMPLEMENTOS!$E$4:$E$803,C2669,MOVIMIENTOS_COMPLEMENTOS!$F$4:$F$803,D2669,MOVIMIENTOS_COMPLEMENTOS!$G$4:$G$803,E2669,MOVIMIENTOS_COMPLEMENTOS!$H$4:$H$803,G2669,MOVIMIENTOS_COMPLEMENTOS!$B$4:$B$803,"DE CORTE")-SUMIFS(MOVIMIENTOS_COMPLEMENTOS!$I$4:$I$803,MOVIMIENTOS_COMPLEMENTOS!$C$4:$C$803,A2669,MOVIMIENTOS_COMPLEMENTOS!$D$4:$D$803,B2669,MOVIMIENTOS_COMPLEMENTOS!$E$4:$E$803,C2669,MOVIMIENTOS_COMPLEMENTOS!$F$4:$F$803,D2669,MOVIMIENTOS_COMPLEMENTOS!$G$4:$G$803,E2669,MOVIMIENTOS_COMPLEMENTOS!$H$4:$H$803,G2669,MOVIMIENTOS_COMPLEMENTOS!$B$4:$B$803,"SALIDA"),0)</f>
        <v>0</v>
      </c>
      <c r="I2669" s="102">
        <f t="array" ref="I2669">IFERROR(INDEX(PRECIOS_COMPLEMENTOS!$C$4:$F$17,MATCH(B2669&amp;"_"&amp;C2669,PRECIOS_COMPLEMENTOS!$H$4:$H$17,0),IF(OR(G2669="S",G2669="20cm"),1,IF(OR(G2669="M",G2669="25cm"),2,IF(OR(G2669="L",G2669="30cm"),3,IF(OR(G2669="XL",G2669="35cm"),4,0))))),0)</f>
        <v>0.6</v>
      </c>
      <c r="J2669" s="103">
        <f t="shared" si="1"/>
        <v>0</v>
      </c>
      <c r="K2669" s="104" t="str">
        <f>IF(H2669&lt;0,"ERROR",IF(H2669=0,"",IF(H2669&lt;CONFIG!$B$4,"CRÍTICO",IF(H2669&lt;CONFIG!$B$5,"BAJO","OK"))))</f>
        <v/>
      </c>
    </row>
    <row r="2670" ht="15.75" hidden="1" customHeight="1">
      <c r="A2670" s="90" t="str">
        <f>IF(CLIENTES!A8="","",CLIENTES!A8)</f>
        <v/>
      </c>
      <c r="B2670" s="90" t="s">
        <v>331</v>
      </c>
      <c r="C2670" s="91" t="s">
        <v>328</v>
      </c>
      <c r="D2670" s="109" t="s">
        <v>366</v>
      </c>
      <c r="E2670" s="67" t="str">
        <f>COLORES!A10</f>
        <v>Botella</v>
      </c>
      <c r="F2670" s="67" t="str">
        <f>COLORES!B10</f>
        <v>OSCURO</v>
      </c>
      <c r="G2670" s="90" t="s">
        <v>377</v>
      </c>
      <c r="H2670" s="100">
        <f>IFERROR(SUMIFS(MOVIMIENTOS_COMPLEMENTOS!$I$4:$I$803,MOVIMIENTOS_COMPLEMENTOS!$C$4:$C$803,A2670,MOVIMIENTOS_COMPLEMENTOS!$D$4:$D$803,B2670,MOVIMIENTOS_COMPLEMENTOS!$E$4:$E$803,C2670,MOVIMIENTOS_COMPLEMENTOS!$F$4:$F$803,D2670,MOVIMIENTOS_COMPLEMENTOS!$G$4:$G$803,E2670,MOVIMIENTOS_COMPLEMENTOS!$H$4:$H$803,G2670,MOVIMIENTOS_COMPLEMENTOS!$B$4:$B$803,"INGRESO")+SUMIFS(MOVIMIENTOS_COMPLEMENTOS!$I$4:$I$803,MOVIMIENTOS_COMPLEMENTOS!$C$4:$C$803,A2670,MOVIMIENTOS_COMPLEMENTOS!$D$4:$D$803,B2670,MOVIMIENTOS_COMPLEMENTOS!$E$4:$E$803,C2670,MOVIMIENTOS_COMPLEMENTOS!$F$4:$F$803,D2670,MOVIMIENTOS_COMPLEMENTOS!$G$4:$G$803,E2670,MOVIMIENTOS_COMPLEMENTOS!$H$4:$H$803,G2670,MOVIMIENTOS_COMPLEMENTOS!$B$4:$B$803,"DE CORTE")-SUMIFS(MOVIMIENTOS_COMPLEMENTOS!$I$4:$I$803,MOVIMIENTOS_COMPLEMENTOS!$C$4:$C$803,A2670,MOVIMIENTOS_COMPLEMENTOS!$D$4:$D$803,B2670,MOVIMIENTOS_COMPLEMENTOS!$E$4:$E$803,C2670,MOVIMIENTOS_COMPLEMENTOS!$F$4:$F$803,D2670,MOVIMIENTOS_COMPLEMENTOS!$G$4:$G$803,E2670,MOVIMIENTOS_COMPLEMENTOS!$H$4:$H$803,G2670,MOVIMIENTOS_COMPLEMENTOS!$B$4:$B$803,"SALIDA"),0)</f>
        <v>0</v>
      </c>
      <c r="I2670" s="102">
        <f t="array" ref="I2670">IFERROR(INDEX(PRECIOS_COMPLEMENTOS!$C$4:$F$17,MATCH(B2670&amp;"_"&amp;C2670,PRECIOS_COMPLEMENTOS!$H$4:$H$17,0),IF(OR(G2670="S",G2670="20cm"),1,IF(OR(G2670="M",G2670="25cm"),2,IF(OR(G2670="L",G2670="30cm"),3,IF(OR(G2670="XL",G2670="35cm"),4,0))))),0)</f>
        <v>0.6</v>
      </c>
      <c r="J2670" s="103">
        <f t="shared" si="1"/>
        <v>0</v>
      </c>
      <c r="K2670" s="104" t="str">
        <f>IF(H2670&lt;0,"ERROR",IF(H2670=0,"",IF(H2670&lt;CONFIG!$B$4,"CRÍTICO",IF(H2670&lt;CONFIG!$B$5,"BAJO","OK"))))</f>
        <v/>
      </c>
    </row>
    <row r="2671" ht="15.75" hidden="1" customHeight="1">
      <c r="A2671" s="90" t="str">
        <f>IF(CLIENTES!A8="","",CLIENTES!A8)</f>
        <v/>
      </c>
      <c r="B2671" s="90" t="s">
        <v>331</v>
      </c>
      <c r="C2671" s="91" t="s">
        <v>328</v>
      </c>
      <c r="D2671" s="109" t="s">
        <v>366</v>
      </c>
      <c r="E2671" s="67" t="str">
        <f>COLORES!A10</f>
        <v>Botella</v>
      </c>
      <c r="F2671" s="67" t="str">
        <f>COLORES!B10</f>
        <v>OSCURO</v>
      </c>
      <c r="G2671" s="90" t="s">
        <v>379</v>
      </c>
      <c r="H2671" s="100">
        <f>IFERROR(SUMIFS(MOVIMIENTOS_COMPLEMENTOS!$I$4:$I$803,MOVIMIENTOS_COMPLEMENTOS!$C$4:$C$803,A2671,MOVIMIENTOS_COMPLEMENTOS!$D$4:$D$803,B2671,MOVIMIENTOS_COMPLEMENTOS!$E$4:$E$803,C2671,MOVIMIENTOS_COMPLEMENTOS!$F$4:$F$803,D2671,MOVIMIENTOS_COMPLEMENTOS!$G$4:$G$803,E2671,MOVIMIENTOS_COMPLEMENTOS!$H$4:$H$803,G2671,MOVIMIENTOS_COMPLEMENTOS!$B$4:$B$803,"INGRESO")+SUMIFS(MOVIMIENTOS_COMPLEMENTOS!$I$4:$I$803,MOVIMIENTOS_COMPLEMENTOS!$C$4:$C$803,A2671,MOVIMIENTOS_COMPLEMENTOS!$D$4:$D$803,B2671,MOVIMIENTOS_COMPLEMENTOS!$E$4:$E$803,C2671,MOVIMIENTOS_COMPLEMENTOS!$F$4:$F$803,D2671,MOVIMIENTOS_COMPLEMENTOS!$G$4:$G$803,E2671,MOVIMIENTOS_COMPLEMENTOS!$H$4:$H$803,G2671,MOVIMIENTOS_COMPLEMENTOS!$B$4:$B$803,"DE CORTE")-SUMIFS(MOVIMIENTOS_COMPLEMENTOS!$I$4:$I$803,MOVIMIENTOS_COMPLEMENTOS!$C$4:$C$803,A2671,MOVIMIENTOS_COMPLEMENTOS!$D$4:$D$803,B2671,MOVIMIENTOS_COMPLEMENTOS!$E$4:$E$803,C2671,MOVIMIENTOS_COMPLEMENTOS!$F$4:$F$803,D2671,MOVIMIENTOS_COMPLEMENTOS!$G$4:$G$803,E2671,MOVIMIENTOS_COMPLEMENTOS!$H$4:$H$803,G2671,MOVIMIENTOS_COMPLEMENTOS!$B$4:$B$803,"SALIDA"),0)</f>
        <v>0</v>
      </c>
      <c r="I2671" s="102">
        <f t="array" ref="I2671">IFERROR(INDEX(PRECIOS_COMPLEMENTOS!$C$4:$F$17,MATCH(B2671&amp;"_"&amp;C2671,PRECIOS_COMPLEMENTOS!$H$4:$H$17,0),IF(OR(G2671="S",G2671="20cm"),1,IF(OR(G2671="M",G2671="25cm"),2,IF(OR(G2671="L",G2671="30cm"),3,IF(OR(G2671="XL",G2671="35cm"),4,0))))),0)</f>
        <v>0.6</v>
      </c>
      <c r="J2671" s="103">
        <f t="shared" si="1"/>
        <v>0</v>
      </c>
      <c r="K2671" s="104" t="str">
        <f>IF(H2671&lt;0,"ERROR",IF(H2671=0,"",IF(H2671&lt;CONFIG!$B$4,"CRÍTICO",IF(H2671&lt;CONFIG!$B$5,"BAJO","OK"))))</f>
        <v/>
      </c>
    </row>
    <row r="2672" ht="15.75" hidden="1" customHeight="1">
      <c r="A2672" s="90" t="str">
        <f>IF(CLIENTES!A8="","",CLIENTES!A8)</f>
        <v/>
      </c>
      <c r="B2672" s="90" t="s">
        <v>331</v>
      </c>
      <c r="C2672" s="91" t="s">
        <v>328</v>
      </c>
      <c r="D2672" s="109" t="s">
        <v>366</v>
      </c>
      <c r="E2672" s="67" t="str">
        <f>COLORES!A11</f>
        <v>Pacay</v>
      </c>
      <c r="F2672" s="67" t="str">
        <f>COLORES!B11</f>
        <v>CLARO</v>
      </c>
      <c r="G2672" s="90" t="s">
        <v>378</v>
      </c>
      <c r="H2672" s="100">
        <f>IFERROR(SUMIFS(MOVIMIENTOS_COMPLEMENTOS!$I$4:$I$803,MOVIMIENTOS_COMPLEMENTOS!$C$4:$C$803,A2672,MOVIMIENTOS_COMPLEMENTOS!$D$4:$D$803,B2672,MOVIMIENTOS_COMPLEMENTOS!$E$4:$E$803,C2672,MOVIMIENTOS_COMPLEMENTOS!$F$4:$F$803,D2672,MOVIMIENTOS_COMPLEMENTOS!$G$4:$G$803,E2672,MOVIMIENTOS_COMPLEMENTOS!$H$4:$H$803,G2672,MOVIMIENTOS_COMPLEMENTOS!$B$4:$B$803,"INGRESO")+SUMIFS(MOVIMIENTOS_COMPLEMENTOS!$I$4:$I$803,MOVIMIENTOS_COMPLEMENTOS!$C$4:$C$803,A2672,MOVIMIENTOS_COMPLEMENTOS!$D$4:$D$803,B2672,MOVIMIENTOS_COMPLEMENTOS!$E$4:$E$803,C2672,MOVIMIENTOS_COMPLEMENTOS!$F$4:$F$803,D2672,MOVIMIENTOS_COMPLEMENTOS!$G$4:$G$803,E2672,MOVIMIENTOS_COMPLEMENTOS!$H$4:$H$803,G2672,MOVIMIENTOS_COMPLEMENTOS!$B$4:$B$803,"DE CORTE")-SUMIFS(MOVIMIENTOS_COMPLEMENTOS!$I$4:$I$803,MOVIMIENTOS_COMPLEMENTOS!$C$4:$C$803,A2672,MOVIMIENTOS_COMPLEMENTOS!$D$4:$D$803,B2672,MOVIMIENTOS_COMPLEMENTOS!$E$4:$E$803,C2672,MOVIMIENTOS_COMPLEMENTOS!$F$4:$F$803,D2672,MOVIMIENTOS_COMPLEMENTOS!$G$4:$G$803,E2672,MOVIMIENTOS_COMPLEMENTOS!$H$4:$H$803,G2672,MOVIMIENTOS_COMPLEMENTOS!$B$4:$B$803,"SALIDA"),0)</f>
        <v>0</v>
      </c>
      <c r="I2672" s="102">
        <f t="array" ref="I2672">IFERROR(INDEX(PRECIOS_COMPLEMENTOS!$C$4:$F$17,MATCH(B2672&amp;"_"&amp;C2672,PRECIOS_COMPLEMENTOS!$H$4:$H$17,0),IF(OR(G2672="S",G2672="20cm"),1,IF(OR(G2672="M",G2672="25cm"),2,IF(OR(G2672="L",G2672="30cm"),3,IF(OR(G2672="XL",G2672="35cm"),4,0))))),0)</f>
        <v>0.6</v>
      </c>
      <c r="J2672" s="103">
        <f t="shared" si="1"/>
        <v>0</v>
      </c>
      <c r="K2672" s="104" t="str">
        <f>IF(H2672&lt;0,"ERROR",IF(H2672=0,"",IF(H2672&lt;CONFIG!$B$4,"CRÍTICO",IF(H2672&lt;CONFIG!$B$5,"BAJO","OK"))))</f>
        <v/>
      </c>
    </row>
    <row r="2673" ht="15.75" hidden="1" customHeight="1">
      <c r="A2673" s="90" t="str">
        <f>IF(CLIENTES!A8="","",CLIENTES!A8)</f>
        <v/>
      </c>
      <c r="B2673" s="90" t="s">
        <v>331</v>
      </c>
      <c r="C2673" s="91" t="s">
        <v>328</v>
      </c>
      <c r="D2673" s="109" t="s">
        <v>366</v>
      </c>
      <c r="E2673" s="67" t="str">
        <f>COLORES!A11</f>
        <v>Pacay</v>
      </c>
      <c r="F2673" s="67" t="str">
        <f>COLORES!B11</f>
        <v>CLARO</v>
      </c>
      <c r="G2673" s="90" t="s">
        <v>376</v>
      </c>
      <c r="H2673" s="100">
        <f>IFERROR(SUMIFS(MOVIMIENTOS_COMPLEMENTOS!$I$4:$I$803,MOVIMIENTOS_COMPLEMENTOS!$C$4:$C$803,A2673,MOVIMIENTOS_COMPLEMENTOS!$D$4:$D$803,B2673,MOVIMIENTOS_COMPLEMENTOS!$E$4:$E$803,C2673,MOVIMIENTOS_COMPLEMENTOS!$F$4:$F$803,D2673,MOVIMIENTOS_COMPLEMENTOS!$G$4:$G$803,E2673,MOVIMIENTOS_COMPLEMENTOS!$H$4:$H$803,G2673,MOVIMIENTOS_COMPLEMENTOS!$B$4:$B$803,"INGRESO")+SUMIFS(MOVIMIENTOS_COMPLEMENTOS!$I$4:$I$803,MOVIMIENTOS_COMPLEMENTOS!$C$4:$C$803,A2673,MOVIMIENTOS_COMPLEMENTOS!$D$4:$D$803,B2673,MOVIMIENTOS_COMPLEMENTOS!$E$4:$E$803,C2673,MOVIMIENTOS_COMPLEMENTOS!$F$4:$F$803,D2673,MOVIMIENTOS_COMPLEMENTOS!$G$4:$G$803,E2673,MOVIMIENTOS_COMPLEMENTOS!$H$4:$H$803,G2673,MOVIMIENTOS_COMPLEMENTOS!$B$4:$B$803,"DE CORTE")-SUMIFS(MOVIMIENTOS_COMPLEMENTOS!$I$4:$I$803,MOVIMIENTOS_COMPLEMENTOS!$C$4:$C$803,A2673,MOVIMIENTOS_COMPLEMENTOS!$D$4:$D$803,B2673,MOVIMIENTOS_COMPLEMENTOS!$E$4:$E$803,C2673,MOVIMIENTOS_COMPLEMENTOS!$F$4:$F$803,D2673,MOVIMIENTOS_COMPLEMENTOS!$G$4:$G$803,E2673,MOVIMIENTOS_COMPLEMENTOS!$H$4:$H$803,G2673,MOVIMIENTOS_COMPLEMENTOS!$B$4:$B$803,"SALIDA"),0)</f>
        <v>0</v>
      </c>
      <c r="I2673" s="102">
        <f t="array" ref="I2673">IFERROR(INDEX(PRECIOS_COMPLEMENTOS!$C$4:$F$17,MATCH(B2673&amp;"_"&amp;C2673,PRECIOS_COMPLEMENTOS!$H$4:$H$17,0),IF(OR(G2673="S",G2673="20cm"),1,IF(OR(G2673="M",G2673="25cm"),2,IF(OR(G2673="L",G2673="30cm"),3,IF(OR(G2673="XL",G2673="35cm"),4,0))))),0)</f>
        <v>0.6</v>
      </c>
      <c r="J2673" s="103">
        <f t="shared" si="1"/>
        <v>0</v>
      </c>
      <c r="K2673" s="104" t="str">
        <f>IF(H2673&lt;0,"ERROR",IF(H2673=0,"",IF(H2673&lt;CONFIG!$B$4,"CRÍTICO",IF(H2673&lt;CONFIG!$B$5,"BAJO","OK"))))</f>
        <v/>
      </c>
    </row>
    <row r="2674" ht="15.75" hidden="1" customHeight="1">
      <c r="A2674" s="90" t="str">
        <f>IF(CLIENTES!A8="","",CLIENTES!A8)</f>
        <v/>
      </c>
      <c r="B2674" s="90" t="s">
        <v>331</v>
      </c>
      <c r="C2674" s="91" t="s">
        <v>328</v>
      </c>
      <c r="D2674" s="109" t="s">
        <v>366</v>
      </c>
      <c r="E2674" s="67" t="str">
        <f>COLORES!A11</f>
        <v>Pacay</v>
      </c>
      <c r="F2674" s="67" t="str">
        <f>COLORES!B11</f>
        <v>CLARO</v>
      </c>
      <c r="G2674" s="90" t="s">
        <v>377</v>
      </c>
      <c r="H2674" s="100">
        <f>IFERROR(SUMIFS(MOVIMIENTOS_COMPLEMENTOS!$I$4:$I$803,MOVIMIENTOS_COMPLEMENTOS!$C$4:$C$803,A2674,MOVIMIENTOS_COMPLEMENTOS!$D$4:$D$803,B2674,MOVIMIENTOS_COMPLEMENTOS!$E$4:$E$803,C2674,MOVIMIENTOS_COMPLEMENTOS!$F$4:$F$803,D2674,MOVIMIENTOS_COMPLEMENTOS!$G$4:$G$803,E2674,MOVIMIENTOS_COMPLEMENTOS!$H$4:$H$803,G2674,MOVIMIENTOS_COMPLEMENTOS!$B$4:$B$803,"INGRESO")+SUMIFS(MOVIMIENTOS_COMPLEMENTOS!$I$4:$I$803,MOVIMIENTOS_COMPLEMENTOS!$C$4:$C$803,A2674,MOVIMIENTOS_COMPLEMENTOS!$D$4:$D$803,B2674,MOVIMIENTOS_COMPLEMENTOS!$E$4:$E$803,C2674,MOVIMIENTOS_COMPLEMENTOS!$F$4:$F$803,D2674,MOVIMIENTOS_COMPLEMENTOS!$G$4:$G$803,E2674,MOVIMIENTOS_COMPLEMENTOS!$H$4:$H$803,G2674,MOVIMIENTOS_COMPLEMENTOS!$B$4:$B$803,"DE CORTE")-SUMIFS(MOVIMIENTOS_COMPLEMENTOS!$I$4:$I$803,MOVIMIENTOS_COMPLEMENTOS!$C$4:$C$803,A2674,MOVIMIENTOS_COMPLEMENTOS!$D$4:$D$803,B2674,MOVIMIENTOS_COMPLEMENTOS!$E$4:$E$803,C2674,MOVIMIENTOS_COMPLEMENTOS!$F$4:$F$803,D2674,MOVIMIENTOS_COMPLEMENTOS!$G$4:$G$803,E2674,MOVIMIENTOS_COMPLEMENTOS!$H$4:$H$803,G2674,MOVIMIENTOS_COMPLEMENTOS!$B$4:$B$803,"SALIDA"),0)</f>
        <v>0</v>
      </c>
      <c r="I2674" s="102">
        <f t="array" ref="I2674">IFERROR(INDEX(PRECIOS_COMPLEMENTOS!$C$4:$F$17,MATCH(B2674&amp;"_"&amp;C2674,PRECIOS_COMPLEMENTOS!$H$4:$H$17,0),IF(OR(G2674="S",G2674="20cm"),1,IF(OR(G2674="M",G2674="25cm"),2,IF(OR(G2674="L",G2674="30cm"),3,IF(OR(G2674="XL",G2674="35cm"),4,0))))),0)</f>
        <v>0.6</v>
      </c>
      <c r="J2674" s="103">
        <f t="shared" si="1"/>
        <v>0</v>
      </c>
      <c r="K2674" s="104" t="str">
        <f>IF(H2674&lt;0,"ERROR",IF(H2674=0,"",IF(H2674&lt;CONFIG!$B$4,"CRÍTICO",IF(H2674&lt;CONFIG!$B$5,"BAJO","OK"))))</f>
        <v/>
      </c>
    </row>
    <row r="2675" ht="15.75" hidden="1" customHeight="1">
      <c r="A2675" s="90" t="str">
        <f>IF(CLIENTES!A8="","",CLIENTES!A8)</f>
        <v/>
      </c>
      <c r="B2675" s="90" t="s">
        <v>331</v>
      </c>
      <c r="C2675" s="91" t="s">
        <v>328</v>
      </c>
      <c r="D2675" s="109" t="s">
        <v>366</v>
      </c>
      <c r="E2675" s="67" t="str">
        <f>COLORES!A11</f>
        <v>Pacay</v>
      </c>
      <c r="F2675" s="67" t="str">
        <f>COLORES!B11</f>
        <v>CLARO</v>
      </c>
      <c r="G2675" s="90" t="s">
        <v>379</v>
      </c>
      <c r="H2675" s="100">
        <f>IFERROR(SUMIFS(MOVIMIENTOS_COMPLEMENTOS!$I$4:$I$803,MOVIMIENTOS_COMPLEMENTOS!$C$4:$C$803,A2675,MOVIMIENTOS_COMPLEMENTOS!$D$4:$D$803,B2675,MOVIMIENTOS_COMPLEMENTOS!$E$4:$E$803,C2675,MOVIMIENTOS_COMPLEMENTOS!$F$4:$F$803,D2675,MOVIMIENTOS_COMPLEMENTOS!$G$4:$G$803,E2675,MOVIMIENTOS_COMPLEMENTOS!$H$4:$H$803,G2675,MOVIMIENTOS_COMPLEMENTOS!$B$4:$B$803,"INGRESO")+SUMIFS(MOVIMIENTOS_COMPLEMENTOS!$I$4:$I$803,MOVIMIENTOS_COMPLEMENTOS!$C$4:$C$803,A2675,MOVIMIENTOS_COMPLEMENTOS!$D$4:$D$803,B2675,MOVIMIENTOS_COMPLEMENTOS!$E$4:$E$803,C2675,MOVIMIENTOS_COMPLEMENTOS!$F$4:$F$803,D2675,MOVIMIENTOS_COMPLEMENTOS!$G$4:$G$803,E2675,MOVIMIENTOS_COMPLEMENTOS!$H$4:$H$803,G2675,MOVIMIENTOS_COMPLEMENTOS!$B$4:$B$803,"DE CORTE")-SUMIFS(MOVIMIENTOS_COMPLEMENTOS!$I$4:$I$803,MOVIMIENTOS_COMPLEMENTOS!$C$4:$C$803,A2675,MOVIMIENTOS_COMPLEMENTOS!$D$4:$D$803,B2675,MOVIMIENTOS_COMPLEMENTOS!$E$4:$E$803,C2675,MOVIMIENTOS_COMPLEMENTOS!$F$4:$F$803,D2675,MOVIMIENTOS_COMPLEMENTOS!$G$4:$G$803,E2675,MOVIMIENTOS_COMPLEMENTOS!$H$4:$H$803,G2675,MOVIMIENTOS_COMPLEMENTOS!$B$4:$B$803,"SALIDA"),0)</f>
        <v>0</v>
      </c>
      <c r="I2675" s="102">
        <f t="array" ref="I2675">IFERROR(INDEX(PRECIOS_COMPLEMENTOS!$C$4:$F$17,MATCH(B2675&amp;"_"&amp;C2675,PRECIOS_COMPLEMENTOS!$H$4:$H$17,0),IF(OR(G2675="S",G2675="20cm"),1,IF(OR(G2675="M",G2675="25cm"),2,IF(OR(G2675="L",G2675="30cm"),3,IF(OR(G2675="XL",G2675="35cm"),4,0))))),0)</f>
        <v>0.6</v>
      </c>
      <c r="J2675" s="103">
        <f t="shared" si="1"/>
        <v>0</v>
      </c>
      <c r="K2675" s="104" t="str">
        <f>IF(H2675&lt;0,"ERROR",IF(H2675=0,"",IF(H2675&lt;CONFIG!$B$4,"CRÍTICO",IF(H2675&lt;CONFIG!$B$5,"BAJO","OK"))))</f>
        <v/>
      </c>
    </row>
    <row r="2676" ht="15.75" hidden="1" customHeight="1">
      <c r="A2676" s="90" t="str">
        <f>IF(CLIENTES!A8="","",CLIENTES!A8)</f>
        <v/>
      </c>
      <c r="B2676" s="90" t="s">
        <v>331</v>
      </c>
      <c r="C2676" s="91" t="s">
        <v>328</v>
      </c>
      <c r="D2676" s="109" t="s">
        <v>366</v>
      </c>
      <c r="E2676" s="67" t="str">
        <f>COLORES!A12</f>
        <v>Cemento</v>
      </c>
      <c r="F2676" s="67" t="str">
        <f>COLORES!B12</f>
        <v>CLARO</v>
      </c>
      <c r="G2676" s="90" t="s">
        <v>378</v>
      </c>
      <c r="H2676" s="100">
        <f>IFERROR(SUMIFS(MOVIMIENTOS_COMPLEMENTOS!$I$4:$I$803,MOVIMIENTOS_COMPLEMENTOS!$C$4:$C$803,A2676,MOVIMIENTOS_COMPLEMENTOS!$D$4:$D$803,B2676,MOVIMIENTOS_COMPLEMENTOS!$E$4:$E$803,C2676,MOVIMIENTOS_COMPLEMENTOS!$F$4:$F$803,D2676,MOVIMIENTOS_COMPLEMENTOS!$G$4:$G$803,E2676,MOVIMIENTOS_COMPLEMENTOS!$H$4:$H$803,G2676,MOVIMIENTOS_COMPLEMENTOS!$B$4:$B$803,"INGRESO")+SUMIFS(MOVIMIENTOS_COMPLEMENTOS!$I$4:$I$803,MOVIMIENTOS_COMPLEMENTOS!$C$4:$C$803,A2676,MOVIMIENTOS_COMPLEMENTOS!$D$4:$D$803,B2676,MOVIMIENTOS_COMPLEMENTOS!$E$4:$E$803,C2676,MOVIMIENTOS_COMPLEMENTOS!$F$4:$F$803,D2676,MOVIMIENTOS_COMPLEMENTOS!$G$4:$G$803,E2676,MOVIMIENTOS_COMPLEMENTOS!$H$4:$H$803,G2676,MOVIMIENTOS_COMPLEMENTOS!$B$4:$B$803,"DE CORTE")-SUMIFS(MOVIMIENTOS_COMPLEMENTOS!$I$4:$I$803,MOVIMIENTOS_COMPLEMENTOS!$C$4:$C$803,A2676,MOVIMIENTOS_COMPLEMENTOS!$D$4:$D$803,B2676,MOVIMIENTOS_COMPLEMENTOS!$E$4:$E$803,C2676,MOVIMIENTOS_COMPLEMENTOS!$F$4:$F$803,D2676,MOVIMIENTOS_COMPLEMENTOS!$G$4:$G$803,E2676,MOVIMIENTOS_COMPLEMENTOS!$H$4:$H$803,G2676,MOVIMIENTOS_COMPLEMENTOS!$B$4:$B$803,"SALIDA"),0)</f>
        <v>0</v>
      </c>
      <c r="I2676" s="102">
        <f t="array" ref="I2676">IFERROR(INDEX(PRECIOS_COMPLEMENTOS!$C$4:$F$17,MATCH(B2676&amp;"_"&amp;C2676,PRECIOS_COMPLEMENTOS!$H$4:$H$17,0),IF(OR(G2676="S",G2676="20cm"),1,IF(OR(G2676="M",G2676="25cm"),2,IF(OR(G2676="L",G2676="30cm"),3,IF(OR(G2676="XL",G2676="35cm"),4,0))))),0)</f>
        <v>0.6</v>
      </c>
      <c r="J2676" s="103">
        <f t="shared" si="1"/>
        <v>0</v>
      </c>
      <c r="K2676" s="104" t="str">
        <f>IF(H2676&lt;0,"ERROR",IF(H2676=0,"",IF(H2676&lt;CONFIG!$B$4,"CRÍTICO",IF(H2676&lt;CONFIG!$B$5,"BAJO","OK"))))</f>
        <v/>
      </c>
    </row>
    <row r="2677" ht="15.75" hidden="1" customHeight="1">
      <c r="A2677" s="90" t="str">
        <f>IF(CLIENTES!A8="","",CLIENTES!A8)</f>
        <v/>
      </c>
      <c r="B2677" s="90" t="s">
        <v>331</v>
      </c>
      <c r="C2677" s="91" t="s">
        <v>328</v>
      </c>
      <c r="D2677" s="109" t="s">
        <v>366</v>
      </c>
      <c r="E2677" s="67" t="str">
        <f>COLORES!A12</f>
        <v>Cemento</v>
      </c>
      <c r="F2677" s="67" t="str">
        <f>COLORES!B12</f>
        <v>CLARO</v>
      </c>
      <c r="G2677" s="90" t="s">
        <v>376</v>
      </c>
      <c r="H2677" s="100">
        <f>IFERROR(SUMIFS(MOVIMIENTOS_COMPLEMENTOS!$I$4:$I$803,MOVIMIENTOS_COMPLEMENTOS!$C$4:$C$803,A2677,MOVIMIENTOS_COMPLEMENTOS!$D$4:$D$803,B2677,MOVIMIENTOS_COMPLEMENTOS!$E$4:$E$803,C2677,MOVIMIENTOS_COMPLEMENTOS!$F$4:$F$803,D2677,MOVIMIENTOS_COMPLEMENTOS!$G$4:$G$803,E2677,MOVIMIENTOS_COMPLEMENTOS!$H$4:$H$803,G2677,MOVIMIENTOS_COMPLEMENTOS!$B$4:$B$803,"INGRESO")+SUMIFS(MOVIMIENTOS_COMPLEMENTOS!$I$4:$I$803,MOVIMIENTOS_COMPLEMENTOS!$C$4:$C$803,A2677,MOVIMIENTOS_COMPLEMENTOS!$D$4:$D$803,B2677,MOVIMIENTOS_COMPLEMENTOS!$E$4:$E$803,C2677,MOVIMIENTOS_COMPLEMENTOS!$F$4:$F$803,D2677,MOVIMIENTOS_COMPLEMENTOS!$G$4:$G$803,E2677,MOVIMIENTOS_COMPLEMENTOS!$H$4:$H$803,G2677,MOVIMIENTOS_COMPLEMENTOS!$B$4:$B$803,"DE CORTE")-SUMIFS(MOVIMIENTOS_COMPLEMENTOS!$I$4:$I$803,MOVIMIENTOS_COMPLEMENTOS!$C$4:$C$803,A2677,MOVIMIENTOS_COMPLEMENTOS!$D$4:$D$803,B2677,MOVIMIENTOS_COMPLEMENTOS!$E$4:$E$803,C2677,MOVIMIENTOS_COMPLEMENTOS!$F$4:$F$803,D2677,MOVIMIENTOS_COMPLEMENTOS!$G$4:$G$803,E2677,MOVIMIENTOS_COMPLEMENTOS!$H$4:$H$803,G2677,MOVIMIENTOS_COMPLEMENTOS!$B$4:$B$803,"SALIDA"),0)</f>
        <v>0</v>
      </c>
      <c r="I2677" s="102">
        <f t="array" ref="I2677">IFERROR(INDEX(PRECIOS_COMPLEMENTOS!$C$4:$F$17,MATCH(B2677&amp;"_"&amp;C2677,PRECIOS_COMPLEMENTOS!$H$4:$H$17,0),IF(OR(G2677="S",G2677="20cm"),1,IF(OR(G2677="M",G2677="25cm"),2,IF(OR(G2677="L",G2677="30cm"),3,IF(OR(G2677="XL",G2677="35cm"),4,0))))),0)</f>
        <v>0.6</v>
      </c>
      <c r="J2677" s="103">
        <f t="shared" si="1"/>
        <v>0</v>
      </c>
      <c r="K2677" s="104" t="str">
        <f>IF(H2677&lt;0,"ERROR",IF(H2677=0,"",IF(H2677&lt;CONFIG!$B$4,"CRÍTICO",IF(H2677&lt;CONFIG!$B$5,"BAJO","OK"))))</f>
        <v/>
      </c>
    </row>
    <row r="2678" ht="15.75" hidden="1" customHeight="1">
      <c r="A2678" s="90" t="str">
        <f>IF(CLIENTES!A8="","",CLIENTES!A8)</f>
        <v/>
      </c>
      <c r="B2678" s="90" t="s">
        <v>331</v>
      </c>
      <c r="C2678" s="91" t="s">
        <v>328</v>
      </c>
      <c r="D2678" s="109" t="s">
        <v>366</v>
      </c>
      <c r="E2678" s="67" t="str">
        <f>COLORES!A12</f>
        <v>Cemento</v>
      </c>
      <c r="F2678" s="67" t="str">
        <f>COLORES!B12</f>
        <v>CLARO</v>
      </c>
      <c r="G2678" s="90" t="s">
        <v>377</v>
      </c>
      <c r="H2678" s="100">
        <f>IFERROR(SUMIFS(MOVIMIENTOS_COMPLEMENTOS!$I$4:$I$803,MOVIMIENTOS_COMPLEMENTOS!$C$4:$C$803,A2678,MOVIMIENTOS_COMPLEMENTOS!$D$4:$D$803,B2678,MOVIMIENTOS_COMPLEMENTOS!$E$4:$E$803,C2678,MOVIMIENTOS_COMPLEMENTOS!$F$4:$F$803,D2678,MOVIMIENTOS_COMPLEMENTOS!$G$4:$G$803,E2678,MOVIMIENTOS_COMPLEMENTOS!$H$4:$H$803,G2678,MOVIMIENTOS_COMPLEMENTOS!$B$4:$B$803,"INGRESO")+SUMIFS(MOVIMIENTOS_COMPLEMENTOS!$I$4:$I$803,MOVIMIENTOS_COMPLEMENTOS!$C$4:$C$803,A2678,MOVIMIENTOS_COMPLEMENTOS!$D$4:$D$803,B2678,MOVIMIENTOS_COMPLEMENTOS!$E$4:$E$803,C2678,MOVIMIENTOS_COMPLEMENTOS!$F$4:$F$803,D2678,MOVIMIENTOS_COMPLEMENTOS!$G$4:$G$803,E2678,MOVIMIENTOS_COMPLEMENTOS!$H$4:$H$803,G2678,MOVIMIENTOS_COMPLEMENTOS!$B$4:$B$803,"DE CORTE")-SUMIFS(MOVIMIENTOS_COMPLEMENTOS!$I$4:$I$803,MOVIMIENTOS_COMPLEMENTOS!$C$4:$C$803,A2678,MOVIMIENTOS_COMPLEMENTOS!$D$4:$D$803,B2678,MOVIMIENTOS_COMPLEMENTOS!$E$4:$E$803,C2678,MOVIMIENTOS_COMPLEMENTOS!$F$4:$F$803,D2678,MOVIMIENTOS_COMPLEMENTOS!$G$4:$G$803,E2678,MOVIMIENTOS_COMPLEMENTOS!$H$4:$H$803,G2678,MOVIMIENTOS_COMPLEMENTOS!$B$4:$B$803,"SALIDA"),0)</f>
        <v>0</v>
      </c>
      <c r="I2678" s="102">
        <f t="array" ref="I2678">IFERROR(INDEX(PRECIOS_COMPLEMENTOS!$C$4:$F$17,MATCH(B2678&amp;"_"&amp;C2678,PRECIOS_COMPLEMENTOS!$H$4:$H$17,0),IF(OR(G2678="S",G2678="20cm"),1,IF(OR(G2678="M",G2678="25cm"),2,IF(OR(G2678="L",G2678="30cm"),3,IF(OR(G2678="XL",G2678="35cm"),4,0))))),0)</f>
        <v>0.6</v>
      </c>
      <c r="J2678" s="103">
        <f t="shared" si="1"/>
        <v>0</v>
      </c>
      <c r="K2678" s="104" t="str">
        <f>IF(H2678&lt;0,"ERROR",IF(H2678=0,"",IF(H2678&lt;CONFIG!$B$4,"CRÍTICO",IF(H2678&lt;CONFIG!$B$5,"BAJO","OK"))))</f>
        <v/>
      </c>
    </row>
    <row r="2679" ht="15.75" hidden="1" customHeight="1">
      <c r="A2679" s="90" t="str">
        <f>IF(CLIENTES!A8="","",CLIENTES!A8)</f>
        <v/>
      </c>
      <c r="B2679" s="90" t="s">
        <v>331</v>
      </c>
      <c r="C2679" s="91" t="s">
        <v>328</v>
      </c>
      <c r="D2679" s="109" t="s">
        <v>366</v>
      </c>
      <c r="E2679" s="67" t="str">
        <f>COLORES!A12</f>
        <v>Cemento</v>
      </c>
      <c r="F2679" s="67" t="str">
        <f>COLORES!B12</f>
        <v>CLARO</v>
      </c>
      <c r="G2679" s="90" t="s">
        <v>379</v>
      </c>
      <c r="H2679" s="100">
        <f>IFERROR(SUMIFS(MOVIMIENTOS_COMPLEMENTOS!$I$4:$I$803,MOVIMIENTOS_COMPLEMENTOS!$C$4:$C$803,A2679,MOVIMIENTOS_COMPLEMENTOS!$D$4:$D$803,B2679,MOVIMIENTOS_COMPLEMENTOS!$E$4:$E$803,C2679,MOVIMIENTOS_COMPLEMENTOS!$F$4:$F$803,D2679,MOVIMIENTOS_COMPLEMENTOS!$G$4:$G$803,E2679,MOVIMIENTOS_COMPLEMENTOS!$H$4:$H$803,G2679,MOVIMIENTOS_COMPLEMENTOS!$B$4:$B$803,"INGRESO")+SUMIFS(MOVIMIENTOS_COMPLEMENTOS!$I$4:$I$803,MOVIMIENTOS_COMPLEMENTOS!$C$4:$C$803,A2679,MOVIMIENTOS_COMPLEMENTOS!$D$4:$D$803,B2679,MOVIMIENTOS_COMPLEMENTOS!$E$4:$E$803,C2679,MOVIMIENTOS_COMPLEMENTOS!$F$4:$F$803,D2679,MOVIMIENTOS_COMPLEMENTOS!$G$4:$G$803,E2679,MOVIMIENTOS_COMPLEMENTOS!$H$4:$H$803,G2679,MOVIMIENTOS_COMPLEMENTOS!$B$4:$B$803,"DE CORTE")-SUMIFS(MOVIMIENTOS_COMPLEMENTOS!$I$4:$I$803,MOVIMIENTOS_COMPLEMENTOS!$C$4:$C$803,A2679,MOVIMIENTOS_COMPLEMENTOS!$D$4:$D$803,B2679,MOVIMIENTOS_COMPLEMENTOS!$E$4:$E$803,C2679,MOVIMIENTOS_COMPLEMENTOS!$F$4:$F$803,D2679,MOVIMIENTOS_COMPLEMENTOS!$G$4:$G$803,E2679,MOVIMIENTOS_COMPLEMENTOS!$H$4:$H$803,G2679,MOVIMIENTOS_COMPLEMENTOS!$B$4:$B$803,"SALIDA"),0)</f>
        <v>0</v>
      </c>
      <c r="I2679" s="102">
        <f t="array" ref="I2679">IFERROR(INDEX(PRECIOS_COMPLEMENTOS!$C$4:$F$17,MATCH(B2679&amp;"_"&amp;C2679,PRECIOS_COMPLEMENTOS!$H$4:$H$17,0),IF(OR(G2679="S",G2679="20cm"),1,IF(OR(G2679="M",G2679="25cm"),2,IF(OR(G2679="L",G2679="30cm"),3,IF(OR(G2679="XL",G2679="35cm"),4,0))))),0)</f>
        <v>0.6</v>
      </c>
      <c r="J2679" s="103">
        <f t="shared" si="1"/>
        <v>0</v>
      </c>
      <c r="K2679" s="104" t="str">
        <f>IF(H2679&lt;0,"ERROR",IF(H2679=0,"",IF(H2679&lt;CONFIG!$B$4,"CRÍTICO",IF(H2679&lt;CONFIG!$B$5,"BAJO","OK"))))</f>
        <v/>
      </c>
    </row>
    <row r="2680" ht="15.75" hidden="1" customHeight="1">
      <c r="A2680" s="90" t="str">
        <f>IF(CLIENTES!A8="","",CLIENTES!A8)</f>
        <v/>
      </c>
      <c r="B2680" s="90" t="s">
        <v>331</v>
      </c>
      <c r="C2680" s="91" t="s">
        <v>328</v>
      </c>
      <c r="D2680" s="109" t="s">
        <v>366</v>
      </c>
      <c r="E2680" s="67" t="str">
        <f>COLORES!A13</f>
        <v>Camote</v>
      </c>
      <c r="F2680" s="67" t="str">
        <f>COLORES!B13</f>
        <v>CLARO</v>
      </c>
      <c r="G2680" s="90" t="s">
        <v>378</v>
      </c>
      <c r="H2680" s="100">
        <f>IFERROR(SUMIFS(MOVIMIENTOS_COMPLEMENTOS!$I$4:$I$803,MOVIMIENTOS_COMPLEMENTOS!$C$4:$C$803,A2680,MOVIMIENTOS_COMPLEMENTOS!$D$4:$D$803,B2680,MOVIMIENTOS_COMPLEMENTOS!$E$4:$E$803,C2680,MOVIMIENTOS_COMPLEMENTOS!$F$4:$F$803,D2680,MOVIMIENTOS_COMPLEMENTOS!$G$4:$G$803,E2680,MOVIMIENTOS_COMPLEMENTOS!$H$4:$H$803,G2680,MOVIMIENTOS_COMPLEMENTOS!$B$4:$B$803,"INGRESO")+SUMIFS(MOVIMIENTOS_COMPLEMENTOS!$I$4:$I$803,MOVIMIENTOS_COMPLEMENTOS!$C$4:$C$803,A2680,MOVIMIENTOS_COMPLEMENTOS!$D$4:$D$803,B2680,MOVIMIENTOS_COMPLEMENTOS!$E$4:$E$803,C2680,MOVIMIENTOS_COMPLEMENTOS!$F$4:$F$803,D2680,MOVIMIENTOS_COMPLEMENTOS!$G$4:$G$803,E2680,MOVIMIENTOS_COMPLEMENTOS!$H$4:$H$803,G2680,MOVIMIENTOS_COMPLEMENTOS!$B$4:$B$803,"DE CORTE")-SUMIFS(MOVIMIENTOS_COMPLEMENTOS!$I$4:$I$803,MOVIMIENTOS_COMPLEMENTOS!$C$4:$C$803,A2680,MOVIMIENTOS_COMPLEMENTOS!$D$4:$D$803,B2680,MOVIMIENTOS_COMPLEMENTOS!$E$4:$E$803,C2680,MOVIMIENTOS_COMPLEMENTOS!$F$4:$F$803,D2680,MOVIMIENTOS_COMPLEMENTOS!$G$4:$G$803,E2680,MOVIMIENTOS_COMPLEMENTOS!$H$4:$H$803,G2680,MOVIMIENTOS_COMPLEMENTOS!$B$4:$B$803,"SALIDA"),0)</f>
        <v>0</v>
      </c>
      <c r="I2680" s="102">
        <f t="array" ref="I2680">IFERROR(INDEX(PRECIOS_COMPLEMENTOS!$C$4:$F$17,MATCH(B2680&amp;"_"&amp;C2680,PRECIOS_COMPLEMENTOS!$H$4:$H$17,0),IF(OR(G2680="S",G2680="20cm"),1,IF(OR(G2680="M",G2680="25cm"),2,IF(OR(G2680="L",G2680="30cm"),3,IF(OR(G2680="XL",G2680="35cm"),4,0))))),0)</f>
        <v>0.6</v>
      </c>
      <c r="J2680" s="103">
        <f t="shared" si="1"/>
        <v>0</v>
      </c>
      <c r="K2680" s="104" t="str">
        <f>IF(H2680&lt;0,"ERROR",IF(H2680=0,"",IF(H2680&lt;CONFIG!$B$4,"CRÍTICO",IF(H2680&lt;CONFIG!$B$5,"BAJO","OK"))))</f>
        <v/>
      </c>
    </row>
    <row r="2681" ht="15.75" hidden="1" customHeight="1">
      <c r="A2681" s="90" t="str">
        <f>IF(CLIENTES!A8="","",CLIENTES!A8)</f>
        <v/>
      </c>
      <c r="B2681" s="90" t="s">
        <v>331</v>
      </c>
      <c r="C2681" s="91" t="s">
        <v>328</v>
      </c>
      <c r="D2681" s="109" t="s">
        <v>366</v>
      </c>
      <c r="E2681" s="67" t="str">
        <f>COLORES!A13</f>
        <v>Camote</v>
      </c>
      <c r="F2681" s="67" t="str">
        <f>COLORES!B13</f>
        <v>CLARO</v>
      </c>
      <c r="G2681" s="90" t="s">
        <v>376</v>
      </c>
      <c r="H2681" s="100">
        <f>IFERROR(SUMIFS(MOVIMIENTOS_COMPLEMENTOS!$I$4:$I$803,MOVIMIENTOS_COMPLEMENTOS!$C$4:$C$803,A2681,MOVIMIENTOS_COMPLEMENTOS!$D$4:$D$803,B2681,MOVIMIENTOS_COMPLEMENTOS!$E$4:$E$803,C2681,MOVIMIENTOS_COMPLEMENTOS!$F$4:$F$803,D2681,MOVIMIENTOS_COMPLEMENTOS!$G$4:$G$803,E2681,MOVIMIENTOS_COMPLEMENTOS!$H$4:$H$803,G2681,MOVIMIENTOS_COMPLEMENTOS!$B$4:$B$803,"INGRESO")+SUMIFS(MOVIMIENTOS_COMPLEMENTOS!$I$4:$I$803,MOVIMIENTOS_COMPLEMENTOS!$C$4:$C$803,A2681,MOVIMIENTOS_COMPLEMENTOS!$D$4:$D$803,B2681,MOVIMIENTOS_COMPLEMENTOS!$E$4:$E$803,C2681,MOVIMIENTOS_COMPLEMENTOS!$F$4:$F$803,D2681,MOVIMIENTOS_COMPLEMENTOS!$G$4:$G$803,E2681,MOVIMIENTOS_COMPLEMENTOS!$H$4:$H$803,G2681,MOVIMIENTOS_COMPLEMENTOS!$B$4:$B$803,"DE CORTE")-SUMIFS(MOVIMIENTOS_COMPLEMENTOS!$I$4:$I$803,MOVIMIENTOS_COMPLEMENTOS!$C$4:$C$803,A2681,MOVIMIENTOS_COMPLEMENTOS!$D$4:$D$803,B2681,MOVIMIENTOS_COMPLEMENTOS!$E$4:$E$803,C2681,MOVIMIENTOS_COMPLEMENTOS!$F$4:$F$803,D2681,MOVIMIENTOS_COMPLEMENTOS!$G$4:$G$803,E2681,MOVIMIENTOS_COMPLEMENTOS!$H$4:$H$803,G2681,MOVIMIENTOS_COMPLEMENTOS!$B$4:$B$803,"SALIDA"),0)</f>
        <v>0</v>
      </c>
      <c r="I2681" s="102">
        <f t="array" ref="I2681">IFERROR(INDEX(PRECIOS_COMPLEMENTOS!$C$4:$F$17,MATCH(B2681&amp;"_"&amp;C2681,PRECIOS_COMPLEMENTOS!$H$4:$H$17,0),IF(OR(G2681="S",G2681="20cm"),1,IF(OR(G2681="M",G2681="25cm"),2,IF(OR(G2681="L",G2681="30cm"),3,IF(OR(G2681="XL",G2681="35cm"),4,0))))),0)</f>
        <v>0.6</v>
      </c>
      <c r="J2681" s="103">
        <f t="shared" si="1"/>
        <v>0</v>
      </c>
      <c r="K2681" s="104" t="str">
        <f>IF(H2681&lt;0,"ERROR",IF(H2681=0,"",IF(H2681&lt;CONFIG!$B$4,"CRÍTICO",IF(H2681&lt;CONFIG!$B$5,"BAJO","OK"))))</f>
        <v/>
      </c>
    </row>
    <row r="2682" ht="15.75" hidden="1" customHeight="1">
      <c r="A2682" s="90" t="str">
        <f>IF(CLIENTES!A8="","",CLIENTES!A8)</f>
        <v/>
      </c>
      <c r="B2682" s="90" t="s">
        <v>331</v>
      </c>
      <c r="C2682" s="91" t="s">
        <v>328</v>
      </c>
      <c r="D2682" s="109" t="s">
        <v>366</v>
      </c>
      <c r="E2682" s="67" t="str">
        <f>COLORES!A13</f>
        <v>Camote</v>
      </c>
      <c r="F2682" s="67" t="str">
        <f>COLORES!B13</f>
        <v>CLARO</v>
      </c>
      <c r="G2682" s="90" t="s">
        <v>377</v>
      </c>
      <c r="H2682" s="100">
        <f>IFERROR(SUMIFS(MOVIMIENTOS_COMPLEMENTOS!$I$4:$I$803,MOVIMIENTOS_COMPLEMENTOS!$C$4:$C$803,A2682,MOVIMIENTOS_COMPLEMENTOS!$D$4:$D$803,B2682,MOVIMIENTOS_COMPLEMENTOS!$E$4:$E$803,C2682,MOVIMIENTOS_COMPLEMENTOS!$F$4:$F$803,D2682,MOVIMIENTOS_COMPLEMENTOS!$G$4:$G$803,E2682,MOVIMIENTOS_COMPLEMENTOS!$H$4:$H$803,G2682,MOVIMIENTOS_COMPLEMENTOS!$B$4:$B$803,"INGRESO")+SUMIFS(MOVIMIENTOS_COMPLEMENTOS!$I$4:$I$803,MOVIMIENTOS_COMPLEMENTOS!$C$4:$C$803,A2682,MOVIMIENTOS_COMPLEMENTOS!$D$4:$D$803,B2682,MOVIMIENTOS_COMPLEMENTOS!$E$4:$E$803,C2682,MOVIMIENTOS_COMPLEMENTOS!$F$4:$F$803,D2682,MOVIMIENTOS_COMPLEMENTOS!$G$4:$G$803,E2682,MOVIMIENTOS_COMPLEMENTOS!$H$4:$H$803,G2682,MOVIMIENTOS_COMPLEMENTOS!$B$4:$B$803,"DE CORTE")-SUMIFS(MOVIMIENTOS_COMPLEMENTOS!$I$4:$I$803,MOVIMIENTOS_COMPLEMENTOS!$C$4:$C$803,A2682,MOVIMIENTOS_COMPLEMENTOS!$D$4:$D$803,B2682,MOVIMIENTOS_COMPLEMENTOS!$E$4:$E$803,C2682,MOVIMIENTOS_COMPLEMENTOS!$F$4:$F$803,D2682,MOVIMIENTOS_COMPLEMENTOS!$G$4:$G$803,E2682,MOVIMIENTOS_COMPLEMENTOS!$H$4:$H$803,G2682,MOVIMIENTOS_COMPLEMENTOS!$B$4:$B$803,"SALIDA"),0)</f>
        <v>0</v>
      </c>
      <c r="I2682" s="102">
        <f t="array" ref="I2682">IFERROR(INDEX(PRECIOS_COMPLEMENTOS!$C$4:$F$17,MATCH(B2682&amp;"_"&amp;C2682,PRECIOS_COMPLEMENTOS!$H$4:$H$17,0),IF(OR(G2682="S",G2682="20cm"),1,IF(OR(G2682="M",G2682="25cm"),2,IF(OR(G2682="L",G2682="30cm"),3,IF(OR(G2682="XL",G2682="35cm"),4,0))))),0)</f>
        <v>0.6</v>
      </c>
      <c r="J2682" s="103">
        <f t="shared" si="1"/>
        <v>0</v>
      </c>
      <c r="K2682" s="104" t="str">
        <f>IF(H2682&lt;0,"ERROR",IF(H2682=0,"",IF(H2682&lt;CONFIG!$B$4,"CRÍTICO",IF(H2682&lt;CONFIG!$B$5,"BAJO","OK"))))</f>
        <v/>
      </c>
    </row>
    <row r="2683" ht="15.75" hidden="1" customHeight="1">
      <c r="A2683" s="90" t="str">
        <f>IF(CLIENTES!A8="","",CLIENTES!A8)</f>
        <v/>
      </c>
      <c r="B2683" s="90" t="s">
        <v>331</v>
      </c>
      <c r="C2683" s="91" t="s">
        <v>328</v>
      </c>
      <c r="D2683" s="109" t="s">
        <v>366</v>
      </c>
      <c r="E2683" s="67" t="str">
        <f>COLORES!A13</f>
        <v>Camote</v>
      </c>
      <c r="F2683" s="67" t="str">
        <f>COLORES!B13</f>
        <v>CLARO</v>
      </c>
      <c r="G2683" s="90" t="s">
        <v>379</v>
      </c>
      <c r="H2683" s="100">
        <f>IFERROR(SUMIFS(MOVIMIENTOS_COMPLEMENTOS!$I$4:$I$803,MOVIMIENTOS_COMPLEMENTOS!$C$4:$C$803,A2683,MOVIMIENTOS_COMPLEMENTOS!$D$4:$D$803,B2683,MOVIMIENTOS_COMPLEMENTOS!$E$4:$E$803,C2683,MOVIMIENTOS_COMPLEMENTOS!$F$4:$F$803,D2683,MOVIMIENTOS_COMPLEMENTOS!$G$4:$G$803,E2683,MOVIMIENTOS_COMPLEMENTOS!$H$4:$H$803,G2683,MOVIMIENTOS_COMPLEMENTOS!$B$4:$B$803,"INGRESO")+SUMIFS(MOVIMIENTOS_COMPLEMENTOS!$I$4:$I$803,MOVIMIENTOS_COMPLEMENTOS!$C$4:$C$803,A2683,MOVIMIENTOS_COMPLEMENTOS!$D$4:$D$803,B2683,MOVIMIENTOS_COMPLEMENTOS!$E$4:$E$803,C2683,MOVIMIENTOS_COMPLEMENTOS!$F$4:$F$803,D2683,MOVIMIENTOS_COMPLEMENTOS!$G$4:$G$803,E2683,MOVIMIENTOS_COMPLEMENTOS!$H$4:$H$803,G2683,MOVIMIENTOS_COMPLEMENTOS!$B$4:$B$803,"DE CORTE")-SUMIFS(MOVIMIENTOS_COMPLEMENTOS!$I$4:$I$803,MOVIMIENTOS_COMPLEMENTOS!$C$4:$C$803,A2683,MOVIMIENTOS_COMPLEMENTOS!$D$4:$D$803,B2683,MOVIMIENTOS_COMPLEMENTOS!$E$4:$E$803,C2683,MOVIMIENTOS_COMPLEMENTOS!$F$4:$F$803,D2683,MOVIMIENTOS_COMPLEMENTOS!$G$4:$G$803,E2683,MOVIMIENTOS_COMPLEMENTOS!$H$4:$H$803,G2683,MOVIMIENTOS_COMPLEMENTOS!$B$4:$B$803,"SALIDA"),0)</f>
        <v>0</v>
      </c>
      <c r="I2683" s="102">
        <f t="array" ref="I2683">IFERROR(INDEX(PRECIOS_COMPLEMENTOS!$C$4:$F$17,MATCH(B2683&amp;"_"&amp;C2683,PRECIOS_COMPLEMENTOS!$H$4:$H$17,0),IF(OR(G2683="S",G2683="20cm"),1,IF(OR(G2683="M",G2683="25cm"),2,IF(OR(G2683="L",G2683="30cm"),3,IF(OR(G2683="XL",G2683="35cm"),4,0))))),0)</f>
        <v>0.6</v>
      </c>
      <c r="J2683" s="103">
        <f t="shared" si="1"/>
        <v>0</v>
      </c>
      <c r="K2683" s="104" t="str">
        <f>IF(H2683&lt;0,"ERROR",IF(H2683=0,"",IF(H2683&lt;CONFIG!$B$4,"CRÍTICO",IF(H2683&lt;CONFIG!$B$5,"BAJO","OK"))))</f>
        <v/>
      </c>
    </row>
    <row r="2684" ht="15.75" hidden="1" customHeight="1">
      <c r="A2684" s="90" t="str">
        <f>IF(CLIENTES!A8="","",CLIENTES!A8)</f>
        <v/>
      </c>
      <c r="B2684" s="90" t="s">
        <v>331</v>
      </c>
      <c r="C2684" s="91" t="s">
        <v>328</v>
      </c>
      <c r="D2684" s="109" t="s">
        <v>366</v>
      </c>
      <c r="E2684" s="67" t="str">
        <f>COLORES!A14</f>
        <v>Denim</v>
      </c>
      <c r="F2684" s="67" t="str">
        <f>COLORES!B14</f>
        <v>CLARO</v>
      </c>
      <c r="G2684" s="90" t="s">
        <v>378</v>
      </c>
      <c r="H2684" s="100">
        <f>IFERROR(SUMIFS(MOVIMIENTOS_COMPLEMENTOS!$I$4:$I$803,MOVIMIENTOS_COMPLEMENTOS!$C$4:$C$803,A2684,MOVIMIENTOS_COMPLEMENTOS!$D$4:$D$803,B2684,MOVIMIENTOS_COMPLEMENTOS!$E$4:$E$803,C2684,MOVIMIENTOS_COMPLEMENTOS!$F$4:$F$803,D2684,MOVIMIENTOS_COMPLEMENTOS!$G$4:$G$803,E2684,MOVIMIENTOS_COMPLEMENTOS!$H$4:$H$803,G2684,MOVIMIENTOS_COMPLEMENTOS!$B$4:$B$803,"INGRESO")+SUMIFS(MOVIMIENTOS_COMPLEMENTOS!$I$4:$I$803,MOVIMIENTOS_COMPLEMENTOS!$C$4:$C$803,A2684,MOVIMIENTOS_COMPLEMENTOS!$D$4:$D$803,B2684,MOVIMIENTOS_COMPLEMENTOS!$E$4:$E$803,C2684,MOVIMIENTOS_COMPLEMENTOS!$F$4:$F$803,D2684,MOVIMIENTOS_COMPLEMENTOS!$G$4:$G$803,E2684,MOVIMIENTOS_COMPLEMENTOS!$H$4:$H$803,G2684,MOVIMIENTOS_COMPLEMENTOS!$B$4:$B$803,"DE CORTE")-SUMIFS(MOVIMIENTOS_COMPLEMENTOS!$I$4:$I$803,MOVIMIENTOS_COMPLEMENTOS!$C$4:$C$803,A2684,MOVIMIENTOS_COMPLEMENTOS!$D$4:$D$803,B2684,MOVIMIENTOS_COMPLEMENTOS!$E$4:$E$803,C2684,MOVIMIENTOS_COMPLEMENTOS!$F$4:$F$803,D2684,MOVIMIENTOS_COMPLEMENTOS!$G$4:$G$803,E2684,MOVIMIENTOS_COMPLEMENTOS!$H$4:$H$803,G2684,MOVIMIENTOS_COMPLEMENTOS!$B$4:$B$803,"SALIDA"),0)</f>
        <v>0</v>
      </c>
      <c r="I2684" s="102">
        <f t="array" ref="I2684">IFERROR(INDEX(PRECIOS_COMPLEMENTOS!$C$4:$F$17,MATCH(B2684&amp;"_"&amp;C2684,PRECIOS_COMPLEMENTOS!$H$4:$H$17,0),IF(OR(G2684="S",G2684="20cm"),1,IF(OR(G2684="M",G2684="25cm"),2,IF(OR(G2684="L",G2684="30cm"),3,IF(OR(G2684="XL",G2684="35cm"),4,0))))),0)</f>
        <v>0.6</v>
      </c>
      <c r="J2684" s="103">
        <f t="shared" si="1"/>
        <v>0</v>
      </c>
      <c r="K2684" s="104" t="str">
        <f>IF(H2684&lt;0,"ERROR",IF(H2684=0,"",IF(H2684&lt;CONFIG!$B$4,"CRÍTICO",IF(H2684&lt;CONFIG!$B$5,"BAJO","OK"))))</f>
        <v/>
      </c>
    </row>
    <row r="2685" ht="15.75" hidden="1" customHeight="1">
      <c r="A2685" s="90" t="str">
        <f>IF(CLIENTES!A8="","",CLIENTES!A8)</f>
        <v/>
      </c>
      <c r="B2685" s="90" t="s">
        <v>331</v>
      </c>
      <c r="C2685" s="91" t="s">
        <v>328</v>
      </c>
      <c r="D2685" s="109" t="s">
        <v>366</v>
      </c>
      <c r="E2685" s="67" t="str">
        <f>COLORES!A14</f>
        <v>Denim</v>
      </c>
      <c r="F2685" s="67" t="str">
        <f>COLORES!B14</f>
        <v>CLARO</v>
      </c>
      <c r="G2685" s="90" t="s">
        <v>376</v>
      </c>
      <c r="H2685" s="100">
        <f>IFERROR(SUMIFS(MOVIMIENTOS_COMPLEMENTOS!$I$4:$I$803,MOVIMIENTOS_COMPLEMENTOS!$C$4:$C$803,A2685,MOVIMIENTOS_COMPLEMENTOS!$D$4:$D$803,B2685,MOVIMIENTOS_COMPLEMENTOS!$E$4:$E$803,C2685,MOVIMIENTOS_COMPLEMENTOS!$F$4:$F$803,D2685,MOVIMIENTOS_COMPLEMENTOS!$G$4:$G$803,E2685,MOVIMIENTOS_COMPLEMENTOS!$H$4:$H$803,G2685,MOVIMIENTOS_COMPLEMENTOS!$B$4:$B$803,"INGRESO")+SUMIFS(MOVIMIENTOS_COMPLEMENTOS!$I$4:$I$803,MOVIMIENTOS_COMPLEMENTOS!$C$4:$C$803,A2685,MOVIMIENTOS_COMPLEMENTOS!$D$4:$D$803,B2685,MOVIMIENTOS_COMPLEMENTOS!$E$4:$E$803,C2685,MOVIMIENTOS_COMPLEMENTOS!$F$4:$F$803,D2685,MOVIMIENTOS_COMPLEMENTOS!$G$4:$G$803,E2685,MOVIMIENTOS_COMPLEMENTOS!$H$4:$H$803,G2685,MOVIMIENTOS_COMPLEMENTOS!$B$4:$B$803,"DE CORTE")-SUMIFS(MOVIMIENTOS_COMPLEMENTOS!$I$4:$I$803,MOVIMIENTOS_COMPLEMENTOS!$C$4:$C$803,A2685,MOVIMIENTOS_COMPLEMENTOS!$D$4:$D$803,B2685,MOVIMIENTOS_COMPLEMENTOS!$E$4:$E$803,C2685,MOVIMIENTOS_COMPLEMENTOS!$F$4:$F$803,D2685,MOVIMIENTOS_COMPLEMENTOS!$G$4:$G$803,E2685,MOVIMIENTOS_COMPLEMENTOS!$H$4:$H$803,G2685,MOVIMIENTOS_COMPLEMENTOS!$B$4:$B$803,"SALIDA"),0)</f>
        <v>0</v>
      </c>
      <c r="I2685" s="102">
        <f t="array" ref="I2685">IFERROR(INDEX(PRECIOS_COMPLEMENTOS!$C$4:$F$17,MATCH(B2685&amp;"_"&amp;C2685,PRECIOS_COMPLEMENTOS!$H$4:$H$17,0),IF(OR(G2685="S",G2685="20cm"),1,IF(OR(G2685="M",G2685="25cm"),2,IF(OR(G2685="L",G2685="30cm"),3,IF(OR(G2685="XL",G2685="35cm"),4,0))))),0)</f>
        <v>0.6</v>
      </c>
      <c r="J2685" s="103">
        <f t="shared" si="1"/>
        <v>0</v>
      </c>
      <c r="K2685" s="104" t="str">
        <f>IF(H2685&lt;0,"ERROR",IF(H2685=0,"",IF(H2685&lt;CONFIG!$B$4,"CRÍTICO",IF(H2685&lt;CONFIG!$B$5,"BAJO","OK"))))</f>
        <v/>
      </c>
    </row>
    <row r="2686" ht="15.75" hidden="1" customHeight="1">
      <c r="A2686" s="90" t="str">
        <f>IF(CLIENTES!A8="","",CLIENTES!A8)</f>
        <v/>
      </c>
      <c r="B2686" s="90" t="s">
        <v>331</v>
      </c>
      <c r="C2686" s="91" t="s">
        <v>328</v>
      </c>
      <c r="D2686" s="109" t="s">
        <v>366</v>
      </c>
      <c r="E2686" s="67" t="str">
        <f>COLORES!A14</f>
        <v>Denim</v>
      </c>
      <c r="F2686" s="67" t="str">
        <f>COLORES!B14</f>
        <v>CLARO</v>
      </c>
      <c r="G2686" s="90" t="s">
        <v>377</v>
      </c>
      <c r="H2686" s="100">
        <f>IFERROR(SUMIFS(MOVIMIENTOS_COMPLEMENTOS!$I$4:$I$803,MOVIMIENTOS_COMPLEMENTOS!$C$4:$C$803,A2686,MOVIMIENTOS_COMPLEMENTOS!$D$4:$D$803,B2686,MOVIMIENTOS_COMPLEMENTOS!$E$4:$E$803,C2686,MOVIMIENTOS_COMPLEMENTOS!$F$4:$F$803,D2686,MOVIMIENTOS_COMPLEMENTOS!$G$4:$G$803,E2686,MOVIMIENTOS_COMPLEMENTOS!$H$4:$H$803,G2686,MOVIMIENTOS_COMPLEMENTOS!$B$4:$B$803,"INGRESO")+SUMIFS(MOVIMIENTOS_COMPLEMENTOS!$I$4:$I$803,MOVIMIENTOS_COMPLEMENTOS!$C$4:$C$803,A2686,MOVIMIENTOS_COMPLEMENTOS!$D$4:$D$803,B2686,MOVIMIENTOS_COMPLEMENTOS!$E$4:$E$803,C2686,MOVIMIENTOS_COMPLEMENTOS!$F$4:$F$803,D2686,MOVIMIENTOS_COMPLEMENTOS!$G$4:$G$803,E2686,MOVIMIENTOS_COMPLEMENTOS!$H$4:$H$803,G2686,MOVIMIENTOS_COMPLEMENTOS!$B$4:$B$803,"DE CORTE")-SUMIFS(MOVIMIENTOS_COMPLEMENTOS!$I$4:$I$803,MOVIMIENTOS_COMPLEMENTOS!$C$4:$C$803,A2686,MOVIMIENTOS_COMPLEMENTOS!$D$4:$D$803,B2686,MOVIMIENTOS_COMPLEMENTOS!$E$4:$E$803,C2686,MOVIMIENTOS_COMPLEMENTOS!$F$4:$F$803,D2686,MOVIMIENTOS_COMPLEMENTOS!$G$4:$G$803,E2686,MOVIMIENTOS_COMPLEMENTOS!$H$4:$H$803,G2686,MOVIMIENTOS_COMPLEMENTOS!$B$4:$B$803,"SALIDA"),0)</f>
        <v>0</v>
      </c>
      <c r="I2686" s="102">
        <f t="array" ref="I2686">IFERROR(INDEX(PRECIOS_COMPLEMENTOS!$C$4:$F$17,MATCH(B2686&amp;"_"&amp;C2686,PRECIOS_COMPLEMENTOS!$H$4:$H$17,0),IF(OR(G2686="S",G2686="20cm"),1,IF(OR(G2686="M",G2686="25cm"),2,IF(OR(G2686="L",G2686="30cm"),3,IF(OR(G2686="XL",G2686="35cm"),4,0))))),0)</f>
        <v>0.6</v>
      </c>
      <c r="J2686" s="103">
        <f t="shared" si="1"/>
        <v>0</v>
      </c>
      <c r="K2686" s="104" t="str">
        <f>IF(H2686&lt;0,"ERROR",IF(H2686=0,"",IF(H2686&lt;CONFIG!$B$4,"CRÍTICO",IF(H2686&lt;CONFIG!$B$5,"BAJO","OK"))))</f>
        <v/>
      </c>
    </row>
    <row r="2687" ht="15.75" hidden="1" customHeight="1">
      <c r="A2687" s="90" t="str">
        <f>IF(CLIENTES!A8="","",CLIENTES!A8)</f>
        <v/>
      </c>
      <c r="B2687" s="90" t="s">
        <v>331</v>
      </c>
      <c r="C2687" s="91" t="s">
        <v>328</v>
      </c>
      <c r="D2687" s="109" t="s">
        <v>366</v>
      </c>
      <c r="E2687" s="67" t="str">
        <f>COLORES!A14</f>
        <v>Denim</v>
      </c>
      <c r="F2687" s="67" t="str">
        <f>COLORES!B14</f>
        <v>CLARO</v>
      </c>
      <c r="G2687" s="90" t="s">
        <v>379</v>
      </c>
      <c r="H2687" s="100">
        <f>IFERROR(SUMIFS(MOVIMIENTOS_COMPLEMENTOS!$I$4:$I$803,MOVIMIENTOS_COMPLEMENTOS!$C$4:$C$803,A2687,MOVIMIENTOS_COMPLEMENTOS!$D$4:$D$803,B2687,MOVIMIENTOS_COMPLEMENTOS!$E$4:$E$803,C2687,MOVIMIENTOS_COMPLEMENTOS!$F$4:$F$803,D2687,MOVIMIENTOS_COMPLEMENTOS!$G$4:$G$803,E2687,MOVIMIENTOS_COMPLEMENTOS!$H$4:$H$803,G2687,MOVIMIENTOS_COMPLEMENTOS!$B$4:$B$803,"INGRESO")+SUMIFS(MOVIMIENTOS_COMPLEMENTOS!$I$4:$I$803,MOVIMIENTOS_COMPLEMENTOS!$C$4:$C$803,A2687,MOVIMIENTOS_COMPLEMENTOS!$D$4:$D$803,B2687,MOVIMIENTOS_COMPLEMENTOS!$E$4:$E$803,C2687,MOVIMIENTOS_COMPLEMENTOS!$F$4:$F$803,D2687,MOVIMIENTOS_COMPLEMENTOS!$G$4:$G$803,E2687,MOVIMIENTOS_COMPLEMENTOS!$H$4:$H$803,G2687,MOVIMIENTOS_COMPLEMENTOS!$B$4:$B$803,"DE CORTE")-SUMIFS(MOVIMIENTOS_COMPLEMENTOS!$I$4:$I$803,MOVIMIENTOS_COMPLEMENTOS!$C$4:$C$803,A2687,MOVIMIENTOS_COMPLEMENTOS!$D$4:$D$803,B2687,MOVIMIENTOS_COMPLEMENTOS!$E$4:$E$803,C2687,MOVIMIENTOS_COMPLEMENTOS!$F$4:$F$803,D2687,MOVIMIENTOS_COMPLEMENTOS!$G$4:$G$803,E2687,MOVIMIENTOS_COMPLEMENTOS!$H$4:$H$803,G2687,MOVIMIENTOS_COMPLEMENTOS!$B$4:$B$803,"SALIDA"),0)</f>
        <v>0</v>
      </c>
      <c r="I2687" s="102">
        <f t="array" ref="I2687">IFERROR(INDEX(PRECIOS_COMPLEMENTOS!$C$4:$F$17,MATCH(B2687&amp;"_"&amp;C2687,PRECIOS_COMPLEMENTOS!$H$4:$H$17,0),IF(OR(G2687="S",G2687="20cm"),1,IF(OR(G2687="M",G2687="25cm"),2,IF(OR(G2687="L",G2687="30cm"),3,IF(OR(G2687="XL",G2687="35cm"),4,0))))),0)</f>
        <v>0.6</v>
      </c>
      <c r="J2687" s="103">
        <f t="shared" si="1"/>
        <v>0</v>
      </c>
      <c r="K2687" s="104" t="str">
        <f>IF(H2687&lt;0,"ERROR",IF(H2687=0,"",IF(H2687&lt;CONFIG!$B$4,"CRÍTICO",IF(H2687&lt;CONFIG!$B$5,"BAJO","OK"))))</f>
        <v/>
      </c>
    </row>
    <row r="2688" ht="15.75" hidden="1" customHeight="1">
      <c r="A2688" s="90" t="str">
        <f>IF(CLIENTES!A8="","",CLIENTES!A8)</f>
        <v/>
      </c>
      <c r="B2688" s="90" t="s">
        <v>331</v>
      </c>
      <c r="C2688" s="91" t="s">
        <v>328</v>
      </c>
      <c r="D2688" s="109" t="s">
        <v>366</v>
      </c>
      <c r="E2688" s="67" t="str">
        <f>COLORES!A15</f>
        <v>Plomo</v>
      </c>
      <c r="F2688" s="67" t="str">
        <f>COLORES!B15</f>
        <v>OSCURO</v>
      </c>
      <c r="G2688" s="90" t="s">
        <v>378</v>
      </c>
      <c r="H2688" s="100">
        <f>IFERROR(SUMIFS(MOVIMIENTOS_COMPLEMENTOS!$I$4:$I$803,MOVIMIENTOS_COMPLEMENTOS!$C$4:$C$803,A2688,MOVIMIENTOS_COMPLEMENTOS!$D$4:$D$803,B2688,MOVIMIENTOS_COMPLEMENTOS!$E$4:$E$803,C2688,MOVIMIENTOS_COMPLEMENTOS!$F$4:$F$803,D2688,MOVIMIENTOS_COMPLEMENTOS!$G$4:$G$803,E2688,MOVIMIENTOS_COMPLEMENTOS!$H$4:$H$803,G2688,MOVIMIENTOS_COMPLEMENTOS!$B$4:$B$803,"INGRESO")+SUMIFS(MOVIMIENTOS_COMPLEMENTOS!$I$4:$I$803,MOVIMIENTOS_COMPLEMENTOS!$C$4:$C$803,A2688,MOVIMIENTOS_COMPLEMENTOS!$D$4:$D$803,B2688,MOVIMIENTOS_COMPLEMENTOS!$E$4:$E$803,C2688,MOVIMIENTOS_COMPLEMENTOS!$F$4:$F$803,D2688,MOVIMIENTOS_COMPLEMENTOS!$G$4:$G$803,E2688,MOVIMIENTOS_COMPLEMENTOS!$H$4:$H$803,G2688,MOVIMIENTOS_COMPLEMENTOS!$B$4:$B$803,"DE CORTE")-SUMIFS(MOVIMIENTOS_COMPLEMENTOS!$I$4:$I$803,MOVIMIENTOS_COMPLEMENTOS!$C$4:$C$803,A2688,MOVIMIENTOS_COMPLEMENTOS!$D$4:$D$803,B2688,MOVIMIENTOS_COMPLEMENTOS!$E$4:$E$803,C2688,MOVIMIENTOS_COMPLEMENTOS!$F$4:$F$803,D2688,MOVIMIENTOS_COMPLEMENTOS!$G$4:$G$803,E2688,MOVIMIENTOS_COMPLEMENTOS!$H$4:$H$803,G2688,MOVIMIENTOS_COMPLEMENTOS!$B$4:$B$803,"SALIDA"),0)</f>
        <v>0</v>
      </c>
      <c r="I2688" s="102">
        <f t="array" ref="I2688">IFERROR(INDEX(PRECIOS_COMPLEMENTOS!$C$4:$F$17,MATCH(B2688&amp;"_"&amp;C2688,PRECIOS_COMPLEMENTOS!$H$4:$H$17,0),IF(OR(G2688="S",G2688="20cm"),1,IF(OR(G2688="M",G2688="25cm"),2,IF(OR(G2688="L",G2688="30cm"),3,IF(OR(G2688="XL",G2688="35cm"),4,0))))),0)</f>
        <v>0.6</v>
      </c>
      <c r="J2688" s="103">
        <f t="shared" si="1"/>
        <v>0</v>
      </c>
      <c r="K2688" s="104" t="str">
        <f>IF(H2688&lt;0,"ERROR",IF(H2688=0,"",IF(H2688&lt;CONFIG!$B$4,"CRÍTICO",IF(H2688&lt;CONFIG!$B$5,"BAJO","OK"))))</f>
        <v/>
      </c>
    </row>
    <row r="2689" ht="15.75" hidden="1" customHeight="1">
      <c r="A2689" s="90" t="str">
        <f>IF(CLIENTES!A8="","",CLIENTES!A8)</f>
        <v/>
      </c>
      <c r="B2689" s="90" t="s">
        <v>331</v>
      </c>
      <c r="C2689" s="91" t="s">
        <v>328</v>
      </c>
      <c r="D2689" s="109" t="s">
        <v>366</v>
      </c>
      <c r="E2689" s="67" t="str">
        <f>COLORES!A15</f>
        <v>Plomo</v>
      </c>
      <c r="F2689" s="67" t="str">
        <f>COLORES!B15</f>
        <v>OSCURO</v>
      </c>
      <c r="G2689" s="90" t="s">
        <v>376</v>
      </c>
      <c r="H2689" s="100">
        <f>IFERROR(SUMIFS(MOVIMIENTOS_COMPLEMENTOS!$I$4:$I$803,MOVIMIENTOS_COMPLEMENTOS!$C$4:$C$803,A2689,MOVIMIENTOS_COMPLEMENTOS!$D$4:$D$803,B2689,MOVIMIENTOS_COMPLEMENTOS!$E$4:$E$803,C2689,MOVIMIENTOS_COMPLEMENTOS!$F$4:$F$803,D2689,MOVIMIENTOS_COMPLEMENTOS!$G$4:$G$803,E2689,MOVIMIENTOS_COMPLEMENTOS!$H$4:$H$803,G2689,MOVIMIENTOS_COMPLEMENTOS!$B$4:$B$803,"INGRESO")+SUMIFS(MOVIMIENTOS_COMPLEMENTOS!$I$4:$I$803,MOVIMIENTOS_COMPLEMENTOS!$C$4:$C$803,A2689,MOVIMIENTOS_COMPLEMENTOS!$D$4:$D$803,B2689,MOVIMIENTOS_COMPLEMENTOS!$E$4:$E$803,C2689,MOVIMIENTOS_COMPLEMENTOS!$F$4:$F$803,D2689,MOVIMIENTOS_COMPLEMENTOS!$G$4:$G$803,E2689,MOVIMIENTOS_COMPLEMENTOS!$H$4:$H$803,G2689,MOVIMIENTOS_COMPLEMENTOS!$B$4:$B$803,"DE CORTE")-SUMIFS(MOVIMIENTOS_COMPLEMENTOS!$I$4:$I$803,MOVIMIENTOS_COMPLEMENTOS!$C$4:$C$803,A2689,MOVIMIENTOS_COMPLEMENTOS!$D$4:$D$803,B2689,MOVIMIENTOS_COMPLEMENTOS!$E$4:$E$803,C2689,MOVIMIENTOS_COMPLEMENTOS!$F$4:$F$803,D2689,MOVIMIENTOS_COMPLEMENTOS!$G$4:$G$803,E2689,MOVIMIENTOS_COMPLEMENTOS!$H$4:$H$803,G2689,MOVIMIENTOS_COMPLEMENTOS!$B$4:$B$803,"SALIDA"),0)</f>
        <v>0</v>
      </c>
      <c r="I2689" s="102">
        <f t="array" ref="I2689">IFERROR(INDEX(PRECIOS_COMPLEMENTOS!$C$4:$F$17,MATCH(B2689&amp;"_"&amp;C2689,PRECIOS_COMPLEMENTOS!$H$4:$H$17,0),IF(OR(G2689="S",G2689="20cm"),1,IF(OR(G2689="M",G2689="25cm"),2,IF(OR(G2689="L",G2689="30cm"),3,IF(OR(G2689="XL",G2689="35cm"),4,0))))),0)</f>
        <v>0.6</v>
      </c>
      <c r="J2689" s="103">
        <f t="shared" si="1"/>
        <v>0</v>
      </c>
      <c r="K2689" s="104" t="str">
        <f>IF(H2689&lt;0,"ERROR",IF(H2689=0,"",IF(H2689&lt;CONFIG!$B$4,"CRÍTICO",IF(H2689&lt;CONFIG!$B$5,"BAJO","OK"))))</f>
        <v/>
      </c>
    </row>
    <row r="2690" ht="15.75" hidden="1" customHeight="1">
      <c r="A2690" s="90" t="str">
        <f>IF(CLIENTES!A8="","",CLIENTES!A8)</f>
        <v/>
      </c>
      <c r="B2690" s="90" t="s">
        <v>331</v>
      </c>
      <c r="C2690" s="91" t="s">
        <v>328</v>
      </c>
      <c r="D2690" s="109" t="s">
        <v>366</v>
      </c>
      <c r="E2690" s="67" t="str">
        <f>COLORES!A15</f>
        <v>Plomo</v>
      </c>
      <c r="F2690" s="67" t="str">
        <f>COLORES!B15</f>
        <v>OSCURO</v>
      </c>
      <c r="G2690" s="90" t="s">
        <v>377</v>
      </c>
      <c r="H2690" s="100">
        <f>IFERROR(SUMIFS(MOVIMIENTOS_COMPLEMENTOS!$I$4:$I$803,MOVIMIENTOS_COMPLEMENTOS!$C$4:$C$803,A2690,MOVIMIENTOS_COMPLEMENTOS!$D$4:$D$803,B2690,MOVIMIENTOS_COMPLEMENTOS!$E$4:$E$803,C2690,MOVIMIENTOS_COMPLEMENTOS!$F$4:$F$803,D2690,MOVIMIENTOS_COMPLEMENTOS!$G$4:$G$803,E2690,MOVIMIENTOS_COMPLEMENTOS!$H$4:$H$803,G2690,MOVIMIENTOS_COMPLEMENTOS!$B$4:$B$803,"INGRESO")+SUMIFS(MOVIMIENTOS_COMPLEMENTOS!$I$4:$I$803,MOVIMIENTOS_COMPLEMENTOS!$C$4:$C$803,A2690,MOVIMIENTOS_COMPLEMENTOS!$D$4:$D$803,B2690,MOVIMIENTOS_COMPLEMENTOS!$E$4:$E$803,C2690,MOVIMIENTOS_COMPLEMENTOS!$F$4:$F$803,D2690,MOVIMIENTOS_COMPLEMENTOS!$G$4:$G$803,E2690,MOVIMIENTOS_COMPLEMENTOS!$H$4:$H$803,G2690,MOVIMIENTOS_COMPLEMENTOS!$B$4:$B$803,"DE CORTE")-SUMIFS(MOVIMIENTOS_COMPLEMENTOS!$I$4:$I$803,MOVIMIENTOS_COMPLEMENTOS!$C$4:$C$803,A2690,MOVIMIENTOS_COMPLEMENTOS!$D$4:$D$803,B2690,MOVIMIENTOS_COMPLEMENTOS!$E$4:$E$803,C2690,MOVIMIENTOS_COMPLEMENTOS!$F$4:$F$803,D2690,MOVIMIENTOS_COMPLEMENTOS!$G$4:$G$803,E2690,MOVIMIENTOS_COMPLEMENTOS!$H$4:$H$803,G2690,MOVIMIENTOS_COMPLEMENTOS!$B$4:$B$803,"SALIDA"),0)</f>
        <v>0</v>
      </c>
      <c r="I2690" s="102">
        <f t="array" ref="I2690">IFERROR(INDEX(PRECIOS_COMPLEMENTOS!$C$4:$F$17,MATCH(B2690&amp;"_"&amp;C2690,PRECIOS_COMPLEMENTOS!$H$4:$H$17,0),IF(OR(G2690="S",G2690="20cm"),1,IF(OR(G2690="M",G2690="25cm"),2,IF(OR(G2690="L",G2690="30cm"),3,IF(OR(G2690="XL",G2690="35cm"),4,0))))),0)</f>
        <v>0.6</v>
      </c>
      <c r="J2690" s="103">
        <f t="shared" si="1"/>
        <v>0</v>
      </c>
      <c r="K2690" s="104" t="str">
        <f>IF(H2690&lt;0,"ERROR",IF(H2690=0,"",IF(H2690&lt;CONFIG!$B$4,"CRÍTICO",IF(H2690&lt;CONFIG!$B$5,"BAJO","OK"))))</f>
        <v/>
      </c>
    </row>
    <row r="2691" ht="15.75" hidden="1" customHeight="1">
      <c r="A2691" s="90" t="str">
        <f>IF(CLIENTES!A8="","",CLIENTES!A8)</f>
        <v/>
      </c>
      <c r="B2691" s="90" t="s">
        <v>331</v>
      </c>
      <c r="C2691" s="91" t="s">
        <v>328</v>
      </c>
      <c r="D2691" s="109" t="s">
        <v>366</v>
      </c>
      <c r="E2691" s="67" t="str">
        <f>COLORES!A15</f>
        <v>Plomo</v>
      </c>
      <c r="F2691" s="67" t="str">
        <f>COLORES!B15</f>
        <v>OSCURO</v>
      </c>
      <c r="G2691" s="90" t="s">
        <v>379</v>
      </c>
      <c r="H2691" s="100">
        <f>IFERROR(SUMIFS(MOVIMIENTOS_COMPLEMENTOS!$I$4:$I$803,MOVIMIENTOS_COMPLEMENTOS!$C$4:$C$803,A2691,MOVIMIENTOS_COMPLEMENTOS!$D$4:$D$803,B2691,MOVIMIENTOS_COMPLEMENTOS!$E$4:$E$803,C2691,MOVIMIENTOS_COMPLEMENTOS!$F$4:$F$803,D2691,MOVIMIENTOS_COMPLEMENTOS!$G$4:$G$803,E2691,MOVIMIENTOS_COMPLEMENTOS!$H$4:$H$803,G2691,MOVIMIENTOS_COMPLEMENTOS!$B$4:$B$803,"INGRESO")+SUMIFS(MOVIMIENTOS_COMPLEMENTOS!$I$4:$I$803,MOVIMIENTOS_COMPLEMENTOS!$C$4:$C$803,A2691,MOVIMIENTOS_COMPLEMENTOS!$D$4:$D$803,B2691,MOVIMIENTOS_COMPLEMENTOS!$E$4:$E$803,C2691,MOVIMIENTOS_COMPLEMENTOS!$F$4:$F$803,D2691,MOVIMIENTOS_COMPLEMENTOS!$G$4:$G$803,E2691,MOVIMIENTOS_COMPLEMENTOS!$H$4:$H$803,G2691,MOVIMIENTOS_COMPLEMENTOS!$B$4:$B$803,"DE CORTE")-SUMIFS(MOVIMIENTOS_COMPLEMENTOS!$I$4:$I$803,MOVIMIENTOS_COMPLEMENTOS!$C$4:$C$803,A2691,MOVIMIENTOS_COMPLEMENTOS!$D$4:$D$803,B2691,MOVIMIENTOS_COMPLEMENTOS!$E$4:$E$803,C2691,MOVIMIENTOS_COMPLEMENTOS!$F$4:$F$803,D2691,MOVIMIENTOS_COMPLEMENTOS!$G$4:$G$803,E2691,MOVIMIENTOS_COMPLEMENTOS!$H$4:$H$803,G2691,MOVIMIENTOS_COMPLEMENTOS!$B$4:$B$803,"SALIDA"),0)</f>
        <v>0</v>
      </c>
      <c r="I2691" s="102">
        <f t="array" ref="I2691">IFERROR(INDEX(PRECIOS_COMPLEMENTOS!$C$4:$F$17,MATCH(B2691&amp;"_"&amp;C2691,PRECIOS_COMPLEMENTOS!$H$4:$H$17,0),IF(OR(G2691="S",G2691="20cm"),1,IF(OR(G2691="M",G2691="25cm"),2,IF(OR(G2691="L",G2691="30cm"),3,IF(OR(G2691="XL",G2691="35cm"),4,0))))),0)</f>
        <v>0.6</v>
      </c>
      <c r="J2691" s="103">
        <f t="shared" si="1"/>
        <v>0</v>
      </c>
      <c r="K2691" s="104" t="str">
        <f>IF(H2691&lt;0,"ERROR",IF(H2691=0,"",IF(H2691&lt;CONFIG!$B$4,"CRÍTICO",IF(H2691&lt;CONFIG!$B$5,"BAJO","OK"))))</f>
        <v/>
      </c>
    </row>
    <row r="2692" ht="15.75" hidden="1" customHeight="1">
      <c r="A2692" s="90" t="str">
        <f>IF(CLIENTES!A8="","",CLIENTES!A8)</f>
        <v/>
      </c>
      <c r="B2692" s="90" t="s">
        <v>331</v>
      </c>
      <c r="C2692" s="91" t="s">
        <v>328</v>
      </c>
      <c r="D2692" s="109" t="s">
        <v>366</v>
      </c>
      <c r="E2692" s="67" t="str">
        <f>COLORES!A16</f>
        <v>Topo</v>
      </c>
      <c r="F2692" s="67" t="str">
        <f>COLORES!B16</f>
        <v>CLARO</v>
      </c>
      <c r="G2692" s="90" t="s">
        <v>378</v>
      </c>
      <c r="H2692" s="100">
        <f>IFERROR(SUMIFS(MOVIMIENTOS_COMPLEMENTOS!$I$4:$I$803,MOVIMIENTOS_COMPLEMENTOS!$C$4:$C$803,A2692,MOVIMIENTOS_COMPLEMENTOS!$D$4:$D$803,B2692,MOVIMIENTOS_COMPLEMENTOS!$E$4:$E$803,C2692,MOVIMIENTOS_COMPLEMENTOS!$F$4:$F$803,D2692,MOVIMIENTOS_COMPLEMENTOS!$G$4:$G$803,E2692,MOVIMIENTOS_COMPLEMENTOS!$H$4:$H$803,G2692,MOVIMIENTOS_COMPLEMENTOS!$B$4:$B$803,"INGRESO")+SUMIFS(MOVIMIENTOS_COMPLEMENTOS!$I$4:$I$803,MOVIMIENTOS_COMPLEMENTOS!$C$4:$C$803,A2692,MOVIMIENTOS_COMPLEMENTOS!$D$4:$D$803,B2692,MOVIMIENTOS_COMPLEMENTOS!$E$4:$E$803,C2692,MOVIMIENTOS_COMPLEMENTOS!$F$4:$F$803,D2692,MOVIMIENTOS_COMPLEMENTOS!$G$4:$G$803,E2692,MOVIMIENTOS_COMPLEMENTOS!$H$4:$H$803,G2692,MOVIMIENTOS_COMPLEMENTOS!$B$4:$B$803,"DE CORTE")-SUMIFS(MOVIMIENTOS_COMPLEMENTOS!$I$4:$I$803,MOVIMIENTOS_COMPLEMENTOS!$C$4:$C$803,A2692,MOVIMIENTOS_COMPLEMENTOS!$D$4:$D$803,B2692,MOVIMIENTOS_COMPLEMENTOS!$E$4:$E$803,C2692,MOVIMIENTOS_COMPLEMENTOS!$F$4:$F$803,D2692,MOVIMIENTOS_COMPLEMENTOS!$G$4:$G$803,E2692,MOVIMIENTOS_COMPLEMENTOS!$H$4:$H$803,G2692,MOVIMIENTOS_COMPLEMENTOS!$B$4:$B$803,"SALIDA"),0)</f>
        <v>0</v>
      </c>
      <c r="I2692" s="102">
        <f t="array" ref="I2692">IFERROR(INDEX(PRECIOS_COMPLEMENTOS!$C$4:$F$17,MATCH(B2692&amp;"_"&amp;C2692,PRECIOS_COMPLEMENTOS!$H$4:$H$17,0),IF(OR(G2692="S",G2692="20cm"),1,IF(OR(G2692="M",G2692="25cm"),2,IF(OR(G2692="L",G2692="30cm"),3,IF(OR(G2692="XL",G2692="35cm"),4,0))))),0)</f>
        <v>0.6</v>
      </c>
      <c r="J2692" s="103">
        <f t="shared" si="1"/>
        <v>0</v>
      </c>
      <c r="K2692" s="104" t="str">
        <f>IF(H2692&lt;0,"ERROR",IF(H2692=0,"",IF(H2692&lt;CONFIG!$B$4,"CRÍTICO",IF(H2692&lt;CONFIG!$B$5,"BAJO","OK"))))</f>
        <v/>
      </c>
    </row>
    <row r="2693" ht="15.75" hidden="1" customHeight="1">
      <c r="A2693" s="90" t="str">
        <f>IF(CLIENTES!A8="","",CLIENTES!A8)</f>
        <v/>
      </c>
      <c r="B2693" s="90" t="s">
        <v>331</v>
      </c>
      <c r="C2693" s="91" t="s">
        <v>328</v>
      </c>
      <c r="D2693" s="109" t="s">
        <v>366</v>
      </c>
      <c r="E2693" s="67" t="str">
        <f>COLORES!A16</f>
        <v>Topo</v>
      </c>
      <c r="F2693" s="67" t="str">
        <f>COLORES!B16</f>
        <v>CLARO</v>
      </c>
      <c r="G2693" s="90" t="s">
        <v>376</v>
      </c>
      <c r="H2693" s="100">
        <f>IFERROR(SUMIFS(MOVIMIENTOS_COMPLEMENTOS!$I$4:$I$803,MOVIMIENTOS_COMPLEMENTOS!$C$4:$C$803,A2693,MOVIMIENTOS_COMPLEMENTOS!$D$4:$D$803,B2693,MOVIMIENTOS_COMPLEMENTOS!$E$4:$E$803,C2693,MOVIMIENTOS_COMPLEMENTOS!$F$4:$F$803,D2693,MOVIMIENTOS_COMPLEMENTOS!$G$4:$G$803,E2693,MOVIMIENTOS_COMPLEMENTOS!$H$4:$H$803,G2693,MOVIMIENTOS_COMPLEMENTOS!$B$4:$B$803,"INGRESO")+SUMIFS(MOVIMIENTOS_COMPLEMENTOS!$I$4:$I$803,MOVIMIENTOS_COMPLEMENTOS!$C$4:$C$803,A2693,MOVIMIENTOS_COMPLEMENTOS!$D$4:$D$803,B2693,MOVIMIENTOS_COMPLEMENTOS!$E$4:$E$803,C2693,MOVIMIENTOS_COMPLEMENTOS!$F$4:$F$803,D2693,MOVIMIENTOS_COMPLEMENTOS!$G$4:$G$803,E2693,MOVIMIENTOS_COMPLEMENTOS!$H$4:$H$803,G2693,MOVIMIENTOS_COMPLEMENTOS!$B$4:$B$803,"DE CORTE")-SUMIFS(MOVIMIENTOS_COMPLEMENTOS!$I$4:$I$803,MOVIMIENTOS_COMPLEMENTOS!$C$4:$C$803,A2693,MOVIMIENTOS_COMPLEMENTOS!$D$4:$D$803,B2693,MOVIMIENTOS_COMPLEMENTOS!$E$4:$E$803,C2693,MOVIMIENTOS_COMPLEMENTOS!$F$4:$F$803,D2693,MOVIMIENTOS_COMPLEMENTOS!$G$4:$G$803,E2693,MOVIMIENTOS_COMPLEMENTOS!$H$4:$H$803,G2693,MOVIMIENTOS_COMPLEMENTOS!$B$4:$B$803,"SALIDA"),0)</f>
        <v>0</v>
      </c>
      <c r="I2693" s="102">
        <f t="array" ref="I2693">IFERROR(INDEX(PRECIOS_COMPLEMENTOS!$C$4:$F$17,MATCH(B2693&amp;"_"&amp;C2693,PRECIOS_COMPLEMENTOS!$H$4:$H$17,0),IF(OR(G2693="S",G2693="20cm"),1,IF(OR(G2693="M",G2693="25cm"),2,IF(OR(G2693="L",G2693="30cm"),3,IF(OR(G2693="XL",G2693="35cm"),4,0))))),0)</f>
        <v>0.6</v>
      </c>
      <c r="J2693" s="103">
        <f t="shared" si="1"/>
        <v>0</v>
      </c>
      <c r="K2693" s="104" t="str">
        <f>IF(H2693&lt;0,"ERROR",IF(H2693=0,"",IF(H2693&lt;CONFIG!$B$4,"CRÍTICO",IF(H2693&lt;CONFIG!$B$5,"BAJO","OK"))))</f>
        <v/>
      </c>
    </row>
    <row r="2694" ht="15.75" hidden="1" customHeight="1">
      <c r="A2694" s="90" t="str">
        <f>IF(CLIENTES!A8="","",CLIENTES!A8)</f>
        <v/>
      </c>
      <c r="B2694" s="90" t="s">
        <v>331</v>
      </c>
      <c r="C2694" s="91" t="s">
        <v>328</v>
      </c>
      <c r="D2694" s="109" t="s">
        <v>366</v>
      </c>
      <c r="E2694" s="67" t="str">
        <f>COLORES!A16</f>
        <v>Topo</v>
      </c>
      <c r="F2694" s="67" t="str">
        <f>COLORES!B16</f>
        <v>CLARO</v>
      </c>
      <c r="G2694" s="90" t="s">
        <v>377</v>
      </c>
      <c r="H2694" s="100">
        <f>IFERROR(SUMIFS(MOVIMIENTOS_COMPLEMENTOS!$I$4:$I$803,MOVIMIENTOS_COMPLEMENTOS!$C$4:$C$803,A2694,MOVIMIENTOS_COMPLEMENTOS!$D$4:$D$803,B2694,MOVIMIENTOS_COMPLEMENTOS!$E$4:$E$803,C2694,MOVIMIENTOS_COMPLEMENTOS!$F$4:$F$803,D2694,MOVIMIENTOS_COMPLEMENTOS!$G$4:$G$803,E2694,MOVIMIENTOS_COMPLEMENTOS!$H$4:$H$803,G2694,MOVIMIENTOS_COMPLEMENTOS!$B$4:$B$803,"INGRESO")+SUMIFS(MOVIMIENTOS_COMPLEMENTOS!$I$4:$I$803,MOVIMIENTOS_COMPLEMENTOS!$C$4:$C$803,A2694,MOVIMIENTOS_COMPLEMENTOS!$D$4:$D$803,B2694,MOVIMIENTOS_COMPLEMENTOS!$E$4:$E$803,C2694,MOVIMIENTOS_COMPLEMENTOS!$F$4:$F$803,D2694,MOVIMIENTOS_COMPLEMENTOS!$G$4:$G$803,E2694,MOVIMIENTOS_COMPLEMENTOS!$H$4:$H$803,G2694,MOVIMIENTOS_COMPLEMENTOS!$B$4:$B$803,"DE CORTE")-SUMIFS(MOVIMIENTOS_COMPLEMENTOS!$I$4:$I$803,MOVIMIENTOS_COMPLEMENTOS!$C$4:$C$803,A2694,MOVIMIENTOS_COMPLEMENTOS!$D$4:$D$803,B2694,MOVIMIENTOS_COMPLEMENTOS!$E$4:$E$803,C2694,MOVIMIENTOS_COMPLEMENTOS!$F$4:$F$803,D2694,MOVIMIENTOS_COMPLEMENTOS!$G$4:$G$803,E2694,MOVIMIENTOS_COMPLEMENTOS!$H$4:$H$803,G2694,MOVIMIENTOS_COMPLEMENTOS!$B$4:$B$803,"SALIDA"),0)</f>
        <v>0</v>
      </c>
      <c r="I2694" s="102">
        <f t="array" ref="I2694">IFERROR(INDEX(PRECIOS_COMPLEMENTOS!$C$4:$F$17,MATCH(B2694&amp;"_"&amp;C2694,PRECIOS_COMPLEMENTOS!$H$4:$H$17,0),IF(OR(G2694="S",G2694="20cm"),1,IF(OR(G2694="M",G2694="25cm"),2,IF(OR(G2694="L",G2694="30cm"),3,IF(OR(G2694="XL",G2694="35cm"),4,0))))),0)</f>
        <v>0.6</v>
      </c>
      <c r="J2694" s="103">
        <f t="shared" si="1"/>
        <v>0</v>
      </c>
      <c r="K2694" s="104" t="str">
        <f>IF(H2694&lt;0,"ERROR",IF(H2694=0,"",IF(H2694&lt;CONFIG!$B$4,"CRÍTICO",IF(H2694&lt;CONFIG!$B$5,"BAJO","OK"))))</f>
        <v/>
      </c>
    </row>
    <row r="2695" ht="15.75" hidden="1" customHeight="1">
      <c r="A2695" s="90" t="str">
        <f>IF(CLIENTES!A8="","",CLIENTES!A8)</f>
        <v/>
      </c>
      <c r="B2695" s="90" t="s">
        <v>331</v>
      </c>
      <c r="C2695" s="91" t="s">
        <v>328</v>
      </c>
      <c r="D2695" s="109" t="s">
        <v>366</v>
      </c>
      <c r="E2695" s="67" t="str">
        <f>COLORES!A16</f>
        <v>Topo</v>
      </c>
      <c r="F2695" s="67" t="str">
        <f>COLORES!B16</f>
        <v>CLARO</v>
      </c>
      <c r="G2695" s="90" t="s">
        <v>379</v>
      </c>
      <c r="H2695" s="100">
        <f>IFERROR(SUMIFS(MOVIMIENTOS_COMPLEMENTOS!$I$4:$I$803,MOVIMIENTOS_COMPLEMENTOS!$C$4:$C$803,A2695,MOVIMIENTOS_COMPLEMENTOS!$D$4:$D$803,B2695,MOVIMIENTOS_COMPLEMENTOS!$E$4:$E$803,C2695,MOVIMIENTOS_COMPLEMENTOS!$F$4:$F$803,D2695,MOVIMIENTOS_COMPLEMENTOS!$G$4:$G$803,E2695,MOVIMIENTOS_COMPLEMENTOS!$H$4:$H$803,G2695,MOVIMIENTOS_COMPLEMENTOS!$B$4:$B$803,"INGRESO")+SUMIFS(MOVIMIENTOS_COMPLEMENTOS!$I$4:$I$803,MOVIMIENTOS_COMPLEMENTOS!$C$4:$C$803,A2695,MOVIMIENTOS_COMPLEMENTOS!$D$4:$D$803,B2695,MOVIMIENTOS_COMPLEMENTOS!$E$4:$E$803,C2695,MOVIMIENTOS_COMPLEMENTOS!$F$4:$F$803,D2695,MOVIMIENTOS_COMPLEMENTOS!$G$4:$G$803,E2695,MOVIMIENTOS_COMPLEMENTOS!$H$4:$H$803,G2695,MOVIMIENTOS_COMPLEMENTOS!$B$4:$B$803,"DE CORTE")-SUMIFS(MOVIMIENTOS_COMPLEMENTOS!$I$4:$I$803,MOVIMIENTOS_COMPLEMENTOS!$C$4:$C$803,A2695,MOVIMIENTOS_COMPLEMENTOS!$D$4:$D$803,B2695,MOVIMIENTOS_COMPLEMENTOS!$E$4:$E$803,C2695,MOVIMIENTOS_COMPLEMENTOS!$F$4:$F$803,D2695,MOVIMIENTOS_COMPLEMENTOS!$G$4:$G$803,E2695,MOVIMIENTOS_COMPLEMENTOS!$H$4:$H$803,G2695,MOVIMIENTOS_COMPLEMENTOS!$B$4:$B$803,"SALIDA"),0)</f>
        <v>0</v>
      </c>
      <c r="I2695" s="102">
        <f t="array" ref="I2695">IFERROR(INDEX(PRECIOS_COMPLEMENTOS!$C$4:$F$17,MATCH(B2695&amp;"_"&amp;C2695,PRECIOS_COMPLEMENTOS!$H$4:$H$17,0),IF(OR(G2695="S",G2695="20cm"),1,IF(OR(G2695="M",G2695="25cm"),2,IF(OR(G2695="L",G2695="30cm"),3,IF(OR(G2695="XL",G2695="35cm"),4,0))))),0)</f>
        <v>0.6</v>
      </c>
      <c r="J2695" s="103">
        <f t="shared" si="1"/>
        <v>0</v>
      </c>
      <c r="K2695" s="104" t="str">
        <f>IF(H2695&lt;0,"ERROR",IF(H2695=0,"",IF(H2695&lt;CONFIG!$B$4,"CRÍTICO",IF(H2695&lt;CONFIG!$B$5,"BAJO","OK"))))</f>
        <v/>
      </c>
    </row>
    <row r="2696" ht="15.75" hidden="1" customHeight="1">
      <c r="A2696" s="90" t="str">
        <f>IF(CLIENTES!A8="","",CLIENTES!A8)</f>
        <v/>
      </c>
      <c r="B2696" s="90" t="s">
        <v>331</v>
      </c>
      <c r="C2696" s="91" t="s">
        <v>328</v>
      </c>
      <c r="D2696" s="109" t="s">
        <v>366</v>
      </c>
      <c r="E2696" s="67" t="str">
        <f>COLORES!A17</f>
        <v>Vino</v>
      </c>
      <c r="F2696" s="67" t="str">
        <f>COLORES!B17</f>
        <v>OSCURO</v>
      </c>
      <c r="G2696" s="90" t="s">
        <v>378</v>
      </c>
      <c r="H2696" s="100">
        <f>IFERROR(SUMIFS(MOVIMIENTOS_COMPLEMENTOS!$I$4:$I$803,MOVIMIENTOS_COMPLEMENTOS!$C$4:$C$803,A2696,MOVIMIENTOS_COMPLEMENTOS!$D$4:$D$803,B2696,MOVIMIENTOS_COMPLEMENTOS!$E$4:$E$803,C2696,MOVIMIENTOS_COMPLEMENTOS!$F$4:$F$803,D2696,MOVIMIENTOS_COMPLEMENTOS!$G$4:$G$803,E2696,MOVIMIENTOS_COMPLEMENTOS!$H$4:$H$803,G2696,MOVIMIENTOS_COMPLEMENTOS!$B$4:$B$803,"INGRESO")+SUMIFS(MOVIMIENTOS_COMPLEMENTOS!$I$4:$I$803,MOVIMIENTOS_COMPLEMENTOS!$C$4:$C$803,A2696,MOVIMIENTOS_COMPLEMENTOS!$D$4:$D$803,B2696,MOVIMIENTOS_COMPLEMENTOS!$E$4:$E$803,C2696,MOVIMIENTOS_COMPLEMENTOS!$F$4:$F$803,D2696,MOVIMIENTOS_COMPLEMENTOS!$G$4:$G$803,E2696,MOVIMIENTOS_COMPLEMENTOS!$H$4:$H$803,G2696,MOVIMIENTOS_COMPLEMENTOS!$B$4:$B$803,"DE CORTE")-SUMIFS(MOVIMIENTOS_COMPLEMENTOS!$I$4:$I$803,MOVIMIENTOS_COMPLEMENTOS!$C$4:$C$803,A2696,MOVIMIENTOS_COMPLEMENTOS!$D$4:$D$803,B2696,MOVIMIENTOS_COMPLEMENTOS!$E$4:$E$803,C2696,MOVIMIENTOS_COMPLEMENTOS!$F$4:$F$803,D2696,MOVIMIENTOS_COMPLEMENTOS!$G$4:$G$803,E2696,MOVIMIENTOS_COMPLEMENTOS!$H$4:$H$803,G2696,MOVIMIENTOS_COMPLEMENTOS!$B$4:$B$803,"SALIDA"),0)</f>
        <v>0</v>
      </c>
      <c r="I2696" s="102">
        <f t="array" ref="I2696">IFERROR(INDEX(PRECIOS_COMPLEMENTOS!$C$4:$F$17,MATCH(B2696&amp;"_"&amp;C2696,PRECIOS_COMPLEMENTOS!$H$4:$H$17,0),IF(OR(G2696="S",G2696="20cm"),1,IF(OR(G2696="M",G2696="25cm"),2,IF(OR(G2696="L",G2696="30cm"),3,IF(OR(G2696="XL",G2696="35cm"),4,0))))),0)</f>
        <v>0.6</v>
      </c>
      <c r="J2696" s="103">
        <f t="shared" si="1"/>
        <v>0</v>
      </c>
      <c r="K2696" s="104" t="str">
        <f>IF(H2696&lt;0,"ERROR",IF(H2696=0,"",IF(H2696&lt;CONFIG!$B$4,"CRÍTICO",IF(H2696&lt;CONFIG!$B$5,"BAJO","OK"))))</f>
        <v/>
      </c>
    </row>
    <row r="2697" ht="15.75" hidden="1" customHeight="1">
      <c r="A2697" s="90" t="str">
        <f>IF(CLIENTES!A8="","",CLIENTES!A8)</f>
        <v/>
      </c>
      <c r="B2697" s="90" t="s">
        <v>331</v>
      </c>
      <c r="C2697" s="91" t="s">
        <v>328</v>
      </c>
      <c r="D2697" s="109" t="s">
        <v>366</v>
      </c>
      <c r="E2697" s="67" t="str">
        <f>COLORES!A17</f>
        <v>Vino</v>
      </c>
      <c r="F2697" s="67" t="str">
        <f>COLORES!B17</f>
        <v>OSCURO</v>
      </c>
      <c r="G2697" s="90" t="s">
        <v>376</v>
      </c>
      <c r="H2697" s="100">
        <f>IFERROR(SUMIFS(MOVIMIENTOS_COMPLEMENTOS!$I$4:$I$803,MOVIMIENTOS_COMPLEMENTOS!$C$4:$C$803,A2697,MOVIMIENTOS_COMPLEMENTOS!$D$4:$D$803,B2697,MOVIMIENTOS_COMPLEMENTOS!$E$4:$E$803,C2697,MOVIMIENTOS_COMPLEMENTOS!$F$4:$F$803,D2697,MOVIMIENTOS_COMPLEMENTOS!$G$4:$G$803,E2697,MOVIMIENTOS_COMPLEMENTOS!$H$4:$H$803,G2697,MOVIMIENTOS_COMPLEMENTOS!$B$4:$B$803,"INGRESO")+SUMIFS(MOVIMIENTOS_COMPLEMENTOS!$I$4:$I$803,MOVIMIENTOS_COMPLEMENTOS!$C$4:$C$803,A2697,MOVIMIENTOS_COMPLEMENTOS!$D$4:$D$803,B2697,MOVIMIENTOS_COMPLEMENTOS!$E$4:$E$803,C2697,MOVIMIENTOS_COMPLEMENTOS!$F$4:$F$803,D2697,MOVIMIENTOS_COMPLEMENTOS!$G$4:$G$803,E2697,MOVIMIENTOS_COMPLEMENTOS!$H$4:$H$803,G2697,MOVIMIENTOS_COMPLEMENTOS!$B$4:$B$803,"DE CORTE")-SUMIFS(MOVIMIENTOS_COMPLEMENTOS!$I$4:$I$803,MOVIMIENTOS_COMPLEMENTOS!$C$4:$C$803,A2697,MOVIMIENTOS_COMPLEMENTOS!$D$4:$D$803,B2697,MOVIMIENTOS_COMPLEMENTOS!$E$4:$E$803,C2697,MOVIMIENTOS_COMPLEMENTOS!$F$4:$F$803,D2697,MOVIMIENTOS_COMPLEMENTOS!$G$4:$G$803,E2697,MOVIMIENTOS_COMPLEMENTOS!$H$4:$H$803,G2697,MOVIMIENTOS_COMPLEMENTOS!$B$4:$B$803,"SALIDA"),0)</f>
        <v>0</v>
      </c>
      <c r="I2697" s="102">
        <f t="array" ref="I2697">IFERROR(INDEX(PRECIOS_COMPLEMENTOS!$C$4:$F$17,MATCH(B2697&amp;"_"&amp;C2697,PRECIOS_COMPLEMENTOS!$H$4:$H$17,0),IF(OR(G2697="S",G2697="20cm"),1,IF(OR(G2697="M",G2697="25cm"),2,IF(OR(G2697="L",G2697="30cm"),3,IF(OR(G2697="XL",G2697="35cm"),4,0))))),0)</f>
        <v>0.6</v>
      </c>
      <c r="J2697" s="103">
        <f t="shared" si="1"/>
        <v>0</v>
      </c>
      <c r="K2697" s="104" t="str">
        <f>IF(H2697&lt;0,"ERROR",IF(H2697=0,"",IF(H2697&lt;CONFIG!$B$4,"CRÍTICO",IF(H2697&lt;CONFIG!$B$5,"BAJO","OK"))))</f>
        <v/>
      </c>
    </row>
    <row r="2698" ht="15.75" hidden="1" customHeight="1">
      <c r="A2698" s="90" t="str">
        <f>IF(CLIENTES!A8="","",CLIENTES!A8)</f>
        <v/>
      </c>
      <c r="B2698" s="90" t="s">
        <v>331</v>
      </c>
      <c r="C2698" s="91" t="s">
        <v>328</v>
      </c>
      <c r="D2698" s="109" t="s">
        <v>366</v>
      </c>
      <c r="E2698" s="67" t="str">
        <f>COLORES!A17</f>
        <v>Vino</v>
      </c>
      <c r="F2698" s="67" t="str">
        <f>COLORES!B17</f>
        <v>OSCURO</v>
      </c>
      <c r="G2698" s="90" t="s">
        <v>377</v>
      </c>
      <c r="H2698" s="100">
        <f>IFERROR(SUMIFS(MOVIMIENTOS_COMPLEMENTOS!$I$4:$I$803,MOVIMIENTOS_COMPLEMENTOS!$C$4:$C$803,A2698,MOVIMIENTOS_COMPLEMENTOS!$D$4:$D$803,B2698,MOVIMIENTOS_COMPLEMENTOS!$E$4:$E$803,C2698,MOVIMIENTOS_COMPLEMENTOS!$F$4:$F$803,D2698,MOVIMIENTOS_COMPLEMENTOS!$G$4:$G$803,E2698,MOVIMIENTOS_COMPLEMENTOS!$H$4:$H$803,G2698,MOVIMIENTOS_COMPLEMENTOS!$B$4:$B$803,"INGRESO")+SUMIFS(MOVIMIENTOS_COMPLEMENTOS!$I$4:$I$803,MOVIMIENTOS_COMPLEMENTOS!$C$4:$C$803,A2698,MOVIMIENTOS_COMPLEMENTOS!$D$4:$D$803,B2698,MOVIMIENTOS_COMPLEMENTOS!$E$4:$E$803,C2698,MOVIMIENTOS_COMPLEMENTOS!$F$4:$F$803,D2698,MOVIMIENTOS_COMPLEMENTOS!$G$4:$G$803,E2698,MOVIMIENTOS_COMPLEMENTOS!$H$4:$H$803,G2698,MOVIMIENTOS_COMPLEMENTOS!$B$4:$B$803,"DE CORTE")-SUMIFS(MOVIMIENTOS_COMPLEMENTOS!$I$4:$I$803,MOVIMIENTOS_COMPLEMENTOS!$C$4:$C$803,A2698,MOVIMIENTOS_COMPLEMENTOS!$D$4:$D$803,B2698,MOVIMIENTOS_COMPLEMENTOS!$E$4:$E$803,C2698,MOVIMIENTOS_COMPLEMENTOS!$F$4:$F$803,D2698,MOVIMIENTOS_COMPLEMENTOS!$G$4:$G$803,E2698,MOVIMIENTOS_COMPLEMENTOS!$H$4:$H$803,G2698,MOVIMIENTOS_COMPLEMENTOS!$B$4:$B$803,"SALIDA"),0)</f>
        <v>0</v>
      </c>
      <c r="I2698" s="102">
        <f t="array" ref="I2698">IFERROR(INDEX(PRECIOS_COMPLEMENTOS!$C$4:$F$17,MATCH(B2698&amp;"_"&amp;C2698,PRECIOS_COMPLEMENTOS!$H$4:$H$17,0),IF(OR(G2698="S",G2698="20cm"),1,IF(OR(G2698="M",G2698="25cm"),2,IF(OR(G2698="L",G2698="30cm"),3,IF(OR(G2698="XL",G2698="35cm"),4,0))))),0)</f>
        <v>0.6</v>
      </c>
      <c r="J2698" s="103">
        <f t="shared" si="1"/>
        <v>0</v>
      </c>
      <c r="K2698" s="104" t="str">
        <f>IF(H2698&lt;0,"ERROR",IF(H2698=0,"",IF(H2698&lt;CONFIG!$B$4,"CRÍTICO",IF(H2698&lt;CONFIG!$B$5,"BAJO","OK"))))</f>
        <v/>
      </c>
    </row>
    <row r="2699" ht="15.75" hidden="1" customHeight="1">
      <c r="A2699" s="90" t="str">
        <f>IF(CLIENTES!A8="","",CLIENTES!A8)</f>
        <v/>
      </c>
      <c r="B2699" s="90" t="s">
        <v>331</v>
      </c>
      <c r="C2699" s="91" t="s">
        <v>328</v>
      </c>
      <c r="D2699" s="109" t="s">
        <v>366</v>
      </c>
      <c r="E2699" s="67" t="str">
        <f>COLORES!A17</f>
        <v>Vino</v>
      </c>
      <c r="F2699" s="67" t="str">
        <f>COLORES!B17</f>
        <v>OSCURO</v>
      </c>
      <c r="G2699" s="90" t="s">
        <v>379</v>
      </c>
      <c r="H2699" s="100">
        <f>IFERROR(SUMIFS(MOVIMIENTOS_COMPLEMENTOS!$I$4:$I$803,MOVIMIENTOS_COMPLEMENTOS!$C$4:$C$803,A2699,MOVIMIENTOS_COMPLEMENTOS!$D$4:$D$803,B2699,MOVIMIENTOS_COMPLEMENTOS!$E$4:$E$803,C2699,MOVIMIENTOS_COMPLEMENTOS!$F$4:$F$803,D2699,MOVIMIENTOS_COMPLEMENTOS!$G$4:$G$803,E2699,MOVIMIENTOS_COMPLEMENTOS!$H$4:$H$803,G2699,MOVIMIENTOS_COMPLEMENTOS!$B$4:$B$803,"INGRESO")+SUMIFS(MOVIMIENTOS_COMPLEMENTOS!$I$4:$I$803,MOVIMIENTOS_COMPLEMENTOS!$C$4:$C$803,A2699,MOVIMIENTOS_COMPLEMENTOS!$D$4:$D$803,B2699,MOVIMIENTOS_COMPLEMENTOS!$E$4:$E$803,C2699,MOVIMIENTOS_COMPLEMENTOS!$F$4:$F$803,D2699,MOVIMIENTOS_COMPLEMENTOS!$G$4:$G$803,E2699,MOVIMIENTOS_COMPLEMENTOS!$H$4:$H$803,G2699,MOVIMIENTOS_COMPLEMENTOS!$B$4:$B$803,"DE CORTE")-SUMIFS(MOVIMIENTOS_COMPLEMENTOS!$I$4:$I$803,MOVIMIENTOS_COMPLEMENTOS!$C$4:$C$803,A2699,MOVIMIENTOS_COMPLEMENTOS!$D$4:$D$803,B2699,MOVIMIENTOS_COMPLEMENTOS!$E$4:$E$803,C2699,MOVIMIENTOS_COMPLEMENTOS!$F$4:$F$803,D2699,MOVIMIENTOS_COMPLEMENTOS!$G$4:$G$803,E2699,MOVIMIENTOS_COMPLEMENTOS!$H$4:$H$803,G2699,MOVIMIENTOS_COMPLEMENTOS!$B$4:$B$803,"SALIDA"),0)</f>
        <v>0</v>
      </c>
      <c r="I2699" s="102">
        <f t="array" ref="I2699">IFERROR(INDEX(PRECIOS_COMPLEMENTOS!$C$4:$F$17,MATCH(B2699&amp;"_"&amp;C2699,PRECIOS_COMPLEMENTOS!$H$4:$H$17,0),IF(OR(G2699="S",G2699="20cm"),1,IF(OR(G2699="M",G2699="25cm"),2,IF(OR(G2699="L",G2699="30cm"),3,IF(OR(G2699="XL",G2699="35cm"),4,0))))),0)</f>
        <v>0.6</v>
      </c>
      <c r="J2699" s="103">
        <f t="shared" si="1"/>
        <v>0</v>
      </c>
      <c r="K2699" s="104" t="str">
        <f>IF(H2699&lt;0,"ERROR",IF(H2699=0,"",IF(H2699&lt;CONFIG!$B$4,"CRÍTICO",IF(H2699&lt;CONFIG!$B$5,"BAJO","OK"))))</f>
        <v/>
      </c>
    </row>
    <row r="2700" ht="15.75" hidden="1" customHeight="1">
      <c r="A2700" s="90" t="str">
        <f>IF(CLIENTES!A8="","",CLIENTES!A8)</f>
        <v/>
      </c>
      <c r="B2700" s="90" t="s">
        <v>331</v>
      </c>
      <c r="C2700" s="91" t="s">
        <v>328</v>
      </c>
      <c r="D2700" s="109" t="s">
        <v>366</v>
      </c>
      <c r="E2700" s="67" t="str">
        <f>COLORES!A18</f>
        <v>P. Rosa</v>
      </c>
      <c r="F2700" s="67" t="str">
        <f>COLORES!B18</f>
        <v>CLARO</v>
      </c>
      <c r="G2700" s="90" t="s">
        <v>378</v>
      </c>
      <c r="H2700" s="100">
        <f>IFERROR(SUMIFS(MOVIMIENTOS_COMPLEMENTOS!$I$4:$I$803,MOVIMIENTOS_COMPLEMENTOS!$C$4:$C$803,A2700,MOVIMIENTOS_COMPLEMENTOS!$D$4:$D$803,B2700,MOVIMIENTOS_COMPLEMENTOS!$E$4:$E$803,C2700,MOVIMIENTOS_COMPLEMENTOS!$F$4:$F$803,D2700,MOVIMIENTOS_COMPLEMENTOS!$G$4:$G$803,E2700,MOVIMIENTOS_COMPLEMENTOS!$H$4:$H$803,G2700,MOVIMIENTOS_COMPLEMENTOS!$B$4:$B$803,"INGRESO")+SUMIFS(MOVIMIENTOS_COMPLEMENTOS!$I$4:$I$803,MOVIMIENTOS_COMPLEMENTOS!$C$4:$C$803,A2700,MOVIMIENTOS_COMPLEMENTOS!$D$4:$D$803,B2700,MOVIMIENTOS_COMPLEMENTOS!$E$4:$E$803,C2700,MOVIMIENTOS_COMPLEMENTOS!$F$4:$F$803,D2700,MOVIMIENTOS_COMPLEMENTOS!$G$4:$G$803,E2700,MOVIMIENTOS_COMPLEMENTOS!$H$4:$H$803,G2700,MOVIMIENTOS_COMPLEMENTOS!$B$4:$B$803,"DE CORTE")-SUMIFS(MOVIMIENTOS_COMPLEMENTOS!$I$4:$I$803,MOVIMIENTOS_COMPLEMENTOS!$C$4:$C$803,A2700,MOVIMIENTOS_COMPLEMENTOS!$D$4:$D$803,B2700,MOVIMIENTOS_COMPLEMENTOS!$E$4:$E$803,C2700,MOVIMIENTOS_COMPLEMENTOS!$F$4:$F$803,D2700,MOVIMIENTOS_COMPLEMENTOS!$G$4:$G$803,E2700,MOVIMIENTOS_COMPLEMENTOS!$H$4:$H$803,G2700,MOVIMIENTOS_COMPLEMENTOS!$B$4:$B$803,"SALIDA"),0)</f>
        <v>0</v>
      </c>
      <c r="I2700" s="102">
        <f t="array" ref="I2700">IFERROR(INDEX(PRECIOS_COMPLEMENTOS!$C$4:$F$17,MATCH(B2700&amp;"_"&amp;C2700,PRECIOS_COMPLEMENTOS!$H$4:$H$17,0),IF(OR(G2700="S",G2700="20cm"),1,IF(OR(G2700="M",G2700="25cm"),2,IF(OR(G2700="L",G2700="30cm"),3,IF(OR(G2700="XL",G2700="35cm"),4,0))))),0)</f>
        <v>0.6</v>
      </c>
      <c r="J2700" s="103">
        <f t="shared" si="1"/>
        <v>0</v>
      </c>
      <c r="K2700" s="104" t="str">
        <f>IF(H2700&lt;0,"ERROR",IF(H2700=0,"",IF(H2700&lt;CONFIG!$B$4,"CRÍTICO",IF(H2700&lt;CONFIG!$B$5,"BAJO","OK"))))</f>
        <v/>
      </c>
    </row>
    <row r="2701" ht="15.75" hidden="1" customHeight="1">
      <c r="A2701" s="90" t="str">
        <f>IF(CLIENTES!A8="","",CLIENTES!A8)</f>
        <v/>
      </c>
      <c r="B2701" s="90" t="s">
        <v>331</v>
      </c>
      <c r="C2701" s="91" t="s">
        <v>328</v>
      </c>
      <c r="D2701" s="109" t="s">
        <v>366</v>
      </c>
      <c r="E2701" s="67" t="str">
        <f>COLORES!A18</f>
        <v>P. Rosa</v>
      </c>
      <c r="F2701" s="67" t="str">
        <f>COLORES!B18</f>
        <v>CLARO</v>
      </c>
      <c r="G2701" s="90" t="s">
        <v>376</v>
      </c>
      <c r="H2701" s="100">
        <f>IFERROR(SUMIFS(MOVIMIENTOS_COMPLEMENTOS!$I$4:$I$803,MOVIMIENTOS_COMPLEMENTOS!$C$4:$C$803,A2701,MOVIMIENTOS_COMPLEMENTOS!$D$4:$D$803,B2701,MOVIMIENTOS_COMPLEMENTOS!$E$4:$E$803,C2701,MOVIMIENTOS_COMPLEMENTOS!$F$4:$F$803,D2701,MOVIMIENTOS_COMPLEMENTOS!$G$4:$G$803,E2701,MOVIMIENTOS_COMPLEMENTOS!$H$4:$H$803,G2701,MOVIMIENTOS_COMPLEMENTOS!$B$4:$B$803,"INGRESO")+SUMIFS(MOVIMIENTOS_COMPLEMENTOS!$I$4:$I$803,MOVIMIENTOS_COMPLEMENTOS!$C$4:$C$803,A2701,MOVIMIENTOS_COMPLEMENTOS!$D$4:$D$803,B2701,MOVIMIENTOS_COMPLEMENTOS!$E$4:$E$803,C2701,MOVIMIENTOS_COMPLEMENTOS!$F$4:$F$803,D2701,MOVIMIENTOS_COMPLEMENTOS!$G$4:$G$803,E2701,MOVIMIENTOS_COMPLEMENTOS!$H$4:$H$803,G2701,MOVIMIENTOS_COMPLEMENTOS!$B$4:$B$803,"DE CORTE")-SUMIFS(MOVIMIENTOS_COMPLEMENTOS!$I$4:$I$803,MOVIMIENTOS_COMPLEMENTOS!$C$4:$C$803,A2701,MOVIMIENTOS_COMPLEMENTOS!$D$4:$D$803,B2701,MOVIMIENTOS_COMPLEMENTOS!$E$4:$E$803,C2701,MOVIMIENTOS_COMPLEMENTOS!$F$4:$F$803,D2701,MOVIMIENTOS_COMPLEMENTOS!$G$4:$G$803,E2701,MOVIMIENTOS_COMPLEMENTOS!$H$4:$H$803,G2701,MOVIMIENTOS_COMPLEMENTOS!$B$4:$B$803,"SALIDA"),0)</f>
        <v>0</v>
      </c>
      <c r="I2701" s="102">
        <f t="array" ref="I2701">IFERROR(INDEX(PRECIOS_COMPLEMENTOS!$C$4:$F$17,MATCH(B2701&amp;"_"&amp;C2701,PRECIOS_COMPLEMENTOS!$H$4:$H$17,0),IF(OR(G2701="S",G2701="20cm"),1,IF(OR(G2701="M",G2701="25cm"),2,IF(OR(G2701="L",G2701="30cm"),3,IF(OR(G2701="XL",G2701="35cm"),4,0))))),0)</f>
        <v>0.6</v>
      </c>
      <c r="J2701" s="103">
        <f t="shared" si="1"/>
        <v>0</v>
      </c>
      <c r="K2701" s="104" t="str">
        <f>IF(H2701&lt;0,"ERROR",IF(H2701=0,"",IF(H2701&lt;CONFIG!$B$4,"CRÍTICO",IF(H2701&lt;CONFIG!$B$5,"BAJO","OK"))))</f>
        <v/>
      </c>
    </row>
    <row r="2702" ht="15.75" hidden="1" customHeight="1">
      <c r="A2702" s="90" t="str">
        <f>IF(CLIENTES!A8="","",CLIENTES!A8)</f>
        <v/>
      </c>
      <c r="B2702" s="90" t="s">
        <v>331</v>
      </c>
      <c r="C2702" s="91" t="s">
        <v>328</v>
      </c>
      <c r="D2702" s="109" t="s">
        <v>366</v>
      </c>
      <c r="E2702" s="67" t="str">
        <f>COLORES!A18</f>
        <v>P. Rosa</v>
      </c>
      <c r="F2702" s="67" t="str">
        <f>COLORES!B18</f>
        <v>CLARO</v>
      </c>
      <c r="G2702" s="90" t="s">
        <v>377</v>
      </c>
      <c r="H2702" s="100">
        <f>IFERROR(SUMIFS(MOVIMIENTOS_COMPLEMENTOS!$I$4:$I$803,MOVIMIENTOS_COMPLEMENTOS!$C$4:$C$803,A2702,MOVIMIENTOS_COMPLEMENTOS!$D$4:$D$803,B2702,MOVIMIENTOS_COMPLEMENTOS!$E$4:$E$803,C2702,MOVIMIENTOS_COMPLEMENTOS!$F$4:$F$803,D2702,MOVIMIENTOS_COMPLEMENTOS!$G$4:$G$803,E2702,MOVIMIENTOS_COMPLEMENTOS!$H$4:$H$803,G2702,MOVIMIENTOS_COMPLEMENTOS!$B$4:$B$803,"INGRESO")+SUMIFS(MOVIMIENTOS_COMPLEMENTOS!$I$4:$I$803,MOVIMIENTOS_COMPLEMENTOS!$C$4:$C$803,A2702,MOVIMIENTOS_COMPLEMENTOS!$D$4:$D$803,B2702,MOVIMIENTOS_COMPLEMENTOS!$E$4:$E$803,C2702,MOVIMIENTOS_COMPLEMENTOS!$F$4:$F$803,D2702,MOVIMIENTOS_COMPLEMENTOS!$G$4:$G$803,E2702,MOVIMIENTOS_COMPLEMENTOS!$H$4:$H$803,G2702,MOVIMIENTOS_COMPLEMENTOS!$B$4:$B$803,"DE CORTE")-SUMIFS(MOVIMIENTOS_COMPLEMENTOS!$I$4:$I$803,MOVIMIENTOS_COMPLEMENTOS!$C$4:$C$803,A2702,MOVIMIENTOS_COMPLEMENTOS!$D$4:$D$803,B2702,MOVIMIENTOS_COMPLEMENTOS!$E$4:$E$803,C2702,MOVIMIENTOS_COMPLEMENTOS!$F$4:$F$803,D2702,MOVIMIENTOS_COMPLEMENTOS!$G$4:$G$803,E2702,MOVIMIENTOS_COMPLEMENTOS!$H$4:$H$803,G2702,MOVIMIENTOS_COMPLEMENTOS!$B$4:$B$803,"SALIDA"),0)</f>
        <v>0</v>
      </c>
      <c r="I2702" s="102">
        <f t="array" ref="I2702">IFERROR(INDEX(PRECIOS_COMPLEMENTOS!$C$4:$F$17,MATCH(B2702&amp;"_"&amp;C2702,PRECIOS_COMPLEMENTOS!$H$4:$H$17,0),IF(OR(G2702="S",G2702="20cm"),1,IF(OR(G2702="M",G2702="25cm"),2,IF(OR(G2702="L",G2702="30cm"),3,IF(OR(G2702="XL",G2702="35cm"),4,0))))),0)</f>
        <v>0.6</v>
      </c>
      <c r="J2702" s="103">
        <f t="shared" si="1"/>
        <v>0</v>
      </c>
      <c r="K2702" s="104" t="str">
        <f>IF(H2702&lt;0,"ERROR",IF(H2702=0,"",IF(H2702&lt;CONFIG!$B$4,"CRÍTICO",IF(H2702&lt;CONFIG!$B$5,"BAJO","OK"))))</f>
        <v/>
      </c>
    </row>
    <row r="2703" ht="15.75" hidden="1" customHeight="1">
      <c r="A2703" s="90" t="str">
        <f>IF(CLIENTES!A8="","",CLIENTES!A8)</f>
        <v/>
      </c>
      <c r="B2703" s="90" t="s">
        <v>331</v>
      </c>
      <c r="C2703" s="91" t="s">
        <v>328</v>
      </c>
      <c r="D2703" s="109" t="s">
        <v>366</v>
      </c>
      <c r="E2703" s="67" t="str">
        <f>COLORES!A18</f>
        <v>P. Rosa</v>
      </c>
      <c r="F2703" s="67" t="str">
        <f>COLORES!B18</f>
        <v>CLARO</v>
      </c>
      <c r="G2703" s="90" t="s">
        <v>379</v>
      </c>
      <c r="H2703" s="100">
        <f>IFERROR(SUMIFS(MOVIMIENTOS_COMPLEMENTOS!$I$4:$I$803,MOVIMIENTOS_COMPLEMENTOS!$C$4:$C$803,A2703,MOVIMIENTOS_COMPLEMENTOS!$D$4:$D$803,B2703,MOVIMIENTOS_COMPLEMENTOS!$E$4:$E$803,C2703,MOVIMIENTOS_COMPLEMENTOS!$F$4:$F$803,D2703,MOVIMIENTOS_COMPLEMENTOS!$G$4:$G$803,E2703,MOVIMIENTOS_COMPLEMENTOS!$H$4:$H$803,G2703,MOVIMIENTOS_COMPLEMENTOS!$B$4:$B$803,"INGRESO")+SUMIFS(MOVIMIENTOS_COMPLEMENTOS!$I$4:$I$803,MOVIMIENTOS_COMPLEMENTOS!$C$4:$C$803,A2703,MOVIMIENTOS_COMPLEMENTOS!$D$4:$D$803,B2703,MOVIMIENTOS_COMPLEMENTOS!$E$4:$E$803,C2703,MOVIMIENTOS_COMPLEMENTOS!$F$4:$F$803,D2703,MOVIMIENTOS_COMPLEMENTOS!$G$4:$G$803,E2703,MOVIMIENTOS_COMPLEMENTOS!$H$4:$H$803,G2703,MOVIMIENTOS_COMPLEMENTOS!$B$4:$B$803,"DE CORTE")-SUMIFS(MOVIMIENTOS_COMPLEMENTOS!$I$4:$I$803,MOVIMIENTOS_COMPLEMENTOS!$C$4:$C$803,A2703,MOVIMIENTOS_COMPLEMENTOS!$D$4:$D$803,B2703,MOVIMIENTOS_COMPLEMENTOS!$E$4:$E$803,C2703,MOVIMIENTOS_COMPLEMENTOS!$F$4:$F$803,D2703,MOVIMIENTOS_COMPLEMENTOS!$G$4:$G$803,E2703,MOVIMIENTOS_COMPLEMENTOS!$H$4:$H$803,G2703,MOVIMIENTOS_COMPLEMENTOS!$B$4:$B$803,"SALIDA"),0)</f>
        <v>0</v>
      </c>
      <c r="I2703" s="102">
        <f t="array" ref="I2703">IFERROR(INDEX(PRECIOS_COMPLEMENTOS!$C$4:$F$17,MATCH(B2703&amp;"_"&amp;C2703,PRECIOS_COMPLEMENTOS!$H$4:$H$17,0),IF(OR(G2703="S",G2703="20cm"),1,IF(OR(G2703="M",G2703="25cm"),2,IF(OR(G2703="L",G2703="30cm"),3,IF(OR(G2703="XL",G2703="35cm"),4,0))))),0)</f>
        <v>0.6</v>
      </c>
      <c r="J2703" s="103">
        <f t="shared" si="1"/>
        <v>0</v>
      </c>
      <c r="K2703" s="104" t="str">
        <f>IF(H2703&lt;0,"ERROR",IF(H2703=0,"",IF(H2703&lt;CONFIG!$B$4,"CRÍTICO",IF(H2703&lt;CONFIG!$B$5,"BAJO","OK"))))</f>
        <v/>
      </c>
    </row>
    <row r="2704" ht="15.75" hidden="1" customHeight="1">
      <c r="A2704" s="90" t="str">
        <f>IF(CLIENTES!A8="","",CLIENTES!A8)</f>
        <v/>
      </c>
      <c r="B2704" s="90" t="s">
        <v>331</v>
      </c>
      <c r="C2704" s="91" t="s">
        <v>328</v>
      </c>
      <c r="D2704" s="109" t="s">
        <v>366</v>
      </c>
      <c r="E2704" s="67" t="str">
        <f>COLORES!A19</f>
        <v/>
      </c>
      <c r="F2704" s="67" t="str">
        <f>COLORES!B19</f>
        <v/>
      </c>
      <c r="G2704" s="90" t="s">
        <v>378</v>
      </c>
      <c r="H2704" s="100">
        <f>IFERROR(SUMIFS(MOVIMIENTOS_COMPLEMENTOS!$I$4:$I$803,MOVIMIENTOS_COMPLEMENTOS!$C$4:$C$803,A2704,MOVIMIENTOS_COMPLEMENTOS!$D$4:$D$803,B2704,MOVIMIENTOS_COMPLEMENTOS!$E$4:$E$803,C2704,MOVIMIENTOS_COMPLEMENTOS!$F$4:$F$803,D2704,MOVIMIENTOS_COMPLEMENTOS!$G$4:$G$803,E2704,MOVIMIENTOS_COMPLEMENTOS!$H$4:$H$803,G2704,MOVIMIENTOS_COMPLEMENTOS!$B$4:$B$803,"INGRESO")+SUMIFS(MOVIMIENTOS_COMPLEMENTOS!$I$4:$I$803,MOVIMIENTOS_COMPLEMENTOS!$C$4:$C$803,A2704,MOVIMIENTOS_COMPLEMENTOS!$D$4:$D$803,B2704,MOVIMIENTOS_COMPLEMENTOS!$E$4:$E$803,C2704,MOVIMIENTOS_COMPLEMENTOS!$F$4:$F$803,D2704,MOVIMIENTOS_COMPLEMENTOS!$G$4:$G$803,E2704,MOVIMIENTOS_COMPLEMENTOS!$H$4:$H$803,G2704,MOVIMIENTOS_COMPLEMENTOS!$B$4:$B$803,"DE CORTE")-SUMIFS(MOVIMIENTOS_COMPLEMENTOS!$I$4:$I$803,MOVIMIENTOS_COMPLEMENTOS!$C$4:$C$803,A2704,MOVIMIENTOS_COMPLEMENTOS!$D$4:$D$803,B2704,MOVIMIENTOS_COMPLEMENTOS!$E$4:$E$803,C2704,MOVIMIENTOS_COMPLEMENTOS!$F$4:$F$803,D2704,MOVIMIENTOS_COMPLEMENTOS!$G$4:$G$803,E2704,MOVIMIENTOS_COMPLEMENTOS!$H$4:$H$803,G2704,MOVIMIENTOS_COMPLEMENTOS!$B$4:$B$803,"SALIDA"),0)</f>
        <v>0</v>
      </c>
      <c r="I2704" s="102">
        <f t="array" ref="I2704">IFERROR(INDEX(PRECIOS_COMPLEMENTOS!$C$4:$F$17,MATCH(B2704&amp;"_"&amp;C2704,PRECIOS_COMPLEMENTOS!$H$4:$H$17,0),IF(OR(G2704="S",G2704="20cm"),1,IF(OR(G2704="M",G2704="25cm"),2,IF(OR(G2704="L",G2704="30cm"),3,IF(OR(G2704="XL",G2704="35cm"),4,0))))),0)</f>
        <v>0.6</v>
      </c>
      <c r="J2704" s="103">
        <f t="shared" si="1"/>
        <v>0</v>
      </c>
      <c r="K2704" s="104" t="str">
        <f>IF(H2704&lt;0,"ERROR",IF(H2704=0,"",IF(H2704&lt;CONFIG!$B$4,"CRÍTICO",IF(H2704&lt;CONFIG!$B$5,"BAJO","OK"))))</f>
        <v/>
      </c>
    </row>
    <row r="2705" ht="15.75" hidden="1" customHeight="1">
      <c r="A2705" s="90" t="str">
        <f>IF(CLIENTES!A8="","",CLIENTES!A8)</f>
        <v/>
      </c>
      <c r="B2705" s="90" t="s">
        <v>331</v>
      </c>
      <c r="C2705" s="91" t="s">
        <v>328</v>
      </c>
      <c r="D2705" s="109" t="s">
        <v>366</v>
      </c>
      <c r="E2705" s="67" t="str">
        <f>COLORES!A19</f>
        <v/>
      </c>
      <c r="F2705" s="67" t="str">
        <f>COLORES!B19</f>
        <v/>
      </c>
      <c r="G2705" s="90" t="s">
        <v>376</v>
      </c>
      <c r="H2705" s="100">
        <f>IFERROR(SUMIFS(MOVIMIENTOS_COMPLEMENTOS!$I$4:$I$803,MOVIMIENTOS_COMPLEMENTOS!$C$4:$C$803,A2705,MOVIMIENTOS_COMPLEMENTOS!$D$4:$D$803,B2705,MOVIMIENTOS_COMPLEMENTOS!$E$4:$E$803,C2705,MOVIMIENTOS_COMPLEMENTOS!$F$4:$F$803,D2705,MOVIMIENTOS_COMPLEMENTOS!$G$4:$G$803,E2705,MOVIMIENTOS_COMPLEMENTOS!$H$4:$H$803,G2705,MOVIMIENTOS_COMPLEMENTOS!$B$4:$B$803,"INGRESO")+SUMIFS(MOVIMIENTOS_COMPLEMENTOS!$I$4:$I$803,MOVIMIENTOS_COMPLEMENTOS!$C$4:$C$803,A2705,MOVIMIENTOS_COMPLEMENTOS!$D$4:$D$803,B2705,MOVIMIENTOS_COMPLEMENTOS!$E$4:$E$803,C2705,MOVIMIENTOS_COMPLEMENTOS!$F$4:$F$803,D2705,MOVIMIENTOS_COMPLEMENTOS!$G$4:$G$803,E2705,MOVIMIENTOS_COMPLEMENTOS!$H$4:$H$803,G2705,MOVIMIENTOS_COMPLEMENTOS!$B$4:$B$803,"DE CORTE")-SUMIFS(MOVIMIENTOS_COMPLEMENTOS!$I$4:$I$803,MOVIMIENTOS_COMPLEMENTOS!$C$4:$C$803,A2705,MOVIMIENTOS_COMPLEMENTOS!$D$4:$D$803,B2705,MOVIMIENTOS_COMPLEMENTOS!$E$4:$E$803,C2705,MOVIMIENTOS_COMPLEMENTOS!$F$4:$F$803,D2705,MOVIMIENTOS_COMPLEMENTOS!$G$4:$G$803,E2705,MOVIMIENTOS_COMPLEMENTOS!$H$4:$H$803,G2705,MOVIMIENTOS_COMPLEMENTOS!$B$4:$B$803,"SALIDA"),0)</f>
        <v>0</v>
      </c>
      <c r="I2705" s="102">
        <f t="array" ref="I2705">IFERROR(INDEX(PRECIOS_COMPLEMENTOS!$C$4:$F$17,MATCH(B2705&amp;"_"&amp;C2705,PRECIOS_COMPLEMENTOS!$H$4:$H$17,0),IF(OR(G2705="S",G2705="20cm"),1,IF(OR(G2705="M",G2705="25cm"),2,IF(OR(G2705="L",G2705="30cm"),3,IF(OR(G2705="XL",G2705="35cm"),4,0))))),0)</f>
        <v>0.6</v>
      </c>
      <c r="J2705" s="103">
        <f t="shared" si="1"/>
        <v>0</v>
      </c>
      <c r="K2705" s="104" t="str">
        <f>IF(H2705&lt;0,"ERROR",IF(H2705=0,"",IF(H2705&lt;CONFIG!$B$4,"CRÍTICO",IF(H2705&lt;CONFIG!$B$5,"BAJO","OK"))))</f>
        <v/>
      </c>
    </row>
    <row r="2706" ht="15.75" hidden="1" customHeight="1">
      <c r="A2706" s="90" t="str">
        <f>IF(CLIENTES!A8="","",CLIENTES!A8)</f>
        <v/>
      </c>
      <c r="B2706" s="90" t="s">
        <v>331</v>
      </c>
      <c r="C2706" s="91" t="s">
        <v>328</v>
      </c>
      <c r="D2706" s="109" t="s">
        <v>366</v>
      </c>
      <c r="E2706" s="67" t="str">
        <f>COLORES!A19</f>
        <v/>
      </c>
      <c r="F2706" s="67" t="str">
        <f>COLORES!B19</f>
        <v/>
      </c>
      <c r="G2706" s="90" t="s">
        <v>377</v>
      </c>
      <c r="H2706" s="100">
        <f>IFERROR(SUMIFS(MOVIMIENTOS_COMPLEMENTOS!$I$4:$I$803,MOVIMIENTOS_COMPLEMENTOS!$C$4:$C$803,A2706,MOVIMIENTOS_COMPLEMENTOS!$D$4:$D$803,B2706,MOVIMIENTOS_COMPLEMENTOS!$E$4:$E$803,C2706,MOVIMIENTOS_COMPLEMENTOS!$F$4:$F$803,D2706,MOVIMIENTOS_COMPLEMENTOS!$G$4:$G$803,E2706,MOVIMIENTOS_COMPLEMENTOS!$H$4:$H$803,G2706,MOVIMIENTOS_COMPLEMENTOS!$B$4:$B$803,"INGRESO")+SUMIFS(MOVIMIENTOS_COMPLEMENTOS!$I$4:$I$803,MOVIMIENTOS_COMPLEMENTOS!$C$4:$C$803,A2706,MOVIMIENTOS_COMPLEMENTOS!$D$4:$D$803,B2706,MOVIMIENTOS_COMPLEMENTOS!$E$4:$E$803,C2706,MOVIMIENTOS_COMPLEMENTOS!$F$4:$F$803,D2706,MOVIMIENTOS_COMPLEMENTOS!$G$4:$G$803,E2706,MOVIMIENTOS_COMPLEMENTOS!$H$4:$H$803,G2706,MOVIMIENTOS_COMPLEMENTOS!$B$4:$B$803,"DE CORTE")-SUMIFS(MOVIMIENTOS_COMPLEMENTOS!$I$4:$I$803,MOVIMIENTOS_COMPLEMENTOS!$C$4:$C$803,A2706,MOVIMIENTOS_COMPLEMENTOS!$D$4:$D$803,B2706,MOVIMIENTOS_COMPLEMENTOS!$E$4:$E$803,C2706,MOVIMIENTOS_COMPLEMENTOS!$F$4:$F$803,D2706,MOVIMIENTOS_COMPLEMENTOS!$G$4:$G$803,E2706,MOVIMIENTOS_COMPLEMENTOS!$H$4:$H$803,G2706,MOVIMIENTOS_COMPLEMENTOS!$B$4:$B$803,"SALIDA"),0)</f>
        <v>0</v>
      </c>
      <c r="I2706" s="102">
        <f t="array" ref="I2706">IFERROR(INDEX(PRECIOS_COMPLEMENTOS!$C$4:$F$17,MATCH(B2706&amp;"_"&amp;C2706,PRECIOS_COMPLEMENTOS!$H$4:$H$17,0),IF(OR(G2706="S",G2706="20cm"),1,IF(OR(G2706="M",G2706="25cm"),2,IF(OR(G2706="L",G2706="30cm"),3,IF(OR(G2706="XL",G2706="35cm"),4,0))))),0)</f>
        <v>0.6</v>
      </c>
      <c r="J2706" s="103">
        <f t="shared" si="1"/>
        <v>0</v>
      </c>
      <c r="K2706" s="104" t="str">
        <f>IF(H2706&lt;0,"ERROR",IF(H2706=0,"",IF(H2706&lt;CONFIG!$B$4,"CRÍTICO",IF(H2706&lt;CONFIG!$B$5,"BAJO","OK"))))</f>
        <v/>
      </c>
    </row>
    <row r="2707" ht="15.75" hidden="1" customHeight="1">
      <c r="A2707" s="90" t="str">
        <f>IF(CLIENTES!A8="","",CLIENTES!A8)</f>
        <v/>
      </c>
      <c r="B2707" s="90" t="s">
        <v>331</v>
      </c>
      <c r="C2707" s="91" t="s">
        <v>328</v>
      </c>
      <c r="D2707" s="109" t="s">
        <v>366</v>
      </c>
      <c r="E2707" s="67" t="str">
        <f>COLORES!A19</f>
        <v/>
      </c>
      <c r="F2707" s="67" t="str">
        <f>COLORES!B19</f>
        <v/>
      </c>
      <c r="G2707" s="90" t="s">
        <v>379</v>
      </c>
      <c r="H2707" s="100">
        <f>IFERROR(SUMIFS(MOVIMIENTOS_COMPLEMENTOS!$I$4:$I$803,MOVIMIENTOS_COMPLEMENTOS!$C$4:$C$803,A2707,MOVIMIENTOS_COMPLEMENTOS!$D$4:$D$803,B2707,MOVIMIENTOS_COMPLEMENTOS!$E$4:$E$803,C2707,MOVIMIENTOS_COMPLEMENTOS!$F$4:$F$803,D2707,MOVIMIENTOS_COMPLEMENTOS!$G$4:$G$803,E2707,MOVIMIENTOS_COMPLEMENTOS!$H$4:$H$803,G2707,MOVIMIENTOS_COMPLEMENTOS!$B$4:$B$803,"INGRESO")+SUMIFS(MOVIMIENTOS_COMPLEMENTOS!$I$4:$I$803,MOVIMIENTOS_COMPLEMENTOS!$C$4:$C$803,A2707,MOVIMIENTOS_COMPLEMENTOS!$D$4:$D$803,B2707,MOVIMIENTOS_COMPLEMENTOS!$E$4:$E$803,C2707,MOVIMIENTOS_COMPLEMENTOS!$F$4:$F$803,D2707,MOVIMIENTOS_COMPLEMENTOS!$G$4:$G$803,E2707,MOVIMIENTOS_COMPLEMENTOS!$H$4:$H$803,G2707,MOVIMIENTOS_COMPLEMENTOS!$B$4:$B$803,"DE CORTE")-SUMIFS(MOVIMIENTOS_COMPLEMENTOS!$I$4:$I$803,MOVIMIENTOS_COMPLEMENTOS!$C$4:$C$803,A2707,MOVIMIENTOS_COMPLEMENTOS!$D$4:$D$803,B2707,MOVIMIENTOS_COMPLEMENTOS!$E$4:$E$803,C2707,MOVIMIENTOS_COMPLEMENTOS!$F$4:$F$803,D2707,MOVIMIENTOS_COMPLEMENTOS!$G$4:$G$803,E2707,MOVIMIENTOS_COMPLEMENTOS!$H$4:$H$803,G2707,MOVIMIENTOS_COMPLEMENTOS!$B$4:$B$803,"SALIDA"),0)</f>
        <v>0</v>
      </c>
      <c r="I2707" s="102">
        <f t="array" ref="I2707">IFERROR(INDEX(PRECIOS_COMPLEMENTOS!$C$4:$F$17,MATCH(B2707&amp;"_"&amp;C2707,PRECIOS_COMPLEMENTOS!$H$4:$H$17,0),IF(OR(G2707="S",G2707="20cm"),1,IF(OR(G2707="M",G2707="25cm"),2,IF(OR(G2707="L",G2707="30cm"),3,IF(OR(G2707="XL",G2707="35cm"),4,0))))),0)</f>
        <v>0.6</v>
      </c>
      <c r="J2707" s="103">
        <f t="shared" si="1"/>
        <v>0</v>
      </c>
      <c r="K2707" s="104" t="str">
        <f>IF(H2707&lt;0,"ERROR",IF(H2707=0,"",IF(H2707&lt;CONFIG!$B$4,"CRÍTICO",IF(H2707&lt;CONFIG!$B$5,"BAJO","OK"))))</f>
        <v/>
      </c>
    </row>
    <row r="2708" ht="15.75" hidden="1" customHeight="1">
      <c r="A2708" s="90" t="str">
        <f>IF(CLIENTES!A8="","",CLIENTES!A8)</f>
        <v/>
      </c>
      <c r="B2708" s="90" t="s">
        <v>331</v>
      </c>
      <c r="C2708" s="91" t="s">
        <v>328</v>
      </c>
      <c r="D2708" s="109" t="s">
        <v>366</v>
      </c>
      <c r="E2708" s="67" t="str">
        <f>COLORES!A20</f>
        <v/>
      </c>
      <c r="F2708" s="67" t="str">
        <f>COLORES!B20</f>
        <v/>
      </c>
      <c r="G2708" s="90" t="s">
        <v>378</v>
      </c>
      <c r="H2708" s="100">
        <f>IFERROR(SUMIFS(MOVIMIENTOS_COMPLEMENTOS!$I$4:$I$803,MOVIMIENTOS_COMPLEMENTOS!$C$4:$C$803,A2708,MOVIMIENTOS_COMPLEMENTOS!$D$4:$D$803,B2708,MOVIMIENTOS_COMPLEMENTOS!$E$4:$E$803,C2708,MOVIMIENTOS_COMPLEMENTOS!$F$4:$F$803,D2708,MOVIMIENTOS_COMPLEMENTOS!$G$4:$G$803,E2708,MOVIMIENTOS_COMPLEMENTOS!$H$4:$H$803,G2708,MOVIMIENTOS_COMPLEMENTOS!$B$4:$B$803,"INGRESO")+SUMIFS(MOVIMIENTOS_COMPLEMENTOS!$I$4:$I$803,MOVIMIENTOS_COMPLEMENTOS!$C$4:$C$803,A2708,MOVIMIENTOS_COMPLEMENTOS!$D$4:$D$803,B2708,MOVIMIENTOS_COMPLEMENTOS!$E$4:$E$803,C2708,MOVIMIENTOS_COMPLEMENTOS!$F$4:$F$803,D2708,MOVIMIENTOS_COMPLEMENTOS!$G$4:$G$803,E2708,MOVIMIENTOS_COMPLEMENTOS!$H$4:$H$803,G2708,MOVIMIENTOS_COMPLEMENTOS!$B$4:$B$803,"DE CORTE")-SUMIFS(MOVIMIENTOS_COMPLEMENTOS!$I$4:$I$803,MOVIMIENTOS_COMPLEMENTOS!$C$4:$C$803,A2708,MOVIMIENTOS_COMPLEMENTOS!$D$4:$D$803,B2708,MOVIMIENTOS_COMPLEMENTOS!$E$4:$E$803,C2708,MOVIMIENTOS_COMPLEMENTOS!$F$4:$F$803,D2708,MOVIMIENTOS_COMPLEMENTOS!$G$4:$G$803,E2708,MOVIMIENTOS_COMPLEMENTOS!$H$4:$H$803,G2708,MOVIMIENTOS_COMPLEMENTOS!$B$4:$B$803,"SALIDA"),0)</f>
        <v>0</v>
      </c>
      <c r="I2708" s="102">
        <f t="array" ref="I2708">IFERROR(INDEX(PRECIOS_COMPLEMENTOS!$C$4:$F$17,MATCH(B2708&amp;"_"&amp;C2708,PRECIOS_COMPLEMENTOS!$H$4:$H$17,0),IF(OR(G2708="S",G2708="20cm"),1,IF(OR(G2708="M",G2708="25cm"),2,IF(OR(G2708="L",G2708="30cm"),3,IF(OR(G2708="XL",G2708="35cm"),4,0))))),0)</f>
        <v>0.6</v>
      </c>
      <c r="J2708" s="103">
        <f t="shared" si="1"/>
        <v>0</v>
      </c>
      <c r="K2708" s="104" t="str">
        <f>IF(H2708&lt;0,"ERROR",IF(H2708=0,"",IF(H2708&lt;CONFIG!$B$4,"CRÍTICO",IF(H2708&lt;CONFIG!$B$5,"BAJO","OK"))))</f>
        <v/>
      </c>
    </row>
    <row r="2709" ht="15.75" hidden="1" customHeight="1">
      <c r="A2709" s="90" t="str">
        <f>IF(CLIENTES!A8="","",CLIENTES!A8)</f>
        <v/>
      </c>
      <c r="B2709" s="90" t="s">
        <v>331</v>
      </c>
      <c r="C2709" s="91" t="s">
        <v>328</v>
      </c>
      <c r="D2709" s="109" t="s">
        <v>366</v>
      </c>
      <c r="E2709" s="67" t="str">
        <f>COLORES!A20</f>
        <v/>
      </c>
      <c r="F2709" s="67" t="str">
        <f>COLORES!B20</f>
        <v/>
      </c>
      <c r="G2709" s="90" t="s">
        <v>376</v>
      </c>
      <c r="H2709" s="100">
        <f>IFERROR(SUMIFS(MOVIMIENTOS_COMPLEMENTOS!$I$4:$I$803,MOVIMIENTOS_COMPLEMENTOS!$C$4:$C$803,A2709,MOVIMIENTOS_COMPLEMENTOS!$D$4:$D$803,B2709,MOVIMIENTOS_COMPLEMENTOS!$E$4:$E$803,C2709,MOVIMIENTOS_COMPLEMENTOS!$F$4:$F$803,D2709,MOVIMIENTOS_COMPLEMENTOS!$G$4:$G$803,E2709,MOVIMIENTOS_COMPLEMENTOS!$H$4:$H$803,G2709,MOVIMIENTOS_COMPLEMENTOS!$B$4:$B$803,"INGRESO")+SUMIFS(MOVIMIENTOS_COMPLEMENTOS!$I$4:$I$803,MOVIMIENTOS_COMPLEMENTOS!$C$4:$C$803,A2709,MOVIMIENTOS_COMPLEMENTOS!$D$4:$D$803,B2709,MOVIMIENTOS_COMPLEMENTOS!$E$4:$E$803,C2709,MOVIMIENTOS_COMPLEMENTOS!$F$4:$F$803,D2709,MOVIMIENTOS_COMPLEMENTOS!$G$4:$G$803,E2709,MOVIMIENTOS_COMPLEMENTOS!$H$4:$H$803,G2709,MOVIMIENTOS_COMPLEMENTOS!$B$4:$B$803,"DE CORTE")-SUMIFS(MOVIMIENTOS_COMPLEMENTOS!$I$4:$I$803,MOVIMIENTOS_COMPLEMENTOS!$C$4:$C$803,A2709,MOVIMIENTOS_COMPLEMENTOS!$D$4:$D$803,B2709,MOVIMIENTOS_COMPLEMENTOS!$E$4:$E$803,C2709,MOVIMIENTOS_COMPLEMENTOS!$F$4:$F$803,D2709,MOVIMIENTOS_COMPLEMENTOS!$G$4:$G$803,E2709,MOVIMIENTOS_COMPLEMENTOS!$H$4:$H$803,G2709,MOVIMIENTOS_COMPLEMENTOS!$B$4:$B$803,"SALIDA"),0)</f>
        <v>0</v>
      </c>
      <c r="I2709" s="102">
        <f t="array" ref="I2709">IFERROR(INDEX(PRECIOS_COMPLEMENTOS!$C$4:$F$17,MATCH(B2709&amp;"_"&amp;C2709,PRECIOS_COMPLEMENTOS!$H$4:$H$17,0),IF(OR(G2709="S",G2709="20cm"),1,IF(OR(G2709="M",G2709="25cm"),2,IF(OR(G2709="L",G2709="30cm"),3,IF(OR(G2709="XL",G2709="35cm"),4,0))))),0)</f>
        <v>0.6</v>
      </c>
      <c r="J2709" s="103">
        <f t="shared" si="1"/>
        <v>0</v>
      </c>
      <c r="K2709" s="104" t="str">
        <f>IF(H2709&lt;0,"ERROR",IF(H2709=0,"",IF(H2709&lt;CONFIG!$B$4,"CRÍTICO",IF(H2709&lt;CONFIG!$B$5,"BAJO","OK"))))</f>
        <v/>
      </c>
    </row>
    <row r="2710" ht="15.75" hidden="1" customHeight="1">
      <c r="A2710" s="90" t="str">
        <f>IF(CLIENTES!A8="","",CLIENTES!A8)</f>
        <v/>
      </c>
      <c r="B2710" s="90" t="s">
        <v>331</v>
      </c>
      <c r="C2710" s="91" t="s">
        <v>328</v>
      </c>
      <c r="D2710" s="109" t="s">
        <v>366</v>
      </c>
      <c r="E2710" s="67" t="str">
        <f>COLORES!A20</f>
        <v/>
      </c>
      <c r="F2710" s="67" t="str">
        <f>COLORES!B20</f>
        <v/>
      </c>
      <c r="G2710" s="90" t="s">
        <v>377</v>
      </c>
      <c r="H2710" s="100">
        <f>IFERROR(SUMIFS(MOVIMIENTOS_COMPLEMENTOS!$I$4:$I$803,MOVIMIENTOS_COMPLEMENTOS!$C$4:$C$803,A2710,MOVIMIENTOS_COMPLEMENTOS!$D$4:$D$803,B2710,MOVIMIENTOS_COMPLEMENTOS!$E$4:$E$803,C2710,MOVIMIENTOS_COMPLEMENTOS!$F$4:$F$803,D2710,MOVIMIENTOS_COMPLEMENTOS!$G$4:$G$803,E2710,MOVIMIENTOS_COMPLEMENTOS!$H$4:$H$803,G2710,MOVIMIENTOS_COMPLEMENTOS!$B$4:$B$803,"INGRESO")+SUMIFS(MOVIMIENTOS_COMPLEMENTOS!$I$4:$I$803,MOVIMIENTOS_COMPLEMENTOS!$C$4:$C$803,A2710,MOVIMIENTOS_COMPLEMENTOS!$D$4:$D$803,B2710,MOVIMIENTOS_COMPLEMENTOS!$E$4:$E$803,C2710,MOVIMIENTOS_COMPLEMENTOS!$F$4:$F$803,D2710,MOVIMIENTOS_COMPLEMENTOS!$G$4:$G$803,E2710,MOVIMIENTOS_COMPLEMENTOS!$H$4:$H$803,G2710,MOVIMIENTOS_COMPLEMENTOS!$B$4:$B$803,"DE CORTE")-SUMIFS(MOVIMIENTOS_COMPLEMENTOS!$I$4:$I$803,MOVIMIENTOS_COMPLEMENTOS!$C$4:$C$803,A2710,MOVIMIENTOS_COMPLEMENTOS!$D$4:$D$803,B2710,MOVIMIENTOS_COMPLEMENTOS!$E$4:$E$803,C2710,MOVIMIENTOS_COMPLEMENTOS!$F$4:$F$803,D2710,MOVIMIENTOS_COMPLEMENTOS!$G$4:$G$803,E2710,MOVIMIENTOS_COMPLEMENTOS!$H$4:$H$803,G2710,MOVIMIENTOS_COMPLEMENTOS!$B$4:$B$803,"SALIDA"),0)</f>
        <v>0</v>
      </c>
      <c r="I2710" s="102">
        <f t="array" ref="I2710">IFERROR(INDEX(PRECIOS_COMPLEMENTOS!$C$4:$F$17,MATCH(B2710&amp;"_"&amp;C2710,PRECIOS_COMPLEMENTOS!$H$4:$H$17,0),IF(OR(G2710="S",G2710="20cm"),1,IF(OR(G2710="M",G2710="25cm"),2,IF(OR(G2710="L",G2710="30cm"),3,IF(OR(G2710="XL",G2710="35cm"),4,0))))),0)</f>
        <v>0.6</v>
      </c>
      <c r="J2710" s="103">
        <f t="shared" si="1"/>
        <v>0</v>
      </c>
      <c r="K2710" s="104" t="str">
        <f>IF(H2710&lt;0,"ERROR",IF(H2710=0,"",IF(H2710&lt;CONFIG!$B$4,"CRÍTICO",IF(H2710&lt;CONFIG!$B$5,"BAJO","OK"))))</f>
        <v/>
      </c>
    </row>
    <row r="2711" ht="15.75" hidden="1" customHeight="1">
      <c r="A2711" s="90" t="str">
        <f>IF(CLIENTES!A8="","",CLIENTES!A8)</f>
        <v/>
      </c>
      <c r="B2711" s="90" t="s">
        <v>331</v>
      </c>
      <c r="C2711" s="91" t="s">
        <v>328</v>
      </c>
      <c r="D2711" s="109" t="s">
        <v>366</v>
      </c>
      <c r="E2711" s="67" t="str">
        <f>COLORES!A20</f>
        <v/>
      </c>
      <c r="F2711" s="67" t="str">
        <f>COLORES!B20</f>
        <v/>
      </c>
      <c r="G2711" s="90" t="s">
        <v>379</v>
      </c>
      <c r="H2711" s="100">
        <f>IFERROR(SUMIFS(MOVIMIENTOS_COMPLEMENTOS!$I$4:$I$803,MOVIMIENTOS_COMPLEMENTOS!$C$4:$C$803,A2711,MOVIMIENTOS_COMPLEMENTOS!$D$4:$D$803,B2711,MOVIMIENTOS_COMPLEMENTOS!$E$4:$E$803,C2711,MOVIMIENTOS_COMPLEMENTOS!$F$4:$F$803,D2711,MOVIMIENTOS_COMPLEMENTOS!$G$4:$G$803,E2711,MOVIMIENTOS_COMPLEMENTOS!$H$4:$H$803,G2711,MOVIMIENTOS_COMPLEMENTOS!$B$4:$B$803,"INGRESO")+SUMIFS(MOVIMIENTOS_COMPLEMENTOS!$I$4:$I$803,MOVIMIENTOS_COMPLEMENTOS!$C$4:$C$803,A2711,MOVIMIENTOS_COMPLEMENTOS!$D$4:$D$803,B2711,MOVIMIENTOS_COMPLEMENTOS!$E$4:$E$803,C2711,MOVIMIENTOS_COMPLEMENTOS!$F$4:$F$803,D2711,MOVIMIENTOS_COMPLEMENTOS!$G$4:$G$803,E2711,MOVIMIENTOS_COMPLEMENTOS!$H$4:$H$803,G2711,MOVIMIENTOS_COMPLEMENTOS!$B$4:$B$803,"DE CORTE")-SUMIFS(MOVIMIENTOS_COMPLEMENTOS!$I$4:$I$803,MOVIMIENTOS_COMPLEMENTOS!$C$4:$C$803,A2711,MOVIMIENTOS_COMPLEMENTOS!$D$4:$D$803,B2711,MOVIMIENTOS_COMPLEMENTOS!$E$4:$E$803,C2711,MOVIMIENTOS_COMPLEMENTOS!$F$4:$F$803,D2711,MOVIMIENTOS_COMPLEMENTOS!$G$4:$G$803,E2711,MOVIMIENTOS_COMPLEMENTOS!$H$4:$H$803,G2711,MOVIMIENTOS_COMPLEMENTOS!$B$4:$B$803,"SALIDA"),0)</f>
        <v>0</v>
      </c>
      <c r="I2711" s="102">
        <f t="array" ref="I2711">IFERROR(INDEX(PRECIOS_COMPLEMENTOS!$C$4:$F$17,MATCH(B2711&amp;"_"&amp;C2711,PRECIOS_COMPLEMENTOS!$H$4:$H$17,0),IF(OR(G2711="S",G2711="20cm"),1,IF(OR(G2711="M",G2711="25cm"),2,IF(OR(G2711="L",G2711="30cm"),3,IF(OR(G2711="XL",G2711="35cm"),4,0))))),0)</f>
        <v>0.6</v>
      </c>
      <c r="J2711" s="103">
        <f t="shared" si="1"/>
        <v>0</v>
      </c>
      <c r="K2711" s="104" t="str">
        <f>IF(H2711&lt;0,"ERROR",IF(H2711=0,"",IF(H2711&lt;CONFIG!$B$4,"CRÍTICO",IF(H2711&lt;CONFIG!$B$5,"BAJO","OK"))))</f>
        <v/>
      </c>
    </row>
    <row r="2712" ht="15.75" hidden="1" customHeight="1">
      <c r="A2712" s="90" t="str">
        <f>IF(CLIENTES!A8="","",CLIENTES!A8)</f>
        <v/>
      </c>
      <c r="B2712" s="90" t="s">
        <v>331</v>
      </c>
      <c r="C2712" s="91" t="s">
        <v>328</v>
      </c>
      <c r="D2712" s="109" t="s">
        <v>366</v>
      </c>
      <c r="E2712" s="67" t="str">
        <f>COLORES!A21</f>
        <v/>
      </c>
      <c r="F2712" s="67" t="str">
        <f>COLORES!B21</f>
        <v/>
      </c>
      <c r="G2712" s="90" t="s">
        <v>378</v>
      </c>
      <c r="H2712" s="100">
        <f>IFERROR(SUMIFS(MOVIMIENTOS_COMPLEMENTOS!$I$4:$I$803,MOVIMIENTOS_COMPLEMENTOS!$C$4:$C$803,A2712,MOVIMIENTOS_COMPLEMENTOS!$D$4:$D$803,B2712,MOVIMIENTOS_COMPLEMENTOS!$E$4:$E$803,C2712,MOVIMIENTOS_COMPLEMENTOS!$F$4:$F$803,D2712,MOVIMIENTOS_COMPLEMENTOS!$G$4:$G$803,E2712,MOVIMIENTOS_COMPLEMENTOS!$H$4:$H$803,G2712,MOVIMIENTOS_COMPLEMENTOS!$B$4:$B$803,"INGRESO")+SUMIFS(MOVIMIENTOS_COMPLEMENTOS!$I$4:$I$803,MOVIMIENTOS_COMPLEMENTOS!$C$4:$C$803,A2712,MOVIMIENTOS_COMPLEMENTOS!$D$4:$D$803,B2712,MOVIMIENTOS_COMPLEMENTOS!$E$4:$E$803,C2712,MOVIMIENTOS_COMPLEMENTOS!$F$4:$F$803,D2712,MOVIMIENTOS_COMPLEMENTOS!$G$4:$G$803,E2712,MOVIMIENTOS_COMPLEMENTOS!$H$4:$H$803,G2712,MOVIMIENTOS_COMPLEMENTOS!$B$4:$B$803,"DE CORTE")-SUMIFS(MOVIMIENTOS_COMPLEMENTOS!$I$4:$I$803,MOVIMIENTOS_COMPLEMENTOS!$C$4:$C$803,A2712,MOVIMIENTOS_COMPLEMENTOS!$D$4:$D$803,B2712,MOVIMIENTOS_COMPLEMENTOS!$E$4:$E$803,C2712,MOVIMIENTOS_COMPLEMENTOS!$F$4:$F$803,D2712,MOVIMIENTOS_COMPLEMENTOS!$G$4:$G$803,E2712,MOVIMIENTOS_COMPLEMENTOS!$H$4:$H$803,G2712,MOVIMIENTOS_COMPLEMENTOS!$B$4:$B$803,"SALIDA"),0)</f>
        <v>0</v>
      </c>
      <c r="I2712" s="102">
        <f t="array" ref="I2712">IFERROR(INDEX(PRECIOS_COMPLEMENTOS!$C$4:$F$17,MATCH(B2712&amp;"_"&amp;C2712,PRECIOS_COMPLEMENTOS!$H$4:$H$17,0),IF(OR(G2712="S",G2712="20cm"),1,IF(OR(G2712="M",G2712="25cm"),2,IF(OR(G2712="L",G2712="30cm"),3,IF(OR(G2712="XL",G2712="35cm"),4,0))))),0)</f>
        <v>0.6</v>
      </c>
      <c r="J2712" s="103">
        <f t="shared" si="1"/>
        <v>0</v>
      </c>
      <c r="K2712" s="104" t="str">
        <f>IF(H2712&lt;0,"ERROR",IF(H2712=0,"",IF(H2712&lt;CONFIG!$B$4,"CRÍTICO",IF(H2712&lt;CONFIG!$B$5,"BAJO","OK"))))</f>
        <v/>
      </c>
    </row>
    <row r="2713" ht="15.75" hidden="1" customHeight="1">
      <c r="A2713" s="90" t="str">
        <f>IF(CLIENTES!A8="","",CLIENTES!A8)</f>
        <v/>
      </c>
      <c r="B2713" s="90" t="s">
        <v>331</v>
      </c>
      <c r="C2713" s="91" t="s">
        <v>328</v>
      </c>
      <c r="D2713" s="109" t="s">
        <v>366</v>
      </c>
      <c r="E2713" s="67" t="str">
        <f>COLORES!A21</f>
        <v/>
      </c>
      <c r="F2713" s="67" t="str">
        <f>COLORES!B21</f>
        <v/>
      </c>
      <c r="G2713" s="90" t="s">
        <v>376</v>
      </c>
      <c r="H2713" s="100">
        <f>IFERROR(SUMIFS(MOVIMIENTOS_COMPLEMENTOS!$I$4:$I$803,MOVIMIENTOS_COMPLEMENTOS!$C$4:$C$803,A2713,MOVIMIENTOS_COMPLEMENTOS!$D$4:$D$803,B2713,MOVIMIENTOS_COMPLEMENTOS!$E$4:$E$803,C2713,MOVIMIENTOS_COMPLEMENTOS!$F$4:$F$803,D2713,MOVIMIENTOS_COMPLEMENTOS!$G$4:$G$803,E2713,MOVIMIENTOS_COMPLEMENTOS!$H$4:$H$803,G2713,MOVIMIENTOS_COMPLEMENTOS!$B$4:$B$803,"INGRESO")+SUMIFS(MOVIMIENTOS_COMPLEMENTOS!$I$4:$I$803,MOVIMIENTOS_COMPLEMENTOS!$C$4:$C$803,A2713,MOVIMIENTOS_COMPLEMENTOS!$D$4:$D$803,B2713,MOVIMIENTOS_COMPLEMENTOS!$E$4:$E$803,C2713,MOVIMIENTOS_COMPLEMENTOS!$F$4:$F$803,D2713,MOVIMIENTOS_COMPLEMENTOS!$G$4:$G$803,E2713,MOVIMIENTOS_COMPLEMENTOS!$H$4:$H$803,G2713,MOVIMIENTOS_COMPLEMENTOS!$B$4:$B$803,"DE CORTE")-SUMIFS(MOVIMIENTOS_COMPLEMENTOS!$I$4:$I$803,MOVIMIENTOS_COMPLEMENTOS!$C$4:$C$803,A2713,MOVIMIENTOS_COMPLEMENTOS!$D$4:$D$803,B2713,MOVIMIENTOS_COMPLEMENTOS!$E$4:$E$803,C2713,MOVIMIENTOS_COMPLEMENTOS!$F$4:$F$803,D2713,MOVIMIENTOS_COMPLEMENTOS!$G$4:$G$803,E2713,MOVIMIENTOS_COMPLEMENTOS!$H$4:$H$803,G2713,MOVIMIENTOS_COMPLEMENTOS!$B$4:$B$803,"SALIDA"),0)</f>
        <v>0</v>
      </c>
      <c r="I2713" s="102">
        <f t="array" ref="I2713">IFERROR(INDEX(PRECIOS_COMPLEMENTOS!$C$4:$F$17,MATCH(B2713&amp;"_"&amp;C2713,PRECIOS_COMPLEMENTOS!$H$4:$H$17,0),IF(OR(G2713="S",G2713="20cm"),1,IF(OR(G2713="M",G2713="25cm"),2,IF(OR(G2713="L",G2713="30cm"),3,IF(OR(G2713="XL",G2713="35cm"),4,0))))),0)</f>
        <v>0.6</v>
      </c>
      <c r="J2713" s="103">
        <f t="shared" si="1"/>
        <v>0</v>
      </c>
      <c r="K2713" s="104" t="str">
        <f>IF(H2713&lt;0,"ERROR",IF(H2713=0,"",IF(H2713&lt;CONFIG!$B$4,"CRÍTICO",IF(H2713&lt;CONFIG!$B$5,"BAJO","OK"))))</f>
        <v/>
      </c>
    </row>
    <row r="2714" ht="15.75" hidden="1" customHeight="1">
      <c r="A2714" s="90" t="str">
        <f>IF(CLIENTES!A8="","",CLIENTES!A8)</f>
        <v/>
      </c>
      <c r="B2714" s="90" t="s">
        <v>331</v>
      </c>
      <c r="C2714" s="91" t="s">
        <v>328</v>
      </c>
      <c r="D2714" s="109" t="s">
        <v>366</v>
      </c>
      <c r="E2714" s="67" t="str">
        <f>COLORES!A21</f>
        <v/>
      </c>
      <c r="F2714" s="67" t="str">
        <f>COLORES!B21</f>
        <v/>
      </c>
      <c r="G2714" s="90" t="s">
        <v>377</v>
      </c>
      <c r="H2714" s="100">
        <f>IFERROR(SUMIFS(MOVIMIENTOS_COMPLEMENTOS!$I$4:$I$803,MOVIMIENTOS_COMPLEMENTOS!$C$4:$C$803,A2714,MOVIMIENTOS_COMPLEMENTOS!$D$4:$D$803,B2714,MOVIMIENTOS_COMPLEMENTOS!$E$4:$E$803,C2714,MOVIMIENTOS_COMPLEMENTOS!$F$4:$F$803,D2714,MOVIMIENTOS_COMPLEMENTOS!$G$4:$G$803,E2714,MOVIMIENTOS_COMPLEMENTOS!$H$4:$H$803,G2714,MOVIMIENTOS_COMPLEMENTOS!$B$4:$B$803,"INGRESO")+SUMIFS(MOVIMIENTOS_COMPLEMENTOS!$I$4:$I$803,MOVIMIENTOS_COMPLEMENTOS!$C$4:$C$803,A2714,MOVIMIENTOS_COMPLEMENTOS!$D$4:$D$803,B2714,MOVIMIENTOS_COMPLEMENTOS!$E$4:$E$803,C2714,MOVIMIENTOS_COMPLEMENTOS!$F$4:$F$803,D2714,MOVIMIENTOS_COMPLEMENTOS!$G$4:$G$803,E2714,MOVIMIENTOS_COMPLEMENTOS!$H$4:$H$803,G2714,MOVIMIENTOS_COMPLEMENTOS!$B$4:$B$803,"DE CORTE")-SUMIFS(MOVIMIENTOS_COMPLEMENTOS!$I$4:$I$803,MOVIMIENTOS_COMPLEMENTOS!$C$4:$C$803,A2714,MOVIMIENTOS_COMPLEMENTOS!$D$4:$D$803,B2714,MOVIMIENTOS_COMPLEMENTOS!$E$4:$E$803,C2714,MOVIMIENTOS_COMPLEMENTOS!$F$4:$F$803,D2714,MOVIMIENTOS_COMPLEMENTOS!$G$4:$G$803,E2714,MOVIMIENTOS_COMPLEMENTOS!$H$4:$H$803,G2714,MOVIMIENTOS_COMPLEMENTOS!$B$4:$B$803,"SALIDA"),0)</f>
        <v>0</v>
      </c>
      <c r="I2714" s="102">
        <f t="array" ref="I2714">IFERROR(INDEX(PRECIOS_COMPLEMENTOS!$C$4:$F$17,MATCH(B2714&amp;"_"&amp;C2714,PRECIOS_COMPLEMENTOS!$H$4:$H$17,0),IF(OR(G2714="S",G2714="20cm"),1,IF(OR(G2714="M",G2714="25cm"),2,IF(OR(G2714="L",G2714="30cm"),3,IF(OR(G2714="XL",G2714="35cm"),4,0))))),0)</f>
        <v>0.6</v>
      </c>
      <c r="J2714" s="103">
        <f t="shared" si="1"/>
        <v>0</v>
      </c>
      <c r="K2714" s="104" t="str">
        <f>IF(H2714&lt;0,"ERROR",IF(H2714=0,"",IF(H2714&lt;CONFIG!$B$4,"CRÍTICO",IF(H2714&lt;CONFIG!$B$5,"BAJO","OK"))))</f>
        <v/>
      </c>
    </row>
    <row r="2715" ht="15.75" hidden="1" customHeight="1">
      <c r="A2715" s="90" t="str">
        <f>IF(CLIENTES!A8="","",CLIENTES!A8)</f>
        <v/>
      </c>
      <c r="B2715" s="90" t="s">
        <v>331</v>
      </c>
      <c r="C2715" s="91" t="s">
        <v>328</v>
      </c>
      <c r="D2715" s="109" t="s">
        <v>366</v>
      </c>
      <c r="E2715" s="67" t="str">
        <f>COLORES!A21</f>
        <v/>
      </c>
      <c r="F2715" s="67" t="str">
        <f>COLORES!B21</f>
        <v/>
      </c>
      <c r="G2715" s="90" t="s">
        <v>379</v>
      </c>
      <c r="H2715" s="100">
        <f>IFERROR(SUMIFS(MOVIMIENTOS_COMPLEMENTOS!$I$4:$I$803,MOVIMIENTOS_COMPLEMENTOS!$C$4:$C$803,A2715,MOVIMIENTOS_COMPLEMENTOS!$D$4:$D$803,B2715,MOVIMIENTOS_COMPLEMENTOS!$E$4:$E$803,C2715,MOVIMIENTOS_COMPLEMENTOS!$F$4:$F$803,D2715,MOVIMIENTOS_COMPLEMENTOS!$G$4:$G$803,E2715,MOVIMIENTOS_COMPLEMENTOS!$H$4:$H$803,G2715,MOVIMIENTOS_COMPLEMENTOS!$B$4:$B$803,"INGRESO")+SUMIFS(MOVIMIENTOS_COMPLEMENTOS!$I$4:$I$803,MOVIMIENTOS_COMPLEMENTOS!$C$4:$C$803,A2715,MOVIMIENTOS_COMPLEMENTOS!$D$4:$D$803,B2715,MOVIMIENTOS_COMPLEMENTOS!$E$4:$E$803,C2715,MOVIMIENTOS_COMPLEMENTOS!$F$4:$F$803,D2715,MOVIMIENTOS_COMPLEMENTOS!$G$4:$G$803,E2715,MOVIMIENTOS_COMPLEMENTOS!$H$4:$H$803,G2715,MOVIMIENTOS_COMPLEMENTOS!$B$4:$B$803,"DE CORTE")-SUMIFS(MOVIMIENTOS_COMPLEMENTOS!$I$4:$I$803,MOVIMIENTOS_COMPLEMENTOS!$C$4:$C$803,A2715,MOVIMIENTOS_COMPLEMENTOS!$D$4:$D$803,B2715,MOVIMIENTOS_COMPLEMENTOS!$E$4:$E$803,C2715,MOVIMIENTOS_COMPLEMENTOS!$F$4:$F$803,D2715,MOVIMIENTOS_COMPLEMENTOS!$G$4:$G$803,E2715,MOVIMIENTOS_COMPLEMENTOS!$H$4:$H$803,G2715,MOVIMIENTOS_COMPLEMENTOS!$B$4:$B$803,"SALIDA"),0)</f>
        <v>0</v>
      </c>
      <c r="I2715" s="102">
        <f t="array" ref="I2715">IFERROR(INDEX(PRECIOS_COMPLEMENTOS!$C$4:$F$17,MATCH(B2715&amp;"_"&amp;C2715,PRECIOS_COMPLEMENTOS!$H$4:$H$17,0),IF(OR(G2715="S",G2715="20cm"),1,IF(OR(G2715="M",G2715="25cm"),2,IF(OR(G2715="L",G2715="30cm"),3,IF(OR(G2715="XL",G2715="35cm"),4,0))))),0)</f>
        <v>0.6</v>
      </c>
      <c r="J2715" s="103">
        <f t="shared" si="1"/>
        <v>0</v>
      </c>
      <c r="K2715" s="104" t="str">
        <f>IF(H2715&lt;0,"ERROR",IF(H2715=0,"",IF(H2715&lt;CONFIG!$B$4,"CRÍTICO",IF(H2715&lt;CONFIG!$B$5,"BAJO","OK"))))</f>
        <v/>
      </c>
    </row>
    <row r="2716" ht="15.75" hidden="1" customHeight="1">
      <c r="A2716" s="90" t="str">
        <f>IF(CLIENTES!A8="","",CLIENTES!A8)</f>
        <v/>
      </c>
      <c r="B2716" s="90" t="s">
        <v>331</v>
      </c>
      <c r="C2716" s="91" t="s">
        <v>328</v>
      </c>
      <c r="D2716" s="109" t="s">
        <v>366</v>
      </c>
      <c r="E2716" s="67" t="str">
        <f>COLORES!A22</f>
        <v/>
      </c>
      <c r="F2716" s="67" t="str">
        <f>COLORES!B22</f>
        <v/>
      </c>
      <c r="G2716" s="90" t="s">
        <v>378</v>
      </c>
      <c r="H2716" s="100">
        <f>IFERROR(SUMIFS(MOVIMIENTOS_COMPLEMENTOS!$I$4:$I$803,MOVIMIENTOS_COMPLEMENTOS!$C$4:$C$803,A2716,MOVIMIENTOS_COMPLEMENTOS!$D$4:$D$803,B2716,MOVIMIENTOS_COMPLEMENTOS!$E$4:$E$803,C2716,MOVIMIENTOS_COMPLEMENTOS!$F$4:$F$803,D2716,MOVIMIENTOS_COMPLEMENTOS!$G$4:$G$803,E2716,MOVIMIENTOS_COMPLEMENTOS!$H$4:$H$803,G2716,MOVIMIENTOS_COMPLEMENTOS!$B$4:$B$803,"INGRESO")+SUMIFS(MOVIMIENTOS_COMPLEMENTOS!$I$4:$I$803,MOVIMIENTOS_COMPLEMENTOS!$C$4:$C$803,A2716,MOVIMIENTOS_COMPLEMENTOS!$D$4:$D$803,B2716,MOVIMIENTOS_COMPLEMENTOS!$E$4:$E$803,C2716,MOVIMIENTOS_COMPLEMENTOS!$F$4:$F$803,D2716,MOVIMIENTOS_COMPLEMENTOS!$G$4:$G$803,E2716,MOVIMIENTOS_COMPLEMENTOS!$H$4:$H$803,G2716,MOVIMIENTOS_COMPLEMENTOS!$B$4:$B$803,"DE CORTE")-SUMIFS(MOVIMIENTOS_COMPLEMENTOS!$I$4:$I$803,MOVIMIENTOS_COMPLEMENTOS!$C$4:$C$803,A2716,MOVIMIENTOS_COMPLEMENTOS!$D$4:$D$803,B2716,MOVIMIENTOS_COMPLEMENTOS!$E$4:$E$803,C2716,MOVIMIENTOS_COMPLEMENTOS!$F$4:$F$803,D2716,MOVIMIENTOS_COMPLEMENTOS!$G$4:$G$803,E2716,MOVIMIENTOS_COMPLEMENTOS!$H$4:$H$803,G2716,MOVIMIENTOS_COMPLEMENTOS!$B$4:$B$803,"SALIDA"),0)</f>
        <v>0</v>
      </c>
      <c r="I2716" s="102">
        <f t="array" ref="I2716">IFERROR(INDEX(PRECIOS_COMPLEMENTOS!$C$4:$F$17,MATCH(B2716&amp;"_"&amp;C2716,PRECIOS_COMPLEMENTOS!$H$4:$H$17,0),IF(OR(G2716="S",G2716="20cm"),1,IF(OR(G2716="M",G2716="25cm"),2,IF(OR(G2716="L",G2716="30cm"),3,IF(OR(G2716="XL",G2716="35cm"),4,0))))),0)</f>
        <v>0.6</v>
      </c>
      <c r="J2716" s="103">
        <f t="shared" si="1"/>
        <v>0</v>
      </c>
      <c r="K2716" s="104" t="str">
        <f>IF(H2716&lt;0,"ERROR",IF(H2716=0,"",IF(H2716&lt;CONFIG!$B$4,"CRÍTICO",IF(H2716&lt;CONFIG!$B$5,"BAJO","OK"))))</f>
        <v/>
      </c>
    </row>
    <row r="2717" ht="15.75" hidden="1" customHeight="1">
      <c r="A2717" s="90" t="str">
        <f>IF(CLIENTES!A8="","",CLIENTES!A8)</f>
        <v/>
      </c>
      <c r="B2717" s="90" t="s">
        <v>331</v>
      </c>
      <c r="C2717" s="91" t="s">
        <v>328</v>
      </c>
      <c r="D2717" s="109" t="s">
        <v>366</v>
      </c>
      <c r="E2717" s="67" t="str">
        <f>COLORES!A22</f>
        <v/>
      </c>
      <c r="F2717" s="67" t="str">
        <f>COLORES!B22</f>
        <v/>
      </c>
      <c r="G2717" s="90" t="s">
        <v>376</v>
      </c>
      <c r="H2717" s="100">
        <f>IFERROR(SUMIFS(MOVIMIENTOS_COMPLEMENTOS!$I$4:$I$803,MOVIMIENTOS_COMPLEMENTOS!$C$4:$C$803,A2717,MOVIMIENTOS_COMPLEMENTOS!$D$4:$D$803,B2717,MOVIMIENTOS_COMPLEMENTOS!$E$4:$E$803,C2717,MOVIMIENTOS_COMPLEMENTOS!$F$4:$F$803,D2717,MOVIMIENTOS_COMPLEMENTOS!$G$4:$G$803,E2717,MOVIMIENTOS_COMPLEMENTOS!$H$4:$H$803,G2717,MOVIMIENTOS_COMPLEMENTOS!$B$4:$B$803,"INGRESO")+SUMIFS(MOVIMIENTOS_COMPLEMENTOS!$I$4:$I$803,MOVIMIENTOS_COMPLEMENTOS!$C$4:$C$803,A2717,MOVIMIENTOS_COMPLEMENTOS!$D$4:$D$803,B2717,MOVIMIENTOS_COMPLEMENTOS!$E$4:$E$803,C2717,MOVIMIENTOS_COMPLEMENTOS!$F$4:$F$803,D2717,MOVIMIENTOS_COMPLEMENTOS!$G$4:$G$803,E2717,MOVIMIENTOS_COMPLEMENTOS!$H$4:$H$803,G2717,MOVIMIENTOS_COMPLEMENTOS!$B$4:$B$803,"DE CORTE")-SUMIFS(MOVIMIENTOS_COMPLEMENTOS!$I$4:$I$803,MOVIMIENTOS_COMPLEMENTOS!$C$4:$C$803,A2717,MOVIMIENTOS_COMPLEMENTOS!$D$4:$D$803,B2717,MOVIMIENTOS_COMPLEMENTOS!$E$4:$E$803,C2717,MOVIMIENTOS_COMPLEMENTOS!$F$4:$F$803,D2717,MOVIMIENTOS_COMPLEMENTOS!$G$4:$G$803,E2717,MOVIMIENTOS_COMPLEMENTOS!$H$4:$H$803,G2717,MOVIMIENTOS_COMPLEMENTOS!$B$4:$B$803,"SALIDA"),0)</f>
        <v>0</v>
      </c>
      <c r="I2717" s="102">
        <f t="array" ref="I2717">IFERROR(INDEX(PRECIOS_COMPLEMENTOS!$C$4:$F$17,MATCH(B2717&amp;"_"&amp;C2717,PRECIOS_COMPLEMENTOS!$H$4:$H$17,0),IF(OR(G2717="S",G2717="20cm"),1,IF(OR(G2717="M",G2717="25cm"),2,IF(OR(G2717="L",G2717="30cm"),3,IF(OR(G2717="XL",G2717="35cm"),4,0))))),0)</f>
        <v>0.6</v>
      </c>
      <c r="J2717" s="103">
        <f t="shared" si="1"/>
        <v>0</v>
      </c>
      <c r="K2717" s="104" t="str">
        <f>IF(H2717&lt;0,"ERROR",IF(H2717=0,"",IF(H2717&lt;CONFIG!$B$4,"CRÍTICO",IF(H2717&lt;CONFIG!$B$5,"BAJO","OK"))))</f>
        <v/>
      </c>
    </row>
    <row r="2718" ht="15.75" hidden="1" customHeight="1">
      <c r="A2718" s="90" t="str">
        <f>IF(CLIENTES!A8="","",CLIENTES!A8)</f>
        <v/>
      </c>
      <c r="B2718" s="90" t="s">
        <v>331</v>
      </c>
      <c r="C2718" s="91" t="s">
        <v>328</v>
      </c>
      <c r="D2718" s="109" t="s">
        <v>366</v>
      </c>
      <c r="E2718" s="67" t="str">
        <f>COLORES!A22</f>
        <v/>
      </c>
      <c r="F2718" s="67" t="str">
        <f>COLORES!B22</f>
        <v/>
      </c>
      <c r="G2718" s="90" t="s">
        <v>377</v>
      </c>
      <c r="H2718" s="100">
        <f>IFERROR(SUMIFS(MOVIMIENTOS_COMPLEMENTOS!$I$4:$I$803,MOVIMIENTOS_COMPLEMENTOS!$C$4:$C$803,A2718,MOVIMIENTOS_COMPLEMENTOS!$D$4:$D$803,B2718,MOVIMIENTOS_COMPLEMENTOS!$E$4:$E$803,C2718,MOVIMIENTOS_COMPLEMENTOS!$F$4:$F$803,D2718,MOVIMIENTOS_COMPLEMENTOS!$G$4:$G$803,E2718,MOVIMIENTOS_COMPLEMENTOS!$H$4:$H$803,G2718,MOVIMIENTOS_COMPLEMENTOS!$B$4:$B$803,"INGRESO")+SUMIFS(MOVIMIENTOS_COMPLEMENTOS!$I$4:$I$803,MOVIMIENTOS_COMPLEMENTOS!$C$4:$C$803,A2718,MOVIMIENTOS_COMPLEMENTOS!$D$4:$D$803,B2718,MOVIMIENTOS_COMPLEMENTOS!$E$4:$E$803,C2718,MOVIMIENTOS_COMPLEMENTOS!$F$4:$F$803,D2718,MOVIMIENTOS_COMPLEMENTOS!$G$4:$G$803,E2718,MOVIMIENTOS_COMPLEMENTOS!$H$4:$H$803,G2718,MOVIMIENTOS_COMPLEMENTOS!$B$4:$B$803,"DE CORTE")-SUMIFS(MOVIMIENTOS_COMPLEMENTOS!$I$4:$I$803,MOVIMIENTOS_COMPLEMENTOS!$C$4:$C$803,A2718,MOVIMIENTOS_COMPLEMENTOS!$D$4:$D$803,B2718,MOVIMIENTOS_COMPLEMENTOS!$E$4:$E$803,C2718,MOVIMIENTOS_COMPLEMENTOS!$F$4:$F$803,D2718,MOVIMIENTOS_COMPLEMENTOS!$G$4:$G$803,E2718,MOVIMIENTOS_COMPLEMENTOS!$H$4:$H$803,G2718,MOVIMIENTOS_COMPLEMENTOS!$B$4:$B$803,"SALIDA"),0)</f>
        <v>0</v>
      </c>
      <c r="I2718" s="102">
        <f t="array" ref="I2718">IFERROR(INDEX(PRECIOS_COMPLEMENTOS!$C$4:$F$17,MATCH(B2718&amp;"_"&amp;C2718,PRECIOS_COMPLEMENTOS!$H$4:$H$17,0),IF(OR(G2718="S",G2718="20cm"),1,IF(OR(G2718="M",G2718="25cm"),2,IF(OR(G2718="L",G2718="30cm"),3,IF(OR(G2718="XL",G2718="35cm"),4,0))))),0)</f>
        <v>0.6</v>
      </c>
      <c r="J2718" s="103">
        <f t="shared" si="1"/>
        <v>0</v>
      </c>
      <c r="K2718" s="104" t="str">
        <f>IF(H2718&lt;0,"ERROR",IF(H2718=0,"",IF(H2718&lt;CONFIG!$B$4,"CRÍTICO",IF(H2718&lt;CONFIG!$B$5,"BAJO","OK"))))</f>
        <v/>
      </c>
    </row>
    <row r="2719" ht="15.75" hidden="1" customHeight="1">
      <c r="A2719" s="90" t="str">
        <f>IF(CLIENTES!A8="","",CLIENTES!A8)</f>
        <v/>
      </c>
      <c r="B2719" s="90" t="s">
        <v>331</v>
      </c>
      <c r="C2719" s="91" t="s">
        <v>328</v>
      </c>
      <c r="D2719" s="109" t="s">
        <v>366</v>
      </c>
      <c r="E2719" s="67" t="str">
        <f>COLORES!A22</f>
        <v/>
      </c>
      <c r="F2719" s="67" t="str">
        <f>COLORES!B22</f>
        <v/>
      </c>
      <c r="G2719" s="90" t="s">
        <v>379</v>
      </c>
      <c r="H2719" s="100">
        <f>IFERROR(SUMIFS(MOVIMIENTOS_COMPLEMENTOS!$I$4:$I$803,MOVIMIENTOS_COMPLEMENTOS!$C$4:$C$803,A2719,MOVIMIENTOS_COMPLEMENTOS!$D$4:$D$803,B2719,MOVIMIENTOS_COMPLEMENTOS!$E$4:$E$803,C2719,MOVIMIENTOS_COMPLEMENTOS!$F$4:$F$803,D2719,MOVIMIENTOS_COMPLEMENTOS!$G$4:$G$803,E2719,MOVIMIENTOS_COMPLEMENTOS!$H$4:$H$803,G2719,MOVIMIENTOS_COMPLEMENTOS!$B$4:$B$803,"INGRESO")+SUMIFS(MOVIMIENTOS_COMPLEMENTOS!$I$4:$I$803,MOVIMIENTOS_COMPLEMENTOS!$C$4:$C$803,A2719,MOVIMIENTOS_COMPLEMENTOS!$D$4:$D$803,B2719,MOVIMIENTOS_COMPLEMENTOS!$E$4:$E$803,C2719,MOVIMIENTOS_COMPLEMENTOS!$F$4:$F$803,D2719,MOVIMIENTOS_COMPLEMENTOS!$G$4:$G$803,E2719,MOVIMIENTOS_COMPLEMENTOS!$H$4:$H$803,G2719,MOVIMIENTOS_COMPLEMENTOS!$B$4:$B$803,"DE CORTE")-SUMIFS(MOVIMIENTOS_COMPLEMENTOS!$I$4:$I$803,MOVIMIENTOS_COMPLEMENTOS!$C$4:$C$803,A2719,MOVIMIENTOS_COMPLEMENTOS!$D$4:$D$803,B2719,MOVIMIENTOS_COMPLEMENTOS!$E$4:$E$803,C2719,MOVIMIENTOS_COMPLEMENTOS!$F$4:$F$803,D2719,MOVIMIENTOS_COMPLEMENTOS!$G$4:$G$803,E2719,MOVIMIENTOS_COMPLEMENTOS!$H$4:$H$803,G2719,MOVIMIENTOS_COMPLEMENTOS!$B$4:$B$803,"SALIDA"),0)</f>
        <v>0</v>
      </c>
      <c r="I2719" s="102">
        <f t="array" ref="I2719">IFERROR(INDEX(PRECIOS_COMPLEMENTOS!$C$4:$F$17,MATCH(B2719&amp;"_"&amp;C2719,PRECIOS_COMPLEMENTOS!$H$4:$H$17,0),IF(OR(G2719="S",G2719="20cm"),1,IF(OR(G2719="M",G2719="25cm"),2,IF(OR(G2719="L",G2719="30cm"),3,IF(OR(G2719="XL",G2719="35cm"),4,0))))),0)</f>
        <v>0.6</v>
      </c>
      <c r="J2719" s="103">
        <f t="shared" si="1"/>
        <v>0</v>
      </c>
      <c r="K2719" s="104" t="str">
        <f>IF(H2719&lt;0,"ERROR",IF(H2719=0,"",IF(H2719&lt;CONFIG!$B$4,"CRÍTICO",IF(H2719&lt;CONFIG!$B$5,"BAJO","OK"))))</f>
        <v/>
      </c>
    </row>
    <row r="2720" ht="15.75" hidden="1" customHeight="1">
      <c r="A2720" s="90" t="str">
        <f>IF(CLIENTES!A8="","",CLIENTES!A8)</f>
        <v/>
      </c>
      <c r="B2720" s="90" t="s">
        <v>331</v>
      </c>
      <c r="C2720" s="91" t="s">
        <v>328</v>
      </c>
      <c r="D2720" s="109" t="s">
        <v>366</v>
      </c>
      <c r="E2720" s="67" t="str">
        <f>COLORES!A23</f>
        <v/>
      </c>
      <c r="F2720" s="67" t="str">
        <f>COLORES!B23</f>
        <v/>
      </c>
      <c r="G2720" s="90" t="s">
        <v>378</v>
      </c>
      <c r="H2720" s="100">
        <f>IFERROR(SUMIFS(MOVIMIENTOS_COMPLEMENTOS!$I$4:$I$803,MOVIMIENTOS_COMPLEMENTOS!$C$4:$C$803,A2720,MOVIMIENTOS_COMPLEMENTOS!$D$4:$D$803,B2720,MOVIMIENTOS_COMPLEMENTOS!$E$4:$E$803,C2720,MOVIMIENTOS_COMPLEMENTOS!$F$4:$F$803,D2720,MOVIMIENTOS_COMPLEMENTOS!$G$4:$G$803,E2720,MOVIMIENTOS_COMPLEMENTOS!$H$4:$H$803,G2720,MOVIMIENTOS_COMPLEMENTOS!$B$4:$B$803,"INGRESO")+SUMIFS(MOVIMIENTOS_COMPLEMENTOS!$I$4:$I$803,MOVIMIENTOS_COMPLEMENTOS!$C$4:$C$803,A2720,MOVIMIENTOS_COMPLEMENTOS!$D$4:$D$803,B2720,MOVIMIENTOS_COMPLEMENTOS!$E$4:$E$803,C2720,MOVIMIENTOS_COMPLEMENTOS!$F$4:$F$803,D2720,MOVIMIENTOS_COMPLEMENTOS!$G$4:$G$803,E2720,MOVIMIENTOS_COMPLEMENTOS!$H$4:$H$803,G2720,MOVIMIENTOS_COMPLEMENTOS!$B$4:$B$803,"DE CORTE")-SUMIFS(MOVIMIENTOS_COMPLEMENTOS!$I$4:$I$803,MOVIMIENTOS_COMPLEMENTOS!$C$4:$C$803,A2720,MOVIMIENTOS_COMPLEMENTOS!$D$4:$D$803,B2720,MOVIMIENTOS_COMPLEMENTOS!$E$4:$E$803,C2720,MOVIMIENTOS_COMPLEMENTOS!$F$4:$F$803,D2720,MOVIMIENTOS_COMPLEMENTOS!$G$4:$G$803,E2720,MOVIMIENTOS_COMPLEMENTOS!$H$4:$H$803,G2720,MOVIMIENTOS_COMPLEMENTOS!$B$4:$B$803,"SALIDA"),0)</f>
        <v>0</v>
      </c>
      <c r="I2720" s="102">
        <f t="array" ref="I2720">IFERROR(INDEX(PRECIOS_COMPLEMENTOS!$C$4:$F$17,MATCH(B2720&amp;"_"&amp;C2720,PRECIOS_COMPLEMENTOS!$H$4:$H$17,0),IF(OR(G2720="S",G2720="20cm"),1,IF(OR(G2720="M",G2720="25cm"),2,IF(OR(G2720="L",G2720="30cm"),3,IF(OR(G2720="XL",G2720="35cm"),4,0))))),0)</f>
        <v>0.6</v>
      </c>
      <c r="J2720" s="103">
        <f t="shared" si="1"/>
        <v>0</v>
      </c>
      <c r="K2720" s="104" t="str">
        <f>IF(H2720&lt;0,"ERROR",IF(H2720=0,"",IF(H2720&lt;CONFIG!$B$4,"CRÍTICO",IF(H2720&lt;CONFIG!$B$5,"BAJO","OK"))))</f>
        <v/>
      </c>
    </row>
    <row r="2721" ht="15.75" hidden="1" customHeight="1">
      <c r="A2721" s="90" t="str">
        <f>IF(CLIENTES!A8="","",CLIENTES!A8)</f>
        <v/>
      </c>
      <c r="B2721" s="90" t="s">
        <v>331</v>
      </c>
      <c r="C2721" s="91" t="s">
        <v>328</v>
      </c>
      <c r="D2721" s="109" t="s">
        <v>366</v>
      </c>
      <c r="E2721" s="67" t="str">
        <f>COLORES!A23</f>
        <v/>
      </c>
      <c r="F2721" s="67" t="str">
        <f>COLORES!B23</f>
        <v/>
      </c>
      <c r="G2721" s="90" t="s">
        <v>376</v>
      </c>
      <c r="H2721" s="100">
        <f>IFERROR(SUMIFS(MOVIMIENTOS_COMPLEMENTOS!$I$4:$I$803,MOVIMIENTOS_COMPLEMENTOS!$C$4:$C$803,A2721,MOVIMIENTOS_COMPLEMENTOS!$D$4:$D$803,B2721,MOVIMIENTOS_COMPLEMENTOS!$E$4:$E$803,C2721,MOVIMIENTOS_COMPLEMENTOS!$F$4:$F$803,D2721,MOVIMIENTOS_COMPLEMENTOS!$G$4:$G$803,E2721,MOVIMIENTOS_COMPLEMENTOS!$H$4:$H$803,G2721,MOVIMIENTOS_COMPLEMENTOS!$B$4:$B$803,"INGRESO")+SUMIFS(MOVIMIENTOS_COMPLEMENTOS!$I$4:$I$803,MOVIMIENTOS_COMPLEMENTOS!$C$4:$C$803,A2721,MOVIMIENTOS_COMPLEMENTOS!$D$4:$D$803,B2721,MOVIMIENTOS_COMPLEMENTOS!$E$4:$E$803,C2721,MOVIMIENTOS_COMPLEMENTOS!$F$4:$F$803,D2721,MOVIMIENTOS_COMPLEMENTOS!$G$4:$G$803,E2721,MOVIMIENTOS_COMPLEMENTOS!$H$4:$H$803,G2721,MOVIMIENTOS_COMPLEMENTOS!$B$4:$B$803,"DE CORTE")-SUMIFS(MOVIMIENTOS_COMPLEMENTOS!$I$4:$I$803,MOVIMIENTOS_COMPLEMENTOS!$C$4:$C$803,A2721,MOVIMIENTOS_COMPLEMENTOS!$D$4:$D$803,B2721,MOVIMIENTOS_COMPLEMENTOS!$E$4:$E$803,C2721,MOVIMIENTOS_COMPLEMENTOS!$F$4:$F$803,D2721,MOVIMIENTOS_COMPLEMENTOS!$G$4:$G$803,E2721,MOVIMIENTOS_COMPLEMENTOS!$H$4:$H$803,G2721,MOVIMIENTOS_COMPLEMENTOS!$B$4:$B$803,"SALIDA"),0)</f>
        <v>0</v>
      </c>
      <c r="I2721" s="102">
        <f t="array" ref="I2721">IFERROR(INDEX(PRECIOS_COMPLEMENTOS!$C$4:$F$17,MATCH(B2721&amp;"_"&amp;C2721,PRECIOS_COMPLEMENTOS!$H$4:$H$17,0),IF(OR(G2721="S",G2721="20cm"),1,IF(OR(G2721="M",G2721="25cm"),2,IF(OR(G2721="L",G2721="30cm"),3,IF(OR(G2721="XL",G2721="35cm"),4,0))))),0)</f>
        <v>0.6</v>
      </c>
      <c r="J2721" s="103">
        <f t="shared" si="1"/>
        <v>0</v>
      </c>
      <c r="K2721" s="104" t="str">
        <f>IF(H2721&lt;0,"ERROR",IF(H2721=0,"",IF(H2721&lt;CONFIG!$B$4,"CRÍTICO",IF(H2721&lt;CONFIG!$B$5,"BAJO","OK"))))</f>
        <v/>
      </c>
    </row>
    <row r="2722" ht="15.75" hidden="1" customHeight="1">
      <c r="A2722" s="90" t="str">
        <f>IF(CLIENTES!A8="","",CLIENTES!A8)</f>
        <v/>
      </c>
      <c r="B2722" s="90" t="s">
        <v>331</v>
      </c>
      <c r="C2722" s="91" t="s">
        <v>328</v>
      </c>
      <c r="D2722" s="109" t="s">
        <v>366</v>
      </c>
      <c r="E2722" s="67" t="str">
        <f>COLORES!A23</f>
        <v/>
      </c>
      <c r="F2722" s="67" t="str">
        <f>COLORES!B23</f>
        <v/>
      </c>
      <c r="G2722" s="90" t="s">
        <v>377</v>
      </c>
      <c r="H2722" s="100">
        <f>IFERROR(SUMIFS(MOVIMIENTOS_COMPLEMENTOS!$I$4:$I$803,MOVIMIENTOS_COMPLEMENTOS!$C$4:$C$803,A2722,MOVIMIENTOS_COMPLEMENTOS!$D$4:$D$803,B2722,MOVIMIENTOS_COMPLEMENTOS!$E$4:$E$803,C2722,MOVIMIENTOS_COMPLEMENTOS!$F$4:$F$803,D2722,MOVIMIENTOS_COMPLEMENTOS!$G$4:$G$803,E2722,MOVIMIENTOS_COMPLEMENTOS!$H$4:$H$803,G2722,MOVIMIENTOS_COMPLEMENTOS!$B$4:$B$803,"INGRESO")+SUMIFS(MOVIMIENTOS_COMPLEMENTOS!$I$4:$I$803,MOVIMIENTOS_COMPLEMENTOS!$C$4:$C$803,A2722,MOVIMIENTOS_COMPLEMENTOS!$D$4:$D$803,B2722,MOVIMIENTOS_COMPLEMENTOS!$E$4:$E$803,C2722,MOVIMIENTOS_COMPLEMENTOS!$F$4:$F$803,D2722,MOVIMIENTOS_COMPLEMENTOS!$G$4:$G$803,E2722,MOVIMIENTOS_COMPLEMENTOS!$H$4:$H$803,G2722,MOVIMIENTOS_COMPLEMENTOS!$B$4:$B$803,"DE CORTE")-SUMIFS(MOVIMIENTOS_COMPLEMENTOS!$I$4:$I$803,MOVIMIENTOS_COMPLEMENTOS!$C$4:$C$803,A2722,MOVIMIENTOS_COMPLEMENTOS!$D$4:$D$803,B2722,MOVIMIENTOS_COMPLEMENTOS!$E$4:$E$803,C2722,MOVIMIENTOS_COMPLEMENTOS!$F$4:$F$803,D2722,MOVIMIENTOS_COMPLEMENTOS!$G$4:$G$803,E2722,MOVIMIENTOS_COMPLEMENTOS!$H$4:$H$803,G2722,MOVIMIENTOS_COMPLEMENTOS!$B$4:$B$803,"SALIDA"),0)</f>
        <v>0</v>
      </c>
      <c r="I2722" s="102">
        <f t="array" ref="I2722">IFERROR(INDEX(PRECIOS_COMPLEMENTOS!$C$4:$F$17,MATCH(B2722&amp;"_"&amp;C2722,PRECIOS_COMPLEMENTOS!$H$4:$H$17,0),IF(OR(G2722="S",G2722="20cm"),1,IF(OR(G2722="M",G2722="25cm"),2,IF(OR(G2722="L",G2722="30cm"),3,IF(OR(G2722="XL",G2722="35cm"),4,0))))),0)</f>
        <v>0.6</v>
      </c>
      <c r="J2722" s="103">
        <f t="shared" si="1"/>
        <v>0</v>
      </c>
      <c r="K2722" s="104" t="str">
        <f>IF(H2722&lt;0,"ERROR",IF(H2722=0,"",IF(H2722&lt;CONFIG!$B$4,"CRÍTICO",IF(H2722&lt;CONFIG!$B$5,"BAJO","OK"))))</f>
        <v/>
      </c>
    </row>
    <row r="2723" ht="15.75" hidden="1" customHeight="1">
      <c r="A2723" s="90" t="str">
        <f>IF(CLIENTES!A8="","",CLIENTES!A8)</f>
        <v/>
      </c>
      <c r="B2723" s="90" t="s">
        <v>331</v>
      </c>
      <c r="C2723" s="91" t="s">
        <v>328</v>
      </c>
      <c r="D2723" s="109" t="s">
        <v>366</v>
      </c>
      <c r="E2723" s="67" t="str">
        <f>COLORES!A23</f>
        <v/>
      </c>
      <c r="F2723" s="67" t="str">
        <f>COLORES!B23</f>
        <v/>
      </c>
      <c r="G2723" s="90" t="s">
        <v>379</v>
      </c>
      <c r="H2723" s="100">
        <f>IFERROR(SUMIFS(MOVIMIENTOS_COMPLEMENTOS!$I$4:$I$803,MOVIMIENTOS_COMPLEMENTOS!$C$4:$C$803,A2723,MOVIMIENTOS_COMPLEMENTOS!$D$4:$D$803,B2723,MOVIMIENTOS_COMPLEMENTOS!$E$4:$E$803,C2723,MOVIMIENTOS_COMPLEMENTOS!$F$4:$F$803,D2723,MOVIMIENTOS_COMPLEMENTOS!$G$4:$G$803,E2723,MOVIMIENTOS_COMPLEMENTOS!$H$4:$H$803,G2723,MOVIMIENTOS_COMPLEMENTOS!$B$4:$B$803,"INGRESO")+SUMIFS(MOVIMIENTOS_COMPLEMENTOS!$I$4:$I$803,MOVIMIENTOS_COMPLEMENTOS!$C$4:$C$803,A2723,MOVIMIENTOS_COMPLEMENTOS!$D$4:$D$803,B2723,MOVIMIENTOS_COMPLEMENTOS!$E$4:$E$803,C2723,MOVIMIENTOS_COMPLEMENTOS!$F$4:$F$803,D2723,MOVIMIENTOS_COMPLEMENTOS!$G$4:$G$803,E2723,MOVIMIENTOS_COMPLEMENTOS!$H$4:$H$803,G2723,MOVIMIENTOS_COMPLEMENTOS!$B$4:$B$803,"DE CORTE")-SUMIFS(MOVIMIENTOS_COMPLEMENTOS!$I$4:$I$803,MOVIMIENTOS_COMPLEMENTOS!$C$4:$C$803,A2723,MOVIMIENTOS_COMPLEMENTOS!$D$4:$D$803,B2723,MOVIMIENTOS_COMPLEMENTOS!$E$4:$E$803,C2723,MOVIMIENTOS_COMPLEMENTOS!$F$4:$F$803,D2723,MOVIMIENTOS_COMPLEMENTOS!$G$4:$G$803,E2723,MOVIMIENTOS_COMPLEMENTOS!$H$4:$H$803,G2723,MOVIMIENTOS_COMPLEMENTOS!$B$4:$B$803,"SALIDA"),0)</f>
        <v>0</v>
      </c>
      <c r="I2723" s="102">
        <f t="array" ref="I2723">IFERROR(INDEX(PRECIOS_COMPLEMENTOS!$C$4:$F$17,MATCH(B2723&amp;"_"&amp;C2723,PRECIOS_COMPLEMENTOS!$H$4:$H$17,0),IF(OR(G2723="S",G2723="20cm"),1,IF(OR(G2723="M",G2723="25cm"),2,IF(OR(G2723="L",G2723="30cm"),3,IF(OR(G2723="XL",G2723="35cm"),4,0))))),0)</f>
        <v>0.6</v>
      </c>
      <c r="J2723" s="103">
        <f t="shared" si="1"/>
        <v>0</v>
      </c>
      <c r="K2723" s="104" t="str">
        <f>IF(H2723&lt;0,"ERROR",IF(H2723=0,"",IF(H2723&lt;CONFIG!$B$4,"CRÍTICO",IF(H2723&lt;CONFIG!$B$5,"BAJO","OK"))))</f>
        <v/>
      </c>
    </row>
    <row r="2724" ht="15.75" hidden="1" customHeight="1">
      <c r="A2724" s="90" t="str">
        <f>IF(CLIENTES!A9="","",CLIENTES!A9)</f>
        <v/>
      </c>
      <c r="B2724" s="90" t="s">
        <v>331</v>
      </c>
      <c r="C2724" s="91" t="s">
        <v>328</v>
      </c>
      <c r="D2724" s="109" t="s">
        <v>364</v>
      </c>
      <c r="E2724" s="67" t="str">
        <f>COLORES!A4</f>
        <v>Negro</v>
      </c>
      <c r="F2724" s="67" t="str">
        <f>COLORES!B4</f>
        <v>OSCURO</v>
      </c>
      <c r="G2724" s="90" t="s">
        <v>378</v>
      </c>
      <c r="H2724" s="100">
        <f>IFERROR(SUMIFS(MOVIMIENTOS_COMPLEMENTOS!$I$4:$I$803,MOVIMIENTOS_COMPLEMENTOS!$C$4:$C$803,A2724,MOVIMIENTOS_COMPLEMENTOS!$D$4:$D$803,B2724,MOVIMIENTOS_COMPLEMENTOS!$E$4:$E$803,C2724,MOVIMIENTOS_COMPLEMENTOS!$F$4:$F$803,D2724,MOVIMIENTOS_COMPLEMENTOS!$G$4:$G$803,E2724,MOVIMIENTOS_COMPLEMENTOS!$H$4:$H$803,G2724,MOVIMIENTOS_COMPLEMENTOS!$B$4:$B$803,"INGRESO")+SUMIFS(MOVIMIENTOS_COMPLEMENTOS!$I$4:$I$803,MOVIMIENTOS_COMPLEMENTOS!$C$4:$C$803,A2724,MOVIMIENTOS_COMPLEMENTOS!$D$4:$D$803,B2724,MOVIMIENTOS_COMPLEMENTOS!$E$4:$E$803,C2724,MOVIMIENTOS_COMPLEMENTOS!$F$4:$F$803,D2724,MOVIMIENTOS_COMPLEMENTOS!$G$4:$G$803,E2724,MOVIMIENTOS_COMPLEMENTOS!$H$4:$H$803,G2724,MOVIMIENTOS_COMPLEMENTOS!$B$4:$B$803,"DE CORTE")-SUMIFS(MOVIMIENTOS_COMPLEMENTOS!$I$4:$I$803,MOVIMIENTOS_COMPLEMENTOS!$C$4:$C$803,A2724,MOVIMIENTOS_COMPLEMENTOS!$D$4:$D$803,B2724,MOVIMIENTOS_COMPLEMENTOS!$E$4:$E$803,C2724,MOVIMIENTOS_COMPLEMENTOS!$F$4:$F$803,D2724,MOVIMIENTOS_COMPLEMENTOS!$G$4:$G$803,E2724,MOVIMIENTOS_COMPLEMENTOS!$H$4:$H$803,G2724,MOVIMIENTOS_COMPLEMENTOS!$B$4:$B$803,"SALIDA"),0)</f>
        <v>0</v>
      </c>
      <c r="I2724" s="102">
        <f t="array" ref="I2724">IFERROR(INDEX(PRECIOS_COMPLEMENTOS!$C$4:$F$17,MATCH(B2724&amp;"_"&amp;C2724,PRECIOS_COMPLEMENTOS!$H$4:$H$17,0),IF(OR(G2724="S",G2724="20cm"),1,IF(OR(G2724="M",G2724="25cm"),2,IF(OR(G2724="L",G2724="30cm"),3,IF(OR(G2724="XL",G2724="35cm"),4,0))))),0)</f>
        <v>0.6</v>
      </c>
      <c r="J2724" s="103">
        <f t="shared" si="1"/>
        <v>0</v>
      </c>
      <c r="K2724" s="104" t="str">
        <f>IF(H2724&lt;0,"ERROR",IF(H2724=0,"",IF(H2724&lt;CONFIG!$B$4,"CRÍTICO",IF(H2724&lt;CONFIG!$B$5,"BAJO","OK"))))</f>
        <v/>
      </c>
    </row>
    <row r="2725" ht="15.75" hidden="1" customHeight="1">
      <c r="A2725" s="90" t="str">
        <f>IF(CLIENTES!A9="","",CLIENTES!A9)</f>
        <v/>
      </c>
      <c r="B2725" s="90" t="s">
        <v>331</v>
      </c>
      <c r="C2725" s="91" t="s">
        <v>328</v>
      </c>
      <c r="D2725" s="109" t="s">
        <v>364</v>
      </c>
      <c r="E2725" s="67" t="str">
        <f>COLORES!A4</f>
        <v>Negro</v>
      </c>
      <c r="F2725" s="67" t="str">
        <f>COLORES!B4</f>
        <v>OSCURO</v>
      </c>
      <c r="G2725" s="90" t="s">
        <v>376</v>
      </c>
      <c r="H2725" s="100">
        <f>IFERROR(SUMIFS(MOVIMIENTOS_COMPLEMENTOS!$I$4:$I$803,MOVIMIENTOS_COMPLEMENTOS!$C$4:$C$803,A2725,MOVIMIENTOS_COMPLEMENTOS!$D$4:$D$803,B2725,MOVIMIENTOS_COMPLEMENTOS!$E$4:$E$803,C2725,MOVIMIENTOS_COMPLEMENTOS!$F$4:$F$803,D2725,MOVIMIENTOS_COMPLEMENTOS!$G$4:$G$803,E2725,MOVIMIENTOS_COMPLEMENTOS!$H$4:$H$803,G2725,MOVIMIENTOS_COMPLEMENTOS!$B$4:$B$803,"INGRESO")+SUMIFS(MOVIMIENTOS_COMPLEMENTOS!$I$4:$I$803,MOVIMIENTOS_COMPLEMENTOS!$C$4:$C$803,A2725,MOVIMIENTOS_COMPLEMENTOS!$D$4:$D$803,B2725,MOVIMIENTOS_COMPLEMENTOS!$E$4:$E$803,C2725,MOVIMIENTOS_COMPLEMENTOS!$F$4:$F$803,D2725,MOVIMIENTOS_COMPLEMENTOS!$G$4:$G$803,E2725,MOVIMIENTOS_COMPLEMENTOS!$H$4:$H$803,G2725,MOVIMIENTOS_COMPLEMENTOS!$B$4:$B$803,"DE CORTE")-SUMIFS(MOVIMIENTOS_COMPLEMENTOS!$I$4:$I$803,MOVIMIENTOS_COMPLEMENTOS!$C$4:$C$803,A2725,MOVIMIENTOS_COMPLEMENTOS!$D$4:$D$803,B2725,MOVIMIENTOS_COMPLEMENTOS!$E$4:$E$803,C2725,MOVIMIENTOS_COMPLEMENTOS!$F$4:$F$803,D2725,MOVIMIENTOS_COMPLEMENTOS!$G$4:$G$803,E2725,MOVIMIENTOS_COMPLEMENTOS!$H$4:$H$803,G2725,MOVIMIENTOS_COMPLEMENTOS!$B$4:$B$803,"SALIDA"),0)</f>
        <v>0</v>
      </c>
      <c r="I2725" s="102">
        <f t="array" ref="I2725">IFERROR(INDEX(PRECIOS_COMPLEMENTOS!$C$4:$F$17,MATCH(B2725&amp;"_"&amp;C2725,PRECIOS_COMPLEMENTOS!$H$4:$H$17,0),IF(OR(G2725="S",G2725="20cm"),1,IF(OR(G2725="M",G2725="25cm"),2,IF(OR(G2725="L",G2725="30cm"),3,IF(OR(G2725="XL",G2725="35cm"),4,0))))),0)</f>
        <v>0.6</v>
      </c>
      <c r="J2725" s="103">
        <f t="shared" si="1"/>
        <v>0</v>
      </c>
      <c r="K2725" s="104" t="str">
        <f>IF(H2725&lt;0,"ERROR",IF(H2725=0,"",IF(H2725&lt;CONFIG!$B$4,"CRÍTICO",IF(H2725&lt;CONFIG!$B$5,"BAJO","OK"))))</f>
        <v/>
      </c>
    </row>
    <row r="2726" ht="15.75" hidden="1" customHeight="1">
      <c r="A2726" s="90" t="str">
        <f>IF(CLIENTES!A9="","",CLIENTES!A9)</f>
        <v/>
      </c>
      <c r="B2726" s="90" t="s">
        <v>331</v>
      </c>
      <c r="C2726" s="91" t="s">
        <v>328</v>
      </c>
      <c r="D2726" s="109" t="s">
        <v>364</v>
      </c>
      <c r="E2726" s="67" t="str">
        <f>COLORES!A4</f>
        <v>Negro</v>
      </c>
      <c r="F2726" s="67" t="str">
        <f>COLORES!B4</f>
        <v>OSCURO</v>
      </c>
      <c r="G2726" s="90" t="s">
        <v>377</v>
      </c>
      <c r="H2726" s="100">
        <f>IFERROR(SUMIFS(MOVIMIENTOS_COMPLEMENTOS!$I$4:$I$803,MOVIMIENTOS_COMPLEMENTOS!$C$4:$C$803,A2726,MOVIMIENTOS_COMPLEMENTOS!$D$4:$D$803,B2726,MOVIMIENTOS_COMPLEMENTOS!$E$4:$E$803,C2726,MOVIMIENTOS_COMPLEMENTOS!$F$4:$F$803,D2726,MOVIMIENTOS_COMPLEMENTOS!$G$4:$G$803,E2726,MOVIMIENTOS_COMPLEMENTOS!$H$4:$H$803,G2726,MOVIMIENTOS_COMPLEMENTOS!$B$4:$B$803,"INGRESO")+SUMIFS(MOVIMIENTOS_COMPLEMENTOS!$I$4:$I$803,MOVIMIENTOS_COMPLEMENTOS!$C$4:$C$803,A2726,MOVIMIENTOS_COMPLEMENTOS!$D$4:$D$803,B2726,MOVIMIENTOS_COMPLEMENTOS!$E$4:$E$803,C2726,MOVIMIENTOS_COMPLEMENTOS!$F$4:$F$803,D2726,MOVIMIENTOS_COMPLEMENTOS!$G$4:$G$803,E2726,MOVIMIENTOS_COMPLEMENTOS!$H$4:$H$803,G2726,MOVIMIENTOS_COMPLEMENTOS!$B$4:$B$803,"DE CORTE")-SUMIFS(MOVIMIENTOS_COMPLEMENTOS!$I$4:$I$803,MOVIMIENTOS_COMPLEMENTOS!$C$4:$C$803,A2726,MOVIMIENTOS_COMPLEMENTOS!$D$4:$D$803,B2726,MOVIMIENTOS_COMPLEMENTOS!$E$4:$E$803,C2726,MOVIMIENTOS_COMPLEMENTOS!$F$4:$F$803,D2726,MOVIMIENTOS_COMPLEMENTOS!$G$4:$G$803,E2726,MOVIMIENTOS_COMPLEMENTOS!$H$4:$H$803,G2726,MOVIMIENTOS_COMPLEMENTOS!$B$4:$B$803,"SALIDA"),0)</f>
        <v>0</v>
      </c>
      <c r="I2726" s="102">
        <f t="array" ref="I2726">IFERROR(INDEX(PRECIOS_COMPLEMENTOS!$C$4:$F$17,MATCH(B2726&amp;"_"&amp;C2726,PRECIOS_COMPLEMENTOS!$H$4:$H$17,0),IF(OR(G2726="S",G2726="20cm"),1,IF(OR(G2726="M",G2726="25cm"),2,IF(OR(G2726="L",G2726="30cm"),3,IF(OR(G2726="XL",G2726="35cm"),4,0))))),0)</f>
        <v>0.6</v>
      </c>
      <c r="J2726" s="103">
        <f t="shared" si="1"/>
        <v>0</v>
      </c>
      <c r="K2726" s="104" t="str">
        <f>IF(H2726&lt;0,"ERROR",IF(H2726=0,"",IF(H2726&lt;CONFIG!$B$4,"CRÍTICO",IF(H2726&lt;CONFIG!$B$5,"BAJO","OK"))))</f>
        <v/>
      </c>
    </row>
    <row r="2727" ht="15.75" hidden="1" customHeight="1">
      <c r="A2727" s="90" t="str">
        <f>IF(CLIENTES!A9="","",CLIENTES!A9)</f>
        <v/>
      </c>
      <c r="B2727" s="90" t="s">
        <v>331</v>
      </c>
      <c r="C2727" s="91" t="s">
        <v>328</v>
      </c>
      <c r="D2727" s="109" t="s">
        <v>364</v>
      </c>
      <c r="E2727" s="67" t="str">
        <f>COLORES!A4</f>
        <v>Negro</v>
      </c>
      <c r="F2727" s="67" t="str">
        <f>COLORES!B4</f>
        <v>OSCURO</v>
      </c>
      <c r="G2727" s="90" t="s">
        <v>379</v>
      </c>
      <c r="H2727" s="100">
        <f>IFERROR(SUMIFS(MOVIMIENTOS_COMPLEMENTOS!$I$4:$I$803,MOVIMIENTOS_COMPLEMENTOS!$C$4:$C$803,A2727,MOVIMIENTOS_COMPLEMENTOS!$D$4:$D$803,B2727,MOVIMIENTOS_COMPLEMENTOS!$E$4:$E$803,C2727,MOVIMIENTOS_COMPLEMENTOS!$F$4:$F$803,D2727,MOVIMIENTOS_COMPLEMENTOS!$G$4:$G$803,E2727,MOVIMIENTOS_COMPLEMENTOS!$H$4:$H$803,G2727,MOVIMIENTOS_COMPLEMENTOS!$B$4:$B$803,"INGRESO")+SUMIFS(MOVIMIENTOS_COMPLEMENTOS!$I$4:$I$803,MOVIMIENTOS_COMPLEMENTOS!$C$4:$C$803,A2727,MOVIMIENTOS_COMPLEMENTOS!$D$4:$D$803,B2727,MOVIMIENTOS_COMPLEMENTOS!$E$4:$E$803,C2727,MOVIMIENTOS_COMPLEMENTOS!$F$4:$F$803,D2727,MOVIMIENTOS_COMPLEMENTOS!$G$4:$G$803,E2727,MOVIMIENTOS_COMPLEMENTOS!$H$4:$H$803,G2727,MOVIMIENTOS_COMPLEMENTOS!$B$4:$B$803,"DE CORTE")-SUMIFS(MOVIMIENTOS_COMPLEMENTOS!$I$4:$I$803,MOVIMIENTOS_COMPLEMENTOS!$C$4:$C$803,A2727,MOVIMIENTOS_COMPLEMENTOS!$D$4:$D$803,B2727,MOVIMIENTOS_COMPLEMENTOS!$E$4:$E$803,C2727,MOVIMIENTOS_COMPLEMENTOS!$F$4:$F$803,D2727,MOVIMIENTOS_COMPLEMENTOS!$G$4:$G$803,E2727,MOVIMIENTOS_COMPLEMENTOS!$H$4:$H$803,G2727,MOVIMIENTOS_COMPLEMENTOS!$B$4:$B$803,"SALIDA"),0)</f>
        <v>0</v>
      </c>
      <c r="I2727" s="102">
        <f t="array" ref="I2727">IFERROR(INDEX(PRECIOS_COMPLEMENTOS!$C$4:$F$17,MATCH(B2727&amp;"_"&amp;C2727,PRECIOS_COMPLEMENTOS!$H$4:$H$17,0),IF(OR(G2727="S",G2727="20cm"),1,IF(OR(G2727="M",G2727="25cm"),2,IF(OR(G2727="L",G2727="30cm"),3,IF(OR(G2727="XL",G2727="35cm"),4,0))))),0)</f>
        <v>0.6</v>
      </c>
      <c r="J2727" s="103">
        <f t="shared" si="1"/>
        <v>0</v>
      </c>
      <c r="K2727" s="104" t="str">
        <f>IF(H2727&lt;0,"ERROR",IF(H2727=0,"",IF(H2727&lt;CONFIG!$B$4,"CRÍTICO",IF(H2727&lt;CONFIG!$B$5,"BAJO","OK"))))</f>
        <v/>
      </c>
    </row>
    <row r="2728" ht="15.75" hidden="1" customHeight="1">
      <c r="A2728" s="90" t="str">
        <f>IF(CLIENTES!A9="","",CLIENTES!A9)</f>
        <v/>
      </c>
      <c r="B2728" s="90" t="s">
        <v>331</v>
      </c>
      <c r="C2728" s="91" t="s">
        <v>328</v>
      </c>
      <c r="D2728" s="109" t="s">
        <v>364</v>
      </c>
      <c r="E2728" s="67" t="str">
        <f>COLORES!A5</f>
        <v>Perla</v>
      </c>
      <c r="F2728" s="67" t="str">
        <f>COLORES!B5</f>
        <v>PPT</v>
      </c>
      <c r="G2728" s="90" t="s">
        <v>378</v>
      </c>
      <c r="H2728" s="100">
        <f>IFERROR(SUMIFS(MOVIMIENTOS_COMPLEMENTOS!$I$4:$I$803,MOVIMIENTOS_COMPLEMENTOS!$C$4:$C$803,A2728,MOVIMIENTOS_COMPLEMENTOS!$D$4:$D$803,B2728,MOVIMIENTOS_COMPLEMENTOS!$E$4:$E$803,C2728,MOVIMIENTOS_COMPLEMENTOS!$F$4:$F$803,D2728,MOVIMIENTOS_COMPLEMENTOS!$G$4:$G$803,E2728,MOVIMIENTOS_COMPLEMENTOS!$H$4:$H$803,G2728,MOVIMIENTOS_COMPLEMENTOS!$B$4:$B$803,"INGRESO")+SUMIFS(MOVIMIENTOS_COMPLEMENTOS!$I$4:$I$803,MOVIMIENTOS_COMPLEMENTOS!$C$4:$C$803,A2728,MOVIMIENTOS_COMPLEMENTOS!$D$4:$D$803,B2728,MOVIMIENTOS_COMPLEMENTOS!$E$4:$E$803,C2728,MOVIMIENTOS_COMPLEMENTOS!$F$4:$F$803,D2728,MOVIMIENTOS_COMPLEMENTOS!$G$4:$G$803,E2728,MOVIMIENTOS_COMPLEMENTOS!$H$4:$H$803,G2728,MOVIMIENTOS_COMPLEMENTOS!$B$4:$B$803,"DE CORTE")-SUMIFS(MOVIMIENTOS_COMPLEMENTOS!$I$4:$I$803,MOVIMIENTOS_COMPLEMENTOS!$C$4:$C$803,A2728,MOVIMIENTOS_COMPLEMENTOS!$D$4:$D$803,B2728,MOVIMIENTOS_COMPLEMENTOS!$E$4:$E$803,C2728,MOVIMIENTOS_COMPLEMENTOS!$F$4:$F$803,D2728,MOVIMIENTOS_COMPLEMENTOS!$G$4:$G$803,E2728,MOVIMIENTOS_COMPLEMENTOS!$H$4:$H$803,G2728,MOVIMIENTOS_COMPLEMENTOS!$B$4:$B$803,"SALIDA"),0)</f>
        <v>0</v>
      </c>
      <c r="I2728" s="102">
        <f t="array" ref="I2728">IFERROR(INDEX(PRECIOS_COMPLEMENTOS!$C$4:$F$17,MATCH(B2728&amp;"_"&amp;C2728,PRECIOS_COMPLEMENTOS!$H$4:$H$17,0),IF(OR(G2728="S",G2728="20cm"),1,IF(OR(G2728="M",G2728="25cm"),2,IF(OR(G2728="L",G2728="30cm"),3,IF(OR(G2728="XL",G2728="35cm"),4,0))))),0)</f>
        <v>0.6</v>
      </c>
      <c r="J2728" s="103">
        <f t="shared" si="1"/>
        <v>0</v>
      </c>
      <c r="K2728" s="104" t="str">
        <f>IF(H2728&lt;0,"ERROR",IF(H2728=0,"",IF(H2728&lt;CONFIG!$B$4,"CRÍTICO",IF(H2728&lt;CONFIG!$B$5,"BAJO","OK"))))</f>
        <v/>
      </c>
    </row>
    <row r="2729" ht="15.75" hidden="1" customHeight="1">
      <c r="A2729" s="90" t="str">
        <f>IF(CLIENTES!A9="","",CLIENTES!A9)</f>
        <v/>
      </c>
      <c r="B2729" s="90" t="s">
        <v>331</v>
      </c>
      <c r="C2729" s="91" t="s">
        <v>328</v>
      </c>
      <c r="D2729" s="109" t="s">
        <v>364</v>
      </c>
      <c r="E2729" s="67" t="str">
        <f>COLORES!A5</f>
        <v>Perla</v>
      </c>
      <c r="F2729" s="67" t="str">
        <f>COLORES!B5</f>
        <v>PPT</v>
      </c>
      <c r="G2729" s="90" t="s">
        <v>376</v>
      </c>
      <c r="H2729" s="100">
        <f>IFERROR(SUMIFS(MOVIMIENTOS_COMPLEMENTOS!$I$4:$I$803,MOVIMIENTOS_COMPLEMENTOS!$C$4:$C$803,A2729,MOVIMIENTOS_COMPLEMENTOS!$D$4:$D$803,B2729,MOVIMIENTOS_COMPLEMENTOS!$E$4:$E$803,C2729,MOVIMIENTOS_COMPLEMENTOS!$F$4:$F$803,D2729,MOVIMIENTOS_COMPLEMENTOS!$G$4:$G$803,E2729,MOVIMIENTOS_COMPLEMENTOS!$H$4:$H$803,G2729,MOVIMIENTOS_COMPLEMENTOS!$B$4:$B$803,"INGRESO")+SUMIFS(MOVIMIENTOS_COMPLEMENTOS!$I$4:$I$803,MOVIMIENTOS_COMPLEMENTOS!$C$4:$C$803,A2729,MOVIMIENTOS_COMPLEMENTOS!$D$4:$D$803,B2729,MOVIMIENTOS_COMPLEMENTOS!$E$4:$E$803,C2729,MOVIMIENTOS_COMPLEMENTOS!$F$4:$F$803,D2729,MOVIMIENTOS_COMPLEMENTOS!$G$4:$G$803,E2729,MOVIMIENTOS_COMPLEMENTOS!$H$4:$H$803,G2729,MOVIMIENTOS_COMPLEMENTOS!$B$4:$B$803,"DE CORTE")-SUMIFS(MOVIMIENTOS_COMPLEMENTOS!$I$4:$I$803,MOVIMIENTOS_COMPLEMENTOS!$C$4:$C$803,A2729,MOVIMIENTOS_COMPLEMENTOS!$D$4:$D$803,B2729,MOVIMIENTOS_COMPLEMENTOS!$E$4:$E$803,C2729,MOVIMIENTOS_COMPLEMENTOS!$F$4:$F$803,D2729,MOVIMIENTOS_COMPLEMENTOS!$G$4:$G$803,E2729,MOVIMIENTOS_COMPLEMENTOS!$H$4:$H$803,G2729,MOVIMIENTOS_COMPLEMENTOS!$B$4:$B$803,"SALIDA"),0)</f>
        <v>0</v>
      </c>
      <c r="I2729" s="102">
        <f t="array" ref="I2729">IFERROR(INDEX(PRECIOS_COMPLEMENTOS!$C$4:$F$17,MATCH(B2729&amp;"_"&amp;C2729,PRECIOS_COMPLEMENTOS!$H$4:$H$17,0),IF(OR(G2729="S",G2729="20cm"),1,IF(OR(G2729="M",G2729="25cm"),2,IF(OR(G2729="L",G2729="30cm"),3,IF(OR(G2729="XL",G2729="35cm"),4,0))))),0)</f>
        <v>0.6</v>
      </c>
      <c r="J2729" s="103">
        <f t="shared" si="1"/>
        <v>0</v>
      </c>
      <c r="K2729" s="104" t="str">
        <f>IF(H2729&lt;0,"ERROR",IF(H2729=0,"",IF(H2729&lt;CONFIG!$B$4,"CRÍTICO",IF(H2729&lt;CONFIG!$B$5,"BAJO","OK"))))</f>
        <v/>
      </c>
    </row>
    <row r="2730" ht="15.75" hidden="1" customHeight="1">
      <c r="A2730" s="90" t="str">
        <f>IF(CLIENTES!A9="","",CLIENTES!A9)</f>
        <v/>
      </c>
      <c r="B2730" s="90" t="s">
        <v>331</v>
      </c>
      <c r="C2730" s="91" t="s">
        <v>328</v>
      </c>
      <c r="D2730" s="109" t="s">
        <v>364</v>
      </c>
      <c r="E2730" s="67" t="str">
        <f>COLORES!A5</f>
        <v>Perla</v>
      </c>
      <c r="F2730" s="67" t="str">
        <f>COLORES!B5</f>
        <v>PPT</v>
      </c>
      <c r="G2730" s="90" t="s">
        <v>377</v>
      </c>
      <c r="H2730" s="100">
        <f>IFERROR(SUMIFS(MOVIMIENTOS_COMPLEMENTOS!$I$4:$I$803,MOVIMIENTOS_COMPLEMENTOS!$C$4:$C$803,A2730,MOVIMIENTOS_COMPLEMENTOS!$D$4:$D$803,B2730,MOVIMIENTOS_COMPLEMENTOS!$E$4:$E$803,C2730,MOVIMIENTOS_COMPLEMENTOS!$F$4:$F$803,D2730,MOVIMIENTOS_COMPLEMENTOS!$G$4:$G$803,E2730,MOVIMIENTOS_COMPLEMENTOS!$H$4:$H$803,G2730,MOVIMIENTOS_COMPLEMENTOS!$B$4:$B$803,"INGRESO")+SUMIFS(MOVIMIENTOS_COMPLEMENTOS!$I$4:$I$803,MOVIMIENTOS_COMPLEMENTOS!$C$4:$C$803,A2730,MOVIMIENTOS_COMPLEMENTOS!$D$4:$D$803,B2730,MOVIMIENTOS_COMPLEMENTOS!$E$4:$E$803,C2730,MOVIMIENTOS_COMPLEMENTOS!$F$4:$F$803,D2730,MOVIMIENTOS_COMPLEMENTOS!$G$4:$G$803,E2730,MOVIMIENTOS_COMPLEMENTOS!$H$4:$H$803,G2730,MOVIMIENTOS_COMPLEMENTOS!$B$4:$B$803,"DE CORTE")-SUMIFS(MOVIMIENTOS_COMPLEMENTOS!$I$4:$I$803,MOVIMIENTOS_COMPLEMENTOS!$C$4:$C$803,A2730,MOVIMIENTOS_COMPLEMENTOS!$D$4:$D$803,B2730,MOVIMIENTOS_COMPLEMENTOS!$E$4:$E$803,C2730,MOVIMIENTOS_COMPLEMENTOS!$F$4:$F$803,D2730,MOVIMIENTOS_COMPLEMENTOS!$G$4:$G$803,E2730,MOVIMIENTOS_COMPLEMENTOS!$H$4:$H$803,G2730,MOVIMIENTOS_COMPLEMENTOS!$B$4:$B$803,"SALIDA"),0)</f>
        <v>0</v>
      </c>
      <c r="I2730" s="102">
        <f t="array" ref="I2730">IFERROR(INDEX(PRECIOS_COMPLEMENTOS!$C$4:$F$17,MATCH(B2730&amp;"_"&amp;C2730,PRECIOS_COMPLEMENTOS!$H$4:$H$17,0),IF(OR(G2730="S",G2730="20cm"),1,IF(OR(G2730="M",G2730="25cm"),2,IF(OR(G2730="L",G2730="30cm"),3,IF(OR(G2730="XL",G2730="35cm"),4,0))))),0)</f>
        <v>0.6</v>
      </c>
      <c r="J2730" s="103">
        <f t="shared" si="1"/>
        <v>0</v>
      </c>
      <c r="K2730" s="104" t="str">
        <f>IF(H2730&lt;0,"ERROR",IF(H2730=0,"",IF(H2730&lt;CONFIG!$B$4,"CRÍTICO",IF(H2730&lt;CONFIG!$B$5,"BAJO","OK"))))</f>
        <v/>
      </c>
    </row>
    <row r="2731" ht="15.75" hidden="1" customHeight="1">
      <c r="A2731" s="90" t="str">
        <f>IF(CLIENTES!A9="","",CLIENTES!A9)</f>
        <v/>
      </c>
      <c r="B2731" s="90" t="s">
        <v>331</v>
      </c>
      <c r="C2731" s="91" t="s">
        <v>328</v>
      </c>
      <c r="D2731" s="109" t="s">
        <v>364</v>
      </c>
      <c r="E2731" s="67" t="str">
        <f>COLORES!A5</f>
        <v>Perla</v>
      </c>
      <c r="F2731" s="67" t="str">
        <f>COLORES!B5</f>
        <v>PPT</v>
      </c>
      <c r="G2731" s="90" t="s">
        <v>379</v>
      </c>
      <c r="H2731" s="100">
        <f>IFERROR(SUMIFS(MOVIMIENTOS_COMPLEMENTOS!$I$4:$I$803,MOVIMIENTOS_COMPLEMENTOS!$C$4:$C$803,A2731,MOVIMIENTOS_COMPLEMENTOS!$D$4:$D$803,B2731,MOVIMIENTOS_COMPLEMENTOS!$E$4:$E$803,C2731,MOVIMIENTOS_COMPLEMENTOS!$F$4:$F$803,D2731,MOVIMIENTOS_COMPLEMENTOS!$G$4:$G$803,E2731,MOVIMIENTOS_COMPLEMENTOS!$H$4:$H$803,G2731,MOVIMIENTOS_COMPLEMENTOS!$B$4:$B$803,"INGRESO")+SUMIFS(MOVIMIENTOS_COMPLEMENTOS!$I$4:$I$803,MOVIMIENTOS_COMPLEMENTOS!$C$4:$C$803,A2731,MOVIMIENTOS_COMPLEMENTOS!$D$4:$D$803,B2731,MOVIMIENTOS_COMPLEMENTOS!$E$4:$E$803,C2731,MOVIMIENTOS_COMPLEMENTOS!$F$4:$F$803,D2731,MOVIMIENTOS_COMPLEMENTOS!$G$4:$G$803,E2731,MOVIMIENTOS_COMPLEMENTOS!$H$4:$H$803,G2731,MOVIMIENTOS_COMPLEMENTOS!$B$4:$B$803,"DE CORTE")-SUMIFS(MOVIMIENTOS_COMPLEMENTOS!$I$4:$I$803,MOVIMIENTOS_COMPLEMENTOS!$C$4:$C$803,A2731,MOVIMIENTOS_COMPLEMENTOS!$D$4:$D$803,B2731,MOVIMIENTOS_COMPLEMENTOS!$E$4:$E$803,C2731,MOVIMIENTOS_COMPLEMENTOS!$F$4:$F$803,D2731,MOVIMIENTOS_COMPLEMENTOS!$G$4:$G$803,E2731,MOVIMIENTOS_COMPLEMENTOS!$H$4:$H$803,G2731,MOVIMIENTOS_COMPLEMENTOS!$B$4:$B$803,"SALIDA"),0)</f>
        <v>0</v>
      </c>
      <c r="I2731" s="102">
        <f t="array" ref="I2731">IFERROR(INDEX(PRECIOS_COMPLEMENTOS!$C$4:$F$17,MATCH(B2731&amp;"_"&amp;C2731,PRECIOS_COMPLEMENTOS!$H$4:$H$17,0),IF(OR(G2731="S",G2731="20cm"),1,IF(OR(G2731="M",G2731="25cm"),2,IF(OR(G2731="L",G2731="30cm"),3,IF(OR(G2731="XL",G2731="35cm"),4,0))))),0)</f>
        <v>0.6</v>
      </c>
      <c r="J2731" s="103">
        <f t="shared" si="1"/>
        <v>0</v>
      </c>
      <c r="K2731" s="104" t="str">
        <f>IF(H2731&lt;0,"ERROR",IF(H2731=0,"",IF(H2731&lt;CONFIG!$B$4,"CRÍTICO",IF(H2731&lt;CONFIG!$B$5,"BAJO","OK"))))</f>
        <v/>
      </c>
    </row>
    <row r="2732" ht="15.75" hidden="1" customHeight="1">
      <c r="A2732" s="90" t="str">
        <f>IF(CLIENTES!A9="","",CLIENTES!A9)</f>
        <v/>
      </c>
      <c r="B2732" s="90" t="s">
        <v>331</v>
      </c>
      <c r="C2732" s="91" t="s">
        <v>328</v>
      </c>
      <c r="D2732" s="109" t="s">
        <v>364</v>
      </c>
      <c r="E2732" s="67" t="str">
        <f>COLORES!A6</f>
        <v>Blanco</v>
      </c>
      <c r="F2732" s="67" t="str">
        <f>COLORES!B6</f>
        <v>PPT</v>
      </c>
      <c r="G2732" s="90" t="s">
        <v>378</v>
      </c>
      <c r="H2732" s="100">
        <f>IFERROR(SUMIFS(MOVIMIENTOS_COMPLEMENTOS!$I$4:$I$803,MOVIMIENTOS_COMPLEMENTOS!$C$4:$C$803,A2732,MOVIMIENTOS_COMPLEMENTOS!$D$4:$D$803,B2732,MOVIMIENTOS_COMPLEMENTOS!$E$4:$E$803,C2732,MOVIMIENTOS_COMPLEMENTOS!$F$4:$F$803,D2732,MOVIMIENTOS_COMPLEMENTOS!$G$4:$G$803,E2732,MOVIMIENTOS_COMPLEMENTOS!$H$4:$H$803,G2732,MOVIMIENTOS_COMPLEMENTOS!$B$4:$B$803,"INGRESO")+SUMIFS(MOVIMIENTOS_COMPLEMENTOS!$I$4:$I$803,MOVIMIENTOS_COMPLEMENTOS!$C$4:$C$803,A2732,MOVIMIENTOS_COMPLEMENTOS!$D$4:$D$803,B2732,MOVIMIENTOS_COMPLEMENTOS!$E$4:$E$803,C2732,MOVIMIENTOS_COMPLEMENTOS!$F$4:$F$803,D2732,MOVIMIENTOS_COMPLEMENTOS!$G$4:$G$803,E2732,MOVIMIENTOS_COMPLEMENTOS!$H$4:$H$803,G2732,MOVIMIENTOS_COMPLEMENTOS!$B$4:$B$803,"DE CORTE")-SUMIFS(MOVIMIENTOS_COMPLEMENTOS!$I$4:$I$803,MOVIMIENTOS_COMPLEMENTOS!$C$4:$C$803,A2732,MOVIMIENTOS_COMPLEMENTOS!$D$4:$D$803,B2732,MOVIMIENTOS_COMPLEMENTOS!$E$4:$E$803,C2732,MOVIMIENTOS_COMPLEMENTOS!$F$4:$F$803,D2732,MOVIMIENTOS_COMPLEMENTOS!$G$4:$G$803,E2732,MOVIMIENTOS_COMPLEMENTOS!$H$4:$H$803,G2732,MOVIMIENTOS_COMPLEMENTOS!$B$4:$B$803,"SALIDA"),0)</f>
        <v>0</v>
      </c>
      <c r="I2732" s="102">
        <f t="array" ref="I2732">IFERROR(INDEX(PRECIOS_COMPLEMENTOS!$C$4:$F$17,MATCH(B2732&amp;"_"&amp;C2732,PRECIOS_COMPLEMENTOS!$H$4:$H$17,0),IF(OR(G2732="S",G2732="20cm"),1,IF(OR(G2732="M",G2732="25cm"),2,IF(OR(G2732="L",G2732="30cm"),3,IF(OR(G2732="XL",G2732="35cm"),4,0))))),0)</f>
        <v>0.6</v>
      </c>
      <c r="J2732" s="103">
        <f t="shared" si="1"/>
        <v>0</v>
      </c>
      <c r="K2732" s="104" t="str">
        <f>IF(H2732&lt;0,"ERROR",IF(H2732=0,"",IF(H2732&lt;CONFIG!$B$4,"CRÍTICO",IF(H2732&lt;CONFIG!$B$5,"BAJO","OK"))))</f>
        <v/>
      </c>
    </row>
    <row r="2733" ht="15.75" hidden="1" customHeight="1">
      <c r="A2733" s="90" t="str">
        <f>IF(CLIENTES!A9="","",CLIENTES!A9)</f>
        <v/>
      </c>
      <c r="B2733" s="90" t="s">
        <v>331</v>
      </c>
      <c r="C2733" s="91" t="s">
        <v>328</v>
      </c>
      <c r="D2733" s="109" t="s">
        <v>364</v>
      </c>
      <c r="E2733" s="67" t="str">
        <f>COLORES!A6</f>
        <v>Blanco</v>
      </c>
      <c r="F2733" s="67" t="str">
        <f>COLORES!B6</f>
        <v>PPT</v>
      </c>
      <c r="G2733" s="90" t="s">
        <v>376</v>
      </c>
      <c r="H2733" s="100">
        <f>IFERROR(SUMIFS(MOVIMIENTOS_COMPLEMENTOS!$I$4:$I$803,MOVIMIENTOS_COMPLEMENTOS!$C$4:$C$803,A2733,MOVIMIENTOS_COMPLEMENTOS!$D$4:$D$803,B2733,MOVIMIENTOS_COMPLEMENTOS!$E$4:$E$803,C2733,MOVIMIENTOS_COMPLEMENTOS!$F$4:$F$803,D2733,MOVIMIENTOS_COMPLEMENTOS!$G$4:$G$803,E2733,MOVIMIENTOS_COMPLEMENTOS!$H$4:$H$803,G2733,MOVIMIENTOS_COMPLEMENTOS!$B$4:$B$803,"INGRESO")+SUMIFS(MOVIMIENTOS_COMPLEMENTOS!$I$4:$I$803,MOVIMIENTOS_COMPLEMENTOS!$C$4:$C$803,A2733,MOVIMIENTOS_COMPLEMENTOS!$D$4:$D$803,B2733,MOVIMIENTOS_COMPLEMENTOS!$E$4:$E$803,C2733,MOVIMIENTOS_COMPLEMENTOS!$F$4:$F$803,D2733,MOVIMIENTOS_COMPLEMENTOS!$G$4:$G$803,E2733,MOVIMIENTOS_COMPLEMENTOS!$H$4:$H$803,G2733,MOVIMIENTOS_COMPLEMENTOS!$B$4:$B$803,"DE CORTE")-SUMIFS(MOVIMIENTOS_COMPLEMENTOS!$I$4:$I$803,MOVIMIENTOS_COMPLEMENTOS!$C$4:$C$803,A2733,MOVIMIENTOS_COMPLEMENTOS!$D$4:$D$803,B2733,MOVIMIENTOS_COMPLEMENTOS!$E$4:$E$803,C2733,MOVIMIENTOS_COMPLEMENTOS!$F$4:$F$803,D2733,MOVIMIENTOS_COMPLEMENTOS!$G$4:$G$803,E2733,MOVIMIENTOS_COMPLEMENTOS!$H$4:$H$803,G2733,MOVIMIENTOS_COMPLEMENTOS!$B$4:$B$803,"SALIDA"),0)</f>
        <v>0</v>
      </c>
      <c r="I2733" s="102">
        <f t="array" ref="I2733">IFERROR(INDEX(PRECIOS_COMPLEMENTOS!$C$4:$F$17,MATCH(B2733&amp;"_"&amp;C2733,PRECIOS_COMPLEMENTOS!$H$4:$H$17,0),IF(OR(G2733="S",G2733="20cm"),1,IF(OR(G2733="M",G2733="25cm"),2,IF(OR(G2733="L",G2733="30cm"),3,IF(OR(G2733="XL",G2733="35cm"),4,0))))),0)</f>
        <v>0.6</v>
      </c>
      <c r="J2733" s="103">
        <f t="shared" si="1"/>
        <v>0</v>
      </c>
      <c r="K2733" s="104" t="str">
        <f>IF(H2733&lt;0,"ERROR",IF(H2733=0,"",IF(H2733&lt;CONFIG!$B$4,"CRÍTICO",IF(H2733&lt;CONFIG!$B$5,"BAJO","OK"))))</f>
        <v/>
      </c>
    </row>
    <row r="2734" ht="15.75" hidden="1" customHeight="1">
      <c r="A2734" s="90" t="str">
        <f>IF(CLIENTES!A9="","",CLIENTES!A9)</f>
        <v/>
      </c>
      <c r="B2734" s="90" t="s">
        <v>331</v>
      </c>
      <c r="C2734" s="91" t="s">
        <v>328</v>
      </c>
      <c r="D2734" s="109" t="s">
        <v>364</v>
      </c>
      <c r="E2734" s="67" t="str">
        <f>COLORES!A6</f>
        <v>Blanco</v>
      </c>
      <c r="F2734" s="67" t="str">
        <f>COLORES!B6</f>
        <v>PPT</v>
      </c>
      <c r="G2734" s="90" t="s">
        <v>377</v>
      </c>
      <c r="H2734" s="100">
        <f>IFERROR(SUMIFS(MOVIMIENTOS_COMPLEMENTOS!$I$4:$I$803,MOVIMIENTOS_COMPLEMENTOS!$C$4:$C$803,A2734,MOVIMIENTOS_COMPLEMENTOS!$D$4:$D$803,B2734,MOVIMIENTOS_COMPLEMENTOS!$E$4:$E$803,C2734,MOVIMIENTOS_COMPLEMENTOS!$F$4:$F$803,D2734,MOVIMIENTOS_COMPLEMENTOS!$G$4:$G$803,E2734,MOVIMIENTOS_COMPLEMENTOS!$H$4:$H$803,G2734,MOVIMIENTOS_COMPLEMENTOS!$B$4:$B$803,"INGRESO")+SUMIFS(MOVIMIENTOS_COMPLEMENTOS!$I$4:$I$803,MOVIMIENTOS_COMPLEMENTOS!$C$4:$C$803,A2734,MOVIMIENTOS_COMPLEMENTOS!$D$4:$D$803,B2734,MOVIMIENTOS_COMPLEMENTOS!$E$4:$E$803,C2734,MOVIMIENTOS_COMPLEMENTOS!$F$4:$F$803,D2734,MOVIMIENTOS_COMPLEMENTOS!$G$4:$G$803,E2734,MOVIMIENTOS_COMPLEMENTOS!$H$4:$H$803,G2734,MOVIMIENTOS_COMPLEMENTOS!$B$4:$B$803,"DE CORTE")-SUMIFS(MOVIMIENTOS_COMPLEMENTOS!$I$4:$I$803,MOVIMIENTOS_COMPLEMENTOS!$C$4:$C$803,A2734,MOVIMIENTOS_COMPLEMENTOS!$D$4:$D$803,B2734,MOVIMIENTOS_COMPLEMENTOS!$E$4:$E$803,C2734,MOVIMIENTOS_COMPLEMENTOS!$F$4:$F$803,D2734,MOVIMIENTOS_COMPLEMENTOS!$G$4:$G$803,E2734,MOVIMIENTOS_COMPLEMENTOS!$H$4:$H$803,G2734,MOVIMIENTOS_COMPLEMENTOS!$B$4:$B$803,"SALIDA"),0)</f>
        <v>0</v>
      </c>
      <c r="I2734" s="102">
        <f t="array" ref="I2734">IFERROR(INDEX(PRECIOS_COMPLEMENTOS!$C$4:$F$17,MATCH(B2734&amp;"_"&amp;C2734,PRECIOS_COMPLEMENTOS!$H$4:$H$17,0),IF(OR(G2734="S",G2734="20cm"),1,IF(OR(G2734="M",G2734="25cm"),2,IF(OR(G2734="L",G2734="30cm"),3,IF(OR(G2734="XL",G2734="35cm"),4,0))))),0)</f>
        <v>0.6</v>
      </c>
      <c r="J2734" s="103">
        <f t="shared" si="1"/>
        <v>0</v>
      </c>
      <c r="K2734" s="104" t="str">
        <f>IF(H2734&lt;0,"ERROR",IF(H2734=0,"",IF(H2734&lt;CONFIG!$B$4,"CRÍTICO",IF(H2734&lt;CONFIG!$B$5,"BAJO","OK"))))</f>
        <v/>
      </c>
    </row>
    <row r="2735" ht="15.75" hidden="1" customHeight="1">
      <c r="A2735" s="90" t="str">
        <f>IF(CLIENTES!A9="","",CLIENTES!A9)</f>
        <v/>
      </c>
      <c r="B2735" s="90" t="s">
        <v>331</v>
      </c>
      <c r="C2735" s="91" t="s">
        <v>328</v>
      </c>
      <c r="D2735" s="109" t="s">
        <v>364</v>
      </c>
      <c r="E2735" s="67" t="str">
        <f>COLORES!A6</f>
        <v>Blanco</v>
      </c>
      <c r="F2735" s="67" t="str">
        <f>COLORES!B6</f>
        <v>PPT</v>
      </c>
      <c r="G2735" s="90" t="s">
        <v>379</v>
      </c>
      <c r="H2735" s="100">
        <f>IFERROR(SUMIFS(MOVIMIENTOS_COMPLEMENTOS!$I$4:$I$803,MOVIMIENTOS_COMPLEMENTOS!$C$4:$C$803,A2735,MOVIMIENTOS_COMPLEMENTOS!$D$4:$D$803,B2735,MOVIMIENTOS_COMPLEMENTOS!$E$4:$E$803,C2735,MOVIMIENTOS_COMPLEMENTOS!$F$4:$F$803,D2735,MOVIMIENTOS_COMPLEMENTOS!$G$4:$G$803,E2735,MOVIMIENTOS_COMPLEMENTOS!$H$4:$H$803,G2735,MOVIMIENTOS_COMPLEMENTOS!$B$4:$B$803,"INGRESO")+SUMIFS(MOVIMIENTOS_COMPLEMENTOS!$I$4:$I$803,MOVIMIENTOS_COMPLEMENTOS!$C$4:$C$803,A2735,MOVIMIENTOS_COMPLEMENTOS!$D$4:$D$803,B2735,MOVIMIENTOS_COMPLEMENTOS!$E$4:$E$803,C2735,MOVIMIENTOS_COMPLEMENTOS!$F$4:$F$803,D2735,MOVIMIENTOS_COMPLEMENTOS!$G$4:$G$803,E2735,MOVIMIENTOS_COMPLEMENTOS!$H$4:$H$803,G2735,MOVIMIENTOS_COMPLEMENTOS!$B$4:$B$803,"DE CORTE")-SUMIFS(MOVIMIENTOS_COMPLEMENTOS!$I$4:$I$803,MOVIMIENTOS_COMPLEMENTOS!$C$4:$C$803,A2735,MOVIMIENTOS_COMPLEMENTOS!$D$4:$D$803,B2735,MOVIMIENTOS_COMPLEMENTOS!$E$4:$E$803,C2735,MOVIMIENTOS_COMPLEMENTOS!$F$4:$F$803,D2735,MOVIMIENTOS_COMPLEMENTOS!$G$4:$G$803,E2735,MOVIMIENTOS_COMPLEMENTOS!$H$4:$H$803,G2735,MOVIMIENTOS_COMPLEMENTOS!$B$4:$B$803,"SALIDA"),0)</f>
        <v>0</v>
      </c>
      <c r="I2735" s="102">
        <f t="array" ref="I2735">IFERROR(INDEX(PRECIOS_COMPLEMENTOS!$C$4:$F$17,MATCH(B2735&amp;"_"&amp;C2735,PRECIOS_COMPLEMENTOS!$H$4:$H$17,0),IF(OR(G2735="S",G2735="20cm"),1,IF(OR(G2735="M",G2735="25cm"),2,IF(OR(G2735="L",G2735="30cm"),3,IF(OR(G2735="XL",G2735="35cm"),4,0))))),0)</f>
        <v>0.6</v>
      </c>
      <c r="J2735" s="103">
        <f t="shared" si="1"/>
        <v>0</v>
      </c>
      <c r="K2735" s="104" t="str">
        <f>IF(H2735&lt;0,"ERROR",IF(H2735=0,"",IF(H2735&lt;CONFIG!$B$4,"CRÍTICO",IF(H2735&lt;CONFIG!$B$5,"BAJO","OK"))))</f>
        <v/>
      </c>
    </row>
    <row r="2736" ht="15.75" hidden="1" customHeight="1">
      <c r="A2736" s="90" t="str">
        <f>IF(CLIENTES!A9="","",CLIENTES!A9)</f>
        <v/>
      </c>
      <c r="B2736" s="90" t="s">
        <v>331</v>
      </c>
      <c r="C2736" s="91" t="s">
        <v>328</v>
      </c>
      <c r="D2736" s="109" t="s">
        <v>364</v>
      </c>
      <c r="E2736" s="67" t="str">
        <f>COLORES!A7</f>
        <v>Azul</v>
      </c>
      <c r="F2736" s="67" t="str">
        <f>COLORES!B7</f>
        <v>OSCURO</v>
      </c>
      <c r="G2736" s="90" t="s">
        <v>378</v>
      </c>
      <c r="H2736" s="100">
        <f>IFERROR(SUMIFS(MOVIMIENTOS_COMPLEMENTOS!$I$4:$I$803,MOVIMIENTOS_COMPLEMENTOS!$C$4:$C$803,A2736,MOVIMIENTOS_COMPLEMENTOS!$D$4:$D$803,B2736,MOVIMIENTOS_COMPLEMENTOS!$E$4:$E$803,C2736,MOVIMIENTOS_COMPLEMENTOS!$F$4:$F$803,D2736,MOVIMIENTOS_COMPLEMENTOS!$G$4:$G$803,E2736,MOVIMIENTOS_COMPLEMENTOS!$H$4:$H$803,G2736,MOVIMIENTOS_COMPLEMENTOS!$B$4:$B$803,"INGRESO")+SUMIFS(MOVIMIENTOS_COMPLEMENTOS!$I$4:$I$803,MOVIMIENTOS_COMPLEMENTOS!$C$4:$C$803,A2736,MOVIMIENTOS_COMPLEMENTOS!$D$4:$D$803,B2736,MOVIMIENTOS_COMPLEMENTOS!$E$4:$E$803,C2736,MOVIMIENTOS_COMPLEMENTOS!$F$4:$F$803,D2736,MOVIMIENTOS_COMPLEMENTOS!$G$4:$G$803,E2736,MOVIMIENTOS_COMPLEMENTOS!$H$4:$H$803,G2736,MOVIMIENTOS_COMPLEMENTOS!$B$4:$B$803,"DE CORTE")-SUMIFS(MOVIMIENTOS_COMPLEMENTOS!$I$4:$I$803,MOVIMIENTOS_COMPLEMENTOS!$C$4:$C$803,A2736,MOVIMIENTOS_COMPLEMENTOS!$D$4:$D$803,B2736,MOVIMIENTOS_COMPLEMENTOS!$E$4:$E$803,C2736,MOVIMIENTOS_COMPLEMENTOS!$F$4:$F$803,D2736,MOVIMIENTOS_COMPLEMENTOS!$G$4:$G$803,E2736,MOVIMIENTOS_COMPLEMENTOS!$H$4:$H$803,G2736,MOVIMIENTOS_COMPLEMENTOS!$B$4:$B$803,"SALIDA"),0)</f>
        <v>0</v>
      </c>
      <c r="I2736" s="102">
        <f t="array" ref="I2736">IFERROR(INDEX(PRECIOS_COMPLEMENTOS!$C$4:$F$17,MATCH(B2736&amp;"_"&amp;C2736,PRECIOS_COMPLEMENTOS!$H$4:$H$17,0),IF(OR(G2736="S",G2736="20cm"),1,IF(OR(G2736="M",G2736="25cm"),2,IF(OR(G2736="L",G2736="30cm"),3,IF(OR(G2736="XL",G2736="35cm"),4,0))))),0)</f>
        <v>0.6</v>
      </c>
      <c r="J2736" s="103">
        <f t="shared" si="1"/>
        <v>0</v>
      </c>
      <c r="K2736" s="104" t="str">
        <f>IF(H2736&lt;0,"ERROR",IF(H2736=0,"",IF(H2736&lt;CONFIG!$B$4,"CRÍTICO",IF(H2736&lt;CONFIG!$B$5,"BAJO","OK"))))</f>
        <v/>
      </c>
    </row>
    <row r="2737" ht="15.75" hidden="1" customHeight="1">
      <c r="A2737" s="90" t="str">
        <f>IF(CLIENTES!A9="","",CLIENTES!A9)</f>
        <v/>
      </c>
      <c r="B2737" s="90" t="s">
        <v>331</v>
      </c>
      <c r="C2737" s="91" t="s">
        <v>328</v>
      </c>
      <c r="D2737" s="109" t="s">
        <v>364</v>
      </c>
      <c r="E2737" s="67" t="str">
        <f>COLORES!A7</f>
        <v>Azul</v>
      </c>
      <c r="F2737" s="67" t="str">
        <f>COLORES!B7</f>
        <v>OSCURO</v>
      </c>
      <c r="G2737" s="90" t="s">
        <v>376</v>
      </c>
      <c r="H2737" s="100">
        <f>IFERROR(SUMIFS(MOVIMIENTOS_COMPLEMENTOS!$I$4:$I$803,MOVIMIENTOS_COMPLEMENTOS!$C$4:$C$803,A2737,MOVIMIENTOS_COMPLEMENTOS!$D$4:$D$803,B2737,MOVIMIENTOS_COMPLEMENTOS!$E$4:$E$803,C2737,MOVIMIENTOS_COMPLEMENTOS!$F$4:$F$803,D2737,MOVIMIENTOS_COMPLEMENTOS!$G$4:$G$803,E2737,MOVIMIENTOS_COMPLEMENTOS!$H$4:$H$803,G2737,MOVIMIENTOS_COMPLEMENTOS!$B$4:$B$803,"INGRESO")+SUMIFS(MOVIMIENTOS_COMPLEMENTOS!$I$4:$I$803,MOVIMIENTOS_COMPLEMENTOS!$C$4:$C$803,A2737,MOVIMIENTOS_COMPLEMENTOS!$D$4:$D$803,B2737,MOVIMIENTOS_COMPLEMENTOS!$E$4:$E$803,C2737,MOVIMIENTOS_COMPLEMENTOS!$F$4:$F$803,D2737,MOVIMIENTOS_COMPLEMENTOS!$G$4:$G$803,E2737,MOVIMIENTOS_COMPLEMENTOS!$H$4:$H$803,G2737,MOVIMIENTOS_COMPLEMENTOS!$B$4:$B$803,"DE CORTE")-SUMIFS(MOVIMIENTOS_COMPLEMENTOS!$I$4:$I$803,MOVIMIENTOS_COMPLEMENTOS!$C$4:$C$803,A2737,MOVIMIENTOS_COMPLEMENTOS!$D$4:$D$803,B2737,MOVIMIENTOS_COMPLEMENTOS!$E$4:$E$803,C2737,MOVIMIENTOS_COMPLEMENTOS!$F$4:$F$803,D2737,MOVIMIENTOS_COMPLEMENTOS!$G$4:$G$803,E2737,MOVIMIENTOS_COMPLEMENTOS!$H$4:$H$803,G2737,MOVIMIENTOS_COMPLEMENTOS!$B$4:$B$803,"SALIDA"),0)</f>
        <v>0</v>
      </c>
      <c r="I2737" s="102">
        <f t="array" ref="I2737">IFERROR(INDEX(PRECIOS_COMPLEMENTOS!$C$4:$F$17,MATCH(B2737&amp;"_"&amp;C2737,PRECIOS_COMPLEMENTOS!$H$4:$H$17,0),IF(OR(G2737="S",G2737="20cm"),1,IF(OR(G2737="M",G2737="25cm"),2,IF(OR(G2737="L",G2737="30cm"),3,IF(OR(G2737="XL",G2737="35cm"),4,0))))),0)</f>
        <v>0.6</v>
      </c>
      <c r="J2737" s="103">
        <f t="shared" si="1"/>
        <v>0</v>
      </c>
      <c r="K2737" s="104" t="str">
        <f>IF(H2737&lt;0,"ERROR",IF(H2737=0,"",IF(H2737&lt;CONFIG!$B$4,"CRÍTICO",IF(H2737&lt;CONFIG!$B$5,"BAJO","OK"))))</f>
        <v/>
      </c>
    </row>
    <row r="2738" ht="15.75" hidden="1" customHeight="1">
      <c r="A2738" s="90" t="str">
        <f>IF(CLIENTES!A9="","",CLIENTES!A9)</f>
        <v/>
      </c>
      <c r="B2738" s="90" t="s">
        <v>331</v>
      </c>
      <c r="C2738" s="91" t="s">
        <v>328</v>
      </c>
      <c r="D2738" s="109" t="s">
        <v>364</v>
      </c>
      <c r="E2738" s="67" t="str">
        <f>COLORES!A7</f>
        <v>Azul</v>
      </c>
      <c r="F2738" s="67" t="str">
        <f>COLORES!B7</f>
        <v>OSCURO</v>
      </c>
      <c r="G2738" s="90" t="s">
        <v>377</v>
      </c>
      <c r="H2738" s="100">
        <f>IFERROR(SUMIFS(MOVIMIENTOS_COMPLEMENTOS!$I$4:$I$803,MOVIMIENTOS_COMPLEMENTOS!$C$4:$C$803,A2738,MOVIMIENTOS_COMPLEMENTOS!$D$4:$D$803,B2738,MOVIMIENTOS_COMPLEMENTOS!$E$4:$E$803,C2738,MOVIMIENTOS_COMPLEMENTOS!$F$4:$F$803,D2738,MOVIMIENTOS_COMPLEMENTOS!$G$4:$G$803,E2738,MOVIMIENTOS_COMPLEMENTOS!$H$4:$H$803,G2738,MOVIMIENTOS_COMPLEMENTOS!$B$4:$B$803,"INGRESO")+SUMIFS(MOVIMIENTOS_COMPLEMENTOS!$I$4:$I$803,MOVIMIENTOS_COMPLEMENTOS!$C$4:$C$803,A2738,MOVIMIENTOS_COMPLEMENTOS!$D$4:$D$803,B2738,MOVIMIENTOS_COMPLEMENTOS!$E$4:$E$803,C2738,MOVIMIENTOS_COMPLEMENTOS!$F$4:$F$803,D2738,MOVIMIENTOS_COMPLEMENTOS!$G$4:$G$803,E2738,MOVIMIENTOS_COMPLEMENTOS!$H$4:$H$803,G2738,MOVIMIENTOS_COMPLEMENTOS!$B$4:$B$803,"DE CORTE")-SUMIFS(MOVIMIENTOS_COMPLEMENTOS!$I$4:$I$803,MOVIMIENTOS_COMPLEMENTOS!$C$4:$C$803,A2738,MOVIMIENTOS_COMPLEMENTOS!$D$4:$D$803,B2738,MOVIMIENTOS_COMPLEMENTOS!$E$4:$E$803,C2738,MOVIMIENTOS_COMPLEMENTOS!$F$4:$F$803,D2738,MOVIMIENTOS_COMPLEMENTOS!$G$4:$G$803,E2738,MOVIMIENTOS_COMPLEMENTOS!$H$4:$H$803,G2738,MOVIMIENTOS_COMPLEMENTOS!$B$4:$B$803,"SALIDA"),0)</f>
        <v>0</v>
      </c>
      <c r="I2738" s="102">
        <f t="array" ref="I2738">IFERROR(INDEX(PRECIOS_COMPLEMENTOS!$C$4:$F$17,MATCH(B2738&amp;"_"&amp;C2738,PRECIOS_COMPLEMENTOS!$H$4:$H$17,0),IF(OR(G2738="S",G2738="20cm"),1,IF(OR(G2738="M",G2738="25cm"),2,IF(OR(G2738="L",G2738="30cm"),3,IF(OR(G2738="XL",G2738="35cm"),4,0))))),0)</f>
        <v>0.6</v>
      </c>
      <c r="J2738" s="103">
        <f t="shared" si="1"/>
        <v>0</v>
      </c>
      <c r="K2738" s="104" t="str">
        <f>IF(H2738&lt;0,"ERROR",IF(H2738=0,"",IF(H2738&lt;CONFIG!$B$4,"CRÍTICO",IF(H2738&lt;CONFIG!$B$5,"BAJO","OK"))))</f>
        <v/>
      </c>
    </row>
    <row r="2739" ht="15.75" hidden="1" customHeight="1">
      <c r="A2739" s="90" t="str">
        <f>IF(CLIENTES!A9="","",CLIENTES!A9)</f>
        <v/>
      </c>
      <c r="B2739" s="90" t="s">
        <v>331</v>
      </c>
      <c r="C2739" s="91" t="s">
        <v>328</v>
      </c>
      <c r="D2739" s="109" t="s">
        <v>364</v>
      </c>
      <c r="E2739" s="67" t="str">
        <f>COLORES!A7</f>
        <v>Azul</v>
      </c>
      <c r="F2739" s="67" t="str">
        <f>COLORES!B7</f>
        <v>OSCURO</v>
      </c>
      <c r="G2739" s="90" t="s">
        <v>379</v>
      </c>
      <c r="H2739" s="100">
        <f>IFERROR(SUMIFS(MOVIMIENTOS_COMPLEMENTOS!$I$4:$I$803,MOVIMIENTOS_COMPLEMENTOS!$C$4:$C$803,A2739,MOVIMIENTOS_COMPLEMENTOS!$D$4:$D$803,B2739,MOVIMIENTOS_COMPLEMENTOS!$E$4:$E$803,C2739,MOVIMIENTOS_COMPLEMENTOS!$F$4:$F$803,D2739,MOVIMIENTOS_COMPLEMENTOS!$G$4:$G$803,E2739,MOVIMIENTOS_COMPLEMENTOS!$H$4:$H$803,G2739,MOVIMIENTOS_COMPLEMENTOS!$B$4:$B$803,"INGRESO")+SUMIFS(MOVIMIENTOS_COMPLEMENTOS!$I$4:$I$803,MOVIMIENTOS_COMPLEMENTOS!$C$4:$C$803,A2739,MOVIMIENTOS_COMPLEMENTOS!$D$4:$D$803,B2739,MOVIMIENTOS_COMPLEMENTOS!$E$4:$E$803,C2739,MOVIMIENTOS_COMPLEMENTOS!$F$4:$F$803,D2739,MOVIMIENTOS_COMPLEMENTOS!$G$4:$G$803,E2739,MOVIMIENTOS_COMPLEMENTOS!$H$4:$H$803,G2739,MOVIMIENTOS_COMPLEMENTOS!$B$4:$B$803,"DE CORTE")-SUMIFS(MOVIMIENTOS_COMPLEMENTOS!$I$4:$I$803,MOVIMIENTOS_COMPLEMENTOS!$C$4:$C$803,A2739,MOVIMIENTOS_COMPLEMENTOS!$D$4:$D$803,B2739,MOVIMIENTOS_COMPLEMENTOS!$E$4:$E$803,C2739,MOVIMIENTOS_COMPLEMENTOS!$F$4:$F$803,D2739,MOVIMIENTOS_COMPLEMENTOS!$G$4:$G$803,E2739,MOVIMIENTOS_COMPLEMENTOS!$H$4:$H$803,G2739,MOVIMIENTOS_COMPLEMENTOS!$B$4:$B$803,"SALIDA"),0)</f>
        <v>0</v>
      </c>
      <c r="I2739" s="102">
        <f t="array" ref="I2739">IFERROR(INDEX(PRECIOS_COMPLEMENTOS!$C$4:$F$17,MATCH(B2739&amp;"_"&amp;C2739,PRECIOS_COMPLEMENTOS!$H$4:$H$17,0),IF(OR(G2739="S",G2739="20cm"),1,IF(OR(G2739="M",G2739="25cm"),2,IF(OR(G2739="L",G2739="30cm"),3,IF(OR(G2739="XL",G2739="35cm"),4,0))))),0)</f>
        <v>0.6</v>
      </c>
      <c r="J2739" s="103">
        <f t="shared" si="1"/>
        <v>0</v>
      </c>
      <c r="K2739" s="104" t="str">
        <f>IF(H2739&lt;0,"ERROR",IF(H2739=0,"",IF(H2739&lt;CONFIG!$B$4,"CRÍTICO",IF(H2739&lt;CONFIG!$B$5,"BAJO","OK"))))</f>
        <v/>
      </c>
    </row>
    <row r="2740" ht="15.75" hidden="1" customHeight="1">
      <c r="A2740" s="90" t="str">
        <f>IF(CLIENTES!A9="","",CLIENTES!A9)</f>
        <v/>
      </c>
      <c r="B2740" s="90" t="s">
        <v>331</v>
      </c>
      <c r="C2740" s="91" t="s">
        <v>328</v>
      </c>
      <c r="D2740" s="109" t="s">
        <v>364</v>
      </c>
      <c r="E2740" s="67" t="str">
        <f>COLORES!A8</f>
        <v>Beige</v>
      </c>
      <c r="F2740" s="67" t="str">
        <f>COLORES!B8</f>
        <v>CLARO</v>
      </c>
      <c r="G2740" s="90" t="s">
        <v>378</v>
      </c>
      <c r="H2740" s="100">
        <f>IFERROR(SUMIFS(MOVIMIENTOS_COMPLEMENTOS!$I$4:$I$803,MOVIMIENTOS_COMPLEMENTOS!$C$4:$C$803,A2740,MOVIMIENTOS_COMPLEMENTOS!$D$4:$D$803,B2740,MOVIMIENTOS_COMPLEMENTOS!$E$4:$E$803,C2740,MOVIMIENTOS_COMPLEMENTOS!$F$4:$F$803,D2740,MOVIMIENTOS_COMPLEMENTOS!$G$4:$G$803,E2740,MOVIMIENTOS_COMPLEMENTOS!$H$4:$H$803,G2740,MOVIMIENTOS_COMPLEMENTOS!$B$4:$B$803,"INGRESO")+SUMIFS(MOVIMIENTOS_COMPLEMENTOS!$I$4:$I$803,MOVIMIENTOS_COMPLEMENTOS!$C$4:$C$803,A2740,MOVIMIENTOS_COMPLEMENTOS!$D$4:$D$803,B2740,MOVIMIENTOS_COMPLEMENTOS!$E$4:$E$803,C2740,MOVIMIENTOS_COMPLEMENTOS!$F$4:$F$803,D2740,MOVIMIENTOS_COMPLEMENTOS!$G$4:$G$803,E2740,MOVIMIENTOS_COMPLEMENTOS!$H$4:$H$803,G2740,MOVIMIENTOS_COMPLEMENTOS!$B$4:$B$803,"DE CORTE")-SUMIFS(MOVIMIENTOS_COMPLEMENTOS!$I$4:$I$803,MOVIMIENTOS_COMPLEMENTOS!$C$4:$C$803,A2740,MOVIMIENTOS_COMPLEMENTOS!$D$4:$D$803,B2740,MOVIMIENTOS_COMPLEMENTOS!$E$4:$E$803,C2740,MOVIMIENTOS_COMPLEMENTOS!$F$4:$F$803,D2740,MOVIMIENTOS_COMPLEMENTOS!$G$4:$G$803,E2740,MOVIMIENTOS_COMPLEMENTOS!$H$4:$H$803,G2740,MOVIMIENTOS_COMPLEMENTOS!$B$4:$B$803,"SALIDA"),0)</f>
        <v>0</v>
      </c>
      <c r="I2740" s="102">
        <f t="array" ref="I2740">IFERROR(INDEX(PRECIOS_COMPLEMENTOS!$C$4:$F$17,MATCH(B2740&amp;"_"&amp;C2740,PRECIOS_COMPLEMENTOS!$H$4:$H$17,0),IF(OR(G2740="S",G2740="20cm"),1,IF(OR(G2740="M",G2740="25cm"),2,IF(OR(G2740="L",G2740="30cm"),3,IF(OR(G2740="XL",G2740="35cm"),4,0))))),0)</f>
        <v>0.6</v>
      </c>
      <c r="J2740" s="103">
        <f t="shared" si="1"/>
        <v>0</v>
      </c>
      <c r="K2740" s="104" t="str">
        <f>IF(H2740&lt;0,"ERROR",IF(H2740=0,"",IF(H2740&lt;CONFIG!$B$4,"CRÍTICO",IF(H2740&lt;CONFIG!$B$5,"BAJO","OK"))))</f>
        <v/>
      </c>
    </row>
    <row r="2741" ht="15.75" hidden="1" customHeight="1">
      <c r="A2741" s="90" t="str">
        <f>IF(CLIENTES!A9="","",CLIENTES!A9)</f>
        <v/>
      </c>
      <c r="B2741" s="90" t="s">
        <v>331</v>
      </c>
      <c r="C2741" s="91" t="s">
        <v>328</v>
      </c>
      <c r="D2741" s="109" t="s">
        <v>364</v>
      </c>
      <c r="E2741" s="67" t="str">
        <f>COLORES!A8</f>
        <v>Beige</v>
      </c>
      <c r="F2741" s="67" t="str">
        <f>COLORES!B8</f>
        <v>CLARO</v>
      </c>
      <c r="G2741" s="90" t="s">
        <v>376</v>
      </c>
      <c r="H2741" s="100">
        <f>IFERROR(SUMIFS(MOVIMIENTOS_COMPLEMENTOS!$I$4:$I$803,MOVIMIENTOS_COMPLEMENTOS!$C$4:$C$803,A2741,MOVIMIENTOS_COMPLEMENTOS!$D$4:$D$803,B2741,MOVIMIENTOS_COMPLEMENTOS!$E$4:$E$803,C2741,MOVIMIENTOS_COMPLEMENTOS!$F$4:$F$803,D2741,MOVIMIENTOS_COMPLEMENTOS!$G$4:$G$803,E2741,MOVIMIENTOS_COMPLEMENTOS!$H$4:$H$803,G2741,MOVIMIENTOS_COMPLEMENTOS!$B$4:$B$803,"INGRESO")+SUMIFS(MOVIMIENTOS_COMPLEMENTOS!$I$4:$I$803,MOVIMIENTOS_COMPLEMENTOS!$C$4:$C$803,A2741,MOVIMIENTOS_COMPLEMENTOS!$D$4:$D$803,B2741,MOVIMIENTOS_COMPLEMENTOS!$E$4:$E$803,C2741,MOVIMIENTOS_COMPLEMENTOS!$F$4:$F$803,D2741,MOVIMIENTOS_COMPLEMENTOS!$G$4:$G$803,E2741,MOVIMIENTOS_COMPLEMENTOS!$H$4:$H$803,G2741,MOVIMIENTOS_COMPLEMENTOS!$B$4:$B$803,"DE CORTE")-SUMIFS(MOVIMIENTOS_COMPLEMENTOS!$I$4:$I$803,MOVIMIENTOS_COMPLEMENTOS!$C$4:$C$803,A2741,MOVIMIENTOS_COMPLEMENTOS!$D$4:$D$803,B2741,MOVIMIENTOS_COMPLEMENTOS!$E$4:$E$803,C2741,MOVIMIENTOS_COMPLEMENTOS!$F$4:$F$803,D2741,MOVIMIENTOS_COMPLEMENTOS!$G$4:$G$803,E2741,MOVIMIENTOS_COMPLEMENTOS!$H$4:$H$803,G2741,MOVIMIENTOS_COMPLEMENTOS!$B$4:$B$803,"SALIDA"),0)</f>
        <v>0</v>
      </c>
      <c r="I2741" s="102">
        <f t="array" ref="I2741">IFERROR(INDEX(PRECIOS_COMPLEMENTOS!$C$4:$F$17,MATCH(B2741&amp;"_"&amp;C2741,PRECIOS_COMPLEMENTOS!$H$4:$H$17,0),IF(OR(G2741="S",G2741="20cm"),1,IF(OR(G2741="M",G2741="25cm"),2,IF(OR(G2741="L",G2741="30cm"),3,IF(OR(G2741="XL",G2741="35cm"),4,0))))),0)</f>
        <v>0.6</v>
      </c>
      <c r="J2741" s="103">
        <f t="shared" si="1"/>
        <v>0</v>
      </c>
      <c r="K2741" s="104" t="str">
        <f>IF(H2741&lt;0,"ERROR",IF(H2741=0,"",IF(H2741&lt;CONFIG!$B$4,"CRÍTICO",IF(H2741&lt;CONFIG!$B$5,"BAJO","OK"))))</f>
        <v/>
      </c>
    </row>
    <row r="2742" ht="15.75" hidden="1" customHeight="1">
      <c r="A2742" s="90" t="str">
        <f>IF(CLIENTES!A9="","",CLIENTES!A9)</f>
        <v/>
      </c>
      <c r="B2742" s="90" t="s">
        <v>331</v>
      </c>
      <c r="C2742" s="91" t="s">
        <v>328</v>
      </c>
      <c r="D2742" s="109" t="s">
        <v>364</v>
      </c>
      <c r="E2742" s="67" t="str">
        <f>COLORES!A8</f>
        <v>Beige</v>
      </c>
      <c r="F2742" s="67" t="str">
        <f>COLORES!B8</f>
        <v>CLARO</v>
      </c>
      <c r="G2742" s="90" t="s">
        <v>377</v>
      </c>
      <c r="H2742" s="100">
        <f>IFERROR(SUMIFS(MOVIMIENTOS_COMPLEMENTOS!$I$4:$I$803,MOVIMIENTOS_COMPLEMENTOS!$C$4:$C$803,A2742,MOVIMIENTOS_COMPLEMENTOS!$D$4:$D$803,B2742,MOVIMIENTOS_COMPLEMENTOS!$E$4:$E$803,C2742,MOVIMIENTOS_COMPLEMENTOS!$F$4:$F$803,D2742,MOVIMIENTOS_COMPLEMENTOS!$G$4:$G$803,E2742,MOVIMIENTOS_COMPLEMENTOS!$H$4:$H$803,G2742,MOVIMIENTOS_COMPLEMENTOS!$B$4:$B$803,"INGRESO")+SUMIFS(MOVIMIENTOS_COMPLEMENTOS!$I$4:$I$803,MOVIMIENTOS_COMPLEMENTOS!$C$4:$C$803,A2742,MOVIMIENTOS_COMPLEMENTOS!$D$4:$D$803,B2742,MOVIMIENTOS_COMPLEMENTOS!$E$4:$E$803,C2742,MOVIMIENTOS_COMPLEMENTOS!$F$4:$F$803,D2742,MOVIMIENTOS_COMPLEMENTOS!$G$4:$G$803,E2742,MOVIMIENTOS_COMPLEMENTOS!$H$4:$H$803,G2742,MOVIMIENTOS_COMPLEMENTOS!$B$4:$B$803,"DE CORTE")-SUMIFS(MOVIMIENTOS_COMPLEMENTOS!$I$4:$I$803,MOVIMIENTOS_COMPLEMENTOS!$C$4:$C$803,A2742,MOVIMIENTOS_COMPLEMENTOS!$D$4:$D$803,B2742,MOVIMIENTOS_COMPLEMENTOS!$E$4:$E$803,C2742,MOVIMIENTOS_COMPLEMENTOS!$F$4:$F$803,D2742,MOVIMIENTOS_COMPLEMENTOS!$G$4:$G$803,E2742,MOVIMIENTOS_COMPLEMENTOS!$H$4:$H$803,G2742,MOVIMIENTOS_COMPLEMENTOS!$B$4:$B$803,"SALIDA"),0)</f>
        <v>0</v>
      </c>
      <c r="I2742" s="102">
        <f t="array" ref="I2742">IFERROR(INDEX(PRECIOS_COMPLEMENTOS!$C$4:$F$17,MATCH(B2742&amp;"_"&amp;C2742,PRECIOS_COMPLEMENTOS!$H$4:$H$17,0),IF(OR(G2742="S",G2742="20cm"),1,IF(OR(G2742="M",G2742="25cm"),2,IF(OR(G2742="L",G2742="30cm"),3,IF(OR(G2742="XL",G2742="35cm"),4,0))))),0)</f>
        <v>0.6</v>
      </c>
      <c r="J2742" s="103">
        <f t="shared" si="1"/>
        <v>0</v>
      </c>
      <c r="K2742" s="104" t="str">
        <f>IF(H2742&lt;0,"ERROR",IF(H2742=0,"",IF(H2742&lt;CONFIG!$B$4,"CRÍTICO",IF(H2742&lt;CONFIG!$B$5,"BAJO","OK"))))</f>
        <v/>
      </c>
    </row>
    <row r="2743" ht="15.75" hidden="1" customHeight="1">
      <c r="A2743" s="90" t="str">
        <f>IF(CLIENTES!A9="","",CLIENTES!A9)</f>
        <v/>
      </c>
      <c r="B2743" s="90" t="s">
        <v>331</v>
      </c>
      <c r="C2743" s="91" t="s">
        <v>328</v>
      </c>
      <c r="D2743" s="109" t="s">
        <v>364</v>
      </c>
      <c r="E2743" s="67" t="str">
        <f>COLORES!A8</f>
        <v>Beige</v>
      </c>
      <c r="F2743" s="67" t="str">
        <f>COLORES!B8</f>
        <v>CLARO</v>
      </c>
      <c r="G2743" s="90" t="s">
        <v>379</v>
      </c>
      <c r="H2743" s="100">
        <f>IFERROR(SUMIFS(MOVIMIENTOS_COMPLEMENTOS!$I$4:$I$803,MOVIMIENTOS_COMPLEMENTOS!$C$4:$C$803,A2743,MOVIMIENTOS_COMPLEMENTOS!$D$4:$D$803,B2743,MOVIMIENTOS_COMPLEMENTOS!$E$4:$E$803,C2743,MOVIMIENTOS_COMPLEMENTOS!$F$4:$F$803,D2743,MOVIMIENTOS_COMPLEMENTOS!$G$4:$G$803,E2743,MOVIMIENTOS_COMPLEMENTOS!$H$4:$H$803,G2743,MOVIMIENTOS_COMPLEMENTOS!$B$4:$B$803,"INGRESO")+SUMIFS(MOVIMIENTOS_COMPLEMENTOS!$I$4:$I$803,MOVIMIENTOS_COMPLEMENTOS!$C$4:$C$803,A2743,MOVIMIENTOS_COMPLEMENTOS!$D$4:$D$803,B2743,MOVIMIENTOS_COMPLEMENTOS!$E$4:$E$803,C2743,MOVIMIENTOS_COMPLEMENTOS!$F$4:$F$803,D2743,MOVIMIENTOS_COMPLEMENTOS!$G$4:$G$803,E2743,MOVIMIENTOS_COMPLEMENTOS!$H$4:$H$803,G2743,MOVIMIENTOS_COMPLEMENTOS!$B$4:$B$803,"DE CORTE")-SUMIFS(MOVIMIENTOS_COMPLEMENTOS!$I$4:$I$803,MOVIMIENTOS_COMPLEMENTOS!$C$4:$C$803,A2743,MOVIMIENTOS_COMPLEMENTOS!$D$4:$D$803,B2743,MOVIMIENTOS_COMPLEMENTOS!$E$4:$E$803,C2743,MOVIMIENTOS_COMPLEMENTOS!$F$4:$F$803,D2743,MOVIMIENTOS_COMPLEMENTOS!$G$4:$G$803,E2743,MOVIMIENTOS_COMPLEMENTOS!$H$4:$H$803,G2743,MOVIMIENTOS_COMPLEMENTOS!$B$4:$B$803,"SALIDA"),0)</f>
        <v>0</v>
      </c>
      <c r="I2743" s="102">
        <f t="array" ref="I2743">IFERROR(INDEX(PRECIOS_COMPLEMENTOS!$C$4:$F$17,MATCH(B2743&amp;"_"&amp;C2743,PRECIOS_COMPLEMENTOS!$H$4:$H$17,0),IF(OR(G2743="S",G2743="20cm"),1,IF(OR(G2743="M",G2743="25cm"),2,IF(OR(G2743="L",G2743="30cm"),3,IF(OR(G2743="XL",G2743="35cm"),4,0))))),0)</f>
        <v>0.6</v>
      </c>
      <c r="J2743" s="103">
        <f t="shared" si="1"/>
        <v>0</v>
      </c>
      <c r="K2743" s="104" t="str">
        <f>IF(H2743&lt;0,"ERROR",IF(H2743=0,"",IF(H2743&lt;CONFIG!$B$4,"CRÍTICO",IF(H2743&lt;CONFIG!$B$5,"BAJO","OK"))))</f>
        <v/>
      </c>
    </row>
    <row r="2744" ht="15.75" hidden="1" customHeight="1">
      <c r="A2744" s="90" t="str">
        <f>IF(CLIENTES!A9="","",CLIENTES!A9)</f>
        <v/>
      </c>
      <c r="B2744" s="90" t="s">
        <v>331</v>
      </c>
      <c r="C2744" s="91" t="s">
        <v>328</v>
      </c>
      <c r="D2744" s="109" t="s">
        <v>364</v>
      </c>
      <c r="E2744" s="67" t="str">
        <f>COLORES!A9</f>
        <v>Melange</v>
      </c>
      <c r="F2744" s="67" t="str">
        <f>COLORES!B9</f>
        <v>MELANGE</v>
      </c>
      <c r="G2744" s="90" t="s">
        <v>378</v>
      </c>
      <c r="H2744" s="100">
        <f>IFERROR(SUMIFS(MOVIMIENTOS_COMPLEMENTOS!$I$4:$I$803,MOVIMIENTOS_COMPLEMENTOS!$C$4:$C$803,A2744,MOVIMIENTOS_COMPLEMENTOS!$D$4:$D$803,B2744,MOVIMIENTOS_COMPLEMENTOS!$E$4:$E$803,C2744,MOVIMIENTOS_COMPLEMENTOS!$F$4:$F$803,D2744,MOVIMIENTOS_COMPLEMENTOS!$G$4:$G$803,E2744,MOVIMIENTOS_COMPLEMENTOS!$H$4:$H$803,G2744,MOVIMIENTOS_COMPLEMENTOS!$B$4:$B$803,"INGRESO")+SUMIFS(MOVIMIENTOS_COMPLEMENTOS!$I$4:$I$803,MOVIMIENTOS_COMPLEMENTOS!$C$4:$C$803,A2744,MOVIMIENTOS_COMPLEMENTOS!$D$4:$D$803,B2744,MOVIMIENTOS_COMPLEMENTOS!$E$4:$E$803,C2744,MOVIMIENTOS_COMPLEMENTOS!$F$4:$F$803,D2744,MOVIMIENTOS_COMPLEMENTOS!$G$4:$G$803,E2744,MOVIMIENTOS_COMPLEMENTOS!$H$4:$H$803,G2744,MOVIMIENTOS_COMPLEMENTOS!$B$4:$B$803,"DE CORTE")-SUMIFS(MOVIMIENTOS_COMPLEMENTOS!$I$4:$I$803,MOVIMIENTOS_COMPLEMENTOS!$C$4:$C$803,A2744,MOVIMIENTOS_COMPLEMENTOS!$D$4:$D$803,B2744,MOVIMIENTOS_COMPLEMENTOS!$E$4:$E$803,C2744,MOVIMIENTOS_COMPLEMENTOS!$F$4:$F$803,D2744,MOVIMIENTOS_COMPLEMENTOS!$G$4:$G$803,E2744,MOVIMIENTOS_COMPLEMENTOS!$H$4:$H$803,G2744,MOVIMIENTOS_COMPLEMENTOS!$B$4:$B$803,"SALIDA"),0)</f>
        <v>0</v>
      </c>
      <c r="I2744" s="102">
        <f t="array" ref="I2744">IFERROR(INDEX(PRECIOS_COMPLEMENTOS!$C$4:$F$17,MATCH(B2744&amp;"_"&amp;C2744,PRECIOS_COMPLEMENTOS!$H$4:$H$17,0),IF(OR(G2744="S",G2744="20cm"),1,IF(OR(G2744="M",G2744="25cm"),2,IF(OR(G2744="L",G2744="30cm"),3,IF(OR(G2744="XL",G2744="35cm"),4,0))))),0)</f>
        <v>0.6</v>
      </c>
      <c r="J2744" s="103">
        <f t="shared" si="1"/>
        <v>0</v>
      </c>
      <c r="K2744" s="104" t="str">
        <f>IF(H2744&lt;0,"ERROR",IF(H2744=0,"",IF(H2744&lt;CONFIG!$B$4,"CRÍTICO",IF(H2744&lt;CONFIG!$B$5,"BAJO","OK"))))</f>
        <v/>
      </c>
    </row>
    <row r="2745" ht="15.75" hidden="1" customHeight="1">
      <c r="A2745" s="90" t="str">
        <f>IF(CLIENTES!A9="","",CLIENTES!A9)</f>
        <v/>
      </c>
      <c r="B2745" s="90" t="s">
        <v>331</v>
      </c>
      <c r="C2745" s="91" t="s">
        <v>328</v>
      </c>
      <c r="D2745" s="109" t="s">
        <v>364</v>
      </c>
      <c r="E2745" s="67" t="str">
        <f>COLORES!A9</f>
        <v>Melange</v>
      </c>
      <c r="F2745" s="67" t="str">
        <f>COLORES!B9</f>
        <v>MELANGE</v>
      </c>
      <c r="G2745" s="90" t="s">
        <v>376</v>
      </c>
      <c r="H2745" s="100">
        <f>IFERROR(SUMIFS(MOVIMIENTOS_COMPLEMENTOS!$I$4:$I$803,MOVIMIENTOS_COMPLEMENTOS!$C$4:$C$803,A2745,MOVIMIENTOS_COMPLEMENTOS!$D$4:$D$803,B2745,MOVIMIENTOS_COMPLEMENTOS!$E$4:$E$803,C2745,MOVIMIENTOS_COMPLEMENTOS!$F$4:$F$803,D2745,MOVIMIENTOS_COMPLEMENTOS!$G$4:$G$803,E2745,MOVIMIENTOS_COMPLEMENTOS!$H$4:$H$803,G2745,MOVIMIENTOS_COMPLEMENTOS!$B$4:$B$803,"INGRESO")+SUMIFS(MOVIMIENTOS_COMPLEMENTOS!$I$4:$I$803,MOVIMIENTOS_COMPLEMENTOS!$C$4:$C$803,A2745,MOVIMIENTOS_COMPLEMENTOS!$D$4:$D$803,B2745,MOVIMIENTOS_COMPLEMENTOS!$E$4:$E$803,C2745,MOVIMIENTOS_COMPLEMENTOS!$F$4:$F$803,D2745,MOVIMIENTOS_COMPLEMENTOS!$G$4:$G$803,E2745,MOVIMIENTOS_COMPLEMENTOS!$H$4:$H$803,G2745,MOVIMIENTOS_COMPLEMENTOS!$B$4:$B$803,"DE CORTE")-SUMIFS(MOVIMIENTOS_COMPLEMENTOS!$I$4:$I$803,MOVIMIENTOS_COMPLEMENTOS!$C$4:$C$803,A2745,MOVIMIENTOS_COMPLEMENTOS!$D$4:$D$803,B2745,MOVIMIENTOS_COMPLEMENTOS!$E$4:$E$803,C2745,MOVIMIENTOS_COMPLEMENTOS!$F$4:$F$803,D2745,MOVIMIENTOS_COMPLEMENTOS!$G$4:$G$803,E2745,MOVIMIENTOS_COMPLEMENTOS!$H$4:$H$803,G2745,MOVIMIENTOS_COMPLEMENTOS!$B$4:$B$803,"SALIDA"),0)</f>
        <v>0</v>
      </c>
      <c r="I2745" s="102">
        <f t="array" ref="I2745">IFERROR(INDEX(PRECIOS_COMPLEMENTOS!$C$4:$F$17,MATCH(B2745&amp;"_"&amp;C2745,PRECIOS_COMPLEMENTOS!$H$4:$H$17,0),IF(OR(G2745="S",G2745="20cm"),1,IF(OR(G2745="M",G2745="25cm"),2,IF(OR(G2745="L",G2745="30cm"),3,IF(OR(G2745="XL",G2745="35cm"),4,0))))),0)</f>
        <v>0.6</v>
      </c>
      <c r="J2745" s="103">
        <f t="shared" si="1"/>
        <v>0</v>
      </c>
      <c r="K2745" s="104" t="str">
        <f>IF(H2745&lt;0,"ERROR",IF(H2745=0,"",IF(H2745&lt;CONFIG!$B$4,"CRÍTICO",IF(H2745&lt;CONFIG!$B$5,"BAJO","OK"))))</f>
        <v/>
      </c>
    </row>
    <row r="2746" ht="15.75" hidden="1" customHeight="1">
      <c r="A2746" s="90" t="str">
        <f>IF(CLIENTES!A9="","",CLIENTES!A9)</f>
        <v/>
      </c>
      <c r="B2746" s="90" t="s">
        <v>331</v>
      </c>
      <c r="C2746" s="91" t="s">
        <v>328</v>
      </c>
      <c r="D2746" s="109" t="s">
        <v>364</v>
      </c>
      <c r="E2746" s="67" t="str">
        <f>COLORES!A9</f>
        <v>Melange</v>
      </c>
      <c r="F2746" s="67" t="str">
        <f>COLORES!B9</f>
        <v>MELANGE</v>
      </c>
      <c r="G2746" s="90" t="s">
        <v>377</v>
      </c>
      <c r="H2746" s="100">
        <f>IFERROR(SUMIFS(MOVIMIENTOS_COMPLEMENTOS!$I$4:$I$803,MOVIMIENTOS_COMPLEMENTOS!$C$4:$C$803,A2746,MOVIMIENTOS_COMPLEMENTOS!$D$4:$D$803,B2746,MOVIMIENTOS_COMPLEMENTOS!$E$4:$E$803,C2746,MOVIMIENTOS_COMPLEMENTOS!$F$4:$F$803,D2746,MOVIMIENTOS_COMPLEMENTOS!$G$4:$G$803,E2746,MOVIMIENTOS_COMPLEMENTOS!$H$4:$H$803,G2746,MOVIMIENTOS_COMPLEMENTOS!$B$4:$B$803,"INGRESO")+SUMIFS(MOVIMIENTOS_COMPLEMENTOS!$I$4:$I$803,MOVIMIENTOS_COMPLEMENTOS!$C$4:$C$803,A2746,MOVIMIENTOS_COMPLEMENTOS!$D$4:$D$803,B2746,MOVIMIENTOS_COMPLEMENTOS!$E$4:$E$803,C2746,MOVIMIENTOS_COMPLEMENTOS!$F$4:$F$803,D2746,MOVIMIENTOS_COMPLEMENTOS!$G$4:$G$803,E2746,MOVIMIENTOS_COMPLEMENTOS!$H$4:$H$803,G2746,MOVIMIENTOS_COMPLEMENTOS!$B$4:$B$803,"DE CORTE")-SUMIFS(MOVIMIENTOS_COMPLEMENTOS!$I$4:$I$803,MOVIMIENTOS_COMPLEMENTOS!$C$4:$C$803,A2746,MOVIMIENTOS_COMPLEMENTOS!$D$4:$D$803,B2746,MOVIMIENTOS_COMPLEMENTOS!$E$4:$E$803,C2746,MOVIMIENTOS_COMPLEMENTOS!$F$4:$F$803,D2746,MOVIMIENTOS_COMPLEMENTOS!$G$4:$G$803,E2746,MOVIMIENTOS_COMPLEMENTOS!$H$4:$H$803,G2746,MOVIMIENTOS_COMPLEMENTOS!$B$4:$B$803,"SALIDA"),0)</f>
        <v>0</v>
      </c>
      <c r="I2746" s="102">
        <f t="array" ref="I2746">IFERROR(INDEX(PRECIOS_COMPLEMENTOS!$C$4:$F$17,MATCH(B2746&amp;"_"&amp;C2746,PRECIOS_COMPLEMENTOS!$H$4:$H$17,0),IF(OR(G2746="S",G2746="20cm"),1,IF(OR(G2746="M",G2746="25cm"),2,IF(OR(G2746="L",G2746="30cm"),3,IF(OR(G2746="XL",G2746="35cm"),4,0))))),0)</f>
        <v>0.6</v>
      </c>
      <c r="J2746" s="103">
        <f t="shared" si="1"/>
        <v>0</v>
      </c>
      <c r="K2746" s="104" t="str">
        <f>IF(H2746&lt;0,"ERROR",IF(H2746=0,"",IF(H2746&lt;CONFIG!$B$4,"CRÍTICO",IF(H2746&lt;CONFIG!$B$5,"BAJO","OK"))))</f>
        <v/>
      </c>
    </row>
    <row r="2747" ht="15.75" hidden="1" customHeight="1">
      <c r="A2747" s="90" t="str">
        <f>IF(CLIENTES!A9="","",CLIENTES!A9)</f>
        <v/>
      </c>
      <c r="B2747" s="90" t="s">
        <v>331</v>
      </c>
      <c r="C2747" s="91" t="s">
        <v>328</v>
      </c>
      <c r="D2747" s="109" t="s">
        <v>364</v>
      </c>
      <c r="E2747" s="67" t="str">
        <f>COLORES!A9</f>
        <v>Melange</v>
      </c>
      <c r="F2747" s="67" t="str">
        <f>COLORES!B9</f>
        <v>MELANGE</v>
      </c>
      <c r="G2747" s="90" t="s">
        <v>379</v>
      </c>
      <c r="H2747" s="100">
        <f>IFERROR(SUMIFS(MOVIMIENTOS_COMPLEMENTOS!$I$4:$I$803,MOVIMIENTOS_COMPLEMENTOS!$C$4:$C$803,A2747,MOVIMIENTOS_COMPLEMENTOS!$D$4:$D$803,B2747,MOVIMIENTOS_COMPLEMENTOS!$E$4:$E$803,C2747,MOVIMIENTOS_COMPLEMENTOS!$F$4:$F$803,D2747,MOVIMIENTOS_COMPLEMENTOS!$G$4:$G$803,E2747,MOVIMIENTOS_COMPLEMENTOS!$H$4:$H$803,G2747,MOVIMIENTOS_COMPLEMENTOS!$B$4:$B$803,"INGRESO")+SUMIFS(MOVIMIENTOS_COMPLEMENTOS!$I$4:$I$803,MOVIMIENTOS_COMPLEMENTOS!$C$4:$C$803,A2747,MOVIMIENTOS_COMPLEMENTOS!$D$4:$D$803,B2747,MOVIMIENTOS_COMPLEMENTOS!$E$4:$E$803,C2747,MOVIMIENTOS_COMPLEMENTOS!$F$4:$F$803,D2747,MOVIMIENTOS_COMPLEMENTOS!$G$4:$G$803,E2747,MOVIMIENTOS_COMPLEMENTOS!$H$4:$H$803,G2747,MOVIMIENTOS_COMPLEMENTOS!$B$4:$B$803,"DE CORTE")-SUMIFS(MOVIMIENTOS_COMPLEMENTOS!$I$4:$I$803,MOVIMIENTOS_COMPLEMENTOS!$C$4:$C$803,A2747,MOVIMIENTOS_COMPLEMENTOS!$D$4:$D$803,B2747,MOVIMIENTOS_COMPLEMENTOS!$E$4:$E$803,C2747,MOVIMIENTOS_COMPLEMENTOS!$F$4:$F$803,D2747,MOVIMIENTOS_COMPLEMENTOS!$G$4:$G$803,E2747,MOVIMIENTOS_COMPLEMENTOS!$H$4:$H$803,G2747,MOVIMIENTOS_COMPLEMENTOS!$B$4:$B$803,"SALIDA"),0)</f>
        <v>0</v>
      </c>
      <c r="I2747" s="102">
        <f t="array" ref="I2747">IFERROR(INDEX(PRECIOS_COMPLEMENTOS!$C$4:$F$17,MATCH(B2747&amp;"_"&amp;C2747,PRECIOS_COMPLEMENTOS!$H$4:$H$17,0),IF(OR(G2747="S",G2747="20cm"),1,IF(OR(G2747="M",G2747="25cm"),2,IF(OR(G2747="L",G2747="30cm"),3,IF(OR(G2747="XL",G2747="35cm"),4,0))))),0)</f>
        <v>0.6</v>
      </c>
      <c r="J2747" s="103">
        <f t="shared" si="1"/>
        <v>0</v>
      </c>
      <c r="K2747" s="104" t="str">
        <f>IF(H2747&lt;0,"ERROR",IF(H2747=0,"",IF(H2747&lt;CONFIG!$B$4,"CRÍTICO",IF(H2747&lt;CONFIG!$B$5,"BAJO","OK"))))</f>
        <v/>
      </c>
    </row>
    <row r="2748" ht="15.75" hidden="1" customHeight="1">
      <c r="A2748" s="90" t="str">
        <f>IF(CLIENTES!A9="","",CLIENTES!A9)</f>
        <v/>
      </c>
      <c r="B2748" s="90" t="s">
        <v>331</v>
      </c>
      <c r="C2748" s="91" t="s">
        <v>328</v>
      </c>
      <c r="D2748" s="109" t="s">
        <v>364</v>
      </c>
      <c r="E2748" s="67" t="str">
        <f>COLORES!A10</f>
        <v>Botella</v>
      </c>
      <c r="F2748" s="67" t="str">
        <f>COLORES!B10</f>
        <v>OSCURO</v>
      </c>
      <c r="G2748" s="90" t="s">
        <v>378</v>
      </c>
      <c r="H2748" s="100">
        <f>IFERROR(SUMIFS(MOVIMIENTOS_COMPLEMENTOS!$I$4:$I$803,MOVIMIENTOS_COMPLEMENTOS!$C$4:$C$803,A2748,MOVIMIENTOS_COMPLEMENTOS!$D$4:$D$803,B2748,MOVIMIENTOS_COMPLEMENTOS!$E$4:$E$803,C2748,MOVIMIENTOS_COMPLEMENTOS!$F$4:$F$803,D2748,MOVIMIENTOS_COMPLEMENTOS!$G$4:$G$803,E2748,MOVIMIENTOS_COMPLEMENTOS!$H$4:$H$803,G2748,MOVIMIENTOS_COMPLEMENTOS!$B$4:$B$803,"INGRESO")+SUMIFS(MOVIMIENTOS_COMPLEMENTOS!$I$4:$I$803,MOVIMIENTOS_COMPLEMENTOS!$C$4:$C$803,A2748,MOVIMIENTOS_COMPLEMENTOS!$D$4:$D$803,B2748,MOVIMIENTOS_COMPLEMENTOS!$E$4:$E$803,C2748,MOVIMIENTOS_COMPLEMENTOS!$F$4:$F$803,D2748,MOVIMIENTOS_COMPLEMENTOS!$G$4:$G$803,E2748,MOVIMIENTOS_COMPLEMENTOS!$H$4:$H$803,G2748,MOVIMIENTOS_COMPLEMENTOS!$B$4:$B$803,"DE CORTE")-SUMIFS(MOVIMIENTOS_COMPLEMENTOS!$I$4:$I$803,MOVIMIENTOS_COMPLEMENTOS!$C$4:$C$803,A2748,MOVIMIENTOS_COMPLEMENTOS!$D$4:$D$803,B2748,MOVIMIENTOS_COMPLEMENTOS!$E$4:$E$803,C2748,MOVIMIENTOS_COMPLEMENTOS!$F$4:$F$803,D2748,MOVIMIENTOS_COMPLEMENTOS!$G$4:$G$803,E2748,MOVIMIENTOS_COMPLEMENTOS!$H$4:$H$803,G2748,MOVIMIENTOS_COMPLEMENTOS!$B$4:$B$803,"SALIDA"),0)</f>
        <v>0</v>
      </c>
      <c r="I2748" s="102">
        <f t="array" ref="I2748">IFERROR(INDEX(PRECIOS_COMPLEMENTOS!$C$4:$F$17,MATCH(B2748&amp;"_"&amp;C2748,PRECIOS_COMPLEMENTOS!$H$4:$H$17,0),IF(OR(G2748="S",G2748="20cm"),1,IF(OR(G2748="M",G2748="25cm"),2,IF(OR(G2748="L",G2748="30cm"),3,IF(OR(G2748="XL",G2748="35cm"),4,0))))),0)</f>
        <v>0.6</v>
      </c>
      <c r="J2748" s="103">
        <f t="shared" si="1"/>
        <v>0</v>
      </c>
      <c r="K2748" s="104" t="str">
        <f>IF(H2748&lt;0,"ERROR",IF(H2748=0,"",IF(H2748&lt;CONFIG!$B$4,"CRÍTICO",IF(H2748&lt;CONFIG!$B$5,"BAJO","OK"))))</f>
        <v/>
      </c>
    </row>
    <row r="2749" ht="15.75" hidden="1" customHeight="1">
      <c r="A2749" s="90" t="str">
        <f>IF(CLIENTES!A9="","",CLIENTES!A9)</f>
        <v/>
      </c>
      <c r="B2749" s="90" t="s">
        <v>331</v>
      </c>
      <c r="C2749" s="91" t="s">
        <v>328</v>
      </c>
      <c r="D2749" s="109" t="s">
        <v>364</v>
      </c>
      <c r="E2749" s="67" t="str">
        <f>COLORES!A10</f>
        <v>Botella</v>
      </c>
      <c r="F2749" s="67" t="str">
        <f>COLORES!B10</f>
        <v>OSCURO</v>
      </c>
      <c r="G2749" s="90" t="s">
        <v>376</v>
      </c>
      <c r="H2749" s="100">
        <f>IFERROR(SUMIFS(MOVIMIENTOS_COMPLEMENTOS!$I$4:$I$803,MOVIMIENTOS_COMPLEMENTOS!$C$4:$C$803,A2749,MOVIMIENTOS_COMPLEMENTOS!$D$4:$D$803,B2749,MOVIMIENTOS_COMPLEMENTOS!$E$4:$E$803,C2749,MOVIMIENTOS_COMPLEMENTOS!$F$4:$F$803,D2749,MOVIMIENTOS_COMPLEMENTOS!$G$4:$G$803,E2749,MOVIMIENTOS_COMPLEMENTOS!$H$4:$H$803,G2749,MOVIMIENTOS_COMPLEMENTOS!$B$4:$B$803,"INGRESO")+SUMIFS(MOVIMIENTOS_COMPLEMENTOS!$I$4:$I$803,MOVIMIENTOS_COMPLEMENTOS!$C$4:$C$803,A2749,MOVIMIENTOS_COMPLEMENTOS!$D$4:$D$803,B2749,MOVIMIENTOS_COMPLEMENTOS!$E$4:$E$803,C2749,MOVIMIENTOS_COMPLEMENTOS!$F$4:$F$803,D2749,MOVIMIENTOS_COMPLEMENTOS!$G$4:$G$803,E2749,MOVIMIENTOS_COMPLEMENTOS!$H$4:$H$803,G2749,MOVIMIENTOS_COMPLEMENTOS!$B$4:$B$803,"DE CORTE")-SUMIFS(MOVIMIENTOS_COMPLEMENTOS!$I$4:$I$803,MOVIMIENTOS_COMPLEMENTOS!$C$4:$C$803,A2749,MOVIMIENTOS_COMPLEMENTOS!$D$4:$D$803,B2749,MOVIMIENTOS_COMPLEMENTOS!$E$4:$E$803,C2749,MOVIMIENTOS_COMPLEMENTOS!$F$4:$F$803,D2749,MOVIMIENTOS_COMPLEMENTOS!$G$4:$G$803,E2749,MOVIMIENTOS_COMPLEMENTOS!$H$4:$H$803,G2749,MOVIMIENTOS_COMPLEMENTOS!$B$4:$B$803,"SALIDA"),0)</f>
        <v>0</v>
      </c>
      <c r="I2749" s="102">
        <f t="array" ref="I2749">IFERROR(INDEX(PRECIOS_COMPLEMENTOS!$C$4:$F$17,MATCH(B2749&amp;"_"&amp;C2749,PRECIOS_COMPLEMENTOS!$H$4:$H$17,0),IF(OR(G2749="S",G2749="20cm"),1,IF(OR(G2749="M",G2749="25cm"),2,IF(OR(G2749="L",G2749="30cm"),3,IF(OR(G2749="XL",G2749="35cm"),4,0))))),0)</f>
        <v>0.6</v>
      </c>
      <c r="J2749" s="103">
        <f t="shared" si="1"/>
        <v>0</v>
      </c>
      <c r="K2749" s="104" t="str">
        <f>IF(H2749&lt;0,"ERROR",IF(H2749=0,"",IF(H2749&lt;CONFIG!$B$4,"CRÍTICO",IF(H2749&lt;CONFIG!$B$5,"BAJO","OK"))))</f>
        <v/>
      </c>
    </row>
    <row r="2750" ht="15.75" hidden="1" customHeight="1">
      <c r="A2750" s="90" t="str">
        <f>IF(CLIENTES!A9="","",CLIENTES!A9)</f>
        <v/>
      </c>
      <c r="B2750" s="90" t="s">
        <v>331</v>
      </c>
      <c r="C2750" s="91" t="s">
        <v>328</v>
      </c>
      <c r="D2750" s="109" t="s">
        <v>364</v>
      </c>
      <c r="E2750" s="67" t="str">
        <f>COLORES!A10</f>
        <v>Botella</v>
      </c>
      <c r="F2750" s="67" t="str">
        <f>COLORES!B10</f>
        <v>OSCURO</v>
      </c>
      <c r="G2750" s="90" t="s">
        <v>377</v>
      </c>
      <c r="H2750" s="100">
        <f>IFERROR(SUMIFS(MOVIMIENTOS_COMPLEMENTOS!$I$4:$I$803,MOVIMIENTOS_COMPLEMENTOS!$C$4:$C$803,A2750,MOVIMIENTOS_COMPLEMENTOS!$D$4:$D$803,B2750,MOVIMIENTOS_COMPLEMENTOS!$E$4:$E$803,C2750,MOVIMIENTOS_COMPLEMENTOS!$F$4:$F$803,D2750,MOVIMIENTOS_COMPLEMENTOS!$G$4:$G$803,E2750,MOVIMIENTOS_COMPLEMENTOS!$H$4:$H$803,G2750,MOVIMIENTOS_COMPLEMENTOS!$B$4:$B$803,"INGRESO")+SUMIFS(MOVIMIENTOS_COMPLEMENTOS!$I$4:$I$803,MOVIMIENTOS_COMPLEMENTOS!$C$4:$C$803,A2750,MOVIMIENTOS_COMPLEMENTOS!$D$4:$D$803,B2750,MOVIMIENTOS_COMPLEMENTOS!$E$4:$E$803,C2750,MOVIMIENTOS_COMPLEMENTOS!$F$4:$F$803,D2750,MOVIMIENTOS_COMPLEMENTOS!$G$4:$G$803,E2750,MOVIMIENTOS_COMPLEMENTOS!$H$4:$H$803,G2750,MOVIMIENTOS_COMPLEMENTOS!$B$4:$B$803,"DE CORTE")-SUMIFS(MOVIMIENTOS_COMPLEMENTOS!$I$4:$I$803,MOVIMIENTOS_COMPLEMENTOS!$C$4:$C$803,A2750,MOVIMIENTOS_COMPLEMENTOS!$D$4:$D$803,B2750,MOVIMIENTOS_COMPLEMENTOS!$E$4:$E$803,C2750,MOVIMIENTOS_COMPLEMENTOS!$F$4:$F$803,D2750,MOVIMIENTOS_COMPLEMENTOS!$G$4:$G$803,E2750,MOVIMIENTOS_COMPLEMENTOS!$H$4:$H$803,G2750,MOVIMIENTOS_COMPLEMENTOS!$B$4:$B$803,"SALIDA"),0)</f>
        <v>0</v>
      </c>
      <c r="I2750" s="102">
        <f t="array" ref="I2750">IFERROR(INDEX(PRECIOS_COMPLEMENTOS!$C$4:$F$17,MATCH(B2750&amp;"_"&amp;C2750,PRECIOS_COMPLEMENTOS!$H$4:$H$17,0),IF(OR(G2750="S",G2750="20cm"),1,IF(OR(G2750="M",G2750="25cm"),2,IF(OR(G2750="L",G2750="30cm"),3,IF(OR(G2750="XL",G2750="35cm"),4,0))))),0)</f>
        <v>0.6</v>
      </c>
      <c r="J2750" s="103">
        <f t="shared" si="1"/>
        <v>0</v>
      </c>
      <c r="K2750" s="104" t="str">
        <f>IF(H2750&lt;0,"ERROR",IF(H2750=0,"",IF(H2750&lt;CONFIG!$B$4,"CRÍTICO",IF(H2750&lt;CONFIG!$B$5,"BAJO","OK"))))</f>
        <v/>
      </c>
    </row>
    <row r="2751" ht="15.75" hidden="1" customHeight="1">
      <c r="A2751" s="90" t="str">
        <f>IF(CLIENTES!A9="","",CLIENTES!A9)</f>
        <v/>
      </c>
      <c r="B2751" s="90" t="s">
        <v>331</v>
      </c>
      <c r="C2751" s="91" t="s">
        <v>328</v>
      </c>
      <c r="D2751" s="109" t="s">
        <v>364</v>
      </c>
      <c r="E2751" s="67" t="str">
        <f>COLORES!A10</f>
        <v>Botella</v>
      </c>
      <c r="F2751" s="67" t="str">
        <f>COLORES!B10</f>
        <v>OSCURO</v>
      </c>
      <c r="G2751" s="90" t="s">
        <v>379</v>
      </c>
      <c r="H2751" s="100">
        <f>IFERROR(SUMIFS(MOVIMIENTOS_COMPLEMENTOS!$I$4:$I$803,MOVIMIENTOS_COMPLEMENTOS!$C$4:$C$803,A2751,MOVIMIENTOS_COMPLEMENTOS!$D$4:$D$803,B2751,MOVIMIENTOS_COMPLEMENTOS!$E$4:$E$803,C2751,MOVIMIENTOS_COMPLEMENTOS!$F$4:$F$803,D2751,MOVIMIENTOS_COMPLEMENTOS!$G$4:$G$803,E2751,MOVIMIENTOS_COMPLEMENTOS!$H$4:$H$803,G2751,MOVIMIENTOS_COMPLEMENTOS!$B$4:$B$803,"INGRESO")+SUMIFS(MOVIMIENTOS_COMPLEMENTOS!$I$4:$I$803,MOVIMIENTOS_COMPLEMENTOS!$C$4:$C$803,A2751,MOVIMIENTOS_COMPLEMENTOS!$D$4:$D$803,B2751,MOVIMIENTOS_COMPLEMENTOS!$E$4:$E$803,C2751,MOVIMIENTOS_COMPLEMENTOS!$F$4:$F$803,D2751,MOVIMIENTOS_COMPLEMENTOS!$G$4:$G$803,E2751,MOVIMIENTOS_COMPLEMENTOS!$H$4:$H$803,G2751,MOVIMIENTOS_COMPLEMENTOS!$B$4:$B$803,"DE CORTE")-SUMIFS(MOVIMIENTOS_COMPLEMENTOS!$I$4:$I$803,MOVIMIENTOS_COMPLEMENTOS!$C$4:$C$803,A2751,MOVIMIENTOS_COMPLEMENTOS!$D$4:$D$803,B2751,MOVIMIENTOS_COMPLEMENTOS!$E$4:$E$803,C2751,MOVIMIENTOS_COMPLEMENTOS!$F$4:$F$803,D2751,MOVIMIENTOS_COMPLEMENTOS!$G$4:$G$803,E2751,MOVIMIENTOS_COMPLEMENTOS!$H$4:$H$803,G2751,MOVIMIENTOS_COMPLEMENTOS!$B$4:$B$803,"SALIDA"),0)</f>
        <v>0</v>
      </c>
      <c r="I2751" s="102">
        <f t="array" ref="I2751">IFERROR(INDEX(PRECIOS_COMPLEMENTOS!$C$4:$F$17,MATCH(B2751&amp;"_"&amp;C2751,PRECIOS_COMPLEMENTOS!$H$4:$H$17,0),IF(OR(G2751="S",G2751="20cm"),1,IF(OR(G2751="M",G2751="25cm"),2,IF(OR(G2751="L",G2751="30cm"),3,IF(OR(G2751="XL",G2751="35cm"),4,0))))),0)</f>
        <v>0.6</v>
      </c>
      <c r="J2751" s="103">
        <f t="shared" si="1"/>
        <v>0</v>
      </c>
      <c r="K2751" s="104" t="str">
        <f>IF(H2751&lt;0,"ERROR",IF(H2751=0,"",IF(H2751&lt;CONFIG!$B$4,"CRÍTICO",IF(H2751&lt;CONFIG!$B$5,"BAJO","OK"))))</f>
        <v/>
      </c>
    </row>
    <row r="2752" ht="15.75" hidden="1" customHeight="1">
      <c r="A2752" s="90" t="str">
        <f>IF(CLIENTES!A9="","",CLIENTES!A9)</f>
        <v/>
      </c>
      <c r="B2752" s="90" t="s">
        <v>331</v>
      </c>
      <c r="C2752" s="91" t="s">
        <v>328</v>
      </c>
      <c r="D2752" s="109" t="s">
        <v>364</v>
      </c>
      <c r="E2752" s="67" t="str">
        <f>COLORES!A11</f>
        <v>Pacay</v>
      </c>
      <c r="F2752" s="67" t="str">
        <f>COLORES!B11</f>
        <v>CLARO</v>
      </c>
      <c r="G2752" s="90" t="s">
        <v>378</v>
      </c>
      <c r="H2752" s="100">
        <f>IFERROR(SUMIFS(MOVIMIENTOS_COMPLEMENTOS!$I$4:$I$803,MOVIMIENTOS_COMPLEMENTOS!$C$4:$C$803,A2752,MOVIMIENTOS_COMPLEMENTOS!$D$4:$D$803,B2752,MOVIMIENTOS_COMPLEMENTOS!$E$4:$E$803,C2752,MOVIMIENTOS_COMPLEMENTOS!$F$4:$F$803,D2752,MOVIMIENTOS_COMPLEMENTOS!$G$4:$G$803,E2752,MOVIMIENTOS_COMPLEMENTOS!$H$4:$H$803,G2752,MOVIMIENTOS_COMPLEMENTOS!$B$4:$B$803,"INGRESO")+SUMIFS(MOVIMIENTOS_COMPLEMENTOS!$I$4:$I$803,MOVIMIENTOS_COMPLEMENTOS!$C$4:$C$803,A2752,MOVIMIENTOS_COMPLEMENTOS!$D$4:$D$803,B2752,MOVIMIENTOS_COMPLEMENTOS!$E$4:$E$803,C2752,MOVIMIENTOS_COMPLEMENTOS!$F$4:$F$803,D2752,MOVIMIENTOS_COMPLEMENTOS!$G$4:$G$803,E2752,MOVIMIENTOS_COMPLEMENTOS!$H$4:$H$803,G2752,MOVIMIENTOS_COMPLEMENTOS!$B$4:$B$803,"DE CORTE")-SUMIFS(MOVIMIENTOS_COMPLEMENTOS!$I$4:$I$803,MOVIMIENTOS_COMPLEMENTOS!$C$4:$C$803,A2752,MOVIMIENTOS_COMPLEMENTOS!$D$4:$D$803,B2752,MOVIMIENTOS_COMPLEMENTOS!$E$4:$E$803,C2752,MOVIMIENTOS_COMPLEMENTOS!$F$4:$F$803,D2752,MOVIMIENTOS_COMPLEMENTOS!$G$4:$G$803,E2752,MOVIMIENTOS_COMPLEMENTOS!$H$4:$H$803,G2752,MOVIMIENTOS_COMPLEMENTOS!$B$4:$B$803,"SALIDA"),0)</f>
        <v>0</v>
      </c>
      <c r="I2752" s="102">
        <f t="array" ref="I2752">IFERROR(INDEX(PRECIOS_COMPLEMENTOS!$C$4:$F$17,MATCH(B2752&amp;"_"&amp;C2752,PRECIOS_COMPLEMENTOS!$H$4:$H$17,0),IF(OR(G2752="S",G2752="20cm"),1,IF(OR(G2752="M",G2752="25cm"),2,IF(OR(G2752="L",G2752="30cm"),3,IF(OR(G2752="XL",G2752="35cm"),4,0))))),0)</f>
        <v>0.6</v>
      </c>
      <c r="J2752" s="103">
        <f t="shared" si="1"/>
        <v>0</v>
      </c>
      <c r="K2752" s="104" t="str">
        <f>IF(H2752&lt;0,"ERROR",IF(H2752=0,"",IF(H2752&lt;CONFIG!$B$4,"CRÍTICO",IF(H2752&lt;CONFIG!$B$5,"BAJO","OK"))))</f>
        <v/>
      </c>
    </row>
    <row r="2753" ht="15.75" hidden="1" customHeight="1">
      <c r="A2753" s="90" t="str">
        <f>IF(CLIENTES!A9="","",CLIENTES!A9)</f>
        <v/>
      </c>
      <c r="B2753" s="90" t="s">
        <v>331</v>
      </c>
      <c r="C2753" s="91" t="s">
        <v>328</v>
      </c>
      <c r="D2753" s="109" t="s">
        <v>364</v>
      </c>
      <c r="E2753" s="67" t="str">
        <f>COLORES!A11</f>
        <v>Pacay</v>
      </c>
      <c r="F2753" s="67" t="str">
        <f>COLORES!B11</f>
        <v>CLARO</v>
      </c>
      <c r="G2753" s="90" t="s">
        <v>376</v>
      </c>
      <c r="H2753" s="100">
        <f>IFERROR(SUMIFS(MOVIMIENTOS_COMPLEMENTOS!$I$4:$I$803,MOVIMIENTOS_COMPLEMENTOS!$C$4:$C$803,A2753,MOVIMIENTOS_COMPLEMENTOS!$D$4:$D$803,B2753,MOVIMIENTOS_COMPLEMENTOS!$E$4:$E$803,C2753,MOVIMIENTOS_COMPLEMENTOS!$F$4:$F$803,D2753,MOVIMIENTOS_COMPLEMENTOS!$G$4:$G$803,E2753,MOVIMIENTOS_COMPLEMENTOS!$H$4:$H$803,G2753,MOVIMIENTOS_COMPLEMENTOS!$B$4:$B$803,"INGRESO")+SUMIFS(MOVIMIENTOS_COMPLEMENTOS!$I$4:$I$803,MOVIMIENTOS_COMPLEMENTOS!$C$4:$C$803,A2753,MOVIMIENTOS_COMPLEMENTOS!$D$4:$D$803,B2753,MOVIMIENTOS_COMPLEMENTOS!$E$4:$E$803,C2753,MOVIMIENTOS_COMPLEMENTOS!$F$4:$F$803,D2753,MOVIMIENTOS_COMPLEMENTOS!$G$4:$G$803,E2753,MOVIMIENTOS_COMPLEMENTOS!$H$4:$H$803,G2753,MOVIMIENTOS_COMPLEMENTOS!$B$4:$B$803,"DE CORTE")-SUMIFS(MOVIMIENTOS_COMPLEMENTOS!$I$4:$I$803,MOVIMIENTOS_COMPLEMENTOS!$C$4:$C$803,A2753,MOVIMIENTOS_COMPLEMENTOS!$D$4:$D$803,B2753,MOVIMIENTOS_COMPLEMENTOS!$E$4:$E$803,C2753,MOVIMIENTOS_COMPLEMENTOS!$F$4:$F$803,D2753,MOVIMIENTOS_COMPLEMENTOS!$G$4:$G$803,E2753,MOVIMIENTOS_COMPLEMENTOS!$H$4:$H$803,G2753,MOVIMIENTOS_COMPLEMENTOS!$B$4:$B$803,"SALIDA"),0)</f>
        <v>0</v>
      </c>
      <c r="I2753" s="102">
        <f t="array" ref="I2753">IFERROR(INDEX(PRECIOS_COMPLEMENTOS!$C$4:$F$17,MATCH(B2753&amp;"_"&amp;C2753,PRECIOS_COMPLEMENTOS!$H$4:$H$17,0),IF(OR(G2753="S",G2753="20cm"),1,IF(OR(G2753="M",G2753="25cm"),2,IF(OR(G2753="L",G2753="30cm"),3,IF(OR(G2753="XL",G2753="35cm"),4,0))))),0)</f>
        <v>0.6</v>
      </c>
      <c r="J2753" s="103">
        <f t="shared" si="1"/>
        <v>0</v>
      </c>
      <c r="K2753" s="104" t="str">
        <f>IF(H2753&lt;0,"ERROR",IF(H2753=0,"",IF(H2753&lt;CONFIG!$B$4,"CRÍTICO",IF(H2753&lt;CONFIG!$B$5,"BAJO","OK"))))</f>
        <v/>
      </c>
    </row>
    <row r="2754" ht="15.75" hidden="1" customHeight="1">
      <c r="A2754" s="90" t="str">
        <f>IF(CLIENTES!A9="","",CLIENTES!A9)</f>
        <v/>
      </c>
      <c r="B2754" s="90" t="s">
        <v>331</v>
      </c>
      <c r="C2754" s="91" t="s">
        <v>328</v>
      </c>
      <c r="D2754" s="109" t="s">
        <v>364</v>
      </c>
      <c r="E2754" s="67" t="str">
        <f>COLORES!A11</f>
        <v>Pacay</v>
      </c>
      <c r="F2754" s="67" t="str">
        <f>COLORES!B11</f>
        <v>CLARO</v>
      </c>
      <c r="G2754" s="90" t="s">
        <v>377</v>
      </c>
      <c r="H2754" s="100">
        <f>IFERROR(SUMIFS(MOVIMIENTOS_COMPLEMENTOS!$I$4:$I$803,MOVIMIENTOS_COMPLEMENTOS!$C$4:$C$803,A2754,MOVIMIENTOS_COMPLEMENTOS!$D$4:$D$803,B2754,MOVIMIENTOS_COMPLEMENTOS!$E$4:$E$803,C2754,MOVIMIENTOS_COMPLEMENTOS!$F$4:$F$803,D2754,MOVIMIENTOS_COMPLEMENTOS!$G$4:$G$803,E2754,MOVIMIENTOS_COMPLEMENTOS!$H$4:$H$803,G2754,MOVIMIENTOS_COMPLEMENTOS!$B$4:$B$803,"INGRESO")+SUMIFS(MOVIMIENTOS_COMPLEMENTOS!$I$4:$I$803,MOVIMIENTOS_COMPLEMENTOS!$C$4:$C$803,A2754,MOVIMIENTOS_COMPLEMENTOS!$D$4:$D$803,B2754,MOVIMIENTOS_COMPLEMENTOS!$E$4:$E$803,C2754,MOVIMIENTOS_COMPLEMENTOS!$F$4:$F$803,D2754,MOVIMIENTOS_COMPLEMENTOS!$G$4:$G$803,E2754,MOVIMIENTOS_COMPLEMENTOS!$H$4:$H$803,G2754,MOVIMIENTOS_COMPLEMENTOS!$B$4:$B$803,"DE CORTE")-SUMIFS(MOVIMIENTOS_COMPLEMENTOS!$I$4:$I$803,MOVIMIENTOS_COMPLEMENTOS!$C$4:$C$803,A2754,MOVIMIENTOS_COMPLEMENTOS!$D$4:$D$803,B2754,MOVIMIENTOS_COMPLEMENTOS!$E$4:$E$803,C2754,MOVIMIENTOS_COMPLEMENTOS!$F$4:$F$803,D2754,MOVIMIENTOS_COMPLEMENTOS!$G$4:$G$803,E2754,MOVIMIENTOS_COMPLEMENTOS!$H$4:$H$803,G2754,MOVIMIENTOS_COMPLEMENTOS!$B$4:$B$803,"SALIDA"),0)</f>
        <v>0</v>
      </c>
      <c r="I2754" s="102">
        <f t="array" ref="I2754">IFERROR(INDEX(PRECIOS_COMPLEMENTOS!$C$4:$F$17,MATCH(B2754&amp;"_"&amp;C2754,PRECIOS_COMPLEMENTOS!$H$4:$H$17,0),IF(OR(G2754="S",G2754="20cm"),1,IF(OR(G2754="M",G2754="25cm"),2,IF(OR(G2754="L",G2754="30cm"),3,IF(OR(G2754="XL",G2754="35cm"),4,0))))),0)</f>
        <v>0.6</v>
      </c>
      <c r="J2754" s="103">
        <f t="shared" si="1"/>
        <v>0</v>
      </c>
      <c r="K2754" s="104" t="str">
        <f>IF(H2754&lt;0,"ERROR",IF(H2754=0,"",IF(H2754&lt;CONFIG!$B$4,"CRÍTICO",IF(H2754&lt;CONFIG!$B$5,"BAJO","OK"))))</f>
        <v/>
      </c>
    </row>
    <row r="2755" ht="15.75" hidden="1" customHeight="1">
      <c r="A2755" s="90" t="str">
        <f>IF(CLIENTES!A9="","",CLIENTES!A9)</f>
        <v/>
      </c>
      <c r="B2755" s="90" t="s">
        <v>331</v>
      </c>
      <c r="C2755" s="91" t="s">
        <v>328</v>
      </c>
      <c r="D2755" s="109" t="s">
        <v>364</v>
      </c>
      <c r="E2755" s="67" t="str">
        <f>COLORES!A11</f>
        <v>Pacay</v>
      </c>
      <c r="F2755" s="67" t="str">
        <f>COLORES!B11</f>
        <v>CLARO</v>
      </c>
      <c r="G2755" s="90" t="s">
        <v>379</v>
      </c>
      <c r="H2755" s="100">
        <f>IFERROR(SUMIFS(MOVIMIENTOS_COMPLEMENTOS!$I$4:$I$803,MOVIMIENTOS_COMPLEMENTOS!$C$4:$C$803,A2755,MOVIMIENTOS_COMPLEMENTOS!$D$4:$D$803,B2755,MOVIMIENTOS_COMPLEMENTOS!$E$4:$E$803,C2755,MOVIMIENTOS_COMPLEMENTOS!$F$4:$F$803,D2755,MOVIMIENTOS_COMPLEMENTOS!$G$4:$G$803,E2755,MOVIMIENTOS_COMPLEMENTOS!$H$4:$H$803,G2755,MOVIMIENTOS_COMPLEMENTOS!$B$4:$B$803,"INGRESO")+SUMIFS(MOVIMIENTOS_COMPLEMENTOS!$I$4:$I$803,MOVIMIENTOS_COMPLEMENTOS!$C$4:$C$803,A2755,MOVIMIENTOS_COMPLEMENTOS!$D$4:$D$803,B2755,MOVIMIENTOS_COMPLEMENTOS!$E$4:$E$803,C2755,MOVIMIENTOS_COMPLEMENTOS!$F$4:$F$803,D2755,MOVIMIENTOS_COMPLEMENTOS!$G$4:$G$803,E2755,MOVIMIENTOS_COMPLEMENTOS!$H$4:$H$803,G2755,MOVIMIENTOS_COMPLEMENTOS!$B$4:$B$803,"DE CORTE")-SUMIFS(MOVIMIENTOS_COMPLEMENTOS!$I$4:$I$803,MOVIMIENTOS_COMPLEMENTOS!$C$4:$C$803,A2755,MOVIMIENTOS_COMPLEMENTOS!$D$4:$D$803,B2755,MOVIMIENTOS_COMPLEMENTOS!$E$4:$E$803,C2755,MOVIMIENTOS_COMPLEMENTOS!$F$4:$F$803,D2755,MOVIMIENTOS_COMPLEMENTOS!$G$4:$G$803,E2755,MOVIMIENTOS_COMPLEMENTOS!$H$4:$H$803,G2755,MOVIMIENTOS_COMPLEMENTOS!$B$4:$B$803,"SALIDA"),0)</f>
        <v>0</v>
      </c>
      <c r="I2755" s="102">
        <f t="array" ref="I2755">IFERROR(INDEX(PRECIOS_COMPLEMENTOS!$C$4:$F$17,MATCH(B2755&amp;"_"&amp;C2755,PRECIOS_COMPLEMENTOS!$H$4:$H$17,0),IF(OR(G2755="S",G2755="20cm"),1,IF(OR(G2755="M",G2755="25cm"),2,IF(OR(G2755="L",G2755="30cm"),3,IF(OR(G2755="XL",G2755="35cm"),4,0))))),0)</f>
        <v>0.6</v>
      </c>
      <c r="J2755" s="103">
        <f t="shared" si="1"/>
        <v>0</v>
      </c>
      <c r="K2755" s="104" t="str">
        <f>IF(H2755&lt;0,"ERROR",IF(H2755=0,"",IF(H2755&lt;CONFIG!$B$4,"CRÍTICO",IF(H2755&lt;CONFIG!$B$5,"BAJO","OK"))))</f>
        <v/>
      </c>
    </row>
    <row r="2756" ht="15.75" hidden="1" customHeight="1">
      <c r="A2756" s="90" t="str">
        <f>IF(CLIENTES!A9="","",CLIENTES!A9)</f>
        <v/>
      </c>
      <c r="B2756" s="90" t="s">
        <v>331</v>
      </c>
      <c r="C2756" s="91" t="s">
        <v>328</v>
      </c>
      <c r="D2756" s="109" t="s">
        <v>364</v>
      </c>
      <c r="E2756" s="67" t="str">
        <f>COLORES!A12</f>
        <v>Cemento</v>
      </c>
      <c r="F2756" s="67" t="str">
        <f>COLORES!B12</f>
        <v>CLARO</v>
      </c>
      <c r="G2756" s="90" t="s">
        <v>378</v>
      </c>
      <c r="H2756" s="100">
        <f>IFERROR(SUMIFS(MOVIMIENTOS_COMPLEMENTOS!$I$4:$I$803,MOVIMIENTOS_COMPLEMENTOS!$C$4:$C$803,A2756,MOVIMIENTOS_COMPLEMENTOS!$D$4:$D$803,B2756,MOVIMIENTOS_COMPLEMENTOS!$E$4:$E$803,C2756,MOVIMIENTOS_COMPLEMENTOS!$F$4:$F$803,D2756,MOVIMIENTOS_COMPLEMENTOS!$G$4:$G$803,E2756,MOVIMIENTOS_COMPLEMENTOS!$H$4:$H$803,G2756,MOVIMIENTOS_COMPLEMENTOS!$B$4:$B$803,"INGRESO")+SUMIFS(MOVIMIENTOS_COMPLEMENTOS!$I$4:$I$803,MOVIMIENTOS_COMPLEMENTOS!$C$4:$C$803,A2756,MOVIMIENTOS_COMPLEMENTOS!$D$4:$D$803,B2756,MOVIMIENTOS_COMPLEMENTOS!$E$4:$E$803,C2756,MOVIMIENTOS_COMPLEMENTOS!$F$4:$F$803,D2756,MOVIMIENTOS_COMPLEMENTOS!$G$4:$G$803,E2756,MOVIMIENTOS_COMPLEMENTOS!$H$4:$H$803,G2756,MOVIMIENTOS_COMPLEMENTOS!$B$4:$B$803,"DE CORTE")-SUMIFS(MOVIMIENTOS_COMPLEMENTOS!$I$4:$I$803,MOVIMIENTOS_COMPLEMENTOS!$C$4:$C$803,A2756,MOVIMIENTOS_COMPLEMENTOS!$D$4:$D$803,B2756,MOVIMIENTOS_COMPLEMENTOS!$E$4:$E$803,C2756,MOVIMIENTOS_COMPLEMENTOS!$F$4:$F$803,D2756,MOVIMIENTOS_COMPLEMENTOS!$G$4:$G$803,E2756,MOVIMIENTOS_COMPLEMENTOS!$H$4:$H$803,G2756,MOVIMIENTOS_COMPLEMENTOS!$B$4:$B$803,"SALIDA"),0)</f>
        <v>0</v>
      </c>
      <c r="I2756" s="102">
        <f t="array" ref="I2756">IFERROR(INDEX(PRECIOS_COMPLEMENTOS!$C$4:$F$17,MATCH(B2756&amp;"_"&amp;C2756,PRECIOS_COMPLEMENTOS!$H$4:$H$17,0),IF(OR(G2756="S",G2756="20cm"),1,IF(OR(G2756="M",G2756="25cm"),2,IF(OR(G2756="L",G2756="30cm"),3,IF(OR(G2756="XL",G2756="35cm"),4,0))))),0)</f>
        <v>0.6</v>
      </c>
      <c r="J2756" s="103">
        <f t="shared" si="1"/>
        <v>0</v>
      </c>
      <c r="K2756" s="104" t="str">
        <f>IF(H2756&lt;0,"ERROR",IF(H2756=0,"",IF(H2756&lt;CONFIG!$B$4,"CRÍTICO",IF(H2756&lt;CONFIG!$B$5,"BAJO","OK"))))</f>
        <v/>
      </c>
    </row>
    <row r="2757" ht="15.75" hidden="1" customHeight="1">
      <c r="A2757" s="90" t="str">
        <f>IF(CLIENTES!A9="","",CLIENTES!A9)</f>
        <v/>
      </c>
      <c r="B2757" s="90" t="s">
        <v>331</v>
      </c>
      <c r="C2757" s="91" t="s">
        <v>328</v>
      </c>
      <c r="D2757" s="109" t="s">
        <v>364</v>
      </c>
      <c r="E2757" s="67" t="str">
        <f>COLORES!A12</f>
        <v>Cemento</v>
      </c>
      <c r="F2757" s="67" t="str">
        <f>COLORES!B12</f>
        <v>CLARO</v>
      </c>
      <c r="G2757" s="90" t="s">
        <v>376</v>
      </c>
      <c r="H2757" s="100">
        <f>IFERROR(SUMIFS(MOVIMIENTOS_COMPLEMENTOS!$I$4:$I$803,MOVIMIENTOS_COMPLEMENTOS!$C$4:$C$803,A2757,MOVIMIENTOS_COMPLEMENTOS!$D$4:$D$803,B2757,MOVIMIENTOS_COMPLEMENTOS!$E$4:$E$803,C2757,MOVIMIENTOS_COMPLEMENTOS!$F$4:$F$803,D2757,MOVIMIENTOS_COMPLEMENTOS!$G$4:$G$803,E2757,MOVIMIENTOS_COMPLEMENTOS!$H$4:$H$803,G2757,MOVIMIENTOS_COMPLEMENTOS!$B$4:$B$803,"INGRESO")+SUMIFS(MOVIMIENTOS_COMPLEMENTOS!$I$4:$I$803,MOVIMIENTOS_COMPLEMENTOS!$C$4:$C$803,A2757,MOVIMIENTOS_COMPLEMENTOS!$D$4:$D$803,B2757,MOVIMIENTOS_COMPLEMENTOS!$E$4:$E$803,C2757,MOVIMIENTOS_COMPLEMENTOS!$F$4:$F$803,D2757,MOVIMIENTOS_COMPLEMENTOS!$G$4:$G$803,E2757,MOVIMIENTOS_COMPLEMENTOS!$H$4:$H$803,G2757,MOVIMIENTOS_COMPLEMENTOS!$B$4:$B$803,"DE CORTE")-SUMIFS(MOVIMIENTOS_COMPLEMENTOS!$I$4:$I$803,MOVIMIENTOS_COMPLEMENTOS!$C$4:$C$803,A2757,MOVIMIENTOS_COMPLEMENTOS!$D$4:$D$803,B2757,MOVIMIENTOS_COMPLEMENTOS!$E$4:$E$803,C2757,MOVIMIENTOS_COMPLEMENTOS!$F$4:$F$803,D2757,MOVIMIENTOS_COMPLEMENTOS!$G$4:$G$803,E2757,MOVIMIENTOS_COMPLEMENTOS!$H$4:$H$803,G2757,MOVIMIENTOS_COMPLEMENTOS!$B$4:$B$803,"SALIDA"),0)</f>
        <v>0</v>
      </c>
      <c r="I2757" s="102">
        <f t="array" ref="I2757">IFERROR(INDEX(PRECIOS_COMPLEMENTOS!$C$4:$F$17,MATCH(B2757&amp;"_"&amp;C2757,PRECIOS_COMPLEMENTOS!$H$4:$H$17,0),IF(OR(G2757="S",G2757="20cm"),1,IF(OR(G2757="M",G2757="25cm"),2,IF(OR(G2757="L",G2757="30cm"),3,IF(OR(G2757="XL",G2757="35cm"),4,0))))),0)</f>
        <v>0.6</v>
      </c>
      <c r="J2757" s="103">
        <f t="shared" si="1"/>
        <v>0</v>
      </c>
      <c r="K2757" s="104" t="str">
        <f>IF(H2757&lt;0,"ERROR",IF(H2757=0,"",IF(H2757&lt;CONFIG!$B$4,"CRÍTICO",IF(H2757&lt;CONFIG!$B$5,"BAJO","OK"))))</f>
        <v/>
      </c>
    </row>
    <row r="2758" ht="15.75" hidden="1" customHeight="1">
      <c r="A2758" s="90" t="str">
        <f>IF(CLIENTES!A9="","",CLIENTES!A9)</f>
        <v/>
      </c>
      <c r="B2758" s="90" t="s">
        <v>331</v>
      </c>
      <c r="C2758" s="91" t="s">
        <v>328</v>
      </c>
      <c r="D2758" s="109" t="s">
        <v>364</v>
      </c>
      <c r="E2758" s="67" t="str">
        <f>COLORES!A12</f>
        <v>Cemento</v>
      </c>
      <c r="F2758" s="67" t="str">
        <f>COLORES!B12</f>
        <v>CLARO</v>
      </c>
      <c r="G2758" s="90" t="s">
        <v>377</v>
      </c>
      <c r="H2758" s="100">
        <f>IFERROR(SUMIFS(MOVIMIENTOS_COMPLEMENTOS!$I$4:$I$803,MOVIMIENTOS_COMPLEMENTOS!$C$4:$C$803,A2758,MOVIMIENTOS_COMPLEMENTOS!$D$4:$D$803,B2758,MOVIMIENTOS_COMPLEMENTOS!$E$4:$E$803,C2758,MOVIMIENTOS_COMPLEMENTOS!$F$4:$F$803,D2758,MOVIMIENTOS_COMPLEMENTOS!$G$4:$G$803,E2758,MOVIMIENTOS_COMPLEMENTOS!$H$4:$H$803,G2758,MOVIMIENTOS_COMPLEMENTOS!$B$4:$B$803,"INGRESO")+SUMIFS(MOVIMIENTOS_COMPLEMENTOS!$I$4:$I$803,MOVIMIENTOS_COMPLEMENTOS!$C$4:$C$803,A2758,MOVIMIENTOS_COMPLEMENTOS!$D$4:$D$803,B2758,MOVIMIENTOS_COMPLEMENTOS!$E$4:$E$803,C2758,MOVIMIENTOS_COMPLEMENTOS!$F$4:$F$803,D2758,MOVIMIENTOS_COMPLEMENTOS!$G$4:$G$803,E2758,MOVIMIENTOS_COMPLEMENTOS!$H$4:$H$803,G2758,MOVIMIENTOS_COMPLEMENTOS!$B$4:$B$803,"DE CORTE")-SUMIFS(MOVIMIENTOS_COMPLEMENTOS!$I$4:$I$803,MOVIMIENTOS_COMPLEMENTOS!$C$4:$C$803,A2758,MOVIMIENTOS_COMPLEMENTOS!$D$4:$D$803,B2758,MOVIMIENTOS_COMPLEMENTOS!$E$4:$E$803,C2758,MOVIMIENTOS_COMPLEMENTOS!$F$4:$F$803,D2758,MOVIMIENTOS_COMPLEMENTOS!$G$4:$G$803,E2758,MOVIMIENTOS_COMPLEMENTOS!$H$4:$H$803,G2758,MOVIMIENTOS_COMPLEMENTOS!$B$4:$B$803,"SALIDA"),0)</f>
        <v>0</v>
      </c>
      <c r="I2758" s="102">
        <f t="array" ref="I2758">IFERROR(INDEX(PRECIOS_COMPLEMENTOS!$C$4:$F$17,MATCH(B2758&amp;"_"&amp;C2758,PRECIOS_COMPLEMENTOS!$H$4:$H$17,0),IF(OR(G2758="S",G2758="20cm"),1,IF(OR(G2758="M",G2758="25cm"),2,IF(OR(G2758="L",G2758="30cm"),3,IF(OR(G2758="XL",G2758="35cm"),4,0))))),0)</f>
        <v>0.6</v>
      </c>
      <c r="J2758" s="103">
        <f t="shared" si="1"/>
        <v>0</v>
      </c>
      <c r="K2758" s="104" t="str">
        <f>IF(H2758&lt;0,"ERROR",IF(H2758=0,"",IF(H2758&lt;CONFIG!$B$4,"CRÍTICO",IF(H2758&lt;CONFIG!$B$5,"BAJO","OK"))))</f>
        <v/>
      </c>
    </row>
    <row r="2759" ht="15.75" hidden="1" customHeight="1">
      <c r="A2759" s="90" t="str">
        <f>IF(CLIENTES!A9="","",CLIENTES!A9)</f>
        <v/>
      </c>
      <c r="B2759" s="90" t="s">
        <v>331</v>
      </c>
      <c r="C2759" s="91" t="s">
        <v>328</v>
      </c>
      <c r="D2759" s="109" t="s">
        <v>364</v>
      </c>
      <c r="E2759" s="67" t="str">
        <f>COLORES!A12</f>
        <v>Cemento</v>
      </c>
      <c r="F2759" s="67" t="str">
        <f>COLORES!B12</f>
        <v>CLARO</v>
      </c>
      <c r="G2759" s="90" t="s">
        <v>379</v>
      </c>
      <c r="H2759" s="100">
        <f>IFERROR(SUMIFS(MOVIMIENTOS_COMPLEMENTOS!$I$4:$I$803,MOVIMIENTOS_COMPLEMENTOS!$C$4:$C$803,A2759,MOVIMIENTOS_COMPLEMENTOS!$D$4:$D$803,B2759,MOVIMIENTOS_COMPLEMENTOS!$E$4:$E$803,C2759,MOVIMIENTOS_COMPLEMENTOS!$F$4:$F$803,D2759,MOVIMIENTOS_COMPLEMENTOS!$G$4:$G$803,E2759,MOVIMIENTOS_COMPLEMENTOS!$H$4:$H$803,G2759,MOVIMIENTOS_COMPLEMENTOS!$B$4:$B$803,"INGRESO")+SUMIFS(MOVIMIENTOS_COMPLEMENTOS!$I$4:$I$803,MOVIMIENTOS_COMPLEMENTOS!$C$4:$C$803,A2759,MOVIMIENTOS_COMPLEMENTOS!$D$4:$D$803,B2759,MOVIMIENTOS_COMPLEMENTOS!$E$4:$E$803,C2759,MOVIMIENTOS_COMPLEMENTOS!$F$4:$F$803,D2759,MOVIMIENTOS_COMPLEMENTOS!$G$4:$G$803,E2759,MOVIMIENTOS_COMPLEMENTOS!$H$4:$H$803,G2759,MOVIMIENTOS_COMPLEMENTOS!$B$4:$B$803,"DE CORTE")-SUMIFS(MOVIMIENTOS_COMPLEMENTOS!$I$4:$I$803,MOVIMIENTOS_COMPLEMENTOS!$C$4:$C$803,A2759,MOVIMIENTOS_COMPLEMENTOS!$D$4:$D$803,B2759,MOVIMIENTOS_COMPLEMENTOS!$E$4:$E$803,C2759,MOVIMIENTOS_COMPLEMENTOS!$F$4:$F$803,D2759,MOVIMIENTOS_COMPLEMENTOS!$G$4:$G$803,E2759,MOVIMIENTOS_COMPLEMENTOS!$H$4:$H$803,G2759,MOVIMIENTOS_COMPLEMENTOS!$B$4:$B$803,"SALIDA"),0)</f>
        <v>0</v>
      </c>
      <c r="I2759" s="102">
        <f t="array" ref="I2759">IFERROR(INDEX(PRECIOS_COMPLEMENTOS!$C$4:$F$17,MATCH(B2759&amp;"_"&amp;C2759,PRECIOS_COMPLEMENTOS!$H$4:$H$17,0),IF(OR(G2759="S",G2759="20cm"),1,IF(OR(G2759="M",G2759="25cm"),2,IF(OR(G2759="L",G2759="30cm"),3,IF(OR(G2759="XL",G2759="35cm"),4,0))))),0)</f>
        <v>0.6</v>
      </c>
      <c r="J2759" s="103">
        <f t="shared" si="1"/>
        <v>0</v>
      </c>
      <c r="K2759" s="104" t="str">
        <f>IF(H2759&lt;0,"ERROR",IF(H2759=0,"",IF(H2759&lt;CONFIG!$B$4,"CRÍTICO",IF(H2759&lt;CONFIG!$B$5,"BAJO","OK"))))</f>
        <v/>
      </c>
    </row>
    <row r="2760" ht="15.75" hidden="1" customHeight="1">
      <c r="A2760" s="90" t="str">
        <f>IF(CLIENTES!A9="","",CLIENTES!A9)</f>
        <v/>
      </c>
      <c r="B2760" s="90" t="s">
        <v>331</v>
      </c>
      <c r="C2760" s="91" t="s">
        <v>328</v>
      </c>
      <c r="D2760" s="109" t="s">
        <v>364</v>
      </c>
      <c r="E2760" s="67" t="str">
        <f>COLORES!A13</f>
        <v>Camote</v>
      </c>
      <c r="F2760" s="67" t="str">
        <f>COLORES!B13</f>
        <v>CLARO</v>
      </c>
      <c r="G2760" s="90" t="s">
        <v>378</v>
      </c>
      <c r="H2760" s="100">
        <f>IFERROR(SUMIFS(MOVIMIENTOS_COMPLEMENTOS!$I$4:$I$803,MOVIMIENTOS_COMPLEMENTOS!$C$4:$C$803,A2760,MOVIMIENTOS_COMPLEMENTOS!$D$4:$D$803,B2760,MOVIMIENTOS_COMPLEMENTOS!$E$4:$E$803,C2760,MOVIMIENTOS_COMPLEMENTOS!$F$4:$F$803,D2760,MOVIMIENTOS_COMPLEMENTOS!$G$4:$G$803,E2760,MOVIMIENTOS_COMPLEMENTOS!$H$4:$H$803,G2760,MOVIMIENTOS_COMPLEMENTOS!$B$4:$B$803,"INGRESO")+SUMIFS(MOVIMIENTOS_COMPLEMENTOS!$I$4:$I$803,MOVIMIENTOS_COMPLEMENTOS!$C$4:$C$803,A2760,MOVIMIENTOS_COMPLEMENTOS!$D$4:$D$803,B2760,MOVIMIENTOS_COMPLEMENTOS!$E$4:$E$803,C2760,MOVIMIENTOS_COMPLEMENTOS!$F$4:$F$803,D2760,MOVIMIENTOS_COMPLEMENTOS!$G$4:$G$803,E2760,MOVIMIENTOS_COMPLEMENTOS!$H$4:$H$803,G2760,MOVIMIENTOS_COMPLEMENTOS!$B$4:$B$803,"DE CORTE")-SUMIFS(MOVIMIENTOS_COMPLEMENTOS!$I$4:$I$803,MOVIMIENTOS_COMPLEMENTOS!$C$4:$C$803,A2760,MOVIMIENTOS_COMPLEMENTOS!$D$4:$D$803,B2760,MOVIMIENTOS_COMPLEMENTOS!$E$4:$E$803,C2760,MOVIMIENTOS_COMPLEMENTOS!$F$4:$F$803,D2760,MOVIMIENTOS_COMPLEMENTOS!$G$4:$G$803,E2760,MOVIMIENTOS_COMPLEMENTOS!$H$4:$H$803,G2760,MOVIMIENTOS_COMPLEMENTOS!$B$4:$B$803,"SALIDA"),0)</f>
        <v>0</v>
      </c>
      <c r="I2760" s="102">
        <f t="array" ref="I2760">IFERROR(INDEX(PRECIOS_COMPLEMENTOS!$C$4:$F$17,MATCH(B2760&amp;"_"&amp;C2760,PRECIOS_COMPLEMENTOS!$H$4:$H$17,0),IF(OR(G2760="S",G2760="20cm"),1,IF(OR(G2760="M",G2760="25cm"),2,IF(OR(G2760="L",G2760="30cm"),3,IF(OR(G2760="XL",G2760="35cm"),4,0))))),0)</f>
        <v>0.6</v>
      </c>
      <c r="J2760" s="103">
        <f t="shared" si="1"/>
        <v>0</v>
      </c>
      <c r="K2760" s="104" t="str">
        <f>IF(H2760&lt;0,"ERROR",IF(H2760=0,"",IF(H2760&lt;CONFIG!$B$4,"CRÍTICO",IF(H2760&lt;CONFIG!$B$5,"BAJO","OK"))))</f>
        <v/>
      </c>
    </row>
    <row r="2761" ht="15.75" hidden="1" customHeight="1">
      <c r="A2761" s="90" t="str">
        <f>IF(CLIENTES!A9="","",CLIENTES!A9)</f>
        <v/>
      </c>
      <c r="B2761" s="90" t="s">
        <v>331</v>
      </c>
      <c r="C2761" s="91" t="s">
        <v>328</v>
      </c>
      <c r="D2761" s="109" t="s">
        <v>364</v>
      </c>
      <c r="E2761" s="67" t="str">
        <f>COLORES!A13</f>
        <v>Camote</v>
      </c>
      <c r="F2761" s="67" t="str">
        <f>COLORES!B13</f>
        <v>CLARO</v>
      </c>
      <c r="G2761" s="90" t="s">
        <v>376</v>
      </c>
      <c r="H2761" s="100">
        <f>IFERROR(SUMIFS(MOVIMIENTOS_COMPLEMENTOS!$I$4:$I$803,MOVIMIENTOS_COMPLEMENTOS!$C$4:$C$803,A2761,MOVIMIENTOS_COMPLEMENTOS!$D$4:$D$803,B2761,MOVIMIENTOS_COMPLEMENTOS!$E$4:$E$803,C2761,MOVIMIENTOS_COMPLEMENTOS!$F$4:$F$803,D2761,MOVIMIENTOS_COMPLEMENTOS!$G$4:$G$803,E2761,MOVIMIENTOS_COMPLEMENTOS!$H$4:$H$803,G2761,MOVIMIENTOS_COMPLEMENTOS!$B$4:$B$803,"INGRESO")+SUMIFS(MOVIMIENTOS_COMPLEMENTOS!$I$4:$I$803,MOVIMIENTOS_COMPLEMENTOS!$C$4:$C$803,A2761,MOVIMIENTOS_COMPLEMENTOS!$D$4:$D$803,B2761,MOVIMIENTOS_COMPLEMENTOS!$E$4:$E$803,C2761,MOVIMIENTOS_COMPLEMENTOS!$F$4:$F$803,D2761,MOVIMIENTOS_COMPLEMENTOS!$G$4:$G$803,E2761,MOVIMIENTOS_COMPLEMENTOS!$H$4:$H$803,G2761,MOVIMIENTOS_COMPLEMENTOS!$B$4:$B$803,"DE CORTE")-SUMIFS(MOVIMIENTOS_COMPLEMENTOS!$I$4:$I$803,MOVIMIENTOS_COMPLEMENTOS!$C$4:$C$803,A2761,MOVIMIENTOS_COMPLEMENTOS!$D$4:$D$803,B2761,MOVIMIENTOS_COMPLEMENTOS!$E$4:$E$803,C2761,MOVIMIENTOS_COMPLEMENTOS!$F$4:$F$803,D2761,MOVIMIENTOS_COMPLEMENTOS!$G$4:$G$803,E2761,MOVIMIENTOS_COMPLEMENTOS!$H$4:$H$803,G2761,MOVIMIENTOS_COMPLEMENTOS!$B$4:$B$803,"SALIDA"),0)</f>
        <v>0</v>
      </c>
      <c r="I2761" s="102">
        <f t="array" ref="I2761">IFERROR(INDEX(PRECIOS_COMPLEMENTOS!$C$4:$F$17,MATCH(B2761&amp;"_"&amp;C2761,PRECIOS_COMPLEMENTOS!$H$4:$H$17,0),IF(OR(G2761="S",G2761="20cm"),1,IF(OR(G2761="M",G2761="25cm"),2,IF(OR(G2761="L",G2761="30cm"),3,IF(OR(G2761="XL",G2761="35cm"),4,0))))),0)</f>
        <v>0.6</v>
      </c>
      <c r="J2761" s="103">
        <f t="shared" si="1"/>
        <v>0</v>
      </c>
      <c r="K2761" s="104" t="str">
        <f>IF(H2761&lt;0,"ERROR",IF(H2761=0,"",IF(H2761&lt;CONFIG!$B$4,"CRÍTICO",IF(H2761&lt;CONFIG!$B$5,"BAJO","OK"))))</f>
        <v/>
      </c>
    </row>
    <row r="2762" ht="15.75" hidden="1" customHeight="1">
      <c r="A2762" s="90" t="str">
        <f>IF(CLIENTES!A9="","",CLIENTES!A9)</f>
        <v/>
      </c>
      <c r="B2762" s="90" t="s">
        <v>331</v>
      </c>
      <c r="C2762" s="91" t="s">
        <v>328</v>
      </c>
      <c r="D2762" s="109" t="s">
        <v>364</v>
      </c>
      <c r="E2762" s="67" t="str">
        <f>COLORES!A13</f>
        <v>Camote</v>
      </c>
      <c r="F2762" s="67" t="str">
        <f>COLORES!B13</f>
        <v>CLARO</v>
      </c>
      <c r="G2762" s="90" t="s">
        <v>377</v>
      </c>
      <c r="H2762" s="100">
        <f>IFERROR(SUMIFS(MOVIMIENTOS_COMPLEMENTOS!$I$4:$I$803,MOVIMIENTOS_COMPLEMENTOS!$C$4:$C$803,A2762,MOVIMIENTOS_COMPLEMENTOS!$D$4:$D$803,B2762,MOVIMIENTOS_COMPLEMENTOS!$E$4:$E$803,C2762,MOVIMIENTOS_COMPLEMENTOS!$F$4:$F$803,D2762,MOVIMIENTOS_COMPLEMENTOS!$G$4:$G$803,E2762,MOVIMIENTOS_COMPLEMENTOS!$H$4:$H$803,G2762,MOVIMIENTOS_COMPLEMENTOS!$B$4:$B$803,"INGRESO")+SUMIFS(MOVIMIENTOS_COMPLEMENTOS!$I$4:$I$803,MOVIMIENTOS_COMPLEMENTOS!$C$4:$C$803,A2762,MOVIMIENTOS_COMPLEMENTOS!$D$4:$D$803,B2762,MOVIMIENTOS_COMPLEMENTOS!$E$4:$E$803,C2762,MOVIMIENTOS_COMPLEMENTOS!$F$4:$F$803,D2762,MOVIMIENTOS_COMPLEMENTOS!$G$4:$G$803,E2762,MOVIMIENTOS_COMPLEMENTOS!$H$4:$H$803,G2762,MOVIMIENTOS_COMPLEMENTOS!$B$4:$B$803,"DE CORTE")-SUMIFS(MOVIMIENTOS_COMPLEMENTOS!$I$4:$I$803,MOVIMIENTOS_COMPLEMENTOS!$C$4:$C$803,A2762,MOVIMIENTOS_COMPLEMENTOS!$D$4:$D$803,B2762,MOVIMIENTOS_COMPLEMENTOS!$E$4:$E$803,C2762,MOVIMIENTOS_COMPLEMENTOS!$F$4:$F$803,D2762,MOVIMIENTOS_COMPLEMENTOS!$G$4:$G$803,E2762,MOVIMIENTOS_COMPLEMENTOS!$H$4:$H$803,G2762,MOVIMIENTOS_COMPLEMENTOS!$B$4:$B$803,"SALIDA"),0)</f>
        <v>0</v>
      </c>
      <c r="I2762" s="102">
        <f t="array" ref="I2762">IFERROR(INDEX(PRECIOS_COMPLEMENTOS!$C$4:$F$17,MATCH(B2762&amp;"_"&amp;C2762,PRECIOS_COMPLEMENTOS!$H$4:$H$17,0),IF(OR(G2762="S",G2762="20cm"),1,IF(OR(G2762="M",G2762="25cm"),2,IF(OR(G2762="L",G2762="30cm"),3,IF(OR(G2762="XL",G2762="35cm"),4,0))))),0)</f>
        <v>0.6</v>
      </c>
      <c r="J2762" s="103">
        <f t="shared" si="1"/>
        <v>0</v>
      </c>
      <c r="K2762" s="104" t="str">
        <f>IF(H2762&lt;0,"ERROR",IF(H2762=0,"",IF(H2762&lt;CONFIG!$B$4,"CRÍTICO",IF(H2762&lt;CONFIG!$B$5,"BAJO","OK"))))</f>
        <v/>
      </c>
    </row>
    <row r="2763" ht="15.75" hidden="1" customHeight="1">
      <c r="A2763" s="90" t="str">
        <f>IF(CLIENTES!A9="","",CLIENTES!A9)</f>
        <v/>
      </c>
      <c r="B2763" s="90" t="s">
        <v>331</v>
      </c>
      <c r="C2763" s="91" t="s">
        <v>328</v>
      </c>
      <c r="D2763" s="109" t="s">
        <v>364</v>
      </c>
      <c r="E2763" s="67" t="str">
        <f>COLORES!A13</f>
        <v>Camote</v>
      </c>
      <c r="F2763" s="67" t="str">
        <f>COLORES!B13</f>
        <v>CLARO</v>
      </c>
      <c r="G2763" s="90" t="s">
        <v>379</v>
      </c>
      <c r="H2763" s="100">
        <f>IFERROR(SUMIFS(MOVIMIENTOS_COMPLEMENTOS!$I$4:$I$803,MOVIMIENTOS_COMPLEMENTOS!$C$4:$C$803,A2763,MOVIMIENTOS_COMPLEMENTOS!$D$4:$D$803,B2763,MOVIMIENTOS_COMPLEMENTOS!$E$4:$E$803,C2763,MOVIMIENTOS_COMPLEMENTOS!$F$4:$F$803,D2763,MOVIMIENTOS_COMPLEMENTOS!$G$4:$G$803,E2763,MOVIMIENTOS_COMPLEMENTOS!$H$4:$H$803,G2763,MOVIMIENTOS_COMPLEMENTOS!$B$4:$B$803,"INGRESO")+SUMIFS(MOVIMIENTOS_COMPLEMENTOS!$I$4:$I$803,MOVIMIENTOS_COMPLEMENTOS!$C$4:$C$803,A2763,MOVIMIENTOS_COMPLEMENTOS!$D$4:$D$803,B2763,MOVIMIENTOS_COMPLEMENTOS!$E$4:$E$803,C2763,MOVIMIENTOS_COMPLEMENTOS!$F$4:$F$803,D2763,MOVIMIENTOS_COMPLEMENTOS!$G$4:$G$803,E2763,MOVIMIENTOS_COMPLEMENTOS!$H$4:$H$803,G2763,MOVIMIENTOS_COMPLEMENTOS!$B$4:$B$803,"DE CORTE")-SUMIFS(MOVIMIENTOS_COMPLEMENTOS!$I$4:$I$803,MOVIMIENTOS_COMPLEMENTOS!$C$4:$C$803,A2763,MOVIMIENTOS_COMPLEMENTOS!$D$4:$D$803,B2763,MOVIMIENTOS_COMPLEMENTOS!$E$4:$E$803,C2763,MOVIMIENTOS_COMPLEMENTOS!$F$4:$F$803,D2763,MOVIMIENTOS_COMPLEMENTOS!$G$4:$G$803,E2763,MOVIMIENTOS_COMPLEMENTOS!$H$4:$H$803,G2763,MOVIMIENTOS_COMPLEMENTOS!$B$4:$B$803,"SALIDA"),0)</f>
        <v>0</v>
      </c>
      <c r="I2763" s="102">
        <f t="array" ref="I2763">IFERROR(INDEX(PRECIOS_COMPLEMENTOS!$C$4:$F$17,MATCH(B2763&amp;"_"&amp;C2763,PRECIOS_COMPLEMENTOS!$H$4:$H$17,0),IF(OR(G2763="S",G2763="20cm"),1,IF(OR(G2763="M",G2763="25cm"),2,IF(OR(G2763="L",G2763="30cm"),3,IF(OR(G2763="XL",G2763="35cm"),4,0))))),0)</f>
        <v>0.6</v>
      </c>
      <c r="J2763" s="103">
        <f t="shared" si="1"/>
        <v>0</v>
      </c>
      <c r="K2763" s="104" t="str">
        <f>IF(H2763&lt;0,"ERROR",IF(H2763=0,"",IF(H2763&lt;CONFIG!$B$4,"CRÍTICO",IF(H2763&lt;CONFIG!$B$5,"BAJO","OK"))))</f>
        <v/>
      </c>
    </row>
    <row r="2764" ht="15.75" hidden="1" customHeight="1">
      <c r="A2764" s="90" t="str">
        <f>IF(CLIENTES!A9="","",CLIENTES!A9)</f>
        <v/>
      </c>
      <c r="B2764" s="90" t="s">
        <v>331</v>
      </c>
      <c r="C2764" s="91" t="s">
        <v>328</v>
      </c>
      <c r="D2764" s="109" t="s">
        <v>364</v>
      </c>
      <c r="E2764" s="67" t="str">
        <f>COLORES!A14</f>
        <v>Denim</v>
      </c>
      <c r="F2764" s="67" t="str">
        <f>COLORES!B14</f>
        <v>CLARO</v>
      </c>
      <c r="G2764" s="90" t="s">
        <v>378</v>
      </c>
      <c r="H2764" s="100">
        <f>IFERROR(SUMIFS(MOVIMIENTOS_COMPLEMENTOS!$I$4:$I$803,MOVIMIENTOS_COMPLEMENTOS!$C$4:$C$803,A2764,MOVIMIENTOS_COMPLEMENTOS!$D$4:$D$803,B2764,MOVIMIENTOS_COMPLEMENTOS!$E$4:$E$803,C2764,MOVIMIENTOS_COMPLEMENTOS!$F$4:$F$803,D2764,MOVIMIENTOS_COMPLEMENTOS!$G$4:$G$803,E2764,MOVIMIENTOS_COMPLEMENTOS!$H$4:$H$803,G2764,MOVIMIENTOS_COMPLEMENTOS!$B$4:$B$803,"INGRESO")+SUMIFS(MOVIMIENTOS_COMPLEMENTOS!$I$4:$I$803,MOVIMIENTOS_COMPLEMENTOS!$C$4:$C$803,A2764,MOVIMIENTOS_COMPLEMENTOS!$D$4:$D$803,B2764,MOVIMIENTOS_COMPLEMENTOS!$E$4:$E$803,C2764,MOVIMIENTOS_COMPLEMENTOS!$F$4:$F$803,D2764,MOVIMIENTOS_COMPLEMENTOS!$G$4:$G$803,E2764,MOVIMIENTOS_COMPLEMENTOS!$H$4:$H$803,G2764,MOVIMIENTOS_COMPLEMENTOS!$B$4:$B$803,"DE CORTE")-SUMIFS(MOVIMIENTOS_COMPLEMENTOS!$I$4:$I$803,MOVIMIENTOS_COMPLEMENTOS!$C$4:$C$803,A2764,MOVIMIENTOS_COMPLEMENTOS!$D$4:$D$803,B2764,MOVIMIENTOS_COMPLEMENTOS!$E$4:$E$803,C2764,MOVIMIENTOS_COMPLEMENTOS!$F$4:$F$803,D2764,MOVIMIENTOS_COMPLEMENTOS!$G$4:$G$803,E2764,MOVIMIENTOS_COMPLEMENTOS!$H$4:$H$803,G2764,MOVIMIENTOS_COMPLEMENTOS!$B$4:$B$803,"SALIDA"),0)</f>
        <v>0</v>
      </c>
      <c r="I2764" s="102">
        <f t="array" ref="I2764">IFERROR(INDEX(PRECIOS_COMPLEMENTOS!$C$4:$F$17,MATCH(B2764&amp;"_"&amp;C2764,PRECIOS_COMPLEMENTOS!$H$4:$H$17,0),IF(OR(G2764="S",G2764="20cm"),1,IF(OR(G2764="M",G2764="25cm"),2,IF(OR(G2764="L",G2764="30cm"),3,IF(OR(G2764="XL",G2764="35cm"),4,0))))),0)</f>
        <v>0.6</v>
      </c>
      <c r="J2764" s="103">
        <f t="shared" si="1"/>
        <v>0</v>
      </c>
      <c r="K2764" s="104" t="str">
        <f>IF(H2764&lt;0,"ERROR",IF(H2764=0,"",IF(H2764&lt;CONFIG!$B$4,"CRÍTICO",IF(H2764&lt;CONFIG!$B$5,"BAJO","OK"))))</f>
        <v/>
      </c>
    </row>
    <row r="2765" ht="15.75" hidden="1" customHeight="1">
      <c r="A2765" s="90" t="str">
        <f>IF(CLIENTES!A9="","",CLIENTES!A9)</f>
        <v/>
      </c>
      <c r="B2765" s="90" t="s">
        <v>331</v>
      </c>
      <c r="C2765" s="91" t="s">
        <v>328</v>
      </c>
      <c r="D2765" s="109" t="s">
        <v>364</v>
      </c>
      <c r="E2765" s="67" t="str">
        <f>COLORES!A14</f>
        <v>Denim</v>
      </c>
      <c r="F2765" s="67" t="str">
        <f>COLORES!B14</f>
        <v>CLARO</v>
      </c>
      <c r="G2765" s="90" t="s">
        <v>376</v>
      </c>
      <c r="H2765" s="100">
        <f>IFERROR(SUMIFS(MOVIMIENTOS_COMPLEMENTOS!$I$4:$I$803,MOVIMIENTOS_COMPLEMENTOS!$C$4:$C$803,A2765,MOVIMIENTOS_COMPLEMENTOS!$D$4:$D$803,B2765,MOVIMIENTOS_COMPLEMENTOS!$E$4:$E$803,C2765,MOVIMIENTOS_COMPLEMENTOS!$F$4:$F$803,D2765,MOVIMIENTOS_COMPLEMENTOS!$G$4:$G$803,E2765,MOVIMIENTOS_COMPLEMENTOS!$H$4:$H$803,G2765,MOVIMIENTOS_COMPLEMENTOS!$B$4:$B$803,"INGRESO")+SUMIFS(MOVIMIENTOS_COMPLEMENTOS!$I$4:$I$803,MOVIMIENTOS_COMPLEMENTOS!$C$4:$C$803,A2765,MOVIMIENTOS_COMPLEMENTOS!$D$4:$D$803,B2765,MOVIMIENTOS_COMPLEMENTOS!$E$4:$E$803,C2765,MOVIMIENTOS_COMPLEMENTOS!$F$4:$F$803,D2765,MOVIMIENTOS_COMPLEMENTOS!$G$4:$G$803,E2765,MOVIMIENTOS_COMPLEMENTOS!$H$4:$H$803,G2765,MOVIMIENTOS_COMPLEMENTOS!$B$4:$B$803,"DE CORTE")-SUMIFS(MOVIMIENTOS_COMPLEMENTOS!$I$4:$I$803,MOVIMIENTOS_COMPLEMENTOS!$C$4:$C$803,A2765,MOVIMIENTOS_COMPLEMENTOS!$D$4:$D$803,B2765,MOVIMIENTOS_COMPLEMENTOS!$E$4:$E$803,C2765,MOVIMIENTOS_COMPLEMENTOS!$F$4:$F$803,D2765,MOVIMIENTOS_COMPLEMENTOS!$G$4:$G$803,E2765,MOVIMIENTOS_COMPLEMENTOS!$H$4:$H$803,G2765,MOVIMIENTOS_COMPLEMENTOS!$B$4:$B$803,"SALIDA"),0)</f>
        <v>0</v>
      </c>
      <c r="I2765" s="102">
        <f t="array" ref="I2765">IFERROR(INDEX(PRECIOS_COMPLEMENTOS!$C$4:$F$17,MATCH(B2765&amp;"_"&amp;C2765,PRECIOS_COMPLEMENTOS!$H$4:$H$17,0),IF(OR(G2765="S",G2765="20cm"),1,IF(OR(G2765="M",G2765="25cm"),2,IF(OR(G2765="L",G2765="30cm"),3,IF(OR(G2765="XL",G2765="35cm"),4,0))))),0)</f>
        <v>0.6</v>
      </c>
      <c r="J2765" s="103">
        <f t="shared" si="1"/>
        <v>0</v>
      </c>
      <c r="K2765" s="104" t="str">
        <f>IF(H2765&lt;0,"ERROR",IF(H2765=0,"",IF(H2765&lt;CONFIG!$B$4,"CRÍTICO",IF(H2765&lt;CONFIG!$B$5,"BAJO","OK"))))</f>
        <v/>
      </c>
    </row>
    <row r="2766" ht="15.75" hidden="1" customHeight="1">
      <c r="A2766" s="90" t="str">
        <f>IF(CLIENTES!A9="","",CLIENTES!A9)</f>
        <v/>
      </c>
      <c r="B2766" s="90" t="s">
        <v>331</v>
      </c>
      <c r="C2766" s="91" t="s">
        <v>328</v>
      </c>
      <c r="D2766" s="109" t="s">
        <v>364</v>
      </c>
      <c r="E2766" s="67" t="str">
        <f>COLORES!A14</f>
        <v>Denim</v>
      </c>
      <c r="F2766" s="67" t="str">
        <f>COLORES!B14</f>
        <v>CLARO</v>
      </c>
      <c r="G2766" s="90" t="s">
        <v>377</v>
      </c>
      <c r="H2766" s="100">
        <f>IFERROR(SUMIFS(MOVIMIENTOS_COMPLEMENTOS!$I$4:$I$803,MOVIMIENTOS_COMPLEMENTOS!$C$4:$C$803,A2766,MOVIMIENTOS_COMPLEMENTOS!$D$4:$D$803,B2766,MOVIMIENTOS_COMPLEMENTOS!$E$4:$E$803,C2766,MOVIMIENTOS_COMPLEMENTOS!$F$4:$F$803,D2766,MOVIMIENTOS_COMPLEMENTOS!$G$4:$G$803,E2766,MOVIMIENTOS_COMPLEMENTOS!$H$4:$H$803,G2766,MOVIMIENTOS_COMPLEMENTOS!$B$4:$B$803,"INGRESO")+SUMIFS(MOVIMIENTOS_COMPLEMENTOS!$I$4:$I$803,MOVIMIENTOS_COMPLEMENTOS!$C$4:$C$803,A2766,MOVIMIENTOS_COMPLEMENTOS!$D$4:$D$803,B2766,MOVIMIENTOS_COMPLEMENTOS!$E$4:$E$803,C2766,MOVIMIENTOS_COMPLEMENTOS!$F$4:$F$803,D2766,MOVIMIENTOS_COMPLEMENTOS!$G$4:$G$803,E2766,MOVIMIENTOS_COMPLEMENTOS!$H$4:$H$803,G2766,MOVIMIENTOS_COMPLEMENTOS!$B$4:$B$803,"DE CORTE")-SUMIFS(MOVIMIENTOS_COMPLEMENTOS!$I$4:$I$803,MOVIMIENTOS_COMPLEMENTOS!$C$4:$C$803,A2766,MOVIMIENTOS_COMPLEMENTOS!$D$4:$D$803,B2766,MOVIMIENTOS_COMPLEMENTOS!$E$4:$E$803,C2766,MOVIMIENTOS_COMPLEMENTOS!$F$4:$F$803,D2766,MOVIMIENTOS_COMPLEMENTOS!$G$4:$G$803,E2766,MOVIMIENTOS_COMPLEMENTOS!$H$4:$H$803,G2766,MOVIMIENTOS_COMPLEMENTOS!$B$4:$B$803,"SALIDA"),0)</f>
        <v>0</v>
      </c>
      <c r="I2766" s="102">
        <f t="array" ref="I2766">IFERROR(INDEX(PRECIOS_COMPLEMENTOS!$C$4:$F$17,MATCH(B2766&amp;"_"&amp;C2766,PRECIOS_COMPLEMENTOS!$H$4:$H$17,0),IF(OR(G2766="S",G2766="20cm"),1,IF(OR(G2766="M",G2766="25cm"),2,IF(OR(G2766="L",G2766="30cm"),3,IF(OR(G2766="XL",G2766="35cm"),4,0))))),0)</f>
        <v>0.6</v>
      </c>
      <c r="J2766" s="103">
        <f t="shared" si="1"/>
        <v>0</v>
      </c>
      <c r="K2766" s="104" t="str">
        <f>IF(H2766&lt;0,"ERROR",IF(H2766=0,"",IF(H2766&lt;CONFIG!$B$4,"CRÍTICO",IF(H2766&lt;CONFIG!$B$5,"BAJO","OK"))))</f>
        <v/>
      </c>
    </row>
    <row r="2767" ht="15.75" hidden="1" customHeight="1">
      <c r="A2767" s="90" t="str">
        <f>IF(CLIENTES!A9="","",CLIENTES!A9)</f>
        <v/>
      </c>
      <c r="B2767" s="90" t="s">
        <v>331</v>
      </c>
      <c r="C2767" s="91" t="s">
        <v>328</v>
      </c>
      <c r="D2767" s="109" t="s">
        <v>364</v>
      </c>
      <c r="E2767" s="67" t="str">
        <f>COLORES!A14</f>
        <v>Denim</v>
      </c>
      <c r="F2767" s="67" t="str">
        <f>COLORES!B14</f>
        <v>CLARO</v>
      </c>
      <c r="G2767" s="90" t="s">
        <v>379</v>
      </c>
      <c r="H2767" s="100">
        <f>IFERROR(SUMIFS(MOVIMIENTOS_COMPLEMENTOS!$I$4:$I$803,MOVIMIENTOS_COMPLEMENTOS!$C$4:$C$803,A2767,MOVIMIENTOS_COMPLEMENTOS!$D$4:$D$803,B2767,MOVIMIENTOS_COMPLEMENTOS!$E$4:$E$803,C2767,MOVIMIENTOS_COMPLEMENTOS!$F$4:$F$803,D2767,MOVIMIENTOS_COMPLEMENTOS!$G$4:$G$803,E2767,MOVIMIENTOS_COMPLEMENTOS!$H$4:$H$803,G2767,MOVIMIENTOS_COMPLEMENTOS!$B$4:$B$803,"INGRESO")+SUMIFS(MOVIMIENTOS_COMPLEMENTOS!$I$4:$I$803,MOVIMIENTOS_COMPLEMENTOS!$C$4:$C$803,A2767,MOVIMIENTOS_COMPLEMENTOS!$D$4:$D$803,B2767,MOVIMIENTOS_COMPLEMENTOS!$E$4:$E$803,C2767,MOVIMIENTOS_COMPLEMENTOS!$F$4:$F$803,D2767,MOVIMIENTOS_COMPLEMENTOS!$G$4:$G$803,E2767,MOVIMIENTOS_COMPLEMENTOS!$H$4:$H$803,G2767,MOVIMIENTOS_COMPLEMENTOS!$B$4:$B$803,"DE CORTE")-SUMIFS(MOVIMIENTOS_COMPLEMENTOS!$I$4:$I$803,MOVIMIENTOS_COMPLEMENTOS!$C$4:$C$803,A2767,MOVIMIENTOS_COMPLEMENTOS!$D$4:$D$803,B2767,MOVIMIENTOS_COMPLEMENTOS!$E$4:$E$803,C2767,MOVIMIENTOS_COMPLEMENTOS!$F$4:$F$803,D2767,MOVIMIENTOS_COMPLEMENTOS!$G$4:$G$803,E2767,MOVIMIENTOS_COMPLEMENTOS!$H$4:$H$803,G2767,MOVIMIENTOS_COMPLEMENTOS!$B$4:$B$803,"SALIDA"),0)</f>
        <v>0</v>
      </c>
      <c r="I2767" s="102">
        <f t="array" ref="I2767">IFERROR(INDEX(PRECIOS_COMPLEMENTOS!$C$4:$F$17,MATCH(B2767&amp;"_"&amp;C2767,PRECIOS_COMPLEMENTOS!$H$4:$H$17,0),IF(OR(G2767="S",G2767="20cm"),1,IF(OR(G2767="M",G2767="25cm"),2,IF(OR(G2767="L",G2767="30cm"),3,IF(OR(G2767="XL",G2767="35cm"),4,0))))),0)</f>
        <v>0.6</v>
      </c>
      <c r="J2767" s="103">
        <f t="shared" si="1"/>
        <v>0</v>
      </c>
      <c r="K2767" s="104" t="str">
        <f>IF(H2767&lt;0,"ERROR",IF(H2767=0,"",IF(H2767&lt;CONFIG!$B$4,"CRÍTICO",IF(H2767&lt;CONFIG!$B$5,"BAJO","OK"))))</f>
        <v/>
      </c>
    </row>
    <row r="2768" ht="15.75" hidden="1" customHeight="1">
      <c r="A2768" s="90" t="str">
        <f>IF(CLIENTES!A9="","",CLIENTES!A9)</f>
        <v/>
      </c>
      <c r="B2768" s="90" t="s">
        <v>331</v>
      </c>
      <c r="C2768" s="91" t="s">
        <v>328</v>
      </c>
      <c r="D2768" s="109" t="s">
        <v>364</v>
      </c>
      <c r="E2768" s="67" t="str">
        <f>COLORES!A15</f>
        <v>Plomo</v>
      </c>
      <c r="F2768" s="67" t="str">
        <f>COLORES!B15</f>
        <v>OSCURO</v>
      </c>
      <c r="G2768" s="90" t="s">
        <v>378</v>
      </c>
      <c r="H2768" s="100">
        <f>IFERROR(SUMIFS(MOVIMIENTOS_COMPLEMENTOS!$I$4:$I$803,MOVIMIENTOS_COMPLEMENTOS!$C$4:$C$803,A2768,MOVIMIENTOS_COMPLEMENTOS!$D$4:$D$803,B2768,MOVIMIENTOS_COMPLEMENTOS!$E$4:$E$803,C2768,MOVIMIENTOS_COMPLEMENTOS!$F$4:$F$803,D2768,MOVIMIENTOS_COMPLEMENTOS!$G$4:$G$803,E2768,MOVIMIENTOS_COMPLEMENTOS!$H$4:$H$803,G2768,MOVIMIENTOS_COMPLEMENTOS!$B$4:$B$803,"INGRESO")+SUMIFS(MOVIMIENTOS_COMPLEMENTOS!$I$4:$I$803,MOVIMIENTOS_COMPLEMENTOS!$C$4:$C$803,A2768,MOVIMIENTOS_COMPLEMENTOS!$D$4:$D$803,B2768,MOVIMIENTOS_COMPLEMENTOS!$E$4:$E$803,C2768,MOVIMIENTOS_COMPLEMENTOS!$F$4:$F$803,D2768,MOVIMIENTOS_COMPLEMENTOS!$G$4:$G$803,E2768,MOVIMIENTOS_COMPLEMENTOS!$H$4:$H$803,G2768,MOVIMIENTOS_COMPLEMENTOS!$B$4:$B$803,"DE CORTE")-SUMIFS(MOVIMIENTOS_COMPLEMENTOS!$I$4:$I$803,MOVIMIENTOS_COMPLEMENTOS!$C$4:$C$803,A2768,MOVIMIENTOS_COMPLEMENTOS!$D$4:$D$803,B2768,MOVIMIENTOS_COMPLEMENTOS!$E$4:$E$803,C2768,MOVIMIENTOS_COMPLEMENTOS!$F$4:$F$803,D2768,MOVIMIENTOS_COMPLEMENTOS!$G$4:$G$803,E2768,MOVIMIENTOS_COMPLEMENTOS!$H$4:$H$803,G2768,MOVIMIENTOS_COMPLEMENTOS!$B$4:$B$803,"SALIDA"),0)</f>
        <v>0</v>
      </c>
      <c r="I2768" s="102">
        <f t="array" ref="I2768">IFERROR(INDEX(PRECIOS_COMPLEMENTOS!$C$4:$F$17,MATCH(B2768&amp;"_"&amp;C2768,PRECIOS_COMPLEMENTOS!$H$4:$H$17,0),IF(OR(G2768="S",G2768="20cm"),1,IF(OR(G2768="M",G2768="25cm"),2,IF(OR(G2768="L",G2768="30cm"),3,IF(OR(G2768="XL",G2768="35cm"),4,0))))),0)</f>
        <v>0.6</v>
      </c>
      <c r="J2768" s="103">
        <f t="shared" si="1"/>
        <v>0</v>
      </c>
      <c r="K2768" s="104" t="str">
        <f>IF(H2768&lt;0,"ERROR",IF(H2768=0,"",IF(H2768&lt;CONFIG!$B$4,"CRÍTICO",IF(H2768&lt;CONFIG!$B$5,"BAJO","OK"))))</f>
        <v/>
      </c>
    </row>
    <row r="2769" ht="15.75" hidden="1" customHeight="1">
      <c r="A2769" s="90" t="str">
        <f>IF(CLIENTES!A9="","",CLIENTES!A9)</f>
        <v/>
      </c>
      <c r="B2769" s="90" t="s">
        <v>331</v>
      </c>
      <c r="C2769" s="91" t="s">
        <v>328</v>
      </c>
      <c r="D2769" s="109" t="s">
        <v>364</v>
      </c>
      <c r="E2769" s="67" t="str">
        <f>COLORES!A15</f>
        <v>Plomo</v>
      </c>
      <c r="F2769" s="67" t="str">
        <f>COLORES!B15</f>
        <v>OSCURO</v>
      </c>
      <c r="G2769" s="90" t="s">
        <v>376</v>
      </c>
      <c r="H2769" s="100">
        <f>IFERROR(SUMIFS(MOVIMIENTOS_COMPLEMENTOS!$I$4:$I$803,MOVIMIENTOS_COMPLEMENTOS!$C$4:$C$803,A2769,MOVIMIENTOS_COMPLEMENTOS!$D$4:$D$803,B2769,MOVIMIENTOS_COMPLEMENTOS!$E$4:$E$803,C2769,MOVIMIENTOS_COMPLEMENTOS!$F$4:$F$803,D2769,MOVIMIENTOS_COMPLEMENTOS!$G$4:$G$803,E2769,MOVIMIENTOS_COMPLEMENTOS!$H$4:$H$803,G2769,MOVIMIENTOS_COMPLEMENTOS!$B$4:$B$803,"INGRESO")+SUMIFS(MOVIMIENTOS_COMPLEMENTOS!$I$4:$I$803,MOVIMIENTOS_COMPLEMENTOS!$C$4:$C$803,A2769,MOVIMIENTOS_COMPLEMENTOS!$D$4:$D$803,B2769,MOVIMIENTOS_COMPLEMENTOS!$E$4:$E$803,C2769,MOVIMIENTOS_COMPLEMENTOS!$F$4:$F$803,D2769,MOVIMIENTOS_COMPLEMENTOS!$G$4:$G$803,E2769,MOVIMIENTOS_COMPLEMENTOS!$H$4:$H$803,G2769,MOVIMIENTOS_COMPLEMENTOS!$B$4:$B$803,"DE CORTE")-SUMIFS(MOVIMIENTOS_COMPLEMENTOS!$I$4:$I$803,MOVIMIENTOS_COMPLEMENTOS!$C$4:$C$803,A2769,MOVIMIENTOS_COMPLEMENTOS!$D$4:$D$803,B2769,MOVIMIENTOS_COMPLEMENTOS!$E$4:$E$803,C2769,MOVIMIENTOS_COMPLEMENTOS!$F$4:$F$803,D2769,MOVIMIENTOS_COMPLEMENTOS!$G$4:$G$803,E2769,MOVIMIENTOS_COMPLEMENTOS!$H$4:$H$803,G2769,MOVIMIENTOS_COMPLEMENTOS!$B$4:$B$803,"SALIDA"),0)</f>
        <v>0</v>
      </c>
      <c r="I2769" s="102">
        <f t="array" ref="I2769">IFERROR(INDEX(PRECIOS_COMPLEMENTOS!$C$4:$F$17,MATCH(B2769&amp;"_"&amp;C2769,PRECIOS_COMPLEMENTOS!$H$4:$H$17,0),IF(OR(G2769="S",G2769="20cm"),1,IF(OR(G2769="M",G2769="25cm"),2,IF(OR(G2769="L",G2769="30cm"),3,IF(OR(G2769="XL",G2769="35cm"),4,0))))),0)</f>
        <v>0.6</v>
      </c>
      <c r="J2769" s="103">
        <f t="shared" si="1"/>
        <v>0</v>
      </c>
      <c r="K2769" s="104" t="str">
        <f>IF(H2769&lt;0,"ERROR",IF(H2769=0,"",IF(H2769&lt;CONFIG!$B$4,"CRÍTICO",IF(H2769&lt;CONFIG!$B$5,"BAJO","OK"))))</f>
        <v/>
      </c>
    </row>
    <row r="2770" ht="15.75" hidden="1" customHeight="1">
      <c r="A2770" s="90" t="str">
        <f>IF(CLIENTES!A9="","",CLIENTES!A9)</f>
        <v/>
      </c>
      <c r="B2770" s="90" t="s">
        <v>331</v>
      </c>
      <c r="C2770" s="91" t="s">
        <v>328</v>
      </c>
      <c r="D2770" s="109" t="s">
        <v>364</v>
      </c>
      <c r="E2770" s="67" t="str">
        <f>COLORES!A15</f>
        <v>Plomo</v>
      </c>
      <c r="F2770" s="67" t="str">
        <f>COLORES!B15</f>
        <v>OSCURO</v>
      </c>
      <c r="G2770" s="90" t="s">
        <v>377</v>
      </c>
      <c r="H2770" s="100">
        <f>IFERROR(SUMIFS(MOVIMIENTOS_COMPLEMENTOS!$I$4:$I$803,MOVIMIENTOS_COMPLEMENTOS!$C$4:$C$803,A2770,MOVIMIENTOS_COMPLEMENTOS!$D$4:$D$803,B2770,MOVIMIENTOS_COMPLEMENTOS!$E$4:$E$803,C2770,MOVIMIENTOS_COMPLEMENTOS!$F$4:$F$803,D2770,MOVIMIENTOS_COMPLEMENTOS!$G$4:$G$803,E2770,MOVIMIENTOS_COMPLEMENTOS!$H$4:$H$803,G2770,MOVIMIENTOS_COMPLEMENTOS!$B$4:$B$803,"INGRESO")+SUMIFS(MOVIMIENTOS_COMPLEMENTOS!$I$4:$I$803,MOVIMIENTOS_COMPLEMENTOS!$C$4:$C$803,A2770,MOVIMIENTOS_COMPLEMENTOS!$D$4:$D$803,B2770,MOVIMIENTOS_COMPLEMENTOS!$E$4:$E$803,C2770,MOVIMIENTOS_COMPLEMENTOS!$F$4:$F$803,D2770,MOVIMIENTOS_COMPLEMENTOS!$G$4:$G$803,E2770,MOVIMIENTOS_COMPLEMENTOS!$H$4:$H$803,G2770,MOVIMIENTOS_COMPLEMENTOS!$B$4:$B$803,"DE CORTE")-SUMIFS(MOVIMIENTOS_COMPLEMENTOS!$I$4:$I$803,MOVIMIENTOS_COMPLEMENTOS!$C$4:$C$803,A2770,MOVIMIENTOS_COMPLEMENTOS!$D$4:$D$803,B2770,MOVIMIENTOS_COMPLEMENTOS!$E$4:$E$803,C2770,MOVIMIENTOS_COMPLEMENTOS!$F$4:$F$803,D2770,MOVIMIENTOS_COMPLEMENTOS!$G$4:$G$803,E2770,MOVIMIENTOS_COMPLEMENTOS!$H$4:$H$803,G2770,MOVIMIENTOS_COMPLEMENTOS!$B$4:$B$803,"SALIDA"),0)</f>
        <v>0</v>
      </c>
      <c r="I2770" s="102">
        <f t="array" ref="I2770">IFERROR(INDEX(PRECIOS_COMPLEMENTOS!$C$4:$F$17,MATCH(B2770&amp;"_"&amp;C2770,PRECIOS_COMPLEMENTOS!$H$4:$H$17,0),IF(OR(G2770="S",G2770="20cm"),1,IF(OR(G2770="M",G2770="25cm"),2,IF(OR(G2770="L",G2770="30cm"),3,IF(OR(G2770="XL",G2770="35cm"),4,0))))),0)</f>
        <v>0.6</v>
      </c>
      <c r="J2770" s="103">
        <f t="shared" si="1"/>
        <v>0</v>
      </c>
      <c r="K2770" s="104" t="str">
        <f>IF(H2770&lt;0,"ERROR",IF(H2770=0,"",IF(H2770&lt;CONFIG!$B$4,"CRÍTICO",IF(H2770&lt;CONFIG!$B$5,"BAJO","OK"))))</f>
        <v/>
      </c>
    </row>
    <row r="2771" ht="15.75" hidden="1" customHeight="1">
      <c r="A2771" s="90" t="str">
        <f>IF(CLIENTES!A9="","",CLIENTES!A9)</f>
        <v/>
      </c>
      <c r="B2771" s="90" t="s">
        <v>331</v>
      </c>
      <c r="C2771" s="91" t="s">
        <v>328</v>
      </c>
      <c r="D2771" s="109" t="s">
        <v>364</v>
      </c>
      <c r="E2771" s="67" t="str">
        <f>COLORES!A15</f>
        <v>Plomo</v>
      </c>
      <c r="F2771" s="67" t="str">
        <f>COLORES!B15</f>
        <v>OSCURO</v>
      </c>
      <c r="G2771" s="90" t="s">
        <v>379</v>
      </c>
      <c r="H2771" s="100">
        <f>IFERROR(SUMIFS(MOVIMIENTOS_COMPLEMENTOS!$I$4:$I$803,MOVIMIENTOS_COMPLEMENTOS!$C$4:$C$803,A2771,MOVIMIENTOS_COMPLEMENTOS!$D$4:$D$803,B2771,MOVIMIENTOS_COMPLEMENTOS!$E$4:$E$803,C2771,MOVIMIENTOS_COMPLEMENTOS!$F$4:$F$803,D2771,MOVIMIENTOS_COMPLEMENTOS!$G$4:$G$803,E2771,MOVIMIENTOS_COMPLEMENTOS!$H$4:$H$803,G2771,MOVIMIENTOS_COMPLEMENTOS!$B$4:$B$803,"INGRESO")+SUMIFS(MOVIMIENTOS_COMPLEMENTOS!$I$4:$I$803,MOVIMIENTOS_COMPLEMENTOS!$C$4:$C$803,A2771,MOVIMIENTOS_COMPLEMENTOS!$D$4:$D$803,B2771,MOVIMIENTOS_COMPLEMENTOS!$E$4:$E$803,C2771,MOVIMIENTOS_COMPLEMENTOS!$F$4:$F$803,D2771,MOVIMIENTOS_COMPLEMENTOS!$G$4:$G$803,E2771,MOVIMIENTOS_COMPLEMENTOS!$H$4:$H$803,G2771,MOVIMIENTOS_COMPLEMENTOS!$B$4:$B$803,"DE CORTE")-SUMIFS(MOVIMIENTOS_COMPLEMENTOS!$I$4:$I$803,MOVIMIENTOS_COMPLEMENTOS!$C$4:$C$803,A2771,MOVIMIENTOS_COMPLEMENTOS!$D$4:$D$803,B2771,MOVIMIENTOS_COMPLEMENTOS!$E$4:$E$803,C2771,MOVIMIENTOS_COMPLEMENTOS!$F$4:$F$803,D2771,MOVIMIENTOS_COMPLEMENTOS!$G$4:$G$803,E2771,MOVIMIENTOS_COMPLEMENTOS!$H$4:$H$803,G2771,MOVIMIENTOS_COMPLEMENTOS!$B$4:$B$803,"SALIDA"),0)</f>
        <v>0</v>
      </c>
      <c r="I2771" s="102">
        <f t="array" ref="I2771">IFERROR(INDEX(PRECIOS_COMPLEMENTOS!$C$4:$F$17,MATCH(B2771&amp;"_"&amp;C2771,PRECIOS_COMPLEMENTOS!$H$4:$H$17,0),IF(OR(G2771="S",G2771="20cm"),1,IF(OR(G2771="M",G2771="25cm"),2,IF(OR(G2771="L",G2771="30cm"),3,IF(OR(G2771="XL",G2771="35cm"),4,0))))),0)</f>
        <v>0.6</v>
      </c>
      <c r="J2771" s="103">
        <f t="shared" si="1"/>
        <v>0</v>
      </c>
      <c r="K2771" s="104" t="str">
        <f>IF(H2771&lt;0,"ERROR",IF(H2771=0,"",IF(H2771&lt;CONFIG!$B$4,"CRÍTICO",IF(H2771&lt;CONFIG!$B$5,"BAJO","OK"))))</f>
        <v/>
      </c>
    </row>
    <row r="2772" ht="15.75" hidden="1" customHeight="1">
      <c r="A2772" s="90" t="str">
        <f>IF(CLIENTES!A9="","",CLIENTES!A9)</f>
        <v/>
      </c>
      <c r="B2772" s="90" t="s">
        <v>331</v>
      </c>
      <c r="C2772" s="91" t="s">
        <v>328</v>
      </c>
      <c r="D2772" s="109" t="s">
        <v>364</v>
      </c>
      <c r="E2772" s="67" t="str">
        <f>COLORES!A16</f>
        <v>Topo</v>
      </c>
      <c r="F2772" s="67" t="str">
        <f>COLORES!B16</f>
        <v>CLARO</v>
      </c>
      <c r="G2772" s="90" t="s">
        <v>378</v>
      </c>
      <c r="H2772" s="100">
        <f>IFERROR(SUMIFS(MOVIMIENTOS_COMPLEMENTOS!$I$4:$I$803,MOVIMIENTOS_COMPLEMENTOS!$C$4:$C$803,A2772,MOVIMIENTOS_COMPLEMENTOS!$D$4:$D$803,B2772,MOVIMIENTOS_COMPLEMENTOS!$E$4:$E$803,C2772,MOVIMIENTOS_COMPLEMENTOS!$F$4:$F$803,D2772,MOVIMIENTOS_COMPLEMENTOS!$G$4:$G$803,E2772,MOVIMIENTOS_COMPLEMENTOS!$H$4:$H$803,G2772,MOVIMIENTOS_COMPLEMENTOS!$B$4:$B$803,"INGRESO")+SUMIFS(MOVIMIENTOS_COMPLEMENTOS!$I$4:$I$803,MOVIMIENTOS_COMPLEMENTOS!$C$4:$C$803,A2772,MOVIMIENTOS_COMPLEMENTOS!$D$4:$D$803,B2772,MOVIMIENTOS_COMPLEMENTOS!$E$4:$E$803,C2772,MOVIMIENTOS_COMPLEMENTOS!$F$4:$F$803,D2772,MOVIMIENTOS_COMPLEMENTOS!$G$4:$G$803,E2772,MOVIMIENTOS_COMPLEMENTOS!$H$4:$H$803,G2772,MOVIMIENTOS_COMPLEMENTOS!$B$4:$B$803,"DE CORTE")-SUMIFS(MOVIMIENTOS_COMPLEMENTOS!$I$4:$I$803,MOVIMIENTOS_COMPLEMENTOS!$C$4:$C$803,A2772,MOVIMIENTOS_COMPLEMENTOS!$D$4:$D$803,B2772,MOVIMIENTOS_COMPLEMENTOS!$E$4:$E$803,C2772,MOVIMIENTOS_COMPLEMENTOS!$F$4:$F$803,D2772,MOVIMIENTOS_COMPLEMENTOS!$G$4:$G$803,E2772,MOVIMIENTOS_COMPLEMENTOS!$H$4:$H$803,G2772,MOVIMIENTOS_COMPLEMENTOS!$B$4:$B$803,"SALIDA"),0)</f>
        <v>0</v>
      </c>
      <c r="I2772" s="102">
        <f t="array" ref="I2772">IFERROR(INDEX(PRECIOS_COMPLEMENTOS!$C$4:$F$17,MATCH(B2772&amp;"_"&amp;C2772,PRECIOS_COMPLEMENTOS!$H$4:$H$17,0),IF(OR(G2772="S",G2772="20cm"),1,IF(OR(G2772="M",G2772="25cm"),2,IF(OR(G2772="L",G2772="30cm"),3,IF(OR(G2772="XL",G2772="35cm"),4,0))))),0)</f>
        <v>0.6</v>
      </c>
      <c r="J2772" s="103">
        <f t="shared" si="1"/>
        <v>0</v>
      </c>
      <c r="K2772" s="104" t="str">
        <f>IF(H2772&lt;0,"ERROR",IF(H2772=0,"",IF(H2772&lt;CONFIG!$B$4,"CRÍTICO",IF(H2772&lt;CONFIG!$B$5,"BAJO","OK"))))</f>
        <v/>
      </c>
    </row>
    <row r="2773" ht="15.75" hidden="1" customHeight="1">
      <c r="A2773" s="90" t="str">
        <f>IF(CLIENTES!A9="","",CLIENTES!A9)</f>
        <v/>
      </c>
      <c r="B2773" s="90" t="s">
        <v>331</v>
      </c>
      <c r="C2773" s="91" t="s">
        <v>328</v>
      </c>
      <c r="D2773" s="109" t="s">
        <v>364</v>
      </c>
      <c r="E2773" s="67" t="str">
        <f>COLORES!A16</f>
        <v>Topo</v>
      </c>
      <c r="F2773" s="67" t="str">
        <f>COLORES!B16</f>
        <v>CLARO</v>
      </c>
      <c r="G2773" s="90" t="s">
        <v>376</v>
      </c>
      <c r="H2773" s="100">
        <f>IFERROR(SUMIFS(MOVIMIENTOS_COMPLEMENTOS!$I$4:$I$803,MOVIMIENTOS_COMPLEMENTOS!$C$4:$C$803,A2773,MOVIMIENTOS_COMPLEMENTOS!$D$4:$D$803,B2773,MOVIMIENTOS_COMPLEMENTOS!$E$4:$E$803,C2773,MOVIMIENTOS_COMPLEMENTOS!$F$4:$F$803,D2773,MOVIMIENTOS_COMPLEMENTOS!$G$4:$G$803,E2773,MOVIMIENTOS_COMPLEMENTOS!$H$4:$H$803,G2773,MOVIMIENTOS_COMPLEMENTOS!$B$4:$B$803,"INGRESO")+SUMIFS(MOVIMIENTOS_COMPLEMENTOS!$I$4:$I$803,MOVIMIENTOS_COMPLEMENTOS!$C$4:$C$803,A2773,MOVIMIENTOS_COMPLEMENTOS!$D$4:$D$803,B2773,MOVIMIENTOS_COMPLEMENTOS!$E$4:$E$803,C2773,MOVIMIENTOS_COMPLEMENTOS!$F$4:$F$803,D2773,MOVIMIENTOS_COMPLEMENTOS!$G$4:$G$803,E2773,MOVIMIENTOS_COMPLEMENTOS!$H$4:$H$803,G2773,MOVIMIENTOS_COMPLEMENTOS!$B$4:$B$803,"DE CORTE")-SUMIFS(MOVIMIENTOS_COMPLEMENTOS!$I$4:$I$803,MOVIMIENTOS_COMPLEMENTOS!$C$4:$C$803,A2773,MOVIMIENTOS_COMPLEMENTOS!$D$4:$D$803,B2773,MOVIMIENTOS_COMPLEMENTOS!$E$4:$E$803,C2773,MOVIMIENTOS_COMPLEMENTOS!$F$4:$F$803,D2773,MOVIMIENTOS_COMPLEMENTOS!$G$4:$G$803,E2773,MOVIMIENTOS_COMPLEMENTOS!$H$4:$H$803,G2773,MOVIMIENTOS_COMPLEMENTOS!$B$4:$B$803,"SALIDA"),0)</f>
        <v>0</v>
      </c>
      <c r="I2773" s="102">
        <f t="array" ref="I2773">IFERROR(INDEX(PRECIOS_COMPLEMENTOS!$C$4:$F$17,MATCH(B2773&amp;"_"&amp;C2773,PRECIOS_COMPLEMENTOS!$H$4:$H$17,0),IF(OR(G2773="S",G2773="20cm"),1,IF(OR(G2773="M",G2773="25cm"),2,IF(OR(G2773="L",G2773="30cm"),3,IF(OR(G2773="XL",G2773="35cm"),4,0))))),0)</f>
        <v>0.6</v>
      </c>
      <c r="J2773" s="103">
        <f t="shared" si="1"/>
        <v>0</v>
      </c>
      <c r="K2773" s="104" t="str">
        <f>IF(H2773&lt;0,"ERROR",IF(H2773=0,"",IF(H2773&lt;CONFIG!$B$4,"CRÍTICO",IF(H2773&lt;CONFIG!$B$5,"BAJO","OK"))))</f>
        <v/>
      </c>
    </row>
    <row r="2774" ht="15.75" hidden="1" customHeight="1">
      <c r="A2774" s="90" t="str">
        <f>IF(CLIENTES!A9="","",CLIENTES!A9)</f>
        <v/>
      </c>
      <c r="B2774" s="90" t="s">
        <v>331</v>
      </c>
      <c r="C2774" s="91" t="s">
        <v>328</v>
      </c>
      <c r="D2774" s="109" t="s">
        <v>364</v>
      </c>
      <c r="E2774" s="67" t="str">
        <f>COLORES!A16</f>
        <v>Topo</v>
      </c>
      <c r="F2774" s="67" t="str">
        <f>COLORES!B16</f>
        <v>CLARO</v>
      </c>
      <c r="G2774" s="90" t="s">
        <v>377</v>
      </c>
      <c r="H2774" s="100">
        <f>IFERROR(SUMIFS(MOVIMIENTOS_COMPLEMENTOS!$I$4:$I$803,MOVIMIENTOS_COMPLEMENTOS!$C$4:$C$803,A2774,MOVIMIENTOS_COMPLEMENTOS!$D$4:$D$803,B2774,MOVIMIENTOS_COMPLEMENTOS!$E$4:$E$803,C2774,MOVIMIENTOS_COMPLEMENTOS!$F$4:$F$803,D2774,MOVIMIENTOS_COMPLEMENTOS!$G$4:$G$803,E2774,MOVIMIENTOS_COMPLEMENTOS!$H$4:$H$803,G2774,MOVIMIENTOS_COMPLEMENTOS!$B$4:$B$803,"INGRESO")+SUMIFS(MOVIMIENTOS_COMPLEMENTOS!$I$4:$I$803,MOVIMIENTOS_COMPLEMENTOS!$C$4:$C$803,A2774,MOVIMIENTOS_COMPLEMENTOS!$D$4:$D$803,B2774,MOVIMIENTOS_COMPLEMENTOS!$E$4:$E$803,C2774,MOVIMIENTOS_COMPLEMENTOS!$F$4:$F$803,D2774,MOVIMIENTOS_COMPLEMENTOS!$G$4:$G$803,E2774,MOVIMIENTOS_COMPLEMENTOS!$H$4:$H$803,G2774,MOVIMIENTOS_COMPLEMENTOS!$B$4:$B$803,"DE CORTE")-SUMIFS(MOVIMIENTOS_COMPLEMENTOS!$I$4:$I$803,MOVIMIENTOS_COMPLEMENTOS!$C$4:$C$803,A2774,MOVIMIENTOS_COMPLEMENTOS!$D$4:$D$803,B2774,MOVIMIENTOS_COMPLEMENTOS!$E$4:$E$803,C2774,MOVIMIENTOS_COMPLEMENTOS!$F$4:$F$803,D2774,MOVIMIENTOS_COMPLEMENTOS!$G$4:$G$803,E2774,MOVIMIENTOS_COMPLEMENTOS!$H$4:$H$803,G2774,MOVIMIENTOS_COMPLEMENTOS!$B$4:$B$803,"SALIDA"),0)</f>
        <v>0</v>
      </c>
      <c r="I2774" s="102">
        <f t="array" ref="I2774">IFERROR(INDEX(PRECIOS_COMPLEMENTOS!$C$4:$F$17,MATCH(B2774&amp;"_"&amp;C2774,PRECIOS_COMPLEMENTOS!$H$4:$H$17,0),IF(OR(G2774="S",G2774="20cm"),1,IF(OR(G2774="M",G2774="25cm"),2,IF(OR(G2774="L",G2774="30cm"),3,IF(OR(G2774="XL",G2774="35cm"),4,0))))),0)</f>
        <v>0.6</v>
      </c>
      <c r="J2774" s="103">
        <f t="shared" si="1"/>
        <v>0</v>
      </c>
      <c r="K2774" s="104" t="str">
        <f>IF(H2774&lt;0,"ERROR",IF(H2774=0,"",IF(H2774&lt;CONFIG!$B$4,"CRÍTICO",IF(H2774&lt;CONFIG!$B$5,"BAJO","OK"))))</f>
        <v/>
      </c>
    </row>
    <row r="2775" ht="15.75" hidden="1" customHeight="1">
      <c r="A2775" s="90" t="str">
        <f>IF(CLIENTES!A9="","",CLIENTES!A9)</f>
        <v/>
      </c>
      <c r="B2775" s="90" t="s">
        <v>331</v>
      </c>
      <c r="C2775" s="91" t="s">
        <v>328</v>
      </c>
      <c r="D2775" s="109" t="s">
        <v>364</v>
      </c>
      <c r="E2775" s="67" t="str">
        <f>COLORES!A16</f>
        <v>Topo</v>
      </c>
      <c r="F2775" s="67" t="str">
        <f>COLORES!B16</f>
        <v>CLARO</v>
      </c>
      <c r="G2775" s="90" t="s">
        <v>379</v>
      </c>
      <c r="H2775" s="100">
        <f>IFERROR(SUMIFS(MOVIMIENTOS_COMPLEMENTOS!$I$4:$I$803,MOVIMIENTOS_COMPLEMENTOS!$C$4:$C$803,A2775,MOVIMIENTOS_COMPLEMENTOS!$D$4:$D$803,B2775,MOVIMIENTOS_COMPLEMENTOS!$E$4:$E$803,C2775,MOVIMIENTOS_COMPLEMENTOS!$F$4:$F$803,D2775,MOVIMIENTOS_COMPLEMENTOS!$G$4:$G$803,E2775,MOVIMIENTOS_COMPLEMENTOS!$H$4:$H$803,G2775,MOVIMIENTOS_COMPLEMENTOS!$B$4:$B$803,"INGRESO")+SUMIFS(MOVIMIENTOS_COMPLEMENTOS!$I$4:$I$803,MOVIMIENTOS_COMPLEMENTOS!$C$4:$C$803,A2775,MOVIMIENTOS_COMPLEMENTOS!$D$4:$D$803,B2775,MOVIMIENTOS_COMPLEMENTOS!$E$4:$E$803,C2775,MOVIMIENTOS_COMPLEMENTOS!$F$4:$F$803,D2775,MOVIMIENTOS_COMPLEMENTOS!$G$4:$G$803,E2775,MOVIMIENTOS_COMPLEMENTOS!$H$4:$H$803,G2775,MOVIMIENTOS_COMPLEMENTOS!$B$4:$B$803,"DE CORTE")-SUMIFS(MOVIMIENTOS_COMPLEMENTOS!$I$4:$I$803,MOVIMIENTOS_COMPLEMENTOS!$C$4:$C$803,A2775,MOVIMIENTOS_COMPLEMENTOS!$D$4:$D$803,B2775,MOVIMIENTOS_COMPLEMENTOS!$E$4:$E$803,C2775,MOVIMIENTOS_COMPLEMENTOS!$F$4:$F$803,D2775,MOVIMIENTOS_COMPLEMENTOS!$G$4:$G$803,E2775,MOVIMIENTOS_COMPLEMENTOS!$H$4:$H$803,G2775,MOVIMIENTOS_COMPLEMENTOS!$B$4:$B$803,"SALIDA"),0)</f>
        <v>0</v>
      </c>
      <c r="I2775" s="102">
        <f t="array" ref="I2775">IFERROR(INDEX(PRECIOS_COMPLEMENTOS!$C$4:$F$17,MATCH(B2775&amp;"_"&amp;C2775,PRECIOS_COMPLEMENTOS!$H$4:$H$17,0),IF(OR(G2775="S",G2775="20cm"),1,IF(OR(G2775="M",G2775="25cm"),2,IF(OR(G2775="L",G2775="30cm"),3,IF(OR(G2775="XL",G2775="35cm"),4,0))))),0)</f>
        <v>0.6</v>
      </c>
      <c r="J2775" s="103">
        <f t="shared" si="1"/>
        <v>0</v>
      </c>
      <c r="K2775" s="104" t="str">
        <f>IF(H2775&lt;0,"ERROR",IF(H2775=0,"",IF(H2775&lt;CONFIG!$B$4,"CRÍTICO",IF(H2775&lt;CONFIG!$B$5,"BAJO","OK"))))</f>
        <v/>
      </c>
    </row>
    <row r="2776" ht="15.75" hidden="1" customHeight="1">
      <c r="A2776" s="90" t="str">
        <f>IF(CLIENTES!A9="","",CLIENTES!A9)</f>
        <v/>
      </c>
      <c r="B2776" s="90" t="s">
        <v>331</v>
      </c>
      <c r="C2776" s="91" t="s">
        <v>328</v>
      </c>
      <c r="D2776" s="109" t="s">
        <v>364</v>
      </c>
      <c r="E2776" s="67" t="str">
        <f>COLORES!A17</f>
        <v>Vino</v>
      </c>
      <c r="F2776" s="67" t="str">
        <f>COLORES!B17</f>
        <v>OSCURO</v>
      </c>
      <c r="G2776" s="90" t="s">
        <v>378</v>
      </c>
      <c r="H2776" s="100">
        <f>IFERROR(SUMIFS(MOVIMIENTOS_COMPLEMENTOS!$I$4:$I$803,MOVIMIENTOS_COMPLEMENTOS!$C$4:$C$803,A2776,MOVIMIENTOS_COMPLEMENTOS!$D$4:$D$803,B2776,MOVIMIENTOS_COMPLEMENTOS!$E$4:$E$803,C2776,MOVIMIENTOS_COMPLEMENTOS!$F$4:$F$803,D2776,MOVIMIENTOS_COMPLEMENTOS!$G$4:$G$803,E2776,MOVIMIENTOS_COMPLEMENTOS!$H$4:$H$803,G2776,MOVIMIENTOS_COMPLEMENTOS!$B$4:$B$803,"INGRESO")+SUMIFS(MOVIMIENTOS_COMPLEMENTOS!$I$4:$I$803,MOVIMIENTOS_COMPLEMENTOS!$C$4:$C$803,A2776,MOVIMIENTOS_COMPLEMENTOS!$D$4:$D$803,B2776,MOVIMIENTOS_COMPLEMENTOS!$E$4:$E$803,C2776,MOVIMIENTOS_COMPLEMENTOS!$F$4:$F$803,D2776,MOVIMIENTOS_COMPLEMENTOS!$G$4:$G$803,E2776,MOVIMIENTOS_COMPLEMENTOS!$H$4:$H$803,G2776,MOVIMIENTOS_COMPLEMENTOS!$B$4:$B$803,"DE CORTE")-SUMIFS(MOVIMIENTOS_COMPLEMENTOS!$I$4:$I$803,MOVIMIENTOS_COMPLEMENTOS!$C$4:$C$803,A2776,MOVIMIENTOS_COMPLEMENTOS!$D$4:$D$803,B2776,MOVIMIENTOS_COMPLEMENTOS!$E$4:$E$803,C2776,MOVIMIENTOS_COMPLEMENTOS!$F$4:$F$803,D2776,MOVIMIENTOS_COMPLEMENTOS!$G$4:$G$803,E2776,MOVIMIENTOS_COMPLEMENTOS!$H$4:$H$803,G2776,MOVIMIENTOS_COMPLEMENTOS!$B$4:$B$803,"SALIDA"),0)</f>
        <v>0</v>
      </c>
      <c r="I2776" s="102">
        <f t="array" ref="I2776">IFERROR(INDEX(PRECIOS_COMPLEMENTOS!$C$4:$F$17,MATCH(B2776&amp;"_"&amp;C2776,PRECIOS_COMPLEMENTOS!$H$4:$H$17,0),IF(OR(G2776="S",G2776="20cm"),1,IF(OR(G2776="M",G2776="25cm"),2,IF(OR(G2776="L",G2776="30cm"),3,IF(OR(G2776="XL",G2776="35cm"),4,0))))),0)</f>
        <v>0.6</v>
      </c>
      <c r="J2776" s="103">
        <f t="shared" si="1"/>
        <v>0</v>
      </c>
      <c r="K2776" s="104" t="str">
        <f>IF(H2776&lt;0,"ERROR",IF(H2776=0,"",IF(H2776&lt;CONFIG!$B$4,"CRÍTICO",IF(H2776&lt;CONFIG!$B$5,"BAJO","OK"))))</f>
        <v/>
      </c>
    </row>
    <row r="2777" ht="15.75" hidden="1" customHeight="1">
      <c r="A2777" s="90" t="str">
        <f>IF(CLIENTES!A9="","",CLIENTES!A9)</f>
        <v/>
      </c>
      <c r="B2777" s="90" t="s">
        <v>331</v>
      </c>
      <c r="C2777" s="91" t="s">
        <v>328</v>
      </c>
      <c r="D2777" s="109" t="s">
        <v>364</v>
      </c>
      <c r="E2777" s="67" t="str">
        <f>COLORES!A17</f>
        <v>Vino</v>
      </c>
      <c r="F2777" s="67" t="str">
        <f>COLORES!B17</f>
        <v>OSCURO</v>
      </c>
      <c r="G2777" s="90" t="s">
        <v>376</v>
      </c>
      <c r="H2777" s="100">
        <f>IFERROR(SUMIFS(MOVIMIENTOS_COMPLEMENTOS!$I$4:$I$803,MOVIMIENTOS_COMPLEMENTOS!$C$4:$C$803,A2777,MOVIMIENTOS_COMPLEMENTOS!$D$4:$D$803,B2777,MOVIMIENTOS_COMPLEMENTOS!$E$4:$E$803,C2777,MOVIMIENTOS_COMPLEMENTOS!$F$4:$F$803,D2777,MOVIMIENTOS_COMPLEMENTOS!$G$4:$G$803,E2777,MOVIMIENTOS_COMPLEMENTOS!$H$4:$H$803,G2777,MOVIMIENTOS_COMPLEMENTOS!$B$4:$B$803,"INGRESO")+SUMIFS(MOVIMIENTOS_COMPLEMENTOS!$I$4:$I$803,MOVIMIENTOS_COMPLEMENTOS!$C$4:$C$803,A2777,MOVIMIENTOS_COMPLEMENTOS!$D$4:$D$803,B2777,MOVIMIENTOS_COMPLEMENTOS!$E$4:$E$803,C2777,MOVIMIENTOS_COMPLEMENTOS!$F$4:$F$803,D2777,MOVIMIENTOS_COMPLEMENTOS!$G$4:$G$803,E2777,MOVIMIENTOS_COMPLEMENTOS!$H$4:$H$803,G2777,MOVIMIENTOS_COMPLEMENTOS!$B$4:$B$803,"DE CORTE")-SUMIFS(MOVIMIENTOS_COMPLEMENTOS!$I$4:$I$803,MOVIMIENTOS_COMPLEMENTOS!$C$4:$C$803,A2777,MOVIMIENTOS_COMPLEMENTOS!$D$4:$D$803,B2777,MOVIMIENTOS_COMPLEMENTOS!$E$4:$E$803,C2777,MOVIMIENTOS_COMPLEMENTOS!$F$4:$F$803,D2777,MOVIMIENTOS_COMPLEMENTOS!$G$4:$G$803,E2777,MOVIMIENTOS_COMPLEMENTOS!$H$4:$H$803,G2777,MOVIMIENTOS_COMPLEMENTOS!$B$4:$B$803,"SALIDA"),0)</f>
        <v>0</v>
      </c>
      <c r="I2777" s="102">
        <f t="array" ref="I2777">IFERROR(INDEX(PRECIOS_COMPLEMENTOS!$C$4:$F$17,MATCH(B2777&amp;"_"&amp;C2777,PRECIOS_COMPLEMENTOS!$H$4:$H$17,0),IF(OR(G2777="S",G2777="20cm"),1,IF(OR(G2777="M",G2777="25cm"),2,IF(OR(G2777="L",G2777="30cm"),3,IF(OR(G2777="XL",G2777="35cm"),4,0))))),0)</f>
        <v>0.6</v>
      </c>
      <c r="J2777" s="103">
        <f t="shared" si="1"/>
        <v>0</v>
      </c>
      <c r="K2777" s="104" t="str">
        <f>IF(H2777&lt;0,"ERROR",IF(H2777=0,"",IF(H2777&lt;CONFIG!$B$4,"CRÍTICO",IF(H2777&lt;CONFIG!$B$5,"BAJO","OK"))))</f>
        <v/>
      </c>
    </row>
    <row r="2778" ht="15.75" hidden="1" customHeight="1">
      <c r="A2778" s="90" t="str">
        <f>IF(CLIENTES!A9="","",CLIENTES!A9)</f>
        <v/>
      </c>
      <c r="B2778" s="90" t="s">
        <v>331</v>
      </c>
      <c r="C2778" s="91" t="s">
        <v>328</v>
      </c>
      <c r="D2778" s="109" t="s">
        <v>364</v>
      </c>
      <c r="E2778" s="67" t="str">
        <f>COLORES!A17</f>
        <v>Vino</v>
      </c>
      <c r="F2778" s="67" t="str">
        <f>COLORES!B17</f>
        <v>OSCURO</v>
      </c>
      <c r="G2778" s="90" t="s">
        <v>377</v>
      </c>
      <c r="H2778" s="100">
        <f>IFERROR(SUMIFS(MOVIMIENTOS_COMPLEMENTOS!$I$4:$I$803,MOVIMIENTOS_COMPLEMENTOS!$C$4:$C$803,A2778,MOVIMIENTOS_COMPLEMENTOS!$D$4:$D$803,B2778,MOVIMIENTOS_COMPLEMENTOS!$E$4:$E$803,C2778,MOVIMIENTOS_COMPLEMENTOS!$F$4:$F$803,D2778,MOVIMIENTOS_COMPLEMENTOS!$G$4:$G$803,E2778,MOVIMIENTOS_COMPLEMENTOS!$H$4:$H$803,G2778,MOVIMIENTOS_COMPLEMENTOS!$B$4:$B$803,"INGRESO")+SUMIFS(MOVIMIENTOS_COMPLEMENTOS!$I$4:$I$803,MOVIMIENTOS_COMPLEMENTOS!$C$4:$C$803,A2778,MOVIMIENTOS_COMPLEMENTOS!$D$4:$D$803,B2778,MOVIMIENTOS_COMPLEMENTOS!$E$4:$E$803,C2778,MOVIMIENTOS_COMPLEMENTOS!$F$4:$F$803,D2778,MOVIMIENTOS_COMPLEMENTOS!$G$4:$G$803,E2778,MOVIMIENTOS_COMPLEMENTOS!$H$4:$H$803,G2778,MOVIMIENTOS_COMPLEMENTOS!$B$4:$B$803,"DE CORTE")-SUMIFS(MOVIMIENTOS_COMPLEMENTOS!$I$4:$I$803,MOVIMIENTOS_COMPLEMENTOS!$C$4:$C$803,A2778,MOVIMIENTOS_COMPLEMENTOS!$D$4:$D$803,B2778,MOVIMIENTOS_COMPLEMENTOS!$E$4:$E$803,C2778,MOVIMIENTOS_COMPLEMENTOS!$F$4:$F$803,D2778,MOVIMIENTOS_COMPLEMENTOS!$G$4:$G$803,E2778,MOVIMIENTOS_COMPLEMENTOS!$H$4:$H$803,G2778,MOVIMIENTOS_COMPLEMENTOS!$B$4:$B$803,"SALIDA"),0)</f>
        <v>0</v>
      </c>
      <c r="I2778" s="102">
        <f t="array" ref="I2778">IFERROR(INDEX(PRECIOS_COMPLEMENTOS!$C$4:$F$17,MATCH(B2778&amp;"_"&amp;C2778,PRECIOS_COMPLEMENTOS!$H$4:$H$17,0),IF(OR(G2778="S",G2778="20cm"),1,IF(OR(G2778="M",G2778="25cm"),2,IF(OR(G2778="L",G2778="30cm"),3,IF(OR(G2778="XL",G2778="35cm"),4,0))))),0)</f>
        <v>0.6</v>
      </c>
      <c r="J2778" s="103">
        <f t="shared" si="1"/>
        <v>0</v>
      </c>
      <c r="K2778" s="104" t="str">
        <f>IF(H2778&lt;0,"ERROR",IF(H2778=0,"",IF(H2778&lt;CONFIG!$B$4,"CRÍTICO",IF(H2778&lt;CONFIG!$B$5,"BAJO","OK"))))</f>
        <v/>
      </c>
    </row>
    <row r="2779" ht="15.75" hidden="1" customHeight="1">
      <c r="A2779" s="90" t="str">
        <f>IF(CLIENTES!A9="","",CLIENTES!A9)</f>
        <v/>
      </c>
      <c r="B2779" s="90" t="s">
        <v>331</v>
      </c>
      <c r="C2779" s="91" t="s">
        <v>328</v>
      </c>
      <c r="D2779" s="109" t="s">
        <v>364</v>
      </c>
      <c r="E2779" s="67" t="str">
        <f>COLORES!A17</f>
        <v>Vino</v>
      </c>
      <c r="F2779" s="67" t="str">
        <f>COLORES!B17</f>
        <v>OSCURO</v>
      </c>
      <c r="G2779" s="90" t="s">
        <v>379</v>
      </c>
      <c r="H2779" s="100">
        <f>IFERROR(SUMIFS(MOVIMIENTOS_COMPLEMENTOS!$I$4:$I$803,MOVIMIENTOS_COMPLEMENTOS!$C$4:$C$803,A2779,MOVIMIENTOS_COMPLEMENTOS!$D$4:$D$803,B2779,MOVIMIENTOS_COMPLEMENTOS!$E$4:$E$803,C2779,MOVIMIENTOS_COMPLEMENTOS!$F$4:$F$803,D2779,MOVIMIENTOS_COMPLEMENTOS!$G$4:$G$803,E2779,MOVIMIENTOS_COMPLEMENTOS!$H$4:$H$803,G2779,MOVIMIENTOS_COMPLEMENTOS!$B$4:$B$803,"INGRESO")+SUMIFS(MOVIMIENTOS_COMPLEMENTOS!$I$4:$I$803,MOVIMIENTOS_COMPLEMENTOS!$C$4:$C$803,A2779,MOVIMIENTOS_COMPLEMENTOS!$D$4:$D$803,B2779,MOVIMIENTOS_COMPLEMENTOS!$E$4:$E$803,C2779,MOVIMIENTOS_COMPLEMENTOS!$F$4:$F$803,D2779,MOVIMIENTOS_COMPLEMENTOS!$G$4:$G$803,E2779,MOVIMIENTOS_COMPLEMENTOS!$H$4:$H$803,G2779,MOVIMIENTOS_COMPLEMENTOS!$B$4:$B$803,"DE CORTE")-SUMIFS(MOVIMIENTOS_COMPLEMENTOS!$I$4:$I$803,MOVIMIENTOS_COMPLEMENTOS!$C$4:$C$803,A2779,MOVIMIENTOS_COMPLEMENTOS!$D$4:$D$803,B2779,MOVIMIENTOS_COMPLEMENTOS!$E$4:$E$803,C2779,MOVIMIENTOS_COMPLEMENTOS!$F$4:$F$803,D2779,MOVIMIENTOS_COMPLEMENTOS!$G$4:$G$803,E2779,MOVIMIENTOS_COMPLEMENTOS!$H$4:$H$803,G2779,MOVIMIENTOS_COMPLEMENTOS!$B$4:$B$803,"SALIDA"),0)</f>
        <v>0</v>
      </c>
      <c r="I2779" s="102">
        <f t="array" ref="I2779">IFERROR(INDEX(PRECIOS_COMPLEMENTOS!$C$4:$F$17,MATCH(B2779&amp;"_"&amp;C2779,PRECIOS_COMPLEMENTOS!$H$4:$H$17,0),IF(OR(G2779="S",G2779="20cm"),1,IF(OR(G2779="M",G2779="25cm"),2,IF(OR(G2779="L",G2779="30cm"),3,IF(OR(G2779="XL",G2779="35cm"),4,0))))),0)</f>
        <v>0.6</v>
      </c>
      <c r="J2779" s="103">
        <f t="shared" si="1"/>
        <v>0</v>
      </c>
      <c r="K2779" s="104" t="str">
        <f>IF(H2779&lt;0,"ERROR",IF(H2779=0,"",IF(H2779&lt;CONFIG!$B$4,"CRÍTICO",IF(H2779&lt;CONFIG!$B$5,"BAJO","OK"))))</f>
        <v/>
      </c>
    </row>
    <row r="2780" ht="15.75" hidden="1" customHeight="1">
      <c r="A2780" s="90" t="str">
        <f>IF(CLIENTES!A9="","",CLIENTES!A9)</f>
        <v/>
      </c>
      <c r="B2780" s="90" t="s">
        <v>331</v>
      </c>
      <c r="C2780" s="91" t="s">
        <v>328</v>
      </c>
      <c r="D2780" s="109" t="s">
        <v>364</v>
      </c>
      <c r="E2780" s="67" t="str">
        <f>COLORES!A18</f>
        <v>P. Rosa</v>
      </c>
      <c r="F2780" s="67" t="str">
        <f>COLORES!B18</f>
        <v>CLARO</v>
      </c>
      <c r="G2780" s="90" t="s">
        <v>378</v>
      </c>
      <c r="H2780" s="100">
        <f>IFERROR(SUMIFS(MOVIMIENTOS_COMPLEMENTOS!$I$4:$I$803,MOVIMIENTOS_COMPLEMENTOS!$C$4:$C$803,A2780,MOVIMIENTOS_COMPLEMENTOS!$D$4:$D$803,B2780,MOVIMIENTOS_COMPLEMENTOS!$E$4:$E$803,C2780,MOVIMIENTOS_COMPLEMENTOS!$F$4:$F$803,D2780,MOVIMIENTOS_COMPLEMENTOS!$G$4:$G$803,E2780,MOVIMIENTOS_COMPLEMENTOS!$H$4:$H$803,G2780,MOVIMIENTOS_COMPLEMENTOS!$B$4:$B$803,"INGRESO")+SUMIFS(MOVIMIENTOS_COMPLEMENTOS!$I$4:$I$803,MOVIMIENTOS_COMPLEMENTOS!$C$4:$C$803,A2780,MOVIMIENTOS_COMPLEMENTOS!$D$4:$D$803,B2780,MOVIMIENTOS_COMPLEMENTOS!$E$4:$E$803,C2780,MOVIMIENTOS_COMPLEMENTOS!$F$4:$F$803,D2780,MOVIMIENTOS_COMPLEMENTOS!$G$4:$G$803,E2780,MOVIMIENTOS_COMPLEMENTOS!$H$4:$H$803,G2780,MOVIMIENTOS_COMPLEMENTOS!$B$4:$B$803,"DE CORTE")-SUMIFS(MOVIMIENTOS_COMPLEMENTOS!$I$4:$I$803,MOVIMIENTOS_COMPLEMENTOS!$C$4:$C$803,A2780,MOVIMIENTOS_COMPLEMENTOS!$D$4:$D$803,B2780,MOVIMIENTOS_COMPLEMENTOS!$E$4:$E$803,C2780,MOVIMIENTOS_COMPLEMENTOS!$F$4:$F$803,D2780,MOVIMIENTOS_COMPLEMENTOS!$G$4:$G$803,E2780,MOVIMIENTOS_COMPLEMENTOS!$H$4:$H$803,G2780,MOVIMIENTOS_COMPLEMENTOS!$B$4:$B$803,"SALIDA"),0)</f>
        <v>0</v>
      </c>
      <c r="I2780" s="102">
        <f t="array" ref="I2780">IFERROR(INDEX(PRECIOS_COMPLEMENTOS!$C$4:$F$17,MATCH(B2780&amp;"_"&amp;C2780,PRECIOS_COMPLEMENTOS!$H$4:$H$17,0),IF(OR(G2780="S",G2780="20cm"),1,IF(OR(G2780="M",G2780="25cm"),2,IF(OR(G2780="L",G2780="30cm"),3,IF(OR(G2780="XL",G2780="35cm"),4,0))))),0)</f>
        <v>0.6</v>
      </c>
      <c r="J2780" s="103">
        <f t="shared" si="1"/>
        <v>0</v>
      </c>
      <c r="K2780" s="104" t="str">
        <f>IF(H2780&lt;0,"ERROR",IF(H2780=0,"",IF(H2780&lt;CONFIG!$B$4,"CRÍTICO",IF(H2780&lt;CONFIG!$B$5,"BAJO","OK"))))</f>
        <v/>
      </c>
    </row>
    <row r="2781" ht="15.75" hidden="1" customHeight="1">
      <c r="A2781" s="90" t="str">
        <f>IF(CLIENTES!A9="","",CLIENTES!A9)</f>
        <v/>
      </c>
      <c r="B2781" s="90" t="s">
        <v>331</v>
      </c>
      <c r="C2781" s="91" t="s">
        <v>328</v>
      </c>
      <c r="D2781" s="109" t="s">
        <v>364</v>
      </c>
      <c r="E2781" s="67" t="str">
        <f>COLORES!A18</f>
        <v>P. Rosa</v>
      </c>
      <c r="F2781" s="67" t="str">
        <f>COLORES!B18</f>
        <v>CLARO</v>
      </c>
      <c r="G2781" s="90" t="s">
        <v>376</v>
      </c>
      <c r="H2781" s="100">
        <f>IFERROR(SUMIFS(MOVIMIENTOS_COMPLEMENTOS!$I$4:$I$803,MOVIMIENTOS_COMPLEMENTOS!$C$4:$C$803,A2781,MOVIMIENTOS_COMPLEMENTOS!$D$4:$D$803,B2781,MOVIMIENTOS_COMPLEMENTOS!$E$4:$E$803,C2781,MOVIMIENTOS_COMPLEMENTOS!$F$4:$F$803,D2781,MOVIMIENTOS_COMPLEMENTOS!$G$4:$G$803,E2781,MOVIMIENTOS_COMPLEMENTOS!$H$4:$H$803,G2781,MOVIMIENTOS_COMPLEMENTOS!$B$4:$B$803,"INGRESO")+SUMIFS(MOVIMIENTOS_COMPLEMENTOS!$I$4:$I$803,MOVIMIENTOS_COMPLEMENTOS!$C$4:$C$803,A2781,MOVIMIENTOS_COMPLEMENTOS!$D$4:$D$803,B2781,MOVIMIENTOS_COMPLEMENTOS!$E$4:$E$803,C2781,MOVIMIENTOS_COMPLEMENTOS!$F$4:$F$803,D2781,MOVIMIENTOS_COMPLEMENTOS!$G$4:$G$803,E2781,MOVIMIENTOS_COMPLEMENTOS!$H$4:$H$803,G2781,MOVIMIENTOS_COMPLEMENTOS!$B$4:$B$803,"DE CORTE")-SUMIFS(MOVIMIENTOS_COMPLEMENTOS!$I$4:$I$803,MOVIMIENTOS_COMPLEMENTOS!$C$4:$C$803,A2781,MOVIMIENTOS_COMPLEMENTOS!$D$4:$D$803,B2781,MOVIMIENTOS_COMPLEMENTOS!$E$4:$E$803,C2781,MOVIMIENTOS_COMPLEMENTOS!$F$4:$F$803,D2781,MOVIMIENTOS_COMPLEMENTOS!$G$4:$G$803,E2781,MOVIMIENTOS_COMPLEMENTOS!$H$4:$H$803,G2781,MOVIMIENTOS_COMPLEMENTOS!$B$4:$B$803,"SALIDA"),0)</f>
        <v>0</v>
      </c>
      <c r="I2781" s="102">
        <f t="array" ref="I2781">IFERROR(INDEX(PRECIOS_COMPLEMENTOS!$C$4:$F$17,MATCH(B2781&amp;"_"&amp;C2781,PRECIOS_COMPLEMENTOS!$H$4:$H$17,0),IF(OR(G2781="S",G2781="20cm"),1,IF(OR(G2781="M",G2781="25cm"),2,IF(OR(G2781="L",G2781="30cm"),3,IF(OR(G2781="XL",G2781="35cm"),4,0))))),0)</f>
        <v>0.6</v>
      </c>
      <c r="J2781" s="103">
        <f t="shared" si="1"/>
        <v>0</v>
      </c>
      <c r="K2781" s="104" t="str">
        <f>IF(H2781&lt;0,"ERROR",IF(H2781=0,"",IF(H2781&lt;CONFIG!$B$4,"CRÍTICO",IF(H2781&lt;CONFIG!$B$5,"BAJO","OK"))))</f>
        <v/>
      </c>
    </row>
    <row r="2782" ht="15.75" hidden="1" customHeight="1">
      <c r="A2782" s="90" t="str">
        <f>IF(CLIENTES!A9="","",CLIENTES!A9)</f>
        <v/>
      </c>
      <c r="B2782" s="90" t="s">
        <v>331</v>
      </c>
      <c r="C2782" s="91" t="s">
        <v>328</v>
      </c>
      <c r="D2782" s="109" t="s">
        <v>364</v>
      </c>
      <c r="E2782" s="67" t="str">
        <f>COLORES!A18</f>
        <v>P. Rosa</v>
      </c>
      <c r="F2782" s="67" t="str">
        <f>COLORES!B18</f>
        <v>CLARO</v>
      </c>
      <c r="G2782" s="90" t="s">
        <v>377</v>
      </c>
      <c r="H2782" s="100">
        <f>IFERROR(SUMIFS(MOVIMIENTOS_COMPLEMENTOS!$I$4:$I$803,MOVIMIENTOS_COMPLEMENTOS!$C$4:$C$803,A2782,MOVIMIENTOS_COMPLEMENTOS!$D$4:$D$803,B2782,MOVIMIENTOS_COMPLEMENTOS!$E$4:$E$803,C2782,MOVIMIENTOS_COMPLEMENTOS!$F$4:$F$803,D2782,MOVIMIENTOS_COMPLEMENTOS!$G$4:$G$803,E2782,MOVIMIENTOS_COMPLEMENTOS!$H$4:$H$803,G2782,MOVIMIENTOS_COMPLEMENTOS!$B$4:$B$803,"INGRESO")+SUMIFS(MOVIMIENTOS_COMPLEMENTOS!$I$4:$I$803,MOVIMIENTOS_COMPLEMENTOS!$C$4:$C$803,A2782,MOVIMIENTOS_COMPLEMENTOS!$D$4:$D$803,B2782,MOVIMIENTOS_COMPLEMENTOS!$E$4:$E$803,C2782,MOVIMIENTOS_COMPLEMENTOS!$F$4:$F$803,D2782,MOVIMIENTOS_COMPLEMENTOS!$G$4:$G$803,E2782,MOVIMIENTOS_COMPLEMENTOS!$H$4:$H$803,G2782,MOVIMIENTOS_COMPLEMENTOS!$B$4:$B$803,"DE CORTE")-SUMIFS(MOVIMIENTOS_COMPLEMENTOS!$I$4:$I$803,MOVIMIENTOS_COMPLEMENTOS!$C$4:$C$803,A2782,MOVIMIENTOS_COMPLEMENTOS!$D$4:$D$803,B2782,MOVIMIENTOS_COMPLEMENTOS!$E$4:$E$803,C2782,MOVIMIENTOS_COMPLEMENTOS!$F$4:$F$803,D2782,MOVIMIENTOS_COMPLEMENTOS!$G$4:$G$803,E2782,MOVIMIENTOS_COMPLEMENTOS!$H$4:$H$803,G2782,MOVIMIENTOS_COMPLEMENTOS!$B$4:$B$803,"SALIDA"),0)</f>
        <v>0</v>
      </c>
      <c r="I2782" s="102">
        <f t="array" ref="I2782">IFERROR(INDEX(PRECIOS_COMPLEMENTOS!$C$4:$F$17,MATCH(B2782&amp;"_"&amp;C2782,PRECIOS_COMPLEMENTOS!$H$4:$H$17,0),IF(OR(G2782="S",G2782="20cm"),1,IF(OR(G2782="M",G2782="25cm"),2,IF(OR(G2782="L",G2782="30cm"),3,IF(OR(G2782="XL",G2782="35cm"),4,0))))),0)</f>
        <v>0.6</v>
      </c>
      <c r="J2782" s="103">
        <f t="shared" si="1"/>
        <v>0</v>
      </c>
      <c r="K2782" s="104" t="str">
        <f>IF(H2782&lt;0,"ERROR",IF(H2782=0,"",IF(H2782&lt;CONFIG!$B$4,"CRÍTICO",IF(H2782&lt;CONFIG!$B$5,"BAJO","OK"))))</f>
        <v/>
      </c>
    </row>
    <row r="2783" ht="15.75" hidden="1" customHeight="1">
      <c r="A2783" s="90" t="str">
        <f>IF(CLIENTES!A9="","",CLIENTES!A9)</f>
        <v/>
      </c>
      <c r="B2783" s="90" t="s">
        <v>331</v>
      </c>
      <c r="C2783" s="91" t="s">
        <v>328</v>
      </c>
      <c r="D2783" s="109" t="s">
        <v>364</v>
      </c>
      <c r="E2783" s="67" t="str">
        <f>COLORES!A18</f>
        <v>P. Rosa</v>
      </c>
      <c r="F2783" s="67" t="str">
        <f>COLORES!B18</f>
        <v>CLARO</v>
      </c>
      <c r="G2783" s="90" t="s">
        <v>379</v>
      </c>
      <c r="H2783" s="100">
        <f>IFERROR(SUMIFS(MOVIMIENTOS_COMPLEMENTOS!$I$4:$I$803,MOVIMIENTOS_COMPLEMENTOS!$C$4:$C$803,A2783,MOVIMIENTOS_COMPLEMENTOS!$D$4:$D$803,B2783,MOVIMIENTOS_COMPLEMENTOS!$E$4:$E$803,C2783,MOVIMIENTOS_COMPLEMENTOS!$F$4:$F$803,D2783,MOVIMIENTOS_COMPLEMENTOS!$G$4:$G$803,E2783,MOVIMIENTOS_COMPLEMENTOS!$H$4:$H$803,G2783,MOVIMIENTOS_COMPLEMENTOS!$B$4:$B$803,"INGRESO")+SUMIFS(MOVIMIENTOS_COMPLEMENTOS!$I$4:$I$803,MOVIMIENTOS_COMPLEMENTOS!$C$4:$C$803,A2783,MOVIMIENTOS_COMPLEMENTOS!$D$4:$D$803,B2783,MOVIMIENTOS_COMPLEMENTOS!$E$4:$E$803,C2783,MOVIMIENTOS_COMPLEMENTOS!$F$4:$F$803,D2783,MOVIMIENTOS_COMPLEMENTOS!$G$4:$G$803,E2783,MOVIMIENTOS_COMPLEMENTOS!$H$4:$H$803,G2783,MOVIMIENTOS_COMPLEMENTOS!$B$4:$B$803,"DE CORTE")-SUMIFS(MOVIMIENTOS_COMPLEMENTOS!$I$4:$I$803,MOVIMIENTOS_COMPLEMENTOS!$C$4:$C$803,A2783,MOVIMIENTOS_COMPLEMENTOS!$D$4:$D$803,B2783,MOVIMIENTOS_COMPLEMENTOS!$E$4:$E$803,C2783,MOVIMIENTOS_COMPLEMENTOS!$F$4:$F$803,D2783,MOVIMIENTOS_COMPLEMENTOS!$G$4:$G$803,E2783,MOVIMIENTOS_COMPLEMENTOS!$H$4:$H$803,G2783,MOVIMIENTOS_COMPLEMENTOS!$B$4:$B$803,"SALIDA"),0)</f>
        <v>0</v>
      </c>
      <c r="I2783" s="102">
        <f t="array" ref="I2783">IFERROR(INDEX(PRECIOS_COMPLEMENTOS!$C$4:$F$17,MATCH(B2783&amp;"_"&amp;C2783,PRECIOS_COMPLEMENTOS!$H$4:$H$17,0),IF(OR(G2783="S",G2783="20cm"),1,IF(OR(G2783="M",G2783="25cm"),2,IF(OR(G2783="L",G2783="30cm"),3,IF(OR(G2783="XL",G2783="35cm"),4,0))))),0)</f>
        <v>0.6</v>
      </c>
      <c r="J2783" s="103">
        <f t="shared" si="1"/>
        <v>0</v>
      </c>
      <c r="K2783" s="104" t="str">
        <f>IF(H2783&lt;0,"ERROR",IF(H2783=0,"",IF(H2783&lt;CONFIG!$B$4,"CRÍTICO",IF(H2783&lt;CONFIG!$B$5,"BAJO","OK"))))</f>
        <v/>
      </c>
    </row>
    <row r="2784" ht="15.75" hidden="1" customHeight="1">
      <c r="A2784" s="90" t="str">
        <f>IF(CLIENTES!A9="","",CLIENTES!A9)</f>
        <v/>
      </c>
      <c r="B2784" s="90" t="s">
        <v>331</v>
      </c>
      <c r="C2784" s="91" t="s">
        <v>328</v>
      </c>
      <c r="D2784" s="109" t="s">
        <v>364</v>
      </c>
      <c r="E2784" s="67" t="str">
        <f>COLORES!A19</f>
        <v/>
      </c>
      <c r="F2784" s="67" t="str">
        <f>COLORES!B19</f>
        <v/>
      </c>
      <c r="G2784" s="90" t="s">
        <v>378</v>
      </c>
      <c r="H2784" s="100">
        <f>IFERROR(SUMIFS(MOVIMIENTOS_COMPLEMENTOS!$I$4:$I$803,MOVIMIENTOS_COMPLEMENTOS!$C$4:$C$803,A2784,MOVIMIENTOS_COMPLEMENTOS!$D$4:$D$803,B2784,MOVIMIENTOS_COMPLEMENTOS!$E$4:$E$803,C2784,MOVIMIENTOS_COMPLEMENTOS!$F$4:$F$803,D2784,MOVIMIENTOS_COMPLEMENTOS!$G$4:$G$803,E2784,MOVIMIENTOS_COMPLEMENTOS!$H$4:$H$803,G2784,MOVIMIENTOS_COMPLEMENTOS!$B$4:$B$803,"INGRESO")+SUMIFS(MOVIMIENTOS_COMPLEMENTOS!$I$4:$I$803,MOVIMIENTOS_COMPLEMENTOS!$C$4:$C$803,A2784,MOVIMIENTOS_COMPLEMENTOS!$D$4:$D$803,B2784,MOVIMIENTOS_COMPLEMENTOS!$E$4:$E$803,C2784,MOVIMIENTOS_COMPLEMENTOS!$F$4:$F$803,D2784,MOVIMIENTOS_COMPLEMENTOS!$G$4:$G$803,E2784,MOVIMIENTOS_COMPLEMENTOS!$H$4:$H$803,G2784,MOVIMIENTOS_COMPLEMENTOS!$B$4:$B$803,"DE CORTE")-SUMIFS(MOVIMIENTOS_COMPLEMENTOS!$I$4:$I$803,MOVIMIENTOS_COMPLEMENTOS!$C$4:$C$803,A2784,MOVIMIENTOS_COMPLEMENTOS!$D$4:$D$803,B2784,MOVIMIENTOS_COMPLEMENTOS!$E$4:$E$803,C2784,MOVIMIENTOS_COMPLEMENTOS!$F$4:$F$803,D2784,MOVIMIENTOS_COMPLEMENTOS!$G$4:$G$803,E2784,MOVIMIENTOS_COMPLEMENTOS!$H$4:$H$803,G2784,MOVIMIENTOS_COMPLEMENTOS!$B$4:$B$803,"SALIDA"),0)</f>
        <v>0</v>
      </c>
      <c r="I2784" s="102">
        <f t="array" ref="I2784">IFERROR(INDEX(PRECIOS_COMPLEMENTOS!$C$4:$F$17,MATCH(B2784&amp;"_"&amp;C2784,PRECIOS_COMPLEMENTOS!$H$4:$H$17,0),IF(OR(G2784="S",G2784="20cm"),1,IF(OR(G2784="M",G2784="25cm"),2,IF(OR(G2784="L",G2784="30cm"),3,IF(OR(G2784="XL",G2784="35cm"),4,0))))),0)</f>
        <v>0.6</v>
      </c>
      <c r="J2784" s="103">
        <f t="shared" si="1"/>
        <v>0</v>
      </c>
      <c r="K2784" s="104" t="str">
        <f>IF(H2784&lt;0,"ERROR",IF(H2784=0,"",IF(H2784&lt;CONFIG!$B$4,"CRÍTICO",IF(H2784&lt;CONFIG!$B$5,"BAJO","OK"))))</f>
        <v/>
      </c>
    </row>
    <row r="2785" ht="15.75" hidden="1" customHeight="1">
      <c r="A2785" s="90" t="str">
        <f>IF(CLIENTES!A9="","",CLIENTES!A9)</f>
        <v/>
      </c>
      <c r="B2785" s="90" t="s">
        <v>331</v>
      </c>
      <c r="C2785" s="91" t="s">
        <v>328</v>
      </c>
      <c r="D2785" s="109" t="s">
        <v>364</v>
      </c>
      <c r="E2785" s="67" t="str">
        <f>COLORES!A19</f>
        <v/>
      </c>
      <c r="F2785" s="67" t="str">
        <f>COLORES!B19</f>
        <v/>
      </c>
      <c r="G2785" s="90" t="s">
        <v>376</v>
      </c>
      <c r="H2785" s="100">
        <f>IFERROR(SUMIFS(MOVIMIENTOS_COMPLEMENTOS!$I$4:$I$803,MOVIMIENTOS_COMPLEMENTOS!$C$4:$C$803,A2785,MOVIMIENTOS_COMPLEMENTOS!$D$4:$D$803,B2785,MOVIMIENTOS_COMPLEMENTOS!$E$4:$E$803,C2785,MOVIMIENTOS_COMPLEMENTOS!$F$4:$F$803,D2785,MOVIMIENTOS_COMPLEMENTOS!$G$4:$G$803,E2785,MOVIMIENTOS_COMPLEMENTOS!$H$4:$H$803,G2785,MOVIMIENTOS_COMPLEMENTOS!$B$4:$B$803,"INGRESO")+SUMIFS(MOVIMIENTOS_COMPLEMENTOS!$I$4:$I$803,MOVIMIENTOS_COMPLEMENTOS!$C$4:$C$803,A2785,MOVIMIENTOS_COMPLEMENTOS!$D$4:$D$803,B2785,MOVIMIENTOS_COMPLEMENTOS!$E$4:$E$803,C2785,MOVIMIENTOS_COMPLEMENTOS!$F$4:$F$803,D2785,MOVIMIENTOS_COMPLEMENTOS!$G$4:$G$803,E2785,MOVIMIENTOS_COMPLEMENTOS!$H$4:$H$803,G2785,MOVIMIENTOS_COMPLEMENTOS!$B$4:$B$803,"DE CORTE")-SUMIFS(MOVIMIENTOS_COMPLEMENTOS!$I$4:$I$803,MOVIMIENTOS_COMPLEMENTOS!$C$4:$C$803,A2785,MOVIMIENTOS_COMPLEMENTOS!$D$4:$D$803,B2785,MOVIMIENTOS_COMPLEMENTOS!$E$4:$E$803,C2785,MOVIMIENTOS_COMPLEMENTOS!$F$4:$F$803,D2785,MOVIMIENTOS_COMPLEMENTOS!$G$4:$G$803,E2785,MOVIMIENTOS_COMPLEMENTOS!$H$4:$H$803,G2785,MOVIMIENTOS_COMPLEMENTOS!$B$4:$B$803,"SALIDA"),0)</f>
        <v>0</v>
      </c>
      <c r="I2785" s="102">
        <f t="array" ref="I2785">IFERROR(INDEX(PRECIOS_COMPLEMENTOS!$C$4:$F$17,MATCH(B2785&amp;"_"&amp;C2785,PRECIOS_COMPLEMENTOS!$H$4:$H$17,0),IF(OR(G2785="S",G2785="20cm"),1,IF(OR(G2785="M",G2785="25cm"),2,IF(OR(G2785="L",G2785="30cm"),3,IF(OR(G2785="XL",G2785="35cm"),4,0))))),0)</f>
        <v>0.6</v>
      </c>
      <c r="J2785" s="103">
        <f t="shared" si="1"/>
        <v>0</v>
      </c>
      <c r="K2785" s="104" t="str">
        <f>IF(H2785&lt;0,"ERROR",IF(H2785=0,"",IF(H2785&lt;CONFIG!$B$4,"CRÍTICO",IF(H2785&lt;CONFIG!$B$5,"BAJO","OK"))))</f>
        <v/>
      </c>
    </row>
    <row r="2786" ht="15.75" hidden="1" customHeight="1">
      <c r="A2786" s="90" t="str">
        <f>IF(CLIENTES!A9="","",CLIENTES!A9)</f>
        <v/>
      </c>
      <c r="B2786" s="90" t="s">
        <v>331</v>
      </c>
      <c r="C2786" s="91" t="s">
        <v>328</v>
      </c>
      <c r="D2786" s="109" t="s">
        <v>364</v>
      </c>
      <c r="E2786" s="67" t="str">
        <f>COLORES!A19</f>
        <v/>
      </c>
      <c r="F2786" s="67" t="str">
        <f>COLORES!B19</f>
        <v/>
      </c>
      <c r="G2786" s="90" t="s">
        <v>377</v>
      </c>
      <c r="H2786" s="100">
        <f>IFERROR(SUMIFS(MOVIMIENTOS_COMPLEMENTOS!$I$4:$I$803,MOVIMIENTOS_COMPLEMENTOS!$C$4:$C$803,A2786,MOVIMIENTOS_COMPLEMENTOS!$D$4:$D$803,B2786,MOVIMIENTOS_COMPLEMENTOS!$E$4:$E$803,C2786,MOVIMIENTOS_COMPLEMENTOS!$F$4:$F$803,D2786,MOVIMIENTOS_COMPLEMENTOS!$G$4:$G$803,E2786,MOVIMIENTOS_COMPLEMENTOS!$H$4:$H$803,G2786,MOVIMIENTOS_COMPLEMENTOS!$B$4:$B$803,"INGRESO")+SUMIFS(MOVIMIENTOS_COMPLEMENTOS!$I$4:$I$803,MOVIMIENTOS_COMPLEMENTOS!$C$4:$C$803,A2786,MOVIMIENTOS_COMPLEMENTOS!$D$4:$D$803,B2786,MOVIMIENTOS_COMPLEMENTOS!$E$4:$E$803,C2786,MOVIMIENTOS_COMPLEMENTOS!$F$4:$F$803,D2786,MOVIMIENTOS_COMPLEMENTOS!$G$4:$G$803,E2786,MOVIMIENTOS_COMPLEMENTOS!$H$4:$H$803,G2786,MOVIMIENTOS_COMPLEMENTOS!$B$4:$B$803,"DE CORTE")-SUMIFS(MOVIMIENTOS_COMPLEMENTOS!$I$4:$I$803,MOVIMIENTOS_COMPLEMENTOS!$C$4:$C$803,A2786,MOVIMIENTOS_COMPLEMENTOS!$D$4:$D$803,B2786,MOVIMIENTOS_COMPLEMENTOS!$E$4:$E$803,C2786,MOVIMIENTOS_COMPLEMENTOS!$F$4:$F$803,D2786,MOVIMIENTOS_COMPLEMENTOS!$G$4:$G$803,E2786,MOVIMIENTOS_COMPLEMENTOS!$H$4:$H$803,G2786,MOVIMIENTOS_COMPLEMENTOS!$B$4:$B$803,"SALIDA"),0)</f>
        <v>0</v>
      </c>
      <c r="I2786" s="102">
        <f t="array" ref="I2786">IFERROR(INDEX(PRECIOS_COMPLEMENTOS!$C$4:$F$17,MATCH(B2786&amp;"_"&amp;C2786,PRECIOS_COMPLEMENTOS!$H$4:$H$17,0),IF(OR(G2786="S",G2786="20cm"),1,IF(OR(G2786="M",G2786="25cm"),2,IF(OR(G2786="L",G2786="30cm"),3,IF(OR(G2786="XL",G2786="35cm"),4,0))))),0)</f>
        <v>0.6</v>
      </c>
      <c r="J2786" s="103">
        <f t="shared" si="1"/>
        <v>0</v>
      </c>
      <c r="K2786" s="104" t="str">
        <f>IF(H2786&lt;0,"ERROR",IF(H2786=0,"",IF(H2786&lt;CONFIG!$B$4,"CRÍTICO",IF(H2786&lt;CONFIG!$B$5,"BAJO","OK"))))</f>
        <v/>
      </c>
    </row>
    <row r="2787" ht="15.75" hidden="1" customHeight="1">
      <c r="A2787" s="90" t="str">
        <f>IF(CLIENTES!A9="","",CLIENTES!A9)</f>
        <v/>
      </c>
      <c r="B2787" s="90" t="s">
        <v>331</v>
      </c>
      <c r="C2787" s="91" t="s">
        <v>328</v>
      </c>
      <c r="D2787" s="109" t="s">
        <v>364</v>
      </c>
      <c r="E2787" s="67" t="str">
        <f>COLORES!A19</f>
        <v/>
      </c>
      <c r="F2787" s="67" t="str">
        <f>COLORES!B19</f>
        <v/>
      </c>
      <c r="G2787" s="90" t="s">
        <v>379</v>
      </c>
      <c r="H2787" s="100">
        <f>IFERROR(SUMIFS(MOVIMIENTOS_COMPLEMENTOS!$I$4:$I$803,MOVIMIENTOS_COMPLEMENTOS!$C$4:$C$803,A2787,MOVIMIENTOS_COMPLEMENTOS!$D$4:$D$803,B2787,MOVIMIENTOS_COMPLEMENTOS!$E$4:$E$803,C2787,MOVIMIENTOS_COMPLEMENTOS!$F$4:$F$803,D2787,MOVIMIENTOS_COMPLEMENTOS!$G$4:$G$803,E2787,MOVIMIENTOS_COMPLEMENTOS!$H$4:$H$803,G2787,MOVIMIENTOS_COMPLEMENTOS!$B$4:$B$803,"INGRESO")+SUMIFS(MOVIMIENTOS_COMPLEMENTOS!$I$4:$I$803,MOVIMIENTOS_COMPLEMENTOS!$C$4:$C$803,A2787,MOVIMIENTOS_COMPLEMENTOS!$D$4:$D$803,B2787,MOVIMIENTOS_COMPLEMENTOS!$E$4:$E$803,C2787,MOVIMIENTOS_COMPLEMENTOS!$F$4:$F$803,D2787,MOVIMIENTOS_COMPLEMENTOS!$G$4:$G$803,E2787,MOVIMIENTOS_COMPLEMENTOS!$H$4:$H$803,G2787,MOVIMIENTOS_COMPLEMENTOS!$B$4:$B$803,"DE CORTE")-SUMIFS(MOVIMIENTOS_COMPLEMENTOS!$I$4:$I$803,MOVIMIENTOS_COMPLEMENTOS!$C$4:$C$803,A2787,MOVIMIENTOS_COMPLEMENTOS!$D$4:$D$803,B2787,MOVIMIENTOS_COMPLEMENTOS!$E$4:$E$803,C2787,MOVIMIENTOS_COMPLEMENTOS!$F$4:$F$803,D2787,MOVIMIENTOS_COMPLEMENTOS!$G$4:$G$803,E2787,MOVIMIENTOS_COMPLEMENTOS!$H$4:$H$803,G2787,MOVIMIENTOS_COMPLEMENTOS!$B$4:$B$803,"SALIDA"),0)</f>
        <v>0</v>
      </c>
      <c r="I2787" s="102">
        <f t="array" ref="I2787">IFERROR(INDEX(PRECIOS_COMPLEMENTOS!$C$4:$F$17,MATCH(B2787&amp;"_"&amp;C2787,PRECIOS_COMPLEMENTOS!$H$4:$H$17,0),IF(OR(G2787="S",G2787="20cm"),1,IF(OR(G2787="M",G2787="25cm"),2,IF(OR(G2787="L",G2787="30cm"),3,IF(OR(G2787="XL",G2787="35cm"),4,0))))),0)</f>
        <v>0.6</v>
      </c>
      <c r="J2787" s="103">
        <f t="shared" si="1"/>
        <v>0</v>
      </c>
      <c r="K2787" s="104" t="str">
        <f>IF(H2787&lt;0,"ERROR",IF(H2787=0,"",IF(H2787&lt;CONFIG!$B$4,"CRÍTICO",IF(H2787&lt;CONFIG!$B$5,"BAJO","OK"))))</f>
        <v/>
      </c>
    </row>
    <row r="2788" ht="15.75" hidden="1" customHeight="1">
      <c r="A2788" s="90" t="str">
        <f>IF(CLIENTES!A9="","",CLIENTES!A9)</f>
        <v/>
      </c>
      <c r="B2788" s="90" t="s">
        <v>331</v>
      </c>
      <c r="C2788" s="91" t="s">
        <v>328</v>
      </c>
      <c r="D2788" s="109" t="s">
        <v>364</v>
      </c>
      <c r="E2788" s="67" t="str">
        <f>COLORES!A20</f>
        <v/>
      </c>
      <c r="F2788" s="67" t="str">
        <f>COLORES!B20</f>
        <v/>
      </c>
      <c r="G2788" s="90" t="s">
        <v>378</v>
      </c>
      <c r="H2788" s="100">
        <f>IFERROR(SUMIFS(MOVIMIENTOS_COMPLEMENTOS!$I$4:$I$803,MOVIMIENTOS_COMPLEMENTOS!$C$4:$C$803,A2788,MOVIMIENTOS_COMPLEMENTOS!$D$4:$D$803,B2788,MOVIMIENTOS_COMPLEMENTOS!$E$4:$E$803,C2788,MOVIMIENTOS_COMPLEMENTOS!$F$4:$F$803,D2788,MOVIMIENTOS_COMPLEMENTOS!$G$4:$G$803,E2788,MOVIMIENTOS_COMPLEMENTOS!$H$4:$H$803,G2788,MOVIMIENTOS_COMPLEMENTOS!$B$4:$B$803,"INGRESO")+SUMIFS(MOVIMIENTOS_COMPLEMENTOS!$I$4:$I$803,MOVIMIENTOS_COMPLEMENTOS!$C$4:$C$803,A2788,MOVIMIENTOS_COMPLEMENTOS!$D$4:$D$803,B2788,MOVIMIENTOS_COMPLEMENTOS!$E$4:$E$803,C2788,MOVIMIENTOS_COMPLEMENTOS!$F$4:$F$803,D2788,MOVIMIENTOS_COMPLEMENTOS!$G$4:$G$803,E2788,MOVIMIENTOS_COMPLEMENTOS!$H$4:$H$803,G2788,MOVIMIENTOS_COMPLEMENTOS!$B$4:$B$803,"DE CORTE")-SUMIFS(MOVIMIENTOS_COMPLEMENTOS!$I$4:$I$803,MOVIMIENTOS_COMPLEMENTOS!$C$4:$C$803,A2788,MOVIMIENTOS_COMPLEMENTOS!$D$4:$D$803,B2788,MOVIMIENTOS_COMPLEMENTOS!$E$4:$E$803,C2788,MOVIMIENTOS_COMPLEMENTOS!$F$4:$F$803,D2788,MOVIMIENTOS_COMPLEMENTOS!$G$4:$G$803,E2788,MOVIMIENTOS_COMPLEMENTOS!$H$4:$H$803,G2788,MOVIMIENTOS_COMPLEMENTOS!$B$4:$B$803,"SALIDA"),0)</f>
        <v>0</v>
      </c>
      <c r="I2788" s="102">
        <f t="array" ref="I2788">IFERROR(INDEX(PRECIOS_COMPLEMENTOS!$C$4:$F$17,MATCH(B2788&amp;"_"&amp;C2788,PRECIOS_COMPLEMENTOS!$H$4:$H$17,0),IF(OR(G2788="S",G2788="20cm"),1,IF(OR(G2788="M",G2788="25cm"),2,IF(OR(G2788="L",G2788="30cm"),3,IF(OR(G2788="XL",G2788="35cm"),4,0))))),0)</f>
        <v>0.6</v>
      </c>
      <c r="J2788" s="103">
        <f t="shared" si="1"/>
        <v>0</v>
      </c>
      <c r="K2788" s="104" t="str">
        <f>IF(H2788&lt;0,"ERROR",IF(H2788=0,"",IF(H2788&lt;CONFIG!$B$4,"CRÍTICO",IF(H2788&lt;CONFIG!$B$5,"BAJO","OK"))))</f>
        <v/>
      </c>
    </row>
    <row r="2789" ht="15.75" hidden="1" customHeight="1">
      <c r="A2789" s="90" t="str">
        <f>IF(CLIENTES!A9="","",CLIENTES!A9)</f>
        <v/>
      </c>
      <c r="B2789" s="90" t="s">
        <v>331</v>
      </c>
      <c r="C2789" s="91" t="s">
        <v>328</v>
      </c>
      <c r="D2789" s="109" t="s">
        <v>364</v>
      </c>
      <c r="E2789" s="67" t="str">
        <f>COLORES!A20</f>
        <v/>
      </c>
      <c r="F2789" s="67" t="str">
        <f>COLORES!B20</f>
        <v/>
      </c>
      <c r="G2789" s="90" t="s">
        <v>376</v>
      </c>
      <c r="H2789" s="100">
        <f>IFERROR(SUMIFS(MOVIMIENTOS_COMPLEMENTOS!$I$4:$I$803,MOVIMIENTOS_COMPLEMENTOS!$C$4:$C$803,A2789,MOVIMIENTOS_COMPLEMENTOS!$D$4:$D$803,B2789,MOVIMIENTOS_COMPLEMENTOS!$E$4:$E$803,C2789,MOVIMIENTOS_COMPLEMENTOS!$F$4:$F$803,D2789,MOVIMIENTOS_COMPLEMENTOS!$G$4:$G$803,E2789,MOVIMIENTOS_COMPLEMENTOS!$H$4:$H$803,G2789,MOVIMIENTOS_COMPLEMENTOS!$B$4:$B$803,"INGRESO")+SUMIFS(MOVIMIENTOS_COMPLEMENTOS!$I$4:$I$803,MOVIMIENTOS_COMPLEMENTOS!$C$4:$C$803,A2789,MOVIMIENTOS_COMPLEMENTOS!$D$4:$D$803,B2789,MOVIMIENTOS_COMPLEMENTOS!$E$4:$E$803,C2789,MOVIMIENTOS_COMPLEMENTOS!$F$4:$F$803,D2789,MOVIMIENTOS_COMPLEMENTOS!$G$4:$G$803,E2789,MOVIMIENTOS_COMPLEMENTOS!$H$4:$H$803,G2789,MOVIMIENTOS_COMPLEMENTOS!$B$4:$B$803,"DE CORTE")-SUMIFS(MOVIMIENTOS_COMPLEMENTOS!$I$4:$I$803,MOVIMIENTOS_COMPLEMENTOS!$C$4:$C$803,A2789,MOVIMIENTOS_COMPLEMENTOS!$D$4:$D$803,B2789,MOVIMIENTOS_COMPLEMENTOS!$E$4:$E$803,C2789,MOVIMIENTOS_COMPLEMENTOS!$F$4:$F$803,D2789,MOVIMIENTOS_COMPLEMENTOS!$G$4:$G$803,E2789,MOVIMIENTOS_COMPLEMENTOS!$H$4:$H$803,G2789,MOVIMIENTOS_COMPLEMENTOS!$B$4:$B$803,"SALIDA"),0)</f>
        <v>0</v>
      </c>
      <c r="I2789" s="102">
        <f t="array" ref="I2789">IFERROR(INDEX(PRECIOS_COMPLEMENTOS!$C$4:$F$17,MATCH(B2789&amp;"_"&amp;C2789,PRECIOS_COMPLEMENTOS!$H$4:$H$17,0),IF(OR(G2789="S",G2789="20cm"),1,IF(OR(G2789="M",G2789="25cm"),2,IF(OR(G2789="L",G2789="30cm"),3,IF(OR(G2789="XL",G2789="35cm"),4,0))))),0)</f>
        <v>0.6</v>
      </c>
      <c r="J2789" s="103">
        <f t="shared" si="1"/>
        <v>0</v>
      </c>
      <c r="K2789" s="104" t="str">
        <f>IF(H2789&lt;0,"ERROR",IF(H2789=0,"",IF(H2789&lt;CONFIG!$B$4,"CRÍTICO",IF(H2789&lt;CONFIG!$B$5,"BAJO","OK"))))</f>
        <v/>
      </c>
    </row>
    <row r="2790" ht="15.75" hidden="1" customHeight="1">
      <c r="A2790" s="90" t="str">
        <f>IF(CLIENTES!A9="","",CLIENTES!A9)</f>
        <v/>
      </c>
      <c r="B2790" s="90" t="s">
        <v>331</v>
      </c>
      <c r="C2790" s="91" t="s">
        <v>328</v>
      </c>
      <c r="D2790" s="109" t="s">
        <v>364</v>
      </c>
      <c r="E2790" s="67" t="str">
        <f>COLORES!A20</f>
        <v/>
      </c>
      <c r="F2790" s="67" t="str">
        <f>COLORES!B20</f>
        <v/>
      </c>
      <c r="G2790" s="90" t="s">
        <v>377</v>
      </c>
      <c r="H2790" s="100">
        <f>IFERROR(SUMIFS(MOVIMIENTOS_COMPLEMENTOS!$I$4:$I$803,MOVIMIENTOS_COMPLEMENTOS!$C$4:$C$803,A2790,MOVIMIENTOS_COMPLEMENTOS!$D$4:$D$803,B2790,MOVIMIENTOS_COMPLEMENTOS!$E$4:$E$803,C2790,MOVIMIENTOS_COMPLEMENTOS!$F$4:$F$803,D2790,MOVIMIENTOS_COMPLEMENTOS!$G$4:$G$803,E2790,MOVIMIENTOS_COMPLEMENTOS!$H$4:$H$803,G2790,MOVIMIENTOS_COMPLEMENTOS!$B$4:$B$803,"INGRESO")+SUMIFS(MOVIMIENTOS_COMPLEMENTOS!$I$4:$I$803,MOVIMIENTOS_COMPLEMENTOS!$C$4:$C$803,A2790,MOVIMIENTOS_COMPLEMENTOS!$D$4:$D$803,B2790,MOVIMIENTOS_COMPLEMENTOS!$E$4:$E$803,C2790,MOVIMIENTOS_COMPLEMENTOS!$F$4:$F$803,D2790,MOVIMIENTOS_COMPLEMENTOS!$G$4:$G$803,E2790,MOVIMIENTOS_COMPLEMENTOS!$H$4:$H$803,G2790,MOVIMIENTOS_COMPLEMENTOS!$B$4:$B$803,"DE CORTE")-SUMIFS(MOVIMIENTOS_COMPLEMENTOS!$I$4:$I$803,MOVIMIENTOS_COMPLEMENTOS!$C$4:$C$803,A2790,MOVIMIENTOS_COMPLEMENTOS!$D$4:$D$803,B2790,MOVIMIENTOS_COMPLEMENTOS!$E$4:$E$803,C2790,MOVIMIENTOS_COMPLEMENTOS!$F$4:$F$803,D2790,MOVIMIENTOS_COMPLEMENTOS!$G$4:$G$803,E2790,MOVIMIENTOS_COMPLEMENTOS!$H$4:$H$803,G2790,MOVIMIENTOS_COMPLEMENTOS!$B$4:$B$803,"SALIDA"),0)</f>
        <v>0</v>
      </c>
      <c r="I2790" s="102">
        <f t="array" ref="I2790">IFERROR(INDEX(PRECIOS_COMPLEMENTOS!$C$4:$F$17,MATCH(B2790&amp;"_"&amp;C2790,PRECIOS_COMPLEMENTOS!$H$4:$H$17,0),IF(OR(G2790="S",G2790="20cm"),1,IF(OR(G2790="M",G2790="25cm"),2,IF(OR(G2790="L",G2790="30cm"),3,IF(OR(G2790="XL",G2790="35cm"),4,0))))),0)</f>
        <v>0.6</v>
      </c>
      <c r="J2790" s="103">
        <f t="shared" si="1"/>
        <v>0</v>
      </c>
      <c r="K2790" s="104" t="str">
        <f>IF(H2790&lt;0,"ERROR",IF(H2790=0,"",IF(H2790&lt;CONFIG!$B$4,"CRÍTICO",IF(H2790&lt;CONFIG!$B$5,"BAJO","OK"))))</f>
        <v/>
      </c>
    </row>
    <row r="2791" ht="15.75" hidden="1" customHeight="1">
      <c r="A2791" s="90" t="str">
        <f>IF(CLIENTES!A9="","",CLIENTES!A9)</f>
        <v/>
      </c>
      <c r="B2791" s="90" t="s">
        <v>331</v>
      </c>
      <c r="C2791" s="91" t="s">
        <v>328</v>
      </c>
      <c r="D2791" s="109" t="s">
        <v>364</v>
      </c>
      <c r="E2791" s="67" t="str">
        <f>COLORES!A20</f>
        <v/>
      </c>
      <c r="F2791" s="67" t="str">
        <f>COLORES!B20</f>
        <v/>
      </c>
      <c r="G2791" s="90" t="s">
        <v>379</v>
      </c>
      <c r="H2791" s="100">
        <f>IFERROR(SUMIFS(MOVIMIENTOS_COMPLEMENTOS!$I$4:$I$803,MOVIMIENTOS_COMPLEMENTOS!$C$4:$C$803,A2791,MOVIMIENTOS_COMPLEMENTOS!$D$4:$D$803,B2791,MOVIMIENTOS_COMPLEMENTOS!$E$4:$E$803,C2791,MOVIMIENTOS_COMPLEMENTOS!$F$4:$F$803,D2791,MOVIMIENTOS_COMPLEMENTOS!$G$4:$G$803,E2791,MOVIMIENTOS_COMPLEMENTOS!$H$4:$H$803,G2791,MOVIMIENTOS_COMPLEMENTOS!$B$4:$B$803,"INGRESO")+SUMIFS(MOVIMIENTOS_COMPLEMENTOS!$I$4:$I$803,MOVIMIENTOS_COMPLEMENTOS!$C$4:$C$803,A2791,MOVIMIENTOS_COMPLEMENTOS!$D$4:$D$803,B2791,MOVIMIENTOS_COMPLEMENTOS!$E$4:$E$803,C2791,MOVIMIENTOS_COMPLEMENTOS!$F$4:$F$803,D2791,MOVIMIENTOS_COMPLEMENTOS!$G$4:$G$803,E2791,MOVIMIENTOS_COMPLEMENTOS!$H$4:$H$803,G2791,MOVIMIENTOS_COMPLEMENTOS!$B$4:$B$803,"DE CORTE")-SUMIFS(MOVIMIENTOS_COMPLEMENTOS!$I$4:$I$803,MOVIMIENTOS_COMPLEMENTOS!$C$4:$C$803,A2791,MOVIMIENTOS_COMPLEMENTOS!$D$4:$D$803,B2791,MOVIMIENTOS_COMPLEMENTOS!$E$4:$E$803,C2791,MOVIMIENTOS_COMPLEMENTOS!$F$4:$F$803,D2791,MOVIMIENTOS_COMPLEMENTOS!$G$4:$G$803,E2791,MOVIMIENTOS_COMPLEMENTOS!$H$4:$H$803,G2791,MOVIMIENTOS_COMPLEMENTOS!$B$4:$B$803,"SALIDA"),0)</f>
        <v>0</v>
      </c>
      <c r="I2791" s="102">
        <f t="array" ref="I2791">IFERROR(INDEX(PRECIOS_COMPLEMENTOS!$C$4:$F$17,MATCH(B2791&amp;"_"&amp;C2791,PRECIOS_COMPLEMENTOS!$H$4:$H$17,0),IF(OR(G2791="S",G2791="20cm"),1,IF(OR(G2791="M",G2791="25cm"),2,IF(OR(G2791="L",G2791="30cm"),3,IF(OR(G2791="XL",G2791="35cm"),4,0))))),0)</f>
        <v>0.6</v>
      </c>
      <c r="J2791" s="103">
        <f t="shared" si="1"/>
        <v>0</v>
      </c>
      <c r="K2791" s="104" t="str">
        <f>IF(H2791&lt;0,"ERROR",IF(H2791=0,"",IF(H2791&lt;CONFIG!$B$4,"CRÍTICO",IF(H2791&lt;CONFIG!$B$5,"BAJO","OK"))))</f>
        <v/>
      </c>
    </row>
    <row r="2792" ht="15.75" hidden="1" customHeight="1">
      <c r="A2792" s="90" t="str">
        <f>IF(CLIENTES!A9="","",CLIENTES!A9)</f>
        <v/>
      </c>
      <c r="B2792" s="90" t="s">
        <v>331</v>
      </c>
      <c r="C2792" s="91" t="s">
        <v>328</v>
      </c>
      <c r="D2792" s="109" t="s">
        <v>364</v>
      </c>
      <c r="E2792" s="67" t="str">
        <f>COLORES!A21</f>
        <v/>
      </c>
      <c r="F2792" s="67" t="str">
        <f>COLORES!B21</f>
        <v/>
      </c>
      <c r="G2792" s="90" t="s">
        <v>378</v>
      </c>
      <c r="H2792" s="100">
        <f>IFERROR(SUMIFS(MOVIMIENTOS_COMPLEMENTOS!$I$4:$I$803,MOVIMIENTOS_COMPLEMENTOS!$C$4:$C$803,A2792,MOVIMIENTOS_COMPLEMENTOS!$D$4:$D$803,B2792,MOVIMIENTOS_COMPLEMENTOS!$E$4:$E$803,C2792,MOVIMIENTOS_COMPLEMENTOS!$F$4:$F$803,D2792,MOVIMIENTOS_COMPLEMENTOS!$G$4:$G$803,E2792,MOVIMIENTOS_COMPLEMENTOS!$H$4:$H$803,G2792,MOVIMIENTOS_COMPLEMENTOS!$B$4:$B$803,"INGRESO")+SUMIFS(MOVIMIENTOS_COMPLEMENTOS!$I$4:$I$803,MOVIMIENTOS_COMPLEMENTOS!$C$4:$C$803,A2792,MOVIMIENTOS_COMPLEMENTOS!$D$4:$D$803,B2792,MOVIMIENTOS_COMPLEMENTOS!$E$4:$E$803,C2792,MOVIMIENTOS_COMPLEMENTOS!$F$4:$F$803,D2792,MOVIMIENTOS_COMPLEMENTOS!$G$4:$G$803,E2792,MOVIMIENTOS_COMPLEMENTOS!$H$4:$H$803,G2792,MOVIMIENTOS_COMPLEMENTOS!$B$4:$B$803,"DE CORTE")-SUMIFS(MOVIMIENTOS_COMPLEMENTOS!$I$4:$I$803,MOVIMIENTOS_COMPLEMENTOS!$C$4:$C$803,A2792,MOVIMIENTOS_COMPLEMENTOS!$D$4:$D$803,B2792,MOVIMIENTOS_COMPLEMENTOS!$E$4:$E$803,C2792,MOVIMIENTOS_COMPLEMENTOS!$F$4:$F$803,D2792,MOVIMIENTOS_COMPLEMENTOS!$G$4:$G$803,E2792,MOVIMIENTOS_COMPLEMENTOS!$H$4:$H$803,G2792,MOVIMIENTOS_COMPLEMENTOS!$B$4:$B$803,"SALIDA"),0)</f>
        <v>0</v>
      </c>
      <c r="I2792" s="102">
        <f t="array" ref="I2792">IFERROR(INDEX(PRECIOS_COMPLEMENTOS!$C$4:$F$17,MATCH(B2792&amp;"_"&amp;C2792,PRECIOS_COMPLEMENTOS!$H$4:$H$17,0),IF(OR(G2792="S",G2792="20cm"),1,IF(OR(G2792="M",G2792="25cm"),2,IF(OR(G2792="L",G2792="30cm"),3,IF(OR(G2792="XL",G2792="35cm"),4,0))))),0)</f>
        <v>0.6</v>
      </c>
      <c r="J2792" s="103">
        <f t="shared" si="1"/>
        <v>0</v>
      </c>
      <c r="K2792" s="104" t="str">
        <f>IF(H2792&lt;0,"ERROR",IF(H2792=0,"",IF(H2792&lt;CONFIG!$B$4,"CRÍTICO",IF(H2792&lt;CONFIG!$B$5,"BAJO","OK"))))</f>
        <v/>
      </c>
    </row>
    <row r="2793" ht="15.75" hidden="1" customHeight="1">
      <c r="A2793" s="90" t="str">
        <f>IF(CLIENTES!A9="","",CLIENTES!A9)</f>
        <v/>
      </c>
      <c r="B2793" s="90" t="s">
        <v>331</v>
      </c>
      <c r="C2793" s="91" t="s">
        <v>328</v>
      </c>
      <c r="D2793" s="109" t="s">
        <v>364</v>
      </c>
      <c r="E2793" s="67" t="str">
        <f>COLORES!A21</f>
        <v/>
      </c>
      <c r="F2793" s="67" t="str">
        <f>COLORES!B21</f>
        <v/>
      </c>
      <c r="G2793" s="90" t="s">
        <v>376</v>
      </c>
      <c r="H2793" s="100">
        <f>IFERROR(SUMIFS(MOVIMIENTOS_COMPLEMENTOS!$I$4:$I$803,MOVIMIENTOS_COMPLEMENTOS!$C$4:$C$803,A2793,MOVIMIENTOS_COMPLEMENTOS!$D$4:$D$803,B2793,MOVIMIENTOS_COMPLEMENTOS!$E$4:$E$803,C2793,MOVIMIENTOS_COMPLEMENTOS!$F$4:$F$803,D2793,MOVIMIENTOS_COMPLEMENTOS!$G$4:$G$803,E2793,MOVIMIENTOS_COMPLEMENTOS!$H$4:$H$803,G2793,MOVIMIENTOS_COMPLEMENTOS!$B$4:$B$803,"INGRESO")+SUMIFS(MOVIMIENTOS_COMPLEMENTOS!$I$4:$I$803,MOVIMIENTOS_COMPLEMENTOS!$C$4:$C$803,A2793,MOVIMIENTOS_COMPLEMENTOS!$D$4:$D$803,B2793,MOVIMIENTOS_COMPLEMENTOS!$E$4:$E$803,C2793,MOVIMIENTOS_COMPLEMENTOS!$F$4:$F$803,D2793,MOVIMIENTOS_COMPLEMENTOS!$G$4:$G$803,E2793,MOVIMIENTOS_COMPLEMENTOS!$H$4:$H$803,G2793,MOVIMIENTOS_COMPLEMENTOS!$B$4:$B$803,"DE CORTE")-SUMIFS(MOVIMIENTOS_COMPLEMENTOS!$I$4:$I$803,MOVIMIENTOS_COMPLEMENTOS!$C$4:$C$803,A2793,MOVIMIENTOS_COMPLEMENTOS!$D$4:$D$803,B2793,MOVIMIENTOS_COMPLEMENTOS!$E$4:$E$803,C2793,MOVIMIENTOS_COMPLEMENTOS!$F$4:$F$803,D2793,MOVIMIENTOS_COMPLEMENTOS!$G$4:$G$803,E2793,MOVIMIENTOS_COMPLEMENTOS!$H$4:$H$803,G2793,MOVIMIENTOS_COMPLEMENTOS!$B$4:$B$803,"SALIDA"),0)</f>
        <v>0</v>
      </c>
      <c r="I2793" s="102">
        <f t="array" ref="I2793">IFERROR(INDEX(PRECIOS_COMPLEMENTOS!$C$4:$F$17,MATCH(B2793&amp;"_"&amp;C2793,PRECIOS_COMPLEMENTOS!$H$4:$H$17,0),IF(OR(G2793="S",G2793="20cm"),1,IF(OR(G2793="M",G2793="25cm"),2,IF(OR(G2793="L",G2793="30cm"),3,IF(OR(G2793="XL",G2793="35cm"),4,0))))),0)</f>
        <v>0.6</v>
      </c>
      <c r="J2793" s="103">
        <f t="shared" si="1"/>
        <v>0</v>
      </c>
      <c r="K2793" s="104" t="str">
        <f>IF(H2793&lt;0,"ERROR",IF(H2793=0,"",IF(H2793&lt;CONFIG!$B$4,"CRÍTICO",IF(H2793&lt;CONFIG!$B$5,"BAJO","OK"))))</f>
        <v/>
      </c>
    </row>
    <row r="2794" ht="15.75" hidden="1" customHeight="1">
      <c r="A2794" s="90" t="str">
        <f>IF(CLIENTES!A9="","",CLIENTES!A9)</f>
        <v/>
      </c>
      <c r="B2794" s="90" t="s">
        <v>331</v>
      </c>
      <c r="C2794" s="91" t="s">
        <v>328</v>
      </c>
      <c r="D2794" s="109" t="s">
        <v>364</v>
      </c>
      <c r="E2794" s="67" t="str">
        <f>COLORES!A21</f>
        <v/>
      </c>
      <c r="F2794" s="67" t="str">
        <f>COLORES!B21</f>
        <v/>
      </c>
      <c r="G2794" s="90" t="s">
        <v>377</v>
      </c>
      <c r="H2794" s="100">
        <f>IFERROR(SUMIFS(MOVIMIENTOS_COMPLEMENTOS!$I$4:$I$803,MOVIMIENTOS_COMPLEMENTOS!$C$4:$C$803,A2794,MOVIMIENTOS_COMPLEMENTOS!$D$4:$D$803,B2794,MOVIMIENTOS_COMPLEMENTOS!$E$4:$E$803,C2794,MOVIMIENTOS_COMPLEMENTOS!$F$4:$F$803,D2794,MOVIMIENTOS_COMPLEMENTOS!$G$4:$G$803,E2794,MOVIMIENTOS_COMPLEMENTOS!$H$4:$H$803,G2794,MOVIMIENTOS_COMPLEMENTOS!$B$4:$B$803,"INGRESO")+SUMIFS(MOVIMIENTOS_COMPLEMENTOS!$I$4:$I$803,MOVIMIENTOS_COMPLEMENTOS!$C$4:$C$803,A2794,MOVIMIENTOS_COMPLEMENTOS!$D$4:$D$803,B2794,MOVIMIENTOS_COMPLEMENTOS!$E$4:$E$803,C2794,MOVIMIENTOS_COMPLEMENTOS!$F$4:$F$803,D2794,MOVIMIENTOS_COMPLEMENTOS!$G$4:$G$803,E2794,MOVIMIENTOS_COMPLEMENTOS!$H$4:$H$803,G2794,MOVIMIENTOS_COMPLEMENTOS!$B$4:$B$803,"DE CORTE")-SUMIFS(MOVIMIENTOS_COMPLEMENTOS!$I$4:$I$803,MOVIMIENTOS_COMPLEMENTOS!$C$4:$C$803,A2794,MOVIMIENTOS_COMPLEMENTOS!$D$4:$D$803,B2794,MOVIMIENTOS_COMPLEMENTOS!$E$4:$E$803,C2794,MOVIMIENTOS_COMPLEMENTOS!$F$4:$F$803,D2794,MOVIMIENTOS_COMPLEMENTOS!$G$4:$G$803,E2794,MOVIMIENTOS_COMPLEMENTOS!$H$4:$H$803,G2794,MOVIMIENTOS_COMPLEMENTOS!$B$4:$B$803,"SALIDA"),0)</f>
        <v>0</v>
      </c>
      <c r="I2794" s="102">
        <f t="array" ref="I2794">IFERROR(INDEX(PRECIOS_COMPLEMENTOS!$C$4:$F$17,MATCH(B2794&amp;"_"&amp;C2794,PRECIOS_COMPLEMENTOS!$H$4:$H$17,0),IF(OR(G2794="S",G2794="20cm"),1,IF(OR(G2794="M",G2794="25cm"),2,IF(OR(G2794="L",G2794="30cm"),3,IF(OR(G2794="XL",G2794="35cm"),4,0))))),0)</f>
        <v>0.6</v>
      </c>
      <c r="J2794" s="103">
        <f t="shared" si="1"/>
        <v>0</v>
      </c>
      <c r="K2794" s="104" t="str">
        <f>IF(H2794&lt;0,"ERROR",IF(H2794=0,"",IF(H2794&lt;CONFIG!$B$4,"CRÍTICO",IF(H2794&lt;CONFIG!$B$5,"BAJO","OK"))))</f>
        <v/>
      </c>
    </row>
    <row r="2795" ht="15.75" hidden="1" customHeight="1">
      <c r="A2795" s="90" t="str">
        <f>IF(CLIENTES!A9="","",CLIENTES!A9)</f>
        <v/>
      </c>
      <c r="B2795" s="90" t="s">
        <v>331</v>
      </c>
      <c r="C2795" s="91" t="s">
        <v>328</v>
      </c>
      <c r="D2795" s="109" t="s">
        <v>364</v>
      </c>
      <c r="E2795" s="67" t="str">
        <f>COLORES!A21</f>
        <v/>
      </c>
      <c r="F2795" s="67" t="str">
        <f>COLORES!B21</f>
        <v/>
      </c>
      <c r="G2795" s="90" t="s">
        <v>379</v>
      </c>
      <c r="H2795" s="100">
        <f>IFERROR(SUMIFS(MOVIMIENTOS_COMPLEMENTOS!$I$4:$I$803,MOVIMIENTOS_COMPLEMENTOS!$C$4:$C$803,A2795,MOVIMIENTOS_COMPLEMENTOS!$D$4:$D$803,B2795,MOVIMIENTOS_COMPLEMENTOS!$E$4:$E$803,C2795,MOVIMIENTOS_COMPLEMENTOS!$F$4:$F$803,D2795,MOVIMIENTOS_COMPLEMENTOS!$G$4:$G$803,E2795,MOVIMIENTOS_COMPLEMENTOS!$H$4:$H$803,G2795,MOVIMIENTOS_COMPLEMENTOS!$B$4:$B$803,"INGRESO")+SUMIFS(MOVIMIENTOS_COMPLEMENTOS!$I$4:$I$803,MOVIMIENTOS_COMPLEMENTOS!$C$4:$C$803,A2795,MOVIMIENTOS_COMPLEMENTOS!$D$4:$D$803,B2795,MOVIMIENTOS_COMPLEMENTOS!$E$4:$E$803,C2795,MOVIMIENTOS_COMPLEMENTOS!$F$4:$F$803,D2795,MOVIMIENTOS_COMPLEMENTOS!$G$4:$G$803,E2795,MOVIMIENTOS_COMPLEMENTOS!$H$4:$H$803,G2795,MOVIMIENTOS_COMPLEMENTOS!$B$4:$B$803,"DE CORTE")-SUMIFS(MOVIMIENTOS_COMPLEMENTOS!$I$4:$I$803,MOVIMIENTOS_COMPLEMENTOS!$C$4:$C$803,A2795,MOVIMIENTOS_COMPLEMENTOS!$D$4:$D$803,B2795,MOVIMIENTOS_COMPLEMENTOS!$E$4:$E$803,C2795,MOVIMIENTOS_COMPLEMENTOS!$F$4:$F$803,D2795,MOVIMIENTOS_COMPLEMENTOS!$G$4:$G$803,E2795,MOVIMIENTOS_COMPLEMENTOS!$H$4:$H$803,G2795,MOVIMIENTOS_COMPLEMENTOS!$B$4:$B$803,"SALIDA"),0)</f>
        <v>0</v>
      </c>
      <c r="I2795" s="102">
        <f t="array" ref="I2795">IFERROR(INDEX(PRECIOS_COMPLEMENTOS!$C$4:$F$17,MATCH(B2795&amp;"_"&amp;C2795,PRECIOS_COMPLEMENTOS!$H$4:$H$17,0),IF(OR(G2795="S",G2795="20cm"),1,IF(OR(G2795="M",G2795="25cm"),2,IF(OR(G2795="L",G2795="30cm"),3,IF(OR(G2795="XL",G2795="35cm"),4,0))))),0)</f>
        <v>0.6</v>
      </c>
      <c r="J2795" s="103">
        <f t="shared" si="1"/>
        <v>0</v>
      </c>
      <c r="K2795" s="104" t="str">
        <f>IF(H2795&lt;0,"ERROR",IF(H2795=0,"",IF(H2795&lt;CONFIG!$B$4,"CRÍTICO",IF(H2795&lt;CONFIG!$B$5,"BAJO","OK"))))</f>
        <v/>
      </c>
    </row>
    <row r="2796" ht="15.75" hidden="1" customHeight="1">
      <c r="A2796" s="90" t="str">
        <f>IF(CLIENTES!A9="","",CLIENTES!A9)</f>
        <v/>
      </c>
      <c r="B2796" s="90" t="s">
        <v>331</v>
      </c>
      <c r="C2796" s="91" t="s">
        <v>328</v>
      </c>
      <c r="D2796" s="109" t="s">
        <v>364</v>
      </c>
      <c r="E2796" s="67" t="str">
        <f>COLORES!A22</f>
        <v/>
      </c>
      <c r="F2796" s="67" t="str">
        <f>COLORES!B22</f>
        <v/>
      </c>
      <c r="G2796" s="90" t="s">
        <v>378</v>
      </c>
      <c r="H2796" s="100">
        <f>IFERROR(SUMIFS(MOVIMIENTOS_COMPLEMENTOS!$I$4:$I$803,MOVIMIENTOS_COMPLEMENTOS!$C$4:$C$803,A2796,MOVIMIENTOS_COMPLEMENTOS!$D$4:$D$803,B2796,MOVIMIENTOS_COMPLEMENTOS!$E$4:$E$803,C2796,MOVIMIENTOS_COMPLEMENTOS!$F$4:$F$803,D2796,MOVIMIENTOS_COMPLEMENTOS!$G$4:$G$803,E2796,MOVIMIENTOS_COMPLEMENTOS!$H$4:$H$803,G2796,MOVIMIENTOS_COMPLEMENTOS!$B$4:$B$803,"INGRESO")+SUMIFS(MOVIMIENTOS_COMPLEMENTOS!$I$4:$I$803,MOVIMIENTOS_COMPLEMENTOS!$C$4:$C$803,A2796,MOVIMIENTOS_COMPLEMENTOS!$D$4:$D$803,B2796,MOVIMIENTOS_COMPLEMENTOS!$E$4:$E$803,C2796,MOVIMIENTOS_COMPLEMENTOS!$F$4:$F$803,D2796,MOVIMIENTOS_COMPLEMENTOS!$G$4:$G$803,E2796,MOVIMIENTOS_COMPLEMENTOS!$H$4:$H$803,G2796,MOVIMIENTOS_COMPLEMENTOS!$B$4:$B$803,"DE CORTE")-SUMIFS(MOVIMIENTOS_COMPLEMENTOS!$I$4:$I$803,MOVIMIENTOS_COMPLEMENTOS!$C$4:$C$803,A2796,MOVIMIENTOS_COMPLEMENTOS!$D$4:$D$803,B2796,MOVIMIENTOS_COMPLEMENTOS!$E$4:$E$803,C2796,MOVIMIENTOS_COMPLEMENTOS!$F$4:$F$803,D2796,MOVIMIENTOS_COMPLEMENTOS!$G$4:$G$803,E2796,MOVIMIENTOS_COMPLEMENTOS!$H$4:$H$803,G2796,MOVIMIENTOS_COMPLEMENTOS!$B$4:$B$803,"SALIDA"),0)</f>
        <v>0</v>
      </c>
      <c r="I2796" s="102">
        <f t="array" ref="I2796">IFERROR(INDEX(PRECIOS_COMPLEMENTOS!$C$4:$F$17,MATCH(B2796&amp;"_"&amp;C2796,PRECIOS_COMPLEMENTOS!$H$4:$H$17,0),IF(OR(G2796="S",G2796="20cm"),1,IF(OR(G2796="M",G2796="25cm"),2,IF(OR(G2796="L",G2796="30cm"),3,IF(OR(G2796="XL",G2796="35cm"),4,0))))),0)</f>
        <v>0.6</v>
      </c>
      <c r="J2796" s="103">
        <f t="shared" si="1"/>
        <v>0</v>
      </c>
      <c r="K2796" s="104" t="str">
        <f>IF(H2796&lt;0,"ERROR",IF(H2796=0,"",IF(H2796&lt;CONFIG!$B$4,"CRÍTICO",IF(H2796&lt;CONFIG!$B$5,"BAJO","OK"))))</f>
        <v/>
      </c>
    </row>
    <row r="2797" ht="15.75" hidden="1" customHeight="1">
      <c r="A2797" s="90" t="str">
        <f>IF(CLIENTES!A9="","",CLIENTES!A9)</f>
        <v/>
      </c>
      <c r="B2797" s="90" t="s">
        <v>331</v>
      </c>
      <c r="C2797" s="91" t="s">
        <v>328</v>
      </c>
      <c r="D2797" s="109" t="s">
        <v>364</v>
      </c>
      <c r="E2797" s="67" t="str">
        <f>COLORES!A22</f>
        <v/>
      </c>
      <c r="F2797" s="67" t="str">
        <f>COLORES!B22</f>
        <v/>
      </c>
      <c r="G2797" s="90" t="s">
        <v>376</v>
      </c>
      <c r="H2797" s="100">
        <f>IFERROR(SUMIFS(MOVIMIENTOS_COMPLEMENTOS!$I$4:$I$803,MOVIMIENTOS_COMPLEMENTOS!$C$4:$C$803,A2797,MOVIMIENTOS_COMPLEMENTOS!$D$4:$D$803,B2797,MOVIMIENTOS_COMPLEMENTOS!$E$4:$E$803,C2797,MOVIMIENTOS_COMPLEMENTOS!$F$4:$F$803,D2797,MOVIMIENTOS_COMPLEMENTOS!$G$4:$G$803,E2797,MOVIMIENTOS_COMPLEMENTOS!$H$4:$H$803,G2797,MOVIMIENTOS_COMPLEMENTOS!$B$4:$B$803,"INGRESO")+SUMIFS(MOVIMIENTOS_COMPLEMENTOS!$I$4:$I$803,MOVIMIENTOS_COMPLEMENTOS!$C$4:$C$803,A2797,MOVIMIENTOS_COMPLEMENTOS!$D$4:$D$803,B2797,MOVIMIENTOS_COMPLEMENTOS!$E$4:$E$803,C2797,MOVIMIENTOS_COMPLEMENTOS!$F$4:$F$803,D2797,MOVIMIENTOS_COMPLEMENTOS!$G$4:$G$803,E2797,MOVIMIENTOS_COMPLEMENTOS!$H$4:$H$803,G2797,MOVIMIENTOS_COMPLEMENTOS!$B$4:$B$803,"DE CORTE")-SUMIFS(MOVIMIENTOS_COMPLEMENTOS!$I$4:$I$803,MOVIMIENTOS_COMPLEMENTOS!$C$4:$C$803,A2797,MOVIMIENTOS_COMPLEMENTOS!$D$4:$D$803,B2797,MOVIMIENTOS_COMPLEMENTOS!$E$4:$E$803,C2797,MOVIMIENTOS_COMPLEMENTOS!$F$4:$F$803,D2797,MOVIMIENTOS_COMPLEMENTOS!$G$4:$G$803,E2797,MOVIMIENTOS_COMPLEMENTOS!$H$4:$H$803,G2797,MOVIMIENTOS_COMPLEMENTOS!$B$4:$B$803,"SALIDA"),0)</f>
        <v>0</v>
      </c>
      <c r="I2797" s="102">
        <f t="array" ref="I2797">IFERROR(INDEX(PRECIOS_COMPLEMENTOS!$C$4:$F$17,MATCH(B2797&amp;"_"&amp;C2797,PRECIOS_COMPLEMENTOS!$H$4:$H$17,0),IF(OR(G2797="S",G2797="20cm"),1,IF(OR(G2797="M",G2797="25cm"),2,IF(OR(G2797="L",G2797="30cm"),3,IF(OR(G2797="XL",G2797="35cm"),4,0))))),0)</f>
        <v>0.6</v>
      </c>
      <c r="J2797" s="103">
        <f t="shared" si="1"/>
        <v>0</v>
      </c>
      <c r="K2797" s="104" t="str">
        <f>IF(H2797&lt;0,"ERROR",IF(H2797=0,"",IF(H2797&lt;CONFIG!$B$4,"CRÍTICO",IF(H2797&lt;CONFIG!$B$5,"BAJO","OK"))))</f>
        <v/>
      </c>
    </row>
    <row r="2798" ht="15.75" hidden="1" customHeight="1">
      <c r="A2798" s="90" t="str">
        <f>IF(CLIENTES!A9="","",CLIENTES!A9)</f>
        <v/>
      </c>
      <c r="B2798" s="90" t="s">
        <v>331</v>
      </c>
      <c r="C2798" s="91" t="s">
        <v>328</v>
      </c>
      <c r="D2798" s="109" t="s">
        <v>364</v>
      </c>
      <c r="E2798" s="67" t="str">
        <f>COLORES!A22</f>
        <v/>
      </c>
      <c r="F2798" s="67" t="str">
        <f>COLORES!B22</f>
        <v/>
      </c>
      <c r="G2798" s="90" t="s">
        <v>377</v>
      </c>
      <c r="H2798" s="100">
        <f>IFERROR(SUMIFS(MOVIMIENTOS_COMPLEMENTOS!$I$4:$I$803,MOVIMIENTOS_COMPLEMENTOS!$C$4:$C$803,A2798,MOVIMIENTOS_COMPLEMENTOS!$D$4:$D$803,B2798,MOVIMIENTOS_COMPLEMENTOS!$E$4:$E$803,C2798,MOVIMIENTOS_COMPLEMENTOS!$F$4:$F$803,D2798,MOVIMIENTOS_COMPLEMENTOS!$G$4:$G$803,E2798,MOVIMIENTOS_COMPLEMENTOS!$H$4:$H$803,G2798,MOVIMIENTOS_COMPLEMENTOS!$B$4:$B$803,"INGRESO")+SUMIFS(MOVIMIENTOS_COMPLEMENTOS!$I$4:$I$803,MOVIMIENTOS_COMPLEMENTOS!$C$4:$C$803,A2798,MOVIMIENTOS_COMPLEMENTOS!$D$4:$D$803,B2798,MOVIMIENTOS_COMPLEMENTOS!$E$4:$E$803,C2798,MOVIMIENTOS_COMPLEMENTOS!$F$4:$F$803,D2798,MOVIMIENTOS_COMPLEMENTOS!$G$4:$G$803,E2798,MOVIMIENTOS_COMPLEMENTOS!$H$4:$H$803,G2798,MOVIMIENTOS_COMPLEMENTOS!$B$4:$B$803,"DE CORTE")-SUMIFS(MOVIMIENTOS_COMPLEMENTOS!$I$4:$I$803,MOVIMIENTOS_COMPLEMENTOS!$C$4:$C$803,A2798,MOVIMIENTOS_COMPLEMENTOS!$D$4:$D$803,B2798,MOVIMIENTOS_COMPLEMENTOS!$E$4:$E$803,C2798,MOVIMIENTOS_COMPLEMENTOS!$F$4:$F$803,D2798,MOVIMIENTOS_COMPLEMENTOS!$G$4:$G$803,E2798,MOVIMIENTOS_COMPLEMENTOS!$H$4:$H$803,G2798,MOVIMIENTOS_COMPLEMENTOS!$B$4:$B$803,"SALIDA"),0)</f>
        <v>0</v>
      </c>
      <c r="I2798" s="102">
        <f t="array" ref="I2798">IFERROR(INDEX(PRECIOS_COMPLEMENTOS!$C$4:$F$17,MATCH(B2798&amp;"_"&amp;C2798,PRECIOS_COMPLEMENTOS!$H$4:$H$17,0),IF(OR(G2798="S",G2798="20cm"),1,IF(OR(G2798="M",G2798="25cm"),2,IF(OR(G2798="L",G2798="30cm"),3,IF(OR(G2798="XL",G2798="35cm"),4,0))))),0)</f>
        <v>0.6</v>
      </c>
      <c r="J2798" s="103">
        <f t="shared" si="1"/>
        <v>0</v>
      </c>
      <c r="K2798" s="104" t="str">
        <f>IF(H2798&lt;0,"ERROR",IF(H2798=0,"",IF(H2798&lt;CONFIG!$B$4,"CRÍTICO",IF(H2798&lt;CONFIG!$B$5,"BAJO","OK"))))</f>
        <v/>
      </c>
    </row>
    <row r="2799" ht="15.75" hidden="1" customHeight="1">
      <c r="A2799" s="90" t="str">
        <f>IF(CLIENTES!A9="","",CLIENTES!A9)</f>
        <v/>
      </c>
      <c r="B2799" s="90" t="s">
        <v>331</v>
      </c>
      <c r="C2799" s="91" t="s">
        <v>328</v>
      </c>
      <c r="D2799" s="109" t="s">
        <v>364</v>
      </c>
      <c r="E2799" s="67" t="str">
        <f>COLORES!A22</f>
        <v/>
      </c>
      <c r="F2799" s="67" t="str">
        <f>COLORES!B22</f>
        <v/>
      </c>
      <c r="G2799" s="90" t="s">
        <v>379</v>
      </c>
      <c r="H2799" s="100">
        <f>IFERROR(SUMIFS(MOVIMIENTOS_COMPLEMENTOS!$I$4:$I$803,MOVIMIENTOS_COMPLEMENTOS!$C$4:$C$803,A2799,MOVIMIENTOS_COMPLEMENTOS!$D$4:$D$803,B2799,MOVIMIENTOS_COMPLEMENTOS!$E$4:$E$803,C2799,MOVIMIENTOS_COMPLEMENTOS!$F$4:$F$803,D2799,MOVIMIENTOS_COMPLEMENTOS!$G$4:$G$803,E2799,MOVIMIENTOS_COMPLEMENTOS!$H$4:$H$803,G2799,MOVIMIENTOS_COMPLEMENTOS!$B$4:$B$803,"INGRESO")+SUMIFS(MOVIMIENTOS_COMPLEMENTOS!$I$4:$I$803,MOVIMIENTOS_COMPLEMENTOS!$C$4:$C$803,A2799,MOVIMIENTOS_COMPLEMENTOS!$D$4:$D$803,B2799,MOVIMIENTOS_COMPLEMENTOS!$E$4:$E$803,C2799,MOVIMIENTOS_COMPLEMENTOS!$F$4:$F$803,D2799,MOVIMIENTOS_COMPLEMENTOS!$G$4:$G$803,E2799,MOVIMIENTOS_COMPLEMENTOS!$H$4:$H$803,G2799,MOVIMIENTOS_COMPLEMENTOS!$B$4:$B$803,"DE CORTE")-SUMIFS(MOVIMIENTOS_COMPLEMENTOS!$I$4:$I$803,MOVIMIENTOS_COMPLEMENTOS!$C$4:$C$803,A2799,MOVIMIENTOS_COMPLEMENTOS!$D$4:$D$803,B2799,MOVIMIENTOS_COMPLEMENTOS!$E$4:$E$803,C2799,MOVIMIENTOS_COMPLEMENTOS!$F$4:$F$803,D2799,MOVIMIENTOS_COMPLEMENTOS!$G$4:$G$803,E2799,MOVIMIENTOS_COMPLEMENTOS!$H$4:$H$803,G2799,MOVIMIENTOS_COMPLEMENTOS!$B$4:$B$803,"SALIDA"),0)</f>
        <v>0</v>
      </c>
      <c r="I2799" s="102">
        <f t="array" ref="I2799">IFERROR(INDEX(PRECIOS_COMPLEMENTOS!$C$4:$F$17,MATCH(B2799&amp;"_"&amp;C2799,PRECIOS_COMPLEMENTOS!$H$4:$H$17,0),IF(OR(G2799="S",G2799="20cm"),1,IF(OR(G2799="M",G2799="25cm"),2,IF(OR(G2799="L",G2799="30cm"),3,IF(OR(G2799="XL",G2799="35cm"),4,0))))),0)</f>
        <v>0.6</v>
      </c>
      <c r="J2799" s="103">
        <f t="shared" si="1"/>
        <v>0</v>
      </c>
      <c r="K2799" s="104" t="str">
        <f>IF(H2799&lt;0,"ERROR",IF(H2799=0,"",IF(H2799&lt;CONFIG!$B$4,"CRÍTICO",IF(H2799&lt;CONFIG!$B$5,"BAJO","OK"))))</f>
        <v/>
      </c>
    </row>
    <row r="2800" ht="15.75" hidden="1" customHeight="1">
      <c r="A2800" s="90" t="str">
        <f>IF(CLIENTES!A9="","",CLIENTES!A9)</f>
        <v/>
      </c>
      <c r="B2800" s="90" t="s">
        <v>331</v>
      </c>
      <c r="C2800" s="91" t="s">
        <v>328</v>
      </c>
      <c r="D2800" s="109" t="s">
        <v>364</v>
      </c>
      <c r="E2800" s="67" t="str">
        <f>COLORES!A23</f>
        <v/>
      </c>
      <c r="F2800" s="67" t="str">
        <f>COLORES!B23</f>
        <v/>
      </c>
      <c r="G2800" s="90" t="s">
        <v>378</v>
      </c>
      <c r="H2800" s="100">
        <f>IFERROR(SUMIFS(MOVIMIENTOS_COMPLEMENTOS!$I$4:$I$803,MOVIMIENTOS_COMPLEMENTOS!$C$4:$C$803,A2800,MOVIMIENTOS_COMPLEMENTOS!$D$4:$D$803,B2800,MOVIMIENTOS_COMPLEMENTOS!$E$4:$E$803,C2800,MOVIMIENTOS_COMPLEMENTOS!$F$4:$F$803,D2800,MOVIMIENTOS_COMPLEMENTOS!$G$4:$G$803,E2800,MOVIMIENTOS_COMPLEMENTOS!$H$4:$H$803,G2800,MOVIMIENTOS_COMPLEMENTOS!$B$4:$B$803,"INGRESO")+SUMIFS(MOVIMIENTOS_COMPLEMENTOS!$I$4:$I$803,MOVIMIENTOS_COMPLEMENTOS!$C$4:$C$803,A2800,MOVIMIENTOS_COMPLEMENTOS!$D$4:$D$803,B2800,MOVIMIENTOS_COMPLEMENTOS!$E$4:$E$803,C2800,MOVIMIENTOS_COMPLEMENTOS!$F$4:$F$803,D2800,MOVIMIENTOS_COMPLEMENTOS!$G$4:$G$803,E2800,MOVIMIENTOS_COMPLEMENTOS!$H$4:$H$803,G2800,MOVIMIENTOS_COMPLEMENTOS!$B$4:$B$803,"DE CORTE")-SUMIFS(MOVIMIENTOS_COMPLEMENTOS!$I$4:$I$803,MOVIMIENTOS_COMPLEMENTOS!$C$4:$C$803,A2800,MOVIMIENTOS_COMPLEMENTOS!$D$4:$D$803,B2800,MOVIMIENTOS_COMPLEMENTOS!$E$4:$E$803,C2800,MOVIMIENTOS_COMPLEMENTOS!$F$4:$F$803,D2800,MOVIMIENTOS_COMPLEMENTOS!$G$4:$G$803,E2800,MOVIMIENTOS_COMPLEMENTOS!$H$4:$H$803,G2800,MOVIMIENTOS_COMPLEMENTOS!$B$4:$B$803,"SALIDA"),0)</f>
        <v>0</v>
      </c>
      <c r="I2800" s="102">
        <f t="array" ref="I2800">IFERROR(INDEX(PRECIOS_COMPLEMENTOS!$C$4:$F$17,MATCH(B2800&amp;"_"&amp;C2800,PRECIOS_COMPLEMENTOS!$H$4:$H$17,0),IF(OR(G2800="S",G2800="20cm"),1,IF(OR(G2800="M",G2800="25cm"),2,IF(OR(G2800="L",G2800="30cm"),3,IF(OR(G2800="XL",G2800="35cm"),4,0))))),0)</f>
        <v>0.6</v>
      </c>
      <c r="J2800" s="103">
        <f t="shared" si="1"/>
        <v>0</v>
      </c>
      <c r="K2800" s="104" t="str">
        <f>IF(H2800&lt;0,"ERROR",IF(H2800=0,"",IF(H2800&lt;CONFIG!$B$4,"CRÍTICO",IF(H2800&lt;CONFIG!$B$5,"BAJO","OK"))))</f>
        <v/>
      </c>
    </row>
    <row r="2801" ht="15.75" hidden="1" customHeight="1">
      <c r="A2801" s="90" t="str">
        <f>IF(CLIENTES!A9="","",CLIENTES!A9)</f>
        <v/>
      </c>
      <c r="B2801" s="90" t="s">
        <v>331</v>
      </c>
      <c r="C2801" s="91" t="s">
        <v>328</v>
      </c>
      <c r="D2801" s="109" t="s">
        <v>364</v>
      </c>
      <c r="E2801" s="67" t="str">
        <f>COLORES!A23</f>
        <v/>
      </c>
      <c r="F2801" s="67" t="str">
        <f>COLORES!B23</f>
        <v/>
      </c>
      <c r="G2801" s="90" t="s">
        <v>376</v>
      </c>
      <c r="H2801" s="100">
        <f>IFERROR(SUMIFS(MOVIMIENTOS_COMPLEMENTOS!$I$4:$I$803,MOVIMIENTOS_COMPLEMENTOS!$C$4:$C$803,A2801,MOVIMIENTOS_COMPLEMENTOS!$D$4:$D$803,B2801,MOVIMIENTOS_COMPLEMENTOS!$E$4:$E$803,C2801,MOVIMIENTOS_COMPLEMENTOS!$F$4:$F$803,D2801,MOVIMIENTOS_COMPLEMENTOS!$G$4:$G$803,E2801,MOVIMIENTOS_COMPLEMENTOS!$H$4:$H$803,G2801,MOVIMIENTOS_COMPLEMENTOS!$B$4:$B$803,"INGRESO")+SUMIFS(MOVIMIENTOS_COMPLEMENTOS!$I$4:$I$803,MOVIMIENTOS_COMPLEMENTOS!$C$4:$C$803,A2801,MOVIMIENTOS_COMPLEMENTOS!$D$4:$D$803,B2801,MOVIMIENTOS_COMPLEMENTOS!$E$4:$E$803,C2801,MOVIMIENTOS_COMPLEMENTOS!$F$4:$F$803,D2801,MOVIMIENTOS_COMPLEMENTOS!$G$4:$G$803,E2801,MOVIMIENTOS_COMPLEMENTOS!$H$4:$H$803,G2801,MOVIMIENTOS_COMPLEMENTOS!$B$4:$B$803,"DE CORTE")-SUMIFS(MOVIMIENTOS_COMPLEMENTOS!$I$4:$I$803,MOVIMIENTOS_COMPLEMENTOS!$C$4:$C$803,A2801,MOVIMIENTOS_COMPLEMENTOS!$D$4:$D$803,B2801,MOVIMIENTOS_COMPLEMENTOS!$E$4:$E$803,C2801,MOVIMIENTOS_COMPLEMENTOS!$F$4:$F$803,D2801,MOVIMIENTOS_COMPLEMENTOS!$G$4:$G$803,E2801,MOVIMIENTOS_COMPLEMENTOS!$H$4:$H$803,G2801,MOVIMIENTOS_COMPLEMENTOS!$B$4:$B$803,"SALIDA"),0)</f>
        <v>0</v>
      </c>
      <c r="I2801" s="102">
        <f t="array" ref="I2801">IFERROR(INDEX(PRECIOS_COMPLEMENTOS!$C$4:$F$17,MATCH(B2801&amp;"_"&amp;C2801,PRECIOS_COMPLEMENTOS!$H$4:$H$17,0),IF(OR(G2801="S",G2801="20cm"),1,IF(OR(G2801="M",G2801="25cm"),2,IF(OR(G2801="L",G2801="30cm"),3,IF(OR(G2801="XL",G2801="35cm"),4,0))))),0)</f>
        <v>0.6</v>
      </c>
      <c r="J2801" s="103">
        <f t="shared" si="1"/>
        <v>0</v>
      </c>
      <c r="K2801" s="104" t="str">
        <f>IF(H2801&lt;0,"ERROR",IF(H2801=0,"",IF(H2801&lt;CONFIG!$B$4,"CRÍTICO",IF(H2801&lt;CONFIG!$B$5,"BAJO","OK"))))</f>
        <v/>
      </c>
    </row>
    <row r="2802" ht="15.75" hidden="1" customHeight="1">
      <c r="A2802" s="90" t="str">
        <f>IF(CLIENTES!A9="","",CLIENTES!A9)</f>
        <v/>
      </c>
      <c r="B2802" s="90" t="s">
        <v>331</v>
      </c>
      <c r="C2802" s="91" t="s">
        <v>328</v>
      </c>
      <c r="D2802" s="109" t="s">
        <v>364</v>
      </c>
      <c r="E2802" s="67" t="str">
        <f>COLORES!A23</f>
        <v/>
      </c>
      <c r="F2802" s="67" t="str">
        <f>COLORES!B23</f>
        <v/>
      </c>
      <c r="G2802" s="90" t="s">
        <v>377</v>
      </c>
      <c r="H2802" s="100">
        <f>IFERROR(SUMIFS(MOVIMIENTOS_COMPLEMENTOS!$I$4:$I$803,MOVIMIENTOS_COMPLEMENTOS!$C$4:$C$803,A2802,MOVIMIENTOS_COMPLEMENTOS!$D$4:$D$803,B2802,MOVIMIENTOS_COMPLEMENTOS!$E$4:$E$803,C2802,MOVIMIENTOS_COMPLEMENTOS!$F$4:$F$803,D2802,MOVIMIENTOS_COMPLEMENTOS!$G$4:$G$803,E2802,MOVIMIENTOS_COMPLEMENTOS!$H$4:$H$803,G2802,MOVIMIENTOS_COMPLEMENTOS!$B$4:$B$803,"INGRESO")+SUMIFS(MOVIMIENTOS_COMPLEMENTOS!$I$4:$I$803,MOVIMIENTOS_COMPLEMENTOS!$C$4:$C$803,A2802,MOVIMIENTOS_COMPLEMENTOS!$D$4:$D$803,B2802,MOVIMIENTOS_COMPLEMENTOS!$E$4:$E$803,C2802,MOVIMIENTOS_COMPLEMENTOS!$F$4:$F$803,D2802,MOVIMIENTOS_COMPLEMENTOS!$G$4:$G$803,E2802,MOVIMIENTOS_COMPLEMENTOS!$H$4:$H$803,G2802,MOVIMIENTOS_COMPLEMENTOS!$B$4:$B$803,"DE CORTE")-SUMIFS(MOVIMIENTOS_COMPLEMENTOS!$I$4:$I$803,MOVIMIENTOS_COMPLEMENTOS!$C$4:$C$803,A2802,MOVIMIENTOS_COMPLEMENTOS!$D$4:$D$803,B2802,MOVIMIENTOS_COMPLEMENTOS!$E$4:$E$803,C2802,MOVIMIENTOS_COMPLEMENTOS!$F$4:$F$803,D2802,MOVIMIENTOS_COMPLEMENTOS!$G$4:$G$803,E2802,MOVIMIENTOS_COMPLEMENTOS!$H$4:$H$803,G2802,MOVIMIENTOS_COMPLEMENTOS!$B$4:$B$803,"SALIDA"),0)</f>
        <v>0</v>
      </c>
      <c r="I2802" s="102">
        <f t="array" ref="I2802">IFERROR(INDEX(PRECIOS_COMPLEMENTOS!$C$4:$F$17,MATCH(B2802&amp;"_"&amp;C2802,PRECIOS_COMPLEMENTOS!$H$4:$H$17,0),IF(OR(G2802="S",G2802="20cm"),1,IF(OR(G2802="M",G2802="25cm"),2,IF(OR(G2802="L",G2802="30cm"),3,IF(OR(G2802="XL",G2802="35cm"),4,0))))),0)</f>
        <v>0.6</v>
      </c>
      <c r="J2802" s="103">
        <f t="shared" si="1"/>
        <v>0</v>
      </c>
      <c r="K2802" s="104" t="str">
        <f>IF(H2802&lt;0,"ERROR",IF(H2802=0,"",IF(H2802&lt;CONFIG!$B$4,"CRÍTICO",IF(H2802&lt;CONFIG!$B$5,"BAJO","OK"))))</f>
        <v/>
      </c>
    </row>
    <row r="2803" ht="15.75" hidden="1" customHeight="1">
      <c r="A2803" s="90" t="str">
        <f>IF(CLIENTES!A9="","",CLIENTES!A9)</f>
        <v/>
      </c>
      <c r="B2803" s="90" t="s">
        <v>331</v>
      </c>
      <c r="C2803" s="91" t="s">
        <v>328</v>
      </c>
      <c r="D2803" s="109" t="s">
        <v>364</v>
      </c>
      <c r="E2803" s="67" t="str">
        <f>COLORES!A23</f>
        <v/>
      </c>
      <c r="F2803" s="67" t="str">
        <f>COLORES!B23</f>
        <v/>
      </c>
      <c r="G2803" s="90" t="s">
        <v>379</v>
      </c>
      <c r="H2803" s="100">
        <f>IFERROR(SUMIFS(MOVIMIENTOS_COMPLEMENTOS!$I$4:$I$803,MOVIMIENTOS_COMPLEMENTOS!$C$4:$C$803,A2803,MOVIMIENTOS_COMPLEMENTOS!$D$4:$D$803,B2803,MOVIMIENTOS_COMPLEMENTOS!$E$4:$E$803,C2803,MOVIMIENTOS_COMPLEMENTOS!$F$4:$F$803,D2803,MOVIMIENTOS_COMPLEMENTOS!$G$4:$G$803,E2803,MOVIMIENTOS_COMPLEMENTOS!$H$4:$H$803,G2803,MOVIMIENTOS_COMPLEMENTOS!$B$4:$B$803,"INGRESO")+SUMIFS(MOVIMIENTOS_COMPLEMENTOS!$I$4:$I$803,MOVIMIENTOS_COMPLEMENTOS!$C$4:$C$803,A2803,MOVIMIENTOS_COMPLEMENTOS!$D$4:$D$803,B2803,MOVIMIENTOS_COMPLEMENTOS!$E$4:$E$803,C2803,MOVIMIENTOS_COMPLEMENTOS!$F$4:$F$803,D2803,MOVIMIENTOS_COMPLEMENTOS!$G$4:$G$803,E2803,MOVIMIENTOS_COMPLEMENTOS!$H$4:$H$803,G2803,MOVIMIENTOS_COMPLEMENTOS!$B$4:$B$803,"DE CORTE")-SUMIFS(MOVIMIENTOS_COMPLEMENTOS!$I$4:$I$803,MOVIMIENTOS_COMPLEMENTOS!$C$4:$C$803,A2803,MOVIMIENTOS_COMPLEMENTOS!$D$4:$D$803,B2803,MOVIMIENTOS_COMPLEMENTOS!$E$4:$E$803,C2803,MOVIMIENTOS_COMPLEMENTOS!$F$4:$F$803,D2803,MOVIMIENTOS_COMPLEMENTOS!$G$4:$G$803,E2803,MOVIMIENTOS_COMPLEMENTOS!$H$4:$H$803,G2803,MOVIMIENTOS_COMPLEMENTOS!$B$4:$B$803,"SALIDA"),0)</f>
        <v>0</v>
      </c>
      <c r="I2803" s="102">
        <f t="array" ref="I2803">IFERROR(INDEX(PRECIOS_COMPLEMENTOS!$C$4:$F$17,MATCH(B2803&amp;"_"&amp;C2803,PRECIOS_COMPLEMENTOS!$H$4:$H$17,0),IF(OR(G2803="S",G2803="20cm"),1,IF(OR(G2803="M",G2803="25cm"),2,IF(OR(G2803="L",G2803="30cm"),3,IF(OR(G2803="XL",G2803="35cm"),4,0))))),0)</f>
        <v>0.6</v>
      </c>
      <c r="J2803" s="103">
        <f t="shared" si="1"/>
        <v>0</v>
      </c>
      <c r="K2803" s="104" t="str">
        <f>IF(H2803&lt;0,"ERROR",IF(H2803=0,"",IF(H2803&lt;CONFIG!$B$4,"CRÍTICO",IF(H2803&lt;CONFIG!$B$5,"BAJO","OK"))))</f>
        <v/>
      </c>
    </row>
    <row r="2804" ht="15.75" hidden="1" customHeight="1">
      <c r="A2804" s="90" t="str">
        <f>IF(CLIENTES!A9="","",CLIENTES!A9)</f>
        <v/>
      </c>
      <c r="B2804" s="90" t="s">
        <v>331</v>
      </c>
      <c r="C2804" s="91" t="s">
        <v>328</v>
      </c>
      <c r="D2804" s="109" t="s">
        <v>366</v>
      </c>
      <c r="E2804" s="67" t="str">
        <f>COLORES!A4</f>
        <v>Negro</v>
      </c>
      <c r="F2804" s="67" t="str">
        <f>COLORES!B4</f>
        <v>OSCURO</v>
      </c>
      <c r="G2804" s="90" t="s">
        <v>378</v>
      </c>
      <c r="H2804" s="100">
        <f>IFERROR(SUMIFS(MOVIMIENTOS_COMPLEMENTOS!$I$4:$I$803,MOVIMIENTOS_COMPLEMENTOS!$C$4:$C$803,A2804,MOVIMIENTOS_COMPLEMENTOS!$D$4:$D$803,B2804,MOVIMIENTOS_COMPLEMENTOS!$E$4:$E$803,C2804,MOVIMIENTOS_COMPLEMENTOS!$F$4:$F$803,D2804,MOVIMIENTOS_COMPLEMENTOS!$G$4:$G$803,E2804,MOVIMIENTOS_COMPLEMENTOS!$H$4:$H$803,G2804,MOVIMIENTOS_COMPLEMENTOS!$B$4:$B$803,"INGRESO")+SUMIFS(MOVIMIENTOS_COMPLEMENTOS!$I$4:$I$803,MOVIMIENTOS_COMPLEMENTOS!$C$4:$C$803,A2804,MOVIMIENTOS_COMPLEMENTOS!$D$4:$D$803,B2804,MOVIMIENTOS_COMPLEMENTOS!$E$4:$E$803,C2804,MOVIMIENTOS_COMPLEMENTOS!$F$4:$F$803,D2804,MOVIMIENTOS_COMPLEMENTOS!$G$4:$G$803,E2804,MOVIMIENTOS_COMPLEMENTOS!$H$4:$H$803,G2804,MOVIMIENTOS_COMPLEMENTOS!$B$4:$B$803,"DE CORTE")-SUMIFS(MOVIMIENTOS_COMPLEMENTOS!$I$4:$I$803,MOVIMIENTOS_COMPLEMENTOS!$C$4:$C$803,A2804,MOVIMIENTOS_COMPLEMENTOS!$D$4:$D$803,B2804,MOVIMIENTOS_COMPLEMENTOS!$E$4:$E$803,C2804,MOVIMIENTOS_COMPLEMENTOS!$F$4:$F$803,D2804,MOVIMIENTOS_COMPLEMENTOS!$G$4:$G$803,E2804,MOVIMIENTOS_COMPLEMENTOS!$H$4:$H$803,G2804,MOVIMIENTOS_COMPLEMENTOS!$B$4:$B$803,"SALIDA"),0)</f>
        <v>0</v>
      </c>
      <c r="I2804" s="102">
        <f t="array" ref="I2804">IFERROR(INDEX(PRECIOS_COMPLEMENTOS!$C$4:$F$17,MATCH(B2804&amp;"_"&amp;C2804,PRECIOS_COMPLEMENTOS!$H$4:$H$17,0),IF(OR(G2804="S",G2804="20cm"),1,IF(OR(G2804="M",G2804="25cm"),2,IF(OR(G2804="L",G2804="30cm"),3,IF(OR(G2804="XL",G2804="35cm"),4,0))))),0)</f>
        <v>0.6</v>
      </c>
      <c r="J2804" s="103">
        <f t="shared" si="1"/>
        <v>0</v>
      </c>
      <c r="K2804" s="104" t="str">
        <f>IF(H2804&lt;0,"ERROR",IF(H2804=0,"",IF(H2804&lt;CONFIG!$B$4,"CRÍTICO",IF(H2804&lt;CONFIG!$B$5,"BAJO","OK"))))</f>
        <v/>
      </c>
    </row>
    <row r="2805" ht="15.75" hidden="1" customHeight="1">
      <c r="A2805" s="90" t="str">
        <f>IF(CLIENTES!A9="","",CLIENTES!A9)</f>
        <v/>
      </c>
      <c r="B2805" s="90" t="s">
        <v>331</v>
      </c>
      <c r="C2805" s="91" t="s">
        <v>328</v>
      </c>
      <c r="D2805" s="109" t="s">
        <v>366</v>
      </c>
      <c r="E2805" s="67" t="str">
        <f>COLORES!A4</f>
        <v>Negro</v>
      </c>
      <c r="F2805" s="67" t="str">
        <f>COLORES!B4</f>
        <v>OSCURO</v>
      </c>
      <c r="G2805" s="90" t="s">
        <v>376</v>
      </c>
      <c r="H2805" s="100">
        <f>IFERROR(SUMIFS(MOVIMIENTOS_COMPLEMENTOS!$I$4:$I$803,MOVIMIENTOS_COMPLEMENTOS!$C$4:$C$803,A2805,MOVIMIENTOS_COMPLEMENTOS!$D$4:$D$803,B2805,MOVIMIENTOS_COMPLEMENTOS!$E$4:$E$803,C2805,MOVIMIENTOS_COMPLEMENTOS!$F$4:$F$803,D2805,MOVIMIENTOS_COMPLEMENTOS!$G$4:$G$803,E2805,MOVIMIENTOS_COMPLEMENTOS!$H$4:$H$803,G2805,MOVIMIENTOS_COMPLEMENTOS!$B$4:$B$803,"INGRESO")+SUMIFS(MOVIMIENTOS_COMPLEMENTOS!$I$4:$I$803,MOVIMIENTOS_COMPLEMENTOS!$C$4:$C$803,A2805,MOVIMIENTOS_COMPLEMENTOS!$D$4:$D$803,B2805,MOVIMIENTOS_COMPLEMENTOS!$E$4:$E$803,C2805,MOVIMIENTOS_COMPLEMENTOS!$F$4:$F$803,D2805,MOVIMIENTOS_COMPLEMENTOS!$G$4:$G$803,E2805,MOVIMIENTOS_COMPLEMENTOS!$H$4:$H$803,G2805,MOVIMIENTOS_COMPLEMENTOS!$B$4:$B$803,"DE CORTE")-SUMIFS(MOVIMIENTOS_COMPLEMENTOS!$I$4:$I$803,MOVIMIENTOS_COMPLEMENTOS!$C$4:$C$803,A2805,MOVIMIENTOS_COMPLEMENTOS!$D$4:$D$803,B2805,MOVIMIENTOS_COMPLEMENTOS!$E$4:$E$803,C2805,MOVIMIENTOS_COMPLEMENTOS!$F$4:$F$803,D2805,MOVIMIENTOS_COMPLEMENTOS!$G$4:$G$803,E2805,MOVIMIENTOS_COMPLEMENTOS!$H$4:$H$803,G2805,MOVIMIENTOS_COMPLEMENTOS!$B$4:$B$803,"SALIDA"),0)</f>
        <v>0</v>
      </c>
      <c r="I2805" s="102">
        <f t="array" ref="I2805">IFERROR(INDEX(PRECIOS_COMPLEMENTOS!$C$4:$F$17,MATCH(B2805&amp;"_"&amp;C2805,PRECIOS_COMPLEMENTOS!$H$4:$H$17,0),IF(OR(G2805="S",G2805="20cm"),1,IF(OR(G2805="M",G2805="25cm"),2,IF(OR(G2805="L",G2805="30cm"),3,IF(OR(G2805="XL",G2805="35cm"),4,0))))),0)</f>
        <v>0.6</v>
      </c>
      <c r="J2805" s="103">
        <f t="shared" si="1"/>
        <v>0</v>
      </c>
      <c r="K2805" s="104" t="str">
        <f>IF(H2805&lt;0,"ERROR",IF(H2805=0,"",IF(H2805&lt;CONFIG!$B$4,"CRÍTICO",IF(H2805&lt;CONFIG!$B$5,"BAJO","OK"))))</f>
        <v/>
      </c>
    </row>
    <row r="2806" ht="15.75" hidden="1" customHeight="1">
      <c r="A2806" s="90" t="str">
        <f>IF(CLIENTES!A9="","",CLIENTES!A9)</f>
        <v/>
      </c>
      <c r="B2806" s="90" t="s">
        <v>331</v>
      </c>
      <c r="C2806" s="91" t="s">
        <v>328</v>
      </c>
      <c r="D2806" s="109" t="s">
        <v>366</v>
      </c>
      <c r="E2806" s="67" t="str">
        <f>COLORES!A4</f>
        <v>Negro</v>
      </c>
      <c r="F2806" s="67" t="str">
        <f>COLORES!B4</f>
        <v>OSCURO</v>
      </c>
      <c r="G2806" s="90" t="s">
        <v>377</v>
      </c>
      <c r="H2806" s="100">
        <f>IFERROR(SUMIFS(MOVIMIENTOS_COMPLEMENTOS!$I$4:$I$803,MOVIMIENTOS_COMPLEMENTOS!$C$4:$C$803,A2806,MOVIMIENTOS_COMPLEMENTOS!$D$4:$D$803,B2806,MOVIMIENTOS_COMPLEMENTOS!$E$4:$E$803,C2806,MOVIMIENTOS_COMPLEMENTOS!$F$4:$F$803,D2806,MOVIMIENTOS_COMPLEMENTOS!$G$4:$G$803,E2806,MOVIMIENTOS_COMPLEMENTOS!$H$4:$H$803,G2806,MOVIMIENTOS_COMPLEMENTOS!$B$4:$B$803,"INGRESO")+SUMIFS(MOVIMIENTOS_COMPLEMENTOS!$I$4:$I$803,MOVIMIENTOS_COMPLEMENTOS!$C$4:$C$803,A2806,MOVIMIENTOS_COMPLEMENTOS!$D$4:$D$803,B2806,MOVIMIENTOS_COMPLEMENTOS!$E$4:$E$803,C2806,MOVIMIENTOS_COMPLEMENTOS!$F$4:$F$803,D2806,MOVIMIENTOS_COMPLEMENTOS!$G$4:$G$803,E2806,MOVIMIENTOS_COMPLEMENTOS!$H$4:$H$803,G2806,MOVIMIENTOS_COMPLEMENTOS!$B$4:$B$803,"DE CORTE")-SUMIFS(MOVIMIENTOS_COMPLEMENTOS!$I$4:$I$803,MOVIMIENTOS_COMPLEMENTOS!$C$4:$C$803,A2806,MOVIMIENTOS_COMPLEMENTOS!$D$4:$D$803,B2806,MOVIMIENTOS_COMPLEMENTOS!$E$4:$E$803,C2806,MOVIMIENTOS_COMPLEMENTOS!$F$4:$F$803,D2806,MOVIMIENTOS_COMPLEMENTOS!$G$4:$G$803,E2806,MOVIMIENTOS_COMPLEMENTOS!$H$4:$H$803,G2806,MOVIMIENTOS_COMPLEMENTOS!$B$4:$B$803,"SALIDA"),0)</f>
        <v>0</v>
      </c>
      <c r="I2806" s="102">
        <f t="array" ref="I2806">IFERROR(INDEX(PRECIOS_COMPLEMENTOS!$C$4:$F$17,MATCH(B2806&amp;"_"&amp;C2806,PRECIOS_COMPLEMENTOS!$H$4:$H$17,0),IF(OR(G2806="S",G2806="20cm"),1,IF(OR(G2806="M",G2806="25cm"),2,IF(OR(G2806="L",G2806="30cm"),3,IF(OR(G2806="XL",G2806="35cm"),4,0))))),0)</f>
        <v>0.6</v>
      </c>
      <c r="J2806" s="103">
        <f t="shared" si="1"/>
        <v>0</v>
      </c>
      <c r="K2806" s="104" t="str">
        <f>IF(H2806&lt;0,"ERROR",IF(H2806=0,"",IF(H2806&lt;CONFIG!$B$4,"CRÍTICO",IF(H2806&lt;CONFIG!$B$5,"BAJO","OK"))))</f>
        <v/>
      </c>
    </row>
    <row r="2807" ht="15.75" hidden="1" customHeight="1">
      <c r="A2807" s="90" t="str">
        <f>IF(CLIENTES!A9="","",CLIENTES!A9)</f>
        <v/>
      </c>
      <c r="B2807" s="90" t="s">
        <v>331</v>
      </c>
      <c r="C2807" s="91" t="s">
        <v>328</v>
      </c>
      <c r="D2807" s="109" t="s">
        <v>366</v>
      </c>
      <c r="E2807" s="67" t="str">
        <f>COLORES!A4</f>
        <v>Negro</v>
      </c>
      <c r="F2807" s="67" t="str">
        <f>COLORES!B4</f>
        <v>OSCURO</v>
      </c>
      <c r="G2807" s="90" t="s">
        <v>379</v>
      </c>
      <c r="H2807" s="100">
        <f>IFERROR(SUMIFS(MOVIMIENTOS_COMPLEMENTOS!$I$4:$I$803,MOVIMIENTOS_COMPLEMENTOS!$C$4:$C$803,A2807,MOVIMIENTOS_COMPLEMENTOS!$D$4:$D$803,B2807,MOVIMIENTOS_COMPLEMENTOS!$E$4:$E$803,C2807,MOVIMIENTOS_COMPLEMENTOS!$F$4:$F$803,D2807,MOVIMIENTOS_COMPLEMENTOS!$G$4:$G$803,E2807,MOVIMIENTOS_COMPLEMENTOS!$H$4:$H$803,G2807,MOVIMIENTOS_COMPLEMENTOS!$B$4:$B$803,"INGRESO")+SUMIFS(MOVIMIENTOS_COMPLEMENTOS!$I$4:$I$803,MOVIMIENTOS_COMPLEMENTOS!$C$4:$C$803,A2807,MOVIMIENTOS_COMPLEMENTOS!$D$4:$D$803,B2807,MOVIMIENTOS_COMPLEMENTOS!$E$4:$E$803,C2807,MOVIMIENTOS_COMPLEMENTOS!$F$4:$F$803,D2807,MOVIMIENTOS_COMPLEMENTOS!$G$4:$G$803,E2807,MOVIMIENTOS_COMPLEMENTOS!$H$4:$H$803,G2807,MOVIMIENTOS_COMPLEMENTOS!$B$4:$B$803,"DE CORTE")-SUMIFS(MOVIMIENTOS_COMPLEMENTOS!$I$4:$I$803,MOVIMIENTOS_COMPLEMENTOS!$C$4:$C$803,A2807,MOVIMIENTOS_COMPLEMENTOS!$D$4:$D$803,B2807,MOVIMIENTOS_COMPLEMENTOS!$E$4:$E$803,C2807,MOVIMIENTOS_COMPLEMENTOS!$F$4:$F$803,D2807,MOVIMIENTOS_COMPLEMENTOS!$G$4:$G$803,E2807,MOVIMIENTOS_COMPLEMENTOS!$H$4:$H$803,G2807,MOVIMIENTOS_COMPLEMENTOS!$B$4:$B$803,"SALIDA"),0)</f>
        <v>0</v>
      </c>
      <c r="I2807" s="102">
        <f t="array" ref="I2807">IFERROR(INDEX(PRECIOS_COMPLEMENTOS!$C$4:$F$17,MATCH(B2807&amp;"_"&amp;C2807,PRECIOS_COMPLEMENTOS!$H$4:$H$17,0),IF(OR(G2807="S",G2807="20cm"),1,IF(OR(G2807="M",G2807="25cm"),2,IF(OR(G2807="L",G2807="30cm"),3,IF(OR(G2807="XL",G2807="35cm"),4,0))))),0)</f>
        <v>0.6</v>
      </c>
      <c r="J2807" s="103">
        <f t="shared" si="1"/>
        <v>0</v>
      </c>
      <c r="K2807" s="104" t="str">
        <f>IF(H2807&lt;0,"ERROR",IF(H2807=0,"",IF(H2807&lt;CONFIG!$B$4,"CRÍTICO",IF(H2807&lt;CONFIG!$B$5,"BAJO","OK"))))</f>
        <v/>
      </c>
    </row>
    <row r="2808" ht="15.75" hidden="1" customHeight="1">
      <c r="A2808" s="90" t="str">
        <f>IF(CLIENTES!A9="","",CLIENTES!A9)</f>
        <v/>
      </c>
      <c r="B2808" s="90" t="s">
        <v>331</v>
      </c>
      <c r="C2808" s="91" t="s">
        <v>328</v>
      </c>
      <c r="D2808" s="109" t="s">
        <v>366</v>
      </c>
      <c r="E2808" s="67" t="str">
        <f>COLORES!A5</f>
        <v>Perla</v>
      </c>
      <c r="F2808" s="67" t="str">
        <f>COLORES!B5</f>
        <v>PPT</v>
      </c>
      <c r="G2808" s="90" t="s">
        <v>378</v>
      </c>
      <c r="H2808" s="100">
        <f>IFERROR(SUMIFS(MOVIMIENTOS_COMPLEMENTOS!$I$4:$I$803,MOVIMIENTOS_COMPLEMENTOS!$C$4:$C$803,A2808,MOVIMIENTOS_COMPLEMENTOS!$D$4:$D$803,B2808,MOVIMIENTOS_COMPLEMENTOS!$E$4:$E$803,C2808,MOVIMIENTOS_COMPLEMENTOS!$F$4:$F$803,D2808,MOVIMIENTOS_COMPLEMENTOS!$G$4:$G$803,E2808,MOVIMIENTOS_COMPLEMENTOS!$H$4:$H$803,G2808,MOVIMIENTOS_COMPLEMENTOS!$B$4:$B$803,"INGRESO")+SUMIFS(MOVIMIENTOS_COMPLEMENTOS!$I$4:$I$803,MOVIMIENTOS_COMPLEMENTOS!$C$4:$C$803,A2808,MOVIMIENTOS_COMPLEMENTOS!$D$4:$D$803,B2808,MOVIMIENTOS_COMPLEMENTOS!$E$4:$E$803,C2808,MOVIMIENTOS_COMPLEMENTOS!$F$4:$F$803,D2808,MOVIMIENTOS_COMPLEMENTOS!$G$4:$G$803,E2808,MOVIMIENTOS_COMPLEMENTOS!$H$4:$H$803,G2808,MOVIMIENTOS_COMPLEMENTOS!$B$4:$B$803,"DE CORTE")-SUMIFS(MOVIMIENTOS_COMPLEMENTOS!$I$4:$I$803,MOVIMIENTOS_COMPLEMENTOS!$C$4:$C$803,A2808,MOVIMIENTOS_COMPLEMENTOS!$D$4:$D$803,B2808,MOVIMIENTOS_COMPLEMENTOS!$E$4:$E$803,C2808,MOVIMIENTOS_COMPLEMENTOS!$F$4:$F$803,D2808,MOVIMIENTOS_COMPLEMENTOS!$G$4:$G$803,E2808,MOVIMIENTOS_COMPLEMENTOS!$H$4:$H$803,G2808,MOVIMIENTOS_COMPLEMENTOS!$B$4:$B$803,"SALIDA"),0)</f>
        <v>0</v>
      </c>
      <c r="I2808" s="102">
        <f t="array" ref="I2808">IFERROR(INDEX(PRECIOS_COMPLEMENTOS!$C$4:$F$17,MATCH(B2808&amp;"_"&amp;C2808,PRECIOS_COMPLEMENTOS!$H$4:$H$17,0),IF(OR(G2808="S",G2808="20cm"),1,IF(OR(G2808="M",G2808="25cm"),2,IF(OR(G2808="L",G2808="30cm"),3,IF(OR(G2808="XL",G2808="35cm"),4,0))))),0)</f>
        <v>0.6</v>
      </c>
      <c r="J2808" s="103">
        <f t="shared" si="1"/>
        <v>0</v>
      </c>
      <c r="K2808" s="104" t="str">
        <f>IF(H2808&lt;0,"ERROR",IF(H2808=0,"",IF(H2808&lt;CONFIG!$B$4,"CRÍTICO",IF(H2808&lt;CONFIG!$B$5,"BAJO","OK"))))</f>
        <v/>
      </c>
    </row>
    <row r="2809" ht="15.75" hidden="1" customHeight="1">
      <c r="A2809" s="90" t="str">
        <f>IF(CLIENTES!A9="","",CLIENTES!A9)</f>
        <v/>
      </c>
      <c r="B2809" s="90" t="s">
        <v>331</v>
      </c>
      <c r="C2809" s="91" t="s">
        <v>328</v>
      </c>
      <c r="D2809" s="109" t="s">
        <v>366</v>
      </c>
      <c r="E2809" s="67" t="str">
        <f>COLORES!A5</f>
        <v>Perla</v>
      </c>
      <c r="F2809" s="67" t="str">
        <f>COLORES!B5</f>
        <v>PPT</v>
      </c>
      <c r="G2809" s="90" t="s">
        <v>376</v>
      </c>
      <c r="H2809" s="100">
        <f>IFERROR(SUMIFS(MOVIMIENTOS_COMPLEMENTOS!$I$4:$I$803,MOVIMIENTOS_COMPLEMENTOS!$C$4:$C$803,A2809,MOVIMIENTOS_COMPLEMENTOS!$D$4:$D$803,B2809,MOVIMIENTOS_COMPLEMENTOS!$E$4:$E$803,C2809,MOVIMIENTOS_COMPLEMENTOS!$F$4:$F$803,D2809,MOVIMIENTOS_COMPLEMENTOS!$G$4:$G$803,E2809,MOVIMIENTOS_COMPLEMENTOS!$H$4:$H$803,G2809,MOVIMIENTOS_COMPLEMENTOS!$B$4:$B$803,"INGRESO")+SUMIFS(MOVIMIENTOS_COMPLEMENTOS!$I$4:$I$803,MOVIMIENTOS_COMPLEMENTOS!$C$4:$C$803,A2809,MOVIMIENTOS_COMPLEMENTOS!$D$4:$D$803,B2809,MOVIMIENTOS_COMPLEMENTOS!$E$4:$E$803,C2809,MOVIMIENTOS_COMPLEMENTOS!$F$4:$F$803,D2809,MOVIMIENTOS_COMPLEMENTOS!$G$4:$G$803,E2809,MOVIMIENTOS_COMPLEMENTOS!$H$4:$H$803,G2809,MOVIMIENTOS_COMPLEMENTOS!$B$4:$B$803,"DE CORTE")-SUMIFS(MOVIMIENTOS_COMPLEMENTOS!$I$4:$I$803,MOVIMIENTOS_COMPLEMENTOS!$C$4:$C$803,A2809,MOVIMIENTOS_COMPLEMENTOS!$D$4:$D$803,B2809,MOVIMIENTOS_COMPLEMENTOS!$E$4:$E$803,C2809,MOVIMIENTOS_COMPLEMENTOS!$F$4:$F$803,D2809,MOVIMIENTOS_COMPLEMENTOS!$G$4:$G$803,E2809,MOVIMIENTOS_COMPLEMENTOS!$H$4:$H$803,G2809,MOVIMIENTOS_COMPLEMENTOS!$B$4:$B$803,"SALIDA"),0)</f>
        <v>0</v>
      </c>
      <c r="I2809" s="102">
        <f t="array" ref="I2809">IFERROR(INDEX(PRECIOS_COMPLEMENTOS!$C$4:$F$17,MATCH(B2809&amp;"_"&amp;C2809,PRECIOS_COMPLEMENTOS!$H$4:$H$17,0),IF(OR(G2809="S",G2809="20cm"),1,IF(OR(G2809="M",G2809="25cm"),2,IF(OR(G2809="L",G2809="30cm"),3,IF(OR(G2809="XL",G2809="35cm"),4,0))))),0)</f>
        <v>0.6</v>
      </c>
      <c r="J2809" s="103">
        <f t="shared" si="1"/>
        <v>0</v>
      </c>
      <c r="K2809" s="104" t="str">
        <f>IF(H2809&lt;0,"ERROR",IF(H2809=0,"",IF(H2809&lt;CONFIG!$B$4,"CRÍTICO",IF(H2809&lt;CONFIG!$B$5,"BAJO","OK"))))</f>
        <v/>
      </c>
    </row>
    <row r="2810" ht="15.75" hidden="1" customHeight="1">
      <c r="A2810" s="90" t="str">
        <f>IF(CLIENTES!A9="","",CLIENTES!A9)</f>
        <v/>
      </c>
      <c r="B2810" s="90" t="s">
        <v>331</v>
      </c>
      <c r="C2810" s="91" t="s">
        <v>328</v>
      </c>
      <c r="D2810" s="109" t="s">
        <v>366</v>
      </c>
      <c r="E2810" s="67" t="str">
        <f>COLORES!A5</f>
        <v>Perla</v>
      </c>
      <c r="F2810" s="67" t="str">
        <f>COLORES!B5</f>
        <v>PPT</v>
      </c>
      <c r="G2810" s="90" t="s">
        <v>377</v>
      </c>
      <c r="H2810" s="100">
        <f>IFERROR(SUMIFS(MOVIMIENTOS_COMPLEMENTOS!$I$4:$I$803,MOVIMIENTOS_COMPLEMENTOS!$C$4:$C$803,A2810,MOVIMIENTOS_COMPLEMENTOS!$D$4:$D$803,B2810,MOVIMIENTOS_COMPLEMENTOS!$E$4:$E$803,C2810,MOVIMIENTOS_COMPLEMENTOS!$F$4:$F$803,D2810,MOVIMIENTOS_COMPLEMENTOS!$G$4:$G$803,E2810,MOVIMIENTOS_COMPLEMENTOS!$H$4:$H$803,G2810,MOVIMIENTOS_COMPLEMENTOS!$B$4:$B$803,"INGRESO")+SUMIFS(MOVIMIENTOS_COMPLEMENTOS!$I$4:$I$803,MOVIMIENTOS_COMPLEMENTOS!$C$4:$C$803,A2810,MOVIMIENTOS_COMPLEMENTOS!$D$4:$D$803,B2810,MOVIMIENTOS_COMPLEMENTOS!$E$4:$E$803,C2810,MOVIMIENTOS_COMPLEMENTOS!$F$4:$F$803,D2810,MOVIMIENTOS_COMPLEMENTOS!$G$4:$G$803,E2810,MOVIMIENTOS_COMPLEMENTOS!$H$4:$H$803,G2810,MOVIMIENTOS_COMPLEMENTOS!$B$4:$B$803,"DE CORTE")-SUMIFS(MOVIMIENTOS_COMPLEMENTOS!$I$4:$I$803,MOVIMIENTOS_COMPLEMENTOS!$C$4:$C$803,A2810,MOVIMIENTOS_COMPLEMENTOS!$D$4:$D$803,B2810,MOVIMIENTOS_COMPLEMENTOS!$E$4:$E$803,C2810,MOVIMIENTOS_COMPLEMENTOS!$F$4:$F$803,D2810,MOVIMIENTOS_COMPLEMENTOS!$G$4:$G$803,E2810,MOVIMIENTOS_COMPLEMENTOS!$H$4:$H$803,G2810,MOVIMIENTOS_COMPLEMENTOS!$B$4:$B$803,"SALIDA"),0)</f>
        <v>0</v>
      </c>
      <c r="I2810" s="102">
        <f t="array" ref="I2810">IFERROR(INDEX(PRECIOS_COMPLEMENTOS!$C$4:$F$17,MATCH(B2810&amp;"_"&amp;C2810,PRECIOS_COMPLEMENTOS!$H$4:$H$17,0),IF(OR(G2810="S",G2810="20cm"),1,IF(OR(G2810="M",G2810="25cm"),2,IF(OR(G2810="L",G2810="30cm"),3,IF(OR(G2810="XL",G2810="35cm"),4,0))))),0)</f>
        <v>0.6</v>
      </c>
      <c r="J2810" s="103">
        <f t="shared" si="1"/>
        <v>0</v>
      </c>
      <c r="K2810" s="104" t="str">
        <f>IF(H2810&lt;0,"ERROR",IF(H2810=0,"",IF(H2810&lt;CONFIG!$B$4,"CRÍTICO",IF(H2810&lt;CONFIG!$B$5,"BAJO","OK"))))</f>
        <v/>
      </c>
    </row>
    <row r="2811" ht="15.75" hidden="1" customHeight="1">
      <c r="A2811" s="90" t="str">
        <f>IF(CLIENTES!A9="","",CLIENTES!A9)</f>
        <v/>
      </c>
      <c r="B2811" s="90" t="s">
        <v>331</v>
      </c>
      <c r="C2811" s="91" t="s">
        <v>328</v>
      </c>
      <c r="D2811" s="109" t="s">
        <v>366</v>
      </c>
      <c r="E2811" s="67" t="str">
        <f>COLORES!A5</f>
        <v>Perla</v>
      </c>
      <c r="F2811" s="67" t="str">
        <f>COLORES!B5</f>
        <v>PPT</v>
      </c>
      <c r="G2811" s="90" t="s">
        <v>379</v>
      </c>
      <c r="H2811" s="100">
        <f>IFERROR(SUMIFS(MOVIMIENTOS_COMPLEMENTOS!$I$4:$I$803,MOVIMIENTOS_COMPLEMENTOS!$C$4:$C$803,A2811,MOVIMIENTOS_COMPLEMENTOS!$D$4:$D$803,B2811,MOVIMIENTOS_COMPLEMENTOS!$E$4:$E$803,C2811,MOVIMIENTOS_COMPLEMENTOS!$F$4:$F$803,D2811,MOVIMIENTOS_COMPLEMENTOS!$G$4:$G$803,E2811,MOVIMIENTOS_COMPLEMENTOS!$H$4:$H$803,G2811,MOVIMIENTOS_COMPLEMENTOS!$B$4:$B$803,"INGRESO")+SUMIFS(MOVIMIENTOS_COMPLEMENTOS!$I$4:$I$803,MOVIMIENTOS_COMPLEMENTOS!$C$4:$C$803,A2811,MOVIMIENTOS_COMPLEMENTOS!$D$4:$D$803,B2811,MOVIMIENTOS_COMPLEMENTOS!$E$4:$E$803,C2811,MOVIMIENTOS_COMPLEMENTOS!$F$4:$F$803,D2811,MOVIMIENTOS_COMPLEMENTOS!$G$4:$G$803,E2811,MOVIMIENTOS_COMPLEMENTOS!$H$4:$H$803,G2811,MOVIMIENTOS_COMPLEMENTOS!$B$4:$B$803,"DE CORTE")-SUMIFS(MOVIMIENTOS_COMPLEMENTOS!$I$4:$I$803,MOVIMIENTOS_COMPLEMENTOS!$C$4:$C$803,A2811,MOVIMIENTOS_COMPLEMENTOS!$D$4:$D$803,B2811,MOVIMIENTOS_COMPLEMENTOS!$E$4:$E$803,C2811,MOVIMIENTOS_COMPLEMENTOS!$F$4:$F$803,D2811,MOVIMIENTOS_COMPLEMENTOS!$G$4:$G$803,E2811,MOVIMIENTOS_COMPLEMENTOS!$H$4:$H$803,G2811,MOVIMIENTOS_COMPLEMENTOS!$B$4:$B$803,"SALIDA"),0)</f>
        <v>0</v>
      </c>
      <c r="I2811" s="102">
        <f t="array" ref="I2811">IFERROR(INDEX(PRECIOS_COMPLEMENTOS!$C$4:$F$17,MATCH(B2811&amp;"_"&amp;C2811,PRECIOS_COMPLEMENTOS!$H$4:$H$17,0),IF(OR(G2811="S",G2811="20cm"),1,IF(OR(G2811="M",G2811="25cm"),2,IF(OR(G2811="L",G2811="30cm"),3,IF(OR(G2811="XL",G2811="35cm"),4,0))))),0)</f>
        <v>0.6</v>
      </c>
      <c r="J2811" s="103">
        <f t="shared" si="1"/>
        <v>0</v>
      </c>
      <c r="K2811" s="104" t="str">
        <f>IF(H2811&lt;0,"ERROR",IF(H2811=0,"",IF(H2811&lt;CONFIG!$B$4,"CRÍTICO",IF(H2811&lt;CONFIG!$B$5,"BAJO","OK"))))</f>
        <v/>
      </c>
    </row>
    <row r="2812" ht="15.75" hidden="1" customHeight="1">
      <c r="A2812" s="90" t="str">
        <f>IF(CLIENTES!A9="","",CLIENTES!A9)</f>
        <v/>
      </c>
      <c r="B2812" s="90" t="s">
        <v>331</v>
      </c>
      <c r="C2812" s="91" t="s">
        <v>328</v>
      </c>
      <c r="D2812" s="109" t="s">
        <v>366</v>
      </c>
      <c r="E2812" s="67" t="str">
        <f>COLORES!A6</f>
        <v>Blanco</v>
      </c>
      <c r="F2812" s="67" t="str">
        <f>COLORES!B6</f>
        <v>PPT</v>
      </c>
      <c r="G2812" s="90" t="s">
        <v>378</v>
      </c>
      <c r="H2812" s="100">
        <f>IFERROR(SUMIFS(MOVIMIENTOS_COMPLEMENTOS!$I$4:$I$803,MOVIMIENTOS_COMPLEMENTOS!$C$4:$C$803,A2812,MOVIMIENTOS_COMPLEMENTOS!$D$4:$D$803,B2812,MOVIMIENTOS_COMPLEMENTOS!$E$4:$E$803,C2812,MOVIMIENTOS_COMPLEMENTOS!$F$4:$F$803,D2812,MOVIMIENTOS_COMPLEMENTOS!$G$4:$G$803,E2812,MOVIMIENTOS_COMPLEMENTOS!$H$4:$H$803,G2812,MOVIMIENTOS_COMPLEMENTOS!$B$4:$B$803,"INGRESO")+SUMIFS(MOVIMIENTOS_COMPLEMENTOS!$I$4:$I$803,MOVIMIENTOS_COMPLEMENTOS!$C$4:$C$803,A2812,MOVIMIENTOS_COMPLEMENTOS!$D$4:$D$803,B2812,MOVIMIENTOS_COMPLEMENTOS!$E$4:$E$803,C2812,MOVIMIENTOS_COMPLEMENTOS!$F$4:$F$803,D2812,MOVIMIENTOS_COMPLEMENTOS!$G$4:$G$803,E2812,MOVIMIENTOS_COMPLEMENTOS!$H$4:$H$803,G2812,MOVIMIENTOS_COMPLEMENTOS!$B$4:$B$803,"DE CORTE")-SUMIFS(MOVIMIENTOS_COMPLEMENTOS!$I$4:$I$803,MOVIMIENTOS_COMPLEMENTOS!$C$4:$C$803,A2812,MOVIMIENTOS_COMPLEMENTOS!$D$4:$D$803,B2812,MOVIMIENTOS_COMPLEMENTOS!$E$4:$E$803,C2812,MOVIMIENTOS_COMPLEMENTOS!$F$4:$F$803,D2812,MOVIMIENTOS_COMPLEMENTOS!$G$4:$G$803,E2812,MOVIMIENTOS_COMPLEMENTOS!$H$4:$H$803,G2812,MOVIMIENTOS_COMPLEMENTOS!$B$4:$B$803,"SALIDA"),0)</f>
        <v>0</v>
      </c>
      <c r="I2812" s="102">
        <f t="array" ref="I2812">IFERROR(INDEX(PRECIOS_COMPLEMENTOS!$C$4:$F$17,MATCH(B2812&amp;"_"&amp;C2812,PRECIOS_COMPLEMENTOS!$H$4:$H$17,0),IF(OR(G2812="S",G2812="20cm"),1,IF(OR(G2812="M",G2812="25cm"),2,IF(OR(G2812="L",G2812="30cm"),3,IF(OR(G2812="XL",G2812="35cm"),4,0))))),0)</f>
        <v>0.6</v>
      </c>
      <c r="J2812" s="103">
        <f t="shared" si="1"/>
        <v>0</v>
      </c>
      <c r="K2812" s="104" t="str">
        <f>IF(H2812&lt;0,"ERROR",IF(H2812=0,"",IF(H2812&lt;CONFIG!$B$4,"CRÍTICO",IF(H2812&lt;CONFIG!$B$5,"BAJO","OK"))))</f>
        <v/>
      </c>
    </row>
    <row r="2813" ht="15.75" hidden="1" customHeight="1">
      <c r="A2813" s="90" t="str">
        <f>IF(CLIENTES!A9="","",CLIENTES!A9)</f>
        <v/>
      </c>
      <c r="B2813" s="90" t="s">
        <v>331</v>
      </c>
      <c r="C2813" s="91" t="s">
        <v>328</v>
      </c>
      <c r="D2813" s="109" t="s">
        <v>366</v>
      </c>
      <c r="E2813" s="67" t="str">
        <f>COLORES!A6</f>
        <v>Blanco</v>
      </c>
      <c r="F2813" s="67" t="str">
        <f>COLORES!B6</f>
        <v>PPT</v>
      </c>
      <c r="G2813" s="90" t="s">
        <v>376</v>
      </c>
      <c r="H2813" s="100">
        <f>IFERROR(SUMIFS(MOVIMIENTOS_COMPLEMENTOS!$I$4:$I$803,MOVIMIENTOS_COMPLEMENTOS!$C$4:$C$803,A2813,MOVIMIENTOS_COMPLEMENTOS!$D$4:$D$803,B2813,MOVIMIENTOS_COMPLEMENTOS!$E$4:$E$803,C2813,MOVIMIENTOS_COMPLEMENTOS!$F$4:$F$803,D2813,MOVIMIENTOS_COMPLEMENTOS!$G$4:$G$803,E2813,MOVIMIENTOS_COMPLEMENTOS!$H$4:$H$803,G2813,MOVIMIENTOS_COMPLEMENTOS!$B$4:$B$803,"INGRESO")+SUMIFS(MOVIMIENTOS_COMPLEMENTOS!$I$4:$I$803,MOVIMIENTOS_COMPLEMENTOS!$C$4:$C$803,A2813,MOVIMIENTOS_COMPLEMENTOS!$D$4:$D$803,B2813,MOVIMIENTOS_COMPLEMENTOS!$E$4:$E$803,C2813,MOVIMIENTOS_COMPLEMENTOS!$F$4:$F$803,D2813,MOVIMIENTOS_COMPLEMENTOS!$G$4:$G$803,E2813,MOVIMIENTOS_COMPLEMENTOS!$H$4:$H$803,G2813,MOVIMIENTOS_COMPLEMENTOS!$B$4:$B$803,"DE CORTE")-SUMIFS(MOVIMIENTOS_COMPLEMENTOS!$I$4:$I$803,MOVIMIENTOS_COMPLEMENTOS!$C$4:$C$803,A2813,MOVIMIENTOS_COMPLEMENTOS!$D$4:$D$803,B2813,MOVIMIENTOS_COMPLEMENTOS!$E$4:$E$803,C2813,MOVIMIENTOS_COMPLEMENTOS!$F$4:$F$803,D2813,MOVIMIENTOS_COMPLEMENTOS!$G$4:$G$803,E2813,MOVIMIENTOS_COMPLEMENTOS!$H$4:$H$803,G2813,MOVIMIENTOS_COMPLEMENTOS!$B$4:$B$803,"SALIDA"),0)</f>
        <v>0</v>
      </c>
      <c r="I2813" s="102">
        <f t="array" ref="I2813">IFERROR(INDEX(PRECIOS_COMPLEMENTOS!$C$4:$F$17,MATCH(B2813&amp;"_"&amp;C2813,PRECIOS_COMPLEMENTOS!$H$4:$H$17,0),IF(OR(G2813="S",G2813="20cm"),1,IF(OR(G2813="M",G2813="25cm"),2,IF(OR(G2813="L",G2813="30cm"),3,IF(OR(G2813="XL",G2813="35cm"),4,0))))),0)</f>
        <v>0.6</v>
      </c>
      <c r="J2813" s="103">
        <f t="shared" si="1"/>
        <v>0</v>
      </c>
      <c r="K2813" s="104" t="str">
        <f>IF(H2813&lt;0,"ERROR",IF(H2813=0,"",IF(H2813&lt;CONFIG!$B$4,"CRÍTICO",IF(H2813&lt;CONFIG!$B$5,"BAJO","OK"))))</f>
        <v/>
      </c>
    </row>
    <row r="2814" ht="15.75" hidden="1" customHeight="1">
      <c r="A2814" s="90" t="str">
        <f>IF(CLIENTES!A9="","",CLIENTES!A9)</f>
        <v/>
      </c>
      <c r="B2814" s="90" t="s">
        <v>331</v>
      </c>
      <c r="C2814" s="91" t="s">
        <v>328</v>
      </c>
      <c r="D2814" s="109" t="s">
        <v>366</v>
      </c>
      <c r="E2814" s="67" t="str">
        <f>COLORES!A6</f>
        <v>Blanco</v>
      </c>
      <c r="F2814" s="67" t="str">
        <f>COLORES!B6</f>
        <v>PPT</v>
      </c>
      <c r="G2814" s="90" t="s">
        <v>377</v>
      </c>
      <c r="H2814" s="100">
        <f>IFERROR(SUMIFS(MOVIMIENTOS_COMPLEMENTOS!$I$4:$I$803,MOVIMIENTOS_COMPLEMENTOS!$C$4:$C$803,A2814,MOVIMIENTOS_COMPLEMENTOS!$D$4:$D$803,B2814,MOVIMIENTOS_COMPLEMENTOS!$E$4:$E$803,C2814,MOVIMIENTOS_COMPLEMENTOS!$F$4:$F$803,D2814,MOVIMIENTOS_COMPLEMENTOS!$G$4:$G$803,E2814,MOVIMIENTOS_COMPLEMENTOS!$H$4:$H$803,G2814,MOVIMIENTOS_COMPLEMENTOS!$B$4:$B$803,"INGRESO")+SUMIFS(MOVIMIENTOS_COMPLEMENTOS!$I$4:$I$803,MOVIMIENTOS_COMPLEMENTOS!$C$4:$C$803,A2814,MOVIMIENTOS_COMPLEMENTOS!$D$4:$D$803,B2814,MOVIMIENTOS_COMPLEMENTOS!$E$4:$E$803,C2814,MOVIMIENTOS_COMPLEMENTOS!$F$4:$F$803,D2814,MOVIMIENTOS_COMPLEMENTOS!$G$4:$G$803,E2814,MOVIMIENTOS_COMPLEMENTOS!$H$4:$H$803,G2814,MOVIMIENTOS_COMPLEMENTOS!$B$4:$B$803,"DE CORTE")-SUMIFS(MOVIMIENTOS_COMPLEMENTOS!$I$4:$I$803,MOVIMIENTOS_COMPLEMENTOS!$C$4:$C$803,A2814,MOVIMIENTOS_COMPLEMENTOS!$D$4:$D$803,B2814,MOVIMIENTOS_COMPLEMENTOS!$E$4:$E$803,C2814,MOVIMIENTOS_COMPLEMENTOS!$F$4:$F$803,D2814,MOVIMIENTOS_COMPLEMENTOS!$G$4:$G$803,E2814,MOVIMIENTOS_COMPLEMENTOS!$H$4:$H$803,G2814,MOVIMIENTOS_COMPLEMENTOS!$B$4:$B$803,"SALIDA"),0)</f>
        <v>0</v>
      </c>
      <c r="I2814" s="102">
        <f t="array" ref="I2814">IFERROR(INDEX(PRECIOS_COMPLEMENTOS!$C$4:$F$17,MATCH(B2814&amp;"_"&amp;C2814,PRECIOS_COMPLEMENTOS!$H$4:$H$17,0),IF(OR(G2814="S",G2814="20cm"),1,IF(OR(G2814="M",G2814="25cm"),2,IF(OR(G2814="L",G2814="30cm"),3,IF(OR(G2814="XL",G2814="35cm"),4,0))))),0)</f>
        <v>0.6</v>
      </c>
      <c r="J2814" s="103">
        <f t="shared" si="1"/>
        <v>0</v>
      </c>
      <c r="K2814" s="104" t="str">
        <f>IF(H2814&lt;0,"ERROR",IF(H2814=0,"",IF(H2814&lt;CONFIG!$B$4,"CRÍTICO",IF(H2814&lt;CONFIG!$B$5,"BAJO","OK"))))</f>
        <v/>
      </c>
    </row>
    <row r="2815" ht="15.75" hidden="1" customHeight="1">
      <c r="A2815" s="90" t="str">
        <f>IF(CLIENTES!A9="","",CLIENTES!A9)</f>
        <v/>
      </c>
      <c r="B2815" s="90" t="s">
        <v>331</v>
      </c>
      <c r="C2815" s="91" t="s">
        <v>328</v>
      </c>
      <c r="D2815" s="109" t="s">
        <v>366</v>
      </c>
      <c r="E2815" s="67" t="str">
        <f>COLORES!A6</f>
        <v>Blanco</v>
      </c>
      <c r="F2815" s="67" t="str">
        <f>COLORES!B6</f>
        <v>PPT</v>
      </c>
      <c r="G2815" s="90" t="s">
        <v>379</v>
      </c>
      <c r="H2815" s="100">
        <f>IFERROR(SUMIFS(MOVIMIENTOS_COMPLEMENTOS!$I$4:$I$803,MOVIMIENTOS_COMPLEMENTOS!$C$4:$C$803,A2815,MOVIMIENTOS_COMPLEMENTOS!$D$4:$D$803,B2815,MOVIMIENTOS_COMPLEMENTOS!$E$4:$E$803,C2815,MOVIMIENTOS_COMPLEMENTOS!$F$4:$F$803,D2815,MOVIMIENTOS_COMPLEMENTOS!$G$4:$G$803,E2815,MOVIMIENTOS_COMPLEMENTOS!$H$4:$H$803,G2815,MOVIMIENTOS_COMPLEMENTOS!$B$4:$B$803,"INGRESO")+SUMIFS(MOVIMIENTOS_COMPLEMENTOS!$I$4:$I$803,MOVIMIENTOS_COMPLEMENTOS!$C$4:$C$803,A2815,MOVIMIENTOS_COMPLEMENTOS!$D$4:$D$803,B2815,MOVIMIENTOS_COMPLEMENTOS!$E$4:$E$803,C2815,MOVIMIENTOS_COMPLEMENTOS!$F$4:$F$803,D2815,MOVIMIENTOS_COMPLEMENTOS!$G$4:$G$803,E2815,MOVIMIENTOS_COMPLEMENTOS!$H$4:$H$803,G2815,MOVIMIENTOS_COMPLEMENTOS!$B$4:$B$803,"DE CORTE")-SUMIFS(MOVIMIENTOS_COMPLEMENTOS!$I$4:$I$803,MOVIMIENTOS_COMPLEMENTOS!$C$4:$C$803,A2815,MOVIMIENTOS_COMPLEMENTOS!$D$4:$D$803,B2815,MOVIMIENTOS_COMPLEMENTOS!$E$4:$E$803,C2815,MOVIMIENTOS_COMPLEMENTOS!$F$4:$F$803,D2815,MOVIMIENTOS_COMPLEMENTOS!$G$4:$G$803,E2815,MOVIMIENTOS_COMPLEMENTOS!$H$4:$H$803,G2815,MOVIMIENTOS_COMPLEMENTOS!$B$4:$B$803,"SALIDA"),0)</f>
        <v>0</v>
      </c>
      <c r="I2815" s="102">
        <f t="array" ref="I2815">IFERROR(INDEX(PRECIOS_COMPLEMENTOS!$C$4:$F$17,MATCH(B2815&amp;"_"&amp;C2815,PRECIOS_COMPLEMENTOS!$H$4:$H$17,0),IF(OR(G2815="S",G2815="20cm"),1,IF(OR(G2815="M",G2815="25cm"),2,IF(OR(G2815="L",G2815="30cm"),3,IF(OR(G2815="XL",G2815="35cm"),4,0))))),0)</f>
        <v>0.6</v>
      </c>
      <c r="J2815" s="103">
        <f t="shared" si="1"/>
        <v>0</v>
      </c>
      <c r="K2815" s="104" t="str">
        <f>IF(H2815&lt;0,"ERROR",IF(H2815=0,"",IF(H2815&lt;CONFIG!$B$4,"CRÍTICO",IF(H2815&lt;CONFIG!$B$5,"BAJO","OK"))))</f>
        <v/>
      </c>
    </row>
    <row r="2816" ht="15.75" hidden="1" customHeight="1">
      <c r="A2816" s="90" t="str">
        <f>IF(CLIENTES!A9="","",CLIENTES!A9)</f>
        <v/>
      </c>
      <c r="B2816" s="90" t="s">
        <v>331</v>
      </c>
      <c r="C2816" s="91" t="s">
        <v>328</v>
      </c>
      <c r="D2816" s="109" t="s">
        <v>366</v>
      </c>
      <c r="E2816" s="67" t="str">
        <f>COLORES!A7</f>
        <v>Azul</v>
      </c>
      <c r="F2816" s="67" t="str">
        <f>COLORES!B7</f>
        <v>OSCURO</v>
      </c>
      <c r="G2816" s="90" t="s">
        <v>378</v>
      </c>
      <c r="H2816" s="100">
        <f>IFERROR(SUMIFS(MOVIMIENTOS_COMPLEMENTOS!$I$4:$I$803,MOVIMIENTOS_COMPLEMENTOS!$C$4:$C$803,A2816,MOVIMIENTOS_COMPLEMENTOS!$D$4:$D$803,B2816,MOVIMIENTOS_COMPLEMENTOS!$E$4:$E$803,C2816,MOVIMIENTOS_COMPLEMENTOS!$F$4:$F$803,D2816,MOVIMIENTOS_COMPLEMENTOS!$G$4:$G$803,E2816,MOVIMIENTOS_COMPLEMENTOS!$H$4:$H$803,G2816,MOVIMIENTOS_COMPLEMENTOS!$B$4:$B$803,"INGRESO")+SUMIFS(MOVIMIENTOS_COMPLEMENTOS!$I$4:$I$803,MOVIMIENTOS_COMPLEMENTOS!$C$4:$C$803,A2816,MOVIMIENTOS_COMPLEMENTOS!$D$4:$D$803,B2816,MOVIMIENTOS_COMPLEMENTOS!$E$4:$E$803,C2816,MOVIMIENTOS_COMPLEMENTOS!$F$4:$F$803,D2816,MOVIMIENTOS_COMPLEMENTOS!$G$4:$G$803,E2816,MOVIMIENTOS_COMPLEMENTOS!$H$4:$H$803,G2816,MOVIMIENTOS_COMPLEMENTOS!$B$4:$B$803,"DE CORTE")-SUMIFS(MOVIMIENTOS_COMPLEMENTOS!$I$4:$I$803,MOVIMIENTOS_COMPLEMENTOS!$C$4:$C$803,A2816,MOVIMIENTOS_COMPLEMENTOS!$D$4:$D$803,B2816,MOVIMIENTOS_COMPLEMENTOS!$E$4:$E$803,C2816,MOVIMIENTOS_COMPLEMENTOS!$F$4:$F$803,D2816,MOVIMIENTOS_COMPLEMENTOS!$G$4:$G$803,E2816,MOVIMIENTOS_COMPLEMENTOS!$H$4:$H$803,G2816,MOVIMIENTOS_COMPLEMENTOS!$B$4:$B$803,"SALIDA"),0)</f>
        <v>0</v>
      </c>
      <c r="I2816" s="102">
        <f t="array" ref="I2816">IFERROR(INDEX(PRECIOS_COMPLEMENTOS!$C$4:$F$17,MATCH(B2816&amp;"_"&amp;C2816,PRECIOS_COMPLEMENTOS!$H$4:$H$17,0),IF(OR(G2816="S",G2816="20cm"),1,IF(OR(G2816="M",G2816="25cm"),2,IF(OR(G2816="L",G2816="30cm"),3,IF(OR(G2816="XL",G2816="35cm"),4,0))))),0)</f>
        <v>0.6</v>
      </c>
      <c r="J2816" s="103">
        <f t="shared" si="1"/>
        <v>0</v>
      </c>
      <c r="K2816" s="104" t="str">
        <f>IF(H2816&lt;0,"ERROR",IF(H2816=0,"",IF(H2816&lt;CONFIG!$B$4,"CRÍTICO",IF(H2816&lt;CONFIG!$B$5,"BAJO","OK"))))</f>
        <v/>
      </c>
    </row>
    <row r="2817" ht="15.75" hidden="1" customHeight="1">
      <c r="A2817" s="90" t="str">
        <f>IF(CLIENTES!A9="","",CLIENTES!A9)</f>
        <v/>
      </c>
      <c r="B2817" s="90" t="s">
        <v>331</v>
      </c>
      <c r="C2817" s="91" t="s">
        <v>328</v>
      </c>
      <c r="D2817" s="109" t="s">
        <v>366</v>
      </c>
      <c r="E2817" s="67" t="str">
        <f>COLORES!A7</f>
        <v>Azul</v>
      </c>
      <c r="F2817" s="67" t="str">
        <f>COLORES!B7</f>
        <v>OSCURO</v>
      </c>
      <c r="G2817" s="90" t="s">
        <v>376</v>
      </c>
      <c r="H2817" s="100">
        <f>IFERROR(SUMIFS(MOVIMIENTOS_COMPLEMENTOS!$I$4:$I$803,MOVIMIENTOS_COMPLEMENTOS!$C$4:$C$803,A2817,MOVIMIENTOS_COMPLEMENTOS!$D$4:$D$803,B2817,MOVIMIENTOS_COMPLEMENTOS!$E$4:$E$803,C2817,MOVIMIENTOS_COMPLEMENTOS!$F$4:$F$803,D2817,MOVIMIENTOS_COMPLEMENTOS!$G$4:$G$803,E2817,MOVIMIENTOS_COMPLEMENTOS!$H$4:$H$803,G2817,MOVIMIENTOS_COMPLEMENTOS!$B$4:$B$803,"INGRESO")+SUMIFS(MOVIMIENTOS_COMPLEMENTOS!$I$4:$I$803,MOVIMIENTOS_COMPLEMENTOS!$C$4:$C$803,A2817,MOVIMIENTOS_COMPLEMENTOS!$D$4:$D$803,B2817,MOVIMIENTOS_COMPLEMENTOS!$E$4:$E$803,C2817,MOVIMIENTOS_COMPLEMENTOS!$F$4:$F$803,D2817,MOVIMIENTOS_COMPLEMENTOS!$G$4:$G$803,E2817,MOVIMIENTOS_COMPLEMENTOS!$H$4:$H$803,G2817,MOVIMIENTOS_COMPLEMENTOS!$B$4:$B$803,"DE CORTE")-SUMIFS(MOVIMIENTOS_COMPLEMENTOS!$I$4:$I$803,MOVIMIENTOS_COMPLEMENTOS!$C$4:$C$803,A2817,MOVIMIENTOS_COMPLEMENTOS!$D$4:$D$803,B2817,MOVIMIENTOS_COMPLEMENTOS!$E$4:$E$803,C2817,MOVIMIENTOS_COMPLEMENTOS!$F$4:$F$803,D2817,MOVIMIENTOS_COMPLEMENTOS!$G$4:$G$803,E2817,MOVIMIENTOS_COMPLEMENTOS!$H$4:$H$803,G2817,MOVIMIENTOS_COMPLEMENTOS!$B$4:$B$803,"SALIDA"),0)</f>
        <v>0</v>
      </c>
      <c r="I2817" s="102">
        <f t="array" ref="I2817">IFERROR(INDEX(PRECIOS_COMPLEMENTOS!$C$4:$F$17,MATCH(B2817&amp;"_"&amp;C2817,PRECIOS_COMPLEMENTOS!$H$4:$H$17,0),IF(OR(G2817="S",G2817="20cm"),1,IF(OR(G2817="M",G2817="25cm"),2,IF(OR(G2817="L",G2817="30cm"),3,IF(OR(G2817="XL",G2817="35cm"),4,0))))),0)</f>
        <v>0.6</v>
      </c>
      <c r="J2817" s="103">
        <f t="shared" si="1"/>
        <v>0</v>
      </c>
      <c r="K2817" s="104" t="str">
        <f>IF(H2817&lt;0,"ERROR",IF(H2817=0,"",IF(H2817&lt;CONFIG!$B$4,"CRÍTICO",IF(H2817&lt;CONFIG!$B$5,"BAJO","OK"))))</f>
        <v/>
      </c>
    </row>
    <row r="2818" ht="15.75" hidden="1" customHeight="1">
      <c r="A2818" s="90" t="str">
        <f>IF(CLIENTES!A9="","",CLIENTES!A9)</f>
        <v/>
      </c>
      <c r="B2818" s="90" t="s">
        <v>331</v>
      </c>
      <c r="C2818" s="91" t="s">
        <v>328</v>
      </c>
      <c r="D2818" s="109" t="s">
        <v>366</v>
      </c>
      <c r="E2818" s="67" t="str">
        <f>COLORES!A7</f>
        <v>Azul</v>
      </c>
      <c r="F2818" s="67" t="str">
        <f>COLORES!B7</f>
        <v>OSCURO</v>
      </c>
      <c r="G2818" s="90" t="s">
        <v>377</v>
      </c>
      <c r="H2818" s="100">
        <f>IFERROR(SUMIFS(MOVIMIENTOS_COMPLEMENTOS!$I$4:$I$803,MOVIMIENTOS_COMPLEMENTOS!$C$4:$C$803,A2818,MOVIMIENTOS_COMPLEMENTOS!$D$4:$D$803,B2818,MOVIMIENTOS_COMPLEMENTOS!$E$4:$E$803,C2818,MOVIMIENTOS_COMPLEMENTOS!$F$4:$F$803,D2818,MOVIMIENTOS_COMPLEMENTOS!$G$4:$G$803,E2818,MOVIMIENTOS_COMPLEMENTOS!$H$4:$H$803,G2818,MOVIMIENTOS_COMPLEMENTOS!$B$4:$B$803,"INGRESO")+SUMIFS(MOVIMIENTOS_COMPLEMENTOS!$I$4:$I$803,MOVIMIENTOS_COMPLEMENTOS!$C$4:$C$803,A2818,MOVIMIENTOS_COMPLEMENTOS!$D$4:$D$803,B2818,MOVIMIENTOS_COMPLEMENTOS!$E$4:$E$803,C2818,MOVIMIENTOS_COMPLEMENTOS!$F$4:$F$803,D2818,MOVIMIENTOS_COMPLEMENTOS!$G$4:$G$803,E2818,MOVIMIENTOS_COMPLEMENTOS!$H$4:$H$803,G2818,MOVIMIENTOS_COMPLEMENTOS!$B$4:$B$803,"DE CORTE")-SUMIFS(MOVIMIENTOS_COMPLEMENTOS!$I$4:$I$803,MOVIMIENTOS_COMPLEMENTOS!$C$4:$C$803,A2818,MOVIMIENTOS_COMPLEMENTOS!$D$4:$D$803,B2818,MOVIMIENTOS_COMPLEMENTOS!$E$4:$E$803,C2818,MOVIMIENTOS_COMPLEMENTOS!$F$4:$F$803,D2818,MOVIMIENTOS_COMPLEMENTOS!$G$4:$G$803,E2818,MOVIMIENTOS_COMPLEMENTOS!$H$4:$H$803,G2818,MOVIMIENTOS_COMPLEMENTOS!$B$4:$B$803,"SALIDA"),0)</f>
        <v>0</v>
      </c>
      <c r="I2818" s="102">
        <f t="array" ref="I2818">IFERROR(INDEX(PRECIOS_COMPLEMENTOS!$C$4:$F$17,MATCH(B2818&amp;"_"&amp;C2818,PRECIOS_COMPLEMENTOS!$H$4:$H$17,0),IF(OR(G2818="S",G2818="20cm"),1,IF(OR(G2818="M",G2818="25cm"),2,IF(OR(G2818="L",G2818="30cm"),3,IF(OR(G2818="XL",G2818="35cm"),4,0))))),0)</f>
        <v>0.6</v>
      </c>
      <c r="J2818" s="103">
        <f t="shared" si="1"/>
        <v>0</v>
      </c>
      <c r="K2818" s="104" t="str">
        <f>IF(H2818&lt;0,"ERROR",IF(H2818=0,"",IF(H2818&lt;CONFIG!$B$4,"CRÍTICO",IF(H2818&lt;CONFIG!$B$5,"BAJO","OK"))))</f>
        <v/>
      </c>
    </row>
    <row r="2819" ht="15.75" hidden="1" customHeight="1">
      <c r="A2819" s="90" t="str">
        <f>IF(CLIENTES!A9="","",CLIENTES!A9)</f>
        <v/>
      </c>
      <c r="B2819" s="90" t="s">
        <v>331</v>
      </c>
      <c r="C2819" s="91" t="s">
        <v>328</v>
      </c>
      <c r="D2819" s="109" t="s">
        <v>366</v>
      </c>
      <c r="E2819" s="67" t="str">
        <f>COLORES!A7</f>
        <v>Azul</v>
      </c>
      <c r="F2819" s="67" t="str">
        <f>COLORES!B7</f>
        <v>OSCURO</v>
      </c>
      <c r="G2819" s="90" t="s">
        <v>379</v>
      </c>
      <c r="H2819" s="100">
        <f>IFERROR(SUMIFS(MOVIMIENTOS_COMPLEMENTOS!$I$4:$I$803,MOVIMIENTOS_COMPLEMENTOS!$C$4:$C$803,A2819,MOVIMIENTOS_COMPLEMENTOS!$D$4:$D$803,B2819,MOVIMIENTOS_COMPLEMENTOS!$E$4:$E$803,C2819,MOVIMIENTOS_COMPLEMENTOS!$F$4:$F$803,D2819,MOVIMIENTOS_COMPLEMENTOS!$G$4:$G$803,E2819,MOVIMIENTOS_COMPLEMENTOS!$H$4:$H$803,G2819,MOVIMIENTOS_COMPLEMENTOS!$B$4:$B$803,"INGRESO")+SUMIFS(MOVIMIENTOS_COMPLEMENTOS!$I$4:$I$803,MOVIMIENTOS_COMPLEMENTOS!$C$4:$C$803,A2819,MOVIMIENTOS_COMPLEMENTOS!$D$4:$D$803,B2819,MOVIMIENTOS_COMPLEMENTOS!$E$4:$E$803,C2819,MOVIMIENTOS_COMPLEMENTOS!$F$4:$F$803,D2819,MOVIMIENTOS_COMPLEMENTOS!$G$4:$G$803,E2819,MOVIMIENTOS_COMPLEMENTOS!$H$4:$H$803,G2819,MOVIMIENTOS_COMPLEMENTOS!$B$4:$B$803,"DE CORTE")-SUMIFS(MOVIMIENTOS_COMPLEMENTOS!$I$4:$I$803,MOVIMIENTOS_COMPLEMENTOS!$C$4:$C$803,A2819,MOVIMIENTOS_COMPLEMENTOS!$D$4:$D$803,B2819,MOVIMIENTOS_COMPLEMENTOS!$E$4:$E$803,C2819,MOVIMIENTOS_COMPLEMENTOS!$F$4:$F$803,D2819,MOVIMIENTOS_COMPLEMENTOS!$G$4:$G$803,E2819,MOVIMIENTOS_COMPLEMENTOS!$H$4:$H$803,G2819,MOVIMIENTOS_COMPLEMENTOS!$B$4:$B$803,"SALIDA"),0)</f>
        <v>0</v>
      </c>
      <c r="I2819" s="102">
        <f t="array" ref="I2819">IFERROR(INDEX(PRECIOS_COMPLEMENTOS!$C$4:$F$17,MATCH(B2819&amp;"_"&amp;C2819,PRECIOS_COMPLEMENTOS!$H$4:$H$17,0),IF(OR(G2819="S",G2819="20cm"),1,IF(OR(G2819="M",G2819="25cm"),2,IF(OR(G2819="L",G2819="30cm"),3,IF(OR(G2819="XL",G2819="35cm"),4,0))))),0)</f>
        <v>0.6</v>
      </c>
      <c r="J2819" s="103">
        <f t="shared" si="1"/>
        <v>0</v>
      </c>
      <c r="K2819" s="104" t="str">
        <f>IF(H2819&lt;0,"ERROR",IF(H2819=0,"",IF(H2819&lt;CONFIG!$B$4,"CRÍTICO",IF(H2819&lt;CONFIG!$B$5,"BAJO","OK"))))</f>
        <v/>
      </c>
    </row>
    <row r="2820" ht="15.75" hidden="1" customHeight="1">
      <c r="A2820" s="90" t="str">
        <f>IF(CLIENTES!A9="","",CLIENTES!A9)</f>
        <v/>
      </c>
      <c r="B2820" s="90" t="s">
        <v>331</v>
      </c>
      <c r="C2820" s="91" t="s">
        <v>328</v>
      </c>
      <c r="D2820" s="109" t="s">
        <v>366</v>
      </c>
      <c r="E2820" s="67" t="str">
        <f>COLORES!A8</f>
        <v>Beige</v>
      </c>
      <c r="F2820" s="67" t="str">
        <f>COLORES!B8</f>
        <v>CLARO</v>
      </c>
      <c r="G2820" s="90" t="s">
        <v>378</v>
      </c>
      <c r="H2820" s="100">
        <f>IFERROR(SUMIFS(MOVIMIENTOS_COMPLEMENTOS!$I$4:$I$803,MOVIMIENTOS_COMPLEMENTOS!$C$4:$C$803,A2820,MOVIMIENTOS_COMPLEMENTOS!$D$4:$D$803,B2820,MOVIMIENTOS_COMPLEMENTOS!$E$4:$E$803,C2820,MOVIMIENTOS_COMPLEMENTOS!$F$4:$F$803,D2820,MOVIMIENTOS_COMPLEMENTOS!$G$4:$G$803,E2820,MOVIMIENTOS_COMPLEMENTOS!$H$4:$H$803,G2820,MOVIMIENTOS_COMPLEMENTOS!$B$4:$B$803,"INGRESO")+SUMIFS(MOVIMIENTOS_COMPLEMENTOS!$I$4:$I$803,MOVIMIENTOS_COMPLEMENTOS!$C$4:$C$803,A2820,MOVIMIENTOS_COMPLEMENTOS!$D$4:$D$803,B2820,MOVIMIENTOS_COMPLEMENTOS!$E$4:$E$803,C2820,MOVIMIENTOS_COMPLEMENTOS!$F$4:$F$803,D2820,MOVIMIENTOS_COMPLEMENTOS!$G$4:$G$803,E2820,MOVIMIENTOS_COMPLEMENTOS!$H$4:$H$803,G2820,MOVIMIENTOS_COMPLEMENTOS!$B$4:$B$803,"DE CORTE")-SUMIFS(MOVIMIENTOS_COMPLEMENTOS!$I$4:$I$803,MOVIMIENTOS_COMPLEMENTOS!$C$4:$C$803,A2820,MOVIMIENTOS_COMPLEMENTOS!$D$4:$D$803,B2820,MOVIMIENTOS_COMPLEMENTOS!$E$4:$E$803,C2820,MOVIMIENTOS_COMPLEMENTOS!$F$4:$F$803,D2820,MOVIMIENTOS_COMPLEMENTOS!$G$4:$G$803,E2820,MOVIMIENTOS_COMPLEMENTOS!$H$4:$H$803,G2820,MOVIMIENTOS_COMPLEMENTOS!$B$4:$B$803,"SALIDA"),0)</f>
        <v>0</v>
      </c>
      <c r="I2820" s="102">
        <f t="array" ref="I2820">IFERROR(INDEX(PRECIOS_COMPLEMENTOS!$C$4:$F$17,MATCH(B2820&amp;"_"&amp;C2820,PRECIOS_COMPLEMENTOS!$H$4:$H$17,0),IF(OR(G2820="S",G2820="20cm"),1,IF(OR(G2820="M",G2820="25cm"),2,IF(OR(G2820="L",G2820="30cm"),3,IF(OR(G2820="XL",G2820="35cm"),4,0))))),0)</f>
        <v>0.6</v>
      </c>
      <c r="J2820" s="103">
        <f t="shared" si="1"/>
        <v>0</v>
      </c>
      <c r="K2820" s="104" t="str">
        <f>IF(H2820&lt;0,"ERROR",IF(H2820=0,"",IF(H2820&lt;CONFIG!$B$4,"CRÍTICO",IF(H2820&lt;CONFIG!$B$5,"BAJO","OK"))))</f>
        <v/>
      </c>
    </row>
    <row r="2821" ht="15.75" hidden="1" customHeight="1">
      <c r="A2821" s="90" t="str">
        <f>IF(CLIENTES!A9="","",CLIENTES!A9)</f>
        <v/>
      </c>
      <c r="B2821" s="90" t="s">
        <v>331</v>
      </c>
      <c r="C2821" s="91" t="s">
        <v>328</v>
      </c>
      <c r="D2821" s="109" t="s">
        <v>366</v>
      </c>
      <c r="E2821" s="67" t="str">
        <f>COLORES!A8</f>
        <v>Beige</v>
      </c>
      <c r="F2821" s="67" t="str">
        <f>COLORES!B8</f>
        <v>CLARO</v>
      </c>
      <c r="G2821" s="90" t="s">
        <v>376</v>
      </c>
      <c r="H2821" s="100">
        <f>IFERROR(SUMIFS(MOVIMIENTOS_COMPLEMENTOS!$I$4:$I$803,MOVIMIENTOS_COMPLEMENTOS!$C$4:$C$803,A2821,MOVIMIENTOS_COMPLEMENTOS!$D$4:$D$803,B2821,MOVIMIENTOS_COMPLEMENTOS!$E$4:$E$803,C2821,MOVIMIENTOS_COMPLEMENTOS!$F$4:$F$803,D2821,MOVIMIENTOS_COMPLEMENTOS!$G$4:$G$803,E2821,MOVIMIENTOS_COMPLEMENTOS!$H$4:$H$803,G2821,MOVIMIENTOS_COMPLEMENTOS!$B$4:$B$803,"INGRESO")+SUMIFS(MOVIMIENTOS_COMPLEMENTOS!$I$4:$I$803,MOVIMIENTOS_COMPLEMENTOS!$C$4:$C$803,A2821,MOVIMIENTOS_COMPLEMENTOS!$D$4:$D$803,B2821,MOVIMIENTOS_COMPLEMENTOS!$E$4:$E$803,C2821,MOVIMIENTOS_COMPLEMENTOS!$F$4:$F$803,D2821,MOVIMIENTOS_COMPLEMENTOS!$G$4:$G$803,E2821,MOVIMIENTOS_COMPLEMENTOS!$H$4:$H$803,G2821,MOVIMIENTOS_COMPLEMENTOS!$B$4:$B$803,"DE CORTE")-SUMIFS(MOVIMIENTOS_COMPLEMENTOS!$I$4:$I$803,MOVIMIENTOS_COMPLEMENTOS!$C$4:$C$803,A2821,MOVIMIENTOS_COMPLEMENTOS!$D$4:$D$803,B2821,MOVIMIENTOS_COMPLEMENTOS!$E$4:$E$803,C2821,MOVIMIENTOS_COMPLEMENTOS!$F$4:$F$803,D2821,MOVIMIENTOS_COMPLEMENTOS!$G$4:$G$803,E2821,MOVIMIENTOS_COMPLEMENTOS!$H$4:$H$803,G2821,MOVIMIENTOS_COMPLEMENTOS!$B$4:$B$803,"SALIDA"),0)</f>
        <v>0</v>
      </c>
      <c r="I2821" s="102">
        <f t="array" ref="I2821">IFERROR(INDEX(PRECIOS_COMPLEMENTOS!$C$4:$F$17,MATCH(B2821&amp;"_"&amp;C2821,PRECIOS_COMPLEMENTOS!$H$4:$H$17,0),IF(OR(G2821="S",G2821="20cm"),1,IF(OR(G2821="M",G2821="25cm"),2,IF(OR(G2821="L",G2821="30cm"),3,IF(OR(G2821="XL",G2821="35cm"),4,0))))),0)</f>
        <v>0.6</v>
      </c>
      <c r="J2821" s="103">
        <f t="shared" si="1"/>
        <v>0</v>
      </c>
      <c r="K2821" s="104" t="str">
        <f>IF(H2821&lt;0,"ERROR",IF(H2821=0,"",IF(H2821&lt;CONFIG!$B$4,"CRÍTICO",IF(H2821&lt;CONFIG!$B$5,"BAJO","OK"))))</f>
        <v/>
      </c>
    </row>
    <row r="2822" ht="15.75" hidden="1" customHeight="1">
      <c r="A2822" s="90" t="str">
        <f>IF(CLIENTES!A9="","",CLIENTES!A9)</f>
        <v/>
      </c>
      <c r="B2822" s="90" t="s">
        <v>331</v>
      </c>
      <c r="C2822" s="91" t="s">
        <v>328</v>
      </c>
      <c r="D2822" s="109" t="s">
        <v>366</v>
      </c>
      <c r="E2822" s="67" t="str">
        <f>COLORES!A8</f>
        <v>Beige</v>
      </c>
      <c r="F2822" s="67" t="str">
        <f>COLORES!B8</f>
        <v>CLARO</v>
      </c>
      <c r="G2822" s="90" t="s">
        <v>377</v>
      </c>
      <c r="H2822" s="100">
        <f>IFERROR(SUMIFS(MOVIMIENTOS_COMPLEMENTOS!$I$4:$I$803,MOVIMIENTOS_COMPLEMENTOS!$C$4:$C$803,A2822,MOVIMIENTOS_COMPLEMENTOS!$D$4:$D$803,B2822,MOVIMIENTOS_COMPLEMENTOS!$E$4:$E$803,C2822,MOVIMIENTOS_COMPLEMENTOS!$F$4:$F$803,D2822,MOVIMIENTOS_COMPLEMENTOS!$G$4:$G$803,E2822,MOVIMIENTOS_COMPLEMENTOS!$H$4:$H$803,G2822,MOVIMIENTOS_COMPLEMENTOS!$B$4:$B$803,"INGRESO")+SUMIFS(MOVIMIENTOS_COMPLEMENTOS!$I$4:$I$803,MOVIMIENTOS_COMPLEMENTOS!$C$4:$C$803,A2822,MOVIMIENTOS_COMPLEMENTOS!$D$4:$D$803,B2822,MOVIMIENTOS_COMPLEMENTOS!$E$4:$E$803,C2822,MOVIMIENTOS_COMPLEMENTOS!$F$4:$F$803,D2822,MOVIMIENTOS_COMPLEMENTOS!$G$4:$G$803,E2822,MOVIMIENTOS_COMPLEMENTOS!$H$4:$H$803,G2822,MOVIMIENTOS_COMPLEMENTOS!$B$4:$B$803,"DE CORTE")-SUMIFS(MOVIMIENTOS_COMPLEMENTOS!$I$4:$I$803,MOVIMIENTOS_COMPLEMENTOS!$C$4:$C$803,A2822,MOVIMIENTOS_COMPLEMENTOS!$D$4:$D$803,B2822,MOVIMIENTOS_COMPLEMENTOS!$E$4:$E$803,C2822,MOVIMIENTOS_COMPLEMENTOS!$F$4:$F$803,D2822,MOVIMIENTOS_COMPLEMENTOS!$G$4:$G$803,E2822,MOVIMIENTOS_COMPLEMENTOS!$H$4:$H$803,G2822,MOVIMIENTOS_COMPLEMENTOS!$B$4:$B$803,"SALIDA"),0)</f>
        <v>0</v>
      </c>
      <c r="I2822" s="102">
        <f t="array" ref="I2822">IFERROR(INDEX(PRECIOS_COMPLEMENTOS!$C$4:$F$17,MATCH(B2822&amp;"_"&amp;C2822,PRECIOS_COMPLEMENTOS!$H$4:$H$17,0),IF(OR(G2822="S",G2822="20cm"),1,IF(OR(G2822="M",G2822="25cm"),2,IF(OR(G2822="L",G2822="30cm"),3,IF(OR(G2822="XL",G2822="35cm"),4,0))))),0)</f>
        <v>0.6</v>
      </c>
      <c r="J2822" s="103">
        <f t="shared" si="1"/>
        <v>0</v>
      </c>
      <c r="K2822" s="104" t="str">
        <f>IF(H2822&lt;0,"ERROR",IF(H2822=0,"",IF(H2822&lt;CONFIG!$B$4,"CRÍTICO",IF(H2822&lt;CONFIG!$B$5,"BAJO","OK"))))</f>
        <v/>
      </c>
    </row>
    <row r="2823" ht="15.75" hidden="1" customHeight="1">
      <c r="A2823" s="90" t="str">
        <f>IF(CLIENTES!A9="","",CLIENTES!A9)</f>
        <v/>
      </c>
      <c r="B2823" s="90" t="s">
        <v>331</v>
      </c>
      <c r="C2823" s="91" t="s">
        <v>328</v>
      </c>
      <c r="D2823" s="109" t="s">
        <v>366</v>
      </c>
      <c r="E2823" s="67" t="str">
        <f>COLORES!A8</f>
        <v>Beige</v>
      </c>
      <c r="F2823" s="67" t="str">
        <f>COLORES!B8</f>
        <v>CLARO</v>
      </c>
      <c r="G2823" s="90" t="s">
        <v>379</v>
      </c>
      <c r="H2823" s="100">
        <f>IFERROR(SUMIFS(MOVIMIENTOS_COMPLEMENTOS!$I$4:$I$803,MOVIMIENTOS_COMPLEMENTOS!$C$4:$C$803,A2823,MOVIMIENTOS_COMPLEMENTOS!$D$4:$D$803,B2823,MOVIMIENTOS_COMPLEMENTOS!$E$4:$E$803,C2823,MOVIMIENTOS_COMPLEMENTOS!$F$4:$F$803,D2823,MOVIMIENTOS_COMPLEMENTOS!$G$4:$G$803,E2823,MOVIMIENTOS_COMPLEMENTOS!$H$4:$H$803,G2823,MOVIMIENTOS_COMPLEMENTOS!$B$4:$B$803,"INGRESO")+SUMIFS(MOVIMIENTOS_COMPLEMENTOS!$I$4:$I$803,MOVIMIENTOS_COMPLEMENTOS!$C$4:$C$803,A2823,MOVIMIENTOS_COMPLEMENTOS!$D$4:$D$803,B2823,MOVIMIENTOS_COMPLEMENTOS!$E$4:$E$803,C2823,MOVIMIENTOS_COMPLEMENTOS!$F$4:$F$803,D2823,MOVIMIENTOS_COMPLEMENTOS!$G$4:$G$803,E2823,MOVIMIENTOS_COMPLEMENTOS!$H$4:$H$803,G2823,MOVIMIENTOS_COMPLEMENTOS!$B$4:$B$803,"DE CORTE")-SUMIFS(MOVIMIENTOS_COMPLEMENTOS!$I$4:$I$803,MOVIMIENTOS_COMPLEMENTOS!$C$4:$C$803,A2823,MOVIMIENTOS_COMPLEMENTOS!$D$4:$D$803,B2823,MOVIMIENTOS_COMPLEMENTOS!$E$4:$E$803,C2823,MOVIMIENTOS_COMPLEMENTOS!$F$4:$F$803,D2823,MOVIMIENTOS_COMPLEMENTOS!$G$4:$G$803,E2823,MOVIMIENTOS_COMPLEMENTOS!$H$4:$H$803,G2823,MOVIMIENTOS_COMPLEMENTOS!$B$4:$B$803,"SALIDA"),0)</f>
        <v>0</v>
      </c>
      <c r="I2823" s="102">
        <f t="array" ref="I2823">IFERROR(INDEX(PRECIOS_COMPLEMENTOS!$C$4:$F$17,MATCH(B2823&amp;"_"&amp;C2823,PRECIOS_COMPLEMENTOS!$H$4:$H$17,0),IF(OR(G2823="S",G2823="20cm"),1,IF(OR(G2823="M",G2823="25cm"),2,IF(OR(G2823="L",G2823="30cm"),3,IF(OR(G2823="XL",G2823="35cm"),4,0))))),0)</f>
        <v>0.6</v>
      </c>
      <c r="J2823" s="103">
        <f t="shared" si="1"/>
        <v>0</v>
      </c>
      <c r="K2823" s="104" t="str">
        <f>IF(H2823&lt;0,"ERROR",IF(H2823=0,"",IF(H2823&lt;CONFIG!$B$4,"CRÍTICO",IF(H2823&lt;CONFIG!$B$5,"BAJO","OK"))))</f>
        <v/>
      </c>
    </row>
    <row r="2824" ht="15.75" hidden="1" customHeight="1">
      <c r="A2824" s="90" t="str">
        <f>IF(CLIENTES!A9="","",CLIENTES!A9)</f>
        <v/>
      </c>
      <c r="B2824" s="90" t="s">
        <v>331</v>
      </c>
      <c r="C2824" s="91" t="s">
        <v>328</v>
      </c>
      <c r="D2824" s="109" t="s">
        <v>366</v>
      </c>
      <c r="E2824" s="67" t="str">
        <f>COLORES!A9</f>
        <v>Melange</v>
      </c>
      <c r="F2824" s="67" t="str">
        <f>COLORES!B9</f>
        <v>MELANGE</v>
      </c>
      <c r="G2824" s="90" t="s">
        <v>378</v>
      </c>
      <c r="H2824" s="100">
        <f>IFERROR(SUMIFS(MOVIMIENTOS_COMPLEMENTOS!$I$4:$I$803,MOVIMIENTOS_COMPLEMENTOS!$C$4:$C$803,A2824,MOVIMIENTOS_COMPLEMENTOS!$D$4:$D$803,B2824,MOVIMIENTOS_COMPLEMENTOS!$E$4:$E$803,C2824,MOVIMIENTOS_COMPLEMENTOS!$F$4:$F$803,D2824,MOVIMIENTOS_COMPLEMENTOS!$G$4:$G$803,E2824,MOVIMIENTOS_COMPLEMENTOS!$H$4:$H$803,G2824,MOVIMIENTOS_COMPLEMENTOS!$B$4:$B$803,"INGRESO")+SUMIFS(MOVIMIENTOS_COMPLEMENTOS!$I$4:$I$803,MOVIMIENTOS_COMPLEMENTOS!$C$4:$C$803,A2824,MOVIMIENTOS_COMPLEMENTOS!$D$4:$D$803,B2824,MOVIMIENTOS_COMPLEMENTOS!$E$4:$E$803,C2824,MOVIMIENTOS_COMPLEMENTOS!$F$4:$F$803,D2824,MOVIMIENTOS_COMPLEMENTOS!$G$4:$G$803,E2824,MOVIMIENTOS_COMPLEMENTOS!$H$4:$H$803,G2824,MOVIMIENTOS_COMPLEMENTOS!$B$4:$B$803,"DE CORTE")-SUMIFS(MOVIMIENTOS_COMPLEMENTOS!$I$4:$I$803,MOVIMIENTOS_COMPLEMENTOS!$C$4:$C$803,A2824,MOVIMIENTOS_COMPLEMENTOS!$D$4:$D$803,B2824,MOVIMIENTOS_COMPLEMENTOS!$E$4:$E$803,C2824,MOVIMIENTOS_COMPLEMENTOS!$F$4:$F$803,D2824,MOVIMIENTOS_COMPLEMENTOS!$G$4:$G$803,E2824,MOVIMIENTOS_COMPLEMENTOS!$H$4:$H$803,G2824,MOVIMIENTOS_COMPLEMENTOS!$B$4:$B$803,"SALIDA"),0)</f>
        <v>0</v>
      </c>
      <c r="I2824" s="102">
        <f t="array" ref="I2824">IFERROR(INDEX(PRECIOS_COMPLEMENTOS!$C$4:$F$17,MATCH(B2824&amp;"_"&amp;C2824,PRECIOS_COMPLEMENTOS!$H$4:$H$17,0),IF(OR(G2824="S",G2824="20cm"),1,IF(OR(G2824="M",G2824="25cm"),2,IF(OR(G2824="L",G2824="30cm"),3,IF(OR(G2824="XL",G2824="35cm"),4,0))))),0)</f>
        <v>0.6</v>
      </c>
      <c r="J2824" s="103">
        <f t="shared" si="1"/>
        <v>0</v>
      </c>
      <c r="K2824" s="104" t="str">
        <f>IF(H2824&lt;0,"ERROR",IF(H2824=0,"",IF(H2824&lt;CONFIG!$B$4,"CRÍTICO",IF(H2824&lt;CONFIG!$B$5,"BAJO","OK"))))</f>
        <v/>
      </c>
    </row>
    <row r="2825" ht="15.75" hidden="1" customHeight="1">
      <c r="A2825" s="90" t="str">
        <f>IF(CLIENTES!A9="","",CLIENTES!A9)</f>
        <v/>
      </c>
      <c r="B2825" s="90" t="s">
        <v>331</v>
      </c>
      <c r="C2825" s="91" t="s">
        <v>328</v>
      </c>
      <c r="D2825" s="109" t="s">
        <v>366</v>
      </c>
      <c r="E2825" s="67" t="str">
        <f>COLORES!A9</f>
        <v>Melange</v>
      </c>
      <c r="F2825" s="67" t="str">
        <f>COLORES!B9</f>
        <v>MELANGE</v>
      </c>
      <c r="G2825" s="90" t="s">
        <v>376</v>
      </c>
      <c r="H2825" s="100">
        <f>IFERROR(SUMIFS(MOVIMIENTOS_COMPLEMENTOS!$I$4:$I$803,MOVIMIENTOS_COMPLEMENTOS!$C$4:$C$803,A2825,MOVIMIENTOS_COMPLEMENTOS!$D$4:$D$803,B2825,MOVIMIENTOS_COMPLEMENTOS!$E$4:$E$803,C2825,MOVIMIENTOS_COMPLEMENTOS!$F$4:$F$803,D2825,MOVIMIENTOS_COMPLEMENTOS!$G$4:$G$803,E2825,MOVIMIENTOS_COMPLEMENTOS!$H$4:$H$803,G2825,MOVIMIENTOS_COMPLEMENTOS!$B$4:$B$803,"INGRESO")+SUMIFS(MOVIMIENTOS_COMPLEMENTOS!$I$4:$I$803,MOVIMIENTOS_COMPLEMENTOS!$C$4:$C$803,A2825,MOVIMIENTOS_COMPLEMENTOS!$D$4:$D$803,B2825,MOVIMIENTOS_COMPLEMENTOS!$E$4:$E$803,C2825,MOVIMIENTOS_COMPLEMENTOS!$F$4:$F$803,D2825,MOVIMIENTOS_COMPLEMENTOS!$G$4:$G$803,E2825,MOVIMIENTOS_COMPLEMENTOS!$H$4:$H$803,G2825,MOVIMIENTOS_COMPLEMENTOS!$B$4:$B$803,"DE CORTE")-SUMIFS(MOVIMIENTOS_COMPLEMENTOS!$I$4:$I$803,MOVIMIENTOS_COMPLEMENTOS!$C$4:$C$803,A2825,MOVIMIENTOS_COMPLEMENTOS!$D$4:$D$803,B2825,MOVIMIENTOS_COMPLEMENTOS!$E$4:$E$803,C2825,MOVIMIENTOS_COMPLEMENTOS!$F$4:$F$803,D2825,MOVIMIENTOS_COMPLEMENTOS!$G$4:$G$803,E2825,MOVIMIENTOS_COMPLEMENTOS!$H$4:$H$803,G2825,MOVIMIENTOS_COMPLEMENTOS!$B$4:$B$803,"SALIDA"),0)</f>
        <v>0</v>
      </c>
      <c r="I2825" s="102">
        <f t="array" ref="I2825">IFERROR(INDEX(PRECIOS_COMPLEMENTOS!$C$4:$F$17,MATCH(B2825&amp;"_"&amp;C2825,PRECIOS_COMPLEMENTOS!$H$4:$H$17,0),IF(OR(G2825="S",G2825="20cm"),1,IF(OR(G2825="M",G2825="25cm"),2,IF(OR(G2825="L",G2825="30cm"),3,IF(OR(G2825="XL",G2825="35cm"),4,0))))),0)</f>
        <v>0.6</v>
      </c>
      <c r="J2825" s="103">
        <f t="shared" si="1"/>
        <v>0</v>
      </c>
      <c r="K2825" s="104" t="str">
        <f>IF(H2825&lt;0,"ERROR",IF(H2825=0,"",IF(H2825&lt;CONFIG!$B$4,"CRÍTICO",IF(H2825&lt;CONFIG!$B$5,"BAJO","OK"))))</f>
        <v/>
      </c>
    </row>
    <row r="2826" ht="15.75" hidden="1" customHeight="1">
      <c r="A2826" s="90" t="str">
        <f>IF(CLIENTES!A9="","",CLIENTES!A9)</f>
        <v/>
      </c>
      <c r="B2826" s="90" t="s">
        <v>331</v>
      </c>
      <c r="C2826" s="91" t="s">
        <v>328</v>
      </c>
      <c r="D2826" s="109" t="s">
        <v>366</v>
      </c>
      <c r="E2826" s="67" t="str">
        <f>COLORES!A9</f>
        <v>Melange</v>
      </c>
      <c r="F2826" s="67" t="str">
        <f>COLORES!B9</f>
        <v>MELANGE</v>
      </c>
      <c r="G2826" s="90" t="s">
        <v>377</v>
      </c>
      <c r="H2826" s="100">
        <f>IFERROR(SUMIFS(MOVIMIENTOS_COMPLEMENTOS!$I$4:$I$803,MOVIMIENTOS_COMPLEMENTOS!$C$4:$C$803,A2826,MOVIMIENTOS_COMPLEMENTOS!$D$4:$D$803,B2826,MOVIMIENTOS_COMPLEMENTOS!$E$4:$E$803,C2826,MOVIMIENTOS_COMPLEMENTOS!$F$4:$F$803,D2826,MOVIMIENTOS_COMPLEMENTOS!$G$4:$G$803,E2826,MOVIMIENTOS_COMPLEMENTOS!$H$4:$H$803,G2826,MOVIMIENTOS_COMPLEMENTOS!$B$4:$B$803,"INGRESO")+SUMIFS(MOVIMIENTOS_COMPLEMENTOS!$I$4:$I$803,MOVIMIENTOS_COMPLEMENTOS!$C$4:$C$803,A2826,MOVIMIENTOS_COMPLEMENTOS!$D$4:$D$803,B2826,MOVIMIENTOS_COMPLEMENTOS!$E$4:$E$803,C2826,MOVIMIENTOS_COMPLEMENTOS!$F$4:$F$803,D2826,MOVIMIENTOS_COMPLEMENTOS!$G$4:$G$803,E2826,MOVIMIENTOS_COMPLEMENTOS!$H$4:$H$803,G2826,MOVIMIENTOS_COMPLEMENTOS!$B$4:$B$803,"DE CORTE")-SUMIFS(MOVIMIENTOS_COMPLEMENTOS!$I$4:$I$803,MOVIMIENTOS_COMPLEMENTOS!$C$4:$C$803,A2826,MOVIMIENTOS_COMPLEMENTOS!$D$4:$D$803,B2826,MOVIMIENTOS_COMPLEMENTOS!$E$4:$E$803,C2826,MOVIMIENTOS_COMPLEMENTOS!$F$4:$F$803,D2826,MOVIMIENTOS_COMPLEMENTOS!$G$4:$G$803,E2826,MOVIMIENTOS_COMPLEMENTOS!$H$4:$H$803,G2826,MOVIMIENTOS_COMPLEMENTOS!$B$4:$B$803,"SALIDA"),0)</f>
        <v>0</v>
      </c>
      <c r="I2826" s="102">
        <f t="array" ref="I2826">IFERROR(INDEX(PRECIOS_COMPLEMENTOS!$C$4:$F$17,MATCH(B2826&amp;"_"&amp;C2826,PRECIOS_COMPLEMENTOS!$H$4:$H$17,0),IF(OR(G2826="S",G2826="20cm"),1,IF(OR(G2826="M",G2826="25cm"),2,IF(OR(G2826="L",G2826="30cm"),3,IF(OR(G2826="XL",G2826="35cm"),4,0))))),0)</f>
        <v>0.6</v>
      </c>
      <c r="J2826" s="103">
        <f t="shared" si="1"/>
        <v>0</v>
      </c>
      <c r="K2826" s="104" t="str">
        <f>IF(H2826&lt;0,"ERROR",IF(H2826=0,"",IF(H2826&lt;CONFIG!$B$4,"CRÍTICO",IF(H2826&lt;CONFIG!$B$5,"BAJO","OK"))))</f>
        <v/>
      </c>
    </row>
    <row r="2827" ht="15.75" hidden="1" customHeight="1">
      <c r="A2827" s="90" t="str">
        <f>IF(CLIENTES!A9="","",CLIENTES!A9)</f>
        <v/>
      </c>
      <c r="B2827" s="90" t="s">
        <v>331</v>
      </c>
      <c r="C2827" s="91" t="s">
        <v>328</v>
      </c>
      <c r="D2827" s="109" t="s">
        <v>366</v>
      </c>
      <c r="E2827" s="67" t="str">
        <f>COLORES!A9</f>
        <v>Melange</v>
      </c>
      <c r="F2827" s="67" t="str">
        <f>COLORES!B9</f>
        <v>MELANGE</v>
      </c>
      <c r="G2827" s="90" t="s">
        <v>379</v>
      </c>
      <c r="H2827" s="100">
        <f>IFERROR(SUMIFS(MOVIMIENTOS_COMPLEMENTOS!$I$4:$I$803,MOVIMIENTOS_COMPLEMENTOS!$C$4:$C$803,A2827,MOVIMIENTOS_COMPLEMENTOS!$D$4:$D$803,B2827,MOVIMIENTOS_COMPLEMENTOS!$E$4:$E$803,C2827,MOVIMIENTOS_COMPLEMENTOS!$F$4:$F$803,D2827,MOVIMIENTOS_COMPLEMENTOS!$G$4:$G$803,E2827,MOVIMIENTOS_COMPLEMENTOS!$H$4:$H$803,G2827,MOVIMIENTOS_COMPLEMENTOS!$B$4:$B$803,"INGRESO")+SUMIFS(MOVIMIENTOS_COMPLEMENTOS!$I$4:$I$803,MOVIMIENTOS_COMPLEMENTOS!$C$4:$C$803,A2827,MOVIMIENTOS_COMPLEMENTOS!$D$4:$D$803,B2827,MOVIMIENTOS_COMPLEMENTOS!$E$4:$E$803,C2827,MOVIMIENTOS_COMPLEMENTOS!$F$4:$F$803,D2827,MOVIMIENTOS_COMPLEMENTOS!$G$4:$G$803,E2827,MOVIMIENTOS_COMPLEMENTOS!$H$4:$H$803,G2827,MOVIMIENTOS_COMPLEMENTOS!$B$4:$B$803,"DE CORTE")-SUMIFS(MOVIMIENTOS_COMPLEMENTOS!$I$4:$I$803,MOVIMIENTOS_COMPLEMENTOS!$C$4:$C$803,A2827,MOVIMIENTOS_COMPLEMENTOS!$D$4:$D$803,B2827,MOVIMIENTOS_COMPLEMENTOS!$E$4:$E$803,C2827,MOVIMIENTOS_COMPLEMENTOS!$F$4:$F$803,D2827,MOVIMIENTOS_COMPLEMENTOS!$G$4:$G$803,E2827,MOVIMIENTOS_COMPLEMENTOS!$H$4:$H$803,G2827,MOVIMIENTOS_COMPLEMENTOS!$B$4:$B$803,"SALIDA"),0)</f>
        <v>0</v>
      </c>
      <c r="I2827" s="102">
        <f t="array" ref="I2827">IFERROR(INDEX(PRECIOS_COMPLEMENTOS!$C$4:$F$17,MATCH(B2827&amp;"_"&amp;C2827,PRECIOS_COMPLEMENTOS!$H$4:$H$17,0),IF(OR(G2827="S",G2827="20cm"),1,IF(OR(G2827="M",G2827="25cm"),2,IF(OR(G2827="L",G2827="30cm"),3,IF(OR(G2827="XL",G2827="35cm"),4,0))))),0)</f>
        <v>0.6</v>
      </c>
      <c r="J2827" s="103">
        <f t="shared" si="1"/>
        <v>0</v>
      </c>
      <c r="K2827" s="104" t="str">
        <f>IF(H2827&lt;0,"ERROR",IF(H2827=0,"",IF(H2827&lt;CONFIG!$B$4,"CRÍTICO",IF(H2827&lt;CONFIG!$B$5,"BAJO","OK"))))</f>
        <v/>
      </c>
    </row>
    <row r="2828" ht="15.75" hidden="1" customHeight="1">
      <c r="A2828" s="90" t="str">
        <f>IF(CLIENTES!A9="","",CLIENTES!A9)</f>
        <v/>
      </c>
      <c r="B2828" s="90" t="s">
        <v>331</v>
      </c>
      <c r="C2828" s="91" t="s">
        <v>328</v>
      </c>
      <c r="D2828" s="109" t="s">
        <v>366</v>
      </c>
      <c r="E2828" s="67" t="str">
        <f>COLORES!A10</f>
        <v>Botella</v>
      </c>
      <c r="F2828" s="67" t="str">
        <f>COLORES!B10</f>
        <v>OSCURO</v>
      </c>
      <c r="G2828" s="90" t="s">
        <v>378</v>
      </c>
      <c r="H2828" s="100">
        <f>IFERROR(SUMIFS(MOVIMIENTOS_COMPLEMENTOS!$I$4:$I$803,MOVIMIENTOS_COMPLEMENTOS!$C$4:$C$803,A2828,MOVIMIENTOS_COMPLEMENTOS!$D$4:$D$803,B2828,MOVIMIENTOS_COMPLEMENTOS!$E$4:$E$803,C2828,MOVIMIENTOS_COMPLEMENTOS!$F$4:$F$803,D2828,MOVIMIENTOS_COMPLEMENTOS!$G$4:$G$803,E2828,MOVIMIENTOS_COMPLEMENTOS!$H$4:$H$803,G2828,MOVIMIENTOS_COMPLEMENTOS!$B$4:$B$803,"INGRESO")+SUMIFS(MOVIMIENTOS_COMPLEMENTOS!$I$4:$I$803,MOVIMIENTOS_COMPLEMENTOS!$C$4:$C$803,A2828,MOVIMIENTOS_COMPLEMENTOS!$D$4:$D$803,B2828,MOVIMIENTOS_COMPLEMENTOS!$E$4:$E$803,C2828,MOVIMIENTOS_COMPLEMENTOS!$F$4:$F$803,D2828,MOVIMIENTOS_COMPLEMENTOS!$G$4:$G$803,E2828,MOVIMIENTOS_COMPLEMENTOS!$H$4:$H$803,G2828,MOVIMIENTOS_COMPLEMENTOS!$B$4:$B$803,"DE CORTE")-SUMIFS(MOVIMIENTOS_COMPLEMENTOS!$I$4:$I$803,MOVIMIENTOS_COMPLEMENTOS!$C$4:$C$803,A2828,MOVIMIENTOS_COMPLEMENTOS!$D$4:$D$803,B2828,MOVIMIENTOS_COMPLEMENTOS!$E$4:$E$803,C2828,MOVIMIENTOS_COMPLEMENTOS!$F$4:$F$803,D2828,MOVIMIENTOS_COMPLEMENTOS!$G$4:$G$803,E2828,MOVIMIENTOS_COMPLEMENTOS!$H$4:$H$803,G2828,MOVIMIENTOS_COMPLEMENTOS!$B$4:$B$803,"SALIDA"),0)</f>
        <v>0</v>
      </c>
      <c r="I2828" s="102">
        <f t="array" ref="I2828">IFERROR(INDEX(PRECIOS_COMPLEMENTOS!$C$4:$F$17,MATCH(B2828&amp;"_"&amp;C2828,PRECIOS_COMPLEMENTOS!$H$4:$H$17,0),IF(OR(G2828="S",G2828="20cm"),1,IF(OR(G2828="M",G2828="25cm"),2,IF(OR(G2828="L",G2828="30cm"),3,IF(OR(G2828="XL",G2828="35cm"),4,0))))),0)</f>
        <v>0.6</v>
      </c>
      <c r="J2828" s="103">
        <f t="shared" si="1"/>
        <v>0</v>
      </c>
      <c r="K2828" s="104" t="str">
        <f>IF(H2828&lt;0,"ERROR",IF(H2828=0,"",IF(H2828&lt;CONFIG!$B$4,"CRÍTICO",IF(H2828&lt;CONFIG!$B$5,"BAJO","OK"))))</f>
        <v/>
      </c>
    </row>
    <row r="2829" ht="15.75" hidden="1" customHeight="1">
      <c r="A2829" s="90" t="str">
        <f>IF(CLIENTES!A9="","",CLIENTES!A9)</f>
        <v/>
      </c>
      <c r="B2829" s="90" t="s">
        <v>331</v>
      </c>
      <c r="C2829" s="91" t="s">
        <v>328</v>
      </c>
      <c r="D2829" s="109" t="s">
        <v>366</v>
      </c>
      <c r="E2829" s="67" t="str">
        <f>COLORES!A10</f>
        <v>Botella</v>
      </c>
      <c r="F2829" s="67" t="str">
        <f>COLORES!B10</f>
        <v>OSCURO</v>
      </c>
      <c r="G2829" s="90" t="s">
        <v>376</v>
      </c>
      <c r="H2829" s="100">
        <f>IFERROR(SUMIFS(MOVIMIENTOS_COMPLEMENTOS!$I$4:$I$803,MOVIMIENTOS_COMPLEMENTOS!$C$4:$C$803,A2829,MOVIMIENTOS_COMPLEMENTOS!$D$4:$D$803,B2829,MOVIMIENTOS_COMPLEMENTOS!$E$4:$E$803,C2829,MOVIMIENTOS_COMPLEMENTOS!$F$4:$F$803,D2829,MOVIMIENTOS_COMPLEMENTOS!$G$4:$G$803,E2829,MOVIMIENTOS_COMPLEMENTOS!$H$4:$H$803,G2829,MOVIMIENTOS_COMPLEMENTOS!$B$4:$B$803,"INGRESO")+SUMIFS(MOVIMIENTOS_COMPLEMENTOS!$I$4:$I$803,MOVIMIENTOS_COMPLEMENTOS!$C$4:$C$803,A2829,MOVIMIENTOS_COMPLEMENTOS!$D$4:$D$803,B2829,MOVIMIENTOS_COMPLEMENTOS!$E$4:$E$803,C2829,MOVIMIENTOS_COMPLEMENTOS!$F$4:$F$803,D2829,MOVIMIENTOS_COMPLEMENTOS!$G$4:$G$803,E2829,MOVIMIENTOS_COMPLEMENTOS!$H$4:$H$803,G2829,MOVIMIENTOS_COMPLEMENTOS!$B$4:$B$803,"DE CORTE")-SUMIFS(MOVIMIENTOS_COMPLEMENTOS!$I$4:$I$803,MOVIMIENTOS_COMPLEMENTOS!$C$4:$C$803,A2829,MOVIMIENTOS_COMPLEMENTOS!$D$4:$D$803,B2829,MOVIMIENTOS_COMPLEMENTOS!$E$4:$E$803,C2829,MOVIMIENTOS_COMPLEMENTOS!$F$4:$F$803,D2829,MOVIMIENTOS_COMPLEMENTOS!$G$4:$G$803,E2829,MOVIMIENTOS_COMPLEMENTOS!$H$4:$H$803,G2829,MOVIMIENTOS_COMPLEMENTOS!$B$4:$B$803,"SALIDA"),0)</f>
        <v>0</v>
      </c>
      <c r="I2829" s="102">
        <f t="array" ref="I2829">IFERROR(INDEX(PRECIOS_COMPLEMENTOS!$C$4:$F$17,MATCH(B2829&amp;"_"&amp;C2829,PRECIOS_COMPLEMENTOS!$H$4:$H$17,0),IF(OR(G2829="S",G2829="20cm"),1,IF(OR(G2829="M",G2829="25cm"),2,IF(OR(G2829="L",G2829="30cm"),3,IF(OR(G2829="XL",G2829="35cm"),4,0))))),0)</f>
        <v>0.6</v>
      </c>
      <c r="J2829" s="103">
        <f t="shared" si="1"/>
        <v>0</v>
      </c>
      <c r="K2829" s="104" t="str">
        <f>IF(H2829&lt;0,"ERROR",IF(H2829=0,"",IF(H2829&lt;CONFIG!$B$4,"CRÍTICO",IF(H2829&lt;CONFIG!$B$5,"BAJO","OK"))))</f>
        <v/>
      </c>
    </row>
    <row r="2830" ht="15.75" hidden="1" customHeight="1">
      <c r="A2830" s="90" t="str">
        <f>IF(CLIENTES!A9="","",CLIENTES!A9)</f>
        <v/>
      </c>
      <c r="B2830" s="90" t="s">
        <v>331</v>
      </c>
      <c r="C2830" s="91" t="s">
        <v>328</v>
      </c>
      <c r="D2830" s="109" t="s">
        <v>366</v>
      </c>
      <c r="E2830" s="67" t="str">
        <f>COLORES!A10</f>
        <v>Botella</v>
      </c>
      <c r="F2830" s="67" t="str">
        <f>COLORES!B10</f>
        <v>OSCURO</v>
      </c>
      <c r="G2830" s="90" t="s">
        <v>377</v>
      </c>
      <c r="H2830" s="100">
        <f>IFERROR(SUMIFS(MOVIMIENTOS_COMPLEMENTOS!$I$4:$I$803,MOVIMIENTOS_COMPLEMENTOS!$C$4:$C$803,A2830,MOVIMIENTOS_COMPLEMENTOS!$D$4:$D$803,B2830,MOVIMIENTOS_COMPLEMENTOS!$E$4:$E$803,C2830,MOVIMIENTOS_COMPLEMENTOS!$F$4:$F$803,D2830,MOVIMIENTOS_COMPLEMENTOS!$G$4:$G$803,E2830,MOVIMIENTOS_COMPLEMENTOS!$H$4:$H$803,G2830,MOVIMIENTOS_COMPLEMENTOS!$B$4:$B$803,"INGRESO")+SUMIFS(MOVIMIENTOS_COMPLEMENTOS!$I$4:$I$803,MOVIMIENTOS_COMPLEMENTOS!$C$4:$C$803,A2830,MOVIMIENTOS_COMPLEMENTOS!$D$4:$D$803,B2830,MOVIMIENTOS_COMPLEMENTOS!$E$4:$E$803,C2830,MOVIMIENTOS_COMPLEMENTOS!$F$4:$F$803,D2830,MOVIMIENTOS_COMPLEMENTOS!$G$4:$G$803,E2830,MOVIMIENTOS_COMPLEMENTOS!$H$4:$H$803,G2830,MOVIMIENTOS_COMPLEMENTOS!$B$4:$B$803,"DE CORTE")-SUMIFS(MOVIMIENTOS_COMPLEMENTOS!$I$4:$I$803,MOVIMIENTOS_COMPLEMENTOS!$C$4:$C$803,A2830,MOVIMIENTOS_COMPLEMENTOS!$D$4:$D$803,B2830,MOVIMIENTOS_COMPLEMENTOS!$E$4:$E$803,C2830,MOVIMIENTOS_COMPLEMENTOS!$F$4:$F$803,D2830,MOVIMIENTOS_COMPLEMENTOS!$G$4:$G$803,E2830,MOVIMIENTOS_COMPLEMENTOS!$H$4:$H$803,G2830,MOVIMIENTOS_COMPLEMENTOS!$B$4:$B$803,"SALIDA"),0)</f>
        <v>0</v>
      </c>
      <c r="I2830" s="102">
        <f t="array" ref="I2830">IFERROR(INDEX(PRECIOS_COMPLEMENTOS!$C$4:$F$17,MATCH(B2830&amp;"_"&amp;C2830,PRECIOS_COMPLEMENTOS!$H$4:$H$17,0),IF(OR(G2830="S",G2830="20cm"),1,IF(OR(G2830="M",G2830="25cm"),2,IF(OR(G2830="L",G2830="30cm"),3,IF(OR(G2830="XL",G2830="35cm"),4,0))))),0)</f>
        <v>0.6</v>
      </c>
      <c r="J2830" s="103">
        <f t="shared" si="1"/>
        <v>0</v>
      </c>
      <c r="K2830" s="104" t="str">
        <f>IF(H2830&lt;0,"ERROR",IF(H2830=0,"",IF(H2830&lt;CONFIG!$B$4,"CRÍTICO",IF(H2830&lt;CONFIG!$B$5,"BAJO","OK"))))</f>
        <v/>
      </c>
    </row>
    <row r="2831" ht="15.75" hidden="1" customHeight="1">
      <c r="A2831" s="90" t="str">
        <f>IF(CLIENTES!A9="","",CLIENTES!A9)</f>
        <v/>
      </c>
      <c r="B2831" s="90" t="s">
        <v>331</v>
      </c>
      <c r="C2831" s="91" t="s">
        <v>328</v>
      </c>
      <c r="D2831" s="109" t="s">
        <v>366</v>
      </c>
      <c r="E2831" s="67" t="str">
        <f>COLORES!A10</f>
        <v>Botella</v>
      </c>
      <c r="F2831" s="67" t="str">
        <f>COLORES!B10</f>
        <v>OSCURO</v>
      </c>
      <c r="G2831" s="90" t="s">
        <v>379</v>
      </c>
      <c r="H2831" s="100">
        <f>IFERROR(SUMIFS(MOVIMIENTOS_COMPLEMENTOS!$I$4:$I$803,MOVIMIENTOS_COMPLEMENTOS!$C$4:$C$803,A2831,MOVIMIENTOS_COMPLEMENTOS!$D$4:$D$803,B2831,MOVIMIENTOS_COMPLEMENTOS!$E$4:$E$803,C2831,MOVIMIENTOS_COMPLEMENTOS!$F$4:$F$803,D2831,MOVIMIENTOS_COMPLEMENTOS!$G$4:$G$803,E2831,MOVIMIENTOS_COMPLEMENTOS!$H$4:$H$803,G2831,MOVIMIENTOS_COMPLEMENTOS!$B$4:$B$803,"INGRESO")+SUMIFS(MOVIMIENTOS_COMPLEMENTOS!$I$4:$I$803,MOVIMIENTOS_COMPLEMENTOS!$C$4:$C$803,A2831,MOVIMIENTOS_COMPLEMENTOS!$D$4:$D$803,B2831,MOVIMIENTOS_COMPLEMENTOS!$E$4:$E$803,C2831,MOVIMIENTOS_COMPLEMENTOS!$F$4:$F$803,D2831,MOVIMIENTOS_COMPLEMENTOS!$G$4:$G$803,E2831,MOVIMIENTOS_COMPLEMENTOS!$H$4:$H$803,G2831,MOVIMIENTOS_COMPLEMENTOS!$B$4:$B$803,"DE CORTE")-SUMIFS(MOVIMIENTOS_COMPLEMENTOS!$I$4:$I$803,MOVIMIENTOS_COMPLEMENTOS!$C$4:$C$803,A2831,MOVIMIENTOS_COMPLEMENTOS!$D$4:$D$803,B2831,MOVIMIENTOS_COMPLEMENTOS!$E$4:$E$803,C2831,MOVIMIENTOS_COMPLEMENTOS!$F$4:$F$803,D2831,MOVIMIENTOS_COMPLEMENTOS!$G$4:$G$803,E2831,MOVIMIENTOS_COMPLEMENTOS!$H$4:$H$803,G2831,MOVIMIENTOS_COMPLEMENTOS!$B$4:$B$803,"SALIDA"),0)</f>
        <v>0</v>
      </c>
      <c r="I2831" s="102">
        <f t="array" ref="I2831">IFERROR(INDEX(PRECIOS_COMPLEMENTOS!$C$4:$F$17,MATCH(B2831&amp;"_"&amp;C2831,PRECIOS_COMPLEMENTOS!$H$4:$H$17,0),IF(OR(G2831="S",G2831="20cm"),1,IF(OR(G2831="M",G2831="25cm"),2,IF(OR(G2831="L",G2831="30cm"),3,IF(OR(G2831="XL",G2831="35cm"),4,0))))),0)</f>
        <v>0.6</v>
      </c>
      <c r="J2831" s="103">
        <f t="shared" si="1"/>
        <v>0</v>
      </c>
      <c r="K2831" s="104" t="str">
        <f>IF(H2831&lt;0,"ERROR",IF(H2831=0,"",IF(H2831&lt;CONFIG!$B$4,"CRÍTICO",IF(H2831&lt;CONFIG!$B$5,"BAJO","OK"))))</f>
        <v/>
      </c>
    </row>
    <row r="2832" ht="15.75" hidden="1" customHeight="1">
      <c r="A2832" s="90" t="str">
        <f>IF(CLIENTES!A9="","",CLIENTES!A9)</f>
        <v/>
      </c>
      <c r="B2832" s="90" t="s">
        <v>331</v>
      </c>
      <c r="C2832" s="91" t="s">
        <v>328</v>
      </c>
      <c r="D2832" s="109" t="s">
        <v>366</v>
      </c>
      <c r="E2832" s="67" t="str">
        <f>COLORES!A11</f>
        <v>Pacay</v>
      </c>
      <c r="F2832" s="67" t="str">
        <f>COLORES!B11</f>
        <v>CLARO</v>
      </c>
      <c r="G2832" s="90" t="s">
        <v>378</v>
      </c>
      <c r="H2832" s="100">
        <f>IFERROR(SUMIFS(MOVIMIENTOS_COMPLEMENTOS!$I$4:$I$803,MOVIMIENTOS_COMPLEMENTOS!$C$4:$C$803,A2832,MOVIMIENTOS_COMPLEMENTOS!$D$4:$D$803,B2832,MOVIMIENTOS_COMPLEMENTOS!$E$4:$E$803,C2832,MOVIMIENTOS_COMPLEMENTOS!$F$4:$F$803,D2832,MOVIMIENTOS_COMPLEMENTOS!$G$4:$G$803,E2832,MOVIMIENTOS_COMPLEMENTOS!$H$4:$H$803,G2832,MOVIMIENTOS_COMPLEMENTOS!$B$4:$B$803,"INGRESO")+SUMIFS(MOVIMIENTOS_COMPLEMENTOS!$I$4:$I$803,MOVIMIENTOS_COMPLEMENTOS!$C$4:$C$803,A2832,MOVIMIENTOS_COMPLEMENTOS!$D$4:$D$803,B2832,MOVIMIENTOS_COMPLEMENTOS!$E$4:$E$803,C2832,MOVIMIENTOS_COMPLEMENTOS!$F$4:$F$803,D2832,MOVIMIENTOS_COMPLEMENTOS!$G$4:$G$803,E2832,MOVIMIENTOS_COMPLEMENTOS!$H$4:$H$803,G2832,MOVIMIENTOS_COMPLEMENTOS!$B$4:$B$803,"DE CORTE")-SUMIFS(MOVIMIENTOS_COMPLEMENTOS!$I$4:$I$803,MOVIMIENTOS_COMPLEMENTOS!$C$4:$C$803,A2832,MOVIMIENTOS_COMPLEMENTOS!$D$4:$D$803,B2832,MOVIMIENTOS_COMPLEMENTOS!$E$4:$E$803,C2832,MOVIMIENTOS_COMPLEMENTOS!$F$4:$F$803,D2832,MOVIMIENTOS_COMPLEMENTOS!$G$4:$G$803,E2832,MOVIMIENTOS_COMPLEMENTOS!$H$4:$H$803,G2832,MOVIMIENTOS_COMPLEMENTOS!$B$4:$B$803,"SALIDA"),0)</f>
        <v>0</v>
      </c>
      <c r="I2832" s="102">
        <f t="array" ref="I2832">IFERROR(INDEX(PRECIOS_COMPLEMENTOS!$C$4:$F$17,MATCH(B2832&amp;"_"&amp;C2832,PRECIOS_COMPLEMENTOS!$H$4:$H$17,0),IF(OR(G2832="S",G2832="20cm"),1,IF(OR(G2832="M",G2832="25cm"),2,IF(OR(G2832="L",G2832="30cm"),3,IF(OR(G2832="XL",G2832="35cm"),4,0))))),0)</f>
        <v>0.6</v>
      </c>
      <c r="J2832" s="103">
        <f t="shared" si="1"/>
        <v>0</v>
      </c>
      <c r="K2832" s="104" t="str">
        <f>IF(H2832&lt;0,"ERROR",IF(H2832=0,"",IF(H2832&lt;CONFIG!$B$4,"CRÍTICO",IF(H2832&lt;CONFIG!$B$5,"BAJO","OK"))))</f>
        <v/>
      </c>
    </row>
    <row r="2833" ht="15.75" hidden="1" customHeight="1">
      <c r="A2833" s="90" t="str">
        <f>IF(CLIENTES!A9="","",CLIENTES!A9)</f>
        <v/>
      </c>
      <c r="B2833" s="90" t="s">
        <v>331</v>
      </c>
      <c r="C2833" s="91" t="s">
        <v>328</v>
      </c>
      <c r="D2833" s="109" t="s">
        <v>366</v>
      </c>
      <c r="E2833" s="67" t="str">
        <f>COLORES!A11</f>
        <v>Pacay</v>
      </c>
      <c r="F2833" s="67" t="str">
        <f>COLORES!B11</f>
        <v>CLARO</v>
      </c>
      <c r="G2833" s="90" t="s">
        <v>376</v>
      </c>
      <c r="H2833" s="100">
        <f>IFERROR(SUMIFS(MOVIMIENTOS_COMPLEMENTOS!$I$4:$I$803,MOVIMIENTOS_COMPLEMENTOS!$C$4:$C$803,A2833,MOVIMIENTOS_COMPLEMENTOS!$D$4:$D$803,B2833,MOVIMIENTOS_COMPLEMENTOS!$E$4:$E$803,C2833,MOVIMIENTOS_COMPLEMENTOS!$F$4:$F$803,D2833,MOVIMIENTOS_COMPLEMENTOS!$G$4:$G$803,E2833,MOVIMIENTOS_COMPLEMENTOS!$H$4:$H$803,G2833,MOVIMIENTOS_COMPLEMENTOS!$B$4:$B$803,"INGRESO")+SUMIFS(MOVIMIENTOS_COMPLEMENTOS!$I$4:$I$803,MOVIMIENTOS_COMPLEMENTOS!$C$4:$C$803,A2833,MOVIMIENTOS_COMPLEMENTOS!$D$4:$D$803,B2833,MOVIMIENTOS_COMPLEMENTOS!$E$4:$E$803,C2833,MOVIMIENTOS_COMPLEMENTOS!$F$4:$F$803,D2833,MOVIMIENTOS_COMPLEMENTOS!$G$4:$G$803,E2833,MOVIMIENTOS_COMPLEMENTOS!$H$4:$H$803,G2833,MOVIMIENTOS_COMPLEMENTOS!$B$4:$B$803,"DE CORTE")-SUMIFS(MOVIMIENTOS_COMPLEMENTOS!$I$4:$I$803,MOVIMIENTOS_COMPLEMENTOS!$C$4:$C$803,A2833,MOVIMIENTOS_COMPLEMENTOS!$D$4:$D$803,B2833,MOVIMIENTOS_COMPLEMENTOS!$E$4:$E$803,C2833,MOVIMIENTOS_COMPLEMENTOS!$F$4:$F$803,D2833,MOVIMIENTOS_COMPLEMENTOS!$G$4:$G$803,E2833,MOVIMIENTOS_COMPLEMENTOS!$H$4:$H$803,G2833,MOVIMIENTOS_COMPLEMENTOS!$B$4:$B$803,"SALIDA"),0)</f>
        <v>0</v>
      </c>
      <c r="I2833" s="102">
        <f t="array" ref="I2833">IFERROR(INDEX(PRECIOS_COMPLEMENTOS!$C$4:$F$17,MATCH(B2833&amp;"_"&amp;C2833,PRECIOS_COMPLEMENTOS!$H$4:$H$17,0),IF(OR(G2833="S",G2833="20cm"),1,IF(OR(G2833="M",G2833="25cm"),2,IF(OR(G2833="L",G2833="30cm"),3,IF(OR(G2833="XL",G2833="35cm"),4,0))))),0)</f>
        <v>0.6</v>
      </c>
      <c r="J2833" s="103">
        <f t="shared" si="1"/>
        <v>0</v>
      </c>
      <c r="K2833" s="104" t="str">
        <f>IF(H2833&lt;0,"ERROR",IF(H2833=0,"",IF(H2833&lt;CONFIG!$B$4,"CRÍTICO",IF(H2833&lt;CONFIG!$B$5,"BAJO","OK"))))</f>
        <v/>
      </c>
    </row>
    <row r="2834" ht="15.75" hidden="1" customHeight="1">
      <c r="A2834" s="90" t="str">
        <f>IF(CLIENTES!A9="","",CLIENTES!A9)</f>
        <v/>
      </c>
      <c r="B2834" s="90" t="s">
        <v>331</v>
      </c>
      <c r="C2834" s="91" t="s">
        <v>328</v>
      </c>
      <c r="D2834" s="109" t="s">
        <v>366</v>
      </c>
      <c r="E2834" s="67" t="str">
        <f>COLORES!A11</f>
        <v>Pacay</v>
      </c>
      <c r="F2834" s="67" t="str">
        <f>COLORES!B11</f>
        <v>CLARO</v>
      </c>
      <c r="G2834" s="90" t="s">
        <v>377</v>
      </c>
      <c r="H2834" s="100">
        <f>IFERROR(SUMIFS(MOVIMIENTOS_COMPLEMENTOS!$I$4:$I$803,MOVIMIENTOS_COMPLEMENTOS!$C$4:$C$803,A2834,MOVIMIENTOS_COMPLEMENTOS!$D$4:$D$803,B2834,MOVIMIENTOS_COMPLEMENTOS!$E$4:$E$803,C2834,MOVIMIENTOS_COMPLEMENTOS!$F$4:$F$803,D2834,MOVIMIENTOS_COMPLEMENTOS!$G$4:$G$803,E2834,MOVIMIENTOS_COMPLEMENTOS!$H$4:$H$803,G2834,MOVIMIENTOS_COMPLEMENTOS!$B$4:$B$803,"INGRESO")+SUMIFS(MOVIMIENTOS_COMPLEMENTOS!$I$4:$I$803,MOVIMIENTOS_COMPLEMENTOS!$C$4:$C$803,A2834,MOVIMIENTOS_COMPLEMENTOS!$D$4:$D$803,B2834,MOVIMIENTOS_COMPLEMENTOS!$E$4:$E$803,C2834,MOVIMIENTOS_COMPLEMENTOS!$F$4:$F$803,D2834,MOVIMIENTOS_COMPLEMENTOS!$G$4:$G$803,E2834,MOVIMIENTOS_COMPLEMENTOS!$H$4:$H$803,G2834,MOVIMIENTOS_COMPLEMENTOS!$B$4:$B$803,"DE CORTE")-SUMIFS(MOVIMIENTOS_COMPLEMENTOS!$I$4:$I$803,MOVIMIENTOS_COMPLEMENTOS!$C$4:$C$803,A2834,MOVIMIENTOS_COMPLEMENTOS!$D$4:$D$803,B2834,MOVIMIENTOS_COMPLEMENTOS!$E$4:$E$803,C2834,MOVIMIENTOS_COMPLEMENTOS!$F$4:$F$803,D2834,MOVIMIENTOS_COMPLEMENTOS!$G$4:$G$803,E2834,MOVIMIENTOS_COMPLEMENTOS!$H$4:$H$803,G2834,MOVIMIENTOS_COMPLEMENTOS!$B$4:$B$803,"SALIDA"),0)</f>
        <v>0</v>
      </c>
      <c r="I2834" s="102">
        <f t="array" ref="I2834">IFERROR(INDEX(PRECIOS_COMPLEMENTOS!$C$4:$F$17,MATCH(B2834&amp;"_"&amp;C2834,PRECIOS_COMPLEMENTOS!$H$4:$H$17,0),IF(OR(G2834="S",G2834="20cm"),1,IF(OR(G2834="M",G2834="25cm"),2,IF(OR(G2834="L",G2834="30cm"),3,IF(OR(G2834="XL",G2834="35cm"),4,0))))),0)</f>
        <v>0.6</v>
      </c>
      <c r="J2834" s="103">
        <f t="shared" si="1"/>
        <v>0</v>
      </c>
      <c r="K2834" s="104" t="str">
        <f>IF(H2834&lt;0,"ERROR",IF(H2834=0,"",IF(H2834&lt;CONFIG!$B$4,"CRÍTICO",IF(H2834&lt;CONFIG!$B$5,"BAJO","OK"))))</f>
        <v/>
      </c>
    </row>
    <row r="2835" ht="15.75" hidden="1" customHeight="1">
      <c r="A2835" s="90" t="str">
        <f>IF(CLIENTES!A9="","",CLIENTES!A9)</f>
        <v/>
      </c>
      <c r="B2835" s="90" t="s">
        <v>331</v>
      </c>
      <c r="C2835" s="91" t="s">
        <v>328</v>
      </c>
      <c r="D2835" s="109" t="s">
        <v>366</v>
      </c>
      <c r="E2835" s="67" t="str">
        <f>COLORES!A11</f>
        <v>Pacay</v>
      </c>
      <c r="F2835" s="67" t="str">
        <f>COLORES!B11</f>
        <v>CLARO</v>
      </c>
      <c r="G2835" s="90" t="s">
        <v>379</v>
      </c>
      <c r="H2835" s="100">
        <f>IFERROR(SUMIFS(MOVIMIENTOS_COMPLEMENTOS!$I$4:$I$803,MOVIMIENTOS_COMPLEMENTOS!$C$4:$C$803,A2835,MOVIMIENTOS_COMPLEMENTOS!$D$4:$D$803,B2835,MOVIMIENTOS_COMPLEMENTOS!$E$4:$E$803,C2835,MOVIMIENTOS_COMPLEMENTOS!$F$4:$F$803,D2835,MOVIMIENTOS_COMPLEMENTOS!$G$4:$G$803,E2835,MOVIMIENTOS_COMPLEMENTOS!$H$4:$H$803,G2835,MOVIMIENTOS_COMPLEMENTOS!$B$4:$B$803,"INGRESO")+SUMIFS(MOVIMIENTOS_COMPLEMENTOS!$I$4:$I$803,MOVIMIENTOS_COMPLEMENTOS!$C$4:$C$803,A2835,MOVIMIENTOS_COMPLEMENTOS!$D$4:$D$803,B2835,MOVIMIENTOS_COMPLEMENTOS!$E$4:$E$803,C2835,MOVIMIENTOS_COMPLEMENTOS!$F$4:$F$803,D2835,MOVIMIENTOS_COMPLEMENTOS!$G$4:$G$803,E2835,MOVIMIENTOS_COMPLEMENTOS!$H$4:$H$803,G2835,MOVIMIENTOS_COMPLEMENTOS!$B$4:$B$803,"DE CORTE")-SUMIFS(MOVIMIENTOS_COMPLEMENTOS!$I$4:$I$803,MOVIMIENTOS_COMPLEMENTOS!$C$4:$C$803,A2835,MOVIMIENTOS_COMPLEMENTOS!$D$4:$D$803,B2835,MOVIMIENTOS_COMPLEMENTOS!$E$4:$E$803,C2835,MOVIMIENTOS_COMPLEMENTOS!$F$4:$F$803,D2835,MOVIMIENTOS_COMPLEMENTOS!$G$4:$G$803,E2835,MOVIMIENTOS_COMPLEMENTOS!$H$4:$H$803,G2835,MOVIMIENTOS_COMPLEMENTOS!$B$4:$B$803,"SALIDA"),0)</f>
        <v>0</v>
      </c>
      <c r="I2835" s="102">
        <f t="array" ref="I2835">IFERROR(INDEX(PRECIOS_COMPLEMENTOS!$C$4:$F$17,MATCH(B2835&amp;"_"&amp;C2835,PRECIOS_COMPLEMENTOS!$H$4:$H$17,0),IF(OR(G2835="S",G2835="20cm"),1,IF(OR(G2835="M",G2835="25cm"),2,IF(OR(G2835="L",G2835="30cm"),3,IF(OR(G2835="XL",G2835="35cm"),4,0))))),0)</f>
        <v>0.6</v>
      </c>
      <c r="J2835" s="103">
        <f t="shared" si="1"/>
        <v>0</v>
      </c>
      <c r="K2835" s="104" t="str">
        <f>IF(H2835&lt;0,"ERROR",IF(H2835=0,"",IF(H2835&lt;CONFIG!$B$4,"CRÍTICO",IF(H2835&lt;CONFIG!$B$5,"BAJO","OK"))))</f>
        <v/>
      </c>
    </row>
    <row r="2836" ht="15.75" hidden="1" customHeight="1">
      <c r="A2836" s="90" t="str">
        <f>IF(CLIENTES!A9="","",CLIENTES!A9)</f>
        <v/>
      </c>
      <c r="B2836" s="90" t="s">
        <v>331</v>
      </c>
      <c r="C2836" s="91" t="s">
        <v>328</v>
      </c>
      <c r="D2836" s="109" t="s">
        <v>366</v>
      </c>
      <c r="E2836" s="67" t="str">
        <f>COLORES!A12</f>
        <v>Cemento</v>
      </c>
      <c r="F2836" s="67" t="str">
        <f>COLORES!B12</f>
        <v>CLARO</v>
      </c>
      <c r="G2836" s="90" t="s">
        <v>378</v>
      </c>
      <c r="H2836" s="100">
        <f>IFERROR(SUMIFS(MOVIMIENTOS_COMPLEMENTOS!$I$4:$I$803,MOVIMIENTOS_COMPLEMENTOS!$C$4:$C$803,A2836,MOVIMIENTOS_COMPLEMENTOS!$D$4:$D$803,B2836,MOVIMIENTOS_COMPLEMENTOS!$E$4:$E$803,C2836,MOVIMIENTOS_COMPLEMENTOS!$F$4:$F$803,D2836,MOVIMIENTOS_COMPLEMENTOS!$G$4:$G$803,E2836,MOVIMIENTOS_COMPLEMENTOS!$H$4:$H$803,G2836,MOVIMIENTOS_COMPLEMENTOS!$B$4:$B$803,"INGRESO")+SUMIFS(MOVIMIENTOS_COMPLEMENTOS!$I$4:$I$803,MOVIMIENTOS_COMPLEMENTOS!$C$4:$C$803,A2836,MOVIMIENTOS_COMPLEMENTOS!$D$4:$D$803,B2836,MOVIMIENTOS_COMPLEMENTOS!$E$4:$E$803,C2836,MOVIMIENTOS_COMPLEMENTOS!$F$4:$F$803,D2836,MOVIMIENTOS_COMPLEMENTOS!$G$4:$G$803,E2836,MOVIMIENTOS_COMPLEMENTOS!$H$4:$H$803,G2836,MOVIMIENTOS_COMPLEMENTOS!$B$4:$B$803,"DE CORTE")-SUMIFS(MOVIMIENTOS_COMPLEMENTOS!$I$4:$I$803,MOVIMIENTOS_COMPLEMENTOS!$C$4:$C$803,A2836,MOVIMIENTOS_COMPLEMENTOS!$D$4:$D$803,B2836,MOVIMIENTOS_COMPLEMENTOS!$E$4:$E$803,C2836,MOVIMIENTOS_COMPLEMENTOS!$F$4:$F$803,D2836,MOVIMIENTOS_COMPLEMENTOS!$G$4:$G$803,E2836,MOVIMIENTOS_COMPLEMENTOS!$H$4:$H$803,G2836,MOVIMIENTOS_COMPLEMENTOS!$B$4:$B$803,"SALIDA"),0)</f>
        <v>0</v>
      </c>
      <c r="I2836" s="102">
        <f t="array" ref="I2836">IFERROR(INDEX(PRECIOS_COMPLEMENTOS!$C$4:$F$17,MATCH(B2836&amp;"_"&amp;C2836,PRECIOS_COMPLEMENTOS!$H$4:$H$17,0),IF(OR(G2836="S",G2836="20cm"),1,IF(OR(G2836="M",G2836="25cm"),2,IF(OR(G2836="L",G2836="30cm"),3,IF(OR(G2836="XL",G2836="35cm"),4,0))))),0)</f>
        <v>0.6</v>
      </c>
      <c r="J2836" s="103">
        <f t="shared" si="1"/>
        <v>0</v>
      </c>
      <c r="K2836" s="104" t="str">
        <f>IF(H2836&lt;0,"ERROR",IF(H2836=0,"",IF(H2836&lt;CONFIG!$B$4,"CRÍTICO",IF(H2836&lt;CONFIG!$B$5,"BAJO","OK"))))</f>
        <v/>
      </c>
    </row>
    <row r="2837" ht="15.75" hidden="1" customHeight="1">
      <c r="A2837" s="90" t="str">
        <f>IF(CLIENTES!A9="","",CLIENTES!A9)</f>
        <v/>
      </c>
      <c r="B2837" s="90" t="s">
        <v>331</v>
      </c>
      <c r="C2837" s="91" t="s">
        <v>328</v>
      </c>
      <c r="D2837" s="109" t="s">
        <v>366</v>
      </c>
      <c r="E2837" s="67" t="str">
        <f>COLORES!A12</f>
        <v>Cemento</v>
      </c>
      <c r="F2837" s="67" t="str">
        <f>COLORES!B12</f>
        <v>CLARO</v>
      </c>
      <c r="G2837" s="90" t="s">
        <v>376</v>
      </c>
      <c r="H2837" s="100">
        <f>IFERROR(SUMIFS(MOVIMIENTOS_COMPLEMENTOS!$I$4:$I$803,MOVIMIENTOS_COMPLEMENTOS!$C$4:$C$803,A2837,MOVIMIENTOS_COMPLEMENTOS!$D$4:$D$803,B2837,MOVIMIENTOS_COMPLEMENTOS!$E$4:$E$803,C2837,MOVIMIENTOS_COMPLEMENTOS!$F$4:$F$803,D2837,MOVIMIENTOS_COMPLEMENTOS!$G$4:$G$803,E2837,MOVIMIENTOS_COMPLEMENTOS!$H$4:$H$803,G2837,MOVIMIENTOS_COMPLEMENTOS!$B$4:$B$803,"INGRESO")+SUMIFS(MOVIMIENTOS_COMPLEMENTOS!$I$4:$I$803,MOVIMIENTOS_COMPLEMENTOS!$C$4:$C$803,A2837,MOVIMIENTOS_COMPLEMENTOS!$D$4:$D$803,B2837,MOVIMIENTOS_COMPLEMENTOS!$E$4:$E$803,C2837,MOVIMIENTOS_COMPLEMENTOS!$F$4:$F$803,D2837,MOVIMIENTOS_COMPLEMENTOS!$G$4:$G$803,E2837,MOVIMIENTOS_COMPLEMENTOS!$H$4:$H$803,G2837,MOVIMIENTOS_COMPLEMENTOS!$B$4:$B$803,"DE CORTE")-SUMIFS(MOVIMIENTOS_COMPLEMENTOS!$I$4:$I$803,MOVIMIENTOS_COMPLEMENTOS!$C$4:$C$803,A2837,MOVIMIENTOS_COMPLEMENTOS!$D$4:$D$803,B2837,MOVIMIENTOS_COMPLEMENTOS!$E$4:$E$803,C2837,MOVIMIENTOS_COMPLEMENTOS!$F$4:$F$803,D2837,MOVIMIENTOS_COMPLEMENTOS!$G$4:$G$803,E2837,MOVIMIENTOS_COMPLEMENTOS!$H$4:$H$803,G2837,MOVIMIENTOS_COMPLEMENTOS!$B$4:$B$803,"SALIDA"),0)</f>
        <v>0</v>
      </c>
      <c r="I2837" s="102">
        <f t="array" ref="I2837">IFERROR(INDEX(PRECIOS_COMPLEMENTOS!$C$4:$F$17,MATCH(B2837&amp;"_"&amp;C2837,PRECIOS_COMPLEMENTOS!$H$4:$H$17,0),IF(OR(G2837="S",G2837="20cm"),1,IF(OR(G2837="M",G2837="25cm"),2,IF(OR(G2837="L",G2837="30cm"),3,IF(OR(G2837="XL",G2837="35cm"),4,0))))),0)</f>
        <v>0.6</v>
      </c>
      <c r="J2837" s="103">
        <f t="shared" si="1"/>
        <v>0</v>
      </c>
      <c r="K2837" s="104" t="str">
        <f>IF(H2837&lt;0,"ERROR",IF(H2837=0,"",IF(H2837&lt;CONFIG!$B$4,"CRÍTICO",IF(H2837&lt;CONFIG!$B$5,"BAJO","OK"))))</f>
        <v/>
      </c>
    </row>
    <row r="2838" ht="15.75" hidden="1" customHeight="1">
      <c r="A2838" s="90" t="str">
        <f>IF(CLIENTES!A9="","",CLIENTES!A9)</f>
        <v/>
      </c>
      <c r="B2838" s="90" t="s">
        <v>331</v>
      </c>
      <c r="C2838" s="91" t="s">
        <v>328</v>
      </c>
      <c r="D2838" s="109" t="s">
        <v>366</v>
      </c>
      <c r="E2838" s="67" t="str">
        <f>COLORES!A12</f>
        <v>Cemento</v>
      </c>
      <c r="F2838" s="67" t="str">
        <f>COLORES!B12</f>
        <v>CLARO</v>
      </c>
      <c r="G2838" s="90" t="s">
        <v>377</v>
      </c>
      <c r="H2838" s="100">
        <f>IFERROR(SUMIFS(MOVIMIENTOS_COMPLEMENTOS!$I$4:$I$803,MOVIMIENTOS_COMPLEMENTOS!$C$4:$C$803,A2838,MOVIMIENTOS_COMPLEMENTOS!$D$4:$D$803,B2838,MOVIMIENTOS_COMPLEMENTOS!$E$4:$E$803,C2838,MOVIMIENTOS_COMPLEMENTOS!$F$4:$F$803,D2838,MOVIMIENTOS_COMPLEMENTOS!$G$4:$G$803,E2838,MOVIMIENTOS_COMPLEMENTOS!$H$4:$H$803,G2838,MOVIMIENTOS_COMPLEMENTOS!$B$4:$B$803,"INGRESO")+SUMIFS(MOVIMIENTOS_COMPLEMENTOS!$I$4:$I$803,MOVIMIENTOS_COMPLEMENTOS!$C$4:$C$803,A2838,MOVIMIENTOS_COMPLEMENTOS!$D$4:$D$803,B2838,MOVIMIENTOS_COMPLEMENTOS!$E$4:$E$803,C2838,MOVIMIENTOS_COMPLEMENTOS!$F$4:$F$803,D2838,MOVIMIENTOS_COMPLEMENTOS!$G$4:$G$803,E2838,MOVIMIENTOS_COMPLEMENTOS!$H$4:$H$803,G2838,MOVIMIENTOS_COMPLEMENTOS!$B$4:$B$803,"DE CORTE")-SUMIFS(MOVIMIENTOS_COMPLEMENTOS!$I$4:$I$803,MOVIMIENTOS_COMPLEMENTOS!$C$4:$C$803,A2838,MOVIMIENTOS_COMPLEMENTOS!$D$4:$D$803,B2838,MOVIMIENTOS_COMPLEMENTOS!$E$4:$E$803,C2838,MOVIMIENTOS_COMPLEMENTOS!$F$4:$F$803,D2838,MOVIMIENTOS_COMPLEMENTOS!$G$4:$G$803,E2838,MOVIMIENTOS_COMPLEMENTOS!$H$4:$H$803,G2838,MOVIMIENTOS_COMPLEMENTOS!$B$4:$B$803,"SALIDA"),0)</f>
        <v>0</v>
      </c>
      <c r="I2838" s="102">
        <f t="array" ref="I2838">IFERROR(INDEX(PRECIOS_COMPLEMENTOS!$C$4:$F$17,MATCH(B2838&amp;"_"&amp;C2838,PRECIOS_COMPLEMENTOS!$H$4:$H$17,0),IF(OR(G2838="S",G2838="20cm"),1,IF(OR(G2838="M",G2838="25cm"),2,IF(OR(G2838="L",G2838="30cm"),3,IF(OR(G2838="XL",G2838="35cm"),4,0))))),0)</f>
        <v>0.6</v>
      </c>
      <c r="J2838" s="103">
        <f t="shared" si="1"/>
        <v>0</v>
      </c>
      <c r="K2838" s="104" t="str">
        <f>IF(H2838&lt;0,"ERROR",IF(H2838=0,"",IF(H2838&lt;CONFIG!$B$4,"CRÍTICO",IF(H2838&lt;CONFIG!$B$5,"BAJO","OK"))))</f>
        <v/>
      </c>
    </row>
    <row r="2839" ht="15.75" hidden="1" customHeight="1">
      <c r="A2839" s="90" t="str">
        <f>IF(CLIENTES!A9="","",CLIENTES!A9)</f>
        <v/>
      </c>
      <c r="B2839" s="90" t="s">
        <v>331</v>
      </c>
      <c r="C2839" s="91" t="s">
        <v>328</v>
      </c>
      <c r="D2839" s="109" t="s">
        <v>366</v>
      </c>
      <c r="E2839" s="67" t="str">
        <f>COLORES!A12</f>
        <v>Cemento</v>
      </c>
      <c r="F2839" s="67" t="str">
        <f>COLORES!B12</f>
        <v>CLARO</v>
      </c>
      <c r="G2839" s="90" t="s">
        <v>379</v>
      </c>
      <c r="H2839" s="100">
        <f>IFERROR(SUMIFS(MOVIMIENTOS_COMPLEMENTOS!$I$4:$I$803,MOVIMIENTOS_COMPLEMENTOS!$C$4:$C$803,A2839,MOVIMIENTOS_COMPLEMENTOS!$D$4:$D$803,B2839,MOVIMIENTOS_COMPLEMENTOS!$E$4:$E$803,C2839,MOVIMIENTOS_COMPLEMENTOS!$F$4:$F$803,D2839,MOVIMIENTOS_COMPLEMENTOS!$G$4:$G$803,E2839,MOVIMIENTOS_COMPLEMENTOS!$H$4:$H$803,G2839,MOVIMIENTOS_COMPLEMENTOS!$B$4:$B$803,"INGRESO")+SUMIFS(MOVIMIENTOS_COMPLEMENTOS!$I$4:$I$803,MOVIMIENTOS_COMPLEMENTOS!$C$4:$C$803,A2839,MOVIMIENTOS_COMPLEMENTOS!$D$4:$D$803,B2839,MOVIMIENTOS_COMPLEMENTOS!$E$4:$E$803,C2839,MOVIMIENTOS_COMPLEMENTOS!$F$4:$F$803,D2839,MOVIMIENTOS_COMPLEMENTOS!$G$4:$G$803,E2839,MOVIMIENTOS_COMPLEMENTOS!$H$4:$H$803,G2839,MOVIMIENTOS_COMPLEMENTOS!$B$4:$B$803,"DE CORTE")-SUMIFS(MOVIMIENTOS_COMPLEMENTOS!$I$4:$I$803,MOVIMIENTOS_COMPLEMENTOS!$C$4:$C$803,A2839,MOVIMIENTOS_COMPLEMENTOS!$D$4:$D$803,B2839,MOVIMIENTOS_COMPLEMENTOS!$E$4:$E$803,C2839,MOVIMIENTOS_COMPLEMENTOS!$F$4:$F$803,D2839,MOVIMIENTOS_COMPLEMENTOS!$G$4:$G$803,E2839,MOVIMIENTOS_COMPLEMENTOS!$H$4:$H$803,G2839,MOVIMIENTOS_COMPLEMENTOS!$B$4:$B$803,"SALIDA"),0)</f>
        <v>0</v>
      </c>
      <c r="I2839" s="102">
        <f t="array" ref="I2839">IFERROR(INDEX(PRECIOS_COMPLEMENTOS!$C$4:$F$17,MATCH(B2839&amp;"_"&amp;C2839,PRECIOS_COMPLEMENTOS!$H$4:$H$17,0),IF(OR(G2839="S",G2839="20cm"),1,IF(OR(G2839="M",G2839="25cm"),2,IF(OR(G2839="L",G2839="30cm"),3,IF(OR(G2839="XL",G2839="35cm"),4,0))))),0)</f>
        <v>0.6</v>
      </c>
      <c r="J2839" s="103">
        <f t="shared" si="1"/>
        <v>0</v>
      </c>
      <c r="K2839" s="104" t="str">
        <f>IF(H2839&lt;0,"ERROR",IF(H2839=0,"",IF(H2839&lt;CONFIG!$B$4,"CRÍTICO",IF(H2839&lt;CONFIG!$B$5,"BAJO","OK"))))</f>
        <v/>
      </c>
    </row>
    <row r="2840" ht="15.75" hidden="1" customHeight="1">
      <c r="A2840" s="90" t="str">
        <f>IF(CLIENTES!A9="","",CLIENTES!A9)</f>
        <v/>
      </c>
      <c r="B2840" s="90" t="s">
        <v>331</v>
      </c>
      <c r="C2840" s="91" t="s">
        <v>328</v>
      </c>
      <c r="D2840" s="109" t="s">
        <v>366</v>
      </c>
      <c r="E2840" s="67" t="str">
        <f>COLORES!A13</f>
        <v>Camote</v>
      </c>
      <c r="F2840" s="67" t="str">
        <f>COLORES!B13</f>
        <v>CLARO</v>
      </c>
      <c r="G2840" s="90" t="s">
        <v>378</v>
      </c>
      <c r="H2840" s="100">
        <f>IFERROR(SUMIFS(MOVIMIENTOS_COMPLEMENTOS!$I$4:$I$803,MOVIMIENTOS_COMPLEMENTOS!$C$4:$C$803,A2840,MOVIMIENTOS_COMPLEMENTOS!$D$4:$D$803,B2840,MOVIMIENTOS_COMPLEMENTOS!$E$4:$E$803,C2840,MOVIMIENTOS_COMPLEMENTOS!$F$4:$F$803,D2840,MOVIMIENTOS_COMPLEMENTOS!$G$4:$G$803,E2840,MOVIMIENTOS_COMPLEMENTOS!$H$4:$H$803,G2840,MOVIMIENTOS_COMPLEMENTOS!$B$4:$B$803,"INGRESO")+SUMIFS(MOVIMIENTOS_COMPLEMENTOS!$I$4:$I$803,MOVIMIENTOS_COMPLEMENTOS!$C$4:$C$803,A2840,MOVIMIENTOS_COMPLEMENTOS!$D$4:$D$803,B2840,MOVIMIENTOS_COMPLEMENTOS!$E$4:$E$803,C2840,MOVIMIENTOS_COMPLEMENTOS!$F$4:$F$803,D2840,MOVIMIENTOS_COMPLEMENTOS!$G$4:$G$803,E2840,MOVIMIENTOS_COMPLEMENTOS!$H$4:$H$803,G2840,MOVIMIENTOS_COMPLEMENTOS!$B$4:$B$803,"DE CORTE")-SUMIFS(MOVIMIENTOS_COMPLEMENTOS!$I$4:$I$803,MOVIMIENTOS_COMPLEMENTOS!$C$4:$C$803,A2840,MOVIMIENTOS_COMPLEMENTOS!$D$4:$D$803,B2840,MOVIMIENTOS_COMPLEMENTOS!$E$4:$E$803,C2840,MOVIMIENTOS_COMPLEMENTOS!$F$4:$F$803,D2840,MOVIMIENTOS_COMPLEMENTOS!$G$4:$G$803,E2840,MOVIMIENTOS_COMPLEMENTOS!$H$4:$H$803,G2840,MOVIMIENTOS_COMPLEMENTOS!$B$4:$B$803,"SALIDA"),0)</f>
        <v>0</v>
      </c>
      <c r="I2840" s="102">
        <f t="array" ref="I2840">IFERROR(INDEX(PRECIOS_COMPLEMENTOS!$C$4:$F$17,MATCH(B2840&amp;"_"&amp;C2840,PRECIOS_COMPLEMENTOS!$H$4:$H$17,0),IF(OR(G2840="S",G2840="20cm"),1,IF(OR(G2840="M",G2840="25cm"),2,IF(OR(G2840="L",G2840="30cm"),3,IF(OR(G2840="XL",G2840="35cm"),4,0))))),0)</f>
        <v>0.6</v>
      </c>
      <c r="J2840" s="103">
        <f t="shared" si="1"/>
        <v>0</v>
      </c>
      <c r="K2840" s="104" t="str">
        <f>IF(H2840&lt;0,"ERROR",IF(H2840=0,"",IF(H2840&lt;CONFIG!$B$4,"CRÍTICO",IF(H2840&lt;CONFIG!$B$5,"BAJO","OK"))))</f>
        <v/>
      </c>
    </row>
    <row r="2841" ht="15.75" hidden="1" customHeight="1">
      <c r="A2841" s="90" t="str">
        <f>IF(CLIENTES!A9="","",CLIENTES!A9)</f>
        <v/>
      </c>
      <c r="B2841" s="90" t="s">
        <v>331</v>
      </c>
      <c r="C2841" s="91" t="s">
        <v>328</v>
      </c>
      <c r="D2841" s="109" t="s">
        <v>366</v>
      </c>
      <c r="E2841" s="67" t="str">
        <f>COLORES!A13</f>
        <v>Camote</v>
      </c>
      <c r="F2841" s="67" t="str">
        <f>COLORES!B13</f>
        <v>CLARO</v>
      </c>
      <c r="G2841" s="90" t="s">
        <v>376</v>
      </c>
      <c r="H2841" s="100">
        <f>IFERROR(SUMIFS(MOVIMIENTOS_COMPLEMENTOS!$I$4:$I$803,MOVIMIENTOS_COMPLEMENTOS!$C$4:$C$803,A2841,MOVIMIENTOS_COMPLEMENTOS!$D$4:$D$803,B2841,MOVIMIENTOS_COMPLEMENTOS!$E$4:$E$803,C2841,MOVIMIENTOS_COMPLEMENTOS!$F$4:$F$803,D2841,MOVIMIENTOS_COMPLEMENTOS!$G$4:$G$803,E2841,MOVIMIENTOS_COMPLEMENTOS!$H$4:$H$803,G2841,MOVIMIENTOS_COMPLEMENTOS!$B$4:$B$803,"INGRESO")+SUMIFS(MOVIMIENTOS_COMPLEMENTOS!$I$4:$I$803,MOVIMIENTOS_COMPLEMENTOS!$C$4:$C$803,A2841,MOVIMIENTOS_COMPLEMENTOS!$D$4:$D$803,B2841,MOVIMIENTOS_COMPLEMENTOS!$E$4:$E$803,C2841,MOVIMIENTOS_COMPLEMENTOS!$F$4:$F$803,D2841,MOVIMIENTOS_COMPLEMENTOS!$G$4:$G$803,E2841,MOVIMIENTOS_COMPLEMENTOS!$H$4:$H$803,G2841,MOVIMIENTOS_COMPLEMENTOS!$B$4:$B$803,"DE CORTE")-SUMIFS(MOVIMIENTOS_COMPLEMENTOS!$I$4:$I$803,MOVIMIENTOS_COMPLEMENTOS!$C$4:$C$803,A2841,MOVIMIENTOS_COMPLEMENTOS!$D$4:$D$803,B2841,MOVIMIENTOS_COMPLEMENTOS!$E$4:$E$803,C2841,MOVIMIENTOS_COMPLEMENTOS!$F$4:$F$803,D2841,MOVIMIENTOS_COMPLEMENTOS!$G$4:$G$803,E2841,MOVIMIENTOS_COMPLEMENTOS!$H$4:$H$803,G2841,MOVIMIENTOS_COMPLEMENTOS!$B$4:$B$803,"SALIDA"),0)</f>
        <v>0</v>
      </c>
      <c r="I2841" s="102">
        <f t="array" ref="I2841">IFERROR(INDEX(PRECIOS_COMPLEMENTOS!$C$4:$F$17,MATCH(B2841&amp;"_"&amp;C2841,PRECIOS_COMPLEMENTOS!$H$4:$H$17,0),IF(OR(G2841="S",G2841="20cm"),1,IF(OR(G2841="M",G2841="25cm"),2,IF(OR(G2841="L",G2841="30cm"),3,IF(OR(G2841="XL",G2841="35cm"),4,0))))),0)</f>
        <v>0.6</v>
      </c>
      <c r="J2841" s="103">
        <f t="shared" si="1"/>
        <v>0</v>
      </c>
      <c r="K2841" s="104" t="str">
        <f>IF(H2841&lt;0,"ERROR",IF(H2841=0,"",IF(H2841&lt;CONFIG!$B$4,"CRÍTICO",IF(H2841&lt;CONFIG!$B$5,"BAJO","OK"))))</f>
        <v/>
      </c>
    </row>
    <row r="2842" ht="15.75" hidden="1" customHeight="1">
      <c r="A2842" s="90" t="str">
        <f>IF(CLIENTES!A9="","",CLIENTES!A9)</f>
        <v/>
      </c>
      <c r="B2842" s="90" t="s">
        <v>331</v>
      </c>
      <c r="C2842" s="91" t="s">
        <v>328</v>
      </c>
      <c r="D2842" s="109" t="s">
        <v>366</v>
      </c>
      <c r="E2842" s="67" t="str">
        <f>COLORES!A13</f>
        <v>Camote</v>
      </c>
      <c r="F2842" s="67" t="str">
        <f>COLORES!B13</f>
        <v>CLARO</v>
      </c>
      <c r="G2842" s="90" t="s">
        <v>377</v>
      </c>
      <c r="H2842" s="100">
        <f>IFERROR(SUMIFS(MOVIMIENTOS_COMPLEMENTOS!$I$4:$I$803,MOVIMIENTOS_COMPLEMENTOS!$C$4:$C$803,A2842,MOVIMIENTOS_COMPLEMENTOS!$D$4:$D$803,B2842,MOVIMIENTOS_COMPLEMENTOS!$E$4:$E$803,C2842,MOVIMIENTOS_COMPLEMENTOS!$F$4:$F$803,D2842,MOVIMIENTOS_COMPLEMENTOS!$G$4:$G$803,E2842,MOVIMIENTOS_COMPLEMENTOS!$H$4:$H$803,G2842,MOVIMIENTOS_COMPLEMENTOS!$B$4:$B$803,"INGRESO")+SUMIFS(MOVIMIENTOS_COMPLEMENTOS!$I$4:$I$803,MOVIMIENTOS_COMPLEMENTOS!$C$4:$C$803,A2842,MOVIMIENTOS_COMPLEMENTOS!$D$4:$D$803,B2842,MOVIMIENTOS_COMPLEMENTOS!$E$4:$E$803,C2842,MOVIMIENTOS_COMPLEMENTOS!$F$4:$F$803,D2842,MOVIMIENTOS_COMPLEMENTOS!$G$4:$G$803,E2842,MOVIMIENTOS_COMPLEMENTOS!$H$4:$H$803,G2842,MOVIMIENTOS_COMPLEMENTOS!$B$4:$B$803,"DE CORTE")-SUMIFS(MOVIMIENTOS_COMPLEMENTOS!$I$4:$I$803,MOVIMIENTOS_COMPLEMENTOS!$C$4:$C$803,A2842,MOVIMIENTOS_COMPLEMENTOS!$D$4:$D$803,B2842,MOVIMIENTOS_COMPLEMENTOS!$E$4:$E$803,C2842,MOVIMIENTOS_COMPLEMENTOS!$F$4:$F$803,D2842,MOVIMIENTOS_COMPLEMENTOS!$G$4:$G$803,E2842,MOVIMIENTOS_COMPLEMENTOS!$H$4:$H$803,G2842,MOVIMIENTOS_COMPLEMENTOS!$B$4:$B$803,"SALIDA"),0)</f>
        <v>0</v>
      </c>
      <c r="I2842" s="102">
        <f t="array" ref="I2842">IFERROR(INDEX(PRECIOS_COMPLEMENTOS!$C$4:$F$17,MATCH(B2842&amp;"_"&amp;C2842,PRECIOS_COMPLEMENTOS!$H$4:$H$17,0),IF(OR(G2842="S",G2842="20cm"),1,IF(OR(G2842="M",G2842="25cm"),2,IF(OR(G2842="L",G2842="30cm"),3,IF(OR(G2842="XL",G2842="35cm"),4,0))))),0)</f>
        <v>0.6</v>
      </c>
      <c r="J2842" s="103">
        <f t="shared" si="1"/>
        <v>0</v>
      </c>
      <c r="K2842" s="104" t="str">
        <f>IF(H2842&lt;0,"ERROR",IF(H2842=0,"",IF(H2842&lt;CONFIG!$B$4,"CRÍTICO",IF(H2842&lt;CONFIG!$B$5,"BAJO","OK"))))</f>
        <v/>
      </c>
    </row>
    <row r="2843" ht="15.75" hidden="1" customHeight="1">
      <c r="A2843" s="90" t="str">
        <f>IF(CLIENTES!A9="","",CLIENTES!A9)</f>
        <v/>
      </c>
      <c r="B2843" s="90" t="s">
        <v>331</v>
      </c>
      <c r="C2843" s="91" t="s">
        <v>328</v>
      </c>
      <c r="D2843" s="109" t="s">
        <v>366</v>
      </c>
      <c r="E2843" s="67" t="str">
        <f>COLORES!A13</f>
        <v>Camote</v>
      </c>
      <c r="F2843" s="67" t="str">
        <f>COLORES!B13</f>
        <v>CLARO</v>
      </c>
      <c r="G2843" s="90" t="s">
        <v>379</v>
      </c>
      <c r="H2843" s="100">
        <f>IFERROR(SUMIFS(MOVIMIENTOS_COMPLEMENTOS!$I$4:$I$803,MOVIMIENTOS_COMPLEMENTOS!$C$4:$C$803,A2843,MOVIMIENTOS_COMPLEMENTOS!$D$4:$D$803,B2843,MOVIMIENTOS_COMPLEMENTOS!$E$4:$E$803,C2843,MOVIMIENTOS_COMPLEMENTOS!$F$4:$F$803,D2843,MOVIMIENTOS_COMPLEMENTOS!$G$4:$G$803,E2843,MOVIMIENTOS_COMPLEMENTOS!$H$4:$H$803,G2843,MOVIMIENTOS_COMPLEMENTOS!$B$4:$B$803,"INGRESO")+SUMIFS(MOVIMIENTOS_COMPLEMENTOS!$I$4:$I$803,MOVIMIENTOS_COMPLEMENTOS!$C$4:$C$803,A2843,MOVIMIENTOS_COMPLEMENTOS!$D$4:$D$803,B2843,MOVIMIENTOS_COMPLEMENTOS!$E$4:$E$803,C2843,MOVIMIENTOS_COMPLEMENTOS!$F$4:$F$803,D2843,MOVIMIENTOS_COMPLEMENTOS!$G$4:$G$803,E2843,MOVIMIENTOS_COMPLEMENTOS!$H$4:$H$803,G2843,MOVIMIENTOS_COMPLEMENTOS!$B$4:$B$803,"DE CORTE")-SUMIFS(MOVIMIENTOS_COMPLEMENTOS!$I$4:$I$803,MOVIMIENTOS_COMPLEMENTOS!$C$4:$C$803,A2843,MOVIMIENTOS_COMPLEMENTOS!$D$4:$D$803,B2843,MOVIMIENTOS_COMPLEMENTOS!$E$4:$E$803,C2843,MOVIMIENTOS_COMPLEMENTOS!$F$4:$F$803,D2843,MOVIMIENTOS_COMPLEMENTOS!$G$4:$G$803,E2843,MOVIMIENTOS_COMPLEMENTOS!$H$4:$H$803,G2843,MOVIMIENTOS_COMPLEMENTOS!$B$4:$B$803,"SALIDA"),0)</f>
        <v>0</v>
      </c>
      <c r="I2843" s="102">
        <f t="array" ref="I2843">IFERROR(INDEX(PRECIOS_COMPLEMENTOS!$C$4:$F$17,MATCH(B2843&amp;"_"&amp;C2843,PRECIOS_COMPLEMENTOS!$H$4:$H$17,0),IF(OR(G2843="S",G2843="20cm"),1,IF(OR(G2843="M",G2843="25cm"),2,IF(OR(G2843="L",G2843="30cm"),3,IF(OR(G2843="XL",G2843="35cm"),4,0))))),0)</f>
        <v>0.6</v>
      </c>
      <c r="J2843" s="103">
        <f t="shared" si="1"/>
        <v>0</v>
      </c>
      <c r="K2843" s="104" t="str">
        <f>IF(H2843&lt;0,"ERROR",IF(H2843=0,"",IF(H2843&lt;CONFIG!$B$4,"CRÍTICO",IF(H2843&lt;CONFIG!$B$5,"BAJO","OK"))))</f>
        <v/>
      </c>
    </row>
    <row r="2844" ht="15.75" hidden="1" customHeight="1">
      <c r="A2844" s="90" t="str">
        <f>IF(CLIENTES!A9="","",CLIENTES!A9)</f>
        <v/>
      </c>
      <c r="B2844" s="90" t="s">
        <v>331</v>
      </c>
      <c r="C2844" s="91" t="s">
        <v>328</v>
      </c>
      <c r="D2844" s="109" t="s">
        <v>366</v>
      </c>
      <c r="E2844" s="67" t="str">
        <f>COLORES!A14</f>
        <v>Denim</v>
      </c>
      <c r="F2844" s="67" t="str">
        <f>COLORES!B14</f>
        <v>CLARO</v>
      </c>
      <c r="G2844" s="90" t="s">
        <v>378</v>
      </c>
      <c r="H2844" s="100">
        <f>IFERROR(SUMIFS(MOVIMIENTOS_COMPLEMENTOS!$I$4:$I$803,MOVIMIENTOS_COMPLEMENTOS!$C$4:$C$803,A2844,MOVIMIENTOS_COMPLEMENTOS!$D$4:$D$803,B2844,MOVIMIENTOS_COMPLEMENTOS!$E$4:$E$803,C2844,MOVIMIENTOS_COMPLEMENTOS!$F$4:$F$803,D2844,MOVIMIENTOS_COMPLEMENTOS!$G$4:$G$803,E2844,MOVIMIENTOS_COMPLEMENTOS!$H$4:$H$803,G2844,MOVIMIENTOS_COMPLEMENTOS!$B$4:$B$803,"INGRESO")+SUMIFS(MOVIMIENTOS_COMPLEMENTOS!$I$4:$I$803,MOVIMIENTOS_COMPLEMENTOS!$C$4:$C$803,A2844,MOVIMIENTOS_COMPLEMENTOS!$D$4:$D$803,B2844,MOVIMIENTOS_COMPLEMENTOS!$E$4:$E$803,C2844,MOVIMIENTOS_COMPLEMENTOS!$F$4:$F$803,D2844,MOVIMIENTOS_COMPLEMENTOS!$G$4:$G$803,E2844,MOVIMIENTOS_COMPLEMENTOS!$H$4:$H$803,G2844,MOVIMIENTOS_COMPLEMENTOS!$B$4:$B$803,"DE CORTE")-SUMIFS(MOVIMIENTOS_COMPLEMENTOS!$I$4:$I$803,MOVIMIENTOS_COMPLEMENTOS!$C$4:$C$803,A2844,MOVIMIENTOS_COMPLEMENTOS!$D$4:$D$803,B2844,MOVIMIENTOS_COMPLEMENTOS!$E$4:$E$803,C2844,MOVIMIENTOS_COMPLEMENTOS!$F$4:$F$803,D2844,MOVIMIENTOS_COMPLEMENTOS!$G$4:$G$803,E2844,MOVIMIENTOS_COMPLEMENTOS!$H$4:$H$803,G2844,MOVIMIENTOS_COMPLEMENTOS!$B$4:$B$803,"SALIDA"),0)</f>
        <v>0</v>
      </c>
      <c r="I2844" s="102">
        <f t="array" ref="I2844">IFERROR(INDEX(PRECIOS_COMPLEMENTOS!$C$4:$F$17,MATCH(B2844&amp;"_"&amp;C2844,PRECIOS_COMPLEMENTOS!$H$4:$H$17,0),IF(OR(G2844="S",G2844="20cm"),1,IF(OR(G2844="M",G2844="25cm"),2,IF(OR(G2844="L",G2844="30cm"),3,IF(OR(G2844="XL",G2844="35cm"),4,0))))),0)</f>
        <v>0.6</v>
      </c>
      <c r="J2844" s="103">
        <f t="shared" si="1"/>
        <v>0</v>
      </c>
      <c r="K2844" s="104" t="str">
        <f>IF(H2844&lt;0,"ERROR",IF(H2844=0,"",IF(H2844&lt;CONFIG!$B$4,"CRÍTICO",IF(H2844&lt;CONFIG!$B$5,"BAJO","OK"))))</f>
        <v/>
      </c>
    </row>
    <row r="2845" ht="15.75" hidden="1" customHeight="1">
      <c r="A2845" s="90" t="str">
        <f>IF(CLIENTES!A9="","",CLIENTES!A9)</f>
        <v/>
      </c>
      <c r="B2845" s="90" t="s">
        <v>331</v>
      </c>
      <c r="C2845" s="91" t="s">
        <v>328</v>
      </c>
      <c r="D2845" s="109" t="s">
        <v>366</v>
      </c>
      <c r="E2845" s="67" t="str">
        <f>COLORES!A14</f>
        <v>Denim</v>
      </c>
      <c r="F2845" s="67" t="str">
        <f>COLORES!B14</f>
        <v>CLARO</v>
      </c>
      <c r="G2845" s="90" t="s">
        <v>376</v>
      </c>
      <c r="H2845" s="100">
        <f>IFERROR(SUMIFS(MOVIMIENTOS_COMPLEMENTOS!$I$4:$I$803,MOVIMIENTOS_COMPLEMENTOS!$C$4:$C$803,A2845,MOVIMIENTOS_COMPLEMENTOS!$D$4:$D$803,B2845,MOVIMIENTOS_COMPLEMENTOS!$E$4:$E$803,C2845,MOVIMIENTOS_COMPLEMENTOS!$F$4:$F$803,D2845,MOVIMIENTOS_COMPLEMENTOS!$G$4:$G$803,E2845,MOVIMIENTOS_COMPLEMENTOS!$H$4:$H$803,G2845,MOVIMIENTOS_COMPLEMENTOS!$B$4:$B$803,"INGRESO")+SUMIFS(MOVIMIENTOS_COMPLEMENTOS!$I$4:$I$803,MOVIMIENTOS_COMPLEMENTOS!$C$4:$C$803,A2845,MOVIMIENTOS_COMPLEMENTOS!$D$4:$D$803,B2845,MOVIMIENTOS_COMPLEMENTOS!$E$4:$E$803,C2845,MOVIMIENTOS_COMPLEMENTOS!$F$4:$F$803,D2845,MOVIMIENTOS_COMPLEMENTOS!$G$4:$G$803,E2845,MOVIMIENTOS_COMPLEMENTOS!$H$4:$H$803,G2845,MOVIMIENTOS_COMPLEMENTOS!$B$4:$B$803,"DE CORTE")-SUMIFS(MOVIMIENTOS_COMPLEMENTOS!$I$4:$I$803,MOVIMIENTOS_COMPLEMENTOS!$C$4:$C$803,A2845,MOVIMIENTOS_COMPLEMENTOS!$D$4:$D$803,B2845,MOVIMIENTOS_COMPLEMENTOS!$E$4:$E$803,C2845,MOVIMIENTOS_COMPLEMENTOS!$F$4:$F$803,D2845,MOVIMIENTOS_COMPLEMENTOS!$G$4:$G$803,E2845,MOVIMIENTOS_COMPLEMENTOS!$H$4:$H$803,G2845,MOVIMIENTOS_COMPLEMENTOS!$B$4:$B$803,"SALIDA"),0)</f>
        <v>0</v>
      </c>
      <c r="I2845" s="102">
        <f t="array" ref="I2845">IFERROR(INDEX(PRECIOS_COMPLEMENTOS!$C$4:$F$17,MATCH(B2845&amp;"_"&amp;C2845,PRECIOS_COMPLEMENTOS!$H$4:$H$17,0),IF(OR(G2845="S",G2845="20cm"),1,IF(OR(G2845="M",G2845="25cm"),2,IF(OR(G2845="L",G2845="30cm"),3,IF(OR(G2845="XL",G2845="35cm"),4,0))))),0)</f>
        <v>0.6</v>
      </c>
      <c r="J2845" s="103">
        <f t="shared" si="1"/>
        <v>0</v>
      </c>
      <c r="K2845" s="104" t="str">
        <f>IF(H2845&lt;0,"ERROR",IF(H2845=0,"",IF(H2845&lt;CONFIG!$B$4,"CRÍTICO",IF(H2845&lt;CONFIG!$B$5,"BAJO","OK"))))</f>
        <v/>
      </c>
    </row>
    <row r="2846" ht="15.75" hidden="1" customHeight="1">
      <c r="A2846" s="90" t="str">
        <f>IF(CLIENTES!A9="","",CLIENTES!A9)</f>
        <v/>
      </c>
      <c r="B2846" s="90" t="s">
        <v>331</v>
      </c>
      <c r="C2846" s="91" t="s">
        <v>328</v>
      </c>
      <c r="D2846" s="109" t="s">
        <v>366</v>
      </c>
      <c r="E2846" s="67" t="str">
        <f>COLORES!A14</f>
        <v>Denim</v>
      </c>
      <c r="F2846" s="67" t="str">
        <f>COLORES!B14</f>
        <v>CLARO</v>
      </c>
      <c r="G2846" s="90" t="s">
        <v>377</v>
      </c>
      <c r="H2846" s="100">
        <f>IFERROR(SUMIFS(MOVIMIENTOS_COMPLEMENTOS!$I$4:$I$803,MOVIMIENTOS_COMPLEMENTOS!$C$4:$C$803,A2846,MOVIMIENTOS_COMPLEMENTOS!$D$4:$D$803,B2846,MOVIMIENTOS_COMPLEMENTOS!$E$4:$E$803,C2846,MOVIMIENTOS_COMPLEMENTOS!$F$4:$F$803,D2846,MOVIMIENTOS_COMPLEMENTOS!$G$4:$G$803,E2846,MOVIMIENTOS_COMPLEMENTOS!$H$4:$H$803,G2846,MOVIMIENTOS_COMPLEMENTOS!$B$4:$B$803,"INGRESO")+SUMIFS(MOVIMIENTOS_COMPLEMENTOS!$I$4:$I$803,MOVIMIENTOS_COMPLEMENTOS!$C$4:$C$803,A2846,MOVIMIENTOS_COMPLEMENTOS!$D$4:$D$803,B2846,MOVIMIENTOS_COMPLEMENTOS!$E$4:$E$803,C2846,MOVIMIENTOS_COMPLEMENTOS!$F$4:$F$803,D2846,MOVIMIENTOS_COMPLEMENTOS!$G$4:$G$803,E2846,MOVIMIENTOS_COMPLEMENTOS!$H$4:$H$803,G2846,MOVIMIENTOS_COMPLEMENTOS!$B$4:$B$803,"DE CORTE")-SUMIFS(MOVIMIENTOS_COMPLEMENTOS!$I$4:$I$803,MOVIMIENTOS_COMPLEMENTOS!$C$4:$C$803,A2846,MOVIMIENTOS_COMPLEMENTOS!$D$4:$D$803,B2846,MOVIMIENTOS_COMPLEMENTOS!$E$4:$E$803,C2846,MOVIMIENTOS_COMPLEMENTOS!$F$4:$F$803,D2846,MOVIMIENTOS_COMPLEMENTOS!$G$4:$G$803,E2846,MOVIMIENTOS_COMPLEMENTOS!$H$4:$H$803,G2846,MOVIMIENTOS_COMPLEMENTOS!$B$4:$B$803,"SALIDA"),0)</f>
        <v>0</v>
      </c>
      <c r="I2846" s="102">
        <f t="array" ref="I2846">IFERROR(INDEX(PRECIOS_COMPLEMENTOS!$C$4:$F$17,MATCH(B2846&amp;"_"&amp;C2846,PRECIOS_COMPLEMENTOS!$H$4:$H$17,0),IF(OR(G2846="S",G2846="20cm"),1,IF(OR(G2846="M",G2846="25cm"),2,IF(OR(G2846="L",G2846="30cm"),3,IF(OR(G2846="XL",G2846="35cm"),4,0))))),0)</f>
        <v>0.6</v>
      </c>
      <c r="J2846" s="103">
        <f t="shared" si="1"/>
        <v>0</v>
      </c>
      <c r="K2846" s="104" t="str">
        <f>IF(H2846&lt;0,"ERROR",IF(H2846=0,"",IF(H2846&lt;CONFIG!$B$4,"CRÍTICO",IF(H2846&lt;CONFIG!$B$5,"BAJO","OK"))))</f>
        <v/>
      </c>
    </row>
    <row r="2847" ht="15.75" hidden="1" customHeight="1">
      <c r="A2847" s="90" t="str">
        <f>IF(CLIENTES!A9="","",CLIENTES!A9)</f>
        <v/>
      </c>
      <c r="B2847" s="90" t="s">
        <v>331</v>
      </c>
      <c r="C2847" s="91" t="s">
        <v>328</v>
      </c>
      <c r="D2847" s="109" t="s">
        <v>366</v>
      </c>
      <c r="E2847" s="67" t="str">
        <f>COLORES!A14</f>
        <v>Denim</v>
      </c>
      <c r="F2847" s="67" t="str">
        <f>COLORES!B14</f>
        <v>CLARO</v>
      </c>
      <c r="G2847" s="90" t="s">
        <v>379</v>
      </c>
      <c r="H2847" s="100">
        <f>IFERROR(SUMIFS(MOVIMIENTOS_COMPLEMENTOS!$I$4:$I$803,MOVIMIENTOS_COMPLEMENTOS!$C$4:$C$803,A2847,MOVIMIENTOS_COMPLEMENTOS!$D$4:$D$803,B2847,MOVIMIENTOS_COMPLEMENTOS!$E$4:$E$803,C2847,MOVIMIENTOS_COMPLEMENTOS!$F$4:$F$803,D2847,MOVIMIENTOS_COMPLEMENTOS!$G$4:$G$803,E2847,MOVIMIENTOS_COMPLEMENTOS!$H$4:$H$803,G2847,MOVIMIENTOS_COMPLEMENTOS!$B$4:$B$803,"INGRESO")+SUMIFS(MOVIMIENTOS_COMPLEMENTOS!$I$4:$I$803,MOVIMIENTOS_COMPLEMENTOS!$C$4:$C$803,A2847,MOVIMIENTOS_COMPLEMENTOS!$D$4:$D$803,B2847,MOVIMIENTOS_COMPLEMENTOS!$E$4:$E$803,C2847,MOVIMIENTOS_COMPLEMENTOS!$F$4:$F$803,D2847,MOVIMIENTOS_COMPLEMENTOS!$G$4:$G$803,E2847,MOVIMIENTOS_COMPLEMENTOS!$H$4:$H$803,G2847,MOVIMIENTOS_COMPLEMENTOS!$B$4:$B$803,"DE CORTE")-SUMIFS(MOVIMIENTOS_COMPLEMENTOS!$I$4:$I$803,MOVIMIENTOS_COMPLEMENTOS!$C$4:$C$803,A2847,MOVIMIENTOS_COMPLEMENTOS!$D$4:$D$803,B2847,MOVIMIENTOS_COMPLEMENTOS!$E$4:$E$803,C2847,MOVIMIENTOS_COMPLEMENTOS!$F$4:$F$803,D2847,MOVIMIENTOS_COMPLEMENTOS!$G$4:$G$803,E2847,MOVIMIENTOS_COMPLEMENTOS!$H$4:$H$803,G2847,MOVIMIENTOS_COMPLEMENTOS!$B$4:$B$803,"SALIDA"),0)</f>
        <v>0</v>
      </c>
      <c r="I2847" s="102">
        <f t="array" ref="I2847">IFERROR(INDEX(PRECIOS_COMPLEMENTOS!$C$4:$F$17,MATCH(B2847&amp;"_"&amp;C2847,PRECIOS_COMPLEMENTOS!$H$4:$H$17,0),IF(OR(G2847="S",G2847="20cm"),1,IF(OR(G2847="M",G2847="25cm"),2,IF(OR(G2847="L",G2847="30cm"),3,IF(OR(G2847="XL",G2847="35cm"),4,0))))),0)</f>
        <v>0.6</v>
      </c>
      <c r="J2847" s="103">
        <f t="shared" si="1"/>
        <v>0</v>
      </c>
      <c r="K2847" s="104" t="str">
        <f>IF(H2847&lt;0,"ERROR",IF(H2847=0,"",IF(H2847&lt;CONFIG!$B$4,"CRÍTICO",IF(H2847&lt;CONFIG!$B$5,"BAJO","OK"))))</f>
        <v/>
      </c>
    </row>
    <row r="2848" ht="15.75" hidden="1" customHeight="1">
      <c r="A2848" s="90" t="str">
        <f>IF(CLIENTES!A9="","",CLIENTES!A9)</f>
        <v/>
      </c>
      <c r="B2848" s="90" t="s">
        <v>331</v>
      </c>
      <c r="C2848" s="91" t="s">
        <v>328</v>
      </c>
      <c r="D2848" s="109" t="s">
        <v>366</v>
      </c>
      <c r="E2848" s="67" t="str">
        <f>COLORES!A15</f>
        <v>Plomo</v>
      </c>
      <c r="F2848" s="67" t="str">
        <f>COLORES!B15</f>
        <v>OSCURO</v>
      </c>
      <c r="G2848" s="90" t="s">
        <v>378</v>
      </c>
      <c r="H2848" s="100">
        <f>IFERROR(SUMIFS(MOVIMIENTOS_COMPLEMENTOS!$I$4:$I$803,MOVIMIENTOS_COMPLEMENTOS!$C$4:$C$803,A2848,MOVIMIENTOS_COMPLEMENTOS!$D$4:$D$803,B2848,MOVIMIENTOS_COMPLEMENTOS!$E$4:$E$803,C2848,MOVIMIENTOS_COMPLEMENTOS!$F$4:$F$803,D2848,MOVIMIENTOS_COMPLEMENTOS!$G$4:$G$803,E2848,MOVIMIENTOS_COMPLEMENTOS!$H$4:$H$803,G2848,MOVIMIENTOS_COMPLEMENTOS!$B$4:$B$803,"INGRESO")+SUMIFS(MOVIMIENTOS_COMPLEMENTOS!$I$4:$I$803,MOVIMIENTOS_COMPLEMENTOS!$C$4:$C$803,A2848,MOVIMIENTOS_COMPLEMENTOS!$D$4:$D$803,B2848,MOVIMIENTOS_COMPLEMENTOS!$E$4:$E$803,C2848,MOVIMIENTOS_COMPLEMENTOS!$F$4:$F$803,D2848,MOVIMIENTOS_COMPLEMENTOS!$G$4:$G$803,E2848,MOVIMIENTOS_COMPLEMENTOS!$H$4:$H$803,G2848,MOVIMIENTOS_COMPLEMENTOS!$B$4:$B$803,"DE CORTE")-SUMIFS(MOVIMIENTOS_COMPLEMENTOS!$I$4:$I$803,MOVIMIENTOS_COMPLEMENTOS!$C$4:$C$803,A2848,MOVIMIENTOS_COMPLEMENTOS!$D$4:$D$803,B2848,MOVIMIENTOS_COMPLEMENTOS!$E$4:$E$803,C2848,MOVIMIENTOS_COMPLEMENTOS!$F$4:$F$803,D2848,MOVIMIENTOS_COMPLEMENTOS!$G$4:$G$803,E2848,MOVIMIENTOS_COMPLEMENTOS!$H$4:$H$803,G2848,MOVIMIENTOS_COMPLEMENTOS!$B$4:$B$803,"SALIDA"),0)</f>
        <v>0</v>
      </c>
      <c r="I2848" s="102">
        <f t="array" ref="I2848">IFERROR(INDEX(PRECIOS_COMPLEMENTOS!$C$4:$F$17,MATCH(B2848&amp;"_"&amp;C2848,PRECIOS_COMPLEMENTOS!$H$4:$H$17,0),IF(OR(G2848="S",G2848="20cm"),1,IF(OR(G2848="M",G2848="25cm"),2,IF(OR(G2848="L",G2848="30cm"),3,IF(OR(G2848="XL",G2848="35cm"),4,0))))),0)</f>
        <v>0.6</v>
      </c>
      <c r="J2848" s="103">
        <f t="shared" si="1"/>
        <v>0</v>
      </c>
      <c r="K2848" s="104" t="str">
        <f>IF(H2848&lt;0,"ERROR",IF(H2848=0,"",IF(H2848&lt;CONFIG!$B$4,"CRÍTICO",IF(H2848&lt;CONFIG!$B$5,"BAJO","OK"))))</f>
        <v/>
      </c>
    </row>
    <row r="2849" ht="15.75" hidden="1" customHeight="1">
      <c r="A2849" s="90" t="str">
        <f>IF(CLIENTES!A9="","",CLIENTES!A9)</f>
        <v/>
      </c>
      <c r="B2849" s="90" t="s">
        <v>331</v>
      </c>
      <c r="C2849" s="91" t="s">
        <v>328</v>
      </c>
      <c r="D2849" s="109" t="s">
        <v>366</v>
      </c>
      <c r="E2849" s="67" t="str">
        <f>COLORES!A15</f>
        <v>Plomo</v>
      </c>
      <c r="F2849" s="67" t="str">
        <f>COLORES!B15</f>
        <v>OSCURO</v>
      </c>
      <c r="G2849" s="90" t="s">
        <v>376</v>
      </c>
      <c r="H2849" s="100">
        <f>IFERROR(SUMIFS(MOVIMIENTOS_COMPLEMENTOS!$I$4:$I$803,MOVIMIENTOS_COMPLEMENTOS!$C$4:$C$803,A2849,MOVIMIENTOS_COMPLEMENTOS!$D$4:$D$803,B2849,MOVIMIENTOS_COMPLEMENTOS!$E$4:$E$803,C2849,MOVIMIENTOS_COMPLEMENTOS!$F$4:$F$803,D2849,MOVIMIENTOS_COMPLEMENTOS!$G$4:$G$803,E2849,MOVIMIENTOS_COMPLEMENTOS!$H$4:$H$803,G2849,MOVIMIENTOS_COMPLEMENTOS!$B$4:$B$803,"INGRESO")+SUMIFS(MOVIMIENTOS_COMPLEMENTOS!$I$4:$I$803,MOVIMIENTOS_COMPLEMENTOS!$C$4:$C$803,A2849,MOVIMIENTOS_COMPLEMENTOS!$D$4:$D$803,B2849,MOVIMIENTOS_COMPLEMENTOS!$E$4:$E$803,C2849,MOVIMIENTOS_COMPLEMENTOS!$F$4:$F$803,D2849,MOVIMIENTOS_COMPLEMENTOS!$G$4:$G$803,E2849,MOVIMIENTOS_COMPLEMENTOS!$H$4:$H$803,G2849,MOVIMIENTOS_COMPLEMENTOS!$B$4:$B$803,"DE CORTE")-SUMIFS(MOVIMIENTOS_COMPLEMENTOS!$I$4:$I$803,MOVIMIENTOS_COMPLEMENTOS!$C$4:$C$803,A2849,MOVIMIENTOS_COMPLEMENTOS!$D$4:$D$803,B2849,MOVIMIENTOS_COMPLEMENTOS!$E$4:$E$803,C2849,MOVIMIENTOS_COMPLEMENTOS!$F$4:$F$803,D2849,MOVIMIENTOS_COMPLEMENTOS!$G$4:$G$803,E2849,MOVIMIENTOS_COMPLEMENTOS!$H$4:$H$803,G2849,MOVIMIENTOS_COMPLEMENTOS!$B$4:$B$803,"SALIDA"),0)</f>
        <v>0</v>
      </c>
      <c r="I2849" s="102">
        <f t="array" ref="I2849">IFERROR(INDEX(PRECIOS_COMPLEMENTOS!$C$4:$F$17,MATCH(B2849&amp;"_"&amp;C2849,PRECIOS_COMPLEMENTOS!$H$4:$H$17,0),IF(OR(G2849="S",G2849="20cm"),1,IF(OR(G2849="M",G2849="25cm"),2,IF(OR(G2849="L",G2849="30cm"),3,IF(OR(G2849="XL",G2849="35cm"),4,0))))),0)</f>
        <v>0.6</v>
      </c>
      <c r="J2849" s="103">
        <f t="shared" si="1"/>
        <v>0</v>
      </c>
      <c r="K2849" s="104" t="str">
        <f>IF(H2849&lt;0,"ERROR",IF(H2849=0,"",IF(H2849&lt;CONFIG!$B$4,"CRÍTICO",IF(H2849&lt;CONFIG!$B$5,"BAJO","OK"))))</f>
        <v/>
      </c>
    </row>
    <row r="2850" ht="15.75" hidden="1" customHeight="1">
      <c r="A2850" s="90" t="str">
        <f>IF(CLIENTES!A9="","",CLIENTES!A9)</f>
        <v/>
      </c>
      <c r="B2850" s="90" t="s">
        <v>331</v>
      </c>
      <c r="C2850" s="91" t="s">
        <v>328</v>
      </c>
      <c r="D2850" s="109" t="s">
        <v>366</v>
      </c>
      <c r="E2850" s="67" t="str">
        <f>COLORES!A15</f>
        <v>Plomo</v>
      </c>
      <c r="F2850" s="67" t="str">
        <f>COLORES!B15</f>
        <v>OSCURO</v>
      </c>
      <c r="G2850" s="90" t="s">
        <v>377</v>
      </c>
      <c r="H2850" s="100">
        <f>IFERROR(SUMIFS(MOVIMIENTOS_COMPLEMENTOS!$I$4:$I$803,MOVIMIENTOS_COMPLEMENTOS!$C$4:$C$803,A2850,MOVIMIENTOS_COMPLEMENTOS!$D$4:$D$803,B2850,MOVIMIENTOS_COMPLEMENTOS!$E$4:$E$803,C2850,MOVIMIENTOS_COMPLEMENTOS!$F$4:$F$803,D2850,MOVIMIENTOS_COMPLEMENTOS!$G$4:$G$803,E2850,MOVIMIENTOS_COMPLEMENTOS!$H$4:$H$803,G2850,MOVIMIENTOS_COMPLEMENTOS!$B$4:$B$803,"INGRESO")+SUMIFS(MOVIMIENTOS_COMPLEMENTOS!$I$4:$I$803,MOVIMIENTOS_COMPLEMENTOS!$C$4:$C$803,A2850,MOVIMIENTOS_COMPLEMENTOS!$D$4:$D$803,B2850,MOVIMIENTOS_COMPLEMENTOS!$E$4:$E$803,C2850,MOVIMIENTOS_COMPLEMENTOS!$F$4:$F$803,D2850,MOVIMIENTOS_COMPLEMENTOS!$G$4:$G$803,E2850,MOVIMIENTOS_COMPLEMENTOS!$H$4:$H$803,G2850,MOVIMIENTOS_COMPLEMENTOS!$B$4:$B$803,"DE CORTE")-SUMIFS(MOVIMIENTOS_COMPLEMENTOS!$I$4:$I$803,MOVIMIENTOS_COMPLEMENTOS!$C$4:$C$803,A2850,MOVIMIENTOS_COMPLEMENTOS!$D$4:$D$803,B2850,MOVIMIENTOS_COMPLEMENTOS!$E$4:$E$803,C2850,MOVIMIENTOS_COMPLEMENTOS!$F$4:$F$803,D2850,MOVIMIENTOS_COMPLEMENTOS!$G$4:$G$803,E2850,MOVIMIENTOS_COMPLEMENTOS!$H$4:$H$803,G2850,MOVIMIENTOS_COMPLEMENTOS!$B$4:$B$803,"SALIDA"),0)</f>
        <v>0</v>
      </c>
      <c r="I2850" s="102">
        <f t="array" ref="I2850">IFERROR(INDEX(PRECIOS_COMPLEMENTOS!$C$4:$F$17,MATCH(B2850&amp;"_"&amp;C2850,PRECIOS_COMPLEMENTOS!$H$4:$H$17,0),IF(OR(G2850="S",G2850="20cm"),1,IF(OR(G2850="M",G2850="25cm"),2,IF(OR(G2850="L",G2850="30cm"),3,IF(OR(G2850="XL",G2850="35cm"),4,0))))),0)</f>
        <v>0.6</v>
      </c>
      <c r="J2850" s="103">
        <f t="shared" si="1"/>
        <v>0</v>
      </c>
      <c r="K2850" s="104" t="str">
        <f>IF(H2850&lt;0,"ERROR",IF(H2850=0,"",IF(H2850&lt;CONFIG!$B$4,"CRÍTICO",IF(H2850&lt;CONFIG!$B$5,"BAJO","OK"))))</f>
        <v/>
      </c>
    </row>
    <row r="2851" ht="15.75" hidden="1" customHeight="1">
      <c r="A2851" s="90" t="str">
        <f>IF(CLIENTES!A9="","",CLIENTES!A9)</f>
        <v/>
      </c>
      <c r="B2851" s="90" t="s">
        <v>331</v>
      </c>
      <c r="C2851" s="91" t="s">
        <v>328</v>
      </c>
      <c r="D2851" s="109" t="s">
        <v>366</v>
      </c>
      <c r="E2851" s="67" t="str">
        <f>COLORES!A15</f>
        <v>Plomo</v>
      </c>
      <c r="F2851" s="67" t="str">
        <f>COLORES!B15</f>
        <v>OSCURO</v>
      </c>
      <c r="G2851" s="90" t="s">
        <v>379</v>
      </c>
      <c r="H2851" s="100">
        <f>IFERROR(SUMIFS(MOVIMIENTOS_COMPLEMENTOS!$I$4:$I$803,MOVIMIENTOS_COMPLEMENTOS!$C$4:$C$803,A2851,MOVIMIENTOS_COMPLEMENTOS!$D$4:$D$803,B2851,MOVIMIENTOS_COMPLEMENTOS!$E$4:$E$803,C2851,MOVIMIENTOS_COMPLEMENTOS!$F$4:$F$803,D2851,MOVIMIENTOS_COMPLEMENTOS!$G$4:$G$803,E2851,MOVIMIENTOS_COMPLEMENTOS!$H$4:$H$803,G2851,MOVIMIENTOS_COMPLEMENTOS!$B$4:$B$803,"INGRESO")+SUMIFS(MOVIMIENTOS_COMPLEMENTOS!$I$4:$I$803,MOVIMIENTOS_COMPLEMENTOS!$C$4:$C$803,A2851,MOVIMIENTOS_COMPLEMENTOS!$D$4:$D$803,B2851,MOVIMIENTOS_COMPLEMENTOS!$E$4:$E$803,C2851,MOVIMIENTOS_COMPLEMENTOS!$F$4:$F$803,D2851,MOVIMIENTOS_COMPLEMENTOS!$G$4:$G$803,E2851,MOVIMIENTOS_COMPLEMENTOS!$H$4:$H$803,G2851,MOVIMIENTOS_COMPLEMENTOS!$B$4:$B$803,"DE CORTE")-SUMIFS(MOVIMIENTOS_COMPLEMENTOS!$I$4:$I$803,MOVIMIENTOS_COMPLEMENTOS!$C$4:$C$803,A2851,MOVIMIENTOS_COMPLEMENTOS!$D$4:$D$803,B2851,MOVIMIENTOS_COMPLEMENTOS!$E$4:$E$803,C2851,MOVIMIENTOS_COMPLEMENTOS!$F$4:$F$803,D2851,MOVIMIENTOS_COMPLEMENTOS!$G$4:$G$803,E2851,MOVIMIENTOS_COMPLEMENTOS!$H$4:$H$803,G2851,MOVIMIENTOS_COMPLEMENTOS!$B$4:$B$803,"SALIDA"),0)</f>
        <v>0</v>
      </c>
      <c r="I2851" s="102">
        <f t="array" ref="I2851">IFERROR(INDEX(PRECIOS_COMPLEMENTOS!$C$4:$F$17,MATCH(B2851&amp;"_"&amp;C2851,PRECIOS_COMPLEMENTOS!$H$4:$H$17,0),IF(OR(G2851="S",G2851="20cm"),1,IF(OR(G2851="M",G2851="25cm"),2,IF(OR(G2851="L",G2851="30cm"),3,IF(OR(G2851="XL",G2851="35cm"),4,0))))),0)</f>
        <v>0.6</v>
      </c>
      <c r="J2851" s="103">
        <f t="shared" si="1"/>
        <v>0</v>
      </c>
      <c r="K2851" s="104" t="str">
        <f>IF(H2851&lt;0,"ERROR",IF(H2851=0,"",IF(H2851&lt;CONFIG!$B$4,"CRÍTICO",IF(H2851&lt;CONFIG!$B$5,"BAJO","OK"))))</f>
        <v/>
      </c>
    </row>
    <row r="2852" ht="15.75" hidden="1" customHeight="1">
      <c r="A2852" s="90" t="str">
        <f>IF(CLIENTES!A9="","",CLIENTES!A9)</f>
        <v/>
      </c>
      <c r="B2852" s="90" t="s">
        <v>331</v>
      </c>
      <c r="C2852" s="91" t="s">
        <v>328</v>
      </c>
      <c r="D2852" s="109" t="s">
        <v>366</v>
      </c>
      <c r="E2852" s="67" t="str">
        <f>COLORES!A16</f>
        <v>Topo</v>
      </c>
      <c r="F2852" s="67" t="str">
        <f>COLORES!B16</f>
        <v>CLARO</v>
      </c>
      <c r="G2852" s="90" t="s">
        <v>378</v>
      </c>
      <c r="H2852" s="100">
        <f>IFERROR(SUMIFS(MOVIMIENTOS_COMPLEMENTOS!$I$4:$I$803,MOVIMIENTOS_COMPLEMENTOS!$C$4:$C$803,A2852,MOVIMIENTOS_COMPLEMENTOS!$D$4:$D$803,B2852,MOVIMIENTOS_COMPLEMENTOS!$E$4:$E$803,C2852,MOVIMIENTOS_COMPLEMENTOS!$F$4:$F$803,D2852,MOVIMIENTOS_COMPLEMENTOS!$G$4:$G$803,E2852,MOVIMIENTOS_COMPLEMENTOS!$H$4:$H$803,G2852,MOVIMIENTOS_COMPLEMENTOS!$B$4:$B$803,"INGRESO")+SUMIFS(MOVIMIENTOS_COMPLEMENTOS!$I$4:$I$803,MOVIMIENTOS_COMPLEMENTOS!$C$4:$C$803,A2852,MOVIMIENTOS_COMPLEMENTOS!$D$4:$D$803,B2852,MOVIMIENTOS_COMPLEMENTOS!$E$4:$E$803,C2852,MOVIMIENTOS_COMPLEMENTOS!$F$4:$F$803,D2852,MOVIMIENTOS_COMPLEMENTOS!$G$4:$G$803,E2852,MOVIMIENTOS_COMPLEMENTOS!$H$4:$H$803,G2852,MOVIMIENTOS_COMPLEMENTOS!$B$4:$B$803,"DE CORTE")-SUMIFS(MOVIMIENTOS_COMPLEMENTOS!$I$4:$I$803,MOVIMIENTOS_COMPLEMENTOS!$C$4:$C$803,A2852,MOVIMIENTOS_COMPLEMENTOS!$D$4:$D$803,B2852,MOVIMIENTOS_COMPLEMENTOS!$E$4:$E$803,C2852,MOVIMIENTOS_COMPLEMENTOS!$F$4:$F$803,D2852,MOVIMIENTOS_COMPLEMENTOS!$G$4:$G$803,E2852,MOVIMIENTOS_COMPLEMENTOS!$H$4:$H$803,G2852,MOVIMIENTOS_COMPLEMENTOS!$B$4:$B$803,"SALIDA"),0)</f>
        <v>0</v>
      </c>
      <c r="I2852" s="102">
        <f t="array" ref="I2852">IFERROR(INDEX(PRECIOS_COMPLEMENTOS!$C$4:$F$17,MATCH(B2852&amp;"_"&amp;C2852,PRECIOS_COMPLEMENTOS!$H$4:$H$17,0),IF(OR(G2852="S",G2852="20cm"),1,IF(OR(G2852="M",G2852="25cm"),2,IF(OR(G2852="L",G2852="30cm"),3,IF(OR(G2852="XL",G2852="35cm"),4,0))))),0)</f>
        <v>0.6</v>
      </c>
      <c r="J2852" s="103">
        <f t="shared" si="1"/>
        <v>0</v>
      </c>
      <c r="K2852" s="104" t="str">
        <f>IF(H2852&lt;0,"ERROR",IF(H2852=0,"",IF(H2852&lt;CONFIG!$B$4,"CRÍTICO",IF(H2852&lt;CONFIG!$B$5,"BAJO","OK"))))</f>
        <v/>
      </c>
    </row>
    <row r="2853" ht="15.75" hidden="1" customHeight="1">
      <c r="A2853" s="90" t="str">
        <f>IF(CLIENTES!A9="","",CLIENTES!A9)</f>
        <v/>
      </c>
      <c r="B2853" s="90" t="s">
        <v>331</v>
      </c>
      <c r="C2853" s="91" t="s">
        <v>328</v>
      </c>
      <c r="D2853" s="109" t="s">
        <v>366</v>
      </c>
      <c r="E2853" s="67" t="str">
        <f>COLORES!A16</f>
        <v>Topo</v>
      </c>
      <c r="F2853" s="67" t="str">
        <f>COLORES!B16</f>
        <v>CLARO</v>
      </c>
      <c r="G2853" s="90" t="s">
        <v>376</v>
      </c>
      <c r="H2853" s="100">
        <f>IFERROR(SUMIFS(MOVIMIENTOS_COMPLEMENTOS!$I$4:$I$803,MOVIMIENTOS_COMPLEMENTOS!$C$4:$C$803,A2853,MOVIMIENTOS_COMPLEMENTOS!$D$4:$D$803,B2853,MOVIMIENTOS_COMPLEMENTOS!$E$4:$E$803,C2853,MOVIMIENTOS_COMPLEMENTOS!$F$4:$F$803,D2853,MOVIMIENTOS_COMPLEMENTOS!$G$4:$G$803,E2853,MOVIMIENTOS_COMPLEMENTOS!$H$4:$H$803,G2853,MOVIMIENTOS_COMPLEMENTOS!$B$4:$B$803,"INGRESO")+SUMIFS(MOVIMIENTOS_COMPLEMENTOS!$I$4:$I$803,MOVIMIENTOS_COMPLEMENTOS!$C$4:$C$803,A2853,MOVIMIENTOS_COMPLEMENTOS!$D$4:$D$803,B2853,MOVIMIENTOS_COMPLEMENTOS!$E$4:$E$803,C2853,MOVIMIENTOS_COMPLEMENTOS!$F$4:$F$803,D2853,MOVIMIENTOS_COMPLEMENTOS!$G$4:$G$803,E2853,MOVIMIENTOS_COMPLEMENTOS!$H$4:$H$803,G2853,MOVIMIENTOS_COMPLEMENTOS!$B$4:$B$803,"DE CORTE")-SUMIFS(MOVIMIENTOS_COMPLEMENTOS!$I$4:$I$803,MOVIMIENTOS_COMPLEMENTOS!$C$4:$C$803,A2853,MOVIMIENTOS_COMPLEMENTOS!$D$4:$D$803,B2853,MOVIMIENTOS_COMPLEMENTOS!$E$4:$E$803,C2853,MOVIMIENTOS_COMPLEMENTOS!$F$4:$F$803,D2853,MOVIMIENTOS_COMPLEMENTOS!$G$4:$G$803,E2853,MOVIMIENTOS_COMPLEMENTOS!$H$4:$H$803,G2853,MOVIMIENTOS_COMPLEMENTOS!$B$4:$B$803,"SALIDA"),0)</f>
        <v>0</v>
      </c>
      <c r="I2853" s="102">
        <f t="array" ref="I2853">IFERROR(INDEX(PRECIOS_COMPLEMENTOS!$C$4:$F$17,MATCH(B2853&amp;"_"&amp;C2853,PRECIOS_COMPLEMENTOS!$H$4:$H$17,0),IF(OR(G2853="S",G2853="20cm"),1,IF(OR(G2853="M",G2853="25cm"),2,IF(OR(G2853="L",G2853="30cm"),3,IF(OR(G2853="XL",G2853="35cm"),4,0))))),0)</f>
        <v>0.6</v>
      </c>
      <c r="J2853" s="103">
        <f t="shared" si="1"/>
        <v>0</v>
      </c>
      <c r="K2853" s="104" t="str">
        <f>IF(H2853&lt;0,"ERROR",IF(H2853=0,"",IF(H2853&lt;CONFIG!$B$4,"CRÍTICO",IF(H2853&lt;CONFIG!$B$5,"BAJO","OK"))))</f>
        <v/>
      </c>
    </row>
    <row r="2854" ht="15.75" hidden="1" customHeight="1">
      <c r="A2854" s="90" t="str">
        <f>IF(CLIENTES!A9="","",CLIENTES!A9)</f>
        <v/>
      </c>
      <c r="B2854" s="90" t="s">
        <v>331</v>
      </c>
      <c r="C2854" s="91" t="s">
        <v>328</v>
      </c>
      <c r="D2854" s="109" t="s">
        <v>366</v>
      </c>
      <c r="E2854" s="67" t="str">
        <f>COLORES!A16</f>
        <v>Topo</v>
      </c>
      <c r="F2854" s="67" t="str">
        <f>COLORES!B16</f>
        <v>CLARO</v>
      </c>
      <c r="G2854" s="90" t="s">
        <v>377</v>
      </c>
      <c r="H2854" s="100">
        <f>IFERROR(SUMIFS(MOVIMIENTOS_COMPLEMENTOS!$I$4:$I$803,MOVIMIENTOS_COMPLEMENTOS!$C$4:$C$803,A2854,MOVIMIENTOS_COMPLEMENTOS!$D$4:$D$803,B2854,MOVIMIENTOS_COMPLEMENTOS!$E$4:$E$803,C2854,MOVIMIENTOS_COMPLEMENTOS!$F$4:$F$803,D2854,MOVIMIENTOS_COMPLEMENTOS!$G$4:$G$803,E2854,MOVIMIENTOS_COMPLEMENTOS!$H$4:$H$803,G2854,MOVIMIENTOS_COMPLEMENTOS!$B$4:$B$803,"INGRESO")+SUMIFS(MOVIMIENTOS_COMPLEMENTOS!$I$4:$I$803,MOVIMIENTOS_COMPLEMENTOS!$C$4:$C$803,A2854,MOVIMIENTOS_COMPLEMENTOS!$D$4:$D$803,B2854,MOVIMIENTOS_COMPLEMENTOS!$E$4:$E$803,C2854,MOVIMIENTOS_COMPLEMENTOS!$F$4:$F$803,D2854,MOVIMIENTOS_COMPLEMENTOS!$G$4:$G$803,E2854,MOVIMIENTOS_COMPLEMENTOS!$H$4:$H$803,G2854,MOVIMIENTOS_COMPLEMENTOS!$B$4:$B$803,"DE CORTE")-SUMIFS(MOVIMIENTOS_COMPLEMENTOS!$I$4:$I$803,MOVIMIENTOS_COMPLEMENTOS!$C$4:$C$803,A2854,MOVIMIENTOS_COMPLEMENTOS!$D$4:$D$803,B2854,MOVIMIENTOS_COMPLEMENTOS!$E$4:$E$803,C2854,MOVIMIENTOS_COMPLEMENTOS!$F$4:$F$803,D2854,MOVIMIENTOS_COMPLEMENTOS!$G$4:$G$803,E2854,MOVIMIENTOS_COMPLEMENTOS!$H$4:$H$803,G2854,MOVIMIENTOS_COMPLEMENTOS!$B$4:$B$803,"SALIDA"),0)</f>
        <v>0</v>
      </c>
      <c r="I2854" s="102">
        <f t="array" ref="I2854">IFERROR(INDEX(PRECIOS_COMPLEMENTOS!$C$4:$F$17,MATCH(B2854&amp;"_"&amp;C2854,PRECIOS_COMPLEMENTOS!$H$4:$H$17,0),IF(OR(G2854="S",G2854="20cm"),1,IF(OR(G2854="M",G2854="25cm"),2,IF(OR(G2854="L",G2854="30cm"),3,IF(OR(G2854="XL",G2854="35cm"),4,0))))),0)</f>
        <v>0.6</v>
      </c>
      <c r="J2854" s="103">
        <f t="shared" si="1"/>
        <v>0</v>
      </c>
      <c r="K2854" s="104" t="str">
        <f>IF(H2854&lt;0,"ERROR",IF(H2854=0,"",IF(H2854&lt;CONFIG!$B$4,"CRÍTICO",IF(H2854&lt;CONFIG!$B$5,"BAJO","OK"))))</f>
        <v/>
      </c>
    </row>
    <row r="2855" ht="15.75" hidden="1" customHeight="1">
      <c r="A2855" s="90" t="str">
        <f>IF(CLIENTES!A9="","",CLIENTES!A9)</f>
        <v/>
      </c>
      <c r="B2855" s="90" t="s">
        <v>331</v>
      </c>
      <c r="C2855" s="91" t="s">
        <v>328</v>
      </c>
      <c r="D2855" s="109" t="s">
        <v>366</v>
      </c>
      <c r="E2855" s="67" t="str">
        <f>COLORES!A16</f>
        <v>Topo</v>
      </c>
      <c r="F2855" s="67" t="str">
        <f>COLORES!B16</f>
        <v>CLARO</v>
      </c>
      <c r="G2855" s="90" t="s">
        <v>379</v>
      </c>
      <c r="H2855" s="100">
        <f>IFERROR(SUMIFS(MOVIMIENTOS_COMPLEMENTOS!$I$4:$I$803,MOVIMIENTOS_COMPLEMENTOS!$C$4:$C$803,A2855,MOVIMIENTOS_COMPLEMENTOS!$D$4:$D$803,B2855,MOVIMIENTOS_COMPLEMENTOS!$E$4:$E$803,C2855,MOVIMIENTOS_COMPLEMENTOS!$F$4:$F$803,D2855,MOVIMIENTOS_COMPLEMENTOS!$G$4:$G$803,E2855,MOVIMIENTOS_COMPLEMENTOS!$H$4:$H$803,G2855,MOVIMIENTOS_COMPLEMENTOS!$B$4:$B$803,"INGRESO")+SUMIFS(MOVIMIENTOS_COMPLEMENTOS!$I$4:$I$803,MOVIMIENTOS_COMPLEMENTOS!$C$4:$C$803,A2855,MOVIMIENTOS_COMPLEMENTOS!$D$4:$D$803,B2855,MOVIMIENTOS_COMPLEMENTOS!$E$4:$E$803,C2855,MOVIMIENTOS_COMPLEMENTOS!$F$4:$F$803,D2855,MOVIMIENTOS_COMPLEMENTOS!$G$4:$G$803,E2855,MOVIMIENTOS_COMPLEMENTOS!$H$4:$H$803,G2855,MOVIMIENTOS_COMPLEMENTOS!$B$4:$B$803,"DE CORTE")-SUMIFS(MOVIMIENTOS_COMPLEMENTOS!$I$4:$I$803,MOVIMIENTOS_COMPLEMENTOS!$C$4:$C$803,A2855,MOVIMIENTOS_COMPLEMENTOS!$D$4:$D$803,B2855,MOVIMIENTOS_COMPLEMENTOS!$E$4:$E$803,C2855,MOVIMIENTOS_COMPLEMENTOS!$F$4:$F$803,D2855,MOVIMIENTOS_COMPLEMENTOS!$G$4:$G$803,E2855,MOVIMIENTOS_COMPLEMENTOS!$H$4:$H$803,G2855,MOVIMIENTOS_COMPLEMENTOS!$B$4:$B$803,"SALIDA"),0)</f>
        <v>0</v>
      </c>
      <c r="I2855" s="102">
        <f t="array" ref="I2855">IFERROR(INDEX(PRECIOS_COMPLEMENTOS!$C$4:$F$17,MATCH(B2855&amp;"_"&amp;C2855,PRECIOS_COMPLEMENTOS!$H$4:$H$17,0),IF(OR(G2855="S",G2855="20cm"),1,IF(OR(G2855="M",G2855="25cm"),2,IF(OR(G2855="L",G2855="30cm"),3,IF(OR(G2855="XL",G2855="35cm"),4,0))))),0)</f>
        <v>0.6</v>
      </c>
      <c r="J2855" s="103">
        <f t="shared" si="1"/>
        <v>0</v>
      </c>
      <c r="K2855" s="104" t="str">
        <f>IF(H2855&lt;0,"ERROR",IF(H2855=0,"",IF(H2855&lt;CONFIG!$B$4,"CRÍTICO",IF(H2855&lt;CONFIG!$B$5,"BAJO","OK"))))</f>
        <v/>
      </c>
    </row>
    <row r="2856" ht="15.75" hidden="1" customHeight="1">
      <c r="A2856" s="90" t="str">
        <f>IF(CLIENTES!A9="","",CLIENTES!A9)</f>
        <v/>
      </c>
      <c r="B2856" s="90" t="s">
        <v>331</v>
      </c>
      <c r="C2856" s="91" t="s">
        <v>328</v>
      </c>
      <c r="D2856" s="109" t="s">
        <v>366</v>
      </c>
      <c r="E2856" s="67" t="str">
        <f>COLORES!A17</f>
        <v>Vino</v>
      </c>
      <c r="F2856" s="67" t="str">
        <f>COLORES!B17</f>
        <v>OSCURO</v>
      </c>
      <c r="G2856" s="90" t="s">
        <v>378</v>
      </c>
      <c r="H2856" s="100">
        <f>IFERROR(SUMIFS(MOVIMIENTOS_COMPLEMENTOS!$I$4:$I$803,MOVIMIENTOS_COMPLEMENTOS!$C$4:$C$803,A2856,MOVIMIENTOS_COMPLEMENTOS!$D$4:$D$803,B2856,MOVIMIENTOS_COMPLEMENTOS!$E$4:$E$803,C2856,MOVIMIENTOS_COMPLEMENTOS!$F$4:$F$803,D2856,MOVIMIENTOS_COMPLEMENTOS!$G$4:$G$803,E2856,MOVIMIENTOS_COMPLEMENTOS!$H$4:$H$803,G2856,MOVIMIENTOS_COMPLEMENTOS!$B$4:$B$803,"INGRESO")+SUMIFS(MOVIMIENTOS_COMPLEMENTOS!$I$4:$I$803,MOVIMIENTOS_COMPLEMENTOS!$C$4:$C$803,A2856,MOVIMIENTOS_COMPLEMENTOS!$D$4:$D$803,B2856,MOVIMIENTOS_COMPLEMENTOS!$E$4:$E$803,C2856,MOVIMIENTOS_COMPLEMENTOS!$F$4:$F$803,D2856,MOVIMIENTOS_COMPLEMENTOS!$G$4:$G$803,E2856,MOVIMIENTOS_COMPLEMENTOS!$H$4:$H$803,G2856,MOVIMIENTOS_COMPLEMENTOS!$B$4:$B$803,"DE CORTE")-SUMIFS(MOVIMIENTOS_COMPLEMENTOS!$I$4:$I$803,MOVIMIENTOS_COMPLEMENTOS!$C$4:$C$803,A2856,MOVIMIENTOS_COMPLEMENTOS!$D$4:$D$803,B2856,MOVIMIENTOS_COMPLEMENTOS!$E$4:$E$803,C2856,MOVIMIENTOS_COMPLEMENTOS!$F$4:$F$803,D2856,MOVIMIENTOS_COMPLEMENTOS!$G$4:$G$803,E2856,MOVIMIENTOS_COMPLEMENTOS!$H$4:$H$803,G2856,MOVIMIENTOS_COMPLEMENTOS!$B$4:$B$803,"SALIDA"),0)</f>
        <v>0</v>
      </c>
      <c r="I2856" s="102">
        <f t="array" ref="I2856">IFERROR(INDEX(PRECIOS_COMPLEMENTOS!$C$4:$F$17,MATCH(B2856&amp;"_"&amp;C2856,PRECIOS_COMPLEMENTOS!$H$4:$H$17,0),IF(OR(G2856="S",G2856="20cm"),1,IF(OR(G2856="M",G2856="25cm"),2,IF(OR(G2856="L",G2856="30cm"),3,IF(OR(G2856="XL",G2856="35cm"),4,0))))),0)</f>
        <v>0.6</v>
      </c>
      <c r="J2856" s="103">
        <f t="shared" si="1"/>
        <v>0</v>
      </c>
      <c r="K2856" s="104" t="str">
        <f>IF(H2856&lt;0,"ERROR",IF(H2856=0,"",IF(H2856&lt;CONFIG!$B$4,"CRÍTICO",IF(H2856&lt;CONFIG!$B$5,"BAJO","OK"))))</f>
        <v/>
      </c>
    </row>
    <row r="2857" ht="15.75" hidden="1" customHeight="1">
      <c r="A2857" s="90" t="str">
        <f>IF(CLIENTES!A9="","",CLIENTES!A9)</f>
        <v/>
      </c>
      <c r="B2857" s="90" t="s">
        <v>331</v>
      </c>
      <c r="C2857" s="91" t="s">
        <v>328</v>
      </c>
      <c r="D2857" s="109" t="s">
        <v>366</v>
      </c>
      <c r="E2857" s="67" t="str">
        <f>COLORES!A17</f>
        <v>Vino</v>
      </c>
      <c r="F2857" s="67" t="str">
        <f>COLORES!B17</f>
        <v>OSCURO</v>
      </c>
      <c r="G2857" s="90" t="s">
        <v>376</v>
      </c>
      <c r="H2857" s="100">
        <f>IFERROR(SUMIFS(MOVIMIENTOS_COMPLEMENTOS!$I$4:$I$803,MOVIMIENTOS_COMPLEMENTOS!$C$4:$C$803,A2857,MOVIMIENTOS_COMPLEMENTOS!$D$4:$D$803,B2857,MOVIMIENTOS_COMPLEMENTOS!$E$4:$E$803,C2857,MOVIMIENTOS_COMPLEMENTOS!$F$4:$F$803,D2857,MOVIMIENTOS_COMPLEMENTOS!$G$4:$G$803,E2857,MOVIMIENTOS_COMPLEMENTOS!$H$4:$H$803,G2857,MOVIMIENTOS_COMPLEMENTOS!$B$4:$B$803,"INGRESO")+SUMIFS(MOVIMIENTOS_COMPLEMENTOS!$I$4:$I$803,MOVIMIENTOS_COMPLEMENTOS!$C$4:$C$803,A2857,MOVIMIENTOS_COMPLEMENTOS!$D$4:$D$803,B2857,MOVIMIENTOS_COMPLEMENTOS!$E$4:$E$803,C2857,MOVIMIENTOS_COMPLEMENTOS!$F$4:$F$803,D2857,MOVIMIENTOS_COMPLEMENTOS!$G$4:$G$803,E2857,MOVIMIENTOS_COMPLEMENTOS!$H$4:$H$803,G2857,MOVIMIENTOS_COMPLEMENTOS!$B$4:$B$803,"DE CORTE")-SUMIFS(MOVIMIENTOS_COMPLEMENTOS!$I$4:$I$803,MOVIMIENTOS_COMPLEMENTOS!$C$4:$C$803,A2857,MOVIMIENTOS_COMPLEMENTOS!$D$4:$D$803,B2857,MOVIMIENTOS_COMPLEMENTOS!$E$4:$E$803,C2857,MOVIMIENTOS_COMPLEMENTOS!$F$4:$F$803,D2857,MOVIMIENTOS_COMPLEMENTOS!$G$4:$G$803,E2857,MOVIMIENTOS_COMPLEMENTOS!$H$4:$H$803,G2857,MOVIMIENTOS_COMPLEMENTOS!$B$4:$B$803,"SALIDA"),0)</f>
        <v>0</v>
      </c>
      <c r="I2857" s="102">
        <f t="array" ref="I2857">IFERROR(INDEX(PRECIOS_COMPLEMENTOS!$C$4:$F$17,MATCH(B2857&amp;"_"&amp;C2857,PRECIOS_COMPLEMENTOS!$H$4:$H$17,0),IF(OR(G2857="S",G2857="20cm"),1,IF(OR(G2857="M",G2857="25cm"),2,IF(OR(G2857="L",G2857="30cm"),3,IF(OR(G2857="XL",G2857="35cm"),4,0))))),0)</f>
        <v>0.6</v>
      </c>
      <c r="J2857" s="103">
        <f t="shared" si="1"/>
        <v>0</v>
      </c>
      <c r="K2857" s="104" t="str">
        <f>IF(H2857&lt;0,"ERROR",IF(H2857=0,"",IF(H2857&lt;CONFIG!$B$4,"CRÍTICO",IF(H2857&lt;CONFIG!$B$5,"BAJO","OK"))))</f>
        <v/>
      </c>
    </row>
    <row r="2858" ht="15.75" hidden="1" customHeight="1">
      <c r="A2858" s="90" t="str">
        <f>IF(CLIENTES!A9="","",CLIENTES!A9)</f>
        <v/>
      </c>
      <c r="B2858" s="90" t="s">
        <v>331</v>
      </c>
      <c r="C2858" s="91" t="s">
        <v>328</v>
      </c>
      <c r="D2858" s="109" t="s">
        <v>366</v>
      </c>
      <c r="E2858" s="67" t="str">
        <f>COLORES!A17</f>
        <v>Vino</v>
      </c>
      <c r="F2858" s="67" t="str">
        <f>COLORES!B17</f>
        <v>OSCURO</v>
      </c>
      <c r="G2858" s="90" t="s">
        <v>377</v>
      </c>
      <c r="H2858" s="100">
        <f>IFERROR(SUMIFS(MOVIMIENTOS_COMPLEMENTOS!$I$4:$I$803,MOVIMIENTOS_COMPLEMENTOS!$C$4:$C$803,A2858,MOVIMIENTOS_COMPLEMENTOS!$D$4:$D$803,B2858,MOVIMIENTOS_COMPLEMENTOS!$E$4:$E$803,C2858,MOVIMIENTOS_COMPLEMENTOS!$F$4:$F$803,D2858,MOVIMIENTOS_COMPLEMENTOS!$G$4:$G$803,E2858,MOVIMIENTOS_COMPLEMENTOS!$H$4:$H$803,G2858,MOVIMIENTOS_COMPLEMENTOS!$B$4:$B$803,"INGRESO")+SUMIFS(MOVIMIENTOS_COMPLEMENTOS!$I$4:$I$803,MOVIMIENTOS_COMPLEMENTOS!$C$4:$C$803,A2858,MOVIMIENTOS_COMPLEMENTOS!$D$4:$D$803,B2858,MOVIMIENTOS_COMPLEMENTOS!$E$4:$E$803,C2858,MOVIMIENTOS_COMPLEMENTOS!$F$4:$F$803,D2858,MOVIMIENTOS_COMPLEMENTOS!$G$4:$G$803,E2858,MOVIMIENTOS_COMPLEMENTOS!$H$4:$H$803,G2858,MOVIMIENTOS_COMPLEMENTOS!$B$4:$B$803,"DE CORTE")-SUMIFS(MOVIMIENTOS_COMPLEMENTOS!$I$4:$I$803,MOVIMIENTOS_COMPLEMENTOS!$C$4:$C$803,A2858,MOVIMIENTOS_COMPLEMENTOS!$D$4:$D$803,B2858,MOVIMIENTOS_COMPLEMENTOS!$E$4:$E$803,C2858,MOVIMIENTOS_COMPLEMENTOS!$F$4:$F$803,D2858,MOVIMIENTOS_COMPLEMENTOS!$G$4:$G$803,E2858,MOVIMIENTOS_COMPLEMENTOS!$H$4:$H$803,G2858,MOVIMIENTOS_COMPLEMENTOS!$B$4:$B$803,"SALIDA"),0)</f>
        <v>0</v>
      </c>
      <c r="I2858" s="102">
        <f t="array" ref="I2858">IFERROR(INDEX(PRECIOS_COMPLEMENTOS!$C$4:$F$17,MATCH(B2858&amp;"_"&amp;C2858,PRECIOS_COMPLEMENTOS!$H$4:$H$17,0),IF(OR(G2858="S",G2858="20cm"),1,IF(OR(G2858="M",G2858="25cm"),2,IF(OR(G2858="L",G2858="30cm"),3,IF(OR(G2858="XL",G2858="35cm"),4,0))))),0)</f>
        <v>0.6</v>
      </c>
      <c r="J2858" s="103">
        <f t="shared" si="1"/>
        <v>0</v>
      </c>
      <c r="K2858" s="104" t="str">
        <f>IF(H2858&lt;0,"ERROR",IF(H2858=0,"",IF(H2858&lt;CONFIG!$B$4,"CRÍTICO",IF(H2858&lt;CONFIG!$B$5,"BAJO","OK"))))</f>
        <v/>
      </c>
    </row>
    <row r="2859" ht="15.75" hidden="1" customHeight="1">
      <c r="A2859" s="90" t="str">
        <f>IF(CLIENTES!A9="","",CLIENTES!A9)</f>
        <v/>
      </c>
      <c r="B2859" s="90" t="s">
        <v>331</v>
      </c>
      <c r="C2859" s="91" t="s">
        <v>328</v>
      </c>
      <c r="D2859" s="109" t="s">
        <v>366</v>
      </c>
      <c r="E2859" s="67" t="str">
        <f>COLORES!A17</f>
        <v>Vino</v>
      </c>
      <c r="F2859" s="67" t="str">
        <f>COLORES!B17</f>
        <v>OSCURO</v>
      </c>
      <c r="G2859" s="90" t="s">
        <v>379</v>
      </c>
      <c r="H2859" s="100">
        <f>IFERROR(SUMIFS(MOVIMIENTOS_COMPLEMENTOS!$I$4:$I$803,MOVIMIENTOS_COMPLEMENTOS!$C$4:$C$803,A2859,MOVIMIENTOS_COMPLEMENTOS!$D$4:$D$803,B2859,MOVIMIENTOS_COMPLEMENTOS!$E$4:$E$803,C2859,MOVIMIENTOS_COMPLEMENTOS!$F$4:$F$803,D2859,MOVIMIENTOS_COMPLEMENTOS!$G$4:$G$803,E2859,MOVIMIENTOS_COMPLEMENTOS!$H$4:$H$803,G2859,MOVIMIENTOS_COMPLEMENTOS!$B$4:$B$803,"INGRESO")+SUMIFS(MOVIMIENTOS_COMPLEMENTOS!$I$4:$I$803,MOVIMIENTOS_COMPLEMENTOS!$C$4:$C$803,A2859,MOVIMIENTOS_COMPLEMENTOS!$D$4:$D$803,B2859,MOVIMIENTOS_COMPLEMENTOS!$E$4:$E$803,C2859,MOVIMIENTOS_COMPLEMENTOS!$F$4:$F$803,D2859,MOVIMIENTOS_COMPLEMENTOS!$G$4:$G$803,E2859,MOVIMIENTOS_COMPLEMENTOS!$H$4:$H$803,G2859,MOVIMIENTOS_COMPLEMENTOS!$B$4:$B$803,"DE CORTE")-SUMIFS(MOVIMIENTOS_COMPLEMENTOS!$I$4:$I$803,MOVIMIENTOS_COMPLEMENTOS!$C$4:$C$803,A2859,MOVIMIENTOS_COMPLEMENTOS!$D$4:$D$803,B2859,MOVIMIENTOS_COMPLEMENTOS!$E$4:$E$803,C2859,MOVIMIENTOS_COMPLEMENTOS!$F$4:$F$803,D2859,MOVIMIENTOS_COMPLEMENTOS!$G$4:$G$803,E2859,MOVIMIENTOS_COMPLEMENTOS!$H$4:$H$803,G2859,MOVIMIENTOS_COMPLEMENTOS!$B$4:$B$803,"SALIDA"),0)</f>
        <v>0</v>
      </c>
      <c r="I2859" s="102">
        <f t="array" ref="I2859">IFERROR(INDEX(PRECIOS_COMPLEMENTOS!$C$4:$F$17,MATCH(B2859&amp;"_"&amp;C2859,PRECIOS_COMPLEMENTOS!$H$4:$H$17,0),IF(OR(G2859="S",G2859="20cm"),1,IF(OR(G2859="M",G2859="25cm"),2,IF(OR(G2859="L",G2859="30cm"),3,IF(OR(G2859="XL",G2859="35cm"),4,0))))),0)</f>
        <v>0.6</v>
      </c>
      <c r="J2859" s="103">
        <f t="shared" si="1"/>
        <v>0</v>
      </c>
      <c r="K2859" s="104" t="str">
        <f>IF(H2859&lt;0,"ERROR",IF(H2859=0,"",IF(H2859&lt;CONFIG!$B$4,"CRÍTICO",IF(H2859&lt;CONFIG!$B$5,"BAJO","OK"))))</f>
        <v/>
      </c>
    </row>
    <row r="2860" ht="15.75" hidden="1" customHeight="1">
      <c r="A2860" s="90" t="str">
        <f>IF(CLIENTES!A9="","",CLIENTES!A9)</f>
        <v/>
      </c>
      <c r="B2860" s="90" t="s">
        <v>331</v>
      </c>
      <c r="C2860" s="91" t="s">
        <v>328</v>
      </c>
      <c r="D2860" s="109" t="s">
        <v>366</v>
      </c>
      <c r="E2860" s="67" t="str">
        <f>COLORES!A18</f>
        <v>P. Rosa</v>
      </c>
      <c r="F2860" s="67" t="str">
        <f>COLORES!B18</f>
        <v>CLARO</v>
      </c>
      <c r="G2860" s="90" t="s">
        <v>378</v>
      </c>
      <c r="H2860" s="100">
        <f>IFERROR(SUMIFS(MOVIMIENTOS_COMPLEMENTOS!$I$4:$I$803,MOVIMIENTOS_COMPLEMENTOS!$C$4:$C$803,A2860,MOVIMIENTOS_COMPLEMENTOS!$D$4:$D$803,B2860,MOVIMIENTOS_COMPLEMENTOS!$E$4:$E$803,C2860,MOVIMIENTOS_COMPLEMENTOS!$F$4:$F$803,D2860,MOVIMIENTOS_COMPLEMENTOS!$G$4:$G$803,E2860,MOVIMIENTOS_COMPLEMENTOS!$H$4:$H$803,G2860,MOVIMIENTOS_COMPLEMENTOS!$B$4:$B$803,"INGRESO")+SUMIFS(MOVIMIENTOS_COMPLEMENTOS!$I$4:$I$803,MOVIMIENTOS_COMPLEMENTOS!$C$4:$C$803,A2860,MOVIMIENTOS_COMPLEMENTOS!$D$4:$D$803,B2860,MOVIMIENTOS_COMPLEMENTOS!$E$4:$E$803,C2860,MOVIMIENTOS_COMPLEMENTOS!$F$4:$F$803,D2860,MOVIMIENTOS_COMPLEMENTOS!$G$4:$G$803,E2860,MOVIMIENTOS_COMPLEMENTOS!$H$4:$H$803,G2860,MOVIMIENTOS_COMPLEMENTOS!$B$4:$B$803,"DE CORTE")-SUMIFS(MOVIMIENTOS_COMPLEMENTOS!$I$4:$I$803,MOVIMIENTOS_COMPLEMENTOS!$C$4:$C$803,A2860,MOVIMIENTOS_COMPLEMENTOS!$D$4:$D$803,B2860,MOVIMIENTOS_COMPLEMENTOS!$E$4:$E$803,C2860,MOVIMIENTOS_COMPLEMENTOS!$F$4:$F$803,D2860,MOVIMIENTOS_COMPLEMENTOS!$G$4:$G$803,E2860,MOVIMIENTOS_COMPLEMENTOS!$H$4:$H$803,G2860,MOVIMIENTOS_COMPLEMENTOS!$B$4:$B$803,"SALIDA"),0)</f>
        <v>0</v>
      </c>
      <c r="I2860" s="102">
        <f t="array" ref="I2860">IFERROR(INDEX(PRECIOS_COMPLEMENTOS!$C$4:$F$17,MATCH(B2860&amp;"_"&amp;C2860,PRECIOS_COMPLEMENTOS!$H$4:$H$17,0),IF(OR(G2860="S",G2860="20cm"),1,IF(OR(G2860="M",G2860="25cm"),2,IF(OR(G2860="L",G2860="30cm"),3,IF(OR(G2860="XL",G2860="35cm"),4,0))))),0)</f>
        <v>0.6</v>
      </c>
      <c r="J2860" s="103">
        <f t="shared" si="1"/>
        <v>0</v>
      </c>
      <c r="K2860" s="104" t="str">
        <f>IF(H2860&lt;0,"ERROR",IF(H2860=0,"",IF(H2860&lt;CONFIG!$B$4,"CRÍTICO",IF(H2860&lt;CONFIG!$B$5,"BAJO","OK"))))</f>
        <v/>
      </c>
    </row>
    <row r="2861" ht="15.75" hidden="1" customHeight="1">
      <c r="A2861" s="90" t="str">
        <f>IF(CLIENTES!A9="","",CLIENTES!A9)</f>
        <v/>
      </c>
      <c r="B2861" s="90" t="s">
        <v>331</v>
      </c>
      <c r="C2861" s="91" t="s">
        <v>328</v>
      </c>
      <c r="D2861" s="109" t="s">
        <v>366</v>
      </c>
      <c r="E2861" s="67" t="str">
        <f>COLORES!A18</f>
        <v>P. Rosa</v>
      </c>
      <c r="F2861" s="67" t="str">
        <f>COLORES!B18</f>
        <v>CLARO</v>
      </c>
      <c r="G2861" s="90" t="s">
        <v>376</v>
      </c>
      <c r="H2861" s="100">
        <f>IFERROR(SUMIFS(MOVIMIENTOS_COMPLEMENTOS!$I$4:$I$803,MOVIMIENTOS_COMPLEMENTOS!$C$4:$C$803,A2861,MOVIMIENTOS_COMPLEMENTOS!$D$4:$D$803,B2861,MOVIMIENTOS_COMPLEMENTOS!$E$4:$E$803,C2861,MOVIMIENTOS_COMPLEMENTOS!$F$4:$F$803,D2861,MOVIMIENTOS_COMPLEMENTOS!$G$4:$G$803,E2861,MOVIMIENTOS_COMPLEMENTOS!$H$4:$H$803,G2861,MOVIMIENTOS_COMPLEMENTOS!$B$4:$B$803,"INGRESO")+SUMIFS(MOVIMIENTOS_COMPLEMENTOS!$I$4:$I$803,MOVIMIENTOS_COMPLEMENTOS!$C$4:$C$803,A2861,MOVIMIENTOS_COMPLEMENTOS!$D$4:$D$803,B2861,MOVIMIENTOS_COMPLEMENTOS!$E$4:$E$803,C2861,MOVIMIENTOS_COMPLEMENTOS!$F$4:$F$803,D2861,MOVIMIENTOS_COMPLEMENTOS!$G$4:$G$803,E2861,MOVIMIENTOS_COMPLEMENTOS!$H$4:$H$803,G2861,MOVIMIENTOS_COMPLEMENTOS!$B$4:$B$803,"DE CORTE")-SUMIFS(MOVIMIENTOS_COMPLEMENTOS!$I$4:$I$803,MOVIMIENTOS_COMPLEMENTOS!$C$4:$C$803,A2861,MOVIMIENTOS_COMPLEMENTOS!$D$4:$D$803,B2861,MOVIMIENTOS_COMPLEMENTOS!$E$4:$E$803,C2861,MOVIMIENTOS_COMPLEMENTOS!$F$4:$F$803,D2861,MOVIMIENTOS_COMPLEMENTOS!$G$4:$G$803,E2861,MOVIMIENTOS_COMPLEMENTOS!$H$4:$H$803,G2861,MOVIMIENTOS_COMPLEMENTOS!$B$4:$B$803,"SALIDA"),0)</f>
        <v>0</v>
      </c>
      <c r="I2861" s="102">
        <f t="array" ref="I2861">IFERROR(INDEX(PRECIOS_COMPLEMENTOS!$C$4:$F$17,MATCH(B2861&amp;"_"&amp;C2861,PRECIOS_COMPLEMENTOS!$H$4:$H$17,0),IF(OR(G2861="S",G2861="20cm"),1,IF(OR(G2861="M",G2861="25cm"),2,IF(OR(G2861="L",G2861="30cm"),3,IF(OR(G2861="XL",G2861="35cm"),4,0))))),0)</f>
        <v>0.6</v>
      </c>
      <c r="J2861" s="103">
        <f t="shared" si="1"/>
        <v>0</v>
      </c>
      <c r="K2861" s="104" t="str">
        <f>IF(H2861&lt;0,"ERROR",IF(H2861=0,"",IF(H2861&lt;CONFIG!$B$4,"CRÍTICO",IF(H2861&lt;CONFIG!$B$5,"BAJO","OK"))))</f>
        <v/>
      </c>
    </row>
    <row r="2862" ht="15.75" hidden="1" customHeight="1">
      <c r="A2862" s="90" t="str">
        <f>IF(CLIENTES!A9="","",CLIENTES!A9)</f>
        <v/>
      </c>
      <c r="B2862" s="90" t="s">
        <v>331</v>
      </c>
      <c r="C2862" s="91" t="s">
        <v>328</v>
      </c>
      <c r="D2862" s="109" t="s">
        <v>366</v>
      </c>
      <c r="E2862" s="67" t="str">
        <f>COLORES!A18</f>
        <v>P. Rosa</v>
      </c>
      <c r="F2862" s="67" t="str">
        <f>COLORES!B18</f>
        <v>CLARO</v>
      </c>
      <c r="G2862" s="90" t="s">
        <v>377</v>
      </c>
      <c r="H2862" s="100">
        <f>IFERROR(SUMIFS(MOVIMIENTOS_COMPLEMENTOS!$I$4:$I$803,MOVIMIENTOS_COMPLEMENTOS!$C$4:$C$803,A2862,MOVIMIENTOS_COMPLEMENTOS!$D$4:$D$803,B2862,MOVIMIENTOS_COMPLEMENTOS!$E$4:$E$803,C2862,MOVIMIENTOS_COMPLEMENTOS!$F$4:$F$803,D2862,MOVIMIENTOS_COMPLEMENTOS!$G$4:$G$803,E2862,MOVIMIENTOS_COMPLEMENTOS!$H$4:$H$803,G2862,MOVIMIENTOS_COMPLEMENTOS!$B$4:$B$803,"INGRESO")+SUMIFS(MOVIMIENTOS_COMPLEMENTOS!$I$4:$I$803,MOVIMIENTOS_COMPLEMENTOS!$C$4:$C$803,A2862,MOVIMIENTOS_COMPLEMENTOS!$D$4:$D$803,B2862,MOVIMIENTOS_COMPLEMENTOS!$E$4:$E$803,C2862,MOVIMIENTOS_COMPLEMENTOS!$F$4:$F$803,D2862,MOVIMIENTOS_COMPLEMENTOS!$G$4:$G$803,E2862,MOVIMIENTOS_COMPLEMENTOS!$H$4:$H$803,G2862,MOVIMIENTOS_COMPLEMENTOS!$B$4:$B$803,"DE CORTE")-SUMIFS(MOVIMIENTOS_COMPLEMENTOS!$I$4:$I$803,MOVIMIENTOS_COMPLEMENTOS!$C$4:$C$803,A2862,MOVIMIENTOS_COMPLEMENTOS!$D$4:$D$803,B2862,MOVIMIENTOS_COMPLEMENTOS!$E$4:$E$803,C2862,MOVIMIENTOS_COMPLEMENTOS!$F$4:$F$803,D2862,MOVIMIENTOS_COMPLEMENTOS!$G$4:$G$803,E2862,MOVIMIENTOS_COMPLEMENTOS!$H$4:$H$803,G2862,MOVIMIENTOS_COMPLEMENTOS!$B$4:$B$803,"SALIDA"),0)</f>
        <v>0</v>
      </c>
      <c r="I2862" s="102">
        <f t="array" ref="I2862">IFERROR(INDEX(PRECIOS_COMPLEMENTOS!$C$4:$F$17,MATCH(B2862&amp;"_"&amp;C2862,PRECIOS_COMPLEMENTOS!$H$4:$H$17,0),IF(OR(G2862="S",G2862="20cm"),1,IF(OR(G2862="M",G2862="25cm"),2,IF(OR(G2862="L",G2862="30cm"),3,IF(OR(G2862="XL",G2862="35cm"),4,0))))),0)</f>
        <v>0.6</v>
      </c>
      <c r="J2862" s="103">
        <f t="shared" si="1"/>
        <v>0</v>
      </c>
      <c r="K2862" s="104" t="str">
        <f>IF(H2862&lt;0,"ERROR",IF(H2862=0,"",IF(H2862&lt;CONFIG!$B$4,"CRÍTICO",IF(H2862&lt;CONFIG!$B$5,"BAJO","OK"))))</f>
        <v/>
      </c>
    </row>
    <row r="2863" ht="15.75" hidden="1" customHeight="1">
      <c r="A2863" s="90" t="str">
        <f>IF(CLIENTES!A9="","",CLIENTES!A9)</f>
        <v/>
      </c>
      <c r="B2863" s="90" t="s">
        <v>331</v>
      </c>
      <c r="C2863" s="91" t="s">
        <v>328</v>
      </c>
      <c r="D2863" s="109" t="s">
        <v>366</v>
      </c>
      <c r="E2863" s="67" t="str">
        <f>COLORES!A18</f>
        <v>P. Rosa</v>
      </c>
      <c r="F2863" s="67" t="str">
        <f>COLORES!B18</f>
        <v>CLARO</v>
      </c>
      <c r="G2863" s="90" t="s">
        <v>379</v>
      </c>
      <c r="H2863" s="100">
        <f>IFERROR(SUMIFS(MOVIMIENTOS_COMPLEMENTOS!$I$4:$I$803,MOVIMIENTOS_COMPLEMENTOS!$C$4:$C$803,A2863,MOVIMIENTOS_COMPLEMENTOS!$D$4:$D$803,B2863,MOVIMIENTOS_COMPLEMENTOS!$E$4:$E$803,C2863,MOVIMIENTOS_COMPLEMENTOS!$F$4:$F$803,D2863,MOVIMIENTOS_COMPLEMENTOS!$G$4:$G$803,E2863,MOVIMIENTOS_COMPLEMENTOS!$H$4:$H$803,G2863,MOVIMIENTOS_COMPLEMENTOS!$B$4:$B$803,"INGRESO")+SUMIFS(MOVIMIENTOS_COMPLEMENTOS!$I$4:$I$803,MOVIMIENTOS_COMPLEMENTOS!$C$4:$C$803,A2863,MOVIMIENTOS_COMPLEMENTOS!$D$4:$D$803,B2863,MOVIMIENTOS_COMPLEMENTOS!$E$4:$E$803,C2863,MOVIMIENTOS_COMPLEMENTOS!$F$4:$F$803,D2863,MOVIMIENTOS_COMPLEMENTOS!$G$4:$G$803,E2863,MOVIMIENTOS_COMPLEMENTOS!$H$4:$H$803,G2863,MOVIMIENTOS_COMPLEMENTOS!$B$4:$B$803,"DE CORTE")-SUMIFS(MOVIMIENTOS_COMPLEMENTOS!$I$4:$I$803,MOVIMIENTOS_COMPLEMENTOS!$C$4:$C$803,A2863,MOVIMIENTOS_COMPLEMENTOS!$D$4:$D$803,B2863,MOVIMIENTOS_COMPLEMENTOS!$E$4:$E$803,C2863,MOVIMIENTOS_COMPLEMENTOS!$F$4:$F$803,D2863,MOVIMIENTOS_COMPLEMENTOS!$G$4:$G$803,E2863,MOVIMIENTOS_COMPLEMENTOS!$H$4:$H$803,G2863,MOVIMIENTOS_COMPLEMENTOS!$B$4:$B$803,"SALIDA"),0)</f>
        <v>0</v>
      </c>
      <c r="I2863" s="102">
        <f t="array" ref="I2863">IFERROR(INDEX(PRECIOS_COMPLEMENTOS!$C$4:$F$17,MATCH(B2863&amp;"_"&amp;C2863,PRECIOS_COMPLEMENTOS!$H$4:$H$17,0),IF(OR(G2863="S",G2863="20cm"),1,IF(OR(G2863="M",G2863="25cm"),2,IF(OR(G2863="L",G2863="30cm"),3,IF(OR(G2863="XL",G2863="35cm"),4,0))))),0)</f>
        <v>0.6</v>
      </c>
      <c r="J2863" s="103">
        <f t="shared" si="1"/>
        <v>0</v>
      </c>
      <c r="K2863" s="104" t="str">
        <f>IF(H2863&lt;0,"ERROR",IF(H2863=0,"",IF(H2863&lt;CONFIG!$B$4,"CRÍTICO",IF(H2863&lt;CONFIG!$B$5,"BAJO","OK"))))</f>
        <v/>
      </c>
    </row>
    <row r="2864" ht="15.75" hidden="1" customHeight="1">
      <c r="A2864" s="90" t="str">
        <f>IF(CLIENTES!A9="","",CLIENTES!A9)</f>
        <v/>
      </c>
      <c r="B2864" s="90" t="s">
        <v>331</v>
      </c>
      <c r="C2864" s="91" t="s">
        <v>328</v>
      </c>
      <c r="D2864" s="109" t="s">
        <v>366</v>
      </c>
      <c r="E2864" s="67" t="str">
        <f>COLORES!A19</f>
        <v/>
      </c>
      <c r="F2864" s="67" t="str">
        <f>COLORES!B19</f>
        <v/>
      </c>
      <c r="G2864" s="90" t="s">
        <v>378</v>
      </c>
      <c r="H2864" s="100">
        <f>IFERROR(SUMIFS(MOVIMIENTOS_COMPLEMENTOS!$I$4:$I$803,MOVIMIENTOS_COMPLEMENTOS!$C$4:$C$803,A2864,MOVIMIENTOS_COMPLEMENTOS!$D$4:$D$803,B2864,MOVIMIENTOS_COMPLEMENTOS!$E$4:$E$803,C2864,MOVIMIENTOS_COMPLEMENTOS!$F$4:$F$803,D2864,MOVIMIENTOS_COMPLEMENTOS!$G$4:$G$803,E2864,MOVIMIENTOS_COMPLEMENTOS!$H$4:$H$803,G2864,MOVIMIENTOS_COMPLEMENTOS!$B$4:$B$803,"INGRESO")+SUMIFS(MOVIMIENTOS_COMPLEMENTOS!$I$4:$I$803,MOVIMIENTOS_COMPLEMENTOS!$C$4:$C$803,A2864,MOVIMIENTOS_COMPLEMENTOS!$D$4:$D$803,B2864,MOVIMIENTOS_COMPLEMENTOS!$E$4:$E$803,C2864,MOVIMIENTOS_COMPLEMENTOS!$F$4:$F$803,D2864,MOVIMIENTOS_COMPLEMENTOS!$G$4:$G$803,E2864,MOVIMIENTOS_COMPLEMENTOS!$H$4:$H$803,G2864,MOVIMIENTOS_COMPLEMENTOS!$B$4:$B$803,"DE CORTE")-SUMIFS(MOVIMIENTOS_COMPLEMENTOS!$I$4:$I$803,MOVIMIENTOS_COMPLEMENTOS!$C$4:$C$803,A2864,MOVIMIENTOS_COMPLEMENTOS!$D$4:$D$803,B2864,MOVIMIENTOS_COMPLEMENTOS!$E$4:$E$803,C2864,MOVIMIENTOS_COMPLEMENTOS!$F$4:$F$803,D2864,MOVIMIENTOS_COMPLEMENTOS!$G$4:$G$803,E2864,MOVIMIENTOS_COMPLEMENTOS!$H$4:$H$803,G2864,MOVIMIENTOS_COMPLEMENTOS!$B$4:$B$803,"SALIDA"),0)</f>
        <v>0</v>
      </c>
      <c r="I2864" s="102">
        <f t="array" ref="I2864">IFERROR(INDEX(PRECIOS_COMPLEMENTOS!$C$4:$F$17,MATCH(B2864&amp;"_"&amp;C2864,PRECIOS_COMPLEMENTOS!$H$4:$H$17,0),IF(OR(G2864="S",G2864="20cm"),1,IF(OR(G2864="M",G2864="25cm"),2,IF(OR(G2864="L",G2864="30cm"),3,IF(OR(G2864="XL",G2864="35cm"),4,0))))),0)</f>
        <v>0.6</v>
      </c>
      <c r="J2864" s="103">
        <f t="shared" si="1"/>
        <v>0</v>
      </c>
      <c r="K2864" s="104" t="str">
        <f>IF(H2864&lt;0,"ERROR",IF(H2864=0,"",IF(H2864&lt;CONFIG!$B$4,"CRÍTICO",IF(H2864&lt;CONFIG!$B$5,"BAJO","OK"))))</f>
        <v/>
      </c>
    </row>
    <row r="2865" ht="15.75" hidden="1" customHeight="1">
      <c r="A2865" s="90" t="str">
        <f>IF(CLIENTES!A9="","",CLIENTES!A9)</f>
        <v/>
      </c>
      <c r="B2865" s="90" t="s">
        <v>331</v>
      </c>
      <c r="C2865" s="91" t="s">
        <v>328</v>
      </c>
      <c r="D2865" s="109" t="s">
        <v>366</v>
      </c>
      <c r="E2865" s="67" t="str">
        <f>COLORES!A19</f>
        <v/>
      </c>
      <c r="F2865" s="67" t="str">
        <f>COLORES!B19</f>
        <v/>
      </c>
      <c r="G2865" s="90" t="s">
        <v>376</v>
      </c>
      <c r="H2865" s="100">
        <f>IFERROR(SUMIFS(MOVIMIENTOS_COMPLEMENTOS!$I$4:$I$803,MOVIMIENTOS_COMPLEMENTOS!$C$4:$C$803,A2865,MOVIMIENTOS_COMPLEMENTOS!$D$4:$D$803,B2865,MOVIMIENTOS_COMPLEMENTOS!$E$4:$E$803,C2865,MOVIMIENTOS_COMPLEMENTOS!$F$4:$F$803,D2865,MOVIMIENTOS_COMPLEMENTOS!$G$4:$G$803,E2865,MOVIMIENTOS_COMPLEMENTOS!$H$4:$H$803,G2865,MOVIMIENTOS_COMPLEMENTOS!$B$4:$B$803,"INGRESO")+SUMIFS(MOVIMIENTOS_COMPLEMENTOS!$I$4:$I$803,MOVIMIENTOS_COMPLEMENTOS!$C$4:$C$803,A2865,MOVIMIENTOS_COMPLEMENTOS!$D$4:$D$803,B2865,MOVIMIENTOS_COMPLEMENTOS!$E$4:$E$803,C2865,MOVIMIENTOS_COMPLEMENTOS!$F$4:$F$803,D2865,MOVIMIENTOS_COMPLEMENTOS!$G$4:$G$803,E2865,MOVIMIENTOS_COMPLEMENTOS!$H$4:$H$803,G2865,MOVIMIENTOS_COMPLEMENTOS!$B$4:$B$803,"DE CORTE")-SUMIFS(MOVIMIENTOS_COMPLEMENTOS!$I$4:$I$803,MOVIMIENTOS_COMPLEMENTOS!$C$4:$C$803,A2865,MOVIMIENTOS_COMPLEMENTOS!$D$4:$D$803,B2865,MOVIMIENTOS_COMPLEMENTOS!$E$4:$E$803,C2865,MOVIMIENTOS_COMPLEMENTOS!$F$4:$F$803,D2865,MOVIMIENTOS_COMPLEMENTOS!$G$4:$G$803,E2865,MOVIMIENTOS_COMPLEMENTOS!$H$4:$H$803,G2865,MOVIMIENTOS_COMPLEMENTOS!$B$4:$B$803,"SALIDA"),0)</f>
        <v>0</v>
      </c>
      <c r="I2865" s="102">
        <f t="array" ref="I2865">IFERROR(INDEX(PRECIOS_COMPLEMENTOS!$C$4:$F$17,MATCH(B2865&amp;"_"&amp;C2865,PRECIOS_COMPLEMENTOS!$H$4:$H$17,0),IF(OR(G2865="S",G2865="20cm"),1,IF(OR(G2865="M",G2865="25cm"),2,IF(OR(G2865="L",G2865="30cm"),3,IF(OR(G2865="XL",G2865="35cm"),4,0))))),0)</f>
        <v>0.6</v>
      </c>
      <c r="J2865" s="103">
        <f t="shared" si="1"/>
        <v>0</v>
      </c>
      <c r="K2865" s="104" t="str">
        <f>IF(H2865&lt;0,"ERROR",IF(H2865=0,"",IF(H2865&lt;CONFIG!$B$4,"CRÍTICO",IF(H2865&lt;CONFIG!$B$5,"BAJO","OK"))))</f>
        <v/>
      </c>
    </row>
    <row r="2866" ht="15.75" hidden="1" customHeight="1">
      <c r="A2866" s="90" t="str">
        <f>IF(CLIENTES!A9="","",CLIENTES!A9)</f>
        <v/>
      </c>
      <c r="B2866" s="90" t="s">
        <v>331</v>
      </c>
      <c r="C2866" s="91" t="s">
        <v>328</v>
      </c>
      <c r="D2866" s="109" t="s">
        <v>366</v>
      </c>
      <c r="E2866" s="67" t="str">
        <f>COLORES!A19</f>
        <v/>
      </c>
      <c r="F2866" s="67" t="str">
        <f>COLORES!B19</f>
        <v/>
      </c>
      <c r="G2866" s="90" t="s">
        <v>377</v>
      </c>
      <c r="H2866" s="100">
        <f>IFERROR(SUMIFS(MOVIMIENTOS_COMPLEMENTOS!$I$4:$I$803,MOVIMIENTOS_COMPLEMENTOS!$C$4:$C$803,A2866,MOVIMIENTOS_COMPLEMENTOS!$D$4:$D$803,B2866,MOVIMIENTOS_COMPLEMENTOS!$E$4:$E$803,C2866,MOVIMIENTOS_COMPLEMENTOS!$F$4:$F$803,D2866,MOVIMIENTOS_COMPLEMENTOS!$G$4:$G$803,E2866,MOVIMIENTOS_COMPLEMENTOS!$H$4:$H$803,G2866,MOVIMIENTOS_COMPLEMENTOS!$B$4:$B$803,"INGRESO")+SUMIFS(MOVIMIENTOS_COMPLEMENTOS!$I$4:$I$803,MOVIMIENTOS_COMPLEMENTOS!$C$4:$C$803,A2866,MOVIMIENTOS_COMPLEMENTOS!$D$4:$D$803,B2866,MOVIMIENTOS_COMPLEMENTOS!$E$4:$E$803,C2866,MOVIMIENTOS_COMPLEMENTOS!$F$4:$F$803,D2866,MOVIMIENTOS_COMPLEMENTOS!$G$4:$G$803,E2866,MOVIMIENTOS_COMPLEMENTOS!$H$4:$H$803,G2866,MOVIMIENTOS_COMPLEMENTOS!$B$4:$B$803,"DE CORTE")-SUMIFS(MOVIMIENTOS_COMPLEMENTOS!$I$4:$I$803,MOVIMIENTOS_COMPLEMENTOS!$C$4:$C$803,A2866,MOVIMIENTOS_COMPLEMENTOS!$D$4:$D$803,B2866,MOVIMIENTOS_COMPLEMENTOS!$E$4:$E$803,C2866,MOVIMIENTOS_COMPLEMENTOS!$F$4:$F$803,D2866,MOVIMIENTOS_COMPLEMENTOS!$G$4:$G$803,E2866,MOVIMIENTOS_COMPLEMENTOS!$H$4:$H$803,G2866,MOVIMIENTOS_COMPLEMENTOS!$B$4:$B$803,"SALIDA"),0)</f>
        <v>0</v>
      </c>
      <c r="I2866" s="102">
        <f t="array" ref="I2866">IFERROR(INDEX(PRECIOS_COMPLEMENTOS!$C$4:$F$17,MATCH(B2866&amp;"_"&amp;C2866,PRECIOS_COMPLEMENTOS!$H$4:$H$17,0),IF(OR(G2866="S",G2866="20cm"),1,IF(OR(G2866="M",G2866="25cm"),2,IF(OR(G2866="L",G2866="30cm"),3,IF(OR(G2866="XL",G2866="35cm"),4,0))))),0)</f>
        <v>0.6</v>
      </c>
      <c r="J2866" s="103">
        <f t="shared" si="1"/>
        <v>0</v>
      </c>
      <c r="K2866" s="104" t="str">
        <f>IF(H2866&lt;0,"ERROR",IF(H2866=0,"",IF(H2866&lt;CONFIG!$B$4,"CRÍTICO",IF(H2866&lt;CONFIG!$B$5,"BAJO","OK"))))</f>
        <v/>
      </c>
    </row>
    <row r="2867" ht="15.75" hidden="1" customHeight="1">
      <c r="A2867" s="90" t="str">
        <f>IF(CLIENTES!A9="","",CLIENTES!A9)</f>
        <v/>
      </c>
      <c r="B2867" s="90" t="s">
        <v>331</v>
      </c>
      <c r="C2867" s="91" t="s">
        <v>328</v>
      </c>
      <c r="D2867" s="109" t="s">
        <v>366</v>
      </c>
      <c r="E2867" s="67" t="str">
        <f>COLORES!A19</f>
        <v/>
      </c>
      <c r="F2867" s="67" t="str">
        <f>COLORES!B19</f>
        <v/>
      </c>
      <c r="G2867" s="90" t="s">
        <v>379</v>
      </c>
      <c r="H2867" s="100">
        <f>IFERROR(SUMIFS(MOVIMIENTOS_COMPLEMENTOS!$I$4:$I$803,MOVIMIENTOS_COMPLEMENTOS!$C$4:$C$803,A2867,MOVIMIENTOS_COMPLEMENTOS!$D$4:$D$803,B2867,MOVIMIENTOS_COMPLEMENTOS!$E$4:$E$803,C2867,MOVIMIENTOS_COMPLEMENTOS!$F$4:$F$803,D2867,MOVIMIENTOS_COMPLEMENTOS!$G$4:$G$803,E2867,MOVIMIENTOS_COMPLEMENTOS!$H$4:$H$803,G2867,MOVIMIENTOS_COMPLEMENTOS!$B$4:$B$803,"INGRESO")+SUMIFS(MOVIMIENTOS_COMPLEMENTOS!$I$4:$I$803,MOVIMIENTOS_COMPLEMENTOS!$C$4:$C$803,A2867,MOVIMIENTOS_COMPLEMENTOS!$D$4:$D$803,B2867,MOVIMIENTOS_COMPLEMENTOS!$E$4:$E$803,C2867,MOVIMIENTOS_COMPLEMENTOS!$F$4:$F$803,D2867,MOVIMIENTOS_COMPLEMENTOS!$G$4:$G$803,E2867,MOVIMIENTOS_COMPLEMENTOS!$H$4:$H$803,G2867,MOVIMIENTOS_COMPLEMENTOS!$B$4:$B$803,"DE CORTE")-SUMIFS(MOVIMIENTOS_COMPLEMENTOS!$I$4:$I$803,MOVIMIENTOS_COMPLEMENTOS!$C$4:$C$803,A2867,MOVIMIENTOS_COMPLEMENTOS!$D$4:$D$803,B2867,MOVIMIENTOS_COMPLEMENTOS!$E$4:$E$803,C2867,MOVIMIENTOS_COMPLEMENTOS!$F$4:$F$803,D2867,MOVIMIENTOS_COMPLEMENTOS!$G$4:$G$803,E2867,MOVIMIENTOS_COMPLEMENTOS!$H$4:$H$803,G2867,MOVIMIENTOS_COMPLEMENTOS!$B$4:$B$803,"SALIDA"),0)</f>
        <v>0</v>
      </c>
      <c r="I2867" s="102">
        <f t="array" ref="I2867">IFERROR(INDEX(PRECIOS_COMPLEMENTOS!$C$4:$F$17,MATCH(B2867&amp;"_"&amp;C2867,PRECIOS_COMPLEMENTOS!$H$4:$H$17,0),IF(OR(G2867="S",G2867="20cm"),1,IF(OR(G2867="M",G2867="25cm"),2,IF(OR(G2867="L",G2867="30cm"),3,IF(OR(G2867="XL",G2867="35cm"),4,0))))),0)</f>
        <v>0.6</v>
      </c>
      <c r="J2867" s="103">
        <f t="shared" si="1"/>
        <v>0</v>
      </c>
      <c r="K2867" s="104" t="str">
        <f>IF(H2867&lt;0,"ERROR",IF(H2867=0,"",IF(H2867&lt;CONFIG!$B$4,"CRÍTICO",IF(H2867&lt;CONFIG!$B$5,"BAJO","OK"))))</f>
        <v/>
      </c>
    </row>
    <row r="2868" ht="15.75" hidden="1" customHeight="1">
      <c r="A2868" s="90" t="str">
        <f>IF(CLIENTES!A9="","",CLIENTES!A9)</f>
        <v/>
      </c>
      <c r="B2868" s="90" t="s">
        <v>331</v>
      </c>
      <c r="C2868" s="91" t="s">
        <v>328</v>
      </c>
      <c r="D2868" s="109" t="s">
        <v>366</v>
      </c>
      <c r="E2868" s="67" t="str">
        <f>COLORES!A20</f>
        <v/>
      </c>
      <c r="F2868" s="67" t="str">
        <f>COLORES!B20</f>
        <v/>
      </c>
      <c r="G2868" s="90" t="s">
        <v>378</v>
      </c>
      <c r="H2868" s="100">
        <f>IFERROR(SUMIFS(MOVIMIENTOS_COMPLEMENTOS!$I$4:$I$803,MOVIMIENTOS_COMPLEMENTOS!$C$4:$C$803,A2868,MOVIMIENTOS_COMPLEMENTOS!$D$4:$D$803,B2868,MOVIMIENTOS_COMPLEMENTOS!$E$4:$E$803,C2868,MOVIMIENTOS_COMPLEMENTOS!$F$4:$F$803,D2868,MOVIMIENTOS_COMPLEMENTOS!$G$4:$G$803,E2868,MOVIMIENTOS_COMPLEMENTOS!$H$4:$H$803,G2868,MOVIMIENTOS_COMPLEMENTOS!$B$4:$B$803,"INGRESO")+SUMIFS(MOVIMIENTOS_COMPLEMENTOS!$I$4:$I$803,MOVIMIENTOS_COMPLEMENTOS!$C$4:$C$803,A2868,MOVIMIENTOS_COMPLEMENTOS!$D$4:$D$803,B2868,MOVIMIENTOS_COMPLEMENTOS!$E$4:$E$803,C2868,MOVIMIENTOS_COMPLEMENTOS!$F$4:$F$803,D2868,MOVIMIENTOS_COMPLEMENTOS!$G$4:$G$803,E2868,MOVIMIENTOS_COMPLEMENTOS!$H$4:$H$803,G2868,MOVIMIENTOS_COMPLEMENTOS!$B$4:$B$803,"DE CORTE")-SUMIFS(MOVIMIENTOS_COMPLEMENTOS!$I$4:$I$803,MOVIMIENTOS_COMPLEMENTOS!$C$4:$C$803,A2868,MOVIMIENTOS_COMPLEMENTOS!$D$4:$D$803,B2868,MOVIMIENTOS_COMPLEMENTOS!$E$4:$E$803,C2868,MOVIMIENTOS_COMPLEMENTOS!$F$4:$F$803,D2868,MOVIMIENTOS_COMPLEMENTOS!$G$4:$G$803,E2868,MOVIMIENTOS_COMPLEMENTOS!$H$4:$H$803,G2868,MOVIMIENTOS_COMPLEMENTOS!$B$4:$B$803,"SALIDA"),0)</f>
        <v>0</v>
      </c>
      <c r="I2868" s="102">
        <f t="array" ref="I2868">IFERROR(INDEX(PRECIOS_COMPLEMENTOS!$C$4:$F$17,MATCH(B2868&amp;"_"&amp;C2868,PRECIOS_COMPLEMENTOS!$H$4:$H$17,0),IF(OR(G2868="S",G2868="20cm"),1,IF(OR(G2868="M",G2868="25cm"),2,IF(OR(G2868="L",G2868="30cm"),3,IF(OR(G2868="XL",G2868="35cm"),4,0))))),0)</f>
        <v>0.6</v>
      </c>
      <c r="J2868" s="103">
        <f t="shared" si="1"/>
        <v>0</v>
      </c>
      <c r="K2868" s="104" t="str">
        <f>IF(H2868&lt;0,"ERROR",IF(H2868=0,"",IF(H2868&lt;CONFIG!$B$4,"CRÍTICO",IF(H2868&lt;CONFIG!$B$5,"BAJO","OK"))))</f>
        <v/>
      </c>
    </row>
    <row r="2869" ht="15.75" hidden="1" customHeight="1">
      <c r="A2869" s="90" t="str">
        <f>IF(CLIENTES!A9="","",CLIENTES!A9)</f>
        <v/>
      </c>
      <c r="B2869" s="90" t="s">
        <v>331</v>
      </c>
      <c r="C2869" s="91" t="s">
        <v>328</v>
      </c>
      <c r="D2869" s="109" t="s">
        <v>366</v>
      </c>
      <c r="E2869" s="67" t="str">
        <f>COLORES!A20</f>
        <v/>
      </c>
      <c r="F2869" s="67" t="str">
        <f>COLORES!B20</f>
        <v/>
      </c>
      <c r="G2869" s="90" t="s">
        <v>376</v>
      </c>
      <c r="H2869" s="100">
        <f>IFERROR(SUMIFS(MOVIMIENTOS_COMPLEMENTOS!$I$4:$I$803,MOVIMIENTOS_COMPLEMENTOS!$C$4:$C$803,A2869,MOVIMIENTOS_COMPLEMENTOS!$D$4:$D$803,B2869,MOVIMIENTOS_COMPLEMENTOS!$E$4:$E$803,C2869,MOVIMIENTOS_COMPLEMENTOS!$F$4:$F$803,D2869,MOVIMIENTOS_COMPLEMENTOS!$G$4:$G$803,E2869,MOVIMIENTOS_COMPLEMENTOS!$H$4:$H$803,G2869,MOVIMIENTOS_COMPLEMENTOS!$B$4:$B$803,"INGRESO")+SUMIFS(MOVIMIENTOS_COMPLEMENTOS!$I$4:$I$803,MOVIMIENTOS_COMPLEMENTOS!$C$4:$C$803,A2869,MOVIMIENTOS_COMPLEMENTOS!$D$4:$D$803,B2869,MOVIMIENTOS_COMPLEMENTOS!$E$4:$E$803,C2869,MOVIMIENTOS_COMPLEMENTOS!$F$4:$F$803,D2869,MOVIMIENTOS_COMPLEMENTOS!$G$4:$G$803,E2869,MOVIMIENTOS_COMPLEMENTOS!$H$4:$H$803,G2869,MOVIMIENTOS_COMPLEMENTOS!$B$4:$B$803,"DE CORTE")-SUMIFS(MOVIMIENTOS_COMPLEMENTOS!$I$4:$I$803,MOVIMIENTOS_COMPLEMENTOS!$C$4:$C$803,A2869,MOVIMIENTOS_COMPLEMENTOS!$D$4:$D$803,B2869,MOVIMIENTOS_COMPLEMENTOS!$E$4:$E$803,C2869,MOVIMIENTOS_COMPLEMENTOS!$F$4:$F$803,D2869,MOVIMIENTOS_COMPLEMENTOS!$G$4:$G$803,E2869,MOVIMIENTOS_COMPLEMENTOS!$H$4:$H$803,G2869,MOVIMIENTOS_COMPLEMENTOS!$B$4:$B$803,"SALIDA"),0)</f>
        <v>0</v>
      </c>
      <c r="I2869" s="102">
        <f t="array" ref="I2869">IFERROR(INDEX(PRECIOS_COMPLEMENTOS!$C$4:$F$17,MATCH(B2869&amp;"_"&amp;C2869,PRECIOS_COMPLEMENTOS!$H$4:$H$17,0),IF(OR(G2869="S",G2869="20cm"),1,IF(OR(G2869="M",G2869="25cm"),2,IF(OR(G2869="L",G2869="30cm"),3,IF(OR(G2869="XL",G2869="35cm"),4,0))))),0)</f>
        <v>0.6</v>
      </c>
      <c r="J2869" s="103">
        <f t="shared" si="1"/>
        <v>0</v>
      </c>
      <c r="K2869" s="104" t="str">
        <f>IF(H2869&lt;0,"ERROR",IF(H2869=0,"",IF(H2869&lt;CONFIG!$B$4,"CRÍTICO",IF(H2869&lt;CONFIG!$B$5,"BAJO","OK"))))</f>
        <v/>
      </c>
    </row>
    <row r="2870" ht="15.75" hidden="1" customHeight="1">
      <c r="A2870" s="90" t="str">
        <f>IF(CLIENTES!A9="","",CLIENTES!A9)</f>
        <v/>
      </c>
      <c r="B2870" s="90" t="s">
        <v>331</v>
      </c>
      <c r="C2870" s="91" t="s">
        <v>328</v>
      </c>
      <c r="D2870" s="109" t="s">
        <v>366</v>
      </c>
      <c r="E2870" s="67" t="str">
        <f>COLORES!A20</f>
        <v/>
      </c>
      <c r="F2870" s="67" t="str">
        <f>COLORES!B20</f>
        <v/>
      </c>
      <c r="G2870" s="90" t="s">
        <v>377</v>
      </c>
      <c r="H2870" s="100">
        <f>IFERROR(SUMIFS(MOVIMIENTOS_COMPLEMENTOS!$I$4:$I$803,MOVIMIENTOS_COMPLEMENTOS!$C$4:$C$803,A2870,MOVIMIENTOS_COMPLEMENTOS!$D$4:$D$803,B2870,MOVIMIENTOS_COMPLEMENTOS!$E$4:$E$803,C2870,MOVIMIENTOS_COMPLEMENTOS!$F$4:$F$803,D2870,MOVIMIENTOS_COMPLEMENTOS!$G$4:$G$803,E2870,MOVIMIENTOS_COMPLEMENTOS!$H$4:$H$803,G2870,MOVIMIENTOS_COMPLEMENTOS!$B$4:$B$803,"INGRESO")+SUMIFS(MOVIMIENTOS_COMPLEMENTOS!$I$4:$I$803,MOVIMIENTOS_COMPLEMENTOS!$C$4:$C$803,A2870,MOVIMIENTOS_COMPLEMENTOS!$D$4:$D$803,B2870,MOVIMIENTOS_COMPLEMENTOS!$E$4:$E$803,C2870,MOVIMIENTOS_COMPLEMENTOS!$F$4:$F$803,D2870,MOVIMIENTOS_COMPLEMENTOS!$G$4:$G$803,E2870,MOVIMIENTOS_COMPLEMENTOS!$H$4:$H$803,G2870,MOVIMIENTOS_COMPLEMENTOS!$B$4:$B$803,"DE CORTE")-SUMIFS(MOVIMIENTOS_COMPLEMENTOS!$I$4:$I$803,MOVIMIENTOS_COMPLEMENTOS!$C$4:$C$803,A2870,MOVIMIENTOS_COMPLEMENTOS!$D$4:$D$803,B2870,MOVIMIENTOS_COMPLEMENTOS!$E$4:$E$803,C2870,MOVIMIENTOS_COMPLEMENTOS!$F$4:$F$803,D2870,MOVIMIENTOS_COMPLEMENTOS!$G$4:$G$803,E2870,MOVIMIENTOS_COMPLEMENTOS!$H$4:$H$803,G2870,MOVIMIENTOS_COMPLEMENTOS!$B$4:$B$803,"SALIDA"),0)</f>
        <v>0</v>
      </c>
      <c r="I2870" s="102">
        <f t="array" ref="I2870">IFERROR(INDEX(PRECIOS_COMPLEMENTOS!$C$4:$F$17,MATCH(B2870&amp;"_"&amp;C2870,PRECIOS_COMPLEMENTOS!$H$4:$H$17,0),IF(OR(G2870="S",G2870="20cm"),1,IF(OR(G2870="M",G2870="25cm"),2,IF(OR(G2870="L",G2870="30cm"),3,IF(OR(G2870="XL",G2870="35cm"),4,0))))),0)</f>
        <v>0.6</v>
      </c>
      <c r="J2870" s="103">
        <f t="shared" si="1"/>
        <v>0</v>
      </c>
      <c r="K2870" s="104" t="str">
        <f>IF(H2870&lt;0,"ERROR",IF(H2870=0,"",IF(H2870&lt;CONFIG!$B$4,"CRÍTICO",IF(H2870&lt;CONFIG!$B$5,"BAJO","OK"))))</f>
        <v/>
      </c>
    </row>
    <row r="2871" ht="15.75" hidden="1" customHeight="1">
      <c r="A2871" s="90" t="str">
        <f>IF(CLIENTES!A9="","",CLIENTES!A9)</f>
        <v/>
      </c>
      <c r="B2871" s="90" t="s">
        <v>331</v>
      </c>
      <c r="C2871" s="91" t="s">
        <v>328</v>
      </c>
      <c r="D2871" s="109" t="s">
        <v>366</v>
      </c>
      <c r="E2871" s="67" t="str">
        <f>COLORES!A20</f>
        <v/>
      </c>
      <c r="F2871" s="67" t="str">
        <f>COLORES!B20</f>
        <v/>
      </c>
      <c r="G2871" s="90" t="s">
        <v>379</v>
      </c>
      <c r="H2871" s="100">
        <f>IFERROR(SUMIFS(MOVIMIENTOS_COMPLEMENTOS!$I$4:$I$803,MOVIMIENTOS_COMPLEMENTOS!$C$4:$C$803,A2871,MOVIMIENTOS_COMPLEMENTOS!$D$4:$D$803,B2871,MOVIMIENTOS_COMPLEMENTOS!$E$4:$E$803,C2871,MOVIMIENTOS_COMPLEMENTOS!$F$4:$F$803,D2871,MOVIMIENTOS_COMPLEMENTOS!$G$4:$G$803,E2871,MOVIMIENTOS_COMPLEMENTOS!$H$4:$H$803,G2871,MOVIMIENTOS_COMPLEMENTOS!$B$4:$B$803,"INGRESO")+SUMIFS(MOVIMIENTOS_COMPLEMENTOS!$I$4:$I$803,MOVIMIENTOS_COMPLEMENTOS!$C$4:$C$803,A2871,MOVIMIENTOS_COMPLEMENTOS!$D$4:$D$803,B2871,MOVIMIENTOS_COMPLEMENTOS!$E$4:$E$803,C2871,MOVIMIENTOS_COMPLEMENTOS!$F$4:$F$803,D2871,MOVIMIENTOS_COMPLEMENTOS!$G$4:$G$803,E2871,MOVIMIENTOS_COMPLEMENTOS!$H$4:$H$803,G2871,MOVIMIENTOS_COMPLEMENTOS!$B$4:$B$803,"DE CORTE")-SUMIFS(MOVIMIENTOS_COMPLEMENTOS!$I$4:$I$803,MOVIMIENTOS_COMPLEMENTOS!$C$4:$C$803,A2871,MOVIMIENTOS_COMPLEMENTOS!$D$4:$D$803,B2871,MOVIMIENTOS_COMPLEMENTOS!$E$4:$E$803,C2871,MOVIMIENTOS_COMPLEMENTOS!$F$4:$F$803,D2871,MOVIMIENTOS_COMPLEMENTOS!$G$4:$G$803,E2871,MOVIMIENTOS_COMPLEMENTOS!$H$4:$H$803,G2871,MOVIMIENTOS_COMPLEMENTOS!$B$4:$B$803,"SALIDA"),0)</f>
        <v>0</v>
      </c>
      <c r="I2871" s="102">
        <f t="array" ref="I2871">IFERROR(INDEX(PRECIOS_COMPLEMENTOS!$C$4:$F$17,MATCH(B2871&amp;"_"&amp;C2871,PRECIOS_COMPLEMENTOS!$H$4:$H$17,0),IF(OR(G2871="S",G2871="20cm"),1,IF(OR(G2871="M",G2871="25cm"),2,IF(OR(G2871="L",G2871="30cm"),3,IF(OR(G2871="XL",G2871="35cm"),4,0))))),0)</f>
        <v>0.6</v>
      </c>
      <c r="J2871" s="103">
        <f t="shared" si="1"/>
        <v>0</v>
      </c>
      <c r="K2871" s="104" t="str">
        <f>IF(H2871&lt;0,"ERROR",IF(H2871=0,"",IF(H2871&lt;CONFIG!$B$4,"CRÍTICO",IF(H2871&lt;CONFIG!$B$5,"BAJO","OK"))))</f>
        <v/>
      </c>
    </row>
    <row r="2872" ht="15.75" hidden="1" customHeight="1">
      <c r="A2872" s="90" t="str">
        <f>IF(CLIENTES!A9="","",CLIENTES!A9)</f>
        <v/>
      </c>
      <c r="B2872" s="90" t="s">
        <v>331</v>
      </c>
      <c r="C2872" s="91" t="s">
        <v>328</v>
      </c>
      <c r="D2872" s="109" t="s">
        <v>366</v>
      </c>
      <c r="E2872" s="67" t="str">
        <f>COLORES!A21</f>
        <v/>
      </c>
      <c r="F2872" s="67" t="str">
        <f>COLORES!B21</f>
        <v/>
      </c>
      <c r="G2872" s="90" t="s">
        <v>378</v>
      </c>
      <c r="H2872" s="100">
        <f>IFERROR(SUMIFS(MOVIMIENTOS_COMPLEMENTOS!$I$4:$I$803,MOVIMIENTOS_COMPLEMENTOS!$C$4:$C$803,A2872,MOVIMIENTOS_COMPLEMENTOS!$D$4:$D$803,B2872,MOVIMIENTOS_COMPLEMENTOS!$E$4:$E$803,C2872,MOVIMIENTOS_COMPLEMENTOS!$F$4:$F$803,D2872,MOVIMIENTOS_COMPLEMENTOS!$G$4:$G$803,E2872,MOVIMIENTOS_COMPLEMENTOS!$H$4:$H$803,G2872,MOVIMIENTOS_COMPLEMENTOS!$B$4:$B$803,"INGRESO")+SUMIFS(MOVIMIENTOS_COMPLEMENTOS!$I$4:$I$803,MOVIMIENTOS_COMPLEMENTOS!$C$4:$C$803,A2872,MOVIMIENTOS_COMPLEMENTOS!$D$4:$D$803,B2872,MOVIMIENTOS_COMPLEMENTOS!$E$4:$E$803,C2872,MOVIMIENTOS_COMPLEMENTOS!$F$4:$F$803,D2872,MOVIMIENTOS_COMPLEMENTOS!$G$4:$G$803,E2872,MOVIMIENTOS_COMPLEMENTOS!$H$4:$H$803,G2872,MOVIMIENTOS_COMPLEMENTOS!$B$4:$B$803,"DE CORTE")-SUMIFS(MOVIMIENTOS_COMPLEMENTOS!$I$4:$I$803,MOVIMIENTOS_COMPLEMENTOS!$C$4:$C$803,A2872,MOVIMIENTOS_COMPLEMENTOS!$D$4:$D$803,B2872,MOVIMIENTOS_COMPLEMENTOS!$E$4:$E$803,C2872,MOVIMIENTOS_COMPLEMENTOS!$F$4:$F$803,D2872,MOVIMIENTOS_COMPLEMENTOS!$G$4:$G$803,E2872,MOVIMIENTOS_COMPLEMENTOS!$H$4:$H$803,G2872,MOVIMIENTOS_COMPLEMENTOS!$B$4:$B$803,"SALIDA"),0)</f>
        <v>0</v>
      </c>
      <c r="I2872" s="102">
        <f t="array" ref="I2872">IFERROR(INDEX(PRECIOS_COMPLEMENTOS!$C$4:$F$17,MATCH(B2872&amp;"_"&amp;C2872,PRECIOS_COMPLEMENTOS!$H$4:$H$17,0),IF(OR(G2872="S",G2872="20cm"),1,IF(OR(G2872="M",G2872="25cm"),2,IF(OR(G2872="L",G2872="30cm"),3,IF(OR(G2872="XL",G2872="35cm"),4,0))))),0)</f>
        <v>0.6</v>
      </c>
      <c r="J2872" s="103">
        <f t="shared" si="1"/>
        <v>0</v>
      </c>
      <c r="K2872" s="104" t="str">
        <f>IF(H2872&lt;0,"ERROR",IF(H2872=0,"",IF(H2872&lt;CONFIG!$B$4,"CRÍTICO",IF(H2872&lt;CONFIG!$B$5,"BAJO","OK"))))</f>
        <v/>
      </c>
    </row>
    <row r="2873" ht="15.75" hidden="1" customHeight="1">
      <c r="A2873" s="90" t="str">
        <f>IF(CLIENTES!A9="","",CLIENTES!A9)</f>
        <v/>
      </c>
      <c r="B2873" s="90" t="s">
        <v>331</v>
      </c>
      <c r="C2873" s="91" t="s">
        <v>328</v>
      </c>
      <c r="D2873" s="109" t="s">
        <v>366</v>
      </c>
      <c r="E2873" s="67" t="str">
        <f>COLORES!A21</f>
        <v/>
      </c>
      <c r="F2873" s="67" t="str">
        <f>COLORES!B21</f>
        <v/>
      </c>
      <c r="G2873" s="90" t="s">
        <v>376</v>
      </c>
      <c r="H2873" s="100">
        <f>IFERROR(SUMIFS(MOVIMIENTOS_COMPLEMENTOS!$I$4:$I$803,MOVIMIENTOS_COMPLEMENTOS!$C$4:$C$803,A2873,MOVIMIENTOS_COMPLEMENTOS!$D$4:$D$803,B2873,MOVIMIENTOS_COMPLEMENTOS!$E$4:$E$803,C2873,MOVIMIENTOS_COMPLEMENTOS!$F$4:$F$803,D2873,MOVIMIENTOS_COMPLEMENTOS!$G$4:$G$803,E2873,MOVIMIENTOS_COMPLEMENTOS!$H$4:$H$803,G2873,MOVIMIENTOS_COMPLEMENTOS!$B$4:$B$803,"INGRESO")+SUMIFS(MOVIMIENTOS_COMPLEMENTOS!$I$4:$I$803,MOVIMIENTOS_COMPLEMENTOS!$C$4:$C$803,A2873,MOVIMIENTOS_COMPLEMENTOS!$D$4:$D$803,B2873,MOVIMIENTOS_COMPLEMENTOS!$E$4:$E$803,C2873,MOVIMIENTOS_COMPLEMENTOS!$F$4:$F$803,D2873,MOVIMIENTOS_COMPLEMENTOS!$G$4:$G$803,E2873,MOVIMIENTOS_COMPLEMENTOS!$H$4:$H$803,G2873,MOVIMIENTOS_COMPLEMENTOS!$B$4:$B$803,"DE CORTE")-SUMIFS(MOVIMIENTOS_COMPLEMENTOS!$I$4:$I$803,MOVIMIENTOS_COMPLEMENTOS!$C$4:$C$803,A2873,MOVIMIENTOS_COMPLEMENTOS!$D$4:$D$803,B2873,MOVIMIENTOS_COMPLEMENTOS!$E$4:$E$803,C2873,MOVIMIENTOS_COMPLEMENTOS!$F$4:$F$803,D2873,MOVIMIENTOS_COMPLEMENTOS!$G$4:$G$803,E2873,MOVIMIENTOS_COMPLEMENTOS!$H$4:$H$803,G2873,MOVIMIENTOS_COMPLEMENTOS!$B$4:$B$803,"SALIDA"),0)</f>
        <v>0</v>
      </c>
      <c r="I2873" s="102">
        <f t="array" ref="I2873">IFERROR(INDEX(PRECIOS_COMPLEMENTOS!$C$4:$F$17,MATCH(B2873&amp;"_"&amp;C2873,PRECIOS_COMPLEMENTOS!$H$4:$H$17,0),IF(OR(G2873="S",G2873="20cm"),1,IF(OR(G2873="M",G2873="25cm"),2,IF(OR(G2873="L",G2873="30cm"),3,IF(OR(G2873="XL",G2873="35cm"),4,0))))),0)</f>
        <v>0.6</v>
      </c>
      <c r="J2873" s="103">
        <f t="shared" si="1"/>
        <v>0</v>
      </c>
      <c r="K2873" s="104" t="str">
        <f>IF(H2873&lt;0,"ERROR",IF(H2873=0,"",IF(H2873&lt;CONFIG!$B$4,"CRÍTICO",IF(H2873&lt;CONFIG!$B$5,"BAJO","OK"))))</f>
        <v/>
      </c>
    </row>
    <row r="2874" ht="15.75" hidden="1" customHeight="1">
      <c r="A2874" s="90" t="str">
        <f>IF(CLIENTES!A9="","",CLIENTES!A9)</f>
        <v/>
      </c>
      <c r="B2874" s="90" t="s">
        <v>331</v>
      </c>
      <c r="C2874" s="91" t="s">
        <v>328</v>
      </c>
      <c r="D2874" s="109" t="s">
        <v>366</v>
      </c>
      <c r="E2874" s="67" t="str">
        <f>COLORES!A21</f>
        <v/>
      </c>
      <c r="F2874" s="67" t="str">
        <f>COLORES!B21</f>
        <v/>
      </c>
      <c r="G2874" s="90" t="s">
        <v>377</v>
      </c>
      <c r="H2874" s="100">
        <f>IFERROR(SUMIFS(MOVIMIENTOS_COMPLEMENTOS!$I$4:$I$803,MOVIMIENTOS_COMPLEMENTOS!$C$4:$C$803,A2874,MOVIMIENTOS_COMPLEMENTOS!$D$4:$D$803,B2874,MOVIMIENTOS_COMPLEMENTOS!$E$4:$E$803,C2874,MOVIMIENTOS_COMPLEMENTOS!$F$4:$F$803,D2874,MOVIMIENTOS_COMPLEMENTOS!$G$4:$G$803,E2874,MOVIMIENTOS_COMPLEMENTOS!$H$4:$H$803,G2874,MOVIMIENTOS_COMPLEMENTOS!$B$4:$B$803,"INGRESO")+SUMIFS(MOVIMIENTOS_COMPLEMENTOS!$I$4:$I$803,MOVIMIENTOS_COMPLEMENTOS!$C$4:$C$803,A2874,MOVIMIENTOS_COMPLEMENTOS!$D$4:$D$803,B2874,MOVIMIENTOS_COMPLEMENTOS!$E$4:$E$803,C2874,MOVIMIENTOS_COMPLEMENTOS!$F$4:$F$803,D2874,MOVIMIENTOS_COMPLEMENTOS!$G$4:$G$803,E2874,MOVIMIENTOS_COMPLEMENTOS!$H$4:$H$803,G2874,MOVIMIENTOS_COMPLEMENTOS!$B$4:$B$803,"DE CORTE")-SUMIFS(MOVIMIENTOS_COMPLEMENTOS!$I$4:$I$803,MOVIMIENTOS_COMPLEMENTOS!$C$4:$C$803,A2874,MOVIMIENTOS_COMPLEMENTOS!$D$4:$D$803,B2874,MOVIMIENTOS_COMPLEMENTOS!$E$4:$E$803,C2874,MOVIMIENTOS_COMPLEMENTOS!$F$4:$F$803,D2874,MOVIMIENTOS_COMPLEMENTOS!$G$4:$G$803,E2874,MOVIMIENTOS_COMPLEMENTOS!$H$4:$H$803,G2874,MOVIMIENTOS_COMPLEMENTOS!$B$4:$B$803,"SALIDA"),0)</f>
        <v>0</v>
      </c>
      <c r="I2874" s="102">
        <f t="array" ref="I2874">IFERROR(INDEX(PRECIOS_COMPLEMENTOS!$C$4:$F$17,MATCH(B2874&amp;"_"&amp;C2874,PRECIOS_COMPLEMENTOS!$H$4:$H$17,0),IF(OR(G2874="S",G2874="20cm"),1,IF(OR(G2874="M",G2874="25cm"),2,IF(OR(G2874="L",G2874="30cm"),3,IF(OR(G2874="XL",G2874="35cm"),4,0))))),0)</f>
        <v>0.6</v>
      </c>
      <c r="J2874" s="103">
        <f t="shared" si="1"/>
        <v>0</v>
      </c>
      <c r="K2874" s="104" t="str">
        <f>IF(H2874&lt;0,"ERROR",IF(H2874=0,"",IF(H2874&lt;CONFIG!$B$4,"CRÍTICO",IF(H2874&lt;CONFIG!$B$5,"BAJO","OK"))))</f>
        <v/>
      </c>
    </row>
    <row r="2875" ht="15.75" hidden="1" customHeight="1">
      <c r="A2875" s="90" t="str">
        <f>IF(CLIENTES!A9="","",CLIENTES!A9)</f>
        <v/>
      </c>
      <c r="B2875" s="90" t="s">
        <v>331</v>
      </c>
      <c r="C2875" s="91" t="s">
        <v>328</v>
      </c>
      <c r="D2875" s="109" t="s">
        <v>366</v>
      </c>
      <c r="E2875" s="67" t="str">
        <f>COLORES!A21</f>
        <v/>
      </c>
      <c r="F2875" s="67" t="str">
        <f>COLORES!B21</f>
        <v/>
      </c>
      <c r="G2875" s="90" t="s">
        <v>379</v>
      </c>
      <c r="H2875" s="100">
        <f>IFERROR(SUMIFS(MOVIMIENTOS_COMPLEMENTOS!$I$4:$I$803,MOVIMIENTOS_COMPLEMENTOS!$C$4:$C$803,A2875,MOVIMIENTOS_COMPLEMENTOS!$D$4:$D$803,B2875,MOVIMIENTOS_COMPLEMENTOS!$E$4:$E$803,C2875,MOVIMIENTOS_COMPLEMENTOS!$F$4:$F$803,D2875,MOVIMIENTOS_COMPLEMENTOS!$G$4:$G$803,E2875,MOVIMIENTOS_COMPLEMENTOS!$H$4:$H$803,G2875,MOVIMIENTOS_COMPLEMENTOS!$B$4:$B$803,"INGRESO")+SUMIFS(MOVIMIENTOS_COMPLEMENTOS!$I$4:$I$803,MOVIMIENTOS_COMPLEMENTOS!$C$4:$C$803,A2875,MOVIMIENTOS_COMPLEMENTOS!$D$4:$D$803,B2875,MOVIMIENTOS_COMPLEMENTOS!$E$4:$E$803,C2875,MOVIMIENTOS_COMPLEMENTOS!$F$4:$F$803,D2875,MOVIMIENTOS_COMPLEMENTOS!$G$4:$G$803,E2875,MOVIMIENTOS_COMPLEMENTOS!$H$4:$H$803,G2875,MOVIMIENTOS_COMPLEMENTOS!$B$4:$B$803,"DE CORTE")-SUMIFS(MOVIMIENTOS_COMPLEMENTOS!$I$4:$I$803,MOVIMIENTOS_COMPLEMENTOS!$C$4:$C$803,A2875,MOVIMIENTOS_COMPLEMENTOS!$D$4:$D$803,B2875,MOVIMIENTOS_COMPLEMENTOS!$E$4:$E$803,C2875,MOVIMIENTOS_COMPLEMENTOS!$F$4:$F$803,D2875,MOVIMIENTOS_COMPLEMENTOS!$G$4:$G$803,E2875,MOVIMIENTOS_COMPLEMENTOS!$H$4:$H$803,G2875,MOVIMIENTOS_COMPLEMENTOS!$B$4:$B$803,"SALIDA"),0)</f>
        <v>0</v>
      </c>
      <c r="I2875" s="102">
        <f t="array" ref="I2875">IFERROR(INDEX(PRECIOS_COMPLEMENTOS!$C$4:$F$17,MATCH(B2875&amp;"_"&amp;C2875,PRECIOS_COMPLEMENTOS!$H$4:$H$17,0),IF(OR(G2875="S",G2875="20cm"),1,IF(OR(G2875="M",G2875="25cm"),2,IF(OR(G2875="L",G2875="30cm"),3,IF(OR(G2875="XL",G2875="35cm"),4,0))))),0)</f>
        <v>0.6</v>
      </c>
      <c r="J2875" s="103">
        <f t="shared" si="1"/>
        <v>0</v>
      </c>
      <c r="K2875" s="104" t="str">
        <f>IF(H2875&lt;0,"ERROR",IF(H2875=0,"",IF(H2875&lt;CONFIG!$B$4,"CRÍTICO",IF(H2875&lt;CONFIG!$B$5,"BAJO","OK"))))</f>
        <v/>
      </c>
    </row>
    <row r="2876" ht="15.75" hidden="1" customHeight="1">
      <c r="A2876" s="90" t="str">
        <f>IF(CLIENTES!A9="","",CLIENTES!A9)</f>
        <v/>
      </c>
      <c r="B2876" s="90" t="s">
        <v>331</v>
      </c>
      <c r="C2876" s="91" t="s">
        <v>328</v>
      </c>
      <c r="D2876" s="109" t="s">
        <v>366</v>
      </c>
      <c r="E2876" s="67" t="str">
        <f>COLORES!A22</f>
        <v/>
      </c>
      <c r="F2876" s="67" t="str">
        <f>COLORES!B22</f>
        <v/>
      </c>
      <c r="G2876" s="90" t="s">
        <v>378</v>
      </c>
      <c r="H2876" s="100">
        <f>IFERROR(SUMIFS(MOVIMIENTOS_COMPLEMENTOS!$I$4:$I$803,MOVIMIENTOS_COMPLEMENTOS!$C$4:$C$803,A2876,MOVIMIENTOS_COMPLEMENTOS!$D$4:$D$803,B2876,MOVIMIENTOS_COMPLEMENTOS!$E$4:$E$803,C2876,MOVIMIENTOS_COMPLEMENTOS!$F$4:$F$803,D2876,MOVIMIENTOS_COMPLEMENTOS!$G$4:$G$803,E2876,MOVIMIENTOS_COMPLEMENTOS!$H$4:$H$803,G2876,MOVIMIENTOS_COMPLEMENTOS!$B$4:$B$803,"INGRESO")+SUMIFS(MOVIMIENTOS_COMPLEMENTOS!$I$4:$I$803,MOVIMIENTOS_COMPLEMENTOS!$C$4:$C$803,A2876,MOVIMIENTOS_COMPLEMENTOS!$D$4:$D$803,B2876,MOVIMIENTOS_COMPLEMENTOS!$E$4:$E$803,C2876,MOVIMIENTOS_COMPLEMENTOS!$F$4:$F$803,D2876,MOVIMIENTOS_COMPLEMENTOS!$G$4:$G$803,E2876,MOVIMIENTOS_COMPLEMENTOS!$H$4:$H$803,G2876,MOVIMIENTOS_COMPLEMENTOS!$B$4:$B$803,"DE CORTE")-SUMIFS(MOVIMIENTOS_COMPLEMENTOS!$I$4:$I$803,MOVIMIENTOS_COMPLEMENTOS!$C$4:$C$803,A2876,MOVIMIENTOS_COMPLEMENTOS!$D$4:$D$803,B2876,MOVIMIENTOS_COMPLEMENTOS!$E$4:$E$803,C2876,MOVIMIENTOS_COMPLEMENTOS!$F$4:$F$803,D2876,MOVIMIENTOS_COMPLEMENTOS!$G$4:$G$803,E2876,MOVIMIENTOS_COMPLEMENTOS!$H$4:$H$803,G2876,MOVIMIENTOS_COMPLEMENTOS!$B$4:$B$803,"SALIDA"),0)</f>
        <v>0</v>
      </c>
      <c r="I2876" s="102">
        <f t="array" ref="I2876">IFERROR(INDEX(PRECIOS_COMPLEMENTOS!$C$4:$F$17,MATCH(B2876&amp;"_"&amp;C2876,PRECIOS_COMPLEMENTOS!$H$4:$H$17,0),IF(OR(G2876="S",G2876="20cm"),1,IF(OR(G2876="M",G2876="25cm"),2,IF(OR(G2876="L",G2876="30cm"),3,IF(OR(G2876="XL",G2876="35cm"),4,0))))),0)</f>
        <v>0.6</v>
      </c>
      <c r="J2876" s="103">
        <f t="shared" si="1"/>
        <v>0</v>
      </c>
      <c r="K2876" s="104" t="str">
        <f>IF(H2876&lt;0,"ERROR",IF(H2876=0,"",IF(H2876&lt;CONFIG!$B$4,"CRÍTICO",IF(H2876&lt;CONFIG!$B$5,"BAJO","OK"))))</f>
        <v/>
      </c>
    </row>
    <row r="2877" ht="15.75" hidden="1" customHeight="1">
      <c r="A2877" s="90" t="str">
        <f>IF(CLIENTES!A9="","",CLIENTES!A9)</f>
        <v/>
      </c>
      <c r="B2877" s="90" t="s">
        <v>331</v>
      </c>
      <c r="C2877" s="91" t="s">
        <v>328</v>
      </c>
      <c r="D2877" s="109" t="s">
        <v>366</v>
      </c>
      <c r="E2877" s="67" t="str">
        <f>COLORES!A22</f>
        <v/>
      </c>
      <c r="F2877" s="67" t="str">
        <f>COLORES!B22</f>
        <v/>
      </c>
      <c r="G2877" s="90" t="s">
        <v>376</v>
      </c>
      <c r="H2877" s="100">
        <f>IFERROR(SUMIFS(MOVIMIENTOS_COMPLEMENTOS!$I$4:$I$803,MOVIMIENTOS_COMPLEMENTOS!$C$4:$C$803,A2877,MOVIMIENTOS_COMPLEMENTOS!$D$4:$D$803,B2877,MOVIMIENTOS_COMPLEMENTOS!$E$4:$E$803,C2877,MOVIMIENTOS_COMPLEMENTOS!$F$4:$F$803,D2877,MOVIMIENTOS_COMPLEMENTOS!$G$4:$G$803,E2877,MOVIMIENTOS_COMPLEMENTOS!$H$4:$H$803,G2877,MOVIMIENTOS_COMPLEMENTOS!$B$4:$B$803,"INGRESO")+SUMIFS(MOVIMIENTOS_COMPLEMENTOS!$I$4:$I$803,MOVIMIENTOS_COMPLEMENTOS!$C$4:$C$803,A2877,MOVIMIENTOS_COMPLEMENTOS!$D$4:$D$803,B2877,MOVIMIENTOS_COMPLEMENTOS!$E$4:$E$803,C2877,MOVIMIENTOS_COMPLEMENTOS!$F$4:$F$803,D2877,MOVIMIENTOS_COMPLEMENTOS!$G$4:$G$803,E2877,MOVIMIENTOS_COMPLEMENTOS!$H$4:$H$803,G2877,MOVIMIENTOS_COMPLEMENTOS!$B$4:$B$803,"DE CORTE")-SUMIFS(MOVIMIENTOS_COMPLEMENTOS!$I$4:$I$803,MOVIMIENTOS_COMPLEMENTOS!$C$4:$C$803,A2877,MOVIMIENTOS_COMPLEMENTOS!$D$4:$D$803,B2877,MOVIMIENTOS_COMPLEMENTOS!$E$4:$E$803,C2877,MOVIMIENTOS_COMPLEMENTOS!$F$4:$F$803,D2877,MOVIMIENTOS_COMPLEMENTOS!$G$4:$G$803,E2877,MOVIMIENTOS_COMPLEMENTOS!$H$4:$H$803,G2877,MOVIMIENTOS_COMPLEMENTOS!$B$4:$B$803,"SALIDA"),0)</f>
        <v>0</v>
      </c>
      <c r="I2877" s="102">
        <f t="array" ref="I2877">IFERROR(INDEX(PRECIOS_COMPLEMENTOS!$C$4:$F$17,MATCH(B2877&amp;"_"&amp;C2877,PRECIOS_COMPLEMENTOS!$H$4:$H$17,0),IF(OR(G2877="S",G2877="20cm"),1,IF(OR(G2877="M",G2877="25cm"),2,IF(OR(G2877="L",G2877="30cm"),3,IF(OR(G2877="XL",G2877="35cm"),4,0))))),0)</f>
        <v>0.6</v>
      </c>
      <c r="J2877" s="103">
        <f t="shared" si="1"/>
        <v>0</v>
      </c>
      <c r="K2877" s="104" t="str">
        <f>IF(H2877&lt;0,"ERROR",IF(H2877=0,"",IF(H2877&lt;CONFIG!$B$4,"CRÍTICO",IF(H2877&lt;CONFIG!$B$5,"BAJO","OK"))))</f>
        <v/>
      </c>
    </row>
    <row r="2878" ht="15.75" hidden="1" customHeight="1">
      <c r="A2878" s="90" t="str">
        <f>IF(CLIENTES!A9="","",CLIENTES!A9)</f>
        <v/>
      </c>
      <c r="B2878" s="90" t="s">
        <v>331</v>
      </c>
      <c r="C2878" s="91" t="s">
        <v>328</v>
      </c>
      <c r="D2878" s="109" t="s">
        <v>366</v>
      </c>
      <c r="E2878" s="67" t="str">
        <f>COLORES!A22</f>
        <v/>
      </c>
      <c r="F2878" s="67" t="str">
        <f>COLORES!B22</f>
        <v/>
      </c>
      <c r="G2878" s="90" t="s">
        <v>377</v>
      </c>
      <c r="H2878" s="100">
        <f>IFERROR(SUMIFS(MOVIMIENTOS_COMPLEMENTOS!$I$4:$I$803,MOVIMIENTOS_COMPLEMENTOS!$C$4:$C$803,A2878,MOVIMIENTOS_COMPLEMENTOS!$D$4:$D$803,B2878,MOVIMIENTOS_COMPLEMENTOS!$E$4:$E$803,C2878,MOVIMIENTOS_COMPLEMENTOS!$F$4:$F$803,D2878,MOVIMIENTOS_COMPLEMENTOS!$G$4:$G$803,E2878,MOVIMIENTOS_COMPLEMENTOS!$H$4:$H$803,G2878,MOVIMIENTOS_COMPLEMENTOS!$B$4:$B$803,"INGRESO")+SUMIFS(MOVIMIENTOS_COMPLEMENTOS!$I$4:$I$803,MOVIMIENTOS_COMPLEMENTOS!$C$4:$C$803,A2878,MOVIMIENTOS_COMPLEMENTOS!$D$4:$D$803,B2878,MOVIMIENTOS_COMPLEMENTOS!$E$4:$E$803,C2878,MOVIMIENTOS_COMPLEMENTOS!$F$4:$F$803,D2878,MOVIMIENTOS_COMPLEMENTOS!$G$4:$G$803,E2878,MOVIMIENTOS_COMPLEMENTOS!$H$4:$H$803,G2878,MOVIMIENTOS_COMPLEMENTOS!$B$4:$B$803,"DE CORTE")-SUMIFS(MOVIMIENTOS_COMPLEMENTOS!$I$4:$I$803,MOVIMIENTOS_COMPLEMENTOS!$C$4:$C$803,A2878,MOVIMIENTOS_COMPLEMENTOS!$D$4:$D$803,B2878,MOVIMIENTOS_COMPLEMENTOS!$E$4:$E$803,C2878,MOVIMIENTOS_COMPLEMENTOS!$F$4:$F$803,D2878,MOVIMIENTOS_COMPLEMENTOS!$G$4:$G$803,E2878,MOVIMIENTOS_COMPLEMENTOS!$H$4:$H$803,G2878,MOVIMIENTOS_COMPLEMENTOS!$B$4:$B$803,"SALIDA"),0)</f>
        <v>0</v>
      </c>
      <c r="I2878" s="102">
        <f t="array" ref="I2878">IFERROR(INDEX(PRECIOS_COMPLEMENTOS!$C$4:$F$17,MATCH(B2878&amp;"_"&amp;C2878,PRECIOS_COMPLEMENTOS!$H$4:$H$17,0),IF(OR(G2878="S",G2878="20cm"),1,IF(OR(G2878="M",G2878="25cm"),2,IF(OR(G2878="L",G2878="30cm"),3,IF(OR(G2878="XL",G2878="35cm"),4,0))))),0)</f>
        <v>0.6</v>
      </c>
      <c r="J2878" s="103">
        <f t="shared" si="1"/>
        <v>0</v>
      </c>
      <c r="K2878" s="104" t="str">
        <f>IF(H2878&lt;0,"ERROR",IF(H2878=0,"",IF(H2878&lt;CONFIG!$B$4,"CRÍTICO",IF(H2878&lt;CONFIG!$B$5,"BAJO","OK"))))</f>
        <v/>
      </c>
    </row>
    <row r="2879" ht="15.75" hidden="1" customHeight="1">
      <c r="A2879" s="90" t="str">
        <f>IF(CLIENTES!A9="","",CLIENTES!A9)</f>
        <v/>
      </c>
      <c r="B2879" s="90" t="s">
        <v>331</v>
      </c>
      <c r="C2879" s="91" t="s">
        <v>328</v>
      </c>
      <c r="D2879" s="109" t="s">
        <v>366</v>
      </c>
      <c r="E2879" s="67" t="str">
        <f>COLORES!A22</f>
        <v/>
      </c>
      <c r="F2879" s="67" t="str">
        <f>COLORES!B22</f>
        <v/>
      </c>
      <c r="G2879" s="90" t="s">
        <v>379</v>
      </c>
      <c r="H2879" s="100">
        <f>IFERROR(SUMIFS(MOVIMIENTOS_COMPLEMENTOS!$I$4:$I$803,MOVIMIENTOS_COMPLEMENTOS!$C$4:$C$803,A2879,MOVIMIENTOS_COMPLEMENTOS!$D$4:$D$803,B2879,MOVIMIENTOS_COMPLEMENTOS!$E$4:$E$803,C2879,MOVIMIENTOS_COMPLEMENTOS!$F$4:$F$803,D2879,MOVIMIENTOS_COMPLEMENTOS!$G$4:$G$803,E2879,MOVIMIENTOS_COMPLEMENTOS!$H$4:$H$803,G2879,MOVIMIENTOS_COMPLEMENTOS!$B$4:$B$803,"INGRESO")+SUMIFS(MOVIMIENTOS_COMPLEMENTOS!$I$4:$I$803,MOVIMIENTOS_COMPLEMENTOS!$C$4:$C$803,A2879,MOVIMIENTOS_COMPLEMENTOS!$D$4:$D$803,B2879,MOVIMIENTOS_COMPLEMENTOS!$E$4:$E$803,C2879,MOVIMIENTOS_COMPLEMENTOS!$F$4:$F$803,D2879,MOVIMIENTOS_COMPLEMENTOS!$G$4:$G$803,E2879,MOVIMIENTOS_COMPLEMENTOS!$H$4:$H$803,G2879,MOVIMIENTOS_COMPLEMENTOS!$B$4:$B$803,"DE CORTE")-SUMIFS(MOVIMIENTOS_COMPLEMENTOS!$I$4:$I$803,MOVIMIENTOS_COMPLEMENTOS!$C$4:$C$803,A2879,MOVIMIENTOS_COMPLEMENTOS!$D$4:$D$803,B2879,MOVIMIENTOS_COMPLEMENTOS!$E$4:$E$803,C2879,MOVIMIENTOS_COMPLEMENTOS!$F$4:$F$803,D2879,MOVIMIENTOS_COMPLEMENTOS!$G$4:$G$803,E2879,MOVIMIENTOS_COMPLEMENTOS!$H$4:$H$803,G2879,MOVIMIENTOS_COMPLEMENTOS!$B$4:$B$803,"SALIDA"),0)</f>
        <v>0</v>
      </c>
      <c r="I2879" s="102">
        <f t="array" ref="I2879">IFERROR(INDEX(PRECIOS_COMPLEMENTOS!$C$4:$F$17,MATCH(B2879&amp;"_"&amp;C2879,PRECIOS_COMPLEMENTOS!$H$4:$H$17,0),IF(OR(G2879="S",G2879="20cm"),1,IF(OR(G2879="M",G2879="25cm"),2,IF(OR(G2879="L",G2879="30cm"),3,IF(OR(G2879="XL",G2879="35cm"),4,0))))),0)</f>
        <v>0.6</v>
      </c>
      <c r="J2879" s="103">
        <f t="shared" si="1"/>
        <v>0</v>
      </c>
      <c r="K2879" s="104" t="str">
        <f>IF(H2879&lt;0,"ERROR",IF(H2879=0,"",IF(H2879&lt;CONFIG!$B$4,"CRÍTICO",IF(H2879&lt;CONFIG!$B$5,"BAJO","OK"))))</f>
        <v/>
      </c>
    </row>
    <row r="2880" ht="15.75" hidden="1" customHeight="1">
      <c r="A2880" s="90" t="str">
        <f>IF(CLIENTES!A9="","",CLIENTES!A9)</f>
        <v/>
      </c>
      <c r="B2880" s="90" t="s">
        <v>331</v>
      </c>
      <c r="C2880" s="91" t="s">
        <v>328</v>
      </c>
      <c r="D2880" s="109" t="s">
        <v>366</v>
      </c>
      <c r="E2880" s="67" t="str">
        <f>COLORES!A23</f>
        <v/>
      </c>
      <c r="F2880" s="67" t="str">
        <f>COLORES!B23</f>
        <v/>
      </c>
      <c r="G2880" s="90" t="s">
        <v>378</v>
      </c>
      <c r="H2880" s="100">
        <f>IFERROR(SUMIFS(MOVIMIENTOS_COMPLEMENTOS!$I$4:$I$803,MOVIMIENTOS_COMPLEMENTOS!$C$4:$C$803,A2880,MOVIMIENTOS_COMPLEMENTOS!$D$4:$D$803,B2880,MOVIMIENTOS_COMPLEMENTOS!$E$4:$E$803,C2880,MOVIMIENTOS_COMPLEMENTOS!$F$4:$F$803,D2880,MOVIMIENTOS_COMPLEMENTOS!$G$4:$G$803,E2880,MOVIMIENTOS_COMPLEMENTOS!$H$4:$H$803,G2880,MOVIMIENTOS_COMPLEMENTOS!$B$4:$B$803,"INGRESO")+SUMIFS(MOVIMIENTOS_COMPLEMENTOS!$I$4:$I$803,MOVIMIENTOS_COMPLEMENTOS!$C$4:$C$803,A2880,MOVIMIENTOS_COMPLEMENTOS!$D$4:$D$803,B2880,MOVIMIENTOS_COMPLEMENTOS!$E$4:$E$803,C2880,MOVIMIENTOS_COMPLEMENTOS!$F$4:$F$803,D2880,MOVIMIENTOS_COMPLEMENTOS!$G$4:$G$803,E2880,MOVIMIENTOS_COMPLEMENTOS!$H$4:$H$803,G2880,MOVIMIENTOS_COMPLEMENTOS!$B$4:$B$803,"DE CORTE")-SUMIFS(MOVIMIENTOS_COMPLEMENTOS!$I$4:$I$803,MOVIMIENTOS_COMPLEMENTOS!$C$4:$C$803,A2880,MOVIMIENTOS_COMPLEMENTOS!$D$4:$D$803,B2880,MOVIMIENTOS_COMPLEMENTOS!$E$4:$E$803,C2880,MOVIMIENTOS_COMPLEMENTOS!$F$4:$F$803,D2880,MOVIMIENTOS_COMPLEMENTOS!$G$4:$G$803,E2880,MOVIMIENTOS_COMPLEMENTOS!$H$4:$H$803,G2880,MOVIMIENTOS_COMPLEMENTOS!$B$4:$B$803,"SALIDA"),0)</f>
        <v>0</v>
      </c>
      <c r="I2880" s="102">
        <f t="array" ref="I2880">IFERROR(INDEX(PRECIOS_COMPLEMENTOS!$C$4:$F$17,MATCH(B2880&amp;"_"&amp;C2880,PRECIOS_COMPLEMENTOS!$H$4:$H$17,0),IF(OR(G2880="S",G2880="20cm"),1,IF(OR(G2880="M",G2880="25cm"),2,IF(OR(G2880="L",G2880="30cm"),3,IF(OR(G2880="XL",G2880="35cm"),4,0))))),0)</f>
        <v>0.6</v>
      </c>
      <c r="J2880" s="103">
        <f t="shared" si="1"/>
        <v>0</v>
      </c>
      <c r="K2880" s="104" t="str">
        <f>IF(H2880&lt;0,"ERROR",IF(H2880=0,"",IF(H2880&lt;CONFIG!$B$4,"CRÍTICO",IF(H2880&lt;CONFIG!$B$5,"BAJO","OK"))))</f>
        <v/>
      </c>
    </row>
    <row r="2881" ht="15.75" hidden="1" customHeight="1">
      <c r="A2881" s="90" t="str">
        <f>IF(CLIENTES!A9="","",CLIENTES!A9)</f>
        <v/>
      </c>
      <c r="B2881" s="90" t="s">
        <v>331</v>
      </c>
      <c r="C2881" s="91" t="s">
        <v>328</v>
      </c>
      <c r="D2881" s="109" t="s">
        <v>366</v>
      </c>
      <c r="E2881" s="67" t="str">
        <f>COLORES!A23</f>
        <v/>
      </c>
      <c r="F2881" s="67" t="str">
        <f>COLORES!B23</f>
        <v/>
      </c>
      <c r="G2881" s="90" t="s">
        <v>376</v>
      </c>
      <c r="H2881" s="100">
        <f>IFERROR(SUMIFS(MOVIMIENTOS_COMPLEMENTOS!$I$4:$I$803,MOVIMIENTOS_COMPLEMENTOS!$C$4:$C$803,A2881,MOVIMIENTOS_COMPLEMENTOS!$D$4:$D$803,B2881,MOVIMIENTOS_COMPLEMENTOS!$E$4:$E$803,C2881,MOVIMIENTOS_COMPLEMENTOS!$F$4:$F$803,D2881,MOVIMIENTOS_COMPLEMENTOS!$G$4:$G$803,E2881,MOVIMIENTOS_COMPLEMENTOS!$H$4:$H$803,G2881,MOVIMIENTOS_COMPLEMENTOS!$B$4:$B$803,"INGRESO")+SUMIFS(MOVIMIENTOS_COMPLEMENTOS!$I$4:$I$803,MOVIMIENTOS_COMPLEMENTOS!$C$4:$C$803,A2881,MOVIMIENTOS_COMPLEMENTOS!$D$4:$D$803,B2881,MOVIMIENTOS_COMPLEMENTOS!$E$4:$E$803,C2881,MOVIMIENTOS_COMPLEMENTOS!$F$4:$F$803,D2881,MOVIMIENTOS_COMPLEMENTOS!$G$4:$G$803,E2881,MOVIMIENTOS_COMPLEMENTOS!$H$4:$H$803,G2881,MOVIMIENTOS_COMPLEMENTOS!$B$4:$B$803,"DE CORTE")-SUMIFS(MOVIMIENTOS_COMPLEMENTOS!$I$4:$I$803,MOVIMIENTOS_COMPLEMENTOS!$C$4:$C$803,A2881,MOVIMIENTOS_COMPLEMENTOS!$D$4:$D$803,B2881,MOVIMIENTOS_COMPLEMENTOS!$E$4:$E$803,C2881,MOVIMIENTOS_COMPLEMENTOS!$F$4:$F$803,D2881,MOVIMIENTOS_COMPLEMENTOS!$G$4:$G$803,E2881,MOVIMIENTOS_COMPLEMENTOS!$H$4:$H$803,G2881,MOVIMIENTOS_COMPLEMENTOS!$B$4:$B$803,"SALIDA"),0)</f>
        <v>0</v>
      </c>
      <c r="I2881" s="102">
        <f t="array" ref="I2881">IFERROR(INDEX(PRECIOS_COMPLEMENTOS!$C$4:$F$17,MATCH(B2881&amp;"_"&amp;C2881,PRECIOS_COMPLEMENTOS!$H$4:$H$17,0),IF(OR(G2881="S",G2881="20cm"),1,IF(OR(G2881="M",G2881="25cm"),2,IF(OR(G2881="L",G2881="30cm"),3,IF(OR(G2881="XL",G2881="35cm"),4,0))))),0)</f>
        <v>0.6</v>
      </c>
      <c r="J2881" s="103">
        <f t="shared" si="1"/>
        <v>0</v>
      </c>
      <c r="K2881" s="104" t="str">
        <f>IF(H2881&lt;0,"ERROR",IF(H2881=0,"",IF(H2881&lt;CONFIG!$B$4,"CRÍTICO",IF(H2881&lt;CONFIG!$B$5,"BAJO","OK"))))</f>
        <v/>
      </c>
    </row>
    <row r="2882" ht="15.75" hidden="1" customHeight="1">
      <c r="A2882" s="90" t="str">
        <f>IF(CLIENTES!A9="","",CLIENTES!A9)</f>
        <v/>
      </c>
      <c r="B2882" s="90" t="s">
        <v>331</v>
      </c>
      <c r="C2882" s="91" t="s">
        <v>328</v>
      </c>
      <c r="D2882" s="109" t="s">
        <v>366</v>
      </c>
      <c r="E2882" s="67" t="str">
        <f>COLORES!A23</f>
        <v/>
      </c>
      <c r="F2882" s="67" t="str">
        <f>COLORES!B23</f>
        <v/>
      </c>
      <c r="G2882" s="90" t="s">
        <v>377</v>
      </c>
      <c r="H2882" s="100">
        <f>IFERROR(SUMIFS(MOVIMIENTOS_COMPLEMENTOS!$I$4:$I$803,MOVIMIENTOS_COMPLEMENTOS!$C$4:$C$803,A2882,MOVIMIENTOS_COMPLEMENTOS!$D$4:$D$803,B2882,MOVIMIENTOS_COMPLEMENTOS!$E$4:$E$803,C2882,MOVIMIENTOS_COMPLEMENTOS!$F$4:$F$803,D2882,MOVIMIENTOS_COMPLEMENTOS!$G$4:$G$803,E2882,MOVIMIENTOS_COMPLEMENTOS!$H$4:$H$803,G2882,MOVIMIENTOS_COMPLEMENTOS!$B$4:$B$803,"INGRESO")+SUMIFS(MOVIMIENTOS_COMPLEMENTOS!$I$4:$I$803,MOVIMIENTOS_COMPLEMENTOS!$C$4:$C$803,A2882,MOVIMIENTOS_COMPLEMENTOS!$D$4:$D$803,B2882,MOVIMIENTOS_COMPLEMENTOS!$E$4:$E$803,C2882,MOVIMIENTOS_COMPLEMENTOS!$F$4:$F$803,D2882,MOVIMIENTOS_COMPLEMENTOS!$G$4:$G$803,E2882,MOVIMIENTOS_COMPLEMENTOS!$H$4:$H$803,G2882,MOVIMIENTOS_COMPLEMENTOS!$B$4:$B$803,"DE CORTE")-SUMIFS(MOVIMIENTOS_COMPLEMENTOS!$I$4:$I$803,MOVIMIENTOS_COMPLEMENTOS!$C$4:$C$803,A2882,MOVIMIENTOS_COMPLEMENTOS!$D$4:$D$803,B2882,MOVIMIENTOS_COMPLEMENTOS!$E$4:$E$803,C2882,MOVIMIENTOS_COMPLEMENTOS!$F$4:$F$803,D2882,MOVIMIENTOS_COMPLEMENTOS!$G$4:$G$803,E2882,MOVIMIENTOS_COMPLEMENTOS!$H$4:$H$803,G2882,MOVIMIENTOS_COMPLEMENTOS!$B$4:$B$803,"SALIDA"),0)</f>
        <v>0</v>
      </c>
      <c r="I2882" s="102">
        <f t="array" ref="I2882">IFERROR(INDEX(PRECIOS_COMPLEMENTOS!$C$4:$F$17,MATCH(B2882&amp;"_"&amp;C2882,PRECIOS_COMPLEMENTOS!$H$4:$H$17,0),IF(OR(G2882="S",G2882="20cm"),1,IF(OR(G2882="M",G2882="25cm"),2,IF(OR(G2882="L",G2882="30cm"),3,IF(OR(G2882="XL",G2882="35cm"),4,0))))),0)</f>
        <v>0.6</v>
      </c>
      <c r="J2882" s="103">
        <f t="shared" si="1"/>
        <v>0</v>
      </c>
      <c r="K2882" s="104" t="str">
        <f>IF(H2882&lt;0,"ERROR",IF(H2882=0,"",IF(H2882&lt;CONFIG!$B$4,"CRÍTICO",IF(H2882&lt;CONFIG!$B$5,"BAJO","OK"))))</f>
        <v/>
      </c>
    </row>
    <row r="2883" ht="15.75" hidden="1" customHeight="1">
      <c r="A2883" s="90" t="str">
        <f>IF(CLIENTES!A9="","",CLIENTES!A9)</f>
        <v/>
      </c>
      <c r="B2883" s="90" t="s">
        <v>331</v>
      </c>
      <c r="C2883" s="91" t="s">
        <v>328</v>
      </c>
      <c r="D2883" s="109" t="s">
        <v>366</v>
      </c>
      <c r="E2883" s="67" t="str">
        <f>COLORES!A23</f>
        <v/>
      </c>
      <c r="F2883" s="67" t="str">
        <f>COLORES!B23</f>
        <v/>
      </c>
      <c r="G2883" s="90" t="s">
        <v>379</v>
      </c>
      <c r="H2883" s="100">
        <f>IFERROR(SUMIFS(MOVIMIENTOS_COMPLEMENTOS!$I$4:$I$803,MOVIMIENTOS_COMPLEMENTOS!$C$4:$C$803,A2883,MOVIMIENTOS_COMPLEMENTOS!$D$4:$D$803,B2883,MOVIMIENTOS_COMPLEMENTOS!$E$4:$E$803,C2883,MOVIMIENTOS_COMPLEMENTOS!$F$4:$F$803,D2883,MOVIMIENTOS_COMPLEMENTOS!$G$4:$G$803,E2883,MOVIMIENTOS_COMPLEMENTOS!$H$4:$H$803,G2883,MOVIMIENTOS_COMPLEMENTOS!$B$4:$B$803,"INGRESO")+SUMIFS(MOVIMIENTOS_COMPLEMENTOS!$I$4:$I$803,MOVIMIENTOS_COMPLEMENTOS!$C$4:$C$803,A2883,MOVIMIENTOS_COMPLEMENTOS!$D$4:$D$803,B2883,MOVIMIENTOS_COMPLEMENTOS!$E$4:$E$803,C2883,MOVIMIENTOS_COMPLEMENTOS!$F$4:$F$803,D2883,MOVIMIENTOS_COMPLEMENTOS!$G$4:$G$803,E2883,MOVIMIENTOS_COMPLEMENTOS!$H$4:$H$803,G2883,MOVIMIENTOS_COMPLEMENTOS!$B$4:$B$803,"DE CORTE")-SUMIFS(MOVIMIENTOS_COMPLEMENTOS!$I$4:$I$803,MOVIMIENTOS_COMPLEMENTOS!$C$4:$C$803,A2883,MOVIMIENTOS_COMPLEMENTOS!$D$4:$D$803,B2883,MOVIMIENTOS_COMPLEMENTOS!$E$4:$E$803,C2883,MOVIMIENTOS_COMPLEMENTOS!$F$4:$F$803,D2883,MOVIMIENTOS_COMPLEMENTOS!$G$4:$G$803,E2883,MOVIMIENTOS_COMPLEMENTOS!$H$4:$H$803,G2883,MOVIMIENTOS_COMPLEMENTOS!$B$4:$B$803,"SALIDA"),0)</f>
        <v>0</v>
      </c>
      <c r="I2883" s="102">
        <f t="array" ref="I2883">IFERROR(INDEX(PRECIOS_COMPLEMENTOS!$C$4:$F$17,MATCH(B2883&amp;"_"&amp;C2883,PRECIOS_COMPLEMENTOS!$H$4:$H$17,0),IF(OR(G2883="S",G2883="20cm"),1,IF(OR(G2883="M",G2883="25cm"),2,IF(OR(G2883="L",G2883="30cm"),3,IF(OR(G2883="XL",G2883="35cm"),4,0))))),0)</f>
        <v>0.6</v>
      </c>
      <c r="J2883" s="103">
        <f t="shared" si="1"/>
        <v>0</v>
      </c>
      <c r="K2883" s="104" t="str">
        <f>IF(H2883&lt;0,"ERROR",IF(H2883=0,"",IF(H2883&lt;CONFIG!$B$4,"CRÍTICO",IF(H2883&lt;CONFIG!$B$5,"BAJO","OK"))))</f>
        <v/>
      </c>
    </row>
    <row r="2884" ht="15.75" customHeight="1">
      <c r="A2884" s="90" t="str">
        <f>IF(CLIENTES!A4="","",CLIENTES!A4)</f>
        <v>OverShark</v>
      </c>
      <c r="B2884" s="90" t="s">
        <v>333</v>
      </c>
      <c r="C2884" s="91" t="s">
        <v>334</v>
      </c>
      <c r="D2884" s="109" t="s">
        <v>353</v>
      </c>
      <c r="E2884" s="67" t="str">
        <f>COLORES!A4</f>
        <v>Negro</v>
      </c>
      <c r="F2884" s="67" t="str">
        <f>COLORES!B4</f>
        <v>OSCURO</v>
      </c>
      <c r="G2884" s="90" t="s">
        <v>380</v>
      </c>
      <c r="H2884" s="100">
        <f>IFERROR(SUMIFS(MOVIMIENTOS_COMPLEMENTOS!$I$4:$I$803,MOVIMIENTOS_COMPLEMENTOS!$C$4:$C$803,A2884,MOVIMIENTOS_COMPLEMENTOS!$D$4:$D$803,B2884,MOVIMIENTOS_COMPLEMENTOS!$E$4:$E$803,C2884,MOVIMIENTOS_COMPLEMENTOS!$G$4:$G$803,E2884,MOVIMIENTOS_COMPLEMENTOS!$H$4:$H$803,G2884,MOVIMIENTOS_COMPLEMENTOS!$B$4:$B$803,"INGRESO")+SUMIFS(MOVIMIENTOS_COMPLEMENTOS!$I$4:$I$803,MOVIMIENTOS_COMPLEMENTOS!$C$4:$C$803,A2884,MOVIMIENTOS_COMPLEMENTOS!$D$4:$D$803,B2884,MOVIMIENTOS_COMPLEMENTOS!$E$4:$E$803,C2884,MOVIMIENTOS_COMPLEMENTOS!$G$4:$G$803,E2884,MOVIMIENTOS_COMPLEMENTOS!$H$4:$H$803,G2884,MOVIMIENTOS_COMPLEMENTOS!$B$4:$B$803,"DE CORTE")-SUMIFS(MOVIMIENTOS_COMPLEMENTOS!$I$4:$I$803,MOVIMIENTOS_COMPLEMENTOS!$C$4:$C$803,A2884,MOVIMIENTOS_COMPLEMENTOS!$D$4:$D$803,B2884,MOVIMIENTOS_COMPLEMENTOS!$E$4:$E$803,C2884,MOVIMIENTOS_COMPLEMENTOS!$G$4:$G$803,E2884,MOVIMIENTOS_COMPLEMENTOS!$H$4:$H$803,G2884,MOVIMIENTOS_COMPLEMENTOS!$B$4:$B$803,"SALIDA"),0)</f>
        <v>0</v>
      </c>
      <c r="I2884" s="102">
        <f t="array" ref="I2884">IFERROR(INDEX(PRECIOS_COMPLEMENTOS!$C$4:$F$17,MATCH(B2884&amp;"_"&amp;C2884,PRECIOS_COMPLEMENTOS!$H$4:$H$17,0),IF(OR(G2884="S",G2884="20cm"),1,IF(OR(G2884="M",G2884="25cm"),2,IF(OR(G2884="L",G2884="30cm"),3,IF(OR(G2884="XL",G2884="35cm"),4,0))))),0)</f>
        <v>0.45</v>
      </c>
      <c r="J2884" s="103">
        <f t="shared" si="1"/>
        <v>0</v>
      </c>
      <c r="K2884" s="104" t="str">
        <f>IF(H2884&lt;0,"ERROR",IF(H2884=0,"",IF(H2884&lt;CONFIG!$B$4,"CRÍTICO",IF(H2884&lt;CONFIG!$B$5,"BAJO","OK"))))</f>
        <v/>
      </c>
    </row>
    <row r="2885" ht="15.75" customHeight="1">
      <c r="A2885" s="90" t="str">
        <f>IF(CLIENTES!A4="","",CLIENTES!A4)</f>
        <v>OverShark</v>
      </c>
      <c r="B2885" s="90" t="s">
        <v>333</v>
      </c>
      <c r="C2885" s="91" t="s">
        <v>334</v>
      </c>
      <c r="D2885" s="109" t="s">
        <v>353</v>
      </c>
      <c r="E2885" s="67" t="str">
        <f>COLORES!A4</f>
        <v>Negro</v>
      </c>
      <c r="F2885" s="67" t="str">
        <f>COLORES!B4</f>
        <v>OSCURO</v>
      </c>
      <c r="G2885" s="90" t="s">
        <v>381</v>
      </c>
      <c r="H2885" s="100">
        <f>IFERROR(SUMIFS(MOVIMIENTOS_COMPLEMENTOS!$I$4:$I$803,MOVIMIENTOS_COMPLEMENTOS!$C$4:$C$803,A2885,MOVIMIENTOS_COMPLEMENTOS!$D$4:$D$803,B2885,MOVIMIENTOS_COMPLEMENTOS!$E$4:$E$803,C2885,MOVIMIENTOS_COMPLEMENTOS!$G$4:$G$803,E2885,MOVIMIENTOS_COMPLEMENTOS!$H$4:$H$803,G2885,MOVIMIENTOS_COMPLEMENTOS!$B$4:$B$803,"INGRESO")+SUMIFS(MOVIMIENTOS_COMPLEMENTOS!$I$4:$I$803,MOVIMIENTOS_COMPLEMENTOS!$C$4:$C$803,A2885,MOVIMIENTOS_COMPLEMENTOS!$D$4:$D$803,B2885,MOVIMIENTOS_COMPLEMENTOS!$E$4:$E$803,C2885,MOVIMIENTOS_COMPLEMENTOS!$G$4:$G$803,E2885,MOVIMIENTOS_COMPLEMENTOS!$H$4:$H$803,G2885,MOVIMIENTOS_COMPLEMENTOS!$B$4:$B$803,"DE CORTE")-SUMIFS(MOVIMIENTOS_COMPLEMENTOS!$I$4:$I$803,MOVIMIENTOS_COMPLEMENTOS!$C$4:$C$803,A2885,MOVIMIENTOS_COMPLEMENTOS!$D$4:$D$803,B2885,MOVIMIENTOS_COMPLEMENTOS!$E$4:$E$803,C2885,MOVIMIENTOS_COMPLEMENTOS!$G$4:$G$803,E2885,MOVIMIENTOS_COMPLEMENTOS!$H$4:$H$803,G2885,MOVIMIENTOS_COMPLEMENTOS!$B$4:$B$803,"SALIDA"),0)</f>
        <v>0</v>
      </c>
      <c r="I2885" s="102">
        <f t="array" ref="I2885">IFERROR(INDEX(PRECIOS_COMPLEMENTOS!$C$4:$F$17,MATCH(B2885&amp;"_"&amp;C2885,PRECIOS_COMPLEMENTOS!$H$4:$H$17,0),IF(OR(G2885="S",G2885="20cm"),1,IF(OR(G2885="M",G2885="25cm"),2,IF(OR(G2885="L",G2885="30cm"),3,IF(OR(G2885="XL",G2885="35cm"),4,0))))),0)</f>
        <v>0.45</v>
      </c>
      <c r="J2885" s="103">
        <f t="shared" si="1"/>
        <v>0</v>
      </c>
      <c r="K2885" s="104" t="str">
        <f>IF(H2885&lt;0,"ERROR",IF(H2885=0,"",IF(H2885&lt;CONFIG!$B$4,"CRÍTICO",IF(H2885&lt;CONFIG!$B$5,"BAJO","OK"))))</f>
        <v/>
      </c>
    </row>
    <row r="2886" ht="15.75" customHeight="1">
      <c r="A2886" s="90" t="str">
        <f>IF(CLIENTES!A4="","",CLIENTES!A4)</f>
        <v>OverShark</v>
      </c>
      <c r="B2886" s="90" t="s">
        <v>333</v>
      </c>
      <c r="C2886" s="91" t="s">
        <v>334</v>
      </c>
      <c r="D2886" s="109" t="s">
        <v>353</v>
      </c>
      <c r="E2886" s="67" t="str">
        <f>COLORES!A4</f>
        <v>Negro</v>
      </c>
      <c r="F2886" s="67" t="str">
        <f>COLORES!B4</f>
        <v>OSCURO</v>
      </c>
      <c r="G2886" s="90" t="s">
        <v>382</v>
      </c>
      <c r="H2886" s="100">
        <f>IFERROR(SUMIFS(MOVIMIENTOS_COMPLEMENTOS!$I$4:$I$803,MOVIMIENTOS_COMPLEMENTOS!$C$4:$C$803,A2886,MOVIMIENTOS_COMPLEMENTOS!$D$4:$D$803,B2886,MOVIMIENTOS_COMPLEMENTOS!$E$4:$E$803,C2886,MOVIMIENTOS_COMPLEMENTOS!$G$4:$G$803,E2886,MOVIMIENTOS_COMPLEMENTOS!$H$4:$H$803,G2886,MOVIMIENTOS_COMPLEMENTOS!$B$4:$B$803,"INGRESO")+SUMIFS(MOVIMIENTOS_COMPLEMENTOS!$I$4:$I$803,MOVIMIENTOS_COMPLEMENTOS!$C$4:$C$803,A2886,MOVIMIENTOS_COMPLEMENTOS!$D$4:$D$803,B2886,MOVIMIENTOS_COMPLEMENTOS!$E$4:$E$803,C2886,MOVIMIENTOS_COMPLEMENTOS!$G$4:$G$803,E2886,MOVIMIENTOS_COMPLEMENTOS!$H$4:$H$803,G2886,MOVIMIENTOS_COMPLEMENTOS!$B$4:$B$803,"DE CORTE")-SUMIFS(MOVIMIENTOS_COMPLEMENTOS!$I$4:$I$803,MOVIMIENTOS_COMPLEMENTOS!$C$4:$C$803,A2886,MOVIMIENTOS_COMPLEMENTOS!$D$4:$D$803,B2886,MOVIMIENTOS_COMPLEMENTOS!$E$4:$E$803,C2886,MOVIMIENTOS_COMPLEMENTOS!$G$4:$G$803,E2886,MOVIMIENTOS_COMPLEMENTOS!$H$4:$H$803,G2886,MOVIMIENTOS_COMPLEMENTOS!$B$4:$B$803,"SALIDA"),0)</f>
        <v>0</v>
      </c>
      <c r="I2886" s="102">
        <f t="array" ref="I2886">IFERROR(INDEX(PRECIOS_COMPLEMENTOS!$C$4:$F$17,MATCH(B2886&amp;"_"&amp;C2886,PRECIOS_COMPLEMENTOS!$H$4:$H$17,0),IF(OR(G2886="S",G2886="20cm"),1,IF(OR(G2886="M",G2886="25cm"),2,IF(OR(G2886="L",G2886="30cm"),3,IF(OR(G2886="XL",G2886="35cm"),4,0))))),0)</f>
        <v>0.45</v>
      </c>
      <c r="J2886" s="103">
        <f t="shared" si="1"/>
        <v>0</v>
      </c>
      <c r="K2886" s="104" t="str">
        <f>IF(H2886&lt;0,"ERROR",IF(H2886=0,"",IF(H2886&lt;CONFIG!$B$4,"CRÍTICO",IF(H2886&lt;CONFIG!$B$5,"BAJO","OK"))))</f>
        <v/>
      </c>
    </row>
    <row r="2887" ht="15.75" customHeight="1">
      <c r="A2887" s="90" t="str">
        <f>IF(CLIENTES!A4="","",CLIENTES!A4)</f>
        <v>OverShark</v>
      </c>
      <c r="B2887" s="90" t="s">
        <v>333</v>
      </c>
      <c r="C2887" s="91" t="s">
        <v>334</v>
      </c>
      <c r="D2887" s="109" t="s">
        <v>353</v>
      </c>
      <c r="E2887" s="67" t="str">
        <f>COLORES!A5</f>
        <v>Perla</v>
      </c>
      <c r="F2887" s="67" t="str">
        <f>COLORES!B5</f>
        <v>PPT</v>
      </c>
      <c r="G2887" s="90" t="s">
        <v>380</v>
      </c>
      <c r="H2887" s="100">
        <f>IFERROR(SUMIFS(MOVIMIENTOS_COMPLEMENTOS!$I$4:$I$803,MOVIMIENTOS_COMPLEMENTOS!$C$4:$C$803,A2887,MOVIMIENTOS_COMPLEMENTOS!$D$4:$D$803,B2887,MOVIMIENTOS_COMPLEMENTOS!$E$4:$E$803,C2887,MOVIMIENTOS_COMPLEMENTOS!$G$4:$G$803,E2887,MOVIMIENTOS_COMPLEMENTOS!$H$4:$H$803,G2887,MOVIMIENTOS_COMPLEMENTOS!$B$4:$B$803,"INGRESO")+SUMIFS(MOVIMIENTOS_COMPLEMENTOS!$I$4:$I$803,MOVIMIENTOS_COMPLEMENTOS!$C$4:$C$803,A2887,MOVIMIENTOS_COMPLEMENTOS!$D$4:$D$803,B2887,MOVIMIENTOS_COMPLEMENTOS!$E$4:$E$803,C2887,MOVIMIENTOS_COMPLEMENTOS!$G$4:$G$803,E2887,MOVIMIENTOS_COMPLEMENTOS!$H$4:$H$803,G2887,MOVIMIENTOS_COMPLEMENTOS!$B$4:$B$803,"DE CORTE")-SUMIFS(MOVIMIENTOS_COMPLEMENTOS!$I$4:$I$803,MOVIMIENTOS_COMPLEMENTOS!$C$4:$C$803,A2887,MOVIMIENTOS_COMPLEMENTOS!$D$4:$D$803,B2887,MOVIMIENTOS_COMPLEMENTOS!$E$4:$E$803,C2887,MOVIMIENTOS_COMPLEMENTOS!$G$4:$G$803,E2887,MOVIMIENTOS_COMPLEMENTOS!$H$4:$H$803,G2887,MOVIMIENTOS_COMPLEMENTOS!$B$4:$B$803,"SALIDA"),0)</f>
        <v>0</v>
      </c>
      <c r="I2887" s="102">
        <f t="array" ref="I2887">IFERROR(INDEX(PRECIOS_COMPLEMENTOS!$C$4:$F$17,MATCH(B2887&amp;"_"&amp;C2887,PRECIOS_COMPLEMENTOS!$H$4:$H$17,0),IF(OR(G2887="S",G2887="20cm"),1,IF(OR(G2887="M",G2887="25cm"),2,IF(OR(G2887="L",G2887="30cm"),3,IF(OR(G2887="XL",G2887="35cm"),4,0))))),0)</f>
        <v>0.45</v>
      </c>
      <c r="J2887" s="103">
        <f t="shared" si="1"/>
        <v>0</v>
      </c>
      <c r="K2887" s="104" t="str">
        <f>IF(H2887&lt;0,"ERROR",IF(H2887=0,"",IF(H2887&lt;CONFIG!$B$4,"CRÍTICO",IF(H2887&lt;CONFIG!$B$5,"BAJO","OK"))))</f>
        <v/>
      </c>
    </row>
    <row r="2888" ht="15.75" customHeight="1">
      <c r="A2888" s="90" t="str">
        <f>IF(CLIENTES!A4="","",CLIENTES!A4)</f>
        <v>OverShark</v>
      </c>
      <c r="B2888" s="90" t="s">
        <v>333</v>
      </c>
      <c r="C2888" s="91" t="s">
        <v>334</v>
      </c>
      <c r="D2888" s="109" t="s">
        <v>353</v>
      </c>
      <c r="E2888" s="67" t="str">
        <f>COLORES!A5</f>
        <v>Perla</v>
      </c>
      <c r="F2888" s="67" t="str">
        <f>COLORES!B5</f>
        <v>PPT</v>
      </c>
      <c r="G2888" s="90" t="s">
        <v>381</v>
      </c>
      <c r="H2888" s="100">
        <f>IFERROR(SUMIFS(MOVIMIENTOS_COMPLEMENTOS!$I$4:$I$803,MOVIMIENTOS_COMPLEMENTOS!$C$4:$C$803,A2888,MOVIMIENTOS_COMPLEMENTOS!$D$4:$D$803,B2888,MOVIMIENTOS_COMPLEMENTOS!$E$4:$E$803,C2888,MOVIMIENTOS_COMPLEMENTOS!$G$4:$G$803,E2888,MOVIMIENTOS_COMPLEMENTOS!$H$4:$H$803,G2888,MOVIMIENTOS_COMPLEMENTOS!$B$4:$B$803,"INGRESO")+SUMIFS(MOVIMIENTOS_COMPLEMENTOS!$I$4:$I$803,MOVIMIENTOS_COMPLEMENTOS!$C$4:$C$803,A2888,MOVIMIENTOS_COMPLEMENTOS!$D$4:$D$803,B2888,MOVIMIENTOS_COMPLEMENTOS!$E$4:$E$803,C2888,MOVIMIENTOS_COMPLEMENTOS!$G$4:$G$803,E2888,MOVIMIENTOS_COMPLEMENTOS!$H$4:$H$803,G2888,MOVIMIENTOS_COMPLEMENTOS!$B$4:$B$803,"DE CORTE")-SUMIFS(MOVIMIENTOS_COMPLEMENTOS!$I$4:$I$803,MOVIMIENTOS_COMPLEMENTOS!$C$4:$C$803,A2888,MOVIMIENTOS_COMPLEMENTOS!$D$4:$D$803,B2888,MOVIMIENTOS_COMPLEMENTOS!$E$4:$E$803,C2888,MOVIMIENTOS_COMPLEMENTOS!$G$4:$G$803,E2888,MOVIMIENTOS_COMPLEMENTOS!$H$4:$H$803,G2888,MOVIMIENTOS_COMPLEMENTOS!$B$4:$B$803,"SALIDA"),0)</f>
        <v>0</v>
      </c>
      <c r="I2888" s="102">
        <f t="array" ref="I2888">IFERROR(INDEX(PRECIOS_COMPLEMENTOS!$C$4:$F$17,MATCH(B2888&amp;"_"&amp;C2888,PRECIOS_COMPLEMENTOS!$H$4:$H$17,0),IF(OR(G2888="S",G2888="20cm"),1,IF(OR(G2888="M",G2888="25cm"),2,IF(OR(G2888="L",G2888="30cm"),3,IF(OR(G2888="XL",G2888="35cm"),4,0))))),0)</f>
        <v>0.45</v>
      </c>
      <c r="J2888" s="103">
        <f t="shared" si="1"/>
        <v>0</v>
      </c>
      <c r="K2888" s="104" t="str">
        <f>IF(H2888&lt;0,"ERROR",IF(H2888=0,"",IF(H2888&lt;CONFIG!$B$4,"CRÍTICO",IF(H2888&lt;CONFIG!$B$5,"BAJO","OK"))))</f>
        <v/>
      </c>
    </row>
    <row r="2889" ht="15.75" customHeight="1">
      <c r="A2889" s="90" t="str">
        <f>IF(CLIENTES!A4="","",CLIENTES!A4)</f>
        <v>OverShark</v>
      </c>
      <c r="B2889" s="90" t="s">
        <v>333</v>
      </c>
      <c r="C2889" s="91" t="s">
        <v>334</v>
      </c>
      <c r="D2889" s="109" t="s">
        <v>353</v>
      </c>
      <c r="E2889" s="67" t="str">
        <f>COLORES!A5</f>
        <v>Perla</v>
      </c>
      <c r="F2889" s="67" t="str">
        <f>COLORES!B5</f>
        <v>PPT</v>
      </c>
      <c r="G2889" s="90" t="s">
        <v>382</v>
      </c>
      <c r="H2889" s="100">
        <f>IFERROR(SUMIFS(MOVIMIENTOS_COMPLEMENTOS!$I$4:$I$803,MOVIMIENTOS_COMPLEMENTOS!$C$4:$C$803,A2889,MOVIMIENTOS_COMPLEMENTOS!$D$4:$D$803,B2889,MOVIMIENTOS_COMPLEMENTOS!$E$4:$E$803,C2889,MOVIMIENTOS_COMPLEMENTOS!$G$4:$G$803,E2889,MOVIMIENTOS_COMPLEMENTOS!$H$4:$H$803,G2889,MOVIMIENTOS_COMPLEMENTOS!$B$4:$B$803,"INGRESO")+SUMIFS(MOVIMIENTOS_COMPLEMENTOS!$I$4:$I$803,MOVIMIENTOS_COMPLEMENTOS!$C$4:$C$803,A2889,MOVIMIENTOS_COMPLEMENTOS!$D$4:$D$803,B2889,MOVIMIENTOS_COMPLEMENTOS!$E$4:$E$803,C2889,MOVIMIENTOS_COMPLEMENTOS!$G$4:$G$803,E2889,MOVIMIENTOS_COMPLEMENTOS!$H$4:$H$803,G2889,MOVIMIENTOS_COMPLEMENTOS!$B$4:$B$803,"DE CORTE")-SUMIFS(MOVIMIENTOS_COMPLEMENTOS!$I$4:$I$803,MOVIMIENTOS_COMPLEMENTOS!$C$4:$C$803,A2889,MOVIMIENTOS_COMPLEMENTOS!$D$4:$D$803,B2889,MOVIMIENTOS_COMPLEMENTOS!$E$4:$E$803,C2889,MOVIMIENTOS_COMPLEMENTOS!$G$4:$G$803,E2889,MOVIMIENTOS_COMPLEMENTOS!$H$4:$H$803,G2889,MOVIMIENTOS_COMPLEMENTOS!$B$4:$B$803,"SALIDA"),0)</f>
        <v>0</v>
      </c>
      <c r="I2889" s="102">
        <f t="array" ref="I2889">IFERROR(INDEX(PRECIOS_COMPLEMENTOS!$C$4:$F$17,MATCH(B2889&amp;"_"&amp;C2889,PRECIOS_COMPLEMENTOS!$H$4:$H$17,0),IF(OR(G2889="S",G2889="20cm"),1,IF(OR(G2889="M",G2889="25cm"),2,IF(OR(G2889="L",G2889="30cm"),3,IF(OR(G2889="XL",G2889="35cm"),4,0))))),0)</f>
        <v>0.45</v>
      </c>
      <c r="J2889" s="103">
        <f t="shared" si="1"/>
        <v>0</v>
      </c>
      <c r="K2889" s="104" t="str">
        <f>IF(H2889&lt;0,"ERROR",IF(H2889=0,"",IF(H2889&lt;CONFIG!$B$4,"CRÍTICO",IF(H2889&lt;CONFIG!$B$5,"BAJO","OK"))))</f>
        <v/>
      </c>
    </row>
    <row r="2890" ht="15.75" customHeight="1">
      <c r="A2890" s="90" t="str">
        <f>IF(CLIENTES!A4="","",CLIENTES!A4)</f>
        <v>OverShark</v>
      </c>
      <c r="B2890" s="90" t="s">
        <v>333</v>
      </c>
      <c r="C2890" s="91" t="s">
        <v>334</v>
      </c>
      <c r="D2890" s="109" t="s">
        <v>353</v>
      </c>
      <c r="E2890" s="67" t="str">
        <f>COLORES!A6</f>
        <v>Blanco</v>
      </c>
      <c r="F2890" s="67" t="str">
        <f>COLORES!B6</f>
        <v>PPT</v>
      </c>
      <c r="G2890" s="90" t="s">
        <v>380</v>
      </c>
      <c r="H2890" s="100">
        <f>IFERROR(SUMIFS(MOVIMIENTOS_COMPLEMENTOS!$I$4:$I$803,MOVIMIENTOS_COMPLEMENTOS!$C$4:$C$803,A2890,MOVIMIENTOS_COMPLEMENTOS!$D$4:$D$803,B2890,MOVIMIENTOS_COMPLEMENTOS!$E$4:$E$803,C2890,MOVIMIENTOS_COMPLEMENTOS!$G$4:$G$803,E2890,MOVIMIENTOS_COMPLEMENTOS!$H$4:$H$803,G2890,MOVIMIENTOS_COMPLEMENTOS!$B$4:$B$803,"INGRESO")+SUMIFS(MOVIMIENTOS_COMPLEMENTOS!$I$4:$I$803,MOVIMIENTOS_COMPLEMENTOS!$C$4:$C$803,A2890,MOVIMIENTOS_COMPLEMENTOS!$D$4:$D$803,B2890,MOVIMIENTOS_COMPLEMENTOS!$E$4:$E$803,C2890,MOVIMIENTOS_COMPLEMENTOS!$G$4:$G$803,E2890,MOVIMIENTOS_COMPLEMENTOS!$H$4:$H$803,G2890,MOVIMIENTOS_COMPLEMENTOS!$B$4:$B$803,"DE CORTE")-SUMIFS(MOVIMIENTOS_COMPLEMENTOS!$I$4:$I$803,MOVIMIENTOS_COMPLEMENTOS!$C$4:$C$803,A2890,MOVIMIENTOS_COMPLEMENTOS!$D$4:$D$803,B2890,MOVIMIENTOS_COMPLEMENTOS!$E$4:$E$803,C2890,MOVIMIENTOS_COMPLEMENTOS!$G$4:$G$803,E2890,MOVIMIENTOS_COMPLEMENTOS!$H$4:$H$803,G2890,MOVIMIENTOS_COMPLEMENTOS!$B$4:$B$803,"SALIDA"),0)</f>
        <v>0</v>
      </c>
      <c r="I2890" s="102">
        <f t="array" ref="I2890">IFERROR(INDEX(PRECIOS_COMPLEMENTOS!$C$4:$F$17,MATCH(B2890&amp;"_"&amp;C2890,PRECIOS_COMPLEMENTOS!$H$4:$H$17,0),IF(OR(G2890="S",G2890="20cm"),1,IF(OR(G2890="M",G2890="25cm"),2,IF(OR(G2890="L",G2890="30cm"),3,IF(OR(G2890="XL",G2890="35cm"),4,0))))),0)</f>
        <v>0.45</v>
      </c>
      <c r="J2890" s="103">
        <f t="shared" si="1"/>
        <v>0</v>
      </c>
      <c r="K2890" s="104" t="str">
        <f>IF(H2890&lt;0,"ERROR",IF(H2890=0,"",IF(H2890&lt;CONFIG!$B$4,"CRÍTICO",IF(H2890&lt;CONFIG!$B$5,"BAJO","OK"))))</f>
        <v/>
      </c>
    </row>
    <row r="2891" ht="15.75" customHeight="1">
      <c r="A2891" s="90" t="str">
        <f>IF(CLIENTES!A4="","",CLIENTES!A4)</f>
        <v>OverShark</v>
      </c>
      <c r="B2891" s="90" t="s">
        <v>333</v>
      </c>
      <c r="C2891" s="91" t="s">
        <v>334</v>
      </c>
      <c r="D2891" s="109" t="s">
        <v>353</v>
      </c>
      <c r="E2891" s="67" t="str">
        <f>COLORES!A6</f>
        <v>Blanco</v>
      </c>
      <c r="F2891" s="67" t="str">
        <f>COLORES!B6</f>
        <v>PPT</v>
      </c>
      <c r="G2891" s="90" t="s">
        <v>381</v>
      </c>
      <c r="H2891" s="100">
        <f>IFERROR(SUMIFS(MOVIMIENTOS_COMPLEMENTOS!$I$4:$I$803,MOVIMIENTOS_COMPLEMENTOS!$C$4:$C$803,A2891,MOVIMIENTOS_COMPLEMENTOS!$D$4:$D$803,B2891,MOVIMIENTOS_COMPLEMENTOS!$E$4:$E$803,C2891,MOVIMIENTOS_COMPLEMENTOS!$G$4:$G$803,E2891,MOVIMIENTOS_COMPLEMENTOS!$H$4:$H$803,G2891,MOVIMIENTOS_COMPLEMENTOS!$B$4:$B$803,"INGRESO")+SUMIFS(MOVIMIENTOS_COMPLEMENTOS!$I$4:$I$803,MOVIMIENTOS_COMPLEMENTOS!$C$4:$C$803,A2891,MOVIMIENTOS_COMPLEMENTOS!$D$4:$D$803,B2891,MOVIMIENTOS_COMPLEMENTOS!$E$4:$E$803,C2891,MOVIMIENTOS_COMPLEMENTOS!$G$4:$G$803,E2891,MOVIMIENTOS_COMPLEMENTOS!$H$4:$H$803,G2891,MOVIMIENTOS_COMPLEMENTOS!$B$4:$B$803,"DE CORTE")-SUMIFS(MOVIMIENTOS_COMPLEMENTOS!$I$4:$I$803,MOVIMIENTOS_COMPLEMENTOS!$C$4:$C$803,A2891,MOVIMIENTOS_COMPLEMENTOS!$D$4:$D$803,B2891,MOVIMIENTOS_COMPLEMENTOS!$E$4:$E$803,C2891,MOVIMIENTOS_COMPLEMENTOS!$G$4:$G$803,E2891,MOVIMIENTOS_COMPLEMENTOS!$H$4:$H$803,G2891,MOVIMIENTOS_COMPLEMENTOS!$B$4:$B$803,"SALIDA"),0)</f>
        <v>0</v>
      </c>
      <c r="I2891" s="102">
        <f t="array" ref="I2891">IFERROR(INDEX(PRECIOS_COMPLEMENTOS!$C$4:$F$17,MATCH(B2891&amp;"_"&amp;C2891,PRECIOS_COMPLEMENTOS!$H$4:$H$17,0),IF(OR(G2891="S",G2891="20cm"),1,IF(OR(G2891="M",G2891="25cm"),2,IF(OR(G2891="L",G2891="30cm"),3,IF(OR(G2891="XL",G2891="35cm"),4,0))))),0)</f>
        <v>0.45</v>
      </c>
      <c r="J2891" s="103">
        <f t="shared" si="1"/>
        <v>0</v>
      </c>
      <c r="K2891" s="104" t="str">
        <f>IF(H2891&lt;0,"ERROR",IF(H2891=0,"",IF(H2891&lt;CONFIG!$B$4,"CRÍTICO",IF(H2891&lt;CONFIG!$B$5,"BAJO","OK"))))</f>
        <v/>
      </c>
    </row>
    <row r="2892" ht="15.75" customHeight="1">
      <c r="A2892" s="90" t="str">
        <f>IF(CLIENTES!A4="","",CLIENTES!A4)</f>
        <v>OverShark</v>
      </c>
      <c r="B2892" s="90" t="s">
        <v>333</v>
      </c>
      <c r="C2892" s="91" t="s">
        <v>334</v>
      </c>
      <c r="D2892" s="109" t="s">
        <v>353</v>
      </c>
      <c r="E2892" s="67" t="str">
        <f>COLORES!A6</f>
        <v>Blanco</v>
      </c>
      <c r="F2892" s="67" t="str">
        <f>COLORES!B6</f>
        <v>PPT</v>
      </c>
      <c r="G2892" s="90" t="s">
        <v>382</v>
      </c>
      <c r="H2892" s="100">
        <f>IFERROR(SUMIFS(MOVIMIENTOS_COMPLEMENTOS!$I$4:$I$803,MOVIMIENTOS_COMPLEMENTOS!$C$4:$C$803,A2892,MOVIMIENTOS_COMPLEMENTOS!$D$4:$D$803,B2892,MOVIMIENTOS_COMPLEMENTOS!$E$4:$E$803,C2892,MOVIMIENTOS_COMPLEMENTOS!$G$4:$G$803,E2892,MOVIMIENTOS_COMPLEMENTOS!$H$4:$H$803,G2892,MOVIMIENTOS_COMPLEMENTOS!$B$4:$B$803,"INGRESO")+SUMIFS(MOVIMIENTOS_COMPLEMENTOS!$I$4:$I$803,MOVIMIENTOS_COMPLEMENTOS!$C$4:$C$803,A2892,MOVIMIENTOS_COMPLEMENTOS!$D$4:$D$803,B2892,MOVIMIENTOS_COMPLEMENTOS!$E$4:$E$803,C2892,MOVIMIENTOS_COMPLEMENTOS!$G$4:$G$803,E2892,MOVIMIENTOS_COMPLEMENTOS!$H$4:$H$803,G2892,MOVIMIENTOS_COMPLEMENTOS!$B$4:$B$803,"DE CORTE")-SUMIFS(MOVIMIENTOS_COMPLEMENTOS!$I$4:$I$803,MOVIMIENTOS_COMPLEMENTOS!$C$4:$C$803,A2892,MOVIMIENTOS_COMPLEMENTOS!$D$4:$D$803,B2892,MOVIMIENTOS_COMPLEMENTOS!$E$4:$E$803,C2892,MOVIMIENTOS_COMPLEMENTOS!$G$4:$G$803,E2892,MOVIMIENTOS_COMPLEMENTOS!$H$4:$H$803,G2892,MOVIMIENTOS_COMPLEMENTOS!$B$4:$B$803,"SALIDA"),0)</f>
        <v>0</v>
      </c>
      <c r="I2892" s="102">
        <f t="array" ref="I2892">IFERROR(INDEX(PRECIOS_COMPLEMENTOS!$C$4:$F$17,MATCH(B2892&amp;"_"&amp;C2892,PRECIOS_COMPLEMENTOS!$H$4:$H$17,0),IF(OR(G2892="S",G2892="20cm"),1,IF(OR(G2892="M",G2892="25cm"),2,IF(OR(G2892="L",G2892="30cm"),3,IF(OR(G2892="XL",G2892="35cm"),4,0))))),0)</f>
        <v>0.45</v>
      </c>
      <c r="J2892" s="103">
        <f t="shared" si="1"/>
        <v>0</v>
      </c>
      <c r="K2892" s="104" t="str">
        <f>IF(H2892&lt;0,"ERROR",IF(H2892=0,"",IF(H2892&lt;CONFIG!$B$4,"CRÍTICO",IF(H2892&lt;CONFIG!$B$5,"BAJO","OK"))))</f>
        <v/>
      </c>
    </row>
    <row r="2893" ht="15.75" customHeight="1">
      <c r="A2893" s="90" t="str">
        <f>IF(CLIENTES!A4="","",CLIENTES!A4)</f>
        <v>OverShark</v>
      </c>
      <c r="B2893" s="90" t="s">
        <v>333</v>
      </c>
      <c r="C2893" s="91" t="s">
        <v>334</v>
      </c>
      <c r="D2893" s="109" t="s">
        <v>353</v>
      </c>
      <c r="E2893" s="67" t="str">
        <f>COLORES!A7</f>
        <v>Azul</v>
      </c>
      <c r="F2893" s="67" t="str">
        <f>COLORES!B7</f>
        <v>OSCURO</v>
      </c>
      <c r="G2893" s="90" t="s">
        <v>380</v>
      </c>
      <c r="H2893" s="100">
        <f>IFERROR(SUMIFS(MOVIMIENTOS_COMPLEMENTOS!$I$4:$I$803,MOVIMIENTOS_COMPLEMENTOS!$C$4:$C$803,A2893,MOVIMIENTOS_COMPLEMENTOS!$D$4:$D$803,B2893,MOVIMIENTOS_COMPLEMENTOS!$E$4:$E$803,C2893,MOVIMIENTOS_COMPLEMENTOS!$G$4:$G$803,E2893,MOVIMIENTOS_COMPLEMENTOS!$H$4:$H$803,G2893,MOVIMIENTOS_COMPLEMENTOS!$B$4:$B$803,"INGRESO")+SUMIFS(MOVIMIENTOS_COMPLEMENTOS!$I$4:$I$803,MOVIMIENTOS_COMPLEMENTOS!$C$4:$C$803,A2893,MOVIMIENTOS_COMPLEMENTOS!$D$4:$D$803,B2893,MOVIMIENTOS_COMPLEMENTOS!$E$4:$E$803,C2893,MOVIMIENTOS_COMPLEMENTOS!$G$4:$G$803,E2893,MOVIMIENTOS_COMPLEMENTOS!$H$4:$H$803,G2893,MOVIMIENTOS_COMPLEMENTOS!$B$4:$B$803,"DE CORTE")-SUMIFS(MOVIMIENTOS_COMPLEMENTOS!$I$4:$I$803,MOVIMIENTOS_COMPLEMENTOS!$C$4:$C$803,A2893,MOVIMIENTOS_COMPLEMENTOS!$D$4:$D$803,B2893,MOVIMIENTOS_COMPLEMENTOS!$E$4:$E$803,C2893,MOVIMIENTOS_COMPLEMENTOS!$G$4:$G$803,E2893,MOVIMIENTOS_COMPLEMENTOS!$H$4:$H$803,G2893,MOVIMIENTOS_COMPLEMENTOS!$B$4:$B$803,"SALIDA"),0)</f>
        <v>0</v>
      </c>
      <c r="I2893" s="102">
        <f t="array" ref="I2893">IFERROR(INDEX(PRECIOS_COMPLEMENTOS!$C$4:$F$17,MATCH(B2893&amp;"_"&amp;C2893,PRECIOS_COMPLEMENTOS!$H$4:$H$17,0),IF(OR(G2893="S",G2893="20cm"),1,IF(OR(G2893="M",G2893="25cm"),2,IF(OR(G2893="L",G2893="30cm"),3,IF(OR(G2893="XL",G2893="35cm"),4,0))))),0)</f>
        <v>0.45</v>
      </c>
      <c r="J2893" s="103">
        <f t="shared" si="1"/>
        <v>0</v>
      </c>
      <c r="K2893" s="104" t="str">
        <f>IF(H2893&lt;0,"ERROR",IF(H2893=0,"",IF(H2893&lt;CONFIG!$B$4,"CRÍTICO",IF(H2893&lt;CONFIG!$B$5,"BAJO","OK"))))</f>
        <v/>
      </c>
    </row>
    <row r="2894" ht="15.75" customHeight="1">
      <c r="A2894" s="90" t="str">
        <f>IF(CLIENTES!A4="","",CLIENTES!A4)</f>
        <v>OverShark</v>
      </c>
      <c r="B2894" s="90" t="s">
        <v>333</v>
      </c>
      <c r="C2894" s="91" t="s">
        <v>334</v>
      </c>
      <c r="D2894" s="109" t="s">
        <v>353</v>
      </c>
      <c r="E2894" s="67" t="str">
        <f>COLORES!A7</f>
        <v>Azul</v>
      </c>
      <c r="F2894" s="67" t="str">
        <f>COLORES!B7</f>
        <v>OSCURO</v>
      </c>
      <c r="G2894" s="90" t="s">
        <v>381</v>
      </c>
      <c r="H2894" s="100">
        <f>IFERROR(SUMIFS(MOVIMIENTOS_COMPLEMENTOS!$I$4:$I$803,MOVIMIENTOS_COMPLEMENTOS!$C$4:$C$803,A2894,MOVIMIENTOS_COMPLEMENTOS!$D$4:$D$803,B2894,MOVIMIENTOS_COMPLEMENTOS!$E$4:$E$803,C2894,MOVIMIENTOS_COMPLEMENTOS!$G$4:$G$803,E2894,MOVIMIENTOS_COMPLEMENTOS!$H$4:$H$803,G2894,MOVIMIENTOS_COMPLEMENTOS!$B$4:$B$803,"INGRESO")+SUMIFS(MOVIMIENTOS_COMPLEMENTOS!$I$4:$I$803,MOVIMIENTOS_COMPLEMENTOS!$C$4:$C$803,A2894,MOVIMIENTOS_COMPLEMENTOS!$D$4:$D$803,B2894,MOVIMIENTOS_COMPLEMENTOS!$E$4:$E$803,C2894,MOVIMIENTOS_COMPLEMENTOS!$G$4:$G$803,E2894,MOVIMIENTOS_COMPLEMENTOS!$H$4:$H$803,G2894,MOVIMIENTOS_COMPLEMENTOS!$B$4:$B$803,"DE CORTE")-SUMIFS(MOVIMIENTOS_COMPLEMENTOS!$I$4:$I$803,MOVIMIENTOS_COMPLEMENTOS!$C$4:$C$803,A2894,MOVIMIENTOS_COMPLEMENTOS!$D$4:$D$803,B2894,MOVIMIENTOS_COMPLEMENTOS!$E$4:$E$803,C2894,MOVIMIENTOS_COMPLEMENTOS!$G$4:$G$803,E2894,MOVIMIENTOS_COMPLEMENTOS!$H$4:$H$803,G2894,MOVIMIENTOS_COMPLEMENTOS!$B$4:$B$803,"SALIDA"),0)</f>
        <v>0</v>
      </c>
      <c r="I2894" s="102">
        <f t="array" ref="I2894">IFERROR(INDEX(PRECIOS_COMPLEMENTOS!$C$4:$F$17,MATCH(B2894&amp;"_"&amp;C2894,PRECIOS_COMPLEMENTOS!$H$4:$H$17,0),IF(OR(G2894="S",G2894="20cm"),1,IF(OR(G2894="M",G2894="25cm"),2,IF(OR(G2894="L",G2894="30cm"),3,IF(OR(G2894="XL",G2894="35cm"),4,0))))),0)</f>
        <v>0.45</v>
      </c>
      <c r="J2894" s="103">
        <f t="shared" si="1"/>
        <v>0</v>
      </c>
      <c r="K2894" s="104" t="str">
        <f>IF(H2894&lt;0,"ERROR",IF(H2894=0,"",IF(H2894&lt;CONFIG!$B$4,"CRÍTICO",IF(H2894&lt;CONFIG!$B$5,"BAJO","OK"))))</f>
        <v/>
      </c>
    </row>
    <row r="2895" ht="15.75" customHeight="1">
      <c r="A2895" s="90" t="str">
        <f>IF(CLIENTES!A4="","",CLIENTES!A4)</f>
        <v>OverShark</v>
      </c>
      <c r="B2895" s="90" t="s">
        <v>333</v>
      </c>
      <c r="C2895" s="91" t="s">
        <v>334</v>
      </c>
      <c r="D2895" s="109" t="s">
        <v>353</v>
      </c>
      <c r="E2895" s="67" t="str">
        <f>COLORES!A7</f>
        <v>Azul</v>
      </c>
      <c r="F2895" s="67" t="str">
        <f>COLORES!B7</f>
        <v>OSCURO</v>
      </c>
      <c r="G2895" s="90" t="s">
        <v>382</v>
      </c>
      <c r="H2895" s="100">
        <f>IFERROR(SUMIFS(MOVIMIENTOS_COMPLEMENTOS!$I$4:$I$803,MOVIMIENTOS_COMPLEMENTOS!$C$4:$C$803,A2895,MOVIMIENTOS_COMPLEMENTOS!$D$4:$D$803,B2895,MOVIMIENTOS_COMPLEMENTOS!$E$4:$E$803,C2895,MOVIMIENTOS_COMPLEMENTOS!$G$4:$G$803,E2895,MOVIMIENTOS_COMPLEMENTOS!$H$4:$H$803,G2895,MOVIMIENTOS_COMPLEMENTOS!$B$4:$B$803,"INGRESO")+SUMIFS(MOVIMIENTOS_COMPLEMENTOS!$I$4:$I$803,MOVIMIENTOS_COMPLEMENTOS!$C$4:$C$803,A2895,MOVIMIENTOS_COMPLEMENTOS!$D$4:$D$803,B2895,MOVIMIENTOS_COMPLEMENTOS!$E$4:$E$803,C2895,MOVIMIENTOS_COMPLEMENTOS!$G$4:$G$803,E2895,MOVIMIENTOS_COMPLEMENTOS!$H$4:$H$803,G2895,MOVIMIENTOS_COMPLEMENTOS!$B$4:$B$803,"DE CORTE")-SUMIFS(MOVIMIENTOS_COMPLEMENTOS!$I$4:$I$803,MOVIMIENTOS_COMPLEMENTOS!$C$4:$C$803,A2895,MOVIMIENTOS_COMPLEMENTOS!$D$4:$D$803,B2895,MOVIMIENTOS_COMPLEMENTOS!$E$4:$E$803,C2895,MOVIMIENTOS_COMPLEMENTOS!$G$4:$G$803,E2895,MOVIMIENTOS_COMPLEMENTOS!$H$4:$H$803,G2895,MOVIMIENTOS_COMPLEMENTOS!$B$4:$B$803,"SALIDA"),0)</f>
        <v>0</v>
      </c>
      <c r="I2895" s="102">
        <f t="array" ref="I2895">IFERROR(INDEX(PRECIOS_COMPLEMENTOS!$C$4:$F$17,MATCH(B2895&amp;"_"&amp;C2895,PRECIOS_COMPLEMENTOS!$H$4:$H$17,0),IF(OR(G2895="S",G2895="20cm"),1,IF(OR(G2895="M",G2895="25cm"),2,IF(OR(G2895="L",G2895="30cm"),3,IF(OR(G2895="XL",G2895="35cm"),4,0))))),0)</f>
        <v>0.45</v>
      </c>
      <c r="J2895" s="103">
        <f t="shared" si="1"/>
        <v>0</v>
      </c>
      <c r="K2895" s="104" t="str">
        <f>IF(H2895&lt;0,"ERROR",IF(H2895=0,"",IF(H2895&lt;CONFIG!$B$4,"CRÍTICO",IF(H2895&lt;CONFIG!$B$5,"BAJO","OK"))))</f>
        <v/>
      </c>
    </row>
    <row r="2896" ht="15.75" customHeight="1">
      <c r="A2896" s="90" t="str">
        <f>IF(CLIENTES!A4="","",CLIENTES!A4)</f>
        <v>OverShark</v>
      </c>
      <c r="B2896" s="90" t="s">
        <v>333</v>
      </c>
      <c r="C2896" s="91" t="s">
        <v>334</v>
      </c>
      <c r="D2896" s="109" t="s">
        <v>353</v>
      </c>
      <c r="E2896" s="67" t="str">
        <f>COLORES!A8</f>
        <v>Beige</v>
      </c>
      <c r="F2896" s="67" t="str">
        <f>COLORES!B8</f>
        <v>CLARO</v>
      </c>
      <c r="G2896" s="90" t="s">
        <v>380</v>
      </c>
      <c r="H2896" s="100">
        <f>IFERROR(SUMIFS(MOVIMIENTOS_COMPLEMENTOS!$I$4:$I$803,MOVIMIENTOS_COMPLEMENTOS!$C$4:$C$803,A2896,MOVIMIENTOS_COMPLEMENTOS!$D$4:$D$803,B2896,MOVIMIENTOS_COMPLEMENTOS!$E$4:$E$803,C2896,MOVIMIENTOS_COMPLEMENTOS!$G$4:$G$803,E2896,MOVIMIENTOS_COMPLEMENTOS!$H$4:$H$803,G2896,MOVIMIENTOS_COMPLEMENTOS!$B$4:$B$803,"INGRESO")+SUMIFS(MOVIMIENTOS_COMPLEMENTOS!$I$4:$I$803,MOVIMIENTOS_COMPLEMENTOS!$C$4:$C$803,A2896,MOVIMIENTOS_COMPLEMENTOS!$D$4:$D$803,B2896,MOVIMIENTOS_COMPLEMENTOS!$E$4:$E$803,C2896,MOVIMIENTOS_COMPLEMENTOS!$G$4:$G$803,E2896,MOVIMIENTOS_COMPLEMENTOS!$H$4:$H$803,G2896,MOVIMIENTOS_COMPLEMENTOS!$B$4:$B$803,"DE CORTE")-SUMIFS(MOVIMIENTOS_COMPLEMENTOS!$I$4:$I$803,MOVIMIENTOS_COMPLEMENTOS!$C$4:$C$803,A2896,MOVIMIENTOS_COMPLEMENTOS!$D$4:$D$803,B2896,MOVIMIENTOS_COMPLEMENTOS!$E$4:$E$803,C2896,MOVIMIENTOS_COMPLEMENTOS!$G$4:$G$803,E2896,MOVIMIENTOS_COMPLEMENTOS!$H$4:$H$803,G2896,MOVIMIENTOS_COMPLEMENTOS!$B$4:$B$803,"SALIDA"),0)</f>
        <v>0</v>
      </c>
      <c r="I2896" s="102">
        <f t="array" ref="I2896">IFERROR(INDEX(PRECIOS_COMPLEMENTOS!$C$4:$F$17,MATCH(B2896&amp;"_"&amp;C2896,PRECIOS_COMPLEMENTOS!$H$4:$H$17,0),IF(OR(G2896="S",G2896="20cm"),1,IF(OR(G2896="M",G2896="25cm"),2,IF(OR(G2896="L",G2896="30cm"),3,IF(OR(G2896="XL",G2896="35cm"),4,0))))),0)</f>
        <v>0.45</v>
      </c>
      <c r="J2896" s="103">
        <f t="shared" si="1"/>
        <v>0</v>
      </c>
      <c r="K2896" s="104" t="str">
        <f>IF(H2896&lt;0,"ERROR",IF(H2896=0,"",IF(H2896&lt;CONFIG!$B$4,"CRÍTICO",IF(H2896&lt;CONFIG!$B$5,"BAJO","OK"))))</f>
        <v/>
      </c>
    </row>
    <row r="2897" ht="15.75" customHeight="1">
      <c r="A2897" s="90" t="str">
        <f>IF(CLIENTES!A4="","",CLIENTES!A4)</f>
        <v>OverShark</v>
      </c>
      <c r="B2897" s="90" t="s">
        <v>333</v>
      </c>
      <c r="C2897" s="91" t="s">
        <v>334</v>
      </c>
      <c r="D2897" s="109" t="s">
        <v>353</v>
      </c>
      <c r="E2897" s="67" t="str">
        <f>COLORES!A8</f>
        <v>Beige</v>
      </c>
      <c r="F2897" s="67" t="str">
        <f>COLORES!B8</f>
        <v>CLARO</v>
      </c>
      <c r="G2897" s="90" t="s">
        <v>381</v>
      </c>
      <c r="H2897" s="100">
        <f>IFERROR(SUMIFS(MOVIMIENTOS_COMPLEMENTOS!$I$4:$I$803,MOVIMIENTOS_COMPLEMENTOS!$C$4:$C$803,A2897,MOVIMIENTOS_COMPLEMENTOS!$D$4:$D$803,B2897,MOVIMIENTOS_COMPLEMENTOS!$E$4:$E$803,C2897,MOVIMIENTOS_COMPLEMENTOS!$G$4:$G$803,E2897,MOVIMIENTOS_COMPLEMENTOS!$H$4:$H$803,G2897,MOVIMIENTOS_COMPLEMENTOS!$B$4:$B$803,"INGRESO")+SUMIFS(MOVIMIENTOS_COMPLEMENTOS!$I$4:$I$803,MOVIMIENTOS_COMPLEMENTOS!$C$4:$C$803,A2897,MOVIMIENTOS_COMPLEMENTOS!$D$4:$D$803,B2897,MOVIMIENTOS_COMPLEMENTOS!$E$4:$E$803,C2897,MOVIMIENTOS_COMPLEMENTOS!$G$4:$G$803,E2897,MOVIMIENTOS_COMPLEMENTOS!$H$4:$H$803,G2897,MOVIMIENTOS_COMPLEMENTOS!$B$4:$B$803,"DE CORTE")-SUMIFS(MOVIMIENTOS_COMPLEMENTOS!$I$4:$I$803,MOVIMIENTOS_COMPLEMENTOS!$C$4:$C$803,A2897,MOVIMIENTOS_COMPLEMENTOS!$D$4:$D$803,B2897,MOVIMIENTOS_COMPLEMENTOS!$E$4:$E$803,C2897,MOVIMIENTOS_COMPLEMENTOS!$G$4:$G$803,E2897,MOVIMIENTOS_COMPLEMENTOS!$H$4:$H$803,G2897,MOVIMIENTOS_COMPLEMENTOS!$B$4:$B$803,"SALIDA"),0)</f>
        <v>0</v>
      </c>
      <c r="I2897" s="102">
        <f t="array" ref="I2897">IFERROR(INDEX(PRECIOS_COMPLEMENTOS!$C$4:$F$17,MATCH(B2897&amp;"_"&amp;C2897,PRECIOS_COMPLEMENTOS!$H$4:$H$17,0),IF(OR(G2897="S",G2897="20cm"),1,IF(OR(G2897="M",G2897="25cm"),2,IF(OR(G2897="L",G2897="30cm"),3,IF(OR(G2897="XL",G2897="35cm"),4,0))))),0)</f>
        <v>0.45</v>
      </c>
      <c r="J2897" s="103">
        <f t="shared" si="1"/>
        <v>0</v>
      </c>
      <c r="K2897" s="104" t="str">
        <f>IF(H2897&lt;0,"ERROR",IF(H2897=0,"",IF(H2897&lt;CONFIG!$B$4,"CRÍTICO",IF(H2897&lt;CONFIG!$B$5,"BAJO","OK"))))</f>
        <v/>
      </c>
    </row>
    <row r="2898" ht="15.75" customHeight="1">
      <c r="A2898" s="90" t="str">
        <f>IF(CLIENTES!A4="","",CLIENTES!A4)</f>
        <v>OverShark</v>
      </c>
      <c r="B2898" s="90" t="s">
        <v>333</v>
      </c>
      <c r="C2898" s="91" t="s">
        <v>334</v>
      </c>
      <c r="D2898" s="109" t="s">
        <v>353</v>
      </c>
      <c r="E2898" s="67" t="str">
        <f>COLORES!A8</f>
        <v>Beige</v>
      </c>
      <c r="F2898" s="67" t="str">
        <f>COLORES!B8</f>
        <v>CLARO</v>
      </c>
      <c r="G2898" s="90" t="s">
        <v>382</v>
      </c>
      <c r="H2898" s="100">
        <f>IFERROR(SUMIFS(MOVIMIENTOS_COMPLEMENTOS!$I$4:$I$803,MOVIMIENTOS_COMPLEMENTOS!$C$4:$C$803,A2898,MOVIMIENTOS_COMPLEMENTOS!$D$4:$D$803,B2898,MOVIMIENTOS_COMPLEMENTOS!$E$4:$E$803,C2898,MOVIMIENTOS_COMPLEMENTOS!$G$4:$G$803,E2898,MOVIMIENTOS_COMPLEMENTOS!$H$4:$H$803,G2898,MOVIMIENTOS_COMPLEMENTOS!$B$4:$B$803,"INGRESO")+SUMIFS(MOVIMIENTOS_COMPLEMENTOS!$I$4:$I$803,MOVIMIENTOS_COMPLEMENTOS!$C$4:$C$803,A2898,MOVIMIENTOS_COMPLEMENTOS!$D$4:$D$803,B2898,MOVIMIENTOS_COMPLEMENTOS!$E$4:$E$803,C2898,MOVIMIENTOS_COMPLEMENTOS!$G$4:$G$803,E2898,MOVIMIENTOS_COMPLEMENTOS!$H$4:$H$803,G2898,MOVIMIENTOS_COMPLEMENTOS!$B$4:$B$803,"DE CORTE")-SUMIFS(MOVIMIENTOS_COMPLEMENTOS!$I$4:$I$803,MOVIMIENTOS_COMPLEMENTOS!$C$4:$C$803,A2898,MOVIMIENTOS_COMPLEMENTOS!$D$4:$D$803,B2898,MOVIMIENTOS_COMPLEMENTOS!$E$4:$E$803,C2898,MOVIMIENTOS_COMPLEMENTOS!$G$4:$G$803,E2898,MOVIMIENTOS_COMPLEMENTOS!$H$4:$H$803,G2898,MOVIMIENTOS_COMPLEMENTOS!$B$4:$B$803,"SALIDA"),0)</f>
        <v>0</v>
      </c>
      <c r="I2898" s="102">
        <f t="array" ref="I2898">IFERROR(INDEX(PRECIOS_COMPLEMENTOS!$C$4:$F$17,MATCH(B2898&amp;"_"&amp;C2898,PRECIOS_COMPLEMENTOS!$H$4:$H$17,0),IF(OR(G2898="S",G2898="20cm"),1,IF(OR(G2898="M",G2898="25cm"),2,IF(OR(G2898="L",G2898="30cm"),3,IF(OR(G2898="XL",G2898="35cm"),4,0))))),0)</f>
        <v>0.45</v>
      </c>
      <c r="J2898" s="103">
        <f t="shared" si="1"/>
        <v>0</v>
      </c>
      <c r="K2898" s="104" t="str">
        <f>IF(H2898&lt;0,"ERROR",IF(H2898=0,"",IF(H2898&lt;CONFIG!$B$4,"CRÍTICO",IF(H2898&lt;CONFIG!$B$5,"BAJO","OK"))))</f>
        <v/>
      </c>
    </row>
    <row r="2899" ht="15.75" customHeight="1">
      <c r="A2899" s="90" t="str">
        <f>IF(CLIENTES!A4="","",CLIENTES!A4)</f>
        <v>OverShark</v>
      </c>
      <c r="B2899" s="90" t="s">
        <v>333</v>
      </c>
      <c r="C2899" s="91" t="s">
        <v>334</v>
      </c>
      <c r="D2899" s="109" t="s">
        <v>353</v>
      </c>
      <c r="E2899" s="67" t="str">
        <f>COLORES!A9</f>
        <v>Melange</v>
      </c>
      <c r="F2899" s="67" t="str">
        <f>COLORES!B9</f>
        <v>MELANGE</v>
      </c>
      <c r="G2899" s="90" t="s">
        <v>380</v>
      </c>
      <c r="H2899" s="100">
        <f>IFERROR(SUMIFS(MOVIMIENTOS_COMPLEMENTOS!$I$4:$I$803,MOVIMIENTOS_COMPLEMENTOS!$C$4:$C$803,A2899,MOVIMIENTOS_COMPLEMENTOS!$D$4:$D$803,B2899,MOVIMIENTOS_COMPLEMENTOS!$E$4:$E$803,C2899,MOVIMIENTOS_COMPLEMENTOS!$G$4:$G$803,E2899,MOVIMIENTOS_COMPLEMENTOS!$H$4:$H$803,G2899,MOVIMIENTOS_COMPLEMENTOS!$B$4:$B$803,"INGRESO")+SUMIFS(MOVIMIENTOS_COMPLEMENTOS!$I$4:$I$803,MOVIMIENTOS_COMPLEMENTOS!$C$4:$C$803,A2899,MOVIMIENTOS_COMPLEMENTOS!$D$4:$D$803,B2899,MOVIMIENTOS_COMPLEMENTOS!$E$4:$E$803,C2899,MOVIMIENTOS_COMPLEMENTOS!$G$4:$G$803,E2899,MOVIMIENTOS_COMPLEMENTOS!$H$4:$H$803,G2899,MOVIMIENTOS_COMPLEMENTOS!$B$4:$B$803,"DE CORTE")-SUMIFS(MOVIMIENTOS_COMPLEMENTOS!$I$4:$I$803,MOVIMIENTOS_COMPLEMENTOS!$C$4:$C$803,A2899,MOVIMIENTOS_COMPLEMENTOS!$D$4:$D$803,B2899,MOVIMIENTOS_COMPLEMENTOS!$E$4:$E$803,C2899,MOVIMIENTOS_COMPLEMENTOS!$G$4:$G$803,E2899,MOVIMIENTOS_COMPLEMENTOS!$H$4:$H$803,G2899,MOVIMIENTOS_COMPLEMENTOS!$B$4:$B$803,"SALIDA"),0)</f>
        <v>0</v>
      </c>
      <c r="I2899" s="102">
        <f t="array" ref="I2899">IFERROR(INDEX(PRECIOS_COMPLEMENTOS!$C$4:$F$17,MATCH(B2899&amp;"_"&amp;C2899,PRECIOS_COMPLEMENTOS!$H$4:$H$17,0),IF(OR(G2899="S",G2899="20cm"),1,IF(OR(G2899="M",G2899="25cm"),2,IF(OR(G2899="L",G2899="30cm"),3,IF(OR(G2899="XL",G2899="35cm"),4,0))))),0)</f>
        <v>0.45</v>
      </c>
      <c r="J2899" s="103">
        <f t="shared" si="1"/>
        <v>0</v>
      </c>
      <c r="K2899" s="104" t="str">
        <f>IF(H2899&lt;0,"ERROR",IF(H2899=0,"",IF(H2899&lt;CONFIG!$B$4,"CRÍTICO",IF(H2899&lt;CONFIG!$B$5,"BAJO","OK"))))</f>
        <v/>
      </c>
    </row>
    <row r="2900" ht="15.75" customHeight="1">
      <c r="A2900" s="90" t="str">
        <f>IF(CLIENTES!A4="","",CLIENTES!A4)</f>
        <v>OverShark</v>
      </c>
      <c r="B2900" s="90" t="s">
        <v>333</v>
      </c>
      <c r="C2900" s="91" t="s">
        <v>334</v>
      </c>
      <c r="D2900" s="109" t="s">
        <v>353</v>
      </c>
      <c r="E2900" s="67" t="str">
        <f>COLORES!A9</f>
        <v>Melange</v>
      </c>
      <c r="F2900" s="67" t="str">
        <f>COLORES!B9</f>
        <v>MELANGE</v>
      </c>
      <c r="G2900" s="90" t="s">
        <v>381</v>
      </c>
      <c r="H2900" s="100">
        <f>IFERROR(SUMIFS(MOVIMIENTOS_COMPLEMENTOS!$I$4:$I$803,MOVIMIENTOS_COMPLEMENTOS!$C$4:$C$803,A2900,MOVIMIENTOS_COMPLEMENTOS!$D$4:$D$803,B2900,MOVIMIENTOS_COMPLEMENTOS!$E$4:$E$803,C2900,MOVIMIENTOS_COMPLEMENTOS!$G$4:$G$803,E2900,MOVIMIENTOS_COMPLEMENTOS!$H$4:$H$803,G2900,MOVIMIENTOS_COMPLEMENTOS!$B$4:$B$803,"INGRESO")+SUMIFS(MOVIMIENTOS_COMPLEMENTOS!$I$4:$I$803,MOVIMIENTOS_COMPLEMENTOS!$C$4:$C$803,A2900,MOVIMIENTOS_COMPLEMENTOS!$D$4:$D$803,B2900,MOVIMIENTOS_COMPLEMENTOS!$E$4:$E$803,C2900,MOVIMIENTOS_COMPLEMENTOS!$G$4:$G$803,E2900,MOVIMIENTOS_COMPLEMENTOS!$H$4:$H$803,G2900,MOVIMIENTOS_COMPLEMENTOS!$B$4:$B$803,"DE CORTE")-SUMIFS(MOVIMIENTOS_COMPLEMENTOS!$I$4:$I$803,MOVIMIENTOS_COMPLEMENTOS!$C$4:$C$803,A2900,MOVIMIENTOS_COMPLEMENTOS!$D$4:$D$803,B2900,MOVIMIENTOS_COMPLEMENTOS!$E$4:$E$803,C2900,MOVIMIENTOS_COMPLEMENTOS!$G$4:$G$803,E2900,MOVIMIENTOS_COMPLEMENTOS!$H$4:$H$803,G2900,MOVIMIENTOS_COMPLEMENTOS!$B$4:$B$803,"SALIDA"),0)</f>
        <v>0</v>
      </c>
      <c r="I2900" s="102">
        <f t="array" ref="I2900">IFERROR(INDEX(PRECIOS_COMPLEMENTOS!$C$4:$F$17,MATCH(B2900&amp;"_"&amp;C2900,PRECIOS_COMPLEMENTOS!$H$4:$H$17,0),IF(OR(G2900="S",G2900="20cm"),1,IF(OR(G2900="M",G2900="25cm"),2,IF(OR(G2900="L",G2900="30cm"),3,IF(OR(G2900="XL",G2900="35cm"),4,0))))),0)</f>
        <v>0.45</v>
      </c>
      <c r="J2900" s="103">
        <f t="shared" si="1"/>
        <v>0</v>
      </c>
      <c r="K2900" s="104" t="str">
        <f>IF(H2900&lt;0,"ERROR",IF(H2900=0,"",IF(H2900&lt;CONFIG!$B$4,"CRÍTICO",IF(H2900&lt;CONFIG!$B$5,"BAJO","OK"))))</f>
        <v/>
      </c>
    </row>
    <row r="2901" ht="15.75" customHeight="1">
      <c r="A2901" s="90" t="str">
        <f>IF(CLIENTES!A4="","",CLIENTES!A4)</f>
        <v>OverShark</v>
      </c>
      <c r="B2901" s="90" t="s">
        <v>333</v>
      </c>
      <c r="C2901" s="91" t="s">
        <v>334</v>
      </c>
      <c r="D2901" s="109" t="s">
        <v>353</v>
      </c>
      <c r="E2901" s="67" t="str">
        <f>COLORES!A9</f>
        <v>Melange</v>
      </c>
      <c r="F2901" s="67" t="str">
        <f>COLORES!B9</f>
        <v>MELANGE</v>
      </c>
      <c r="G2901" s="90" t="s">
        <v>382</v>
      </c>
      <c r="H2901" s="100">
        <f>IFERROR(SUMIFS(MOVIMIENTOS_COMPLEMENTOS!$I$4:$I$803,MOVIMIENTOS_COMPLEMENTOS!$C$4:$C$803,A2901,MOVIMIENTOS_COMPLEMENTOS!$D$4:$D$803,B2901,MOVIMIENTOS_COMPLEMENTOS!$E$4:$E$803,C2901,MOVIMIENTOS_COMPLEMENTOS!$G$4:$G$803,E2901,MOVIMIENTOS_COMPLEMENTOS!$H$4:$H$803,G2901,MOVIMIENTOS_COMPLEMENTOS!$B$4:$B$803,"INGRESO")+SUMIFS(MOVIMIENTOS_COMPLEMENTOS!$I$4:$I$803,MOVIMIENTOS_COMPLEMENTOS!$C$4:$C$803,A2901,MOVIMIENTOS_COMPLEMENTOS!$D$4:$D$803,B2901,MOVIMIENTOS_COMPLEMENTOS!$E$4:$E$803,C2901,MOVIMIENTOS_COMPLEMENTOS!$G$4:$G$803,E2901,MOVIMIENTOS_COMPLEMENTOS!$H$4:$H$803,G2901,MOVIMIENTOS_COMPLEMENTOS!$B$4:$B$803,"DE CORTE")-SUMIFS(MOVIMIENTOS_COMPLEMENTOS!$I$4:$I$803,MOVIMIENTOS_COMPLEMENTOS!$C$4:$C$803,A2901,MOVIMIENTOS_COMPLEMENTOS!$D$4:$D$803,B2901,MOVIMIENTOS_COMPLEMENTOS!$E$4:$E$803,C2901,MOVIMIENTOS_COMPLEMENTOS!$G$4:$G$803,E2901,MOVIMIENTOS_COMPLEMENTOS!$H$4:$H$803,G2901,MOVIMIENTOS_COMPLEMENTOS!$B$4:$B$803,"SALIDA"),0)</f>
        <v>0</v>
      </c>
      <c r="I2901" s="102">
        <f t="array" ref="I2901">IFERROR(INDEX(PRECIOS_COMPLEMENTOS!$C$4:$F$17,MATCH(B2901&amp;"_"&amp;C2901,PRECIOS_COMPLEMENTOS!$H$4:$H$17,0),IF(OR(G2901="S",G2901="20cm"),1,IF(OR(G2901="M",G2901="25cm"),2,IF(OR(G2901="L",G2901="30cm"),3,IF(OR(G2901="XL",G2901="35cm"),4,0))))),0)</f>
        <v>0.45</v>
      </c>
      <c r="J2901" s="103">
        <f t="shared" si="1"/>
        <v>0</v>
      </c>
      <c r="K2901" s="104" t="str">
        <f>IF(H2901&lt;0,"ERROR",IF(H2901=0,"",IF(H2901&lt;CONFIG!$B$4,"CRÍTICO",IF(H2901&lt;CONFIG!$B$5,"BAJO","OK"))))</f>
        <v/>
      </c>
    </row>
    <row r="2902" ht="15.75" customHeight="1">
      <c r="A2902" s="90" t="str">
        <f>IF(CLIENTES!A4="","",CLIENTES!A4)</f>
        <v>OverShark</v>
      </c>
      <c r="B2902" s="90" t="s">
        <v>333</v>
      </c>
      <c r="C2902" s="91" t="s">
        <v>334</v>
      </c>
      <c r="D2902" s="109" t="s">
        <v>353</v>
      </c>
      <c r="E2902" s="67" t="str">
        <f>COLORES!A10</f>
        <v>Botella</v>
      </c>
      <c r="F2902" s="67" t="str">
        <f>COLORES!B10</f>
        <v>OSCURO</v>
      </c>
      <c r="G2902" s="90" t="s">
        <v>380</v>
      </c>
      <c r="H2902" s="100">
        <f>IFERROR(SUMIFS(MOVIMIENTOS_COMPLEMENTOS!$I$4:$I$803,MOVIMIENTOS_COMPLEMENTOS!$C$4:$C$803,A2902,MOVIMIENTOS_COMPLEMENTOS!$D$4:$D$803,B2902,MOVIMIENTOS_COMPLEMENTOS!$E$4:$E$803,C2902,MOVIMIENTOS_COMPLEMENTOS!$G$4:$G$803,E2902,MOVIMIENTOS_COMPLEMENTOS!$H$4:$H$803,G2902,MOVIMIENTOS_COMPLEMENTOS!$B$4:$B$803,"INGRESO")+SUMIFS(MOVIMIENTOS_COMPLEMENTOS!$I$4:$I$803,MOVIMIENTOS_COMPLEMENTOS!$C$4:$C$803,A2902,MOVIMIENTOS_COMPLEMENTOS!$D$4:$D$803,B2902,MOVIMIENTOS_COMPLEMENTOS!$E$4:$E$803,C2902,MOVIMIENTOS_COMPLEMENTOS!$G$4:$G$803,E2902,MOVIMIENTOS_COMPLEMENTOS!$H$4:$H$803,G2902,MOVIMIENTOS_COMPLEMENTOS!$B$4:$B$803,"DE CORTE")-SUMIFS(MOVIMIENTOS_COMPLEMENTOS!$I$4:$I$803,MOVIMIENTOS_COMPLEMENTOS!$C$4:$C$803,A2902,MOVIMIENTOS_COMPLEMENTOS!$D$4:$D$803,B2902,MOVIMIENTOS_COMPLEMENTOS!$E$4:$E$803,C2902,MOVIMIENTOS_COMPLEMENTOS!$G$4:$G$803,E2902,MOVIMIENTOS_COMPLEMENTOS!$H$4:$H$803,G2902,MOVIMIENTOS_COMPLEMENTOS!$B$4:$B$803,"SALIDA"),0)</f>
        <v>0</v>
      </c>
      <c r="I2902" s="102">
        <f t="array" ref="I2902">IFERROR(INDEX(PRECIOS_COMPLEMENTOS!$C$4:$F$17,MATCH(B2902&amp;"_"&amp;C2902,PRECIOS_COMPLEMENTOS!$H$4:$H$17,0),IF(OR(G2902="S",G2902="20cm"),1,IF(OR(G2902="M",G2902="25cm"),2,IF(OR(G2902="L",G2902="30cm"),3,IF(OR(G2902="XL",G2902="35cm"),4,0))))),0)</f>
        <v>0.45</v>
      </c>
      <c r="J2902" s="103">
        <f t="shared" si="1"/>
        <v>0</v>
      </c>
      <c r="K2902" s="104" t="str">
        <f>IF(H2902&lt;0,"ERROR",IF(H2902=0,"",IF(H2902&lt;CONFIG!$B$4,"CRÍTICO",IF(H2902&lt;CONFIG!$B$5,"BAJO","OK"))))</f>
        <v/>
      </c>
    </row>
    <row r="2903" ht="15.75" customHeight="1">
      <c r="A2903" s="90" t="str">
        <f>IF(CLIENTES!A4="","",CLIENTES!A4)</f>
        <v>OverShark</v>
      </c>
      <c r="B2903" s="90" t="s">
        <v>333</v>
      </c>
      <c r="C2903" s="91" t="s">
        <v>334</v>
      </c>
      <c r="D2903" s="109" t="s">
        <v>353</v>
      </c>
      <c r="E2903" s="67" t="str">
        <f>COLORES!A10</f>
        <v>Botella</v>
      </c>
      <c r="F2903" s="67" t="str">
        <f>COLORES!B10</f>
        <v>OSCURO</v>
      </c>
      <c r="G2903" s="90" t="s">
        <v>381</v>
      </c>
      <c r="H2903" s="100">
        <f>IFERROR(SUMIFS(MOVIMIENTOS_COMPLEMENTOS!$I$4:$I$803,MOVIMIENTOS_COMPLEMENTOS!$C$4:$C$803,A2903,MOVIMIENTOS_COMPLEMENTOS!$D$4:$D$803,B2903,MOVIMIENTOS_COMPLEMENTOS!$E$4:$E$803,C2903,MOVIMIENTOS_COMPLEMENTOS!$G$4:$G$803,E2903,MOVIMIENTOS_COMPLEMENTOS!$H$4:$H$803,G2903,MOVIMIENTOS_COMPLEMENTOS!$B$4:$B$803,"INGRESO")+SUMIFS(MOVIMIENTOS_COMPLEMENTOS!$I$4:$I$803,MOVIMIENTOS_COMPLEMENTOS!$C$4:$C$803,A2903,MOVIMIENTOS_COMPLEMENTOS!$D$4:$D$803,B2903,MOVIMIENTOS_COMPLEMENTOS!$E$4:$E$803,C2903,MOVIMIENTOS_COMPLEMENTOS!$G$4:$G$803,E2903,MOVIMIENTOS_COMPLEMENTOS!$H$4:$H$803,G2903,MOVIMIENTOS_COMPLEMENTOS!$B$4:$B$803,"DE CORTE")-SUMIFS(MOVIMIENTOS_COMPLEMENTOS!$I$4:$I$803,MOVIMIENTOS_COMPLEMENTOS!$C$4:$C$803,A2903,MOVIMIENTOS_COMPLEMENTOS!$D$4:$D$803,B2903,MOVIMIENTOS_COMPLEMENTOS!$E$4:$E$803,C2903,MOVIMIENTOS_COMPLEMENTOS!$G$4:$G$803,E2903,MOVIMIENTOS_COMPLEMENTOS!$H$4:$H$803,G2903,MOVIMIENTOS_COMPLEMENTOS!$B$4:$B$803,"SALIDA"),0)</f>
        <v>0</v>
      </c>
      <c r="I2903" s="102">
        <f t="array" ref="I2903">IFERROR(INDEX(PRECIOS_COMPLEMENTOS!$C$4:$F$17,MATCH(B2903&amp;"_"&amp;C2903,PRECIOS_COMPLEMENTOS!$H$4:$H$17,0),IF(OR(G2903="S",G2903="20cm"),1,IF(OR(G2903="M",G2903="25cm"),2,IF(OR(G2903="L",G2903="30cm"),3,IF(OR(G2903="XL",G2903="35cm"),4,0))))),0)</f>
        <v>0.45</v>
      </c>
      <c r="J2903" s="103">
        <f t="shared" si="1"/>
        <v>0</v>
      </c>
      <c r="K2903" s="104" t="str">
        <f>IF(H2903&lt;0,"ERROR",IF(H2903=0,"",IF(H2903&lt;CONFIG!$B$4,"CRÍTICO",IF(H2903&lt;CONFIG!$B$5,"BAJO","OK"))))</f>
        <v/>
      </c>
    </row>
    <row r="2904" ht="15.75" customHeight="1">
      <c r="A2904" s="90" t="str">
        <f>IF(CLIENTES!A4="","",CLIENTES!A4)</f>
        <v>OverShark</v>
      </c>
      <c r="B2904" s="90" t="s">
        <v>333</v>
      </c>
      <c r="C2904" s="91" t="s">
        <v>334</v>
      </c>
      <c r="D2904" s="109" t="s">
        <v>353</v>
      </c>
      <c r="E2904" s="67" t="str">
        <f>COLORES!A10</f>
        <v>Botella</v>
      </c>
      <c r="F2904" s="67" t="str">
        <f>COLORES!B10</f>
        <v>OSCURO</v>
      </c>
      <c r="G2904" s="90" t="s">
        <v>382</v>
      </c>
      <c r="H2904" s="100">
        <f>IFERROR(SUMIFS(MOVIMIENTOS_COMPLEMENTOS!$I$4:$I$803,MOVIMIENTOS_COMPLEMENTOS!$C$4:$C$803,A2904,MOVIMIENTOS_COMPLEMENTOS!$D$4:$D$803,B2904,MOVIMIENTOS_COMPLEMENTOS!$E$4:$E$803,C2904,MOVIMIENTOS_COMPLEMENTOS!$G$4:$G$803,E2904,MOVIMIENTOS_COMPLEMENTOS!$H$4:$H$803,G2904,MOVIMIENTOS_COMPLEMENTOS!$B$4:$B$803,"INGRESO")+SUMIFS(MOVIMIENTOS_COMPLEMENTOS!$I$4:$I$803,MOVIMIENTOS_COMPLEMENTOS!$C$4:$C$803,A2904,MOVIMIENTOS_COMPLEMENTOS!$D$4:$D$803,B2904,MOVIMIENTOS_COMPLEMENTOS!$E$4:$E$803,C2904,MOVIMIENTOS_COMPLEMENTOS!$G$4:$G$803,E2904,MOVIMIENTOS_COMPLEMENTOS!$H$4:$H$803,G2904,MOVIMIENTOS_COMPLEMENTOS!$B$4:$B$803,"DE CORTE")-SUMIFS(MOVIMIENTOS_COMPLEMENTOS!$I$4:$I$803,MOVIMIENTOS_COMPLEMENTOS!$C$4:$C$803,A2904,MOVIMIENTOS_COMPLEMENTOS!$D$4:$D$803,B2904,MOVIMIENTOS_COMPLEMENTOS!$E$4:$E$803,C2904,MOVIMIENTOS_COMPLEMENTOS!$G$4:$G$803,E2904,MOVIMIENTOS_COMPLEMENTOS!$H$4:$H$803,G2904,MOVIMIENTOS_COMPLEMENTOS!$B$4:$B$803,"SALIDA"),0)</f>
        <v>0</v>
      </c>
      <c r="I2904" s="102">
        <f t="array" ref="I2904">IFERROR(INDEX(PRECIOS_COMPLEMENTOS!$C$4:$F$17,MATCH(B2904&amp;"_"&amp;C2904,PRECIOS_COMPLEMENTOS!$H$4:$H$17,0),IF(OR(G2904="S",G2904="20cm"),1,IF(OR(G2904="M",G2904="25cm"),2,IF(OR(G2904="L",G2904="30cm"),3,IF(OR(G2904="XL",G2904="35cm"),4,0))))),0)</f>
        <v>0.45</v>
      </c>
      <c r="J2904" s="103">
        <f t="shared" si="1"/>
        <v>0</v>
      </c>
      <c r="K2904" s="104" t="str">
        <f>IF(H2904&lt;0,"ERROR",IF(H2904=0,"",IF(H2904&lt;CONFIG!$B$4,"CRÍTICO",IF(H2904&lt;CONFIG!$B$5,"BAJO","OK"))))</f>
        <v/>
      </c>
    </row>
    <row r="2905" ht="15.75" customHeight="1">
      <c r="A2905" s="90" t="str">
        <f>IF(CLIENTES!A4="","",CLIENTES!A4)</f>
        <v>OverShark</v>
      </c>
      <c r="B2905" s="90" t="s">
        <v>333</v>
      </c>
      <c r="C2905" s="91" t="s">
        <v>334</v>
      </c>
      <c r="D2905" s="109" t="s">
        <v>353</v>
      </c>
      <c r="E2905" s="67" t="str">
        <f>COLORES!A11</f>
        <v>Pacay</v>
      </c>
      <c r="F2905" s="67" t="str">
        <f>COLORES!B11</f>
        <v>CLARO</v>
      </c>
      <c r="G2905" s="90" t="s">
        <v>380</v>
      </c>
      <c r="H2905" s="100">
        <f>IFERROR(SUMIFS(MOVIMIENTOS_COMPLEMENTOS!$I$4:$I$803,MOVIMIENTOS_COMPLEMENTOS!$C$4:$C$803,A2905,MOVIMIENTOS_COMPLEMENTOS!$D$4:$D$803,B2905,MOVIMIENTOS_COMPLEMENTOS!$E$4:$E$803,C2905,MOVIMIENTOS_COMPLEMENTOS!$G$4:$G$803,E2905,MOVIMIENTOS_COMPLEMENTOS!$H$4:$H$803,G2905,MOVIMIENTOS_COMPLEMENTOS!$B$4:$B$803,"INGRESO")+SUMIFS(MOVIMIENTOS_COMPLEMENTOS!$I$4:$I$803,MOVIMIENTOS_COMPLEMENTOS!$C$4:$C$803,A2905,MOVIMIENTOS_COMPLEMENTOS!$D$4:$D$803,B2905,MOVIMIENTOS_COMPLEMENTOS!$E$4:$E$803,C2905,MOVIMIENTOS_COMPLEMENTOS!$G$4:$G$803,E2905,MOVIMIENTOS_COMPLEMENTOS!$H$4:$H$803,G2905,MOVIMIENTOS_COMPLEMENTOS!$B$4:$B$803,"DE CORTE")-SUMIFS(MOVIMIENTOS_COMPLEMENTOS!$I$4:$I$803,MOVIMIENTOS_COMPLEMENTOS!$C$4:$C$803,A2905,MOVIMIENTOS_COMPLEMENTOS!$D$4:$D$803,B2905,MOVIMIENTOS_COMPLEMENTOS!$E$4:$E$803,C2905,MOVIMIENTOS_COMPLEMENTOS!$G$4:$G$803,E2905,MOVIMIENTOS_COMPLEMENTOS!$H$4:$H$803,G2905,MOVIMIENTOS_COMPLEMENTOS!$B$4:$B$803,"SALIDA"),0)</f>
        <v>0</v>
      </c>
      <c r="I2905" s="102">
        <f t="array" ref="I2905">IFERROR(INDEX(PRECIOS_COMPLEMENTOS!$C$4:$F$17,MATCH(B2905&amp;"_"&amp;C2905,PRECIOS_COMPLEMENTOS!$H$4:$H$17,0),IF(OR(G2905="S",G2905="20cm"),1,IF(OR(G2905="M",G2905="25cm"),2,IF(OR(G2905="L",G2905="30cm"),3,IF(OR(G2905="XL",G2905="35cm"),4,0))))),0)</f>
        <v>0.45</v>
      </c>
      <c r="J2905" s="103">
        <f t="shared" si="1"/>
        <v>0</v>
      </c>
      <c r="K2905" s="104" t="str">
        <f>IF(H2905&lt;0,"ERROR",IF(H2905=0,"",IF(H2905&lt;CONFIG!$B$4,"CRÍTICO",IF(H2905&lt;CONFIG!$B$5,"BAJO","OK"))))</f>
        <v/>
      </c>
    </row>
    <row r="2906" ht="15.75" customHeight="1">
      <c r="A2906" s="90" t="str">
        <f>IF(CLIENTES!A4="","",CLIENTES!A4)</f>
        <v>OverShark</v>
      </c>
      <c r="B2906" s="90" t="s">
        <v>333</v>
      </c>
      <c r="C2906" s="91" t="s">
        <v>334</v>
      </c>
      <c r="D2906" s="109" t="s">
        <v>353</v>
      </c>
      <c r="E2906" s="67" t="str">
        <f>COLORES!A11</f>
        <v>Pacay</v>
      </c>
      <c r="F2906" s="67" t="str">
        <f>COLORES!B11</f>
        <v>CLARO</v>
      </c>
      <c r="G2906" s="90" t="s">
        <v>381</v>
      </c>
      <c r="H2906" s="100">
        <f>IFERROR(SUMIFS(MOVIMIENTOS_COMPLEMENTOS!$I$4:$I$803,MOVIMIENTOS_COMPLEMENTOS!$C$4:$C$803,A2906,MOVIMIENTOS_COMPLEMENTOS!$D$4:$D$803,B2906,MOVIMIENTOS_COMPLEMENTOS!$E$4:$E$803,C2906,MOVIMIENTOS_COMPLEMENTOS!$G$4:$G$803,E2906,MOVIMIENTOS_COMPLEMENTOS!$H$4:$H$803,G2906,MOVIMIENTOS_COMPLEMENTOS!$B$4:$B$803,"INGRESO")+SUMIFS(MOVIMIENTOS_COMPLEMENTOS!$I$4:$I$803,MOVIMIENTOS_COMPLEMENTOS!$C$4:$C$803,A2906,MOVIMIENTOS_COMPLEMENTOS!$D$4:$D$803,B2906,MOVIMIENTOS_COMPLEMENTOS!$E$4:$E$803,C2906,MOVIMIENTOS_COMPLEMENTOS!$G$4:$G$803,E2906,MOVIMIENTOS_COMPLEMENTOS!$H$4:$H$803,G2906,MOVIMIENTOS_COMPLEMENTOS!$B$4:$B$803,"DE CORTE")-SUMIFS(MOVIMIENTOS_COMPLEMENTOS!$I$4:$I$803,MOVIMIENTOS_COMPLEMENTOS!$C$4:$C$803,A2906,MOVIMIENTOS_COMPLEMENTOS!$D$4:$D$803,B2906,MOVIMIENTOS_COMPLEMENTOS!$E$4:$E$803,C2906,MOVIMIENTOS_COMPLEMENTOS!$G$4:$G$803,E2906,MOVIMIENTOS_COMPLEMENTOS!$H$4:$H$803,G2906,MOVIMIENTOS_COMPLEMENTOS!$B$4:$B$803,"SALIDA"),0)</f>
        <v>0</v>
      </c>
      <c r="I2906" s="102">
        <f t="array" ref="I2906">IFERROR(INDEX(PRECIOS_COMPLEMENTOS!$C$4:$F$17,MATCH(B2906&amp;"_"&amp;C2906,PRECIOS_COMPLEMENTOS!$H$4:$H$17,0),IF(OR(G2906="S",G2906="20cm"),1,IF(OR(G2906="M",G2906="25cm"),2,IF(OR(G2906="L",G2906="30cm"),3,IF(OR(G2906="XL",G2906="35cm"),4,0))))),0)</f>
        <v>0.45</v>
      </c>
      <c r="J2906" s="103">
        <f t="shared" si="1"/>
        <v>0</v>
      </c>
      <c r="K2906" s="104" t="str">
        <f>IF(H2906&lt;0,"ERROR",IF(H2906=0,"",IF(H2906&lt;CONFIG!$B$4,"CRÍTICO",IF(H2906&lt;CONFIG!$B$5,"BAJO","OK"))))</f>
        <v/>
      </c>
    </row>
    <row r="2907" ht="15.75" customHeight="1">
      <c r="A2907" s="90" t="str">
        <f>IF(CLIENTES!A4="","",CLIENTES!A4)</f>
        <v>OverShark</v>
      </c>
      <c r="B2907" s="90" t="s">
        <v>333</v>
      </c>
      <c r="C2907" s="91" t="s">
        <v>334</v>
      </c>
      <c r="D2907" s="109" t="s">
        <v>353</v>
      </c>
      <c r="E2907" s="67" t="str">
        <f>COLORES!A11</f>
        <v>Pacay</v>
      </c>
      <c r="F2907" s="67" t="str">
        <f>COLORES!B11</f>
        <v>CLARO</v>
      </c>
      <c r="G2907" s="90" t="s">
        <v>382</v>
      </c>
      <c r="H2907" s="100">
        <f>IFERROR(SUMIFS(MOVIMIENTOS_COMPLEMENTOS!$I$4:$I$803,MOVIMIENTOS_COMPLEMENTOS!$C$4:$C$803,A2907,MOVIMIENTOS_COMPLEMENTOS!$D$4:$D$803,B2907,MOVIMIENTOS_COMPLEMENTOS!$E$4:$E$803,C2907,MOVIMIENTOS_COMPLEMENTOS!$G$4:$G$803,E2907,MOVIMIENTOS_COMPLEMENTOS!$H$4:$H$803,G2907,MOVIMIENTOS_COMPLEMENTOS!$B$4:$B$803,"INGRESO")+SUMIFS(MOVIMIENTOS_COMPLEMENTOS!$I$4:$I$803,MOVIMIENTOS_COMPLEMENTOS!$C$4:$C$803,A2907,MOVIMIENTOS_COMPLEMENTOS!$D$4:$D$803,B2907,MOVIMIENTOS_COMPLEMENTOS!$E$4:$E$803,C2907,MOVIMIENTOS_COMPLEMENTOS!$G$4:$G$803,E2907,MOVIMIENTOS_COMPLEMENTOS!$H$4:$H$803,G2907,MOVIMIENTOS_COMPLEMENTOS!$B$4:$B$803,"DE CORTE")-SUMIFS(MOVIMIENTOS_COMPLEMENTOS!$I$4:$I$803,MOVIMIENTOS_COMPLEMENTOS!$C$4:$C$803,A2907,MOVIMIENTOS_COMPLEMENTOS!$D$4:$D$803,B2907,MOVIMIENTOS_COMPLEMENTOS!$E$4:$E$803,C2907,MOVIMIENTOS_COMPLEMENTOS!$G$4:$G$803,E2907,MOVIMIENTOS_COMPLEMENTOS!$H$4:$H$803,G2907,MOVIMIENTOS_COMPLEMENTOS!$B$4:$B$803,"SALIDA"),0)</f>
        <v>0</v>
      </c>
      <c r="I2907" s="102">
        <f t="array" ref="I2907">IFERROR(INDEX(PRECIOS_COMPLEMENTOS!$C$4:$F$17,MATCH(B2907&amp;"_"&amp;C2907,PRECIOS_COMPLEMENTOS!$H$4:$H$17,0),IF(OR(G2907="S",G2907="20cm"),1,IF(OR(G2907="M",G2907="25cm"),2,IF(OR(G2907="L",G2907="30cm"),3,IF(OR(G2907="XL",G2907="35cm"),4,0))))),0)</f>
        <v>0.45</v>
      </c>
      <c r="J2907" s="103">
        <f t="shared" si="1"/>
        <v>0</v>
      </c>
      <c r="K2907" s="104" t="str">
        <f>IF(H2907&lt;0,"ERROR",IF(H2907=0,"",IF(H2907&lt;CONFIG!$B$4,"CRÍTICO",IF(H2907&lt;CONFIG!$B$5,"BAJO","OK"))))</f>
        <v/>
      </c>
    </row>
    <row r="2908" ht="15.75" customHeight="1">
      <c r="A2908" s="90" t="str">
        <f>IF(CLIENTES!A4="","",CLIENTES!A4)</f>
        <v>OverShark</v>
      </c>
      <c r="B2908" s="90" t="s">
        <v>333</v>
      </c>
      <c r="C2908" s="91" t="s">
        <v>334</v>
      </c>
      <c r="D2908" s="109" t="s">
        <v>353</v>
      </c>
      <c r="E2908" s="67" t="str">
        <f>COLORES!A12</f>
        <v>Cemento</v>
      </c>
      <c r="F2908" s="67" t="str">
        <f>COLORES!B12</f>
        <v>CLARO</v>
      </c>
      <c r="G2908" s="90" t="s">
        <v>380</v>
      </c>
      <c r="H2908" s="100">
        <f>IFERROR(SUMIFS(MOVIMIENTOS_COMPLEMENTOS!$I$4:$I$803,MOVIMIENTOS_COMPLEMENTOS!$C$4:$C$803,A2908,MOVIMIENTOS_COMPLEMENTOS!$D$4:$D$803,B2908,MOVIMIENTOS_COMPLEMENTOS!$E$4:$E$803,C2908,MOVIMIENTOS_COMPLEMENTOS!$G$4:$G$803,E2908,MOVIMIENTOS_COMPLEMENTOS!$H$4:$H$803,G2908,MOVIMIENTOS_COMPLEMENTOS!$B$4:$B$803,"INGRESO")+SUMIFS(MOVIMIENTOS_COMPLEMENTOS!$I$4:$I$803,MOVIMIENTOS_COMPLEMENTOS!$C$4:$C$803,A2908,MOVIMIENTOS_COMPLEMENTOS!$D$4:$D$803,B2908,MOVIMIENTOS_COMPLEMENTOS!$E$4:$E$803,C2908,MOVIMIENTOS_COMPLEMENTOS!$G$4:$G$803,E2908,MOVIMIENTOS_COMPLEMENTOS!$H$4:$H$803,G2908,MOVIMIENTOS_COMPLEMENTOS!$B$4:$B$803,"DE CORTE")-SUMIFS(MOVIMIENTOS_COMPLEMENTOS!$I$4:$I$803,MOVIMIENTOS_COMPLEMENTOS!$C$4:$C$803,A2908,MOVIMIENTOS_COMPLEMENTOS!$D$4:$D$803,B2908,MOVIMIENTOS_COMPLEMENTOS!$E$4:$E$803,C2908,MOVIMIENTOS_COMPLEMENTOS!$G$4:$G$803,E2908,MOVIMIENTOS_COMPLEMENTOS!$H$4:$H$803,G2908,MOVIMIENTOS_COMPLEMENTOS!$B$4:$B$803,"SALIDA"),0)</f>
        <v>0</v>
      </c>
      <c r="I2908" s="102">
        <f t="array" ref="I2908">IFERROR(INDEX(PRECIOS_COMPLEMENTOS!$C$4:$F$17,MATCH(B2908&amp;"_"&amp;C2908,PRECIOS_COMPLEMENTOS!$H$4:$H$17,0),IF(OR(G2908="S",G2908="20cm"),1,IF(OR(G2908="M",G2908="25cm"),2,IF(OR(G2908="L",G2908="30cm"),3,IF(OR(G2908="XL",G2908="35cm"),4,0))))),0)</f>
        <v>0.45</v>
      </c>
      <c r="J2908" s="103">
        <f t="shared" si="1"/>
        <v>0</v>
      </c>
      <c r="K2908" s="104" t="str">
        <f>IF(H2908&lt;0,"ERROR",IF(H2908=0,"",IF(H2908&lt;CONFIG!$B$4,"CRÍTICO",IF(H2908&lt;CONFIG!$B$5,"BAJO","OK"))))</f>
        <v/>
      </c>
    </row>
    <row r="2909" ht="15.75" customHeight="1">
      <c r="A2909" s="90" t="str">
        <f>IF(CLIENTES!A4="","",CLIENTES!A4)</f>
        <v>OverShark</v>
      </c>
      <c r="B2909" s="90" t="s">
        <v>333</v>
      </c>
      <c r="C2909" s="91" t="s">
        <v>334</v>
      </c>
      <c r="D2909" s="109" t="s">
        <v>353</v>
      </c>
      <c r="E2909" s="67" t="str">
        <f>COLORES!A12</f>
        <v>Cemento</v>
      </c>
      <c r="F2909" s="67" t="str">
        <f>COLORES!B12</f>
        <v>CLARO</v>
      </c>
      <c r="G2909" s="90" t="s">
        <v>381</v>
      </c>
      <c r="H2909" s="100">
        <f>IFERROR(SUMIFS(MOVIMIENTOS_COMPLEMENTOS!$I$4:$I$803,MOVIMIENTOS_COMPLEMENTOS!$C$4:$C$803,A2909,MOVIMIENTOS_COMPLEMENTOS!$D$4:$D$803,B2909,MOVIMIENTOS_COMPLEMENTOS!$E$4:$E$803,C2909,MOVIMIENTOS_COMPLEMENTOS!$G$4:$G$803,E2909,MOVIMIENTOS_COMPLEMENTOS!$H$4:$H$803,G2909,MOVIMIENTOS_COMPLEMENTOS!$B$4:$B$803,"INGRESO")+SUMIFS(MOVIMIENTOS_COMPLEMENTOS!$I$4:$I$803,MOVIMIENTOS_COMPLEMENTOS!$C$4:$C$803,A2909,MOVIMIENTOS_COMPLEMENTOS!$D$4:$D$803,B2909,MOVIMIENTOS_COMPLEMENTOS!$E$4:$E$803,C2909,MOVIMIENTOS_COMPLEMENTOS!$G$4:$G$803,E2909,MOVIMIENTOS_COMPLEMENTOS!$H$4:$H$803,G2909,MOVIMIENTOS_COMPLEMENTOS!$B$4:$B$803,"DE CORTE")-SUMIFS(MOVIMIENTOS_COMPLEMENTOS!$I$4:$I$803,MOVIMIENTOS_COMPLEMENTOS!$C$4:$C$803,A2909,MOVIMIENTOS_COMPLEMENTOS!$D$4:$D$803,B2909,MOVIMIENTOS_COMPLEMENTOS!$E$4:$E$803,C2909,MOVIMIENTOS_COMPLEMENTOS!$G$4:$G$803,E2909,MOVIMIENTOS_COMPLEMENTOS!$H$4:$H$803,G2909,MOVIMIENTOS_COMPLEMENTOS!$B$4:$B$803,"SALIDA"),0)</f>
        <v>0</v>
      </c>
      <c r="I2909" s="102">
        <f t="array" ref="I2909">IFERROR(INDEX(PRECIOS_COMPLEMENTOS!$C$4:$F$17,MATCH(B2909&amp;"_"&amp;C2909,PRECIOS_COMPLEMENTOS!$H$4:$H$17,0),IF(OR(G2909="S",G2909="20cm"),1,IF(OR(G2909="M",G2909="25cm"),2,IF(OR(G2909="L",G2909="30cm"),3,IF(OR(G2909="XL",G2909="35cm"),4,0))))),0)</f>
        <v>0.45</v>
      </c>
      <c r="J2909" s="103">
        <f t="shared" si="1"/>
        <v>0</v>
      </c>
      <c r="K2909" s="104" t="str">
        <f>IF(H2909&lt;0,"ERROR",IF(H2909=0,"",IF(H2909&lt;CONFIG!$B$4,"CRÍTICO",IF(H2909&lt;CONFIG!$B$5,"BAJO","OK"))))</f>
        <v/>
      </c>
    </row>
    <row r="2910" ht="15.75" customHeight="1">
      <c r="A2910" s="90" t="str">
        <f>IF(CLIENTES!A4="","",CLIENTES!A4)</f>
        <v>OverShark</v>
      </c>
      <c r="B2910" s="90" t="s">
        <v>333</v>
      </c>
      <c r="C2910" s="91" t="s">
        <v>334</v>
      </c>
      <c r="D2910" s="109" t="s">
        <v>353</v>
      </c>
      <c r="E2910" s="67" t="str">
        <f>COLORES!A12</f>
        <v>Cemento</v>
      </c>
      <c r="F2910" s="67" t="str">
        <f>COLORES!B12</f>
        <v>CLARO</v>
      </c>
      <c r="G2910" s="90" t="s">
        <v>382</v>
      </c>
      <c r="H2910" s="100">
        <f>IFERROR(SUMIFS(MOVIMIENTOS_COMPLEMENTOS!$I$4:$I$803,MOVIMIENTOS_COMPLEMENTOS!$C$4:$C$803,A2910,MOVIMIENTOS_COMPLEMENTOS!$D$4:$D$803,B2910,MOVIMIENTOS_COMPLEMENTOS!$E$4:$E$803,C2910,MOVIMIENTOS_COMPLEMENTOS!$G$4:$G$803,E2910,MOVIMIENTOS_COMPLEMENTOS!$H$4:$H$803,G2910,MOVIMIENTOS_COMPLEMENTOS!$B$4:$B$803,"INGRESO")+SUMIFS(MOVIMIENTOS_COMPLEMENTOS!$I$4:$I$803,MOVIMIENTOS_COMPLEMENTOS!$C$4:$C$803,A2910,MOVIMIENTOS_COMPLEMENTOS!$D$4:$D$803,B2910,MOVIMIENTOS_COMPLEMENTOS!$E$4:$E$803,C2910,MOVIMIENTOS_COMPLEMENTOS!$G$4:$G$803,E2910,MOVIMIENTOS_COMPLEMENTOS!$H$4:$H$803,G2910,MOVIMIENTOS_COMPLEMENTOS!$B$4:$B$803,"DE CORTE")-SUMIFS(MOVIMIENTOS_COMPLEMENTOS!$I$4:$I$803,MOVIMIENTOS_COMPLEMENTOS!$C$4:$C$803,A2910,MOVIMIENTOS_COMPLEMENTOS!$D$4:$D$803,B2910,MOVIMIENTOS_COMPLEMENTOS!$E$4:$E$803,C2910,MOVIMIENTOS_COMPLEMENTOS!$G$4:$G$803,E2910,MOVIMIENTOS_COMPLEMENTOS!$H$4:$H$803,G2910,MOVIMIENTOS_COMPLEMENTOS!$B$4:$B$803,"SALIDA"),0)</f>
        <v>0</v>
      </c>
      <c r="I2910" s="102">
        <f t="array" ref="I2910">IFERROR(INDEX(PRECIOS_COMPLEMENTOS!$C$4:$F$17,MATCH(B2910&amp;"_"&amp;C2910,PRECIOS_COMPLEMENTOS!$H$4:$H$17,0),IF(OR(G2910="S",G2910="20cm"),1,IF(OR(G2910="M",G2910="25cm"),2,IF(OR(G2910="L",G2910="30cm"),3,IF(OR(G2910="XL",G2910="35cm"),4,0))))),0)</f>
        <v>0.45</v>
      </c>
      <c r="J2910" s="103">
        <f t="shared" si="1"/>
        <v>0</v>
      </c>
      <c r="K2910" s="104" t="str">
        <f>IF(H2910&lt;0,"ERROR",IF(H2910=0,"",IF(H2910&lt;CONFIG!$B$4,"CRÍTICO",IF(H2910&lt;CONFIG!$B$5,"BAJO","OK"))))</f>
        <v/>
      </c>
    </row>
    <row r="2911" ht="15.75" customHeight="1">
      <c r="A2911" s="90" t="str">
        <f>IF(CLIENTES!A4="","",CLIENTES!A4)</f>
        <v>OverShark</v>
      </c>
      <c r="B2911" s="90" t="s">
        <v>333</v>
      </c>
      <c r="C2911" s="91" t="s">
        <v>334</v>
      </c>
      <c r="D2911" s="109" t="s">
        <v>353</v>
      </c>
      <c r="E2911" s="67" t="str">
        <f>COLORES!A13</f>
        <v>Camote</v>
      </c>
      <c r="F2911" s="67" t="str">
        <f>COLORES!B13</f>
        <v>CLARO</v>
      </c>
      <c r="G2911" s="90" t="s">
        <v>380</v>
      </c>
      <c r="H2911" s="100">
        <f>IFERROR(SUMIFS(MOVIMIENTOS_COMPLEMENTOS!$I$4:$I$803,MOVIMIENTOS_COMPLEMENTOS!$C$4:$C$803,A2911,MOVIMIENTOS_COMPLEMENTOS!$D$4:$D$803,B2911,MOVIMIENTOS_COMPLEMENTOS!$E$4:$E$803,C2911,MOVIMIENTOS_COMPLEMENTOS!$G$4:$G$803,E2911,MOVIMIENTOS_COMPLEMENTOS!$H$4:$H$803,G2911,MOVIMIENTOS_COMPLEMENTOS!$B$4:$B$803,"INGRESO")+SUMIFS(MOVIMIENTOS_COMPLEMENTOS!$I$4:$I$803,MOVIMIENTOS_COMPLEMENTOS!$C$4:$C$803,A2911,MOVIMIENTOS_COMPLEMENTOS!$D$4:$D$803,B2911,MOVIMIENTOS_COMPLEMENTOS!$E$4:$E$803,C2911,MOVIMIENTOS_COMPLEMENTOS!$G$4:$G$803,E2911,MOVIMIENTOS_COMPLEMENTOS!$H$4:$H$803,G2911,MOVIMIENTOS_COMPLEMENTOS!$B$4:$B$803,"DE CORTE")-SUMIFS(MOVIMIENTOS_COMPLEMENTOS!$I$4:$I$803,MOVIMIENTOS_COMPLEMENTOS!$C$4:$C$803,A2911,MOVIMIENTOS_COMPLEMENTOS!$D$4:$D$803,B2911,MOVIMIENTOS_COMPLEMENTOS!$E$4:$E$803,C2911,MOVIMIENTOS_COMPLEMENTOS!$G$4:$G$803,E2911,MOVIMIENTOS_COMPLEMENTOS!$H$4:$H$803,G2911,MOVIMIENTOS_COMPLEMENTOS!$B$4:$B$803,"SALIDA"),0)</f>
        <v>0</v>
      </c>
      <c r="I2911" s="102">
        <f t="array" ref="I2911">IFERROR(INDEX(PRECIOS_COMPLEMENTOS!$C$4:$F$17,MATCH(B2911&amp;"_"&amp;C2911,PRECIOS_COMPLEMENTOS!$H$4:$H$17,0),IF(OR(G2911="S",G2911="20cm"),1,IF(OR(G2911="M",G2911="25cm"),2,IF(OR(G2911="L",G2911="30cm"),3,IF(OR(G2911="XL",G2911="35cm"),4,0))))),0)</f>
        <v>0.45</v>
      </c>
      <c r="J2911" s="103">
        <f t="shared" si="1"/>
        <v>0</v>
      </c>
      <c r="K2911" s="104" t="str">
        <f>IF(H2911&lt;0,"ERROR",IF(H2911=0,"",IF(H2911&lt;CONFIG!$B$4,"CRÍTICO",IF(H2911&lt;CONFIG!$B$5,"BAJO","OK"))))</f>
        <v/>
      </c>
    </row>
    <row r="2912" ht="15.75" customHeight="1">
      <c r="A2912" s="90" t="str">
        <f>IF(CLIENTES!A4="","",CLIENTES!A4)</f>
        <v>OverShark</v>
      </c>
      <c r="B2912" s="90" t="s">
        <v>333</v>
      </c>
      <c r="C2912" s="91" t="s">
        <v>334</v>
      </c>
      <c r="D2912" s="109" t="s">
        <v>353</v>
      </c>
      <c r="E2912" s="67" t="str">
        <f>COLORES!A13</f>
        <v>Camote</v>
      </c>
      <c r="F2912" s="67" t="str">
        <f>COLORES!B13</f>
        <v>CLARO</v>
      </c>
      <c r="G2912" s="90" t="s">
        <v>381</v>
      </c>
      <c r="H2912" s="100">
        <f>IFERROR(SUMIFS(MOVIMIENTOS_COMPLEMENTOS!$I$4:$I$803,MOVIMIENTOS_COMPLEMENTOS!$C$4:$C$803,A2912,MOVIMIENTOS_COMPLEMENTOS!$D$4:$D$803,B2912,MOVIMIENTOS_COMPLEMENTOS!$E$4:$E$803,C2912,MOVIMIENTOS_COMPLEMENTOS!$G$4:$G$803,E2912,MOVIMIENTOS_COMPLEMENTOS!$H$4:$H$803,G2912,MOVIMIENTOS_COMPLEMENTOS!$B$4:$B$803,"INGRESO")+SUMIFS(MOVIMIENTOS_COMPLEMENTOS!$I$4:$I$803,MOVIMIENTOS_COMPLEMENTOS!$C$4:$C$803,A2912,MOVIMIENTOS_COMPLEMENTOS!$D$4:$D$803,B2912,MOVIMIENTOS_COMPLEMENTOS!$E$4:$E$803,C2912,MOVIMIENTOS_COMPLEMENTOS!$G$4:$G$803,E2912,MOVIMIENTOS_COMPLEMENTOS!$H$4:$H$803,G2912,MOVIMIENTOS_COMPLEMENTOS!$B$4:$B$803,"DE CORTE")-SUMIFS(MOVIMIENTOS_COMPLEMENTOS!$I$4:$I$803,MOVIMIENTOS_COMPLEMENTOS!$C$4:$C$803,A2912,MOVIMIENTOS_COMPLEMENTOS!$D$4:$D$803,B2912,MOVIMIENTOS_COMPLEMENTOS!$E$4:$E$803,C2912,MOVIMIENTOS_COMPLEMENTOS!$G$4:$G$803,E2912,MOVIMIENTOS_COMPLEMENTOS!$H$4:$H$803,G2912,MOVIMIENTOS_COMPLEMENTOS!$B$4:$B$803,"SALIDA"),0)</f>
        <v>0</v>
      </c>
      <c r="I2912" s="102">
        <f t="array" ref="I2912">IFERROR(INDEX(PRECIOS_COMPLEMENTOS!$C$4:$F$17,MATCH(B2912&amp;"_"&amp;C2912,PRECIOS_COMPLEMENTOS!$H$4:$H$17,0),IF(OR(G2912="S",G2912="20cm"),1,IF(OR(G2912="M",G2912="25cm"),2,IF(OR(G2912="L",G2912="30cm"),3,IF(OR(G2912="XL",G2912="35cm"),4,0))))),0)</f>
        <v>0.45</v>
      </c>
      <c r="J2912" s="103">
        <f t="shared" si="1"/>
        <v>0</v>
      </c>
      <c r="K2912" s="104" t="str">
        <f>IF(H2912&lt;0,"ERROR",IF(H2912=0,"",IF(H2912&lt;CONFIG!$B$4,"CRÍTICO",IF(H2912&lt;CONFIG!$B$5,"BAJO","OK"))))</f>
        <v/>
      </c>
    </row>
    <row r="2913" ht="15.75" customHeight="1">
      <c r="A2913" s="90" t="str">
        <f>IF(CLIENTES!A4="","",CLIENTES!A4)</f>
        <v>OverShark</v>
      </c>
      <c r="B2913" s="90" t="s">
        <v>333</v>
      </c>
      <c r="C2913" s="91" t="s">
        <v>334</v>
      </c>
      <c r="D2913" s="109" t="s">
        <v>353</v>
      </c>
      <c r="E2913" s="67" t="str">
        <f>COLORES!A13</f>
        <v>Camote</v>
      </c>
      <c r="F2913" s="67" t="str">
        <f>COLORES!B13</f>
        <v>CLARO</v>
      </c>
      <c r="G2913" s="90" t="s">
        <v>382</v>
      </c>
      <c r="H2913" s="100">
        <f>IFERROR(SUMIFS(MOVIMIENTOS_COMPLEMENTOS!$I$4:$I$803,MOVIMIENTOS_COMPLEMENTOS!$C$4:$C$803,A2913,MOVIMIENTOS_COMPLEMENTOS!$D$4:$D$803,B2913,MOVIMIENTOS_COMPLEMENTOS!$E$4:$E$803,C2913,MOVIMIENTOS_COMPLEMENTOS!$G$4:$G$803,E2913,MOVIMIENTOS_COMPLEMENTOS!$H$4:$H$803,G2913,MOVIMIENTOS_COMPLEMENTOS!$B$4:$B$803,"INGRESO")+SUMIFS(MOVIMIENTOS_COMPLEMENTOS!$I$4:$I$803,MOVIMIENTOS_COMPLEMENTOS!$C$4:$C$803,A2913,MOVIMIENTOS_COMPLEMENTOS!$D$4:$D$803,B2913,MOVIMIENTOS_COMPLEMENTOS!$E$4:$E$803,C2913,MOVIMIENTOS_COMPLEMENTOS!$G$4:$G$803,E2913,MOVIMIENTOS_COMPLEMENTOS!$H$4:$H$803,G2913,MOVIMIENTOS_COMPLEMENTOS!$B$4:$B$803,"DE CORTE")-SUMIFS(MOVIMIENTOS_COMPLEMENTOS!$I$4:$I$803,MOVIMIENTOS_COMPLEMENTOS!$C$4:$C$803,A2913,MOVIMIENTOS_COMPLEMENTOS!$D$4:$D$803,B2913,MOVIMIENTOS_COMPLEMENTOS!$E$4:$E$803,C2913,MOVIMIENTOS_COMPLEMENTOS!$G$4:$G$803,E2913,MOVIMIENTOS_COMPLEMENTOS!$H$4:$H$803,G2913,MOVIMIENTOS_COMPLEMENTOS!$B$4:$B$803,"SALIDA"),0)</f>
        <v>0</v>
      </c>
      <c r="I2913" s="102">
        <f t="array" ref="I2913">IFERROR(INDEX(PRECIOS_COMPLEMENTOS!$C$4:$F$17,MATCH(B2913&amp;"_"&amp;C2913,PRECIOS_COMPLEMENTOS!$H$4:$H$17,0),IF(OR(G2913="S",G2913="20cm"),1,IF(OR(G2913="M",G2913="25cm"),2,IF(OR(G2913="L",G2913="30cm"),3,IF(OR(G2913="XL",G2913="35cm"),4,0))))),0)</f>
        <v>0.45</v>
      </c>
      <c r="J2913" s="103">
        <f t="shared" si="1"/>
        <v>0</v>
      </c>
      <c r="K2913" s="104" t="str">
        <f>IF(H2913&lt;0,"ERROR",IF(H2913=0,"",IF(H2913&lt;CONFIG!$B$4,"CRÍTICO",IF(H2913&lt;CONFIG!$B$5,"BAJO","OK"))))</f>
        <v/>
      </c>
    </row>
    <row r="2914" ht="15.75" customHeight="1">
      <c r="A2914" s="90" t="str">
        <f>IF(CLIENTES!A4="","",CLIENTES!A4)</f>
        <v>OverShark</v>
      </c>
      <c r="B2914" s="90" t="s">
        <v>333</v>
      </c>
      <c r="C2914" s="91" t="s">
        <v>334</v>
      </c>
      <c r="D2914" s="109" t="s">
        <v>353</v>
      </c>
      <c r="E2914" s="67" t="str">
        <f>COLORES!A14</f>
        <v>Denim</v>
      </c>
      <c r="F2914" s="67" t="str">
        <f>COLORES!B14</f>
        <v>CLARO</v>
      </c>
      <c r="G2914" s="90" t="s">
        <v>380</v>
      </c>
      <c r="H2914" s="100">
        <f>IFERROR(SUMIFS(MOVIMIENTOS_COMPLEMENTOS!$I$4:$I$803,MOVIMIENTOS_COMPLEMENTOS!$C$4:$C$803,A2914,MOVIMIENTOS_COMPLEMENTOS!$D$4:$D$803,B2914,MOVIMIENTOS_COMPLEMENTOS!$E$4:$E$803,C2914,MOVIMIENTOS_COMPLEMENTOS!$G$4:$G$803,E2914,MOVIMIENTOS_COMPLEMENTOS!$H$4:$H$803,G2914,MOVIMIENTOS_COMPLEMENTOS!$B$4:$B$803,"INGRESO")+SUMIFS(MOVIMIENTOS_COMPLEMENTOS!$I$4:$I$803,MOVIMIENTOS_COMPLEMENTOS!$C$4:$C$803,A2914,MOVIMIENTOS_COMPLEMENTOS!$D$4:$D$803,B2914,MOVIMIENTOS_COMPLEMENTOS!$E$4:$E$803,C2914,MOVIMIENTOS_COMPLEMENTOS!$G$4:$G$803,E2914,MOVIMIENTOS_COMPLEMENTOS!$H$4:$H$803,G2914,MOVIMIENTOS_COMPLEMENTOS!$B$4:$B$803,"DE CORTE")-SUMIFS(MOVIMIENTOS_COMPLEMENTOS!$I$4:$I$803,MOVIMIENTOS_COMPLEMENTOS!$C$4:$C$803,A2914,MOVIMIENTOS_COMPLEMENTOS!$D$4:$D$803,B2914,MOVIMIENTOS_COMPLEMENTOS!$E$4:$E$803,C2914,MOVIMIENTOS_COMPLEMENTOS!$G$4:$G$803,E2914,MOVIMIENTOS_COMPLEMENTOS!$H$4:$H$803,G2914,MOVIMIENTOS_COMPLEMENTOS!$B$4:$B$803,"SALIDA"),0)</f>
        <v>0</v>
      </c>
      <c r="I2914" s="102">
        <f t="array" ref="I2914">IFERROR(INDEX(PRECIOS_COMPLEMENTOS!$C$4:$F$17,MATCH(B2914&amp;"_"&amp;C2914,PRECIOS_COMPLEMENTOS!$H$4:$H$17,0),IF(OR(G2914="S",G2914="20cm"),1,IF(OR(G2914="M",G2914="25cm"),2,IF(OR(G2914="L",G2914="30cm"),3,IF(OR(G2914="XL",G2914="35cm"),4,0))))),0)</f>
        <v>0.45</v>
      </c>
      <c r="J2914" s="103">
        <f t="shared" si="1"/>
        <v>0</v>
      </c>
      <c r="K2914" s="104" t="str">
        <f>IF(H2914&lt;0,"ERROR",IF(H2914=0,"",IF(H2914&lt;CONFIG!$B$4,"CRÍTICO",IF(H2914&lt;CONFIG!$B$5,"BAJO","OK"))))</f>
        <v/>
      </c>
    </row>
    <row r="2915" ht="15.75" customHeight="1">
      <c r="A2915" s="90" t="str">
        <f>IF(CLIENTES!A4="","",CLIENTES!A4)</f>
        <v>OverShark</v>
      </c>
      <c r="B2915" s="90" t="s">
        <v>333</v>
      </c>
      <c r="C2915" s="91" t="s">
        <v>334</v>
      </c>
      <c r="D2915" s="109" t="s">
        <v>353</v>
      </c>
      <c r="E2915" s="67" t="str">
        <f>COLORES!A14</f>
        <v>Denim</v>
      </c>
      <c r="F2915" s="67" t="str">
        <f>COLORES!B14</f>
        <v>CLARO</v>
      </c>
      <c r="G2915" s="90" t="s">
        <v>381</v>
      </c>
      <c r="H2915" s="100">
        <f>IFERROR(SUMIFS(MOVIMIENTOS_COMPLEMENTOS!$I$4:$I$803,MOVIMIENTOS_COMPLEMENTOS!$C$4:$C$803,A2915,MOVIMIENTOS_COMPLEMENTOS!$D$4:$D$803,B2915,MOVIMIENTOS_COMPLEMENTOS!$E$4:$E$803,C2915,MOVIMIENTOS_COMPLEMENTOS!$G$4:$G$803,E2915,MOVIMIENTOS_COMPLEMENTOS!$H$4:$H$803,G2915,MOVIMIENTOS_COMPLEMENTOS!$B$4:$B$803,"INGRESO")+SUMIFS(MOVIMIENTOS_COMPLEMENTOS!$I$4:$I$803,MOVIMIENTOS_COMPLEMENTOS!$C$4:$C$803,A2915,MOVIMIENTOS_COMPLEMENTOS!$D$4:$D$803,B2915,MOVIMIENTOS_COMPLEMENTOS!$E$4:$E$803,C2915,MOVIMIENTOS_COMPLEMENTOS!$G$4:$G$803,E2915,MOVIMIENTOS_COMPLEMENTOS!$H$4:$H$803,G2915,MOVIMIENTOS_COMPLEMENTOS!$B$4:$B$803,"DE CORTE")-SUMIFS(MOVIMIENTOS_COMPLEMENTOS!$I$4:$I$803,MOVIMIENTOS_COMPLEMENTOS!$C$4:$C$803,A2915,MOVIMIENTOS_COMPLEMENTOS!$D$4:$D$803,B2915,MOVIMIENTOS_COMPLEMENTOS!$E$4:$E$803,C2915,MOVIMIENTOS_COMPLEMENTOS!$G$4:$G$803,E2915,MOVIMIENTOS_COMPLEMENTOS!$H$4:$H$803,G2915,MOVIMIENTOS_COMPLEMENTOS!$B$4:$B$803,"SALIDA"),0)</f>
        <v>0</v>
      </c>
      <c r="I2915" s="102">
        <f t="array" ref="I2915">IFERROR(INDEX(PRECIOS_COMPLEMENTOS!$C$4:$F$17,MATCH(B2915&amp;"_"&amp;C2915,PRECIOS_COMPLEMENTOS!$H$4:$H$17,0),IF(OR(G2915="S",G2915="20cm"),1,IF(OR(G2915="M",G2915="25cm"),2,IF(OR(G2915="L",G2915="30cm"),3,IF(OR(G2915="XL",G2915="35cm"),4,0))))),0)</f>
        <v>0.45</v>
      </c>
      <c r="J2915" s="103">
        <f t="shared" si="1"/>
        <v>0</v>
      </c>
      <c r="K2915" s="104" t="str">
        <f>IF(H2915&lt;0,"ERROR",IF(H2915=0,"",IF(H2915&lt;CONFIG!$B$4,"CRÍTICO",IF(H2915&lt;CONFIG!$B$5,"BAJO","OK"))))</f>
        <v/>
      </c>
    </row>
    <row r="2916" ht="15.75" customHeight="1">
      <c r="A2916" s="90" t="str">
        <f>IF(CLIENTES!A4="","",CLIENTES!A4)</f>
        <v>OverShark</v>
      </c>
      <c r="B2916" s="90" t="s">
        <v>333</v>
      </c>
      <c r="C2916" s="91" t="s">
        <v>334</v>
      </c>
      <c r="D2916" s="109" t="s">
        <v>353</v>
      </c>
      <c r="E2916" s="67" t="str">
        <f>COLORES!A14</f>
        <v>Denim</v>
      </c>
      <c r="F2916" s="67" t="str">
        <f>COLORES!B14</f>
        <v>CLARO</v>
      </c>
      <c r="G2916" s="90" t="s">
        <v>382</v>
      </c>
      <c r="H2916" s="100">
        <f>IFERROR(SUMIFS(MOVIMIENTOS_COMPLEMENTOS!$I$4:$I$803,MOVIMIENTOS_COMPLEMENTOS!$C$4:$C$803,A2916,MOVIMIENTOS_COMPLEMENTOS!$D$4:$D$803,B2916,MOVIMIENTOS_COMPLEMENTOS!$E$4:$E$803,C2916,MOVIMIENTOS_COMPLEMENTOS!$G$4:$G$803,E2916,MOVIMIENTOS_COMPLEMENTOS!$H$4:$H$803,G2916,MOVIMIENTOS_COMPLEMENTOS!$B$4:$B$803,"INGRESO")+SUMIFS(MOVIMIENTOS_COMPLEMENTOS!$I$4:$I$803,MOVIMIENTOS_COMPLEMENTOS!$C$4:$C$803,A2916,MOVIMIENTOS_COMPLEMENTOS!$D$4:$D$803,B2916,MOVIMIENTOS_COMPLEMENTOS!$E$4:$E$803,C2916,MOVIMIENTOS_COMPLEMENTOS!$G$4:$G$803,E2916,MOVIMIENTOS_COMPLEMENTOS!$H$4:$H$803,G2916,MOVIMIENTOS_COMPLEMENTOS!$B$4:$B$803,"DE CORTE")-SUMIFS(MOVIMIENTOS_COMPLEMENTOS!$I$4:$I$803,MOVIMIENTOS_COMPLEMENTOS!$C$4:$C$803,A2916,MOVIMIENTOS_COMPLEMENTOS!$D$4:$D$803,B2916,MOVIMIENTOS_COMPLEMENTOS!$E$4:$E$803,C2916,MOVIMIENTOS_COMPLEMENTOS!$G$4:$G$803,E2916,MOVIMIENTOS_COMPLEMENTOS!$H$4:$H$803,G2916,MOVIMIENTOS_COMPLEMENTOS!$B$4:$B$803,"SALIDA"),0)</f>
        <v>0</v>
      </c>
      <c r="I2916" s="102">
        <f t="array" ref="I2916">IFERROR(INDEX(PRECIOS_COMPLEMENTOS!$C$4:$F$17,MATCH(B2916&amp;"_"&amp;C2916,PRECIOS_COMPLEMENTOS!$H$4:$H$17,0),IF(OR(G2916="S",G2916="20cm"),1,IF(OR(G2916="M",G2916="25cm"),2,IF(OR(G2916="L",G2916="30cm"),3,IF(OR(G2916="XL",G2916="35cm"),4,0))))),0)</f>
        <v>0.45</v>
      </c>
      <c r="J2916" s="103">
        <f t="shared" si="1"/>
        <v>0</v>
      </c>
      <c r="K2916" s="104" t="str">
        <f>IF(H2916&lt;0,"ERROR",IF(H2916=0,"",IF(H2916&lt;CONFIG!$B$4,"CRÍTICO",IF(H2916&lt;CONFIG!$B$5,"BAJO","OK"))))</f>
        <v/>
      </c>
    </row>
    <row r="2917" ht="15.75" customHeight="1">
      <c r="A2917" s="90" t="str">
        <f>IF(CLIENTES!A4="","",CLIENTES!A4)</f>
        <v>OverShark</v>
      </c>
      <c r="B2917" s="90" t="s">
        <v>333</v>
      </c>
      <c r="C2917" s="91" t="s">
        <v>334</v>
      </c>
      <c r="D2917" s="109" t="s">
        <v>353</v>
      </c>
      <c r="E2917" s="67" t="str">
        <f>COLORES!A15</f>
        <v>Plomo</v>
      </c>
      <c r="F2917" s="67" t="str">
        <f>COLORES!B15</f>
        <v>OSCURO</v>
      </c>
      <c r="G2917" s="90" t="s">
        <v>380</v>
      </c>
      <c r="H2917" s="100">
        <f>IFERROR(SUMIFS(MOVIMIENTOS_COMPLEMENTOS!$I$4:$I$803,MOVIMIENTOS_COMPLEMENTOS!$C$4:$C$803,A2917,MOVIMIENTOS_COMPLEMENTOS!$D$4:$D$803,B2917,MOVIMIENTOS_COMPLEMENTOS!$E$4:$E$803,C2917,MOVIMIENTOS_COMPLEMENTOS!$G$4:$G$803,E2917,MOVIMIENTOS_COMPLEMENTOS!$H$4:$H$803,G2917,MOVIMIENTOS_COMPLEMENTOS!$B$4:$B$803,"INGRESO")+SUMIFS(MOVIMIENTOS_COMPLEMENTOS!$I$4:$I$803,MOVIMIENTOS_COMPLEMENTOS!$C$4:$C$803,A2917,MOVIMIENTOS_COMPLEMENTOS!$D$4:$D$803,B2917,MOVIMIENTOS_COMPLEMENTOS!$E$4:$E$803,C2917,MOVIMIENTOS_COMPLEMENTOS!$G$4:$G$803,E2917,MOVIMIENTOS_COMPLEMENTOS!$H$4:$H$803,G2917,MOVIMIENTOS_COMPLEMENTOS!$B$4:$B$803,"DE CORTE")-SUMIFS(MOVIMIENTOS_COMPLEMENTOS!$I$4:$I$803,MOVIMIENTOS_COMPLEMENTOS!$C$4:$C$803,A2917,MOVIMIENTOS_COMPLEMENTOS!$D$4:$D$803,B2917,MOVIMIENTOS_COMPLEMENTOS!$E$4:$E$803,C2917,MOVIMIENTOS_COMPLEMENTOS!$G$4:$G$803,E2917,MOVIMIENTOS_COMPLEMENTOS!$H$4:$H$803,G2917,MOVIMIENTOS_COMPLEMENTOS!$B$4:$B$803,"SALIDA"),0)</f>
        <v>0</v>
      </c>
      <c r="I2917" s="102">
        <f t="array" ref="I2917">IFERROR(INDEX(PRECIOS_COMPLEMENTOS!$C$4:$F$17,MATCH(B2917&amp;"_"&amp;C2917,PRECIOS_COMPLEMENTOS!$H$4:$H$17,0),IF(OR(G2917="S",G2917="20cm"),1,IF(OR(G2917="M",G2917="25cm"),2,IF(OR(G2917="L",G2917="30cm"),3,IF(OR(G2917="XL",G2917="35cm"),4,0))))),0)</f>
        <v>0.45</v>
      </c>
      <c r="J2917" s="103">
        <f t="shared" si="1"/>
        <v>0</v>
      </c>
      <c r="K2917" s="104" t="str">
        <f>IF(H2917&lt;0,"ERROR",IF(H2917=0,"",IF(H2917&lt;CONFIG!$B$4,"CRÍTICO",IF(H2917&lt;CONFIG!$B$5,"BAJO","OK"))))</f>
        <v/>
      </c>
    </row>
    <row r="2918" ht="15.75" customHeight="1">
      <c r="A2918" s="90" t="str">
        <f>IF(CLIENTES!A4="","",CLIENTES!A4)</f>
        <v>OverShark</v>
      </c>
      <c r="B2918" s="90" t="s">
        <v>333</v>
      </c>
      <c r="C2918" s="91" t="s">
        <v>334</v>
      </c>
      <c r="D2918" s="109" t="s">
        <v>353</v>
      </c>
      <c r="E2918" s="67" t="str">
        <f>COLORES!A15</f>
        <v>Plomo</v>
      </c>
      <c r="F2918" s="67" t="str">
        <f>COLORES!B15</f>
        <v>OSCURO</v>
      </c>
      <c r="G2918" s="90" t="s">
        <v>381</v>
      </c>
      <c r="H2918" s="100">
        <f>IFERROR(SUMIFS(MOVIMIENTOS_COMPLEMENTOS!$I$4:$I$803,MOVIMIENTOS_COMPLEMENTOS!$C$4:$C$803,A2918,MOVIMIENTOS_COMPLEMENTOS!$D$4:$D$803,B2918,MOVIMIENTOS_COMPLEMENTOS!$E$4:$E$803,C2918,MOVIMIENTOS_COMPLEMENTOS!$G$4:$G$803,E2918,MOVIMIENTOS_COMPLEMENTOS!$H$4:$H$803,G2918,MOVIMIENTOS_COMPLEMENTOS!$B$4:$B$803,"INGRESO")+SUMIFS(MOVIMIENTOS_COMPLEMENTOS!$I$4:$I$803,MOVIMIENTOS_COMPLEMENTOS!$C$4:$C$803,A2918,MOVIMIENTOS_COMPLEMENTOS!$D$4:$D$803,B2918,MOVIMIENTOS_COMPLEMENTOS!$E$4:$E$803,C2918,MOVIMIENTOS_COMPLEMENTOS!$G$4:$G$803,E2918,MOVIMIENTOS_COMPLEMENTOS!$H$4:$H$803,G2918,MOVIMIENTOS_COMPLEMENTOS!$B$4:$B$803,"DE CORTE")-SUMIFS(MOVIMIENTOS_COMPLEMENTOS!$I$4:$I$803,MOVIMIENTOS_COMPLEMENTOS!$C$4:$C$803,A2918,MOVIMIENTOS_COMPLEMENTOS!$D$4:$D$803,B2918,MOVIMIENTOS_COMPLEMENTOS!$E$4:$E$803,C2918,MOVIMIENTOS_COMPLEMENTOS!$G$4:$G$803,E2918,MOVIMIENTOS_COMPLEMENTOS!$H$4:$H$803,G2918,MOVIMIENTOS_COMPLEMENTOS!$B$4:$B$803,"SALIDA"),0)</f>
        <v>0</v>
      </c>
      <c r="I2918" s="102">
        <f t="array" ref="I2918">IFERROR(INDEX(PRECIOS_COMPLEMENTOS!$C$4:$F$17,MATCH(B2918&amp;"_"&amp;C2918,PRECIOS_COMPLEMENTOS!$H$4:$H$17,0),IF(OR(G2918="S",G2918="20cm"),1,IF(OR(G2918="M",G2918="25cm"),2,IF(OR(G2918="L",G2918="30cm"),3,IF(OR(G2918="XL",G2918="35cm"),4,0))))),0)</f>
        <v>0.45</v>
      </c>
      <c r="J2918" s="103">
        <f t="shared" si="1"/>
        <v>0</v>
      </c>
      <c r="K2918" s="104" t="str">
        <f>IF(H2918&lt;0,"ERROR",IF(H2918=0,"",IF(H2918&lt;CONFIG!$B$4,"CRÍTICO",IF(H2918&lt;CONFIG!$B$5,"BAJO","OK"))))</f>
        <v/>
      </c>
    </row>
    <row r="2919" ht="15.75" customHeight="1">
      <c r="A2919" s="90" t="str">
        <f>IF(CLIENTES!A4="","",CLIENTES!A4)</f>
        <v>OverShark</v>
      </c>
      <c r="B2919" s="90" t="s">
        <v>333</v>
      </c>
      <c r="C2919" s="91" t="s">
        <v>334</v>
      </c>
      <c r="D2919" s="109" t="s">
        <v>353</v>
      </c>
      <c r="E2919" s="67" t="str">
        <f>COLORES!A15</f>
        <v>Plomo</v>
      </c>
      <c r="F2919" s="67" t="str">
        <f>COLORES!B15</f>
        <v>OSCURO</v>
      </c>
      <c r="G2919" s="90" t="s">
        <v>382</v>
      </c>
      <c r="H2919" s="100">
        <f>IFERROR(SUMIFS(MOVIMIENTOS_COMPLEMENTOS!$I$4:$I$803,MOVIMIENTOS_COMPLEMENTOS!$C$4:$C$803,A2919,MOVIMIENTOS_COMPLEMENTOS!$D$4:$D$803,B2919,MOVIMIENTOS_COMPLEMENTOS!$E$4:$E$803,C2919,MOVIMIENTOS_COMPLEMENTOS!$G$4:$G$803,E2919,MOVIMIENTOS_COMPLEMENTOS!$H$4:$H$803,G2919,MOVIMIENTOS_COMPLEMENTOS!$B$4:$B$803,"INGRESO")+SUMIFS(MOVIMIENTOS_COMPLEMENTOS!$I$4:$I$803,MOVIMIENTOS_COMPLEMENTOS!$C$4:$C$803,A2919,MOVIMIENTOS_COMPLEMENTOS!$D$4:$D$803,B2919,MOVIMIENTOS_COMPLEMENTOS!$E$4:$E$803,C2919,MOVIMIENTOS_COMPLEMENTOS!$G$4:$G$803,E2919,MOVIMIENTOS_COMPLEMENTOS!$H$4:$H$803,G2919,MOVIMIENTOS_COMPLEMENTOS!$B$4:$B$803,"DE CORTE")-SUMIFS(MOVIMIENTOS_COMPLEMENTOS!$I$4:$I$803,MOVIMIENTOS_COMPLEMENTOS!$C$4:$C$803,A2919,MOVIMIENTOS_COMPLEMENTOS!$D$4:$D$803,B2919,MOVIMIENTOS_COMPLEMENTOS!$E$4:$E$803,C2919,MOVIMIENTOS_COMPLEMENTOS!$G$4:$G$803,E2919,MOVIMIENTOS_COMPLEMENTOS!$H$4:$H$803,G2919,MOVIMIENTOS_COMPLEMENTOS!$B$4:$B$803,"SALIDA"),0)</f>
        <v>0</v>
      </c>
      <c r="I2919" s="102">
        <f t="array" ref="I2919">IFERROR(INDEX(PRECIOS_COMPLEMENTOS!$C$4:$F$17,MATCH(B2919&amp;"_"&amp;C2919,PRECIOS_COMPLEMENTOS!$H$4:$H$17,0),IF(OR(G2919="S",G2919="20cm"),1,IF(OR(G2919="M",G2919="25cm"),2,IF(OR(G2919="L",G2919="30cm"),3,IF(OR(G2919="XL",G2919="35cm"),4,0))))),0)</f>
        <v>0.45</v>
      </c>
      <c r="J2919" s="103">
        <f t="shared" si="1"/>
        <v>0</v>
      </c>
      <c r="K2919" s="104" t="str">
        <f>IF(H2919&lt;0,"ERROR",IF(H2919=0,"",IF(H2919&lt;CONFIG!$B$4,"CRÍTICO",IF(H2919&lt;CONFIG!$B$5,"BAJO","OK"))))</f>
        <v/>
      </c>
    </row>
    <row r="2920" ht="15.75" customHeight="1">
      <c r="A2920" s="90" t="str">
        <f>IF(CLIENTES!A4="","",CLIENTES!A4)</f>
        <v>OverShark</v>
      </c>
      <c r="B2920" s="90" t="s">
        <v>333</v>
      </c>
      <c r="C2920" s="91" t="s">
        <v>334</v>
      </c>
      <c r="D2920" s="109" t="s">
        <v>353</v>
      </c>
      <c r="E2920" s="67" t="str">
        <f>COLORES!A16</f>
        <v>Topo</v>
      </c>
      <c r="F2920" s="67" t="str">
        <f>COLORES!B16</f>
        <v>CLARO</v>
      </c>
      <c r="G2920" s="90" t="s">
        <v>380</v>
      </c>
      <c r="H2920" s="100">
        <f>IFERROR(SUMIFS(MOVIMIENTOS_COMPLEMENTOS!$I$4:$I$803,MOVIMIENTOS_COMPLEMENTOS!$C$4:$C$803,A2920,MOVIMIENTOS_COMPLEMENTOS!$D$4:$D$803,B2920,MOVIMIENTOS_COMPLEMENTOS!$E$4:$E$803,C2920,MOVIMIENTOS_COMPLEMENTOS!$G$4:$G$803,E2920,MOVIMIENTOS_COMPLEMENTOS!$H$4:$H$803,G2920,MOVIMIENTOS_COMPLEMENTOS!$B$4:$B$803,"INGRESO")+SUMIFS(MOVIMIENTOS_COMPLEMENTOS!$I$4:$I$803,MOVIMIENTOS_COMPLEMENTOS!$C$4:$C$803,A2920,MOVIMIENTOS_COMPLEMENTOS!$D$4:$D$803,B2920,MOVIMIENTOS_COMPLEMENTOS!$E$4:$E$803,C2920,MOVIMIENTOS_COMPLEMENTOS!$G$4:$G$803,E2920,MOVIMIENTOS_COMPLEMENTOS!$H$4:$H$803,G2920,MOVIMIENTOS_COMPLEMENTOS!$B$4:$B$803,"DE CORTE")-SUMIFS(MOVIMIENTOS_COMPLEMENTOS!$I$4:$I$803,MOVIMIENTOS_COMPLEMENTOS!$C$4:$C$803,A2920,MOVIMIENTOS_COMPLEMENTOS!$D$4:$D$803,B2920,MOVIMIENTOS_COMPLEMENTOS!$E$4:$E$803,C2920,MOVIMIENTOS_COMPLEMENTOS!$G$4:$G$803,E2920,MOVIMIENTOS_COMPLEMENTOS!$H$4:$H$803,G2920,MOVIMIENTOS_COMPLEMENTOS!$B$4:$B$803,"SALIDA"),0)</f>
        <v>0</v>
      </c>
      <c r="I2920" s="102">
        <f t="array" ref="I2920">IFERROR(INDEX(PRECIOS_COMPLEMENTOS!$C$4:$F$17,MATCH(B2920&amp;"_"&amp;C2920,PRECIOS_COMPLEMENTOS!$H$4:$H$17,0),IF(OR(G2920="S",G2920="20cm"),1,IF(OR(G2920="M",G2920="25cm"),2,IF(OR(G2920="L",G2920="30cm"),3,IF(OR(G2920="XL",G2920="35cm"),4,0))))),0)</f>
        <v>0.45</v>
      </c>
      <c r="J2920" s="103">
        <f t="shared" si="1"/>
        <v>0</v>
      </c>
      <c r="K2920" s="104" t="str">
        <f>IF(H2920&lt;0,"ERROR",IF(H2920=0,"",IF(H2920&lt;CONFIG!$B$4,"CRÍTICO",IF(H2920&lt;CONFIG!$B$5,"BAJO","OK"))))</f>
        <v/>
      </c>
    </row>
    <row r="2921" ht="15.75" customHeight="1">
      <c r="A2921" s="90" t="str">
        <f>IF(CLIENTES!A4="","",CLIENTES!A4)</f>
        <v>OverShark</v>
      </c>
      <c r="B2921" s="90" t="s">
        <v>333</v>
      </c>
      <c r="C2921" s="91" t="s">
        <v>334</v>
      </c>
      <c r="D2921" s="109" t="s">
        <v>353</v>
      </c>
      <c r="E2921" s="67" t="str">
        <f>COLORES!A16</f>
        <v>Topo</v>
      </c>
      <c r="F2921" s="67" t="str">
        <f>COLORES!B16</f>
        <v>CLARO</v>
      </c>
      <c r="G2921" s="90" t="s">
        <v>381</v>
      </c>
      <c r="H2921" s="100">
        <f>IFERROR(SUMIFS(MOVIMIENTOS_COMPLEMENTOS!$I$4:$I$803,MOVIMIENTOS_COMPLEMENTOS!$C$4:$C$803,A2921,MOVIMIENTOS_COMPLEMENTOS!$D$4:$D$803,B2921,MOVIMIENTOS_COMPLEMENTOS!$E$4:$E$803,C2921,MOVIMIENTOS_COMPLEMENTOS!$G$4:$G$803,E2921,MOVIMIENTOS_COMPLEMENTOS!$H$4:$H$803,G2921,MOVIMIENTOS_COMPLEMENTOS!$B$4:$B$803,"INGRESO")+SUMIFS(MOVIMIENTOS_COMPLEMENTOS!$I$4:$I$803,MOVIMIENTOS_COMPLEMENTOS!$C$4:$C$803,A2921,MOVIMIENTOS_COMPLEMENTOS!$D$4:$D$803,B2921,MOVIMIENTOS_COMPLEMENTOS!$E$4:$E$803,C2921,MOVIMIENTOS_COMPLEMENTOS!$G$4:$G$803,E2921,MOVIMIENTOS_COMPLEMENTOS!$H$4:$H$803,G2921,MOVIMIENTOS_COMPLEMENTOS!$B$4:$B$803,"DE CORTE")-SUMIFS(MOVIMIENTOS_COMPLEMENTOS!$I$4:$I$803,MOVIMIENTOS_COMPLEMENTOS!$C$4:$C$803,A2921,MOVIMIENTOS_COMPLEMENTOS!$D$4:$D$803,B2921,MOVIMIENTOS_COMPLEMENTOS!$E$4:$E$803,C2921,MOVIMIENTOS_COMPLEMENTOS!$G$4:$G$803,E2921,MOVIMIENTOS_COMPLEMENTOS!$H$4:$H$803,G2921,MOVIMIENTOS_COMPLEMENTOS!$B$4:$B$803,"SALIDA"),0)</f>
        <v>0</v>
      </c>
      <c r="I2921" s="102">
        <f t="array" ref="I2921">IFERROR(INDEX(PRECIOS_COMPLEMENTOS!$C$4:$F$17,MATCH(B2921&amp;"_"&amp;C2921,PRECIOS_COMPLEMENTOS!$H$4:$H$17,0),IF(OR(G2921="S",G2921="20cm"),1,IF(OR(G2921="M",G2921="25cm"),2,IF(OR(G2921="L",G2921="30cm"),3,IF(OR(G2921="XL",G2921="35cm"),4,0))))),0)</f>
        <v>0.45</v>
      </c>
      <c r="J2921" s="103">
        <f t="shared" si="1"/>
        <v>0</v>
      </c>
      <c r="K2921" s="104" t="str">
        <f>IF(H2921&lt;0,"ERROR",IF(H2921=0,"",IF(H2921&lt;CONFIG!$B$4,"CRÍTICO",IF(H2921&lt;CONFIG!$B$5,"BAJO","OK"))))</f>
        <v/>
      </c>
    </row>
    <row r="2922" ht="15.75" customHeight="1">
      <c r="A2922" s="90" t="str">
        <f>IF(CLIENTES!A4="","",CLIENTES!A4)</f>
        <v>OverShark</v>
      </c>
      <c r="B2922" s="90" t="s">
        <v>333</v>
      </c>
      <c r="C2922" s="91" t="s">
        <v>334</v>
      </c>
      <c r="D2922" s="109" t="s">
        <v>353</v>
      </c>
      <c r="E2922" s="67" t="str">
        <f>COLORES!A16</f>
        <v>Topo</v>
      </c>
      <c r="F2922" s="67" t="str">
        <f>COLORES!B16</f>
        <v>CLARO</v>
      </c>
      <c r="G2922" s="90" t="s">
        <v>382</v>
      </c>
      <c r="H2922" s="100">
        <f>IFERROR(SUMIFS(MOVIMIENTOS_COMPLEMENTOS!$I$4:$I$803,MOVIMIENTOS_COMPLEMENTOS!$C$4:$C$803,A2922,MOVIMIENTOS_COMPLEMENTOS!$D$4:$D$803,B2922,MOVIMIENTOS_COMPLEMENTOS!$E$4:$E$803,C2922,MOVIMIENTOS_COMPLEMENTOS!$G$4:$G$803,E2922,MOVIMIENTOS_COMPLEMENTOS!$H$4:$H$803,G2922,MOVIMIENTOS_COMPLEMENTOS!$B$4:$B$803,"INGRESO")+SUMIFS(MOVIMIENTOS_COMPLEMENTOS!$I$4:$I$803,MOVIMIENTOS_COMPLEMENTOS!$C$4:$C$803,A2922,MOVIMIENTOS_COMPLEMENTOS!$D$4:$D$803,B2922,MOVIMIENTOS_COMPLEMENTOS!$E$4:$E$803,C2922,MOVIMIENTOS_COMPLEMENTOS!$G$4:$G$803,E2922,MOVIMIENTOS_COMPLEMENTOS!$H$4:$H$803,G2922,MOVIMIENTOS_COMPLEMENTOS!$B$4:$B$803,"DE CORTE")-SUMIFS(MOVIMIENTOS_COMPLEMENTOS!$I$4:$I$803,MOVIMIENTOS_COMPLEMENTOS!$C$4:$C$803,A2922,MOVIMIENTOS_COMPLEMENTOS!$D$4:$D$803,B2922,MOVIMIENTOS_COMPLEMENTOS!$E$4:$E$803,C2922,MOVIMIENTOS_COMPLEMENTOS!$G$4:$G$803,E2922,MOVIMIENTOS_COMPLEMENTOS!$H$4:$H$803,G2922,MOVIMIENTOS_COMPLEMENTOS!$B$4:$B$803,"SALIDA"),0)</f>
        <v>0</v>
      </c>
      <c r="I2922" s="102">
        <f t="array" ref="I2922">IFERROR(INDEX(PRECIOS_COMPLEMENTOS!$C$4:$F$17,MATCH(B2922&amp;"_"&amp;C2922,PRECIOS_COMPLEMENTOS!$H$4:$H$17,0),IF(OR(G2922="S",G2922="20cm"),1,IF(OR(G2922="M",G2922="25cm"),2,IF(OR(G2922="L",G2922="30cm"),3,IF(OR(G2922="XL",G2922="35cm"),4,0))))),0)</f>
        <v>0.45</v>
      </c>
      <c r="J2922" s="103">
        <f t="shared" si="1"/>
        <v>0</v>
      </c>
      <c r="K2922" s="104" t="str">
        <f>IF(H2922&lt;0,"ERROR",IF(H2922=0,"",IF(H2922&lt;CONFIG!$B$4,"CRÍTICO",IF(H2922&lt;CONFIG!$B$5,"BAJO","OK"))))</f>
        <v/>
      </c>
    </row>
    <row r="2923" ht="15.75" customHeight="1">
      <c r="A2923" s="90" t="str">
        <f>IF(CLIENTES!A4="","",CLIENTES!A4)</f>
        <v>OverShark</v>
      </c>
      <c r="B2923" s="90" t="s">
        <v>333</v>
      </c>
      <c r="C2923" s="91" t="s">
        <v>334</v>
      </c>
      <c r="D2923" s="109" t="s">
        <v>353</v>
      </c>
      <c r="E2923" s="67" t="str">
        <f>COLORES!A17</f>
        <v>Vino</v>
      </c>
      <c r="F2923" s="67" t="str">
        <f>COLORES!B17</f>
        <v>OSCURO</v>
      </c>
      <c r="G2923" s="90" t="s">
        <v>380</v>
      </c>
      <c r="H2923" s="100">
        <f>IFERROR(SUMIFS(MOVIMIENTOS_COMPLEMENTOS!$I$4:$I$803,MOVIMIENTOS_COMPLEMENTOS!$C$4:$C$803,A2923,MOVIMIENTOS_COMPLEMENTOS!$D$4:$D$803,B2923,MOVIMIENTOS_COMPLEMENTOS!$E$4:$E$803,C2923,MOVIMIENTOS_COMPLEMENTOS!$G$4:$G$803,E2923,MOVIMIENTOS_COMPLEMENTOS!$H$4:$H$803,G2923,MOVIMIENTOS_COMPLEMENTOS!$B$4:$B$803,"INGRESO")+SUMIFS(MOVIMIENTOS_COMPLEMENTOS!$I$4:$I$803,MOVIMIENTOS_COMPLEMENTOS!$C$4:$C$803,A2923,MOVIMIENTOS_COMPLEMENTOS!$D$4:$D$803,B2923,MOVIMIENTOS_COMPLEMENTOS!$E$4:$E$803,C2923,MOVIMIENTOS_COMPLEMENTOS!$G$4:$G$803,E2923,MOVIMIENTOS_COMPLEMENTOS!$H$4:$H$803,G2923,MOVIMIENTOS_COMPLEMENTOS!$B$4:$B$803,"DE CORTE")-SUMIFS(MOVIMIENTOS_COMPLEMENTOS!$I$4:$I$803,MOVIMIENTOS_COMPLEMENTOS!$C$4:$C$803,A2923,MOVIMIENTOS_COMPLEMENTOS!$D$4:$D$803,B2923,MOVIMIENTOS_COMPLEMENTOS!$E$4:$E$803,C2923,MOVIMIENTOS_COMPLEMENTOS!$G$4:$G$803,E2923,MOVIMIENTOS_COMPLEMENTOS!$H$4:$H$803,G2923,MOVIMIENTOS_COMPLEMENTOS!$B$4:$B$803,"SALIDA"),0)</f>
        <v>0</v>
      </c>
      <c r="I2923" s="102">
        <f t="array" ref="I2923">IFERROR(INDEX(PRECIOS_COMPLEMENTOS!$C$4:$F$17,MATCH(B2923&amp;"_"&amp;C2923,PRECIOS_COMPLEMENTOS!$H$4:$H$17,0),IF(OR(G2923="S",G2923="20cm"),1,IF(OR(G2923="M",G2923="25cm"),2,IF(OR(G2923="L",G2923="30cm"),3,IF(OR(G2923="XL",G2923="35cm"),4,0))))),0)</f>
        <v>0.45</v>
      </c>
      <c r="J2923" s="103">
        <f t="shared" si="1"/>
        <v>0</v>
      </c>
      <c r="K2923" s="104" t="str">
        <f>IF(H2923&lt;0,"ERROR",IF(H2923=0,"",IF(H2923&lt;CONFIG!$B$4,"CRÍTICO",IF(H2923&lt;CONFIG!$B$5,"BAJO","OK"))))</f>
        <v/>
      </c>
    </row>
    <row r="2924" ht="15.75" customHeight="1">
      <c r="A2924" s="90" t="str">
        <f>IF(CLIENTES!A4="","",CLIENTES!A4)</f>
        <v>OverShark</v>
      </c>
      <c r="B2924" s="90" t="s">
        <v>333</v>
      </c>
      <c r="C2924" s="91" t="s">
        <v>334</v>
      </c>
      <c r="D2924" s="109" t="s">
        <v>353</v>
      </c>
      <c r="E2924" s="67" t="str">
        <f>COLORES!A17</f>
        <v>Vino</v>
      </c>
      <c r="F2924" s="67" t="str">
        <f>COLORES!B17</f>
        <v>OSCURO</v>
      </c>
      <c r="G2924" s="90" t="s">
        <v>381</v>
      </c>
      <c r="H2924" s="100">
        <f>IFERROR(SUMIFS(MOVIMIENTOS_COMPLEMENTOS!$I$4:$I$803,MOVIMIENTOS_COMPLEMENTOS!$C$4:$C$803,A2924,MOVIMIENTOS_COMPLEMENTOS!$D$4:$D$803,B2924,MOVIMIENTOS_COMPLEMENTOS!$E$4:$E$803,C2924,MOVIMIENTOS_COMPLEMENTOS!$G$4:$G$803,E2924,MOVIMIENTOS_COMPLEMENTOS!$H$4:$H$803,G2924,MOVIMIENTOS_COMPLEMENTOS!$B$4:$B$803,"INGRESO")+SUMIFS(MOVIMIENTOS_COMPLEMENTOS!$I$4:$I$803,MOVIMIENTOS_COMPLEMENTOS!$C$4:$C$803,A2924,MOVIMIENTOS_COMPLEMENTOS!$D$4:$D$803,B2924,MOVIMIENTOS_COMPLEMENTOS!$E$4:$E$803,C2924,MOVIMIENTOS_COMPLEMENTOS!$G$4:$G$803,E2924,MOVIMIENTOS_COMPLEMENTOS!$H$4:$H$803,G2924,MOVIMIENTOS_COMPLEMENTOS!$B$4:$B$803,"DE CORTE")-SUMIFS(MOVIMIENTOS_COMPLEMENTOS!$I$4:$I$803,MOVIMIENTOS_COMPLEMENTOS!$C$4:$C$803,A2924,MOVIMIENTOS_COMPLEMENTOS!$D$4:$D$803,B2924,MOVIMIENTOS_COMPLEMENTOS!$E$4:$E$803,C2924,MOVIMIENTOS_COMPLEMENTOS!$G$4:$G$803,E2924,MOVIMIENTOS_COMPLEMENTOS!$H$4:$H$803,G2924,MOVIMIENTOS_COMPLEMENTOS!$B$4:$B$803,"SALIDA"),0)</f>
        <v>0</v>
      </c>
      <c r="I2924" s="102">
        <f t="array" ref="I2924">IFERROR(INDEX(PRECIOS_COMPLEMENTOS!$C$4:$F$17,MATCH(B2924&amp;"_"&amp;C2924,PRECIOS_COMPLEMENTOS!$H$4:$H$17,0),IF(OR(G2924="S",G2924="20cm"),1,IF(OR(G2924="M",G2924="25cm"),2,IF(OR(G2924="L",G2924="30cm"),3,IF(OR(G2924="XL",G2924="35cm"),4,0))))),0)</f>
        <v>0.45</v>
      </c>
      <c r="J2924" s="103">
        <f t="shared" si="1"/>
        <v>0</v>
      </c>
      <c r="K2924" s="104" t="str">
        <f>IF(H2924&lt;0,"ERROR",IF(H2924=0,"",IF(H2924&lt;CONFIG!$B$4,"CRÍTICO",IF(H2924&lt;CONFIG!$B$5,"BAJO","OK"))))</f>
        <v/>
      </c>
    </row>
    <row r="2925" ht="15.75" customHeight="1">
      <c r="A2925" s="90" t="str">
        <f>IF(CLIENTES!A4="","",CLIENTES!A4)</f>
        <v>OverShark</v>
      </c>
      <c r="B2925" s="90" t="s">
        <v>333</v>
      </c>
      <c r="C2925" s="91" t="s">
        <v>334</v>
      </c>
      <c r="D2925" s="109" t="s">
        <v>353</v>
      </c>
      <c r="E2925" s="67" t="str">
        <f>COLORES!A17</f>
        <v>Vino</v>
      </c>
      <c r="F2925" s="67" t="str">
        <f>COLORES!B17</f>
        <v>OSCURO</v>
      </c>
      <c r="G2925" s="90" t="s">
        <v>382</v>
      </c>
      <c r="H2925" s="100">
        <f>IFERROR(SUMIFS(MOVIMIENTOS_COMPLEMENTOS!$I$4:$I$803,MOVIMIENTOS_COMPLEMENTOS!$C$4:$C$803,A2925,MOVIMIENTOS_COMPLEMENTOS!$D$4:$D$803,B2925,MOVIMIENTOS_COMPLEMENTOS!$E$4:$E$803,C2925,MOVIMIENTOS_COMPLEMENTOS!$G$4:$G$803,E2925,MOVIMIENTOS_COMPLEMENTOS!$H$4:$H$803,G2925,MOVIMIENTOS_COMPLEMENTOS!$B$4:$B$803,"INGRESO")+SUMIFS(MOVIMIENTOS_COMPLEMENTOS!$I$4:$I$803,MOVIMIENTOS_COMPLEMENTOS!$C$4:$C$803,A2925,MOVIMIENTOS_COMPLEMENTOS!$D$4:$D$803,B2925,MOVIMIENTOS_COMPLEMENTOS!$E$4:$E$803,C2925,MOVIMIENTOS_COMPLEMENTOS!$G$4:$G$803,E2925,MOVIMIENTOS_COMPLEMENTOS!$H$4:$H$803,G2925,MOVIMIENTOS_COMPLEMENTOS!$B$4:$B$803,"DE CORTE")-SUMIFS(MOVIMIENTOS_COMPLEMENTOS!$I$4:$I$803,MOVIMIENTOS_COMPLEMENTOS!$C$4:$C$803,A2925,MOVIMIENTOS_COMPLEMENTOS!$D$4:$D$803,B2925,MOVIMIENTOS_COMPLEMENTOS!$E$4:$E$803,C2925,MOVIMIENTOS_COMPLEMENTOS!$G$4:$G$803,E2925,MOVIMIENTOS_COMPLEMENTOS!$H$4:$H$803,G2925,MOVIMIENTOS_COMPLEMENTOS!$B$4:$B$803,"SALIDA"),0)</f>
        <v>0</v>
      </c>
      <c r="I2925" s="102">
        <f t="array" ref="I2925">IFERROR(INDEX(PRECIOS_COMPLEMENTOS!$C$4:$F$17,MATCH(B2925&amp;"_"&amp;C2925,PRECIOS_COMPLEMENTOS!$H$4:$H$17,0),IF(OR(G2925="S",G2925="20cm"),1,IF(OR(G2925="M",G2925="25cm"),2,IF(OR(G2925="L",G2925="30cm"),3,IF(OR(G2925="XL",G2925="35cm"),4,0))))),0)</f>
        <v>0.45</v>
      </c>
      <c r="J2925" s="103">
        <f t="shared" si="1"/>
        <v>0</v>
      </c>
      <c r="K2925" s="104" t="str">
        <f>IF(H2925&lt;0,"ERROR",IF(H2925=0,"",IF(H2925&lt;CONFIG!$B$4,"CRÍTICO",IF(H2925&lt;CONFIG!$B$5,"BAJO","OK"))))</f>
        <v/>
      </c>
    </row>
    <row r="2926" ht="15.75" customHeight="1">
      <c r="A2926" s="90" t="str">
        <f>IF(CLIENTES!A4="","",CLIENTES!A4)</f>
        <v>OverShark</v>
      </c>
      <c r="B2926" s="90" t="s">
        <v>333</v>
      </c>
      <c r="C2926" s="91" t="s">
        <v>334</v>
      </c>
      <c r="D2926" s="109" t="s">
        <v>353</v>
      </c>
      <c r="E2926" s="67" t="str">
        <f>COLORES!A18</f>
        <v>P. Rosa</v>
      </c>
      <c r="F2926" s="67" t="str">
        <f>COLORES!B18</f>
        <v>CLARO</v>
      </c>
      <c r="G2926" s="90" t="s">
        <v>380</v>
      </c>
      <c r="H2926" s="100">
        <f>IFERROR(SUMIFS(MOVIMIENTOS_COMPLEMENTOS!$I$4:$I$803,MOVIMIENTOS_COMPLEMENTOS!$C$4:$C$803,A2926,MOVIMIENTOS_COMPLEMENTOS!$D$4:$D$803,B2926,MOVIMIENTOS_COMPLEMENTOS!$E$4:$E$803,C2926,MOVIMIENTOS_COMPLEMENTOS!$G$4:$G$803,E2926,MOVIMIENTOS_COMPLEMENTOS!$H$4:$H$803,G2926,MOVIMIENTOS_COMPLEMENTOS!$B$4:$B$803,"INGRESO")+SUMIFS(MOVIMIENTOS_COMPLEMENTOS!$I$4:$I$803,MOVIMIENTOS_COMPLEMENTOS!$C$4:$C$803,A2926,MOVIMIENTOS_COMPLEMENTOS!$D$4:$D$803,B2926,MOVIMIENTOS_COMPLEMENTOS!$E$4:$E$803,C2926,MOVIMIENTOS_COMPLEMENTOS!$G$4:$G$803,E2926,MOVIMIENTOS_COMPLEMENTOS!$H$4:$H$803,G2926,MOVIMIENTOS_COMPLEMENTOS!$B$4:$B$803,"DE CORTE")-SUMIFS(MOVIMIENTOS_COMPLEMENTOS!$I$4:$I$803,MOVIMIENTOS_COMPLEMENTOS!$C$4:$C$803,A2926,MOVIMIENTOS_COMPLEMENTOS!$D$4:$D$803,B2926,MOVIMIENTOS_COMPLEMENTOS!$E$4:$E$803,C2926,MOVIMIENTOS_COMPLEMENTOS!$G$4:$G$803,E2926,MOVIMIENTOS_COMPLEMENTOS!$H$4:$H$803,G2926,MOVIMIENTOS_COMPLEMENTOS!$B$4:$B$803,"SALIDA"),0)</f>
        <v>0</v>
      </c>
      <c r="I2926" s="102">
        <f t="array" ref="I2926">IFERROR(INDEX(PRECIOS_COMPLEMENTOS!$C$4:$F$17,MATCH(B2926&amp;"_"&amp;C2926,PRECIOS_COMPLEMENTOS!$H$4:$H$17,0),IF(OR(G2926="S",G2926="20cm"),1,IF(OR(G2926="M",G2926="25cm"),2,IF(OR(G2926="L",G2926="30cm"),3,IF(OR(G2926="XL",G2926="35cm"),4,0))))),0)</f>
        <v>0.45</v>
      </c>
      <c r="J2926" s="103">
        <f t="shared" si="1"/>
        <v>0</v>
      </c>
      <c r="K2926" s="104" t="str">
        <f>IF(H2926&lt;0,"ERROR",IF(H2926=0,"",IF(H2926&lt;CONFIG!$B$4,"CRÍTICO",IF(H2926&lt;CONFIG!$B$5,"BAJO","OK"))))</f>
        <v/>
      </c>
    </row>
    <row r="2927" ht="15.75" customHeight="1">
      <c r="A2927" s="90" t="str">
        <f>IF(CLIENTES!A4="","",CLIENTES!A4)</f>
        <v>OverShark</v>
      </c>
      <c r="B2927" s="90" t="s">
        <v>333</v>
      </c>
      <c r="C2927" s="91" t="s">
        <v>334</v>
      </c>
      <c r="D2927" s="109" t="s">
        <v>353</v>
      </c>
      <c r="E2927" s="67" t="str">
        <f>COLORES!A18</f>
        <v>P. Rosa</v>
      </c>
      <c r="F2927" s="67" t="str">
        <f>COLORES!B18</f>
        <v>CLARO</v>
      </c>
      <c r="G2927" s="90" t="s">
        <v>381</v>
      </c>
      <c r="H2927" s="100">
        <f>IFERROR(SUMIFS(MOVIMIENTOS_COMPLEMENTOS!$I$4:$I$803,MOVIMIENTOS_COMPLEMENTOS!$C$4:$C$803,A2927,MOVIMIENTOS_COMPLEMENTOS!$D$4:$D$803,B2927,MOVIMIENTOS_COMPLEMENTOS!$E$4:$E$803,C2927,MOVIMIENTOS_COMPLEMENTOS!$G$4:$G$803,E2927,MOVIMIENTOS_COMPLEMENTOS!$H$4:$H$803,G2927,MOVIMIENTOS_COMPLEMENTOS!$B$4:$B$803,"INGRESO")+SUMIFS(MOVIMIENTOS_COMPLEMENTOS!$I$4:$I$803,MOVIMIENTOS_COMPLEMENTOS!$C$4:$C$803,A2927,MOVIMIENTOS_COMPLEMENTOS!$D$4:$D$803,B2927,MOVIMIENTOS_COMPLEMENTOS!$E$4:$E$803,C2927,MOVIMIENTOS_COMPLEMENTOS!$G$4:$G$803,E2927,MOVIMIENTOS_COMPLEMENTOS!$H$4:$H$803,G2927,MOVIMIENTOS_COMPLEMENTOS!$B$4:$B$803,"DE CORTE")-SUMIFS(MOVIMIENTOS_COMPLEMENTOS!$I$4:$I$803,MOVIMIENTOS_COMPLEMENTOS!$C$4:$C$803,A2927,MOVIMIENTOS_COMPLEMENTOS!$D$4:$D$803,B2927,MOVIMIENTOS_COMPLEMENTOS!$E$4:$E$803,C2927,MOVIMIENTOS_COMPLEMENTOS!$G$4:$G$803,E2927,MOVIMIENTOS_COMPLEMENTOS!$H$4:$H$803,G2927,MOVIMIENTOS_COMPLEMENTOS!$B$4:$B$803,"SALIDA"),0)</f>
        <v>0</v>
      </c>
      <c r="I2927" s="102">
        <f t="array" ref="I2927">IFERROR(INDEX(PRECIOS_COMPLEMENTOS!$C$4:$F$17,MATCH(B2927&amp;"_"&amp;C2927,PRECIOS_COMPLEMENTOS!$H$4:$H$17,0),IF(OR(G2927="S",G2927="20cm"),1,IF(OR(G2927="M",G2927="25cm"),2,IF(OR(G2927="L",G2927="30cm"),3,IF(OR(G2927="XL",G2927="35cm"),4,0))))),0)</f>
        <v>0.45</v>
      </c>
      <c r="J2927" s="103">
        <f t="shared" si="1"/>
        <v>0</v>
      </c>
      <c r="K2927" s="104" t="str">
        <f>IF(H2927&lt;0,"ERROR",IF(H2927=0,"",IF(H2927&lt;CONFIG!$B$4,"CRÍTICO",IF(H2927&lt;CONFIG!$B$5,"BAJO","OK"))))</f>
        <v/>
      </c>
    </row>
    <row r="2928" ht="15.75" customHeight="1">
      <c r="A2928" s="90" t="str">
        <f>IF(CLIENTES!A4="","",CLIENTES!A4)</f>
        <v>OverShark</v>
      </c>
      <c r="B2928" s="90" t="s">
        <v>333</v>
      </c>
      <c r="C2928" s="91" t="s">
        <v>334</v>
      </c>
      <c r="D2928" s="109" t="s">
        <v>353</v>
      </c>
      <c r="E2928" s="67" t="str">
        <f>COLORES!A18</f>
        <v>P. Rosa</v>
      </c>
      <c r="F2928" s="67" t="str">
        <f>COLORES!B18</f>
        <v>CLARO</v>
      </c>
      <c r="G2928" s="90" t="s">
        <v>382</v>
      </c>
      <c r="H2928" s="100">
        <f>IFERROR(SUMIFS(MOVIMIENTOS_COMPLEMENTOS!$I$4:$I$803,MOVIMIENTOS_COMPLEMENTOS!$C$4:$C$803,A2928,MOVIMIENTOS_COMPLEMENTOS!$D$4:$D$803,B2928,MOVIMIENTOS_COMPLEMENTOS!$E$4:$E$803,C2928,MOVIMIENTOS_COMPLEMENTOS!$G$4:$G$803,E2928,MOVIMIENTOS_COMPLEMENTOS!$H$4:$H$803,G2928,MOVIMIENTOS_COMPLEMENTOS!$B$4:$B$803,"INGRESO")+SUMIFS(MOVIMIENTOS_COMPLEMENTOS!$I$4:$I$803,MOVIMIENTOS_COMPLEMENTOS!$C$4:$C$803,A2928,MOVIMIENTOS_COMPLEMENTOS!$D$4:$D$803,B2928,MOVIMIENTOS_COMPLEMENTOS!$E$4:$E$803,C2928,MOVIMIENTOS_COMPLEMENTOS!$G$4:$G$803,E2928,MOVIMIENTOS_COMPLEMENTOS!$H$4:$H$803,G2928,MOVIMIENTOS_COMPLEMENTOS!$B$4:$B$803,"DE CORTE")-SUMIFS(MOVIMIENTOS_COMPLEMENTOS!$I$4:$I$803,MOVIMIENTOS_COMPLEMENTOS!$C$4:$C$803,A2928,MOVIMIENTOS_COMPLEMENTOS!$D$4:$D$803,B2928,MOVIMIENTOS_COMPLEMENTOS!$E$4:$E$803,C2928,MOVIMIENTOS_COMPLEMENTOS!$G$4:$G$803,E2928,MOVIMIENTOS_COMPLEMENTOS!$H$4:$H$803,G2928,MOVIMIENTOS_COMPLEMENTOS!$B$4:$B$803,"SALIDA"),0)</f>
        <v>0</v>
      </c>
      <c r="I2928" s="102">
        <f t="array" ref="I2928">IFERROR(INDEX(PRECIOS_COMPLEMENTOS!$C$4:$F$17,MATCH(B2928&amp;"_"&amp;C2928,PRECIOS_COMPLEMENTOS!$H$4:$H$17,0),IF(OR(G2928="S",G2928="20cm"),1,IF(OR(G2928="M",G2928="25cm"),2,IF(OR(G2928="L",G2928="30cm"),3,IF(OR(G2928="XL",G2928="35cm"),4,0))))),0)</f>
        <v>0.45</v>
      </c>
      <c r="J2928" s="103">
        <f t="shared" si="1"/>
        <v>0</v>
      </c>
      <c r="K2928" s="104" t="str">
        <f>IF(H2928&lt;0,"ERROR",IF(H2928=0,"",IF(H2928&lt;CONFIG!$B$4,"CRÍTICO",IF(H2928&lt;CONFIG!$B$5,"BAJO","OK"))))</f>
        <v/>
      </c>
    </row>
    <row r="2929" ht="15.75" customHeight="1">
      <c r="A2929" s="90" t="str">
        <f>IF(CLIENTES!A4="","",CLIENTES!A4)</f>
        <v>OverShark</v>
      </c>
      <c r="B2929" s="90" t="s">
        <v>333</v>
      </c>
      <c r="C2929" s="91" t="s">
        <v>334</v>
      </c>
      <c r="D2929" s="109" t="s">
        <v>353</v>
      </c>
      <c r="E2929" s="67" t="str">
        <f>COLORES!A19</f>
        <v/>
      </c>
      <c r="F2929" s="67" t="str">
        <f>COLORES!B19</f>
        <v/>
      </c>
      <c r="G2929" s="90" t="s">
        <v>380</v>
      </c>
      <c r="H2929" s="100">
        <f>IFERROR(SUMIFS(MOVIMIENTOS_COMPLEMENTOS!$I$4:$I$803,MOVIMIENTOS_COMPLEMENTOS!$C$4:$C$803,A2929,MOVIMIENTOS_COMPLEMENTOS!$D$4:$D$803,B2929,MOVIMIENTOS_COMPLEMENTOS!$E$4:$E$803,C2929,MOVIMIENTOS_COMPLEMENTOS!$G$4:$G$803,E2929,MOVIMIENTOS_COMPLEMENTOS!$H$4:$H$803,G2929,MOVIMIENTOS_COMPLEMENTOS!$B$4:$B$803,"INGRESO")+SUMIFS(MOVIMIENTOS_COMPLEMENTOS!$I$4:$I$803,MOVIMIENTOS_COMPLEMENTOS!$C$4:$C$803,A2929,MOVIMIENTOS_COMPLEMENTOS!$D$4:$D$803,B2929,MOVIMIENTOS_COMPLEMENTOS!$E$4:$E$803,C2929,MOVIMIENTOS_COMPLEMENTOS!$G$4:$G$803,E2929,MOVIMIENTOS_COMPLEMENTOS!$H$4:$H$803,G2929,MOVIMIENTOS_COMPLEMENTOS!$B$4:$B$803,"DE CORTE")-SUMIFS(MOVIMIENTOS_COMPLEMENTOS!$I$4:$I$803,MOVIMIENTOS_COMPLEMENTOS!$C$4:$C$803,A2929,MOVIMIENTOS_COMPLEMENTOS!$D$4:$D$803,B2929,MOVIMIENTOS_COMPLEMENTOS!$E$4:$E$803,C2929,MOVIMIENTOS_COMPLEMENTOS!$G$4:$G$803,E2929,MOVIMIENTOS_COMPLEMENTOS!$H$4:$H$803,G2929,MOVIMIENTOS_COMPLEMENTOS!$B$4:$B$803,"SALIDA"),0)</f>
        <v>0</v>
      </c>
      <c r="I2929" s="102">
        <f t="array" ref="I2929">IFERROR(INDEX(PRECIOS_COMPLEMENTOS!$C$4:$F$17,MATCH(B2929&amp;"_"&amp;C2929,PRECIOS_COMPLEMENTOS!$H$4:$H$17,0),IF(OR(G2929="S",G2929="20cm"),1,IF(OR(G2929="M",G2929="25cm"),2,IF(OR(G2929="L",G2929="30cm"),3,IF(OR(G2929="XL",G2929="35cm"),4,0))))),0)</f>
        <v>0.45</v>
      </c>
      <c r="J2929" s="103">
        <f t="shared" si="1"/>
        <v>0</v>
      </c>
      <c r="K2929" s="104" t="str">
        <f>IF(H2929&lt;0,"ERROR",IF(H2929=0,"",IF(H2929&lt;CONFIG!$B$4,"CRÍTICO",IF(H2929&lt;CONFIG!$B$5,"BAJO","OK"))))</f>
        <v/>
      </c>
    </row>
    <row r="2930" ht="15.75" customHeight="1">
      <c r="A2930" s="90" t="str">
        <f>IF(CLIENTES!A4="","",CLIENTES!A4)</f>
        <v>OverShark</v>
      </c>
      <c r="B2930" s="90" t="s">
        <v>333</v>
      </c>
      <c r="C2930" s="91" t="s">
        <v>334</v>
      </c>
      <c r="D2930" s="109" t="s">
        <v>353</v>
      </c>
      <c r="E2930" s="67" t="str">
        <f>COLORES!A19</f>
        <v/>
      </c>
      <c r="F2930" s="67" t="str">
        <f>COLORES!B19</f>
        <v/>
      </c>
      <c r="G2930" s="90" t="s">
        <v>381</v>
      </c>
      <c r="H2930" s="100">
        <f>IFERROR(SUMIFS(MOVIMIENTOS_COMPLEMENTOS!$I$4:$I$803,MOVIMIENTOS_COMPLEMENTOS!$C$4:$C$803,A2930,MOVIMIENTOS_COMPLEMENTOS!$D$4:$D$803,B2930,MOVIMIENTOS_COMPLEMENTOS!$E$4:$E$803,C2930,MOVIMIENTOS_COMPLEMENTOS!$G$4:$G$803,E2930,MOVIMIENTOS_COMPLEMENTOS!$H$4:$H$803,G2930,MOVIMIENTOS_COMPLEMENTOS!$B$4:$B$803,"INGRESO")+SUMIFS(MOVIMIENTOS_COMPLEMENTOS!$I$4:$I$803,MOVIMIENTOS_COMPLEMENTOS!$C$4:$C$803,A2930,MOVIMIENTOS_COMPLEMENTOS!$D$4:$D$803,B2930,MOVIMIENTOS_COMPLEMENTOS!$E$4:$E$803,C2930,MOVIMIENTOS_COMPLEMENTOS!$G$4:$G$803,E2930,MOVIMIENTOS_COMPLEMENTOS!$H$4:$H$803,G2930,MOVIMIENTOS_COMPLEMENTOS!$B$4:$B$803,"DE CORTE")-SUMIFS(MOVIMIENTOS_COMPLEMENTOS!$I$4:$I$803,MOVIMIENTOS_COMPLEMENTOS!$C$4:$C$803,A2930,MOVIMIENTOS_COMPLEMENTOS!$D$4:$D$803,B2930,MOVIMIENTOS_COMPLEMENTOS!$E$4:$E$803,C2930,MOVIMIENTOS_COMPLEMENTOS!$G$4:$G$803,E2930,MOVIMIENTOS_COMPLEMENTOS!$H$4:$H$803,G2930,MOVIMIENTOS_COMPLEMENTOS!$B$4:$B$803,"SALIDA"),0)</f>
        <v>0</v>
      </c>
      <c r="I2930" s="102">
        <f t="array" ref="I2930">IFERROR(INDEX(PRECIOS_COMPLEMENTOS!$C$4:$F$17,MATCH(B2930&amp;"_"&amp;C2930,PRECIOS_COMPLEMENTOS!$H$4:$H$17,0),IF(OR(G2930="S",G2930="20cm"),1,IF(OR(G2930="M",G2930="25cm"),2,IF(OR(G2930="L",G2930="30cm"),3,IF(OR(G2930="XL",G2930="35cm"),4,0))))),0)</f>
        <v>0.45</v>
      </c>
      <c r="J2930" s="103">
        <f t="shared" si="1"/>
        <v>0</v>
      </c>
      <c r="K2930" s="104" t="str">
        <f>IF(H2930&lt;0,"ERROR",IF(H2930=0,"",IF(H2930&lt;CONFIG!$B$4,"CRÍTICO",IF(H2930&lt;CONFIG!$B$5,"BAJO","OK"))))</f>
        <v/>
      </c>
    </row>
    <row r="2931" ht="15.75" customHeight="1">
      <c r="A2931" s="90" t="str">
        <f>IF(CLIENTES!A4="","",CLIENTES!A4)</f>
        <v>OverShark</v>
      </c>
      <c r="B2931" s="90" t="s">
        <v>333</v>
      </c>
      <c r="C2931" s="91" t="s">
        <v>334</v>
      </c>
      <c r="D2931" s="109" t="s">
        <v>353</v>
      </c>
      <c r="E2931" s="67" t="str">
        <f>COLORES!A19</f>
        <v/>
      </c>
      <c r="F2931" s="67" t="str">
        <f>COLORES!B19</f>
        <v/>
      </c>
      <c r="G2931" s="90" t="s">
        <v>382</v>
      </c>
      <c r="H2931" s="100">
        <f>IFERROR(SUMIFS(MOVIMIENTOS_COMPLEMENTOS!$I$4:$I$803,MOVIMIENTOS_COMPLEMENTOS!$C$4:$C$803,A2931,MOVIMIENTOS_COMPLEMENTOS!$D$4:$D$803,B2931,MOVIMIENTOS_COMPLEMENTOS!$E$4:$E$803,C2931,MOVIMIENTOS_COMPLEMENTOS!$G$4:$G$803,E2931,MOVIMIENTOS_COMPLEMENTOS!$H$4:$H$803,G2931,MOVIMIENTOS_COMPLEMENTOS!$B$4:$B$803,"INGRESO")+SUMIFS(MOVIMIENTOS_COMPLEMENTOS!$I$4:$I$803,MOVIMIENTOS_COMPLEMENTOS!$C$4:$C$803,A2931,MOVIMIENTOS_COMPLEMENTOS!$D$4:$D$803,B2931,MOVIMIENTOS_COMPLEMENTOS!$E$4:$E$803,C2931,MOVIMIENTOS_COMPLEMENTOS!$G$4:$G$803,E2931,MOVIMIENTOS_COMPLEMENTOS!$H$4:$H$803,G2931,MOVIMIENTOS_COMPLEMENTOS!$B$4:$B$803,"DE CORTE")-SUMIFS(MOVIMIENTOS_COMPLEMENTOS!$I$4:$I$803,MOVIMIENTOS_COMPLEMENTOS!$C$4:$C$803,A2931,MOVIMIENTOS_COMPLEMENTOS!$D$4:$D$803,B2931,MOVIMIENTOS_COMPLEMENTOS!$E$4:$E$803,C2931,MOVIMIENTOS_COMPLEMENTOS!$G$4:$G$803,E2931,MOVIMIENTOS_COMPLEMENTOS!$H$4:$H$803,G2931,MOVIMIENTOS_COMPLEMENTOS!$B$4:$B$803,"SALIDA"),0)</f>
        <v>0</v>
      </c>
      <c r="I2931" s="102">
        <f t="array" ref="I2931">IFERROR(INDEX(PRECIOS_COMPLEMENTOS!$C$4:$F$17,MATCH(B2931&amp;"_"&amp;C2931,PRECIOS_COMPLEMENTOS!$H$4:$H$17,0),IF(OR(G2931="S",G2931="20cm"),1,IF(OR(G2931="M",G2931="25cm"),2,IF(OR(G2931="L",G2931="30cm"),3,IF(OR(G2931="XL",G2931="35cm"),4,0))))),0)</f>
        <v>0.45</v>
      </c>
      <c r="J2931" s="103">
        <f t="shared" si="1"/>
        <v>0</v>
      </c>
      <c r="K2931" s="104" t="str">
        <f>IF(H2931&lt;0,"ERROR",IF(H2931=0,"",IF(H2931&lt;CONFIG!$B$4,"CRÍTICO",IF(H2931&lt;CONFIG!$B$5,"BAJO","OK"))))</f>
        <v/>
      </c>
    </row>
    <row r="2932" ht="15.75" customHeight="1">
      <c r="A2932" s="90" t="str">
        <f>IF(CLIENTES!A4="","",CLIENTES!A4)</f>
        <v>OverShark</v>
      </c>
      <c r="B2932" s="90" t="s">
        <v>333</v>
      </c>
      <c r="C2932" s="91" t="s">
        <v>334</v>
      </c>
      <c r="D2932" s="109" t="s">
        <v>353</v>
      </c>
      <c r="E2932" s="67" t="str">
        <f>COLORES!A20</f>
        <v/>
      </c>
      <c r="F2932" s="67" t="str">
        <f>COLORES!B20</f>
        <v/>
      </c>
      <c r="G2932" s="90" t="s">
        <v>380</v>
      </c>
      <c r="H2932" s="100">
        <f>IFERROR(SUMIFS(MOVIMIENTOS_COMPLEMENTOS!$I$4:$I$803,MOVIMIENTOS_COMPLEMENTOS!$C$4:$C$803,A2932,MOVIMIENTOS_COMPLEMENTOS!$D$4:$D$803,B2932,MOVIMIENTOS_COMPLEMENTOS!$E$4:$E$803,C2932,MOVIMIENTOS_COMPLEMENTOS!$G$4:$G$803,E2932,MOVIMIENTOS_COMPLEMENTOS!$H$4:$H$803,G2932,MOVIMIENTOS_COMPLEMENTOS!$B$4:$B$803,"INGRESO")+SUMIFS(MOVIMIENTOS_COMPLEMENTOS!$I$4:$I$803,MOVIMIENTOS_COMPLEMENTOS!$C$4:$C$803,A2932,MOVIMIENTOS_COMPLEMENTOS!$D$4:$D$803,B2932,MOVIMIENTOS_COMPLEMENTOS!$E$4:$E$803,C2932,MOVIMIENTOS_COMPLEMENTOS!$G$4:$G$803,E2932,MOVIMIENTOS_COMPLEMENTOS!$H$4:$H$803,G2932,MOVIMIENTOS_COMPLEMENTOS!$B$4:$B$803,"DE CORTE")-SUMIFS(MOVIMIENTOS_COMPLEMENTOS!$I$4:$I$803,MOVIMIENTOS_COMPLEMENTOS!$C$4:$C$803,A2932,MOVIMIENTOS_COMPLEMENTOS!$D$4:$D$803,B2932,MOVIMIENTOS_COMPLEMENTOS!$E$4:$E$803,C2932,MOVIMIENTOS_COMPLEMENTOS!$G$4:$G$803,E2932,MOVIMIENTOS_COMPLEMENTOS!$H$4:$H$803,G2932,MOVIMIENTOS_COMPLEMENTOS!$B$4:$B$803,"SALIDA"),0)</f>
        <v>0</v>
      </c>
      <c r="I2932" s="102">
        <f t="array" ref="I2932">IFERROR(INDEX(PRECIOS_COMPLEMENTOS!$C$4:$F$17,MATCH(B2932&amp;"_"&amp;C2932,PRECIOS_COMPLEMENTOS!$H$4:$H$17,0),IF(OR(G2932="S",G2932="20cm"),1,IF(OR(G2932="M",G2932="25cm"),2,IF(OR(G2932="L",G2932="30cm"),3,IF(OR(G2932="XL",G2932="35cm"),4,0))))),0)</f>
        <v>0.45</v>
      </c>
      <c r="J2932" s="103">
        <f t="shared" si="1"/>
        <v>0</v>
      </c>
      <c r="K2932" s="104" t="str">
        <f>IF(H2932&lt;0,"ERROR",IF(H2932=0,"",IF(H2932&lt;CONFIG!$B$4,"CRÍTICO",IF(H2932&lt;CONFIG!$B$5,"BAJO","OK"))))</f>
        <v/>
      </c>
    </row>
    <row r="2933" ht="15.75" customHeight="1">
      <c r="A2933" s="90" t="str">
        <f>IF(CLIENTES!A4="","",CLIENTES!A4)</f>
        <v>OverShark</v>
      </c>
      <c r="B2933" s="90" t="s">
        <v>333</v>
      </c>
      <c r="C2933" s="91" t="s">
        <v>334</v>
      </c>
      <c r="D2933" s="109" t="s">
        <v>353</v>
      </c>
      <c r="E2933" s="67" t="str">
        <f>COLORES!A20</f>
        <v/>
      </c>
      <c r="F2933" s="67" t="str">
        <f>COLORES!B20</f>
        <v/>
      </c>
      <c r="G2933" s="90" t="s">
        <v>381</v>
      </c>
      <c r="H2933" s="100">
        <f>IFERROR(SUMIFS(MOVIMIENTOS_COMPLEMENTOS!$I$4:$I$803,MOVIMIENTOS_COMPLEMENTOS!$C$4:$C$803,A2933,MOVIMIENTOS_COMPLEMENTOS!$D$4:$D$803,B2933,MOVIMIENTOS_COMPLEMENTOS!$E$4:$E$803,C2933,MOVIMIENTOS_COMPLEMENTOS!$G$4:$G$803,E2933,MOVIMIENTOS_COMPLEMENTOS!$H$4:$H$803,G2933,MOVIMIENTOS_COMPLEMENTOS!$B$4:$B$803,"INGRESO")+SUMIFS(MOVIMIENTOS_COMPLEMENTOS!$I$4:$I$803,MOVIMIENTOS_COMPLEMENTOS!$C$4:$C$803,A2933,MOVIMIENTOS_COMPLEMENTOS!$D$4:$D$803,B2933,MOVIMIENTOS_COMPLEMENTOS!$E$4:$E$803,C2933,MOVIMIENTOS_COMPLEMENTOS!$G$4:$G$803,E2933,MOVIMIENTOS_COMPLEMENTOS!$H$4:$H$803,G2933,MOVIMIENTOS_COMPLEMENTOS!$B$4:$B$803,"DE CORTE")-SUMIFS(MOVIMIENTOS_COMPLEMENTOS!$I$4:$I$803,MOVIMIENTOS_COMPLEMENTOS!$C$4:$C$803,A2933,MOVIMIENTOS_COMPLEMENTOS!$D$4:$D$803,B2933,MOVIMIENTOS_COMPLEMENTOS!$E$4:$E$803,C2933,MOVIMIENTOS_COMPLEMENTOS!$G$4:$G$803,E2933,MOVIMIENTOS_COMPLEMENTOS!$H$4:$H$803,G2933,MOVIMIENTOS_COMPLEMENTOS!$B$4:$B$803,"SALIDA"),0)</f>
        <v>0</v>
      </c>
      <c r="I2933" s="102">
        <f t="array" ref="I2933">IFERROR(INDEX(PRECIOS_COMPLEMENTOS!$C$4:$F$17,MATCH(B2933&amp;"_"&amp;C2933,PRECIOS_COMPLEMENTOS!$H$4:$H$17,0),IF(OR(G2933="S",G2933="20cm"),1,IF(OR(G2933="M",G2933="25cm"),2,IF(OR(G2933="L",G2933="30cm"),3,IF(OR(G2933="XL",G2933="35cm"),4,0))))),0)</f>
        <v>0.45</v>
      </c>
      <c r="J2933" s="103">
        <f t="shared" si="1"/>
        <v>0</v>
      </c>
      <c r="K2933" s="104" t="str">
        <f>IF(H2933&lt;0,"ERROR",IF(H2933=0,"",IF(H2933&lt;CONFIG!$B$4,"CRÍTICO",IF(H2933&lt;CONFIG!$B$5,"BAJO","OK"))))</f>
        <v/>
      </c>
    </row>
    <row r="2934" ht="15.75" customHeight="1">
      <c r="A2934" s="90" t="str">
        <f>IF(CLIENTES!A4="","",CLIENTES!A4)</f>
        <v>OverShark</v>
      </c>
      <c r="B2934" s="90" t="s">
        <v>333</v>
      </c>
      <c r="C2934" s="91" t="s">
        <v>334</v>
      </c>
      <c r="D2934" s="109" t="s">
        <v>353</v>
      </c>
      <c r="E2934" s="67" t="str">
        <f>COLORES!A20</f>
        <v/>
      </c>
      <c r="F2934" s="67" t="str">
        <f>COLORES!B20</f>
        <v/>
      </c>
      <c r="G2934" s="90" t="s">
        <v>382</v>
      </c>
      <c r="H2934" s="100">
        <f>IFERROR(SUMIFS(MOVIMIENTOS_COMPLEMENTOS!$I$4:$I$803,MOVIMIENTOS_COMPLEMENTOS!$C$4:$C$803,A2934,MOVIMIENTOS_COMPLEMENTOS!$D$4:$D$803,B2934,MOVIMIENTOS_COMPLEMENTOS!$E$4:$E$803,C2934,MOVIMIENTOS_COMPLEMENTOS!$G$4:$G$803,E2934,MOVIMIENTOS_COMPLEMENTOS!$H$4:$H$803,G2934,MOVIMIENTOS_COMPLEMENTOS!$B$4:$B$803,"INGRESO")+SUMIFS(MOVIMIENTOS_COMPLEMENTOS!$I$4:$I$803,MOVIMIENTOS_COMPLEMENTOS!$C$4:$C$803,A2934,MOVIMIENTOS_COMPLEMENTOS!$D$4:$D$803,B2934,MOVIMIENTOS_COMPLEMENTOS!$E$4:$E$803,C2934,MOVIMIENTOS_COMPLEMENTOS!$G$4:$G$803,E2934,MOVIMIENTOS_COMPLEMENTOS!$H$4:$H$803,G2934,MOVIMIENTOS_COMPLEMENTOS!$B$4:$B$803,"DE CORTE")-SUMIFS(MOVIMIENTOS_COMPLEMENTOS!$I$4:$I$803,MOVIMIENTOS_COMPLEMENTOS!$C$4:$C$803,A2934,MOVIMIENTOS_COMPLEMENTOS!$D$4:$D$803,B2934,MOVIMIENTOS_COMPLEMENTOS!$E$4:$E$803,C2934,MOVIMIENTOS_COMPLEMENTOS!$G$4:$G$803,E2934,MOVIMIENTOS_COMPLEMENTOS!$H$4:$H$803,G2934,MOVIMIENTOS_COMPLEMENTOS!$B$4:$B$803,"SALIDA"),0)</f>
        <v>0</v>
      </c>
      <c r="I2934" s="102">
        <f t="array" ref="I2934">IFERROR(INDEX(PRECIOS_COMPLEMENTOS!$C$4:$F$17,MATCH(B2934&amp;"_"&amp;C2934,PRECIOS_COMPLEMENTOS!$H$4:$H$17,0),IF(OR(G2934="S",G2934="20cm"),1,IF(OR(G2934="M",G2934="25cm"),2,IF(OR(G2934="L",G2934="30cm"),3,IF(OR(G2934="XL",G2934="35cm"),4,0))))),0)</f>
        <v>0.45</v>
      </c>
      <c r="J2934" s="103">
        <f t="shared" si="1"/>
        <v>0</v>
      </c>
      <c r="K2934" s="104" t="str">
        <f>IF(H2934&lt;0,"ERROR",IF(H2934=0,"",IF(H2934&lt;CONFIG!$B$4,"CRÍTICO",IF(H2934&lt;CONFIG!$B$5,"BAJO","OK"))))</f>
        <v/>
      </c>
    </row>
    <row r="2935" ht="15.75" customHeight="1">
      <c r="A2935" s="90" t="str">
        <f>IF(CLIENTES!A4="","",CLIENTES!A4)</f>
        <v>OverShark</v>
      </c>
      <c r="B2935" s="90" t="s">
        <v>333</v>
      </c>
      <c r="C2935" s="91" t="s">
        <v>334</v>
      </c>
      <c r="D2935" s="109" t="s">
        <v>353</v>
      </c>
      <c r="E2935" s="67" t="str">
        <f>COLORES!A21</f>
        <v/>
      </c>
      <c r="F2935" s="67" t="str">
        <f>COLORES!B21</f>
        <v/>
      </c>
      <c r="G2935" s="90" t="s">
        <v>380</v>
      </c>
      <c r="H2935" s="100">
        <f>IFERROR(SUMIFS(MOVIMIENTOS_COMPLEMENTOS!$I$4:$I$803,MOVIMIENTOS_COMPLEMENTOS!$C$4:$C$803,A2935,MOVIMIENTOS_COMPLEMENTOS!$D$4:$D$803,B2935,MOVIMIENTOS_COMPLEMENTOS!$E$4:$E$803,C2935,MOVIMIENTOS_COMPLEMENTOS!$G$4:$G$803,E2935,MOVIMIENTOS_COMPLEMENTOS!$H$4:$H$803,G2935,MOVIMIENTOS_COMPLEMENTOS!$B$4:$B$803,"INGRESO")+SUMIFS(MOVIMIENTOS_COMPLEMENTOS!$I$4:$I$803,MOVIMIENTOS_COMPLEMENTOS!$C$4:$C$803,A2935,MOVIMIENTOS_COMPLEMENTOS!$D$4:$D$803,B2935,MOVIMIENTOS_COMPLEMENTOS!$E$4:$E$803,C2935,MOVIMIENTOS_COMPLEMENTOS!$G$4:$G$803,E2935,MOVIMIENTOS_COMPLEMENTOS!$H$4:$H$803,G2935,MOVIMIENTOS_COMPLEMENTOS!$B$4:$B$803,"DE CORTE")-SUMIFS(MOVIMIENTOS_COMPLEMENTOS!$I$4:$I$803,MOVIMIENTOS_COMPLEMENTOS!$C$4:$C$803,A2935,MOVIMIENTOS_COMPLEMENTOS!$D$4:$D$803,B2935,MOVIMIENTOS_COMPLEMENTOS!$E$4:$E$803,C2935,MOVIMIENTOS_COMPLEMENTOS!$G$4:$G$803,E2935,MOVIMIENTOS_COMPLEMENTOS!$H$4:$H$803,G2935,MOVIMIENTOS_COMPLEMENTOS!$B$4:$B$803,"SALIDA"),0)</f>
        <v>0</v>
      </c>
      <c r="I2935" s="102">
        <f t="array" ref="I2935">IFERROR(INDEX(PRECIOS_COMPLEMENTOS!$C$4:$F$17,MATCH(B2935&amp;"_"&amp;C2935,PRECIOS_COMPLEMENTOS!$H$4:$H$17,0),IF(OR(G2935="S",G2935="20cm"),1,IF(OR(G2935="M",G2935="25cm"),2,IF(OR(G2935="L",G2935="30cm"),3,IF(OR(G2935="XL",G2935="35cm"),4,0))))),0)</f>
        <v>0.45</v>
      </c>
      <c r="J2935" s="103">
        <f t="shared" si="1"/>
        <v>0</v>
      </c>
      <c r="K2935" s="104" t="str">
        <f>IF(H2935&lt;0,"ERROR",IF(H2935=0,"",IF(H2935&lt;CONFIG!$B$4,"CRÍTICO",IF(H2935&lt;CONFIG!$B$5,"BAJO","OK"))))</f>
        <v/>
      </c>
    </row>
    <row r="2936" ht="15.75" customHeight="1">
      <c r="A2936" s="90" t="str">
        <f>IF(CLIENTES!A4="","",CLIENTES!A4)</f>
        <v>OverShark</v>
      </c>
      <c r="B2936" s="90" t="s">
        <v>333</v>
      </c>
      <c r="C2936" s="91" t="s">
        <v>334</v>
      </c>
      <c r="D2936" s="109" t="s">
        <v>353</v>
      </c>
      <c r="E2936" s="67" t="str">
        <f>COLORES!A21</f>
        <v/>
      </c>
      <c r="F2936" s="67" t="str">
        <f>COLORES!B21</f>
        <v/>
      </c>
      <c r="G2936" s="90" t="s">
        <v>381</v>
      </c>
      <c r="H2936" s="100">
        <f>IFERROR(SUMIFS(MOVIMIENTOS_COMPLEMENTOS!$I$4:$I$803,MOVIMIENTOS_COMPLEMENTOS!$C$4:$C$803,A2936,MOVIMIENTOS_COMPLEMENTOS!$D$4:$D$803,B2936,MOVIMIENTOS_COMPLEMENTOS!$E$4:$E$803,C2936,MOVIMIENTOS_COMPLEMENTOS!$G$4:$G$803,E2936,MOVIMIENTOS_COMPLEMENTOS!$H$4:$H$803,G2936,MOVIMIENTOS_COMPLEMENTOS!$B$4:$B$803,"INGRESO")+SUMIFS(MOVIMIENTOS_COMPLEMENTOS!$I$4:$I$803,MOVIMIENTOS_COMPLEMENTOS!$C$4:$C$803,A2936,MOVIMIENTOS_COMPLEMENTOS!$D$4:$D$803,B2936,MOVIMIENTOS_COMPLEMENTOS!$E$4:$E$803,C2936,MOVIMIENTOS_COMPLEMENTOS!$G$4:$G$803,E2936,MOVIMIENTOS_COMPLEMENTOS!$H$4:$H$803,G2936,MOVIMIENTOS_COMPLEMENTOS!$B$4:$B$803,"DE CORTE")-SUMIFS(MOVIMIENTOS_COMPLEMENTOS!$I$4:$I$803,MOVIMIENTOS_COMPLEMENTOS!$C$4:$C$803,A2936,MOVIMIENTOS_COMPLEMENTOS!$D$4:$D$803,B2936,MOVIMIENTOS_COMPLEMENTOS!$E$4:$E$803,C2936,MOVIMIENTOS_COMPLEMENTOS!$G$4:$G$803,E2936,MOVIMIENTOS_COMPLEMENTOS!$H$4:$H$803,G2936,MOVIMIENTOS_COMPLEMENTOS!$B$4:$B$803,"SALIDA"),0)</f>
        <v>0</v>
      </c>
      <c r="I2936" s="102">
        <f t="array" ref="I2936">IFERROR(INDEX(PRECIOS_COMPLEMENTOS!$C$4:$F$17,MATCH(B2936&amp;"_"&amp;C2936,PRECIOS_COMPLEMENTOS!$H$4:$H$17,0),IF(OR(G2936="S",G2936="20cm"),1,IF(OR(G2936="M",G2936="25cm"),2,IF(OR(G2936="L",G2936="30cm"),3,IF(OR(G2936="XL",G2936="35cm"),4,0))))),0)</f>
        <v>0.45</v>
      </c>
      <c r="J2936" s="103">
        <f t="shared" si="1"/>
        <v>0</v>
      </c>
      <c r="K2936" s="104" t="str">
        <f>IF(H2936&lt;0,"ERROR",IF(H2936=0,"",IF(H2936&lt;CONFIG!$B$4,"CRÍTICO",IF(H2936&lt;CONFIG!$B$5,"BAJO","OK"))))</f>
        <v/>
      </c>
    </row>
    <row r="2937" ht="15.75" customHeight="1">
      <c r="A2937" s="90" t="str">
        <f>IF(CLIENTES!A4="","",CLIENTES!A4)</f>
        <v>OverShark</v>
      </c>
      <c r="B2937" s="90" t="s">
        <v>333</v>
      </c>
      <c r="C2937" s="91" t="s">
        <v>334</v>
      </c>
      <c r="D2937" s="109" t="s">
        <v>353</v>
      </c>
      <c r="E2937" s="67" t="str">
        <f>COLORES!A21</f>
        <v/>
      </c>
      <c r="F2937" s="67" t="str">
        <f>COLORES!B21</f>
        <v/>
      </c>
      <c r="G2937" s="90" t="s">
        <v>382</v>
      </c>
      <c r="H2937" s="100">
        <f>IFERROR(SUMIFS(MOVIMIENTOS_COMPLEMENTOS!$I$4:$I$803,MOVIMIENTOS_COMPLEMENTOS!$C$4:$C$803,A2937,MOVIMIENTOS_COMPLEMENTOS!$D$4:$D$803,B2937,MOVIMIENTOS_COMPLEMENTOS!$E$4:$E$803,C2937,MOVIMIENTOS_COMPLEMENTOS!$G$4:$G$803,E2937,MOVIMIENTOS_COMPLEMENTOS!$H$4:$H$803,G2937,MOVIMIENTOS_COMPLEMENTOS!$B$4:$B$803,"INGRESO")+SUMIFS(MOVIMIENTOS_COMPLEMENTOS!$I$4:$I$803,MOVIMIENTOS_COMPLEMENTOS!$C$4:$C$803,A2937,MOVIMIENTOS_COMPLEMENTOS!$D$4:$D$803,B2937,MOVIMIENTOS_COMPLEMENTOS!$E$4:$E$803,C2937,MOVIMIENTOS_COMPLEMENTOS!$G$4:$G$803,E2937,MOVIMIENTOS_COMPLEMENTOS!$H$4:$H$803,G2937,MOVIMIENTOS_COMPLEMENTOS!$B$4:$B$803,"DE CORTE")-SUMIFS(MOVIMIENTOS_COMPLEMENTOS!$I$4:$I$803,MOVIMIENTOS_COMPLEMENTOS!$C$4:$C$803,A2937,MOVIMIENTOS_COMPLEMENTOS!$D$4:$D$803,B2937,MOVIMIENTOS_COMPLEMENTOS!$E$4:$E$803,C2937,MOVIMIENTOS_COMPLEMENTOS!$G$4:$G$803,E2937,MOVIMIENTOS_COMPLEMENTOS!$H$4:$H$803,G2937,MOVIMIENTOS_COMPLEMENTOS!$B$4:$B$803,"SALIDA"),0)</f>
        <v>0</v>
      </c>
      <c r="I2937" s="102">
        <f t="array" ref="I2937">IFERROR(INDEX(PRECIOS_COMPLEMENTOS!$C$4:$F$17,MATCH(B2937&amp;"_"&amp;C2937,PRECIOS_COMPLEMENTOS!$H$4:$H$17,0),IF(OR(G2937="S",G2937="20cm"),1,IF(OR(G2937="M",G2937="25cm"),2,IF(OR(G2937="L",G2937="30cm"),3,IF(OR(G2937="XL",G2937="35cm"),4,0))))),0)</f>
        <v>0.45</v>
      </c>
      <c r="J2937" s="103">
        <f t="shared" si="1"/>
        <v>0</v>
      </c>
      <c r="K2937" s="104" t="str">
        <f>IF(H2937&lt;0,"ERROR",IF(H2937=0,"",IF(H2937&lt;CONFIG!$B$4,"CRÍTICO",IF(H2937&lt;CONFIG!$B$5,"BAJO","OK"))))</f>
        <v/>
      </c>
    </row>
    <row r="2938" ht="15.75" customHeight="1">
      <c r="A2938" s="90" t="str">
        <f>IF(CLIENTES!A4="","",CLIENTES!A4)</f>
        <v>OverShark</v>
      </c>
      <c r="B2938" s="90" t="s">
        <v>333</v>
      </c>
      <c r="C2938" s="91" t="s">
        <v>334</v>
      </c>
      <c r="D2938" s="109" t="s">
        <v>353</v>
      </c>
      <c r="E2938" s="67" t="str">
        <f>COLORES!A22</f>
        <v/>
      </c>
      <c r="F2938" s="67" t="str">
        <f>COLORES!B22</f>
        <v/>
      </c>
      <c r="G2938" s="90" t="s">
        <v>380</v>
      </c>
      <c r="H2938" s="100">
        <f>IFERROR(SUMIFS(MOVIMIENTOS_COMPLEMENTOS!$I$4:$I$803,MOVIMIENTOS_COMPLEMENTOS!$C$4:$C$803,A2938,MOVIMIENTOS_COMPLEMENTOS!$D$4:$D$803,B2938,MOVIMIENTOS_COMPLEMENTOS!$E$4:$E$803,C2938,MOVIMIENTOS_COMPLEMENTOS!$G$4:$G$803,E2938,MOVIMIENTOS_COMPLEMENTOS!$H$4:$H$803,G2938,MOVIMIENTOS_COMPLEMENTOS!$B$4:$B$803,"INGRESO")+SUMIFS(MOVIMIENTOS_COMPLEMENTOS!$I$4:$I$803,MOVIMIENTOS_COMPLEMENTOS!$C$4:$C$803,A2938,MOVIMIENTOS_COMPLEMENTOS!$D$4:$D$803,B2938,MOVIMIENTOS_COMPLEMENTOS!$E$4:$E$803,C2938,MOVIMIENTOS_COMPLEMENTOS!$G$4:$G$803,E2938,MOVIMIENTOS_COMPLEMENTOS!$H$4:$H$803,G2938,MOVIMIENTOS_COMPLEMENTOS!$B$4:$B$803,"DE CORTE")-SUMIFS(MOVIMIENTOS_COMPLEMENTOS!$I$4:$I$803,MOVIMIENTOS_COMPLEMENTOS!$C$4:$C$803,A2938,MOVIMIENTOS_COMPLEMENTOS!$D$4:$D$803,B2938,MOVIMIENTOS_COMPLEMENTOS!$E$4:$E$803,C2938,MOVIMIENTOS_COMPLEMENTOS!$G$4:$G$803,E2938,MOVIMIENTOS_COMPLEMENTOS!$H$4:$H$803,G2938,MOVIMIENTOS_COMPLEMENTOS!$B$4:$B$803,"SALIDA"),0)</f>
        <v>0</v>
      </c>
      <c r="I2938" s="102">
        <f t="array" ref="I2938">IFERROR(INDEX(PRECIOS_COMPLEMENTOS!$C$4:$F$17,MATCH(B2938&amp;"_"&amp;C2938,PRECIOS_COMPLEMENTOS!$H$4:$H$17,0),IF(OR(G2938="S",G2938="20cm"),1,IF(OR(G2938="M",G2938="25cm"),2,IF(OR(G2938="L",G2938="30cm"),3,IF(OR(G2938="XL",G2938="35cm"),4,0))))),0)</f>
        <v>0.45</v>
      </c>
      <c r="J2938" s="103">
        <f t="shared" si="1"/>
        <v>0</v>
      </c>
      <c r="K2938" s="104" t="str">
        <f>IF(H2938&lt;0,"ERROR",IF(H2938=0,"",IF(H2938&lt;CONFIG!$B$4,"CRÍTICO",IF(H2938&lt;CONFIG!$B$5,"BAJO","OK"))))</f>
        <v/>
      </c>
    </row>
    <row r="2939" ht="15.75" customHeight="1">
      <c r="A2939" s="90" t="str">
        <f>IF(CLIENTES!A4="","",CLIENTES!A4)</f>
        <v>OverShark</v>
      </c>
      <c r="B2939" s="90" t="s">
        <v>333</v>
      </c>
      <c r="C2939" s="91" t="s">
        <v>334</v>
      </c>
      <c r="D2939" s="109" t="s">
        <v>353</v>
      </c>
      <c r="E2939" s="67" t="str">
        <f>COLORES!A22</f>
        <v/>
      </c>
      <c r="F2939" s="67" t="str">
        <f>COLORES!B22</f>
        <v/>
      </c>
      <c r="G2939" s="90" t="s">
        <v>381</v>
      </c>
      <c r="H2939" s="100">
        <f>IFERROR(SUMIFS(MOVIMIENTOS_COMPLEMENTOS!$I$4:$I$803,MOVIMIENTOS_COMPLEMENTOS!$C$4:$C$803,A2939,MOVIMIENTOS_COMPLEMENTOS!$D$4:$D$803,B2939,MOVIMIENTOS_COMPLEMENTOS!$E$4:$E$803,C2939,MOVIMIENTOS_COMPLEMENTOS!$G$4:$G$803,E2939,MOVIMIENTOS_COMPLEMENTOS!$H$4:$H$803,G2939,MOVIMIENTOS_COMPLEMENTOS!$B$4:$B$803,"INGRESO")+SUMIFS(MOVIMIENTOS_COMPLEMENTOS!$I$4:$I$803,MOVIMIENTOS_COMPLEMENTOS!$C$4:$C$803,A2939,MOVIMIENTOS_COMPLEMENTOS!$D$4:$D$803,B2939,MOVIMIENTOS_COMPLEMENTOS!$E$4:$E$803,C2939,MOVIMIENTOS_COMPLEMENTOS!$G$4:$G$803,E2939,MOVIMIENTOS_COMPLEMENTOS!$H$4:$H$803,G2939,MOVIMIENTOS_COMPLEMENTOS!$B$4:$B$803,"DE CORTE")-SUMIFS(MOVIMIENTOS_COMPLEMENTOS!$I$4:$I$803,MOVIMIENTOS_COMPLEMENTOS!$C$4:$C$803,A2939,MOVIMIENTOS_COMPLEMENTOS!$D$4:$D$803,B2939,MOVIMIENTOS_COMPLEMENTOS!$E$4:$E$803,C2939,MOVIMIENTOS_COMPLEMENTOS!$G$4:$G$803,E2939,MOVIMIENTOS_COMPLEMENTOS!$H$4:$H$803,G2939,MOVIMIENTOS_COMPLEMENTOS!$B$4:$B$803,"SALIDA"),0)</f>
        <v>0</v>
      </c>
      <c r="I2939" s="102">
        <f t="array" ref="I2939">IFERROR(INDEX(PRECIOS_COMPLEMENTOS!$C$4:$F$17,MATCH(B2939&amp;"_"&amp;C2939,PRECIOS_COMPLEMENTOS!$H$4:$H$17,0),IF(OR(G2939="S",G2939="20cm"),1,IF(OR(G2939="M",G2939="25cm"),2,IF(OR(G2939="L",G2939="30cm"),3,IF(OR(G2939="XL",G2939="35cm"),4,0))))),0)</f>
        <v>0.45</v>
      </c>
      <c r="J2939" s="103">
        <f t="shared" si="1"/>
        <v>0</v>
      </c>
      <c r="K2939" s="104" t="str">
        <f>IF(H2939&lt;0,"ERROR",IF(H2939=0,"",IF(H2939&lt;CONFIG!$B$4,"CRÍTICO",IF(H2939&lt;CONFIG!$B$5,"BAJO","OK"))))</f>
        <v/>
      </c>
    </row>
    <row r="2940" ht="15.75" customHeight="1">
      <c r="A2940" s="90" t="str">
        <f>IF(CLIENTES!A4="","",CLIENTES!A4)</f>
        <v>OverShark</v>
      </c>
      <c r="B2940" s="90" t="s">
        <v>333</v>
      </c>
      <c r="C2940" s="91" t="s">
        <v>334</v>
      </c>
      <c r="D2940" s="109" t="s">
        <v>353</v>
      </c>
      <c r="E2940" s="67" t="str">
        <f>COLORES!A22</f>
        <v/>
      </c>
      <c r="F2940" s="67" t="str">
        <f>COLORES!B22</f>
        <v/>
      </c>
      <c r="G2940" s="90" t="s">
        <v>382</v>
      </c>
      <c r="H2940" s="100">
        <f>IFERROR(SUMIFS(MOVIMIENTOS_COMPLEMENTOS!$I$4:$I$803,MOVIMIENTOS_COMPLEMENTOS!$C$4:$C$803,A2940,MOVIMIENTOS_COMPLEMENTOS!$D$4:$D$803,B2940,MOVIMIENTOS_COMPLEMENTOS!$E$4:$E$803,C2940,MOVIMIENTOS_COMPLEMENTOS!$G$4:$G$803,E2940,MOVIMIENTOS_COMPLEMENTOS!$H$4:$H$803,G2940,MOVIMIENTOS_COMPLEMENTOS!$B$4:$B$803,"INGRESO")+SUMIFS(MOVIMIENTOS_COMPLEMENTOS!$I$4:$I$803,MOVIMIENTOS_COMPLEMENTOS!$C$4:$C$803,A2940,MOVIMIENTOS_COMPLEMENTOS!$D$4:$D$803,B2940,MOVIMIENTOS_COMPLEMENTOS!$E$4:$E$803,C2940,MOVIMIENTOS_COMPLEMENTOS!$G$4:$G$803,E2940,MOVIMIENTOS_COMPLEMENTOS!$H$4:$H$803,G2940,MOVIMIENTOS_COMPLEMENTOS!$B$4:$B$803,"DE CORTE")-SUMIFS(MOVIMIENTOS_COMPLEMENTOS!$I$4:$I$803,MOVIMIENTOS_COMPLEMENTOS!$C$4:$C$803,A2940,MOVIMIENTOS_COMPLEMENTOS!$D$4:$D$803,B2940,MOVIMIENTOS_COMPLEMENTOS!$E$4:$E$803,C2940,MOVIMIENTOS_COMPLEMENTOS!$G$4:$G$803,E2940,MOVIMIENTOS_COMPLEMENTOS!$H$4:$H$803,G2940,MOVIMIENTOS_COMPLEMENTOS!$B$4:$B$803,"SALIDA"),0)</f>
        <v>0</v>
      </c>
      <c r="I2940" s="102">
        <f t="array" ref="I2940">IFERROR(INDEX(PRECIOS_COMPLEMENTOS!$C$4:$F$17,MATCH(B2940&amp;"_"&amp;C2940,PRECIOS_COMPLEMENTOS!$H$4:$H$17,0),IF(OR(G2940="S",G2940="20cm"),1,IF(OR(G2940="M",G2940="25cm"),2,IF(OR(G2940="L",G2940="30cm"),3,IF(OR(G2940="XL",G2940="35cm"),4,0))))),0)</f>
        <v>0.45</v>
      </c>
      <c r="J2940" s="103">
        <f t="shared" si="1"/>
        <v>0</v>
      </c>
      <c r="K2940" s="104" t="str">
        <f>IF(H2940&lt;0,"ERROR",IF(H2940=0,"",IF(H2940&lt;CONFIG!$B$4,"CRÍTICO",IF(H2940&lt;CONFIG!$B$5,"BAJO","OK"))))</f>
        <v/>
      </c>
    </row>
    <row r="2941" ht="15.75" customHeight="1">
      <c r="A2941" s="90" t="str">
        <f>IF(CLIENTES!A4="","",CLIENTES!A4)</f>
        <v>OverShark</v>
      </c>
      <c r="B2941" s="90" t="s">
        <v>333</v>
      </c>
      <c r="C2941" s="91" t="s">
        <v>334</v>
      </c>
      <c r="D2941" s="109" t="s">
        <v>353</v>
      </c>
      <c r="E2941" s="67" t="str">
        <f>COLORES!A23</f>
        <v/>
      </c>
      <c r="F2941" s="67" t="str">
        <f>COLORES!B23</f>
        <v/>
      </c>
      <c r="G2941" s="90" t="s">
        <v>380</v>
      </c>
      <c r="H2941" s="100">
        <f>IFERROR(SUMIFS(MOVIMIENTOS_COMPLEMENTOS!$I$4:$I$803,MOVIMIENTOS_COMPLEMENTOS!$C$4:$C$803,A2941,MOVIMIENTOS_COMPLEMENTOS!$D$4:$D$803,B2941,MOVIMIENTOS_COMPLEMENTOS!$E$4:$E$803,C2941,MOVIMIENTOS_COMPLEMENTOS!$G$4:$G$803,E2941,MOVIMIENTOS_COMPLEMENTOS!$H$4:$H$803,G2941,MOVIMIENTOS_COMPLEMENTOS!$B$4:$B$803,"INGRESO")+SUMIFS(MOVIMIENTOS_COMPLEMENTOS!$I$4:$I$803,MOVIMIENTOS_COMPLEMENTOS!$C$4:$C$803,A2941,MOVIMIENTOS_COMPLEMENTOS!$D$4:$D$803,B2941,MOVIMIENTOS_COMPLEMENTOS!$E$4:$E$803,C2941,MOVIMIENTOS_COMPLEMENTOS!$G$4:$G$803,E2941,MOVIMIENTOS_COMPLEMENTOS!$H$4:$H$803,G2941,MOVIMIENTOS_COMPLEMENTOS!$B$4:$B$803,"DE CORTE")-SUMIFS(MOVIMIENTOS_COMPLEMENTOS!$I$4:$I$803,MOVIMIENTOS_COMPLEMENTOS!$C$4:$C$803,A2941,MOVIMIENTOS_COMPLEMENTOS!$D$4:$D$803,B2941,MOVIMIENTOS_COMPLEMENTOS!$E$4:$E$803,C2941,MOVIMIENTOS_COMPLEMENTOS!$G$4:$G$803,E2941,MOVIMIENTOS_COMPLEMENTOS!$H$4:$H$803,G2941,MOVIMIENTOS_COMPLEMENTOS!$B$4:$B$803,"SALIDA"),0)</f>
        <v>0</v>
      </c>
      <c r="I2941" s="102">
        <f t="array" ref="I2941">IFERROR(INDEX(PRECIOS_COMPLEMENTOS!$C$4:$F$17,MATCH(B2941&amp;"_"&amp;C2941,PRECIOS_COMPLEMENTOS!$H$4:$H$17,0),IF(OR(G2941="S",G2941="20cm"),1,IF(OR(G2941="M",G2941="25cm"),2,IF(OR(G2941="L",G2941="30cm"),3,IF(OR(G2941="XL",G2941="35cm"),4,0))))),0)</f>
        <v>0.45</v>
      </c>
      <c r="J2941" s="103">
        <f t="shared" si="1"/>
        <v>0</v>
      </c>
      <c r="K2941" s="104" t="str">
        <f>IF(H2941&lt;0,"ERROR",IF(H2941=0,"",IF(H2941&lt;CONFIG!$B$4,"CRÍTICO",IF(H2941&lt;CONFIG!$B$5,"BAJO","OK"))))</f>
        <v/>
      </c>
    </row>
    <row r="2942" ht="15.75" customHeight="1">
      <c r="A2942" s="90" t="str">
        <f>IF(CLIENTES!A4="","",CLIENTES!A4)</f>
        <v>OverShark</v>
      </c>
      <c r="B2942" s="90" t="s">
        <v>333</v>
      </c>
      <c r="C2942" s="91" t="s">
        <v>334</v>
      </c>
      <c r="D2942" s="109" t="s">
        <v>353</v>
      </c>
      <c r="E2942" s="67" t="str">
        <f>COLORES!A23</f>
        <v/>
      </c>
      <c r="F2942" s="67" t="str">
        <f>COLORES!B23</f>
        <v/>
      </c>
      <c r="G2942" s="90" t="s">
        <v>381</v>
      </c>
      <c r="H2942" s="100">
        <f>IFERROR(SUMIFS(MOVIMIENTOS_COMPLEMENTOS!$I$4:$I$803,MOVIMIENTOS_COMPLEMENTOS!$C$4:$C$803,A2942,MOVIMIENTOS_COMPLEMENTOS!$D$4:$D$803,B2942,MOVIMIENTOS_COMPLEMENTOS!$E$4:$E$803,C2942,MOVIMIENTOS_COMPLEMENTOS!$G$4:$G$803,E2942,MOVIMIENTOS_COMPLEMENTOS!$H$4:$H$803,G2942,MOVIMIENTOS_COMPLEMENTOS!$B$4:$B$803,"INGRESO")+SUMIFS(MOVIMIENTOS_COMPLEMENTOS!$I$4:$I$803,MOVIMIENTOS_COMPLEMENTOS!$C$4:$C$803,A2942,MOVIMIENTOS_COMPLEMENTOS!$D$4:$D$803,B2942,MOVIMIENTOS_COMPLEMENTOS!$E$4:$E$803,C2942,MOVIMIENTOS_COMPLEMENTOS!$G$4:$G$803,E2942,MOVIMIENTOS_COMPLEMENTOS!$H$4:$H$803,G2942,MOVIMIENTOS_COMPLEMENTOS!$B$4:$B$803,"DE CORTE")-SUMIFS(MOVIMIENTOS_COMPLEMENTOS!$I$4:$I$803,MOVIMIENTOS_COMPLEMENTOS!$C$4:$C$803,A2942,MOVIMIENTOS_COMPLEMENTOS!$D$4:$D$803,B2942,MOVIMIENTOS_COMPLEMENTOS!$E$4:$E$803,C2942,MOVIMIENTOS_COMPLEMENTOS!$G$4:$G$803,E2942,MOVIMIENTOS_COMPLEMENTOS!$H$4:$H$803,G2942,MOVIMIENTOS_COMPLEMENTOS!$B$4:$B$803,"SALIDA"),0)</f>
        <v>0</v>
      </c>
      <c r="I2942" s="102">
        <f t="array" ref="I2942">IFERROR(INDEX(PRECIOS_COMPLEMENTOS!$C$4:$F$17,MATCH(B2942&amp;"_"&amp;C2942,PRECIOS_COMPLEMENTOS!$H$4:$H$17,0),IF(OR(G2942="S",G2942="20cm"),1,IF(OR(G2942="M",G2942="25cm"),2,IF(OR(G2942="L",G2942="30cm"),3,IF(OR(G2942="XL",G2942="35cm"),4,0))))),0)</f>
        <v>0.45</v>
      </c>
      <c r="J2942" s="103">
        <f t="shared" si="1"/>
        <v>0</v>
      </c>
      <c r="K2942" s="104" t="str">
        <f>IF(H2942&lt;0,"ERROR",IF(H2942=0,"",IF(H2942&lt;CONFIG!$B$4,"CRÍTICO",IF(H2942&lt;CONFIG!$B$5,"BAJO","OK"))))</f>
        <v/>
      </c>
    </row>
    <row r="2943" ht="15.75" customHeight="1">
      <c r="A2943" s="90" t="str">
        <f>IF(CLIENTES!A4="","",CLIENTES!A4)</f>
        <v>OverShark</v>
      </c>
      <c r="B2943" s="90" t="s">
        <v>333</v>
      </c>
      <c r="C2943" s="91" t="s">
        <v>334</v>
      </c>
      <c r="D2943" s="109" t="s">
        <v>353</v>
      </c>
      <c r="E2943" s="67" t="str">
        <f>COLORES!A23</f>
        <v/>
      </c>
      <c r="F2943" s="67" t="str">
        <f>COLORES!B23</f>
        <v/>
      </c>
      <c r="G2943" s="90" t="s">
        <v>382</v>
      </c>
      <c r="H2943" s="100">
        <f>IFERROR(SUMIFS(MOVIMIENTOS_COMPLEMENTOS!$I$4:$I$803,MOVIMIENTOS_COMPLEMENTOS!$C$4:$C$803,A2943,MOVIMIENTOS_COMPLEMENTOS!$D$4:$D$803,B2943,MOVIMIENTOS_COMPLEMENTOS!$E$4:$E$803,C2943,MOVIMIENTOS_COMPLEMENTOS!$G$4:$G$803,E2943,MOVIMIENTOS_COMPLEMENTOS!$H$4:$H$803,G2943,MOVIMIENTOS_COMPLEMENTOS!$B$4:$B$803,"INGRESO")+SUMIFS(MOVIMIENTOS_COMPLEMENTOS!$I$4:$I$803,MOVIMIENTOS_COMPLEMENTOS!$C$4:$C$803,A2943,MOVIMIENTOS_COMPLEMENTOS!$D$4:$D$803,B2943,MOVIMIENTOS_COMPLEMENTOS!$E$4:$E$803,C2943,MOVIMIENTOS_COMPLEMENTOS!$G$4:$G$803,E2943,MOVIMIENTOS_COMPLEMENTOS!$H$4:$H$803,G2943,MOVIMIENTOS_COMPLEMENTOS!$B$4:$B$803,"DE CORTE")-SUMIFS(MOVIMIENTOS_COMPLEMENTOS!$I$4:$I$803,MOVIMIENTOS_COMPLEMENTOS!$C$4:$C$803,A2943,MOVIMIENTOS_COMPLEMENTOS!$D$4:$D$803,B2943,MOVIMIENTOS_COMPLEMENTOS!$E$4:$E$803,C2943,MOVIMIENTOS_COMPLEMENTOS!$G$4:$G$803,E2943,MOVIMIENTOS_COMPLEMENTOS!$H$4:$H$803,G2943,MOVIMIENTOS_COMPLEMENTOS!$B$4:$B$803,"SALIDA"),0)</f>
        <v>0</v>
      </c>
      <c r="I2943" s="102">
        <f t="array" ref="I2943">IFERROR(INDEX(PRECIOS_COMPLEMENTOS!$C$4:$F$17,MATCH(B2943&amp;"_"&amp;C2943,PRECIOS_COMPLEMENTOS!$H$4:$H$17,0),IF(OR(G2943="S",G2943="20cm"),1,IF(OR(G2943="M",G2943="25cm"),2,IF(OR(G2943="L",G2943="30cm"),3,IF(OR(G2943="XL",G2943="35cm"),4,0))))),0)</f>
        <v>0.45</v>
      </c>
      <c r="J2943" s="103">
        <f t="shared" si="1"/>
        <v>0</v>
      </c>
      <c r="K2943" s="104" t="str">
        <f>IF(H2943&lt;0,"ERROR",IF(H2943=0,"",IF(H2943&lt;CONFIG!$B$4,"CRÍTICO",IF(H2943&lt;CONFIG!$B$5,"BAJO","OK"))))</f>
        <v/>
      </c>
    </row>
    <row r="2944" ht="15.75" customHeight="1">
      <c r="A2944" s="90" t="str">
        <f>IF(CLIENTES!A5="","",CLIENTES!A5)</f>
        <v>Bravos</v>
      </c>
      <c r="B2944" s="90" t="s">
        <v>333</v>
      </c>
      <c r="C2944" s="91" t="s">
        <v>334</v>
      </c>
      <c r="D2944" s="109" t="s">
        <v>353</v>
      </c>
      <c r="E2944" s="67" t="str">
        <f>COLORES!A4</f>
        <v>Negro</v>
      </c>
      <c r="F2944" s="67" t="str">
        <f>COLORES!B4</f>
        <v>OSCURO</v>
      </c>
      <c r="G2944" s="90" t="s">
        <v>380</v>
      </c>
      <c r="H2944" s="100">
        <f>IFERROR(SUMIFS(MOVIMIENTOS_COMPLEMENTOS!$I$4:$I$803,MOVIMIENTOS_COMPLEMENTOS!$C$4:$C$803,A2944,MOVIMIENTOS_COMPLEMENTOS!$D$4:$D$803,B2944,MOVIMIENTOS_COMPLEMENTOS!$E$4:$E$803,C2944,MOVIMIENTOS_COMPLEMENTOS!$G$4:$G$803,E2944,MOVIMIENTOS_COMPLEMENTOS!$H$4:$H$803,G2944,MOVIMIENTOS_COMPLEMENTOS!$B$4:$B$803,"INGRESO")+SUMIFS(MOVIMIENTOS_COMPLEMENTOS!$I$4:$I$803,MOVIMIENTOS_COMPLEMENTOS!$C$4:$C$803,A2944,MOVIMIENTOS_COMPLEMENTOS!$D$4:$D$803,B2944,MOVIMIENTOS_COMPLEMENTOS!$E$4:$E$803,C2944,MOVIMIENTOS_COMPLEMENTOS!$G$4:$G$803,E2944,MOVIMIENTOS_COMPLEMENTOS!$H$4:$H$803,G2944,MOVIMIENTOS_COMPLEMENTOS!$B$4:$B$803,"DE CORTE")-SUMIFS(MOVIMIENTOS_COMPLEMENTOS!$I$4:$I$803,MOVIMIENTOS_COMPLEMENTOS!$C$4:$C$803,A2944,MOVIMIENTOS_COMPLEMENTOS!$D$4:$D$803,B2944,MOVIMIENTOS_COMPLEMENTOS!$E$4:$E$803,C2944,MOVIMIENTOS_COMPLEMENTOS!$G$4:$G$803,E2944,MOVIMIENTOS_COMPLEMENTOS!$H$4:$H$803,G2944,MOVIMIENTOS_COMPLEMENTOS!$B$4:$B$803,"SALIDA"),0)</f>
        <v>0</v>
      </c>
      <c r="I2944" s="102">
        <f t="array" ref="I2944">IFERROR(INDEX(PRECIOS_COMPLEMENTOS!$C$4:$F$17,MATCH(B2944&amp;"_"&amp;C2944,PRECIOS_COMPLEMENTOS!$H$4:$H$17,0),IF(OR(G2944="S",G2944="20cm"),1,IF(OR(G2944="M",G2944="25cm"),2,IF(OR(G2944="L",G2944="30cm"),3,IF(OR(G2944="XL",G2944="35cm"),4,0))))),0)</f>
        <v>0.45</v>
      </c>
      <c r="J2944" s="103">
        <f t="shared" si="1"/>
        <v>0</v>
      </c>
      <c r="K2944" s="104" t="str">
        <f>IF(H2944&lt;0,"ERROR",IF(H2944=0,"",IF(H2944&lt;CONFIG!$B$4,"CRÍTICO",IF(H2944&lt;CONFIG!$B$5,"BAJO","OK"))))</f>
        <v/>
      </c>
    </row>
    <row r="2945" ht="15.75" customHeight="1">
      <c r="A2945" s="90" t="str">
        <f>IF(CLIENTES!A5="","",CLIENTES!A5)</f>
        <v>Bravos</v>
      </c>
      <c r="B2945" s="90" t="s">
        <v>333</v>
      </c>
      <c r="C2945" s="91" t="s">
        <v>334</v>
      </c>
      <c r="D2945" s="109" t="s">
        <v>353</v>
      </c>
      <c r="E2945" s="67" t="str">
        <f>COLORES!A4</f>
        <v>Negro</v>
      </c>
      <c r="F2945" s="67" t="str">
        <f>COLORES!B4</f>
        <v>OSCURO</v>
      </c>
      <c r="G2945" s="90" t="s">
        <v>381</v>
      </c>
      <c r="H2945" s="100">
        <f>IFERROR(SUMIFS(MOVIMIENTOS_COMPLEMENTOS!$I$4:$I$803,MOVIMIENTOS_COMPLEMENTOS!$C$4:$C$803,A2945,MOVIMIENTOS_COMPLEMENTOS!$D$4:$D$803,B2945,MOVIMIENTOS_COMPLEMENTOS!$E$4:$E$803,C2945,MOVIMIENTOS_COMPLEMENTOS!$G$4:$G$803,E2945,MOVIMIENTOS_COMPLEMENTOS!$H$4:$H$803,G2945,MOVIMIENTOS_COMPLEMENTOS!$B$4:$B$803,"INGRESO")+SUMIFS(MOVIMIENTOS_COMPLEMENTOS!$I$4:$I$803,MOVIMIENTOS_COMPLEMENTOS!$C$4:$C$803,A2945,MOVIMIENTOS_COMPLEMENTOS!$D$4:$D$803,B2945,MOVIMIENTOS_COMPLEMENTOS!$E$4:$E$803,C2945,MOVIMIENTOS_COMPLEMENTOS!$G$4:$G$803,E2945,MOVIMIENTOS_COMPLEMENTOS!$H$4:$H$803,G2945,MOVIMIENTOS_COMPLEMENTOS!$B$4:$B$803,"DE CORTE")-SUMIFS(MOVIMIENTOS_COMPLEMENTOS!$I$4:$I$803,MOVIMIENTOS_COMPLEMENTOS!$C$4:$C$803,A2945,MOVIMIENTOS_COMPLEMENTOS!$D$4:$D$803,B2945,MOVIMIENTOS_COMPLEMENTOS!$E$4:$E$803,C2945,MOVIMIENTOS_COMPLEMENTOS!$G$4:$G$803,E2945,MOVIMIENTOS_COMPLEMENTOS!$H$4:$H$803,G2945,MOVIMIENTOS_COMPLEMENTOS!$B$4:$B$803,"SALIDA"),0)</f>
        <v>0</v>
      </c>
      <c r="I2945" s="102">
        <f t="array" ref="I2945">IFERROR(INDEX(PRECIOS_COMPLEMENTOS!$C$4:$F$17,MATCH(B2945&amp;"_"&amp;C2945,PRECIOS_COMPLEMENTOS!$H$4:$H$17,0),IF(OR(G2945="S",G2945="20cm"),1,IF(OR(G2945="M",G2945="25cm"),2,IF(OR(G2945="L",G2945="30cm"),3,IF(OR(G2945="XL",G2945="35cm"),4,0))))),0)</f>
        <v>0.45</v>
      </c>
      <c r="J2945" s="103">
        <f t="shared" si="1"/>
        <v>0</v>
      </c>
      <c r="K2945" s="104" t="str">
        <f>IF(H2945&lt;0,"ERROR",IF(H2945=0,"",IF(H2945&lt;CONFIG!$B$4,"CRÍTICO",IF(H2945&lt;CONFIG!$B$5,"BAJO","OK"))))</f>
        <v/>
      </c>
    </row>
    <row r="2946" ht="15.75" customHeight="1">
      <c r="A2946" s="90" t="str">
        <f>IF(CLIENTES!A5="","",CLIENTES!A5)</f>
        <v>Bravos</v>
      </c>
      <c r="B2946" s="90" t="s">
        <v>333</v>
      </c>
      <c r="C2946" s="91" t="s">
        <v>334</v>
      </c>
      <c r="D2946" s="109" t="s">
        <v>353</v>
      </c>
      <c r="E2946" s="67" t="str">
        <f>COLORES!A4</f>
        <v>Negro</v>
      </c>
      <c r="F2946" s="67" t="str">
        <f>COLORES!B4</f>
        <v>OSCURO</v>
      </c>
      <c r="G2946" s="90" t="s">
        <v>382</v>
      </c>
      <c r="H2946" s="100">
        <f>IFERROR(SUMIFS(MOVIMIENTOS_COMPLEMENTOS!$I$4:$I$803,MOVIMIENTOS_COMPLEMENTOS!$C$4:$C$803,A2946,MOVIMIENTOS_COMPLEMENTOS!$D$4:$D$803,B2946,MOVIMIENTOS_COMPLEMENTOS!$E$4:$E$803,C2946,MOVIMIENTOS_COMPLEMENTOS!$G$4:$G$803,E2946,MOVIMIENTOS_COMPLEMENTOS!$H$4:$H$803,G2946,MOVIMIENTOS_COMPLEMENTOS!$B$4:$B$803,"INGRESO")+SUMIFS(MOVIMIENTOS_COMPLEMENTOS!$I$4:$I$803,MOVIMIENTOS_COMPLEMENTOS!$C$4:$C$803,A2946,MOVIMIENTOS_COMPLEMENTOS!$D$4:$D$803,B2946,MOVIMIENTOS_COMPLEMENTOS!$E$4:$E$803,C2946,MOVIMIENTOS_COMPLEMENTOS!$G$4:$G$803,E2946,MOVIMIENTOS_COMPLEMENTOS!$H$4:$H$803,G2946,MOVIMIENTOS_COMPLEMENTOS!$B$4:$B$803,"DE CORTE")-SUMIFS(MOVIMIENTOS_COMPLEMENTOS!$I$4:$I$803,MOVIMIENTOS_COMPLEMENTOS!$C$4:$C$803,A2946,MOVIMIENTOS_COMPLEMENTOS!$D$4:$D$803,B2946,MOVIMIENTOS_COMPLEMENTOS!$E$4:$E$803,C2946,MOVIMIENTOS_COMPLEMENTOS!$G$4:$G$803,E2946,MOVIMIENTOS_COMPLEMENTOS!$H$4:$H$803,G2946,MOVIMIENTOS_COMPLEMENTOS!$B$4:$B$803,"SALIDA"),0)</f>
        <v>0</v>
      </c>
      <c r="I2946" s="102">
        <f t="array" ref="I2946">IFERROR(INDEX(PRECIOS_COMPLEMENTOS!$C$4:$F$17,MATCH(B2946&amp;"_"&amp;C2946,PRECIOS_COMPLEMENTOS!$H$4:$H$17,0),IF(OR(G2946="S",G2946="20cm"),1,IF(OR(G2946="M",G2946="25cm"),2,IF(OR(G2946="L",G2946="30cm"),3,IF(OR(G2946="XL",G2946="35cm"),4,0))))),0)</f>
        <v>0.45</v>
      </c>
      <c r="J2946" s="103">
        <f t="shared" si="1"/>
        <v>0</v>
      </c>
      <c r="K2946" s="104" t="str">
        <f>IF(H2946&lt;0,"ERROR",IF(H2946=0,"",IF(H2946&lt;CONFIG!$B$4,"CRÍTICO",IF(H2946&lt;CONFIG!$B$5,"BAJO","OK"))))</f>
        <v/>
      </c>
    </row>
    <row r="2947" ht="15.75" customHeight="1">
      <c r="A2947" s="90" t="str">
        <f>IF(CLIENTES!A5="","",CLIENTES!A5)</f>
        <v>Bravos</v>
      </c>
      <c r="B2947" s="90" t="s">
        <v>333</v>
      </c>
      <c r="C2947" s="91" t="s">
        <v>334</v>
      </c>
      <c r="D2947" s="109" t="s">
        <v>353</v>
      </c>
      <c r="E2947" s="67" t="str">
        <f>COLORES!A5</f>
        <v>Perla</v>
      </c>
      <c r="F2947" s="67" t="str">
        <f>COLORES!B5</f>
        <v>PPT</v>
      </c>
      <c r="G2947" s="90" t="s">
        <v>380</v>
      </c>
      <c r="H2947" s="100">
        <f>IFERROR(SUMIFS(MOVIMIENTOS_COMPLEMENTOS!$I$4:$I$803,MOVIMIENTOS_COMPLEMENTOS!$C$4:$C$803,A2947,MOVIMIENTOS_COMPLEMENTOS!$D$4:$D$803,B2947,MOVIMIENTOS_COMPLEMENTOS!$E$4:$E$803,C2947,MOVIMIENTOS_COMPLEMENTOS!$G$4:$G$803,E2947,MOVIMIENTOS_COMPLEMENTOS!$H$4:$H$803,G2947,MOVIMIENTOS_COMPLEMENTOS!$B$4:$B$803,"INGRESO")+SUMIFS(MOVIMIENTOS_COMPLEMENTOS!$I$4:$I$803,MOVIMIENTOS_COMPLEMENTOS!$C$4:$C$803,A2947,MOVIMIENTOS_COMPLEMENTOS!$D$4:$D$803,B2947,MOVIMIENTOS_COMPLEMENTOS!$E$4:$E$803,C2947,MOVIMIENTOS_COMPLEMENTOS!$G$4:$G$803,E2947,MOVIMIENTOS_COMPLEMENTOS!$H$4:$H$803,G2947,MOVIMIENTOS_COMPLEMENTOS!$B$4:$B$803,"DE CORTE")-SUMIFS(MOVIMIENTOS_COMPLEMENTOS!$I$4:$I$803,MOVIMIENTOS_COMPLEMENTOS!$C$4:$C$803,A2947,MOVIMIENTOS_COMPLEMENTOS!$D$4:$D$803,B2947,MOVIMIENTOS_COMPLEMENTOS!$E$4:$E$803,C2947,MOVIMIENTOS_COMPLEMENTOS!$G$4:$G$803,E2947,MOVIMIENTOS_COMPLEMENTOS!$H$4:$H$803,G2947,MOVIMIENTOS_COMPLEMENTOS!$B$4:$B$803,"SALIDA"),0)</f>
        <v>0</v>
      </c>
      <c r="I2947" s="102">
        <f t="array" ref="I2947">IFERROR(INDEX(PRECIOS_COMPLEMENTOS!$C$4:$F$17,MATCH(B2947&amp;"_"&amp;C2947,PRECIOS_COMPLEMENTOS!$H$4:$H$17,0),IF(OR(G2947="S",G2947="20cm"),1,IF(OR(G2947="M",G2947="25cm"),2,IF(OR(G2947="L",G2947="30cm"),3,IF(OR(G2947="XL",G2947="35cm"),4,0))))),0)</f>
        <v>0.45</v>
      </c>
      <c r="J2947" s="103">
        <f t="shared" si="1"/>
        <v>0</v>
      </c>
      <c r="K2947" s="104" t="str">
        <f>IF(H2947&lt;0,"ERROR",IF(H2947=0,"",IF(H2947&lt;CONFIG!$B$4,"CRÍTICO",IF(H2947&lt;CONFIG!$B$5,"BAJO","OK"))))</f>
        <v/>
      </c>
    </row>
    <row r="2948" ht="15.75" customHeight="1">
      <c r="A2948" s="90" t="str">
        <f>IF(CLIENTES!A5="","",CLIENTES!A5)</f>
        <v>Bravos</v>
      </c>
      <c r="B2948" s="90" t="s">
        <v>333</v>
      </c>
      <c r="C2948" s="91" t="s">
        <v>334</v>
      </c>
      <c r="D2948" s="109" t="s">
        <v>353</v>
      </c>
      <c r="E2948" s="67" t="str">
        <f>COLORES!A5</f>
        <v>Perla</v>
      </c>
      <c r="F2948" s="67" t="str">
        <f>COLORES!B5</f>
        <v>PPT</v>
      </c>
      <c r="G2948" s="90" t="s">
        <v>381</v>
      </c>
      <c r="H2948" s="100">
        <f>IFERROR(SUMIFS(MOVIMIENTOS_COMPLEMENTOS!$I$4:$I$803,MOVIMIENTOS_COMPLEMENTOS!$C$4:$C$803,A2948,MOVIMIENTOS_COMPLEMENTOS!$D$4:$D$803,B2948,MOVIMIENTOS_COMPLEMENTOS!$E$4:$E$803,C2948,MOVIMIENTOS_COMPLEMENTOS!$G$4:$G$803,E2948,MOVIMIENTOS_COMPLEMENTOS!$H$4:$H$803,G2948,MOVIMIENTOS_COMPLEMENTOS!$B$4:$B$803,"INGRESO")+SUMIFS(MOVIMIENTOS_COMPLEMENTOS!$I$4:$I$803,MOVIMIENTOS_COMPLEMENTOS!$C$4:$C$803,A2948,MOVIMIENTOS_COMPLEMENTOS!$D$4:$D$803,B2948,MOVIMIENTOS_COMPLEMENTOS!$E$4:$E$803,C2948,MOVIMIENTOS_COMPLEMENTOS!$G$4:$G$803,E2948,MOVIMIENTOS_COMPLEMENTOS!$H$4:$H$803,G2948,MOVIMIENTOS_COMPLEMENTOS!$B$4:$B$803,"DE CORTE")-SUMIFS(MOVIMIENTOS_COMPLEMENTOS!$I$4:$I$803,MOVIMIENTOS_COMPLEMENTOS!$C$4:$C$803,A2948,MOVIMIENTOS_COMPLEMENTOS!$D$4:$D$803,B2948,MOVIMIENTOS_COMPLEMENTOS!$E$4:$E$803,C2948,MOVIMIENTOS_COMPLEMENTOS!$G$4:$G$803,E2948,MOVIMIENTOS_COMPLEMENTOS!$H$4:$H$803,G2948,MOVIMIENTOS_COMPLEMENTOS!$B$4:$B$803,"SALIDA"),0)</f>
        <v>0</v>
      </c>
      <c r="I2948" s="102">
        <f t="array" ref="I2948">IFERROR(INDEX(PRECIOS_COMPLEMENTOS!$C$4:$F$17,MATCH(B2948&amp;"_"&amp;C2948,PRECIOS_COMPLEMENTOS!$H$4:$H$17,0),IF(OR(G2948="S",G2948="20cm"),1,IF(OR(G2948="M",G2948="25cm"),2,IF(OR(G2948="L",G2948="30cm"),3,IF(OR(G2948="XL",G2948="35cm"),4,0))))),0)</f>
        <v>0.45</v>
      </c>
      <c r="J2948" s="103">
        <f t="shared" si="1"/>
        <v>0</v>
      </c>
      <c r="K2948" s="104" t="str">
        <f>IF(H2948&lt;0,"ERROR",IF(H2948=0,"",IF(H2948&lt;CONFIG!$B$4,"CRÍTICO",IF(H2948&lt;CONFIG!$B$5,"BAJO","OK"))))</f>
        <v/>
      </c>
    </row>
    <row r="2949" ht="15.75" customHeight="1">
      <c r="A2949" s="90" t="str">
        <f>IF(CLIENTES!A5="","",CLIENTES!A5)</f>
        <v>Bravos</v>
      </c>
      <c r="B2949" s="90" t="s">
        <v>333</v>
      </c>
      <c r="C2949" s="91" t="s">
        <v>334</v>
      </c>
      <c r="D2949" s="109" t="s">
        <v>353</v>
      </c>
      <c r="E2949" s="67" t="str">
        <f>COLORES!A5</f>
        <v>Perla</v>
      </c>
      <c r="F2949" s="67" t="str">
        <f>COLORES!B5</f>
        <v>PPT</v>
      </c>
      <c r="G2949" s="90" t="s">
        <v>382</v>
      </c>
      <c r="H2949" s="100">
        <f>IFERROR(SUMIFS(MOVIMIENTOS_COMPLEMENTOS!$I$4:$I$803,MOVIMIENTOS_COMPLEMENTOS!$C$4:$C$803,A2949,MOVIMIENTOS_COMPLEMENTOS!$D$4:$D$803,B2949,MOVIMIENTOS_COMPLEMENTOS!$E$4:$E$803,C2949,MOVIMIENTOS_COMPLEMENTOS!$G$4:$G$803,E2949,MOVIMIENTOS_COMPLEMENTOS!$H$4:$H$803,G2949,MOVIMIENTOS_COMPLEMENTOS!$B$4:$B$803,"INGRESO")+SUMIFS(MOVIMIENTOS_COMPLEMENTOS!$I$4:$I$803,MOVIMIENTOS_COMPLEMENTOS!$C$4:$C$803,A2949,MOVIMIENTOS_COMPLEMENTOS!$D$4:$D$803,B2949,MOVIMIENTOS_COMPLEMENTOS!$E$4:$E$803,C2949,MOVIMIENTOS_COMPLEMENTOS!$G$4:$G$803,E2949,MOVIMIENTOS_COMPLEMENTOS!$H$4:$H$803,G2949,MOVIMIENTOS_COMPLEMENTOS!$B$4:$B$803,"DE CORTE")-SUMIFS(MOVIMIENTOS_COMPLEMENTOS!$I$4:$I$803,MOVIMIENTOS_COMPLEMENTOS!$C$4:$C$803,A2949,MOVIMIENTOS_COMPLEMENTOS!$D$4:$D$803,B2949,MOVIMIENTOS_COMPLEMENTOS!$E$4:$E$803,C2949,MOVIMIENTOS_COMPLEMENTOS!$G$4:$G$803,E2949,MOVIMIENTOS_COMPLEMENTOS!$H$4:$H$803,G2949,MOVIMIENTOS_COMPLEMENTOS!$B$4:$B$803,"SALIDA"),0)</f>
        <v>0</v>
      </c>
      <c r="I2949" s="102">
        <f t="array" ref="I2949">IFERROR(INDEX(PRECIOS_COMPLEMENTOS!$C$4:$F$17,MATCH(B2949&amp;"_"&amp;C2949,PRECIOS_COMPLEMENTOS!$H$4:$H$17,0),IF(OR(G2949="S",G2949="20cm"),1,IF(OR(G2949="M",G2949="25cm"),2,IF(OR(G2949="L",G2949="30cm"),3,IF(OR(G2949="XL",G2949="35cm"),4,0))))),0)</f>
        <v>0.45</v>
      </c>
      <c r="J2949" s="103">
        <f t="shared" si="1"/>
        <v>0</v>
      </c>
      <c r="K2949" s="104" t="str">
        <f>IF(H2949&lt;0,"ERROR",IF(H2949=0,"",IF(H2949&lt;CONFIG!$B$4,"CRÍTICO",IF(H2949&lt;CONFIG!$B$5,"BAJO","OK"))))</f>
        <v/>
      </c>
    </row>
    <row r="2950" ht="15.75" customHeight="1">
      <c r="A2950" s="90" t="str">
        <f>IF(CLIENTES!A5="","",CLIENTES!A5)</f>
        <v>Bravos</v>
      </c>
      <c r="B2950" s="90" t="s">
        <v>333</v>
      </c>
      <c r="C2950" s="91" t="s">
        <v>334</v>
      </c>
      <c r="D2950" s="109" t="s">
        <v>353</v>
      </c>
      <c r="E2950" s="67" t="str">
        <f>COLORES!A6</f>
        <v>Blanco</v>
      </c>
      <c r="F2950" s="67" t="str">
        <f>COLORES!B6</f>
        <v>PPT</v>
      </c>
      <c r="G2950" s="90" t="s">
        <v>380</v>
      </c>
      <c r="H2950" s="100">
        <f>IFERROR(SUMIFS(MOVIMIENTOS_COMPLEMENTOS!$I$4:$I$803,MOVIMIENTOS_COMPLEMENTOS!$C$4:$C$803,A2950,MOVIMIENTOS_COMPLEMENTOS!$D$4:$D$803,B2950,MOVIMIENTOS_COMPLEMENTOS!$E$4:$E$803,C2950,MOVIMIENTOS_COMPLEMENTOS!$G$4:$G$803,E2950,MOVIMIENTOS_COMPLEMENTOS!$H$4:$H$803,G2950,MOVIMIENTOS_COMPLEMENTOS!$B$4:$B$803,"INGRESO")+SUMIFS(MOVIMIENTOS_COMPLEMENTOS!$I$4:$I$803,MOVIMIENTOS_COMPLEMENTOS!$C$4:$C$803,A2950,MOVIMIENTOS_COMPLEMENTOS!$D$4:$D$803,B2950,MOVIMIENTOS_COMPLEMENTOS!$E$4:$E$803,C2950,MOVIMIENTOS_COMPLEMENTOS!$G$4:$G$803,E2950,MOVIMIENTOS_COMPLEMENTOS!$H$4:$H$803,G2950,MOVIMIENTOS_COMPLEMENTOS!$B$4:$B$803,"DE CORTE")-SUMIFS(MOVIMIENTOS_COMPLEMENTOS!$I$4:$I$803,MOVIMIENTOS_COMPLEMENTOS!$C$4:$C$803,A2950,MOVIMIENTOS_COMPLEMENTOS!$D$4:$D$803,B2950,MOVIMIENTOS_COMPLEMENTOS!$E$4:$E$803,C2950,MOVIMIENTOS_COMPLEMENTOS!$G$4:$G$803,E2950,MOVIMIENTOS_COMPLEMENTOS!$H$4:$H$803,G2950,MOVIMIENTOS_COMPLEMENTOS!$B$4:$B$803,"SALIDA"),0)</f>
        <v>0</v>
      </c>
      <c r="I2950" s="102">
        <f t="array" ref="I2950">IFERROR(INDEX(PRECIOS_COMPLEMENTOS!$C$4:$F$17,MATCH(B2950&amp;"_"&amp;C2950,PRECIOS_COMPLEMENTOS!$H$4:$H$17,0),IF(OR(G2950="S",G2950="20cm"),1,IF(OR(G2950="M",G2950="25cm"),2,IF(OR(G2950="L",G2950="30cm"),3,IF(OR(G2950="XL",G2950="35cm"),4,0))))),0)</f>
        <v>0.45</v>
      </c>
      <c r="J2950" s="103">
        <f t="shared" si="1"/>
        <v>0</v>
      </c>
      <c r="K2950" s="104" t="str">
        <f>IF(H2950&lt;0,"ERROR",IF(H2950=0,"",IF(H2950&lt;CONFIG!$B$4,"CRÍTICO",IF(H2950&lt;CONFIG!$B$5,"BAJO","OK"))))</f>
        <v/>
      </c>
    </row>
    <row r="2951" ht="15.75" customHeight="1">
      <c r="A2951" s="90" t="str">
        <f>IF(CLIENTES!A5="","",CLIENTES!A5)</f>
        <v>Bravos</v>
      </c>
      <c r="B2951" s="90" t="s">
        <v>333</v>
      </c>
      <c r="C2951" s="91" t="s">
        <v>334</v>
      </c>
      <c r="D2951" s="109" t="s">
        <v>353</v>
      </c>
      <c r="E2951" s="67" t="str">
        <f>COLORES!A6</f>
        <v>Blanco</v>
      </c>
      <c r="F2951" s="67" t="str">
        <f>COLORES!B6</f>
        <v>PPT</v>
      </c>
      <c r="G2951" s="90" t="s">
        <v>381</v>
      </c>
      <c r="H2951" s="100">
        <f>IFERROR(SUMIFS(MOVIMIENTOS_COMPLEMENTOS!$I$4:$I$803,MOVIMIENTOS_COMPLEMENTOS!$C$4:$C$803,A2951,MOVIMIENTOS_COMPLEMENTOS!$D$4:$D$803,B2951,MOVIMIENTOS_COMPLEMENTOS!$E$4:$E$803,C2951,MOVIMIENTOS_COMPLEMENTOS!$G$4:$G$803,E2951,MOVIMIENTOS_COMPLEMENTOS!$H$4:$H$803,G2951,MOVIMIENTOS_COMPLEMENTOS!$B$4:$B$803,"INGRESO")+SUMIFS(MOVIMIENTOS_COMPLEMENTOS!$I$4:$I$803,MOVIMIENTOS_COMPLEMENTOS!$C$4:$C$803,A2951,MOVIMIENTOS_COMPLEMENTOS!$D$4:$D$803,B2951,MOVIMIENTOS_COMPLEMENTOS!$E$4:$E$803,C2951,MOVIMIENTOS_COMPLEMENTOS!$G$4:$G$803,E2951,MOVIMIENTOS_COMPLEMENTOS!$H$4:$H$803,G2951,MOVIMIENTOS_COMPLEMENTOS!$B$4:$B$803,"DE CORTE")-SUMIFS(MOVIMIENTOS_COMPLEMENTOS!$I$4:$I$803,MOVIMIENTOS_COMPLEMENTOS!$C$4:$C$803,A2951,MOVIMIENTOS_COMPLEMENTOS!$D$4:$D$803,B2951,MOVIMIENTOS_COMPLEMENTOS!$E$4:$E$803,C2951,MOVIMIENTOS_COMPLEMENTOS!$G$4:$G$803,E2951,MOVIMIENTOS_COMPLEMENTOS!$H$4:$H$803,G2951,MOVIMIENTOS_COMPLEMENTOS!$B$4:$B$803,"SALIDA"),0)</f>
        <v>0</v>
      </c>
      <c r="I2951" s="102">
        <f t="array" ref="I2951">IFERROR(INDEX(PRECIOS_COMPLEMENTOS!$C$4:$F$17,MATCH(B2951&amp;"_"&amp;C2951,PRECIOS_COMPLEMENTOS!$H$4:$H$17,0),IF(OR(G2951="S",G2951="20cm"),1,IF(OR(G2951="M",G2951="25cm"),2,IF(OR(G2951="L",G2951="30cm"),3,IF(OR(G2951="XL",G2951="35cm"),4,0))))),0)</f>
        <v>0.45</v>
      </c>
      <c r="J2951" s="103">
        <f t="shared" si="1"/>
        <v>0</v>
      </c>
      <c r="K2951" s="104" t="str">
        <f>IF(H2951&lt;0,"ERROR",IF(H2951=0,"",IF(H2951&lt;CONFIG!$B$4,"CRÍTICO",IF(H2951&lt;CONFIG!$B$5,"BAJO","OK"))))</f>
        <v/>
      </c>
    </row>
    <row r="2952" ht="15.75" customHeight="1">
      <c r="A2952" s="90" t="str">
        <f>IF(CLIENTES!A5="","",CLIENTES!A5)</f>
        <v>Bravos</v>
      </c>
      <c r="B2952" s="90" t="s">
        <v>333</v>
      </c>
      <c r="C2952" s="91" t="s">
        <v>334</v>
      </c>
      <c r="D2952" s="109" t="s">
        <v>353</v>
      </c>
      <c r="E2952" s="67" t="str">
        <f>COLORES!A6</f>
        <v>Blanco</v>
      </c>
      <c r="F2952" s="67" t="str">
        <f>COLORES!B6</f>
        <v>PPT</v>
      </c>
      <c r="G2952" s="90" t="s">
        <v>382</v>
      </c>
      <c r="H2952" s="100">
        <f>IFERROR(SUMIFS(MOVIMIENTOS_COMPLEMENTOS!$I$4:$I$803,MOVIMIENTOS_COMPLEMENTOS!$C$4:$C$803,A2952,MOVIMIENTOS_COMPLEMENTOS!$D$4:$D$803,B2952,MOVIMIENTOS_COMPLEMENTOS!$E$4:$E$803,C2952,MOVIMIENTOS_COMPLEMENTOS!$G$4:$G$803,E2952,MOVIMIENTOS_COMPLEMENTOS!$H$4:$H$803,G2952,MOVIMIENTOS_COMPLEMENTOS!$B$4:$B$803,"INGRESO")+SUMIFS(MOVIMIENTOS_COMPLEMENTOS!$I$4:$I$803,MOVIMIENTOS_COMPLEMENTOS!$C$4:$C$803,A2952,MOVIMIENTOS_COMPLEMENTOS!$D$4:$D$803,B2952,MOVIMIENTOS_COMPLEMENTOS!$E$4:$E$803,C2952,MOVIMIENTOS_COMPLEMENTOS!$G$4:$G$803,E2952,MOVIMIENTOS_COMPLEMENTOS!$H$4:$H$803,G2952,MOVIMIENTOS_COMPLEMENTOS!$B$4:$B$803,"DE CORTE")-SUMIFS(MOVIMIENTOS_COMPLEMENTOS!$I$4:$I$803,MOVIMIENTOS_COMPLEMENTOS!$C$4:$C$803,A2952,MOVIMIENTOS_COMPLEMENTOS!$D$4:$D$803,B2952,MOVIMIENTOS_COMPLEMENTOS!$E$4:$E$803,C2952,MOVIMIENTOS_COMPLEMENTOS!$G$4:$G$803,E2952,MOVIMIENTOS_COMPLEMENTOS!$H$4:$H$803,G2952,MOVIMIENTOS_COMPLEMENTOS!$B$4:$B$803,"SALIDA"),0)</f>
        <v>0</v>
      </c>
      <c r="I2952" s="102">
        <f t="array" ref="I2952">IFERROR(INDEX(PRECIOS_COMPLEMENTOS!$C$4:$F$17,MATCH(B2952&amp;"_"&amp;C2952,PRECIOS_COMPLEMENTOS!$H$4:$H$17,0),IF(OR(G2952="S",G2952="20cm"),1,IF(OR(G2952="M",G2952="25cm"),2,IF(OR(G2952="L",G2952="30cm"),3,IF(OR(G2952="XL",G2952="35cm"),4,0))))),0)</f>
        <v>0.45</v>
      </c>
      <c r="J2952" s="103">
        <f t="shared" si="1"/>
        <v>0</v>
      </c>
      <c r="K2952" s="104" t="str">
        <f>IF(H2952&lt;0,"ERROR",IF(H2952=0,"",IF(H2952&lt;CONFIG!$B$4,"CRÍTICO",IF(H2952&lt;CONFIG!$B$5,"BAJO","OK"))))</f>
        <v/>
      </c>
    </row>
    <row r="2953" ht="15.75" customHeight="1">
      <c r="A2953" s="90" t="str">
        <f>IF(CLIENTES!A5="","",CLIENTES!A5)</f>
        <v>Bravos</v>
      </c>
      <c r="B2953" s="90" t="s">
        <v>333</v>
      </c>
      <c r="C2953" s="91" t="s">
        <v>334</v>
      </c>
      <c r="D2953" s="109" t="s">
        <v>353</v>
      </c>
      <c r="E2953" s="67" t="str">
        <f>COLORES!A7</f>
        <v>Azul</v>
      </c>
      <c r="F2953" s="67" t="str">
        <f>COLORES!B7</f>
        <v>OSCURO</v>
      </c>
      <c r="G2953" s="90" t="s">
        <v>380</v>
      </c>
      <c r="H2953" s="100">
        <f>IFERROR(SUMIFS(MOVIMIENTOS_COMPLEMENTOS!$I$4:$I$803,MOVIMIENTOS_COMPLEMENTOS!$C$4:$C$803,A2953,MOVIMIENTOS_COMPLEMENTOS!$D$4:$D$803,B2953,MOVIMIENTOS_COMPLEMENTOS!$E$4:$E$803,C2953,MOVIMIENTOS_COMPLEMENTOS!$G$4:$G$803,E2953,MOVIMIENTOS_COMPLEMENTOS!$H$4:$H$803,G2953,MOVIMIENTOS_COMPLEMENTOS!$B$4:$B$803,"INGRESO")+SUMIFS(MOVIMIENTOS_COMPLEMENTOS!$I$4:$I$803,MOVIMIENTOS_COMPLEMENTOS!$C$4:$C$803,A2953,MOVIMIENTOS_COMPLEMENTOS!$D$4:$D$803,B2953,MOVIMIENTOS_COMPLEMENTOS!$E$4:$E$803,C2953,MOVIMIENTOS_COMPLEMENTOS!$G$4:$G$803,E2953,MOVIMIENTOS_COMPLEMENTOS!$H$4:$H$803,G2953,MOVIMIENTOS_COMPLEMENTOS!$B$4:$B$803,"DE CORTE")-SUMIFS(MOVIMIENTOS_COMPLEMENTOS!$I$4:$I$803,MOVIMIENTOS_COMPLEMENTOS!$C$4:$C$803,A2953,MOVIMIENTOS_COMPLEMENTOS!$D$4:$D$803,B2953,MOVIMIENTOS_COMPLEMENTOS!$E$4:$E$803,C2953,MOVIMIENTOS_COMPLEMENTOS!$G$4:$G$803,E2953,MOVIMIENTOS_COMPLEMENTOS!$H$4:$H$803,G2953,MOVIMIENTOS_COMPLEMENTOS!$B$4:$B$803,"SALIDA"),0)</f>
        <v>0</v>
      </c>
      <c r="I2953" s="102">
        <f t="array" ref="I2953">IFERROR(INDEX(PRECIOS_COMPLEMENTOS!$C$4:$F$17,MATCH(B2953&amp;"_"&amp;C2953,PRECIOS_COMPLEMENTOS!$H$4:$H$17,0),IF(OR(G2953="S",G2953="20cm"),1,IF(OR(G2953="M",G2953="25cm"),2,IF(OR(G2953="L",G2953="30cm"),3,IF(OR(G2953="XL",G2953="35cm"),4,0))))),0)</f>
        <v>0.45</v>
      </c>
      <c r="J2953" s="103">
        <f t="shared" si="1"/>
        <v>0</v>
      </c>
      <c r="K2953" s="104" t="str">
        <f>IF(H2953&lt;0,"ERROR",IF(H2953=0,"",IF(H2953&lt;CONFIG!$B$4,"CRÍTICO",IF(H2953&lt;CONFIG!$B$5,"BAJO","OK"))))</f>
        <v/>
      </c>
    </row>
    <row r="2954" ht="15.75" customHeight="1">
      <c r="A2954" s="90" t="str">
        <f>IF(CLIENTES!A5="","",CLIENTES!A5)</f>
        <v>Bravos</v>
      </c>
      <c r="B2954" s="90" t="s">
        <v>333</v>
      </c>
      <c r="C2954" s="91" t="s">
        <v>334</v>
      </c>
      <c r="D2954" s="109" t="s">
        <v>353</v>
      </c>
      <c r="E2954" s="67" t="str">
        <f>COLORES!A7</f>
        <v>Azul</v>
      </c>
      <c r="F2954" s="67" t="str">
        <f>COLORES!B7</f>
        <v>OSCURO</v>
      </c>
      <c r="G2954" s="90" t="s">
        <v>381</v>
      </c>
      <c r="H2954" s="100">
        <f>IFERROR(SUMIFS(MOVIMIENTOS_COMPLEMENTOS!$I$4:$I$803,MOVIMIENTOS_COMPLEMENTOS!$C$4:$C$803,A2954,MOVIMIENTOS_COMPLEMENTOS!$D$4:$D$803,B2954,MOVIMIENTOS_COMPLEMENTOS!$E$4:$E$803,C2954,MOVIMIENTOS_COMPLEMENTOS!$G$4:$G$803,E2954,MOVIMIENTOS_COMPLEMENTOS!$H$4:$H$803,G2954,MOVIMIENTOS_COMPLEMENTOS!$B$4:$B$803,"INGRESO")+SUMIFS(MOVIMIENTOS_COMPLEMENTOS!$I$4:$I$803,MOVIMIENTOS_COMPLEMENTOS!$C$4:$C$803,A2954,MOVIMIENTOS_COMPLEMENTOS!$D$4:$D$803,B2954,MOVIMIENTOS_COMPLEMENTOS!$E$4:$E$803,C2954,MOVIMIENTOS_COMPLEMENTOS!$G$4:$G$803,E2954,MOVIMIENTOS_COMPLEMENTOS!$H$4:$H$803,G2954,MOVIMIENTOS_COMPLEMENTOS!$B$4:$B$803,"DE CORTE")-SUMIFS(MOVIMIENTOS_COMPLEMENTOS!$I$4:$I$803,MOVIMIENTOS_COMPLEMENTOS!$C$4:$C$803,A2954,MOVIMIENTOS_COMPLEMENTOS!$D$4:$D$803,B2954,MOVIMIENTOS_COMPLEMENTOS!$E$4:$E$803,C2954,MOVIMIENTOS_COMPLEMENTOS!$G$4:$G$803,E2954,MOVIMIENTOS_COMPLEMENTOS!$H$4:$H$803,G2954,MOVIMIENTOS_COMPLEMENTOS!$B$4:$B$803,"SALIDA"),0)</f>
        <v>0</v>
      </c>
      <c r="I2954" s="102">
        <f t="array" ref="I2954">IFERROR(INDEX(PRECIOS_COMPLEMENTOS!$C$4:$F$17,MATCH(B2954&amp;"_"&amp;C2954,PRECIOS_COMPLEMENTOS!$H$4:$H$17,0),IF(OR(G2954="S",G2954="20cm"),1,IF(OR(G2954="M",G2954="25cm"),2,IF(OR(G2954="L",G2954="30cm"),3,IF(OR(G2954="XL",G2954="35cm"),4,0))))),0)</f>
        <v>0.45</v>
      </c>
      <c r="J2954" s="103">
        <f t="shared" si="1"/>
        <v>0</v>
      </c>
      <c r="K2954" s="104" t="str">
        <f>IF(H2954&lt;0,"ERROR",IF(H2954=0,"",IF(H2954&lt;CONFIG!$B$4,"CRÍTICO",IF(H2954&lt;CONFIG!$B$5,"BAJO","OK"))))</f>
        <v/>
      </c>
    </row>
    <row r="2955" ht="15.75" customHeight="1">
      <c r="A2955" s="90" t="str">
        <f>IF(CLIENTES!A5="","",CLIENTES!A5)</f>
        <v>Bravos</v>
      </c>
      <c r="B2955" s="90" t="s">
        <v>333</v>
      </c>
      <c r="C2955" s="91" t="s">
        <v>334</v>
      </c>
      <c r="D2955" s="109" t="s">
        <v>353</v>
      </c>
      <c r="E2955" s="67" t="str">
        <f>COLORES!A7</f>
        <v>Azul</v>
      </c>
      <c r="F2955" s="67" t="str">
        <f>COLORES!B7</f>
        <v>OSCURO</v>
      </c>
      <c r="G2955" s="90" t="s">
        <v>382</v>
      </c>
      <c r="H2955" s="100">
        <f>IFERROR(SUMIFS(MOVIMIENTOS_COMPLEMENTOS!$I$4:$I$803,MOVIMIENTOS_COMPLEMENTOS!$C$4:$C$803,A2955,MOVIMIENTOS_COMPLEMENTOS!$D$4:$D$803,B2955,MOVIMIENTOS_COMPLEMENTOS!$E$4:$E$803,C2955,MOVIMIENTOS_COMPLEMENTOS!$G$4:$G$803,E2955,MOVIMIENTOS_COMPLEMENTOS!$H$4:$H$803,G2955,MOVIMIENTOS_COMPLEMENTOS!$B$4:$B$803,"INGRESO")+SUMIFS(MOVIMIENTOS_COMPLEMENTOS!$I$4:$I$803,MOVIMIENTOS_COMPLEMENTOS!$C$4:$C$803,A2955,MOVIMIENTOS_COMPLEMENTOS!$D$4:$D$803,B2955,MOVIMIENTOS_COMPLEMENTOS!$E$4:$E$803,C2955,MOVIMIENTOS_COMPLEMENTOS!$G$4:$G$803,E2955,MOVIMIENTOS_COMPLEMENTOS!$H$4:$H$803,G2955,MOVIMIENTOS_COMPLEMENTOS!$B$4:$B$803,"DE CORTE")-SUMIFS(MOVIMIENTOS_COMPLEMENTOS!$I$4:$I$803,MOVIMIENTOS_COMPLEMENTOS!$C$4:$C$803,A2955,MOVIMIENTOS_COMPLEMENTOS!$D$4:$D$803,B2955,MOVIMIENTOS_COMPLEMENTOS!$E$4:$E$803,C2955,MOVIMIENTOS_COMPLEMENTOS!$G$4:$G$803,E2955,MOVIMIENTOS_COMPLEMENTOS!$H$4:$H$803,G2955,MOVIMIENTOS_COMPLEMENTOS!$B$4:$B$803,"SALIDA"),0)</f>
        <v>0</v>
      </c>
      <c r="I2955" s="102">
        <f t="array" ref="I2955">IFERROR(INDEX(PRECIOS_COMPLEMENTOS!$C$4:$F$17,MATCH(B2955&amp;"_"&amp;C2955,PRECIOS_COMPLEMENTOS!$H$4:$H$17,0),IF(OR(G2955="S",G2955="20cm"),1,IF(OR(G2955="M",G2955="25cm"),2,IF(OR(G2955="L",G2955="30cm"),3,IF(OR(G2955="XL",G2955="35cm"),4,0))))),0)</f>
        <v>0.45</v>
      </c>
      <c r="J2955" s="103">
        <f t="shared" si="1"/>
        <v>0</v>
      </c>
      <c r="K2955" s="104" t="str">
        <f>IF(H2955&lt;0,"ERROR",IF(H2955=0,"",IF(H2955&lt;CONFIG!$B$4,"CRÍTICO",IF(H2955&lt;CONFIG!$B$5,"BAJO","OK"))))</f>
        <v/>
      </c>
    </row>
    <row r="2956" ht="15.75" customHeight="1">
      <c r="A2956" s="90" t="str">
        <f>IF(CLIENTES!A5="","",CLIENTES!A5)</f>
        <v>Bravos</v>
      </c>
      <c r="B2956" s="90" t="s">
        <v>333</v>
      </c>
      <c r="C2956" s="91" t="s">
        <v>334</v>
      </c>
      <c r="D2956" s="109" t="s">
        <v>353</v>
      </c>
      <c r="E2956" s="67" t="str">
        <f>COLORES!A8</f>
        <v>Beige</v>
      </c>
      <c r="F2956" s="67" t="str">
        <f>COLORES!B8</f>
        <v>CLARO</v>
      </c>
      <c r="G2956" s="90" t="s">
        <v>380</v>
      </c>
      <c r="H2956" s="100">
        <f>IFERROR(SUMIFS(MOVIMIENTOS_COMPLEMENTOS!$I$4:$I$803,MOVIMIENTOS_COMPLEMENTOS!$C$4:$C$803,A2956,MOVIMIENTOS_COMPLEMENTOS!$D$4:$D$803,B2956,MOVIMIENTOS_COMPLEMENTOS!$E$4:$E$803,C2956,MOVIMIENTOS_COMPLEMENTOS!$G$4:$G$803,E2956,MOVIMIENTOS_COMPLEMENTOS!$H$4:$H$803,G2956,MOVIMIENTOS_COMPLEMENTOS!$B$4:$B$803,"INGRESO")+SUMIFS(MOVIMIENTOS_COMPLEMENTOS!$I$4:$I$803,MOVIMIENTOS_COMPLEMENTOS!$C$4:$C$803,A2956,MOVIMIENTOS_COMPLEMENTOS!$D$4:$D$803,B2956,MOVIMIENTOS_COMPLEMENTOS!$E$4:$E$803,C2956,MOVIMIENTOS_COMPLEMENTOS!$G$4:$G$803,E2956,MOVIMIENTOS_COMPLEMENTOS!$H$4:$H$803,G2956,MOVIMIENTOS_COMPLEMENTOS!$B$4:$B$803,"DE CORTE")-SUMIFS(MOVIMIENTOS_COMPLEMENTOS!$I$4:$I$803,MOVIMIENTOS_COMPLEMENTOS!$C$4:$C$803,A2956,MOVIMIENTOS_COMPLEMENTOS!$D$4:$D$803,B2956,MOVIMIENTOS_COMPLEMENTOS!$E$4:$E$803,C2956,MOVIMIENTOS_COMPLEMENTOS!$G$4:$G$803,E2956,MOVIMIENTOS_COMPLEMENTOS!$H$4:$H$803,G2956,MOVIMIENTOS_COMPLEMENTOS!$B$4:$B$803,"SALIDA"),0)</f>
        <v>0</v>
      </c>
      <c r="I2956" s="102">
        <f t="array" ref="I2956">IFERROR(INDEX(PRECIOS_COMPLEMENTOS!$C$4:$F$17,MATCH(B2956&amp;"_"&amp;C2956,PRECIOS_COMPLEMENTOS!$H$4:$H$17,0),IF(OR(G2956="S",G2956="20cm"),1,IF(OR(G2956="M",G2956="25cm"),2,IF(OR(G2956="L",G2956="30cm"),3,IF(OR(G2956="XL",G2956="35cm"),4,0))))),0)</f>
        <v>0.45</v>
      </c>
      <c r="J2956" s="103">
        <f t="shared" si="1"/>
        <v>0</v>
      </c>
      <c r="K2956" s="104" t="str">
        <f>IF(H2956&lt;0,"ERROR",IF(H2956=0,"",IF(H2956&lt;CONFIG!$B$4,"CRÍTICO",IF(H2956&lt;CONFIG!$B$5,"BAJO","OK"))))</f>
        <v/>
      </c>
    </row>
    <row r="2957" ht="15.75" customHeight="1">
      <c r="A2957" s="90" t="str">
        <f>IF(CLIENTES!A5="","",CLIENTES!A5)</f>
        <v>Bravos</v>
      </c>
      <c r="B2957" s="90" t="s">
        <v>333</v>
      </c>
      <c r="C2957" s="91" t="s">
        <v>334</v>
      </c>
      <c r="D2957" s="109" t="s">
        <v>353</v>
      </c>
      <c r="E2957" s="67" t="str">
        <f>COLORES!A8</f>
        <v>Beige</v>
      </c>
      <c r="F2957" s="67" t="str">
        <f>COLORES!B8</f>
        <v>CLARO</v>
      </c>
      <c r="G2957" s="90" t="s">
        <v>381</v>
      </c>
      <c r="H2957" s="100">
        <f>IFERROR(SUMIFS(MOVIMIENTOS_COMPLEMENTOS!$I$4:$I$803,MOVIMIENTOS_COMPLEMENTOS!$C$4:$C$803,A2957,MOVIMIENTOS_COMPLEMENTOS!$D$4:$D$803,B2957,MOVIMIENTOS_COMPLEMENTOS!$E$4:$E$803,C2957,MOVIMIENTOS_COMPLEMENTOS!$G$4:$G$803,E2957,MOVIMIENTOS_COMPLEMENTOS!$H$4:$H$803,G2957,MOVIMIENTOS_COMPLEMENTOS!$B$4:$B$803,"INGRESO")+SUMIFS(MOVIMIENTOS_COMPLEMENTOS!$I$4:$I$803,MOVIMIENTOS_COMPLEMENTOS!$C$4:$C$803,A2957,MOVIMIENTOS_COMPLEMENTOS!$D$4:$D$803,B2957,MOVIMIENTOS_COMPLEMENTOS!$E$4:$E$803,C2957,MOVIMIENTOS_COMPLEMENTOS!$G$4:$G$803,E2957,MOVIMIENTOS_COMPLEMENTOS!$H$4:$H$803,G2957,MOVIMIENTOS_COMPLEMENTOS!$B$4:$B$803,"DE CORTE")-SUMIFS(MOVIMIENTOS_COMPLEMENTOS!$I$4:$I$803,MOVIMIENTOS_COMPLEMENTOS!$C$4:$C$803,A2957,MOVIMIENTOS_COMPLEMENTOS!$D$4:$D$803,B2957,MOVIMIENTOS_COMPLEMENTOS!$E$4:$E$803,C2957,MOVIMIENTOS_COMPLEMENTOS!$G$4:$G$803,E2957,MOVIMIENTOS_COMPLEMENTOS!$H$4:$H$803,G2957,MOVIMIENTOS_COMPLEMENTOS!$B$4:$B$803,"SALIDA"),0)</f>
        <v>0</v>
      </c>
      <c r="I2957" s="102">
        <f t="array" ref="I2957">IFERROR(INDEX(PRECIOS_COMPLEMENTOS!$C$4:$F$17,MATCH(B2957&amp;"_"&amp;C2957,PRECIOS_COMPLEMENTOS!$H$4:$H$17,0),IF(OR(G2957="S",G2957="20cm"),1,IF(OR(G2957="M",G2957="25cm"),2,IF(OR(G2957="L",G2957="30cm"),3,IF(OR(G2957="XL",G2957="35cm"),4,0))))),0)</f>
        <v>0.45</v>
      </c>
      <c r="J2957" s="103">
        <f t="shared" si="1"/>
        <v>0</v>
      </c>
      <c r="K2957" s="104" t="str">
        <f>IF(H2957&lt;0,"ERROR",IF(H2957=0,"",IF(H2957&lt;CONFIG!$B$4,"CRÍTICO",IF(H2957&lt;CONFIG!$B$5,"BAJO","OK"))))</f>
        <v/>
      </c>
    </row>
    <row r="2958" ht="15.75" customHeight="1">
      <c r="A2958" s="90" t="str">
        <f>IF(CLIENTES!A5="","",CLIENTES!A5)</f>
        <v>Bravos</v>
      </c>
      <c r="B2958" s="90" t="s">
        <v>333</v>
      </c>
      <c r="C2958" s="91" t="s">
        <v>334</v>
      </c>
      <c r="D2958" s="109" t="s">
        <v>353</v>
      </c>
      <c r="E2958" s="67" t="str">
        <f>COLORES!A8</f>
        <v>Beige</v>
      </c>
      <c r="F2958" s="67" t="str">
        <f>COLORES!B8</f>
        <v>CLARO</v>
      </c>
      <c r="G2958" s="90" t="s">
        <v>382</v>
      </c>
      <c r="H2958" s="100">
        <f>IFERROR(SUMIFS(MOVIMIENTOS_COMPLEMENTOS!$I$4:$I$803,MOVIMIENTOS_COMPLEMENTOS!$C$4:$C$803,A2958,MOVIMIENTOS_COMPLEMENTOS!$D$4:$D$803,B2958,MOVIMIENTOS_COMPLEMENTOS!$E$4:$E$803,C2958,MOVIMIENTOS_COMPLEMENTOS!$G$4:$G$803,E2958,MOVIMIENTOS_COMPLEMENTOS!$H$4:$H$803,G2958,MOVIMIENTOS_COMPLEMENTOS!$B$4:$B$803,"INGRESO")+SUMIFS(MOVIMIENTOS_COMPLEMENTOS!$I$4:$I$803,MOVIMIENTOS_COMPLEMENTOS!$C$4:$C$803,A2958,MOVIMIENTOS_COMPLEMENTOS!$D$4:$D$803,B2958,MOVIMIENTOS_COMPLEMENTOS!$E$4:$E$803,C2958,MOVIMIENTOS_COMPLEMENTOS!$G$4:$G$803,E2958,MOVIMIENTOS_COMPLEMENTOS!$H$4:$H$803,G2958,MOVIMIENTOS_COMPLEMENTOS!$B$4:$B$803,"DE CORTE")-SUMIFS(MOVIMIENTOS_COMPLEMENTOS!$I$4:$I$803,MOVIMIENTOS_COMPLEMENTOS!$C$4:$C$803,A2958,MOVIMIENTOS_COMPLEMENTOS!$D$4:$D$803,B2958,MOVIMIENTOS_COMPLEMENTOS!$E$4:$E$803,C2958,MOVIMIENTOS_COMPLEMENTOS!$G$4:$G$803,E2958,MOVIMIENTOS_COMPLEMENTOS!$H$4:$H$803,G2958,MOVIMIENTOS_COMPLEMENTOS!$B$4:$B$803,"SALIDA"),0)</f>
        <v>0</v>
      </c>
      <c r="I2958" s="102">
        <f t="array" ref="I2958">IFERROR(INDEX(PRECIOS_COMPLEMENTOS!$C$4:$F$17,MATCH(B2958&amp;"_"&amp;C2958,PRECIOS_COMPLEMENTOS!$H$4:$H$17,0),IF(OR(G2958="S",G2958="20cm"),1,IF(OR(G2958="M",G2958="25cm"),2,IF(OR(G2958="L",G2958="30cm"),3,IF(OR(G2958="XL",G2958="35cm"),4,0))))),0)</f>
        <v>0.45</v>
      </c>
      <c r="J2958" s="103">
        <f t="shared" si="1"/>
        <v>0</v>
      </c>
      <c r="K2958" s="104" t="str">
        <f>IF(H2958&lt;0,"ERROR",IF(H2958=0,"",IF(H2958&lt;CONFIG!$B$4,"CRÍTICO",IF(H2958&lt;CONFIG!$B$5,"BAJO","OK"))))</f>
        <v/>
      </c>
    </row>
    <row r="2959" ht="15.75" customHeight="1">
      <c r="A2959" s="90" t="str">
        <f>IF(CLIENTES!A5="","",CLIENTES!A5)</f>
        <v>Bravos</v>
      </c>
      <c r="B2959" s="90" t="s">
        <v>333</v>
      </c>
      <c r="C2959" s="91" t="s">
        <v>334</v>
      </c>
      <c r="D2959" s="109" t="s">
        <v>353</v>
      </c>
      <c r="E2959" s="67" t="str">
        <f>COLORES!A9</f>
        <v>Melange</v>
      </c>
      <c r="F2959" s="67" t="str">
        <f>COLORES!B9</f>
        <v>MELANGE</v>
      </c>
      <c r="G2959" s="90" t="s">
        <v>380</v>
      </c>
      <c r="H2959" s="100">
        <f>IFERROR(SUMIFS(MOVIMIENTOS_COMPLEMENTOS!$I$4:$I$803,MOVIMIENTOS_COMPLEMENTOS!$C$4:$C$803,A2959,MOVIMIENTOS_COMPLEMENTOS!$D$4:$D$803,B2959,MOVIMIENTOS_COMPLEMENTOS!$E$4:$E$803,C2959,MOVIMIENTOS_COMPLEMENTOS!$G$4:$G$803,E2959,MOVIMIENTOS_COMPLEMENTOS!$H$4:$H$803,G2959,MOVIMIENTOS_COMPLEMENTOS!$B$4:$B$803,"INGRESO")+SUMIFS(MOVIMIENTOS_COMPLEMENTOS!$I$4:$I$803,MOVIMIENTOS_COMPLEMENTOS!$C$4:$C$803,A2959,MOVIMIENTOS_COMPLEMENTOS!$D$4:$D$803,B2959,MOVIMIENTOS_COMPLEMENTOS!$E$4:$E$803,C2959,MOVIMIENTOS_COMPLEMENTOS!$G$4:$G$803,E2959,MOVIMIENTOS_COMPLEMENTOS!$H$4:$H$803,G2959,MOVIMIENTOS_COMPLEMENTOS!$B$4:$B$803,"DE CORTE")-SUMIFS(MOVIMIENTOS_COMPLEMENTOS!$I$4:$I$803,MOVIMIENTOS_COMPLEMENTOS!$C$4:$C$803,A2959,MOVIMIENTOS_COMPLEMENTOS!$D$4:$D$803,B2959,MOVIMIENTOS_COMPLEMENTOS!$E$4:$E$803,C2959,MOVIMIENTOS_COMPLEMENTOS!$G$4:$G$803,E2959,MOVIMIENTOS_COMPLEMENTOS!$H$4:$H$803,G2959,MOVIMIENTOS_COMPLEMENTOS!$B$4:$B$803,"SALIDA"),0)</f>
        <v>0</v>
      </c>
      <c r="I2959" s="102">
        <f t="array" ref="I2959">IFERROR(INDEX(PRECIOS_COMPLEMENTOS!$C$4:$F$17,MATCH(B2959&amp;"_"&amp;C2959,PRECIOS_COMPLEMENTOS!$H$4:$H$17,0),IF(OR(G2959="S",G2959="20cm"),1,IF(OR(G2959="M",G2959="25cm"),2,IF(OR(G2959="L",G2959="30cm"),3,IF(OR(G2959="XL",G2959="35cm"),4,0))))),0)</f>
        <v>0.45</v>
      </c>
      <c r="J2959" s="103">
        <f t="shared" si="1"/>
        <v>0</v>
      </c>
      <c r="K2959" s="104" t="str">
        <f>IF(H2959&lt;0,"ERROR",IF(H2959=0,"",IF(H2959&lt;CONFIG!$B$4,"CRÍTICO",IF(H2959&lt;CONFIG!$B$5,"BAJO","OK"))))</f>
        <v/>
      </c>
    </row>
    <row r="2960" ht="15.75" customHeight="1">
      <c r="A2960" s="90" t="str">
        <f>IF(CLIENTES!A5="","",CLIENTES!A5)</f>
        <v>Bravos</v>
      </c>
      <c r="B2960" s="90" t="s">
        <v>333</v>
      </c>
      <c r="C2960" s="91" t="s">
        <v>334</v>
      </c>
      <c r="D2960" s="109" t="s">
        <v>353</v>
      </c>
      <c r="E2960" s="67" t="str">
        <f>COLORES!A9</f>
        <v>Melange</v>
      </c>
      <c r="F2960" s="67" t="str">
        <f>COLORES!B9</f>
        <v>MELANGE</v>
      </c>
      <c r="G2960" s="90" t="s">
        <v>381</v>
      </c>
      <c r="H2960" s="100">
        <f>IFERROR(SUMIFS(MOVIMIENTOS_COMPLEMENTOS!$I$4:$I$803,MOVIMIENTOS_COMPLEMENTOS!$C$4:$C$803,A2960,MOVIMIENTOS_COMPLEMENTOS!$D$4:$D$803,B2960,MOVIMIENTOS_COMPLEMENTOS!$E$4:$E$803,C2960,MOVIMIENTOS_COMPLEMENTOS!$G$4:$G$803,E2960,MOVIMIENTOS_COMPLEMENTOS!$H$4:$H$803,G2960,MOVIMIENTOS_COMPLEMENTOS!$B$4:$B$803,"INGRESO")+SUMIFS(MOVIMIENTOS_COMPLEMENTOS!$I$4:$I$803,MOVIMIENTOS_COMPLEMENTOS!$C$4:$C$803,A2960,MOVIMIENTOS_COMPLEMENTOS!$D$4:$D$803,B2960,MOVIMIENTOS_COMPLEMENTOS!$E$4:$E$803,C2960,MOVIMIENTOS_COMPLEMENTOS!$G$4:$G$803,E2960,MOVIMIENTOS_COMPLEMENTOS!$H$4:$H$803,G2960,MOVIMIENTOS_COMPLEMENTOS!$B$4:$B$803,"DE CORTE")-SUMIFS(MOVIMIENTOS_COMPLEMENTOS!$I$4:$I$803,MOVIMIENTOS_COMPLEMENTOS!$C$4:$C$803,A2960,MOVIMIENTOS_COMPLEMENTOS!$D$4:$D$803,B2960,MOVIMIENTOS_COMPLEMENTOS!$E$4:$E$803,C2960,MOVIMIENTOS_COMPLEMENTOS!$G$4:$G$803,E2960,MOVIMIENTOS_COMPLEMENTOS!$H$4:$H$803,G2960,MOVIMIENTOS_COMPLEMENTOS!$B$4:$B$803,"SALIDA"),0)</f>
        <v>0</v>
      </c>
      <c r="I2960" s="102">
        <f t="array" ref="I2960">IFERROR(INDEX(PRECIOS_COMPLEMENTOS!$C$4:$F$17,MATCH(B2960&amp;"_"&amp;C2960,PRECIOS_COMPLEMENTOS!$H$4:$H$17,0),IF(OR(G2960="S",G2960="20cm"),1,IF(OR(G2960="M",G2960="25cm"),2,IF(OR(G2960="L",G2960="30cm"),3,IF(OR(G2960="XL",G2960="35cm"),4,0))))),0)</f>
        <v>0.45</v>
      </c>
      <c r="J2960" s="103">
        <f t="shared" si="1"/>
        <v>0</v>
      </c>
      <c r="K2960" s="104" t="str">
        <f>IF(H2960&lt;0,"ERROR",IF(H2960=0,"",IF(H2960&lt;CONFIG!$B$4,"CRÍTICO",IF(H2960&lt;CONFIG!$B$5,"BAJO","OK"))))</f>
        <v/>
      </c>
    </row>
    <row r="2961" ht="15.75" customHeight="1">
      <c r="A2961" s="90" t="str">
        <f>IF(CLIENTES!A5="","",CLIENTES!A5)</f>
        <v>Bravos</v>
      </c>
      <c r="B2961" s="90" t="s">
        <v>333</v>
      </c>
      <c r="C2961" s="91" t="s">
        <v>334</v>
      </c>
      <c r="D2961" s="109" t="s">
        <v>353</v>
      </c>
      <c r="E2961" s="67" t="str">
        <f>COLORES!A9</f>
        <v>Melange</v>
      </c>
      <c r="F2961" s="67" t="str">
        <f>COLORES!B9</f>
        <v>MELANGE</v>
      </c>
      <c r="G2961" s="90" t="s">
        <v>382</v>
      </c>
      <c r="H2961" s="100">
        <f>IFERROR(SUMIFS(MOVIMIENTOS_COMPLEMENTOS!$I$4:$I$803,MOVIMIENTOS_COMPLEMENTOS!$C$4:$C$803,A2961,MOVIMIENTOS_COMPLEMENTOS!$D$4:$D$803,B2961,MOVIMIENTOS_COMPLEMENTOS!$E$4:$E$803,C2961,MOVIMIENTOS_COMPLEMENTOS!$G$4:$G$803,E2961,MOVIMIENTOS_COMPLEMENTOS!$H$4:$H$803,G2961,MOVIMIENTOS_COMPLEMENTOS!$B$4:$B$803,"INGRESO")+SUMIFS(MOVIMIENTOS_COMPLEMENTOS!$I$4:$I$803,MOVIMIENTOS_COMPLEMENTOS!$C$4:$C$803,A2961,MOVIMIENTOS_COMPLEMENTOS!$D$4:$D$803,B2961,MOVIMIENTOS_COMPLEMENTOS!$E$4:$E$803,C2961,MOVIMIENTOS_COMPLEMENTOS!$G$4:$G$803,E2961,MOVIMIENTOS_COMPLEMENTOS!$H$4:$H$803,G2961,MOVIMIENTOS_COMPLEMENTOS!$B$4:$B$803,"DE CORTE")-SUMIFS(MOVIMIENTOS_COMPLEMENTOS!$I$4:$I$803,MOVIMIENTOS_COMPLEMENTOS!$C$4:$C$803,A2961,MOVIMIENTOS_COMPLEMENTOS!$D$4:$D$803,B2961,MOVIMIENTOS_COMPLEMENTOS!$E$4:$E$803,C2961,MOVIMIENTOS_COMPLEMENTOS!$G$4:$G$803,E2961,MOVIMIENTOS_COMPLEMENTOS!$H$4:$H$803,G2961,MOVIMIENTOS_COMPLEMENTOS!$B$4:$B$803,"SALIDA"),0)</f>
        <v>0</v>
      </c>
      <c r="I2961" s="102">
        <f t="array" ref="I2961">IFERROR(INDEX(PRECIOS_COMPLEMENTOS!$C$4:$F$17,MATCH(B2961&amp;"_"&amp;C2961,PRECIOS_COMPLEMENTOS!$H$4:$H$17,0),IF(OR(G2961="S",G2961="20cm"),1,IF(OR(G2961="M",G2961="25cm"),2,IF(OR(G2961="L",G2961="30cm"),3,IF(OR(G2961="XL",G2961="35cm"),4,0))))),0)</f>
        <v>0.45</v>
      </c>
      <c r="J2961" s="103">
        <f t="shared" si="1"/>
        <v>0</v>
      </c>
      <c r="K2961" s="104" t="str">
        <f>IF(H2961&lt;0,"ERROR",IF(H2961=0,"",IF(H2961&lt;CONFIG!$B$4,"CRÍTICO",IF(H2961&lt;CONFIG!$B$5,"BAJO","OK"))))</f>
        <v/>
      </c>
    </row>
    <row r="2962" ht="15.75" customHeight="1">
      <c r="A2962" s="90" t="str">
        <f>IF(CLIENTES!A5="","",CLIENTES!A5)</f>
        <v>Bravos</v>
      </c>
      <c r="B2962" s="90" t="s">
        <v>333</v>
      </c>
      <c r="C2962" s="91" t="s">
        <v>334</v>
      </c>
      <c r="D2962" s="109" t="s">
        <v>353</v>
      </c>
      <c r="E2962" s="67" t="str">
        <f>COLORES!A10</f>
        <v>Botella</v>
      </c>
      <c r="F2962" s="67" t="str">
        <f>COLORES!B10</f>
        <v>OSCURO</v>
      </c>
      <c r="G2962" s="90" t="s">
        <v>380</v>
      </c>
      <c r="H2962" s="100">
        <f>IFERROR(SUMIFS(MOVIMIENTOS_COMPLEMENTOS!$I$4:$I$803,MOVIMIENTOS_COMPLEMENTOS!$C$4:$C$803,A2962,MOVIMIENTOS_COMPLEMENTOS!$D$4:$D$803,B2962,MOVIMIENTOS_COMPLEMENTOS!$E$4:$E$803,C2962,MOVIMIENTOS_COMPLEMENTOS!$G$4:$G$803,E2962,MOVIMIENTOS_COMPLEMENTOS!$H$4:$H$803,G2962,MOVIMIENTOS_COMPLEMENTOS!$B$4:$B$803,"INGRESO")+SUMIFS(MOVIMIENTOS_COMPLEMENTOS!$I$4:$I$803,MOVIMIENTOS_COMPLEMENTOS!$C$4:$C$803,A2962,MOVIMIENTOS_COMPLEMENTOS!$D$4:$D$803,B2962,MOVIMIENTOS_COMPLEMENTOS!$E$4:$E$803,C2962,MOVIMIENTOS_COMPLEMENTOS!$G$4:$G$803,E2962,MOVIMIENTOS_COMPLEMENTOS!$H$4:$H$803,G2962,MOVIMIENTOS_COMPLEMENTOS!$B$4:$B$803,"DE CORTE")-SUMIFS(MOVIMIENTOS_COMPLEMENTOS!$I$4:$I$803,MOVIMIENTOS_COMPLEMENTOS!$C$4:$C$803,A2962,MOVIMIENTOS_COMPLEMENTOS!$D$4:$D$803,B2962,MOVIMIENTOS_COMPLEMENTOS!$E$4:$E$803,C2962,MOVIMIENTOS_COMPLEMENTOS!$G$4:$G$803,E2962,MOVIMIENTOS_COMPLEMENTOS!$H$4:$H$803,G2962,MOVIMIENTOS_COMPLEMENTOS!$B$4:$B$803,"SALIDA"),0)</f>
        <v>0</v>
      </c>
      <c r="I2962" s="102">
        <f t="array" ref="I2962">IFERROR(INDEX(PRECIOS_COMPLEMENTOS!$C$4:$F$17,MATCH(B2962&amp;"_"&amp;C2962,PRECIOS_COMPLEMENTOS!$H$4:$H$17,0),IF(OR(G2962="S",G2962="20cm"),1,IF(OR(G2962="M",G2962="25cm"),2,IF(OR(G2962="L",G2962="30cm"),3,IF(OR(G2962="XL",G2962="35cm"),4,0))))),0)</f>
        <v>0.45</v>
      </c>
      <c r="J2962" s="103">
        <f t="shared" si="1"/>
        <v>0</v>
      </c>
      <c r="K2962" s="104" t="str">
        <f>IF(H2962&lt;0,"ERROR",IF(H2962=0,"",IF(H2962&lt;CONFIG!$B$4,"CRÍTICO",IF(H2962&lt;CONFIG!$B$5,"BAJO","OK"))))</f>
        <v/>
      </c>
    </row>
    <row r="2963" ht="15.75" customHeight="1">
      <c r="A2963" s="90" t="str">
        <f>IF(CLIENTES!A5="","",CLIENTES!A5)</f>
        <v>Bravos</v>
      </c>
      <c r="B2963" s="90" t="s">
        <v>333</v>
      </c>
      <c r="C2963" s="91" t="s">
        <v>334</v>
      </c>
      <c r="D2963" s="109" t="s">
        <v>353</v>
      </c>
      <c r="E2963" s="67" t="str">
        <f>COLORES!A10</f>
        <v>Botella</v>
      </c>
      <c r="F2963" s="67" t="str">
        <f>COLORES!B10</f>
        <v>OSCURO</v>
      </c>
      <c r="G2963" s="90" t="s">
        <v>381</v>
      </c>
      <c r="H2963" s="100">
        <f>IFERROR(SUMIFS(MOVIMIENTOS_COMPLEMENTOS!$I$4:$I$803,MOVIMIENTOS_COMPLEMENTOS!$C$4:$C$803,A2963,MOVIMIENTOS_COMPLEMENTOS!$D$4:$D$803,B2963,MOVIMIENTOS_COMPLEMENTOS!$E$4:$E$803,C2963,MOVIMIENTOS_COMPLEMENTOS!$G$4:$G$803,E2963,MOVIMIENTOS_COMPLEMENTOS!$H$4:$H$803,G2963,MOVIMIENTOS_COMPLEMENTOS!$B$4:$B$803,"INGRESO")+SUMIFS(MOVIMIENTOS_COMPLEMENTOS!$I$4:$I$803,MOVIMIENTOS_COMPLEMENTOS!$C$4:$C$803,A2963,MOVIMIENTOS_COMPLEMENTOS!$D$4:$D$803,B2963,MOVIMIENTOS_COMPLEMENTOS!$E$4:$E$803,C2963,MOVIMIENTOS_COMPLEMENTOS!$G$4:$G$803,E2963,MOVIMIENTOS_COMPLEMENTOS!$H$4:$H$803,G2963,MOVIMIENTOS_COMPLEMENTOS!$B$4:$B$803,"DE CORTE")-SUMIFS(MOVIMIENTOS_COMPLEMENTOS!$I$4:$I$803,MOVIMIENTOS_COMPLEMENTOS!$C$4:$C$803,A2963,MOVIMIENTOS_COMPLEMENTOS!$D$4:$D$803,B2963,MOVIMIENTOS_COMPLEMENTOS!$E$4:$E$803,C2963,MOVIMIENTOS_COMPLEMENTOS!$G$4:$G$803,E2963,MOVIMIENTOS_COMPLEMENTOS!$H$4:$H$803,G2963,MOVIMIENTOS_COMPLEMENTOS!$B$4:$B$803,"SALIDA"),0)</f>
        <v>0</v>
      </c>
      <c r="I2963" s="102">
        <f t="array" ref="I2963">IFERROR(INDEX(PRECIOS_COMPLEMENTOS!$C$4:$F$17,MATCH(B2963&amp;"_"&amp;C2963,PRECIOS_COMPLEMENTOS!$H$4:$H$17,0),IF(OR(G2963="S",G2963="20cm"),1,IF(OR(G2963="M",G2963="25cm"),2,IF(OR(G2963="L",G2963="30cm"),3,IF(OR(G2963="XL",G2963="35cm"),4,0))))),0)</f>
        <v>0.45</v>
      </c>
      <c r="J2963" s="103">
        <f t="shared" si="1"/>
        <v>0</v>
      </c>
      <c r="K2963" s="104" t="str">
        <f>IF(H2963&lt;0,"ERROR",IF(H2963=0,"",IF(H2963&lt;CONFIG!$B$4,"CRÍTICO",IF(H2963&lt;CONFIG!$B$5,"BAJO","OK"))))</f>
        <v/>
      </c>
    </row>
    <row r="2964" ht="15.75" customHeight="1">
      <c r="A2964" s="90" t="str">
        <f>IF(CLIENTES!A5="","",CLIENTES!A5)</f>
        <v>Bravos</v>
      </c>
      <c r="B2964" s="90" t="s">
        <v>333</v>
      </c>
      <c r="C2964" s="91" t="s">
        <v>334</v>
      </c>
      <c r="D2964" s="109" t="s">
        <v>353</v>
      </c>
      <c r="E2964" s="67" t="str">
        <f>COLORES!A10</f>
        <v>Botella</v>
      </c>
      <c r="F2964" s="67" t="str">
        <f>COLORES!B10</f>
        <v>OSCURO</v>
      </c>
      <c r="G2964" s="90" t="s">
        <v>382</v>
      </c>
      <c r="H2964" s="100">
        <f>IFERROR(SUMIFS(MOVIMIENTOS_COMPLEMENTOS!$I$4:$I$803,MOVIMIENTOS_COMPLEMENTOS!$C$4:$C$803,A2964,MOVIMIENTOS_COMPLEMENTOS!$D$4:$D$803,B2964,MOVIMIENTOS_COMPLEMENTOS!$E$4:$E$803,C2964,MOVIMIENTOS_COMPLEMENTOS!$G$4:$G$803,E2964,MOVIMIENTOS_COMPLEMENTOS!$H$4:$H$803,G2964,MOVIMIENTOS_COMPLEMENTOS!$B$4:$B$803,"INGRESO")+SUMIFS(MOVIMIENTOS_COMPLEMENTOS!$I$4:$I$803,MOVIMIENTOS_COMPLEMENTOS!$C$4:$C$803,A2964,MOVIMIENTOS_COMPLEMENTOS!$D$4:$D$803,B2964,MOVIMIENTOS_COMPLEMENTOS!$E$4:$E$803,C2964,MOVIMIENTOS_COMPLEMENTOS!$G$4:$G$803,E2964,MOVIMIENTOS_COMPLEMENTOS!$H$4:$H$803,G2964,MOVIMIENTOS_COMPLEMENTOS!$B$4:$B$803,"DE CORTE")-SUMIFS(MOVIMIENTOS_COMPLEMENTOS!$I$4:$I$803,MOVIMIENTOS_COMPLEMENTOS!$C$4:$C$803,A2964,MOVIMIENTOS_COMPLEMENTOS!$D$4:$D$803,B2964,MOVIMIENTOS_COMPLEMENTOS!$E$4:$E$803,C2964,MOVIMIENTOS_COMPLEMENTOS!$G$4:$G$803,E2964,MOVIMIENTOS_COMPLEMENTOS!$H$4:$H$803,G2964,MOVIMIENTOS_COMPLEMENTOS!$B$4:$B$803,"SALIDA"),0)</f>
        <v>0</v>
      </c>
      <c r="I2964" s="102">
        <f t="array" ref="I2964">IFERROR(INDEX(PRECIOS_COMPLEMENTOS!$C$4:$F$17,MATCH(B2964&amp;"_"&amp;C2964,PRECIOS_COMPLEMENTOS!$H$4:$H$17,0),IF(OR(G2964="S",G2964="20cm"),1,IF(OR(G2964="M",G2964="25cm"),2,IF(OR(G2964="L",G2964="30cm"),3,IF(OR(G2964="XL",G2964="35cm"),4,0))))),0)</f>
        <v>0.45</v>
      </c>
      <c r="J2964" s="103">
        <f t="shared" si="1"/>
        <v>0</v>
      </c>
      <c r="K2964" s="104" t="str">
        <f>IF(H2964&lt;0,"ERROR",IF(H2964=0,"",IF(H2964&lt;CONFIG!$B$4,"CRÍTICO",IF(H2964&lt;CONFIG!$B$5,"BAJO","OK"))))</f>
        <v/>
      </c>
    </row>
    <row r="2965" ht="15.75" customHeight="1">
      <c r="A2965" s="90" t="str">
        <f>IF(CLIENTES!A5="","",CLIENTES!A5)</f>
        <v>Bravos</v>
      </c>
      <c r="B2965" s="90" t="s">
        <v>333</v>
      </c>
      <c r="C2965" s="91" t="s">
        <v>334</v>
      </c>
      <c r="D2965" s="109" t="s">
        <v>353</v>
      </c>
      <c r="E2965" s="67" t="str">
        <f>COLORES!A11</f>
        <v>Pacay</v>
      </c>
      <c r="F2965" s="67" t="str">
        <f>COLORES!B11</f>
        <v>CLARO</v>
      </c>
      <c r="G2965" s="90" t="s">
        <v>380</v>
      </c>
      <c r="H2965" s="100">
        <f>IFERROR(SUMIFS(MOVIMIENTOS_COMPLEMENTOS!$I$4:$I$803,MOVIMIENTOS_COMPLEMENTOS!$C$4:$C$803,A2965,MOVIMIENTOS_COMPLEMENTOS!$D$4:$D$803,B2965,MOVIMIENTOS_COMPLEMENTOS!$E$4:$E$803,C2965,MOVIMIENTOS_COMPLEMENTOS!$G$4:$G$803,E2965,MOVIMIENTOS_COMPLEMENTOS!$H$4:$H$803,G2965,MOVIMIENTOS_COMPLEMENTOS!$B$4:$B$803,"INGRESO")+SUMIFS(MOVIMIENTOS_COMPLEMENTOS!$I$4:$I$803,MOVIMIENTOS_COMPLEMENTOS!$C$4:$C$803,A2965,MOVIMIENTOS_COMPLEMENTOS!$D$4:$D$803,B2965,MOVIMIENTOS_COMPLEMENTOS!$E$4:$E$803,C2965,MOVIMIENTOS_COMPLEMENTOS!$G$4:$G$803,E2965,MOVIMIENTOS_COMPLEMENTOS!$H$4:$H$803,G2965,MOVIMIENTOS_COMPLEMENTOS!$B$4:$B$803,"DE CORTE")-SUMIFS(MOVIMIENTOS_COMPLEMENTOS!$I$4:$I$803,MOVIMIENTOS_COMPLEMENTOS!$C$4:$C$803,A2965,MOVIMIENTOS_COMPLEMENTOS!$D$4:$D$803,B2965,MOVIMIENTOS_COMPLEMENTOS!$E$4:$E$803,C2965,MOVIMIENTOS_COMPLEMENTOS!$G$4:$G$803,E2965,MOVIMIENTOS_COMPLEMENTOS!$H$4:$H$803,G2965,MOVIMIENTOS_COMPLEMENTOS!$B$4:$B$803,"SALIDA"),0)</f>
        <v>0</v>
      </c>
      <c r="I2965" s="102">
        <f t="array" ref="I2965">IFERROR(INDEX(PRECIOS_COMPLEMENTOS!$C$4:$F$17,MATCH(B2965&amp;"_"&amp;C2965,PRECIOS_COMPLEMENTOS!$H$4:$H$17,0),IF(OR(G2965="S",G2965="20cm"),1,IF(OR(G2965="M",G2965="25cm"),2,IF(OR(G2965="L",G2965="30cm"),3,IF(OR(G2965="XL",G2965="35cm"),4,0))))),0)</f>
        <v>0.45</v>
      </c>
      <c r="J2965" s="103">
        <f t="shared" si="1"/>
        <v>0</v>
      </c>
      <c r="K2965" s="104" t="str">
        <f>IF(H2965&lt;0,"ERROR",IF(H2965=0,"",IF(H2965&lt;CONFIG!$B$4,"CRÍTICO",IF(H2965&lt;CONFIG!$B$5,"BAJO","OK"))))</f>
        <v/>
      </c>
    </row>
    <row r="2966" ht="15.75" customHeight="1">
      <c r="A2966" s="90" t="str">
        <f>IF(CLIENTES!A5="","",CLIENTES!A5)</f>
        <v>Bravos</v>
      </c>
      <c r="B2966" s="90" t="s">
        <v>333</v>
      </c>
      <c r="C2966" s="91" t="s">
        <v>334</v>
      </c>
      <c r="D2966" s="109" t="s">
        <v>353</v>
      </c>
      <c r="E2966" s="67" t="str">
        <f>COLORES!A11</f>
        <v>Pacay</v>
      </c>
      <c r="F2966" s="67" t="str">
        <f>COLORES!B11</f>
        <v>CLARO</v>
      </c>
      <c r="G2966" s="90" t="s">
        <v>381</v>
      </c>
      <c r="H2966" s="100">
        <f>IFERROR(SUMIFS(MOVIMIENTOS_COMPLEMENTOS!$I$4:$I$803,MOVIMIENTOS_COMPLEMENTOS!$C$4:$C$803,A2966,MOVIMIENTOS_COMPLEMENTOS!$D$4:$D$803,B2966,MOVIMIENTOS_COMPLEMENTOS!$E$4:$E$803,C2966,MOVIMIENTOS_COMPLEMENTOS!$G$4:$G$803,E2966,MOVIMIENTOS_COMPLEMENTOS!$H$4:$H$803,G2966,MOVIMIENTOS_COMPLEMENTOS!$B$4:$B$803,"INGRESO")+SUMIFS(MOVIMIENTOS_COMPLEMENTOS!$I$4:$I$803,MOVIMIENTOS_COMPLEMENTOS!$C$4:$C$803,A2966,MOVIMIENTOS_COMPLEMENTOS!$D$4:$D$803,B2966,MOVIMIENTOS_COMPLEMENTOS!$E$4:$E$803,C2966,MOVIMIENTOS_COMPLEMENTOS!$G$4:$G$803,E2966,MOVIMIENTOS_COMPLEMENTOS!$H$4:$H$803,G2966,MOVIMIENTOS_COMPLEMENTOS!$B$4:$B$803,"DE CORTE")-SUMIFS(MOVIMIENTOS_COMPLEMENTOS!$I$4:$I$803,MOVIMIENTOS_COMPLEMENTOS!$C$4:$C$803,A2966,MOVIMIENTOS_COMPLEMENTOS!$D$4:$D$803,B2966,MOVIMIENTOS_COMPLEMENTOS!$E$4:$E$803,C2966,MOVIMIENTOS_COMPLEMENTOS!$G$4:$G$803,E2966,MOVIMIENTOS_COMPLEMENTOS!$H$4:$H$803,G2966,MOVIMIENTOS_COMPLEMENTOS!$B$4:$B$803,"SALIDA"),0)</f>
        <v>0</v>
      </c>
      <c r="I2966" s="102">
        <f t="array" ref="I2966">IFERROR(INDEX(PRECIOS_COMPLEMENTOS!$C$4:$F$17,MATCH(B2966&amp;"_"&amp;C2966,PRECIOS_COMPLEMENTOS!$H$4:$H$17,0),IF(OR(G2966="S",G2966="20cm"),1,IF(OR(G2966="M",G2966="25cm"),2,IF(OR(G2966="L",G2966="30cm"),3,IF(OR(G2966="XL",G2966="35cm"),4,0))))),0)</f>
        <v>0.45</v>
      </c>
      <c r="J2966" s="103">
        <f t="shared" si="1"/>
        <v>0</v>
      </c>
      <c r="K2966" s="104" t="str">
        <f>IF(H2966&lt;0,"ERROR",IF(H2966=0,"",IF(H2966&lt;CONFIG!$B$4,"CRÍTICO",IF(H2966&lt;CONFIG!$B$5,"BAJO","OK"))))</f>
        <v/>
      </c>
    </row>
    <row r="2967" ht="15.75" customHeight="1">
      <c r="A2967" s="90" t="str">
        <f>IF(CLIENTES!A5="","",CLIENTES!A5)</f>
        <v>Bravos</v>
      </c>
      <c r="B2967" s="90" t="s">
        <v>333</v>
      </c>
      <c r="C2967" s="91" t="s">
        <v>334</v>
      </c>
      <c r="D2967" s="109" t="s">
        <v>353</v>
      </c>
      <c r="E2967" s="67" t="str">
        <f>COLORES!A11</f>
        <v>Pacay</v>
      </c>
      <c r="F2967" s="67" t="str">
        <f>COLORES!B11</f>
        <v>CLARO</v>
      </c>
      <c r="G2967" s="90" t="s">
        <v>382</v>
      </c>
      <c r="H2967" s="100">
        <f>IFERROR(SUMIFS(MOVIMIENTOS_COMPLEMENTOS!$I$4:$I$803,MOVIMIENTOS_COMPLEMENTOS!$C$4:$C$803,A2967,MOVIMIENTOS_COMPLEMENTOS!$D$4:$D$803,B2967,MOVIMIENTOS_COMPLEMENTOS!$E$4:$E$803,C2967,MOVIMIENTOS_COMPLEMENTOS!$G$4:$G$803,E2967,MOVIMIENTOS_COMPLEMENTOS!$H$4:$H$803,G2967,MOVIMIENTOS_COMPLEMENTOS!$B$4:$B$803,"INGRESO")+SUMIFS(MOVIMIENTOS_COMPLEMENTOS!$I$4:$I$803,MOVIMIENTOS_COMPLEMENTOS!$C$4:$C$803,A2967,MOVIMIENTOS_COMPLEMENTOS!$D$4:$D$803,B2967,MOVIMIENTOS_COMPLEMENTOS!$E$4:$E$803,C2967,MOVIMIENTOS_COMPLEMENTOS!$G$4:$G$803,E2967,MOVIMIENTOS_COMPLEMENTOS!$H$4:$H$803,G2967,MOVIMIENTOS_COMPLEMENTOS!$B$4:$B$803,"DE CORTE")-SUMIFS(MOVIMIENTOS_COMPLEMENTOS!$I$4:$I$803,MOVIMIENTOS_COMPLEMENTOS!$C$4:$C$803,A2967,MOVIMIENTOS_COMPLEMENTOS!$D$4:$D$803,B2967,MOVIMIENTOS_COMPLEMENTOS!$E$4:$E$803,C2967,MOVIMIENTOS_COMPLEMENTOS!$G$4:$G$803,E2967,MOVIMIENTOS_COMPLEMENTOS!$H$4:$H$803,G2967,MOVIMIENTOS_COMPLEMENTOS!$B$4:$B$803,"SALIDA"),0)</f>
        <v>0</v>
      </c>
      <c r="I2967" s="102">
        <f t="array" ref="I2967">IFERROR(INDEX(PRECIOS_COMPLEMENTOS!$C$4:$F$17,MATCH(B2967&amp;"_"&amp;C2967,PRECIOS_COMPLEMENTOS!$H$4:$H$17,0),IF(OR(G2967="S",G2967="20cm"),1,IF(OR(G2967="M",G2967="25cm"),2,IF(OR(G2967="L",G2967="30cm"),3,IF(OR(G2967="XL",G2967="35cm"),4,0))))),0)</f>
        <v>0.45</v>
      </c>
      <c r="J2967" s="103">
        <f t="shared" si="1"/>
        <v>0</v>
      </c>
      <c r="K2967" s="104" t="str">
        <f>IF(H2967&lt;0,"ERROR",IF(H2967=0,"",IF(H2967&lt;CONFIG!$B$4,"CRÍTICO",IF(H2967&lt;CONFIG!$B$5,"BAJO","OK"))))</f>
        <v/>
      </c>
    </row>
    <row r="2968" ht="15.75" customHeight="1">
      <c r="A2968" s="90" t="str">
        <f>IF(CLIENTES!A5="","",CLIENTES!A5)</f>
        <v>Bravos</v>
      </c>
      <c r="B2968" s="90" t="s">
        <v>333</v>
      </c>
      <c r="C2968" s="91" t="s">
        <v>334</v>
      </c>
      <c r="D2968" s="109" t="s">
        <v>353</v>
      </c>
      <c r="E2968" s="67" t="str">
        <f>COLORES!A12</f>
        <v>Cemento</v>
      </c>
      <c r="F2968" s="67" t="str">
        <f>COLORES!B12</f>
        <v>CLARO</v>
      </c>
      <c r="G2968" s="90" t="s">
        <v>380</v>
      </c>
      <c r="H2968" s="100">
        <f>IFERROR(SUMIFS(MOVIMIENTOS_COMPLEMENTOS!$I$4:$I$803,MOVIMIENTOS_COMPLEMENTOS!$C$4:$C$803,A2968,MOVIMIENTOS_COMPLEMENTOS!$D$4:$D$803,B2968,MOVIMIENTOS_COMPLEMENTOS!$E$4:$E$803,C2968,MOVIMIENTOS_COMPLEMENTOS!$G$4:$G$803,E2968,MOVIMIENTOS_COMPLEMENTOS!$H$4:$H$803,G2968,MOVIMIENTOS_COMPLEMENTOS!$B$4:$B$803,"INGRESO")+SUMIFS(MOVIMIENTOS_COMPLEMENTOS!$I$4:$I$803,MOVIMIENTOS_COMPLEMENTOS!$C$4:$C$803,A2968,MOVIMIENTOS_COMPLEMENTOS!$D$4:$D$803,B2968,MOVIMIENTOS_COMPLEMENTOS!$E$4:$E$803,C2968,MOVIMIENTOS_COMPLEMENTOS!$G$4:$G$803,E2968,MOVIMIENTOS_COMPLEMENTOS!$H$4:$H$803,G2968,MOVIMIENTOS_COMPLEMENTOS!$B$4:$B$803,"DE CORTE")-SUMIFS(MOVIMIENTOS_COMPLEMENTOS!$I$4:$I$803,MOVIMIENTOS_COMPLEMENTOS!$C$4:$C$803,A2968,MOVIMIENTOS_COMPLEMENTOS!$D$4:$D$803,B2968,MOVIMIENTOS_COMPLEMENTOS!$E$4:$E$803,C2968,MOVIMIENTOS_COMPLEMENTOS!$G$4:$G$803,E2968,MOVIMIENTOS_COMPLEMENTOS!$H$4:$H$803,G2968,MOVIMIENTOS_COMPLEMENTOS!$B$4:$B$803,"SALIDA"),0)</f>
        <v>0</v>
      </c>
      <c r="I2968" s="102">
        <f t="array" ref="I2968">IFERROR(INDEX(PRECIOS_COMPLEMENTOS!$C$4:$F$17,MATCH(B2968&amp;"_"&amp;C2968,PRECIOS_COMPLEMENTOS!$H$4:$H$17,0),IF(OR(G2968="S",G2968="20cm"),1,IF(OR(G2968="M",G2968="25cm"),2,IF(OR(G2968="L",G2968="30cm"),3,IF(OR(G2968="XL",G2968="35cm"),4,0))))),0)</f>
        <v>0.45</v>
      </c>
      <c r="J2968" s="103">
        <f t="shared" si="1"/>
        <v>0</v>
      </c>
      <c r="K2968" s="104" t="str">
        <f>IF(H2968&lt;0,"ERROR",IF(H2968=0,"",IF(H2968&lt;CONFIG!$B$4,"CRÍTICO",IF(H2968&lt;CONFIG!$B$5,"BAJO","OK"))))</f>
        <v/>
      </c>
    </row>
    <row r="2969" ht="15.75" customHeight="1">
      <c r="A2969" s="90" t="str">
        <f>IF(CLIENTES!A5="","",CLIENTES!A5)</f>
        <v>Bravos</v>
      </c>
      <c r="B2969" s="90" t="s">
        <v>333</v>
      </c>
      <c r="C2969" s="91" t="s">
        <v>334</v>
      </c>
      <c r="D2969" s="109" t="s">
        <v>353</v>
      </c>
      <c r="E2969" s="67" t="str">
        <f>COLORES!A12</f>
        <v>Cemento</v>
      </c>
      <c r="F2969" s="67" t="str">
        <f>COLORES!B12</f>
        <v>CLARO</v>
      </c>
      <c r="G2969" s="90" t="s">
        <v>381</v>
      </c>
      <c r="H2969" s="100">
        <f>IFERROR(SUMIFS(MOVIMIENTOS_COMPLEMENTOS!$I$4:$I$803,MOVIMIENTOS_COMPLEMENTOS!$C$4:$C$803,A2969,MOVIMIENTOS_COMPLEMENTOS!$D$4:$D$803,B2969,MOVIMIENTOS_COMPLEMENTOS!$E$4:$E$803,C2969,MOVIMIENTOS_COMPLEMENTOS!$G$4:$G$803,E2969,MOVIMIENTOS_COMPLEMENTOS!$H$4:$H$803,G2969,MOVIMIENTOS_COMPLEMENTOS!$B$4:$B$803,"INGRESO")+SUMIFS(MOVIMIENTOS_COMPLEMENTOS!$I$4:$I$803,MOVIMIENTOS_COMPLEMENTOS!$C$4:$C$803,A2969,MOVIMIENTOS_COMPLEMENTOS!$D$4:$D$803,B2969,MOVIMIENTOS_COMPLEMENTOS!$E$4:$E$803,C2969,MOVIMIENTOS_COMPLEMENTOS!$G$4:$G$803,E2969,MOVIMIENTOS_COMPLEMENTOS!$H$4:$H$803,G2969,MOVIMIENTOS_COMPLEMENTOS!$B$4:$B$803,"DE CORTE")-SUMIFS(MOVIMIENTOS_COMPLEMENTOS!$I$4:$I$803,MOVIMIENTOS_COMPLEMENTOS!$C$4:$C$803,A2969,MOVIMIENTOS_COMPLEMENTOS!$D$4:$D$803,B2969,MOVIMIENTOS_COMPLEMENTOS!$E$4:$E$803,C2969,MOVIMIENTOS_COMPLEMENTOS!$G$4:$G$803,E2969,MOVIMIENTOS_COMPLEMENTOS!$H$4:$H$803,G2969,MOVIMIENTOS_COMPLEMENTOS!$B$4:$B$803,"SALIDA"),0)</f>
        <v>0</v>
      </c>
      <c r="I2969" s="102">
        <f t="array" ref="I2969">IFERROR(INDEX(PRECIOS_COMPLEMENTOS!$C$4:$F$17,MATCH(B2969&amp;"_"&amp;C2969,PRECIOS_COMPLEMENTOS!$H$4:$H$17,0),IF(OR(G2969="S",G2969="20cm"),1,IF(OR(G2969="M",G2969="25cm"),2,IF(OR(G2969="L",G2969="30cm"),3,IF(OR(G2969="XL",G2969="35cm"),4,0))))),0)</f>
        <v>0.45</v>
      </c>
      <c r="J2969" s="103">
        <f t="shared" si="1"/>
        <v>0</v>
      </c>
      <c r="K2969" s="104" t="str">
        <f>IF(H2969&lt;0,"ERROR",IF(H2969=0,"",IF(H2969&lt;CONFIG!$B$4,"CRÍTICO",IF(H2969&lt;CONFIG!$B$5,"BAJO","OK"))))</f>
        <v/>
      </c>
    </row>
    <row r="2970" ht="15.75" customHeight="1">
      <c r="A2970" s="90" t="str">
        <f>IF(CLIENTES!A5="","",CLIENTES!A5)</f>
        <v>Bravos</v>
      </c>
      <c r="B2970" s="90" t="s">
        <v>333</v>
      </c>
      <c r="C2970" s="91" t="s">
        <v>334</v>
      </c>
      <c r="D2970" s="109" t="s">
        <v>353</v>
      </c>
      <c r="E2970" s="67" t="str">
        <f>COLORES!A12</f>
        <v>Cemento</v>
      </c>
      <c r="F2970" s="67" t="str">
        <f>COLORES!B12</f>
        <v>CLARO</v>
      </c>
      <c r="G2970" s="90" t="s">
        <v>382</v>
      </c>
      <c r="H2970" s="100">
        <f>IFERROR(SUMIFS(MOVIMIENTOS_COMPLEMENTOS!$I$4:$I$803,MOVIMIENTOS_COMPLEMENTOS!$C$4:$C$803,A2970,MOVIMIENTOS_COMPLEMENTOS!$D$4:$D$803,B2970,MOVIMIENTOS_COMPLEMENTOS!$E$4:$E$803,C2970,MOVIMIENTOS_COMPLEMENTOS!$G$4:$G$803,E2970,MOVIMIENTOS_COMPLEMENTOS!$H$4:$H$803,G2970,MOVIMIENTOS_COMPLEMENTOS!$B$4:$B$803,"INGRESO")+SUMIFS(MOVIMIENTOS_COMPLEMENTOS!$I$4:$I$803,MOVIMIENTOS_COMPLEMENTOS!$C$4:$C$803,A2970,MOVIMIENTOS_COMPLEMENTOS!$D$4:$D$803,B2970,MOVIMIENTOS_COMPLEMENTOS!$E$4:$E$803,C2970,MOVIMIENTOS_COMPLEMENTOS!$G$4:$G$803,E2970,MOVIMIENTOS_COMPLEMENTOS!$H$4:$H$803,G2970,MOVIMIENTOS_COMPLEMENTOS!$B$4:$B$803,"DE CORTE")-SUMIFS(MOVIMIENTOS_COMPLEMENTOS!$I$4:$I$803,MOVIMIENTOS_COMPLEMENTOS!$C$4:$C$803,A2970,MOVIMIENTOS_COMPLEMENTOS!$D$4:$D$803,B2970,MOVIMIENTOS_COMPLEMENTOS!$E$4:$E$803,C2970,MOVIMIENTOS_COMPLEMENTOS!$G$4:$G$803,E2970,MOVIMIENTOS_COMPLEMENTOS!$H$4:$H$803,G2970,MOVIMIENTOS_COMPLEMENTOS!$B$4:$B$803,"SALIDA"),0)</f>
        <v>0</v>
      </c>
      <c r="I2970" s="102">
        <f t="array" ref="I2970">IFERROR(INDEX(PRECIOS_COMPLEMENTOS!$C$4:$F$17,MATCH(B2970&amp;"_"&amp;C2970,PRECIOS_COMPLEMENTOS!$H$4:$H$17,0),IF(OR(G2970="S",G2970="20cm"),1,IF(OR(G2970="M",G2970="25cm"),2,IF(OR(G2970="L",G2970="30cm"),3,IF(OR(G2970="XL",G2970="35cm"),4,0))))),0)</f>
        <v>0.45</v>
      </c>
      <c r="J2970" s="103">
        <f t="shared" si="1"/>
        <v>0</v>
      </c>
      <c r="K2970" s="104" t="str">
        <f>IF(H2970&lt;0,"ERROR",IF(H2970=0,"",IF(H2970&lt;CONFIG!$B$4,"CRÍTICO",IF(H2970&lt;CONFIG!$B$5,"BAJO","OK"))))</f>
        <v/>
      </c>
    </row>
    <row r="2971" ht="15.75" customHeight="1">
      <c r="A2971" s="90" t="str">
        <f>IF(CLIENTES!A5="","",CLIENTES!A5)</f>
        <v>Bravos</v>
      </c>
      <c r="B2971" s="90" t="s">
        <v>333</v>
      </c>
      <c r="C2971" s="91" t="s">
        <v>334</v>
      </c>
      <c r="D2971" s="109" t="s">
        <v>353</v>
      </c>
      <c r="E2971" s="67" t="str">
        <f>COLORES!A13</f>
        <v>Camote</v>
      </c>
      <c r="F2971" s="67" t="str">
        <f>COLORES!B13</f>
        <v>CLARO</v>
      </c>
      <c r="G2971" s="90" t="s">
        <v>380</v>
      </c>
      <c r="H2971" s="100">
        <f>IFERROR(SUMIFS(MOVIMIENTOS_COMPLEMENTOS!$I$4:$I$803,MOVIMIENTOS_COMPLEMENTOS!$C$4:$C$803,A2971,MOVIMIENTOS_COMPLEMENTOS!$D$4:$D$803,B2971,MOVIMIENTOS_COMPLEMENTOS!$E$4:$E$803,C2971,MOVIMIENTOS_COMPLEMENTOS!$G$4:$G$803,E2971,MOVIMIENTOS_COMPLEMENTOS!$H$4:$H$803,G2971,MOVIMIENTOS_COMPLEMENTOS!$B$4:$B$803,"INGRESO")+SUMIFS(MOVIMIENTOS_COMPLEMENTOS!$I$4:$I$803,MOVIMIENTOS_COMPLEMENTOS!$C$4:$C$803,A2971,MOVIMIENTOS_COMPLEMENTOS!$D$4:$D$803,B2971,MOVIMIENTOS_COMPLEMENTOS!$E$4:$E$803,C2971,MOVIMIENTOS_COMPLEMENTOS!$G$4:$G$803,E2971,MOVIMIENTOS_COMPLEMENTOS!$H$4:$H$803,G2971,MOVIMIENTOS_COMPLEMENTOS!$B$4:$B$803,"DE CORTE")-SUMIFS(MOVIMIENTOS_COMPLEMENTOS!$I$4:$I$803,MOVIMIENTOS_COMPLEMENTOS!$C$4:$C$803,A2971,MOVIMIENTOS_COMPLEMENTOS!$D$4:$D$803,B2971,MOVIMIENTOS_COMPLEMENTOS!$E$4:$E$803,C2971,MOVIMIENTOS_COMPLEMENTOS!$G$4:$G$803,E2971,MOVIMIENTOS_COMPLEMENTOS!$H$4:$H$803,G2971,MOVIMIENTOS_COMPLEMENTOS!$B$4:$B$803,"SALIDA"),0)</f>
        <v>0</v>
      </c>
      <c r="I2971" s="102">
        <f t="array" ref="I2971">IFERROR(INDEX(PRECIOS_COMPLEMENTOS!$C$4:$F$17,MATCH(B2971&amp;"_"&amp;C2971,PRECIOS_COMPLEMENTOS!$H$4:$H$17,0),IF(OR(G2971="S",G2971="20cm"),1,IF(OR(G2971="M",G2971="25cm"),2,IF(OR(G2971="L",G2971="30cm"),3,IF(OR(G2971="XL",G2971="35cm"),4,0))))),0)</f>
        <v>0.45</v>
      </c>
      <c r="J2971" s="103">
        <f t="shared" si="1"/>
        <v>0</v>
      </c>
      <c r="K2971" s="104" t="str">
        <f>IF(H2971&lt;0,"ERROR",IF(H2971=0,"",IF(H2971&lt;CONFIG!$B$4,"CRÍTICO",IF(H2971&lt;CONFIG!$B$5,"BAJO","OK"))))</f>
        <v/>
      </c>
    </row>
    <row r="2972" ht="15.75" customHeight="1">
      <c r="A2972" s="90" t="str">
        <f>IF(CLIENTES!A5="","",CLIENTES!A5)</f>
        <v>Bravos</v>
      </c>
      <c r="B2972" s="90" t="s">
        <v>333</v>
      </c>
      <c r="C2972" s="91" t="s">
        <v>334</v>
      </c>
      <c r="D2972" s="109" t="s">
        <v>353</v>
      </c>
      <c r="E2972" s="67" t="str">
        <f>COLORES!A13</f>
        <v>Camote</v>
      </c>
      <c r="F2972" s="67" t="str">
        <f>COLORES!B13</f>
        <v>CLARO</v>
      </c>
      <c r="G2972" s="90" t="s">
        <v>381</v>
      </c>
      <c r="H2972" s="100">
        <f>IFERROR(SUMIFS(MOVIMIENTOS_COMPLEMENTOS!$I$4:$I$803,MOVIMIENTOS_COMPLEMENTOS!$C$4:$C$803,A2972,MOVIMIENTOS_COMPLEMENTOS!$D$4:$D$803,B2972,MOVIMIENTOS_COMPLEMENTOS!$E$4:$E$803,C2972,MOVIMIENTOS_COMPLEMENTOS!$G$4:$G$803,E2972,MOVIMIENTOS_COMPLEMENTOS!$H$4:$H$803,G2972,MOVIMIENTOS_COMPLEMENTOS!$B$4:$B$803,"INGRESO")+SUMIFS(MOVIMIENTOS_COMPLEMENTOS!$I$4:$I$803,MOVIMIENTOS_COMPLEMENTOS!$C$4:$C$803,A2972,MOVIMIENTOS_COMPLEMENTOS!$D$4:$D$803,B2972,MOVIMIENTOS_COMPLEMENTOS!$E$4:$E$803,C2972,MOVIMIENTOS_COMPLEMENTOS!$G$4:$G$803,E2972,MOVIMIENTOS_COMPLEMENTOS!$H$4:$H$803,G2972,MOVIMIENTOS_COMPLEMENTOS!$B$4:$B$803,"DE CORTE")-SUMIFS(MOVIMIENTOS_COMPLEMENTOS!$I$4:$I$803,MOVIMIENTOS_COMPLEMENTOS!$C$4:$C$803,A2972,MOVIMIENTOS_COMPLEMENTOS!$D$4:$D$803,B2972,MOVIMIENTOS_COMPLEMENTOS!$E$4:$E$803,C2972,MOVIMIENTOS_COMPLEMENTOS!$G$4:$G$803,E2972,MOVIMIENTOS_COMPLEMENTOS!$H$4:$H$803,G2972,MOVIMIENTOS_COMPLEMENTOS!$B$4:$B$803,"SALIDA"),0)</f>
        <v>0</v>
      </c>
      <c r="I2972" s="102">
        <f t="array" ref="I2972">IFERROR(INDEX(PRECIOS_COMPLEMENTOS!$C$4:$F$17,MATCH(B2972&amp;"_"&amp;C2972,PRECIOS_COMPLEMENTOS!$H$4:$H$17,0),IF(OR(G2972="S",G2972="20cm"),1,IF(OR(G2972="M",G2972="25cm"),2,IF(OR(G2972="L",G2972="30cm"),3,IF(OR(G2972="XL",G2972="35cm"),4,0))))),0)</f>
        <v>0.45</v>
      </c>
      <c r="J2972" s="103">
        <f t="shared" si="1"/>
        <v>0</v>
      </c>
      <c r="K2972" s="104" t="str">
        <f>IF(H2972&lt;0,"ERROR",IF(H2972=0,"",IF(H2972&lt;CONFIG!$B$4,"CRÍTICO",IF(H2972&lt;CONFIG!$B$5,"BAJO","OK"))))</f>
        <v/>
      </c>
    </row>
    <row r="2973" ht="15.75" customHeight="1">
      <c r="A2973" s="90" t="str">
        <f>IF(CLIENTES!A5="","",CLIENTES!A5)</f>
        <v>Bravos</v>
      </c>
      <c r="B2973" s="90" t="s">
        <v>333</v>
      </c>
      <c r="C2973" s="91" t="s">
        <v>334</v>
      </c>
      <c r="D2973" s="109" t="s">
        <v>353</v>
      </c>
      <c r="E2973" s="67" t="str">
        <f>COLORES!A13</f>
        <v>Camote</v>
      </c>
      <c r="F2973" s="67" t="str">
        <f>COLORES!B13</f>
        <v>CLARO</v>
      </c>
      <c r="G2973" s="90" t="s">
        <v>382</v>
      </c>
      <c r="H2973" s="100">
        <f>IFERROR(SUMIFS(MOVIMIENTOS_COMPLEMENTOS!$I$4:$I$803,MOVIMIENTOS_COMPLEMENTOS!$C$4:$C$803,A2973,MOVIMIENTOS_COMPLEMENTOS!$D$4:$D$803,B2973,MOVIMIENTOS_COMPLEMENTOS!$E$4:$E$803,C2973,MOVIMIENTOS_COMPLEMENTOS!$G$4:$G$803,E2973,MOVIMIENTOS_COMPLEMENTOS!$H$4:$H$803,G2973,MOVIMIENTOS_COMPLEMENTOS!$B$4:$B$803,"INGRESO")+SUMIFS(MOVIMIENTOS_COMPLEMENTOS!$I$4:$I$803,MOVIMIENTOS_COMPLEMENTOS!$C$4:$C$803,A2973,MOVIMIENTOS_COMPLEMENTOS!$D$4:$D$803,B2973,MOVIMIENTOS_COMPLEMENTOS!$E$4:$E$803,C2973,MOVIMIENTOS_COMPLEMENTOS!$G$4:$G$803,E2973,MOVIMIENTOS_COMPLEMENTOS!$H$4:$H$803,G2973,MOVIMIENTOS_COMPLEMENTOS!$B$4:$B$803,"DE CORTE")-SUMIFS(MOVIMIENTOS_COMPLEMENTOS!$I$4:$I$803,MOVIMIENTOS_COMPLEMENTOS!$C$4:$C$803,A2973,MOVIMIENTOS_COMPLEMENTOS!$D$4:$D$803,B2973,MOVIMIENTOS_COMPLEMENTOS!$E$4:$E$803,C2973,MOVIMIENTOS_COMPLEMENTOS!$G$4:$G$803,E2973,MOVIMIENTOS_COMPLEMENTOS!$H$4:$H$803,G2973,MOVIMIENTOS_COMPLEMENTOS!$B$4:$B$803,"SALIDA"),0)</f>
        <v>0</v>
      </c>
      <c r="I2973" s="102">
        <f t="array" ref="I2973">IFERROR(INDEX(PRECIOS_COMPLEMENTOS!$C$4:$F$17,MATCH(B2973&amp;"_"&amp;C2973,PRECIOS_COMPLEMENTOS!$H$4:$H$17,0),IF(OR(G2973="S",G2973="20cm"),1,IF(OR(G2973="M",G2973="25cm"),2,IF(OR(G2973="L",G2973="30cm"),3,IF(OR(G2973="XL",G2973="35cm"),4,0))))),0)</f>
        <v>0.45</v>
      </c>
      <c r="J2973" s="103">
        <f t="shared" si="1"/>
        <v>0</v>
      </c>
      <c r="K2973" s="104" t="str">
        <f>IF(H2973&lt;0,"ERROR",IF(H2973=0,"",IF(H2973&lt;CONFIG!$B$4,"CRÍTICO",IF(H2973&lt;CONFIG!$B$5,"BAJO","OK"))))</f>
        <v/>
      </c>
    </row>
    <row r="2974" ht="15.75" customHeight="1">
      <c r="A2974" s="90" t="str">
        <f>IF(CLIENTES!A5="","",CLIENTES!A5)</f>
        <v>Bravos</v>
      </c>
      <c r="B2974" s="90" t="s">
        <v>333</v>
      </c>
      <c r="C2974" s="91" t="s">
        <v>334</v>
      </c>
      <c r="D2974" s="109" t="s">
        <v>353</v>
      </c>
      <c r="E2974" s="67" t="str">
        <f>COLORES!A14</f>
        <v>Denim</v>
      </c>
      <c r="F2974" s="67" t="str">
        <f>COLORES!B14</f>
        <v>CLARO</v>
      </c>
      <c r="G2974" s="90" t="s">
        <v>380</v>
      </c>
      <c r="H2974" s="100">
        <f>IFERROR(SUMIFS(MOVIMIENTOS_COMPLEMENTOS!$I$4:$I$803,MOVIMIENTOS_COMPLEMENTOS!$C$4:$C$803,A2974,MOVIMIENTOS_COMPLEMENTOS!$D$4:$D$803,B2974,MOVIMIENTOS_COMPLEMENTOS!$E$4:$E$803,C2974,MOVIMIENTOS_COMPLEMENTOS!$G$4:$G$803,E2974,MOVIMIENTOS_COMPLEMENTOS!$H$4:$H$803,G2974,MOVIMIENTOS_COMPLEMENTOS!$B$4:$B$803,"INGRESO")+SUMIFS(MOVIMIENTOS_COMPLEMENTOS!$I$4:$I$803,MOVIMIENTOS_COMPLEMENTOS!$C$4:$C$803,A2974,MOVIMIENTOS_COMPLEMENTOS!$D$4:$D$803,B2974,MOVIMIENTOS_COMPLEMENTOS!$E$4:$E$803,C2974,MOVIMIENTOS_COMPLEMENTOS!$G$4:$G$803,E2974,MOVIMIENTOS_COMPLEMENTOS!$H$4:$H$803,G2974,MOVIMIENTOS_COMPLEMENTOS!$B$4:$B$803,"DE CORTE")-SUMIFS(MOVIMIENTOS_COMPLEMENTOS!$I$4:$I$803,MOVIMIENTOS_COMPLEMENTOS!$C$4:$C$803,A2974,MOVIMIENTOS_COMPLEMENTOS!$D$4:$D$803,B2974,MOVIMIENTOS_COMPLEMENTOS!$E$4:$E$803,C2974,MOVIMIENTOS_COMPLEMENTOS!$G$4:$G$803,E2974,MOVIMIENTOS_COMPLEMENTOS!$H$4:$H$803,G2974,MOVIMIENTOS_COMPLEMENTOS!$B$4:$B$803,"SALIDA"),0)</f>
        <v>0</v>
      </c>
      <c r="I2974" s="102">
        <f t="array" ref="I2974">IFERROR(INDEX(PRECIOS_COMPLEMENTOS!$C$4:$F$17,MATCH(B2974&amp;"_"&amp;C2974,PRECIOS_COMPLEMENTOS!$H$4:$H$17,0),IF(OR(G2974="S",G2974="20cm"),1,IF(OR(G2974="M",G2974="25cm"),2,IF(OR(G2974="L",G2974="30cm"),3,IF(OR(G2974="XL",G2974="35cm"),4,0))))),0)</f>
        <v>0.45</v>
      </c>
      <c r="J2974" s="103">
        <f t="shared" si="1"/>
        <v>0</v>
      </c>
      <c r="K2974" s="104" t="str">
        <f>IF(H2974&lt;0,"ERROR",IF(H2974=0,"",IF(H2974&lt;CONFIG!$B$4,"CRÍTICO",IF(H2974&lt;CONFIG!$B$5,"BAJO","OK"))))</f>
        <v/>
      </c>
    </row>
    <row r="2975" ht="15.75" customHeight="1">
      <c r="A2975" s="90" t="str">
        <f>IF(CLIENTES!A5="","",CLIENTES!A5)</f>
        <v>Bravos</v>
      </c>
      <c r="B2975" s="90" t="s">
        <v>333</v>
      </c>
      <c r="C2975" s="91" t="s">
        <v>334</v>
      </c>
      <c r="D2975" s="109" t="s">
        <v>353</v>
      </c>
      <c r="E2975" s="67" t="str">
        <f>COLORES!A14</f>
        <v>Denim</v>
      </c>
      <c r="F2975" s="67" t="str">
        <f>COLORES!B14</f>
        <v>CLARO</v>
      </c>
      <c r="G2975" s="90" t="s">
        <v>381</v>
      </c>
      <c r="H2975" s="100">
        <f>IFERROR(SUMIFS(MOVIMIENTOS_COMPLEMENTOS!$I$4:$I$803,MOVIMIENTOS_COMPLEMENTOS!$C$4:$C$803,A2975,MOVIMIENTOS_COMPLEMENTOS!$D$4:$D$803,B2975,MOVIMIENTOS_COMPLEMENTOS!$E$4:$E$803,C2975,MOVIMIENTOS_COMPLEMENTOS!$G$4:$G$803,E2975,MOVIMIENTOS_COMPLEMENTOS!$H$4:$H$803,G2975,MOVIMIENTOS_COMPLEMENTOS!$B$4:$B$803,"INGRESO")+SUMIFS(MOVIMIENTOS_COMPLEMENTOS!$I$4:$I$803,MOVIMIENTOS_COMPLEMENTOS!$C$4:$C$803,A2975,MOVIMIENTOS_COMPLEMENTOS!$D$4:$D$803,B2975,MOVIMIENTOS_COMPLEMENTOS!$E$4:$E$803,C2975,MOVIMIENTOS_COMPLEMENTOS!$G$4:$G$803,E2975,MOVIMIENTOS_COMPLEMENTOS!$H$4:$H$803,G2975,MOVIMIENTOS_COMPLEMENTOS!$B$4:$B$803,"DE CORTE")-SUMIFS(MOVIMIENTOS_COMPLEMENTOS!$I$4:$I$803,MOVIMIENTOS_COMPLEMENTOS!$C$4:$C$803,A2975,MOVIMIENTOS_COMPLEMENTOS!$D$4:$D$803,B2975,MOVIMIENTOS_COMPLEMENTOS!$E$4:$E$803,C2975,MOVIMIENTOS_COMPLEMENTOS!$G$4:$G$803,E2975,MOVIMIENTOS_COMPLEMENTOS!$H$4:$H$803,G2975,MOVIMIENTOS_COMPLEMENTOS!$B$4:$B$803,"SALIDA"),0)</f>
        <v>0</v>
      </c>
      <c r="I2975" s="102">
        <f t="array" ref="I2975">IFERROR(INDEX(PRECIOS_COMPLEMENTOS!$C$4:$F$17,MATCH(B2975&amp;"_"&amp;C2975,PRECIOS_COMPLEMENTOS!$H$4:$H$17,0),IF(OR(G2975="S",G2975="20cm"),1,IF(OR(G2975="M",G2975="25cm"),2,IF(OR(G2975="L",G2975="30cm"),3,IF(OR(G2975="XL",G2975="35cm"),4,0))))),0)</f>
        <v>0.45</v>
      </c>
      <c r="J2975" s="103">
        <f t="shared" si="1"/>
        <v>0</v>
      </c>
      <c r="K2975" s="104" t="str">
        <f>IF(H2975&lt;0,"ERROR",IF(H2975=0,"",IF(H2975&lt;CONFIG!$B$4,"CRÍTICO",IF(H2975&lt;CONFIG!$B$5,"BAJO","OK"))))</f>
        <v/>
      </c>
    </row>
    <row r="2976" ht="15.75" customHeight="1">
      <c r="A2976" s="90" t="str">
        <f>IF(CLIENTES!A5="","",CLIENTES!A5)</f>
        <v>Bravos</v>
      </c>
      <c r="B2976" s="90" t="s">
        <v>333</v>
      </c>
      <c r="C2976" s="91" t="s">
        <v>334</v>
      </c>
      <c r="D2976" s="109" t="s">
        <v>353</v>
      </c>
      <c r="E2976" s="67" t="str">
        <f>COLORES!A14</f>
        <v>Denim</v>
      </c>
      <c r="F2976" s="67" t="str">
        <f>COLORES!B14</f>
        <v>CLARO</v>
      </c>
      <c r="G2976" s="90" t="s">
        <v>382</v>
      </c>
      <c r="H2976" s="100">
        <f>IFERROR(SUMIFS(MOVIMIENTOS_COMPLEMENTOS!$I$4:$I$803,MOVIMIENTOS_COMPLEMENTOS!$C$4:$C$803,A2976,MOVIMIENTOS_COMPLEMENTOS!$D$4:$D$803,B2976,MOVIMIENTOS_COMPLEMENTOS!$E$4:$E$803,C2976,MOVIMIENTOS_COMPLEMENTOS!$G$4:$G$803,E2976,MOVIMIENTOS_COMPLEMENTOS!$H$4:$H$803,G2976,MOVIMIENTOS_COMPLEMENTOS!$B$4:$B$803,"INGRESO")+SUMIFS(MOVIMIENTOS_COMPLEMENTOS!$I$4:$I$803,MOVIMIENTOS_COMPLEMENTOS!$C$4:$C$803,A2976,MOVIMIENTOS_COMPLEMENTOS!$D$4:$D$803,B2976,MOVIMIENTOS_COMPLEMENTOS!$E$4:$E$803,C2976,MOVIMIENTOS_COMPLEMENTOS!$G$4:$G$803,E2976,MOVIMIENTOS_COMPLEMENTOS!$H$4:$H$803,G2976,MOVIMIENTOS_COMPLEMENTOS!$B$4:$B$803,"DE CORTE")-SUMIFS(MOVIMIENTOS_COMPLEMENTOS!$I$4:$I$803,MOVIMIENTOS_COMPLEMENTOS!$C$4:$C$803,A2976,MOVIMIENTOS_COMPLEMENTOS!$D$4:$D$803,B2976,MOVIMIENTOS_COMPLEMENTOS!$E$4:$E$803,C2976,MOVIMIENTOS_COMPLEMENTOS!$G$4:$G$803,E2976,MOVIMIENTOS_COMPLEMENTOS!$H$4:$H$803,G2976,MOVIMIENTOS_COMPLEMENTOS!$B$4:$B$803,"SALIDA"),0)</f>
        <v>0</v>
      </c>
      <c r="I2976" s="102">
        <f t="array" ref="I2976">IFERROR(INDEX(PRECIOS_COMPLEMENTOS!$C$4:$F$17,MATCH(B2976&amp;"_"&amp;C2976,PRECIOS_COMPLEMENTOS!$H$4:$H$17,0),IF(OR(G2976="S",G2976="20cm"),1,IF(OR(G2976="M",G2976="25cm"),2,IF(OR(G2976="L",G2976="30cm"),3,IF(OR(G2976="XL",G2976="35cm"),4,0))))),0)</f>
        <v>0.45</v>
      </c>
      <c r="J2976" s="103">
        <f t="shared" si="1"/>
        <v>0</v>
      </c>
      <c r="K2976" s="104" t="str">
        <f>IF(H2976&lt;0,"ERROR",IF(H2976=0,"",IF(H2976&lt;CONFIG!$B$4,"CRÍTICO",IF(H2976&lt;CONFIG!$B$5,"BAJO","OK"))))</f>
        <v/>
      </c>
    </row>
    <row r="2977" ht="15.75" customHeight="1">
      <c r="A2977" s="90" t="str">
        <f>IF(CLIENTES!A5="","",CLIENTES!A5)</f>
        <v>Bravos</v>
      </c>
      <c r="B2977" s="90" t="s">
        <v>333</v>
      </c>
      <c r="C2977" s="91" t="s">
        <v>334</v>
      </c>
      <c r="D2977" s="109" t="s">
        <v>353</v>
      </c>
      <c r="E2977" s="67" t="str">
        <f>COLORES!A15</f>
        <v>Plomo</v>
      </c>
      <c r="F2977" s="67" t="str">
        <f>COLORES!B15</f>
        <v>OSCURO</v>
      </c>
      <c r="G2977" s="90" t="s">
        <v>380</v>
      </c>
      <c r="H2977" s="100">
        <f>IFERROR(SUMIFS(MOVIMIENTOS_COMPLEMENTOS!$I$4:$I$803,MOVIMIENTOS_COMPLEMENTOS!$C$4:$C$803,A2977,MOVIMIENTOS_COMPLEMENTOS!$D$4:$D$803,B2977,MOVIMIENTOS_COMPLEMENTOS!$E$4:$E$803,C2977,MOVIMIENTOS_COMPLEMENTOS!$G$4:$G$803,E2977,MOVIMIENTOS_COMPLEMENTOS!$H$4:$H$803,G2977,MOVIMIENTOS_COMPLEMENTOS!$B$4:$B$803,"INGRESO")+SUMIFS(MOVIMIENTOS_COMPLEMENTOS!$I$4:$I$803,MOVIMIENTOS_COMPLEMENTOS!$C$4:$C$803,A2977,MOVIMIENTOS_COMPLEMENTOS!$D$4:$D$803,B2977,MOVIMIENTOS_COMPLEMENTOS!$E$4:$E$803,C2977,MOVIMIENTOS_COMPLEMENTOS!$G$4:$G$803,E2977,MOVIMIENTOS_COMPLEMENTOS!$H$4:$H$803,G2977,MOVIMIENTOS_COMPLEMENTOS!$B$4:$B$803,"DE CORTE")-SUMIFS(MOVIMIENTOS_COMPLEMENTOS!$I$4:$I$803,MOVIMIENTOS_COMPLEMENTOS!$C$4:$C$803,A2977,MOVIMIENTOS_COMPLEMENTOS!$D$4:$D$803,B2977,MOVIMIENTOS_COMPLEMENTOS!$E$4:$E$803,C2977,MOVIMIENTOS_COMPLEMENTOS!$G$4:$G$803,E2977,MOVIMIENTOS_COMPLEMENTOS!$H$4:$H$803,G2977,MOVIMIENTOS_COMPLEMENTOS!$B$4:$B$803,"SALIDA"),0)</f>
        <v>0</v>
      </c>
      <c r="I2977" s="102">
        <f t="array" ref="I2977">IFERROR(INDEX(PRECIOS_COMPLEMENTOS!$C$4:$F$17,MATCH(B2977&amp;"_"&amp;C2977,PRECIOS_COMPLEMENTOS!$H$4:$H$17,0),IF(OR(G2977="S",G2977="20cm"),1,IF(OR(G2977="M",G2977="25cm"),2,IF(OR(G2977="L",G2977="30cm"),3,IF(OR(G2977="XL",G2977="35cm"),4,0))))),0)</f>
        <v>0.45</v>
      </c>
      <c r="J2977" s="103">
        <f t="shared" si="1"/>
        <v>0</v>
      </c>
      <c r="K2977" s="104" t="str">
        <f>IF(H2977&lt;0,"ERROR",IF(H2977=0,"",IF(H2977&lt;CONFIG!$B$4,"CRÍTICO",IF(H2977&lt;CONFIG!$B$5,"BAJO","OK"))))</f>
        <v/>
      </c>
    </row>
    <row r="2978" ht="15.75" customHeight="1">
      <c r="A2978" s="90" t="str">
        <f>IF(CLIENTES!A5="","",CLIENTES!A5)</f>
        <v>Bravos</v>
      </c>
      <c r="B2978" s="90" t="s">
        <v>333</v>
      </c>
      <c r="C2978" s="91" t="s">
        <v>334</v>
      </c>
      <c r="D2978" s="109" t="s">
        <v>353</v>
      </c>
      <c r="E2978" s="67" t="str">
        <f>COLORES!A15</f>
        <v>Plomo</v>
      </c>
      <c r="F2978" s="67" t="str">
        <f>COLORES!B15</f>
        <v>OSCURO</v>
      </c>
      <c r="G2978" s="90" t="s">
        <v>381</v>
      </c>
      <c r="H2978" s="100">
        <f>IFERROR(SUMIFS(MOVIMIENTOS_COMPLEMENTOS!$I$4:$I$803,MOVIMIENTOS_COMPLEMENTOS!$C$4:$C$803,A2978,MOVIMIENTOS_COMPLEMENTOS!$D$4:$D$803,B2978,MOVIMIENTOS_COMPLEMENTOS!$E$4:$E$803,C2978,MOVIMIENTOS_COMPLEMENTOS!$G$4:$G$803,E2978,MOVIMIENTOS_COMPLEMENTOS!$H$4:$H$803,G2978,MOVIMIENTOS_COMPLEMENTOS!$B$4:$B$803,"INGRESO")+SUMIFS(MOVIMIENTOS_COMPLEMENTOS!$I$4:$I$803,MOVIMIENTOS_COMPLEMENTOS!$C$4:$C$803,A2978,MOVIMIENTOS_COMPLEMENTOS!$D$4:$D$803,B2978,MOVIMIENTOS_COMPLEMENTOS!$E$4:$E$803,C2978,MOVIMIENTOS_COMPLEMENTOS!$G$4:$G$803,E2978,MOVIMIENTOS_COMPLEMENTOS!$H$4:$H$803,G2978,MOVIMIENTOS_COMPLEMENTOS!$B$4:$B$803,"DE CORTE")-SUMIFS(MOVIMIENTOS_COMPLEMENTOS!$I$4:$I$803,MOVIMIENTOS_COMPLEMENTOS!$C$4:$C$803,A2978,MOVIMIENTOS_COMPLEMENTOS!$D$4:$D$803,B2978,MOVIMIENTOS_COMPLEMENTOS!$E$4:$E$803,C2978,MOVIMIENTOS_COMPLEMENTOS!$G$4:$G$803,E2978,MOVIMIENTOS_COMPLEMENTOS!$H$4:$H$803,G2978,MOVIMIENTOS_COMPLEMENTOS!$B$4:$B$803,"SALIDA"),0)</f>
        <v>0</v>
      </c>
      <c r="I2978" s="102">
        <f t="array" ref="I2978">IFERROR(INDEX(PRECIOS_COMPLEMENTOS!$C$4:$F$17,MATCH(B2978&amp;"_"&amp;C2978,PRECIOS_COMPLEMENTOS!$H$4:$H$17,0),IF(OR(G2978="S",G2978="20cm"),1,IF(OR(G2978="M",G2978="25cm"),2,IF(OR(G2978="L",G2978="30cm"),3,IF(OR(G2978="XL",G2978="35cm"),4,0))))),0)</f>
        <v>0.45</v>
      </c>
      <c r="J2978" s="103">
        <f t="shared" si="1"/>
        <v>0</v>
      </c>
      <c r="K2978" s="104" t="str">
        <f>IF(H2978&lt;0,"ERROR",IF(H2978=0,"",IF(H2978&lt;CONFIG!$B$4,"CRÍTICO",IF(H2978&lt;CONFIG!$B$5,"BAJO","OK"))))</f>
        <v/>
      </c>
    </row>
    <row r="2979" ht="15.75" customHeight="1">
      <c r="A2979" s="90" t="str">
        <f>IF(CLIENTES!A5="","",CLIENTES!A5)</f>
        <v>Bravos</v>
      </c>
      <c r="B2979" s="90" t="s">
        <v>333</v>
      </c>
      <c r="C2979" s="91" t="s">
        <v>334</v>
      </c>
      <c r="D2979" s="109" t="s">
        <v>353</v>
      </c>
      <c r="E2979" s="67" t="str">
        <f>COLORES!A15</f>
        <v>Plomo</v>
      </c>
      <c r="F2979" s="67" t="str">
        <f>COLORES!B15</f>
        <v>OSCURO</v>
      </c>
      <c r="G2979" s="90" t="s">
        <v>382</v>
      </c>
      <c r="H2979" s="100">
        <f>IFERROR(SUMIFS(MOVIMIENTOS_COMPLEMENTOS!$I$4:$I$803,MOVIMIENTOS_COMPLEMENTOS!$C$4:$C$803,A2979,MOVIMIENTOS_COMPLEMENTOS!$D$4:$D$803,B2979,MOVIMIENTOS_COMPLEMENTOS!$E$4:$E$803,C2979,MOVIMIENTOS_COMPLEMENTOS!$G$4:$G$803,E2979,MOVIMIENTOS_COMPLEMENTOS!$H$4:$H$803,G2979,MOVIMIENTOS_COMPLEMENTOS!$B$4:$B$803,"INGRESO")+SUMIFS(MOVIMIENTOS_COMPLEMENTOS!$I$4:$I$803,MOVIMIENTOS_COMPLEMENTOS!$C$4:$C$803,A2979,MOVIMIENTOS_COMPLEMENTOS!$D$4:$D$803,B2979,MOVIMIENTOS_COMPLEMENTOS!$E$4:$E$803,C2979,MOVIMIENTOS_COMPLEMENTOS!$G$4:$G$803,E2979,MOVIMIENTOS_COMPLEMENTOS!$H$4:$H$803,G2979,MOVIMIENTOS_COMPLEMENTOS!$B$4:$B$803,"DE CORTE")-SUMIFS(MOVIMIENTOS_COMPLEMENTOS!$I$4:$I$803,MOVIMIENTOS_COMPLEMENTOS!$C$4:$C$803,A2979,MOVIMIENTOS_COMPLEMENTOS!$D$4:$D$803,B2979,MOVIMIENTOS_COMPLEMENTOS!$E$4:$E$803,C2979,MOVIMIENTOS_COMPLEMENTOS!$G$4:$G$803,E2979,MOVIMIENTOS_COMPLEMENTOS!$H$4:$H$803,G2979,MOVIMIENTOS_COMPLEMENTOS!$B$4:$B$803,"SALIDA"),0)</f>
        <v>0</v>
      </c>
      <c r="I2979" s="102">
        <f t="array" ref="I2979">IFERROR(INDEX(PRECIOS_COMPLEMENTOS!$C$4:$F$17,MATCH(B2979&amp;"_"&amp;C2979,PRECIOS_COMPLEMENTOS!$H$4:$H$17,0),IF(OR(G2979="S",G2979="20cm"),1,IF(OR(G2979="M",G2979="25cm"),2,IF(OR(G2979="L",G2979="30cm"),3,IF(OR(G2979="XL",G2979="35cm"),4,0))))),0)</f>
        <v>0.45</v>
      </c>
      <c r="J2979" s="103">
        <f t="shared" si="1"/>
        <v>0</v>
      </c>
      <c r="K2979" s="104" t="str">
        <f>IF(H2979&lt;0,"ERROR",IF(H2979=0,"",IF(H2979&lt;CONFIG!$B$4,"CRÍTICO",IF(H2979&lt;CONFIG!$B$5,"BAJO","OK"))))</f>
        <v/>
      </c>
    </row>
    <row r="2980" ht="15.75" customHeight="1">
      <c r="A2980" s="90" t="str">
        <f>IF(CLIENTES!A5="","",CLIENTES!A5)</f>
        <v>Bravos</v>
      </c>
      <c r="B2980" s="90" t="s">
        <v>333</v>
      </c>
      <c r="C2980" s="91" t="s">
        <v>334</v>
      </c>
      <c r="D2980" s="109" t="s">
        <v>353</v>
      </c>
      <c r="E2980" s="67" t="str">
        <f>COLORES!A16</f>
        <v>Topo</v>
      </c>
      <c r="F2980" s="67" t="str">
        <f>COLORES!B16</f>
        <v>CLARO</v>
      </c>
      <c r="G2980" s="90" t="s">
        <v>380</v>
      </c>
      <c r="H2980" s="100">
        <f>IFERROR(SUMIFS(MOVIMIENTOS_COMPLEMENTOS!$I$4:$I$803,MOVIMIENTOS_COMPLEMENTOS!$C$4:$C$803,A2980,MOVIMIENTOS_COMPLEMENTOS!$D$4:$D$803,B2980,MOVIMIENTOS_COMPLEMENTOS!$E$4:$E$803,C2980,MOVIMIENTOS_COMPLEMENTOS!$G$4:$G$803,E2980,MOVIMIENTOS_COMPLEMENTOS!$H$4:$H$803,G2980,MOVIMIENTOS_COMPLEMENTOS!$B$4:$B$803,"INGRESO")+SUMIFS(MOVIMIENTOS_COMPLEMENTOS!$I$4:$I$803,MOVIMIENTOS_COMPLEMENTOS!$C$4:$C$803,A2980,MOVIMIENTOS_COMPLEMENTOS!$D$4:$D$803,B2980,MOVIMIENTOS_COMPLEMENTOS!$E$4:$E$803,C2980,MOVIMIENTOS_COMPLEMENTOS!$G$4:$G$803,E2980,MOVIMIENTOS_COMPLEMENTOS!$H$4:$H$803,G2980,MOVIMIENTOS_COMPLEMENTOS!$B$4:$B$803,"DE CORTE")-SUMIFS(MOVIMIENTOS_COMPLEMENTOS!$I$4:$I$803,MOVIMIENTOS_COMPLEMENTOS!$C$4:$C$803,A2980,MOVIMIENTOS_COMPLEMENTOS!$D$4:$D$803,B2980,MOVIMIENTOS_COMPLEMENTOS!$E$4:$E$803,C2980,MOVIMIENTOS_COMPLEMENTOS!$G$4:$G$803,E2980,MOVIMIENTOS_COMPLEMENTOS!$H$4:$H$803,G2980,MOVIMIENTOS_COMPLEMENTOS!$B$4:$B$803,"SALIDA"),0)</f>
        <v>0</v>
      </c>
      <c r="I2980" s="102">
        <f t="array" ref="I2980">IFERROR(INDEX(PRECIOS_COMPLEMENTOS!$C$4:$F$17,MATCH(B2980&amp;"_"&amp;C2980,PRECIOS_COMPLEMENTOS!$H$4:$H$17,0),IF(OR(G2980="S",G2980="20cm"),1,IF(OR(G2980="M",G2980="25cm"),2,IF(OR(G2980="L",G2980="30cm"),3,IF(OR(G2980="XL",G2980="35cm"),4,0))))),0)</f>
        <v>0.45</v>
      </c>
      <c r="J2980" s="103">
        <f t="shared" si="1"/>
        <v>0</v>
      </c>
      <c r="K2980" s="104" t="str">
        <f>IF(H2980&lt;0,"ERROR",IF(H2980=0,"",IF(H2980&lt;CONFIG!$B$4,"CRÍTICO",IF(H2980&lt;CONFIG!$B$5,"BAJO","OK"))))</f>
        <v/>
      </c>
    </row>
    <row r="2981" ht="15.75" customHeight="1">
      <c r="A2981" s="90" t="str">
        <f>IF(CLIENTES!A5="","",CLIENTES!A5)</f>
        <v>Bravos</v>
      </c>
      <c r="B2981" s="90" t="s">
        <v>333</v>
      </c>
      <c r="C2981" s="91" t="s">
        <v>334</v>
      </c>
      <c r="D2981" s="109" t="s">
        <v>353</v>
      </c>
      <c r="E2981" s="67" t="str">
        <f>COLORES!A16</f>
        <v>Topo</v>
      </c>
      <c r="F2981" s="67" t="str">
        <f>COLORES!B16</f>
        <v>CLARO</v>
      </c>
      <c r="G2981" s="90" t="s">
        <v>381</v>
      </c>
      <c r="H2981" s="100">
        <f>IFERROR(SUMIFS(MOVIMIENTOS_COMPLEMENTOS!$I$4:$I$803,MOVIMIENTOS_COMPLEMENTOS!$C$4:$C$803,A2981,MOVIMIENTOS_COMPLEMENTOS!$D$4:$D$803,B2981,MOVIMIENTOS_COMPLEMENTOS!$E$4:$E$803,C2981,MOVIMIENTOS_COMPLEMENTOS!$G$4:$G$803,E2981,MOVIMIENTOS_COMPLEMENTOS!$H$4:$H$803,G2981,MOVIMIENTOS_COMPLEMENTOS!$B$4:$B$803,"INGRESO")+SUMIFS(MOVIMIENTOS_COMPLEMENTOS!$I$4:$I$803,MOVIMIENTOS_COMPLEMENTOS!$C$4:$C$803,A2981,MOVIMIENTOS_COMPLEMENTOS!$D$4:$D$803,B2981,MOVIMIENTOS_COMPLEMENTOS!$E$4:$E$803,C2981,MOVIMIENTOS_COMPLEMENTOS!$G$4:$G$803,E2981,MOVIMIENTOS_COMPLEMENTOS!$H$4:$H$803,G2981,MOVIMIENTOS_COMPLEMENTOS!$B$4:$B$803,"DE CORTE")-SUMIFS(MOVIMIENTOS_COMPLEMENTOS!$I$4:$I$803,MOVIMIENTOS_COMPLEMENTOS!$C$4:$C$803,A2981,MOVIMIENTOS_COMPLEMENTOS!$D$4:$D$803,B2981,MOVIMIENTOS_COMPLEMENTOS!$E$4:$E$803,C2981,MOVIMIENTOS_COMPLEMENTOS!$G$4:$G$803,E2981,MOVIMIENTOS_COMPLEMENTOS!$H$4:$H$803,G2981,MOVIMIENTOS_COMPLEMENTOS!$B$4:$B$803,"SALIDA"),0)</f>
        <v>0</v>
      </c>
      <c r="I2981" s="102">
        <f t="array" ref="I2981">IFERROR(INDEX(PRECIOS_COMPLEMENTOS!$C$4:$F$17,MATCH(B2981&amp;"_"&amp;C2981,PRECIOS_COMPLEMENTOS!$H$4:$H$17,0),IF(OR(G2981="S",G2981="20cm"),1,IF(OR(G2981="M",G2981="25cm"),2,IF(OR(G2981="L",G2981="30cm"),3,IF(OR(G2981="XL",G2981="35cm"),4,0))))),0)</f>
        <v>0.45</v>
      </c>
      <c r="J2981" s="103">
        <f t="shared" si="1"/>
        <v>0</v>
      </c>
      <c r="K2981" s="104" t="str">
        <f>IF(H2981&lt;0,"ERROR",IF(H2981=0,"",IF(H2981&lt;CONFIG!$B$4,"CRÍTICO",IF(H2981&lt;CONFIG!$B$5,"BAJO","OK"))))</f>
        <v/>
      </c>
    </row>
    <row r="2982" ht="15.75" customHeight="1">
      <c r="A2982" s="90" t="str">
        <f>IF(CLIENTES!A5="","",CLIENTES!A5)</f>
        <v>Bravos</v>
      </c>
      <c r="B2982" s="90" t="s">
        <v>333</v>
      </c>
      <c r="C2982" s="91" t="s">
        <v>334</v>
      </c>
      <c r="D2982" s="109" t="s">
        <v>353</v>
      </c>
      <c r="E2982" s="67" t="str">
        <f>COLORES!A16</f>
        <v>Topo</v>
      </c>
      <c r="F2982" s="67" t="str">
        <f>COLORES!B16</f>
        <v>CLARO</v>
      </c>
      <c r="G2982" s="90" t="s">
        <v>382</v>
      </c>
      <c r="H2982" s="100">
        <f>IFERROR(SUMIFS(MOVIMIENTOS_COMPLEMENTOS!$I$4:$I$803,MOVIMIENTOS_COMPLEMENTOS!$C$4:$C$803,A2982,MOVIMIENTOS_COMPLEMENTOS!$D$4:$D$803,B2982,MOVIMIENTOS_COMPLEMENTOS!$E$4:$E$803,C2982,MOVIMIENTOS_COMPLEMENTOS!$G$4:$G$803,E2982,MOVIMIENTOS_COMPLEMENTOS!$H$4:$H$803,G2982,MOVIMIENTOS_COMPLEMENTOS!$B$4:$B$803,"INGRESO")+SUMIFS(MOVIMIENTOS_COMPLEMENTOS!$I$4:$I$803,MOVIMIENTOS_COMPLEMENTOS!$C$4:$C$803,A2982,MOVIMIENTOS_COMPLEMENTOS!$D$4:$D$803,B2982,MOVIMIENTOS_COMPLEMENTOS!$E$4:$E$803,C2982,MOVIMIENTOS_COMPLEMENTOS!$G$4:$G$803,E2982,MOVIMIENTOS_COMPLEMENTOS!$H$4:$H$803,G2982,MOVIMIENTOS_COMPLEMENTOS!$B$4:$B$803,"DE CORTE")-SUMIFS(MOVIMIENTOS_COMPLEMENTOS!$I$4:$I$803,MOVIMIENTOS_COMPLEMENTOS!$C$4:$C$803,A2982,MOVIMIENTOS_COMPLEMENTOS!$D$4:$D$803,B2982,MOVIMIENTOS_COMPLEMENTOS!$E$4:$E$803,C2982,MOVIMIENTOS_COMPLEMENTOS!$G$4:$G$803,E2982,MOVIMIENTOS_COMPLEMENTOS!$H$4:$H$803,G2982,MOVIMIENTOS_COMPLEMENTOS!$B$4:$B$803,"SALIDA"),0)</f>
        <v>0</v>
      </c>
      <c r="I2982" s="102">
        <f t="array" ref="I2982">IFERROR(INDEX(PRECIOS_COMPLEMENTOS!$C$4:$F$17,MATCH(B2982&amp;"_"&amp;C2982,PRECIOS_COMPLEMENTOS!$H$4:$H$17,0),IF(OR(G2982="S",G2982="20cm"),1,IF(OR(G2982="M",G2982="25cm"),2,IF(OR(G2982="L",G2982="30cm"),3,IF(OR(G2982="XL",G2982="35cm"),4,0))))),0)</f>
        <v>0.45</v>
      </c>
      <c r="J2982" s="103">
        <f t="shared" si="1"/>
        <v>0</v>
      </c>
      <c r="K2982" s="104" t="str">
        <f>IF(H2982&lt;0,"ERROR",IF(H2982=0,"",IF(H2982&lt;CONFIG!$B$4,"CRÍTICO",IF(H2982&lt;CONFIG!$B$5,"BAJO","OK"))))</f>
        <v/>
      </c>
    </row>
    <row r="2983" ht="15.75" customHeight="1">
      <c r="A2983" s="90" t="str">
        <f>IF(CLIENTES!A5="","",CLIENTES!A5)</f>
        <v>Bravos</v>
      </c>
      <c r="B2983" s="90" t="s">
        <v>333</v>
      </c>
      <c r="C2983" s="91" t="s">
        <v>334</v>
      </c>
      <c r="D2983" s="109" t="s">
        <v>353</v>
      </c>
      <c r="E2983" s="67" t="str">
        <f>COLORES!A17</f>
        <v>Vino</v>
      </c>
      <c r="F2983" s="67" t="str">
        <f>COLORES!B17</f>
        <v>OSCURO</v>
      </c>
      <c r="G2983" s="90" t="s">
        <v>380</v>
      </c>
      <c r="H2983" s="100">
        <f>IFERROR(SUMIFS(MOVIMIENTOS_COMPLEMENTOS!$I$4:$I$803,MOVIMIENTOS_COMPLEMENTOS!$C$4:$C$803,A2983,MOVIMIENTOS_COMPLEMENTOS!$D$4:$D$803,B2983,MOVIMIENTOS_COMPLEMENTOS!$E$4:$E$803,C2983,MOVIMIENTOS_COMPLEMENTOS!$G$4:$G$803,E2983,MOVIMIENTOS_COMPLEMENTOS!$H$4:$H$803,G2983,MOVIMIENTOS_COMPLEMENTOS!$B$4:$B$803,"INGRESO")+SUMIFS(MOVIMIENTOS_COMPLEMENTOS!$I$4:$I$803,MOVIMIENTOS_COMPLEMENTOS!$C$4:$C$803,A2983,MOVIMIENTOS_COMPLEMENTOS!$D$4:$D$803,B2983,MOVIMIENTOS_COMPLEMENTOS!$E$4:$E$803,C2983,MOVIMIENTOS_COMPLEMENTOS!$G$4:$G$803,E2983,MOVIMIENTOS_COMPLEMENTOS!$H$4:$H$803,G2983,MOVIMIENTOS_COMPLEMENTOS!$B$4:$B$803,"DE CORTE")-SUMIFS(MOVIMIENTOS_COMPLEMENTOS!$I$4:$I$803,MOVIMIENTOS_COMPLEMENTOS!$C$4:$C$803,A2983,MOVIMIENTOS_COMPLEMENTOS!$D$4:$D$803,B2983,MOVIMIENTOS_COMPLEMENTOS!$E$4:$E$803,C2983,MOVIMIENTOS_COMPLEMENTOS!$G$4:$G$803,E2983,MOVIMIENTOS_COMPLEMENTOS!$H$4:$H$803,G2983,MOVIMIENTOS_COMPLEMENTOS!$B$4:$B$803,"SALIDA"),0)</f>
        <v>0</v>
      </c>
      <c r="I2983" s="102">
        <f t="array" ref="I2983">IFERROR(INDEX(PRECIOS_COMPLEMENTOS!$C$4:$F$17,MATCH(B2983&amp;"_"&amp;C2983,PRECIOS_COMPLEMENTOS!$H$4:$H$17,0),IF(OR(G2983="S",G2983="20cm"),1,IF(OR(G2983="M",G2983="25cm"),2,IF(OR(G2983="L",G2983="30cm"),3,IF(OR(G2983="XL",G2983="35cm"),4,0))))),0)</f>
        <v>0.45</v>
      </c>
      <c r="J2983" s="103">
        <f t="shared" si="1"/>
        <v>0</v>
      </c>
      <c r="K2983" s="104" t="str">
        <f>IF(H2983&lt;0,"ERROR",IF(H2983=0,"",IF(H2983&lt;CONFIG!$B$4,"CRÍTICO",IF(H2983&lt;CONFIG!$B$5,"BAJO","OK"))))</f>
        <v/>
      </c>
    </row>
    <row r="2984" ht="15.75" customHeight="1">
      <c r="A2984" s="90" t="str">
        <f>IF(CLIENTES!A5="","",CLIENTES!A5)</f>
        <v>Bravos</v>
      </c>
      <c r="B2984" s="90" t="s">
        <v>333</v>
      </c>
      <c r="C2984" s="91" t="s">
        <v>334</v>
      </c>
      <c r="D2984" s="109" t="s">
        <v>353</v>
      </c>
      <c r="E2984" s="67" t="str">
        <f>COLORES!A17</f>
        <v>Vino</v>
      </c>
      <c r="F2984" s="67" t="str">
        <f>COLORES!B17</f>
        <v>OSCURO</v>
      </c>
      <c r="G2984" s="90" t="s">
        <v>381</v>
      </c>
      <c r="H2984" s="100">
        <f>IFERROR(SUMIFS(MOVIMIENTOS_COMPLEMENTOS!$I$4:$I$803,MOVIMIENTOS_COMPLEMENTOS!$C$4:$C$803,A2984,MOVIMIENTOS_COMPLEMENTOS!$D$4:$D$803,B2984,MOVIMIENTOS_COMPLEMENTOS!$E$4:$E$803,C2984,MOVIMIENTOS_COMPLEMENTOS!$G$4:$G$803,E2984,MOVIMIENTOS_COMPLEMENTOS!$H$4:$H$803,G2984,MOVIMIENTOS_COMPLEMENTOS!$B$4:$B$803,"INGRESO")+SUMIFS(MOVIMIENTOS_COMPLEMENTOS!$I$4:$I$803,MOVIMIENTOS_COMPLEMENTOS!$C$4:$C$803,A2984,MOVIMIENTOS_COMPLEMENTOS!$D$4:$D$803,B2984,MOVIMIENTOS_COMPLEMENTOS!$E$4:$E$803,C2984,MOVIMIENTOS_COMPLEMENTOS!$G$4:$G$803,E2984,MOVIMIENTOS_COMPLEMENTOS!$H$4:$H$803,G2984,MOVIMIENTOS_COMPLEMENTOS!$B$4:$B$803,"DE CORTE")-SUMIFS(MOVIMIENTOS_COMPLEMENTOS!$I$4:$I$803,MOVIMIENTOS_COMPLEMENTOS!$C$4:$C$803,A2984,MOVIMIENTOS_COMPLEMENTOS!$D$4:$D$803,B2984,MOVIMIENTOS_COMPLEMENTOS!$E$4:$E$803,C2984,MOVIMIENTOS_COMPLEMENTOS!$G$4:$G$803,E2984,MOVIMIENTOS_COMPLEMENTOS!$H$4:$H$803,G2984,MOVIMIENTOS_COMPLEMENTOS!$B$4:$B$803,"SALIDA"),0)</f>
        <v>0</v>
      </c>
      <c r="I2984" s="102">
        <f t="array" ref="I2984">IFERROR(INDEX(PRECIOS_COMPLEMENTOS!$C$4:$F$17,MATCH(B2984&amp;"_"&amp;C2984,PRECIOS_COMPLEMENTOS!$H$4:$H$17,0),IF(OR(G2984="S",G2984="20cm"),1,IF(OR(G2984="M",G2984="25cm"),2,IF(OR(G2984="L",G2984="30cm"),3,IF(OR(G2984="XL",G2984="35cm"),4,0))))),0)</f>
        <v>0.45</v>
      </c>
      <c r="J2984" s="103">
        <f t="shared" si="1"/>
        <v>0</v>
      </c>
      <c r="K2984" s="104" t="str">
        <f>IF(H2984&lt;0,"ERROR",IF(H2984=0,"",IF(H2984&lt;CONFIG!$B$4,"CRÍTICO",IF(H2984&lt;CONFIG!$B$5,"BAJO","OK"))))</f>
        <v/>
      </c>
    </row>
    <row r="2985" ht="15.75" customHeight="1">
      <c r="A2985" s="90" t="str">
        <f>IF(CLIENTES!A5="","",CLIENTES!A5)</f>
        <v>Bravos</v>
      </c>
      <c r="B2985" s="90" t="s">
        <v>333</v>
      </c>
      <c r="C2985" s="91" t="s">
        <v>334</v>
      </c>
      <c r="D2985" s="109" t="s">
        <v>353</v>
      </c>
      <c r="E2985" s="67" t="str">
        <f>COLORES!A17</f>
        <v>Vino</v>
      </c>
      <c r="F2985" s="67" t="str">
        <f>COLORES!B17</f>
        <v>OSCURO</v>
      </c>
      <c r="G2985" s="90" t="s">
        <v>382</v>
      </c>
      <c r="H2985" s="100">
        <f>IFERROR(SUMIFS(MOVIMIENTOS_COMPLEMENTOS!$I$4:$I$803,MOVIMIENTOS_COMPLEMENTOS!$C$4:$C$803,A2985,MOVIMIENTOS_COMPLEMENTOS!$D$4:$D$803,B2985,MOVIMIENTOS_COMPLEMENTOS!$E$4:$E$803,C2985,MOVIMIENTOS_COMPLEMENTOS!$G$4:$G$803,E2985,MOVIMIENTOS_COMPLEMENTOS!$H$4:$H$803,G2985,MOVIMIENTOS_COMPLEMENTOS!$B$4:$B$803,"INGRESO")+SUMIFS(MOVIMIENTOS_COMPLEMENTOS!$I$4:$I$803,MOVIMIENTOS_COMPLEMENTOS!$C$4:$C$803,A2985,MOVIMIENTOS_COMPLEMENTOS!$D$4:$D$803,B2985,MOVIMIENTOS_COMPLEMENTOS!$E$4:$E$803,C2985,MOVIMIENTOS_COMPLEMENTOS!$G$4:$G$803,E2985,MOVIMIENTOS_COMPLEMENTOS!$H$4:$H$803,G2985,MOVIMIENTOS_COMPLEMENTOS!$B$4:$B$803,"DE CORTE")-SUMIFS(MOVIMIENTOS_COMPLEMENTOS!$I$4:$I$803,MOVIMIENTOS_COMPLEMENTOS!$C$4:$C$803,A2985,MOVIMIENTOS_COMPLEMENTOS!$D$4:$D$803,B2985,MOVIMIENTOS_COMPLEMENTOS!$E$4:$E$803,C2985,MOVIMIENTOS_COMPLEMENTOS!$G$4:$G$803,E2985,MOVIMIENTOS_COMPLEMENTOS!$H$4:$H$803,G2985,MOVIMIENTOS_COMPLEMENTOS!$B$4:$B$803,"SALIDA"),0)</f>
        <v>0</v>
      </c>
      <c r="I2985" s="102">
        <f t="array" ref="I2985">IFERROR(INDEX(PRECIOS_COMPLEMENTOS!$C$4:$F$17,MATCH(B2985&amp;"_"&amp;C2985,PRECIOS_COMPLEMENTOS!$H$4:$H$17,0),IF(OR(G2985="S",G2985="20cm"),1,IF(OR(G2985="M",G2985="25cm"),2,IF(OR(G2985="L",G2985="30cm"),3,IF(OR(G2985="XL",G2985="35cm"),4,0))))),0)</f>
        <v>0.45</v>
      </c>
      <c r="J2985" s="103">
        <f t="shared" si="1"/>
        <v>0</v>
      </c>
      <c r="K2985" s="104" t="str">
        <f>IF(H2985&lt;0,"ERROR",IF(H2985=0,"",IF(H2985&lt;CONFIG!$B$4,"CRÍTICO",IF(H2985&lt;CONFIG!$B$5,"BAJO","OK"))))</f>
        <v/>
      </c>
    </row>
    <row r="2986" ht="15.75" customHeight="1">
      <c r="A2986" s="90" t="str">
        <f>IF(CLIENTES!A5="","",CLIENTES!A5)</f>
        <v>Bravos</v>
      </c>
      <c r="B2986" s="90" t="s">
        <v>333</v>
      </c>
      <c r="C2986" s="91" t="s">
        <v>334</v>
      </c>
      <c r="D2986" s="109" t="s">
        <v>353</v>
      </c>
      <c r="E2986" s="67" t="str">
        <f>COLORES!A18</f>
        <v>P. Rosa</v>
      </c>
      <c r="F2986" s="67" t="str">
        <f>COLORES!B18</f>
        <v>CLARO</v>
      </c>
      <c r="G2986" s="90" t="s">
        <v>380</v>
      </c>
      <c r="H2986" s="100">
        <f>IFERROR(SUMIFS(MOVIMIENTOS_COMPLEMENTOS!$I$4:$I$803,MOVIMIENTOS_COMPLEMENTOS!$C$4:$C$803,A2986,MOVIMIENTOS_COMPLEMENTOS!$D$4:$D$803,B2986,MOVIMIENTOS_COMPLEMENTOS!$E$4:$E$803,C2986,MOVIMIENTOS_COMPLEMENTOS!$G$4:$G$803,E2986,MOVIMIENTOS_COMPLEMENTOS!$H$4:$H$803,G2986,MOVIMIENTOS_COMPLEMENTOS!$B$4:$B$803,"INGRESO")+SUMIFS(MOVIMIENTOS_COMPLEMENTOS!$I$4:$I$803,MOVIMIENTOS_COMPLEMENTOS!$C$4:$C$803,A2986,MOVIMIENTOS_COMPLEMENTOS!$D$4:$D$803,B2986,MOVIMIENTOS_COMPLEMENTOS!$E$4:$E$803,C2986,MOVIMIENTOS_COMPLEMENTOS!$G$4:$G$803,E2986,MOVIMIENTOS_COMPLEMENTOS!$H$4:$H$803,G2986,MOVIMIENTOS_COMPLEMENTOS!$B$4:$B$803,"DE CORTE")-SUMIFS(MOVIMIENTOS_COMPLEMENTOS!$I$4:$I$803,MOVIMIENTOS_COMPLEMENTOS!$C$4:$C$803,A2986,MOVIMIENTOS_COMPLEMENTOS!$D$4:$D$803,B2986,MOVIMIENTOS_COMPLEMENTOS!$E$4:$E$803,C2986,MOVIMIENTOS_COMPLEMENTOS!$G$4:$G$803,E2986,MOVIMIENTOS_COMPLEMENTOS!$H$4:$H$803,G2986,MOVIMIENTOS_COMPLEMENTOS!$B$4:$B$803,"SALIDA"),0)</f>
        <v>0</v>
      </c>
      <c r="I2986" s="102">
        <f t="array" ref="I2986">IFERROR(INDEX(PRECIOS_COMPLEMENTOS!$C$4:$F$17,MATCH(B2986&amp;"_"&amp;C2986,PRECIOS_COMPLEMENTOS!$H$4:$H$17,0),IF(OR(G2986="S",G2986="20cm"),1,IF(OR(G2986="M",G2986="25cm"),2,IF(OR(G2986="L",G2986="30cm"),3,IF(OR(G2986="XL",G2986="35cm"),4,0))))),0)</f>
        <v>0.45</v>
      </c>
      <c r="J2986" s="103">
        <f t="shared" si="1"/>
        <v>0</v>
      </c>
      <c r="K2986" s="104" t="str">
        <f>IF(H2986&lt;0,"ERROR",IF(H2986=0,"",IF(H2986&lt;CONFIG!$B$4,"CRÍTICO",IF(H2986&lt;CONFIG!$B$5,"BAJO","OK"))))</f>
        <v/>
      </c>
    </row>
    <row r="2987" ht="15.75" customHeight="1">
      <c r="A2987" s="90" t="str">
        <f>IF(CLIENTES!A5="","",CLIENTES!A5)</f>
        <v>Bravos</v>
      </c>
      <c r="B2987" s="90" t="s">
        <v>333</v>
      </c>
      <c r="C2987" s="91" t="s">
        <v>334</v>
      </c>
      <c r="D2987" s="109" t="s">
        <v>353</v>
      </c>
      <c r="E2987" s="67" t="str">
        <f>COLORES!A18</f>
        <v>P. Rosa</v>
      </c>
      <c r="F2987" s="67" t="str">
        <f>COLORES!B18</f>
        <v>CLARO</v>
      </c>
      <c r="G2987" s="90" t="s">
        <v>381</v>
      </c>
      <c r="H2987" s="100">
        <f>IFERROR(SUMIFS(MOVIMIENTOS_COMPLEMENTOS!$I$4:$I$803,MOVIMIENTOS_COMPLEMENTOS!$C$4:$C$803,A2987,MOVIMIENTOS_COMPLEMENTOS!$D$4:$D$803,B2987,MOVIMIENTOS_COMPLEMENTOS!$E$4:$E$803,C2987,MOVIMIENTOS_COMPLEMENTOS!$G$4:$G$803,E2987,MOVIMIENTOS_COMPLEMENTOS!$H$4:$H$803,G2987,MOVIMIENTOS_COMPLEMENTOS!$B$4:$B$803,"INGRESO")+SUMIFS(MOVIMIENTOS_COMPLEMENTOS!$I$4:$I$803,MOVIMIENTOS_COMPLEMENTOS!$C$4:$C$803,A2987,MOVIMIENTOS_COMPLEMENTOS!$D$4:$D$803,B2987,MOVIMIENTOS_COMPLEMENTOS!$E$4:$E$803,C2987,MOVIMIENTOS_COMPLEMENTOS!$G$4:$G$803,E2987,MOVIMIENTOS_COMPLEMENTOS!$H$4:$H$803,G2987,MOVIMIENTOS_COMPLEMENTOS!$B$4:$B$803,"DE CORTE")-SUMIFS(MOVIMIENTOS_COMPLEMENTOS!$I$4:$I$803,MOVIMIENTOS_COMPLEMENTOS!$C$4:$C$803,A2987,MOVIMIENTOS_COMPLEMENTOS!$D$4:$D$803,B2987,MOVIMIENTOS_COMPLEMENTOS!$E$4:$E$803,C2987,MOVIMIENTOS_COMPLEMENTOS!$G$4:$G$803,E2987,MOVIMIENTOS_COMPLEMENTOS!$H$4:$H$803,G2987,MOVIMIENTOS_COMPLEMENTOS!$B$4:$B$803,"SALIDA"),0)</f>
        <v>0</v>
      </c>
      <c r="I2987" s="102">
        <f t="array" ref="I2987">IFERROR(INDEX(PRECIOS_COMPLEMENTOS!$C$4:$F$17,MATCH(B2987&amp;"_"&amp;C2987,PRECIOS_COMPLEMENTOS!$H$4:$H$17,0),IF(OR(G2987="S",G2987="20cm"),1,IF(OR(G2987="M",G2987="25cm"),2,IF(OR(G2987="L",G2987="30cm"),3,IF(OR(G2987="XL",G2987="35cm"),4,0))))),0)</f>
        <v>0.45</v>
      </c>
      <c r="J2987" s="103">
        <f t="shared" si="1"/>
        <v>0</v>
      </c>
      <c r="K2987" s="104" t="str">
        <f>IF(H2987&lt;0,"ERROR",IF(H2987=0,"",IF(H2987&lt;CONFIG!$B$4,"CRÍTICO",IF(H2987&lt;CONFIG!$B$5,"BAJO","OK"))))</f>
        <v/>
      </c>
    </row>
    <row r="2988" ht="15.75" customHeight="1">
      <c r="A2988" s="90" t="str">
        <f>IF(CLIENTES!A5="","",CLIENTES!A5)</f>
        <v>Bravos</v>
      </c>
      <c r="B2988" s="90" t="s">
        <v>333</v>
      </c>
      <c r="C2988" s="91" t="s">
        <v>334</v>
      </c>
      <c r="D2988" s="109" t="s">
        <v>353</v>
      </c>
      <c r="E2988" s="67" t="str">
        <f>COLORES!A18</f>
        <v>P. Rosa</v>
      </c>
      <c r="F2988" s="67" t="str">
        <f>COLORES!B18</f>
        <v>CLARO</v>
      </c>
      <c r="G2988" s="90" t="s">
        <v>382</v>
      </c>
      <c r="H2988" s="100">
        <f>IFERROR(SUMIFS(MOVIMIENTOS_COMPLEMENTOS!$I$4:$I$803,MOVIMIENTOS_COMPLEMENTOS!$C$4:$C$803,A2988,MOVIMIENTOS_COMPLEMENTOS!$D$4:$D$803,B2988,MOVIMIENTOS_COMPLEMENTOS!$E$4:$E$803,C2988,MOVIMIENTOS_COMPLEMENTOS!$G$4:$G$803,E2988,MOVIMIENTOS_COMPLEMENTOS!$H$4:$H$803,G2988,MOVIMIENTOS_COMPLEMENTOS!$B$4:$B$803,"INGRESO")+SUMIFS(MOVIMIENTOS_COMPLEMENTOS!$I$4:$I$803,MOVIMIENTOS_COMPLEMENTOS!$C$4:$C$803,A2988,MOVIMIENTOS_COMPLEMENTOS!$D$4:$D$803,B2988,MOVIMIENTOS_COMPLEMENTOS!$E$4:$E$803,C2988,MOVIMIENTOS_COMPLEMENTOS!$G$4:$G$803,E2988,MOVIMIENTOS_COMPLEMENTOS!$H$4:$H$803,G2988,MOVIMIENTOS_COMPLEMENTOS!$B$4:$B$803,"DE CORTE")-SUMIFS(MOVIMIENTOS_COMPLEMENTOS!$I$4:$I$803,MOVIMIENTOS_COMPLEMENTOS!$C$4:$C$803,A2988,MOVIMIENTOS_COMPLEMENTOS!$D$4:$D$803,B2988,MOVIMIENTOS_COMPLEMENTOS!$E$4:$E$803,C2988,MOVIMIENTOS_COMPLEMENTOS!$G$4:$G$803,E2988,MOVIMIENTOS_COMPLEMENTOS!$H$4:$H$803,G2988,MOVIMIENTOS_COMPLEMENTOS!$B$4:$B$803,"SALIDA"),0)</f>
        <v>0</v>
      </c>
      <c r="I2988" s="102">
        <f t="array" ref="I2988">IFERROR(INDEX(PRECIOS_COMPLEMENTOS!$C$4:$F$17,MATCH(B2988&amp;"_"&amp;C2988,PRECIOS_COMPLEMENTOS!$H$4:$H$17,0),IF(OR(G2988="S",G2988="20cm"),1,IF(OR(G2988="M",G2988="25cm"),2,IF(OR(G2988="L",G2988="30cm"),3,IF(OR(G2988="XL",G2988="35cm"),4,0))))),0)</f>
        <v>0.45</v>
      </c>
      <c r="J2988" s="103">
        <f t="shared" si="1"/>
        <v>0</v>
      </c>
      <c r="K2988" s="104" t="str">
        <f>IF(H2988&lt;0,"ERROR",IF(H2988=0,"",IF(H2988&lt;CONFIG!$B$4,"CRÍTICO",IF(H2988&lt;CONFIG!$B$5,"BAJO","OK"))))</f>
        <v/>
      </c>
    </row>
    <row r="2989" ht="15.75" customHeight="1">
      <c r="A2989" s="90" t="str">
        <f>IF(CLIENTES!A5="","",CLIENTES!A5)</f>
        <v>Bravos</v>
      </c>
      <c r="B2989" s="90" t="s">
        <v>333</v>
      </c>
      <c r="C2989" s="91" t="s">
        <v>334</v>
      </c>
      <c r="D2989" s="109" t="s">
        <v>353</v>
      </c>
      <c r="E2989" s="67" t="str">
        <f>COLORES!A19</f>
        <v/>
      </c>
      <c r="F2989" s="67" t="str">
        <f>COLORES!B19</f>
        <v/>
      </c>
      <c r="G2989" s="90" t="s">
        <v>380</v>
      </c>
      <c r="H2989" s="100">
        <f>IFERROR(SUMIFS(MOVIMIENTOS_COMPLEMENTOS!$I$4:$I$803,MOVIMIENTOS_COMPLEMENTOS!$C$4:$C$803,A2989,MOVIMIENTOS_COMPLEMENTOS!$D$4:$D$803,B2989,MOVIMIENTOS_COMPLEMENTOS!$E$4:$E$803,C2989,MOVIMIENTOS_COMPLEMENTOS!$G$4:$G$803,E2989,MOVIMIENTOS_COMPLEMENTOS!$H$4:$H$803,G2989,MOVIMIENTOS_COMPLEMENTOS!$B$4:$B$803,"INGRESO")+SUMIFS(MOVIMIENTOS_COMPLEMENTOS!$I$4:$I$803,MOVIMIENTOS_COMPLEMENTOS!$C$4:$C$803,A2989,MOVIMIENTOS_COMPLEMENTOS!$D$4:$D$803,B2989,MOVIMIENTOS_COMPLEMENTOS!$E$4:$E$803,C2989,MOVIMIENTOS_COMPLEMENTOS!$G$4:$G$803,E2989,MOVIMIENTOS_COMPLEMENTOS!$H$4:$H$803,G2989,MOVIMIENTOS_COMPLEMENTOS!$B$4:$B$803,"DE CORTE")-SUMIFS(MOVIMIENTOS_COMPLEMENTOS!$I$4:$I$803,MOVIMIENTOS_COMPLEMENTOS!$C$4:$C$803,A2989,MOVIMIENTOS_COMPLEMENTOS!$D$4:$D$803,B2989,MOVIMIENTOS_COMPLEMENTOS!$E$4:$E$803,C2989,MOVIMIENTOS_COMPLEMENTOS!$G$4:$G$803,E2989,MOVIMIENTOS_COMPLEMENTOS!$H$4:$H$803,G2989,MOVIMIENTOS_COMPLEMENTOS!$B$4:$B$803,"SALIDA"),0)</f>
        <v>0</v>
      </c>
      <c r="I2989" s="102">
        <f t="array" ref="I2989">IFERROR(INDEX(PRECIOS_COMPLEMENTOS!$C$4:$F$17,MATCH(B2989&amp;"_"&amp;C2989,PRECIOS_COMPLEMENTOS!$H$4:$H$17,0),IF(OR(G2989="S",G2989="20cm"),1,IF(OR(G2989="M",G2989="25cm"),2,IF(OR(G2989="L",G2989="30cm"),3,IF(OR(G2989="XL",G2989="35cm"),4,0))))),0)</f>
        <v>0.45</v>
      </c>
      <c r="J2989" s="103">
        <f t="shared" si="1"/>
        <v>0</v>
      </c>
      <c r="K2989" s="104" t="str">
        <f>IF(H2989&lt;0,"ERROR",IF(H2989=0,"",IF(H2989&lt;CONFIG!$B$4,"CRÍTICO",IF(H2989&lt;CONFIG!$B$5,"BAJO","OK"))))</f>
        <v/>
      </c>
    </row>
    <row r="2990" ht="15.75" customHeight="1">
      <c r="A2990" s="90" t="str">
        <f>IF(CLIENTES!A5="","",CLIENTES!A5)</f>
        <v>Bravos</v>
      </c>
      <c r="B2990" s="90" t="s">
        <v>333</v>
      </c>
      <c r="C2990" s="91" t="s">
        <v>334</v>
      </c>
      <c r="D2990" s="109" t="s">
        <v>353</v>
      </c>
      <c r="E2990" s="67" t="str">
        <f>COLORES!A19</f>
        <v/>
      </c>
      <c r="F2990" s="67" t="str">
        <f>COLORES!B19</f>
        <v/>
      </c>
      <c r="G2990" s="90" t="s">
        <v>381</v>
      </c>
      <c r="H2990" s="100">
        <f>IFERROR(SUMIFS(MOVIMIENTOS_COMPLEMENTOS!$I$4:$I$803,MOVIMIENTOS_COMPLEMENTOS!$C$4:$C$803,A2990,MOVIMIENTOS_COMPLEMENTOS!$D$4:$D$803,B2990,MOVIMIENTOS_COMPLEMENTOS!$E$4:$E$803,C2990,MOVIMIENTOS_COMPLEMENTOS!$G$4:$G$803,E2990,MOVIMIENTOS_COMPLEMENTOS!$H$4:$H$803,G2990,MOVIMIENTOS_COMPLEMENTOS!$B$4:$B$803,"INGRESO")+SUMIFS(MOVIMIENTOS_COMPLEMENTOS!$I$4:$I$803,MOVIMIENTOS_COMPLEMENTOS!$C$4:$C$803,A2990,MOVIMIENTOS_COMPLEMENTOS!$D$4:$D$803,B2990,MOVIMIENTOS_COMPLEMENTOS!$E$4:$E$803,C2990,MOVIMIENTOS_COMPLEMENTOS!$G$4:$G$803,E2990,MOVIMIENTOS_COMPLEMENTOS!$H$4:$H$803,G2990,MOVIMIENTOS_COMPLEMENTOS!$B$4:$B$803,"DE CORTE")-SUMIFS(MOVIMIENTOS_COMPLEMENTOS!$I$4:$I$803,MOVIMIENTOS_COMPLEMENTOS!$C$4:$C$803,A2990,MOVIMIENTOS_COMPLEMENTOS!$D$4:$D$803,B2990,MOVIMIENTOS_COMPLEMENTOS!$E$4:$E$803,C2990,MOVIMIENTOS_COMPLEMENTOS!$G$4:$G$803,E2990,MOVIMIENTOS_COMPLEMENTOS!$H$4:$H$803,G2990,MOVIMIENTOS_COMPLEMENTOS!$B$4:$B$803,"SALIDA"),0)</f>
        <v>0</v>
      </c>
      <c r="I2990" s="102">
        <f t="array" ref="I2990">IFERROR(INDEX(PRECIOS_COMPLEMENTOS!$C$4:$F$17,MATCH(B2990&amp;"_"&amp;C2990,PRECIOS_COMPLEMENTOS!$H$4:$H$17,0),IF(OR(G2990="S",G2990="20cm"),1,IF(OR(G2990="M",G2990="25cm"),2,IF(OR(G2990="L",G2990="30cm"),3,IF(OR(G2990="XL",G2990="35cm"),4,0))))),0)</f>
        <v>0.45</v>
      </c>
      <c r="J2990" s="103">
        <f t="shared" si="1"/>
        <v>0</v>
      </c>
      <c r="K2990" s="104" t="str">
        <f>IF(H2990&lt;0,"ERROR",IF(H2990=0,"",IF(H2990&lt;CONFIG!$B$4,"CRÍTICO",IF(H2990&lt;CONFIG!$B$5,"BAJO","OK"))))</f>
        <v/>
      </c>
    </row>
    <row r="2991" ht="15.75" customHeight="1">
      <c r="A2991" s="90" t="str">
        <f>IF(CLIENTES!A5="","",CLIENTES!A5)</f>
        <v>Bravos</v>
      </c>
      <c r="B2991" s="90" t="s">
        <v>333</v>
      </c>
      <c r="C2991" s="91" t="s">
        <v>334</v>
      </c>
      <c r="D2991" s="109" t="s">
        <v>353</v>
      </c>
      <c r="E2991" s="67" t="str">
        <f>COLORES!A19</f>
        <v/>
      </c>
      <c r="F2991" s="67" t="str">
        <f>COLORES!B19</f>
        <v/>
      </c>
      <c r="G2991" s="90" t="s">
        <v>382</v>
      </c>
      <c r="H2991" s="100">
        <f>IFERROR(SUMIFS(MOVIMIENTOS_COMPLEMENTOS!$I$4:$I$803,MOVIMIENTOS_COMPLEMENTOS!$C$4:$C$803,A2991,MOVIMIENTOS_COMPLEMENTOS!$D$4:$D$803,B2991,MOVIMIENTOS_COMPLEMENTOS!$E$4:$E$803,C2991,MOVIMIENTOS_COMPLEMENTOS!$G$4:$G$803,E2991,MOVIMIENTOS_COMPLEMENTOS!$H$4:$H$803,G2991,MOVIMIENTOS_COMPLEMENTOS!$B$4:$B$803,"INGRESO")+SUMIFS(MOVIMIENTOS_COMPLEMENTOS!$I$4:$I$803,MOVIMIENTOS_COMPLEMENTOS!$C$4:$C$803,A2991,MOVIMIENTOS_COMPLEMENTOS!$D$4:$D$803,B2991,MOVIMIENTOS_COMPLEMENTOS!$E$4:$E$803,C2991,MOVIMIENTOS_COMPLEMENTOS!$G$4:$G$803,E2991,MOVIMIENTOS_COMPLEMENTOS!$H$4:$H$803,G2991,MOVIMIENTOS_COMPLEMENTOS!$B$4:$B$803,"DE CORTE")-SUMIFS(MOVIMIENTOS_COMPLEMENTOS!$I$4:$I$803,MOVIMIENTOS_COMPLEMENTOS!$C$4:$C$803,A2991,MOVIMIENTOS_COMPLEMENTOS!$D$4:$D$803,B2991,MOVIMIENTOS_COMPLEMENTOS!$E$4:$E$803,C2991,MOVIMIENTOS_COMPLEMENTOS!$G$4:$G$803,E2991,MOVIMIENTOS_COMPLEMENTOS!$H$4:$H$803,G2991,MOVIMIENTOS_COMPLEMENTOS!$B$4:$B$803,"SALIDA"),0)</f>
        <v>0</v>
      </c>
      <c r="I2991" s="102">
        <f t="array" ref="I2991">IFERROR(INDEX(PRECIOS_COMPLEMENTOS!$C$4:$F$17,MATCH(B2991&amp;"_"&amp;C2991,PRECIOS_COMPLEMENTOS!$H$4:$H$17,0),IF(OR(G2991="S",G2991="20cm"),1,IF(OR(G2991="M",G2991="25cm"),2,IF(OR(G2991="L",G2991="30cm"),3,IF(OR(G2991="XL",G2991="35cm"),4,0))))),0)</f>
        <v>0.45</v>
      </c>
      <c r="J2991" s="103">
        <f t="shared" si="1"/>
        <v>0</v>
      </c>
      <c r="K2991" s="104" t="str">
        <f>IF(H2991&lt;0,"ERROR",IF(H2991=0,"",IF(H2991&lt;CONFIG!$B$4,"CRÍTICO",IF(H2991&lt;CONFIG!$B$5,"BAJO","OK"))))</f>
        <v/>
      </c>
    </row>
    <row r="2992" ht="15.75" customHeight="1">
      <c r="A2992" s="90" t="str">
        <f>IF(CLIENTES!A5="","",CLIENTES!A5)</f>
        <v>Bravos</v>
      </c>
      <c r="B2992" s="90" t="s">
        <v>333</v>
      </c>
      <c r="C2992" s="91" t="s">
        <v>334</v>
      </c>
      <c r="D2992" s="109" t="s">
        <v>353</v>
      </c>
      <c r="E2992" s="67" t="str">
        <f>COLORES!A20</f>
        <v/>
      </c>
      <c r="F2992" s="67" t="str">
        <f>COLORES!B20</f>
        <v/>
      </c>
      <c r="G2992" s="90" t="s">
        <v>380</v>
      </c>
      <c r="H2992" s="100">
        <f>IFERROR(SUMIFS(MOVIMIENTOS_COMPLEMENTOS!$I$4:$I$803,MOVIMIENTOS_COMPLEMENTOS!$C$4:$C$803,A2992,MOVIMIENTOS_COMPLEMENTOS!$D$4:$D$803,B2992,MOVIMIENTOS_COMPLEMENTOS!$E$4:$E$803,C2992,MOVIMIENTOS_COMPLEMENTOS!$G$4:$G$803,E2992,MOVIMIENTOS_COMPLEMENTOS!$H$4:$H$803,G2992,MOVIMIENTOS_COMPLEMENTOS!$B$4:$B$803,"INGRESO")+SUMIFS(MOVIMIENTOS_COMPLEMENTOS!$I$4:$I$803,MOVIMIENTOS_COMPLEMENTOS!$C$4:$C$803,A2992,MOVIMIENTOS_COMPLEMENTOS!$D$4:$D$803,B2992,MOVIMIENTOS_COMPLEMENTOS!$E$4:$E$803,C2992,MOVIMIENTOS_COMPLEMENTOS!$G$4:$G$803,E2992,MOVIMIENTOS_COMPLEMENTOS!$H$4:$H$803,G2992,MOVIMIENTOS_COMPLEMENTOS!$B$4:$B$803,"DE CORTE")-SUMIFS(MOVIMIENTOS_COMPLEMENTOS!$I$4:$I$803,MOVIMIENTOS_COMPLEMENTOS!$C$4:$C$803,A2992,MOVIMIENTOS_COMPLEMENTOS!$D$4:$D$803,B2992,MOVIMIENTOS_COMPLEMENTOS!$E$4:$E$803,C2992,MOVIMIENTOS_COMPLEMENTOS!$G$4:$G$803,E2992,MOVIMIENTOS_COMPLEMENTOS!$H$4:$H$803,G2992,MOVIMIENTOS_COMPLEMENTOS!$B$4:$B$803,"SALIDA"),0)</f>
        <v>0</v>
      </c>
      <c r="I2992" s="102">
        <f t="array" ref="I2992">IFERROR(INDEX(PRECIOS_COMPLEMENTOS!$C$4:$F$17,MATCH(B2992&amp;"_"&amp;C2992,PRECIOS_COMPLEMENTOS!$H$4:$H$17,0),IF(OR(G2992="S",G2992="20cm"),1,IF(OR(G2992="M",G2992="25cm"),2,IF(OR(G2992="L",G2992="30cm"),3,IF(OR(G2992="XL",G2992="35cm"),4,0))))),0)</f>
        <v>0.45</v>
      </c>
      <c r="J2992" s="103">
        <f t="shared" si="1"/>
        <v>0</v>
      </c>
      <c r="K2992" s="104" t="str">
        <f>IF(H2992&lt;0,"ERROR",IF(H2992=0,"",IF(H2992&lt;CONFIG!$B$4,"CRÍTICO",IF(H2992&lt;CONFIG!$B$5,"BAJO","OK"))))</f>
        <v/>
      </c>
    </row>
    <row r="2993" ht="15.75" customHeight="1">
      <c r="A2993" s="90" t="str">
        <f>IF(CLIENTES!A5="","",CLIENTES!A5)</f>
        <v>Bravos</v>
      </c>
      <c r="B2993" s="90" t="s">
        <v>333</v>
      </c>
      <c r="C2993" s="91" t="s">
        <v>334</v>
      </c>
      <c r="D2993" s="109" t="s">
        <v>353</v>
      </c>
      <c r="E2993" s="67" t="str">
        <f>COLORES!A20</f>
        <v/>
      </c>
      <c r="F2993" s="67" t="str">
        <f>COLORES!B20</f>
        <v/>
      </c>
      <c r="G2993" s="90" t="s">
        <v>381</v>
      </c>
      <c r="H2993" s="100">
        <f>IFERROR(SUMIFS(MOVIMIENTOS_COMPLEMENTOS!$I$4:$I$803,MOVIMIENTOS_COMPLEMENTOS!$C$4:$C$803,A2993,MOVIMIENTOS_COMPLEMENTOS!$D$4:$D$803,B2993,MOVIMIENTOS_COMPLEMENTOS!$E$4:$E$803,C2993,MOVIMIENTOS_COMPLEMENTOS!$G$4:$G$803,E2993,MOVIMIENTOS_COMPLEMENTOS!$H$4:$H$803,G2993,MOVIMIENTOS_COMPLEMENTOS!$B$4:$B$803,"INGRESO")+SUMIFS(MOVIMIENTOS_COMPLEMENTOS!$I$4:$I$803,MOVIMIENTOS_COMPLEMENTOS!$C$4:$C$803,A2993,MOVIMIENTOS_COMPLEMENTOS!$D$4:$D$803,B2993,MOVIMIENTOS_COMPLEMENTOS!$E$4:$E$803,C2993,MOVIMIENTOS_COMPLEMENTOS!$G$4:$G$803,E2993,MOVIMIENTOS_COMPLEMENTOS!$H$4:$H$803,G2993,MOVIMIENTOS_COMPLEMENTOS!$B$4:$B$803,"DE CORTE")-SUMIFS(MOVIMIENTOS_COMPLEMENTOS!$I$4:$I$803,MOVIMIENTOS_COMPLEMENTOS!$C$4:$C$803,A2993,MOVIMIENTOS_COMPLEMENTOS!$D$4:$D$803,B2993,MOVIMIENTOS_COMPLEMENTOS!$E$4:$E$803,C2993,MOVIMIENTOS_COMPLEMENTOS!$G$4:$G$803,E2993,MOVIMIENTOS_COMPLEMENTOS!$H$4:$H$803,G2993,MOVIMIENTOS_COMPLEMENTOS!$B$4:$B$803,"SALIDA"),0)</f>
        <v>0</v>
      </c>
      <c r="I2993" s="102">
        <f t="array" ref="I2993">IFERROR(INDEX(PRECIOS_COMPLEMENTOS!$C$4:$F$17,MATCH(B2993&amp;"_"&amp;C2993,PRECIOS_COMPLEMENTOS!$H$4:$H$17,0),IF(OR(G2993="S",G2993="20cm"),1,IF(OR(G2993="M",G2993="25cm"),2,IF(OR(G2993="L",G2993="30cm"),3,IF(OR(G2993="XL",G2993="35cm"),4,0))))),0)</f>
        <v>0.45</v>
      </c>
      <c r="J2993" s="103">
        <f t="shared" si="1"/>
        <v>0</v>
      </c>
      <c r="K2993" s="104" t="str">
        <f>IF(H2993&lt;0,"ERROR",IF(H2993=0,"",IF(H2993&lt;CONFIG!$B$4,"CRÍTICO",IF(H2993&lt;CONFIG!$B$5,"BAJO","OK"))))</f>
        <v/>
      </c>
    </row>
    <row r="2994" ht="15.75" customHeight="1">
      <c r="A2994" s="90" t="str">
        <f>IF(CLIENTES!A5="","",CLIENTES!A5)</f>
        <v>Bravos</v>
      </c>
      <c r="B2994" s="90" t="s">
        <v>333</v>
      </c>
      <c r="C2994" s="91" t="s">
        <v>334</v>
      </c>
      <c r="D2994" s="109" t="s">
        <v>353</v>
      </c>
      <c r="E2994" s="67" t="str">
        <f>COLORES!A20</f>
        <v/>
      </c>
      <c r="F2994" s="67" t="str">
        <f>COLORES!B20</f>
        <v/>
      </c>
      <c r="G2994" s="90" t="s">
        <v>382</v>
      </c>
      <c r="H2994" s="100">
        <f>IFERROR(SUMIFS(MOVIMIENTOS_COMPLEMENTOS!$I$4:$I$803,MOVIMIENTOS_COMPLEMENTOS!$C$4:$C$803,A2994,MOVIMIENTOS_COMPLEMENTOS!$D$4:$D$803,B2994,MOVIMIENTOS_COMPLEMENTOS!$E$4:$E$803,C2994,MOVIMIENTOS_COMPLEMENTOS!$G$4:$G$803,E2994,MOVIMIENTOS_COMPLEMENTOS!$H$4:$H$803,G2994,MOVIMIENTOS_COMPLEMENTOS!$B$4:$B$803,"INGRESO")+SUMIFS(MOVIMIENTOS_COMPLEMENTOS!$I$4:$I$803,MOVIMIENTOS_COMPLEMENTOS!$C$4:$C$803,A2994,MOVIMIENTOS_COMPLEMENTOS!$D$4:$D$803,B2994,MOVIMIENTOS_COMPLEMENTOS!$E$4:$E$803,C2994,MOVIMIENTOS_COMPLEMENTOS!$G$4:$G$803,E2994,MOVIMIENTOS_COMPLEMENTOS!$H$4:$H$803,G2994,MOVIMIENTOS_COMPLEMENTOS!$B$4:$B$803,"DE CORTE")-SUMIFS(MOVIMIENTOS_COMPLEMENTOS!$I$4:$I$803,MOVIMIENTOS_COMPLEMENTOS!$C$4:$C$803,A2994,MOVIMIENTOS_COMPLEMENTOS!$D$4:$D$803,B2994,MOVIMIENTOS_COMPLEMENTOS!$E$4:$E$803,C2994,MOVIMIENTOS_COMPLEMENTOS!$G$4:$G$803,E2994,MOVIMIENTOS_COMPLEMENTOS!$H$4:$H$803,G2994,MOVIMIENTOS_COMPLEMENTOS!$B$4:$B$803,"SALIDA"),0)</f>
        <v>0</v>
      </c>
      <c r="I2994" s="102">
        <f t="array" ref="I2994">IFERROR(INDEX(PRECIOS_COMPLEMENTOS!$C$4:$F$17,MATCH(B2994&amp;"_"&amp;C2994,PRECIOS_COMPLEMENTOS!$H$4:$H$17,0),IF(OR(G2994="S",G2994="20cm"),1,IF(OR(G2994="M",G2994="25cm"),2,IF(OR(G2994="L",G2994="30cm"),3,IF(OR(G2994="XL",G2994="35cm"),4,0))))),0)</f>
        <v>0.45</v>
      </c>
      <c r="J2994" s="103">
        <f t="shared" si="1"/>
        <v>0</v>
      </c>
      <c r="K2994" s="104" t="str">
        <f>IF(H2994&lt;0,"ERROR",IF(H2994=0,"",IF(H2994&lt;CONFIG!$B$4,"CRÍTICO",IF(H2994&lt;CONFIG!$B$5,"BAJO","OK"))))</f>
        <v/>
      </c>
    </row>
    <row r="2995" ht="15.75" customHeight="1">
      <c r="A2995" s="90" t="str">
        <f>IF(CLIENTES!A5="","",CLIENTES!A5)</f>
        <v>Bravos</v>
      </c>
      <c r="B2995" s="90" t="s">
        <v>333</v>
      </c>
      <c r="C2995" s="91" t="s">
        <v>334</v>
      </c>
      <c r="D2995" s="109" t="s">
        <v>353</v>
      </c>
      <c r="E2995" s="67" t="str">
        <f>COLORES!A21</f>
        <v/>
      </c>
      <c r="F2995" s="67" t="str">
        <f>COLORES!B21</f>
        <v/>
      </c>
      <c r="G2995" s="90" t="s">
        <v>380</v>
      </c>
      <c r="H2995" s="100">
        <f>IFERROR(SUMIFS(MOVIMIENTOS_COMPLEMENTOS!$I$4:$I$803,MOVIMIENTOS_COMPLEMENTOS!$C$4:$C$803,A2995,MOVIMIENTOS_COMPLEMENTOS!$D$4:$D$803,B2995,MOVIMIENTOS_COMPLEMENTOS!$E$4:$E$803,C2995,MOVIMIENTOS_COMPLEMENTOS!$G$4:$G$803,E2995,MOVIMIENTOS_COMPLEMENTOS!$H$4:$H$803,G2995,MOVIMIENTOS_COMPLEMENTOS!$B$4:$B$803,"INGRESO")+SUMIFS(MOVIMIENTOS_COMPLEMENTOS!$I$4:$I$803,MOVIMIENTOS_COMPLEMENTOS!$C$4:$C$803,A2995,MOVIMIENTOS_COMPLEMENTOS!$D$4:$D$803,B2995,MOVIMIENTOS_COMPLEMENTOS!$E$4:$E$803,C2995,MOVIMIENTOS_COMPLEMENTOS!$G$4:$G$803,E2995,MOVIMIENTOS_COMPLEMENTOS!$H$4:$H$803,G2995,MOVIMIENTOS_COMPLEMENTOS!$B$4:$B$803,"DE CORTE")-SUMIFS(MOVIMIENTOS_COMPLEMENTOS!$I$4:$I$803,MOVIMIENTOS_COMPLEMENTOS!$C$4:$C$803,A2995,MOVIMIENTOS_COMPLEMENTOS!$D$4:$D$803,B2995,MOVIMIENTOS_COMPLEMENTOS!$E$4:$E$803,C2995,MOVIMIENTOS_COMPLEMENTOS!$G$4:$G$803,E2995,MOVIMIENTOS_COMPLEMENTOS!$H$4:$H$803,G2995,MOVIMIENTOS_COMPLEMENTOS!$B$4:$B$803,"SALIDA"),0)</f>
        <v>0</v>
      </c>
      <c r="I2995" s="102">
        <f t="array" ref="I2995">IFERROR(INDEX(PRECIOS_COMPLEMENTOS!$C$4:$F$17,MATCH(B2995&amp;"_"&amp;C2995,PRECIOS_COMPLEMENTOS!$H$4:$H$17,0),IF(OR(G2995="S",G2995="20cm"),1,IF(OR(G2995="M",G2995="25cm"),2,IF(OR(G2995="L",G2995="30cm"),3,IF(OR(G2995="XL",G2995="35cm"),4,0))))),0)</f>
        <v>0.45</v>
      </c>
      <c r="J2995" s="103">
        <f t="shared" si="1"/>
        <v>0</v>
      </c>
      <c r="K2995" s="104" t="str">
        <f>IF(H2995&lt;0,"ERROR",IF(H2995=0,"",IF(H2995&lt;CONFIG!$B$4,"CRÍTICO",IF(H2995&lt;CONFIG!$B$5,"BAJO","OK"))))</f>
        <v/>
      </c>
    </row>
    <row r="2996" ht="15.75" customHeight="1">
      <c r="A2996" s="90" t="str">
        <f>IF(CLIENTES!A5="","",CLIENTES!A5)</f>
        <v>Bravos</v>
      </c>
      <c r="B2996" s="90" t="s">
        <v>333</v>
      </c>
      <c r="C2996" s="91" t="s">
        <v>334</v>
      </c>
      <c r="D2996" s="109" t="s">
        <v>353</v>
      </c>
      <c r="E2996" s="67" t="str">
        <f>COLORES!A21</f>
        <v/>
      </c>
      <c r="F2996" s="67" t="str">
        <f>COLORES!B21</f>
        <v/>
      </c>
      <c r="G2996" s="90" t="s">
        <v>381</v>
      </c>
      <c r="H2996" s="100">
        <f>IFERROR(SUMIFS(MOVIMIENTOS_COMPLEMENTOS!$I$4:$I$803,MOVIMIENTOS_COMPLEMENTOS!$C$4:$C$803,A2996,MOVIMIENTOS_COMPLEMENTOS!$D$4:$D$803,B2996,MOVIMIENTOS_COMPLEMENTOS!$E$4:$E$803,C2996,MOVIMIENTOS_COMPLEMENTOS!$G$4:$G$803,E2996,MOVIMIENTOS_COMPLEMENTOS!$H$4:$H$803,G2996,MOVIMIENTOS_COMPLEMENTOS!$B$4:$B$803,"INGRESO")+SUMIFS(MOVIMIENTOS_COMPLEMENTOS!$I$4:$I$803,MOVIMIENTOS_COMPLEMENTOS!$C$4:$C$803,A2996,MOVIMIENTOS_COMPLEMENTOS!$D$4:$D$803,B2996,MOVIMIENTOS_COMPLEMENTOS!$E$4:$E$803,C2996,MOVIMIENTOS_COMPLEMENTOS!$G$4:$G$803,E2996,MOVIMIENTOS_COMPLEMENTOS!$H$4:$H$803,G2996,MOVIMIENTOS_COMPLEMENTOS!$B$4:$B$803,"DE CORTE")-SUMIFS(MOVIMIENTOS_COMPLEMENTOS!$I$4:$I$803,MOVIMIENTOS_COMPLEMENTOS!$C$4:$C$803,A2996,MOVIMIENTOS_COMPLEMENTOS!$D$4:$D$803,B2996,MOVIMIENTOS_COMPLEMENTOS!$E$4:$E$803,C2996,MOVIMIENTOS_COMPLEMENTOS!$G$4:$G$803,E2996,MOVIMIENTOS_COMPLEMENTOS!$H$4:$H$803,G2996,MOVIMIENTOS_COMPLEMENTOS!$B$4:$B$803,"SALIDA"),0)</f>
        <v>0</v>
      </c>
      <c r="I2996" s="102">
        <f t="array" ref="I2996">IFERROR(INDEX(PRECIOS_COMPLEMENTOS!$C$4:$F$17,MATCH(B2996&amp;"_"&amp;C2996,PRECIOS_COMPLEMENTOS!$H$4:$H$17,0),IF(OR(G2996="S",G2996="20cm"),1,IF(OR(G2996="M",G2996="25cm"),2,IF(OR(G2996="L",G2996="30cm"),3,IF(OR(G2996="XL",G2996="35cm"),4,0))))),0)</f>
        <v>0.45</v>
      </c>
      <c r="J2996" s="103">
        <f t="shared" si="1"/>
        <v>0</v>
      </c>
      <c r="K2996" s="104" t="str">
        <f>IF(H2996&lt;0,"ERROR",IF(H2996=0,"",IF(H2996&lt;CONFIG!$B$4,"CRÍTICO",IF(H2996&lt;CONFIG!$B$5,"BAJO","OK"))))</f>
        <v/>
      </c>
    </row>
    <row r="2997" ht="15.75" customHeight="1">
      <c r="A2997" s="90" t="str">
        <f>IF(CLIENTES!A5="","",CLIENTES!A5)</f>
        <v>Bravos</v>
      </c>
      <c r="B2997" s="90" t="s">
        <v>333</v>
      </c>
      <c r="C2997" s="91" t="s">
        <v>334</v>
      </c>
      <c r="D2997" s="109" t="s">
        <v>353</v>
      </c>
      <c r="E2997" s="67" t="str">
        <f>COLORES!A21</f>
        <v/>
      </c>
      <c r="F2997" s="67" t="str">
        <f>COLORES!B21</f>
        <v/>
      </c>
      <c r="G2997" s="90" t="s">
        <v>382</v>
      </c>
      <c r="H2997" s="100">
        <f>IFERROR(SUMIFS(MOVIMIENTOS_COMPLEMENTOS!$I$4:$I$803,MOVIMIENTOS_COMPLEMENTOS!$C$4:$C$803,A2997,MOVIMIENTOS_COMPLEMENTOS!$D$4:$D$803,B2997,MOVIMIENTOS_COMPLEMENTOS!$E$4:$E$803,C2997,MOVIMIENTOS_COMPLEMENTOS!$G$4:$G$803,E2997,MOVIMIENTOS_COMPLEMENTOS!$H$4:$H$803,G2997,MOVIMIENTOS_COMPLEMENTOS!$B$4:$B$803,"INGRESO")+SUMIFS(MOVIMIENTOS_COMPLEMENTOS!$I$4:$I$803,MOVIMIENTOS_COMPLEMENTOS!$C$4:$C$803,A2997,MOVIMIENTOS_COMPLEMENTOS!$D$4:$D$803,B2997,MOVIMIENTOS_COMPLEMENTOS!$E$4:$E$803,C2997,MOVIMIENTOS_COMPLEMENTOS!$G$4:$G$803,E2997,MOVIMIENTOS_COMPLEMENTOS!$H$4:$H$803,G2997,MOVIMIENTOS_COMPLEMENTOS!$B$4:$B$803,"DE CORTE")-SUMIFS(MOVIMIENTOS_COMPLEMENTOS!$I$4:$I$803,MOVIMIENTOS_COMPLEMENTOS!$C$4:$C$803,A2997,MOVIMIENTOS_COMPLEMENTOS!$D$4:$D$803,B2997,MOVIMIENTOS_COMPLEMENTOS!$E$4:$E$803,C2997,MOVIMIENTOS_COMPLEMENTOS!$G$4:$G$803,E2997,MOVIMIENTOS_COMPLEMENTOS!$H$4:$H$803,G2997,MOVIMIENTOS_COMPLEMENTOS!$B$4:$B$803,"SALIDA"),0)</f>
        <v>0</v>
      </c>
      <c r="I2997" s="102">
        <f t="array" ref="I2997">IFERROR(INDEX(PRECIOS_COMPLEMENTOS!$C$4:$F$17,MATCH(B2997&amp;"_"&amp;C2997,PRECIOS_COMPLEMENTOS!$H$4:$H$17,0),IF(OR(G2997="S",G2997="20cm"),1,IF(OR(G2997="M",G2997="25cm"),2,IF(OR(G2997="L",G2997="30cm"),3,IF(OR(G2997="XL",G2997="35cm"),4,0))))),0)</f>
        <v>0.45</v>
      </c>
      <c r="J2997" s="103">
        <f t="shared" si="1"/>
        <v>0</v>
      </c>
      <c r="K2997" s="104" t="str">
        <f>IF(H2997&lt;0,"ERROR",IF(H2997=0,"",IF(H2997&lt;CONFIG!$B$4,"CRÍTICO",IF(H2997&lt;CONFIG!$B$5,"BAJO","OK"))))</f>
        <v/>
      </c>
    </row>
    <row r="2998" ht="15.75" customHeight="1">
      <c r="A2998" s="90" t="str">
        <f>IF(CLIENTES!A5="","",CLIENTES!A5)</f>
        <v>Bravos</v>
      </c>
      <c r="B2998" s="90" t="s">
        <v>333</v>
      </c>
      <c r="C2998" s="91" t="s">
        <v>334</v>
      </c>
      <c r="D2998" s="109" t="s">
        <v>353</v>
      </c>
      <c r="E2998" s="67" t="str">
        <f>COLORES!A22</f>
        <v/>
      </c>
      <c r="F2998" s="67" t="str">
        <f>COLORES!B22</f>
        <v/>
      </c>
      <c r="G2998" s="90" t="s">
        <v>380</v>
      </c>
      <c r="H2998" s="100">
        <f>IFERROR(SUMIFS(MOVIMIENTOS_COMPLEMENTOS!$I$4:$I$803,MOVIMIENTOS_COMPLEMENTOS!$C$4:$C$803,A2998,MOVIMIENTOS_COMPLEMENTOS!$D$4:$D$803,B2998,MOVIMIENTOS_COMPLEMENTOS!$E$4:$E$803,C2998,MOVIMIENTOS_COMPLEMENTOS!$G$4:$G$803,E2998,MOVIMIENTOS_COMPLEMENTOS!$H$4:$H$803,G2998,MOVIMIENTOS_COMPLEMENTOS!$B$4:$B$803,"INGRESO")+SUMIFS(MOVIMIENTOS_COMPLEMENTOS!$I$4:$I$803,MOVIMIENTOS_COMPLEMENTOS!$C$4:$C$803,A2998,MOVIMIENTOS_COMPLEMENTOS!$D$4:$D$803,B2998,MOVIMIENTOS_COMPLEMENTOS!$E$4:$E$803,C2998,MOVIMIENTOS_COMPLEMENTOS!$G$4:$G$803,E2998,MOVIMIENTOS_COMPLEMENTOS!$H$4:$H$803,G2998,MOVIMIENTOS_COMPLEMENTOS!$B$4:$B$803,"DE CORTE")-SUMIFS(MOVIMIENTOS_COMPLEMENTOS!$I$4:$I$803,MOVIMIENTOS_COMPLEMENTOS!$C$4:$C$803,A2998,MOVIMIENTOS_COMPLEMENTOS!$D$4:$D$803,B2998,MOVIMIENTOS_COMPLEMENTOS!$E$4:$E$803,C2998,MOVIMIENTOS_COMPLEMENTOS!$G$4:$G$803,E2998,MOVIMIENTOS_COMPLEMENTOS!$H$4:$H$803,G2998,MOVIMIENTOS_COMPLEMENTOS!$B$4:$B$803,"SALIDA"),0)</f>
        <v>0</v>
      </c>
      <c r="I2998" s="102">
        <f t="array" ref="I2998">IFERROR(INDEX(PRECIOS_COMPLEMENTOS!$C$4:$F$17,MATCH(B2998&amp;"_"&amp;C2998,PRECIOS_COMPLEMENTOS!$H$4:$H$17,0),IF(OR(G2998="S",G2998="20cm"),1,IF(OR(G2998="M",G2998="25cm"),2,IF(OR(G2998="L",G2998="30cm"),3,IF(OR(G2998="XL",G2998="35cm"),4,0))))),0)</f>
        <v>0.45</v>
      </c>
      <c r="J2998" s="103">
        <f t="shared" si="1"/>
        <v>0</v>
      </c>
      <c r="K2998" s="104" t="str">
        <f>IF(H2998&lt;0,"ERROR",IF(H2998=0,"",IF(H2998&lt;CONFIG!$B$4,"CRÍTICO",IF(H2998&lt;CONFIG!$B$5,"BAJO","OK"))))</f>
        <v/>
      </c>
    </row>
    <row r="2999" ht="15.75" customHeight="1">
      <c r="A2999" s="90" t="str">
        <f>IF(CLIENTES!A5="","",CLIENTES!A5)</f>
        <v>Bravos</v>
      </c>
      <c r="B2999" s="90" t="s">
        <v>333</v>
      </c>
      <c r="C2999" s="91" t="s">
        <v>334</v>
      </c>
      <c r="D2999" s="109" t="s">
        <v>353</v>
      </c>
      <c r="E2999" s="67" t="str">
        <f>COLORES!A22</f>
        <v/>
      </c>
      <c r="F2999" s="67" t="str">
        <f>COLORES!B22</f>
        <v/>
      </c>
      <c r="G2999" s="90" t="s">
        <v>381</v>
      </c>
      <c r="H2999" s="100">
        <f>IFERROR(SUMIFS(MOVIMIENTOS_COMPLEMENTOS!$I$4:$I$803,MOVIMIENTOS_COMPLEMENTOS!$C$4:$C$803,A2999,MOVIMIENTOS_COMPLEMENTOS!$D$4:$D$803,B2999,MOVIMIENTOS_COMPLEMENTOS!$E$4:$E$803,C2999,MOVIMIENTOS_COMPLEMENTOS!$G$4:$G$803,E2999,MOVIMIENTOS_COMPLEMENTOS!$H$4:$H$803,G2999,MOVIMIENTOS_COMPLEMENTOS!$B$4:$B$803,"INGRESO")+SUMIFS(MOVIMIENTOS_COMPLEMENTOS!$I$4:$I$803,MOVIMIENTOS_COMPLEMENTOS!$C$4:$C$803,A2999,MOVIMIENTOS_COMPLEMENTOS!$D$4:$D$803,B2999,MOVIMIENTOS_COMPLEMENTOS!$E$4:$E$803,C2999,MOVIMIENTOS_COMPLEMENTOS!$G$4:$G$803,E2999,MOVIMIENTOS_COMPLEMENTOS!$H$4:$H$803,G2999,MOVIMIENTOS_COMPLEMENTOS!$B$4:$B$803,"DE CORTE")-SUMIFS(MOVIMIENTOS_COMPLEMENTOS!$I$4:$I$803,MOVIMIENTOS_COMPLEMENTOS!$C$4:$C$803,A2999,MOVIMIENTOS_COMPLEMENTOS!$D$4:$D$803,B2999,MOVIMIENTOS_COMPLEMENTOS!$E$4:$E$803,C2999,MOVIMIENTOS_COMPLEMENTOS!$G$4:$G$803,E2999,MOVIMIENTOS_COMPLEMENTOS!$H$4:$H$803,G2999,MOVIMIENTOS_COMPLEMENTOS!$B$4:$B$803,"SALIDA"),0)</f>
        <v>0</v>
      </c>
      <c r="I2999" s="102">
        <f t="array" ref="I2999">IFERROR(INDEX(PRECIOS_COMPLEMENTOS!$C$4:$F$17,MATCH(B2999&amp;"_"&amp;C2999,PRECIOS_COMPLEMENTOS!$H$4:$H$17,0),IF(OR(G2999="S",G2999="20cm"),1,IF(OR(G2999="M",G2999="25cm"),2,IF(OR(G2999="L",G2999="30cm"),3,IF(OR(G2999="XL",G2999="35cm"),4,0))))),0)</f>
        <v>0.45</v>
      </c>
      <c r="J2999" s="103">
        <f t="shared" si="1"/>
        <v>0</v>
      </c>
      <c r="K2999" s="104" t="str">
        <f>IF(H2999&lt;0,"ERROR",IF(H2999=0,"",IF(H2999&lt;CONFIG!$B$4,"CRÍTICO",IF(H2999&lt;CONFIG!$B$5,"BAJO","OK"))))</f>
        <v/>
      </c>
    </row>
    <row r="3000" ht="15.75" customHeight="1">
      <c r="A3000" s="90" t="str">
        <f>IF(CLIENTES!A5="","",CLIENTES!A5)</f>
        <v>Bravos</v>
      </c>
      <c r="B3000" s="90" t="s">
        <v>333</v>
      </c>
      <c r="C3000" s="91" t="s">
        <v>334</v>
      </c>
      <c r="D3000" s="109" t="s">
        <v>353</v>
      </c>
      <c r="E3000" s="67" t="str">
        <f>COLORES!A22</f>
        <v/>
      </c>
      <c r="F3000" s="67" t="str">
        <f>COLORES!B22</f>
        <v/>
      </c>
      <c r="G3000" s="90" t="s">
        <v>382</v>
      </c>
      <c r="H3000" s="100">
        <f>IFERROR(SUMIFS(MOVIMIENTOS_COMPLEMENTOS!$I$4:$I$803,MOVIMIENTOS_COMPLEMENTOS!$C$4:$C$803,A3000,MOVIMIENTOS_COMPLEMENTOS!$D$4:$D$803,B3000,MOVIMIENTOS_COMPLEMENTOS!$E$4:$E$803,C3000,MOVIMIENTOS_COMPLEMENTOS!$G$4:$G$803,E3000,MOVIMIENTOS_COMPLEMENTOS!$H$4:$H$803,G3000,MOVIMIENTOS_COMPLEMENTOS!$B$4:$B$803,"INGRESO")+SUMIFS(MOVIMIENTOS_COMPLEMENTOS!$I$4:$I$803,MOVIMIENTOS_COMPLEMENTOS!$C$4:$C$803,A3000,MOVIMIENTOS_COMPLEMENTOS!$D$4:$D$803,B3000,MOVIMIENTOS_COMPLEMENTOS!$E$4:$E$803,C3000,MOVIMIENTOS_COMPLEMENTOS!$G$4:$G$803,E3000,MOVIMIENTOS_COMPLEMENTOS!$H$4:$H$803,G3000,MOVIMIENTOS_COMPLEMENTOS!$B$4:$B$803,"DE CORTE")-SUMIFS(MOVIMIENTOS_COMPLEMENTOS!$I$4:$I$803,MOVIMIENTOS_COMPLEMENTOS!$C$4:$C$803,A3000,MOVIMIENTOS_COMPLEMENTOS!$D$4:$D$803,B3000,MOVIMIENTOS_COMPLEMENTOS!$E$4:$E$803,C3000,MOVIMIENTOS_COMPLEMENTOS!$G$4:$G$803,E3000,MOVIMIENTOS_COMPLEMENTOS!$H$4:$H$803,G3000,MOVIMIENTOS_COMPLEMENTOS!$B$4:$B$803,"SALIDA"),0)</f>
        <v>0</v>
      </c>
      <c r="I3000" s="102">
        <f t="array" ref="I3000">IFERROR(INDEX(PRECIOS_COMPLEMENTOS!$C$4:$F$17,MATCH(B3000&amp;"_"&amp;C3000,PRECIOS_COMPLEMENTOS!$H$4:$H$17,0),IF(OR(G3000="S",G3000="20cm"),1,IF(OR(G3000="M",G3000="25cm"),2,IF(OR(G3000="L",G3000="30cm"),3,IF(OR(G3000="XL",G3000="35cm"),4,0))))),0)</f>
        <v>0.45</v>
      </c>
      <c r="J3000" s="103">
        <f t="shared" si="1"/>
        <v>0</v>
      </c>
      <c r="K3000" s="104" t="str">
        <f>IF(H3000&lt;0,"ERROR",IF(H3000=0,"",IF(H3000&lt;CONFIG!$B$4,"CRÍTICO",IF(H3000&lt;CONFIG!$B$5,"BAJO","OK"))))</f>
        <v/>
      </c>
    </row>
    <row r="3001" ht="15.75" customHeight="1">
      <c r="A3001" s="90" t="str">
        <f>IF(CLIENTES!A5="","",CLIENTES!A5)</f>
        <v>Bravos</v>
      </c>
      <c r="B3001" s="90" t="s">
        <v>333</v>
      </c>
      <c r="C3001" s="91" t="s">
        <v>334</v>
      </c>
      <c r="D3001" s="109" t="s">
        <v>353</v>
      </c>
      <c r="E3001" s="67" t="str">
        <f>COLORES!A23</f>
        <v/>
      </c>
      <c r="F3001" s="67" t="str">
        <f>COLORES!B23</f>
        <v/>
      </c>
      <c r="G3001" s="90" t="s">
        <v>380</v>
      </c>
      <c r="H3001" s="100">
        <f>IFERROR(SUMIFS(MOVIMIENTOS_COMPLEMENTOS!$I$4:$I$803,MOVIMIENTOS_COMPLEMENTOS!$C$4:$C$803,A3001,MOVIMIENTOS_COMPLEMENTOS!$D$4:$D$803,B3001,MOVIMIENTOS_COMPLEMENTOS!$E$4:$E$803,C3001,MOVIMIENTOS_COMPLEMENTOS!$G$4:$G$803,E3001,MOVIMIENTOS_COMPLEMENTOS!$H$4:$H$803,G3001,MOVIMIENTOS_COMPLEMENTOS!$B$4:$B$803,"INGRESO")+SUMIFS(MOVIMIENTOS_COMPLEMENTOS!$I$4:$I$803,MOVIMIENTOS_COMPLEMENTOS!$C$4:$C$803,A3001,MOVIMIENTOS_COMPLEMENTOS!$D$4:$D$803,B3001,MOVIMIENTOS_COMPLEMENTOS!$E$4:$E$803,C3001,MOVIMIENTOS_COMPLEMENTOS!$G$4:$G$803,E3001,MOVIMIENTOS_COMPLEMENTOS!$H$4:$H$803,G3001,MOVIMIENTOS_COMPLEMENTOS!$B$4:$B$803,"DE CORTE")-SUMIFS(MOVIMIENTOS_COMPLEMENTOS!$I$4:$I$803,MOVIMIENTOS_COMPLEMENTOS!$C$4:$C$803,A3001,MOVIMIENTOS_COMPLEMENTOS!$D$4:$D$803,B3001,MOVIMIENTOS_COMPLEMENTOS!$E$4:$E$803,C3001,MOVIMIENTOS_COMPLEMENTOS!$G$4:$G$803,E3001,MOVIMIENTOS_COMPLEMENTOS!$H$4:$H$803,G3001,MOVIMIENTOS_COMPLEMENTOS!$B$4:$B$803,"SALIDA"),0)</f>
        <v>0</v>
      </c>
      <c r="I3001" s="102">
        <f t="array" ref="I3001">IFERROR(INDEX(PRECIOS_COMPLEMENTOS!$C$4:$F$17,MATCH(B3001&amp;"_"&amp;C3001,PRECIOS_COMPLEMENTOS!$H$4:$H$17,0),IF(OR(G3001="S",G3001="20cm"),1,IF(OR(G3001="M",G3001="25cm"),2,IF(OR(G3001="L",G3001="30cm"),3,IF(OR(G3001="XL",G3001="35cm"),4,0))))),0)</f>
        <v>0.45</v>
      </c>
      <c r="J3001" s="103">
        <f t="shared" si="1"/>
        <v>0</v>
      </c>
      <c r="K3001" s="104" t="str">
        <f>IF(H3001&lt;0,"ERROR",IF(H3001=0,"",IF(H3001&lt;CONFIG!$B$4,"CRÍTICO",IF(H3001&lt;CONFIG!$B$5,"BAJO","OK"))))</f>
        <v/>
      </c>
    </row>
    <row r="3002" ht="15.75" customHeight="1">
      <c r="A3002" s="90" t="str">
        <f>IF(CLIENTES!A5="","",CLIENTES!A5)</f>
        <v>Bravos</v>
      </c>
      <c r="B3002" s="90" t="s">
        <v>333</v>
      </c>
      <c r="C3002" s="91" t="s">
        <v>334</v>
      </c>
      <c r="D3002" s="109" t="s">
        <v>353</v>
      </c>
      <c r="E3002" s="67" t="str">
        <f>COLORES!A23</f>
        <v/>
      </c>
      <c r="F3002" s="67" t="str">
        <f>COLORES!B23</f>
        <v/>
      </c>
      <c r="G3002" s="90" t="s">
        <v>381</v>
      </c>
      <c r="H3002" s="100">
        <f>IFERROR(SUMIFS(MOVIMIENTOS_COMPLEMENTOS!$I$4:$I$803,MOVIMIENTOS_COMPLEMENTOS!$C$4:$C$803,A3002,MOVIMIENTOS_COMPLEMENTOS!$D$4:$D$803,B3002,MOVIMIENTOS_COMPLEMENTOS!$E$4:$E$803,C3002,MOVIMIENTOS_COMPLEMENTOS!$G$4:$G$803,E3002,MOVIMIENTOS_COMPLEMENTOS!$H$4:$H$803,G3002,MOVIMIENTOS_COMPLEMENTOS!$B$4:$B$803,"INGRESO")+SUMIFS(MOVIMIENTOS_COMPLEMENTOS!$I$4:$I$803,MOVIMIENTOS_COMPLEMENTOS!$C$4:$C$803,A3002,MOVIMIENTOS_COMPLEMENTOS!$D$4:$D$803,B3002,MOVIMIENTOS_COMPLEMENTOS!$E$4:$E$803,C3002,MOVIMIENTOS_COMPLEMENTOS!$G$4:$G$803,E3002,MOVIMIENTOS_COMPLEMENTOS!$H$4:$H$803,G3002,MOVIMIENTOS_COMPLEMENTOS!$B$4:$B$803,"DE CORTE")-SUMIFS(MOVIMIENTOS_COMPLEMENTOS!$I$4:$I$803,MOVIMIENTOS_COMPLEMENTOS!$C$4:$C$803,A3002,MOVIMIENTOS_COMPLEMENTOS!$D$4:$D$803,B3002,MOVIMIENTOS_COMPLEMENTOS!$E$4:$E$803,C3002,MOVIMIENTOS_COMPLEMENTOS!$G$4:$G$803,E3002,MOVIMIENTOS_COMPLEMENTOS!$H$4:$H$803,G3002,MOVIMIENTOS_COMPLEMENTOS!$B$4:$B$803,"SALIDA"),0)</f>
        <v>0</v>
      </c>
      <c r="I3002" s="102">
        <f t="array" ref="I3002">IFERROR(INDEX(PRECIOS_COMPLEMENTOS!$C$4:$F$17,MATCH(B3002&amp;"_"&amp;C3002,PRECIOS_COMPLEMENTOS!$H$4:$H$17,0),IF(OR(G3002="S",G3002="20cm"),1,IF(OR(G3002="M",G3002="25cm"),2,IF(OR(G3002="L",G3002="30cm"),3,IF(OR(G3002="XL",G3002="35cm"),4,0))))),0)</f>
        <v>0.45</v>
      </c>
      <c r="J3002" s="103">
        <f t="shared" si="1"/>
        <v>0</v>
      </c>
      <c r="K3002" s="104" t="str">
        <f>IF(H3002&lt;0,"ERROR",IF(H3002=0,"",IF(H3002&lt;CONFIG!$B$4,"CRÍTICO",IF(H3002&lt;CONFIG!$B$5,"BAJO","OK"))))</f>
        <v/>
      </c>
    </row>
    <row r="3003" ht="15.75" customHeight="1">
      <c r="A3003" s="90" t="str">
        <f>IF(CLIENTES!A5="","",CLIENTES!A5)</f>
        <v>Bravos</v>
      </c>
      <c r="B3003" s="90" t="s">
        <v>333</v>
      </c>
      <c r="C3003" s="91" t="s">
        <v>334</v>
      </c>
      <c r="D3003" s="109" t="s">
        <v>353</v>
      </c>
      <c r="E3003" s="67" t="str">
        <f>COLORES!A23</f>
        <v/>
      </c>
      <c r="F3003" s="67" t="str">
        <f>COLORES!B23</f>
        <v/>
      </c>
      <c r="G3003" s="90" t="s">
        <v>382</v>
      </c>
      <c r="H3003" s="100">
        <f>IFERROR(SUMIFS(MOVIMIENTOS_COMPLEMENTOS!$I$4:$I$803,MOVIMIENTOS_COMPLEMENTOS!$C$4:$C$803,A3003,MOVIMIENTOS_COMPLEMENTOS!$D$4:$D$803,B3003,MOVIMIENTOS_COMPLEMENTOS!$E$4:$E$803,C3003,MOVIMIENTOS_COMPLEMENTOS!$G$4:$G$803,E3003,MOVIMIENTOS_COMPLEMENTOS!$H$4:$H$803,G3003,MOVIMIENTOS_COMPLEMENTOS!$B$4:$B$803,"INGRESO")+SUMIFS(MOVIMIENTOS_COMPLEMENTOS!$I$4:$I$803,MOVIMIENTOS_COMPLEMENTOS!$C$4:$C$803,A3003,MOVIMIENTOS_COMPLEMENTOS!$D$4:$D$803,B3003,MOVIMIENTOS_COMPLEMENTOS!$E$4:$E$803,C3003,MOVIMIENTOS_COMPLEMENTOS!$G$4:$G$803,E3003,MOVIMIENTOS_COMPLEMENTOS!$H$4:$H$803,G3003,MOVIMIENTOS_COMPLEMENTOS!$B$4:$B$803,"DE CORTE")-SUMIFS(MOVIMIENTOS_COMPLEMENTOS!$I$4:$I$803,MOVIMIENTOS_COMPLEMENTOS!$C$4:$C$803,A3003,MOVIMIENTOS_COMPLEMENTOS!$D$4:$D$803,B3003,MOVIMIENTOS_COMPLEMENTOS!$E$4:$E$803,C3003,MOVIMIENTOS_COMPLEMENTOS!$G$4:$G$803,E3003,MOVIMIENTOS_COMPLEMENTOS!$H$4:$H$803,G3003,MOVIMIENTOS_COMPLEMENTOS!$B$4:$B$803,"SALIDA"),0)</f>
        <v>0</v>
      </c>
      <c r="I3003" s="102">
        <f t="array" ref="I3003">IFERROR(INDEX(PRECIOS_COMPLEMENTOS!$C$4:$F$17,MATCH(B3003&amp;"_"&amp;C3003,PRECIOS_COMPLEMENTOS!$H$4:$H$17,0),IF(OR(G3003="S",G3003="20cm"),1,IF(OR(G3003="M",G3003="25cm"),2,IF(OR(G3003="L",G3003="30cm"),3,IF(OR(G3003="XL",G3003="35cm"),4,0))))),0)</f>
        <v>0.45</v>
      </c>
      <c r="J3003" s="103">
        <f t="shared" si="1"/>
        <v>0</v>
      </c>
      <c r="K3003" s="104" t="str">
        <f>IF(H3003&lt;0,"ERROR",IF(H3003=0,"",IF(H3003&lt;CONFIG!$B$4,"CRÍTICO",IF(H3003&lt;CONFIG!$B$5,"BAJO","OK"))))</f>
        <v/>
      </c>
    </row>
    <row r="3004" ht="15.75" customHeight="1">
      <c r="A3004" s="90" t="str">
        <f>IF(CLIENTES!A6="","",CLIENTES!A6)</f>
        <v/>
      </c>
      <c r="B3004" s="90" t="s">
        <v>333</v>
      </c>
      <c r="C3004" s="91" t="s">
        <v>334</v>
      </c>
      <c r="D3004" s="109" t="s">
        <v>353</v>
      </c>
      <c r="E3004" s="67" t="str">
        <f>COLORES!A4</f>
        <v>Negro</v>
      </c>
      <c r="F3004" s="67" t="str">
        <f>COLORES!B4</f>
        <v>OSCURO</v>
      </c>
      <c r="G3004" s="90" t="s">
        <v>380</v>
      </c>
      <c r="H3004" s="100">
        <f>IFERROR(SUMIFS(MOVIMIENTOS_COMPLEMENTOS!$I$4:$I$803,MOVIMIENTOS_COMPLEMENTOS!$C$4:$C$803,A3004,MOVIMIENTOS_COMPLEMENTOS!$D$4:$D$803,B3004,MOVIMIENTOS_COMPLEMENTOS!$E$4:$E$803,C3004,MOVIMIENTOS_COMPLEMENTOS!$G$4:$G$803,E3004,MOVIMIENTOS_COMPLEMENTOS!$H$4:$H$803,G3004,MOVIMIENTOS_COMPLEMENTOS!$B$4:$B$803,"INGRESO")+SUMIFS(MOVIMIENTOS_COMPLEMENTOS!$I$4:$I$803,MOVIMIENTOS_COMPLEMENTOS!$C$4:$C$803,A3004,MOVIMIENTOS_COMPLEMENTOS!$D$4:$D$803,B3004,MOVIMIENTOS_COMPLEMENTOS!$E$4:$E$803,C3004,MOVIMIENTOS_COMPLEMENTOS!$G$4:$G$803,E3004,MOVIMIENTOS_COMPLEMENTOS!$H$4:$H$803,G3004,MOVIMIENTOS_COMPLEMENTOS!$B$4:$B$803,"DE CORTE")-SUMIFS(MOVIMIENTOS_COMPLEMENTOS!$I$4:$I$803,MOVIMIENTOS_COMPLEMENTOS!$C$4:$C$803,A3004,MOVIMIENTOS_COMPLEMENTOS!$D$4:$D$803,B3004,MOVIMIENTOS_COMPLEMENTOS!$E$4:$E$803,C3004,MOVIMIENTOS_COMPLEMENTOS!$G$4:$G$803,E3004,MOVIMIENTOS_COMPLEMENTOS!$H$4:$H$803,G3004,MOVIMIENTOS_COMPLEMENTOS!$B$4:$B$803,"SALIDA"),0)</f>
        <v>0</v>
      </c>
      <c r="I3004" s="102">
        <f t="array" ref="I3004">IFERROR(INDEX(PRECIOS_COMPLEMENTOS!$C$4:$F$17,MATCH(B3004&amp;"_"&amp;C3004,PRECIOS_COMPLEMENTOS!$H$4:$H$17,0),IF(OR(G3004="S",G3004="20cm"),1,IF(OR(G3004="M",G3004="25cm"),2,IF(OR(G3004="L",G3004="30cm"),3,IF(OR(G3004="XL",G3004="35cm"),4,0))))),0)</f>
        <v>0.45</v>
      </c>
      <c r="J3004" s="103">
        <f t="shared" si="1"/>
        <v>0</v>
      </c>
      <c r="K3004" s="104" t="str">
        <f>IF(H3004&lt;0,"ERROR",IF(H3004=0,"",IF(H3004&lt;CONFIG!$B$4,"CRÍTICO",IF(H3004&lt;CONFIG!$B$5,"BAJO","OK"))))</f>
        <v/>
      </c>
    </row>
    <row r="3005" ht="15.75" customHeight="1">
      <c r="A3005" s="90" t="str">
        <f>IF(CLIENTES!A6="","",CLIENTES!A6)</f>
        <v/>
      </c>
      <c r="B3005" s="90" t="s">
        <v>333</v>
      </c>
      <c r="C3005" s="91" t="s">
        <v>334</v>
      </c>
      <c r="D3005" s="109" t="s">
        <v>353</v>
      </c>
      <c r="E3005" s="67" t="str">
        <f>COLORES!A4</f>
        <v>Negro</v>
      </c>
      <c r="F3005" s="67" t="str">
        <f>COLORES!B4</f>
        <v>OSCURO</v>
      </c>
      <c r="G3005" s="90" t="s">
        <v>381</v>
      </c>
      <c r="H3005" s="100">
        <f>IFERROR(SUMIFS(MOVIMIENTOS_COMPLEMENTOS!$I$4:$I$803,MOVIMIENTOS_COMPLEMENTOS!$C$4:$C$803,A3005,MOVIMIENTOS_COMPLEMENTOS!$D$4:$D$803,B3005,MOVIMIENTOS_COMPLEMENTOS!$E$4:$E$803,C3005,MOVIMIENTOS_COMPLEMENTOS!$G$4:$G$803,E3005,MOVIMIENTOS_COMPLEMENTOS!$H$4:$H$803,G3005,MOVIMIENTOS_COMPLEMENTOS!$B$4:$B$803,"INGRESO")+SUMIFS(MOVIMIENTOS_COMPLEMENTOS!$I$4:$I$803,MOVIMIENTOS_COMPLEMENTOS!$C$4:$C$803,A3005,MOVIMIENTOS_COMPLEMENTOS!$D$4:$D$803,B3005,MOVIMIENTOS_COMPLEMENTOS!$E$4:$E$803,C3005,MOVIMIENTOS_COMPLEMENTOS!$G$4:$G$803,E3005,MOVIMIENTOS_COMPLEMENTOS!$H$4:$H$803,G3005,MOVIMIENTOS_COMPLEMENTOS!$B$4:$B$803,"DE CORTE")-SUMIFS(MOVIMIENTOS_COMPLEMENTOS!$I$4:$I$803,MOVIMIENTOS_COMPLEMENTOS!$C$4:$C$803,A3005,MOVIMIENTOS_COMPLEMENTOS!$D$4:$D$803,B3005,MOVIMIENTOS_COMPLEMENTOS!$E$4:$E$803,C3005,MOVIMIENTOS_COMPLEMENTOS!$G$4:$G$803,E3005,MOVIMIENTOS_COMPLEMENTOS!$H$4:$H$803,G3005,MOVIMIENTOS_COMPLEMENTOS!$B$4:$B$803,"SALIDA"),0)</f>
        <v>0</v>
      </c>
      <c r="I3005" s="102">
        <f t="array" ref="I3005">IFERROR(INDEX(PRECIOS_COMPLEMENTOS!$C$4:$F$17,MATCH(B3005&amp;"_"&amp;C3005,PRECIOS_COMPLEMENTOS!$H$4:$H$17,0),IF(OR(G3005="S",G3005="20cm"),1,IF(OR(G3005="M",G3005="25cm"),2,IF(OR(G3005="L",G3005="30cm"),3,IF(OR(G3005="XL",G3005="35cm"),4,0))))),0)</f>
        <v>0.45</v>
      </c>
      <c r="J3005" s="103">
        <f t="shared" si="1"/>
        <v>0</v>
      </c>
      <c r="K3005" s="104" t="str">
        <f>IF(H3005&lt;0,"ERROR",IF(H3005=0,"",IF(H3005&lt;CONFIG!$B$4,"CRÍTICO",IF(H3005&lt;CONFIG!$B$5,"BAJO","OK"))))</f>
        <v/>
      </c>
    </row>
    <row r="3006" ht="15.75" customHeight="1">
      <c r="A3006" s="90" t="str">
        <f>IF(CLIENTES!A6="","",CLIENTES!A6)</f>
        <v/>
      </c>
      <c r="B3006" s="90" t="s">
        <v>333</v>
      </c>
      <c r="C3006" s="91" t="s">
        <v>334</v>
      </c>
      <c r="D3006" s="109" t="s">
        <v>353</v>
      </c>
      <c r="E3006" s="67" t="str">
        <f>COLORES!A4</f>
        <v>Negro</v>
      </c>
      <c r="F3006" s="67" t="str">
        <f>COLORES!B4</f>
        <v>OSCURO</v>
      </c>
      <c r="G3006" s="90" t="s">
        <v>382</v>
      </c>
      <c r="H3006" s="100">
        <f>IFERROR(SUMIFS(MOVIMIENTOS_COMPLEMENTOS!$I$4:$I$803,MOVIMIENTOS_COMPLEMENTOS!$C$4:$C$803,A3006,MOVIMIENTOS_COMPLEMENTOS!$D$4:$D$803,B3006,MOVIMIENTOS_COMPLEMENTOS!$E$4:$E$803,C3006,MOVIMIENTOS_COMPLEMENTOS!$G$4:$G$803,E3006,MOVIMIENTOS_COMPLEMENTOS!$H$4:$H$803,G3006,MOVIMIENTOS_COMPLEMENTOS!$B$4:$B$803,"INGRESO")+SUMIFS(MOVIMIENTOS_COMPLEMENTOS!$I$4:$I$803,MOVIMIENTOS_COMPLEMENTOS!$C$4:$C$803,A3006,MOVIMIENTOS_COMPLEMENTOS!$D$4:$D$803,B3006,MOVIMIENTOS_COMPLEMENTOS!$E$4:$E$803,C3006,MOVIMIENTOS_COMPLEMENTOS!$G$4:$G$803,E3006,MOVIMIENTOS_COMPLEMENTOS!$H$4:$H$803,G3006,MOVIMIENTOS_COMPLEMENTOS!$B$4:$B$803,"DE CORTE")-SUMIFS(MOVIMIENTOS_COMPLEMENTOS!$I$4:$I$803,MOVIMIENTOS_COMPLEMENTOS!$C$4:$C$803,A3006,MOVIMIENTOS_COMPLEMENTOS!$D$4:$D$803,B3006,MOVIMIENTOS_COMPLEMENTOS!$E$4:$E$803,C3006,MOVIMIENTOS_COMPLEMENTOS!$G$4:$G$803,E3006,MOVIMIENTOS_COMPLEMENTOS!$H$4:$H$803,G3006,MOVIMIENTOS_COMPLEMENTOS!$B$4:$B$803,"SALIDA"),0)</f>
        <v>0</v>
      </c>
      <c r="I3006" s="102">
        <f t="array" ref="I3006">IFERROR(INDEX(PRECIOS_COMPLEMENTOS!$C$4:$F$17,MATCH(B3006&amp;"_"&amp;C3006,PRECIOS_COMPLEMENTOS!$H$4:$H$17,0),IF(OR(G3006="S",G3006="20cm"),1,IF(OR(G3006="M",G3006="25cm"),2,IF(OR(G3006="L",G3006="30cm"),3,IF(OR(G3006="XL",G3006="35cm"),4,0))))),0)</f>
        <v>0.45</v>
      </c>
      <c r="J3006" s="103">
        <f t="shared" si="1"/>
        <v>0</v>
      </c>
      <c r="K3006" s="104" t="str">
        <f>IF(H3006&lt;0,"ERROR",IF(H3006=0,"",IF(H3006&lt;CONFIG!$B$4,"CRÍTICO",IF(H3006&lt;CONFIG!$B$5,"BAJO","OK"))))</f>
        <v/>
      </c>
    </row>
    <row r="3007" ht="15.75" customHeight="1">
      <c r="A3007" s="90" t="str">
        <f>IF(CLIENTES!A6="","",CLIENTES!A6)</f>
        <v/>
      </c>
      <c r="B3007" s="90" t="s">
        <v>333</v>
      </c>
      <c r="C3007" s="91" t="s">
        <v>334</v>
      </c>
      <c r="D3007" s="109" t="s">
        <v>353</v>
      </c>
      <c r="E3007" s="67" t="str">
        <f>COLORES!A5</f>
        <v>Perla</v>
      </c>
      <c r="F3007" s="67" t="str">
        <f>COLORES!B5</f>
        <v>PPT</v>
      </c>
      <c r="G3007" s="90" t="s">
        <v>380</v>
      </c>
      <c r="H3007" s="100">
        <f>IFERROR(SUMIFS(MOVIMIENTOS_COMPLEMENTOS!$I$4:$I$803,MOVIMIENTOS_COMPLEMENTOS!$C$4:$C$803,A3007,MOVIMIENTOS_COMPLEMENTOS!$D$4:$D$803,B3007,MOVIMIENTOS_COMPLEMENTOS!$E$4:$E$803,C3007,MOVIMIENTOS_COMPLEMENTOS!$G$4:$G$803,E3007,MOVIMIENTOS_COMPLEMENTOS!$H$4:$H$803,G3007,MOVIMIENTOS_COMPLEMENTOS!$B$4:$B$803,"INGRESO")+SUMIFS(MOVIMIENTOS_COMPLEMENTOS!$I$4:$I$803,MOVIMIENTOS_COMPLEMENTOS!$C$4:$C$803,A3007,MOVIMIENTOS_COMPLEMENTOS!$D$4:$D$803,B3007,MOVIMIENTOS_COMPLEMENTOS!$E$4:$E$803,C3007,MOVIMIENTOS_COMPLEMENTOS!$G$4:$G$803,E3007,MOVIMIENTOS_COMPLEMENTOS!$H$4:$H$803,G3007,MOVIMIENTOS_COMPLEMENTOS!$B$4:$B$803,"DE CORTE")-SUMIFS(MOVIMIENTOS_COMPLEMENTOS!$I$4:$I$803,MOVIMIENTOS_COMPLEMENTOS!$C$4:$C$803,A3007,MOVIMIENTOS_COMPLEMENTOS!$D$4:$D$803,B3007,MOVIMIENTOS_COMPLEMENTOS!$E$4:$E$803,C3007,MOVIMIENTOS_COMPLEMENTOS!$G$4:$G$803,E3007,MOVIMIENTOS_COMPLEMENTOS!$H$4:$H$803,G3007,MOVIMIENTOS_COMPLEMENTOS!$B$4:$B$803,"SALIDA"),0)</f>
        <v>0</v>
      </c>
      <c r="I3007" s="102">
        <f t="array" ref="I3007">IFERROR(INDEX(PRECIOS_COMPLEMENTOS!$C$4:$F$17,MATCH(B3007&amp;"_"&amp;C3007,PRECIOS_COMPLEMENTOS!$H$4:$H$17,0),IF(OR(G3007="S",G3007="20cm"),1,IF(OR(G3007="M",G3007="25cm"),2,IF(OR(G3007="L",G3007="30cm"),3,IF(OR(G3007="XL",G3007="35cm"),4,0))))),0)</f>
        <v>0.45</v>
      </c>
      <c r="J3007" s="103">
        <f t="shared" si="1"/>
        <v>0</v>
      </c>
      <c r="K3007" s="104" t="str">
        <f>IF(H3007&lt;0,"ERROR",IF(H3007=0,"",IF(H3007&lt;CONFIG!$B$4,"CRÍTICO",IF(H3007&lt;CONFIG!$B$5,"BAJO","OK"))))</f>
        <v/>
      </c>
    </row>
    <row r="3008" ht="15.75" customHeight="1">
      <c r="A3008" s="90" t="str">
        <f>IF(CLIENTES!A6="","",CLIENTES!A6)</f>
        <v/>
      </c>
      <c r="B3008" s="90" t="s">
        <v>333</v>
      </c>
      <c r="C3008" s="91" t="s">
        <v>334</v>
      </c>
      <c r="D3008" s="109" t="s">
        <v>353</v>
      </c>
      <c r="E3008" s="67" t="str">
        <f>COLORES!A5</f>
        <v>Perla</v>
      </c>
      <c r="F3008" s="67" t="str">
        <f>COLORES!B5</f>
        <v>PPT</v>
      </c>
      <c r="G3008" s="90" t="s">
        <v>381</v>
      </c>
      <c r="H3008" s="100">
        <f>IFERROR(SUMIFS(MOVIMIENTOS_COMPLEMENTOS!$I$4:$I$803,MOVIMIENTOS_COMPLEMENTOS!$C$4:$C$803,A3008,MOVIMIENTOS_COMPLEMENTOS!$D$4:$D$803,B3008,MOVIMIENTOS_COMPLEMENTOS!$E$4:$E$803,C3008,MOVIMIENTOS_COMPLEMENTOS!$G$4:$G$803,E3008,MOVIMIENTOS_COMPLEMENTOS!$H$4:$H$803,G3008,MOVIMIENTOS_COMPLEMENTOS!$B$4:$B$803,"INGRESO")+SUMIFS(MOVIMIENTOS_COMPLEMENTOS!$I$4:$I$803,MOVIMIENTOS_COMPLEMENTOS!$C$4:$C$803,A3008,MOVIMIENTOS_COMPLEMENTOS!$D$4:$D$803,B3008,MOVIMIENTOS_COMPLEMENTOS!$E$4:$E$803,C3008,MOVIMIENTOS_COMPLEMENTOS!$G$4:$G$803,E3008,MOVIMIENTOS_COMPLEMENTOS!$H$4:$H$803,G3008,MOVIMIENTOS_COMPLEMENTOS!$B$4:$B$803,"DE CORTE")-SUMIFS(MOVIMIENTOS_COMPLEMENTOS!$I$4:$I$803,MOVIMIENTOS_COMPLEMENTOS!$C$4:$C$803,A3008,MOVIMIENTOS_COMPLEMENTOS!$D$4:$D$803,B3008,MOVIMIENTOS_COMPLEMENTOS!$E$4:$E$803,C3008,MOVIMIENTOS_COMPLEMENTOS!$G$4:$G$803,E3008,MOVIMIENTOS_COMPLEMENTOS!$H$4:$H$803,G3008,MOVIMIENTOS_COMPLEMENTOS!$B$4:$B$803,"SALIDA"),0)</f>
        <v>0</v>
      </c>
      <c r="I3008" s="102">
        <f t="array" ref="I3008">IFERROR(INDEX(PRECIOS_COMPLEMENTOS!$C$4:$F$17,MATCH(B3008&amp;"_"&amp;C3008,PRECIOS_COMPLEMENTOS!$H$4:$H$17,0),IF(OR(G3008="S",G3008="20cm"),1,IF(OR(G3008="M",G3008="25cm"),2,IF(OR(G3008="L",G3008="30cm"),3,IF(OR(G3008="XL",G3008="35cm"),4,0))))),0)</f>
        <v>0.45</v>
      </c>
      <c r="J3008" s="103">
        <f t="shared" si="1"/>
        <v>0</v>
      </c>
      <c r="K3008" s="104" t="str">
        <f>IF(H3008&lt;0,"ERROR",IF(H3008=0,"",IF(H3008&lt;CONFIG!$B$4,"CRÍTICO",IF(H3008&lt;CONFIG!$B$5,"BAJO","OK"))))</f>
        <v/>
      </c>
    </row>
    <row r="3009" ht="15.75" customHeight="1">
      <c r="A3009" s="90" t="str">
        <f>IF(CLIENTES!A6="","",CLIENTES!A6)</f>
        <v/>
      </c>
      <c r="B3009" s="90" t="s">
        <v>333</v>
      </c>
      <c r="C3009" s="91" t="s">
        <v>334</v>
      </c>
      <c r="D3009" s="109" t="s">
        <v>353</v>
      </c>
      <c r="E3009" s="67" t="str">
        <f>COLORES!A5</f>
        <v>Perla</v>
      </c>
      <c r="F3009" s="67" t="str">
        <f>COLORES!B5</f>
        <v>PPT</v>
      </c>
      <c r="G3009" s="90" t="s">
        <v>382</v>
      </c>
      <c r="H3009" s="100">
        <f>IFERROR(SUMIFS(MOVIMIENTOS_COMPLEMENTOS!$I$4:$I$803,MOVIMIENTOS_COMPLEMENTOS!$C$4:$C$803,A3009,MOVIMIENTOS_COMPLEMENTOS!$D$4:$D$803,B3009,MOVIMIENTOS_COMPLEMENTOS!$E$4:$E$803,C3009,MOVIMIENTOS_COMPLEMENTOS!$G$4:$G$803,E3009,MOVIMIENTOS_COMPLEMENTOS!$H$4:$H$803,G3009,MOVIMIENTOS_COMPLEMENTOS!$B$4:$B$803,"INGRESO")+SUMIFS(MOVIMIENTOS_COMPLEMENTOS!$I$4:$I$803,MOVIMIENTOS_COMPLEMENTOS!$C$4:$C$803,A3009,MOVIMIENTOS_COMPLEMENTOS!$D$4:$D$803,B3009,MOVIMIENTOS_COMPLEMENTOS!$E$4:$E$803,C3009,MOVIMIENTOS_COMPLEMENTOS!$G$4:$G$803,E3009,MOVIMIENTOS_COMPLEMENTOS!$H$4:$H$803,G3009,MOVIMIENTOS_COMPLEMENTOS!$B$4:$B$803,"DE CORTE")-SUMIFS(MOVIMIENTOS_COMPLEMENTOS!$I$4:$I$803,MOVIMIENTOS_COMPLEMENTOS!$C$4:$C$803,A3009,MOVIMIENTOS_COMPLEMENTOS!$D$4:$D$803,B3009,MOVIMIENTOS_COMPLEMENTOS!$E$4:$E$803,C3009,MOVIMIENTOS_COMPLEMENTOS!$G$4:$G$803,E3009,MOVIMIENTOS_COMPLEMENTOS!$H$4:$H$803,G3009,MOVIMIENTOS_COMPLEMENTOS!$B$4:$B$803,"SALIDA"),0)</f>
        <v>0</v>
      </c>
      <c r="I3009" s="102">
        <f t="array" ref="I3009">IFERROR(INDEX(PRECIOS_COMPLEMENTOS!$C$4:$F$17,MATCH(B3009&amp;"_"&amp;C3009,PRECIOS_COMPLEMENTOS!$H$4:$H$17,0),IF(OR(G3009="S",G3009="20cm"),1,IF(OR(G3009="M",G3009="25cm"),2,IF(OR(G3009="L",G3009="30cm"),3,IF(OR(G3009="XL",G3009="35cm"),4,0))))),0)</f>
        <v>0.45</v>
      </c>
      <c r="J3009" s="103">
        <f t="shared" si="1"/>
        <v>0</v>
      </c>
      <c r="K3009" s="104" t="str">
        <f>IF(H3009&lt;0,"ERROR",IF(H3009=0,"",IF(H3009&lt;CONFIG!$B$4,"CRÍTICO",IF(H3009&lt;CONFIG!$B$5,"BAJO","OK"))))</f>
        <v/>
      </c>
    </row>
    <row r="3010" ht="15.75" customHeight="1">
      <c r="A3010" s="90" t="str">
        <f>IF(CLIENTES!A6="","",CLIENTES!A6)</f>
        <v/>
      </c>
      <c r="B3010" s="90" t="s">
        <v>333</v>
      </c>
      <c r="C3010" s="91" t="s">
        <v>334</v>
      </c>
      <c r="D3010" s="109" t="s">
        <v>353</v>
      </c>
      <c r="E3010" s="67" t="str">
        <f>COLORES!A6</f>
        <v>Blanco</v>
      </c>
      <c r="F3010" s="67" t="str">
        <f>COLORES!B6</f>
        <v>PPT</v>
      </c>
      <c r="G3010" s="90" t="s">
        <v>380</v>
      </c>
      <c r="H3010" s="100">
        <f>IFERROR(SUMIFS(MOVIMIENTOS_COMPLEMENTOS!$I$4:$I$803,MOVIMIENTOS_COMPLEMENTOS!$C$4:$C$803,A3010,MOVIMIENTOS_COMPLEMENTOS!$D$4:$D$803,B3010,MOVIMIENTOS_COMPLEMENTOS!$E$4:$E$803,C3010,MOVIMIENTOS_COMPLEMENTOS!$G$4:$G$803,E3010,MOVIMIENTOS_COMPLEMENTOS!$H$4:$H$803,G3010,MOVIMIENTOS_COMPLEMENTOS!$B$4:$B$803,"INGRESO")+SUMIFS(MOVIMIENTOS_COMPLEMENTOS!$I$4:$I$803,MOVIMIENTOS_COMPLEMENTOS!$C$4:$C$803,A3010,MOVIMIENTOS_COMPLEMENTOS!$D$4:$D$803,B3010,MOVIMIENTOS_COMPLEMENTOS!$E$4:$E$803,C3010,MOVIMIENTOS_COMPLEMENTOS!$G$4:$G$803,E3010,MOVIMIENTOS_COMPLEMENTOS!$H$4:$H$803,G3010,MOVIMIENTOS_COMPLEMENTOS!$B$4:$B$803,"DE CORTE")-SUMIFS(MOVIMIENTOS_COMPLEMENTOS!$I$4:$I$803,MOVIMIENTOS_COMPLEMENTOS!$C$4:$C$803,A3010,MOVIMIENTOS_COMPLEMENTOS!$D$4:$D$803,B3010,MOVIMIENTOS_COMPLEMENTOS!$E$4:$E$803,C3010,MOVIMIENTOS_COMPLEMENTOS!$G$4:$G$803,E3010,MOVIMIENTOS_COMPLEMENTOS!$H$4:$H$803,G3010,MOVIMIENTOS_COMPLEMENTOS!$B$4:$B$803,"SALIDA"),0)</f>
        <v>0</v>
      </c>
      <c r="I3010" s="102">
        <f t="array" ref="I3010">IFERROR(INDEX(PRECIOS_COMPLEMENTOS!$C$4:$F$17,MATCH(B3010&amp;"_"&amp;C3010,PRECIOS_COMPLEMENTOS!$H$4:$H$17,0),IF(OR(G3010="S",G3010="20cm"),1,IF(OR(G3010="M",G3010="25cm"),2,IF(OR(G3010="L",G3010="30cm"),3,IF(OR(G3010="XL",G3010="35cm"),4,0))))),0)</f>
        <v>0.45</v>
      </c>
      <c r="J3010" s="103">
        <f t="shared" si="1"/>
        <v>0</v>
      </c>
      <c r="K3010" s="104" t="str">
        <f>IF(H3010&lt;0,"ERROR",IF(H3010=0,"",IF(H3010&lt;CONFIG!$B$4,"CRÍTICO",IF(H3010&lt;CONFIG!$B$5,"BAJO","OK"))))</f>
        <v/>
      </c>
    </row>
    <row r="3011" ht="15.75" customHeight="1">
      <c r="A3011" s="90" t="str">
        <f>IF(CLIENTES!A6="","",CLIENTES!A6)</f>
        <v/>
      </c>
      <c r="B3011" s="90" t="s">
        <v>333</v>
      </c>
      <c r="C3011" s="91" t="s">
        <v>334</v>
      </c>
      <c r="D3011" s="109" t="s">
        <v>353</v>
      </c>
      <c r="E3011" s="67" t="str">
        <f>COLORES!A6</f>
        <v>Blanco</v>
      </c>
      <c r="F3011" s="67" t="str">
        <f>COLORES!B6</f>
        <v>PPT</v>
      </c>
      <c r="G3011" s="90" t="s">
        <v>381</v>
      </c>
      <c r="H3011" s="100">
        <f>IFERROR(SUMIFS(MOVIMIENTOS_COMPLEMENTOS!$I$4:$I$803,MOVIMIENTOS_COMPLEMENTOS!$C$4:$C$803,A3011,MOVIMIENTOS_COMPLEMENTOS!$D$4:$D$803,B3011,MOVIMIENTOS_COMPLEMENTOS!$E$4:$E$803,C3011,MOVIMIENTOS_COMPLEMENTOS!$G$4:$G$803,E3011,MOVIMIENTOS_COMPLEMENTOS!$H$4:$H$803,G3011,MOVIMIENTOS_COMPLEMENTOS!$B$4:$B$803,"INGRESO")+SUMIFS(MOVIMIENTOS_COMPLEMENTOS!$I$4:$I$803,MOVIMIENTOS_COMPLEMENTOS!$C$4:$C$803,A3011,MOVIMIENTOS_COMPLEMENTOS!$D$4:$D$803,B3011,MOVIMIENTOS_COMPLEMENTOS!$E$4:$E$803,C3011,MOVIMIENTOS_COMPLEMENTOS!$G$4:$G$803,E3011,MOVIMIENTOS_COMPLEMENTOS!$H$4:$H$803,G3011,MOVIMIENTOS_COMPLEMENTOS!$B$4:$B$803,"DE CORTE")-SUMIFS(MOVIMIENTOS_COMPLEMENTOS!$I$4:$I$803,MOVIMIENTOS_COMPLEMENTOS!$C$4:$C$803,A3011,MOVIMIENTOS_COMPLEMENTOS!$D$4:$D$803,B3011,MOVIMIENTOS_COMPLEMENTOS!$E$4:$E$803,C3011,MOVIMIENTOS_COMPLEMENTOS!$G$4:$G$803,E3011,MOVIMIENTOS_COMPLEMENTOS!$H$4:$H$803,G3011,MOVIMIENTOS_COMPLEMENTOS!$B$4:$B$803,"SALIDA"),0)</f>
        <v>0</v>
      </c>
      <c r="I3011" s="102">
        <f t="array" ref="I3011">IFERROR(INDEX(PRECIOS_COMPLEMENTOS!$C$4:$F$17,MATCH(B3011&amp;"_"&amp;C3011,PRECIOS_COMPLEMENTOS!$H$4:$H$17,0),IF(OR(G3011="S",G3011="20cm"),1,IF(OR(G3011="M",G3011="25cm"),2,IF(OR(G3011="L",G3011="30cm"),3,IF(OR(G3011="XL",G3011="35cm"),4,0))))),0)</f>
        <v>0.45</v>
      </c>
      <c r="J3011" s="103">
        <f t="shared" si="1"/>
        <v>0</v>
      </c>
      <c r="K3011" s="104" t="str">
        <f>IF(H3011&lt;0,"ERROR",IF(H3011=0,"",IF(H3011&lt;CONFIG!$B$4,"CRÍTICO",IF(H3011&lt;CONFIG!$B$5,"BAJO","OK"))))</f>
        <v/>
      </c>
    </row>
    <row r="3012" ht="15.75" customHeight="1">
      <c r="A3012" s="90" t="str">
        <f>IF(CLIENTES!A6="","",CLIENTES!A6)</f>
        <v/>
      </c>
      <c r="B3012" s="90" t="s">
        <v>333</v>
      </c>
      <c r="C3012" s="91" t="s">
        <v>334</v>
      </c>
      <c r="D3012" s="109" t="s">
        <v>353</v>
      </c>
      <c r="E3012" s="67" t="str">
        <f>COLORES!A6</f>
        <v>Blanco</v>
      </c>
      <c r="F3012" s="67" t="str">
        <f>COLORES!B6</f>
        <v>PPT</v>
      </c>
      <c r="G3012" s="90" t="s">
        <v>382</v>
      </c>
      <c r="H3012" s="100">
        <f>IFERROR(SUMIFS(MOVIMIENTOS_COMPLEMENTOS!$I$4:$I$803,MOVIMIENTOS_COMPLEMENTOS!$C$4:$C$803,A3012,MOVIMIENTOS_COMPLEMENTOS!$D$4:$D$803,B3012,MOVIMIENTOS_COMPLEMENTOS!$E$4:$E$803,C3012,MOVIMIENTOS_COMPLEMENTOS!$G$4:$G$803,E3012,MOVIMIENTOS_COMPLEMENTOS!$H$4:$H$803,G3012,MOVIMIENTOS_COMPLEMENTOS!$B$4:$B$803,"INGRESO")+SUMIFS(MOVIMIENTOS_COMPLEMENTOS!$I$4:$I$803,MOVIMIENTOS_COMPLEMENTOS!$C$4:$C$803,A3012,MOVIMIENTOS_COMPLEMENTOS!$D$4:$D$803,B3012,MOVIMIENTOS_COMPLEMENTOS!$E$4:$E$803,C3012,MOVIMIENTOS_COMPLEMENTOS!$G$4:$G$803,E3012,MOVIMIENTOS_COMPLEMENTOS!$H$4:$H$803,G3012,MOVIMIENTOS_COMPLEMENTOS!$B$4:$B$803,"DE CORTE")-SUMIFS(MOVIMIENTOS_COMPLEMENTOS!$I$4:$I$803,MOVIMIENTOS_COMPLEMENTOS!$C$4:$C$803,A3012,MOVIMIENTOS_COMPLEMENTOS!$D$4:$D$803,B3012,MOVIMIENTOS_COMPLEMENTOS!$E$4:$E$803,C3012,MOVIMIENTOS_COMPLEMENTOS!$G$4:$G$803,E3012,MOVIMIENTOS_COMPLEMENTOS!$H$4:$H$803,G3012,MOVIMIENTOS_COMPLEMENTOS!$B$4:$B$803,"SALIDA"),0)</f>
        <v>0</v>
      </c>
      <c r="I3012" s="102">
        <f t="array" ref="I3012">IFERROR(INDEX(PRECIOS_COMPLEMENTOS!$C$4:$F$17,MATCH(B3012&amp;"_"&amp;C3012,PRECIOS_COMPLEMENTOS!$H$4:$H$17,0),IF(OR(G3012="S",G3012="20cm"),1,IF(OR(G3012="M",G3012="25cm"),2,IF(OR(G3012="L",G3012="30cm"),3,IF(OR(G3012="XL",G3012="35cm"),4,0))))),0)</f>
        <v>0.45</v>
      </c>
      <c r="J3012" s="103">
        <f t="shared" si="1"/>
        <v>0</v>
      </c>
      <c r="K3012" s="104" t="str">
        <f>IF(H3012&lt;0,"ERROR",IF(H3012=0,"",IF(H3012&lt;CONFIG!$B$4,"CRÍTICO",IF(H3012&lt;CONFIG!$B$5,"BAJO","OK"))))</f>
        <v/>
      </c>
    </row>
    <row r="3013" ht="15.75" customHeight="1">
      <c r="A3013" s="90" t="str">
        <f>IF(CLIENTES!A6="","",CLIENTES!A6)</f>
        <v/>
      </c>
      <c r="B3013" s="90" t="s">
        <v>333</v>
      </c>
      <c r="C3013" s="91" t="s">
        <v>334</v>
      </c>
      <c r="D3013" s="109" t="s">
        <v>353</v>
      </c>
      <c r="E3013" s="67" t="str">
        <f>COLORES!A7</f>
        <v>Azul</v>
      </c>
      <c r="F3013" s="67" t="str">
        <f>COLORES!B7</f>
        <v>OSCURO</v>
      </c>
      <c r="G3013" s="90" t="s">
        <v>380</v>
      </c>
      <c r="H3013" s="100">
        <f>IFERROR(SUMIFS(MOVIMIENTOS_COMPLEMENTOS!$I$4:$I$803,MOVIMIENTOS_COMPLEMENTOS!$C$4:$C$803,A3013,MOVIMIENTOS_COMPLEMENTOS!$D$4:$D$803,B3013,MOVIMIENTOS_COMPLEMENTOS!$E$4:$E$803,C3013,MOVIMIENTOS_COMPLEMENTOS!$G$4:$G$803,E3013,MOVIMIENTOS_COMPLEMENTOS!$H$4:$H$803,G3013,MOVIMIENTOS_COMPLEMENTOS!$B$4:$B$803,"INGRESO")+SUMIFS(MOVIMIENTOS_COMPLEMENTOS!$I$4:$I$803,MOVIMIENTOS_COMPLEMENTOS!$C$4:$C$803,A3013,MOVIMIENTOS_COMPLEMENTOS!$D$4:$D$803,B3013,MOVIMIENTOS_COMPLEMENTOS!$E$4:$E$803,C3013,MOVIMIENTOS_COMPLEMENTOS!$G$4:$G$803,E3013,MOVIMIENTOS_COMPLEMENTOS!$H$4:$H$803,G3013,MOVIMIENTOS_COMPLEMENTOS!$B$4:$B$803,"DE CORTE")-SUMIFS(MOVIMIENTOS_COMPLEMENTOS!$I$4:$I$803,MOVIMIENTOS_COMPLEMENTOS!$C$4:$C$803,A3013,MOVIMIENTOS_COMPLEMENTOS!$D$4:$D$803,B3013,MOVIMIENTOS_COMPLEMENTOS!$E$4:$E$803,C3013,MOVIMIENTOS_COMPLEMENTOS!$G$4:$G$803,E3013,MOVIMIENTOS_COMPLEMENTOS!$H$4:$H$803,G3013,MOVIMIENTOS_COMPLEMENTOS!$B$4:$B$803,"SALIDA"),0)</f>
        <v>0</v>
      </c>
      <c r="I3013" s="102">
        <f t="array" ref="I3013">IFERROR(INDEX(PRECIOS_COMPLEMENTOS!$C$4:$F$17,MATCH(B3013&amp;"_"&amp;C3013,PRECIOS_COMPLEMENTOS!$H$4:$H$17,0),IF(OR(G3013="S",G3013="20cm"),1,IF(OR(G3013="M",G3013="25cm"),2,IF(OR(G3013="L",G3013="30cm"),3,IF(OR(G3013="XL",G3013="35cm"),4,0))))),0)</f>
        <v>0.45</v>
      </c>
      <c r="J3013" s="103">
        <f t="shared" si="1"/>
        <v>0</v>
      </c>
      <c r="K3013" s="104" t="str">
        <f>IF(H3013&lt;0,"ERROR",IF(H3013=0,"",IF(H3013&lt;CONFIG!$B$4,"CRÍTICO",IF(H3013&lt;CONFIG!$B$5,"BAJO","OK"))))</f>
        <v/>
      </c>
    </row>
    <row r="3014" ht="15.75" customHeight="1">
      <c r="A3014" s="90" t="str">
        <f>IF(CLIENTES!A6="","",CLIENTES!A6)</f>
        <v/>
      </c>
      <c r="B3014" s="90" t="s">
        <v>333</v>
      </c>
      <c r="C3014" s="91" t="s">
        <v>334</v>
      </c>
      <c r="D3014" s="109" t="s">
        <v>353</v>
      </c>
      <c r="E3014" s="67" t="str">
        <f>COLORES!A7</f>
        <v>Azul</v>
      </c>
      <c r="F3014" s="67" t="str">
        <f>COLORES!B7</f>
        <v>OSCURO</v>
      </c>
      <c r="G3014" s="90" t="s">
        <v>381</v>
      </c>
      <c r="H3014" s="100">
        <f>IFERROR(SUMIFS(MOVIMIENTOS_COMPLEMENTOS!$I$4:$I$803,MOVIMIENTOS_COMPLEMENTOS!$C$4:$C$803,A3014,MOVIMIENTOS_COMPLEMENTOS!$D$4:$D$803,B3014,MOVIMIENTOS_COMPLEMENTOS!$E$4:$E$803,C3014,MOVIMIENTOS_COMPLEMENTOS!$G$4:$G$803,E3014,MOVIMIENTOS_COMPLEMENTOS!$H$4:$H$803,G3014,MOVIMIENTOS_COMPLEMENTOS!$B$4:$B$803,"INGRESO")+SUMIFS(MOVIMIENTOS_COMPLEMENTOS!$I$4:$I$803,MOVIMIENTOS_COMPLEMENTOS!$C$4:$C$803,A3014,MOVIMIENTOS_COMPLEMENTOS!$D$4:$D$803,B3014,MOVIMIENTOS_COMPLEMENTOS!$E$4:$E$803,C3014,MOVIMIENTOS_COMPLEMENTOS!$G$4:$G$803,E3014,MOVIMIENTOS_COMPLEMENTOS!$H$4:$H$803,G3014,MOVIMIENTOS_COMPLEMENTOS!$B$4:$B$803,"DE CORTE")-SUMIFS(MOVIMIENTOS_COMPLEMENTOS!$I$4:$I$803,MOVIMIENTOS_COMPLEMENTOS!$C$4:$C$803,A3014,MOVIMIENTOS_COMPLEMENTOS!$D$4:$D$803,B3014,MOVIMIENTOS_COMPLEMENTOS!$E$4:$E$803,C3014,MOVIMIENTOS_COMPLEMENTOS!$G$4:$G$803,E3014,MOVIMIENTOS_COMPLEMENTOS!$H$4:$H$803,G3014,MOVIMIENTOS_COMPLEMENTOS!$B$4:$B$803,"SALIDA"),0)</f>
        <v>0</v>
      </c>
      <c r="I3014" s="102">
        <f t="array" ref="I3014">IFERROR(INDEX(PRECIOS_COMPLEMENTOS!$C$4:$F$17,MATCH(B3014&amp;"_"&amp;C3014,PRECIOS_COMPLEMENTOS!$H$4:$H$17,0),IF(OR(G3014="S",G3014="20cm"),1,IF(OR(G3014="M",G3014="25cm"),2,IF(OR(G3014="L",G3014="30cm"),3,IF(OR(G3014="XL",G3014="35cm"),4,0))))),0)</f>
        <v>0.45</v>
      </c>
      <c r="J3014" s="103">
        <f t="shared" si="1"/>
        <v>0</v>
      </c>
      <c r="K3014" s="104" t="str">
        <f>IF(H3014&lt;0,"ERROR",IF(H3014=0,"",IF(H3014&lt;CONFIG!$B$4,"CRÍTICO",IF(H3014&lt;CONFIG!$B$5,"BAJO","OK"))))</f>
        <v/>
      </c>
    </row>
    <row r="3015" ht="15.75" customHeight="1">
      <c r="A3015" s="90" t="str">
        <f>IF(CLIENTES!A6="","",CLIENTES!A6)</f>
        <v/>
      </c>
      <c r="B3015" s="90" t="s">
        <v>333</v>
      </c>
      <c r="C3015" s="91" t="s">
        <v>334</v>
      </c>
      <c r="D3015" s="109" t="s">
        <v>353</v>
      </c>
      <c r="E3015" s="67" t="str">
        <f>COLORES!A7</f>
        <v>Azul</v>
      </c>
      <c r="F3015" s="67" t="str">
        <f>COLORES!B7</f>
        <v>OSCURO</v>
      </c>
      <c r="G3015" s="90" t="s">
        <v>382</v>
      </c>
      <c r="H3015" s="100">
        <f>IFERROR(SUMIFS(MOVIMIENTOS_COMPLEMENTOS!$I$4:$I$803,MOVIMIENTOS_COMPLEMENTOS!$C$4:$C$803,A3015,MOVIMIENTOS_COMPLEMENTOS!$D$4:$D$803,B3015,MOVIMIENTOS_COMPLEMENTOS!$E$4:$E$803,C3015,MOVIMIENTOS_COMPLEMENTOS!$G$4:$G$803,E3015,MOVIMIENTOS_COMPLEMENTOS!$H$4:$H$803,G3015,MOVIMIENTOS_COMPLEMENTOS!$B$4:$B$803,"INGRESO")+SUMIFS(MOVIMIENTOS_COMPLEMENTOS!$I$4:$I$803,MOVIMIENTOS_COMPLEMENTOS!$C$4:$C$803,A3015,MOVIMIENTOS_COMPLEMENTOS!$D$4:$D$803,B3015,MOVIMIENTOS_COMPLEMENTOS!$E$4:$E$803,C3015,MOVIMIENTOS_COMPLEMENTOS!$G$4:$G$803,E3015,MOVIMIENTOS_COMPLEMENTOS!$H$4:$H$803,G3015,MOVIMIENTOS_COMPLEMENTOS!$B$4:$B$803,"DE CORTE")-SUMIFS(MOVIMIENTOS_COMPLEMENTOS!$I$4:$I$803,MOVIMIENTOS_COMPLEMENTOS!$C$4:$C$803,A3015,MOVIMIENTOS_COMPLEMENTOS!$D$4:$D$803,B3015,MOVIMIENTOS_COMPLEMENTOS!$E$4:$E$803,C3015,MOVIMIENTOS_COMPLEMENTOS!$G$4:$G$803,E3015,MOVIMIENTOS_COMPLEMENTOS!$H$4:$H$803,G3015,MOVIMIENTOS_COMPLEMENTOS!$B$4:$B$803,"SALIDA"),0)</f>
        <v>0</v>
      </c>
      <c r="I3015" s="102">
        <f t="array" ref="I3015">IFERROR(INDEX(PRECIOS_COMPLEMENTOS!$C$4:$F$17,MATCH(B3015&amp;"_"&amp;C3015,PRECIOS_COMPLEMENTOS!$H$4:$H$17,0),IF(OR(G3015="S",G3015="20cm"),1,IF(OR(G3015="M",G3015="25cm"),2,IF(OR(G3015="L",G3015="30cm"),3,IF(OR(G3015="XL",G3015="35cm"),4,0))))),0)</f>
        <v>0.45</v>
      </c>
      <c r="J3015" s="103">
        <f t="shared" si="1"/>
        <v>0</v>
      </c>
      <c r="K3015" s="104" t="str">
        <f>IF(H3015&lt;0,"ERROR",IF(H3015=0,"",IF(H3015&lt;CONFIG!$B$4,"CRÍTICO",IF(H3015&lt;CONFIG!$B$5,"BAJO","OK"))))</f>
        <v/>
      </c>
    </row>
    <row r="3016" ht="15.75" customHeight="1">
      <c r="A3016" s="90" t="str">
        <f>IF(CLIENTES!A6="","",CLIENTES!A6)</f>
        <v/>
      </c>
      <c r="B3016" s="90" t="s">
        <v>333</v>
      </c>
      <c r="C3016" s="91" t="s">
        <v>334</v>
      </c>
      <c r="D3016" s="109" t="s">
        <v>353</v>
      </c>
      <c r="E3016" s="67" t="str">
        <f>COLORES!A8</f>
        <v>Beige</v>
      </c>
      <c r="F3016" s="67" t="str">
        <f>COLORES!B8</f>
        <v>CLARO</v>
      </c>
      <c r="G3016" s="90" t="s">
        <v>380</v>
      </c>
      <c r="H3016" s="100">
        <f>IFERROR(SUMIFS(MOVIMIENTOS_COMPLEMENTOS!$I$4:$I$803,MOVIMIENTOS_COMPLEMENTOS!$C$4:$C$803,A3016,MOVIMIENTOS_COMPLEMENTOS!$D$4:$D$803,B3016,MOVIMIENTOS_COMPLEMENTOS!$E$4:$E$803,C3016,MOVIMIENTOS_COMPLEMENTOS!$G$4:$G$803,E3016,MOVIMIENTOS_COMPLEMENTOS!$H$4:$H$803,G3016,MOVIMIENTOS_COMPLEMENTOS!$B$4:$B$803,"INGRESO")+SUMIFS(MOVIMIENTOS_COMPLEMENTOS!$I$4:$I$803,MOVIMIENTOS_COMPLEMENTOS!$C$4:$C$803,A3016,MOVIMIENTOS_COMPLEMENTOS!$D$4:$D$803,B3016,MOVIMIENTOS_COMPLEMENTOS!$E$4:$E$803,C3016,MOVIMIENTOS_COMPLEMENTOS!$G$4:$G$803,E3016,MOVIMIENTOS_COMPLEMENTOS!$H$4:$H$803,G3016,MOVIMIENTOS_COMPLEMENTOS!$B$4:$B$803,"DE CORTE")-SUMIFS(MOVIMIENTOS_COMPLEMENTOS!$I$4:$I$803,MOVIMIENTOS_COMPLEMENTOS!$C$4:$C$803,A3016,MOVIMIENTOS_COMPLEMENTOS!$D$4:$D$803,B3016,MOVIMIENTOS_COMPLEMENTOS!$E$4:$E$803,C3016,MOVIMIENTOS_COMPLEMENTOS!$G$4:$G$803,E3016,MOVIMIENTOS_COMPLEMENTOS!$H$4:$H$803,G3016,MOVIMIENTOS_COMPLEMENTOS!$B$4:$B$803,"SALIDA"),0)</f>
        <v>0</v>
      </c>
      <c r="I3016" s="102">
        <f t="array" ref="I3016">IFERROR(INDEX(PRECIOS_COMPLEMENTOS!$C$4:$F$17,MATCH(B3016&amp;"_"&amp;C3016,PRECIOS_COMPLEMENTOS!$H$4:$H$17,0),IF(OR(G3016="S",G3016="20cm"),1,IF(OR(G3016="M",G3016="25cm"),2,IF(OR(G3016="L",G3016="30cm"),3,IF(OR(G3016="XL",G3016="35cm"),4,0))))),0)</f>
        <v>0.45</v>
      </c>
      <c r="J3016" s="103">
        <f t="shared" si="1"/>
        <v>0</v>
      </c>
      <c r="K3016" s="104" t="str">
        <f>IF(H3016&lt;0,"ERROR",IF(H3016=0,"",IF(H3016&lt;CONFIG!$B$4,"CRÍTICO",IF(H3016&lt;CONFIG!$B$5,"BAJO","OK"))))</f>
        <v/>
      </c>
    </row>
    <row r="3017" ht="15.75" customHeight="1">
      <c r="A3017" s="90" t="str">
        <f>IF(CLIENTES!A6="","",CLIENTES!A6)</f>
        <v/>
      </c>
      <c r="B3017" s="90" t="s">
        <v>333</v>
      </c>
      <c r="C3017" s="91" t="s">
        <v>334</v>
      </c>
      <c r="D3017" s="109" t="s">
        <v>353</v>
      </c>
      <c r="E3017" s="67" t="str">
        <f>COLORES!A8</f>
        <v>Beige</v>
      </c>
      <c r="F3017" s="67" t="str">
        <f>COLORES!B8</f>
        <v>CLARO</v>
      </c>
      <c r="G3017" s="90" t="s">
        <v>381</v>
      </c>
      <c r="H3017" s="100">
        <f>IFERROR(SUMIFS(MOVIMIENTOS_COMPLEMENTOS!$I$4:$I$803,MOVIMIENTOS_COMPLEMENTOS!$C$4:$C$803,A3017,MOVIMIENTOS_COMPLEMENTOS!$D$4:$D$803,B3017,MOVIMIENTOS_COMPLEMENTOS!$E$4:$E$803,C3017,MOVIMIENTOS_COMPLEMENTOS!$G$4:$G$803,E3017,MOVIMIENTOS_COMPLEMENTOS!$H$4:$H$803,G3017,MOVIMIENTOS_COMPLEMENTOS!$B$4:$B$803,"INGRESO")+SUMIFS(MOVIMIENTOS_COMPLEMENTOS!$I$4:$I$803,MOVIMIENTOS_COMPLEMENTOS!$C$4:$C$803,A3017,MOVIMIENTOS_COMPLEMENTOS!$D$4:$D$803,B3017,MOVIMIENTOS_COMPLEMENTOS!$E$4:$E$803,C3017,MOVIMIENTOS_COMPLEMENTOS!$G$4:$G$803,E3017,MOVIMIENTOS_COMPLEMENTOS!$H$4:$H$803,G3017,MOVIMIENTOS_COMPLEMENTOS!$B$4:$B$803,"DE CORTE")-SUMIFS(MOVIMIENTOS_COMPLEMENTOS!$I$4:$I$803,MOVIMIENTOS_COMPLEMENTOS!$C$4:$C$803,A3017,MOVIMIENTOS_COMPLEMENTOS!$D$4:$D$803,B3017,MOVIMIENTOS_COMPLEMENTOS!$E$4:$E$803,C3017,MOVIMIENTOS_COMPLEMENTOS!$G$4:$G$803,E3017,MOVIMIENTOS_COMPLEMENTOS!$H$4:$H$803,G3017,MOVIMIENTOS_COMPLEMENTOS!$B$4:$B$803,"SALIDA"),0)</f>
        <v>0</v>
      </c>
      <c r="I3017" s="102">
        <f t="array" ref="I3017">IFERROR(INDEX(PRECIOS_COMPLEMENTOS!$C$4:$F$17,MATCH(B3017&amp;"_"&amp;C3017,PRECIOS_COMPLEMENTOS!$H$4:$H$17,0),IF(OR(G3017="S",G3017="20cm"),1,IF(OR(G3017="M",G3017="25cm"),2,IF(OR(G3017="L",G3017="30cm"),3,IF(OR(G3017="XL",G3017="35cm"),4,0))))),0)</f>
        <v>0.45</v>
      </c>
      <c r="J3017" s="103">
        <f t="shared" si="1"/>
        <v>0</v>
      </c>
      <c r="K3017" s="104" t="str">
        <f>IF(H3017&lt;0,"ERROR",IF(H3017=0,"",IF(H3017&lt;CONFIG!$B$4,"CRÍTICO",IF(H3017&lt;CONFIG!$B$5,"BAJO","OK"))))</f>
        <v/>
      </c>
    </row>
    <row r="3018" ht="15.75" customHeight="1">
      <c r="A3018" s="90" t="str">
        <f>IF(CLIENTES!A6="","",CLIENTES!A6)</f>
        <v/>
      </c>
      <c r="B3018" s="90" t="s">
        <v>333</v>
      </c>
      <c r="C3018" s="91" t="s">
        <v>334</v>
      </c>
      <c r="D3018" s="109" t="s">
        <v>353</v>
      </c>
      <c r="E3018" s="67" t="str">
        <f>COLORES!A8</f>
        <v>Beige</v>
      </c>
      <c r="F3018" s="67" t="str">
        <f>COLORES!B8</f>
        <v>CLARO</v>
      </c>
      <c r="G3018" s="90" t="s">
        <v>382</v>
      </c>
      <c r="H3018" s="100">
        <f>IFERROR(SUMIFS(MOVIMIENTOS_COMPLEMENTOS!$I$4:$I$803,MOVIMIENTOS_COMPLEMENTOS!$C$4:$C$803,A3018,MOVIMIENTOS_COMPLEMENTOS!$D$4:$D$803,B3018,MOVIMIENTOS_COMPLEMENTOS!$E$4:$E$803,C3018,MOVIMIENTOS_COMPLEMENTOS!$G$4:$G$803,E3018,MOVIMIENTOS_COMPLEMENTOS!$H$4:$H$803,G3018,MOVIMIENTOS_COMPLEMENTOS!$B$4:$B$803,"INGRESO")+SUMIFS(MOVIMIENTOS_COMPLEMENTOS!$I$4:$I$803,MOVIMIENTOS_COMPLEMENTOS!$C$4:$C$803,A3018,MOVIMIENTOS_COMPLEMENTOS!$D$4:$D$803,B3018,MOVIMIENTOS_COMPLEMENTOS!$E$4:$E$803,C3018,MOVIMIENTOS_COMPLEMENTOS!$G$4:$G$803,E3018,MOVIMIENTOS_COMPLEMENTOS!$H$4:$H$803,G3018,MOVIMIENTOS_COMPLEMENTOS!$B$4:$B$803,"DE CORTE")-SUMIFS(MOVIMIENTOS_COMPLEMENTOS!$I$4:$I$803,MOVIMIENTOS_COMPLEMENTOS!$C$4:$C$803,A3018,MOVIMIENTOS_COMPLEMENTOS!$D$4:$D$803,B3018,MOVIMIENTOS_COMPLEMENTOS!$E$4:$E$803,C3018,MOVIMIENTOS_COMPLEMENTOS!$G$4:$G$803,E3018,MOVIMIENTOS_COMPLEMENTOS!$H$4:$H$803,G3018,MOVIMIENTOS_COMPLEMENTOS!$B$4:$B$803,"SALIDA"),0)</f>
        <v>0</v>
      </c>
      <c r="I3018" s="102">
        <f t="array" ref="I3018">IFERROR(INDEX(PRECIOS_COMPLEMENTOS!$C$4:$F$17,MATCH(B3018&amp;"_"&amp;C3018,PRECIOS_COMPLEMENTOS!$H$4:$H$17,0),IF(OR(G3018="S",G3018="20cm"),1,IF(OR(G3018="M",G3018="25cm"),2,IF(OR(G3018="L",G3018="30cm"),3,IF(OR(G3018="XL",G3018="35cm"),4,0))))),0)</f>
        <v>0.45</v>
      </c>
      <c r="J3018" s="103">
        <f t="shared" si="1"/>
        <v>0</v>
      </c>
      <c r="K3018" s="104" t="str">
        <f>IF(H3018&lt;0,"ERROR",IF(H3018=0,"",IF(H3018&lt;CONFIG!$B$4,"CRÍTICO",IF(H3018&lt;CONFIG!$B$5,"BAJO","OK"))))</f>
        <v/>
      </c>
    </row>
    <row r="3019" ht="15.75" customHeight="1">
      <c r="A3019" s="90" t="str">
        <f>IF(CLIENTES!A6="","",CLIENTES!A6)</f>
        <v/>
      </c>
      <c r="B3019" s="90" t="s">
        <v>333</v>
      </c>
      <c r="C3019" s="91" t="s">
        <v>334</v>
      </c>
      <c r="D3019" s="109" t="s">
        <v>353</v>
      </c>
      <c r="E3019" s="67" t="str">
        <f>COLORES!A9</f>
        <v>Melange</v>
      </c>
      <c r="F3019" s="67" t="str">
        <f>COLORES!B9</f>
        <v>MELANGE</v>
      </c>
      <c r="G3019" s="90" t="s">
        <v>380</v>
      </c>
      <c r="H3019" s="100">
        <f>IFERROR(SUMIFS(MOVIMIENTOS_COMPLEMENTOS!$I$4:$I$803,MOVIMIENTOS_COMPLEMENTOS!$C$4:$C$803,A3019,MOVIMIENTOS_COMPLEMENTOS!$D$4:$D$803,B3019,MOVIMIENTOS_COMPLEMENTOS!$E$4:$E$803,C3019,MOVIMIENTOS_COMPLEMENTOS!$G$4:$G$803,E3019,MOVIMIENTOS_COMPLEMENTOS!$H$4:$H$803,G3019,MOVIMIENTOS_COMPLEMENTOS!$B$4:$B$803,"INGRESO")+SUMIFS(MOVIMIENTOS_COMPLEMENTOS!$I$4:$I$803,MOVIMIENTOS_COMPLEMENTOS!$C$4:$C$803,A3019,MOVIMIENTOS_COMPLEMENTOS!$D$4:$D$803,B3019,MOVIMIENTOS_COMPLEMENTOS!$E$4:$E$803,C3019,MOVIMIENTOS_COMPLEMENTOS!$G$4:$G$803,E3019,MOVIMIENTOS_COMPLEMENTOS!$H$4:$H$803,G3019,MOVIMIENTOS_COMPLEMENTOS!$B$4:$B$803,"DE CORTE")-SUMIFS(MOVIMIENTOS_COMPLEMENTOS!$I$4:$I$803,MOVIMIENTOS_COMPLEMENTOS!$C$4:$C$803,A3019,MOVIMIENTOS_COMPLEMENTOS!$D$4:$D$803,B3019,MOVIMIENTOS_COMPLEMENTOS!$E$4:$E$803,C3019,MOVIMIENTOS_COMPLEMENTOS!$G$4:$G$803,E3019,MOVIMIENTOS_COMPLEMENTOS!$H$4:$H$803,G3019,MOVIMIENTOS_COMPLEMENTOS!$B$4:$B$803,"SALIDA"),0)</f>
        <v>0</v>
      </c>
      <c r="I3019" s="102">
        <f t="array" ref="I3019">IFERROR(INDEX(PRECIOS_COMPLEMENTOS!$C$4:$F$17,MATCH(B3019&amp;"_"&amp;C3019,PRECIOS_COMPLEMENTOS!$H$4:$H$17,0),IF(OR(G3019="S",G3019="20cm"),1,IF(OR(G3019="M",G3019="25cm"),2,IF(OR(G3019="L",G3019="30cm"),3,IF(OR(G3019="XL",G3019="35cm"),4,0))))),0)</f>
        <v>0.45</v>
      </c>
      <c r="J3019" s="103">
        <f t="shared" si="1"/>
        <v>0</v>
      </c>
      <c r="K3019" s="104" t="str">
        <f>IF(H3019&lt;0,"ERROR",IF(H3019=0,"",IF(H3019&lt;CONFIG!$B$4,"CRÍTICO",IF(H3019&lt;CONFIG!$B$5,"BAJO","OK"))))</f>
        <v/>
      </c>
    </row>
    <row r="3020" ht="15.75" customHeight="1">
      <c r="A3020" s="90" t="str">
        <f>IF(CLIENTES!A6="","",CLIENTES!A6)</f>
        <v/>
      </c>
      <c r="B3020" s="90" t="s">
        <v>333</v>
      </c>
      <c r="C3020" s="91" t="s">
        <v>334</v>
      </c>
      <c r="D3020" s="109" t="s">
        <v>353</v>
      </c>
      <c r="E3020" s="67" t="str">
        <f>COLORES!A9</f>
        <v>Melange</v>
      </c>
      <c r="F3020" s="67" t="str">
        <f>COLORES!B9</f>
        <v>MELANGE</v>
      </c>
      <c r="G3020" s="90" t="s">
        <v>381</v>
      </c>
      <c r="H3020" s="100">
        <f>IFERROR(SUMIFS(MOVIMIENTOS_COMPLEMENTOS!$I$4:$I$803,MOVIMIENTOS_COMPLEMENTOS!$C$4:$C$803,A3020,MOVIMIENTOS_COMPLEMENTOS!$D$4:$D$803,B3020,MOVIMIENTOS_COMPLEMENTOS!$E$4:$E$803,C3020,MOVIMIENTOS_COMPLEMENTOS!$G$4:$G$803,E3020,MOVIMIENTOS_COMPLEMENTOS!$H$4:$H$803,G3020,MOVIMIENTOS_COMPLEMENTOS!$B$4:$B$803,"INGRESO")+SUMIFS(MOVIMIENTOS_COMPLEMENTOS!$I$4:$I$803,MOVIMIENTOS_COMPLEMENTOS!$C$4:$C$803,A3020,MOVIMIENTOS_COMPLEMENTOS!$D$4:$D$803,B3020,MOVIMIENTOS_COMPLEMENTOS!$E$4:$E$803,C3020,MOVIMIENTOS_COMPLEMENTOS!$G$4:$G$803,E3020,MOVIMIENTOS_COMPLEMENTOS!$H$4:$H$803,G3020,MOVIMIENTOS_COMPLEMENTOS!$B$4:$B$803,"DE CORTE")-SUMIFS(MOVIMIENTOS_COMPLEMENTOS!$I$4:$I$803,MOVIMIENTOS_COMPLEMENTOS!$C$4:$C$803,A3020,MOVIMIENTOS_COMPLEMENTOS!$D$4:$D$803,B3020,MOVIMIENTOS_COMPLEMENTOS!$E$4:$E$803,C3020,MOVIMIENTOS_COMPLEMENTOS!$G$4:$G$803,E3020,MOVIMIENTOS_COMPLEMENTOS!$H$4:$H$803,G3020,MOVIMIENTOS_COMPLEMENTOS!$B$4:$B$803,"SALIDA"),0)</f>
        <v>0</v>
      </c>
      <c r="I3020" s="102">
        <f t="array" ref="I3020">IFERROR(INDEX(PRECIOS_COMPLEMENTOS!$C$4:$F$17,MATCH(B3020&amp;"_"&amp;C3020,PRECIOS_COMPLEMENTOS!$H$4:$H$17,0),IF(OR(G3020="S",G3020="20cm"),1,IF(OR(G3020="M",G3020="25cm"),2,IF(OR(G3020="L",G3020="30cm"),3,IF(OR(G3020="XL",G3020="35cm"),4,0))))),0)</f>
        <v>0.45</v>
      </c>
      <c r="J3020" s="103">
        <f t="shared" si="1"/>
        <v>0</v>
      </c>
      <c r="K3020" s="104" t="str">
        <f>IF(H3020&lt;0,"ERROR",IF(H3020=0,"",IF(H3020&lt;CONFIG!$B$4,"CRÍTICO",IF(H3020&lt;CONFIG!$B$5,"BAJO","OK"))))</f>
        <v/>
      </c>
    </row>
    <row r="3021" ht="15.75" customHeight="1">
      <c r="A3021" s="90" t="str">
        <f>IF(CLIENTES!A6="","",CLIENTES!A6)</f>
        <v/>
      </c>
      <c r="B3021" s="90" t="s">
        <v>333</v>
      </c>
      <c r="C3021" s="91" t="s">
        <v>334</v>
      </c>
      <c r="D3021" s="109" t="s">
        <v>353</v>
      </c>
      <c r="E3021" s="67" t="str">
        <f>COLORES!A9</f>
        <v>Melange</v>
      </c>
      <c r="F3021" s="67" t="str">
        <f>COLORES!B9</f>
        <v>MELANGE</v>
      </c>
      <c r="G3021" s="90" t="s">
        <v>382</v>
      </c>
      <c r="H3021" s="100">
        <f>IFERROR(SUMIFS(MOVIMIENTOS_COMPLEMENTOS!$I$4:$I$803,MOVIMIENTOS_COMPLEMENTOS!$C$4:$C$803,A3021,MOVIMIENTOS_COMPLEMENTOS!$D$4:$D$803,B3021,MOVIMIENTOS_COMPLEMENTOS!$E$4:$E$803,C3021,MOVIMIENTOS_COMPLEMENTOS!$G$4:$G$803,E3021,MOVIMIENTOS_COMPLEMENTOS!$H$4:$H$803,G3021,MOVIMIENTOS_COMPLEMENTOS!$B$4:$B$803,"INGRESO")+SUMIFS(MOVIMIENTOS_COMPLEMENTOS!$I$4:$I$803,MOVIMIENTOS_COMPLEMENTOS!$C$4:$C$803,A3021,MOVIMIENTOS_COMPLEMENTOS!$D$4:$D$803,B3021,MOVIMIENTOS_COMPLEMENTOS!$E$4:$E$803,C3021,MOVIMIENTOS_COMPLEMENTOS!$G$4:$G$803,E3021,MOVIMIENTOS_COMPLEMENTOS!$H$4:$H$803,G3021,MOVIMIENTOS_COMPLEMENTOS!$B$4:$B$803,"DE CORTE")-SUMIFS(MOVIMIENTOS_COMPLEMENTOS!$I$4:$I$803,MOVIMIENTOS_COMPLEMENTOS!$C$4:$C$803,A3021,MOVIMIENTOS_COMPLEMENTOS!$D$4:$D$803,B3021,MOVIMIENTOS_COMPLEMENTOS!$E$4:$E$803,C3021,MOVIMIENTOS_COMPLEMENTOS!$G$4:$G$803,E3021,MOVIMIENTOS_COMPLEMENTOS!$H$4:$H$803,G3021,MOVIMIENTOS_COMPLEMENTOS!$B$4:$B$803,"SALIDA"),0)</f>
        <v>0</v>
      </c>
      <c r="I3021" s="102">
        <f t="array" ref="I3021">IFERROR(INDEX(PRECIOS_COMPLEMENTOS!$C$4:$F$17,MATCH(B3021&amp;"_"&amp;C3021,PRECIOS_COMPLEMENTOS!$H$4:$H$17,0),IF(OR(G3021="S",G3021="20cm"),1,IF(OR(G3021="M",G3021="25cm"),2,IF(OR(G3021="L",G3021="30cm"),3,IF(OR(G3021="XL",G3021="35cm"),4,0))))),0)</f>
        <v>0.45</v>
      </c>
      <c r="J3021" s="103">
        <f t="shared" si="1"/>
        <v>0</v>
      </c>
      <c r="K3021" s="104" t="str">
        <f>IF(H3021&lt;0,"ERROR",IF(H3021=0,"",IF(H3021&lt;CONFIG!$B$4,"CRÍTICO",IF(H3021&lt;CONFIG!$B$5,"BAJO","OK"))))</f>
        <v/>
      </c>
    </row>
    <row r="3022" ht="15.75" customHeight="1">
      <c r="A3022" s="90" t="str">
        <f>IF(CLIENTES!A6="","",CLIENTES!A6)</f>
        <v/>
      </c>
      <c r="B3022" s="90" t="s">
        <v>333</v>
      </c>
      <c r="C3022" s="91" t="s">
        <v>334</v>
      </c>
      <c r="D3022" s="109" t="s">
        <v>353</v>
      </c>
      <c r="E3022" s="67" t="str">
        <f>COLORES!A10</f>
        <v>Botella</v>
      </c>
      <c r="F3022" s="67" t="str">
        <f>COLORES!B10</f>
        <v>OSCURO</v>
      </c>
      <c r="G3022" s="90" t="s">
        <v>380</v>
      </c>
      <c r="H3022" s="100">
        <f>IFERROR(SUMIFS(MOVIMIENTOS_COMPLEMENTOS!$I$4:$I$803,MOVIMIENTOS_COMPLEMENTOS!$C$4:$C$803,A3022,MOVIMIENTOS_COMPLEMENTOS!$D$4:$D$803,B3022,MOVIMIENTOS_COMPLEMENTOS!$E$4:$E$803,C3022,MOVIMIENTOS_COMPLEMENTOS!$G$4:$G$803,E3022,MOVIMIENTOS_COMPLEMENTOS!$H$4:$H$803,G3022,MOVIMIENTOS_COMPLEMENTOS!$B$4:$B$803,"INGRESO")+SUMIFS(MOVIMIENTOS_COMPLEMENTOS!$I$4:$I$803,MOVIMIENTOS_COMPLEMENTOS!$C$4:$C$803,A3022,MOVIMIENTOS_COMPLEMENTOS!$D$4:$D$803,B3022,MOVIMIENTOS_COMPLEMENTOS!$E$4:$E$803,C3022,MOVIMIENTOS_COMPLEMENTOS!$G$4:$G$803,E3022,MOVIMIENTOS_COMPLEMENTOS!$H$4:$H$803,G3022,MOVIMIENTOS_COMPLEMENTOS!$B$4:$B$803,"DE CORTE")-SUMIFS(MOVIMIENTOS_COMPLEMENTOS!$I$4:$I$803,MOVIMIENTOS_COMPLEMENTOS!$C$4:$C$803,A3022,MOVIMIENTOS_COMPLEMENTOS!$D$4:$D$803,B3022,MOVIMIENTOS_COMPLEMENTOS!$E$4:$E$803,C3022,MOVIMIENTOS_COMPLEMENTOS!$G$4:$G$803,E3022,MOVIMIENTOS_COMPLEMENTOS!$H$4:$H$803,G3022,MOVIMIENTOS_COMPLEMENTOS!$B$4:$B$803,"SALIDA"),0)</f>
        <v>0</v>
      </c>
      <c r="I3022" s="102">
        <f t="array" ref="I3022">IFERROR(INDEX(PRECIOS_COMPLEMENTOS!$C$4:$F$17,MATCH(B3022&amp;"_"&amp;C3022,PRECIOS_COMPLEMENTOS!$H$4:$H$17,0),IF(OR(G3022="S",G3022="20cm"),1,IF(OR(G3022="M",G3022="25cm"),2,IF(OR(G3022="L",G3022="30cm"),3,IF(OR(G3022="XL",G3022="35cm"),4,0))))),0)</f>
        <v>0.45</v>
      </c>
      <c r="J3022" s="103">
        <f t="shared" si="1"/>
        <v>0</v>
      </c>
      <c r="K3022" s="104" t="str">
        <f>IF(H3022&lt;0,"ERROR",IF(H3022=0,"",IF(H3022&lt;CONFIG!$B$4,"CRÍTICO",IF(H3022&lt;CONFIG!$B$5,"BAJO","OK"))))</f>
        <v/>
      </c>
    </row>
    <row r="3023" ht="15.75" customHeight="1">
      <c r="A3023" s="90" t="str">
        <f>IF(CLIENTES!A6="","",CLIENTES!A6)</f>
        <v/>
      </c>
      <c r="B3023" s="90" t="s">
        <v>333</v>
      </c>
      <c r="C3023" s="91" t="s">
        <v>334</v>
      </c>
      <c r="D3023" s="109" t="s">
        <v>353</v>
      </c>
      <c r="E3023" s="67" t="str">
        <f>COLORES!A10</f>
        <v>Botella</v>
      </c>
      <c r="F3023" s="67" t="str">
        <f>COLORES!B10</f>
        <v>OSCURO</v>
      </c>
      <c r="G3023" s="90" t="s">
        <v>381</v>
      </c>
      <c r="H3023" s="100">
        <f>IFERROR(SUMIFS(MOVIMIENTOS_COMPLEMENTOS!$I$4:$I$803,MOVIMIENTOS_COMPLEMENTOS!$C$4:$C$803,A3023,MOVIMIENTOS_COMPLEMENTOS!$D$4:$D$803,B3023,MOVIMIENTOS_COMPLEMENTOS!$E$4:$E$803,C3023,MOVIMIENTOS_COMPLEMENTOS!$G$4:$G$803,E3023,MOVIMIENTOS_COMPLEMENTOS!$H$4:$H$803,G3023,MOVIMIENTOS_COMPLEMENTOS!$B$4:$B$803,"INGRESO")+SUMIFS(MOVIMIENTOS_COMPLEMENTOS!$I$4:$I$803,MOVIMIENTOS_COMPLEMENTOS!$C$4:$C$803,A3023,MOVIMIENTOS_COMPLEMENTOS!$D$4:$D$803,B3023,MOVIMIENTOS_COMPLEMENTOS!$E$4:$E$803,C3023,MOVIMIENTOS_COMPLEMENTOS!$G$4:$G$803,E3023,MOVIMIENTOS_COMPLEMENTOS!$H$4:$H$803,G3023,MOVIMIENTOS_COMPLEMENTOS!$B$4:$B$803,"DE CORTE")-SUMIFS(MOVIMIENTOS_COMPLEMENTOS!$I$4:$I$803,MOVIMIENTOS_COMPLEMENTOS!$C$4:$C$803,A3023,MOVIMIENTOS_COMPLEMENTOS!$D$4:$D$803,B3023,MOVIMIENTOS_COMPLEMENTOS!$E$4:$E$803,C3023,MOVIMIENTOS_COMPLEMENTOS!$G$4:$G$803,E3023,MOVIMIENTOS_COMPLEMENTOS!$H$4:$H$803,G3023,MOVIMIENTOS_COMPLEMENTOS!$B$4:$B$803,"SALIDA"),0)</f>
        <v>0</v>
      </c>
      <c r="I3023" s="102">
        <f t="array" ref="I3023">IFERROR(INDEX(PRECIOS_COMPLEMENTOS!$C$4:$F$17,MATCH(B3023&amp;"_"&amp;C3023,PRECIOS_COMPLEMENTOS!$H$4:$H$17,0),IF(OR(G3023="S",G3023="20cm"),1,IF(OR(G3023="M",G3023="25cm"),2,IF(OR(G3023="L",G3023="30cm"),3,IF(OR(G3023="XL",G3023="35cm"),4,0))))),0)</f>
        <v>0.45</v>
      </c>
      <c r="J3023" s="103">
        <f t="shared" si="1"/>
        <v>0</v>
      </c>
      <c r="K3023" s="104" t="str">
        <f>IF(H3023&lt;0,"ERROR",IF(H3023=0,"",IF(H3023&lt;CONFIG!$B$4,"CRÍTICO",IF(H3023&lt;CONFIG!$B$5,"BAJO","OK"))))</f>
        <v/>
      </c>
    </row>
    <row r="3024" ht="15.75" customHeight="1">
      <c r="A3024" s="90" t="str">
        <f>IF(CLIENTES!A6="","",CLIENTES!A6)</f>
        <v/>
      </c>
      <c r="B3024" s="90" t="s">
        <v>333</v>
      </c>
      <c r="C3024" s="91" t="s">
        <v>334</v>
      </c>
      <c r="D3024" s="109" t="s">
        <v>353</v>
      </c>
      <c r="E3024" s="67" t="str">
        <f>COLORES!A10</f>
        <v>Botella</v>
      </c>
      <c r="F3024" s="67" t="str">
        <f>COLORES!B10</f>
        <v>OSCURO</v>
      </c>
      <c r="G3024" s="90" t="s">
        <v>382</v>
      </c>
      <c r="H3024" s="100">
        <f>IFERROR(SUMIFS(MOVIMIENTOS_COMPLEMENTOS!$I$4:$I$803,MOVIMIENTOS_COMPLEMENTOS!$C$4:$C$803,A3024,MOVIMIENTOS_COMPLEMENTOS!$D$4:$D$803,B3024,MOVIMIENTOS_COMPLEMENTOS!$E$4:$E$803,C3024,MOVIMIENTOS_COMPLEMENTOS!$G$4:$G$803,E3024,MOVIMIENTOS_COMPLEMENTOS!$H$4:$H$803,G3024,MOVIMIENTOS_COMPLEMENTOS!$B$4:$B$803,"INGRESO")+SUMIFS(MOVIMIENTOS_COMPLEMENTOS!$I$4:$I$803,MOVIMIENTOS_COMPLEMENTOS!$C$4:$C$803,A3024,MOVIMIENTOS_COMPLEMENTOS!$D$4:$D$803,B3024,MOVIMIENTOS_COMPLEMENTOS!$E$4:$E$803,C3024,MOVIMIENTOS_COMPLEMENTOS!$G$4:$G$803,E3024,MOVIMIENTOS_COMPLEMENTOS!$H$4:$H$803,G3024,MOVIMIENTOS_COMPLEMENTOS!$B$4:$B$803,"DE CORTE")-SUMIFS(MOVIMIENTOS_COMPLEMENTOS!$I$4:$I$803,MOVIMIENTOS_COMPLEMENTOS!$C$4:$C$803,A3024,MOVIMIENTOS_COMPLEMENTOS!$D$4:$D$803,B3024,MOVIMIENTOS_COMPLEMENTOS!$E$4:$E$803,C3024,MOVIMIENTOS_COMPLEMENTOS!$G$4:$G$803,E3024,MOVIMIENTOS_COMPLEMENTOS!$H$4:$H$803,G3024,MOVIMIENTOS_COMPLEMENTOS!$B$4:$B$803,"SALIDA"),0)</f>
        <v>0</v>
      </c>
      <c r="I3024" s="102">
        <f t="array" ref="I3024">IFERROR(INDEX(PRECIOS_COMPLEMENTOS!$C$4:$F$17,MATCH(B3024&amp;"_"&amp;C3024,PRECIOS_COMPLEMENTOS!$H$4:$H$17,0),IF(OR(G3024="S",G3024="20cm"),1,IF(OR(G3024="M",G3024="25cm"),2,IF(OR(G3024="L",G3024="30cm"),3,IF(OR(G3024="XL",G3024="35cm"),4,0))))),0)</f>
        <v>0.45</v>
      </c>
      <c r="J3024" s="103">
        <f t="shared" si="1"/>
        <v>0</v>
      </c>
      <c r="K3024" s="104" t="str">
        <f>IF(H3024&lt;0,"ERROR",IF(H3024=0,"",IF(H3024&lt;CONFIG!$B$4,"CRÍTICO",IF(H3024&lt;CONFIG!$B$5,"BAJO","OK"))))</f>
        <v/>
      </c>
    </row>
    <row r="3025" ht="15.75" customHeight="1">
      <c r="A3025" s="90" t="str">
        <f>IF(CLIENTES!A6="","",CLIENTES!A6)</f>
        <v/>
      </c>
      <c r="B3025" s="90" t="s">
        <v>333</v>
      </c>
      <c r="C3025" s="91" t="s">
        <v>334</v>
      </c>
      <c r="D3025" s="109" t="s">
        <v>353</v>
      </c>
      <c r="E3025" s="67" t="str">
        <f>COLORES!A11</f>
        <v>Pacay</v>
      </c>
      <c r="F3025" s="67" t="str">
        <f>COLORES!B11</f>
        <v>CLARO</v>
      </c>
      <c r="G3025" s="90" t="s">
        <v>380</v>
      </c>
      <c r="H3025" s="100">
        <f>IFERROR(SUMIFS(MOVIMIENTOS_COMPLEMENTOS!$I$4:$I$803,MOVIMIENTOS_COMPLEMENTOS!$C$4:$C$803,A3025,MOVIMIENTOS_COMPLEMENTOS!$D$4:$D$803,B3025,MOVIMIENTOS_COMPLEMENTOS!$E$4:$E$803,C3025,MOVIMIENTOS_COMPLEMENTOS!$G$4:$G$803,E3025,MOVIMIENTOS_COMPLEMENTOS!$H$4:$H$803,G3025,MOVIMIENTOS_COMPLEMENTOS!$B$4:$B$803,"INGRESO")+SUMIFS(MOVIMIENTOS_COMPLEMENTOS!$I$4:$I$803,MOVIMIENTOS_COMPLEMENTOS!$C$4:$C$803,A3025,MOVIMIENTOS_COMPLEMENTOS!$D$4:$D$803,B3025,MOVIMIENTOS_COMPLEMENTOS!$E$4:$E$803,C3025,MOVIMIENTOS_COMPLEMENTOS!$G$4:$G$803,E3025,MOVIMIENTOS_COMPLEMENTOS!$H$4:$H$803,G3025,MOVIMIENTOS_COMPLEMENTOS!$B$4:$B$803,"DE CORTE")-SUMIFS(MOVIMIENTOS_COMPLEMENTOS!$I$4:$I$803,MOVIMIENTOS_COMPLEMENTOS!$C$4:$C$803,A3025,MOVIMIENTOS_COMPLEMENTOS!$D$4:$D$803,B3025,MOVIMIENTOS_COMPLEMENTOS!$E$4:$E$803,C3025,MOVIMIENTOS_COMPLEMENTOS!$G$4:$G$803,E3025,MOVIMIENTOS_COMPLEMENTOS!$H$4:$H$803,G3025,MOVIMIENTOS_COMPLEMENTOS!$B$4:$B$803,"SALIDA"),0)</f>
        <v>0</v>
      </c>
      <c r="I3025" s="102">
        <f t="array" ref="I3025">IFERROR(INDEX(PRECIOS_COMPLEMENTOS!$C$4:$F$17,MATCH(B3025&amp;"_"&amp;C3025,PRECIOS_COMPLEMENTOS!$H$4:$H$17,0),IF(OR(G3025="S",G3025="20cm"),1,IF(OR(G3025="M",G3025="25cm"),2,IF(OR(G3025="L",G3025="30cm"),3,IF(OR(G3025="XL",G3025="35cm"),4,0))))),0)</f>
        <v>0.45</v>
      </c>
      <c r="J3025" s="103">
        <f t="shared" si="1"/>
        <v>0</v>
      </c>
      <c r="K3025" s="104" t="str">
        <f>IF(H3025&lt;0,"ERROR",IF(H3025=0,"",IF(H3025&lt;CONFIG!$B$4,"CRÍTICO",IF(H3025&lt;CONFIG!$B$5,"BAJO","OK"))))</f>
        <v/>
      </c>
    </row>
    <row r="3026" ht="15.75" customHeight="1">
      <c r="A3026" s="90" t="str">
        <f>IF(CLIENTES!A6="","",CLIENTES!A6)</f>
        <v/>
      </c>
      <c r="B3026" s="90" t="s">
        <v>333</v>
      </c>
      <c r="C3026" s="91" t="s">
        <v>334</v>
      </c>
      <c r="D3026" s="109" t="s">
        <v>353</v>
      </c>
      <c r="E3026" s="67" t="str">
        <f>COLORES!A11</f>
        <v>Pacay</v>
      </c>
      <c r="F3026" s="67" t="str">
        <f>COLORES!B11</f>
        <v>CLARO</v>
      </c>
      <c r="G3026" s="90" t="s">
        <v>381</v>
      </c>
      <c r="H3026" s="100">
        <f>IFERROR(SUMIFS(MOVIMIENTOS_COMPLEMENTOS!$I$4:$I$803,MOVIMIENTOS_COMPLEMENTOS!$C$4:$C$803,A3026,MOVIMIENTOS_COMPLEMENTOS!$D$4:$D$803,B3026,MOVIMIENTOS_COMPLEMENTOS!$E$4:$E$803,C3026,MOVIMIENTOS_COMPLEMENTOS!$G$4:$G$803,E3026,MOVIMIENTOS_COMPLEMENTOS!$H$4:$H$803,G3026,MOVIMIENTOS_COMPLEMENTOS!$B$4:$B$803,"INGRESO")+SUMIFS(MOVIMIENTOS_COMPLEMENTOS!$I$4:$I$803,MOVIMIENTOS_COMPLEMENTOS!$C$4:$C$803,A3026,MOVIMIENTOS_COMPLEMENTOS!$D$4:$D$803,B3026,MOVIMIENTOS_COMPLEMENTOS!$E$4:$E$803,C3026,MOVIMIENTOS_COMPLEMENTOS!$G$4:$G$803,E3026,MOVIMIENTOS_COMPLEMENTOS!$H$4:$H$803,G3026,MOVIMIENTOS_COMPLEMENTOS!$B$4:$B$803,"DE CORTE")-SUMIFS(MOVIMIENTOS_COMPLEMENTOS!$I$4:$I$803,MOVIMIENTOS_COMPLEMENTOS!$C$4:$C$803,A3026,MOVIMIENTOS_COMPLEMENTOS!$D$4:$D$803,B3026,MOVIMIENTOS_COMPLEMENTOS!$E$4:$E$803,C3026,MOVIMIENTOS_COMPLEMENTOS!$G$4:$G$803,E3026,MOVIMIENTOS_COMPLEMENTOS!$H$4:$H$803,G3026,MOVIMIENTOS_COMPLEMENTOS!$B$4:$B$803,"SALIDA"),0)</f>
        <v>0</v>
      </c>
      <c r="I3026" s="102">
        <f t="array" ref="I3026">IFERROR(INDEX(PRECIOS_COMPLEMENTOS!$C$4:$F$17,MATCH(B3026&amp;"_"&amp;C3026,PRECIOS_COMPLEMENTOS!$H$4:$H$17,0),IF(OR(G3026="S",G3026="20cm"),1,IF(OR(G3026="M",G3026="25cm"),2,IF(OR(G3026="L",G3026="30cm"),3,IF(OR(G3026="XL",G3026="35cm"),4,0))))),0)</f>
        <v>0.45</v>
      </c>
      <c r="J3026" s="103">
        <f t="shared" si="1"/>
        <v>0</v>
      </c>
      <c r="K3026" s="104" t="str">
        <f>IF(H3026&lt;0,"ERROR",IF(H3026=0,"",IF(H3026&lt;CONFIG!$B$4,"CRÍTICO",IF(H3026&lt;CONFIG!$B$5,"BAJO","OK"))))</f>
        <v/>
      </c>
    </row>
    <row r="3027" ht="15.75" customHeight="1">
      <c r="A3027" s="90" t="str">
        <f>IF(CLIENTES!A6="","",CLIENTES!A6)</f>
        <v/>
      </c>
      <c r="B3027" s="90" t="s">
        <v>333</v>
      </c>
      <c r="C3027" s="91" t="s">
        <v>334</v>
      </c>
      <c r="D3027" s="109" t="s">
        <v>353</v>
      </c>
      <c r="E3027" s="67" t="str">
        <f>COLORES!A11</f>
        <v>Pacay</v>
      </c>
      <c r="F3027" s="67" t="str">
        <f>COLORES!B11</f>
        <v>CLARO</v>
      </c>
      <c r="G3027" s="90" t="s">
        <v>382</v>
      </c>
      <c r="H3027" s="100">
        <f>IFERROR(SUMIFS(MOVIMIENTOS_COMPLEMENTOS!$I$4:$I$803,MOVIMIENTOS_COMPLEMENTOS!$C$4:$C$803,A3027,MOVIMIENTOS_COMPLEMENTOS!$D$4:$D$803,B3027,MOVIMIENTOS_COMPLEMENTOS!$E$4:$E$803,C3027,MOVIMIENTOS_COMPLEMENTOS!$G$4:$G$803,E3027,MOVIMIENTOS_COMPLEMENTOS!$H$4:$H$803,G3027,MOVIMIENTOS_COMPLEMENTOS!$B$4:$B$803,"INGRESO")+SUMIFS(MOVIMIENTOS_COMPLEMENTOS!$I$4:$I$803,MOVIMIENTOS_COMPLEMENTOS!$C$4:$C$803,A3027,MOVIMIENTOS_COMPLEMENTOS!$D$4:$D$803,B3027,MOVIMIENTOS_COMPLEMENTOS!$E$4:$E$803,C3027,MOVIMIENTOS_COMPLEMENTOS!$G$4:$G$803,E3027,MOVIMIENTOS_COMPLEMENTOS!$H$4:$H$803,G3027,MOVIMIENTOS_COMPLEMENTOS!$B$4:$B$803,"DE CORTE")-SUMIFS(MOVIMIENTOS_COMPLEMENTOS!$I$4:$I$803,MOVIMIENTOS_COMPLEMENTOS!$C$4:$C$803,A3027,MOVIMIENTOS_COMPLEMENTOS!$D$4:$D$803,B3027,MOVIMIENTOS_COMPLEMENTOS!$E$4:$E$803,C3027,MOVIMIENTOS_COMPLEMENTOS!$G$4:$G$803,E3027,MOVIMIENTOS_COMPLEMENTOS!$H$4:$H$803,G3027,MOVIMIENTOS_COMPLEMENTOS!$B$4:$B$803,"SALIDA"),0)</f>
        <v>0</v>
      </c>
      <c r="I3027" s="102">
        <f t="array" ref="I3027">IFERROR(INDEX(PRECIOS_COMPLEMENTOS!$C$4:$F$17,MATCH(B3027&amp;"_"&amp;C3027,PRECIOS_COMPLEMENTOS!$H$4:$H$17,0),IF(OR(G3027="S",G3027="20cm"),1,IF(OR(G3027="M",G3027="25cm"),2,IF(OR(G3027="L",G3027="30cm"),3,IF(OR(G3027="XL",G3027="35cm"),4,0))))),0)</f>
        <v>0.45</v>
      </c>
      <c r="J3027" s="103">
        <f t="shared" si="1"/>
        <v>0</v>
      </c>
      <c r="K3027" s="104" t="str">
        <f>IF(H3027&lt;0,"ERROR",IF(H3027=0,"",IF(H3027&lt;CONFIG!$B$4,"CRÍTICO",IF(H3027&lt;CONFIG!$B$5,"BAJO","OK"))))</f>
        <v/>
      </c>
    </row>
    <row r="3028" ht="15.75" customHeight="1">
      <c r="A3028" s="90" t="str">
        <f>IF(CLIENTES!A6="","",CLIENTES!A6)</f>
        <v/>
      </c>
      <c r="B3028" s="90" t="s">
        <v>333</v>
      </c>
      <c r="C3028" s="91" t="s">
        <v>334</v>
      </c>
      <c r="D3028" s="109" t="s">
        <v>353</v>
      </c>
      <c r="E3028" s="67" t="str">
        <f>COLORES!A12</f>
        <v>Cemento</v>
      </c>
      <c r="F3028" s="67" t="str">
        <f>COLORES!B12</f>
        <v>CLARO</v>
      </c>
      <c r="G3028" s="90" t="s">
        <v>380</v>
      </c>
      <c r="H3028" s="100">
        <f>IFERROR(SUMIFS(MOVIMIENTOS_COMPLEMENTOS!$I$4:$I$803,MOVIMIENTOS_COMPLEMENTOS!$C$4:$C$803,A3028,MOVIMIENTOS_COMPLEMENTOS!$D$4:$D$803,B3028,MOVIMIENTOS_COMPLEMENTOS!$E$4:$E$803,C3028,MOVIMIENTOS_COMPLEMENTOS!$G$4:$G$803,E3028,MOVIMIENTOS_COMPLEMENTOS!$H$4:$H$803,G3028,MOVIMIENTOS_COMPLEMENTOS!$B$4:$B$803,"INGRESO")+SUMIFS(MOVIMIENTOS_COMPLEMENTOS!$I$4:$I$803,MOVIMIENTOS_COMPLEMENTOS!$C$4:$C$803,A3028,MOVIMIENTOS_COMPLEMENTOS!$D$4:$D$803,B3028,MOVIMIENTOS_COMPLEMENTOS!$E$4:$E$803,C3028,MOVIMIENTOS_COMPLEMENTOS!$G$4:$G$803,E3028,MOVIMIENTOS_COMPLEMENTOS!$H$4:$H$803,G3028,MOVIMIENTOS_COMPLEMENTOS!$B$4:$B$803,"DE CORTE")-SUMIFS(MOVIMIENTOS_COMPLEMENTOS!$I$4:$I$803,MOVIMIENTOS_COMPLEMENTOS!$C$4:$C$803,A3028,MOVIMIENTOS_COMPLEMENTOS!$D$4:$D$803,B3028,MOVIMIENTOS_COMPLEMENTOS!$E$4:$E$803,C3028,MOVIMIENTOS_COMPLEMENTOS!$G$4:$G$803,E3028,MOVIMIENTOS_COMPLEMENTOS!$H$4:$H$803,G3028,MOVIMIENTOS_COMPLEMENTOS!$B$4:$B$803,"SALIDA"),0)</f>
        <v>0</v>
      </c>
      <c r="I3028" s="102">
        <f t="array" ref="I3028">IFERROR(INDEX(PRECIOS_COMPLEMENTOS!$C$4:$F$17,MATCH(B3028&amp;"_"&amp;C3028,PRECIOS_COMPLEMENTOS!$H$4:$H$17,0),IF(OR(G3028="S",G3028="20cm"),1,IF(OR(G3028="M",G3028="25cm"),2,IF(OR(G3028="L",G3028="30cm"),3,IF(OR(G3028="XL",G3028="35cm"),4,0))))),0)</f>
        <v>0.45</v>
      </c>
      <c r="J3028" s="103">
        <f t="shared" si="1"/>
        <v>0</v>
      </c>
      <c r="K3028" s="104" t="str">
        <f>IF(H3028&lt;0,"ERROR",IF(H3028=0,"",IF(H3028&lt;CONFIG!$B$4,"CRÍTICO",IF(H3028&lt;CONFIG!$B$5,"BAJO","OK"))))</f>
        <v/>
      </c>
    </row>
    <row r="3029" ht="15.75" customHeight="1">
      <c r="A3029" s="90" t="str">
        <f>IF(CLIENTES!A6="","",CLIENTES!A6)</f>
        <v/>
      </c>
      <c r="B3029" s="90" t="s">
        <v>333</v>
      </c>
      <c r="C3029" s="91" t="s">
        <v>334</v>
      </c>
      <c r="D3029" s="109" t="s">
        <v>353</v>
      </c>
      <c r="E3029" s="67" t="str">
        <f>COLORES!A12</f>
        <v>Cemento</v>
      </c>
      <c r="F3029" s="67" t="str">
        <f>COLORES!B12</f>
        <v>CLARO</v>
      </c>
      <c r="G3029" s="90" t="s">
        <v>381</v>
      </c>
      <c r="H3029" s="100">
        <f>IFERROR(SUMIFS(MOVIMIENTOS_COMPLEMENTOS!$I$4:$I$803,MOVIMIENTOS_COMPLEMENTOS!$C$4:$C$803,A3029,MOVIMIENTOS_COMPLEMENTOS!$D$4:$D$803,B3029,MOVIMIENTOS_COMPLEMENTOS!$E$4:$E$803,C3029,MOVIMIENTOS_COMPLEMENTOS!$G$4:$G$803,E3029,MOVIMIENTOS_COMPLEMENTOS!$H$4:$H$803,G3029,MOVIMIENTOS_COMPLEMENTOS!$B$4:$B$803,"INGRESO")+SUMIFS(MOVIMIENTOS_COMPLEMENTOS!$I$4:$I$803,MOVIMIENTOS_COMPLEMENTOS!$C$4:$C$803,A3029,MOVIMIENTOS_COMPLEMENTOS!$D$4:$D$803,B3029,MOVIMIENTOS_COMPLEMENTOS!$E$4:$E$803,C3029,MOVIMIENTOS_COMPLEMENTOS!$G$4:$G$803,E3029,MOVIMIENTOS_COMPLEMENTOS!$H$4:$H$803,G3029,MOVIMIENTOS_COMPLEMENTOS!$B$4:$B$803,"DE CORTE")-SUMIFS(MOVIMIENTOS_COMPLEMENTOS!$I$4:$I$803,MOVIMIENTOS_COMPLEMENTOS!$C$4:$C$803,A3029,MOVIMIENTOS_COMPLEMENTOS!$D$4:$D$803,B3029,MOVIMIENTOS_COMPLEMENTOS!$E$4:$E$803,C3029,MOVIMIENTOS_COMPLEMENTOS!$G$4:$G$803,E3029,MOVIMIENTOS_COMPLEMENTOS!$H$4:$H$803,G3029,MOVIMIENTOS_COMPLEMENTOS!$B$4:$B$803,"SALIDA"),0)</f>
        <v>0</v>
      </c>
      <c r="I3029" s="102">
        <f t="array" ref="I3029">IFERROR(INDEX(PRECIOS_COMPLEMENTOS!$C$4:$F$17,MATCH(B3029&amp;"_"&amp;C3029,PRECIOS_COMPLEMENTOS!$H$4:$H$17,0),IF(OR(G3029="S",G3029="20cm"),1,IF(OR(G3029="M",G3029="25cm"),2,IF(OR(G3029="L",G3029="30cm"),3,IF(OR(G3029="XL",G3029="35cm"),4,0))))),0)</f>
        <v>0.45</v>
      </c>
      <c r="J3029" s="103">
        <f t="shared" si="1"/>
        <v>0</v>
      </c>
      <c r="K3029" s="104" t="str">
        <f>IF(H3029&lt;0,"ERROR",IF(H3029=0,"",IF(H3029&lt;CONFIG!$B$4,"CRÍTICO",IF(H3029&lt;CONFIG!$B$5,"BAJO","OK"))))</f>
        <v/>
      </c>
    </row>
    <row r="3030" ht="15.75" customHeight="1">
      <c r="A3030" s="90" t="str">
        <f>IF(CLIENTES!A6="","",CLIENTES!A6)</f>
        <v/>
      </c>
      <c r="B3030" s="90" t="s">
        <v>333</v>
      </c>
      <c r="C3030" s="91" t="s">
        <v>334</v>
      </c>
      <c r="D3030" s="109" t="s">
        <v>353</v>
      </c>
      <c r="E3030" s="67" t="str">
        <f>COLORES!A12</f>
        <v>Cemento</v>
      </c>
      <c r="F3030" s="67" t="str">
        <f>COLORES!B12</f>
        <v>CLARO</v>
      </c>
      <c r="G3030" s="90" t="s">
        <v>382</v>
      </c>
      <c r="H3030" s="100">
        <f>IFERROR(SUMIFS(MOVIMIENTOS_COMPLEMENTOS!$I$4:$I$803,MOVIMIENTOS_COMPLEMENTOS!$C$4:$C$803,A3030,MOVIMIENTOS_COMPLEMENTOS!$D$4:$D$803,B3030,MOVIMIENTOS_COMPLEMENTOS!$E$4:$E$803,C3030,MOVIMIENTOS_COMPLEMENTOS!$G$4:$G$803,E3030,MOVIMIENTOS_COMPLEMENTOS!$H$4:$H$803,G3030,MOVIMIENTOS_COMPLEMENTOS!$B$4:$B$803,"INGRESO")+SUMIFS(MOVIMIENTOS_COMPLEMENTOS!$I$4:$I$803,MOVIMIENTOS_COMPLEMENTOS!$C$4:$C$803,A3030,MOVIMIENTOS_COMPLEMENTOS!$D$4:$D$803,B3030,MOVIMIENTOS_COMPLEMENTOS!$E$4:$E$803,C3030,MOVIMIENTOS_COMPLEMENTOS!$G$4:$G$803,E3030,MOVIMIENTOS_COMPLEMENTOS!$H$4:$H$803,G3030,MOVIMIENTOS_COMPLEMENTOS!$B$4:$B$803,"DE CORTE")-SUMIFS(MOVIMIENTOS_COMPLEMENTOS!$I$4:$I$803,MOVIMIENTOS_COMPLEMENTOS!$C$4:$C$803,A3030,MOVIMIENTOS_COMPLEMENTOS!$D$4:$D$803,B3030,MOVIMIENTOS_COMPLEMENTOS!$E$4:$E$803,C3030,MOVIMIENTOS_COMPLEMENTOS!$G$4:$G$803,E3030,MOVIMIENTOS_COMPLEMENTOS!$H$4:$H$803,G3030,MOVIMIENTOS_COMPLEMENTOS!$B$4:$B$803,"SALIDA"),0)</f>
        <v>0</v>
      </c>
      <c r="I3030" s="102">
        <f t="array" ref="I3030">IFERROR(INDEX(PRECIOS_COMPLEMENTOS!$C$4:$F$17,MATCH(B3030&amp;"_"&amp;C3030,PRECIOS_COMPLEMENTOS!$H$4:$H$17,0),IF(OR(G3030="S",G3030="20cm"),1,IF(OR(G3030="M",G3030="25cm"),2,IF(OR(G3030="L",G3030="30cm"),3,IF(OR(G3030="XL",G3030="35cm"),4,0))))),0)</f>
        <v>0.45</v>
      </c>
      <c r="J3030" s="103">
        <f t="shared" si="1"/>
        <v>0</v>
      </c>
      <c r="K3030" s="104" t="str">
        <f>IF(H3030&lt;0,"ERROR",IF(H3030=0,"",IF(H3030&lt;CONFIG!$B$4,"CRÍTICO",IF(H3030&lt;CONFIG!$B$5,"BAJO","OK"))))</f>
        <v/>
      </c>
    </row>
    <row r="3031" ht="15.75" customHeight="1">
      <c r="A3031" s="90" t="str">
        <f>IF(CLIENTES!A6="","",CLIENTES!A6)</f>
        <v/>
      </c>
      <c r="B3031" s="90" t="s">
        <v>333</v>
      </c>
      <c r="C3031" s="91" t="s">
        <v>334</v>
      </c>
      <c r="D3031" s="109" t="s">
        <v>353</v>
      </c>
      <c r="E3031" s="67" t="str">
        <f>COLORES!A13</f>
        <v>Camote</v>
      </c>
      <c r="F3031" s="67" t="str">
        <f>COLORES!B13</f>
        <v>CLARO</v>
      </c>
      <c r="G3031" s="90" t="s">
        <v>380</v>
      </c>
      <c r="H3031" s="100">
        <f>IFERROR(SUMIFS(MOVIMIENTOS_COMPLEMENTOS!$I$4:$I$803,MOVIMIENTOS_COMPLEMENTOS!$C$4:$C$803,A3031,MOVIMIENTOS_COMPLEMENTOS!$D$4:$D$803,B3031,MOVIMIENTOS_COMPLEMENTOS!$E$4:$E$803,C3031,MOVIMIENTOS_COMPLEMENTOS!$G$4:$G$803,E3031,MOVIMIENTOS_COMPLEMENTOS!$H$4:$H$803,G3031,MOVIMIENTOS_COMPLEMENTOS!$B$4:$B$803,"INGRESO")+SUMIFS(MOVIMIENTOS_COMPLEMENTOS!$I$4:$I$803,MOVIMIENTOS_COMPLEMENTOS!$C$4:$C$803,A3031,MOVIMIENTOS_COMPLEMENTOS!$D$4:$D$803,B3031,MOVIMIENTOS_COMPLEMENTOS!$E$4:$E$803,C3031,MOVIMIENTOS_COMPLEMENTOS!$G$4:$G$803,E3031,MOVIMIENTOS_COMPLEMENTOS!$H$4:$H$803,G3031,MOVIMIENTOS_COMPLEMENTOS!$B$4:$B$803,"DE CORTE")-SUMIFS(MOVIMIENTOS_COMPLEMENTOS!$I$4:$I$803,MOVIMIENTOS_COMPLEMENTOS!$C$4:$C$803,A3031,MOVIMIENTOS_COMPLEMENTOS!$D$4:$D$803,B3031,MOVIMIENTOS_COMPLEMENTOS!$E$4:$E$803,C3031,MOVIMIENTOS_COMPLEMENTOS!$G$4:$G$803,E3031,MOVIMIENTOS_COMPLEMENTOS!$H$4:$H$803,G3031,MOVIMIENTOS_COMPLEMENTOS!$B$4:$B$803,"SALIDA"),0)</f>
        <v>0</v>
      </c>
      <c r="I3031" s="102">
        <f t="array" ref="I3031">IFERROR(INDEX(PRECIOS_COMPLEMENTOS!$C$4:$F$17,MATCH(B3031&amp;"_"&amp;C3031,PRECIOS_COMPLEMENTOS!$H$4:$H$17,0),IF(OR(G3031="S",G3031="20cm"),1,IF(OR(G3031="M",G3031="25cm"),2,IF(OR(G3031="L",G3031="30cm"),3,IF(OR(G3031="XL",G3031="35cm"),4,0))))),0)</f>
        <v>0.45</v>
      </c>
      <c r="J3031" s="103">
        <f t="shared" si="1"/>
        <v>0</v>
      </c>
      <c r="K3031" s="104" t="str">
        <f>IF(H3031&lt;0,"ERROR",IF(H3031=0,"",IF(H3031&lt;CONFIG!$B$4,"CRÍTICO",IF(H3031&lt;CONFIG!$B$5,"BAJO","OK"))))</f>
        <v/>
      </c>
    </row>
    <row r="3032" ht="15.75" customHeight="1">
      <c r="A3032" s="90" t="str">
        <f>IF(CLIENTES!A6="","",CLIENTES!A6)</f>
        <v/>
      </c>
      <c r="B3032" s="90" t="s">
        <v>333</v>
      </c>
      <c r="C3032" s="91" t="s">
        <v>334</v>
      </c>
      <c r="D3032" s="109" t="s">
        <v>353</v>
      </c>
      <c r="E3032" s="67" t="str">
        <f>COLORES!A13</f>
        <v>Camote</v>
      </c>
      <c r="F3032" s="67" t="str">
        <f>COLORES!B13</f>
        <v>CLARO</v>
      </c>
      <c r="G3032" s="90" t="s">
        <v>381</v>
      </c>
      <c r="H3032" s="100">
        <f>IFERROR(SUMIFS(MOVIMIENTOS_COMPLEMENTOS!$I$4:$I$803,MOVIMIENTOS_COMPLEMENTOS!$C$4:$C$803,A3032,MOVIMIENTOS_COMPLEMENTOS!$D$4:$D$803,B3032,MOVIMIENTOS_COMPLEMENTOS!$E$4:$E$803,C3032,MOVIMIENTOS_COMPLEMENTOS!$G$4:$G$803,E3032,MOVIMIENTOS_COMPLEMENTOS!$H$4:$H$803,G3032,MOVIMIENTOS_COMPLEMENTOS!$B$4:$B$803,"INGRESO")+SUMIFS(MOVIMIENTOS_COMPLEMENTOS!$I$4:$I$803,MOVIMIENTOS_COMPLEMENTOS!$C$4:$C$803,A3032,MOVIMIENTOS_COMPLEMENTOS!$D$4:$D$803,B3032,MOVIMIENTOS_COMPLEMENTOS!$E$4:$E$803,C3032,MOVIMIENTOS_COMPLEMENTOS!$G$4:$G$803,E3032,MOVIMIENTOS_COMPLEMENTOS!$H$4:$H$803,G3032,MOVIMIENTOS_COMPLEMENTOS!$B$4:$B$803,"DE CORTE")-SUMIFS(MOVIMIENTOS_COMPLEMENTOS!$I$4:$I$803,MOVIMIENTOS_COMPLEMENTOS!$C$4:$C$803,A3032,MOVIMIENTOS_COMPLEMENTOS!$D$4:$D$803,B3032,MOVIMIENTOS_COMPLEMENTOS!$E$4:$E$803,C3032,MOVIMIENTOS_COMPLEMENTOS!$G$4:$G$803,E3032,MOVIMIENTOS_COMPLEMENTOS!$H$4:$H$803,G3032,MOVIMIENTOS_COMPLEMENTOS!$B$4:$B$803,"SALIDA"),0)</f>
        <v>0</v>
      </c>
      <c r="I3032" s="102">
        <f t="array" ref="I3032">IFERROR(INDEX(PRECIOS_COMPLEMENTOS!$C$4:$F$17,MATCH(B3032&amp;"_"&amp;C3032,PRECIOS_COMPLEMENTOS!$H$4:$H$17,0),IF(OR(G3032="S",G3032="20cm"),1,IF(OR(G3032="M",G3032="25cm"),2,IF(OR(G3032="L",G3032="30cm"),3,IF(OR(G3032="XL",G3032="35cm"),4,0))))),0)</f>
        <v>0.45</v>
      </c>
      <c r="J3032" s="103">
        <f t="shared" si="1"/>
        <v>0</v>
      </c>
      <c r="K3032" s="104" t="str">
        <f>IF(H3032&lt;0,"ERROR",IF(H3032=0,"",IF(H3032&lt;CONFIG!$B$4,"CRÍTICO",IF(H3032&lt;CONFIG!$B$5,"BAJO","OK"))))</f>
        <v/>
      </c>
    </row>
    <row r="3033" ht="15.75" customHeight="1">
      <c r="A3033" s="90" t="str">
        <f>IF(CLIENTES!A6="","",CLIENTES!A6)</f>
        <v/>
      </c>
      <c r="B3033" s="90" t="s">
        <v>333</v>
      </c>
      <c r="C3033" s="91" t="s">
        <v>334</v>
      </c>
      <c r="D3033" s="109" t="s">
        <v>353</v>
      </c>
      <c r="E3033" s="67" t="str">
        <f>COLORES!A13</f>
        <v>Camote</v>
      </c>
      <c r="F3033" s="67" t="str">
        <f>COLORES!B13</f>
        <v>CLARO</v>
      </c>
      <c r="G3033" s="90" t="s">
        <v>382</v>
      </c>
      <c r="H3033" s="100">
        <f>IFERROR(SUMIFS(MOVIMIENTOS_COMPLEMENTOS!$I$4:$I$803,MOVIMIENTOS_COMPLEMENTOS!$C$4:$C$803,A3033,MOVIMIENTOS_COMPLEMENTOS!$D$4:$D$803,B3033,MOVIMIENTOS_COMPLEMENTOS!$E$4:$E$803,C3033,MOVIMIENTOS_COMPLEMENTOS!$G$4:$G$803,E3033,MOVIMIENTOS_COMPLEMENTOS!$H$4:$H$803,G3033,MOVIMIENTOS_COMPLEMENTOS!$B$4:$B$803,"INGRESO")+SUMIFS(MOVIMIENTOS_COMPLEMENTOS!$I$4:$I$803,MOVIMIENTOS_COMPLEMENTOS!$C$4:$C$803,A3033,MOVIMIENTOS_COMPLEMENTOS!$D$4:$D$803,B3033,MOVIMIENTOS_COMPLEMENTOS!$E$4:$E$803,C3033,MOVIMIENTOS_COMPLEMENTOS!$G$4:$G$803,E3033,MOVIMIENTOS_COMPLEMENTOS!$H$4:$H$803,G3033,MOVIMIENTOS_COMPLEMENTOS!$B$4:$B$803,"DE CORTE")-SUMIFS(MOVIMIENTOS_COMPLEMENTOS!$I$4:$I$803,MOVIMIENTOS_COMPLEMENTOS!$C$4:$C$803,A3033,MOVIMIENTOS_COMPLEMENTOS!$D$4:$D$803,B3033,MOVIMIENTOS_COMPLEMENTOS!$E$4:$E$803,C3033,MOVIMIENTOS_COMPLEMENTOS!$G$4:$G$803,E3033,MOVIMIENTOS_COMPLEMENTOS!$H$4:$H$803,G3033,MOVIMIENTOS_COMPLEMENTOS!$B$4:$B$803,"SALIDA"),0)</f>
        <v>0</v>
      </c>
      <c r="I3033" s="102">
        <f t="array" ref="I3033">IFERROR(INDEX(PRECIOS_COMPLEMENTOS!$C$4:$F$17,MATCH(B3033&amp;"_"&amp;C3033,PRECIOS_COMPLEMENTOS!$H$4:$H$17,0),IF(OR(G3033="S",G3033="20cm"),1,IF(OR(G3033="M",G3033="25cm"),2,IF(OR(G3033="L",G3033="30cm"),3,IF(OR(G3033="XL",G3033="35cm"),4,0))))),0)</f>
        <v>0.45</v>
      </c>
      <c r="J3033" s="103">
        <f t="shared" si="1"/>
        <v>0</v>
      </c>
      <c r="K3033" s="104" t="str">
        <f>IF(H3033&lt;0,"ERROR",IF(H3033=0,"",IF(H3033&lt;CONFIG!$B$4,"CRÍTICO",IF(H3033&lt;CONFIG!$B$5,"BAJO","OK"))))</f>
        <v/>
      </c>
    </row>
    <row r="3034" ht="15.75" customHeight="1">
      <c r="A3034" s="90" t="str">
        <f>IF(CLIENTES!A6="","",CLIENTES!A6)</f>
        <v/>
      </c>
      <c r="B3034" s="90" t="s">
        <v>333</v>
      </c>
      <c r="C3034" s="91" t="s">
        <v>334</v>
      </c>
      <c r="D3034" s="109" t="s">
        <v>353</v>
      </c>
      <c r="E3034" s="67" t="str">
        <f>COLORES!A14</f>
        <v>Denim</v>
      </c>
      <c r="F3034" s="67" t="str">
        <f>COLORES!B14</f>
        <v>CLARO</v>
      </c>
      <c r="G3034" s="90" t="s">
        <v>380</v>
      </c>
      <c r="H3034" s="100">
        <f>IFERROR(SUMIFS(MOVIMIENTOS_COMPLEMENTOS!$I$4:$I$803,MOVIMIENTOS_COMPLEMENTOS!$C$4:$C$803,A3034,MOVIMIENTOS_COMPLEMENTOS!$D$4:$D$803,B3034,MOVIMIENTOS_COMPLEMENTOS!$E$4:$E$803,C3034,MOVIMIENTOS_COMPLEMENTOS!$G$4:$G$803,E3034,MOVIMIENTOS_COMPLEMENTOS!$H$4:$H$803,G3034,MOVIMIENTOS_COMPLEMENTOS!$B$4:$B$803,"INGRESO")+SUMIFS(MOVIMIENTOS_COMPLEMENTOS!$I$4:$I$803,MOVIMIENTOS_COMPLEMENTOS!$C$4:$C$803,A3034,MOVIMIENTOS_COMPLEMENTOS!$D$4:$D$803,B3034,MOVIMIENTOS_COMPLEMENTOS!$E$4:$E$803,C3034,MOVIMIENTOS_COMPLEMENTOS!$G$4:$G$803,E3034,MOVIMIENTOS_COMPLEMENTOS!$H$4:$H$803,G3034,MOVIMIENTOS_COMPLEMENTOS!$B$4:$B$803,"DE CORTE")-SUMIFS(MOVIMIENTOS_COMPLEMENTOS!$I$4:$I$803,MOVIMIENTOS_COMPLEMENTOS!$C$4:$C$803,A3034,MOVIMIENTOS_COMPLEMENTOS!$D$4:$D$803,B3034,MOVIMIENTOS_COMPLEMENTOS!$E$4:$E$803,C3034,MOVIMIENTOS_COMPLEMENTOS!$G$4:$G$803,E3034,MOVIMIENTOS_COMPLEMENTOS!$H$4:$H$803,G3034,MOVIMIENTOS_COMPLEMENTOS!$B$4:$B$803,"SALIDA"),0)</f>
        <v>0</v>
      </c>
      <c r="I3034" s="102">
        <f t="array" ref="I3034">IFERROR(INDEX(PRECIOS_COMPLEMENTOS!$C$4:$F$17,MATCH(B3034&amp;"_"&amp;C3034,PRECIOS_COMPLEMENTOS!$H$4:$H$17,0),IF(OR(G3034="S",G3034="20cm"),1,IF(OR(G3034="M",G3034="25cm"),2,IF(OR(G3034="L",G3034="30cm"),3,IF(OR(G3034="XL",G3034="35cm"),4,0))))),0)</f>
        <v>0.45</v>
      </c>
      <c r="J3034" s="103">
        <f t="shared" si="1"/>
        <v>0</v>
      </c>
      <c r="K3034" s="104" t="str">
        <f>IF(H3034&lt;0,"ERROR",IF(H3034=0,"",IF(H3034&lt;CONFIG!$B$4,"CRÍTICO",IF(H3034&lt;CONFIG!$B$5,"BAJO","OK"))))</f>
        <v/>
      </c>
    </row>
    <row r="3035" ht="15.75" customHeight="1">
      <c r="A3035" s="90" t="str">
        <f>IF(CLIENTES!A6="","",CLIENTES!A6)</f>
        <v/>
      </c>
      <c r="B3035" s="90" t="s">
        <v>333</v>
      </c>
      <c r="C3035" s="91" t="s">
        <v>334</v>
      </c>
      <c r="D3035" s="109" t="s">
        <v>353</v>
      </c>
      <c r="E3035" s="67" t="str">
        <f>COLORES!A14</f>
        <v>Denim</v>
      </c>
      <c r="F3035" s="67" t="str">
        <f>COLORES!B14</f>
        <v>CLARO</v>
      </c>
      <c r="G3035" s="90" t="s">
        <v>381</v>
      </c>
      <c r="H3035" s="100">
        <f>IFERROR(SUMIFS(MOVIMIENTOS_COMPLEMENTOS!$I$4:$I$803,MOVIMIENTOS_COMPLEMENTOS!$C$4:$C$803,A3035,MOVIMIENTOS_COMPLEMENTOS!$D$4:$D$803,B3035,MOVIMIENTOS_COMPLEMENTOS!$E$4:$E$803,C3035,MOVIMIENTOS_COMPLEMENTOS!$G$4:$G$803,E3035,MOVIMIENTOS_COMPLEMENTOS!$H$4:$H$803,G3035,MOVIMIENTOS_COMPLEMENTOS!$B$4:$B$803,"INGRESO")+SUMIFS(MOVIMIENTOS_COMPLEMENTOS!$I$4:$I$803,MOVIMIENTOS_COMPLEMENTOS!$C$4:$C$803,A3035,MOVIMIENTOS_COMPLEMENTOS!$D$4:$D$803,B3035,MOVIMIENTOS_COMPLEMENTOS!$E$4:$E$803,C3035,MOVIMIENTOS_COMPLEMENTOS!$G$4:$G$803,E3035,MOVIMIENTOS_COMPLEMENTOS!$H$4:$H$803,G3035,MOVIMIENTOS_COMPLEMENTOS!$B$4:$B$803,"DE CORTE")-SUMIFS(MOVIMIENTOS_COMPLEMENTOS!$I$4:$I$803,MOVIMIENTOS_COMPLEMENTOS!$C$4:$C$803,A3035,MOVIMIENTOS_COMPLEMENTOS!$D$4:$D$803,B3035,MOVIMIENTOS_COMPLEMENTOS!$E$4:$E$803,C3035,MOVIMIENTOS_COMPLEMENTOS!$G$4:$G$803,E3035,MOVIMIENTOS_COMPLEMENTOS!$H$4:$H$803,G3035,MOVIMIENTOS_COMPLEMENTOS!$B$4:$B$803,"SALIDA"),0)</f>
        <v>0</v>
      </c>
      <c r="I3035" s="102">
        <f t="array" ref="I3035">IFERROR(INDEX(PRECIOS_COMPLEMENTOS!$C$4:$F$17,MATCH(B3035&amp;"_"&amp;C3035,PRECIOS_COMPLEMENTOS!$H$4:$H$17,0),IF(OR(G3035="S",G3035="20cm"),1,IF(OR(G3035="M",G3035="25cm"),2,IF(OR(G3035="L",G3035="30cm"),3,IF(OR(G3035="XL",G3035="35cm"),4,0))))),0)</f>
        <v>0.45</v>
      </c>
      <c r="J3035" s="103">
        <f t="shared" si="1"/>
        <v>0</v>
      </c>
      <c r="K3035" s="104" t="str">
        <f>IF(H3035&lt;0,"ERROR",IF(H3035=0,"",IF(H3035&lt;CONFIG!$B$4,"CRÍTICO",IF(H3035&lt;CONFIG!$B$5,"BAJO","OK"))))</f>
        <v/>
      </c>
    </row>
    <row r="3036" ht="15.75" customHeight="1">
      <c r="A3036" s="90" t="str">
        <f>IF(CLIENTES!A6="","",CLIENTES!A6)</f>
        <v/>
      </c>
      <c r="B3036" s="90" t="s">
        <v>333</v>
      </c>
      <c r="C3036" s="91" t="s">
        <v>334</v>
      </c>
      <c r="D3036" s="109" t="s">
        <v>353</v>
      </c>
      <c r="E3036" s="67" t="str">
        <f>COLORES!A14</f>
        <v>Denim</v>
      </c>
      <c r="F3036" s="67" t="str">
        <f>COLORES!B14</f>
        <v>CLARO</v>
      </c>
      <c r="G3036" s="90" t="s">
        <v>382</v>
      </c>
      <c r="H3036" s="100">
        <f>IFERROR(SUMIFS(MOVIMIENTOS_COMPLEMENTOS!$I$4:$I$803,MOVIMIENTOS_COMPLEMENTOS!$C$4:$C$803,A3036,MOVIMIENTOS_COMPLEMENTOS!$D$4:$D$803,B3036,MOVIMIENTOS_COMPLEMENTOS!$E$4:$E$803,C3036,MOVIMIENTOS_COMPLEMENTOS!$G$4:$G$803,E3036,MOVIMIENTOS_COMPLEMENTOS!$H$4:$H$803,G3036,MOVIMIENTOS_COMPLEMENTOS!$B$4:$B$803,"INGRESO")+SUMIFS(MOVIMIENTOS_COMPLEMENTOS!$I$4:$I$803,MOVIMIENTOS_COMPLEMENTOS!$C$4:$C$803,A3036,MOVIMIENTOS_COMPLEMENTOS!$D$4:$D$803,B3036,MOVIMIENTOS_COMPLEMENTOS!$E$4:$E$803,C3036,MOVIMIENTOS_COMPLEMENTOS!$G$4:$G$803,E3036,MOVIMIENTOS_COMPLEMENTOS!$H$4:$H$803,G3036,MOVIMIENTOS_COMPLEMENTOS!$B$4:$B$803,"DE CORTE")-SUMIFS(MOVIMIENTOS_COMPLEMENTOS!$I$4:$I$803,MOVIMIENTOS_COMPLEMENTOS!$C$4:$C$803,A3036,MOVIMIENTOS_COMPLEMENTOS!$D$4:$D$803,B3036,MOVIMIENTOS_COMPLEMENTOS!$E$4:$E$803,C3036,MOVIMIENTOS_COMPLEMENTOS!$G$4:$G$803,E3036,MOVIMIENTOS_COMPLEMENTOS!$H$4:$H$803,G3036,MOVIMIENTOS_COMPLEMENTOS!$B$4:$B$803,"SALIDA"),0)</f>
        <v>0</v>
      </c>
      <c r="I3036" s="102">
        <f t="array" ref="I3036">IFERROR(INDEX(PRECIOS_COMPLEMENTOS!$C$4:$F$17,MATCH(B3036&amp;"_"&amp;C3036,PRECIOS_COMPLEMENTOS!$H$4:$H$17,0),IF(OR(G3036="S",G3036="20cm"),1,IF(OR(G3036="M",G3036="25cm"),2,IF(OR(G3036="L",G3036="30cm"),3,IF(OR(G3036="XL",G3036="35cm"),4,0))))),0)</f>
        <v>0.45</v>
      </c>
      <c r="J3036" s="103">
        <f t="shared" si="1"/>
        <v>0</v>
      </c>
      <c r="K3036" s="104" t="str">
        <f>IF(H3036&lt;0,"ERROR",IF(H3036=0,"",IF(H3036&lt;CONFIG!$B$4,"CRÍTICO",IF(H3036&lt;CONFIG!$B$5,"BAJO","OK"))))</f>
        <v/>
      </c>
    </row>
    <row r="3037" ht="15.75" customHeight="1">
      <c r="A3037" s="90" t="str">
        <f>IF(CLIENTES!A6="","",CLIENTES!A6)</f>
        <v/>
      </c>
      <c r="B3037" s="90" t="s">
        <v>333</v>
      </c>
      <c r="C3037" s="91" t="s">
        <v>334</v>
      </c>
      <c r="D3037" s="109" t="s">
        <v>353</v>
      </c>
      <c r="E3037" s="67" t="str">
        <f>COLORES!A15</f>
        <v>Plomo</v>
      </c>
      <c r="F3037" s="67" t="str">
        <f>COLORES!B15</f>
        <v>OSCURO</v>
      </c>
      <c r="G3037" s="90" t="s">
        <v>380</v>
      </c>
      <c r="H3037" s="100">
        <f>IFERROR(SUMIFS(MOVIMIENTOS_COMPLEMENTOS!$I$4:$I$803,MOVIMIENTOS_COMPLEMENTOS!$C$4:$C$803,A3037,MOVIMIENTOS_COMPLEMENTOS!$D$4:$D$803,B3037,MOVIMIENTOS_COMPLEMENTOS!$E$4:$E$803,C3037,MOVIMIENTOS_COMPLEMENTOS!$G$4:$G$803,E3037,MOVIMIENTOS_COMPLEMENTOS!$H$4:$H$803,G3037,MOVIMIENTOS_COMPLEMENTOS!$B$4:$B$803,"INGRESO")+SUMIFS(MOVIMIENTOS_COMPLEMENTOS!$I$4:$I$803,MOVIMIENTOS_COMPLEMENTOS!$C$4:$C$803,A3037,MOVIMIENTOS_COMPLEMENTOS!$D$4:$D$803,B3037,MOVIMIENTOS_COMPLEMENTOS!$E$4:$E$803,C3037,MOVIMIENTOS_COMPLEMENTOS!$G$4:$G$803,E3037,MOVIMIENTOS_COMPLEMENTOS!$H$4:$H$803,G3037,MOVIMIENTOS_COMPLEMENTOS!$B$4:$B$803,"DE CORTE")-SUMIFS(MOVIMIENTOS_COMPLEMENTOS!$I$4:$I$803,MOVIMIENTOS_COMPLEMENTOS!$C$4:$C$803,A3037,MOVIMIENTOS_COMPLEMENTOS!$D$4:$D$803,B3037,MOVIMIENTOS_COMPLEMENTOS!$E$4:$E$803,C3037,MOVIMIENTOS_COMPLEMENTOS!$G$4:$G$803,E3037,MOVIMIENTOS_COMPLEMENTOS!$H$4:$H$803,G3037,MOVIMIENTOS_COMPLEMENTOS!$B$4:$B$803,"SALIDA"),0)</f>
        <v>0</v>
      </c>
      <c r="I3037" s="102">
        <f t="array" ref="I3037">IFERROR(INDEX(PRECIOS_COMPLEMENTOS!$C$4:$F$17,MATCH(B3037&amp;"_"&amp;C3037,PRECIOS_COMPLEMENTOS!$H$4:$H$17,0),IF(OR(G3037="S",G3037="20cm"),1,IF(OR(G3037="M",G3037="25cm"),2,IF(OR(G3037="L",G3037="30cm"),3,IF(OR(G3037="XL",G3037="35cm"),4,0))))),0)</f>
        <v>0.45</v>
      </c>
      <c r="J3037" s="103">
        <f t="shared" si="1"/>
        <v>0</v>
      </c>
      <c r="K3037" s="104" t="str">
        <f>IF(H3037&lt;0,"ERROR",IF(H3037=0,"",IF(H3037&lt;CONFIG!$B$4,"CRÍTICO",IF(H3037&lt;CONFIG!$B$5,"BAJO","OK"))))</f>
        <v/>
      </c>
    </row>
    <row r="3038" ht="15.75" customHeight="1">
      <c r="A3038" s="90" t="str">
        <f>IF(CLIENTES!A6="","",CLIENTES!A6)</f>
        <v/>
      </c>
      <c r="B3038" s="90" t="s">
        <v>333</v>
      </c>
      <c r="C3038" s="91" t="s">
        <v>334</v>
      </c>
      <c r="D3038" s="109" t="s">
        <v>353</v>
      </c>
      <c r="E3038" s="67" t="str">
        <f>COLORES!A15</f>
        <v>Plomo</v>
      </c>
      <c r="F3038" s="67" t="str">
        <f>COLORES!B15</f>
        <v>OSCURO</v>
      </c>
      <c r="G3038" s="90" t="s">
        <v>381</v>
      </c>
      <c r="H3038" s="100">
        <f>IFERROR(SUMIFS(MOVIMIENTOS_COMPLEMENTOS!$I$4:$I$803,MOVIMIENTOS_COMPLEMENTOS!$C$4:$C$803,A3038,MOVIMIENTOS_COMPLEMENTOS!$D$4:$D$803,B3038,MOVIMIENTOS_COMPLEMENTOS!$E$4:$E$803,C3038,MOVIMIENTOS_COMPLEMENTOS!$G$4:$G$803,E3038,MOVIMIENTOS_COMPLEMENTOS!$H$4:$H$803,G3038,MOVIMIENTOS_COMPLEMENTOS!$B$4:$B$803,"INGRESO")+SUMIFS(MOVIMIENTOS_COMPLEMENTOS!$I$4:$I$803,MOVIMIENTOS_COMPLEMENTOS!$C$4:$C$803,A3038,MOVIMIENTOS_COMPLEMENTOS!$D$4:$D$803,B3038,MOVIMIENTOS_COMPLEMENTOS!$E$4:$E$803,C3038,MOVIMIENTOS_COMPLEMENTOS!$G$4:$G$803,E3038,MOVIMIENTOS_COMPLEMENTOS!$H$4:$H$803,G3038,MOVIMIENTOS_COMPLEMENTOS!$B$4:$B$803,"DE CORTE")-SUMIFS(MOVIMIENTOS_COMPLEMENTOS!$I$4:$I$803,MOVIMIENTOS_COMPLEMENTOS!$C$4:$C$803,A3038,MOVIMIENTOS_COMPLEMENTOS!$D$4:$D$803,B3038,MOVIMIENTOS_COMPLEMENTOS!$E$4:$E$803,C3038,MOVIMIENTOS_COMPLEMENTOS!$G$4:$G$803,E3038,MOVIMIENTOS_COMPLEMENTOS!$H$4:$H$803,G3038,MOVIMIENTOS_COMPLEMENTOS!$B$4:$B$803,"SALIDA"),0)</f>
        <v>0</v>
      </c>
      <c r="I3038" s="102">
        <f t="array" ref="I3038">IFERROR(INDEX(PRECIOS_COMPLEMENTOS!$C$4:$F$17,MATCH(B3038&amp;"_"&amp;C3038,PRECIOS_COMPLEMENTOS!$H$4:$H$17,0),IF(OR(G3038="S",G3038="20cm"),1,IF(OR(G3038="M",G3038="25cm"),2,IF(OR(G3038="L",G3038="30cm"),3,IF(OR(G3038="XL",G3038="35cm"),4,0))))),0)</f>
        <v>0.45</v>
      </c>
      <c r="J3038" s="103">
        <f t="shared" si="1"/>
        <v>0</v>
      </c>
      <c r="K3038" s="104" t="str">
        <f>IF(H3038&lt;0,"ERROR",IF(H3038=0,"",IF(H3038&lt;CONFIG!$B$4,"CRÍTICO",IF(H3038&lt;CONFIG!$B$5,"BAJO","OK"))))</f>
        <v/>
      </c>
    </row>
    <row r="3039" ht="15.75" customHeight="1">
      <c r="A3039" s="90" t="str">
        <f>IF(CLIENTES!A6="","",CLIENTES!A6)</f>
        <v/>
      </c>
      <c r="B3039" s="90" t="s">
        <v>333</v>
      </c>
      <c r="C3039" s="91" t="s">
        <v>334</v>
      </c>
      <c r="D3039" s="109" t="s">
        <v>353</v>
      </c>
      <c r="E3039" s="67" t="str">
        <f>COLORES!A15</f>
        <v>Plomo</v>
      </c>
      <c r="F3039" s="67" t="str">
        <f>COLORES!B15</f>
        <v>OSCURO</v>
      </c>
      <c r="G3039" s="90" t="s">
        <v>382</v>
      </c>
      <c r="H3039" s="100">
        <f>IFERROR(SUMIFS(MOVIMIENTOS_COMPLEMENTOS!$I$4:$I$803,MOVIMIENTOS_COMPLEMENTOS!$C$4:$C$803,A3039,MOVIMIENTOS_COMPLEMENTOS!$D$4:$D$803,B3039,MOVIMIENTOS_COMPLEMENTOS!$E$4:$E$803,C3039,MOVIMIENTOS_COMPLEMENTOS!$G$4:$G$803,E3039,MOVIMIENTOS_COMPLEMENTOS!$H$4:$H$803,G3039,MOVIMIENTOS_COMPLEMENTOS!$B$4:$B$803,"INGRESO")+SUMIFS(MOVIMIENTOS_COMPLEMENTOS!$I$4:$I$803,MOVIMIENTOS_COMPLEMENTOS!$C$4:$C$803,A3039,MOVIMIENTOS_COMPLEMENTOS!$D$4:$D$803,B3039,MOVIMIENTOS_COMPLEMENTOS!$E$4:$E$803,C3039,MOVIMIENTOS_COMPLEMENTOS!$G$4:$G$803,E3039,MOVIMIENTOS_COMPLEMENTOS!$H$4:$H$803,G3039,MOVIMIENTOS_COMPLEMENTOS!$B$4:$B$803,"DE CORTE")-SUMIFS(MOVIMIENTOS_COMPLEMENTOS!$I$4:$I$803,MOVIMIENTOS_COMPLEMENTOS!$C$4:$C$803,A3039,MOVIMIENTOS_COMPLEMENTOS!$D$4:$D$803,B3039,MOVIMIENTOS_COMPLEMENTOS!$E$4:$E$803,C3039,MOVIMIENTOS_COMPLEMENTOS!$G$4:$G$803,E3039,MOVIMIENTOS_COMPLEMENTOS!$H$4:$H$803,G3039,MOVIMIENTOS_COMPLEMENTOS!$B$4:$B$803,"SALIDA"),0)</f>
        <v>0</v>
      </c>
      <c r="I3039" s="102">
        <f t="array" ref="I3039">IFERROR(INDEX(PRECIOS_COMPLEMENTOS!$C$4:$F$17,MATCH(B3039&amp;"_"&amp;C3039,PRECIOS_COMPLEMENTOS!$H$4:$H$17,0),IF(OR(G3039="S",G3039="20cm"),1,IF(OR(G3039="M",G3039="25cm"),2,IF(OR(G3039="L",G3039="30cm"),3,IF(OR(G3039="XL",G3039="35cm"),4,0))))),0)</f>
        <v>0.45</v>
      </c>
      <c r="J3039" s="103">
        <f t="shared" si="1"/>
        <v>0</v>
      </c>
      <c r="K3039" s="104" t="str">
        <f>IF(H3039&lt;0,"ERROR",IF(H3039=0,"",IF(H3039&lt;CONFIG!$B$4,"CRÍTICO",IF(H3039&lt;CONFIG!$B$5,"BAJO","OK"))))</f>
        <v/>
      </c>
    </row>
    <row r="3040" ht="15.75" customHeight="1">
      <c r="A3040" s="90" t="str">
        <f>IF(CLIENTES!A6="","",CLIENTES!A6)</f>
        <v/>
      </c>
      <c r="B3040" s="90" t="s">
        <v>333</v>
      </c>
      <c r="C3040" s="91" t="s">
        <v>334</v>
      </c>
      <c r="D3040" s="109" t="s">
        <v>353</v>
      </c>
      <c r="E3040" s="67" t="str">
        <f>COLORES!A16</f>
        <v>Topo</v>
      </c>
      <c r="F3040" s="67" t="str">
        <f>COLORES!B16</f>
        <v>CLARO</v>
      </c>
      <c r="G3040" s="90" t="s">
        <v>380</v>
      </c>
      <c r="H3040" s="100">
        <f>IFERROR(SUMIFS(MOVIMIENTOS_COMPLEMENTOS!$I$4:$I$803,MOVIMIENTOS_COMPLEMENTOS!$C$4:$C$803,A3040,MOVIMIENTOS_COMPLEMENTOS!$D$4:$D$803,B3040,MOVIMIENTOS_COMPLEMENTOS!$E$4:$E$803,C3040,MOVIMIENTOS_COMPLEMENTOS!$G$4:$G$803,E3040,MOVIMIENTOS_COMPLEMENTOS!$H$4:$H$803,G3040,MOVIMIENTOS_COMPLEMENTOS!$B$4:$B$803,"INGRESO")+SUMIFS(MOVIMIENTOS_COMPLEMENTOS!$I$4:$I$803,MOVIMIENTOS_COMPLEMENTOS!$C$4:$C$803,A3040,MOVIMIENTOS_COMPLEMENTOS!$D$4:$D$803,B3040,MOVIMIENTOS_COMPLEMENTOS!$E$4:$E$803,C3040,MOVIMIENTOS_COMPLEMENTOS!$G$4:$G$803,E3040,MOVIMIENTOS_COMPLEMENTOS!$H$4:$H$803,G3040,MOVIMIENTOS_COMPLEMENTOS!$B$4:$B$803,"DE CORTE")-SUMIFS(MOVIMIENTOS_COMPLEMENTOS!$I$4:$I$803,MOVIMIENTOS_COMPLEMENTOS!$C$4:$C$803,A3040,MOVIMIENTOS_COMPLEMENTOS!$D$4:$D$803,B3040,MOVIMIENTOS_COMPLEMENTOS!$E$4:$E$803,C3040,MOVIMIENTOS_COMPLEMENTOS!$G$4:$G$803,E3040,MOVIMIENTOS_COMPLEMENTOS!$H$4:$H$803,G3040,MOVIMIENTOS_COMPLEMENTOS!$B$4:$B$803,"SALIDA"),0)</f>
        <v>0</v>
      </c>
      <c r="I3040" s="102">
        <f t="array" ref="I3040">IFERROR(INDEX(PRECIOS_COMPLEMENTOS!$C$4:$F$17,MATCH(B3040&amp;"_"&amp;C3040,PRECIOS_COMPLEMENTOS!$H$4:$H$17,0),IF(OR(G3040="S",G3040="20cm"),1,IF(OR(G3040="M",G3040="25cm"),2,IF(OR(G3040="L",G3040="30cm"),3,IF(OR(G3040="XL",G3040="35cm"),4,0))))),0)</f>
        <v>0.45</v>
      </c>
      <c r="J3040" s="103">
        <f t="shared" si="1"/>
        <v>0</v>
      </c>
      <c r="K3040" s="104" t="str">
        <f>IF(H3040&lt;0,"ERROR",IF(H3040=0,"",IF(H3040&lt;CONFIG!$B$4,"CRÍTICO",IF(H3040&lt;CONFIG!$B$5,"BAJO","OK"))))</f>
        <v/>
      </c>
    </row>
    <row r="3041" ht="15.75" customHeight="1">
      <c r="A3041" s="90" t="str">
        <f>IF(CLIENTES!A6="","",CLIENTES!A6)</f>
        <v/>
      </c>
      <c r="B3041" s="90" t="s">
        <v>333</v>
      </c>
      <c r="C3041" s="91" t="s">
        <v>334</v>
      </c>
      <c r="D3041" s="109" t="s">
        <v>353</v>
      </c>
      <c r="E3041" s="67" t="str">
        <f>COLORES!A16</f>
        <v>Topo</v>
      </c>
      <c r="F3041" s="67" t="str">
        <f>COLORES!B16</f>
        <v>CLARO</v>
      </c>
      <c r="G3041" s="90" t="s">
        <v>381</v>
      </c>
      <c r="H3041" s="100">
        <f>IFERROR(SUMIFS(MOVIMIENTOS_COMPLEMENTOS!$I$4:$I$803,MOVIMIENTOS_COMPLEMENTOS!$C$4:$C$803,A3041,MOVIMIENTOS_COMPLEMENTOS!$D$4:$D$803,B3041,MOVIMIENTOS_COMPLEMENTOS!$E$4:$E$803,C3041,MOVIMIENTOS_COMPLEMENTOS!$G$4:$G$803,E3041,MOVIMIENTOS_COMPLEMENTOS!$H$4:$H$803,G3041,MOVIMIENTOS_COMPLEMENTOS!$B$4:$B$803,"INGRESO")+SUMIFS(MOVIMIENTOS_COMPLEMENTOS!$I$4:$I$803,MOVIMIENTOS_COMPLEMENTOS!$C$4:$C$803,A3041,MOVIMIENTOS_COMPLEMENTOS!$D$4:$D$803,B3041,MOVIMIENTOS_COMPLEMENTOS!$E$4:$E$803,C3041,MOVIMIENTOS_COMPLEMENTOS!$G$4:$G$803,E3041,MOVIMIENTOS_COMPLEMENTOS!$H$4:$H$803,G3041,MOVIMIENTOS_COMPLEMENTOS!$B$4:$B$803,"DE CORTE")-SUMIFS(MOVIMIENTOS_COMPLEMENTOS!$I$4:$I$803,MOVIMIENTOS_COMPLEMENTOS!$C$4:$C$803,A3041,MOVIMIENTOS_COMPLEMENTOS!$D$4:$D$803,B3041,MOVIMIENTOS_COMPLEMENTOS!$E$4:$E$803,C3041,MOVIMIENTOS_COMPLEMENTOS!$G$4:$G$803,E3041,MOVIMIENTOS_COMPLEMENTOS!$H$4:$H$803,G3041,MOVIMIENTOS_COMPLEMENTOS!$B$4:$B$803,"SALIDA"),0)</f>
        <v>0</v>
      </c>
      <c r="I3041" s="102">
        <f t="array" ref="I3041">IFERROR(INDEX(PRECIOS_COMPLEMENTOS!$C$4:$F$17,MATCH(B3041&amp;"_"&amp;C3041,PRECIOS_COMPLEMENTOS!$H$4:$H$17,0),IF(OR(G3041="S",G3041="20cm"),1,IF(OR(G3041="M",G3041="25cm"),2,IF(OR(G3041="L",G3041="30cm"),3,IF(OR(G3041="XL",G3041="35cm"),4,0))))),0)</f>
        <v>0.45</v>
      </c>
      <c r="J3041" s="103">
        <f t="shared" si="1"/>
        <v>0</v>
      </c>
      <c r="K3041" s="104" t="str">
        <f>IF(H3041&lt;0,"ERROR",IF(H3041=0,"",IF(H3041&lt;CONFIG!$B$4,"CRÍTICO",IF(H3041&lt;CONFIG!$B$5,"BAJO","OK"))))</f>
        <v/>
      </c>
    </row>
    <row r="3042" ht="15.75" customHeight="1">
      <c r="A3042" s="90" t="str">
        <f>IF(CLIENTES!A6="","",CLIENTES!A6)</f>
        <v/>
      </c>
      <c r="B3042" s="90" t="s">
        <v>333</v>
      </c>
      <c r="C3042" s="91" t="s">
        <v>334</v>
      </c>
      <c r="D3042" s="109" t="s">
        <v>353</v>
      </c>
      <c r="E3042" s="67" t="str">
        <f>COLORES!A16</f>
        <v>Topo</v>
      </c>
      <c r="F3042" s="67" t="str">
        <f>COLORES!B16</f>
        <v>CLARO</v>
      </c>
      <c r="G3042" s="90" t="s">
        <v>382</v>
      </c>
      <c r="H3042" s="100">
        <f>IFERROR(SUMIFS(MOVIMIENTOS_COMPLEMENTOS!$I$4:$I$803,MOVIMIENTOS_COMPLEMENTOS!$C$4:$C$803,A3042,MOVIMIENTOS_COMPLEMENTOS!$D$4:$D$803,B3042,MOVIMIENTOS_COMPLEMENTOS!$E$4:$E$803,C3042,MOVIMIENTOS_COMPLEMENTOS!$G$4:$G$803,E3042,MOVIMIENTOS_COMPLEMENTOS!$H$4:$H$803,G3042,MOVIMIENTOS_COMPLEMENTOS!$B$4:$B$803,"INGRESO")+SUMIFS(MOVIMIENTOS_COMPLEMENTOS!$I$4:$I$803,MOVIMIENTOS_COMPLEMENTOS!$C$4:$C$803,A3042,MOVIMIENTOS_COMPLEMENTOS!$D$4:$D$803,B3042,MOVIMIENTOS_COMPLEMENTOS!$E$4:$E$803,C3042,MOVIMIENTOS_COMPLEMENTOS!$G$4:$G$803,E3042,MOVIMIENTOS_COMPLEMENTOS!$H$4:$H$803,G3042,MOVIMIENTOS_COMPLEMENTOS!$B$4:$B$803,"DE CORTE")-SUMIFS(MOVIMIENTOS_COMPLEMENTOS!$I$4:$I$803,MOVIMIENTOS_COMPLEMENTOS!$C$4:$C$803,A3042,MOVIMIENTOS_COMPLEMENTOS!$D$4:$D$803,B3042,MOVIMIENTOS_COMPLEMENTOS!$E$4:$E$803,C3042,MOVIMIENTOS_COMPLEMENTOS!$G$4:$G$803,E3042,MOVIMIENTOS_COMPLEMENTOS!$H$4:$H$803,G3042,MOVIMIENTOS_COMPLEMENTOS!$B$4:$B$803,"SALIDA"),0)</f>
        <v>0</v>
      </c>
      <c r="I3042" s="102">
        <f t="array" ref="I3042">IFERROR(INDEX(PRECIOS_COMPLEMENTOS!$C$4:$F$17,MATCH(B3042&amp;"_"&amp;C3042,PRECIOS_COMPLEMENTOS!$H$4:$H$17,0),IF(OR(G3042="S",G3042="20cm"),1,IF(OR(G3042="M",G3042="25cm"),2,IF(OR(G3042="L",G3042="30cm"),3,IF(OR(G3042="XL",G3042="35cm"),4,0))))),0)</f>
        <v>0.45</v>
      </c>
      <c r="J3042" s="103">
        <f t="shared" si="1"/>
        <v>0</v>
      </c>
      <c r="K3042" s="104" t="str">
        <f>IF(H3042&lt;0,"ERROR",IF(H3042=0,"",IF(H3042&lt;CONFIG!$B$4,"CRÍTICO",IF(H3042&lt;CONFIG!$B$5,"BAJO","OK"))))</f>
        <v/>
      </c>
    </row>
    <row r="3043" ht="15.75" customHeight="1">
      <c r="A3043" s="90" t="str">
        <f>IF(CLIENTES!A6="","",CLIENTES!A6)</f>
        <v/>
      </c>
      <c r="B3043" s="90" t="s">
        <v>333</v>
      </c>
      <c r="C3043" s="91" t="s">
        <v>334</v>
      </c>
      <c r="D3043" s="109" t="s">
        <v>353</v>
      </c>
      <c r="E3043" s="67" t="str">
        <f>COLORES!A17</f>
        <v>Vino</v>
      </c>
      <c r="F3043" s="67" t="str">
        <f>COLORES!B17</f>
        <v>OSCURO</v>
      </c>
      <c r="G3043" s="90" t="s">
        <v>380</v>
      </c>
      <c r="H3043" s="100">
        <f>IFERROR(SUMIFS(MOVIMIENTOS_COMPLEMENTOS!$I$4:$I$803,MOVIMIENTOS_COMPLEMENTOS!$C$4:$C$803,A3043,MOVIMIENTOS_COMPLEMENTOS!$D$4:$D$803,B3043,MOVIMIENTOS_COMPLEMENTOS!$E$4:$E$803,C3043,MOVIMIENTOS_COMPLEMENTOS!$G$4:$G$803,E3043,MOVIMIENTOS_COMPLEMENTOS!$H$4:$H$803,G3043,MOVIMIENTOS_COMPLEMENTOS!$B$4:$B$803,"INGRESO")+SUMIFS(MOVIMIENTOS_COMPLEMENTOS!$I$4:$I$803,MOVIMIENTOS_COMPLEMENTOS!$C$4:$C$803,A3043,MOVIMIENTOS_COMPLEMENTOS!$D$4:$D$803,B3043,MOVIMIENTOS_COMPLEMENTOS!$E$4:$E$803,C3043,MOVIMIENTOS_COMPLEMENTOS!$G$4:$G$803,E3043,MOVIMIENTOS_COMPLEMENTOS!$H$4:$H$803,G3043,MOVIMIENTOS_COMPLEMENTOS!$B$4:$B$803,"DE CORTE")-SUMIFS(MOVIMIENTOS_COMPLEMENTOS!$I$4:$I$803,MOVIMIENTOS_COMPLEMENTOS!$C$4:$C$803,A3043,MOVIMIENTOS_COMPLEMENTOS!$D$4:$D$803,B3043,MOVIMIENTOS_COMPLEMENTOS!$E$4:$E$803,C3043,MOVIMIENTOS_COMPLEMENTOS!$G$4:$G$803,E3043,MOVIMIENTOS_COMPLEMENTOS!$H$4:$H$803,G3043,MOVIMIENTOS_COMPLEMENTOS!$B$4:$B$803,"SALIDA"),0)</f>
        <v>0</v>
      </c>
      <c r="I3043" s="102">
        <f t="array" ref="I3043">IFERROR(INDEX(PRECIOS_COMPLEMENTOS!$C$4:$F$17,MATCH(B3043&amp;"_"&amp;C3043,PRECIOS_COMPLEMENTOS!$H$4:$H$17,0),IF(OR(G3043="S",G3043="20cm"),1,IF(OR(G3043="M",G3043="25cm"),2,IF(OR(G3043="L",G3043="30cm"),3,IF(OR(G3043="XL",G3043="35cm"),4,0))))),0)</f>
        <v>0.45</v>
      </c>
      <c r="J3043" s="103">
        <f t="shared" si="1"/>
        <v>0</v>
      </c>
      <c r="K3043" s="104" t="str">
        <f>IF(H3043&lt;0,"ERROR",IF(H3043=0,"",IF(H3043&lt;CONFIG!$B$4,"CRÍTICO",IF(H3043&lt;CONFIG!$B$5,"BAJO","OK"))))</f>
        <v/>
      </c>
    </row>
    <row r="3044" ht="15.75" customHeight="1">
      <c r="A3044" s="90" t="str">
        <f>IF(CLIENTES!A6="","",CLIENTES!A6)</f>
        <v/>
      </c>
      <c r="B3044" s="90" t="s">
        <v>333</v>
      </c>
      <c r="C3044" s="91" t="s">
        <v>334</v>
      </c>
      <c r="D3044" s="109" t="s">
        <v>353</v>
      </c>
      <c r="E3044" s="67" t="str">
        <f>COLORES!A17</f>
        <v>Vino</v>
      </c>
      <c r="F3044" s="67" t="str">
        <f>COLORES!B17</f>
        <v>OSCURO</v>
      </c>
      <c r="G3044" s="90" t="s">
        <v>381</v>
      </c>
      <c r="H3044" s="100">
        <f>IFERROR(SUMIFS(MOVIMIENTOS_COMPLEMENTOS!$I$4:$I$803,MOVIMIENTOS_COMPLEMENTOS!$C$4:$C$803,A3044,MOVIMIENTOS_COMPLEMENTOS!$D$4:$D$803,B3044,MOVIMIENTOS_COMPLEMENTOS!$E$4:$E$803,C3044,MOVIMIENTOS_COMPLEMENTOS!$G$4:$G$803,E3044,MOVIMIENTOS_COMPLEMENTOS!$H$4:$H$803,G3044,MOVIMIENTOS_COMPLEMENTOS!$B$4:$B$803,"INGRESO")+SUMIFS(MOVIMIENTOS_COMPLEMENTOS!$I$4:$I$803,MOVIMIENTOS_COMPLEMENTOS!$C$4:$C$803,A3044,MOVIMIENTOS_COMPLEMENTOS!$D$4:$D$803,B3044,MOVIMIENTOS_COMPLEMENTOS!$E$4:$E$803,C3044,MOVIMIENTOS_COMPLEMENTOS!$G$4:$G$803,E3044,MOVIMIENTOS_COMPLEMENTOS!$H$4:$H$803,G3044,MOVIMIENTOS_COMPLEMENTOS!$B$4:$B$803,"DE CORTE")-SUMIFS(MOVIMIENTOS_COMPLEMENTOS!$I$4:$I$803,MOVIMIENTOS_COMPLEMENTOS!$C$4:$C$803,A3044,MOVIMIENTOS_COMPLEMENTOS!$D$4:$D$803,B3044,MOVIMIENTOS_COMPLEMENTOS!$E$4:$E$803,C3044,MOVIMIENTOS_COMPLEMENTOS!$G$4:$G$803,E3044,MOVIMIENTOS_COMPLEMENTOS!$H$4:$H$803,G3044,MOVIMIENTOS_COMPLEMENTOS!$B$4:$B$803,"SALIDA"),0)</f>
        <v>0</v>
      </c>
      <c r="I3044" s="102">
        <f t="array" ref="I3044">IFERROR(INDEX(PRECIOS_COMPLEMENTOS!$C$4:$F$17,MATCH(B3044&amp;"_"&amp;C3044,PRECIOS_COMPLEMENTOS!$H$4:$H$17,0),IF(OR(G3044="S",G3044="20cm"),1,IF(OR(G3044="M",G3044="25cm"),2,IF(OR(G3044="L",G3044="30cm"),3,IF(OR(G3044="XL",G3044="35cm"),4,0))))),0)</f>
        <v>0.45</v>
      </c>
      <c r="J3044" s="103">
        <f t="shared" si="1"/>
        <v>0</v>
      </c>
      <c r="K3044" s="104" t="str">
        <f>IF(H3044&lt;0,"ERROR",IF(H3044=0,"",IF(H3044&lt;CONFIG!$B$4,"CRÍTICO",IF(H3044&lt;CONFIG!$B$5,"BAJO","OK"))))</f>
        <v/>
      </c>
    </row>
    <row r="3045" ht="15.75" customHeight="1">
      <c r="A3045" s="90" t="str">
        <f>IF(CLIENTES!A6="","",CLIENTES!A6)</f>
        <v/>
      </c>
      <c r="B3045" s="90" t="s">
        <v>333</v>
      </c>
      <c r="C3045" s="91" t="s">
        <v>334</v>
      </c>
      <c r="D3045" s="109" t="s">
        <v>353</v>
      </c>
      <c r="E3045" s="67" t="str">
        <f>COLORES!A17</f>
        <v>Vino</v>
      </c>
      <c r="F3045" s="67" t="str">
        <f>COLORES!B17</f>
        <v>OSCURO</v>
      </c>
      <c r="G3045" s="90" t="s">
        <v>382</v>
      </c>
      <c r="H3045" s="100">
        <f>IFERROR(SUMIFS(MOVIMIENTOS_COMPLEMENTOS!$I$4:$I$803,MOVIMIENTOS_COMPLEMENTOS!$C$4:$C$803,A3045,MOVIMIENTOS_COMPLEMENTOS!$D$4:$D$803,B3045,MOVIMIENTOS_COMPLEMENTOS!$E$4:$E$803,C3045,MOVIMIENTOS_COMPLEMENTOS!$G$4:$G$803,E3045,MOVIMIENTOS_COMPLEMENTOS!$H$4:$H$803,G3045,MOVIMIENTOS_COMPLEMENTOS!$B$4:$B$803,"INGRESO")+SUMIFS(MOVIMIENTOS_COMPLEMENTOS!$I$4:$I$803,MOVIMIENTOS_COMPLEMENTOS!$C$4:$C$803,A3045,MOVIMIENTOS_COMPLEMENTOS!$D$4:$D$803,B3045,MOVIMIENTOS_COMPLEMENTOS!$E$4:$E$803,C3045,MOVIMIENTOS_COMPLEMENTOS!$G$4:$G$803,E3045,MOVIMIENTOS_COMPLEMENTOS!$H$4:$H$803,G3045,MOVIMIENTOS_COMPLEMENTOS!$B$4:$B$803,"DE CORTE")-SUMIFS(MOVIMIENTOS_COMPLEMENTOS!$I$4:$I$803,MOVIMIENTOS_COMPLEMENTOS!$C$4:$C$803,A3045,MOVIMIENTOS_COMPLEMENTOS!$D$4:$D$803,B3045,MOVIMIENTOS_COMPLEMENTOS!$E$4:$E$803,C3045,MOVIMIENTOS_COMPLEMENTOS!$G$4:$G$803,E3045,MOVIMIENTOS_COMPLEMENTOS!$H$4:$H$803,G3045,MOVIMIENTOS_COMPLEMENTOS!$B$4:$B$803,"SALIDA"),0)</f>
        <v>0</v>
      </c>
      <c r="I3045" s="102">
        <f t="array" ref="I3045">IFERROR(INDEX(PRECIOS_COMPLEMENTOS!$C$4:$F$17,MATCH(B3045&amp;"_"&amp;C3045,PRECIOS_COMPLEMENTOS!$H$4:$H$17,0),IF(OR(G3045="S",G3045="20cm"),1,IF(OR(G3045="M",G3045="25cm"),2,IF(OR(G3045="L",G3045="30cm"),3,IF(OR(G3045="XL",G3045="35cm"),4,0))))),0)</f>
        <v>0.45</v>
      </c>
      <c r="J3045" s="103">
        <f t="shared" si="1"/>
        <v>0</v>
      </c>
      <c r="K3045" s="104" t="str">
        <f>IF(H3045&lt;0,"ERROR",IF(H3045=0,"",IF(H3045&lt;CONFIG!$B$4,"CRÍTICO",IF(H3045&lt;CONFIG!$B$5,"BAJO","OK"))))</f>
        <v/>
      </c>
    </row>
    <row r="3046" ht="15.75" customHeight="1">
      <c r="A3046" s="90" t="str">
        <f>IF(CLIENTES!A6="","",CLIENTES!A6)</f>
        <v/>
      </c>
      <c r="B3046" s="90" t="s">
        <v>333</v>
      </c>
      <c r="C3046" s="91" t="s">
        <v>334</v>
      </c>
      <c r="D3046" s="109" t="s">
        <v>353</v>
      </c>
      <c r="E3046" s="67" t="str">
        <f>COLORES!A18</f>
        <v>P. Rosa</v>
      </c>
      <c r="F3046" s="67" t="str">
        <f>COLORES!B18</f>
        <v>CLARO</v>
      </c>
      <c r="G3046" s="90" t="s">
        <v>380</v>
      </c>
      <c r="H3046" s="100">
        <f>IFERROR(SUMIFS(MOVIMIENTOS_COMPLEMENTOS!$I$4:$I$803,MOVIMIENTOS_COMPLEMENTOS!$C$4:$C$803,A3046,MOVIMIENTOS_COMPLEMENTOS!$D$4:$D$803,B3046,MOVIMIENTOS_COMPLEMENTOS!$E$4:$E$803,C3046,MOVIMIENTOS_COMPLEMENTOS!$G$4:$G$803,E3046,MOVIMIENTOS_COMPLEMENTOS!$H$4:$H$803,G3046,MOVIMIENTOS_COMPLEMENTOS!$B$4:$B$803,"INGRESO")+SUMIFS(MOVIMIENTOS_COMPLEMENTOS!$I$4:$I$803,MOVIMIENTOS_COMPLEMENTOS!$C$4:$C$803,A3046,MOVIMIENTOS_COMPLEMENTOS!$D$4:$D$803,B3046,MOVIMIENTOS_COMPLEMENTOS!$E$4:$E$803,C3046,MOVIMIENTOS_COMPLEMENTOS!$G$4:$G$803,E3046,MOVIMIENTOS_COMPLEMENTOS!$H$4:$H$803,G3046,MOVIMIENTOS_COMPLEMENTOS!$B$4:$B$803,"DE CORTE")-SUMIFS(MOVIMIENTOS_COMPLEMENTOS!$I$4:$I$803,MOVIMIENTOS_COMPLEMENTOS!$C$4:$C$803,A3046,MOVIMIENTOS_COMPLEMENTOS!$D$4:$D$803,B3046,MOVIMIENTOS_COMPLEMENTOS!$E$4:$E$803,C3046,MOVIMIENTOS_COMPLEMENTOS!$G$4:$G$803,E3046,MOVIMIENTOS_COMPLEMENTOS!$H$4:$H$803,G3046,MOVIMIENTOS_COMPLEMENTOS!$B$4:$B$803,"SALIDA"),0)</f>
        <v>0</v>
      </c>
      <c r="I3046" s="102">
        <f t="array" ref="I3046">IFERROR(INDEX(PRECIOS_COMPLEMENTOS!$C$4:$F$17,MATCH(B3046&amp;"_"&amp;C3046,PRECIOS_COMPLEMENTOS!$H$4:$H$17,0),IF(OR(G3046="S",G3046="20cm"),1,IF(OR(G3046="M",G3046="25cm"),2,IF(OR(G3046="L",G3046="30cm"),3,IF(OR(G3046="XL",G3046="35cm"),4,0))))),0)</f>
        <v>0.45</v>
      </c>
      <c r="J3046" s="103">
        <f t="shared" si="1"/>
        <v>0</v>
      </c>
      <c r="K3046" s="104" t="str">
        <f>IF(H3046&lt;0,"ERROR",IF(H3046=0,"",IF(H3046&lt;CONFIG!$B$4,"CRÍTICO",IF(H3046&lt;CONFIG!$B$5,"BAJO","OK"))))</f>
        <v/>
      </c>
    </row>
    <row r="3047" ht="15.75" customHeight="1">
      <c r="A3047" s="90" t="str">
        <f>IF(CLIENTES!A6="","",CLIENTES!A6)</f>
        <v/>
      </c>
      <c r="B3047" s="90" t="s">
        <v>333</v>
      </c>
      <c r="C3047" s="91" t="s">
        <v>334</v>
      </c>
      <c r="D3047" s="109" t="s">
        <v>353</v>
      </c>
      <c r="E3047" s="67" t="str">
        <f>COLORES!A18</f>
        <v>P. Rosa</v>
      </c>
      <c r="F3047" s="67" t="str">
        <f>COLORES!B18</f>
        <v>CLARO</v>
      </c>
      <c r="G3047" s="90" t="s">
        <v>381</v>
      </c>
      <c r="H3047" s="100">
        <f>IFERROR(SUMIFS(MOVIMIENTOS_COMPLEMENTOS!$I$4:$I$803,MOVIMIENTOS_COMPLEMENTOS!$C$4:$C$803,A3047,MOVIMIENTOS_COMPLEMENTOS!$D$4:$D$803,B3047,MOVIMIENTOS_COMPLEMENTOS!$E$4:$E$803,C3047,MOVIMIENTOS_COMPLEMENTOS!$G$4:$G$803,E3047,MOVIMIENTOS_COMPLEMENTOS!$H$4:$H$803,G3047,MOVIMIENTOS_COMPLEMENTOS!$B$4:$B$803,"INGRESO")+SUMIFS(MOVIMIENTOS_COMPLEMENTOS!$I$4:$I$803,MOVIMIENTOS_COMPLEMENTOS!$C$4:$C$803,A3047,MOVIMIENTOS_COMPLEMENTOS!$D$4:$D$803,B3047,MOVIMIENTOS_COMPLEMENTOS!$E$4:$E$803,C3047,MOVIMIENTOS_COMPLEMENTOS!$G$4:$G$803,E3047,MOVIMIENTOS_COMPLEMENTOS!$H$4:$H$803,G3047,MOVIMIENTOS_COMPLEMENTOS!$B$4:$B$803,"DE CORTE")-SUMIFS(MOVIMIENTOS_COMPLEMENTOS!$I$4:$I$803,MOVIMIENTOS_COMPLEMENTOS!$C$4:$C$803,A3047,MOVIMIENTOS_COMPLEMENTOS!$D$4:$D$803,B3047,MOVIMIENTOS_COMPLEMENTOS!$E$4:$E$803,C3047,MOVIMIENTOS_COMPLEMENTOS!$G$4:$G$803,E3047,MOVIMIENTOS_COMPLEMENTOS!$H$4:$H$803,G3047,MOVIMIENTOS_COMPLEMENTOS!$B$4:$B$803,"SALIDA"),0)</f>
        <v>0</v>
      </c>
      <c r="I3047" s="102">
        <f t="array" ref="I3047">IFERROR(INDEX(PRECIOS_COMPLEMENTOS!$C$4:$F$17,MATCH(B3047&amp;"_"&amp;C3047,PRECIOS_COMPLEMENTOS!$H$4:$H$17,0),IF(OR(G3047="S",G3047="20cm"),1,IF(OR(G3047="M",G3047="25cm"),2,IF(OR(G3047="L",G3047="30cm"),3,IF(OR(G3047="XL",G3047="35cm"),4,0))))),0)</f>
        <v>0.45</v>
      </c>
      <c r="J3047" s="103">
        <f t="shared" si="1"/>
        <v>0</v>
      </c>
      <c r="K3047" s="104" t="str">
        <f>IF(H3047&lt;0,"ERROR",IF(H3047=0,"",IF(H3047&lt;CONFIG!$B$4,"CRÍTICO",IF(H3047&lt;CONFIG!$B$5,"BAJO","OK"))))</f>
        <v/>
      </c>
    </row>
    <row r="3048" ht="15.75" customHeight="1">
      <c r="A3048" s="90" t="str">
        <f>IF(CLIENTES!A6="","",CLIENTES!A6)</f>
        <v/>
      </c>
      <c r="B3048" s="90" t="s">
        <v>333</v>
      </c>
      <c r="C3048" s="91" t="s">
        <v>334</v>
      </c>
      <c r="D3048" s="109" t="s">
        <v>353</v>
      </c>
      <c r="E3048" s="67" t="str">
        <f>COLORES!A18</f>
        <v>P. Rosa</v>
      </c>
      <c r="F3048" s="67" t="str">
        <f>COLORES!B18</f>
        <v>CLARO</v>
      </c>
      <c r="G3048" s="90" t="s">
        <v>382</v>
      </c>
      <c r="H3048" s="100">
        <f>IFERROR(SUMIFS(MOVIMIENTOS_COMPLEMENTOS!$I$4:$I$803,MOVIMIENTOS_COMPLEMENTOS!$C$4:$C$803,A3048,MOVIMIENTOS_COMPLEMENTOS!$D$4:$D$803,B3048,MOVIMIENTOS_COMPLEMENTOS!$E$4:$E$803,C3048,MOVIMIENTOS_COMPLEMENTOS!$G$4:$G$803,E3048,MOVIMIENTOS_COMPLEMENTOS!$H$4:$H$803,G3048,MOVIMIENTOS_COMPLEMENTOS!$B$4:$B$803,"INGRESO")+SUMIFS(MOVIMIENTOS_COMPLEMENTOS!$I$4:$I$803,MOVIMIENTOS_COMPLEMENTOS!$C$4:$C$803,A3048,MOVIMIENTOS_COMPLEMENTOS!$D$4:$D$803,B3048,MOVIMIENTOS_COMPLEMENTOS!$E$4:$E$803,C3048,MOVIMIENTOS_COMPLEMENTOS!$G$4:$G$803,E3048,MOVIMIENTOS_COMPLEMENTOS!$H$4:$H$803,G3048,MOVIMIENTOS_COMPLEMENTOS!$B$4:$B$803,"DE CORTE")-SUMIFS(MOVIMIENTOS_COMPLEMENTOS!$I$4:$I$803,MOVIMIENTOS_COMPLEMENTOS!$C$4:$C$803,A3048,MOVIMIENTOS_COMPLEMENTOS!$D$4:$D$803,B3048,MOVIMIENTOS_COMPLEMENTOS!$E$4:$E$803,C3048,MOVIMIENTOS_COMPLEMENTOS!$G$4:$G$803,E3048,MOVIMIENTOS_COMPLEMENTOS!$H$4:$H$803,G3048,MOVIMIENTOS_COMPLEMENTOS!$B$4:$B$803,"SALIDA"),0)</f>
        <v>0</v>
      </c>
      <c r="I3048" s="102">
        <f t="array" ref="I3048">IFERROR(INDEX(PRECIOS_COMPLEMENTOS!$C$4:$F$17,MATCH(B3048&amp;"_"&amp;C3048,PRECIOS_COMPLEMENTOS!$H$4:$H$17,0),IF(OR(G3048="S",G3048="20cm"),1,IF(OR(G3048="M",G3048="25cm"),2,IF(OR(G3048="L",G3048="30cm"),3,IF(OR(G3048="XL",G3048="35cm"),4,0))))),0)</f>
        <v>0.45</v>
      </c>
      <c r="J3048" s="103">
        <f t="shared" si="1"/>
        <v>0</v>
      </c>
      <c r="K3048" s="104" t="str">
        <f>IF(H3048&lt;0,"ERROR",IF(H3048=0,"",IF(H3048&lt;CONFIG!$B$4,"CRÍTICO",IF(H3048&lt;CONFIG!$B$5,"BAJO","OK"))))</f>
        <v/>
      </c>
    </row>
    <row r="3049" ht="15.75" customHeight="1">
      <c r="A3049" s="90" t="str">
        <f>IF(CLIENTES!A6="","",CLIENTES!A6)</f>
        <v/>
      </c>
      <c r="B3049" s="90" t="s">
        <v>333</v>
      </c>
      <c r="C3049" s="91" t="s">
        <v>334</v>
      </c>
      <c r="D3049" s="109" t="s">
        <v>353</v>
      </c>
      <c r="E3049" s="67" t="str">
        <f>COLORES!A19</f>
        <v/>
      </c>
      <c r="F3049" s="67" t="str">
        <f>COLORES!B19</f>
        <v/>
      </c>
      <c r="G3049" s="90" t="s">
        <v>380</v>
      </c>
      <c r="H3049" s="100">
        <f>IFERROR(SUMIFS(MOVIMIENTOS_COMPLEMENTOS!$I$4:$I$803,MOVIMIENTOS_COMPLEMENTOS!$C$4:$C$803,A3049,MOVIMIENTOS_COMPLEMENTOS!$D$4:$D$803,B3049,MOVIMIENTOS_COMPLEMENTOS!$E$4:$E$803,C3049,MOVIMIENTOS_COMPLEMENTOS!$G$4:$G$803,E3049,MOVIMIENTOS_COMPLEMENTOS!$H$4:$H$803,G3049,MOVIMIENTOS_COMPLEMENTOS!$B$4:$B$803,"INGRESO")+SUMIFS(MOVIMIENTOS_COMPLEMENTOS!$I$4:$I$803,MOVIMIENTOS_COMPLEMENTOS!$C$4:$C$803,A3049,MOVIMIENTOS_COMPLEMENTOS!$D$4:$D$803,B3049,MOVIMIENTOS_COMPLEMENTOS!$E$4:$E$803,C3049,MOVIMIENTOS_COMPLEMENTOS!$G$4:$G$803,E3049,MOVIMIENTOS_COMPLEMENTOS!$H$4:$H$803,G3049,MOVIMIENTOS_COMPLEMENTOS!$B$4:$B$803,"DE CORTE")-SUMIFS(MOVIMIENTOS_COMPLEMENTOS!$I$4:$I$803,MOVIMIENTOS_COMPLEMENTOS!$C$4:$C$803,A3049,MOVIMIENTOS_COMPLEMENTOS!$D$4:$D$803,B3049,MOVIMIENTOS_COMPLEMENTOS!$E$4:$E$803,C3049,MOVIMIENTOS_COMPLEMENTOS!$G$4:$G$803,E3049,MOVIMIENTOS_COMPLEMENTOS!$H$4:$H$803,G3049,MOVIMIENTOS_COMPLEMENTOS!$B$4:$B$803,"SALIDA"),0)</f>
        <v>0</v>
      </c>
      <c r="I3049" s="102">
        <f t="array" ref="I3049">IFERROR(INDEX(PRECIOS_COMPLEMENTOS!$C$4:$F$17,MATCH(B3049&amp;"_"&amp;C3049,PRECIOS_COMPLEMENTOS!$H$4:$H$17,0),IF(OR(G3049="S",G3049="20cm"),1,IF(OR(G3049="M",G3049="25cm"),2,IF(OR(G3049="L",G3049="30cm"),3,IF(OR(G3049="XL",G3049="35cm"),4,0))))),0)</f>
        <v>0.45</v>
      </c>
      <c r="J3049" s="103">
        <f t="shared" si="1"/>
        <v>0</v>
      </c>
      <c r="K3049" s="104" t="str">
        <f>IF(H3049&lt;0,"ERROR",IF(H3049=0,"",IF(H3049&lt;CONFIG!$B$4,"CRÍTICO",IF(H3049&lt;CONFIG!$B$5,"BAJO","OK"))))</f>
        <v/>
      </c>
    </row>
    <row r="3050" ht="15.75" customHeight="1">
      <c r="A3050" s="90" t="str">
        <f>IF(CLIENTES!A6="","",CLIENTES!A6)</f>
        <v/>
      </c>
      <c r="B3050" s="90" t="s">
        <v>333</v>
      </c>
      <c r="C3050" s="91" t="s">
        <v>334</v>
      </c>
      <c r="D3050" s="109" t="s">
        <v>353</v>
      </c>
      <c r="E3050" s="67" t="str">
        <f>COLORES!A19</f>
        <v/>
      </c>
      <c r="F3050" s="67" t="str">
        <f>COLORES!B19</f>
        <v/>
      </c>
      <c r="G3050" s="90" t="s">
        <v>381</v>
      </c>
      <c r="H3050" s="100">
        <f>IFERROR(SUMIFS(MOVIMIENTOS_COMPLEMENTOS!$I$4:$I$803,MOVIMIENTOS_COMPLEMENTOS!$C$4:$C$803,A3050,MOVIMIENTOS_COMPLEMENTOS!$D$4:$D$803,B3050,MOVIMIENTOS_COMPLEMENTOS!$E$4:$E$803,C3050,MOVIMIENTOS_COMPLEMENTOS!$G$4:$G$803,E3050,MOVIMIENTOS_COMPLEMENTOS!$H$4:$H$803,G3050,MOVIMIENTOS_COMPLEMENTOS!$B$4:$B$803,"INGRESO")+SUMIFS(MOVIMIENTOS_COMPLEMENTOS!$I$4:$I$803,MOVIMIENTOS_COMPLEMENTOS!$C$4:$C$803,A3050,MOVIMIENTOS_COMPLEMENTOS!$D$4:$D$803,B3050,MOVIMIENTOS_COMPLEMENTOS!$E$4:$E$803,C3050,MOVIMIENTOS_COMPLEMENTOS!$G$4:$G$803,E3050,MOVIMIENTOS_COMPLEMENTOS!$H$4:$H$803,G3050,MOVIMIENTOS_COMPLEMENTOS!$B$4:$B$803,"DE CORTE")-SUMIFS(MOVIMIENTOS_COMPLEMENTOS!$I$4:$I$803,MOVIMIENTOS_COMPLEMENTOS!$C$4:$C$803,A3050,MOVIMIENTOS_COMPLEMENTOS!$D$4:$D$803,B3050,MOVIMIENTOS_COMPLEMENTOS!$E$4:$E$803,C3050,MOVIMIENTOS_COMPLEMENTOS!$G$4:$G$803,E3050,MOVIMIENTOS_COMPLEMENTOS!$H$4:$H$803,G3050,MOVIMIENTOS_COMPLEMENTOS!$B$4:$B$803,"SALIDA"),0)</f>
        <v>0</v>
      </c>
      <c r="I3050" s="102">
        <f t="array" ref="I3050">IFERROR(INDEX(PRECIOS_COMPLEMENTOS!$C$4:$F$17,MATCH(B3050&amp;"_"&amp;C3050,PRECIOS_COMPLEMENTOS!$H$4:$H$17,0),IF(OR(G3050="S",G3050="20cm"),1,IF(OR(G3050="M",G3050="25cm"),2,IF(OR(G3050="L",G3050="30cm"),3,IF(OR(G3050="XL",G3050="35cm"),4,0))))),0)</f>
        <v>0.45</v>
      </c>
      <c r="J3050" s="103">
        <f t="shared" si="1"/>
        <v>0</v>
      </c>
      <c r="K3050" s="104" t="str">
        <f>IF(H3050&lt;0,"ERROR",IF(H3050=0,"",IF(H3050&lt;CONFIG!$B$4,"CRÍTICO",IF(H3050&lt;CONFIG!$B$5,"BAJO","OK"))))</f>
        <v/>
      </c>
    </row>
    <row r="3051" ht="15.75" customHeight="1">
      <c r="A3051" s="90" t="str">
        <f>IF(CLIENTES!A6="","",CLIENTES!A6)</f>
        <v/>
      </c>
      <c r="B3051" s="90" t="s">
        <v>333</v>
      </c>
      <c r="C3051" s="91" t="s">
        <v>334</v>
      </c>
      <c r="D3051" s="109" t="s">
        <v>353</v>
      </c>
      <c r="E3051" s="67" t="str">
        <f>COLORES!A19</f>
        <v/>
      </c>
      <c r="F3051" s="67" t="str">
        <f>COLORES!B19</f>
        <v/>
      </c>
      <c r="G3051" s="90" t="s">
        <v>382</v>
      </c>
      <c r="H3051" s="100">
        <f>IFERROR(SUMIFS(MOVIMIENTOS_COMPLEMENTOS!$I$4:$I$803,MOVIMIENTOS_COMPLEMENTOS!$C$4:$C$803,A3051,MOVIMIENTOS_COMPLEMENTOS!$D$4:$D$803,B3051,MOVIMIENTOS_COMPLEMENTOS!$E$4:$E$803,C3051,MOVIMIENTOS_COMPLEMENTOS!$G$4:$G$803,E3051,MOVIMIENTOS_COMPLEMENTOS!$H$4:$H$803,G3051,MOVIMIENTOS_COMPLEMENTOS!$B$4:$B$803,"INGRESO")+SUMIFS(MOVIMIENTOS_COMPLEMENTOS!$I$4:$I$803,MOVIMIENTOS_COMPLEMENTOS!$C$4:$C$803,A3051,MOVIMIENTOS_COMPLEMENTOS!$D$4:$D$803,B3051,MOVIMIENTOS_COMPLEMENTOS!$E$4:$E$803,C3051,MOVIMIENTOS_COMPLEMENTOS!$G$4:$G$803,E3051,MOVIMIENTOS_COMPLEMENTOS!$H$4:$H$803,G3051,MOVIMIENTOS_COMPLEMENTOS!$B$4:$B$803,"DE CORTE")-SUMIFS(MOVIMIENTOS_COMPLEMENTOS!$I$4:$I$803,MOVIMIENTOS_COMPLEMENTOS!$C$4:$C$803,A3051,MOVIMIENTOS_COMPLEMENTOS!$D$4:$D$803,B3051,MOVIMIENTOS_COMPLEMENTOS!$E$4:$E$803,C3051,MOVIMIENTOS_COMPLEMENTOS!$G$4:$G$803,E3051,MOVIMIENTOS_COMPLEMENTOS!$H$4:$H$803,G3051,MOVIMIENTOS_COMPLEMENTOS!$B$4:$B$803,"SALIDA"),0)</f>
        <v>0</v>
      </c>
      <c r="I3051" s="102">
        <f t="array" ref="I3051">IFERROR(INDEX(PRECIOS_COMPLEMENTOS!$C$4:$F$17,MATCH(B3051&amp;"_"&amp;C3051,PRECIOS_COMPLEMENTOS!$H$4:$H$17,0),IF(OR(G3051="S",G3051="20cm"),1,IF(OR(G3051="M",G3051="25cm"),2,IF(OR(G3051="L",G3051="30cm"),3,IF(OR(G3051="XL",G3051="35cm"),4,0))))),0)</f>
        <v>0.45</v>
      </c>
      <c r="J3051" s="103">
        <f t="shared" si="1"/>
        <v>0</v>
      </c>
      <c r="K3051" s="104" t="str">
        <f>IF(H3051&lt;0,"ERROR",IF(H3051=0,"",IF(H3051&lt;CONFIG!$B$4,"CRÍTICO",IF(H3051&lt;CONFIG!$B$5,"BAJO","OK"))))</f>
        <v/>
      </c>
    </row>
    <row r="3052" ht="15.75" customHeight="1">
      <c r="A3052" s="90" t="str">
        <f>IF(CLIENTES!A6="","",CLIENTES!A6)</f>
        <v/>
      </c>
      <c r="B3052" s="90" t="s">
        <v>333</v>
      </c>
      <c r="C3052" s="91" t="s">
        <v>334</v>
      </c>
      <c r="D3052" s="109" t="s">
        <v>353</v>
      </c>
      <c r="E3052" s="67" t="str">
        <f>COLORES!A20</f>
        <v/>
      </c>
      <c r="F3052" s="67" t="str">
        <f>COLORES!B20</f>
        <v/>
      </c>
      <c r="G3052" s="90" t="s">
        <v>380</v>
      </c>
      <c r="H3052" s="100">
        <f>IFERROR(SUMIFS(MOVIMIENTOS_COMPLEMENTOS!$I$4:$I$803,MOVIMIENTOS_COMPLEMENTOS!$C$4:$C$803,A3052,MOVIMIENTOS_COMPLEMENTOS!$D$4:$D$803,B3052,MOVIMIENTOS_COMPLEMENTOS!$E$4:$E$803,C3052,MOVIMIENTOS_COMPLEMENTOS!$G$4:$G$803,E3052,MOVIMIENTOS_COMPLEMENTOS!$H$4:$H$803,G3052,MOVIMIENTOS_COMPLEMENTOS!$B$4:$B$803,"INGRESO")+SUMIFS(MOVIMIENTOS_COMPLEMENTOS!$I$4:$I$803,MOVIMIENTOS_COMPLEMENTOS!$C$4:$C$803,A3052,MOVIMIENTOS_COMPLEMENTOS!$D$4:$D$803,B3052,MOVIMIENTOS_COMPLEMENTOS!$E$4:$E$803,C3052,MOVIMIENTOS_COMPLEMENTOS!$G$4:$G$803,E3052,MOVIMIENTOS_COMPLEMENTOS!$H$4:$H$803,G3052,MOVIMIENTOS_COMPLEMENTOS!$B$4:$B$803,"DE CORTE")-SUMIFS(MOVIMIENTOS_COMPLEMENTOS!$I$4:$I$803,MOVIMIENTOS_COMPLEMENTOS!$C$4:$C$803,A3052,MOVIMIENTOS_COMPLEMENTOS!$D$4:$D$803,B3052,MOVIMIENTOS_COMPLEMENTOS!$E$4:$E$803,C3052,MOVIMIENTOS_COMPLEMENTOS!$G$4:$G$803,E3052,MOVIMIENTOS_COMPLEMENTOS!$H$4:$H$803,G3052,MOVIMIENTOS_COMPLEMENTOS!$B$4:$B$803,"SALIDA"),0)</f>
        <v>0</v>
      </c>
      <c r="I3052" s="102">
        <f t="array" ref="I3052">IFERROR(INDEX(PRECIOS_COMPLEMENTOS!$C$4:$F$17,MATCH(B3052&amp;"_"&amp;C3052,PRECIOS_COMPLEMENTOS!$H$4:$H$17,0),IF(OR(G3052="S",G3052="20cm"),1,IF(OR(G3052="M",G3052="25cm"),2,IF(OR(G3052="L",G3052="30cm"),3,IF(OR(G3052="XL",G3052="35cm"),4,0))))),0)</f>
        <v>0.45</v>
      </c>
      <c r="J3052" s="103">
        <f t="shared" si="1"/>
        <v>0</v>
      </c>
      <c r="K3052" s="104" t="str">
        <f>IF(H3052&lt;0,"ERROR",IF(H3052=0,"",IF(H3052&lt;CONFIG!$B$4,"CRÍTICO",IF(H3052&lt;CONFIG!$B$5,"BAJO","OK"))))</f>
        <v/>
      </c>
    </row>
    <row r="3053" ht="15.75" customHeight="1">
      <c r="A3053" s="90" t="str">
        <f>IF(CLIENTES!A6="","",CLIENTES!A6)</f>
        <v/>
      </c>
      <c r="B3053" s="90" t="s">
        <v>333</v>
      </c>
      <c r="C3053" s="91" t="s">
        <v>334</v>
      </c>
      <c r="D3053" s="109" t="s">
        <v>353</v>
      </c>
      <c r="E3053" s="67" t="str">
        <f>COLORES!A20</f>
        <v/>
      </c>
      <c r="F3053" s="67" t="str">
        <f>COLORES!B20</f>
        <v/>
      </c>
      <c r="G3053" s="90" t="s">
        <v>381</v>
      </c>
      <c r="H3053" s="100">
        <f>IFERROR(SUMIFS(MOVIMIENTOS_COMPLEMENTOS!$I$4:$I$803,MOVIMIENTOS_COMPLEMENTOS!$C$4:$C$803,A3053,MOVIMIENTOS_COMPLEMENTOS!$D$4:$D$803,B3053,MOVIMIENTOS_COMPLEMENTOS!$E$4:$E$803,C3053,MOVIMIENTOS_COMPLEMENTOS!$G$4:$G$803,E3053,MOVIMIENTOS_COMPLEMENTOS!$H$4:$H$803,G3053,MOVIMIENTOS_COMPLEMENTOS!$B$4:$B$803,"INGRESO")+SUMIFS(MOVIMIENTOS_COMPLEMENTOS!$I$4:$I$803,MOVIMIENTOS_COMPLEMENTOS!$C$4:$C$803,A3053,MOVIMIENTOS_COMPLEMENTOS!$D$4:$D$803,B3053,MOVIMIENTOS_COMPLEMENTOS!$E$4:$E$803,C3053,MOVIMIENTOS_COMPLEMENTOS!$G$4:$G$803,E3053,MOVIMIENTOS_COMPLEMENTOS!$H$4:$H$803,G3053,MOVIMIENTOS_COMPLEMENTOS!$B$4:$B$803,"DE CORTE")-SUMIFS(MOVIMIENTOS_COMPLEMENTOS!$I$4:$I$803,MOVIMIENTOS_COMPLEMENTOS!$C$4:$C$803,A3053,MOVIMIENTOS_COMPLEMENTOS!$D$4:$D$803,B3053,MOVIMIENTOS_COMPLEMENTOS!$E$4:$E$803,C3053,MOVIMIENTOS_COMPLEMENTOS!$G$4:$G$803,E3053,MOVIMIENTOS_COMPLEMENTOS!$H$4:$H$803,G3053,MOVIMIENTOS_COMPLEMENTOS!$B$4:$B$803,"SALIDA"),0)</f>
        <v>0</v>
      </c>
      <c r="I3053" s="102">
        <f t="array" ref="I3053">IFERROR(INDEX(PRECIOS_COMPLEMENTOS!$C$4:$F$17,MATCH(B3053&amp;"_"&amp;C3053,PRECIOS_COMPLEMENTOS!$H$4:$H$17,0),IF(OR(G3053="S",G3053="20cm"),1,IF(OR(G3053="M",G3053="25cm"),2,IF(OR(G3053="L",G3053="30cm"),3,IF(OR(G3053="XL",G3053="35cm"),4,0))))),0)</f>
        <v>0.45</v>
      </c>
      <c r="J3053" s="103">
        <f t="shared" si="1"/>
        <v>0</v>
      </c>
      <c r="K3053" s="104" t="str">
        <f>IF(H3053&lt;0,"ERROR",IF(H3053=0,"",IF(H3053&lt;CONFIG!$B$4,"CRÍTICO",IF(H3053&lt;CONFIG!$B$5,"BAJO","OK"))))</f>
        <v/>
      </c>
    </row>
    <row r="3054" ht="15.75" customHeight="1">
      <c r="A3054" s="90" t="str">
        <f>IF(CLIENTES!A6="","",CLIENTES!A6)</f>
        <v/>
      </c>
      <c r="B3054" s="90" t="s">
        <v>333</v>
      </c>
      <c r="C3054" s="91" t="s">
        <v>334</v>
      </c>
      <c r="D3054" s="109" t="s">
        <v>353</v>
      </c>
      <c r="E3054" s="67" t="str">
        <f>COLORES!A20</f>
        <v/>
      </c>
      <c r="F3054" s="67" t="str">
        <f>COLORES!B20</f>
        <v/>
      </c>
      <c r="G3054" s="90" t="s">
        <v>382</v>
      </c>
      <c r="H3054" s="100">
        <f>IFERROR(SUMIFS(MOVIMIENTOS_COMPLEMENTOS!$I$4:$I$803,MOVIMIENTOS_COMPLEMENTOS!$C$4:$C$803,A3054,MOVIMIENTOS_COMPLEMENTOS!$D$4:$D$803,B3054,MOVIMIENTOS_COMPLEMENTOS!$E$4:$E$803,C3054,MOVIMIENTOS_COMPLEMENTOS!$G$4:$G$803,E3054,MOVIMIENTOS_COMPLEMENTOS!$H$4:$H$803,G3054,MOVIMIENTOS_COMPLEMENTOS!$B$4:$B$803,"INGRESO")+SUMIFS(MOVIMIENTOS_COMPLEMENTOS!$I$4:$I$803,MOVIMIENTOS_COMPLEMENTOS!$C$4:$C$803,A3054,MOVIMIENTOS_COMPLEMENTOS!$D$4:$D$803,B3054,MOVIMIENTOS_COMPLEMENTOS!$E$4:$E$803,C3054,MOVIMIENTOS_COMPLEMENTOS!$G$4:$G$803,E3054,MOVIMIENTOS_COMPLEMENTOS!$H$4:$H$803,G3054,MOVIMIENTOS_COMPLEMENTOS!$B$4:$B$803,"DE CORTE")-SUMIFS(MOVIMIENTOS_COMPLEMENTOS!$I$4:$I$803,MOVIMIENTOS_COMPLEMENTOS!$C$4:$C$803,A3054,MOVIMIENTOS_COMPLEMENTOS!$D$4:$D$803,B3054,MOVIMIENTOS_COMPLEMENTOS!$E$4:$E$803,C3054,MOVIMIENTOS_COMPLEMENTOS!$G$4:$G$803,E3054,MOVIMIENTOS_COMPLEMENTOS!$H$4:$H$803,G3054,MOVIMIENTOS_COMPLEMENTOS!$B$4:$B$803,"SALIDA"),0)</f>
        <v>0</v>
      </c>
      <c r="I3054" s="102">
        <f t="array" ref="I3054">IFERROR(INDEX(PRECIOS_COMPLEMENTOS!$C$4:$F$17,MATCH(B3054&amp;"_"&amp;C3054,PRECIOS_COMPLEMENTOS!$H$4:$H$17,0),IF(OR(G3054="S",G3054="20cm"),1,IF(OR(G3054="M",G3054="25cm"),2,IF(OR(G3054="L",G3054="30cm"),3,IF(OR(G3054="XL",G3054="35cm"),4,0))))),0)</f>
        <v>0.45</v>
      </c>
      <c r="J3054" s="103">
        <f t="shared" si="1"/>
        <v>0</v>
      </c>
      <c r="K3054" s="104" t="str">
        <f>IF(H3054&lt;0,"ERROR",IF(H3054=0,"",IF(H3054&lt;CONFIG!$B$4,"CRÍTICO",IF(H3054&lt;CONFIG!$B$5,"BAJO","OK"))))</f>
        <v/>
      </c>
    </row>
    <row r="3055" ht="15.75" customHeight="1">
      <c r="A3055" s="90" t="str">
        <f>IF(CLIENTES!A6="","",CLIENTES!A6)</f>
        <v/>
      </c>
      <c r="B3055" s="90" t="s">
        <v>333</v>
      </c>
      <c r="C3055" s="91" t="s">
        <v>334</v>
      </c>
      <c r="D3055" s="109" t="s">
        <v>353</v>
      </c>
      <c r="E3055" s="67" t="str">
        <f>COLORES!A21</f>
        <v/>
      </c>
      <c r="F3055" s="67" t="str">
        <f>COLORES!B21</f>
        <v/>
      </c>
      <c r="G3055" s="90" t="s">
        <v>380</v>
      </c>
      <c r="H3055" s="100">
        <f>IFERROR(SUMIFS(MOVIMIENTOS_COMPLEMENTOS!$I$4:$I$803,MOVIMIENTOS_COMPLEMENTOS!$C$4:$C$803,A3055,MOVIMIENTOS_COMPLEMENTOS!$D$4:$D$803,B3055,MOVIMIENTOS_COMPLEMENTOS!$E$4:$E$803,C3055,MOVIMIENTOS_COMPLEMENTOS!$G$4:$G$803,E3055,MOVIMIENTOS_COMPLEMENTOS!$H$4:$H$803,G3055,MOVIMIENTOS_COMPLEMENTOS!$B$4:$B$803,"INGRESO")+SUMIFS(MOVIMIENTOS_COMPLEMENTOS!$I$4:$I$803,MOVIMIENTOS_COMPLEMENTOS!$C$4:$C$803,A3055,MOVIMIENTOS_COMPLEMENTOS!$D$4:$D$803,B3055,MOVIMIENTOS_COMPLEMENTOS!$E$4:$E$803,C3055,MOVIMIENTOS_COMPLEMENTOS!$G$4:$G$803,E3055,MOVIMIENTOS_COMPLEMENTOS!$H$4:$H$803,G3055,MOVIMIENTOS_COMPLEMENTOS!$B$4:$B$803,"DE CORTE")-SUMIFS(MOVIMIENTOS_COMPLEMENTOS!$I$4:$I$803,MOVIMIENTOS_COMPLEMENTOS!$C$4:$C$803,A3055,MOVIMIENTOS_COMPLEMENTOS!$D$4:$D$803,B3055,MOVIMIENTOS_COMPLEMENTOS!$E$4:$E$803,C3055,MOVIMIENTOS_COMPLEMENTOS!$G$4:$G$803,E3055,MOVIMIENTOS_COMPLEMENTOS!$H$4:$H$803,G3055,MOVIMIENTOS_COMPLEMENTOS!$B$4:$B$803,"SALIDA"),0)</f>
        <v>0</v>
      </c>
      <c r="I3055" s="102">
        <f t="array" ref="I3055">IFERROR(INDEX(PRECIOS_COMPLEMENTOS!$C$4:$F$17,MATCH(B3055&amp;"_"&amp;C3055,PRECIOS_COMPLEMENTOS!$H$4:$H$17,0),IF(OR(G3055="S",G3055="20cm"),1,IF(OR(G3055="M",G3055="25cm"),2,IF(OR(G3055="L",G3055="30cm"),3,IF(OR(G3055="XL",G3055="35cm"),4,0))))),0)</f>
        <v>0.45</v>
      </c>
      <c r="J3055" s="103">
        <f t="shared" si="1"/>
        <v>0</v>
      </c>
      <c r="K3055" s="104" t="str">
        <f>IF(H3055&lt;0,"ERROR",IF(H3055=0,"",IF(H3055&lt;CONFIG!$B$4,"CRÍTICO",IF(H3055&lt;CONFIG!$B$5,"BAJO","OK"))))</f>
        <v/>
      </c>
    </row>
    <row r="3056" ht="15.75" customHeight="1">
      <c r="A3056" s="90" t="str">
        <f>IF(CLIENTES!A6="","",CLIENTES!A6)</f>
        <v/>
      </c>
      <c r="B3056" s="90" t="s">
        <v>333</v>
      </c>
      <c r="C3056" s="91" t="s">
        <v>334</v>
      </c>
      <c r="D3056" s="109" t="s">
        <v>353</v>
      </c>
      <c r="E3056" s="67" t="str">
        <f>COLORES!A21</f>
        <v/>
      </c>
      <c r="F3056" s="67" t="str">
        <f>COLORES!B21</f>
        <v/>
      </c>
      <c r="G3056" s="90" t="s">
        <v>381</v>
      </c>
      <c r="H3056" s="100">
        <f>IFERROR(SUMIFS(MOVIMIENTOS_COMPLEMENTOS!$I$4:$I$803,MOVIMIENTOS_COMPLEMENTOS!$C$4:$C$803,A3056,MOVIMIENTOS_COMPLEMENTOS!$D$4:$D$803,B3056,MOVIMIENTOS_COMPLEMENTOS!$E$4:$E$803,C3056,MOVIMIENTOS_COMPLEMENTOS!$G$4:$G$803,E3056,MOVIMIENTOS_COMPLEMENTOS!$H$4:$H$803,G3056,MOVIMIENTOS_COMPLEMENTOS!$B$4:$B$803,"INGRESO")+SUMIFS(MOVIMIENTOS_COMPLEMENTOS!$I$4:$I$803,MOVIMIENTOS_COMPLEMENTOS!$C$4:$C$803,A3056,MOVIMIENTOS_COMPLEMENTOS!$D$4:$D$803,B3056,MOVIMIENTOS_COMPLEMENTOS!$E$4:$E$803,C3056,MOVIMIENTOS_COMPLEMENTOS!$G$4:$G$803,E3056,MOVIMIENTOS_COMPLEMENTOS!$H$4:$H$803,G3056,MOVIMIENTOS_COMPLEMENTOS!$B$4:$B$803,"DE CORTE")-SUMIFS(MOVIMIENTOS_COMPLEMENTOS!$I$4:$I$803,MOVIMIENTOS_COMPLEMENTOS!$C$4:$C$803,A3056,MOVIMIENTOS_COMPLEMENTOS!$D$4:$D$803,B3056,MOVIMIENTOS_COMPLEMENTOS!$E$4:$E$803,C3056,MOVIMIENTOS_COMPLEMENTOS!$G$4:$G$803,E3056,MOVIMIENTOS_COMPLEMENTOS!$H$4:$H$803,G3056,MOVIMIENTOS_COMPLEMENTOS!$B$4:$B$803,"SALIDA"),0)</f>
        <v>0</v>
      </c>
      <c r="I3056" s="102">
        <f t="array" ref="I3056">IFERROR(INDEX(PRECIOS_COMPLEMENTOS!$C$4:$F$17,MATCH(B3056&amp;"_"&amp;C3056,PRECIOS_COMPLEMENTOS!$H$4:$H$17,0),IF(OR(G3056="S",G3056="20cm"),1,IF(OR(G3056="M",G3056="25cm"),2,IF(OR(G3056="L",G3056="30cm"),3,IF(OR(G3056="XL",G3056="35cm"),4,0))))),0)</f>
        <v>0.45</v>
      </c>
      <c r="J3056" s="103">
        <f t="shared" si="1"/>
        <v>0</v>
      </c>
      <c r="K3056" s="104" t="str">
        <f>IF(H3056&lt;0,"ERROR",IF(H3056=0,"",IF(H3056&lt;CONFIG!$B$4,"CRÍTICO",IF(H3056&lt;CONFIG!$B$5,"BAJO","OK"))))</f>
        <v/>
      </c>
    </row>
    <row r="3057" ht="15.75" customHeight="1">
      <c r="A3057" s="90" t="str">
        <f>IF(CLIENTES!A6="","",CLIENTES!A6)</f>
        <v/>
      </c>
      <c r="B3057" s="90" t="s">
        <v>333</v>
      </c>
      <c r="C3057" s="91" t="s">
        <v>334</v>
      </c>
      <c r="D3057" s="109" t="s">
        <v>353</v>
      </c>
      <c r="E3057" s="67" t="str">
        <f>COLORES!A21</f>
        <v/>
      </c>
      <c r="F3057" s="67" t="str">
        <f>COLORES!B21</f>
        <v/>
      </c>
      <c r="G3057" s="90" t="s">
        <v>382</v>
      </c>
      <c r="H3057" s="100">
        <f>IFERROR(SUMIFS(MOVIMIENTOS_COMPLEMENTOS!$I$4:$I$803,MOVIMIENTOS_COMPLEMENTOS!$C$4:$C$803,A3057,MOVIMIENTOS_COMPLEMENTOS!$D$4:$D$803,B3057,MOVIMIENTOS_COMPLEMENTOS!$E$4:$E$803,C3057,MOVIMIENTOS_COMPLEMENTOS!$G$4:$G$803,E3057,MOVIMIENTOS_COMPLEMENTOS!$H$4:$H$803,G3057,MOVIMIENTOS_COMPLEMENTOS!$B$4:$B$803,"INGRESO")+SUMIFS(MOVIMIENTOS_COMPLEMENTOS!$I$4:$I$803,MOVIMIENTOS_COMPLEMENTOS!$C$4:$C$803,A3057,MOVIMIENTOS_COMPLEMENTOS!$D$4:$D$803,B3057,MOVIMIENTOS_COMPLEMENTOS!$E$4:$E$803,C3057,MOVIMIENTOS_COMPLEMENTOS!$G$4:$G$803,E3057,MOVIMIENTOS_COMPLEMENTOS!$H$4:$H$803,G3057,MOVIMIENTOS_COMPLEMENTOS!$B$4:$B$803,"DE CORTE")-SUMIFS(MOVIMIENTOS_COMPLEMENTOS!$I$4:$I$803,MOVIMIENTOS_COMPLEMENTOS!$C$4:$C$803,A3057,MOVIMIENTOS_COMPLEMENTOS!$D$4:$D$803,B3057,MOVIMIENTOS_COMPLEMENTOS!$E$4:$E$803,C3057,MOVIMIENTOS_COMPLEMENTOS!$G$4:$G$803,E3057,MOVIMIENTOS_COMPLEMENTOS!$H$4:$H$803,G3057,MOVIMIENTOS_COMPLEMENTOS!$B$4:$B$803,"SALIDA"),0)</f>
        <v>0</v>
      </c>
      <c r="I3057" s="102">
        <f t="array" ref="I3057">IFERROR(INDEX(PRECIOS_COMPLEMENTOS!$C$4:$F$17,MATCH(B3057&amp;"_"&amp;C3057,PRECIOS_COMPLEMENTOS!$H$4:$H$17,0),IF(OR(G3057="S",G3057="20cm"),1,IF(OR(G3057="M",G3057="25cm"),2,IF(OR(G3057="L",G3057="30cm"),3,IF(OR(G3057="XL",G3057="35cm"),4,0))))),0)</f>
        <v>0.45</v>
      </c>
      <c r="J3057" s="103">
        <f t="shared" si="1"/>
        <v>0</v>
      </c>
      <c r="K3057" s="104" t="str">
        <f>IF(H3057&lt;0,"ERROR",IF(H3057=0,"",IF(H3057&lt;CONFIG!$B$4,"CRÍTICO",IF(H3057&lt;CONFIG!$B$5,"BAJO","OK"))))</f>
        <v/>
      </c>
    </row>
    <row r="3058" ht="15.75" customHeight="1">
      <c r="A3058" s="90" t="str">
        <f>IF(CLIENTES!A6="","",CLIENTES!A6)</f>
        <v/>
      </c>
      <c r="B3058" s="90" t="s">
        <v>333</v>
      </c>
      <c r="C3058" s="91" t="s">
        <v>334</v>
      </c>
      <c r="D3058" s="109" t="s">
        <v>353</v>
      </c>
      <c r="E3058" s="67" t="str">
        <f>COLORES!A22</f>
        <v/>
      </c>
      <c r="F3058" s="67" t="str">
        <f>COLORES!B22</f>
        <v/>
      </c>
      <c r="G3058" s="90" t="s">
        <v>380</v>
      </c>
      <c r="H3058" s="100">
        <f>IFERROR(SUMIFS(MOVIMIENTOS_COMPLEMENTOS!$I$4:$I$803,MOVIMIENTOS_COMPLEMENTOS!$C$4:$C$803,A3058,MOVIMIENTOS_COMPLEMENTOS!$D$4:$D$803,B3058,MOVIMIENTOS_COMPLEMENTOS!$E$4:$E$803,C3058,MOVIMIENTOS_COMPLEMENTOS!$G$4:$G$803,E3058,MOVIMIENTOS_COMPLEMENTOS!$H$4:$H$803,G3058,MOVIMIENTOS_COMPLEMENTOS!$B$4:$B$803,"INGRESO")+SUMIFS(MOVIMIENTOS_COMPLEMENTOS!$I$4:$I$803,MOVIMIENTOS_COMPLEMENTOS!$C$4:$C$803,A3058,MOVIMIENTOS_COMPLEMENTOS!$D$4:$D$803,B3058,MOVIMIENTOS_COMPLEMENTOS!$E$4:$E$803,C3058,MOVIMIENTOS_COMPLEMENTOS!$G$4:$G$803,E3058,MOVIMIENTOS_COMPLEMENTOS!$H$4:$H$803,G3058,MOVIMIENTOS_COMPLEMENTOS!$B$4:$B$803,"DE CORTE")-SUMIFS(MOVIMIENTOS_COMPLEMENTOS!$I$4:$I$803,MOVIMIENTOS_COMPLEMENTOS!$C$4:$C$803,A3058,MOVIMIENTOS_COMPLEMENTOS!$D$4:$D$803,B3058,MOVIMIENTOS_COMPLEMENTOS!$E$4:$E$803,C3058,MOVIMIENTOS_COMPLEMENTOS!$G$4:$G$803,E3058,MOVIMIENTOS_COMPLEMENTOS!$H$4:$H$803,G3058,MOVIMIENTOS_COMPLEMENTOS!$B$4:$B$803,"SALIDA"),0)</f>
        <v>0</v>
      </c>
      <c r="I3058" s="102">
        <f t="array" ref="I3058">IFERROR(INDEX(PRECIOS_COMPLEMENTOS!$C$4:$F$17,MATCH(B3058&amp;"_"&amp;C3058,PRECIOS_COMPLEMENTOS!$H$4:$H$17,0),IF(OR(G3058="S",G3058="20cm"),1,IF(OR(G3058="M",G3058="25cm"),2,IF(OR(G3058="L",G3058="30cm"),3,IF(OR(G3058="XL",G3058="35cm"),4,0))))),0)</f>
        <v>0.45</v>
      </c>
      <c r="J3058" s="103">
        <f t="shared" si="1"/>
        <v>0</v>
      </c>
      <c r="K3058" s="104" t="str">
        <f>IF(H3058&lt;0,"ERROR",IF(H3058=0,"",IF(H3058&lt;CONFIG!$B$4,"CRÍTICO",IF(H3058&lt;CONFIG!$B$5,"BAJO","OK"))))</f>
        <v/>
      </c>
    </row>
    <row r="3059" ht="15.75" customHeight="1">
      <c r="A3059" s="90" t="str">
        <f>IF(CLIENTES!A6="","",CLIENTES!A6)</f>
        <v/>
      </c>
      <c r="B3059" s="90" t="s">
        <v>333</v>
      </c>
      <c r="C3059" s="91" t="s">
        <v>334</v>
      </c>
      <c r="D3059" s="109" t="s">
        <v>353</v>
      </c>
      <c r="E3059" s="67" t="str">
        <f>COLORES!A22</f>
        <v/>
      </c>
      <c r="F3059" s="67" t="str">
        <f>COLORES!B22</f>
        <v/>
      </c>
      <c r="G3059" s="90" t="s">
        <v>381</v>
      </c>
      <c r="H3059" s="100">
        <f>IFERROR(SUMIFS(MOVIMIENTOS_COMPLEMENTOS!$I$4:$I$803,MOVIMIENTOS_COMPLEMENTOS!$C$4:$C$803,A3059,MOVIMIENTOS_COMPLEMENTOS!$D$4:$D$803,B3059,MOVIMIENTOS_COMPLEMENTOS!$E$4:$E$803,C3059,MOVIMIENTOS_COMPLEMENTOS!$G$4:$G$803,E3059,MOVIMIENTOS_COMPLEMENTOS!$H$4:$H$803,G3059,MOVIMIENTOS_COMPLEMENTOS!$B$4:$B$803,"INGRESO")+SUMIFS(MOVIMIENTOS_COMPLEMENTOS!$I$4:$I$803,MOVIMIENTOS_COMPLEMENTOS!$C$4:$C$803,A3059,MOVIMIENTOS_COMPLEMENTOS!$D$4:$D$803,B3059,MOVIMIENTOS_COMPLEMENTOS!$E$4:$E$803,C3059,MOVIMIENTOS_COMPLEMENTOS!$G$4:$G$803,E3059,MOVIMIENTOS_COMPLEMENTOS!$H$4:$H$803,G3059,MOVIMIENTOS_COMPLEMENTOS!$B$4:$B$803,"DE CORTE")-SUMIFS(MOVIMIENTOS_COMPLEMENTOS!$I$4:$I$803,MOVIMIENTOS_COMPLEMENTOS!$C$4:$C$803,A3059,MOVIMIENTOS_COMPLEMENTOS!$D$4:$D$803,B3059,MOVIMIENTOS_COMPLEMENTOS!$E$4:$E$803,C3059,MOVIMIENTOS_COMPLEMENTOS!$G$4:$G$803,E3059,MOVIMIENTOS_COMPLEMENTOS!$H$4:$H$803,G3059,MOVIMIENTOS_COMPLEMENTOS!$B$4:$B$803,"SALIDA"),0)</f>
        <v>0</v>
      </c>
      <c r="I3059" s="102">
        <f t="array" ref="I3059">IFERROR(INDEX(PRECIOS_COMPLEMENTOS!$C$4:$F$17,MATCH(B3059&amp;"_"&amp;C3059,PRECIOS_COMPLEMENTOS!$H$4:$H$17,0),IF(OR(G3059="S",G3059="20cm"),1,IF(OR(G3059="M",G3059="25cm"),2,IF(OR(G3059="L",G3059="30cm"),3,IF(OR(G3059="XL",G3059="35cm"),4,0))))),0)</f>
        <v>0.45</v>
      </c>
      <c r="J3059" s="103">
        <f t="shared" si="1"/>
        <v>0</v>
      </c>
      <c r="K3059" s="104" t="str">
        <f>IF(H3059&lt;0,"ERROR",IF(H3059=0,"",IF(H3059&lt;CONFIG!$B$4,"CRÍTICO",IF(H3059&lt;CONFIG!$B$5,"BAJO","OK"))))</f>
        <v/>
      </c>
    </row>
    <row r="3060" ht="15.75" customHeight="1">
      <c r="A3060" s="90" t="str">
        <f>IF(CLIENTES!A6="","",CLIENTES!A6)</f>
        <v/>
      </c>
      <c r="B3060" s="90" t="s">
        <v>333</v>
      </c>
      <c r="C3060" s="91" t="s">
        <v>334</v>
      </c>
      <c r="D3060" s="109" t="s">
        <v>353</v>
      </c>
      <c r="E3060" s="67" t="str">
        <f>COLORES!A22</f>
        <v/>
      </c>
      <c r="F3060" s="67" t="str">
        <f>COLORES!B22</f>
        <v/>
      </c>
      <c r="G3060" s="90" t="s">
        <v>382</v>
      </c>
      <c r="H3060" s="100">
        <f>IFERROR(SUMIFS(MOVIMIENTOS_COMPLEMENTOS!$I$4:$I$803,MOVIMIENTOS_COMPLEMENTOS!$C$4:$C$803,A3060,MOVIMIENTOS_COMPLEMENTOS!$D$4:$D$803,B3060,MOVIMIENTOS_COMPLEMENTOS!$E$4:$E$803,C3060,MOVIMIENTOS_COMPLEMENTOS!$G$4:$G$803,E3060,MOVIMIENTOS_COMPLEMENTOS!$H$4:$H$803,G3060,MOVIMIENTOS_COMPLEMENTOS!$B$4:$B$803,"INGRESO")+SUMIFS(MOVIMIENTOS_COMPLEMENTOS!$I$4:$I$803,MOVIMIENTOS_COMPLEMENTOS!$C$4:$C$803,A3060,MOVIMIENTOS_COMPLEMENTOS!$D$4:$D$803,B3060,MOVIMIENTOS_COMPLEMENTOS!$E$4:$E$803,C3060,MOVIMIENTOS_COMPLEMENTOS!$G$4:$G$803,E3060,MOVIMIENTOS_COMPLEMENTOS!$H$4:$H$803,G3060,MOVIMIENTOS_COMPLEMENTOS!$B$4:$B$803,"DE CORTE")-SUMIFS(MOVIMIENTOS_COMPLEMENTOS!$I$4:$I$803,MOVIMIENTOS_COMPLEMENTOS!$C$4:$C$803,A3060,MOVIMIENTOS_COMPLEMENTOS!$D$4:$D$803,B3060,MOVIMIENTOS_COMPLEMENTOS!$E$4:$E$803,C3060,MOVIMIENTOS_COMPLEMENTOS!$G$4:$G$803,E3060,MOVIMIENTOS_COMPLEMENTOS!$H$4:$H$803,G3060,MOVIMIENTOS_COMPLEMENTOS!$B$4:$B$803,"SALIDA"),0)</f>
        <v>0</v>
      </c>
      <c r="I3060" s="102">
        <f t="array" ref="I3060">IFERROR(INDEX(PRECIOS_COMPLEMENTOS!$C$4:$F$17,MATCH(B3060&amp;"_"&amp;C3060,PRECIOS_COMPLEMENTOS!$H$4:$H$17,0),IF(OR(G3060="S",G3060="20cm"),1,IF(OR(G3060="M",G3060="25cm"),2,IF(OR(G3060="L",G3060="30cm"),3,IF(OR(G3060="XL",G3060="35cm"),4,0))))),0)</f>
        <v>0.45</v>
      </c>
      <c r="J3060" s="103">
        <f t="shared" si="1"/>
        <v>0</v>
      </c>
      <c r="K3060" s="104" t="str">
        <f>IF(H3060&lt;0,"ERROR",IF(H3060=0,"",IF(H3060&lt;CONFIG!$B$4,"CRÍTICO",IF(H3060&lt;CONFIG!$B$5,"BAJO","OK"))))</f>
        <v/>
      </c>
    </row>
    <row r="3061" ht="15.75" customHeight="1">
      <c r="A3061" s="90" t="str">
        <f>IF(CLIENTES!A6="","",CLIENTES!A6)</f>
        <v/>
      </c>
      <c r="B3061" s="90" t="s">
        <v>333</v>
      </c>
      <c r="C3061" s="91" t="s">
        <v>334</v>
      </c>
      <c r="D3061" s="109" t="s">
        <v>353</v>
      </c>
      <c r="E3061" s="67" t="str">
        <f>COLORES!A23</f>
        <v/>
      </c>
      <c r="F3061" s="67" t="str">
        <f>COLORES!B23</f>
        <v/>
      </c>
      <c r="G3061" s="90" t="s">
        <v>380</v>
      </c>
      <c r="H3061" s="100">
        <f>IFERROR(SUMIFS(MOVIMIENTOS_COMPLEMENTOS!$I$4:$I$803,MOVIMIENTOS_COMPLEMENTOS!$C$4:$C$803,A3061,MOVIMIENTOS_COMPLEMENTOS!$D$4:$D$803,B3061,MOVIMIENTOS_COMPLEMENTOS!$E$4:$E$803,C3061,MOVIMIENTOS_COMPLEMENTOS!$G$4:$G$803,E3061,MOVIMIENTOS_COMPLEMENTOS!$H$4:$H$803,G3061,MOVIMIENTOS_COMPLEMENTOS!$B$4:$B$803,"INGRESO")+SUMIFS(MOVIMIENTOS_COMPLEMENTOS!$I$4:$I$803,MOVIMIENTOS_COMPLEMENTOS!$C$4:$C$803,A3061,MOVIMIENTOS_COMPLEMENTOS!$D$4:$D$803,B3061,MOVIMIENTOS_COMPLEMENTOS!$E$4:$E$803,C3061,MOVIMIENTOS_COMPLEMENTOS!$G$4:$G$803,E3061,MOVIMIENTOS_COMPLEMENTOS!$H$4:$H$803,G3061,MOVIMIENTOS_COMPLEMENTOS!$B$4:$B$803,"DE CORTE")-SUMIFS(MOVIMIENTOS_COMPLEMENTOS!$I$4:$I$803,MOVIMIENTOS_COMPLEMENTOS!$C$4:$C$803,A3061,MOVIMIENTOS_COMPLEMENTOS!$D$4:$D$803,B3061,MOVIMIENTOS_COMPLEMENTOS!$E$4:$E$803,C3061,MOVIMIENTOS_COMPLEMENTOS!$G$4:$G$803,E3061,MOVIMIENTOS_COMPLEMENTOS!$H$4:$H$803,G3061,MOVIMIENTOS_COMPLEMENTOS!$B$4:$B$803,"SALIDA"),0)</f>
        <v>0</v>
      </c>
      <c r="I3061" s="102">
        <f t="array" ref="I3061">IFERROR(INDEX(PRECIOS_COMPLEMENTOS!$C$4:$F$17,MATCH(B3061&amp;"_"&amp;C3061,PRECIOS_COMPLEMENTOS!$H$4:$H$17,0),IF(OR(G3061="S",G3061="20cm"),1,IF(OR(G3061="M",G3061="25cm"),2,IF(OR(G3061="L",G3061="30cm"),3,IF(OR(G3061="XL",G3061="35cm"),4,0))))),0)</f>
        <v>0.45</v>
      </c>
      <c r="J3061" s="103">
        <f t="shared" si="1"/>
        <v>0</v>
      </c>
      <c r="K3061" s="104" t="str">
        <f>IF(H3061&lt;0,"ERROR",IF(H3061=0,"",IF(H3061&lt;CONFIG!$B$4,"CRÍTICO",IF(H3061&lt;CONFIG!$B$5,"BAJO","OK"))))</f>
        <v/>
      </c>
    </row>
    <row r="3062" ht="15.75" customHeight="1">
      <c r="A3062" s="90" t="str">
        <f>IF(CLIENTES!A6="","",CLIENTES!A6)</f>
        <v/>
      </c>
      <c r="B3062" s="90" t="s">
        <v>333</v>
      </c>
      <c r="C3062" s="91" t="s">
        <v>334</v>
      </c>
      <c r="D3062" s="109" t="s">
        <v>353</v>
      </c>
      <c r="E3062" s="67" t="str">
        <f>COLORES!A23</f>
        <v/>
      </c>
      <c r="F3062" s="67" t="str">
        <f>COLORES!B23</f>
        <v/>
      </c>
      <c r="G3062" s="90" t="s">
        <v>381</v>
      </c>
      <c r="H3062" s="100">
        <f>IFERROR(SUMIFS(MOVIMIENTOS_COMPLEMENTOS!$I$4:$I$803,MOVIMIENTOS_COMPLEMENTOS!$C$4:$C$803,A3062,MOVIMIENTOS_COMPLEMENTOS!$D$4:$D$803,B3062,MOVIMIENTOS_COMPLEMENTOS!$E$4:$E$803,C3062,MOVIMIENTOS_COMPLEMENTOS!$G$4:$G$803,E3062,MOVIMIENTOS_COMPLEMENTOS!$H$4:$H$803,G3062,MOVIMIENTOS_COMPLEMENTOS!$B$4:$B$803,"INGRESO")+SUMIFS(MOVIMIENTOS_COMPLEMENTOS!$I$4:$I$803,MOVIMIENTOS_COMPLEMENTOS!$C$4:$C$803,A3062,MOVIMIENTOS_COMPLEMENTOS!$D$4:$D$803,B3062,MOVIMIENTOS_COMPLEMENTOS!$E$4:$E$803,C3062,MOVIMIENTOS_COMPLEMENTOS!$G$4:$G$803,E3062,MOVIMIENTOS_COMPLEMENTOS!$H$4:$H$803,G3062,MOVIMIENTOS_COMPLEMENTOS!$B$4:$B$803,"DE CORTE")-SUMIFS(MOVIMIENTOS_COMPLEMENTOS!$I$4:$I$803,MOVIMIENTOS_COMPLEMENTOS!$C$4:$C$803,A3062,MOVIMIENTOS_COMPLEMENTOS!$D$4:$D$803,B3062,MOVIMIENTOS_COMPLEMENTOS!$E$4:$E$803,C3062,MOVIMIENTOS_COMPLEMENTOS!$G$4:$G$803,E3062,MOVIMIENTOS_COMPLEMENTOS!$H$4:$H$803,G3062,MOVIMIENTOS_COMPLEMENTOS!$B$4:$B$803,"SALIDA"),0)</f>
        <v>0</v>
      </c>
      <c r="I3062" s="102">
        <f t="array" ref="I3062">IFERROR(INDEX(PRECIOS_COMPLEMENTOS!$C$4:$F$17,MATCH(B3062&amp;"_"&amp;C3062,PRECIOS_COMPLEMENTOS!$H$4:$H$17,0),IF(OR(G3062="S",G3062="20cm"),1,IF(OR(G3062="M",G3062="25cm"),2,IF(OR(G3062="L",G3062="30cm"),3,IF(OR(G3062="XL",G3062="35cm"),4,0))))),0)</f>
        <v>0.45</v>
      </c>
      <c r="J3062" s="103">
        <f t="shared" si="1"/>
        <v>0</v>
      </c>
      <c r="K3062" s="104" t="str">
        <f>IF(H3062&lt;0,"ERROR",IF(H3062=0,"",IF(H3062&lt;CONFIG!$B$4,"CRÍTICO",IF(H3062&lt;CONFIG!$B$5,"BAJO","OK"))))</f>
        <v/>
      </c>
    </row>
    <row r="3063" ht="15.75" customHeight="1">
      <c r="A3063" s="90" t="str">
        <f>IF(CLIENTES!A6="","",CLIENTES!A6)</f>
        <v/>
      </c>
      <c r="B3063" s="90" t="s">
        <v>333</v>
      </c>
      <c r="C3063" s="91" t="s">
        <v>334</v>
      </c>
      <c r="D3063" s="109" t="s">
        <v>353</v>
      </c>
      <c r="E3063" s="67" t="str">
        <f>COLORES!A23</f>
        <v/>
      </c>
      <c r="F3063" s="67" t="str">
        <f>COLORES!B23</f>
        <v/>
      </c>
      <c r="G3063" s="90" t="s">
        <v>382</v>
      </c>
      <c r="H3063" s="100">
        <f>IFERROR(SUMIFS(MOVIMIENTOS_COMPLEMENTOS!$I$4:$I$803,MOVIMIENTOS_COMPLEMENTOS!$C$4:$C$803,A3063,MOVIMIENTOS_COMPLEMENTOS!$D$4:$D$803,B3063,MOVIMIENTOS_COMPLEMENTOS!$E$4:$E$803,C3063,MOVIMIENTOS_COMPLEMENTOS!$G$4:$G$803,E3063,MOVIMIENTOS_COMPLEMENTOS!$H$4:$H$803,G3063,MOVIMIENTOS_COMPLEMENTOS!$B$4:$B$803,"INGRESO")+SUMIFS(MOVIMIENTOS_COMPLEMENTOS!$I$4:$I$803,MOVIMIENTOS_COMPLEMENTOS!$C$4:$C$803,A3063,MOVIMIENTOS_COMPLEMENTOS!$D$4:$D$803,B3063,MOVIMIENTOS_COMPLEMENTOS!$E$4:$E$803,C3063,MOVIMIENTOS_COMPLEMENTOS!$G$4:$G$803,E3063,MOVIMIENTOS_COMPLEMENTOS!$H$4:$H$803,G3063,MOVIMIENTOS_COMPLEMENTOS!$B$4:$B$803,"DE CORTE")-SUMIFS(MOVIMIENTOS_COMPLEMENTOS!$I$4:$I$803,MOVIMIENTOS_COMPLEMENTOS!$C$4:$C$803,A3063,MOVIMIENTOS_COMPLEMENTOS!$D$4:$D$803,B3063,MOVIMIENTOS_COMPLEMENTOS!$E$4:$E$803,C3063,MOVIMIENTOS_COMPLEMENTOS!$G$4:$G$803,E3063,MOVIMIENTOS_COMPLEMENTOS!$H$4:$H$803,G3063,MOVIMIENTOS_COMPLEMENTOS!$B$4:$B$803,"SALIDA"),0)</f>
        <v>0</v>
      </c>
      <c r="I3063" s="102">
        <f t="array" ref="I3063">IFERROR(INDEX(PRECIOS_COMPLEMENTOS!$C$4:$F$17,MATCH(B3063&amp;"_"&amp;C3063,PRECIOS_COMPLEMENTOS!$H$4:$H$17,0),IF(OR(G3063="S",G3063="20cm"),1,IF(OR(G3063="M",G3063="25cm"),2,IF(OR(G3063="L",G3063="30cm"),3,IF(OR(G3063="XL",G3063="35cm"),4,0))))),0)</f>
        <v>0.45</v>
      </c>
      <c r="J3063" s="103">
        <f t="shared" si="1"/>
        <v>0</v>
      </c>
      <c r="K3063" s="104" t="str">
        <f>IF(H3063&lt;0,"ERROR",IF(H3063=0,"",IF(H3063&lt;CONFIG!$B$4,"CRÍTICO",IF(H3063&lt;CONFIG!$B$5,"BAJO","OK"))))</f>
        <v/>
      </c>
    </row>
    <row r="3064" ht="15.75" customHeight="1">
      <c r="A3064" s="90" t="str">
        <f>IF(CLIENTES!A7="","",CLIENTES!A7)</f>
        <v/>
      </c>
      <c r="B3064" s="90" t="s">
        <v>333</v>
      </c>
      <c r="C3064" s="91" t="s">
        <v>334</v>
      </c>
      <c r="D3064" s="109" t="s">
        <v>353</v>
      </c>
      <c r="E3064" s="67" t="str">
        <f>COLORES!A4</f>
        <v>Negro</v>
      </c>
      <c r="F3064" s="67" t="str">
        <f>COLORES!B4</f>
        <v>OSCURO</v>
      </c>
      <c r="G3064" s="90" t="s">
        <v>380</v>
      </c>
      <c r="H3064" s="100">
        <f>IFERROR(SUMIFS(MOVIMIENTOS_COMPLEMENTOS!$I$4:$I$803,MOVIMIENTOS_COMPLEMENTOS!$C$4:$C$803,A3064,MOVIMIENTOS_COMPLEMENTOS!$D$4:$D$803,B3064,MOVIMIENTOS_COMPLEMENTOS!$E$4:$E$803,C3064,MOVIMIENTOS_COMPLEMENTOS!$G$4:$G$803,E3064,MOVIMIENTOS_COMPLEMENTOS!$H$4:$H$803,G3064,MOVIMIENTOS_COMPLEMENTOS!$B$4:$B$803,"INGRESO")+SUMIFS(MOVIMIENTOS_COMPLEMENTOS!$I$4:$I$803,MOVIMIENTOS_COMPLEMENTOS!$C$4:$C$803,A3064,MOVIMIENTOS_COMPLEMENTOS!$D$4:$D$803,B3064,MOVIMIENTOS_COMPLEMENTOS!$E$4:$E$803,C3064,MOVIMIENTOS_COMPLEMENTOS!$G$4:$G$803,E3064,MOVIMIENTOS_COMPLEMENTOS!$H$4:$H$803,G3064,MOVIMIENTOS_COMPLEMENTOS!$B$4:$B$803,"DE CORTE")-SUMIFS(MOVIMIENTOS_COMPLEMENTOS!$I$4:$I$803,MOVIMIENTOS_COMPLEMENTOS!$C$4:$C$803,A3064,MOVIMIENTOS_COMPLEMENTOS!$D$4:$D$803,B3064,MOVIMIENTOS_COMPLEMENTOS!$E$4:$E$803,C3064,MOVIMIENTOS_COMPLEMENTOS!$G$4:$G$803,E3064,MOVIMIENTOS_COMPLEMENTOS!$H$4:$H$803,G3064,MOVIMIENTOS_COMPLEMENTOS!$B$4:$B$803,"SALIDA"),0)</f>
        <v>0</v>
      </c>
      <c r="I3064" s="102">
        <f t="array" ref="I3064">IFERROR(INDEX(PRECIOS_COMPLEMENTOS!$C$4:$F$17,MATCH(B3064&amp;"_"&amp;C3064,PRECIOS_COMPLEMENTOS!$H$4:$H$17,0),IF(OR(G3064="S",G3064="20cm"),1,IF(OR(G3064="M",G3064="25cm"),2,IF(OR(G3064="L",G3064="30cm"),3,IF(OR(G3064="XL",G3064="35cm"),4,0))))),0)</f>
        <v>0.45</v>
      </c>
      <c r="J3064" s="103">
        <f t="shared" si="1"/>
        <v>0</v>
      </c>
      <c r="K3064" s="104" t="str">
        <f>IF(H3064&lt;0,"ERROR",IF(H3064=0,"",IF(H3064&lt;CONFIG!$B$4,"CRÍTICO",IF(H3064&lt;CONFIG!$B$5,"BAJO","OK"))))</f>
        <v/>
      </c>
    </row>
    <row r="3065" ht="15.75" customHeight="1">
      <c r="A3065" s="90" t="str">
        <f>IF(CLIENTES!A7="","",CLIENTES!A7)</f>
        <v/>
      </c>
      <c r="B3065" s="90" t="s">
        <v>333</v>
      </c>
      <c r="C3065" s="91" t="s">
        <v>334</v>
      </c>
      <c r="D3065" s="109" t="s">
        <v>353</v>
      </c>
      <c r="E3065" s="67" t="str">
        <f>COLORES!A4</f>
        <v>Negro</v>
      </c>
      <c r="F3065" s="67" t="str">
        <f>COLORES!B4</f>
        <v>OSCURO</v>
      </c>
      <c r="G3065" s="90" t="s">
        <v>381</v>
      </c>
      <c r="H3065" s="100">
        <f>IFERROR(SUMIFS(MOVIMIENTOS_COMPLEMENTOS!$I$4:$I$803,MOVIMIENTOS_COMPLEMENTOS!$C$4:$C$803,A3065,MOVIMIENTOS_COMPLEMENTOS!$D$4:$D$803,B3065,MOVIMIENTOS_COMPLEMENTOS!$E$4:$E$803,C3065,MOVIMIENTOS_COMPLEMENTOS!$G$4:$G$803,E3065,MOVIMIENTOS_COMPLEMENTOS!$H$4:$H$803,G3065,MOVIMIENTOS_COMPLEMENTOS!$B$4:$B$803,"INGRESO")+SUMIFS(MOVIMIENTOS_COMPLEMENTOS!$I$4:$I$803,MOVIMIENTOS_COMPLEMENTOS!$C$4:$C$803,A3065,MOVIMIENTOS_COMPLEMENTOS!$D$4:$D$803,B3065,MOVIMIENTOS_COMPLEMENTOS!$E$4:$E$803,C3065,MOVIMIENTOS_COMPLEMENTOS!$G$4:$G$803,E3065,MOVIMIENTOS_COMPLEMENTOS!$H$4:$H$803,G3065,MOVIMIENTOS_COMPLEMENTOS!$B$4:$B$803,"DE CORTE")-SUMIFS(MOVIMIENTOS_COMPLEMENTOS!$I$4:$I$803,MOVIMIENTOS_COMPLEMENTOS!$C$4:$C$803,A3065,MOVIMIENTOS_COMPLEMENTOS!$D$4:$D$803,B3065,MOVIMIENTOS_COMPLEMENTOS!$E$4:$E$803,C3065,MOVIMIENTOS_COMPLEMENTOS!$G$4:$G$803,E3065,MOVIMIENTOS_COMPLEMENTOS!$H$4:$H$803,G3065,MOVIMIENTOS_COMPLEMENTOS!$B$4:$B$803,"SALIDA"),0)</f>
        <v>0</v>
      </c>
      <c r="I3065" s="102">
        <f t="array" ref="I3065">IFERROR(INDEX(PRECIOS_COMPLEMENTOS!$C$4:$F$17,MATCH(B3065&amp;"_"&amp;C3065,PRECIOS_COMPLEMENTOS!$H$4:$H$17,0),IF(OR(G3065="S",G3065="20cm"),1,IF(OR(G3065="M",G3065="25cm"),2,IF(OR(G3065="L",G3065="30cm"),3,IF(OR(G3065="XL",G3065="35cm"),4,0))))),0)</f>
        <v>0.45</v>
      </c>
      <c r="J3065" s="103">
        <f t="shared" si="1"/>
        <v>0</v>
      </c>
      <c r="K3065" s="104" t="str">
        <f>IF(H3065&lt;0,"ERROR",IF(H3065=0,"",IF(H3065&lt;CONFIG!$B$4,"CRÍTICO",IF(H3065&lt;CONFIG!$B$5,"BAJO","OK"))))</f>
        <v/>
      </c>
    </row>
    <row r="3066" ht="15.75" customHeight="1">
      <c r="A3066" s="90" t="str">
        <f>IF(CLIENTES!A7="","",CLIENTES!A7)</f>
        <v/>
      </c>
      <c r="B3066" s="90" t="s">
        <v>333</v>
      </c>
      <c r="C3066" s="91" t="s">
        <v>334</v>
      </c>
      <c r="D3066" s="109" t="s">
        <v>353</v>
      </c>
      <c r="E3066" s="67" t="str">
        <f>COLORES!A4</f>
        <v>Negro</v>
      </c>
      <c r="F3066" s="67" t="str">
        <f>COLORES!B4</f>
        <v>OSCURO</v>
      </c>
      <c r="G3066" s="90" t="s">
        <v>382</v>
      </c>
      <c r="H3066" s="100">
        <f>IFERROR(SUMIFS(MOVIMIENTOS_COMPLEMENTOS!$I$4:$I$803,MOVIMIENTOS_COMPLEMENTOS!$C$4:$C$803,A3066,MOVIMIENTOS_COMPLEMENTOS!$D$4:$D$803,B3066,MOVIMIENTOS_COMPLEMENTOS!$E$4:$E$803,C3066,MOVIMIENTOS_COMPLEMENTOS!$G$4:$G$803,E3066,MOVIMIENTOS_COMPLEMENTOS!$H$4:$H$803,G3066,MOVIMIENTOS_COMPLEMENTOS!$B$4:$B$803,"INGRESO")+SUMIFS(MOVIMIENTOS_COMPLEMENTOS!$I$4:$I$803,MOVIMIENTOS_COMPLEMENTOS!$C$4:$C$803,A3066,MOVIMIENTOS_COMPLEMENTOS!$D$4:$D$803,B3066,MOVIMIENTOS_COMPLEMENTOS!$E$4:$E$803,C3066,MOVIMIENTOS_COMPLEMENTOS!$G$4:$G$803,E3066,MOVIMIENTOS_COMPLEMENTOS!$H$4:$H$803,G3066,MOVIMIENTOS_COMPLEMENTOS!$B$4:$B$803,"DE CORTE")-SUMIFS(MOVIMIENTOS_COMPLEMENTOS!$I$4:$I$803,MOVIMIENTOS_COMPLEMENTOS!$C$4:$C$803,A3066,MOVIMIENTOS_COMPLEMENTOS!$D$4:$D$803,B3066,MOVIMIENTOS_COMPLEMENTOS!$E$4:$E$803,C3066,MOVIMIENTOS_COMPLEMENTOS!$G$4:$G$803,E3066,MOVIMIENTOS_COMPLEMENTOS!$H$4:$H$803,G3066,MOVIMIENTOS_COMPLEMENTOS!$B$4:$B$803,"SALIDA"),0)</f>
        <v>0</v>
      </c>
      <c r="I3066" s="102">
        <f t="array" ref="I3066">IFERROR(INDEX(PRECIOS_COMPLEMENTOS!$C$4:$F$17,MATCH(B3066&amp;"_"&amp;C3066,PRECIOS_COMPLEMENTOS!$H$4:$H$17,0),IF(OR(G3066="S",G3066="20cm"),1,IF(OR(G3066="M",G3066="25cm"),2,IF(OR(G3066="L",G3066="30cm"),3,IF(OR(G3066="XL",G3066="35cm"),4,0))))),0)</f>
        <v>0.45</v>
      </c>
      <c r="J3066" s="103">
        <f t="shared" si="1"/>
        <v>0</v>
      </c>
      <c r="K3066" s="104" t="str">
        <f>IF(H3066&lt;0,"ERROR",IF(H3066=0,"",IF(H3066&lt;CONFIG!$B$4,"CRÍTICO",IF(H3066&lt;CONFIG!$B$5,"BAJO","OK"))))</f>
        <v/>
      </c>
    </row>
    <row r="3067" ht="15.75" customHeight="1">
      <c r="A3067" s="90" t="str">
        <f>IF(CLIENTES!A7="","",CLIENTES!A7)</f>
        <v/>
      </c>
      <c r="B3067" s="90" t="s">
        <v>333</v>
      </c>
      <c r="C3067" s="91" t="s">
        <v>334</v>
      </c>
      <c r="D3067" s="109" t="s">
        <v>353</v>
      </c>
      <c r="E3067" s="67" t="str">
        <f>COLORES!A5</f>
        <v>Perla</v>
      </c>
      <c r="F3067" s="67" t="str">
        <f>COLORES!B5</f>
        <v>PPT</v>
      </c>
      <c r="G3067" s="90" t="s">
        <v>380</v>
      </c>
      <c r="H3067" s="100">
        <f>IFERROR(SUMIFS(MOVIMIENTOS_COMPLEMENTOS!$I$4:$I$803,MOVIMIENTOS_COMPLEMENTOS!$C$4:$C$803,A3067,MOVIMIENTOS_COMPLEMENTOS!$D$4:$D$803,B3067,MOVIMIENTOS_COMPLEMENTOS!$E$4:$E$803,C3067,MOVIMIENTOS_COMPLEMENTOS!$G$4:$G$803,E3067,MOVIMIENTOS_COMPLEMENTOS!$H$4:$H$803,G3067,MOVIMIENTOS_COMPLEMENTOS!$B$4:$B$803,"INGRESO")+SUMIFS(MOVIMIENTOS_COMPLEMENTOS!$I$4:$I$803,MOVIMIENTOS_COMPLEMENTOS!$C$4:$C$803,A3067,MOVIMIENTOS_COMPLEMENTOS!$D$4:$D$803,B3067,MOVIMIENTOS_COMPLEMENTOS!$E$4:$E$803,C3067,MOVIMIENTOS_COMPLEMENTOS!$G$4:$G$803,E3067,MOVIMIENTOS_COMPLEMENTOS!$H$4:$H$803,G3067,MOVIMIENTOS_COMPLEMENTOS!$B$4:$B$803,"DE CORTE")-SUMIFS(MOVIMIENTOS_COMPLEMENTOS!$I$4:$I$803,MOVIMIENTOS_COMPLEMENTOS!$C$4:$C$803,A3067,MOVIMIENTOS_COMPLEMENTOS!$D$4:$D$803,B3067,MOVIMIENTOS_COMPLEMENTOS!$E$4:$E$803,C3067,MOVIMIENTOS_COMPLEMENTOS!$G$4:$G$803,E3067,MOVIMIENTOS_COMPLEMENTOS!$H$4:$H$803,G3067,MOVIMIENTOS_COMPLEMENTOS!$B$4:$B$803,"SALIDA"),0)</f>
        <v>0</v>
      </c>
      <c r="I3067" s="102">
        <f t="array" ref="I3067">IFERROR(INDEX(PRECIOS_COMPLEMENTOS!$C$4:$F$17,MATCH(B3067&amp;"_"&amp;C3067,PRECIOS_COMPLEMENTOS!$H$4:$H$17,0),IF(OR(G3067="S",G3067="20cm"),1,IF(OR(G3067="M",G3067="25cm"),2,IF(OR(G3067="L",G3067="30cm"),3,IF(OR(G3067="XL",G3067="35cm"),4,0))))),0)</f>
        <v>0.45</v>
      </c>
      <c r="J3067" s="103">
        <f t="shared" si="1"/>
        <v>0</v>
      </c>
      <c r="K3067" s="104" t="str">
        <f>IF(H3067&lt;0,"ERROR",IF(H3067=0,"",IF(H3067&lt;CONFIG!$B$4,"CRÍTICO",IF(H3067&lt;CONFIG!$B$5,"BAJO","OK"))))</f>
        <v/>
      </c>
    </row>
    <row r="3068" ht="15.75" customHeight="1">
      <c r="A3068" s="90" t="str">
        <f>IF(CLIENTES!A7="","",CLIENTES!A7)</f>
        <v/>
      </c>
      <c r="B3068" s="90" t="s">
        <v>333</v>
      </c>
      <c r="C3068" s="91" t="s">
        <v>334</v>
      </c>
      <c r="D3068" s="109" t="s">
        <v>353</v>
      </c>
      <c r="E3068" s="67" t="str">
        <f>COLORES!A5</f>
        <v>Perla</v>
      </c>
      <c r="F3068" s="67" t="str">
        <f>COLORES!B5</f>
        <v>PPT</v>
      </c>
      <c r="G3068" s="90" t="s">
        <v>381</v>
      </c>
      <c r="H3068" s="100">
        <f>IFERROR(SUMIFS(MOVIMIENTOS_COMPLEMENTOS!$I$4:$I$803,MOVIMIENTOS_COMPLEMENTOS!$C$4:$C$803,A3068,MOVIMIENTOS_COMPLEMENTOS!$D$4:$D$803,B3068,MOVIMIENTOS_COMPLEMENTOS!$E$4:$E$803,C3068,MOVIMIENTOS_COMPLEMENTOS!$G$4:$G$803,E3068,MOVIMIENTOS_COMPLEMENTOS!$H$4:$H$803,G3068,MOVIMIENTOS_COMPLEMENTOS!$B$4:$B$803,"INGRESO")+SUMIFS(MOVIMIENTOS_COMPLEMENTOS!$I$4:$I$803,MOVIMIENTOS_COMPLEMENTOS!$C$4:$C$803,A3068,MOVIMIENTOS_COMPLEMENTOS!$D$4:$D$803,B3068,MOVIMIENTOS_COMPLEMENTOS!$E$4:$E$803,C3068,MOVIMIENTOS_COMPLEMENTOS!$G$4:$G$803,E3068,MOVIMIENTOS_COMPLEMENTOS!$H$4:$H$803,G3068,MOVIMIENTOS_COMPLEMENTOS!$B$4:$B$803,"DE CORTE")-SUMIFS(MOVIMIENTOS_COMPLEMENTOS!$I$4:$I$803,MOVIMIENTOS_COMPLEMENTOS!$C$4:$C$803,A3068,MOVIMIENTOS_COMPLEMENTOS!$D$4:$D$803,B3068,MOVIMIENTOS_COMPLEMENTOS!$E$4:$E$803,C3068,MOVIMIENTOS_COMPLEMENTOS!$G$4:$G$803,E3068,MOVIMIENTOS_COMPLEMENTOS!$H$4:$H$803,G3068,MOVIMIENTOS_COMPLEMENTOS!$B$4:$B$803,"SALIDA"),0)</f>
        <v>0</v>
      </c>
      <c r="I3068" s="102">
        <f t="array" ref="I3068">IFERROR(INDEX(PRECIOS_COMPLEMENTOS!$C$4:$F$17,MATCH(B3068&amp;"_"&amp;C3068,PRECIOS_COMPLEMENTOS!$H$4:$H$17,0),IF(OR(G3068="S",G3068="20cm"),1,IF(OR(G3068="M",G3068="25cm"),2,IF(OR(G3068="L",G3068="30cm"),3,IF(OR(G3068="XL",G3068="35cm"),4,0))))),0)</f>
        <v>0.45</v>
      </c>
      <c r="J3068" s="103">
        <f t="shared" si="1"/>
        <v>0</v>
      </c>
      <c r="K3068" s="104" t="str">
        <f>IF(H3068&lt;0,"ERROR",IF(H3068=0,"",IF(H3068&lt;CONFIG!$B$4,"CRÍTICO",IF(H3068&lt;CONFIG!$B$5,"BAJO","OK"))))</f>
        <v/>
      </c>
    </row>
    <row r="3069" ht="15.75" customHeight="1">
      <c r="A3069" s="90" t="str">
        <f>IF(CLIENTES!A7="","",CLIENTES!A7)</f>
        <v/>
      </c>
      <c r="B3069" s="90" t="s">
        <v>333</v>
      </c>
      <c r="C3069" s="91" t="s">
        <v>334</v>
      </c>
      <c r="D3069" s="109" t="s">
        <v>353</v>
      </c>
      <c r="E3069" s="67" t="str">
        <f>COLORES!A5</f>
        <v>Perla</v>
      </c>
      <c r="F3069" s="67" t="str">
        <f>COLORES!B5</f>
        <v>PPT</v>
      </c>
      <c r="G3069" s="90" t="s">
        <v>382</v>
      </c>
      <c r="H3069" s="100">
        <f>IFERROR(SUMIFS(MOVIMIENTOS_COMPLEMENTOS!$I$4:$I$803,MOVIMIENTOS_COMPLEMENTOS!$C$4:$C$803,A3069,MOVIMIENTOS_COMPLEMENTOS!$D$4:$D$803,B3069,MOVIMIENTOS_COMPLEMENTOS!$E$4:$E$803,C3069,MOVIMIENTOS_COMPLEMENTOS!$G$4:$G$803,E3069,MOVIMIENTOS_COMPLEMENTOS!$H$4:$H$803,G3069,MOVIMIENTOS_COMPLEMENTOS!$B$4:$B$803,"INGRESO")+SUMIFS(MOVIMIENTOS_COMPLEMENTOS!$I$4:$I$803,MOVIMIENTOS_COMPLEMENTOS!$C$4:$C$803,A3069,MOVIMIENTOS_COMPLEMENTOS!$D$4:$D$803,B3069,MOVIMIENTOS_COMPLEMENTOS!$E$4:$E$803,C3069,MOVIMIENTOS_COMPLEMENTOS!$G$4:$G$803,E3069,MOVIMIENTOS_COMPLEMENTOS!$H$4:$H$803,G3069,MOVIMIENTOS_COMPLEMENTOS!$B$4:$B$803,"DE CORTE")-SUMIFS(MOVIMIENTOS_COMPLEMENTOS!$I$4:$I$803,MOVIMIENTOS_COMPLEMENTOS!$C$4:$C$803,A3069,MOVIMIENTOS_COMPLEMENTOS!$D$4:$D$803,B3069,MOVIMIENTOS_COMPLEMENTOS!$E$4:$E$803,C3069,MOVIMIENTOS_COMPLEMENTOS!$G$4:$G$803,E3069,MOVIMIENTOS_COMPLEMENTOS!$H$4:$H$803,G3069,MOVIMIENTOS_COMPLEMENTOS!$B$4:$B$803,"SALIDA"),0)</f>
        <v>0</v>
      </c>
      <c r="I3069" s="102">
        <f t="array" ref="I3069">IFERROR(INDEX(PRECIOS_COMPLEMENTOS!$C$4:$F$17,MATCH(B3069&amp;"_"&amp;C3069,PRECIOS_COMPLEMENTOS!$H$4:$H$17,0),IF(OR(G3069="S",G3069="20cm"),1,IF(OR(G3069="M",G3069="25cm"),2,IF(OR(G3069="L",G3069="30cm"),3,IF(OR(G3069="XL",G3069="35cm"),4,0))))),0)</f>
        <v>0.45</v>
      </c>
      <c r="J3069" s="103">
        <f t="shared" si="1"/>
        <v>0</v>
      </c>
      <c r="K3069" s="104" t="str">
        <f>IF(H3069&lt;0,"ERROR",IF(H3069=0,"",IF(H3069&lt;CONFIG!$B$4,"CRÍTICO",IF(H3069&lt;CONFIG!$B$5,"BAJO","OK"))))</f>
        <v/>
      </c>
    </row>
    <row r="3070" ht="15.75" customHeight="1">
      <c r="A3070" s="90" t="str">
        <f>IF(CLIENTES!A7="","",CLIENTES!A7)</f>
        <v/>
      </c>
      <c r="B3070" s="90" t="s">
        <v>333</v>
      </c>
      <c r="C3070" s="91" t="s">
        <v>334</v>
      </c>
      <c r="D3070" s="109" t="s">
        <v>353</v>
      </c>
      <c r="E3070" s="67" t="str">
        <f>COLORES!A6</f>
        <v>Blanco</v>
      </c>
      <c r="F3070" s="67" t="str">
        <f>COLORES!B6</f>
        <v>PPT</v>
      </c>
      <c r="G3070" s="90" t="s">
        <v>380</v>
      </c>
      <c r="H3070" s="100">
        <f>IFERROR(SUMIFS(MOVIMIENTOS_COMPLEMENTOS!$I$4:$I$803,MOVIMIENTOS_COMPLEMENTOS!$C$4:$C$803,A3070,MOVIMIENTOS_COMPLEMENTOS!$D$4:$D$803,B3070,MOVIMIENTOS_COMPLEMENTOS!$E$4:$E$803,C3070,MOVIMIENTOS_COMPLEMENTOS!$G$4:$G$803,E3070,MOVIMIENTOS_COMPLEMENTOS!$H$4:$H$803,G3070,MOVIMIENTOS_COMPLEMENTOS!$B$4:$B$803,"INGRESO")+SUMIFS(MOVIMIENTOS_COMPLEMENTOS!$I$4:$I$803,MOVIMIENTOS_COMPLEMENTOS!$C$4:$C$803,A3070,MOVIMIENTOS_COMPLEMENTOS!$D$4:$D$803,B3070,MOVIMIENTOS_COMPLEMENTOS!$E$4:$E$803,C3070,MOVIMIENTOS_COMPLEMENTOS!$G$4:$G$803,E3070,MOVIMIENTOS_COMPLEMENTOS!$H$4:$H$803,G3070,MOVIMIENTOS_COMPLEMENTOS!$B$4:$B$803,"DE CORTE")-SUMIFS(MOVIMIENTOS_COMPLEMENTOS!$I$4:$I$803,MOVIMIENTOS_COMPLEMENTOS!$C$4:$C$803,A3070,MOVIMIENTOS_COMPLEMENTOS!$D$4:$D$803,B3070,MOVIMIENTOS_COMPLEMENTOS!$E$4:$E$803,C3070,MOVIMIENTOS_COMPLEMENTOS!$G$4:$G$803,E3070,MOVIMIENTOS_COMPLEMENTOS!$H$4:$H$803,G3070,MOVIMIENTOS_COMPLEMENTOS!$B$4:$B$803,"SALIDA"),0)</f>
        <v>0</v>
      </c>
      <c r="I3070" s="102">
        <f t="array" ref="I3070">IFERROR(INDEX(PRECIOS_COMPLEMENTOS!$C$4:$F$17,MATCH(B3070&amp;"_"&amp;C3070,PRECIOS_COMPLEMENTOS!$H$4:$H$17,0),IF(OR(G3070="S",G3070="20cm"),1,IF(OR(G3070="M",G3070="25cm"),2,IF(OR(G3070="L",G3070="30cm"),3,IF(OR(G3070="XL",G3070="35cm"),4,0))))),0)</f>
        <v>0.45</v>
      </c>
      <c r="J3070" s="103">
        <f t="shared" si="1"/>
        <v>0</v>
      </c>
      <c r="K3070" s="104" t="str">
        <f>IF(H3070&lt;0,"ERROR",IF(H3070=0,"",IF(H3070&lt;CONFIG!$B$4,"CRÍTICO",IF(H3070&lt;CONFIG!$B$5,"BAJO","OK"))))</f>
        <v/>
      </c>
    </row>
    <row r="3071" ht="15.75" customHeight="1">
      <c r="A3071" s="90" t="str">
        <f>IF(CLIENTES!A7="","",CLIENTES!A7)</f>
        <v/>
      </c>
      <c r="B3071" s="90" t="s">
        <v>333</v>
      </c>
      <c r="C3071" s="91" t="s">
        <v>334</v>
      </c>
      <c r="D3071" s="109" t="s">
        <v>353</v>
      </c>
      <c r="E3071" s="67" t="str">
        <f>COLORES!A6</f>
        <v>Blanco</v>
      </c>
      <c r="F3071" s="67" t="str">
        <f>COLORES!B6</f>
        <v>PPT</v>
      </c>
      <c r="G3071" s="90" t="s">
        <v>381</v>
      </c>
      <c r="H3071" s="100">
        <f>IFERROR(SUMIFS(MOVIMIENTOS_COMPLEMENTOS!$I$4:$I$803,MOVIMIENTOS_COMPLEMENTOS!$C$4:$C$803,A3071,MOVIMIENTOS_COMPLEMENTOS!$D$4:$D$803,B3071,MOVIMIENTOS_COMPLEMENTOS!$E$4:$E$803,C3071,MOVIMIENTOS_COMPLEMENTOS!$G$4:$G$803,E3071,MOVIMIENTOS_COMPLEMENTOS!$H$4:$H$803,G3071,MOVIMIENTOS_COMPLEMENTOS!$B$4:$B$803,"INGRESO")+SUMIFS(MOVIMIENTOS_COMPLEMENTOS!$I$4:$I$803,MOVIMIENTOS_COMPLEMENTOS!$C$4:$C$803,A3071,MOVIMIENTOS_COMPLEMENTOS!$D$4:$D$803,B3071,MOVIMIENTOS_COMPLEMENTOS!$E$4:$E$803,C3071,MOVIMIENTOS_COMPLEMENTOS!$G$4:$G$803,E3071,MOVIMIENTOS_COMPLEMENTOS!$H$4:$H$803,G3071,MOVIMIENTOS_COMPLEMENTOS!$B$4:$B$803,"DE CORTE")-SUMIFS(MOVIMIENTOS_COMPLEMENTOS!$I$4:$I$803,MOVIMIENTOS_COMPLEMENTOS!$C$4:$C$803,A3071,MOVIMIENTOS_COMPLEMENTOS!$D$4:$D$803,B3071,MOVIMIENTOS_COMPLEMENTOS!$E$4:$E$803,C3071,MOVIMIENTOS_COMPLEMENTOS!$G$4:$G$803,E3071,MOVIMIENTOS_COMPLEMENTOS!$H$4:$H$803,G3071,MOVIMIENTOS_COMPLEMENTOS!$B$4:$B$803,"SALIDA"),0)</f>
        <v>0</v>
      </c>
      <c r="I3071" s="102">
        <f t="array" ref="I3071">IFERROR(INDEX(PRECIOS_COMPLEMENTOS!$C$4:$F$17,MATCH(B3071&amp;"_"&amp;C3071,PRECIOS_COMPLEMENTOS!$H$4:$H$17,0),IF(OR(G3071="S",G3071="20cm"),1,IF(OR(G3071="M",G3071="25cm"),2,IF(OR(G3071="L",G3071="30cm"),3,IF(OR(G3071="XL",G3071="35cm"),4,0))))),0)</f>
        <v>0.45</v>
      </c>
      <c r="J3071" s="103">
        <f t="shared" si="1"/>
        <v>0</v>
      </c>
      <c r="K3071" s="104" t="str">
        <f>IF(H3071&lt;0,"ERROR",IF(H3071=0,"",IF(H3071&lt;CONFIG!$B$4,"CRÍTICO",IF(H3071&lt;CONFIG!$B$5,"BAJO","OK"))))</f>
        <v/>
      </c>
    </row>
    <row r="3072" ht="15.75" customHeight="1">
      <c r="A3072" s="90" t="str">
        <f>IF(CLIENTES!A7="","",CLIENTES!A7)</f>
        <v/>
      </c>
      <c r="B3072" s="90" t="s">
        <v>333</v>
      </c>
      <c r="C3072" s="91" t="s">
        <v>334</v>
      </c>
      <c r="D3072" s="109" t="s">
        <v>353</v>
      </c>
      <c r="E3072" s="67" t="str">
        <f>COLORES!A6</f>
        <v>Blanco</v>
      </c>
      <c r="F3072" s="67" t="str">
        <f>COLORES!B6</f>
        <v>PPT</v>
      </c>
      <c r="G3072" s="90" t="s">
        <v>382</v>
      </c>
      <c r="H3072" s="100">
        <f>IFERROR(SUMIFS(MOVIMIENTOS_COMPLEMENTOS!$I$4:$I$803,MOVIMIENTOS_COMPLEMENTOS!$C$4:$C$803,A3072,MOVIMIENTOS_COMPLEMENTOS!$D$4:$D$803,B3072,MOVIMIENTOS_COMPLEMENTOS!$E$4:$E$803,C3072,MOVIMIENTOS_COMPLEMENTOS!$G$4:$G$803,E3072,MOVIMIENTOS_COMPLEMENTOS!$H$4:$H$803,G3072,MOVIMIENTOS_COMPLEMENTOS!$B$4:$B$803,"INGRESO")+SUMIFS(MOVIMIENTOS_COMPLEMENTOS!$I$4:$I$803,MOVIMIENTOS_COMPLEMENTOS!$C$4:$C$803,A3072,MOVIMIENTOS_COMPLEMENTOS!$D$4:$D$803,B3072,MOVIMIENTOS_COMPLEMENTOS!$E$4:$E$803,C3072,MOVIMIENTOS_COMPLEMENTOS!$G$4:$G$803,E3072,MOVIMIENTOS_COMPLEMENTOS!$H$4:$H$803,G3072,MOVIMIENTOS_COMPLEMENTOS!$B$4:$B$803,"DE CORTE")-SUMIFS(MOVIMIENTOS_COMPLEMENTOS!$I$4:$I$803,MOVIMIENTOS_COMPLEMENTOS!$C$4:$C$803,A3072,MOVIMIENTOS_COMPLEMENTOS!$D$4:$D$803,B3072,MOVIMIENTOS_COMPLEMENTOS!$E$4:$E$803,C3072,MOVIMIENTOS_COMPLEMENTOS!$G$4:$G$803,E3072,MOVIMIENTOS_COMPLEMENTOS!$H$4:$H$803,G3072,MOVIMIENTOS_COMPLEMENTOS!$B$4:$B$803,"SALIDA"),0)</f>
        <v>0</v>
      </c>
      <c r="I3072" s="102">
        <f t="array" ref="I3072">IFERROR(INDEX(PRECIOS_COMPLEMENTOS!$C$4:$F$17,MATCH(B3072&amp;"_"&amp;C3072,PRECIOS_COMPLEMENTOS!$H$4:$H$17,0),IF(OR(G3072="S",G3072="20cm"),1,IF(OR(G3072="M",G3072="25cm"),2,IF(OR(G3072="L",G3072="30cm"),3,IF(OR(G3072="XL",G3072="35cm"),4,0))))),0)</f>
        <v>0.45</v>
      </c>
      <c r="J3072" s="103">
        <f t="shared" si="1"/>
        <v>0</v>
      </c>
      <c r="K3072" s="104" t="str">
        <f>IF(H3072&lt;0,"ERROR",IF(H3072=0,"",IF(H3072&lt;CONFIG!$B$4,"CRÍTICO",IF(H3072&lt;CONFIG!$B$5,"BAJO","OK"))))</f>
        <v/>
      </c>
    </row>
    <row r="3073" ht="15.75" customHeight="1">
      <c r="A3073" s="90" t="str">
        <f>IF(CLIENTES!A7="","",CLIENTES!A7)</f>
        <v/>
      </c>
      <c r="B3073" s="90" t="s">
        <v>333</v>
      </c>
      <c r="C3073" s="91" t="s">
        <v>334</v>
      </c>
      <c r="D3073" s="109" t="s">
        <v>353</v>
      </c>
      <c r="E3073" s="67" t="str">
        <f>COLORES!A7</f>
        <v>Azul</v>
      </c>
      <c r="F3073" s="67" t="str">
        <f>COLORES!B7</f>
        <v>OSCURO</v>
      </c>
      <c r="G3073" s="90" t="s">
        <v>380</v>
      </c>
      <c r="H3073" s="100">
        <f>IFERROR(SUMIFS(MOVIMIENTOS_COMPLEMENTOS!$I$4:$I$803,MOVIMIENTOS_COMPLEMENTOS!$C$4:$C$803,A3073,MOVIMIENTOS_COMPLEMENTOS!$D$4:$D$803,B3073,MOVIMIENTOS_COMPLEMENTOS!$E$4:$E$803,C3073,MOVIMIENTOS_COMPLEMENTOS!$G$4:$G$803,E3073,MOVIMIENTOS_COMPLEMENTOS!$H$4:$H$803,G3073,MOVIMIENTOS_COMPLEMENTOS!$B$4:$B$803,"INGRESO")+SUMIFS(MOVIMIENTOS_COMPLEMENTOS!$I$4:$I$803,MOVIMIENTOS_COMPLEMENTOS!$C$4:$C$803,A3073,MOVIMIENTOS_COMPLEMENTOS!$D$4:$D$803,B3073,MOVIMIENTOS_COMPLEMENTOS!$E$4:$E$803,C3073,MOVIMIENTOS_COMPLEMENTOS!$G$4:$G$803,E3073,MOVIMIENTOS_COMPLEMENTOS!$H$4:$H$803,G3073,MOVIMIENTOS_COMPLEMENTOS!$B$4:$B$803,"DE CORTE")-SUMIFS(MOVIMIENTOS_COMPLEMENTOS!$I$4:$I$803,MOVIMIENTOS_COMPLEMENTOS!$C$4:$C$803,A3073,MOVIMIENTOS_COMPLEMENTOS!$D$4:$D$803,B3073,MOVIMIENTOS_COMPLEMENTOS!$E$4:$E$803,C3073,MOVIMIENTOS_COMPLEMENTOS!$G$4:$G$803,E3073,MOVIMIENTOS_COMPLEMENTOS!$H$4:$H$803,G3073,MOVIMIENTOS_COMPLEMENTOS!$B$4:$B$803,"SALIDA"),0)</f>
        <v>0</v>
      </c>
      <c r="I3073" s="102">
        <f t="array" ref="I3073">IFERROR(INDEX(PRECIOS_COMPLEMENTOS!$C$4:$F$17,MATCH(B3073&amp;"_"&amp;C3073,PRECIOS_COMPLEMENTOS!$H$4:$H$17,0),IF(OR(G3073="S",G3073="20cm"),1,IF(OR(G3073="M",G3073="25cm"),2,IF(OR(G3073="L",G3073="30cm"),3,IF(OR(G3073="XL",G3073="35cm"),4,0))))),0)</f>
        <v>0.45</v>
      </c>
      <c r="J3073" s="103">
        <f t="shared" si="1"/>
        <v>0</v>
      </c>
      <c r="K3073" s="104" t="str">
        <f>IF(H3073&lt;0,"ERROR",IF(H3073=0,"",IF(H3073&lt;CONFIG!$B$4,"CRÍTICO",IF(H3073&lt;CONFIG!$B$5,"BAJO","OK"))))</f>
        <v/>
      </c>
    </row>
    <row r="3074" ht="15.75" customHeight="1">
      <c r="A3074" s="90" t="str">
        <f>IF(CLIENTES!A7="","",CLIENTES!A7)</f>
        <v/>
      </c>
      <c r="B3074" s="90" t="s">
        <v>333</v>
      </c>
      <c r="C3074" s="91" t="s">
        <v>334</v>
      </c>
      <c r="D3074" s="109" t="s">
        <v>353</v>
      </c>
      <c r="E3074" s="67" t="str">
        <f>COLORES!A7</f>
        <v>Azul</v>
      </c>
      <c r="F3074" s="67" t="str">
        <f>COLORES!B7</f>
        <v>OSCURO</v>
      </c>
      <c r="G3074" s="90" t="s">
        <v>381</v>
      </c>
      <c r="H3074" s="100">
        <f>IFERROR(SUMIFS(MOVIMIENTOS_COMPLEMENTOS!$I$4:$I$803,MOVIMIENTOS_COMPLEMENTOS!$C$4:$C$803,A3074,MOVIMIENTOS_COMPLEMENTOS!$D$4:$D$803,B3074,MOVIMIENTOS_COMPLEMENTOS!$E$4:$E$803,C3074,MOVIMIENTOS_COMPLEMENTOS!$G$4:$G$803,E3074,MOVIMIENTOS_COMPLEMENTOS!$H$4:$H$803,G3074,MOVIMIENTOS_COMPLEMENTOS!$B$4:$B$803,"INGRESO")+SUMIFS(MOVIMIENTOS_COMPLEMENTOS!$I$4:$I$803,MOVIMIENTOS_COMPLEMENTOS!$C$4:$C$803,A3074,MOVIMIENTOS_COMPLEMENTOS!$D$4:$D$803,B3074,MOVIMIENTOS_COMPLEMENTOS!$E$4:$E$803,C3074,MOVIMIENTOS_COMPLEMENTOS!$G$4:$G$803,E3074,MOVIMIENTOS_COMPLEMENTOS!$H$4:$H$803,G3074,MOVIMIENTOS_COMPLEMENTOS!$B$4:$B$803,"DE CORTE")-SUMIFS(MOVIMIENTOS_COMPLEMENTOS!$I$4:$I$803,MOVIMIENTOS_COMPLEMENTOS!$C$4:$C$803,A3074,MOVIMIENTOS_COMPLEMENTOS!$D$4:$D$803,B3074,MOVIMIENTOS_COMPLEMENTOS!$E$4:$E$803,C3074,MOVIMIENTOS_COMPLEMENTOS!$G$4:$G$803,E3074,MOVIMIENTOS_COMPLEMENTOS!$H$4:$H$803,G3074,MOVIMIENTOS_COMPLEMENTOS!$B$4:$B$803,"SALIDA"),0)</f>
        <v>0</v>
      </c>
      <c r="I3074" s="102">
        <f t="array" ref="I3074">IFERROR(INDEX(PRECIOS_COMPLEMENTOS!$C$4:$F$17,MATCH(B3074&amp;"_"&amp;C3074,PRECIOS_COMPLEMENTOS!$H$4:$H$17,0),IF(OR(G3074="S",G3074="20cm"),1,IF(OR(G3074="M",G3074="25cm"),2,IF(OR(G3074="L",G3074="30cm"),3,IF(OR(G3074="XL",G3074="35cm"),4,0))))),0)</f>
        <v>0.45</v>
      </c>
      <c r="J3074" s="103">
        <f t="shared" si="1"/>
        <v>0</v>
      </c>
      <c r="K3074" s="104" t="str">
        <f>IF(H3074&lt;0,"ERROR",IF(H3074=0,"",IF(H3074&lt;CONFIG!$B$4,"CRÍTICO",IF(H3074&lt;CONFIG!$B$5,"BAJO","OK"))))</f>
        <v/>
      </c>
    </row>
    <row r="3075" ht="15.75" customHeight="1">
      <c r="A3075" s="90" t="str">
        <f>IF(CLIENTES!A7="","",CLIENTES!A7)</f>
        <v/>
      </c>
      <c r="B3075" s="90" t="s">
        <v>333</v>
      </c>
      <c r="C3075" s="91" t="s">
        <v>334</v>
      </c>
      <c r="D3075" s="109" t="s">
        <v>353</v>
      </c>
      <c r="E3075" s="67" t="str">
        <f>COLORES!A7</f>
        <v>Azul</v>
      </c>
      <c r="F3075" s="67" t="str">
        <f>COLORES!B7</f>
        <v>OSCURO</v>
      </c>
      <c r="G3075" s="90" t="s">
        <v>382</v>
      </c>
      <c r="H3075" s="100">
        <f>IFERROR(SUMIFS(MOVIMIENTOS_COMPLEMENTOS!$I$4:$I$803,MOVIMIENTOS_COMPLEMENTOS!$C$4:$C$803,A3075,MOVIMIENTOS_COMPLEMENTOS!$D$4:$D$803,B3075,MOVIMIENTOS_COMPLEMENTOS!$E$4:$E$803,C3075,MOVIMIENTOS_COMPLEMENTOS!$G$4:$G$803,E3075,MOVIMIENTOS_COMPLEMENTOS!$H$4:$H$803,G3075,MOVIMIENTOS_COMPLEMENTOS!$B$4:$B$803,"INGRESO")+SUMIFS(MOVIMIENTOS_COMPLEMENTOS!$I$4:$I$803,MOVIMIENTOS_COMPLEMENTOS!$C$4:$C$803,A3075,MOVIMIENTOS_COMPLEMENTOS!$D$4:$D$803,B3075,MOVIMIENTOS_COMPLEMENTOS!$E$4:$E$803,C3075,MOVIMIENTOS_COMPLEMENTOS!$G$4:$G$803,E3075,MOVIMIENTOS_COMPLEMENTOS!$H$4:$H$803,G3075,MOVIMIENTOS_COMPLEMENTOS!$B$4:$B$803,"DE CORTE")-SUMIFS(MOVIMIENTOS_COMPLEMENTOS!$I$4:$I$803,MOVIMIENTOS_COMPLEMENTOS!$C$4:$C$803,A3075,MOVIMIENTOS_COMPLEMENTOS!$D$4:$D$803,B3075,MOVIMIENTOS_COMPLEMENTOS!$E$4:$E$803,C3075,MOVIMIENTOS_COMPLEMENTOS!$G$4:$G$803,E3075,MOVIMIENTOS_COMPLEMENTOS!$H$4:$H$803,G3075,MOVIMIENTOS_COMPLEMENTOS!$B$4:$B$803,"SALIDA"),0)</f>
        <v>0</v>
      </c>
      <c r="I3075" s="102">
        <f t="array" ref="I3075">IFERROR(INDEX(PRECIOS_COMPLEMENTOS!$C$4:$F$17,MATCH(B3075&amp;"_"&amp;C3075,PRECIOS_COMPLEMENTOS!$H$4:$H$17,0),IF(OR(G3075="S",G3075="20cm"),1,IF(OR(G3075="M",G3075="25cm"),2,IF(OR(G3075="L",G3075="30cm"),3,IF(OR(G3075="XL",G3075="35cm"),4,0))))),0)</f>
        <v>0.45</v>
      </c>
      <c r="J3075" s="103">
        <f t="shared" si="1"/>
        <v>0</v>
      </c>
      <c r="K3075" s="104" t="str">
        <f>IF(H3075&lt;0,"ERROR",IF(H3075=0,"",IF(H3075&lt;CONFIG!$B$4,"CRÍTICO",IF(H3075&lt;CONFIG!$B$5,"BAJO","OK"))))</f>
        <v/>
      </c>
    </row>
    <row r="3076" ht="15.75" customHeight="1">
      <c r="A3076" s="90" t="str">
        <f>IF(CLIENTES!A7="","",CLIENTES!A7)</f>
        <v/>
      </c>
      <c r="B3076" s="90" t="s">
        <v>333</v>
      </c>
      <c r="C3076" s="91" t="s">
        <v>334</v>
      </c>
      <c r="D3076" s="109" t="s">
        <v>353</v>
      </c>
      <c r="E3076" s="67" t="str">
        <f>COLORES!A8</f>
        <v>Beige</v>
      </c>
      <c r="F3076" s="67" t="str">
        <f>COLORES!B8</f>
        <v>CLARO</v>
      </c>
      <c r="G3076" s="90" t="s">
        <v>380</v>
      </c>
      <c r="H3076" s="100">
        <f>IFERROR(SUMIFS(MOVIMIENTOS_COMPLEMENTOS!$I$4:$I$803,MOVIMIENTOS_COMPLEMENTOS!$C$4:$C$803,A3076,MOVIMIENTOS_COMPLEMENTOS!$D$4:$D$803,B3076,MOVIMIENTOS_COMPLEMENTOS!$E$4:$E$803,C3076,MOVIMIENTOS_COMPLEMENTOS!$G$4:$G$803,E3076,MOVIMIENTOS_COMPLEMENTOS!$H$4:$H$803,G3076,MOVIMIENTOS_COMPLEMENTOS!$B$4:$B$803,"INGRESO")+SUMIFS(MOVIMIENTOS_COMPLEMENTOS!$I$4:$I$803,MOVIMIENTOS_COMPLEMENTOS!$C$4:$C$803,A3076,MOVIMIENTOS_COMPLEMENTOS!$D$4:$D$803,B3076,MOVIMIENTOS_COMPLEMENTOS!$E$4:$E$803,C3076,MOVIMIENTOS_COMPLEMENTOS!$G$4:$G$803,E3076,MOVIMIENTOS_COMPLEMENTOS!$H$4:$H$803,G3076,MOVIMIENTOS_COMPLEMENTOS!$B$4:$B$803,"DE CORTE")-SUMIFS(MOVIMIENTOS_COMPLEMENTOS!$I$4:$I$803,MOVIMIENTOS_COMPLEMENTOS!$C$4:$C$803,A3076,MOVIMIENTOS_COMPLEMENTOS!$D$4:$D$803,B3076,MOVIMIENTOS_COMPLEMENTOS!$E$4:$E$803,C3076,MOVIMIENTOS_COMPLEMENTOS!$G$4:$G$803,E3076,MOVIMIENTOS_COMPLEMENTOS!$H$4:$H$803,G3076,MOVIMIENTOS_COMPLEMENTOS!$B$4:$B$803,"SALIDA"),0)</f>
        <v>0</v>
      </c>
      <c r="I3076" s="102">
        <f t="array" ref="I3076">IFERROR(INDEX(PRECIOS_COMPLEMENTOS!$C$4:$F$17,MATCH(B3076&amp;"_"&amp;C3076,PRECIOS_COMPLEMENTOS!$H$4:$H$17,0),IF(OR(G3076="S",G3076="20cm"),1,IF(OR(G3076="M",G3076="25cm"),2,IF(OR(G3076="L",G3076="30cm"),3,IF(OR(G3076="XL",G3076="35cm"),4,0))))),0)</f>
        <v>0.45</v>
      </c>
      <c r="J3076" s="103">
        <f t="shared" si="1"/>
        <v>0</v>
      </c>
      <c r="K3076" s="104" t="str">
        <f>IF(H3076&lt;0,"ERROR",IF(H3076=0,"",IF(H3076&lt;CONFIG!$B$4,"CRÍTICO",IF(H3076&lt;CONFIG!$B$5,"BAJO","OK"))))</f>
        <v/>
      </c>
    </row>
    <row r="3077" ht="15.75" customHeight="1">
      <c r="A3077" s="90" t="str">
        <f>IF(CLIENTES!A7="","",CLIENTES!A7)</f>
        <v/>
      </c>
      <c r="B3077" s="90" t="s">
        <v>333</v>
      </c>
      <c r="C3077" s="91" t="s">
        <v>334</v>
      </c>
      <c r="D3077" s="109" t="s">
        <v>353</v>
      </c>
      <c r="E3077" s="67" t="str">
        <f>COLORES!A8</f>
        <v>Beige</v>
      </c>
      <c r="F3077" s="67" t="str">
        <f>COLORES!B8</f>
        <v>CLARO</v>
      </c>
      <c r="G3077" s="90" t="s">
        <v>381</v>
      </c>
      <c r="H3077" s="100">
        <f>IFERROR(SUMIFS(MOVIMIENTOS_COMPLEMENTOS!$I$4:$I$803,MOVIMIENTOS_COMPLEMENTOS!$C$4:$C$803,A3077,MOVIMIENTOS_COMPLEMENTOS!$D$4:$D$803,B3077,MOVIMIENTOS_COMPLEMENTOS!$E$4:$E$803,C3077,MOVIMIENTOS_COMPLEMENTOS!$G$4:$G$803,E3077,MOVIMIENTOS_COMPLEMENTOS!$H$4:$H$803,G3077,MOVIMIENTOS_COMPLEMENTOS!$B$4:$B$803,"INGRESO")+SUMIFS(MOVIMIENTOS_COMPLEMENTOS!$I$4:$I$803,MOVIMIENTOS_COMPLEMENTOS!$C$4:$C$803,A3077,MOVIMIENTOS_COMPLEMENTOS!$D$4:$D$803,B3077,MOVIMIENTOS_COMPLEMENTOS!$E$4:$E$803,C3077,MOVIMIENTOS_COMPLEMENTOS!$G$4:$G$803,E3077,MOVIMIENTOS_COMPLEMENTOS!$H$4:$H$803,G3077,MOVIMIENTOS_COMPLEMENTOS!$B$4:$B$803,"DE CORTE")-SUMIFS(MOVIMIENTOS_COMPLEMENTOS!$I$4:$I$803,MOVIMIENTOS_COMPLEMENTOS!$C$4:$C$803,A3077,MOVIMIENTOS_COMPLEMENTOS!$D$4:$D$803,B3077,MOVIMIENTOS_COMPLEMENTOS!$E$4:$E$803,C3077,MOVIMIENTOS_COMPLEMENTOS!$G$4:$G$803,E3077,MOVIMIENTOS_COMPLEMENTOS!$H$4:$H$803,G3077,MOVIMIENTOS_COMPLEMENTOS!$B$4:$B$803,"SALIDA"),0)</f>
        <v>0</v>
      </c>
      <c r="I3077" s="102">
        <f t="array" ref="I3077">IFERROR(INDEX(PRECIOS_COMPLEMENTOS!$C$4:$F$17,MATCH(B3077&amp;"_"&amp;C3077,PRECIOS_COMPLEMENTOS!$H$4:$H$17,0),IF(OR(G3077="S",G3077="20cm"),1,IF(OR(G3077="M",G3077="25cm"),2,IF(OR(G3077="L",G3077="30cm"),3,IF(OR(G3077="XL",G3077="35cm"),4,0))))),0)</f>
        <v>0.45</v>
      </c>
      <c r="J3077" s="103">
        <f t="shared" si="1"/>
        <v>0</v>
      </c>
      <c r="K3077" s="104" t="str">
        <f>IF(H3077&lt;0,"ERROR",IF(H3077=0,"",IF(H3077&lt;CONFIG!$B$4,"CRÍTICO",IF(H3077&lt;CONFIG!$B$5,"BAJO","OK"))))</f>
        <v/>
      </c>
    </row>
    <row r="3078" ht="15.75" customHeight="1">
      <c r="A3078" s="90" t="str">
        <f>IF(CLIENTES!A7="","",CLIENTES!A7)</f>
        <v/>
      </c>
      <c r="B3078" s="90" t="s">
        <v>333</v>
      </c>
      <c r="C3078" s="91" t="s">
        <v>334</v>
      </c>
      <c r="D3078" s="109" t="s">
        <v>353</v>
      </c>
      <c r="E3078" s="67" t="str">
        <f>COLORES!A8</f>
        <v>Beige</v>
      </c>
      <c r="F3078" s="67" t="str">
        <f>COLORES!B8</f>
        <v>CLARO</v>
      </c>
      <c r="G3078" s="90" t="s">
        <v>382</v>
      </c>
      <c r="H3078" s="100">
        <f>IFERROR(SUMIFS(MOVIMIENTOS_COMPLEMENTOS!$I$4:$I$803,MOVIMIENTOS_COMPLEMENTOS!$C$4:$C$803,A3078,MOVIMIENTOS_COMPLEMENTOS!$D$4:$D$803,B3078,MOVIMIENTOS_COMPLEMENTOS!$E$4:$E$803,C3078,MOVIMIENTOS_COMPLEMENTOS!$G$4:$G$803,E3078,MOVIMIENTOS_COMPLEMENTOS!$H$4:$H$803,G3078,MOVIMIENTOS_COMPLEMENTOS!$B$4:$B$803,"INGRESO")+SUMIFS(MOVIMIENTOS_COMPLEMENTOS!$I$4:$I$803,MOVIMIENTOS_COMPLEMENTOS!$C$4:$C$803,A3078,MOVIMIENTOS_COMPLEMENTOS!$D$4:$D$803,B3078,MOVIMIENTOS_COMPLEMENTOS!$E$4:$E$803,C3078,MOVIMIENTOS_COMPLEMENTOS!$G$4:$G$803,E3078,MOVIMIENTOS_COMPLEMENTOS!$H$4:$H$803,G3078,MOVIMIENTOS_COMPLEMENTOS!$B$4:$B$803,"DE CORTE")-SUMIFS(MOVIMIENTOS_COMPLEMENTOS!$I$4:$I$803,MOVIMIENTOS_COMPLEMENTOS!$C$4:$C$803,A3078,MOVIMIENTOS_COMPLEMENTOS!$D$4:$D$803,B3078,MOVIMIENTOS_COMPLEMENTOS!$E$4:$E$803,C3078,MOVIMIENTOS_COMPLEMENTOS!$G$4:$G$803,E3078,MOVIMIENTOS_COMPLEMENTOS!$H$4:$H$803,G3078,MOVIMIENTOS_COMPLEMENTOS!$B$4:$B$803,"SALIDA"),0)</f>
        <v>0</v>
      </c>
      <c r="I3078" s="102">
        <f t="array" ref="I3078">IFERROR(INDEX(PRECIOS_COMPLEMENTOS!$C$4:$F$17,MATCH(B3078&amp;"_"&amp;C3078,PRECIOS_COMPLEMENTOS!$H$4:$H$17,0),IF(OR(G3078="S",G3078="20cm"),1,IF(OR(G3078="M",G3078="25cm"),2,IF(OR(G3078="L",G3078="30cm"),3,IF(OR(G3078="XL",G3078="35cm"),4,0))))),0)</f>
        <v>0.45</v>
      </c>
      <c r="J3078" s="103">
        <f t="shared" si="1"/>
        <v>0</v>
      </c>
      <c r="K3078" s="104" t="str">
        <f>IF(H3078&lt;0,"ERROR",IF(H3078=0,"",IF(H3078&lt;CONFIG!$B$4,"CRÍTICO",IF(H3078&lt;CONFIG!$B$5,"BAJO","OK"))))</f>
        <v/>
      </c>
    </row>
    <row r="3079" ht="15.75" customHeight="1">
      <c r="A3079" s="90" t="str">
        <f>IF(CLIENTES!A7="","",CLIENTES!A7)</f>
        <v/>
      </c>
      <c r="B3079" s="90" t="s">
        <v>333</v>
      </c>
      <c r="C3079" s="91" t="s">
        <v>334</v>
      </c>
      <c r="D3079" s="109" t="s">
        <v>353</v>
      </c>
      <c r="E3079" s="67" t="str">
        <f>COLORES!A9</f>
        <v>Melange</v>
      </c>
      <c r="F3079" s="67" t="str">
        <f>COLORES!B9</f>
        <v>MELANGE</v>
      </c>
      <c r="G3079" s="90" t="s">
        <v>380</v>
      </c>
      <c r="H3079" s="100">
        <f>IFERROR(SUMIFS(MOVIMIENTOS_COMPLEMENTOS!$I$4:$I$803,MOVIMIENTOS_COMPLEMENTOS!$C$4:$C$803,A3079,MOVIMIENTOS_COMPLEMENTOS!$D$4:$D$803,B3079,MOVIMIENTOS_COMPLEMENTOS!$E$4:$E$803,C3079,MOVIMIENTOS_COMPLEMENTOS!$G$4:$G$803,E3079,MOVIMIENTOS_COMPLEMENTOS!$H$4:$H$803,G3079,MOVIMIENTOS_COMPLEMENTOS!$B$4:$B$803,"INGRESO")+SUMIFS(MOVIMIENTOS_COMPLEMENTOS!$I$4:$I$803,MOVIMIENTOS_COMPLEMENTOS!$C$4:$C$803,A3079,MOVIMIENTOS_COMPLEMENTOS!$D$4:$D$803,B3079,MOVIMIENTOS_COMPLEMENTOS!$E$4:$E$803,C3079,MOVIMIENTOS_COMPLEMENTOS!$G$4:$G$803,E3079,MOVIMIENTOS_COMPLEMENTOS!$H$4:$H$803,G3079,MOVIMIENTOS_COMPLEMENTOS!$B$4:$B$803,"DE CORTE")-SUMIFS(MOVIMIENTOS_COMPLEMENTOS!$I$4:$I$803,MOVIMIENTOS_COMPLEMENTOS!$C$4:$C$803,A3079,MOVIMIENTOS_COMPLEMENTOS!$D$4:$D$803,B3079,MOVIMIENTOS_COMPLEMENTOS!$E$4:$E$803,C3079,MOVIMIENTOS_COMPLEMENTOS!$G$4:$G$803,E3079,MOVIMIENTOS_COMPLEMENTOS!$H$4:$H$803,G3079,MOVIMIENTOS_COMPLEMENTOS!$B$4:$B$803,"SALIDA"),0)</f>
        <v>0</v>
      </c>
      <c r="I3079" s="102">
        <f t="array" ref="I3079">IFERROR(INDEX(PRECIOS_COMPLEMENTOS!$C$4:$F$17,MATCH(B3079&amp;"_"&amp;C3079,PRECIOS_COMPLEMENTOS!$H$4:$H$17,0),IF(OR(G3079="S",G3079="20cm"),1,IF(OR(G3079="M",G3079="25cm"),2,IF(OR(G3079="L",G3079="30cm"),3,IF(OR(G3079="XL",G3079="35cm"),4,0))))),0)</f>
        <v>0.45</v>
      </c>
      <c r="J3079" s="103">
        <f t="shared" si="1"/>
        <v>0</v>
      </c>
      <c r="K3079" s="104" t="str">
        <f>IF(H3079&lt;0,"ERROR",IF(H3079=0,"",IF(H3079&lt;CONFIG!$B$4,"CRÍTICO",IF(H3079&lt;CONFIG!$B$5,"BAJO","OK"))))</f>
        <v/>
      </c>
    </row>
    <row r="3080" ht="15.75" customHeight="1">
      <c r="A3080" s="90" t="str">
        <f>IF(CLIENTES!A7="","",CLIENTES!A7)</f>
        <v/>
      </c>
      <c r="B3080" s="90" t="s">
        <v>333</v>
      </c>
      <c r="C3080" s="91" t="s">
        <v>334</v>
      </c>
      <c r="D3080" s="109" t="s">
        <v>353</v>
      </c>
      <c r="E3080" s="67" t="str">
        <f>COLORES!A9</f>
        <v>Melange</v>
      </c>
      <c r="F3080" s="67" t="str">
        <f>COLORES!B9</f>
        <v>MELANGE</v>
      </c>
      <c r="G3080" s="90" t="s">
        <v>381</v>
      </c>
      <c r="H3080" s="100">
        <f>IFERROR(SUMIFS(MOVIMIENTOS_COMPLEMENTOS!$I$4:$I$803,MOVIMIENTOS_COMPLEMENTOS!$C$4:$C$803,A3080,MOVIMIENTOS_COMPLEMENTOS!$D$4:$D$803,B3080,MOVIMIENTOS_COMPLEMENTOS!$E$4:$E$803,C3080,MOVIMIENTOS_COMPLEMENTOS!$G$4:$G$803,E3080,MOVIMIENTOS_COMPLEMENTOS!$H$4:$H$803,G3080,MOVIMIENTOS_COMPLEMENTOS!$B$4:$B$803,"INGRESO")+SUMIFS(MOVIMIENTOS_COMPLEMENTOS!$I$4:$I$803,MOVIMIENTOS_COMPLEMENTOS!$C$4:$C$803,A3080,MOVIMIENTOS_COMPLEMENTOS!$D$4:$D$803,B3080,MOVIMIENTOS_COMPLEMENTOS!$E$4:$E$803,C3080,MOVIMIENTOS_COMPLEMENTOS!$G$4:$G$803,E3080,MOVIMIENTOS_COMPLEMENTOS!$H$4:$H$803,G3080,MOVIMIENTOS_COMPLEMENTOS!$B$4:$B$803,"DE CORTE")-SUMIFS(MOVIMIENTOS_COMPLEMENTOS!$I$4:$I$803,MOVIMIENTOS_COMPLEMENTOS!$C$4:$C$803,A3080,MOVIMIENTOS_COMPLEMENTOS!$D$4:$D$803,B3080,MOVIMIENTOS_COMPLEMENTOS!$E$4:$E$803,C3080,MOVIMIENTOS_COMPLEMENTOS!$G$4:$G$803,E3080,MOVIMIENTOS_COMPLEMENTOS!$H$4:$H$803,G3080,MOVIMIENTOS_COMPLEMENTOS!$B$4:$B$803,"SALIDA"),0)</f>
        <v>0</v>
      </c>
      <c r="I3080" s="102">
        <f t="array" ref="I3080">IFERROR(INDEX(PRECIOS_COMPLEMENTOS!$C$4:$F$17,MATCH(B3080&amp;"_"&amp;C3080,PRECIOS_COMPLEMENTOS!$H$4:$H$17,0),IF(OR(G3080="S",G3080="20cm"),1,IF(OR(G3080="M",G3080="25cm"),2,IF(OR(G3080="L",G3080="30cm"),3,IF(OR(G3080="XL",G3080="35cm"),4,0))))),0)</f>
        <v>0.45</v>
      </c>
      <c r="J3080" s="103">
        <f t="shared" si="1"/>
        <v>0</v>
      </c>
      <c r="K3080" s="104" t="str">
        <f>IF(H3080&lt;0,"ERROR",IF(H3080=0,"",IF(H3080&lt;CONFIG!$B$4,"CRÍTICO",IF(H3080&lt;CONFIG!$B$5,"BAJO","OK"))))</f>
        <v/>
      </c>
    </row>
    <row r="3081" ht="15.75" customHeight="1">
      <c r="A3081" s="90" t="str">
        <f>IF(CLIENTES!A7="","",CLIENTES!A7)</f>
        <v/>
      </c>
      <c r="B3081" s="90" t="s">
        <v>333</v>
      </c>
      <c r="C3081" s="91" t="s">
        <v>334</v>
      </c>
      <c r="D3081" s="109" t="s">
        <v>353</v>
      </c>
      <c r="E3081" s="67" t="str">
        <f>COLORES!A9</f>
        <v>Melange</v>
      </c>
      <c r="F3081" s="67" t="str">
        <f>COLORES!B9</f>
        <v>MELANGE</v>
      </c>
      <c r="G3081" s="90" t="s">
        <v>382</v>
      </c>
      <c r="H3081" s="100">
        <f>IFERROR(SUMIFS(MOVIMIENTOS_COMPLEMENTOS!$I$4:$I$803,MOVIMIENTOS_COMPLEMENTOS!$C$4:$C$803,A3081,MOVIMIENTOS_COMPLEMENTOS!$D$4:$D$803,B3081,MOVIMIENTOS_COMPLEMENTOS!$E$4:$E$803,C3081,MOVIMIENTOS_COMPLEMENTOS!$G$4:$G$803,E3081,MOVIMIENTOS_COMPLEMENTOS!$H$4:$H$803,G3081,MOVIMIENTOS_COMPLEMENTOS!$B$4:$B$803,"INGRESO")+SUMIFS(MOVIMIENTOS_COMPLEMENTOS!$I$4:$I$803,MOVIMIENTOS_COMPLEMENTOS!$C$4:$C$803,A3081,MOVIMIENTOS_COMPLEMENTOS!$D$4:$D$803,B3081,MOVIMIENTOS_COMPLEMENTOS!$E$4:$E$803,C3081,MOVIMIENTOS_COMPLEMENTOS!$G$4:$G$803,E3081,MOVIMIENTOS_COMPLEMENTOS!$H$4:$H$803,G3081,MOVIMIENTOS_COMPLEMENTOS!$B$4:$B$803,"DE CORTE")-SUMIFS(MOVIMIENTOS_COMPLEMENTOS!$I$4:$I$803,MOVIMIENTOS_COMPLEMENTOS!$C$4:$C$803,A3081,MOVIMIENTOS_COMPLEMENTOS!$D$4:$D$803,B3081,MOVIMIENTOS_COMPLEMENTOS!$E$4:$E$803,C3081,MOVIMIENTOS_COMPLEMENTOS!$G$4:$G$803,E3081,MOVIMIENTOS_COMPLEMENTOS!$H$4:$H$803,G3081,MOVIMIENTOS_COMPLEMENTOS!$B$4:$B$803,"SALIDA"),0)</f>
        <v>0</v>
      </c>
      <c r="I3081" s="102">
        <f t="array" ref="I3081">IFERROR(INDEX(PRECIOS_COMPLEMENTOS!$C$4:$F$17,MATCH(B3081&amp;"_"&amp;C3081,PRECIOS_COMPLEMENTOS!$H$4:$H$17,0),IF(OR(G3081="S",G3081="20cm"),1,IF(OR(G3081="M",G3081="25cm"),2,IF(OR(G3081="L",G3081="30cm"),3,IF(OR(G3081="XL",G3081="35cm"),4,0))))),0)</f>
        <v>0.45</v>
      </c>
      <c r="J3081" s="103">
        <f t="shared" si="1"/>
        <v>0</v>
      </c>
      <c r="K3081" s="104" t="str">
        <f>IF(H3081&lt;0,"ERROR",IF(H3081=0,"",IF(H3081&lt;CONFIG!$B$4,"CRÍTICO",IF(H3081&lt;CONFIG!$B$5,"BAJO","OK"))))</f>
        <v/>
      </c>
    </row>
    <row r="3082" ht="15.75" customHeight="1">
      <c r="A3082" s="90" t="str">
        <f>IF(CLIENTES!A7="","",CLIENTES!A7)</f>
        <v/>
      </c>
      <c r="B3082" s="90" t="s">
        <v>333</v>
      </c>
      <c r="C3082" s="91" t="s">
        <v>334</v>
      </c>
      <c r="D3082" s="109" t="s">
        <v>353</v>
      </c>
      <c r="E3082" s="67" t="str">
        <f>COLORES!A10</f>
        <v>Botella</v>
      </c>
      <c r="F3082" s="67" t="str">
        <f>COLORES!B10</f>
        <v>OSCURO</v>
      </c>
      <c r="G3082" s="90" t="s">
        <v>380</v>
      </c>
      <c r="H3082" s="100">
        <f>IFERROR(SUMIFS(MOVIMIENTOS_COMPLEMENTOS!$I$4:$I$803,MOVIMIENTOS_COMPLEMENTOS!$C$4:$C$803,A3082,MOVIMIENTOS_COMPLEMENTOS!$D$4:$D$803,B3082,MOVIMIENTOS_COMPLEMENTOS!$E$4:$E$803,C3082,MOVIMIENTOS_COMPLEMENTOS!$G$4:$G$803,E3082,MOVIMIENTOS_COMPLEMENTOS!$H$4:$H$803,G3082,MOVIMIENTOS_COMPLEMENTOS!$B$4:$B$803,"INGRESO")+SUMIFS(MOVIMIENTOS_COMPLEMENTOS!$I$4:$I$803,MOVIMIENTOS_COMPLEMENTOS!$C$4:$C$803,A3082,MOVIMIENTOS_COMPLEMENTOS!$D$4:$D$803,B3082,MOVIMIENTOS_COMPLEMENTOS!$E$4:$E$803,C3082,MOVIMIENTOS_COMPLEMENTOS!$G$4:$G$803,E3082,MOVIMIENTOS_COMPLEMENTOS!$H$4:$H$803,G3082,MOVIMIENTOS_COMPLEMENTOS!$B$4:$B$803,"DE CORTE")-SUMIFS(MOVIMIENTOS_COMPLEMENTOS!$I$4:$I$803,MOVIMIENTOS_COMPLEMENTOS!$C$4:$C$803,A3082,MOVIMIENTOS_COMPLEMENTOS!$D$4:$D$803,B3082,MOVIMIENTOS_COMPLEMENTOS!$E$4:$E$803,C3082,MOVIMIENTOS_COMPLEMENTOS!$G$4:$G$803,E3082,MOVIMIENTOS_COMPLEMENTOS!$H$4:$H$803,G3082,MOVIMIENTOS_COMPLEMENTOS!$B$4:$B$803,"SALIDA"),0)</f>
        <v>0</v>
      </c>
      <c r="I3082" s="102">
        <f t="array" ref="I3082">IFERROR(INDEX(PRECIOS_COMPLEMENTOS!$C$4:$F$17,MATCH(B3082&amp;"_"&amp;C3082,PRECIOS_COMPLEMENTOS!$H$4:$H$17,0),IF(OR(G3082="S",G3082="20cm"),1,IF(OR(G3082="M",G3082="25cm"),2,IF(OR(G3082="L",G3082="30cm"),3,IF(OR(G3082="XL",G3082="35cm"),4,0))))),0)</f>
        <v>0.45</v>
      </c>
      <c r="J3082" s="103">
        <f t="shared" si="1"/>
        <v>0</v>
      </c>
      <c r="K3082" s="104" t="str">
        <f>IF(H3082&lt;0,"ERROR",IF(H3082=0,"",IF(H3082&lt;CONFIG!$B$4,"CRÍTICO",IF(H3082&lt;CONFIG!$B$5,"BAJO","OK"))))</f>
        <v/>
      </c>
    </row>
    <row r="3083" ht="15.75" customHeight="1">
      <c r="A3083" s="90" t="str">
        <f>IF(CLIENTES!A7="","",CLIENTES!A7)</f>
        <v/>
      </c>
      <c r="B3083" s="90" t="s">
        <v>333</v>
      </c>
      <c r="C3083" s="91" t="s">
        <v>334</v>
      </c>
      <c r="D3083" s="109" t="s">
        <v>353</v>
      </c>
      <c r="E3083" s="67" t="str">
        <f>COLORES!A10</f>
        <v>Botella</v>
      </c>
      <c r="F3083" s="67" t="str">
        <f>COLORES!B10</f>
        <v>OSCURO</v>
      </c>
      <c r="G3083" s="90" t="s">
        <v>381</v>
      </c>
      <c r="H3083" s="100">
        <f>IFERROR(SUMIFS(MOVIMIENTOS_COMPLEMENTOS!$I$4:$I$803,MOVIMIENTOS_COMPLEMENTOS!$C$4:$C$803,A3083,MOVIMIENTOS_COMPLEMENTOS!$D$4:$D$803,B3083,MOVIMIENTOS_COMPLEMENTOS!$E$4:$E$803,C3083,MOVIMIENTOS_COMPLEMENTOS!$G$4:$G$803,E3083,MOVIMIENTOS_COMPLEMENTOS!$H$4:$H$803,G3083,MOVIMIENTOS_COMPLEMENTOS!$B$4:$B$803,"INGRESO")+SUMIFS(MOVIMIENTOS_COMPLEMENTOS!$I$4:$I$803,MOVIMIENTOS_COMPLEMENTOS!$C$4:$C$803,A3083,MOVIMIENTOS_COMPLEMENTOS!$D$4:$D$803,B3083,MOVIMIENTOS_COMPLEMENTOS!$E$4:$E$803,C3083,MOVIMIENTOS_COMPLEMENTOS!$G$4:$G$803,E3083,MOVIMIENTOS_COMPLEMENTOS!$H$4:$H$803,G3083,MOVIMIENTOS_COMPLEMENTOS!$B$4:$B$803,"DE CORTE")-SUMIFS(MOVIMIENTOS_COMPLEMENTOS!$I$4:$I$803,MOVIMIENTOS_COMPLEMENTOS!$C$4:$C$803,A3083,MOVIMIENTOS_COMPLEMENTOS!$D$4:$D$803,B3083,MOVIMIENTOS_COMPLEMENTOS!$E$4:$E$803,C3083,MOVIMIENTOS_COMPLEMENTOS!$G$4:$G$803,E3083,MOVIMIENTOS_COMPLEMENTOS!$H$4:$H$803,G3083,MOVIMIENTOS_COMPLEMENTOS!$B$4:$B$803,"SALIDA"),0)</f>
        <v>0</v>
      </c>
      <c r="I3083" s="102">
        <f t="array" ref="I3083">IFERROR(INDEX(PRECIOS_COMPLEMENTOS!$C$4:$F$17,MATCH(B3083&amp;"_"&amp;C3083,PRECIOS_COMPLEMENTOS!$H$4:$H$17,0),IF(OR(G3083="S",G3083="20cm"),1,IF(OR(G3083="M",G3083="25cm"),2,IF(OR(G3083="L",G3083="30cm"),3,IF(OR(G3083="XL",G3083="35cm"),4,0))))),0)</f>
        <v>0.45</v>
      </c>
      <c r="J3083" s="103">
        <f t="shared" si="1"/>
        <v>0</v>
      </c>
      <c r="K3083" s="104" t="str">
        <f>IF(H3083&lt;0,"ERROR",IF(H3083=0,"",IF(H3083&lt;CONFIG!$B$4,"CRÍTICO",IF(H3083&lt;CONFIG!$B$5,"BAJO","OK"))))</f>
        <v/>
      </c>
    </row>
    <row r="3084" ht="15.75" customHeight="1">
      <c r="A3084" s="90" t="str">
        <f>IF(CLIENTES!A7="","",CLIENTES!A7)</f>
        <v/>
      </c>
      <c r="B3084" s="90" t="s">
        <v>333</v>
      </c>
      <c r="C3084" s="91" t="s">
        <v>334</v>
      </c>
      <c r="D3084" s="109" t="s">
        <v>353</v>
      </c>
      <c r="E3084" s="67" t="str">
        <f>COLORES!A10</f>
        <v>Botella</v>
      </c>
      <c r="F3084" s="67" t="str">
        <f>COLORES!B10</f>
        <v>OSCURO</v>
      </c>
      <c r="G3084" s="90" t="s">
        <v>382</v>
      </c>
      <c r="H3084" s="100">
        <f>IFERROR(SUMIFS(MOVIMIENTOS_COMPLEMENTOS!$I$4:$I$803,MOVIMIENTOS_COMPLEMENTOS!$C$4:$C$803,A3084,MOVIMIENTOS_COMPLEMENTOS!$D$4:$D$803,B3084,MOVIMIENTOS_COMPLEMENTOS!$E$4:$E$803,C3084,MOVIMIENTOS_COMPLEMENTOS!$G$4:$G$803,E3084,MOVIMIENTOS_COMPLEMENTOS!$H$4:$H$803,G3084,MOVIMIENTOS_COMPLEMENTOS!$B$4:$B$803,"INGRESO")+SUMIFS(MOVIMIENTOS_COMPLEMENTOS!$I$4:$I$803,MOVIMIENTOS_COMPLEMENTOS!$C$4:$C$803,A3084,MOVIMIENTOS_COMPLEMENTOS!$D$4:$D$803,B3084,MOVIMIENTOS_COMPLEMENTOS!$E$4:$E$803,C3084,MOVIMIENTOS_COMPLEMENTOS!$G$4:$G$803,E3084,MOVIMIENTOS_COMPLEMENTOS!$H$4:$H$803,G3084,MOVIMIENTOS_COMPLEMENTOS!$B$4:$B$803,"DE CORTE")-SUMIFS(MOVIMIENTOS_COMPLEMENTOS!$I$4:$I$803,MOVIMIENTOS_COMPLEMENTOS!$C$4:$C$803,A3084,MOVIMIENTOS_COMPLEMENTOS!$D$4:$D$803,B3084,MOVIMIENTOS_COMPLEMENTOS!$E$4:$E$803,C3084,MOVIMIENTOS_COMPLEMENTOS!$G$4:$G$803,E3084,MOVIMIENTOS_COMPLEMENTOS!$H$4:$H$803,G3084,MOVIMIENTOS_COMPLEMENTOS!$B$4:$B$803,"SALIDA"),0)</f>
        <v>0</v>
      </c>
      <c r="I3084" s="102">
        <f t="array" ref="I3084">IFERROR(INDEX(PRECIOS_COMPLEMENTOS!$C$4:$F$17,MATCH(B3084&amp;"_"&amp;C3084,PRECIOS_COMPLEMENTOS!$H$4:$H$17,0),IF(OR(G3084="S",G3084="20cm"),1,IF(OR(G3084="M",G3084="25cm"),2,IF(OR(G3084="L",G3084="30cm"),3,IF(OR(G3084="XL",G3084="35cm"),4,0))))),0)</f>
        <v>0.45</v>
      </c>
      <c r="J3084" s="103">
        <f t="shared" si="1"/>
        <v>0</v>
      </c>
      <c r="K3084" s="104" t="str">
        <f>IF(H3084&lt;0,"ERROR",IF(H3084=0,"",IF(H3084&lt;CONFIG!$B$4,"CRÍTICO",IF(H3084&lt;CONFIG!$B$5,"BAJO","OK"))))</f>
        <v/>
      </c>
    </row>
    <row r="3085" ht="15.75" customHeight="1">
      <c r="A3085" s="90" t="str">
        <f>IF(CLIENTES!A7="","",CLIENTES!A7)</f>
        <v/>
      </c>
      <c r="B3085" s="90" t="s">
        <v>333</v>
      </c>
      <c r="C3085" s="91" t="s">
        <v>334</v>
      </c>
      <c r="D3085" s="109" t="s">
        <v>353</v>
      </c>
      <c r="E3085" s="67" t="str">
        <f>COLORES!A11</f>
        <v>Pacay</v>
      </c>
      <c r="F3085" s="67" t="str">
        <f>COLORES!B11</f>
        <v>CLARO</v>
      </c>
      <c r="G3085" s="90" t="s">
        <v>380</v>
      </c>
      <c r="H3085" s="100">
        <f>IFERROR(SUMIFS(MOVIMIENTOS_COMPLEMENTOS!$I$4:$I$803,MOVIMIENTOS_COMPLEMENTOS!$C$4:$C$803,A3085,MOVIMIENTOS_COMPLEMENTOS!$D$4:$D$803,B3085,MOVIMIENTOS_COMPLEMENTOS!$E$4:$E$803,C3085,MOVIMIENTOS_COMPLEMENTOS!$G$4:$G$803,E3085,MOVIMIENTOS_COMPLEMENTOS!$H$4:$H$803,G3085,MOVIMIENTOS_COMPLEMENTOS!$B$4:$B$803,"INGRESO")+SUMIFS(MOVIMIENTOS_COMPLEMENTOS!$I$4:$I$803,MOVIMIENTOS_COMPLEMENTOS!$C$4:$C$803,A3085,MOVIMIENTOS_COMPLEMENTOS!$D$4:$D$803,B3085,MOVIMIENTOS_COMPLEMENTOS!$E$4:$E$803,C3085,MOVIMIENTOS_COMPLEMENTOS!$G$4:$G$803,E3085,MOVIMIENTOS_COMPLEMENTOS!$H$4:$H$803,G3085,MOVIMIENTOS_COMPLEMENTOS!$B$4:$B$803,"DE CORTE")-SUMIFS(MOVIMIENTOS_COMPLEMENTOS!$I$4:$I$803,MOVIMIENTOS_COMPLEMENTOS!$C$4:$C$803,A3085,MOVIMIENTOS_COMPLEMENTOS!$D$4:$D$803,B3085,MOVIMIENTOS_COMPLEMENTOS!$E$4:$E$803,C3085,MOVIMIENTOS_COMPLEMENTOS!$G$4:$G$803,E3085,MOVIMIENTOS_COMPLEMENTOS!$H$4:$H$803,G3085,MOVIMIENTOS_COMPLEMENTOS!$B$4:$B$803,"SALIDA"),0)</f>
        <v>0</v>
      </c>
      <c r="I3085" s="102">
        <f t="array" ref="I3085">IFERROR(INDEX(PRECIOS_COMPLEMENTOS!$C$4:$F$17,MATCH(B3085&amp;"_"&amp;C3085,PRECIOS_COMPLEMENTOS!$H$4:$H$17,0),IF(OR(G3085="S",G3085="20cm"),1,IF(OR(G3085="M",G3085="25cm"),2,IF(OR(G3085="L",G3085="30cm"),3,IF(OR(G3085="XL",G3085="35cm"),4,0))))),0)</f>
        <v>0.45</v>
      </c>
      <c r="J3085" s="103">
        <f t="shared" si="1"/>
        <v>0</v>
      </c>
      <c r="K3085" s="104" t="str">
        <f>IF(H3085&lt;0,"ERROR",IF(H3085=0,"",IF(H3085&lt;CONFIG!$B$4,"CRÍTICO",IF(H3085&lt;CONFIG!$B$5,"BAJO","OK"))))</f>
        <v/>
      </c>
    </row>
    <row r="3086" ht="15.75" customHeight="1">
      <c r="A3086" s="90" t="str">
        <f>IF(CLIENTES!A7="","",CLIENTES!A7)</f>
        <v/>
      </c>
      <c r="B3086" s="90" t="s">
        <v>333</v>
      </c>
      <c r="C3086" s="91" t="s">
        <v>334</v>
      </c>
      <c r="D3086" s="109" t="s">
        <v>353</v>
      </c>
      <c r="E3086" s="67" t="str">
        <f>COLORES!A11</f>
        <v>Pacay</v>
      </c>
      <c r="F3086" s="67" t="str">
        <f>COLORES!B11</f>
        <v>CLARO</v>
      </c>
      <c r="G3086" s="90" t="s">
        <v>381</v>
      </c>
      <c r="H3086" s="100">
        <f>IFERROR(SUMIFS(MOVIMIENTOS_COMPLEMENTOS!$I$4:$I$803,MOVIMIENTOS_COMPLEMENTOS!$C$4:$C$803,A3086,MOVIMIENTOS_COMPLEMENTOS!$D$4:$D$803,B3086,MOVIMIENTOS_COMPLEMENTOS!$E$4:$E$803,C3086,MOVIMIENTOS_COMPLEMENTOS!$G$4:$G$803,E3086,MOVIMIENTOS_COMPLEMENTOS!$H$4:$H$803,G3086,MOVIMIENTOS_COMPLEMENTOS!$B$4:$B$803,"INGRESO")+SUMIFS(MOVIMIENTOS_COMPLEMENTOS!$I$4:$I$803,MOVIMIENTOS_COMPLEMENTOS!$C$4:$C$803,A3086,MOVIMIENTOS_COMPLEMENTOS!$D$4:$D$803,B3086,MOVIMIENTOS_COMPLEMENTOS!$E$4:$E$803,C3086,MOVIMIENTOS_COMPLEMENTOS!$G$4:$G$803,E3086,MOVIMIENTOS_COMPLEMENTOS!$H$4:$H$803,G3086,MOVIMIENTOS_COMPLEMENTOS!$B$4:$B$803,"DE CORTE")-SUMIFS(MOVIMIENTOS_COMPLEMENTOS!$I$4:$I$803,MOVIMIENTOS_COMPLEMENTOS!$C$4:$C$803,A3086,MOVIMIENTOS_COMPLEMENTOS!$D$4:$D$803,B3086,MOVIMIENTOS_COMPLEMENTOS!$E$4:$E$803,C3086,MOVIMIENTOS_COMPLEMENTOS!$G$4:$G$803,E3086,MOVIMIENTOS_COMPLEMENTOS!$H$4:$H$803,G3086,MOVIMIENTOS_COMPLEMENTOS!$B$4:$B$803,"SALIDA"),0)</f>
        <v>0</v>
      </c>
      <c r="I3086" s="102">
        <f t="array" ref="I3086">IFERROR(INDEX(PRECIOS_COMPLEMENTOS!$C$4:$F$17,MATCH(B3086&amp;"_"&amp;C3086,PRECIOS_COMPLEMENTOS!$H$4:$H$17,0),IF(OR(G3086="S",G3086="20cm"),1,IF(OR(G3086="M",G3086="25cm"),2,IF(OR(G3086="L",G3086="30cm"),3,IF(OR(G3086="XL",G3086="35cm"),4,0))))),0)</f>
        <v>0.45</v>
      </c>
      <c r="J3086" s="103">
        <f t="shared" si="1"/>
        <v>0</v>
      </c>
      <c r="K3086" s="104" t="str">
        <f>IF(H3086&lt;0,"ERROR",IF(H3086=0,"",IF(H3086&lt;CONFIG!$B$4,"CRÍTICO",IF(H3086&lt;CONFIG!$B$5,"BAJO","OK"))))</f>
        <v/>
      </c>
    </row>
    <row r="3087" ht="15.75" customHeight="1">
      <c r="A3087" s="90" t="str">
        <f>IF(CLIENTES!A7="","",CLIENTES!A7)</f>
        <v/>
      </c>
      <c r="B3087" s="90" t="s">
        <v>333</v>
      </c>
      <c r="C3087" s="91" t="s">
        <v>334</v>
      </c>
      <c r="D3087" s="109" t="s">
        <v>353</v>
      </c>
      <c r="E3087" s="67" t="str">
        <f>COLORES!A11</f>
        <v>Pacay</v>
      </c>
      <c r="F3087" s="67" t="str">
        <f>COLORES!B11</f>
        <v>CLARO</v>
      </c>
      <c r="G3087" s="90" t="s">
        <v>382</v>
      </c>
      <c r="H3087" s="100">
        <f>IFERROR(SUMIFS(MOVIMIENTOS_COMPLEMENTOS!$I$4:$I$803,MOVIMIENTOS_COMPLEMENTOS!$C$4:$C$803,A3087,MOVIMIENTOS_COMPLEMENTOS!$D$4:$D$803,B3087,MOVIMIENTOS_COMPLEMENTOS!$E$4:$E$803,C3087,MOVIMIENTOS_COMPLEMENTOS!$G$4:$G$803,E3087,MOVIMIENTOS_COMPLEMENTOS!$H$4:$H$803,G3087,MOVIMIENTOS_COMPLEMENTOS!$B$4:$B$803,"INGRESO")+SUMIFS(MOVIMIENTOS_COMPLEMENTOS!$I$4:$I$803,MOVIMIENTOS_COMPLEMENTOS!$C$4:$C$803,A3087,MOVIMIENTOS_COMPLEMENTOS!$D$4:$D$803,B3087,MOVIMIENTOS_COMPLEMENTOS!$E$4:$E$803,C3087,MOVIMIENTOS_COMPLEMENTOS!$G$4:$G$803,E3087,MOVIMIENTOS_COMPLEMENTOS!$H$4:$H$803,G3087,MOVIMIENTOS_COMPLEMENTOS!$B$4:$B$803,"DE CORTE")-SUMIFS(MOVIMIENTOS_COMPLEMENTOS!$I$4:$I$803,MOVIMIENTOS_COMPLEMENTOS!$C$4:$C$803,A3087,MOVIMIENTOS_COMPLEMENTOS!$D$4:$D$803,B3087,MOVIMIENTOS_COMPLEMENTOS!$E$4:$E$803,C3087,MOVIMIENTOS_COMPLEMENTOS!$G$4:$G$803,E3087,MOVIMIENTOS_COMPLEMENTOS!$H$4:$H$803,G3087,MOVIMIENTOS_COMPLEMENTOS!$B$4:$B$803,"SALIDA"),0)</f>
        <v>0</v>
      </c>
      <c r="I3087" s="102">
        <f t="array" ref="I3087">IFERROR(INDEX(PRECIOS_COMPLEMENTOS!$C$4:$F$17,MATCH(B3087&amp;"_"&amp;C3087,PRECIOS_COMPLEMENTOS!$H$4:$H$17,0),IF(OR(G3087="S",G3087="20cm"),1,IF(OR(G3087="M",G3087="25cm"),2,IF(OR(G3087="L",G3087="30cm"),3,IF(OR(G3087="XL",G3087="35cm"),4,0))))),0)</f>
        <v>0.45</v>
      </c>
      <c r="J3087" s="103">
        <f t="shared" si="1"/>
        <v>0</v>
      </c>
      <c r="K3087" s="104" t="str">
        <f>IF(H3087&lt;0,"ERROR",IF(H3087=0,"",IF(H3087&lt;CONFIG!$B$4,"CRÍTICO",IF(H3087&lt;CONFIG!$B$5,"BAJO","OK"))))</f>
        <v/>
      </c>
    </row>
    <row r="3088" ht="15.75" customHeight="1">
      <c r="A3088" s="90" t="str">
        <f>IF(CLIENTES!A7="","",CLIENTES!A7)</f>
        <v/>
      </c>
      <c r="B3088" s="90" t="s">
        <v>333</v>
      </c>
      <c r="C3088" s="91" t="s">
        <v>334</v>
      </c>
      <c r="D3088" s="109" t="s">
        <v>353</v>
      </c>
      <c r="E3088" s="67" t="str">
        <f>COLORES!A12</f>
        <v>Cemento</v>
      </c>
      <c r="F3088" s="67" t="str">
        <f>COLORES!B12</f>
        <v>CLARO</v>
      </c>
      <c r="G3088" s="90" t="s">
        <v>380</v>
      </c>
      <c r="H3088" s="100">
        <f>IFERROR(SUMIFS(MOVIMIENTOS_COMPLEMENTOS!$I$4:$I$803,MOVIMIENTOS_COMPLEMENTOS!$C$4:$C$803,A3088,MOVIMIENTOS_COMPLEMENTOS!$D$4:$D$803,B3088,MOVIMIENTOS_COMPLEMENTOS!$E$4:$E$803,C3088,MOVIMIENTOS_COMPLEMENTOS!$G$4:$G$803,E3088,MOVIMIENTOS_COMPLEMENTOS!$H$4:$H$803,G3088,MOVIMIENTOS_COMPLEMENTOS!$B$4:$B$803,"INGRESO")+SUMIFS(MOVIMIENTOS_COMPLEMENTOS!$I$4:$I$803,MOVIMIENTOS_COMPLEMENTOS!$C$4:$C$803,A3088,MOVIMIENTOS_COMPLEMENTOS!$D$4:$D$803,B3088,MOVIMIENTOS_COMPLEMENTOS!$E$4:$E$803,C3088,MOVIMIENTOS_COMPLEMENTOS!$G$4:$G$803,E3088,MOVIMIENTOS_COMPLEMENTOS!$H$4:$H$803,G3088,MOVIMIENTOS_COMPLEMENTOS!$B$4:$B$803,"DE CORTE")-SUMIFS(MOVIMIENTOS_COMPLEMENTOS!$I$4:$I$803,MOVIMIENTOS_COMPLEMENTOS!$C$4:$C$803,A3088,MOVIMIENTOS_COMPLEMENTOS!$D$4:$D$803,B3088,MOVIMIENTOS_COMPLEMENTOS!$E$4:$E$803,C3088,MOVIMIENTOS_COMPLEMENTOS!$G$4:$G$803,E3088,MOVIMIENTOS_COMPLEMENTOS!$H$4:$H$803,G3088,MOVIMIENTOS_COMPLEMENTOS!$B$4:$B$803,"SALIDA"),0)</f>
        <v>0</v>
      </c>
      <c r="I3088" s="102">
        <f t="array" ref="I3088">IFERROR(INDEX(PRECIOS_COMPLEMENTOS!$C$4:$F$17,MATCH(B3088&amp;"_"&amp;C3088,PRECIOS_COMPLEMENTOS!$H$4:$H$17,0),IF(OR(G3088="S",G3088="20cm"),1,IF(OR(G3088="M",G3088="25cm"),2,IF(OR(G3088="L",G3088="30cm"),3,IF(OR(G3088="XL",G3088="35cm"),4,0))))),0)</f>
        <v>0.45</v>
      </c>
      <c r="J3088" s="103">
        <f t="shared" si="1"/>
        <v>0</v>
      </c>
      <c r="K3088" s="104" t="str">
        <f>IF(H3088&lt;0,"ERROR",IF(H3088=0,"",IF(H3088&lt;CONFIG!$B$4,"CRÍTICO",IF(H3088&lt;CONFIG!$B$5,"BAJO","OK"))))</f>
        <v/>
      </c>
    </row>
    <row r="3089" ht="15.75" customHeight="1">
      <c r="A3089" s="90" t="str">
        <f>IF(CLIENTES!A7="","",CLIENTES!A7)</f>
        <v/>
      </c>
      <c r="B3089" s="90" t="s">
        <v>333</v>
      </c>
      <c r="C3089" s="91" t="s">
        <v>334</v>
      </c>
      <c r="D3089" s="109" t="s">
        <v>353</v>
      </c>
      <c r="E3089" s="67" t="str">
        <f>COLORES!A12</f>
        <v>Cemento</v>
      </c>
      <c r="F3089" s="67" t="str">
        <f>COLORES!B12</f>
        <v>CLARO</v>
      </c>
      <c r="G3089" s="90" t="s">
        <v>381</v>
      </c>
      <c r="H3089" s="100">
        <f>IFERROR(SUMIFS(MOVIMIENTOS_COMPLEMENTOS!$I$4:$I$803,MOVIMIENTOS_COMPLEMENTOS!$C$4:$C$803,A3089,MOVIMIENTOS_COMPLEMENTOS!$D$4:$D$803,B3089,MOVIMIENTOS_COMPLEMENTOS!$E$4:$E$803,C3089,MOVIMIENTOS_COMPLEMENTOS!$G$4:$G$803,E3089,MOVIMIENTOS_COMPLEMENTOS!$H$4:$H$803,G3089,MOVIMIENTOS_COMPLEMENTOS!$B$4:$B$803,"INGRESO")+SUMIFS(MOVIMIENTOS_COMPLEMENTOS!$I$4:$I$803,MOVIMIENTOS_COMPLEMENTOS!$C$4:$C$803,A3089,MOVIMIENTOS_COMPLEMENTOS!$D$4:$D$803,B3089,MOVIMIENTOS_COMPLEMENTOS!$E$4:$E$803,C3089,MOVIMIENTOS_COMPLEMENTOS!$G$4:$G$803,E3089,MOVIMIENTOS_COMPLEMENTOS!$H$4:$H$803,G3089,MOVIMIENTOS_COMPLEMENTOS!$B$4:$B$803,"DE CORTE")-SUMIFS(MOVIMIENTOS_COMPLEMENTOS!$I$4:$I$803,MOVIMIENTOS_COMPLEMENTOS!$C$4:$C$803,A3089,MOVIMIENTOS_COMPLEMENTOS!$D$4:$D$803,B3089,MOVIMIENTOS_COMPLEMENTOS!$E$4:$E$803,C3089,MOVIMIENTOS_COMPLEMENTOS!$G$4:$G$803,E3089,MOVIMIENTOS_COMPLEMENTOS!$H$4:$H$803,G3089,MOVIMIENTOS_COMPLEMENTOS!$B$4:$B$803,"SALIDA"),0)</f>
        <v>0</v>
      </c>
      <c r="I3089" s="102">
        <f t="array" ref="I3089">IFERROR(INDEX(PRECIOS_COMPLEMENTOS!$C$4:$F$17,MATCH(B3089&amp;"_"&amp;C3089,PRECIOS_COMPLEMENTOS!$H$4:$H$17,0),IF(OR(G3089="S",G3089="20cm"),1,IF(OR(G3089="M",G3089="25cm"),2,IF(OR(G3089="L",G3089="30cm"),3,IF(OR(G3089="XL",G3089="35cm"),4,0))))),0)</f>
        <v>0.45</v>
      </c>
      <c r="J3089" s="103">
        <f t="shared" si="1"/>
        <v>0</v>
      </c>
      <c r="K3089" s="104" t="str">
        <f>IF(H3089&lt;0,"ERROR",IF(H3089=0,"",IF(H3089&lt;CONFIG!$B$4,"CRÍTICO",IF(H3089&lt;CONFIG!$B$5,"BAJO","OK"))))</f>
        <v/>
      </c>
    </row>
    <row r="3090" ht="15.75" customHeight="1">
      <c r="A3090" s="90" t="str">
        <f>IF(CLIENTES!A7="","",CLIENTES!A7)</f>
        <v/>
      </c>
      <c r="B3090" s="90" t="s">
        <v>333</v>
      </c>
      <c r="C3090" s="91" t="s">
        <v>334</v>
      </c>
      <c r="D3090" s="109" t="s">
        <v>353</v>
      </c>
      <c r="E3090" s="67" t="str">
        <f>COLORES!A12</f>
        <v>Cemento</v>
      </c>
      <c r="F3090" s="67" t="str">
        <f>COLORES!B12</f>
        <v>CLARO</v>
      </c>
      <c r="G3090" s="90" t="s">
        <v>382</v>
      </c>
      <c r="H3090" s="100">
        <f>IFERROR(SUMIFS(MOVIMIENTOS_COMPLEMENTOS!$I$4:$I$803,MOVIMIENTOS_COMPLEMENTOS!$C$4:$C$803,A3090,MOVIMIENTOS_COMPLEMENTOS!$D$4:$D$803,B3090,MOVIMIENTOS_COMPLEMENTOS!$E$4:$E$803,C3090,MOVIMIENTOS_COMPLEMENTOS!$G$4:$G$803,E3090,MOVIMIENTOS_COMPLEMENTOS!$H$4:$H$803,G3090,MOVIMIENTOS_COMPLEMENTOS!$B$4:$B$803,"INGRESO")+SUMIFS(MOVIMIENTOS_COMPLEMENTOS!$I$4:$I$803,MOVIMIENTOS_COMPLEMENTOS!$C$4:$C$803,A3090,MOVIMIENTOS_COMPLEMENTOS!$D$4:$D$803,B3090,MOVIMIENTOS_COMPLEMENTOS!$E$4:$E$803,C3090,MOVIMIENTOS_COMPLEMENTOS!$G$4:$G$803,E3090,MOVIMIENTOS_COMPLEMENTOS!$H$4:$H$803,G3090,MOVIMIENTOS_COMPLEMENTOS!$B$4:$B$803,"DE CORTE")-SUMIFS(MOVIMIENTOS_COMPLEMENTOS!$I$4:$I$803,MOVIMIENTOS_COMPLEMENTOS!$C$4:$C$803,A3090,MOVIMIENTOS_COMPLEMENTOS!$D$4:$D$803,B3090,MOVIMIENTOS_COMPLEMENTOS!$E$4:$E$803,C3090,MOVIMIENTOS_COMPLEMENTOS!$G$4:$G$803,E3090,MOVIMIENTOS_COMPLEMENTOS!$H$4:$H$803,G3090,MOVIMIENTOS_COMPLEMENTOS!$B$4:$B$803,"SALIDA"),0)</f>
        <v>0</v>
      </c>
      <c r="I3090" s="102">
        <f t="array" ref="I3090">IFERROR(INDEX(PRECIOS_COMPLEMENTOS!$C$4:$F$17,MATCH(B3090&amp;"_"&amp;C3090,PRECIOS_COMPLEMENTOS!$H$4:$H$17,0),IF(OR(G3090="S",G3090="20cm"),1,IF(OR(G3090="M",G3090="25cm"),2,IF(OR(G3090="L",G3090="30cm"),3,IF(OR(G3090="XL",G3090="35cm"),4,0))))),0)</f>
        <v>0.45</v>
      </c>
      <c r="J3090" s="103">
        <f t="shared" si="1"/>
        <v>0</v>
      </c>
      <c r="K3090" s="104" t="str">
        <f>IF(H3090&lt;0,"ERROR",IF(H3090=0,"",IF(H3090&lt;CONFIG!$B$4,"CRÍTICO",IF(H3090&lt;CONFIG!$B$5,"BAJO","OK"))))</f>
        <v/>
      </c>
    </row>
    <row r="3091" ht="15.75" customHeight="1">
      <c r="A3091" s="90" t="str">
        <f>IF(CLIENTES!A7="","",CLIENTES!A7)</f>
        <v/>
      </c>
      <c r="B3091" s="90" t="s">
        <v>333</v>
      </c>
      <c r="C3091" s="91" t="s">
        <v>334</v>
      </c>
      <c r="D3091" s="109" t="s">
        <v>353</v>
      </c>
      <c r="E3091" s="67" t="str">
        <f>COLORES!A13</f>
        <v>Camote</v>
      </c>
      <c r="F3091" s="67" t="str">
        <f>COLORES!B13</f>
        <v>CLARO</v>
      </c>
      <c r="G3091" s="90" t="s">
        <v>380</v>
      </c>
      <c r="H3091" s="100">
        <f>IFERROR(SUMIFS(MOVIMIENTOS_COMPLEMENTOS!$I$4:$I$803,MOVIMIENTOS_COMPLEMENTOS!$C$4:$C$803,A3091,MOVIMIENTOS_COMPLEMENTOS!$D$4:$D$803,B3091,MOVIMIENTOS_COMPLEMENTOS!$E$4:$E$803,C3091,MOVIMIENTOS_COMPLEMENTOS!$G$4:$G$803,E3091,MOVIMIENTOS_COMPLEMENTOS!$H$4:$H$803,G3091,MOVIMIENTOS_COMPLEMENTOS!$B$4:$B$803,"INGRESO")+SUMIFS(MOVIMIENTOS_COMPLEMENTOS!$I$4:$I$803,MOVIMIENTOS_COMPLEMENTOS!$C$4:$C$803,A3091,MOVIMIENTOS_COMPLEMENTOS!$D$4:$D$803,B3091,MOVIMIENTOS_COMPLEMENTOS!$E$4:$E$803,C3091,MOVIMIENTOS_COMPLEMENTOS!$G$4:$G$803,E3091,MOVIMIENTOS_COMPLEMENTOS!$H$4:$H$803,G3091,MOVIMIENTOS_COMPLEMENTOS!$B$4:$B$803,"DE CORTE")-SUMIFS(MOVIMIENTOS_COMPLEMENTOS!$I$4:$I$803,MOVIMIENTOS_COMPLEMENTOS!$C$4:$C$803,A3091,MOVIMIENTOS_COMPLEMENTOS!$D$4:$D$803,B3091,MOVIMIENTOS_COMPLEMENTOS!$E$4:$E$803,C3091,MOVIMIENTOS_COMPLEMENTOS!$G$4:$G$803,E3091,MOVIMIENTOS_COMPLEMENTOS!$H$4:$H$803,G3091,MOVIMIENTOS_COMPLEMENTOS!$B$4:$B$803,"SALIDA"),0)</f>
        <v>0</v>
      </c>
      <c r="I3091" s="102">
        <f t="array" ref="I3091">IFERROR(INDEX(PRECIOS_COMPLEMENTOS!$C$4:$F$17,MATCH(B3091&amp;"_"&amp;C3091,PRECIOS_COMPLEMENTOS!$H$4:$H$17,0),IF(OR(G3091="S",G3091="20cm"),1,IF(OR(G3091="M",G3091="25cm"),2,IF(OR(G3091="L",G3091="30cm"),3,IF(OR(G3091="XL",G3091="35cm"),4,0))))),0)</f>
        <v>0.45</v>
      </c>
      <c r="J3091" s="103">
        <f t="shared" si="1"/>
        <v>0</v>
      </c>
      <c r="K3091" s="104" t="str">
        <f>IF(H3091&lt;0,"ERROR",IF(H3091=0,"",IF(H3091&lt;CONFIG!$B$4,"CRÍTICO",IF(H3091&lt;CONFIG!$B$5,"BAJO","OK"))))</f>
        <v/>
      </c>
    </row>
    <row r="3092" ht="15.75" customHeight="1">
      <c r="A3092" s="90" t="str">
        <f>IF(CLIENTES!A7="","",CLIENTES!A7)</f>
        <v/>
      </c>
      <c r="B3092" s="90" t="s">
        <v>333</v>
      </c>
      <c r="C3092" s="91" t="s">
        <v>334</v>
      </c>
      <c r="D3092" s="109" t="s">
        <v>353</v>
      </c>
      <c r="E3092" s="67" t="str">
        <f>COLORES!A13</f>
        <v>Camote</v>
      </c>
      <c r="F3092" s="67" t="str">
        <f>COLORES!B13</f>
        <v>CLARO</v>
      </c>
      <c r="G3092" s="90" t="s">
        <v>381</v>
      </c>
      <c r="H3092" s="100">
        <f>IFERROR(SUMIFS(MOVIMIENTOS_COMPLEMENTOS!$I$4:$I$803,MOVIMIENTOS_COMPLEMENTOS!$C$4:$C$803,A3092,MOVIMIENTOS_COMPLEMENTOS!$D$4:$D$803,B3092,MOVIMIENTOS_COMPLEMENTOS!$E$4:$E$803,C3092,MOVIMIENTOS_COMPLEMENTOS!$G$4:$G$803,E3092,MOVIMIENTOS_COMPLEMENTOS!$H$4:$H$803,G3092,MOVIMIENTOS_COMPLEMENTOS!$B$4:$B$803,"INGRESO")+SUMIFS(MOVIMIENTOS_COMPLEMENTOS!$I$4:$I$803,MOVIMIENTOS_COMPLEMENTOS!$C$4:$C$803,A3092,MOVIMIENTOS_COMPLEMENTOS!$D$4:$D$803,B3092,MOVIMIENTOS_COMPLEMENTOS!$E$4:$E$803,C3092,MOVIMIENTOS_COMPLEMENTOS!$G$4:$G$803,E3092,MOVIMIENTOS_COMPLEMENTOS!$H$4:$H$803,G3092,MOVIMIENTOS_COMPLEMENTOS!$B$4:$B$803,"DE CORTE")-SUMIFS(MOVIMIENTOS_COMPLEMENTOS!$I$4:$I$803,MOVIMIENTOS_COMPLEMENTOS!$C$4:$C$803,A3092,MOVIMIENTOS_COMPLEMENTOS!$D$4:$D$803,B3092,MOVIMIENTOS_COMPLEMENTOS!$E$4:$E$803,C3092,MOVIMIENTOS_COMPLEMENTOS!$G$4:$G$803,E3092,MOVIMIENTOS_COMPLEMENTOS!$H$4:$H$803,G3092,MOVIMIENTOS_COMPLEMENTOS!$B$4:$B$803,"SALIDA"),0)</f>
        <v>0</v>
      </c>
      <c r="I3092" s="102">
        <f t="array" ref="I3092">IFERROR(INDEX(PRECIOS_COMPLEMENTOS!$C$4:$F$17,MATCH(B3092&amp;"_"&amp;C3092,PRECIOS_COMPLEMENTOS!$H$4:$H$17,0),IF(OR(G3092="S",G3092="20cm"),1,IF(OR(G3092="M",G3092="25cm"),2,IF(OR(G3092="L",G3092="30cm"),3,IF(OR(G3092="XL",G3092="35cm"),4,0))))),0)</f>
        <v>0.45</v>
      </c>
      <c r="J3092" s="103">
        <f t="shared" si="1"/>
        <v>0</v>
      </c>
      <c r="K3092" s="104" t="str">
        <f>IF(H3092&lt;0,"ERROR",IF(H3092=0,"",IF(H3092&lt;CONFIG!$B$4,"CRÍTICO",IF(H3092&lt;CONFIG!$B$5,"BAJO","OK"))))</f>
        <v/>
      </c>
    </row>
    <row r="3093" ht="15.75" customHeight="1">
      <c r="A3093" s="90" t="str">
        <f>IF(CLIENTES!A7="","",CLIENTES!A7)</f>
        <v/>
      </c>
      <c r="B3093" s="90" t="s">
        <v>333</v>
      </c>
      <c r="C3093" s="91" t="s">
        <v>334</v>
      </c>
      <c r="D3093" s="109" t="s">
        <v>353</v>
      </c>
      <c r="E3093" s="67" t="str">
        <f>COLORES!A13</f>
        <v>Camote</v>
      </c>
      <c r="F3093" s="67" t="str">
        <f>COLORES!B13</f>
        <v>CLARO</v>
      </c>
      <c r="G3093" s="90" t="s">
        <v>382</v>
      </c>
      <c r="H3093" s="100">
        <f>IFERROR(SUMIFS(MOVIMIENTOS_COMPLEMENTOS!$I$4:$I$803,MOVIMIENTOS_COMPLEMENTOS!$C$4:$C$803,A3093,MOVIMIENTOS_COMPLEMENTOS!$D$4:$D$803,B3093,MOVIMIENTOS_COMPLEMENTOS!$E$4:$E$803,C3093,MOVIMIENTOS_COMPLEMENTOS!$G$4:$G$803,E3093,MOVIMIENTOS_COMPLEMENTOS!$H$4:$H$803,G3093,MOVIMIENTOS_COMPLEMENTOS!$B$4:$B$803,"INGRESO")+SUMIFS(MOVIMIENTOS_COMPLEMENTOS!$I$4:$I$803,MOVIMIENTOS_COMPLEMENTOS!$C$4:$C$803,A3093,MOVIMIENTOS_COMPLEMENTOS!$D$4:$D$803,B3093,MOVIMIENTOS_COMPLEMENTOS!$E$4:$E$803,C3093,MOVIMIENTOS_COMPLEMENTOS!$G$4:$G$803,E3093,MOVIMIENTOS_COMPLEMENTOS!$H$4:$H$803,G3093,MOVIMIENTOS_COMPLEMENTOS!$B$4:$B$803,"DE CORTE")-SUMIFS(MOVIMIENTOS_COMPLEMENTOS!$I$4:$I$803,MOVIMIENTOS_COMPLEMENTOS!$C$4:$C$803,A3093,MOVIMIENTOS_COMPLEMENTOS!$D$4:$D$803,B3093,MOVIMIENTOS_COMPLEMENTOS!$E$4:$E$803,C3093,MOVIMIENTOS_COMPLEMENTOS!$G$4:$G$803,E3093,MOVIMIENTOS_COMPLEMENTOS!$H$4:$H$803,G3093,MOVIMIENTOS_COMPLEMENTOS!$B$4:$B$803,"SALIDA"),0)</f>
        <v>0</v>
      </c>
      <c r="I3093" s="102">
        <f t="array" ref="I3093">IFERROR(INDEX(PRECIOS_COMPLEMENTOS!$C$4:$F$17,MATCH(B3093&amp;"_"&amp;C3093,PRECIOS_COMPLEMENTOS!$H$4:$H$17,0),IF(OR(G3093="S",G3093="20cm"),1,IF(OR(G3093="M",G3093="25cm"),2,IF(OR(G3093="L",G3093="30cm"),3,IF(OR(G3093="XL",G3093="35cm"),4,0))))),0)</f>
        <v>0.45</v>
      </c>
      <c r="J3093" s="103">
        <f t="shared" si="1"/>
        <v>0</v>
      </c>
      <c r="K3093" s="104" t="str">
        <f>IF(H3093&lt;0,"ERROR",IF(H3093=0,"",IF(H3093&lt;CONFIG!$B$4,"CRÍTICO",IF(H3093&lt;CONFIG!$B$5,"BAJO","OK"))))</f>
        <v/>
      </c>
    </row>
    <row r="3094" ht="15.75" customHeight="1">
      <c r="A3094" s="90" t="str">
        <f>IF(CLIENTES!A7="","",CLIENTES!A7)</f>
        <v/>
      </c>
      <c r="B3094" s="90" t="s">
        <v>333</v>
      </c>
      <c r="C3094" s="91" t="s">
        <v>334</v>
      </c>
      <c r="D3094" s="109" t="s">
        <v>353</v>
      </c>
      <c r="E3094" s="67" t="str">
        <f>COLORES!A14</f>
        <v>Denim</v>
      </c>
      <c r="F3094" s="67" t="str">
        <f>COLORES!B14</f>
        <v>CLARO</v>
      </c>
      <c r="G3094" s="90" t="s">
        <v>380</v>
      </c>
      <c r="H3094" s="100">
        <f>IFERROR(SUMIFS(MOVIMIENTOS_COMPLEMENTOS!$I$4:$I$803,MOVIMIENTOS_COMPLEMENTOS!$C$4:$C$803,A3094,MOVIMIENTOS_COMPLEMENTOS!$D$4:$D$803,B3094,MOVIMIENTOS_COMPLEMENTOS!$E$4:$E$803,C3094,MOVIMIENTOS_COMPLEMENTOS!$G$4:$G$803,E3094,MOVIMIENTOS_COMPLEMENTOS!$H$4:$H$803,G3094,MOVIMIENTOS_COMPLEMENTOS!$B$4:$B$803,"INGRESO")+SUMIFS(MOVIMIENTOS_COMPLEMENTOS!$I$4:$I$803,MOVIMIENTOS_COMPLEMENTOS!$C$4:$C$803,A3094,MOVIMIENTOS_COMPLEMENTOS!$D$4:$D$803,B3094,MOVIMIENTOS_COMPLEMENTOS!$E$4:$E$803,C3094,MOVIMIENTOS_COMPLEMENTOS!$G$4:$G$803,E3094,MOVIMIENTOS_COMPLEMENTOS!$H$4:$H$803,G3094,MOVIMIENTOS_COMPLEMENTOS!$B$4:$B$803,"DE CORTE")-SUMIFS(MOVIMIENTOS_COMPLEMENTOS!$I$4:$I$803,MOVIMIENTOS_COMPLEMENTOS!$C$4:$C$803,A3094,MOVIMIENTOS_COMPLEMENTOS!$D$4:$D$803,B3094,MOVIMIENTOS_COMPLEMENTOS!$E$4:$E$803,C3094,MOVIMIENTOS_COMPLEMENTOS!$G$4:$G$803,E3094,MOVIMIENTOS_COMPLEMENTOS!$H$4:$H$803,G3094,MOVIMIENTOS_COMPLEMENTOS!$B$4:$B$803,"SALIDA"),0)</f>
        <v>0</v>
      </c>
      <c r="I3094" s="102">
        <f t="array" ref="I3094">IFERROR(INDEX(PRECIOS_COMPLEMENTOS!$C$4:$F$17,MATCH(B3094&amp;"_"&amp;C3094,PRECIOS_COMPLEMENTOS!$H$4:$H$17,0),IF(OR(G3094="S",G3094="20cm"),1,IF(OR(G3094="M",G3094="25cm"),2,IF(OR(G3094="L",G3094="30cm"),3,IF(OR(G3094="XL",G3094="35cm"),4,0))))),0)</f>
        <v>0.45</v>
      </c>
      <c r="J3094" s="103">
        <f t="shared" si="1"/>
        <v>0</v>
      </c>
      <c r="K3094" s="104" t="str">
        <f>IF(H3094&lt;0,"ERROR",IF(H3094=0,"",IF(H3094&lt;CONFIG!$B$4,"CRÍTICO",IF(H3094&lt;CONFIG!$B$5,"BAJO","OK"))))</f>
        <v/>
      </c>
    </row>
    <row r="3095" ht="15.75" customHeight="1">
      <c r="A3095" s="90" t="str">
        <f>IF(CLIENTES!A7="","",CLIENTES!A7)</f>
        <v/>
      </c>
      <c r="B3095" s="90" t="s">
        <v>333</v>
      </c>
      <c r="C3095" s="91" t="s">
        <v>334</v>
      </c>
      <c r="D3095" s="109" t="s">
        <v>353</v>
      </c>
      <c r="E3095" s="67" t="str">
        <f>COLORES!A14</f>
        <v>Denim</v>
      </c>
      <c r="F3095" s="67" t="str">
        <f>COLORES!B14</f>
        <v>CLARO</v>
      </c>
      <c r="G3095" s="90" t="s">
        <v>381</v>
      </c>
      <c r="H3095" s="100">
        <f>IFERROR(SUMIFS(MOVIMIENTOS_COMPLEMENTOS!$I$4:$I$803,MOVIMIENTOS_COMPLEMENTOS!$C$4:$C$803,A3095,MOVIMIENTOS_COMPLEMENTOS!$D$4:$D$803,B3095,MOVIMIENTOS_COMPLEMENTOS!$E$4:$E$803,C3095,MOVIMIENTOS_COMPLEMENTOS!$G$4:$G$803,E3095,MOVIMIENTOS_COMPLEMENTOS!$H$4:$H$803,G3095,MOVIMIENTOS_COMPLEMENTOS!$B$4:$B$803,"INGRESO")+SUMIFS(MOVIMIENTOS_COMPLEMENTOS!$I$4:$I$803,MOVIMIENTOS_COMPLEMENTOS!$C$4:$C$803,A3095,MOVIMIENTOS_COMPLEMENTOS!$D$4:$D$803,B3095,MOVIMIENTOS_COMPLEMENTOS!$E$4:$E$803,C3095,MOVIMIENTOS_COMPLEMENTOS!$G$4:$G$803,E3095,MOVIMIENTOS_COMPLEMENTOS!$H$4:$H$803,G3095,MOVIMIENTOS_COMPLEMENTOS!$B$4:$B$803,"DE CORTE")-SUMIFS(MOVIMIENTOS_COMPLEMENTOS!$I$4:$I$803,MOVIMIENTOS_COMPLEMENTOS!$C$4:$C$803,A3095,MOVIMIENTOS_COMPLEMENTOS!$D$4:$D$803,B3095,MOVIMIENTOS_COMPLEMENTOS!$E$4:$E$803,C3095,MOVIMIENTOS_COMPLEMENTOS!$G$4:$G$803,E3095,MOVIMIENTOS_COMPLEMENTOS!$H$4:$H$803,G3095,MOVIMIENTOS_COMPLEMENTOS!$B$4:$B$803,"SALIDA"),0)</f>
        <v>0</v>
      </c>
      <c r="I3095" s="102">
        <f t="array" ref="I3095">IFERROR(INDEX(PRECIOS_COMPLEMENTOS!$C$4:$F$17,MATCH(B3095&amp;"_"&amp;C3095,PRECIOS_COMPLEMENTOS!$H$4:$H$17,0),IF(OR(G3095="S",G3095="20cm"),1,IF(OR(G3095="M",G3095="25cm"),2,IF(OR(G3095="L",G3095="30cm"),3,IF(OR(G3095="XL",G3095="35cm"),4,0))))),0)</f>
        <v>0.45</v>
      </c>
      <c r="J3095" s="103">
        <f t="shared" si="1"/>
        <v>0</v>
      </c>
      <c r="K3095" s="104" t="str">
        <f>IF(H3095&lt;0,"ERROR",IF(H3095=0,"",IF(H3095&lt;CONFIG!$B$4,"CRÍTICO",IF(H3095&lt;CONFIG!$B$5,"BAJO","OK"))))</f>
        <v/>
      </c>
    </row>
    <row r="3096" ht="15.75" customHeight="1">
      <c r="A3096" s="90" t="str">
        <f>IF(CLIENTES!A7="","",CLIENTES!A7)</f>
        <v/>
      </c>
      <c r="B3096" s="90" t="s">
        <v>333</v>
      </c>
      <c r="C3096" s="91" t="s">
        <v>334</v>
      </c>
      <c r="D3096" s="109" t="s">
        <v>353</v>
      </c>
      <c r="E3096" s="67" t="str">
        <f>COLORES!A14</f>
        <v>Denim</v>
      </c>
      <c r="F3096" s="67" t="str">
        <f>COLORES!B14</f>
        <v>CLARO</v>
      </c>
      <c r="G3096" s="90" t="s">
        <v>382</v>
      </c>
      <c r="H3096" s="100">
        <f>IFERROR(SUMIFS(MOVIMIENTOS_COMPLEMENTOS!$I$4:$I$803,MOVIMIENTOS_COMPLEMENTOS!$C$4:$C$803,A3096,MOVIMIENTOS_COMPLEMENTOS!$D$4:$D$803,B3096,MOVIMIENTOS_COMPLEMENTOS!$E$4:$E$803,C3096,MOVIMIENTOS_COMPLEMENTOS!$G$4:$G$803,E3096,MOVIMIENTOS_COMPLEMENTOS!$H$4:$H$803,G3096,MOVIMIENTOS_COMPLEMENTOS!$B$4:$B$803,"INGRESO")+SUMIFS(MOVIMIENTOS_COMPLEMENTOS!$I$4:$I$803,MOVIMIENTOS_COMPLEMENTOS!$C$4:$C$803,A3096,MOVIMIENTOS_COMPLEMENTOS!$D$4:$D$803,B3096,MOVIMIENTOS_COMPLEMENTOS!$E$4:$E$803,C3096,MOVIMIENTOS_COMPLEMENTOS!$G$4:$G$803,E3096,MOVIMIENTOS_COMPLEMENTOS!$H$4:$H$803,G3096,MOVIMIENTOS_COMPLEMENTOS!$B$4:$B$803,"DE CORTE")-SUMIFS(MOVIMIENTOS_COMPLEMENTOS!$I$4:$I$803,MOVIMIENTOS_COMPLEMENTOS!$C$4:$C$803,A3096,MOVIMIENTOS_COMPLEMENTOS!$D$4:$D$803,B3096,MOVIMIENTOS_COMPLEMENTOS!$E$4:$E$803,C3096,MOVIMIENTOS_COMPLEMENTOS!$G$4:$G$803,E3096,MOVIMIENTOS_COMPLEMENTOS!$H$4:$H$803,G3096,MOVIMIENTOS_COMPLEMENTOS!$B$4:$B$803,"SALIDA"),0)</f>
        <v>0</v>
      </c>
      <c r="I3096" s="102">
        <f t="array" ref="I3096">IFERROR(INDEX(PRECIOS_COMPLEMENTOS!$C$4:$F$17,MATCH(B3096&amp;"_"&amp;C3096,PRECIOS_COMPLEMENTOS!$H$4:$H$17,0),IF(OR(G3096="S",G3096="20cm"),1,IF(OR(G3096="M",G3096="25cm"),2,IF(OR(G3096="L",G3096="30cm"),3,IF(OR(G3096="XL",G3096="35cm"),4,0))))),0)</f>
        <v>0.45</v>
      </c>
      <c r="J3096" s="103">
        <f t="shared" si="1"/>
        <v>0</v>
      </c>
      <c r="K3096" s="104" t="str">
        <f>IF(H3096&lt;0,"ERROR",IF(H3096=0,"",IF(H3096&lt;CONFIG!$B$4,"CRÍTICO",IF(H3096&lt;CONFIG!$B$5,"BAJO","OK"))))</f>
        <v/>
      </c>
    </row>
    <row r="3097" ht="15.75" customHeight="1">
      <c r="A3097" s="90" t="str">
        <f>IF(CLIENTES!A7="","",CLIENTES!A7)</f>
        <v/>
      </c>
      <c r="B3097" s="90" t="s">
        <v>333</v>
      </c>
      <c r="C3097" s="91" t="s">
        <v>334</v>
      </c>
      <c r="D3097" s="109" t="s">
        <v>353</v>
      </c>
      <c r="E3097" s="67" t="str">
        <f>COLORES!A15</f>
        <v>Plomo</v>
      </c>
      <c r="F3097" s="67" t="str">
        <f>COLORES!B15</f>
        <v>OSCURO</v>
      </c>
      <c r="G3097" s="90" t="s">
        <v>380</v>
      </c>
      <c r="H3097" s="100">
        <f>IFERROR(SUMIFS(MOVIMIENTOS_COMPLEMENTOS!$I$4:$I$803,MOVIMIENTOS_COMPLEMENTOS!$C$4:$C$803,A3097,MOVIMIENTOS_COMPLEMENTOS!$D$4:$D$803,B3097,MOVIMIENTOS_COMPLEMENTOS!$E$4:$E$803,C3097,MOVIMIENTOS_COMPLEMENTOS!$G$4:$G$803,E3097,MOVIMIENTOS_COMPLEMENTOS!$H$4:$H$803,G3097,MOVIMIENTOS_COMPLEMENTOS!$B$4:$B$803,"INGRESO")+SUMIFS(MOVIMIENTOS_COMPLEMENTOS!$I$4:$I$803,MOVIMIENTOS_COMPLEMENTOS!$C$4:$C$803,A3097,MOVIMIENTOS_COMPLEMENTOS!$D$4:$D$803,B3097,MOVIMIENTOS_COMPLEMENTOS!$E$4:$E$803,C3097,MOVIMIENTOS_COMPLEMENTOS!$G$4:$G$803,E3097,MOVIMIENTOS_COMPLEMENTOS!$H$4:$H$803,G3097,MOVIMIENTOS_COMPLEMENTOS!$B$4:$B$803,"DE CORTE")-SUMIFS(MOVIMIENTOS_COMPLEMENTOS!$I$4:$I$803,MOVIMIENTOS_COMPLEMENTOS!$C$4:$C$803,A3097,MOVIMIENTOS_COMPLEMENTOS!$D$4:$D$803,B3097,MOVIMIENTOS_COMPLEMENTOS!$E$4:$E$803,C3097,MOVIMIENTOS_COMPLEMENTOS!$G$4:$G$803,E3097,MOVIMIENTOS_COMPLEMENTOS!$H$4:$H$803,G3097,MOVIMIENTOS_COMPLEMENTOS!$B$4:$B$803,"SALIDA"),0)</f>
        <v>0</v>
      </c>
      <c r="I3097" s="102">
        <f t="array" ref="I3097">IFERROR(INDEX(PRECIOS_COMPLEMENTOS!$C$4:$F$17,MATCH(B3097&amp;"_"&amp;C3097,PRECIOS_COMPLEMENTOS!$H$4:$H$17,0),IF(OR(G3097="S",G3097="20cm"),1,IF(OR(G3097="M",G3097="25cm"),2,IF(OR(G3097="L",G3097="30cm"),3,IF(OR(G3097="XL",G3097="35cm"),4,0))))),0)</f>
        <v>0.45</v>
      </c>
      <c r="J3097" s="103">
        <f t="shared" si="1"/>
        <v>0</v>
      </c>
      <c r="K3097" s="104" t="str">
        <f>IF(H3097&lt;0,"ERROR",IF(H3097=0,"",IF(H3097&lt;CONFIG!$B$4,"CRÍTICO",IF(H3097&lt;CONFIG!$B$5,"BAJO","OK"))))</f>
        <v/>
      </c>
    </row>
    <row r="3098" ht="15.75" customHeight="1">
      <c r="A3098" s="90" t="str">
        <f>IF(CLIENTES!A7="","",CLIENTES!A7)</f>
        <v/>
      </c>
      <c r="B3098" s="90" t="s">
        <v>333</v>
      </c>
      <c r="C3098" s="91" t="s">
        <v>334</v>
      </c>
      <c r="D3098" s="109" t="s">
        <v>353</v>
      </c>
      <c r="E3098" s="67" t="str">
        <f>COLORES!A15</f>
        <v>Plomo</v>
      </c>
      <c r="F3098" s="67" t="str">
        <f>COLORES!B15</f>
        <v>OSCURO</v>
      </c>
      <c r="G3098" s="90" t="s">
        <v>381</v>
      </c>
      <c r="H3098" s="100">
        <f>IFERROR(SUMIFS(MOVIMIENTOS_COMPLEMENTOS!$I$4:$I$803,MOVIMIENTOS_COMPLEMENTOS!$C$4:$C$803,A3098,MOVIMIENTOS_COMPLEMENTOS!$D$4:$D$803,B3098,MOVIMIENTOS_COMPLEMENTOS!$E$4:$E$803,C3098,MOVIMIENTOS_COMPLEMENTOS!$G$4:$G$803,E3098,MOVIMIENTOS_COMPLEMENTOS!$H$4:$H$803,G3098,MOVIMIENTOS_COMPLEMENTOS!$B$4:$B$803,"INGRESO")+SUMIFS(MOVIMIENTOS_COMPLEMENTOS!$I$4:$I$803,MOVIMIENTOS_COMPLEMENTOS!$C$4:$C$803,A3098,MOVIMIENTOS_COMPLEMENTOS!$D$4:$D$803,B3098,MOVIMIENTOS_COMPLEMENTOS!$E$4:$E$803,C3098,MOVIMIENTOS_COMPLEMENTOS!$G$4:$G$803,E3098,MOVIMIENTOS_COMPLEMENTOS!$H$4:$H$803,G3098,MOVIMIENTOS_COMPLEMENTOS!$B$4:$B$803,"DE CORTE")-SUMIFS(MOVIMIENTOS_COMPLEMENTOS!$I$4:$I$803,MOVIMIENTOS_COMPLEMENTOS!$C$4:$C$803,A3098,MOVIMIENTOS_COMPLEMENTOS!$D$4:$D$803,B3098,MOVIMIENTOS_COMPLEMENTOS!$E$4:$E$803,C3098,MOVIMIENTOS_COMPLEMENTOS!$G$4:$G$803,E3098,MOVIMIENTOS_COMPLEMENTOS!$H$4:$H$803,G3098,MOVIMIENTOS_COMPLEMENTOS!$B$4:$B$803,"SALIDA"),0)</f>
        <v>0</v>
      </c>
      <c r="I3098" s="102">
        <f t="array" ref="I3098">IFERROR(INDEX(PRECIOS_COMPLEMENTOS!$C$4:$F$17,MATCH(B3098&amp;"_"&amp;C3098,PRECIOS_COMPLEMENTOS!$H$4:$H$17,0),IF(OR(G3098="S",G3098="20cm"),1,IF(OR(G3098="M",G3098="25cm"),2,IF(OR(G3098="L",G3098="30cm"),3,IF(OR(G3098="XL",G3098="35cm"),4,0))))),0)</f>
        <v>0.45</v>
      </c>
      <c r="J3098" s="103">
        <f t="shared" si="1"/>
        <v>0</v>
      </c>
      <c r="K3098" s="104" t="str">
        <f>IF(H3098&lt;0,"ERROR",IF(H3098=0,"",IF(H3098&lt;CONFIG!$B$4,"CRÍTICO",IF(H3098&lt;CONFIG!$B$5,"BAJO","OK"))))</f>
        <v/>
      </c>
    </row>
    <row r="3099" ht="15.75" customHeight="1">
      <c r="A3099" s="90" t="str">
        <f>IF(CLIENTES!A7="","",CLIENTES!A7)</f>
        <v/>
      </c>
      <c r="B3099" s="90" t="s">
        <v>333</v>
      </c>
      <c r="C3099" s="91" t="s">
        <v>334</v>
      </c>
      <c r="D3099" s="109" t="s">
        <v>353</v>
      </c>
      <c r="E3099" s="67" t="str">
        <f>COLORES!A15</f>
        <v>Plomo</v>
      </c>
      <c r="F3099" s="67" t="str">
        <f>COLORES!B15</f>
        <v>OSCURO</v>
      </c>
      <c r="G3099" s="90" t="s">
        <v>382</v>
      </c>
      <c r="H3099" s="100">
        <f>IFERROR(SUMIFS(MOVIMIENTOS_COMPLEMENTOS!$I$4:$I$803,MOVIMIENTOS_COMPLEMENTOS!$C$4:$C$803,A3099,MOVIMIENTOS_COMPLEMENTOS!$D$4:$D$803,B3099,MOVIMIENTOS_COMPLEMENTOS!$E$4:$E$803,C3099,MOVIMIENTOS_COMPLEMENTOS!$G$4:$G$803,E3099,MOVIMIENTOS_COMPLEMENTOS!$H$4:$H$803,G3099,MOVIMIENTOS_COMPLEMENTOS!$B$4:$B$803,"INGRESO")+SUMIFS(MOVIMIENTOS_COMPLEMENTOS!$I$4:$I$803,MOVIMIENTOS_COMPLEMENTOS!$C$4:$C$803,A3099,MOVIMIENTOS_COMPLEMENTOS!$D$4:$D$803,B3099,MOVIMIENTOS_COMPLEMENTOS!$E$4:$E$803,C3099,MOVIMIENTOS_COMPLEMENTOS!$G$4:$G$803,E3099,MOVIMIENTOS_COMPLEMENTOS!$H$4:$H$803,G3099,MOVIMIENTOS_COMPLEMENTOS!$B$4:$B$803,"DE CORTE")-SUMIFS(MOVIMIENTOS_COMPLEMENTOS!$I$4:$I$803,MOVIMIENTOS_COMPLEMENTOS!$C$4:$C$803,A3099,MOVIMIENTOS_COMPLEMENTOS!$D$4:$D$803,B3099,MOVIMIENTOS_COMPLEMENTOS!$E$4:$E$803,C3099,MOVIMIENTOS_COMPLEMENTOS!$G$4:$G$803,E3099,MOVIMIENTOS_COMPLEMENTOS!$H$4:$H$803,G3099,MOVIMIENTOS_COMPLEMENTOS!$B$4:$B$803,"SALIDA"),0)</f>
        <v>0</v>
      </c>
      <c r="I3099" s="102">
        <f t="array" ref="I3099">IFERROR(INDEX(PRECIOS_COMPLEMENTOS!$C$4:$F$17,MATCH(B3099&amp;"_"&amp;C3099,PRECIOS_COMPLEMENTOS!$H$4:$H$17,0),IF(OR(G3099="S",G3099="20cm"),1,IF(OR(G3099="M",G3099="25cm"),2,IF(OR(G3099="L",G3099="30cm"),3,IF(OR(G3099="XL",G3099="35cm"),4,0))))),0)</f>
        <v>0.45</v>
      </c>
      <c r="J3099" s="103">
        <f t="shared" si="1"/>
        <v>0</v>
      </c>
      <c r="K3099" s="104" t="str">
        <f>IF(H3099&lt;0,"ERROR",IF(H3099=0,"",IF(H3099&lt;CONFIG!$B$4,"CRÍTICO",IF(H3099&lt;CONFIG!$B$5,"BAJO","OK"))))</f>
        <v/>
      </c>
    </row>
    <row r="3100" ht="15.75" customHeight="1">
      <c r="A3100" s="90" t="str">
        <f>IF(CLIENTES!A7="","",CLIENTES!A7)</f>
        <v/>
      </c>
      <c r="B3100" s="90" t="s">
        <v>333</v>
      </c>
      <c r="C3100" s="91" t="s">
        <v>334</v>
      </c>
      <c r="D3100" s="109" t="s">
        <v>353</v>
      </c>
      <c r="E3100" s="67" t="str">
        <f>COLORES!A16</f>
        <v>Topo</v>
      </c>
      <c r="F3100" s="67" t="str">
        <f>COLORES!B16</f>
        <v>CLARO</v>
      </c>
      <c r="G3100" s="90" t="s">
        <v>380</v>
      </c>
      <c r="H3100" s="100">
        <f>IFERROR(SUMIFS(MOVIMIENTOS_COMPLEMENTOS!$I$4:$I$803,MOVIMIENTOS_COMPLEMENTOS!$C$4:$C$803,A3100,MOVIMIENTOS_COMPLEMENTOS!$D$4:$D$803,B3100,MOVIMIENTOS_COMPLEMENTOS!$E$4:$E$803,C3100,MOVIMIENTOS_COMPLEMENTOS!$G$4:$G$803,E3100,MOVIMIENTOS_COMPLEMENTOS!$H$4:$H$803,G3100,MOVIMIENTOS_COMPLEMENTOS!$B$4:$B$803,"INGRESO")+SUMIFS(MOVIMIENTOS_COMPLEMENTOS!$I$4:$I$803,MOVIMIENTOS_COMPLEMENTOS!$C$4:$C$803,A3100,MOVIMIENTOS_COMPLEMENTOS!$D$4:$D$803,B3100,MOVIMIENTOS_COMPLEMENTOS!$E$4:$E$803,C3100,MOVIMIENTOS_COMPLEMENTOS!$G$4:$G$803,E3100,MOVIMIENTOS_COMPLEMENTOS!$H$4:$H$803,G3100,MOVIMIENTOS_COMPLEMENTOS!$B$4:$B$803,"DE CORTE")-SUMIFS(MOVIMIENTOS_COMPLEMENTOS!$I$4:$I$803,MOVIMIENTOS_COMPLEMENTOS!$C$4:$C$803,A3100,MOVIMIENTOS_COMPLEMENTOS!$D$4:$D$803,B3100,MOVIMIENTOS_COMPLEMENTOS!$E$4:$E$803,C3100,MOVIMIENTOS_COMPLEMENTOS!$G$4:$G$803,E3100,MOVIMIENTOS_COMPLEMENTOS!$H$4:$H$803,G3100,MOVIMIENTOS_COMPLEMENTOS!$B$4:$B$803,"SALIDA"),0)</f>
        <v>0</v>
      </c>
      <c r="I3100" s="102">
        <f t="array" ref="I3100">IFERROR(INDEX(PRECIOS_COMPLEMENTOS!$C$4:$F$17,MATCH(B3100&amp;"_"&amp;C3100,PRECIOS_COMPLEMENTOS!$H$4:$H$17,0),IF(OR(G3100="S",G3100="20cm"),1,IF(OR(G3100="M",G3100="25cm"),2,IF(OR(G3100="L",G3100="30cm"),3,IF(OR(G3100="XL",G3100="35cm"),4,0))))),0)</f>
        <v>0.45</v>
      </c>
      <c r="J3100" s="103">
        <f t="shared" si="1"/>
        <v>0</v>
      </c>
      <c r="K3100" s="104" t="str">
        <f>IF(H3100&lt;0,"ERROR",IF(H3100=0,"",IF(H3100&lt;CONFIG!$B$4,"CRÍTICO",IF(H3100&lt;CONFIG!$B$5,"BAJO","OK"))))</f>
        <v/>
      </c>
    </row>
    <row r="3101" ht="15.75" customHeight="1">
      <c r="A3101" s="90" t="str">
        <f>IF(CLIENTES!A7="","",CLIENTES!A7)</f>
        <v/>
      </c>
      <c r="B3101" s="90" t="s">
        <v>333</v>
      </c>
      <c r="C3101" s="91" t="s">
        <v>334</v>
      </c>
      <c r="D3101" s="109" t="s">
        <v>353</v>
      </c>
      <c r="E3101" s="67" t="str">
        <f>COLORES!A16</f>
        <v>Topo</v>
      </c>
      <c r="F3101" s="67" t="str">
        <f>COLORES!B16</f>
        <v>CLARO</v>
      </c>
      <c r="G3101" s="90" t="s">
        <v>381</v>
      </c>
      <c r="H3101" s="100">
        <f>IFERROR(SUMIFS(MOVIMIENTOS_COMPLEMENTOS!$I$4:$I$803,MOVIMIENTOS_COMPLEMENTOS!$C$4:$C$803,A3101,MOVIMIENTOS_COMPLEMENTOS!$D$4:$D$803,B3101,MOVIMIENTOS_COMPLEMENTOS!$E$4:$E$803,C3101,MOVIMIENTOS_COMPLEMENTOS!$G$4:$G$803,E3101,MOVIMIENTOS_COMPLEMENTOS!$H$4:$H$803,G3101,MOVIMIENTOS_COMPLEMENTOS!$B$4:$B$803,"INGRESO")+SUMIFS(MOVIMIENTOS_COMPLEMENTOS!$I$4:$I$803,MOVIMIENTOS_COMPLEMENTOS!$C$4:$C$803,A3101,MOVIMIENTOS_COMPLEMENTOS!$D$4:$D$803,B3101,MOVIMIENTOS_COMPLEMENTOS!$E$4:$E$803,C3101,MOVIMIENTOS_COMPLEMENTOS!$G$4:$G$803,E3101,MOVIMIENTOS_COMPLEMENTOS!$H$4:$H$803,G3101,MOVIMIENTOS_COMPLEMENTOS!$B$4:$B$803,"DE CORTE")-SUMIFS(MOVIMIENTOS_COMPLEMENTOS!$I$4:$I$803,MOVIMIENTOS_COMPLEMENTOS!$C$4:$C$803,A3101,MOVIMIENTOS_COMPLEMENTOS!$D$4:$D$803,B3101,MOVIMIENTOS_COMPLEMENTOS!$E$4:$E$803,C3101,MOVIMIENTOS_COMPLEMENTOS!$G$4:$G$803,E3101,MOVIMIENTOS_COMPLEMENTOS!$H$4:$H$803,G3101,MOVIMIENTOS_COMPLEMENTOS!$B$4:$B$803,"SALIDA"),0)</f>
        <v>0</v>
      </c>
      <c r="I3101" s="102">
        <f t="array" ref="I3101">IFERROR(INDEX(PRECIOS_COMPLEMENTOS!$C$4:$F$17,MATCH(B3101&amp;"_"&amp;C3101,PRECIOS_COMPLEMENTOS!$H$4:$H$17,0),IF(OR(G3101="S",G3101="20cm"),1,IF(OR(G3101="M",G3101="25cm"),2,IF(OR(G3101="L",G3101="30cm"),3,IF(OR(G3101="XL",G3101="35cm"),4,0))))),0)</f>
        <v>0.45</v>
      </c>
      <c r="J3101" s="103">
        <f t="shared" si="1"/>
        <v>0</v>
      </c>
      <c r="K3101" s="104" t="str">
        <f>IF(H3101&lt;0,"ERROR",IF(H3101=0,"",IF(H3101&lt;CONFIG!$B$4,"CRÍTICO",IF(H3101&lt;CONFIG!$B$5,"BAJO","OK"))))</f>
        <v/>
      </c>
    </row>
    <row r="3102" ht="15.75" customHeight="1">
      <c r="A3102" s="90" t="str">
        <f>IF(CLIENTES!A7="","",CLIENTES!A7)</f>
        <v/>
      </c>
      <c r="B3102" s="90" t="s">
        <v>333</v>
      </c>
      <c r="C3102" s="91" t="s">
        <v>334</v>
      </c>
      <c r="D3102" s="109" t="s">
        <v>353</v>
      </c>
      <c r="E3102" s="67" t="str">
        <f>COLORES!A16</f>
        <v>Topo</v>
      </c>
      <c r="F3102" s="67" t="str">
        <f>COLORES!B16</f>
        <v>CLARO</v>
      </c>
      <c r="G3102" s="90" t="s">
        <v>382</v>
      </c>
      <c r="H3102" s="100">
        <f>IFERROR(SUMIFS(MOVIMIENTOS_COMPLEMENTOS!$I$4:$I$803,MOVIMIENTOS_COMPLEMENTOS!$C$4:$C$803,A3102,MOVIMIENTOS_COMPLEMENTOS!$D$4:$D$803,B3102,MOVIMIENTOS_COMPLEMENTOS!$E$4:$E$803,C3102,MOVIMIENTOS_COMPLEMENTOS!$G$4:$G$803,E3102,MOVIMIENTOS_COMPLEMENTOS!$H$4:$H$803,G3102,MOVIMIENTOS_COMPLEMENTOS!$B$4:$B$803,"INGRESO")+SUMIFS(MOVIMIENTOS_COMPLEMENTOS!$I$4:$I$803,MOVIMIENTOS_COMPLEMENTOS!$C$4:$C$803,A3102,MOVIMIENTOS_COMPLEMENTOS!$D$4:$D$803,B3102,MOVIMIENTOS_COMPLEMENTOS!$E$4:$E$803,C3102,MOVIMIENTOS_COMPLEMENTOS!$G$4:$G$803,E3102,MOVIMIENTOS_COMPLEMENTOS!$H$4:$H$803,G3102,MOVIMIENTOS_COMPLEMENTOS!$B$4:$B$803,"DE CORTE")-SUMIFS(MOVIMIENTOS_COMPLEMENTOS!$I$4:$I$803,MOVIMIENTOS_COMPLEMENTOS!$C$4:$C$803,A3102,MOVIMIENTOS_COMPLEMENTOS!$D$4:$D$803,B3102,MOVIMIENTOS_COMPLEMENTOS!$E$4:$E$803,C3102,MOVIMIENTOS_COMPLEMENTOS!$G$4:$G$803,E3102,MOVIMIENTOS_COMPLEMENTOS!$H$4:$H$803,G3102,MOVIMIENTOS_COMPLEMENTOS!$B$4:$B$803,"SALIDA"),0)</f>
        <v>0</v>
      </c>
      <c r="I3102" s="102">
        <f t="array" ref="I3102">IFERROR(INDEX(PRECIOS_COMPLEMENTOS!$C$4:$F$17,MATCH(B3102&amp;"_"&amp;C3102,PRECIOS_COMPLEMENTOS!$H$4:$H$17,0),IF(OR(G3102="S",G3102="20cm"),1,IF(OR(G3102="M",G3102="25cm"),2,IF(OR(G3102="L",G3102="30cm"),3,IF(OR(G3102="XL",G3102="35cm"),4,0))))),0)</f>
        <v>0.45</v>
      </c>
      <c r="J3102" s="103">
        <f t="shared" si="1"/>
        <v>0</v>
      </c>
      <c r="K3102" s="104" t="str">
        <f>IF(H3102&lt;0,"ERROR",IF(H3102=0,"",IF(H3102&lt;CONFIG!$B$4,"CRÍTICO",IF(H3102&lt;CONFIG!$B$5,"BAJO","OK"))))</f>
        <v/>
      </c>
    </row>
    <row r="3103" ht="15.75" customHeight="1">
      <c r="A3103" s="90" t="str">
        <f>IF(CLIENTES!A7="","",CLIENTES!A7)</f>
        <v/>
      </c>
      <c r="B3103" s="90" t="s">
        <v>333</v>
      </c>
      <c r="C3103" s="91" t="s">
        <v>334</v>
      </c>
      <c r="D3103" s="109" t="s">
        <v>353</v>
      </c>
      <c r="E3103" s="67" t="str">
        <f>COLORES!A17</f>
        <v>Vino</v>
      </c>
      <c r="F3103" s="67" t="str">
        <f>COLORES!B17</f>
        <v>OSCURO</v>
      </c>
      <c r="G3103" s="90" t="s">
        <v>380</v>
      </c>
      <c r="H3103" s="100">
        <f>IFERROR(SUMIFS(MOVIMIENTOS_COMPLEMENTOS!$I$4:$I$803,MOVIMIENTOS_COMPLEMENTOS!$C$4:$C$803,A3103,MOVIMIENTOS_COMPLEMENTOS!$D$4:$D$803,B3103,MOVIMIENTOS_COMPLEMENTOS!$E$4:$E$803,C3103,MOVIMIENTOS_COMPLEMENTOS!$G$4:$G$803,E3103,MOVIMIENTOS_COMPLEMENTOS!$H$4:$H$803,G3103,MOVIMIENTOS_COMPLEMENTOS!$B$4:$B$803,"INGRESO")+SUMIFS(MOVIMIENTOS_COMPLEMENTOS!$I$4:$I$803,MOVIMIENTOS_COMPLEMENTOS!$C$4:$C$803,A3103,MOVIMIENTOS_COMPLEMENTOS!$D$4:$D$803,B3103,MOVIMIENTOS_COMPLEMENTOS!$E$4:$E$803,C3103,MOVIMIENTOS_COMPLEMENTOS!$G$4:$G$803,E3103,MOVIMIENTOS_COMPLEMENTOS!$H$4:$H$803,G3103,MOVIMIENTOS_COMPLEMENTOS!$B$4:$B$803,"DE CORTE")-SUMIFS(MOVIMIENTOS_COMPLEMENTOS!$I$4:$I$803,MOVIMIENTOS_COMPLEMENTOS!$C$4:$C$803,A3103,MOVIMIENTOS_COMPLEMENTOS!$D$4:$D$803,B3103,MOVIMIENTOS_COMPLEMENTOS!$E$4:$E$803,C3103,MOVIMIENTOS_COMPLEMENTOS!$G$4:$G$803,E3103,MOVIMIENTOS_COMPLEMENTOS!$H$4:$H$803,G3103,MOVIMIENTOS_COMPLEMENTOS!$B$4:$B$803,"SALIDA"),0)</f>
        <v>0</v>
      </c>
      <c r="I3103" s="102">
        <f t="array" ref="I3103">IFERROR(INDEX(PRECIOS_COMPLEMENTOS!$C$4:$F$17,MATCH(B3103&amp;"_"&amp;C3103,PRECIOS_COMPLEMENTOS!$H$4:$H$17,0),IF(OR(G3103="S",G3103="20cm"),1,IF(OR(G3103="M",G3103="25cm"),2,IF(OR(G3103="L",G3103="30cm"),3,IF(OR(G3103="XL",G3103="35cm"),4,0))))),0)</f>
        <v>0.45</v>
      </c>
      <c r="J3103" s="103">
        <f t="shared" si="1"/>
        <v>0</v>
      </c>
      <c r="K3103" s="104" t="str">
        <f>IF(H3103&lt;0,"ERROR",IF(H3103=0,"",IF(H3103&lt;CONFIG!$B$4,"CRÍTICO",IF(H3103&lt;CONFIG!$B$5,"BAJO","OK"))))</f>
        <v/>
      </c>
    </row>
    <row r="3104" ht="15.75" customHeight="1">
      <c r="A3104" s="90" t="str">
        <f>IF(CLIENTES!A7="","",CLIENTES!A7)</f>
        <v/>
      </c>
      <c r="B3104" s="90" t="s">
        <v>333</v>
      </c>
      <c r="C3104" s="91" t="s">
        <v>334</v>
      </c>
      <c r="D3104" s="109" t="s">
        <v>353</v>
      </c>
      <c r="E3104" s="67" t="str">
        <f>COLORES!A17</f>
        <v>Vino</v>
      </c>
      <c r="F3104" s="67" t="str">
        <f>COLORES!B17</f>
        <v>OSCURO</v>
      </c>
      <c r="G3104" s="90" t="s">
        <v>381</v>
      </c>
      <c r="H3104" s="100">
        <f>IFERROR(SUMIFS(MOVIMIENTOS_COMPLEMENTOS!$I$4:$I$803,MOVIMIENTOS_COMPLEMENTOS!$C$4:$C$803,A3104,MOVIMIENTOS_COMPLEMENTOS!$D$4:$D$803,B3104,MOVIMIENTOS_COMPLEMENTOS!$E$4:$E$803,C3104,MOVIMIENTOS_COMPLEMENTOS!$G$4:$G$803,E3104,MOVIMIENTOS_COMPLEMENTOS!$H$4:$H$803,G3104,MOVIMIENTOS_COMPLEMENTOS!$B$4:$B$803,"INGRESO")+SUMIFS(MOVIMIENTOS_COMPLEMENTOS!$I$4:$I$803,MOVIMIENTOS_COMPLEMENTOS!$C$4:$C$803,A3104,MOVIMIENTOS_COMPLEMENTOS!$D$4:$D$803,B3104,MOVIMIENTOS_COMPLEMENTOS!$E$4:$E$803,C3104,MOVIMIENTOS_COMPLEMENTOS!$G$4:$G$803,E3104,MOVIMIENTOS_COMPLEMENTOS!$H$4:$H$803,G3104,MOVIMIENTOS_COMPLEMENTOS!$B$4:$B$803,"DE CORTE")-SUMIFS(MOVIMIENTOS_COMPLEMENTOS!$I$4:$I$803,MOVIMIENTOS_COMPLEMENTOS!$C$4:$C$803,A3104,MOVIMIENTOS_COMPLEMENTOS!$D$4:$D$803,B3104,MOVIMIENTOS_COMPLEMENTOS!$E$4:$E$803,C3104,MOVIMIENTOS_COMPLEMENTOS!$G$4:$G$803,E3104,MOVIMIENTOS_COMPLEMENTOS!$H$4:$H$803,G3104,MOVIMIENTOS_COMPLEMENTOS!$B$4:$B$803,"SALIDA"),0)</f>
        <v>0</v>
      </c>
      <c r="I3104" s="102">
        <f t="array" ref="I3104">IFERROR(INDEX(PRECIOS_COMPLEMENTOS!$C$4:$F$17,MATCH(B3104&amp;"_"&amp;C3104,PRECIOS_COMPLEMENTOS!$H$4:$H$17,0),IF(OR(G3104="S",G3104="20cm"),1,IF(OR(G3104="M",G3104="25cm"),2,IF(OR(G3104="L",G3104="30cm"),3,IF(OR(G3104="XL",G3104="35cm"),4,0))))),0)</f>
        <v>0.45</v>
      </c>
      <c r="J3104" s="103">
        <f t="shared" si="1"/>
        <v>0</v>
      </c>
      <c r="K3104" s="104" t="str">
        <f>IF(H3104&lt;0,"ERROR",IF(H3104=0,"",IF(H3104&lt;CONFIG!$B$4,"CRÍTICO",IF(H3104&lt;CONFIG!$B$5,"BAJO","OK"))))</f>
        <v/>
      </c>
    </row>
    <row r="3105" ht="15.75" customHeight="1">
      <c r="A3105" s="90" t="str">
        <f>IF(CLIENTES!A7="","",CLIENTES!A7)</f>
        <v/>
      </c>
      <c r="B3105" s="90" t="s">
        <v>333</v>
      </c>
      <c r="C3105" s="91" t="s">
        <v>334</v>
      </c>
      <c r="D3105" s="109" t="s">
        <v>353</v>
      </c>
      <c r="E3105" s="67" t="str">
        <f>COLORES!A17</f>
        <v>Vino</v>
      </c>
      <c r="F3105" s="67" t="str">
        <f>COLORES!B17</f>
        <v>OSCURO</v>
      </c>
      <c r="G3105" s="90" t="s">
        <v>382</v>
      </c>
      <c r="H3105" s="100">
        <f>IFERROR(SUMIFS(MOVIMIENTOS_COMPLEMENTOS!$I$4:$I$803,MOVIMIENTOS_COMPLEMENTOS!$C$4:$C$803,A3105,MOVIMIENTOS_COMPLEMENTOS!$D$4:$D$803,B3105,MOVIMIENTOS_COMPLEMENTOS!$E$4:$E$803,C3105,MOVIMIENTOS_COMPLEMENTOS!$G$4:$G$803,E3105,MOVIMIENTOS_COMPLEMENTOS!$H$4:$H$803,G3105,MOVIMIENTOS_COMPLEMENTOS!$B$4:$B$803,"INGRESO")+SUMIFS(MOVIMIENTOS_COMPLEMENTOS!$I$4:$I$803,MOVIMIENTOS_COMPLEMENTOS!$C$4:$C$803,A3105,MOVIMIENTOS_COMPLEMENTOS!$D$4:$D$803,B3105,MOVIMIENTOS_COMPLEMENTOS!$E$4:$E$803,C3105,MOVIMIENTOS_COMPLEMENTOS!$G$4:$G$803,E3105,MOVIMIENTOS_COMPLEMENTOS!$H$4:$H$803,G3105,MOVIMIENTOS_COMPLEMENTOS!$B$4:$B$803,"DE CORTE")-SUMIFS(MOVIMIENTOS_COMPLEMENTOS!$I$4:$I$803,MOVIMIENTOS_COMPLEMENTOS!$C$4:$C$803,A3105,MOVIMIENTOS_COMPLEMENTOS!$D$4:$D$803,B3105,MOVIMIENTOS_COMPLEMENTOS!$E$4:$E$803,C3105,MOVIMIENTOS_COMPLEMENTOS!$G$4:$G$803,E3105,MOVIMIENTOS_COMPLEMENTOS!$H$4:$H$803,G3105,MOVIMIENTOS_COMPLEMENTOS!$B$4:$B$803,"SALIDA"),0)</f>
        <v>0</v>
      </c>
      <c r="I3105" s="102">
        <f t="array" ref="I3105">IFERROR(INDEX(PRECIOS_COMPLEMENTOS!$C$4:$F$17,MATCH(B3105&amp;"_"&amp;C3105,PRECIOS_COMPLEMENTOS!$H$4:$H$17,0),IF(OR(G3105="S",G3105="20cm"),1,IF(OR(G3105="M",G3105="25cm"),2,IF(OR(G3105="L",G3105="30cm"),3,IF(OR(G3105="XL",G3105="35cm"),4,0))))),0)</f>
        <v>0.45</v>
      </c>
      <c r="J3105" s="103">
        <f t="shared" si="1"/>
        <v>0</v>
      </c>
      <c r="K3105" s="104" t="str">
        <f>IF(H3105&lt;0,"ERROR",IF(H3105=0,"",IF(H3105&lt;CONFIG!$B$4,"CRÍTICO",IF(H3105&lt;CONFIG!$B$5,"BAJO","OK"))))</f>
        <v/>
      </c>
    </row>
    <row r="3106" ht="15.75" customHeight="1">
      <c r="A3106" s="90" t="str">
        <f>IF(CLIENTES!A7="","",CLIENTES!A7)</f>
        <v/>
      </c>
      <c r="B3106" s="90" t="s">
        <v>333</v>
      </c>
      <c r="C3106" s="91" t="s">
        <v>334</v>
      </c>
      <c r="D3106" s="109" t="s">
        <v>353</v>
      </c>
      <c r="E3106" s="67" t="str">
        <f>COLORES!A18</f>
        <v>P. Rosa</v>
      </c>
      <c r="F3106" s="67" t="str">
        <f>COLORES!B18</f>
        <v>CLARO</v>
      </c>
      <c r="G3106" s="90" t="s">
        <v>380</v>
      </c>
      <c r="H3106" s="100">
        <f>IFERROR(SUMIFS(MOVIMIENTOS_COMPLEMENTOS!$I$4:$I$803,MOVIMIENTOS_COMPLEMENTOS!$C$4:$C$803,A3106,MOVIMIENTOS_COMPLEMENTOS!$D$4:$D$803,B3106,MOVIMIENTOS_COMPLEMENTOS!$E$4:$E$803,C3106,MOVIMIENTOS_COMPLEMENTOS!$G$4:$G$803,E3106,MOVIMIENTOS_COMPLEMENTOS!$H$4:$H$803,G3106,MOVIMIENTOS_COMPLEMENTOS!$B$4:$B$803,"INGRESO")+SUMIFS(MOVIMIENTOS_COMPLEMENTOS!$I$4:$I$803,MOVIMIENTOS_COMPLEMENTOS!$C$4:$C$803,A3106,MOVIMIENTOS_COMPLEMENTOS!$D$4:$D$803,B3106,MOVIMIENTOS_COMPLEMENTOS!$E$4:$E$803,C3106,MOVIMIENTOS_COMPLEMENTOS!$G$4:$G$803,E3106,MOVIMIENTOS_COMPLEMENTOS!$H$4:$H$803,G3106,MOVIMIENTOS_COMPLEMENTOS!$B$4:$B$803,"DE CORTE")-SUMIFS(MOVIMIENTOS_COMPLEMENTOS!$I$4:$I$803,MOVIMIENTOS_COMPLEMENTOS!$C$4:$C$803,A3106,MOVIMIENTOS_COMPLEMENTOS!$D$4:$D$803,B3106,MOVIMIENTOS_COMPLEMENTOS!$E$4:$E$803,C3106,MOVIMIENTOS_COMPLEMENTOS!$G$4:$G$803,E3106,MOVIMIENTOS_COMPLEMENTOS!$H$4:$H$803,G3106,MOVIMIENTOS_COMPLEMENTOS!$B$4:$B$803,"SALIDA"),0)</f>
        <v>0</v>
      </c>
      <c r="I3106" s="102">
        <f t="array" ref="I3106">IFERROR(INDEX(PRECIOS_COMPLEMENTOS!$C$4:$F$17,MATCH(B3106&amp;"_"&amp;C3106,PRECIOS_COMPLEMENTOS!$H$4:$H$17,0),IF(OR(G3106="S",G3106="20cm"),1,IF(OR(G3106="M",G3106="25cm"),2,IF(OR(G3106="L",G3106="30cm"),3,IF(OR(G3106="XL",G3106="35cm"),4,0))))),0)</f>
        <v>0.45</v>
      </c>
      <c r="J3106" s="103">
        <f t="shared" si="1"/>
        <v>0</v>
      </c>
      <c r="K3106" s="104" t="str">
        <f>IF(H3106&lt;0,"ERROR",IF(H3106=0,"",IF(H3106&lt;CONFIG!$B$4,"CRÍTICO",IF(H3106&lt;CONFIG!$B$5,"BAJO","OK"))))</f>
        <v/>
      </c>
    </row>
    <row r="3107" ht="15.75" customHeight="1">
      <c r="A3107" s="90" t="str">
        <f>IF(CLIENTES!A7="","",CLIENTES!A7)</f>
        <v/>
      </c>
      <c r="B3107" s="90" t="s">
        <v>333</v>
      </c>
      <c r="C3107" s="91" t="s">
        <v>334</v>
      </c>
      <c r="D3107" s="109" t="s">
        <v>353</v>
      </c>
      <c r="E3107" s="67" t="str">
        <f>COLORES!A18</f>
        <v>P. Rosa</v>
      </c>
      <c r="F3107" s="67" t="str">
        <f>COLORES!B18</f>
        <v>CLARO</v>
      </c>
      <c r="G3107" s="90" t="s">
        <v>381</v>
      </c>
      <c r="H3107" s="100">
        <f>IFERROR(SUMIFS(MOVIMIENTOS_COMPLEMENTOS!$I$4:$I$803,MOVIMIENTOS_COMPLEMENTOS!$C$4:$C$803,A3107,MOVIMIENTOS_COMPLEMENTOS!$D$4:$D$803,B3107,MOVIMIENTOS_COMPLEMENTOS!$E$4:$E$803,C3107,MOVIMIENTOS_COMPLEMENTOS!$G$4:$G$803,E3107,MOVIMIENTOS_COMPLEMENTOS!$H$4:$H$803,G3107,MOVIMIENTOS_COMPLEMENTOS!$B$4:$B$803,"INGRESO")+SUMIFS(MOVIMIENTOS_COMPLEMENTOS!$I$4:$I$803,MOVIMIENTOS_COMPLEMENTOS!$C$4:$C$803,A3107,MOVIMIENTOS_COMPLEMENTOS!$D$4:$D$803,B3107,MOVIMIENTOS_COMPLEMENTOS!$E$4:$E$803,C3107,MOVIMIENTOS_COMPLEMENTOS!$G$4:$G$803,E3107,MOVIMIENTOS_COMPLEMENTOS!$H$4:$H$803,G3107,MOVIMIENTOS_COMPLEMENTOS!$B$4:$B$803,"DE CORTE")-SUMIFS(MOVIMIENTOS_COMPLEMENTOS!$I$4:$I$803,MOVIMIENTOS_COMPLEMENTOS!$C$4:$C$803,A3107,MOVIMIENTOS_COMPLEMENTOS!$D$4:$D$803,B3107,MOVIMIENTOS_COMPLEMENTOS!$E$4:$E$803,C3107,MOVIMIENTOS_COMPLEMENTOS!$G$4:$G$803,E3107,MOVIMIENTOS_COMPLEMENTOS!$H$4:$H$803,G3107,MOVIMIENTOS_COMPLEMENTOS!$B$4:$B$803,"SALIDA"),0)</f>
        <v>0</v>
      </c>
      <c r="I3107" s="102">
        <f t="array" ref="I3107">IFERROR(INDEX(PRECIOS_COMPLEMENTOS!$C$4:$F$17,MATCH(B3107&amp;"_"&amp;C3107,PRECIOS_COMPLEMENTOS!$H$4:$H$17,0),IF(OR(G3107="S",G3107="20cm"),1,IF(OR(G3107="M",G3107="25cm"),2,IF(OR(G3107="L",G3107="30cm"),3,IF(OR(G3107="XL",G3107="35cm"),4,0))))),0)</f>
        <v>0.45</v>
      </c>
      <c r="J3107" s="103">
        <f t="shared" si="1"/>
        <v>0</v>
      </c>
      <c r="K3107" s="104" t="str">
        <f>IF(H3107&lt;0,"ERROR",IF(H3107=0,"",IF(H3107&lt;CONFIG!$B$4,"CRÍTICO",IF(H3107&lt;CONFIG!$B$5,"BAJO","OK"))))</f>
        <v/>
      </c>
    </row>
    <row r="3108" ht="15.75" customHeight="1">
      <c r="A3108" s="90" t="str">
        <f>IF(CLIENTES!A7="","",CLIENTES!A7)</f>
        <v/>
      </c>
      <c r="B3108" s="90" t="s">
        <v>333</v>
      </c>
      <c r="C3108" s="91" t="s">
        <v>334</v>
      </c>
      <c r="D3108" s="109" t="s">
        <v>353</v>
      </c>
      <c r="E3108" s="67" t="str">
        <f>COLORES!A18</f>
        <v>P. Rosa</v>
      </c>
      <c r="F3108" s="67" t="str">
        <f>COLORES!B18</f>
        <v>CLARO</v>
      </c>
      <c r="G3108" s="90" t="s">
        <v>382</v>
      </c>
      <c r="H3108" s="100">
        <f>IFERROR(SUMIFS(MOVIMIENTOS_COMPLEMENTOS!$I$4:$I$803,MOVIMIENTOS_COMPLEMENTOS!$C$4:$C$803,A3108,MOVIMIENTOS_COMPLEMENTOS!$D$4:$D$803,B3108,MOVIMIENTOS_COMPLEMENTOS!$E$4:$E$803,C3108,MOVIMIENTOS_COMPLEMENTOS!$G$4:$G$803,E3108,MOVIMIENTOS_COMPLEMENTOS!$H$4:$H$803,G3108,MOVIMIENTOS_COMPLEMENTOS!$B$4:$B$803,"INGRESO")+SUMIFS(MOVIMIENTOS_COMPLEMENTOS!$I$4:$I$803,MOVIMIENTOS_COMPLEMENTOS!$C$4:$C$803,A3108,MOVIMIENTOS_COMPLEMENTOS!$D$4:$D$803,B3108,MOVIMIENTOS_COMPLEMENTOS!$E$4:$E$803,C3108,MOVIMIENTOS_COMPLEMENTOS!$G$4:$G$803,E3108,MOVIMIENTOS_COMPLEMENTOS!$H$4:$H$803,G3108,MOVIMIENTOS_COMPLEMENTOS!$B$4:$B$803,"DE CORTE")-SUMIFS(MOVIMIENTOS_COMPLEMENTOS!$I$4:$I$803,MOVIMIENTOS_COMPLEMENTOS!$C$4:$C$803,A3108,MOVIMIENTOS_COMPLEMENTOS!$D$4:$D$803,B3108,MOVIMIENTOS_COMPLEMENTOS!$E$4:$E$803,C3108,MOVIMIENTOS_COMPLEMENTOS!$G$4:$G$803,E3108,MOVIMIENTOS_COMPLEMENTOS!$H$4:$H$803,G3108,MOVIMIENTOS_COMPLEMENTOS!$B$4:$B$803,"SALIDA"),0)</f>
        <v>0</v>
      </c>
      <c r="I3108" s="102">
        <f t="array" ref="I3108">IFERROR(INDEX(PRECIOS_COMPLEMENTOS!$C$4:$F$17,MATCH(B3108&amp;"_"&amp;C3108,PRECIOS_COMPLEMENTOS!$H$4:$H$17,0),IF(OR(G3108="S",G3108="20cm"),1,IF(OR(G3108="M",G3108="25cm"),2,IF(OR(G3108="L",G3108="30cm"),3,IF(OR(G3108="XL",G3108="35cm"),4,0))))),0)</f>
        <v>0.45</v>
      </c>
      <c r="J3108" s="103">
        <f t="shared" si="1"/>
        <v>0</v>
      </c>
      <c r="K3108" s="104" t="str">
        <f>IF(H3108&lt;0,"ERROR",IF(H3108=0,"",IF(H3108&lt;CONFIG!$B$4,"CRÍTICO",IF(H3108&lt;CONFIG!$B$5,"BAJO","OK"))))</f>
        <v/>
      </c>
    </row>
    <row r="3109" ht="15.75" customHeight="1">
      <c r="A3109" s="90" t="str">
        <f>IF(CLIENTES!A7="","",CLIENTES!A7)</f>
        <v/>
      </c>
      <c r="B3109" s="90" t="s">
        <v>333</v>
      </c>
      <c r="C3109" s="91" t="s">
        <v>334</v>
      </c>
      <c r="D3109" s="109" t="s">
        <v>353</v>
      </c>
      <c r="E3109" s="67" t="str">
        <f>COLORES!A19</f>
        <v/>
      </c>
      <c r="F3109" s="67" t="str">
        <f>COLORES!B19</f>
        <v/>
      </c>
      <c r="G3109" s="90" t="s">
        <v>380</v>
      </c>
      <c r="H3109" s="100">
        <f>IFERROR(SUMIFS(MOVIMIENTOS_COMPLEMENTOS!$I$4:$I$803,MOVIMIENTOS_COMPLEMENTOS!$C$4:$C$803,A3109,MOVIMIENTOS_COMPLEMENTOS!$D$4:$D$803,B3109,MOVIMIENTOS_COMPLEMENTOS!$E$4:$E$803,C3109,MOVIMIENTOS_COMPLEMENTOS!$G$4:$G$803,E3109,MOVIMIENTOS_COMPLEMENTOS!$H$4:$H$803,G3109,MOVIMIENTOS_COMPLEMENTOS!$B$4:$B$803,"INGRESO")+SUMIFS(MOVIMIENTOS_COMPLEMENTOS!$I$4:$I$803,MOVIMIENTOS_COMPLEMENTOS!$C$4:$C$803,A3109,MOVIMIENTOS_COMPLEMENTOS!$D$4:$D$803,B3109,MOVIMIENTOS_COMPLEMENTOS!$E$4:$E$803,C3109,MOVIMIENTOS_COMPLEMENTOS!$G$4:$G$803,E3109,MOVIMIENTOS_COMPLEMENTOS!$H$4:$H$803,G3109,MOVIMIENTOS_COMPLEMENTOS!$B$4:$B$803,"DE CORTE")-SUMIFS(MOVIMIENTOS_COMPLEMENTOS!$I$4:$I$803,MOVIMIENTOS_COMPLEMENTOS!$C$4:$C$803,A3109,MOVIMIENTOS_COMPLEMENTOS!$D$4:$D$803,B3109,MOVIMIENTOS_COMPLEMENTOS!$E$4:$E$803,C3109,MOVIMIENTOS_COMPLEMENTOS!$G$4:$G$803,E3109,MOVIMIENTOS_COMPLEMENTOS!$H$4:$H$803,G3109,MOVIMIENTOS_COMPLEMENTOS!$B$4:$B$803,"SALIDA"),0)</f>
        <v>0</v>
      </c>
      <c r="I3109" s="102">
        <f t="array" ref="I3109">IFERROR(INDEX(PRECIOS_COMPLEMENTOS!$C$4:$F$17,MATCH(B3109&amp;"_"&amp;C3109,PRECIOS_COMPLEMENTOS!$H$4:$H$17,0),IF(OR(G3109="S",G3109="20cm"),1,IF(OR(G3109="M",G3109="25cm"),2,IF(OR(G3109="L",G3109="30cm"),3,IF(OR(G3109="XL",G3109="35cm"),4,0))))),0)</f>
        <v>0.45</v>
      </c>
      <c r="J3109" s="103">
        <f t="shared" si="1"/>
        <v>0</v>
      </c>
      <c r="K3109" s="104" t="str">
        <f>IF(H3109&lt;0,"ERROR",IF(H3109=0,"",IF(H3109&lt;CONFIG!$B$4,"CRÍTICO",IF(H3109&lt;CONFIG!$B$5,"BAJO","OK"))))</f>
        <v/>
      </c>
    </row>
    <row r="3110" ht="15.75" customHeight="1">
      <c r="A3110" s="90" t="str">
        <f>IF(CLIENTES!A7="","",CLIENTES!A7)</f>
        <v/>
      </c>
      <c r="B3110" s="90" t="s">
        <v>333</v>
      </c>
      <c r="C3110" s="91" t="s">
        <v>334</v>
      </c>
      <c r="D3110" s="109" t="s">
        <v>353</v>
      </c>
      <c r="E3110" s="67" t="str">
        <f>COLORES!A19</f>
        <v/>
      </c>
      <c r="F3110" s="67" t="str">
        <f>COLORES!B19</f>
        <v/>
      </c>
      <c r="G3110" s="90" t="s">
        <v>381</v>
      </c>
      <c r="H3110" s="100">
        <f>IFERROR(SUMIFS(MOVIMIENTOS_COMPLEMENTOS!$I$4:$I$803,MOVIMIENTOS_COMPLEMENTOS!$C$4:$C$803,A3110,MOVIMIENTOS_COMPLEMENTOS!$D$4:$D$803,B3110,MOVIMIENTOS_COMPLEMENTOS!$E$4:$E$803,C3110,MOVIMIENTOS_COMPLEMENTOS!$G$4:$G$803,E3110,MOVIMIENTOS_COMPLEMENTOS!$H$4:$H$803,G3110,MOVIMIENTOS_COMPLEMENTOS!$B$4:$B$803,"INGRESO")+SUMIFS(MOVIMIENTOS_COMPLEMENTOS!$I$4:$I$803,MOVIMIENTOS_COMPLEMENTOS!$C$4:$C$803,A3110,MOVIMIENTOS_COMPLEMENTOS!$D$4:$D$803,B3110,MOVIMIENTOS_COMPLEMENTOS!$E$4:$E$803,C3110,MOVIMIENTOS_COMPLEMENTOS!$G$4:$G$803,E3110,MOVIMIENTOS_COMPLEMENTOS!$H$4:$H$803,G3110,MOVIMIENTOS_COMPLEMENTOS!$B$4:$B$803,"DE CORTE")-SUMIFS(MOVIMIENTOS_COMPLEMENTOS!$I$4:$I$803,MOVIMIENTOS_COMPLEMENTOS!$C$4:$C$803,A3110,MOVIMIENTOS_COMPLEMENTOS!$D$4:$D$803,B3110,MOVIMIENTOS_COMPLEMENTOS!$E$4:$E$803,C3110,MOVIMIENTOS_COMPLEMENTOS!$G$4:$G$803,E3110,MOVIMIENTOS_COMPLEMENTOS!$H$4:$H$803,G3110,MOVIMIENTOS_COMPLEMENTOS!$B$4:$B$803,"SALIDA"),0)</f>
        <v>0</v>
      </c>
      <c r="I3110" s="102">
        <f t="array" ref="I3110">IFERROR(INDEX(PRECIOS_COMPLEMENTOS!$C$4:$F$17,MATCH(B3110&amp;"_"&amp;C3110,PRECIOS_COMPLEMENTOS!$H$4:$H$17,0),IF(OR(G3110="S",G3110="20cm"),1,IF(OR(G3110="M",G3110="25cm"),2,IF(OR(G3110="L",G3110="30cm"),3,IF(OR(G3110="XL",G3110="35cm"),4,0))))),0)</f>
        <v>0.45</v>
      </c>
      <c r="J3110" s="103">
        <f t="shared" si="1"/>
        <v>0</v>
      </c>
      <c r="K3110" s="104" t="str">
        <f>IF(H3110&lt;0,"ERROR",IF(H3110=0,"",IF(H3110&lt;CONFIG!$B$4,"CRÍTICO",IF(H3110&lt;CONFIG!$B$5,"BAJO","OK"))))</f>
        <v/>
      </c>
    </row>
    <row r="3111" ht="15.75" customHeight="1">
      <c r="A3111" s="90" t="str">
        <f>IF(CLIENTES!A7="","",CLIENTES!A7)</f>
        <v/>
      </c>
      <c r="B3111" s="90" t="s">
        <v>333</v>
      </c>
      <c r="C3111" s="91" t="s">
        <v>334</v>
      </c>
      <c r="D3111" s="109" t="s">
        <v>353</v>
      </c>
      <c r="E3111" s="67" t="str">
        <f>COLORES!A19</f>
        <v/>
      </c>
      <c r="F3111" s="67" t="str">
        <f>COLORES!B19</f>
        <v/>
      </c>
      <c r="G3111" s="90" t="s">
        <v>382</v>
      </c>
      <c r="H3111" s="100">
        <f>IFERROR(SUMIFS(MOVIMIENTOS_COMPLEMENTOS!$I$4:$I$803,MOVIMIENTOS_COMPLEMENTOS!$C$4:$C$803,A3111,MOVIMIENTOS_COMPLEMENTOS!$D$4:$D$803,B3111,MOVIMIENTOS_COMPLEMENTOS!$E$4:$E$803,C3111,MOVIMIENTOS_COMPLEMENTOS!$G$4:$G$803,E3111,MOVIMIENTOS_COMPLEMENTOS!$H$4:$H$803,G3111,MOVIMIENTOS_COMPLEMENTOS!$B$4:$B$803,"INGRESO")+SUMIFS(MOVIMIENTOS_COMPLEMENTOS!$I$4:$I$803,MOVIMIENTOS_COMPLEMENTOS!$C$4:$C$803,A3111,MOVIMIENTOS_COMPLEMENTOS!$D$4:$D$803,B3111,MOVIMIENTOS_COMPLEMENTOS!$E$4:$E$803,C3111,MOVIMIENTOS_COMPLEMENTOS!$G$4:$G$803,E3111,MOVIMIENTOS_COMPLEMENTOS!$H$4:$H$803,G3111,MOVIMIENTOS_COMPLEMENTOS!$B$4:$B$803,"DE CORTE")-SUMIFS(MOVIMIENTOS_COMPLEMENTOS!$I$4:$I$803,MOVIMIENTOS_COMPLEMENTOS!$C$4:$C$803,A3111,MOVIMIENTOS_COMPLEMENTOS!$D$4:$D$803,B3111,MOVIMIENTOS_COMPLEMENTOS!$E$4:$E$803,C3111,MOVIMIENTOS_COMPLEMENTOS!$G$4:$G$803,E3111,MOVIMIENTOS_COMPLEMENTOS!$H$4:$H$803,G3111,MOVIMIENTOS_COMPLEMENTOS!$B$4:$B$803,"SALIDA"),0)</f>
        <v>0</v>
      </c>
      <c r="I3111" s="102">
        <f t="array" ref="I3111">IFERROR(INDEX(PRECIOS_COMPLEMENTOS!$C$4:$F$17,MATCH(B3111&amp;"_"&amp;C3111,PRECIOS_COMPLEMENTOS!$H$4:$H$17,0),IF(OR(G3111="S",G3111="20cm"),1,IF(OR(G3111="M",G3111="25cm"),2,IF(OR(G3111="L",G3111="30cm"),3,IF(OR(G3111="XL",G3111="35cm"),4,0))))),0)</f>
        <v>0.45</v>
      </c>
      <c r="J3111" s="103">
        <f t="shared" si="1"/>
        <v>0</v>
      </c>
      <c r="K3111" s="104" t="str">
        <f>IF(H3111&lt;0,"ERROR",IF(H3111=0,"",IF(H3111&lt;CONFIG!$B$4,"CRÍTICO",IF(H3111&lt;CONFIG!$B$5,"BAJO","OK"))))</f>
        <v/>
      </c>
    </row>
    <row r="3112" ht="15.75" customHeight="1">
      <c r="A3112" s="90" t="str">
        <f>IF(CLIENTES!A7="","",CLIENTES!A7)</f>
        <v/>
      </c>
      <c r="B3112" s="90" t="s">
        <v>333</v>
      </c>
      <c r="C3112" s="91" t="s">
        <v>334</v>
      </c>
      <c r="D3112" s="109" t="s">
        <v>353</v>
      </c>
      <c r="E3112" s="67" t="str">
        <f>COLORES!A20</f>
        <v/>
      </c>
      <c r="F3112" s="67" t="str">
        <f>COLORES!B20</f>
        <v/>
      </c>
      <c r="G3112" s="90" t="s">
        <v>380</v>
      </c>
      <c r="H3112" s="100">
        <f>IFERROR(SUMIFS(MOVIMIENTOS_COMPLEMENTOS!$I$4:$I$803,MOVIMIENTOS_COMPLEMENTOS!$C$4:$C$803,A3112,MOVIMIENTOS_COMPLEMENTOS!$D$4:$D$803,B3112,MOVIMIENTOS_COMPLEMENTOS!$E$4:$E$803,C3112,MOVIMIENTOS_COMPLEMENTOS!$G$4:$G$803,E3112,MOVIMIENTOS_COMPLEMENTOS!$H$4:$H$803,G3112,MOVIMIENTOS_COMPLEMENTOS!$B$4:$B$803,"INGRESO")+SUMIFS(MOVIMIENTOS_COMPLEMENTOS!$I$4:$I$803,MOVIMIENTOS_COMPLEMENTOS!$C$4:$C$803,A3112,MOVIMIENTOS_COMPLEMENTOS!$D$4:$D$803,B3112,MOVIMIENTOS_COMPLEMENTOS!$E$4:$E$803,C3112,MOVIMIENTOS_COMPLEMENTOS!$G$4:$G$803,E3112,MOVIMIENTOS_COMPLEMENTOS!$H$4:$H$803,G3112,MOVIMIENTOS_COMPLEMENTOS!$B$4:$B$803,"DE CORTE")-SUMIFS(MOVIMIENTOS_COMPLEMENTOS!$I$4:$I$803,MOVIMIENTOS_COMPLEMENTOS!$C$4:$C$803,A3112,MOVIMIENTOS_COMPLEMENTOS!$D$4:$D$803,B3112,MOVIMIENTOS_COMPLEMENTOS!$E$4:$E$803,C3112,MOVIMIENTOS_COMPLEMENTOS!$G$4:$G$803,E3112,MOVIMIENTOS_COMPLEMENTOS!$H$4:$H$803,G3112,MOVIMIENTOS_COMPLEMENTOS!$B$4:$B$803,"SALIDA"),0)</f>
        <v>0</v>
      </c>
      <c r="I3112" s="102">
        <f t="array" ref="I3112">IFERROR(INDEX(PRECIOS_COMPLEMENTOS!$C$4:$F$17,MATCH(B3112&amp;"_"&amp;C3112,PRECIOS_COMPLEMENTOS!$H$4:$H$17,0),IF(OR(G3112="S",G3112="20cm"),1,IF(OR(G3112="M",G3112="25cm"),2,IF(OR(G3112="L",G3112="30cm"),3,IF(OR(G3112="XL",G3112="35cm"),4,0))))),0)</f>
        <v>0.45</v>
      </c>
      <c r="J3112" s="103">
        <f t="shared" si="1"/>
        <v>0</v>
      </c>
      <c r="K3112" s="104" t="str">
        <f>IF(H3112&lt;0,"ERROR",IF(H3112=0,"",IF(H3112&lt;CONFIG!$B$4,"CRÍTICO",IF(H3112&lt;CONFIG!$B$5,"BAJO","OK"))))</f>
        <v/>
      </c>
    </row>
    <row r="3113" ht="15.75" customHeight="1">
      <c r="A3113" s="90" t="str">
        <f>IF(CLIENTES!A7="","",CLIENTES!A7)</f>
        <v/>
      </c>
      <c r="B3113" s="90" t="s">
        <v>333</v>
      </c>
      <c r="C3113" s="91" t="s">
        <v>334</v>
      </c>
      <c r="D3113" s="109" t="s">
        <v>353</v>
      </c>
      <c r="E3113" s="67" t="str">
        <f>COLORES!A20</f>
        <v/>
      </c>
      <c r="F3113" s="67" t="str">
        <f>COLORES!B20</f>
        <v/>
      </c>
      <c r="G3113" s="90" t="s">
        <v>381</v>
      </c>
      <c r="H3113" s="100">
        <f>IFERROR(SUMIFS(MOVIMIENTOS_COMPLEMENTOS!$I$4:$I$803,MOVIMIENTOS_COMPLEMENTOS!$C$4:$C$803,A3113,MOVIMIENTOS_COMPLEMENTOS!$D$4:$D$803,B3113,MOVIMIENTOS_COMPLEMENTOS!$E$4:$E$803,C3113,MOVIMIENTOS_COMPLEMENTOS!$G$4:$G$803,E3113,MOVIMIENTOS_COMPLEMENTOS!$H$4:$H$803,G3113,MOVIMIENTOS_COMPLEMENTOS!$B$4:$B$803,"INGRESO")+SUMIFS(MOVIMIENTOS_COMPLEMENTOS!$I$4:$I$803,MOVIMIENTOS_COMPLEMENTOS!$C$4:$C$803,A3113,MOVIMIENTOS_COMPLEMENTOS!$D$4:$D$803,B3113,MOVIMIENTOS_COMPLEMENTOS!$E$4:$E$803,C3113,MOVIMIENTOS_COMPLEMENTOS!$G$4:$G$803,E3113,MOVIMIENTOS_COMPLEMENTOS!$H$4:$H$803,G3113,MOVIMIENTOS_COMPLEMENTOS!$B$4:$B$803,"DE CORTE")-SUMIFS(MOVIMIENTOS_COMPLEMENTOS!$I$4:$I$803,MOVIMIENTOS_COMPLEMENTOS!$C$4:$C$803,A3113,MOVIMIENTOS_COMPLEMENTOS!$D$4:$D$803,B3113,MOVIMIENTOS_COMPLEMENTOS!$E$4:$E$803,C3113,MOVIMIENTOS_COMPLEMENTOS!$G$4:$G$803,E3113,MOVIMIENTOS_COMPLEMENTOS!$H$4:$H$803,G3113,MOVIMIENTOS_COMPLEMENTOS!$B$4:$B$803,"SALIDA"),0)</f>
        <v>0</v>
      </c>
      <c r="I3113" s="102">
        <f t="array" ref="I3113">IFERROR(INDEX(PRECIOS_COMPLEMENTOS!$C$4:$F$17,MATCH(B3113&amp;"_"&amp;C3113,PRECIOS_COMPLEMENTOS!$H$4:$H$17,0),IF(OR(G3113="S",G3113="20cm"),1,IF(OR(G3113="M",G3113="25cm"),2,IF(OR(G3113="L",G3113="30cm"),3,IF(OR(G3113="XL",G3113="35cm"),4,0))))),0)</f>
        <v>0.45</v>
      </c>
      <c r="J3113" s="103">
        <f t="shared" si="1"/>
        <v>0</v>
      </c>
      <c r="K3113" s="104" t="str">
        <f>IF(H3113&lt;0,"ERROR",IF(H3113=0,"",IF(H3113&lt;CONFIG!$B$4,"CRÍTICO",IF(H3113&lt;CONFIG!$B$5,"BAJO","OK"))))</f>
        <v/>
      </c>
    </row>
    <row r="3114" ht="15.75" customHeight="1">
      <c r="A3114" s="90" t="str">
        <f>IF(CLIENTES!A7="","",CLIENTES!A7)</f>
        <v/>
      </c>
      <c r="B3114" s="90" t="s">
        <v>333</v>
      </c>
      <c r="C3114" s="91" t="s">
        <v>334</v>
      </c>
      <c r="D3114" s="109" t="s">
        <v>353</v>
      </c>
      <c r="E3114" s="67" t="str">
        <f>COLORES!A20</f>
        <v/>
      </c>
      <c r="F3114" s="67" t="str">
        <f>COLORES!B20</f>
        <v/>
      </c>
      <c r="G3114" s="90" t="s">
        <v>382</v>
      </c>
      <c r="H3114" s="100">
        <f>IFERROR(SUMIFS(MOVIMIENTOS_COMPLEMENTOS!$I$4:$I$803,MOVIMIENTOS_COMPLEMENTOS!$C$4:$C$803,A3114,MOVIMIENTOS_COMPLEMENTOS!$D$4:$D$803,B3114,MOVIMIENTOS_COMPLEMENTOS!$E$4:$E$803,C3114,MOVIMIENTOS_COMPLEMENTOS!$G$4:$G$803,E3114,MOVIMIENTOS_COMPLEMENTOS!$H$4:$H$803,G3114,MOVIMIENTOS_COMPLEMENTOS!$B$4:$B$803,"INGRESO")+SUMIFS(MOVIMIENTOS_COMPLEMENTOS!$I$4:$I$803,MOVIMIENTOS_COMPLEMENTOS!$C$4:$C$803,A3114,MOVIMIENTOS_COMPLEMENTOS!$D$4:$D$803,B3114,MOVIMIENTOS_COMPLEMENTOS!$E$4:$E$803,C3114,MOVIMIENTOS_COMPLEMENTOS!$G$4:$G$803,E3114,MOVIMIENTOS_COMPLEMENTOS!$H$4:$H$803,G3114,MOVIMIENTOS_COMPLEMENTOS!$B$4:$B$803,"DE CORTE")-SUMIFS(MOVIMIENTOS_COMPLEMENTOS!$I$4:$I$803,MOVIMIENTOS_COMPLEMENTOS!$C$4:$C$803,A3114,MOVIMIENTOS_COMPLEMENTOS!$D$4:$D$803,B3114,MOVIMIENTOS_COMPLEMENTOS!$E$4:$E$803,C3114,MOVIMIENTOS_COMPLEMENTOS!$G$4:$G$803,E3114,MOVIMIENTOS_COMPLEMENTOS!$H$4:$H$803,G3114,MOVIMIENTOS_COMPLEMENTOS!$B$4:$B$803,"SALIDA"),0)</f>
        <v>0</v>
      </c>
      <c r="I3114" s="102">
        <f t="array" ref="I3114">IFERROR(INDEX(PRECIOS_COMPLEMENTOS!$C$4:$F$17,MATCH(B3114&amp;"_"&amp;C3114,PRECIOS_COMPLEMENTOS!$H$4:$H$17,0),IF(OR(G3114="S",G3114="20cm"),1,IF(OR(G3114="M",G3114="25cm"),2,IF(OR(G3114="L",G3114="30cm"),3,IF(OR(G3114="XL",G3114="35cm"),4,0))))),0)</f>
        <v>0.45</v>
      </c>
      <c r="J3114" s="103">
        <f t="shared" si="1"/>
        <v>0</v>
      </c>
      <c r="K3114" s="104" t="str">
        <f>IF(H3114&lt;0,"ERROR",IF(H3114=0,"",IF(H3114&lt;CONFIG!$B$4,"CRÍTICO",IF(H3114&lt;CONFIG!$B$5,"BAJO","OK"))))</f>
        <v/>
      </c>
    </row>
    <row r="3115" ht="15.75" customHeight="1">
      <c r="A3115" s="90" t="str">
        <f>IF(CLIENTES!A7="","",CLIENTES!A7)</f>
        <v/>
      </c>
      <c r="B3115" s="90" t="s">
        <v>333</v>
      </c>
      <c r="C3115" s="91" t="s">
        <v>334</v>
      </c>
      <c r="D3115" s="109" t="s">
        <v>353</v>
      </c>
      <c r="E3115" s="67" t="str">
        <f>COLORES!A21</f>
        <v/>
      </c>
      <c r="F3115" s="67" t="str">
        <f>COLORES!B21</f>
        <v/>
      </c>
      <c r="G3115" s="90" t="s">
        <v>380</v>
      </c>
      <c r="H3115" s="100">
        <f>IFERROR(SUMIFS(MOVIMIENTOS_COMPLEMENTOS!$I$4:$I$803,MOVIMIENTOS_COMPLEMENTOS!$C$4:$C$803,A3115,MOVIMIENTOS_COMPLEMENTOS!$D$4:$D$803,B3115,MOVIMIENTOS_COMPLEMENTOS!$E$4:$E$803,C3115,MOVIMIENTOS_COMPLEMENTOS!$G$4:$G$803,E3115,MOVIMIENTOS_COMPLEMENTOS!$H$4:$H$803,G3115,MOVIMIENTOS_COMPLEMENTOS!$B$4:$B$803,"INGRESO")+SUMIFS(MOVIMIENTOS_COMPLEMENTOS!$I$4:$I$803,MOVIMIENTOS_COMPLEMENTOS!$C$4:$C$803,A3115,MOVIMIENTOS_COMPLEMENTOS!$D$4:$D$803,B3115,MOVIMIENTOS_COMPLEMENTOS!$E$4:$E$803,C3115,MOVIMIENTOS_COMPLEMENTOS!$G$4:$G$803,E3115,MOVIMIENTOS_COMPLEMENTOS!$H$4:$H$803,G3115,MOVIMIENTOS_COMPLEMENTOS!$B$4:$B$803,"DE CORTE")-SUMIFS(MOVIMIENTOS_COMPLEMENTOS!$I$4:$I$803,MOVIMIENTOS_COMPLEMENTOS!$C$4:$C$803,A3115,MOVIMIENTOS_COMPLEMENTOS!$D$4:$D$803,B3115,MOVIMIENTOS_COMPLEMENTOS!$E$4:$E$803,C3115,MOVIMIENTOS_COMPLEMENTOS!$G$4:$G$803,E3115,MOVIMIENTOS_COMPLEMENTOS!$H$4:$H$803,G3115,MOVIMIENTOS_COMPLEMENTOS!$B$4:$B$803,"SALIDA"),0)</f>
        <v>0</v>
      </c>
      <c r="I3115" s="102">
        <f t="array" ref="I3115">IFERROR(INDEX(PRECIOS_COMPLEMENTOS!$C$4:$F$17,MATCH(B3115&amp;"_"&amp;C3115,PRECIOS_COMPLEMENTOS!$H$4:$H$17,0),IF(OR(G3115="S",G3115="20cm"),1,IF(OR(G3115="M",G3115="25cm"),2,IF(OR(G3115="L",G3115="30cm"),3,IF(OR(G3115="XL",G3115="35cm"),4,0))))),0)</f>
        <v>0.45</v>
      </c>
      <c r="J3115" s="103">
        <f t="shared" si="1"/>
        <v>0</v>
      </c>
      <c r="K3115" s="104" t="str">
        <f>IF(H3115&lt;0,"ERROR",IF(H3115=0,"",IF(H3115&lt;CONFIG!$B$4,"CRÍTICO",IF(H3115&lt;CONFIG!$B$5,"BAJO","OK"))))</f>
        <v/>
      </c>
    </row>
    <row r="3116" ht="15.75" customHeight="1">
      <c r="A3116" s="90" t="str">
        <f>IF(CLIENTES!A7="","",CLIENTES!A7)</f>
        <v/>
      </c>
      <c r="B3116" s="90" t="s">
        <v>333</v>
      </c>
      <c r="C3116" s="91" t="s">
        <v>334</v>
      </c>
      <c r="D3116" s="109" t="s">
        <v>353</v>
      </c>
      <c r="E3116" s="67" t="str">
        <f>COLORES!A21</f>
        <v/>
      </c>
      <c r="F3116" s="67" t="str">
        <f>COLORES!B21</f>
        <v/>
      </c>
      <c r="G3116" s="90" t="s">
        <v>381</v>
      </c>
      <c r="H3116" s="100">
        <f>IFERROR(SUMIFS(MOVIMIENTOS_COMPLEMENTOS!$I$4:$I$803,MOVIMIENTOS_COMPLEMENTOS!$C$4:$C$803,A3116,MOVIMIENTOS_COMPLEMENTOS!$D$4:$D$803,B3116,MOVIMIENTOS_COMPLEMENTOS!$E$4:$E$803,C3116,MOVIMIENTOS_COMPLEMENTOS!$G$4:$G$803,E3116,MOVIMIENTOS_COMPLEMENTOS!$H$4:$H$803,G3116,MOVIMIENTOS_COMPLEMENTOS!$B$4:$B$803,"INGRESO")+SUMIFS(MOVIMIENTOS_COMPLEMENTOS!$I$4:$I$803,MOVIMIENTOS_COMPLEMENTOS!$C$4:$C$803,A3116,MOVIMIENTOS_COMPLEMENTOS!$D$4:$D$803,B3116,MOVIMIENTOS_COMPLEMENTOS!$E$4:$E$803,C3116,MOVIMIENTOS_COMPLEMENTOS!$G$4:$G$803,E3116,MOVIMIENTOS_COMPLEMENTOS!$H$4:$H$803,G3116,MOVIMIENTOS_COMPLEMENTOS!$B$4:$B$803,"DE CORTE")-SUMIFS(MOVIMIENTOS_COMPLEMENTOS!$I$4:$I$803,MOVIMIENTOS_COMPLEMENTOS!$C$4:$C$803,A3116,MOVIMIENTOS_COMPLEMENTOS!$D$4:$D$803,B3116,MOVIMIENTOS_COMPLEMENTOS!$E$4:$E$803,C3116,MOVIMIENTOS_COMPLEMENTOS!$G$4:$G$803,E3116,MOVIMIENTOS_COMPLEMENTOS!$H$4:$H$803,G3116,MOVIMIENTOS_COMPLEMENTOS!$B$4:$B$803,"SALIDA"),0)</f>
        <v>0</v>
      </c>
      <c r="I3116" s="102">
        <f t="array" ref="I3116">IFERROR(INDEX(PRECIOS_COMPLEMENTOS!$C$4:$F$17,MATCH(B3116&amp;"_"&amp;C3116,PRECIOS_COMPLEMENTOS!$H$4:$H$17,0),IF(OR(G3116="S",G3116="20cm"),1,IF(OR(G3116="M",G3116="25cm"),2,IF(OR(G3116="L",G3116="30cm"),3,IF(OR(G3116="XL",G3116="35cm"),4,0))))),0)</f>
        <v>0.45</v>
      </c>
      <c r="J3116" s="103">
        <f t="shared" si="1"/>
        <v>0</v>
      </c>
      <c r="K3116" s="104" t="str">
        <f>IF(H3116&lt;0,"ERROR",IF(H3116=0,"",IF(H3116&lt;CONFIG!$B$4,"CRÍTICO",IF(H3116&lt;CONFIG!$B$5,"BAJO","OK"))))</f>
        <v/>
      </c>
    </row>
    <row r="3117" ht="15.75" customHeight="1">
      <c r="A3117" s="90" t="str">
        <f>IF(CLIENTES!A7="","",CLIENTES!A7)</f>
        <v/>
      </c>
      <c r="B3117" s="90" t="s">
        <v>333</v>
      </c>
      <c r="C3117" s="91" t="s">
        <v>334</v>
      </c>
      <c r="D3117" s="109" t="s">
        <v>353</v>
      </c>
      <c r="E3117" s="67" t="str">
        <f>COLORES!A21</f>
        <v/>
      </c>
      <c r="F3117" s="67" t="str">
        <f>COLORES!B21</f>
        <v/>
      </c>
      <c r="G3117" s="90" t="s">
        <v>382</v>
      </c>
      <c r="H3117" s="100">
        <f>IFERROR(SUMIFS(MOVIMIENTOS_COMPLEMENTOS!$I$4:$I$803,MOVIMIENTOS_COMPLEMENTOS!$C$4:$C$803,A3117,MOVIMIENTOS_COMPLEMENTOS!$D$4:$D$803,B3117,MOVIMIENTOS_COMPLEMENTOS!$E$4:$E$803,C3117,MOVIMIENTOS_COMPLEMENTOS!$G$4:$G$803,E3117,MOVIMIENTOS_COMPLEMENTOS!$H$4:$H$803,G3117,MOVIMIENTOS_COMPLEMENTOS!$B$4:$B$803,"INGRESO")+SUMIFS(MOVIMIENTOS_COMPLEMENTOS!$I$4:$I$803,MOVIMIENTOS_COMPLEMENTOS!$C$4:$C$803,A3117,MOVIMIENTOS_COMPLEMENTOS!$D$4:$D$803,B3117,MOVIMIENTOS_COMPLEMENTOS!$E$4:$E$803,C3117,MOVIMIENTOS_COMPLEMENTOS!$G$4:$G$803,E3117,MOVIMIENTOS_COMPLEMENTOS!$H$4:$H$803,G3117,MOVIMIENTOS_COMPLEMENTOS!$B$4:$B$803,"DE CORTE")-SUMIFS(MOVIMIENTOS_COMPLEMENTOS!$I$4:$I$803,MOVIMIENTOS_COMPLEMENTOS!$C$4:$C$803,A3117,MOVIMIENTOS_COMPLEMENTOS!$D$4:$D$803,B3117,MOVIMIENTOS_COMPLEMENTOS!$E$4:$E$803,C3117,MOVIMIENTOS_COMPLEMENTOS!$G$4:$G$803,E3117,MOVIMIENTOS_COMPLEMENTOS!$H$4:$H$803,G3117,MOVIMIENTOS_COMPLEMENTOS!$B$4:$B$803,"SALIDA"),0)</f>
        <v>0</v>
      </c>
      <c r="I3117" s="102">
        <f t="array" ref="I3117">IFERROR(INDEX(PRECIOS_COMPLEMENTOS!$C$4:$F$17,MATCH(B3117&amp;"_"&amp;C3117,PRECIOS_COMPLEMENTOS!$H$4:$H$17,0),IF(OR(G3117="S",G3117="20cm"),1,IF(OR(G3117="M",G3117="25cm"),2,IF(OR(G3117="L",G3117="30cm"),3,IF(OR(G3117="XL",G3117="35cm"),4,0))))),0)</f>
        <v>0.45</v>
      </c>
      <c r="J3117" s="103">
        <f t="shared" si="1"/>
        <v>0</v>
      </c>
      <c r="K3117" s="104" t="str">
        <f>IF(H3117&lt;0,"ERROR",IF(H3117=0,"",IF(H3117&lt;CONFIG!$B$4,"CRÍTICO",IF(H3117&lt;CONFIG!$B$5,"BAJO","OK"))))</f>
        <v/>
      </c>
    </row>
    <row r="3118" ht="15.75" customHeight="1">
      <c r="A3118" s="90" t="str">
        <f>IF(CLIENTES!A7="","",CLIENTES!A7)</f>
        <v/>
      </c>
      <c r="B3118" s="90" t="s">
        <v>333</v>
      </c>
      <c r="C3118" s="91" t="s">
        <v>334</v>
      </c>
      <c r="D3118" s="109" t="s">
        <v>353</v>
      </c>
      <c r="E3118" s="67" t="str">
        <f>COLORES!A22</f>
        <v/>
      </c>
      <c r="F3118" s="67" t="str">
        <f>COLORES!B22</f>
        <v/>
      </c>
      <c r="G3118" s="90" t="s">
        <v>380</v>
      </c>
      <c r="H3118" s="100">
        <f>IFERROR(SUMIFS(MOVIMIENTOS_COMPLEMENTOS!$I$4:$I$803,MOVIMIENTOS_COMPLEMENTOS!$C$4:$C$803,A3118,MOVIMIENTOS_COMPLEMENTOS!$D$4:$D$803,B3118,MOVIMIENTOS_COMPLEMENTOS!$E$4:$E$803,C3118,MOVIMIENTOS_COMPLEMENTOS!$G$4:$G$803,E3118,MOVIMIENTOS_COMPLEMENTOS!$H$4:$H$803,G3118,MOVIMIENTOS_COMPLEMENTOS!$B$4:$B$803,"INGRESO")+SUMIFS(MOVIMIENTOS_COMPLEMENTOS!$I$4:$I$803,MOVIMIENTOS_COMPLEMENTOS!$C$4:$C$803,A3118,MOVIMIENTOS_COMPLEMENTOS!$D$4:$D$803,B3118,MOVIMIENTOS_COMPLEMENTOS!$E$4:$E$803,C3118,MOVIMIENTOS_COMPLEMENTOS!$G$4:$G$803,E3118,MOVIMIENTOS_COMPLEMENTOS!$H$4:$H$803,G3118,MOVIMIENTOS_COMPLEMENTOS!$B$4:$B$803,"DE CORTE")-SUMIFS(MOVIMIENTOS_COMPLEMENTOS!$I$4:$I$803,MOVIMIENTOS_COMPLEMENTOS!$C$4:$C$803,A3118,MOVIMIENTOS_COMPLEMENTOS!$D$4:$D$803,B3118,MOVIMIENTOS_COMPLEMENTOS!$E$4:$E$803,C3118,MOVIMIENTOS_COMPLEMENTOS!$G$4:$G$803,E3118,MOVIMIENTOS_COMPLEMENTOS!$H$4:$H$803,G3118,MOVIMIENTOS_COMPLEMENTOS!$B$4:$B$803,"SALIDA"),0)</f>
        <v>0</v>
      </c>
      <c r="I3118" s="102">
        <f t="array" ref="I3118">IFERROR(INDEX(PRECIOS_COMPLEMENTOS!$C$4:$F$17,MATCH(B3118&amp;"_"&amp;C3118,PRECIOS_COMPLEMENTOS!$H$4:$H$17,0),IF(OR(G3118="S",G3118="20cm"),1,IF(OR(G3118="M",G3118="25cm"),2,IF(OR(G3118="L",G3118="30cm"),3,IF(OR(G3118="XL",G3118="35cm"),4,0))))),0)</f>
        <v>0.45</v>
      </c>
      <c r="J3118" s="103">
        <f t="shared" si="1"/>
        <v>0</v>
      </c>
      <c r="K3118" s="104" t="str">
        <f>IF(H3118&lt;0,"ERROR",IF(H3118=0,"",IF(H3118&lt;CONFIG!$B$4,"CRÍTICO",IF(H3118&lt;CONFIG!$B$5,"BAJO","OK"))))</f>
        <v/>
      </c>
    </row>
    <row r="3119" ht="15.75" customHeight="1">
      <c r="A3119" s="90" t="str">
        <f>IF(CLIENTES!A7="","",CLIENTES!A7)</f>
        <v/>
      </c>
      <c r="B3119" s="90" t="s">
        <v>333</v>
      </c>
      <c r="C3119" s="91" t="s">
        <v>334</v>
      </c>
      <c r="D3119" s="109" t="s">
        <v>353</v>
      </c>
      <c r="E3119" s="67" t="str">
        <f>COLORES!A22</f>
        <v/>
      </c>
      <c r="F3119" s="67" t="str">
        <f>COLORES!B22</f>
        <v/>
      </c>
      <c r="G3119" s="90" t="s">
        <v>381</v>
      </c>
      <c r="H3119" s="100">
        <f>IFERROR(SUMIFS(MOVIMIENTOS_COMPLEMENTOS!$I$4:$I$803,MOVIMIENTOS_COMPLEMENTOS!$C$4:$C$803,A3119,MOVIMIENTOS_COMPLEMENTOS!$D$4:$D$803,B3119,MOVIMIENTOS_COMPLEMENTOS!$E$4:$E$803,C3119,MOVIMIENTOS_COMPLEMENTOS!$G$4:$G$803,E3119,MOVIMIENTOS_COMPLEMENTOS!$H$4:$H$803,G3119,MOVIMIENTOS_COMPLEMENTOS!$B$4:$B$803,"INGRESO")+SUMIFS(MOVIMIENTOS_COMPLEMENTOS!$I$4:$I$803,MOVIMIENTOS_COMPLEMENTOS!$C$4:$C$803,A3119,MOVIMIENTOS_COMPLEMENTOS!$D$4:$D$803,B3119,MOVIMIENTOS_COMPLEMENTOS!$E$4:$E$803,C3119,MOVIMIENTOS_COMPLEMENTOS!$G$4:$G$803,E3119,MOVIMIENTOS_COMPLEMENTOS!$H$4:$H$803,G3119,MOVIMIENTOS_COMPLEMENTOS!$B$4:$B$803,"DE CORTE")-SUMIFS(MOVIMIENTOS_COMPLEMENTOS!$I$4:$I$803,MOVIMIENTOS_COMPLEMENTOS!$C$4:$C$803,A3119,MOVIMIENTOS_COMPLEMENTOS!$D$4:$D$803,B3119,MOVIMIENTOS_COMPLEMENTOS!$E$4:$E$803,C3119,MOVIMIENTOS_COMPLEMENTOS!$G$4:$G$803,E3119,MOVIMIENTOS_COMPLEMENTOS!$H$4:$H$803,G3119,MOVIMIENTOS_COMPLEMENTOS!$B$4:$B$803,"SALIDA"),0)</f>
        <v>0</v>
      </c>
      <c r="I3119" s="102">
        <f t="array" ref="I3119">IFERROR(INDEX(PRECIOS_COMPLEMENTOS!$C$4:$F$17,MATCH(B3119&amp;"_"&amp;C3119,PRECIOS_COMPLEMENTOS!$H$4:$H$17,0),IF(OR(G3119="S",G3119="20cm"),1,IF(OR(G3119="M",G3119="25cm"),2,IF(OR(G3119="L",G3119="30cm"),3,IF(OR(G3119="XL",G3119="35cm"),4,0))))),0)</f>
        <v>0.45</v>
      </c>
      <c r="J3119" s="103">
        <f t="shared" si="1"/>
        <v>0</v>
      </c>
      <c r="K3119" s="104" t="str">
        <f>IF(H3119&lt;0,"ERROR",IF(H3119=0,"",IF(H3119&lt;CONFIG!$B$4,"CRÍTICO",IF(H3119&lt;CONFIG!$B$5,"BAJO","OK"))))</f>
        <v/>
      </c>
    </row>
    <row r="3120" ht="15.75" customHeight="1">
      <c r="A3120" s="90" t="str">
        <f>IF(CLIENTES!A7="","",CLIENTES!A7)</f>
        <v/>
      </c>
      <c r="B3120" s="90" t="s">
        <v>333</v>
      </c>
      <c r="C3120" s="91" t="s">
        <v>334</v>
      </c>
      <c r="D3120" s="109" t="s">
        <v>353</v>
      </c>
      <c r="E3120" s="67" t="str">
        <f>COLORES!A22</f>
        <v/>
      </c>
      <c r="F3120" s="67" t="str">
        <f>COLORES!B22</f>
        <v/>
      </c>
      <c r="G3120" s="90" t="s">
        <v>382</v>
      </c>
      <c r="H3120" s="100">
        <f>IFERROR(SUMIFS(MOVIMIENTOS_COMPLEMENTOS!$I$4:$I$803,MOVIMIENTOS_COMPLEMENTOS!$C$4:$C$803,A3120,MOVIMIENTOS_COMPLEMENTOS!$D$4:$D$803,B3120,MOVIMIENTOS_COMPLEMENTOS!$E$4:$E$803,C3120,MOVIMIENTOS_COMPLEMENTOS!$G$4:$G$803,E3120,MOVIMIENTOS_COMPLEMENTOS!$H$4:$H$803,G3120,MOVIMIENTOS_COMPLEMENTOS!$B$4:$B$803,"INGRESO")+SUMIFS(MOVIMIENTOS_COMPLEMENTOS!$I$4:$I$803,MOVIMIENTOS_COMPLEMENTOS!$C$4:$C$803,A3120,MOVIMIENTOS_COMPLEMENTOS!$D$4:$D$803,B3120,MOVIMIENTOS_COMPLEMENTOS!$E$4:$E$803,C3120,MOVIMIENTOS_COMPLEMENTOS!$G$4:$G$803,E3120,MOVIMIENTOS_COMPLEMENTOS!$H$4:$H$803,G3120,MOVIMIENTOS_COMPLEMENTOS!$B$4:$B$803,"DE CORTE")-SUMIFS(MOVIMIENTOS_COMPLEMENTOS!$I$4:$I$803,MOVIMIENTOS_COMPLEMENTOS!$C$4:$C$803,A3120,MOVIMIENTOS_COMPLEMENTOS!$D$4:$D$803,B3120,MOVIMIENTOS_COMPLEMENTOS!$E$4:$E$803,C3120,MOVIMIENTOS_COMPLEMENTOS!$G$4:$G$803,E3120,MOVIMIENTOS_COMPLEMENTOS!$H$4:$H$803,G3120,MOVIMIENTOS_COMPLEMENTOS!$B$4:$B$803,"SALIDA"),0)</f>
        <v>0</v>
      </c>
      <c r="I3120" s="102">
        <f t="array" ref="I3120">IFERROR(INDEX(PRECIOS_COMPLEMENTOS!$C$4:$F$17,MATCH(B3120&amp;"_"&amp;C3120,PRECIOS_COMPLEMENTOS!$H$4:$H$17,0),IF(OR(G3120="S",G3120="20cm"),1,IF(OR(G3120="M",G3120="25cm"),2,IF(OR(G3120="L",G3120="30cm"),3,IF(OR(G3120="XL",G3120="35cm"),4,0))))),0)</f>
        <v>0.45</v>
      </c>
      <c r="J3120" s="103">
        <f t="shared" si="1"/>
        <v>0</v>
      </c>
      <c r="K3120" s="104" t="str">
        <f>IF(H3120&lt;0,"ERROR",IF(H3120=0,"",IF(H3120&lt;CONFIG!$B$4,"CRÍTICO",IF(H3120&lt;CONFIG!$B$5,"BAJO","OK"))))</f>
        <v/>
      </c>
    </row>
    <row r="3121" ht="15.75" customHeight="1">
      <c r="A3121" s="90" t="str">
        <f>IF(CLIENTES!A7="","",CLIENTES!A7)</f>
        <v/>
      </c>
      <c r="B3121" s="90" t="s">
        <v>333</v>
      </c>
      <c r="C3121" s="91" t="s">
        <v>334</v>
      </c>
      <c r="D3121" s="109" t="s">
        <v>353</v>
      </c>
      <c r="E3121" s="67" t="str">
        <f>COLORES!A23</f>
        <v/>
      </c>
      <c r="F3121" s="67" t="str">
        <f>COLORES!B23</f>
        <v/>
      </c>
      <c r="G3121" s="90" t="s">
        <v>380</v>
      </c>
      <c r="H3121" s="100">
        <f>IFERROR(SUMIFS(MOVIMIENTOS_COMPLEMENTOS!$I$4:$I$803,MOVIMIENTOS_COMPLEMENTOS!$C$4:$C$803,A3121,MOVIMIENTOS_COMPLEMENTOS!$D$4:$D$803,B3121,MOVIMIENTOS_COMPLEMENTOS!$E$4:$E$803,C3121,MOVIMIENTOS_COMPLEMENTOS!$G$4:$G$803,E3121,MOVIMIENTOS_COMPLEMENTOS!$H$4:$H$803,G3121,MOVIMIENTOS_COMPLEMENTOS!$B$4:$B$803,"INGRESO")+SUMIFS(MOVIMIENTOS_COMPLEMENTOS!$I$4:$I$803,MOVIMIENTOS_COMPLEMENTOS!$C$4:$C$803,A3121,MOVIMIENTOS_COMPLEMENTOS!$D$4:$D$803,B3121,MOVIMIENTOS_COMPLEMENTOS!$E$4:$E$803,C3121,MOVIMIENTOS_COMPLEMENTOS!$G$4:$G$803,E3121,MOVIMIENTOS_COMPLEMENTOS!$H$4:$H$803,G3121,MOVIMIENTOS_COMPLEMENTOS!$B$4:$B$803,"DE CORTE")-SUMIFS(MOVIMIENTOS_COMPLEMENTOS!$I$4:$I$803,MOVIMIENTOS_COMPLEMENTOS!$C$4:$C$803,A3121,MOVIMIENTOS_COMPLEMENTOS!$D$4:$D$803,B3121,MOVIMIENTOS_COMPLEMENTOS!$E$4:$E$803,C3121,MOVIMIENTOS_COMPLEMENTOS!$G$4:$G$803,E3121,MOVIMIENTOS_COMPLEMENTOS!$H$4:$H$803,G3121,MOVIMIENTOS_COMPLEMENTOS!$B$4:$B$803,"SALIDA"),0)</f>
        <v>0</v>
      </c>
      <c r="I3121" s="102">
        <f t="array" ref="I3121">IFERROR(INDEX(PRECIOS_COMPLEMENTOS!$C$4:$F$17,MATCH(B3121&amp;"_"&amp;C3121,PRECIOS_COMPLEMENTOS!$H$4:$H$17,0),IF(OR(G3121="S",G3121="20cm"),1,IF(OR(G3121="M",G3121="25cm"),2,IF(OR(G3121="L",G3121="30cm"),3,IF(OR(G3121="XL",G3121="35cm"),4,0))))),0)</f>
        <v>0.45</v>
      </c>
      <c r="J3121" s="103">
        <f t="shared" si="1"/>
        <v>0</v>
      </c>
      <c r="K3121" s="104" t="str">
        <f>IF(H3121&lt;0,"ERROR",IF(H3121=0,"",IF(H3121&lt;CONFIG!$B$4,"CRÍTICO",IF(H3121&lt;CONFIG!$B$5,"BAJO","OK"))))</f>
        <v/>
      </c>
    </row>
    <row r="3122" ht="15.75" customHeight="1">
      <c r="A3122" s="90" t="str">
        <f>IF(CLIENTES!A7="","",CLIENTES!A7)</f>
        <v/>
      </c>
      <c r="B3122" s="90" t="s">
        <v>333</v>
      </c>
      <c r="C3122" s="91" t="s">
        <v>334</v>
      </c>
      <c r="D3122" s="109" t="s">
        <v>353</v>
      </c>
      <c r="E3122" s="67" t="str">
        <f>COLORES!A23</f>
        <v/>
      </c>
      <c r="F3122" s="67" t="str">
        <f>COLORES!B23</f>
        <v/>
      </c>
      <c r="G3122" s="90" t="s">
        <v>381</v>
      </c>
      <c r="H3122" s="100">
        <f>IFERROR(SUMIFS(MOVIMIENTOS_COMPLEMENTOS!$I$4:$I$803,MOVIMIENTOS_COMPLEMENTOS!$C$4:$C$803,A3122,MOVIMIENTOS_COMPLEMENTOS!$D$4:$D$803,B3122,MOVIMIENTOS_COMPLEMENTOS!$E$4:$E$803,C3122,MOVIMIENTOS_COMPLEMENTOS!$G$4:$G$803,E3122,MOVIMIENTOS_COMPLEMENTOS!$H$4:$H$803,G3122,MOVIMIENTOS_COMPLEMENTOS!$B$4:$B$803,"INGRESO")+SUMIFS(MOVIMIENTOS_COMPLEMENTOS!$I$4:$I$803,MOVIMIENTOS_COMPLEMENTOS!$C$4:$C$803,A3122,MOVIMIENTOS_COMPLEMENTOS!$D$4:$D$803,B3122,MOVIMIENTOS_COMPLEMENTOS!$E$4:$E$803,C3122,MOVIMIENTOS_COMPLEMENTOS!$G$4:$G$803,E3122,MOVIMIENTOS_COMPLEMENTOS!$H$4:$H$803,G3122,MOVIMIENTOS_COMPLEMENTOS!$B$4:$B$803,"DE CORTE")-SUMIFS(MOVIMIENTOS_COMPLEMENTOS!$I$4:$I$803,MOVIMIENTOS_COMPLEMENTOS!$C$4:$C$803,A3122,MOVIMIENTOS_COMPLEMENTOS!$D$4:$D$803,B3122,MOVIMIENTOS_COMPLEMENTOS!$E$4:$E$803,C3122,MOVIMIENTOS_COMPLEMENTOS!$G$4:$G$803,E3122,MOVIMIENTOS_COMPLEMENTOS!$H$4:$H$803,G3122,MOVIMIENTOS_COMPLEMENTOS!$B$4:$B$803,"SALIDA"),0)</f>
        <v>0</v>
      </c>
      <c r="I3122" s="102">
        <f t="array" ref="I3122">IFERROR(INDEX(PRECIOS_COMPLEMENTOS!$C$4:$F$17,MATCH(B3122&amp;"_"&amp;C3122,PRECIOS_COMPLEMENTOS!$H$4:$H$17,0),IF(OR(G3122="S",G3122="20cm"),1,IF(OR(G3122="M",G3122="25cm"),2,IF(OR(G3122="L",G3122="30cm"),3,IF(OR(G3122="XL",G3122="35cm"),4,0))))),0)</f>
        <v>0.45</v>
      </c>
      <c r="J3122" s="103">
        <f t="shared" si="1"/>
        <v>0</v>
      </c>
      <c r="K3122" s="104" t="str">
        <f>IF(H3122&lt;0,"ERROR",IF(H3122=0,"",IF(H3122&lt;CONFIG!$B$4,"CRÍTICO",IF(H3122&lt;CONFIG!$B$5,"BAJO","OK"))))</f>
        <v/>
      </c>
    </row>
    <row r="3123" ht="15.75" customHeight="1">
      <c r="A3123" s="90" t="str">
        <f>IF(CLIENTES!A7="","",CLIENTES!A7)</f>
        <v/>
      </c>
      <c r="B3123" s="90" t="s">
        <v>333</v>
      </c>
      <c r="C3123" s="91" t="s">
        <v>334</v>
      </c>
      <c r="D3123" s="109" t="s">
        <v>353</v>
      </c>
      <c r="E3123" s="67" t="str">
        <f>COLORES!A23</f>
        <v/>
      </c>
      <c r="F3123" s="67" t="str">
        <f>COLORES!B23</f>
        <v/>
      </c>
      <c r="G3123" s="90" t="s">
        <v>382</v>
      </c>
      <c r="H3123" s="100">
        <f>IFERROR(SUMIFS(MOVIMIENTOS_COMPLEMENTOS!$I$4:$I$803,MOVIMIENTOS_COMPLEMENTOS!$C$4:$C$803,A3123,MOVIMIENTOS_COMPLEMENTOS!$D$4:$D$803,B3123,MOVIMIENTOS_COMPLEMENTOS!$E$4:$E$803,C3123,MOVIMIENTOS_COMPLEMENTOS!$G$4:$G$803,E3123,MOVIMIENTOS_COMPLEMENTOS!$H$4:$H$803,G3123,MOVIMIENTOS_COMPLEMENTOS!$B$4:$B$803,"INGRESO")+SUMIFS(MOVIMIENTOS_COMPLEMENTOS!$I$4:$I$803,MOVIMIENTOS_COMPLEMENTOS!$C$4:$C$803,A3123,MOVIMIENTOS_COMPLEMENTOS!$D$4:$D$803,B3123,MOVIMIENTOS_COMPLEMENTOS!$E$4:$E$803,C3123,MOVIMIENTOS_COMPLEMENTOS!$G$4:$G$803,E3123,MOVIMIENTOS_COMPLEMENTOS!$H$4:$H$803,G3123,MOVIMIENTOS_COMPLEMENTOS!$B$4:$B$803,"DE CORTE")-SUMIFS(MOVIMIENTOS_COMPLEMENTOS!$I$4:$I$803,MOVIMIENTOS_COMPLEMENTOS!$C$4:$C$803,A3123,MOVIMIENTOS_COMPLEMENTOS!$D$4:$D$803,B3123,MOVIMIENTOS_COMPLEMENTOS!$E$4:$E$803,C3123,MOVIMIENTOS_COMPLEMENTOS!$G$4:$G$803,E3123,MOVIMIENTOS_COMPLEMENTOS!$H$4:$H$803,G3123,MOVIMIENTOS_COMPLEMENTOS!$B$4:$B$803,"SALIDA"),0)</f>
        <v>0</v>
      </c>
      <c r="I3123" s="102">
        <f t="array" ref="I3123">IFERROR(INDEX(PRECIOS_COMPLEMENTOS!$C$4:$F$17,MATCH(B3123&amp;"_"&amp;C3123,PRECIOS_COMPLEMENTOS!$H$4:$H$17,0),IF(OR(G3123="S",G3123="20cm"),1,IF(OR(G3123="M",G3123="25cm"),2,IF(OR(G3123="L",G3123="30cm"),3,IF(OR(G3123="XL",G3123="35cm"),4,0))))),0)</f>
        <v>0.45</v>
      </c>
      <c r="J3123" s="103">
        <f t="shared" si="1"/>
        <v>0</v>
      </c>
      <c r="K3123" s="104" t="str">
        <f>IF(H3123&lt;0,"ERROR",IF(H3123=0,"",IF(H3123&lt;CONFIG!$B$4,"CRÍTICO",IF(H3123&lt;CONFIG!$B$5,"BAJO","OK"))))</f>
        <v/>
      </c>
    </row>
    <row r="3124" ht="15.75" customHeight="1">
      <c r="A3124" s="90" t="str">
        <f>IF(CLIENTES!A8="","",CLIENTES!A8)</f>
        <v/>
      </c>
      <c r="B3124" s="90" t="s">
        <v>333</v>
      </c>
      <c r="C3124" s="91" t="s">
        <v>334</v>
      </c>
      <c r="D3124" s="109" t="s">
        <v>353</v>
      </c>
      <c r="E3124" s="67" t="str">
        <f>COLORES!A4</f>
        <v>Negro</v>
      </c>
      <c r="F3124" s="67" t="str">
        <f>COLORES!B4</f>
        <v>OSCURO</v>
      </c>
      <c r="G3124" s="90" t="s">
        <v>380</v>
      </c>
      <c r="H3124" s="100">
        <f>IFERROR(SUMIFS(MOVIMIENTOS_COMPLEMENTOS!$I$4:$I$803,MOVIMIENTOS_COMPLEMENTOS!$C$4:$C$803,A3124,MOVIMIENTOS_COMPLEMENTOS!$D$4:$D$803,B3124,MOVIMIENTOS_COMPLEMENTOS!$E$4:$E$803,C3124,MOVIMIENTOS_COMPLEMENTOS!$G$4:$G$803,E3124,MOVIMIENTOS_COMPLEMENTOS!$H$4:$H$803,G3124,MOVIMIENTOS_COMPLEMENTOS!$B$4:$B$803,"INGRESO")+SUMIFS(MOVIMIENTOS_COMPLEMENTOS!$I$4:$I$803,MOVIMIENTOS_COMPLEMENTOS!$C$4:$C$803,A3124,MOVIMIENTOS_COMPLEMENTOS!$D$4:$D$803,B3124,MOVIMIENTOS_COMPLEMENTOS!$E$4:$E$803,C3124,MOVIMIENTOS_COMPLEMENTOS!$G$4:$G$803,E3124,MOVIMIENTOS_COMPLEMENTOS!$H$4:$H$803,G3124,MOVIMIENTOS_COMPLEMENTOS!$B$4:$B$803,"DE CORTE")-SUMIFS(MOVIMIENTOS_COMPLEMENTOS!$I$4:$I$803,MOVIMIENTOS_COMPLEMENTOS!$C$4:$C$803,A3124,MOVIMIENTOS_COMPLEMENTOS!$D$4:$D$803,B3124,MOVIMIENTOS_COMPLEMENTOS!$E$4:$E$803,C3124,MOVIMIENTOS_COMPLEMENTOS!$G$4:$G$803,E3124,MOVIMIENTOS_COMPLEMENTOS!$H$4:$H$803,G3124,MOVIMIENTOS_COMPLEMENTOS!$B$4:$B$803,"SALIDA"),0)</f>
        <v>0</v>
      </c>
      <c r="I3124" s="102">
        <f t="array" ref="I3124">IFERROR(INDEX(PRECIOS_COMPLEMENTOS!$C$4:$F$17,MATCH(B3124&amp;"_"&amp;C3124,PRECIOS_COMPLEMENTOS!$H$4:$H$17,0),IF(OR(G3124="S",G3124="20cm"),1,IF(OR(G3124="M",G3124="25cm"),2,IF(OR(G3124="L",G3124="30cm"),3,IF(OR(G3124="XL",G3124="35cm"),4,0))))),0)</f>
        <v>0.45</v>
      </c>
      <c r="J3124" s="103">
        <f t="shared" si="1"/>
        <v>0</v>
      </c>
      <c r="K3124" s="104" t="str">
        <f>IF(H3124&lt;0,"ERROR",IF(H3124=0,"",IF(H3124&lt;CONFIG!$B$4,"CRÍTICO",IF(H3124&lt;CONFIG!$B$5,"BAJO","OK"))))</f>
        <v/>
      </c>
    </row>
    <row r="3125" ht="15.75" customHeight="1">
      <c r="A3125" s="90" t="str">
        <f>IF(CLIENTES!A8="","",CLIENTES!A8)</f>
        <v/>
      </c>
      <c r="B3125" s="90" t="s">
        <v>333</v>
      </c>
      <c r="C3125" s="91" t="s">
        <v>334</v>
      </c>
      <c r="D3125" s="109" t="s">
        <v>353</v>
      </c>
      <c r="E3125" s="67" t="str">
        <f>COLORES!A4</f>
        <v>Negro</v>
      </c>
      <c r="F3125" s="67" t="str">
        <f>COLORES!B4</f>
        <v>OSCURO</v>
      </c>
      <c r="G3125" s="90" t="s">
        <v>381</v>
      </c>
      <c r="H3125" s="100">
        <f>IFERROR(SUMIFS(MOVIMIENTOS_COMPLEMENTOS!$I$4:$I$803,MOVIMIENTOS_COMPLEMENTOS!$C$4:$C$803,A3125,MOVIMIENTOS_COMPLEMENTOS!$D$4:$D$803,B3125,MOVIMIENTOS_COMPLEMENTOS!$E$4:$E$803,C3125,MOVIMIENTOS_COMPLEMENTOS!$G$4:$G$803,E3125,MOVIMIENTOS_COMPLEMENTOS!$H$4:$H$803,G3125,MOVIMIENTOS_COMPLEMENTOS!$B$4:$B$803,"INGRESO")+SUMIFS(MOVIMIENTOS_COMPLEMENTOS!$I$4:$I$803,MOVIMIENTOS_COMPLEMENTOS!$C$4:$C$803,A3125,MOVIMIENTOS_COMPLEMENTOS!$D$4:$D$803,B3125,MOVIMIENTOS_COMPLEMENTOS!$E$4:$E$803,C3125,MOVIMIENTOS_COMPLEMENTOS!$G$4:$G$803,E3125,MOVIMIENTOS_COMPLEMENTOS!$H$4:$H$803,G3125,MOVIMIENTOS_COMPLEMENTOS!$B$4:$B$803,"DE CORTE")-SUMIFS(MOVIMIENTOS_COMPLEMENTOS!$I$4:$I$803,MOVIMIENTOS_COMPLEMENTOS!$C$4:$C$803,A3125,MOVIMIENTOS_COMPLEMENTOS!$D$4:$D$803,B3125,MOVIMIENTOS_COMPLEMENTOS!$E$4:$E$803,C3125,MOVIMIENTOS_COMPLEMENTOS!$G$4:$G$803,E3125,MOVIMIENTOS_COMPLEMENTOS!$H$4:$H$803,G3125,MOVIMIENTOS_COMPLEMENTOS!$B$4:$B$803,"SALIDA"),0)</f>
        <v>0</v>
      </c>
      <c r="I3125" s="102">
        <f t="array" ref="I3125">IFERROR(INDEX(PRECIOS_COMPLEMENTOS!$C$4:$F$17,MATCH(B3125&amp;"_"&amp;C3125,PRECIOS_COMPLEMENTOS!$H$4:$H$17,0),IF(OR(G3125="S",G3125="20cm"),1,IF(OR(G3125="M",G3125="25cm"),2,IF(OR(G3125="L",G3125="30cm"),3,IF(OR(G3125="XL",G3125="35cm"),4,0))))),0)</f>
        <v>0.45</v>
      </c>
      <c r="J3125" s="103">
        <f t="shared" si="1"/>
        <v>0</v>
      </c>
      <c r="K3125" s="104" t="str">
        <f>IF(H3125&lt;0,"ERROR",IF(H3125=0,"",IF(H3125&lt;CONFIG!$B$4,"CRÍTICO",IF(H3125&lt;CONFIG!$B$5,"BAJO","OK"))))</f>
        <v/>
      </c>
    </row>
    <row r="3126" ht="15.75" customHeight="1">
      <c r="A3126" s="90" t="str">
        <f>IF(CLIENTES!A8="","",CLIENTES!A8)</f>
        <v/>
      </c>
      <c r="B3126" s="90" t="s">
        <v>333</v>
      </c>
      <c r="C3126" s="91" t="s">
        <v>334</v>
      </c>
      <c r="D3126" s="109" t="s">
        <v>353</v>
      </c>
      <c r="E3126" s="67" t="str">
        <f>COLORES!A4</f>
        <v>Negro</v>
      </c>
      <c r="F3126" s="67" t="str">
        <f>COLORES!B4</f>
        <v>OSCURO</v>
      </c>
      <c r="G3126" s="90" t="s">
        <v>382</v>
      </c>
      <c r="H3126" s="100">
        <f>IFERROR(SUMIFS(MOVIMIENTOS_COMPLEMENTOS!$I$4:$I$803,MOVIMIENTOS_COMPLEMENTOS!$C$4:$C$803,A3126,MOVIMIENTOS_COMPLEMENTOS!$D$4:$D$803,B3126,MOVIMIENTOS_COMPLEMENTOS!$E$4:$E$803,C3126,MOVIMIENTOS_COMPLEMENTOS!$G$4:$G$803,E3126,MOVIMIENTOS_COMPLEMENTOS!$H$4:$H$803,G3126,MOVIMIENTOS_COMPLEMENTOS!$B$4:$B$803,"INGRESO")+SUMIFS(MOVIMIENTOS_COMPLEMENTOS!$I$4:$I$803,MOVIMIENTOS_COMPLEMENTOS!$C$4:$C$803,A3126,MOVIMIENTOS_COMPLEMENTOS!$D$4:$D$803,B3126,MOVIMIENTOS_COMPLEMENTOS!$E$4:$E$803,C3126,MOVIMIENTOS_COMPLEMENTOS!$G$4:$G$803,E3126,MOVIMIENTOS_COMPLEMENTOS!$H$4:$H$803,G3126,MOVIMIENTOS_COMPLEMENTOS!$B$4:$B$803,"DE CORTE")-SUMIFS(MOVIMIENTOS_COMPLEMENTOS!$I$4:$I$803,MOVIMIENTOS_COMPLEMENTOS!$C$4:$C$803,A3126,MOVIMIENTOS_COMPLEMENTOS!$D$4:$D$803,B3126,MOVIMIENTOS_COMPLEMENTOS!$E$4:$E$803,C3126,MOVIMIENTOS_COMPLEMENTOS!$G$4:$G$803,E3126,MOVIMIENTOS_COMPLEMENTOS!$H$4:$H$803,G3126,MOVIMIENTOS_COMPLEMENTOS!$B$4:$B$803,"SALIDA"),0)</f>
        <v>0</v>
      </c>
      <c r="I3126" s="102">
        <f t="array" ref="I3126">IFERROR(INDEX(PRECIOS_COMPLEMENTOS!$C$4:$F$17,MATCH(B3126&amp;"_"&amp;C3126,PRECIOS_COMPLEMENTOS!$H$4:$H$17,0),IF(OR(G3126="S",G3126="20cm"),1,IF(OR(G3126="M",G3126="25cm"),2,IF(OR(G3126="L",G3126="30cm"),3,IF(OR(G3126="XL",G3126="35cm"),4,0))))),0)</f>
        <v>0.45</v>
      </c>
      <c r="J3126" s="103">
        <f t="shared" si="1"/>
        <v>0</v>
      </c>
      <c r="K3126" s="104" t="str">
        <f>IF(H3126&lt;0,"ERROR",IF(H3126=0,"",IF(H3126&lt;CONFIG!$B$4,"CRÍTICO",IF(H3126&lt;CONFIG!$B$5,"BAJO","OK"))))</f>
        <v/>
      </c>
    </row>
    <row r="3127" ht="15.75" customHeight="1">
      <c r="A3127" s="90" t="str">
        <f>IF(CLIENTES!A8="","",CLIENTES!A8)</f>
        <v/>
      </c>
      <c r="B3127" s="90" t="s">
        <v>333</v>
      </c>
      <c r="C3127" s="91" t="s">
        <v>334</v>
      </c>
      <c r="D3127" s="109" t="s">
        <v>353</v>
      </c>
      <c r="E3127" s="67" t="str">
        <f>COLORES!A5</f>
        <v>Perla</v>
      </c>
      <c r="F3127" s="67" t="str">
        <f>COLORES!B5</f>
        <v>PPT</v>
      </c>
      <c r="G3127" s="90" t="s">
        <v>380</v>
      </c>
      <c r="H3127" s="100">
        <f>IFERROR(SUMIFS(MOVIMIENTOS_COMPLEMENTOS!$I$4:$I$803,MOVIMIENTOS_COMPLEMENTOS!$C$4:$C$803,A3127,MOVIMIENTOS_COMPLEMENTOS!$D$4:$D$803,B3127,MOVIMIENTOS_COMPLEMENTOS!$E$4:$E$803,C3127,MOVIMIENTOS_COMPLEMENTOS!$G$4:$G$803,E3127,MOVIMIENTOS_COMPLEMENTOS!$H$4:$H$803,G3127,MOVIMIENTOS_COMPLEMENTOS!$B$4:$B$803,"INGRESO")+SUMIFS(MOVIMIENTOS_COMPLEMENTOS!$I$4:$I$803,MOVIMIENTOS_COMPLEMENTOS!$C$4:$C$803,A3127,MOVIMIENTOS_COMPLEMENTOS!$D$4:$D$803,B3127,MOVIMIENTOS_COMPLEMENTOS!$E$4:$E$803,C3127,MOVIMIENTOS_COMPLEMENTOS!$G$4:$G$803,E3127,MOVIMIENTOS_COMPLEMENTOS!$H$4:$H$803,G3127,MOVIMIENTOS_COMPLEMENTOS!$B$4:$B$803,"DE CORTE")-SUMIFS(MOVIMIENTOS_COMPLEMENTOS!$I$4:$I$803,MOVIMIENTOS_COMPLEMENTOS!$C$4:$C$803,A3127,MOVIMIENTOS_COMPLEMENTOS!$D$4:$D$803,B3127,MOVIMIENTOS_COMPLEMENTOS!$E$4:$E$803,C3127,MOVIMIENTOS_COMPLEMENTOS!$G$4:$G$803,E3127,MOVIMIENTOS_COMPLEMENTOS!$H$4:$H$803,G3127,MOVIMIENTOS_COMPLEMENTOS!$B$4:$B$803,"SALIDA"),0)</f>
        <v>0</v>
      </c>
      <c r="I3127" s="102">
        <f t="array" ref="I3127">IFERROR(INDEX(PRECIOS_COMPLEMENTOS!$C$4:$F$17,MATCH(B3127&amp;"_"&amp;C3127,PRECIOS_COMPLEMENTOS!$H$4:$H$17,0),IF(OR(G3127="S",G3127="20cm"),1,IF(OR(G3127="M",G3127="25cm"),2,IF(OR(G3127="L",G3127="30cm"),3,IF(OR(G3127="XL",G3127="35cm"),4,0))))),0)</f>
        <v>0.45</v>
      </c>
      <c r="J3127" s="103">
        <f t="shared" si="1"/>
        <v>0</v>
      </c>
      <c r="K3127" s="104" t="str">
        <f>IF(H3127&lt;0,"ERROR",IF(H3127=0,"",IF(H3127&lt;CONFIG!$B$4,"CRÍTICO",IF(H3127&lt;CONFIG!$B$5,"BAJO","OK"))))</f>
        <v/>
      </c>
    </row>
    <row r="3128" ht="15.75" customHeight="1">
      <c r="A3128" s="90" t="str">
        <f>IF(CLIENTES!A8="","",CLIENTES!A8)</f>
        <v/>
      </c>
      <c r="B3128" s="90" t="s">
        <v>333</v>
      </c>
      <c r="C3128" s="91" t="s">
        <v>334</v>
      </c>
      <c r="D3128" s="109" t="s">
        <v>353</v>
      </c>
      <c r="E3128" s="67" t="str">
        <f>COLORES!A5</f>
        <v>Perla</v>
      </c>
      <c r="F3128" s="67" t="str">
        <f>COLORES!B5</f>
        <v>PPT</v>
      </c>
      <c r="G3128" s="90" t="s">
        <v>381</v>
      </c>
      <c r="H3128" s="100">
        <f>IFERROR(SUMIFS(MOVIMIENTOS_COMPLEMENTOS!$I$4:$I$803,MOVIMIENTOS_COMPLEMENTOS!$C$4:$C$803,A3128,MOVIMIENTOS_COMPLEMENTOS!$D$4:$D$803,B3128,MOVIMIENTOS_COMPLEMENTOS!$E$4:$E$803,C3128,MOVIMIENTOS_COMPLEMENTOS!$G$4:$G$803,E3128,MOVIMIENTOS_COMPLEMENTOS!$H$4:$H$803,G3128,MOVIMIENTOS_COMPLEMENTOS!$B$4:$B$803,"INGRESO")+SUMIFS(MOVIMIENTOS_COMPLEMENTOS!$I$4:$I$803,MOVIMIENTOS_COMPLEMENTOS!$C$4:$C$803,A3128,MOVIMIENTOS_COMPLEMENTOS!$D$4:$D$803,B3128,MOVIMIENTOS_COMPLEMENTOS!$E$4:$E$803,C3128,MOVIMIENTOS_COMPLEMENTOS!$G$4:$G$803,E3128,MOVIMIENTOS_COMPLEMENTOS!$H$4:$H$803,G3128,MOVIMIENTOS_COMPLEMENTOS!$B$4:$B$803,"DE CORTE")-SUMIFS(MOVIMIENTOS_COMPLEMENTOS!$I$4:$I$803,MOVIMIENTOS_COMPLEMENTOS!$C$4:$C$803,A3128,MOVIMIENTOS_COMPLEMENTOS!$D$4:$D$803,B3128,MOVIMIENTOS_COMPLEMENTOS!$E$4:$E$803,C3128,MOVIMIENTOS_COMPLEMENTOS!$G$4:$G$803,E3128,MOVIMIENTOS_COMPLEMENTOS!$H$4:$H$803,G3128,MOVIMIENTOS_COMPLEMENTOS!$B$4:$B$803,"SALIDA"),0)</f>
        <v>0</v>
      </c>
      <c r="I3128" s="102">
        <f t="array" ref="I3128">IFERROR(INDEX(PRECIOS_COMPLEMENTOS!$C$4:$F$17,MATCH(B3128&amp;"_"&amp;C3128,PRECIOS_COMPLEMENTOS!$H$4:$H$17,0),IF(OR(G3128="S",G3128="20cm"),1,IF(OR(G3128="M",G3128="25cm"),2,IF(OR(G3128="L",G3128="30cm"),3,IF(OR(G3128="XL",G3128="35cm"),4,0))))),0)</f>
        <v>0.45</v>
      </c>
      <c r="J3128" s="103">
        <f t="shared" si="1"/>
        <v>0</v>
      </c>
      <c r="K3128" s="104" t="str">
        <f>IF(H3128&lt;0,"ERROR",IF(H3128=0,"",IF(H3128&lt;CONFIG!$B$4,"CRÍTICO",IF(H3128&lt;CONFIG!$B$5,"BAJO","OK"))))</f>
        <v/>
      </c>
    </row>
    <row r="3129" ht="15.75" customHeight="1">
      <c r="A3129" s="90" t="str">
        <f>IF(CLIENTES!A8="","",CLIENTES!A8)</f>
        <v/>
      </c>
      <c r="B3129" s="90" t="s">
        <v>333</v>
      </c>
      <c r="C3129" s="91" t="s">
        <v>334</v>
      </c>
      <c r="D3129" s="109" t="s">
        <v>353</v>
      </c>
      <c r="E3129" s="67" t="str">
        <f>COLORES!A5</f>
        <v>Perla</v>
      </c>
      <c r="F3129" s="67" t="str">
        <f>COLORES!B5</f>
        <v>PPT</v>
      </c>
      <c r="G3129" s="90" t="s">
        <v>382</v>
      </c>
      <c r="H3129" s="100">
        <f>IFERROR(SUMIFS(MOVIMIENTOS_COMPLEMENTOS!$I$4:$I$803,MOVIMIENTOS_COMPLEMENTOS!$C$4:$C$803,A3129,MOVIMIENTOS_COMPLEMENTOS!$D$4:$D$803,B3129,MOVIMIENTOS_COMPLEMENTOS!$E$4:$E$803,C3129,MOVIMIENTOS_COMPLEMENTOS!$G$4:$G$803,E3129,MOVIMIENTOS_COMPLEMENTOS!$H$4:$H$803,G3129,MOVIMIENTOS_COMPLEMENTOS!$B$4:$B$803,"INGRESO")+SUMIFS(MOVIMIENTOS_COMPLEMENTOS!$I$4:$I$803,MOVIMIENTOS_COMPLEMENTOS!$C$4:$C$803,A3129,MOVIMIENTOS_COMPLEMENTOS!$D$4:$D$803,B3129,MOVIMIENTOS_COMPLEMENTOS!$E$4:$E$803,C3129,MOVIMIENTOS_COMPLEMENTOS!$G$4:$G$803,E3129,MOVIMIENTOS_COMPLEMENTOS!$H$4:$H$803,G3129,MOVIMIENTOS_COMPLEMENTOS!$B$4:$B$803,"DE CORTE")-SUMIFS(MOVIMIENTOS_COMPLEMENTOS!$I$4:$I$803,MOVIMIENTOS_COMPLEMENTOS!$C$4:$C$803,A3129,MOVIMIENTOS_COMPLEMENTOS!$D$4:$D$803,B3129,MOVIMIENTOS_COMPLEMENTOS!$E$4:$E$803,C3129,MOVIMIENTOS_COMPLEMENTOS!$G$4:$G$803,E3129,MOVIMIENTOS_COMPLEMENTOS!$H$4:$H$803,G3129,MOVIMIENTOS_COMPLEMENTOS!$B$4:$B$803,"SALIDA"),0)</f>
        <v>0</v>
      </c>
      <c r="I3129" s="102">
        <f t="array" ref="I3129">IFERROR(INDEX(PRECIOS_COMPLEMENTOS!$C$4:$F$17,MATCH(B3129&amp;"_"&amp;C3129,PRECIOS_COMPLEMENTOS!$H$4:$H$17,0),IF(OR(G3129="S",G3129="20cm"),1,IF(OR(G3129="M",G3129="25cm"),2,IF(OR(G3129="L",G3129="30cm"),3,IF(OR(G3129="XL",G3129="35cm"),4,0))))),0)</f>
        <v>0.45</v>
      </c>
      <c r="J3129" s="103">
        <f t="shared" si="1"/>
        <v>0</v>
      </c>
      <c r="K3129" s="104" t="str">
        <f>IF(H3129&lt;0,"ERROR",IF(H3129=0,"",IF(H3129&lt;CONFIG!$B$4,"CRÍTICO",IF(H3129&lt;CONFIG!$B$5,"BAJO","OK"))))</f>
        <v/>
      </c>
    </row>
    <row r="3130" ht="15.75" customHeight="1">
      <c r="A3130" s="90" t="str">
        <f>IF(CLIENTES!A8="","",CLIENTES!A8)</f>
        <v/>
      </c>
      <c r="B3130" s="90" t="s">
        <v>333</v>
      </c>
      <c r="C3130" s="91" t="s">
        <v>334</v>
      </c>
      <c r="D3130" s="109" t="s">
        <v>353</v>
      </c>
      <c r="E3130" s="67" t="str">
        <f>COLORES!A6</f>
        <v>Blanco</v>
      </c>
      <c r="F3130" s="67" t="str">
        <f>COLORES!B6</f>
        <v>PPT</v>
      </c>
      <c r="G3130" s="90" t="s">
        <v>380</v>
      </c>
      <c r="H3130" s="100">
        <f>IFERROR(SUMIFS(MOVIMIENTOS_COMPLEMENTOS!$I$4:$I$803,MOVIMIENTOS_COMPLEMENTOS!$C$4:$C$803,A3130,MOVIMIENTOS_COMPLEMENTOS!$D$4:$D$803,B3130,MOVIMIENTOS_COMPLEMENTOS!$E$4:$E$803,C3130,MOVIMIENTOS_COMPLEMENTOS!$G$4:$G$803,E3130,MOVIMIENTOS_COMPLEMENTOS!$H$4:$H$803,G3130,MOVIMIENTOS_COMPLEMENTOS!$B$4:$B$803,"INGRESO")+SUMIFS(MOVIMIENTOS_COMPLEMENTOS!$I$4:$I$803,MOVIMIENTOS_COMPLEMENTOS!$C$4:$C$803,A3130,MOVIMIENTOS_COMPLEMENTOS!$D$4:$D$803,B3130,MOVIMIENTOS_COMPLEMENTOS!$E$4:$E$803,C3130,MOVIMIENTOS_COMPLEMENTOS!$G$4:$G$803,E3130,MOVIMIENTOS_COMPLEMENTOS!$H$4:$H$803,G3130,MOVIMIENTOS_COMPLEMENTOS!$B$4:$B$803,"DE CORTE")-SUMIFS(MOVIMIENTOS_COMPLEMENTOS!$I$4:$I$803,MOVIMIENTOS_COMPLEMENTOS!$C$4:$C$803,A3130,MOVIMIENTOS_COMPLEMENTOS!$D$4:$D$803,B3130,MOVIMIENTOS_COMPLEMENTOS!$E$4:$E$803,C3130,MOVIMIENTOS_COMPLEMENTOS!$G$4:$G$803,E3130,MOVIMIENTOS_COMPLEMENTOS!$H$4:$H$803,G3130,MOVIMIENTOS_COMPLEMENTOS!$B$4:$B$803,"SALIDA"),0)</f>
        <v>0</v>
      </c>
      <c r="I3130" s="102">
        <f t="array" ref="I3130">IFERROR(INDEX(PRECIOS_COMPLEMENTOS!$C$4:$F$17,MATCH(B3130&amp;"_"&amp;C3130,PRECIOS_COMPLEMENTOS!$H$4:$H$17,0),IF(OR(G3130="S",G3130="20cm"),1,IF(OR(G3130="M",G3130="25cm"),2,IF(OR(G3130="L",G3130="30cm"),3,IF(OR(G3130="XL",G3130="35cm"),4,0))))),0)</f>
        <v>0.45</v>
      </c>
      <c r="J3130" s="103">
        <f t="shared" si="1"/>
        <v>0</v>
      </c>
      <c r="K3130" s="104" t="str">
        <f>IF(H3130&lt;0,"ERROR",IF(H3130=0,"",IF(H3130&lt;CONFIG!$B$4,"CRÍTICO",IF(H3130&lt;CONFIG!$B$5,"BAJO","OK"))))</f>
        <v/>
      </c>
    </row>
    <row r="3131" ht="15.75" customHeight="1">
      <c r="A3131" s="90" t="str">
        <f>IF(CLIENTES!A8="","",CLIENTES!A8)</f>
        <v/>
      </c>
      <c r="B3131" s="90" t="s">
        <v>333</v>
      </c>
      <c r="C3131" s="91" t="s">
        <v>334</v>
      </c>
      <c r="D3131" s="109" t="s">
        <v>353</v>
      </c>
      <c r="E3131" s="67" t="str">
        <f>COLORES!A6</f>
        <v>Blanco</v>
      </c>
      <c r="F3131" s="67" t="str">
        <f>COLORES!B6</f>
        <v>PPT</v>
      </c>
      <c r="G3131" s="90" t="s">
        <v>381</v>
      </c>
      <c r="H3131" s="100">
        <f>IFERROR(SUMIFS(MOVIMIENTOS_COMPLEMENTOS!$I$4:$I$803,MOVIMIENTOS_COMPLEMENTOS!$C$4:$C$803,A3131,MOVIMIENTOS_COMPLEMENTOS!$D$4:$D$803,B3131,MOVIMIENTOS_COMPLEMENTOS!$E$4:$E$803,C3131,MOVIMIENTOS_COMPLEMENTOS!$G$4:$G$803,E3131,MOVIMIENTOS_COMPLEMENTOS!$H$4:$H$803,G3131,MOVIMIENTOS_COMPLEMENTOS!$B$4:$B$803,"INGRESO")+SUMIFS(MOVIMIENTOS_COMPLEMENTOS!$I$4:$I$803,MOVIMIENTOS_COMPLEMENTOS!$C$4:$C$803,A3131,MOVIMIENTOS_COMPLEMENTOS!$D$4:$D$803,B3131,MOVIMIENTOS_COMPLEMENTOS!$E$4:$E$803,C3131,MOVIMIENTOS_COMPLEMENTOS!$G$4:$G$803,E3131,MOVIMIENTOS_COMPLEMENTOS!$H$4:$H$803,G3131,MOVIMIENTOS_COMPLEMENTOS!$B$4:$B$803,"DE CORTE")-SUMIFS(MOVIMIENTOS_COMPLEMENTOS!$I$4:$I$803,MOVIMIENTOS_COMPLEMENTOS!$C$4:$C$803,A3131,MOVIMIENTOS_COMPLEMENTOS!$D$4:$D$803,B3131,MOVIMIENTOS_COMPLEMENTOS!$E$4:$E$803,C3131,MOVIMIENTOS_COMPLEMENTOS!$G$4:$G$803,E3131,MOVIMIENTOS_COMPLEMENTOS!$H$4:$H$803,G3131,MOVIMIENTOS_COMPLEMENTOS!$B$4:$B$803,"SALIDA"),0)</f>
        <v>0</v>
      </c>
      <c r="I3131" s="102">
        <f t="array" ref="I3131">IFERROR(INDEX(PRECIOS_COMPLEMENTOS!$C$4:$F$17,MATCH(B3131&amp;"_"&amp;C3131,PRECIOS_COMPLEMENTOS!$H$4:$H$17,0),IF(OR(G3131="S",G3131="20cm"),1,IF(OR(G3131="M",G3131="25cm"),2,IF(OR(G3131="L",G3131="30cm"),3,IF(OR(G3131="XL",G3131="35cm"),4,0))))),0)</f>
        <v>0.45</v>
      </c>
      <c r="J3131" s="103">
        <f t="shared" si="1"/>
        <v>0</v>
      </c>
      <c r="K3131" s="104" t="str">
        <f>IF(H3131&lt;0,"ERROR",IF(H3131=0,"",IF(H3131&lt;CONFIG!$B$4,"CRÍTICO",IF(H3131&lt;CONFIG!$B$5,"BAJO","OK"))))</f>
        <v/>
      </c>
    </row>
    <row r="3132" ht="15.75" customHeight="1">
      <c r="A3132" s="90" t="str">
        <f>IF(CLIENTES!A8="","",CLIENTES!A8)</f>
        <v/>
      </c>
      <c r="B3132" s="90" t="s">
        <v>333</v>
      </c>
      <c r="C3132" s="91" t="s">
        <v>334</v>
      </c>
      <c r="D3132" s="109" t="s">
        <v>353</v>
      </c>
      <c r="E3132" s="67" t="str">
        <f>COLORES!A6</f>
        <v>Blanco</v>
      </c>
      <c r="F3132" s="67" t="str">
        <f>COLORES!B6</f>
        <v>PPT</v>
      </c>
      <c r="G3132" s="90" t="s">
        <v>382</v>
      </c>
      <c r="H3132" s="100">
        <f>IFERROR(SUMIFS(MOVIMIENTOS_COMPLEMENTOS!$I$4:$I$803,MOVIMIENTOS_COMPLEMENTOS!$C$4:$C$803,A3132,MOVIMIENTOS_COMPLEMENTOS!$D$4:$D$803,B3132,MOVIMIENTOS_COMPLEMENTOS!$E$4:$E$803,C3132,MOVIMIENTOS_COMPLEMENTOS!$G$4:$G$803,E3132,MOVIMIENTOS_COMPLEMENTOS!$H$4:$H$803,G3132,MOVIMIENTOS_COMPLEMENTOS!$B$4:$B$803,"INGRESO")+SUMIFS(MOVIMIENTOS_COMPLEMENTOS!$I$4:$I$803,MOVIMIENTOS_COMPLEMENTOS!$C$4:$C$803,A3132,MOVIMIENTOS_COMPLEMENTOS!$D$4:$D$803,B3132,MOVIMIENTOS_COMPLEMENTOS!$E$4:$E$803,C3132,MOVIMIENTOS_COMPLEMENTOS!$G$4:$G$803,E3132,MOVIMIENTOS_COMPLEMENTOS!$H$4:$H$803,G3132,MOVIMIENTOS_COMPLEMENTOS!$B$4:$B$803,"DE CORTE")-SUMIFS(MOVIMIENTOS_COMPLEMENTOS!$I$4:$I$803,MOVIMIENTOS_COMPLEMENTOS!$C$4:$C$803,A3132,MOVIMIENTOS_COMPLEMENTOS!$D$4:$D$803,B3132,MOVIMIENTOS_COMPLEMENTOS!$E$4:$E$803,C3132,MOVIMIENTOS_COMPLEMENTOS!$G$4:$G$803,E3132,MOVIMIENTOS_COMPLEMENTOS!$H$4:$H$803,G3132,MOVIMIENTOS_COMPLEMENTOS!$B$4:$B$803,"SALIDA"),0)</f>
        <v>0</v>
      </c>
      <c r="I3132" s="102">
        <f t="array" ref="I3132">IFERROR(INDEX(PRECIOS_COMPLEMENTOS!$C$4:$F$17,MATCH(B3132&amp;"_"&amp;C3132,PRECIOS_COMPLEMENTOS!$H$4:$H$17,0),IF(OR(G3132="S",G3132="20cm"),1,IF(OR(G3132="M",G3132="25cm"),2,IF(OR(G3132="L",G3132="30cm"),3,IF(OR(G3132="XL",G3132="35cm"),4,0))))),0)</f>
        <v>0.45</v>
      </c>
      <c r="J3132" s="103">
        <f t="shared" si="1"/>
        <v>0</v>
      </c>
      <c r="K3132" s="104" t="str">
        <f>IF(H3132&lt;0,"ERROR",IF(H3132=0,"",IF(H3132&lt;CONFIG!$B$4,"CRÍTICO",IF(H3132&lt;CONFIG!$B$5,"BAJO","OK"))))</f>
        <v/>
      </c>
    </row>
    <row r="3133" ht="15.75" customHeight="1">
      <c r="A3133" s="90" t="str">
        <f>IF(CLIENTES!A8="","",CLIENTES!A8)</f>
        <v/>
      </c>
      <c r="B3133" s="90" t="s">
        <v>333</v>
      </c>
      <c r="C3133" s="91" t="s">
        <v>334</v>
      </c>
      <c r="D3133" s="109" t="s">
        <v>353</v>
      </c>
      <c r="E3133" s="67" t="str">
        <f>COLORES!A7</f>
        <v>Azul</v>
      </c>
      <c r="F3133" s="67" t="str">
        <f>COLORES!B7</f>
        <v>OSCURO</v>
      </c>
      <c r="G3133" s="90" t="s">
        <v>380</v>
      </c>
      <c r="H3133" s="100">
        <f>IFERROR(SUMIFS(MOVIMIENTOS_COMPLEMENTOS!$I$4:$I$803,MOVIMIENTOS_COMPLEMENTOS!$C$4:$C$803,A3133,MOVIMIENTOS_COMPLEMENTOS!$D$4:$D$803,B3133,MOVIMIENTOS_COMPLEMENTOS!$E$4:$E$803,C3133,MOVIMIENTOS_COMPLEMENTOS!$G$4:$G$803,E3133,MOVIMIENTOS_COMPLEMENTOS!$H$4:$H$803,G3133,MOVIMIENTOS_COMPLEMENTOS!$B$4:$B$803,"INGRESO")+SUMIFS(MOVIMIENTOS_COMPLEMENTOS!$I$4:$I$803,MOVIMIENTOS_COMPLEMENTOS!$C$4:$C$803,A3133,MOVIMIENTOS_COMPLEMENTOS!$D$4:$D$803,B3133,MOVIMIENTOS_COMPLEMENTOS!$E$4:$E$803,C3133,MOVIMIENTOS_COMPLEMENTOS!$G$4:$G$803,E3133,MOVIMIENTOS_COMPLEMENTOS!$H$4:$H$803,G3133,MOVIMIENTOS_COMPLEMENTOS!$B$4:$B$803,"DE CORTE")-SUMIFS(MOVIMIENTOS_COMPLEMENTOS!$I$4:$I$803,MOVIMIENTOS_COMPLEMENTOS!$C$4:$C$803,A3133,MOVIMIENTOS_COMPLEMENTOS!$D$4:$D$803,B3133,MOVIMIENTOS_COMPLEMENTOS!$E$4:$E$803,C3133,MOVIMIENTOS_COMPLEMENTOS!$G$4:$G$803,E3133,MOVIMIENTOS_COMPLEMENTOS!$H$4:$H$803,G3133,MOVIMIENTOS_COMPLEMENTOS!$B$4:$B$803,"SALIDA"),0)</f>
        <v>0</v>
      </c>
      <c r="I3133" s="102">
        <f t="array" ref="I3133">IFERROR(INDEX(PRECIOS_COMPLEMENTOS!$C$4:$F$17,MATCH(B3133&amp;"_"&amp;C3133,PRECIOS_COMPLEMENTOS!$H$4:$H$17,0),IF(OR(G3133="S",G3133="20cm"),1,IF(OR(G3133="M",G3133="25cm"),2,IF(OR(G3133="L",G3133="30cm"),3,IF(OR(G3133="XL",G3133="35cm"),4,0))))),0)</f>
        <v>0.45</v>
      </c>
      <c r="J3133" s="103">
        <f t="shared" si="1"/>
        <v>0</v>
      </c>
      <c r="K3133" s="104" t="str">
        <f>IF(H3133&lt;0,"ERROR",IF(H3133=0,"",IF(H3133&lt;CONFIG!$B$4,"CRÍTICO",IF(H3133&lt;CONFIG!$B$5,"BAJO","OK"))))</f>
        <v/>
      </c>
    </row>
    <row r="3134" ht="15.75" customHeight="1">
      <c r="A3134" s="90" t="str">
        <f>IF(CLIENTES!A8="","",CLIENTES!A8)</f>
        <v/>
      </c>
      <c r="B3134" s="90" t="s">
        <v>333</v>
      </c>
      <c r="C3134" s="91" t="s">
        <v>334</v>
      </c>
      <c r="D3134" s="109" t="s">
        <v>353</v>
      </c>
      <c r="E3134" s="67" t="str">
        <f>COLORES!A7</f>
        <v>Azul</v>
      </c>
      <c r="F3134" s="67" t="str">
        <f>COLORES!B7</f>
        <v>OSCURO</v>
      </c>
      <c r="G3134" s="90" t="s">
        <v>381</v>
      </c>
      <c r="H3134" s="100">
        <f>IFERROR(SUMIFS(MOVIMIENTOS_COMPLEMENTOS!$I$4:$I$803,MOVIMIENTOS_COMPLEMENTOS!$C$4:$C$803,A3134,MOVIMIENTOS_COMPLEMENTOS!$D$4:$D$803,B3134,MOVIMIENTOS_COMPLEMENTOS!$E$4:$E$803,C3134,MOVIMIENTOS_COMPLEMENTOS!$G$4:$G$803,E3134,MOVIMIENTOS_COMPLEMENTOS!$H$4:$H$803,G3134,MOVIMIENTOS_COMPLEMENTOS!$B$4:$B$803,"INGRESO")+SUMIFS(MOVIMIENTOS_COMPLEMENTOS!$I$4:$I$803,MOVIMIENTOS_COMPLEMENTOS!$C$4:$C$803,A3134,MOVIMIENTOS_COMPLEMENTOS!$D$4:$D$803,B3134,MOVIMIENTOS_COMPLEMENTOS!$E$4:$E$803,C3134,MOVIMIENTOS_COMPLEMENTOS!$G$4:$G$803,E3134,MOVIMIENTOS_COMPLEMENTOS!$H$4:$H$803,G3134,MOVIMIENTOS_COMPLEMENTOS!$B$4:$B$803,"DE CORTE")-SUMIFS(MOVIMIENTOS_COMPLEMENTOS!$I$4:$I$803,MOVIMIENTOS_COMPLEMENTOS!$C$4:$C$803,A3134,MOVIMIENTOS_COMPLEMENTOS!$D$4:$D$803,B3134,MOVIMIENTOS_COMPLEMENTOS!$E$4:$E$803,C3134,MOVIMIENTOS_COMPLEMENTOS!$G$4:$G$803,E3134,MOVIMIENTOS_COMPLEMENTOS!$H$4:$H$803,G3134,MOVIMIENTOS_COMPLEMENTOS!$B$4:$B$803,"SALIDA"),0)</f>
        <v>0</v>
      </c>
      <c r="I3134" s="102">
        <f t="array" ref="I3134">IFERROR(INDEX(PRECIOS_COMPLEMENTOS!$C$4:$F$17,MATCH(B3134&amp;"_"&amp;C3134,PRECIOS_COMPLEMENTOS!$H$4:$H$17,0),IF(OR(G3134="S",G3134="20cm"),1,IF(OR(G3134="M",G3134="25cm"),2,IF(OR(G3134="L",G3134="30cm"),3,IF(OR(G3134="XL",G3134="35cm"),4,0))))),0)</f>
        <v>0.45</v>
      </c>
      <c r="J3134" s="103">
        <f t="shared" si="1"/>
        <v>0</v>
      </c>
      <c r="K3134" s="104" t="str">
        <f>IF(H3134&lt;0,"ERROR",IF(H3134=0,"",IF(H3134&lt;CONFIG!$B$4,"CRÍTICO",IF(H3134&lt;CONFIG!$B$5,"BAJO","OK"))))</f>
        <v/>
      </c>
    </row>
    <row r="3135" ht="15.75" customHeight="1">
      <c r="A3135" s="90" t="str">
        <f>IF(CLIENTES!A8="","",CLIENTES!A8)</f>
        <v/>
      </c>
      <c r="B3135" s="90" t="s">
        <v>333</v>
      </c>
      <c r="C3135" s="91" t="s">
        <v>334</v>
      </c>
      <c r="D3135" s="109" t="s">
        <v>353</v>
      </c>
      <c r="E3135" s="67" t="str">
        <f>COLORES!A7</f>
        <v>Azul</v>
      </c>
      <c r="F3135" s="67" t="str">
        <f>COLORES!B7</f>
        <v>OSCURO</v>
      </c>
      <c r="G3135" s="90" t="s">
        <v>382</v>
      </c>
      <c r="H3135" s="100">
        <f>IFERROR(SUMIFS(MOVIMIENTOS_COMPLEMENTOS!$I$4:$I$803,MOVIMIENTOS_COMPLEMENTOS!$C$4:$C$803,A3135,MOVIMIENTOS_COMPLEMENTOS!$D$4:$D$803,B3135,MOVIMIENTOS_COMPLEMENTOS!$E$4:$E$803,C3135,MOVIMIENTOS_COMPLEMENTOS!$G$4:$G$803,E3135,MOVIMIENTOS_COMPLEMENTOS!$H$4:$H$803,G3135,MOVIMIENTOS_COMPLEMENTOS!$B$4:$B$803,"INGRESO")+SUMIFS(MOVIMIENTOS_COMPLEMENTOS!$I$4:$I$803,MOVIMIENTOS_COMPLEMENTOS!$C$4:$C$803,A3135,MOVIMIENTOS_COMPLEMENTOS!$D$4:$D$803,B3135,MOVIMIENTOS_COMPLEMENTOS!$E$4:$E$803,C3135,MOVIMIENTOS_COMPLEMENTOS!$G$4:$G$803,E3135,MOVIMIENTOS_COMPLEMENTOS!$H$4:$H$803,G3135,MOVIMIENTOS_COMPLEMENTOS!$B$4:$B$803,"DE CORTE")-SUMIFS(MOVIMIENTOS_COMPLEMENTOS!$I$4:$I$803,MOVIMIENTOS_COMPLEMENTOS!$C$4:$C$803,A3135,MOVIMIENTOS_COMPLEMENTOS!$D$4:$D$803,B3135,MOVIMIENTOS_COMPLEMENTOS!$E$4:$E$803,C3135,MOVIMIENTOS_COMPLEMENTOS!$G$4:$G$803,E3135,MOVIMIENTOS_COMPLEMENTOS!$H$4:$H$803,G3135,MOVIMIENTOS_COMPLEMENTOS!$B$4:$B$803,"SALIDA"),0)</f>
        <v>0</v>
      </c>
      <c r="I3135" s="102">
        <f t="array" ref="I3135">IFERROR(INDEX(PRECIOS_COMPLEMENTOS!$C$4:$F$17,MATCH(B3135&amp;"_"&amp;C3135,PRECIOS_COMPLEMENTOS!$H$4:$H$17,0),IF(OR(G3135="S",G3135="20cm"),1,IF(OR(G3135="M",G3135="25cm"),2,IF(OR(G3135="L",G3135="30cm"),3,IF(OR(G3135="XL",G3135="35cm"),4,0))))),0)</f>
        <v>0.45</v>
      </c>
      <c r="J3135" s="103">
        <f t="shared" si="1"/>
        <v>0</v>
      </c>
      <c r="K3135" s="104" t="str">
        <f>IF(H3135&lt;0,"ERROR",IF(H3135=0,"",IF(H3135&lt;CONFIG!$B$4,"CRÍTICO",IF(H3135&lt;CONFIG!$B$5,"BAJO","OK"))))</f>
        <v/>
      </c>
    </row>
    <row r="3136" ht="15.75" customHeight="1">
      <c r="A3136" s="90" t="str">
        <f>IF(CLIENTES!A8="","",CLIENTES!A8)</f>
        <v/>
      </c>
      <c r="B3136" s="90" t="s">
        <v>333</v>
      </c>
      <c r="C3136" s="91" t="s">
        <v>334</v>
      </c>
      <c r="D3136" s="109" t="s">
        <v>353</v>
      </c>
      <c r="E3136" s="67" t="str">
        <f>COLORES!A8</f>
        <v>Beige</v>
      </c>
      <c r="F3136" s="67" t="str">
        <f>COLORES!B8</f>
        <v>CLARO</v>
      </c>
      <c r="G3136" s="90" t="s">
        <v>380</v>
      </c>
      <c r="H3136" s="100">
        <f>IFERROR(SUMIFS(MOVIMIENTOS_COMPLEMENTOS!$I$4:$I$803,MOVIMIENTOS_COMPLEMENTOS!$C$4:$C$803,A3136,MOVIMIENTOS_COMPLEMENTOS!$D$4:$D$803,B3136,MOVIMIENTOS_COMPLEMENTOS!$E$4:$E$803,C3136,MOVIMIENTOS_COMPLEMENTOS!$G$4:$G$803,E3136,MOVIMIENTOS_COMPLEMENTOS!$H$4:$H$803,G3136,MOVIMIENTOS_COMPLEMENTOS!$B$4:$B$803,"INGRESO")+SUMIFS(MOVIMIENTOS_COMPLEMENTOS!$I$4:$I$803,MOVIMIENTOS_COMPLEMENTOS!$C$4:$C$803,A3136,MOVIMIENTOS_COMPLEMENTOS!$D$4:$D$803,B3136,MOVIMIENTOS_COMPLEMENTOS!$E$4:$E$803,C3136,MOVIMIENTOS_COMPLEMENTOS!$G$4:$G$803,E3136,MOVIMIENTOS_COMPLEMENTOS!$H$4:$H$803,G3136,MOVIMIENTOS_COMPLEMENTOS!$B$4:$B$803,"DE CORTE")-SUMIFS(MOVIMIENTOS_COMPLEMENTOS!$I$4:$I$803,MOVIMIENTOS_COMPLEMENTOS!$C$4:$C$803,A3136,MOVIMIENTOS_COMPLEMENTOS!$D$4:$D$803,B3136,MOVIMIENTOS_COMPLEMENTOS!$E$4:$E$803,C3136,MOVIMIENTOS_COMPLEMENTOS!$G$4:$G$803,E3136,MOVIMIENTOS_COMPLEMENTOS!$H$4:$H$803,G3136,MOVIMIENTOS_COMPLEMENTOS!$B$4:$B$803,"SALIDA"),0)</f>
        <v>0</v>
      </c>
      <c r="I3136" s="102">
        <f t="array" ref="I3136">IFERROR(INDEX(PRECIOS_COMPLEMENTOS!$C$4:$F$17,MATCH(B3136&amp;"_"&amp;C3136,PRECIOS_COMPLEMENTOS!$H$4:$H$17,0),IF(OR(G3136="S",G3136="20cm"),1,IF(OR(G3136="M",G3136="25cm"),2,IF(OR(G3136="L",G3136="30cm"),3,IF(OR(G3136="XL",G3136="35cm"),4,0))))),0)</f>
        <v>0.45</v>
      </c>
      <c r="J3136" s="103">
        <f t="shared" si="1"/>
        <v>0</v>
      </c>
      <c r="K3136" s="104" t="str">
        <f>IF(H3136&lt;0,"ERROR",IF(H3136=0,"",IF(H3136&lt;CONFIG!$B$4,"CRÍTICO",IF(H3136&lt;CONFIG!$B$5,"BAJO","OK"))))</f>
        <v/>
      </c>
    </row>
    <row r="3137" ht="15.75" customHeight="1">
      <c r="A3137" s="90" t="str">
        <f>IF(CLIENTES!A8="","",CLIENTES!A8)</f>
        <v/>
      </c>
      <c r="B3137" s="90" t="s">
        <v>333</v>
      </c>
      <c r="C3137" s="91" t="s">
        <v>334</v>
      </c>
      <c r="D3137" s="109" t="s">
        <v>353</v>
      </c>
      <c r="E3137" s="67" t="str">
        <f>COLORES!A8</f>
        <v>Beige</v>
      </c>
      <c r="F3137" s="67" t="str">
        <f>COLORES!B8</f>
        <v>CLARO</v>
      </c>
      <c r="G3137" s="90" t="s">
        <v>381</v>
      </c>
      <c r="H3137" s="100">
        <f>IFERROR(SUMIFS(MOVIMIENTOS_COMPLEMENTOS!$I$4:$I$803,MOVIMIENTOS_COMPLEMENTOS!$C$4:$C$803,A3137,MOVIMIENTOS_COMPLEMENTOS!$D$4:$D$803,B3137,MOVIMIENTOS_COMPLEMENTOS!$E$4:$E$803,C3137,MOVIMIENTOS_COMPLEMENTOS!$G$4:$G$803,E3137,MOVIMIENTOS_COMPLEMENTOS!$H$4:$H$803,G3137,MOVIMIENTOS_COMPLEMENTOS!$B$4:$B$803,"INGRESO")+SUMIFS(MOVIMIENTOS_COMPLEMENTOS!$I$4:$I$803,MOVIMIENTOS_COMPLEMENTOS!$C$4:$C$803,A3137,MOVIMIENTOS_COMPLEMENTOS!$D$4:$D$803,B3137,MOVIMIENTOS_COMPLEMENTOS!$E$4:$E$803,C3137,MOVIMIENTOS_COMPLEMENTOS!$G$4:$G$803,E3137,MOVIMIENTOS_COMPLEMENTOS!$H$4:$H$803,G3137,MOVIMIENTOS_COMPLEMENTOS!$B$4:$B$803,"DE CORTE")-SUMIFS(MOVIMIENTOS_COMPLEMENTOS!$I$4:$I$803,MOVIMIENTOS_COMPLEMENTOS!$C$4:$C$803,A3137,MOVIMIENTOS_COMPLEMENTOS!$D$4:$D$803,B3137,MOVIMIENTOS_COMPLEMENTOS!$E$4:$E$803,C3137,MOVIMIENTOS_COMPLEMENTOS!$G$4:$G$803,E3137,MOVIMIENTOS_COMPLEMENTOS!$H$4:$H$803,G3137,MOVIMIENTOS_COMPLEMENTOS!$B$4:$B$803,"SALIDA"),0)</f>
        <v>0</v>
      </c>
      <c r="I3137" s="102">
        <f t="array" ref="I3137">IFERROR(INDEX(PRECIOS_COMPLEMENTOS!$C$4:$F$17,MATCH(B3137&amp;"_"&amp;C3137,PRECIOS_COMPLEMENTOS!$H$4:$H$17,0),IF(OR(G3137="S",G3137="20cm"),1,IF(OR(G3137="M",G3137="25cm"),2,IF(OR(G3137="L",G3137="30cm"),3,IF(OR(G3137="XL",G3137="35cm"),4,0))))),0)</f>
        <v>0.45</v>
      </c>
      <c r="J3137" s="103">
        <f t="shared" si="1"/>
        <v>0</v>
      </c>
      <c r="K3137" s="104" t="str">
        <f>IF(H3137&lt;0,"ERROR",IF(H3137=0,"",IF(H3137&lt;CONFIG!$B$4,"CRÍTICO",IF(H3137&lt;CONFIG!$B$5,"BAJO","OK"))))</f>
        <v/>
      </c>
    </row>
    <row r="3138" ht="15.75" customHeight="1">
      <c r="A3138" s="90" t="str">
        <f>IF(CLIENTES!A8="","",CLIENTES!A8)</f>
        <v/>
      </c>
      <c r="B3138" s="90" t="s">
        <v>333</v>
      </c>
      <c r="C3138" s="91" t="s">
        <v>334</v>
      </c>
      <c r="D3138" s="109" t="s">
        <v>353</v>
      </c>
      <c r="E3138" s="67" t="str">
        <f>COLORES!A8</f>
        <v>Beige</v>
      </c>
      <c r="F3138" s="67" t="str">
        <f>COLORES!B8</f>
        <v>CLARO</v>
      </c>
      <c r="G3138" s="90" t="s">
        <v>382</v>
      </c>
      <c r="H3138" s="100">
        <f>IFERROR(SUMIFS(MOVIMIENTOS_COMPLEMENTOS!$I$4:$I$803,MOVIMIENTOS_COMPLEMENTOS!$C$4:$C$803,A3138,MOVIMIENTOS_COMPLEMENTOS!$D$4:$D$803,B3138,MOVIMIENTOS_COMPLEMENTOS!$E$4:$E$803,C3138,MOVIMIENTOS_COMPLEMENTOS!$G$4:$G$803,E3138,MOVIMIENTOS_COMPLEMENTOS!$H$4:$H$803,G3138,MOVIMIENTOS_COMPLEMENTOS!$B$4:$B$803,"INGRESO")+SUMIFS(MOVIMIENTOS_COMPLEMENTOS!$I$4:$I$803,MOVIMIENTOS_COMPLEMENTOS!$C$4:$C$803,A3138,MOVIMIENTOS_COMPLEMENTOS!$D$4:$D$803,B3138,MOVIMIENTOS_COMPLEMENTOS!$E$4:$E$803,C3138,MOVIMIENTOS_COMPLEMENTOS!$G$4:$G$803,E3138,MOVIMIENTOS_COMPLEMENTOS!$H$4:$H$803,G3138,MOVIMIENTOS_COMPLEMENTOS!$B$4:$B$803,"DE CORTE")-SUMIFS(MOVIMIENTOS_COMPLEMENTOS!$I$4:$I$803,MOVIMIENTOS_COMPLEMENTOS!$C$4:$C$803,A3138,MOVIMIENTOS_COMPLEMENTOS!$D$4:$D$803,B3138,MOVIMIENTOS_COMPLEMENTOS!$E$4:$E$803,C3138,MOVIMIENTOS_COMPLEMENTOS!$G$4:$G$803,E3138,MOVIMIENTOS_COMPLEMENTOS!$H$4:$H$803,G3138,MOVIMIENTOS_COMPLEMENTOS!$B$4:$B$803,"SALIDA"),0)</f>
        <v>0</v>
      </c>
      <c r="I3138" s="102">
        <f t="array" ref="I3138">IFERROR(INDEX(PRECIOS_COMPLEMENTOS!$C$4:$F$17,MATCH(B3138&amp;"_"&amp;C3138,PRECIOS_COMPLEMENTOS!$H$4:$H$17,0),IF(OR(G3138="S",G3138="20cm"),1,IF(OR(G3138="M",G3138="25cm"),2,IF(OR(G3138="L",G3138="30cm"),3,IF(OR(G3138="XL",G3138="35cm"),4,0))))),0)</f>
        <v>0.45</v>
      </c>
      <c r="J3138" s="103">
        <f t="shared" si="1"/>
        <v>0</v>
      </c>
      <c r="K3138" s="104" t="str">
        <f>IF(H3138&lt;0,"ERROR",IF(H3138=0,"",IF(H3138&lt;CONFIG!$B$4,"CRÍTICO",IF(H3138&lt;CONFIG!$B$5,"BAJO","OK"))))</f>
        <v/>
      </c>
    </row>
    <row r="3139" ht="15.75" customHeight="1">
      <c r="A3139" s="90" t="str">
        <f>IF(CLIENTES!A8="","",CLIENTES!A8)</f>
        <v/>
      </c>
      <c r="B3139" s="90" t="s">
        <v>333</v>
      </c>
      <c r="C3139" s="91" t="s">
        <v>334</v>
      </c>
      <c r="D3139" s="109" t="s">
        <v>353</v>
      </c>
      <c r="E3139" s="67" t="str">
        <f>COLORES!A9</f>
        <v>Melange</v>
      </c>
      <c r="F3139" s="67" t="str">
        <f>COLORES!B9</f>
        <v>MELANGE</v>
      </c>
      <c r="G3139" s="90" t="s">
        <v>380</v>
      </c>
      <c r="H3139" s="100">
        <f>IFERROR(SUMIFS(MOVIMIENTOS_COMPLEMENTOS!$I$4:$I$803,MOVIMIENTOS_COMPLEMENTOS!$C$4:$C$803,A3139,MOVIMIENTOS_COMPLEMENTOS!$D$4:$D$803,B3139,MOVIMIENTOS_COMPLEMENTOS!$E$4:$E$803,C3139,MOVIMIENTOS_COMPLEMENTOS!$G$4:$G$803,E3139,MOVIMIENTOS_COMPLEMENTOS!$H$4:$H$803,G3139,MOVIMIENTOS_COMPLEMENTOS!$B$4:$B$803,"INGRESO")+SUMIFS(MOVIMIENTOS_COMPLEMENTOS!$I$4:$I$803,MOVIMIENTOS_COMPLEMENTOS!$C$4:$C$803,A3139,MOVIMIENTOS_COMPLEMENTOS!$D$4:$D$803,B3139,MOVIMIENTOS_COMPLEMENTOS!$E$4:$E$803,C3139,MOVIMIENTOS_COMPLEMENTOS!$G$4:$G$803,E3139,MOVIMIENTOS_COMPLEMENTOS!$H$4:$H$803,G3139,MOVIMIENTOS_COMPLEMENTOS!$B$4:$B$803,"DE CORTE")-SUMIFS(MOVIMIENTOS_COMPLEMENTOS!$I$4:$I$803,MOVIMIENTOS_COMPLEMENTOS!$C$4:$C$803,A3139,MOVIMIENTOS_COMPLEMENTOS!$D$4:$D$803,B3139,MOVIMIENTOS_COMPLEMENTOS!$E$4:$E$803,C3139,MOVIMIENTOS_COMPLEMENTOS!$G$4:$G$803,E3139,MOVIMIENTOS_COMPLEMENTOS!$H$4:$H$803,G3139,MOVIMIENTOS_COMPLEMENTOS!$B$4:$B$803,"SALIDA"),0)</f>
        <v>0</v>
      </c>
      <c r="I3139" s="102">
        <f t="array" ref="I3139">IFERROR(INDEX(PRECIOS_COMPLEMENTOS!$C$4:$F$17,MATCH(B3139&amp;"_"&amp;C3139,PRECIOS_COMPLEMENTOS!$H$4:$H$17,0),IF(OR(G3139="S",G3139="20cm"),1,IF(OR(G3139="M",G3139="25cm"),2,IF(OR(G3139="L",G3139="30cm"),3,IF(OR(G3139="XL",G3139="35cm"),4,0))))),0)</f>
        <v>0.45</v>
      </c>
      <c r="J3139" s="103">
        <f t="shared" si="1"/>
        <v>0</v>
      </c>
      <c r="K3139" s="104" t="str">
        <f>IF(H3139&lt;0,"ERROR",IF(H3139=0,"",IF(H3139&lt;CONFIG!$B$4,"CRÍTICO",IF(H3139&lt;CONFIG!$B$5,"BAJO","OK"))))</f>
        <v/>
      </c>
    </row>
    <row r="3140" ht="15.75" customHeight="1">
      <c r="A3140" s="90" t="str">
        <f>IF(CLIENTES!A8="","",CLIENTES!A8)</f>
        <v/>
      </c>
      <c r="B3140" s="90" t="s">
        <v>333</v>
      </c>
      <c r="C3140" s="91" t="s">
        <v>334</v>
      </c>
      <c r="D3140" s="109" t="s">
        <v>353</v>
      </c>
      <c r="E3140" s="67" t="str">
        <f>COLORES!A9</f>
        <v>Melange</v>
      </c>
      <c r="F3140" s="67" t="str">
        <f>COLORES!B9</f>
        <v>MELANGE</v>
      </c>
      <c r="G3140" s="90" t="s">
        <v>381</v>
      </c>
      <c r="H3140" s="100">
        <f>IFERROR(SUMIFS(MOVIMIENTOS_COMPLEMENTOS!$I$4:$I$803,MOVIMIENTOS_COMPLEMENTOS!$C$4:$C$803,A3140,MOVIMIENTOS_COMPLEMENTOS!$D$4:$D$803,B3140,MOVIMIENTOS_COMPLEMENTOS!$E$4:$E$803,C3140,MOVIMIENTOS_COMPLEMENTOS!$G$4:$G$803,E3140,MOVIMIENTOS_COMPLEMENTOS!$H$4:$H$803,G3140,MOVIMIENTOS_COMPLEMENTOS!$B$4:$B$803,"INGRESO")+SUMIFS(MOVIMIENTOS_COMPLEMENTOS!$I$4:$I$803,MOVIMIENTOS_COMPLEMENTOS!$C$4:$C$803,A3140,MOVIMIENTOS_COMPLEMENTOS!$D$4:$D$803,B3140,MOVIMIENTOS_COMPLEMENTOS!$E$4:$E$803,C3140,MOVIMIENTOS_COMPLEMENTOS!$G$4:$G$803,E3140,MOVIMIENTOS_COMPLEMENTOS!$H$4:$H$803,G3140,MOVIMIENTOS_COMPLEMENTOS!$B$4:$B$803,"DE CORTE")-SUMIFS(MOVIMIENTOS_COMPLEMENTOS!$I$4:$I$803,MOVIMIENTOS_COMPLEMENTOS!$C$4:$C$803,A3140,MOVIMIENTOS_COMPLEMENTOS!$D$4:$D$803,B3140,MOVIMIENTOS_COMPLEMENTOS!$E$4:$E$803,C3140,MOVIMIENTOS_COMPLEMENTOS!$G$4:$G$803,E3140,MOVIMIENTOS_COMPLEMENTOS!$H$4:$H$803,G3140,MOVIMIENTOS_COMPLEMENTOS!$B$4:$B$803,"SALIDA"),0)</f>
        <v>0</v>
      </c>
      <c r="I3140" s="102">
        <f t="array" ref="I3140">IFERROR(INDEX(PRECIOS_COMPLEMENTOS!$C$4:$F$17,MATCH(B3140&amp;"_"&amp;C3140,PRECIOS_COMPLEMENTOS!$H$4:$H$17,0),IF(OR(G3140="S",G3140="20cm"),1,IF(OR(G3140="M",G3140="25cm"),2,IF(OR(G3140="L",G3140="30cm"),3,IF(OR(G3140="XL",G3140="35cm"),4,0))))),0)</f>
        <v>0.45</v>
      </c>
      <c r="J3140" s="103">
        <f t="shared" si="1"/>
        <v>0</v>
      </c>
      <c r="K3140" s="104" t="str">
        <f>IF(H3140&lt;0,"ERROR",IF(H3140=0,"",IF(H3140&lt;CONFIG!$B$4,"CRÍTICO",IF(H3140&lt;CONFIG!$B$5,"BAJO","OK"))))</f>
        <v/>
      </c>
    </row>
    <row r="3141" ht="15.75" customHeight="1">
      <c r="A3141" s="90" t="str">
        <f>IF(CLIENTES!A8="","",CLIENTES!A8)</f>
        <v/>
      </c>
      <c r="B3141" s="90" t="s">
        <v>333</v>
      </c>
      <c r="C3141" s="91" t="s">
        <v>334</v>
      </c>
      <c r="D3141" s="109" t="s">
        <v>353</v>
      </c>
      <c r="E3141" s="67" t="str">
        <f>COLORES!A9</f>
        <v>Melange</v>
      </c>
      <c r="F3141" s="67" t="str">
        <f>COLORES!B9</f>
        <v>MELANGE</v>
      </c>
      <c r="G3141" s="90" t="s">
        <v>382</v>
      </c>
      <c r="H3141" s="100">
        <f>IFERROR(SUMIFS(MOVIMIENTOS_COMPLEMENTOS!$I$4:$I$803,MOVIMIENTOS_COMPLEMENTOS!$C$4:$C$803,A3141,MOVIMIENTOS_COMPLEMENTOS!$D$4:$D$803,B3141,MOVIMIENTOS_COMPLEMENTOS!$E$4:$E$803,C3141,MOVIMIENTOS_COMPLEMENTOS!$G$4:$G$803,E3141,MOVIMIENTOS_COMPLEMENTOS!$H$4:$H$803,G3141,MOVIMIENTOS_COMPLEMENTOS!$B$4:$B$803,"INGRESO")+SUMIFS(MOVIMIENTOS_COMPLEMENTOS!$I$4:$I$803,MOVIMIENTOS_COMPLEMENTOS!$C$4:$C$803,A3141,MOVIMIENTOS_COMPLEMENTOS!$D$4:$D$803,B3141,MOVIMIENTOS_COMPLEMENTOS!$E$4:$E$803,C3141,MOVIMIENTOS_COMPLEMENTOS!$G$4:$G$803,E3141,MOVIMIENTOS_COMPLEMENTOS!$H$4:$H$803,G3141,MOVIMIENTOS_COMPLEMENTOS!$B$4:$B$803,"DE CORTE")-SUMIFS(MOVIMIENTOS_COMPLEMENTOS!$I$4:$I$803,MOVIMIENTOS_COMPLEMENTOS!$C$4:$C$803,A3141,MOVIMIENTOS_COMPLEMENTOS!$D$4:$D$803,B3141,MOVIMIENTOS_COMPLEMENTOS!$E$4:$E$803,C3141,MOVIMIENTOS_COMPLEMENTOS!$G$4:$G$803,E3141,MOVIMIENTOS_COMPLEMENTOS!$H$4:$H$803,G3141,MOVIMIENTOS_COMPLEMENTOS!$B$4:$B$803,"SALIDA"),0)</f>
        <v>0</v>
      </c>
      <c r="I3141" s="102">
        <f t="array" ref="I3141">IFERROR(INDEX(PRECIOS_COMPLEMENTOS!$C$4:$F$17,MATCH(B3141&amp;"_"&amp;C3141,PRECIOS_COMPLEMENTOS!$H$4:$H$17,0),IF(OR(G3141="S",G3141="20cm"),1,IF(OR(G3141="M",G3141="25cm"),2,IF(OR(G3141="L",G3141="30cm"),3,IF(OR(G3141="XL",G3141="35cm"),4,0))))),0)</f>
        <v>0.45</v>
      </c>
      <c r="J3141" s="103">
        <f t="shared" si="1"/>
        <v>0</v>
      </c>
      <c r="K3141" s="104" t="str">
        <f>IF(H3141&lt;0,"ERROR",IF(H3141=0,"",IF(H3141&lt;CONFIG!$B$4,"CRÍTICO",IF(H3141&lt;CONFIG!$B$5,"BAJO","OK"))))</f>
        <v/>
      </c>
    </row>
    <row r="3142" ht="15.75" customHeight="1">
      <c r="A3142" s="90" t="str">
        <f>IF(CLIENTES!A8="","",CLIENTES!A8)</f>
        <v/>
      </c>
      <c r="B3142" s="90" t="s">
        <v>333</v>
      </c>
      <c r="C3142" s="91" t="s">
        <v>334</v>
      </c>
      <c r="D3142" s="109" t="s">
        <v>353</v>
      </c>
      <c r="E3142" s="67" t="str">
        <f>COLORES!A10</f>
        <v>Botella</v>
      </c>
      <c r="F3142" s="67" t="str">
        <f>COLORES!B10</f>
        <v>OSCURO</v>
      </c>
      <c r="G3142" s="90" t="s">
        <v>380</v>
      </c>
      <c r="H3142" s="100">
        <f>IFERROR(SUMIFS(MOVIMIENTOS_COMPLEMENTOS!$I$4:$I$803,MOVIMIENTOS_COMPLEMENTOS!$C$4:$C$803,A3142,MOVIMIENTOS_COMPLEMENTOS!$D$4:$D$803,B3142,MOVIMIENTOS_COMPLEMENTOS!$E$4:$E$803,C3142,MOVIMIENTOS_COMPLEMENTOS!$G$4:$G$803,E3142,MOVIMIENTOS_COMPLEMENTOS!$H$4:$H$803,G3142,MOVIMIENTOS_COMPLEMENTOS!$B$4:$B$803,"INGRESO")+SUMIFS(MOVIMIENTOS_COMPLEMENTOS!$I$4:$I$803,MOVIMIENTOS_COMPLEMENTOS!$C$4:$C$803,A3142,MOVIMIENTOS_COMPLEMENTOS!$D$4:$D$803,B3142,MOVIMIENTOS_COMPLEMENTOS!$E$4:$E$803,C3142,MOVIMIENTOS_COMPLEMENTOS!$G$4:$G$803,E3142,MOVIMIENTOS_COMPLEMENTOS!$H$4:$H$803,G3142,MOVIMIENTOS_COMPLEMENTOS!$B$4:$B$803,"DE CORTE")-SUMIFS(MOVIMIENTOS_COMPLEMENTOS!$I$4:$I$803,MOVIMIENTOS_COMPLEMENTOS!$C$4:$C$803,A3142,MOVIMIENTOS_COMPLEMENTOS!$D$4:$D$803,B3142,MOVIMIENTOS_COMPLEMENTOS!$E$4:$E$803,C3142,MOVIMIENTOS_COMPLEMENTOS!$G$4:$G$803,E3142,MOVIMIENTOS_COMPLEMENTOS!$H$4:$H$803,G3142,MOVIMIENTOS_COMPLEMENTOS!$B$4:$B$803,"SALIDA"),0)</f>
        <v>0</v>
      </c>
      <c r="I3142" s="102">
        <f t="array" ref="I3142">IFERROR(INDEX(PRECIOS_COMPLEMENTOS!$C$4:$F$17,MATCH(B3142&amp;"_"&amp;C3142,PRECIOS_COMPLEMENTOS!$H$4:$H$17,0),IF(OR(G3142="S",G3142="20cm"),1,IF(OR(G3142="M",G3142="25cm"),2,IF(OR(G3142="L",G3142="30cm"),3,IF(OR(G3142="XL",G3142="35cm"),4,0))))),0)</f>
        <v>0.45</v>
      </c>
      <c r="J3142" s="103">
        <f t="shared" si="1"/>
        <v>0</v>
      </c>
      <c r="K3142" s="104" t="str">
        <f>IF(H3142&lt;0,"ERROR",IF(H3142=0,"",IF(H3142&lt;CONFIG!$B$4,"CRÍTICO",IF(H3142&lt;CONFIG!$B$5,"BAJO","OK"))))</f>
        <v/>
      </c>
    </row>
    <row r="3143" ht="15.75" customHeight="1">
      <c r="A3143" s="90" t="str">
        <f>IF(CLIENTES!A8="","",CLIENTES!A8)</f>
        <v/>
      </c>
      <c r="B3143" s="90" t="s">
        <v>333</v>
      </c>
      <c r="C3143" s="91" t="s">
        <v>334</v>
      </c>
      <c r="D3143" s="109" t="s">
        <v>353</v>
      </c>
      <c r="E3143" s="67" t="str">
        <f>COLORES!A10</f>
        <v>Botella</v>
      </c>
      <c r="F3143" s="67" t="str">
        <f>COLORES!B10</f>
        <v>OSCURO</v>
      </c>
      <c r="G3143" s="90" t="s">
        <v>381</v>
      </c>
      <c r="H3143" s="100">
        <f>IFERROR(SUMIFS(MOVIMIENTOS_COMPLEMENTOS!$I$4:$I$803,MOVIMIENTOS_COMPLEMENTOS!$C$4:$C$803,A3143,MOVIMIENTOS_COMPLEMENTOS!$D$4:$D$803,B3143,MOVIMIENTOS_COMPLEMENTOS!$E$4:$E$803,C3143,MOVIMIENTOS_COMPLEMENTOS!$G$4:$G$803,E3143,MOVIMIENTOS_COMPLEMENTOS!$H$4:$H$803,G3143,MOVIMIENTOS_COMPLEMENTOS!$B$4:$B$803,"INGRESO")+SUMIFS(MOVIMIENTOS_COMPLEMENTOS!$I$4:$I$803,MOVIMIENTOS_COMPLEMENTOS!$C$4:$C$803,A3143,MOVIMIENTOS_COMPLEMENTOS!$D$4:$D$803,B3143,MOVIMIENTOS_COMPLEMENTOS!$E$4:$E$803,C3143,MOVIMIENTOS_COMPLEMENTOS!$G$4:$G$803,E3143,MOVIMIENTOS_COMPLEMENTOS!$H$4:$H$803,G3143,MOVIMIENTOS_COMPLEMENTOS!$B$4:$B$803,"DE CORTE")-SUMIFS(MOVIMIENTOS_COMPLEMENTOS!$I$4:$I$803,MOVIMIENTOS_COMPLEMENTOS!$C$4:$C$803,A3143,MOVIMIENTOS_COMPLEMENTOS!$D$4:$D$803,B3143,MOVIMIENTOS_COMPLEMENTOS!$E$4:$E$803,C3143,MOVIMIENTOS_COMPLEMENTOS!$G$4:$G$803,E3143,MOVIMIENTOS_COMPLEMENTOS!$H$4:$H$803,G3143,MOVIMIENTOS_COMPLEMENTOS!$B$4:$B$803,"SALIDA"),0)</f>
        <v>0</v>
      </c>
      <c r="I3143" s="102">
        <f t="array" ref="I3143">IFERROR(INDEX(PRECIOS_COMPLEMENTOS!$C$4:$F$17,MATCH(B3143&amp;"_"&amp;C3143,PRECIOS_COMPLEMENTOS!$H$4:$H$17,0),IF(OR(G3143="S",G3143="20cm"),1,IF(OR(G3143="M",G3143="25cm"),2,IF(OR(G3143="L",G3143="30cm"),3,IF(OR(G3143="XL",G3143="35cm"),4,0))))),0)</f>
        <v>0.45</v>
      </c>
      <c r="J3143" s="103">
        <f t="shared" si="1"/>
        <v>0</v>
      </c>
      <c r="K3143" s="104" t="str">
        <f>IF(H3143&lt;0,"ERROR",IF(H3143=0,"",IF(H3143&lt;CONFIG!$B$4,"CRÍTICO",IF(H3143&lt;CONFIG!$B$5,"BAJO","OK"))))</f>
        <v/>
      </c>
    </row>
    <row r="3144" ht="15.75" customHeight="1">
      <c r="A3144" s="90" t="str">
        <f>IF(CLIENTES!A8="","",CLIENTES!A8)</f>
        <v/>
      </c>
      <c r="B3144" s="90" t="s">
        <v>333</v>
      </c>
      <c r="C3144" s="91" t="s">
        <v>334</v>
      </c>
      <c r="D3144" s="109" t="s">
        <v>353</v>
      </c>
      <c r="E3144" s="67" t="str">
        <f>COLORES!A10</f>
        <v>Botella</v>
      </c>
      <c r="F3144" s="67" t="str">
        <f>COLORES!B10</f>
        <v>OSCURO</v>
      </c>
      <c r="G3144" s="90" t="s">
        <v>382</v>
      </c>
      <c r="H3144" s="100">
        <f>IFERROR(SUMIFS(MOVIMIENTOS_COMPLEMENTOS!$I$4:$I$803,MOVIMIENTOS_COMPLEMENTOS!$C$4:$C$803,A3144,MOVIMIENTOS_COMPLEMENTOS!$D$4:$D$803,B3144,MOVIMIENTOS_COMPLEMENTOS!$E$4:$E$803,C3144,MOVIMIENTOS_COMPLEMENTOS!$G$4:$G$803,E3144,MOVIMIENTOS_COMPLEMENTOS!$H$4:$H$803,G3144,MOVIMIENTOS_COMPLEMENTOS!$B$4:$B$803,"INGRESO")+SUMIFS(MOVIMIENTOS_COMPLEMENTOS!$I$4:$I$803,MOVIMIENTOS_COMPLEMENTOS!$C$4:$C$803,A3144,MOVIMIENTOS_COMPLEMENTOS!$D$4:$D$803,B3144,MOVIMIENTOS_COMPLEMENTOS!$E$4:$E$803,C3144,MOVIMIENTOS_COMPLEMENTOS!$G$4:$G$803,E3144,MOVIMIENTOS_COMPLEMENTOS!$H$4:$H$803,G3144,MOVIMIENTOS_COMPLEMENTOS!$B$4:$B$803,"DE CORTE")-SUMIFS(MOVIMIENTOS_COMPLEMENTOS!$I$4:$I$803,MOVIMIENTOS_COMPLEMENTOS!$C$4:$C$803,A3144,MOVIMIENTOS_COMPLEMENTOS!$D$4:$D$803,B3144,MOVIMIENTOS_COMPLEMENTOS!$E$4:$E$803,C3144,MOVIMIENTOS_COMPLEMENTOS!$G$4:$G$803,E3144,MOVIMIENTOS_COMPLEMENTOS!$H$4:$H$803,G3144,MOVIMIENTOS_COMPLEMENTOS!$B$4:$B$803,"SALIDA"),0)</f>
        <v>0</v>
      </c>
      <c r="I3144" s="102">
        <f t="array" ref="I3144">IFERROR(INDEX(PRECIOS_COMPLEMENTOS!$C$4:$F$17,MATCH(B3144&amp;"_"&amp;C3144,PRECIOS_COMPLEMENTOS!$H$4:$H$17,0),IF(OR(G3144="S",G3144="20cm"),1,IF(OR(G3144="M",G3144="25cm"),2,IF(OR(G3144="L",G3144="30cm"),3,IF(OR(G3144="XL",G3144="35cm"),4,0))))),0)</f>
        <v>0.45</v>
      </c>
      <c r="J3144" s="103">
        <f t="shared" si="1"/>
        <v>0</v>
      </c>
      <c r="K3144" s="104" t="str">
        <f>IF(H3144&lt;0,"ERROR",IF(H3144=0,"",IF(H3144&lt;CONFIG!$B$4,"CRÍTICO",IF(H3144&lt;CONFIG!$B$5,"BAJO","OK"))))</f>
        <v/>
      </c>
    </row>
    <row r="3145" ht="15.75" customHeight="1">
      <c r="A3145" s="90" t="str">
        <f>IF(CLIENTES!A8="","",CLIENTES!A8)</f>
        <v/>
      </c>
      <c r="B3145" s="90" t="s">
        <v>333</v>
      </c>
      <c r="C3145" s="91" t="s">
        <v>334</v>
      </c>
      <c r="D3145" s="109" t="s">
        <v>353</v>
      </c>
      <c r="E3145" s="67" t="str">
        <f>COLORES!A11</f>
        <v>Pacay</v>
      </c>
      <c r="F3145" s="67" t="str">
        <f>COLORES!B11</f>
        <v>CLARO</v>
      </c>
      <c r="G3145" s="90" t="s">
        <v>380</v>
      </c>
      <c r="H3145" s="100">
        <f>IFERROR(SUMIFS(MOVIMIENTOS_COMPLEMENTOS!$I$4:$I$803,MOVIMIENTOS_COMPLEMENTOS!$C$4:$C$803,A3145,MOVIMIENTOS_COMPLEMENTOS!$D$4:$D$803,B3145,MOVIMIENTOS_COMPLEMENTOS!$E$4:$E$803,C3145,MOVIMIENTOS_COMPLEMENTOS!$G$4:$G$803,E3145,MOVIMIENTOS_COMPLEMENTOS!$H$4:$H$803,G3145,MOVIMIENTOS_COMPLEMENTOS!$B$4:$B$803,"INGRESO")+SUMIFS(MOVIMIENTOS_COMPLEMENTOS!$I$4:$I$803,MOVIMIENTOS_COMPLEMENTOS!$C$4:$C$803,A3145,MOVIMIENTOS_COMPLEMENTOS!$D$4:$D$803,B3145,MOVIMIENTOS_COMPLEMENTOS!$E$4:$E$803,C3145,MOVIMIENTOS_COMPLEMENTOS!$G$4:$G$803,E3145,MOVIMIENTOS_COMPLEMENTOS!$H$4:$H$803,G3145,MOVIMIENTOS_COMPLEMENTOS!$B$4:$B$803,"DE CORTE")-SUMIFS(MOVIMIENTOS_COMPLEMENTOS!$I$4:$I$803,MOVIMIENTOS_COMPLEMENTOS!$C$4:$C$803,A3145,MOVIMIENTOS_COMPLEMENTOS!$D$4:$D$803,B3145,MOVIMIENTOS_COMPLEMENTOS!$E$4:$E$803,C3145,MOVIMIENTOS_COMPLEMENTOS!$G$4:$G$803,E3145,MOVIMIENTOS_COMPLEMENTOS!$H$4:$H$803,G3145,MOVIMIENTOS_COMPLEMENTOS!$B$4:$B$803,"SALIDA"),0)</f>
        <v>0</v>
      </c>
      <c r="I3145" s="102">
        <f t="array" ref="I3145">IFERROR(INDEX(PRECIOS_COMPLEMENTOS!$C$4:$F$17,MATCH(B3145&amp;"_"&amp;C3145,PRECIOS_COMPLEMENTOS!$H$4:$H$17,0),IF(OR(G3145="S",G3145="20cm"),1,IF(OR(G3145="M",G3145="25cm"),2,IF(OR(G3145="L",G3145="30cm"),3,IF(OR(G3145="XL",G3145="35cm"),4,0))))),0)</f>
        <v>0.45</v>
      </c>
      <c r="J3145" s="103">
        <f t="shared" si="1"/>
        <v>0</v>
      </c>
      <c r="K3145" s="104" t="str">
        <f>IF(H3145&lt;0,"ERROR",IF(H3145=0,"",IF(H3145&lt;CONFIG!$B$4,"CRÍTICO",IF(H3145&lt;CONFIG!$B$5,"BAJO","OK"))))</f>
        <v/>
      </c>
    </row>
    <row r="3146" ht="15.75" customHeight="1">
      <c r="A3146" s="90" t="str">
        <f>IF(CLIENTES!A8="","",CLIENTES!A8)</f>
        <v/>
      </c>
      <c r="B3146" s="90" t="s">
        <v>333</v>
      </c>
      <c r="C3146" s="91" t="s">
        <v>334</v>
      </c>
      <c r="D3146" s="109" t="s">
        <v>353</v>
      </c>
      <c r="E3146" s="67" t="str">
        <f>COLORES!A11</f>
        <v>Pacay</v>
      </c>
      <c r="F3146" s="67" t="str">
        <f>COLORES!B11</f>
        <v>CLARO</v>
      </c>
      <c r="G3146" s="90" t="s">
        <v>381</v>
      </c>
      <c r="H3146" s="100">
        <f>IFERROR(SUMIFS(MOVIMIENTOS_COMPLEMENTOS!$I$4:$I$803,MOVIMIENTOS_COMPLEMENTOS!$C$4:$C$803,A3146,MOVIMIENTOS_COMPLEMENTOS!$D$4:$D$803,B3146,MOVIMIENTOS_COMPLEMENTOS!$E$4:$E$803,C3146,MOVIMIENTOS_COMPLEMENTOS!$G$4:$G$803,E3146,MOVIMIENTOS_COMPLEMENTOS!$H$4:$H$803,G3146,MOVIMIENTOS_COMPLEMENTOS!$B$4:$B$803,"INGRESO")+SUMIFS(MOVIMIENTOS_COMPLEMENTOS!$I$4:$I$803,MOVIMIENTOS_COMPLEMENTOS!$C$4:$C$803,A3146,MOVIMIENTOS_COMPLEMENTOS!$D$4:$D$803,B3146,MOVIMIENTOS_COMPLEMENTOS!$E$4:$E$803,C3146,MOVIMIENTOS_COMPLEMENTOS!$G$4:$G$803,E3146,MOVIMIENTOS_COMPLEMENTOS!$H$4:$H$803,G3146,MOVIMIENTOS_COMPLEMENTOS!$B$4:$B$803,"DE CORTE")-SUMIFS(MOVIMIENTOS_COMPLEMENTOS!$I$4:$I$803,MOVIMIENTOS_COMPLEMENTOS!$C$4:$C$803,A3146,MOVIMIENTOS_COMPLEMENTOS!$D$4:$D$803,B3146,MOVIMIENTOS_COMPLEMENTOS!$E$4:$E$803,C3146,MOVIMIENTOS_COMPLEMENTOS!$G$4:$G$803,E3146,MOVIMIENTOS_COMPLEMENTOS!$H$4:$H$803,G3146,MOVIMIENTOS_COMPLEMENTOS!$B$4:$B$803,"SALIDA"),0)</f>
        <v>0</v>
      </c>
      <c r="I3146" s="102">
        <f t="array" ref="I3146">IFERROR(INDEX(PRECIOS_COMPLEMENTOS!$C$4:$F$17,MATCH(B3146&amp;"_"&amp;C3146,PRECIOS_COMPLEMENTOS!$H$4:$H$17,0),IF(OR(G3146="S",G3146="20cm"),1,IF(OR(G3146="M",G3146="25cm"),2,IF(OR(G3146="L",G3146="30cm"),3,IF(OR(G3146="XL",G3146="35cm"),4,0))))),0)</f>
        <v>0.45</v>
      </c>
      <c r="J3146" s="103">
        <f t="shared" si="1"/>
        <v>0</v>
      </c>
      <c r="K3146" s="104" t="str">
        <f>IF(H3146&lt;0,"ERROR",IF(H3146=0,"",IF(H3146&lt;CONFIG!$B$4,"CRÍTICO",IF(H3146&lt;CONFIG!$B$5,"BAJO","OK"))))</f>
        <v/>
      </c>
    </row>
    <row r="3147" ht="15.75" customHeight="1">
      <c r="A3147" s="90" t="str">
        <f>IF(CLIENTES!A8="","",CLIENTES!A8)</f>
        <v/>
      </c>
      <c r="B3147" s="90" t="s">
        <v>333</v>
      </c>
      <c r="C3147" s="91" t="s">
        <v>334</v>
      </c>
      <c r="D3147" s="109" t="s">
        <v>353</v>
      </c>
      <c r="E3147" s="67" t="str">
        <f>COLORES!A11</f>
        <v>Pacay</v>
      </c>
      <c r="F3147" s="67" t="str">
        <f>COLORES!B11</f>
        <v>CLARO</v>
      </c>
      <c r="G3147" s="90" t="s">
        <v>382</v>
      </c>
      <c r="H3147" s="100">
        <f>IFERROR(SUMIFS(MOVIMIENTOS_COMPLEMENTOS!$I$4:$I$803,MOVIMIENTOS_COMPLEMENTOS!$C$4:$C$803,A3147,MOVIMIENTOS_COMPLEMENTOS!$D$4:$D$803,B3147,MOVIMIENTOS_COMPLEMENTOS!$E$4:$E$803,C3147,MOVIMIENTOS_COMPLEMENTOS!$G$4:$G$803,E3147,MOVIMIENTOS_COMPLEMENTOS!$H$4:$H$803,G3147,MOVIMIENTOS_COMPLEMENTOS!$B$4:$B$803,"INGRESO")+SUMIFS(MOVIMIENTOS_COMPLEMENTOS!$I$4:$I$803,MOVIMIENTOS_COMPLEMENTOS!$C$4:$C$803,A3147,MOVIMIENTOS_COMPLEMENTOS!$D$4:$D$803,B3147,MOVIMIENTOS_COMPLEMENTOS!$E$4:$E$803,C3147,MOVIMIENTOS_COMPLEMENTOS!$G$4:$G$803,E3147,MOVIMIENTOS_COMPLEMENTOS!$H$4:$H$803,G3147,MOVIMIENTOS_COMPLEMENTOS!$B$4:$B$803,"DE CORTE")-SUMIFS(MOVIMIENTOS_COMPLEMENTOS!$I$4:$I$803,MOVIMIENTOS_COMPLEMENTOS!$C$4:$C$803,A3147,MOVIMIENTOS_COMPLEMENTOS!$D$4:$D$803,B3147,MOVIMIENTOS_COMPLEMENTOS!$E$4:$E$803,C3147,MOVIMIENTOS_COMPLEMENTOS!$G$4:$G$803,E3147,MOVIMIENTOS_COMPLEMENTOS!$H$4:$H$803,G3147,MOVIMIENTOS_COMPLEMENTOS!$B$4:$B$803,"SALIDA"),0)</f>
        <v>0</v>
      </c>
      <c r="I3147" s="102">
        <f t="array" ref="I3147">IFERROR(INDEX(PRECIOS_COMPLEMENTOS!$C$4:$F$17,MATCH(B3147&amp;"_"&amp;C3147,PRECIOS_COMPLEMENTOS!$H$4:$H$17,0),IF(OR(G3147="S",G3147="20cm"),1,IF(OR(G3147="M",G3147="25cm"),2,IF(OR(G3147="L",G3147="30cm"),3,IF(OR(G3147="XL",G3147="35cm"),4,0))))),0)</f>
        <v>0.45</v>
      </c>
      <c r="J3147" s="103">
        <f t="shared" si="1"/>
        <v>0</v>
      </c>
      <c r="K3147" s="104" t="str">
        <f>IF(H3147&lt;0,"ERROR",IF(H3147=0,"",IF(H3147&lt;CONFIG!$B$4,"CRÍTICO",IF(H3147&lt;CONFIG!$B$5,"BAJO","OK"))))</f>
        <v/>
      </c>
    </row>
    <row r="3148" ht="15.75" customHeight="1">
      <c r="A3148" s="90" t="str">
        <f>IF(CLIENTES!A8="","",CLIENTES!A8)</f>
        <v/>
      </c>
      <c r="B3148" s="90" t="s">
        <v>333</v>
      </c>
      <c r="C3148" s="91" t="s">
        <v>334</v>
      </c>
      <c r="D3148" s="109" t="s">
        <v>353</v>
      </c>
      <c r="E3148" s="67" t="str">
        <f>COLORES!A12</f>
        <v>Cemento</v>
      </c>
      <c r="F3148" s="67" t="str">
        <f>COLORES!B12</f>
        <v>CLARO</v>
      </c>
      <c r="G3148" s="90" t="s">
        <v>380</v>
      </c>
      <c r="H3148" s="100">
        <f>IFERROR(SUMIFS(MOVIMIENTOS_COMPLEMENTOS!$I$4:$I$803,MOVIMIENTOS_COMPLEMENTOS!$C$4:$C$803,A3148,MOVIMIENTOS_COMPLEMENTOS!$D$4:$D$803,B3148,MOVIMIENTOS_COMPLEMENTOS!$E$4:$E$803,C3148,MOVIMIENTOS_COMPLEMENTOS!$G$4:$G$803,E3148,MOVIMIENTOS_COMPLEMENTOS!$H$4:$H$803,G3148,MOVIMIENTOS_COMPLEMENTOS!$B$4:$B$803,"INGRESO")+SUMIFS(MOVIMIENTOS_COMPLEMENTOS!$I$4:$I$803,MOVIMIENTOS_COMPLEMENTOS!$C$4:$C$803,A3148,MOVIMIENTOS_COMPLEMENTOS!$D$4:$D$803,B3148,MOVIMIENTOS_COMPLEMENTOS!$E$4:$E$803,C3148,MOVIMIENTOS_COMPLEMENTOS!$G$4:$G$803,E3148,MOVIMIENTOS_COMPLEMENTOS!$H$4:$H$803,G3148,MOVIMIENTOS_COMPLEMENTOS!$B$4:$B$803,"DE CORTE")-SUMIFS(MOVIMIENTOS_COMPLEMENTOS!$I$4:$I$803,MOVIMIENTOS_COMPLEMENTOS!$C$4:$C$803,A3148,MOVIMIENTOS_COMPLEMENTOS!$D$4:$D$803,B3148,MOVIMIENTOS_COMPLEMENTOS!$E$4:$E$803,C3148,MOVIMIENTOS_COMPLEMENTOS!$G$4:$G$803,E3148,MOVIMIENTOS_COMPLEMENTOS!$H$4:$H$803,G3148,MOVIMIENTOS_COMPLEMENTOS!$B$4:$B$803,"SALIDA"),0)</f>
        <v>0</v>
      </c>
      <c r="I3148" s="102">
        <f t="array" ref="I3148">IFERROR(INDEX(PRECIOS_COMPLEMENTOS!$C$4:$F$17,MATCH(B3148&amp;"_"&amp;C3148,PRECIOS_COMPLEMENTOS!$H$4:$H$17,0),IF(OR(G3148="S",G3148="20cm"),1,IF(OR(G3148="M",G3148="25cm"),2,IF(OR(G3148="L",G3148="30cm"),3,IF(OR(G3148="XL",G3148="35cm"),4,0))))),0)</f>
        <v>0.45</v>
      </c>
      <c r="J3148" s="103">
        <f t="shared" si="1"/>
        <v>0</v>
      </c>
      <c r="K3148" s="104" t="str">
        <f>IF(H3148&lt;0,"ERROR",IF(H3148=0,"",IF(H3148&lt;CONFIG!$B$4,"CRÍTICO",IF(H3148&lt;CONFIG!$B$5,"BAJO","OK"))))</f>
        <v/>
      </c>
    </row>
    <row r="3149" ht="15.75" customHeight="1">
      <c r="A3149" s="90" t="str">
        <f>IF(CLIENTES!A8="","",CLIENTES!A8)</f>
        <v/>
      </c>
      <c r="B3149" s="90" t="s">
        <v>333</v>
      </c>
      <c r="C3149" s="91" t="s">
        <v>334</v>
      </c>
      <c r="D3149" s="109" t="s">
        <v>353</v>
      </c>
      <c r="E3149" s="67" t="str">
        <f>COLORES!A12</f>
        <v>Cemento</v>
      </c>
      <c r="F3149" s="67" t="str">
        <f>COLORES!B12</f>
        <v>CLARO</v>
      </c>
      <c r="G3149" s="90" t="s">
        <v>381</v>
      </c>
      <c r="H3149" s="100">
        <f>IFERROR(SUMIFS(MOVIMIENTOS_COMPLEMENTOS!$I$4:$I$803,MOVIMIENTOS_COMPLEMENTOS!$C$4:$C$803,A3149,MOVIMIENTOS_COMPLEMENTOS!$D$4:$D$803,B3149,MOVIMIENTOS_COMPLEMENTOS!$E$4:$E$803,C3149,MOVIMIENTOS_COMPLEMENTOS!$G$4:$G$803,E3149,MOVIMIENTOS_COMPLEMENTOS!$H$4:$H$803,G3149,MOVIMIENTOS_COMPLEMENTOS!$B$4:$B$803,"INGRESO")+SUMIFS(MOVIMIENTOS_COMPLEMENTOS!$I$4:$I$803,MOVIMIENTOS_COMPLEMENTOS!$C$4:$C$803,A3149,MOVIMIENTOS_COMPLEMENTOS!$D$4:$D$803,B3149,MOVIMIENTOS_COMPLEMENTOS!$E$4:$E$803,C3149,MOVIMIENTOS_COMPLEMENTOS!$G$4:$G$803,E3149,MOVIMIENTOS_COMPLEMENTOS!$H$4:$H$803,G3149,MOVIMIENTOS_COMPLEMENTOS!$B$4:$B$803,"DE CORTE")-SUMIFS(MOVIMIENTOS_COMPLEMENTOS!$I$4:$I$803,MOVIMIENTOS_COMPLEMENTOS!$C$4:$C$803,A3149,MOVIMIENTOS_COMPLEMENTOS!$D$4:$D$803,B3149,MOVIMIENTOS_COMPLEMENTOS!$E$4:$E$803,C3149,MOVIMIENTOS_COMPLEMENTOS!$G$4:$G$803,E3149,MOVIMIENTOS_COMPLEMENTOS!$H$4:$H$803,G3149,MOVIMIENTOS_COMPLEMENTOS!$B$4:$B$803,"SALIDA"),0)</f>
        <v>0</v>
      </c>
      <c r="I3149" s="102">
        <f t="array" ref="I3149">IFERROR(INDEX(PRECIOS_COMPLEMENTOS!$C$4:$F$17,MATCH(B3149&amp;"_"&amp;C3149,PRECIOS_COMPLEMENTOS!$H$4:$H$17,0),IF(OR(G3149="S",G3149="20cm"),1,IF(OR(G3149="M",G3149="25cm"),2,IF(OR(G3149="L",G3149="30cm"),3,IF(OR(G3149="XL",G3149="35cm"),4,0))))),0)</f>
        <v>0.45</v>
      </c>
      <c r="J3149" s="103">
        <f t="shared" si="1"/>
        <v>0</v>
      </c>
      <c r="K3149" s="104" t="str">
        <f>IF(H3149&lt;0,"ERROR",IF(H3149=0,"",IF(H3149&lt;CONFIG!$B$4,"CRÍTICO",IF(H3149&lt;CONFIG!$B$5,"BAJO","OK"))))</f>
        <v/>
      </c>
    </row>
    <row r="3150" ht="15.75" customHeight="1">
      <c r="A3150" s="90" t="str">
        <f>IF(CLIENTES!A8="","",CLIENTES!A8)</f>
        <v/>
      </c>
      <c r="B3150" s="90" t="s">
        <v>333</v>
      </c>
      <c r="C3150" s="91" t="s">
        <v>334</v>
      </c>
      <c r="D3150" s="109" t="s">
        <v>353</v>
      </c>
      <c r="E3150" s="67" t="str">
        <f>COLORES!A12</f>
        <v>Cemento</v>
      </c>
      <c r="F3150" s="67" t="str">
        <f>COLORES!B12</f>
        <v>CLARO</v>
      </c>
      <c r="G3150" s="90" t="s">
        <v>382</v>
      </c>
      <c r="H3150" s="100">
        <f>IFERROR(SUMIFS(MOVIMIENTOS_COMPLEMENTOS!$I$4:$I$803,MOVIMIENTOS_COMPLEMENTOS!$C$4:$C$803,A3150,MOVIMIENTOS_COMPLEMENTOS!$D$4:$D$803,B3150,MOVIMIENTOS_COMPLEMENTOS!$E$4:$E$803,C3150,MOVIMIENTOS_COMPLEMENTOS!$G$4:$G$803,E3150,MOVIMIENTOS_COMPLEMENTOS!$H$4:$H$803,G3150,MOVIMIENTOS_COMPLEMENTOS!$B$4:$B$803,"INGRESO")+SUMIFS(MOVIMIENTOS_COMPLEMENTOS!$I$4:$I$803,MOVIMIENTOS_COMPLEMENTOS!$C$4:$C$803,A3150,MOVIMIENTOS_COMPLEMENTOS!$D$4:$D$803,B3150,MOVIMIENTOS_COMPLEMENTOS!$E$4:$E$803,C3150,MOVIMIENTOS_COMPLEMENTOS!$G$4:$G$803,E3150,MOVIMIENTOS_COMPLEMENTOS!$H$4:$H$803,G3150,MOVIMIENTOS_COMPLEMENTOS!$B$4:$B$803,"DE CORTE")-SUMIFS(MOVIMIENTOS_COMPLEMENTOS!$I$4:$I$803,MOVIMIENTOS_COMPLEMENTOS!$C$4:$C$803,A3150,MOVIMIENTOS_COMPLEMENTOS!$D$4:$D$803,B3150,MOVIMIENTOS_COMPLEMENTOS!$E$4:$E$803,C3150,MOVIMIENTOS_COMPLEMENTOS!$G$4:$G$803,E3150,MOVIMIENTOS_COMPLEMENTOS!$H$4:$H$803,G3150,MOVIMIENTOS_COMPLEMENTOS!$B$4:$B$803,"SALIDA"),0)</f>
        <v>0</v>
      </c>
      <c r="I3150" s="102">
        <f t="array" ref="I3150">IFERROR(INDEX(PRECIOS_COMPLEMENTOS!$C$4:$F$17,MATCH(B3150&amp;"_"&amp;C3150,PRECIOS_COMPLEMENTOS!$H$4:$H$17,0),IF(OR(G3150="S",G3150="20cm"),1,IF(OR(G3150="M",G3150="25cm"),2,IF(OR(G3150="L",G3150="30cm"),3,IF(OR(G3150="XL",G3150="35cm"),4,0))))),0)</f>
        <v>0.45</v>
      </c>
      <c r="J3150" s="103">
        <f t="shared" si="1"/>
        <v>0</v>
      </c>
      <c r="K3150" s="104" t="str">
        <f>IF(H3150&lt;0,"ERROR",IF(H3150=0,"",IF(H3150&lt;CONFIG!$B$4,"CRÍTICO",IF(H3150&lt;CONFIG!$B$5,"BAJO","OK"))))</f>
        <v/>
      </c>
    </row>
    <row r="3151" ht="15.75" customHeight="1">
      <c r="A3151" s="90" t="str">
        <f>IF(CLIENTES!A8="","",CLIENTES!A8)</f>
        <v/>
      </c>
      <c r="B3151" s="90" t="s">
        <v>333</v>
      </c>
      <c r="C3151" s="91" t="s">
        <v>334</v>
      </c>
      <c r="D3151" s="109" t="s">
        <v>353</v>
      </c>
      <c r="E3151" s="67" t="str">
        <f>COLORES!A13</f>
        <v>Camote</v>
      </c>
      <c r="F3151" s="67" t="str">
        <f>COLORES!B13</f>
        <v>CLARO</v>
      </c>
      <c r="G3151" s="90" t="s">
        <v>380</v>
      </c>
      <c r="H3151" s="100">
        <f>IFERROR(SUMIFS(MOVIMIENTOS_COMPLEMENTOS!$I$4:$I$803,MOVIMIENTOS_COMPLEMENTOS!$C$4:$C$803,A3151,MOVIMIENTOS_COMPLEMENTOS!$D$4:$D$803,B3151,MOVIMIENTOS_COMPLEMENTOS!$E$4:$E$803,C3151,MOVIMIENTOS_COMPLEMENTOS!$G$4:$G$803,E3151,MOVIMIENTOS_COMPLEMENTOS!$H$4:$H$803,G3151,MOVIMIENTOS_COMPLEMENTOS!$B$4:$B$803,"INGRESO")+SUMIFS(MOVIMIENTOS_COMPLEMENTOS!$I$4:$I$803,MOVIMIENTOS_COMPLEMENTOS!$C$4:$C$803,A3151,MOVIMIENTOS_COMPLEMENTOS!$D$4:$D$803,B3151,MOVIMIENTOS_COMPLEMENTOS!$E$4:$E$803,C3151,MOVIMIENTOS_COMPLEMENTOS!$G$4:$G$803,E3151,MOVIMIENTOS_COMPLEMENTOS!$H$4:$H$803,G3151,MOVIMIENTOS_COMPLEMENTOS!$B$4:$B$803,"DE CORTE")-SUMIFS(MOVIMIENTOS_COMPLEMENTOS!$I$4:$I$803,MOVIMIENTOS_COMPLEMENTOS!$C$4:$C$803,A3151,MOVIMIENTOS_COMPLEMENTOS!$D$4:$D$803,B3151,MOVIMIENTOS_COMPLEMENTOS!$E$4:$E$803,C3151,MOVIMIENTOS_COMPLEMENTOS!$G$4:$G$803,E3151,MOVIMIENTOS_COMPLEMENTOS!$H$4:$H$803,G3151,MOVIMIENTOS_COMPLEMENTOS!$B$4:$B$803,"SALIDA"),0)</f>
        <v>0</v>
      </c>
      <c r="I3151" s="102">
        <f t="array" ref="I3151">IFERROR(INDEX(PRECIOS_COMPLEMENTOS!$C$4:$F$17,MATCH(B3151&amp;"_"&amp;C3151,PRECIOS_COMPLEMENTOS!$H$4:$H$17,0),IF(OR(G3151="S",G3151="20cm"),1,IF(OR(G3151="M",G3151="25cm"),2,IF(OR(G3151="L",G3151="30cm"),3,IF(OR(G3151="XL",G3151="35cm"),4,0))))),0)</f>
        <v>0.45</v>
      </c>
      <c r="J3151" s="103">
        <f t="shared" si="1"/>
        <v>0</v>
      </c>
      <c r="K3151" s="104" t="str">
        <f>IF(H3151&lt;0,"ERROR",IF(H3151=0,"",IF(H3151&lt;CONFIG!$B$4,"CRÍTICO",IF(H3151&lt;CONFIG!$B$5,"BAJO","OK"))))</f>
        <v/>
      </c>
    </row>
    <row r="3152" ht="15.75" customHeight="1">
      <c r="A3152" s="90" t="str">
        <f>IF(CLIENTES!A8="","",CLIENTES!A8)</f>
        <v/>
      </c>
      <c r="B3152" s="90" t="s">
        <v>333</v>
      </c>
      <c r="C3152" s="91" t="s">
        <v>334</v>
      </c>
      <c r="D3152" s="109" t="s">
        <v>353</v>
      </c>
      <c r="E3152" s="67" t="str">
        <f>COLORES!A13</f>
        <v>Camote</v>
      </c>
      <c r="F3152" s="67" t="str">
        <f>COLORES!B13</f>
        <v>CLARO</v>
      </c>
      <c r="G3152" s="90" t="s">
        <v>381</v>
      </c>
      <c r="H3152" s="100">
        <f>IFERROR(SUMIFS(MOVIMIENTOS_COMPLEMENTOS!$I$4:$I$803,MOVIMIENTOS_COMPLEMENTOS!$C$4:$C$803,A3152,MOVIMIENTOS_COMPLEMENTOS!$D$4:$D$803,B3152,MOVIMIENTOS_COMPLEMENTOS!$E$4:$E$803,C3152,MOVIMIENTOS_COMPLEMENTOS!$G$4:$G$803,E3152,MOVIMIENTOS_COMPLEMENTOS!$H$4:$H$803,G3152,MOVIMIENTOS_COMPLEMENTOS!$B$4:$B$803,"INGRESO")+SUMIFS(MOVIMIENTOS_COMPLEMENTOS!$I$4:$I$803,MOVIMIENTOS_COMPLEMENTOS!$C$4:$C$803,A3152,MOVIMIENTOS_COMPLEMENTOS!$D$4:$D$803,B3152,MOVIMIENTOS_COMPLEMENTOS!$E$4:$E$803,C3152,MOVIMIENTOS_COMPLEMENTOS!$G$4:$G$803,E3152,MOVIMIENTOS_COMPLEMENTOS!$H$4:$H$803,G3152,MOVIMIENTOS_COMPLEMENTOS!$B$4:$B$803,"DE CORTE")-SUMIFS(MOVIMIENTOS_COMPLEMENTOS!$I$4:$I$803,MOVIMIENTOS_COMPLEMENTOS!$C$4:$C$803,A3152,MOVIMIENTOS_COMPLEMENTOS!$D$4:$D$803,B3152,MOVIMIENTOS_COMPLEMENTOS!$E$4:$E$803,C3152,MOVIMIENTOS_COMPLEMENTOS!$G$4:$G$803,E3152,MOVIMIENTOS_COMPLEMENTOS!$H$4:$H$803,G3152,MOVIMIENTOS_COMPLEMENTOS!$B$4:$B$803,"SALIDA"),0)</f>
        <v>0</v>
      </c>
      <c r="I3152" s="102">
        <f t="array" ref="I3152">IFERROR(INDEX(PRECIOS_COMPLEMENTOS!$C$4:$F$17,MATCH(B3152&amp;"_"&amp;C3152,PRECIOS_COMPLEMENTOS!$H$4:$H$17,0),IF(OR(G3152="S",G3152="20cm"),1,IF(OR(G3152="M",G3152="25cm"),2,IF(OR(G3152="L",G3152="30cm"),3,IF(OR(G3152="XL",G3152="35cm"),4,0))))),0)</f>
        <v>0.45</v>
      </c>
      <c r="J3152" s="103">
        <f t="shared" si="1"/>
        <v>0</v>
      </c>
      <c r="K3152" s="104" t="str">
        <f>IF(H3152&lt;0,"ERROR",IF(H3152=0,"",IF(H3152&lt;CONFIG!$B$4,"CRÍTICO",IF(H3152&lt;CONFIG!$B$5,"BAJO","OK"))))</f>
        <v/>
      </c>
    </row>
    <row r="3153" ht="15.75" customHeight="1">
      <c r="A3153" s="90" t="str">
        <f>IF(CLIENTES!A8="","",CLIENTES!A8)</f>
        <v/>
      </c>
      <c r="B3153" s="90" t="s">
        <v>333</v>
      </c>
      <c r="C3153" s="91" t="s">
        <v>334</v>
      </c>
      <c r="D3153" s="109" t="s">
        <v>353</v>
      </c>
      <c r="E3153" s="67" t="str">
        <f>COLORES!A13</f>
        <v>Camote</v>
      </c>
      <c r="F3153" s="67" t="str">
        <f>COLORES!B13</f>
        <v>CLARO</v>
      </c>
      <c r="G3153" s="90" t="s">
        <v>382</v>
      </c>
      <c r="H3153" s="100">
        <f>IFERROR(SUMIFS(MOVIMIENTOS_COMPLEMENTOS!$I$4:$I$803,MOVIMIENTOS_COMPLEMENTOS!$C$4:$C$803,A3153,MOVIMIENTOS_COMPLEMENTOS!$D$4:$D$803,B3153,MOVIMIENTOS_COMPLEMENTOS!$E$4:$E$803,C3153,MOVIMIENTOS_COMPLEMENTOS!$G$4:$G$803,E3153,MOVIMIENTOS_COMPLEMENTOS!$H$4:$H$803,G3153,MOVIMIENTOS_COMPLEMENTOS!$B$4:$B$803,"INGRESO")+SUMIFS(MOVIMIENTOS_COMPLEMENTOS!$I$4:$I$803,MOVIMIENTOS_COMPLEMENTOS!$C$4:$C$803,A3153,MOVIMIENTOS_COMPLEMENTOS!$D$4:$D$803,B3153,MOVIMIENTOS_COMPLEMENTOS!$E$4:$E$803,C3153,MOVIMIENTOS_COMPLEMENTOS!$G$4:$G$803,E3153,MOVIMIENTOS_COMPLEMENTOS!$H$4:$H$803,G3153,MOVIMIENTOS_COMPLEMENTOS!$B$4:$B$803,"DE CORTE")-SUMIFS(MOVIMIENTOS_COMPLEMENTOS!$I$4:$I$803,MOVIMIENTOS_COMPLEMENTOS!$C$4:$C$803,A3153,MOVIMIENTOS_COMPLEMENTOS!$D$4:$D$803,B3153,MOVIMIENTOS_COMPLEMENTOS!$E$4:$E$803,C3153,MOVIMIENTOS_COMPLEMENTOS!$G$4:$G$803,E3153,MOVIMIENTOS_COMPLEMENTOS!$H$4:$H$803,G3153,MOVIMIENTOS_COMPLEMENTOS!$B$4:$B$803,"SALIDA"),0)</f>
        <v>0</v>
      </c>
      <c r="I3153" s="102">
        <f t="array" ref="I3153">IFERROR(INDEX(PRECIOS_COMPLEMENTOS!$C$4:$F$17,MATCH(B3153&amp;"_"&amp;C3153,PRECIOS_COMPLEMENTOS!$H$4:$H$17,0),IF(OR(G3153="S",G3153="20cm"),1,IF(OR(G3153="M",G3153="25cm"),2,IF(OR(G3153="L",G3153="30cm"),3,IF(OR(G3153="XL",G3153="35cm"),4,0))))),0)</f>
        <v>0.45</v>
      </c>
      <c r="J3153" s="103">
        <f t="shared" si="1"/>
        <v>0</v>
      </c>
      <c r="K3153" s="104" t="str">
        <f>IF(H3153&lt;0,"ERROR",IF(H3153=0,"",IF(H3153&lt;CONFIG!$B$4,"CRÍTICO",IF(H3153&lt;CONFIG!$B$5,"BAJO","OK"))))</f>
        <v/>
      </c>
    </row>
    <row r="3154" ht="15.75" customHeight="1">
      <c r="A3154" s="90" t="str">
        <f>IF(CLIENTES!A8="","",CLIENTES!A8)</f>
        <v/>
      </c>
      <c r="B3154" s="90" t="s">
        <v>333</v>
      </c>
      <c r="C3154" s="91" t="s">
        <v>334</v>
      </c>
      <c r="D3154" s="109" t="s">
        <v>353</v>
      </c>
      <c r="E3154" s="67" t="str">
        <f>COLORES!A14</f>
        <v>Denim</v>
      </c>
      <c r="F3154" s="67" t="str">
        <f>COLORES!B14</f>
        <v>CLARO</v>
      </c>
      <c r="G3154" s="90" t="s">
        <v>380</v>
      </c>
      <c r="H3154" s="100">
        <f>IFERROR(SUMIFS(MOVIMIENTOS_COMPLEMENTOS!$I$4:$I$803,MOVIMIENTOS_COMPLEMENTOS!$C$4:$C$803,A3154,MOVIMIENTOS_COMPLEMENTOS!$D$4:$D$803,B3154,MOVIMIENTOS_COMPLEMENTOS!$E$4:$E$803,C3154,MOVIMIENTOS_COMPLEMENTOS!$G$4:$G$803,E3154,MOVIMIENTOS_COMPLEMENTOS!$H$4:$H$803,G3154,MOVIMIENTOS_COMPLEMENTOS!$B$4:$B$803,"INGRESO")+SUMIFS(MOVIMIENTOS_COMPLEMENTOS!$I$4:$I$803,MOVIMIENTOS_COMPLEMENTOS!$C$4:$C$803,A3154,MOVIMIENTOS_COMPLEMENTOS!$D$4:$D$803,B3154,MOVIMIENTOS_COMPLEMENTOS!$E$4:$E$803,C3154,MOVIMIENTOS_COMPLEMENTOS!$G$4:$G$803,E3154,MOVIMIENTOS_COMPLEMENTOS!$H$4:$H$803,G3154,MOVIMIENTOS_COMPLEMENTOS!$B$4:$B$803,"DE CORTE")-SUMIFS(MOVIMIENTOS_COMPLEMENTOS!$I$4:$I$803,MOVIMIENTOS_COMPLEMENTOS!$C$4:$C$803,A3154,MOVIMIENTOS_COMPLEMENTOS!$D$4:$D$803,B3154,MOVIMIENTOS_COMPLEMENTOS!$E$4:$E$803,C3154,MOVIMIENTOS_COMPLEMENTOS!$G$4:$G$803,E3154,MOVIMIENTOS_COMPLEMENTOS!$H$4:$H$803,G3154,MOVIMIENTOS_COMPLEMENTOS!$B$4:$B$803,"SALIDA"),0)</f>
        <v>0</v>
      </c>
      <c r="I3154" s="102">
        <f t="array" ref="I3154">IFERROR(INDEX(PRECIOS_COMPLEMENTOS!$C$4:$F$17,MATCH(B3154&amp;"_"&amp;C3154,PRECIOS_COMPLEMENTOS!$H$4:$H$17,0),IF(OR(G3154="S",G3154="20cm"),1,IF(OR(G3154="M",G3154="25cm"),2,IF(OR(G3154="L",G3154="30cm"),3,IF(OR(G3154="XL",G3154="35cm"),4,0))))),0)</f>
        <v>0.45</v>
      </c>
      <c r="J3154" s="103">
        <f t="shared" si="1"/>
        <v>0</v>
      </c>
      <c r="K3154" s="104" t="str">
        <f>IF(H3154&lt;0,"ERROR",IF(H3154=0,"",IF(H3154&lt;CONFIG!$B$4,"CRÍTICO",IF(H3154&lt;CONFIG!$B$5,"BAJO","OK"))))</f>
        <v/>
      </c>
    </row>
    <row r="3155" ht="15.75" customHeight="1">
      <c r="A3155" s="90" t="str">
        <f>IF(CLIENTES!A8="","",CLIENTES!A8)</f>
        <v/>
      </c>
      <c r="B3155" s="90" t="s">
        <v>333</v>
      </c>
      <c r="C3155" s="91" t="s">
        <v>334</v>
      </c>
      <c r="D3155" s="109" t="s">
        <v>353</v>
      </c>
      <c r="E3155" s="67" t="str">
        <f>COLORES!A14</f>
        <v>Denim</v>
      </c>
      <c r="F3155" s="67" t="str">
        <f>COLORES!B14</f>
        <v>CLARO</v>
      </c>
      <c r="G3155" s="90" t="s">
        <v>381</v>
      </c>
      <c r="H3155" s="100">
        <f>IFERROR(SUMIFS(MOVIMIENTOS_COMPLEMENTOS!$I$4:$I$803,MOVIMIENTOS_COMPLEMENTOS!$C$4:$C$803,A3155,MOVIMIENTOS_COMPLEMENTOS!$D$4:$D$803,B3155,MOVIMIENTOS_COMPLEMENTOS!$E$4:$E$803,C3155,MOVIMIENTOS_COMPLEMENTOS!$G$4:$G$803,E3155,MOVIMIENTOS_COMPLEMENTOS!$H$4:$H$803,G3155,MOVIMIENTOS_COMPLEMENTOS!$B$4:$B$803,"INGRESO")+SUMIFS(MOVIMIENTOS_COMPLEMENTOS!$I$4:$I$803,MOVIMIENTOS_COMPLEMENTOS!$C$4:$C$803,A3155,MOVIMIENTOS_COMPLEMENTOS!$D$4:$D$803,B3155,MOVIMIENTOS_COMPLEMENTOS!$E$4:$E$803,C3155,MOVIMIENTOS_COMPLEMENTOS!$G$4:$G$803,E3155,MOVIMIENTOS_COMPLEMENTOS!$H$4:$H$803,G3155,MOVIMIENTOS_COMPLEMENTOS!$B$4:$B$803,"DE CORTE")-SUMIFS(MOVIMIENTOS_COMPLEMENTOS!$I$4:$I$803,MOVIMIENTOS_COMPLEMENTOS!$C$4:$C$803,A3155,MOVIMIENTOS_COMPLEMENTOS!$D$4:$D$803,B3155,MOVIMIENTOS_COMPLEMENTOS!$E$4:$E$803,C3155,MOVIMIENTOS_COMPLEMENTOS!$G$4:$G$803,E3155,MOVIMIENTOS_COMPLEMENTOS!$H$4:$H$803,G3155,MOVIMIENTOS_COMPLEMENTOS!$B$4:$B$803,"SALIDA"),0)</f>
        <v>0</v>
      </c>
      <c r="I3155" s="102">
        <f t="array" ref="I3155">IFERROR(INDEX(PRECIOS_COMPLEMENTOS!$C$4:$F$17,MATCH(B3155&amp;"_"&amp;C3155,PRECIOS_COMPLEMENTOS!$H$4:$H$17,0),IF(OR(G3155="S",G3155="20cm"),1,IF(OR(G3155="M",G3155="25cm"),2,IF(OR(G3155="L",G3155="30cm"),3,IF(OR(G3155="XL",G3155="35cm"),4,0))))),0)</f>
        <v>0.45</v>
      </c>
      <c r="J3155" s="103">
        <f t="shared" si="1"/>
        <v>0</v>
      </c>
      <c r="K3155" s="104" t="str">
        <f>IF(H3155&lt;0,"ERROR",IF(H3155=0,"",IF(H3155&lt;CONFIG!$B$4,"CRÍTICO",IF(H3155&lt;CONFIG!$B$5,"BAJO","OK"))))</f>
        <v/>
      </c>
    </row>
    <row r="3156" ht="15.75" customHeight="1">
      <c r="A3156" s="90" t="str">
        <f>IF(CLIENTES!A8="","",CLIENTES!A8)</f>
        <v/>
      </c>
      <c r="B3156" s="90" t="s">
        <v>333</v>
      </c>
      <c r="C3156" s="91" t="s">
        <v>334</v>
      </c>
      <c r="D3156" s="109" t="s">
        <v>353</v>
      </c>
      <c r="E3156" s="67" t="str">
        <f>COLORES!A14</f>
        <v>Denim</v>
      </c>
      <c r="F3156" s="67" t="str">
        <f>COLORES!B14</f>
        <v>CLARO</v>
      </c>
      <c r="G3156" s="90" t="s">
        <v>382</v>
      </c>
      <c r="H3156" s="100">
        <f>IFERROR(SUMIFS(MOVIMIENTOS_COMPLEMENTOS!$I$4:$I$803,MOVIMIENTOS_COMPLEMENTOS!$C$4:$C$803,A3156,MOVIMIENTOS_COMPLEMENTOS!$D$4:$D$803,B3156,MOVIMIENTOS_COMPLEMENTOS!$E$4:$E$803,C3156,MOVIMIENTOS_COMPLEMENTOS!$G$4:$G$803,E3156,MOVIMIENTOS_COMPLEMENTOS!$H$4:$H$803,G3156,MOVIMIENTOS_COMPLEMENTOS!$B$4:$B$803,"INGRESO")+SUMIFS(MOVIMIENTOS_COMPLEMENTOS!$I$4:$I$803,MOVIMIENTOS_COMPLEMENTOS!$C$4:$C$803,A3156,MOVIMIENTOS_COMPLEMENTOS!$D$4:$D$803,B3156,MOVIMIENTOS_COMPLEMENTOS!$E$4:$E$803,C3156,MOVIMIENTOS_COMPLEMENTOS!$G$4:$G$803,E3156,MOVIMIENTOS_COMPLEMENTOS!$H$4:$H$803,G3156,MOVIMIENTOS_COMPLEMENTOS!$B$4:$B$803,"DE CORTE")-SUMIFS(MOVIMIENTOS_COMPLEMENTOS!$I$4:$I$803,MOVIMIENTOS_COMPLEMENTOS!$C$4:$C$803,A3156,MOVIMIENTOS_COMPLEMENTOS!$D$4:$D$803,B3156,MOVIMIENTOS_COMPLEMENTOS!$E$4:$E$803,C3156,MOVIMIENTOS_COMPLEMENTOS!$G$4:$G$803,E3156,MOVIMIENTOS_COMPLEMENTOS!$H$4:$H$803,G3156,MOVIMIENTOS_COMPLEMENTOS!$B$4:$B$803,"SALIDA"),0)</f>
        <v>0</v>
      </c>
      <c r="I3156" s="102">
        <f t="array" ref="I3156">IFERROR(INDEX(PRECIOS_COMPLEMENTOS!$C$4:$F$17,MATCH(B3156&amp;"_"&amp;C3156,PRECIOS_COMPLEMENTOS!$H$4:$H$17,0),IF(OR(G3156="S",G3156="20cm"),1,IF(OR(G3156="M",G3156="25cm"),2,IF(OR(G3156="L",G3156="30cm"),3,IF(OR(G3156="XL",G3156="35cm"),4,0))))),0)</f>
        <v>0.45</v>
      </c>
      <c r="J3156" s="103">
        <f t="shared" si="1"/>
        <v>0</v>
      </c>
      <c r="K3156" s="104" t="str">
        <f>IF(H3156&lt;0,"ERROR",IF(H3156=0,"",IF(H3156&lt;CONFIG!$B$4,"CRÍTICO",IF(H3156&lt;CONFIG!$B$5,"BAJO","OK"))))</f>
        <v/>
      </c>
    </row>
    <row r="3157" ht="15.75" customHeight="1">
      <c r="A3157" s="90" t="str">
        <f>IF(CLIENTES!A8="","",CLIENTES!A8)</f>
        <v/>
      </c>
      <c r="B3157" s="90" t="s">
        <v>333</v>
      </c>
      <c r="C3157" s="91" t="s">
        <v>334</v>
      </c>
      <c r="D3157" s="109" t="s">
        <v>353</v>
      </c>
      <c r="E3157" s="67" t="str">
        <f>COLORES!A15</f>
        <v>Plomo</v>
      </c>
      <c r="F3157" s="67" t="str">
        <f>COLORES!B15</f>
        <v>OSCURO</v>
      </c>
      <c r="G3157" s="90" t="s">
        <v>380</v>
      </c>
      <c r="H3157" s="100">
        <f>IFERROR(SUMIFS(MOVIMIENTOS_COMPLEMENTOS!$I$4:$I$803,MOVIMIENTOS_COMPLEMENTOS!$C$4:$C$803,A3157,MOVIMIENTOS_COMPLEMENTOS!$D$4:$D$803,B3157,MOVIMIENTOS_COMPLEMENTOS!$E$4:$E$803,C3157,MOVIMIENTOS_COMPLEMENTOS!$G$4:$G$803,E3157,MOVIMIENTOS_COMPLEMENTOS!$H$4:$H$803,G3157,MOVIMIENTOS_COMPLEMENTOS!$B$4:$B$803,"INGRESO")+SUMIFS(MOVIMIENTOS_COMPLEMENTOS!$I$4:$I$803,MOVIMIENTOS_COMPLEMENTOS!$C$4:$C$803,A3157,MOVIMIENTOS_COMPLEMENTOS!$D$4:$D$803,B3157,MOVIMIENTOS_COMPLEMENTOS!$E$4:$E$803,C3157,MOVIMIENTOS_COMPLEMENTOS!$G$4:$G$803,E3157,MOVIMIENTOS_COMPLEMENTOS!$H$4:$H$803,G3157,MOVIMIENTOS_COMPLEMENTOS!$B$4:$B$803,"DE CORTE")-SUMIFS(MOVIMIENTOS_COMPLEMENTOS!$I$4:$I$803,MOVIMIENTOS_COMPLEMENTOS!$C$4:$C$803,A3157,MOVIMIENTOS_COMPLEMENTOS!$D$4:$D$803,B3157,MOVIMIENTOS_COMPLEMENTOS!$E$4:$E$803,C3157,MOVIMIENTOS_COMPLEMENTOS!$G$4:$G$803,E3157,MOVIMIENTOS_COMPLEMENTOS!$H$4:$H$803,G3157,MOVIMIENTOS_COMPLEMENTOS!$B$4:$B$803,"SALIDA"),0)</f>
        <v>0</v>
      </c>
      <c r="I3157" s="102">
        <f t="array" ref="I3157">IFERROR(INDEX(PRECIOS_COMPLEMENTOS!$C$4:$F$17,MATCH(B3157&amp;"_"&amp;C3157,PRECIOS_COMPLEMENTOS!$H$4:$H$17,0),IF(OR(G3157="S",G3157="20cm"),1,IF(OR(G3157="M",G3157="25cm"),2,IF(OR(G3157="L",G3157="30cm"),3,IF(OR(G3157="XL",G3157="35cm"),4,0))))),0)</f>
        <v>0.45</v>
      </c>
      <c r="J3157" s="103">
        <f t="shared" si="1"/>
        <v>0</v>
      </c>
      <c r="K3157" s="104" t="str">
        <f>IF(H3157&lt;0,"ERROR",IF(H3157=0,"",IF(H3157&lt;CONFIG!$B$4,"CRÍTICO",IF(H3157&lt;CONFIG!$B$5,"BAJO","OK"))))</f>
        <v/>
      </c>
    </row>
    <row r="3158" ht="15.75" customHeight="1">
      <c r="A3158" s="90" t="str">
        <f>IF(CLIENTES!A8="","",CLIENTES!A8)</f>
        <v/>
      </c>
      <c r="B3158" s="90" t="s">
        <v>333</v>
      </c>
      <c r="C3158" s="91" t="s">
        <v>334</v>
      </c>
      <c r="D3158" s="109" t="s">
        <v>353</v>
      </c>
      <c r="E3158" s="67" t="str">
        <f>COLORES!A15</f>
        <v>Plomo</v>
      </c>
      <c r="F3158" s="67" t="str">
        <f>COLORES!B15</f>
        <v>OSCURO</v>
      </c>
      <c r="G3158" s="90" t="s">
        <v>381</v>
      </c>
      <c r="H3158" s="100">
        <f>IFERROR(SUMIFS(MOVIMIENTOS_COMPLEMENTOS!$I$4:$I$803,MOVIMIENTOS_COMPLEMENTOS!$C$4:$C$803,A3158,MOVIMIENTOS_COMPLEMENTOS!$D$4:$D$803,B3158,MOVIMIENTOS_COMPLEMENTOS!$E$4:$E$803,C3158,MOVIMIENTOS_COMPLEMENTOS!$G$4:$G$803,E3158,MOVIMIENTOS_COMPLEMENTOS!$H$4:$H$803,G3158,MOVIMIENTOS_COMPLEMENTOS!$B$4:$B$803,"INGRESO")+SUMIFS(MOVIMIENTOS_COMPLEMENTOS!$I$4:$I$803,MOVIMIENTOS_COMPLEMENTOS!$C$4:$C$803,A3158,MOVIMIENTOS_COMPLEMENTOS!$D$4:$D$803,B3158,MOVIMIENTOS_COMPLEMENTOS!$E$4:$E$803,C3158,MOVIMIENTOS_COMPLEMENTOS!$G$4:$G$803,E3158,MOVIMIENTOS_COMPLEMENTOS!$H$4:$H$803,G3158,MOVIMIENTOS_COMPLEMENTOS!$B$4:$B$803,"DE CORTE")-SUMIFS(MOVIMIENTOS_COMPLEMENTOS!$I$4:$I$803,MOVIMIENTOS_COMPLEMENTOS!$C$4:$C$803,A3158,MOVIMIENTOS_COMPLEMENTOS!$D$4:$D$803,B3158,MOVIMIENTOS_COMPLEMENTOS!$E$4:$E$803,C3158,MOVIMIENTOS_COMPLEMENTOS!$G$4:$G$803,E3158,MOVIMIENTOS_COMPLEMENTOS!$H$4:$H$803,G3158,MOVIMIENTOS_COMPLEMENTOS!$B$4:$B$803,"SALIDA"),0)</f>
        <v>0</v>
      </c>
      <c r="I3158" s="102">
        <f t="array" ref="I3158">IFERROR(INDEX(PRECIOS_COMPLEMENTOS!$C$4:$F$17,MATCH(B3158&amp;"_"&amp;C3158,PRECIOS_COMPLEMENTOS!$H$4:$H$17,0),IF(OR(G3158="S",G3158="20cm"),1,IF(OR(G3158="M",G3158="25cm"),2,IF(OR(G3158="L",G3158="30cm"),3,IF(OR(G3158="XL",G3158="35cm"),4,0))))),0)</f>
        <v>0.45</v>
      </c>
      <c r="J3158" s="103">
        <f t="shared" si="1"/>
        <v>0</v>
      </c>
      <c r="K3158" s="104" t="str">
        <f>IF(H3158&lt;0,"ERROR",IF(H3158=0,"",IF(H3158&lt;CONFIG!$B$4,"CRÍTICO",IF(H3158&lt;CONFIG!$B$5,"BAJO","OK"))))</f>
        <v/>
      </c>
    </row>
    <row r="3159" ht="15.75" customHeight="1">
      <c r="A3159" s="90" t="str">
        <f>IF(CLIENTES!A8="","",CLIENTES!A8)</f>
        <v/>
      </c>
      <c r="B3159" s="90" t="s">
        <v>333</v>
      </c>
      <c r="C3159" s="91" t="s">
        <v>334</v>
      </c>
      <c r="D3159" s="109" t="s">
        <v>353</v>
      </c>
      <c r="E3159" s="67" t="str">
        <f>COLORES!A15</f>
        <v>Plomo</v>
      </c>
      <c r="F3159" s="67" t="str">
        <f>COLORES!B15</f>
        <v>OSCURO</v>
      </c>
      <c r="G3159" s="90" t="s">
        <v>382</v>
      </c>
      <c r="H3159" s="100">
        <f>IFERROR(SUMIFS(MOVIMIENTOS_COMPLEMENTOS!$I$4:$I$803,MOVIMIENTOS_COMPLEMENTOS!$C$4:$C$803,A3159,MOVIMIENTOS_COMPLEMENTOS!$D$4:$D$803,B3159,MOVIMIENTOS_COMPLEMENTOS!$E$4:$E$803,C3159,MOVIMIENTOS_COMPLEMENTOS!$G$4:$G$803,E3159,MOVIMIENTOS_COMPLEMENTOS!$H$4:$H$803,G3159,MOVIMIENTOS_COMPLEMENTOS!$B$4:$B$803,"INGRESO")+SUMIFS(MOVIMIENTOS_COMPLEMENTOS!$I$4:$I$803,MOVIMIENTOS_COMPLEMENTOS!$C$4:$C$803,A3159,MOVIMIENTOS_COMPLEMENTOS!$D$4:$D$803,B3159,MOVIMIENTOS_COMPLEMENTOS!$E$4:$E$803,C3159,MOVIMIENTOS_COMPLEMENTOS!$G$4:$G$803,E3159,MOVIMIENTOS_COMPLEMENTOS!$H$4:$H$803,G3159,MOVIMIENTOS_COMPLEMENTOS!$B$4:$B$803,"DE CORTE")-SUMIFS(MOVIMIENTOS_COMPLEMENTOS!$I$4:$I$803,MOVIMIENTOS_COMPLEMENTOS!$C$4:$C$803,A3159,MOVIMIENTOS_COMPLEMENTOS!$D$4:$D$803,B3159,MOVIMIENTOS_COMPLEMENTOS!$E$4:$E$803,C3159,MOVIMIENTOS_COMPLEMENTOS!$G$4:$G$803,E3159,MOVIMIENTOS_COMPLEMENTOS!$H$4:$H$803,G3159,MOVIMIENTOS_COMPLEMENTOS!$B$4:$B$803,"SALIDA"),0)</f>
        <v>0</v>
      </c>
      <c r="I3159" s="102">
        <f t="array" ref="I3159">IFERROR(INDEX(PRECIOS_COMPLEMENTOS!$C$4:$F$17,MATCH(B3159&amp;"_"&amp;C3159,PRECIOS_COMPLEMENTOS!$H$4:$H$17,0),IF(OR(G3159="S",G3159="20cm"),1,IF(OR(G3159="M",G3159="25cm"),2,IF(OR(G3159="L",G3159="30cm"),3,IF(OR(G3159="XL",G3159="35cm"),4,0))))),0)</f>
        <v>0.45</v>
      </c>
      <c r="J3159" s="103">
        <f t="shared" si="1"/>
        <v>0</v>
      </c>
      <c r="K3159" s="104" t="str">
        <f>IF(H3159&lt;0,"ERROR",IF(H3159=0,"",IF(H3159&lt;CONFIG!$B$4,"CRÍTICO",IF(H3159&lt;CONFIG!$B$5,"BAJO","OK"))))</f>
        <v/>
      </c>
    </row>
    <row r="3160" ht="15.75" customHeight="1">
      <c r="A3160" s="90" t="str">
        <f>IF(CLIENTES!A8="","",CLIENTES!A8)</f>
        <v/>
      </c>
      <c r="B3160" s="90" t="s">
        <v>333</v>
      </c>
      <c r="C3160" s="91" t="s">
        <v>334</v>
      </c>
      <c r="D3160" s="109" t="s">
        <v>353</v>
      </c>
      <c r="E3160" s="67" t="str">
        <f>COLORES!A16</f>
        <v>Topo</v>
      </c>
      <c r="F3160" s="67" t="str">
        <f>COLORES!B16</f>
        <v>CLARO</v>
      </c>
      <c r="G3160" s="90" t="s">
        <v>380</v>
      </c>
      <c r="H3160" s="100">
        <f>IFERROR(SUMIFS(MOVIMIENTOS_COMPLEMENTOS!$I$4:$I$803,MOVIMIENTOS_COMPLEMENTOS!$C$4:$C$803,A3160,MOVIMIENTOS_COMPLEMENTOS!$D$4:$D$803,B3160,MOVIMIENTOS_COMPLEMENTOS!$E$4:$E$803,C3160,MOVIMIENTOS_COMPLEMENTOS!$G$4:$G$803,E3160,MOVIMIENTOS_COMPLEMENTOS!$H$4:$H$803,G3160,MOVIMIENTOS_COMPLEMENTOS!$B$4:$B$803,"INGRESO")+SUMIFS(MOVIMIENTOS_COMPLEMENTOS!$I$4:$I$803,MOVIMIENTOS_COMPLEMENTOS!$C$4:$C$803,A3160,MOVIMIENTOS_COMPLEMENTOS!$D$4:$D$803,B3160,MOVIMIENTOS_COMPLEMENTOS!$E$4:$E$803,C3160,MOVIMIENTOS_COMPLEMENTOS!$G$4:$G$803,E3160,MOVIMIENTOS_COMPLEMENTOS!$H$4:$H$803,G3160,MOVIMIENTOS_COMPLEMENTOS!$B$4:$B$803,"DE CORTE")-SUMIFS(MOVIMIENTOS_COMPLEMENTOS!$I$4:$I$803,MOVIMIENTOS_COMPLEMENTOS!$C$4:$C$803,A3160,MOVIMIENTOS_COMPLEMENTOS!$D$4:$D$803,B3160,MOVIMIENTOS_COMPLEMENTOS!$E$4:$E$803,C3160,MOVIMIENTOS_COMPLEMENTOS!$G$4:$G$803,E3160,MOVIMIENTOS_COMPLEMENTOS!$H$4:$H$803,G3160,MOVIMIENTOS_COMPLEMENTOS!$B$4:$B$803,"SALIDA"),0)</f>
        <v>0</v>
      </c>
      <c r="I3160" s="102">
        <f t="array" ref="I3160">IFERROR(INDEX(PRECIOS_COMPLEMENTOS!$C$4:$F$17,MATCH(B3160&amp;"_"&amp;C3160,PRECIOS_COMPLEMENTOS!$H$4:$H$17,0),IF(OR(G3160="S",G3160="20cm"),1,IF(OR(G3160="M",G3160="25cm"),2,IF(OR(G3160="L",G3160="30cm"),3,IF(OR(G3160="XL",G3160="35cm"),4,0))))),0)</f>
        <v>0.45</v>
      </c>
      <c r="J3160" s="103">
        <f t="shared" si="1"/>
        <v>0</v>
      </c>
      <c r="K3160" s="104" t="str">
        <f>IF(H3160&lt;0,"ERROR",IF(H3160=0,"",IF(H3160&lt;CONFIG!$B$4,"CRÍTICO",IF(H3160&lt;CONFIG!$B$5,"BAJO","OK"))))</f>
        <v/>
      </c>
    </row>
    <row r="3161" ht="15.75" customHeight="1">
      <c r="A3161" s="90" t="str">
        <f>IF(CLIENTES!A8="","",CLIENTES!A8)</f>
        <v/>
      </c>
      <c r="B3161" s="90" t="s">
        <v>333</v>
      </c>
      <c r="C3161" s="91" t="s">
        <v>334</v>
      </c>
      <c r="D3161" s="109" t="s">
        <v>353</v>
      </c>
      <c r="E3161" s="67" t="str">
        <f>COLORES!A16</f>
        <v>Topo</v>
      </c>
      <c r="F3161" s="67" t="str">
        <f>COLORES!B16</f>
        <v>CLARO</v>
      </c>
      <c r="G3161" s="90" t="s">
        <v>381</v>
      </c>
      <c r="H3161" s="100">
        <f>IFERROR(SUMIFS(MOVIMIENTOS_COMPLEMENTOS!$I$4:$I$803,MOVIMIENTOS_COMPLEMENTOS!$C$4:$C$803,A3161,MOVIMIENTOS_COMPLEMENTOS!$D$4:$D$803,B3161,MOVIMIENTOS_COMPLEMENTOS!$E$4:$E$803,C3161,MOVIMIENTOS_COMPLEMENTOS!$G$4:$G$803,E3161,MOVIMIENTOS_COMPLEMENTOS!$H$4:$H$803,G3161,MOVIMIENTOS_COMPLEMENTOS!$B$4:$B$803,"INGRESO")+SUMIFS(MOVIMIENTOS_COMPLEMENTOS!$I$4:$I$803,MOVIMIENTOS_COMPLEMENTOS!$C$4:$C$803,A3161,MOVIMIENTOS_COMPLEMENTOS!$D$4:$D$803,B3161,MOVIMIENTOS_COMPLEMENTOS!$E$4:$E$803,C3161,MOVIMIENTOS_COMPLEMENTOS!$G$4:$G$803,E3161,MOVIMIENTOS_COMPLEMENTOS!$H$4:$H$803,G3161,MOVIMIENTOS_COMPLEMENTOS!$B$4:$B$803,"DE CORTE")-SUMIFS(MOVIMIENTOS_COMPLEMENTOS!$I$4:$I$803,MOVIMIENTOS_COMPLEMENTOS!$C$4:$C$803,A3161,MOVIMIENTOS_COMPLEMENTOS!$D$4:$D$803,B3161,MOVIMIENTOS_COMPLEMENTOS!$E$4:$E$803,C3161,MOVIMIENTOS_COMPLEMENTOS!$G$4:$G$803,E3161,MOVIMIENTOS_COMPLEMENTOS!$H$4:$H$803,G3161,MOVIMIENTOS_COMPLEMENTOS!$B$4:$B$803,"SALIDA"),0)</f>
        <v>0</v>
      </c>
      <c r="I3161" s="102">
        <f t="array" ref="I3161">IFERROR(INDEX(PRECIOS_COMPLEMENTOS!$C$4:$F$17,MATCH(B3161&amp;"_"&amp;C3161,PRECIOS_COMPLEMENTOS!$H$4:$H$17,0),IF(OR(G3161="S",G3161="20cm"),1,IF(OR(G3161="M",G3161="25cm"),2,IF(OR(G3161="L",G3161="30cm"),3,IF(OR(G3161="XL",G3161="35cm"),4,0))))),0)</f>
        <v>0.45</v>
      </c>
      <c r="J3161" s="103">
        <f t="shared" si="1"/>
        <v>0</v>
      </c>
      <c r="K3161" s="104" t="str">
        <f>IF(H3161&lt;0,"ERROR",IF(H3161=0,"",IF(H3161&lt;CONFIG!$B$4,"CRÍTICO",IF(H3161&lt;CONFIG!$B$5,"BAJO","OK"))))</f>
        <v/>
      </c>
    </row>
    <row r="3162" ht="15.75" customHeight="1">
      <c r="A3162" s="90" t="str">
        <f>IF(CLIENTES!A8="","",CLIENTES!A8)</f>
        <v/>
      </c>
      <c r="B3162" s="90" t="s">
        <v>333</v>
      </c>
      <c r="C3162" s="91" t="s">
        <v>334</v>
      </c>
      <c r="D3162" s="109" t="s">
        <v>353</v>
      </c>
      <c r="E3162" s="67" t="str">
        <f>COLORES!A16</f>
        <v>Topo</v>
      </c>
      <c r="F3162" s="67" t="str">
        <f>COLORES!B16</f>
        <v>CLARO</v>
      </c>
      <c r="G3162" s="90" t="s">
        <v>382</v>
      </c>
      <c r="H3162" s="100">
        <f>IFERROR(SUMIFS(MOVIMIENTOS_COMPLEMENTOS!$I$4:$I$803,MOVIMIENTOS_COMPLEMENTOS!$C$4:$C$803,A3162,MOVIMIENTOS_COMPLEMENTOS!$D$4:$D$803,B3162,MOVIMIENTOS_COMPLEMENTOS!$E$4:$E$803,C3162,MOVIMIENTOS_COMPLEMENTOS!$G$4:$G$803,E3162,MOVIMIENTOS_COMPLEMENTOS!$H$4:$H$803,G3162,MOVIMIENTOS_COMPLEMENTOS!$B$4:$B$803,"INGRESO")+SUMIFS(MOVIMIENTOS_COMPLEMENTOS!$I$4:$I$803,MOVIMIENTOS_COMPLEMENTOS!$C$4:$C$803,A3162,MOVIMIENTOS_COMPLEMENTOS!$D$4:$D$803,B3162,MOVIMIENTOS_COMPLEMENTOS!$E$4:$E$803,C3162,MOVIMIENTOS_COMPLEMENTOS!$G$4:$G$803,E3162,MOVIMIENTOS_COMPLEMENTOS!$H$4:$H$803,G3162,MOVIMIENTOS_COMPLEMENTOS!$B$4:$B$803,"DE CORTE")-SUMIFS(MOVIMIENTOS_COMPLEMENTOS!$I$4:$I$803,MOVIMIENTOS_COMPLEMENTOS!$C$4:$C$803,A3162,MOVIMIENTOS_COMPLEMENTOS!$D$4:$D$803,B3162,MOVIMIENTOS_COMPLEMENTOS!$E$4:$E$803,C3162,MOVIMIENTOS_COMPLEMENTOS!$G$4:$G$803,E3162,MOVIMIENTOS_COMPLEMENTOS!$H$4:$H$803,G3162,MOVIMIENTOS_COMPLEMENTOS!$B$4:$B$803,"SALIDA"),0)</f>
        <v>0</v>
      </c>
      <c r="I3162" s="102">
        <f t="array" ref="I3162">IFERROR(INDEX(PRECIOS_COMPLEMENTOS!$C$4:$F$17,MATCH(B3162&amp;"_"&amp;C3162,PRECIOS_COMPLEMENTOS!$H$4:$H$17,0),IF(OR(G3162="S",G3162="20cm"),1,IF(OR(G3162="M",G3162="25cm"),2,IF(OR(G3162="L",G3162="30cm"),3,IF(OR(G3162="XL",G3162="35cm"),4,0))))),0)</f>
        <v>0.45</v>
      </c>
      <c r="J3162" s="103">
        <f t="shared" si="1"/>
        <v>0</v>
      </c>
      <c r="K3162" s="104" t="str">
        <f>IF(H3162&lt;0,"ERROR",IF(H3162=0,"",IF(H3162&lt;CONFIG!$B$4,"CRÍTICO",IF(H3162&lt;CONFIG!$B$5,"BAJO","OK"))))</f>
        <v/>
      </c>
    </row>
    <row r="3163" ht="15.75" customHeight="1">
      <c r="A3163" s="90" t="str">
        <f>IF(CLIENTES!A8="","",CLIENTES!A8)</f>
        <v/>
      </c>
      <c r="B3163" s="90" t="s">
        <v>333</v>
      </c>
      <c r="C3163" s="91" t="s">
        <v>334</v>
      </c>
      <c r="D3163" s="109" t="s">
        <v>353</v>
      </c>
      <c r="E3163" s="67" t="str">
        <f>COLORES!A17</f>
        <v>Vino</v>
      </c>
      <c r="F3163" s="67" t="str">
        <f>COLORES!B17</f>
        <v>OSCURO</v>
      </c>
      <c r="G3163" s="90" t="s">
        <v>380</v>
      </c>
      <c r="H3163" s="100">
        <f>IFERROR(SUMIFS(MOVIMIENTOS_COMPLEMENTOS!$I$4:$I$803,MOVIMIENTOS_COMPLEMENTOS!$C$4:$C$803,A3163,MOVIMIENTOS_COMPLEMENTOS!$D$4:$D$803,B3163,MOVIMIENTOS_COMPLEMENTOS!$E$4:$E$803,C3163,MOVIMIENTOS_COMPLEMENTOS!$G$4:$G$803,E3163,MOVIMIENTOS_COMPLEMENTOS!$H$4:$H$803,G3163,MOVIMIENTOS_COMPLEMENTOS!$B$4:$B$803,"INGRESO")+SUMIFS(MOVIMIENTOS_COMPLEMENTOS!$I$4:$I$803,MOVIMIENTOS_COMPLEMENTOS!$C$4:$C$803,A3163,MOVIMIENTOS_COMPLEMENTOS!$D$4:$D$803,B3163,MOVIMIENTOS_COMPLEMENTOS!$E$4:$E$803,C3163,MOVIMIENTOS_COMPLEMENTOS!$G$4:$G$803,E3163,MOVIMIENTOS_COMPLEMENTOS!$H$4:$H$803,G3163,MOVIMIENTOS_COMPLEMENTOS!$B$4:$B$803,"DE CORTE")-SUMIFS(MOVIMIENTOS_COMPLEMENTOS!$I$4:$I$803,MOVIMIENTOS_COMPLEMENTOS!$C$4:$C$803,A3163,MOVIMIENTOS_COMPLEMENTOS!$D$4:$D$803,B3163,MOVIMIENTOS_COMPLEMENTOS!$E$4:$E$803,C3163,MOVIMIENTOS_COMPLEMENTOS!$G$4:$G$803,E3163,MOVIMIENTOS_COMPLEMENTOS!$H$4:$H$803,G3163,MOVIMIENTOS_COMPLEMENTOS!$B$4:$B$803,"SALIDA"),0)</f>
        <v>0</v>
      </c>
      <c r="I3163" s="102">
        <f t="array" ref="I3163">IFERROR(INDEX(PRECIOS_COMPLEMENTOS!$C$4:$F$17,MATCH(B3163&amp;"_"&amp;C3163,PRECIOS_COMPLEMENTOS!$H$4:$H$17,0),IF(OR(G3163="S",G3163="20cm"),1,IF(OR(G3163="M",G3163="25cm"),2,IF(OR(G3163="L",G3163="30cm"),3,IF(OR(G3163="XL",G3163="35cm"),4,0))))),0)</f>
        <v>0.45</v>
      </c>
      <c r="J3163" s="103">
        <f t="shared" si="1"/>
        <v>0</v>
      </c>
      <c r="K3163" s="104" t="str">
        <f>IF(H3163&lt;0,"ERROR",IF(H3163=0,"",IF(H3163&lt;CONFIG!$B$4,"CRÍTICO",IF(H3163&lt;CONFIG!$B$5,"BAJO","OK"))))</f>
        <v/>
      </c>
    </row>
    <row r="3164" ht="15.75" customHeight="1">
      <c r="A3164" s="90" t="str">
        <f>IF(CLIENTES!A8="","",CLIENTES!A8)</f>
        <v/>
      </c>
      <c r="B3164" s="90" t="s">
        <v>333</v>
      </c>
      <c r="C3164" s="91" t="s">
        <v>334</v>
      </c>
      <c r="D3164" s="109" t="s">
        <v>353</v>
      </c>
      <c r="E3164" s="67" t="str">
        <f>COLORES!A17</f>
        <v>Vino</v>
      </c>
      <c r="F3164" s="67" t="str">
        <f>COLORES!B17</f>
        <v>OSCURO</v>
      </c>
      <c r="G3164" s="90" t="s">
        <v>381</v>
      </c>
      <c r="H3164" s="100">
        <f>IFERROR(SUMIFS(MOVIMIENTOS_COMPLEMENTOS!$I$4:$I$803,MOVIMIENTOS_COMPLEMENTOS!$C$4:$C$803,A3164,MOVIMIENTOS_COMPLEMENTOS!$D$4:$D$803,B3164,MOVIMIENTOS_COMPLEMENTOS!$E$4:$E$803,C3164,MOVIMIENTOS_COMPLEMENTOS!$G$4:$G$803,E3164,MOVIMIENTOS_COMPLEMENTOS!$H$4:$H$803,G3164,MOVIMIENTOS_COMPLEMENTOS!$B$4:$B$803,"INGRESO")+SUMIFS(MOVIMIENTOS_COMPLEMENTOS!$I$4:$I$803,MOVIMIENTOS_COMPLEMENTOS!$C$4:$C$803,A3164,MOVIMIENTOS_COMPLEMENTOS!$D$4:$D$803,B3164,MOVIMIENTOS_COMPLEMENTOS!$E$4:$E$803,C3164,MOVIMIENTOS_COMPLEMENTOS!$G$4:$G$803,E3164,MOVIMIENTOS_COMPLEMENTOS!$H$4:$H$803,G3164,MOVIMIENTOS_COMPLEMENTOS!$B$4:$B$803,"DE CORTE")-SUMIFS(MOVIMIENTOS_COMPLEMENTOS!$I$4:$I$803,MOVIMIENTOS_COMPLEMENTOS!$C$4:$C$803,A3164,MOVIMIENTOS_COMPLEMENTOS!$D$4:$D$803,B3164,MOVIMIENTOS_COMPLEMENTOS!$E$4:$E$803,C3164,MOVIMIENTOS_COMPLEMENTOS!$G$4:$G$803,E3164,MOVIMIENTOS_COMPLEMENTOS!$H$4:$H$803,G3164,MOVIMIENTOS_COMPLEMENTOS!$B$4:$B$803,"SALIDA"),0)</f>
        <v>0</v>
      </c>
      <c r="I3164" s="102">
        <f t="array" ref="I3164">IFERROR(INDEX(PRECIOS_COMPLEMENTOS!$C$4:$F$17,MATCH(B3164&amp;"_"&amp;C3164,PRECIOS_COMPLEMENTOS!$H$4:$H$17,0),IF(OR(G3164="S",G3164="20cm"),1,IF(OR(G3164="M",G3164="25cm"),2,IF(OR(G3164="L",G3164="30cm"),3,IF(OR(G3164="XL",G3164="35cm"),4,0))))),0)</f>
        <v>0.45</v>
      </c>
      <c r="J3164" s="103">
        <f t="shared" si="1"/>
        <v>0</v>
      </c>
      <c r="K3164" s="104" t="str">
        <f>IF(H3164&lt;0,"ERROR",IF(H3164=0,"",IF(H3164&lt;CONFIG!$B$4,"CRÍTICO",IF(H3164&lt;CONFIG!$B$5,"BAJO","OK"))))</f>
        <v/>
      </c>
    </row>
    <row r="3165" ht="15.75" customHeight="1">
      <c r="A3165" s="90" t="str">
        <f>IF(CLIENTES!A8="","",CLIENTES!A8)</f>
        <v/>
      </c>
      <c r="B3165" s="90" t="s">
        <v>333</v>
      </c>
      <c r="C3165" s="91" t="s">
        <v>334</v>
      </c>
      <c r="D3165" s="109" t="s">
        <v>353</v>
      </c>
      <c r="E3165" s="67" t="str">
        <f>COLORES!A17</f>
        <v>Vino</v>
      </c>
      <c r="F3165" s="67" t="str">
        <f>COLORES!B17</f>
        <v>OSCURO</v>
      </c>
      <c r="G3165" s="90" t="s">
        <v>382</v>
      </c>
      <c r="H3165" s="100">
        <f>IFERROR(SUMIFS(MOVIMIENTOS_COMPLEMENTOS!$I$4:$I$803,MOVIMIENTOS_COMPLEMENTOS!$C$4:$C$803,A3165,MOVIMIENTOS_COMPLEMENTOS!$D$4:$D$803,B3165,MOVIMIENTOS_COMPLEMENTOS!$E$4:$E$803,C3165,MOVIMIENTOS_COMPLEMENTOS!$G$4:$G$803,E3165,MOVIMIENTOS_COMPLEMENTOS!$H$4:$H$803,G3165,MOVIMIENTOS_COMPLEMENTOS!$B$4:$B$803,"INGRESO")+SUMIFS(MOVIMIENTOS_COMPLEMENTOS!$I$4:$I$803,MOVIMIENTOS_COMPLEMENTOS!$C$4:$C$803,A3165,MOVIMIENTOS_COMPLEMENTOS!$D$4:$D$803,B3165,MOVIMIENTOS_COMPLEMENTOS!$E$4:$E$803,C3165,MOVIMIENTOS_COMPLEMENTOS!$G$4:$G$803,E3165,MOVIMIENTOS_COMPLEMENTOS!$H$4:$H$803,G3165,MOVIMIENTOS_COMPLEMENTOS!$B$4:$B$803,"DE CORTE")-SUMIFS(MOVIMIENTOS_COMPLEMENTOS!$I$4:$I$803,MOVIMIENTOS_COMPLEMENTOS!$C$4:$C$803,A3165,MOVIMIENTOS_COMPLEMENTOS!$D$4:$D$803,B3165,MOVIMIENTOS_COMPLEMENTOS!$E$4:$E$803,C3165,MOVIMIENTOS_COMPLEMENTOS!$G$4:$G$803,E3165,MOVIMIENTOS_COMPLEMENTOS!$H$4:$H$803,G3165,MOVIMIENTOS_COMPLEMENTOS!$B$4:$B$803,"SALIDA"),0)</f>
        <v>0</v>
      </c>
      <c r="I3165" s="102">
        <f t="array" ref="I3165">IFERROR(INDEX(PRECIOS_COMPLEMENTOS!$C$4:$F$17,MATCH(B3165&amp;"_"&amp;C3165,PRECIOS_COMPLEMENTOS!$H$4:$H$17,0),IF(OR(G3165="S",G3165="20cm"),1,IF(OR(G3165="M",G3165="25cm"),2,IF(OR(G3165="L",G3165="30cm"),3,IF(OR(G3165="XL",G3165="35cm"),4,0))))),0)</f>
        <v>0.45</v>
      </c>
      <c r="J3165" s="103">
        <f t="shared" si="1"/>
        <v>0</v>
      </c>
      <c r="K3165" s="104" t="str">
        <f>IF(H3165&lt;0,"ERROR",IF(H3165=0,"",IF(H3165&lt;CONFIG!$B$4,"CRÍTICO",IF(H3165&lt;CONFIG!$B$5,"BAJO","OK"))))</f>
        <v/>
      </c>
    </row>
    <row r="3166" ht="15.75" customHeight="1">
      <c r="A3166" s="90" t="str">
        <f>IF(CLIENTES!A8="","",CLIENTES!A8)</f>
        <v/>
      </c>
      <c r="B3166" s="90" t="s">
        <v>333</v>
      </c>
      <c r="C3166" s="91" t="s">
        <v>334</v>
      </c>
      <c r="D3166" s="109" t="s">
        <v>353</v>
      </c>
      <c r="E3166" s="67" t="str">
        <f>COLORES!A18</f>
        <v>P. Rosa</v>
      </c>
      <c r="F3166" s="67" t="str">
        <f>COLORES!B18</f>
        <v>CLARO</v>
      </c>
      <c r="G3166" s="90" t="s">
        <v>380</v>
      </c>
      <c r="H3166" s="100">
        <f>IFERROR(SUMIFS(MOVIMIENTOS_COMPLEMENTOS!$I$4:$I$803,MOVIMIENTOS_COMPLEMENTOS!$C$4:$C$803,A3166,MOVIMIENTOS_COMPLEMENTOS!$D$4:$D$803,B3166,MOVIMIENTOS_COMPLEMENTOS!$E$4:$E$803,C3166,MOVIMIENTOS_COMPLEMENTOS!$G$4:$G$803,E3166,MOVIMIENTOS_COMPLEMENTOS!$H$4:$H$803,G3166,MOVIMIENTOS_COMPLEMENTOS!$B$4:$B$803,"INGRESO")+SUMIFS(MOVIMIENTOS_COMPLEMENTOS!$I$4:$I$803,MOVIMIENTOS_COMPLEMENTOS!$C$4:$C$803,A3166,MOVIMIENTOS_COMPLEMENTOS!$D$4:$D$803,B3166,MOVIMIENTOS_COMPLEMENTOS!$E$4:$E$803,C3166,MOVIMIENTOS_COMPLEMENTOS!$G$4:$G$803,E3166,MOVIMIENTOS_COMPLEMENTOS!$H$4:$H$803,G3166,MOVIMIENTOS_COMPLEMENTOS!$B$4:$B$803,"DE CORTE")-SUMIFS(MOVIMIENTOS_COMPLEMENTOS!$I$4:$I$803,MOVIMIENTOS_COMPLEMENTOS!$C$4:$C$803,A3166,MOVIMIENTOS_COMPLEMENTOS!$D$4:$D$803,B3166,MOVIMIENTOS_COMPLEMENTOS!$E$4:$E$803,C3166,MOVIMIENTOS_COMPLEMENTOS!$G$4:$G$803,E3166,MOVIMIENTOS_COMPLEMENTOS!$H$4:$H$803,G3166,MOVIMIENTOS_COMPLEMENTOS!$B$4:$B$803,"SALIDA"),0)</f>
        <v>0</v>
      </c>
      <c r="I3166" s="102">
        <f t="array" ref="I3166">IFERROR(INDEX(PRECIOS_COMPLEMENTOS!$C$4:$F$17,MATCH(B3166&amp;"_"&amp;C3166,PRECIOS_COMPLEMENTOS!$H$4:$H$17,0),IF(OR(G3166="S",G3166="20cm"),1,IF(OR(G3166="M",G3166="25cm"),2,IF(OR(G3166="L",G3166="30cm"),3,IF(OR(G3166="XL",G3166="35cm"),4,0))))),0)</f>
        <v>0.45</v>
      </c>
      <c r="J3166" s="103">
        <f t="shared" si="1"/>
        <v>0</v>
      </c>
      <c r="K3166" s="104" t="str">
        <f>IF(H3166&lt;0,"ERROR",IF(H3166=0,"",IF(H3166&lt;CONFIG!$B$4,"CRÍTICO",IF(H3166&lt;CONFIG!$B$5,"BAJO","OK"))))</f>
        <v/>
      </c>
    </row>
    <row r="3167" ht="15.75" customHeight="1">
      <c r="A3167" s="90" t="str">
        <f>IF(CLIENTES!A8="","",CLIENTES!A8)</f>
        <v/>
      </c>
      <c r="B3167" s="90" t="s">
        <v>333</v>
      </c>
      <c r="C3167" s="91" t="s">
        <v>334</v>
      </c>
      <c r="D3167" s="109" t="s">
        <v>353</v>
      </c>
      <c r="E3167" s="67" t="str">
        <f>COLORES!A18</f>
        <v>P. Rosa</v>
      </c>
      <c r="F3167" s="67" t="str">
        <f>COLORES!B18</f>
        <v>CLARO</v>
      </c>
      <c r="G3167" s="90" t="s">
        <v>381</v>
      </c>
      <c r="H3167" s="100">
        <f>IFERROR(SUMIFS(MOVIMIENTOS_COMPLEMENTOS!$I$4:$I$803,MOVIMIENTOS_COMPLEMENTOS!$C$4:$C$803,A3167,MOVIMIENTOS_COMPLEMENTOS!$D$4:$D$803,B3167,MOVIMIENTOS_COMPLEMENTOS!$E$4:$E$803,C3167,MOVIMIENTOS_COMPLEMENTOS!$G$4:$G$803,E3167,MOVIMIENTOS_COMPLEMENTOS!$H$4:$H$803,G3167,MOVIMIENTOS_COMPLEMENTOS!$B$4:$B$803,"INGRESO")+SUMIFS(MOVIMIENTOS_COMPLEMENTOS!$I$4:$I$803,MOVIMIENTOS_COMPLEMENTOS!$C$4:$C$803,A3167,MOVIMIENTOS_COMPLEMENTOS!$D$4:$D$803,B3167,MOVIMIENTOS_COMPLEMENTOS!$E$4:$E$803,C3167,MOVIMIENTOS_COMPLEMENTOS!$G$4:$G$803,E3167,MOVIMIENTOS_COMPLEMENTOS!$H$4:$H$803,G3167,MOVIMIENTOS_COMPLEMENTOS!$B$4:$B$803,"DE CORTE")-SUMIFS(MOVIMIENTOS_COMPLEMENTOS!$I$4:$I$803,MOVIMIENTOS_COMPLEMENTOS!$C$4:$C$803,A3167,MOVIMIENTOS_COMPLEMENTOS!$D$4:$D$803,B3167,MOVIMIENTOS_COMPLEMENTOS!$E$4:$E$803,C3167,MOVIMIENTOS_COMPLEMENTOS!$G$4:$G$803,E3167,MOVIMIENTOS_COMPLEMENTOS!$H$4:$H$803,G3167,MOVIMIENTOS_COMPLEMENTOS!$B$4:$B$803,"SALIDA"),0)</f>
        <v>0</v>
      </c>
      <c r="I3167" s="102">
        <f t="array" ref="I3167">IFERROR(INDEX(PRECIOS_COMPLEMENTOS!$C$4:$F$17,MATCH(B3167&amp;"_"&amp;C3167,PRECIOS_COMPLEMENTOS!$H$4:$H$17,0),IF(OR(G3167="S",G3167="20cm"),1,IF(OR(G3167="M",G3167="25cm"),2,IF(OR(G3167="L",G3167="30cm"),3,IF(OR(G3167="XL",G3167="35cm"),4,0))))),0)</f>
        <v>0.45</v>
      </c>
      <c r="J3167" s="103">
        <f t="shared" si="1"/>
        <v>0</v>
      </c>
      <c r="K3167" s="104" t="str">
        <f>IF(H3167&lt;0,"ERROR",IF(H3167=0,"",IF(H3167&lt;CONFIG!$B$4,"CRÍTICO",IF(H3167&lt;CONFIG!$B$5,"BAJO","OK"))))</f>
        <v/>
      </c>
    </row>
    <row r="3168" ht="15.75" customHeight="1">
      <c r="A3168" s="90" t="str">
        <f>IF(CLIENTES!A8="","",CLIENTES!A8)</f>
        <v/>
      </c>
      <c r="B3168" s="90" t="s">
        <v>333</v>
      </c>
      <c r="C3168" s="91" t="s">
        <v>334</v>
      </c>
      <c r="D3168" s="109" t="s">
        <v>353</v>
      </c>
      <c r="E3168" s="67" t="str">
        <f>COLORES!A18</f>
        <v>P. Rosa</v>
      </c>
      <c r="F3168" s="67" t="str">
        <f>COLORES!B18</f>
        <v>CLARO</v>
      </c>
      <c r="G3168" s="90" t="s">
        <v>382</v>
      </c>
      <c r="H3168" s="100">
        <f>IFERROR(SUMIFS(MOVIMIENTOS_COMPLEMENTOS!$I$4:$I$803,MOVIMIENTOS_COMPLEMENTOS!$C$4:$C$803,A3168,MOVIMIENTOS_COMPLEMENTOS!$D$4:$D$803,B3168,MOVIMIENTOS_COMPLEMENTOS!$E$4:$E$803,C3168,MOVIMIENTOS_COMPLEMENTOS!$G$4:$G$803,E3168,MOVIMIENTOS_COMPLEMENTOS!$H$4:$H$803,G3168,MOVIMIENTOS_COMPLEMENTOS!$B$4:$B$803,"INGRESO")+SUMIFS(MOVIMIENTOS_COMPLEMENTOS!$I$4:$I$803,MOVIMIENTOS_COMPLEMENTOS!$C$4:$C$803,A3168,MOVIMIENTOS_COMPLEMENTOS!$D$4:$D$803,B3168,MOVIMIENTOS_COMPLEMENTOS!$E$4:$E$803,C3168,MOVIMIENTOS_COMPLEMENTOS!$G$4:$G$803,E3168,MOVIMIENTOS_COMPLEMENTOS!$H$4:$H$803,G3168,MOVIMIENTOS_COMPLEMENTOS!$B$4:$B$803,"DE CORTE")-SUMIFS(MOVIMIENTOS_COMPLEMENTOS!$I$4:$I$803,MOVIMIENTOS_COMPLEMENTOS!$C$4:$C$803,A3168,MOVIMIENTOS_COMPLEMENTOS!$D$4:$D$803,B3168,MOVIMIENTOS_COMPLEMENTOS!$E$4:$E$803,C3168,MOVIMIENTOS_COMPLEMENTOS!$G$4:$G$803,E3168,MOVIMIENTOS_COMPLEMENTOS!$H$4:$H$803,G3168,MOVIMIENTOS_COMPLEMENTOS!$B$4:$B$803,"SALIDA"),0)</f>
        <v>0</v>
      </c>
      <c r="I3168" s="102">
        <f t="array" ref="I3168">IFERROR(INDEX(PRECIOS_COMPLEMENTOS!$C$4:$F$17,MATCH(B3168&amp;"_"&amp;C3168,PRECIOS_COMPLEMENTOS!$H$4:$H$17,0),IF(OR(G3168="S",G3168="20cm"),1,IF(OR(G3168="M",G3168="25cm"),2,IF(OR(G3168="L",G3168="30cm"),3,IF(OR(G3168="XL",G3168="35cm"),4,0))))),0)</f>
        <v>0.45</v>
      </c>
      <c r="J3168" s="103">
        <f t="shared" si="1"/>
        <v>0</v>
      </c>
      <c r="K3168" s="104" t="str">
        <f>IF(H3168&lt;0,"ERROR",IF(H3168=0,"",IF(H3168&lt;CONFIG!$B$4,"CRÍTICO",IF(H3168&lt;CONFIG!$B$5,"BAJO","OK"))))</f>
        <v/>
      </c>
    </row>
    <row r="3169" ht="15.75" customHeight="1">
      <c r="A3169" s="90" t="str">
        <f>IF(CLIENTES!A8="","",CLIENTES!A8)</f>
        <v/>
      </c>
      <c r="B3169" s="90" t="s">
        <v>333</v>
      </c>
      <c r="C3169" s="91" t="s">
        <v>334</v>
      </c>
      <c r="D3169" s="109" t="s">
        <v>353</v>
      </c>
      <c r="E3169" s="67" t="str">
        <f>COLORES!A19</f>
        <v/>
      </c>
      <c r="F3169" s="67" t="str">
        <f>COLORES!B19</f>
        <v/>
      </c>
      <c r="G3169" s="90" t="s">
        <v>380</v>
      </c>
      <c r="H3169" s="100">
        <f>IFERROR(SUMIFS(MOVIMIENTOS_COMPLEMENTOS!$I$4:$I$803,MOVIMIENTOS_COMPLEMENTOS!$C$4:$C$803,A3169,MOVIMIENTOS_COMPLEMENTOS!$D$4:$D$803,B3169,MOVIMIENTOS_COMPLEMENTOS!$E$4:$E$803,C3169,MOVIMIENTOS_COMPLEMENTOS!$G$4:$G$803,E3169,MOVIMIENTOS_COMPLEMENTOS!$H$4:$H$803,G3169,MOVIMIENTOS_COMPLEMENTOS!$B$4:$B$803,"INGRESO")+SUMIFS(MOVIMIENTOS_COMPLEMENTOS!$I$4:$I$803,MOVIMIENTOS_COMPLEMENTOS!$C$4:$C$803,A3169,MOVIMIENTOS_COMPLEMENTOS!$D$4:$D$803,B3169,MOVIMIENTOS_COMPLEMENTOS!$E$4:$E$803,C3169,MOVIMIENTOS_COMPLEMENTOS!$G$4:$G$803,E3169,MOVIMIENTOS_COMPLEMENTOS!$H$4:$H$803,G3169,MOVIMIENTOS_COMPLEMENTOS!$B$4:$B$803,"DE CORTE")-SUMIFS(MOVIMIENTOS_COMPLEMENTOS!$I$4:$I$803,MOVIMIENTOS_COMPLEMENTOS!$C$4:$C$803,A3169,MOVIMIENTOS_COMPLEMENTOS!$D$4:$D$803,B3169,MOVIMIENTOS_COMPLEMENTOS!$E$4:$E$803,C3169,MOVIMIENTOS_COMPLEMENTOS!$G$4:$G$803,E3169,MOVIMIENTOS_COMPLEMENTOS!$H$4:$H$803,G3169,MOVIMIENTOS_COMPLEMENTOS!$B$4:$B$803,"SALIDA"),0)</f>
        <v>0</v>
      </c>
      <c r="I3169" s="102">
        <f t="array" ref="I3169">IFERROR(INDEX(PRECIOS_COMPLEMENTOS!$C$4:$F$17,MATCH(B3169&amp;"_"&amp;C3169,PRECIOS_COMPLEMENTOS!$H$4:$H$17,0),IF(OR(G3169="S",G3169="20cm"),1,IF(OR(G3169="M",G3169="25cm"),2,IF(OR(G3169="L",G3169="30cm"),3,IF(OR(G3169="XL",G3169="35cm"),4,0))))),0)</f>
        <v>0.45</v>
      </c>
      <c r="J3169" s="103">
        <f t="shared" si="1"/>
        <v>0</v>
      </c>
      <c r="K3169" s="104" t="str">
        <f>IF(H3169&lt;0,"ERROR",IF(H3169=0,"",IF(H3169&lt;CONFIG!$B$4,"CRÍTICO",IF(H3169&lt;CONFIG!$B$5,"BAJO","OK"))))</f>
        <v/>
      </c>
    </row>
    <row r="3170" ht="15.75" customHeight="1">
      <c r="A3170" s="90" t="str">
        <f>IF(CLIENTES!A8="","",CLIENTES!A8)</f>
        <v/>
      </c>
      <c r="B3170" s="90" t="s">
        <v>333</v>
      </c>
      <c r="C3170" s="91" t="s">
        <v>334</v>
      </c>
      <c r="D3170" s="109" t="s">
        <v>353</v>
      </c>
      <c r="E3170" s="67" t="str">
        <f>COLORES!A19</f>
        <v/>
      </c>
      <c r="F3170" s="67" t="str">
        <f>COLORES!B19</f>
        <v/>
      </c>
      <c r="G3170" s="90" t="s">
        <v>381</v>
      </c>
      <c r="H3170" s="100">
        <f>IFERROR(SUMIFS(MOVIMIENTOS_COMPLEMENTOS!$I$4:$I$803,MOVIMIENTOS_COMPLEMENTOS!$C$4:$C$803,A3170,MOVIMIENTOS_COMPLEMENTOS!$D$4:$D$803,B3170,MOVIMIENTOS_COMPLEMENTOS!$E$4:$E$803,C3170,MOVIMIENTOS_COMPLEMENTOS!$G$4:$G$803,E3170,MOVIMIENTOS_COMPLEMENTOS!$H$4:$H$803,G3170,MOVIMIENTOS_COMPLEMENTOS!$B$4:$B$803,"INGRESO")+SUMIFS(MOVIMIENTOS_COMPLEMENTOS!$I$4:$I$803,MOVIMIENTOS_COMPLEMENTOS!$C$4:$C$803,A3170,MOVIMIENTOS_COMPLEMENTOS!$D$4:$D$803,B3170,MOVIMIENTOS_COMPLEMENTOS!$E$4:$E$803,C3170,MOVIMIENTOS_COMPLEMENTOS!$G$4:$G$803,E3170,MOVIMIENTOS_COMPLEMENTOS!$H$4:$H$803,G3170,MOVIMIENTOS_COMPLEMENTOS!$B$4:$B$803,"DE CORTE")-SUMIFS(MOVIMIENTOS_COMPLEMENTOS!$I$4:$I$803,MOVIMIENTOS_COMPLEMENTOS!$C$4:$C$803,A3170,MOVIMIENTOS_COMPLEMENTOS!$D$4:$D$803,B3170,MOVIMIENTOS_COMPLEMENTOS!$E$4:$E$803,C3170,MOVIMIENTOS_COMPLEMENTOS!$G$4:$G$803,E3170,MOVIMIENTOS_COMPLEMENTOS!$H$4:$H$803,G3170,MOVIMIENTOS_COMPLEMENTOS!$B$4:$B$803,"SALIDA"),0)</f>
        <v>0</v>
      </c>
      <c r="I3170" s="102">
        <f t="array" ref="I3170">IFERROR(INDEX(PRECIOS_COMPLEMENTOS!$C$4:$F$17,MATCH(B3170&amp;"_"&amp;C3170,PRECIOS_COMPLEMENTOS!$H$4:$H$17,0),IF(OR(G3170="S",G3170="20cm"),1,IF(OR(G3170="M",G3170="25cm"),2,IF(OR(G3170="L",G3170="30cm"),3,IF(OR(G3170="XL",G3170="35cm"),4,0))))),0)</f>
        <v>0.45</v>
      </c>
      <c r="J3170" s="103">
        <f t="shared" si="1"/>
        <v>0</v>
      </c>
      <c r="K3170" s="104" t="str">
        <f>IF(H3170&lt;0,"ERROR",IF(H3170=0,"",IF(H3170&lt;CONFIG!$B$4,"CRÍTICO",IF(H3170&lt;CONFIG!$B$5,"BAJO","OK"))))</f>
        <v/>
      </c>
    </row>
    <row r="3171" ht="15.75" customHeight="1">
      <c r="A3171" s="90" t="str">
        <f>IF(CLIENTES!A8="","",CLIENTES!A8)</f>
        <v/>
      </c>
      <c r="B3171" s="90" t="s">
        <v>333</v>
      </c>
      <c r="C3171" s="91" t="s">
        <v>334</v>
      </c>
      <c r="D3171" s="109" t="s">
        <v>353</v>
      </c>
      <c r="E3171" s="67" t="str">
        <f>COLORES!A19</f>
        <v/>
      </c>
      <c r="F3171" s="67" t="str">
        <f>COLORES!B19</f>
        <v/>
      </c>
      <c r="G3171" s="90" t="s">
        <v>382</v>
      </c>
      <c r="H3171" s="100">
        <f>IFERROR(SUMIFS(MOVIMIENTOS_COMPLEMENTOS!$I$4:$I$803,MOVIMIENTOS_COMPLEMENTOS!$C$4:$C$803,A3171,MOVIMIENTOS_COMPLEMENTOS!$D$4:$D$803,B3171,MOVIMIENTOS_COMPLEMENTOS!$E$4:$E$803,C3171,MOVIMIENTOS_COMPLEMENTOS!$G$4:$G$803,E3171,MOVIMIENTOS_COMPLEMENTOS!$H$4:$H$803,G3171,MOVIMIENTOS_COMPLEMENTOS!$B$4:$B$803,"INGRESO")+SUMIFS(MOVIMIENTOS_COMPLEMENTOS!$I$4:$I$803,MOVIMIENTOS_COMPLEMENTOS!$C$4:$C$803,A3171,MOVIMIENTOS_COMPLEMENTOS!$D$4:$D$803,B3171,MOVIMIENTOS_COMPLEMENTOS!$E$4:$E$803,C3171,MOVIMIENTOS_COMPLEMENTOS!$G$4:$G$803,E3171,MOVIMIENTOS_COMPLEMENTOS!$H$4:$H$803,G3171,MOVIMIENTOS_COMPLEMENTOS!$B$4:$B$803,"DE CORTE")-SUMIFS(MOVIMIENTOS_COMPLEMENTOS!$I$4:$I$803,MOVIMIENTOS_COMPLEMENTOS!$C$4:$C$803,A3171,MOVIMIENTOS_COMPLEMENTOS!$D$4:$D$803,B3171,MOVIMIENTOS_COMPLEMENTOS!$E$4:$E$803,C3171,MOVIMIENTOS_COMPLEMENTOS!$G$4:$G$803,E3171,MOVIMIENTOS_COMPLEMENTOS!$H$4:$H$803,G3171,MOVIMIENTOS_COMPLEMENTOS!$B$4:$B$803,"SALIDA"),0)</f>
        <v>0</v>
      </c>
      <c r="I3171" s="102">
        <f t="array" ref="I3171">IFERROR(INDEX(PRECIOS_COMPLEMENTOS!$C$4:$F$17,MATCH(B3171&amp;"_"&amp;C3171,PRECIOS_COMPLEMENTOS!$H$4:$H$17,0),IF(OR(G3171="S",G3171="20cm"),1,IF(OR(G3171="M",G3171="25cm"),2,IF(OR(G3171="L",G3171="30cm"),3,IF(OR(G3171="XL",G3171="35cm"),4,0))))),0)</f>
        <v>0.45</v>
      </c>
      <c r="J3171" s="103">
        <f t="shared" si="1"/>
        <v>0</v>
      </c>
      <c r="K3171" s="104" t="str">
        <f>IF(H3171&lt;0,"ERROR",IF(H3171=0,"",IF(H3171&lt;CONFIG!$B$4,"CRÍTICO",IF(H3171&lt;CONFIG!$B$5,"BAJO","OK"))))</f>
        <v/>
      </c>
    </row>
    <row r="3172" ht="15.75" customHeight="1">
      <c r="A3172" s="90" t="str">
        <f>IF(CLIENTES!A8="","",CLIENTES!A8)</f>
        <v/>
      </c>
      <c r="B3172" s="90" t="s">
        <v>333</v>
      </c>
      <c r="C3172" s="91" t="s">
        <v>334</v>
      </c>
      <c r="D3172" s="109" t="s">
        <v>353</v>
      </c>
      <c r="E3172" s="67" t="str">
        <f>COLORES!A20</f>
        <v/>
      </c>
      <c r="F3172" s="67" t="str">
        <f>COLORES!B20</f>
        <v/>
      </c>
      <c r="G3172" s="90" t="s">
        <v>380</v>
      </c>
      <c r="H3172" s="100">
        <f>IFERROR(SUMIFS(MOVIMIENTOS_COMPLEMENTOS!$I$4:$I$803,MOVIMIENTOS_COMPLEMENTOS!$C$4:$C$803,A3172,MOVIMIENTOS_COMPLEMENTOS!$D$4:$D$803,B3172,MOVIMIENTOS_COMPLEMENTOS!$E$4:$E$803,C3172,MOVIMIENTOS_COMPLEMENTOS!$G$4:$G$803,E3172,MOVIMIENTOS_COMPLEMENTOS!$H$4:$H$803,G3172,MOVIMIENTOS_COMPLEMENTOS!$B$4:$B$803,"INGRESO")+SUMIFS(MOVIMIENTOS_COMPLEMENTOS!$I$4:$I$803,MOVIMIENTOS_COMPLEMENTOS!$C$4:$C$803,A3172,MOVIMIENTOS_COMPLEMENTOS!$D$4:$D$803,B3172,MOVIMIENTOS_COMPLEMENTOS!$E$4:$E$803,C3172,MOVIMIENTOS_COMPLEMENTOS!$G$4:$G$803,E3172,MOVIMIENTOS_COMPLEMENTOS!$H$4:$H$803,G3172,MOVIMIENTOS_COMPLEMENTOS!$B$4:$B$803,"DE CORTE")-SUMIFS(MOVIMIENTOS_COMPLEMENTOS!$I$4:$I$803,MOVIMIENTOS_COMPLEMENTOS!$C$4:$C$803,A3172,MOVIMIENTOS_COMPLEMENTOS!$D$4:$D$803,B3172,MOVIMIENTOS_COMPLEMENTOS!$E$4:$E$803,C3172,MOVIMIENTOS_COMPLEMENTOS!$G$4:$G$803,E3172,MOVIMIENTOS_COMPLEMENTOS!$H$4:$H$803,G3172,MOVIMIENTOS_COMPLEMENTOS!$B$4:$B$803,"SALIDA"),0)</f>
        <v>0</v>
      </c>
      <c r="I3172" s="102">
        <f t="array" ref="I3172">IFERROR(INDEX(PRECIOS_COMPLEMENTOS!$C$4:$F$17,MATCH(B3172&amp;"_"&amp;C3172,PRECIOS_COMPLEMENTOS!$H$4:$H$17,0),IF(OR(G3172="S",G3172="20cm"),1,IF(OR(G3172="M",G3172="25cm"),2,IF(OR(G3172="L",G3172="30cm"),3,IF(OR(G3172="XL",G3172="35cm"),4,0))))),0)</f>
        <v>0.45</v>
      </c>
      <c r="J3172" s="103">
        <f t="shared" si="1"/>
        <v>0</v>
      </c>
      <c r="K3172" s="104" t="str">
        <f>IF(H3172&lt;0,"ERROR",IF(H3172=0,"",IF(H3172&lt;CONFIG!$B$4,"CRÍTICO",IF(H3172&lt;CONFIG!$B$5,"BAJO","OK"))))</f>
        <v/>
      </c>
    </row>
    <row r="3173" ht="15.75" customHeight="1">
      <c r="A3173" s="90" t="str">
        <f>IF(CLIENTES!A8="","",CLIENTES!A8)</f>
        <v/>
      </c>
      <c r="B3173" s="90" t="s">
        <v>333</v>
      </c>
      <c r="C3173" s="91" t="s">
        <v>334</v>
      </c>
      <c r="D3173" s="109" t="s">
        <v>353</v>
      </c>
      <c r="E3173" s="67" t="str">
        <f>COLORES!A20</f>
        <v/>
      </c>
      <c r="F3173" s="67" t="str">
        <f>COLORES!B20</f>
        <v/>
      </c>
      <c r="G3173" s="90" t="s">
        <v>381</v>
      </c>
      <c r="H3173" s="100">
        <f>IFERROR(SUMIFS(MOVIMIENTOS_COMPLEMENTOS!$I$4:$I$803,MOVIMIENTOS_COMPLEMENTOS!$C$4:$C$803,A3173,MOVIMIENTOS_COMPLEMENTOS!$D$4:$D$803,B3173,MOVIMIENTOS_COMPLEMENTOS!$E$4:$E$803,C3173,MOVIMIENTOS_COMPLEMENTOS!$G$4:$G$803,E3173,MOVIMIENTOS_COMPLEMENTOS!$H$4:$H$803,G3173,MOVIMIENTOS_COMPLEMENTOS!$B$4:$B$803,"INGRESO")+SUMIFS(MOVIMIENTOS_COMPLEMENTOS!$I$4:$I$803,MOVIMIENTOS_COMPLEMENTOS!$C$4:$C$803,A3173,MOVIMIENTOS_COMPLEMENTOS!$D$4:$D$803,B3173,MOVIMIENTOS_COMPLEMENTOS!$E$4:$E$803,C3173,MOVIMIENTOS_COMPLEMENTOS!$G$4:$G$803,E3173,MOVIMIENTOS_COMPLEMENTOS!$H$4:$H$803,G3173,MOVIMIENTOS_COMPLEMENTOS!$B$4:$B$803,"DE CORTE")-SUMIFS(MOVIMIENTOS_COMPLEMENTOS!$I$4:$I$803,MOVIMIENTOS_COMPLEMENTOS!$C$4:$C$803,A3173,MOVIMIENTOS_COMPLEMENTOS!$D$4:$D$803,B3173,MOVIMIENTOS_COMPLEMENTOS!$E$4:$E$803,C3173,MOVIMIENTOS_COMPLEMENTOS!$G$4:$G$803,E3173,MOVIMIENTOS_COMPLEMENTOS!$H$4:$H$803,G3173,MOVIMIENTOS_COMPLEMENTOS!$B$4:$B$803,"SALIDA"),0)</f>
        <v>0</v>
      </c>
      <c r="I3173" s="102">
        <f t="array" ref="I3173">IFERROR(INDEX(PRECIOS_COMPLEMENTOS!$C$4:$F$17,MATCH(B3173&amp;"_"&amp;C3173,PRECIOS_COMPLEMENTOS!$H$4:$H$17,0),IF(OR(G3173="S",G3173="20cm"),1,IF(OR(G3173="M",G3173="25cm"),2,IF(OR(G3173="L",G3173="30cm"),3,IF(OR(G3173="XL",G3173="35cm"),4,0))))),0)</f>
        <v>0.45</v>
      </c>
      <c r="J3173" s="103">
        <f t="shared" si="1"/>
        <v>0</v>
      </c>
      <c r="K3173" s="104" t="str">
        <f>IF(H3173&lt;0,"ERROR",IF(H3173=0,"",IF(H3173&lt;CONFIG!$B$4,"CRÍTICO",IF(H3173&lt;CONFIG!$B$5,"BAJO","OK"))))</f>
        <v/>
      </c>
    </row>
    <row r="3174" ht="15.75" customHeight="1">
      <c r="A3174" s="90" t="str">
        <f>IF(CLIENTES!A8="","",CLIENTES!A8)</f>
        <v/>
      </c>
      <c r="B3174" s="90" t="s">
        <v>333</v>
      </c>
      <c r="C3174" s="91" t="s">
        <v>334</v>
      </c>
      <c r="D3174" s="109" t="s">
        <v>353</v>
      </c>
      <c r="E3174" s="67" t="str">
        <f>COLORES!A20</f>
        <v/>
      </c>
      <c r="F3174" s="67" t="str">
        <f>COLORES!B20</f>
        <v/>
      </c>
      <c r="G3174" s="90" t="s">
        <v>382</v>
      </c>
      <c r="H3174" s="100">
        <f>IFERROR(SUMIFS(MOVIMIENTOS_COMPLEMENTOS!$I$4:$I$803,MOVIMIENTOS_COMPLEMENTOS!$C$4:$C$803,A3174,MOVIMIENTOS_COMPLEMENTOS!$D$4:$D$803,B3174,MOVIMIENTOS_COMPLEMENTOS!$E$4:$E$803,C3174,MOVIMIENTOS_COMPLEMENTOS!$G$4:$G$803,E3174,MOVIMIENTOS_COMPLEMENTOS!$H$4:$H$803,G3174,MOVIMIENTOS_COMPLEMENTOS!$B$4:$B$803,"INGRESO")+SUMIFS(MOVIMIENTOS_COMPLEMENTOS!$I$4:$I$803,MOVIMIENTOS_COMPLEMENTOS!$C$4:$C$803,A3174,MOVIMIENTOS_COMPLEMENTOS!$D$4:$D$803,B3174,MOVIMIENTOS_COMPLEMENTOS!$E$4:$E$803,C3174,MOVIMIENTOS_COMPLEMENTOS!$G$4:$G$803,E3174,MOVIMIENTOS_COMPLEMENTOS!$H$4:$H$803,G3174,MOVIMIENTOS_COMPLEMENTOS!$B$4:$B$803,"DE CORTE")-SUMIFS(MOVIMIENTOS_COMPLEMENTOS!$I$4:$I$803,MOVIMIENTOS_COMPLEMENTOS!$C$4:$C$803,A3174,MOVIMIENTOS_COMPLEMENTOS!$D$4:$D$803,B3174,MOVIMIENTOS_COMPLEMENTOS!$E$4:$E$803,C3174,MOVIMIENTOS_COMPLEMENTOS!$G$4:$G$803,E3174,MOVIMIENTOS_COMPLEMENTOS!$H$4:$H$803,G3174,MOVIMIENTOS_COMPLEMENTOS!$B$4:$B$803,"SALIDA"),0)</f>
        <v>0</v>
      </c>
      <c r="I3174" s="102">
        <f t="array" ref="I3174">IFERROR(INDEX(PRECIOS_COMPLEMENTOS!$C$4:$F$17,MATCH(B3174&amp;"_"&amp;C3174,PRECIOS_COMPLEMENTOS!$H$4:$H$17,0),IF(OR(G3174="S",G3174="20cm"),1,IF(OR(G3174="M",G3174="25cm"),2,IF(OR(G3174="L",G3174="30cm"),3,IF(OR(G3174="XL",G3174="35cm"),4,0))))),0)</f>
        <v>0.45</v>
      </c>
      <c r="J3174" s="103">
        <f t="shared" si="1"/>
        <v>0</v>
      </c>
      <c r="K3174" s="104" t="str">
        <f>IF(H3174&lt;0,"ERROR",IF(H3174=0,"",IF(H3174&lt;CONFIG!$B$4,"CRÍTICO",IF(H3174&lt;CONFIG!$B$5,"BAJO","OK"))))</f>
        <v/>
      </c>
    </row>
    <row r="3175" ht="15.75" customHeight="1">
      <c r="A3175" s="90" t="str">
        <f>IF(CLIENTES!A8="","",CLIENTES!A8)</f>
        <v/>
      </c>
      <c r="B3175" s="90" t="s">
        <v>333</v>
      </c>
      <c r="C3175" s="91" t="s">
        <v>334</v>
      </c>
      <c r="D3175" s="109" t="s">
        <v>353</v>
      </c>
      <c r="E3175" s="67" t="str">
        <f>COLORES!A21</f>
        <v/>
      </c>
      <c r="F3175" s="67" t="str">
        <f>COLORES!B21</f>
        <v/>
      </c>
      <c r="G3175" s="90" t="s">
        <v>380</v>
      </c>
      <c r="H3175" s="100">
        <f>IFERROR(SUMIFS(MOVIMIENTOS_COMPLEMENTOS!$I$4:$I$803,MOVIMIENTOS_COMPLEMENTOS!$C$4:$C$803,A3175,MOVIMIENTOS_COMPLEMENTOS!$D$4:$D$803,B3175,MOVIMIENTOS_COMPLEMENTOS!$E$4:$E$803,C3175,MOVIMIENTOS_COMPLEMENTOS!$G$4:$G$803,E3175,MOVIMIENTOS_COMPLEMENTOS!$H$4:$H$803,G3175,MOVIMIENTOS_COMPLEMENTOS!$B$4:$B$803,"INGRESO")+SUMIFS(MOVIMIENTOS_COMPLEMENTOS!$I$4:$I$803,MOVIMIENTOS_COMPLEMENTOS!$C$4:$C$803,A3175,MOVIMIENTOS_COMPLEMENTOS!$D$4:$D$803,B3175,MOVIMIENTOS_COMPLEMENTOS!$E$4:$E$803,C3175,MOVIMIENTOS_COMPLEMENTOS!$G$4:$G$803,E3175,MOVIMIENTOS_COMPLEMENTOS!$H$4:$H$803,G3175,MOVIMIENTOS_COMPLEMENTOS!$B$4:$B$803,"DE CORTE")-SUMIFS(MOVIMIENTOS_COMPLEMENTOS!$I$4:$I$803,MOVIMIENTOS_COMPLEMENTOS!$C$4:$C$803,A3175,MOVIMIENTOS_COMPLEMENTOS!$D$4:$D$803,B3175,MOVIMIENTOS_COMPLEMENTOS!$E$4:$E$803,C3175,MOVIMIENTOS_COMPLEMENTOS!$G$4:$G$803,E3175,MOVIMIENTOS_COMPLEMENTOS!$H$4:$H$803,G3175,MOVIMIENTOS_COMPLEMENTOS!$B$4:$B$803,"SALIDA"),0)</f>
        <v>0</v>
      </c>
      <c r="I3175" s="102">
        <f t="array" ref="I3175">IFERROR(INDEX(PRECIOS_COMPLEMENTOS!$C$4:$F$17,MATCH(B3175&amp;"_"&amp;C3175,PRECIOS_COMPLEMENTOS!$H$4:$H$17,0),IF(OR(G3175="S",G3175="20cm"),1,IF(OR(G3175="M",G3175="25cm"),2,IF(OR(G3175="L",G3175="30cm"),3,IF(OR(G3175="XL",G3175="35cm"),4,0))))),0)</f>
        <v>0.45</v>
      </c>
      <c r="J3175" s="103">
        <f t="shared" si="1"/>
        <v>0</v>
      </c>
      <c r="K3175" s="104" t="str">
        <f>IF(H3175&lt;0,"ERROR",IF(H3175=0,"",IF(H3175&lt;CONFIG!$B$4,"CRÍTICO",IF(H3175&lt;CONFIG!$B$5,"BAJO","OK"))))</f>
        <v/>
      </c>
    </row>
    <row r="3176" ht="15.75" customHeight="1">
      <c r="A3176" s="90" t="str">
        <f>IF(CLIENTES!A8="","",CLIENTES!A8)</f>
        <v/>
      </c>
      <c r="B3176" s="90" t="s">
        <v>333</v>
      </c>
      <c r="C3176" s="91" t="s">
        <v>334</v>
      </c>
      <c r="D3176" s="109" t="s">
        <v>353</v>
      </c>
      <c r="E3176" s="67" t="str">
        <f>COLORES!A21</f>
        <v/>
      </c>
      <c r="F3176" s="67" t="str">
        <f>COLORES!B21</f>
        <v/>
      </c>
      <c r="G3176" s="90" t="s">
        <v>381</v>
      </c>
      <c r="H3176" s="100">
        <f>IFERROR(SUMIFS(MOVIMIENTOS_COMPLEMENTOS!$I$4:$I$803,MOVIMIENTOS_COMPLEMENTOS!$C$4:$C$803,A3176,MOVIMIENTOS_COMPLEMENTOS!$D$4:$D$803,B3176,MOVIMIENTOS_COMPLEMENTOS!$E$4:$E$803,C3176,MOVIMIENTOS_COMPLEMENTOS!$G$4:$G$803,E3176,MOVIMIENTOS_COMPLEMENTOS!$H$4:$H$803,G3176,MOVIMIENTOS_COMPLEMENTOS!$B$4:$B$803,"INGRESO")+SUMIFS(MOVIMIENTOS_COMPLEMENTOS!$I$4:$I$803,MOVIMIENTOS_COMPLEMENTOS!$C$4:$C$803,A3176,MOVIMIENTOS_COMPLEMENTOS!$D$4:$D$803,B3176,MOVIMIENTOS_COMPLEMENTOS!$E$4:$E$803,C3176,MOVIMIENTOS_COMPLEMENTOS!$G$4:$G$803,E3176,MOVIMIENTOS_COMPLEMENTOS!$H$4:$H$803,G3176,MOVIMIENTOS_COMPLEMENTOS!$B$4:$B$803,"DE CORTE")-SUMIFS(MOVIMIENTOS_COMPLEMENTOS!$I$4:$I$803,MOVIMIENTOS_COMPLEMENTOS!$C$4:$C$803,A3176,MOVIMIENTOS_COMPLEMENTOS!$D$4:$D$803,B3176,MOVIMIENTOS_COMPLEMENTOS!$E$4:$E$803,C3176,MOVIMIENTOS_COMPLEMENTOS!$G$4:$G$803,E3176,MOVIMIENTOS_COMPLEMENTOS!$H$4:$H$803,G3176,MOVIMIENTOS_COMPLEMENTOS!$B$4:$B$803,"SALIDA"),0)</f>
        <v>0</v>
      </c>
      <c r="I3176" s="102">
        <f t="array" ref="I3176">IFERROR(INDEX(PRECIOS_COMPLEMENTOS!$C$4:$F$17,MATCH(B3176&amp;"_"&amp;C3176,PRECIOS_COMPLEMENTOS!$H$4:$H$17,0),IF(OR(G3176="S",G3176="20cm"),1,IF(OR(G3176="M",G3176="25cm"),2,IF(OR(G3176="L",G3176="30cm"),3,IF(OR(G3176="XL",G3176="35cm"),4,0))))),0)</f>
        <v>0.45</v>
      </c>
      <c r="J3176" s="103">
        <f t="shared" si="1"/>
        <v>0</v>
      </c>
      <c r="K3176" s="104" t="str">
        <f>IF(H3176&lt;0,"ERROR",IF(H3176=0,"",IF(H3176&lt;CONFIG!$B$4,"CRÍTICO",IF(H3176&lt;CONFIG!$B$5,"BAJO","OK"))))</f>
        <v/>
      </c>
    </row>
    <row r="3177" ht="15.75" customHeight="1">
      <c r="A3177" s="90" t="str">
        <f>IF(CLIENTES!A8="","",CLIENTES!A8)</f>
        <v/>
      </c>
      <c r="B3177" s="90" t="s">
        <v>333</v>
      </c>
      <c r="C3177" s="91" t="s">
        <v>334</v>
      </c>
      <c r="D3177" s="109" t="s">
        <v>353</v>
      </c>
      <c r="E3177" s="67" t="str">
        <f>COLORES!A21</f>
        <v/>
      </c>
      <c r="F3177" s="67" t="str">
        <f>COLORES!B21</f>
        <v/>
      </c>
      <c r="G3177" s="90" t="s">
        <v>382</v>
      </c>
      <c r="H3177" s="100">
        <f>IFERROR(SUMIFS(MOVIMIENTOS_COMPLEMENTOS!$I$4:$I$803,MOVIMIENTOS_COMPLEMENTOS!$C$4:$C$803,A3177,MOVIMIENTOS_COMPLEMENTOS!$D$4:$D$803,B3177,MOVIMIENTOS_COMPLEMENTOS!$E$4:$E$803,C3177,MOVIMIENTOS_COMPLEMENTOS!$G$4:$G$803,E3177,MOVIMIENTOS_COMPLEMENTOS!$H$4:$H$803,G3177,MOVIMIENTOS_COMPLEMENTOS!$B$4:$B$803,"INGRESO")+SUMIFS(MOVIMIENTOS_COMPLEMENTOS!$I$4:$I$803,MOVIMIENTOS_COMPLEMENTOS!$C$4:$C$803,A3177,MOVIMIENTOS_COMPLEMENTOS!$D$4:$D$803,B3177,MOVIMIENTOS_COMPLEMENTOS!$E$4:$E$803,C3177,MOVIMIENTOS_COMPLEMENTOS!$G$4:$G$803,E3177,MOVIMIENTOS_COMPLEMENTOS!$H$4:$H$803,G3177,MOVIMIENTOS_COMPLEMENTOS!$B$4:$B$803,"DE CORTE")-SUMIFS(MOVIMIENTOS_COMPLEMENTOS!$I$4:$I$803,MOVIMIENTOS_COMPLEMENTOS!$C$4:$C$803,A3177,MOVIMIENTOS_COMPLEMENTOS!$D$4:$D$803,B3177,MOVIMIENTOS_COMPLEMENTOS!$E$4:$E$803,C3177,MOVIMIENTOS_COMPLEMENTOS!$G$4:$G$803,E3177,MOVIMIENTOS_COMPLEMENTOS!$H$4:$H$803,G3177,MOVIMIENTOS_COMPLEMENTOS!$B$4:$B$803,"SALIDA"),0)</f>
        <v>0</v>
      </c>
      <c r="I3177" s="102">
        <f t="array" ref="I3177">IFERROR(INDEX(PRECIOS_COMPLEMENTOS!$C$4:$F$17,MATCH(B3177&amp;"_"&amp;C3177,PRECIOS_COMPLEMENTOS!$H$4:$H$17,0),IF(OR(G3177="S",G3177="20cm"),1,IF(OR(G3177="M",G3177="25cm"),2,IF(OR(G3177="L",G3177="30cm"),3,IF(OR(G3177="XL",G3177="35cm"),4,0))))),0)</f>
        <v>0.45</v>
      </c>
      <c r="J3177" s="103">
        <f t="shared" si="1"/>
        <v>0</v>
      </c>
      <c r="K3177" s="104" t="str">
        <f>IF(H3177&lt;0,"ERROR",IF(H3177=0,"",IF(H3177&lt;CONFIG!$B$4,"CRÍTICO",IF(H3177&lt;CONFIG!$B$5,"BAJO","OK"))))</f>
        <v/>
      </c>
    </row>
    <row r="3178" ht="15.75" customHeight="1">
      <c r="A3178" s="90" t="str">
        <f>IF(CLIENTES!A8="","",CLIENTES!A8)</f>
        <v/>
      </c>
      <c r="B3178" s="90" t="s">
        <v>333</v>
      </c>
      <c r="C3178" s="91" t="s">
        <v>334</v>
      </c>
      <c r="D3178" s="109" t="s">
        <v>353</v>
      </c>
      <c r="E3178" s="67" t="str">
        <f>COLORES!A22</f>
        <v/>
      </c>
      <c r="F3178" s="67" t="str">
        <f>COLORES!B22</f>
        <v/>
      </c>
      <c r="G3178" s="90" t="s">
        <v>380</v>
      </c>
      <c r="H3178" s="100">
        <f>IFERROR(SUMIFS(MOVIMIENTOS_COMPLEMENTOS!$I$4:$I$803,MOVIMIENTOS_COMPLEMENTOS!$C$4:$C$803,A3178,MOVIMIENTOS_COMPLEMENTOS!$D$4:$D$803,B3178,MOVIMIENTOS_COMPLEMENTOS!$E$4:$E$803,C3178,MOVIMIENTOS_COMPLEMENTOS!$G$4:$G$803,E3178,MOVIMIENTOS_COMPLEMENTOS!$H$4:$H$803,G3178,MOVIMIENTOS_COMPLEMENTOS!$B$4:$B$803,"INGRESO")+SUMIFS(MOVIMIENTOS_COMPLEMENTOS!$I$4:$I$803,MOVIMIENTOS_COMPLEMENTOS!$C$4:$C$803,A3178,MOVIMIENTOS_COMPLEMENTOS!$D$4:$D$803,B3178,MOVIMIENTOS_COMPLEMENTOS!$E$4:$E$803,C3178,MOVIMIENTOS_COMPLEMENTOS!$G$4:$G$803,E3178,MOVIMIENTOS_COMPLEMENTOS!$H$4:$H$803,G3178,MOVIMIENTOS_COMPLEMENTOS!$B$4:$B$803,"DE CORTE")-SUMIFS(MOVIMIENTOS_COMPLEMENTOS!$I$4:$I$803,MOVIMIENTOS_COMPLEMENTOS!$C$4:$C$803,A3178,MOVIMIENTOS_COMPLEMENTOS!$D$4:$D$803,B3178,MOVIMIENTOS_COMPLEMENTOS!$E$4:$E$803,C3178,MOVIMIENTOS_COMPLEMENTOS!$G$4:$G$803,E3178,MOVIMIENTOS_COMPLEMENTOS!$H$4:$H$803,G3178,MOVIMIENTOS_COMPLEMENTOS!$B$4:$B$803,"SALIDA"),0)</f>
        <v>0</v>
      </c>
      <c r="I3178" s="102">
        <f t="array" ref="I3178">IFERROR(INDEX(PRECIOS_COMPLEMENTOS!$C$4:$F$17,MATCH(B3178&amp;"_"&amp;C3178,PRECIOS_COMPLEMENTOS!$H$4:$H$17,0),IF(OR(G3178="S",G3178="20cm"),1,IF(OR(G3178="M",G3178="25cm"),2,IF(OR(G3178="L",G3178="30cm"),3,IF(OR(G3178="XL",G3178="35cm"),4,0))))),0)</f>
        <v>0.45</v>
      </c>
      <c r="J3178" s="103">
        <f t="shared" si="1"/>
        <v>0</v>
      </c>
      <c r="K3178" s="104" t="str">
        <f>IF(H3178&lt;0,"ERROR",IF(H3178=0,"",IF(H3178&lt;CONFIG!$B$4,"CRÍTICO",IF(H3178&lt;CONFIG!$B$5,"BAJO","OK"))))</f>
        <v/>
      </c>
    </row>
    <row r="3179" ht="15.75" customHeight="1">
      <c r="A3179" s="90" t="str">
        <f>IF(CLIENTES!A8="","",CLIENTES!A8)</f>
        <v/>
      </c>
      <c r="B3179" s="90" t="s">
        <v>333</v>
      </c>
      <c r="C3179" s="91" t="s">
        <v>334</v>
      </c>
      <c r="D3179" s="109" t="s">
        <v>353</v>
      </c>
      <c r="E3179" s="67" t="str">
        <f>COLORES!A22</f>
        <v/>
      </c>
      <c r="F3179" s="67" t="str">
        <f>COLORES!B22</f>
        <v/>
      </c>
      <c r="G3179" s="90" t="s">
        <v>381</v>
      </c>
      <c r="H3179" s="100">
        <f>IFERROR(SUMIFS(MOVIMIENTOS_COMPLEMENTOS!$I$4:$I$803,MOVIMIENTOS_COMPLEMENTOS!$C$4:$C$803,A3179,MOVIMIENTOS_COMPLEMENTOS!$D$4:$D$803,B3179,MOVIMIENTOS_COMPLEMENTOS!$E$4:$E$803,C3179,MOVIMIENTOS_COMPLEMENTOS!$G$4:$G$803,E3179,MOVIMIENTOS_COMPLEMENTOS!$H$4:$H$803,G3179,MOVIMIENTOS_COMPLEMENTOS!$B$4:$B$803,"INGRESO")+SUMIFS(MOVIMIENTOS_COMPLEMENTOS!$I$4:$I$803,MOVIMIENTOS_COMPLEMENTOS!$C$4:$C$803,A3179,MOVIMIENTOS_COMPLEMENTOS!$D$4:$D$803,B3179,MOVIMIENTOS_COMPLEMENTOS!$E$4:$E$803,C3179,MOVIMIENTOS_COMPLEMENTOS!$G$4:$G$803,E3179,MOVIMIENTOS_COMPLEMENTOS!$H$4:$H$803,G3179,MOVIMIENTOS_COMPLEMENTOS!$B$4:$B$803,"DE CORTE")-SUMIFS(MOVIMIENTOS_COMPLEMENTOS!$I$4:$I$803,MOVIMIENTOS_COMPLEMENTOS!$C$4:$C$803,A3179,MOVIMIENTOS_COMPLEMENTOS!$D$4:$D$803,B3179,MOVIMIENTOS_COMPLEMENTOS!$E$4:$E$803,C3179,MOVIMIENTOS_COMPLEMENTOS!$G$4:$G$803,E3179,MOVIMIENTOS_COMPLEMENTOS!$H$4:$H$803,G3179,MOVIMIENTOS_COMPLEMENTOS!$B$4:$B$803,"SALIDA"),0)</f>
        <v>0</v>
      </c>
      <c r="I3179" s="102">
        <f t="array" ref="I3179">IFERROR(INDEX(PRECIOS_COMPLEMENTOS!$C$4:$F$17,MATCH(B3179&amp;"_"&amp;C3179,PRECIOS_COMPLEMENTOS!$H$4:$H$17,0),IF(OR(G3179="S",G3179="20cm"),1,IF(OR(G3179="M",G3179="25cm"),2,IF(OR(G3179="L",G3179="30cm"),3,IF(OR(G3179="XL",G3179="35cm"),4,0))))),0)</f>
        <v>0.45</v>
      </c>
      <c r="J3179" s="103">
        <f t="shared" si="1"/>
        <v>0</v>
      </c>
      <c r="K3179" s="104" t="str">
        <f>IF(H3179&lt;0,"ERROR",IF(H3179=0,"",IF(H3179&lt;CONFIG!$B$4,"CRÍTICO",IF(H3179&lt;CONFIG!$B$5,"BAJO","OK"))))</f>
        <v/>
      </c>
    </row>
    <row r="3180" ht="15.75" customHeight="1">
      <c r="A3180" s="90" t="str">
        <f>IF(CLIENTES!A8="","",CLIENTES!A8)</f>
        <v/>
      </c>
      <c r="B3180" s="90" t="s">
        <v>333</v>
      </c>
      <c r="C3180" s="91" t="s">
        <v>334</v>
      </c>
      <c r="D3180" s="109" t="s">
        <v>353</v>
      </c>
      <c r="E3180" s="67" t="str">
        <f>COLORES!A22</f>
        <v/>
      </c>
      <c r="F3180" s="67" t="str">
        <f>COLORES!B22</f>
        <v/>
      </c>
      <c r="G3180" s="90" t="s">
        <v>382</v>
      </c>
      <c r="H3180" s="100">
        <f>IFERROR(SUMIFS(MOVIMIENTOS_COMPLEMENTOS!$I$4:$I$803,MOVIMIENTOS_COMPLEMENTOS!$C$4:$C$803,A3180,MOVIMIENTOS_COMPLEMENTOS!$D$4:$D$803,B3180,MOVIMIENTOS_COMPLEMENTOS!$E$4:$E$803,C3180,MOVIMIENTOS_COMPLEMENTOS!$G$4:$G$803,E3180,MOVIMIENTOS_COMPLEMENTOS!$H$4:$H$803,G3180,MOVIMIENTOS_COMPLEMENTOS!$B$4:$B$803,"INGRESO")+SUMIFS(MOVIMIENTOS_COMPLEMENTOS!$I$4:$I$803,MOVIMIENTOS_COMPLEMENTOS!$C$4:$C$803,A3180,MOVIMIENTOS_COMPLEMENTOS!$D$4:$D$803,B3180,MOVIMIENTOS_COMPLEMENTOS!$E$4:$E$803,C3180,MOVIMIENTOS_COMPLEMENTOS!$G$4:$G$803,E3180,MOVIMIENTOS_COMPLEMENTOS!$H$4:$H$803,G3180,MOVIMIENTOS_COMPLEMENTOS!$B$4:$B$803,"DE CORTE")-SUMIFS(MOVIMIENTOS_COMPLEMENTOS!$I$4:$I$803,MOVIMIENTOS_COMPLEMENTOS!$C$4:$C$803,A3180,MOVIMIENTOS_COMPLEMENTOS!$D$4:$D$803,B3180,MOVIMIENTOS_COMPLEMENTOS!$E$4:$E$803,C3180,MOVIMIENTOS_COMPLEMENTOS!$G$4:$G$803,E3180,MOVIMIENTOS_COMPLEMENTOS!$H$4:$H$803,G3180,MOVIMIENTOS_COMPLEMENTOS!$B$4:$B$803,"SALIDA"),0)</f>
        <v>0</v>
      </c>
      <c r="I3180" s="102">
        <f t="array" ref="I3180">IFERROR(INDEX(PRECIOS_COMPLEMENTOS!$C$4:$F$17,MATCH(B3180&amp;"_"&amp;C3180,PRECIOS_COMPLEMENTOS!$H$4:$H$17,0),IF(OR(G3180="S",G3180="20cm"),1,IF(OR(G3180="M",G3180="25cm"),2,IF(OR(G3180="L",G3180="30cm"),3,IF(OR(G3180="XL",G3180="35cm"),4,0))))),0)</f>
        <v>0.45</v>
      </c>
      <c r="J3180" s="103">
        <f t="shared" si="1"/>
        <v>0</v>
      </c>
      <c r="K3180" s="104" t="str">
        <f>IF(H3180&lt;0,"ERROR",IF(H3180=0,"",IF(H3180&lt;CONFIG!$B$4,"CRÍTICO",IF(H3180&lt;CONFIG!$B$5,"BAJO","OK"))))</f>
        <v/>
      </c>
    </row>
    <row r="3181" ht="15.75" customHeight="1">
      <c r="A3181" s="90" t="str">
        <f>IF(CLIENTES!A8="","",CLIENTES!A8)</f>
        <v/>
      </c>
      <c r="B3181" s="90" t="s">
        <v>333</v>
      </c>
      <c r="C3181" s="91" t="s">
        <v>334</v>
      </c>
      <c r="D3181" s="109" t="s">
        <v>353</v>
      </c>
      <c r="E3181" s="67" t="str">
        <f>COLORES!A23</f>
        <v/>
      </c>
      <c r="F3181" s="67" t="str">
        <f>COLORES!B23</f>
        <v/>
      </c>
      <c r="G3181" s="90" t="s">
        <v>380</v>
      </c>
      <c r="H3181" s="100">
        <f>IFERROR(SUMIFS(MOVIMIENTOS_COMPLEMENTOS!$I$4:$I$803,MOVIMIENTOS_COMPLEMENTOS!$C$4:$C$803,A3181,MOVIMIENTOS_COMPLEMENTOS!$D$4:$D$803,B3181,MOVIMIENTOS_COMPLEMENTOS!$E$4:$E$803,C3181,MOVIMIENTOS_COMPLEMENTOS!$G$4:$G$803,E3181,MOVIMIENTOS_COMPLEMENTOS!$H$4:$H$803,G3181,MOVIMIENTOS_COMPLEMENTOS!$B$4:$B$803,"INGRESO")+SUMIFS(MOVIMIENTOS_COMPLEMENTOS!$I$4:$I$803,MOVIMIENTOS_COMPLEMENTOS!$C$4:$C$803,A3181,MOVIMIENTOS_COMPLEMENTOS!$D$4:$D$803,B3181,MOVIMIENTOS_COMPLEMENTOS!$E$4:$E$803,C3181,MOVIMIENTOS_COMPLEMENTOS!$G$4:$G$803,E3181,MOVIMIENTOS_COMPLEMENTOS!$H$4:$H$803,G3181,MOVIMIENTOS_COMPLEMENTOS!$B$4:$B$803,"DE CORTE")-SUMIFS(MOVIMIENTOS_COMPLEMENTOS!$I$4:$I$803,MOVIMIENTOS_COMPLEMENTOS!$C$4:$C$803,A3181,MOVIMIENTOS_COMPLEMENTOS!$D$4:$D$803,B3181,MOVIMIENTOS_COMPLEMENTOS!$E$4:$E$803,C3181,MOVIMIENTOS_COMPLEMENTOS!$G$4:$G$803,E3181,MOVIMIENTOS_COMPLEMENTOS!$H$4:$H$803,G3181,MOVIMIENTOS_COMPLEMENTOS!$B$4:$B$803,"SALIDA"),0)</f>
        <v>0</v>
      </c>
      <c r="I3181" s="102">
        <f t="array" ref="I3181">IFERROR(INDEX(PRECIOS_COMPLEMENTOS!$C$4:$F$17,MATCH(B3181&amp;"_"&amp;C3181,PRECIOS_COMPLEMENTOS!$H$4:$H$17,0),IF(OR(G3181="S",G3181="20cm"),1,IF(OR(G3181="M",G3181="25cm"),2,IF(OR(G3181="L",G3181="30cm"),3,IF(OR(G3181="XL",G3181="35cm"),4,0))))),0)</f>
        <v>0.45</v>
      </c>
      <c r="J3181" s="103">
        <f t="shared" si="1"/>
        <v>0</v>
      </c>
      <c r="K3181" s="104" t="str">
        <f>IF(H3181&lt;0,"ERROR",IF(H3181=0,"",IF(H3181&lt;CONFIG!$B$4,"CRÍTICO",IF(H3181&lt;CONFIG!$B$5,"BAJO","OK"))))</f>
        <v/>
      </c>
    </row>
    <row r="3182" ht="15.75" customHeight="1">
      <c r="A3182" s="90" t="str">
        <f>IF(CLIENTES!A8="","",CLIENTES!A8)</f>
        <v/>
      </c>
      <c r="B3182" s="90" t="s">
        <v>333</v>
      </c>
      <c r="C3182" s="91" t="s">
        <v>334</v>
      </c>
      <c r="D3182" s="109" t="s">
        <v>353</v>
      </c>
      <c r="E3182" s="67" t="str">
        <f>COLORES!A23</f>
        <v/>
      </c>
      <c r="F3182" s="67" t="str">
        <f>COLORES!B23</f>
        <v/>
      </c>
      <c r="G3182" s="90" t="s">
        <v>381</v>
      </c>
      <c r="H3182" s="100">
        <f>IFERROR(SUMIFS(MOVIMIENTOS_COMPLEMENTOS!$I$4:$I$803,MOVIMIENTOS_COMPLEMENTOS!$C$4:$C$803,A3182,MOVIMIENTOS_COMPLEMENTOS!$D$4:$D$803,B3182,MOVIMIENTOS_COMPLEMENTOS!$E$4:$E$803,C3182,MOVIMIENTOS_COMPLEMENTOS!$G$4:$G$803,E3182,MOVIMIENTOS_COMPLEMENTOS!$H$4:$H$803,G3182,MOVIMIENTOS_COMPLEMENTOS!$B$4:$B$803,"INGRESO")+SUMIFS(MOVIMIENTOS_COMPLEMENTOS!$I$4:$I$803,MOVIMIENTOS_COMPLEMENTOS!$C$4:$C$803,A3182,MOVIMIENTOS_COMPLEMENTOS!$D$4:$D$803,B3182,MOVIMIENTOS_COMPLEMENTOS!$E$4:$E$803,C3182,MOVIMIENTOS_COMPLEMENTOS!$G$4:$G$803,E3182,MOVIMIENTOS_COMPLEMENTOS!$H$4:$H$803,G3182,MOVIMIENTOS_COMPLEMENTOS!$B$4:$B$803,"DE CORTE")-SUMIFS(MOVIMIENTOS_COMPLEMENTOS!$I$4:$I$803,MOVIMIENTOS_COMPLEMENTOS!$C$4:$C$803,A3182,MOVIMIENTOS_COMPLEMENTOS!$D$4:$D$803,B3182,MOVIMIENTOS_COMPLEMENTOS!$E$4:$E$803,C3182,MOVIMIENTOS_COMPLEMENTOS!$G$4:$G$803,E3182,MOVIMIENTOS_COMPLEMENTOS!$H$4:$H$803,G3182,MOVIMIENTOS_COMPLEMENTOS!$B$4:$B$803,"SALIDA"),0)</f>
        <v>0</v>
      </c>
      <c r="I3182" s="102">
        <f t="array" ref="I3182">IFERROR(INDEX(PRECIOS_COMPLEMENTOS!$C$4:$F$17,MATCH(B3182&amp;"_"&amp;C3182,PRECIOS_COMPLEMENTOS!$H$4:$H$17,0),IF(OR(G3182="S",G3182="20cm"),1,IF(OR(G3182="M",G3182="25cm"),2,IF(OR(G3182="L",G3182="30cm"),3,IF(OR(G3182="XL",G3182="35cm"),4,0))))),0)</f>
        <v>0.45</v>
      </c>
      <c r="J3182" s="103">
        <f t="shared" si="1"/>
        <v>0</v>
      </c>
      <c r="K3182" s="104" t="str">
        <f>IF(H3182&lt;0,"ERROR",IF(H3182=0,"",IF(H3182&lt;CONFIG!$B$4,"CRÍTICO",IF(H3182&lt;CONFIG!$B$5,"BAJO","OK"))))</f>
        <v/>
      </c>
    </row>
    <row r="3183" ht="15.75" customHeight="1">
      <c r="A3183" s="90" t="str">
        <f>IF(CLIENTES!A8="","",CLIENTES!A8)</f>
        <v/>
      </c>
      <c r="B3183" s="90" t="s">
        <v>333</v>
      </c>
      <c r="C3183" s="91" t="s">
        <v>334</v>
      </c>
      <c r="D3183" s="109" t="s">
        <v>353</v>
      </c>
      <c r="E3183" s="67" t="str">
        <f>COLORES!A23</f>
        <v/>
      </c>
      <c r="F3183" s="67" t="str">
        <f>COLORES!B23</f>
        <v/>
      </c>
      <c r="G3183" s="90" t="s">
        <v>382</v>
      </c>
      <c r="H3183" s="100">
        <f>IFERROR(SUMIFS(MOVIMIENTOS_COMPLEMENTOS!$I$4:$I$803,MOVIMIENTOS_COMPLEMENTOS!$C$4:$C$803,A3183,MOVIMIENTOS_COMPLEMENTOS!$D$4:$D$803,B3183,MOVIMIENTOS_COMPLEMENTOS!$E$4:$E$803,C3183,MOVIMIENTOS_COMPLEMENTOS!$G$4:$G$803,E3183,MOVIMIENTOS_COMPLEMENTOS!$H$4:$H$803,G3183,MOVIMIENTOS_COMPLEMENTOS!$B$4:$B$803,"INGRESO")+SUMIFS(MOVIMIENTOS_COMPLEMENTOS!$I$4:$I$803,MOVIMIENTOS_COMPLEMENTOS!$C$4:$C$803,A3183,MOVIMIENTOS_COMPLEMENTOS!$D$4:$D$803,B3183,MOVIMIENTOS_COMPLEMENTOS!$E$4:$E$803,C3183,MOVIMIENTOS_COMPLEMENTOS!$G$4:$G$803,E3183,MOVIMIENTOS_COMPLEMENTOS!$H$4:$H$803,G3183,MOVIMIENTOS_COMPLEMENTOS!$B$4:$B$803,"DE CORTE")-SUMIFS(MOVIMIENTOS_COMPLEMENTOS!$I$4:$I$803,MOVIMIENTOS_COMPLEMENTOS!$C$4:$C$803,A3183,MOVIMIENTOS_COMPLEMENTOS!$D$4:$D$803,B3183,MOVIMIENTOS_COMPLEMENTOS!$E$4:$E$803,C3183,MOVIMIENTOS_COMPLEMENTOS!$G$4:$G$803,E3183,MOVIMIENTOS_COMPLEMENTOS!$H$4:$H$803,G3183,MOVIMIENTOS_COMPLEMENTOS!$B$4:$B$803,"SALIDA"),0)</f>
        <v>0</v>
      </c>
      <c r="I3183" s="102">
        <f t="array" ref="I3183">IFERROR(INDEX(PRECIOS_COMPLEMENTOS!$C$4:$F$17,MATCH(B3183&amp;"_"&amp;C3183,PRECIOS_COMPLEMENTOS!$H$4:$H$17,0),IF(OR(G3183="S",G3183="20cm"),1,IF(OR(G3183="M",G3183="25cm"),2,IF(OR(G3183="L",G3183="30cm"),3,IF(OR(G3183="XL",G3183="35cm"),4,0))))),0)</f>
        <v>0.45</v>
      </c>
      <c r="J3183" s="103">
        <f t="shared" si="1"/>
        <v>0</v>
      </c>
      <c r="K3183" s="104" t="str">
        <f>IF(H3183&lt;0,"ERROR",IF(H3183=0,"",IF(H3183&lt;CONFIG!$B$4,"CRÍTICO",IF(H3183&lt;CONFIG!$B$5,"BAJO","OK"))))</f>
        <v/>
      </c>
    </row>
    <row r="3184" ht="15.75" customHeight="1">
      <c r="A3184" s="90" t="str">
        <f>IF(CLIENTES!A9="","",CLIENTES!A9)</f>
        <v/>
      </c>
      <c r="B3184" s="90" t="s">
        <v>333</v>
      </c>
      <c r="C3184" s="91" t="s">
        <v>334</v>
      </c>
      <c r="D3184" s="109" t="s">
        <v>353</v>
      </c>
      <c r="E3184" s="67" t="str">
        <f>COLORES!A4</f>
        <v>Negro</v>
      </c>
      <c r="F3184" s="67" t="str">
        <f>COLORES!B4</f>
        <v>OSCURO</v>
      </c>
      <c r="G3184" s="90" t="s">
        <v>380</v>
      </c>
      <c r="H3184" s="100">
        <f>IFERROR(SUMIFS(MOVIMIENTOS_COMPLEMENTOS!$I$4:$I$803,MOVIMIENTOS_COMPLEMENTOS!$C$4:$C$803,A3184,MOVIMIENTOS_COMPLEMENTOS!$D$4:$D$803,B3184,MOVIMIENTOS_COMPLEMENTOS!$E$4:$E$803,C3184,MOVIMIENTOS_COMPLEMENTOS!$G$4:$G$803,E3184,MOVIMIENTOS_COMPLEMENTOS!$H$4:$H$803,G3184,MOVIMIENTOS_COMPLEMENTOS!$B$4:$B$803,"INGRESO")+SUMIFS(MOVIMIENTOS_COMPLEMENTOS!$I$4:$I$803,MOVIMIENTOS_COMPLEMENTOS!$C$4:$C$803,A3184,MOVIMIENTOS_COMPLEMENTOS!$D$4:$D$803,B3184,MOVIMIENTOS_COMPLEMENTOS!$E$4:$E$803,C3184,MOVIMIENTOS_COMPLEMENTOS!$G$4:$G$803,E3184,MOVIMIENTOS_COMPLEMENTOS!$H$4:$H$803,G3184,MOVIMIENTOS_COMPLEMENTOS!$B$4:$B$803,"DE CORTE")-SUMIFS(MOVIMIENTOS_COMPLEMENTOS!$I$4:$I$803,MOVIMIENTOS_COMPLEMENTOS!$C$4:$C$803,A3184,MOVIMIENTOS_COMPLEMENTOS!$D$4:$D$803,B3184,MOVIMIENTOS_COMPLEMENTOS!$E$4:$E$803,C3184,MOVIMIENTOS_COMPLEMENTOS!$G$4:$G$803,E3184,MOVIMIENTOS_COMPLEMENTOS!$H$4:$H$803,G3184,MOVIMIENTOS_COMPLEMENTOS!$B$4:$B$803,"SALIDA"),0)</f>
        <v>0</v>
      </c>
      <c r="I3184" s="102">
        <f t="array" ref="I3184">IFERROR(INDEX(PRECIOS_COMPLEMENTOS!$C$4:$F$17,MATCH(B3184&amp;"_"&amp;C3184,PRECIOS_COMPLEMENTOS!$H$4:$H$17,0),IF(OR(G3184="S",G3184="20cm"),1,IF(OR(G3184="M",G3184="25cm"),2,IF(OR(G3184="L",G3184="30cm"),3,IF(OR(G3184="XL",G3184="35cm"),4,0))))),0)</f>
        <v>0.45</v>
      </c>
      <c r="J3184" s="103">
        <f t="shared" si="1"/>
        <v>0</v>
      </c>
      <c r="K3184" s="104" t="str">
        <f>IF(H3184&lt;0,"ERROR",IF(H3184=0,"",IF(H3184&lt;CONFIG!$B$4,"CRÍTICO",IF(H3184&lt;CONFIG!$B$5,"BAJO","OK"))))</f>
        <v/>
      </c>
    </row>
    <row r="3185" ht="15.75" customHeight="1">
      <c r="A3185" s="90" t="str">
        <f>IF(CLIENTES!A9="","",CLIENTES!A9)</f>
        <v/>
      </c>
      <c r="B3185" s="90" t="s">
        <v>333</v>
      </c>
      <c r="C3185" s="91" t="s">
        <v>334</v>
      </c>
      <c r="D3185" s="109" t="s">
        <v>353</v>
      </c>
      <c r="E3185" s="67" t="str">
        <f>COLORES!A4</f>
        <v>Negro</v>
      </c>
      <c r="F3185" s="67" t="str">
        <f>COLORES!B4</f>
        <v>OSCURO</v>
      </c>
      <c r="G3185" s="90" t="s">
        <v>381</v>
      </c>
      <c r="H3185" s="100">
        <f>IFERROR(SUMIFS(MOVIMIENTOS_COMPLEMENTOS!$I$4:$I$803,MOVIMIENTOS_COMPLEMENTOS!$C$4:$C$803,A3185,MOVIMIENTOS_COMPLEMENTOS!$D$4:$D$803,B3185,MOVIMIENTOS_COMPLEMENTOS!$E$4:$E$803,C3185,MOVIMIENTOS_COMPLEMENTOS!$G$4:$G$803,E3185,MOVIMIENTOS_COMPLEMENTOS!$H$4:$H$803,G3185,MOVIMIENTOS_COMPLEMENTOS!$B$4:$B$803,"INGRESO")+SUMIFS(MOVIMIENTOS_COMPLEMENTOS!$I$4:$I$803,MOVIMIENTOS_COMPLEMENTOS!$C$4:$C$803,A3185,MOVIMIENTOS_COMPLEMENTOS!$D$4:$D$803,B3185,MOVIMIENTOS_COMPLEMENTOS!$E$4:$E$803,C3185,MOVIMIENTOS_COMPLEMENTOS!$G$4:$G$803,E3185,MOVIMIENTOS_COMPLEMENTOS!$H$4:$H$803,G3185,MOVIMIENTOS_COMPLEMENTOS!$B$4:$B$803,"DE CORTE")-SUMIFS(MOVIMIENTOS_COMPLEMENTOS!$I$4:$I$803,MOVIMIENTOS_COMPLEMENTOS!$C$4:$C$803,A3185,MOVIMIENTOS_COMPLEMENTOS!$D$4:$D$803,B3185,MOVIMIENTOS_COMPLEMENTOS!$E$4:$E$803,C3185,MOVIMIENTOS_COMPLEMENTOS!$G$4:$G$803,E3185,MOVIMIENTOS_COMPLEMENTOS!$H$4:$H$803,G3185,MOVIMIENTOS_COMPLEMENTOS!$B$4:$B$803,"SALIDA"),0)</f>
        <v>0</v>
      </c>
      <c r="I3185" s="102">
        <f t="array" ref="I3185">IFERROR(INDEX(PRECIOS_COMPLEMENTOS!$C$4:$F$17,MATCH(B3185&amp;"_"&amp;C3185,PRECIOS_COMPLEMENTOS!$H$4:$H$17,0),IF(OR(G3185="S",G3185="20cm"),1,IF(OR(G3185="M",G3185="25cm"),2,IF(OR(G3185="L",G3185="30cm"),3,IF(OR(G3185="XL",G3185="35cm"),4,0))))),0)</f>
        <v>0.45</v>
      </c>
      <c r="J3185" s="103">
        <f t="shared" si="1"/>
        <v>0</v>
      </c>
      <c r="K3185" s="104" t="str">
        <f>IF(H3185&lt;0,"ERROR",IF(H3185=0,"",IF(H3185&lt;CONFIG!$B$4,"CRÍTICO",IF(H3185&lt;CONFIG!$B$5,"BAJO","OK"))))</f>
        <v/>
      </c>
    </row>
    <row r="3186" ht="15.75" customHeight="1">
      <c r="A3186" s="90" t="str">
        <f>IF(CLIENTES!A9="","",CLIENTES!A9)</f>
        <v/>
      </c>
      <c r="B3186" s="90" t="s">
        <v>333</v>
      </c>
      <c r="C3186" s="91" t="s">
        <v>334</v>
      </c>
      <c r="D3186" s="109" t="s">
        <v>353</v>
      </c>
      <c r="E3186" s="67" t="str">
        <f>COLORES!A4</f>
        <v>Negro</v>
      </c>
      <c r="F3186" s="67" t="str">
        <f>COLORES!B4</f>
        <v>OSCURO</v>
      </c>
      <c r="G3186" s="90" t="s">
        <v>382</v>
      </c>
      <c r="H3186" s="100">
        <f>IFERROR(SUMIFS(MOVIMIENTOS_COMPLEMENTOS!$I$4:$I$803,MOVIMIENTOS_COMPLEMENTOS!$C$4:$C$803,A3186,MOVIMIENTOS_COMPLEMENTOS!$D$4:$D$803,B3186,MOVIMIENTOS_COMPLEMENTOS!$E$4:$E$803,C3186,MOVIMIENTOS_COMPLEMENTOS!$G$4:$G$803,E3186,MOVIMIENTOS_COMPLEMENTOS!$H$4:$H$803,G3186,MOVIMIENTOS_COMPLEMENTOS!$B$4:$B$803,"INGRESO")+SUMIFS(MOVIMIENTOS_COMPLEMENTOS!$I$4:$I$803,MOVIMIENTOS_COMPLEMENTOS!$C$4:$C$803,A3186,MOVIMIENTOS_COMPLEMENTOS!$D$4:$D$803,B3186,MOVIMIENTOS_COMPLEMENTOS!$E$4:$E$803,C3186,MOVIMIENTOS_COMPLEMENTOS!$G$4:$G$803,E3186,MOVIMIENTOS_COMPLEMENTOS!$H$4:$H$803,G3186,MOVIMIENTOS_COMPLEMENTOS!$B$4:$B$803,"DE CORTE")-SUMIFS(MOVIMIENTOS_COMPLEMENTOS!$I$4:$I$803,MOVIMIENTOS_COMPLEMENTOS!$C$4:$C$803,A3186,MOVIMIENTOS_COMPLEMENTOS!$D$4:$D$803,B3186,MOVIMIENTOS_COMPLEMENTOS!$E$4:$E$803,C3186,MOVIMIENTOS_COMPLEMENTOS!$G$4:$G$803,E3186,MOVIMIENTOS_COMPLEMENTOS!$H$4:$H$803,G3186,MOVIMIENTOS_COMPLEMENTOS!$B$4:$B$803,"SALIDA"),0)</f>
        <v>0</v>
      </c>
      <c r="I3186" s="102">
        <f t="array" ref="I3186">IFERROR(INDEX(PRECIOS_COMPLEMENTOS!$C$4:$F$17,MATCH(B3186&amp;"_"&amp;C3186,PRECIOS_COMPLEMENTOS!$H$4:$H$17,0),IF(OR(G3186="S",G3186="20cm"),1,IF(OR(G3186="M",G3186="25cm"),2,IF(OR(G3186="L",G3186="30cm"),3,IF(OR(G3186="XL",G3186="35cm"),4,0))))),0)</f>
        <v>0.45</v>
      </c>
      <c r="J3186" s="103">
        <f t="shared" si="1"/>
        <v>0</v>
      </c>
      <c r="K3186" s="104" t="str">
        <f>IF(H3186&lt;0,"ERROR",IF(H3186=0,"",IF(H3186&lt;CONFIG!$B$4,"CRÍTICO",IF(H3186&lt;CONFIG!$B$5,"BAJO","OK"))))</f>
        <v/>
      </c>
    </row>
    <row r="3187" ht="15.75" customHeight="1">
      <c r="A3187" s="90" t="str">
        <f>IF(CLIENTES!A9="","",CLIENTES!A9)</f>
        <v/>
      </c>
      <c r="B3187" s="90" t="s">
        <v>333</v>
      </c>
      <c r="C3187" s="91" t="s">
        <v>334</v>
      </c>
      <c r="D3187" s="109" t="s">
        <v>353</v>
      </c>
      <c r="E3187" s="67" t="str">
        <f>COLORES!A5</f>
        <v>Perla</v>
      </c>
      <c r="F3187" s="67" t="str">
        <f>COLORES!B5</f>
        <v>PPT</v>
      </c>
      <c r="G3187" s="90" t="s">
        <v>380</v>
      </c>
      <c r="H3187" s="100">
        <f>IFERROR(SUMIFS(MOVIMIENTOS_COMPLEMENTOS!$I$4:$I$803,MOVIMIENTOS_COMPLEMENTOS!$C$4:$C$803,A3187,MOVIMIENTOS_COMPLEMENTOS!$D$4:$D$803,B3187,MOVIMIENTOS_COMPLEMENTOS!$E$4:$E$803,C3187,MOVIMIENTOS_COMPLEMENTOS!$G$4:$G$803,E3187,MOVIMIENTOS_COMPLEMENTOS!$H$4:$H$803,G3187,MOVIMIENTOS_COMPLEMENTOS!$B$4:$B$803,"INGRESO")+SUMIFS(MOVIMIENTOS_COMPLEMENTOS!$I$4:$I$803,MOVIMIENTOS_COMPLEMENTOS!$C$4:$C$803,A3187,MOVIMIENTOS_COMPLEMENTOS!$D$4:$D$803,B3187,MOVIMIENTOS_COMPLEMENTOS!$E$4:$E$803,C3187,MOVIMIENTOS_COMPLEMENTOS!$G$4:$G$803,E3187,MOVIMIENTOS_COMPLEMENTOS!$H$4:$H$803,G3187,MOVIMIENTOS_COMPLEMENTOS!$B$4:$B$803,"DE CORTE")-SUMIFS(MOVIMIENTOS_COMPLEMENTOS!$I$4:$I$803,MOVIMIENTOS_COMPLEMENTOS!$C$4:$C$803,A3187,MOVIMIENTOS_COMPLEMENTOS!$D$4:$D$803,B3187,MOVIMIENTOS_COMPLEMENTOS!$E$4:$E$803,C3187,MOVIMIENTOS_COMPLEMENTOS!$G$4:$G$803,E3187,MOVIMIENTOS_COMPLEMENTOS!$H$4:$H$803,G3187,MOVIMIENTOS_COMPLEMENTOS!$B$4:$B$803,"SALIDA"),0)</f>
        <v>0</v>
      </c>
      <c r="I3187" s="102">
        <f t="array" ref="I3187">IFERROR(INDEX(PRECIOS_COMPLEMENTOS!$C$4:$F$17,MATCH(B3187&amp;"_"&amp;C3187,PRECIOS_COMPLEMENTOS!$H$4:$H$17,0),IF(OR(G3187="S",G3187="20cm"),1,IF(OR(G3187="M",G3187="25cm"),2,IF(OR(G3187="L",G3187="30cm"),3,IF(OR(G3187="XL",G3187="35cm"),4,0))))),0)</f>
        <v>0.45</v>
      </c>
      <c r="J3187" s="103">
        <f t="shared" si="1"/>
        <v>0</v>
      </c>
      <c r="K3187" s="104" t="str">
        <f>IF(H3187&lt;0,"ERROR",IF(H3187=0,"",IF(H3187&lt;CONFIG!$B$4,"CRÍTICO",IF(H3187&lt;CONFIG!$B$5,"BAJO","OK"))))</f>
        <v/>
      </c>
    </row>
    <row r="3188" ht="15.75" customHeight="1">
      <c r="A3188" s="90" t="str">
        <f>IF(CLIENTES!A9="","",CLIENTES!A9)</f>
        <v/>
      </c>
      <c r="B3188" s="90" t="s">
        <v>333</v>
      </c>
      <c r="C3188" s="91" t="s">
        <v>334</v>
      </c>
      <c r="D3188" s="109" t="s">
        <v>353</v>
      </c>
      <c r="E3188" s="67" t="str">
        <f>COLORES!A5</f>
        <v>Perla</v>
      </c>
      <c r="F3188" s="67" t="str">
        <f>COLORES!B5</f>
        <v>PPT</v>
      </c>
      <c r="G3188" s="90" t="s">
        <v>381</v>
      </c>
      <c r="H3188" s="100">
        <f>IFERROR(SUMIFS(MOVIMIENTOS_COMPLEMENTOS!$I$4:$I$803,MOVIMIENTOS_COMPLEMENTOS!$C$4:$C$803,A3188,MOVIMIENTOS_COMPLEMENTOS!$D$4:$D$803,B3188,MOVIMIENTOS_COMPLEMENTOS!$E$4:$E$803,C3188,MOVIMIENTOS_COMPLEMENTOS!$G$4:$G$803,E3188,MOVIMIENTOS_COMPLEMENTOS!$H$4:$H$803,G3188,MOVIMIENTOS_COMPLEMENTOS!$B$4:$B$803,"INGRESO")+SUMIFS(MOVIMIENTOS_COMPLEMENTOS!$I$4:$I$803,MOVIMIENTOS_COMPLEMENTOS!$C$4:$C$803,A3188,MOVIMIENTOS_COMPLEMENTOS!$D$4:$D$803,B3188,MOVIMIENTOS_COMPLEMENTOS!$E$4:$E$803,C3188,MOVIMIENTOS_COMPLEMENTOS!$G$4:$G$803,E3188,MOVIMIENTOS_COMPLEMENTOS!$H$4:$H$803,G3188,MOVIMIENTOS_COMPLEMENTOS!$B$4:$B$803,"DE CORTE")-SUMIFS(MOVIMIENTOS_COMPLEMENTOS!$I$4:$I$803,MOVIMIENTOS_COMPLEMENTOS!$C$4:$C$803,A3188,MOVIMIENTOS_COMPLEMENTOS!$D$4:$D$803,B3188,MOVIMIENTOS_COMPLEMENTOS!$E$4:$E$803,C3188,MOVIMIENTOS_COMPLEMENTOS!$G$4:$G$803,E3188,MOVIMIENTOS_COMPLEMENTOS!$H$4:$H$803,G3188,MOVIMIENTOS_COMPLEMENTOS!$B$4:$B$803,"SALIDA"),0)</f>
        <v>0</v>
      </c>
      <c r="I3188" s="102">
        <f t="array" ref="I3188">IFERROR(INDEX(PRECIOS_COMPLEMENTOS!$C$4:$F$17,MATCH(B3188&amp;"_"&amp;C3188,PRECIOS_COMPLEMENTOS!$H$4:$H$17,0),IF(OR(G3188="S",G3188="20cm"),1,IF(OR(G3188="M",G3188="25cm"),2,IF(OR(G3188="L",G3188="30cm"),3,IF(OR(G3188="XL",G3188="35cm"),4,0))))),0)</f>
        <v>0.45</v>
      </c>
      <c r="J3188" s="103">
        <f t="shared" si="1"/>
        <v>0</v>
      </c>
      <c r="K3188" s="104" t="str">
        <f>IF(H3188&lt;0,"ERROR",IF(H3188=0,"",IF(H3188&lt;CONFIG!$B$4,"CRÍTICO",IF(H3188&lt;CONFIG!$B$5,"BAJO","OK"))))</f>
        <v/>
      </c>
    </row>
    <row r="3189" ht="15.75" customHeight="1">
      <c r="A3189" s="90" t="str">
        <f>IF(CLIENTES!A9="","",CLIENTES!A9)</f>
        <v/>
      </c>
      <c r="B3189" s="90" t="s">
        <v>333</v>
      </c>
      <c r="C3189" s="91" t="s">
        <v>334</v>
      </c>
      <c r="D3189" s="109" t="s">
        <v>353</v>
      </c>
      <c r="E3189" s="67" t="str">
        <f>COLORES!A5</f>
        <v>Perla</v>
      </c>
      <c r="F3189" s="67" t="str">
        <f>COLORES!B5</f>
        <v>PPT</v>
      </c>
      <c r="G3189" s="90" t="s">
        <v>382</v>
      </c>
      <c r="H3189" s="100">
        <f>IFERROR(SUMIFS(MOVIMIENTOS_COMPLEMENTOS!$I$4:$I$803,MOVIMIENTOS_COMPLEMENTOS!$C$4:$C$803,A3189,MOVIMIENTOS_COMPLEMENTOS!$D$4:$D$803,B3189,MOVIMIENTOS_COMPLEMENTOS!$E$4:$E$803,C3189,MOVIMIENTOS_COMPLEMENTOS!$G$4:$G$803,E3189,MOVIMIENTOS_COMPLEMENTOS!$H$4:$H$803,G3189,MOVIMIENTOS_COMPLEMENTOS!$B$4:$B$803,"INGRESO")+SUMIFS(MOVIMIENTOS_COMPLEMENTOS!$I$4:$I$803,MOVIMIENTOS_COMPLEMENTOS!$C$4:$C$803,A3189,MOVIMIENTOS_COMPLEMENTOS!$D$4:$D$803,B3189,MOVIMIENTOS_COMPLEMENTOS!$E$4:$E$803,C3189,MOVIMIENTOS_COMPLEMENTOS!$G$4:$G$803,E3189,MOVIMIENTOS_COMPLEMENTOS!$H$4:$H$803,G3189,MOVIMIENTOS_COMPLEMENTOS!$B$4:$B$803,"DE CORTE")-SUMIFS(MOVIMIENTOS_COMPLEMENTOS!$I$4:$I$803,MOVIMIENTOS_COMPLEMENTOS!$C$4:$C$803,A3189,MOVIMIENTOS_COMPLEMENTOS!$D$4:$D$803,B3189,MOVIMIENTOS_COMPLEMENTOS!$E$4:$E$803,C3189,MOVIMIENTOS_COMPLEMENTOS!$G$4:$G$803,E3189,MOVIMIENTOS_COMPLEMENTOS!$H$4:$H$803,G3189,MOVIMIENTOS_COMPLEMENTOS!$B$4:$B$803,"SALIDA"),0)</f>
        <v>0</v>
      </c>
      <c r="I3189" s="102">
        <f t="array" ref="I3189">IFERROR(INDEX(PRECIOS_COMPLEMENTOS!$C$4:$F$17,MATCH(B3189&amp;"_"&amp;C3189,PRECIOS_COMPLEMENTOS!$H$4:$H$17,0),IF(OR(G3189="S",G3189="20cm"),1,IF(OR(G3189="M",G3189="25cm"),2,IF(OR(G3189="L",G3189="30cm"),3,IF(OR(G3189="XL",G3189="35cm"),4,0))))),0)</f>
        <v>0.45</v>
      </c>
      <c r="J3189" s="103">
        <f t="shared" si="1"/>
        <v>0</v>
      </c>
      <c r="K3189" s="104" t="str">
        <f>IF(H3189&lt;0,"ERROR",IF(H3189=0,"",IF(H3189&lt;CONFIG!$B$4,"CRÍTICO",IF(H3189&lt;CONFIG!$B$5,"BAJO","OK"))))</f>
        <v/>
      </c>
    </row>
    <row r="3190" ht="15.75" customHeight="1">
      <c r="A3190" s="90" t="str">
        <f>IF(CLIENTES!A9="","",CLIENTES!A9)</f>
        <v/>
      </c>
      <c r="B3190" s="90" t="s">
        <v>333</v>
      </c>
      <c r="C3190" s="91" t="s">
        <v>334</v>
      </c>
      <c r="D3190" s="109" t="s">
        <v>353</v>
      </c>
      <c r="E3190" s="67" t="str">
        <f>COLORES!A6</f>
        <v>Blanco</v>
      </c>
      <c r="F3190" s="67" t="str">
        <f>COLORES!B6</f>
        <v>PPT</v>
      </c>
      <c r="G3190" s="90" t="s">
        <v>380</v>
      </c>
      <c r="H3190" s="100">
        <f>IFERROR(SUMIFS(MOVIMIENTOS_COMPLEMENTOS!$I$4:$I$803,MOVIMIENTOS_COMPLEMENTOS!$C$4:$C$803,A3190,MOVIMIENTOS_COMPLEMENTOS!$D$4:$D$803,B3190,MOVIMIENTOS_COMPLEMENTOS!$E$4:$E$803,C3190,MOVIMIENTOS_COMPLEMENTOS!$G$4:$G$803,E3190,MOVIMIENTOS_COMPLEMENTOS!$H$4:$H$803,G3190,MOVIMIENTOS_COMPLEMENTOS!$B$4:$B$803,"INGRESO")+SUMIFS(MOVIMIENTOS_COMPLEMENTOS!$I$4:$I$803,MOVIMIENTOS_COMPLEMENTOS!$C$4:$C$803,A3190,MOVIMIENTOS_COMPLEMENTOS!$D$4:$D$803,B3190,MOVIMIENTOS_COMPLEMENTOS!$E$4:$E$803,C3190,MOVIMIENTOS_COMPLEMENTOS!$G$4:$G$803,E3190,MOVIMIENTOS_COMPLEMENTOS!$H$4:$H$803,G3190,MOVIMIENTOS_COMPLEMENTOS!$B$4:$B$803,"DE CORTE")-SUMIFS(MOVIMIENTOS_COMPLEMENTOS!$I$4:$I$803,MOVIMIENTOS_COMPLEMENTOS!$C$4:$C$803,A3190,MOVIMIENTOS_COMPLEMENTOS!$D$4:$D$803,B3190,MOVIMIENTOS_COMPLEMENTOS!$E$4:$E$803,C3190,MOVIMIENTOS_COMPLEMENTOS!$G$4:$G$803,E3190,MOVIMIENTOS_COMPLEMENTOS!$H$4:$H$803,G3190,MOVIMIENTOS_COMPLEMENTOS!$B$4:$B$803,"SALIDA"),0)</f>
        <v>0</v>
      </c>
      <c r="I3190" s="102">
        <f t="array" ref="I3190">IFERROR(INDEX(PRECIOS_COMPLEMENTOS!$C$4:$F$17,MATCH(B3190&amp;"_"&amp;C3190,PRECIOS_COMPLEMENTOS!$H$4:$H$17,0),IF(OR(G3190="S",G3190="20cm"),1,IF(OR(G3190="M",G3190="25cm"),2,IF(OR(G3190="L",G3190="30cm"),3,IF(OR(G3190="XL",G3190="35cm"),4,0))))),0)</f>
        <v>0.45</v>
      </c>
      <c r="J3190" s="103">
        <f t="shared" si="1"/>
        <v>0</v>
      </c>
      <c r="K3190" s="104" t="str">
        <f>IF(H3190&lt;0,"ERROR",IF(H3190=0,"",IF(H3190&lt;CONFIG!$B$4,"CRÍTICO",IF(H3190&lt;CONFIG!$B$5,"BAJO","OK"))))</f>
        <v/>
      </c>
    </row>
    <row r="3191" ht="15.75" customHeight="1">
      <c r="A3191" s="90" t="str">
        <f>IF(CLIENTES!A9="","",CLIENTES!A9)</f>
        <v/>
      </c>
      <c r="B3191" s="90" t="s">
        <v>333</v>
      </c>
      <c r="C3191" s="91" t="s">
        <v>334</v>
      </c>
      <c r="D3191" s="109" t="s">
        <v>353</v>
      </c>
      <c r="E3191" s="67" t="str">
        <f>COLORES!A6</f>
        <v>Blanco</v>
      </c>
      <c r="F3191" s="67" t="str">
        <f>COLORES!B6</f>
        <v>PPT</v>
      </c>
      <c r="G3191" s="90" t="s">
        <v>381</v>
      </c>
      <c r="H3191" s="100">
        <f>IFERROR(SUMIFS(MOVIMIENTOS_COMPLEMENTOS!$I$4:$I$803,MOVIMIENTOS_COMPLEMENTOS!$C$4:$C$803,A3191,MOVIMIENTOS_COMPLEMENTOS!$D$4:$D$803,B3191,MOVIMIENTOS_COMPLEMENTOS!$E$4:$E$803,C3191,MOVIMIENTOS_COMPLEMENTOS!$G$4:$G$803,E3191,MOVIMIENTOS_COMPLEMENTOS!$H$4:$H$803,G3191,MOVIMIENTOS_COMPLEMENTOS!$B$4:$B$803,"INGRESO")+SUMIFS(MOVIMIENTOS_COMPLEMENTOS!$I$4:$I$803,MOVIMIENTOS_COMPLEMENTOS!$C$4:$C$803,A3191,MOVIMIENTOS_COMPLEMENTOS!$D$4:$D$803,B3191,MOVIMIENTOS_COMPLEMENTOS!$E$4:$E$803,C3191,MOVIMIENTOS_COMPLEMENTOS!$G$4:$G$803,E3191,MOVIMIENTOS_COMPLEMENTOS!$H$4:$H$803,G3191,MOVIMIENTOS_COMPLEMENTOS!$B$4:$B$803,"DE CORTE")-SUMIFS(MOVIMIENTOS_COMPLEMENTOS!$I$4:$I$803,MOVIMIENTOS_COMPLEMENTOS!$C$4:$C$803,A3191,MOVIMIENTOS_COMPLEMENTOS!$D$4:$D$803,B3191,MOVIMIENTOS_COMPLEMENTOS!$E$4:$E$803,C3191,MOVIMIENTOS_COMPLEMENTOS!$G$4:$G$803,E3191,MOVIMIENTOS_COMPLEMENTOS!$H$4:$H$803,G3191,MOVIMIENTOS_COMPLEMENTOS!$B$4:$B$803,"SALIDA"),0)</f>
        <v>0</v>
      </c>
      <c r="I3191" s="102">
        <f t="array" ref="I3191">IFERROR(INDEX(PRECIOS_COMPLEMENTOS!$C$4:$F$17,MATCH(B3191&amp;"_"&amp;C3191,PRECIOS_COMPLEMENTOS!$H$4:$H$17,0),IF(OR(G3191="S",G3191="20cm"),1,IF(OR(G3191="M",G3191="25cm"),2,IF(OR(G3191="L",G3191="30cm"),3,IF(OR(G3191="XL",G3191="35cm"),4,0))))),0)</f>
        <v>0.45</v>
      </c>
      <c r="J3191" s="103">
        <f t="shared" si="1"/>
        <v>0</v>
      </c>
      <c r="K3191" s="104" t="str">
        <f>IF(H3191&lt;0,"ERROR",IF(H3191=0,"",IF(H3191&lt;CONFIG!$B$4,"CRÍTICO",IF(H3191&lt;CONFIG!$B$5,"BAJO","OK"))))</f>
        <v/>
      </c>
    </row>
    <row r="3192" ht="15.75" customHeight="1">
      <c r="A3192" s="90" t="str">
        <f>IF(CLIENTES!A9="","",CLIENTES!A9)</f>
        <v/>
      </c>
      <c r="B3192" s="90" t="s">
        <v>333</v>
      </c>
      <c r="C3192" s="91" t="s">
        <v>334</v>
      </c>
      <c r="D3192" s="109" t="s">
        <v>353</v>
      </c>
      <c r="E3192" s="67" t="str">
        <f>COLORES!A6</f>
        <v>Blanco</v>
      </c>
      <c r="F3192" s="67" t="str">
        <f>COLORES!B6</f>
        <v>PPT</v>
      </c>
      <c r="G3192" s="90" t="s">
        <v>382</v>
      </c>
      <c r="H3192" s="100">
        <f>IFERROR(SUMIFS(MOVIMIENTOS_COMPLEMENTOS!$I$4:$I$803,MOVIMIENTOS_COMPLEMENTOS!$C$4:$C$803,A3192,MOVIMIENTOS_COMPLEMENTOS!$D$4:$D$803,B3192,MOVIMIENTOS_COMPLEMENTOS!$E$4:$E$803,C3192,MOVIMIENTOS_COMPLEMENTOS!$G$4:$G$803,E3192,MOVIMIENTOS_COMPLEMENTOS!$H$4:$H$803,G3192,MOVIMIENTOS_COMPLEMENTOS!$B$4:$B$803,"INGRESO")+SUMIFS(MOVIMIENTOS_COMPLEMENTOS!$I$4:$I$803,MOVIMIENTOS_COMPLEMENTOS!$C$4:$C$803,A3192,MOVIMIENTOS_COMPLEMENTOS!$D$4:$D$803,B3192,MOVIMIENTOS_COMPLEMENTOS!$E$4:$E$803,C3192,MOVIMIENTOS_COMPLEMENTOS!$G$4:$G$803,E3192,MOVIMIENTOS_COMPLEMENTOS!$H$4:$H$803,G3192,MOVIMIENTOS_COMPLEMENTOS!$B$4:$B$803,"DE CORTE")-SUMIFS(MOVIMIENTOS_COMPLEMENTOS!$I$4:$I$803,MOVIMIENTOS_COMPLEMENTOS!$C$4:$C$803,A3192,MOVIMIENTOS_COMPLEMENTOS!$D$4:$D$803,B3192,MOVIMIENTOS_COMPLEMENTOS!$E$4:$E$803,C3192,MOVIMIENTOS_COMPLEMENTOS!$G$4:$G$803,E3192,MOVIMIENTOS_COMPLEMENTOS!$H$4:$H$803,G3192,MOVIMIENTOS_COMPLEMENTOS!$B$4:$B$803,"SALIDA"),0)</f>
        <v>0</v>
      </c>
      <c r="I3192" s="102">
        <f t="array" ref="I3192">IFERROR(INDEX(PRECIOS_COMPLEMENTOS!$C$4:$F$17,MATCH(B3192&amp;"_"&amp;C3192,PRECIOS_COMPLEMENTOS!$H$4:$H$17,0),IF(OR(G3192="S",G3192="20cm"),1,IF(OR(G3192="M",G3192="25cm"),2,IF(OR(G3192="L",G3192="30cm"),3,IF(OR(G3192="XL",G3192="35cm"),4,0))))),0)</f>
        <v>0.45</v>
      </c>
      <c r="J3192" s="103">
        <f t="shared" si="1"/>
        <v>0</v>
      </c>
      <c r="K3192" s="104" t="str">
        <f>IF(H3192&lt;0,"ERROR",IF(H3192=0,"",IF(H3192&lt;CONFIG!$B$4,"CRÍTICO",IF(H3192&lt;CONFIG!$B$5,"BAJO","OK"))))</f>
        <v/>
      </c>
    </row>
    <row r="3193" ht="15.75" customHeight="1">
      <c r="A3193" s="90" t="str">
        <f>IF(CLIENTES!A9="","",CLIENTES!A9)</f>
        <v/>
      </c>
      <c r="B3193" s="90" t="s">
        <v>333</v>
      </c>
      <c r="C3193" s="91" t="s">
        <v>334</v>
      </c>
      <c r="D3193" s="109" t="s">
        <v>353</v>
      </c>
      <c r="E3193" s="67" t="str">
        <f>COLORES!A7</f>
        <v>Azul</v>
      </c>
      <c r="F3193" s="67" t="str">
        <f>COLORES!B7</f>
        <v>OSCURO</v>
      </c>
      <c r="G3193" s="90" t="s">
        <v>380</v>
      </c>
      <c r="H3193" s="100">
        <f>IFERROR(SUMIFS(MOVIMIENTOS_COMPLEMENTOS!$I$4:$I$803,MOVIMIENTOS_COMPLEMENTOS!$C$4:$C$803,A3193,MOVIMIENTOS_COMPLEMENTOS!$D$4:$D$803,B3193,MOVIMIENTOS_COMPLEMENTOS!$E$4:$E$803,C3193,MOVIMIENTOS_COMPLEMENTOS!$G$4:$G$803,E3193,MOVIMIENTOS_COMPLEMENTOS!$H$4:$H$803,G3193,MOVIMIENTOS_COMPLEMENTOS!$B$4:$B$803,"INGRESO")+SUMIFS(MOVIMIENTOS_COMPLEMENTOS!$I$4:$I$803,MOVIMIENTOS_COMPLEMENTOS!$C$4:$C$803,A3193,MOVIMIENTOS_COMPLEMENTOS!$D$4:$D$803,B3193,MOVIMIENTOS_COMPLEMENTOS!$E$4:$E$803,C3193,MOVIMIENTOS_COMPLEMENTOS!$G$4:$G$803,E3193,MOVIMIENTOS_COMPLEMENTOS!$H$4:$H$803,G3193,MOVIMIENTOS_COMPLEMENTOS!$B$4:$B$803,"DE CORTE")-SUMIFS(MOVIMIENTOS_COMPLEMENTOS!$I$4:$I$803,MOVIMIENTOS_COMPLEMENTOS!$C$4:$C$803,A3193,MOVIMIENTOS_COMPLEMENTOS!$D$4:$D$803,B3193,MOVIMIENTOS_COMPLEMENTOS!$E$4:$E$803,C3193,MOVIMIENTOS_COMPLEMENTOS!$G$4:$G$803,E3193,MOVIMIENTOS_COMPLEMENTOS!$H$4:$H$803,G3193,MOVIMIENTOS_COMPLEMENTOS!$B$4:$B$803,"SALIDA"),0)</f>
        <v>0</v>
      </c>
      <c r="I3193" s="102">
        <f t="array" ref="I3193">IFERROR(INDEX(PRECIOS_COMPLEMENTOS!$C$4:$F$17,MATCH(B3193&amp;"_"&amp;C3193,PRECIOS_COMPLEMENTOS!$H$4:$H$17,0),IF(OR(G3193="S",G3193="20cm"),1,IF(OR(G3193="M",G3193="25cm"),2,IF(OR(G3193="L",G3193="30cm"),3,IF(OR(G3193="XL",G3193="35cm"),4,0))))),0)</f>
        <v>0.45</v>
      </c>
      <c r="J3193" s="103">
        <f t="shared" si="1"/>
        <v>0</v>
      </c>
      <c r="K3193" s="104" t="str">
        <f>IF(H3193&lt;0,"ERROR",IF(H3193=0,"",IF(H3193&lt;CONFIG!$B$4,"CRÍTICO",IF(H3193&lt;CONFIG!$B$5,"BAJO","OK"))))</f>
        <v/>
      </c>
    </row>
    <row r="3194" ht="15.75" customHeight="1">
      <c r="A3194" s="90" t="str">
        <f>IF(CLIENTES!A9="","",CLIENTES!A9)</f>
        <v/>
      </c>
      <c r="B3194" s="90" t="s">
        <v>333</v>
      </c>
      <c r="C3194" s="91" t="s">
        <v>334</v>
      </c>
      <c r="D3194" s="109" t="s">
        <v>353</v>
      </c>
      <c r="E3194" s="67" t="str">
        <f>COLORES!A7</f>
        <v>Azul</v>
      </c>
      <c r="F3194" s="67" t="str">
        <f>COLORES!B7</f>
        <v>OSCURO</v>
      </c>
      <c r="G3194" s="90" t="s">
        <v>381</v>
      </c>
      <c r="H3194" s="100">
        <f>IFERROR(SUMIFS(MOVIMIENTOS_COMPLEMENTOS!$I$4:$I$803,MOVIMIENTOS_COMPLEMENTOS!$C$4:$C$803,A3194,MOVIMIENTOS_COMPLEMENTOS!$D$4:$D$803,B3194,MOVIMIENTOS_COMPLEMENTOS!$E$4:$E$803,C3194,MOVIMIENTOS_COMPLEMENTOS!$G$4:$G$803,E3194,MOVIMIENTOS_COMPLEMENTOS!$H$4:$H$803,G3194,MOVIMIENTOS_COMPLEMENTOS!$B$4:$B$803,"INGRESO")+SUMIFS(MOVIMIENTOS_COMPLEMENTOS!$I$4:$I$803,MOVIMIENTOS_COMPLEMENTOS!$C$4:$C$803,A3194,MOVIMIENTOS_COMPLEMENTOS!$D$4:$D$803,B3194,MOVIMIENTOS_COMPLEMENTOS!$E$4:$E$803,C3194,MOVIMIENTOS_COMPLEMENTOS!$G$4:$G$803,E3194,MOVIMIENTOS_COMPLEMENTOS!$H$4:$H$803,G3194,MOVIMIENTOS_COMPLEMENTOS!$B$4:$B$803,"DE CORTE")-SUMIFS(MOVIMIENTOS_COMPLEMENTOS!$I$4:$I$803,MOVIMIENTOS_COMPLEMENTOS!$C$4:$C$803,A3194,MOVIMIENTOS_COMPLEMENTOS!$D$4:$D$803,B3194,MOVIMIENTOS_COMPLEMENTOS!$E$4:$E$803,C3194,MOVIMIENTOS_COMPLEMENTOS!$G$4:$G$803,E3194,MOVIMIENTOS_COMPLEMENTOS!$H$4:$H$803,G3194,MOVIMIENTOS_COMPLEMENTOS!$B$4:$B$803,"SALIDA"),0)</f>
        <v>0</v>
      </c>
      <c r="I3194" s="102">
        <f t="array" ref="I3194">IFERROR(INDEX(PRECIOS_COMPLEMENTOS!$C$4:$F$17,MATCH(B3194&amp;"_"&amp;C3194,PRECIOS_COMPLEMENTOS!$H$4:$H$17,0),IF(OR(G3194="S",G3194="20cm"),1,IF(OR(G3194="M",G3194="25cm"),2,IF(OR(G3194="L",G3194="30cm"),3,IF(OR(G3194="XL",G3194="35cm"),4,0))))),0)</f>
        <v>0.45</v>
      </c>
      <c r="J3194" s="103">
        <f t="shared" si="1"/>
        <v>0</v>
      </c>
      <c r="K3194" s="104" t="str">
        <f>IF(H3194&lt;0,"ERROR",IF(H3194=0,"",IF(H3194&lt;CONFIG!$B$4,"CRÍTICO",IF(H3194&lt;CONFIG!$B$5,"BAJO","OK"))))</f>
        <v/>
      </c>
    </row>
    <row r="3195" ht="15.75" customHeight="1">
      <c r="A3195" s="90" t="str">
        <f>IF(CLIENTES!A9="","",CLIENTES!A9)</f>
        <v/>
      </c>
      <c r="B3195" s="90" t="s">
        <v>333</v>
      </c>
      <c r="C3195" s="91" t="s">
        <v>334</v>
      </c>
      <c r="D3195" s="109" t="s">
        <v>353</v>
      </c>
      <c r="E3195" s="67" t="str">
        <f>COLORES!A7</f>
        <v>Azul</v>
      </c>
      <c r="F3195" s="67" t="str">
        <f>COLORES!B7</f>
        <v>OSCURO</v>
      </c>
      <c r="G3195" s="90" t="s">
        <v>382</v>
      </c>
      <c r="H3195" s="100">
        <f>IFERROR(SUMIFS(MOVIMIENTOS_COMPLEMENTOS!$I$4:$I$803,MOVIMIENTOS_COMPLEMENTOS!$C$4:$C$803,A3195,MOVIMIENTOS_COMPLEMENTOS!$D$4:$D$803,B3195,MOVIMIENTOS_COMPLEMENTOS!$E$4:$E$803,C3195,MOVIMIENTOS_COMPLEMENTOS!$G$4:$G$803,E3195,MOVIMIENTOS_COMPLEMENTOS!$H$4:$H$803,G3195,MOVIMIENTOS_COMPLEMENTOS!$B$4:$B$803,"INGRESO")+SUMIFS(MOVIMIENTOS_COMPLEMENTOS!$I$4:$I$803,MOVIMIENTOS_COMPLEMENTOS!$C$4:$C$803,A3195,MOVIMIENTOS_COMPLEMENTOS!$D$4:$D$803,B3195,MOVIMIENTOS_COMPLEMENTOS!$E$4:$E$803,C3195,MOVIMIENTOS_COMPLEMENTOS!$G$4:$G$803,E3195,MOVIMIENTOS_COMPLEMENTOS!$H$4:$H$803,G3195,MOVIMIENTOS_COMPLEMENTOS!$B$4:$B$803,"DE CORTE")-SUMIFS(MOVIMIENTOS_COMPLEMENTOS!$I$4:$I$803,MOVIMIENTOS_COMPLEMENTOS!$C$4:$C$803,A3195,MOVIMIENTOS_COMPLEMENTOS!$D$4:$D$803,B3195,MOVIMIENTOS_COMPLEMENTOS!$E$4:$E$803,C3195,MOVIMIENTOS_COMPLEMENTOS!$G$4:$G$803,E3195,MOVIMIENTOS_COMPLEMENTOS!$H$4:$H$803,G3195,MOVIMIENTOS_COMPLEMENTOS!$B$4:$B$803,"SALIDA"),0)</f>
        <v>0</v>
      </c>
      <c r="I3195" s="102">
        <f t="array" ref="I3195">IFERROR(INDEX(PRECIOS_COMPLEMENTOS!$C$4:$F$17,MATCH(B3195&amp;"_"&amp;C3195,PRECIOS_COMPLEMENTOS!$H$4:$H$17,0),IF(OR(G3195="S",G3195="20cm"),1,IF(OR(G3195="M",G3195="25cm"),2,IF(OR(G3195="L",G3195="30cm"),3,IF(OR(G3195="XL",G3195="35cm"),4,0))))),0)</f>
        <v>0.45</v>
      </c>
      <c r="J3195" s="103">
        <f t="shared" si="1"/>
        <v>0</v>
      </c>
      <c r="K3195" s="104" t="str">
        <f>IF(H3195&lt;0,"ERROR",IF(H3195=0,"",IF(H3195&lt;CONFIG!$B$4,"CRÍTICO",IF(H3195&lt;CONFIG!$B$5,"BAJO","OK"))))</f>
        <v/>
      </c>
    </row>
    <row r="3196" ht="15.75" customHeight="1">
      <c r="A3196" s="90" t="str">
        <f>IF(CLIENTES!A9="","",CLIENTES!A9)</f>
        <v/>
      </c>
      <c r="B3196" s="90" t="s">
        <v>333</v>
      </c>
      <c r="C3196" s="91" t="s">
        <v>334</v>
      </c>
      <c r="D3196" s="109" t="s">
        <v>353</v>
      </c>
      <c r="E3196" s="67" t="str">
        <f>COLORES!A8</f>
        <v>Beige</v>
      </c>
      <c r="F3196" s="67" t="str">
        <f>COLORES!B8</f>
        <v>CLARO</v>
      </c>
      <c r="G3196" s="90" t="s">
        <v>380</v>
      </c>
      <c r="H3196" s="100">
        <f>IFERROR(SUMIFS(MOVIMIENTOS_COMPLEMENTOS!$I$4:$I$803,MOVIMIENTOS_COMPLEMENTOS!$C$4:$C$803,A3196,MOVIMIENTOS_COMPLEMENTOS!$D$4:$D$803,B3196,MOVIMIENTOS_COMPLEMENTOS!$E$4:$E$803,C3196,MOVIMIENTOS_COMPLEMENTOS!$G$4:$G$803,E3196,MOVIMIENTOS_COMPLEMENTOS!$H$4:$H$803,G3196,MOVIMIENTOS_COMPLEMENTOS!$B$4:$B$803,"INGRESO")+SUMIFS(MOVIMIENTOS_COMPLEMENTOS!$I$4:$I$803,MOVIMIENTOS_COMPLEMENTOS!$C$4:$C$803,A3196,MOVIMIENTOS_COMPLEMENTOS!$D$4:$D$803,B3196,MOVIMIENTOS_COMPLEMENTOS!$E$4:$E$803,C3196,MOVIMIENTOS_COMPLEMENTOS!$G$4:$G$803,E3196,MOVIMIENTOS_COMPLEMENTOS!$H$4:$H$803,G3196,MOVIMIENTOS_COMPLEMENTOS!$B$4:$B$803,"DE CORTE")-SUMIFS(MOVIMIENTOS_COMPLEMENTOS!$I$4:$I$803,MOVIMIENTOS_COMPLEMENTOS!$C$4:$C$803,A3196,MOVIMIENTOS_COMPLEMENTOS!$D$4:$D$803,B3196,MOVIMIENTOS_COMPLEMENTOS!$E$4:$E$803,C3196,MOVIMIENTOS_COMPLEMENTOS!$G$4:$G$803,E3196,MOVIMIENTOS_COMPLEMENTOS!$H$4:$H$803,G3196,MOVIMIENTOS_COMPLEMENTOS!$B$4:$B$803,"SALIDA"),0)</f>
        <v>0</v>
      </c>
      <c r="I3196" s="102">
        <f t="array" ref="I3196">IFERROR(INDEX(PRECIOS_COMPLEMENTOS!$C$4:$F$17,MATCH(B3196&amp;"_"&amp;C3196,PRECIOS_COMPLEMENTOS!$H$4:$H$17,0),IF(OR(G3196="S",G3196="20cm"),1,IF(OR(G3196="M",G3196="25cm"),2,IF(OR(G3196="L",G3196="30cm"),3,IF(OR(G3196="XL",G3196="35cm"),4,0))))),0)</f>
        <v>0.45</v>
      </c>
      <c r="J3196" s="103">
        <f t="shared" si="1"/>
        <v>0</v>
      </c>
      <c r="K3196" s="104" t="str">
        <f>IF(H3196&lt;0,"ERROR",IF(H3196=0,"",IF(H3196&lt;CONFIG!$B$4,"CRÍTICO",IF(H3196&lt;CONFIG!$B$5,"BAJO","OK"))))</f>
        <v/>
      </c>
    </row>
    <row r="3197" ht="15.75" customHeight="1">
      <c r="A3197" s="90" t="str">
        <f>IF(CLIENTES!A9="","",CLIENTES!A9)</f>
        <v/>
      </c>
      <c r="B3197" s="90" t="s">
        <v>333</v>
      </c>
      <c r="C3197" s="91" t="s">
        <v>334</v>
      </c>
      <c r="D3197" s="109" t="s">
        <v>353</v>
      </c>
      <c r="E3197" s="67" t="str">
        <f>COLORES!A8</f>
        <v>Beige</v>
      </c>
      <c r="F3197" s="67" t="str">
        <f>COLORES!B8</f>
        <v>CLARO</v>
      </c>
      <c r="G3197" s="90" t="s">
        <v>381</v>
      </c>
      <c r="H3197" s="100">
        <f>IFERROR(SUMIFS(MOVIMIENTOS_COMPLEMENTOS!$I$4:$I$803,MOVIMIENTOS_COMPLEMENTOS!$C$4:$C$803,A3197,MOVIMIENTOS_COMPLEMENTOS!$D$4:$D$803,B3197,MOVIMIENTOS_COMPLEMENTOS!$E$4:$E$803,C3197,MOVIMIENTOS_COMPLEMENTOS!$G$4:$G$803,E3197,MOVIMIENTOS_COMPLEMENTOS!$H$4:$H$803,G3197,MOVIMIENTOS_COMPLEMENTOS!$B$4:$B$803,"INGRESO")+SUMIFS(MOVIMIENTOS_COMPLEMENTOS!$I$4:$I$803,MOVIMIENTOS_COMPLEMENTOS!$C$4:$C$803,A3197,MOVIMIENTOS_COMPLEMENTOS!$D$4:$D$803,B3197,MOVIMIENTOS_COMPLEMENTOS!$E$4:$E$803,C3197,MOVIMIENTOS_COMPLEMENTOS!$G$4:$G$803,E3197,MOVIMIENTOS_COMPLEMENTOS!$H$4:$H$803,G3197,MOVIMIENTOS_COMPLEMENTOS!$B$4:$B$803,"DE CORTE")-SUMIFS(MOVIMIENTOS_COMPLEMENTOS!$I$4:$I$803,MOVIMIENTOS_COMPLEMENTOS!$C$4:$C$803,A3197,MOVIMIENTOS_COMPLEMENTOS!$D$4:$D$803,B3197,MOVIMIENTOS_COMPLEMENTOS!$E$4:$E$803,C3197,MOVIMIENTOS_COMPLEMENTOS!$G$4:$G$803,E3197,MOVIMIENTOS_COMPLEMENTOS!$H$4:$H$803,G3197,MOVIMIENTOS_COMPLEMENTOS!$B$4:$B$803,"SALIDA"),0)</f>
        <v>0</v>
      </c>
      <c r="I3197" s="102">
        <f t="array" ref="I3197">IFERROR(INDEX(PRECIOS_COMPLEMENTOS!$C$4:$F$17,MATCH(B3197&amp;"_"&amp;C3197,PRECIOS_COMPLEMENTOS!$H$4:$H$17,0),IF(OR(G3197="S",G3197="20cm"),1,IF(OR(G3197="M",G3197="25cm"),2,IF(OR(G3197="L",G3197="30cm"),3,IF(OR(G3197="XL",G3197="35cm"),4,0))))),0)</f>
        <v>0.45</v>
      </c>
      <c r="J3197" s="103">
        <f t="shared" si="1"/>
        <v>0</v>
      </c>
      <c r="K3197" s="104" t="str">
        <f>IF(H3197&lt;0,"ERROR",IF(H3197=0,"",IF(H3197&lt;CONFIG!$B$4,"CRÍTICO",IF(H3197&lt;CONFIG!$B$5,"BAJO","OK"))))</f>
        <v/>
      </c>
    </row>
    <row r="3198" ht="15.75" customHeight="1">
      <c r="A3198" s="90" t="str">
        <f>IF(CLIENTES!A9="","",CLIENTES!A9)</f>
        <v/>
      </c>
      <c r="B3198" s="90" t="s">
        <v>333</v>
      </c>
      <c r="C3198" s="91" t="s">
        <v>334</v>
      </c>
      <c r="D3198" s="109" t="s">
        <v>353</v>
      </c>
      <c r="E3198" s="67" t="str">
        <f>COLORES!A8</f>
        <v>Beige</v>
      </c>
      <c r="F3198" s="67" t="str">
        <f>COLORES!B8</f>
        <v>CLARO</v>
      </c>
      <c r="G3198" s="90" t="s">
        <v>382</v>
      </c>
      <c r="H3198" s="100">
        <f>IFERROR(SUMIFS(MOVIMIENTOS_COMPLEMENTOS!$I$4:$I$803,MOVIMIENTOS_COMPLEMENTOS!$C$4:$C$803,A3198,MOVIMIENTOS_COMPLEMENTOS!$D$4:$D$803,B3198,MOVIMIENTOS_COMPLEMENTOS!$E$4:$E$803,C3198,MOVIMIENTOS_COMPLEMENTOS!$G$4:$G$803,E3198,MOVIMIENTOS_COMPLEMENTOS!$H$4:$H$803,G3198,MOVIMIENTOS_COMPLEMENTOS!$B$4:$B$803,"INGRESO")+SUMIFS(MOVIMIENTOS_COMPLEMENTOS!$I$4:$I$803,MOVIMIENTOS_COMPLEMENTOS!$C$4:$C$803,A3198,MOVIMIENTOS_COMPLEMENTOS!$D$4:$D$803,B3198,MOVIMIENTOS_COMPLEMENTOS!$E$4:$E$803,C3198,MOVIMIENTOS_COMPLEMENTOS!$G$4:$G$803,E3198,MOVIMIENTOS_COMPLEMENTOS!$H$4:$H$803,G3198,MOVIMIENTOS_COMPLEMENTOS!$B$4:$B$803,"DE CORTE")-SUMIFS(MOVIMIENTOS_COMPLEMENTOS!$I$4:$I$803,MOVIMIENTOS_COMPLEMENTOS!$C$4:$C$803,A3198,MOVIMIENTOS_COMPLEMENTOS!$D$4:$D$803,B3198,MOVIMIENTOS_COMPLEMENTOS!$E$4:$E$803,C3198,MOVIMIENTOS_COMPLEMENTOS!$G$4:$G$803,E3198,MOVIMIENTOS_COMPLEMENTOS!$H$4:$H$803,G3198,MOVIMIENTOS_COMPLEMENTOS!$B$4:$B$803,"SALIDA"),0)</f>
        <v>0</v>
      </c>
      <c r="I3198" s="102">
        <f t="array" ref="I3198">IFERROR(INDEX(PRECIOS_COMPLEMENTOS!$C$4:$F$17,MATCH(B3198&amp;"_"&amp;C3198,PRECIOS_COMPLEMENTOS!$H$4:$H$17,0),IF(OR(G3198="S",G3198="20cm"),1,IF(OR(G3198="M",G3198="25cm"),2,IF(OR(G3198="L",G3198="30cm"),3,IF(OR(G3198="XL",G3198="35cm"),4,0))))),0)</f>
        <v>0.45</v>
      </c>
      <c r="J3198" s="103">
        <f t="shared" si="1"/>
        <v>0</v>
      </c>
      <c r="K3198" s="104" t="str">
        <f>IF(H3198&lt;0,"ERROR",IF(H3198=0,"",IF(H3198&lt;CONFIG!$B$4,"CRÍTICO",IF(H3198&lt;CONFIG!$B$5,"BAJO","OK"))))</f>
        <v/>
      </c>
    </row>
    <row r="3199" ht="15.75" customHeight="1">
      <c r="A3199" s="90" t="str">
        <f>IF(CLIENTES!A9="","",CLIENTES!A9)</f>
        <v/>
      </c>
      <c r="B3199" s="90" t="s">
        <v>333</v>
      </c>
      <c r="C3199" s="91" t="s">
        <v>334</v>
      </c>
      <c r="D3199" s="109" t="s">
        <v>353</v>
      </c>
      <c r="E3199" s="67" t="str">
        <f>COLORES!A9</f>
        <v>Melange</v>
      </c>
      <c r="F3199" s="67" t="str">
        <f>COLORES!B9</f>
        <v>MELANGE</v>
      </c>
      <c r="G3199" s="90" t="s">
        <v>380</v>
      </c>
      <c r="H3199" s="100">
        <f>IFERROR(SUMIFS(MOVIMIENTOS_COMPLEMENTOS!$I$4:$I$803,MOVIMIENTOS_COMPLEMENTOS!$C$4:$C$803,A3199,MOVIMIENTOS_COMPLEMENTOS!$D$4:$D$803,B3199,MOVIMIENTOS_COMPLEMENTOS!$E$4:$E$803,C3199,MOVIMIENTOS_COMPLEMENTOS!$G$4:$G$803,E3199,MOVIMIENTOS_COMPLEMENTOS!$H$4:$H$803,G3199,MOVIMIENTOS_COMPLEMENTOS!$B$4:$B$803,"INGRESO")+SUMIFS(MOVIMIENTOS_COMPLEMENTOS!$I$4:$I$803,MOVIMIENTOS_COMPLEMENTOS!$C$4:$C$803,A3199,MOVIMIENTOS_COMPLEMENTOS!$D$4:$D$803,B3199,MOVIMIENTOS_COMPLEMENTOS!$E$4:$E$803,C3199,MOVIMIENTOS_COMPLEMENTOS!$G$4:$G$803,E3199,MOVIMIENTOS_COMPLEMENTOS!$H$4:$H$803,G3199,MOVIMIENTOS_COMPLEMENTOS!$B$4:$B$803,"DE CORTE")-SUMIFS(MOVIMIENTOS_COMPLEMENTOS!$I$4:$I$803,MOVIMIENTOS_COMPLEMENTOS!$C$4:$C$803,A3199,MOVIMIENTOS_COMPLEMENTOS!$D$4:$D$803,B3199,MOVIMIENTOS_COMPLEMENTOS!$E$4:$E$803,C3199,MOVIMIENTOS_COMPLEMENTOS!$G$4:$G$803,E3199,MOVIMIENTOS_COMPLEMENTOS!$H$4:$H$803,G3199,MOVIMIENTOS_COMPLEMENTOS!$B$4:$B$803,"SALIDA"),0)</f>
        <v>0</v>
      </c>
      <c r="I3199" s="102">
        <f t="array" ref="I3199">IFERROR(INDEX(PRECIOS_COMPLEMENTOS!$C$4:$F$17,MATCH(B3199&amp;"_"&amp;C3199,PRECIOS_COMPLEMENTOS!$H$4:$H$17,0),IF(OR(G3199="S",G3199="20cm"),1,IF(OR(G3199="M",G3199="25cm"),2,IF(OR(G3199="L",G3199="30cm"),3,IF(OR(G3199="XL",G3199="35cm"),4,0))))),0)</f>
        <v>0.45</v>
      </c>
      <c r="J3199" s="103">
        <f t="shared" si="1"/>
        <v>0</v>
      </c>
      <c r="K3199" s="104" t="str">
        <f>IF(H3199&lt;0,"ERROR",IF(H3199=0,"",IF(H3199&lt;CONFIG!$B$4,"CRÍTICO",IF(H3199&lt;CONFIG!$B$5,"BAJO","OK"))))</f>
        <v/>
      </c>
    </row>
    <row r="3200" ht="15.75" customHeight="1">
      <c r="A3200" s="90" t="str">
        <f>IF(CLIENTES!A9="","",CLIENTES!A9)</f>
        <v/>
      </c>
      <c r="B3200" s="90" t="s">
        <v>333</v>
      </c>
      <c r="C3200" s="91" t="s">
        <v>334</v>
      </c>
      <c r="D3200" s="109" t="s">
        <v>353</v>
      </c>
      <c r="E3200" s="67" t="str">
        <f>COLORES!A9</f>
        <v>Melange</v>
      </c>
      <c r="F3200" s="67" t="str">
        <f>COLORES!B9</f>
        <v>MELANGE</v>
      </c>
      <c r="G3200" s="90" t="s">
        <v>381</v>
      </c>
      <c r="H3200" s="100">
        <f>IFERROR(SUMIFS(MOVIMIENTOS_COMPLEMENTOS!$I$4:$I$803,MOVIMIENTOS_COMPLEMENTOS!$C$4:$C$803,A3200,MOVIMIENTOS_COMPLEMENTOS!$D$4:$D$803,B3200,MOVIMIENTOS_COMPLEMENTOS!$E$4:$E$803,C3200,MOVIMIENTOS_COMPLEMENTOS!$G$4:$G$803,E3200,MOVIMIENTOS_COMPLEMENTOS!$H$4:$H$803,G3200,MOVIMIENTOS_COMPLEMENTOS!$B$4:$B$803,"INGRESO")+SUMIFS(MOVIMIENTOS_COMPLEMENTOS!$I$4:$I$803,MOVIMIENTOS_COMPLEMENTOS!$C$4:$C$803,A3200,MOVIMIENTOS_COMPLEMENTOS!$D$4:$D$803,B3200,MOVIMIENTOS_COMPLEMENTOS!$E$4:$E$803,C3200,MOVIMIENTOS_COMPLEMENTOS!$G$4:$G$803,E3200,MOVIMIENTOS_COMPLEMENTOS!$H$4:$H$803,G3200,MOVIMIENTOS_COMPLEMENTOS!$B$4:$B$803,"DE CORTE")-SUMIFS(MOVIMIENTOS_COMPLEMENTOS!$I$4:$I$803,MOVIMIENTOS_COMPLEMENTOS!$C$4:$C$803,A3200,MOVIMIENTOS_COMPLEMENTOS!$D$4:$D$803,B3200,MOVIMIENTOS_COMPLEMENTOS!$E$4:$E$803,C3200,MOVIMIENTOS_COMPLEMENTOS!$G$4:$G$803,E3200,MOVIMIENTOS_COMPLEMENTOS!$H$4:$H$803,G3200,MOVIMIENTOS_COMPLEMENTOS!$B$4:$B$803,"SALIDA"),0)</f>
        <v>0</v>
      </c>
      <c r="I3200" s="102">
        <f t="array" ref="I3200">IFERROR(INDEX(PRECIOS_COMPLEMENTOS!$C$4:$F$17,MATCH(B3200&amp;"_"&amp;C3200,PRECIOS_COMPLEMENTOS!$H$4:$H$17,0),IF(OR(G3200="S",G3200="20cm"),1,IF(OR(G3200="M",G3200="25cm"),2,IF(OR(G3200="L",G3200="30cm"),3,IF(OR(G3200="XL",G3200="35cm"),4,0))))),0)</f>
        <v>0.45</v>
      </c>
      <c r="J3200" s="103">
        <f t="shared" si="1"/>
        <v>0</v>
      </c>
      <c r="K3200" s="104" t="str">
        <f>IF(H3200&lt;0,"ERROR",IF(H3200=0,"",IF(H3200&lt;CONFIG!$B$4,"CRÍTICO",IF(H3200&lt;CONFIG!$B$5,"BAJO","OK"))))</f>
        <v/>
      </c>
    </row>
    <row r="3201" ht="15.75" customHeight="1">
      <c r="A3201" s="90" t="str">
        <f>IF(CLIENTES!A9="","",CLIENTES!A9)</f>
        <v/>
      </c>
      <c r="B3201" s="90" t="s">
        <v>333</v>
      </c>
      <c r="C3201" s="91" t="s">
        <v>334</v>
      </c>
      <c r="D3201" s="109" t="s">
        <v>353</v>
      </c>
      <c r="E3201" s="67" t="str">
        <f>COLORES!A9</f>
        <v>Melange</v>
      </c>
      <c r="F3201" s="67" t="str">
        <f>COLORES!B9</f>
        <v>MELANGE</v>
      </c>
      <c r="G3201" s="90" t="s">
        <v>382</v>
      </c>
      <c r="H3201" s="100">
        <f>IFERROR(SUMIFS(MOVIMIENTOS_COMPLEMENTOS!$I$4:$I$803,MOVIMIENTOS_COMPLEMENTOS!$C$4:$C$803,A3201,MOVIMIENTOS_COMPLEMENTOS!$D$4:$D$803,B3201,MOVIMIENTOS_COMPLEMENTOS!$E$4:$E$803,C3201,MOVIMIENTOS_COMPLEMENTOS!$G$4:$G$803,E3201,MOVIMIENTOS_COMPLEMENTOS!$H$4:$H$803,G3201,MOVIMIENTOS_COMPLEMENTOS!$B$4:$B$803,"INGRESO")+SUMIFS(MOVIMIENTOS_COMPLEMENTOS!$I$4:$I$803,MOVIMIENTOS_COMPLEMENTOS!$C$4:$C$803,A3201,MOVIMIENTOS_COMPLEMENTOS!$D$4:$D$803,B3201,MOVIMIENTOS_COMPLEMENTOS!$E$4:$E$803,C3201,MOVIMIENTOS_COMPLEMENTOS!$G$4:$G$803,E3201,MOVIMIENTOS_COMPLEMENTOS!$H$4:$H$803,G3201,MOVIMIENTOS_COMPLEMENTOS!$B$4:$B$803,"DE CORTE")-SUMIFS(MOVIMIENTOS_COMPLEMENTOS!$I$4:$I$803,MOVIMIENTOS_COMPLEMENTOS!$C$4:$C$803,A3201,MOVIMIENTOS_COMPLEMENTOS!$D$4:$D$803,B3201,MOVIMIENTOS_COMPLEMENTOS!$E$4:$E$803,C3201,MOVIMIENTOS_COMPLEMENTOS!$G$4:$G$803,E3201,MOVIMIENTOS_COMPLEMENTOS!$H$4:$H$803,G3201,MOVIMIENTOS_COMPLEMENTOS!$B$4:$B$803,"SALIDA"),0)</f>
        <v>0</v>
      </c>
      <c r="I3201" s="102">
        <f t="array" ref="I3201">IFERROR(INDEX(PRECIOS_COMPLEMENTOS!$C$4:$F$17,MATCH(B3201&amp;"_"&amp;C3201,PRECIOS_COMPLEMENTOS!$H$4:$H$17,0),IF(OR(G3201="S",G3201="20cm"),1,IF(OR(G3201="M",G3201="25cm"),2,IF(OR(G3201="L",G3201="30cm"),3,IF(OR(G3201="XL",G3201="35cm"),4,0))))),0)</f>
        <v>0.45</v>
      </c>
      <c r="J3201" s="103">
        <f t="shared" si="1"/>
        <v>0</v>
      </c>
      <c r="K3201" s="104" t="str">
        <f>IF(H3201&lt;0,"ERROR",IF(H3201=0,"",IF(H3201&lt;CONFIG!$B$4,"CRÍTICO",IF(H3201&lt;CONFIG!$B$5,"BAJO","OK"))))</f>
        <v/>
      </c>
    </row>
    <row r="3202" ht="15.75" customHeight="1">
      <c r="A3202" s="90" t="str">
        <f>IF(CLIENTES!A9="","",CLIENTES!A9)</f>
        <v/>
      </c>
      <c r="B3202" s="90" t="s">
        <v>333</v>
      </c>
      <c r="C3202" s="91" t="s">
        <v>334</v>
      </c>
      <c r="D3202" s="109" t="s">
        <v>353</v>
      </c>
      <c r="E3202" s="67" t="str">
        <f>COLORES!A10</f>
        <v>Botella</v>
      </c>
      <c r="F3202" s="67" t="str">
        <f>COLORES!B10</f>
        <v>OSCURO</v>
      </c>
      <c r="G3202" s="90" t="s">
        <v>380</v>
      </c>
      <c r="H3202" s="100">
        <f>IFERROR(SUMIFS(MOVIMIENTOS_COMPLEMENTOS!$I$4:$I$803,MOVIMIENTOS_COMPLEMENTOS!$C$4:$C$803,A3202,MOVIMIENTOS_COMPLEMENTOS!$D$4:$D$803,B3202,MOVIMIENTOS_COMPLEMENTOS!$E$4:$E$803,C3202,MOVIMIENTOS_COMPLEMENTOS!$G$4:$G$803,E3202,MOVIMIENTOS_COMPLEMENTOS!$H$4:$H$803,G3202,MOVIMIENTOS_COMPLEMENTOS!$B$4:$B$803,"INGRESO")+SUMIFS(MOVIMIENTOS_COMPLEMENTOS!$I$4:$I$803,MOVIMIENTOS_COMPLEMENTOS!$C$4:$C$803,A3202,MOVIMIENTOS_COMPLEMENTOS!$D$4:$D$803,B3202,MOVIMIENTOS_COMPLEMENTOS!$E$4:$E$803,C3202,MOVIMIENTOS_COMPLEMENTOS!$G$4:$G$803,E3202,MOVIMIENTOS_COMPLEMENTOS!$H$4:$H$803,G3202,MOVIMIENTOS_COMPLEMENTOS!$B$4:$B$803,"DE CORTE")-SUMIFS(MOVIMIENTOS_COMPLEMENTOS!$I$4:$I$803,MOVIMIENTOS_COMPLEMENTOS!$C$4:$C$803,A3202,MOVIMIENTOS_COMPLEMENTOS!$D$4:$D$803,B3202,MOVIMIENTOS_COMPLEMENTOS!$E$4:$E$803,C3202,MOVIMIENTOS_COMPLEMENTOS!$G$4:$G$803,E3202,MOVIMIENTOS_COMPLEMENTOS!$H$4:$H$803,G3202,MOVIMIENTOS_COMPLEMENTOS!$B$4:$B$803,"SALIDA"),0)</f>
        <v>0</v>
      </c>
      <c r="I3202" s="102">
        <f t="array" ref="I3202">IFERROR(INDEX(PRECIOS_COMPLEMENTOS!$C$4:$F$17,MATCH(B3202&amp;"_"&amp;C3202,PRECIOS_COMPLEMENTOS!$H$4:$H$17,0),IF(OR(G3202="S",G3202="20cm"),1,IF(OR(G3202="M",G3202="25cm"),2,IF(OR(G3202="L",G3202="30cm"),3,IF(OR(G3202="XL",G3202="35cm"),4,0))))),0)</f>
        <v>0.45</v>
      </c>
      <c r="J3202" s="103">
        <f t="shared" si="1"/>
        <v>0</v>
      </c>
      <c r="K3202" s="104" t="str">
        <f>IF(H3202&lt;0,"ERROR",IF(H3202=0,"",IF(H3202&lt;CONFIG!$B$4,"CRÍTICO",IF(H3202&lt;CONFIG!$B$5,"BAJO","OK"))))</f>
        <v/>
      </c>
    </row>
    <row r="3203" ht="15.75" customHeight="1">
      <c r="A3203" s="90" t="str">
        <f>IF(CLIENTES!A9="","",CLIENTES!A9)</f>
        <v/>
      </c>
      <c r="B3203" s="90" t="s">
        <v>333</v>
      </c>
      <c r="C3203" s="91" t="s">
        <v>334</v>
      </c>
      <c r="D3203" s="109" t="s">
        <v>353</v>
      </c>
      <c r="E3203" s="67" t="str">
        <f>COLORES!A10</f>
        <v>Botella</v>
      </c>
      <c r="F3203" s="67" t="str">
        <f>COLORES!B10</f>
        <v>OSCURO</v>
      </c>
      <c r="G3203" s="90" t="s">
        <v>381</v>
      </c>
      <c r="H3203" s="100">
        <f>IFERROR(SUMIFS(MOVIMIENTOS_COMPLEMENTOS!$I$4:$I$803,MOVIMIENTOS_COMPLEMENTOS!$C$4:$C$803,A3203,MOVIMIENTOS_COMPLEMENTOS!$D$4:$D$803,B3203,MOVIMIENTOS_COMPLEMENTOS!$E$4:$E$803,C3203,MOVIMIENTOS_COMPLEMENTOS!$G$4:$G$803,E3203,MOVIMIENTOS_COMPLEMENTOS!$H$4:$H$803,G3203,MOVIMIENTOS_COMPLEMENTOS!$B$4:$B$803,"INGRESO")+SUMIFS(MOVIMIENTOS_COMPLEMENTOS!$I$4:$I$803,MOVIMIENTOS_COMPLEMENTOS!$C$4:$C$803,A3203,MOVIMIENTOS_COMPLEMENTOS!$D$4:$D$803,B3203,MOVIMIENTOS_COMPLEMENTOS!$E$4:$E$803,C3203,MOVIMIENTOS_COMPLEMENTOS!$G$4:$G$803,E3203,MOVIMIENTOS_COMPLEMENTOS!$H$4:$H$803,G3203,MOVIMIENTOS_COMPLEMENTOS!$B$4:$B$803,"DE CORTE")-SUMIFS(MOVIMIENTOS_COMPLEMENTOS!$I$4:$I$803,MOVIMIENTOS_COMPLEMENTOS!$C$4:$C$803,A3203,MOVIMIENTOS_COMPLEMENTOS!$D$4:$D$803,B3203,MOVIMIENTOS_COMPLEMENTOS!$E$4:$E$803,C3203,MOVIMIENTOS_COMPLEMENTOS!$G$4:$G$803,E3203,MOVIMIENTOS_COMPLEMENTOS!$H$4:$H$803,G3203,MOVIMIENTOS_COMPLEMENTOS!$B$4:$B$803,"SALIDA"),0)</f>
        <v>0</v>
      </c>
      <c r="I3203" s="102">
        <f t="array" ref="I3203">IFERROR(INDEX(PRECIOS_COMPLEMENTOS!$C$4:$F$17,MATCH(B3203&amp;"_"&amp;C3203,PRECIOS_COMPLEMENTOS!$H$4:$H$17,0),IF(OR(G3203="S",G3203="20cm"),1,IF(OR(G3203="M",G3203="25cm"),2,IF(OR(G3203="L",G3203="30cm"),3,IF(OR(G3203="XL",G3203="35cm"),4,0))))),0)</f>
        <v>0.45</v>
      </c>
      <c r="J3203" s="103">
        <f t="shared" si="1"/>
        <v>0</v>
      </c>
      <c r="K3203" s="104" t="str">
        <f>IF(H3203&lt;0,"ERROR",IF(H3203=0,"",IF(H3203&lt;CONFIG!$B$4,"CRÍTICO",IF(H3203&lt;CONFIG!$B$5,"BAJO","OK"))))</f>
        <v/>
      </c>
    </row>
    <row r="3204" ht="15.75" customHeight="1">
      <c r="A3204" s="90" t="str">
        <f>IF(CLIENTES!A9="","",CLIENTES!A9)</f>
        <v/>
      </c>
      <c r="B3204" s="90" t="s">
        <v>333</v>
      </c>
      <c r="C3204" s="91" t="s">
        <v>334</v>
      </c>
      <c r="D3204" s="109" t="s">
        <v>353</v>
      </c>
      <c r="E3204" s="67" t="str">
        <f>COLORES!A10</f>
        <v>Botella</v>
      </c>
      <c r="F3204" s="67" t="str">
        <f>COLORES!B10</f>
        <v>OSCURO</v>
      </c>
      <c r="G3204" s="90" t="s">
        <v>382</v>
      </c>
      <c r="H3204" s="100">
        <f>IFERROR(SUMIFS(MOVIMIENTOS_COMPLEMENTOS!$I$4:$I$803,MOVIMIENTOS_COMPLEMENTOS!$C$4:$C$803,A3204,MOVIMIENTOS_COMPLEMENTOS!$D$4:$D$803,B3204,MOVIMIENTOS_COMPLEMENTOS!$E$4:$E$803,C3204,MOVIMIENTOS_COMPLEMENTOS!$G$4:$G$803,E3204,MOVIMIENTOS_COMPLEMENTOS!$H$4:$H$803,G3204,MOVIMIENTOS_COMPLEMENTOS!$B$4:$B$803,"INGRESO")+SUMIFS(MOVIMIENTOS_COMPLEMENTOS!$I$4:$I$803,MOVIMIENTOS_COMPLEMENTOS!$C$4:$C$803,A3204,MOVIMIENTOS_COMPLEMENTOS!$D$4:$D$803,B3204,MOVIMIENTOS_COMPLEMENTOS!$E$4:$E$803,C3204,MOVIMIENTOS_COMPLEMENTOS!$G$4:$G$803,E3204,MOVIMIENTOS_COMPLEMENTOS!$H$4:$H$803,G3204,MOVIMIENTOS_COMPLEMENTOS!$B$4:$B$803,"DE CORTE")-SUMIFS(MOVIMIENTOS_COMPLEMENTOS!$I$4:$I$803,MOVIMIENTOS_COMPLEMENTOS!$C$4:$C$803,A3204,MOVIMIENTOS_COMPLEMENTOS!$D$4:$D$803,B3204,MOVIMIENTOS_COMPLEMENTOS!$E$4:$E$803,C3204,MOVIMIENTOS_COMPLEMENTOS!$G$4:$G$803,E3204,MOVIMIENTOS_COMPLEMENTOS!$H$4:$H$803,G3204,MOVIMIENTOS_COMPLEMENTOS!$B$4:$B$803,"SALIDA"),0)</f>
        <v>0</v>
      </c>
      <c r="I3204" s="102">
        <f t="array" ref="I3204">IFERROR(INDEX(PRECIOS_COMPLEMENTOS!$C$4:$F$17,MATCH(B3204&amp;"_"&amp;C3204,PRECIOS_COMPLEMENTOS!$H$4:$H$17,0),IF(OR(G3204="S",G3204="20cm"),1,IF(OR(G3204="M",G3204="25cm"),2,IF(OR(G3204="L",G3204="30cm"),3,IF(OR(G3204="XL",G3204="35cm"),4,0))))),0)</f>
        <v>0.45</v>
      </c>
      <c r="J3204" s="103">
        <f t="shared" si="1"/>
        <v>0</v>
      </c>
      <c r="K3204" s="104" t="str">
        <f>IF(H3204&lt;0,"ERROR",IF(H3204=0,"",IF(H3204&lt;CONFIG!$B$4,"CRÍTICO",IF(H3204&lt;CONFIG!$B$5,"BAJO","OK"))))</f>
        <v/>
      </c>
    </row>
    <row r="3205" ht="15.75" customHeight="1">
      <c r="A3205" s="90" t="str">
        <f>IF(CLIENTES!A9="","",CLIENTES!A9)</f>
        <v/>
      </c>
      <c r="B3205" s="90" t="s">
        <v>333</v>
      </c>
      <c r="C3205" s="91" t="s">
        <v>334</v>
      </c>
      <c r="D3205" s="109" t="s">
        <v>353</v>
      </c>
      <c r="E3205" s="67" t="str">
        <f>COLORES!A11</f>
        <v>Pacay</v>
      </c>
      <c r="F3205" s="67" t="str">
        <f>COLORES!B11</f>
        <v>CLARO</v>
      </c>
      <c r="G3205" s="90" t="s">
        <v>380</v>
      </c>
      <c r="H3205" s="100">
        <f>IFERROR(SUMIFS(MOVIMIENTOS_COMPLEMENTOS!$I$4:$I$803,MOVIMIENTOS_COMPLEMENTOS!$C$4:$C$803,A3205,MOVIMIENTOS_COMPLEMENTOS!$D$4:$D$803,B3205,MOVIMIENTOS_COMPLEMENTOS!$E$4:$E$803,C3205,MOVIMIENTOS_COMPLEMENTOS!$G$4:$G$803,E3205,MOVIMIENTOS_COMPLEMENTOS!$H$4:$H$803,G3205,MOVIMIENTOS_COMPLEMENTOS!$B$4:$B$803,"INGRESO")+SUMIFS(MOVIMIENTOS_COMPLEMENTOS!$I$4:$I$803,MOVIMIENTOS_COMPLEMENTOS!$C$4:$C$803,A3205,MOVIMIENTOS_COMPLEMENTOS!$D$4:$D$803,B3205,MOVIMIENTOS_COMPLEMENTOS!$E$4:$E$803,C3205,MOVIMIENTOS_COMPLEMENTOS!$G$4:$G$803,E3205,MOVIMIENTOS_COMPLEMENTOS!$H$4:$H$803,G3205,MOVIMIENTOS_COMPLEMENTOS!$B$4:$B$803,"DE CORTE")-SUMIFS(MOVIMIENTOS_COMPLEMENTOS!$I$4:$I$803,MOVIMIENTOS_COMPLEMENTOS!$C$4:$C$803,A3205,MOVIMIENTOS_COMPLEMENTOS!$D$4:$D$803,B3205,MOVIMIENTOS_COMPLEMENTOS!$E$4:$E$803,C3205,MOVIMIENTOS_COMPLEMENTOS!$G$4:$G$803,E3205,MOVIMIENTOS_COMPLEMENTOS!$H$4:$H$803,G3205,MOVIMIENTOS_COMPLEMENTOS!$B$4:$B$803,"SALIDA"),0)</f>
        <v>0</v>
      </c>
      <c r="I3205" s="102">
        <f t="array" ref="I3205">IFERROR(INDEX(PRECIOS_COMPLEMENTOS!$C$4:$F$17,MATCH(B3205&amp;"_"&amp;C3205,PRECIOS_COMPLEMENTOS!$H$4:$H$17,0),IF(OR(G3205="S",G3205="20cm"),1,IF(OR(G3205="M",G3205="25cm"),2,IF(OR(G3205="L",G3205="30cm"),3,IF(OR(G3205="XL",G3205="35cm"),4,0))))),0)</f>
        <v>0.45</v>
      </c>
      <c r="J3205" s="103">
        <f t="shared" si="1"/>
        <v>0</v>
      </c>
      <c r="K3205" s="104" t="str">
        <f>IF(H3205&lt;0,"ERROR",IF(H3205=0,"",IF(H3205&lt;CONFIG!$B$4,"CRÍTICO",IF(H3205&lt;CONFIG!$B$5,"BAJO","OK"))))</f>
        <v/>
      </c>
    </row>
    <row r="3206" ht="15.75" customHeight="1">
      <c r="A3206" s="90" t="str">
        <f>IF(CLIENTES!A9="","",CLIENTES!A9)</f>
        <v/>
      </c>
      <c r="B3206" s="90" t="s">
        <v>333</v>
      </c>
      <c r="C3206" s="91" t="s">
        <v>334</v>
      </c>
      <c r="D3206" s="109" t="s">
        <v>353</v>
      </c>
      <c r="E3206" s="67" t="str">
        <f>COLORES!A11</f>
        <v>Pacay</v>
      </c>
      <c r="F3206" s="67" t="str">
        <f>COLORES!B11</f>
        <v>CLARO</v>
      </c>
      <c r="G3206" s="90" t="s">
        <v>381</v>
      </c>
      <c r="H3206" s="100">
        <f>IFERROR(SUMIFS(MOVIMIENTOS_COMPLEMENTOS!$I$4:$I$803,MOVIMIENTOS_COMPLEMENTOS!$C$4:$C$803,A3206,MOVIMIENTOS_COMPLEMENTOS!$D$4:$D$803,B3206,MOVIMIENTOS_COMPLEMENTOS!$E$4:$E$803,C3206,MOVIMIENTOS_COMPLEMENTOS!$G$4:$G$803,E3206,MOVIMIENTOS_COMPLEMENTOS!$H$4:$H$803,G3206,MOVIMIENTOS_COMPLEMENTOS!$B$4:$B$803,"INGRESO")+SUMIFS(MOVIMIENTOS_COMPLEMENTOS!$I$4:$I$803,MOVIMIENTOS_COMPLEMENTOS!$C$4:$C$803,A3206,MOVIMIENTOS_COMPLEMENTOS!$D$4:$D$803,B3206,MOVIMIENTOS_COMPLEMENTOS!$E$4:$E$803,C3206,MOVIMIENTOS_COMPLEMENTOS!$G$4:$G$803,E3206,MOVIMIENTOS_COMPLEMENTOS!$H$4:$H$803,G3206,MOVIMIENTOS_COMPLEMENTOS!$B$4:$B$803,"DE CORTE")-SUMIFS(MOVIMIENTOS_COMPLEMENTOS!$I$4:$I$803,MOVIMIENTOS_COMPLEMENTOS!$C$4:$C$803,A3206,MOVIMIENTOS_COMPLEMENTOS!$D$4:$D$803,B3206,MOVIMIENTOS_COMPLEMENTOS!$E$4:$E$803,C3206,MOVIMIENTOS_COMPLEMENTOS!$G$4:$G$803,E3206,MOVIMIENTOS_COMPLEMENTOS!$H$4:$H$803,G3206,MOVIMIENTOS_COMPLEMENTOS!$B$4:$B$803,"SALIDA"),0)</f>
        <v>0</v>
      </c>
      <c r="I3206" s="102">
        <f t="array" ref="I3206">IFERROR(INDEX(PRECIOS_COMPLEMENTOS!$C$4:$F$17,MATCH(B3206&amp;"_"&amp;C3206,PRECIOS_COMPLEMENTOS!$H$4:$H$17,0),IF(OR(G3206="S",G3206="20cm"),1,IF(OR(G3206="M",G3206="25cm"),2,IF(OR(G3206="L",G3206="30cm"),3,IF(OR(G3206="XL",G3206="35cm"),4,0))))),0)</f>
        <v>0.45</v>
      </c>
      <c r="J3206" s="103">
        <f t="shared" si="1"/>
        <v>0</v>
      </c>
      <c r="K3206" s="104" t="str">
        <f>IF(H3206&lt;0,"ERROR",IF(H3206=0,"",IF(H3206&lt;CONFIG!$B$4,"CRÍTICO",IF(H3206&lt;CONFIG!$B$5,"BAJO","OK"))))</f>
        <v/>
      </c>
    </row>
    <row r="3207" ht="15.75" customHeight="1">
      <c r="A3207" s="90" t="str">
        <f>IF(CLIENTES!A9="","",CLIENTES!A9)</f>
        <v/>
      </c>
      <c r="B3207" s="90" t="s">
        <v>333</v>
      </c>
      <c r="C3207" s="91" t="s">
        <v>334</v>
      </c>
      <c r="D3207" s="109" t="s">
        <v>353</v>
      </c>
      <c r="E3207" s="67" t="str">
        <f>COLORES!A11</f>
        <v>Pacay</v>
      </c>
      <c r="F3207" s="67" t="str">
        <f>COLORES!B11</f>
        <v>CLARO</v>
      </c>
      <c r="G3207" s="90" t="s">
        <v>382</v>
      </c>
      <c r="H3207" s="100">
        <f>IFERROR(SUMIFS(MOVIMIENTOS_COMPLEMENTOS!$I$4:$I$803,MOVIMIENTOS_COMPLEMENTOS!$C$4:$C$803,A3207,MOVIMIENTOS_COMPLEMENTOS!$D$4:$D$803,B3207,MOVIMIENTOS_COMPLEMENTOS!$E$4:$E$803,C3207,MOVIMIENTOS_COMPLEMENTOS!$G$4:$G$803,E3207,MOVIMIENTOS_COMPLEMENTOS!$H$4:$H$803,G3207,MOVIMIENTOS_COMPLEMENTOS!$B$4:$B$803,"INGRESO")+SUMIFS(MOVIMIENTOS_COMPLEMENTOS!$I$4:$I$803,MOVIMIENTOS_COMPLEMENTOS!$C$4:$C$803,A3207,MOVIMIENTOS_COMPLEMENTOS!$D$4:$D$803,B3207,MOVIMIENTOS_COMPLEMENTOS!$E$4:$E$803,C3207,MOVIMIENTOS_COMPLEMENTOS!$G$4:$G$803,E3207,MOVIMIENTOS_COMPLEMENTOS!$H$4:$H$803,G3207,MOVIMIENTOS_COMPLEMENTOS!$B$4:$B$803,"DE CORTE")-SUMIFS(MOVIMIENTOS_COMPLEMENTOS!$I$4:$I$803,MOVIMIENTOS_COMPLEMENTOS!$C$4:$C$803,A3207,MOVIMIENTOS_COMPLEMENTOS!$D$4:$D$803,B3207,MOVIMIENTOS_COMPLEMENTOS!$E$4:$E$803,C3207,MOVIMIENTOS_COMPLEMENTOS!$G$4:$G$803,E3207,MOVIMIENTOS_COMPLEMENTOS!$H$4:$H$803,G3207,MOVIMIENTOS_COMPLEMENTOS!$B$4:$B$803,"SALIDA"),0)</f>
        <v>0</v>
      </c>
      <c r="I3207" s="102">
        <f t="array" ref="I3207">IFERROR(INDEX(PRECIOS_COMPLEMENTOS!$C$4:$F$17,MATCH(B3207&amp;"_"&amp;C3207,PRECIOS_COMPLEMENTOS!$H$4:$H$17,0),IF(OR(G3207="S",G3207="20cm"),1,IF(OR(G3207="M",G3207="25cm"),2,IF(OR(G3207="L",G3207="30cm"),3,IF(OR(G3207="XL",G3207="35cm"),4,0))))),0)</f>
        <v>0.45</v>
      </c>
      <c r="J3207" s="103">
        <f t="shared" si="1"/>
        <v>0</v>
      </c>
      <c r="K3207" s="104" t="str">
        <f>IF(H3207&lt;0,"ERROR",IF(H3207=0,"",IF(H3207&lt;CONFIG!$B$4,"CRÍTICO",IF(H3207&lt;CONFIG!$B$5,"BAJO","OK"))))</f>
        <v/>
      </c>
    </row>
    <row r="3208" ht="15.75" customHeight="1">
      <c r="A3208" s="90" t="str">
        <f>IF(CLIENTES!A9="","",CLIENTES!A9)</f>
        <v/>
      </c>
      <c r="B3208" s="90" t="s">
        <v>333</v>
      </c>
      <c r="C3208" s="91" t="s">
        <v>334</v>
      </c>
      <c r="D3208" s="109" t="s">
        <v>353</v>
      </c>
      <c r="E3208" s="67" t="str">
        <f>COLORES!A12</f>
        <v>Cemento</v>
      </c>
      <c r="F3208" s="67" t="str">
        <f>COLORES!B12</f>
        <v>CLARO</v>
      </c>
      <c r="G3208" s="90" t="s">
        <v>380</v>
      </c>
      <c r="H3208" s="100">
        <f>IFERROR(SUMIFS(MOVIMIENTOS_COMPLEMENTOS!$I$4:$I$803,MOVIMIENTOS_COMPLEMENTOS!$C$4:$C$803,A3208,MOVIMIENTOS_COMPLEMENTOS!$D$4:$D$803,B3208,MOVIMIENTOS_COMPLEMENTOS!$E$4:$E$803,C3208,MOVIMIENTOS_COMPLEMENTOS!$G$4:$G$803,E3208,MOVIMIENTOS_COMPLEMENTOS!$H$4:$H$803,G3208,MOVIMIENTOS_COMPLEMENTOS!$B$4:$B$803,"INGRESO")+SUMIFS(MOVIMIENTOS_COMPLEMENTOS!$I$4:$I$803,MOVIMIENTOS_COMPLEMENTOS!$C$4:$C$803,A3208,MOVIMIENTOS_COMPLEMENTOS!$D$4:$D$803,B3208,MOVIMIENTOS_COMPLEMENTOS!$E$4:$E$803,C3208,MOVIMIENTOS_COMPLEMENTOS!$G$4:$G$803,E3208,MOVIMIENTOS_COMPLEMENTOS!$H$4:$H$803,G3208,MOVIMIENTOS_COMPLEMENTOS!$B$4:$B$803,"DE CORTE")-SUMIFS(MOVIMIENTOS_COMPLEMENTOS!$I$4:$I$803,MOVIMIENTOS_COMPLEMENTOS!$C$4:$C$803,A3208,MOVIMIENTOS_COMPLEMENTOS!$D$4:$D$803,B3208,MOVIMIENTOS_COMPLEMENTOS!$E$4:$E$803,C3208,MOVIMIENTOS_COMPLEMENTOS!$G$4:$G$803,E3208,MOVIMIENTOS_COMPLEMENTOS!$H$4:$H$803,G3208,MOVIMIENTOS_COMPLEMENTOS!$B$4:$B$803,"SALIDA"),0)</f>
        <v>0</v>
      </c>
      <c r="I3208" s="102">
        <f t="array" ref="I3208">IFERROR(INDEX(PRECIOS_COMPLEMENTOS!$C$4:$F$17,MATCH(B3208&amp;"_"&amp;C3208,PRECIOS_COMPLEMENTOS!$H$4:$H$17,0),IF(OR(G3208="S",G3208="20cm"),1,IF(OR(G3208="M",G3208="25cm"),2,IF(OR(G3208="L",G3208="30cm"),3,IF(OR(G3208="XL",G3208="35cm"),4,0))))),0)</f>
        <v>0.45</v>
      </c>
      <c r="J3208" s="103">
        <f t="shared" si="1"/>
        <v>0</v>
      </c>
      <c r="K3208" s="104" t="str">
        <f>IF(H3208&lt;0,"ERROR",IF(H3208=0,"",IF(H3208&lt;CONFIG!$B$4,"CRÍTICO",IF(H3208&lt;CONFIG!$B$5,"BAJO","OK"))))</f>
        <v/>
      </c>
    </row>
    <row r="3209" ht="15.75" customHeight="1">
      <c r="A3209" s="90" t="str">
        <f>IF(CLIENTES!A9="","",CLIENTES!A9)</f>
        <v/>
      </c>
      <c r="B3209" s="90" t="s">
        <v>333</v>
      </c>
      <c r="C3209" s="91" t="s">
        <v>334</v>
      </c>
      <c r="D3209" s="109" t="s">
        <v>353</v>
      </c>
      <c r="E3209" s="67" t="str">
        <f>COLORES!A12</f>
        <v>Cemento</v>
      </c>
      <c r="F3209" s="67" t="str">
        <f>COLORES!B12</f>
        <v>CLARO</v>
      </c>
      <c r="G3209" s="90" t="s">
        <v>381</v>
      </c>
      <c r="H3209" s="100">
        <f>IFERROR(SUMIFS(MOVIMIENTOS_COMPLEMENTOS!$I$4:$I$803,MOVIMIENTOS_COMPLEMENTOS!$C$4:$C$803,A3209,MOVIMIENTOS_COMPLEMENTOS!$D$4:$D$803,B3209,MOVIMIENTOS_COMPLEMENTOS!$E$4:$E$803,C3209,MOVIMIENTOS_COMPLEMENTOS!$G$4:$G$803,E3209,MOVIMIENTOS_COMPLEMENTOS!$H$4:$H$803,G3209,MOVIMIENTOS_COMPLEMENTOS!$B$4:$B$803,"INGRESO")+SUMIFS(MOVIMIENTOS_COMPLEMENTOS!$I$4:$I$803,MOVIMIENTOS_COMPLEMENTOS!$C$4:$C$803,A3209,MOVIMIENTOS_COMPLEMENTOS!$D$4:$D$803,B3209,MOVIMIENTOS_COMPLEMENTOS!$E$4:$E$803,C3209,MOVIMIENTOS_COMPLEMENTOS!$G$4:$G$803,E3209,MOVIMIENTOS_COMPLEMENTOS!$H$4:$H$803,G3209,MOVIMIENTOS_COMPLEMENTOS!$B$4:$B$803,"DE CORTE")-SUMIFS(MOVIMIENTOS_COMPLEMENTOS!$I$4:$I$803,MOVIMIENTOS_COMPLEMENTOS!$C$4:$C$803,A3209,MOVIMIENTOS_COMPLEMENTOS!$D$4:$D$803,B3209,MOVIMIENTOS_COMPLEMENTOS!$E$4:$E$803,C3209,MOVIMIENTOS_COMPLEMENTOS!$G$4:$G$803,E3209,MOVIMIENTOS_COMPLEMENTOS!$H$4:$H$803,G3209,MOVIMIENTOS_COMPLEMENTOS!$B$4:$B$803,"SALIDA"),0)</f>
        <v>0</v>
      </c>
      <c r="I3209" s="102">
        <f t="array" ref="I3209">IFERROR(INDEX(PRECIOS_COMPLEMENTOS!$C$4:$F$17,MATCH(B3209&amp;"_"&amp;C3209,PRECIOS_COMPLEMENTOS!$H$4:$H$17,0),IF(OR(G3209="S",G3209="20cm"),1,IF(OR(G3209="M",G3209="25cm"),2,IF(OR(G3209="L",G3209="30cm"),3,IF(OR(G3209="XL",G3209="35cm"),4,0))))),0)</f>
        <v>0.45</v>
      </c>
      <c r="J3209" s="103">
        <f t="shared" si="1"/>
        <v>0</v>
      </c>
      <c r="K3209" s="104" t="str">
        <f>IF(H3209&lt;0,"ERROR",IF(H3209=0,"",IF(H3209&lt;CONFIG!$B$4,"CRÍTICO",IF(H3209&lt;CONFIG!$B$5,"BAJO","OK"))))</f>
        <v/>
      </c>
    </row>
    <row r="3210" ht="15.75" customHeight="1">
      <c r="A3210" s="90" t="str">
        <f>IF(CLIENTES!A9="","",CLIENTES!A9)</f>
        <v/>
      </c>
      <c r="B3210" s="90" t="s">
        <v>333</v>
      </c>
      <c r="C3210" s="91" t="s">
        <v>334</v>
      </c>
      <c r="D3210" s="109" t="s">
        <v>353</v>
      </c>
      <c r="E3210" s="67" t="str">
        <f>COLORES!A12</f>
        <v>Cemento</v>
      </c>
      <c r="F3210" s="67" t="str">
        <f>COLORES!B12</f>
        <v>CLARO</v>
      </c>
      <c r="G3210" s="90" t="s">
        <v>382</v>
      </c>
      <c r="H3210" s="100">
        <f>IFERROR(SUMIFS(MOVIMIENTOS_COMPLEMENTOS!$I$4:$I$803,MOVIMIENTOS_COMPLEMENTOS!$C$4:$C$803,A3210,MOVIMIENTOS_COMPLEMENTOS!$D$4:$D$803,B3210,MOVIMIENTOS_COMPLEMENTOS!$E$4:$E$803,C3210,MOVIMIENTOS_COMPLEMENTOS!$G$4:$G$803,E3210,MOVIMIENTOS_COMPLEMENTOS!$H$4:$H$803,G3210,MOVIMIENTOS_COMPLEMENTOS!$B$4:$B$803,"INGRESO")+SUMIFS(MOVIMIENTOS_COMPLEMENTOS!$I$4:$I$803,MOVIMIENTOS_COMPLEMENTOS!$C$4:$C$803,A3210,MOVIMIENTOS_COMPLEMENTOS!$D$4:$D$803,B3210,MOVIMIENTOS_COMPLEMENTOS!$E$4:$E$803,C3210,MOVIMIENTOS_COMPLEMENTOS!$G$4:$G$803,E3210,MOVIMIENTOS_COMPLEMENTOS!$H$4:$H$803,G3210,MOVIMIENTOS_COMPLEMENTOS!$B$4:$B$803,"DE CORTE")-SUMIFS(MOVIMIENTOS_COMPLEMENTOS!$I$4:$I$803,MOVIMIENTOS_COMPLEMENTOS!$C$4:$C$803,A3210,MOVIMIENTOS_COMPLEMENTOS!$D$4:$D$803,B3210,MOVIMIENTOS_COMPLEMENTOS!$E$4:$E$803,C3210,MOVIMIENTOS_COMPLEMENTOS!$G$4:$G$803,E3210,MOVIMIENTOS_COMPLEMENTOS!$H$4:$H$803,G3210,MOVIMIENTOS_COMPLEMENTOS!$B$4:$B$803,"SALIDA"),0)</f>
        <v>0</v>
      </c>
      <c r="I3210" s="102">
        <f t="array" ref="I3210">IFERROR(INDEX(PRECIOS_COMPLEMENTOS!$C$4:$F$17,MATCH(B3210&amp;"_"&amp;C3210,PRECIOS_COMPLEMENTOS!$H$4:$H$17,0),IF(OR(G3210="S",G3210="20cm"),1,IF(OR(G3210="M",G3210="25cm"),2,IF(OR(G3210="L",G3210="30cm"),3,IF(OR(G3210="XL",G3210="35cm"),4,0))))),0)</f>
        <v>0.45</v>
      </c>
      <c r="J3210" s="103">
        <f t="shared" si="1"/>
        <v>0</v>
      </c>
      <c r="K3210" s="104" t="str">
        <f>IF(H3210&lt;0,"ERROR",IF(H3210=0,"",IF(H3210&lt;CONFIG!$B$4,"CRÍTICO",IF(H3210&lt;CONFIG!$B$5,"BAJO","OK"))))</f>
        <v/>
      </c>
    </row>
    <row r="3211" ht="15.75" customHeight="1">
      <c r="A3211" s="90" t="str">
        <f>IF(CLIENTES!A9="","",CLIENTES!A9)</f>
        <v/>
      </c>
      <c r="B3211" s="90" t="s">
        <v>333</v>
      </c>
      <c r="C3211" s="91" t="s">
        <v>334</v>
      </c>
      <c r="D3211" s="109" t="s">
        <v>353</v>
      </c>
      <c r="E3211" s="67" t="str">
        <f>COLORES!A13</f>
        <v>Camote</v>
      </c>
      <c r="F3211" s="67" t="str">
        <f>COLORES!B13</f>
        <v>CLARO</v>
      </c>
      <c r="G3211" s="90" t="s">
        <v>380</v>
      </c>
      <c r="H3211" s="100">
        <f>IFERROR(SUMIFS(MOVIMIENTOS_COMPLEMENTOS!$I$4:$I$803,MOVIMIENTOS_COMPLEMENTOS!$C$4:$C$803,A3211,MOVIMIENTOS_COMPLEMENTOS!$D$4:$D$803,B3211,MOVIMIENTOS_COMPLEMENTOS!$E$4:$E$803,C3211,MOVIMIENTOS_COMPLEMENTOS!$G$4:$G$803,E3211,MOVIMIENTOS_COMPLEMENTOS!$H$4:$H$803,G3211,MOVIMIENTOS_COMPLEMENTOS!$B$4:$B$803,"INGRESO")+SUMIFS(MOVIMIENTOS_COMPLEMENTOS!$I$4:$I$803,MOVIMIENTOS_COMPLEMENTOS!$C$4:$C$803,A3211,MOVIMIENTOS_COMPLEMENTOS!$D$4:$D$803,B3211,MOVIMIENTOS_COMPLEMENTOS!$E$4:$E$803,C3211,MOVIMIENTOS_COMPLEMENTOS!$G$4:$G$803,E3211,MOVIMIENTOS_COMPLEMENTOS!$H$4:$H$803,G3211,MOVIMIENTOS_COMPLEMENTOS!$B$4:$B$803,"DE CORTE")-SUMIFS(MOVIMIENTOS_COMPLEMENTOS!$I$4:$I$803,MOVIMIENTOS_COMPLEMENTOS!$C$4:$C$803,A3211,MOVIMIENTOS_COMPLEMENTOS!$D$4:$D$803,B3211,MOVIMIENTOS_COMPLEMENTOS!$E$4:$E$803,C3211,MOVIMIENTOS_COMPLEMENTOS!$G$4:$G$803,E3211,MOVIMIENTOS_COMPLEMENTOS!$H$4:$H$803,G3211,MOVIMIENTOS_COMPLEMENTOS!$B$4:$B$803,"SALIDA"),0)</f>
        <v>0</v>
      </c>
      <c r="I3211" s="102">
        <f t="array" ref="I3211">IFERROR(INDEX(PRECIOS_COMPLEMENTOS!$C$4:$F$17,MATCH(B3211&amp;"_"&amp;C3211,PRECIOS_COMPLEMENTOS!$H$4:$H$17,0),IF(OR(G3211="S",G3211="20cm"),1,IF(OR(G3211="M",G3211="25cm"),2,IF(OR(G3211="L",G3211="30cm"),3,IF(OR(G3211="XL",G3211="35cm"),4,0))))),0)</f>
        <v>0.45</v>
      </c>
      <c r="J3211" s="103">
        <f t="shared" si="1"/>
        <v>0</v>
      </c>
      <c r="K3211" s="104" t="str">
        <f>IF(H3211&lt;0,"ERROR",IF(H3211=0,"",IF(H3211&lt;CONFIG!$B$4,"CRÍTICO",IF(H3211&lt;CONFIG!$B$5,"BAJO","OK"))))</f>
        <v/>
      </c>
    </row>
    <row r="3212" ht="15.75" customHeight="1">
      <c r="A3212" s="90" t="str">
        <f>IF(CLIENTES!A9="","",CLIENTES!A9)</f>
        <v/>
      </c>
      <c r="B3212" s="90" t="s">
        <v>333</v>
      </c>
      <c r="C3212" s="91" t="s">
        <v>334</v>
      </c>
      <c r="D3212" s="109" t="s">
        <v>353</v>
      </c>
      <c r="E3212" s="67" t="str">
        <f>COLORES!A13</f>
        <v>Camote</v>
      </c>
      <c r="F3212" s="67" t="str">
        <f>COLORES!B13</f>
        <v>CLARO</v>
      </c>
      <c r="G3212" s="90" t="s">
        <v>381</v>
      </c>
      <c r="H3212" s="100">
        <f>IFERROR(SUMIFS(MOVIMIENTOS_COMPLEMENTOS!$I$4:$I$803,MOVIMIENTOS_COMPLEMENTOS!$C$4:$C$803,A3212,MOVIMIENTOS_COMPLEMENTOS!$D$4:$D$803,B3212,MOVIMIENTOS_COMPLEMENTOS!$E$4:$E$803,C3212,MOVIMIENTOS_COMPLEMENTOS!$G$4:$G$803,E3212,MOVIMIENTOS_COMPLEMENTOS!$H$4:$H$803,G3212,MOVIMIENTOS_COMPLEMENTOS!$B$4:$B$803,"INGRESO")+SUMIFS(MOVIMIENTOS_COMPLEMENTOS!$I$4:$I$803,MOVIMIENTOS_COMPLEMENTOS!$C$4:$C$803,A3212,MOVIMIENTOS_COMPLEMENTOS!$D$4:$D$803,B3212,MOVIMIENTOS_COMPLEMENTOS!$E$4:$E$803,C3212,MOVIMIENTOS_COMPLEMENTOS!$G$4:$G$803,E3212,MOVIMIENTOS_COMPLEMENTOS!$H$4:$H$803,G3212,MOVIMIENTOS_COMPLEMENTOS!$B$4:$B$803,"DE CORTE")-SUMIFS(MOVIMIENTOS_COMPLEMENTOS!$I$4:$I$803,MOVIMIENTOS_COMPLEMENTOS!$C$4:$C$803,A3212,MOVIMIENTOS_COMPLEMENTOS!$D$4:$D$803,B3212,MOVIMIENTOS_COMPLEMENTOS!$E$4:$E$803,C3212,MOVIMIENTOS_COMPLEMENTOS!$G$4:$G$803,E3212,MOVIMIENTOS_COMPLEMENTOS!$H$4:$H$803,G3212,MOVIMIENTOS_COMPLEMENTOS!$B$4:$B$803,"SALIDA"),0)</f>
        <v>0</v>
      </c>
      <c r="I3212" s="102">
        <f t="array" ref="I3212">IFERROR(INDEX(PRECIOS_COMPLEMENTOS!$C$4:$F$17,MATCH(B3212&amp;"_"&amp;C3212,PRECIOS_COMPLEMENTOS!$H$4:$H$17,0),IF(OR(G3212="S",G3212="20cm"),1,IF(OR(G3212="M",G3212="25cm"),2,IF(OR(G3212="L",G3212="30cm"),3,IF(OR(G3212="XL",G3212="35cm"),4,0))))),0)</f>
        <v>0.45</v>
      </c>
      <c r="J3212" s="103">
        <f t="shared" si="1"/>
        <v>0</v>
      </c>
      <c r="K3212" s="104" t="str">
        <f>IF(H3212&lt;0,"ERROR",IF(H3212=0,"",IF(H3212&lt;CONFIG!$B$4,"CRÍTICO",IF(H3212&lt;CONFIG!$B$5,"BAJO","OK"))))</f>
        <v/>
      </c>
    </row>
    <row r="3213" ht="15.75" customHeight="1">
      <c r="A3213" s="90" t="str">
        <f>IF(CLIENTES!A9="","",CLIENTES!A9)</f>
        <v/>
      </c>
      <c r="B3213" s="90" t="s">
        <v>333</v>
      </c>
      <c r="C3213" s="91" t="s">
        <v>334</v>
      </c>
      <c r="D3213" s="109" t="s">
        <v>353</v>
      </c>
      <c r="E3213" s="67" t="str">
        <f>COLORES!A13</f>
        <v>Camote</v>
      </c>
      <c r="F3213" s="67" t="str">
        <f>COLORES!B13</f>
        <v>CLARO</v>
      </c>
      <c r="G3213" s="90" t="s">
        <v>382</v>
      </c>
      <c r="H3213" s="100">
        <f>IFERROR(SUMIFS(MOVIMIENTOS_COMPLEMENTOS!$I$4:$I$803,MOVIMIENTOS_COMPLEMENTOS!$C$4:$C$803,A3213,MOVIMIENTOS_COMPLEMENTOS!$D$4:$D$803,B3213,MOVIMIENTOS_COMPLEMENTOS!$E$4:$E$803,C3213,MOVIMIENTOS_COMPLEMENTOS!$G$4:$G$803,E3213,MOVIMIENTOS_COMPLEMENTOS!$H$4:$H$803,G3213,MOVIMIENTOS_COMPLEMENTOS!$B$4:$B$803,"INGRESO")+SUMIFS(MOVIMIENTOS_COMPLEMENTOS!$I$4:$I$803,MOVIMIENTOS_COMPLEMENTOS!$C$4:$C$803,A3213,MOVIMIENTOS_COMPLEMENTOS!$D$4:$D$803,B3213,MOVIMIENTOS_COMPLEMENTOS!$E$4:$E$803,C3213,MOVIMIENTOS_COMPLEMENTOS!$G$4:$G$803,E3213,MOVIMIENTOS_COMPLEMENTOS!$H$4:$H$803,G3213,MOVIMIENTOS_COMPLEMENTOS!$B$4:$B$803,"DE CORTE")-SUMIFS(MOVIMIENTOS_COMPLEMENTOS!$I$4:$I$803,MOVIMIENTOS_COMPLEMENTOS!$C$4:$C$803,A3213,MOVIMIENTOS_COMPLEMENTOS!$D$4:$D$803,B3213,MOVIMIENTOS_COMPLEMENTOS!$E$4:$E$803,C3213,MOVIMIENTOS_COMPLEMENTOS!$G$4:$G$803,E3213,MOVIMIENTOS_COMPLEMENTOS!$H$4:$H$803,G3213,MOVIMIENTOS_COMPLEMENTOS!$B$4:$B$803,"SALIDA"),0)</f>
        <v>0</v>
      </c>
      <c r="I3213" s="102">
        <f t="array" ref="I3213">IFERROR(INDEX(PRECIOS_COMPLEMENTOS!$C$4:$F$17,MATCH(B3213&amp;"_"&amp;C3213,PRECIOS_COMPLEMENTOS!$H$4:$H$17,0),IF(OR(G3213="S",G3213="20cm"),1,IF(OR(G3213="M",G3213="25cm"),2,IF(OR(G3213="L",G3213="30cm"),3,IF(OR(G3213="XL",G3213="35cm"),4,0))))),0)</f>
        <v>0.45</v>
      </c>
      <c r="J3213" s="103">
        <f t="shared" si="1"/>
        <v>0</v>
      </c>
      <c r="K3213" s="104" t="str">
        <f>IF(H3213&lt;0,"ERROR",IF(H3213=0,"",IF(H3213&lt;CONFIG!$B$4,"CRÍTICO",IF(H3213&lt;CONFIG!$B$5,"BAJO","OK"))))</f>
        <v/>
      </c>
    </row>
    <row r="3214" ht="15.75" customHeight="1">
      <c r="A3214" s="90" t="str">
        <f>IF(CLIENTES!A9="","",CLIENTES!A9)</f>
        <v/>
      </c>
      <c r="B3214" s="90" t="s">
        <v>333</v>
      </c>
      <c r="C3214" s="91" t="s">
        <v>334</v>
      </c>
      <c r="D3214" s="109" t="s">
        <v>353</v>
      </c>
      <c r="E3214" s="67" t="str">
        <f>COLORES!A14</f>
        <v>Denim</v>
      </c>
      <c r="F3214" s="67" t="str">
        <f>COLORES!B14</f>
        <v>CLARO</v>
      </c>
      <c r="G3214" s="90" t="s">
        <v>380</v>
      </c>
      <c r="H3214" s="100">
        <f>IFERROR(SUMIFS(MOVIMIENTOS_COMPLEMENTOS!$I$4:$I$803,MOVIMIENTOS_COMPLEMENTOS!$C$4:$C$803,A3214,MOVIMIENTOS_COMPLEMENTOS!$D$4:$D$803,B3214,MOVIMIENTOS_COMPLEMENTOS!$E$4:$E$803,C3214,MOVIMIENTOS_COMPLEMENTOS!$G$4:$G$803,E3214,MOVIMIENTOS_COMPLEMENTOS!$H$4:$H$803,G3214,MOVIMIENTOS_COMPLEMENTOS!$B$4:$B$803,"INGRESO")+SUMIFS(MOVIMIENTOS_COMPLEMENTOS!$I$4:$I$803,MOVIMIENTOS_COMPLEMENTOS!$C$4:$C$803,A3214,MOVIMIENTOS_COMPLEMENTOS!$D$4:$D$803,B3214,MOVIMIENTOS_COMPLEMENTOS!$E$4:$E$803,C3214,MOVIMIENTOS_COMPLEMENTOS!$G$4:$G$803,E3214,MOVIMIENTOS_COMPLEMENTOS!$H$4:$H$803,G3214,MOVIMIENTOS_COMPLEMENTOS!$B$4:$B$803,"DE CORTE")-SUMIFS(MOVIMIENTOS_COMPLEMENTOS!$I$4:$I$803,MOVIMIENTOS_COMPLEMENTOS!$C$4:$C$803,A3214,MOVIMIENTOS_COMPLEMENTOS!$D$4:$D$803,B3214,MOVIMIENTOS_COMPLEMENTOS!$E$4:$E$803,C3214,MOVIMIENTOS_COMPLEMENTOS!$G$4:$G$803,E3214,MOVIMIENTOS_COMPLEMENTOS!$H$4:$H$803,G3214,MOVIMIENTOS_COMPLEMENTOS!$B$4:$B$803,"SALIDA"),0)</f>
        <v>0</v>
      </c>
      <c r="I3214" s="102">
        <f t="array" ref="I3214">IFERROR(INDEX(PRECIOS_COMPLEMENTOS!$C$4:$F$17,MATCH(B3214&amp;"_"&amp;C3214,PRECIOS_COMPLEMENTOS!$H$4:$H$17,0),IF(OR(G3214="S",G3214="20cm"),1,IF(OR(G3214="M",G3214="25cm"),2,IF(OR(G3214="L",G3214="30cm"),3,IF(OR(G3214="XL",G3214="35cm"),4,0))))),0)</f>
        <v>0.45</v>
      </c>
      <c r="J3214" s="103">
        <f t="shared" si="1"/>
        <v>0</v>
      </c>
      <c r="K3214" s="104" t="str">
        <f>IF(H3214&lt;0,"ERROR",IF(H3214=0,"",IF(H3214&lt;CONFIG!$B$4,"CRÍTICO",IF(H3214&lt;CONFIG!$B$5,"BAJO","OK"))))</f>
        <v/>
      </c>
    </row>
    <row r="3215" ht="15.75" customHeight="1">
      <c r="A3215" s="90" t="str">
        <f>IF(CLIENTES!A9="","",CLIENTES!A9)</f>
        <v/>
      </c>
      <c r="B3215" s="90" t="s">
        <v>333</v>
      </c>
      <c r="C3215" s="91" t="s">
        <v>334</v>
      </c>
      <c r="D3215" s="109" t="s">
        <v>353</v>
      </c>
      <c r="E3215" s="67" t="str">
        <f>COLORES!A14</f>
        <v>Denim</v>
      </c>
      <c r="F3215" s="67" t="str">
        <f>COLORES!B14</f>
        <v>CLARO</v>
      </c>
      <c r="G3215" s="90" t="s">
        <v>381</v>
      </c>
      <c r="H3215" s="100">
        <f>IFERROR(SUMIFS(MOVIMIENTOS_COMPLEMENTOS!$I$4:$I$803,MOVIMIENTOS_COMPLEMENTOS!$C$4:$C$803,A3215,MOVIMIENTOS_COMPLEMENTOS!$D$4:$D$803,B3215,MOVIMIENTOS_COMPLEMENTOS!$E$4:$E$803,C3215,MOVIMIENTOS_COMPLEMENTOS!$G$4:$G$803,E3215,MOVIMIENTOS_COMPLEMENTOS!$H$4:$H$803,G3215,MOVIMIENTOS_COMPLEMENTOS!$B$4:$B$803,"INGRESO")+SUMIFS(MOVIMIENTOS_COMPLEMENTOS!$I$4:$I$803,MOVIMIENTOS_COMPLEMENTOS!$C$4:$C$803,A3215,MOVIMIENTOS_COMPLEMENTOS!$D$4:$D$803,B3215,MOVIMIENTOS_COMPLEMENTOS!$E$4:$E$803,C3215,MOVIMIENTOS_COMPLEMENTOS!$G$4:$G$803,E3215,MOVIMIENTOS_COMPLEMENTOS!$H$4:$H$803,G3215,MOVIMIENTOS_COMPLEMENTOS!$B$4:$B$803,"DE CORTE")-SUMIFS(MOVIMIENTOS_COMPLEMENTOS!$I$4:$I$803,MOVIMIENTOS_COMPLEMENTOS!$C$4:$C$803,A3215,MOVIMIENTOS_COMPLEMENTOS!$D$4:$D$803,B3215,MOVIMIENTOS_COMPLEMENTOS!$E$4:$E$803,C3215,MOVIMIENTOS_COMPLEMENTOS!$G$4:$G$803,E3215,MOVIMIENTOS_COMPLEMENTOS!$H$4:$H$803,G3215,MOVIMIENTOS_COMPLEMENTOS!$B$4:$B$803,"SALIDA"),0)</f>
        <v>0</v>
      </c>
      <c r="I3215" s="102">
        <f t="array" ref="I3215">IFERROR(INDEX(PRECIOS_COMPLEMENTOS!$C$4:$F$17,MATCH(B3215&amp;"_"&amp;C3215,PRECIOS_COMPLEMENTOS!$H$4:$H$17,0),IF(OR(G3215="S",G3215="20cm"),1,IF(OR(G3215="M",G3215="25cm"),2,IF(OR(G3215="L",G3215="30cm"),3,IF(OR(G3215="XL",G3215="35cm"),4,0))))),0)</f>
        <v>0.45</v>
      </c>
      <c r="J3215" s="103">
        <f t="shared" si="1"/>
        <v>0</v>
      </c>
      <c r="K3215" s="104" t="str">
        <f>IF(H3215&lt;0,"ERROR",IF(H3215=0,"",IF(H3215&lt;CONFIG!$B$4,"CRÍTICO",IF(H3215&lt;CONFIG!$B$5,"BAJO","OK"))))</f>
        <v/>
      </c>
    </row>
    <row r="3216" ht="15.75" customHeight="1">
      <c r="A3216" s="90" t="str">
        <f>IF(CLIENTES!A9="","",CLIENTES!A9)</f>
        <v/>
      </c>
      <c r="B3216" s="90" t="s">
        <v>333</v>
      </c>
      <c r="C3216" s="91" t="s">
        <v>334</v>
      </c>
      <c r="D3216" s="109" t="s">
        <v>353</v>
      </c>
      <c r="E3216" s="67" t="str">
        <f>COLORES!A14</f>
        <v>Denim</v>
      </c>
      <c r="F3216" s="67" t="str">
        <f>COLORES!B14</f>
        <v>CLARO</v>
      </c>
      <c r="G3216" s="90" t="s">
        <v>382</v>
      </c>
      <c r="H3216" s="100">
        <f>IFERROR(SUMIFS(MOVIMIENTOS_COMPLEMENTOS!$I$4:$I$803,MOVIMIENTOS_COMPLEMENTOS!$C$4:$C$803,A3216,MOVIMIENTOS_COMPLEMENTOS!$D$4:$D$803,B3216,MOVIMIENTOS_COMPLEMENTOS!$E$4:$E$803,C3216,MOVIMIENTOS_COMPLEMENTOS!$G$4:$G$803,E3216,MOVIMIENTOS_COMPLEMENTOS!$H$4:$H$803,G3216,MOVIMIENTOS_COMPLEMENTOS!$B$4:$B$803,"INGRESO")+SUMIFS(MOVIMIENTOS_COMPLEMENTOS!$I$4:$I$803,MOVIMIENTOS_COMPLEMENTOS!$C$4:$C$803,A3216,MOVIMIENTOS_COMPLEMENTOS!$D$4:$D$803,B3216,MOVIMIENTOS_COMPLEMENTOS!$E$4:$E$803,C3216,MOVIMIENTOS_COMPLEMENTOS!$G$4:$G$803,E3216,MOVIMIENTOS_COMPLEMENTOS!$H$4:$H$803,G3216,MOVIMIENTOS_COMPLEMENTOS!$B$4:$B$803,"DE CORTE")-SUMIFS(MOVIMIENTOS_COMPLEMENTOS!$I$4:$I$803,MOVIMIENTOS_COMPLEMENTOS!$C$4:$C$803,A3216,MOVIMIENTOS_COMPLEMENTOS!$D$4:$D$803,B3216,MOVIMIENTOS_COMPLEMENTOS!$E$4:$E$803,C3216,MOVIMIENTOS_COMPLEMENTOS!$G$4:$G$803,E3216,MOVIMIENTOS_COMPLEMENTOS!$H$4:$H$803,G3216,MOVIMIENTOS_COMPLEMENTOS!$B$4:$B$803,"SALIDA"),0)</f>
        <v>0</v>
      </c>
      <c r="I3216" s="102">
        <f t="array" ref="I3216">IFERROR(INDEX(PRECIOS_COMPLEMENTOS!$C$4:$F$17,MATCH(B3216&amp;"_"&amp;C3216,PRECIOS_COMPLEMENTOS!$H$4:$H$17,0),IF(OR(G3216="S",G3216="20cm"),1,IF(OR(G3216="M",G3216="25cm"),2,IF(OR(G3216="L",G3216="30cm"),3,IF(OR(G3216="XL",G3216="35cm"),4,0))))),0)</f>
        <v>0.45</v>
      </c>
      <c r="J3216" s="103">
        <f t="shared" si="1"/>
        <v>0</v>
      </c>
      <c r="K3216" s="104" t="str">
        <f>IF(H3216&lt;0,"ERROR",IF(H3216=0,"",IF(H3216&lt;CONFIG!$B$4,"CRÍTICO",IF(H3216&lt;CONFIG!$B$5,"BAJO","OK"))))</f>
        <v/>
      </c>
    </row>
    <row r="3217" ht="15.75" customHeight="1">
      <c r="A3217" s="90" t="str">
        <f>IF(CLIENTES!A9="","",CLIENTES!A9)</f>
        <v/>
      </c>
      <c r="B3217" s="90" t="s">
        <v>333</v>
      </c>
      <c r="C3217" s="91" t="s">
        <v>334</v>
      </c>
      <c r="D3217" s="109" t="s">
        <v>353</v>
      </c>
      <c r="E3217" s="67" t="str">
        <f>COLORES!A15</f>
        <v>Plomo</v>
      </c>
      <c r="F3217" s="67" t="str">
        <f>COLORES!B15</f>
        <v>OSCURO</v>
      </c>
      <c r="G3217" s="90" t="s">
        <v>380</v>
      </c>
      <c r="H3217" s="100">
        <f>IFERROR(SUMIFS(MOVIMIENTOS_COMPLEMENTOS!$I$4:$I$803,MOVIMIENTOS_COMPLEMENTOS!$C$4:$C$803,A3217,MOVIMIENTOS_COMPLEMENTOS!$D$4:$D$803,B3217,MOVIMIENTOS_COMPLEMENTOS!$E$4:$E$803,C3217,MOVIMIENTOS_COMPLEMENTOS!$G$4:$G$803,E3217,MOVIMIENTOS_COMPLEMENTOS!$H$4:$H$803,G3217,MOVIMIENTOS_COMPLEMENTOS!$B$4:$B$803,"INGRESO")+SUMIFS(MOVIMIENTOS_COMPLEMENTOS!$I$4:$I$803,MOVIMIENTOS_COMPLEMENTOS!$C$4:$C$803,A3217,MOVIMIENTOS_COMPLEMENTOS!$D$4:$D$803,B3217,MOVIMIENTOS_COMPLEMENTOS!$E$4:$E$803,C3217,MOVIMIENTOS_COMPLEMENTOS!$G$4:$G$803,E3217,MOVIMIENTOS_COMPLEMENTOS!$H$4:$H$803,G3217,MOVIMIENTOS_COMPLEMENTOS!$B$4:$B$803,"DE CORTE")-SUMIFS(MOVIMIENTOS_COMPLEMENTOS!$I$4:$I$803,MOVIMIENTOS_COMPLEMENTOS!$C$4:$C$803,A3217,MOVIMIENTOS_COMPLEMENTOS!$D$4:$D$803,B3217,MOVIMIENTOS_COMPLEMENTOS!$E$4:$E$803,C3217,MOVIMIENTOS_COMPLEMENTOS!$G$4:$G$803,E3217,MOVIMIENTOS_COMPLEMENTOS!$H$4:$H$803,G3217,MOVIMIENTOS_COMPLEMENTOS!$B$4:$B$803,"SALIDA"),0)</f>
        <v>0</v>
      </c>
      <c r="I3217" s="102">
        <f t="array" ref="I3217">IFERROR(INDEX(PRECIOS_COMPLEMENTOS!$C$4:$F$17,MATCH(B3217&amp;"_"&amp;C3217,PRECIOS_COMPLEMENTOS!$H$4:$H$17,0),IF(OR(G3217="S",G3217="20cm"),1,IF(OR(G3217="M",G3217="25cm"),2,IF(OR(G3217="L",G3217="30cm"),3,IF(OR(G3217="XL",G3217="35cm"),4,0))))),0)</f>
        <v>0.45</v>
      </c>
      <c r="J3217" s="103">
        <f t="shared" si="1"/>
        <v>0</v>
      </c>
      <c r="K3217" s="104" t="str">
        <f>IF(H3217&lt;0,"ERROR",IF(H3217=0,"",IF(H3217&lt;CONFIG!$B$4,"CRÍTICO",IF(H3217&lt;CONFIG!$B$5,"BAJO","OK"))))</f>
        <v/>
      </c>
    </row>
    <row r="3218" ht="15.75" customHeight="1">
      <c r="A3218" s="90" t="str">
        <f>IF(CLIENTES!A9="","",CLIENTES!A9)</f>
        <v/>
      </c>
      <c r="B3218" s="90" t="s">
        <v>333</v>
      </c>
      <c r="C3218" s="91" t="s">
        <v>334</v>
      </c>
      <c r="D3218" s="109" t="s">
        <v>353</v>
      </c>
      <c r="E3218" s="67" t="str">
        <f>COLORES!A15</f>
        <v>Plomo</v>
      </c>
      <c r="F3218" s="67" t="str">
        <f>COLORES!B15</f>
        <v>OSCURO</v>
      </c>
      <c r="G3218" s="90" t="s">
        <v>381</v>
      </c>
      <c r="H3218" s="100">
        <f>IFERROR(SUMIFS(MOVIMIENTOS_COMPLEMENTOS!$I$4:$I$803,MOVIMIENTOS_COMPLEMENTOS!$C$4:$C$803,A3218,MOVIMIENTOS_COMPLEMENTOS!$D$4:$D$803,B3218,MOVIMIENTOS_COMPLEMENTOS!$E$4:$E$803,C3218,MOVIMIENTOS_COMPLEMENTOS!$G$4:$G$803,E3218,MOVIMIENTOS_COMPLEMENTOS!$H$4:$H$803,G3218,MOVIMIENTOS_COMPLEMENTOS!$B$4:$B$803,"INGRESO")+SUMIFS(MOVIMIENTOS_COMPLEMENTOS!$I$4:$I$803,MOVIMIENTOS_COMPLEMENTOS!$C$4:$C$803,A3218,MOVIMIENTOS_COMPLEMENTOS!$D$4:$D$803,B3218,MOVIMIENTOS_COMPLEMENTOS!$E$4:$E$803,C3218,MOVIMIENTOS_COMPLEMENTOS!$G$4:$G$803,E3218,MOVIMIENTOS_COMPLEMENTOS!$H$4:$H$803,G3218,MOVIMIENTOS_COMPLEMENTOS!$B$4:$B$803,"DE CORTE")-SUMIFS(MOVIMIENTOS_COMPLEMENTOS!$I$4:$I$803,MOVIMIENTOS_COMPLEMENTOS!$C$4:$C$803,A3218,MOVIMIENTOS_COMPLEMENTOS!$D$4:$D$803,B3218,MOVIMIENTOS_COMPLEMENTOS!$E$4:$E$803,C3218,MOVIMIENTOS_COMPLEMENTOS!$G$4:$G$803,E3218,MOVIMIENTOS_COMPLEMENTOS!$H$4:$H$803,G3218,MOVIMIENTOS_COMPLEMENTOS!$B$4:$B$803,"SALIDA"),0)</f>
        <v>0</v>
      </c>
      <c r="I3218" s="102">
        <f t="array" ref="I3218">IFERROR(INDEX(PRECIOS_COMPLEMENTOS!$C$4:$F$17,MATCH(B3218&amp;"_"&amp;C3218,PRECIOS_COMPLEMENTOS!$H$4:$H$17,0),IF(OR(G3218="S",G3218="20cm"),1,IF(OR(G3218="M",G3218="25cm"),2,IF(OR(G3218="L",G3218="30cm"),3,IF(OR(G3218="XL",G3218="35cm"),4,0))))),0)</f>
        <v>0.45</v>
      </c>
      <c r="J3218" s="103">
        <f t="shared" si="1"/>
        <v>0</v>
      </c>
      <c r="K3218" s="104" t="str">
        <f>IF(H3218&lt;0,"ERROR",IF(H3218=0,"",IF(H3218&lt;CONFIG!$B$4,"CRÍTICO",IF(H3218&lt;CONFIG!$B$5,"BAJO","OK"))))</f>
        <v/>
      </c>
    </row>
    <row r="3219" ht="15.75" customHeight="1">
      <c r="A3219" s="90" t="str">
        <f>IF(CLIENTES!A9="","",CLIENTES!A9)</f>
        <v/>
      </c>
      <c r="B3219" s="90" t="s">
        <v>333</v>
      </c>
      <c r="C3219" s="91" t="s">
        <v>334</v>
      </c>
      <c r="D3219" s="109" t="s">
        <v>353</v>
      </c>
      <c r="E3219" s="67" t="str">
        <f>COLORES!A15</f>
        <v>Plomo</v>
      </c>
      <c r="F3219" s="67" t="str">
        <f>COLORES!B15</f>
        <v>OSCURO</v>
      </c>
      <c r="G3219" s="90" t="s">
        <v>382</v>
      </c>
      <c r="H3219" s="100">
        <f>IFERROR(SUMIFS(MOVIMIENTOS_COMPLEMENTOS!$I$4:$I$803,MOVIMIENTOS_COMPLEMENTOS!$C$4:$C$803,A3219,MOVIMIENTOS_COMPLEMENTOS!$D$4:$D$803,B3219,MOVIMIENTOS_COMPLEMENTOS!$E$4:$E$803,C3219,MOVIMIENTOS_COMPLEMENTOS!$G$4:$G$803,E3219,MOVIMIENTOS_COMPLEMENTOS!$H$4:$H$803,G3219,MOVIMIENTOS_COMPLEMENTOS!$B$4:$B$803,"INGRESO")+SUMIFS(MOVIMIENTOS_COMPLEMENTOS!$I$4:$I$803,MOVIMIENTOS_COMPLEMENTOS!$C$4:$C$803,A3219,MOVIMIENTOS_COMPLEMENTOS!$D$4:$D$803,B3219,MOVIMIENTOS_COMPLEMENTOS!$E$4:$E$803,C3219,MOVIMIENTOS_COMPLEMENTOS!$G$4:$G$803,E3219,MOVIMIENTOS_COMPLEMENTOS!$H$4:$H$803,G3219,MOVIMIENTOS_COMPLEMENTOS!$B$4:$B$803,"DE CORTE")-SUMIFS(MOVIMIENTOS_COMPLEMENTOS!$I$4:$I$803,MOVIMIENTOS_COMPLEMENTOS!$C$4:$C$803,A3219,MOVIMIENTOS_COMPLEMENTOS!$D$4:$D$803,B3219,MOVIMIENTOS_COMPLEMENTOS!$E$4:$E$803,C3219,MOVIMIENTOS_COMPLEMENTOS!$G$4:$G$803,E3219,MOVIMIENTOS_COMPLEMENTOS!$H$4:$H$803,G3219,MOVIMIENTOS_COMPLEMENTOS!$B$4:$B$803,"SALIDA"),0)</f>
        <v>0</v>
      </c>
      <c r="I3219" s="102">
        <f t="array" ref="I3219">IFERROR(INDEX(PRECIOS_COMPLEMENTOS!$C$4:$F$17,MATCH(B3219&amp;"_"&amp;C3219,PRECIOS_COMPLEMENTOS!$H$4:$H$17,0),IF(OR(G3219="S",G3219="20cm"),1,IF(OR(G3219="M",G3219="25cm"),2,IF(OR(G3219="L",G3219="30cm"),3,IF(OR(G3219="XL",G3219="35cm"),4,0))))),0)</f>
        <v>0.45</v>
      </c>
      <c r="J3219" s="103">
        <f t="shared" si="1"/>
        <v>0</v>
      </c>
      <c r="K3219" s="104" t="str">
        <f>IF(H3219&lt;0,"ERROR",IF(H3219=0,"",IF(H3219&lt;CONFIG!$B$4,"CRÍTICO",IF(H3219&lt;CONFIG!$B$5,"BAJO","OK"))))</f>
        <v/>
      </c>
    </row>
    <row r="3220" ht="15.75" customHeight="1">
      <c r="A3220" s="90" t="str">
        <f>IF(CLIENTES!A9="","",CLIENTES!A9)</f>
        <v/>
      </c>
      <c r="B3220" s="90" t="s">
        <v>333</v>
      </c>
      <c r="C3220" s="91" t="s">
        <v>334</v>
      </c>
      <c r="D3220" s="109" t="s">
        <v>353</v>
      </c>
      <c r="E3220" s="67" t="str">
        <f>COLORES!A16</f>
        <v>Topo</v>
      </c>
      <c r="F3220" s="67" t="str">
        <f>COLORES!B16</f>
        <v>CLARO</v>
      </c>
      <c r="G3220" s="90" t="s">
        <v>380</v>
      </c>
      <c r="H3220" s="100">
        <f>IFERROR(SUMIFS(MOVIMIENTOS_COMPLEMENTOS!$I$4:$I$803,MOVIMIENTOS_COMPLEMENTOS!$C$4:$C$803,A3220,MOVIMIENTOS_COMPLEMENTOS!$D$4:$D$803,B3220,MOVIMIENTOS_COMPLEMENTOS!$E$4:$E$803,C3220,MOVIMIENTOS_COMPLEMENTOS!$G$4:$G$803,E3220,MOVIMIENTOS_COMPLEMENTOS!$H$4:$H$803,G3220,MOVIMIENTOS_COMPLEMENTOS!$B$4:$B$803,"INGRESO")+SUMIFS(MOVIMIENTOS_COMPLEMENTOS!$I$4:$I$803,MOVIMIENTOS_COMPLEMENTOS!$C$4:$C$803,A3220,MOVIMIENTOS_COMPLEMENTOS!$D$4:$D$803,B3220,MOVIMIENTOS_COMPLEMENTOS!$E$4:$E$803,C3220,MOVIMIENTOS_COMPLEMENTOS!$G$4:$G$803,E3220,MOVIMIENTOS_COMPLEMENTOS!$H$4:$H$803,G3220,MOVIMIENTOS_COMPLEMENTOS!$B$4:$B$803,"DE CORTE")-SUMIFS(MOVIMIENTOS_COMPLEMENTOS!$I$4:$I$803,MOVIMIENTOS_COMPLEMENTOS!$C$4:$C$803,A3220,MOVIMIENTOS_COMPLEMENTOS!$D$4:$D$803,B3220,MOVIMIENTOS_COMPLEMENTOS!$E$4:$E$803,C3220,MOVIMIENTOS_COMPLEMENTOS!$G$4:$G$803,E3220,MOVIMIENTOS_COMPLEMENTOS!$H$4:$H$803,G3220,MOVIMIENTOS_COMPLEMENTOS!$B$4:$B$803,"SALIDA"),0)</f>
        <v>0</v>
      </c>
      <c r="I3220" s="102">
        <f t="array" ref="I3220">IFERROR(INDEX(PRECIOS_COMPLEMENTOS!$C$4:$F$17,MATCH(B3220&amp;"_"&amp;C3220,PRECIOS_COMPLEMENTOS!$H$4:$H$17,0),IF(OR(G3220="S",G3220="20cm"),1,IF(OR(G3220="M",G3220="25cm"),2,IF(OR(G3220="L",G3220="30cm"),3,IF(OR(G3220="XL",G3220="35cm"),4,0))))),0)</f>
        <v>0.45</v>
      </c>
      <c r="J3220" s="103">
        <f t="shared" si="1"/>
        <v>0</v>
      </c>
      <c r="K3220" s="104" t="str">
        <f>IF(H3220&lt;0,"ERROR",IF(H3220=0,"",IF(H3220&lt;CONFIG!$B$4,"CRÍTICO",IF(H3220&lt;CONFIG!$B$5,"BAJO","OK"))))</f>
        <v/>
      </c>
    </row>
    <row r="3221" ht="15.75" customHeight="1">
      <c r="A3221" s="90" t="str">
        <f>IF(CLIENTES!A9="","",CLIENTES!A9)</f>
        <v/>
      </c>
      <c r="B3221" s="90" t="s">
        <v>333</v>
      </c>
      <c r="C3221" s="91" t="s">
        <v>334</v>
      </c>
      <c r="D3221" s="109" t="s">
        <v>353</v>
      </c>
      <c r="E3221" s="67" t="str">
        <f>COLORES!A16</f>
        <v>Topo</v>
      </c>
      <c r="F3221" s="67" t="str">
        <f>COLORES!B16</f>
        <v>CLARO</v>
      </c>
      <c r="G3221" s="90" t="s">
        <v>381</v>
      </c>
      <c r="H3221" s="100">
        <f>IFERROR(SUMIFS(MOVIMIENTOS_COMPLEMENTOS!$I$4:$I$803,MOVIMIENTOS_COMPLEMENTOS!$C$4:$C$803,A3221,MOVIMIENTOS_COMPLEMENTOS!$D$4:$D$803,B3221,MOVIMIENTOS_COMPLEMENTOS!$E$4:$E$803,C3221,MOVIMIENTOS_COMPLEMENTOS!$G$4:$G$803,E3221,MOVIMIENTOS_COMPLEMENTOS!$H$4:$H$803,G3221,MOVIMIENTOS_COMPLEMENTOS!$B$4:$B$803,"INGRESO")+SUMIFS(MOVIMIENTOS_COMPLEMENTOS!$I$4:$I$803,MOVIMIENTOS_COMPLEMENTOS!$C$4:$C$803,A3221,MOVIMIENTOS_COMPLEMENTOS!$D$4:$D$803,B3221,MOVIMIENTOS_COMPLEMENTOS!$E$4:$E$803,C3221,MOVIMIENTOS_COMPLEMENTOS!$G$4:$G$803,E3221,MOVIMIENTOS_COMPLEMENTOS!$H$4:$H$803,G3221,MOVIMIENTOS_COMPLEMENTOS!$B$4:$B$803,"DE CORTE")-SUMIFS(MOVIMIENTOS_COMPLEMENTOS!$I$4:$I$803,MOVIMIENTOS_COMPLEMENTOS!$C$4:$C$803,A3221,MOVIMIENTOS_COMPLEMENTOS!$D$4:$D$803,B3221,MOVIMIENTOS_COMPLEMENTOS!$E$4:$E$803,C3221,MOVIMIENTOS_COMPLEMENTOS!$G$4:$G$803,E3221,MOVIMIENTOS_COMPLEMENTOS!$H$4:$H$803,G3221,MOVIMIENTOS_COMPLEMENTOS!$B$4:$B$803,"SALIDA"),0)</f>
        <v>0</v>
      </c>
      <c r="I3221" s="102">
        <f t="array" ref="I3221">IFERROR(INDEX(PRECIOS_COMPLEMENTOS!$C$4:$F$17,MATCH(B3221&amp;"_"&amp;C3221,PRECIOS_COMPLEMENTOS!$H$4:$H$17,0),IF(OR(G3221="S",G3221="20cm"),1,IF(OR(G3221="M",G3221="25cm"),2,IF(OR(G3221="L",G3221="30cm"),3,IF(OR(G3221="XL",G3221="35cm"),4,0))))),0)</f>
        <v>0.45</v>
      </c>
      <c r="J3221" s="103">
        <f t="shared" si="1"/>
        <v>0</v>
      </c>
      <c r="K3221" s="104" t="str">
        <f>IF(H3221&lt;0,"ERROR",IF(H3221=0,"",IF(H3221&lt;CONFIG!$B$4,"CRÍTICO",IF(H3221&lt;CONFIG!$B$5,"BAJO","OK"))))</f>
        <v/>
      </c>
    </row>
    <row r="3222" ht="15.75" customHeight="1">
      <c r="A3222" s="90" t="str">
        <f>IF(CLIENTES!A9="","",CLIENTES!A9)</f>
        <v/>
      </c>
      <c r="B3222" s="90" t="s">
        <v>333</v>
      </c>
      <c r="C3222" s="91" t="s">
        <v>334</v>
      </c>
      <c r="D3222" s="109" t="s">
        <v>353</v>
      </c>
      <c r="E3222" s="67" t="str">
        <f>COLORES!A16</f>
        <v>Topo</v>
      </c>
      <c r="F3222" s="67" t="str">
        <f>COLORES!B16</f>
        <v>CLARO</v>
      </c>
      <c r="G3222" s="90" t="s">
        <v>382</v>
      </c>
      <c r="H3222" s="100">
        <f>IFERROR(SUMIFS(MOVIMIENTOS_COMPLEMENTOS!$I$4:$I$803,MOVIMIENTOS_COMPLEMENTOS!$C$4:$C$803,A3222,MOVIMIENTOS_COMPLEMENTOS!$D$4:$D$803,B3222,MOVIMIENTOS_COMPLEMENTOS!$E$4:$E$803,C3222,MOVIMIENTOS_COMPLEMENTOS!$G$4:$G$803,E3222,MOVIMIENTOS_COMPLEMENTOS!$H$4:$H$803,G3222,MOVIMIENTOS_COMPLEMENTOS!$B$4:$B$803,"INGRESO")+SUMIFS(MOVIMIENTOS_COMPLEMENTOS!$I$4:$I$803,MOVIMIENTOS_COMPLEMENTOS!$C$4:$C$803,A3222,MOVIMIENTOS_COMPLEMENTOS!$D$4:$D$803,B3222,MOVIMIENTOS_COMPLEMENTOS!$E$4:$E$803,C3222,MOVIMIENTOS_COMPLEMENTOS!$G$4:$G$803,E3222,MOVIMIENTOS_COMPLEMENTOS!$H$4:$H$803,G3222,MOVIMIENTOS_COMPLEMENTOS!$B$4:$B$803,"DE CORTE")-SUMIFS(MOVIMIENTOS_COMPLEMENTOS!$I$4:$I$803,MOVIMIENTOS_COMPLEMENTOS!$C$4:$C$803,A3222,MOVIMIENTOS_COMPLEMENTOS!$D$4:$D$803,B3222,MOVIMIENTOS_COMPLEMENTOS!$E$4:$E$803,C3222,MOVIMIENTOS_COMPLEMENTOS!$G$4:$G$803,E3222,MOVIMIENTOS_COMPLEMENTOS!$H$4:$H$803,G3222,MOVIMIENTOS_COMPLEMENTOS!$B$4:$B$803,"SALIDA"),0)</f>
        <v>0</v>
      </c>
      <c r="I3222" s="102">
        <f t="array" ref="I3222">IFERROR(INDEX(PRECIOS_COMPLEMENTOS!$C$4:$F$17,MATCH(B3222&amp;"_"&amp;C3222,PRECIOS_COMPLEMENTOS!$H$4:$H$17,0),IF(OR(G3222="S",G3222="20cm"),1,IF(OR(G3222="M",G3222="25cm"),2,IF(OR(G3222="L",G3222="30cm"),3,IF(OR(G3222="XL",G3222="35cm"),4,0))))),0)</f>
        <v>0.45</v>
      </c>
      <c r="J3222" s="103">
        <f t="shared" si="1"/>
        <v>0</v>
      </c>
      <c r="K3222" s="104" t="str">
        <f>IF(H3222&lt;0,"ERROR",IF(H3222=0,"",IF(H3222&lt;CONFIG!$B$4,"CRÍTICO",IF(H3222&lt;CONFIG!$B$5,"BAJO","OK"))))</f>
        <v/>
      </c>
    </row>
    <row r="3223" ht="15.75" customHeight="1">
      <c r="A3223" s="90" t="str">
        <f>IF(CLIENTES!A9="","",CLIENTES!A9)</f>
        <v/>
      </c>
      <c r="B3223" s="90" t="s">
        <v>333</v>
      </c>
      <c r="C3223" s="91" t="s">
        <v>334</v>
      </c>
      <c r="D3223" s="109" t="s">
        <v>353</v>
      </c>
      <c r="E3223" s="67" t="str">
        <f>COLORES!A17</f>
        <v>Vino</v>
      </c>
      <c r="F3223" s="67" t="str">
        <f>COLORES!B17</f>
        <v>OSCURO</v>
      </c>
      <c r="G3223" s="90" t="s">
        <v>380</v>
      </c>
      <c r="H3223" s="100">
        <f>IFERROR(SUMIFS(MOVIMIENTOS_COMPLEMENTOS!$I$4:$I$803,MOVIMIENTOS_COMPLEMENTOS!$C$4:$C$803,A3223,MOVIMIENTOS_COMPLEMENTOS!$D$4:$D$803,B3223,MOVIMIENTOS_COMPLEMENTOS!$E$4:$E$803,C3223,MOVIMIENTOS_COMPLEMENTOS!$G$4:$G$803,E3223,MOVIMIENTOS_COMPLEMENTOS!$H$4:$H$803,G3223,MOVIMIENTOS_COMPLEMENTOS!$B$4:$B$803,"INGRESO")+SUMIFS(MOVIMIENTOS_COMPLEMENTOS!$I$4:$I$803,MOVIMIENTOS_COMPLEMENTOS!$C$4:$C$803,A3223,MOVIMIENTOS_COMPLEMENTOS!$D$4:$D$803,B3223,MOVIMIENTOS_COMPLEMENTOS!$E$4:$E$803,C3223,MOVIMIENTOS_COMPLEMENTOS!$G$4:$G$803,E3223,MOVIMIENTOS_COMPLEMENTOS!$H$4:$H$803,G3223,MOVIMIENTOS_COMPLEMENTOS!$B$4:$B$803,"DE CORTE")-SUMIFS(MOVIMIENTOS_COMPLEMENTOS!$I$4:$I$803,MOVIMIENTOS_COMPLEMENTOS!$C$4:$C$803,A3223,MOVIMIENTOS_COMPLEMENTOS!$D$4:$D$803,B3223,MOVIMIENTOS_COMPLEMENTOS!$E$4:$E$803,C3223,MOVIMIENTOS_COMPLEMENTOS!$G$4:$G$803,E3223,MOVIMIENTOS_COMPLEMENTOS!$H$4:$H$803,G3223,MOVIMIENTOS_COMPLEMENTOS!$B$4:$B$803,"SALIDA"),0)</f>
        <v>0</v>
      </c>
      <c r="I3223" s="102">
        <f t="array" ref="I3223">IFERROR(INDEX(PRECIOS_COMPLEMENTOS!$C$4:$F$17,MATCH(B3223&amp;"_"&amp;C3223,PRECIOS_COMPLEMENTOS!$H$4:$H$17,0),IF(OR(G3223="S",G3223="20cm"),1,IF(OR(G3223="M",G3223="25cm"),2,IF(OR(G3223="L",G3223="30cm"),3,IF(OR(G3223="XL",G3223="35cm"),4,0))))),0)</f>
        <v>0.45</v>
      </c>
      <c r="J3223" s="103">
        <f t="shared" si="1"/>
        <v>0</v>
      </c>
      <c r="K3223" s="104" t="str">
        <f>IF(H3223&lt;0,"ERROR",IF(H3223=0,"",IF(H3223&lt;CONFIG!$B$4,"CRÍTICO",IF(H3223&lt;CONFIG!$B$5,"BAJO","OK"))))</f>
        <v/>
      </c>
    </row>
    <row r="3224" ht="15.75" customHeight="1">
      <c r="A3224" s="90" t="str">
        <f>IF(CLIENTES!A9="","",CLIENTES!A9)</f>
        <v/>
      </c>
      <c r="B3224" s="90" t="s">
        <v>333</v>
      </c>
      <c r="C3224" s="91" t="s">
        <v>334</v>
      </c>
      <c r="D3224" s="109" t="s">
        <v>353</v>
      </c>
      <c r="E3224" s="67" t="str">
        <f>COLORES!A17</f>
        <v>Vino</v>
      </c>
      <c r="F3224" s="67" t="str">
        <f>COLORES!B17</f>
        <v>OSCURO</v>
      </c>
      <c r="G3224" s="90" t="s">
        <v>381</v>
      </c>
      <c r="H3224" s="100">
        <f>IFERROR(SUMIFS(MOVIMIENTOS_COMPLEMENTOS!$I$4:$I$803,MOVIMIENTOS_COMPLEMENTOS!$C$4:$C$803,A3224,MOVIMIENTOS_COMPLEMENTOS!$D$4:$D$803,B3224,MOVIMIENTOS_COMPLEMENTOS!$E$4:$E$803,C3224,MOVIMIENTOS_COMPLEMENTOS!$G$4:$G$803,E3224,MOVIMIENTOS_COMPLEMENTOS!$H$4:$H$803,G3224,MOVIMIENTOS_COMPLEMENTOS!$B$4:$B$803,"INGRESO")+SUMIFS(MOVIMIENTOS_COMPLEMENTOS!$I$4:$I$803,MOVIMIENTOS_COMPLEMENTOS!$C$4:$C$803,A3224,MOVIMIENTOS_COMPLEMENTOS!$D$4:$D$803,B3224,MOVIMIENTOS_COMPLEMENTOS!$E$4:$E$803,C3224,MOVIMIENTOS_COMPLEMENTOS!$G$4:$G$803,E3224,MOVIMIENTOS_COMPLEMENTOS!$H$4:$H$803,G3224,MOVIMIENTOS_COMPLEMENTOS!$B$4:$B$803,"DE CORTE")-SUMIFS(MOVIMIENTOS_COMPLEMENTOS!$I$4:$I$803,MOVIMIENTOS_COMPLEMENTOS!$C$4:$C$803,A3224,MOVIMIENTOS_COMPLEMENTOS!$D$4:$D$803,B3224,MOVIMIENTOS_COMPLEMENTOS!$E$4:$E$803,C3224,MOVIMIENTOS_COMPLEMENTOS!$G$4:$G$803,E3224,MOVIMIENTOS_COMPLEMENTOS!$H$4:$H$803,G3224,MOVIMIENTOS_COMPLEMENTOS!$B$4:$B$803,"SALIDA"),0)</f>
        <v>0</v>
      </c>
      <c r="I3224" s="102">
        <f t="array" ref="I3224">IFERROR(INDEX(PRECIOS_COMPLEMENTOS!$C$4:$F$17,MATCH(B3224&amp;"_"&amp;C3224,PRECIOS_COMPLEMENTOS!$H$4:$H$17,0),IF(OR(G3224="S",G3224="20cm"),1,IF(OR(G3224="M",G3224="25cm"),2,IF(OR(G3224="L",G3224="30cm"),3,IF(OR(G3224="XL",G3224="35cm"),4,0))))),0)</f>
        <v>0.45</v>
      </c>
      <c r="J3224" s="103">
        <f t="shared" si="1"/>
        <v>0</v>
      </c>
      <c r="K3224" s="104" t="str">
        <f>IF(H3224&lt;0,"ERROR",IF(H3224=0,"",IF(H3224&lt;CONFIG!$B$4,"CRÍTICO",IF(H3224&lt;CONFIG!$B$5,"BAJO","OK"))))</f>
        <v/>
      </c>
    </row>
    <row r="3225" ht="15.75" customHeight="1">
      <c r="A3225" s="90" t="str">
        <f>IF(CLIENTES!A9="","",CLIENTES!A9)</f>
        <v/>
      </c>
      <c r="B3225" s="90" t="s">
        <v>333</v>
      </c>
      <c r="C3225" s="91" t="s">
        <v>334</v>
      </c>
      <c r="D3225" s="109" t="s">
        <v>353</v>
      </c>
      <c r="E3225" s="67" t="str">
        <f>COLORES!A17</f>
        <v>Vino</v>
      </c>
      <c r="F3225" s="67" t="str">
        <f>COLORES!B17</f>
        <v>OSCURO</v>
      </c>
      <c r="G3225" s="90" t="s">
        <v>382</v>
      </c>
      <c r="H3225" s="100">
        <f>IFERROR(SUMIFS(MOVIMIENTOS_COMPLEMENTOS!$I$4:$I$803,MOVIMIENTOS_COMPLEMENTOS!$C$4:$C$803,A3225,MOVIMIENTOS_COMPLEMENTOS!$D$4:$D$803,B3225,MOVIMIENTOS_COMPLEMENTOS!$E$4:$E$803,C3225,MOVIMIENTOS_COMPLEMENTOS!$G$4:$G$803,E3225,MOVIMIENTOS_COMPLEMENTOS!$H$4:$H$803,G3225,MOVIMIENTOS_COMPLEMENTOS!$B$4:$B$803,"INGRESO")+SUMIFS(MOVIMIENTOS_COMPLEMENTOS!$I$4:$I$803,MOVIMIENTOS_COMPLEMENTOS!$C$4:$C$803,A3225,MOVIMIENTOS_COMPLEMENTOS!$D$4:$D$803,B3225,MOVIMIENTOS_COMPLEMENTOS!$E$4:$E$803,C3225,MOVIMIENTOS_COMPLEMENTOS!$G$4:$G$803,E3225,MOVIMIENTOS_COMPLEMENTOS!$H$4:$H$803,G3225,MOVIMIENTOS_COMPLEMENTOS!$B$4:$B$803,"DE CORTE")-SUMIFS(MOVIMIENTOS_COMPLEMENTOS!$I$4:$I$803,MOVIMIENTOS_COMPLEMENTOS!$C$4:$C$803,A3225,MOVIMIENTOS_COMPLEMENTOS!$D$4:$D$803,B3225,MOVIMIENTOS_COMPLEMENTOS!$E$4:$E$803,C3225,MOVIMIENTOS_COMPLEMENTOS!$G$4:$G$803,E3225,MOVIMIENTOS_COMPLEMENTOS!$H$4:$H$803,G3225,MOVIMIENTOS_COMPLEMENTOS!$B$4:$B$803,"SALIDA"),0)</f>
        <v>0</v>
      </c>
      <c r="I3225" s="102">
        <f t="array" ref="I3225">IFERROR(INDEX(PRECIOS_COMPLEMENTOS!$C$4:$F$17,MATCH(B3225&amp;"_"&amp;C3225,PRECIOS_COMPLEMENTOS!$H$4:$H$17,0),IF(OR(G3225="S",G3225="20cm"),1,IF(OR(G3225="M",G3225="25cm"),2,IF(OR(G3225="L",G3225="30cm"),3,IF(OR(G3225="XL",G3225="35cm"),4,0))))),0)</f>
        <v>0.45</v>
      </c>
      <c r="J3225" s="103">
        <f t="shared" si="1"/>
        <v>0</v>
      </c>
      <c r="K3225" s="104" t="str">
        <f>IF(H3225&lt;0,"ERROR",IF(H3225=0,"",IF(H3225&lt;CONFIG!$B$4,"CRÍTICO",IF(H3225&lt;CONFIG!$B$5,"BAJO","OK"))))</f>
        <v/>
      </c>
    </row>
    <row r="3226" ht="15.75" customHeight="1">
      <c r="A3226" s="90" t="str">
        <f>IF(CLIENTES!A9="","",CLIENTES!A9)</f>
        <v/>
      </c>
      <c r="B3226" s="90" t="s">
        <v>333</v>
      </c>
      <c r="C3226" s="91" t="s">
        <v>334</v>
      </c>
      <c r="D3226" s="109" t="s">
        <v>353</v>
      </c>
      <c r="E3226" s="67" t="str">
        <f>COLORES!A18</f>
        <v>P. Rosa</v>
      </c>
      <c r="F3226" s="67" t="str">
        <f>COLORES!B18</f>
        <v>CLARO</v>
      </c>
      <c r="G3226" s="90" t="s">
        <v>380</v>
      </c>
      <c r="H3226" s="100">
        <f>IFERROR(SUMIFS(MOVIMIENTOS_COMPLEMENTOS!$I$4:$I$803,MOVIMIENTOS_COMPLEMENTOS!$C$4:$C$803,A3226,MOVIMIENTOS_COMPLEMENTOS!$D$4:$D$803,B3226,MOVIMIENTOS_COMPLEMENTOS!$E$4:$E$803,C3226,MOVIMIENTOS_COMPLEMENTOS!$G$4:$G$803,E3226,MOVIMIENTOS_COMPLEMENTOS!$H$4:$H$803,G3226,MOVIMIENTOS_COMPLEMENTOS!$B$4:$B$803,"INGRESO")+SUMIFS(MOVIMIENTOS_COMPLEMENTOS!$I$4:$I$803,MOVIMIENTOS_COMPLEMENTOS!$C$4:$C$803,A3226,MOVIMIENTOS_COMPLEMENTOS!$D$4:$D$803,B3226,MOVIMIENTOS_COMPLEMENTOS!$E$4:$E$803,C3226,MOVIMIENTOS_COMPLEMENTOS!$G$4:$G$803,E3226,MOVIMIENTOS_COMPLEMENTOS!$H$4:$H$803,G3226,MOVIMIENTOS_COMPLEMENTOS!$B$4:$B$803,"DE CORTE")-SUMIFS(MOVIMIENTOS_COMPLEMENTOS!$I$4:$I$803,MOVIMIENTOS_COMPLEMENTOS!$C$4:$C$803,A3226,MOVIMIENTOS_COMPLEMENTOS!$D$4:$D$803,B3226,MOVIMIENTOS_COMPLEMENTOS!$E$4:$E$803,C3226,MOVIMIENTOS_COMPLEMENTOS!$G$4:$G$803,E3226,MOVIMIENTOS_COMPLEMENTOS!$H$4:$H$803,G3226,MOVIMIENTOS_COMPLEMENTOS!$B$4:$B$803,"SALIDA"),0)</f>
        <v>0</v>
      </c>
      <c r="I3226" s="102">
        <f t="array" ref="I3226">IFERROR(INDEX(PRECIOS_COMPLEMENTOS!$C$4:$F$17,MATCH(B3226&amp;"_"&amp;C3226,PRECIOS_COMPLEMENTOS!$H$4:$H$17,0),IF(OR(G3226="S",G3226="20cm"),1,IF(OR(G3226="M",G3226="25cm"),2,IF(OR(G3226="L",G3226="30cm"),3,IF(OR(G3226="XL",G3226="35cm"),4,0))))),0)</f>
        <v>0.45</v>
      </c>
      <c r="J3226" s="103">
        <f t="shared" si="1"/>
        <v>0</v>
      </c>
      <c r="K3226" s="104" t="str">
        <f>IF(H3226&lt;0,"ERROR",IF(H3226=0,"",IF(H3226&lt;CONFIG!$B$4,"CRÍTICO",IF(H3226&lt;CONFIG!$B$5,"BAJO","OK"))))</f>
        <v/>
      </c>
    </row>
    <row r="3227" ht="15.75" customHeight="1">
      <c r="A3227" s="90" t="str">
        <f>IF(CLIENTES!A9="","",CLIENTES!A9)</f>
        <v/>
      </c>
      <c r="B3227" s="90" t="s">
        <v>333</v>
      </c>
      <c r="C3227" s="91" t="s">
        <v>334</v>
      </c>
      <c r="D3227" s="109" t="s">
        <v>353</v>
      </c>
      <c r="E3227" s="67" t="str">
        <f>COLORES!A18</f>
        <v>P. Rosa</v>
      </c>
      <c r="F3227" s="67" t="str">
        <f>COLORES!B18</f>
        <v>CLARO</v>
      </c>
      <c r="G3227" s="90" t="s">
        <v>381</v>
      </c>
      <c r="H3227" s="100">
        <f>IFERROR(SUMIFS(MOVIMIENTOS_COMPLEMENTOS!$I$4:$I$803,MOVIMIENTOS_COMPLEMENTOS!$C$4:$C$803,A3227,MOVIMIENTOS_COMPLEMENTOS!$D$4:$D$803,B3227,MOVIMIENTOS_COMPLEMENTOS!$E$4:$E$803,C3227,MOVIMIENTOS_COMPLEMENTOS!$G$4:$G$803,E3227,MOVIMIENTOS_COMPLEMENTOS!$H$4:$H$803,G3227,MOVIMIENTOS_COMPLEMENTOS!$B$4:$B$803,"INGRESO")+SUMIFS(MOVIMIENTOS_COMPLEMENTOS!$I$4:$I$803,MOVIMIENTOS_COMPLEMENTOS!$C$4:$C$803,A3227,MOVIMIENTOS_COMPLEMENTOS!$D$4:$D$803,B3227,MOVIMIENTOS_COMPLEMENTOS!$E$4:$E$803,C3227,MOVIMIENTOS_COMPLEMENTOS!$G$4:$G$803,E3227,MOVIMIENTOS_COMPLEMENTOS!$H$4:$H$803,G3227,MOVIMIENTOS_COMPLEMENTOS!$B$4:$B$803,"DE CORTE")-SUMIFS(MOVIMIENTOS_COMPLEMENTOS!$I$4:$I$803,MOVIMIENTOS_COMPLEMENTOS!$C$4:$C$803,A3227,MOVIMIENTOS_COMPLEMENTOS!$D$4:$D$803,B3227,MOVIMIENTOS_COMPLEMENTOS!$E$4:$E$803,C3227,MOVIMIENTOS_COMPLEMENTOS!$G$4:$G$803,E3227,MOVIMIENTOS_COMPLEMENTOS!$H$4:$H$803,G3227,MOVIMIENTOS_COMPLEMENTOS!$B$4:$B$803,"SALIDA"),0)</f>
        <v>0</v>
      </c>
      <c r="I3227" s="102">
        <f t="array" ref="I3227">IFERROR(INDEX(PRECIOS_COMPLEMENTOS!$C$4:$F$17,MATCH(B3227&amp;"_"&amp;C3227,PRECIOS_COMPLEMENTOS!$H$4:$H$17,0),IF(OR(G3227="S",G3227="20cm"),1,IF(OR(G3227="M",G3227="25cm"),2,IF(OR(G3227="L",G3227="30cm"),3,IF(OR(G3227="XL",G3227="35cm"),4,0))))),0)</f>
        <v>0.45</v>
      </c>
      <c r="J3227" s="103">
        <f t="shared" si="1"/>
        <v>0</v>
      </c>
      <c r="K3227" s="104" t="str">
        <f>IF(H3227&lt;0,"ERROR",IF(H3227=0,"",IF(H3227&lt;CONFIG!$B$4,"CRÍTICO",IF(H3227&lt;CONFIG!$B$5,"BAJO","OK"))))</f>
        <v/>
      </c>
    </row>
    <row r="3228" ht="15.75" customHeight="1">
      <c r="A3228" s="90" t="str">
        <f>IF(CLIENTES!A9="","",CLIENTES!A9)</f>
        <v/>
      </c>
      <c r="B3228" s="90" t="s">
        <v>333</v>
      </c>
      <c r="C3228" s="91" t="s">
        <v>334</v>
      </c>
      <c r="D3228" s="109" t="s">
        <v>353</v>
      </c>
      <c r="E3228" s="67" t="str">
        <f>COLORES!A18</f>
        <v>P. Rosa</v>
      </c>
      <c r="F3228" s="67" t="str">
        <f>COLORES!B18</f>
        <v>CLARO</v>
      </c>
      <c r="G3228" s="90" t="s">
        <v>382</v>
      </c>
      <c r="H3228" s="100">
        <f>IFERROR(SUMIFS(MOVIMIENTOS_COMPLEMENTOS!$I$4:$I$803,MOVIMIENTOS_COMPLEMENTOS!$C$4:$C$803,A3228,MOVIMIENTOS_COMPLEMENTOS!$D$4:$D$803,B3228,MOVIMIENTOS_COMPLEMENTOS!$E$4:$E$803,C3228,MOVIMIENTOS_COMPLEMENTOS!$G$4:$G$803,E3228,MOVIMIENTOS_COMPLEMENTOS!$H$4:$H$803,G3228,MOVIMIENTOS_COMPLEMENTOS!$B$4:$B$803,"INGRESO")+SUMIFS(MOVIMIENTOS_COMPLEMENTOS!$I$4:$I$803,MOVIMIENTOS_COMPLEMENTOS!$C$4:$C$803,A3228,MOVIMIENTOS_COMPLEMENTOS!$D$4:$D$803,B3228,MOVIMIENTOS_COMPLEMENTOS!$E$4:$E$803,C3228,MOVIMIENTOS_COMPLEMENTOS!$G$4:$G$803,E3228,MOVIMIENTOS_COMPLEMENTOS!$H$4:$H$803,G3228,MOVIMIENTOS_COMPLEMENTOS!$B$4:$B$803,"DE CORTE")-SUMIFS(MOVIMIENTOS_COMPLEMENTOS!$I$4:$I$803,MOVIMIENTOS_COMPLEMENTOS!$C$4:$C$803,A3228,MOVIMIENTOS_COMPLEMENTOS!$D$4:$D$803,B3228,MOVIMIENTOS_COMPLEMENTOS!$E$4:$E$803,C3228,MOVIMIENTOS_COMPLEMENTOS!$G$4:$G$803,E3228,MOVIMIENTOS_COMPLEMENTOS!$H$4:$H$803,G3228,MOVIMIENTOS_COMPLEMENTOS!$B$4:$B$803,"SALIDA"),0)</f>
        <v>0</v>
      </c>
      <c r="I3228" s="102">
        <f t="array" ref="I3228">IFERROR(INDEX(PRECIOS_COMPLEMENTOS!$C$4:$F$17,MATCH(B3228&amp;"_"&amp;C3228,PRECIOS_COMPLEMENTOS!$H$4:$H$17,0),IF(OR(G3228="S",G3228="20cm"),1,IF(OR(G3228="M",G3228="25cm"),2,IF(OR(G3228="L",G3228="30cm"),3,IF(OR(G3228="XL",G3228="35cm"),4,0))))),0)</f>
        <v>0.45</v>
      </c>
      <c r="J3228" s="103">
        <f t="shared" si="1"/>
        <v>0</v>
      </c>
      <c r="K3228" s="104" t="str">
        <f>IF(H3228&lt;0,"ERROR",IF(H3228=0,"",IF(H3228&lt;CONFIG!$B$4,"CRÍTICO",IF(H3228&lt;CONFIG!$B$5,"BAJO","OK"))))</f>
        <v/>
      </c>
    </row>
    <row r="3229" ht="15.75" customHeight="1">
      <c r="A3229" s="90" t="str">
        <f>IF(CLIENTES!A9="","",CLIENTES!A9)</f>
        <v/>
      </c>
      <c r="B3229" s="90" t="s">
        <v>333</v>
      </c>
      <c r="C3229" s="91" t="s">
        <v>334</v>
      </c>
      <c r="D3229" s="109" t="s">
        <v>353</v>
      </c>
      <c r="E3229" s="67" t="str">
        <f>COLORES!A19</f>
        <v/>
      </c>
      <c r="F3229" s="67" t="str">
        <f>COLORES!B19</f>
        <v/>
      </c>
      <c r="G3229" s="90" t="s">
        <v>380</v>
      </c>
      <c r="H3229" s="100">
        <f>IFERROR(SUMIFS(MOVIMIENTOS_COMPLEMENTOS!$I$4:$I$803,MOVIMIENTOS_COMPLEMENTOS!$C$4:$C$803,A3229,MOVIMIENTOS_COMPLEMENTOS!$D$4:$D$803,B3229,MOVIMIENTOS_COMPLEMENTOS!$E$4:$E$803,C3229,MOVIMIENTOS_COMPLEMENTOS!$G$4:$G$803,E3229,MOVIMIENTOS_COMPLEMENTOS!$H$4:$H$803,G3229,MOVIMIENTOS_COMPLEMENTOS!$B$4:$B$803,"INGRESO")+SUMIFS(MOVIMIENTOS_COMPLEMENTOS!$I$4:$I$803,MOVIMIENTOS_COMPLEMENTOS!$C$4:$C$803,A3229,MOVIMIENTOS_COMPLEMENTOS!$D$4:$D$803,B3229,MOVIMIENTOS_COMPLEMENTOS!$E$4:$E$803,C3229,MOVIMIENTOS_COMPLEMENTOS!$G$4:$G$803,E3229,MOVIMIENTOS_COMPLEMENTOS!$H$4:$H$803,G3229,MOVIMIENTOS_COMPLEMENTOS!$B$4:$B$803,"DE CORTE")-SUMIFS(MOVIMIENTOS_COMPLEMENTOS!$I$4:$I$803,MOVIMIENTOS_COMPLEMENTOS!$C$4:$C$803,A3229,MOVIMIENTOS_COMPLEMENTOS!$D$4:$D$803,B3229,MOVIMIENTOS_COMPLEMENTOS!$E$4:$E$803,C3229,MOVIMIENTOS_COMPLEMENTOS!$G$4:$G$803,E3229,MOVIMIENTOS_COMPLEMENTOS!$H$4:$H$803,G3229,MOVIMIENTOS_COMPLEMENTOS!$B$4:$B$803,"SALIDA"),0)</f>
        <v>0</v>
      </c>
      <c r="I3229" s="102">
        <f t="array" ref="I3229">IFERROR(INDEX(PRECIOS_COMPLEMENTOS!$C$4:$F$17,MATCH(B3229&amp;"_"&amp;C3229,PRECIOS_COMPLEMENTOS!$H$4:$H$17,0),IF(OR(G3229="S",G3229="20cm"),1,IF(OR(G3229="M",G3229="25cm"),2,IF(OR(G3229="L",G3229="30cm"),3,IF(OR(G3229="XL",G3229="35cm"),4,0))))),0)</f>
        <v>0.45</v>
      </c>
      <c r="J3229" s="103">
        <f t="shared" si="1"/>
        <v>0</v>
      </c>
      <c r="K3229" s="104" t="str">
        <f>IF(H3229&lt;0,"ERROR",IF(H3229=0,"",IF(H3229&lt;CONFIG!$B$4,"CRÍTICO",IF(H3229&lt;CONFIG!$B$5,"BAJO","OK"))))</f>
        <v/>
      </c>
    </row>
    <row r="3230" ht="15.75" customHeight="1">
      <c r="A3230" s="90" t="str">
        <f>IF(CLIENTES!A9="","",CLIENTES!A9)</f>
        <v/>
      </c>
      <c r="B3230" s="90" t="s">
        <v>333</v>
      </c>
      <c r="C3230" s="91" t="s">
        <v>334</v>
      </c>
      <c r="D3230" s="109" t="s">
        <v>353</v>
      </c>
      <c r="E3230" s="67" t="str">
        <f>COLORES!A19</f>
        <v/>
      </c>
      <c r="F3230" s="67" t="str">
        <f>COLORES!B19</f>
        <v/>
      </c>
      <c r="G3230" s="90" t="s">
        <v>381</v>
      </c>
      <c r="H3230" s="100">
        <f>IFERROR(SUMIFS(MOVIMIENTOS_COMPLEMENTOS!$I$4:$I$803,MOVIMIENTOS_COMPLEMENTOS!$C$4:$C$803,A3230,MOVIMIENTOS_COMPLEMENTOS!$D$4:$D$803,B3230,MOVIMIENTOS_COMPLEMENTOS!$E$4:$E$803,C3230,MOVIMIENTOS_COMPLEMENTOS!$G$4:$G$803,E3230,MOVIMIENTOS_COMPLEMENTOS!$H$4:$H$803,G3230,MOVIMIENTOS_COMPLEMENTOS!$B$4:$B$803,"INGRESO")+SUMIFS(MOVIMIENTOS_COMPLEMENTOS!$I$4:$I$803,MOVIMIENTOS_COMPLEMENTOS!$C$4:$C$803,A3230,MOVIMIENTOS_COMPLEMENTOS!$D$4:$D$803,B3230,MOVIMIENTOS_COMPLEMENTOS!$E$4:$E$803,C3230,MOVIMIENTOS_COMPLEMENTOS!$G$4:$G$803,E3230,MOVIMIENTOS_COMPLEMENTOS!$H$4:$H$803,G3230,MOVIMIENTOS_COMPLEMENTOS!$B$4:$B$803,"DE CORTE")-SUMIFS(MOVIMIENTOS_COMPLEMENTOS!$I$4:$I$803,MOVIMIENTOS_COMPLEMENTOS!$C$4:$C$803,A3230,MOVIMIENTOS_COMPLEMENTOS!$D$4:$D$803,B3230,MOVIMIENTOS_COMPLEMENTOS!$E$4:$E$803,C3230,MOVIMIENTOS_COMPLEMENTOS!$G$4:$G$803,E3230,MOVIMIENTOS_COMPLEMENTOS!$H$4:$H$803,G3230,MOVIMIENTOS_COMPLEMENTOS!$B$4:$B$803,"SALIDA"),0)</f>
        <v>0</v>
      </c>
      <c r="I3230" s="102">
        <f t="array" ref="I3230">IFERROR(INDEX(PRECIOS_COMPLEMENTOS!$C$4:$F$17,MATCH(B3230&amp;"_"&amp;C3230,PRECIOS_COMPLEMENTOS!$H$4:$H$17,0),IF(OR(G3230="S",G3230="20cm"),1,IF(OR(G3230="M",G3230="25cm"),2,IF(OR(G3230="L",G3230="30cm"),3,IF(OR(G3230="XL",G3230="35cm"),4,0))))),0)</f>
        <v>0.45</v>
      </c>
      <c r="J3230" s="103">
        <f t="shared" si="1"/>
        <v>0</v>
      </c>
      <c r="K3230" s="104" t="str">
        <f>IF(H3230&lt;0,"ERROR",IF(H3230=0,"",IF(H3230&lt;CONFIG!$B$4,"CRÍTICO",IF(H3230&lt;CONFIG!$B$5,"BAJO","OK"))))</f>
        <v/>
      </c>
    </row>
    <row r="3231" ht="15.75" customHeight="1">
      <c r="A3231" s="90" t="str">
        <f>IF(CLIENTES!A9="","",CLIENTES!A9)</f>
        <v/>
      </c>
      <c r="B3231" s="90" t="s">
        <v>333</v>
      </c>
      <c r="C3231" s="91" t="s">
        <v>334</v>
      </c>
      <c r="D3231" s="109" t="s">
        <v>353</v>
      </c>
      <c r="E3231" s="67" t="str">
        <f>COLORES!A19</f>
        <v/>
      </c>
      <c r="F3231" s="67" t="str">
        <f>COLORES!B19</f>
        <v/>
      </c>
      <c r="G3231" s="90" t="s">
        <v>382</v>
      </c>
      <c r="H3231" s="100">
        <f>IFERROR(SUMIFS(MOVIMIENTOS_COMPLEMENTOS!$I$4:$I$803,MOVIMIENTOS_COMPLEMENTOS!$C$4:$C$803,A3231,MOVIMIENTOS_COMPLEMENTOS!$D$4:$D$803,B3231,MOVIMIENTOS_COMPLEMENTOS!$E$4:$E$803,C3231,MOVIMIENTOS_COMPLEMENTOS!$G$4:$G$803,E3231,MOVIMIENTOS_COMPLEMENTOS!$H$4:$H$803,G3231,MOVIMIENTOS_COMPLEMENTOS!$B$4:$B$803,"INGRESO")+SUMIFS(MOVIMIENTOS_COMPLEMENTOS!$I$4:$I$803,MOVIMIENTOS_COMPLEMENTOS!$C$4:$C$803,A3231,MOVIMIENTOS_COMPLEMENTOS!$D$4:$D$803,B3231,MOVIMIENTOS_COMPLEMENTOS!$E$4:$E$803,C3231,MOVIMIENTOS_COMPLEMENTOS!$G$4:$G$803,E3231,MOVIMIENTOS_COMPLEMENTOS!$H$4:$H$803,G3231,MOVIMIENTOS_COMPLEMENTOS!$B$4:$B$803,"DE CORTE")-SUMIFS(MOVIMIENTOS_COMPLEMENTOS!$I$4:$I$803,MOVIMIENTOS_COMPLEMENTOS!$C$4:$C$803,A3231,MOVIMIENTOS_COMPLEMENTOS!$D$4:$D$803,B3231,MOVIMIENTOS_COMPLEMENTOS!$E$4:$E$803,C3231,MOVIMIENTOS_COMPLEMENTOS!$G$4:$G$803,E3231,MOVIMIENTOS_COMPLEMENTOS!$H$4:$H$803,G3231,MOVIMIENTOS_COMPLEMENTOS!$B$4:$B$803,"SALIDA"),0)</f>
        <v>0</v>
      </c>
      <c r="I3231" s="102">
        <f t="array" ref="I3231">IFERROR(INDEX(PRECIOS_COMPLEMENTOS!$C$4:$F$17,MATCH(B3231&amp;"_"&amp;C3231,PRECIOS_COMPLEMENTOS!$H$4:$H$17,0),IF(OR(G3231="S",G3231="20cm"),1,IF(OR(G3231="M",G3231="25cm"),2,IF(OR(G3231="L",G3231="30cm"),3,IF(OR(G3231="XL",G3231="35cm"),4,0))))),0)</f>
        <v>0.45</v>
      </c>
      <c r="J3231" s="103">
        <f t="shared" si="1"/>
        <v>0</v>
      </c>
      <c r="K3231" s="104" t="str">
        <f>IF(H3231&lt;0,"ERROR",IF(H3231=0,"",IF(H3231&lt;CONFIG!$B$4,"CRÍTICO",IF(H3231&lt;CONFIG!$B$5,"BAJO","OK"))))</f>
        <v/>
      </c>
    </row>
    <row r="3232" ht="15.75" customHeight="1">
      <c r="A3232" s="90" t="str">
        <f>IF(CLIENTES!A9="","",CLIENTES!A9)</f>
        <v/>
      </c>
      <c r="B3232" s="90" t="s">
        <v>333</v>
      </c>
      <c r="C3232" s="91" t="s">
        <v>334</v>
      </c>
      <c r="D3232" s="109" t="s">
        <v>353</v>
      </c>
      <c r="E3232" s="67" t="str">
        <f>COLORES!A20</f>
        <v/>
      </c>
      <c r="F3232" s="67" t="str">
        <f>COLORES!B20</f>
        <v/>
      </c>
      <c r="G3232" s="90" t="s">
        <v>380</v>
      </c>
      <c r="H3232" s="100">
        <f>IFERROR(SUMIFS(MOVIMIENTOS_COMPLEMENTOS!$I$4:$I$803,MOVIMIENTOS_COMPLEMENTOS!$C$4:$C$803,A3232,MOVIMIENTOS_COMPLEMENTOS!$D$4:$D$803,B3232,MOVIMIENTOS_COMPLEMENTOS!$E$4:$E$803,C3232,MOVIMIENTOS_COMPLEMENTOS!$G$4:$G$803,E3232,MOVIMIENTOS_COMPLEMENTOS!$H$4:$H$803,G3232,MOVIMIENTOS_COMPLEMENTOS!$B$4:$B$803,"INGRESO")+SUMIFS(MOVIMIENTOS_COMPLEMENTOS!$I$4:$I$803,MOVIMIENTOS_COMPLEMENTOS!$C$4:$C$803,A3232,MOVIMIENTOS_COMPLEMENTOS!$D$4:$D$803,B3232,MOVIMIENTOS_COMPLEMENTOS!$E$4:$E$803,C3232,MOVIMIENTOS_COMPLEMENTOS!$G$4:$G$803,E3232,MOVIMIENTOS_COMPLEMENTOS!$H$4:$H$803,G3232,MOVIMIENTOS_COMPLEMENTOS!$B$4:$B$803,"DE CORTE")-SUMIFS(MOVIMIENTOS_COMPLEMENTOS!$I$4:$I$803,MOVIMIENTOS_COMPLEMENTOS!$C$4:$C$803,A3232,MOVIMIENTOS_COMPLEMENTOS!$D$4:$D$803,B3232,MOVIMIENTOS_COMPLEMENTOS!$E$4:$E$803,C3232,MOVIMIENTOS_COMPLEMENTOS!$G$4:$G$803,E3232,MOVIMIENTOS_COMPLEMENTOS!$H$4:$H$803,G3232,MOVIMIENTOS_COMPLEMENTOS!$B$4:$B$803,"SALIDA"),0)</f>
        <v>0</v>
      </c>
      <c r="I3232" s="102">
        <f t="array" ref="I3232">IFERROR(INDEX(PRECIOS_COMPLEMENTOS!$C$4:$F$17,MATCH(B3232&amp;"_"&amp;C3232,PRECIOS_COMPLEMENTOS!$H$4:$H$17,0),IF(OR(G3232="S",G3232="20cm"),1,IF(OR(G3232="M",G3232="25cm"),2,IF(OR(G3232="L",G3232="30cm"),3,IF(OR(G3232="XL",G3232="35cm"),4,0))))),0)</f>
        <v>0.45</v>
      </c>
      <c r="J3232" s="103">
        <f t="shared" si="1"/>
        <v>0</v>
      </c>
      <c r="K3232" s="104" t="str">
        <f>IF(H3232&lt;0,"ERROR",IF(H3232=0,"",IF(H3232&lt;CONFIG!$B$4,"CRÍTICO",IF(H3232&lt;CONFIG!$B$5,"BAJO","OK"))))</f>
        <v/>
      </c>
    </row>
    <row r="3233" ht="15.75" customHeight="1">
      <c r="A3233" s="90" t="str">
        <f>IF(CLIENTES!A9="","",CLIENTES!A9)</f>
        <v/>
      </c>
      <c r="B3233" s="90" t="s">
        <v>333</v>
      </c>
      <c r="C3233" s="91" t="s">
        <v>334</v>
      </c>
      <c r="D3233" s="109" t="s">
        <v>353</v>
      </c>
      <c r="E3233" s="67" t="str">
        <f>COLORES!A20</f>
        <v/>
      </c>
      <c r="F3233" s="67" t="str">
        <f>COLORES!B20</f>
        <v/>
      </c>
      <c r="G3233" s="90" t="s">
        <v>381</v>
      </c>
      <c r="H3233" s="100">
        <f>IFERROR(SUMIFS(MOVIMIENTOS_COMPLEMENTOS!$I$4:$I$803,MOVIMIENTOS_COMPLEMENTOS!$C$4:$C$803,A3233,MOVIMIENTOS_COMPLEMENTOS!$D$4:$D$803,B3233,MOVIMIENTOS_COMPLEMENTOS!$E$4:$E$803,C3233,MOVIMIENTOS_COMPLEMENTOS!$G$4:$G$803,E3233,MOVIMIENTOS_COMPLEMENTOS!$H$4:$H$803,G3233,MOVIMIENTOS_COMPLEMENTOS!$B$4:$B$803,"INGRESO")+SUMIFS(MOVIMIENTOS_COMPLEMENTOS!$I$4:$I$803,MOVIMIENTOS_COMPLEMENTOS!$C$4:$C$803,A3233,MOVIMIENTOS_COMPLEMENTOS!$D$4:$D$803,B3233,MOVIMIENTOS_COMPLEMENTOS!$E$4:$E$803,C3233,MOVIMIENTOS_COMPLEMENTOS!$G$4:$G$803,E3233,MOVIMIENTOS_COMPLEMENTOS!$H$4:$H$803,G3233,MOVIMIENTOS_COMPLEMENTOS!$B$4:$B$803,"DE CORTE")-SUMIFS(MOVIMIENTOS_COMPLEMENTOS!$I$4:$I$803,MOVIMIENTOS_COMPLEMENTOS!$C$4:$C$803,A3233,MOVIMIENTOS_COMPLEMENTOS!$D$4:$D$803,B3233,MOVIMIENTOS_COMPLEMENTOS!$E$4:$E$803,C3233,MOVIMIENTOS_COMPLEMENTOS!$G$4:$G$803,E3233,MOVIMIENTOS_COMPLEMENTOS!$H$4:$H$803,G3233,MOVIMIENTOS_COMPLEMENTOS!$B$4:$B$803,"SALIDA"),0)</f>
        <v>0</v>
      </c>
      <c r="I3233" s="102">
        <f t="array" ref="I3233">IFERROR(INDEX(PRECIOS_COMPLEMENTOS!$C$4:$F$17,MATCH(B3233&amp;"_"&amp;C3233,PRECIOS_COMPLEMENTOS!$H$4:$H$17,0),IF(OR(G3233="S",G3233="20cm"),1,IF(OR(G3233="M",G3233="25cm"),2,IF(OR(G3233="L",G3233="30cm"),3,IF(OR(G3233="XL",G3233="35cm"),4,0))))),0)</f>
        <v>0.45</v>
      </c>
      <c r="J3233" s="103">
        <f t="shared" si="1"/>
        <v>0</v>
      </c>
      <c r="K3233" s="104" t="str">
        <f>IF(H3233&lt;0,"ERROR",IF(H3233=0,"",IF(H3233&lt;CONFIG!$B$4,"CRÍTICO",IF(H3233&lt;CONFIG!$B$5,"BAJO","OK"))))</f>
        <v/>
      </c>
    </row>
    <row r="3234" ht="15.75" customHeight="1">
      <c r="A3234" s="90" t="str">
        <f>IF(CLIENTES!A9="","",CLIENTES!A9)</f>
        <v/>
      </c>
      <c r="B3234" s="90" t="s">
        <v>333</v>
      </c>
      <c r="C3234" s="91" t="s">
        <v>334</v>
      </c>
      <c r="D3234" s="109" t="s">
        <v>353</v>
      </c>
      <c r="E3234" s="67" t="str">
        <f>COLORES!A20</f>
        <v/>
      </c>
      <c r="F3234" s="67" t="str">
        <f>COLORES!B20</f>
        <v/>
      </c>
      <c r="G3234" s="90" t="s">
        <v>382</v>
      </c>
      <c r="H3234" s="100">
        <f>IFERROR(SUMIFS(MOVIMIENTOS_COMPLEMENTOS!$I$4:$I$803,MOVIMIENTOS_COMPLEMENTOS!$C$4:$C$803,A3234,MOVIMIENTOS_COMPLEMENTOS!$D$4:$D$803,B3234,MOVIMIENTOS_COMPLEMENTOS!$E$4:$E$803,C3234,MOVIMIENTOS_COMPLEMENTOS!$G$4:$G$803,E3234,MOVIMIENTOS_COMPLEMENTOS!$H$4:$H$803,G3234,MOVIMIENTOS_COMPLEMENTOS!$B$4:$B$803,"INGRESO")+SUMIFS(MOVIMIENTOS_COMPLEMENTOS!$I$4:$I$803,MOVIMIENTOS_COMPLEMENTOS!$C$4:$C$803,A3234,MOVIMIENTOS_COMPLEMENTOS!$D$4:$D$803,B3234,MOVIMIENTOS_COMPLEMENTOS!$E$4:$E$803,C3234,MOVIMIENTOS_COMPLEMENTOS!$G$4:$G$803,E3234,MOVIMIENTOS_COMPLEMENTOS!$H$4:$H$803,G3234,MOVIMIENTOS_COMPLEMENTOS!$B$4:$B$803,"DE CORTE")-SUMIFS(MOVIMIENTOS_COMPLEMENTOS!$I$4:$I$803,MOVIMIENTOS_COMPLEMENTOS!$C$4:$C$803,A3234,MOVIMIENTOS_COMPLEMENTOS!$D$4:$D$803,B3234,MOVIMIENTOS_COMPLEMENTOS!$E$4:$E$803,C3234,MOVIMIENTOS_COMPLEMENTOS!$G$4:$G$803,E3234,MOVIMIENTOS_COMPLEMENTOS!$H$4:$H$803,G3234,MOVIMIENTOS_COMPLEMENTOS!$B$4:$B$803,"SALIDA"),0)</f>
        <v>0</v>
      </c>
      <c r="I3234" s="102">
        <f t="array" ref="I3234">IFERROR(INDEX(PRECIOS_COMPLEMENTOS!$C$4:$F$17,MATCH(B3234&amp;"_"&amp;C3234,PRECIOS_COMPLEMENTOS!$H$4:$H$17,0),IF(OR(G3234="S",G3234="20cm"),1,IF(OR(G3234="M",G3234="25cm"),2,IF(OR(G3234="L",G3234="30cm"),3,IF(OR(G3234="XL",G3234="35cm"),4,0))))),0)</f>
        <v>0.45</v>
      </c>
      <c r="J3234" s="103">
        <f t="shared" si="1"/>
        <v>0</v>
      </c>
      <c r="K3234" s="104" t="str">
        <f>IF(H3234&lt;0,"ERROR",IF(H3234=0,"",IF(H3234&lt;CONFIG!$B$4,"CRÍTICO",IF(H3234&lt;CONFIG!$B$5,"BAJO","OK"))))</f>
        <v/>
      </c>
    </row>
    <row r="3235" ht="15.75" customHeight="1">
      <c r="A3235" s="90" t="str">
        <f>IF(CLIENTES!A9="","",CLIENTES!A9)</f>
        <v/>
      </c>
      <c r="B3235" s="90" t="s">
        <v>333</v>
      </c>
      <c r="C3235" s="91" t="s">
        <v>334</v>
      </c>
      <c r="D3235" s="109" t="s">
        <v>353</v>
      </c>
      <c r="E3235" s="67" t="str">
        <f>COLORES!A21</f>
        <v/>
      </c>
      <c r="F3235" s="67" t="str">
        <f>COLORES!B21</f>
        <v/>
      </c>
      <c r="G3235" s="90" t="s">
        <v>380</v>
      </c>
      <c r="H3235" s="100">
        <f>IFERROR(SUMIFS(MOVIMIENTOS_COMPLEMENTOS!$I$4:$I$803,MOVIMIENTOS_COMPLEMENTOS!$C$4:$C$803,A3235,MOVIMIENTOS_COMPLEMENTOS!$D$4:$D$803,B3235,MOVIMIENTOS_COMPLEMENTOS!$E$4:$E$803,C3235,MOVIMIENTOS_COMPLEMENTOS!$G$4:$G$803,E3235,MOVIMIENTOS_COMPLEMENTOS!$H$4:$H$803,G3235,MOVIMIENTOS_COMPLEMENTOS!$B$4:$B$803,"INGRESO")+SUMIFS(MOVIMIENTOS_COMPLEMENTOS!$I$4:$I$803,MOVIMIENTOS_COMPLEMENTOS!$C$4:$C$803,A3235,MOVIMIENTOS_COMPLEMENTOS!$D$4:$D$803,B3235,MOVIMIENTOS_COMPLEMENTOS!$E$4:$E$803,C3235,MOVIMIENTOS_COMPLEMENTOS!$G$4:$G$803,E3235,MOVIMIENTOS_COMPLEMENTOS!$H$4:$H$803,G3235,MOVIMIENTOS_COMPLEMENTOS!$B$4:$B$803,"DE CORTE")-SUMIFS(MOVIMIENTOS_COMPLEMENTOS!$I$4:$I$803,MOVIMIENTOS_COMPLEMENTOS!$C$4:$C$803,A3235,MOVIMIENTOS_COMPLEMENTOS!$D$4:$D$803,B3235,MOVIMIENTOS_COMPLEMENTOS!$E$4:$E$803,C3235,MOVIMIENTOS_COMPLEMENTOS!$G$4:$G$803,E3235,MOVIMIENTOS_COMPLEMENTOS!$H$4:$H$803,G3235,MOVIMIENTOS_COMPLEMENTOS!$B$4:$B$803,"SALIDA"),0)</f>
        <v>0</v>
      </c>
      <c r="I3235" s="102">
        <f t="array" ref="I3235">IFERROR(INDEX(PRECIOS_COMPLEMENTOS!$C$4:$F$17,MATCH(B3235&amp;"_"&amp;C3235,PRECIOS_COMPLEMENTOS!$H$4:$H$17,0),IF(OR(G3235="S",G3235="20cm"),1,IF(OR(G3235="M",G3235="25cm"),2,IF(OR(G3235="L",G3235="30cm"),3,IF(OR(G3235="XL",G3235="35cm"),4,0))))),0)</f>
        <v>0.45</v>
      </c>
      <c r="J3235" s="103">
        <f t="shared" si="1"/>
        <v>0</v>
      </c>
      <c r="K3235" s="104" t="str">
        <f>IF(H3235&lt;0,"ERROR",IF(H3235=0,"",IF(H3235&lt;CONFIG!$B$4,"CRÍTICO",IF(H3235&lt;CONFIG!$B$5,"BAJO","OK"))))</f>
        <v/>
      </c>
    </row>
    <row r="3236" ht="15.75" customHeight="1">
      <c r="A3236" s="90" t="str">
        <f>IF(CLIENTES!A9="","",CLIENTES!A9)</f>
        <v/>
      </c>
      <c r="B3236" s="90" t="s">
        <v>333</v>
      </c>
      <c r="C3236" s="91" t="s">
        <v>334</v>
      </c>
      <c r="D3236" s="109" t="s">
        <v>353</v>
      </c>
      <c r="E3236" s="67" t="str">
        <f>COLORES!A21</f>
        <v/>
      </c>
      <c r="F3236" s="67" t="str">
        <f>COLORES!B21</f>
        <v/>
      </c>
      <c r="G3236" s="90" t="s">
        <v>381</v>
      </c>
      <c r="H3236" s="100">
        <f>IFERROR(SUMIFS(MOVIMIENTOS_COMPLEMENTOS!$I$4:$I$803,MOVIMIENTOS_COMPLEMENTOS!$C$4:$C$803,A3236,MOVIMIENTOS_COMPLEMENTOS!$D$4:$D$803,B3236,MOVIMIENTOS_COMPLEMENTOS!$E$4:$E$803,C3236,MOVIMIENTOS_COMPLEMENTOS!$G$4:$G$803,E3236,MOVIMIENTOS_COMPLEMENTOS!$H$4:$H$803,G3236,MOVIMIENTOS_COMPLEMENTOS!$B$4:$B$803,"INGRESO")+SUMIFS(MOVIMIENTOS_COMPLEMENTOS!$I$4:$I$803,MOVIMIENTOS_COMPLEMENTOS!$C$4:$C$803,A3236,MOVIMIENTOS_COMPLEMENTOS!$D$4:$D$803,B3236,MOVIMIENTOS_COMPLEMENTOS!$E$4:$E$803,C3236,MOVIMIENTOS_COMPLEMENTOS!$G$4:$G$803,E3236,MOVIMIENTOS_COMPLEMENTOS!$H$4:$H$803,G3236,MOVIMIENTOS_COMPLEMENTOS!$B$4:$B$803,"DE CORTE")-SUMIFS(MOVIMIENTOS_COMPLEMENTOS!$I$4:$I$803,MOVIMIENTOS_COMPLEMENTOS!$C$4:$C$803,A3236,MOVIMIENTOS_COMPLEMENTOS!$D$4:$D$803,B3236,MOVIMIENTOS_COMPLEMENTOS!$E$4:$E$803,C3236,MOVIMIENTOS_COMPLEMENTOS!$G$4:$G$803,E3236,MOVIMIENTOS_COMPLEMENTOS!$H$4:$H$803,G3236,MOVIMIENTOS_COMPLEMENTOS!$B$4:$B$803,"SALIDA"),0)</f>
        <v>0</v>
      </c>
      <c r="I3236" s="102">
        <f t="array" ref="I3236">IFERROR(INDEX(PRECIOS_COMPLEMENTOS!$C$4:$F$17,MATCH(B3236&amp;"_"&amp;C3236,PRECIOS_COMPLEMENTOS!$H$4:$H$17,0),IF(OR(G3236="S",G3236="20cm"),1,IF(OR(G3236="M",G3236="25cm"),2,IF(OR(G3236="L",G3236="30cm"),3,IF(OR(G3236="XL",G3236="35cm"),4,0))))),0)</f>
        <v>0.45</v>
      </c>
      <c r="J3236" s="103">
        <f t="shared" si="1"/>
        <v>0</v>
      </c>
      <c r="K3236" s="104" t="str">
        <f>IF(H3236&lt;0,"ERROR",IF(H3236=0,"",IF(H3236&lt;CONFIG!$B$4,"CRÍTICO",IF(H3236&lt;CONFIG!$B$5,"BAJO","OK"))))</f>
        <v/>
      </c>
    </row>
    <row r="3237" ht="15.75" customHeight="1">
      <c r="A3237" s="90" t="str">
        <f>IF(CLIENTES!A9="","",CLIENTES!A9)</f>
        <v/>
      </c>
      <c r="B3237" s="90" t="s">
        <v>333</v>
      </c>
      <c r="C3237" s="91" t="s">
        <v>334</v>
      </c>
      <c r="D3237" s="109" t="s">
        <v>353</v>
      </c>
      <c r="E3237" s="67" t="str">
        <f>COLORES!A21</f>
        <v/>
      </c>
      <c r="F3237" s="67" t="str">
        <f>COLORES!B21</f>
        <v/>
      </c>
      <c r="G3237" s="90" t="s">
        <v>382</v>
      </c>
      <c r="H3237" s="100">
        <f>IFERROR(SUMIFS(MOVIMIENTOS_COMPLEMENTOS!$I$4:$I$803,MOVIMIENTOS_COMPLEMENTOS!$C$4:$C$803,A3237,MOVIMIENTOS_COMPLEMENTOS!$D$4:$D$803,B3237,MOVIMIENTOS_COMPLEMENTOS!$E$4:$E$803,C3237,MOVIMIENTOS_COMPLEMENTOS!$G$4:$G$803,E3237,MOVIMIENTOS_COMPLEMENTOS!$H$4:$H$803,G3237,MOVIMIENTOS_COMPLEMENTOS!$B$4:$B$803,"INGRESO")+SUMIFS(MOVIMIENTOS_COMPLEMENTOS!$I$4:$I$803,MOVIMIENTOS_COMPLEMENTOS!$C$4:$C$803,A3237,MOVIMIENTOS_COMPLEMENTOS!$D$4:$D$803,B3237,MOVIMIENTOS_COMPLEMENTOS!$E$4:$E$803,C3237,MOVIMIENTOS_COMPLEMENTOS!$G$4:$G$803,E3237,MOVIMIENTOS_COMPLEMENTOS!$H$4:$H$803,G3237,MOVIMIENTOS_COMPLEMENTOS!$B$4:$B$803,"DE CORTE")-SUMIFS(MOVIMIENTOS_COMPLEMENTOS!$I$4:$I$803,MOVIMIENTOS_COMPLEMENTOS!$C$4:$C$803,A3237,MOVIMIENTOS_COMPLEMENTOS!$D$4:$D$803,B3237,MOVIMIENTOS_COMPLEMENTOS!$E$4:$E$803,C3237,MOVIMIENTOS_COMPLEMENTOS!$G$4:$G$803,E3237,MOVIMIENTOS_COMPLEMENTOS!$H$4:$H$803,G3237,MOVIMIENTOS_COMPLEMENTOS!$B$4:$B$803,"SALIDA"),0)</f>
        <v>0</v>
      </c>
      <c r="I3237" s="102">
        <f t="array" ref="I3237">IFERROR(INDEX(PRECIOS_COMPLEMENTOS!$C$4:$F$17,MATCH(B3237&amp;"_"&amp;C3237,PRECIOS_COMPLEMENTOS!$H$4:$H$17,0),IF(OR(G3237="S",G3237="20cm"),1,IF(OR(G3237="M",G3237="25cm"),2,IF(OR(G3237="L",G3237="30cm"),3,IF(OR(G3237="XL",G3237="35cm"),4,0))))),0)</f>
        <v>0.45</v>
      </c>
      <c r="J3237" s="103">
        <f t="shared" si="1"/>
        <v>0</v>
      </c>
      <c r="K3237" s="104" t="str">
        <f>IF(H3237&lt;0,"ERROR",IF(H3237=0,"",IF(H3237&lt;CONFIG!$B$4,"CRÍTICO",IF(H3237&lt;CONFIG!$B$5,"BAJO","OK"))))</f>
        <v/>
      </c>
    </row>
    <row r="3238" ht="15.75" customHeight="1">
      <c r="A3238" s="90" t="str">
        <f>IF(CLIENTES!A9="","",CLIENTES!A9)</f>
        <v/>
      </c>
      <c r="B3238" s="90" t="s">
        <v>333</v>
      </c>
      <c r="C3238" s="91" t="s">
        <v>334</v>
      </c>
      <c r="D3238" s="109" t="s">
        <v>353</v>
      </c>
      <c r="E3238" s="67" t="str">
        <f>COLORES!A22</f>
        <v/>
      </c>
      <c r="F3238" s="67" t="str">
        <f>COLORES!B22</f>
        <v/>
      </c>
      <c r="G3238" s="90" t="s">
        <v>380</v>
      </c>
      <c r="H3238" s="100">
        <f>IFERROR(SUMIFS(MOVIMIENTOS_COMPLEMENTOS!$I$4:$I$803,MOVIMIENTOS_COMPLEMENTOS!$C$4:$C$803,A3238,MOVIMIENTOS_COMPLEMENTOS!$D$4:$D$803,B3238,MOVIMIENTOS_COMPLEMENTOS!$E$4:$E$803,C3238,MOVIMIENTOS_COMPLEMENTOS!$G$4:$G$803,E3238,MOVIMIENTOS_COMPLEMENTOS!$H$4:$H$803,G3238,MOVIMIENTOS_COMPLEMENTOS!$B$4:$B$803,"INGRESO")+SUMIFS(MOVIMIENTOS_COMPLEMENTOS!$I$4:$I$803,MOVIMIENTOS_COMPLEMENTOS!$C$4:$C$803,A3238,MOVIMIENTOS_COMPLEMENTOS!$D$4:$D$803,B3238,MOVIMIENTOS_COMPLEMENTOS!$E$4:$E$803,C3238,MOVIMIENTOS_COMPLEMENTOS!$G$4:$G$803,E3238,MOVIMIENTOS_COMPLEMENTOS!$H$4:$H$803,G3238,MOVIMIENTOS_COMPLEMENTOS!$B$4:$B$803,"DE CORTE")-SUMIFS(MOVIMIENTOS_COMPLEMENTOS!$I$4:$I$803,MOVIMIENTOS_COMPLEMENTOS!$C$4:$C$803,A3238,MOVIMIENTOS_COMPLEMENTOS!$D$4:$D$803,B3238,MOVIMIENTOS_COMPLEMENTOS!$E$4:$E$803,C3238,MOVIMIENTOS_COMPLEMENTOS!$G$4:$G$803,E3238,MOVIMIENTOS_COMPLEMENTOS!$H$4:$H$803,G3238,MOVIMIENTOS_COMPLEMENTOS!$B$4:$B$803,"SALIDA"),0)</f>
        <v>0</v>
      </c>
      <c r="I3238" s="102">
        <f t="array" ref="I3238">IFERROR(INDEX(PRECIOS_COMPLEMENTOS!$C$4:$F$17,MATCH(B3238&amp;"_"&amp;C3238,PRECIOS_COMPLEMENTOS!$H$4:$H$17,0),IF(OR(G3238="S",G3238="20cm"),1,IF(OR(G3238="M",G3238="25cm"),2,IF(OR(G3238="L",G3238="30cm"),3,IF(OR(G3238="XL",G3238="35cm"),4,0))))),0)</f>
        <v>0.45</v>
      </c>
      <c r="J3238" s="103">
        <f t="shared" si="1"/>
        <v>0</v>
      </c>
      <c r="K3238" s="104" t="str">
        <f>IF(H3238&lt;0,"ERROR",IF(H3238=0,"",IF(H3238&lt;CONFIG!$B$4,"CRÍTICO",IF(H3238&lt;CONFIG!$B$5,"BAJO","OK"))))</f>
        <v/>
      </c>
    </row>
    <row r="3239" ht="15.75" customHeight="1">
      <c r="A3239" s="90" t="str">
        <f>IF(CLIENTES!A9="","",CLIENTES!A9)</f>
        <v/>
      </c>
      <c r="B3239" s="90" t="s">
        <v>333</v>
      </c>
      <c r="C3239" s="91" t="s">
        <v>334</v>
      </c>
      <c r="D3239" s="109" t="s">
        <v>353</v>
      </c>
      <c r="E3239" s="67" t="str">
        <f>COLORES!A22</f>
        <v/>
      </c>
      <c r="F3239" s="67" t="str">
        <f>COLORES!B22</f>
        <v/>
      </c>
      <c r="G3239" s="90" t="s">
        <v>381</v>
      </c>
      <c r="H3239" s="100">
        <f>IFERROR(SUMIFS(MOVIMIENTOS_COMPLEMENTOS!$I$4:$I$803,MOVIMIENTOS_COMPLEMENTOS!$C$4:$C$803,A3239,MOVIMIENTOS_COMPLEMENTOS!$D$4:$D$803,B3239,MOVIMIENTOS_COMPLEMENTOS!$E$4:$E$803,C3239,MOVIMIENTOS_COMPLEMENTOS!$G$4:$G$803,E3239,MOVIMIENTOS_COMPLEMENTOS!$H$4:$H$803,G3239,MOVIMIENTOS_COMPLEMENTOS!$B$4:$B$803,"INGRESO")+SUMIFS(MOVIMIENTOS_COMPLEMENTOS!$I$4:$I$803,MOVIMIENTOS_COMPLEMENTOS!$C$4:$C$803,A3239,MOVIMIENTOS_COMPLEMENTOS!$D$4:$D$803,B3239,MOVIMIENTOS_COMPLEMENTOS!$E$4:$E$803,C3239,MOVIMIENTOS_COMPLEMENTOS!$G$4:$G$803,E3239,MOVIMIENTOS_COMPLEMENTOS!$H$4:$H$803,G3239,MOVIMIENTOS_COMPLEMENTOS!$B$4:$B$803,"DE CORTE")-SUMIFS(MOVIMIENTOS_COMPLEMENTOS!$I$4:$I$803,MOVIMIENTOS_COMPLEMENTOS!$C$4:$C$803,A3239,MOVIMIENTOS_COMPLEMENTOS!$D$4:$D$803,B3239,MOVIMIENTOS_COMPLEMENTOS!$E$4:$E$803,C3239,MOVIMIENTOS_COMPLEMENTOS!$G$4:$G$803,E3239,MOVIMIENTOS_COMPLEMENTOS!$H$4:$H$803,G3239,MOVIMIENTOS_COMPLEMENTOS!$B$4:$B$803,"SALIDA"),0)</f>
        <v>0</v>
      </c>
      <c r="I3239" s="102">
        <f t="array" ref="I3239">IFERROR(INDEX(PRECIOS_COMPLEMENTOS!$C$4:$F$17,MATCH(B3239&amp;"_"&amp;C3239,PRECIOS_COMPLEMENTOS!$H$4:$H$17,0),IF(OR(G3239="S",G3239="20cm"),1,IF(OR(G3239="M",G3239="25cm"),2,IF(OR(G3239="L",G3239="30cm"),3,IF(OR(G3239="XL",G3239="35cm"),4,0))))),0)</f>
        <v>0.45</v>
      </c>
      <c r="J3239" s="103">
        <f t="shared" si="1"/>
        <v>0</v>
      </c>
      <c r="K3239" s="104" t="str">
        <f>IF(H3239&lt;0,"ERROR",IF(H3239=0,"",IF(H3239&lt;CONFIG!$B$4,"CRÍTICO",IF(H3239&lt;CONFIG!$B$5,"BAJO","OK"))))</f>
        <v/>
      </c>
    </row>
    <row r="3240" ht="15.75" customHeight="1">
      <c r="A3240" s="90" t="str">
        <f>IF(CLIENTES!A9="","",CLIENTES!A9)</f>
        <v/>
      </c>
      <c r="B3240" s="90" t="s">
        <v>333</v>
      </c>
      <c r="C3240" s="91" t="s">
        <v>334</v>
      </c>
      <c r="D3240" s="109" t="s">
        <v>353</v>
      </c>
      <c r="E3240" s="67" t="str">
        <f>COLORES!A22</f>
        <v/>
      </c>
      <c r="F3240" s="67" t="str">
        <f>COLORES!B22</f>
        <v/>
      </c>
      <c r="G3240" s="90" t="s">
        <v>382</v>
      </c>
      <c r="H3240" s="100">
        <f>IFERROR(SUMIFS(MOVIMIENTOS_COMPLEMENTOS!$I$4:$I$803,MOVIMIENTOS_COMPLEMENTOS!$C$4:$C$803,A3240,MOVIMIENTOS_COMPLEMENTOS!$D$4:$D$803,B3240,MOVIMIENTOS_COMPLEMENTOS!$E$4:$E$803,C3240,MOVIMIENTOS_COMPLEMENTOS!$G$4:$G$803,E3240,MOVIMIENTOS_COMPLEMENTOS!$H$4:$H$803,G3240,MOVIMIENTOS_COMPLEMENTOS!$B$4:$B$803,"INGRESO")+SUMIFS(MOVIMIENTOS_COMPLEMENTOS!$I$4:$I$803,MOVIMIENTOS_COMPLEMENTOS!$C$4:$C$803,A3240,MOVIMIENTOS_COMPLEMENTOS!$D$4:$D$803,B3240,MOVIMIENTOS_COMPLEMENTOS!$E$4:$E$803,C3240,MOVIMIENTOS_COMPLEMENTOS!$G$4:$G$803,E3240,MOVIMIENTOS_COMPLEMENTOS!$H$4:$H$803,G3240,MOVIMIENTOS_COMPLEMENTOS!$B$4:$B$803,"DE CORTE")-SUMIFS(MOVIMIENTOS_COMPLEMENTOS!$I$4:$I$803,MOVIMIENTOS_COMPLEMENTOS!$C$4:$C$803,A3240,MOVIMIENTOS_COMPLEMENTOS!$D$4:$D$803,B3240,MOVIMIENTOS_COMPLEMENTOS!$E$4:$E$803,C3240,MOVIMIENTOS_COMPLEMENTOS!$G$4:$G$803,E3240,MOVIMIENTOS_COMPLEMENTOS!$H$4:$H$803,G3240,MOVIMIENTOS_COMPLEMENTOS!$B$4:$B$803,"SALIDA"),0)</f>
        <v>0</v>
      </c>
      <c r="I3240" s="102">
        <f t="array" ref="I3240">IFERROR(INDEX(PRECIOS_COMPLEMENTOS!$C$4:$F$17,MATCH(B3240&amp;"_"&amp;C3240,PRECIOS_COMPLEMENTOS!$H$4:$H$17,0),IF(OR(G3240="S",G3240="20cm"),1,IF(OR(G3240="M",G3240="25cm"),2,IF(OR(G3240="L",G3240="30cm"),3,IF(OR(G3240="XL",G3240="35cm"),4,0))))),0)</f>
        <v>0.45</v>
      </c>
      <c r="J3240" s="103">
        <f t="shared" si="1"/>
        <v>0</v>
      </c>
      <c r="K3240" s="104" t="str">
        <f>IF(H3240&lt;0,"ERROR",IF(H3240=0,"",IF(H3240&lt;CONFIG!$B$4,"CRÍTICO",IF(H3240&lt;CONFIG!$B$5,"BAJO","OK"))))</f>
        <v/>
      </c>
    </row>
    <row r="3241" ht="15.75" customHeight="1">
      <c r="A3241" s="90" t="str">
        <f>IF(CLIENTES!A9="","",CLIENTES!A9)</f>
        <v/>
      </c>
      <c r="B3241" s="90" t="s">
        <v>333</v>
      </c>
      <c r="C3241" s="91" t="s">
        <v>334</v>
      </c>
      <c r="D3241" s="109" t="s">
        <v>353</v>
      </c>
      <c r="E3241" s="67" t="str">
        <f>COLORES!A23</f>
        <v/>
      </c>
      <c r="F3241" s="67" t="str">
        <f>COLORES!B23</f>
        <v/>
      </c>
      <c r="G3241" s="90" t="s">
        <v>380</v>
      </c>
      <c r="H3241" s="100">
        <f>IFERROR(SUMIFS(MOVIMIENTOS_COMPLEMENTOS!$I$4:$I$803,MOVIMIENTOS_COMPLEMENTOS!$C$4:$C$803,A3241,MOVIMIENTOS_COMPLEMENTOS!$D$4:$D$803,B3241,MOVIMIENTOS_COMPLEMENTOS!$E$4:$E$803,C3241,MOVIMIENTOS_COMPLEMENTOS!$G$4:$G$803,E3241,MOVIMIENTOS_COMPLEMENTOS!$H$4:$H$803,G3241,MOVIMIENTOS_COMPLEMENTOS!$B$4:$B$803,"INGRESO")+SUMIFS(MOVIMIENTOS_COMPLEMENTOS!$I$4:$I$803,MOVIMIENTOS_COMPLEMENTOS!$C$4:$C$803,A3241,MOVIMIENTOS_COMPLEMENTOS!$D$4:$D$803,B3241,MOVIMIENTOS_COMPLEMENTOS!$E$4:$E$803,C3241,MOVIMIENTOS_COMPLEMENTOS!$G$4:$G$803,E3241,MOVIMIENTOS_COMPLEMENTOS!$H$4:$H$803,G3241,MOVIMIENTOS_COMPLEMENTOS!$B$4:$B$803,"DE CORTE")-SUMIFS(MOVIMIENTOS_COMPLEMENTOS!$I$4:$I$803,MOVIMIENTOS_COMPLEMENTOS!$C$4:$C$803,A3241,MOVIMIENTOS_COMPLEMENTOS!$D$4:$D$803,B3241,MOVIMIENTOS_COMPLEMENTOS!$E$4:$E$803,C3241,MOVIMIENTOS_COMPLEMENTOS!$G$4:$G$803,E3241,MOVIMIENTOS_COMPLEMENTOS!$H$4:$H$803,G3241,MOVIMIENTOS_COMPLEMENTOS!$B$4:$B$803,"SALIDA"),0)</f>
        <v>0</v>
      </c>
      <c r="I3241" s="102">
        <f t="array" ref="I3241">IFERROR(INDEX(PRECIOS_COMPLEMENTOS!$C$4:$F$17,MATCH(B3241&amp;"_"&amp;C3241,PRECIOS_COMPLEMENTOS!$H$4:$H$17,0),IF(OR(G3241="S",G3241="20cm"),1,IF(OR(G3241="M",G3241="25cm"),2,IF(OR(G3241="L",G3241="30cm"),3,IF(OR(G3241="XL",G3241="35cm"),4,0))))),0)</f>
        <v>0.45</v>
      </c>
      <c r="J3241" s="103">
        <f t="shared" si="1"/>
        <v>0</v>
      </c>
      <c r="K3241" s="104" t="str">
        <f>IF(H3241&lt;0,"ERROR",IF(H3241=0,"",IF(H3241&lt;CONFIG!$B$4,"CRÍTICO",IF(H3241&lt;CONFIG!$B$5,"BAJO","OK"))))</f>
        <v/>
      </c>
    </row>
    <row r="3242" ht="15.75" customHeight="1">
      <c r="A3242" s="90" t="str">
        <f>IF(CLIENTES!A9="","",CLIENTES!A9)</f>
        <v/>
      </c>
      <c r="B3242" s="90" t="s">
        <v>333</v>
      </c>
      <c r="C3242" s="91" t="s">
        <v>334</v>
      </c>
      <c r="D3242" s="109" t="s">
        <v>353</v>
      </c>
      <c r="E3242" s="67" t="str">
        <f>COLORES!A23</f>
        <v/>
      </c>
      <c r="F3242" s="67" t="str">
        <f>COLORES!B23</f>
        <v/>
      </c>
      <c r="G3242" s="90" t="s">
        <v>381</v>
      </c>
      <c r="H3242" s="100">
        <f>IFERROR(SUMIFS(MOVIMIENTOS_COMPLEMENTOS!$I$4:$I$803,MOVIMIENTOS_COMPLEMENTOS!$C$4:$C$803,A3242,MOVIMIENTOS_COMPLEMENTOS!$D$4:$D$803,B3242,MOVIMIENTOS_COMPLEMENTOS!$E$4:$E$803,C3242,MOVIMIENTOS_COMPLEMENTOS!$G$4:$G$803,E3242,MOVIMIENTOS_COMPLEMENTOS!$H$4:$H$803,G3242,MOVIMIENTOS_COMPLEMENTOS!$B$4:$B$803,"INGRESO")+SUMIFS(MOVIMIENTOS_COMPLEMENTOS!$I$4:$I$803,MOVIMIENTOS_COMPLEMENTOS!$C$4:$C$803,A3242,MOVIMIENTOS_COMPLEMENTOS!$D$4:$D$803,B3242,MOVIMIENTOS_COMPLEMENTOS!$E$4:$E$803,C3242,MOVIMIENTOS_COMPLEMENTOS!$G$4:$G$803,E3242,MOVIMIENTOS_COMPLEMENTOS!$H$4:$H$803,G3242,MOVIMIENTOS_COMPLEMENTOS!$B$4:$B$803,"DE CORTE")-SUMIFS(MOVIMIENTOS_COMPLEMENTOS!$I$4:$I$803,MOVIMIENTOS_COMPLEMENTOS!$C$4:$C$803,A3242,MOVIMIENTOS_COMPLEMENTOS!$D$4:$D$803,B3242,MOVIMIENTOS_COMPLEMENTOS!$E$4:$E$803,C3242,MOVIMIENTOS_COMPLEMENTOS!$G$4:$G$803,E3242,MOVIMIENTOS_COMPLEMENTOS!$H$4:$H$803,G3242,MOVIMIENTOS_COMPLEMENTOS!$B$4:$B$803,"SALIDA"),0)</f>
        <v>0</v>
      </c>
      <c r="I3242" s="102">
        <f t="array" ref="I3242">IFERROR(INDEX(PRECIOS_COMPLEMENTOS!$C$4:$F$17,MATCH(B3242&amp;"_"&amp;C3242,PRECIOS_COMPLEMENTOS!$H$4:$H$17,0),IF(OR(G3242="S",G3242="20cm"),1,IF(OR(G3242="M",G3242="25cm"),2,IF(OR(G3242="L",G3242="30cm"),3,IF(OR(G3242="XL",G3242="35cm"),4,0))))),0)</f>
        <v>0.45</v>
      </c>
      <c r="J3242" s="103">
        <f t="shared" si="1"/>
        <v>0</v>
      </c>
      <c r="K3242" s="104" t="str">
        <f>IF(H3242&lt;0,"ERROR",IF(H3242=0,"",IF(H3242&lt;CONFIG!$B$4,"CRÍTICO",IF(H3242&lt;CONFIG!$B$5,"BAJO","OK"))))</f>
        <v/>
      </c>
    </row>
    <row r="3243" ht="15.75" customHeight="1">
      <c r="A3243" s="90" t="str">
        <f>IF(CLIENTES!A9="","",CLIENTES!A9)</f>
        <v/>
      </c>
      <c r="B3243" s="90" t="s">
        <v>333</v>
      </c>
      <c r="C3243" s="91" t="s">
        <v>334</v>
      </c>
      <c r="D3243" s="109" t="s">
        <v>353</v>
      </c>
      <c r="E3243" s="67" t="str">
        <f>COLORES!A23</f>
        <v/>
      </c>
      <c r="F3243" s="67" t="str">
        <f>COLORES!B23</f>
        <v/>
      </c>
      <c r="G3243" s="90" t="s">
        <v>382</v>
      </c>
      <c r="H3243" s="100">
        <f>IFERROR(SUMIFS(MOVIMIENTOS_COMPLEMENTOS!$I$4:$I$803,MOVIMIENTOS_COMPLEMENTOS!$C$4:$C$803,A3243,MOVIMIENTOS_COMPLEMENTOS!$D$4:$D$803,B3243,MOVIMIENTOS_COMPLEMENTOS!$E$4:$E$803,C3243,MOVIMIENTOS_COMPLEMENTOS!$G$4:$G$803,E3243,MOVIMIENTOS_COMPLEMENTOS!$H$4:$H$803,G3243,MOVIMIENTOS_COMPLEMENTOS!$B$4:$B$803,"INGRESO")+SUMIFS(MOVIMIENTOS_COMPLEMENTOS!$I$4:$I$803,MOVIMIENTOS_COMPLEMENTOS!$C$4:$C$803,A3243,MOVIMIENTOS_COMPLEMENTOS!$D$4:$D$803,B3243,MOVIMIENTOS_COMPLEMENTOS!$E$4:$E$803,C3243,MOVIMIENTOS_COMPLEMENTOS!$G$4:$G$803,E3243,MOVIMIENTOS_COMPLEMENTOS!$H$4:$H$803,G3243,MOVIMIENTOS_COMPLEMENTOS!$B$4:$B$803,"DE CORTE")-SUMIFS(MOVIMIENTOS_COMPLEMENTOS!$I$4:$I$803,MOVIMIENTOS_COMPLEMENTOS!$C$4:$C$803,A3243,MOVIMIENTOS_COMPLEMENTOS!$D$4:$D$803,B3243,MOVIMIENTOS_COMPLEMENTOS!$E$4:$E$803,C3243,MOVIMIENTOS_COMPLEMENTOS!$G$4:$G$803,E3243,MOVIMIENTOS_COMPLEMENTOS!$H$4:$H$803,G3243,MOVIMIENTOS_COMPLEMENTOS!$B$4:$B$803,"SALIDA"),0)</f>
        <v>0</v>
      </c>
      <c r="I3243" s="102">
        <f t="array" ref="I3243">IFERROR(INDEX(PRECIOS_COMPLEMENTOS!$C$4:$F$17,MATCH(B3243&amp;"_"&amp;C3243,PRECIOS_COMPLEMENTOS!$H$4:$H$17,0),IF(OR(G3243="S",G3243="20cm"),1,IF(OR(G3243="M",G3243="25cm"),2,IF(OR(G3243="L",G3243="30cm"),3,IF(OR(G3243="XL",G3243="35cm"),4,0))))),0)</f>
        <v>0.45</v>
      </c>
      <c r="J3243" s="103">
        <f t="shared" si="1"/>
        <v>0</v>
      </c>
      <c r="K3243" s="104" t="str">
        <f>IF(H3243&lt;0,"ERROR",IF(H3243=0,"",IF(H3243&lt;CONFIG!$B$4,"CRÍTICO",IF(H3243&lt;CONFIG!$B$5,"BAJO","OK"))))</f>
        <v/>
      </c>
    </row>
    <row r="3244" ht="25.5" customHeight="1">
      <c r="A3244" s="105" t="s">
        <v>373</v>
      </c>
      <c r="B3244" s="2"/>
      <c r="C3244" s="2"/>
      <c r="D3244" s="2"/>
      <c r="E3244" s="2"/>
      <c r="F3244" s="2"/>
      <c r="G3244" s="3"/>
      <c r="H3244" s="106">
        <f>SUMIF(H4:H3243,"&gt;0")</f>
        <v>0</v>
      </c>
      <c r="J3244" s="108">
        <f>SUM(J4:J3243)</f>
        <v>0</v>
      </c>
    </row>
  </sheetData>
  <autoFilter ref="$A$3:$K$3243">
    <filterColumn colId="1">
      <filters>
        <filter val="CIERRE"/>
      </filters>
    </filterColumn>
  </autoFilter>
  <mergeCells count="3">
    <mergeCell ref="A1:K1"/>
    <mergeCell ref="A2:K2"/>
    <mergeCell ref="A3244:G3244"/>
  </mergeCells>
  <conditionalFormatting sqref="K4:K3243">
    <cfRule type="expression" dxfId="0" priority="1">
      <formula>K4="CRÍTICO"</formula>
    </cfRule>
  </conditionalFormatting>
  <conditionalFormatting sqref="K4:K3243">
    <cfRule type="expression" dxfId="2" priority="2">
      <formula>K4="BAJO"</formula>
    </cfRule>
  </conditionalFormatting>
  <conditionalFormatting sqref="K4:K3243">
    <cfRule type="expression" dxfId="7" priority="3">
      <formula>K4="OK"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16.0"/>
    <col customWidth="1" min="4" max="4" width="12.0"/>
    <col customWidth="1" min="5" max="5" width="18.0"/>
    <col customWidth="1" min="6" max="6" width="14.0"/>
    <col customWidth="1" min="7" max="7" width="18.0"/>
    <col customWidth="1" min="8" max="8" width="14.0"/>
    <col customWidth="1" min="9" max="26" width="8.71"/>
  </cols>
  <sheetData>
    <row r="1" ht="27.75" customHeight="1">
      <c r="A1" s="54" t="s">
        <v>383</v>
      </c>
      <c r="B1" s="2"/>
      <c r="C1" s="2"/>
      <c r="D1" s="2"/>
      <c r="E1" s="2"/>
      <c r="F1" s="2"/>
      <c r="G1" s="2"/>
      <c r="H1" s="3"/>
    </row>
    <row r="2" ht="15.0" customHeight="1">
      <c r="A2" s="37" t="s">
        <v>108</v>
      </c>
      <c r="B2" s="37" t="s">
        <v>384</v>
      </c>
      <c r="C2" s="38" t="s">
        <v>110</v>
      </c>
    </row>
    <row r="4" ht="21.75" customHeight="1">
      <c r="A4" s="110" t="s">
        <v>385</v>
      </c>
      <c r="B4" s="3"/>
      <c r="C4" s="111" t="s">
        <v>386</v>
      </c>
      <c r="D4" s="3"/>
      <c r="E4" s="112" t="s">
        <v>387</v>
      </c>
      <c r="F4" s="3"/>
      <c r="G4" s="113" t="s">
        <v>388</v>
      </c>
      <c r="H4" s="3"/>
    </row>
    <row r="5" ht="31.5" customHeight="1">
      <c r="A5" s="114">
        <f>IF($C$2="TODOS",SUMIF(INVENTARIO!$E$4:$E$843,"&gt;0",INVENTARIO!$E$4:$E$843),SUMIFS(INVENTARIO!$E$4:$E$843,INVENTARIO!$A$4:$A$843,$C$2,INVENTARIO!$E$4:$E$843,"&gt;0"))</f>
        <v>635</v>
      </c>
      <c r="B5" s="3"/>
      <c r="C5" s="115">
        <f>IF($C$2="TODOS",SUMIFS(INVENTARIO!$F$4:$F$843,INVENTARIO!$E$4:$E$843,"&gt;0"),SUMIFS(INVENTARIO!$F$4:$F$843,INVENTARIO!$A$4:$A$843,$C$2,INVENTARIO!$E$4:$E$843,"&gt;0"))</f>
        <v>12700</v>
      </c>
      <c r="D5" s="3"/>
      <c r="E5" s="116">
        <f>IF($C$2="TODOS",SUMIFS(INVENTARIO!$H$4:$H$843,INVENTARIO!$E$4:$E$843,"&gt;0")+IFERROR(SUMIFS(INVENTARIO_COMPLEMENTOS!$J$4:$J$3243,INVENTARIO_COMPLEMENTOS!$H$4:$H$3243,"&gt;0"),0),SUMIFS(INVENTARIO!$H$4:$H$843,INVENTARIO!$A$4:$A$843,$C$2,INVENTARIO!$E$4:$E$843,"&gt;0")+IFERROR(SUMIFS(INVENTARIO_COMPLEMENTOS!$J$4:$J$3243,INVENTARIO_COMPLEMENTOS!$A$4:$A$3243,$C$2,INVENTARIO_COMPLEMENTOS!$H$4:$H$3243,"&gt;0"),0))</f>
        <v>283970</v>
      </c>
      <c r="F5" s="3"/>
      <c r="G5" s="114">
        <f>COUNTIFS(INVENTARIO!$E$4:$E$843,"&gt;0")</f>
        <v>61</v>
      </c>
      <c r="H5" s="3"/>
    </row>
    <row r="8" ht="21.75" customHeight="1">
      <c r="A8" s="117" t="s">
        <v>389</v>
      </c>
      <c r="B8" s="2"/>
      <c r="C8" s="3"/>
      <c r="E8" s="117" t="s">
        <v>390</v>
      </c>
      <c r="F8" s="2"/>
      <c r="G8" s="3"/>
    </row>
    <row r="9" ht="21.75" customHeight="1">
      <c r="A9" s="118" t="s">
        <v>4</v>
      </c>
      <c r="B9" s="118" t="s">
        <v>7</v>
      </c>
      <c r="C9" s="118" t="s">
        <v>114</v>
      </c>
      <c r="E9" s="118" t="s">
        <v>5</v>
      </c>
      <c r="F9" s="118" t="s">
        <v>7</v>
      </c>
      <c r="G9" s="118" t="s">
        <v>114</v>
      </c>
    </row>
    <row r="10" ht="15.0" customHeight="1">
      <c r="A10" s="44" t="str">
        <f>IF(CLIENTES!A4="","",CLIENTES!A4)</f>
        <v>OverShark</v>
      </c>
      <c r="B10" s="119">
        <f>IF(A10="","",SUMIF(INVENTARIO!$A$4:$A$843,A10,INVENTARIO!$E$4:$E$843))</f>
        <v>604</v>
      </c>
      <c r="C10" s="120">
        <f>IF(A10="","",SUMIF(INVENTARIO!$A$4:$A$843,A10,INVENTARIO!$H$4:$H$843))</f>
        <v>271970</v>
      </c>
      <c r="E10" s="44" t="str">
        <f>IF(TELAS!A4="","",TELAS!A4)</f>
        <v>jersey 30/1</v>
      </c>
      <c r="F10" s="119">
        <f>IF(E10="","",IF($C$2="TODOS",SUMIF(INVENTARIO!$B$4:$B$843,E10,INVENTARIO!$E$4:$E$843),SUMIFS(INVENTARIO!$E$4:$E$843,INVENTARIO!$B$4:$B$843,E10,INVENTARIO!$A$4:$A$843,$C$2)))</f>
        <v>136</v>
      </c>
      <c r="G10" s="120">
        <f>IF(E10="","",IF($C$2="TODOS",SUMIF(INVENTARIO!$B$4:$B$843,E10,INVENTARIO!$H$4:$H$843),SUMIFS(INVENTARIO!$H$4:$H$843,INVENTARIO!$B$4:$B$843,E10,INVENTARIO!$A$4:$A$843,$C$2)))</f>
        <v>56820</v>
      </c>
    </row>
    <row r="11" ht="15.0" customHeight="1">
      <c r="A11" s="44" t="str">
        <f>IF(CLIENTES!A5="","",CLIENTES!A5)</f>
        <v>Bravos</v>
      </c>
      <c r="B11" s="119">
        <f>IF(A11="","",SUMIF(INVENTARIO!$A$4:$A$843,A11,INVENTARIO!$E$4:$E$843))</f>
        <v>16</v>
      </c>
      <c r="C11" s="120">
        <f>IF(A11="","",SUMIF(INVENTARIO!$A$4:$A$843,A11,INVENTARIO!$H$4:$H$843))</f>
        <v>5220</v>
      </c>
      <c r="E11" s="44" t="str">
        <f>IF(TELAS!A5="","",IF(COUNTIF(TELAS!$A$4:A4,TELAS!A5)&gt;0,"",TELAS!A5))</f>
        <v>pique 30/1</v>
      </c>
      <c r="F11" s="119">
        <f>IF(E11="","",IF($C$2="TODOS",SUMIF(INVENTARIO!$B$4:$B$843,E11,INVENTARIO!$E$4:$E$843),SUMIFS(INVENTARIO!$E$4:$E$843,INVENTARIO!$B$4:$B$843,E11,INVENTARIO!$A$4:$A$843,$C$2)))</f>
        <v>93</v>
      </c>
      <c r="G11" s="120">
        <f>IF(E11="","",IF($C$2="TODOS",SUMIF(INVENTARIO!$B$4:$B$843,E11,INVENTARIO!$H$4:$H$843),SUMIFS(INVENTARIO!$H$4:$H$843,INVENTARIO!$B$4:$B$843,E11,INVENTARIO!$A$4:$A$843,$C$2)))</f>
        <v>40320</v>
      </c>
    </row>
    <row r="12" ht="15.0" customHeight="1">
      <c r="A12" s="44" t="str">
        <f>IF(CLIENTES!A6="","",CLIENTES!A6)</f>
        <v/>
      </c>
      <c r="B12" s="119" t="str">
        <f>IF(A12="","",SUMIF(INVENTARIO!$A$4:$A$843,A12,INVENTARIO!$E$4:$E$843))</f>
        <v/>
      </c>
      <c r="C12" s="120" t="str">
        <f>IF(A12="","",SUMIF(INVENTARIO!$A$4:$A$843,A12,INVENTARIO!$H$4:$H$843))</f>
        <v/>
      </c>
      <c r="E12" s="44" t="str">
        <f>IF(TELAS!A6="","",IF(COUNTIF(TELAS!$A$4:A5,TELAS!A6)&gt;0,"",TELAS!A6))</f>
        <v>wafle 30/1</v>
      </c>
      <c r="F12" s="119">
        <f>IF(E12="","",IF($C$2="TODOS",SUMIF(INVENTARIO!$B$4:$B$843,E12,INVENTARIO!$E$4:$E$843),SUMIFS(INVENTARIO!$E$4:$E$843,INVENTARIO!$B$4:$B$843,E12,INVENTARIO!$A$4:$A$843,$C$2)))</f>
        <v>188</v>
      </c>
      <c r="G12" s="120">
        <f>IF(E12="","",IF($C$2="TODOS",SUMIF(INVENTARIO!$B$4:$B$843,E12,INVENTARIO!$H$4:$H$843),SUMIFS(INVENTARIO!$H$4:$H$843,INVENTARIO!$B$4:$B$843,E12,INVENTARIO!$A$4:$A$843,$C$2)))</f>
        <v>87050</v>
      </c>
    </row>
    <row r="13" ht="15.0" customHeight="1">
      <c r="A13" s="44" t="str">
        <f>IF(CLIENTES!A7="","",CLIENTES!A7)</f>
        <v/>
      </c>
      <c r="B13" s="119" t="str">
        <f>IF(A13="","",SUMIF(INVENTARIO!$A$4:$A$843,A13,INVENTARIO!$E$4:$E$843))</f>
        <v/>
      </c>
      <c r="C13" s="120" t="str">
        <f>IF(A13="","",SUMIF(INVENTARIO!$A$4:$A$843,A13,INVENTARIO!$H$4:$H$843))</f>
        <v/>
      </c>
      <c r="E13" s="44" t="str">
        <f>IF(TELAS!A7="","",IF(COUNTIF(TELAS!$A$4:A6,TELAS!A7)&gt;0,"",TELAS!A7))</f>
        <v>french terry 24/1</v>
      </c>
      <c r="F13" s="119">
        <f>IF(E13="","",IF($C$2="TODOS",SUMIF(INVENTARIO!$B$4:$B$843,E13,INVENTARIO!$E$4:$E$843),SUMIFS(INVENTARIO!$E$4:$E$843,INVENTARIO!$B$4:$B$843,E13,INVENTARIO!$A$4:$A$843,$C$2)))</f>
        <v>31</v>
      </c>
      <c r="G13" s="120">
        <f>IF(E13="","",IF($C$2="TODOS",SUMIF(INVENTARIO!$B$4:$B$843,E13,INVENTARIO!$H$4:$H$843),SUMIFS(INVENTARIO!$H$4:$H$843,INVENTARIO!$B$4:$B$843,E13,INVENTARIO!$A$4:$A$843,$C$2)))</f>
        <v>12000</v>
      </c>
    </row>
    <row r="14" ht="15.0" customHeight="1">
      <c r="A14" s="44" t="str">
        <f>IF(CLIENTES!A8="","",CLIENTES!A8)</f>
        <v/>
      </c>
      <c r="B14" s="119" t="str">
        <f>IF(A14="","",SUMIF(INVENTARIO!$A$4:$A$843,A14,INVENTARIO!$E$4:$E$843))</f>
        <v/>
      </c>
      <c r="C14" s="120" t="str">
        <f>IF(A14="","",SUMIF(INVENTARIO!$A$4:$A$843,A14,INVENTARIO!$H$4:$H$843))</f>
        <v/>
      </c>
      <c r="E14" s="44" t="str">
        <f>IF(TELAS!A8="","",IF(COUNTIF(TELAS!$A$4:A7,TELAS!A8)&gt;0,"",TELAS!A8))</f>
        <v>rib 1x1</v>
      </c>
      <c r="F14" s="119">
        <f>IF(E14="","",IF($C$2="TODOS",SUMIF(INVENTARIO!$B$4:$B$843,E14,INVENTARIO!$E$4:$E$843),SUMIFS(INVENTARIO!$E$4:$E$843,INVENTARIO!$B$4:$B$843,E14,INVENTARIO!$A$4:$A$843,$C$2)))</f>
        <v>7</v>
      </c>
      <c r="G14" s="120">
        <f>IF(E14="","",IF($C$2="TODOS",SUMIF(INVENTARIO!$B$4:$B$843,E14,INVENTARIO!$H$4:$H$843),SUMIFS(INVENTARIO!$H$4:$H$843,INVENTARIO!$B$4:$B$843,E14,INVENTARIO!$A$4:$A$843,$C$2)))</f>
        <v>3240</v>
      </c>
    </row>
    <row r="15" ht="15.0" customHeight="1">
      <c r="A15" s="44" t="str">
        <f>IF(CLIENTES!A9="","",CLIENTES!A9)</f>
        <v/>
      </c>
      <c r="B15" s="119" t="str">
        <f>IF(A15="","",SUMIF(INVENTARIO!$A$4:$A$843,A15,INVENTARIO!$E$4:$E$843))</f>
        <v/>
      </c>
      <c r="C15" s="120" t="str">
        <f>IF(A15="","",SUMIF(INVENTARIO!$A$4:$A$843,A15,INVENTARIO!$H$4:$H$843))</f>
        <v/>
      </c>
      <c r="E15" s="44" t="str">
        <f>IF(TELAS!A9="","",IF(COUNTIF(TELAS!$A$4:A8,TELAS!A9)&gt;0,"",TELAS!A9))</f>
        <v>rib 2x1 lycrado</v>
      </c>
      <c r="F15" s="119">
        <f>IF(E15="","",IF($C$2="TODOS",SUMIF(INVENTARIO!$B$4:$B$843,E15,INVENTARIO!$E$4:$E$843),SUMIFS(INVENTARIO!$E$4:$E$843,INVENTARIO!$B$4:$B$843,E15,INVENTARIO!$A$4:$A$843,$C$2)))</f>
        <v>70</v>
      </c>
      <c r="G15" s="120">
        <f>IF(E15="","",IF($C$2="TODOS",SUMIF(INVENTARIO!$B$4:$B$843,E15,INVENTARIO!$H$4:$H$843),SUMIFS(INVENTARIO!$H$4:$H$843,INVENTARIO!$B$4:$B$843,E15,INVENTARIO!$A$4:$A$843,$C$2)))</f>
        <v>31020</v>
      </c>
    </row>
    <row r="16" ht="15.0" customHeight="1">
      <c r="A16" s="44" t="str">
        <f>IF(CLIENTES!A10="","",CLIENTES!A10)</f>
        <v/>
      </c>
      <c r="B16" s="119" t="str">
        <f>IF(A16="","",SUMIF(INVENTARIO!$A$4:$A$843,A16,INVENTARIO!$E$4:$E$843))</f>
        <v/>
      </c>
      <c r="C16" s="120" t="str">
        <f>IF(A16="","",SUMIF(INVENTARIO!$A$4:$A$843,A16,INVENTARIO!$H$4:$H$843))</f>
        <v/>
      </c>
      <c r="E16" s="44" t="str">
        <f>IF(TELAS!A10="","",IF(COUNTIF(TELAS!$A$4:A9,TELAS!A10)&gt;0,"",TELAS!A10))</f>
        <v>jersey full lycra 30/1</v>
      </c>
      <c r="F16" s="119">
        <f>IF(E16="","",IF($C$2="TODOS",SUMIF(INVENTARIO!$B$4:$B$843,E16,INVENTARIO!$E$4:$E$843),SUMIFS(INVENTARIO!$E$4:$E$843,INVENTARIO!$B$4:$B$843,E16,INVENTARIO!$A$4:$A$843,$C$2)))</f>
        <v>95</v>
      </c>
      <c r="G16" s="120">
        <f>IF(E16="","",IF($C$2="TODOS",SUMIF(INVENTARIO!$B$4:$B$843,E16,INVENTARIO!$H$4:$H$843),SUMIFS(INVENTARIO!$H$4:$H$843,INVENTARIO!$B$4:$B$843,E16,INVENTARIO!$A$4:$A$843,$C$2)))</f>
        <v>46740</v>
      </c>
    </row>
    <row r="17" ht="15.0" customHeight="1">
      <c r="A17" s="44" t="str">
        <f>IF(CLIENTES!A11="","",CLIENTES!A11)</f>
        <v/>
      </c>
      <c r="B17" s="119" t="str">
        <f>IF(A17="","",SUMIF(INVENTARIO!$A$4:$A$843,A17,INVENTARIO!$E$4:$E$843))</f>
        <v/>
      </c>
      <c r="C17" s="120" t="str">
        <f>IF(A17="","",SUMIF(INVENTARIO!$A$4:$A$843,A17,INVENTARIO!$H$4:$H$843))</f>
        <v/>
      </c>
      <c r="E17" s="44" t="str">
        <f>IF(TELAS!A11="","",IF(COUNTIF(TELAS!$A$4:A10,TELAS!A11)&gt;0,"",TELAS!A11))</f>
        <v/>
      </c>
      <c r="F17" s="119" t="str">
        <f>IF(E17="","",IF($C$2="TODOS",SUMIF(INVENTARIO!$B$4:$B$843,E17,INVENTARIO!$E$4:$E$843),SUMIFS(INVENTARIO!$E$4:$E$843,INVENTARIO!$B$4:$B$843,E17,INVENTARIO!$A$4:$A$843,$C$2)))</f>
        <v/>
      </c>
      <c r="G17" s="120" t="str">
        <f>IF(E17="","",IF($C$2="TODOS",SUMIF(INVENTARIO!$B$4:$B$843,E17,INVENTARIO!$H$4:$H$843),SUMIFS(INVENTARIO!$H$4:$H$843,INVENTARIO!$B$4:$B$843,E17,INVENTARIO!$A$4:$A$843,$C$2)))</f>
        <v/>
      </c>
    </row>
    <row r="18" ht="15.0" customHeight="1">
      <c r="A18" s="44" t="str">
        <f>IF(CLIENTES!A12="","",CLIENTES!A12)</f>
        <v/>
      </c>
      <c r="B18" s="119" t="str">
        <f>IF(A18="","",SUMIF(INVENTARIO!$A$4:$A$843,A18,INVENTARIO!$E$4:$E$843))</f>
        <v/>
      </c>
      <c r="C18" s="120" t="str">
        <f>IF(A18="","",SUMIF(INVENTARIO!$A$4:$A$843,A18,INVENTARIO!$H$4:$H$843))</f>
        <v/>
      </c>
      <c r="E18" s="44" t="str">
        <f>IF(TELAS!A12="","",IF(COUNTIF(TELAS!$A$4:A11,TELAS!A12)&gt;0,"",TELAS!A12))</f>
        <v/>
      </c>
      <c r="F18" s="119" t="str">
        <f>IF(E18="","",IF($C$2="TODOS",SUMIF(INVENTARIO!$B$4:$B$843,E18,INVENTARIO!$E$4:$E$843),SUMIFS(INVENTARIO!$E$4:$E$843,INVENTARIO!$B$4:$B$843,E18,INVENTARIO!$A$4:$A$843,$C$2)))</f>
        <v/>
      </c>
      <c r="G18" s="120" t="str">
        <f>IF(E18="","",IF($C$2="TODOS",SUMIF(INVENTARIO!$B$4:$B$843,E18,INVENTARIO!$H$4:$H$843),SUMIFS(INVENTARIO!$H$4:$H$843,INVENTARIO!$B$4:$B$843,E18,INVENTARIO!$A$4:$A$843,$C$2)))</f>
        <v/>
      </c>
    </row>
    <row r="19" ht="15.0" customHeight="1">
      <c r="A19" s="44" t="str">
        <f>IF(CLIENTES!A13="","",CLIENTES!A13)</f>
        <v/>
      </c>
      <c r="B19" s="119" t="str">
        <f>IF(A19="","",SUMIF(INVENTARIO!$A$4:$A$843,A19,INVENTARIO!$E$4:$E$843))</f>
        <v/>
      </c>
      <c r="C19" s="120" t="str">
        <f>IF(A19="","",SUMIF(INVENTARIO!$A$4:$A$843,A19,INVENTARIO!$H$4:$H$843))</f>
        <v/>
      </c>
      <c r="E19" s="44" t="str">
        <f>IF(TELAS!A13="","",IF(COUNTIF(TELAS!$A$4:A12,TELAS!A13)&gt;0,"",TELAS!A13))</f>
        <v/>
      </c>
      <c r="F19" s="119" t="str">
        <f>IF(E19="","",IF($C$2="TODOS",SUMIF(INVENTARIO!$B$4:$B$843,E19,INVENTARIO!$E$4:$E$843),SUMIFS(INVENTARIO!$E$4:$E$843,INVENTARIO!$B$4:$B$843,E19,INVENTARIO!$A$4:$A$843,$C$2)))</f>
        <v/>
      </c>
      <c r="G19" s="120" t="str">
        <f>IF(E19="","",IF($C$2="TODOS",SUMIF(INVENTARIO!$B$4:$B$843,E19,INVENTARIO!$H$4:$H$843),SUMIFS(INVENTARIO!$H$4:$H$843,INVENTARIO!$B$4:$B$843,E19,INVENTARIO!$A$4:$A$843,$C$2)))</f>
        <v/>
      </c>
    </row>
    <row r="20" ht="15.0" customHeight="1">
      <c r="E20" s="44" t="str">
        <f>IF(TELAS!A14="","",IF(COUNTIF(TELAS!$A$4:A13,TELAS!A14)&gt;0,"",TELAS!A14))</f>
        <v/>
      </c>
      <c r="F20" s="119" t="str">
        <f>IF(E20="","",IF($C$2="TODOS",SUMIF(INVENTARIO!$B$4:$B$843,E20,INVENTARIO!$E$4:$E$843),SUMIFS(INVENTARIO!$E$4:$E$843,INVENTARIO!$B$4:$B$843,E20,INVENTARIO!$A$4:$A$843,$C$2)))</f>
        <v/>
      </c>
      <c r="G20" s="120" t="str">
        <f>IF(E20="","",IF($C$2="TODOS",SUMIF(INVENTARIO!$B$4:$B$843,E20,INVENTARIO!$H$4:$H$843),SUMIFS(INVENTARIO!$H$4:$H$843,INVENTARIO!$B$4:$B$843,E20,INVENTARIO!$A$4:$A$843,$C$2)))</f>
        <v/>
      </c>
    </row>
    <row r="21" ht="15.0" customHeight="1">
      <c r="E21" s="44" t="str">
        <f>IF(TELAS!A15="","",IF(COUNTIF(TELAS!$A$4:A14,TELAS!A15)&gt;0,"",TELAS!A15))</f>
        <v/>
      </c>
      <c r="F21" s="119" t="str">
        <f>IF(E21="","",IF($C$2="TODOS",SUMIF(INVENTARIO!$B$4:$B$843,E21,INVENTARIO!$E$4:$E$843),SUMIFS(INVENTARIO!$E$4:$E$843,INVENTARIO!$B$4:$B$843,E21,INVENTARIO!$A$4:$A$843,$C$2)))</f>
        <v/>
      </c>
      <c r="G21" s="120" t="str">
        <f>IF(E21="","",IF($C$2="TODOS",SUMIF(INVENTARIO!$B$4:$B$843,E21,INVENTARIO!$H$4:$H$843),SUMIFS(INVENTARIO!$H$4:$H$843,INVENTARIO!$B$4:$B$843,E21,INVENTARIO!$A$4:$A$843,$C$2)))</f>
        <v/>
      </c>
    </row>
    <row r="22" ht="15.0" customHeight="1">
      <c r="E22" s="44" t="str">
        <f>IF(TELAS!A16="","",IF(COUNTIF(TELAS!$A$4:A15,TELAS!A16)&gt;0,"",TELAS!A16))</f>
        <v/>
      </c>
      <c r="F22" s="119" t="str">
        <f>IF(E22="","",IF($C$2="TODOS",SUMIF(INVENTARIO!$B$4:$B$843,E22,INVENTARIO!$E$4:$E$843),SUMIFS(INVENTARIO!$E$4:$E$843,INVENTARIO!$B$4:$B$843,E22,INVENTARIO!$A$4:$A$843,$C$2)))</f>
        <v/>
      </c>
      <c r="G22" s="120" t="str">
        <f>IF(E22="","",IF($C$2="TODOS",SUMIF(INVENTARIO!$B$4:$B$843,E22,INVENTARIO!$H$4:$H$843),SUMIFS(INVENTARIO!$H$4:$H$843,INVENTARIO!$B$4:$B$843,E22,INVENTARIO!$A$4:$A$843,$C$2)))</f>
        <v/>
      </c>
    </row>
    <row r="23" ht="15.0" customHeight="1">
      <c r="E23" s="44" t="str">
        <f>IF(TELAS!A17="","",IF(COUNTIF(TELAS!$A$4:A16,TELAS!A17)&gt;0,"",TELAS!A17))</f>
        <v/>
      </c>
      <c r="F23" s="119" t="str">
        <f>IF(E23="","",IF($C$2="TODOS",SUMIF(INVENTARIO!$B$4:$B$843,E23,INVENTARIO!$E$4:$E$843),SUMIFS(INVENTARIO!$E$4:$E$843,INVENTARIO!$B$4:$B$843,E23,INVENTARIO!$A$4:$A$843,$C$2)))</f>
        <v/>
      </c>
      <c r="G23" s="120" t="str">
        <f>IF(E23="","",IF($C$2="TODOS",SUMIF(INVENTARIO!$B$4:$B$843,E23,INVENTARIO!$H$4:$H$843),SUMIFS(INVENTARIO!$H$4:$H$843,INVENTARIO!$B$4:$B$843,E23,INVENTARIO!$A$4:$A$843,$C$2)))</f>
        <v/>
      </c>
    </row>
    <row r="24" ht="15.0" customHeight="1">
      <c r="E24" s="44" t="str">
        <f>IF(TELAS!A18="","",IF(COUNTIF(TELAS!$A$4:A17,TELAS!A18)&gt;0,"",TELAS!A18))</f>
        <v/>
      </c>
      <c r="F24" s="119" t="str">
        <f>IF(E24="","",IF($C$2="TODOS",SUMIF(INVENTARIO!$B$4:$B$843,E24,INVENTARIO!$E$4:$E$843),SUMIFS(INVENTARIO!$E$4:$E$843,INVENTARIO!$B$4:$B$843,E24,INVENTARIO!$A$4:$A$843,$C$2)))</f>
        <v/>
      </c>
      <c r="G24" s="120" t="str">
        <f>IF(E24="","",IF($C$2="TODOS",SUMIF(INVENTARIO!$B$4:$B$843,E24,INVENTARIO!$H$4:$H$843),SUMIFS(INVENTARIO!$H$4:$H$843,INVENTARIO!$B$4:$B$843,E24,INVENTARIO!$A$4:$A$843,$C$2)))</f>
        <v/>
      </c>
    </row>
    <row r="25" ht="15.75" customHeight="1"/>
    <row r="26" ht="21.75" customHeight="1">
      <c r="A26" s="121" t="s">
        <v>391</v>
      </c>
      <c r="B26" s="2"/>
      <c r="C26" s="2"/>
      <c r="D26" s="2"/>
      <c r="E26" s="2"/>
      <c r="F26" s="2"/>
      <c r="G26" s="3"/>
    </row>
    <row r="27" ht="15.0" customHeight="1">
      <c r="A27" s="37" t="s">
        <v>392</v>
      </c>
      <c r="B27" s="122">
        <f>COUNTIFS(INVENTARIO!$I$4:$I$843,"CRÍTICO")</f>
        <v>16</v>
      </c>
      <c r="C27" s="37" t="s">
        <v>393</v>
      </c>
      <c r="D27" s="123">
        <f>COUNTIFS(INVENTARIO!$I$4:$I$843,"BAJO")</f>
        <v>30</v>
      </c>
      <c r="E27" s="37" t="s">
        <v>394</v>
      </c>
      <c r="F27" s="124">
        <f>COUNTIFS(INVENTARIO!$I$4:$I$843,"OK")</f>
        <v>15</v>
      </c>
    </row>
    <row r="28" ht="15.75" customHeight="1"/>
    <row r="29" ht="21.75" customHeight="1">
      <c r="A29" s="125" t="s">
        <v>395</v>
      </c>
      <c r="B29" s="2"/>
      <c r="C29" s="2"/>
      <c r="D29" s="2"/>
      <c r="E29" s="2"/>
      <c r="F29" s="2"/>
      <c r="G29" s="3"/>
    </row>
    <row r="30" ht="21.75" customHeight="1">
      <c r="A30" s="64" t="s">
        <v>338</v>
      </c>
      <c r="B30" s="64" t="s">
        <v>339</v>
      </c>
      <c r="C30" s="64" t="s">
        <v>396</v>
      </c>
      <c r="D30" s="64" t="s">
        <v>397</v>
      </c>
      <c r="E30" s="64" t="s">
        <v>398</v>
      </c>
    </row>
    <row r="31" ht="15.0" customHeight="1">
      <c r="A31" s="44" t="str">
        <f>IF(PRODUCTOS!A4="","",PRODUCTOS!A4)</f>
        <v>Polo clásico jersey</v>
      </c>
      <c r="B31" s="126" t="str">
        <f>IF(A31="","",PRODUCTOS!B4)</f>
        <v>jersey 30/1</v>
      </c>
      <c r="C31" s="127">
        <f>IF(A31="","",IF($C$2="TODOS",SUMIF(INVENTARIO!$B$4:$B$843,B31,INVENTARIO!$F$4:$F$843),SUMIFS(INVENTARIO!$F$4:$F$843,INVENTARIO!$B$4:$B$843,B31,INVENTARIO!$A$4:$A$843,$C$2)))</f>
        <v>2720</v>
      </c>
      <c r="D31" s="128">
        <f>IF(A31="","",PRODUCTOS!C4)</f>
        <v>6</v>
      </c>
      <c r="E31" s="129">
        <f t="shared" ref="E31:E60" si="1">IFERROR(C31*D31,0)</f>
        <v>16320</v>
      </c>
    </row>
    <row r="32" ht="15.0" customHeight="1">
      <c r="A32" s="44" t="str">
        <f>IF(PRODUCTOS!A5="","",PRODUCTOS!A5)</f>
        <v>Polo clásico wafle</v>
      </c>
      <c r="B32" s="126" t="str">
        <f>IF(A32="","",PRODUCTOS!B5)</f>
        <v>wafle 30/1</v>
      </c>
      <c r="C32" s="127">
        <f>IF(A32="","",IF($C$2="TODOS",SUMIF(INVENTARIO!$B$4:$B$843,B32,INVENTARIO!$F$4:$F$843),SUMIFS(INVENTARIO!$F$4:$F$843,INVENTARIO!$B$4:$B$843,B32,INVENTARIO!$A$4:$A$843,$C$2)))</f>
        <v>3760</v>
      </c>
      <c r="D32" s="128">
        <f>IF(A32="","",PRODUCTOS!C5)</f>
        <v>5.5</v>
      </c>
      <c r="E32" s="129">
        <f t="shared" si="1"/>
        <v>20680</v>
      </c>
    </row>
    <row r="33" ht="15.0" customHeight="1">
      <c r="A33" s="44" t="str">
        <f>IF(PRODUCTOS!A6="","",PRODUCTOS!A6)</f>
        <v>Polo manga larga jersey</v>
      </c>
      <c r="B33" s="126" t="str">
        <f>IF(A33="","",PRODUCTOS!B6)</f>
        <v>jersey 30/1</v>
      </c>
      <c r="C33" s="127">
        <f>IF(A33="","",IF($C$2="TODOS",SUMIF(INVENTARIO!$B$4:$B$843,B33,INVENTARIO!$F$4:$F$843),SUMIFS(INVENTARIO!$F$4:$F$843,INVENTARIO!$B$4:$B$843,B33,INVENTARIO!$A$4:$A$843,$C$2)))</f>
        <v>2720</v>
      </c>
      <c r="D33" s="128">
        <f>IF(A33="","",PRODUCTOS!C6)</f>
        <v>5</v>
      </c>
      <c r="E33" s="129">
        <f t="shared" si="1"/>
        <v>13600</v>
      </c>
    </row>
    <row r="34" ht="15.0" customHeight="1">
      <c r="A34" s="44" t="str">
        <f>IF(PRODUCTOS!A7="","",PRODUCTOS!A7)</f>
        <v>Polo manga larga wafle</v>
      </c>
      <c r="B34" s="126" t="str">
        <f>IF(A34="","",PRODUCTOS!B7)</f>
        <v>wafle 30/1</v>
      </c>
      <c r="C34" s="127">
        <f>IF(A34="","",IF($C$2="TODOS",SUMIF(INVENTARIO!$B$4:$B$843,B34,INVENTARIO!$F$4:$F$843),SUMIFS(INVENTARIO!$F$4:$F$843,INVENTARIO!$B$4:$B$843,B34,INVENTARIO!$A$4:$A$843,$C$2)))</f>
        <v>3760</v>
      </c>
      <c r="D34" s="128">
        <f>IF(A34="","",PRODUCTOS!C7)</f>
        <v>4.5</v>
      </c>
      <c r="E34" s="129">
        <f t="shared" si="1"/>
        <v>16920</v>
      </c>
    </row>
    <row r="35" ht="15.0" customHeight="1">
      <c r="A35" s="44" t="str">
        <f>IF(PRODUCTOS!A8="","",PRODUCTOS!A8)</f>
        <v>Camisero pique</v>
      </c>
      <c r="B35" s="126" t="str">
        <f>IF(A35="","",PRODUCTOS!B8)</f>
        <v>pique 30/1</v>
      </c>
      <c r="C35" s="127">
        <f>IF(A35="","",IF($C$2="TODOS",SUMIF(INVENTARIO!$B$4:$B$843,B35,INVENTARIO!$F$4:$F$843),SUMIFS(INVENTARIO!$F$4:$F$843,INVENTARIO!$B$4:$B$843,B35,INVENTARIO!$A$4:$A$843,$C$2)))</f>
        <v>1860</v>
      </c>
      <c r="D35" s="128">
        <f>IF(A35="","",PRODUCTOS!C8)</f>
        <v>5</v>
      </c>
      <c r="E35" s="129">
        <f t="shared" si="1"/>
        <v>9300</v>
      </c>
    </row>
    <row r="36" ht="15.0" customHeight="1">
      <c r="A36" s="44" t="str">
        <f>IF(PRODUCTOS!A9="","",PRODUCTOS!A9)</f>
        <v>Camisero wafle</v>
      </c>
      <c r="B36" s="126" t="str">
        <f>IF(A36="","",PRODUCTOS!B9)</f>
        <v>wafle 30/1</v>
      </c>
      <c r="C36" s="127">
        <f>IF(A36="","",IF($C$2="TODOS",SUMIF(INVENTARIO!$B$4:$B$843,B36,INVENTARIO!$F$4:$F$843),SUMIFS(INVENTARIO!$F$4:$F$843,INVENTARIO!$B$4:$B$843,B36,INVENTARIO!$A$4:$A$843,$C$2)))</f>
        <v>3760</v>
      </c>
      <c r="D36" s="128">
        <f>IF(A36="","",PRODUCTOS!C9)</f>
        <v>4.5</v>
      </c>
      <c r="E36" s="129">
        <f t="shared" si="1"/>
        <v>16920</v>
      </c>
    </row>
    <row r="37" ht="15.0" customHeight="1">
      <c r="A37" s="44" t="str">
        <f>IF(PRODUCTOS!A10="","",PRODUCTOS!A10)</f>
        <v>Camisa wafle</v>
      </c>
      <c r="B37" s="126" t="str">
        <f>IF(A37="","",PRODUCTOS!B10)</f>
        <v>wafle 30/1</v>
      </c>
      <c r="C37" s="127">
        <f>IF(A37="","",IF($C$2="TODOS",SUMIF(INVENTARIO!$B$4:$B$843,B37,INVENTARIO!$F$4:$F$843),SUMIFS(INVENTARIO!$F$4:$F$843,INVENTARIO!$B$4:$B$843,B37,INVENTARIO!$A$4:$A$843,$C$2)))</f>
        <v>3760</v>
      </c>
      <c r="D37" s="128">
        <f>IF(A37="","",PRODUCTOS!C10)</f>
        <v>4</v>
      </c>
      <c r="E37" s="129">
        <f t="shared" si="1"/>
        <v>15040</v>
      </c>
    </row>
    <row r="38" ht="15.0" customHeight="1">
      <c r="A38" s="44" t="str">
        <f>IF(PRODUCTOS!A11="","",PRODUCTOS!A11)</f>
        <v>Top cero rib mujer</v>
      </c>
      <c r="B38" s="126" t="str">
        <f>IF(A38="","",PRODUCTOS!B11)</f>
        <v>jersey 30/1</v>
      </c>
      <c r="C38" s="127">
        <f>IF(A38="","",IF($C$2="TODOS",SUMIF(INVENTARIO!$B$4:$B$843,B38,INVENTARIO!$F$4:$F$843),SUMIFS(INVENTARIO!$F$4:$F$843,INVENTARIO!$B$4:$B$843,B38,INVENTARIO!$A$4:$A$843,$C$2)))</f>
        <v>2720</v>
      </c>
      <c r="D38" s="128">
        <f>IF(A38="","",PRODUCTOS!C11)</f>
        <v>7</v>
      </c>
      <c r="E38" s="129">
        <f t="shared" si="1"/>
        <v>19040</v>
      </c>
    </row>
    <row r="39" ht="15.0" customHeight="1">
      <c r="A39" s="44" t="str">
        <f>IF(PRODUCTOS!A12="","",PRODUCTOS!A12)</f>
        <v>Baby ty mc</v>
      </c>
      <c r="B39" s="126" t="str">
        <f>IF(A39="","",PRODUCTOS!B12)</f>
        <v>jersey 30/1</v>
      </c>
      <c r="C39" s="127">
        <f>IF(A39="","",IF($C$2="TODOS",SUMIF(INVENTARIO!$B$4:$B$843,B39,INVENTARIO!$F$4:$F$843),SUMIFS(INVENTARIO!$F$4:$F$843,INVENTARIO!$B$4:$B$843,B39,INVENTARIO!$A$4:$A$843,$C$2)))</f>
        <v>2720</v>
      </c>
      <c r="D39" s="128">
        <f>IF(A39="","",PRODUCTOS!C12)</f>
        <v>6.5</v>
      </c>
      <c r="E39" s="129">
        <f t="shared" si="1"/>
        <v>17680</v>
      </c>
    </row>
    <row r="40" ht="15.0" customHeight="1">
      <c r="A40" s="44" t="str">
        <f>IF(PRODUCTOS!A13="","",PRODUCTOS!A13)</f>
        <v>Polera neru</v>
      </c>
      <c r="B40" s="126" t="str">
        <f>IF(A40="","",PRODUCTOS!B13)</f>
        <v>french terry 24/1</v>
      </c>
      <c r="C40" s="127">
        <f>IF(A40="","",IF($C$2="TODOS",SUMIF(INVENTARIO!$B$4:$B$843,B40,INVENTARIO!$F$4:$F$843),SUMIFS(INVENTARIO!$F$4:$F$843,INVENTARIO!$B$4:$B$843,B40,INVENTARIO!$A$4:$A$843,$C$2)))</f>
        <v>620</v>
      </c>
      <c r="D40" s="128">
        <f>IF(A40="","",PRODUCTOS!C13)</f>
        <v>4</v>
      </c>
      <c r="E40" s="129">
        <f t="shared" si="1"/>
        <v>2480</v>
      </c>
    </row>
    <row r="41" ht="15.0" customHeight="1">
      <c r="A41" s="44" t="str">
        <f>IF(PRODUCTOS!A14="","",PRODUCTOS!A14)</f>
        <v>Polera cuello redondo</v>
      </c>
      <c r="B41" s="126" t="str">
        <f>IF(A41="","",PRODUCTOS!B14)</f>
        <v>french terry 24/1</v>
      </c>
      <c r="C41" s="127">
        <f>IF(A41="","",IF($C$2="TODOS",SUMIF(INVENTARIO!$B$4:$B$843,B41,INVENTARIO!$F$4:$F$843),SUMIFS(INVENTARIO!$F$4:$F$843,INVENTARIO!$B$4:$B$843,B41,INVENTARIO!$A$4:$A$843,$C$2)))</f>
        <v>620</v>
      </c>
      <c r="D41" s="128">
        <f>IF(A41="","",PRODUCTOS!C14)</f>
        <v>4.5</v>
      </c>
      <c r="E41" s="129">
        <f t="shared" si="1"/>
        <v>2790</v>
      </c>
    </row>
    <row r="42" ht="15.0" customHeight="1">
      <c r="A42" s="44" t="str">
        <f>IF(PRODUCTOS!A15="","",PRODUCTOS!A15)</f>
        <v>Pique cuello chino</v>
      </c>
      <c r="B42" s="126" t="str">
        <f>IF(A42="","",PRODUCTOS!B15)</f>
        <v>pique 30/1</v>
      </c>
      <c r="C42" s="127">
        <f>IF(A42="","",IF($C$2="TODOS",SUMIF(INVENTARIO!$B$4:$B$843,B42,INVENTARIO!$F$4:$F$843),SUMIFS(INVENTARIO!$F$4:$F$843,INVENTARIO!$B$4:$B$843,B42,INVENTARIO!$A$4:$A$843,$C$2)))</f>
        <v>1860</v>
      </c>
      <c r="D42" s="128">
        <f>IF(A42="","",PRODUCTOS!C15)</f>
        <v>5</v>
      </c>
      <c r="E42" s="129">
        <f t="shared" si="1"/>
        <v>9300</v>
      </c>
    </row>
    <row r="43" ht="15.0" customHeight="1">
      <c r="A43" s="44" t="str">
        <f>IF(PRODUCTOS!A16="","",PRODUCTOS!A16)</f>
        <v/>
      </c>
      <c r="B43" s="126" t="str">
        <f>IF(A43="","",PRODUCTOS!B16)</f>
        <v/>
      </c>
      <c r="C43" s="127" t="str">
        <f>IF(A43="","",IF($C$2="TODOS",SUMIF(INVENTARIO!$B$4:$B$843,B43,INVENTARIO!$F$4:$F$843),SUMIFS(INVENTARIO!$F$4:$F$843,INVENTARIO!$B$4:$B$843,B43,INVENTARIO!$A$4:$A$843,$C$2)))</f>
        <v/>
      </c>
      <c r="D43" s="128" t="str">
        <f>IF(A43="","",PRODUCTOS!C16)</f>
        <v/>
      </c>
      <c r="E43" s="129">
        <f t="shared" si="1"/>
        <v>0</v>
      </c>
    </row>
    <row r="44" ht="15.0" customHeight="1">
      <c r="A44" s="44" t="str">
        <f>IF(PRODUCTOS!A17="","",PRODUCTOS!A17)</f>
        <v/>
      </c>
      <c r="B44" s="126" t="str">
        <f>IF(A44="","",PRODUCTOS!B17)</f>
        <v/>
      </c>
      <c r="C44" s="127" t="str">
        <f>IF(A44="","",IF($C$2="TODOS",SUMIF(INVENTARIO!$B$4:$B$843,B44,INVENTARIO!$F$4:$F$843),SUMIFS(INVENTARIO!$F$4:$F$843,INVENTARIO!$B$4:$B$843,B44,INVENTARIO!$A$4:$A$843,$C$2)))</f>
        <v/>
      </c>
      <c r="D44" s="128" t="str">
        <f>IF(A44="","",PRODUCTOS!C17)</f>
        <v/>
      </c>
      <c r="E44" s="129">
        <f t="shared" si="1"/>
        <v>0</v>
      </c>
    </row>
    <row r="45" ht="15.0" customHeight="1">
      <c r="A45" s="44" t="str">
        <f>IF(PRODUCTOS!A18="","",PRODUCTOS!A18)</f>
        <v/>
      </c>
      <c r="B45" s="126" t="str">
        <f>IF(A45="","",PRODUCTOS!B18)</f>
        <v/>
      </c>
      <c r="C45" s="127" t="str">
        <f>IF(A45="","",IF($C$2="TODOS",SUMIF(INVENTARIO!$B$4:$B$843,B45,INVENTARIO!$F$4:$F$843),SUMIFS(INVENTARIO!$F$4:$F$843,INVENTARIO!$B$4:$B$843,B45,INVENTARIO!$A$4:$A$843,$C$2)))</f>
        <v/>
      </c>
      <c r="D45" s="128" t="str">
        <f>IF(A45="","",PRODUCTOS!C18)</f>
        <v/>
      </c>
      <c r="E45" s="129">
        <f t="shared" si="1"/>
        <v>0</v>
      </c>
    </row>
    <row r="46" ht="15.0" customHeight="1">
      <c r="A46" s="44" t="str">
        <f>IF(PRODUCTOS!A19="","",PRODUCTOS!A19)</f>
        <v/>
      </c>
      <c r="B46" s="126" t="str">
        <f>IF(A46="","",PRODUCTOS!B19)</f>
        <v/>
      </c>
      <c r="C46" s="127" t="str">
        <f>IF(A46="","",IF($C$2="TODOS",SUMIF(INVENTARIO!$B$4:$B$843,B46,INVENTARIO!$F$4:$F$843),SUMIFS(INVENTARIO!$F$4:$F$843,INVENTARIO!$B$4:$B$843,B46,INVENTARIO!$A$4:$A$843,$C$2)))</f>
        <v/>
      </c>
      <c r="D46" s="128" t="str">
        <f>IF(A46="","",PRODUCTOS!C19)</f>
        <v/>
      </c>
      <c r="E46" s="129">
        <f t="shared" si="1"/>
        <v>0</v>
      </c>
    </row>
    <row r="47" ht="15.0" customHeight="1">
      <c r="A47" s="44" t="str">
        <f>IF(PRODUCTOS!A20="","",PRODUCTOS!A20)</f>
        <v/>
      </c>
      <c r="B47" s="126" t="str">
        <f>IF(A47="","",PRODUCTOS!B20)</f>
        <v/>
      </c>
      <c r="C47" s="127" t="str">
        <f>IF(A47="","",IF($C$2="TODOS",SUMIF(INVENTARIO!$B$4:$B$843,B47,INVENTARIO!$F$4:$F$843),SUMIFS(INVENTARIO!$F$4:$F$843,INVENTARIO!$B$4:$B$843,B47,INVENTARIO!$A$4:$A$843,$C$2)))</f>
        <v/>
      </c>
      <c r="D47" s="128" t="str">
        <f>IF(A47="","",PRODUCTOS!C20)</f>
        <v/>
      </c>
      <c r="E47" s="129">
        <f t="shared" si="1"/>
        <v>0</v>
      </c>
    </row>
    <row r="48" ht="15.0" customHeight="1">
      <c r="A48" s="44" t="str">
        <f>IF(PRODUCTOS!A21="","",PRODUCTOS!A21)</f>
        <v/>
      </c>
      <c r="B48" s="126" t="str">
        <f>IF(A48="","",PRODUCTOS!B21)</f>
        <v/>
      </c>
      <c r="C48" s="127" t="str">
        <f>IF(A48="","",IF($C$2="TODOS",SUMIF(INVENTARIO!$B$4:$B$843,B48,INVENTARIO!$F$4:$F$843),SUMIFS(INVENTARIO!$F$4:$F$843,INVENTARIO!$B$4:$B$843,B48,INVENTARIO!$A$4:$A$843,$C$2)))</f>
        <v/>
      </c>
      <c r="D48" s="128" t="str">
        <f>IF(A48="","",PRODUCTOS!C21)</f>
        <v/>
      </c>
      <c r="E48" s="129">
        <f t="shared" si="1"/>
        <v>0</v>
      </c>
    </row>
    <row r="49" ht="15.0" customHeight="1">
      <c r="A49" s="44" t="str">
        <f>IF(PRODUCTOS!A22="","",PRODUCTOS!A22)</f>
        <v/>
      </c>
      <c r="B49" s="126" t="str">
        <f>IF(A49="","",PRODUCTOS!B22)</f>
        <v/>
      </c>
      <c r="C49" s="127" t="str">
        <f>IF(A49="","",IF($C$2="TODOS",SUMIF(INVENTARIO!$B$4:$B$843,B49,INVENTARIO!$F$4:$F$843),SUMIFS(INVENTARIO!$F$4:$F$843,INVENTARIO!$B$4:$B$843,B49,INVENTARIO!$A$4:$A$843,$C$2)))</f>
        <v/>
      </c>
      <c r="D49" s="128" t="str">
        <f>IF(A49="","",PRODUCTOS!C22)</f>
        <v/>
      </c>
      <c r="E49" s="129">
        <f t="shared" si="1"/>
        <v>0</v>
      </c>
    </row>
    <row r="50" ht="15.0" customHeight="1">
      <c r="A50" s="44" t="str">
        <f>IF(PRODUCTOS!A23="","",PRODUCTOS!A23)</f>
        <v/>
      </c>
      <c r="B50" s="126" t="str">
        <f>IF(A50="","",PRODUCTOS!B23)</f>
        <v/>
      </c>
      <c r="C50" s="127" t="str">
        <f>IF(A50="","",IF($C$2="TODOS",SUMIF(INVENTARIO!$B$4:$B$843,B50,INVENTARIO!$F$4:$F$843),SUMIFS(INVENTARIO!$F$4:$F$843,INVENTARIO!$B$4:$B$843,B50,INVENTARIO!$A$4:$A$843,$C$2)))</f>
        <v/>
      </c>
      <c r="D50" s="128" t="str">
        <f>IF(A50="","",PRODUCTOS!C23)</f>
        <v/>
      </c>
      <c r="E50" s="129">
        <f t="shared" si="1"/>
        <v>0</v>
      </c>
    </row>
    <row r="51" ht="15.0" customHeight="1">
      <c r="A51" s="44" t="str">
        <f>IF(PRODUCTOS!A24="","",PRODUCTOS!A24)</f>
        <v/>
      </c>
      <c r="B51" s="126" t="str">
        <f>IF(A51="","",PRODUCTOS!B24)</f>
        <v/>
      </c>
      <c r="C51" s="127" t="str">
        <f>IF(A51="","",IF($C$2="TODOS",SUMIF(INVENTARIO!$B$4:$B$843,B51,INVENTARIO!$F$4:$F$843),SUMIFS(INVENTARIO!$F$4:$F$843,INVENTARIO!$B$4:$B$843,B51,INVENTARIO!$A$4:$A$843,$C$2)))</f>
        <v/>
      </c>
      <c r="D51" s="128" t="str">
        <f>IF(A51="","",PRODUCTOS!C24)</f>
        <v/>
      </c>
      <c r="E51" s="129">
        <f t="shared" si="1"/>
        <v>0</v>
      </c>
    </row>
    <row r="52" ht="15.0" customHeight="1">
      <c r="A52" s="44" t="str">
        <f>IF(PRODUCTOS!A25="","",PRODUCTOS!A25)</f>
        <v/>
      </c>
      <c r="B52" s="126" t="str">
        <f>IF(A52="","",PRODUCTOS!B25)</f>
        <v/>
      </c>
      <c r="C52" s="127" t="str">
        <f>IF(A52="","",IF($C$2="TODOS",SUMIF(INVENTARIO!$B$4:$B$843,B52,INVENTARIO!$F$4:$F$843),SUMIFS(INVENTARIO!$F$4:$F$843,INVENTARIO!$B$4:$B$843,B52,INVENTARIO!$A$4:$A$843,$C$2)))</f>
        <v/>
      </c>
      <c r="D52" s="128" t="str">
        <f>IF(A52="","",PRODUCTOS!C25)</f>
        <v/>
      </c>
      <c r="E52" s="129">
        <f t="shared" si="1"/>
        <v>0</v>
      </c>
    </row>
    <row r="53" ht="15.0" customHeight="1">
      <c r="A53" s="44" t="str">
        <f>IF(PRODUCTOS!A26="","",PRODUCTOS!A26)</f>
        <v/>
      </c>
      <c r="B53" s="126" t="str">
        <f>IF(A53="","",PRODUCTOS!B26)</f>
        <v/>
      </c>
      <c r="C53" s="127" t="str">
        <f>IF(A53="","",IF($C$2="TODOS",SUMIF(INVENTARIO!$B$4:$B$843,B53,INVENTARIO!$F$4:$F$843),SUMIFS(INVENTARIO!$F$4:$F$843,INVENTARIO!$B$4:$B$843,B53,INVENTARIO!$A$4:$A$843,$C$2)))</f>
        <v/>
      </c>
      <c r="D53" s="128" t="str">
        <f>IF(A53="","",PRODUCTOS!C26)</f>
        <v/>
      </c>
      <c r="E53" s="129">
        <f t="shared" si="1"/>
        <v>0</v>
      </c>
    </row>
    <row r="54" ht="15.0" customHeight="1">
      <c r="A54" s="44" t="str">
        <f>IF(PRODUCTOS!A27="","",PRODUCTOS!A27)</f>
        <v/>
      </c>
      <c r="B54" s="126" t="str">
        <f>IF(A54="","",PRODUCTOS!B27)</f>
        <v/>
      </c>
      <c r="C54" s="127" t="str">
        <f>IF(A54="","",IF($C$2="TODOS",SUMIF(INVENTARIO!$B$4:$B$843,B54,INVENTARIO!$F$4:$F$843),SUMIFS(INVENTARIO!$F$4:$F$843,INVENTARIO!$B$4:$B$843,B54,INVENTARIO!$A$4:$A$843,$C$2)))</f>
        <v/>
      </c>
      <c r="D54" s="128" t="str">
        <f>IF(A54="","",PRODUCTOS!C27)</f>
        <v/>
      </c>
      <c r="E54" s="129">
        <f t="shared" si="1"/>
        <v>0</v>
      </c>
    </row>
    <row r="55" ht="15.0" customHeight="1">
      <c r="A55" s="44" t="str">
        <f>IF(PRODUCTOS!A28="","",PRODUCTOS!A28)</f>
        <v/>
      </c>
      <c r="B55" s="126" t="str">
        <f>IF(A55="","",PRODUCTOS!B28)</f>
        <v/>
      </c>
      <c r="C55" s="127" t="str">
        <f>IF(A55="","",IF($C$2="TODOS",SUMIF(INVENTARIO!$B$4:$B$843,B55,INVENTARIO!$F$4:$F$843),SUMIFS(INVENTARIO!$F$4:$F$843,INVENTARIO!$B$4:$B$843,B55,INVENTARIO!$A$4:$A$843,$C$2)))</f>
        <v/>
      </c>
      <c r="D55" s="128" t="str">
        <f>IF(A55="","",PRODUCTOS!C28)</f>
        <v/>
      </c>
      <c r="E55" s="129">
        <f t="shared" si="1"/>
        <v>0</v>
      </c>
    </row>
    <row r="56" ht="15.0" customHeight="1">
      <c r="A56" s="44" t="str">
        <f>IF(PRODUCTOS!A29="","",PRODUCTOS!A29)</f>
        <v/>
      </c>
      <c r="B56" s="126" t="str">
        <f>IF(A56="","",PRODUCTOS!B29)</f>
        <v/>
      </c>
      <c r="C56" s="127" t="str">
        <f>IF(A56="","",IF($C$2="TODOS",SUMIF(INVENTARIO!$B$4:$B$843,B56,INVENTARIO!$F$4:$F$843),SUMIFS(INVENTARIO!$F$4:$F$843,INVENTARIO!$B$4:$B$843,B56,INVENTARIO!$A$4:$A$843,$C$2)))</f>
        <v/>
      </c>
      <c r="D56" s="128" t="str">
        <f>IF(A56="","",PRODUCTOS!C29)</f>
        <v/>
      </c>
      <c r="E56" s="129">
        <f t="shared" si="1"/>
        <v>0</v>
      </c>
    </row>
    <row r="57" ht="15.0" customHeight="1">
      <c r="A57" s="44" t="str">
        <f>IF(PRODUCTOS!A30="","",PRODUCTOS!A30)</f>
        <v/>
      </c>
      <c r="B57" s="126" t="str">
        <f>IF(A57="","",PRODUCTOS!B30)</f>
        <v/>
      </c>
      <c r="C57" s="127" t="str">
        <f>IF(A57="","",IF($C$2="TODOS",SUMIF(INVENTARIO!$B$4:$B$843,B57,INVENTARIO!$F$4:$F$843),SUMIFS(INVENTARIO!$F$4:$F$843,INVENTARIO!$B$4:$B$843,B57,INVENTARIO!$A$4:$A$843,$C$2)))</f>
        <v/>
      </c>
      <c r="D57" s="128" t="str">
        <f>IF(A57="","",PRODUCTOS!C30)</f>
        <v/>
      </c>
      <c r="E57" s="129">
        <f t="shared" si="1"/>
        <v>0</v>
      </c>
    </row>
    <row r="58" ht="15.0" customHeight="1">
      <c r="A58" s="44" t="str">
        <f>IF(PRODUCTOS!A31="","",PRODUCTOS!A31)</f>
        <v/>
      </c>
      <c r="B58" s="126" t="str">
        <f>IF(A58="","",PRODUCTOS!B31)</f>
        <v/>
      </c>
      <c r="C58" s="127" t="str">
        <f>IF(A58="","",IF($C$2="TODOS",SUMIF(INVENTARIO!$B$4:$B$843,B58,INVENTARIO!$F$4:$F$843),SUMIFS(INVENTARIO!$F$4:$F$843,INVENTARIO!$B$4:$B$843,B58,INVENTARIO!$A$4:$A$843,$C$2)))</f>
        <v/>
      </c>
      <c r="D58" s="128" t="str">
        <f>IF(A58="","",PRODUCTOS!C31)</f>
        <v/>
      </c>
      <c r="E58" s="129">
        <f t="shared" si="1"/>
        <v>0</v>
      </c>
    </row>
    <row r="59" ht="15.0" customHeight="1">
      <c r="A59" s="44" t="str">
        <f>IF(PRODUCTOS!A32="","",PRODUCTOS!A32)</f>
        <v/>
      </c>
      <c r="B59" s="126" t="str">
        <f>IF(A59="","",PRODUCTOS!B32)</f>
        <v/>
      </c>
      <c r="C59" s="127" t="str">
        <f>IF(A59="","",IF($C$2="TODOS",SUMIF(INVENTARIO!$B$4:$B$843,B59,INVENTARIO!$F$4:$F$843),SUMIFS(INVENTARIO!$F$4:$F$843,INVENTARIO!$B$4:$B$843,B59,INVENTARIO!$A$4:$A$843,$C$2)))</f>
        <v/>
      </c>
      <c r="D59" s="128" t="str">
        <f>IF(A59="","",PRODUCTOS!C32)</f>
        <v/>
      </c>
      <c r="E59" s="129">
        <f t="shared" si="1"/>
        <v>0</v>
      </c>
    </row>
    <row r="60" ht="15.0" customHeight="1">
      <c r="A60" s="44" t="str">
        <f>IF(PRODUCTOS!A33="","",PRODUCTOS!A33)</f>
        <v/>
      </c>
      <c r="B60" s="126" t="str">
        <f>IF(A60="","",PRODUCTOS!B33)</f>
        <v/>
      </c>
      <c r="C60" s="127" t="str">
        <f>IF(A60="","",IF($C$2="TODOS",SUMIF(INVENTARIO!$B$4:$B$843,B60,INVENTARIO!$F$4:$F$843),SUMIFS(INVENTARIO!$F$4:$F$843,INVENTARIO!$B$4:$B$843,B60,INVENTARIO!$A$4:$A$843,$C$2)))</f>
        <v/>
      </c>
      <c r="D60" s="128" t="str">
        <f>IF(A60="","",PRODUCTOS!C33)</f>
        <v/>
      </c>
      <c r="E60" s="129">
        <f t="shared" si="1"/>
        <v>0</v>
      </c>
    </row>
    <row r="61" ht="15.75" customHeight="1"/>
    <row r="62" ht="21.75" customHeight="1">
      <c r="A62" s="51" t="s">
        <v>399</v>
      </c>
      <c r="B62" s="2"/>
      <c r="C62" s="2"/>
      <c r="D62" s="2"/>
      <c r="E62" s="2"/>
      <c r="F62" s="2"/>
      <c r="G62" s="3"/>
    </row>
    <row r="63" ht="21.75" customHeight="1">
      <c r="A63" s="113" t="s">
        <v>400</v>
      </c>
      <c r="B63" s="3"/>
      <c r="C63" s="113" t="s">
        <v>401</v>
      </c>
      <c r="D63" s="3"/>
      <c r="E63" s="130" t="s">
        <v>402</v>
      </c>
      <c r="F63" s="3"/>
      <c r="G63" s="112" t="s">
        <v>403</v>
      </c>
      <c r="H63" s="3"/>
    </row>
    <row r="64" ht="31.5" customHeight="1">
      <c r="A64" s="114">
        <f>IF($C$2="TODOS",SUMIFS(INVENTARIO_COMPLEMENTOS!$H$4:$H$3243,INVENTARIO_COMPLEMENTOS!$B$4:$B$3243,"CUELLO",INVENTARIO_COMPLEMENTOS!$H$4:$H$3243,"&gt;0"),SUMIFS(INVENTARIO_COMPLEMENTOS!$H$4:$H$3243,INVENTARIO_COMPLEMENTOS!$A$4:$A$3243,$C$2,INVENTARIO_COMPLEMENTOS!$B$4:$B$3243,"CUELLO",INVENTARIO_COMPLEMENTOS!$H$4:$H$3243,"&gt;0"))</f>
        <v>0</v>
      </c>
      <c r="B64" s="3"/>
      <c r="C64" s="114">
        <f>IF($C$2="TODOS",SUMIFS(INVENTARIO_COMPLEMENTOS!$H$4:$H$3243,INVENTARIO_COMPLEMENTOS!$B$4:$B$3243,"PUÑO",INVENTARIO_COMPLEMENTOS!$H$4:$H$3243,"&gt;0"),SUMIFS(INVENTARIO_COMPLEMENTOS!$H$4:$H$3243,INVENTARIO_COMPLEMENTOS!$A$4:$A$3243,$C$2,INVENTARIO_COMPLEMENTOS!$B$4:$B$3243,"PUÑO",INVENTARIO_COMPLEMENTOS!$H$4:$H$3243,"&gt;0"))</f>
        <v>0</v>
      </c>
      <c r="D64" s="3"/>
      <c r="E64" s="114">
        <f>IF($C$2="TODOS",SUMIFS(INVENTARIO_COMPLEMENTOS!$H$4:$H$3243,INVENTARIO_COMPLEMENTOS!$B$4:$B$3243,"PRETINA",INVENTARIO_COMPLEMENTOS!$H$4:$H$3243,"&gt;0"),SUMIFS(INVENTARIO_COMPLEMENTOS!$H$4:$H$3243,INVENTARIO_COMPLEMENTOS!$A$4:$A$3243,$C$2,INVENTARIO_COMPLEMENTOS!$B$4:$B$3243,"PRETINA",INVENTARIO_COMPLEMENTOS!$H$4:$H$3243,"&gt;0"))</f>
        <v>0</v>
      </c>
      <c r="F64" s="3"/>
      <c r="G64" s="116">
        <f>IF($C$2="TODOS",SUMIFS(INVENTARIO_COMPLEMENTOS!$J$4:$J$3243,INVENTARIO_COMPLEMENTOS!$H$4:$H$3243,"&gt;0"),SUMIFS(INVENTARIO_COMPLEMENTOS!$J$4:$J$3243,INVENTARIO_COMPLEMENTOS!$A$4:$A$3243,$C$2,INVENTARIO_COMPLEMENTOS!$H$4:$H$3243,"&gt;0"))</f>
        <v>0</v>
      </c>
      <c r="H64" s="3"/>
    </row>
    <row r="65" ht="21.75" customHeight="1">
      <c r="A65" s="131" t="s">
        <v>404</v>
      </c>
      <c r="B65" s="2"/>
      <c r="C65" s="2"/>
      <c r="D65" s="2"/>
      <c r="E65" s="2"/>
      <c r="F65" s="3"/>
    </row>
    <row r="66" ht="21.75" customHeight="1">
      <c r="A66" s="132" t="s">
        <v>3</v>
      </c>
      <c r="B66" s="132" t="s">
        <v>99</v>
      </c>
      <c r="C66" s="132" t="s">
        <v>405</v>
      </c>
      <c r="D66" s="132" t="s">
        <v>120</v>
      </c>
    </row>
    <row r="67" ht="21.75" customHeight="1">
      <c r="A67" s="133" t="str">
        <f>IFERROR(IF(PRECIOS_COMPLEMENTOS!A4="","",PRECIOS_COMPLEMENTOS!A4),"")</f>
        <v>CUELLO</v>
      </c>
      <c r="B67" s="134" t="str">
        <f>IFERROR(IF(PRECIOS_COMPLEMENTOS!B4="","",PRECIOS_COMPLEMENTOS!B4),"")</f>
        <v>RECTILÍNEO</v>
      </c>
      <c r="C67" s="135">
        <f>IF(A67="","",IF($C$2="TODOS",IFERROR(SUMIFS(INVENTARIO_COMPLEMENTOS!$H$4:$H$3243,INVENTARIO_COMPLEMENTOS!$B$4:$B$3243,A67,INVENTARIO_COMPLEMENTOS!$C$4:$C$3243,B67,INVENTARIO_COMPLEMENTOS!$H$4:$H$3243,"&gt;0"),0),IFERROR(SUMIFS(INVENTARIO_COMPLEMENTOS!$H$4:$H$3243,INVENTARIO_COMPLEMENTOS!$A$4:$A$3243,$C$2,INVENTARIO_COMPLEMENTOS!$B$4:$B$3243,A67,INVENTARIO_COMPLEMENTOS!$C$4:$C$3243,B67,INVENTARIO_COMPLEMENTOS!$H$4:$H$3243,"&gt;0"),0)))</f>
        <v>0</v>
      </c>
      <c r="D67" s="47">
        <f>IF(A67="","",IF($C$2="TODOS",IFERROR(SUMIFS(INVENTARIO_COMPLEMENTOS!$J$4:$J$3243,INVENTARIO_COMPLEMENTOS!$B$4:$B$3243,A67,INVENTARIO_COMPLEMENTOS!$C$4:$C$3243,B67),0),IFERROR(SUMIFS(INVENTARIO_COMPLEMENTOS!$J$4:$J$3243,INVENTARIO_COMPLEMENTOS!$A$4:$A$3243,$C$2,INVENTARIO_COMPLEMENTOS!$B$4:$B$3243,A67,INVENTARIO_COMPLEMENTOS!$C$4:$C$3243,B67),0)))</f>
        <v>0</v>
      </c>
      <c r="E67" s="64"/>
      <c r="F67" s="64"/>
      <c r="G67" s="64"/>
      <c r="H67" s="64" t="s">
        <v>406</v>
      </c>
    </row>
    <row r="68" ht="15.0" customHeight="1">
      <c r="A68" s="44" t="str">
        <f>IFERROR(IF(PRECIOS_COMPLEMENTOS!A5="","",PRECIOS_COMPLEMENTOS!A5),"")</f>
        <v>PUÑO</v>
      </c>
      <c r="B68" s="80" t="str">
        <f>IFERROR(IF(PRECIOS_COMPLEMENTOS!B5="","",PRECIOS_COMPLEMENTOS!B5),"")</f>
        <v>RECTILÍNEO</v>
      </c>
      <c r="C68" s="119">
        <f>IF(A68="","",IF($C$2="TODOS",IFERROR(SUMIFS(INVENTARIO_COMPLEMENTOS!$H$4:$H$3243,INVENTARIO_COMPLEMENTOS!$B$4:$B$3243,A68,INVENTARIO_COMPLEMENTOS!$C$4:$C$3243,B68,INVENTARIO_COMPLEMENTOS!$H$4:$H$3243,"&gt;0"),0),IFERROR(SUMIFS(INVENTARIO_COMPLEMENTOS!$H$4:$H$3243,INVENTARIO_COMPLEMENTOS!$A$4:$A$3243,$C$2,INVENTARIO_COMPLEMENTOS!$B$4:$B$3243,A68,INVENTARIO_COMPLEMENTOS!$C$4:$C$3243,B68,INVENTARIO_COMPLEMENTOS!$H$4:$H$3243,"&gt;0"),0)))</f>
        <v>0</v>
      </c>
      <c r="D68" s="47">
        <f>IF(A68="","",IF($C$2="TODOS",IFERROR(SUMIFS(INVENTARIO_COMPLEMENTOS!$J$4:$J$3243,INVENTARIO_COMPLEMENTOS!$B$4:$B$3243,A68,INVENTARIO_COMPLEMENTOS!$C$4:$C$3243,B68),0),IFERROR(SUMIFS(INVENTARIO_COMPLEMENTOS!$J$4:$J$3243,INVENTARIO_COMPLEMENTOS!$A$4:$A$3243,$C$2,INVENTARIO_COMPLEMENTOS!$B$4:$B$3243,A68,INVENTARIO_COMPLEMENTOS!$C$4:$C$3243,B68),0)))</f>
        <v>0</v>
      </c>
      <c r="E68" s="119"/>
      <c r="F68" s="119"/>
      <c r="G68" s="119"/>
      <c r="H68" s="129">
        <f t="shared" ref="H68:H97" si="2">IF(A68="","",MIN(C68,D68,E68,F68,G68))</f>
        <v>0</v>
      </c>
    </row>
    <row r="69" ht="15.0" customHeight="1">
      <c r="A69" s="44" t="str">
        <f>IFERROR(IF(PRECIOS_COMPLEMENTOS!A6="","",PRECIOS_COMPLEMENTOS!A6),"")</f>
        <v>CUELLO</v>
      </c>
      <c r="B69" s="80" t="str">
        <f>IFERROR(IF(PRECIOS_COMPLEMENTOS!B6="","",PRECIOS_COMPLEMENTOS!B6),"")</f>
        <v>RIB 1x1</v>
      </c>
      <c r="C69" s="119">
        <f>IF(A69="","",IF($C$2="TODOS",IFERROR(SUMIFS(INVENTARIO_COMPLEMENTOS!$H$4:$H$3243,INVENTARIO_COMPLEMENTOS!$B$4:$B$3243,A69,INVENTARIO_COMPLEMENTOS!$C$4:$C$3243,B69,INVENTARIO_COMPLEMENTOS!$H$4:$H$3243,"&gt;0"),0),IFERROR(SUMIFS(INVENTARIO_COMPLEMENTOS!$H$4:$H$3243,INVENTARIO_COMPLEMENTOS!$A$4:$A$3243,$C$2,INVENTARIO_COMPLEMENTOS!$B$4:$B$3243,A69,INVENTARIO_COMPLEMENTOS!$C$4:$C$3243,B69,INVENTARIO_COMPLEMENTOS!$H$4:$H$3243,"&gt;0"),0)))</f>
        <v>0</v>
      </c>
      <c r="D69" s="47">
        <f>IF(A69="","",IF($C$2="TODOS",IFERROR(SUMIFS(INVENTARIO_COMPLEMENTOS!$J$4:$J$3243,INVENTARIO_COMPLEMENTOS!$B$4:$B$3243,A69,INVENTARIO_COMPLEMENTOS!$C$4:$C$3243,B69),0),IFERROR(SUMIFS(INVENTARIO_COMPLEMENTOS!$J$4:$J$3243,INVENTARIO_COMPLEMENTOS!$A$4:$A$3243,$C$2,INVENTARIO_COMPLEMENTOS!$B$4:$B$3243,A69,INVENTARIO_COMPLEMENTOS!$C$4:$C$3243,B69),0)))</f>
        <v>0</v>
      </c>
      <c r="E69" s="119"/>
      <c r="F69" s="119"/>
      <c r="G69" s="119"/>
      <c r="H69" s="129">
        <f t="shared" si="2"/>
        <v>0</v>
      </c>
    </row>
    <row r="70" ht="15.0" customHeight="1">
      <c r="A70" s="44" t="str">
        <f>IFERROR(IF(PRECIOS_COMPLEMENTOS!A7="","",PRECIOS_COMPLEMENTOS!A7),"")</f>
        <v>CUELLO</v>
      </c>
      <c r="B70" s="80" t="str">
        <f>IFERROR(IF(PRECIOS_COMPLEMENTOS!B7="","",PRECIOS_COMPLEMENTOS!B7),"")</f>
        <v>RIB 2x1</v>
      </c>
      <c r="C70" s="119">
        <f>IF(A70="","",IF($C$2="TODOS",IFERROR(SUMIFS(INVENTARIO_COMPLEMENTOS!$H$4:$H$3243,INVENTARIO_COMPLEMENTOS!$B$4:$B$3243,A70,INVENTARIO_COMPLEMENTOS!$C$4:$C$3243,B70,INVENTARIO_COMPLEMENTOS!$H$4:$H$3243,"&gt;0"),0),IFERROR(SUMIFS(INVENTARIO_COMPLEMENTOS!$H$4:$H$3243,INVENTARIO_COMPLEMENTOS!$A$4:$A$3243,$C$2,INVENTARIO_COMPLEMENTOS!$B$4:$B$3243,A70,INVENTARIO_COMPLEMENTOS!$C$4:$C$3243,B70,INVENTARIO_COMPLEMENTOS!$H$4:$H$3243,"&gt;0"),0)))</f>
        <v>0</v>
      </c>
      <c r="D70" s="47">
        <f>IF(A70="","",IF($C$2="TODOS",IFERROR(SUMIFS(INVENTARIO_COMPLEMENTOS!$J$4:$J$3243,INVENTARIO_COMPLEMENTOS!$B$4:$B$3243,A70,INVENTARIO_COMPLEMENTOS!$C$4:$C$3243,B70),0),IFERROR(SUMIFS(INVENTARIO_COMPLEMENTOS!$J$4:$J$3243,INVENTARIO_COMPLEMENTOS!$A$4:$A$3243,$C$2,INVENTARIO_COMPLEMENTOS!$B$4:$B$3243,A70,INVENTARIO_COMPLEMENTOS!$C$4:$C$3243,B70),0)))</f>
        <v>0</v>
      </c>
      <c r="E70" s="119"/>
      <c r="F70" s="119"/>
      <c r="G70" s="119"/>
      <c r="H70" s="129">
        <f t="shared" si="2"/>
        <v>0</v>
      </c>
    </row>
    <row r="71" ht="15.0" customHeight="1">
      <c r="A71" s="44" t="str">
        <f>IFERROR(IF(PRECIOS_COMPLEMENTOS!A8="","",PRECIOS_COMPLEMENTOS!A8),"")</f>
        <v>PUÑO</v>
      </c>
      <c r="B71" s="80" t="str">
        <f>IFERROR(IF(PRECIOS_COMPLEMENTOS!B8="","",PRECIOS_COMPLEMENTOS!B8),"")</f>
        <v>RIB 2x1</v>
      </c>
      <c r="C71" s="119">
        <f>IF(A71="","",IF($C$2="TODOS",IFERROR(SUMIFS(INVENTARIO_COMPLEMENTOS!$H$4:$H$3243,INVENTARIO_COMPLEMENTOS!$B$4:$B$3243,A71,INVENTARIO_COMPLEMENTOS!$C$4:$C$3243,B71,INVENTARIO_COMPLEMENTOS!$H$4:$H$3243,"&gt;0"),0),IFERROR(SUMIFS(INVENTARIO_COMPLEMENTOS!$H$4:$H$3243,INVENTARIO_COMPLEMENTOS!$A$4:$A$3243,$C$2,INVENTARIO_COMPLEMENTOS!$B$4:$B$3243,A71,INVENTARIO_COMPLEMENTOS!$C$4:$C$3243,B71,INVENTARIO_COMPLEMENTOS!$H$4:$H$3243,"&gt;0"),0)))</f>
        <v>0</v>
      </c>
      <c r="D71" s="47">
        <f>IF(A71="","",IF($C$2="TODOS",IFERROR(SUMIFS(INVENTARIO_COMPLEMENTOS!$J$4:$J$3243,INVENTARIO_COMPLEMENTOS!$B$4:$B$3243,A71,INVENTARIO_COMPLEMENTOS!$C$4:$C$3243,B71),0),IFERROR(SUMIFS(INVENTARIO_COMPLEMENTOS!$J$4:$J$3243,INVENTARIO_COMPLEMENTOS!$A$4:$A$3243,$C$2,INVENTARIO_COMPLEMENTOS!$B$4:$B$3243,A71,INVENTARIO_COMPLEMENTOS!$C$4:$C$3243,B71),0)))</f>
        <v>0</v>
      </c>
      <c r="E71" s="119"/>
      <c r="F71" s="119"/>
      <c r="G71" s="119"/>
      <c r="H71" s="129">
        <f t="shared" si="2"/>
        <v>0</v>
      </c>
    </row>
    <row r="72" ht="15.0" customHeight="1">
      <c r="A72" s="44" t="str">
        <f>IFERROR(IF(PRECIOS_COMPLEMENTOS!A9="","",PRECIOS_COMPLEMENTOS!A9),"")</f>
        <v>PRETINA</v>
      </c>
      <c r="B72" s="80" t="str">
        <f>IFERROR(IF(PRECIOS_COMPLEMENTOS!B9="","",PRECIOS_COMPLEMENTOS!B9),"")</f>
        <v>RIB 2x1</v>
      </c>
      <c r="C72" s="119">
        <f>IF(A72="","",IF($C$2="TODOS",IFERROR(SUMIFS(INVENTARIO_COMPLEMENTOS!$H$4:$H$3243,INVENTARIO_COMPLEMENTOS!$B$4:$B$3243,A72,INVENTARIO_COMPLEMENTOS!$C$4:$C$3243,B72,INVENTARIO_COMPLEMENTOS!$H$4:$H$3243,"&gt;0"),0),IFERROR(SUMIFS(INVENTARIO_COMPLEMENTOS!$H$4:$H$3243,INVENTARIO_COMPLEMENTOS!$A$4:$A$3243,$C$2,INVENTARIO_COMPLEMENTOS!$B$4:$B$3243,A72,INVENTARIO_COMPLEMENTOS!$C$4:$C$3243,B72,INVENTARIO_COMPLEMENTOS!$H$4:$H$3243,"&gt;0"),0)))</f>
        <v>0</v>
      </c>
      <c r="D72" s="47">
        <f>IF(A72="","",IF($C$2="TODOS",IFERROR(SUMIFS(INVENTARIO_COMPLEMENTOS!$J$4:$J$3243,INVENTARIO_COMPLEMENTOS!$B$4:$B$3243,A72,INVENTARIO_COMPLEMENTOS!$C$4:$C$3243,B72),0),IFERROR(SUMIFS(INVENTARIO_COMPLEMENTOS!$J$4:$J$3243,INVENTARIO_COMPLEMENTOS!$A$4:$A$3243,$C$2,INVENTARIO_COMPLEMENTOS!$B$4:$B$3243,A72,INVENTARIO_COMPLEMENTOS!$C$4:$C$3243,B72),0)))</f>
        <v>0</v>
      </c>
      <c r="E72" s="119"/>
      <c r="F72" s="119"/>
      <c r="G72" s="119"/>
      <c r="H72" s="129">
        <f t="shared" si="2"/>
        <v>0</v>
      </c>
    </row>
    <row r="73" ht="15.0" customHeight="1">
      <c r="A73" s="44" t="str">
        <f>IFERROR(IF(PRECIOS_COMPLEMENTOS!A10="","",PRECIOS_COMPLEMENTOS!A10),"")</f>
        <v>CIERRE</v>
      </c>
      <c r="B73" s="80" t="str">
        <f>IFERROR(IF(PRECIOS_COMPLEMENTOS!B10="","",PRECIOS_COMPLEMENTOS!B10),"")</f>
        <v>DIRECTO</v>
      </c>
      <c r="C73" s="119">
        <f>IF(A73="","",IF($C$2="TODOS",IFERROR(SUMIFS(INVENTARIO_COMPLEMENTOS!$H$4:$H$3243,INVENTARIO_COMPLEMENTOS!$B$4:$B$3243,A73,INVENTARIO_COMPLEMENTOS!$C$4:$C$3243,B73,INVENTARIO_COMPLEMENTOS!$H$4:$H$3243,"&gt;0"),0),IFERROR(SUMIFS(INVENTARIO_COMPLEMENTOS!$H$4:$H$3243,INVENTARIO_COMPLEMENTOS!$A$4:$A$3243,$C$2,INVENTARIO_COMPLEMENTOS!$B$4:$B$3243,A73,INVENTARIO_COMPLEMENTOS!$C$4:$C$3243,B73,INVENTARIO_COMPLEMENTOS!$H$4:$H$3243,"&gt;0"),0)))</f>
        <v>0</v>
      </c>
      <c r="D73" s="47">
        <f>IF(A73="","",IF($C$2="TODOS",IFERROR(SUMIFS(INVENTARIO_COMPLEMENTOS!$J$4:$J$3243,INVENTARIO_COMPLEMENTOS!$B$4:$B$3243,A73,INVENTARIO_COMPLEMENTOS!$C$4:$C$3243,B73),0),IFERROR(SUMIFS(INVENTARIO_COMPLEMENTOS!$J$4:$J$3243,INVENTARIO_COMPLEMENTOS!$A$4:$A$3243,$C$2,INVENTARIO_COMPLEMENTOS!$B$4:$B$3243,A73,INVENTARIO_COMPLEMENTOS!$C$4:$C$3243,B73),0)))</f>
        <v>0</v>
      </c>
      <c r="E73" s="119"/>
      <c r="F73" s="119"/>
      <c r="G73" s="119"/>
      <c r="H73" s="129">
        <f t="shared" si="2"/>
        <v>0</v>
      </c>
    </row>
    <row r="74" ht="15.0" customHeight="1">
      <c r="A74" s="44" t="str">
        <f>IFERROR(IF(PRECIOS_COMPLEMENTOS!A11="","",PRECIOS_COMPLEMENTOS!A11),"")</f>
        <v/>
      </c>
      <c r="B74" s="80" t="str">
        <f>IFERROR(IF(PRECIOS_COMPLEMENTOS!B11="","",PRECIOS_COMPLEMENTOS!B11),"")</f>
        <v/>
      </c>
      <c r="C74" s="119" t="str">
        <f>IF(A74="","",IF($C$2="TODOS",IFERROR(SUMIFS(INVENTARIO_COMPLEMENTOS!$H$4:$H$3243,INVENTARIO_COMPLEMENTOS!$B$4:$B$3243,A74,INVENTARIO_COMPLEMENTOS!$C$4:$C$3243,B74,INVENTARIO_COMPLEMENTOS!$H$4:$H$3243,"&gt;0"),0),IFERROR(SUMIFS(INVENTARIO_COMPLEMENTOS!$H$4:$H$3243,INVENTARIO_COMPLEMENTOS!$A$4:$A$3243,$C$2,INVENTARIO_COMPLEMENTOS!$B$4:$B$3243,A74,INVENTARIO_COMPLEMENTOS!$C$4:$C$3243,B74,INVENTARIO_COMPLEMENTOS!$H$4:$H$3243,"&gt;0"),0)))</f>
        <v/>
      </c>
      <c r="D74" s="47" t="str">
        <f>IF(A74="","",IF($C$2="TODOS",IFERROR(SUMIFS(INVENTARIO_COMPLEMENTOS!$J$4:$J$3243,INVENTARIO_COMPLEMENTOS!$B$4:$B$3243,A74,INVENTARIO_COMPLEMENTOS!$C$4:$C$3243,B74),0),IFERROR(SUMIFS(INVENTARIO_COMPLEMENTOS!$J$4:$J$3243,INVENTARIO_COMPLEMENTOS!$A$4:$A$3243,$C$2,INVENTARIO_COMPLEMENTOS!$B$4:$B$3243,A74,INVENTARIO_COMPLEMENTOS!$C$4:$C$3243,B74),0)))</f>
        <v/>
      </c>
      <c r="E74" s="119"/>
      <c r="F74" s="119"/>
      <c r="G74" s="119"/>
      <c r="H74" s="129" t="str">
        <f t="shared" si="2"/>
        <v/>
      </c>
    </row>
    <row r="75" ht="15.0" customHeight="1">
      <c r="A75" s="44" t="str">
        <f>IFERROR(IF(PRECIOS_COMPLEMENTOS!A12="","",PRECIOS_COMPLEMENTOS!A12),"")</f>
        <v/>
      </c>
      <c r="B75" s="80" t="str">
        <f>IFERROR(IF(PRECIOS_COMPLEMENTOS!B12="","",PRECIOS_COMPLEMENTOS!B12),"")</f>
        <v/>
      </c>
      <c r="C75" s="119" t="str">
        <f>IF(A75="","",IF($C$2="TODOS",IFERROR(SUMIFS(INVENTARIO_COMPLEMENTOS!$H$4:$H$3243,INVENTARIO_COMPLEMENTOS!$B$4:$B$3243,A75,INVENTARIO_COMPLEMENTOS!$C$4:$C$3243,B75,INVENTARIO_COMPLEMENTOS!$H$4:$H$3243,"&gt;0"),0),IFERROR(SUMIFS(INVENTARIO_COMPLEMENTOS!$H$4:$H$3243,INVENTARIO_COMPLEMENTOS!$A$4:$A$3243,$C$2,INVENTARIO_COMPLEMENTOS!$B$4:$B$3243,A75,INVENTARIO_COMPLEMENTOS!$C$4:$C$3243,B75,INVENTARIO_COMPLEMENTOS!$H$4:$H$3243,"&gt;0"),0)))</f>
        <v/>
      </c>
      <c r="D75" s="47" t="str">
        <f>IF(A75="","",IF($C$2="TODOS",IFERROR(SUMIFS(INVENTARIO_COMPLEMENTOS!$J$4:$J$3243,INVENTARIO_COMPLEMENTOS!$B$4:$B$3243,A75,INVENTARIO_COMPLEMENTOS!$C$4:$C$3243,B75),0),IFERROR(SUMIFS(INVENTARIO_COMPLEMENTOS!$J$4:$J$3243,INVENTARIO_COMPLEMENTOS!$A$4:$A$3243,$C$2,INVENTARIO_COMPLEMENTOS!$B$4:$B$3243,A75,INVENTARIO_COMPLEMENTOS!$C$4:$C$3243,B75),0)))</f>
        <v/>
      </c>
      <c r="E75" s="119"/>
      <c r="F75" s="119"/>
      <c r="G75" s="119"/>
      <c r="H75" s="129" t="str">
        <f t="shared" si="2"/>
        <v/>
      </c>
    </row>
    <row r="76" ht="15.0" customHeight="1">
      <c r="A76" s="44" t="str">
        <f>IFERROR(IF(PRECIOS_COMPLEMENTOS!A13="","",PRECIOS_COMPLEMENTOS!A13),"")</f>
        <v/>
      </c>
      <c r="B76" s="80" t="str">
        <f>IFERROR(IF(PRECIOS_COMPLEMENTOS!B13="","",PRECIOS_COMPLEMENTOS!B13),"")</f>
        <v/>
      </c>
      <c r="C76" s="119" t="str">
        <f>IF(A76="","",IF($C$2="TODOS",IFERROR(SUMIFS(INVENTARIO_COMPLEMENTOS!$H$4:$H$3243,INVENTARIO_COMPLEMENTOS!$B$4:$B$3243,A76,INVENTARIO_COMPLEMENTOS!$C$4:$C$3243,B76,INVENTARIO_COMPLEMENTOS!$H$4:$H$3243,"&gt;0"),0),IFERROR(SUMIFS(INVENTARIO_COMPLEMENTOS!$H$4:$H$3243,INVENTARIO_COMPLEMENTOS!$A$4:$A$3243,$C$2,INVENTARIO_COMPLEMENTOS!$B$4:$B$3243,A76,INVENTARIO_COMPLEMENTOS!$C$4:$C$3243,B76,INVENTARIO_COMPLEMENTOS!$H$4:$H$3243,"&gt;0"),0)))</f>
        <v/>
      </c>
      <c r="D76" s="47" t="str">
        <f>IF(A76="","",IF($C$2="TODOS",IFERROR(SUMIFS(INVENTARIO_COMPLEMENTOS!$J$4:$J$3243,INVENTARIO_COMPLEMENTOS!$B$4:$B$3243,A76,INVENTARIO_COMPLEMENTOS!$C$4:$C$3243,B76),0),IFERROR(SUMIFS(INVENTARIO_COMPLEMENTOS!$J$4:$J$3243,INVENTARIO_COMPLEMENTOS!$A$4:$A$3243,$C$2,INVENTARIO_COMPLEMENTOS!$B$4:$B$3243,A76,INVENTARIO_COMPLEMENTOS!$C$4:$C$3243,B76),0)))</f>
        <v/>
      </c>
      <c r="E76" s="119"/>
      <c r="F76" s="119"/>
      <c r="G76" s="119"/>
      <c r="H76" s="129" t="str">
        <f t="shared" si="2"/>
        <v/>
      </c>
    </row>
    <row r="77" ht="15.0" customHeight="1">
      <c r="A77" s="44" t="str">
        <f>IFERROR(IF(PRECIOS_COMPLEMENTOS!A14="","",PRECIOS_COMPLEMENTOS!A14),"")</f>
        <v/>
      </c>
      <c r="B77" s="80" t="str">
        <f>IFERROR(IF(PRECIOS_COMPLEMENTOS!B14="","",PRECIOS_COMPLEMENTOS!B14),"")</f>
        <v/>
      </c>
      <c r="C77" s="119" t="str">
        <f>IF(A77="","",IF($C$2="TODOS",IFERROR(SUMIFS(INVENTARIO_COMPLEMENTOS!$H$4:$H$3243,INVENTARIO_COMPLEMENTOS!$B$4:$B$3243,A77,INVENTARIO_COMPLEMENTOS!$C$4:$C$3243,B77,INVENTARIO_COMPLEMENTOS!$H$4:$H$3243,"&gt;0"),0),IFERROR(SUMIFS(INVENTARIO_COMPLEMENTOS!$H$4:$H$3243,INVENTARIO_COMPLEMENTOS!$A$4:$A$3243,$C$2,INVENTARIO_COMPLEMENTOS!$B$4:$B$3243,A77,INVENTARIO_COMPLEMENTOS!$C$4:$C$3243,B77,INVENTARIO_COMPLEMENTOS!$H$4:$H$3243,"&gt;0"),0)))</f>
        <v/>
      </c>
      <c r="D77" s="47" t="str">
        <f>IF(A77="","",IF($C$2="TODOS",IFERROR(SUMIFS(INVENTARIO_COMPLEMENTOS!$J$4:$J$3243,INVENTARIO_COMPLEMENTOS!$B$4:$B$3243,A77,INVENTARIO_COMPLEMENTOS!$C$4:$C$3243,B77),0),IFERROR(SUMIFS(INVENTARIO_COMPLEMENTOS!$J$4:$J$3243,INVENTARIO_COMPLEMENTOS!$A$4:$A$3243,$C$2,INVENTARIO_COMPLEMENTOS!$B$4:$B$3243,A77,INVENTARIO_COMPLEMENTOS!$C$4:$C$3243,B77),0)))</f>
        <v/>
      </c>
      <c r="E77" s="119"/>
      <c r="F77" s="119"/>
      <c r="G77" s="119"/>
      <c r="H77" s="129" t="str">
        <f t="shared" si="2"/>
        <v/>
      </c>
    </row>
    <row r="78" ht="15.0" customHeight="1">
      <c r="A78" s="44" t="str">
        <f>IFERROR(IF(PRECIOS_COMPLEMENTOS!A15="","",PRECIOS_COMPLEMENTOS!A15),"")</f>
        <v/>
      </c>
      <c r="B78" s="80" t="str">
        <f>IFERROR(IF(PRECIOS_COMPLEMENTOS!B15="","",PRECIOS_COMPLEMENTOS!B15),"")</f>
        <v/>
      </c>
      <c r="C78" s="119" t="str">
        <f>IF(A78="","",IF($C$2="TODOS",IFERROR(SUMIFS(INVENTARIO_COMPLEMENTOS!$H$4:$H$3243,INVENTARIO_COMPLEMENTOS!$B$4:$B$3243,A78,INVENTARIO_COMPLEMENTOS!$C$4:$C$3243,B78,INVENTARIO_COMPLEMENTOS!$H$4:$H$3243,"&gt;0"),0),IFERROR(SUMIFS(INVENTARIO_COMPLEMENTOS!$H$4:$H$3243,INVENTARIO_COMPLEMENTOS!$A$4:$A$3243,$C$2,INVENTARIO_COMPLEMENTOS!$B$4:$B$3243,A78,INVENTARIO_COMPLEMENTOS!$C$4:$C$3243,B78,INVENTARIO_COMPLEMENTOS!$H$4:$H$3243,"&gt;0"),0)))</f>
        <v/>
      </c>
      <c r="D78" s="47" t="str">
        <f>IF(A78="","",IF($C$2="TODOS",IFERROR(SUMIFS(INVENTARIO_COMPLEMENTOS!$J$4:$J$3243,INVENTARIO_COMPLEMENTOS!$B$4:$B$3243,A78,INVENTARIO_COMPLEMENTOS!$C$4:$C$3243,B78),0),IFERROR(SUMIFS(INVENTARIO_COMPLEMENTOS!$J$4:$J$3243,INVENTARIO_COMPLEMENTOS!$A$4:$A$3243,$C$2,INVENTARIO_COMPLEMENTOS!$B$4:$B$3243,A78,INVENTARIO_COMPLEMENTOS!$C$4:$C$3243,B78),0)))</f>
        <v/>
      </c>
      <c r="E78" s="119"/>
      <c r="F78" s="119"/>
      <c r="G78" s="119"/>
      <c r="H78" s="129" t="str">
        <f t="shared" si="2"/>
        <v/>
      </c>
    </row>
    <row r="79" ht="15.0" customHeight="1">
      <c r="A79" s="44" t="str">
        <f>IFERROR(IF(PRECIOS_COMPLEMENTOS!A16="","",PRECIOS_COMPLEMENTOS!A16),"")</f>
        <v/>
      </c>
      <c r="B79" s="80" t="str">
        <f>IFERROR(IF(PRECIOS_COMPLEMENTOS!B16="","",PRECIOS_COMPLEMENTOS!B16),"")</f>
        <v/>
      </c>
      <c r="C79" s="119" t="str">
        <f>IF(A79="","",IF($C$2="TODOS",IFERROR(SUMIFS(INVENTARIO_COMPLEMENTOS!$H$4:$H$3243,INVENTARIO_COMPLEMENTOS!$B$4:$B$3243,A79,INVENTARIO_COMPLEMENTOS!$C$4:$C$3243,B79,INVENTARIO_COMPLEMENTOS!$H$4:$H$3243,"&gt;0"),0),IFERROR(SUMIFS(INVENTARIO_COMPLEMENTOS!$H$4:$H$3243,INVENTARIO_COMPLEMENTOS!$A$4:$A$3243,$C$2,INVENTARIO_COMPLEMENTOS!$B$4:$B$3243,A79,INVENTARIO_COMPLEMENTOS!$C$4:$C$3243,B79,INVENTARIO_COMPLEMENTOS!$H$4:$H$3243,"&gt;0"),0)))</f>
        <v/>
      </c>
      <c r="D79" s="47" t="str">
        <f>IF(A79="","",IF($C$2="TODOS",IFERROR(SUMIFS(INVENTARIO_COMPLEMENTOS!$J$4:$J$3243,INVENTARIO_COMPLEMENTOS!$B$4:$B$3243,A79,INVENTARIO_COMPLEMENTOS!$C$4:$C$3243,B79),0),IFERROR(SUMIFS(INVENTARIO_COMPLEMENTOS!$J$4:$J$3243,INVENTARIO_COMPLEMENTOS!$A$4:$A$3243,$C$2,INVENTARIO_COMPLEMENTOS!$B$4:$B$3243,A79,INVENTARIO_COMPLEMENTOS!$C$4:$C$3243,B79),0)))</f>
        <v/>
      </c>
      <c r="E79" s="119"/>
      <c r="F79" s="119"/>
      <c r="G79" s="119"/>
      <c r="H79" s="129" t="str">
        <f t="shared" si="2"/>
        <v/>
      </c>
    </row>
    <row r="80" ht="15.0" customHeight="1">
      <c r="A80" s="44" t="str">
        <f>IFERROR(IF(PRECIOS_COMPLEMENTOS!A17="","",PRECIOS_COMPLEMENTOS!A17),"")</f>
        <v/>
      </c>
      <c r="B80" s="80" t="str">
        <f>IFERROR(IF(PRECIOS_COMPLEMENTOS!B17="","",PRECIOS_COMPLEMENTOS!B17),"")</f>
        <v/>
      </c>
      <c r="C80" s="119" t="str">
        <f>IF(A80="","",IF($C$2="TODOS",IFERROR(SUMIFS(INVENTARIO_COMPLEMENTOS!$H$4:$H$3243,INVENTARIO_COMPLEMENTOS!$B$4:$B$3243,A80,INVENTARIO_COMPLEMENTOS!$C$4:$C$3243,B80,INVENTARIO_COMPLEMENTOS!$H$4:$H$3243,"&gt;0"),0),IFERROR(SUMIFS(INVENTARIO_COMPLEMENTOS!$H$4:$H$3243,INVENTARIO_COMPLEMENTOS!$A$4:$A$3243,$C$2,INVENTARIO_COMPLEMENTOS!$B$4:$B$3243,A80,INVENTARIO_COMPLEMENTOS!$C$4:$C$3243,B80,INVENTARIO_COMPLEMENTOS!$H$4:$H$3243,"&gt;0"),0)))</f>
        <v/>
      </c>
      <c r="D80" s="47" t="str">
        <f>IF(A80="","",IF($C$2="TODOS",IFERROR(SUMIFS(INVENTARIO_COMPLEMENTOS!$J$4:$J$3243,INVENTARIO_COMPLEMENTOS!$B$4:$B$3243,A80,INVENTARIO_COMPLEMENTOS!$C$4:$C$3243,B80),0),IFERROR(SUMIFS(INVENTARIO_COMPLEMENTOS!$J$4:$J$3243,INVENTARIO_COMPLEMENTOS!$A$4:$A$3243,$C$2,INVENTARIO_COMPLEMENTOS!$B$4:$B$3243,A80,INVENTARIO_COMPLEMENTOS!$C$4:$C$3243,B80),0)))</f>
        <v/>
      </c>
      <c r="E80" s="119"/>
      <c r="F80" s="119"/>
      <c r="G80" s="119"/>
      <c r="H80" s="129" t="str">
        <f t="shared" si="2"/>
        <v/>
      </c>
    </row>
    <row r="81" ht="15.0" customHeight="1">
      <c r="A81" s="44"/>
      <c r="B81" s="126"/>
      <c r="C81" s="119"/>
      <c r="D81" s="119"/>
      <c r="E81" s="119"/>
      <c r="F81" s="119"/>
      <c r="G81" s="119"/>
      <c r="H81" s="129" t="str">
        <f t="shared" si="2"/>
        <v/>
      </c>
    </row>
    <row r="82" ht="15.0" customHeight="1">
      <c r="A82" s="44" t="str">
        <f>IF(PRODUCTOS!A18="","",PRODUCTOS!A18)</f>
        <v/>
      </c>
      <c r="B82" s="126" t="str">
        <f>IF(A82="","",PRODUCTOS!B18)</f>
        <v/>
      </c>
      <c r="C82" s="119" t="str">
        <f>IF(A82="","",IFERROR(IF($C$2="TODOS",SUMIF(INVENTARIO!$B$4:$B$843,B82,INVENTARIO!$F$4:$F$843),SUMIFS(INVENTARIO!$F$4:$F$843,INVENTARIO!$B$4:$B$843,B82,INVENTARIO!$A$4:$A$843,$C$2))*PRODUCTOS!C18,0))</f>
        <v/>
      </c>
      <c r="D82" s="119" t="str">
        <f>IF(A82="","",IF(OR(PRODUCTOS!D18="NINGUNO",PRODUCTOS!E18=0),9999999,IF($C$2="TODOS",SUMIFS(INVENTARIO_COMPLEMENTOS!$H$4:$H$3243,INVENTARIO_COMPLEMENTOS!$B$4:$B$3243,"CUELLO",INVENTARIO_COMPLEMENTOS!$C$4:$C$3243,PRODUCTOS!D18,INVENTARIO_COMPLEMENTOS!$H$4:$H$3243,"&gt;0")/PRODUCTOS!E18,SUMIFS(INVENTARIO_COMPLEMENTOS!$H$4:$H$3243,INVENTARIO_COMPLEMENTOS!$A$4:$A$3243,$C$2,INVENTARIO_COMPLEMENTOS!$B$4:$B$3243,"CUELLO",INVENTARIO_COMPLEMENTOS!$C$4:$C$3243,PRODUCTOS!D18,INVENTARIO_COMPLEMENTOS!$H$4:$H$3243,"&gt;0")/PRODUCTOS!E18)))</f>
        <v/>
      </c>
      <c r="E82" s="119" t="str">
        <f>IF(A82="","",IF(OR(PRODUCTOS!F18="NINGUNO",PRODUCTOS!G18=0),9999999,IF($C$2="TODOS",SUMIFS(INVENTARIO_COMPLEMENTOS!$H$4:$H$3243,INVENTARIO_COMPLEMENTOS!$B$4:$B$3243,"PUÑO",INVENTARIO_COMPLEMENTOS!$C$4:$C$3243,PRODUCTOS!F18,INVENTARIO_COMPLEMENTOS!$H$4:$H$3243,"&gt;0")/PRODUCTOS!G18,SUMIFS(INVENTARIO_COMPLEMENTOS!$H$4:$H$3243,INVENTARIO_COMPLEMENTOS!$A$4:$A$3243,$C$2,INVENTARIO_COMPLEMENTOS!$B$4:$B$3243,"PUÑO",INVENTARIO_COMPLEMENTOS!$C$4:$C$3243,PRODUCTOS!F18,INVENTARIO_COMPLEMENTOS!$H$4:$H$3243,"&gt;0")/PRODUCTOS!G18)))</f>
        <v/>
      </c>
      <c r="F82" s="119" t="str">
        <f>IF(A82="","",IF(OR(PRODUCTOS!H18="NINGUNO",PRODUCTOS!I18=0),9999999,IF($C$2="TODOS",SUMIFS(INVENTARIO_COMPLEMENTOS!$H$4:$H$3243,INVENTARIO_COMPLEMENTOS!$B$4:$B$3243,"PRETINA",INVENTARIO_COMPLEMENTOS!$C$4:$C$3243,PRODUCTOS!H18,INVENTARIO_COMPLEMENTOS!$D$4:$D$3243,PRODUCTOS!A18,INVENTARIO_COMPLEMENTOS!$H$4:$H$3243,"&gt;0")/PRODUCTOS!I18,SUMIFS(INVENTARIO_COMPLEMENTOS!$H$4:$H$3243,INVENTARIO_COMPLEMENTOS!$A$4:$A$3243,$C$2,INVENTARIO_COMPLEMENTOS!$B$4:$B$3243,"PRETINA",INVENTARIO_COMPLEMENTOS!$C$4:$C$3243,PRODUCTOS!H18,INVENTARIO_COMPLEMENTOS!$D$4:$D$3243,PRODUCTOS!A18,INVENTARIO_COMPLEMENTOS!$H$4:$H$3243,"&gt;0")/PRODUCTOS!I18)))</f>
        <v/>
      </c>
      <c r="G82" s="119" t="str">
        <f>IF(A82="","",IF(OR(PRODUCTOS!J18="NINGUNO",PRODUCTOS!K18=0),9999999,IF($C$2="TODOS",SUMIFS(INVENTARIO_COMPLEMENTOS!$H$4:$H$3243,INVENTARIO_COMPLEMENTOS!$B$4:$B$3243,"CIERRE",INVENTARIO_COMPLEMENTOS!$C$4:$C$3243,PRODUCTOS!J18,INVENTARIO_COMPLEMENTOS!$H$4:$H$3243,"&gt;0")/PRODUCTOS!K18,SUMIFS(INVENTARIO_COMPLEMENTOS!$H$4:$H$3243,INVENTARIO_COMPLEMENTOS!$A$4:$A$3243,$C$2,INVENTARIO_COMPLEMENTOS!$B$4:$B$3243,"CIERRE",INVENTARIO_COMPLEMENTOS!$C$4:$C$3243,PRODUCTOS!J18,INVENTARIO_COMPLEMENTOS!$H$4:$H$3243,"&gt;0")/PRODUCTOS!K18)))</f>
        <v/>
      </c>
      <c r="H82" s="129" t="str">
        <f t="shared" si="2"/>
        <v/>
      </c>
    </row>
    <row r="83" ht="15.0" customHeight="1">
      <c r="A83" s="44" t="str">
        <f>IF(PRODUCTOS!A19="","",PRODUCTOS!A19)</f>
        <v/>
      </c>
      <c r="B83" s="126" t="str">
        <f>IF(A83="","",PRODUCTOS!B19)</f>
        <v/>
      </c>
      <c r="C83" s="119" t="str">
        <f>IF(A83="","",IFERROR(IF($C$2="TODOS",SUMIF(INVENTARIO!$B$4:$B$843,B83,INVENTARIO!$F$4:$F$843),SUMIFS(INVENTARIO!$F$4:$F$843,INVENTARIO!$B$4:$B$843,B83,INVENTARIO!$A$4:$A$843,$C$2))*PRODUCTOS!C19,0))</f>
        <v/>
      </c>
      <c r="D83" s="119" t="str">
        <f>IF(A83="","",IF(OR(PRODUCTOS!D19="NINGUNO",PRODUCTOS!E19=0),9999999,IF($C$2="TODOS",SUMIFS(INVENTARIO_COMPLEMENTOS!$H$4:$H$3243,INVENTARIO_COMPLEMENTOS!$B$4:$B$3243,"CUELLO",INVENTARIO_COMPLEMENTOS!$C$4:$C$3243,PRODUCTOS!D19,INVENTARIO_COMPLEMENTOS!$H$4:$H$3243,"&gt;0")/PRODUCTOS!E19,SUMIFS(INVENTARIO_COMPLEMENTOS!$H$4:$H$3243,INVENTARIO_COMPLEMENTOS!$A$4:$A$3243,$C$2,INVENTARIO_COMPLEMENTOS!$B$4:$B$3243,"CUELLO",INVENTARIO_COMPLEMENTOS!$C$4:$C$3243,PRODUCTOS!D19,INVENTARIO_COMPLEMENTOS!$H$4:$H$3243,"&gt;0")/PRODUCTOS!E19)))</f>
        <v/>
      </c>
      <c r="E83" s="119" t="str">
        <f>IF(A83="","",IF(OR(PRODUCTOS!F19="NINGUNO",PRODUCTOS!G19=0),9999999,IF($C$2="TODOS",SUMIFS(INVENTARIO_COMPLEMENTOS!$H$4:$H$3243,INVENTARIO_COMPLEMENTOS!$B$4:$B$3243,"PUÑO",INVENTARIO_COMPLEMENTOS!$C$4:$C$3243,PRODUCTOS!F19,INVENTARIO_COMPLEMENTOS!$H$4:$H$3243,"&gt;0")/PRODUCTOS!G19,SUMIFS(INVENTARIO_COMPLEMENTOS!$H$4:$H$3243,INVENTARIO_COMPLEMENTOS!$A$4:$A$3243,$C$2,INVENTARIO_COMPLEMENTOS!$B$4:$B$3243,"PUÑO",INVENTARIO_COMPLEMENTOS!$C$4:$C$3243,PRODUCTOS!F19,INVENTARIO_COMPLEMENTOS!$H$4:$H$3243,"&gt;0")/PRODUCTOS!G19)))</f>
        <v/>
      </c>
      <c r="F83" s="119" t="str">
        <f>IF(A83="","",IF(OR(PRODUCTOS!H19="NINGUNO",PRODUCTOS!I19=0),9999999,IF($C$2="TODOS",SUMIFS(INVENTARIO_COMPLEMENTOS!$H$4:$H$3243,INVENTARIO_COMPLEMENTOS!$B$4:$B$3243,"PRETINA",INVENTARIO_COMPLEMENTOS!$C$4:$C$3243,PRODUCTOS!H19,INVENTARIO_COMPLEMENTOS!$D$4:$D$3243,PRODUCTOS!A19,INVENTARIO_COMPLEMENTOS!$H$4:$H$3243,"&gt;0")/PRODUCTOS!I19,SUMIFS(INVENTARIO_COMPLEMENTOS!$H$4:$H$3243,INVENTARIO_COMPLEMENTOS!$A$4:$A$3243,$C$2,INVENTARIO_COMPLEMENTOS!$B$4:$B$3243,"PRETINA",INVENTARIO_COMPLEMENTOS!$C$4:$C$3243,PRODUCTOS!H19,INVENTARIO_COMPLEMENTOS!$D$4:$D$3243,PRODUCTOS!A19,INVENTARIO_COMPLEMENTOS!$H$4:$H$3243,"&gt;0")/PRODUCTOS!I19)))</f>
        <v/>
      </c>
      <c r="G83" s="119" t="str">
        <f>IF(A83="","",IF(OR(PRODUCTOS!J19="NINGUNO",PRODUCTOS!K19=0),9999999,IF($C$2="TODOS",SUMIFS(INVENTARIO_COMPLEMENTOS!$H$4:$H$3243,INVENTARIO_COMPLEMENTOS!$B$4:$B$3243,"CIERRE",INVENTARIO_COMPLEMENTOS!$C$4:$C$3243,PRODUCTOS!J19,INVENTARIO_COMPLEMENTOS!$H$4:$H$3243,"&gt;0")/PRODUCTOS!K19,SUMIFS(INVENTARIO_COMPLEMENTOS!$H$4:$H$3243,INVENTARIO_COMPLEMENTOS!$A$4:$A$3243,$C$2,INVENTARIO_COMPLEMENTOS!$B$4:$B$3243,"CIERRE",INVENTARIO_COMPLEMENTOS!$C$4:$C$3243,PRODUCTOS!J19,INVENTARIO_COMPLEMENTOS!$H$4:$H$3243,"&gt;0")/PRODUCTOS!K19)))</f>
        <v/>
      </c>
      <c r="H83" s="129" t="str">
        <f t="shared" si="2"/>
        <v/>
      </c>
    </row>
    <row r="84" ht="15.0" customHeight="1">
      <c r="A84" s="44" t="str">
        <f>IF(PRODUCTOS!A20="","",PRODUCTOS!A20)</f>
        <v/>
      </c>
      <c r="B84" s="126" t="str">
        <f>IF(A84="","",PRODUCTOS!B20)</f>
        <v/>
      </c>
      <c r="C84" s="119" t="str">
        <f>IF(A84="","",IFERROR(IF($C$2="TODOS",SUMIF(INVENTARIO!$B$4:$B$843,B84,INVENTARIO!$F$4:$F$843),SUMIFS(INVENTARIO!$F$4:$F$843,INVENTARIO!$B$4:$B$843,B84,INVENTARIO!$A$4:$A$843,$C$2))*PRODUCTOS!C20,0))</f>
        <v/>
      </c>
      <c r="D84" s="119" t="str">
        <f>IF(A84="","",IF(OR(PRODUCTOS!D20="NINGUNO",PRODUCTOS!E20=0),9999999,IF($C$2="TODOS",SUMIFS(INVENTARIO_COMPLEMENTOS!$H$4:$H$3243,INVENTARIO_COMPLEMENTOS!$B$4:$B$3243,"CUELLO",INVENTARIO_COMPLEMENTOS!$C$4:$C$3243,PRODUCTOS!D20,INVENTARIO_COMPLEMENTOS!$H$4:$H$3243,"&gt;0")/PRODUCTOS!E20,SUMIFS(INVENTARIO_COMPLEMENTOS!$H$4:$H$3243,INVENTARIO_COMPLEMENTOS!$A$4:$A$3243,$C$2,INVENTARIO_COMPLEMENTOS!$B$4:$B$3243,"CUELLO",INVENTARIO_COMPLEMENTOS!$C$4:$C$3243,PRODUCTOS!D20,INVENTARIO_COMPLEMENTOS!$H$4:$H$3243,"&gt;0")/PRODUCTOS!E20)))</f>
        <v/>
      </c>
      <c r="E84" s="119" t="str">
        <f>IF(A84="","",IF(OR(PRODUCTOS!F20="NINGUNO",PRODUCTOS!G20=0),9999999,IF($C$2="TODOS",SUMIFS(INVENTARIO_COMPLEMENTOS!$H$4:$H$3243,INVENTARIO_COMPLEMENTOS!$B$4:$B$3243,"PUÑO",INVENTARIO_COMPLEMENTOS!$C$4:$C$3243,PRODUCTOS!F20,INVENTARIO_COMPLEMENTOS!$H$4:$H$3243,"&gt;0")/PRODUCTOS!G20,SUMIFS(INVENTARIO_COMPLEMENTOS!$H$4:$H$3243,INVENTARIO_COMPLEMENTOS!$A$4:$A$3243,$C$2,INVENTARIO_COMPLEMENTOS!$B$4:$B$3243,"PUÑO",INVENTARIO_COMPLEMENTOS!$C$4:$C$3243,PRODUCTOS!F20,INVENTARIO_COMPLEMENTOS!$H$4:$H$3243,"&gt;0")/PRODUCTOS!G20)))</f>
        <v/>
      </c>
      <c r="F84" s="119" t="str">
        <f>IF(A84="","",IF(OR(PRODUCTOS!H20="NINGUNO",PRODUCTOS!I20=0),9999999,IF($C$2="TODOS",SUMIFS(INVENTARIO_COMPLEMENTOS!$H$4:$H$3243,INVENTARIO_COMPLEMENTOS!$B$4:$B$3243,"PRETINA",INVENTARIO_COMPLEMENTOS!$C$4:$C$3243,PRODUCTOS!H20,INVENTARIO_COMPLEMENTOS!$D$4:$D$3243,PRODUCTOS!A20,INVENTARIO_COMPLEMENTOS!$H$4:$H$3243,"&gt;0")/PRODUCTOS!I20,SUMIFS(INVENTARIO_COMPLEMENTOS!$H$4:$H$3243,INVENTARIO_COMPLEMENTOS!$A$4:$A$3243,$C$2,INVENTARIO_COMPLEMENTOS!$B$4:$B$3243,"PRETINA",INVENTARIO_COMPLEMENTOS!$C$4:$C$3243,PRODUCTOS!H20,INVENTARIO_COMPLEMENTOS!$D$4:$D$3243,PRODUCTOS!A20,INVENTARIO_COMPLEMENTOS!$H$4:$H$3243,"&gt;0")/PRODUCTOS!I20)))</f>
        <v/>
      </c>
      <c r="G84" s="119" t="str">
        <f>IF(A84="","",IF(OR(PRODUCTOS!J20="NINGUNO",PRODUCTOS!K20=0),9999999,IF($C$2="TODOS",SUMIFS(INVENTARIO_COMPLEMENTOS!$H$4:$H$3243,INVENTARIO_COMPLEMENTOS!$B$4:$B$3243,"CIERRE",INVENTARIO_COMPLEMENTOS!$C$4:$C$3243,PRODUCTOS!J20,INVENTARIO_COMPLEMENTOS!$H$4:$H$3243,"&gt;0")/PRODUCTOS!K20,SUMIFS(INVENTARIO_COMPLEMENTOS!$H$4:$H$3243,INVENTARIO_COMPLEMENTOS!$A$4:$A$3243,$C$2,INVENTARIO_COMPLEMENTOS!$B$4:$B$3243,"CIERRE",INVENTARIO_COMPLEMENTOS!$C$4:$C$3243,PRODUCTOS!J20,INVENTARIO_COMPLEMENTOS!$H$4:$H$3243,"&gt;0")/PRODUCTOS!K20)))</f>
        <v/>
      </c>
      <c r="H84" s="129" t="str">
        <f t="shared" si="2"/>
        <v/>
      </c>
    </row>
    <row r="85" ht="15.0" customHeight="1">
      <c r="A85" s="44" t="str">
        <f>IF(PRODUCTOS!A21="","",PRODUCTOS!A21)</f>
        <v/>
      </c>
      <c r="B85" s="126" t="str">
        <f>IF(A85="","",PRODUCTOS!B21)</f>
        <v/>
      </c>
      <c r="C85" s="119" t="str">
        <f>IF(A85="","",IFERROR(IF($C$2="TODOS",SUMIF(INVENTARIO!$B$4:$B$843,B85,INVENTARIO!$F$4:$F$843),SUMIFS(INVENTARIO!$F$4:$F$843,INVENTARIO!$B$4:$B$843,B85,INVENTARIO!$A$4:$A$843,$C$2))*PRODUCTOS!C21,0))</f>
        <v/>
      </c>
      <c r="D85" s="119" t="str">
        <f>IF(A85="","",IF(OR(PRODUCTOS!D21="NINGUNO",PRODUCTOS!E21=0),9999999,IF($C$2="TODOS",SUMIFS(INVENTARIO_COMPLEMENTOS!$H$4:$H$3243,INVENTARIO_COMPLEMENTOS!$B$4:$B$3243,"CUELLO",INVENTARIO_COMPLEMENTOS!$C$4:$C$3243,PRODUCTOS!D21,INVENTARIO_COMPLEMENTOS!$H$4:$H$3243,"&gt;0")/PRODUCTOS!E21,SUMIFS(INVENTARIO_COMPLEMENTOS!$H$4:$H$3243,INVENTARIO_COMPLEMENTOS!$A$4:$A$3243,$C$2,INVENTARIO_COMPLEMENTOS!$B$4:$B$3243,"CUELLO",INVENTARIO_COMPLEMENTOS!$C$4:$C$3243,PRODUCTOS!D21,INVENTARIO_COMPLEMENTOS!$H$4:$H$3243,"&gt;0")/PRODUCTOS!E21)))</f>
        <v/>
      </c>
      <c r="E85" s="119" t="str">
        <f>IF(A85="","",IF(OR(PRODUCTOS!F21="NINGUNO",PRODUCTOS!G21=0),9999999,IF($C$2="TODOS",SUMIFS(INVENTARIO_COMPLEMENTOS!$H$4:$H$3243,INVENTARIO_COMPLEMENTOS!$B$4:$B$3243,"PUÑO",INVENTARIO_COMPLEMENTOS!$C$4:$C$3243,PRODUCTOS!F21,INVENTARIO_COMPLEMENTOS!$H$4:$H$3243,"&gt;0")/PRODUCTOS!G21,SUMIFS(INVENTARIO_COMPLEMENTOS!$H$4:$H$3243,INVENTARIO_COMPLEMENTOS!$A$4:$A$3243,$C$2,INVENTARIO_COMPLEMENTOS!$B$4:$B$3243,"PUÑO",INVENTARIO_COMPLEMENTOS!$C$4:$C$3243,PRODUCTOS!F21,INVENTARIO_COMPLEMENTOS!$H$4:$H$3243,"&gt;0")/PRODUCTOS!G21)))</f>
        <v/>
      </c>
      <c r="F85" s="119" t="str">
        <f>IF(A85="","",IF(OR(PRODUCTOS!H21="NINGUNO",PRODUCTOS!I21=0),9999999,IF($C$2="TODOS",SUMIFS(INVENTARIO_COMPLEMENTOS!$H$4:$H$3243,INVENTARIO_COMPLEMENTOS!$B$4:$B$3243,"PRETINA",INVENTARIO_COMPLEMENTOS!$C$4:$C$3243,PRODUCTOS!H21,INVENTARIO_COMPLEMENTOS!$D$4:$D$3243,PRODUCTOS!A21,INVENTARIO_COMPLEMENTOS!$H$4:$H$3243,"&gt;0")/PRODUCTOS!I21,SUMIFS(INVENTARIO_COMPLEMENTOS!$H$4:$H$3243,INVENTARIO_COMPLEMENTOS!$A$4:$A$3243,$C$2,INVENTARIO_COMPLEMENTOS!$B$4:$B$3243,"PRETINA",INVENTARIO_COMPLEMENTOS!$C$4:$C$3243,PRODUCTOS!H21,INVENTARIO_COMPLEMENTOS!$D$4:$D$3243,PRODUCTOS!A21,INVENTARIO_COMPLEMENTOS!$H$4:$H$3243,"&gt;0")/PRODUCTOS!I21)))</f>
        <v/>
      </c>
      <c r="G85" s="119" t="str">
        <f>IF(A85="","",IF(OR(PRODUCTOS!J21="NINGUNO",PRODUCTOS!K21=0),9999999,IF($C$2="TODOS",SUMIFS(INVENTARIO_COMPLEMENTOS!$H$4:$H$3243,INVENTARIO_COMPLEMENTOS!$B$4:$B$3243,"CIERRE",INVENTARIO_COMPLEMENTOS!$C$4:$C$3243,PRODUCTOS!J21,INVENTARIO_COMPLEMENTOS!$H$4:$H$3243,"&gt;0")/PRODUCTOS!K21,SUMIFS(INVENTARIO_COMPLEMENTOS!$H$4:$H$3243,INVENTARIO_COMPLEMENTOS!$A$4:$A$3243,$C$2,INVENTARIO_COMPLEMENTOS!$B$4:$B$3243,"CIERRE",INVENTARIO_COMPLEMENTOS!$C$4:$C$3243,PRODUCTOS!J21,INVENTARIO_COMPLEMENTOS!$H$4:$H$3243,"&gt;0")/PRODUCTOS!K21)))</f>
        <v/>
      </c>
      <c r="H85" s="129" t="str">
        <f t="shared" si="2"/>
        <v/>
      </c>
    </row>
    <row r="86" ht="15.0" customHeight="1">
      <c r="A86" s="44" t="str">
        <f>IF(PRODUCTOS!A22="","",PRODUCTOS!A22)</f>
        <v/>
      </c>
      <c r="B86" s="126" t="str">
        <f>IF(A86="","",PRODUCTOS!B22)</f>
        <v/>
      </c>
      <c r="C86" s="119" t="str">
        <f>IF(A86="","",IFERROR(IF($C$2="TODOS",SUMIF(INVENTARIO!$B$4:$B$843,B86,INVENTARIO!$F$4:$F$843),SUMIFS(INVENTARIO!$F$4:$F$843,INVENTARIO!$B$4:$B$843,B86,INVENTARIO!$A$4:$A$843,$C$2))*PRODUCTOS!C22,0))</f>
        <v/>
      </c>
      <c r="D86" s="119" t="str">
        <f>IF(A86="","",IF(OR(PRODUCTOS!D22="NINGUNO",PRODUCTOS!E22=0),9999999,IF($C$2="TODOS",SUMIFS(INVENTARIO_COMPLEMENTOS!$H$4:$H$3243,INVENTARIO_COMPLEMENTOS!$B$4:$B$3243,"CUELLO",INVENTARIO_COMPLEMENTOS!$C$4:$C$3243,PRODUCTOS!D22,INVENTARIO_COMPLEMENTOS!$H$4:$H$3243,"&gt;0")/PRODUCTOS!E22,SUMIFS(INVENTARIO_COMPLEMENTOS!$H$4:$H$3243,INVENTARIO_COMPLEMENTOS!$A$4:$A$3243,$C$2,INVENTARIO_COMPLEMENTOS!$B$4:$B$3243,"CUELLO",INVENTARIO_COMPLEMENTOS!$C$4:$C$3243,PRODUCTOS!D22,INVENTARIO_COMPLEMENTOS!$H$4:$H$3243,"&gt;0")/PRODUCTOS!E22)))</f>
        <v/>
      </c>
      <c r="E86" s="119" t="str">
        <f>IF(A86="","",IF(OR(PRODUCTOS!F22="NINGUNO",PRODUCTOS!G22=0),9999999,IF($C$2="TODOS",SUMIFS(INVENTARIO_COMPLEMENTOS!$H$4:$H$3243,INVENTARIO_COMPLEMENTOS!$B$4:$B$3243,"PUÑO",INVENTARIO_COMPLEMENTOS!$C$4:$C$3243,PRODUCTOS!F22,INVENTARIO_COMPLEMENTOS!$H$4:$H$3243,"&gt;0")/PRODUCTOS!G22,SUMIFS(INVENTARIO_COMPLEMENTOS!$H$4:$H$3243,INVENTARIO_COMPLEMENTOS!$A$4:$A$3243,$C$2,INVENTARIO_COMPLEMENTOS!$B$4:$B$3243,"PUÑO",INVENTARIO_COMPLEMENTOS!$C$4:$C$3243,PRODUCTOS!F22,INVENTARIO_COMPLEMENTOS!$H$4:$H$3243,"&gt;0")/PRODUCTOS!G22)))</f>
        <v/>
      </c>
      <c r="F86" s="119" t="str">
        <f>IF(A86="","",IF(OR(PRODUCTOS!H22="NINGUNO",PRODUCTOS!I22=0),9999999,IF($C$2="TODOS",SUMIFS(INVENTARIO_COMPLEMENTOS!$H$4:$H$3243,INVENTARIO_COMPLEMENTOS!$B$4:$B$3243,"PRETINA",INVENTARIO_COMPLEMENTOS!$C$4:$C$3243,PRODUCTOS!H22,INVENTARIO_COMPLEMENTOS!$D$4:$D$3243,PRODUCTOS!A22,INVENTARIO_COMPLEMENTOS!$H$4:$H$3243,"&gt;0")/PRODUCTOS!I22,SUMIFS(INVENTARIO_COMPLEMENTOS!$H$4:$H$3243,INVENTARIO_COMPLEMENTOS!$A$4:$A$3243,$C$2,INVENTARIO_COMPLEMENTOS!$B$4:$B$3243,"PRETINA",INVENTARIO_COMPLEMENTOS!$C$4:$C$3243,PRODUCTOS!H22,INVENTARIO_COMPLEMENTOS!$D$4:$D$3243,PRODUCTOS!A22,INVENTARIO_COMPLEMENTOS!$H$4:$H$3243,"&gt;0")/PRODUCTOS!I22)))</f>
        <v/>
      </c>
      <c r="G86" s="119" t="str">
        <f>IF(A86="","",IF(OR(PRODUCTOS!J22="NINGUNO",PRODUCTOS!K22=0),9999999,IF($C$2="TODOS",SUMIFS(INVENTARIO_COMPLEMENTOS!$H$4:$H$3243,INVENTARIO_COMPLEMENTOS!$B$4:$B$3243,"CIERRE",INVENTARIO_COMPLEMENTOS!$C$4:$C$3243,PRODUCTOS!J22,INVENTARIO_COMPLEMENTOS!$H$4:$H$3243,"&gt;0")/PRODUCTOS!K22,SUMIFS(INVENTARIO_COMPLEMENTOS!$H$4:$H$3243,INVENTARIO_COMPLEMENTOS!$A$4:$A$3243,$C$2,INVENTARIO_COMPLEMENTOS!$B$4:$B$3243,"CIERRE",INVENTARIO_COMPLEMENTOS!$C$4:$C$3243,PRODUCTOS!J22,INVENTARIO_COMPLEMENTOS!$H$4:$H$3243,"&gt;0")/PRODUCTOS!K22)))</f>
        <v/>
      </c>
      <c r="H86" s="129" t="str">
        <f t="shared" si="2"/>
        <v/>
      </c>
    </row>
    <row r="87" ht="15.0" customHeight="1">
      <c r="A87" s="44" t="str">
        <f>IF(PRODUCTOS!A23="","",PRODUCTOS!A23)</f>
        <v/>
      </c>
      <c r="B87" s="126" t="str">
        <f>IF(A87="","",PRODUCTOS!B23)</f>
        <v/>
      </c>
      <c r="C87" s="119" t="str">
        <f>IF(A87="","",IFERROR(IF($C$2="TODOS",SUMIF(INVENTARIO!$B$4:$B$843,B87,INVENTARIO!$F$4:$F$843),SUMIFS(INVENTARIO!$F$4:$F$843,INVENTARIO!$B$4:$B$843,B87,INVENTARIO!$A$4:$A$843,$C$2))*PRODUCTOS!C23,0))</f>
        <v/>
      </c>
      <c r="D87" s="119" t="str">
        <f>IF(A87="","",IF(OR(PRODUCTOS!D23="NINGUNO",PRODUCTOS!E23=0),9999999,IF($C$2="TODOS",SUMIFS(INVENTARIO_COMPLEMENTOS!$H$4:$H$3243,INVENTARIO_COMPLEMENTOS!$B$4:$B$3243,"CUELLO",INVENTARIO_COMPLEMENTOS!$C$4:$C$3243,PRODUCTOS!D23,INVENTARIO_COMPLEMENTOS!$H$4:$H$3243,"&gt;0")/PRODUCTOS!E23,SUMIFS(INVENTARIO_COMPLEMENTOS!$H$4:$H$3243,INVENTARIO_COMPLEMENTOS!$A$4:$A$3243,$C$2,INVENTARIO_COMPLEMENTOS!$B$4:$B$3243,"CUELLO",INVENTARIO_COMPLEMENTOS!$C$4:$C$3243,PRODUCTOS!D23,INVENTARIO_COMPLEMENTOS!$H$4:$H$3243,"&gt;0")/PRODUCTOS!E23)))</f>
        <v/>
      </c>
      <c r="E87" s="119" t="str">
        <f>IF(A87="","",IF(OR(PRODUCTOS!F23="NINGUNO",PRODUCTOS!G23=0),9999999,IF($C$2="TODOS",SUMIFS(INVENTARIO_COMPLEMENTOS!$H$4:$H$3243,INVENTARIO_COMPLEMENTOS!$B$4:$B$3243,"PUÑO",INVENTARIO_COMPLEMENTOS!$C$4:$C$3243,PRODUCTOS!F23,INVENTARIO_COMPLEMENTOS!$H$4:$H$3243,"&gt;0")/PRODUCTOS!G23,SUMIFS(INVENTARIO_COMPLEMENTOS!$H$4:$H$3243,INVENTARIO_COMPLEMENTOS!$A$4:$A$3243,$C$2,INVENTARIO_COMPLEMENTOS!$B$4:$B$3243,"PUÑO",INVENTARIO_COMPLEMENTOS!$C$4:$C$3243,PRODUCTOS!F23,INVENTARIO_COMPLEMENTOS!$H$4:$H$3243,"&gt;0")/PRODUCTOS!G23)))</f>
        <v/>
      </c>
      <c r="F87" s="119" t="str">
        <f>IF(A87="","",IF(OR(PRODUCTOS!H23="NINGUNO",PRODUCTOS!I23=0),9999999,IF($C$2="TODOS",SUMIFS(INVENTARIO_COMPLEMENTOS!$H$4:$H$3243,INVENTARIO_COMPLEMENTOS!$B$4:$B$3243,"PRETINA",INVENTARIO_COMPLEMENTOS!$C$4:$C$3243,PRODUCTOS!H23,INVENTARIO_COMPLEMENTOS!$D$4:$D$3243,PRODUCTOS!A23,INVENTARIO_COMPLEMENTOS!$H$4:$H$3243,"&gt;0")/PRODUCTOS!I23,SUMIFS(INVENTARIO_COMPLEMENTOS!$H$4:$H$3243,INVENTARIO_COMPLEMENTOS!$A$4:$A$3243,$C$2,INVENTARIO_COMPLEMENTOS!$B$4:$B$3243,"PRETINA",INVENTARIO_COMPLEMENTOS!$C$4:$C$3243,PRODUCTOS!H23,INVENTARIO_COMPLEMENTOS!$D$4:$D$3243,PRODUCTOS!A23,INVENTARIO_COMPLEMENTOS!$H$4:$H$3243,"&gt;0")/PRODUCTOS!I23)))</f>
        <v/>
      </c>
      <c r="G87" s="119" t="str">
        <f>IF(A87="","",IF(OR(PRODUCTOS!J23="NINGUNO",PRODUCTOS!K23=0),9999999,IF($C$2="TODOS",SUMIFS(INVENTARIO_COMPLEMENTOS!$H$4:$H$3243,INVENTARIO_COMPLEMENTOS!$B$4:$B$3243,"CIERRE",INVENTARIO_COMPLEMENTOS!$C$4:$C$3243,PRODUCTOS!J23,INVENTARIO_COMPLEMENTOS!$H$4:$H$3243,"&gt;0")/PRODUCTOS!K23,SUMIFS(INVENTARIO_COMPLEMENTOS!$H$4:$H$3243,INVENTARIO_COMPLEMENTOS!$A$4:$A$3243,$C$2,INVENTARIO_COMPLEMENTOS!$B$4:$B$3243,"CIERRE",INVENTARIO_COMPLEMENTOS!$C$4:$C$3243,PRODUCTOS!J23,INVENTARIO_COMPLEMENTOS!$H$4:$H$3243,"&gt;0")/PRODUCTOS!K23)))</f>
        <v/>
      </c>
      <c r="H87" s="129" t="str">
        <f t="shared" si="2"/>
        <v/>
      </c>
    </row>
    <row r="88" ht="15.0" customHeight="1">
      <c r="A88" s="44" t="str">
        <f>IF(PRODUCTOS!A24="","",PRODUCTOS!A24)</f>
        <v/>
      </c>
      <c r="B88" s="126" t="str">
        <f>IF(A88="","",PRODUCTOS!B24)</f>
        <v/>
      </c>
      <c r="C88" s="119" t="str">
        <f>IF(A88="","",IFERROR(IF($C$2="TODOS",SUMIF(INVENTARIO!$B$4:$B$843,B88,INVENTARIO!$F$4:$F$843),SUMIFS(INVENTARIO!$F$4:$F$843,INVENTARIO!$B$4:$B$843,B88,INVENTARIO!$A$4:$A$843,$C$2))*PRODUCTOS!C24,0))</f>
        <v/>
      </c>
      <c r="D88" s="119" t="str">
        <f>IF(A88="","",IF(OR(PRODUCTOS!D24="NINGUNO",PRODUCTOS!E24=0),9999999,IF($C$2="TODOS",SUMIFS(INVENTARIO_COMPLEMENTOS!$H$4:$H$3243,INVENTARIO_COMPLEMENTOS!$B$4:$B$3243,"CUELLO",INVENTARIO_COMPLEMENTOS!$C$4:$C$3243,PRODUCTOS!D24,INVENTARIO_COMPLEMENTOS!$H$4:$H$3243,"&gt;0")/PRODUCTOS!E24,SUMIFS(INVENTARIO_COMPLEMENTOS!$H$4:$H$3243,INVENTARIO_COMPLEMENTOS!$A$4:$A$3243,$C$2,INVENTARIO_COMPLEMENTOS!$B$4:$B$3243,"CUELLO",INVENTARIO_COMPLEMENTOS!$C$4:$C$3243,PRODUCTOS!D24,INVENTARIO_COMPLEMENTOS!$H$4:$H$3243,"&gt;0")/PRODUCTOS!E24)))</f>
        <v/>
      </c>
      <c r="E88" s="119" t="str">
        <f>IF(A88="","",IF(OR(PRODUCTOS!F24="NINGUNO",PRODUCTOS!G24=0),9999999,IF($C$2="TODOS",SUMIFS(INVENTARIO_COMPLEMENTOS!$H$4:$H$3243,INVENTARIO_COMPLEMENTOS!$B$4:$B$3243,"PUÑO",INVENTARIO_COMPLEMENTOS!$C$4:$C$3243,PRODUCTOS!F24,INVENTARIO_COMPLEMENTOS!$H$4:$H$3243,"&gt;0")/PRODUCTOS!G24,SUMIFS(INVENTARIO_COMPLEMENTOS!$H$4:$H$3243,INVENTARIO_COMPLEMENTOS!$A$4:$A$3243,$C$2,INVENTARIO_COMPLEMENTOS!$B$4:$B$3243,"PUÑO",INVENTARIO_COMPLEMENTOS!$C$4:$C$3243,PRODUCTOS!F24,INVENTARIO_COMPLEMENTOS!$H$4:$H$3243,"&gt;0")/PRODUCTOS!G24)))</f>
        <v/>
      </c>
      <c r="F88" s="119" t="str">
        <f>IF(A88="","",IF(OR(PRODUCTOS!H24="NINGUNO",PRODUCTOS!I24=0),9999999,IF($C$2="TODOS",SUMIFS(INVENTARIO_COMPLEMENTOS!$H$4:$H$3243,INVENTARIO_COMPLEMENTOS!$B$4:$B$3243,"PRETINA",INVENTARIO_COMPLEMENTOS!$C$4:$C$3243,PRODUCTOS!H24,INVENTARIO_COMPLEMENTOS!$D$4:$D$3243,PRODUCTOS!A24,INVENTARIO_COMPLEMENTOS!$H$4:$H$3243,"&gt;0")/PRODUCTOS!I24,SUMIFS(INVENTARIO_COMPLEMENTOS!$H$4:$H$3243,INVENTARIO_COMPLEMENTOS!$A$4:$A$3243,$C$2,INVENTARIO_COMPLEMENTOS!$B$4:$B$3243,"PRETINA",INVENTARIO_COMPLEMENTOS!$C$4:$C$3243,PRODUCTOS!H24,INVENTARIO_COMPLEMENTOS!$D$4:$D$3243,PRODUCTOS!A24,INVENTARIO_COMPLEMENTOS!$H$4:$H$3243,"&gt;0")/PRODUCTOS!I24)))</f>
        <v/>
      </c>
      <c r="G88" s="119" t="str">
        <f>IF(A88="","",IF(OR(PRODUCTOS!J24="NINGUNO",PRODUCTOS!K24=0),9999999,IF($C$2="TODOS",SUMIFS(INVENTARIO_COMPLEMENTOS!$H$4:$H$3243,INVENTARIO_COMPLEMENTOS!$B$4:$B$3243,"CIERRE",INVENTARIO_COMPLEMENTOS!$C$4:$C$3243,PRODUCTOS!J24,INVENTARIO_COMPLEMENTOS!$H$4:$H$3243,"&gt;0")/PRODUCTOS!K24,SUMIFS(INVENTARIO_COMPLEMENTOS!$H$4:$H$3243,INVENTARIO_COMPLEMENTOS!$A$4:$A$3243,$C$2,INVENTARIO_COMPLEMENTOS!$B$4:$B$3243,"CIERRE",INVENTARIO_COMPLEMENTOS!$C$4:$C$3243,PRODUCTOS!J24,INVENTARIO_COMPLEMENTOS!$H$4:$H$3243,"&gt;0")/PRODUCTOS!K24)))</f>
        <v/>
      </c>
      <c r="H88" s="129" t="str">
        <f t="shared" si="2"/>
        <v/>
      </c>
    </row>
    <row r="89" ht="15.0" customHeight="1">
      <c r="A89" s="44" t="str">
        <f>IF(PRODUCTOS!A25="","",PRODUCTOS!A25)</f>
        <v/>
      </c>
      <c r="B89" s="126" t="str">
        <f>IF(A89="","",PRODUCTOS!B25)</f>
        <v/>
      </c>
      <c r="C89" s="119" t="str">
        <f>IF(A89="","",IFERROR(IF($C$2="TODOS",SUMIF(INVENTARIO!$B$4:$B$843,B89,INVENTARIO!$F$4:$F$843),SUMIFS(INVENTARIO!$F$4:$F$843,INVENTARIO!$B$4:$B$843,B89,INVENTARIO!$A$4:$A$843,$C$2))*PRODUCTOS!C25,0))</f>
        <v/>
      </c>
      <c r="D89" s="119" t="str">
        <f>IF(A89="","",IF(OR(PRODUCTOS!D25="NINGUNO",PRODUCTOS!E25=0),9999999,IF($C$2="TODOS",SUMIFS(INVENTARIO_COMPLEMENTOS!$H$4:$H$3243,INVENTARIO_COMPLEMENTOS!$B$4:$B$3243,"CUELLO",INVENTARIO_COMPLEMENTOS!$C$4:$C$3243,PRODUCTOS!D25,INVENTARIO_COMPLEMENTOS!$H$4:$H$3243,"&gt;0")/PRODUCTOS!E25,SUMIFS(INVENTARIO_COMPLEMENTOS!$H$4:$H$3243,INVENTARIO_COMPLEMENTOS!$A$4:$A$3243,$C$2,INVENTARIO_COMPLEMENTOS!$B$4:$B$3243,"CUELLO",INVENTARIO_COMPLEMENTOS!$C$4:$C$3243,PRODUCTOS!D25,INVENTARIO_COMPLEMENTOS!$H$4:$H$3243,"&gt;0")/PRODUCTOS!E25)))</f>
        <v/>
      </c>
      <c r="E89" s="119" t="str">
        <f>IF(A89="","",IF(OR(PRODUCTOS!F25="NINGUNO",PRODUCTOS!G25=0),9999999,IF($C$2="TODOS",SUMIFS(INVENTARIO_COMPLEMENTOS!$H$4:$H$3243,INVENTARIO_COMPLEMENTOS!$B$4:$B$3243,"PUÑO",INVENTARIO_COMPLEMENTOS!$C$4:$C$3243,PRODUCTOS!F25,INVENTARIO_COMPLEMENTOS!$H$4:$H$3243,"&gt;0")/PRODUCTOS!G25,SUMIFS(INVENTARIO_COMPLEMENTOS!$H$4:$H$3243,INVENTARIO_COMPLEMENTOS!$A$4:$A$3243,$C$2,INVENTARIO_COMPLEMENTOS!$B$4:$B$3243,"PUÑO",INVENTARIO_COMPLEMENTOS!$C$4:$C$3243,PRODUCTOS!F25,INVENTARIO_COMPLEMENTOS!$H$4:$H$3243,"&gt;0")/PRODUCTOS!G25)))</f>
        <v/>
      </c>
      <c r="F89" s="119" t="str">
        <f>IF(A89="","",IF(OR(PRODUCTOS!H25="NINGUNO",PRODUCTOS!I25=0),9999999,IF($C$2="TODOS",SUMIFS(INVENTARIO_COMPLEMENTOS!$H$4:$H$3243,INVENTARIO_COMPLEMENTOS!$B$4:$B$3243,"PRETINA",INVENTARIO_COMPLEMENTOS!$C$4:$C$3243,PRODUCTOS!H25,INVENTARIO_COMPLEMENTOS!$D$4:$D$3243,PRODUCTOS!A25,INVENTARIO_COMPLEMENTOS!$H$4:$H$3243,"&gt;0")/PRODUCTOS!I25,SUMIFS(INVENTARIO_COMPLEMENTOS!$H$4:$H$3243,INVENTARIO_COMPLEMENTOS!$A$4:$A$3243,$C$2,INVENTARIO_COMPLEMENTOS!$B$4:$B$3243,"PRETINA",INVENTARIO_COMPLEMENTOS!$C$4:$C$3243,PRODUCTOS!H25,INVENTARIO_COMPLEMENTOS!$D$4:$D$3243,PRODUCTOS!A25,INVENTARIO_COMPLEMENTOS!$H$4:$H$3243,"&gt;0")/PRODUCTOS!I25)))</f>
        <v/>
      </c>
      <c r="G89" s="119" t="str">
        <f>IF(A89="","",IF(OR(PRODUCTOS!J25="NINGUNO",PRODUCTOS!K25=0),9999999,IF($C$2="TODOS",SUMIFS(INVENTARIO_COMPLEMENTOS!$H$4:$H$3243,INVENTARIO_COMPLEMENTOS!$B$4:$B$3243,"CIERRE",INVENTARIO_COMPLEMENTOS!$C$4:$C$3243,PRODUCTOS!J25,INVENTARIO_COMPLEMENTOS!$H$4:$H$3243,"&gt;0")/PRODUCTOS!K25,SUMIFS(INVENTARIO_COMPLEMENTOS!$H$4:$H$3243,INVENTARIO_COMPLEMENTOS!$A$4:$A$3243,$C$2,INVENTARIO_COMPLEMENTOS!$B$4:$B$3243,"CIERRE",INVENTARIO_COMPLEMENTOS!$C$4:$C$3243,PRODUCTOS!J25,INVENTARIO_COMPLEMENTOS!$H$4:$H$3243,"&gt;0")/PRODUCTOS!K25)))</f>
        <v/>
      </c>
      <c r="H89" s="129" t="str">
        <f t="shared" si="2"/>
        <v/>
      </c>
    </row>
    <row r="90" ht="15.0" customHeight="1">
      <c r="A90" s="44" t="str">
        <f>IF(PRODUCTOS!A26="","",PRODUCTOS!A26)</f>
        <v/>
      </c>
      <c r="B90" s="126" t="str">
        <f>IF(A90="","",PRODUCTOS!B26)</f>
        <v/>
      </c>
      <c r="C90" s="119" t="str">
        <f>IF(A90="","",IFERROR(IF($C$2="TODOS",SUMIF(INVENTARIO!$B$4:$B$843,B90,INVENTARIO!$F$4:$F$843),SUMIFS(INVENTARIO!$F$4:$F$843,INVENTARIO!$B$4:$B$843,B90,INVENTARIO!$A$4:$A$843,$C$2))*PRODUCTOS!C26,0))</f>
        <v/>
      </c>
      <c r="D90" s="119" t="str">
        <f>IF(A90="","",IF(OR(PRODUCTOS!D26="NINGUNO",PRODUCTOS!E26=0),9999999,IF($C$2="TODOS",SUMIFS(INVENTARIO_COMPLEMENTOS!$H$4:$H$3243,INVENTARIO_COMPLEMENTOS!$B$4:$B$3243,"CUELLO",INVENTARIO_COMPLEMENTOS!$C$4:$C$3243,PRODUCTOS!D26,INVENTARIO_COMPLEMENTOS!$H$4:$H$3243,"&gt;0")/PRODUCTOS!E26,SUMIFS(INVENTARIO_COMPLEMENTOS!$H$4:$H$3243,INVENTARIO_COMPLEMENTOS!$A$4:$A$3243,$C$2,INVENTARIO_COMPLEMENTOS!$B$4:$B$3243,"CUELLO",INVENTARIO_COMPLEMENTOS!$C$4:$C$3243,PRODUCTOS!D26,INVENTARIO_COMPLEMENTOS!$H$4:$H$3243,"&gt;0")/PRODUCTOS!E26)))</f>
        <v/>
      </c>
      <c r="E90" s="119" t="str">
        <f>IF(A90="","",IF(OR(PRODUCTOS!F26="NINGUNO",PRODUCTOS!G26=0),9999999,IF($C$2="TODOS",SUMIFS(INVENTARIO_COMPLEMENTOS!$H$4:$H$3243,INVENTARIO_COMPLEMENTOS!$B$4:$B$3243,"PUÑO",INVENTARIO_COMPLEMENTOS!$C$4:$C$3243,PRODUCTOS!F26,INVENTARIO_COMPLEMENTOS!$H$4:$H$3243,"&gt;0")/PRODUCTOS!G26,SUMIFS(INVENTARIO_COMPLEMENTOS!$H$4:$H$3243,INVENTARIO_COMPLEMENTOS!$A$4:$A$3243,$C$2,INVENTARIO_COMPLEMENTOS!$B$4:$B$3243,"PUÑO",INVENTARIO_COMPLEMENTOS!$C$4:$C$3243,PRODUCTOS!F26,INVENTARIO_COMPLEMENTOS!$H$4:$H$3243,"&gt;0")/PRODUCTOS!G26)))</f>
        <v/>
      </c>
      <c r="F90" s="119" t="str">
        <f>IF(A90="","",IF(OR(PRODUCTOS!H26="NINGUNO",PRODUCTOS!I26=0),9999999,IF($C$2="TODOS",SUMIFS(INVENTARIO_COMPLEMENTOS!$H$4:$H$3243,INVENTARIO_COMPLEMENTOS!$B$4:$B$3243,"PRETINA",INVENTARIO_COMPLEMENTOS!$C$4:$C$3243,PRODUCTOS!H26,INVENTARIO_COMPLEMENTOS!$D$4:$D$3243,PRODUCTOS!A26,INVENTARIO_COMPLEMENTOS!$H$4:$H$3243,"&gt;0")/PRODUCTOS!I26,SUMIFS(INVENTARIO_COMPLEMENTOS!$H$4:$H$3243,INVENTARIO_COMPLEMENTOS!$A$4:$A$3243,$C$2,INVENTARIO_COMPLEMENTOS!$B$4:$B$3243,"PRETINA",INVENTARIO_COMPLEMENTOS!$C$4:$C$3243,PRODUCTOS!H26,INVENTARIO_COMPLEMENTOS!$D$4:$D$3243,PRODUCTOS!A26,INVENTARIO_COMPLEMENTOS!$H$4:$H$3243,"&gt;0")/PRODUCTOS!I26)))</f>
        <v/>
      </c>
      <c r="G90" s="119" t="str">
        <f>IF(A90="","",IF(OR(PRODUCTOS!J26="NINGUNO",PRODUCTOS!K26=0),9999999,IF($C$2="TODOS",SUMIFS(INVENTARIO_COMPLEMENTOS!$H$4:$H$3243,INVENTARIO_COMPLEMENTOS!$B$4:$B$3243,"CIERRE",INVENTARIO_COMPLEMENTOS!$C$4:$C$3243,PRODUCTOS!J26,INVENTARIO_COMPLEMENTOS!$H$4:$H$3243,"&gt;0")/PRODUCTOS!K26,SUMIFS(INVENTARIO_COMPLEMENTOS!$H$4:$H$3243,INVENTARIO_COMPLEMENTOS!$A$4:$A$3243,$C$2,INVENTARIO_COMPLEMENTOS!$B$4:$B$3243,"CIERRE",INVENTARIO_COMPLEMENTOS!$C$4:$C$3243,PRODUCTOS!J26,INVENTARIO_COMPLEMENTOS!$H$4:$H$3243,"&gt;0")/PRODUCTOS!K26)))</f>
        <v/>
      </c>
      <c r="H90" s="129" t="str">
        <f t="shared" si="2"/>
        <v/>
      </c>
    </row>
    <row r="91" ht="15.0" customHeight="1">
      <c r="A91" s="44" t="str">
        <f>IF(PRODUCTOS!A27="","",PRODUCTOS!A27)</f>
        <v/>
      </c>
      <c r="B91" s="126" t="str">
        <f>IF(A91="","",PRODUCTOS!B27)</f>
        <v/>
      </c>
      <c r="C91" s="119" t="str">
        <f>IF(A91="","",IFERROR(IF($C$2="TODOS",SUMIF(INVENTARIO!$B$4:$B$843,B91,INVENTARIO!$F$4:$F$843),SUMIFS(INVENTARIO!$F$4:$F$843,INVENTARIO!$B$4:$B$843,B91,INVENTARIO!$A$4:$A$843,$C$2))*PRODUCTOS!C27,0))</f>
        <v/>
      </c>
      <c r="D91" s="119" t="str">
        <f>IF(A91="","",IF(OR(PRODUCTOS!D27="NINGUNO",PRODUCTOS!E27=0),9999999,IF($C$2="TODOS",SUMIFS(INVENTARIO_COMPLEMENTOS!$H$4:$H$3243,INVENTARIO_COMPLEMENTOS!$B$4:$B$3243,"CUELLO",INVENTARIO_COMPLEMENTOS!$C$4:$C$3243,PRODUCTOS!D27,INVENTARIO_COMPLEMENTOS!$H$4:$H$3243,"&gt;0")/PRODUCTOS!E27,SUMIFS(INVENTARIO_COMPLEMENTOS!$H$4:$H$3243,INVENTARIO_COMPLEMENTOS!$A$4:$A$3243,$C$2,INVENTARIO_COMPLEMENTOS!$B$4:$B$3243,"CUELLO",INVENTARIO_COMPLEMENTOS!$C$4:$C$3243,PRODUCTOS!D27,INVENTARIO_COMPLEMENTOS!$H$4:$H$3243,"&gt;0")/PRODUCTOS!E27)))</f>
        <v/>
      </c>
      <c r="E91" s="119" t="str">
        <f>IF(A91="","",IF(OR(PRODUCTOS!F27="NINGUNO",PRODUCTOS!G27=0),9999999,IF($C$2="TODOS",SUMIFS(INVENTARIO_COMPLEMENTOS!$H$4:$H$3243,INVENTARIO_COMPLEMENTOS!$B$4:$B$3243,"PUÑO",INVENTARIO_COMPLEMENTOS!$C$4:$C$3243,PRODUCTOS!F27,INVENTARIO_COMPLEMENTOS!$H$4:$H$3243,"&gt;0")/PRODUCTOS!G27,SUMIFS(INVENTARIO_COMPLEMENTOS!$H$4:$H$3243,INVENTARIO_COMPLEMENTOS!$A$4:$A$3243,$C$2,INVENTARIO_COMPLEMENTOS!$B$4:$B$3243,"PUÑO",INVENTARIO_COMPLEMENTOS!$C$4:$C$3243,PRODUCTOS!F27,INVENTARIO_COMPLEMENTOS!$H$4:$H$3243,"&gt;0")/PRODUCTOS!G27)))</f>
        <v/>
      </c>
      <c r="F91" s="119" t="str">
        <f>IF(A91="","",IF(OR(PRODUCTOS!H27="NINGUNO",PRODUCTOS!I27=0),9999999,IF($C$2="TODOS",SUMIFS(INVENTARIO_COMPLEMENTOS!$H$4:$H$3243,INVENTARIO_COMPLEMENTOS!$B$4:$B$3243,"PRETINA",INVENTARIO_COMPLEMENTOS!$C$4:$C$3243,PRODUCTOS!H27,INVENTARIO_COMPLEMENTOS!$D$4:$D$3243,PRODUCTOS!A27,INVENTARIO_COMPLEMENTOS!$H$4:$H$3243,"&gt;0")/PRODUCTOS!I27,SUMIFS(INVENTARIO_COMPLEMENTOS!$H$4:$H$3243,INVENTARIO_COMPLEMENTOS!$A$4:$A$3243,$C$2,INVENTARIO_COMPLEMENTOS!$B$4:$B$3243,"PRETINA",INVENTARIO_COMPLEMENTOS!$C$4:$C$3243,PRODUCTOS!H27,INVENTARIO_COMPLEMENTOS!$D$4:$D$3243,PRODUCTOS!A27,INVENTARIO_COMPLEMENTOS!$H$4:$H$3243,"&gt;0")/PRODUCTOS!I27)))</f>
        <v/>
      </c>
      <c r="G91" s="119" t="str">
        <f>IF(A91="","",IF(OR(PRODUCTOS!J27="NINGUNO",PRODUCTOS!K27=0),9999999,IF($C$2="TODOS",SUMIFS(INVENTARIO_COMPLEMENTOS!$H$4:$H$3243,INVENTARIO_COMPLEMENTOS!$B$4:$B$3243,"CIERRE",INVENTARIO_COMPLEMENTOS!$C$4:$C$3243,PRODUCTOS!J27,INVENTARIO_COMPLEMENTOS!$H$4:$H$3243,"&gt;0")/PRODUCTOS!K27,SUMIFS(INVENTARIO_COMPLEMENTOS!$H$4:$H$3243,INVENTARIO_COMPLEMENTOS!$A$4:$A$3243,$C$2,INVENTARIO_COMPLEMENTOS!$B$4:$B$3243,"CIERRE",INVENTARIO_COMPLEMENTOS!$C$4:$C$3243,PRODUCTOS!J27,INVENTARIO_COMPLEMENTOS!$H$4:$H$3243,"&gt;0")/PRODUCTOS!K27)))</f>
        <v/>
      </c>
      <c r="H91" s="129" t="str">
        <f t="shared" si="2"/>
        <v/>
      </c>
    </row>
    <row r="92" ht="15.0" customHeight="1">
      <c r="A92" s="44" t="str">
        <f>IF(PRODUCTOS!A28="","",PRODUCTOS!A28)</f>
        <v/>
      </c>
      <c r="B92" s="126" t="str">
        <f>IF(A92="","",PRODUCTOS!B28)</f>
        <v/>
      </c>
      <c r="C92" s="119" t="str">
        <f>IF(A92="","",IFERROR(IF($C$2="TODOS",SUMIF(INVENTARIO!$B$4:$B$843,B92,INVENTARIO!$F$4:$F$843),SUMIFS(INVENTARIO!$F$4:$F$843,INVENTARIO!$B$4:$B$843,B92,INVENTARIO!$A$4:$A$843,$C$2))*PRODUCTOS!C28,0))</f>
        <v/>
      </c>
      <c r="D92" s="119" t="str">
        <f>IF(A92="","",IF(OR(PRODUCTOS!D28="NINGUNO",PRODUCTOS!E28=0),9999999,IF($C$2="TODOS",SUMIFS(INVENTARIO_COMPLEMENTOS!$H$4:$H$3243,INVENTARIO_COMPLEMENTOS!$B$4:$B$3243,"CUELLO",INVENTARIO_COMPLEMENTOS!$C$4:$C$3243,PRODUCTOS!D28,INVENTARIO_COMPLEMENTOS!$H$4:$H$3243,"&gt;0")/PRODUCTOS!E28,SUMIFS(INVENTARIO_COMPLEMENTOS!$H$4:$H$3243,INVENTARIO_COMPLEMENTOS!$A$4:$A$3243,$C$2,INVENTARIO_COMPLEMENTOS!$B$4:$B$3243,"CUELLO",INVENTARIO_COMPLEMENTOS!$C$4:$C$3243,PRODUCTOS!D28,INVENTARIO_COMPLEMENTOS!$H$4:$H$3243,"&gt;0")/PRODUCTOS!E28)))</f>
        <v/>
      </c>
      <c r="E92" s="119" t="str">
        <f>IF(A92="","",IF(OR(PRODUCTOS!F28="NINGUNO",PRODUCTOS!G28=0),9999999,IF($C$2="TODOS",SUMIFS(INVENTARIO_COMPLEMENTOS!$H$4:$H$3243,INVENTARIO_COMPLEMENTOS!$B$4:$B$3243,"PUÑO",INVENTARIO_COMPLEMENTOS!$C$4:$C$3243,PRODUCTOS!F28,INVENTARIO_COMPLEMENTOS!$H$4:$H$3243,"&gt;0")/PRODUCTOS!G28,SUMIFS(INVENTARIO_COMPLEMENTOS!$H$4:$H$3243,INVENTARIO_COMPLEMENTOS!$A$4:$A$3243,$C$2,INVENTARIO_COMPLEMENTOS!$B$4:$B$3243,"PUÑO",INVENTARIO_COMPLEMENTOS!$C$4:$C$3243,PRODUCTOS!F28,INVENTARIO_COMPLEMENTOS!$H$4:$H$3243,"&gt;0")/PRODUCTOS!G28)))</f>
        <v/>
      </c>
      <c r="F92" s="119" t="str">
        <f>IF(A92="","",IF(OR(PRODUCTOS!H28="NINGUNO",PRODUCTOS!I28=0),9999999,IF($C$2="TODOS",SUMIFS(INVENTARIO_COMPLEMENTOS!$H$4:$H$3243,INVENTARIO_COMPLEMENTOS!$B$4:$B$3243,"PRETINA",INVENTARIO_COMPLEMENTOS!$C$4:$C$3243,PRODUCTOS!H28,INVENTARIO_COMPLEMENTOS!$D$4:$D$3243,PRODUCTOS!A28,INVENTARIO_COMPLEMENTOS!$H$4:$H$3243,"&gt;0")/PRODUCTOS!I28,SUMIFS(INVENTARIO_COMPLEMENTOS!$H$4:$H$3243,INVENTARIO_COMPLEMENTOS!$A$4:$A$3243,$C$2,INVENTARIO_COMPLEMENTOS!$B$4:$B$3243,"PRETINA",INVENTARIO_COMPLEMENTOS!$C$4:$C$3243,PRODUCTOS!H28,INVENTARIO_COMPLEMENTOS!$D$4:$D$3243,PRODUCTOS!A28,INVENTARIO_COMPLEMENTOS!$H$4:$H$3243,"&gt;0")/PRODUCTOS!I28)))</f>
        <v/>
      </c>
      <c r="G92" s="119" t="str">
        <f>IF(A92="","",IF(OR(PRODUCTOS!J28="NINGUNO",PRODUCTOS!K28=0),9999999,IF($C$2="TODOS",SUMIFS(INVENTARIO_COMPLEMENTOS!$H$4:$H$3243,INVENTARIO_COMPLEMENTOS!$B$4:$B$3243,"CIERRE",INVENTARIO_COMPLEMENTOS!$C$4:$C$3243,PRODUCTOS!J28,INVENTARIO_COMPLEMENTOS!$H$4:$H$3243,"&gt;0")/PRODUCTOS!K28,SUMIFS(INVENTARIO_COMPLEMENTOS!$H$4:$H$3243,INVENTARIO_COMPLEMENTOS!$A$4:$A$3243,$C$2,INVENTARIO_COMPLEMENTOS!$B$4:$B$3243,"CIERRE",INVENTARIO_COMPLEMENTOS!$C$4:$C$3243,PRODUCTOS!J28,INVENTARIO_COMPLEMENTOS!$H$4:$H$3243,"&gt;0")/PRODUCTOS!K28)))</f>
        <v/>
      </c>
      <c r="H92" s="129" t="str">
        <f t="shared" si="2"/>
        <v/>
      </c>
    </row>
    <row r="93" ht="15.0" customHeight="1">
      <c r="A93" s="44" t="str">
        <f>IF(PRODUCTOS!A29="","",PRODUCTOS!A29)</f>
        <v/>
      </c>
      <c r="B93" s="126" t="str">
        <f>IF(A93="","",PRODUCTOS!B29)</f>
        <v/>
      </c>
      <c r="C93" s="119" t="str">
        <f>IF(A93="","",IFERROR(IF($C$2="TODOS",SUMIF(INVENTARIO!$B$4:$B$843,B93,INVENTARIO!$F$4:$F$843),SUMIFS(INVENTARIO!$F$4:$F$843,INVENTARIO!$B$4:$B$843,B93,INVENTARIO!$A$4:$A$843,$C$2))*PRODUCTOS!C29,0))</f>
        <v/>
      </c>
      <c r="D93" s="119" t="str">
        <f>IF(A93="","",IF(OR(PRODUCTOS!D29="NINGUNO",PRODUCTOS!E29=0),9999999,IF($C$2="TODOS",SUMIFS(INVENTARIO_COMPLEMENTOS!$H$4:$H$3243,INVENTARIO_COMPLEMENTOS!$B$4:$B$3243,"CUELLO",INVENTARIO_COMPLEMENTOS!$C$4:$C$3243,PRODUCTOS!D29,INVENTARIO_COMPLEMENTOS!$H$4:$H$3243,"&gt;0")/PRODUCTOS!E29,SUMIFS(INVENTARIO_COMPLEMENTOS!$H$4:$H$3243,INVENTARIO_COMPLEMENTOS!$A$4:$A$3243,$C$2,INVENTARIO_COMPLEMENTOS!$B$4:$B$3243,"CUELLO",INVENTARIO_COMPLEMENTOS!$C$4:$C$3243,PRODUCTOS!D29,INVENTARIO_COMPLEMENTOS!$H$4:$H$3243,"&gt;0")/PRODUCTOS!E29)))</f>
        <v/>
      </c>
      <c r="E93" s="119" t="str">
        <f>IF(A93="","",IF(OR(PRODUCTOS!F29="NINGUNO",PRODUCTOS!G29=0),9999999,IF($C$2="TODOS",SUMIFS(INVENTARIO_COMPLEMENTOS!$H$4:$H$3243,INVENTARIO_COMPLEMENTOS!$B$4:$B$3243,"PUÑO",INVENTARIO_COMPLEMENTOS!$C$4:$C$3243,PRODUCTOS!F29,INVENTARIO_COMPLEMENTOS!$H$4:$H$3243,"&gt;0")/PRODUCTOS!G29,SUMIFS(INVENTARIO_COMPLEMENTOS!$H$4:$H$3243,INVENTARIO_COMPLEMENTOS!$A$4:$A$3243,$C$2,INVENTARIO_COMPLEMENTOS!$B$4:$B$3243,"PUÑO",INVENTARIO_COMPLEMENTOS!$C$4:$C$3243,PRODUCTOS!F29,INVENTARIO_COMPLEMENTOS!$H$4:$H$3243,"&gt;0")/PRODUCTOS!G29)))</f>
        <v/>
      </c>
      <c r="F93" s="119" t="str">
        <f>IF(A93="","",IF(OR(PRODUCTOS!H29="NINGUNO",PRODUCTOS!I29=0),9999999,IF($C$2="TODOS",SUMIFS(INVENTARIO_COMPLEMENTOS!$H$4:$H$3243,INVENTARIO_COMPLEMENTOS!$B$4:$B$3243,"PRETINA",INVENTARIO_COMPLEMENTOS!$C$4:$C$3243,PRODUCTOS!H29,INVENTARIO_COMPLEMENTOS!$D$4:$D$3243,PRODUCTOS!A29,INVENTARIO_COMPLEMENTOS!$H$4:$H$3243,"&gt;0")/PRODUCTOS!I29,SUMIFS(INVENTARIO_COMPLEMENTOS!$H$4:$H$3243,INVENTARIO_COMPLEMENTOS!$A$4:$A$3243,$C$2,INVENTARIO_COMPLEMENTOS!$B$4:$B$3243,"PRETINA",INVENTARIO_COMPLEMENTOS!$C$4:$C$3243,PRODUCTOS!H29,INVENTARIO_COMPLEMENTOS!$D$4:$D$3243,PRODUCTOS!A29,INVENTARIO_COMPLEMENTOS!$H$4:$H$3243,"&gt;0")/PRODUCTOS!I29)))</f>
        <v/>
      </c>
      <c r="G93" s="119" t="str">
        <f>IF(A93="","",IF(OR(PRODUCTOS!J29="NINGUNO",PRODUCTOS!K29=0),9999999,IF($C$2="TODOS",SUMIFS(INVENTARIO_COMPLEMENTOS!$H$4:$H$3243,INVENTARIO_COMPLEMENTOS!$B$4:$B$3243,"CIERRE",INVENTARIO_COMPLEMENTOS!$C$4:$C$3243,PRODUCTOS!J29,INVENTARIO_COMPLEMENTOS!$H$4:$H$3243,"&gt;0")/PRODUCTOS!K29,SUMIFS(INVENTARIO_COMPLEMENTOS!$H$4:$H$3243,INVENTARIO_COMPLEMENTOS!$A$4:$A$3243,$C$2,INVENTARIO_COMPLEMENTOS!$B$4:$B$3243,"CIERRE",INVENTARIO_COMPLEMENTOS!$C$4:$C$3243,PRODUCTOS!J29,INVENTARIO_COMPLEMENTOS!$H$4:$H$3243,"&gt;0")/PRODUCTOS!K29)))</f>
        <v/>
      </c>
      <c r="H93" s="129" t="str">
        <f t="shared" si="2"/>
        <v/>
      </c>
    </row>
    <row r="94" ht="15.0" customHeight="1">
      <c r="A94" s="44" t="str">
        <f>IF(PRODUCTOS!A30="","",PRODUCTOS!A30)</f>
        <v/>
      </c>
      <c r="B94" s="126" t="str">
        <f>IF(A94="","",PRODUCTOS!B30)</f>
        <v/>
      </c>
      <c r="C94" s="119" t="str">
        <f>IF(A94="","",IFERROR(IF($C$2="TODOS",SUMIF(INVENTARIO!$B$4:$B$843,B94,INVENTARIO!$F$4:$F$843),SUMIFS(INVENTARIO!$F$4:$F$843,INVENTARIO!$B$4:$B$843,B94,INVENTARIO!$A$4:$A$843,$C$2))*PRODUCTOS!C30,0))</f>
        <v/>
      </c>
      <c r="D94" s="119" t="str">
        <f>IF(A94="","",IF(OR(PRODUCTOS!D30="NINGUNO",PRODUCTOS!E30=0),9999999,IF($C$2="TODOS",SUMIFS(INVENTARIO_COMPLEMENTOS!$H$4:$H$3243,INVENTARIO_COMPLEMENTOS!$B$4:$B$3243,"CUELLO",INVENTARIO_COMPLEMENTOS!$C$4:$C$3243,PRODUCTOS!D30,INVENTARIO_COMPLEMENTOS!$H$4:$H$3243,"&gt;0")/PRODUCTOS!E30,SUMIFS(INVENTARIO_COMPLEMENTOS!$H$4:$H$3243,INVENTARIO_COMPLEMENTOS!$A$4:$A$3243,$C$2,INVENTARIO_COMPLEMENTOS!$B$4:$B$3243,"CUELLO",INVENTARIO_COMPLEMENTOS!$C$4:$C$3243,PRODUCTOS!D30,INVENTARIO_COMPLEMENTOS!$H$4:$H$3243,"&gt;0")/PRODUCTOS!E30)))</f>
        <v/>
      </c>
      <c r="E94" s="119" t="str">
        <f>IF(A94="","",IF(OR(PRODUCTOS!F30="NINGUNO",PRODUCTOS!G30=0),9999999,IF($C$2="TODOS",SUMIFS(INVENTARIO_COMPLEMENTOS!$H$4:$H$3243,INVENTARIO_COMPLEMENTOS!$B$4:$B$3243,"PUÑO",INVENTARIO_COMPLEMENTOS!$C$4:$C$3243,PRODUCTOS!F30,INVENTARIO_COMPLEMENTOS!$H$4:$H$3243,"&gt;0")/PRODUCTOS!G30,SUMIFS(INVENTARIO_COMPLEMENTOS!$H$4:$H$3243,INVENTARIO_COMPLEMENTOS!$A$4:$A$3243,$C$2,INVENTARIO_COMPLEMENTOS!$B$4:$B$3243,"PUÑO",INVENTARIO_COMPLEMENTOS!$C$4:$C$3243,PRODUCTOS!F30,INVENTARIO_COMPLEMENTOS!$H$4:$H$3243,"&gt;0")/PRODUCTOS!G30)))</f>
        <v/>
      </c>
      <c r="F94" s="119" t="str">
        <f>IF(A94="","",IF(OR(PRODUCTOS!H30="NINGUNO",PRODUCTOS!I30=0),9999999,IF($C$2="TODOS",SUMIFS(INVENTARIO_COMPLEMENTOS!$H$4:$H$3243,INVENTARIO_COMPLEMENTOS!$B$4:$B$3243,"PRETINA",INVENTARIO_COMPLEMENTOS!$C$4:$C$3243,PRODUCTOS!H30,INVENTARIO_COMPLEMENTOS!$D$4:$D$3243,PRODUCTOS!A30,INVENTARIO_COMPLEMENTOS!$H$4:$H$3243,"&gt;0")/PRODUCTOS!I30,SUMIFS(INVENTARIO_COMPLEMENTOS!$H$4:$H$3243,INVENTARIO_COMPLEMENTOS!$A$4:$A$3243,$C$2,INVENTARIO_COMPLEMENTOS!$B$4:$B$3243,"PRETINA",INVENTARIO_COMPLEMENTOS!$C$4:$C$3243,PRODUCTOS!H30,INVENTARIO_COMPLEMENTOS!$D$4:$D$3243,PRODUCTOS!A30,INVENTARIO_COMPLEMENTOS!$H$4:$H$3243,"&gt;0")/PRODUCTOS!I30)))</f>
        <v/>
      </c>
      <c r="G94" s="119" t="str">
        <f>IF(A94="","",IF(OR(PRODUCTOS!J30="NINGUNO",PRODUCTOS!K30=0),9999999,IF($C$2="TODOS",SUMIFS(INVENTARIO_COMPLEMENTOS!$H$4:$H$3243,INVENTARIO_COMPLEMENTOS!$B$4:$B$3243,"CIERRE",INVENTARIO_COMPLEMENTOS!$C$4:$C$3243,PRODUCTOS!J30,INVENTARIO_COMPLEMENTOS!$H$4:$H$3243,"&gt;0")/PRODUCTOS!K30,SUMIFS(INVENTARIO_COMPLEMENTOS!$H$4:$H$3243,INVENTARIO_COMPLEMENTOS!$A$4:$A$3243,$C$2,INVENTARIO_COMPLEMENTOS!$B$4:$B$3243,"CIERRE",INVENTARIO_COMPLEMENTOS!$C$4:$C$3243,PRODUCTOS!J30,INVENTARIO_COMPLEMENTOS!$H$4:$H$3243,"&gt;0")/PRODUCTOS!K30)))</f>
        <v/>
      </c>
      <c r="H94" s="129" t="str">
        <f t="shared" si="2"/>
        <v/>
      </c>
    </row>
    <row r="95" ht="15.0" customHeight="1">
      <c r="A95" s="44" t="str">
        <f>IF(PRODUCTOS!A31="","",PRODUCTOS!A31)</f>
        <v/>
      </c>
      <c r="B95" s="126" t="str">
        <f>IF(A95="","",PRODUCTOS!B31)</f>
        <v/>
      </c>
      <c r="C95" s="119" t="str">
        <f>IF(A95="","",IFERROR(IF($C$2="TODOS",SUMIF(INVENTARIO!$B$4:$B$843,B95,INVENTARIO!$F$4:$F$843),SUMIFS(INVENTARIO!$F$4:$F$843,INVENTARIO!$B$4:$B$843,B95,INVENTARIO!$A$4:$A$843,$C$2))*PRODUCTOS!C31,0))</f>
        <v/>
      </c>
      <c r="D95" s="119" t="str">
        <f>IF(A95="","",IF(OR(PRODUCTOS!D31="NINGUNO",PRODUCTOS!E31=0),9999999,IF($C$2="TODOS",SUMIFS(INVENTARIO_COMPLEMENTOS!$H$4:$H$3243,INVENTARIO_COMPLEMENTOS!$B$4:$B$3243,"CUELLO",INVENTARIO_COMPLEMENTOS!$C$4:$C$3243,PRODUCTOS!D31,INVENTARIO_COMPLEMENTOS!$H$4:$H$3243,"&gt;0")/PRODUCTOS!E31,SUMIFS(INVENTARIO_COMPLEMENTOS!$H$4:$H$3243,INVENTARIO_COMPLEMENTOS!$A$4:$A$3243,$C$2,INVENTARIO_COMPLEMENTOS!$B$4:$B$3243,"CUELLO",INVENTARIO_COMPLEMENTOS!$C$4:$C$3243,PRODUCTOS!D31,INVENTARIO_COMPLEMENTOS!$H$4:$H$3243,"&gt;0")/PRODUCTOS!E31)))</f>
        <v/>
      </c>
      <c r="E95" s="119" t="str">
        <f>IF(A95="","",IF(OR(PRODUCTOS!F31="NINGUNO",PRODUCTOS!G31=0),9999999,IF($C$2="TODOS",SUMIFS(INVENTARIO_COMPLEMENTOS!$H$4:$H$3243,INVENTARIO_COMPLEMENTOS!$B$4:$B$3243,"PUÑO",INVENTARIO_COMPLEMENTOS!$C$4:$C$3243,PRODUCTOS!F31,INVENTARIO_COMPLEMENTOS!$H$4:$H$3243,"&gt;0")/PRODUCTOS!G31,SUMIFS(INVENTARIO_COMPLEMENTOS!$H$4:$H$3243,INVENTARIO_COMPLEMENTOS!$A$4:$A$3243,$C$2,INVENTARIO_COMPLEMENTOS!$B$4:$B$3243,"PUÑO",INVENTARIO_COMPLEMENTOS!$C$4:$C$3243,PRODUCTOS!F31,INVENTARIO_COMPLEMENTOS!$H$4:$H$3243,"&gt;0")/PRODUCTOS!G31)))</f>
        <v/>
      </c>
      <c r="F95" s="119" t="str">
        <f>IF(A95="","",IF(OR(PRODUCTOS!H31="NINGUNO",PRODUCTOS!I31=0),9999999,IF($C$2="TODOS",SUMIFS(INVENTARIO_COMPLEMENTOS!$H$4:$H$3243,INVENTARIO_COMPLEMENTOS!$B$4:$B$3243,"PRETINA",INVENTARIO_COMPLEMENTOS!$C$4:$C$3243,PRODUCTOS!H31,INVENTARIO_COMPLEMENTOS!$D$4:$D$3243,PRODUCTOS!A31,INVENTARIO_COMPLEMENTOS!$H$4:$H$3243,"&gt;0")/PRODUCTOS!I31,SUMIFS(INVENTARIO_COMPLEMENTOS!$H$4:$H$3243,INVENTARIO_COMPLEMENTOS!$A$4:$A$3243,$C$2,INVENTARIO_COMPLEMENTOS!$B$4:$B$3243,"PRETINA",INVENTARIO_COMPLEMENTOS!$C$4:$C$3243,PRODUCTOS!H31,INVENTARIO_COMPLEMENTOS!$D$4:$D$3243,PRODUCTOS!A31,INVENTARIO_COMPLEMENTOS!$H$4:$H$3243,"&gt;0")/PRODUCTOS!I31)))</f>
        <v/>
      </c>
      <c r="G95" s="119" t="str">
        <f>IF(A95="","",IF(OR(PRODUCTOS!J31="NINGUNO",PRODUCTOS!K31=0),9999999,IF($C$2="TODOS",SUMIFS(INVENTARIO_COMPLEMENTOS!$H$4:$H$3243,INVENTARIO_COMPLEMENTOS!$B$4:$B$3243,"CIERRE",INVENTARIO_COMPLEMENTOS!$C$4:$C$3243,PRODUCTOS!J31,INVENTARIO_COMPLEMENTOS!$H$4:$H$3243,"&gt;0")/PRODUCTOS!K31,SUMIFS(INVENTARIO_COMPLEMENTOS!$H$4:$H$3243,INVENTARIO_COMPLEMENTOS!$A$4:$A$3243,$C$2,INVENTARIO_COMPLEMENTOS!$B$4:$B$3243,"CIERRE",INVENTARIO_COMPLEMENTOS!$C$4:$C$3243,PRODUCTOS!J31,INVENTARIO_COMPLEMENTOS!$H$4:$H$3243,"&gt;0")/PRODUCTOS!K31)))</f>
        <v/>
      </c>
      <c r="H95" s="129" t="str">
        <f t="shared" si="2"/>
        <v/>
      </c>
    </row>
    <row r="96" ht="15.0" customHeight="1">
      <c r="A96" s="44" t="str">
        <f>IF(PRODUCTOS!A32="","",PRODUCTOS!A32)</f>
        <v/>
      </c>
      <c r="B96" s="126" t="str">
        <f>IF(A96="","",PRODUCTOS!B32)</f>
        <v/>
      </c>
      <c r="C96" s="119" t="str">
        <f>IF(A96="","",IFERROR(IF($C$2="TODOS",SUMIF(INVENTARIO!$B$4:$B$843,B96,INVENTARIO!$F$4:$F$843),SUMIFS(INVENTARIO!$F$4:$F$843,INVENTARIO!$B$4:$B$843,B96,INVENTARIO!$A$4:$A$843,$C$2))*PRODUCTOS!C32,0))</f>
        <v/>
      </c>
      <c r="D96" s="119" t="str">
        <f>IF(A96="","",IF(OR(PRODUCTOS!D32="NINGUNO",PRODUCTOS!E32=0),9999999,IF($C$2="TODOS",SUMIFS(INVENTARIO_COMPLEMENTOS!$H$4:$H$3243,INVENTARIO_COMPLEMENTOS!$B$4:$B$3243,"CUELLO",INVENTARIO_COMPLEMENTOS!$C$4:$C$3243,PRODUCTOS!D32,INVENTARIO_COMPLEMENTOS!$H$4:$H$3243,"&gt;0")/PRODUCTOS!E32,SUMIFS(INVENTARIO_COMPLEMENTOS!$H$4:$H$3243,INVENTARIO_COMPLEMENTOS!$A$4:$A$3243,$C$2,INVENTARIO_COMPLEMENTOS!$B$4:$B$3243,"CUELLO",INVENTARIO_COMPLEMENTOS!$C$4:$C$3243,PRODUCTOS!D32,INVENTARIO_COMPLEMENTOS!$H$4:$H$3243,"&gt;0")/PRODUCTOS!E32)))</f>
        <v/>
      </c>
      <c r="E96" s="119" t="str">
        <f>IF(A96="","",IF(OR(PRODUCTOS!F32="NINGUNO",PRODUCTOS!G32=0),9999999,IF($C$2="TODOS",SUMIFS(INVENTARIO_COMPLEMENTOS!$H$4:$H$3243,INVENTARIO_COMPLEMENTOS!$B$4:$B$3243,"PUÑO",INVENTARIO_COMPLEMENTOS!$C$4:$C$3243,PRODUCTOS!F32,INVENTARIO_COMPLEMENTOS!$H$4:$H$3243,"&gt;0")/PRODUCTOS!G32,SUMIFS(INVENTARIO_COMPLEMENTOS!$H$4:$H$3243,INVENTARIO_COMPLEMENTOS!$A$4:$A$3243,$C$2,INVENTARIO_COMPLEMENTOS!$B$4:$B$3243,"PUÑO",INVENTARIO_COMPLEMENTOS!$C$4:$C$3243,PRODUCTOS!F32,INVENTARIO_COMPLEMENTOS!$H$4:$H$3243,"&gt;0")/PRODUCTOS!G32)))</f>
        <v/>
      </c>
      <c r="F96" s="119" t="str">
        <f>IF(A96="","",IF(OR(PRODUCTOS!H32="NINGUNO",PRODUCTOS!I32=0),9999999,IF($C$2="TODOS",SUMIFS(INVENTARIO_COMPLEMENTOS!$H$4:$H$3243,INVENTARIO_COMPLEMENTOS!$B$4:$B$3243,"PRETINA",INVENTARIO_COMPLEMENTOS!$C$4:$C$3243,PRODUCTOS!H32,INVENTARIO_COMPLEMENTOS!$D$4:$D$3243,PRODUCTOS!A32,INVENTARIO_COMPLEMENTOS!$H$4:$H$3243,"&gt;0")/PRODUCTOS!I32,SUMIFS(INVENTARIO_COMPLEMENTOS!$H$4:$H$3243,INVENTARIO_COMPLEMENTOS!$A$4:$A$3243,$C$2,INVENTARIO_COMPLEMENTOS!$B$4:$B$3243,"PRETINA",INVENTARIO_COMPLEMENTOS!$C$4:$C$3243,PRODUCTOS!H32,INVENTARIO_COMPLEMENTOS!$D$4:$D$3243,PRODUCTOS!A32,INVENTARIO_COMPLEMENTOS!$H$4:$H$3243,"&gt;0")/PRODUCTOS!I32)))</f>
        <v/>
      </c>
      <c r="G96" s="119" t="str">
        <f>IF(A96="","",IF(OR(PRODUCTOS!J32="NINGUNO",PRODUCTOS!K32=0),9999999,IF($C$2="TODOS",SUMIFS(INVENTARIO_COMPLEMENTOS!$H$4:$H$3243,INVENTARIO_COMPLEMENTOS!$B$4:$B$3243,"CIERRE",INVENTARIO_COMPLEMENTOS!$C$4:$C$3243,PRODUCTOS!J32,INVENTARIO_COMPLEMENTOS!$H$4:$H$3243,"&gt;0")/PRODUCTOS!K32,SUMIFS(INVENTARIO_COMPLEMENTOS!$H$4:$H$3243,INVENTARIO_COMPLEMENTOS!$A$4:$A$3243,$C$2,INVENTARIO_COMPLEMENTOS!$B$4:$B$3243,"CIERRE",INVENTARIO_COMPLEMENTOS!$C$4:$C$3243,PRODUCTOS!J32,INVENTARIO_COMPLEMENTOS!$H$4:$H$3243,"&gt;0")/PRODUCTOS!K32)))</f>
        <v/>
      </c>
      <c r="H96" s="129" t="str">
        <f t="shared" si="2"/>
        <v/>
      </c>
    </row>
    <row r="97" ht="15.0" customHeight="1">
      <c r="A97" s="44" t="str">
        <f>IF(PRODUCTOS!A33="","",PRODUCTOS!A33)</f>
        <v/>
      </c>
      <c r="B97" s="126" t="str">
        <f>IF(A97="","",PRODUCTOS!B33)</f>
        <v/>
      </c>
      <c r="C97" s="119" t="str">
        <f>IF(A97="","",IFERROR(IF($C$2="TODOS",SUMIF(INVENTARIO!$B$4:$B$843,B97,INVENTARIO!$F$4:$F$843),SUMIFS(INVENTARIO!$F$4:$F$843,INVENTARIO!$B$4:$B$843,B97,INVENTARIO!$A$4:$A$843,$C$2))*PRODUCTOS!C33,0))</f>
        <v/>
      </c>
      <c r="D97" s="119" t="str">
        <f>IF(A97="","",IF(OR(PRODUCTOS!D33="NINGUNO",PRODUCTOS!E33=0),9999999,IF($C$2="TODOS",SUMIFS(INVENTARIO_COMPLEMENTOS!$H$4:$H$3243,INVENTARIO_COMPLEMENTOS!$B$4:$B$3243,"CUELLO",INVENTARIO_COMPLEMENTOS!$C$4:$C$3243,PRODUCTOS!D33,INVENTARIO_COMPLEMENTOS!$H$4:$H$3243,"&gt;0")/PRODUCTOS!E33,SUMIFS(INVENTARIO_COMPLEMENTOS!$H$4:$H$3243,INVENTARIO_COMPLEMENTOS!$A$4:$A$3243,$C$2,INVENTARIO_COMPLEMENTOS!$B$4:$B$3243,"CUELLO",INVENTARIO_COMPLEMENTOS!$C$4:$C$3243,PRODUCTOS!D33,INVENTARIO_COMPLEMENTOS!$H$4:$H$3243,"&gt;0")/PRODUCTOS!E33)))</f>
        <v/>
      </c>
      <c r="E97" s="119" t="str">
        <f>IF(A97="","",IF(OR(PRODUCTOS!F33="NINGUNO",PRODUCTOS!G33=0),9999999,IF($C$2="TODOS",SUMIFS(INVENTARIO_COMPLEMENTOS!$H$4:$H$3243,INVENTARIO_COMPLEMENTOS!$B$4:$B$3243,"PUÑO",INVENTARIO_COMPLEMENTOS!$C$4:$C$3243,PRODUCTOS!F33,INVENTARIO_COMPLEMENTOS!$H$4:$H$3243,"&gt;0")/PRODUCTOS!G33,SUMIFS(INVENTARIO_COMPLEMENTOS!$H$4:$H$3243,INVENTARIO_COMPLEMENTOS!$A$4:$A$3243,$C$2,INVENTARIO_COMPLEMENTOS!$B$4:$B$3243,"PUÑO",INVENTARIO_COMPLEMENTOS!$C$4:$C$3243,PRODUCTOS!F33,INVENTARIO_COMPLEMENTOS!$H$4:$H$3243,"&gt;0")/PRODUCTOS!G33)))</f>
        <v/>
      </c>
      <c r="F97" s="119" t="str">
        <f>IF(A97="","",IF(OR(PRODUCTOS!H33="NINGUNO",PRODUCTOS!I33=0),9999999,IF($C$2="TODOS",SUMIFS(INVENTARIO_COMPLEMENTOS!$H$4:$H$3243,INVENTARIO_COMPLEMENTOS!$B$4:$B$3243,"PRETINA",INVENTARIO_COMPLEMENTOS!$C$4:$C$3243,PRODUCTOS!H33,INVENTARIO_COMPLEMENTOS!$D$4:$D$3243,PRODUCTOS!A33,INVENTARIO_COMPLEMENTOS!$H$4:$H$3243,"&gt;0")/PRODUCTOS!I33,SUMIFS(INVENTARIO_COMPLEMENTOS!$H$4:$H$3243,INVENTARIO_COMPLEMENTOS!$A$4:$A$3243,$C$2,INVENTARIO_COMPLEMENTOS!$B$4:$B$3243,"PRETINA",INVENTARIO_COMPLEMENTOS!$C$4:$C$3243,PRODUCTOS!H33,INVENTARIO_COMPLEMENTOS!$D$4:$D$3243,PRODUCTOS!A33,INVENTARIO_COMPLEMENTOS!$H$4:$H$3243,"&gt;0")/PRODUCTOS!I33)))</f>
        <v/>
      </c>
      <c r="G97" s="119" t="str">
        <f>IF(A97="","",IF(OR(PRODUCTOS!J33="NINGUNO",PRODUCTOS!K33=0),9999999,IF($C$2="TODOS",SUMIFS(INVENTARIO_COMPLEMENTOS!$H$4:$H$3243,INVENTARIO_COMPLEMENTOS!$B$4:$B$3243,"CIERRE",INVENTARIO_COMPLEMENTOS!$C$4:$C$3243,PRODUCTOS!J33,INVENTARIO_COMPLEMENTOS!$H$4:$H$3243,"&gt;0")/PRODUCTOS!K33,SUMIFS(INVENTARIO_COMPLEMENTOS!$H$4:$H$3243,INVENTARIO_COMPLEMENTOS!$A$4:$A$3243,$C$2,INVENTARIO_COMPLEMENTOS!$B$4:$B$3243,"CIERRE",INVENTARIO_COMPLEMENTOS!$C$4:$C$3243,PRODUCTOS!J33,INVENTARIO_COMPLEMENTOS!$H$4:$H$3243,"&gt;0")/PRODUCTOS!K33)))</f>
        <v/>
      </c>
      <c r="H97" s="129" t="str">
        <f t="shared" si="2"/>
        <v/>
      </c>
    </row>
    <row r="98" ht="15.0" customHeight="1">
      <c r="A98" s="136" t="s">
        <v>407</v>
      </c>
      <c r="B98" s="137"/>
      <c r="C98" s="137"/>
      <c r="D98" s="137"/>
      <c r="E98" s="137"/>
      <c r="F98" s="137"/>
      <c r="G98" s="138"/>
      <c r="H98" s="139">
        <f>SUM(H68:H97)</f>
        <v>0</v>
      </c>
    </row>
    <row r="99" ht="15.75" customHeight="1"/>
    <row r="100" ht="21.75" customHeight="1">
      <c r="A100" s="140" t="s">
        <v>408</v>
      </c>
      <c r="B100" s="2"/>
      <c r="C100" s="2"/>
      <c r="D100" s="2"/>
      <c r="E100" s="3"/>
    </row>
    <row r="101" ht="21.75" customHeight="1">
      <c r="A101" s="73" t="s">
        <v>301</v>
      </c>
      <c r="B101" s="73" t="s">
        <v>409</v>
      </c>
      <c r="C101" s="73" t="s">
        <v>102</v>
      </c>
      <c r="D101" s="73" t="s">
        <v>410</v>
      </c>
      <c r="E101" s="73" t="s">
        <v>120</v>
      </c>
    </row>
    <row r="102" ht="15.0" customHeight="1">
      <c r="A102" s="81" t="s">
        <v>411</v>
      </c>
      <c r="B102" s="126" t="s">
        <v>20</v>
      </c>
      <c r="C102" s="127">
        <f>IF($C$2="TODOS",SUMIFS(MOVIMIENTOS!$G$4:$G$1000,MOVIMIENTOS!$B$4:$B$1000,"INGRESO"),SUMIFS(MOVIMIENTOS!$G$4:$G$1000,MOVIMIENTOS!$A$4:$A$1000,$C$2,MOVIMIENTOS!$B$4:$B$1000,"INGRESO"))</f>
        <v>18540</v>
      </c>
      <c r="D102" s="141" t="s">
        <v>412</v>
      </c>
      <c r="E102" s="142">
        <f>IF($C$2="TODOS",SUMIFS(MOVIMIENTOS!$J$4:$J$1000,MOVIMIENTOS!$B$4:$B$1000,"INGRESO"),SUMIFS(MOVIMIENTOS!$J$4:$J$1000,MOVIMIENTOS!$A$4:$A$1000,$C$2,MOVIMIENTOS!$B$4:$B$1000,"INGRESO"))</f>
        <v>417330</v>
      </c>
    </row>
    <row r="103" ht="15.0" customHeight="1">
      <c r="A103" s="81" t="s">
        <v>411</v>
      </c>
      <c r="B103" s="126" t="s">
        <v>413</v>
      </c>
      <c r="C103" s="127">
        <f>IF($C$2="TODOS",SUMIFS(MOVIMIENTOS!$G$4:$G$1000,MOVIMIENTOS!$B$4:$B$1000,"A CORTE"),SUMIFS(MOVIMIENTOS!$G$4:$G$1000,MOVIMIENTOS!$A$4:$A$1000,$C$2,MOVIMIENTOS!$B$4:$B$1000,"A CORTE"))</f>
        <v>3580</v>
      </c>
      <c r="D103" s="141" t="s">
        <v>412</v>
      </c>
      <c r="E103" s="142">
        <f>IF($C$2="TODOS",SUMIFS(MOVIMIENTOS!$J$4:$J$1000,MOVIMIENTOS!$B$4:$B$1000,"A CORTE"),SUMIFS(MOVIMIENTOS!$J$4:$J$1000,MOVIMIENTOS!$A$4:$A$1000,$C$2,MOVIMIENTOS!$B$4:$B$1000,"A CORTE"))</f>
        <v>72780</v>
      </c>
    </row>
    <row r="104" ht="15.0" customHeight="1">
      <c r="A104" s="81" t="s">
        <v>411</v>
      </c>
      <c r="B104" s="126" t="s">
        <v>414</v>
      </c>
      <c r="C104" s="127">
        <f>IF($C$2="TODOS",SUMIFS(MOVIMIENTOS!$G$4:$G$1000,MOVIMIENTOS!$B$4:$B$1000,"A REPROCESO"),SUMIFS(MOVIMIENTOS!$G$4:$G$1000,MOVIMIENTOS!$A$4:$A$1000,$C$2,MOVIMIENTOS!$B$4:$B$1000,"A REPROCESO"))</f>
        <v>0</v>
      </c>
      <c r="D104" s="141" t="s">
        <v>412</v>
      </c>
      <c r="E104" s="142">
        <f>IF($C$2="TODOS",SUMIFS(MOVIMIENTOS!$J$4:$J$1000,MOVIMIENTOS!$B$4:$B$1000,"A REPROCESO"),SUMIFS(MOVIMIENTOS!$J$4:$J$1000,MOVIMIENTOS!$A$4:$A$1000,$C$2,MOVIMIENTOS!$B$4:$B$1000,"A REPROCESO"))</f>
        <v>0</v>
      </c>
    </row>
    <row r="105" ht="15.0" customHeight="1">
      <c r="A105" s="81" t="s">
        <v>411</v>
      </c>
      <c r="B105" s="126" t="s">
        <v>415</v>
      </c>
      <c r="C105" s="127">
        <f>IF($C$2="TODOS",SUMIFS(MOVIMIENTOS!$G$4:$G$1000,MOVIMIENTOS!$B$4:$B$1000,"MUESTRA"),SUMIFS(MOVIMIENTOS!$G$4:$G$1000,MOVIMIENTOS!$A$4:$A$1000,$C$2,MOVIMIENTOS!$B$4:$B$1000,"MUESTRA"))</f>
        <v>0</v>
      </c>
      <c r="D105" s="141" t="s">
        <v>412</v>
      </c>
      <c r="E105" s="142">
        <f>IF($C$2="TODOS",SUMIFS(MOVIMIENTOS!$J$4:$J$1000,MOVIMIENTOS!$B$4:$B$1000,"MUESTRA"),SUMIFS(MOVIMIENTOS!$J$4:$J$1000,MOVIMIENTOS!$A$4:$A$1000,$C$2,MOVIMIENTOS!$B$4:$B$1000,"MUESTRA"))</f>
        <v>0</v>
      </c>
    </row>
    <row r="106" ht="15.0" customHeight="1">
      <c r="A106" s="81" t="s">
        <v>416</v>
      </c>
      <c r="B106" s="126" t="s">
        <v>417</v>
      </c>
      <c r="C106" s="127">
        <f>IF($C$2="TODOS",SUMIFS(MOVIMIENTOS_COMPLEMENTOS!$I$4:$I$803,MOVIMIENTOS_COMPLEMENTOS!$B$4:$B$803,"INGRESO"),SUMIFS(MOVIMIENTOS_COMPLEMENTOS!$I$4:$I$803,MOVIMIENTOS_COMPLEMENTOS!$A$4:$A$803,$C$2,MOVIMIENTOS_COMPLEMENTOS!$B$4:$B$803,"INGRESO"))</f>
        <v>0</v>
      </c>
      <c r="D106" s="141" t="s">
        <v>418</v>
      </c>
      <c r="E106" s="142">
        <f>IF($C$2="TODOS",SUMIFS(MOVIMIENTOS_COMPLEMENTOS!$K$4:$K$803,MOVIMIENTOS_COMPLEMENTOS!$B$4:$B$803,"INGRESO"),SUMIFS(MOVIMIENTOS_COMPLEMENTOS!$K$4:$K$803,MOVIMIENTOS_COMPLEMENTOS!$A$4:$A$803,$C$2,MOVIMIENTOS_COMPLEMENTOS!$B$4:$B$803,"INGRESO"))</f>
        <v>0</v>
      </c>
    </row>
    <row r="107" ht="15.0" customHeight="1">
      <c r="A107" s="81" t="s">
        <v>416</v>
      </c>
      <c r="B107" s="126" t="s">
        <v>419</v>
      </c>
      <c r="C107" s="127">
        <f>IF($C$2="TODOS",SUMIFS(MOVIMIENTOS_COMPLEMENTOS!$I$4:$I$803,MOVIMIENTOS_COMPLEMENTOS!$B$4:$B$803,"DE CORTE"),SUMIFS(MOVIMIENTOS_COMPLEMENTOS!$I$4:$I$803,MOVIMIENTOS_COMPLEMENTOS!$A$4:$A$803,$C$2,MOVIMIENTOS_COMPLEMENTOS!$B$4:$B$803,"DE CORTE"))</f>
        <v>0</v>
      </c>
      <c r="D107" s="141" t="s">
        <v>418</v>
      </c>
      <c r="E107" s="142">
        <f>IF($C$2="TODOS",SUMIFS(MOVIMIENTOS_COMPLEMENTOS!$K$4:$K$803,MOVIMIENTOS_COMPLEMENTOS!$B$4:$B$803,"DE CORTE"),SUMIFS(MOVIMIENTOS_COMPLEMENTOS!$K$4:$K$803,MOVIMIENTOS_COMPLEMENTOS!$A$4:$A$803,$C$2,MOVIMIENTOS_COMPLEMENTOS!$B$4:$B$803,"DE CORTE"))</f>
        <v>0</v>
      </c>
    </row>
    <row r="108" ht="15.0" customHeight="1">
      <c r="A108" s="81" t="s">
        <v>416</v>
      </c>
      <c r="B108" s="126" t="s">
        <v>420</v>
      </c>
      <c r="C108" s="127">
        <f>IF($C$2="TODOS",SUMIFS(MOVIMIENTOS_COMPLEMENTOS!$I$4:$I$803,MOVIMIENTOS_COMPLEMENTOS!$B$4:$B$803,"SALIDA"),SUMIFS(MOVIMIENTOS_COMPLEMENTOS!$I$4:$I$803,MOVIMIENTOS_COMPLEMENTOS!$A$4:$A$803,$C$2,MOVIMIENTOS_COMPLEMENTOS!$B$4:$B$803,"SALIDA"))</f>
        <v>0</v>
      </c>
      <c r="D108" s="141" t="s">
        <v>418</v>
      </c>
      <c r="E108" s="142">
        <f>IF($C$2="TODOS",SUMIFS(MOVIMIENTOS_COMPLEMENTOS!$K$4:$K$803,MOVIMIENTOS_COMPLEMENTOS!$B$4:$B$803,"SALIDA"),SUMIFS(MOVIMIENTOS_COMPLEMENTOS!$K$4:$K$803,MOVIMIENTOS_COMPLEMENTOS!$A$4:$A$803,$C$2,MOVIMIENTOS_COMPLEMENTOS!$B$4:$B$803,"SALIDA"))</f>
        <v>0</v>
      </c>
    </row>
    <row r="109" ht="15.75" customHeight="1"/>
    <row r="110" ht="15.75" customHeight="1"/>
    <row r="111" ht="21.75" customHeight="1">
      <c r="A111" s="143" t="s">
        <v>421</v>
      </c>
      <c r="B111" s="2"/>
      <c r="C111" s="2"/>
      <c r="D111" s="2"/>
      <c r="E111" s="3"/>
    </row>
    <row r="112" ht="21.75" customHeight="1">
      <c r="A112" s="144" t="s">
        <v>5</v>
      </c>
      <c r="B112" s="144" t="s">
        <v>422</v>
      </c>
      <c r="C112" s="144" t="s">
        <v>423</v>
      </c>
      <c r="D112" s="144" t="s">
        <v>424</v>
      </c>
      <c r="E112" s="144" t="s">
        <v>425</v>
      </c>
    </row>
    <row r="113" ht="15.75" customHeight="1">
      <c r="A113" s="44" t="str">
        <f>IF(TELAS!A4="","",TELAS!A4)</f>
        <v>jersey 30/1</v>
      </c>
      <c r="B113" s="127">
        <f>IF(A113="","",SUMIF(INVENTARIO!$B$4:$B$843,A113,INVENTARIO!$F$4:$F$843))</f>
        <v>2720</v>
      </c>
      <c r="C113" s="127">
        <f>IF(A113="","",SUMIFS(MOVIMIENTOS!$G$4:$G$1000,MOVIMIENTOS!$D$4:$D$1000,A113,MOVIMIENTOS!$B$4:$B$1000,"A CORTE",MOVIMIENTOS!$A$4:$A$1000,"&gt;="&amp;TODAY()-90)/3)</f>
        <v>586.6666667</v>
      </c>
      <c r="D113" s="145">
        <f t="shared" ref="D113:D127" si="3">IFERROR(IF(OR(A113="",C113=0),"",B113/C113),"")</f>
        <v>4.636363636</v>
      </c>
      <c r="E113" s="81" t="str">
        <f t="shared" ref="E113:E127" si="4">IFERROR(IF(A113="","",IF(C113=0,"SIN MOVIMIENTO",IF(D113&lt;1,"CRÍTICO — pedir ya",IF(D113&lt;2,"BAJO — pedir pronto","OK")))),"")</f>
        <v>OK</v>
      </c>
    </row>
    <row r="114" ht="15.75" customHeight="1">
      <c r="A114" s="44" t="str">
        <f>IF(TELAS!A5="","",IF(COUNTIF(TELAS!$A$4:A4,TELAS!A5)&gt;0,"",TELAS!A5))</f>
        <v>pique 30/1</v>
      </c>
      <c r="B114" s="127">
        <f>IF(A114="","",SUMIF(INVENTARIO!$B$4:$B$843,A114,INVENTARIO!$F$4:$F$843))</f>
        <v>1860</v>
      </c>
      <c r="C114" s="127">
        <f>IF(A114="","",SUMIFS(MOVIMIENTOS!$G$4:$G$1000,MOVIMIENTOS!$D$4:$D$1000,A114,MOVIMIENTOS!$B$4:$B$1000,"A CORTE",MOVIMIENTOS!$A$4:$A$1000,"&gt;="&amp;TODAY()-90)/3)</f>
        <v>253.3333333</v>
      </c>
      <c r="D114" s="145">
        <f t="shared" si="3"/>
        <v>7.342105263</v>
      </c>
      <c r="E114" s="81" t="str">
        <f t="shared" si="4"/>
        <v>OK</v>
      </c>
    </row>
    <row r="115" ht="15.75" customHeight="1">
      <c r="A115" s="44" t="str">
        <f>IF(TELAS!A6="","",IF(COUNTIF(TELAS!$A$4:A5,TELAS!A6)&gt;0,"",TELAS!A6))</f>
        <v>wafle 30/1</v>
      </c>
      <c r="B115" s="127">
        <f>IF(A115="","",SUMIF(INVENTARIO!$B$4:$B$843,A115,INVENTARIO!$F$4:$F$843))</f>
        <v>3760</v>
      </c>
      <c r="C115" s="127">
        <f>IF(A115="","",SUMIFS(MOVIMIENTOS!$G$4:$G$1000,MOVIMIENTOS!$D$4:$D$1000,A115,MOVIMIENTOS!$B$4:$B$1000,"A CORTE",MOVIMIENTOS!$A$4:$A$1000,"&gt;="&amp;TODAY()-90)/3)</f>
        <v>0</v>
      </c>
      <c r="D115" s="145" t="str">
        <f t="shared" si="3"/>
        <v/>
      </c>
      <c r="E115" s="81" t="str">
        <f t="shared" si="4"/>
        <v>SIN MOVIMIENTO</v>
      </c>
    </row>
    <row r="116" ht="15.75" customHeight="1">
      <c r="A116" s="44" t="str">
        <f>IF(TELAS!A7="","",IF(COUNTIF(TELAS!$A$4:A6,TELAS!A7)&gt;0,"",TELAS!A7))</f>
        <v>french terry 24/1</v>
      </c>
      <c r="B116" s="127">
        <f>IF(A116="","",SUMIF(INVENTARIO!$B$4:$B$843,A116,INVENTARIO!$F$4:$F$843))</f>
        <v>620</v>
      </c>
      <c r="C116" s="127">
        <f>IF(A116="","",SUMIFS(MOVIMIENTOS!$G$4:$G$1000,MOVIMIENTOS!$D$4:$D$1000,A116,MOVIMIENTOS!$B$4:$B$1000,"A CORTE",MOVIMIENTOS!$A$4:$A$1000,"&gt;="&amp;TODAY()-90)/3)</f>
        <v>253.3333333</v>
      </c>
      <c r="D116" s="145">
        <f t="shared" si="3"/>
        <v>2.447368421</v>
      </c>
      <c r="E116" s="81" t="str">
        <f t="shared" si="4"/>
        <v>OK</v>
      </c>
    </row>
    <row r="117" ht="15.75" customHeight="1">
      <c r="A117" s="44" t="str">
        <f>IF(TELAS!A8="","",IF(COUNTIF(TELAS!$A$4:A7,TELAS!A8)&gt;0,"",TELAS!A8))</f>
        <v>rib 1x1</v>
      </c>
      <c r="B117" s="127">
        <f>IF(A117="","",SUMIF(INVENTARIO!$B$4:$B$843,A117,INVENTARIO!$F$4:$F$843))</f>
        <v>140</v>
      </c>
      <c r="C117" s="127">
        <f>IF(A117="","",SUMIFS(MOVIMIENTOS!$G$4:$G$1000,MOVIMIENTOS!$D$4:$D$1000,A117,MOVIMIENTOS!$B$4:$B$1000,"A CORTE",MOVIMIENTOS!$A$4:$A$1000,"&gt;="&amp;TODAY()-90)/3)</f>
        <v>0</v>
      </c>
      <c r="D117" s="145" t="str">
        <f t="shared" si="3"/>
        <v/>
      </c>
      <c r="E117" s="81" t="str">
        <f t="shared" si="4"/>
        <v>SIN MOVIMIENTO</v>
      </c>
    </row>
    <row r="118" ht="15.75" customHeight="1">
      <c r="A118" s="44" t="str">
        <f>IF(TELAS!A9="","",IF(COUNTIF(TELAS!$A$4:A8,TELAS!A9)&gt;0,"",TELAS!A9))</f>
        <v>rib 2x1 lycrado</v>
      </c>
      <c r="B118" s="127">
        <f>IF(A118="","",SUMIF(INVENTARIO!$B$4:$B$843,A118,INVENTARIO!$F$4:$F$843))</f>
        <v>1400</v>
      </c>
      <c r="C118" s="127">
        <f>IF(A118="","",SUMIFS(MOVIMIENTOS!$G$4:$G$1000,MOVIMIENTOS!$D$4:$D$1000,A118,MOVIMIENTOS!$B$4:$B$1000,"A CORTE",MOVIMIENTOS!$A$4:$A$1000,"&gt;="&amp;TODAY()-90)/3)</f>
        <v>100</v>
      </c>
      <c r="D118" s="145">
        <f t="shared" si="3"/>
        <v>14</v>
      </c>
      <c r="E118" s="81" t="str">
        <f t="shared" si="4"/>
        <v>OK</v>
      </c>
    </row>
    <row r="119" ht="15.75" customHeight="1">
      <c r="A119" s="44" t="str">
        <f>IF(TELAS!A10="","",IF(COUNTIF(TELAS!$A$4:A9,TELAS!A10)&gt;0,"",TELAS!A10))</f>
        <v>jersey full lycra 30/1</v>
      </c>
      <c r="B119" s="127">
        <f>IF(A119="","",SUMIF(INVENTARIO!$B$4:$B$843,A119,INVENTARIO!$F$4:$F$843))</f>
        <v>1900</v>
      </c>
      <c r="C119" s="127">
        <f>IF(A119="","",SUMIFS(MOVIMIENTOS!$G$4:$G$1000,MOVIMIENTOS!$D$4:$D$1000,A119,MOVIMIENTOS!$B$4:$B$1000,"A CORTE",MOVIMIENTOS!$A$4:$A$1000,"&gt;="&amp;TODAY()-90)/3)</f>
        <v>0</v>
      </c>
      <c r="D119" s="145" t="str">
        <f t="shared" si="3"/>
        <v/>
      </c>
      <c r="E119" s="81" t="str">
        <f t="shared" si="4"/>
        <v>SIN MOVIMIENTO</v>
      </c>
    </row>
    <row r="120" ht="15.75" customHeight="1">
      <c r="A120" s="44" t="str">
        <f>IF(TELAS!A11="","",IF(COUNTIF(TELAS!$A$4:A10,TELAS!A11)&gt;0,"",TELAS!A11))</f>
        <v/>
      </c>
      <c r="B120" s="127" t="str">
        <f>IF(A120="","",SUMIF(INVENTARIO!$B$4:$B$843,A120,INVENTARIO!$F$4:$F$843))</f>
        <v/>
      </c>
      <c r="C120" s="127" t="str">
        <f>IF(A120="","",SUMIFS(MOVIMIENTOS!$G$4:$G$1000,MOVIMIENTOS!$D$4:$D$1000,A120,MOVIMIENTOS!$B$4:$B$1000,"A CORTE",MOVIMIENTOS!$A$4:$A$1000,"&gt;="&amp;TODAY()-90)/3)</f>
        <v/>
      </c>
      <c r="D120" s="145" t="str">
        <f t="shared" si="3"/>
        <v/>
      </c>
      <c r="E120" s="81" t="str">
        <f t="shared" si="4"/>
        <v/>
      </c>
    </row>
    <row r="121" ht="15.75" customHeight="1">
      <c r="A121" s="44" t="str">
        <f>IF(TELAS!A12="","",IF(COUNTIF(TELAS!$A$4:A11,TELAS!A12)&gt;0,"",TELAS!A12))</f>
        <v/>
      </c>
      <c r="B121" s="127" t="str">
        <f>IF(A121="","",SUMIF(INVENTARIO!$B$4:$B$843,A121,INVENTARIO!$F$4:$F$843))</f>
        <v/>
      </c>
      <c r="C121" s="127" t="str">
        <f>IF(A121="","",SUMIFS(MOVIMIENTOS!$G$4:$G$1000,MOVIMIENTOS!$D$4:$D$1000,A121,MOVIMIENTOS!$B$4:$B$1000,"A CORTE",MOVIMIENTOS!$A$4:$A$1000,"&gt;="&amp;TODAY()-90)/3)</f>
        <v/>
      </c>
      <c r="D121" s="145" t="str">
        <f t="shared" si="3"/>
        <v/>
      </c>
      <c r="E121" s="81" t="str">
        <f t="shared" si="4"/>
        <v/>
      </c>
    </row>
    <row r="122" ht="15.75" customHeight="1">
      <c r="A122" s="44" t="str">
        <f>IF(TELAS!A13="","",IF(COUNTIF(TELAS!$A$4:A12,TELAS!A13)&gt;0,"",TELAS!A13))</f>
        <v/>
      </c>
      <c r="B122" s="127" t="str">
        <f>IF(A122="","",SUMIF(INVENTARIO!$B$4:$B$843,A122,INVENTARIO!$F$4:$F$843))</f>
        <v/>
      </c>
      <c r="C122" s="127" t="str">
        <f>IF(A122="","",SUMIFS(MOVIMIENTOS!$G$4:$G$1000,MOVIMIENTOS!$D$4:$D$1000,A122,MOVIMIENTOS!$B$4:$B$1000,"A CORTE",MOVIMIENTOS!$A$4:$A$1000,"&gt;="&amp;TODAY()-90)/3)</f>
        <v/>
      </c>
      <c r="D122" s="145" t="str">
        <f t="shared" si="3"/>
        <v/>
      </c>
      <c r="E122" s="81" t="str">
        <f t="shared" si="4"/>
        <v/>
      </c>
    </row>
    <row r="123" ht="15.75" customHeight="1">
      <c r="A123" s="44" t="str">
        <f>IF(TELAS!A14="","",IF(COUNTIF(TELAS!$A$4:A13,TELAS!A14)&gt;0,"",TELAS!A14))</f>
        <v/>
      </c>
      <c r="B123" s="127" t="str">
        <f>IF(A123="","",SUMIF(INVENTARIO!$B$4:$B$843,A123,INVENTARIO!$F$4:$F$843))</f>
        <v/>
      </c>
      <c r="C123" s="127" t="str">
        <f>IF(A123="","",SUMIFS(MOVIMIENTOS!$G$4:$G$1000,MOVIMIENTOS!$D$4:$D$1000,A123,MOVIMIENTOS!$B$4:$B$1000,"A CORTE",MOVIMIENTOS!$A$4:$A$1000,"&gt;="&amp;TODAY()-90)/3)</f>
        <v/>
      </c>
      <c r="D123" s="145" t="str">
        <f t="shared" si="3"/>
        <v/>
      </c>
      <c r="E123" s="81" t="str">
        <f t="shared" si="4"/>
        <v/>
      </c>
    </row>
    <row r="124" ht="15.75" customHeight="1">
      <c r="A124" s="44" t="str">
        <f>IF(TELAS!A15="","",IF(COUNTIF(TELAS!$A$4:A14,TELAS!A15)&gt;0,"",TELAS!A15))</f>
        <v/>
      </c>
      <c r="B124" s="127" t="str">
        <f>IF(A124="","",SUMIF(INVENTARIO!$B$4:$B$843,A124,INVENTARIO!$F$4:$F$843))</f>
        <v/>
      </c>
      <c r="C124" s="127" t="str">
        <f>IF(A124="","",SUMIFS(MOVIMIENTOS!$G$4:$G$1000,MOVIMIENTOS!$D$4:$D$1000,A124,MOVIMIENTOS!$B$4:$B$1000,"A CORTE",MOVIMIENTOS!$A$4:$A$1000,"&gt;="&amp;TODAY()-90)/3)</f>
        <v/>
      </c>
      <c r="D124" s="145" t="str">
        <f t="shared" si="3"/>
        <v/>
      </c>
      <c r="E124" s="81" t="str">
        <f t="shared" si="4"/>
        <v/>
      </c>
    </row>
    <row r="125" ht="15.75" customHeight="1">
      <c r="A125" s="44" t="str">
        <f>IF(TELAS!A16="","",IF(COUNTIF(TELAS!$A$4:A15,TELAS!A16)&gt;0,"",TELAS!A16))</f>
        <v/>
      </c>
      <c r="B125" s="127" t="str">
        <f>IF(A125="","",SUMIF(INVENTARIO!$B$4:$B$843,A125,INVENTARIO!$F$4:$F$843))</f>
        <v/>
      </c>
      <c r="C125" s="127" t="str">
        <f>IF(A125="","",SUMIFS(MOVIMIENTOS!$G$4:$G$1000,MOVIMIENTOS!$D$4:$D$1000,A125,MOVIMIENTOS!$B$4:$B$1000,"A CORTE",MOVIMIENTOS!$A$4:$A$1000,"&gt;="&amp;TODAY()-90)/3)</f>
        <v/>
      </c>
      <c r="D125" s="145" t="str">
        <f t="shared" si="3"/>
        <v/>
      </c>
      <c r="E125" s="81" t="str">
        <f t="shared" si="4"/>
        <v/>
      </c>
    </row>
    <row r="126" ht="15.75" customHeight="1">
      <c r="A126" s="44" t="str">
        <f>IF(TELAS!A17="","",IF(COUNTIF(TELAS!$A$4:A16,TELAS!A17)&gt;0,"",TELAS!A17))</f>
        <v/>
      </c>
      <c r="B126" s="127" t="str">
        <f>IF(A126="","",SUMIF(INVENTARIO!$B$4:$B$843,A126,INVENTARIO!$F$4:$F$843))</f>
        <v/>
      </c>
      <c r="C126" s="127" t="str">
        <f>IF(A126="","",SUMIFS(MOVIMIENTOS!$G$4:$G$1000,MOVIMIENTOS!$D$4:$D$1000,A126,MOVIMIENTOS!$B$4:$B$1000,"A CORTE",MOVIMIENTOS!$A$4:$A$1000,"&gt;="&amp;TODAY()-90)/3)</f>
        <v/>
      </c>
      <c r="D126" s="145" t="str">
        <f t="shared" si="3"/>
        <v/>
      </c>
      <c r="E126" s="81" t="str">
        <f t="shared" si="4"/>
        <v/>
      </c>
    </row>
    <row r="127" ht="15.75" customHeight="1">
      <c r="A127" s="44" t="str">
        <f>IF(TELAS!A18="","",IF(COUNTIF(TELAS!$A$4:A17,TELAS!A18)&gt;0,"",TELAS!A18))</f>
        <v/>
      </c>
      <c r="B127" s="127" t="str">
        <f>IF(A127="","",SUMIF(INVENTARIO!$B$4:$B$843,A127,INVENTARIO!$F$4:$F$843))</f>
        <v/>
      </c>
      <c r="C127" s="127" t="str">
        <f>IF(A127="","",SUMIFS(MOVIMIENTOS!$G$4:$G$1000,MOVIMIENTOS!$D$4:$D$1000,A127,MOVIMIENTOS!$B$4:$B$1000,"A CORTE",MOVIMIENTOS!$A$4:$A$1000,"&gt;="&amp;TODAY()-90)/3)</f>
        <v/>
      </c>
      <c r="D127" s="145" t="str">
        <f t="shared" si="3"/>
        <v/>
      </c>
      <c r="E127" s="81" t="str">
        <f t="shared" si="4"/>
        <v/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E5:F5"/>
    <mergeCell ref="G5:H5"/>
    <mergeCell ref="A1:H1"/>
    <mergeCell ref="A4:B4"/>
    <mergeCell ref="C4:D4"/>
    <mergeCell ref="E4:F4"/>
    <mergeCell ref="G4:H4"/>
    <mergeCell ref="A5:B5"/>
    <mergeCell ref="C5:D5"/>
    <mergeCell ref="E63:F63"/>
    <mergeCell ref="G63:H63"/>
    <mergeCell ref="A64:B64"/>
    <mergeCell ref="C64:D64"/>
    <mergeCell ref="E64:F64"/>
    <mergeCell ref="G64:H64"/>
    <mergeCell ref="A65:F65"/>
    <mergeCell ref="A98:G98"/>
    <mergeCell ref="A100:E100"/>
    <mergeCell ref="A111:E111"/>
    <mergeCell ref="A8:C8"/>
    <mergeCell ref="E8:G8"/>
    <mergeCell ref="A26:G26"/>
    <mergeCell ref="A29:G29"/>
    <mergeCell ref="A62:G62"/>
    <mergeCell ref="A63:B63"/>
    <mergeCell ref="C63:D63"/>
  </mergeCells>
  <conditionalFormatting sqref="E113:E127">
    <cfRule type="expression" dxfId="0" priority="1">
      <formula>E113="CRÍTICO — pedir ya"</formula>
    </cfRule>
  </conditionalFormatting>
  <conditionalFormatting sqref="E113:E127">
    <cfRule type="expression" dxfId="2" priority="2">
      <formula>E113="BAJO — pedir pronto"</formula>
    </cfRule>
  </conditionalFormatting>
  <conditionalFormatting sqref="E113:E127">
    <cfRule type="expression" dxfId="7" priority="3">
      <formula>E113="OK"</formula>
    </cfRule>
  </conditionalFormatting>
  <conditionalFormatting sqref="E113:E127">
    <cfRule type="expression" dxfId="8" priority="4">
      <formula>E113="SIN MOVIMIENTO"</formula>
    </cfRule>
  </conditionalFormatting>
  <printOptions/>
  <pageMargins bottom="1.0" footer="0.0" header="0.0" left="0.75" right="0.75" top="1.0"/>
  <pageSetup paperSize="9" orientation="portrait"/>
  <drawing r:id="rId1"/>
</worksheet>
</file>